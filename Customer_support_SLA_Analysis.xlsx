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tables/table5.xml" ContentType="application/vnd.openxmlformats-officedocument.spreadsheetml.table+xml"/>
  <Override PartName="/xl/slicers/slicer1.xml" ContentType="application/vnd.ms-excel.slicer+xml"/>
  <Override PartName="/xl/namedSheetViews/namedSheetView1.xml" ContentType="application/vnd.ms-excel.namedsheetview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tables/table6.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202300"/>
  <mc:AlternateContent xmlns:mc="http://schemas.openxmlformats.org/markup-compatibility/2006">
    <mc:Choice Requires="x15">
      <x15ac:absPath xmlns:x15ac="http://schemas.microsoft.com/office/spreadsheetml/2010/11/ac" url="E:\Data Science Course\DA practice project\Excel-Data-Analystics-and-Visualization\Customer_Support_SLA_Excel_Project\"/>
    </mc:Choice>
  </mc:AlternateContent>
  <xr:revisionPtr revIDLastSave="0" documentId="8_{F08116A9-0E3A-4807-80CA-F9C778C2FF79}" xr6:coauthVersionLast="47" xr6:coauthVersionMax="47" xr10:uidLastSave="{00000000-0000-0000-0000-000000000000}"/>
  <bookViews>
    <workbookView xWindow="-120" yWindow="-120" windowWidth="20730" windowHeight="11040" firstSheet="2" activeTab="5" xr2:uid="{4BA58D3F-FF2A-4230-B050-5CFD60F30617}"/>
  </bookViews>
  <sheets>
    <sheet name="Raw_Data" sheetId="4" r:id="rId1"/>
    <sheet name="Data_validation" sheetId="7" r:id="rId2"/>
    <sheet name="SLA_Rules" sheetId="8" r:id="rId3"/>
    <sheet name="Analysis_Data" sheetId="5" r:id="rId4"/>
    <sheet name="Pivot_Analysis" sheetId="11" r:id="rId5"/>
    <sheet name="Dashboard" sheetId="12" r:id="rId6"/>
    <sheet name="Recommendation Sheets" sheetId="13" r:id="rId7"/>
  </sheets>
  <definedNames>
    <definedName name="_xlnm.Print_Area" localSheetId="5">Dashboard!$A$1:$W$60</definedName>
    <definedName name="Slicer_channel">#N/A</definedName>
    <definedName name="Slicer_customer_satisfaction">#N/A</definedName>
    <definedName name="Slicer_issue_category">#N/A</definedName>
    <definedName name="Slicer_priority">#N/A</definedName>
    <definedName name="Slicer_reopened">#N/A</definedName>
    <definedName name="tbl_data_validation">#REF!</definedName>
    <definedName name="tbl_sla_rules">#REF!</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M5" i="12" l="1"/>
  <c r="O5" i="12"/>
  <c r="Q5" i="12"/>
  <c r="V2" i="5" a="1"/>
  <c r="V2" i="5"/>
  <c r="V3" i="5" a="1"/>
  <c r="V3" i="5"/>
  <c r="V4" i="5" a="1"/>
  <c r="V4" i="5"/>
  <c r="V5" i="5" a="1"/>
  <c r="V5" i="5"/>
  <c r="V6" i="5" a="1"/>
  <c r="V6" i="5"/>
  <c r="V7" i="5" a="1"/>
  <c r="V7" i="5"/>
  <c r="V8" i="5" a="1"/>
  <c r="V8" i="5"/>
  <c r="V9" i="5" a="1"/>
  <c r="V9" i="5"/>
  <c r="V10" i="5" a="1"/>
  <c r="V10" i="5"/>
  <c r="V11" i="5" a="1"/>
  <c r="V11" i="5"/>
  <c r="V12" i="5" a="1"/>
  <c r="V12" i="5"/>
  <c r="V13" i="5" a="1"/>
  <c r="V13" i="5"/>
  <c r="V14" i="5" a="1"/>
  <c r="V14" i="5"/>
  <c r="V15" i="5" a="1"/>
  <c r="V15" i="5"/>
  <c r="V16" i="5" a="1"/>
  <c r="V16" i="5"/>
  <c r="V17" i="5" a="1"/>
  <c r="V17" i="5"/>
  <c r="V18" i="5" a="1"/>
  <c r="V18" i="5"/>
  <c r="V19" i="5" a="1"/>
  <c r="V19" i="5"/>
  <c r="V20" i="5" a="1"/>
  <c r="V20" i="5"/>
  <c r="V21" i="5" a="1"/>
  <c r="V21" i="5"/>
  <c r="V22" i="5" a="1"/>
  <c r="V22" i="5"/>
  <c r="V23" i="5" a="1"/>
  <c r="V23" i="5"/>
  <c r="V24" i="5" a="1"/>
  <c r="V24" i="5"/>
  <c r="V25" i="5" a="1"/>
  <c r="V25" i="5"/>
  <c r="V26" i="5" a="1"/>
  <c r="V26" i="5"/>
  <c r="V27" i="5" a="1"/>
  <c r="V27" i="5"/>
  <c r="V28" i="5" a="1"/>
  <c r="V28" i="5"/>
  <c r="V29" i="5" a="1"/>
  <c r="V29" i="5"/>
  <c r="V30" i="5" a="1"/>
  <c r="V30" i="5"/>
  <c r="V31" i="5" a="1"/>
  <c r="V31" i="5"/>
  <c r="V32" i="5" a="1"/>
  <c r="V32" i="5"/>
  <c r="V33" i="5" a="1"/>
  <c r="V33" i="5"/>
  <c r="V34" i="5" a="1"/>
  <c r="V34" i="5"/>
  <c r="V35" i="5" a="1"/>
  <c r="V35" i="5"/>
  <c r="V36" i="5" a="1"/>
  <c r="V36" i="5"/>
  <c r="V37" i="5" a="1"/>
  <c r="V37" i="5"/>
  <c r="V38" i="5" a="1"/>
  <c r="V38" i="5"/>
  <c r="V39" i="5" a="1"/>
  <c r="V39" i="5"/>
  <c r="V40" i="5" a="1"/>
  <c r="V40" i="5"/>
  <c r="V41" i="5" a="1"/>
  <c r="V41" i="5"/>
  <c r="V42" i="5" a="1"/>
  <c r="V42" i="5"/>
  <c r="V43" i="5" a="1"/>
  <c r="V43" i="5"/>
  <c r="V44" i="5" a="1"/>
  <c r="V44" i="5"/>
  <c r="V45" i="5" a="1"/>
  <c r="V45" i="5"/>
  <c r="V46" i="5" a="1"/>
  <c r="V46" i="5"/>
  <c r="V47" i="5" a="1"/>
  <c r="V47" i="5"/>
  <c r="V48" i="5" a="1"/>
  <c r="V48" i="5"/>
  <c r="V49" i="5" a="1"/>
  <c r="V49" i="5"/>
  <c r="V50" i="5" a="1"/>
  <c r="V50" i="5"/>
  <c r="V51" i="5" a="1"/>
  <c r="V51" i="5"/>
  <c r="V52" i="5" a="1"/>
  <c r="V52" i="5"/>
  <c r="V53" i="5" a="1"/>
  <c r="V53" i="5"/>
  <c r="V54" i="5" a="1"/>
  <c r="V54" i="5"/>
  <c r="V55" i="5" a="1"/>
  <c r="V55" i="5"/>
  <c r="V56" i="5" a="1"/>
  <c r="V56" i="5"/>
  <c r="V57" i="5" a="1"/>
  <c r="V57" i="5"/>
  <c r="V58" i="5" a="1"/>
  <c r="V58" i="5"/>
  <c r="V59" i="5" a="1"/>
  <c r="V59" i="5"/>
  <c r="V60" i="5" a="1"/>
  <c r="V60" i="5"/>
  <c r="V61" i="5" a="1"/>
  <c r="V61" i="5"/>
  <c r="V62" i="5" a="1"/>
  <c r="V62" i="5"/>
  <c r="V63" i="5" a="1"/>
  <c r="V63" i="5"/>
  <c r="V64" i="5" a="1"/>
  <c r="V64" i="5"/>
  <c r="V65" i="5" a="1"/>
  <c r="V65" i="5"/>
  <c r="V66" i="5" a="1"/>
  <c r="V66" i="5"/>
  <c r="V67" i="5" a="1"/>
  <c r="V67" i="5"/>
  <c r="V68" i="5" a="1"/>
  <c r="V68" i="5"/>
  <c r="V69" i="5" a="1"/>
  <c r="V69" i="5"/>
  <c r="V70" i="5" a="1"/>
  <c r="V70" i="5"/>
  <c r="V71" i="5" a="1"/>
  <c r="V71" i="5"/>
  <c r="V72" i="5" a="1"/>
  <c r="V72" i="5"/>
  <c r="V73" i="5" a="1"/>
  <c r="V73" i="5"/>
  <c r="V74" i="5" a="1"/>
  <c r="V74" i="5"/>
  <c r="V75" i="5" a="1"/>
  <c r="V75" i="5"/>
  <c r="V76" i="5" a="1"/>
  <c r="V76" i="5"/>
  <c r="V77" i="5" a="1"/>
  <c r="V77" i="5"/>
  <c r="V78" i="5" a="1"/>
  <c r="V78" i="5"/>
  <c r="V79" i="5" a="1"/>
  <c r="V79" i="5"/>
  <c r="V80" i="5" a="1"/>
  <c r="V80" i="5"/>
  <c r="V81" i="5" a="1"/>
  <c r="V81" i="5"/>
  <c r="V82" i="5" a="1"/>
  <c r="V82" i="5"/>
  <c r="V83" i="5" a="1"/>
  <c r="V83" i="5"/>
  <c r="V84" i="5" a="1"/>
  <c r="V84" i="5"/>
  <c r="V85" i="5" a="1"/>
  <c r="V85" i="5"/>
  <c r="V86" i="5" a="1"/>
  <c r="V86" i="5"/>
  <c r="V87" i="5" a="1"/>
  <c r="V87" i="5"/>
  <c r="V88" i="5" a="1"/>
  <c r="V88" i="5"/>
  <c r="V89" i="5" a="1"/>
  <c r="V89" i="5"/>
  <c r="V90" i="5" a="1"/>
  <c r="V90" i="5"/>
  <c r="V91" i="5" a="1"/>
  <c r="V91" i="5"/>
  <c r="V92" i="5" a="1"/>
  <c r="V92" i="5"/>
  <c r="V93" i="5" a="1"/>
  <c r="V93" i="5"/>
  <c r="V94" i="5" a="1"/>
  <c r="V94" i="5"/>
  <c r="V95" i="5" a="1"/>
  <c r="V95" i="5"/>
  <c r="V96" i="5" a="1"/>
  <c r="V96" i="5"/>
  <c r="V97" i="5" a="1"/>
  <c r="V97" i="5"/>
  <c r="V98" i="5" a="1"/>
  <c r="V98" i="5"/>
  <c r="V99" i="5" a="1"/>
  <c r="V99" i="5"/>
  <c r="V100" i="5" a="1"/>
  <c r="V100" i="5"/>
  <c r="V101" i="5" a="1"/>
  <c r="V101" i="5"/>
  <c r="V102" i="5" a="1"/>
  <c r="V102" i="5"/>
  <c r="V103" i="5" a="1"/>
  <c r="V103" i="5"/>
  <c r="V104" i="5" a="1"/>
  <c r="V104" i="5"/>
  <c r="V105" i="5" a="1"/>
  <c r="V105" i="5"/>
  <c r="V106" i="5" a="1"/>
  <c r="V106" i="5"/>
  <c r="V107" i="5" a="1"/>
  <c r="V107" i="5"/>
  <c r="V108" i="5" a="1"/>
  <c r="V108" i="5" s="1"/>
  <c r="V109" i="5" a="1"/>
  <c r="V109" i="5"/>
  <c r="V110" i="5" a="1"/>
  <c r="V110" i="5"/>
  <c r="V111" i="5" a="1"/>
  <c r="V111" i="5"/>
  <c r="V112" i="5" a="1"/>
  <c r="V112" i="5" s="1"/>
  <c r="V113" i="5" a="1"/>
  <c r="V113" i="5"/>
  <c r="V114" i="5" a="1"/>
  <c r="V114" i="5" s="1"/>
  <c r="V115" i="5" a="1"/>
  <c r="V115" i="5" s="1"/>
  <c r="V116" i="5" a="1"/>
  <c r="V116" i="5" s="1"/>
  <c r="V117" i="5" a="1"/>
  <c r="V117" i="5"/>
  <c r="V118" i="5" a="1"/>
  <c r="V118" i="5" s="1"/>
  <c r="V119" i="5" a="1"/>
  <c r="V119" i="5"/>
  <c r="V120" i="5" a="1"/>
  <c r="V120" i="5" s="1"/>
  <c r="V121" i="5" a="1"/>
  <c r="V121" i="5"/>
  <c r="V122" i="5" a="1"/>
  <c r="V122" i="5" s="1"/>
  <c r="V123" i="5" a="1"/>
  <c r="V123" i="5" s="1"/>
  <c r="V124" i="5" a="1"/>
  <c r="V124" i="5" s="1"/>
  <c r="V125" i="5" a="1"/>
  <c r="V125" i="5"/>
  <c r="V126" i="5" a="1"/>
  <c r="V126" i="5" s="1"/>
  <c r="V127" i="5" a="1"/>
  <c r="V127" i="5"/>
  <c r="V128" i="5" a="1"/>
  <c r="V128" i="5" s="1"/>
  <c r="V129" i="5" a="1"/>
  <c r="V129" i="5" s="1"/>
  <c r="V130" i="5" a="1"/>
  <c r="V130" i="5" s="1"/>
  <c r="V131" i="5" a="1"/>
  <c r="V131" i="5" s="1"/>
  <c r="V132" i="5" a="1"/>
  <c r="V132" i="5" s="1"/>
  <c r="V133" i="5" a="1"/>
  <c r="V133" i="5"/>
  <c r="V134" i="5" a="1"/>
  <c r="V134" i="5" s="1"/>
  <c r="V135" i="5" a="1"/>
  <c r="V135" i="5"/>
  <c r="V136" i="5" a="1"/>
  <c r="V136" i="5" s="1"/>
  <c r="V137" i="5" a="1"/>
  <c r="V137" i="5"/>
  <c r="V138" i="5" a="1"/>
  <c r="V138" i="5" s="1"/>
  <c r="V139" i="5" a="1"/>
  <c r="V139" i="5" s="1"/>
  <c r="V140" i="5" a="1"/>
  <c r="V140" i="5" s="1"/>
  <c r="V141" i="5" a="1"/>
  <c r="V141" i="5"/>
  <c r="V142" i="5" a="1"/>
  <c r="V142" i="5" s="1"/>
  <c r="V143" i="5" a="1"/>
  <c r="V143" i="5"/>
  <c r="V144" i="5" a="1"/>
  <c r="V144" i="5" s="1"/>
  <c r="V145" i="5" a="1"/>
  <c r="V145" i="5"/>
  <c r="V146" i="5" a="1"/>
  <c r="V146" i="5" s="1"/>
  <c r="V147" i="5" a="1"/>
  <c r="V147" i="5" s="1"/>
  <c r="V148" i="5" a="1"/>
  <c r="V148" i="5" s="1"/>
  <c r="V149" i="5" a="1"/>
  <c r="V149" i="5"/>
  <c r="V150" i="5" a="1"/>
  <c r="V150" i="5" s="1"/>
  <c r="V151" i="5" a="1"/>
  <c r="V151" i="5"/>
  <c r="V152" i="5" a="1"/>
  <c r="V152" i="5" s="1"/>
  <c r="V153" i="5" a="1"/>
  <c r="V153" i="5"/>
  <c r="V154" i="5" a="1"/>
  <c r="V154" i="5" s="1"/>
  <c r="V155" i="5" a="1"/>
  <c r="V155" i="5" s="1"/>
  <c r="V156" i="5" a="1"/>
  <c r="V156" i="5" s="1"/>
  <c r="V157" i="5" a="1"/>
  <c r="V157" i="5" s="1"/>
  <c r="V158" i="5" a="1"/>
  <c r="V158" i="5" s="1"/>
  <c r="V159" i="5" a="1"/>
  <c r="V159" i="5"/>
  <c r="V160" i="5" a="1"/>
  <c r="V160" i="5" s="1"/>
  <c r="V161" i="5" a="1"/>
  <c r="V161" i="5"/>
  <c r="V162" i="5" a="1"/>
  <c r="V162" i="5" s="1"/>
  <c r="V163" i="5" a="1"/>
  <c r="V163" i="5" s="1"/>
  <c r="V164" i="5" a="1"/>
  <c r="V164" i="5" s="1"/>
  <c r="V165" i="5" a="1"/>
  <c r="V165" i="5"/>
  <c r="V166" i="5" a="1"/>
  <c r="V166" i="5" s="1"/>
  <c r="V167" i="5" a="1"/>
  <c r="V167" i="5"/>
  <c r="V168" i="5" a="1"/>
  <c r="V168" i="5" s="1"/>
  <c r="V169" i="5" a="1"/>
  <c r="V169" i="5"/>
  <c r="V170" i="5" a="1"/>
  <c r="V170" i="5" s="1"/>
  <c r="V171" i="5" a="1"/>
  <c r="V171" i="5" s="1"/>
  <c r="V172" i="5" a="1"/>
  <c r="V172" i="5" s="1"/>
  <c r="V173" i="5" a="1"/>
  <c r="V173" i="5"/>
  <c r="V174" i="5" a="1"/>
  <c r="V174" i="5" s="1"/>
  <c r="V175" i="5" a="1"/>
  <c r="V175" i="5"/>
  <c r="V176" i="5" a="1"/>
  <c r="V176" i="5" s="1"/>
  <c r="V177" i="5" a="1"/>
  <c r="V177" i="5"/>
  <c r="V178" i="5" a="1"/>
  <c r="V178" i="5" s="1"/>
  <c r="V179" i="5" a="1"/>
  <c r="V179" i="5" s="1"/>
  <c r="V180" i="5" a="1"/>
  <c r="V180" i="5" s="1"/>
  <c r="V181" i="5" a="1"/>
  <c r="V181" i="5"/>
  <c r="V182" i="5" a="1"/>
  <c r="V182" i="5" s="1"/>
  <c r="V183" i="5" a="1"/>
  <c r="V183" i="5"/>
  <c r="V184" i="5" a="1"/>
  <c r="V184" i="5" s="1"/>
  <c r="V185" i="5" a="1"/>
  <c r="V185" i="5"/>
  <c r="V186" i="5" a="1"/>
  <c r="V186" i="5" s="1"/>
  <c r="V187" i="5" a="1"/>
  <c r="V187" i="5" s="1"/>
  <c r="V188" i="5" a="1"/>
  <c r="V188" i="5" s="1"/>
  <c r="V189" i="5" a="1"/>
  <c r="V189" i="5" s="1"/>
  <c r="V190" i="5" a="1"/>
  <c r="V190" i="5" s="1"/>
  <c r="V191" i="5" a="1"/>
  <c r="V191" i="5"/>
  <c r="V192" i="5" a="1"/>
  <c r="V192" i="5" s="1"/>
  <c r="V193" i="5" a="1"/>
  <c r="V193" i="5"/>
  <c r="V194" i="5" a="1"/>
  <c r="V194" i="5" s="1"/>
  <c r="V195" i="5" a="1"/>
  <c r="V195" i="5" s="1"/>
  <c r="V196" i="5" a="1"/>
  <c r="V196" i="5" s="1"/>
  <c r="V197" i="5" a="1"/>
  <c r="V197" i="5"/>
  <c r="V198" i="5" a="1"/>
  <c r="V198" i="5" s="1"/>
  <c r="V199" i="5" a="1"/>
  <c r="V199" i="5"/>
  <c r="V200" i="5" a="1"/>
  <c r="V200" i="5" s="1"/>
  <c r="V201" i="5" a="1"/>
  <c r="V201" i="5"/>
  <c r="V202" i="5" a="1"/>
  <c r="V202" i="5" s="1"/>
  <c r="V203" i="5" a="1"/>
  <c r="V203" i="5" s="1"/>
  <c r="V204" i="5" a="1"/>
  <c r="V204" i="5" s="1"/>
  <c r="V205" i="5" a="1"/>
  <c r="V205" i="5"/>
  <c r="V206" i="5" a="1"/>
  <c r="V206" i="5" s="1"/>
  <c r="V207" i="5" a="1"/>
  <c r="V207" i="5"/>
  <c r="V208" i="5" a="1"/>
  <c r="V208" i="5" s="1"/>
  <c r="V209" i="5" a="1"/>
  <c r="V209" i="5"/>
  <c r="V210" i="5" a="1"/>
  <c r="V210" i="5" s="1"/>
  <c r="V211" i="5" a="1"/>
  <c r="V211" i="5" s="1"/>
  <c r="V212" i="5" a="1"/>
  <c r="V212" i="5" s="1"/>
  <c r="V213" i="5" a="1"/>
  <c r="V213" i="5"/>
  <c r="V214" i="5" a="1"/>
  <c r="V214" i="5" s="1"/>
  <c r="V215" i="5" a="1"/>
  <c r="V215" i="5"/>
  <c r="V216" i="5" a="1"/>
  <c r="V216" i="5" s="1"/>
  <c r="V217" i="5" a="1"/>
  <c r="V217" i="5"/>
  <c r="V218" i="5" a="1"/>
  <c r="V218" i="5" s="1"/>
  <c r="V219" i="5" a="1"/>
  <c r="V219" i="5" s="1"/>
  <c r="V220" i="5" a="1"/>
  <c r="V220" i="5" s="1"/>
  <c r="V221" i="5" a="1"/>
  <c r="V221" i="5" s="1"/>
  <c r="V222" i="5" a="1"/>
  <c r="V222" i="5" s="1"/>
  <c r="V223" i="5" a="1"/>
  <c r="V223" i="5"/>
  <c r="V224" i="5" a="1"/>
  <c r="V224" i="5" s="1"/>
  <c r="V225" i="5" a="1"/>
  <c r="V225" i="5"/>
  <c r="V226" i="5" a="1"/>
  <c r="V226" i="5" s="1"/>
  <c r="V227" i="5" a="1"/>
  <c r="V227" i="5" s="1"/>
  <c r="V228" i="5" a="1"/>
  <c r="V228" i="5" s="1"/>
  <c r="V229" i="5" a="1"/>
  <c r="V229" i="5" s="1"/>
  <c r="V230" i="5" a="1"/>
  <c r="V230" i="5" s="1"/>
  <c r="V231" i="5" a="1"/>
  <c r="V231" i="5"/>
  <c r="V232" i="5" a="1"/>
  <c r="V232" i="5" s="1"/>
  <c r="V233" i="5" a="1"/>
  <c r="V233" i="5"/>
  <c r="V234" i="5" a="1"/>
  <c r="V234" i="5" s="1"/>
  <c r="V235" i="5" a="1"/>
  <c r="V235" i="5" s="1"/>
  <c r="V236" i="5" a="1"/>
  <c r="V236" i="5" s="1"/>
  <c r="V237" i="5" a="1"/>
  <c r="V237" i="5"/>
  <c r="V238" i="5" a="1"/>
  <c r="V238" i="5" s="1"/>
  <c r="V239" i="5" a="1"/>
  <c r="V239" i="5"/>
  <c r="V240" i="5" a="1"/>
  <c r="V240" i="5" s="1"/>
  <c r="V241" i="5" a="1"/>
  <c r="V241" i="5"/>
  <c r="V242" i="5" a="1"/>
  <c r="V242" i="5" s="1"/>
  <c r="V243" i="5" a="1"/>
  <c r="V243" i="5" s="1"/>
  <c r="V244" i="5" a="1"/>
  <c r="V244" i="5" s="1"/>
  <c r="V245" i="5" a="1"/>
  <c r="V245" i="5"/>
  <c r="V246" i="5" a="1"/>
  <c r="V246" i="5" s="1"/>
  <c r="V247" i="5" a="1"/>
  <c r="V247" i="5" s="1"/>
  <c r="V248" i="5" a="1"/>
  <c r="V248" i="5" s="1"/>
  <c r="V249" i="5" a="1"/>
  <c r="V249" i="5"/>
  <c r="V250" i="5" a="1"/>
  <c r="V250" i="5" s="1"/>
  <c r="V251" i="5" a="1"/>
  <c r="V251" i="5" s="1"/>
  <c r="V252" i="5" a="1"/>
  <c r="V252" i="5" s="1"/>
  <c r="V253" i="5" a="1"/>
  <c r="V253" i="5" s="1"/>
  <c r="V254" i="5" a="1"/>
  <c r="V254" i="5" s="1"/>
  <c r="V255" i="5" a="1"/>
  <c r="V255" i="5"/>
  <c r="V256" i="5" a="1"/>
  <c r="V256" i="5" s="1"/>
  <c r="V257" i="5" a="1"/>
  <c r="V257" i="5"/>
  <c r="V258" i="5" a="1"/>
  <c r="V258" i="5" s="1"/>
  <c r="V259" i="5" a="1"/>
  <c r="V259" i="5" s="1"/>
  <c r="V260" i="5" a="1"/>
  <c r="V260" i="5" s="1"/>
  <c r="V261" i="5" a="1"/>
  <c r="V261" i="5"/>
  <c r="V262" i="5" a="1"/>
  <c r="V262" i="5" s="1"/>
  <c r="V263" i="5" a="1"/>
  <c r="V263" i="5"/>
  <c r="V264" i="5" a="1"/>
  <c r="V264" i="5" s="1"/>
  <c r="V265" i="5" a="1"/>
  <c r="V265" i="5"/>
  <c r="V266" i="5" a="1"/>
  <c r="V266" i="5" s="1"/>
  <c r="V267" i="5" a="1"/>
  <c r="V267" i="5" s="1"/>
  <c r="V268" i="5" a="1"/>
  <c r="V268" i="5" s="1"/>
  <c r="V269" i="5" a="1"/>
  <c r="V269" i="5"/>
  <c r="V270" i="5" a="1"/>
  <c r="V270" i="5" s="1"/>
  <c r="V271" i="5" a="1"/>
  <c r="V271" i="5"/>
  <c r="V272" i="5" a="1"/>
  <c r="V272" i="5" s="1"/>
  <c r="V273" i="5" a="1"/>
  <c r="V273" i="5"/>
  <c r="V274" i="5" a="1"/>
  <c r="V274" i="5" s="1"/>
  <c r="V275" i="5" a="1"/>
  <c r="V275" i="5" s="1"/>
  <c r="V276" i="5" a="1"/>
  <c r="V276" i="5" s="1"/>
  <c r="V277" i="5" a="1"/>
  <c r="V277" i="5"/>
  <c r="V278" i="5" a="1"/>
  <c r="V278" i="5" s="1"/>
  <c r="V279" i="5" a="1"/>
  <c r="V279" i="5" s="1"/>
  <c r="V280" i="5" a="1"/>
  <c r="V280" i="5" s="1"/>
  <c r="V281" i="5" a="1"/>
  <c r="V281" i="5"/>
  <c r="V282" i="5" a="1"/>
  <c r="V282" i="5" s="1"/>
  <c r="V283" i="5" a="1"/>
  <c r="V283" i="5"/>
  <c r="V284" i="5" a="1"/>
  <c r="V284" i="5" s="1"/>
  <c r="V285" i="5" a="1"/>
  <c r="V285" i="5"/>
  <c r="V286" i="5" a="1"/>
  <c r="V286" i="5" s="1"/>
  <c r="V287" i="5" a="1"/>
  <c r="V287" i="5" s="1"/>
  <c r="V288" i="5" a="1"/>
  <c r="V288" i="5" s="1"/>
  <c r="V289" i="5" a="1"/>
  <c r="V289" i="5" s="1"/>
  <c r="V290" i="5" a="1"/>
  <c r="V290" i="5" s="1"/>
  <c r="V291" i="5" a="1"/>
  <c r="V291" i="5"/>
  <c r="V292" i="5" a="1"/>
  <c r="V292" i="5" s="1"/>
  <c r="V293" i="5" a="1"/>
  <c r="V293" i="5"/>
  <c r="V294" i="5" a="1"/>
  <c r="V294" i="5" s="1"/>
  <c r="V295" i="5" a="1"/>
  <c r="V295" i="5" s="1"/>
  <c r="V296" i="5" a="1"/>
  <c r="V296" i="5" s="1"/>
  <c r="V297" i="5" a="1"/>
  <c r="V297" i="5"/>
  <c r="V298" i="5" a="1"/>
  <c r="V298" i="5" s="1"/>
  <c r="V299" i="5" a="1"/>
  <c r="V299" i="5"/>
  <c r="V300" i="5" a="1"/>
  <c r="V300" i="5" s="1"/>
  <c r="V301" i="5" a="1"/>
  <c r="V301" i="5"/>
  <c r="V302" i="5" a="1"/>
  <c r="V302" i="5" s="1"/>
  <c r="V303" i="5" a="1"/>
  <c r="V303" i="5" s="1"/>
  <c r="V304" i="5" a="1"/>
  <c r="V304" i="5" s="1"/>
  <c r="V305" i="5" a="1"/>
  <c r="V305" i="5" s="1"/>
  <c r="V306" i="5" a="1"/>
  <c r="V306" i="5" s="1"/>
  <c r="V307" i="5" a="1"/>
  <c r="V307" i="5"/>
  <c r="V308" i="5" a="1"/>
  <c r="V308" i="5" s="1"/>
  <c r="V309" i="5" a="1"/>
  <c r="V309" i="5"/>
  <c r="V310" i="5" a="1"/>
  <c r="V310" i="5" s="1"/>
  <c r="V311" i="5" a="1"/>
  <c r="V311" i="5" s="1"/>
  <c r="V312" i="5" a="1"/>
  <c r="V312" i="5" s="1"/>
  <c r="V313" i="5" a="1"/>
  <c r="V313" i="5"/>
  <c r="V314" i="5" a="1"/>
  <c r="V314" i="5" s="1"/>
  <c r="V315" i="5" a="1"/>
  <c r="V315" i="5"/>
  <c r="V316" i="5" a="1"/>
  <c r="V316" i="5" s="1"/>
  <c r="V317" i="5" a="1"/>
  <c r="V317" i="5"/>
  <c r="V318" i="5" a="1"/>
  <c r="V318" i="5" s="1"/>
  <c r="V319" i="5" a="1"/>
  <c r="V319" i="5" s="1"/>
  <c r="V320" i="5" a="1"/>
  <c r="V320" i="5" s="1"/>
  <c r="V321" i="5" a="1"/>
  <c r="V321" i="5" s="1"/>
  <c r="V322" i="5" a="1"/>
  <c r="V322" i="5" s="1"/>
  <c r="V323" i="5" a="1"/>
  <c r="V323" i="5"/>
  <c r="V324" i="5" a="1"/>
  <c r="V324" i="5" s="1"/>
  <c r="V325" i="5" a="1"/>
  <c r="V325" i="5"/>
  <c r="V326" i="5" a="1"/>
  <c r="V326" i="5" s="1"/>
  <c r="V327" i="5" a="1"/>
  <c r="V327" i="5" s="1"/>
  <c r="V328" i="5" a="1"/>
  <c r="V328" i="5" s="1"/>
  <c r="V329" i="5" a="1"/>
  <c r="V329" i="5" s="1"/>
  <c r="V330" i="5" a="1"/>
  <c r="V330" i="5" s="1"/>
  <c r="V331" i="5" a="1"/>
  <c r="V331" i="5"/>
  <c r="V332" i="5" a="1"/>
  <c r="V332" i="5" s="1"/>
  <c r="V333" i="5" a="1"/>
  <c r="V333" i="5"/>
  <c r="V334" i="5" a="1"/>
  <c r="V334" i="5" s="1"/>
  <c r="V335" i="5" a="1"/>
  <c r="V335" i="5" s="1"/>
  <c r="V336" i="5" a="1"/>
  <c r="V336" i="5" s="1"/>
  <c r="V337" i="5" a="1"/>
  <c r="V337" i="5" s="1"/>
  <c r="V338" i="5" a="1"/>
  <c r="V338" i="5" s="1"/>
  <c r="V339" i="5" a="1"/>
  <c r="V339" i="5"/>
  <c r="V340" i="5" a="1"/>
  <c r="V340" i="5" s="1"/>
  <c r="V341" i="5" a="1"/>
  <c r="V341" i="5"/>
  <c r="V342" i="5" a="1"/>
  <c r="V342" i="5" s="1"/>
  <c r="V343" i="5" a="1"/>
  <c r="V343" i="5" s="1"/>
  <c r="V344" i="5" a="1"/>
  <c r="V344" i="5" s="1"/>
  <c r="V345" i="5" a="1"/>
  <c r="V345" i="5"/>
  <c r="V346" i="5" a="1"/>
  <c r="V346" i="5" s="1"/>
  <c r="V347" i="5" a="1"/>
  <c r="V347" i="5"/>
  <c r="V348" i="5" a="1"/>
  <c r="V348" i="5" s="1"/>
  <c r="V349" i="5" a="1"/>
  <c r="V349" i="5"/>
  <c r="V350" i="5" a="1"/>
  <c r="V350" i="5" s="1"/>
  <c r="V351" i="5" a="1"/>
  <c r="V351" i="5" s="1"/>
  <c r="V352" i="5" a="1"/>
  <c r="V352" i="5" s="1"/>
  <c r="V353" i="5" a="1"/>
  <c r="V353" i="5" s="1"/>
  <c r="V354" i="5" a="1"/>
  <c r="V354" i="5" s="1"/>
  <c r="V355" i="5" a="1"/>
  <c r="V355" i="5"/>
  <c r="V356" i="5" a="1"/>
  <c r="V356" i="5" s="1"/>
  <c r="V357" i="5" a="1"/>
  <c r="V357" i="5"/>
  <c r="V358" i="5" a="1"/>
  <c r="V358" i="5" s="1"/>
  <c r="V359" i="5" a="1"/>
  <c r="V359" i="5" s="1"/>
  <c r="V360" i="5" a="1"/>
  <c r="V360" i="5" s="1"/>
  <c r="V361" i="5" a="1"/>
  <c r="V361" i="5" s="1"/>
  <c r="V362" i="5" a="1"/>
  <c r="V362" i="5" s="1"/>
  <c r="V363" i="5" a="1"/>
  <c r="V363" i="5"/>
  <c r="V364" i="5" a="1"/>
  <c r="V364" i="5" s="1"/>
  <c r="V365" i="5" a="1"/>
  <c r="V365" i="5"/>
  <c r="V366" i="5" a="1"/>
  <c r="V366" i="5" s="1"/>
  <c r="V367" i="5" a="1"/>
  <c r="V367" i="5" s="1"/>
  <c r="V368" i="5" a="1"/>
  <c r="V368" i="5" s="1"/>
  <c r="V369" i="5" a="1"/>
  <c r="V369" i="5"/>
  <c r="V370" i="5" a="1"/>
  <c r="V370" i="5" s="1"/>
  <c r="V371" i="5" a="1"/>
  <c r="V371" i="5"/>
  <c r="V372" i="5" a="1"/>
  <c r="V372" i="5" s="1"/>
  <c r="V373" i="5" a="1"/>
  <c r="V373" i="5"/>
  <c r="V374" i="5" a="1"/>
  <c r="V374" i="5" s="1"/>
  <c r="V375" i="5" a="1"/>
  <c r="V375" i="5" s="1"/>
  <c r="V376" i="5" a="1"/>
  <c r="V376" i="5" s="1"/>
  <c r="V377" i="5" a="1"/>
  <c r="V377" i="5"/>
  <c r="V378" i="5" a="1"/>
  <c r="V378" i="5" s="1"/>
  <c r="V379" i="5" a="1"/>
  <c r="V379" i="5"/>
  <c r="V380" i="5" a="1"/>
  <c r="V380" i="5" s="1"/>
  <c r="V381" i="5" a="1"/>
  <c r="V381" i="5"/>
  <c r="V382" i="5" a="1"/>
  <c r="V382" i="5" s="1"/>
  <c r="V383" i="5" a="1"/>
  <c r="V383" i="5" s="1"/>
  <c r="V384" i="5" a="1"/>
  <c r="V384" i="5" s="1"/>
  <c r="V385" i="5" a="1"/>
  <c r="V385" i="5" s="1"/>
  <c r="V386" i="5" a="1"/>
  <c r="V386" i="5" s="1"/>
  <c r="V387" i="5" a="1"/>
  <c r="V387" i="5"/>
  <c r="V388" i="5" a="1"/>
  <c r="V388" i="5" s="1"/>
  <c r="V389" i="5" a="1"/>
  <c r="V389" i="5"/>
  <c r="V390" i="5" a="1"/>
  <c r="V390" i="5" s="1"/>
  <c r="V391" i="5" a="1"/>
  <c r="V391" i="5" s="1"/>
  <c r="V392" i="5" a="1"/>
  <c r="V392" i="5" s="1"/>
  <c r="V393" i="5" a="1"/>
  <c r="V393" i="5"/>
  <c r="V394" i="5" a="1"/>
  <c r="V394" i="5" s="1"/>
  <c r="V395" i="5" a="1"/>
  <c r="V395" i="5"/>
  <c r="V396" i="5" a="1"/>
  <c r="V396" i="5" s="1"/>
  <c r="V397" i="5" a="1"/>
  <c r="V397" i="5"/>
  <c r="V398" i="5" a="1"/>
  <c r="V398" i="5" s="1"/>
  <c r="V399" i="5" a="1"/>
  <c r="V399" i="5" s="1"/>
  <c r="V400" i="5" a="1"/>
  <c r="V400" i="5" s="1"/>
  <c r="V401" i="5" a="1"/>
  <c r="V401" i="5"/>
  <c r="V402" i="5" a="1"/>
  <c r="V402" i="5" s="1"/>
  <c r="V403" i="5" a="1"/>
  <c r="V403" i="5"/>
  <c r="V404" i="5" a="1"/>
  <c r="V404" i="5" s="1"/>
  <c r="V405" i="5" a="1"/>
  <c r="V405" i="5"/>
  <c r="V406" i="5" a="1"/>
  <c r="V406" i="5" s="1"/>
  <c r="V407" i="5" a="1"/>
  <c r="V407" i="5" s="1"/>
  <c r="V408" i="5" a="1"/>
  <c r="V408" i="5"/>
  <c r="V409" i="5" a="1"/>
  <c r="V409" i="5" s="1"/>
  <c r="V410" i="5" a="1"/>
  <c r="V410" i="5"/>
  <c r="V411" i="5" a="1"/>
  <c r="V411" i="5" s="1"/>
  <c r="V412" i="5" a="1"/>
  <c r="V412" i="5"/>
  <c r="V413" i="5" a="1"/>
  <c r="V413" i="5" s="1"/>
  <c r="V414" i="5" a="1"/>
  <c r="V414" i="5"/>
  <c r="V415" i="5" a="1"/>
  <c r="V415" i="5" s="1"/>
  <c r="V416" i="5" a="1"/>
  <c r="V416" i="5" s="1"/>
  <c r="V417" i="5" a="1"/>
  <c r="V417" i="5" s="1"/>
  <c r="V418" i="5" a="1"/>
  <c r="V418" i="5"/>
  <c r="V419" i="5" a="1"/>
  <c r="V419" i="5" s="1"/>
  <c r="V420" i="5" a="1"/>
  <c r="V420" i="5" s="1"/>
  <c r="V421" i="5" a="1"/>
  <c r="V421" i="5" s="1"/>
  <c r="V422" i="5" a="1"/>
  <c r="V422" i="5"/>
  <c r="V423" i="5" a="1"/>
  <c r="V423" i="5" s="1"/>
  <c r="V424" i="5" a="1"/>
  <c r="V424" i="5" s="1"/>
  <c r="V425" i="5" a="1"/>
  <c r="V425" i="5" s="1"/>
  <c r="V426" i="5" a="1"/>
  <c r="V426" i="5" s="1"/>
  <c r="V427" i="5" a="1"/>
  <c r="V427" i="5" s="1"/>
  <c r="V428" i="5" a="1"/>
  <c r="V428" i="5"/>
  <c r="V429" i="5" a="1"/>
  <c r="V429" i="5" s="1"/>
  <c r="V430" i="5" a="1"/>
  <c r="V430" i="5"/>
  <c r="V431" i="5" a="1"/>
  <c r="V431" i="5" s="1"/>
  <c r="V432" i="5" a="1"/>
  <c r="V432" i="5" s="1"/>
  <c r="V433" i="5" a="1"/>
  <c r="V433" i="5" s="1"/>
  <c r="V434" i="5" a="1"/>
  <c r="V434" i="5"/>
  <c r="V435" i="5" a="1"/>
  <c r="V435" i="5" s="1"/>
  <c r="V436" i="5" a="1"/>
  <c r="V436" i="5"/>
  <c r="V437" i="5" a="1"/>
  <c r="V437" i="5" s="1"/>
  <c r="V438" i="5" a="1"/>
  <c r="V438" i="5"/>
  <c r="V439" i="5" a="1"/>
  <c r="V439" i="5" s="1"/>
  <c r="V440" i="5" a="1"/>
  <c r="V440" i="5" s="1"/>
  <c r="V441" i="5" a="1"/>
  <c r="V441" i="5" s="1"/>
  <c r="V442" i="5" a="1"/>
  <c r="V442" i="5"/>
  <c r="V443" i="5" a="1"/>
  <c r="V443" i="5" s="1"/>
  <c r="V444" i="5" a="1"/>
  <c r="V444" i="5"/>
  <c r="V445" i="5" a="1"/>
  <c r="V445" i="5" s="1"/>
  <c r="V446" i="5" a="1"/>
  <c r="V446" i="5"/>
  <c r="V447" i="5" a="1"/>
  <c r="V447" i="5" s="1"/>
  <c r="V448" i="5" a="1"/>
  <c r="V448" i="5" s="1"/>
  <c r="V449" i="5" a="1"/>
  <c r="V449" i="5" s="1"/>
  <c r="V450" i="5" a="1"/>
  <c r="V450" i="5"/>
  <c r="V451" i="5" a="1"/>
  <c r="V451" i="5" s="1"/>
  <c r="V452" i="5" a="1"/>
  <c r="V452" i="5" s="1"/>
  <c r="V453" i="5" a="1"/>
  <c r="V453" i="5" s="1"/>
  <c r="V454" i="5" a="1"/>
  <c r="V454" i="5"/>
  <c r="V455" i="5" a="1"/>
  <c r="V455" i="5" s="1"/>
  <c r="V456" i="5" a="1"/>
  <c r="V456" i="5" s="1"/>
  <c r="V457" i="5" a="1"/>
  <c r="V457" i="5" s="1"/>
  <c r="V458" i="5" a="1"/>
  <c r="V458" i="5" s="1"/>
  <c r="V459" i="5" a="1"/>
  <c r="V459" i="5" s="1"/>
  <c r="V460" i="5" a="1"/>
  <c r="V460" i="5" s="1"/>
  <c r="V461" i="5" a="1"/>
  <c r="V461" i="5" s="1"/>
  <c r="V462" i="5" a="1"/>
  <c r="V462" i="5"/>
  <c r="V463" i="5" a="1"/>
  <c r="V463" i="5" s="1"/>
  <c r="V464" i="5" a="1"/>
  <c r="V464" i="5" s="1"/>
  <c r="V465" i="5" a="1"/>
  <c r="V465" i="5" s="1"/>
  <c r="V466" i="5" a="1"/>
  <c r="V466" i="5" s="1"/>
  <c r="V467" i="5" a="1"/>
  <c r="V467" i="5" s="1"/>
  <c r="V468" i="5" a="1"/>
  <c r="V468" i="5"/>
  <c r="V469" i="5" a="1"/>
  <c r="V469" i="5" s="1"/>
  <c r="V470" i="5" a="1"/>
  <c r="V470" i="5"/>
  <c r="V471" i="5" a="1"/>
  <c r="V471" i="5" s="1"/>
  <c r="V472" i="5" a="1"/>
  <c r="V472" i="5" s="1"/>
  <c r="V473" i="5" a="1"/>
  <c r="V473" i="5" s="1"/>
  <c r="V474" i="5" a="1"/>
  <c r="V474" i="5"/>
  <c r="V475" i="5" a="1"/>
  <c r="V475" i="5" s="1"/>
  <c r="V476" i="5" a="1"/>
  <c r="V476" i="5"/>
  <c r="V477" i="5" a="1"/>
  <c r="V477" i="5" s="1"/>
  <c r="V478" i="5" a="1"/>
  <c r="V478" i="5"/>
  <c r="V479" i="5" a="1"/>
  <c r="V479" i="5" s="1"/>
  <c r="V480" i="5" a="1"/>
  <c r="V480" i="5" s="1"/>
  <c r="V481" i="5" a="1"/>
  <c r="V481" i="5" s="1"/>
  <c r="V482" i="5" a="1"/>
  <c r="V482" i="5"/>
  <c r="V483" i="5" a="1"/>
  <c r="V483" i="5" s="1"/>
  <c r="V484" i="5" a="1"/>
  <c r="V484" i="5" s="1"/>
  <c r="V485" i="5" a="1"/>
  <c r="V485" i="5" s="1"/>
  <c r="V486" i="5" a="1"/>
  <c r="V486" i="5"/>
  <c r="V487" i="5" a="1"/>
  <c r="V487" i="5" s="1"/>
  <c r="V488" i="5" a="1"/>
  <c r="V488" i="5" s="1"/>
  <c r="V489" i="5" a="1"/>
  <c r="V489" i="5" s="1"/>
  <c r="V490" i="5" a="1"/>
  <c r="V490" i="5" s="1"/>
  <c r="V491" i="5" a="1"/>
  <c r="V491" i="5" s="1"/>
  <c r="V492" i="5" a="1"/>
  <c r="V492" i="5"/>
  <c r="V493" i="5" a="1"/>
  <c r="V493" i="5" s="1"/>
  <c r="V494" i="5" a="1"/>
  <c r="V494" i="5"/>
  <c r="V495" i="5" a="1"/>
  <c r="V495" i="5" s="1"/>
  <c r="V496" i="5" a="1"/>
  <c r="V496" i="5" s="1"/>
  <c r="V497" i="5" a="1"/>
  <c r="V497" i="5" s="1"/>
  <c r="V498" i="5" a="1"/>
  <c r="V498" i="5"/>
  <c r="V499" i="5" a="1"/>
  <c r="V499" i="5" s="1"/>
  <c r="V500" i="5" a="1"/>
  <c r="V500" i="5"/>
  <c r="V501" i="5" a="1"/>
  <c r="V501" i="5" s="1"/>
  <c r="V502" i="5" a="1"/>
  <c r="V502" i="5"/>
  <c r="V503" i="5" a="1"/>
  <c r="V503" i="5" s="1"/>
  <c r="V504" i="5" a="1"/>
  <c r="V504" i="5" s="1"/>
  <c r="V505" i="5" a="1"/>
  <c r="V505" i="5" s="1"/>
  <c r="V506" i="5" a="1"/>
  <c r="V506" i="5"/>
  <c r="V507" i="5" a="1"/>
  <c r="V507" i="5" s="1"/>
  <c r="V508" i="5" a="1"/>
  <c r="V508" i="5"/>
  <c r="V509" i="5" a="1"/>
  <c r="V509" i="5" s="1"/>
  <c r="V510" i="5" a="1"/>
  <c r="V510" i="5"/>
  <c r="V511" i="5" a="1"/>
  <c r="V511" i="5" s="1"/>
  <c r="V512" i="5" a="1"/>
  <c r="V512" i="5" s="1"/>
  <c r="V513" i="5" a="1"/>
  <c r="V513" i="5" s="1"/>
  <c r="V514" i="5" a="1"/>
  <c r="V514" i="5"/>
  <c r="V515" i="5" a="1"/>
  <c r="V515" i="5" s="1"/>
  <c r="V516" i="5" a="1"/>
  <c r="V516" i="5" s="1"/>
  <c r="V517" i="5" a="1"/>
  <c r="V517" i="5" s="1"/>
  <c r="V518" i="5" a="1"/>
  <c r="V518" i="5"/>
  <c r="V519" i="5" a="1"/>
  <c r="V519" i="5" s="1"/>
  <c r="V520" i="5" a="1"/>
  <c r="V520" i="5" s="1"/>
  <c r="V521" i="5" a="1"/>
  <c r="V521" i="5" s="1"/>
  <c r="V522" i="5" a="1"/>
  <c r="V522" i="5" s="1"/>
  <c r="V523" i="5" a="1"/>
  <c r="V523" i="5" s="1"/>
  <c r="V524" i="5" a="1"/>
  <c r="V524" i="5" s="1"/>
  <c r="V525" i="5" a="1"/>
  <c r="V525" i="5" s="1"/>
  <c r="V526" i="5" a="1"/>
  <c r="V526" i="5"/>
  <c r="V527" i="5" a="1"/>
  <c r="V527" i="5" s="1"/>
  <c r="V528" i="5" a="1"/>
  <c r="V528" i="5" s="1"/>
  <c r="V529" i="5" a="1"/>
  <c r="V529" i="5" s="1"/>
  <c r="V530" i="5" a="1"/>
  <c r="V530" i="5" s="1"/>
  <c r="V531" i="5" a="1"/>
  <c r="V531" i="5" s="1"/>
  <c r="V532" i="5" a="1"/>
  <c r="V532" i="5"/>
  <c r="V533" i="5" a="1"/>
  <c r="V533" i="5" s="1"/>
  <c r="V534" i="5" a="1"/>
  <c r="V534" i="5"/>
  <c r="V535" i="5" a="1"/>
  <c r="V535" i="5" s="1"/>
  <c r="V536" i="5" a="1"/>
  <c r="V536" i="5" s="1"/>
  <c r="V537" i="5" a="1"/>
  <c r="V537" i="5" s="1"/>
  <c r="V538" i="5" a="1"/>
  <c r="V538" i="5"/>
  <c r="V539" i="5" a="1"/>
  <c r="V539" i="5" s="1"/>
  <c r="V540" i="5" a="1"/>
  <c r="V540" i="5"/>
  <c r="V541" i="5" a="1"/>
  <c r="V541" i="5" s="1"/>
  <c r="V542" i="5" a="1"/>
  <c r="V542" i="5"/>
  <c r="V543" i="5" a="1"/>
  <c r="V543" i="5" s="1"/>
  <c r="V544" i="5" a="1"/>
  <c r="V544" i="5" s="1"/>
  <c r="V545" i="5" a="1"/>
  <c r="V545" i="5" s="1"/>
  <c r="V546" i="5" a="1"/>
  <c r="V546" i="5"/>
  <c r="V547" i="5" a="1"/>
  <c r="V547" i="5" s="1"/>
  <c r="V548" i="5" a="1"/>
  <c r="V548" i="5" s="1"/>
  <c r="V549" i="5" a="1"/>
  <c r="V549" i="5" s="1"/>
  <c r="V550" i="5" a="1"/>
  <c r="V550" i="5"/>
  <c r="V551" i="5" a="1"/>
  <c r="V551" i="5" s="1"/>
  <c r="V552" i="5" a="1"/>
  <c r="V552" i="5" s="1"/>
  <c r="V553" i="5" a="1"/>
  <c r="V553" i="5" s="1"/>
  <c r="V554" i="5" a="1"/>
  <c r="V554" i="5" s="1"/>
  <c r="V555" i="5" a="1"/>
  <c r="V555" i="5" s="1"/>
  <c r="V556" i="5" a="1"/>
  <c r="V556" i="5"/>
  <c r="V557" i="5" a="1"/>
  <c r="V557" i="5" s="1"/>
  <c r="V558" i="5" a="1"/>
  <c r="V558" i="5"/>
  <c r="V559" i="5" a="1"/>
  <c r="V559" i="5" s="1"/>
  <c r="V560" i="5" a="1"/>
  <c r="V560" i="5" s="1"/>
  <c r="V561" i="5" a="1"/>
  <c r="V561" i="5" s="1"/>
  <c r="V562" i="5" a="1"/>
  <c r="V562" i="5"/>
  <c r="V563" i="5" a="1"/>
  <c r="V563" i="5" s="1"/>
  <c r="V564" i="5" a="1"/>
  <c r="V564" i="5"/>
  <c r="V565" i="5" a="1"/>
  <c r="V565" i="5" s="1"/>
  <c r="V566" i="5" a="1"/>
  <c r="V566" i="5"/>
  <c r="V567" i="5" a="1"/>
  <c r="V567" i="5" s="1"/>
  <c r="V568" i="5" a="1"/>
  <c r="V568" i="5" s="1"/>
  <c r="V569" i="5" a="1"/>
  <c r="V569" i="5" s="1"/>
  <c r="V570" i="5" a="1"/>
  <c r="V570" i="5"/>
  <c r="V571" i="5" a="1"/>
  <c r="V571" i="5" s="1"/>
  <c r="V572" i="5" a="1"/>
  <c r="V572" i="5"/>
  <c r="V573" i="5" a="1"/>
  <c r="V573" i="5" s="1"/>
  <c r="V574" i="5" a="1"/>
  <c r="V574" i="5"/>
  <c r="V575" i="5" a="1"/>
  <c r="V575" i="5" s="1"/>
  <c r="V576" i="5" a="1"/>
  <c r="V576" i="5" s="1"/>
  <c r="V577" i="5" a="1"/>
  <c r="V577" i="5" s="1"/>
  <c r="V578" i="5" a="1"/>
  <c r="V578" i="5"/>
  <c r="V579" i="5" a="1"/>
  <c r="V579" i="5" s="1"/>
  <c r="V580" i="5" a="1"/>
  <c r="V580" i="5" s="1"/>
  <c r="V581" i="5" a="1"/>
  <c r="V581" i="5" s="1"/>
  <c r="V582" i="5" a="1"/>
  <c r="V582" i="5"/>
  <c r="V583" i="5" a="1"/>
  <c r="V583" i="5" s="1"/>
  <c r="V584" i="5" a="1"/>
  <c r="V584" i="5" s="1"/>
  <c r="V585" i="5" a="1"/>
  <c r="V585" i="5" s="1"/>
  <c r="V586" i="5" a="1"/>
  <c r="V586" i="5" s="1"/>
  <c r="V587" i="5" a="1"/>
  <c r="V587" i="5" s="1"/>
  <c r="V588" i="5" a="1"/>
  <c r="V588" i="5" s="1"/>
  <c r="V589" i="5" a="1"/>
  <c r="V589" i="5" s="1"/>
  <c r="V590" i="5" a="1"/>
  <c r="V590" i="5"/>
  <c r="V591" i="5" a="1"/>
  <c r="V591" i="5" s="1"/>
  <c r="V592" i="5" a="1"/>
  <c r="V592" i="5" s="1"/>
  <c r="V593" i="5" a="1"/>
  <c r="V593" i="5" s="1"/>
  <c r="V594" i="5" a="1"/>
  <c r="V594" i="5" s="1"/>
  <c r="V595" i="5" a="1"/>
  <c r="V595" i="5" s="1"/>
  <c r="V596" i="5" a="1"/>
  <c r="V596" i="5"/>
  <c r="V597" i="5" a="1"/>
  <c r="V597" i="5" s="1"/>
  <c r="V598" i="5" a="1"/>
  <c r="V598" i="5"/>
  <c r="V599" i="5" a="1"/>
  <c r="V599" i="5" s="1"/>
  <c r="V600" i="5" a="1"/>
  <c r="V600" i="5" s="1"/>
  <c r="V601" i="5" a="1"/>
  <c r="V601" i="5" s="1"/>
  <c r="V602" i="5" a="1"/>
  <c r="V602" i="5"/>
  <c r="V603" i="5" a="1"/>
  <c r="V603" i="5" s="1"/>
  <c r="V604" i="5" a="1"/>
  <c r="V604" i="5"/>
  <c r="V605" i="5" a="1"/>
  <c r="V605" i="5" s="1"/>
  <c r="V606" i="5" a="1"/>
  <c r="V606" i="5"/>
  <c r="V607" i="5" a="1"/>
  <c r="V607" i="5" s="1"/>
  <c r="V608" i="5" a="1"/>
  <c r="V608" i="5" s="1"/>
  <c r="V609" i="5" a="1"/>
  <c r="V609" i="5" s="1"/>
  <c r="V610" i="5" a="1"/>
  <c r="V610" i="5"/>
  <c r="V611" i="5" a="1"/>
  <c r="V611" i="5" s="1"/>
  <c r="V612" i="5" a="1"/>
  <c r="V612" i="5" s="1"/>
  <c r="V613" i="5" a="1"/>
  <c r="V613" i="5" s="1"/>
  <c r="V614" i="5" a="1"/>
  <c r="V614" i="5"/>
  <c r="V615" i="5" a="1"/>
  <c r="V615" i="5" s="1"/>
  <c r="V616" i="5" a="1"/>
  <c r="V616" i="5" s="1"/>
  <c r="V617" i="5" a="1"/>
  <c r="V617" i="5" s="1"/>
  <c r="V618" i="5" a="1"/>
  <c r="V618" i="5" s="1"/>
  <c r="V619" i="5" a="1"/>
  <c r="V619" i="5" s="1"/>
  <c r="V620" i="5" a="1"/>
  <c r="V620" i="5"/>
  <c r="V621" i="5" a="1"/>
  <c r="V621" i="5" s="1"/>
  <c r="V622" i="5" a="1"/>
  <c r="V622" i="5"/>
  <c r="V623" i="5" a="1"/>
  <c r="V623" i="5" s="1"/>
  <c r="V624" i="5" a="1"/>
  <c r="V624" i="5" s="1"/>
  <c r="V625" i="5" a="1"/>
  <c r="V625" i="5" s="1"/>
  <c r="V626" i="5" a="1"/>
  <c r="V626" i="5"/>
  <c r="V627" i="5" a="1"/>
  <c r="V627" i="5" s="1"/>
  <c r="V628" i="5" a="1"/>
  <c r="V628" i="5"/>
  <c r="V629" i="5" a="1"/>
  <c r="V629" i="5" s="1"/>
  <c r="V630" i="5" a="1"/>
  <c r="V630" i="5"/>
  <c r="V631" i="5" a="1"/>
  <c r="V631" i="5" s="1"/>
  <c r="V632" i="5" a="1"/>
  <c r="V632" i="5" s="1"/>
  <c r="V633" i="5" a="1"/>
  <c r="V633" i="5" s="1"/>
  <c r="V634" i="5" a="1"/>
  <c r="V634" i="5"/>
  <c r="V635" i="5" a="1"/>
  <c r="V635" i="5" s="1"/>
  <c r="V636" i="5" a="1"/>
  <c r="V636" i="5"/>
  <c r="V637" i="5" a="1"/>
  <c r="V637" i="5" s="1"/>
  <c r="V638" i="5" a="1"/>
  <c r="V638" i="5"/>
  <c r="V639" i="5" a="1"/>
  <c r="V639" i="5" s="1"/>
  <c r="V640" i="5" a="1"/>
  <c r="V640" i="5" s="1"/>
  <c r="V641" i="5" a="1"/>
  <c r="V641" i="5" s="1"/>
  <c r="V642" i="5" a="1"/>
  <c r="V642" i="5"/>
  <c r="V643" i="5" a="1"/>
  <c r="V643" i="5" s="1"/>
  <c r="V644" i="5" a="1"/>
  <c r="V644" i="5" s="1"/>
  <c r="V645" i="5" a="1"/>
  <c r="V645" i="5" s="1"/>
  <c r="V646" i="5" a="1"/>
  <c r="V646" i="5"/>
  <c r="V647" i="5" a="1"/>
  <c r="V647" i="5" s="1"/>
  <c r="V648" i="5" a="1"/>
  <c r="V648" i="5" s="1"/>
  <c r="V649" i="5" a="1"/>
  <c r="V649" i="5" s="1"/>
  <c r="V650" i="5" a="1"/>
  <c r="V650" i="5" s="1"/>
  <c r="V651" i="5" a="1"/>
  <c r="V651" i="5" s="1"/>
  <c r="V652" i="5" a="1"/>
  <c r="V652" i="5" s="1"/>
  <c r="V653" i="5" a="1"/>
  <c r="V653" i="5" s="1"/>
  <c r="V654" i="5" a="1"/>
  <c r="V654" i="5"/>
  <c r="V655" i="5" a="1"/>
  <c r="V655" i="5" s="1"/>
  <c r="V656" i="5" a="1"/>
  <c r="V656" i="5" s="1"/>
  <c r="V657" i="5" a="1"/>
  <c r="V657" i="5" s="1"/>
  <c r="V658" i="5" a="1"/>
  <c r="V658" i="5" s="1"/>
  <c r="V659" i="5" a="1"/>
  <c r="V659" i="5" s="1"/>
  <c r="V660" i="5" a="1"/>
  <c r="V660" i="5"/>
  <c r="V661" i="5" a="1"/>
  <c r="V661" i="5" s="1"/>
  <c r="V662" i="5" a="1"/>
  <c r="V662" i="5"/>
  <c r="V663" i="5" a="1"/>
  <c r="V663" i="5" s="1"/>
  <c r="V664" i="5" a="1"/>
  <c r="V664" i="5" s="1"/>
  <c r="V665" i="5" a="1"/>
  <c r="V665" i="5" s="1"/>
  <c r="V666" i="5" a="1"/>
  <c r="V666" i="5"/>
  <c r="V667" i="5" a="1"/>
  <c r="V667" i="5" s="1"/>
  <c r="V668" i="5" a="1"/>
  <c r="V668" i="5"/>
  <c r="V669" i="5" a="1"/>
  <c r="V669" i="5" s="1"/>
  <c r="V670" i="5" a="1"/>
  <c r="V670" i="5"/>
  <c r="V671" i="5" a="1"/>
  <c r="V671" i="5" s="1"/>
  <c r="V672" i="5" a="1"/>
  <c r="V672" i="5" s="1"/>
  <c r="V673" i="5" a="1"/>
  <c r="V673" i="5" s="1"/>
  <c r="V674" i="5" a="1"/>
  <c r="V674" i="5"/>
  <c r="V675" i="5" a="1"/>
  <c r="V675" i="5" s="1"/>
  <c r="V676" i="5" a="1"/>
  <c r="V676" i="5" s="1"/>
  <c r="V677" i="5" a="1"/>
  <c r="V677" i="5" s="1"/>
  <c r="V678" i="5" a="1"/>
  <c r="V678" i="5"/>
  <c r="V679" i="5" a="1"/>
  <c r="V679" i="5" s="1"/>
  <c r="V680" i="5" a="1"/>
  <c r="V680" i="5" s="1"/>
  <c r="V681" i="5" a="1"/>
  <c r="V681" i="5" s="1"/>
  <c r="V682" i="5" a="1"/>
  <c r="V682" i="5" s="1"/>
  <c r="V683" i="5" a="1"/>
  <c r="V683" i="5" s="1"/>
  <c r="V684" i="5" a="1"/>
  <c r="V684" i="5"/>
  <c r="V685" i="5" a="1"/>
  <c r="V685" i="5" s="1"/>
  <c r="V686" i="5" a="1"/>
  <c r="V686" i="5"/>
  <c r="V687" i="5" a="1"/>
  <c r="V687" i="5" s="1"/>
  <c r="V688" i="5" a="1"/>
  <c r="V688" i="5" s="1"/>
  <c r="V689" i="5" a="1"/>
  <c r="V689" i="5" s="1"/>
  <c r="V690" i="5" a="1"/>
  <c r="V690" i="5"/>
  <c r="V691" i="5" a="1"/>
  <c r="V691" i="5" s="1"/>
  <c r="V692" i="5" a="1"/>
  <c r="V692" i="5"/>
  <c r="V693" i="5" a="1"/>
  <c r="V693" i="5" s="1"/>
  <c r="V694" i="5" a="1"/>
  <c r="V694" i="5"/>
  <c r="V695" i="5" a="1"/>
  <c r="V695" i="5" s="1"/>
  <c r="V696" i="5" a="1"/>
  <c r="V696" i="5" s="1"/>
  <c r="V697" i="5" a="1"/>
  <c r="V697" i="5" s="1"/>
  <c r="V698" i="5" a="1"/>
  <c r="V698" i="5"/>
  <c r="V699" i="5" a="1"/>
  <c r="V699" i="5" s="1"/>
  <c r="V700" i="5" a="1"/>
  <c r="V700" i="5"/>
  <c r="V701" i="5" a="1"/>
  <c r="V701" i="5" s="1"/>
  <c r="V702" i="5" a="1"/>
  <c r="V702" i="5"/>
  <c r="V703" i="5" a="1"/>
  <c r="V703" i="5" s="1"/>
  <c r="V704" i="5" a="1"/>
  <c r="V704" i="5" s="1"/>
  <c r="V705" i="5" a="1"/>
  <c r="V705" i="5" s="1"/>
  <c r="V706" i="5" a="1"/>
  <c r="V706" i="5" s="1"/>
  <c r="V707" i="5" a="1"/>
  <c r="V707" i="5"/>
  <c r="V708" i="5" a="1"/>
  <c r="V708" i="5" s="1"/>
  <c r="V709" i="5" a="1"/>
  <c r="V709" i="5"/>
  <c r="V710" i="5" a="1"/>
  <c r="V710" i="5" s="1"/>
  <c r="V711" i="5" a="1"/>
  <c r="V711" i="5"/>
  <c r="V712" i="5" a="1"/>
  <c r="V712" i="5" s="1"/>
  <c r="V713" i="5" a="1"/>
  <c r="V713" i="5" s="1"/>
  <c r="V714" i="5" a="1"/>
  <c r="V714" i="5" s="1"/>
  <c r="V715" i="5" a="1"/>
  <c r="V715" i="5" s="1"/>
  <c r="V716" i="5" a="1"/>
  <c r="V716" i="5" s="1"/>
  <c r="V717" i="5" a="1"/>
  <c r="V717" i="5"/>
  <c r="V718" i="5" a="1"/>
  <c r="V718" i="5" s="1"/>
  <c r="V719" i="5" a="1"/>
  <c r="V719" i="5"/>
  <c r="V720" i="5" a="1"/>
  <c r="V720" i="5" s="1"/>
  <c r="V721" i="5" a="1"/>
  <c r="V721" i="5" s="1"/>
  <c r="V722" i="5" a="1"/>
  <c r="V722" i="5" s="1"/>
  <c r="V723" i="5" a="1"/>
  <c r="V723" i="5" s="1"/>
  <c r="V724" i="5" a="1"/>
  <c r="V724" i="5" s="1"/>
  <c r="V725" i="5" a="1"/>
  <c r="V725" i="5"/>
  <c r="V726" i="5" a="1"/>
  <c r="V726" i="5" s="1"/>
  <c r="V727" i="5" a="1"/>
  <c r="V727" i="5"/>
  <c r="V728" i="5" a="1"/>
  <c r="V728" i="5" s="1"/>
  <c r="V729" i="5" a="1"/>
  <c r="V729" i="5" s="1"/>
  <c r="V730" i="5" a="1"/>
  <c r="V730" i="5" s="1"/>
  <c r="V731" i="5" a="1"/>
  <c r="V731" i="5"/>
  <c r="V732" i="5" a="1"/>
  <c r="V732" i="5" s="1"/>
  <c r="V733" i="5" a="1"/>
  <c r="V733" i="5"/>
  <c r="V734" i="5" a="1"/>
  <c r="V734" i="5" s="1"/>
  <c r="V735" i="5" a="1"/>
  <c r="V735" i="5"/>
  <c r="V736" i="5" a="1"/>
  <c r="V736" i="5" s="1"/>
  <c r="V737" i="5" a="1"/>
  <c r="V737" i="5" s="1"/>
  <c r="V738" i="5" a="1"/>
  <c r="V738" i="5" s="1"/>
  <c r="V739" i="5" a="1"/>
  <c r="V739" i="5"/>
  <c r="V740" i="5" a="1"/>
  <c r="V740" i="5" s="1"/>
  <c r="V741" i="5" a="1"/>
  <c r="V741" i="5"/>
  <c r="V742" i="5" a="1"/>
  <c r="V742" i="5" s="1"/>
  <c r="V743" i="5" a="1"/>
  <c r="V743" i="5"/>
  <c r="V744" i="5" a="1"/>
  <c r="V744" i="5" s="1"/>
  <c r="V745" i="5" a="1"/>
  <c r="V745" i="5" s="1"/>
  <c r="V746" i="5" a="1"/>
  <c r="V746" i="5" s="1"/>
  <c r="V747" i="5" a="1"/>
  <c r="V747" i="5" s="1"/>
  <c r="V748" i="5" a="1"/>
  <c r="V748" i="5" s="1"/>
  <c r="V749" i="5" a="1"/>
  <c r="V749" i="5"/>
  <c r="V750" i="5" a="1"/>
  <c r="V750" i="5" s="1"/>
  <c r="V751" i="5" a="1"/>
  <c r="V751" i="5"/>
  <c r="V752" i="5" a="1"/>
  <c r="V752" i="5" s="1"/>
  <c r="V753" i="5" a="1"/>
  <c r="V753" i="5" s="1"/>
  <c r="V754" i="5" a="1"/>
  <c r="V754" i="5" s="1"/>
  <c r="V755" i="5" a="1"/>
  <c r="V755" i="5" s="1"/>
  <c r="V756" i="5" a="1"/>
  <c r="V756" i="5" s="1"/>
  <c r="V757" i="5" a="1"/>
  <c r="V757" i="5"/>
  <c r="V758" i="5" a="1"/>
  <c r="V758" i="5" s="1"/>
  <c r="V759" i="5" a="1"/>
  <c r="V759" i="5"/>
  <c r="V760" i="5" a="1"/>
  <c r="V760" i="5" s="1"/>
  <c r="V761" i="5" a="1"/>
  <c r="V761" i="5" s="1"/>
  <c r="V762" i="5" a="1"/>
  <c r="V762" i="5" s="1"/>
  <c r="V763" i="5" a="1"/>
  <c r="V763" i="5"/>
  <c r="V764" i="5" a="1"/>
  <c r="V764" i="5" s="1"/>
  <c r="V765" i="5" a="1"/>
  <c r="V765" i="5"/>
  <c r="V766" i="5" a="1"/>
  <c r="V766" i="5" s="1"/>
  <c r="V767" i="5" a="1"/>
  <c r="V767" i="5"/>
  <c r="V768" i="5" a="1"/>
  <c r="V768" i="5" s="1"/>
  <c r="V769" i="5" a="1"/>
  <c r="V769" i="5" s="1"/>
  <c r="V770" i="5" a="1"/>
  <c r="V770" i="5" s="1"/>
  <c r="V771" i="5" a="1"/>
  <c r="V771" i="5"/>
  <c r="V772" i="5" a="1"/>
  <c r="V772" i="5" s="1"/>
  <c r="V773" i="5" a="1"/>
  <c r="V773" i="5"/>
  <c r="V774" i="5" a="1"/>
  <c r="V774" i="5" s="1"/>
  <c r="V775" i="5" a="1"/>
  <c r="V775" i="5"/>
  <c r="V776" i="5" a="1"/>
  <c r="V776" i="5" s="1"/>
  <c r="V777" i="5" a="1"/>
  <c r="V777" i="5" s="1"/>
  <c r="V778" i="5" a="1"/>
  <c r="V778" i="5" s="1"/>
  <c r="V779" i="5" a="1"/>
  <c r="V779" i="5" s="1"/>
  <c r="V780" i="5" a="1"/>
  <c r="V780" i="5" s="1"/>
  <c r="V781" i="5" a="1"/>
  <c r="V781" i="5"/>
  <c r="V782" i="5" a="1"/>
  <c r="V782" i="5" s="1"/>
  <c r="V783" i="5" a="1"/>
  <c r="V783" i="5"/>
  <c r="V784" i="5" a="1"/>
  <c r="V784" i="5" s="1"/>
  <c r="V785" i="5" a="1"/>
  <c r="V785" i="5" s="1"/>
  <c r="V786" i="5" a="1"/>
  <c r="V786" i="5" s="1"/>
  <c r="V787" i="5" a="1"/>
  <c r="V787" i="5" s="1"/>
  <c r="V788" i="5" a="1"/>
  <c r="V788" i="5" s="1"/>
  <c r="V789" i="5" a="1"/>
  <c r="V789" i="5"/>
  <c r="V790" i="5" a="1"/>
  <c r="V790" i="5" s="1"/>
  <c r="V791" i="5" a="1"/>
  <c r="V791" i="5"/>
  <c r="V792" i="5" a="1"/>
  <c r="V792" i="5" s="1"/>
  <c r="V793" i="5" a="1"/>
  <c r="V793" i="5" s="1"/>
  <c r="V794" i="5" a="1"/>
  <c r="V794" i="5" s="1"/>
  <c r="V795" i="5" a="1"/>
  <c r="V795" i="5"/>
  <c r="V796" i="5" a="1"/>
  <c r="V796" i="5" s="1"/>
  <c r="V797" i="5" a="1"/>
  <c r="V797" i="5"/>
  <c r="V798" i="5" a="1"/>
  <c r="V798" i="5" s="1"/>
  <c r="V799" i="5" a="1"/>
  <c r="V799" i="5"/>
  <c r="V800" i="5" a="1"/>
  <c r="V800" i="5" s="1"/>
  <c r="V801" i="5" a="1"/>
  <c r="V801" i="5" s="1"/>
  <c r="V802" i="5" a="1"/>
  <c r="V802" i="5" s="1"/>
  <c r="V803" i="5" a="1"/>
  <c r="V803" i="5"/>
  <c r="V804" i="5" a="1"/>
  <c r="V804" i="5" s="1"/>
  <c r="V805" i="5" a="1"/>
  <c r="V805" i="5"/>
  <c r="V806" i="5" a="1"/>
  <c r="V806" i="5" s="1"/>
  <c r="V807" i="5" a="1"/>
  <c r="V807" i="5"/>
  <c r="V808" i="5" a="1"/>
  <c r="V808" i="5" s="1"/>
  <c r="V809" i="5" a="1"/>
  <c r="V809" i="5" s="1"/>
  <c r="V810" i="5" a="1"/>
  <c r="V810" i="5" s="1"/>
  <c r="V811" i="5" a="1"/>
  <c r="V811" i="5" s="1"/>
  <c r="V812" i="5" a="1"/>
  <c r="V812" i="5" s="1"/>
  <c r="V813" i="5" a="1"/>
  <c r="V813" i="5"/>
  <c r="V814" i="5" a="1"/>
  <c r="V814" i="5" s="1"/>
  <c r="V815" i="5" a="1"/>
  <c r="V815" i="5"/>
  <c r="V816" i="5" a="1"/>
  <c r="V816" i="5" s="1"/>
  <c r="V817" i="5" a="1"/>
  <c r="V817" i="5" s="1"/>
  <c r="V818" i="5" a="1"/>
  <c r="V818" i="5" s="1"/>
  <c r="V819" i="5" a="1"/>
  <c r="V819" i="5" s="1"/>
  <c r="V820" i="5" a="1"/>
  <c r="V820" i="5" s="1"/>
  <c r="V821" i="5" a="1"/>
  <c r="V821" i="5"/>
  <c r="V822" i="5" a="1"/>
  <c r="V822" i="5" s="1"/>
  <c r="V823" i="5" a="1"/>
  <c r="V823" i="5"/>
  <c r="V824" i="5" a="1"/>
  <c r="V824" i="5" s="1"/>
  <c r="V825" i="5" a="1"/>
  <c r="V825" i="5" s="1"/>
  <c r="V826" i="5" a="1"/>
  <c r="V826" i="5" s="1"/>
  <c r="V827" i="5" a="1"/>
  <c r="V827" i="5"/>
  <c r="V828" i="5" a="1"/>
  <c r="V828" i="5" s="1"/>
  <c r="V829" i="5" a="1"/>
  <c r="V829" i="5"/>
  <c r="V830" i="5" a="1"/>
  <c r="V830" i="5" s="1"/>
  <c r="V831" i="5" a="1"/>
  <c r="V831" i="5"/>
  <c r="V832" i="5" a="1"/>
  <c r="V832" i="5" s="1"/>
  <c r="V833" i="5" a="1"/>
  <c r="V833" i="5" s="1"/>
  <c r="V834" i="5" a="1"/>
  <c r="V834" i="5" s="1"/>
  <c r="V835" i="5" a="1"/>
  <c r="V835" i="5"/>
  <c r="V836" i="5" a="1"/>
  <c r="V836" i="5" s="1"/>
  <c r="V837" i="5" a="1"/>
  <c r="V837" i="5"/>
  <c r="V838" i="5" a="1"/>
  <c r="V838" i="5" s="1"/>
  <c r="V839" i="5" a="1"/>
  <c r="V839" i="5"/>
  <c r="V840" i="5" a="1"/>
  <c r="V840" i="5" s="1"/>
  <c r="V841" i="5" a="1"/>
  <c r="V841" i="5" s="1"/>
  <c r="V842" i="5" a="1"/>
  <c r="V842" i="5" s="1"/>
  <c r="V843" i="5" a="1"/>
  <c r="V843" i="5" s="1"/>
  <c r="V844" i="5" a="1"/>
  <c r="V844" i="5" s="1"/>
  <c r="V845" i="5" a="1"/>
  <c r="V845" i="5"/>
  <c r="V846" i="5" a="1"/>
  <c r="V846" i="5" s="1"/>
  <c r="V847" i="5" a="1"/>
  <c r="V847" i="5"/>
  <c r="V848" i="5" a="1"/>
  <c r="V848" i="5" s="1"/>
  <c r="V849" i="5" a="1"/>
  <c r="V849" i="5" s="1"/>
  <c r="V850" i="5" a="1"/>
  <c r="V850" i="5" s="1"/>
  <c r="V851" i="5" a="1"/>
  <c r="V851" i="5" s="1"/>
  <c r="V852" i="5" a="1"/>
  <c r="V852" i="5" s="1"/>
  <c r="V853" i="5" a="1"/>
  <c r="V853" i="5"/>
  <c r="V854" i="5" a="1"/>
  <c r="V854" i="5" s="1"/>
  <c r="V855" i="5" a="1"/>
  <c r="V855" i="5"/>
  <c r="V856" i="5" a="1"/>
  <c r="V856" i="5" s="1"/>
  <c r="V857" i="5" a="1"/>
  <c r="V857" i="5" s="1"/>
  <c r="V858" i="5" a="1"/>
  <c r="V858" i="5" s="1"/>
  <c r="V859" i="5" a="1"/>
  <c r="V859" i="5"/>
  <c r="V860" i="5" a="1"/>
  <c r="V860" i="5" s="1"/>
  <c r="V861" i="5" a="1"/>
  <c r="V861" i="5"/>
  <c r="V862" i="5" a="1"/>
  <c r="V862" i="5" s="1"/>
  <c r="V863" i="5" a="1"/>
  <c r="V863" i="5"/>
  <c r="V864" i="5" a="1"/>
  <c r="V864" i="5" s="1"/>
  <c r="V865" i="5" a="1"/>
  <c r="V865" i="5" s="1"/>
  <c r="V866" i="5" a="1"/>
  <c r="V866" i="5" s="1"/>
  <c r="V867" i="5" a="1"/>
  <c r="V867" i="5"/>
  <c r="V868" i="5" a="1"/>
  <c r="V868" i="5" s="1"/>
  <c r="V869" i="5" a="1"/>
  <c r="V869" i="5"/>
  <c r="V870" i="5" a="1"/>
  <c r="V870" i="5" s="1"/>
  <c r="V871" i="5" a="1"/>
  <c r="V871" i="5"/>
  <c r="V872" i="5" a="1"/>
  <c r="V872" i="5" s="1"/>
  <c r="V873" i="5" a="1"/>
  <c r="V873" i="5" s="1"/>
  <c r="V874" i="5" a="1"/>
  <c r="V874" i="5" s="1"/>
  <c r="V875" i="5" a="1"/>
  <c r="V875" i="5" s="1"/>
  <c r="V876" i="5" a="1"/>
  <c r="V876" i="5" s="1"/>
  <c r="V877" i="5" a="1"/>
  <c r="V877" i="5"/>
  <c r="V878" i="5" a="1"/>
  <c r="V878" i="5" s="1"/>
  <c r="V879" i="5" a="1"/>
  <c r="V879" i="5"/>
  <c r="V880" i="5" a="1"/>
  <c r="V880" i="5" s="1"/>
  <c r="V881" i="5" a="1"/>
  <c r="V881" i="5" s="1"/>
  <c r="V882" i="5" a="1"/>
  <c r="V882" i="5" s="1"/>
  <c r="V883" i="5" a="1"/>
  <c r="V883" i="5" s="1"/>
  <c r="V884" i="5" a="1"/>
  <c r="V884" i="5" s="1"/>
  <c r="V885" i="5" a="1"/>
  <c r="V885" i="5"/>
  <c r="V886" i="5" a="1"/>
  <c r="V886" i="5" s="1"/>
  <c r="V887" i="5" a="1"/>
  <c r="V887" i="5"/>
  <c r="V888" i="5" a="1"/>
  <c r="V888" i="5" s="1"/>
  <c r="V889" i="5" a="1"/>
  <c r="V889" i="5" s="1"/>
  <c r="V890" i="5" a="1"/>
  <c r="V890" i="5" s="1"/>
  <c r="V891" i="5" a="1"/>
  <c r="V891" i="5"/>
  <c r="V892" i="5" a="1"/>
  <c r="V892" i="5" s="1"/>
  <c r="V893" i="5" a="1"/>
  <c r="V893" i="5"/>
  <c r="V894" i="5" a="1"/>
  <c r="V894" i="5" s="1"/>
  <c r="V895" i="5" a="1"/>
  <c r="V895" i="5"/>
  <c r="V896" i="5" a="1"/>
  <c r="V896" i="5" s="1"/>
  <c r="V897" i="5" a="1"/>
  <c r="V897" i="5" s="1"/>
  <c r="V898" i="5" a="1"/>
  <c r="V898" i="5" s="1"/>
  <c r="V899" i="5" a="1"/>
  <c r="V899" i="5"/>
  <c r="V900" i="5" a="1"/>
  <c r="V900" i="5" s="1"/>
  <c r="V901" i="5" a="1"/>
  <c r="V901" i="5"/>
  <c r="V902" i="5" a="1"/>
  <c r="V902" i="5" s="1"/>
  <c r="V903" i="5" a="1"/>
  <c r="V903" i="5"/>
  <c r="V904" i="5" a="1"/>
  <c r="V904" i="5" s="1"/>
  <c r="V905" i="5" a="1"/>
  <c r="V905" i="5" s="1"/>
  <c r="V906" i="5" a="1"/>
  <c r="V906" i="5" s="1"/>
  <c r="V907" i="5" a="1"/>
  <c r="V907" i="5" s="1"/>
  <c r="V908" i="5" a="1"/>
  <c r="V908" i="5" s="1"/>
  <c r="V909" i="5" a="1"/>
  <c r="V909" i="5"/>
  <c r="V910" i="5" a="1"/>
  <c r="V910" i="5" s="1"/>
  <c r="V911" i="5" a="1"/>
  <c r="V911" i="5"/>
  <c r="V912" i="5" a="1"/>
  <c r="V912" i="5" s="1"/>
  <c r="V913" i="5" a="1"/>
  <c r="V913" i="5" s="1"/>
  <c r="V914" i="5" a="1"/>
  <c r="V914" i="5" s="1"/>
  <c r="V915" i="5" a="1"/>
  <c r="V915" i="5" s="1"/>
  <c r="V916" i="5" a="1"/>
  <c r="V916" i="5" s="1"/>
  <c r="V917" i="5" a="1"/>
  <c r="V917" i="5"/>
  <c r="V918" i="5" a="1"/>
  <c r="V918" i="5" s="1"/>
  <c r="V919" i="5" a="1"/>
  <c r="V919" i="5"/>
  <c r="V920" i="5" a="1"/>
  <c r="V920" i="5" s="1"/>
  <c r="V921" i="5" a="1"/>
  <c r="V921" i="5" s="1"/>
  <c r="V922" i="5" a="1"/>
  <c r="V922" i="5" s="1"/>
  <c r="V923" i="5" a="1"/>
  <c r="V923" i="5"/>
  <c r="V924" i="5" a="1"/>
  <c r="V924" i="5" s="1"/>
  <c r="V925" i="5" a="1"/>
  <c r="V925" i="5"/>
  <c r="V926" i="5" a="1"/>
  <c r="V926" i="5" s="1"/>
  <c r="V927" i="5" a="1"/>
  <c r="V927" i="5"/>
  <c r="V928" i="5" a="1"/>
  <c r="V928" i="5" s="1"/>
  <c r="V929" i="5" a="1"/>
  <c r="V929" i="5" s="1"/>
  <c r="V930" i="5" a="1"/>
  <c r="V930" i="5" s="1"/>
  <c r="V931" i="5" a="1"/>
  <c r="V931" i="5"/>
  <c r="V932" i="5" a="1"/>
  <c r="V932" i="5" s="1"/>
  <c r="V933" i="5" a="1"/>
  <c r="V933" i="5"/>
  <c r="V934" i="5" a="1"/>
  <c r="V934" i="5" s="1"/>
  <c r="V935" i="5" a="1"/>
  <c r="V935" i="5"/>
  <c r="V936" i="5" a="1"/>
  <c r="V936" i="5" s="1"/>
  <c r="V937" i="5" a="1"/>
  <c r="V937" i="5" s="1"/>
  <c r="V938" i="5" a="1"/>
  <c r="V938" i="5" s="1"/>
  <c r="V939" i="5" a="1"/>
  <c r="V939" i="5" s="1"/>
  <c r="V940" i="5" a="1"/>
  <c r="V940" i="5" s="1"/>
  <c r="V941" i="5" a="1"/>
  <c r="V941" i="5"/>
  <c r="V942" i="5" a="1"/>
  <c r="V942" i="5" s="1"/>
  <c r="V943" i="5" a="1"/>
  <c r="V943" i="5"/>
  <c r="V944" i="5" a="1"/>
  <c r="V944" i="5" s="1"/>
  <c r="V945" i="5" a="1"/>
  <c r="V945" i="5" s="1"/>
  <c r="V946" i="5" a="1"/>
  <c r="V946" i="5" s="1"/>
  <c r="V947" i="5" a="1"/>
  <c r="V947" i="5" s="1"/>
  <c r="V948" i="5" a="1"/>
  <c r="V948" i="5" s="1"/>
  <c r="V949" i="5" a="1"/>
  <c r="V949" i="5"/>
  <c r="V950" i="5" a="1"/>
  <c r="V950" i="5" s="1"/>
  <c r="V951" i="5" a="1"/>
  <c r="V951" i="5"/>
  <c r="V952" i="5" a="1"/>
  <c r="V952" i="5" s="1"/>
  <c r="V953" i="5" a="1"/>
  <c r="V953" i="5" s="1"/>
  <c r="V954" i="5" a="1"/>
  <c r="V954" i="5" s="1"/>
  <c r="V955" i="5" a="1"/>
  <c r="V955" i="5"/>
  <c r="V956" i="5" a="1"/>
  <c r="V956" i="5" s="1"/>
  <c r="V957" i="5" a="1"/>
  <c r="V957" i="5"/>
  <c r="V958" i="5" a="1"/>
  <c r="V958" i="5" s="1"/>
  <c r="V959" i="5" a="1"/>
  <c r="V959" i="5"/>
  <c r="V960" i="5" a="1"/>
  <c r="V960" i="5" s="1"/>
  <c r="V961" i="5" a="1"/>
  <c r="V961" i="5" s="1"/>
  <c r="V962" i="5" a="1"/>
  <c r="V962" i="5" s="1"/>
  <c r="V963" i="5" a="1"/>
  <c r="V963" i="5"/>
  <c r="V964" i="5" a="1"/>
  <c r="V964" i="5" s="1"/>
  <c r="V965" i="5" a="1"/>
  <c r="V965" i="5"/>
  <c r="V966" i="5" a="1"/>
  <c r="V966" i="5" s="1"/>
  <c r="V967" i="5" a="1"/>
  <c r="V967" i="5"/>
  <c r="V968" i="5" a="1"/>
  <c r="V968" i="5" s="1"/>
  <c r="V969" i="5" a="1"/>
  <c r="V969" i="5" s="1"/>
  <c r="V970" i="5" a="1"/>
  <c r="V970" i="5" s="1"/>
  <c r="V971" i="5" a="1"/>
  <c r="V971" i="5" s="1"/>
  <c r="V972" i="5" a="1"/>
  <c r="V972" i="5" s="1"/>
  <c r="V973" i="5" a="1"/>
  <c r="V973" i="5"/>
  <c r="V974" i="5" a="1"/>
  <c r="V974" i="5" s="1"/>
  <c r="V975" i="5" a="1"/>
  <c r="V975" i="5"/>
  <c r="V976" i="5" a="1"/>
  <c r="V976" i="5" s="1"/>
  <c r="V977" i="5" a="1"/>
  <c r="V977" i="5" s="1"/>
  <c r="V978" i="5" a="1"/>
  <c r="V978" i="5" s="1"/>
  <c r="V979" i="5" a="1"/>
  <c r="V979" i="5" s="1"/>
  <c r="V980" i="5" a="1"/>
  <c r="V980" i="5" s="1"/>
  <c r="V981" i="5" a="1"/>
  <c r="V981" i="5"/>
  <c r="V982" i="5" a="1"/>
  <c r="V982" i="5" s="1"/>
  <c r="V983" i="5" a="1"/>
  <c r="V983" i="5"/>
  <c r="V984" i="5" a="1"/>
  <c r="V984" i="5" s="1"/>
  <c r="V985" i="5" a="1"/>
  <c r="V985" i="5" s="1"/>
  <c r="V986" i="5" a="1"/>
  <c r="V986" i="5" s="1"/>
  <c r="V987" i="5" a="1"/>
  <c r="V987" i="5"/>
  <c r="V988" i="5" a="1"/>
  <c r="V988" i="5" s="1"/>
  <c r="V989" i="5" a="1"/>
  <c r="V989" i="5"/>
  <c r="V990" i="5" a="1"/>
  <c r="V990" i="5" s="1"/>
  <c r="V991" i="5" a="1"/>
  <c r="V991" i="5"/>
  <c r="V992" i="5" a="1"/>
  <c r="V992" i="5" s="1"/>
  <c r="V993" i="5" a="1"/>
  <c r="V993" i="5" s="1"/>
  <c r="V994" i="5" a="1"/>
  <c r="V994" i="5" s="1"/>
  <c r="V995" i="5" a="1"/>
  <c r="V995" i="5"/>
  <c r="V996" i="5" a="1"/>
  <c r="V996" i="5" s="1"/>
  <c r="V997" i="5" a="1"/>
  <c r="V997" i="5"/>
  <c r="V998" i="5" a="1"/>
  <c r="V998" i="5" s="1"/>
  <c r="V999" i="5" a="1"/>
  <c r="V999" i="5"/>
  <c r="V1000" i="5" a="1"/>
  <c r="V1000" i="5" s="1"/>
  <c r="V1001" i="5" a="1"/>
  <c r="V1001" i="5" s="1"/>
  <c r="V1002" i="5" a="1"/>
  <c r="V1002" i="5" s="1"/>
  <c r="V1003" i="5" a="1"/>
  <c r="V1003" i="5" s="1"/>
  <c r="V1004" i="5" a="1"/>
  <c r="V1004" i="5" s="1"/>
  <c r="V1005" i="5" a="1"/>
  <c r="V1005" i="5"/>
  <c r="V1006" i="5" a="1"/>
  <c r="V1006" i="5" s="1"/>
  <c r="V1007" i="5" a="1"/>
  <c r="V1007" i="5"/>
  <c r="V1008" i="5" a="1"/>
  <c r="V1008" i="5" s="1"/>
  <c r="V1009" i="5" a="1"/>
  <c r="V1009" i="5" s="1"/>
  <c r="V1010" i="5" a="1"/>
  <c r="V1010" i="5" s="1"/>
  <c r="V1011" i="5" a="1"/>
  <c r="V1011" i="5" s="1"/>
  <c r="V1012" i="5" a="1"/>
  <c r="V1012" i="5" s="1"/>
  <c r="V1013" i="5" a="1"/>
  <c r="V1013" i="5"/>
  <c r="V1014" i="5" a="1"/>
  <c r="V1014" i="5" s="1"/>
  <c r="V1015" i="5" a="1"/>
  <c r="V1015" i="5"/>
  <c r="V1016" i="5" a="1"/>
  <c r="V1016" i="5" s="1"/>
  <c r="V1017" i="5" a="1"/>
  <c r="V1017" i="5" s="1"/>
  <c r="V1018" i="5" a="1"/>
  <c r="V1018" i="5" s="1"/>
  <c r="V1019" i="5" a="1"/>
  <c r="V1019" i="5"/>
  <c r="V1020" i="5" a="1"/>
  <c r="V1020" i="5" s="1"/>
  <c r="V1021" i="5" a="1"/>
  <c r="V1021" i="5"/>
  <c r="V1022" i="5" a="1"/>
  <c r="V1022" i="5" s="1"/>
  <c r="V1023" i="5" a="1"/>
  <c r="V1023" i="5"/>
  <c r="V1024" i="5" a="1"/>
  <c r="V1024" i="5" s="1"/>
  <c r="V1025" i="5" a="1"/>
  <c r="V1025" i="5" s="1"/>
  <c r="V1026" i="5" a="1"/>
  <c r="V1026" i="5" s="1"/>
  <c r="V1027" i="5" a="1"/>
  <c r="V1027" i="5"/>
  <c r="V1028" i="5" a="1"/>
  <c r="V1028" i="5" s="1"/>
  <c r="V1029" i="5" a="1"/>
  <c r="V1029" i="5"/>
  <c r="V1030" i="5" a="1"/>
  <c r="V1030" i="5" s="1"/>
  <c r="V1031" i="5" a="1"/>
  <c r="V1031" i="5"/>
  <c r="V1032" i="5" a="1"/>
  <c r="V1032" i="5" s="1"/>
  <c r="V1033" i="5" a="1"/>
  <c r="V1033" i="5" s="1"/>
  <c r="V1034" i="5" a="1"/>
  <c r="V1034" i="5" s="1"/>
  <c r="V1035" i="5" a="1"/>
  <c r="V1035" i="5" s="1"/>
  <c r="V1036" i="5" a="1"/>
  <c r="V1036" i="5" s="1"/>
  <c r="V1037" i="5" a="1"/>
  <c r="V1037" i="5"/>
  <c r="V1038" i="5" a="1"/>
  <c r="V1038" i="5" s="1"/>
  <c r="V1039" i="5" a="1"/>
  <c r="V1039" i="5"/>
  <c r="V1040" i="5" a="1"/>
  <c r="V1040" i="5" s="1"/>
  <c r="V1041" i="5" a="1"/>
  <c r="V1041" i="5" s="1"/>
  <c r="V1042" i="5" a="1"/>
  <c r="V1042" i="5" s="1"/>
  <c r="V1043" i="5" a="1"/>
  <c r="V1043" i="5" s="1"/>
  <c r="V1044" i="5" a="1"/>
  <c r="V1044" i="5" s="1"/>
  <c r="V1045" i="5" a="1"/>
  <c r="V1045" i="5"/>
  <c r="V1046" i="5" a="1"/>
  <c r="V1046" i="5" s="1"/>
  <c r="V1047" i="5" a="1"/>
  <c r="V1047" i="5"/>
  <c r="V1048" i="5" a="1"/>
  <c r="V1048" i="5" s="1"/>
  <c r="V1049" i="5" a="1"/>
  <c r="V1049" i="5" s="1"/>
  <c r="V1050" i="5" a="1"/>
  <c r="V1050" i="5" s="1"/>
  <c r="V1051" i="5" a="1"/>
  <c r="V1051" i="5"/>
  <c r="V1052" i="5" a="1"/>
  <c r="V1052" i="5" s="1"/>
  <c r="V1053" i="5" a="1"/>
  <c r="V1053" i="5"/>
  <c r="V1054" i="5" a="1"/>
  <c r="V1054" i="5" s="1"/>
  <c r="V1055" i="5" a="1"/>
  <c r="V1055" i="5"/>
  <c r="V1056" i="5" a="1"/>
  <c r="V1056" i="5" s="1"/>
  <c r="V1057" i="5" a="1"/>
  <c r="V1057" i="5" s="1"/>
  <c r="V1058" i="5" a="1"/>
  <c r="V1058" i="5" s="1"/>
  <c r="V1059" i="5" a="1"/>
  <c r="V1059" i="5"/>
  <c r="V1060" i="5" a="1"/>
  <c r="V1060" i="5" s="1"/>
  <c r="V1061" i="5" a="1"/>
  <c r="V1061" i="5"/>
  <c r="V1062" i="5" a="1"/>
  <c r="V1062" i="5" s="1"/>
  <c r="V1063" i="5" a="1"/>
  <c r="V1063" i="5"/>
  <c r="V1064" i="5" a="1"/>
  <c r="V1064" i="5" s="1"/>
  <c r="V1065" i="5" a="1"/>
  <c r="V1065" i="5" s="1"/>
  <c r="V1066" i="5" a="1"/>
  <c r="V1066" i="5" s="1"/>
  <c r="V1067" i="5" a="1"/>
  <c r="V1067" i="5" s="1"/>
  <c r="V1068" i="5" a="1"/>
  <c r="V1068" i="5" s="1"/>
  <c r="V1069" i="5" a="1"/>
  <c r="V1069" i="5"/>
  <c r="V1070" i="5" a="1"/>
  <c r="V1070" i="5" s="1"/>
  <c r="V1071" i="5" a="1"/>
  <c r="V1071" i="5"/>
  <c r="V1072" i="5" a="1"/>
  <c r="V1072" i="5" s="1"/>
  <c r="V1073" i="5" a="1"/>
  <c r="V1073" i="5" s="1"/>
  <c r="V1074" i="5" a="1"/>
  <c r="V1074" i="5" s="1"/>
  <c r="V1075" i="5" a="1"/>
  <c r="V1075" i="5" s="1"/>
  <c r="V1076" i="5" a="1"/>
  <c r="V1076" i="5" s="1"/>
  <c r="V1077" i="5" a="1"/>
  <c r="V1077" i="5"/>
  <c r="V1078" i="5" a="1"/>
  <c r="V1078" i="5" s="1"/>
  <c r="V1079" i="5" a="1"/>
  <c r="V1079" i="5"/>
  <c r="V1080" i="5" a="1"/>
  <c r="V1080" i="5" s="1"/>
  <c r="V1081" i="5" a="1"/>
  <c r="V1081" i="5" s="1"/>
  <c r="V1082" i="5" a="1"/>
  <c r="V1082" i="5" s="1"/>
  <c r="V1083" i="5" a="1"/>
  <c r="V1083" i="5"/>
  <c r="V1084" i="5" a="1"/>
  <c r="V1084" i="5" s="1"/>
  <c r="V1085" i="5" a="1"/>
  <c r="V1085" i="5"/>
  <c r="V1086" i="5" a="1"/>
  <c r="V1086" i="5" s="1"/>
  <c r="V1087" i="5" a="1"/>
  <c r="V1087" i="5"/>
  <c r="V1088" i="5" a="1"/>
  <c r="V1088" i="5" s="1"/>
  <c r="V1089" i="5" a="1"/>
  <c r="V1089" i="5" s="1"/>
  <c r="V1090" i="5" a="1"/>
  <c r="V1090" i="5" s="1"/>
  <c r="V1091" i="5" a="1"/>
  <c r="V1091" i="5"/>
  <c r="V1092" i="5" a="1"/>
  <c r="V1092" i="5" s="1"/>
  <c r="V1093" i="5" a="1"/>
  <c r="V1093" i="5"/>
  <c r="V1094" i="5" a="1"/>
  <c r="V1094" i="5" s="1"/>
  <c r="V1095" i="5" a="1"/>
  <c r="V1095" i="5"/>
  <c r="V1096" i="5" a="1"/>
  <c r="V1096" i="5" s="1"/>
  <c r="V1097" i="5" a="1"/>
  <c r="V1097" i="5" s="1"/>
  <c r="V1098" i="5" a="1"/>
  <c r="V1098" i="5" s="1"/>
  <c r="V1099" i="5" a="1"/>
  <c r="V1099" i="5" s="1"/>
  <c r="V1100" i="5" a="1"/>
  <c r="V1100" i="5" s="1"/>
  <c r="V1101" i="5" a="1"/>
  <c r="V1101" i="5"/>
  <c r="V1102" i="5" a="1"/>
  <c r="V1102" i="5" s="1"/>
  <c r="V1103" i="5" a="1"/>
  <c r="V1103" i="5"/>
  <c r="V1104" i="5" a="1"/>
  <c r="V1104" i="5" s="1"/>
  <c r="V1105" i="5" a="1"/>
  <c r="V1105" i="5" s="1"/>
  <c r="V1106" i="5" a="1"/>
  <c r="V1106" i="5" s="1"/>
  <c r="V1107" i="5" a="1"/>
  <c r="V1107" i="5" s="1"/>
  <c r="V1108" i="5" a="1"/>
  <c r="V1108" i="5" s="1"/>
  <c r="V1109" i="5" a="1"/>
  <c r="V1109" i="5"/>
  <c r="V1110" i="5" a="1"/>
  <c r="V1110" i="5" s="1"/>
  <c r="V1111" i="5" a="1"/>
  <c r="V1111" i="5"/>
  <c r="V1112" i="5" a="1"/>
  <c r="V1112" i="5" s="1"/>
  <c r="V1113" i="5" a="1"/>
  <c r="V1113" i="5" s="1"/>
  <c r="V1114" i="5" a="1"/>
  <c r="V1114" i="5" s="1"/>
  <c r="V1115" i="5" a="1"/>
  <c r="V1115" i="5"/>
  <c r="V1116" i="5" a="1"/>
  <c r="V1116" i="5" s="1"/>
  <c r="V1117" i="5" a="1"/>
  <c r="V1117" i="5"/>
  <c r="V1118" i="5" a="1"/>
  <c r="V1118" i="5" s="1"/>
  <c r="V1119" i="5" a="1"/>
  <c r="V1119" i="5"/>
  <c r="V1120" i="5" a="1"/>
  <c r="V1120" i="5" s="1"/>
  <c r="V1121" i="5" a="1"/>
  <c r="V1121" i="5" s="1"/>
  <c r="V1122" i="5" a="1"/>
  <c r="V1122" i="5" s="1"/>
  <c r="V1123" i="5" a="1"/>
  <c r="V1123" i="5"/>
  <c r="V1124" i="5" a="1"/>
  <c r="V1124" i="5" s="1"/>
  <c r="V1125" i="5" a="1"/>
  <c r="V1125" i="5"/>
  <c r="V1126" i="5" a="1"/>
  <c r="V1126" i="5" s="1"/>
  <c r="V1127" i="5" a="1"/>
  <c r="V1127" i="5"/>
  <c r="V1128" i="5" a="1"/>
  <c r="V1128" i="5" s="1"/>
  <c r="V1129" i="5" a="1"/>
  <c r="V1129" i="5" s="1"/>
  <c r="V1130" i="5" a="1"/>
  <c r="V1130" i="5" s="1"/>
  <c r="V1131" i="5" a="1"/>
  <c r="V1131" i="5" s="1"/>
  <c r="V1132" i="5" a="1"/>
  <c r="V1132" i="5" s="1"/>
  <c r="V1133" i="5" a="1"/>
  <c r="V1133" i="5"/>
  <c r="V1134" i="5" a="1"/>
  <c r="V1134" i="5" s="1"/>
  <c r="V1135" i="5" a="1"/>
  <c r="V1135" i="5"/>
  <c r="V1136" i="5" a="1"/>
  <c r="V1136" i="5" s="1"/>
  <c r="V1137" i="5" a="1"/>
  <c r="V1137" i="5" s="1"/>
  <c r="V1138" i="5" a="1"/>
  <c r="V1138" i="5" s="1"/>
  <c r="V1139" i="5" a="1"/>
  <c r="V1139" i="5" s="1"/>
  <c r="V1140" i="5" a="1"/>
  <c r="V1140" i="5" s="1"/>
  <c r="V1141" i="5" a="1"/>
  <c r="V1141" i="5"/>
  <c r="V1142" i="5" a="1"/>
  <c r="V1142" i="5" s="1"/>
  <c r="V1143" i="5" a="1"/>
  <c r="V1143" i="5"/>
  <c r="V1144" i="5" a="1"/>
  <c r="V1144" i="5" s="1"/>
  <c r="V1145" i="5" a="1"/>
  <c r="V1145" i="5" s="1"/>
  <c r="V1146" i="5" a="1"/>
  <c r="V1146" i="5" s="1"/>
  <c r="V1147" i="5" a="1"/>
  <c r="V1147" i="5"/>
  <c r="V1148" i="5" a="1"/>
  <c r="V1148" i="5" s="1"/>
  <c r="V1149" i="5" a="1"/>
  <c r="V1149" i="5"/>
  <c r="V1150" i="5" a="1"/>
  <c r="V1150" i="5" s="1"/>
  <c r="V1151" i="5" a="1"/>
  <c r="V1151" i="5"/>
  <c r="V1152" i="5" a="1"/>
  <c r="V1152" i="5" s="1"/>
  <c r="V1153" i="5" a="1"/>
  <c r="V1153" i="5" s="1"/>
  <c r="V1154" i="5" a="1"/>
  <c r="V1154" i="5" s="1"/>
  <c r="V1155" i="5" a="1"/>
  <c r="V1155" i="5"/>
  <c r="V1156" i="5" a="1"/>
  <c r="V1156" i="5" s="1"/>
  <c r="V1157" i="5" a="1"/>
  <c r="V1157" i="5"/>
  <c r="V1158" i="5" a="1"/>
  <c r="V1158" i="5" s="1"/>
  <c r="V1159" i="5" a="1"/>
  <c r="V1159" i="5"/>
  <c r="V1160" i="5" a="1"/>
  <c r="V1160" i="5" s="1"/>
  <c r="V1161" i="5" a="1"/>
  <c r="V1161" i="5" s="1"/>
  <c r="V1162" i="5" a="1"/>
  <c r="V1162" i="5" s="1"/>
  <c r="V1163" i="5" a="1"/>
  <c r="V1163" i="5" s="1"/>
  <c r="V1164" i="5" a="1"/>
  <c r="V1164" i="5" s="1"/>
  <c r="V1165" i="5" a="1"/>
  <c r="V1165" i="5"/>
  <c r="V1166" i="5" a="1"/>
  <c r="V1166" i="5" s="1"/>
  <c r="V1167" i="5" a="1"/>
  <c r="V1167" i="5"/>
  <c r="V1168" i="5" a="1"/>
  <c r="V1168" i="5" s="1"/>
  <c r="V1169" i="5" a="1"/>
  <c r="V1169" i="5" s="1"/>
  <c r="V1170" i="5" a="1"/>
  <c r="V1170" i="5" s="1"/>
  <c r="V1171" i="5" a="1"/>
  <c r="V1171" i="5" s="1"/>
  <c r="V1172" i="5" a="1"/>
  <c r="V1172" i="5" s="1"/>
  <c r="V1173" i="5" a="1"/>
  <c r="V1173" i="5"/>
  <c r="V1174" i="5" a="1"/>
  <c r="V1174" i="5" s="1"/>
  <c r="V1175" i="5" a="1"/>
  <c r="V1175" i="5"/>
  <c r="V1176" i="5" a="1"/>
  <c r="V1176" i="5" s="1"/>
  <c r="V1177" i="5" a="1"/>
  <c r="V1177" i="5" s="1"/>
  <c r="V1178" i="5" a="1"/>
  <c r="V1178" i="5" s="1"/>
  <c r="V1179" i="5" a="1"/>
  <c r="V1179" i="5"/>
  <c r="V1180" i="5" a="1"/>
  <c r="V1180" i="5" s="1"/>
  <c r="V1181" i="5" a="1"/>
  <c r="V1181" i="5"/>
  <c r="V1182" i="5" a="1"/>
  <c r="V1182" i="5" s="1"/>
  <c r="V1183" i="5" a="1"/>
  <c r="V1183" i="5"/>
  <c r="V1184" i="5" a="1"/>
  <c r="V1184" i="5" s="1"/>
  <c r="V1185" i="5" a="1"/>
  <c r="V1185" i="5" s="1"/>
  <c r="V1186" i="5" a="1"/>
  <c r="V1186" i="5" s="1"/>
  <c r="V1187" i="5" a="1"/>
  <c r="V1187" i="5"/>
  <c r="V1188" i="5" a="1"/>
  <c r="V1188" i="5" s="1"/>
  <c r="V1189" i="5" a="1"/>
  <c r="V1189" i="5"/>
  <c r="V1190" i="5" a="1"/>
  <c r="V1190" i="5" s="1"/>
  <c r="V1191" i="5" a="1"/>
  <c r="V1191" i="5"/>
  <c r="V1192" i="5" a="1"/>
  <c r="V1192" i="5" s="1"/>
  <c r="V1193" i="5" a="1"/>
  <c r="V1193" i="5" s="1"/>
  <c r="V1194" i="5" a="1"/>
  <c r="V1194" i="5" s="1"/>
  <c r="V1195" i="5" a="1"/>
  <c r="V1195" i="5" s="1"/>
  <c r="V1196" i="5" a="1"/>
  <c r="V1196" i="5" s="1"/>
  <c r="V1197" i="5" a="1"/>
  <c r="V1197" i="5"/>
  <c r="V1198" i="5" a="1"/>
  <c r="V1198" i="5" s="1"/>
  <c r="V1199" i="5" a="1"/>
  <c r="V1199" i="5"/>
  <c r="V1200" i="5" a="1"/>
  <c r="V1200" i="5" s="1"/>
  <c r="V1201" i="5" a="1"/>
  <c r="V1201" i="5" s="1"/>
  <c r="V1202" i="5" a="1"/>
  <c r="V1202" i="5" s="1"/>
  <c r="V1203" i="5" a="1"/>
  <c r="V1203" i="5" s="1"/>
  <c r="V1204" i="5" a="1"/>
  <c r="V1204" i="5" s="1"/>
  <c r="V1205" i="5" a="1"/>
  <c r="V1205" i="5"/>
  <c r="V1206" i="5" a="1"/>
  <c r="V1206" i="5" s="1"/>
  <c r="V1207" i="5" a="1"/>
  <c r="V1207" i="5"/>
  <c r="V1208" i="5" a="1"/>
  <c r="V1208" i="5" s="1"/>
  <c r="V1209" i="5" a="1"/>
  <c r="V1209" i="5" s="1"/>
  <c r="V1210" i="5" a="1"/>
  <c r="V1210" i="5" s="1"/>
  <c r="V1211" i="5" a="1"/>
  <c r="V1211" i="5"/>
  <c r="V1212" i="5" a="1"/>
  <c r="V1212" i="5" s="1"/>
  <c r="V1213" i="5" a="1"/>
  <c r="V1213" i="5"/>
  <c r="V1214" i="5" a="1"/>
  <c r="V1214" i="5" s="1"/>
  <c r="V1215" i="5" a="1"/>
  <c r="V1215" i="5"/>
  <c r="V1216" i="5" a="1"/>
  <c r="V1216" i="5" s="1"/>
  <c r="V1217" i="5" a="1"/>
  <c r="V1217" i="5" s="1"/>
  <c r="V1218" i="5" a="1"/>
  <c r="V1218" i="5" s="1"/>
  <c r="V1219" i="5" a="1"/>
  <c r="V1219" i="5"/>
  <c r="V1220" i="5" a="1"/>
  <c r="V1220" i="5" s="1"/>
  <c r="V1221" i="5" a="1"/>
  <c r="V1221" i="5"/>
  <c r="V1222" i="5" a="1"/>
  <c r="V1222" i="5" s="1"/>
  <c r="V1223" i="5" a="1"/>
  <c r="V1223" i="5"/>
  <c r="V1224" i="5" a="1"/>
  <c r="V1224" i="5" s="1"/>
  <c r="V1225" i="5" a="1"/>
  <c r="V1225" i="5" s="1"/>
  <c r="V1226" i="5" a="1"/>
  <c r="V1226" i="5" s="1"/>
  <c r="V1227" i="5" a="1"/>
  <c r="V1227" i="5" s="1"/>
  <c r="V1228" i="5" a="1"/>
  <c r="V1228" i="5" s="1"/>
  <c r="V1229" i="5" a="1"/>
  <c r="V1229" i="5"/>
  <c r="V1230" i="5" a="1"/>
  <c r="V1230" i="5" s="1"/>
  <c r="V1231" i="5" a="1"/>
  <c r="V1231" i="5"/>
  <c r="V1232" i="5" a="1"/>
  <c r="V1232" i="5" s="1"/>
  <c r="V1233" i="5" a="1"/>
  <c r="V1233" i="5" s="1"/>
  <c r="V1234" i="5" a="1"/>
  <c r="V1234" i="5" s="1"/>
  <c r="V1235" i="5" a="1"/>
  <c r="V1235" i="5" s="1"/>
  <c r="V1236" i="5" a="1"/>
  <c r="V1236" i="5" s="1"/>
  <c r="V1237" i="5" a="1"/>
  <c r="V1237" i="5"/>
  <c r="V1238" i="5" a="1"/>
  <c r="V1238" i="5" s="1"/>
  <c r="V1239" i="5" a="1"/>
  <c r="V1239" i="5"/>
  <c r="V1240" i="5" a="1"/>
  <c r="V1240" i="5" s="1"/>
  <c r="V1241" i="5" a="1"/>
  <c r="V1241" i="5" s="1"/>
  <c r="V1242" i="5" a="1"/>
  <c r="V1242" i="5" s="1"/>
  <c r="V1243" i="5" a="1"/>
  <c r="V1243" i="5"/>
  <c r="V1244" i="5" a="1"/>
  <c r="V1244" i="5" s="1"/>
  <c r="V1245" i="5" a="1"/>
  <c r="V1245" i="5"/>
  <c r="V1246" i="5" a="1"/>
  <c r="V1246" i="5" s="1"/>
  <c r="V1247" i="5" a="1"/>
  <c r="V1247" i="5"/>
  <c r="V1248" i="5" a="1"/>
  <c r="V1248" i="5" s="1"/>
  <c r="V1249" i="5" a="1"/>
  <c r="V1249" i="5" s="1"/>
  <c r="V1250" i="5" a="1"/>
  <c r="V1250" i="5" s="1"/>
  <c r="V1251" i="5" a="1"/>
  <c r="V1251" i="5"/>
  <c r="V1252" i="5" a="1"/>
  <c r="V1252" i="5" s="1"/>
  <c r="V1253" i="5" a="1"/>
  <c r="V1253" i="5"/>
  <c r="V1254" i="5" a="1"/>
  <c r="V1254" i="5" s="1"/>
  <c r="V1255" i="5" a="1"/>
  <c r="V1255" i="5"/>
  <c r="V1256" i="5" a="1"/>
  <c r="V1256" i="5" s="1"/>
  <c r="V1257" i="5" a="1"/>
  <c r="V1257" i="5" s="1"/>
  <c r="V1258" i="5" a="1"/>
  <c r="V1258" i="5" s="1"/>
  <c r="V1259" i="5" a="1"/>
  <c r="V1259" i="5" s="1"/>
  <c r="V1260" i="5" a="1"/>
  <c r="V1260" i="5" s="1"/>
  <c r="V1261" i="5" a="1"/>
  <c r="V1261" i="5"/>
  <c r="V1262" i="5" a="1"/>
  <c r="V1262" i="5" s="1"/>
  <c r="V1263" i="5" a="1"/>
  <c r="V1263" i="5"/>
  <c r="V1264" i="5" a="1"/>
  <c r="V1264" i="5" s="1"/>
  <c r="V1265" i="5" a="1"/>
  <c r="V1265" i="5" s="1"/>
  <c r="V1266" i="5" a="1"/>
  <c r="V1266" i="5" s="1"/>
  <c r="V1267" i="5" a="1"/>
  <c r="V1267" i="5" s="1"/>
  <c r="V1268" i="5" a="1"/>
  <c r="V1268" i="5" s="1"/>
  <c r="V1269" i="5" a="1"/>
  <c r="V1269" i="5"/>
  <c r="V1270" i="5" a="1"/>
  <c r="V1270" i="5" s="1"/>
  <c r="V1271" i="5" a="1"/>
  <c r="V1271" i="5"/>
  <c r="V1272" i="5" a="1"/>
  <c r="V1272" i="5" s="1"/>
  <c r="V1273" i="5" a="1"/>
  <c r="V1273" i="5" s="1"/>
  <c r="V1274" i="5" a="1"/>
  <c r="V1274" i="5" s="1"/>
  <c r="V1275" i="5" a="1"/>
  <c r="V1275" i="5"/>
  <c r="V1276" i="5" a="1"/>
  <c r="V1276" i="5" s="1"/>
  <c r="V1277" i="5" a="1"/>
  <c r="V1277" i="5"/>
  <c r="V1278" i="5" a="1"/>
  <c r="V1278" i="5" s="1"/>
  <c r="V1279" i="5" a="1"/>
  <c r="V1279" i="5"/>
  <c r="V1280" i="5" a="1"/>
  <c r="V1280" i="5" s="1"/>
  <c r="V1281" i="5" a="1"/>
  <c r="V1281" i="5" s="1"/>
  <c r="V1282" i="5" a="1"/>
  <c r="V1282" i="5" s="1"/>
  <c r="V1283" i="5" a="1"/>
  <c r="V1283" i="5"/>
  <c r="V1284" i="5" a="1"/>
  <c r="V1284" i="5" s="1"/>
  <c r="V1285" i="5" a="1"/>
  <c r="V1285" i="5"/>
  <c r="V1286" i="5" a="1"/>
  <c r="V1286" i="5" s="1"/>
  <c r="V1287" i="5" a="1"/>
  <c r="V1287" i="5"/>
  <c r="V1288" i="5" a="1"/>
  <c r="V1288" i="5" s="1"/>
  <c r="V1289" i="5" a="1"/>
  <c r="V1289" i="5" s="1"/>
  <c r="V1290" i="5" a="1"/>
  <c r="V1290" i="5" s="1"/>
  <c r="V1291" i="5" a="1"/>
  <c r="V1291" i="5" s="1"/>
  <c r="V1292" i="5" a="1"/>
  <c r="V1292" i="5" s="1"/>
  <c r="V1293" i="5" a="1"/>
  <c r="V1293" i="5"/>
  <c r="V1294" i="5" a="1"/>
  <c r="V1294" i="5" s="1"/>
  <c r="V1295" i="5" a="1"/>
  <c r="V1295" i="5"/>
  <c r="V1296" i="5" a="1"/>
  <c r="V1296" i="5" s="1"/>
  <c r="V1297" i="5" a="1"/>
  <c r="V1297" i="5" s="1"/>
  <c r="V1298" i="5" a="1"/>
  <c r="V1298" i="5" s="1"/>
  <c r="V1299" i="5" a="1"/>
  <c r="V1299" i="5" s="1"/>
  <c r="V1300" i="5" a="1"/>
  <c r="V1300" i="5" s="1"/>
  <c r="V1301" i="5" a="1"/>
  <c r="V1301" i="5"/>
  <c r="V1302" i="5" a="1"/>
  <c r="V1302" i="5" s="1"/>
  <c r="V1303" i="5" a="1"/>
  <c r="V1303" i="5"/>
  <c r="V1304" i="5" a="1"/>
  <c r="V1304" i="5" s="1"/>
  <c r="V1305" i="5" a="1"/>
  <c r="V1305" i="5"/>
  <c r="V1306" i="5" a="1"/>
  <c r="V1306" i="5" s="1"/>
  <c r="V1307" i="5" a="1"/>
  <c r="V1307" i="5"/>
  <c r="V1308" i="5" a="1"/>
  <c r="V1308" i="5" s="1"/>
  <c r="V1309" i="5" a="1"/>
  <c r="V1309" i="5"/>
  <c r="V1310" i="5" a="1"/>
  <c r="V1310" i="5" s="1"/>
  <c r="V1311" i="5" a="1"/>
  <c r="V1311" i="5"/>
  <c r="V1312" i="5" a="1"/>
  <c r="V1312" i="5" s="1"/>
  <c r="V1313" i="5" a="1"/>
  <c r="V1313" i="5"/>
  <c r="V1314" i="5" a="1"/>
  <c r="V1314" i="5" s="1"/>
  <c r="V1315" i="5" a="1"/>
  <c r="V1315" i="5"/>
  <c r="V1316" i="5" a="1"/>
  <c r="V1316" i="5" s="1"/>
  <c r="V1317" i="5" a="1"/>
  <c r="V1317" i="5"/>
  <c r="V1318" i="5" a="1"/>
  <c r="V1318" i="5" s="1"/>
  <c r="V1319" i="5" a="1"/>
  <c r="V1319" i="5"/>
  <c r="V1320" i="5" a="1"/>
  <c r="V1320" i="5" s="1"/>
  <c r="V1321" i="5" a="1"/>
  <c r="V1321" i="5"/>
  <c r="V1322" i="5" a="1"/>
  <c r="V1322" i="5" s="1"/>
  <c r="V1323" i="5" a="1"/>
  <c r="V1323" i="5"/>
  <c r="V1324" i="5" a="1"/>
  <c r="V1324" i="5" s="1"/>
  <c r="V1325" i="5" a="1"/>
  <c r="V1325" i="5"/>
  <c r="V1326" i="5" a="1"/>
  <c r="V1326" i="5" s="1"/>
  <c r="V1327" i="5" a="1"/>
  <c r="V1327" i="5"/>
  <c r="V1328" i="5" a="1"/>
  <c r="V1328" i="5" s="1"/>
  <c r="V1329" i="5" a="1"/>
  <c r="V1329" i="5"/>
  <c r="V1330" i="5" a="1"/>
  <c r="V1330" i="5" s="1"/>
  <c r="V1331" i="5" a="1"/>
  <c r="V1331" i="5"/>
  <c r="V1332" i="5" a="1"/>
  <c r="V1332" i="5" s="1"/>
  <c r="V1333" i="5" a="1"/>
  <c r="V1333" i="5"/>
  <c r="V1334" i="5" a="1"/>
  <c r="V1334" i="5" s="1"/>
  <c r="V1335" i="5" a="1"/>
  <c r="V1335" i="5"/>
  <c r="V1336" i="5" a="1"/>
  <c r="V1336" i="5" s="1"/>
  <c r="V1337" i="5" a="1"/>
  <c r="V1337" i="5"/>
  <c r="V1338" i="5" a="1"/>
  <c r="V1338" i="5" s="1"/>
  <c r="V1339" i="5" a="1"/>
  <c r="V1339" i="5"/>
  <c r="V1340" i="5" a="1"/>
  <c r="V1340" i="5" s="1"/>
  <c r="V1341" i="5" a="1"/>
  <c r="V1341" i="5"/>
  <c r="V1342" i="5" a="1"/>
  <c r="V1342" i="5" s="1"/>
  <c r="V1343" i="5" a="1"/>
  <c r="V1343" i="5"/>
  <c r="V1344" i="5" a="1"/>
  <c r="V1344" i="5" s="1"/>
  <c r="V1345" i="5" a="1"/>
  <c r="V1345" i="5"/>
  <c r="V1346" i="5" a="1"/>
  <c r="V1346" i="5" s="1"/>
  <c r="V1347" i="5" a="1"/>
  <c r="V1347" i="5"/>
  <c r="V1348" i="5" a="1"/>
  <c r="V1348" i="5" s="1"/>
  <c r="V1349" i="5" a="1"/>
  <c r="V1349" i="5"/>
  <c r="V1350" i="5" a="1"/>
  <c r="V1350" i="5" s="1"/>
  <c r="V1351" i="5" a="1"/>
  <c r="V1351" i="5"/>
  <c r="V1352" i="5" a="1"/>
  <c r="V1352" i="5" s="1"/>
  <c r="V1353" i="5" a="1"/>
  <c r="V1353" i="5"/>
  <c r="V1354" i="5" a="1"/>
  <c r="V1354" i="5" s="1"/>
  <c r="V1355" i="5" a="1"/>
  <c r="V1355" i="5"/>
  <c r="V1356" i="5" a="1"/>
  <c r="V1356" i="5" s="1"/>
  <c r="V1357" i="5" a="1"/>
  <c r="V1357" i="5"/>
  <c r="V1358" i="5" a="1"/>
  <c r="V1358" i="5" s="1"/>
  <c r="V1359" i="5" a="1"/>
  <c r="V1359" i="5"/>
  <c r="V1360" i="5" a="1"/>
  <c r="V1360" i="5" s="1"/>
  <c r="V1361" i="5" a="1"/>
  <c r="V1361" i="5"/>
  <c r="V1362" i="5" a="1"/>
  <c r="V1362" i="5" s="1"/>
  <c r="V1363" i="5" a="1"/>
  <c r="V1363" i="5"/>
  <c r="V1364" i="5" a="1"/>
  <c r="V1364" i="5" s="1"/>
  <c r="V1365" i="5" a="1"/>
  <c r="V1365" i="5"/>
  <c r="V1366" i="5" a="1"/>
  <c r="V1366" i="5" s="1"/>
  <c r="V1367" i="5" a="1"/>
  <c r="V1367" i="5"/>
  <c r="V1368" i="5" a="1"/>
  <c r="V1368" i="5" s="1"/>
  <c r="V1369" i="5" a="1"/>
  <c r="V1369" i="5"/>
  <c r="V1370" i="5" a="1"/>
  <c r="V1370" i="5" s="1"/>
  <c r="V1371" i="5" a="1"/>
  <c r="V1371" i="5"/>
  <c r="V1372" i="5" a="1"/>
  <c r="V1372" i="5" s="1"/>
  <c r="V1373" i="5" a="1"/>
  <c r="V1373" i="5"/>
  <c r="V1374" i="5" a="1"/>
  <c r="V1374" i="5" s="1"/>
  <c r="V1375" i="5" a="1"/>
  <c r="V1375" i="5"/>
  <c r="V1376" i="5" a="1"/>
  <c r="V1376" i="5" s="1"/>
  <c r="V1377" i="5" a="1"/>
  <c r="V1377" i="5"/>
  <c r="V1378" i="5" a="1"/>
  <c r="V1378" i="5" s="1"/>
  <c r="V1379" i="5" a="1"/>
  <c r="V1379" i="5"/>
  <c r="V1380" i="5" a="1"/>
  <c r="V1380" i="5" s="1"/>
  <c r="V1381" i="5" a="1"/>
  <c r="V1381" i="5"/>
  <c r="V1382" i="5" a="1"/>
  <c r="V1382" i="5" s="1"/>
  <c r="V1383" i="5" a="1"/>
  <c r="V1383" i="5"/>
  <c r="V1384" i="5" a="1"/>
  <c r="V1384" i="5" s="1"/>
  <c r="V1385" i="5" a="1"/>
  <c r="V1385" i="5"/>
  <c r="V1386" i="5" a="1"/>
  <c r="V1386" i="5" s="1"/>
  <c r="V1387" i="5" a="1"/>
  <c r="V1387" i="5"/>
  <c r="V1388" i="5" a="1"/>
  <c r="V1388" i="5" s="1"/>
  <c r="V1389" i="5" a="1"/>
  <c r="V1389" i="5"/>
  <c r="V1390" i="5" a="1"/>
  <c r="V1390" i="5" s="1"/>
  <c r="V1391" i="5" a="1"/>
  <c r="V1391" i="5"/>
  <c r="V1392" i="5" a="1"/>
  <c r="V1392" i="5" s="1"/>
  <c r="V1393" i="5" a="1"/>
  <c r="V1393" i="5"/>
  <c r="V1394" i="5" a="1"/>
  <c r="V1394" i="5" s="1"/>
  <c r="V1395" i="5" a="1"/>
  <c r="V1395" i="5"/>
  <c r="V1396" i="5" a="1"/>
  <c r="V1396" i="5" s="1"/>
  <c r="V1397" i="5" a="1"/>
  <c r="V1397" i="5"/>
  <c r="V1398" i="5" a="1"/>
  <c r="V1398" i="5" s="1"/>
  <c r="V1399" i="5" a="1"/>
  <c r="V1399" i="5"/>
  <c r="V1400" i="5" a="1"/>
  <c r="V1400" i="5" s="1"/>
  <c r="V1401" i="5" a="1"/>
  <c r="V1401" i="5"/>
  <c r="V1402" i="5" a="1"/>
  <c r="V1402" i="5" s="1"/>
  <c r="V1403" i="5" a="1"/>
  <c r="V1403" i="5"/>
  <c r="V1404" i="5" a="1"/>
  <c r="V1404" i="5" s="1"/>
  <c r="V1405" i="5" a="1"/>
  <c r="V1405" i="5"/>
  <c r="V1406" i="5" a="1"/>
  <c r="V1406" i="5" s="1"/>
  <c r="V1407" i="5" a="1"/>
  <c r="V1407" i="5"/>
  <c r="V1408" i="5" a="1"/>
  <c r="V1408" i="5" s="1"/>
  <c r="V1409" i="5" a="1"/>
  <c r="V1409" i="5"/>
  <c r="V1410" i="5" a="1"/>
  <c r="V1410" i="5" s="1"/>
  <c r="V1411" i="5" a="1"/>
  <c r="V1411" i="5"/>
  <c r="V1412" i="5" a="1"/>
  <c r="V1412" i="5" s="1"/>
  <c r="V1413" i="5" a="1"/>
  <c r="V1413" i="5"/>
  <c r="V1414" i="5" a="1"/>
  <c r="V1414" i="5" s="1"/>
  <c r="V1415" i="5" a="1"/>
  <c r="V1415" i="5"/>
  <c r="V1416" i="5" a="1"/>
  <c r="V1416" i="5" s="1"/>
  <c r="V1417" i="5" a="1"/>
  <c r="V1417" i="5"/>
  <c r="V1418" i="5" a="1"/>
  <c r="V1418" i="5" s="1"/>
  <c r="V1419" i="5" a="1"/>
  <c r="V1419" i="5"/>
  <c r="V1420" i="5" a="1"/>
  <c r="V1420" i="5" s="1"/>
  <c r="V1421" i="5" a="1"/>
  <c r="V1421" i="5"/>
  <c r="V1422" i="5" a="1"/>
  <c r="V1422" i="5" s="1"/>
  <c r="V1423" i="5" a="1"/>
  <c r="V1423" i="5"/>
  <c r="V1424" i="5" a="1"/>
  <c r="V1424" i="5" s="1"/>
  <c r="V1425" i="5" a="1"/>
  <c r="V1425" i="5"/>
  <c r="V1426" i="5" a="1"/>
  <c r="V1426" i="5" s="1"/>
  <c r="V1427" i="5" a="1"/>
  <c r="V1427" i="5"/>
  <c r="V1428" i="5" a="1"/>
  <c r="V1428" i="5" s="1"/>
  <c r="V1429" i="5" a="1"/>
  <c r="V1429" i="5"/>
  <c r="V1430" i="5" a="1"/>
  <c r="V1430" i="5" s="1"/>
  <c r="V1431" i="5" a="1"/>
  <c r="V1431" i="5"/>
  <c r="V1432" i="5" a="1"/>
  <c r="V1432" i="5" s="1"/>
  <c r="V1433" i="5" a="1"/>
  <c r="V1433" i="5"/>
  <c r="V1434" i="5" a="1"/>
  <c r="V1434" i="5" s="1"/>
  <c r="V1435" i="5" a="1"/>
  <c r="V1435" i="5"/>
  <c r="V1436" i="5" a="1"/>
  <c r="V1436" i="5" s="1"/>
  <c r="V1437" i="5" a="1"/>
  <c r="V1437" i="5"/>
  <c r="V1438" i="5" a="1"/>
  <c r="V1438" i="5" s="1"/>
  <c r="V1439" i="5" a="1"/>
  <c r="V1439" i="5"/>
  <c r="V1440" i="5" a="1"/>
  <c r="V1440" i="5" s="1"/>
  <c r="V1441" i="5" a="1"/>
  <c r="V1441" i="5"/>
  <c r="V1442" i="5" a="1"/>
  <c r="V1442" i="5" s="1"/>
  <c r="V1443" i="5" a="1"/>
  <c r="V1443" i="5"/>
  <c r="V1444" i="5" a="1"/>
  <c r="V1444" i="5" s="1"/>
  <c r="V1445" i="5" a="1"/>
  <c r="V1445" i="5"/>
  <c r="V1446" i="5" a="1"/>
  <c r="V1446" i="5" s="1"/>
  <c r="V1447" i="5" a="1"/>
  <c r="V1447" i="5"/>
  <c r="V1448" i="5" a="1"/>
  <c r="V1448" i="5" s="1"/>
  <c r="V1449" i="5" a="1"/>
  <c r="V1449" i="5"/>
  <c r="V1450" i="5" a="1"/>
  <c r="V1450" i="5" s="1"/>
  <c r="V1451" i="5" a="1"/>
  <c r="V1451" i="5"/>
  <c r="V1452" i="5" a="1"/>
  <c r="V1452" i="5" s="1"/>
  <c r="V1453" i="5" a="1"/>
  <c r="V1453" i="5"/>
  <c r="V1454" i="5" a="1"/>
  <c r="V1454" i="5" s="1"/>
  <c r="V1455" i="5" a="1"/>
  <c r="V1455" i="5"/>
  <c r="V1456" i="5" a="1"/>
  <c r="V1456" i="5" s="1"/>
  <c r="V1457" i="5" a="1"/>
  <c r="V1457" i="5"/>
  <c r="V1458" i="5" a="1"/>
  <c r="V1458" i="5" s="1"/>
  <c r="V1459" i="5" a="1"/>
  <c r="V1459" i="5"/>
  <c r="V1460" i="5" a="1"/>
  <c r="V1460" i="5" s="1"/>
  <c r="V1461" i="5" a="1"/>
  <c r="V1461" i="5"/>
  <c r="V1462" i="5" a="1"/>
  <c r="V1462" i="5" s="1"/>
  <c r="V1463" i="5" a="1"/>
  <c r="V1463" i="5"/>
  <c r="V1464" i="5" a="1"/>
  <c r="V1464" i="5" s="1"/>
  <c r="V1465" i="5" a="1"/>
  <c r="V1465" i="5"/>
  <c r="V1466" i="5" a="1"/>
  <c r="V1466" i="5" s="1"/>
  <c r="V1467" i="5" a="1"/>
  <c r="V1467" i="5"/>
  <c r="V1468" i="5" a="1"/>
  <c r="V1468" i="5" s="1"/>
  <c r="V1469" i="5" a="1"/>
  <c r="V1469" i="5"/>
  <c r="V1470" i="5" a="1"/>
  <c r="V1470" i="5" s="1"/>
  <c r="V1471" i="5" a="1"/>
  <c r="V1471" i="5"/>
  <c r="V1472" i="5" a="1"/>
  <c r="V1472" i="5" s="1"/>
  <c r="V1473" i="5" a="1"/>
  <c r="V1473" i="5"/>
  <c r="V1474" i="5" a="1"/>
  <c r="V1474" i="5" s="1"/>
  <c r="V1475" i="5" a="1"/>
  <c r="V1475" i="5"/>
  <c r="V1476" i="5" a="1"/>
  <c r="V1476" i="5" s="1"/>
  <c r="V1477" i="5" a="1"/>
  <c r="V1477" i="5"/>
  <c r="V1478" i="5" a="1"/>
  <c r="V1478" i="5" s="1"/>
  <c r="V1479" i="5" a="1"/>
  <c r="V1479" i="5"/>
  <c r="V1480" i="5" a="1"/>
  <c r="V1480" i="5" s="1"/>
  <c r="V1481" i="5" a="1"/>
  <c r="V1481" i="5"/>
  <c r="V1482" i="5" a="1"/>
  <c r="V1482" i="5" s="1"/>
  <c r="V1483" i="5" a="1"/>
  <c r="V1483" i="5"/>
  <c r="V1484" i="5" a="1"/>
  <c r="V1484" i="5" s="1"/>
  <c r="V1485" i="5" a="1"/>
  <c r="V1485" i="5"/>
  <c r="V1486" i="5" a="1"/>
  <c r="V1486" i="5" s="1"/>
  <c r="V1487" i="5" a="1"/>
  <c r="V1487" i="5"/>
  <c r="V1488" i="5" a="1"/>
  <c r="V1488" i="5" s="1"/>
  <c r="V1489" i="5" a="1"/>
  <c r="V1489" i="5"/>
  <c r="V1490" i="5" a="1"/>
  <c r="V1490" i="5" s="1"/>
  <c r="V1491" i="5" a="1"/>
  <c r="V1491" i="5"/>
  <c r="V1492" i="5" a="1"/>
  <c r="V1492" i="5" s="1"/>
  <c r="V1493" i="5" a="1"/>
  <c r="V1493" i="5"/>
  <c r="V1494" i="5" a="1"/>
  <c r="V1494" i="5" s="1"/>
  <c r="V1495" i="5" a="1"/>
  <c r="V1495" i="5"/>
  <c r="V1496" i="5" a="1"/>
  <c r="V1496" i="5" s="1"/>
  <c r="V1497" i="5" a="1"/>
  <c r="V1497" i="5"/>
  <c r="V1498" i="5" a="1"/>
  <c r="V1498" i="5" s="1"/>
  <c r="V1499" i="5" a="1"/>
  <c r="V1499" i="5" s="1"/>
  <c r="V1500" i="5" a="1"/>
  <c r="V1500" i="5"/>
  <c r="V1501" i="5" a="1"/>
  <c r="V1501" i="5" s="1"/>
  <c r="V1502" i="5" a="1"/>
  <c r="V1502" i="5"/>
  <c r="V1503" i="5" a="1"/>
  <c r="V1503" i="5" s="1"/>
  <c r="V1504" i="5" a="1"/>
  <c r="V1504" i="5" s="1"/>
  <c r="V1505" i="5" a="1"/>
  <c r="V1505" i="5" s="1"/>
  <c r="V1506" i="5" a="1"/>
  <c r="V1506" i="5" s="1"/>
  <c r="V1507" i="5" a="1"/>
  <c r="V1507" i="5" s="1"/>
  <c r="V1508" i="5" a="1"/>
  <c r="V1508" i="5"/>
  <c r="V1509" i="5" a="1"/>
  <c r="V1509" i="5" s="1"/>
  <c r="V1510" i="5" a="1"/>
  <c r="V1510" i="5"/>
  <c r="V1511" i="5" a="1"/>
  <c r="V1511" i="5" s="1"/>
  <c r="V1512" i="5" a="1"/>
  <c r="V1512" i="5" s="1"/>
  <c r="V1513" i="5" a="1"/>
  <c r="V1513" i="5" s="1"/>
  <c r="V1514" i="5" a="1"/>
  <c r="V1514" i="5" s="1"/>
  <c r="V1515" i="5" a="1"/>
  <c r="V1515" i="5" s="1"/>
  <c r="V1516" i="5" a="1"/>
  <c r="V1516" i="5"/>
  <c r="V1517" i="5" a="1"/>
  <c r="V1517" i="5" s="1"/>
  <c r="V1518" i="5" a="1"/>
  <c r="V1518" i="5"/>
  <c r="V1519" i="5" a="1"/>
  <c r="V1519" i="5" s="1"/>
  <c r="V1520" i="5" a="1"/>
  <c r="V1520" i="5" s="1"/>
  <c r="V1521" i="5" a="1"/>
  <c r="V1521" i="5" s="1"/>
  <c r="V1522" i="5" a="1"/>
  <c r="V1522" i="5" s="1"/>
  <c r="V1523" i="5" a="1"/>
  <c r="V1523" i="5" s="1"/>
  <c r="V1524" i="5" a="1"/>
  <c r="V1524" i="5"/>
  <c r="V1525" i="5" a="1"/>
  <c r="V1525" i="5" s="1"/>
  <c r="V1526" i="5" a="1"/>
  <c r="V1526" i="5"/>
  <c r="V1527" i="5" a="1"/>
  <c r="V1527" i="5" s="1"/>
  <c r="V1528" i="5" a="1"/>
  <c r="V1528" i="5" s="1"/>
  <c r="V1529" i="5" a="1"/>
  <c r="V1529" i="5" s="1"/>
  <c r="V1530" i="5" a="1"/>
  <c r="V1530" i="5" s="1"/>
  <c r="V1531" i="5" a="1"/>
  <c r="V1531" i="5" s="1"/>
  <c r="V1532" i="5" a="1"/>
  <c r="V1532" i="5"/>
  <c r="V1533" i="5" a="1"/>
  <c r="V1533" i="5" s="1"/>
  <c r="V1534" i="5" a="1"/>
  <c r="V1534" i="5"/>
  <c r="V1535" i="5" a="1"/>
  <c r="V1535" i="5" s="1"/>
  <c r="V1536" i="5" a="1"/>
  <c r="V1536" i="5" s="1"/>
  <c r="V1537" i="5" a="1"/>
  <c r="V1537" i="5" s="1"/>
  <c r="V1538" i="5" a="1"/>
  <c r="V1538" i="5" s="1"/>
  <c r="V1539" i="5" a="1"/>
  <c r="V1539" i="5" s="1"/>
  <c r="V1540" i="5" a="1"/>
  <c r="V1540" i="5"/>
  <c r="V1541" i="5" a="1"/>
  <c r="V1541" i="5" s="1"/>
  <c r="V1542" i="5" a="1"/>
  <c r="V1542" i="5"/>
  <c r="V1543" i="5" a="1"/>
  <c r="V1543" i="5" s="1"/>
  <c r="V1544" i="5" a="1"/>
  <c r="V1544" i="5" s="1"/>
  <c r="V1545" i="5" a="1"/>
  <c r="V1545" i="5" s="1"/>
  <c r="V1546" i="5" a="1"/>
  <c r="V1546" i="5" s="1"/>
  <c r="V1547" i="5" a="1"/>
  <c r="V1547" i="5" s="1"/>
  <c r="V1548" i="5" a="1"/>
  <c r="V1548" i="5"/>
  <c r="V1549" i="5" a="1"/>
  <c r="V1549" i="5" s="1"/>
  <c r="V1550" i="5" a="1"/>
  <c r="V1550" i="5"/>
  <c r="V1551" i="5" a="1"/>
  <c r="V1551" i="5" s="1"/>
  <c r="V1552" i="5" a="1"/>
  <c r="V1552" i="5" s="1"/>
  <c r="V1553" i="5" a="1"/>
  <c r="V1553" i="5" s="1"/>
  <c r="V1554" i="5" a="1"/>
  <c r="V1554" i="5" s="1"/>
  <c r="V1555" i="5" a="1"/>
  <c r="V1555" i="5" s="1"/>
  <c r="V1556" i="5" a="1"/>
  <c r="V1556" i="5"/>
  <c r="V1557" i="5" a="1"/>
  <c r="V1557" i="5" s="1"/>
  <c r="V1558" i="5" a="1"/>
  <c r="V1558" i="5"/>
  <c r="V1559" i="5" a="1"/>
  <c r="V1559" i="5" s="1"/>
  <c r="V1560" i="5" a="1"/>
  <c r="V1560" i="5" s="1"/>
  <c r="V1561" i="5" a="1"/>
  <c r="V1561" i="5" s="1"/>
  <c r="V1562" i="5" a="1"/>
  <c r="V1562" i="5" s="1"/>
  <c r="V1563" i="5" a="1"/>
  <c r="V1563" i="5" s="1"/>
  <c r="V1564" i="5" a="1"/>
  <c r="V1564" i="5"/>
  <c r="V1565" i="5" a="1"/>
  <c r="V1565" i="5" s="1"/>
  <c r="V1566" i="5" a="1"/>
  <c r="V1566" i="5"/>
  <c r="V1567" i="5" a="1"/>
  <c r="V1567" i="5" s="1"/>
  <c r="V1568" i="5" a="1"/>
  <c r="V1568" i="5" s="1"/>
  <c r="V1569" i="5" a="1"/>
  <c r="V1569" i="5" s="1"/>
  <c r="V1570" i="5" a="1"/>
  <c r="V1570" i="5" s="1"/>
  <c r="V1571" i="5" a="1"/>
  <c r="V1571" i="5" s="1"/>
  <c r="V1572" i="5" a="1"/>
  <c r="V1572" i="5"/>
  <c r="V1573" i="5" a="1"/>
  <c r="V1573" i="5" s="1"/>
  <c r="V1574" i="5" a="1"/>
  <c r="V1574" i="5"/>
  <c r="V1575" i="5" a="1"/>
  <c r="V1575" i="5" s="1"/>
  <c r="V1576" i="5" a="1"/>
  <c r="V1576" i="5" s="1"/>
  <c r="V1577" i="5" a="1"/>
  <c r="V1577" i="5" s="1"/>
  <c r="V1578" i="5" a="1"/>
  <c r="V1578" i="5" s="1"/>
  <c r="V1579" i="5" a="1"/>
  <c r="V1579" i="5" s="1"/>
  <c r="V1580" i="5" a="1"/>
  <c r="V1580" i="5"/>
  <c r="V1581" i="5" a="1"/>
  <c r="V1581" i="5" s="1"/>
  <c r="V1582" i="5" a="1"/>
  <c r="V1582" i="5"/>
  <c r="V1583" i="5" a="1"/>
  <c r="V1583" i="5" s="1"/>
  <c r="V1584" i="5" a="1"/>
  <c r="V1584" i="5" s="1"/>
  <c r="V1585" i="5" a="1"/>
  <c r="V1585" i="5" s="1"/>
  <c r="V1586" i="5" a="1"/>
  <c r="V1586" i="5" s="1"/>
  <c r="V1587" i="5" a="1"/>
  <c r="V1587" i="5" s="1"/>
  <c r="V1588" i="5" a="1"/>
  <c r="V1588" i="5"/>
  <c r="V1589" i="5" a="1"/>
  <c r="V1589" i="5" s="1"/>
  <c r="V1590" i="5" a="1"/>
  <c r="V1590" i="5"/>
  <c r="V1591" i="5" a="1"/>
  <c r="V1591" i="5" s="1"/>
  <c r="V1592" i="5" a="1"/>
  <c r="V1592" i="5" s="1"/>
  <c r="V1593" i="5" a="1"/>
  <c r="V1593" i="5" s="1"/>
  <c r="V1594" i="5" a="1"/>
  <c r="V1594" i="5" s="1"/>
  <c r="V1595" i="5" a="1"/>
  <c r="V1595" i="5" s="1"/>
  <c r="V1596" i="5" a="1"/>
  <c r="V1596" i="5"/>
  <c r="V1597" i="5" a="1"/>
  <c r="V1597" i="5" s="1"/>
  <c r="V1598" i="5" a="1"/>
  <c r="V1598" i="5"/>
  <c r="V1599" i="5" a="1"/>
  <c r="V1599" i="5" s="1"/>
  <c r="V1600" i="5" a="1"/>
  <c r="V1600" i="5" s="1"/>
  <c r="V1601" i="5" a="1"/>
  <c r="V1601" i="5" s="1"/>
  <c r="V1602" i="5" a="1"/>
  <c r="V1602" i="5" s="1"/>
  <c r="V1603" i="5" a="1"/>
  <c r="V1603" i="5" s="1"/>
  <c r="V1604" i="5" a="1"/>
  <c r="V1604" i="5"/>
  <c r="V1605" i="5" a="1"/>
  <c r="V1605" i="5" s="1"/>
  <c r="V1606" i="5" a="1"/>
  <c r="V1606" i="5"/>
  <c r="V1607" i="5" a="1"/>
  <c r="V1607" i="5" s="1"/>
  <c r="V1608" i="5" a="1"/>
  <c r="V1608" i="5" s="1"/>
  <c r="V1609" i="5" a="1"/>
  <c r="V1609" i="5" s="1"/>
  <c r="V1610" i="5" a="1"/>
  <c r="V1610" i="5" s="1"/>
  <c r="V1611" i="5" a="1"/>
  <c r="V1611" i="5" s="1"/>
  <c r="V1612" i="5" a="1"/>
  <c r="V1612" i="5"/>
  <c r="V1613" i="5" a="1"/>
  <c r="V1613" i="5" s="1"/>
  <c r="V1614" i="5" a="1"/>
  <c r="V1614" i="5"/>
  <c r="V1615" i="5" a="1"/>
  <c r="V1615" i="5" s="1"/>
  <c r="V1616" i="5" a="1"/>
  <c r="V1616" i="5" s="1"/>
  <c r="V1617" i="5" a="1"/>
  <c r="V1617" i="5" s="1"/>
  <c r="V1618" i="5" a="1"/>
  <c r="V1618" i="5" s="1"/>
  <c r="V1619" i="5" a="1"/>
  <c r="V1619" i="5" s="1"/>
  <c r="V1620" i="5" a="1"/>
  <c r="V1620" i="5"/>
  <c r="V1621" i="5" a="1"/>
  <c r="V1621" i="5" s="1"/>
  <c r="V1622" i="5" a="1"/>
  <c r="V1622" i="5"/>
  <c r="V1623" i="5" a="1"/>
  <c r="V1623" i="5" s="1"/>
  <c r="V1624" i="5" a="1"/>
  <c r="V1624" i="5" s="1"/>
  <c r="V1625" i="5" a="1"/>
  <c r="V1625" i="5" s="1"/>
  <c r="V1626" i="5" a="1"/>
  <c r="V1626" i="5" s="1"/>
  <c r="V1627" i="5" a="1"/>
  <c r="V1627" i="5" s="1"/>
  <c r="V1628" i="5" a="1"/>
  <c r="V1628" i="5"/>
  <c r="V1629" i="5" a="1"/>
  <c r="V1629" i="5" s="1"/>
  <c r="V1630" i="5" a="1"/>
  <c r="V1630" i="5"/>
  <c r="V1631" i="5" a="1"/>
  <c r="V1631" i="5" s="1"/>
  <c r="V1632" i="5" a="1"/>
  <c r="V1632" i="5" s="1"/>
  <c r="V1633" i="5" a="1"/>
  <c r="V1633" i="5" s="1"/>
  <c r="V1634" i="5" a="1"/>
  <c r="V1634" i="5" s="1"/>
  <c r="V1635" i="5" a="1"/>
  <c r="V1635" i="5" s="1"/>
  <c r="V1636" i="5" a="1"/>
  <c r="V1636" i="5"/>
  <c r="V1637" i="5" a="1"/>
  <c r="V1637" i="5" s="1"/>
  <c r="V1638" i="5" a="1"/>
  <c r="V1638" i="5"/>
  <c r="V1639" i="5" a="1"/>
  <c r="V1639" i="5" s="1"/>
  <c r="V1640" i="5" a="1"/>
  <c r="V1640" i="5" s="1"/>
  <c r="V1641" i="5" a="1"/>
  <c r="V1641" i="5" s="1"/>
  <c r="V1642" i="5" a="1"/>
  <c r="V1642" i="5" s="1"/>
  <c r="V1643" i="5" a="1"/>
  <c r="V1643" i="5" s="1"/>
  <c r="V1644" i="5" a="1"/>
  <c r="V1644" i="5"/>
  <c r="V1645" i="5" a="1"/>
  <c r="V1645" i="5" s="1"/>
  <c r="V1646" i="5" a="1"/>
  <c r="V1646" i="5"/>
  <c r="V1647" i="5" a="1"/>
  <c r="V1647" i="5" s="1"/>
  <c r="V1648" i="5" a="1"/>
  <c r="V1648" i="5" s="1"/>
  <c r="V1649" i="5" a="1"/>
  <c r="V1649" i="5" s="1"/>
  <c r="V1650" i="5" a="1"/>
  <c r="V1650" i="5" s="1"/>
  <c r="V1651" i="5" a="1"/>
  <c r="V1651" i="5" s="1"/>
  <c r="V1652" i="5" a="1"/>
  <c r="V1652" i="5"/>
  <c r="V1653" i="5" a="1"/>
  <c r="V1653" i="5" s="1"/>
  <c r="V1654" i="5" a="1"/>
  <c r="V1654" i="5"/>
  <c r="V1655" i="5" a="1"/>
  <c r="V1655" i="5" s="1"/>
  <c r="V1656" i="5" a="1"/>
  <c r="V1656" i="5" s="1"/>
  <c r="V1657" i="5" a="1"/>
  <c r="V1657" i="5" s="1"/>
  <c r="V1658" i="5" a="1"/>
  <c r="V1658" i="5" s="1"/>
  <c r="V1659" i="5" a="1"/>
  <c r="V1659" i="5" s="1"/>
  <c r="V1660" i="5" a="1"/>
  <c r="V1660" i="5"/>
  <c r="V1661" i="5" a="1"/>
  <c r="V1661" i="5" s="1"/>
  <c r="V1662" i="5" a="1"/>
  <c r="V1662" i="5"/>
  <c r="V1663" i="5" a="1"/>
  <c r="V1663" i="5" s="1"/>
  <c r="V1664" i="5" a="1"/>
  <c r="V1664" i="5" s="1"/>
  <c r="V1665" i="5" a="1"/>
  <c r="V1665" i="5" s="1"/>
  <c r="V1666" i="5" a="1"/>
  <c r="V1666" i="5" s="1"/>
  <c r="V1667" i="5" a="1"/>
  <c r="V1667" i="5" s="1"/>
  <c r="V1668" i="5" a="1"/>
  <c r="V1668" i="5"/>
  <c r="V1669" i="5" a="1"/>
  <c r="V1669" i="5" s="1"/>
  <c r="V1670" i="5" a="1"/>
  <c r="V1670" i="5"/>
  <c r="V1671" i="5" a="1"/>
  <c r="V1671" i="5" s="1"/>
  <c r="V1672" i="5" a="1"/>
  <c r="V1672" i="5" s="1"/>
  <c r="V1673" i="5" a="1"/>
  <c r="V1673" i="5" s="1"/>
  <c r="V1674" i="5" a="1"/>
  <c r="V1674" i="5" s="1"/>
  <c r="V1675" i="5" a="1"/>
  <c r="V1675" i="5" s="1"/>
  <c r="V1676" i="5" a="1"/>
  <c r="V1676" i="5"/>
  <c r="V1677" i="5" a="1"/>
  <c r="V1677" i="5" s="1"/>
  <c r="V1678" i="5" a="1"/>
  <c r="V1678" i="5"/>
  <c r="V1679" i="5" a="1"/>
  <c r="V1679" i="5" s="1"/>
  <c r="V1680" i="5" a="1"/>
  <c r="V1680" i="5" s="1"/>
  <c r="V1681" i="5" a="1"/>
  <c r="V1681" i="5" s="1"/>
  <c r="V1682" i="5" a="1"/>
  <c r="V1682" i="5" s="1"/>
  <c r="V1683" i="5" a="1"/>
  <c r="V1683" i="5" s="1"/>
  <c r="V1684" i="5" a="1"/>
  <c r="V1684" i="5"/>
  <c r="V1685" i="5" a="1"/>
  <c r="V1685" i="5" s="1"/>
  <c r="V1686" i="5" a="1"/>
  <c r="V1686" i="5"/>
  <c r="V1687" i="5" a="1"/>
  <c r="V1687" i="5" s="1"/>
  <c r="V1688" i="5" a="1"/>
  <c r="V1688" i="5" s="1"/>
  <c r="V1689" i="5" a="1"/>
  <c r="V1689" i="5" s="1"/>
  <c r="V1690" i="5" a="1"/>
  <c r="V1690" i="5" s="1"/>
  <c r="V1691" i="5" a="1"/>
  <c r="V1691" i="5" s="1"/>
  <c r="V1692" i="5" a="1"/>
  <c r="V1692" i="5"/>
  <c r="V1693" i="5" a="1"/>
  <c r="V1693" i="5" s="1"/>
  <c r="V1694" i="5" a="1"/>
  <c r="V1694" i="5"/>
  <c r="V1695" i="5" a="1"/>
  <c r="V1695" i="5" s="1"/>
  <c r="V1696" i="5" a="1"/>
  <c r="V1696" i="5" s="1"/>
  <c r="V1697" i="5" a="1"/>
  <c r="V1697" i="5" s="1"/>
  <c r="V1698" i="5" a="1"/>
  <c r="V1698" i="5" s="1"/>
  <c r="V1699" i="5" a="1"/>
  <c r="V1699" i="5" s="1"/>
  <c r="V1700" i="5" a="1"/>
  <c r="V1700" i="5"/>
  <c r="V1701" i="5" a="1"/>
  <c r="V1701" i="5" s="1"/>
  <c r="V1702" i="5" a="1"/>
  <c r="V1702" i="5"/>
  <c r="V1703" i="5" a="1"/>
  <c r="V1703" i="5" s="1"/>
  <c r="V1704" i="5" a="1"/>
  <c r="V1704" i="5" s="1"/>
  <c r="V1705" i="5" a="1"/>
  <c r="V1705" i="5" s="1"/>
  <c r="V1706" i="5" a="1"/>
  <c r="V1706" i="5" s="1"/>
  <c r="V1707" i="5" a="1"/>
  <c r="V1707" i="5" s="1"/>
  <c r="V1708" i="5" a="1"/>
  <c r="V1708" i="5"/>
  <c r="V1709" i="5" a="1"/>
  <c r="V1709" i="5" s="1"/>
  <c r="V1710" i="5" a="1"/>
  <c r="V1710" i="5"/>
  <c r="V1711" i="5" a="1"/>
  <c r="V1711" i="5" s="1"/>
  <c r="V1712" i="5" a="1"/>
  <c r="V1712" i="5" s="1"/>
  <c r="V1713" i="5" a="1"/>
  <c r="V1713" i="5" s="1"/>
  <c r="V1714" i="5" a="1"/>
  <c r="V1714" i="5" s="1"/>
  <c r="V1715" i="5" a="1"/>
  <c r="V1715" i="5" s="1"/>
  <c r="V1716" i="5" a="1"/>
  <c r="V1716" i="5"/>
  <c r="V1717" i="5" a="1"/>
  <c r="V1717" i="5" s="1"/>
  <c r="V1718" i="5" a="1"/>
  <c r="V1718" i="5"/>
  <c r="V1719" i="5" a="1"/>
  <c r="V1719" i="5" s="1"/>
  <c r="V1720" i="5" a="1"/>
  <c r="V1720" i="5" s="1"/>
  <c r="V1721" i="5" a="1"/>
  <c r="V1721" i="5" s="1"/>
  <c r="V1722" i="5" a="1"/>
  <c r="V1722" i="5" s="1"/>
  <c r="V1723" i="5" a="1"/>
  <c r="V1723" i="5" s="1"/>
  <c r="V1724" i="5" a="1"/>
  <c r="V1724" i="5"/>
  <c r="V1725" i="5" a="1"/>
  <c r="V1725" i="5" s="1"/>
  <c r="V1726" i="5" a="1"/>
  <c r="V1726" i="5"/>
  <c r="V1727" i="5" a="1"/>
  <c r="V1727" i="5" s="1"/>
  <c r="V1728" i="5" a="1"/>
  <c r="V1728" i="5" s="1"/>
  <c r="V1729" i="5" a="1"/>
  <c r="V1729" i="5" s="1"/>
  <c r="V1730" i="5" a="1"/>
  <c r="V1730" i="5" s="1"/>
  <c r="V1731" i="5" a="1"/>
  <c r="V1731" i="5" s="1"/>
  <c r="V1732" i="5" a="1"/>
  <c r="V1732" i="5"/>
  <c r="V1733" i="5" a="1"/>
  <c r="V1733" i="5" s="1"/>
  <c r="V1734" i="5" a="1"/>
  <c r="V1734" i="5"/>
  <c r="V1735" i="5" a="1"/>
  <c r="V1735" i="5" s="1"/>
  <c r="V1736" i="5" a="1"/>
  <c r="V1736" i="5" s="1"/>
  <c r="V1737" i="5" a="1"/>
  <c r="V1737" i="5" s="1"/>
  <c r="V1738" i="5" a="1"/>
  <c r="V1738" i="5" s="1"/>
  <c r="V1739" i="5" a="1"/>
  <c r="V1739" i="5" s="1"/>
  <c r="V1740" i="5" a="1"/>
  <c r="V1740" i="5"/>
  <c r="V1741" i="5" a="1"/>
  <c r="V1741" i="5" s="1"/>
  <c r="V1742" i="5" a="1"/>
  <c r="V1742" i="5"/>
  <c r="V1743" i="5" a="1"/>
  <c r="V1743" i="5" s="1"/>
  <c r="V1744" i="5" a="1"/>
  <c r="V1744" i="5" s="1"/>
  <c r="V1745" i="5" a="1"/>
  <c r="V1745" i="5" s="1"/>
  <c r="V1746" i="5" a="1"/>
  <c r="V1746" i="5" s="1"/>
  <c r="V1747" i="5" a="1"/>
  <c r="V1747" i="5" s="1"/>
  <c r="V1748" i="5" a="1"/>
  <c r="V1748" i="5"/>
  <c r="V1749" i="5" a="1"/>
  <c r="V1749" i="5" s="1"/>
  <c r="V1750" i="5" a="1"/>
  <c r="V1750" i="5"/>
  <c r="V1751" i="5" a="1"/>
  <c r="V1751" i="5" s="1"/>
  <c r="V1752" i="5" a="1"/>
  <c r="V1752" i="5" s="1"/>
  <c r="V1753" i="5" a="1"/>
  <c r="V1753" i="5" s="1"/>
  <c r="V1754" i="5" a="1"/>
  <c r="V1754" i="5" s="1"/>
  <c r="V1755" i="5" a="1"/>
  <c r="V1755" i="5" s="1"/>
  <c r="V1756" i="5" a="1"/>
  <c r="V1756" i="5"/>
  <c r="V1757" i="5" a="1"/>
  <c r="V1757" i="5" s="1"/>
  <c r="V1758" i="5" a="1"/>
  <c r="V1758" i="5"/>
  <c r="V1759" i="5" a="1"/>
  <c r="V1759" i="5" s="1"/>
  <c r="V1760" i="5" a="1"/>
  <c r="V1760" i="5" s="1"/>
  <c r="V1761" i="5" a="1"/>
  <c r="V1761" i="5" s="1"/>
  <c r="V1762" i="5" a="1"/>
  <c r="V1762" i="5" s="1"/>
  <c r="V1763" i="5" a="1"/>
  <c r="V1763" i="5" s="1"/>
  <c r="V1764" i="5" a="1"/>
  <c r="V1764" i="5"/>
  <c r="V1765" i="5" a="1"/>
  <c r="V1765" i="5" s="1"/>
  <c r="V1766" i="5" a="1"/>
  <c r="V1766" i="5"/>
  <c r="V1767" i="5" a="1"/>
  <c r="V1767" i="5" s="1"/>
  <c r="V1768" i="5" a="1"/>
  <c r="V1768" i="5" s="1"/>
  <c r="V1769" i="5" a="1"/>
  <c r="V1769" i="5" s="1"/>
  <c r="V1770" i="5" a="1"/>
  <c r="V1770" i="5" s="1"/>
  <c r="V1771" i="5" a="1"/>
  <c r="V1771" i="5" s="1"/>
  <c r="V1772" i="5" a="1"/>
  <c r="V1772" i="5"/>
  <c r="V1773" i="5" a="1"/>
  <c r="V1773" i="5" s="1"/>
  <c r="V1774" i="5" a="1"/>
  <c r="V1774" i="5"/>
  <c r="V1775" i="5" a="1"/>
  <c r="V1775" i="5" s="1"/>
  <c r="V1776" i="5" a="1"/>
  <c r="V1776" i="5" s="1"/>
  <c r="V1777" i="5" a="1"/>
  <c r="V1777" i="5" s="1"/>
  <c r="V1778" i="5" a="1"/>
  <c r="V1778" i="5" s="1"/>
  <c r="V1779" i="5" a="1"/>
  <c r="V1779" i="5" s="1"/>
  <c r="V1780" i="5" a="1"/>
  <c r="V1780" i="5"/>
  <c r="V1781" i="5" a="1"/>
  <c r="V1781" i="5" s="1"/>
  <c r="V1782" i="5" a="1"/>
  <c r="V1782" i="5"/>
  <c r="V1783" i="5" a="1"/>
  <c r="V1783" i="5" s="1"/>
  <c r="V1784" i="5" a="1"/>
  <c r="V1784" i="5" s="1"/>
  <c r="V1785" i="5" a="1"/>
  <c r="V1785" i="5" s="1"/>
  <c r="V1786" i="5" a="1"/>
  <c r="V1786" i="5" s="1"/>
  <c r="V1787" i="5" a="1"/>
  <c r="V1787" i="5" s="1"/>
  <c r="V1788" i="5" a="1"/>
  <c r="V1788" i="5"/>
  <c r="V1789" i="5" a="1"/>
  <c r="V1789" i="5" s="1"/>
  <c r="V1790" i="5" a="1"/>
  <c r="V1790" i="5"/>
  <c r="V1791" i="5" a="1"/>
  <c r="V1791" i="5" s="1"/>
  <c r="V1792" i="5" a="1"/>
  <c r="V1792" i="5" s="1"/>
  <c r="V1793" i="5" a="1"/>
  <c r="V1793" i="5" s="1"/>
  <c r="V1794" i="5" a="1"/>
  <c r="V1794" i="5" s="1"/>
  <c r="V1795" i="5" a="1"/>
  <c r="V1795" i="5" s="1"/>
  <c r="V1796" i="5" a="1"/>
  <c r="V1796" i="5"/>
  <c r="V1797" i="5" a="1"/>
  <c r="V1797" i="5" s="1"/>
  <c r="V1798" i="5" a="1"/>
  <c r="V1798" i="5"/>
  <c r="V1799" i="5" a="1"/>
  <c r="V1799" i="5" s="1"/>
  <c r="V1800" i="5" a="1"/>
  <c r="V1800" i="5" s="1"/>
  <c r="V1801" i="5" a="1"/>
  <c r="V1801" i="5" s="1"/>
  <c r="V1802" i="5" a="1"/>
  <c r="V1802" i="5" s="1"/>
  <c r="V1803" i="5" a="1"/>
  <c r="V1803" i="5" s="1"/>
  <c r="V1804" i="5" a="1"/>
  <c r="V1804" i="5"/>
  <c r="V1805" i="5" a="1"/>
  <c r="V1805" i="5" s="1"/>
  <c r="V1806" i="5" a="1"/>
  <c r="V1806" i="5"/>
  <c r="V1807" i="5" a="1"/>
  <c r="V1807" i="5" s="1"/>
  <c r="V1808" i="5" a="1"/>
  <c r="V1808" i="5" s="1"/>
  <c r="V1809" i="5" a="1"/>
  <c r="V1809" i="5" s="1"/>
  <c r="V1810" i="5" a="1"/>
  <c r="V1810" i="5" s="1"/>
  <c r="V1811" i="5" a="1"/>
  <c r="V1811" i="5" s="1"/>
  <c r="V1812" i="5" a="1"/>
  <c r="V1812" i="5"/>
  <c r="V1813" i="5" a="1"/>
  <c r="V1813" i="5" s="1"/>
  <c r="V1814" i="5" a="1"/>
  <c r="V1814" i="5"/>
  <c r="V1815" i="5" a="1"/>
  <c r="V1815" i="5" s="1"/>
  <c r="V1816" i="5" a="1"/>
  <c r="V1816" i="5" s="1"/>
  <c r="V1817" i="5" a="1"/>
  <c r="V1817" i="5" s="1"/>
  <c r="V1818" i="5" a="1"/>
  <c r="V1818" i="5" s="1"/>
  <c r="V1819" i="5" a="1"/>
  <c r="V1819" i="5" s="1"/>
  <c r="V1820" i="5" a="1"/>
  <c r="V1820" i="5"/>
  <c r="V1821" i="5" a="1"/>
  <c r="V1821" i="5" s="1"/>
  <c r="V1822" i="5" a="1"/>
  <c r="V1822" i="5"/>
  <c r="V1823" i="5" a="1"/>
  <c r="V1823" i="5" s="1"/>
  <c r="V1824" i="5" a="1"/>
  <c r="V1824" i="5" s="1"/>
  <c r="V1825" i="5" a="1"/>
  <c r="V1825" i="5" s="1"/>
  <c r="V1826" i="5" a="1"/>
  <c r="V1826" i="5" s="1"/>
  <c r="V1827" i="5" a="1"/>
  <c r="V1827" i="5" s="1"/>
  <c r="V1828" i="5" a="1"/>
  <c r="V1828" i="5"/>
  <c r="V1829" i="5" a="1"/>
  <c r="V1829" i="5" s="1"/>
  <c r="V1830" i="5" a="1"/>
  <c r="V1830" i="5"/>
  <c r="V1831" i="5" a="1"/>
  <c r="V1831" i="5" s="1"/>
  <c r="V1832" i="5" a="1"/>
  <c r="V1832" i="5" s="1"/>
  <c r="V1833" i="5" a="1"/>
  <c r="V1833" i="5" s="1"/>
  <c r="V1834" i="5" a="1"/>
  <c r="V1834" i="5" s="1"/>
  <c r="V1835" i="5" a="1"/>
  <c r="V1835" i="5" s="1"/>
  <c r="V1836" i="5" a="1"/>
  <c r="V1836" i="5"/>
  <c r="V1837" i="5" a="1"/>
  <c r="V1837" i="5" s="1"/>
  <c r="V1838" i="5" a="1"/>
  <c r="V1838" i="5"/>
  <c r="V1839" i="5" a="1"/>
  <c r="V1839" i="5" s="1"/>
  <c r="V1840" i="5" a="1"/>
  <c r="V1840" i="5"/>
  <c r="V1841" i="5" a="1"/>
  <c r="V1841" i="5" s="1"/>
  <c r="V1842" i="5" a="1"/>
  <c r="V1842" i="5"/>
  <c r="V1843" i="5" a="1"/>
  <c r="V1843" i="5" s="1"/>
  <c r="V1844" i="5" a="1"/>
  <c r="V1844" i="5"/>
  <c r="V1845" i="5" a="1"/>
  <c r="V1845" i="5" s="1"/>
  <c r="V1846" i="5" a="1"/>
  <c r="V1846" i="5"/>
  <c r="V1847" i="5" a="1"/>
  <c r="V1847" i="5" s="1"/>
  <c r="V1848" i="5" a="1"/>
  <c r="V1848" i="5"/>
  <c r="V1849" i="5" a="1"/>
  <c r="V1849" i="5" s="1"/>
  <c r="V1850" i="5" a="1"/>
  <c r="V1850" i="5"/>
  <c r="V1851" i="5" a="1"/>
  <c r="V1851" i="5" s="1"/>
  <c r="V1852" i="5" a="1"/>
  <c r="V1852" i="5"/>
  <c r="V1853" i="5" a="1"/>
  <c r="V1853" i="5" s="1"/>
  <c r="V1854" i="5" a="1"/>
  <c r="V1854" i="5"/>
  <c r="V1855" i="5" a="1"/>
  <c r="V1855" i="5" s="1"/>
  <c r="V1856" i="5" a="1"/>
  <c r="V1856" i="5"/>
  <c r="V1857" i="5" a="1"/>
  <c r="V1857" i="5" s="1"/>
  <c r="V1858" i="5" a="1"/>
  <c r="V1858" i="5"/>
  <c r="V1859" i="5" a="1"/>
  <c r="V1859" i="5" s="1"/>
  <c r="V1860" i="5" a="1"/>
  <c r="V1860" i="5"/>
  <c r="V1861" i="5" a="1"/>
  <c r="V1861" i="5" s="1"/>
  <c r="V1862" i="5" a="1"/>
  <c r="V1862" i="5"/>
  <c r="V1863" i="5" a="1"/>
  <c r="V1863" i="5" s="1"/>
  <c r="V1864" i="5" a="1"/>
  <c r="V1864" i="5"/>
  <c r="V1865" i="5" a="1"/>
  <c r="V1865" i="5" s="1"/>
  <c r="V1866" i="5" a="1"/>
  <c r="V1866" i="5"/>
  <c r="V1867" i="5" a="1"/>
  <c r="V1867" i="5" s="1"/>
  <c r="V1868" i="5" a="1"/>
  <c r="V1868" i="5"/>
  <c r="V1869" i="5" a="1"/>
  <c r="V1869" i="5" s="1"/>
  <c r="V1870" i="5" a="1"/>
  <c r="V1870" i="5"/>
  <c r="V1871" i="5" a="1"/>
  <c r="V1871" i="5" s="1"/>
  <c r="V1872" i="5" a="1"/>
  <c r="V1872" i="5"/>
  <c r="V1873" i="5" a="1"/>
  <c r="V1873" i="5" s="1"/>
  <c r="V1874" i="5" a="1"/>
  <c r="V1874" i="5"/>
  <c r="V1875" i="5" a="1"/>
  <c r="V1875" i="5" s="1"/>
  <c r="V1876" i="5" a="1"/>
  <c r="V1876" i="5"/>
  <c r="V1877" i="5" a="1"/>
  <c r="V1877" i="5" s="1"/>
  <c r="V1878" i="5" a="1"/>
  <c r="V1878" i="5"/>
  <c r="V1879" i="5" a="1"/>
  <c r="V1879" i="5" s="1"/>
  <c r="V1880" i="5" a="1"/>
  <c r="V1880" i="5"/>
  <c r="V1881" i="5" a="1"/>
  <c r="V1881" i="5" s="1"/>
  <c r="V1882" i="5" a="1"/>
  <c r="V1882" i="5"/>
  <c r="V1883" i="5" a="1"/>
  <c r="V1883" i="5" s="1"/>
  <c r="V1884" i="5" a="1"/>
  <c r="V1884" i="5"/>
  <c r="V1885" i="5" a="1"/>
  <c r="V1885" i="5" s="1"/>
  <c r="V1886" i="5" a="1"/>
  <c r="V1886" i="5"/>
  <c r="V1887" i="5" a="1"/>
  <c r="V1887" i="5" s="1"/>
  <c r="V1888" i="5" a="1"/>
  <c r="V1888" i="5"/>
  <c r="V1889" i="5" a="1"/>
  <c r="V1889" i="5" s="1"/>
  <c r="V1890" i="5" a="1"/>
  <c r="V1890" i="5"/>
  <c r="V1891" i="5" a="1"/>
  <c r="V1891" i="5" s="1"/>
  <c r="V1892" i="5" a="1"/>
  <c r="V1892" i="5"/>
  <c r="V1893" i="5" a="1"/>
  <c r="V1893" i="5" s="1"/>
  <c r="V1894" i="5" a="1"/>
  <c r="V1894" i="5"/>
  <c r="V1895" i="5" a="1"/>
  <c r="V1895" i="5" s="1"/>
  <c r="V1896" i="5" a="1"/>
  <c r="V1896" i="5"/>
  <c r="V1897" i="5" a="1"/>
  <c r="V1897" i="5" s="1"/>
  <c r="V1898" i="5" a="1"/>
  <c r="V1898" i="5"/>
  <c r="V1899" i="5" a="1"/>
  <c r="V1899" i="5" s="1"/>
  <c r="V1900" i="5" a="1"/>
  <c r="V1900" i="5"/>
  <c r="V1901" i="5" a="1"/>
  <c r="V1901" i="5" s="1"/>
  <c r="V1902" i="5" a="1"/>
  <c r="V1902" i="5"/>
  <c r="V1903" i="5" a="1"/>
  <c r="V1903" i="5" s="1"/>
  <c r="V1904" i="5" a="1"/>
  <c r="V1904" i="5"/>
  <c r="V1905" i="5" a="1"/>
  <c r="V1905" i="5" s="1"/>
  <c r="V1906" i="5" a="1"/>
  <c r="V1906" i="5"/>
  <c r="V1907" i="5" a="1"/>
  <c r="V1907" i="5" s="1"/>
  <c r="V1908" i="5" a="1"/>
  <c r="V1908" i="5"/>
  <c r="V1909" i="5" a="1"/>
  <c r="V1909" i="5" s="1"/>
  <c r="V1910" i="5" a="1"/>
  <c r="V1910" i="5"/>
  <c r="V1911" i="5" a="1"/>
  <c r="V1911" i="5" s="1"/>
  <c r="V1912" i="5" a="1"/>
  <c r="V1912" i="5"/>
  <c r="V1913" i="5" a="1"/>
  <c r="V1913" i="5" s="1"/>
  <c r="V1914" i="5" a="1"/>
  <c r="V1914" i="5"/>
  <c r="V1915" i="5" a="1"/>
  <c r="V1915" i="5" s="1"/>
  <c r="V1916" i="5" a="1"/>
  <c r="V1916" i="5"/>
  <c r="V1917" i="5" a="1"/>
  <c r="V1917" i="5" s="1"/>
  <c r="V1918" i="5" a="1"/>
  <c r="V1918" i="5"/>
  <c r="V1919" i="5" a="1"/>
  <c r="V1919" i="5" s="1"/>
  <c r="V1920" i="5" a="1"/>
  <c r="V1920" i="5"/>
  <c r="V1921" i="5" a="1"/>
  <c r="V1921" i="5" s="1"/>
  <c r="V1922" i="5" a="1"/>
  <c r="V1922" i="5"/>
  <c r="V1923" i="5" a="1"/>
  <c r="V1923" i="5" s="1"/>
  <c r="V1924" i="5" a="1"/>
  <c r="V1924" i="5"/>
  <c r="V1925" i="5" a="1"/>
  <c r="V1925" i="5" s="1"/>
  <c r="V1926" i="5" a="1"/>
  <c r="V1926" i="5"/>
  <c r="V1927" i="5" a="1"/>
  <c r="V1927" i="5" s="1"/>
  <c r="V1928" i="5" a="1"/>
  <c r="V1928" i="5"/>
  <c r="V1929" i="5" a="1"/>
  <c r="V1929" i="5" s="1"/>
  <c r="V1930" i="5" a="1"/>
  <c r="V1930" i="5"/>
  <c r="V1931" i="5" a="1"/>
  <c r="V1931" i="5" s="1"/>
  <c r="V1932" i="5" a="1"/>
  <c r="V1932" i="5"/>
  <c r="V1933" i="5" a="1"/>
  <c r="V1933" i="5" s="1"/>
  <c r="V1934" i="5" a="1"/>
  <c r="V1934" i="5"/>
  <c r="V1935" i="5" a="1"/>
  <c r="V1935" i="5" s="1"/>
  <c r="V1936" i="5" a="1"/>
  <c r="V1936" i="5"/>
  <c r="V1937" i="5" a="1"/>
  <c r="V1937" i="5" s="1"/>
  <c r="V1938" i="5" a="1"/>
  <c r="V1938" i="5"/>
  <c r="V1939" i="5" a="1"/>
  <c r="V1939" i="5" s="1"/>
  <c r="V1940" i="5" a="1"/>
  <c r="V1940" i="5"/>
  <c r="V1941" i="5" a="1"/>
  <c r="V1941" i="5" s="1"/>
  <c r="V1942" i="5" a="1"/>
  <c r="V1942" i="5"/>
  <c r="V1943" i="5" a="1"/>
  <c r="V1943" i="5" s="1"/>
  <c r="V1944" i="5" a="1"/>
  <c r="V1944" i="5"/>
  <c r="V1945" i="5" a="1"/>
  <c r="V1945" i="5" s="1"/>
  <c r="V1946" i="5" a="1"/>
  <c r="V1946" i="5"/>
  <c r="V1947" i="5" a="1"/>
  <c r="V1947" i="5" s="1"/>
  <c r="V1948" i="5" a="1"/>
  <c r="V1948" i="5"/>
  <c r="V1949" i="5" a="1"/>
  <c r="V1949" i="5" s="1"/>
  <c r="V1950" i="5" a="1"/>
  <c r="V1950" i="5"/>
  <c r="V1951" i="5" a="1"/>
  <c r="V1951" i="5" s="1"/>
  <c r="V1952" i="5" a="1"/>
  <c r="V1952" i="5"/>
  <c r="V1953" i="5" a="1"/>
  <c r="V1953" i="5" s="1"/>
  <c r="V1954" i="5" a="1"/>
  <c r="V1954" i="5"/>
  <c r="V1955" i="5" a="1"/>
  <c r="V1955" i="5" s="1"/>
  <c r="V1956" i="5" a="1"/>
  <c r="V1956" i="5"/>
  <c r="V1957" i="5" a="1"/>
  <c r="V1957" i="5" s="1"/>
  <c r="V1958" i="5" a="1"/>
  <c r="V1958" i="5"/>
  <c r="V1959" i="5" a="1"/>
  <c r="V1959" i="5" s="1"/>
  <c r="V1960" i="5" a="1"/>
  <c r="V1960" i="5"/>
  <c r="V1961" i="5" a="1"/>
  <c r="V1961" i="5" s="1"/>
  <c r="V1962" i="5" a="1"/>
  <c r="V1962" i="5"/>
  <c r="V1963" i="5" a="1"/>
  <c r="V1963" i="5" s="1"/>
  <c r="V1964" i="5" a="1"/>
  <c r="V1964" i="5"/>
  <c r="V1965" i="5" a="1"/>
  <c r="V1965" i="5" s="1"/>
  <c r="V1966" i="5" a="1"/>
  <c r="V1966" i="5"/>
  <c r="V1967" i="5" a="1"/>
  <c r="V1967" i="5" s="1"/>
  <c r="V1968" i="5" a="1"/>
  <c r="V1968" i="5"/>
  <c r="V1969" i="5" a="1"/>
  <c r="V1969" i="5" s="1"/>
  <c r="V1970" i="5" a="1"/>
  <c r="V1970" i="5"/>
  <c r="V1971" i="5" a="1"/>
  <c r="V1971" i="5" s="1"/>
  <c r="V1972" i="5" a="1"/>
  <c r="V1972" i="5"/>
  <c r="V1973" i="5" a="1"/>
  <c r="V1973" i="5" s="1"/>
  <c r="V1974" i="5" a="1"/>
  <c r="V1974" i="5"/>
  <c r="V1975" i="5" a="1"/>
  <c r="V1975" i="5" s="1"/>
  <c r="V1976" i="5" a="1"/>
  <c r="V1976" i="5"/>
  <c r="V1977" i="5" a="1"/>
  <c r="V1977" i="5" s="1"/>
  <c r="V1978" i="5" a="1"/>
  <c r="V1978" i="5"/>
  <c r="V1979" i="5" a="1"/>
  <c r="V1979" i="5" s="1"/>
  <c r="V1980" i="5" a="1"/>
  <c r="V1980" i="5"/>
  <c r="V1981" i="5" a="1"/>
  <c r="V1981" i="5" s="1"/>
  <c r="V1982" i="5" a="1"/>
  <c r="V1982" i="5"/>
  <c r="V1983" i="5" a="1"/>
  <c r="V1983" i="5" s="1"/>
  <c r="V1984" i="5" a="1"/>
  <c r="V1984" i="5"/>
  <c r="V1985" i="5" a="1"/>
  <c r="V1985" i="5" s="1"/>
  <c r="V1986" i="5" a="1"/>
  <c r="V1986" i="5"/>
  <c r="V1987" i="5" a="1"/>
  <c r="V1987" i="5" s="1"/>
  <c r="V1988" i="5" a="1"/>
  <c r="V1988" i="5"/>
  <c r="V1989" i="5" a="1"/>
  <c r="V1989" i="5" s="1"/>
  <c r="V1990" i="5" a="1"/>
  <c r="V1990" i="5"/>
  <c r="V1991" i="5" a="1"/>
  <c r="V1991" i="5" s="1"/>
  <c r="V1992" i="5" a="1"/>
  <c r="V1992" i="5"/>
  <c r="V1993" i="5" a="1"/>
  <c r="V1993" i="5" s="1"/>
  <c r="V1994" i="5" a="1"/>
  <c r="V1994" i="5"/>
  <c r="V1995" i="5" a="1"/>
  <c r="V1995" i="5" s="1"/>
  <c r="V1996" i="5" a="1"/>
  <c r="V1996" i="5"/>
  <c r="V1997" i="5" a="1"/>
  <c r="V1997" i="5" s="1"/>
  <c r="V1998" i="5" a="1"/>
  <c r="V1998" i="5"/>
  <c r="V1999" i="5" a="1"/>
  <c r="V1999" i="5" s="1"/>
  <c r="V2000" i="5" a="1"/>
  <c r="V2000" i="5"/>
  <c r="V2001" i="5" a="1"/>
  <c r="V2001" i="5" s="1"/>
  <c r="V2002" i="5" a="1"/>
  <c r="V2002" i="5"/>
  <c r="V2003" i="5" a="1"/>
  <c r="V2003" i="5" s="1"/>
  <c r="V2004" i="5" a="1"/>
  <c r="V2004" i="5"/>
  <c r="V2005" i="5" a="1"/>
  <c r="V2005" i="5" s="1"/>
  <c r="V2006" i="5" a="1"/>
  <c r="V2006" i="5"/>
  <c r="V2007" i="5" a="1"/>
  <c r="V2007" i="5" s="1"/>
  <c r="V2008" i="5" a="1"/>
  <c r="V2008" i="5"/>
  <c r="V2009" i="5" a="1"/>
  <c r="V2009" i="5" s="1"/>
  <c r="V2010" i="5" a="1"/>
  <c r="V2010" i="5"/>
  <c r="V2011" i="5" a="1"/>
  <c r="V2011" i="5" s="1"/>
  <c r="V2012" i="5" a="1"/>
  <c r="V2012" i="5"/>
  <c r="V2013" i="5" a="1"/>
  <c r="V2013" i="5" s="1"/>
  <c r="V2014" i="5" a="1"/>
  <c r="V2014" i="5"/>
  <c r="V2015" i="5" a="1"/>
  <c r="V2015" i="5" s="1"/>
  <c r="V2016" i="5" a="1"/>
  <c r="V2016" i="5"/>
  <c r="V2017" i="5" a="1"/>
  <c r="V2017" i="5" s="1"/>
  <c r="V2018" i="5" a="1"/>
  <c r="V2018" i="5"/>
  <c r="V2019" i="5" a="1"/>
  <c r="V2019" i="5" s="1"/>
  <c r="V2020" i="5" a="1"/>
  <c r="V2020" i="5"/>
  <c r="V2021" i="5" a="1"/>
  <c r="V2021" i="5" s="1"/>
  <c r="V2022" i="5" a="1"/>
  <c r="V2022" i="5"/>
  <c r="V2023" i="5" a="1"/>
  <c r="V2023" i="5" s="1"/>
  <c r="V2024" i="5" a="1"/>
  <c r="V2024" i="5"/>
  <c r="V2025" i="5" a="1"/>
  <c r="V2025" i="5" s="1"/>
  <c r="V2026" i="5" a="1"/>
  <c r="V2026" i="5"/>
  <c r="V2027" i="5" a="1"/>
  <c r="V2027" i="5" s="1"/>
  <c r="V2028" i="5" a="1"/>
  <c r="V2028" i="5"/>
  <c r="V2029" i="5" a="1"/>
  <c r="V2029" i="5" s="1"/>
  <c r="V2030" i="5" a="1"/>
  <c r="V2030" i="5"/>
  <c r="V2031" i="5" a="1"/>
  <c r="V2031" i="5" s="1"/>
  <c r="V2032" i="5" a="1"/>
  <c r="V2032" i="5"/>
  <c r="V2033" i="5" a="1"/>
  <c r="V2033" i="5" s="1"/>
  <c r="V2034" i="5" a="1"/>
  <c r="V2034" i="5"/>
  <c r="V2035" i="5" a="1"/>
  <c r="V2035" i="5" s="1"/>
  <c r="V2036" i="5" a="1"/>
  <c r="V2036" i="5"/>
  <c r="V2037" i="5" a="1"/>
  <c r="V2037" i="5" s="1"/>
  <c r="V2038" i="5" a="1"/>
  <c r="V2038" i="5"/>
  <c r="V2039" i="5" a="1"/>
  <c r="V2039" i="5" s="1"/>
  <c r="V2040" i="5" a="1"/>
  <c r="V2040" i="5"/>
  <c r="V2041" i="5" a="1"/>
  <c r="V2041" i="5" s="1"/>
  <c r="V2042" i="5" a="1"/>
  <c r="V2042" i="5"/>
  <c r="V2043" i="5" a="1"/>
  <c r="V2043" i="5" s="1"/>
  <c r="V2044" i="5" a="1"/>
  <c r="V2044" i="5"/>
  <c r="V2045" i="5" a="1"/>
  <c r="V2045" i="5" s="1"/>
  <c r="V2046" i="5" a="1"/>
  <c r="V2046" i="5"/>
  <c r="V2047" i="5" a="1"/>
  <c r="V2047" i="5" s="1"/>
  <c r="V2048" i="5" a="1"/>
  <c r="V2048" i="5"/>
  <c r="V2049" i="5" a="1"/>
  <c r="V2049" i="5" s="1"/>
  <c r="V2050" i="5" a="1"/>
  <c r="V2050" i="5"/>
  <c r="V2051" i="5" a="1"/>
  <c r="V2051" i="5" s="1"/>
  <c r="V2052" i="5" a="1"/>
  <c r="V2052" i="5"/>
  <c r="V2053" i="5" a="1"/>
  <c r="V2053" i="5" s="1"/>
  <c r="V2054" i="5" a="1"/>
  <c r="V2054" i="5"/>
  <c r="V2055" i="5" a="1"/>
  <c r="V2055" i="5" s="1"/>
  <c r="V2056" i="5" a="1"/>
  <c r="V2056" i="5"/>
  <c r="V2057" i="5" a="1"/>
  <c r="V2057" i="5" s="1"/>
  <c r="V2058" i="5" a="1"/>
  <c r="V2058" i="5"/>
  <c r="V2059" i="5" a="1"/>
  <c r="V2059" i="5" s="1"/>
  <c r="V2060" i="5" a="1"/>
  <c r="V2060" i="5"/>
  <c r="V2061" i="5" a="1"/>
  <c r="V2061" i="5" s="1"/>
  <c r="V2062" i="5" a="1"/>
  <c r="V2062" i="5"/>
  <c r="V2063" i="5" a="1"/>
  <c r="V2063" i="5" s="1"/>
  <c r="V2064" i="5" a="1"/>
  <c r="V2064" i="5"/>
  <c r="V2065" i="5" a="1"/>
  <c r="V2065" i="5" s="1"/>
  <c r="V2066" i="5" a="1"/>
  <c r="V2066" i="5"/>
  <c r="V2067" i="5" a="1"/>
  <c r="V2067" i="5" s="1"/>
  <c r="V2068" i="5" a="1"/>
  <c r="V2068" i="5"/>
  <c r="V2069" i="5" a="1"/>
  <c r="V2069" i="5" s="1"/>
  <c r="V2070" i="5" a="1"/>
  <c r="V2070" i="5"/>
  <c r="V2071" i="5" a="1"/>
  <c r="V2071" i="5" s="1"/>
  <c r="V2072" i="5" a="1"/>
  <c r="V2072" i="5"/>
  <c r="V2073" i="5" a="1"/>
  <c r="V2073" i="5" s="1"/>
  <c r="V2074" i="5" a="1"/>
  <c r="V2074" i="5"/>
  <c r="V2075" i="5" a="1"/>
  <c r="V2075" i="5" s="1"/>
  <c r="V2076" i="5" a="1"/>
  <c r="V2076" i="5"/>
  <c r="V2077" i="5" a="1"/>
  <c r="V2077" i="5" s="1"/>
  <c r="V2078" i="5" a="1"/>
  <c r="V2078" i="5"/>
  <c r="V2079" i="5" a="1"/>
  <c r="V2079" i="5" s="1"/>
  <c r="V2080" i="5" a="1"/>
  <c r="V2080" i="5"/>
  <c r="V2081" i="5" a="1"/>
  <c r="V2081" i="5" s="1"/>
  <c r="V2082" i="5" a="1"/>
  <c r="V2082" i="5"/>
  <c r="V2083" i="5" a="1"/>
  <c r="V2083" i="5" s="1"/>
  <c r="V2084" i="5" a="1"/>
  <c r="V2084" i="5"/>
  <c r="V2085" i="5" a="1"/>
  <c r="V2085" i="5" s="1"/>
  <c r="V2086" i="5" a="1"/>
  <c r="V2086" i="5"/>
  <c r="V2087" i="5" a="1"/>
  <c r="V2087" i="5" s="1"/>
  <c r="V2088" i="5" a="1"/>
  <c r="V2088" i="5"/>
  <c r="V2089" i="5" a="1"/>
  <c r="V2089" i="5" s="1"/>
  <c r="V2090" i="5" a="1"/>
  <c r="V2090" i="5"/>
  <c r="V2091" i="5" a="1"/>
  <c r="V2091" i="5" s="1"/>
  <c r="V2092" i="5" a="1"/>
  <c r="V2092" i="5"/>
  <c r="V2093" i="5" a="1"/>
  <c r="V2093" i="5" s="1"/>
  <c r="V2094" i="5" a="1"/>
  <c r="V2094" i="5"/>
  <c r="V2095" i="5" a="1"/>
  <c r="V2095" i="5" s="1"/>
  <c r="V2096" i="5" a="1"/>
  <c r="V2096" i="5"/>
  <c r="V2097" i="5" a="1"/>
  <c r="V2097" i="5" s="1"/>
  <c r="V2098" i="5" a="1"/>
  <c r="V2098" i="5"/>
  <c r="V2099" i="5" a="1"/>
  <c r="V2099" i="5" s="1"/>
  <c r="V2100" i="5" a="1"/>
  <c r="V2100" i="5"/>
  <c r="V2101" i="5" a="1"/>
  <c r="V2101" i="5" s="1"/>
  <c r="V2102" i="5" a="1"/>
  <c r="V2102" i="5"/>
  <c r="V2103" i="5" a="1"/>
  <c r="V2103" i="5" s="1"/>
  <c r="V2104" i="5" a="1"/>
  <c r="V2104" i="5"/>
  <c r="V2105" i="5" a="1"/>
  <c r="V2105" i="5" s="1"/>
  <c r="V2106" i="5" a="1"/>
  <c r="V2106" i="5"/>
  <c r="V2107" i="5" a="1"/>
  <c r="V2107" i="5" s="1"/>
  <c r="V2108" i="5" a="1"/>
  <c r="V2108" i="5"/>
  <c r="V2109" i="5" a="1"/>
  <c r="V2109" i="5" s="1"/>
  <c r="V2110" i="5" a="1"/>
  <c r="V2110" i="5"/>
  <c r="V2111" i="5" a="1"/>
  <c r="V2111" i="5" s="1"/>
  <c r="V2112" i="5" a="1"/>
  <c r="V2112" i="5"/>
  <c r="V2113" i="5" a="1"/>
  <c r="V2113" i="5" s="1"/>
  <c r="V2114" i="5" a="1"/>
  <c r="V2114" i="5"/>
  <c r="V2115" i="5" a="1"/>
  <c r="V2115" i="5" s="1"/>
  <c r="V2116" i="5" a="1"/>
  <c r="V2116" i="5"/>
  <c r="V2117" i="5" a="1"/>
  <c r="V2117" i="5" s="1"/>
  <c r="V2118" i="5" a="1"/>
  <c r="V2118" i="5"/>
  <c r="V2119" i="5" a="1"/>
  <c r="V2119" i="5" s="1"/>
  <c r="V2120" i="5" a="1"/>
  <c r="V2120" i="5"/>
  <c r="V2121" i="5" a="1"/>
  <c r="V2121" i="5" s="1"/>
  <c r="V2122" i="5" a="1"/>
  <c r="V2122" i="5"/>
  <c r="V2123" i="5" a="1"/>
  <c r="V2123" i="5" s="1"/>
  <c r="V2124" i="5" a="1"/>
  <c r="V2124" i="5"/>
  <c r="V2125" i="5" a="1"/>
  <c r="V2125" i="5" s="1"/>
  <c r="V2126" i="5" a="1"/>
  <c r="V2126" i="5"/>
  <c r="V2127" i="5" a="1"/>
  <c r="V2127" i="5" s="1"/>
  <c r="V2128" i="5" a="1"/>
  <c r="V2128" i="5"/>
  <c r="V2129" i="5" a="1"/>
  <c r="V2129" i="5" s="1"/>
  <c r="V2130" i="5" a="1"/>
  <c r="V2130" i="5"/>
  <c r="V2131" i="5" a="1"/>
  <c r="V2131" i="5" s="1"/>
  <c r="V2132" i="5" a="1"/>
  <c r="V2132" i="5"/>
  <c r="V2133" i="5" a="1"/>
  <c r="V2133" i="5" s="1"/>
  <c r="V2134" i="5" a="1"/>
  <c r="V2134" i="5"/>
  <c r="V2135" i="5" a="1"/>
  <c r="V2135" i="5" s="1"/>
  <c r="V2136" i="5" a="1"/>
  <c r="V2136" i="5"/>
  <c r="V2137" i="5" a="1"/>
  <c r="V2137" i="5" s="1"/>
  <c r="V2138" i="5" a="1"/>
  <c r="V2138" i="5"/>
  <c r="V2139" i="5" a="1"/>
  <c r="V2139" i="5" s="1"/>
  <c r="V2140" i="5" a="1"/>
  <c r="V2140" i="5"/>
  <c r="V2141" i="5" a="1"/>
  <c r="V2141" i="5" s="1"/>
  <c r="V2142" i="5" a="1"/>
  <c r="V2142" i="5"/>
  <c r="V2143" i="5" a="1"/>
  <c r="V2143" i="5" s="1"/>
  <c r="V2144" i="5" a="1"/>
  <c r="V2144" i="5"/>
  <c r="V2145" i="5" a="1"/>
  <c r="V2145" i="5" s="1"/>
  <c r="V2146" i="5" a="1"/>
  <c r="V2146" i="5"/>
  <c r="V2147" i="5" a="1"/>
  <c r="V2147" i="5" s="1"/>
  <c r="V2148" i="5" a="1"/>
  <c r="V2148" i="5"/>
  <c r="V2149" i="5" a="1"/>
  <c r="V2149" i="5" s="1"/>
  <c r="V2150" i="5" a="1"/>
  <c r="V2150" i="5"/>
  <c r="V2151" i="5" a="1"/>
  <c r="V2151" i="5" s="1"/>
  <c r="V2152" i="5" a="1"/>
  <c r="V2152" i="5"/>
  <c r="V2153" i="5" a="1"/>
  <c r="V2153" i="5" s="1"/>
  <c r="V2154" i="5" a="1"/>
  <c r="V2154" i="5"/>
  <c r="V2155" i="5" a="1"/>
  <c r="V2155" i="5" s="1"/>
  <c r="V2156" i="5" a="1"/>
  <c r="V2156" i="5"/>
  <c r="V2157" i="5" a="1"/>
  <c r="V2157" i="5" s="1"/>
  <c r="V2158" i="5" a="1"/>
  <c r="V2158" i="5"/>
  <c r="V2159" i="5" a="1"/>
  <c r="V2159" i="5" s="1"/>
  <c r="V2160" i="5" a="1"/>
  <c r="V2160" i="5"/>
  <c r="V2161" i="5" a="1"/>
  <c r="V2161" i="5" s="1"/>
  <c r="V2162" i="5" a="1"/>
  <c r="V2162" i="5"/>
  <c r="V2163" i="5" a="1"/>
  <c r="V2163" i="5" s="1"/>
  <c r="V2164" i="5" a="1"/>
  <c r="V2164" i="5"/>
  <c r="V2165" i="5" a="1"/>
  <c r="V2165" i="5" s="1"/>
  <c r="V2166" i="5" a="1"/>
  <c r="V2166" i="5"/>
  <c r="V2167" i="5" a="1"/>
  <c r="V2167" i="5" s="1"/>
  <c r="V2168" i="5" a="1"/>
  <c r="V2168" i="5"/>
  <c r="V2169" i="5" a="1"/>
  <c r="V2169" i="5" s="1"/>
  <c r="V2170" i="5" a="1"/>
  <c r="V2170" i="5"/>
  <c r="V2171" i="5" a="1"/>
  <c r="V2171" i="5" s="1"/>
  <c r="V2172" i="5" a="1"/>
  <c r="V2172" i="5"/>
  <c r="V2173" i="5" a="1"/>
  <c r="V2173" i="5" s="1"/>
  <c r="V2174" i="5" a="1"/>
  <c r="V2174" i="5"/>
  <c r="V2175" i="5" a="1"/>
  <c r="V2175" i="5" s="1"/>
  <c r="V2176" i="5" a="1"/>
  <c r="V2176" i="5"/>
  <c r="V2177" i="5" a="1"/>
  <c r="V2177" i="5" s="1"/>
  <c r="V2178" i="5" a="1"/>
  <c r="V2178" i="5"/>
  <c r="V2179" i="5" a="1"/>
  <c r="V2179" i="5" s="1"/>
  <c r="V2180" i="5" a="1"/>
  <c r="V2180" i="5"/>
  <c r="V2181" i="5" a="1"/>
  <c r="V2181" i="5" s="1"/>
  <c r="V2182" i="5" a="1"/>
  <c r="V2182" i="5"/>
  <c r="V2183" i="5" a="1"/>
  <c r="V2183" i="5" s="1"/>
  <c r="V2184" i="5" a="1"/>
  <c r="V2184" i="5"/>
  <c r="V2185" i="5" a="1"/>
  <c r="V2185" i="5" s="1"/>
  <c r="V2186" i="5" a="1"/>
  <c r="V2186" i="5"/>
  <c r="V2187" i="5" a="1"/>
  <c r="V2187" i="5" s="1"/>
  <c r="V2188" i="5" a="1"/>
  <c r="V2188" i="5"/>
  <c r="V2189" i="5" a="1"/>
  <c r="V2189" i="5" s="1"/>
  <c r="V2190" i="5" a="1"/>
  <c r="V2190" i="5"/>
  <c r="V2191" i="5" a="1"/>
  <c r="V2191" i="5" s="1"/>
  <c r="V2192" i="5" a="1"/>
  <c r="V2192" i="5"/>
  <c r="V2193" i="5" a="1"/>
  <c r="V2193" i="5" s="1"/>
  <c r="V2194" i="5" a="1"/>
  <c r="V2194" i="5"/>
  <c r="V2195" i="5" a="1"/>
  <c r="V2195" i="5" s="1"/>
  <c r="V2196" i="5" a="1"/>
  <c r="V2196" i="5"/>
  <c r="V2197" i="5" a="1"/>
  <c r="V2197" i="5" s="1"/>
  <c r="V2198" i="5" a="1"/>
  <c r="V2198" i="5"/>
  <c r="V2199" i="5" a="1"/>
  <c r="V2199" i="5" s="1"/>
  <c r="V2200" i="5" a="1"/>
  <c r="V2200" i="5"/>
  <c r="V2201" i="5" a="1"/>
  <c r="V2201" i="5" s="1"/>
  <c r="V2202" i="5" a="1"/>
  <c r="V2202" i="5"/>
  <c r="V2203" i="5" a="1"/>
  <c r="V2203" i="5" s="1"/>
  <c r="V2204" i="5" a="1"/>
  <c r="V2204" i="5"/>
  <c r="V2205" i="5" a="1"/>
  <c r="V2205" i="5" s="1"/>
  <c r="V2206" i="5" a="1"/>
  <c r="V2206" i="5"/>
  <c r="V2207" i="5" a="1"/>
  <c r="V2207" i="5" s="1"/>
  <c r="V2208" i="5" a="1"/>
  <c r="V2208" i="5"/>
  <c r="V2209" i="5" a="1"/>
  <c r="V2209" i="5" s="1"/>
  <c r="V2210" i="5" a="1"/>
  <c r="V2210" i="5"/>
  <c r="V2211" i="5" a="1"/>
  <c r="V2211" i="5" s="1"/>
  <c r="V2212" i="5" a="1"/>
  <c r="V2212" i="5"/>
  <c r="V2213" i="5" a="1"/>
  <c r="V2213" i="5" s="1"/>
  <c r="V2214" i="5" a="1"/>
  <c r="V2214" i="5"/>
  <c r="V2215" i="5" a="1"/>
  <c r="V2215" i="5" s="1"/>
  <c r="V2216" i="5" a="1"/>
  <c r="V2216" i="5"/>
  <c r="V2217" i="5" a="1"/>
  <c r="V2217" i="5" s="1"/>
  <c r="V2218" i="5" a="1"/>
  <c r="V2218" i="5"/>
  <c r="V2219" i="5" a="1"/>
  <c r="V2219" i="5" s="1"/>
  <c r="V2220" i="5" a="1"/>
  <c r="V2220" i="5"/>
  <c r="V2221" i="5" a="1"/>
  <c r="V2221" i="5" s="1"/>
  <c r="V2222" i="5" a="1"/>
  <c r="V2222" i="5"/>
  <c r="V2223" i="5" a="1"/>
  <c r="V2223" i="5" s="1"/>
  <c r="V2224" i="5" a="1"/>
  <c r="V2224" i="5"/>
  <c r="V2225" i="5" a="1"/>
  <c r="V2225" i="5" s="1"/>
  <c r="V2226" i="5" a="1"/>
  <c r="V2226" i="5"/>
  <c r="V2227" i="5" a="1"/>
  <c r="V2227" i="5" s="1"/>
  <c r="V2228" i="5" a="1"/>
  <c r="V2228" i="5"/>
  <c r="V2229" i="5" a="1"/>
  <c r="V2229" i="5" s="1"/>
  <c r="V2230" i="5" a="1"/>
  <c r="V2230" i="5"/>
  <c r="V2231" i="5" a="1"/>
  <c r="V2231" i="5" s="1"/>
  <c r="V2232" i="5" a="1"/>
  <c r="V2232" i="5"/>
  <c r="V2233" i="5" a="1"/>
  <c r="V2233" i="5" s="1"/>
  <c r="V2234" i="5" a="1"/>
  <c r="V2234" i="5"/>
  <c r="V2235" i="5" a="1"/>
  <c r="V2235" i="5" s="1"/>
  <c r="V2236" i="5" a="1"/>
  <c r="V2236" i="5"/>
  <c r="V2237" i="5" a="1"/>
  <c r="V2237" i="5" s="1"/>
  <c r="V2238" i="5" a="1"/>
  <c r="V2238" i="5"/>
  <c r="V2239" i="5" a="1"/>
  <c r="V2239" i="5" s="1"/>
  <c r="V2240" i="5" a="1"/>
  <c r="V2240" i="5"/>
  <c r="V2241" i="5" a="1"/>
  <c r="V2241" i="5" s="1"/>
  <c r="V2242" i="5" a="1"/>
  <c r="V2242" i="5"/>
  <c r="V2243" i="5" a="1"/>
  <c r="V2243" i="5" s="1"/>
  <c r="V2244" i="5" a="1"/>
  <c r="V2244" i="5"/>
  <c r="V2245" i="5" a="1"/>
  <c r="V2245" i="5" s="1"/>
  <c r="V2246" i="5" a="1"/>
  <c r="V2246" i="5"/>
  <c r="V2247" i="5" a="1"/>
  <c r="V2247" i="5" s="1"/>
  <c r="V2248" i="5" a="1"/>
  <c r="V2248" i="5"/>
  <c r="V2249" i="5" a="1"/>
  <c r="V2249" i="5" s="1"/>
  <c r="V2250" i="5" a="1"/>
  <c r="V2250" i="5"/>
  <c r="V2251" i="5" a="1"/>
  <c r="V2251" i="5" s="1"/>
  <c r="V2252" i="5" a="1"/>
  <c r="V2252" i="5"/>
  <c r="V2253" i="5" a="1"/>
  <c r="V2253" i="5" s="1"/>
  <c r="V2254" i="5" a="1"/>
  <c r="V2254" i="5"/>
  <c r="V2255" i="5" a="1"/>
  <c r="V2255" i="5" s="1"/>
  <c r="V2256" i="5" a="1"/>
  <c r="V2256" i="5"/>
  <c r="V2257" i="5" a="1"/>
  <c r="V2257" i="5" s="1"/>
  <c r="V2258" i="5" a="1"/>
  <c r="V2258" i="5"/>
  <c r="V2259" i="5" a="1"/>
  <c r="V2259" i="5" s="1"/>
  <c r="V2260" i="5" a="1"/>
  <c r="V2260" i="5"/>
  <c r="V2261" i="5" a="1"/>
  <c r="V2261" i="5" s="1"/>
  <c r="V2262" i="5" a="1"/>
  <c r="V2262" i="5"/>
  <c r="V2263" i="5" a="1"/>
  <c r="V2263" i="5" s="1"/>
  <c r="V2264" i="5" a="1"/>
  <c r="V2264" i="5"/>
  <c r="V2265" i="5" a="1"/>
  <c r="V2265" i="5" s="1"/>
  <c r="V2266" i="5" a="1"/>
  <c r="V2266" i="5"/>
  <c r="V2267" i="5" a="1"/>
  <c r="V2267" i="5" s="1"/>
  <c r="V2268" i="5" a="1"/>
  <c r="V2268" i="5"/>
  <c r="V2269" i="5" a="1"/>
  <c r="V2269" i="5" s="1"/>
  <c r="V2270" i="5" a="1"/>
  <c r="V2270" i="5"/>
  <c r="V2271" i="5" a="1"/>
  <c r="V2271" i="5" s="1"/>
  <c r="V2272" i="5" a="1"/>
  <c r="V2272" i="5"/>
  <c r="V2273" i="5" a="1"/>
  <c r="V2273" i="5" s="1"/>
  <c r="V2274" i="5" a="1"/>
  <c r="V2274" i="5"/>
  <c r="V2275" i="5" a="1"/>
  <c r="V2275" i="5" s="1"/>
  <c r="V2276" i="5" a="1"/>
  <c r="V2276" i="5"/>
  <c r="V2277" i="5" a="1"/>
  <c r="V2277" i="5" s="1"/>
  <c r="V2278" i="5" a="1"/>
  <c r="V2278" i="5"/>
  <c r="V2279" i="5" a="1"/>
  <c r="V2279" i="5" s="1"/>
  <c r="V2280" i="5" a="1"/>
  <c r="V2280" i="5"/>
  <c r="V2281" i="5" a="1"/>
  <c r="V2281" i="5" s="1"/>
  <c r="V2282" i="5" a="1"/>
  <c r="V2282" i="5"/>
  <c r="V2283" i="5" a="1"/>
  <c r="V2283" i="5" s="1"/>
  <c r="V2284" i="5" a="1"/>
  <c r="V2284" i="5"/>
  <c r="V2285" i="5" a="1"/>
  <c r="V2285" i="5" s="1"/>
  <c r="V2286" i="5" a="1"/>
  <c r="V2286" i="5"/>
  <c r="V2287" i="5" a="1"/>
  <c r="V2287" i="5" s="1"/>
  <c r="V2288" i="5" a="1"/>
  <c r="V2288" i="5"/>
  <c r="V2289" i="5" a="1"/>
  <c r="V2289" i="5" s="1"/>
  <c r="V2290" i="5" a="1"/>
  <c r="V2290" i="5"/>
  <c r="V2291" i="5" a="1"/>
  <c r="V2291" i="5" s="1"/>
  <c r="V2292" i="5" a="1"/>
  <c r="V2292" i="5"/>
  <c r="V2293" i="5" a="1"/>
  <c r="V2293" i="5" s="1"/>
  <c r="V2294" i="5" a="1"/>
  <c r="V2294" i="5"/>
  <c r="V2295" i="5" a="1"/>
  <c r="V2295" i="5" s="1"/>
  <c r="V2296" i="5" a="1"/>
  <c r="V2296" i="5"/>
  <c r="V2297" i="5" a="1"/>
  <c r="V2297" i="5" s="1"/>
  <c r="V2298" i="5" a="1"/>
  <c r="V2298" i="5"/>
  <c r="V2299" i="5" a="1"/>
  <c r="V2299" i="5" s="1"/>
  <c r="V2300" i="5" a="1"/>
  <c r="V2300" i="5"/>
  <c r="V2301" i="5" a="1"/>
  <c r="V2301" i="5" s="1"/>
  <c r="V2302" i="5" a="1"/>
  <c r="V2302" i="5"/>
  <c r="V2303" i="5" a="1"/>
  <c r="V2303" i="5" s="1"/>
  <c r="V2304" i="5" a="1"/>
  <c r="V2304" i="5"/>
  <c r="V2305" i="5" a="1"/>
  <c r="V2305" i="5" s="1"/>
  <c r="V2306" i="5" a="1"/>
  <c r="V2306" i="5"/>
  <c r="V2307" i="5" a="1"/>
  <c r="V2307" i="5" s="1"/>
  <c r="V2308" i="5" a="1"/>
  <c r="V2308" i="5"/>
  <c r="V2309" i="5" a="1"/>
  <c r="V2309" i="5" s="1"/>
  <c r="V2310" i="5" a="1"/>
  <c r="V2310" i="5"/>
  <c r="V2311" i="5" a="1"/>
  <c r="V2311" i="5" s="1"/>
  <c r="V2312" i="5" a="1"/>
  <c r="V2312" i="5"/>
  <c r="V2313" i="5" a="1"/>
  <c r="V2313" i="5" s="1"/>
  <c r="V2314" i="5" a="1"/>
  <c r="V2314" i="5"/>
  <c r="V2315" i="5" a="1"/>
  <c r="V2315" i="5" s="1"/>
  <c r="V2316" i="5" a="1"/>
  <c r="V2316" i="5"/>
  <c r="V2317" i="5" a="1"/>
  <c r="V2317" i="5" s="1"/>
  <c r="V2318" i="5" a="1"/>
  <c r="V2318" i="5"/>
  <c r="V2319" i="5" a="1"/>
  <c r="V2319" i="5" s="1"/>
  <c r="V2320" i="5" a="1"/>
  <c r="V2320" i="5"/>
  <c r="V2321" i="5" a="1"/>
  <c r="V2321" i="5" s="1"/>
  <c r="V2322" i="5" a="1"/>
  <c r="V2322" i="5"/>
  <c r="V2323" i="5" a="1"/>
  <c r="V2323" i="5" s="1"/>
  <c r="V2324" i="5" a="1"/>
  <c r="V2324" i="5"/>
  <c r="V2325" i="5" a="1"/>
  <c r="V2325" i="5" s="1"/>
  <c r="V2326" i="5" a="1"/>
  <c r="V2326" i="5"/>
  <c r="V2327" i="5" a="1"/>
  <c r="V2327" i="5" s="1"/>
  <c r="V2328" i="5" a="1"/>
  <c r="V2328" i="5"/>
  <c r="V2329" i="5" a="1"/>
  <c r="V2329" i="5" s="1"/>
  <c r="V2330" i="5" a="1"/>
  <c r="V2330" i="5"/>
  <c r="V2331" i="5" a="1"/>
  <c r="V2331" i="5" s="1"/>
  <c r="V2332" i="5" a="1"/>
  <c r="V2332" i="5"/>
  <c r="V2333" i="5" a="1"/>
  <c r="V2333" i="5" s="1"/>
  <c r="V2334" i="5" a="1"/>
  <c r="V2334" i="5"/>
  <c r="V2335" i="5" a="1"/>
  <c r="V2335" i="5" s="1"/>
  <c r="V2336" i="5" a="1"/>
  <c r="V2336" i="5"/>
  <c r="V2337" i="5" a="1"/>
  <c r="V2337" i="5" s="1"/>
  <c r="V2338" i="5" a="1"/>
  <c r="V2338" i="5"/>
  <c r="V2339" i="5" a="1"/>
  <c r="V2339" i="5" s="1"/>
  <c r="V2340" i="5" a="1"/>
  <c r="V2340" i="5"/>
  <c r="V2341" i="5" a="1"/>
  <c r="V2341" i="5" s="1"/>
  <c r="V2342" i="5" a="1"/>
  <c r="V2342" i="5"/>
  <c r="V2343" i="5" a="1"/>
  <c r="V2343" i="5" s="1"/>
  <c r="V2344" i="5" a="1"/>
  <c r="V2344" i="5"/>
  <c r="V2345" i="5" a="1"/>
  <c r="V2345" i="5" s="1"/>
  <c r="V2346" i="5" a="1"/>
  <c r="V2346" i="5"/>
  <c r="V2347" i="5" a="1"/>
  <c r="V2347" i="5" s="1"/>
  <c r="V2348" i="5" a="1"/>
  <c r="V2348" i="5"/>
  <c r="V2349" i="5" a="1"/>
  <c r="V2349" i="5" s="1"/>
  <c r="V2350" i="5" a="1"/>
  <c r="V2350" i="5"/>
  <c r="V2351" i="5" a="1"/>
  <c r="V2351" i="5" s="1"/>
  <c r="V2352" i="5" a="1"/>
  <c r="V2352" i="5"/>
  <c r="V2353" i="5" a="1"/>
  <c r="V2353" i="5" s="1"/>
  <c r="V2354" i="5" a="1"/>
  <c r="V2354" i="5"/>
  <c r="V2355" i="5" a="1"/>
  <c r="V2355" i="5" s="1"/>
  <c r="V2356" i="5" a="1"/>
  <c r="V2356" i="5"/>
  <c r="V2357" i="5" a="1"/>
  <c r="V2357" i="5" s="1"/>
  <c r="V2358" i="5" a="1"/>
  <c r="V2358" i="5"/>
  <c r="V2359" i="5" a="1"/>
  <c r="V2359" i="5" s="1"/>
  <c r="V2360" i="5" a="1"/>
  <c r="V2360" i="5"/>
  <c r="V2361" i="5" a="1"/>
  <c r="V2361" i="5" s="1"/>
  <c r="V2362" i="5" a="1"/>
  <c r="V2362" i="5"/>
  <c r="V2363" i="5" a="1"/>
  <c r="V2363" i="5" s="1"/>
  <c r="V2364" i="5" a="1"/>
  <c r="V2364" i="5"/>
  <c r="V2365" i="5" a="1"/>
  <c r="V2365" i="5" s="1"/>
  <c r="V2366" i="5" a="1"/>
  <c r="V2366" i="5"/>
  <c r="V2367" i="5" a="1"/>
  <c r="V2367" i="5" s="1"/>
  <c r="V2368" i="5" a="1"/>
  <c r="V2368" i="5"/>
  <c r="V2369" i="5" a="1"/>
  <c r="V2369" i="5" s="1"/>
  <c r="V2370" i="5" a="1"/>
  <c r="V2370" i="5"/>
  <c r="V2371" i="5" a="1"/>
  <c r="V2371" i="5" s="1"/>
  <c r="V2372" i="5" a="1"/>
  <c r="V2372" i="5"/>
  <c r="V2373" i="5" a="1"/>
  <c r="V2373" i="5" s="1"/>
  <c r="V2374" i="5" a="1"/>
  <c r="V2374" i="5"/>
  <c r="V2375" i="5" a="1"/>
  <c r="V2375" i="5" s="1"/>
  <c r="V2376" i="5" a="1"/>
  <c r="V2376" i="5"/>
  <c r="V2377" i="5" a="1"/>
  <c r="V2377" i="5" s="1"/>
  <c r="V2378" i="5" a="1"/>
  <c r="V2378" i="5"/>
  <c r="V2379" i="5" a="1"/>
  <c r="V2379" i="5" s="1"/>
  <c r="V2380" i="5" a="1"/>
  <c r="V2380" i="5"/>
  <c r="V2381" i="5" a="1"/>
  <c r="V2381" i="5" s="1"/>
  <c r="V2382" i="5" a="1"/>
  <c r="V2382" i="5"/>
  <c r="V2383" i="5" a="1"/>
  <c r="V2383" i="5" s="1"/>
  <c r="V2384" i="5" a="1"/>
  <c r="V2384" i="5"/>
  <c r="V2385" i="5" a="1"/>
  <c r="V2385" i="5" s="1"/>
  <c r="V2386" i="5" a="1"/>
  <c r="V2386" i="5"/>
  <c r="V2387" i="5" a="1"/>
  <c r="V2387" i="5" s="1"/>
  <c r="V2388" i="5" a="1"/>
  <c r="V2388" i="5"/>
  <c r="V2389" i="5" a="1"/>
  <c r="V2389" i="5" s="1"/>
  <c r="V2390" i="5" a="1"/>
  <c r="V2390" i="5"/>
  <c r="V2391" i="5" a="1"/>
  <c r="V2391" i="5" s="1"/>
  <c r="V2392" i="5" a="1"/>
  <c r="V2392" i="5"/>
  <c r="V2393" i="5" a="1"/>
  <c r="V2393" i="5" s="1"/>
  <c r="V2394" i="5" a="1"/>
  <c r="V2394" i="5"/>
  <c r="V2395" i="5" a="1"/>
  <c r="V2395" i="5" s="1"/>
  <c r="V2396" i="5" a="1"/>
  <c r="V2396" i="5"/>
  <c r="V2397" i="5" a="1"/>
  <c r="V2397" i="5" s="1"/>
  <c r="V2398" i="5" a="1"/>
  <c r="V2398" i="5"/>
  <c r="V2399" i="5" a="1"/>
  <c r="V2399" i="5" s="1"/>
  <c r="V2400" i="5" a="1"/>
  <c r="V2400" i="5"/>
  <c r="V2401" i="5" a="1"/>
  <c r="V2401" i="5" s="1"/>
  <c r="V2402" i="5" a="1"/>
  <c r="V2402" i="5"/>
  <c r="V2403" i="5" a="1"/>
  <c r="V2403" i="5" s="1"/>
  <c r="V2404" i="5" a="1"/>
  <c r="V2404" i="5"/>
  <c r="V2405" i="5" a="1"/>
  <c r="V2405" i="5" s="1"/>
  <c r="V2406" i="5" a="1"/>
  <c r="V2406" i="5"/>
  <c r="V2407" i="5" a="1"/>
  <c r="V2407" i="5" s="1"/>
  <c r="V2408" i="5" a="1"/>
  <c r="V2408" i="5"/>
  <c r="V2409" i="5" a="1"/>
  <c r="V2409" i="5" s="1"/>
  <c r="V2410" i="5" a="1"/>
  <c r="V2410" i="5"/>
  <c r="V2411" i="5" a="1"/>
  <c r="V2411" i="5" s="1"/>
  <c r="V2412" i="5" a="1"/>
  <c r="V2412" i="5"/>
  <c r="V2413" i="5" a="1"/>
  <c r="V2413" i="5" s="1"/>
  <c r="V2414" i="5" a="1"/>
  <c r="V2414" i="5"/>
  <c r="V2415" i="5" a="1"/>
  <c r="V2415" i="5" s="1"/>
  <c r="V2416" i="5" a="1"/>
  <c r="V2416" i="5"/>
  <c r="V2417" i="5" a="1"/>
  <c r="V2417" i="5" s="1"/>
  <c r="V2418" i="5" a="1"/>
  <c r="V2418" i="5"/>
  <c r="V2419" i="5" a="1"/>
  <c r="V2419" i="5" s="1"/>
  <c r="V2420" i="5" a="1"/>
  <c r="V2420" i="5"/>
  <c r="V2421" i="5" a="1"/>
  <c r="V2421" i="5" s="1"/>
  <c r="V2422" i="5" a="1"/>
  <c r="V2422" i="5"/>
  <c r="V2423" i="5" a="1"/>
  <c r="V2423" i="5" s="1"/>
  <c r="V2424" i="5" a="1"/>
  <c r="V2424" i="5"/>
  <c r="V2425" i="5" a="1"/>
  <c r="V2425" i="5" s="1"/>
  <c r="V2426" i="5" a="1"/>
  <c r="V2426" i="5"/>
  <c r="V2427" i="5" a="1"/>
  <c r="V2427" i="5" s="1"/>
  <c r="V2428" i="5" a="1"/>
  <c r="V2428" i="5"/>
  <c r="V2429" i="5" a="1"/>
  <c r="V2429" i="5" s="1"/>
  <c r="V2430" i="5" a="1"/>
  <c r="V2430" i="5"/>
  <c r="V2431" i="5" a="1"/>
  <c r="V2431" i="5" s="1"/>
  <c r="V2432" i="5" a="1"/>
  <c r="V2432" i="5"/>
  <c r="V2433" i="5" a="1"/>
  <c r="V2433" i="5" s="1"/>
  <c r="V2434" i="5" a="1"/>
  <c r="V2434" i="5"/>
  <c r="V2435" i="5" a="1"/>
  <c r="V2435" i="5" s="1"/>
  <c r="V2436" i="5" a="1"/>
  <c r="V2436" i="5"/>
  <c r="V2437" i="5" a="1"/>
  <c r="V2437" i="5" s="1"/>
  <c r="V2438" i="5" a="1"/>
  <c r="V2438" i="5" s="1"/>
  <c r="V2439" i="5" a="1"/>
  <c r="V2439" i="5" s="1"/>
  <c r="V2440" i="5" a="1"/>
  <c r="V2440" i="5" s="1"/>
  <c r="V2441" i="5" a="1"/>
  <c r="V2441" i="5" s="1"/>
  <c r="V2442" i="5" a="1"/>
  <c r="V2442" i="5" s="1"/>
  <c r="V2443" i="5" a="1"/>
  <c r="V2443" i="5" s="1"/>
  <c r="V2444" i="5" a="1"/>
  <c r="V2444" i="5" s="1"/>
  <c r="V2445" i="5" a="1"/>
  <c r="V2445" i="5" s="1"/>
  <c r="V2446" i="5" a="1"/>
  <c r="V2446" i="5" s="1"/>
  <c r="V2447" i="5" a="1"/>
  <c r="V2447" i="5" s="1"/>
  <c r="V2448" i="5" a="1"/>
  <c r="V2448" i="5" s="1"/>
  <c r="V2449" i="5" a="1"/>
  <c r="V2449" i="5" s="1"/>
  <c r="V2450" i="5" a="1"/>
  <c r="V2450" i="5" s="1"/>
  <c r="V2451" i="5" a="1"/>
  <c r="V2451" i="5" s="1"/>
  <c r="V2452" i="5" a="1"/>
  <c r="V2452" i="5" s="1"/>
  <c r="V2453" i="5" a="1"/>
  <c r="V2453" i="5" s="1"/>
  <c r="V2454" i="5" a="1"/>
  <c r="V2454" i="5" s="1"/>
  <c r="V2455" i="5" a="1"/>
  <c r="V2455" i="5" s="1"/>
  <c r="V2456" i="5" a="1"/>
  <c r="V2456" i="5" s="1"/>
  <c r="V2457" i="5" a="1"/>
  <c r="V2457" i="5" s="1"/>
  <c r="V2458" i="5" a="1"/>
  <c r="V2458" i="5" s="1"/>
  <c r="V2459" i="5" a="1"/>
  <c r="V2459" i="5" s="1"/>
  <c r="V2460" i="5" a="1"/>
  <c r="V2460" i="5" s="1"/>
  <c r="V2461" i="5" a="1"/>
  <c r="V2461" i="5" s="1"/>
  <c r="V2462" i="5" a="1"/>
  <c r="V2462" i="5" s="1"/>
  <c r="V2463" i="5" a="1"/>
  <c r="V2463" i="5" s="1"/>
  <c r="V2464" i="5" a="1"/>
  <c r="V2464" i="5" s="1"/>
  <c r="V2465" i="5" a="1"/>
  <c r="V2465" i="5" s="1"/>
  <c r="V2466" i="5" a="1"/>
  <c r="V2466" i="5" s="1"/>
  <c r="V2467" i="5" a="1"/>
  <c r="V2467" i="5" s="1"/>
  <c r="V2468" i="5" a="1"/>
  <c r="V2468" i="5" s="1"/>
  <c r="V2469" i="5" a="1"/>
  <c r="V2469" i="5" s="1"/>
  <c r="V2470" i="5" a="1"/>
  <c r="V2470" i="5" s="1"/>
  <c r="V2471" i="5" a="1"/>
  <c r="V2471" i="5" s="1"/>
  <c r="V2472" i="5" a="1"/>
  <c r="V2472" i="5" s="1"/>
  <c r="V2473" i="5" a="1"/>
  <c r="V2473" i="5" s="1"/>
  <c r="V2474" i="5" a="1"/>
  <c r="V2474" i="5" s="1"/>
  <c r="V2475" i="5" a="1"/>
  <c r="V2475" i="5" s="1"/>
  <c r="V2476" i="5" a="1"/>
  <c r="V2476" i="5" s="1"/>
  <c r="V2477" i="5" a="1"/>
  <c r="V2477" i="5" s="1"/>
  <c r="V2478" i="5" a="1"/>
  <c r="V2478" i="5" s="1"/>
  <c r="V2479" i="5" a="1"/>
  <c r="V2479" i="5" s="1"/>
  <c r="V2480" i="5" a="1"/>
  <c r="V2480" i="5" s="1"/>
  <c r="V2481" i="5" a="1"/>
  <c r="V2481" i="5" s="1"/>
  <c r="V2482" i="5" a="1"/>
  <c r="V2482" i="5" s="1"/>
  <c r="V2483" i="5" a="1"/>
  <c r="V2483" i="5" s="1"/>
  <c r="V2484" i="5" a="1"/>
  <c r="V2484" i="5" s="1"/>
  <c r="V2485" i="5" a="1"/>
  <c r="V2485" i="5" s="1"/>
  <c r="V2486" i="5" a="1"/>
  <c r="V2486" i="5" s="1"/>
  <c r="V2487" i="5" a="1"/>
  <c r="V2487" i="5" s="1"/>
  <c r="V2488" i="5" a="1"/>
  <c r="V2488" i="5" s="1"/>
  <c r="V2489" i="5" a="1"/>
  <c r="V2489" i="5" s="1"/>
  <c r="V2490" i="5" a="1"/>
  <c r="V2490" i="5" s="1"/>
  <c r="V2491" i="5" a="1"/>
  <c r="V2491" i="5" s="1"/>
  <c r="V2492" i="5" a="1"/>
  <c r="V2492" i="5" s="1"/>
  <c r="V2493" i="5" a="1"/>
  <c r="V2493" i="5" s="1"/>
  <c r="V2494" i="5" a="1"/>
  <c r="V2494" i="5" s="1"/>
  <c r="V2495" i="5" a="1"/>
  <c r="V2495" i="5" s="1"/>
  <c r="V2496" i="5" a="1"/>
  <c r="V2496" i="5" s="1"/>
  <c r="V2497" i="5" a="1"/>
  <c r="V2497" i="5" s="1"/>
  <c r="V2498" i="5" a="1"/>
  <c r="V2498" i="5" s="1"/>
  <c r="V2499" i="5" a="1"/>
  <c r="V2499" i="5" s="1"/>
  <c r="V2500" i="5" a="1"/>
  <c r="V2500" i="5" s="1"/>
  <c r="V2501" i="5" a="1"/>
  <c r="V2501" i="5" s="1"/>
  <c r="V2502" i="5" a="1"/>
  <c r="V2502" i="5" s="1"/>
  <c r="V2503" i="5" a="1"/>
  <c r="V2503" i="5" s="1"/>
  <c r="V2504" i="5" a="1"/>
  <c r="V2504" i="5" s="1"/>
  <c r="V2505" i="5" a="1"/>
  <c r="V2505" i="5" s="1"/>
  <c r="V2506" i="5" a="1"/>
  <c r="V2506" i="5" s="1"/>
  <c r="V2507" i="5" a="1"/>
  <c r="V2507" i="5" s="1"/>
  <c r="V2508" i="5" a="1"/>
  <c r="V2508" i="5" s="1"/>
  <c r="V2509" i="5" a="1"/>
  <c r="V2509" i="5" s="1"/>
  <c r="V2510" i="5" a="1"/>
  <c r="V2510" i="5" s="1"/>
  <c r="V2511" i="5" a="1"/>
  <c r="V2511" i="5" s="1"/>
  <c r="V2512" i="5" a="1"/>
  <c r="V2512" i="5" s="1"/>
  <c r="V2513" i="5" a="1"/>
  <c r="V2513" i="5" s="1"/>
  <c r="V2514" i="5" a="1"/>
  <c r="V2514" i="5" s="1"/>
  <c r="V2515" i="5" a="1"/>
  <c r="V2515" i="5" s="1"/>
  <c r="V2516" i="5" a="1"/>
  <c r="V2516" i="5" s="1"/>
  <c r="V2517" i="5" a="1"/>
  <c r="V2517" i="5" s="1"/>
  <c r="V2518" i="5" a="1"/>
  <c r="V2518" i="5" s="1"/>
  <c r="V2519" i="5" a="1"/>
  <c r="V2519" i="5" s="1"/>
  <c r="V2520" i="5" a="1"/>
  <c r="V2520" i="5" s="1"/>
  <c r="V2521" i="5" a="1"/>
  <c r="V2521" i="5" s="1"/>
  <c r="V2522" i="5" a="1"/>
  <c r="V2522" i="5" s="1"/>
  <c r="V2523" i="5" a="1"/>
  <c r="V2523" i="5" s="1"/>
  <c r="V2524" i="5" a="1"/>
  <c r="V2524" i="5" s="1"/>
  <c r="V2525" i="5" a="1"/>
  <c r="V2525" i="5" s="1"/>
  <c r="V2526" i="5" a="1"/>
  <c r="V2526" i="5" s="1"/>
  <c r="V2527" i="5" a="1"/>
  <c r="V2527" i="5" s="1"/>
  <c r="V2528" i="5" a="1"/>
  <c r="V2528" i="5" s="1"/>
  <c r="V2529" i="5" a="1"/>
  <c r="V2529" i="5" s="1"/>
  <c r="V2530" i="5" a="1"/>
  <c r="V2530" i="5" s="1"/>
  <c r="V2531" i="5" a="1"/>
  <c r="V2531" i="5" s="1"/>
  <c r="V2532" i="5" a="1"/>
  <c r="V2532" i="5" s="1"/>
  <c r="V2533" i="5" a="1"/>
  <c r="V2533" i="5" s="1"/>
  <c r="V2534" i="5" a="1"/>
  <c r="V2534" i="5" s="1"/>
  <c r="V2535" i="5" a="1"/>
  <c r="V2535" i="5" s="1"/>
  <c r="V2536" i="5" a="1"/>
  <c r="V2536" i="5" s="1"/>
  <c r="V2537" i="5" a="1"/>
  <c r="V2537" i="5" s="1"/>
  <c r="V2538" i="5" a="1"/>
  <c r="V2538" i="5" s="1"/>
  <c r="V2539" i="5" a="1"/>
  <c r="V2539" i="5" s="1"/>
  <c r="V2540" i="5" a="1"/>
  <c r="V2540" i="5" s="1"/>
  <c r="V2541" i="5" a="1"/>
  <c r="V2541" i="5" s="1"/>
  <c r="V2542" i="5" a="1"/>
  <c r="V2542" i="5" s="1"/>
  <c r="V2543" i="5" a="1"/>
  <c r="V2543" i="5" s="1"/>
  <c r="V2544" i="5" a="1"/>
  <c r="V2544" i="5" s="1"/>
  <c r="V2545" i="5" a="1"/>
  <c r="V2545" i="5" s="1"/>
  <c r="V2546" i="5" a="1"/>
  <c r="V2546" i="5" s="1"/>
  <c r="V2547" i="5" a="1"/>
  <c r="V2547" i="5" s="1"/>
  <c r="V2548" i="5" a="1"/>
  <c r="V2548" i="5" s="1"/>
  <c r="V2549" i="5" a="1"/>
  <c r="V2549" i="5" s="1"/>
  <c r="V2550" i="5" a="1"/>
  <c r="V2550" i="5" s="1"/>
  <c r="V2551" i="5" a="1"/>
  <c r="V2551" i="5" s="1"/>
  <c r="V2552" i="5" a="1"/>
  <c r="V2552" i="5" s="1"/>
  <c r="V2553" i="5" a="1"/>
  <c r="V2553" i="5" s="1"/>
  <c r="V2554" i="5" a="1"/>
  <c r="V2554" i="5" s="1"/>
  <c r="V2555" i="5" a="1"/>
  <c r="V2555" i="5" s="1"/>
  <c r="V2556" i="5" a="1"/>
  <c r="V2556" i="5" s="1"/>
  <c r="V2557" i="5" a="1"/>
  <c r="V2557" i="5" s="1"/>
  <c r="V2558" i="5" a="1"/>
  <c r="V2558" i="5" s="1"/>
  <c r="V2559" i="5" a="1"/>
  <c r="V2559" i="5" s="1"/>
  <c r="V2560" i="5" a="1"/>
  <c r="V2560" i="5" s="1"/>
  <c r="V2561" i="5" a="1"/>
  <c r="V2561" i="5" s="1"/>
  <c r="V2562" i="5" a="1"/>
  <c r="V2562" i="5" s="1"/>
  <c r="V2563" i="5" a="1"/>
  <c r="V2563" i="5" s="1"/>
  <c r="V2564" i="5" a="1"/>
  <c r="V2564" i="5" s="1"/>
  <c r="V2565" i="5" a="1"/>
  <c r="V2565" i="5" s="1"/>
  <c r="V2566" i="5" a="1"/>
  <c r="V2566" i="5" s="1"/>
  <c r="V2567" i="5" a="1"/>
  <c r="V2567" i="5" s="1"/>
  <c r="V2568" i="5" a="1"/>
  <c r="V2568" i="5" s="1"/>
  <c r="V2569" i="5" a="1"/>
  <c r="V2569" i="5" s="1"/>
  <c r="V2570" i="5" a="1"/>
  <c r="V2570" i="5" s="1"/>
  <c r="V2571" i="5" a="1"/>
  <c r="V2571" i="5" s="1"/>
  <c r="V2572" i="5" a="1"/>
  <c r="V2572" i="5" s="1"/>
  <c r="V2573" i="5" a="1"/>
  <c r="V2573" i="5" s="1"/>
  <c r="V2574" i="5" a="1"/>
  <c r="V2574" i="5" s="1"/>
  <c r="V2575" i="5" a="1"/>
  <c r="V2575" i="5" s="1"/>
  <c r="V2576" i="5" a="1"/>
  <c r="V2576" i="5" s="1"/>
  <c r="V2577" i="5" a="1"/>
  <c r="V2577" i="5" s="1"/>
  <c r="V2578" i="5" a="1"/>
  <c r="V2578" i="5" s="1"/>
  <c r="V2579" i="5" a="1"/>
  <c r="V2579" i="5" s="1"/>
  <c r="V2580" i="5" a="1"/>
  <c r="V2580" i="5" s="1"/>
  <c r="V2581" i="5" a="1"/>
  <c r="V2581" i="5" s="1"/>
  <c r="V2582" i="5" a="1"/>
  <c r="V2582" i="5" s="1"/>
  <c r="V2583" i="5" a="1"/>
  <c r="V2583" i="5" s="1"/>
  <c r="V2584" i="5" a="1"/>
  <c r="V2584" i="5" s="1"/>
  <c r="V2585" i="5" a="1"/>
  <c r="V2585" i="5" s="1"/>
  <c r="V2586" i="5" a="1"/>
  <c r="V2586" i="5" s="1"/>
  <c r="V2587" i="5" a="1"/>
  <c r="V2587" i="5" s="1"/>
  <c r="V2588" i="5" a="1"/>
  <c r="V2588" i="5" s="1"/>
  <c r="V2589" i="5" a="1"/>
  <c r="V2589" i="5" s="1"/>
  <c r="V2590" i="5" a="1"/>
  <c r="V2590" i="5" s="1"/>
  <c r="V2591" i="5" a="1"/>
  <c r="V2591" i="5" s="1"/>
  <c r="V2592" i="5" a="1"/>
  <c r="V2592" i="5" s="1"/>
  <c r="V2593" i="5" a="1"/>
  <c r="V2593" i="5" s="1"/>
  <c r="V2594" i="5" a="1"/>
  <c r="V2594" i="5" s="1"/>
  <c r="V2595" i="5" a="1"/>
  <c r="V2595" i="5" s="1"/>
  <c r="V2596" i="5" a="1"/>
  <c r="V2596" i="5" s="1"/>
  <c r="V2597" i="5" a="1"/>
  <c r="V2597" i="5" s="1"/>
  <c r="V2598" i="5" a="1"/>
  <c r="V2598" i="5" s="1"/>
  <c r="V2599" i="5" a="1"/>
  <c r="V2599" i="5" s="1"/>
  <c r="V2600" i="5" a="1"/>
  <c r="V2600" i="5" s="1"/>
  <c r="V2601" i="5" a="1"/>
  <c r="V2601" i="5" s="1"/>
  <c r="V2602" i="5" a="1"/>
  <c r="V2602" i="5" s="1"/>
  <c r="V2603" i="5" a="1"/>
  <c r="V2603" i="5" s="1"/>
  <c r="V2604" i="5" a="1"/>
  <c r="V2604" i="5" s="1"/>
  <c r="V2605" i="5" a="1"/>
  <c r="V2605" i="5" s="1"/>
  <c r="V2606" i="5" a="1"/>
  <c r="V2606" i="5" s="1"/>
  <c r="V2607" i="5" a="1"/>
  <c r="V2607" i="5" s="1"/>
  <c r="V2608" i="5" a="1"/>
  <c r="V2608" i="5"/>
  <c r="V2609" i="5" a="1"/>
  <c r="V2609" i="5" s="1"/>
  <c r="V2610" i="5" a="1"/>
  <c r="V2610" i="5"/>
  <c r="V2611" i="5" a="1"/>
  <c r="V2611" i="5" s="1"/>
  <c r="V2612" i="5" a="1"/>
  <c r="V2612" i="5" s="1"/>
  <c r="V2613" i="5" a="1"/>
  <c r="V2613" i="5" s="1"/>
  <c r="V2614" i="5" a="1"/>
  <c r="V2614" i="5"/>
  <c r="V2615" i="5" a="1"/>
  <c r="V2615" i="5" s="1"/>
  <c r="V2616" i="5" a="1"/>
  <c r="V2616" i="5"/>
  <c r="V2617" i="5" a="1"/>
  <c r="V2617" i="5" s="1"/>
  <c r="V2618" i="5" a="1"/>
  <c r="V2618" i="5"/>
  <c r="V2619" i="5" a="1"/>
  <c r="V2619" i="5" s="1"/>
  <c r="V2620" i="5" a="1"/>
  <c r="V2620" i="5" s="1"/>
  <c r="V2621" i="5" a="1"/>
  <c r="V2621" i="5" s="1"/>
  <c r="V2622" i="5" a="1"/>
  <c r="V2622" i="5"/>
  <c r="V2623" i="5" a="1"/>
  <c r="V2623" i="5" s="1"/>
  <c r="V2624" i="5" a="1"/>
  <c r="V2624" i="5"/>
  <c r="V2625" i="5" a="1"/>
  <c r="V2625" i="5" s="1"/>
  <c r="V2626" i="5" a="1"/>
  <c r="V2626" i="5"/>
  <c r="V2627" i="5" a="1"/>
  <c r="V2627" i="5" s="1"/>
  <c r="V2628" i="5" a="1"/>
  <c r="V2628" i="5" s="1"/>
  <c r="V2629" i="5" a="1"/>
  <c r="V2629" i="5" s="1"/>
  <c r="V2630" i="5" a="1"/>
  <c r="V2630" i="5"/>
  <c r="V2631" i="5" a="1"/>
  <c r="V2631" i="5" s="1"/>
  <c r="V2632" i="5" a="1"/>
  <c r="V2632" i="5"/>
  <c r="V2633" i="5" a="1"/>
  <c r="V2633" i="5" s="1"/>
  <c r="V2634" i="5" a="1"/>
  <c r="V2634" i="5"/>
  <c r="V2635" i="5" a="1"/>
  <c r="V2635" i="5" s="1"/>
  <c r="V2636" i="5" a="1"/>
  <c r="V2636" i="5" s="1"/>
  <c r="V2637" i="5" a="1"/>
  <c r="V2637" i="5" s="1"/>
  <c r="V2638" i="5" a="1"/>
  <c r="V2638" i="5"/>
  <c r="V2639" i="5" a="1"/>
  <c r="V2639" i="5" s="1"/>
  <c r="V2640" i="5" a="1"/>
  <c r="V2640" i="5"/>
  <c r="V2641" i="5" a="1"/>
  <c r="V2641" i="5" s="1"/>
  <c r="V2642" i="5" a="1"/>
  <c r="V2642" i="5"/>
  <c r="V2643" i="5" a="1"/>
  <c r="V2643" i="5" s="1"/>
  <c r="V2644" i="5" a="1"/>
  <c r="V2644" i="5" s="1"/>
  <c r="V2645" i="5" a="1"/>
  <c r="V2645" i="5" s="1"/>
  <c r="V2646" i="5" a="1"/>
  <c r="V2646" i="5"/>
  <c r="V2647" i="5" a="1"/>
  <c r="V2647" i="5" s="1"/>
  <c r="V2648" i="5" a="1"/>
  <c r="V2648" i="5"/>
  <c r="V2649" i="5" a="1"/>
  <c r="V2649" i="5" s="1"/>
  <c r="V2650" i="5" a="1"/>
  <c r="V2650" i="5"/>
  <c r="V2651" i="5" a="1"/>
  <c r="V2651" i="5" s="1"/>
  <c r="V2652" i="5" a="1"/>
  <c r="V2652" i="5" s="1"/>
  <c r="V2653" i="5" a="1"/>
  <c r="V2653" i="5" s="1"/>
  <c r="V2654" i="5" a="1"/>
  <c r="V2654" i="5"/>
  <c r="V2655" i="5" a="1"/>
  <c r="V2655" i="5" s="1"/>
  <c r="V2656" i="5" a="1"/>
  <c r="V2656" i="5"/>
  <c r="V2657" i="5" a="1"/>
  <c r="V2657" i="5" s="1"/>
  <c r="V2658" i="5" a="1"/>
  <c r="V2658" i="5"/>
  <c r="V2659" i="5" a="1"/>
  <c r="V2659" i="5" s="1"/>
  <c r="V2660" i="5" a="1"/>
  <c r="V2660" i="5" s="1"/>
  <c r="V2661" i="5" a="1"/>
  <c r="V2661" i="5" s="1"/>
  <c r="V2662" i="5" a="1"/>
  <c r="V2662" i="5"/>
  <c r="V2663" i="5" a="1"/>
  <c r="V2663" i="5" s="1"/>
  <c r="V2664" i="5" a="1"/>
  <c r="V2664" i="5"/>
  <c r="V2665" i="5" a="1"/>
  <c r="V2665" i="5" s="1"/>
  <c r="V2666" i="5" a="1"/>
  <c r="V2666" i="5"/>
  <c r="V2667" i="5" a="1"/>
  <c r="V2667" i="5" s="1"/>
  <c r="V2668" i="5" a="1"/>
  <c r="V2668" i="5" s="1"/>
  <c r="V2669" i="5" a="1"/>
  <c r="V2669" i="5" s="1"/>
  <c r="V2670" i="5" a="1"/>
  <c r="V2670" i="5"/>
  <c r="V2671" i="5" a="1"/>
  <c r="V2671" i="5" s="1"/>
  <c r="V2672" i="5" a="1"/>
  <c r="V2672" i="5"/>
  <c r="V2673" i="5" a="1"/>
  <c r="V2673" i="5" s="1"/>
  <c r="V2674" i="5" a="1"/>
  <c r="V2674" i="5"/>
  <c r="V2675" i="5" a="1"/>
  <c r="V2675" i="5" s="1"/>
  <c r="V2676" i="5" a="1"/>
  <c r="V2676" i="5" s="1"/>
  <c r="V2677" i="5" a="1"/>
  <c r="V2677" i="5" s="1"/>
  <c r="V2678" i="5" a="1"/>
  <c r="V2678" i="5"/>
  <c r="V2679" i="5" a="1"/>
  <c r="V2679" i="5" s="1"/>
  <c r="V2680" i="5" a="1"/>
  <c r="V2680" i="5"/>
  <c r="V2681" i="5" a="1"/>
  <c r="V2681" i="5" s="1"/>
  <c r="V2682" i="5" a="1"/>
  <c r="V2682" i="5"/>
  <c r="V2683" i="5" a="1"/>
  <c r="V2683" i="5" s="1"/>
  <c r="V2684" i="5" a="1"/>
  <c r="V2684" i="5" s="1"/>
  <c r="V2685" i="5" a="1"/>
  <c r="V2685" i="5" s="1"/>
  <c r="V2686" i="5" a="1"/>
  <c r="V2686" i="5"/>
  <c r="V2687" i="5" a="1"/>
  <c r="V2687" i="5" s="1"/>
  <c r="V2688" i="5" a="1"/>
  <c r="V2688" i="5" s="1"/>
  <c r="V2689" i="5" a="1"/>
  <c r="V2689" i="5" s="1"/>
  <c r="V2690" i="5" a="1"/>
  <c r="V2690" i="5"/>
  <c r="V2691" i="5" a="1"/>
  <c r="V2691" i="5" s="1"/>
  <c r="V2692" i="5" a="1"/>
  <c r="V2692" i="5" s="1"/>
  <c r="V2693" i="5" a="1"/>
  <c r="V2693" i="5" s="1"/>
  <c r="V2694" i="5" a="1"/>
  <c r="V2694" i="5"/>
  <c r="V2695" i="5" a="1"/>
  <c r="V2695" i="5" s="1"/>
  <c r="V2696" i="5" a="1"/>
  <c r="V2696" i="5"/>
  <c r="V2697" i="5" a="1"/>
  <c r="V2697" i="5" s="1"/>
  <c r="V2698" i="5" a="1"/>
  <c r="V2698" i="5"/>
  <c r="V2699" i="5" a="1"/>
  <c r="V2699" i="5" s="1"/>
  <c r="V2700" i="5" a="1"/>
  <c r="V2700" i="5" s="1"/>
  <c r="V2701" i="5" a="1"/>
  <c r="V2701" i="5" s="1"/>
  <c r="V2702" i="5" a="1"/>
  <c r="V2702" i="5"/>
  <c r="V2703" i="5" a="1"/>
  <c r="V2703" i="5" s="1"/>
  <c r="V2704" i="5" a="1"/>
  <c r="V2704" i="5"/>
  <c r="V2705" i="5" a="1"/>
  <c r="V2705" i="5" s="1"/>
  <c r="V2706" i="5" a="1"/>
  <c r="V2706" i="5"/>
  <c r="V2707" i="5" a="1"/>
  <c r="V2707" i="5" s="1"/>
  <c r="V2708" i="5" a="1"/>
  <c r="V2708" i="5" s="1"/>
  <c r="V2709" i="5" a="1"/>
  <c r="V2709" i="5" s="1"/>
  <c r="V2710" i="5" a="1"/>
  <c r="V2710" i="5"/>
  <c r="V2711" i="5" a="1"/>
  <c r="V2711" i="5" s="1"/>
  <c r="V2712" i="5" a="1"/>
  <c r="V2712" i="5" s="1"/>
  <c r="V2713" i="5" a="1"/>
  <c r="V2713" i="5" s="1"/>
  <c r="V2714" i="5" a="1"/>
  <c r="V2714" i="5"/>
  <c r="V2715" i="5" a="1"/>
  <c r="V2715" i="5" s="1"/>
  <c r="V2716" i="5" a="1"/>
  <c r="V2716" i="5" s="1"/>
  <c r="V2717" i="5" a="1"/>
  <c r="V2717" i="5" s="1"/>
  <c r="V2718" i="5" a="1"/>
  <c r="V2718" i="5"/>
  <c r="V2719" i="5" a="1"/>
  <c r="V2719" i="5" s="1"/>
  <c r="V2720" i="5" a="1"/>
  <c r="V2720" i="5" s="1"/>
  <c r="V2721" i="5" a="1"/>
  <c r="V2721" i="5" s="1"/>
  <c r="V2722" i="5" a="1"/>
  <c r="V2722" i="5"/>
  <c r="V2723" i="5" a="1"/>
  <c r="V2723" i="5" s="1"/>
  <c r="V2724" i="5" a="1"/>
  <c r="V2724" i="5" s="1"/>
  <c r="V2725" i="5" a="1"/>
  <c r="V2725" i="5" s="1"/>
  <c r="V2726" i="5" a="1"/>
  <c r="V2726" i="5"/>
  <c r="V2727" i="5" a="1"/>
  <c r="V2727" i="5" s="1"/>
  <c r="V2728" i="5" a="1"/>
  <c r="V2728" i="5" s="1"/>
  <c r="V2729" i="5" a="1"/>
  <c r="V2729" i="5" s="1"/>
  <c r="V2730" i="5" a="1"/>
  <c r="V2730" i="5"/>
  <c r="V2731" i="5" a="1"/>
  <c r="V2731" i="5" s="1"/>
  <c r="V2732" i="5" a="1"/>
  <c r="V2732" i="5" s="1"/>
  <c r="V2733" i="5" a="1"/>
  <c r="V2733" i="5" s="1"/>
  <c r="V2734" i="5" a="1"/>
  <c r="V2734" i="5"/>
  <c r="V2735" i="5" a="1"/>
  <c r="V2735" i="5" s="1"/>
  <c r="V2736" i="5" a="1"/>
  <c r="V2736" i="5"/>
  <c r="V2737" i="5" a="1"/>
  <c r="V2737" i="5" s="1"/>
  <c r="V2738" i="5" a="1"/>
  <c r="V2738" i="5"/>
  <c r="V2739" i="5" a="1"/>
  <c r="V2739" i="5" s="1"/>
  <c r="V2740" i="5" a="1"/>
  <c r="V2740" i="5" s="1"/>
  <c r="V2741" i="5" a="1"/>
  <c r="V2741" i="5" s="1"/>
  <c r="V2742" i="5" a="1"/>
  <c r="V2742" i="5"/>
  <c r="V2743" i="5" a="1"/>
  <c r="V2743" i="5" s="1"/>
  <c r="V2744" i="5" a="1"/>
  <c r="V2744" i="5" s="1"/>
  <c r="V2745" i="5" a="1"/>
  <c r="V2745" i="5" s="1"/>
  <c r="V2746" i="5" a="1"/>
  <c r="V2746" i="5"/>
  <c r="V2747" i="5" a="1"/>
  <c r="V2747" i="5" s="1"/>
  <c r="V2748" i="5" a="1"/>
  <c r="V2748" i="5" s="1"/>
  <c r="V2749" i="5" a="1"/>
  <c r="V2749" i="5" s="1"/>
  <c r="V2750" i="5" a="1"/>
  <c r="V2750" i="5"/>
  <c r="V2751" i="5" a="1"/>
  <c r="V2751" i="5" s="1"/>
  <c r="V2752" i="5" a="1"/>
  <c r="V2752" i="5"/>
  <c r="V2753" i="5" a="1"/>
  <c r="V2753" i="5" s="1"/>
  <c r="V2754" i="5" a="1"/>
  <c r="V2754" i="5"/>
  <c r="V2755" i="5" a="1"/>
  <c r="V2755" i="5" s="1"/>
  <c r="V2756" i="5" a="1"/>
  <c r="V2756" i="5" s="1"/>
  <c r="V2757" i="5" a="1"/>
  <c r="V2757" i="5" s="1"/>
  <c r="V2758" i="5" a="1"/>
  <c r="V2758" i="5"/>
  <c r="V2759" i="5" a="1"/>
  <c r="V2759" i="5" s="1"/>
  <c r="V2760" i="5" a="1"/>
  <c r="V2760" i="5"/>
  <c r="V2761" i="5" a="1"/>
  <c r="V2761" i="5" s="1"/>
  <c r="V2762" i="5" a="1"/>
  <c r="V2762" i="5"/>
  <c r="V2763" i="5" a="1"/>
  <c r="V2763" i="5" s="1"/>
  <c r="V2764" i="5" a="1"/>
  <c r="V2764" i="5" s="1"/>
  <c r="V2765" i="5" a="1"/>
  <c r="V2765" i="5" s="1"/>
  <c r="V2766" i="5" a="1"/>
  <c r="V2766" i="5"/>
  <c r="V2767" i="5" a="1"/>
  <c r="V2767" i="5" s="1"/>
  <c r="V2768" i="5" a="1"/>
  <c r="V2768" i="5"/>
  <c r="V2769" i="5" a="1"/>
  <c r="V2769" i="5" s="1"/>
  <c r="V2770" i="5" a="1"/>
  <c r="V2770" i="5"/>
  <c r="V2771" i="5" a="1"/>
  <c r="V2771" i="5" s="1"/>
  <c r="V2772" i="5" a="1"/>
  <c r="V2772" i="5" s="1"/>
  <c r="V2773" i="5" a="1"/>
  <c r="V2773" i="5" s="1"/>
  <c r="V2774" i="5" a="1"/>
  <c r="V2774" i="5"/>
  <c r="V2775" i="5" a="1"/>
  <c r="V2775" i="5" s="1"/>
  <c r="V2776" i="5" a="1"/>
  <c r="V2776" i="5" s="1"/>
  <c r="V2777" i="5" a="1"/>
  <c r="V2777" i="5" s="1"/>
  <c r="V2778" i="5" a="1"/>
  <c r="V2778" i="5"/>
  <c r="V2779" i="5" a="1"/>
  <c r="V2779" i="5" s="1"/>
  <c r="V2780" i="5" a="1"/>
  <c r="V2780" i="5" s="1"/>
  <c r="V2781" i="5" a="1"/>
  <c r="V2781" i="5" s="1"/>
  <c r="V2782" i="5" a="1"/>
  <c r="V2782" i="5"/>
  <c r="V2783" i="5" a="1"/>
  <c r="V2783" i="5" s="1"/>
  <c r="V2784" i="5" a="1"/>
  <c r="V2784" i="5"/>
  <c r="V2785" i="5" a="1"/>
  <c r="V2785" i="5" s="1"/>
  <c r="V2786" i="5" a="1"/>
  <c r="V2786" i="5"/>
  <c r="V2787" i="5" a="1"/>
  <c r="V2787" i="5" s="1"/>
  <c r="V2788" i="5" a="1"/>
  <c r="V2788" i="5" s="1"/>
  <c r="V2789" i="5" a="1"/>
  <c r="V2789" i="5" s="1"/>
  <c r="V2790" i="5" a="1"/>
  <c r="V2790" i="5"/>
  <c r="V2791" i="5" a="1"/>
  <c r="V2791" i="5" s="1"/>
  <c r="V2792" i="5" a="1"/>
  <c r="V2792" i="5"/>
  <c r="V2793" i="5" a="1"/>
  <c r="V2793" i="5" s="1"/>
  <c r="V2794" i="5" a="1"/>
  <c r="V2794" i="5"/>
  <c r="V2795" i="5" a="1"/>
  <c r="V2795" i="5" s="1"/>
  <c r="V2796" i="5" a="1"/>
  <c r="V2796" i="5" s="1"/>
  <c r="V2797" i="5" a="1"/>
  <c r="V2797" i="5" s="1"/>
  <c r="V2798" i="5" a="1"/>
  <c r="V2798" i="5"/>
  <c r="V2799" i="5" a="1"/>
  <c r="V2799" i="5" s="1"/>
  <c r="V2800" i="5" a="1"/>
  <c r="V2800" i="5" s="1"/>
  <c r="V2801" i="5" a="1"/>
  <c r="V2801" i="5" s="1"/>
  <c r="U2" i="5"/>
  <c r="U3" i="5"/>
  <c r="U4" i="5"/>
  <c r="U5" i="5"/>
  <c r="U6" i="5"/>
  <c r="U7" i="5"/>
  <c r="U8" i="5"/>
  <c r="U9" i="5"/>
  <c r="U10" i="5"/>
  <c r="U11" i="5"/>
  <c r="U12" i="5"/>
  <c r="U13" i="5"/>
  <c r="U14" i="5"/>
  <c r="U15" i="5"/>
  <c r="U16" i="5"/>
  <c r="U17" i="5"/>
  <c r="U18" i="5"/>
  <c r="U19" i="5"/>
  <c r="U20" i="5"/>
  <c r="U21" i="5"/>
  <c r="U22" i="5"/>
  <c r="U23" i="5"/>
  <c r="U24" i="5"/>
  <c r="U25" i="5"/>
  <c r="U26" i="5"/>
  <c r="U27" i="5"/>
  <c r="U28" i="5"/>
  <c r="U29" i="5"/>
  <c r="U30" i="5"/>
  <c r="U31" i="5"/>
  <c r="U32" i="5"/>
  <c r="U33" i="5"/>
  <c r="U34" i="5"/>
  <c r="U35" i="5"/>
  <c r="U36" i="5"/>
  <c r="U37" i="5"/>
  <c r="U38" i="5"/>
  <c r="U39" i="5"/>
  <c r="U40" i="5"/>
  <c r="U41" i="5"/>
  <c r="U42" i="5"/>
  <c r="U43" i="5"/>
  <c r="U44" i="5"/>
  <c r="U45" i="5"/>
  <c r="U46" i="5"/>
  <c r="U47" i="5"/>
  <c r="U48" i="5"/>
  <c r="U49" i="5"/>
  <c r="U50" i="5"/>
  <c r="U51" i="5"/>
  <c r="U52" i="5"/>
  <c r="U53" i="5"/>
  <c r="U54" i="5"/>
  <c r="U55" i="5"/>
  <c r="U56" i="5"/>
  <c r="U57" i="5"/>
  <c r="U58" i="5"/>
  <c r="U59" i="5"/>
  <c r="U60" i="5"/>
  <c r="U61" i="5"/>
  <c r="U62" i="5"/>
  <c r="U63" i="5"/>
  <c r="U64" i="5"/>
  <c r="U65" i="5"/>
  <c r="U66" i="5"/>
  <c r="U67" i="5"/>
  <c r="U68" i="5"/>
  <c r="U69" i="5"/>
  <c r="U70" i="5"/>
  <c r="U71" i="5"/>
  <c r="U72" i="5"/>
  <c r="U73" i="5"/>
  <c r="U74" i="5"/>
  <c r="U75" i="5"/>
  <c r="U76" i="5"/>
  <c r="U77" i="5"/>
  <c r="U78" i="5"/>
  <c r="U79" i="5"/>
  <c r="U80" i="5"/>
  <c r="U81" i="5"/>
  <c r="U82" i="5"/>
  <c r="U83" i="5"/>
  <c r="U84" i="5"/>
  <c r="U85" i="5"/>
  <c r="U86" i="5"/>
  <c r="U87" i="5"/>
  <c r="U88" i="5"/>
  <c r="U89" i="5"/>
  <c r="U90" i="5"/>
  <c r="U91" i="5"/>
  <c r="U92" i="5"/>
  <c r="U93" i="5"/>
  <c r="U94" i="5"/>
  <c r="U95" i="5"/>
  <c r="U96" i="5"/>
  <c r="U97" i="5"/>
  <c r="U98" i="5"/>
  <c r="U99" i="5"/>
  <c r="U100" i="5"/>
  <c r="U101" i="5"/>
  <c r="U102" i="5"/>
  <c r="U103" i="5"/>
  <c r="U104" i="5"/>
  <c r="U105" i="5"/>
  <c r="U106" i="5"/>
  <c r="U107" i="5"/>
  <c r="U108" i="5"/>
  <c r="U109" i="5"/>
  <c r="U110" i="5"/>
  <c r="U111" i="5"/>
  <c r="U112" i="5"/>
  <c r="U113" i="5"/>
  <c r="U114" i="5"/>
  <c r="U115" i="5"/>
  <c r="U116" i="5"/>
  <c r="U117" i="5"/>
  <c r="U118" i="5"/>
  <c r="U119" i="5"/>
  <c r="U120" i="5"/>
  <c r="U121" i="5"/>
  <c r="U122" i="5"/>
  <c r="U123" i="5"/>
  <c r="U124" i="5"/>
  <c r="U125" i="5"/>
  <c r="U126" i="5"/>
  <c r="U127" i="5"/>
  <c r="U128" i="5"/>
  <c r="U129" i="5"/>
  <c r="U130" i="5"/>
  <c r="U131" i="5"/>
  <c r="U132" i="5"/>
  <c r="U133" i="5"/>
  <c r="U134" i="5"/>
  <c r="U135" i="5"/>
  <c r="U136" i="5"/>
  <c r="U137" i="5"/>
  <c r="U138" i="5"/>
  <c r="U139" i="5"/>
  <c r="U140" i="5"/>
  <c r="U141" i="5"/>
  <c r="U142" i="5"/>
  <c r="U143" i="5"/>
  <c r="U144" i="5"/>
  <c r="U145" i="5"/>
  <c r="U146" i="5"/>
  <c r="U147" i="5"/>
  <c r="U148" i="5"/>
  <c r="U149" i="5"/>
  <c r="U150" i="5"/>
  <c r="U151" i="5"/>
  <c r="U152" i="5"/>
  <c r="U153" i="5"/>
  <c r="U154" i="5"/>
  <c r="U155" i="5"/>
  <c r="U156" i="5"/>
  <c r="U157" i="5"/>
  <c r="U158" i="5"/>
  <c r="U159" i="5"/>
  <c r="U160" i="5"/>
  <c r="U161" i="5"/>
  <c r="U162" i="5"/>
  <c r="U163" i="5"/>
  <c r="U164" i="5"/>
  <c r="U165" i="5"/>
  <c r="U166" i="5"/>
  <c r="U167" i="5"/>
  <c r="U168" i="5"/>
  <c r="U169" i="5"/>
  <c r="U170" i="5"/>
  <c r="U171" i="5"/>
  <c r="U172" i="5"/>
  <c r="U173" i="5"/>
  <c r="U174" i="5"/>
  <c r="U175" i="5"/>
  <c r="U176" i="5"/>
  <c r="U177" i="5"/>
  <c r="U178" i="5"/>
  <c r="U179" i="5"/>
  <c r="U180" i="5"/>
  <c r="U181" i="5"/>
  <c r="U182" i="5"/>
  <c r="U183" i="5"/>
  <c r="U184" i="5"/>
  <c r="U185" i="5"/>
  <c r="U186" i="5"/>
  <c r="U187" i="5"/>
  <c r="U188" i="5"/>
  <c r="U189" i="5"/>
  <c r="U190" i="5"/>
  <c r="U191" i="5"/>
  <c r="U192" i="5"/>
  <c r="U193" i="5"/>
  <c r="U194" i="5"/>
  <c r="U195" i="5"/>
  <c r="U196" i="5"/>
  <c r="U197" i="5"/>
  <c r="U198" i="5"/>
  <c r="U199" i="5"/>
  <c r="U200" i="5"/>
  <c r="U201" i="5"/>
  <c r="U202" i="5"/>
  <c r="U203" i="5"/>
  <c r="U204" i="5"/>
  <c r="U205" i="5"/>
  <c r="U206" i="5"/>
  <c r="U207" i="5"/>
  <c r="U208" i="5"/>
  <c r="U209" i="5"/>
  <c r="U210" i="5"/>
  <c r="U211" i="5"/>
  <c r="U212" i="5"/>
  <c r="U213" i="5"/>
  <c r="U214" i="5"/>
  <c r="U215" i="5"/>
  <c r="U216" i="5"/>
  <c r="U217" i="5"/>
  <c r="U218" i="5"/>
  <c r="U219" i="5"/>
  <c r="U220" i="5"/>
  <c r="U221" i="5"/>
  <c r="U222" i="5"/>
  <c r="U223" i="5"/>
  <c r="U224" i="5"/>
  <c r="U225" i="5"/>
  <c r="U226" i="5"/>
  <c r="U227" i="5"/>
  <c r="U228" i="5"/>
  <c r="U229" i="5"/>
  <c r="U230" i="5"/>
  <c r="U231" i="5"/>
  <c r="U232" i="5"/>
  <c r="U233" i="5"/>
  <c r="U234" i="5"/>
  <c r="U235" i="5"/>
  <c r="U236" i="5"/>
  <c r="U237" i="5"/>
  <c r="U238" i="5"/>
  <c r="U239" i="5"/>
  <c r="U240" i="5"/>
  <c r="U241" i="5"/>
  <c r="U242" i="5"/>
  <c r="U243" i="5"/>
  <c r="U244" i="5"/>
  <c r="U245" i="5"/>
  <c r="U246" i="5"/>
  <c r="U247" i="5"/>
  <c r="U248" i="5"/>
  <c r="U249" i="5"/>
  <c r="U250" i="5"/>
  <c r="U251" i="5"/>
  <c r="U252" i="5"/>
  <c r="U253" i="5"/>
  <c r="U254" i="5"/>
  <c r="U255" i="5"/>
  <c r="U256" i="5"/>
  <c r="U257" i="5"/>
  <c r="U258" i="5"/>
  <c r="U259" i="5"/>
  <c r="U260" i="5"/>
  <c r="U261" i="5"/>
  <c r="U262" i="5"/>
  <c r="U263" i="5"/>
  <c r="U264" i="5"/>
  <c r="U265" i="5"/>
  <c r="U266" i="5"/>
  <c r="U267" i="5"/>
  <c r="U268" i="5"/>
  <c r="U269" i="5"/>
  <c r="U270" i="5"/>
  <c r="U271" i="5"/>
  <c r="U272" i="5"/>
  <c r="U273" i="5"/>
  <c r="U274" i="5"/>
  <c r="U275" i="5"/>
  <c r="U276" i="5"/>
  <c r="U277" i="5"/>
  <c r="U278" i="5"/>
  <c r="U279" i="5"/>
  <c r="U280" i="5"/>
  <c r="U281" i="5"/>
  <c r="U282" i="5"/>
  <c r="U283" i="5"/>
  <c r="U284" i="5"/>
  <c r="U285" i="5"/>
  <c r="U286" i="5"/>
  <c r="U287" i="5"/>
  <c r="U288" i="5"/>
  <c r="U289" i="5"/>
  <c r="U290" i="5"/>
  <c r="U291" i="5"/>
  <c r="U292" i="5"/>
  <c r="U293" i="5"/>
  <c r="U294" i="5"/>
  <c r="U295" i="5"/>
  <c r="U296" i="5"/>
  <c r="U297" i="5"/>
  <c r="U298" i="5"/>
  <c r="U299" i="5"/>
  <c r="U300" i="5"/>
  <c r="U301" i="5"/>
  <c r="U302" i="5"/>
  <c r="U303" i="5"/>
  <c r="U304" i="5"/>
  <c r="U305" i="5"/>
  <c r="U306" i="5"/>
  <c r="U307" i="5"/>
  <c r="U308" i="5"/>
  <c r="U309" i="5"/>
  <c r="U310" i="5"/>
  <c r="U311" i="5"/>
  <c r="U312" i="5"/>
  <c r="U313" i="5"/>
  <c r="U314" i="5"/>
  <c r="U315" i="5"/>
  <c r="U316" i="5"/>
  <c r="U317" i="5"/>
  <c r="U318" i="5"/>
  <c r="U319" i="5"/>
  <c r="U320" i="5"/>
  <c r="U321" i="5"/>
  <c r="U322" i="5"/>
  <c r="U323" i="5"/>
  <c r="U324" i="5"/>
  <c r="U325" i="5"/>
  <c r="U326" i="5"/>
  <c r="U327" i="5"/>
  <c r="U328" i="5"/>
  <c r="U329" i="5"/>
  <c r="U330" i="5"/>
  <c r="U331" i="5"/>
  <c r="U332" i="5"/>
  <c r="U333" i="5"/>
  <c r="U334" i="5"/>
  <c r="U335" i="5"/>
  <c r="U336" i="5"/>
  <c r="U337" i="5"/>
  <c r="U338" i="5"/>
  <c r="U339" i="5"/>
  <c r="U340" i="5"/>
  <c r="U341" i="5"/>
  <c r="U342" i="5"/>
  <c r="U343" i="5"/>
  <c r="U344" i="5"/>
  <c r="U345" i="5"/>
  <c r="U346" i="5"/>
  <c r="U347" i="5"/>
  <c r="U348" i="5"/>
  <c r="U349" i="5"/>
  <c r="U350" i="5"/>
  <c r="U351" i="5"/>
  <c r="U352" i="5"/>
  <c r="U353" i="5"/>
  <c r="U354" i="5"/>
  <c r="U355" i="5"/>
  <c r="U356" i="5"/>
  <c r="U357" i="5"/>
  <c r="U358" i="5"/>
  <c r="U359" i="5"/>
  <c r="U360" i="5"/>
  <c r="U361" i="5"/>
  <c r="U362" i="5"/>
  <c r="U363" i="5"/>
  <c r="U364" i="5"/>
  <c r="U365" i="5"/>
  <c r="U366" i="5"/>
  <c r="U367" i="5"/>
  <c r="U368" i="5"/>
  <c r="U369" i="5"/>
  <c r="U370" i="5"/>
  <c r="U371" i="5"/>
  <c r="U372" i="5"/>
  <c r="U373" i="5"/>
  <c r="U374" i="5"/>
  <c r="U375" i="5"/>
  <c r="U376" i="5"/>
  <c r="U377" i="5"/>
  <c r="U378" i="5"/>
  <c r="U379" i="5"/>
  <c r="U380" i="5"/>
  <c r="U381" i="5"/>
  <c r="U382" i="5"/>
  <c r="U383" i="5"/>
  <c r="U384" i="5"/>
  <c r="U385" i="5"/>
  <c r="U386" i="5"/>
  <c r="U387" i="5"/>
  <c r="U388" i="5"/>
  <c r="U389" i="5"/>
  <c r="U390" i="5"/>
  <c r="U391" i="5"/>
  <c r="U392" i="5"/>
  <c r="U393" i="5"/>
  <c r="U394" i="5"/>
  <c r="U395" i="5"/>
  <c r="U396" i="5"/>
  <c r="U397" i="5"/>
  <c r="U398" i="5"/>
  <c r="U399" i="5"/>
  <c r="U400" i="5"/>
  <c r="U401" i="5"/>
  <c r="U402" i="5"/>
  <c r="U403" i="5"/>
  <c r="U404" i="5"/>
  <c r="U405" i="5"/>
  <c r="U406" i="5"/>
  <c r="U407" i="5"/>
  <c r="U408" i="5"/>
  <c r="U409" i="5"/>
  <c r="U410" i="5"/>
  <c r="U411" i="5"/>
  <c r="U412" i="5"/>
  <c r="U413" i="5"/>
  <c r="U414" i="5"/>
  <c r="U415" i="5"/>
  <c r="U416" i="5"/>
  <c r="U417" i="5"/>
  <c r="U418" i="5"/>
  <c r="U419" i="5"/>
  <c r="U420" i="5"/>
  <c r="U421" i="5"/>
  <c r="U422" i="5"/>
  <c r="U423" i="5"/>
  <c r="U424" i="5"/>
  <c r="U425" i="5"/>
  <c r="U426" i="5"/>
  <c r="U427" i="5"/>
  <c r="U428" i="5"/>
  <c r="U429" i="5"/>
  <c r="U430" i="5"/>
  <c r="U431" i="5"/>
  <c r="U432" i="5"/>
  <c r="U433" i="5"/>
  <c r="U434" i="5"/>
  <c r="U435" i="5"/>
  <c r="U436" i="5"/>
  <c r="U437" i="5"/>
  <c r="U438" i="5"/>
  <c r="U439" i="5"/>
  <c r="U440" i="5"/>
  <c r="U441" i="5"/>
  <c r="U442" i="5"/>
  <c r="U443" i="5"/>
  <c r="U444" i="5"/>
  <c r="U445" i="5"/>
  <c r="U446" i="5"/>
  <c r="U447" i="5"/>
  <c r="U448" i="5"/>
  <c r="U449" i="5"/>
  <c r="U450" i="5"/>
  <c r="U451" i="5"/>
  <c r="U452" i="5"/>
  <c r="U453" i="5"/>
  <c r="U454" i="5"/>
  <c r="U455" i="5"/>
  <c r="U456" i="5"/>
  <c r="U457" i="5"/>
  <c r="U458" i="5"/>
  <c r="U459" i="5"/>
  <c r="U460" i="5"/>
  <c r="U461" i="5"/>
  <c r="U462" i="5"/>
  <c r="U463" i="5"/>
  <c r="U464" i="5"/>
  <c r="U465" i="5"/>
  <c r="U466" i="5"/>
  <c r="U467" i="5"/>
  <c r="U468" i="5"/>
  <c r="U469" i="5"/>
  <c r="U470" i="5"/>
  <c r="U471" i="5"/>
  <c r="U472" i="5"/>
  <c r="U473" i="5"/>
  <c r="U474" i="5"/>
  <c r="U475" i="5"/>
  <c r="U476" i="5"/>
  <c r="U477" i="5"/>
  <c r="U478" i="5"/>
  <c r="U479" i="5"/>
  <c r="U480" i="5"/>
  <c r="U481" i="5"/>
  <c r="U482" i="5"/>
  <c r="U483" i="5"/>
  <c r="U484" i="5"/>
  <c r="U485" i="5"/>
  <c r="U486" i="5"/>
  <c r="U487" i="5"/>
  <c r="U488" i="5"/>
  <c r="U489" i="5"/>
  <c r="U490" i="5"/>
  <c r="U491" i="5"/>
  <c r="U492" i="5"/>
  <c r="U493" i="5"/>
  <c r="U494" i="5"/>
  <c r="U495" i="5"/>
  <c r="U496" i="5"/>
  <c r="U497" i="5"/>
  <c r="U498" i="5"/>
  <c r="U499" i="5"/>
  <c r="U500" i="5"/>
  <c r="U501" i="5"/>
  <c r="U502" i="5"/>
  <c r="U503" i="5"/>
  <c r="U504" i="5"/>
  <c r="U505" i="5"/>
  <c r="U506" i="5"/>
  <c r="U507" i="5"/>
  <c r="U508" i="5"/>
  <c r="U509" i="5"/>
  <c r="U510" i="5"/>
  <c r="U511" i="5"/>
  <c r="U512" i="5"/>
  <c r="U513" i="5"/>
  <c r="U514" i="5"/>
  <c r="U515" i="5"/>
  <c r="U516" i="5"/>
  <c r="U517" i="5"/>
  <c r="U518" i="5"/>
  <c r="U519" i="5"/>
  <c r="U520" i="5"/>
  <c r="U521" i="5"/>
  <c r="U522" i="5"/>
  <c r="U523" i="5"/>
  <c r="U524" i="5"/>
  <c r="U525" i="5"/>
  <c r="U526" i="5"/>
  <c r="U527" i="5"/>
  <c r="U528" i="5"/>
  <c r="U529" i="5"/>
  <c r="U530" i="5"/>
  <c r="U531" i="5"/>
  <c r="U532" i="5"/>
  <c r="U533" i="5"/>
  <c r="U534" i="5"/>
  <c r="U535" i="5"/>
  <c r="U536" i="5"/>
  <c r="U537" i="5"/>
  <c r="U538" i="5"/>
  <c r="U539" i="5"/>
  <c r="U540" i="5"/>
  <c r="U541" i="5"/>
  <c r="U542" i="5"/>
  <c r="U543" i="5"/>
  <c r="U544" i="5"/>
  <c r="U545" i="5"/>
  <c r="U546" i="5"/>
  <c r="U547" i="5"/>
  <c r="U548" i="5"/>
  <c r="U549" i="5"/>
  <c r="U550" i="5"/>
  <c r="U551" i="5"/>
  <c r="U552" i="5"/>
  <c r="U553" i="5"/>
  <c r="U554" i="5"/>
  <c r="U555" i="5"/>
  <c r="U556" i="5"/>
  <c r="U557" i="5"/>
  <c r="U558" i="5"/>
  <c r="U559" i="5"/>
  <c r="U560" i="5"/>
  <c r="U561" i="5"/>
  <c r="U562" i="5"/>
  <c r="U563" i="5"/>
  <c r="U564" i="5"/>
  <c r="U565" i="5"/>
  <c r="U566" i="5"/>
  <c r="U567" i="5"/>
  <c r="U568" i="5"/>
  <c r="U569" i="5"/>
  <c r="U570" i="5"/>
  <c r="U571" i="5"/>
  <c r="U572" i="5"/>
  <c r="U573" i="5"/>
  <c r="U574" i="5"/>
  <c r="U575" i="5"/>
  <c r="U576" i="5"/>
  <c r="U577" i="5"/>
  <c r="U578" i="5"/>
  <c r="U579" i="5"/>
  <c r="U580" i="5"/>
  <c r="U581" i="5"/>
  <c r="U582" i="5"/>
  <c r="U583" i="5"/>
  <c r="U584" i="5"/>
  <c r="U585" i="5"/>
  <c r="U586" i="5"/>
  <c r="U587" i="5"/>
  <c r="U588" i="5"/>
  <c r="U589" i="5"/>
  <c r="U590" i="5"/>
  <c r="U591" i="5"/>
  <c r="U592" i="5"/>
  <c r="U593" i="5"/>
  <c r="U594" i="5"/>
  <c r="U595" i="5"/>
  <c r="U596" i="5"/>
  <c r="U597" i="5"/>
  <c r="U598" i="5"/>
  <c r="U599" i="5"/>
  <c r="U600" i="5"/>
  <c r="U601" i="5"/>
  <c r="U602" i="5"/>
  <c r="U603" i="5"/>
  <c r="U604" i="5"/>
  <c r="U605" i="5"/>
  <c r="U606" i="5"/>
  <c r="U607" i="5"/>
  <c r="U608" i="5"/>
  <c r="U609" i="5"/>
  <c r="U610" i="5"/>
  <c r="U611" i="5"/>
  <c r="U612" i="5"/>
  <c r="U613" i="5"/>
  <c r="U614" i="5"/>
  <c r="U615" i="5"/>
  <c r="U616" i="5"/>
  <c r="U617" i="5"/>
  <c r="U618" i="5"/>
  <c r="U619" i="5"/>
  <c r="U620" i="5"/>
  <c r="U621" i="5"/>
  <c r="U622" i="5"/>
  <c r="U623" i="5"/>
  <c r="U624" i="5"/>
  <c r="U625" i="5"/>
  <c r="U626" i="5"/>
  <c r="U627" i="5"/>
  <c r="U628" i="5"/>
  <c r="U629" i="5"/>
  <c r="U630" i="5"/>
  <c r="U631" i="5"/>
  <c r="U632" i="5"/>
  <c r="U633" i="5"/>
  <c r="U634" i="5"/>
  <c r="U635" i="5"/>
  <c r="U636" i="5"/>
  <c r="U637" i="5"/>
  <c r="U638" i="5"/>
  <c r="U639" i="5"/>
  <c r="U640" i="5"/>
  <c r="U641" i="5"/>
  <c r="U642" i="5"/>
  <c r="U643" i="5"/>
  <c r="U644" i="5"/>
  <c r="U645" i="5"/>
  <c r="U646" i="5"/>
  <c r="U647" i="5"/>
  <c r="U648" i="5"/>
  <c r="U649" i="5"/>
  <c r="U650" i="5"/>
  <c r="U651" i="5"/>
  <c r="U652" i="5"/>
  <c r="U653" i="5"/>
  <c r="U654" i="5"/>
  <c r="U655" i="5"/>
  <c r="U656" i="5"/>
  <c r="U657" i="5"/>
  <c r="U658" i="5"/>
  <c r="U659" i="5"/>
  <c r="U660" i="5"/>
  <c r="U661" i="5"/>
  <c r="U662" i="5"/>
  <c r="U663" i="5"/>
  <c r="U664" i="5"/>
  <c r="U665" i="5"/>
  <c r="U666" i="5"/>
  <c r="U667" i="5"/>
  <c r="U668" i="5"/>
  <c r="U669" i="5"/>
  <c r="U670" i="5"/>
  <c r="U671" i="5"/>
  <c r="U672" i="5"/>
  <c r="U673" i="5"/>
  <c r="U674" i="5"/>
  <c r="U675" i="5"/>
  <c r="U676" i="5"/>
  <c r="U677" i="5"/>
  <c r="U678" i="5"/>
  <c r="U679" i="5"/>
  <c r="U680" i="5"/>
  <c r="U681" i="5"/>
  <c r="U682" i="5"/>
  <c r="U683" i="5"/>
  <c r="U684" i="5"/>
  <c r="U685" i="5"/>
  <c r="U686" i="5"/>
  <c r="U687" i="5"/>
  <c r="U688" i="5"/>
  <c r="U689" i="5"/>
  <c r="U690" i="5"/>
  <c r="U691" i="5"/>
  <c r="U692" i="5"/>
  <c r="U693" i="5"/>
  <c r="U694" i="5"/>
  <c r="U695" i="5"/>
  <c r="U696" i="5"/>
  <c r="U697" i="5"/>
  <c r="U698" i="5"/>
  <c r="U699" i="5"/>
  <c r="U700" i="5"/>
  <c r="U701" i="5"/>
  <c r="U702" i="5"/>
  <c r="U703" i="5"/>
  <c r="U704" i="5"/>
  <c r="U705" i="5"/>
  <c r="U706" i="5"/>
  <c r="U707" i="5"/>
  <c r="U708" i="5"/>
  <c r="U709" i="5"/>
  <c r="U710" i="5"/>
  <c r="U711" i="5"/>
  <c r="U712" i="5"/>
  <c r="U713" i="5"/>
  <c r="U714" i="5"/>
  <c r="U715" i="5"/>
  <c r="U716" i="5"/>
  <c r="U717" i="5"/>
  <c r="U718" i="5"/>
  <c r="U719" i="5"/>
  <c r="U720" i="5"/>
  <c r="U721" i="5"/>
  <c r="U722" i="5"/>
  <c r="U723" i="5"/>
  <c r="U724" i="5"/>
  <c r="U725" i="5"/>
  <c r="U726" i="5"/>
  <c r="U727" i="5"/>
  <c r="U728" i="5"/>
  <c r="U729" i="5"/>
  <c r="U730" i="5"/>
  <c r="U731" i="5"/>
  <c r="U732" i="5"/>
  <c r="U733" i="5"/>
  <c r="U734" i="5"/>
  <c r="U735" i="5"/>
  <c r="U736" i="5"/>
  <c r="U737" i="5"/>
  <c r="U738" i="5"/>
  <c r="U739" i="5"/>
  <c r="U740" i="5"/>
  <c r="U741" i="5"/>
  <c r="U742" i="5"/>
  <c r="U743" i="5"/>
  <c r="U744" i="5"/>
  <c r="U745" i="5"/>
  <c r="U746" i="5"/>
  <c r="U747" i="5"/>
  <c r="U748" i="5"/>
  <c r="U749" i="5"/>
  <c r="U750" i="5"/>
  <c r="U751" i="5"/>
  <c r="U752" i="5"/>
  <c r="U753" i="5"/>
  <c r="U754" i="5"/>
  <c r="U755" i="5"/>
  <c r="U756" i="5"/>
  <c r="U757" i="5"/>
  <c r="U758" i="5"/>
  <c r="U759" i="5"/>
  <c r="U760" i="5"/>
  <c r="U761" i="5"/>
  <c r="U762" i="5"/>
  <c r="U763" i="5"/>
  <c r="U764" i="5"/>
  <c r="U765" i="5"/>
  <c r="U766" i="5"/>
  <c r="U767" i="5"/>
  <c r="U768" i="5"/>
  <c r="U769" i="5"/>
  <c r="U770" i="5"/>
  <c r="U771" i="5"/>
  <c r="U772" i="5"/>
  <c r="U773" i="5"/>
  <c r="U774" i="5"/>
  <c r="U775" i="5"/>
  <c r="U776" i="5"/>
  <c r="U777" i="5"/>
  <c r="U778" i="5"/>
  <c r="U779" i="5"/>
  <c r="U780" i="5"/>
  <c r="U781" i="5"/>
  <c r="U782" i="5"/>
  <c r="U783" i="5"/>
  <c r="U784" i="5"/>
  <c r="U785" i="5"/>
  <c r="U786" i="5"/>
  <c r="U787" i="5"/>
  <c r="U788" i="5"/>
  <c r="U789" i="5"/>
  <c r="U790" i="5"/>
  <c r="U791" i="5"/>
  <c r="U792" i="5"/>
  <c r="U793" i="5"/>
  <c r="U794" i="5"/>
  <c r="U795" i="5"/>
  <c r="U796" i="5"/>
  <c r="U797" i="5"/>
  <c r="U798" i="5"/>
  <c r="U799" i="5"/>
  <c r="U800" i="5"/>
  <c r="U801" i="5"/>
  <c r="U802" i="5"/>
  <c r="U803" i="5"/>
  <c r="U804" i="5"/>
  <c r="U805" i="5"/>
  <c r="U806" i="5"/>
  <c r="U807" i="5"/>
  <c r="U808" i="5"/>
  <c r="U809" i="5"/>
  <c r="U810" i="5"/>
  <c r="U811" i="5"/>
  <c r="U812" i="5"/>
  <c r="U813" i="5"/>
  <c r="U814" i="5"/>
  <c r="U815" i="5"/>
  <c r="U816" i="5"/>
  <c r="U817" i="5"/>
  <c r="U818" i="5"/>
  <c r="U819" i="5"/>
  <c r="U820" i="5"/>
  <c r="U821" i="5"/>
  <c r="U822" i="5"/>
  <c r="U823" i="5"/>
  <c r="U824" i="5"/>
  <c r="U825" i="5"/>
  <c r="U826" i="5"/>
  <c r="U827" i="5"/>
  <c r="U828" i="5"/>
  <c r="U829" i="5"/>
  <c r="U830" i="5"/>
  <c r="U831" i="5"/>
  <c r="U832" i="5"/>
  <c r="U833" i="5"/>
  <c r="U834" i="5"/>
  <c r="U835" i="5"/>
  <c r="U836" i="5"/>
  <c r="U837" i="5"/>
  <c r="U838" i="5"/>
  <c r="U839" i="5"/>
  <c r="U840" i="5"/>
  <c r="U841" i="5"/>
  <c r="U842" i="5"/>
  <c r="U843" i="5"/>
  <c r="U844" i="5"/>
  <c r="U845" i="5"/>
  <c r="U846" i="5"/>
  <c r="U847" i="5"/>
  <c r="U848" i="5"/>
  <c r="U849" i="5"/>
  <c r="U850" i="5"/>
  <c r="U851" i="5"/>
  <c r="U852" i="5"/>
  <c r="U853" i="5"/>
  <c r="U854" i="5"/>
  <c r="U855" i="5"/>
  <c r="U856" i="5"/>
  <c r="U857" i="5"/>
  <c r="U858" i="5"/>
  <c r="U859" i="5"/>
  <c r="U860" i="5"/>
  <c r="U861" i="5"/>
  <c r="U862" i="5"/>
  <c r="U863" i="5"/>
  <c r="U864" i="5"/>
  <c r="U865" i="5"/>
  <c r="U866" i="5"/>
  <c r="U867" i="5"/>
  <c r="U868" i="5"/>
  <c r="U869" i="5"/>
  <c r="U870" i="5"/>
  <c r="U871" i="5"/>
  <c r="U872" i="5"/>
  <c r="U873" i="5"/>
  <c r="U874" i="5"/>
  <c r="U875" i="5"/>
  <c r="U876" i="5"/>
  <c r="U877" i="5"/>
  <c r="U878" i="5"/>
  <c r="U879" i="5"/>
  <c r="U880" i="5"/>
  <c r="U881" i="5"/>
  <c r="U882" i="5"/>
  <c r="U883" i="5"/>
  <c r="U884" i="5"/>
  <c r="U885" i="5"/>
  <c r="U886" i="5"/>
  <c r="U887" i="5"/>
  <c r="U888" i="5"/>
  <c r="U889" i="5"/>
  <c r="U890" i="5"/>
  <c r="U891" i="5"/>
  <c r="U892" i="5"/>
  <c r="U893" i="5"/>
  <c r="U894" i="5"/>
  <c r="U895" i="5"/>
  <c r="U896" i="5"/>
  <c r="U897" i="5"/>
  <c r="U898" i="5"/>
  <c r="U899" i="5"/>
  <c r="U900" i="5"/>
  <c r="U901" i="5"/>
  <c r="U902" i="5"/>
  <c r="U903" i="5"/>
  <c r="U904" i="5"/>
  <c r="U905" i="5"/>
  <c r="U906" i="5"/>
  <c r="U907" i="5"/>
  <c r="U908" i="5"/>
  <c r="U909" i="5"/>
  <c r="U910" i="5"/>
  <c r="U911" i="5"/>
  <c r="U912" i="5"/>
  <c r="U913" i="5"/>
  <c r="U914" i="5"/>
  <c r="U915" i="5"/>
  <c r="U916" i="5"/>
  <c r="U917" i="5"/>
  <c r="U918" i="5"/>
  <c r="U919" i="5"/>
  <c r="U920" i="5"/>
  <c r="U921" i="5"/>
  <c r="U922" i="5"/>
  <c r="U923" i="5"/>
  <c r="U924" i="5"/>
  <c r="U925" i="5"/>
  <c r="U926" i="5"/>
  <c r="U927" i="5"/>
  <c r="U928" i="5"/>
  <c r="U929" i="5"/>
  <c r="U930" i="5"/>
  <c r="U931" i="5"/>
  <c r="U932" i="5"/>
  <c r="U933" i="5"/>
  <c r="U934" i="5"/>
  <c r="U935" i="5"/>
  <c r="U936" i="5"/>
  <c r="U937" i="5"/>
  <c r="U938" i="5"/>
  <c r="U939" i="5"/>
  <c r="U940" i="5"/>
  <c r="U941" i="5"/>
  <c r="U942" i="5"/>
  <c r="U943" i="5"/>
  <c r="U944" i="5"/>
  <c r="U945" i="5"/>
  <c r="U946" i="5"/>
  <c r="U947" i="5"/>
  <c r="U948" i="5"/>
  <c r="U949" i="5"/>
  <c r="U950" i="5"/>
  <c r="U951" i="5"/>
  <c r="U952" i="5"/>
  <c r="U953" i="5"/>
  <c r="U954" i="5"/>
  <c r="U955" i="5"/>
  <c r="U956" i="5"/>
  <c r="U957" i="5"/>
  <c r="U958" i="5"/>
  <c r="U959" i="5"/>
  <c r="U960" i="5"/>
  <c r="U961" i="5"/>
  <c r="U962" i="5"/>
  <c r="U963" i="5"/>
  <c r="U964" i="5"/>
  <c r="U965" i="5"/>
  <c r="U966" i="5"/>
  <c r="U967" i="5"/>
  <c r="U968" i="5"/>
  <c r="U969" i="5"/>
  <c r="U970" i="5"/>
  <c r="U971" i="5"/>
  <c r="U972" i="5"/>
  <c r="U973" i="5"/>
  <c r="U974" i="5"/>
  <c r="U975" i="5"/>
  <c r="U976" i="5"/>
  <c r="U977" i="5"/>
  <c r="U978" i="5"/>
  <c r="U979" i="5"/>
  <c r="U980" i="5"/>
  <c r="U981" i="5"/>
  <c r="U982" i="5"/>
  <c r="U983" i="5"/>
  <c r="U984" i="5"/>
  <c r="U985" i="5"/>
  <c r="U986" i="5"/>
  <c r="U987" i="5"/>
  <c r="U988" i="5"/>
  <c r="U989" i="5"/>
  <c r="U990" i="5"/>
  <c r="U991" i="5"/>
  <c r="U992" i="5"/>
  <c r="U993" i="5"/>
  <c r="U994" i="5"/>
  <c r="U995" i="5"/>
  <c r="U996" i="5"/>
  <c r="U997" i="5"/>
  <c r="U998" i="5"/>
  <c r="U999" i="5"/>
  <c r="U1000" i="5"/>
  <c r="U1001" i="5"/>
  <c r="U1002" i="5"/>
  <c r="U1003" i="5"/>
  <c r="U1004" i="5"/>
  <c r="U1005" i="5"/>
  <c r="U1006" i="5"/>
  <c r="U1007" i="5"/>
  <c r="U1008" i="5"/>
  <c r="U1009" i="5"/>
  <c r="U1010" i="5"/>
  <c r="U1011" i="5"/>
  <c r="U1012" i="5"/>
  <c r="U1013" i="5"/>
  <c r="U1014" i="5"/>
  <c r="U1015" i="5"/>
  <c r="U1016" i="5"/>
  <c r="U1017" i="5"/>
  <c r="U1018" i="5"/>
  <c r="U1019" i="5"/>
  <c r="U1020" i="5"/>
  <c r="U1021" i="5"/>
  <c r="U1022" i="5"/>
  <c r="U1023" i="5"/>
  <c r="U1024" i="5"/>
  <c r="U1025" i="5"/>
  <c r="U1026" i="5"/>
  <c r="U1027" i="5"/>
  <c r="U1028" i="5"/>
  <c r="U1029" i="5"/>
  <c r="U1030" i="5"/>
  <c r="U1031" i="5"/>
  <c r="U1032" i="5"/>
  <c r="U1033" i="5"/>
  <c r="U1034" i="5"/>
  <c r="U1035" i="5"/>
  <c r="U1036" i="5"/>
  <c r="U1037" i="5"/>
  <c r="U1038" i="5"/>
  <c r="U1039" i="5"/>
  <c r="U1040" i="5"/>
  <c r="U1041" i="5"/>
  <c r="U1042" i="5"/>
  <c r="U1043" i="5"/>
  <c r="U1044" i="5"/>
  <c r="U1045" i="5"/>
  <c r="U1046" i="5"/>
  <c r="U1047" i="5"/>
  <c r="U1048" i="5"/>
  <c r="U1049" i="5"/>
  <c r="U1050" i="5"/>
  <c r="U1051" i="5"/>
  <c r="U1052" i="5"/>
  <c r="U1053" i="5"/>
  <c r="U1054" i="5"/>
  <c r="U1055" i="5"/>
  <c r="U1056" i="5"/>
  <c r="U1057" i="5"/>
  <c r="U1058" i="5"/>
  <c r="U1059" i="5"/>
  <c r="U1060" i="5"/>
  <c r="U1061" i="5"/>
  <c r="U1062" i="5"/>
  <c r="U1063" i="5"/>
  <c r="U1064" i="5"/>
  <c r="U1065" i="5"/>
  <c r="U1066" i="5"/>
  <c r="U1067" i="5"/>
  <c r="U1068" i="5"/>
  <c r="U1069" i="5"/>
  <c r="U1070" i="5"/>
  <c r="U1071" i="5"/>
  <c r="U1072" i="5"/>
  <c r="U1073" i="5"/>
  <c r="U1074" i="5"/>
  <c r="U1075" i="5"/>
  <c r="U1076" i="5"/>
  <c r="U1077" i="5"/>
  <c r="U1078" i="5"/>
  <c r="U1079" i="5"/>
  <c r="U1080" i="5"/>
  <c r="U1081" i="5"/>
  <c r="U1082" i="5"/>
  <c r="U1083" i="5"/>
  <c r="U1084" i="5"/>
  <c r="U1085" i="5"/>
  <c r="U1086" i="5"/>
  <c r="U1087" i="5"/>
  <c r="U1088" i="5"/>
  <c r="U1089" i="5"/>
  <c r="U1090" i="5"/>
  <c r="U1091" i="5"/>
  <c r="U1092" i="5"/>
  <c r="U1093" i="5"/>
  <c r="U1094" i="5"/>
  <c r="U1095" i="5"/>
  <c r="U1096" i="5"/>
  <c r="U1097" i="5"/>
  <c r="U1098" i="5"/>
  <c r="U1099" i="5"/>
  <c r="U1100" i="5"/>
  <c r="U1101" i="5"/>
  <c r="U1102" i="5"/>
  <c r="U1103" i="5"/>
  <c r="U1104" i="5"/>
  <c r="U1105" i="5"/>
  <c r="U1106" i="5"/>
  <c r="U1107" i="5"/>
  <c r="U1108" i="5"/>
  <c r="U1109" i="5"/>
  <c r="U1110" i="5"/>
  <c r="U1111" i="5"/>
  <c r="U1112" i="5"/>
  <c r="U1113" i="5"/>
  <c r="U1114" i="5"/>
  <c r="U1115" i="5"/>
  <c r="U1116" i="5"/>
  <c r="U1117" i="5"/>
  <c r="U1118" i="5"/>
  <c r="U1119" i="5"/>
  <c r="U1120" i="5"/>
  <c r="U1121" i="5"/>
  <c r="U1122" i="5"/>
  <c r="U1123" i="5"/>
  <c r="U1124" i="5"/>
  <c r="U1125" i="5"/>
  <c r="U1126" i="5"/>
  <c r="U1127" i="5"/>
  <c r="U1128" i="5"/>
  <c r="U1129" i="5"/>
  <c r="U1130" i="5"/>
  <c r="U1131" i="5"/>
  <c r="U1132" i="5"/>
  <c r="U1133" i="5"/>
  <c r="U1134" i="5"/>
  <c r="U1135" i="5"/>
  <c r="U1136" i="5"/>
  <c r="U1137" i="5"/>
  <c r="U1138" i="5"/>
  <c r="U1139" i="5"/>
  <c r="U1140" i="5"/>
  <c r="U1141" i="5"/>
  <c r="U1142" i="5"/>
  <c r="U1143" i="5"/>
  <c r="U1144" i="5"/>
  <c r="U1145" i="5"/>
  <c r="U1146" i="5"/>
  <c r="U1147" i="5"/>
  <c r="U1148" i="5"/>
  <c r="U1149" i="5"/>
  <c r="U1150" i="5"/>
  <c r="U1151" i="5"/>
  <c r="U1152" i="5"/>
  <c r="U1153" i="5"/>
  <c r="U1154" i="5"/>
  <c r="U1155" i="5"/>
  <c r="U1156" i="5"/>
  <c r="U1157" i="5"/>
  <c r="U1158" i="5"/>
  <c r="U1159" i="5"/>
  <c r="U1160" i="5"/>
  <c r="U1161" i="5"/>
  <c r="U1162" i="5"/>
  <c r="U1163" i="5"/>
  <c r="U1164" i="5"/>
  <c r="U1165" i="5"/>
  <c r="U1166" i="5"/>
  <c r="U1167" i="5"/>
  <c r="U1168" i="5"/>
  <c r="U1169" i="5"/>
  <c r="U1170" i="5"/>
  <c r="U1171" i="5"/>
  <c r="U1172" i="5"/>
  <c r="U1173" i="5"/>
  <c r="U1174" i="5"/>
  <c r="U1175" i="5"/>
  <c r="U1176" i="5"/>
  <c r="U1177" i="5"/>
  <c r="U1178" i="5"/>
  <c r="U1179" i="5"/>
  <c r="U1180" i="5"/>
  <c r="U1181" i="5"/>
  <c r="U1182" i="5"/>
  <c r="U1183" i="5"/>
  <c r="U1184" i="5"/>
  <c r="U1185" i="5"/>
  <c r="U1186" i="5"/>
  <c r="U1187" i="5"/>
  <c r="U1188" i="5"/>
  <c r="U1189" i="5"/>
  <c r="U1190" i="5"/>
  <c r="U1191" i="5"/>
  <c r="U1192" i="5"/>
  <c r="U1193" i="5"/>
  <c r="U1194" i="5"/>
  <c r="U1195" i="5"/>
  <c r="U1196" i="5"/>
  <c r="U1197" i="5"/>
  <c r="U1198" i="5"/>
  <c r="U1199" i="5"/>
  <c r="U1200" i="5"/>
  <c r="U1201" i="5"/>
  <c r="U1202" i="5"/>
  <c r="U1203" i="5"/>
  <c r="U1204" i="5"/>
  <c r="U1205" i="5"/>
  <c r="U1206" i="5"/>
  <c r="U1207" i="5"/>
  <c r="U1208" i="5"/>
  <c r="U1209" i="5"/>
  <c r="U1210" i="5"/>
  <c r="U1211" i="5"/>
  <c r="U1212" i="5"/>
  <c r="U1213" i="5"/>
  <c r="U1214" i="5"/>
  <c r="U1215" i="5"/>
  <c r="U1216" i="5"/>
  <c r="U1217" i="5"/>
  <c r="U1218" i="5"/>
  <c r="U1219" i="5"/>
  <c r="U1220" i="5"/>
  <c r="U1221" i="5"/>
  <c r="U1222" i="5"/>
  <c r="U1223" i="5"/>
  <c r="U1224" i="5"/>
  <c r="U1225" i="5"/>
  <c r="U1226" i="5"/>
  <c r="U1227" i="5"/>
  <c r="U1228" i="5"/>
  <c r="U1229" i="5"/>
  <c r="U1230" i="5"/>
  <c r="U1231" i="5"/>
  <c r="U1232" i="5"/>
  <c r="U1233" i="5"/>
  <c r="U1234" i="5"/>
  <c r="U1235" i="5"/>
  <c r="U1236" i="5"/>
  <c r="U1237" i="5"/>
  <c r="U1238" i="5"/>
  <c r="U1239" i="5"/>
  <c r="U1240" i="5"/>
  <c r="U1241" i="5"/>
  <c r="U1242" i="5"/>
  <c r="U1243" i="5"/>
  <c r="U1244" i="5"/>
  <c r="U1245" i="5"/>
  <c r="U1246" i="5"/>
  <c r="U1247" i="5"/>
  <c r="U1248" i="5"/>
  <c r="U1249" i="5"/>
  <c r="U1250" i="5"/>
  <c r="U1251" i="5"/>
  <c r="U1252" i="5"/>
  <c r="U1253" i="5"/>
  <c r="U1254" i="5"/>
  <c r="U1255" i="5"/>
  <c r="U1256" i="5"/>
  <c r="U1257" i="5"/>
  <c r="U1258" i="5"/>
  <c r="U1259" i="5"/>
  <c r="U1260" i="5"/>
  <c r="U1261" i="5"/>
  <c r="U1262" i="5"/>
  <c r="U1263" i="5"/>
  <c r="U1264" i="5"/>
  <c r="U1265" i="5"/>
  <c r="U1266" i="5"/>
  <c r="U1267" i="5"/>
  <c r="U1268" i="5"/>
  <c r="U1269" i="5"/>
  <c r="U1270" i="5"/>
  <c r="U1271" i="5"/>
  <c r="U1272" i="5"/>
  <c r="U1273" i="5"/>
  <c r="U1274" i="5"/>
  <c r="U1275" i="5"/>
  <c r="U1276" i="5"/>
  <c r="U1277" i="5"/>
  <c r="U1278" i="5"/>
  <c r="U1279" i="5"/>
  <c r="U1280" i="5"/>
  <c r="U1281" i="5"/>
  <c r="U1282" i="5"/>
  <c r="U1283" i="5"/>
  <c r="U1284" i="5"/>
  <c r="U1285" i="5"/>
  <c r="U1286" i="5"/>
  <c r="U1287" i="5"/>
  <c r="U1288" i="5"/>
  <c r="U1289" i="5"/>
  <c r="U1290" i="5"/>
  <c r="U1291" i="5"/>
  <c r="U1292" i="5"/>
  <c r="U1293" i="5"/>
  <c r="U1294" i="5"/>
  <c r="U1295" i="5"/>
  <c r="U1296" i="5"/>
  <c r="U1297" i="5"/>
  <c r="U1298" i="5"/>
  <c r="U1299" i="5"/>
  <c r="U1300" i="5"/>
  <c r="U1301" i="5"/>
  <c r="U1302" i="5"/>
  <c r="U1303" i="5"/>
  <c r="U1304" i="5"/>
  <c r="U1305" i="5"/>
  <c r="U1306" i="5"/>
  <c r="U1307" i="5"/>
  <c r="U1308" i="5"/>
  <c r="U1309" i="5"/>
  <c r="U1310" i="5"/>
  <c r="U1311" i="5"/>
  <c r="U1312" i="5"/>
  <c r="U1313" i="5"/>
  <c r="U1314" i="5"/>
  <c r="U1315" i="5"/>
  <c r="U1316" i="5"/>
  <c r="U1317" i="5"/>
  <c r="U1318" i="5"/>
  <c r="U1319" i="5"/>
  <c r="U1320" i="5"/>
  <c r="U1321" i="5"/>
  <c r="U1322" i="5"/>
  <c r="U1323" i="5"/>
  <c r="U1324" i="5"/>
  <c r="U1325" i="5"/>
  <c r="U1326" i="5"/>
  <c r="U1327" i="5"/>
  <c r="U1328" i="5"/>
  <c r="U1329" i="5"/>
  <c r="U1330" i="5"/>
  <c r="U1331" i="5"/>
  <c r="U1332" i="5"/>
  <c r="U1333" i="5"/>
  <c r="U1334" i="5"/>
  <c r="U1335" i="5"/>
  <c r="U1336" i="5"/>
  <c r="U1337" i="5"/>
  <c r="U1338" i="5"/>
  <c r="U1339" i="5"/>
  <c r="U1340" i="5"/>
  <c r="U1341" i="5"/>
  <c r="U1342" i="5"/>
  <c r="U1343" i="5"/>
  <c r="U1344" i="5"/>
  <c r="U1345" i="5"/>
  <c r="U1346" i="5"/>
  <c r="U1347" i="5"/>
  <c r="U1348" i="5"/>
  <c r="U1349" i="5"/>
  <c r="U1350" i="5"/>
  <c r="U1351" i="5"/>
  <c r="U1352" i="5"/>
  <c r="U1353" i="5"/>
  <c r="U1354" i="5"/>
  <c r="U1355" i="5"/>
  <c r="U1356" i="5"/>
  <c r="U1357" i="5"/>
  <c r="U1358" i="5"/>
  <c r="U1359" i="5"/>
  <c r="U1360" i="5"/>
  <c r="U1361" i="5"/>
  <c r="U1362" i="5"/>
  <c r="U1363" i="5"/>
  <c r="U1364" i="5"/>
  <c r="U1365" i="5"/>
  <c r="U1366" i="5"/>
  <c r="U1367" i="5"/>
  <c r="U1368" i="5"/>
  <c r="U1369" i="5"/>
  <c r="U1370" i="5"/>
  <c r="U1371" i="5"/>
  <c r="U1372" i="5"/>
  <c r="U1373" i="5"/>
  <c r="U1374" i="5"/>
  <c r="U1375" i="5"/>
  <c r="U1376" i="5"/>
  <c r="U1377" i="5"/>
  <c r="U1378" i="5"/>
  <c r="U1379" i="5"/>
  <c r="U1380" i="5"/>
  <c r="U1381" i="5"/>
  <c r="U1382" i="5"/>
  <c r="U1383" i="5"/>
  <c r="U1384" i="5"/>
  <c r="U1385" i="5"/>
  <c r="U1386" i="5"/>
  <c r="U1387" i="5"/>
  <c r="U1388" i="5"/>
  <c r="U1389" i="5"/>
  <c r="U1390" i="5"/>
  <c r="U1391" i="5"/>
  <c r="U1392" i="5"/>
  <c r="U1393" i="5"/>
  <c r="U1394" i="5"/>
  <c r="U1395" i="5"/>
  <c r="U1396" i="5"/>
  <c r="U1397" i="5"/>
  <c r="U1398" i="5"/>
  <c r="U1399" i="5"/>
  <c r="U1400" i="5"/>
  <c r="U1401" i="5"/>
  <c r="U1402" i="5"/>
  <c r="U1403" i="5"/>
  <c r="U1404" i="5"/>
  <c r="U1405" i="5"/>
  <c r="U1406" i="5"/>
  <c r="U1407" i="5"/>
  <c r="U1408" i="5"/>
  <c r="U1409" i="5"/>
  <c r="U1410" i="5"/>
  <c r="U1411" i="5"/>
  <c r="U1412" i="5"/>
  <c r="U1413" i="5"/>
  <c r="U1414" i="5"/>
  <c r="U1415" i="5"/>
  <c r="U1416" i="5"/>
  <c r="U1417" i="5"/>
  <c r="U1418" i="5"/>
  <c r="U1419" i="5"/>
  <c r="U1420" i="5"/>
  <c r="U1421" i="5"/>
  <c r="U1422" i="5"/>
  <c r="U1423" i="5"/>
  <c r="U1424" i="5"/>
  <c r="U1425" i="5"/>
  <c r="U1426" i="5"/>
  <c r="U1427" i="5"/>
  <c r="U1428" i="5"/>
  <c r="U1429" i="5"/>
  <c r="U1430" i="5"/>
  <c r="U1431" i="5"/>
  <c r="U1432" i="5"/>
  <c r="U1433" i="5"/>
  <c r="U1434" i="5"/>
  <c r="U1435" i="5"/>
  <c r="U1436" i="5"/>
  <c r="U1437" i="5"/>
  <c r="U1438" i="5"/>
  <c r="U1439" i="5"/>
  <c r="U1440" i="5"/>
  <c r="U1441" i="5"/>
  <c r="U1442" i="5"/>
  <c r="U1443" i="5"/>
  <c r="U1444" i="5"/>
  <c r="U1445" i="5"/>
  <c r="U1446" i="5"/>
  <c r="U1447" i="5"/>
  <c r="U1448" i="5"/>
  <c r="U1449" i="5"/>
  <c r="U1450" i="5"/>
  <c r="U1451" i="5"/>
  <c r="U1452" i="5"/>
  <c r="U1453" i="5"/>
  <c r="U1454" i="5"/>
  <c r="U1455" i="5"/>
  <c r="U1456" i="5"/>
  <c r="U1457" i="5"/>
  <c r="U1458" i="5"/>
  <c r="U1459" i="5"/>
  <c r="U1460" i="5"/>
  <c r="U1461" i="5"/>
  <c r="U1462" i="5"/>
  <c r="U1463" i="5"/>
  <c r="U1464" i="5"/>
  <c r="U1465" i="5"/>
  <c r="U1466" i="5"/>
  <c r="U1467" i="5"/>
  <c r="U1468" i="5"/>
  <c r="U1469" i="5"/>
  <c r="U1470" i="5"/>
  <c r="U1471" i="5"/>
  <c r="U1472" i="5"/>
  <c r="U1473" i="5"/>
  <c r="U1474" i="5"/>
  <c r="U1475" i="5"/>
  <c r="U1476" i="5"/>
  <c r="U1477" i="5"/>
  <c r="U1478" i="5"/>
  <c r="U1479" i="5"/>
  <c r="U1480" i="5"/>
  <c r="U1481" i="5"/>
  <c r="U1482" i="5"/>
  <c r="U1483" i="5"/>
  <c r="U1484" i="5"/>
  <c r="U1485" i="5"/>
  <c r="U1486" i="5"/>
  <c r="U1487" i="5"/>
  <c r="U1488" i="5"/>
  <c r="U1489" i="5"/>
  <c r="U1490" i="5"/>
  <c r="U1491" i="5"/>
  <c r="U1492" i="5"/>
  <c r="U1493" i="5"/>
  <c r="U1494" i="5"/>
  <c r="U1495" i="5"/>
  <c r="U1496" i="5"/>
  <c r="U1497" i="5"/>
  <c r="U1498" i="5"/>
  <c r="U1499" i="5"/>
  <c r="U1500" i="5"/>
  <c r="U1501" i="5"/>
  <c r="U1502" i="5"/>
  <c r="U1503" i="5"/>
  <c r="U1504" i="5"/>
  <c r="U1505" i="5"/>
  <c r="U1506" i="5"/>
  <c r="U1507" i="5"/>
  <c r="U1508" i="5"/>
  <c r="U1509" i="5"/>
  <c r="U1510" i="5"/>
  <c r="U1511" i="5"/>
  <c r="U1512" i="5"/>
  <c r="U1513" i="5"/>
  <c r="U1514" i="5"/>
  <c r="U1515" i="5"/>
  <c r="U1516" i="5"/>
  <c r="U1517" i="5"/>
  <c r="U1518" i="5"/>
  <c r="U1519" i="5"/>
  <c r="U1520" i="5"/>
  <c r="U1521" i="5"/>
  <c r="U1522" i="5"/>
  <c r="U1523" i="5"/>
  <c r="U1524" i="5"/>
  <c r="U1525" i="5"/>
  <c r="U1526" i="5"/>
  <c r="U1527" i="5"/>
  <c r="U1528" i="5"/>
  <c r="U1529" i="5"/>
  <c r="U1530" i="5"/>
  <c r="U1531" i="5"/>
  <c r="U1532" i="5"/>
  <c r="U1533" i="5"/>
  <c r="U1534" i="5"/>
  <c r="U1535" i="5"/>
  <c r="U1536" i="5"/>
  <c r="U1537" i="5"/>
  <c r="U1538" i="5"/>
  <c r="U1539" i="5"/>
  <c r="U1540" i="5"/>
  <c r="U1541" i="5"/>
  <c r="U1542" i="5"/>
  <c r="U1543" i="5"/>
  <c r="U1544" i="5"/>
  <c r="U1545" i="5"/>
  <c r="U1546" i="5"/>
  <c r="U1547" i="5"/>
  <c r="U1548" i="5"/>
  <c r="U1549" i="5"/>
  <c r="U1550" i="5"/>
  <c r="U1551" i="5"/>
  <c r="U1552" i="5"/>
  <c r="U1553" i="5"/>
  <c r="U1554" i="5"/>
  <c r="U1555" i="5"/>
  <c r="U1556" i="5"/>
  <c r="U1557" i="5"/>
  <c r="U1558" i="5"/>
  <c r="U1559" i="5"/>
  <c r="U1560" i="5"/>
  <c r="U1561" i="5"/>
  <c r="U1562" i="5"/>
  <c r="U1563" i="5"/>
  <c r="U1564" i="5"/>
  <c r="U1565" i="5"/>
  <c r="U1566" i="5"/>
  <c r="U1567" i="5"/>
  <c r="U1568" i="5"/>
  <c r="U1569" i="5"/>
  <c r="U1570" i="5"/>
  <c r="U1571" i="5"/>
  <c r="U1572" i="5"/>
  <c r="U1573" i="5"/>
  <c r="U1574" i="5"/>
  <c r="U1575" i="5"/>
  <c r="U1576" i="5"/>
  <c r="U1577" i="5"/>
  <c r="U1578" i="5"/>
  <c r="U1579" i="5"/>
  <c r="U1580" i="5"/>
  <c r="U1581" i="5"/>
  <c r="U1582" i="5"/>
  <c r="U1583" i="5"/>
  <c r="U1584" i="5"/>
  <c r="U1585" i="5"/>
  <c r="U1586" i="5"/>
  <c r="U1587" i="5"/>
  <c r="U1588" i="5"/>
  <c r="U1589" i="5"/>
  <c r="U1590" i="5"/>
  <c r="U1591" i="5"/>
  <c r="U1592" i="5"/>
  <c r="U1593" i="5"/>
  <c r="U1594" i="5"/>
  <c r="U1595" i="5"/>
  <c r="U1596" i="5"/>
  <c r="U1597" i="5"/>
  <c r="U1598" i="5"/>
  <c r="U1599" i="5"/>
  <c r="U1600" i="5"/>
  <c r="U1601" i="5"/>
  <c r="U1602" i="5"/>
  <c r="U1603" i="5"/>
  <c r="U1604" i="5"/>
  <c r="U1605" i="5"/>
  <c r="U1606" i="5"/>
  <c r="U1607" i="5"/>
  <c r="U1608" i="5"/>
  <c r="U1609" i="5"/>
  <c r="U1610" i="5"/>
  <c r="U1611" i="5"/>
  <c r="U1612" i="5"/>
  <c r="U1613" i="5"/>
  <c r="U1614" i="5"/>
  <c r="U1615" i="5"/>
  <c r="U1616" i="5"/>
  <c r="U1617" i="5"/>
  <c r="U1618" i="5"/>
  <c r="U1619" i="5"/>
  <c r="U1620" i="5"/>
  <c r="U1621" i="5"/>
  <c r="U1622" i="5"/>
  <c r="U1623" i="5"/>
  <c r="U1624" i="5"/>
  <c r="U1625" i="5"/>
  <c r="U1626" i="5"/>
  <c r="U1627" i="5"/>
  <c r="U1628" i="5"/>
  <c r="U1629" i="5"/>
  <c r="U1630" i="5"/>
  <c r="U1631" i="5"/>
  <c r="U1632" i="5"/>
  <c r="U1633" i="5"/>
  <c r="U1634" i="5"/>
  <c r="U1635" i="5"/>
  <c r="U1636" i="5"/>
  <c r="U1637" i="5"/>
  <c r="U1638" i="5"/>
  <c r="U1639" i="5"/>
  <c r="U1640" i="5"/>
  <c r="U1641" i="5"/>
  <c r="U1642" i="5"/>
  <c r="U1643" i="5"/>
  <c r="U1644" i="5"/>
  <c r="U1645" i="5"/>
  <c r="U1646" i="5"/>
  <c r="U1647" i="5"/>
  <c r="U1648" i="5"/>
  <c r="U1649" i="5"/>
  <c r="U1650" i="5"/>
  <c r="U1651" i="5"/>
  <c r="U1652" i="5"/>
  <c r="U1653" i="5"/>
  <c r="U1654" i="5"/>
  <c r="U1655" i="5"/>
  <c r="U1656" i="5"/>
  <c r="U1657" i="5"/>
  <c r="U1658" i="5"/>
  <c r="U1659" i="5"/>
  <c r="U1660" i="5"/>
  <c r="U1661" i="5"/>
  <c r="U1662" i="5"/>
  <c r="U1663" i="5"/>
  <c r="U1664" i="5"/>
  <c r="U1665" i="5"/>
  <c r="U1666" i="5"/>
  <c r="U1667" i="5"/>
  <c r="U1668" i="5"/>
  <c r="U1669" i="5"/>
  <c r="U1670" i="5"/>
  <c r="U1671" i="5"/>
  <c r="U1672" i="5"/>
  <c r="U1673" i="5"/>
  <c r="U1674" i="5"/>
  <c r="U1675" i="5"/>
  <c r="U1676" i="5"/>
  <c r="U1677" i="5"/>
  <c r="U1678" i="5"/>
  <c r="U1679" i="5"/>
  <c r="U1680" i="5"/>
  <c r="U1681" i="5"/>
  <c r="U1682" i="5"/>
  <c r="U1683" i="5"/>
  <c r="U1684" i="5"/>
  <c r="U1685" i="5"/>
  <c r="U1686" i="5"/>
  <c r="U1687" i="5"/>
  <c r="U1688" i="5"/>
  <c r="U1689" i="5"/>
  <c r="U1690" i="5"/>
  <c r="U1691" i="5"/>
  <c r="U1692" i="5"/>
  <c r="U1693" i="5"/>
  <c r="U1694" i="5"/>
  <c r="U1695" i="5"/>
  <c r="U1696" i="5"/>
  <c r="U1697" i="5"/>
  <c r="U1698" i="5"/>
  <c r="U1699" i="5"/>
  <c r="U1700" i="5"/>
  <c r="U1701" i="5"/>
  <c r="U1702" i="5"/>
  <c r="U1703" i="5"/>
  <c r="U1704" i="5"/>
  <c r="U1705" i="5"/>
  <c r="U1706" i="5"/>
  <c r="U1707" i="5"/>
  <c r="U1708" i="5"/>
  <c r="U1709" i="5"/>
  <c r="U1710" i="5"/>
  <c r="U1711" i="5"/>
  <c r="U1712" i="5"/>
  <c r="U1713" i="5"/>
  <c r="U1714" i="5"/>
  <c r="U1715" i="5"/>
  <c r="U1716" i="5"/>
  <c r="U1717" i="5"/>
  <c r="U1718" i="5"/>
  <c r="U1719" i="5"/>
  <c r="U1720" i="5"/>
  <c r="U1721" i="5"/>
  <c r="U1722" i="5"/>
  <c r="U1723" i="5"/>
  <c r="U1724" i="5"/>
  <c r="U1725" i="5"/>
  <c r="U1726" i="5"/>
  <c r="U1727" i="5"/>
  <c r="U1728" i="5"/>
  <c r="U1729" i="5"/>
  <c r="U1730" i="5"/>
  <c r="U1731" i="5"/>
  <c r="U1732" i="5"/>
  <c r="U1733" i="5"/>
  <c r="U1734" i="5"/>
  <c r="U1735" i="5"/>
  <c r="U1736" i="5"/>
  <c r="U1737" i="5"/>
  <c r="U1738" i="5"/>
  <c r="U1739" i="5"/>
  <c r="U1740" i="5"/>
  <c r="U1741" i="5"/>
  <c r="U1742" i="5"/>
  <c r="U1743" i="5"/>
  <c r="U1744" i="5"/>
  <c r="U1745" i="5"/>
  <c r="U1746" i="5"/>
  <c r="U1747" i="5"/>
  <c r="U1748" i="5"/>
  <c r="U1749" i="5"/>
  <c r="U1750" i="5"/>
  <c r="U1751" i="5"/>
  <c r="U1752" i="5"/>
  <c r="U1753" i="5"/>
  <c r="U1754" i="5"/>
  <c r="U1755" i="5"/>
  <c r="U1756" i="5"/>
  <c r="U1757" i="5"/>
  <c r="U1758" i="5"/>
  <c r="U1759" i="5"/>
  <c r="U1760" i="5"/>
  <c r="U1761" i="5"/>
  <c r="U1762" i="5"/>
  <c r="U1763" i="5"/>
  <c r="U1764" i="5"/>
  <c r="U1765" i="5"/>
  <c r="U1766" i="5"/>
  <c r="U1767" i="5"/>
  <c r="U1768" i="5"/>
  <c r="U1769" i="5"/>
  <c r="U1770" i="5"/>
  <c r="U1771" i="5"/>
  <c r="U1772" i="5"/>
  <c r="U1773" i="5"/>
  <c r="U1774" i="5"/>
  <c r="U1775" i="5"/>
  <c r="U1776" i="5"/>
  <c r="U1777" i="5"/>
  <c r="U1778" i="5"/>
  <c r="U1779" i="5"/>
  <c r="U1780" i="5"/>
  <c r="U1781" i="5"/>
  <c r="U1782" i="5"/>
  <c r="U1783" i="5"/>
  <c r="U1784" i="5"/>
  <c r="U1785" i="5"/>
  <c r="U1786" i="5"/>
  <c r="U1787" i="5"/>
  <c r="U1788" i="5"/>
  <c r="U1789" i="5"/>
  <c r="U1790" i="5"/>
  <c r="U1791" i="5"/>
  <c r="U1792" i="5"/>
  <c r="U1793" i="5"/>
  <c r="U1794" i="5"/>
  <c r="U1795" i="5"/>
  <c r="U1796" i="5"/>
  <c r="U1797" i="5"/>
  <c r="U1798" i="5"/>
  <c r="U1799" i="5"/>
  <c r="U1800" i="5"/>
  <c r="U1801" i="5"/>
  <c r="U1802" i="5"/>
  <c r="U1803" i="5"/>
  <c r="U1804" i="5"/>
  <c r="U1805" i="5"/>
  <c r="U1806" i="5"/>
  <c r="U1807" i="5"/>
  <c r="U1808" i="5"/>
  <c r="U1809" i="5"/>
  <c r="U1810" i="5"/>
  <c r="U1811" i="5"/>
  <c r="U1812" i="5"/>
  <c r="U1813" i="5"/>
  <c r="U1814" i="5"/>
  <c r="U1815" i="5"/>
  <c r="U1816" i="5"/>
  <c r="U1817" i="5"/>
  <c r="U1818" i="5"/>
  <c r="U1819" i="5"/>
  <c r="U1820" i="5"/>
  <c r="U1821" i="5"/>
  <c r="U1822" i="5"/>
  <c r="U1823" i="5"/>
  <c r="U1824" i="5"/>
  <c r="U1825" i="5"/>
  <c r="U1826" i="5"/>
  <c r="U1827" i="5"/>
  <c r="U1828" i="5"/>
  <c r="U1829" i="5"/>
  <c r="U1830" i="5"/>
  <c r="U1831" i="5"/>
  <c r="U1832" i="5"/>
  <c r="U1833" i="5"/>
  <c r="U1834" i="5"/>
  <c r="U1835" i="5"/>
  <c r="U1836" i="5"/>
  <c r="U1837" i="5"/>
  <c r="U1838" i="5"/>
  <c r="U1839" i="5"/>
  <c r="U1840" i="5"/>
  <c r="U1841" i="5"/>
  <c r="U1842" i="5"/>
  <c r="U1843" i="5"/>
  <c r="U1844" i="5"/>
  <c r="U1845" i="5"/>
  <c r="U1846" i="5"/>
  <c r="U1847" i="5"/>
  <c r="U1848" i="5"/>
  <c r="U1849" i="5"/>
  <c r="U1850" i="5"/>
  <c r="U1851" i="5"/>
  <c r="U1852" i="5"/>
  <c r="U1853" i="5"/>
  <c r="U1854" i="5"/>
  <c r="U1855" i="5"/>
  <c r="U1856" i="5"/>
  <c r="U1857" i="5"/>
  <c r="U1858" i="5"/>
  <c r="U1859" i="5"/>
  <c r="U1860" i="5"/>
  <c r="U1861" i="5"/>
  <c r="U1862" i="5"/>
  <c r="U1863" i="5"/>
  <c r="U1864" i="5"/>
  <c r="U1865" i="5"/>
  <c r="U1866" i="5"/>
  <c r="U1867" i="5"/>
  <c r="U1868" i="5"/>
  <c r="U1869" i="5"/>
  <c r="U1870" i="5"/>
  <c r="U1871" i="5"/>
  <c r="U1872" i="5"/>
  <c r="U1873" i="5"/>
  <c r="U1874" i="5"/>
  <c r="U1875" i="5"/>
  <c r="U1876" i="5"/>
  <c r="U1877" i="5"/>
  <c r="U1878" i="5"/>
  <c r="U1879" i="5"/>
  <c r="U1880" i="5"/>
  <c r="U1881" i="5"/>
  <c r="U1882" i="5"/>
  <c r="U1883" i="5"/>
  <c r="U1884" i="5"/>
  <c r="U1885" i="5"/>
  <c r="U1886" i="5"/>
  <c r="U1887" i="5"/>
  <c r="U1888" i="5"/>
  <c r="U1889" i="5"/>
  <c r="U1890" i="5"/>
  <c r="U1891" i="5"/>
  <c r="U1892" i="5"/>
  <c r="U1893" i="5"/>
  <c r="U1894" i="5"/>
  <c r="U1895" i="5"/>
  <c r="U1896" i="5"/>
  <c r="U1897" i="5"/>
  <c r="U1898" i="5"/>
  <c r="U1899" i="5"/>
  <c r="U1900" i="5"/>
  <c r="U1901" i="5"/>
  <c r="U1902" i="5"/>
  <c r="U1903" i="5"/>
  <c r="U1904" i="5"/>
  <c r="U1905" i="5"/>
  <c r="U1906" i="5"/>
  <c r="U1907" i="5"/>
  <c r="U1908" i="5"/>
  <c r="U1909" i="5"/>
  <c r="U1910" i="5"/>
  <c r="U1911" i="5"/>
  <c r="U1912" i="5"/>
  <c r="U1913" i="5"/>
  <c r="U1914" i="5"/>
  <c r="U1915" i="5"/>
  <c r="U1916" i="5"/>
  <c r="U1917" i="5"/>
  <c r="U1918" i="5"/>
  <c r="U1919" i="5"/>
  <c r="U1920" i="5"/>
  <c r="U1921" i="5"/>
  <c r="U1922" i="5"/>
  <c r="U1923" i="5"/>
  <c r="U1924" i="5"/>
  <c r="U1925" i="5"/>
  <c r="U1926" i="5"/>
  <c r="U1927" i="5"/>
  <c r="U1928" i="5"/>
  <c r="U1929" i="5"/>
  <c r="U1930" i="5"/>
  <c r="U1931" i="5"/>
  <c r="U1932" i="5"/>
  <c r="U1933" i="5"/>
  <c r="U1934" i="5"/>
  <c r="U1935" i="5"/>
  <c r="U1936" i="5"/>
  <c r="U1937" i="5"/>
  <c r="U1938" i="5"/>
  <c r="U1939" i="5"/>
  <c r="U1940" i="5"/>
  <c r="U1941" i="5"/>
  <c r="U1942" i="5"/>
  <c r="U1943" i="5"/>
  <c r="U1944" i="5"/>
  <c r="U1945" i="5"/>
  <c r="U1946" i="5"/>
  <c r="U1947" i="5"/>
  <c r="U1948" i="5"/>
  <c r="U1949" i="5"/>
  <c r="U1950" i="5"/>
  <c r="U1951" i="5"/>
  <c r="U1952" i="5"/>
  <c r="U1953" i="5"/>
  <c r="U1954" i="5"/>
  <c r="U1955" i="5"/>
  <c r="U1956" i="5"/>
  <c r="U1957" i="5"/>
  <c r="U1958" i="5"/>
  <c r="U1959" i="5"/>
  <c r="U1960" i="5"/>
  <c r="U1961" i="5"/>
  <c r="U1962" i="5"/>
  <c r="U1963" i="5"/>
  <c r="U1964" i="5"/>
  <c r="U1965" i="5"/>
  <c r="U1966" i="5"/>
  <c r="U1967" i="5"/>
  <c r="U1968" i="5"/>
  <c r="U1969" i="5"/>
  <c r="U1970" i="5"/>
  <c r="U1971" i="5"/>
  <c r="U1972" i="5"/>
  <c r="U1973" i="5"/>
  <c r="U1974" i="5"/>
  <c r="U1975" i="5"/>
  <c r="U1976" i="5"/>
  <c r="U1977" i="5"/>
  <c r="U1978" i="5"/>
  <c r="U1979" i="5"/>
  <c r="U1980" i="5"/>
  <c r="U1981" i="5"/>
  <c r="U1982" i="5"/>
  <c r="U1983" i="5"/>
  <c r="U1984" i="5"/>
  <c r="U1985" i="5"/>
  <c r="U1986" i="5"/>
  <c r="U1987" i="5"/>
  <c r="U1988" i="5"/>
  <c r="U1989" i="5"/>
  <c r="U1990" i="5"/>
  <c r="U1991" i="5"/>
  <c r="U1992" i="5"/>
  <c r="U1993" i="5"/>
  <c r="U1994" i="5"/>
  <c r="U1995" i="5"/>
  <c r="U1996" i="5"/>
  <c r="U1997" i="5"/>
  <c r="U1998" i="5"/>
  <c r="U1999" i="5"/>
  <c r="U2000" i="5"/>
  <c r="U2001" i="5"/>
  <c r="U2002" i="5"/>
  <c r="U2003" i="5"/>
  <c r="U2004" i="5"/>
  <c r="U2005" i="5"/>
  <c r="U2006" i="5"/>
  <c r="U2007" i="5"/>
  <c r="U2008" i="5"/>
  <c r="U2009" i="5"/>
  <c r="U2010" i="5"/>
  <c r="U2011" i="5"/>
  <c r="U2012" i="5"/>
  <c r="U2013" i="5"/>
  <c r="U2014" i="5"/>
  <c r="U2015" i="5"/>
  <c r="U2016" i="5"/>
  <c r="U2017" i="5"/>
  <c r="U2018" i="5"/>
  <c r="U2019" i="5"/>
  <c r="U2020" i="5"/>
  <c r="U2021" i="5"/>
  <c r="U2022" i="5"/>
  <c r="U2023" i="5"/>
  <c r="U2024" i="5"/>
  <c r="U2025" i="5"/>
  <c r="U2026" i="5"/>
  <c r="U2027" i="5"/>
  <c r="U2028" i="5"/>
  <c r="U2029" i="5"/>
  <c r="U2030" i="5"/>
  <c r="U2031" i="5"/>
  <c r="U2032" i="5"/>
  <c r="U2033" i="5"/>
  <c r="U2034" i="5"/>
  <c r="U2035" i="5"/>
  <c r="U2036" i="5"/>
  <c r="U2037" i="5"/>
  <c r="U2038" i="5"/>
  <c r="U2039" i="5"/>
  <c r="U2040" i="5"/>
  <c r="U2041" i="5"/>
  <c r="U2042" i="5"/>
  <c r="U2043" i="5"/>
  <c r="U2044" i="5"/>
  <c r="U2045" i="5"/>
  <c r="U2046" i="5"/>
  <c r="U2047" i="5"/>
  <c r="U2048" i="5"/>
  <c r="U2049" i="5"/>
  <c r="U2050" i="5"/>
  <c r="U2051" i="5"/>
  <c r="U2052" i="5"/>
  <c r="U2053" i="5"/>
  <c r="U2054" i="5"/>
  <c r="U2055" i="5"/>
  <c r="U2056" i="5"/>
  <c r="U2057" i="5"/>
  <c r="U2058" i="5"/>
  <c r="U2059" i="5"/>
  <c r="U2060" i="5"/>
  <c r="U2061" i="5"/>
  <c r="U2062" i="5"/>
  <c r="U2063" i="5"/>
  <c r="U2064" i="5"/>
  <c r="U2065" i="5"/>
  <c r="U2066" i="5"/>
  <c r="U2067" i="5"/>
  <c r="U2068" i="5"/>
  <c r="U2069" i="5"/>
  <c r="U2070" i="5"/>
  <c r="U2071" i="5"/>
  <c r="U2072" i="5"/>
  <c r="U2073" i="5"/>
  <c r="U2074" i="5"/>
  <c r="U2075" i="5"/>
  <c r="U2076" i="5"/>
  <c r="U2077" i="5"/>
  <c r="U2078" i="5"/>
  <c r="U2079" i="5"/>
  <c r="U2080" i="5"/>
  <c r="U2081" i="5"/>
  <c r="U2082" i="5"/>
  <c r="U2083" i="5"/>
  <c r="U2084" i="5"/>
  <c r="U2085" i="5"/>
  <c r="U2086" i="5"/>
  <c r="U2087" i="5"/>
  <c r="U2088" i="5"/>
  <c r="U2089" i="5"/>
  <c r="U2090" i="5"/>
  <c r="U2091" i="5"/>
  <c r="U2092" i="5"/>
  <c r="U2093" i="5"/>
  <c r="U2094" i="5"/>
  <c r="U2095" i="5"/>
  <c r="U2096" i="5"/>
  <c r="U2097" i="5"/>
  <c r="U2098" i="5"/>
  <c r="U2099" i="5"/>
  <c r="U2100" i="5"/>
  <c r="U2101" i="5"/>
  <c r="U2102" i="5"/>
  <c r="U2103" i="5"/>
  <c r="U2104" i="5"/>
  <c r="U2105" i="5"/>
  <c r="U2106" i="5"/>
  <c r="U2107" i="5"/>
  <c r="U2108" i="5"/>
  <c r="U2109" i="5"/>
  <c r="U2110" i="5"/>
  <c r="U2111" i="5"/>
  <c r="U2112" i="5"/>
  <c r="U2113" i="5"/>
  <c r="U2114" i="5"/>
  <c r="U2115" i="5"/>
  <c r="U2116" i="5"/>
  <c r="U2117" i="5"/>
  <c r="U2118" i="5"/>
  <c r="U2119" i="5"/>
  <c r="U2120" i="5"/>
  <c r="U2121" i="5"/>
  <c r="U2122" i="5"/>
  <c r="U2123" i="5"/>
  <c r="U2124" i="5"/>
  <c r="U2125" i="5"/>
  <c r="U2126" i="5"/>
  <c r="U2127" i="5"/>
  <c r="U2128" i="5"/>
  <c r="U2129" i="5"/>
  <c r="U2130" i="5"/>
  <c r="U2131" i="5"/>
  <c r="U2132" i="5"/>
  <c r="U2133" i="5"/>
  <c r="U2134" i="5"/>
  <c r="U2135" i="5"/>
  <c r="U2136" i="5"/>
  <c r="U2137" i="5"/>
  <c r="U2138" i="5"/>
  <c r="U2139" i="5"/>
  <c r="U2140" i="5"/>
  <c r="U2141" i="5"/>
  <c r="U2142" i="5"/>
  <c r="U2143" i="5"/>
  <c r="U2144" i="5"/>
  <c r="U2145" i="5"/>
  <c r="U2146" i="5"/>
  <c r="U2147" i="5"/>
  <c r="U2148" i="5"/>
  <c r="U2149" i="5"/>
  <c r="U2150" i="5"/>
  <c r="U2151" i="5"/>
  <c r="U2152" i="5"/>
  <c r="U2153" i="5"/>
  <c r="U2154" i="5"/>
  <c r="U2155" i="5"/>
  <c r="U2156" i="5"/>
  <c r="U2157" i="5"/>
  <c r="U2158" i="5"/>
  <c r="U2159" i="5"/>
  <c r="U2160" i="5"/>
  <c r="U2161" i="5"/>
  <c r="U2162" i="5"/>
  <c r="U2163" i="5"/>
  <c r="U2164" i="5"/>
  <c r="U2165" i="5"/>
  <c r="U2166" i="5"/>
  <c r="U2167" i="5"/>
  <c r="U2168" i="5"/>
  <c r="U2169" i="5"/>
  <c r="U2170" i="5"/>
  <c r="U2171" i="5"/>
  <c r="U2172" i="5"/>
  <c r="U2173" i="5"/>
  <c r="U2174" i="5"/>
  <c r="U2175" i="5"/>
  <c r="U2176" i="5"/>
  <c r="U2177" i="5"/>
  <c r="U2178" i="5"/>
  <c r="U2179" i="5"/>
  <c r="U2180" i="5"/>
  <c r="U2181" i="5"/>
  <c r="U2182" i="5"/>
  <c r="U2183" i="5"/>
  <c r="U2184" i="5"/>
  <c r="U2185" i="5"/>
  <c r="U2186" i="5"/>
  <c r="U2187" i="5"/>
  <c r="U2188" i="5"/>
  <c r="U2189" i="5"/>
  <c r="U2190" i="5"/>
  <c r="U2191" i="5"/>
  <c r="U2192" i="5"/>
  <c r="U2193" i="5"/>
  <c r="U2194" i="5"/>
  <c r="U2195" i="5"/>
  <c r="U2196" i="5"/>
  <c r="U2197" i="5"/>
  <c r="U2198" i="5"/>
  <c r="U2199" i="5"/>
  <c r="U2200" i="5"/>
  <c r="U2201" i="5"/>
  <c r="U2202" i="5"/>
  <c r="U2203" i="5"/>
  <c r="U2204" i="5"/>
  <c r="U2205" i="5"/>
  <c r="U2206" i="5"/>
  <c r="U2207" i="5"/>
  <c r="U2208" i="5"/>
  <c r="U2209" i="5"/>
  <c r="U2210" i="5"/>
  <c r="U2211" i="5"/>
  <c r="U2212" i="5"/>
  <c r="U2213" i="5"/>
  <c r="U2214" i="5"/>
  <c r="U2215" i="5"/>
  <c r="U2216" i="5"/>
  <c r="U2217" i="5"/>
  <c r="U2218" i="5"/>
  <c r="U2219" i="5"/>
  <c r="U2220" i="5"/>
  <c r="U2221" i="5"/>
  <c r="U2222" i="5"/>
  <c r="U2223" i="5"/>
  <c r="U2224" i="5"/>
  <c r="U2225" i="5"/>
  <c r="U2226" i="5"/>
  <c r="U2227" i="5"/>
  <c r="U2228" i="5"/>
  <c r="U2229" i="5"/>
  <c r="U2230" i="5"/>
  <c r="U2231" i="5"/>
  <c r="U2232" i="5"/>
  <c r="U2233" i="5"/>
  <c r="U2234" i="5"/>
  <c r="U2235" i="5"/>
  <c r="U2236" i="5"/>
  <c r="U2237" i="5"/>
  <c r="U2238" i="5"/>
  <c r="U2239" i="5"/>
  <c r="U2240" i="5"/>
  <c r="U2241" i="5"/>
  <c r="U2242" i="5"/>
  <c r="U2243" i="5"/>
  <c r="U2244" i="5"/>
  <c r="U2245" i="5"/>
  <c r="U2246" i="5"/>
  <c r="U2247" i="5"/>
  <c r="U2248" i="5"/>
  <c r="U2249" i="5"/>
  <c r="U2250" i="5"/>
  <c r="U2251" i="5"/>
  <c r="U2252" i="5"/>
  <c r="U2253" i="5"/>
  <c r="U2254" i="5"/>
  <c r="U2255" i="5"/>
  <c r="U2256" i="5"/>
  <c r="U2257" i="5"/>
  <c r="U2258" i="5"/>
  <c r="U2259" i="5"/>
  <c r="U2260" i="5"/>
  <c r="U2261" i="5"/>
  <c r="U2262" i="5"/>
  <c r="U2263" i="5"/>
  <c r="U2264" i="5"/>
  <c r="U2265" i="5"/>
  <c r="U2266" i="5"/>
  <c r="U2267" i="5"/>
  <c r="U2268" i="5"/>
  <c r="U2269" i="5"/>
  <c r="U2270" i="5"/>
  <c r="U2271" i="5"/>
  <c r="U2272" i="5"/>
  <c r="U2273" i="5"/>
  <c r="U2274" i="5"/>
  <c r="U2275" i="5"/>
  <c r="U2276" i="5"/>
  <c r="U2277" i="5"/>
  <c r="U2278" i="5"/>
  <c r="U2279" i="5"/>
  <c r="U2280" i="5"/>
  <c r="U2281" i="5"/>
  <c r="U2282" i="5"/>
  <c r="U2283" i="5"/>
  <c r="U2284" i="5"/>
  <c r="U2285" i="5"/>
  <c r="U2286" i="5"/>
  <c r="U2287" i="5"/>
  <c r="U2288" i="5"/>
  <c r="U2289" i="5"/>
  <c r="U2290" i="5"/>
  <c r="U2291" i="5"/>
  <c r="U2292" i="5"/>
  <c r="U2293" i="5"/>
  <c r="U2294" i="5"/>
  <c r="U2295" i="5"/>
  <c r="U2296" i="5"/>
  <c r="U2297" i="5"/>
  <c r="U2298" i="5"/>
  <c r="U2299" i="5"/>
  <c r="U2300" i="5"/>
  <c r="U2301" i="5"/>
  <c r="U2302" i="5"/>
  <c r="U2303" i="5"/>
  <c r="U2304" i="5"/>
  <c r="U2305" i="5"/>
  <c r="U2306" i="5"/>
  <c r="U2307" i="5"/>
  <c r="U2308" i="5"/>
  <c r="U2309" i="5"/>
  <c r="U2310" i="5"/>
  <c r="U2311" i="5"/>
  <c r="U2312" i="5"/>
  <c r="U2313" i="5"/>
  <c r="U2314" i="5"/>
  <c r="U2315" i="5"/>
  <c r="U2316" i="5"/>
  <c r="U2317" i="5"/>
  <c r="U2318" i="5"/>
  <c r="U2319" i="5"/>
  <c r="U2320" i="5"/>
  <c r="U2321" i="5"/>
  <c r="U2322" i="5"/>
  <c r="U2323" i="5"/>
  <c r="U2324" i="5"/>
  <c r="U2325" i="5"/>
  <c r="U2326" i="5"/>
  <c r="U2327" i="5"/>
  <c r="U2328" i="5"/>
  <c r="U2329" i="5"/>
  <c r="U2330" i="5"/>
  <c r="U2331" i="5"/>
  <c r="U2332" i="5"/>
  <c r="U2333" i="5"/>
  <c r="U2334" i="5"/>
  <c r="U2335" i="5"/>
  <c r="U2336" i="5"/>
  <c r="U2337" i="5"/>
  <c r="U2338" i="5"/>
  <c r="U2339" i="5"/>
  <c r="U2340" i="5"/>
  <c r="U2341" i="5"/>
  <c r="U2342" i="5"/>
  <c r="U2343" i="5"/>
  <c r="U2344" i="5"/>
  <c r="U2345" i="5"/>
  <c r="U2346" i="5"/>
  <c r="U2347" i="5"/>
  <c r="U2348" i="5"/>
  <c r="U2349" i="5"/>
  <c r="U2350" i="5"/>
  <c r="U2351" i="5"/>
  <c r="U2352" i="5"/>
  <c r="U2353" i="5"/>
  <c r="U2354" i="5"/>
  <c r="U2355" i="5"/>
  <c r="U2356" i="5"/>
  <c r="U2357" i="5"/>
  <c r="U2358" i="5"/>
  <c r="U2359" i="5"/>
  <c r="U2360" i="5"/>
  <c r="U2361" i="5"/>
  <c r="U2362" i="5"/>
  <c r="U2363" i="5"/>
  <c r="U2364" i="5"/>
  <c r="U2365" i="5"/>
  <c r="U2366" i="5"/>
  <c r="U2367" i="5"/>
  <c r="U2368" i="5"/>
  <c r="U2369" i="5"/>
  <c r="U2370" i="5"/>
  <c r="U2371" i="5"/>
  <c r="U2372" i="5"/>
  <c r="U2373" i="5"/>
  <c r="U2374" i="5"/>
  <c r="U2375" i="5"/>
  <c r="U2376" i="5"/>
  <c r="U2377" i="5"/>
  <c r="U2378" i="5"/>
  <c r="U2379" i="5"/>
  <c r="U2380" i="5"/>
  <c r="U2381" i="5"/>
  <c r="U2382" i="5"/>
  <c r="U2383" i="5"/>
  <c r="U2384" i="5"/>
  <c r="U2385" i="5"/>
  <c r="U2386" i="5"/>
  <c r="U2387" i="5"/>
  <c r="U2388" i="5"/>
  <c r="U2389" i="5"/>
  <c r="U2390" i="5"/>
  <c r="U2391" i="5"/>
  <c r="U2392" i="5"/>
  <c r="U2393" i="5"/>
  <c r="U2394" i="5"/>
  <c r="U2395" i="5"/>
  <c r="U2396" i="5"/>
  <c r="U2397" i="5"/>
  <c r="U2398" i="5"/>
  <c r="U2399" i="5"/>
  <c r="U2400" i="5"/>
  <c r="U2401" i="5"/>
  <c r="U2402" i="5"/>
  <c r="U2403" i="5"/>
  <c r="U2404" i="5"/>
  <c r="U2405" i="5"/>
  <c r="U2406" i="5"/>
  <c r="U2407" i="5"/>
  <c r="U2408" i="5"/>
  <c r="U2409" i="5"/>
  <c r="U2410" i="5"/>
  <c r="U2411" i="5"/>
  <c r="U2412" i="5"/>
  <c r="U2413" i="5"/>
  <c r="U2414" i="5"/>
  <c r="U2415" i="5"/>
  <c r="U2416" i="5"/>
  <c r="U2417" i="5"/>
  <c r="U2418" i="5"/>
  <c r="U2419" i="5"/>
  <c r="U2420" i="5"/>
  <c r="U2421" i="5"/>
  <c r="U2422" i="5"/>
  <c r="U2423" i="5"/>
  <c r="U2424" i="5"/>
  <c r="U2425" i="5"/>
  <c r="U2426" i="5"/>
  <c r="U2427" i="5"/>
  <c r="U2428" i="5"/>
  <c r="U2429" i="5"/>
  <c r="U2430" i="5"/>
  <c r="U2431" i="5"/>
  <c r="U2432" i="5"/>
  <c r="U2433" i="5"/>
  <c r="U2434" i="5"/>
  <c r="U2435" i="5"/>
  <c r="U2436" i="5"/>
  <c r="U2437" i="5"/>
  <c r="U2438" i="5"/>
  <c r="U2439" i="5"/>
  <c r="U2440" i="5"/>
  <c r="U2441" i="5"/>
  <c r="U2442" i="5"/>
  <c r="U2443" i="5"/>
  <c r="U2444" i="5"/>
  <c r="U2445" i="5"/>
  <c r="U2446" i="5"/>
  <c r="U2447" i="5"/>
  <c r="U2448" i="5"/>
  <c r="U2449" i="5"/>
  <c r="U2450" i="5"/>
  <c r="U2451" i="5"/>
  <c r="U2452" i="5"/>
  <c r="U2453" i="5"/>
  <c r="U2454" i="5"/>
  <c r="U2455" i="5"/>
  <c r="U2456" i="5"/>
  <c r="U2457" i="5"/>
  <c r="U2458" i="5"/>
  <c r="U2459" i="5"/>
  <c r="U2460" i="5"/>
  <c r="U2461" i="5"/>
  <c r="U2462" i="5"/>
  <c r="U2463" i="5"/>
  <c r="U2464" i="5"/>
  <c r="U2465" i="5"/>
  <c r="U2466" i="5"/>
  <c r="U2467" i="5"/>
  <c r="U2468" i="5"/>
  <c r="U2469" i="5"/>
  <c r="U2470" i="5"/>
  <c r="U2471" i="5"/>
  <c r="U2472" i="5"/>
  <c r="U2473" i="5"/>
  <c r="U2474" i="5"/>
  <c r="U2475" i="5"/>
  <c r="U2476" i="5"/>
  <c r="U2477" i="5"/>
  <c r="U2478" i="5"/>
  <c r="U2479" i="5"/>
  <c r="U2480" i="5"/>
  <c r="U2481" i="5"/>
  <c r="U2482" i="5"/>
  <c r="U2483" i="5"/>
  <c r="U2484" i="5"/>
  <c r="U2485" i="5"/>
  <c r="U2486" i="5"/>
  <c r="U2487" i="5"/>
  <c r="U2488" i="5"/>
  <c r="U2489" i="5"/>
  <c r="U2490" i="5"/>
  <c r="U2491" i="5"/>
  <c r="U2492" i="5"/>
  <c r="U2493" i="5"/>
  <c r="U2494" i="5"/>
  <c r="U2495" i="5"/>
  <c r="U2496" i="5"/>
  <c r="U2497" i="5"/>
  <c r="U2498" i="5"/>
  <c r="U2499" i="5"/>
  <c r="U2500" i="5"/>
  <c r="U2501" i="5"/>
  <c r="U2502" i="5"/>
  <c r="U2503" i="5"/>
  <c r="U2504" i="5"/>
  <c r="U2505" i="5"/>
  <c r="U2506" i="5"/>
  <c r="U2507" i="5"/>
  <c r="U2508" i="5"/>
  <c r="U2509" i="5"/>
  <c r="U2510" i="5"/>
  <c r="U2511" i="5"/>
  <c r="U2512" i="5"/>
  <c r="U2513" i="5"/>
  <c r="U2514" i="5"/>
  <c r="U2515" i="5"/>
  <c r="U2516" i="5"/>
  <c r="U2517" i="5"/>
  <c r="U2518" i="5"/>
  <c r="U2519" i="5"/>
  <c r="U2520" i="5"/>
  <c r="U2521" i="5"/>
  <c r="U2522" i="5"/>
  <c r="U2523" i="5"/>
  <c r="U2524" i="5"/>
  <c r="U2525" i="5"/>
  <c r="U2526" i="5"/>
  <c r="U2527" i="5"/>
  <c r="U2528" i="5"/>
  <c r="U2529" i="5"/>
  <c r="U2530" i="5"/>
  <c r="U2531" i="5"/>
  <c r="U2532" i="5"/>
  <c r="U2533" i="5"/>
  <c r="U2534" i="5"/>
  <c r="U2535" i="5"/>
  <c r="U2536" i="5"/>
  <c r="U2537" i="5"/>
  <c r="U2538" i="5"/>
  <c r="U2539" i="5"/>
  <c r="U2540" i="5"/>
  <c r="U2541" i="5"/>
  <c r="U2542" i="5"/>
  <c r="U2543" i="5"/>
  <c r="U2544" i="5"/>
  <c r="U2545" i="5"/>
  <c r="U2546" i="5"/>
  <c r="U2547" i="5"/>
  <c r="U2548" i="5"/>
  <c r="U2549" i="5"/>
  <c r="U2550" i="5"/>
  <c r="U2551" i="5"/>
  <c r="U2552" i="5"/>
  <c r="U2553" i="5"/>
  <c r="U2554" i="5"/>
  <c r="U2555" i="5"/>
  <c r="U2556" i="5"/>
  <c r="U2557" i="5"/>
  <c r="U2558" i="5"/>
  <c r="U2559" i="5"/>
  <c r="U2560" i="5"/>
  <c r="U2561" i="5"/>
  <c r="U2562" i="5"/>
  <c r="U2563" i="5"/>
  <c r="U2564" i="5"/>
  <c r="U2565" i="5"/>
  <c r="U2566" i="5"/>
  <c r="U2567" i="5"/>
  <c r="U2568" i="5"/>
  <c r="U2569" i="5"/>
  <c r="U2570" i="5"/>
  <c r="U2571" i="5"/>
  <c r="U2572" i="5"/>
  <c r="U2573" i="5"/>
  <c r="U2574" i="5"/>
  <c r="U2575" i="5"/>
  <c r="U2576" i="5"/>
  <c r="U2577" i="5"/>
  <c r="U2578" i="5"/>
  <c r="U2579" i="5"/>
  <c r="U2580" i="5"/>
  <c r="U2581" i="5"/>
  <c r="U2582" i="5"/>
  <c r="U2583" i="5"/>
  <c r="U2584" i="5"/>
  <c r="U2585" i="5"/>
  <c r="U2586" i="5"/>
  <c r="U2587" i="5"/>
  <c r="U2588" i="5"/>
  <c r="U2589" i="5"/>
  <c r="U2590" i="5"/>
  <c r="U2591" i="5"/>
  <c r="U2592" i="5"/>
  <c r="U2593" i="5"/>
  <c r="U2594" i="5"/>
  <c r="U2595" i="5"/>
  <c r="U2596" i="5"/>
  <c r="U2597" i="5"/>
  <c r="U2598" i="5"/>
  <c r="U2599" i="5"/>
  <c r="U2600" i="5"/>
  <c r="U2601" i="5"/>
  <c r="U2602" i="5"/>
  <c r="U2603" i="5"/>
  <c r="U2604" i="5"/>
  <c r="U2605" i="5"/>
  <c r="U2606" i="5"/>
  <c r="U2607" i="5"/>
  <c r="U2608" i="5"/>
  <c r="U2609" i="5"/>
  <c r="U2610" i="5"/>
  <c r="U2611" i="5"/>
  <c r="U2612" i="5"/>
  <c r="U2613" i="5"/>
  <c r="U2614" i="5"/>
  <c r="U2615" i="5"/>
  <c r="U2616" i="5"/>
  <c r="U2617" i="5"/>
  <c r="U2618" i="5"/>
  <c r="U2619" i="5"/>
  <c r="U2620" i="5"/>
  <c r="U2621" i="5"/>
  <c r="U2622" i="5"/>
  <c r="U2623" i="5"/>
  <c r="U2624" i="5"/>
  <c r="U2625" i="5"/>
  <c r="U2626" i="5"/>
  <c r="U2627" i="5"/>
  <c r="U2628" i="5"/>
  <c r="U2629" i="5"/>
  <c r="U2630" i="5"/>
  <c r="U2631" i="5"/>
  <c r="U2632" i="5"/>
  <c r="U2633" i="5"/>
  <c r="U2634" i="5"/>
  <c r="U2635" i="5"/>
  <c r="U2636" i="5"/>
  <c r="U2637" i="5"/>
  <c r="U2638" i="5"/>
  <c r="U2639" i="5"/>
  <c r="U2640" i="5"/>
  <c r="U2641" i="5"/>
  <c r="U2642" i="5"/>
  <c r="U2643" i="5"/>
  <c r="U2644" i="5"/>
  <c r="U2645" i="5"/>
  <c r="U2646" i="5"/>
  <c r="U2647" i="5"/>
  <c r="U2648" i="5"/>
  <c r="U2649" i="5"/>
  <c r="U2650" i="5"/>
  <c r="U2651" i="5"/>
  <c r="U2652" i="5"/>
  <c r="U2653" i="5"/>
  <c r="U2654" i="5"/>
  <c r="U2655" i="5"/>
  <c r="U2656" i="5"/>
  <c r="U2657" i="5"/>
  <c r="U2658" i="5"/>
  <c r="U2659" i="5"/>
  <c r="U2660" i="5"/>
  <c r="U2661" i="5"/>
  <c r="U2662" i="5"/>
  <c r="U2663" i="5"/>
  <c r="U2664" i="5"/>
  <c r="U2665" i="5"/>
  <c r="U2666" i="5"/>
  <c r="U2667" i="5"/>
  <c r="U2668" i="5"/>
  <c r="U2669" i="5"/>
  <c r="U2670" i="5"/>
  <c r="U2671" i="5"/>
  <c r="U2672" i="5"/>
  <c r="U2673" i="5"/>
  <c r="U2674" i="5"/>
  <c r="U2675" i="5"/>
  <c r="U2676" i="5"/>
  <c r="U2677" i="5"/>
  <c r="U2678" i="5"/>
  <c r="U2679" i="5"/>
  <c r="U2680" i="5"/>
  <c r="U2681" i="5"/>
  <c r="U2682" i="5"/>
  <c r="U2683" i="5"/>
  <c r="U2684" i="5"/>
  <c r="U2685" i="5"/>
  <c r="U2686" i="5"/>
  <c r="U2687" i="5"/>
  <c r="U2688" i="5"/>
  <c r="U2689" i="5"/>
  <c r="U2690" i="5"/>
  <c r="U2691" i="5"/>
  <c r="U2692" i="5"/>
  <c r="U2693" i="5"/>
  <c r="U2694" i="5"/>
  <c r="U2695" i="5"/>
  <c r="U2696" i="5"/>
  <c r="U2697" i="5"/>
  <c r="U2698" i="5"/>
  <c r="U2699" i="5"/>
  <c r="U2700" i="5"/>
  <c r="U2701" i="5"/>
  <c r="U2702" i="5"/>
  <c r="U2703" i="5"/>
  <c r="U2704" i="5"/>
  <c r="U2705" i="5"/>
  <c r="U2706" i="5"/>
  <c r="U2707" i="5"/>
  <c r="U2708" i="5"/>
  <c r="U2709" i="5"/>
  <c r="U2710" i="5"/>
  <c r="U2711" i="5"/>
  <c r="U2712" i="5"/>
  <c r="U2713" i="5"/>
  <c r="U2714" i="5"/>
  <c r="U2715" i="5"/>
  <c r="U2716" i="5"/>
  <c r="U2717" i="5"/>
  <c r="U2718" i="5"/>
  <c r="U2719" i="5"/>
  <c r="U2720" i="5"/>
  <c r="U2721" i="5"/>
  <c r="U2722" i="5"/>
  <c r="U2723" i="5"/>
  <c r="U2724" i="5"/>
  <c r="U2725" i="5"/>
  <c r="U2726" i="5"/>
  <c r="U2727" i="5"/>
  <c r="U2728" i="5"/>
  <c r="U2729" i="5"/>
  <c r="U2730" i="5"/>
  <c r="U2731" i="5"/>
  <c r="U2732" i="5"/>
  <c r="U2733" i="5"/>
  <c r="U2734" i="5"/>
  <c r="U2735" i="5"/>
  <c r="U2736" i="5"/>
  <c r="U2737" i="5"/>
  <c r="U2738" i="5"/>
  <c r="U2739" i="5"/>
  <c r="U2740" i="5"/>
  <c r="U2741" i="5"/>
  <c r="U2742" i="5"/>
  <c r="U2743" i="5"/>
  <c r="U2744" i="5"/>
  <c r="U2745" i="5"/>
  <c r="U2746" i="5"/>
  <c r="U2747" i="5"/>
  <c r="U2748" i="5"/>
  <c r="U2749" i="5"/>
  <c r="U2750" i="5"/>
  <c r="U2751" i="5"/>
  <c r="U2752" i="5"/>
  <c r="U2753" i="5"/>
  <c r="U2754" i="5"/>
  <c r="U2755" i="5"/>
  <c r="U2756" i="5"/>
  <c r="U2757" i="5"/>
  <c r="U2758" i="5"/>
  <c r="U2759" i="5"/>
  <c r="U2760" i="5"/>
  <c r="U2761" i="5"/>
  <c r="U2762" i="5"/>
  <c r="U2763" i="5"/>
  <c r="U2764" i="5"/>
  <c r="U2765" i="5"/>
  <c r="U2766" i="5"/>
  <c r="U2767" i="5"/>
  <c r="U2768" i="5"/>
  <c r="U2769" i="5"/>
  <c r="U2770" i="5"/>
  <c r="U2771" i="5"/>
  <c r="U2772" i="5"/>
  <c r="U2773" i="5"/>
  <c r="U2774" i="5"/>
  <c r="U2775" i="5"/>
  <c r="U2776" i="5"/>
  <c r="U2777" i="5"/>
  <c r="U2778" i="5"/>
  <c r="U2779" i="5"/>
  <c r="U2780" i="5"/>
  <c r="U2781" i="5"/>
  <c r="U2782" i="5"/>
  <c r="U2783" i="5"/>
  <c r="U2784" i="5"/>
  <c r="U2785" i="5"/>
  <c r="U2786" i="5"/>
  <c r="U2787" i="5"/>
  <c r="U2788" i="5"/>
  <c r="U2789" i="5"/>
  <c r="U2790" i="5"/>
  <c r="U2791" i="5"/>
  <c r="U2792" i="5"/>
  <c r="U2793" i="5"/>
  <c r="U2794" i="5"/>
  <c r="U2795" i="5"/>
  <c r="U2796" i="5"/>
  <c r="U2797" i="5"/>
  <c r="U2798" i="5"/>
  <c r="U2799" i="5"/>
  <c r="U2800" i="5"/>
  <c r="U2801" i="5"/>
  <c r="T2" i="5"/>
  <c r="T3" i="5"/>
  <c r="T4" i="5"/>
  <c r="T5" i="5"/>
  <c r="T6" i="5"/>
  <c r="T7" i="5"/>
  <c r="T8" i="5"/>
  <c r="T9" i="5"/>
  <c r="T10" i="5"/>
  <c r="T11" i="5"/>
  <c r="T12" i="5"/>
  <c r="T13" i="5"/>
  <c r="T14" i="5"/>
  <c r="T15" i="5"/>
  <c r="T16" i="5"/>
  <c r="T17" i="5"/>
  <c r="T18" i="5"/>
  <c r="T19" i="5"/>
  <c r="T20" i="5"/>
  <c r="T21" i="5"/>
  <c r="T22" i="5"/>
  <c r="T23" i="5"/>
  <c r="T24" i="5"/>
  <c r="T25" i="5"/>
  <c r="T26" i="5"/>
  <c r="T27" i="5"/>
  <c r="T28" i="5"/>
  <c r="T29" i="5"/>
  <c r="T30" i="5"/>
  <c r="T31" i="5"/>
  <c r="T32" i="5"/>
  <c r="T33" i="5"/>
  <c r="T34" i="5"/>
  <c r="T35" i="5"/>
  <c r="T36" i="5"/>
  <c r="T37" i="5"/>
  <c r="T38" i="5"/>
  <c r="T39" i="5"/>
  <c r="T40" i="5"/>
  <c r="T41" i="5"/>
  <c r="T42" i="5"/>
  <c r="T43" i="5"/>
  <c r="T44" i="5"/>
  <c r="T45" i="5"/>
  <c r="T46" i="5"/>
  <c r="T47" i="5"/>
  <c r="T48" i="5"/>
  <c r="T49" i="5"/>
  <c r="T50" i="5"/>
  <c r="T51" i="5"/>
  <c r="T52" i="5"/>
  <c r="T53" i="5"/>
  <c r="T54" i="5"/>
  <c r="T55" i="5"/>
  <c r="T56" i="5"/>
  <c r="T57" i="5"/>
  <c r="T58" i="5"/>
  <c r="T59" i="5"/>
  <c r="T60" i="5"/>
  <c r="T61" i="5"/>
  <c r="T62" i="5"/>
  <c r="T63" i="5"/>
  <c r="T64" i="5"/>
  <c r="T65" i="5"/>
  <c r="T66" i="5"/>
  <c r="T67" i="5"/>
  <c r="T68" i="5"/>
  <c r="T69" i="5"/>
  <c r="T70" i="5"/>
  <c r="T71" i="5"/>
  <c r="T72" i="5"/>
  <c r="T73" i="5"/>
  <c r="T74" i="5"/>
  <c r="T75" i="5"/>
  <c r="T76" i="5"/>
  <c r="T77" i="5"/>
  <c r="T78" i="5"/>
  <c r="T79" i="5"/>
  <c r="T80" i="5"/>
  <c r="T81" i="5"/>
  <c r="T82" i="5"/>
  <c r="T83" i="5"/>
  <c r="T84" i="5"/>
  <c r="T85" i="5"/>
  <c r="T86" i="5"/>
  <c r="T87" i="5"/>
  <c r="T88" i="5"/>
  <c r="T89" i="5"/>
  <c r="T90" i="5"/>
  <c r="T91" i="5"/>
  <c r="T92" i="5"/>
  <c r="T93" i="5"/>
  <c r="T94" i="5"/>
  <c r="T95" i="5"/>
  <c r="T96" i="5"/>
  <c r="T97" i="5"/>
  <c r="T98" i="5"/>
  <c r="T99" i="5"/>
  <c r="T100" i="5"/>
  <c r="T101" i="5"/>
  <c r="T102" i="5"/>
  <c r="T103" i="5"/>
  <c r="T104" i="5"/>
  <c r="T105" i="5"/>
  <c r="T106" i="5"/>
  <c r="T107" i="5"/>
  <c r="T108" i="5"/>
  <c r="T109" i="5"/>
  <c r="T110" i="5"/>
  <c r="T111" i="5"/>
  <c r="T112" i="5"/>
  <c r="T113" i="5"/>
  <c r="T114" i="5"/>
  <c r="T115" i="5"/>
  <c r="T116" i="5"/>
  <c r="T117" i="5"/>
  <c r="T118" i="5"/>
  <c r="T119" i="5"/>
  <c r="T120" i="5"/>
  <c r="T121" i="5"/>
  <c r="T122" i="5"/>
  <c r="T123" i="5"/>
  <c r="T124" i="5"/>
  <c r="T125" i="5"/>
  <c r="T126" i="5"/>
  <c r="T127" i="5"/>
  <c r="T128" i="5"/>
  <c r="T129" i="5"/>
  <c r="T130" i="5"/>
  <c r="T131" i="5"/>
  <c r="T132" i="5"/>
  <c r="T133" i="5"/>
  <c r="T134" i="5"/>
  <c r="T135" i="5"/>
  <c r="T136" i="5"/>
  <c r="T137" i="5"/>
  <c r="T138" i="5"/>
  <c r="T139" i="5"/>
  <c r="T140" i="5"/>
  <c r="T141" i="5"/>
  <c r="T142" i="5"/>
  <c r="T143" i="5"/>
  <c r="T144" i="5"/>
  <c r="T145" i="5"/>
  <c r="T146" i="5"/>
  <c r="T147" i="5"/>
  <c r="T148" i="5"/>
  <c r="T149" i="5"/>
  <c r="T150" i="5"/>
  <c r="T151" i="5"/>
  <c r="T152" i="5"/>
  <c r="T153" i="5"/>
  <c r="T154" i="5"/>
  <c r="T155" i="5"/>
  <c r="T156" i="5"/>
  <c r="T157" i="5"/>
  <c r="T158" i="5"/>
  <c r="T159" i="5"/>
  <c r="T160" i="5"/>
  <c r="T161" i="5"/>
  <c r="T162" i="5"/>
  <c r="T163" i="5"/>
  <c r="T164" i="5"/>
  <c r="T165" i="5"/>
  <c r="T166" i="5"/>
  <c r="T167" i="5"/>
  <c r="T168" i="5"/>
  <c r="T169" i="5"/>
  <c r="T170" i="5"/>
  <c r="T171" i="5"/>
  <c r="T172" i="5"/>
  <c r="T173" i="5"/>
  <c r="T174" i="5"/>
  <c r="T175" i="5"/>
  <c r="T176" i="5"/>
  <c r="T177" i="5"/>
  <c r="T178" i="5"/>
  <c r="T179" i="5"/>
  <c r="T180" i="5"/>
  <c r="T181" i="5"/>
  <c r="T182" i="5"/>
  <c r="T183" i="5"/>
  <c r="T184" i="5"/>
  <c r="T185" i="5"/>
  <c r="T186" i="5"/>
  <c r="T187" i="5"/>
  <c r="T188" i="5"/>
  <c r="T189" i="5"/>
  <c r="T190" i="5"/>
  <c r="T191" i="5"/>
  <c r="T192" i="5"/>
  <c r="T193" i="5"/>
  <c r="T194" i="5"/>
  <c r="T195" i="5"/>
  <c r="T196" i="5"/>
  <c r="T197" i="5"/>
  <c r="T198" i="5"/>
  <c r="T199" i="5"/>
  <c r="T200" i="5"/>
  <c r="T201" i="5"/>
  <c r="T202" i="5"/>
  <c r="T203" i="5"/>
  <c r="T204" i="5"/>
  <c r="T205" i="5"/>
  <c r="T206" i="5"/>
  <c r="T207" i="5"/>
  <c r="T208" i="5"/>
  <c r="T209" i="5"/>
  <c r="T210" i="5"/>
  <c r="T211" i="5"/>
  <c r="T212" i="5"/>
  <c r="T213" i="5"/>
  <c r="T214" i="5"/>
  <c r="T215" i="5"/>
  <c r="T216" i="5"/>
  <c r="T217" i="5"/>
  <c r="T218" i="5"/>
  <c r="T219" i="5"/>
  <c r="T220" i="5"/>
  <c r="T221" i="5"/>
  <c r="T222" i="5"/>
  <c r="T223" i="5"/>
  <c r="T224" i="5"/>
  <c r="T225" i="5"/>
  <c r="T226" i="5"/>
  <c r="T227" i="5"/>
  <c r="T228" i="5"/>
  <c r="T229" i="5"/>
  <c r="T230" i="5"/>
  <c r="T231" i="5"/>
  <c r="T232" i="5"/>
  <c r="T233" i="5"/>
  <c r="T234" i="5"/>
  <c r="T235" i="5"/>
  <c r="T236" i="5"/>
  <c r="T237" i="5"/>
  <c r="T238" i="5"/>
  <c r="T239" i="5"/>
  <c r="T240" i="5"/>
  <c r="T241" i="5"/>
  <c r="T242" i="5"/>
  <c r="T243" i="5"/>
  <c r="T244" i="5"/>
  <c r="T245" i="5"/>
  <c r="T246" i="5"/>
  <c r="T247" i="5"/>
  <c r="T248" i="5"/>
  <c r="T249" i="5"/>
  <c r="T250" i="5"/>
  <c r="T251" i="5"/>
  <c r="T252" i="5"/>
  <c r="T253" i="5"/>
  <c r="T254" i="5"/>
  <c r="T255" i="5"/>
  <c r="T256" i="5"/>
  <c r="T257" i="5"/>
  <c r="T258" i="5"/>
  <c r="T259" i="5"/>
  <c r="T260" i="5"/>
  <c r="T261" i="5"/>
  <c r="T262" i="5"/>
  <c r="T263" i="5"/>
  <c r="T264" i="5"/>
  <c r="T265" i="5"/>
  <c r="T266" i="5"/>
  <c r="T267" i="5"/>
  <c r="T268" i="5"/>
  <c r="T269" i="5"/>
  <c r="T270" i="5"/>
  <c r="T271" i="5"/>
  <c r="T272" i="5"/>
  <c r="T273" i="5"/>
  <c r="T274" i="5"/>
  <c r="T275" i="5"/>
  <c r="T276" i="5"/>
  <c r="T277" i="5"/>
  <c r="T278" i="5"/>
  <c r="T279" i="5"/>
  <c r="T280" i="5"/>
  <c r="T281" i="5"/>
  <c r="T282" i="5"/>
  <c r="T283" i="5"/>
  <c r="T284" i="5"/>
  <c r="T285" i="5"/>
  <c r="T286" i="5"/>
  <c r="T287" i="5"/>
  <c r="T288" i="5"/>
  <c r="T289" i="5"/>
  <c r="T290" i="5"/>
  <c r="T291" i="5"/>
  <c r="T292" i="5"/>
  <c r="T293" i="5"/>
  <c r="T294" i="5"/>
  <c r="T295" i="5"/>
  <c r="T296" i="5"/>
  <c r="T297" i="5"/>
  <c r="T298" i="5"/>
  <c r="T299" i="5"/>
  <c r="T300" i="5"/>
  <c r="T301" i="5"/>
  <c r="T302" i="5"/>
  <c r="T303" i="5"/>
  <c r="T304" i="5"/>
  <c r="T305" i="5"/>
  <c r="T306" i="5"/>
  <c r="T307" i="5"/>
  <c r="T308" i="5"/>
  <c r="T309" i="5"/>
  <c r="T310" i="5"/>
  <c r="T311" i="5"/>
  <c r="T312" i="5"/>
  <c r="T313" i="5"/>
  <c r="T314" i="5"/>
  <c r="T315" i="5"/>
  <c r="T316" i="5"/>
  <c r="T317" i="5"/>
  <c r="T318" i="5"/>
  <c r="T319" i="5"/>
  <c r="T320" i="5"/>
  <c r="T321" i="5"/>
  <c r="T322" i="5"/>
  <c r="T323" i="5"/>
  <c r="T324" i="5"/>
  <c r="T325" i="5"/>
  <c r="T326" i="5"/>
  <c r="T327" i="5"/>
  <c r="T328" i="5"/>
  <c r="T329" i="5"/>
  <c r="T330" i="5"/>
  <c r="T331" i="5"/>
  <c r="T332" i="5"/>
  <c r="T333" i="5"/>
  <c r="T334" i="5"/>
  <c r="T335" i="5"/>
  <c r="T336" i="5"/>
  <c r="T337" i="5"/>
  <c r="T338" i="5"/>
  <c r="T339" i="5"/>
  <c r="T340" i="5"/>
  <c r="T341" i="5"/>
  <c r="T342" i="5"/>
  <c r="T343" i="5"/>
  <c r="T344" i="5"/>
  <c r="T345" i="5"/>
  <c r="T346" i="5"/>
  <c r="T347" i="5"/>
  <c r="T348" i="5"/>
  <c r="T349" i="5"/>
  <c r="T350" i="5"/>
  <c r="T351" i="5"/>
  <c r="T352" i="5"/>
  <c r="T353" i="5"/>
  <c r="T354" i="5"/>
  <c r="T355" i="5"/>
  <c r="T356" i="5"/>
  <c r="T357" i="5"/>
  <c r="T358" i="5"/>
  <c r="T359" i="5"/>
  <c r="T360" i="5"/>
  <c r="T361" i="5"/>
  <c r="T362" i="5"/>
  <c r="T363" i="5"/>
  <c r="T364" i="5"/>
  <c r="T365" i="5"/>
  <c r="T366" i="5"/>
  <c r="T367" i="5"/>
  <c r="T368" i="5"/>
  <c r="T369" i="5"/>
  <c r="T370" i="5"/>
  <c r="T371" i="5"/>
  <c r="T372" i="5"/>
  <c r="T373" i="5"/>
  <c r="T374" i="5"/>
  <c r="T375" i="5"/>
  <c r="T376" i="5"/>
  <c r="T377" i="5"/>
  <c r="T378" i="5"/>
  <c r="T379" i="5"/>
  <c r="T380" i="5"/>
  <c r="T381" i="5"/>
  <c r="T382" i="5"/>
  <c r="T383" i="5"/>
  <c r="T384" i="5"/>
  <c r="T385" i="5"/>
  <c r="T386" i="5"/>
  <c r="T387" i="5"/>
  <c r="T388" i="5"/>
  <c r="T389" i="5"/>
  <c r="T390" i="5"/>
  <c r="T391" i="5"/>
  <c r="T392" i="5"/>
  <c r="T393" i="5"/>
  <c r="T394" i="5"/>
  <c r="T395" i="5"/>
  <c r="T396" i="5"/>
  <c r="T397" i="5"/>
  <c r="T398" i="5"/>
  <c r="T399" i="5"/>
  <c r="T400" i="5"/>
  <c r="T401" i="5"/>
  <c r="T402" i="5"/>
  <c r="T403" i="5"/>
  <c r="T404" i="5"/>
  <c r="T405" i="5"/>
  <c r="T406" i="5"/>
  <c r="T407" i="5"/>
  <c r="T408" i="5"/>
  <c r="T409" i="5"/>
  <c r="T410" i="5"/>
  <c r="T411" i="5"/>
  <c r="T412" i="5"/>
  <c r="T413" i="5"/>
  <c r="T414" i="5"/>
  <c r="T415" i="5"/>
  <c r="T416" i="5"/>
  <c r="T417" i="5"/>
  <c r="T418" i="5"/>
  <c r="T419" i="5"/>
  <c r="T420" i="5"/>
  <c r="T421" i="5"/>
  <c r="T422" i="5"/>
  <c r="T423" i="5"/>
  <c r="T424" i="5"/>
  <c r="T425" i="5"/>
  <c r="T426" i="5"/>
  <c r="T427" i="5"/>
  <c r="T428" i="5"/>
  <c r="T429" i="5"/>
  <c r="T430" i="5"/>
  <c r="T431" i="5"/>
  <c r="T432" i="5"/>
  <c r="T433" i="5"/>
  <c r="T434" i="5"/>
  <c r="T435" i="5"/>
  <c r="T436" i="5"/>
  <c r="T437" i="5"/>
  <c r="T438" i="5"/>
  <c r="T439" i="5"/>
  <c r="T440" i="5"/>
  <c r="T441" i="5"/>
  <c r="T442" i="5"/>
  <c r="T443" i="5"/>
  <c r="T444" i="5"/>
  <c r="T445" i="5"/>
  <c r="T446" i="5"/>
  <c r="T447" i="5"/>
  <c r="T448" i="5"/>
  <c r="T449" i="5"/>
  <c r="T450" i="5"/>
  <c r="T451" i="5"/>
  <c r="T452" i="5"/>
  <c r="T453" i="5"/>
  <c r="T454" i="5"/>
  <c r="T455" i="5"/>
  <c r="T456" i="5"/>
  <c r="T457" i="5"/>
  <c r="T458" i="5"/>
  <c r="T459" i="5"/>
  <c r="T460" i="5"/>
  <c r="T461" i="5"/>
  <c r="T462" i="5"/>
  <c r="T463" i="5"/>
  <c r="T464" i="5"/>
  <c r="T465" i="5"/>
  <c r="T466" i="5"/>
  <c r="T467" i="5"/>
  <c r="T468" i="5"/>
  <c r="T469" i="5"/>
  <c r="T470" i="5"/>
  <c r="T471" i="5"/>
  <c r="T472" i="5"/>
  <c r="T473" i="5"/>
  <c r="T474" i="5"/>
  <c r="T475" i="5"/>
  <c r="T476" i="5"/>
  <c r="T477" i="5"/>
  <c r="T478" i="5"/>
  <c r="T479" i="5"/>
  <c r="T480" i="5"/>
  <c r="T481" i="5"/>
  <c r="T482" i="5"/>
  <c r="T483" i="5"/>
  <c r="T484" i="5"/>
  <c r="T485" i="5"/>
  <c r="T486" i="5"/>
  <c r="T487" i="5"/>
  <c r="T488" i="5"/>
  <c r="T489" i="5"/>
  <c r="T490" i="5"/>
  <c r="T491" i="5"/>
  <c r="T492" i="5"/>
  <c r="T493" i="5"/>
  <c r="T494" i="5"/>
  <c r="T495" i="5"/>
  <c r="T496" i="5"/>
  <c r="T497" i="5"/>
  <c r="T498" i="5"/>
  <c r="T499" i="5"/>
  <c r="T500" i="5"/>
  <c r="T501" i="5"/>
  <c r="T502" i="5"/>
  <c r="T503" i="5"/>
  <c r="T504" i="5"/>
  <c r="T505" i="5"/>
  <c r="T506" i="5"/>
  <c r="T507" i="5"/>
  <c r="T508" i="5"/>
  <c r="T509" i="5"/>
  <c r="T510" i="5"/>
  <c r="T511" i="5"/>
  <c r="T512" i="5"/>
  <c r="T513" i="5"/>
  <c r="T514" i="5"/>
  <c r="T515" i="5"/>
  <c r="T516" i="5"/>
  <c r="T517" i="5"/>
  <c r="T518" i="5"/>
  <c r="T519" i="5"/>
  <c r="T520" i="5"/>
  <c r="T521" i="5"/>
  <c r="T522" i="5"/>
  <c r="T523" i="5"/>
  <c r="T524" i="5"/>
  <c r="T525" i="5"/>
  <c r="T526" i="5"/>
  <c r="T527" i="5"/>
  <c r="T528" i="5"/>
  <c r="T529" i="5"/>
  <c r="T530" i="5"/>
  <c r="T531" i="5"/>
  <c r="T532" i="5"/>
  <c r="T533" i="5"/>
  <c r="T534" i="5"/>
  <c r="T535" i="5"/>
  <c r="T536" i="5"/>
  <c r="T537" i="5"/>
  <c r="T538" i="5"/>
  <c r="T539" i="5"/>
  <c r="T540" i="5"/>
  <c r="T541" i="5"/>
  <c r="T542" i="5"/>
  <c r="T543" i="5"/>
  <c r="T544" i="5"/>
  <c r="T545" i="5"/>
  <c r="T546" i="5"/>
  <c r="T547" i="5"/>
  <c r="T548" i="5"/>
  <c r="T549" i="5"/>
  <c r="T550" i="5"/>
  <c r="T551" i="5"/>
  <c r="T552" i="5"/>
  <c r="T553" i="5"/>
  <c r="T554" i="5"/>
  <c r="T555" i="5"/>
  <c r="T556" i="5"/>
  <c r="T557" i="5"/>
  <c r="T558" i="5"/>
  <c r="T559" i="5"/>
  <c r="T560" i="5"/>
  <c r="T561" i="5"/>
  <c r="T562" i="5"/>
  <c r="T563" i="5"/>
  <c r="T564" i="5"/>
  <c r="T565" i="5"/>
  <c r="T566" i="5"/>
  <c r="T567" i="5"/>
  <c r="T568" i="5"/>
  <c r="T569" i="5"/>
  <c r="T570" i="5"/>
  <c r="T571" i="5"/>
  <c r="T572" i="5"/>
  <c r="T573" i="5"/>
  <c r="T574" i="5"/>
  <c r="T575" i="5"/>
  <c r="T576" i="5"/>
  <c r="T577" i="5"/>
  <c r="T578" i="5"/>
  <c r="T579" i="5"/>
  <c r="T580" i="5"/>
  <c r="T581" i="5"/>
  <c r="T582" i="5"/>
  <c r="T583" i="5"/>
  <c r="T584" i="5"/>
  <c r="T585" i="5"/>
  <c r="T586" i="5"/>
  <c r="T587" i="5"/>
  <c r="T588" i="5"/>
  <c r="T589" i="5"/>
  <c r="T590" i="5"/>
  <c r="T591" i="5"/>
  <c r="T592" i="5"/>
  <c r="T593" i="5"/>
  <c r="T594" i="5"/>
  <c r="T595" i="5"/>
  <c r="T596" i="5"/>
  <c r="T597" i="5"/>
  <c r="T598" i="5"/>
  <c r="T599" i="5"/>
  <c r="T600" i="5"/>
  <c r="T601" i="5"/>
  <c r="T602" i="5"/>
  <c r="T603" i="5"/>
  <c r="T604" i="5"/>
  <c r="T605" i="5"/>
  <c r="T606" i="5"/>
  <c r="T607" i="5"/>
  <c r="T608" i="5"/>
  <c r="T609" i="5"/>
  <c r="T610" i="5"/>
  <c r="T611" i="5"/>
  <c r="T612" i="5"/>
  <c r="T613" i="5"/>
  <c r="T614" i="5"/>
  <c r="T615" i="5"/>
  <c r="T616" i="5"/>
  <c r="T617" i="5"/>
  <c r="T618" i="5"/>
  <c r="T619" i="5"/>
  <c r="T620" i="5"/>
  <c r="T621" i="5"/>
  <c r="T622" i="5"/>
  <c r="T623" i="5"/>
  <c r="T624" i="5"/>
  <c r="T625" i="5"/>
  <c r="T626" i="5"/>
  <c r="T627" i="5"/>
  <c r="T628" i="5"/>
  <c r="T629" i="5"/>
  <c r="T630" i="5"/>
  <c r="T631" i="5"/>
  <c r="T632" i="5"/>
  <c r="T633" i="5"/>
  <c r="T634" i="5"/>
  <c r="T635" i="5"/>
  <c r="T636" i="5"/>
  <c r="T637" i="5"/>
  <c r="T638" i="5"/>
  <c r="T639" i="5"/>
  <c r="T640" i="5"/>
  <c r="T641" i="5"/>
  <c r="T642" i="5"/>
  <c r="T643" i="5"/>
  <c r="T644" i="5"/>
  <c r="T645" i="5"/>
  <c r="T646" i="5"/>
  <c r="T647" i="5"/>
  <c r="T648" i="5"/>
  <c r="T649" i="5"/>
  <c r="T650" i="5"/>
  <c r="T651" i="5"/>
  <c r="T652" i="5"/>
  <c r="T653" i="5"/>
  <c r="T654" i="5"/>
  <c r="T655" i="5"/>
  <c r="T656" i="5"/>
  <c r="T657" i="5"/>
  <c r="T658" i="5"/>
  <c r="T659" i="5"/>
  <c r="T660" i="5"/>
  <c r="T661" i="5"/>
  <c r="T662" i="5"/>
  <c r="T663" i="5"/>
  <c r="T664" i="5"/>
  <c r="T665" i="5"/>
  <c r="T666" i="5"/>
  <c r="T667" i="5"/>
  <c r="T668" i="5"/>
  <c r="T669" i="5"/>
  <c r="T670" i="5"/>
  <c r="T671" i="5"/>
  <c r="T672" i="5"/>
  <c r="T673" i="5"/>
  <c r="T674" i="5"/>
  <c r="T675" i="5"/>
  <c r="T676" i="5"/>
  <c r="T677" i="5"/>
  <c r="T678" i="5"/>
  <c r="T679" i="5"/>
  <c r="T680" i="5"/>
  <c r="T681" i="5"/>
  <c r="T682" i="5"/>
  <c r="T683" i="5"/>
  <c r="T684" i="5"/>
  <c r="T685" i="5"/>
  <c r="T686" i="5"/>
  <c r="T687" i="5"/>
  <c r="T688" i="5"/>
  <c r="T689" i="5"/>
  <c r="T690" i="5"/>
  <c r="T691" i="5"/>
  <c r="T692" i="5"/>
  <c r="T693" i="5"/>
  <c r="T694" i="5"/>
  <c r="T695" i="5"/>
  <c r="T696" i="5"/>
  <c r="T697" i="5"/>
  <c r="T698" i="5"/>
  <c r="T699" i="5"/>
  <c r="T700" i="5"/>
  <c r="T701" i="5"/>
  <c r="T702" i="5"/>
  <c r="T703" i="5"/>
  <c r="T704" i="5"/>
  <c r="T705" i="5"/>
  <c r="T706" i="5"/>
  <c r="T707" i="5"/>
  <c r="T708" i="5"/>
  <c r="T709" i="5"/>
  <c r="T710" i="5"/>
  <c r="T711" i="5"/>
  <c r="T712" i="5"/>
  <c r="T713" i="5"/>
  <c r="T714" i="5"/>
  <c r="T715" i="5"/>
  <c r="T716" i="5"/>
  <c r="T717" i="5"/>
  <c r="T718" i="5"/>
  <c r="T719" i="5"/>
  <c r="T720" i="5"/>
  <c r="T721" i="5"/>
  <c r="T722" i="5"/>
  <c r="T723" i="5"/>
  <c r="T724" i="5"/>
  <c r="T725" i="5"/>
  <c r="T726" i="5"/>
  <c r="T727" i="5"/>
  <c r="T728" i="5"/>
  <c r="T729" i="5"/>
  <c r="T730" i="5"/>
  <c r="T731" i="5"/>
  <c r="T732" i="5"/>
  <c r="T733" i="5"/>
  <c r="T734" i="5"/>
  <c r="T735" i="5"/>
  <c r="T736" i="5"/>
  <c r="T737" i="5"/>
  <c r="T738" i="5"/>
  <c r="T739" i="5"/>
  <c r="T740" i="5"/>
  <c r="T741" i="5"/>
  <c r="T742" i="5"/>
  <c r="T743" i="5"/>
  <c r="T744" i="5"/>
  <c r="T745" i="5"/>
  <c r="T746" i="5"/>
  <c r="T747" i="5"/>
  <c r="T748" i="5"/>
  <c r="T749" i="5"/>
  <c r="T750" i="5"/>
  <c r="T751" i="5"/>
  <c r="T752" i="5"/>
  <c r="T753" i="5"/>
  <c r="T754" i="5"/>
  <c r="T755" i="5"/>
  <c r="T756" i="5"/>
  <c r="T757" i="5"/>
  <c r="T758" i="5"/>
  <c r="T759" i="5"/>
  <c r="T760" i="5"/>
  <c r="T761" i="5"/>
  <c r="T762" i="5"/>
  <c r="T763" i="5"/>
  <c r="T764" i="5"/>
  <c r="T765" i="5"/>
  <c r="T766" i="5"/>
  <c r="T767" i="5"/>
  <c r="T768" i="5"/>
  <c r="T769" i="5"/>
  <c r="T770" i="5"/>
  <c r="T771" i="5"/>
  <c r="T772" i="5"/>
  <c r="T773" i="5"/>
  <c r="T774" i="5"/>
  <c r="T775" i="5"/>
  <c r="T776" i="5"/>
  <c r="T777" i="5"/>
  <c r="T778" i="5"/>
  <c r="T779" i="5"/>
  <c r="T780" i="5"/>
  <c r="T781" i="5"/>
  <c r="T782" i="5"/>
  <c r="T783" i="5"/>
  <c r="T784" i="5"/>
  <c r="T785" i="5"/>
  <c r="T786" i="5"/>
  <c r="T787" i="5"/>
  <c r="T788" i="5"/>
  <c r="T789" i="5"/>
  <c r="T790" i="5"/>
  <c r="T791" i="5"/>
  <c r="T792" i="5"/>
  <c r="T793" i="5"/>
  <c r="T794" i="5"/>
  <c r="T795" i="5"/>
  <c r="T796" i="5"/>
  <c r="T797" i="5"/>
  <c r="T798" i="5"/>
  <c r="T799" i="5"/>
  <c r="T800" i="5"/>
  <c r="T801" i="5"/>
  <c r="T802" i="5"/>
  <c r="T803" i="5"/>
  <c r="T804" i="5"/>
  <c r="T805" i="5"/>
  <c r="T806" i="5"/>
  <c r="T807" i="5"/>
  <c r="T808" i="5"/>
  <c r="T809" i="5"/>
  <c r="T810" i="5"/>
  <c r="T811" i="5"/>
  <c r="T812" i="5"/>
  <c r="T813" i="5"/>
  <c r="T814" i="5"/>
  <c r="T815" i="5"/>
  <c r="T816" i="5"/>
  <c r="T817" i="5"/>
  <c r="T818" i="5"/>
  <c r="T819" i="5"/>
  <c r="T820" i="5"/>
  <c r="T821" i="5"/>
  <c r="T822" i="5"/>
  <c r="T823" i="5"/>
  <c r="T824" i="5"/>
  <c r="T825" i="5"/>
  <c r="T826" i="5"/>
  <c r="T827" i="5"/>
  <c r="T828" i="5"/>
  <c r="T829" i="5"/>
  <c r="T830" i="5"/>
  <c r="T831" i="5"/>
  <c r="T832" i="5"/>
  <c r="T833" i="5"/>
  <c r="T834" i="5"/>
  <c r="T835" i="5"/>
  <c r="T836" i="5"/>
  <c r="T837" i="5"/>
  <c r="T838" i="5"/>
  <c r="T839" i="5"/>
  <c r="T840" i="5"/>
  <c r="T841" i="5"/>
  <c r="T842" i="5"/>
  <c r="T843" i="5"/>
  <c r="T844" i="5"/>
  <c r="T845" i="5"/>
  <c r="T846" i="5"/>
  <c r="T847" i="5"/>
  <c r="T848" i="5"/>
  <c r="T849" i="5"/>
  <c r="T850" i="5"/>
  <c r="T851" i="5"/>
  <c r="T852" i="5"/>
  <c r="T853" i="5"/>
  <c r="T854" i="5"/>
  <c r="T855" i="5"/>
  <c r="T856" i="5"/>
  <c r="T857" i="5"/>
  <c r="T858" i="5"/>
  <c r="T859" i="5"/>
  <c r="T860" i="5"/>
  <c r="T861" i="5"/>
  <c r="T862" i="5"/>
  <c r="T863" i="5"/>
  <c r="T864" i="5"/>
  <c r="T865" i="5"/>
  <c r="T866" i="5"/>
  <c r="T867" i="5"/>
  <c r="T868" i="5"/>
  <c r="T869" i="5"/>
  <c r="T870" i="5"/>
  <c r="T871" i="5"/>
  <c r="T872" i="5"/>
  <c r="T873" i="5"/>
  <c r="T874" i="5"/>
  <c r="T875" i="5"/>
  <c r="T876" i="5"/>
  <c r="T877" i="5"/>
  <c r="T878" i="5"/>
  <c r="T879" i="5"/>
  <c r="T880" i="5"/>
  <c r="T881" i="5"/>
  <c r="T882" i="5"/>
  <c r="T883" i="5"/>
  <c r="T884" i="5"/>
  <c r="T885" i="5"/>
  <c r="T886" i="5"/>
  <c r="T887" i="5"/>
  <c r="T888" i="5"/>
  <c r="T889" i="5"/>
  <c r="T890" i="5"/>
  <c r="T891" i="5"/>
  <c r="T892" i="5"/>
  <c r="T893" i="5"/>
  <c r="T894" i="5"/>
  <c r="T895" i="5"/>
  <c r="T896" i="5"/>
  <c r="T897" i="5"/>
  <c r="T898" i="5"/>
  <c r="T899" i="5"/>
  <c r="T900" i="5"/>
  <c r="T901" i="5"/>
  <c r="T902" i="5"/>
  <c r="T903" i="5"/>
  <c r="T904" i="5"/>
  <c r="T905" i="5"/>
  <c r="T906" i="5"/>
  <c r="T907" i="5"/>
  <c r="T908" i="5"/>
  <c r="T909" i="5"/>
  <c r="T910" i="5"/>
  <c r="T911" i="5"/>
  <c r="T912" i="5"/>
  <c r="T913" i="5"/>
  <c r="T914" i="5"/>
  <c r="T915" i="5"/>
  <c r="T916" i="5"/>
  <c r="T917" i="5"/>
  <c r="T918" i="5"/>
  <c r="T919" i="5"/>
  <c r="T920" i="5"/>
  <c r="T921" i="5"/>
  <c r="T922" i="5"/>
  <c r="T923" i="5"/>
  <c r="T924" i="5"/>
  <c r="T925" i="5"/>
  <c r="T926" i="5"/>
  <c r="T927" i="5"/>
  <c r="T928" i="5"/>
  <c r="T929" i="5"/>
  <c r="T930" i="5"/>
  <c r="T931" i="5"/>
  <c r="T932" i="5"/>
  <c r="T933" i="5"/>
  <c r="T934" i="5"/>
  <c r="T935" i="5"/>
  <c r="T936" i="5"/>
  <c r="T937" i="5"/>
  <c r="T938" i="5"/>
  <c r="T939" i="5"/>
  <c r="T940" i="5"/>
  <c r="T941" i="5"/>
  <c r="T942" i="5"/>
  <c r="T943" i="5"/>
  <c r="T944" i="5"/>
  <c r="T945" i="5"/>
  <c r="T946" i="5"/>
  <c r="T947" i="5"/>
  <c r="T948" i="5"/>
  <c r="T949" i="5"/>
  <c r="T950" i="5"/>
  <c r="T951" i="5"/>
  <c r="T952" i="5"/>
  <c r="T953" i="5"/>
  <c r="T954" i="5"/>
  <c r="T955" i="5"/>
  <c r="T956" i="5"/>
  <c r="T957" i="5"/>
  <c r="T958" i="5"/>
  <c r="T959" i="5"/>
  <c r="T960" i="5"/>
  <c r="T961" i="5"/>
  <c r="T962" i="5"/>
  <c r="T963" i="5"/>
  <c r="T964" i="5"/>
  <c r="T965" i="5"/>
  <c r="T966" i="5"/>
  <c r="T967" i="5"/>
  <c r="T968" i="5"/>
  <c r="T969" i="5"/>
  <c r="T970" i="5"/>
  <c r="T971" i="5"/>
  <c r="T972" i="5"/>
  <c r="T973" i="5"/>
  <c r="T974" i="5"/>
  <c r="T975" i="5"/>
  <c r="T976" i="5"/>
  <c r="T977" i="5"/>
  <c r="T978" i="5"/>
  <c r="T979" i="5"/>
  <c r="T980" i="5"/>
  <c r="T981" i="5"/>
  <c r="T982" i="5"/>
  <c r="T983" i="5"/>
  <c r="T984" i="5"/>
  <c r="T985" i="5"/>
  <c r="T986" i="5"/>
  <c r="T987" i="5"/>
  <c r="T988" i="5"/>
  <c r="T989" i="5"/>
  <c r="T990" i="5"/>
  <c r="T991" i="5"/>
  <c r="T992" i="5"/>
  <c r="T993" i="5"/>
  <c r="T994" i="5"/>
  <c r="T995" i="5"/>
  <c r="T996" i="5"/>
  <c r="T997" i="5"/>
  <c r="T998" i="5"/>
  <c r="T999" i="5"/>
  <c r="T1000" i="5"/>
  <c r="T1001" i="5"/>
  <c r="T1002" i="5"/>
  <c r="T1003" i="5"/>
  <c r="T1004" i="5"/>
  <c r="T1005" i="5"/>
  <c r="T1006" i="5"/>
  <c r="T1007" i="5"/>
  <c r="T1008" i="5"/>
  <c r="T1009" i="5"/>
  <c r="T1010" i="5"/>
  <c r="T1011" i="5"/>
  <c r="T1012" i="5"/>
  <c r="T1013" i="5"/>
  <c r="T1014" i="5"/>
  <c r="T1015" i="5"/>
  <c r="T1016" i="5"/>
  <c r="T1017" i="5"/>
  <c r="T1018" i="5"/>
  <c r="T1019" i="5"/>
  <c r="T1020" i="5"/>
  <c r="T1021" i="5"/>
  <c r="T1022" i="5"/>
  <c r="T1023" i="5"/>
  <c r="T1024" i="5"/>
  <c r="T1025" i="5"/>
  <c r="T1026" i="5"/>
  <c r="T1027" i="5"/>
  <c r="T1028" i="5"/>
  <c r="T1029" i="5"/>
  <c r="T1030" i="5"/>
  <c r="T1031" i="5"/>
  <c r="T1032" i="5"/>
  <c r="T1033" i="5"/>
  <c r="T1034" i="5"/>
  <c r="T1035" i="5"/>
  <c r="T1036" i="5"/>
  <c r="T1037" i="5"/>
  <c r="T1038" i="5"/>
  <c r="T1039" i="5"/>
  <c r="T1040" i="5"/>
  <c r="T1041" i="5"/>
  <c r="T1042" i="5"/>
  <c r="T1043" i="5"/>
  <c r="T1044" i="5"/>
  <c r="T1045" i="5"/>
  <c r="T1046" i="5"/>
  <c r="T1047" i="5"/>
  <c r="T1048" i="5"/>
  <c r="T1049" i="5"/>
  <c r="T1050" i="5"/>
  <c r="T1051" i="5"/>
  <c r="T1052" i="5"/>
  <c r="T1053" i="5"/>
  <c r="T1054" i="5"/>
  <c r="T1055" i="5"/>
  <c r="T1056" i="5"/>
  <c r="T1057" i="5"/>
  <c r="T1058" i="5"/>
  <c r="T1059" i="5"/>
  <c r="T1060" i="5"/>
  <c r="T1061" i="5"/>
  <c r="T1062" i="5"/>
  <c r="T1063" i="5"/>
  <c r="T1064" i="5"/>
  <c r="T1065" i="5"/>
  <c r="T1066" i="5"/>
  <c r="T1067" i="5"/>
  <c r="T1068" i="5"/>
  <c r="T1069" i="5"/>
  <c r="T1070" i="5"/>
  <c r="T1071" i="5"/>
  <c r="T1072" i="5"/>
  <c r="T1073" i="5"/>
  <c r="T1074" i="5"/>
  <c r="T1075" i="5"/>
  <c r="T1076" i="5"/>
  <c r="T1077" i="5"/>
  <c r="T1078" i="5"/>
  <c r="T1079" i="5"/>
  <c r="T1080" i="5"/>
  <c r="T1081" i="5"/>
  <c r="T1082" i="5"/>
  <c r="T1083" i="5"/>
  <c r="T1084" i="5"/>
  <c r="T1085" i="5"/>
  <c r="T1086" i="5"/>
  <c r="T1087" i="5"/>
  <c r="T1088" i="5"/>
  <c r="T1089" i="5"/>
  <c r="T1090" i="5"/>
  <c r="T1091" i="5"/>
  <c r="T1092" i="5"/>
  <c r="T1093" i="5"/>
  <c r="T1094" i="5"/>
  <c r="T1095" i="5"/>
  <c r="T1096" i="5"/>
  <c r="T1097" i="5"/>
  <c r="T1098" i="5"/>
  <c r="T1099" i="5"/>
  <c r="T1100" i="5"/>
  <c r="T1101" i="5"/>
  <c r="T1102" i="5"/>
  <c r="T1103" i="5"/>
  <c r="T1104" i="5"/>
  <c r="T1105" i="5"/>
  <c r="T1106" i="5"/>
  <c r="T1107" i="5"/>
  <c r="T1108" i="5"/>
  <c r="T1109" i="5"/>
  <c r="T1110" i="5"/>
  <c r="T1111" i="5"/>
  <c r="T1112" i="5"/>
  <c r="T1113" i="5"/>
  <c r="T1114" i="5"/>
  <c r="T1115" i="5"/>
  <c r="T1116" i="5"/>
  <c r="T1117" i="5"/>
  <c r="T1118" i="5"/>
  <c r="T1119" i="5"/>
  <c r="T1120" i="5"/>
  <c r="T1121" i="5"/>
  <c r="T1122" i="5"/>
  <c r="T1123" i="5"/>
  <c r="T1124" i="5"/>
  <c r="T1125" i="5"/>
  <c r="T1126" i="5"/>
  <c r="T1127" i="5"/>
  <c r="T1128" i="5"/>
  <c r="T1129" i="5"/>
  <c r="T1130" i="5"/>
  <c r="T1131" i="5"/>
  <c r="T1132" i="5"/>
  <c r="T1133" i="5"/>
  <c r="T1134" i="5"/>
  <c r="T1135" i="5"/>
  <c r="T1136" i="5"/>
  <c r="T1137" i="5"/>
  <c r="T1138" i="5"/>
  <c r="T1139" i="5"/>
  <c r="T1140" i="5"/>
  <c r="T1141" i="5"/>
  <c r="T1142" i="5"/>
  <c r="T1143" i="5"/>
  <c r="T1144" i="5"/>
  <c r="T1145" i="5"/>
  <c r="T1146" i="5"/>
  <c r="T1147" i="5"/>
  <c r="T1148" i="5"/>
  <c r="T1149" i="5"/>
  <c r="T1150" i="5"/>
  <c r="T1151" i="5"/>
  <c r="T1152" i="5"/>
  <c r="T1153" i="5"/>
  <c r="T1154" i="5"/>
  <c r="T1155" i="5"/>
  <c r="T1156" i="5"/>
  <c r="T1157" i="5"/>
  <c r="T1158" i="5"/>
  <c r="T1159" i="5"/>
  <c r="T1160" i="5"/>
  <c r="T1161" i="5"/>
  <c r="T1162" i="5"/>
  <c r="T1163" i="5"/>
  <c r="T1164" i="5"/>
  <c r="T1165" i="5"/>
  <c r="T1166" i="5"/>
  <c r="T1167" i="5"/>
  <c r="T1168" i="5"/>
  <c r="T1169" i="5"/>
  <c r="T1170" i="5"/>
  <c r="T1171" i="5"/>
  <c r="T1172" i="5"/>
  <c r="T1173" i="5"/>
  <c r="T1174" i="5"/>
  <c r="T1175" i="5"/>
  <c r="T1176" i="5"/>
  <c r="T1177" i="5"/>
  <c r="T1178" i="5"/>
  <c r="T1179" i="5"/>
  <c r="T1180" i="5"/>
  <c r="T1181" i="5"/>
  <c r="T1182" i="5"/>
  <c r="T1183" i="5"/>
  <c r="T1184" i="5"/>
  <c r="T1185" i="5"/>
  <c r="T1186" i="5"/>
  <c r="T1187" i="5"/>
  <c r="T1188" i="5"/>
  <c r="T1189" i="5"/>
  <c r="T1190" i="5"/>
  <c r="T1191" i="5"/>
  <c r="T1192" i="5"/>
  <c r="T1193" i="5"/>
  <c r="T1194" i="5"/>
  <c r="T1195" i="5"/>
  <c r="T1196" i="5"/>
  <c r="T1197" i="5"/>
  <c r="T1198" i="5"/>
  <c r="T1199" i="5"/>
  <c r="T1200" i="5"/>
  <c r="T1201" i="5"/>
  <c r="T1202" i="5"/>
  <c r="T1203" i="5"/>
  <c r="T1204" i="5"/>
  <c r="T1205" i="5"/>
  <c r="T1206" i="5"/>
  <c r="T1207" i="5"/>
  <c r="T1208" i="5"/>
  <c r="T1209" i="5"/>
  <c r="T1210" i="5"/>
  <c r="T1211" i="5"/>
  <c r="T1212" i="5"/>
  <c r="T1213" i="5"/>
  <c r="T1214" i="5"/>
  <c r="T1215" i="5"/>
  <c r="T1216" i="5"/>
  <c r="T1217" i="5"/>
  <c r="T1218" i="5"/>
  <c r="T1219" i="5"/>
  <c r="T1220" i="5"/>
  <c r="T1221" i="5"/>
  <c r="T1222" i="5"/>
  <c r="T1223" i="5"/>
  <c r="T1224" i="5"/>
  <c r="T1225" i="5"/>
  <c r="T1226" i="5"/>
  <c r="T1227" i="5"/>
  <c r="T1228" i="5"/>
  <c r="T1229" i="5"/>
  <c r="T1230" i="5"/>
  <c r="T1231" i="5"/>
  <c r="T1232" i="5"/>
  <c r="T1233" i="5"/>
  <c r="T1234" i="5"/>
  <c r="T1235" i="5"/>
  <c r="T1236" i="5"/>
  <c r="T1237" i="5"/>
  <c r="T1238" i="5"/>
  <c r="T1239" i="5"/>
  <c r="T1240" i="5"/>
  <c r="T1241" i="5"/>
  <c r="T1242" i="5"/>
  <c r="T1243" i="5"/>
  <c r="T1244" i="5"/>
  <c r="T1245" i="5"/>
  <c r="T1246" i="5"/>
  <c r="T1247" i="5"/>
  <c r="T1248" i="5"/>
  <c r="T1249" i="5"/>
  <c r="T1250" i="5"/>
  <c r="T1251" i="5"/>
  <c r="T1252" i="5"/>
  <c r="T1253" i="5"/>
  <c r="T1254" i="5"/>
  <c r="T1255" i="5"/>
  <c r="T1256" i="5"/>
  <c r="T1257" i="5"/>
  <c r="T1258" i="5"/>
  <c r="T1259" i="5"/>
  <c r="T1260" i="5"/>
  <c r="T1261" i="5"/>
  <c r="T1262" i="5"/>
  <c r="T1263" i="5"/>
  <c r="T1264" i="5"/>
  <c r="T1265" i="5"/>
  <c r="T1266" i="5"/>
  <c r="T1267" i="5"/>
  <c r="T1268" i="5"/>
  <c r="T1269" i="5"/>
  <c r="T1270" i="5"/>
  <c r="T1271" i="5"/>
  <c r="T1272" i="5"/>
  <c r="T1273" i="5"/>
  <c r="T1274" i="5"/>
  <c r="T1275" i="5"/>
  <c r="T1276" i="5"/>
  <c r="T1277" i="5"/>
  <c r="T1278" i="5"/>
  <c r="T1279" i="5"/>
  <c r="T1280" i="5"/>
  <c r="T1281" i="5"/>
  <c r="T1282" i="5"/>
  <c r="T1283" i="5"/>
  <c r="T1284" i="5"/>
  <c r="T1285" i="5"/>
  <c r="T1286" i="5"/>
  <c r="T1287" i="5"/>
  <c r="T1288" i="5"/>
  <c r="T1289" i="5"/>
  <c r="T1290" i="5"/>
  <c r="T1291" i="5"/>
  <c r="T1292" i="5"/>
  <c r="T1293" i="5"/>
  <c r="T1294" i="5"/>
  <c r="T1295" i="5"/>
  <c r="T1296" i="5"/>
  <c r="T1297" i="5"/>
  <c r="T1298" i="5"/>
  <c r="T1299" i="5"/>
  <c r="T1300" i="5"/>
  <c r="T1301" i="5"/>
  <c r="T1302" i="5"/>
  <c r="T1303" i="5"/>
  <c r="T1304" i="5"/>
  <c r="T1305" i="5"/>
  <c r="T1306" i="5"/>
  <c r="T1307" i="5"/>
  <c r="T1308" i="5"/>
  <c r="T1309" i="5"/>
  <c r="T1310" i="5"/>
  <c r="T1311" i="5"/>
  <c r="T1312" i="5"/>
  <c r="T1313" i="5"/>
  <c r="T1314" i="5"/>
  <c r="T1315" i="5"/>
  <c r="T1316" i="5"/>
  <c r="T1317" i="5"/>
  <c r="T1318" i="5"/>
  <c r="T1319" i="5"/>
  <c r="T1320" i="5"/>
  <c r="T1321" i="5"/>
  <c r="T1322" i="5"/>
  <c r="T1323" i="5"/>
  <c r="T1324" i="5"/>
  <c r="T1325" i="5"/>
  <c r="T1326" i="5"/>
  <c r="T1327" i="5"/>
  <c r="T1328" i="5"/>
  <c r="T1329" i="5"/>
  <c r="T1330" i="5"/>
  <c r="T1331" i="5"/>
  <c r="T1332" i="5"/>
  <c r="T1333" i="5"/>
  <c r="T1334" i="5"/>
  <c r="T1335" i="5"/>
  <c r="T1336" i="5"/>
  <c r="T1337" i="5"/>
  <c r="T1338" i="5"/>
  <c r="T1339" i="5"/>
  <c r="T1340" i="5"/>
  <c r="T1341" i="5"/>
  <c r="T1342" i="5"/>
  <c r="T1343" i="5"/>
  <c r="T1344" i="5"/>
  <c r="T1345" i="5"/>
  <c r="T1346" i="5"/>
  <c r="T1347" i="5"/>
  <c r="T1348" i="5"/>
  <c r="T1349" i="5"/>
  <c r="T1350" i="5"/>
  <c r="T1351" i="5"/>
  <c r="T1352" i="5"/>
  <c r="T1353" i="5"/>
  <c r="T1354" i="5"/>
  <c r="T1355" i="5"/>
  <c r="T1356" i="5"/>
  <c r="T1357" i="5"/>
  <c r="T1358" i="5"/>
  <c r="T1359" i="5"/>
  <c r="T1360" i="5"/>
  <c r="T1361" i="5"/>
  <c r="T1362" i="5"/>
  <c r="T1363" i="5"/>
  <c r="T1364" i="5"/>
  <c r="T1365" i="5"/>
  <c r="T1366" i="5"/>
  <c r="T1367" i="5"/>
  <c r="T1368" i="5"/>
  <c r="T1369" i="5"/>
  <c r="T1370" i="5"/>
  <c r="T1371" i="5"/>
  <c r="T1372" i="5"/>
  <c r="T1373" i="5"/>
  <c r="T1374" i="5"/>
  <c r="T1375" i="5"/>
  <c r="T1376" i="5"/>
  <c r="T1377" i="5"/>
  <c r="T1378" i="5"/>
  <c r="T1379" i="5"/>
  <c r="T1380" i="5"/>
  <c r="T1381" i="5"/>
  <c r="T1382" i="5"/>
  <c r="T1383" i="5"/>
  <c r="T1384" i="5"/>
  <c r="T1385" i="5"/>
  <c r="T1386" i="5"/>
  <c r="T1387" i="5"/>
  <c r="T1388" i="5"/>
  <c r="T1389" i="5"/>
  <c r="T1390" i="5"/>
  <c r="T1391" i="5"/>
  <c r="T1392" i="5"/>
  <c r="T1393" i="5"/>
  <c r="T1394" i="5"/>
  <c r="T1395" i="5"/>
  <c r="T1396" i="5"/>
  <c r="T1397" i="5"/>
  <c r="T1398" i="5"/>
  <c r="T1399" i="5"/>
  <c r="T1400" i="5"/>
  <c r="T1401" i="5"/>
  <c r="T1402" i="5"/>
  <c r="T1403" i="5"/>
  <c r="T1404" i="5"/>
  <c r="T1405" i="5"/>
  <c r="T1406" i="5"/>
  <c r="T1407" i="5"/>
  <c r="T1408" i="5"/>
  <c r="T1409" i="5"/>
  <c r="T1410" i="5"/>
  <c r="T1411" i="5"/>
  <c r="T1412" i="5"/>
  <c r="T1413" i="5"/>
  <c r="T1414" i="5"/>
  <c r="T1415" i="5"/>
  <c r="T1416" i="5"/>
  <c r="T1417" i="5"/>
  <c r="T1418" i="5"/>
  <c r="T1419" i="5"/>
  <c r="T1420" i="5"/>
  <c r="T1421" i="5"/>
  <c r="T1422" i="5"/>
  <c r="T1423" i="5"/>
  <c r="T1424" i="5"/>
  <c r="T1425" i="5"/>
  <c r="T1426" i="5"/>
  <c r="T1427" i="5"/>
  <c r="T1428" i="5"/>
  <c r="T1429" i="5"/>
  <c r="T1430" i="5"/>
  <c r="T1431" i="5"/>
  <c r="T1432" i="5"/>
  <c r="T1433" i="5"/>
  <c r="T1434" i="5"/>
  <c r="T1435" i="5"/>
  <c r="T1436" i="5"/>
  <c r="T1437" i="5"/>
  <c r="T1438" i="5"/>
  <c r="T1439" i="5"/>
  <c r="T1440" i="5"/>
  <c r="T1441" i="5"/>
  <c r="T1442" i="5"/>
  <c r="T1443" i="5"/>
  <c r="T1444" i="5"/>
  <c r="T1445" i="5"/>
  <c r="T1446" i="5"/>
  <c r="T1447" i="5"/>
  <c r="T1448" i="5"/>
  <c r="T1449" i="5"/>
  <c r="T1450" i="5"/>
  <c r="T1451" i="5"/>
  <c r="T1452" i="5"/>
  <c r="T1453" i="5"/>
  <c r="T1454" i="5"/>
  <c r="T1455" i="5"/>
  <c r="T1456" i="5"/>
  <c r="T1457" i="5"/>
  <c r="T1458" i="5"/>
  <c r="T1459" i="5"/>
  <c r="T1460" i="5"/>
  <c r="T1461" i="5"/>
  <c r="T1462" i="5"/>
  <c r="T1463" i="5"/>
  <c r="T1464" i="5"/>
  <c r="T1465" i="5"/>
  <c r="T1466" i="5"/>
  <c r="T1467" i="5"/>
  <c r="T1468" i="5"/>
  <c r="T1469" i="5"/>
  <c r="T1470" i="5"/>
  <c r="T1471" i="5"/>
  <c r="T1472" i="5"/>
  <c r="T1473" i="5"/>
  <c r="T1474" i="5"/>
  <c r="T1475" i="5"/>
  <c r="T1476" i="5"/>
  <c r="T1477" i="5"/>
  <c r="T1478" i="5"/>
  <c r="T1479" i="5"/>
  <c r="T1480" i="5"/>
  <c r="T1481" i="5"/>
  <c r="T1482" i="5"/>
  <c r="T1483" i="5"/>
  <c r="T1484" i="5"/>
  <c r="T1485" i="5"/>
  <c r="T1486" i="5"/>
  <c r="T1487" i="5"/>
  <c r="T1488" i="5"/>
  <c r="T1489" i="5"/>
  <c r="T1490" i="5"/>
  <c r="T1491" i="5"/>
  <c r="T1492" i="5"/>
  <c r="T1493" i="5"/>
  <c r="T1494" i="5"/>
  <c r="T1495" i="5"/>
  <c r="T1496" i="5"/>
  <c r="T1497" i="5"/>
  <c r="T1498" i="5"/>
  <c r="T1499" i="5"/>
  <c r="T1500" i="5"/>
  <c r="T1501" i="5"/>
  <c r="T1502" i="5"/>
  <c r="T1503" i="5"/>
  <c r="T1504" i="5"/>
  <c r="T1505" i="5"/>
  <c r="T1506" i="5"/>
  <c r="T1507" i="5"/>
  <c r="T1508" i="5"/>
  <c r="T1509" i="5"/>
  <c r="T1510" i="5"/>
  <c r="T1511" i="5"/>
  <c r="T1512" i="5"/>
  <c r="T1513" i="5"/>
  <c r="T1514" i="5"/>
  <c r="T1515" i="5"/>
  <c r="T1516" i="5"/>
  <c r="T1517" i="5"/>
  <c r="T1518" i="5"/>
  <c r="T1519" i="5"/>
  <c r="T1520" i="5"/>
  <c r="T1521" i="5"/>
  <c r="T1522" i="5"/>
  <c r="T1523" i="5"/>
  <c r="T1524" i="5"/>
  <c r="T1525" i="5"/>
  <c r="T1526" i="5"/>
  <c r="T1527" i="5"/>
  <c r="T1528" i="5"/>
  <c r="T1529" i="5"/>
  <c r="T1530" i="5"/>
  <c r="T1531" i="5"/>
  <c r="T1532" i="5"/>
  <c r="T1533" i="5"/>
  <c r="T1534" i="5"/>
  <c r="T1535" i="5"/>
  <c r="T1536" i="5"/>
  <c r="T1537" i="5"/>
  <c r="T1538" i="5"/>
  <c r="T1539" i="5"/>
  <c r="T1540" i="5"/>
  <c r="T1541" i="5"/>
  <c r="T1542" i="5"/>
  <c r="T1543" i="5"/>
  <c r="T1544" i="5"/>
  <c r="T1545" i="5"/>
  <c r="T1546" i="5"/>
  <c r="T1547" i="5"/>
  <c r="T1548" i="5"/>
  <c r="T1549" i="5"/>
  <c r="T1550" i="5"/>
  <c r="T1551" i="5"/>
  <c r="T1552" i="5"/>
  <c r="T1553" i="5"/>
  <c r="T1554" i="5"/>
  <c r="T1555" i="5"/>
  <c r="T1556" i="5"/>
  <c r="T1557" i="5"/>
  <c r="T1558" i="5"/>
  <c r="T1559" i="5"/>
  <c r="T1560" i="5"/>
  <c r="T1561" i="5"/>
  <c r="T1562" i="5"/>
  <c r="T1563" i="5"/>
  <c r="T1564" i="5"/>
  <c r="T1565" i="5"/>
  <c r="T1566" i="5"/>
  <c r="T1567" i="5"/>
  <c r="T1568" i="5"/>
  <c r="T1569" i="5"/>
  <c r="T1570" i="5"/>
  <c r="T1571" i="5"/>
  <c r="T1572" i="5"/>
  <c r="T1573" i="5"/>
  <c r="T1574" i="5"/>
  <c r="T1575" i="5"/>
  <c r="T1576" i="5"/>
  <c r="T1577" i="5"/>
  <c r="T1578" i="5"/>
  <c r="T1579" i="5"/>
  <c r="T1580" i="5"/>
  <c r="T1581" i="5"/>
  <c r="T1582" i="5"/>
  <c r="T1583" i="5"/>
  <c r="T1584" i="5"/>
  <c r="T1585" i="5"/>
  <c r="T1586" i="5"/>
  <c r="T1587" i="5"/>
  <c r="T1588" i="5"/>
  <c r="T1589" i="5"/>
  <c r="T1590" i="5"/>
  <c r="T1591" i="5"/>
  <c r="T1592" i="5"/>
  <c r="T1593" i="5"/>
  <c r="T1594" i="5"/>
  <c r="T1595" i="5"/>
  <c r="T1596" i="5"/>
  <c r="T1597" i="5"/>
  <c r="T1598" i="5"/>
  <c r="T1599" i="5"/>
  <c r="T1600" i="5"/>
  <c r="T1601" i="5"/>
  <c r="T1602" i="5"/>
  <c r="T1603" i="5"/>
  <c r="T1604" i="5"/>
  <c r="T1605" i="5"/>
  <c r="T1606" i="5"/>
  <c r="T1607" i="5"/>
  <c r="T1608" i="5"/>
  <c r="T1609" i="5"/>
  <c r="T1610" i="5"/>
  <c r="T1611" i="5"/>
  <c r="T1612" i="5"/>
  <c r="T1613" i="5"/>
  <c r="T1614" i="5"/>
  <c r="T1615" i="5"/>
  <c r="T1616" i="5"/>
  <c r="T1617" i="5"/>
  <c r="T1618" i="5"/>
  <c r="T1619" i="5"/>
  <c r="T1620" i="5"/>
  <c r="T1621" i="5"/>
  <c r="T1622" i="5"/>
  <c r="T1623" i="5"/>
  <c r="T1624" i="5"/>
  <c r="T1625" i="5"/>
  <c r="T1626" i="5"/>
  <c r="T1627" i="5"/>
  <c r="T1628" i="5"/>
  <c r="T1629" i="5"/>
  <c r="T1630" i="5"/>
  <c r="T1631" i="5"/>
  <c r="T1632" i="5"/>
  <c r="T1633" i="5"/>
  <c r="T1634" i="5"/>
  <c r="T1635" i="5"/>
  <c r="T1636" i="5"/>
  <c r="T1637" i="5"/>
  <c r="T1638" i="5"/>
  <c r="T1639" i="5"/>
  <c r="T1640" i="5"/>
  <c r="T1641" i="5"/>
  <c r="T1642" i="5"/>
  <c r="T1643" i="5"/>
  <c r="T1644" i="5"/>
  <c r="T1645" i="5"/>
  <c r="T1646" i="5"/>
  <c r="T1647" i="5"/>
  <c r="T1648" i="5"/>
  <c r="T1649" i="5"/>
  <c r="T1650" i="5"/>
  <c r="T1651" i="5"/>
  <c r="T1652" i="5"/>
  <c r="T1653" i="5"/>
  <c r="T1654" i="5"/>
  <c r="T1655" i="5"/>
  <c r="T1656" i="5"/>
  <c r="T1657" i="5"/>
  <c r="T1658" i="5"/>
  <c r="T1659" i="5"/>
  <c r="T1660" i="5"/>
  <c r="T1661" i="5"/>
  <c r="T1662" i="5"/>
  <c r="T1663" i="5"/>
  <c r="T1664" i="5"/>
  <c r="T1665" i="5"/>
  <c r="T1666" i="5"/>
  <c r="T1667" i="5"/>
  <c r="T1668" i="5"/>
  <c r="T1669" i="5"/>
  <c r="T1670" i="5"/>
  <c r="T1671" i="5"/>
  <c r="T1672" i="5"/>
  <c r="T1673" i="5"/>
  <c r="T1674" i="5"/>
  <c r="T1675" i="5"/>
  <c r="T1676" i="5"/>
  <c r="T1677" i="5"/>
  <c r="T1678" i="5"/>
  <c r="T1679" i="5"/>
  <c r="T1680" i="5"/>
  <c r="T1681" i="5"/>
  <c r="T1682" i="5"/>
  <c r="T1683" i="5"/>
  <c r="T1684" i="5"/>
  <c r="T1685" i="5"/>
  <c r="T1686" i="5"/>
  <c r="T1687" i="5"/>
  <c r="T1688" i="5"/>
  <c r="T1689" i="5"/>
  <c r="T1690" i="5"/>
  <c r="T1691" i="5"/>
  <c r="T1692" i="5"/>
  <c r="T1693" i="5"/>
  <c r="T1694" i="5"/>
  <c r="T1695" i="5"/>
  <c r="T1696" i="5"/>
  <c r="T1697" i="5"/>
  <c r="T1698" i="5"/>
  <c r="T1699" i="5"/>
  <c r="T1700" i="5"/>
  <c r="T1701" i="5"/>
  <c r="T1702" i="5"/>
  <c r="T1703" i="5"/>
  <c r="T1704" i="5"/>
  <c r="T1705" i="5"/>
  <c r="T1706" i="5"/>
  <c r="T1707" i="5"/>
  <c r="T1708" i="5"/>
  <c r="T1709" i="5"/>
  <c r="T1710" i="5"/>
  <c r="T1711" i="5"/>
  <c r="T1712" i="5"/>
  <c r="T1713" i="5"/>
  <c r="T1714" i="5"/>
  <c r="T1715" i="5"/>
  <c r="T1716" i="5"/>
  <c r="T1717" i="5"/>
  <c r="T1718" i="5"/>
  <c r="T1719" i="5"/>
  <c r="T1720" i="5"/>
  <c r="T1721" i="5"/>
  <c r="T1722" i="5"/>
  <c r="T1723" i="5"/>
  <c r="T1724" i="5"/>
  <c r="T1725" i="5"/>
  <c r="T1726" i="5"/>
  <c r="T1727" i="5"/>
  <c r="T1728" i="5"/>
  <c r="T1729" i="5"/>
  <c r="T1730" i="5"/>
  <c r="T1731" i="5"/>
  <c r="T1732" i="5"/>
  <c r="T1733" i="5"/>
  <c r="T1734" i="5"/>
  <c r="T1735" i="5"/>
  <c r="T1736" i="5"/>
  <c r="T1737" i="5"/>
  <c r="T1738" i="5"/>
  <c r="T1739" i="5"/>
  <c r="T1740" i="5"/>
  <c r="T1741" i="5"/>
  <c r="T1742" i="5"/>
  <c r="T1743" i="5"/>
  <c r="T1744" i="5"/>
  <c r="T1745" i="5"/>
  <c r="T1746" i="5"/>
  <c r="T1747" i="5"/>
  <c r="T1748" i="5"/>
  <c r="T1749" i="5"/>
  <c r="T1750" i="5"/>
  <c r="T1751" i="5"/>
  <c r="T1752" i="5"/>
  <c r="T1753" i="5"/>
  <c r="T1754" i="5"/>
  <c r="T1755" i="5"/>
  <c r="T1756" i="5"/>
  <c r="T1757" i="5"/>
  <c r="T1758" i="5"/>
  <c r="T1759" i="5"/>
  <c r="T1760" i="5"/>
  <c r="T1761" i="5"/>
  <c r="T1762" i="5"/>
  <c r="T1763" i="5"/>
  <c r="T1764" i="5"/>
  <c r="T1765" i="5"/>
  <c r="T1766" i="5"/>
  <c r="T1767" i="5"/>
  <c r="T1768" i="5"/>
  <c r="T1769" i="5"/>
  <c r="T1770" i="5"/>
  <c r="T1771" i="5"/>
  <c r="T1772" i="5"/>
  <c r="T1773" i="5"/>
  <c r="T1774" i="5"/>
  <c r="T1775" i="5"/>
  <c r="T1776" i="5"/>
  <c r="T1777" i="5"/>
  <c r="T1778" i="5"/>
  <c r="T1779" i="5"/>
  <c r="T1780" i="5"/>
  <c r="T1781" i="5"/>
  <c r="T1782" i="5"/>
  <c r="T1783" i="5"/>
  <c r="T1784" i="5"/>
  <c r="T1785" i="5"/>
  <c r="T1786" i="5"/>
  <c r="T1787" i="5"/>
  <c r="T1788" i="5"/>
  <c r="T1789" i="5"/>
  <c r="T1790" i="5"/>
  <c r="T1791" i="5"/>
  <c r="T1792" i="5"/>
  <c r="T1793" i="5"/>
  <c r="T1794" i="5"/>
  <c r="T1795" i="5"/>
  <c r="T1796" i="5"/>
  <c r="T1797" i="5"/>
  <c r="T1798" i="5"/>
  <c r="T1799" i="5"/>
  <c r="T1800" i="5"/>
  <c r="T1801" i="5"/>
  <c r="T1802" i="5"/>
  <c r="T1803" i="5"/>
  <c r="T1804" i="5"/>
  <c r="T1805" i="5"/>
  <c r="T1806" i="5"/>
  <c r="T1807" i="5"/>
  <c r="T1808" i="5"/>
  <c r="T1809" i="5"/>
  <c r="T1810" i="5"/>
  <c r="T1811" i="5"/>
  <c r="T1812" i="5"/>
  <c r="T1813" i="5"/>
  <c r="T1814" i="5"/>
  <c r="T1815" i="5"/>
  <c r="T1816" i="5"/>
  <c r="T1817" i="5"/>
  <c r="T1818" i="5"/>
  <c r="T1819" i="5"/>
  <c r="T1820" i="5"/>
  <c r="T1821" i="5"/>
  <c r="T1822" i="5"/>
  <c r="T1823" i="5"/>
  <c r="T1824" i="5"/>
  <c r="T1825" i="5"/>
  <c r="T1826" i="5"/>
  <c r="T1827" i="5"/>
  <c r="T1828" i="5"/>
  <c r="T1829" i="5"/>
  <c r="T1830" i="5"/>
  <c r="T1831" i="5"/>
  <c r="T1832" i="5"/>
  <c r="T1833" i="5"/>
  <c r="T1834" i="5"/>
  <c r="T1835" i="5"/>
  <c r="T1836" i="5"/>
  <c r="T1837" i="5"/>
  <c r="T1838" i="5"/>
  <c r="T1839" i="5"/>
  <c r="T1840" i="5"/>
  <c r="T1841" i="5"/>
  <c r="T1842" i="5"/>
  <c r="T1843" i="5"/>
  <c r="T1844" i="5"/>
  <c r="T1845" i="5"/>
  <c r="T1846" i="5"/>
  <c r="T1847" i="5"/>
  <c r="T1848" i="5"/>
  <c r="T1849" i="5"/>
  <c r="T1850" i="5"/>
  <c r="T1851" i="5"/>
  <c r="T1852" i="5"/>
  <c r="T1853" i="5"/>
  <c r="T1854" i="5"/>
  <c r="T1855" i="5"/>
  <c r="T1856" i="5"/>
  <c r="T1857" i="5"/>
  <c r="T1858" i="5"/>
  <c r="T1859" i="5"/>
  <c r="T1860" i="5"/>
  <c r="T1861" i="5"/>
  <c r="T1862" i="5"/>
  <c r="T1863" i="5"/>
  <c r="T1864" i="5"/>
  <c r="T1865" i="5"/>
  <c r="T1866" i="5"/>
  <c r="T1867" i="5"/>
  <c r="T1868" i="5"/>
  <c r="T1869" i="5"/>
  <c r="T1870" i="5"/>
  <c r="T1871" i="5"/>
  <c r="T1872" i="5"/>
  <c r="T1873" i="5"/>
  <c r="T1874" i="5"/>
  <c r="T1875" i="5"/>
  <c r="T1876" i="5"/>
  <c r="T1877" i="5"/>
  <c r="T1878" i="5"/>
  <c r="T1879" i="5"/>
  <c r="T1880" i="5"/>
  <c r="T1881" i="5"/>
  <c r="T1882" i="5"/>
  <c r="T1883" i="5"/>
  <c r="T1884" i="5"/>
  <c r="T1885" i="5"/>
  <c r="T1886" i="5"/>
  <c r="T1887" i="5"/>
  <c r="T1888" i="5"/>
  <c r="T1889" i="5"/>
  <c r="T1890" i="5"/>
  <c r="T1891" i="5"/>
  <c r="T1892" i="5"/>
  <c r="T1893" i="5"/>
  <c r="T1894" i="5"/>
  <c r="T1895" i="5"/>
  <c r="T1896" i="5"/>
  <c r="T1897" i="5"/>
  <c r="T1898" i="5"/>
  <c r="T1899" i="5"/>
  <c r="T1900" i="5"/>
  <c r="T1901" i="5"/>
  <c r="T1902" i="5"/>
  <c r="T1903" i="5"/>
  <c r="T1904" i="5"/>
  <c r="T1905" i="5"/>
  <c r="T1906" i="5"/>
  <c r="T1907" i="5"/>
  <c r="T1908" i="5"/>
  <c r="T1909" i="5"/>
  <c r="T1910" i="5"/>
  <c r="T1911" i="5"/>
  <c r="T1912" i="5"/>
  <c r="T1913" i="5"/>
  <c r="T1914" i="5"/>
  <c r="T1915" i="5"/>
  <c r="T1916" i="5"/>
  <c r="T1917" i="5"/>
  <c r="T1918" i="5"/>
  <c r="T1919" i="5"/>
  <c r="T1920" i="5"/>
  <c r="T1921" i="5"/>
  <c r="T1922" i="5"/>
  <c r="T1923" i="5"/>
  <c r="T1924" i="5"/>
  <c r="T1925" i="5"/>
  <c r="T1926" i="5"/>
  <c r="T1927" i="5"/>
  <c r="T1928" i="5"/>
  <c r="T1929" i="5"/>
  <c r="T1930" i="5"/>
  <c r="T1931" i="5"/>
  <c r="T1932" i="5"/>
  <c r="T1933" i="5"/>
  <c r="T1934" i="5"/>
  <c r="T1935" i="5"/>
  <c r="T1936" i="5"/>
  <c r="T1937" i="5"/>
  <c r="T1938" i="5"/>
  <c r="T1939" i="5"/>
  <c r="T1940" i="5"/>
  <c r="T1941" i="5"/>
  <c r="T1942" i="5"/>
  <c r="T1943" i="5"/>
  <c r="T1944" i="5"/>
  <c r="T1945" i="5"/>
  <c r="T1946" i="5"/>
  <c r="T1947" i="5"/>
  <c r="T1948" i="5"/>
  <c r="T1949" i="5"/>
  <c r="T1950" i="5"/>
  <c r="T1951" i="5"/>
  <c r="T1952" i="5"/>
  <c r="T1953" i="5"/>
  <c r="T1954" i="5"/>
  <c r="T1955" i="5"/>
  <c r="T1956" i="5"/>
  <c r="T1957" i="5"/>
  <c r="T1958" i="5"/>
  <c r="T1959" i="5"/>
  <c r="T1960" i="5"/>
  <c r="T1961" i="5"/>
  <c r="T1962" i="5"/>
  <c r="T1963" i="5"/>
  <c r="T1964" i="5"/>
  <c r="T1965" i="5"/>
  <c r="T1966" i="5"/>
  <c r="T1967" i="5"/>
  <c r="T1968" i="5"/>
  <c r="T1969" i="5"/>
  <c r="T1970" i="5"/>
  <c r="T1971" i="5"/>
  <c r="T1972" i="5"/>
  <c r="T1973" i="5"/>
  <c r="T1974" i="5"/>
  <c r="T1975" i="5"/>
  <c r="T1976" i="5"/>
  <c r="T1977" i="5"/>
  <c r="T1978" i="5"/>
  <c r="T1979" i="5"/>
  <c r="T1980" i="5"/>
  <c r="T1981" i="5"/>
  <c r="T1982" i="5"/>
  <c r="T1983" i="5"/>
  <c r="T1984" i="5"/>
  <c r="T1985" i="5"/>
  <c r="T1986" i="5"/>
  <c r="T1987" i="5"/>
  <c r="T1988" i="5"/>
  <c r="T1989" i="5"/>
  <c r="T1990" i="5"/>
  <c r="T1991" i="5"/>
  <c r="T1992" i="5"/>
  <c r="T1993" i="5"/>
  <c r="T1994" i="5"/>
  <c r="T1995" i="5"/>
  <c r="T1996" i="5"/>
  <c r="T1997" i="5"/>
  <c r="T1998" i="5"/>
  <c r="T1999" i="5"/>
  <c r="T2000" i="5"/>
  <c r="T2001" i="5"/>
  <c r="T2002" i="5"/>
  <c r="T2003" i="5"/>
  <c r="T2004" i="5"/>
  <c r="T2005" i="5"/>
  <c r="T2006" i="5"/>
  <c r="T2007" i="5"/>
  <c r="T2008" i="5"/>
  <c r="T2009" i="5"/>
  <c r="T2010" i="5"/>
  <c r="T2011" i="5"/>
  <c r="T2012" i="5"/>
  <c r="T2013" i="5"/>
  <c r="T2014" i="5"/>
  <c r="T2015" i="5"/>
  <c r="T2016" i="5"/>
  <c r="T2017" i="5"/>
  <c r="T2018" i="5"/>
  <c r="T2019" i="5"/>
  <c r="T2020" i="5"/>
  <c r="T2021" i="5"/>
  <c r="T2022" i="5"/>
  <c r="T2023" i="5"/>
  <c r="T2024" i="5"/>
  <c r="T2025" i="5"/>
  <c r="T2026" i="5"/>
  <c r="T2027" i="5"/>
  <c r="T2028" i="5"/>
  <c r="T2029" i="5"/>
  <c r="T2030" i="5"/>
  <c r="T2031" i="5"/>
  <c r="T2032" i="5"/>
  <c r="T2033" i="5"/>
  <c r="T2034" i="5"/>
  <c r="T2035" i="5"/>
  <c r="T2036" i="5"/>
  <c r="T2037" i="5"/>
  <c r="T2038" i="5"/>
  <c r="T2039" i="5"/>
  <c r="T2040" i="5"/>
  <c r="T2041" i="5"/>
  <c r="T2042" i="5"/>
  <c r="T2043" i="5"/>
  <c r="T2044" i="5"/>
  <c r="T2045" i="5"/>
  <c r="T2046" i="5"/>
  <c r="T2047" i="5"/>
  <c r="T2048" i="5"/>
  <c r="T2049" i="5"/>
  <c r="T2050" i="5"/>
  <c r="T2051" i="5"/>
  <c r="T2052" i="5"/>
  <c r="T2053" i="5"/>
  <c r="T2054" i="5"/>
  <c r="T2055" i="5"/>
  <c r="T2056" i="5"/>
  <c r="T2057" i="5"/>
  <c r="T2058" i="5"/>
  <c r="T2059" i="5"/>
  <c r="T2060" i="5"/>
  <c r="T2061" i="5"/>
  <c r="T2062" i="5"/>
  <c r="T2063" i="5"/>
  <c r="T2064" i="5"/>
  <c r="T2065" i="5"/>
  <c r="T2066" i="5"/>
  <c r="T2067" i="5"/>
  <c r="T2068" i="5"/>
  <c r="T2069" i="5"/>
  <c r="T2070" i="5"/>
  <c r="T2071" i="5"/>
  <c r="T2072" i="5"/>
  <c r="T2073" i="5"/>
  <c r="T2074" i="5"/>
  <c r="T2075" i="5"/>
  <c r="T2076" i="5"/>
  <c r="T2077" i="5"/>
  <c r="T2078" i="5"/>
  <c r="T2079" i="5"/>
  <c r="T2080" i="5"/>
  <c r="T2081" i="5"/>
  <c r="T2082" i="5"/>
  <c r="T2083" i="5"/>
  <c r="T2084" i="5"/>
  <c r="T2085" i="5"/>
  <c r="T2086" i="5"/>
  <c r="T2087" i="5"/>
  <c r="T2088" i="5"/>
  <c r="T2089" i="5"/>
  <c r="T2090" i="5"/>
  <c r="T2091" i="5"/>
  <c r="T2092" i="5"/>
  <c r="T2093" i="5"/>
  <c r="T2094" i="5"/>
  <c r="T2095" i="5"/>
  <c r="T2096" i="5"/>
  <c r="T2097" i="5"/>
  <c r="T2098" i="5"/>
  <c r="T2099" i="5"/>
  <c r="T2100" i="5"/>
  <c r="T2101" i="5"/>
  <c r="T2102" i="5"/>
  <c r="T2103" i="5"/>
  <c r="T2104" i="5"/>
  <c r="T2105" i="5"/>
  <c r="T2106" i="5"/>
  <c r="T2107" i="5"/>
  <c r="T2108" i="5"/>
  <c r="T2109" i="5"/>
  <c r="T2110" i="5"/>
  <c r="T2111" i="5"/>
  <c r="T2112" i="5"/>
  <c r="T2113" i="5"/>
  <c r="T2114" i="5"/>
  <c r="T2115" i="5"/>
  <c r="T2116" i="5"/>
  <c r="T2117" i="5"/>
  <c r="T2118" i="5"/>
  <c r="T2119" i="5"/>
  <c r="T2120" i="5"/>
  <c r="T2121" i="5"/>
  <c r="T2122" i="5"/>
  <c r="T2123" i="5"/>
  <c r="T2124" i="5"/>
  <c r="T2125" i="5"/>
  <c r="T2126" i="5"/>
  <c r="T2127" i="5"/>
  <c r="T2128" i="5"/>
  <c r="T2129" i="5"/>
  <c r="T2130" i="5"/>
  <c r="T2131" i="5"/>
  <c r="T2132" i="5"/>
  <c r="T2133" i="5"/>
  <c r="T2134" i="5"/>
  <c r="T2135" i="5"/>
  <c r="T2136" i="5"/>
  <c r="T2137" i="5"/>
  <c r="T2138" i="5"/>
  <c r="T2139" i="5"/>
  <c r="T2140" i="5"/>
  <c r="T2141" i="5"/>
  <c r="T2142" i="5"/>
  <c r="T2143" i="5"/>
  <c r="T2144" i="5"/>
  <c r="T2145" i="5"/>
  <c r="T2146" i="5"/>
  <c r="T2147" i="5"/>
  <c r="T2148" i="5"/>
  <c r="T2149" i="5"/>
  <c r="T2150" i="5"/>
  <c r="T2151" i="5"/>
  <c r="T2152" i="5"/>
  <c r="T2153" i="5"/>
  <c r="T2154" i="5"/>
  <c r="T2155" i="5"/>
  <c r="T2156" i="5"/>
  <c r="T2157" i="5"/>
  <c r="T2158" i="5"/>
  <c r="T2159" i="5"/>
  <c r="T2160" i="5"/>
  <c r="T2161" i="5"/>
  <c r="T2162" i="5"/>
  <c r="T2163" i="5"/>
  <c r="T2164" i="5"/>
  <c r="T2165" i="5"/>
  <c r="T2166" i="5"/>
  <c r="T2167" i="5"/>
  <c r="T2168" i="5"/>
  <c r="T2169" i="5"/>
  <c r="T2170" i="5"/>
  <c r="T2171" i="5"/>
  <c r="T2172" i="5"/>
  <c r="T2173" i="5"/>
  <c r="T2174" i="5"/>
  <c r="T2175" i="5"/>
  <c r="T2176" i="5"/>
  <c r="T2177" i="5"/>
  <c r="T2178" i="5"/>
  <c r="T2179" i="5"/>
  <c r="T2180" i="5"/>
  <c r="T2181" i="5"/>
  <c r="T2182" i="5"/>
  <c r="T2183" i="5"/>
  <c r="T2184" i="5"/>
  <c r="T2185" i="5"/>
  <c r="T2186" i="5"/>
  <c r="T2187" i="5"/>
  <c r="T2188" i="5"/>
  <c r="T2189" i="5"/>
  <c r="T2190" i="5"/>
  <c r="T2191" i="5"/>
  <c r="T2192" i="5"/>
  <c r="T2193" i="5"/>
  <c r="T2194" i="5"/>
  <c r="T2195" i="5"/>
  <c r="T2196" i="5"/>
  <c r="T2197" i="5"/>
  <c r="T2198" i="5"/>
  <c r="T2199" i="5"/>
  <c r="T2200" i="5"/>
  <c r="T2201" i="5"/>
  <c r="T2202" i="5"/>
  <c r="T2203" i="5"/>
  <c r="T2204" i="5"/>
  <c r="T2205" i="5"/>
  <c r="T2206" i="5"/>
  <c r="T2207" i="5"/>
  <c r="T2208" i="5"/>
  <c r="T2209" i="5"/>
  <c r="T2210" i="5"/>
  <c r="T2211" i="5"/>
  <c r="T2212" i="5"/>
  <c r="T2213" i="5"/>
  <c r="T2214" i="5"/>
  <c r="T2215" i="5"/>
  <c r="T2216" i="5"/>
  <c r="T2217" i="5"/>
  <c r="T2218" i="5"/>
  <c r="T2219" i="5"/>
  <c r="T2220" i="5"/>
  <c r="T2221" i="5"/>
  <c r="T2222" i="5"/>
  <c r="T2223" i="5"/>
  <c r="T2224" i="5"/>
  <c r="T2225" i="5"/>
  <c r="T2226" i="5"/>
  <c r="T2227" i="5"/>
  <c r="T2228" i="5"/>
  <c r="T2229" i="5"/>
  <c r="T2230" i="5"/>
  <c r="T2231" i="5"/>
  <c r="T2232" i="5"/>
  <c r="T2233" i="5"/>
  <c r="T2234" i="5"/>
  <c r="T2235" i="5"/>
  <c r="T2236" i="5"/>
  <c r="T2237" i="5"/>
  <c r="T2238" i="5"/>
  <c r="T2239" i="5"/>
  <c r="T2240" i="5"/>
  <c r="T2241" i="5"/>
  <c r="T2242" i="5"/>
  <c r="T2243" i="5"/>
  <c r="T2244" i="5"/>
  <c r="T2245" i="5"/>
  <c r="T2246" i="5"/>
  <c r="T2247" i="5"/>
  <c r="T2248" i="5"/>
  <c r="T2249" i="5"/>
  <c r="T2250" i="5"/>
  <c r="T2251" i="5"/>
  <c r="T2252" i="5"/>
  <c r="T2253" i="5"/>
  <c r="T2254" i="5"/>
  <c r="T2255" i="5"/>
  <c r="T2256" i="5"/>
  <c r="T2257" i="5"/>
  <c r="T2258" i="5"/>
  <c r="T2259" i="5"/>
  <c r="T2260" i="5"/>
  <c r="T2261" i="5"/>
  <c r="T2262" i="5"/>
  <c r="T2263" i="5"/>
  <c r="T2264" i="5"/>
  <c r="T2265" i="5"/>
  <c r="T2266" i="5"/>
  <c r="T2267" i="5"/>
  <c r="T2268" i="5"/>
  <c r="T2269" i="5"/>
  <c r="T2270" i="5"/>
  <c r="T2271" i="5"/>
  <c r="T2272" i="5"/>
  <c r="T2273" i="5"/>
  <c r="T2274" i="5"/>
  <c r="T2275" i="5"/>
  <c r="T2276" i="5"/>
  <c r="T2277" i="5"/>
  <c r="T2278" i="5"/>
  <c r="T2279" i="5"/>
  <c r="T2280" i="5"/>
  <c r="T2281" i="5"/>
  <c r="T2282" i="5"/>
  <c r="T2283" i="5"/>
  <c r="T2284" i="5"/>
  <c r="T2285" i="5"/>
  <c r="T2286" i="5"/>
  <c r="T2287" i="5"/>
  <c r="T2288" i="5"/>
  <c r="T2289" i="5"/>
  <c r="T2290" i="5"/>
  <c r="T2291" i="5"/>
  <c r="T2292" i="5"/>
  <c r="T2293" i="5"/>
  <c r="T2294" i="5"/>
  <c r="T2295" i="5"/>
  <c r="T2296" i="5"/>
  <c r="T2297" i="5"/>
  <c r="T2298" i="5"/>
  <c r="T2299" i="5"/>
  <c r="T2300" i="5"/>
  <c r="T2301" i="5"/>
  <c r="T2302" i="5"/>
  <c r="T2303" i="5"/>
  <c r="T2304" i="5"/>
  <c r="T2305" i="5"/>
  <c r="T2306" i="5"/>
  <c r="T2307" i="5"/>
  <c r="T2308" i="5"/>
  <c r="T2309" i="5"/>
  <c r="T2310" i="5"/>
  <c r="T2311" i="5"/>
  <c r="T2312" i="5"/>
  <c r="T2313" i="5"/>
  <c r="T2314" i="5"/>
  <c r="T2315" i="5"/>
  <c r="T2316" i="5"/>
  <c r="T2317" i="5"/>
  <c r="T2318" i="5"/>
  <c r="T2319" i="5"/>
  <c r="T2320" i="5"/>
  <c r="T2321" i="5"/>
  <c r="T2322" i="5"/>
  <c r="T2323" i="5"/>
  <c r="T2324" i="5"/>
  <c r="T2325" i="5"/>
  <c r="T2326" i="5"/>
  <c r="T2327" i="5"/>
  <c r="T2328" i="5"/>
  <c r="T2329" i="5"/>
  <c r="T2330" i="5"/>
  <c r="T2331" i="5"/>
  <c r="T2332" i="5"/>
  <c r="T2333" i="5"/>
  <c r="T2334" i="5"/>
  <c r="T2335" i="5"/>
  <c r="T2336" i="5"/>
  <c r="T2337" i="5"/>
  <c r="T2338" i="5"/>
  <c r="T2339" i="5"/>
  <c r="T2340" i="5"/>
  <c r="T2341" i="5"/>
  <c r="T2342" i="5"/>
  <c r="T2343" i="5"/>
  <c r="T2344" i="5"/>
  <c r="T2345" i="5"/>
  <c r="T2346" i="5"/>
  <c r="T2347" i="5"/>
  <c r="T2348" i="5"/>
  <c r="T2349" i="5"/>
  <c r="T2350" i="5"/>
  <c r="T2351" i="5"/>
  <c r="T2352" i="5"/>
  <c r="T2353" i="5"/>
  <c r="T2354" i="5"/>
  <c r="T2355" i="5"/>
  <c r="T2356" i="5"/>
  <c r="T2357" i="5"/>
  <c r="T2358" i="5"/>
  <c r="T2359" i="5"/>
  <c r="T2360" i="5"/>
  <c r="T2361" i="5"/>
  <c r="T2362" i="5"/>
  <c r="T2363" i="5"/>
  <c r="T2364" i="5"/>
  <c r="T2365" i="5"/>
  <c r="T2366" i="5"/>
  <c r="T2367" i="5"/>
  <c r="T2368" i="5"/>
  <c r="T2369" i="5"/>
  <c r="T2370" i="5"/>
  <c r="T2371" i="5"/>
  <c r="T2372" i="5"/>
  <c r="T2373" i="5"/>
  <c r="T2374" i="5"/>
  <c r="T2375" i="5"/>
  <c r="T2376" i="5"/>
  <c r="T2377" i="5"/>
  <c r="T2378" i="5"/>
  <c r="T2379" i="5"/>
  <c r="T2380" i="5"/>
  <c r="T2381" i="5"/>
  <c r="T2382" i="5"/>
  <c r="T2383" i="5"/>
  <c r="T2384" i="5"/>
  <c r="T2385" i="5"/>
  <c r="T2386" i="5"/>
  <c r="T2387" i="5"/>
  <c r="T2388" i="5"/>
  <c r="T2389" i="5"/>
  <c r="T2390" i="5"/>
  <c r="T2391" i="5"/>
  <c r="T2392" i="5"/>
  <c r="T2393" i="5"/>
  <c r="T2394" i="5"/>
  <c r="T2395" i="5"/>
  <c r="T2396" i="5"/>
  <c r="T2397" i="5"/>
  <c r="T2398" i="5"/>
  <c r="T2399" i="5"/>
  <c r="T2400" i="5"/>
  <c r="T2401" i="5"/>
  <c r="T2402" i="5"/>
  <c r="T2403" i="5"/>
  <c r="T2404" i="5"/>
  <c r="T2405" i="5"/>
  <c r="T2406" i="5"/>
  <c r="T2407" i="5"/>
  <c r="T2408" i="5"/>
  <c r="T2409" i="5"/>
  <c r="T2410" i="5"/>
  <c r="T2411" i="5"/>
  <c r="T2412" i="5"/>
  <c r="T2413" i="5"/>
  <c r="T2414" i="5"/>
  <c r="T2415" i="5"/>
  <c r="T2416" i="5"/>
  <c r="T2417" i="5"/>
  <c r="T2418" i="5"/>
  <c r="T2419" i="5"/>
  <c r="T2420" i="5"/>
  <c r="T2421" i="5"/>
  <c r="T2422" i="5"/>
  <c r="T2423" i="5"/>
  <c r="T2424" i="5"/>
  <c r="T2425" i="5"/>
  <c r="T2426" i="5"/>
  <c r="T2427" i="5"/>
  <c r="T2428" i="5"/>
  <c r="T2429" i="5"/>
  <c r="T2430" i="5"/>
  <c r="T2431" i="5"/>
  <c r="T2432" i="5"/>
  <c r="T2433" i="5"/>
  <c r="T2434" i="5"/>
  <c r="T2435" i="5"/>
  <c r="T2436" i="5"/>
  <c r="T2437" i="5"/>
  <c r="T2438" i="5"/>
  <c r="T2439" i="5"/>
  <c r="T2440" i="5"/>
  <c r="T2441" i="5"/>
  <c r="T2442" i="5"/>
  <c r="T2443" i="5"/>
  <c r="T2444" i="5"/>
  <c r="T2445" i="5"/>
  <c r="T2446" i="5"/>
  <c r="T2447" i="5"/>
  <c r="T2448" i="5"/>
  <c r="T2449" i="5"/>
  <c r="T2450" i="5"/>
  <c r="T2451" i="5"/>
  <c r="T2452" i="5"/>
  <c r="T2453" i="5"/>
  <c r="T2454" i="5"/>
  <c r="T2455" i="5"/>
  <c r="T2456" i="5"/>
  <c r="T2457" i="5"/>
  <c r="T2458" i="5"/>
  <c r="T2459" i="5"/>
  <c r="T2460" i="5"/>
  <c r="T2461" i="5"/>
  <c r="T2462" i="5"/>
  <c r="T2463" i="5"/>
  <c r="T2464" i="5"/>
  <c r="T2465" i="5"/>
  <c r="T2466" i="5"/>
  <c r="T2467" i="5"/>
  <c r="T2468" i="5"/>
  <c r="T2469" i="5"/>
  <c r="T2470" i="5"/>
  <c r="T2471" i="5"/>
  <c r="T2472" i="5"/>
  <c r="T2473" i="5"/>
  <c r="T2474" i="5"/>
  <c r="T2475" i="5"/>
  <c r="T2476" i="5"/>
  <c r="T2477" i="5"/>
  <c r="T2478" i="5"/>
  <c r="T2479" i="5"/>
  <c r="T2480" i="5"/>
  <c r="T2481" i="5"/>
  <c r="T2482" i="5"/>
  <c r="T2483" i="5"/>
  <c r="T2484" i="5"/>
  <c r="T2485" i="5"/>
  <c r="T2486" i="5"/>
  <c r="T2487" i="5"/>
  <c r="T2488" i="5"/>
  <c r="T2489" i="5"/>
  <c r="T2490" i="5"/>
  <c r="T2491" i="5"/>
  <c r="T2492" i="5"/>
  <c r="T2493" i="5"/>
  <c r="T2494" i="5"/>
  <c r="T2495" i="5"/>
  <c r="T2496" i="5"/>
  <c r="T2497" i="5"/>
  <c r="T2498" i="5"/>
  <c r="T2499" i="5"/>
  <c r="T2500" i="5"/>
  <c r="T2501" i="5"/>
  <c r="T2502" i="5"/>
  <c r="T2503" i="5"/>
  <c r="T2504" i="5"/>
  <c r="T2505" i="5"/>
  <c r="T2506" i="5"/>
  <c r="T2507" i="5"/>
  <c r="T2508" i="5"/>
  <c r="T2509" i="5"/>
  <c r="T2510" i="5"/>
  <c r="T2511" i="5"/>
  <c r="T2512" i="5"/>
  <c r="T2513" i="5"/>
  <c r="T2514" i="5"/>
  <c r="T2515" i="5"/>
  <c r="T2516" i="5"/>
  <c r="T2517" i="5"/>
  <c r="T2518" i="5"/>
  <c r="T2519" i="5"/>
  <c r="T2520" i="5"/>
  <c r="T2521" i="5"/>
  <c r="T2522" i="5"/>
  <c r="T2523" i="5"/>
  <c r="T2524" i="5"/>
  <c r="T2525" i="5"/>
  <c r="T2526" i="5"/>
  <c r="T2527" i="5"/>
  <c r="T2528" i="5"/>
  <c r="T2529" i="5"/>
  <c r="T2530" i="5"/>
  <c r="T2531" i="5"/>
  <c r="T2532" i="5"/>
  <c r="T2533" i="5"/>
  <c r="T2534" i="5"/>
  <c r="T2535" i="5"/>
  <c r="T2536" i="5"/>
  <c r="T2537" i="5"/>
  <c r="T2538" i="5"/>
  <c r="T2539" i="5"/>
  <c r="T2540" i="5"/>
  <c r="T2541" i="5"/>
  <c r="T2542" i="5"/>
  <c r="T2543" i="5"/>
  <c r="T2544" i="5"/>
  <c r="T2545" i="5"/>
  <c r="T2546" i="5"/>
  <c r="T2547" i="5"/>
  <c r="T2548" i="5"/>
  <c r="T2549" i="5"/>
  <c r="T2550" i="5"/>
  <c r="T2551" i="5"/>
  <c r="T2552" i="5"/>
  <c r="T2553" i="5"/>
  <c r="T2554" i="5"/>
  <c r="T2555" i="5"/>
  <c r="T2556" i="5"/>
  <c r="T2557" i="5"/>
  <c r="T2558" i="5"/>
  <c r="T2559" i="5"/>
  <c r="T2560" i="5"/>
  <c r="T2561" i="5"/>
  <c r="T2562" i="5"/>
  <c r="T2563" i="5"/>
  <c r="T2564" i="5"/>
  <c r="T2565" i="5"/>
  <c r="T2566" i="5"/>
  <c r="T2567" i="5"/>
  <c r="T2568" i="5"/>
  <c r="T2569" i="5"/>
  <c r="T2570" i="5"/>
  <c r="T2571" i="5"/>
  <c r="T2572" i="5"/>
  <c r="T2573" i="5"/>
  <c r="T2574" i="5"/>
  <c r="T2575" i="5"/>
  <c r="T2576" i="5"/>
  <c r="T2577" i="5"/>
  <c r="T2578" i="5"/>
  <c r="T2579" i="5"/>
  <c r="T2580" i="5"/>
  <c r="T2581" i="5"/>
  <c r="T2582" i="5"/>
  <c r="T2583" i="5"/>
  <c r="T2584" i="5"/>
  <c r="T2585" i="5"/>
  <c r="T2586" i="5"/>
  <c r="T2587" i="5"/>
  <c r="T2588" i="5"/>
  <c r="T2589" i="5"/>
  <c r="T2590" i="5"/>
  <c r="T2591" i="5"/>
  <c r="T2592" i="5"/>
  <c r="T2593" i="5"/>
  <c r="T2594" i="5"/>
  <c r="T2595" i="5"/>
  <c r="T2596" i="5"/>
  <c r="T2597" i="5"/>
  <c r="T2598" i="5"/>
  <c r="T2599" i="5"/>
  <c r="T2600" i="5"/>
  <c r="T2601" i="5"/>
  <c r="T2602" i="5"/>
  <c r="T2603" i="5"/>
  <c r="T2604" i="5"/>
  <c r="T2605" i="5"/>
  <c r="T2606" i="5"/>
  <c r="T2607" i="5"/>
  <c r="T2608" i="5"/>
  <c r="T2609" i="5"/>
  <c r="T2610" i="5"/>
  <c r="T2611" i="5"/>
  <c r="T2612" i="5"/>
  <c r="T2613" i="5"/>
  <c r="T2614" i="5"/>
  <c r="T2615" i="5"/>
  <c r="T2616" i="5"/>
  <c r="T2617" i="5"/>
  <c r="T2618" i="5"/>
  <c r="T2619" i="5"/>
  <c r="T2620" i="5"/>
  <c r="T2621" i="5"/>
  <c r="T2622" i="5"/>
  <c r="T2623" i="5"/>
  <c r="T2624" i="5"/>
  <c r="T2625" i="5"/>
  <c r="T2626" i="5"/>
  <c r="T2627" i="5"/>
  <c r="T2628" i="5"/>
  <c r="T2629" i="5"/>
  <c r="T2630" i="5"/>
  <c r="T2631" i="5"/>
  <c r="T2632" i="5"/>
  <c r="T2633" i="5"/>
  <c r="T2634" i="5"/>
  <c r="T2635" i="5"/>
  <c r="T2636" i="5"/>
  <c r="T2637" i="5"/>
  <c r="T2638" i="5"/>
  <c r="T2639" i="5"/>
  <c r="T2640" i="5"/>
  <c r="T2641" i="5"/>
  <c r="T2642" i="5"/>
  <c r="T2643" i="5"/>
  <c r="T2644" i="5"/>
  <c r="T2645" i="5"/>
  <c r="T2646" i="5"/>
  <c r="T2647" i="5"/>
  <c r="T2648" i="5"/>
  <c r="T2649" i="5"/>
  <c r="T2650" i="5"/>
  <c r="T2651" i="5"/>
  <c r="T2652" i="5"/>
  <c r="T2653" i="5"/>
  <c r="T2654" i="5"/>
  <c r="T2655" i="5"/>
  <c r="T2656" i="5"/>
  <c r="T2657" i="5"/>
  <c r="T2658" i="5"/>
  <c r="T2659" i="5"/>
  <c r="T2660" i="5"/>
  <c r="T2661" i="5"/>
  <c r="T2662" i="5"/>
  <c r="T2663" i="5"/>
  <c r="T2664" i="5"/>
  <c r="T2665" i="5"/>
  <c r="T2666" i="5"/>
  <c r="T2667" i="5"/>
  <c r="T2668" i="5"/>
  <c r="T2669" i="5"/>
  <c r="T2670" i="5"/>
  <c r="T2671" i="5"/>
  <c r="T2672" i="5"/>
  <c r="T2673" i="5"/>
  <c r="T2674" i="5"/>
  <c r="T2675" i="5"/>
  <c r="T2676" i="5"/>
  <c r="T2677" i="5"/>
  <c r="T2678" i="5"/>
  <c r="T2679" i="5"/>
  <c r="T2680" i="5"/>
  <c r="T2681" i="5"/>
  <c r="T2682" i="5"/>
  <c r="T2683" i="5"/>
  <c r="T2684" i="5"/>
  <c r="T2685" i="5"/>
  <c r="T2686" i="5"/>
  <c r="T2687" i="5"/>
  <c r="T2688" i="5"/>
  <c r="T2689" i="5"/>
  <c r="T2690" i="5"/>
  <c r="T2691" i="5"/>
  <c r="T2692" i="5"/>
  <c r="T2693" i="5"/>
  <c r="T2694" i="5"/>
  <c r="T2695" i="5"/>
  <c r="T2696" i="5"/>
  <c r="T2697" i="5"/>
  <c r="T2698" i="5"/>
  <c r="T2699" i="5"/>
  <c r="T2700" i="5"/>
  <c r="T2701" i="5"/>
  <c r="T2702" i="5"/>
  <c r="T2703" i="5"/>
  <c r="T2704" i="5"/>
  <c r="T2705" i="5"/>
  <c r="T2706" i="5"/>
  <c r="T2707" i="5"/>
  <c r="T2708" i="5"/>
  <c r="T2709" i="5"/>
  <c r="T2710" i="5"/>
  <c r="T2711" i="5"/>
  <c r="T2712" i="5"/>
  <c r="T2713" i="5"/>
  <c r="T2714" i="5"/>
  <c r="T2715" i="5"/>
  <c r="T2716" i="5"/>
  <c r="T2717" i="5"/>
  <c r="T2718" i="5"/>
  <c r="T2719" i="5"/>
  <c r="T2720" i="5"/>
  <c r="T2721" i="5"/>
  <c r="T2722" i="5"/>
  <c r="T2723" i="5"/>
  <c r="T2724" i="5"/>
  <c r="T2725" i="5"/>
  <c r="T2726" i="5"/>
  <c r="T2727" i="5"/>
  <c r="T2728" i="5"/>
  <c r="T2729" i="5"/>
  <c r="T2730" i="5"/>
  <c r="T2731" i="5"/>
  <c r="T2732" i="5"/>
  <c r="T2733" i="5"/>
  <c r="T2734" i="5"/>
  <c r="T2735" i="5"/>
  <c r="T2736" i="5"/>
  <c r="T2737" i="5"/>
  <c r="T2738" i="5"/>
  <c r="T2739" i="5"/>
  <c r="T2740" i="5"/>
  <c r="T2741" i="5"/>
  <c r="T2742" i="5"/>
  <c r="T2743" i="5"/>
  <c r="T2744" i="5"/>
  <c r="T2745" i="5"/>
  <c r="T2746" i="5"/>
  <c r="T2747" i="5"/>
  <c r="T2748" i="5"/>
  <c r="T2749" i="5"/>
  <c r="T2750" i="5"/>
  <c r="T2751" i="5"/>
  <c r="T2752" i="5"/>
  <c r="T2753" i="5"/>
  <c r="T2754" i="5"/>
  <c r="T2755" i="5"/>
  <c r="T2756" i="5"/>
  <c r="T2757" i="5"/>
  <c r="T2758" i="5"/>
  <c r="T2759" i="5"/>
  <c r="T2760" i="5"/>
  <c r="T2761" i="5"/>
  <c r="T2762" i="5"/>
  <c r="T2763" i="5"/>
  <c r="T2764" i="5"/>
  <c r="T2765" i="5"/>
  <c r="T2766" i="5"/>
  <c r="T2767" i="5"/>
  <c r="T2768" i="5"/>
  <c r="T2769" i="5"/>
  <c r="T2770" i="5"/>
  <c r="T2771" i="5"/>
  <c r="T2772" i="5"/>
  <c r="T2773" i="5"/>
  <c r="T2774" i="5"/>
  <c r="T2775" i="5"/>
  <c r="T2776" i="5"/>
  <c r="T2777" i="5"/>
  <c r="T2778" i="5"/>
  <c r="T2779" i="5"/>
  <c r="T2780" i="5"/>
  <c r="T2781" i="5"/>
  <c r="T2782" i="5"/>
  <c r="T2783" i="5"/>
  <c r="T2784" i="5"/>
  <c r="T2785" i="5"/>
  <c r="T2786" i="5"/>
  <c r="T2787" i="5"/>
  <c r="T2788" i="5"/>
  <c r="T2789" i="5"/>
  <c r="T2790" i="5"/>
  <c r="T2791" i="5"/>
  <c r="T2792" i="5"/>
  <c r="T2793" i="5"/>
  <c r="T2794" i="5"/>
  <c r="T2795" i="5"/>
  <c r="T2796" i="5"/>
  <c r="T2797" i="5"/>
  <c r="T2798" i="5"/>
  <c r="T2799" i="5"/>
  <c r="T2800" i="5"/>
  <c r="T2801" i="5"/>
  <c r="S3" i="5" a="1"/>
  <c r="S3" i="5" s="1"/>
  <c r="S2" i="5" a="1"/>
  <c r="S2" i="5" s="1"/>
  <c r="S4" i="5" a="1"/>
  <c r="S4" i="5" s="1"/>
  <c r="S5" i="5" a="1"/>
  <c r="S5" i="5" s="1"/>
  <c r="S6" i="5" a="1"/>
  <c r="S6" i="5" s="1"/>
  <c r="S7" i="5" a="1"/>
  <c r="S7" i="5" s="1"/>
  <c r="S8" i="5" a="1"/>
  <c r="S8" i="5" s="1"/>
  <c r="S9" i="5" a="1"/>
  <c r="S9" i="5" s="1"/>
  <c r="S10" i="5" a="1"/>
  <c r="S10" i="5" s="1"/>
  <c r="S11" i="5" a="1"/>
  <c r="S11" i="5" s="1"/>
  <c r="S12" i="5" a="1"/>
  <c r="S12" i="5" s="1"/>
  <c r="S13" i="5" a="1"/>
  <c r="S13" i="5" s="1"/>
  <c r="S14" i="5" a="1"/>
  <c r="S14" i="5" s="1"/>
  <c r="S15" i="5" a="1"/>
  <c r="S15" i="5" s="1"/>
  <c r="S16" i="5" a="1"/>
  <c r="S16" i="5" s="1"/>
  <c r="S17" i="5" a="1"/>
  <c r="S17" i="5" s="1"/>
  <c r="S18" i="5" a="1"/>
  <c r="S18" i="5" s="1"/>
  <c r="S19" i="5" a="1"/>
  <c r="S19" i="5" s="1"/>
  <c r="S20" i="5" a="1"/>
  <c r="S20" i="5" s="1"/>
  <c r="S21" i="5" a="1"/>
  <c r="S21" i="5" s="1"/>
  <c r="S22" i="5" a="1"/>
  <c r="S22" i="5" s="1"/>
  <c r="S23" i="5" a="1"/>
  <c r="S23" i="5" s="1"/>
  <c r="S24" i="5" a="1"/>
  <c r="S24" i="5" s="1"/>
  <c r="S25" i="5" a="1"/>
  <c r="S25" i="5" s="1"/>
  <c r="S26" i="5" a="1"/>
  <c r="S26" i="5" s="1"/>
  <c r="S27" i="5" a="1"/>
  <c r="S27" i="5" s="1"/>
  <c r="S28" i="5" a="1"/>
  <c r="S28" i="5" s="1"/>
  <c r="S29" i="5" a="1"/>
  <c r="S29" i="5" s="1"/>
  <c r="S30" i="5" a="1"/>
  <c r="S30" i="5" s="1"/>
  <c r="S31" i="5" a="1"/>
  <c r="S31" i="5" s="1"/>
  <c r="S32" i="5" a="1"/>
  <c r="S32" i="5" s="1"/>
  <c r="S33" i="5" a="1"/>
  <c r="S33" i="5" s="1"/>
  <c r="S34" i="5" a="1"/>
  <c r="S34" i="5" s="1"/>
  <c r="S35" i="5" a="1"/>
  <c r="S35" i="5" s="1"/>
  <c r="S36" i="5" a="1"/>
  <c r="S36" i="5" s="1"/>
  <c r="S37" i="5" a="1"/>
  <c r="S37" i="5" s="1"/>
  <c r="S38" i="5" a="1"/>
  <c r="S38" i="5" s="1"/>
  <c r="S39" i="5" a="1"/>
  <c r="S39" i="5" s="1"/>
  <c r="S40" i="5" a="1"/>
  <c r="S40" i="5" s="1"/>
  <c r="S41" i="5" a="1"/>
  <c r="S41" i="5" s="1"/>
  <c r="S42" i="5" a="1"/>
  <c r="S42" i="5" s="1"/>
  <c r="S43" i="5" a="1"/>
  <c r="S43" i="5" s="1"/>
  <c r="S44" i="5" a="1"/>
  <c r="S44" i="5" s="1"/>
  <c r="S45" i="5" a="1"/>
  <c r="S45" i="5" s="1"/>
  <c r="S46" i="5" a="1"/>
  <c r="S46" i="5" s="1"/>
  <c r="S47" i="5" a="1"/>
  <c r="S47" i="5" s="1"/>
  <c r="S48" i="5" a="1"/>
  <c r="S48" i="5" s="1"/>
  <c r="S49" i="5" a="1"/>
  <c r="S49" i="5" s="1"/>
  <c r="S50" i="5" a="1"/>
  <c r="S50" i="5" s="1"/>
  <c r="S51" i="5" a="1"/>
  <c r="S51" i="5" s="1"/>
  <c r="S52" i="5" a="1"/>
  <c r="S52" i="5" s="1"/>
  <c r="S53" i="5" a="1"/>
  <c r="S53" i="5" s="1"/>
  <c r="S54" i="5" a="1"/>
  <c r="S54" i="5" s="1"/>
  <c r="S55" i="5" a="1"/>
  <c r="S55" i="5" s="1"/>
  <c r="S56" i="5" a="1"/>
  <c r="S56" i="5" s="1"/>
  <c r="S57" i="5" a="1"/>
  <c r="S57" i="5" s="1"/>
  <c r="S58" i="5" a="1"/>
  <c r="S58" i="5" s="1"/>
  <c r="S59" i="5" a="1"/>
  <c r="S59" i="5" s="1"/>
  <c r="S60" i="5" a="1"/>
  <c r="S60" i="5" s="1"/>
  <c r="S61" i="5" a="1"/>
  <c r="S61" i="5" s="1"/>
  <c r="S62" i="5" a="1"/>
  <c r="S62" i="5" s="1"/>
  <c r="S63" i="5" a="1"/>
  <c r="S63" i="5" s="1"/>
  <c r="S64" i="5" a="1"/>
  <c r="S64" i="5" s="1"/>
  <c r="S65" i="5" a="1"/>
  <c r="S65" i="5" s="1"/>
  <c r="S66" i="5" a="1"/>
  <c r="S66" i="5" s="1"/>
  <c r="S67" i="5" a="1"/>
  <c r="S67" i="5" s="1"/>
  <c r="S68" i="5" a="1"/>
  <c r="S68" i="5" s="1"/>
  <c r="S69" i="5" a="1"/>
  <c r="S69" i="5" s="1"/>
  <c r="S70" i="5" a="1"/>
  <c r="S70" i="5" s="1"/>
  <c r="S71" i="5" a="1"/>
  <c r="S71" i="5" s="1"/>
  <c r="S72" i="5" a="1"/>
  <c r="S72" i="5" s="1"/>
  <c r="S73" i="5" a="1"/>
  <c r="S73" i="5" s="1"/>
  <c r="S74" i="5" a="1"/>
  <c r="S74" i="5" s="1"/>
  <c r="S75" i="5" a="1"/>
  <c r="S75" i="5" s="1"/>
  <c r="S76" i="5" a="1"/>
  <c r="S76" i="5" s="1"/>
  <c r="S77" i="5" a="1"/>
  <c r="S77" i="5" s="1"/>
  <c r="S78" i="5" a="1"/>
  <c r="S78" i="5" s="1"/>
  <c r="S79" i="5" a="1"/>
  <c r="S79" i="5" s="1"/>
  <c r="S80" i="5" a="1"/>
  <c r="S80" i="5" s="1"/>
  <c r="S81" i="5" a="1"/>
  <c r="S81" i="5" s="1"/>
  <c r="S82" i="5" a="1"/>
  <c r="S82" i="5" s="1"/>
  <c r="S83" i="5" a="1"/>
  <c r="S83" i="5" s="1"/>
  <c r="S84" i="5" a="1"/>
  <c r="S84" i="5" s="1"/>
  <c r="S85" i="5" a="1"/>
  <c r="S85" i="5" s="1"/>
  <c r="S86" i="5" a="1"/>
  <c r="S86" i="5" s="1"/>
  <c r="S87" i="5" a="1"/>
  <c r="S87" i="5" s="1"/>
  <c r="S88" i="5" a="1"/>
  <c r="S88" i="5" s="1"/>
  <c r="S89" i="5" a="1"/>
  <c r="S89" i="5" s="1"/>
  <c r="S90" i="5" a="1"/>
  <c r="S90" i="5" s="1"/>
  <c r="S91" i="5" a="1"/>
  <c r="S91" i="5"/>
  <c r="S92" i="5" a="1"/>
  <c r="S92" i="5" s="1"/>
  <c r="S93" i="5" a="1"/>
  <c r="S93" i="5" s="1"/>
  <c r="S94" i="5" a="1"/>
  <c r="S94" i="5" s="1"/>
  <c r="S95" i="5" a="1"/>
  <c r="S95" i="5" s="1"/>
  <c r="S96" i="5" a="1"/>
  <c r="S96" i="5" s="1"/>
  <c r="S97" i="5" a="1"/>
  <c r="S97" i="5" s="1"/>
  <c r="S98" i="5" a="1"/>
  <c r="S98" i="5" s="1"/>
  <c r="S99" i="5" a="1"/>
  <c r="S99" i="5" s="1"/>
  <c r="S100" i="5" a="1"/>
  <c r="S100" i="5" s="1"/>
  <c r="S101" i="5" a="1"/>
  <c r="S101" i="5" s="1"/>
  <c r="S102" i="5" a="1"/>
  <c r="S102" i="5" s="1"/>
  <c r="S103" i="5" a="1"/>
  <c r="S103" i="5" s="1"/>
  <c r="S104" i="5" a="1"/>
  <c r="S104" i="5" s="1"/>
  <c r="S105" i="5" a="1"/>
  <c r="S105" i="5" s="1"/>
  <c r="S106" i="5" a="1"/>
  <c r="S106" i="5" s="1"/>
  <c r="S107" i="5" a="1"/>
  <c r="S107" i="5" s="1"/>
  <c r="S108" i="5" a="1"/>
  <c r="S108" i="5" s="1"/>
  <c r="S109" i="5" a="1"/>
  <c r="S109" i="5"/>
  <c r="S110" i="5" a="1"/>
  <c r="S110" i="5" s="1"/>
  <c r="S111" i="5" a="1"/>
  <c r="S111" i="5" s="1"/>
  <c r="S112" i="5" a="1"/>
  <c r="S112" i="5" s="1"/>
  <c r="S113" i="5" a="1"/>
  <c r="S113" i="5" s="1"/>
  <c r="S114" i="5" a="1"/>
  <c r="S114" i="5" s="1"/>
  <c r="S115" i="5" a="1"/>
  <c r="S115" i="5" s="1"/>
  <c r="S116" i="5" a="1"/>
  <c r="S116" i="5" s="1"/>
  <c r="S117" i="5" a="1"/>
  <c r="S117" i="5" s="1"/>
  <c r="S118" i="5" a="1"/>
  <c r="S118" i="5" s="1"/>
  <c r="S119" i="5" a="1"/>
  <c r="S119" i="5" s="1"/>
  <c r="S120" i="5" a="1"/>
  <c r="S120" i="5" s="1"/>
  <c r="S121" i="5" a="1"/>
  <c r="S121" i="5" s="1"/>
  <c r="S122" i="5" a="1"/>
  <c r="S122" i="5" s="1"/>
  <c r="S123" i="5" a="1"/>
  <c r="S123" i="5" s="1"/>
  <c r="S124" i="5" a="1"/>
  <c r="S124" i="5" s="1"/>
  <c r="S125" i="5" a="1"/>
  <c r="S125" i="5" s="1"/>
  <c r="S126" i="5" a="1"/>
  <c r="S126" i="5" s="1"/>
  <c r="S127" i="5" a="1"/>
  <c r="S127" i="5" s="1"/>
  <c r="S128" i="5" a="1"/>
  <c r="S128" i="5" s="1"/>
  <c r="S129" i="5" a="1"/>
  <c r="S129" i="5" s="1"/>
  <c r="S130" i="5" a="1"/>
  <c r="S130" i="5" s="1"/>
  <c r="S131" i="5" a="1"/>
  <c r="S131" i="5" s="1"/>
  <c r="S132" i="5" a="1"/>
  <c r="S132" i="5" s="1"/>
  <c r="S133" i="5" a="1"/>
  <c r="S133" i="5"/>
  <c r="S134" i="5" a="1"/>
  <c r="S134" i="5" s="1"/>
  <c r="S135" i="5" a="1"/>
  <c r="S135" i="5" s="1"/>
  <c r="S136" i="5" a="1"/>
  <c r="S136" i="5" s="1"/>
  <c r="S137" i="5" a="1"/>
  <c r="S137" i="5" s="1"/>
  <c r="S138" i="5" a="1"/>
  <c r="S138" i="5" s="1"/>
  <c r="S139" i="5" a="1"/>
  <c r="S139" i="5"/>
  <c r="S140" i="5" a="1"/>
  <c r="S140" i="5" s="1"/>
  <c r="S141" i="5" a="1"/>
  <c r="S141" i="5" s="1"/>
  <c r="S142" i="5" a="1"/>
  <c r="S142" i="5" s="1"/>
  <c r="S143" i="5" a="1"/>
  <c r="S143" i="5" s="1"/>
  <c r="S144" i="5" a="1"/>
  <c r="S144" i="5" s="1"/>
  <c r="S145" i="5" a="1"/>
  <c r="S145" i="5" s="1"/>
  <c r="S146" i="5" a="1"/>
  <c r="S146" i="5" s="1"/>
  <c r="S147" i="5" a="1"/>
  <c r="S147" i="5" s="1"/>
  <c r="S148" i="5" a="1"/>
  <c r="S148" i="5" s="1"/>
  <c r="S149" i="5" a="1"/>
  <c r="S149" i="5" s="1"/>
  <c r="S150" i="5" a="1"/>
  <c r="S150" i="5" s="1"/>
  <c r="S151" i="5" a="1"/>
  <c r="S151" i="5" s="1"/>
  <c r="S152" i="5" a="1"/>
  <c r="S152" i="5" s="1"/>
  <c r="S153" i="5" a="1"/>
  <c r="S153" i="5" s="1"/>
  <c r="S154" i="5" a="1"/>
  <c r="S154" i="5" s="1"/>
  <c r="S155" i="5" a="1"/>
  <c r="S155" i="5" s="1"/>
  <c r="S156" i="5" a="1"/>
  <c r="S156" i="5" s="1"/>
  <c r="S157" i="5" a="1"/>
  <c r="S157" i="5" s="1"/>
  <c r="S158" i="5" a="1"/>
  <c r="S158" i="5" s="1"/>
  <c r="S159" i="5" a="1"/>
  <c r="S159" i="5" s="1"/>
  <c r="S160" i="5" a="1"/>
  <c r="S160" i="5" s="1"/>
  <c r="S161" i="5" a="1"/>
  <c r="S161" i="5" s="1"/>
  <c r="S162" i="5" a="1"/>
  <c r="S162" i="5" s="1"/>
  <c r="S163" i="5" a="1"/>
  <c r="S163" i="5" s="1"/>
  <c r="S164" i="5" a="1"/>
  <c r="S164" i="5" s="1"/>
  <c r="S165" i="5" a="1"/>
  <c r="S165" i="5" s="1"/>
  <c r="S166" i="5" a="1"/>
  <c r="S166" i="5" s="1"/>
  <c r="S167" i="5" a="1"/>
  <c r="S167" i="5" s="1"/>
  <c r="S168" i="5" a="1"/>
  <c r="S168" i="5" s="1"/>
  <c r="S169" i="5" a="1"/>
  <c r="S169" i="5" s="1"/>
  <c r="S170" i="5" a="1"/>
  <c r="S170" i="5" s="1"/>
  <c r="S171" i="5" a="1"/>
  <c r="S171" i="5"/>
  <c r="S172" i="5" a="1"/>
  <c r="S172" i="5" s="1"/>
  <c r="S173" i="5" a="1"/>
  <c r="S173" i="5" s="1"/>
  <c r="S174" i="5" a="1"/>
  <c r="S174" i="5" s="1"/>
  <c r="S175" i="5" a="1"/>
  <c r="S175" i="5" s="1"/>
  <c r="S176" i="5" a="1"/>
  <c r="S176" i="5" s="1"/>
  <c r="S177" i="5" a="1"/>
  <c r="S177" i="5" s="1"/>
  <c r="S178" i="5" a="1"/>
  <c r="S178" i="5" s="1"/>
  <c r="S179" i="5" a="1"/>
  <c r="S179" i="5" s="1"/>
  <c r="S180" i="5" a="1"/>
  <c r="S180" i="5" s="1"/>
  <c r="S181" i="5" a="1"/>
  <c r="S181" i="5" s="1"/>
  <c r="S182" i="5" a="1"/>
  <c r="S182" i="5" s="1"/>
  <c r="S183" i="5" a="1"/>
  <c r="S183" i="5" s="1"/>
  <c r="S184" i="5" a="1"/>
  <c r="S184" i="5" s="1"/>
  <c r="S185" i="5" a="1"/>
  <c r="S185" i="5" s="1"/>
  <c r="S186" i="5" a="1"/>
  <c r="S186" i="5" s="1"/>
  <c r="S187" i="5" a="1"/>
  <c r="S187" i="5" s="1"/>
  <c r="S188" i="5" a="1"/>
  <c r="S188" i="5" s="1"/>
  <c r="S189" i="5" a="1"/>
  <c r="S189" i="5" s="1"/>
  <c r="S190" i="5" a="1"/>
  <c r="S190" i="5" s="1"/>
  <c r="S191" i="5" a="1"/>
  <c r="S191" i="5" s="1"/>
  <c r="S192" i="5" a="1"/>
  <c r="S192" i="5" s="1"/>
  <c r="S193" i="5" a="1"/>
  <c r="S193" i="5"/>
  <c r="S194" i="5" a="1"/>
  <c r="S194" i="5" s="1"/>
  <c r="S195" i="5" a="1"/>
  <c r="S195" i="5" s="1"/>
  <c r="S196" i="5" a="1"/>
  <c r="S196" i="5" s="1"/>
  <c r="S197" i="5" a="1"/>
  <c r="S197" i="5" s="1"/>
  <c r="S198" i="5" a="1"/>
  <c r="S198" i="5" s="1"/>
  <c r="S199" i="5" a="1"/>
  <c r="S199" i="5" s="1"/>
  <c r="S200" i="5" a="1"/>
  <c r="S200" i="5" s="1"/>
  <c r="S201" i="5" a="1"/>
  <c r="S201" i="5" s="1"/>
  <c r="S202" i="5" a="1"/>
  <c r="S202" i="5" s="1"/>
  <c r="S203" i="5" a="1"/>
  <c r="S203" i="5" s="1"/>
  <c r="S204" i="5" a="1"/>
  <c r="S204" i="5" s="1"/>
  <c r="S205" i="5" a="1"/>
  <c r="S205" i="5" s="1"/>
  <c r="S206" i="5" a="1"/>
  <c r="S206" i="5" s="1"/>
  <c r="S207" i="5" a="1"/>
  <c r="S207" i="5" s="1"/>
  <c r="S208" i="5" a="1"/>
  <c r="S208" i="5" s="1"/>
  <c r="S209" i="5" a="1"/>
  <c r="S209" i="5" s="1"/>
  <c r="S210" i="5" a="1"/>
  <c r="S210" i="5" s="1"/>
  <c r="S211" i="5" a="1"/>
  <c r="S211" i="5" s="1"/>
  <c r="S212" i="5" a="1"/>
  <c r="S212" i="5" s="1"/>
  <c r="S213" i="5" a="1"/>
  <c r="S213" i="5" s="1"/>
  <c r="S214" i="5" a="1"/>
  <c r="S214" i="5" s="1"/>
  <c r="S215" i="5" a="1"/>
  <c r="S215" i="5" s="1"/>
  <c r="S216" i="5" a="1"/>
  <c r="S216" i="5" s="1"/>
  <c r="S217" i="5" a="1"/>
  <c r="S217" i="5" s="1"/>
  <c r="S218" i="5" a="1"/>
  <c r="S218" i="5" s="1"/>
  <c r="S219" i="5" a="1"/>
  <c r="S219" i="5" s="1"/>
  <c r="S220" i="5" a="1"/>
  <c r="S220" i="5" s="1"/>
  <c r="S221" i="5" a="1"/>
  <c r="S221" i="5" s="1"/>
  <c r="S222" i="5" a="1"/>
  <c r="S222" i="5" s="1"/>
  <c r="S223" i="5" a="1"/>
  <c r="S223" i="5" s="1"/>
  <c r="S224" i="5" a="1"/>
  <c r="S224" i="5" s="1"/>
  <c r="S225" i="5" a="1"/>
  <c r="S225" i="5" s="1"/>
  <c r="S226" i="5" a="1"/>
  <c r="S226" i="5" s="1"/>
  <c r="S227" i="5" a="1"/>
  <c r="S227" i="5" s="1"/>
  <c r="S228" i="5" a="1"/>
  <c r="S228" i="5" s="1"/>
  <c r="S229" i="5" a="1"/>
  <c r="S229" i="5" s="1"/>
  <c r="S230" i="5" a="1"/>
  <c r="S230" i="5" s="1"/>
  <c r="S231" i="5" a="1"/>
  <c r="S231" i="5" s="1"/>
  <c r="S232" i="5" a="1"/>
  <c r="S232" i="5" s="1"/>
  <c r="S233" i="5" a="1"/>
  <c r="S233" i="5" s="1"/>
  <c r="S234" i="5" a="1"/>
  <c r="S234" i="5" s="1"/>
  <c r="S235" i="5" a="1"/>
  <c r="S235" i="5" s="1"/>
  <c r="S236" i="5" a="1"/>
  <c r="S236" i="5" s="1"/>
  <c r="S237" i="5" a="1"/>
  <c r="S237" i="5" s="1"/>
  <c r="S238" i="5" a="1"/>
  <c r="S238" i="5" s="1"/>
  <c r="S239" i="5" a="1"/>
  <c r="S239" i="5" s="1"/>
  <c r="S240" i="5" a="1"/>
  <c r="S240" i="5" s="1"/>
  <c r="S241" i="5" a="1"/>
  <c r="S241" i="5"/>
  <c r="S242" i="5" a="1"/>
  <c r="S242" i="5" s="1"/>
  <c r="S243" i="5" a="1"/>
  <c r="S243" i="5" s="1"/>
  <c r="S244" i="5" a="1"/>
  <c r="S244" i="5" s="1"/>
  <c r="S245" i="5" a="1"/>
  <c r="S245" i="5" s="1"/>
  <c r="S246" i="5" a="1"/>
  <c r="S246" i="5" s="1"/>
  <c r="S247" i="5" a="1"/>
  <c r="S247" i="5" s="1"/>
  <c r="S248" i="5" a="1"/>
  <c r="S248" i="5" s="1"/>
  <c r="S249" i="5" a="1"/>
  <c r="S249" i="5" s="1"/>
  <c r="S250" i="5" a="1"/>
  <c r="S250" i="5" s="1"/>
  <c r="S251" i="5" a="1"/>
  <c r="S251" i="5" s="1"/>
  <c r="S252" i="5" a="1"/>
  <c r="S252" i="5" s="1"/>
  <c r="S253" i="5" a="1"/>
  <c r="S253" i="5" s="1"/>
  <c r="S254" i="5" a="1"/>
  <c r="S254" i="5" s="1"/>
  <c r="S255" i="5" a="1"/>
  <c r="S255" i="5" s="1"/>
  <c r="S256" i="5" a="1"/>
  <c r="S256" i="5" s="1"/>
  <c r="S257" i="5" a="1"/>
  <c r="S257" i="5" s="1"/>
  <c r="S258" i="5" a="1"/>
  <c r="S258" i="5" s="1"/>
  <c r="S259" i="5" a="1"/>
  <c r="S259" i="5" s="1"/>
  <c r="S260" i="5" a="1"/>
  <c r="S260" i="5" s="1"/>
  <c r="S261" i="5" a="1"/>
  <c r="S261" i="5" s="1"/>
  <c r="S262" i="5" a="1"/>
  <c r="S262" i="5" s="1"/>
  <c r="S263" i="5" a="1"/>
  <c r="S263" i="5" s="1"/>
  <c r="S264" i="5" a="1"/>
  <c r="S264" i="5" s="1"/>
  <c r="S265" i="5" a="1"/>
  <c r="S265" i="5" s="1"/>
  <c r="S266" i="5" a="1"/>
  <c r="S266" i="5" s="1"/>
  <c r="S267" i="5" a="1"/>
  <c r="S267" i="5" s="1"/>
  <c r="S268" i="5" a="1"/>
  <c r="S268" i="5" s="1"/>
  <c r="S269" i="5" a="1"/>
  <c r="S269" i="5" s="1"/>
  <c r="S270" i="5" a="1"/>
  <c r="S270" i="5" s="1"/>
  <c r="S271" i="5" a="1"/>
  <c r="S271" i="5" s="1"/>
  <c r="S272" i="5" a="1"/>
  <c r="S272" i="5" s="1"/>
  <c r="S273" i="5" a="1"/>
  <c r="S273" i="5" s="1"/>
  <c r="S274" i="5" a="1"/>
  <c r="S274" i="5" s="1"/>
  <c r="S275" i="5" a="1"/>
  <c r="S275" i="5"/>
  <c r="S276" i="5" a="1"/>
  <c r="S276" i="5" s="1"/>
  <c r="S277" i="5" a="1"/>
  <c r="S277" i="5" s="1"/>
  <c r="S278" i="5" a="1"/>
  <c r="S278" i="5" s="1"/>
  <c r="S279" i="5" a="1"/>
  <c r="S279" i="5" s="1"/>
  <c r="S280" i="5" a="1"/>
  <c r="S280" i="5" s="1"/>
  <c r="S281" i="5" a="1"/>
  <c r="S281" i="5"/>
  <c r="S282" i="5" a="1"/>
  <c r="S282" i="5" s="1"/>
  <c r="S283" i="5" a="1"/>
  <c r="S283" i="5" s="1"/>
  <c r="S284" i="5" a="1"/>
  <c r="S284" i="5" s="1"/>
  <c r="S285" i="5" a="1"/>
  <c r="S285" i="5" s="1"/>
  <c r="S286" i="5" a="1"/>
  <c r="S286" i="5" s="1"/>
  <c r="S287" i="5" a="1"/>
  <c r="S287" i="5"/>
  <c r="S288" i="5" a="1"/>
  <c r="S288" i="5" s="1"/>
  <c r="S289" i="5" a="1"/>
  <c r="S289" i="5" s="1"/>
  <c r="S290" i="5" a="1"/>
  <c r="S290" i="5" s="1"/>
  <c r="S291" i="5" a="1"/>
  <c r="S291" i="5" s="1"/>
  <c r="S292" i="5" a="1"/>
  <c r="S292" i="5" s="1"/>
  <c r="S293" i="5" a="1"/>
  <c r="S293" i="5" s="1"/>
  <c r="S294" i="5" a="1"/>
  <c r="S294" i="5" s="1"/>
  <c r="S295" i="5" a="1"/>
  <c r="S295" i="5" s="1"/>
  <c r="S296" i="5" a="1"/>
  <c r="S296" i="5" s="1"/>
  <c r="S297" i="5" a="1"/>
  <c r="S297" i="5" s="1"/>
  <c r="S298" i="5" a="1"/>
  <c r="S298" i="5" s="1"/>
  <c r="S299" i="5" a="1"/>
  <c r="S299" i="5" s="1"/>
  <c r="S300" i="5" a="1"/>
  <c r="S300" i="5" s="1"/>
  <c r="S301" i="5" a="1"/>
  <c r="S301" i="5" s="1"/>
  <c r="S302" i="5" a="1"/>
  <c r="S302" i="5" s="1"/>
  <c r="S303" i="5" a="1"/>
  <c r="S303" i="5" s="1"/>
  <c r="S304" i="5" a="1"/>
  <c r="S304" i="5" s="1"/>
  <c r="S305" i="5" a="1"/>
  <c r="S305" i="5" s="1"/>
  <c r="S306" i="5" a="1"/>
  <c r="S306" i="5" s="1"/>
  <c r="S307" i="5" a="1"/>
  <c r="S307" i="5" s="1"/>
  <c r="S308" i="5" a="1"/>
  <c r="S308" i="5" s="1"/>
  <c r="S309" i="5" a="1"/>
  <c r="S309" i="5" s="1"/>
  <c r="S310" i="5" a="1"/>
  <c r="S310" i="5" s="1"/>
  <c r="S311" i="5" a="1"/>
  <c r="S311" i="5" s="1"/>
  <c r="S312" i="5" a="1"/>
  <c r="S312" i="5" s="1"/>
  <c r="S313" i="5" a="1"/>
  <c r="S313" i="5" s="1"/>
  <c r="S314" i="5" a="1"/>
  <c r="S314" i="5" s="1"/>
  <c r="S315" i="5" a="1"/>
  <c r="S315" i="5" s="1"/>
  <c r="S316" i="5" a="1"/>
  <c r="S316" i="5" s="1"/>
  <c r="S317" i="5" a="1"/>
  <c r="S317" i="5" s="1"/>
  <c r="S318" i="5" a="1"/>
  <c r="S318" i="5" s="1"/>
  <c r="S319" i="5" a="1"/>
  <c r="S319" i="5" s="1"/>
  <c r="S320" i="5" a="1"/>
  <c r="S320" i="5" s="1"/>
  <c r="S321" i="5" a="1"/>
  <c r="S321" i="5" s="1"/>
  <c r="S322" i="5" a="1"/>
  <c r="S322" i="5" s="1"/>
  <c r="S323" i="5" a="1"/>
  <c r="S323" i="5" s="1"/>
  <c r="S324" i="5" a="1"/>
  <c r="S324" i="5" s="1"/>
  <c r="S325" i="5" a="1"/>
  <c r="S325" i="5" s="1"/>
  <c r="S326" i="5" a="1"/>
  <c r="S326" i="5" s="1"/>
  <c r="S327" i="5" a="1"/>
  <c r="S327" i="5" s="1"/>
  <c r="S328" i="5" a="1"/>
  <c r="S328" i="5" s="1"/>
  <c r="S329" i="5" a="1"/>
  <c r="S329" i="5" s="1"/>
  <c r="S330" i="5" a="1"/>
  <c r="S330" i="5" s="1"/>
  <c r="S331" i="5" a="1"/>
  <c r="S331" i="5" s="1"/>
  <c r="S332" i="5" a="1"/>
  <c r="S332" i="5" s="1"/>
  <c r="S333" i="5" a="1"/>
  <c r="S333" i="5" s="1"/>
  <c r="S334" i="5" a="1"/>
  <c r="S334" i="5" s="1"/>
  <c r="S335" i="5" a="1"/>
  <c r="S335" i="5" s="1"/>
  <c r="S336" i="5" a="1"/>
  <c r="S336" i="5" s="1"/>
  <c r="S337" i="5" a="1"/>
  <c r="S337" i="5" s="1"/>
  <c r="S338" i="5" a="1"/>
  <c r="S338" i="5" s="1"/>
  <c r="S339" i="5" a="1"/>
  <c r="S339" i="5" s="1"/>
  <c r="S340" i="5" a="1"/>
  <c r="S340" i="5" s="1"/>
  <c r="S341" i="5" a="1"/>
  <c r="S341" i="5" s="1"/>
  <c r="S342" i="5" a="1"/>
  <c r="S342" i="5" s="1"/>
  <c r="S343" i="5" a="1"/>
  <c r="S343" i="5" s="1"/>
  <c r="S344" i="5" a="1"/>
  <c r="S344" i="5" s="1"/>
  <c r="S345" i="5" a="1"/>
  <c r="S345" i="5" s="1"/>
  <c r="S346" i="5" a="1"/>
  <c r="S346" i="5" s="1"/>
  <c r="S347" i="5" a="1"/>
  <c r="S347" i="5" s="1"/>
  <c r="S348" i="5" a="1"/>
  <c r="S348" i="5" s="1"/>
  <c r="S349" i="5" a="1"/>
  <c r="S349" i="5" s="1"/>
  <c r="S350" i="5" a="1"/>
  <c r="S350" i="5" s="1"/>
  <c r="S351" i="5" a="1"/>
  <c r="S351" i="5" s="1"/>
  <c r="S352" i="5" a="1"/>
  <c r="S352" i="5" s="1"/>
  <c r="S353" i="5" a="1"/>
  <c r="S353" i="5" s="1"/>
  <c r="S354" i="5" a="1"/>
  <c r="S354" i="5" s="1"/>
  <c r="S355" i="5" a="1"/>
  <c r="S355" i="5" s="1"/>
  <c r="S356" i="5" a="1"/>
  <c r="S356" i="5" s="1"/>
  <c r="S357" i="5" a="1"/>
  <c r="S357" i="5" s="1"/>
  <c r="S358" i="5" a="1"/>
  <c r="S358" i="5" s="1"/>
  <c r="S359" i="5" a="1"/>
  <c r="S359" i="5" s="1"/>
  <c r="S360" i="5" a="1"/>
  <c r="S360" i="5" s="1"/>
  <c r="S361" i="5" a="1"/>
  <c r="S361" i="5" s="1"/>
  <c r="S362" i="5" a="1"/>
  <c r="S362" i="5" s="1"/>
  <c r="S363" i="5" a="1"/>
  <c r="S363" i="5" s="1"/>
  <c r="S364" i="5" a="1"/>
  <c r="S364" i="5"/>
  <c r="S365" i="5" a="1"/>
  <c r="S365" i="5" s="1"/>
  <c r="S366" i="5" a="1"/>
  <c r="S366" i="5" s="1"/>
  <c r="S367" i="5" a="1"/>
  <c r="S367" i="5" s="1"/>
  <c r="S368" i="5" a="1"/>
  <c r="S368" i="5" s="1"/>
  <c r="S369" i="5" a="1"/>
  <c r="S369" i="5" s="1"/>
  <c r="S370" i="5" a="1"/>
  <c r="S370" i="5" s="1"/>
  <c r="S371" i="5" a="1"/>
  <c r="S371" i="5" s="1"/>
  <c r="S372" i="5" a="1"/>
  <c r="S372" i="5" s="1"/>
  <c r="S373" i="5" a="1"/>
  <c r="S373" i="5" s="1"/>
  <c r="S374" i="5" a="1"/>
  <c r="S374" i="5"/>
  <c r="S375" i="5" a="1"/>
  <c r="S375" i="5" s="1"/>
  <c r="S376" i="5" a="1"/>
  <c r="S376" i="5" s="1"/>
  <c r="S377" i="5" a="1"/>
  <c r="S377" i="5" s="1"/>
  <c r="S378" i="5" a="1"/>
  <c r="S378" i="5" s="1"/>
  <c r="S379" i="5" a="1"/>
  <c r="S379" i="5" s="1"/>
  <c r="S380" i="5" a="1"/>
  <c r="S380" i="5" s="1"/>
  <c r="S381" i="5" a="1"/>
  <c r="S381" i="5" s="1"/>
  <c r="S382" i="5" a="1"/>
  <c r="S382" i="5" s="1"/>
  <c r="S383" i="5" a="1"/>
  <c r="S383" i="5" s="1"/>
  <c r="S384" i="5" a="1"/>
  <c r="S384" i="5" s="1"/>
  <c r="S385" i="5" a="1"/>
  <c r="S385" i="5" s="1"/>
  <c r="S386" i="5" a="1"/>
  <c r="S386" i="5" s="1"/>
  <c r="S387" i="5" a="1"/>
  <c r="S387" i="5" s="1"/>
  <c r="S388" i="5" a="1"/>
  <c r="S388" i="5" s="1"/>
  <c r="S389" i="5" a="1"/>
  <c r="S389" i="5" s="1"/>
  <c r="S390" i="5" a="1"/>
  <c r="S390" i="5" s="1"/>
  <c r="S391" i="5" a="1"/>
  <c r="S391" i="5" s="1"/>
  <c r="S392" i="5" a="1"/>
  <c r="S392" i="5" s="1"/>
  <c r="S393" i="5" a="1"/>
  <c r="S393" i="5" s="1"/>
  <c r="S394" i="5" a="1"/>
  <c r="S394" i="5" s="1"/>
  <c r="S395" i="5" a="1"/>
  <c r="S395" i="5" s="1"/>
  <c r="S396" i="5" a="1"/>
  <c r="S396" i="5" s="1"/>
  <c r="S397" i="5" a="1"/>
  <c r="S397" i="5" s="1"/>
  <c r="S398" i="5" a="1"/>
  <c r="S398" i="5" s="1"/>
  <c r="S399" i="5" a="1"/>
  <c r="S399" i="5" s="1"/>
  <c r="S400" i="5" a="1"/>
  <c r="S400" i="5" s="1"/>
  <c r="S401" i="5" a="1"/>
  <c r="S401" i="5" s="1"/>
  <c r="S402" i="5" a="1"/>
  <c r="S402" i="5" s="1"/>
  <c r="S403" i="5" a="1"/>
  <c r="S403" i="5" s="1"/>
  <c r="S404" i="5" a="1"/>
  <c r="S404" i="5" s="1"/>
  <c r="S405" i="5" a="1"/>
  <c r="S405" i="5" s="1"/>
  <c r="S406" i="5" a="1"/>
  <c r="S406" i="5" s="1"/>
  <c r="S407" i="5" a="1"/>
  <c r="S407" i="5" s="1"/>
  <c r="S408" i="5" a="1"/>
  <c r="S408" i="5" s="1"/>
  <c r="S409" i="5" a="1"/>
  <c r="S409" i="5" s="1"/>
  <c r="S410" i="5" a="1"/>
  <c r="S410" i="5" s="1"/>
  <c r="S411" i="5" a="1"/>
  <c r="S411" i="5" s="1"/>
  <c r="S412" i="5" a="1"/>
  <c r="S412" i="5" s="1"/>
  <c r="S413" i="5" a="1"/>
  <c r="S413" i="5" s="1"/>
  <c r="S414" i="5" a="1"/>
  <c r="S414" i="5"/>
  <c r="S415" i="5" a="1"/>
  <c r="S415" i="5" s="1"/>
  <c r="S416" i="5" a="1"/>
  <c r="S416" i="5" s="1"/>
  <c r="S417" i="5" a="1"/>
  <c r="S417" i="5" s="1"/>
  <c r="S418" i="5" a="1"/>
  <c r="S418" i="5" s="1"/>
  <c r="S419" i="5" a="1"/>
  <c r="S419" i="5" s="1"/>
  <c r="S420" i="5" a="1"/>
  <c r="S420" i="5" s="1"/>
  <c r="S421" i="5" a="1"/>
  <c r="S421" i="5" s="1"/>
  <c r="S422" i="5" a="1"/>
  <c r="S422" i="5" s="1"/>
  <c r="S423" i="5" a="1"/>
  <c r="S423" i="5" s="1"/>
  <c r="S424" i="5" a="1"/>
  <c r="S424" i="5" s="1"/>
  <c r="S425" i="5" a="1"/>
  <c r="S425" i="5" s="1"/>
  <c r="S426" i="5" a="1"/>
  <c r="S426" i="5" s="1"/>
  <c r="S427" i="5" a="1"/>
  <c r="S427" i="5" s="1"/>
  <c r="S428" i="5" a="1"/>
  <c r="S428" i="5"/>
  <c r="S429" i="5" a="1"/>
  <c r="S429" i="5" s="1"/>
  <c r="S430" i="5" a="1"/>
  <c r="S430" i="5" s="1"/>
  <c r="S431" i="5" a="1"/>
  <c r="S431" i="5" s="1"/>
  <c r="S432" i="5" a="1"/>
  <c r="S432" i="5" s="1"/>
  <c r="S433" i="5" a="1"/>
  <c r="S433" i="5" s="1"/>
  <c r="S434" i="5" a="1"/>
  <c r="S434" i="5" s="1"/>
  <c r="S435" i="5" a="1"/>
  <c r="S435" i="5" s="1"/>
  <c r="S436" i="5" a="1"/>
  <c r="S436" i="5" s="1"/>
  <c r="S437" i="5" a="1"/>
  <c r="S437" i="5" s="1"/>
  <c r="S438" i="5" a="1"/>
  <c r="S438" i="5"/>
  <c r="S439" i="5" a="1"/>
  <c r="S439" i="5" s="1"/>
  <c r="S440" i="5" a="1"/>
  <c r="S440" i="5" s="1"/>
  <c r="S441" i="5" a="1"/>
  <c r="S441" i="5" s="1"/>
  <c r="S442" i="5" a="1"/>
  <c r="S442" i="5" s="1"/>
  <c r="S443" i="5" a="1"/>
  <c r="S443" i="5" s="1"/>
  <c r="S444" i="5" a="1"/>
  <c r="S444" i="5" s="1"/>
  <c r="S445" i="5" a="1"/>
  <c r="S445" i="5" s="1"/>
  <c r="S446" i="5" a="1"/>
  <c r="S446" i="5" s="1"/>
  <c r="S447" i="5" a="1"/>
  <c r="S447" i="5" s="1"/>
  <c r="S448" i="5" a="1"/>
  <c r="S448" i="5" s="1"/>
  <c r="S449" i="5" a="1"/>
  <c r="S449" i="5" s="1"/>
  <c r="S450" i="5" a="1"/>
  <c r="S450" i="5" s="1"/>
  <c r="S451" i="5" a="1"/>
  <c r="S451" i="5" s="1"/>
  <c r="S452" i="5" a="1"/>
  <c r="S452" i="5" s="1"/>
  <c r="S453" i="5" a="1"/>
  <c r="S453" i="5" s="1"/>
  <c r="S454" i="5" a="1"/>
  <c r="S454" i="5" s="1"/>
  <c r="S455" i="5" a="1"/>
  <c r="S455" i="5" s="1"/>
  <c r="S456" i="5" a="1"/>
  <c r="S456" i="5" s="1"/>
  <c r="S457" i="5" a="1"/>
  <c r="S457" i="5" s="1"/>
  <c r="S458" i="5" a="1"/>
  <c r="S458" i="5" s="1"/>
  <c r="S459" i="5" a="1"/>
  <c r="S459" i="5" s="1"/>
  <c r="S460" i="5" a="1"/>
  <c r="S460" i="5" s="1"/>
  <c r="S461" i="5" a="1"/>
  <c r="S461" i="5" s="1"/>
  <c r="S462" i="5" a="1"/>
  <c r="S462" i="5" s="1"/>
  <c r="S463" i="5" a="1"/>
  <c r="S463" i="5" s="1"/>
  <c r="S464" i="5" a="1"/>
  <c r="S464" i="5" s="1"/>
  <c r="S465" i="5" a="1"/>
  <c r="S465" i="5" s="1"/>
  <c r="S466" i="5" a="1"/>
  <c r="S466" i="5" s="1"/>
  <c r="S467" i="5" a="1"/>
  <c r="S467" i="5" s="1"/>
  <c r="S468" i="5" a="1"/>
  <c r="S468" i="5" s="1"/>
  <c r="S469" i="5" a="1"/>
  <c r="S469" i="5" s="1"/>
  <c r="S470" i="5" a="1"/>
  <c r="S470" i="5"/>
  <c r="S471" i="5" a="1"/>
  <c r="S471" i="5" s="1"/>
  <c r="S472" i="5" a="1"/>
  <c r="S472" i="5" s="1"/>
  <c r="S473" i="5" a="1"/>
  <c r="S473" i="5" s="1"/>
  <c r="S474" i="5" a="1"/>
  <c r="S474" i="5" s="1"/>
  <c r="S475" i="5" a="1"/>
  <c r="S475" i="5" s="1"/>
  <c r="S476" i="5" a="1"/>
  <c r="S476" i="5" s="1"/>
  <c r="S477" i="5" a="1"/>
  <c r="S477" i="5" s="1"/>
  <c r="S478" i="5" a="1"/>
  <c r="S478" i="5"/>
  <c r="S479" i="5" a="1"/>
  <c r="S479" i="5" s="1"/>
  <c r="S480" i="5" a="1"/>
  <c r="S480" i="5" s="1"/>
  <c r="S481" i="5" a="1"/>
  <c r="S481" i="5" s="1"/>
  <c r="S482" i="5" a="1"/>
  <c r="S482" i="5" s="1"/>
  <c r="S483" i="5" a="1"/>
  <c r="S483" i="5" s="1"/>
  <c r="S484" i="5" a="1"/>
  <c r="S484" i="5" s="1"/>
  <c r="S485" i="5" a="1"/>
  <c r="S485" i="5" s="1"/>
  <c r="S486" i="5" a="1"/>
  <c r="S486" i="5" s="1"/>
  <c r="S487" i="5" a="1"/>
  <c r="S487" i="5" s="1"/>
  <c r="S488" i="5" a="1"/>
  <c r="S488" i="5"/>
  <c r="S489" i="5" a="1"/>
  <c r="S489" i="5" s="1"/>
  <c r="S490" i="5" a="1"/>
  <c r="S490" i="5" s="1"/>
  <c r="S491" i="5" a="1"/>
  <c r="S491" i="5" s="1"/>
  <c r="S492" i="5" a="1"/>
  <c r="S492" i="5" s="1"/>
  <c r="S493" i="5" a="1"/>
  <c r="S493" i="5" s="1"/>
  <c r="S494" i="5" a="1"/>
  <c r="S494" i="5"/>
  <c r="S495" i="5" a="1"/>
  <c r="S495" i="5" s="1"/>
  <c r="S496" i="5" a="1"/>
  <c r="S496" i="5" s="1"/>
  <c r="S497" i="5" a="1"/>
  <c r="S497" i="5" s="1"/>
  <c r="S498" i="5" a="1"/>
  <c r="S498" i="5" s="1"/>
  <c r="S499" i="5" a="1"/>
  <c r="S499" i="5" s="1"/>
  <c r="S500" i="5" a="1"/>
  <c r="S500" i="5" s="1"/>
  <c r="S501" i="5" a="1"/>
  <c r="S501" i="5" s="1"/>
  <c r="S502" i="5" a="1"/>
  <c r="S502" i="5" s="1"/>
  <c r="S503" i="5" a="1"/>
  <c r="S503" i="5" s="1"/>
  <c r="S504" i="5" a="1"/>
  <c r="S504" i="5" s="1"/>
  <c r="S505" i="5" a="1"/>
  <c r="S505" i="5" s="1"/>
  <c r="S506" i="5" a="1"/>
  <c r="S506" i="5" s="1"/>
  <c r="S507" i="5" a="1"/>
  <c r="S507" i="5" s="1"/>
  <c r="S508" i="5" a="1"/>
  <c r="S508" i="5"/>
  <c r="S509" i="5" a="1"/>
  <c r="S509" i="5" s="1"/>
  <c r="S510" i="5" a="1"/>
  <c r="S510" i="5" s="1"/>
  <c r="S511" i="5" a="1"/>
  <c r="S511" i="5" s="1"/>
  <c r="S512" i="5" a="1"/>
  <c r="S512" i="5" s="1"/>
  <c r="S513" i="5" a="1"/>
  <c r="S513" i="5" s="1"/>
  <c r="S514" i="5" a="1"/>
  <c r="S514" i="5" s="1"/>
  <c r="S515" i="5" a="1"/>
  <c r="S515" i="5" s="1"/>
  <c r="S516" i="5" a="1"/>
  <c r="S516" i="5" s="1"/>
  <c r="S517" i="5" a="1"/>
  <c r="S517" i="5" s="1"/>
  <c r="S518" i="5" a="1"/>
  <c r="S518" i="5" s="1"/>
  <c r="S519" i="5" a="1"/>
  <c r="S519" i="5" s="1"/>
  <c r="S520" i="5" a="1"/>
  <c r="S520" i="5" s="1"/>
  <c r="S521" i="5" a="1"/>
  <c r="S521" i="5" s="1"/>
  <c r="S522" i="5" a="1"/>
  <c r="S522" i="5" s="1"/>
  <c r="S523" i="5" a="1"/>
  <c r="S523" i="5" s="1"/>
  <c r="S524" i="5" a="1"/>
  <c r="S524" i="5" s="1"/>
  <c r="S525" i="5" a="1"/>
  <c r="S525" i="5" s="1"/>
  <c r="S526" i="5" a="1"/>
  <c r="S526" i="5" s="1"/>
  <c r="S527" i="5" a="1"/>
  <c r="S527" i="5" s="1"/>
  <c r="S528" i="5" a="1"/>
  <c r="S528" i="5" s="1"/>
  <c r="S529" i="5" a="1"/>
  <c r="S529" i="5" s="1"/>
  <c r="S530" i="5" a="1"/>
  <c r="S530" i="5" s="1"/>
  <c r="S531" i="5" a="1"/>
  <c r="S531" i="5" s="1"/>
  <c r="S532" i="5" a="1"/>
  <c r="S532" i="5" s="1"/>
  <c r="S533" i="5" a="1"/>
  <c r="S533" i="5" s="1"/>
  <c r="S534" i="5" a="1"/>
  <c r="S534" i="5" s="1"/>
  <c r="S535" i="5" a="1"/>
  <c r="S535" i="5" s="1"/>
  <c r="S536" i="5" a="1"/>
  <c r="S536" i="5" s="1"/>
  <c r="S537" i="5" a="1"/>
  <c r="S537" i="5" s="1"/>
  <c r="S538" i="5" a="1"/>
  <c r="S538" i="5" s="1"/>
  <c r="S539" i="5" a="1"/>
  <c r="S539" i="5" s="1"/>
  <c r="S540" i="5" a="1"/>
  <c r="S540" i="5" s="1"/>
  <c r="S541" i="5" a="1"/>
  <c r="S541" i="5" s="1"/>
  <c r="S542" i="5" a="1"/>
  <c r="S542" i="5" s="1"/>
  <c r="S543" i="5" a="1"/>
  <c r="S543" i="5" s="1"/>
  <c r="S544" i="5" a="1"/>
  <c r="S544" i="5" s="1"/>
  <c r="S545" i="5" a="1"/>
  <c r="S545" i="5" s="1"/>
  <c r="S546" i="5" a="1"/>
  <c r="S546" i="5" s="1"/>
  <c r="S547" i="5" a="1"/>
  <c r="S547" i="5" s="1"/>
  <c r="S548" i="5" a="1"/>
  <c r="S548" i="5" s="1"/>
  <c r="S549" i="5" a="1"/>
  <c r="S549" i="5" s="1"/>
  <c r="S550" i="5" a="1"/>
  <c r="S550" i="5" s="1"/>
  <c r="S551" i="5" a="1"/>
  <c r="S551" i="5" s="1"/>
  <c r="S552" i="5" a="1"/>
  <c r="S552" i="5" s="1"/>
  <c r="S553" i="5" a="1"/>
  <c r="S553" i="5" s="1"/>
  <c r="S554" i="5" a="1"/>
  <c r="S554" i="5" s="1"/>
  <c r="S555" i="5" a="1"/>
  <c r="S555" i="5" s="1"/>
  <c r="S556" i="5" a="1"/>
  <c r="S556" i="5" s="1"/>
  <c r="S557" i="5" a="1"/>
  <c r="S557" i="5" s="1"/>
  <c r="S558" i="5" a="1"/>
  <c r="S558" i="5" s="1"/>
  <c r="S559" i="5" a="1"/>
  <c r="S559" i="5" s="1"/>
  <c r="S560" i="5" a="1"/>
  <c r="S560" i="5" s="1"/>
  <c r="S561" i="5" a="1"/>
  <c r="S561" i="5" s="1"/>
  <c r="S562" i="5" a="1"/>
  <c r="S562" i="5" s="1"/>
  <c r="S563" i="5" a="1"/>
  <c r="S563" i="5" s="1"/>
  <c r="S564" i="5" a="1"/>
  <c r="S564" i="5" s="1"/>
  <c r="S565" i="5" a="1"/>
  <c r="S565" i="5" s="1"/>
  <c r="S566" i="5" a="1"/>
  <c r="S566" i="5" s="1"/>
  <c r="S567" i="5" a="1"/>
  <c r="S567" i="5" s="1"/>
  <c r="S568" i="5" a="1"/>
  <c r="S568" i="5" s="1"/>
  <c r="S569" i="5" a="1"/>
  <c r="S569" i="5" s="1"/>
  <c r="S570" i="5" a="1"/>
  <c r="S570" i="5" s="1"/>
  <c r="S571" i="5" a="1"/>
  <c r="S571" i="5" s="1"/>
  <c r="S572" i="5" a="1"/>
  <c r="S572" i="5" s="1"/>
  <c r="S573" i="5" a="1"/>
  <c r="S573" i="5" s="1"/>
  <c r="S574" i="5" a="1"/>
  <c r="S574" i="5" s="1"/>
  <c r="S575" i="5" a="1"/>
  <c r="S575" i="5" s="1"/>
  <c r="S576" i="5" a="1"/>
  <c r="S576" i="5" s="1"/>
  <c r="S577" i="5" a="1"/>
  <c r="S577" i="5" s="1"/>
  <c r="S578" i="5" a="1"/>
  <c r="S578" i="5" s="1"/>
  <c r="S579" i="5" a="1"/>
  <c r="S579" i="5" s="1"/>
  <c r="S580" i="5" a="1"/>
  <c r="S580" i="5" s="1"/>
  <c r="S581" i="5" a="1"/>
  <c r="S581" i="5" s="1"/>
  <c r="S582" i="5" a="1"/>
  <c r="S582" i="5" s="1"/>
  <c r="S583" i="5" a="1"/>
  <c r="S583" i="5" s="1"/>
  <c r="S584" i="5" a="1"/>
  <c r="S584" i="5" s="1"/>
  <c r="S585" i="5" a="1"/>
  <c r="S585" i="5" s="1"/>
  <c r="S586" i="5" a="1"/>
  <c r="S586" i="5" s="1"/>
  <c r="S587" i="5" a="1"/>
  <c r="S587" i="5" s="1"/>
  <c r="S588" i="5" a="1"/>
  <c r="S588" i="5" s="1"/>
  <c r="S589" i="5" a="1"/>
  <c r="S589" i="5" s="1"/>
  <c r="S590" i="5" a="1"/>
  <c r="S590" i="5" s="1"/>
  <c r="S591" i="5" a="1"/>
  <c r="S591" i="5" s="1"/>
  <c r="S592" i="5" a="1"/>
  <c r="S592" i="5" s="1"/>
  <c r="S593" i="5" a="1"/>
  <c r="S593" i="5" s="1"/>
  <c r="S594" i="5" a="1"/>
  <c r="S594" i="5" s="1"/>
  <c r="S595" i="5" a="1"/>
  <c r="S595" i="5" s="1"/>
  <c r="S596" i="5" a="1"/>
  <c r="S596" i="5" s="1"/>
  <c r="S597" i="5" a="1"/>
  <c r="S597" i="5" s="1"/>
  <c r="S598" i="5" a="1"/>
  <c r="S598" i="5" s="1"/>
  <c r="S599" i="5" a="1"/>
  <c r="S599" i="5" s="1"/>
  <c r="S600" i="5" a="1"/>
  <c r="S600" i="5" s="1"/>
  <c r="S601" i="5" a="1"/>
  <c r="S601" i="5" s="1"/>
  <c r="S602" i="5" a="1"/>
  <c r="S602" i="5" s="1"/>
  <c r="S603" i="5" a="1"/>
  <c r="S603" i="5" s="1"/>
  <c r="S604" i="5" a="1"/>
  <c r="S604" i="5" s="1"/>
  <c r="S605" i="5" a="1"/>
  <c r="S605" i="5" s="1"/>
  <c r="S606" i="5" a="1"/>
  <c r="S606" i="5"/>
  <c r="S607" i="5" a="1"/>
  <c r="S607" i="5" s="1"/>
  <c r="S608" i="5" a="1"/>
  <c r="S608" i="5" s="1"/>
  <c r="S609" i="5" a="1"/>
  <c r="S609" i="5"/>
  <c r="S610" i="5" a="1"/>
  <c r="S610" i="5" s="1"/>
  <c r="S611" i="5" a="1"/>
  <c r="S611" i="5" s="1"/>
  <c r="S612" i="5" a="1"/>
  <c r="S612" i="5" s="1"/>
  <c r="S613" i="5" a="1"/>
  <c r="S613" i="5" s="1"/>
  <c r="S614" i="5" a="1"/>
  <c r="S614" i="5" s="1"/>
  <c r="S615" i="5" a="1"/>
  <c r="S615" i="5" s="1"/>
  <c r="S616" i="5" a="1"/>
  <c r="S616" i="5" s="1"/>
  <c r="S617" i="5" a="1"/>
  <c r="S617" i="5" s="1"/>
  <c r="S618" i="5" a="1"/>
  <c r="S618" i="5" s="1"/>
  <c r="S619" i="5" a="1"/>
  <c r="S619" i="5" s="1"/>
  <c r="S620" i="5" a="1"/>
  <c r="S620" i="5" s="1"/>
  <c r="S621" i="5" a="1"/>
  <c r="S621" i="5" s="1"/>
  <c r="S622" i="5" a="1"/>
  <c r="S622" i="5" s="1"/>
  <c r="S623" i="5" a="1"/>
  <c r="S623" i="5" s="1"/>
  <c r="S624" i="5" a="1"/>
  <c r="S624" i="5" s="1"/>
  <c r="S625" i="5" a="1"/>
  <c r="S625" i="5"/>
  <c r="S626" i="5" a="1"/>
  <c r="S626" i="5" s="1"/>
  <c r="S627" i="5" a="1"/>
  <c r="S627" i="5" s="1"/>
  <c r="S628" i="5" a="1"/>
  <c r="S628" i="5" s="1"/>
  <c r="S629" i="5" a="1"/>
  <c r="S629" i="5" s="1"/>
  <c r="S630" i="5" a="1"/>
  <c r="S630" i="5" s="1"/>
  <c r="S631" i="5" a="1"/>
  <c r="S631" i="5" s="1"/>
  <c r="S632" i="5" a="1"/>
  <c r="S632" i="5" s="1"/>
  <c r="S633" i="5" a="1"/>
  <c r="S633" i="5" s="1"/>
  <c r="S634" i="5" a="1"/>
  <c r="S634" i="5" s="1"/>
  <c r="S635" i="5" a="1"/>
  <c r="S635" i="5" s="1"/>
  <c r="S636" i="5" a="1"/>
  <c r="S636" i="5" s="1"/>
  <c r="S637" i="5" a="1"/>
  <c r="S637" i="5" s="1"/>
  <c r="S638" i="5" a="1"/>
  <c r="S638" i="5" s="1"/>
  <c r="S639" i="5" a="1"/>
  <c r="S639" i="5" s="1"/>
  <c r="S640" i="5" a="1"/>
  <c r="S640" i="5" s="1"/>
  <c r="S641" i="5" a="1"/>
  <c r="S641" i="5" s="1"/>
  <c r="S642" i="5" a="1"/>
  <c r="S642" i="5" s="1"/>
  <c r="S643" i="5" a="1"/>
  <c r="S643" i="5" s="1"/>
  <c r="S644" i="5" a="1"/>
  <c r="S644" i="5" s="1"/>
  <c r="S645" i="5" a="1"/>
  <c r="S645" i="5"/>
  <c r="S646" i="5" a="1"/>
  <c r="S646" i="5" s="1"/>
  <c r="S647" i="5" a="1"/>
  <c r="S647" i="5" s="1"/>
  <c r="S648" i="5" a="1"/>
  <c r="S648" i="5" s="1"/>
  <c r="S649" i="5" a="1"/>
  <c r="S649" i="5" s="1"/>
  <c r="S650" i="5" a="1"/>
  <c r="S650" i="5" s="1"/>
  <c r="S651" i="5" a="1"/>
  <c r="S651" i="5" s="1"/>
  <c r="S652" i="5" a="1"/>
  <c r="S652" i="5" s="1"/>
  <c r="S653" i="5" a="1"/>
  <c r="S653" i="5" s="1"/>
  <c r="S654" i="5" a="1"/>
  <c r="S654" i="5" s="1"/>
  <c r="S655" i="5" a="1"/>
  <c r="S655" i="5" s="1"/>
  <c r="S656" i="5" a="1"/>
  <c r="S656" i="5" s="1"/>
  <c r="S657" i="5" a="1"/>
  <c r="S657" i="5" s="1"/>
  <c r="S658" i="5" a="1"/>
  <c r="S658" i="5" s="1"/>
  <c r="S659" i="5" a="1"/>
  <c r="S659" i="5" s="1"/>
  <c r="S660" i="5" a="1"/>
  <c r="S660" i="5" s="1"/>
  <c r="S661" i="5" a="1"/>
  <c r="S661" i="5" s="1"/>
  <c r="S662" i="5" a="1"/>
  <c r="S662" i="5" s="1"/>
  <c r="S663" i="5" a="1"/>
  <c r="S663" i="5" s="1"/>
  <c r="S664" i="5" a="1"/>
  <c r="S664" i="5" s="1"/>
  <c r="S665" i="5" a="1"/>
  <c r="S665" i="5" s="1"/>
  <c r="S666" i="5" a="1"/>
  <c r="S666" i="5" s="1"/>
  <c r="S667" i="5" a="1"/>
  <c r="S667" i="5" s="1"/>
  <c r="S668" i="5" a="1"/>
  <c r="S668" i="5" s="1"/>
  <c r="S669" i="5" a="1"/>
  <c r="S669" i="5" s="1"/>
  <c r="S670" i="5" a="1"/>
  <c r="S670" i="5" s="1"/>
  <c r="S671" i="5" a="1"/>
  <c r="S671" i="5" s="1"/>
  <c r="S672" i="5" a="1"/>
  <c r="S672" i="5" s="1"/>
  <c r="S673" i="5" a="1"/>
  <c r="S673" i="5" s="1"/>
  <c r="S674" i="5" a="1"/>
  <c r="S674" i="5" s="1"/>
  <c r="S675" i="5" a="1"/>
  <c r="S675" i="5" s="1"/>
  <c r="S676" i="5" a="1"/>
  <c r="S676" i="5" s="1"/>
  <c r="S677" i="5" a="1"/>
  <c r="S677" i="5" s="1"/>
  <c r="S678" i="5" a="1"/>
  <c r="S678" i="5" s="1"/>
  <c r="S679" i="5" a="1"/>
  <c r="S679" i="5" s="1"/>
  <c r="S680" i="5" a="1"/>
  <c r="S680" i="5" s="1"/>
  <c r="S681" i="5" a="1"/>
  <c r="S681" i="5" s="1"/>
  <c r="S682" i="5" a="1"/>
  <c r="S682" i="5" s="1"/>
  <c r="S683" i="5" a="1"/>
  <c r="S683" i="5" s="1"/>
  <c r="S684" i="5" a="1"/>
  <c r="S684" i="5" s="1"/>
  <c r="S685" i="5" a="1"/>
  <c r="S685" i="5" s="1"/>
  <c r="S686" i="5" a="1"/>
  <c r="S686" i="5" s="1"/>
  <c r="S687" i="5" a="1"/>
  <c r="S687" i="5" s="1"/>
  <c r="S688" i="5" a="1"/>
  <c r="S688" i="5" s="1"/>
  <c r="S689" i="5" a="1"/>
  <c r="S689" i="5" s="1"/>
  <c r="S690" i="5" a="1"/>
  <c r="S690" i="5" s="1"/>
  <c r="S691" i="5" a="1"/>
  <c r="S691" i="5" s="1"/>
  <c r="S692" i="5" a="1"/>
  <c r="S692" i="5" s="1"/>
  <c r="S693" i="5" a="1"/>
  <c r="S693" i="5" s="1"/>
  <c r="S694" i="5" a="1"/>
  <c r="S694" i="5" s="1"/>
  <c r="S695" i="5" a="1"/>
  <c r="S695" i="5" s="1"/>
  <c r="S696" i="5" a="1"/>
  <c r="S696" i="5" s="1"/>
  <c r="S697" i="5" a="1"/>
  <c r="S697" i="5" s="1"/>
  <c r="S698" i="5" a="1"/>
  <c r="S698" i="5" s="1"/>
  <c r="S699" i="5" a="1"/>
  <c r="S699" i="5" s="1"/>
  <c r="S700" i="5" a="1"/>
  <c r="S700" i="5" s="1"/>
  <c r="S701" i="5" a="1"/>
  <c r="S701" i="5" s="1"/>
  <c r="S702" i="5" a="1"/>
  <c r="S702" i="5" s="1"/>
  <c r="S703" i="5" a="1"/>
  <c r="S703" i="5" s="1"/>
  <c r="S704" i="5" a="1"/>
  <c r="S704" i="5" s="1"/>
  <c r="S705" i="5" a="1"/>
  <c r="S705" i="5" s="1"/>
  <c r="S706" i="5" a="1"/>
  <c r="S706" i="5" s="1"/>
  <c r="S707" i="5" a="1"/>
  <c r="S707" i="5"/>
  <c r="S708" i="5" a="1"/>
  <c r="S708" i="5" s="1"/>
  <c r="S709" i="5" a="1"/>
  <c r="S709" i="5" s="1"/>
  <c r="S710" i="5" a="1"/>
  <c r="S710" i="5" s="1"/>
  <c r="S711" i="5" a="1"/>
  <c r="S711" i="5" s="1"/>
  <c r="S712" i="5" a="1"/>
  <c r="S712" i="5" s="1"/>
  <c r="S713" i="5" a="1"/>
  <c r="S713" i="5" s="1"/>
  <c r="S714" i="5" a="1"/>
  <c r="S714" i="5" s="1"/>
  <c r="S715" i="5" a="1"/>
  <c r="S715" i="5" s="1"/>
  <c r="S716" i="5" a="1"/>
  <c r="S716" i="5" s="1"/>
  <c r="S717" i="5" a="1"/>
  <c r="S717" i="5" s="1"/>
  <c r="S718" i="5" a="1"/>
  <c r="S718" i="5" s="1"/>
  <c r="S719" i="5" a="1"/>
  <c r="S719" i="5" s="1"/>
  <c r="S720" i="5" a="1"/>
  <c r="S720" i="5" s="1"/>
  <c r="S721" i="5" a="1"/>
  <c r="S721" i="5" s="1"/>
  <c r="S722" i="5" a="1"/>
  <c r="S722" i="5" s="1"/>
  <c r="S723" i="5" a="1"/>
  <c r="S723" i="5"/>
  <c r="S724" i="5" a="1"/>
  <c r="S724" i="5" s="1"/>
  <c r="S725" i="5" a="1"/>
  <c r="S725" i="5" s="1"/>
  <c r="S726" i="5" a="1"/>
  <c r="S726" i="5" s="1"/>
  <c r="S727" i="5" a="1"/>
  <c r="S727" i="5" s="1"/>
  <c r="S728" i="5" a="1"/>
  <c r="S728" i="5" s="1"/>
  <c r="S729" i="5" a="1"/>
  <c r="S729" i="5" s="1"/>
  <c r="S730" i="5" a="1"/>
  <c r="S730" i="5" s="1"/>
  <c r="S731" i="5" a="1"/>
  <c r="S731" i="5" s="1"/>
  <c r="S732" i="5" a="1"/>
  <c r="S732" i="5" s="1"/>
  <c r="S733" i="5" a="1"/>
  <c r="S733" i="5" s="1"/>
  <c r="S734" i="5" a="1"/>
  <c r="S734" i="5" s="1"/>
  <c r="S735" i="5" a="1"/>
  <c r="S735" i="5" s="1"/>
  <c r="S736" i="5" a="1"/>
  <c r="S736" i="5" s="1"/>
  <c r="S737" i="5" a="1"/>
  <c r="S737" i="5" s="1"/>
  <c r="S738" i="5" a="1"/>
  <c r="S738" i="5" s="1"/>
  <c r="S739" i="5" a="1"/>
  <c r="S739" i="5"/>
  <c r="S740" i="5" a="1"/>
  <c r="S740" i="5" s="1"/>
  <c r="S741" i="5" a="1"/>
  <c r="S741" i="5" s="1"/>
  <c r="S742" i="5" a="1"/>
  <c r="S742" i="5" s="1"/>
  <c r="S743" i="5" a="1"/>
  <c r="S743" i="5" s="1"/>
  <c r="S744" i="5" a="1"/>
  <c r="S744" i="5" s="1"/>
  <c r="S745" i="5" a="1"/>
  <c r="S745" i="5" s="1"/>
  <c r="S746" i="5" a="1"/>
  <c r="S746" i="5" s="1"/>
  <c r="S747" i="5" a="1"/>
  <c r="S747" i="5" s="1"/>
  <c r="S748" i="5" a="1"/>
  <c r="S748" i="5" s="1"/>
  <c r="S749" i="5" a="1"/>
  <c r="S749" i="5" s="1"/>
  <c r="S750" i="5" a="1"/>
  <c r="S750" i="5" s="1"/>
  <c r="S751" i="5" a="1"/>
  <c r="S751" i="5" s="1"/>
  <c r="S752" i="5" a="1"/>
  <c r="S752" i="5" s="1"/>
  <c r="S753" i="5" a="1"/>
  <c r="S753" i="5" s="1"/>
  <c r="S754" i="5" a="1"/>
  <c r="S754" i="5" s="1"/>
  <c r="S755" i="5" a="1"/>
  <c r="S755" i="5" s="1"/>
  <c r="S756" i="5" a="1"/>
  <c r="S756" i="5" s="1"/>
  <c r="S757" i="5" a="1"/>
  <c r="S757" i="5" s="1"/>
  <c r="S758" i="5" a="1"/>
  <c r="S758" i="5" s="1"/>
  <c r="S759" i="5" a="1"/>
  <c r="S759" i="5" s="1"/>
  <c r="S760" i="5" a="1"/>
  <c r="S760" i="5" s="1"/>
  <c r="S761" i="5" a="1"/>
  <c r="S761" i="5" s="1"/>
  <c r="S762" i="5" a="1"/>
  <c r="S762" i="5" s="1"/>
  <c r="S763" i="5" a="1"/>
  <c r="S763" i="5" s="1"/>
  <c r="S764" i="5" a="1"/>
  <c r="S764" i="5" s="1"/>
  <c r="S765" i="5" a="1"/>
  <c r="S765" i="5" s="1"/>
  <c r="S766" i="5" a="1"/>
  <c r="S766" i="5" s="1"/>
  <c r="S767" i="5" a="1"/>
  <c r="S767" i="5" s="1"/>
  <c r="S768" i="5" a="1"/>
  <c r="S768" i="5" s="1"/>
  <c r="S769" i="5" a="1"/>
  <c r="S769" i="5" s="1"/>
  <c r="S770" i="5" a="1"/>
  <c r="S770" i="5" s="1"/>
  <c r="S771" i="5" a="1"/>
  <c r="S771" i="5" s="1"/>
  <c r="S772" i="5" a="1"/>
  <c r="S772" i="5" s="1"/>
  <c r="S773" i="5" a="1"/>
  <c r="S773" i="5" s="1"/>
  <c r="S774" i="5" a="1"/>
  <c r="S774" i="5" s="1"/>
  <c r="S775" i="5" a="1"/>
  <c r="S775" i="5" s="1"/>
  <c r="S776" i="5" a="1"/>
  <c r="S776" i="5" s="1"/>
  <c r="S777" i="5" a="1"/>
  <c r="S777" i="5" s="1"/>
  <c r="S778" i="5" a="1"/>
  <c r="S778" i="5" s="1"/>
  <c r="S779" i="5" a="1"/>
  <c r="S779" i="5" s="1"/>
  <c r="S780" i="5" a="1"/>
  <c r="S780" i="5" s="1"/>
  <c r="S781" i="5" a="1"/>
  <c r="S781" i="5" s="1"/>
  <c r="S782" i="5" a="1"/>
  <c r="S782" i="5" s="1"/>
  <c r="S783" i="5" a="1"/>
  <c r="S783" i="5" s="1"/>
  <c r="S784" i="5" a="1"/>
  <c r="S784" i="5" s="1"/>
  <c r="S785" i="5" a="1"/>
  <c r="S785" i="5" s="1"/>
  <c r="S786" i="5" a="1"/>
  <c r="S786" i="5" s="1"/>
  <c r="S787" i="5" a="1"/>
  <c r="S787" i="5"/>
  <c r="S788" i="5" a="1"/>
  <c r="S788" i="5" s="1"/>
  <c r="S789" i="5" a="1"/>
  <c r="S789" i="5" s="1"/>
  <c r="S790" i="5" a="1"/>
  <c r="S790" i="5" s="1"/>
  <c r="S791" i="5" a="1"/>
  <c r="S791" i="5" s="1"/>
  <c r="S792" i="5" a="1"/>
  <c r="S792" i="5" s="1"/>
  <c r="S793" i="5" a="1"/>
  <c r="S793" i="5" s="1"/>
  <c r="S794" i="5" a="1"/>
  <c r="S794" i="5" s="1"/>
  <c r="S795" i="5" a="1"/>
  <c r="S795" i="5" s="1"/>
  <c r="S796" i="5" a="1"/>
  <c r="S796" i="5" s="1"/>
  <c r="S797" i="5" a="1"/>
  <c r="S797" i="5" s="1"/>
  <c r="S798" i="5" a="1"/>
  <c r="S798" i="5" s="1"/>
  <c r="S799" i="5" a="1"/>
  <c r="S799" i="5" s="1"/>
  <c r="S800" i="5" a="1"/>
  <c r="S800" i="5" s="1"/>
  <c r="S801" i="5" a="1"/>
  <c r="S801" i="5" s="1"/>
  <c r="S802" i="5" a="1"/>
  <c r="S802" i="5" s="1"/>
  <c r="S803" i="5" a="1"/>
  <c r="S803" i="5"/>
  <c r="S804" i="5" a="1"/>
  <c r="S804" i="5" s="1"/>
  <c r="S805" i="5" a="1"/>
  <c r="S805" i="5" s="1"/>
  <c r="S806" i="5" a="1"/>
  <c r="S806" i="5" s="1"/>
  <c r="S807" i="5" a="1"/>
  <c r="S807" i="5" s="1"/>
  <c r="S808" i="5" a="1"/>
  <c r="S808" i="5" s="1"/>
  <c r="S809" i="5" a="1"/>
  <c r="S809" i="5" s="1"/>
  <c r="S810" i="5" a="1"/>
  <c r="S810" i="5" s="1"/>
  <c r="S811" i="5" a="1"/>
  <c r="S811" i="5" s="1"/>
  <c r="S812" i="5" a="1"/>
  <c r="S812" i="5" s="1"/>
  <c r="S813" i="5" a="1"/>
  <c r="S813" i="5" s="1"/>
  <c r="S814" i="5" a="1"/>
  <c r="S814" i="5" s="1"/>
  <c r="S815" i="5" a="1"/>
  <c r="S815" i="5" s="1"/>
  <c r="S816" i="5" a="1"/>
  <c r="S816" i="5" s="1"/>
  <c r="S817" i="5" a="1"/>
  <c r="S817" i="5" s="1"/>
  <c r="S818" i="5" a="1"/>
  <c r="S818" i="5" s="1"/>
  <c r="S819" i="5" a="1"/>
  <c r="S819" i="5"/>
  <c r="S820" i="5" a="1"/>
  <c r="S820" i="5" s="1"/>
  <c r="S821" i="5" a="1"/>
  <c r="S821" i="5" s="1"/>
  <c r="S822" i="5" a="1"/>
  <c r="S822" i="5" s="1"/>
  <c r="S823" i="5" a="1"/>
  <c r="S823" i="5" s="1"/>
  <c r="S824" i="5" a="1"/>
  <c r="S824" i="5" s="1"/>
  <c r="S825" i="5" a="1"/>
  <c r="S825" i="5" s="1"/>
  <c r="S826" i="5" a="1"/>
  <c r="S826" i="5" s="1"/>
  <c r="S827" i="5" a="1"/>
  <c r="S827" i="5" s="1"/>
  <c r="S828" i="5" a="1"/>
  <c r="S828" i="5" s="1"/>
  <c r="S829" i="5" a="1"/>
  <c r="S829" i="5" s="1"/>
  <c r="S830" i="5" a="1"/>
  <c r="S830" i="5" s="1"/>
  <c r="S831" i="5" a="1"/>
  <c r="S831" i="5" s="1"/>
  <c r="S832" i="5" a="1"/>
  <c r="S832" i="5" s="1"/>
  <c r="S833" i="5" a="1"/>
  <c r="S833" i="5" s="1"/>
  <c r="S834" i="5" a="1"/>
  <c r="S834" i="5" s="1"/>
  <c r="S835" i="5" a="1"/>
  <c r="S835" i="5" s="1"/>
  <c r="S836" i="5" a="1"/>
  <c r="S836" i="5" s="1"/>
  <c r="S837" i="5" a="1"/>
  <c r="S837" i="5" s="1"/>
  <c r="S838" i="5" a="1"/>
  <c r="S838" i="5" s="1"/>
  <c r="S839" i="5" a="1"/>
  <c r="S839" i="5" s="1"/>
  <c r="S840" i="5" a="1"/>
  <c r="S840" i="5" s="1"/>
  <c r="S841" i="5" a="1"/>
  <c r="S841" i="5" s="1"/>
  <c r="S842" i="5" a="1"/>
  <c r="S842" i="5" s="1"/>
  <c r="S843" i="5" a="1"/>
  <c r="S843" i="5" s="1"/>
  <c r="S844" i="5" a="1"/>
  <c r="S844" i="5" s="1"/>
  <c r="S845" i="5" a="1"/>
  <c r="S845" i="5" s="1"/>
  <c r="S846" i="5" a="1"/>
  <c r="S846" i="5" s="1"/>
  <c r="S847" i="5" a="1"/>
  <c r="S847" i="5" s="1"/>
  <c r="S848" i="5" a="1"/>
  <c r="S848" i="5" s="1"/>
  <c r="S849" i="5" a="1"/>
  <c r="S849" i="5" s="1"/>
  <c r="S850" i="5" a="1"/>
  <c r="S850" i="5" s="1"/>
  <c r="S851" i="5" a="1"/>
  <c r="S851" i="5"/>
  <c r="S852" i="5" a="1"/>
  <c r="S852" i="5" s="1"/>
  <c r="S853" i="5" a="1"/>
  <c r="S853" i="5" s="1"/>
  <c r="S854" i="5" a="1"/>
  <c r="S854" i="5" s="1"/>
  <c r="S855" i="5" a="1"/>
  <c r="S855" i="5" s="1"/>
  <c r="S856" i="5" a="1"/>
  <c r="S856" i="5" s="1"/>
  <c r="S857" i="5" a="1"/>
  <c r="S857" i="5" s="1"/>
  <c r="S858" i="5" a="1"/>
  <c r="S858" i="5" s="1"/>
  <c r="S859" i="5" a="1"/>
  <c r="S859" i="5" s="1"/>
  <c r="S860" i="5" a="1"/>
  <c r="S860" i="5" s="1"/>
  <c r="S861" i="5" a="1"/>
  <c r="S861" i="5" s="1"/>
  <c r="S862" i="5" a="1"/>
  <c r="S862" i="5" s="1"/>
  <c r="S863" i="5" a="1"/>
  <c r="S863" i="5" s="1"/>
  <c r="S864" i="5" a="1"/>
  <c r="S864" i="5" s="1"/>
  <c r="S865" i="5" a="1"/>
  <c r="S865" i="5" s="1"/>
  <c r="S866" i="5" a="1"/>
  <c r="S866" i="5" s="1"/>
  <c r="S867" i="5" a="1"/>
  <c r="S867" i="5"/>
  <c r="S868" i="5" a="1"/>
  <c r="S868" i="5" s="1"/>
  <c r="S869" i="5" a="1"/>
  <c r="S869" i="5" s="1"/>
  <c r="S870" i="5" a="1"/>
  <c r="S870" i="5" s="1"/>
  <c r="S871" i="5" a="1"/>
  <c r="S871" i="5" s="1"/>
  <c r="S872" i="5" a="1"/>
  <c r="S872" i="5" s="1"/>
  <c r="S873" i="5" a="1"/>
  <c r="S873" i="5" s="1"/>
  <c r="S874" i="5" a="1"/>
  <c r="S874" i="5" s="1"/>
  <c r="S875" i="5" a="1"/>
  <c r="S875" i="5" s="1"/>
  <c r="S876" i="5" a="1"/>
  <c r="S876" i="5" s="1"/>
  <c r="S877" i="5" a="1"/>
  <c r="S877" i="5" s="1"/>
  <c r="S878" i="5" a="1"/>
  <c r="S878" i="5" s="1"/>
  <c r="S879" i="5" a="1"/>
  <c r="S879" i="5" s="1"/>
  <c r="S880" i="5" a="1"/>
  <c r="S880" i="5" s="1"/>
  <c r="S881" i="5" a="1"/>
  <c r="S881" i="5" s="1"/>
  <c r="S882" i="5" a="1"/>
  <c r="S882" i="5" s="1"/>
  <c r="S883" i="5" a="1"/>
  <c r="S883" i="5" s="1"/>
  <c r="S884" i="5" a="1"/>
  <c r="S884" i="5" s="1"/>
  <c r="S885" i="5" a="1"/>
  <c r="S885" i="5" s="1"/>
  <c r="S886" i="5" a="1"/>
  <c r="S886" i="5" s="1"/>
  <c r="S887" i="5" a="1"/>
  <c r="S887" i="5" s="1"/>
  <c r="S888" i="5" a="1"/>
  <c r="S888" i="5" s="1"/>
  <c r="S889" i="5" a="1"/>
  <c r="S889" i="5" s="1"/>
  <c r="S890" i="5" a="1"/>
  <c r="S890" i="5" s="1"/>
  <c r="S891" i="5" a="1"/>
  <c r="S891" i="5" s="1"/>
  <c r="S892" i="5" a="1"/>
  <c r="S892" i="5" s="1"/>
  <c r="S893" i="5" a="1"/>
  <c r="S893" i="5" s="1"/>
  <c r="S894" i="5" a="1"/>
  <c r="S894" i="5" s="1"/>
  <c r="S895" i="5" a="1"/>
  <c r="S895" i="5" s="1"/>
  <c r="S896" i="5" a="1"/>
  <c r="S896" i="5" s="1"/>
  <c r="S897" i="5" a="1"/>
  <c r="S897" i="5" s="1"/>
  <c r="S898" i="5" a="1"/>
  <c r="S898" i="5" s="1"/>
  <c r="S899" i="5" a="1"/>
  <c r="S899" i="5" s="1"/>
  <c r="S900" i="5" a="1"/>
  <c r="S900" i="5" s="1"/>
  <c r="S901" i="5" a="1"/>
  <c r="S901" i="5" s="1"/>
  <c r="S902" i="5" a="1"/>
  <c r="S902" i="5" s="1"/>
  <c r="S903" i="5" a="1"/>
  <c r="S903" i="5" s="1"/>
  <c r="S904" i="5" a="1"/>
  <c r="S904" i="5" s="1"/>
  <c r="S905" i="5" a="1"/>
  <c r="S905" i="5" s="1"/>
  <c r="S906" i="5" a="1"/>
  <c r="S906" i="5" s="1"/>
  <c r="S907" i="5" a="1"/>
  <c r="S907" i="5" s="1"/>
  <c r="S908" i="5" a="1"/>
  <c r="S908" i="5" s="1"/>
  <c r="S909" i="5" a="1"/>
  <c r="S909" i="5" s="1"/>
  <c r="S910" i="5" a="1"/>
  <c r="S910" i="5" s="1"/>
  <c r="S911" i="5" a="1"/>
  <c r="S911" i="5" s="1"/>
  <c r="S912" i="5" a="1"/>
  <c r="S912" i="5" s="1"/>
  <c r="S913" i="5" a="1"/>
  <c r="S913" i="5" s="1"/>
  <c r="S914" i="5" a="1"/>
  <c r="S914" i="5" s="1"/>
  <c r="S915" i="5" a="1"/>
  <c r="S915" i="5"/>
  <c r="S916" i="5" a="1"/>
  <c r="S916" i="5" s="1"/>
  <c r="S917" i="5" a="1"/>
  <c r="S917" i="5" s="1"/>
  <c r="S918" i="5" a="1"/>
  <c r="S918" i="5" s="1"/>
  <c r="S919" i="5" a="1"/>
  <c r="S919" i="5" s="1"/>
  <c r="S920" i="5" a="1"/>
  <c r="S920" i="5" s="1"/>
  <c r="S921" i="5" a="1"/>
  <c r="S921" i="5" s="1"/>
  <c r="S922" i="5" a="1"/>
  <c r="S922" i="5" s="1"/>
  <c r="S923" i="5" a="1"/>
  <c r="S923" i="5" s="1"/>
  <c r="S924" i="5" a="1"/>
  <c r="S924" i="5" s="1"/>
  <c r="S925" i="5" a="1"/>
  <c r="S925" i="5" s="1"/>
  <c r="S926" i="5" a="1"/>
  <c r="S926" i="5" s="1"/>
  <c r="S927" i="5" a="1"/>
  <c r="S927" i="5" s="1"/>
  <c r="S928" i="5" a="1"/>
  <c r="S928" i="5" s="1"/>
  <c r="S929" i="5" a="1"/>
  <c r="S929" i="5" s="1"/>
  <c r="S930" i="5" a="1"/>
  <c r="S930" i="5" s="1"/>
  <c r="S931" i="5" a="1"/>
  <c r="S931" i="5" s="1"/>
  <c r="S932" i="5" a="1"/>
  <c r="S932" i="5" s="1"/>
  <c r="S933" i="5" a="1"/>
  <c r="S933" i="5" s="1"/>
  <c r="S934" i="5" a="1"/>
  <c r="S934" i="5" s="1"/>
  <c r="S935" i="5" a="1"/>
  <c r="S935" i="5" s="1"/>
  <c r="S936" i="5" a="1"/>
  <c r="S936" i="5" s="1"/>
  <c r="S937" i="5" a="1"/>
  <c r="S937" i="5" s="1"/>
  <c r="S938" i="5" a="1"/>
  <c r="S938" i="5" s="1"/>
  <c r="S939" i="5" a="1"/>
  <c r="S939" i="5" s="1"/>
  <c r="S940" i="5" a="1"/>
  <c r="S940" i="5" s="1"/>
  <c r="S941" i="5" a="1"/>
  <c r="S941" i="5" s="1"/>
  <c r="S942" i="5" a="1"/>
  <c r="S942" i="5" s="1"/>
  <c r="S943" i="5" a="1"/>
  <c r="S943" i="5" s="1"/>
  <c r="S944" i="5" a="1"/>
  <c r="S944" i="5" s="1"/>
  <c r="S945" i="5" a="1"/>
  <c r="S945" i="5" s="1"/>
  <c r="S946" i="5" a="1"/>
  <c r="S946" i="5" s="1"/>
  <c r="S947" i="5" a="1"/>
  <c r="S947" i="5"/>
  <c r="S948" i="5" a="1"/>
  <c r="S948" i="5" s="1"/>
  <c r="S949" i="5" a="1"/>
  <c r="S949" i="5" s="1"/>
  <c r="S950" i="5" a="1"/>
  <c r="S950" i="5" s="1"/>
  <c r="S951" i="5" a="1"/>
  <c r="S951" i="5" s="1"/>
  <c r="S952" i="5" a="1"/>
  <c r="S952" i="5" s="1"/>
  <c r="S953" i="5" a="1"/>
  <c r="S953" i="5" s="1"/>
  <c r="S954" i="5" a="1"/>
  <c r="S954" i="5" s="1"/>
  <c r="S955" i="5" a="1"/>
  <c r="S955" i="5" s="1"/>
  <c r="S956" i="5" a="1"/>
  <c r="S956" i="5" s="1"/>
  <c r="S957" i="5" a="1"/>
  <c r="S957" i="5" s="1"/>
  <c r="S958" i="5" a="1"/>
  <c r="S958" i="5" s="1"/>
  <c r="S959" i="5" a="1"/>
  <c r="S959" i="5" s="1"/>
  <c r="S960" i="5" a="1"/>
  <c r="S960" i="5" s="1"/>
  <c r="S961" i="5" a="1"/>
  <c r="S961" i="5" s="1"/>
  <c r="S962" i="5" a="1"/>
  <c r="S962" i="5" s="1"/>
  <c r="S963" i="5" a="1"/>
  <c r="S963" i="5" s="1"/>
  <c r="S964" i="5" a="1"/>
  <c r="S964" i="5" s="1"/>
  <c r="S965" i="5" a="1"/>
  <c r="S965" i="5" s="1"/>
  <c r="S966" i="5" a="1"/>
  <c r="S966" i="5" s="1"/>
  <c r="S967" i="5" a="1"/>
  <c r="S967" i="5" s="1"/>
  <c r="S968" i="5" a="1"/>
  <c r="S968" i="5" s="1"/>
  <c r="S969" i="5" a="1"/>
  <c r="S969" i="5" s="1"/>
  <c r="S970" i="5" a="1"/>
  <c r="S970" i="5" s="1"/>
  <c r="S971" i="5" a="1"/>
  <c r="S971" i="5" s="1"/>
  <c r="S972" i="5" a="1"/>
  <c r="S972" i="5" s="1"/>
  <c r="S973" i="5" a="1"/>
  <c r="S973" i="5" s="1"/>
  <c r="S974" i="5" a="1"/>
  <c r="S974" i="5" s="1"/>
  <c r="S975" i="5" a="1"/>
  <c r="S975" i="5" s="1"/>
  <c r="S976" i="5" a="1"/>
  <c r="S976" i="5" s="1"/>
  <c r="S977" i="5" a="1"/>
  <c r="S977" i="5" s="1"/>
  <c r="S978" i="5" a="1"/>
  <c r="S978" i="5" s="1"/>
  <c r="S979" i="5" a="1"/>
  <c r="S979" i="5" s="1"/>
  <c r="S980" i="5" a="1"/>
  <c r="S980" i="5" s="1"/>
  <c r="S981" i="5" a="1"/>
  <c r="S981" i="5" s="1"/>
  <c r="S982" i="5" a="1"/>
  <c r="S982" i="5" s="1"/>
  <c r="S983" i="5" a="1"/>
  <c r="S983" i="5" s="1"/>
  <c r="S984" i="5" a="1"/>
  <c r="S984" i="5" s="1"/>
  <c r="S985" i="5" a="1"/>
  <c r="S985" i="5" s="1"/>
  <c r="S986" i="5" a="1"/>
  <c r="S986" i="5" s="1"/>
  <c r="S987" i="5" a="1"/>
  <c r="S987" i="5" s="1"/>
  <c r="S988" i="5" a="1"/>
  <c r="S988" i="5" s="1"/>
  <c r="S989" i="5" a="1"/>
  <c r="S989" i="5" s="1"/>
  <c r="S990" i="5" a="1"/>
  <c r="S990" i="5" s="1"/>
  <c r="S991" i="5" a="1"/>
  <c r="S991" i="5" s="1"/>
  <c r="S992" i="5" a="1"/>
  <c r="S992" i="5" s="1"/>
  <c r="S993" i="5" a="1"/>
  <c r="S993" i="5" s="1"/>
  <c r="S994" i="5" a="1"/>
  <c r="S994" i="5" s="1"/>
  <c r="S995" i="5" a="1"/>
  <c r="S995" i="5"/>
  <c r="S996" i="5" a="1"/>
  <c r="S996" i="5" s="1"/>
  <c r="S997" i="5" a="1"/>
  <c r="S997" i="5" s="1"/>
  <c r="S998" i="5" a="1"/>
  <c r="S998" i="5" s="1"/>
  <c r="S999" i="5" a="1"/>
  <c r="S999" i="5" s="1"/>
  <c r="S1000" i="5" a="1"/>
  <c r="S1000" i="5" s="1"/>
  <c r="S1001" i="5" a="1"/>
  <c r="S1001" i="5" s="1"/>
  <c r="S1002" i="5" a="1"/>
  <c r="S1002" i="5" s="1"/>
  <c r="S1003" i="5" a="1"/>
  <c r="S1003" i="5" s="1"/>
  <c r="S1004" i="5" a="1"/>
  <c r="S1004" i="5" s="1"/>
  <c r="S1005" i="5" a="1"/>
  <c r="S1005" i="5" s="1"/>
  <c r="S1006" i="5" a="1"/>
  <c r="S1006" i="5" s="1"/>
  <c r="S1007" i="5" a="1"/>
  <c r="S1007" i="5" s="1"/>
  <c r="S1008" i="5" a="1"/>
  <c r="S1008" i="5" s="1"/>
  <c r="S1009" i="5" a="1"/>
  <c r="S1009" i="5" s="1"/>
  <c r="S1010" i="5" a="1"/>
  <c r="S1010" i="5" s="1"/>
  <c r="S1011" i="5" a="1"/>
  <c r="S1011" i="5"/>
  <c r="S1012" i="5" a="1"/>
  <c r="S1012" i="5" s="1"/>
  <c r="S1013" i="5" a="1"/>
  <c r="S1013" i="5" s="1"/>
  <c r="S1014" i="5" a="1"/>
  <c r="S1014" i="5" s="1"/>
  <c r="S1015" i="5" a="1"/>
  <c r="S1015" i="5" s="1"/>
  <c r="S1016" i="5" a="1"/>
  <c r="S1016" i="5" s="1"/>
  <c r="S1017" i="5" a="1"/>
  <c r="S1017" i="5" s="1"/>
  <c r="S1018" i="5" a="1"/>
  <c r="S1018" i="5" s="1"/>
  <c r="S1019" i="5" a="1"/>
  <c r="S1019" i="5" s="1"/>
  <c r="S1020" i="5" a="1"/>
  <c r="S1020" i="5" s="1"/>
  <c r="S1021" i="5" a="1"/>
  <c r="S1021" i="5" s="1"/>
  <c r="S1022" i="5" a="1"/>
  <c r="S1022" i="5" s="1"/>
  <c r="S1023" i="5" a="1"/>
  <c r="S1023" i="5" s="1"/>
  <c r="S1024" i="5" a="1"/>
  <c r="S1024" i="5" s="1"/>
  <c r="S1025" i="5" a="1"/>
  <c r="S1025" i="5" s="1"/>
  <c r="S1026" i="5" a="1"/>
  <c r="S1026" i="5" s="1"/>
  <c r="S1027" i="5" a="1"/>
  <c r="S1027" i="5" s="1"/>
  <c r="S1028" i="5" a="1"/>
  <c r="S1028" i="5" s="1"/>
  <c r="S1029" i="5" a="1"/>
  <c r="S1029" i="5" s="1"/>
  <c r="S1030" i="5" a="1"/>
  <c r="S1030" i="5" s="1"/>
  <c r="S1031" i="5" a="1"/>
  <c r="S1031" i="5" s="1"/>
  <c r="S1032" i="5" a="1"/>
  <c r="S1032" i="5" s="1"/>
  <c r="S1033" i="5" a="1"/>
  <c r="S1033" i="5" s="1"/>
  <c r="S1034" i="5" a="1"/>
  <c r="S1034" i="5" s="1"/>
  <c r="S1035" i="5" a="1"/>
  <c r="S1035" i="5" s="1"/>
  <c r="S1036" i="5" a="1"/>
  <c r="S1036" i="5" s="1"/>
  <c r="S1037" i="5" a="1"/>
  <c r="S1037" i="5" s="1"/>
  <c r="S1038" i="5" a="1"/>
  <c r="S1038" i="5" s="1"/>
  <c r="S1039" i="5" a="1"/>
  <c r="S1039" i="5" s="1"/>
  <c r="S1040" i="5" a="1"/>
  <c r="S1040" i="5" s="1"/>
  <c r="S1041" i="5" a="1"/>
  <c r="S1041" i="5" s="1"/>
  <c r="S1042" i="5" a="1"/>
  <c r="S1042" i="5" s="1"/>
  <c r="S1043" i="5" a="1"/>
  <c r="S1043" i="5" s="1"/>
  <c r="S1044" i="5" a="1"/>
  <c r="S1044" i="5" s="1"/>
  <c r="S1045" i="5" a="1"/>
  <c r="S1045" i="5" s="1"/>
  <c r="S1046" i="5" a="1"/>
  <c r="S1046" i="5" s="1"/>
  <c r="S1047" i="5" a="1"/>
  <c r="S1047" i="5" s="1"/>
  <c r="S1048" i="5" a="1"/>
  <c r="S1048" i="5" s="1"/>
  <c r="S1049" i="5" a="1"/>
  <c r="S1049" i="5" s="1"/>
  <c r="S1050" i="5" a="1"/>
  <c r="S1050" i="5" s="1"/>
  <c r="S1051" i="5" a="1"/>
  <c r="S1051" i="5"/>
  <c r="S1052" i="5" a="1"/>
  <c r="S1052" i="5" s="1"/>
  <c r="S1053" i="5" a="1"/>
  <c r="S1053" i="5" s="1"/>
  <c r="S1054" i="5" a="1"/>
  <c r="S1054" i="5" s="1"/>
  <c r="S1055" i="5" a="1"/>
  <c r="S1055" i="5" s="1"/>
  <c r="S1056" i="5" a="1"/>
  <c r="S1056" i="5" s="1"/>
  <c r="S1057" i="5" a="1"/>
  <c r="S1057" i="5" s="1"/>
  <c r="S1058" i="5" a="1"/>
  <c r="S1058" i="5" s="1"/>
  <c r="S1059" i="5" a="1"/>
  <c r="S1059" i="5" s="1"/>
  <c r="S1060" i="5" a="1"/>
  <c r="S1060" i="5" s="1"/>
  <c r="S1061" i="5" a="1"/>
  <c r="S1061" i="5"/>
  <c r="S1062" i="5" a="1"/>
  <c r="S1062" i="5" s="1"/>
  <c r="S1063" i="5" a="1"/>
  <c r="S1063" i="5" s="1"/>
  <c r="S1064" i="5" a="1"/>
  <c r="S1064" i="5" s="1"/>
  <c r="S1065" i="5" a="1"/>
  <c r="S1065" i="5" s="1"/>
  <c r="S1066" i="5" a="1"/>
  <c r="S1066" i="5" s="1"/>
  <c r="S1067" i="5" a="1"/>
  <c r="S1067" i="5" s="1"/>
  <c r="S1068" i="5" a="1"/>
  <c r="S1068" i="5" s="1"/>
  <c r="S1069" i="5" a="1"/>
  <c r="S1069" i="5" s="1"/>
  <c r="S1070" i="5" a="1"/>
  <c r="S1070" i="5" s="1"/>
  <c r="S1071" i="5" a="1"/>
  <c r="S1071" i="5" s="1"/>
  <c r="S1072" i="5" a="1"/>
  <c r="S1072" i="5" s="1"/>
  <c r="S1073" i="5" a="1"/>
  <c r="S1073" i="5" s="1"/>
  <c r="S1074" i="5" a="1"/>
  <c r="S1074" i="5" s="1"/>
  <c r="S1075" i="5" a="1"/>
  <c r="S1075" i="5" s="1"/>
  <c r="S1076" i="5" a="1"/>
  <c r="S1076" i="5" s="1"/>
  <c r="S1077" i="5" a="1"/>
  <c r="S1077" i="5" s="1"/>
  <c r="S1078" i="5" a="1"/>
  <c r="S1078" i="5" s="1"/>
  <c r="S1079" i="5" a="1"/>
  <c r="S1079" i="5" s="1"/>
  <c r="S1080" i="5" a="1"/>
  <c r="S1080" i="5" s="1"/>
  <c r="S1081" i="5" a="1"/>
  <c r="S1081" i="5" s="1"/>
  <c r="S1082" i="5" a="1"/>
  <c r="S1082" i="5" s="1"/>
  <c r="S1083" i="5" a="1"/>
  <c r="S1083" i="5" s="1"/>
  <c r="S1084" i="5" a="1"/>
  <c r="S1084" i="5" s="1"/>
  <c r="S1085" i="5" a="1"/>
  <c r="S1085" i="5" s="1"/>
  <c r="S1086" i="5" a="1"/>
  <c r="S1086" i="5" s="1"/>
  <c r="S1087" i="5" a="1"/>
  <c r="S1087" i="5" s="1"/>
  <c r="S1088" i="5" a="1"/>
  <c r="S1088" i="5" s="1"/>
  <c r="S1089" i="5" a="1"/>
  <c r="S1089" i="5" s="1"/>
  <c r="S1090" i="5" a="1"/>
  <c r="S1090" i="5" s="1"/>
  <c r="S1091" i="5" a="1"/>
  <c r="S1091" i="5" s="1"/>
  <c r="S1092" i="5" a="1"/>
  <c r="S1092" i="5" s="1"/>
  <c r="S1093" i="5" a="1"/>
  <c r="S1093" i="5" s="1"/>
  <c r="S1094" i="5" a="1"/>
  <c r="S1094" i="5" s="1"/>
  <c r="S1095" i="5" a="1"/>
  <c r="S1095" i="5" s="1"/>
  <c r="S1096" i="5" a="1"/>
  <c r="S1096" i="5" s="1"/>
  <c r="S1097" i="5" a="1"/>
  <c r="S1097" i="5" s="1"/>
  <c r="S1098" i="5" a="1"/>
  <c r="S1098" i="5" s="1"/>
  <c r="S1099" i="5" a="1"/>
  <c r="S1099" i="5" s="1"/>
  <c r="S1100" i="5" a="1"/>
  <c r="S1100" i="5" s="1"/>
  <c r="S1101" i="5" a="1"/>
  <c r="S1101" i="5" s="1"/>
  <c r="S1102" i="5" a="1"/>
  <c r="S1102" i="5" s="1"/>
  <c r="S1103" i="5" a="1"/>
  <c r="S1103" i="5" s="1"/>
  <c r="S1104" i="5" a="1"/>
  <c r="S1104" i="5" s="1"/>
  <c r="S1105" i="5" a="1"/>
  <c r="S1105" i="5" s="1"/>
  <c r="S1106" i="5" a="1"/>
  <c r="S1106" i="5" s="1"/>
  <c r="S1107" i="5" a="1"/>
  <c r="S1107" i="5" s="1"/>
  <c r="S1108" i="5" a="1"/>
  <c r="S1108" i="5" s="1"/>
  <c r="S1109" i="5" a="1"/>
  <c r="S1109" i="5" s="1"/>
  <c r="S1110" i="5" a="1"/>
  <c r="S1110" i="5" s="1"/>
  <c r="S1111" i="5" a="1"/>
  <c r="S1111" i="5" s="1"/>
  <c r="S1112" i="5" a="1"/>
  <c r="S1112" i="5" s="1"/>
  <c r="S1113" i="5" a="1"/>
  <c r="S1113" i="5" s="1"/>
  <c r="S1114" i="5" a="1"/>
  <c r="S1114" i="5" s="1"/>
  <c r="S1115" i="5" a="1"/>
  <c r="S1115" i="5" s="1"/>
  <c r="S1116" i="5" a="1"/>
  <c r="S1116" i="5" s="1"/>
  <c r="S1117" i="5" a="1"/>
  <c r="S1117" i="5" s="1"/>
  <c r="S1118" i="5" a="1"/>
  <c r="S1118" i="5" s="1"/>
  <c r="S1119" i="5" a="1"/>
  <c r="S1119" i="5" s="1"/>
  <c r="S1120" i="5" a="1"/>
  <c r="S1120" i="5" s="1"/>
  <c r="S1121" i="5" a="1"/>
  <c r="S1121" i="5" s="1"/>
  <c r="S1122" i="5" a="1"/>
  <c r="S1122" i="5" s="1"/>
  <c r="S1123" i="5" a="1"/>
  <c r="S1123" i="5" s="1"/>
  <c r="S1124" i="5" a="1"/>
  <c r="S1124" i="5" s="1"/>
  <c r="S1125" i="5" a="1"/>
  <c r="S1125" i="5" s="1"/>
  <c r="S1126" i="5" a="1"/>
  <c r="S1126" i="5" s="1"/>
  <c r="S1127" i="5" a="1"/>
  <c r="S1127" i="5" s="1"/>
  <c r="S1128" i="5" a="1"/>
  <c r="S1128" i="5" s="1"/>
  <c r="S1129" i="5" a="1"/>
  <c r="S1129" i="5" s="1"/>
  <c r="S1130" i="5" a="1"/>
  <c r="S1130" i="5" s="1"/>
  <c r="S1131" i="5" a="1"/>
  <c r="S1131" i="5" s="1"/>
  <c r="S1132" i="5" a="1"/>
  <c r="S1132" i="5" s="1"/>
  <c r="S1133" i="5" a="1"/>
  <c r="S1133" i="5" s="1"/>
  <c r="S1134" i="5" a="1"/>
  <c r="S1134" i="5" s="1"/>
  <c r="S1135" i="5" a="1"/>
  <c r="S1135" i="5" s="1"/>
  <c r="S1136" i="5" a="1"/>
  <c r="S1136" i="5" s="1"/>
  <c r="S1137" i="5" a="1"/>
  <c r="S1137" i="5" s="1"/>
  <c r="S1138" i="5" a="1"/>
  <c r="S1138" i="5" s="1"/>
  <c r="S1139" i="5" a="1"/>
  <c r="S1139" i="5"/>
  <c r="S1140" i="5" a="1"/>
  <c r="S1140" i="5" s="1"/>
  <c r="S1141" i="5" a="1"/>
  <c r="S1141" i="5" s="1"/>
  <c r="S1142" i="5" a="1"/>
  <c r="S1142" i="5" s="1"/>
  <c r="S1143" i="5" a="1"/>
  <c r="S1143" i="5" s="1"/>
  <c r="S1144" i="5" a="1"/>
  <c r="S1144" i="5" s="1"/>
  <c r="S1145" i="5" a="1"/>
  <c r="S1145" i="5" s="1"/>
  <c r="S1146" i="5" a="1"/>
  <c r="S1146" i="5" s="1"/>
  <c r="S1147" i="5" a="1"/>
  <c r="S1147" i="5" s="1"/>
  <c r="S1148" i="5" a="1"/>
  <c r="S1148" i="5" s="1"/>
  <c r="S1149" i="5" a="1"/>
  <c r="S1149" i="5" s="1"/>
  <c r="S1150" i="5" a="1"/>
  <c r="S1150" i="5" s="1"/>
  <c r="S1151" i="5" a="1"/>
  <c r="S1151" i="5" s="1"/>
  <c r="S1152" i="5" a="1"/>
  <c r="S1152" i="5" s="1"/>
  <c r="S1153" i="5" a="1"/>
  <c r="S1153" i="5" s="1"/>
  <c r="S1154" i="5" a="1"/>
  <c r="S1154" i="5" s="1"/>
  <c r="S1155" i="5" a="1"/>
  <c r="S1155" i="5" s="1"/>
  <c r="S1156" i="5" a="1"/>
  <c r="S1156" i="5" s="1"/>
  <c r="S1157" i="5" a="1"/>
  <c r="S1157" i="5" s="1"/>
  <c r="S1158" i="5" a="1"/>
  <c r="S1158" i="5" s="1"/>
  <c r="S1159" i="5" a="1"/>
  <c r="S1159" i="5" s="1"/>
  <c r="S1160" i="5" a="1"/>
  <c r="S1160" i="5" s="1"/>
  <c r="S1161" i="5" a="1"/>
  <c r="S1161" i="5" s="1"/>
  <c r="S1162" i="5" a="1"/>
  <c r="S1162" i="5" s="1"/>
  <c r="S1163" i="5" a="1"/>
  <c r="S1163" i="5" s="1"/>
  <c r="S1164" i="5" a="1"/>
  <c r="S1164" i="5" s="1"/>
  <c r="S1165" i="5" a="1"/>
  <c r="S1165" i="5" s="1"/>
  <c r="S1166" i="5" a="1"/>
  <c r="S1166" i="5" s="1"/>
  <c r="S1167" i="5" a="1"/>
  <c r="S1167" i="5" s="1"/>
  <c r="S1168" i="5" a="1"/>
  <c r="S1168" i="5" s="1"/>
  <c r="S1169" i="5" a="1"/>
  <c r="S1169" i="5" s="1"/>
  <c r="S1170" i="5" a="1"/>
  <c r="S1170" i="5" s="1"/>
  <c r="S1171" i="5" a="1"/>
  <c r="S1171" i="5" s="1"/>
  <c r="S1172" i="5" a="1"/>
  <c r="S1172" i="5" s="1"/>
  <c r="S1173" i="5" a="1"/>
  <c r="S1173" i="5" s="1"/>
  <c r="S1174" i="5" a="1"/>
  <c r="S1174" i="5" s="1"/>
  <c r="S1175" i="5" a="1"/>
  <c r="S1175" i="5" s="1"/>
  <c r="S1176" i="5" a="1"/>
  <c r="S1176" i="5" s="1"/>
  <c r="S1177" i="5" a="1"/>
  <c r="S1177" i="5" s="1"/>
  <c r="S1178" i="5" a="1"/>
  <c r="S1178" i="5" s="1"/>
  <c r="S1179" i="5" a="1"/>
  <c r="S1179" i="5" s="1"/>
  <c r="S1180" i="5" a="1"/>
  <c r="S1180" i="5" s="1"/>
  <c r="S1181" i="5" a="1"/>
  <c r="S1181" i="5" s="1"/>
  <c r="S1182" i="5" a="1"/>
  <c r="S1182" i="5" s="1"/>
  <c r="S1183" i="5" a="1"/>
  <c r="S1183" i="5" s="1"/>
  <c r="S1184" i="5" a="1"/>
  <c r="S1184" i="5" s="1"/>
  <c r="S1185" i="5" a="1"/>
  <c r="S1185" i="5" s="1"/>
  <c r="S1186" i="5" a="1"/>
  <c r="S1186" i="5" s="1"/>
  <c r="S1187" i="5" a="1"/>
  <c r="S1187" i="5" s="1"/>
  <c r="S1188" i="5" a="1"/>
  <c r="S1188" i="5" s="1"/>
  <c r="S1189" i="5" a="1"/>
  <c r="S1189" i="5" s="1"/>
  <c r="S1190" i="5" a="1"/>
  <c r="S1190" i="5" s="1"/>
  <c r="S1191" i="5" a="1"/>
  <c r="S1191" i="5" s="1"/>
  <c r="S1192" i="5" a="1"/>
  <c r="S1192" i="5" s="1"/>
  <c r="S1193" i="5" a="1"/>
  <c r="S1193" i="5" s="1"/>
  <c r="S1194" i="5" a="1"/>
  <c r="S1194" i="5" s="1"/>
  <c r="S1195" i="5" a="1"/>
  <c r="S1195" i="5" s="1"/>
  <c r="S1196" i="5" a="1"/>
  <c r="S1196" i="5" s="1"/>
  <c r="S1197" i="5" a="1"/>
  <c r="S1197" i="5" s="1"/>
  <c r="S1198" i="5" a="1"/>
  <c r="S1198" i="5" s="1"/>
  <c r="S1199" i="5" a="1"/>
  <c r="S1199" i="5" s="1"/>
  <c r="S1200" i="5" a="1"/>
  <c r="S1200" i="5" s="1"/>
  <c r="S1201" i="5" a="1"/>
  <c r="S1201" i="5" s="1"/>
  <c r="S1202" i="5" a="1"/>
  <c r="S1202" i="5" s="1"/>
  <c r="S1203" i="5" a="1"/>
  <c r="S1203" i="5" s="1"/>
  <c r="S1204" i="5" a="1"/>
  <c r="S1204" i="5" s="1"/>
  <c r="S1205" i="5" a="1"/>
  <c r="S1205" i="5" s="1"/>
  <c r="S1206" i="5" a="1"/>
  <c r="S1206" i="5" s="1"/>
  <c r="S1207" i="5" a="1"/>
  <c r="S1207" i="5" s="1"/>
  <c r="S1208" i="5" a="1"/>
  <c r="S1208" i="5" s="1"/>
  <c r="S1209" i="5" a="1"/>
  <c r="S1209" i="5" s="1"/>
  <c r="S1210" i="5" a="1"/>
  <c r="S1210" i="5" s="1"/>
  <c r="S1211" i="5" a="1"/>
  <c r="S1211" i="5" s="1"/>
  <c r="S1212" i="5" a="1"/>
  <c r="S1212" i="5" s="1"/>
  <c r="S1213" i="5" a="1"/>
  <c r="S1213" i="5" s="1"/>
  <c r="S1214" i="5" a="1"/>
  <c r="S1214" i="5" s="1"/>
  <c r="S1215" i="5" a="1"/>
  <c r="S1215" i="5" s="1"/>
  <c r="S1216" i="5" a="1"/>
  <c r="S1216" i="5" s="1"/>
  <c r="S1217" i="5" a="1"/>
  <c r="S1217" i="5" s="1"/>
  <c r="S1218" i="5" a="1"/>
  <c r="S1218" i="5" s="1"/>
  <c r="S1219" i="5" a="1"/>
  <c r="S1219" i="5" s="1"/>
  <c r="S1220" i="5" a="1"/>
  <c r="S1220" i="5" s="1"/>
  <c r="S1221" i="5" a="1"/>
  <c r="S1221" i="5" s="1"/>
  <c r="S1222" i="5" a="1"/>
  <c r="S1222" i="5" s="1"/>
  <c r="S1223" i="5" a="1"/>
  <c r="S1223" i="5" s="1"/>
  <c r="S1224" i="5" a="1"/>
  <c r="S1224" i="5" s="1"/>
  <c r="S1225" i="5" a="1"/>
  <c r="S1225" i="5" s="1"/>
  <c r="S1226" i="5" a="1"/>
  <c r="S1226" i="5" s="1"/>
  <c r="S1227" i="5" a="1"/>
  <c r="S1227" i="5" s="1"/>
  <c r="S1228" i="5" a="1"/>
  <c r="S1228" i="5" s="1"/>
  <c r="S1229" i="5" a="1"/>
  <c r="S1229" i="5" s="1"/>
  <c r="S1230" i="5" a="1"/>
  <c r="S1230" i="5" s="1"/>
  <c r="S1231" i="5" a="1"/>
  <c r="S1231" i="5" s="1"/>
  <c r="S1232" i="5" a="1"/>
  <c r="S1232" i="5" s="1"/>
  <c r="S1233" i="5" a="1"/>
  <c r="S1233" i="5" s="1"/>
  <c r="S1234" i="5" a="1"/>
  <c r="S1234" i="5" s="1"/>
  <c r="S1235" i="5" a="1"/>
  <c r="S1235" i="5" s="1"/>
  <c r="S1236" i="5" a="1"/>
  <c r="S1236" i="5" s="1"/>
  <c r="S1237" i="5" a="1"/>
  <c r="S1237" i="5" s="1"/>
  <c r="S1238" i="5" a="1"/>
  <c r="S1238" i="5" s="1"/>
  <c r="S1239" i="5" a="1"/>
  <c r="S1239" i="5" s="1"/>
  <c r="S1240" i="5" a="1"/>
  <c r="S1240" i="5" s="1"/>
  <c r="S1241" i="5" a="1"/>
  <c r="S1241" i="5" s="1"/>
  <c r="S1242" i="5" a="1"/>
  <c r="S1242" i="5" s="1"/>
  <c r="S1243" i="5" a="1"/>
  <c r="S1243" i="5" s="1"/>
  <c r="S1244" i="5" a="1"/>
  <c r="S1244" i="5" s="1"/>
  <c r="S1245" i="5" a="1"/>
  <c r="S1245" i="5" s="1"/>
  <c r="S1246" i="5" a="1"/>
  <c r="S1246" i="5" s="1"/>
  <c r="S1247" i="5" a="1"/>
  <c r="S1247" i="5"/>
  <c r="S1248" i="5" a="1"/>
  <c r="S1248" i="5" s="1"/>
  <c r="S1249" i="5" a="1"/>
  <c r="S1249" i="5" s="1"/>
  <c r="S1250" i="5" a="1"/>
  <c r="S1250" i="5" s="1"/>
  <c r="S1251" i="5" a="1"/>
  <c r="S1251" i="5" s="1"/>
  <c r="S1252" i="5" a="1"/>
  <c r="S1252" i="5" s="1"/>
  <c r="S1253" i="5" a="1"/>
  <c r="S1253" i="5" s="1"/>
  <c r="S1254" i="5" a="1"/>
  <c r="S1254" i="5" s="1"/>
  <c r="S1255" i="5" a="1"/>
  <c r="S1255" i="5" s="1"/>
  <c r="S1256" i="5" a="1"/>
  <c r="S1256" i="5" s="1"/>
  <c r="S1257" i="5" a="1"/>
  <c r="S1257" i="5" s="1"/>
  <c r="S1258" i="5" a="1"/>
  <c r="S1258" i="5" s="1"/>
  <c r="S1259" i="5" a="1"/>
  <c r="S1259" i="5" s="1"/>
  <c r="S1260" i="5" a="1"/>
  <c r="S1260" i="5" s="1"/>
  <c r="S1261" i="5" a="1"/>
  <c r="S1261" i="5" s="1"/>
  <c r="S1262" i="5" a="1"/>
  <c r="S1262" i="5" s="1"/>
  <c r="S1263" i="5" a="1"/>
  <c r="S1263" i="5" s="1"/>
  <c r="S1264" i="5" a="1"/>
  <c r="S1264" i="5" s="1"/>
  <c r="S1265" i="5" a="1"/>
  <c r="S1265" i="5" s="1"/>
  <c r="S1266" i="5" a="1"/>
  <c r="S1266" i="5" s="1"/>
  <c r="S1267" i="5" a="1"/>
  <c r="S1267" i="5" s="1"/>
  <c r="S1268" i="5" a="1"/>
  <c r="S1268" i="5" s="1"/>
  <c r="S1269" i="5" a="1"/>
  <c r="S1269" i="5" s="1"/>
  <c r="S1270" i="5" a="1"/>
  <c r="S1270" i="5" s="1"/>
  <c r="S1271" i="5" a="1"/>
  <c r="S1271" i="5" s="1"/>
  <c r="S1272" i="5" a="1"/>
  <c r="S1272" i="5" s="1"/>
  <c r="S1273" i="5" a="1"/>
  <c r="S1273" i="5" s="1"/>
  <c r="S1274" i="5" a="1"/>
  <c r="S1274" i="5" s="1"/>
  <c r="S1275" i="5" a="1"/>
  <c r="S1275" i="5" s="1"/>
  <c r="S1276" i="5" a="1"/>
  <c r="S1276" i="5" s="1"/>
  <c r="S1277" i="5" a="1"/>
  <c r="S1277" i="5" s="1"/>
  <c r="S1278" i="5" a="1"/>
  <c r="S1278" i="5" s="1"/>
  <c r="S1279" i="5" a="1"/>
  <c r="S1279" i="5" s="1"/>
  <c r="S1280" i="5" a="1"/>
  <c r="S1280" i="5" s="1"/>
  <c r="S1281" i="5" a="1"/>
  <c r="S1281" i="5" s="1"/>
  <c r="S1282" i="5" a="1"/>
  <c r="S1282" i="5" s="1"/>
  <c r="S1283" i="5" a="1"/>
  <c r="S1283" i="5" s="1"/>
  <c r="S1284" i="5" a="1"/>
  <c r="S1284" i="5" s="1"/>
  <c r="S1285" i="5" a="1"/>
  <c r="S1285" i="5" s="1"/>
  <c r="S1286" i="5" a="1"/>
  <c r="S1286" i="5" s="1"/>
  <c r="S1287" i="5" a="1"/>
  <c r="S1287" i="5" s="1"/>
  <c r="S1288" i="5" a="1"/>
  <c r="S1288" i="5" s="1"/>
  <c r="S1289" i="5" a="1"/>
  <c r="S1289" i="5" s="1"/>
  <c r="S1290" i="5" a="1"/>
  <c r="S1290" i="5" s="1"/>
  <c r="S1291" i="5" a="1"/>
  <c r="S1291" i="5" s="1"/>
  <c r="S1292" i="5" a="1"/>
  <c r="S1292" i="5" s="1"/>
  <c r="S1293" i="5" a="1"/>
  <c r="S1293" i="5" s="1"/>
  <c r="S1294" i="5" a="1"/>
  <c r="S1294" i="5" s="1"/>
  <c r="S1295" i="5" a="1"/>
  <c r="S1295" i="5" s="1"/>
  <c r="S1296" i="5" a="1"/>
  <c r="S1296" i="5" s="1"/>
  <c r="S1297" i="5" a="1"/>
  <c r="S1297" i="5" s="1"/>
  <c r="S1298" i="5" a="1"/>
  <c r="S1298" i="5" s="1"/>
  <c r="S1299" i="5" a="1"/>
  <c r="S1299" i="5" s="1"/>
  <c r="S1300" i="5" a="1"/>
  <c r="S1300" i="5" s="1"/>
  <c r="S1301" i="5" a="1"/>
  <c r="S1301" i="5" s="1"/>
  <c r="S1302" i="5" a="1"/>
  <c r="S1302" i="5" s="1"/>
  <c r="S1303" i="5" a="1"/>
  <c r="S1303" i="5" s="1"/>
  <c r="S1304" i="5" a="1"/>
  <c r="S1304" i="5" s="1"/>
  <c r="S1305" i="5" a="1"/>
  <c r="S1305" i="5" s="1"/>
  <c r="S1306" i="5" a="1"/>
  <c r="S1306" i="5" s="1"/>
  <c r="S1307" i="5" a="1"/>
  <c r="S1307" i="5" s="1"/>
  <c r="S1308" i="5" a="1"/>
  <c r="S1308" i="5" s="1"/>
  <c r="S1309" i="5" a="1"/>
  <c r="S1309" i="5" s="1"/>
  <c r="S1310" i="5" a="1"/>
  <c r="S1310" i="5" s="1"/>
  <c r="S1311" i="5" a="1"/>
  <c r="S1311" i="5" s="1"/>
  <c r="S1312" i="5" a="1"/>
  <c r="S1312" i="5" s="1"/>
  <c r="S1313" i="5" a="1"/>
  <c r="S1313" i="5" s="1"/>
  <c r="S1314" i="5" a="1"/>
  <c r="S1314" i="5" s="1"/>
  <c r="S1315" i="5" a="1"/>
  <c r="S1315" i="5" s="1"/>
  <c r="S1316" i="5" a="1"/>
  <c r="S1316" i="5" s="1"/>
  <c r="S1317" i="5" a="1"/>
  <c r="S1317" i="5" s="1"/>
  <c r="S1318" i="5" a="1"/>
  <c r="S1318" i="5" s="1"/>
  <c r="S1319" i="5" a="1"/>
  <c r="S1319" i="5" s="1"/>
  <c r="S1320" i="5" a="1"/>
  <c r="S1320" i="5" s="1"/>
  <c r="S1321" i="5" a="1"/>
  <c r="S1321" i="5" s="1"/>
  <c r="S1322" i="5" a="1"/>
  <c r="S1322" i="5" s="1"/>
  <c r="S1323" i="5" a="1"/>
  <c r="S1323" i="5" s="1"/>
  <c r="S1324" i="5" a="1"/>
  <c r="S1324" i="5" s="1"/>
  <c r="S1325" i="5" a="1"/>
  <c r="S1325" i="5" s="1"/>
  <c r="S1326" i="5" a="1"/>
  <c r="S1326" i="5" s="1"/>
  <c r="S1327" i="5" a="1"/>
  <c r="S1327" i="5" s="1"/>
  <c r="S1328" i="5" a="1"/>
  <c r="S1328" i="5" s="1"/>
  <c r="S1329" i="5" a="1"/>
  <c r="S1329" i="5" s="1"/>
  <c r="S1330" i="5" a="1"/>
  <c r="S1330" i="5" s="1"/>
  <c r="S1331" i="5" a="1"/>
  <c r="S1331" i="5" s="1"/>
  <c r="S1332" i="5" a="1"/>
  <c r="S1332" i="5" s="1"/>
  <c r="S1333" i="5" a="1"/>
  <c r="S1333" i="5" s="1"/>
  <c r="S1334" i="5" a="1"/>
  <c r="S1334" i="5" s="1"/>
  <c r="S1335" i="5" a="1"/>
  <c r="S1335" i="5" s="1"/>
  <c r="S1336" i="5" a="1"/>
  <c r="S1336" i="5" s="1"/>
  <c r="S1337" i="5" a="1"/>
  <c r="S1337" i="5" s="1"/>
  <c r="S1338" i="5" a="1"/>
  <c r="S1338" i="5" s="1"/>
  <c r="S1339" i="5" a="1"/>
  <c r="S1339" i="5" s="1"/>
  <c r="S1340" i="5" a="1"/>
  <c r="S1340" i="5" s="1"/>
  <c r="S1341" i="5" a="1"/>
  <c r="S1341" i="5" s="1"/>
  <c r="S1342" i="5" a="1"/>
  <c r="S1342" i="5" s="1"/>
  <c r="S1343" i="5" a="1"/>
  <c r="S1343" i="5"/>
  <c r="S1344" i="5" a="1"/>
  <c r="S1344" i="5" s="1"/>
  <c r="S1345" i="5" a="1"/>
  <c r="S1345" i="5" s="1"/>
  <c r="S1346" i="5" a="1"/>
  <c r="S1346" i="5" s="1"/>
  <c r="S1347" i="5" a="1"/>
  <c r="S1347" i="5" s="1"/>
  <c r="S1348" i="5" a="1"/>
  <c r="S1348" i="5" s="1"/>
  <c r="S1349" i="5" a="1"/>
  <c r="S1349" i="5" s="1"/>
  <c r="S1350" i="5" a="1"/>
  <c r="S1350" i="5" s="1"/>
  <c r="S1351" i="5" a="1"/>
  <c r="S1351" i="5" s="1"/>
  <c r="S1352" i="5" a="1"/>
  <c r="S1352" i="5" s="1"/>
  <c r="S1353" i="5" a="1"/>
  <c r="S1353" i="5" s="1"/>
  <c r="S1354" i="5" a="1"/>
  <c r="S1354" i="5" s="1"/>
  <c r="S1355" i="5" a="1"/>
  <c r="S1355" i="5" s="1"/>
  <c r="S1356" i="5" a="1"/>
  <c r="S1356" i="5" s="1"/>
  <c r="S1357" i="5" a="1"/>
  <c r="S1357" i="5" s="1"/>
  <c r="S1358" i="5" a="1"/>
  <c r="S1358" i="5" s="1"/>
  <c r="S1359" i="5" a="1"/>
  <c r="S1359" i="5" s="1"/>
  <c r="S1360" i="5" a="1"/>
  <c r="S1360" i="5" s="1"/>
  <c r="S1361" i="5" a="1"/>
  <c r="S1361" i="5" s="1"/>
  <c r="S1362" i="5" a="1"/>
  <c r="S1362" i="5" s="1"/>
  <c r="S1363" i="5" a="1"/>
  <c r="S1363" i="5" s="1"/>
  <c r="S1364" i="5" a="1"/>
  <c r="S1364" i="5" s="1"/>
  <c r="S1365" i="5" a="1"/>
  <c r="S1365" i="5" s="1"/>
  <c r="S1366" i="5" a="1"/>
  <c r="S1366" i="5" s="1"/>
  <c r="S1367" i="5" a="1"/>
  <c r="S1367" i="5" s="1"/>
  <c r="S1368" i="5" a="1"/>
  <c r="S1368" i="5" s="1"/>
  <c r="S1369" i="5" a="1"/>
  <c r="S1369" i="5" s="1"/>
  <c r="S1370" i="5" a="1"/>
  <c r="S1370" i="5" s="1"/>
  <c r="S1371" i="5" a="1"/>
  <c r="S1371" i="5" s="1"/>
  <c r="S1372" i="5" a="1"/>
  <c r="S1372" i="5" s="1"/>
  <c r="S1373" i="5" a="1"/>
  <c r="S1373" i="5" s="1"/>
  <c r="S1374" i="5" a="1"/>
  <c r="S1374" i="5" s="1"/>
  <c r="S1375" i="5" a="1"/>
  <c r="S1375" i="5" s="1"/>
  <c r="S1376" i="5" a="1"/>
  <c r="S1376" i="5" s="1"/>
  <c r="S1377" i="5" a="1"/>
  <c r="S1377" i="5" s="1"/>
  <c r="S1378" i="5" a="1"/>
  <c r="S1378" i="5" s="1"/>
  <c r="S1379" i="5" a="1"/>
  <c r="S1379" i="5" s="1"/>
  <c r="S1380" i="5" a="1"/>
  <c r="S1380" i="5" s="1"/>
  <c r="S1381" i="5" a="1"/>
  <c r="S1381" i="5" s="1"/>
  <c r="S1382" i="5" a="1"/>
  <c r="S1382" i="5" s="1"/>
  <c r="S1383" i="5" a="1"/>
  <c r="S1383" i="5" s="1"/>
  <c r="S1384" i="5" a="1"/>
  <c r="S1384" i="5" s="1"/>
  <c r="S1385" i="5" a="1"/>
  <c r="S1385" i="5" s="1"/>
  <c r="S1386" i="5" a="1"/>
  <c r="S1386" i="5" s="1"/>
  <c r="S1387" i="5" a="1"/>
  <c r="S1387" i="5" s="1"/>
  <c r="S1388" i="5" a="1"/>
  <c r="S1388" i="5" s="1"/>
  <c r="S1389" i="5" a="1"/>
  <c r="S1389" i="5" s="1"/>
  <c r="S1390" i="5" a="1"/>
  <c r="S1390" i="5" s="1"/>
  <c r="S1391" i="5" a="1"/>
  <c r="S1391" i="5" s="1"/>
  <c r="S1392" i="5" a="1"/>
  <c r="S1392" i="5" s="1"/>
  <c r="S1393" i="5" a="1"/>
  <c r="S1393" i="5" s="1"/>
  <c r="S1394" i="5" a="1"/>
  <c r="S1394" i="5" s="1"/>
  <c r="S1395" i="5" a="1"/>
  <c r="S1395" i="5" s="1"/>
  <c r="S1396" i="5" a="1"/>
  <c r="S1396" i="5" s="1"/>
  <c r="S1397" i="5" a="1"/>
  <c r="S1397" i="5" s="1"/>
  <c r="S1398" i="5" a="1"/>
  <c r="S1398" i="5" s="1"/>
  <c r="S1399" i="5" a="1"/>
  <c r="S1399" i="5" s="1"/>
  <c r="S1400" i="5" a="1"/>
  <c r="S1400" i="5" s="1"/>
  <c r="S1401" i="5" a="1"/>
  <c r="S1401" i="5" s="1"/>
  <c r="S1402" i="5" a="1"/>
  <c r="S1402" i="5" s="1"/>
  <c r="S1403" i="5" a="1"/>
  <c r="S1403" i="5" s="1"/>
  <c r="S1404" i="5" a="1"/>
  <c r="S1404" i="5" s="1"/>
  <c r="S1405" i="5" a="1"/>
  <c r="S1405" i="5" s="1"/>
  <c r="S1406" i="5" a="1"/>
  <c r="S1406" i="5" s="1"/>
  <c r="S1407" i="5" a="1"/>
  <c r="S1407" i="5" s="1"/>
  <c r="S1408" i="5" a="1"/>
  <c r="S1408" i="5" s="1"/>
  <c r="S1409" i="5" a="1"/>
  <c r="S1409" i="5" s="1"/>
  <c r="S1410" i="5" a="1"/>
  <c r="S1410" i="5" s="1"/>
  <c r="S1411" i="5" a="1"/>
  <c r="S1411" i="5" s="1"/>
  <c r="S1412" i="5" a="1"/>
  <c r="S1412" i="5" s="1"/>
  <c r="S1413" i="5" a="1"/>
  <c r="S1413" i="5" s="1"/>
  <c r="S1414" i="5" a="1"/>
  <c r="S1414" i="5" s="1"/>
  <c r="S1415" i="5" a="1"/>
  <c r="S1415" i="5" s="1"/>
  <c r="S1416" i="5" a="1"/>
  <c r="S1416" i="5" s="1"/>
  <c r="S1417" i="5" a="1"/>
  <c r="S1417" i="5" s="1"/>
  <c r="S1418" i="5" a="1"/>
  <c r="S1418" i="5" s="1"/>
  <c r="S1419" i="5" a="1"/>
  <c r="S1419" i="5" s="1"/>
  <c r="S1420" i="5" a="1"/>
  <c r="S1420" i="5" s="1"/>
  <c r="S1421" i="5" a="1"/>
  <c r="S1421" i="5" s="1"/>
  <c r="S1422" i="5" a="1"/>
  <c r="S1422" i="5" s="1"/>
  <c r="S1423" i="5" a="1"/>
  <c r="S1423" i="5" s="1"/>
  <c r="S1424" i="5" a="1"/>
  <c r="S1424" i="5" s="1"/>
  <c r="S1425" i="5" a="1"/>
  <c r="S1425" i="5" s="1"/>
  <c r="S1426" i="5" a="1"/>
  <c r="S1426" i="5" s="1"/>
  <c r="S1427" i="5" a="1"/>
  <c r="S1427" i="5" s="1"/>
  <c r="S1428" i="5" a="1"/>
  <c r="S1428" i="5" s="1"/>
  <c r="S1429" i="5" a="1"/>
  <c r="S1429" i="5" s="1"/>
  <c r="S1430" i="5" a="1"/>
  <c r="S1430" i="5" s="1"/>
  <c r="S1431" i="5" a="1"/>
  <c r="S1431" i="5" s="1"/>
  <c r="S1432" i="5" a="1"/>
  <c r="S1432" i="5" s="1"/>
  <c r="S1433" i="5" a="1"/>
  <c r="S1433" i="5" s="1"/>
  <c r="S1434" i="5" a="1"/>
  <c r="S1434" i="5" s="1"/>
  <c r="S1435" i="5" a="1"/>
  <c r="S1435" i="5" s="1"/>
  <c r="S1436" i="5" a="1"/>
  <c r="S1436" i="5" s="1"/>
  <c r="S1437" i="5" a="1"/>
  <c r="S1437" i="5" s="1"/>
  <c r="S1438" i="5" a="1"/>
  <c r="S1438" i="5" s="1"/>
  <c r="S1439" i="5" a="1"/>
  <c r="S1439" i="5" s="1"/>
  <c r="S1440" i="5" a="1"/>
  <c r="S1440" i="5" s="1"/>
  <c r="S1441" i="5" a="1"/>
  <c r="S1441" i="5" s="1"/>
  <c r="S1442" i="5" a="1"/>
  <c r="S1442" i="5" s="1"/>
  <c r="S1443" i="5" a="1"/>
  <c r="S1443" i="5" s="1"/>
  <c r="S1444" i="5" a="1"/>
  <c r="S1444" i="5" s="1"/>
  <c r="S1445" i="5" a="1"/>
  <c r="S1445" i="5" s="1"/>
  <c r="S1446" i="5" a="1"/>
  <c r="S1446" i="5" s="1"/>
  <c r="S1447" i="5" a="1"/>
  <c r="S1447" i="5" s="1"/>
  <c r="S1448" i="5" a="1"/>
  <c r="S1448" i="5" s="1"/>
  <c r="S1449" i="5" a="1"/>
  <c r="S1449" i="5" s="1"/>
  <c r="S1450" i="5" a="1"/>
  <c r="S1450" i="5" s="1"/>
  <c r="S1451" i="5" a="1"/>
  <c r="S1451" i="5" s="1"/>
  <c r="S1452" i="5" a="1"/>
  <c r="S1452" i="5" s="1"/>
  <c r="S1453" i="5" a="1"/>
  <c r="S1453" i="5" s="1"/>
  <c r="S1454" i="5" a="1"/>
  <c r="S1454" i="5" s="1"/>
  <c r="S1455" i="5" a="1"/>
  <c r="S1455" i="5" s="1"/>
  <c r="S1456" i="5" a="1"/>
  <c r="S1456" i="5" s="1"/>
  <c r="S1457" i="5" a="1"/>
  <c r="S1457" i="5" s="1"/>
  <c r="S1458" i="5" a="1"/>
  <c r="S1458" i="5" s="1"/>
  <c r="S1459" i="5" a="1"/>
  <c r="S1459" i="5" s="1"/>
  <c r="S1460" i="5" a="1"/>
  <c r="S1460" i="5" s="1"/>
  <c r="S1461" i="5" a="1"/>
  <c r="S1461" i="5" s="1"/>
  <c r="S1462" i="5" a="1"/>
  <c r="S1462" i="5" s="1"/>
  <c r="S1463" i="5" a="1"/>
  <c r="S1463" i="5" s="1"/>
  <c r="S1464" i="5" a="1"/>
  <c r="S1464" i="5" s="1"/>
  <c r="S1465" i="5" a="1"/>
  <c r="S1465" i="5" s="1"/>
  <c r="S1466" i="5" a="1"/>
  <c r="S1466" i="5" s="1"/>
  <c r="S1467" i="5" a="1"/>
  <c r="S1467" i="5" s="1"/>
  <c r="S1468" i="5" a="1"/>
  <c r="S1468" i="5" s="1"/>
  <c r="S1469" i="5" a="1"/>
  <c r="S1469" i="5" s="1"/>
  <c r="S1470" i="5" a="1"/>
  <c r="S1470" i="5" s="1"/>
  <c r="S1471" i="5" a="1"/>
  <c r="S1471" i="5" s="1"/>
  <c r="S1472" i="5" a="1"/>
  <c r="S1472" i="5" s="1"/>
  <c r="S1473" i="5" a="1"/>
  <c r="S1473" i="5" s="1"/>
  <c r="S1474" i="5" a="1"/>
  <c r="S1474" i="5" s="1"/>
  <c r="S1475" i="5" a="1"/>
  <c r="S1475" i="5" s="1"/>
  <c r="S1476" i="5" a="1"/>
  <c r="S1476" i="5" s="1"/>
  <c r="S1477" i="5" a="1"/>
  <c r="S1477" i="5" s="1"/>
  <c r="S1478" i="5" a="1"/>
  <c r="S1478" i="5" s="1"/>
  <c r="S1479" i="5" a="1"/>
  <c r="S1479" i="5"/>
  <c r="S1480" i="5" a="1"/>
  <c r="S1480" i="5" s="1"/>
  <c r="S1481" i="5" a="1"/>
  <c r="S1481" i="5" s="1"/>
  <c r="S1482" i="5" a="1"/>
  <c r="S1482" i="5" s="1"/>
  <c r="S1483" i="5" a="1"/>
  <c r="S1483" i="5" s="1"/>
  <c r="S1484" i="5" a="1"/>
  <c r="S1484" i="5" s="1"/>
  <c r="S1485" i="5" a="1"/>
  <c r="S1485" i="5" s="1"/>
  <c r="S1486" i="5" a="1"/>
  <c r="S1486" i="5" s="1"/>
  <c r="S1487" i="5" a="1"/>
  <c r="S1487" i="5" s="1"/>
  <c r="S1488" i="5" a="1"/>
  <c r="S1488" i="5" s="1"/>
  <c r="S1489" i="5" a="1"/>
  <c r="S1489" i="5" s="1"/>
  <c r="S1490" i="5" a="1"/>
  <c r="S1490" i="5" s="1"/>
  <c r="S1491" i="5" a="1"/>
  <c r="S1491" i="5" s="1"/>
  <c r="S1492" i="5" a="1"/>
  <c r="S1492" i="5" s="1"/>
  <c r="S1493" i="5" a="1"/>
  <c r="S1493" i="5" s="1"/>
  <c r="S1494" i="5" a="1"/>
  <c r="S1494" i="5" s="1"/>
  <c r="S1495" i="5" a="1"/>
  <c r="S1495" i="5" s="1"/>
  <c r="S1496" i="5" a="1"/>
  <c r="S1496" i="5" s="1"/>
  <c r="S1497" i="5" a="1"/>
  <c r="S1497" i="5" s="1"/>
  <c r="S1498" i="5" a="1"/>
  <c r="S1498" i="5" s="1"/>
  <c r="S1499" i="5" a="1"/>
  <c r="S1499" i="5" s="1"/>
  <c r="S1500" i="5" a="1"/>
  <c r="S1500" i="5" s="1"/>
  <c r="S1501" i="5" a="1"/>
  <c r="S1501" i="5" s="1"/>
  <c r="S1502" i="5" a="1"/>
  <c r="S1502" i="5" s="1"/>
  <c r="S1503" i="5" a="1"/>
  <c r="S1503" i="5" s="1"/>
  <c r="S1504" i="5" a="1"/>
  <c r="S1504" i="5" s="1"/>
  <c r="S1505" i="5" a="1"/>
  <c r="S1505" i="5" s="1"/>
  <c r="S1506" i="5" a="1"/>
  <c r="S1506" i="5" s="1"/>
  <c r="S1507" i="5" a="1"/>
  <c r="S1507" i="5" s="1"/>
  <c r="S1508" i="5" a="1"/>
  <c r="S1508" i="5" s="1"/>
  <c r="S1509" i="5" a="1"/>
  <c r="S1509" i="5" s="1"/>
  <c r="S1510" i="5" a="1"/>
  <c r="S1510" i="5" s="1"/>
  <c r="S1511" i="5" a="1"/>
  <c r="S1511" i="5"/>
  <c r="S1512" i="5" a="1"/>
  <c r="S1512" i="5" s="1"/>
  <c r="S1513" i="5" a="1"/>
  <c r="S1513" i="5" s="1"/>
  <c r="S1514" i="5" a="1"/>
  <c r="S1514" i="5" s="1"/>
  <c r="S1515" i="5" a="1"/>
  <c r="S1515" i="5" s="1"/>
  <c r="S1516" i="5" a="1"/>
  <c r="S1516" i="5" s="1"/>
  <c r="S1517" i="5" a="1"/>
  <c r="S1517" i="5" s="1"/>
  <c r="S1518" i="5" a="1"/>
  <c r="S1518" i="5" s="1"/>
  <c r="S1519" i="5" a="1"/>
  <c r="S1519" i="5" s="1"/>
  <c r="S1520" i="5" a="1"/>
  <c r="S1520" i="5" s="1"/>
  <c r="S1521" i="5" a="1"/>
  <c r="S1521" i="5" s="1"/>
  <c r="S1522" i="5" a="1"/>
  <c r="S1522" i="5" s="1"/>
  <c r="S1523" i="5" a="1"/>
  <c r="S1523" i="5" s="1"/>
  <c r="S1524" i="5" a="1"/>
  <c r="S1524" i="5" s="1"/>
  <c r="S1525" i="5" a="1"/>
  <c r="S1525" i="5" s="1"/>
  <c r="S1526" i="5" a="1"/>
  <c r="S1526" i="5" s="1"/>
  <c r="S1527" i="5" a="1"/>
  <c r="S1527" i="5" s="1"/>
  <c r="S1528" i="5" a="1"/>
  <c r="S1528" i="5" s="1"/>
  <c r="S1529" i="5" a="1"/>
  <c r="S1529" i="5" s="1"/>
  <c r="S1530" i="5" a="1"/>
  <c r="S1530" i="5" s="1"/>
  <c r="S1531" i="5" a="1"/>
  <c r="S1531" i="5" s="1"/>
  <c r="S1532" i="5" a="1"/>
  <c r="S1532" i="5" s="1"/>
  <c r="S1533" i="5" a="1"/>
  <c r="S1533" i="5" s="1"/>
  <c r="S1534" i="5" a="1"/>
  <c r="S1534" i="5" s="1"/>
  <c r="S1535" i="5" a="1"/>
  <c r="S1535" i="5" s="1"/>
  <c r="S1536" i="5" a="1"/>
  <c r="S1536" i="5" s="1"/>
  <c r="S1537" i="5" a="1"/>
  <c r="S1537" i="5" s="1"/>
  <c r="S1538" i="5" a="1"/>
  <c r="S1538" i="5" s="1"/>
  <c r="S1539" i="5" a="1"/>
  <c r="S1539" i="5" s="1"/>
  <c r="S1540" i="5" a="1"/>
  <c r="S1540" i="5" s="1"/>
  <c r="S1541" i="5" a="1"/>
  <c r="S1541" i="5" s="1"/>
  <c r="S1542" i="5" a="1"/>
  <c r="S1542" i="5" s="1"/>
  <c r="S1543" i="5" a="1"/>
  <c r="S1543" i="5" s="1"/>
  <c r="S1544" i="5" a="1"/>
  <c r="S1544" i="5" s="1"/>
  <c r="S1545" i="5" a="1"/>
  <c r="S1545" i="5" s="1"/>
  <c r="S1546" i="5" a="1"/>
  <c r="S1546" i="5" s="1"/>
  <c r="S1547" i="5" a="1"/>
  <c r="S1547" i="5" s="1"/>
  <c r="S1548" i="5" a="1"/>
  <c r="S1548" i="5" s="1"/>
  <c r="S1549" i="5" a="1"/>
  <c r="S1549" i="5" s="1"/>
  <c r="S1550" i="5" a="1"/>
  <c r="S1550" i="5" s="1"/>
  <c r="S1551" i="5" a="1"/>
  <c r="S1551" i="5" s="1"/>
  <c r="S1552" i="5" a="1"/>
  <c r="S1552" i="5" s="1"/>
  <c r="S1553" i="5" a="1"/>
  <c r="S1553" i="5" s="1"/>
  <c r="S1554" i="5" a="1"/>
  <c r="S1554" i="5" s="1"/>
  <c r="S1555" i="5" a="1"/>
  <c r="S1555" i="5" s="1"/>
  <c r="S1556" i="5" a="1"/>
  <c r="S1556" i="5" s="1"/>
  <c r="S1557" i="5" a="1"/>
  <c r="S1557" i="5" s="1"/>
  <c r="S1558" i="5" a="1"/>
  <c r="S1558" i="5" s="1"/>
  <c r="S1559" i="5" a="1"/>
  <c r="S1559" i="5" s="1"/>
  <c r="S1560" i="5" a="1"/>
  <c r="S1560" i="5" s="1"/>
  <c r="S1561" i="5" a="1"/>
  <c r="S1561" i="5" s="1"/>
  <c r="S1562" i="5" a="1"/>
  <c r="S1562" i="5" s="1"/>
  <c r="S1563" i="5" a="1"/>
  <c r="S1563" i="5" s="1"/>
  <c r="S1564" i="5" a="1"/>
  <c r="S1564" i="5" s="1"/>
  <c r="S1565" i="5" a="1"/>
  <c r="S1565" i="5" s="1"/>
  <c r="S1566" i="5" a="1"/>
  <c r="S1566" i="5" s="1"/>
  <c r="S1567" i="5" a="1"/>
  <c r="S1567" i="5" s="1"/>
  <c r="S1568" i="5" a="1"/>
  <c r="S1568" i="5" s="1"/>
  <c r="S1569" i="5" a="1"/>
  <c r="S1569" i="5" s="1"/>
  <c r="S1570" i="5" a="1"/>
  <c r="S1570" i="5" s="1"/>
  <c r="S1571" i="5" a="1"/>
  <c r="S1571" i="5" s="1"/>
  <c r="S1572" i="5" a="1"/>
  <c r="S1572" i="5" s="1"/>
  <c r="S1573" i="5" a="1"/>
  <c r="S1573" i="5"/>
  <c r="S1574" i="5" a="1"/>
  <c r="S1574" i="5" s="1"/>
  <c r="S1575" i="5" a="1"/>
  <c r="S1575" i="5" s="1"/>
  <c r="S1576" i="5" a="1"/>
  <c r="S1576" i="5" s="1"/>
  <c r="S1577" i="5" a="1"/>
  <c r="S1577" i="5" s="1"/>
  <c r="S1578" i="5" a="1"/>
  <c r="S1578" i="5" s="1"/>
  <c r="S1579" i="5" a="1"/>
  <c r="S1579" i="5" s="1"/>
  <c r="S1580" i="5" a="1"/>
  <c r="S1580" i="5" s="1"/>
  <c r="S1581" i="5" a="1"/>
  <c r="S1581" i="5" s="1"/>
  <c r="S1582" i="5" a="1"/>
  <c r="S1582" i="5" s="1"/>
  <c r="S1583" i="5" a="1"/>
  <c r="S1583" i="5" s="1"/>
  <c r="S1584" i="5" a="1"/>
  <c r="S1584" i="5" s="1"/>
  <c r="S1585" i="5" a="1"/>
  <c r="S1585" i="5" s="1"/>
  <c r="S1586" i="5" a="1"/>
  <c r="S1586" i="5" s="1"/>
  <c r="S1587" i="5" a="1"/>
  <c r="S1587" i="5" s="1"/>
  <c r="S1588" i="5" a="1"/>
  <c r="S1588" i="5" s="1"/>
  <c r="S1589" i="5" a="1"/>
  <c r="S1589" i="5" s="1"/>
  <c r="S1590" i="5" a="1"/>
  <c r="S1590" i="5" s="1"/>
  <c r="S1591" i="5" a="1"/>
  <c r="S1591" i="5" s="1"/>
  <c r="S1592" i="5" a="1"/>
  <c r="S1592" i="5" s="1"/>
  <c r="S1593" i="5" a="1"/>
  <c r="S1593" i="5" s="1"/>
  <c r="S1594" i="5" a="1"/>
  <c r="S1594" i="5" s="1"/>
  <c r="S1595" i="5" a="1"/>
  <c r="S1595" i="5" s="1"/>
  <c r="S1596" i="5" a="1"/>
  <c r="S1596" i="5" s="1"/>
  <c r="S1597" i="5" a="1"/>
  <c r="S1597" i="5" s="1"/>
  <c r="S1598" i="5" a="1"/>
  <c r="S1598" i="5" s="1"/>
  <c r="S1599" i="5" a="1"/>
  <c r="S1599" i="5" s="1"/>
  <c r="S1600" i="5" a="1"/>
  <c r="S1600" i="5" s="1"/>
  <c r="S1601" i="5" a="1"/>
  <c r="S1601" i="5" s="1"/>
  <c r="S1602" i="5" a="1"/>
  <c r="S1602" i="5" s="1"/>
  <c r="S1603" i="5" a="1"/>
  <c r="S1603" i="5" s="1"/>
  <c r="S1604" i="5" a="1"/>
  <c r="S1604" i="5" s="1"/>
  <c r="S1605" i="5" a="1"/>
  <c r="S1605" i="5"/>
  <c r="S1606" i="5" a="1"/>
  <c r="S1606" i="5" s="1"/>
  <c r="S1607" i="5" a="1"/>
  <c r="S1607" i="5" s="1"/>
  <c r="S1608" i="5" a="1"/>
  <c r="S1608" i="5" s="1"/>
  <c r="S1609" i="5" a="1"/>
  <c r="S1609" i="5" s="1"/>
  <c r="S1610" i="5" a="1"/>
  <c r="S1610" i="5" s="1"/>
  <c r="S1611" i="5" a="1"/>
  <c r="S1611" i="5" s="1"/>
  <c r="S1612" i="5" a="1"/>
  <c r="S1612" i="5" s="1"/>
  <c r="S1613" i="5" a="1"/>
  <c r="S1613" i="5" s="1"/>
  <c r="S1614" i="5" a="1"/>
  <c r="S1614" i="5" s="1"/>
  <c r="S1615" i="5" a="1"/>
  <c r="S1615" i="5" s="1"/>
  <c r="S1616" i="5" a="1"/>
  <c r="S1616" i="5" s="1"/>
  <c r="S1617" i="5" a="1"/>
  <c r="S1617" i="5" s="1"/>
  <c r="S1618" i="5" a="1"/>
  <c r="S1618" i="5" s="1"/>
  <c r="S1619" i="5" a="1"/>
  <c r="S1619" i="5" s="1"/>
  <c r="S1620" i="5" a="1"/>
  <c r="S1620" i="5" s="1"/>
  <c r="S1621" i="5" a="1"/>
  <c r="S1621" i="5" s="1"/>
  <c r="S1622" i="5" a="1"/>
  <c r="S1622" i="5" s="1"/>
  <c r="S1623" i="5" a="1"/>
  <c r="S1623" i="5" s="1"/>
  <c r="S1624" i="5" a="1"/>
  <c r="S1624" i="5" s="1"/>
  <c r="S1625" i="5" a="1"/>
  <c r="S1625" i="5" s="1"/>
  <c r="S1626" i="5" a="1"/>
  <c r="S1626" i="5" s="1"/>
  <c r="S1627" i="5" a="1"/>
  <c r="S1627" i="5" s="1"/>
  <c r="S1628" i="5" a="1"/>
  <c r="S1628" i="5" s="1"/>
  <c r="S1629" i="5" a="1"/>
  <c r="S1629" i="5" s="1"/>
  <c r="S1630" i="5" a="1"/>
  <c r="S1630" i="5" s="1"/>
  <c r="S1631" i="5" a="1"/>
  <c r="S1631" i="5" s="1"/>
  <c r="S1632" i="5" a="1"/>
  <c r="S1632" i="5" s="1"/>
  <c r="S1633" i="5" a="1"/>
  <c r="S1633" i="5" s="1"/>
  <c r="S1634" i="5" a="1"/>
  <c r="S1634" i="5" s="1"/>
  <c r="S1635" i="5" a="1"/>
  <c r="S1635" i="5" s="1"/>
  <c r="S1636" i="5" a="1"/>
  <c r="S1636" i="5" s="1"/>
  <c r="S1637" i="5" a="1"/>
  <c r="S1637" i="5" s="1"/>
  <c r="S1638" i="5" a="1"/>
  <c r="S1638" i="5" s="1"/>
  <c r="S1639" i="5" a="1"/>
  <c r="S1639" i="5" s="1"/>
  <c r="S1640" i="5" a="1"/>
  <c r="S1640" i="5" s="1"/>
  <c r="S1641" i="5" a="1"/>
  <c r="S1641" i="5" s="1"/>
  <c r="S1642" i="5" a="1"/>
  <c r="S1642" i="5" s="1"/>
  <c r="S1643" i="5" a="1"/>
  <c r="S1643" i="5" s="1"/>
  <c r="S1644" i="5" a="1"/>
  <c r="S1644" i="5" s="1"/>
  <c r="S1645" i="5" a="1"/>
  <c r="S1645" i="5" s="1"/>
  <c r="S1646" i="5" a="1"/>
  <c r="S1646" i="5" s="1"/>
  <c r="S1647" i="5" a="1"/>
  <c r="S1647" i="5" s="1"/>
  <c r="S1648" i="5" a="1"/>
  <c r="S1648" i="5" s="1"/>
  <c r="S1649" i="5" a="1"/>
  <c r="S1649" i="5" s="1"/>
  <c r="S1650" i="5" a="1"/>
  <c r="S1650" i="5" s="1"/>
  <c r="S1651" i="5" a="1"/>
  <c r="S1651" i="5" s="1"/>
  <c r="S1652" i="5" a="1"/>
  <c r="S1652" i="5" s="1"/>
  <c r="S1653" i="5" a="1"/>
  <c r="S1653" i="5" s="1"/>
  <c r="S1654" i="5" a="1"/>
  <c r="S1654" i="5" s="1"/>
  <c r="S1655" i="5" a="1"/>
  <c r="S1655" i="5" s="1"/>
  <c r="S1656" i="5" a="1"/>
  <c r="S1656" i="5" s="1"/>
  <c r="S1657" i="5" a="1"/>
  <c r="S1657" i="5" s="1"/>
  <c r="S1658" i="5" a="1"/>
  <c r="S1658" i="5" s="1"/>
  <c r="S1659" i="5" a="1"/>
  <c r="S1659" i="5" s="1"/>
  <c r="S1660" i="5" a="1"/>
  <c r="S1660" i="5" s="1"/>
  <c r="S1661" i="5" a="1"/>
  <c r="S1661" i="5" s="1"/>
  <c r="S1662" i="5" a="1"/>
  <c r="S1662" i="5" s="1"/>
  <c r="S1663" i="5" a="1"/>
  <c r="S1663" i="5" s="1"/>
  <c r="S1664" i="5" a="1"/>
  <c r="S1664" i="5" s="1"/>
  <c r="S1665" i="5" a="1"/>
  <c r="S1665" i="5" s="1"/>
  <c r="S1666" i="5" a="1"/>
  <c r="S1666" i="5" s="1"/>
  <c r="S1667" i="5" a="1"/>
  <c r="S1667" i="5" s="1"/>
  <c r="S1668" i="5" a="1"/>
  <c r="S1668" i="5" s="1"/>
  <c r="S1669" i="5" a="1"/>
  <c r="S1669" i="5" s="1"/>
  <c r="S1670" i="5" a="1"/>
  <c r="S1670" i="5" s="1"/>
  <c r="S1671" i="5" a="1"/>
  <c r="S1671" i="5" s="1"/>
  <c r="S1672" i="5" a="1"/>
  <c r="S1672" i="5" s="1"/>
  <c r="S1673" i="5" a="1"/>
  <c r="S1673" i="5" s="1"/>
  <c r="S1674" i="5" a="1"/>
  <c r="S1674" i="5" s="1"/>
  <c r="S1675" i="5" a="1"/>
  <c r="S1675" i="5" s="1"/>
  <c r="S1676" i="5" a="1"/>
  <c r="S1676" i="5" s="1"/>
  <c r="S1677" i="5" a="1"/>
  <c r="S1677" i="5" s="1"/>
  <c r="S1678" i="5" a="1"/>
  <c r="S1678" i="5" s="1"/>
  <c r="S1679" i="5" a="1"/>
  <c r="S1679" i="5" s="1"/>
  <c r="S1680" i="5" a="1"/>
  <c r="S1680" i="5" s="1"/>
  <c r="S1681" i="5" a="1"/>
  <c r="S1681" i="5" s="1"/>
  <c r="S1682" i="5" a="1"/>
  <c r="S1682" i="5" s="1"/>
  <c r="S1683" i="5" a="1"/>
  <c r="S1683" i="5" s="1"/>
  <c r="S1684" i="5" a="1"/>
  <c r="S1684" i="5" s="1"/>
  <c r="S1685" i="5" a="1"/>
  <c r="S1685" i="5" s="1"/>
  <c r="S1686" i="5" a="1"/>
  <c r="S1686" i="5" s="1"/>
  <c r="S1687" i="5" a="1"/>
  <c r="S1687" i="5" s="1"/>
  <c r="S1688" i="5" a="1"/>
  <c r="S1688" i="5" s="1"/>
  <c r="S1689" i="5" a="1"/>
  <c r="S1689" i="5" s="1"/>
  <c r="S1690" i="5" a="1"/>
  <c r="S1690" i="5" s="1"/>
  <c r="S1691" i="5" a="1"/>
  <c r="S1691" i="5" s="1"/>
  <c r="S1692" i="5" a="1"/>
  <c r="S1692" i="5" s="1"/>
  <c r="S1693" i="5" a="1"/>
  <c r="S1693" i="5" s="1"/>
  <c r="S1694" i="5" a="1"/>
  <c r="S1694" i="5" s="1"/>
  <c r="S1695" i="5" a="1"/>
  <c r="S1695" i="5" s="1"/>
  <c r="S1696" i="5" a="1"/>
  <c r="S1696" i="5" s="1"/>
  <c r="S1697" i="5" a="1"/>
  <c r="S1697" i="5" s="1"/>
  <c r="S1698" i="5" a="1"/>
  <c r="S1698" i="5" s="1"/>
  <c r="S1699" i="5" a="1"/>
  <c r="S1699" i="5" s="1"/>
  <c r="S1700" i="5" a="1"/>
  <c r="S1700" i="5" s="1"/>
  <c r="S1701" i="5" a="1"/>
  <c r="S1701" i="5"/>
  <c r="S1702" i="5" a="1"/>
  <c r="S1702" i="5" s="1"/>
  <c r="S1703" i="5" a="1"/>
  <c r="S1703" i="5" s="1"/>
  <c r="S1704" i="5" a="1"/>
  <c r="S1704" i="5" s="1"/>
  <c r="S1705" i="5" a="1"/>
  <c r="S1705" i="5" s="1"/>
  <c r="S1706" i="5" a="1"/>
  <c r="S1706" i="5" s="1"/>
  <c r="S1707" i="5" a="1"/>
  <c r="S1707" i="5" s="1"/>
  <c r="S1708" i="5" a="1"/>
  <c r="S1708" i="5" s="1"/>
  <c r="S1709" i="5" a="1"/>
  <c r="S1709" i="5" s="1"/>
  <c r="S1710" i="5" a="1"/>
  <c r="S1710" i="5" s="1"/>
  <c r="S1711" i="5" a="1"/>
  <c r="S1711" i="5" s="1"/>
  <c r="S1712" i="5" a="1"/>
  <c r="S1712" i="5" s="1"/>
  <c r="S1713" i="5" a="1"/>
  <c r="S1713" i="5" s="1"/>
  <c r="S1714" i="5" a="1"/>
  <c r="S1714" i="5" s="1"/>
  <c r="S1715" i="5" a="1"/>
  <c r="S1715" i="5" s="1"/>
  <c r="S1716" i="5" a="1"/>
  <c r="S1716" i="5" s="1"/>
  <c r="S1717" i="5" a="1"/>
  <c r="S1717" i="5" s="1"/>
  <c r="S1718" i="5" a="1"/>
  <c r="S1718" i="5" s="1"/>
  <c r="S1719" i="5" a="1"/>
  <c r="S1719" i="5" s="1"/>
  <c r="S1720" i="5" a="1"/>
  <c r="S1720" i="5" s="1"/>
  <c r="S1721" i="5" a="1"/>
  <c r="S1721" i="5" s="1"/>
  <c r="S1722" i="5" a="1"/>
  <c r="S1722" i="5" s="1"/>
  <c r="S1723" i="5" a="1"/>
  <c r="S1723" i="5" s="1"/>
  <c r="S1724" i="5" a="1"/>
  <c r="S1724" i="5" s="1"/>
  <c r="S1725" i="5" a="1"/>
  <c r="S1725" i="5" s="1"/>
  <c r="S1726" i="5" a="1"/>
  <c r="S1726" i="5" s="1"/>
  <c r="S1727" i="5" a="1"/>
  <c r="S1727" i="5" s="1"/>
  <c r="S1728" i="5" a="1"/>
  <c r="S1728" i="5" s="1"/>
  <c r="S1729" i="5" a="1"/>
  <c r="S1729" i="5" s="1"/>
  <c r="S1730" i="5" a="1"/>
  <c r="S1730" i="5" s="1"/>
  <c r="S1731" i="5" a="1"/>
  <c r="S1731" i="5" s="1"/>
  <c r="S1732" i="5" a="1"/>
  <c r="S1732" i="5" s="1"/>
  <c r="S1733" i="5" a="1"/>
  <c r="S1733" i="5"/>
  <c r="S1734" i="5" a="1"/>
  <c r="S1734" i="5" s="1"/>
  <c r="S1735" i="5" a="1"/>
  <c r="S1735" i="5" s="1"/>
  <c r="S1736" i="5" a="1"/>
  <c r="S1736" i="5" s="1"/>
  <c r="S1737" i="5" a="1"/>
  <c r="S1737" i="5" s="1"/>
  <c r="S1738" i="5" a="1"/>
  <c r="S1738" i="5" s="1"/>
  <c r="S1739" i="5" a="1"/>
  <c r="S1739" i="5" s="1"/>
  <c r="S1740" i="5" a="1"/>
  <c r="S1740" i="5" s="1"/>
  <c r="S1741" i="5" a="1"/>
  <c r="S1741" i="5" s="1"/>
  <c r="S1742" i="5" a="1"/>
  <c r="S1742" i="5" s="1"/>
  <c r="S1743" i="5" a="1"/>
  <c r="S1743" i="5" s="1"/>
  <c r="S1744" i="5" a="1"/>
  <c r="S1744" i="5" s="1"/>
  <c r="S1745" i="5" a="1"/>
  <c r="S1745" i="5" s="1"/>
  <c r="S1746" i="5" a="1"/>
  <c r="S1746" i="5" s="1"/>
  <c r="S1747" i="5" a="1"/>
  <c r="S1747" i="5" s="1"/>
  <c r="S1748" i="5" a="1"/>
  <c r="S1748" i="5" s="1"/>
  <c r="S1749" i="5" a="1"/>
  <c r="S1749" i="5" s="1"/>
  <c r="S1750" i="5" a="1"/>
  <c r="S1750" i="5" s="1"/>
  <c r="S1751" i="5" a="1"/>
  <c r="S1751" i="5" s="1"/>
  <c r="S1752" i="5" a="1"/>
  <c r="S1752" i="5" s="1"/>
  <c r="S1753" i="5" a="1"/>
  <c r="S1753" i="5" s="1"/>
  <c r="S1754" i="5" a="1"/>
  <c r="S1754" i="5" s="1"/>
  <c r="S1755" i="5" a="1"/>
  <c r="S1755" i="5" s="1"/>
  <c r="S1756" i="5" a="1"/>
  <c r="S1756" i="5" s="1"/>
  <c r="S1757" i="5" a="1"/>
  <c r="S1757" i="5" s="1"/>
  <c r="S1758" i="5" a="1"/>
  <c r="S1758" i="5" s="1"/>
  <c r="S1759" i="5" a="1"/>
  <c r="S1759" i="5" s="1"/>
  <c r="S1760" i="5" a="1"/>
  <c r="S1760" i="5" s="1"/>
  <c r="S1761" i="5" a="1"/>
  <c r="S1761" i="5" s="1"/>
  <c r="S1762" i="5" a="1"/>
  <c r="S1762" i="5" s="1"/>
  <c r="S1763" i="5" a="1"/>
  <c r="S1763" i="5" s="1"/>
  <c r="S1764" i="5" a="1"/>
  <c r="S1764" i="5" s="1"/>
  <c r="S1765" i="5" a="1"/>
  <c r="S1765" i="5"/>
  <c r="S1766" i="5" a="1"/>
  <c r="S1766" i="5" s="1"/>
  <c r="S1767" i="5" a="1"/>
  <c r="S1767" i="5" s="1"/>
  <c r="S1768" i="5" a="1"/>
  <c r="S1768" i="5" s="1"/>
  <c r="S1769" i="5" a="1"/>
  <c r="S1769" i="5" s="1"/>
  <c r="S1770" i="5" a="1"/>
  <c r="S1770" i="5" s="1"/>
  <c r="S1771" i="5" a="1"/>
  <c r="S1771" i="5" s="1"/>
  <c r="S1772" i="5" a="1"/>
  <c r="S1772" i="5" s="1"/>
  <c r="S1773" i="5" a="1"/>
  <c r="S1773" i="5" s="1"/>
  <c r="S1774" i="5" a="1"/>
  <c r="S1774" i="5" s="1"/>
  <c r="S1775" i="5" a="1"/>
  <c r="S1775" i="5" s="1"/>
  <c r="S1776" i="5" a="1"/>
  <c r="S1776" i="5" s="1"/>
  <c r="S1777" i="5" a="1"/>
  <c r="S1777" i="5" s="1"/>
  <c r="S1778" i="5" a="1"/>
  <c r="S1778" i="5" s="1"/>
  <c r="S1779" i="5" a="1"/>
  <c r="S1779" i="5" s="1"/>
  <c r="S1780" i="5" a="1"/>
  <c r="S1780" i="5" s="1"/>
  <c r="S1781" i="5" a="1"/>
  <c r="S1781" i="5" s="1"/>
  <c r="S1782" i="5" a="1"/>
  <c r="S1782" i="5" s="1"/>
  <c r="S1783" i="5" a="1"/>
  <c r="S1783" i="5" s="1"/>
  <c r="S1784" i="5" a="1"/>
  <c r="S1784" i="5" s="1"/>
  <c r="S1785" i="5" a="1"/>
  <c r="S1785" i="5" s="1"/>
  <c r="S1786" i="5" a="1"/>
  <c r="S1786" i="5" s="1"/>
  <c r="S1787" i="5" a="1"/>
  <c r="S1787" i="5" s="1"/>
  <c r="S1788" i="5" a="1"/>
  <c r="S1788" i="5" s="1"/>
  <c r="S1789" i="5" a="1"/>
  <c r="S1789" i="5" s="1"/>
  <c r="S1790" i="5" a="1"/>
  <c r="S1790" i="5" s="1"/>
  <c r="S1791" i="5" a="1"/>
  <c r="S1791" i="5" s="1"/>
  <c r="S1792" i="5" a="1"/>
  <c r="S1792" i="5" s="1"/>
  <c r="S1793" i="5" a="1"/>
  <c r="S1793" i="5" s="1"/>
  <c r="S1794" i="5" a="1"/>
  <c r="S1794" i="5" s="1"/>
  <c r="S1795" i="5" a="1"/>
  <c r="S1795" i="5" s="1"/>
  <c r="S1796" i="5" a="1"/>
  <c r="S1796" i="5" s="1"/>
  <c r="S1797" i="5" a="1"/>
  <c r="S1797" i="5" s="1"/>
  <c r="S1798" i="5" a="1"/>
  <c r="S1798" i="5" s="1"/>
  <c r="S1799" i="5" a="1"/>
  <c r="S1799" i="5" s="1"/>
  <c r="S1800" i="5" a="1"/>
  <c r="S1800" i="5" s="1"/>
  <c r="S1801" i="5" a="1"/>
  <c r="S1801" i="5" s="1"/>
  <c r="S1802" i="5" a="1"/>
  <c r="S1802" i="5" s="1"/>
  <c r="S1803" i="5" a="1"/>
  <c r="S1803" i="5" s="1"/>
  <c r="S1804" i="5" a="1"/>
  <c r="S1804" i="5" s="1"/>
  <c r="S1805" i="5" a="1"/>
  <c r="S1805" i="5" s="1"/>
  <c r="S1806" i="5" a="1"/>
  <c r="S1806" i="5" s="1"/>
  <c r="S1807" i="5" a="1"/>
  <c r="S1807" i="5" s="1"/>
  <c r="S1808" i="5" a="1"/>
  <c r="S1808" i="5" s="1"/>
  <c r="S1809" i="5" a="1"/>
  <c r="S1809" i="5" s="1"/>
  <c r="S1810" i="5" a="1"/>
  <c r="S1810" i="5" s="1"/>
  <c r="S1811" i="5" a="1"/>
  <c r="S1811" i="5" s="1"/>
  <c r="S1812" i="5" a="1"/>
  <c r="S1812" i="5" s="1"/>
  <c r="S1813" i="5" a="1"/>
  <c r="S1813" i="5" s="1"/>
  <c r="S1814" i="5" a="1"/>
  <c r="S1814" i="5" s="1"/>
  <c r="S1815" i="5" a="1"/>
  <c r="S1815" i="5" s="1"/>
  <c r="S1816" i="5" a="1"/>
  <c r="S1816" i="5" s="1"/>
  <c r="S1817" i="5" a="1"/>
  <c r="S1817" i="5" s="1"/>
  <c r="S1818" i="5" a="1"/>
  <c r="S1818" i="5" s="1"/>
  <c r="S1819" i="5" a="1"/>
  <c r="S1819" i="5" s="1"/>
  <c r="S1820" i="5" a="1"/>
  <c r="S1820" i="5" s="1"/>
  <c r="S1821" i="5" a="1"/>
  <c r="S1821" i="5" s="1"/>
  <c r="S1822" i="5" a="1"/>
  <c r="S1822" i="5" s="1"/>
  <c r="S1823" i="5" a="1"/>
  <c r="S1823" i="5" s="1"/>
  <c r="S1824" i="5" a="1"/>
  <c r="S1824" i="5" s="1"/>
  <c r="S1825" i="5" a="1"/>
  <c r="S1825" i="5" s="1"/>
  <c r="S1826" i="5" a="1"/>
  <c r="S1826" i="5" s="1"/>
  <c r="S1827" i="5" a="1"/>
  <c r="S1827" i="5" s="1"/>
  <c r="S1828" i="5" a="1"/>
  <c r="S1828" i="5" s="1"/>
  <c r="S1829" i="5" a="1"/>
  <c r="S1829" i="5"/>
  <c r="S1830" i="5" a="1"/>
  <c r="S1830" i="5" s="1"/>
  <c r="S1831" i="5" a="1"/>
  <c r="S1831" i="5" s="1"/>
  <c r="S1832" i="5" a="1"/>
  <c r="S1832" i="5" s="1"/>
  <c r="S1833" i="5" a="1"/>
  <c r="S1833" i="5" s="1"/>
  <c r="S1834" i="5" a="1"/>
  <c r="S1834" i="5" s="1"/>
  <c r="S1835" i="5" a="1"/>
  <c r="S1835" i="5" s="1"/>
  <c r="S1836" i="5" a="1"/>
  <c r="S1836" i="5" s="1"/>
  <c r="S1837" i="5" a="1"/>
  <c r="S1837" i="5" s="1"/>
  <c r="S1838" i="5" a="1"/>
  <c r="S1838" i="5" s="1"/>
  <c r="S1839" i="5" a="1"/>
  <c r="S1839" i="5" s="1"/>
  <c r="S1840" i="5" a="1"/>
  <c r="S1840" i="5" s="1"/>
  <c r="S1841" i="5" a="1"/>
  <c r="S1841" i="5" s="1"/>
  <c r="S1842" i="5" a="1"/>
  <c r="S1842" i="5" s="1"/>
  <c r="S1843" i="5" a="1"/>
  <c r="S1843" i="5" s="1"/>
  <c r="S1844" i="5" a="1"/>
  <c r="S1844" i="5" s="1"/>
  <c r="S1845" i="5" a="1"/>
  <c r="S1845" i="5" s="1"/>
  <c r="S1846" i="5" a="1"/>
  <c r="S1846" i="5" s="1"/>
  <c r="S1847" i="5" a="1"/>
  <c r="S1847" i="5" s="1"/>
  <c r="S1848" i="5" a="1"/>
  <c r="S1848" i="5" s="1"/>
  <c r="S1849" i="5" a="1"/>
  <c r="S1849" i="5" s="1"/>
  <c r="S1850" i="5" a="1"/>
  <c r="S1850" i="5" s="1"/>
  <c r="S1851" i="5" a="1"/>
  <c r="S1851" i="5" s="1"/>
  <c r="S1852" i="5" a="1"/>
  <c r="S1852" i="5" s="1"/>
  <c r="S1853" i="5" a="1"/>
  <c r="S1853" i="5" s="1"/>
  <c r="S1854" i="5" a="1"/>
  <c r="S1854" i="5" s="1"/>
  <c r="S1855" i="5" a="1"/>
  <c r="S1855" i="5" s="1"/>
  <c r="S1856" i="5" a="1"/>
  <c r="S1856" i="5" s="1"/>
  <c r="S1857" i="5" a="1"/>
  <c r="S1857" i="5" s="1"/>
  <c r="S1858" i="5" a="1"/>
  <c r="S1858" i="5" s="1"/>
  <c r="S1859" i="5" a="1"/>
  <c r="S1859" i="5" s="1"/>
  <c r="S1860" i="5" a="1"/>
  <c r="S1860" i="5" s="1"/>
  <c r="S1861" i="5" a="1"/>
  <c r="S1861" i="5"/>
  <c r="S1862" i="5" a="1"/>
  <c r="S1862" i="5" s="1"/>
  <c r="S1863" i="5" a="1"/>
  <c r="S1863" i="5" s="1"/>
  <c r="S1864" i="5" a="1"/>
  <c r="S1864" i="5" s="1"/>
  <c r="S1865" i="5" a="1"/>
  <c r="S1865" i="5" s="1"/>
  <c r="S1866" i="5" a="1"/>
  <c r="S1866" i="5" s="1"/>
  <c r="S1867" i="5" a="1"/>
  <c r="S1867" i="5" s="1"/>
  <c r="S1868" i="5" a="1"/>
  <c r="S1868" i="5" s="1"/>
  <c r="S1869" i="5" a="1"/>
  <c r="S1869" i="5" s="1"/>
  <c r="S1870" i="5" a="1"/>
  <c r="S1870" i="5" s="1"/>
  <c r="S1871" i="5" a="1"/>
  <c r="S1871" i="5" s="1"/>
  <c r="S1872" i="5" a="1"/>
  <c r="S1872" i="5" s="1"/>
  <c r="S1873" i="5" a="1"/>
  <c r="S1873" i="5" s="1"/>
  <c r="S1874" i="5" a="1"/>
  <c r="S1874" i="5" s="1"/>
  <c r="S1875" i="5" a="1"/>
  <c r="S1875" i="5" s="1"/>
  <c r="S1876" i="5" a="1"/>
  <c r="S1876" i="5" s="1"/>
  <c r="S1877" i="5" a="1"/>
  <c r="S1877" i="5" s="1"/>
  <c r="S1878" i="5" a="1"/>
  <c r="S1878" i="5" s="1"/>
  <c r="S1879" i="5" a="1"/>
  <c r="S1879" i="5" s="1"/>
  <c r="S1880" i="5" a="1"/>
  <c r="S1880" i="5" s="1"/>
  <c r="S1881" i="5" a="1"/>
  <c r="S1881" i="5" s="1"/>
  <c r="S1882" i="5" a="1"/>
  <c r="S1882" i="5" s="1"/>
  <c r="S1883" i="5" a="1"/>
  <c r="S1883" i="5" s="1"/>
  <c r="S1884" i="5" a="1"/>
  <c r="S1884" i="5" s="1"/>
  <c r="S1885" i="5" a="1"/>
  <c r="S1885" i="5" s="1"/>
  <c r="S1886" i="5" a="1"/>
  <c r="S1886" i="5" s="1"/>
  <c r="S1887" i="5" a="1"/>
  <c r="S1887" i="5" s="1"/>
  <c r="S1888" i="5" a="1"/>
  <c r="S1888" i="5" s="1"/>
  <c r="S1889" i="5" a="1"/>
  <c r="S1889" i="5" s="1"/>
  <c r="S1890" i="5" a="1"/>
  <c r="S1890" i="5" s="1"/>
  <c r="S1891" i="5" a="1"/>
  <c r="S1891" i="5" s="1"/>
  <c r="S1892" i="5" a="1"/>
  <c r="S1892" i="5" s="1"/>
  <c r="S1893" i="5" a="1"/>
  <c r="S1893" i="5"/>
  <c r="S1894" i="5" a="1"/>
  <c r="S1894" i="5" s="1"/>
  <c r="S1895" i="5" a="1"/>
  <c r="S1895" i="5" s="1"/>
  <c r="S1896" i="5" a="1"/>
  <c r="S1896" i="5" s="1"/>
  <c r="S1897" i="5" a="1"/>
  <c r="S1897" i="5" s="1"/>
  <c r="S1898" i="5" a="1"/>
  <c r="S1898" i="5" s="1"/>
  <c r="S1899" i="5" a="1"/>
  <c r="S1899" i="5" s="1"/>
  <c r="S1900" i="5" a="1"/>
  <c r="S1900" i="5" s="1"/>
  <c r="S1901" i="5" a="1"/>
  <c r="S1901" i="5" s="1"/>
  <c r="S1902" i="5" a="1"/>
  <c r="S1902" i="5" s="1"/>
  <c r="S1903" i="5" a="1"/>
  <c r="S1903" i="5" s="1"/>
  <c r="S1904" i="5" a="1"/>
  <c r="S1904" i="5" s="1"/>
  <c r="S1905" i="5" a="1"/>
  <c r="S1905" i="5" s="1"/>
  <c r="S1906" i="5" a="1"/>
  <c r="S1906" i="5" s="1"/>
  <c r="S1907" i="5" a="1"/>
  <c r="S1907" i="5" s="1"/>
  <c r="S1908" i="5" a="1"/>
  <c r="S1908" i="5" s="1"/>
  <c r="S1909" i="5" a="1"/>
  <c r="S1909" i="5" s="1"/>
  <c r="S1910" i="5" a="1"/>
  <c r="S1910" i="5" s="1"/>
  <c r="S1911" i="5" a="1"/>
  <c r="S1911" i="5" s="1"/>
  <c r="S1912" i="5" a="1"/>
  <c r="S1912" i="5" s="1"/>
  <c r="S1913" i="5" a="1"/>
  <c r="S1913" i="5" s="1"/>
  <c r="S1914" i="5" a="1"/>
  <c r="S1914" i="5" s="1"/>
  <c r="S1915" i="5" a="1"/>
  <c r="S1915" i="5" s="1"/>
  <c r="S1916" i="5" a="1"/>
  <c r="S1916" i="5" s="1"/>
  <c r="S1917" i="5" a="1"/>
  <c r="S1917" i="5" s="1"/>
  <c r="S1918" i="5" a="1"/>
  <c r="S1918" i="5" s="1"/>
  <c r="S1919" i="5" a="1"/>
  <c r="S1919" i="5" s="1"/>
  <c r="S1920" i="5" a="1"/>
  <c r="S1920" i="5" s="1"/>
  <c r="S1921" i="5" a="1"/>
  <c r="S1921" i="5" s="1"/>
  <c r="S1922" i="5" a="1"/>
  <c r="S1922" i="5" s="1"/>
  <c r="S1923" i="5" a="1"/>
  <c r="S1923" i="5" s="1"/>
  <c r="S1924" i="5" a="1"/>
  <c r="S1924" i="5" s="1"/>
  <c r="S1925" i="5" a="1"/>
  <c r="S1925" i="5" s="1"/>
  <c r="S1926" i="5" a="1"/>
  <c r="S1926" i="5" s="1"/>
  <c r="S1927" i="5" a="1"/>
  <c r="S1927" i="5" s="1"/>
  <c r="S1928" i="5" a="1"/>
  <c r="S1928" i="5" s="1"/>
  <c r="S1929" i="5" a="1"/>
  <c r="S1929" i="5" s="1"/>
  <c r="S1930" i="5" a="1"/>
  <c r="S1930" i="5" s="1"/>
  <c r="S1931" i="5" a="1"/>
  <c r="S1931" i="5" s="1"/>
  <c r="S1932" i="5" a="1"/>
  <c r="S1932" i="5" s="1"/>
  <c r="S1933" i="5" a="1"/>
  <c r="S1933" i="5" s="1"/>
  <c r="S1934" i="5" a="1"/>
  <c r="S1934" i="5" s="1"/>
  <c r="S1935" i="5" a="1"/>
  <c r="S1935" i="5" s="1"/>
  <c r="S1936" i="5" a="1"/>
  <c r="S1936" i="5" s="1"/>
  <c r="S1937" i="5" a="1"/>
  <c r="S1937" i="5" s="1"/>
  <c r="S1938" i="5" a="1"/>
  <c r="S1938" i="5" s="1"/>
  <c r="S1939" i="5" a="1"/>
  <c r="S1939" i="5" s="1"/>
  <c r="S1940" i="5" a="1"/>
  <c r="S1940" i="5" s="1"/>
  <c r="S1941" i="5" a="1"/>
  <c r="S1941" i="5" s="1"/>
  <c r="S1942" i="5" a="1"/>
  <c r="S1942" i="5" s="1"/>
  <c r="S1943" i="5" a="1"/>
  <c r="S1943" i="5" s="1"/>
  <c r="S1944" i="5" a="1"/>
  <c r="S1944" i="5" s="1"/>
  <c r="S1945" i="5" a="1"/>
  <c r="S1945" i="5" s="1"/>
  <c r="S1946" i="5" a="1"/>
  <c r="S1946" i="5" s="1"/>
  <c r="S1947" i="5" a="1"/>
  <c r="S1947" i="5" s="1"/>
  <c r="S1948" i="5" a="1"/>
  <c r="S1948" i="5" s="1"/>
  <c r="S1949" i="5" a="1"/>
  <c r="S1949" i="5" s="1"/>
  <c r="S1950" i="5" a="1"/>
  <c r="S1950" i="5" s="1"/>
  <c r="S1951" i="5" a="1"/>
  <c r="S1951" i="5" s="1"/>
  <c r="S1952" i="5" a="1"/>
  <c r="S1952" i="5" s="1"/>
  <c r="S1953" i="5" a="1"/>
  <c r="S1953" i="5" s="1"/>
  <c r="S1954" i="5" a="1"/>
  <c r="S1954" i="5" s="1"/>
  <c r="S1955" i="5" a="1"/>
  <c r="S1955" i="5" s="1"/>
  <c r="S1956" i="5" a="1"/>
  <c r="S1956" i="5" s="1"/>
  <c r="S1957" i="5" a="1"/>
  <c r="S1957" i="5"/>
  <c r="S1958" i="5" a="1"/>
  <c r="S1958" i="5" s="1"/>
  <c r="S1959" i="5" a="1"/>
  <c r="S1959" i="5" s="1"/>
  <c r="S1960" i="5" a="1"/>
  <c r="S1960" i="5" s="1"/>
  <c r="S1961" i="5" a="1"/>
  <c r="S1961" i="5" s="1"/>
  <c r="S1962" i="5" a="1"/>
  <c r="S1962" i="5" s="1"/>
  <c r="S1963" i="5" a="1"/>
  <c r="S1963" i="5" s="1"/>
  <c r="S1964" i="5" a="1"/>
  <c r="S1964" i="5" s="1"/>
  <c r="S1965" i="5" a="1"/>
  <c r="S1965" i="5" s="1"/>
  <c r="S1966" i="5" a="1"/>
  <c r="S1966" i="5" s="1"/>
  <c r="S1967" i="5" a="1"/>
  <c r="S1967" i="5" s="1"/>
  <c r="S1968" i="5" a="1"/>
  <c r="S1968" i="5" s="1"/>
  <c r="S1969" i="5" a="1"/>
  <c r="S1969" i="5" s="1"/>
  <c r="S1970" i="5" a="1"/>
  <c r="S1970" i="5" s="1"/>
  <c r="S1971" i="5" a="1"/>
  <c r="S1971" i="5" s="1"/>
  <c r="S1972" i="5" a="1"/>
  <c r="S1972" i="5" s="1"/>
  <c r="S1973" i="5" a="1"/>
  <c r="S1973" i="5" s="1"/>
  <c r="S1974" i="5" a="1"/>
  <c r="S1974" i="5" s="1"/>
  <c r="S1975" i="5" a="1"/>
  <c r="S1975" i="5" s="1"/>
  <c r="S1976" i="5" a="1"/>
  <c r="S1976" i="5" s="1"/>
  <c r="S1977" i="5" a="1"/>
  <c r="S1977" i="5" s="1"/>
  <c r="S1978" i="5" a="1"/>
  <c r="S1978" i="5" s="1"/>
  <c r="S1979" i="5" a="1"/>
  <c r="S1979" i="5" s="1"/>
  <c r="S1980" i="5" a="1"/>
  <c r="S1980" i="5" s="1"/>
  <c r="S1981" i="5" a="1"/>
  <c r="S1981" i="5" s="1"/>
  <c r="S1982" i="5" a="1"/>
  <c r="S1982" i="5" s="1"/>
  <c r="S1983" i="5" a="1"/>
  <c r="S1983" i="5" s="1"/>
  <c r="S1984" i="5" a="1"/>
  <c r="S1984" i="5" s="1"/>
  <c r="S1985" i="5" a="1"/>
  <c r="S1985" i="5" s="1"/>
  <c r="S1986" i="5" a="1"/>
  <c r="S1986" i="5" s="1"/>
  <c r="S1987" i="5" a="1"/>
  <c r="S1987" i="5" s="1"/>
  <c r="S1988" i="5" a="1"/>
  <c r="S1988" i="5" s="1"/>
  <c r="S1989" i="5" a="1"/>
  <c r="S1989" i="5" s="1"/>
  <c r="S1990" i="5" a="1"/>
  <c r="S1990" i="5" s="1"/>
  <c r="S1991" i="5" a="1"/>
  <c r="S1991" i="5" s="1"/>
  <c r="S1992" i="5" a="1"/>
  <c r="S1992" i="5" s="1"/>
  <c r="S1993" i="5" a="1"/>
  <c r="S1993" i="5" s="1"/>
  <c r="S1994" i="5" a="1"/>
  <c r="S1994" i="5" s="1"/>
  <c r="S1995" i="5" a="1"/>
  <c r="S1995" i="5" s="1"/>
  <c r="S1996" i="5" a="1"/>
  <c r="S1996" i="5" s="1"/>
  <c r="S1997" i="5" a="1"/>
  <c r="S1997" i="5" s="1"/>
  <c r="S1998" i="5" a="1"/>
  <c r="S1998" i="5" s="1"/>
  <c r="S1999" i="5" a="1"/>
  <c r="S1999" i="5" s="1"/>
  <c r="S2000" i="5" a="1"/>
  <c r="S2000" i="5" s="1"/>
  <c r="S2001" i="5" a="1"/>
  <c r="S2001" i="5" s="1"/>
  <c r="S2002" i="5" a="1"/>
  <c r="S2002" i="5" s="1"/>
  <c r="S2003" i="5" a="1"/>
  <c r="S2003" i="5" s="1"/>
  <c r="S2004" i="5" a="1"/>
  <c r="S2004" i="5" s="1"/>
  <c r="S2005" i="5" a="1"/>
  <c r="S2005" i="5" s="1"/>
  <c r="S2006" i="5" a="1"/>
  <c r="S2006" i="5" s="1"/>
  <c r="S2007" i="5" a="1"/>
  <c r="S2007" i="5" s="1"/>
  <c r="S2008" i="5" a="1"/>
  <c r="S2008" i="5" s="1"/>
  <c r="S2009" i="5" a="1"/>
  <c r="S2009" i="5" s="1"/>
  <c r="S2010" i="5" a="1"/>
  <c r="S2010" i="5" s="1"/>
  <c r="S2011" i="5" a="1"/>
  <c r="S2011" i="5" s="1"/>
  <c r="S2012" i="5" a="1"/>
  <c r="S2012" i="5" s="1"/>
  <c r="S2013" i="5" a="1"/>
  <c r="S2013" i="5" s="1"/>
  <c r="S2014" i="5" a="1"/>
  <c r="S2014" i="5" s="1"/>
  <c r="S2015" i="5" a="1"/>
  <c r="S2015" i="5" s="1"/>
  <c r="S2016" i="5" a="1"/>
  <c r="S2016" i="5" s="1"/>
  <c r="S2017" i="5" a="1"/>
  <c r="S2017" i="5" s="1"/>
  <c r="S2018" i="5" a="1"/>
  <c r="S2018" i="5" s="1"/>
  <c r="S2019" i="5" a="1"/>
  <c r="S2019" i="5" s="1"/>
  <c r="S2020" i="5" a="1"/>
  <c r="S2020" i="5" s="1"/>
  <c r="S2021" i="5" a="1"/>
  <c r="S2021" i="5"/>
  <c r="S2022" i="5" a="1"/>
  <c r="S2022" i="5" s="1"/>
  <c r="S2023" i="5" a="1"/>
  <c r="S2023" i="5" s="1"/>
  <c r="S2024" i="5" a="1"/>
  <c r="S2024" i="5" s="1"/>
  <c r="S2025" i="5" a="1"/>
  <c r="S2025" i="5" s="1"/>
  <c r="S2026" i="5" a="1"/>
  <c r="S2026" i="5" s="1"/>
  <c r="S2027" i="5" a="1"/>
  <c r="S2027" i="5" s="1"/>
  <c r="S2028" i="5" a="1"/>
  <c r="S2028" i="5" s="1"/>
  <c r="S2029" i="5" a="1"/>
  <c r="S2029" i="5" s="1"/>
  <c r="S2030" i="5" a="1"/>
  <c r="S2030" i="5" s="1"/>
  <c r="S2031" i="5" a="1"/>
  <c r="S2031" i="5" s="1"/>
  <c r="S2032" i="5" a="1"/>
  <c r="S2032" i="5" s="1"/>
  <c r="S2033" i="5" a="1"/>
  <c r="S2033" i="5" s="1"/>
  <c r="S2034" i="5" a="1"/>
  <c r="S2034" i="5" s="1"/>
  <c r="S2035" i="5" a="1"/>
  <c r="S2035" i="5" s="1"/>
  <c r="S2036" i="5" a="1"/>
  <c r="S2036" i="5" s="1"/>
  <c r="S2037" i="5" a="1"/>
  <c r="S2037" i="5" s="1"/>
  <c r="S2038" i="5" a="1"/>
  <c r="S2038" i="5" s="1"/>
  <c r="S2039" i="5" a="1"/>
  <c r="S2039" i="5" s="1"/>
  <c r="S2040" i="5" a="1"/>
  <c r="S2040" i="5" s="1"/>
  <c r="S2041" i="5" a="1"/>
  <c r="S2041" i="5" s="1"/>
  <c r="S2042" i="5" a="1"/>
  <c r="S2042" i="5" s="1"/>
  <c r="S2043" i="5" a="1"/>
  <c r="S2043" i="5" s="1"/>
  <c r="S2044" i="5" a="1"/>
  <c r="S2044" i="5" s="1"/>
  <c r="S2045" i="5" a="1"/>
  <c r="S2045" i="5" s="1"/>
  <c r="S2046" i="5" a="1"/>
  <c r="S2046" i="5" s="1"/>
  <c r="S2047" i="5" a="1"/>
  <c r="S2047" i="5" s="1"/>
  <c r="S2048" i="5" a="1"/>
  <c r="S2048" i="5" s="1"/>
  <c r="S2049" i="5" a="1"/>
  <c r="S2049" i="5" s="1"/>
  <c r="S2050" i="5" a="1"/>
  <c r="S2050" i="5" s="1"/>
  <c r="S2051" i="5" a="1"/>
  <c r="S2051" i="5" s="1"/>
  <c r="S2052" i="5" a="1"/>
  <c r="S2052" i="5" s="1"/>
  <c r="S2053" i="5" a="1"/>
  <c r="S2053" i="5" s="1"/>
  <c r="S2054" i="5" a="1"/>
  <c r="S2054" i="5" s="1"/>
  <c r="S2055" i="5" a="1"/>
  <c r="S2055" i="5" s="1"/>
  <c r="S2056" i="5" a="1"/>
  <c r="S2056" i="5" s="1"/>
  <c r="S2057" i="5" a="1"/>
  <c r="S2057" i="5" s="1"/>
  <c r="S2058" i="5" a="1"/>
  <c r="S2058" i="5" s="1"/>
  <c r="S2059" i="5" a="1"/>
  <c r="S2059" i="5" s="1"/>
  <c r="S2060" i="5" a="1"/>
  <c r="S2060" i="5" s="1"/>
  <c r="S2061" i="5" a="1"/>
  <c r="S2061" i="5" s="1"/>
  <c r="S2062" i="5" a="1"/>
  <c r="S2062" i="5" s="1"/>
  <c r="S2063" i="5" a="1"/>
  <c r="S2063" i="5" s="1"/>
  <c r="S2064" i="5" a="1"/>
  <c r="S2064" i="5" s="1"/>
  <c r="S2065" i="5" a="1"/>
  <c r="S2065" i="5" s="1"/>
  <c r="S2066" i="5" a="1"/>
  <c r="S2066" i="5" s="1"/>
  <c r="S2067" i="5" a="1"/>
  <c r="S2067" i="5" s="1"/>
  <c r="S2068" i="5" a="1"/>
  <c r="S2068" i="5" s="1"/>
  <c r="S2069" i="5" a="1"/>
  <c r="S2069" i="5" s="1"/>
  <c r="S2070" i="5" a="1"/>
  <c r="S2070" i="5" s="1"/>
  <c r="S2071" i="5" a="1"/>
  <c r="S2071" i="5" s="1"/>
  <c r="S2072" i="5" a="1"/>
  <c r="S2072" i="5" s="1"/>
  <c r="S2073" i="5" a="1"/>
  <c r="S2073" i="5" s="1"/>
  <c r="S2074" i="5" a="1"/>
  <c r="S2074" i="5" s="1"/>
  <c r="S2075" i="5" a="1"/>
  <c r="S2075" i="5" s="1"/>
  <c r="S2076" i="5" a="1"/>
  <c r="S2076" i="5" s="1"/>
  <c r="S2077" i="5" a="1"/>
  <c r="S2077" i="5" s="1"/>
  <c r="S2078" i="5" a="1"/>
  <c r="S2078" i="5" s="1"/>
  <c r="S2079" i="5" a="1"/>
  <c r="S2079" i="5" s="1"/>
  <c r="S2080" i="5" a="1"/>
  <c r="S2080" i="5" s="1"/>
  <c r="S2081" i="5" a="1"/>
  <c r="S2081" i="5" s="1"/>
  <c r="S2082" i="5" a="1"/>
  <c r="S2082" i="5" s="1"/>
  <c r="S2083" i="5" a="1"/>
  <c r="S2083" i="5" s="1"/>
  <c r="S2084" i="5" a="1"/>
  <c r="S2084" i="5" s="1"/>
  <c r="S2085" i="5" a="1"/>
  <c r="S2085" i="5" s="1"/>
  <c r="S2086" i="5" a="1"/>
  <c r="S2086" i="5" s="1"/>
  <c r="S2087" i="5" a="1"/>
  <c r="S2087" i="5" s="1"/>
  <c r="S2088" i="5" a="1"/>
  <c r="S2088" i="5" s="1"/>
  <c r="S2089" i="5" a="1"/>
  <c r="S2089" i="5" s="1"/>
  <c r="S2090" i="5" a="1"/>
  <c r="S2090" i="5" s="1"/>
  <c r="S2091" i="5" a="1"/>
  <c r="S2091" i="5" s="1"/>
  <c r="S2092" i="5" a="1"/>
  <c r="S2092" i="5" s="1"/>
  <c r="S2093" i="5" a="1"/>
  <c r="S2093" i="5" s="1"/>
  <c r="S2094" i="5" a="1"/>
  <c r="S2094" i="5" s="1"/>
  <c r="S2095" i="5" a="1"/>
  <c r="S2095" i="5" s="1"/>
  <c r="S2096" i="5" a="1"/>
  <c r="S2096" i="5" s="1"/>
  <c r="S2097" i="5" a="1"/>
  <c r="S2097" i="5" s="1"/>
  <c r="S2098" i="5" a="1"/>
  <c r="S2098" i="5" s="1"/>
  <c r="S2099" i="5" a="1"/>
  <c r="S2099" i="5" s="1"/>
  <c r="S2100" i="5" a="1"/>
  <c r="S2100" i="5" s="1"/>
  <c r="S2101" i="5" a="1"/>
  <c r="S2101" i="5" s="1"/>
  <c r="S2102" i="5" a="1"/>
  <c r="S2102" i="5" s="1"/>
  <c r="S2103" i="5" a="1"/>
  <c r="S2103" i="5" s="1"/>
  <c r="S2104" i="5" a="1"/>
  <c r="S2104" i="5" s="1"/>
  <c r="S2105" i="5" a="1"/>
  <c r="S2105" i="5" s="1"/>
  <c r="S2106" i="5" a="1"/>
  <c r="S2106" i="5" s="1"/>
  <c r="S2107" i="5" a="1"/>
  <c r="S2107" i="5" s="1"/>
  <c r="S2108" i="5" a="1"/>
  <c r="S2108" i="5" s="1"/>
  <c r="S2109" i="5" a="1"/>
  <c r="S2109" i="5" s="1"/>
  <c r="S2110" i="5" a="1"/>
  <c r="S2110" i="5" s="1"/>
  <c r="S2111" i="5" a="1"/>
  <c r="S2111" i="5" s="1"/>
  <c r="S2112" i="5" a="1"/>
  <c r="S2112" i="5" s="1"/>
  <c r="S2113" i="5" a="1"/>
  <c r="S2113" i="5" s="1"/>
  <c r="S2114" i="5" a="1"/>
  <c r="S2114" i="5" s="1"/>
  <c r="S2115" i="5" a="1"/>
  <c r="S2115" i="5" s="1"/>
  <c r="S2116" i="5" a="1"/>
  <c r="S2116" i="5" s="1"/>
  <c r="S2117" i="5" a="1"/>
  <c r="S2117" i="5"/>
  <c r="S2118" i="5" a="1"/>
  <c r="S2118" i="5" s="1"/>
  <c r="S2119" i="5" a="1"/>
  <c r="S2119" i="5" s="1"/>
  <c r="S2120" i="5" a="1"/>
  <c r="S2120" i="5" s="1"/>
  <c r="S2121" i="5" a="1"/>
  <c r="S2121" i="5" s="1"/>
  <c r="S2122" i="5" a="1"/>
  <c r="S2122" i="5" s="1"/>
  <c r="S2123" i="5" a="1"/>
  <c r="S2123" i="5" s="1"/>
  <c r="S2124" i="5" a="1"/>
  <c r="S2124" i="5" s="1"/>
  <c r="S2125" i="5" a="1"/>
  <c r="S2125" i="5" s="1"/>
  <c r="S2126" i="5" a="1"/>
  <c r="S2126" i="5" s="1"/>
  <c r="S2127" i="5" a="1"/>
  <c r="S2127" i="5" s="1"/>
  <c r="S2128" i="5" a="1"/>
  <c r="S2128" i="5" s="1"/>
  <c r="S2129" i="5" a="1"/>
  <c r="S2129" i="5" s="1"/>
  <c r="S2130" i="5" a="1"/>
  <c r="S2130" i="5" s="1"/>
  <c r="S2131" i="5" a="1"/>
  <c r="S2131" i="5" s="1"/>
  <c r="S2132" i="5" a="1"/>
  <c r="S2132" i="5" s="1"/>
  <c r="S2133" i="5" a="1"/>
  <c r="S2133" i="5" s="1"/>
  <c r="S2134" i="5" a="1"/>
  <c r="S2134" i="5" s="1"/>
  <c r="S2135" i="5" a="1"/>
  <c r="S2135" i="5" s="1"/>
  <c r="S2136" i="5" a="1"/>
  <c r="S2136" i="5" s="1"/>
  <c r="S2137" i="5" a="1"/>
  <c r="S2137" i="5"/>
  <c r="S2138" i="5" a="1"/>
  <c r="S2138" i="5" s="1"/>
  <c r="S2139" i="5" a="1"/>
  <c r="S2139" i="5" s="1"/>
  <c r="S2140" i="5" a="1"/>
  <c r="S2140" i="5" s="1"/>
  <c r="S2141" i="5" a="1"/>
  <c r="S2141" i="5" s="1"/>
  <c r="S2142" i="5" a="1"/>
  <c r="S2142" i="5" s="1"/>
  <c r="S2143" i="5" a="1"/>
  <c r="S2143" i="5" s="1"/>
  <c r="S2144" i="5" a="1"/>
  <c r="S2144" i="5" s="1"/>
  <c r="S2145" i="5" a="1"/>
  <c r="S2145" i="5" s="1"/>
  <c r="S2146" i="5" a="1"/>
  <c r="S2146" i="5" s="1"/>
  <c r="S2147" i="5" a="1"/>
  <c r="S2147" i="5" s="1"/>
  <c r="S2148" i="5" a="1"/>
  <c r="S2148" i="5" s="1"/>
  <c r="S2149" i="5" a="1"/>
  <c r="S2149" i="5" s="1"/>
  <c r="S2150" i="5" a="1"/>
  <c r="S2150" i="5" s="1"/>
  <c r="S2151" i="5" a="1"/>
  <c r="S2151" i="5" s="1"/>
  <c r="S2152" i="5" a="1"/>
  <c r="S2152" i="5" s="1"/>
  <c r="S2153" i="5" a="1"/>
  <c r="S2153" i="5" s="1"/>
  <c r="S2154" i="5" a="1"/>
  <c r="S2154" i="5" s="1"/>
  <c r="S2155" i="5" a="1"/>
  <c r="S2155" i="5" s="1"/>
  <c r="S2156" i="5" a="1"/>
  <c r="S2156" i="5" s="1"/>
  <c r="S2157" i="5" a="1"/>
  <c r="S2157" i="5" s="1"/>
  <c r="S2158" i="5" a="1"/>
  <c r="S2158" i="5" s="1"/>
  <c r="S2159" i="5" a="1"/>
  <c r="S2159" i="5" s="1"/>
  <c r="S2160" i="5" a="1"/>
  <c r="S2160" i="5" s="1"/>
  <c r="S2161" i="5" a="1"/>
  <c r="S2161" i="5" s="1"/>
  <c r="S2162" i="5" a="1"/>
  <c r="S2162" i="5" s="1"/>
  <c r="S2163" i="5" a="1"/>
  <c r="S2163" i="5" s="1"/>
  <c r="S2164" i="5" a="1"/>
  <c r="S2164" i="5" s="1"/>
  <c r="S2165" i="5" a="1"/>
  <c r="S2165" i="5" s="1"/>
  <c r="S2166" i="5" a="1"/>
  <c r="S2166" i="5" s="1"/>
  <c r="S2167" i="5" a="1"/>
  <c r="S2167" i="5" s="1"/>
  <c r="S2168" i="5" a="1"/>
  <c r="S2168" i="5" s="1"/>
  <c r="S2169" i="5" a="1"/>
  <c r="S2169" i="5" s="1"/>
  <c r="S2170" i="5" a="1"/>
  <c r="S2170" i="5" s="1"/>
  <c r="S2171" i="5" a="1"/>
  <c r="S2171" i="5" s="1"/>
  <c r="S2172" i="5" a="1"/>
  <c r="S2172" i="5" s="1"/>
  <c r="S2173" i="5" a="1"/>
  <c r="S2173" i="5" s="1"/>
  <c r="S2174" i="5" a="1"/>
  <c r="S2174" i="5" s="1"/>
  <c r="S2175" i="5" a="1"/>
  <c r="S2175" i="5" s="1"/>
  <c r="S2176" i="5" a="1"/>
  <c r="S2176" i="5" s="1"/>
  <c r="S2177" i="5" a="1"/>
  <c r="S2177" i="5" s="1"/>
  <c r="S2178" i="5" a="1"/>
  <c r="S2178" i="5" s="1"/>
  <c r="S2179" i="5" a="1"/>
  <c r="S2179" i="5" s="1"/>
  <c r="S2180" i="5" a="1"/>
  <c r="S2180" i="5" s="1"/>
  <c r="S2181" i="5" a="1"/>
  <c r="S2181" i="5"/>
  <c r="S2182" i="5" a="1"/>
  <c r="S2182" i="5" s="1"/>
  <c r="S2183" i="5" a="1"/>
  <c r="S2183" i="5" s="1"/>
  <c r="S2184" i="5" a="1"/>
  <c r="S2184" i="5" s="1"/>
  <c r="S2185" i="5" a="1"/>
  <c r="S2185" i="5" s="1"/>
  <c r="S2186" i="5" a="1"/>
  <c r="S2186" i="5" s="1"/>
  <c r="S2187" i="5" a="1"/>
  <c r="S2187" i="5" s="1"/>
  <c r="S2188" i="5" a="1"/>
  <c r="S2188" i="5" s="1"/>
  <c r="S2189" i="5" a="1"/>
  <c r="S2189" i="5"/>
  <c r="S2190" i="5" a="1"/>
  <c r="S2190" i="5" s="1"/>
  <c r="S2191" i="5" a="1"/>
  <c r="S2191" i="5" s="1"/>
  <c r="S2192" i="5" a="1"/>
  <c r="S2192" i="5" s="1"/>
  <c r="S2193" i="5" a="1"/>
  <c r="S2193" i="5" s="1"/>
  <c r="S2194" i="5" a="1"/>
  <c r="S2194" i="5" s="1"/>
  <c r="S2195" i="5" a="1"/>
  <c r="S2195" i="5" s="1"/>
  <c r="S2196" i="5" a="1"/>
  <c r="S2196" i="5" s="1"/>
  <c r="S2197" i="5" a="1"/>
  <c r="S2197" i="5" s="1"/>
  <c r="S2198" i="5" a="1"/>
  <c r="S2198" i="5" s="1"/>
  <c r="S2199" i="5" a="1"/>
  <c r="S2199" i="5" s="1"/>
  <c r="S2200" i="5" a="1"/>
  <c r="S2200" i="5" s="1"/>
  <c r="S2201" i="5" a="1"/>
  <c r="S2201" i="5"/>
  <c r="S2202" i="5" a="1"/>
  <c r="S2202" i="5" s="1"/>
  <c r="S2203" i="5" a="1"/>
  <c r="S2203" i="5" s="1"/>
  <c r="S2204" i="5" a="1"/>
  <c r="S2204" i="5" s="1"/>
  <c r="S2205" i="5" a="1"/>
  <c r="S2205" i="5" s="1"/>
  <c r="S2206" i="5" a="1"/>
  <c r="S2206" i="5" s="1"/>
  <c r="S2207" i="5" a="1"/>
  <c r="S2207" i="5" s="1"/>
  <c r="S2208" i="5" a="1"/>
  <c r="S2208" i="5" s="1"/>
  <c r="S2209" i="5" a="1"/>
  <c r="S2209" i="5" s="1"/>
  <c r="S2210" i="5" a="1"/>
  <c r="S2210" i="5" s="1"/>
  <c r="S2211" i="5" a="1"/>
  <c r="S2211" i="5" s="1"/>
  <c r="S2212" i="5" a="1"/>
  <c r="S2212" i="5" s="1"/>
  <c r="S2213" i="5" a="1"/>
  <c r="S2213" i="5" s="1"/>
  <c r="S2214" i="5" a="1"/>
  <c r="S2214" i="5" s="1"/>
  <c r="S2215" i="5" a="1"/>
  <c r="S2215" i="5" s="1"/>
  <c r="S2216" i="5" a="1"/>
  <c r="S2216" i="5" s="1"/>
  <c r="S2217" i="5" a="1"/>
  <c r="S2217" i="5" s="1"/>
  <c r="S2218" i="5" a="1"/>
  <c r="S2218" i="5" s="1"/>
  <c r="S2219" i="5" a="1"/>
  <c r="S2219" i="5" s="1"/>
  <c r="S2220" i="5" a="1"/>
  <c r="S2220" i="5" s="1"/>
  <c r="S2221" i="5" a="1"/>
  <c r="S2221" i="5" s="1"/>
  <c r="S2222" i="5" a="1"/>
  <c r="S2222" i="5" s="1"/>
  <c r="S2223" i="5" a="1"/>
  <c r="S2223" i="5" s="1"/>
  <c r="S2224" i="5" a="1"/>
  <c r="S2224" i="5" s="1"/>
  <c r="S2225" i="5" a="1"/>
  <c r="S2225" i="5" s="1"/>
  <c r="S2226" i="5" a="1"/>
  <c r="S2226" i="5" s="1"/>
  <c r="S2227" i="5" a="1"/>
  <c r="S2227" i="5" s="1"/>
  <c r="S2228" i="5" a="1"/>
  <c r="S2228" i="5" s="1"/>
  <c r="S2229" i="5" a="1"/>
  <c r="S2229" i="5" s="1"/>
  <c r="S2230" i="5" a="1"/>
  <c r="S2230" i="5" s="1"/>
  <c r="S2231" i="5" a="1"/>
  <c r="S2231" i="5" s="1"/>
  <c r="S2232" i="5" a="1"/>
  <c r="S2232" i="5" s="1"/>
  <c r="S2233" i="5" a="1"/>
  <c r="S2233" i="5" s="1"/>
  <c r="S2234" i="5" a="1"/>
  <c r="S2234" i="5" s="1"/>
  <c r="S2235" i="5" a="1"/>
  <c r="S2235" i="5" s="1"/>
  <c r="S2236" i="5" a="1"/>
  <c r="S2236" i="5" s="1"/>
  <c r="S2237" i="5" a="1"/>
  <c r="S2237" i="5" s="1"/>
  <c r="S2238" i="5" a="1"/>
  <c r="S2238" i="5" s="1"/>
  <c r="S2239" i="5" a="1"/>
  <c r="S2239" i="5" s="1"/>
  <c r="S2240" i="5" a="1"/>
  <c r="S2240" i="5" s="1"/>
  <c r="S2241" i="5" a="1"/>
  <c r="S2241" i="5" s="1"/>
  <c r="S2242" i="5" a="1"/>
  <c r="S2242" i="5" s="1"/>
  <c r="S2243" i="5" a="1"/>
  <c r="S2243" i="5" s="1"/>
  <c r="S2244" i="5" a="1"/>
  <c r="S2244" i="5" s="1"/>
  <c r="S2245" i="5" a="1"/>
  <c r="S2245" i="5" s="1"/>
  <c r="S2246" i="5" a="1"/>
  <c r="S2246" i="5" s="1"/>
  <c r="S2247" i="5" a="1"/>
  <c r="S2247" i="5" s="1"/>
  <c r="S2248" i="5" a="1"/>
  <c r="S2248" i="5" s="1"/>
  <c r="S2249" i="5" a="1"/>
  <c r="S2249" i="5" s="1"/>
  <c r="S2250" i="5" a="1"/>
  <c r="S2250" i="5" s="1"/>
  <c r="S2251" i="5" a="1"/>
  <c r="S2251" i="5" s="1"/>
  <c r="S2252" i="5" a="1"/>
  <c r="S2252" i="5" s="1"/>
  <c r="S2253" i="5" a="1"/>
  <c r="S2253" i="5" s="1"/>
  <c r="S2254" i="5" a="1"/>
  <c r="S2254" i="5" s="1"/>
  <c r="S2255" i="5" a="1"/>
  <c r="S2255" i="5" s="1"/>
  <c r="S2256" i="5" a="1"/>
  <c r="S2256" i="5" s="1"/>
  <c r="S2257" i="5" a="1"/>
  <c r="S2257" i="5" s="1"/>
  <c r="S2258" i="5" a="1"/>
  <c r="S2258" i="5" s="1"/>
  <c r="S2259" i="5" a="1"/>
  <c r="S2259" i="5" s="1"/>
  <c r="S2260" i="5" a="1"/>
  <c r="S2260" i="5" s="1"/>
  <c r="S2261" i="5" a="1"/>
  <c r="S2261" i="5" s="1"/>
  <c r="S2262" i="5" a="1"/>
  <c r="S2262" i="5" s="1"/>
  <c r="S2263" i="5" a="1"/>
  <c r="S2263" i="5" s="1"/>
  <c r="S2264" i="5" a="1"/>
  <c r="S2264" i="5" s="1"/>
  <c r="S2265" i="5" a="1"/>
  <c r="S2265" i="5" s="1"/>
  <c r="S2266" i="5" a="1"/>
  <c r="S2266" i="5" s="1"/>
  <c r="S2267" i="5" a="1"/>
  <c r="S2267" i="5" s="1"/>
  <c r="S2268" i="5" a="1"/>
  <c r="S2268" i="5" s="1"/>
  <c r="S2269" i="5" a="1"/>
  <c r="S2269" i="5" s="1"/>
  <c r="S2270" i="5" a="1"/>
  <c r="S2270" i="5" s="1"/>
  <c r="S2271" i="5" a="1"/>
  <c r="S2271" i="5" s="1"/>
  <c r="S2272" i="5" a="1"/>
  <c r="S2272" i="5" s="1"/>
  <c r="S2273" i="5" a="1"/>
  <c r="S2273" i="5" s="1"/>
  <c r="S2274" i="5" a="1"/>
  <c r="S2274" i="5" s="1"/>
  <c r="S2275" i="5" a="1"/>
  <c r="S2275" i="5"/>
  <c r="S2276" i="5" a="1"/>
  <c r="S2276" i="5" s="1"/>
  <c r="S2277" i="5" a="1"/>
  <c r="S2277" i="5" s="1"/>
  <c r="S2278" i="5" a="1"/>
  <c r="S2278" i="5" s="1"/>
  <c r="S2279" i="5" a="1"/>
  <c r="S2279" i="5" s="1"/>
  <c r="S2280" i="5" a="1"/>
  <c r="S2280" i="5" s="1"/>
  <c r="S2281" i="5" a="1"/>
  <c r="S2281" i="5" s="1"/>
  <c r="S2282" i="5" a="1"/>
  <c r="S2282" i="5" s="1"/>
  <c r="S2283" i="5" a="1"/>
  <c r="S2283" i="5" s="1"/>
  <c r="S2284" i="5" a="1"/>
  <c r="S2284" i="5" s="1"/>
  <c r="S2285" i="5" a="1"/>
  <c r="S2285" i="5" s="1"/>
  <c r="S2286" i="5" a="1"/>
  <c r="S2286" i="5" s="1"/>
  <c r="S2287" i="5" a="1"/>
  <c r="S2287" i="5" s="1"/>
  <c r="S2288" i="5" a="1"/>
  <c r="S2288" i="5" s="1"/>
  <c r="S2289" i="5" a="1"/>
  <c r="S2289" i="5" s="1"/>
  <c r="S2290" i="5" a="1"/>
  <c r="S2290" i="5" s="1"/>
  <c r="S2291" i="5" a="1"/>
  <c r="S2291" i="5" s="1"/>
  <c r="S2292" i="5" a="1"/>
  <c r="S2292" i="5" s="1"/>
  <c r="S2293" i="5" a="1"/>
  <c r="S2293" i="5" s="1"/>
  <c r="S2294" i="5" a="1"/>
  <c r="S2294" i="5" s="1"/>
  <c r="S2295" i="5" a="1"/>
  <c r="S2295" i="5" s="1"/>
  <c r="S2296" i="5" a="1"/>
  <c r="S2296" i="5" s="1"/>
  <c r="S2297" i="5" a="1"/>
  <c r="S2297" i="5" s="1"/>
  <c r="S2298" i="5" a="1"/>
  <c r="S2298" i="5" s="1"/>
  <c r="S2299" i="5" a="1"/>
  <c r="S2299" i="5" s="1"/>
  <c r="S2300" i="5" a="1"/>
  <c r="S2300" i="5" s="1"/>
  <c r="S2301" i="5" a="1"/>
  <c r="S2301" i="5" s="1"/>
  <c r="S2302" i="5" a="1"/>
  <c r="S2302" i="5" s="1"/>
  <c r="S2303" i="5" a="1"/>
  <c r="S2303" i="5" s="1"/>
  <c r="S2304" i="5" a="1"/>
  <c r="S2304" i="5" s="1"/>
  <c r="S2305" i="5" a="1"/>
  <c r="S2305" i="5" s="1"/>
  <c r="S2306" i="5" a="1"/>
  <c r="S2306" i="5" s="1"/>
  <c r="S2307" i="5" a="1"/>
  <c r="S2307" i="5" s="1"/>
  <c r="S2308" i="5" a="1"/>
  <c r="S2308" i="5" s="1"/>
  <c r="S2309" i="5" a="1"/>
  <c r="S2309" i="5" s="1"/>
  <c r="S2310" i="5" a="1"/>
  <c r="S2310" i="5" s="1"/>
  <c r="S2311" i="5" a="1"/>
  <c r="S2311" i="5" s="1"/>
  <c r="S2312" i="5" a="1"/>
  <c r="S2312" i="5" s="1"/>
  <c r="S2313" i="5" a="1"/>
  <c r="S2313" i="5" s="1"/>
  <c r="S2314" i="5" a="1"/>
  <c r="S2314" i="5" s="1"/>
  <c r="S2315" i="5" a="1"/>
  <c r="S2315" i="5" s="1"/>
  <c r="S2316" i="5" a="1"/>
  <c r="S2316" i="5" s="1"/>
  <c r="S2317" i="5" a="1"/>
  <c r="S2317" i="5" s="1"/>
  <c r="S2318" i="5" a="1"/>
  <c r="S2318" i="5" s="1"/>
  <c r="S2319" i="5" a="1"/>
  <c r="S2319" i="5" s="1"/>
  <c r="S2320" i="5" a="1"/>
  <c r="S2320" i="5" s="1"/>
  <c r="S2321" i="5" a="1"/>
  <c r="S2321" i="5" s="1"/>
  <c r="S2322" i="5" a="1"/>
  <c r="S2322" i="5" s="1"/>
  <c r="S2323" i="5" a="1"/>
  <c r="S2323" i="5"/>
  <c r="S2324" i="5" a="1"/>
  <c r="S2324" i="5" s="1"/>
  <c r="S2325" i="5" a="1"/>
  <c r="S2325" i="5" s="1"/>
  <c r="S2326" i="5" a="1"/>
  <c r="S2326" i="5" s="1"/>
  <c r="S2327" i="5" a="1"/>
  <c r="S2327" i="5" s="1"/>
  <c r="S2328" i="5" a="1"/>
  <c r="S2328" i="5" s="1"/>
  <c r="S2329" i="5" a="1"/>
  <c r="S2329" i="5" s="1"/>
  <c r="S2330" i="5" a="1"/>
  <c r="S2330" i="5" s="1"/>
  <c r="S2331" i="5" a="1"/>
  <c r="S2331" i="5" s="1"/>
  <c r="S2332" i="5" a="1"/>
  <c r="S2332" i="5" s="1"/>
  <c r="S2333" i="5" a="1"/>
  <c r="S2333" i="5" s="1"/>
  <c r="S2334" i="5" a="1"/>
  <c r="S2334" i="5" s="1"/>
  <c r="S2335" i="5" a="1"/>
  <c r="S2335" i="5" s="1"/>
  <c r="S2336" i="5" a="1"/>
  <c r="S2336" i="5" s="1"/>
  <c r="S2337" i="5" a="1"/>
  <c r="S2337" i="5" s="1"/>
  <c r="S2338" i="5" a="1"/>
  <c r="S2338" i="5" s="1"/>
  <c r="S2339" i="5" a="1"/>
  <c r="S2339" i="5" s="1"/>
  <c r="S2340" i="5" a="1"/>
  <c r="S2340" i="5" s="1"/>
  <c r="S2341" i="5" a="1"/>
  <c r="S2341" i="5" s="1"/>
  <c r="S2342" i="5" a="1"/>
  <c r="S2342" i="5" s="1"/>
  <c r="S2343" i="5" a="1"/>
  <c r="S2343" i="5" s="1"/>
  <c r="S2344" i="5" a="1"/>
  <c r="S2344" i="5" s="1"/>
  <c r="S2345" i="5" a="1"/>
  <c r="S2345" i="5" s="1"/>
  <c r="S2346" i="5" a="1"/>
  <c r="S2346" i="5" s="1"/>
  <c r="S2347" i="5" a="1"/>
  <c r="S2347" i="5" s="1"/>
  <c r="S2348" i="5" a="1"/>
  <c r="S2348" i="5" s="1"/>
  <c r="S2349" i="5" a="1"/>
  <c r="S2349" i="5" s="1"/>
  <c r="S2350" i="5" a="1"/>
  <c r="S2350" i="5" s="1"/>
  <c r="S2351" i="5" a="1"/>
  <c r="S2351" i="5"/>
  <c r="S2352" i="5" a="1"/>
  <c r="S2352" i="5" s="1"/>
  <c r="S2353" i="5" a="1"/>
  <c r="S2353" i="5" s="1"/>
  <c r="S2354" i="5" a="1"/>
  <c r="S2354" i="5" s="1"/>
  <c r="S2355" i="5" a="1"/>
  <c r="S2355" i="5" s="1"/>
  <c r="S2356" i="5" a="1"/>
  <c r="S2356" i="5" s="1"/>
  <c r="S2357" i="5" a="1"/>
  <c r="S2357" i="5" s="1"/>
  <c r="S2358" i="5" a="1"/>
  <c r="S2358" i="5" s="1"/>
  <c r="S2359" i="5" a="1"/>
  <c r="S2359" i="5" s="1"/>
  <c r="S2360" i="5" a="1"/>
  <c r="S2360" i="5" s="1"/>
  <c r="S2361" i="5" a="1"/>
  <c r="S2361" i="5" s="1"/>
  <c r="S2362" i="5" a="1"/>
  <c r="S2362" i="5" s="1"/>
  <c r="S2363" i="5" a="1"/>
  <c r="S2363" i="5" s="1"/>
  <c r="S2364" i="5" a="1"/>
  <c r="S2364" i="5" s="1"/>
  <c r="S2365" i="5" a="1"/>
  <c r="S2365" i="5" s="1"/>
  <c r="S2366" i="5" a="1"/>
  <c r="S2366" i="5" s="1"/>
  <c r="S2367" i="5" a="1"/>
  <c r="S2367" i="5" s="1"/>
  <c r="S2368" i="5" a="1"/>
  <c r="S2368" i="5" s="1"/>
  <c r="S2369" i="5" a="1"/>
  <c r="S2369" i="5" s="1"/>
  <c r="S2370" i="5" a="1"/>
  <c r="S2370" i="5" s="1"/>
  <c r="S2371" i="5" a="1"/>
  <c r="S2371" i="5" s="1"/>
  <c r="S2372" i="5" a="1"/>
  <c r="S2372" i="5" s="1"/>
  <c r="S2373" i="5" a="1"/>
  <c r="S2373" i="5" s="1"/>
  <c r="S2374" i="5" a="1"/>
  <c r="S2374" i="5" s="1"/>
  <c r="S2375" i="5" a="1"/>
  <c r="S2375" i="5" s="1"/>
  <c r="S2376" i="5" a="1"/>
  <c r="S2376" i="5" s="1"/>
  <c r="S2377" i="5" a="1"/>
  <c r="S2377" i="5" s="1"/>
  <c r="S2378" i="5" a="1"/>
  <c r="S2378" i="5" s="1"/>
  <c r="S2379" i="5" a="1"/>
  <c r="S2379" i="5" s="1"/>
  <c r="S2380" i="5" a="1"/>
  <c r="S2380" i="5" s="1"/>
  <c r="S2381" i="5" a="1"/>
  <c r="S2381" i="5" s="1"/>
  <c r="S2382" i="5" a="1"/>
  <c r="S2382" i="5" s="1"/>
  <c r="S2383" i="5" a="1"/>
  <c r="S2383" i="5" s="1"/>
  <c r="S2384" i="5" a="1"/>
  <c r="S2384" i="5" s="1"/>
  <c r="S2385" i="5" a="1"/>
  <c r="S2385" i="5" s="1"/>
  <c r="S2386" i="5" a="1"/>
  <c r="S2386" i="5" s="1"/>
  <c r="S2387" i="5" a="1"/>
  <c r="S2387" i="5" s="1"/>
  <c r="S2388" i="5" a="1"/>
  <c r="S2388" i="5" s="1"/>
  <c r="S2389" i="5" a="1"/>
  <c r="S2389" i="5" s="1"/>
  <c r="S2390" i="5" a="1"/>
  <c r="S2390" i="5" s="1"/>
  <c r="S2391" i="5" a="1"/>
  <c r="S2391" i="5" s="1"/>
  <c r="S2392" i="5" a="1"/>
  <c r="S2392" i="5" s="1"/>
  <c r="S2393" i="5" a="1"/>
  <c r="S2393" i="5" s="1"/>
  <c r="S2394" i="5" a="1"/>
  <c r="S2394" i="5" s="1"/>
  <c r="S2395" i="5" a="1"/>
  <c r="S2395" i="5" s="1"/>
  <c r="S2396" i="5" a="1"/>
  <c r="S2396" i="5" s="1"/>
  <c r="S2397" i="5" a="1"/>
  <c r="S2397" i="5" s="1"/>
  <c r="S2398" i="5" a="1"/>
  <c r="S2398" i="5" s="1"/>
  <c r="S2399" i="5" a="1"/>
  <c r="S2399" i="5" s="1"/>
  <c r="S2400" i="5" a="1"/>
  <c r="S2400" i="5" s="1"/>
  <c r="S2401" i="5" a="1"/>
  <c r="S2401" i="5" s="1"/>
  <c r="S2402" i="5" a="1"/>
  <c r="S2402" i="5" s="1"/>
  <c r="S2403" i="5" a="1"/>
  <c r="S2403" i="5" s="1"/>
  <c r="S2404" i="5" a="1"/>
  <c r="S2404" i="5" s="1"/>
  <c r="S2405" i="5" a="1"/>
  <c r="S2405" i="5" s="1"/>
  <c r="S2406" i="5" a="1"/>
  <c r="S2406" i="5" s="1"/>
  <c r="S2407" i="5" a="1"/>
  <c r="S2407" i="5" s="1"/>
  <c r="S2408" i="5" a="1"/>
  <c r="S2408" i="5" s="1"/>
  <c r="S2409" i="5" a="1"/>
  <c r="S2409" i="5" s="1"/>
  <c r="S2410" i="5" a="1"/>
  <c r="S2410" i="5" s="1"/>
  <c r="S2411" i="5" a="1"/>
  <c r="S2411" i="5" s="1"/>
  <c r="S2412" i="5" a="1"/>
  <c r="S2412" i="5" s="1"/>
  <c r="S2413" i="5" a="1"/>
  <c r="S2413" i="5" s="1"/>
  <c r="S2414" i="5" a="1"/>
  <c r="S2414" i="5" s="1"/>
  <c r="S2415" i="5" a="1"/>
  <c r="S2415" i="5" s="1"/>
  <c r="S2416" i="5" a="1"/>
  <c r="S2416" i="5" s="1"/>
  <c r="S2417" i="5" a="1"/>
  <c r="S2417" i="5" s="1"/>
  <c r="S2418" i="5" a="1"/>
  <c r="S2418" i="5" s="1"/>
  <c r="S2419" i="5" a="1"/>
  <c r="S2419" i="5" s="1"/>
  <c r="S2420" i="5" a="1"/>
  <c r="S2420" i="5" s="1"/>
  <c r="S2421" i="5" a="1"/>
  <c r="S2421" i="5" s="1"/>
  <c r="S2422" i="5" a="1"/>
  <c r="S2422" i="5" s="1"/>
  <c r="S2423" i="5" a="1"/>
  <c r="S2423" i="5" s="1"/>
  <c r="S2424" i="5" a="1"/>
  <c r="S2424" i="5" s="1"/>
  <c r="S2425" i="5" a="1"/>
  <c r="S2425" i="5" s="1"/>
  <c r="S2426" i="5" a="1"/>
  <c r="S2426" i="5" s="1"/>
  <c r="S2427" i="5" a="1"/>
  <c r="S2427" i="5" s="1"/>
  <c r="S2428" i="5" a="1"/>
  <c r="S2428" i="5" s="1"/>
  <c r="S2429" i="5" a="1"/>
  <c r="S2429" i="5" s="1"/>
  <c r="S2430" i="5" a="1"/>
  <c r="S2430" i="5" s="1"/>
  <c r="S2431" i="5" a="1"/>
  <c r="S2431" i="5"/>
  <c r="S2432" i="5" a="1"/>
  <c r="S2432" i="5" s="1"/>
  <c r="S2433" i="5" a="1"/>
  <c r="S2433" i="5" s="1"/>
  <c r="S2434" i="5" a="1"/>
  <c r="S2434" i="5" s="1"/>
  <c r="S2435" i="5" a="1"/>
  <c r="S2435" i="5" s="1"/>
  <c r="S2436" i="5" a="1"/>
  <c r="S2436" i="5" s="1"/>
  <c r="S2437" i="5" a="1"/>
  <c r="S2437" i="5" s="1"/>
  <c r="S2438" i="5" a="1"/>
  <c r="S2438" i="5" s="1"/>
  <c r="S2439" i="5" a="1"/>
  <c r="S2439" i="5" s="1"/>
  <c r="S2440" i="5" a="1"/>
  <c r="S2440" i="5" s="1"/>
  <c r="S2441" i="5" a="1"/>
  <c r="S2441" i="5" s="1"/>
  <c r="S2442" i="5" a="1"/>
  <c r="S2442" i="5" s="1"/>
  <c r="S2443" i="5" a="1"/>
  <c r="S2443" i="5" s="1"/>
  <c r="S2444" i="5" a="1"/>
  <c r="S2444" i="5" s="1"/>
  <c r="S2445" i="5" a="1"/>
  <c r="S2445" i="5" s="1"/>
  <c r="S2446" i="5" a="1"/>
  <c r="S2446" i="5" s="1"/>
  <c r="S2447" i="5" a="1"/>
  <c r="S2447" i="5" s="1"/>
  <c r="S2448" i="5" a="1"/>
  <c r="S2448" i="5" s="1"/>
  <c r="S2449" i="5" a="1"/>
  <c r="S2449" i="5" s="1"/>
  <c r="S2450" i="5" a="1"/>
  <c r="S2450" i="5" s="1"/>
  <c r="S2451" i="5" a="1"/>
  <c r="S2451" i="5" s="1"/>
  <c r="S2452" i="5" a="1"/>
  <c r="S2452" i="5" s="1"/>
  <c r="S2453" i="5" a="1"/>
  <c r="S2453" i="5" s="1"/>
  <c r="S2454" i="5" a="1"/>
  <c r="S2454" i="5" s="1"/>
  <c r="S2455" i="5" a="1"/>
  <c r="S2455" i="5"/>
  <c r="S2456" i="5" a="1"/>
  <c r="S2456" i="5" s="1"/>
  <c r="S2457" i="5" a="1"/>
  <c r="S2457" i="5" s="1"/>
  <c r="S2458" i="5" a="1"/>
  <c r="S2458" i="5" s="1"/>
  <c r="S2459" i="5" a="1"/>
  <c r="S2459" i="5" s="1"/>
  <c r="S2460" i="5" a="1"/>
  <c r="S2460" i="5" s="1"/>
  <c r="S2461" i="5" a="1"/>
  <c r="S2461" i="5" s="1"/>
  <c r="S2462" i="5" a="1"/>
  <c r="S2462" i="5" s="1"/>
  <c r="S2463" i="5" a="1"/>
  <c r="S2463" i="5" s="1"/>
  <c r="S2464" i="5" a="1"/>
  <c r="S2464" i="5" s="1"/>
  <c r="S2465" i="5" a="1"/>
  <c r="S2465" i="5" s="1"/>
  <c r="S2466" i="5" a="1"/>
  <c r="S2466" i="5" s="1"/>
  <c r="S2467" i="5" a="1"/>
  <c r="S2467" i="5" s="1"/>
  <c r="S2468" i="5" a="1"/>
  <c r="S2468" i="5" s="1"/>
  <c r="S2469" i="5" a="1"/>
  <c r="S2469" i="5" s="1"/>
  <c r="S2470" i="5" a="1"/>
  <c r="S2470" i="5" s="1"/>
  <c r="S2471" i="5" a="1"/>
  <c r="S2471" i="5" s="1"/>
  <c r="S2472" i="5" a="1"/>
  <c r="S2472" i="5" s="1"/>
  <c r="S2473" i="5" a="1"/>
  <c r="S2473" i="5" s="1"/>
  <c r="S2474" i="5" a="1"/>
  <c r="S2474" i="5" s="1"/>
  <c r="S2475" i="5" a="1"/>
  <c r="S2475" i="5" s="1"/>
  <c r="S2476" i="5" a="1"/>
  <c r="S2476" i="5" s="1"/>
  <c r="S2477" i="5" a="1"/>
  <c r="S2477" i="5" s="1"/>
  <c r="S2478" i="5" a="1"/>
  <c r="S2478" i="5" s="1"/>
  <c r="S2479" i="5" a="1"/>
  <c r="S2479" i="5" s="1"/>
  <c r="S2480" i="5" a="1"/>
  <c r="S2480" i="5" s="1"/>
  <c r="S2481" i="5" a="1"/>
  <c r="S2481" i="5" s="1"/>
  <c r="S2482" i="5" a="1"/>
  <c r="S2482" i="5" s="1"/>
  <c r="S2483" i="5" a="1"/>
  <c r="S2483" i="5" s="1"/>
  <c r="S2484" i="5" a="1"/>
  <c r="S2484" i="5" s="1"/>
  <c r="S2485" i="5" a="1"/>
  <c r="S2485" i="5" s="1"/>
  <c r="S2486" i="5" a="1"/>
  <c r="S2486" i="5" s="1"/>
  <c r="S2487" i="5" a="1"/>
  <c r="S2487" i="5" s="1"/>
  <c r="S2488" i="5" a="1"/>
  <c r="S2488" i="5" s="1"/>
  <c r="S2489" i="5" a="1"/>
  <c r="S2489" i="5" s="1"/>
  <c r="S2490" i="5" a="1"/>
  <c r="S2490" i="5" s="1"/>
  <c r="S2491" i="5" a="1"/>
  <c r="S2491" i="5" s="1"/>
  <c r="S2492" i="5" a="1"/>
  <c r="S2492" i="5" s="1"/>
  <c r="S2493" i="5" a="1"/>
  <c r="S2493" i="5" s="1"/>
  <c r="S2494" i="5" a="1"/>
  <c r="S2494" i="5" s="1"/>
  <c r="S2495" i="5" a="1"/>
  <c r="S2495" i="5" s="1"/>
  <c r="S2496" i="5" a="1"/>
  <c r="S2496" i="5" s="1"/>
  <c r="S2497" i="5" a="1"/>
  <c r="S2497" i="5" s="1"/>
  <c r="S2498" i="5" a="1"/>
  <c r="S2498" i="5" s="1"/>
  <c r="S2499" i="5" a="1"/>
  <c r="S2499" i="5" s="1"/>
  <c r="S2500" i="5" a="1"/>
  <c r="S2500" i="5" s="1"/>
  <c r="S2501" i="5" a="1"/>
  <c r="S2501" i="5" s="1"/>
  <c r="S2502" i="5" a="1"/>
  <c r="S2502" i="5" s="1"/>
  <c r="S2503" i="5" a="1"/>
  <c r="S2503" i="5"/>
  <c r="S2504" i="5" a="1"/>
  <c r="S2504" i="5" s="1"/>
  <c r="S2505" i="5" a="1"/>
  <c r="S2505" i="5" s="1"/>
  <c r="S2506" i="5" a="1"/>
  <c r="S2506" i="5" s="1"/>
  <c r="S2507" i="5" a="1"/>
  <c r="S2507" i="5" s="1"/>
  <c r="S2508" i="5" a="1"/>
  <c r="S2508" i="5" s="1"/>
  <c r="S2509" i="5" a="1"/>
  <c r="S2509" i="5" s="1"/>
  <c r="S2510" i="5" a="1"/>
  <c r="S2510" i="5" s="1"/>
  <c r="S2511" i="5" a="1"/>
  <c r="S2511" i="5" s="1"/>
  <c r="S2512" i="5" a="1"/>
  <c r="S2512" i="5" s="1"/>
  <c r="S2513" i="5" a="1"/>
  <c r="S2513" i="5" s="1"/>
  <c r="S2514" i="5" a="1"/>
  <c r="S2514" i="5" s="1"/>
  <c r="S2515" i="5" a="1"/>
  <c r="S2515" i="5" s="1"/>
  <c r="S2516" i="5" a="1"/>
  <c r="S2516" i="5" s="1"/>
  <c r="S2517" i="5" a="1"/>
  <c r="S2517" i="5" s="1"/>
  <c r="S2518" i="5" a="1"/>
  <c r="S2518" i="5" s="1"/>
  <c r="S2519" i="5" a="1"/>
  <c r="S2519" i="5"/>
  <c r="S2520" i="5" a="1"/>
  <c r="S2520" i="5" s="1"/>
  <c r="S2521" i="5" a="1"/>
  <c r="S2521" i="5" s="1"/>
  <c r="S2522" i="5" a="1"/>
  <c r="S2522" i="5" s="1"/>
  <c r="S2523" i="5" a="1"/>
  <c r="S2523" i="5" s="1"/>
  <c r="S2524" i="5" a="1"/>
  <c r="S2524" i="5" s="1"/>
  <c r="S2525" i="5" a="1"/>
  <c r="S2525" i="5" s="1"/>
  <c r="S2526" i="5" a="1"/>
  <c r="S2526" i="5" s="1"/>
  <c r="S2527" i="5" a="1"/>
  <c r="S2527" i="5"/>
  <c r="S2528" i="5" a="1"/>
  <c r="S2528" i="5" s="1"/>
  <c r="S2529" i="5" a="1"/>
  <c r="S2529" i="5" s="1"/>
  <c r="S2530" i="5" a="1"/>
  <c r="S2530" i="5" s="1"/>
  <c r="S2531" i="5" a="1"/>
  <c r="S2531" i="5" s="1"/>
  <c r="S2532" i="5" a="1"/>
  <c r="S2532" i="5" s="1"/>
  <c r="S2533" i="5" a="1"/>
  <c r="S2533" i="5" s="1"/>
  <c r="S2534" i="5" a="1"/>
  <c r="S2534" i="5" s="1"/>
  <c r="S2535" i="5" a="1"/>
  <c r="S2535" i="5" s="1"/>
  <c r="S2536" i="5" a="1"/>
  <c r="S2536" i="5" s="1"/>
  <c r="S2537" i="5" a="1"/>
  <c r="S2537" i="5" s="1"/>
  <c r="S2538" i="5" a="1"/>
  <c r="S2538" i="5" s="1"/>
  <c r="S2539" i="5" a="1"/>
  <c r="S2539" i="5" s="1"/>
  <c r="S2540" i="5" a="1"/>
  <c r="S2540" i="5" s="1"/>
  <c r="S2541" i="5" a="1"/>
  <c r="S2541" i="5" s="1"/>
  <c r="S2542" i="5" a="1"/>
  <c r="S2542" i="5" s="1"/>
  <c r="S2543" i="5" a="1"/>
  <c r="S2543" i="5" s="1"/>
  <c r="S2544" i="5" a="1"/>
  <c r="S2544" i="5" s="1"/>
  <c r="S2545" i="5" a="1"/>
  <c r="S2545" i="5" s="1"/>
  <c r="S2546" i="5" a="1"/>
  <c r="S2546" i="5" s="1"/>
  <c r="S2547" i="5" a="1"/>
  <c r="S2547" i="5" s="1"/>
  <c r="S2548" i="5" a="1"/>
  <c r="S2548" i="5" s="1"/>
  <c r="S2549" i="5" a="1"/>
  <c r="S2549" i="5" s="1"/>
  <c r="S2550" i="5" a="1"/>
  <c r="S2550" i="5" s="1"/>
  <c r="S2551" i="5" a="1"/>
  <c r="S2551" i="5"/>
  <c r="S2552" i="5" a="1"/>
  <c r="S2552" i="5" s="1"/>
  <c r="S2553" i="5" a="1"/>
  <c r="S2553" i="5" s="1"/>
  <c r="S2554" i="5" a="1"/>
  <c r="S2554" i="5" s="1"/>
  <c r="S2555" i="5" a="1"/>
  <c r="S2555" i="5" s="1"/>
  <c r="S2556" i="5" a="1"/>
  <c r="S2556" i="5" s="1"/>
  <c r="S2557" i="5" a="1"/>
  <c r="S2557" i="5" s="1"/>
  <c r="S2558" i="5" a="1"/>
  <c r="S2558" i="5" s="1"/>
  <c r="S2559" i="5" a="1"/>
  <c r="S2559" i="5"/>
  <c r="S2560" i="5" a="1"/>
  <c r="S2560" i="5" s="1"/>
  <c r="S2561" i="5" a="1"/>
  <c r="S2561" i="5" s="1"/>
  <c r="S2562" i="5" a="1"/>
  <c r="S2562" i="5" s="1"/>
  <c r="S2563" i="5" a="1"/>
  <c r="S2563" i="5" s="1"/>
  <c r="S2564" i="5" a="1"/>
  <c r="S2564" i="5" s="1"/>
  <c r="S2565" i="5" a="1"/>
  <c r="S2565" i="5" s="1"/>
  <c r="S2566" i="5" a="1"/>
  <c r="S2566" i="5" s="1"/>
  <c r="S2567" i="5" a="1"/>
  <c r="S2567" i="5" s="1"/>
  <c r="S2568" i="5" a="1"/>
  <c r="S2568" i="5" s="1"/>
  <c r="S2569" i="5" a="1"/>
  <c r="S2569" i="5" s="1"/>
  <c r="S2570" i="5" a="1"/>
  <c r="S2570" i="5" s="1"/>
  <c r="S2571" i="5" a="1"/>
  <c r="S2571" i="5" s="1"/>
  <c r="S2572" i="5" a="1"/>
  <c r="S2572" i="5" s="1"/>
  <c r="S2573" i="5" a="1"/>
  <c r="S2573" i="5" s="1"/>
  <c r="S2574" i="5" a="1"/>
  <c r="S2574" i="5" s="1"/>
  <c r="S2575" i="5" a="1"/>
  <c r="S2575" i="5"/>
  <c r="S2576" i="5" a="1"/>
  <c r="S2576" i="5" s="1"/>
  <c r="S2577" i="5" a="1"/>
  <c r="S2577" i="5" s="1"/>
  <c r="S2578" i="5" a="1"/>
  <c r="S2578" i="5" s="1"/>
  <c r="S2579" i="5" a="1"/>
  <c r="S2579" i="5" s="1"/>
  <c r="S2580" i="5" a="1"/>
  <c r="S2580" i="5" s="1"/>
  <c r="S2581" i="5" a="1"/>
  <c r="S2581" i="5" s="1"/>
  <c r="S2582" i="5" a="1"/>
  <c r="S2582" i="5" s="1"/>
  <c r="S2583" i="5" a="1"/>
  <c r="S2583" i="5" s="1"/>
  <c r="S2584" i="5" a="1"/>
  <c r="S2584" i="5" s="1"/>
  <c r="S2585" i="5" a="1"/>
  <c r="S2585" i="5" s="1"/>
  <c r="S2586" i="5" a="1"/>
  <c r="S2586" i="5" s="1"/>
  <c r="S2587" i="5" a="1"/>
  <c r="S2587" i="5" s="1"/>
  <c r="S2588" i="5" a="1"/>
  <c r="S2588" i="5" s="1"/>
  <c r="S2589" i="5" a="1"/>
  <c r="S2589" i="5" s="1"/>
  <c r="S2590" i="5" a="1"/>
  <c r="S2590" i="5" s="1"/>
  <c r="S2591" i="5" a="1"/>
  <c r="S2591" i="5" s="1"/>
  <c r="S2592" i="5" a="1"/>
  <c r="S2592" i="5" s="1"/>
  <c r="S2593" i="5" a="1"/>
  <c r="S2593" i="5" s="1"/>
  <c r="S2594" i="5" a="1"/>
  <c r="S2594" i="5" s="1"/>
  <c r="S2595" i="5" a="1"/>
  <c r="S2595" i="5" s="1"/>
  <c r="S2596" i="5" a="1"/>
  <c r="S2596" i="5" s="1"/>
  <c r="S2597" i="5" a="1"/>
  <c r="S2597" i="5" s="1"/>
  <c r="S2598" i="5" a="1"/>
  <c r="S2598" i="5" s="1"/>
  <c r="S2599" i="5" a="1"/>
  <c r="S2599" i="5"/>
  <c r="S2600" i="5" a="1"/>
  <c r="S2600" i="5" s="1"/>
  <c r="S2601" i="5" a="1"/>
  <c r="S2601" i="5" s="1"/>
  <c r="S2602" i="5" a="1"/>
  <c r="S2602" i="5" s="1"/>
  <c r="S2603" i="5" a="1"/>
  <c r="S2603" i="5" s="1"/>
  <c r="S2604" i="5" a="1"/>
  <c r="S2604" i="5" s="1"/>
  <c r="S2605" i="5" a="1"/>
  <c r="S2605" i="5" s="1"/>
  <c r="S2606" i="5" a="1"/>
  <c r="S2606" i="5" s="1"/>
  <c r="S2607" i="5" a="1"/>
  <c r="S2607" i="5" s="1"/>
  <c r="S2608" i="5" a="1"/>
  <c r="S2608" i="5" s="1"/>
  <c r="S2609" i="5" a="1"/>
  <c r="S2609" i="5" s="1"/>
  <c r="S2610" i="5" a="1"/>
  <c r="S2610" i="5" s="1"/>
  <c r="S2611" i="5" a="1"/>
  <c r="S2611" i="5" s="1"/>
  <c r="S2612" i="5" a="1"/>
  <c r="S2612" i="5" s="1"/>
  <c r="S2613" i="5" a="1"/>
  <c r="S2613" i="5" s="1"/>
  <c r="S2614" i="5" a="1"/>
  <c r="S2614" i="5" s="1"/>
  <c r="S2615" i="5" a="1"/>
  <c r="S2615" i="5"/>
  <c r="S2616" i="5" a="1"/>
  <c r="S2616" i="5" s="1"/>
  <c r="S2617" i="5" a="1"/>
  <c r="S2617" i="5" s="1"/>
  <c r="S2618" i="5" a="1"/>
  <c r="S2618" i="5" s="1"/>
  <c r="S2619" i="5" a="1"/>
  <c r="S2619" i="5" s="1"/>
  <c r="S2620" i="5" a="1"/>
  <c r="S2620" i="5" s="1"/>
  <c r="S2621" i="5" a="1"/>
  <c r="S2621" i="5" s="1"/>
  <c r="S2622" i="5" a="1"/>
  <c r="S2622" i="5" s="1"/>
  <c r="S2623" i="5" a="1"/>
  <c r="S2623" i="5" s="1"/>
  <c r="S2624" i="5" a="1"/>
  <c r="S2624" i="5" s="1"/>
  <c r="S2625" i="5" a="1"/>
  <c r="S2625" i="5" s="1"/>
  <c r="S2626" i="5" a="1"/>
  <c r="S2626" i="5" s="1"/>
  <c r="S2627" i="5" a="1"/>
  <c r="S2627" i="5" s="1"/>
  <c r="S2628" i="5" a="1"/>
  <c r="S2628" i="5" s="1"/>
  <c r="S2629" i="5" a="1"/>
  <c r="S2629" i="5" s="1"/>
  <c r="S2630" i="5" a="1"/>
  <c r="S2630" i="5" s="1"/>
  <c r="S2631" i="5" a="1"/>
  <c r="S2631" i="5" s="1"/>
  <c r="S2632" i="5" a="1"/>
  <c r="S2632" i="5" s="1"/>
  <c r="S2633" i="5" a="1"/>
  <c r="S2633" i="5" s="1"/>
  <c r="S2634" i="5" a="1"/>
  <c r="S2634" i="5" s="1"/>
  <c r="S2635" i="5" a="1"/>
  <c r="S2635" i="5" s="1"/>
  <c r="S2636" i="5" a="1"/>
  <c r="S2636" i="5" s="1"/>
  <c r="S2637" i="5" a="1"/>
  <c r="S2637" i="5" s="1"/>
  <c r="S2638" i="5" a="1"/>
  <c r="S2638" i="5" s="1"/>
  <c r="S2639" i="5" a="1"/>
  <c r="S2639" i="5" s="1"/>
  <c r="S2640" i="5" a="1"/>
  <c r="S2640" i="5" s="1"/>
  <c r="S2641" i="5" a="1"/>
  <c r="S2641" i="5" s="1"/>
  <c r="S2642" i="5" a="1"/>
  <c r="S2642" i="5" s="1"/>
  <c r="S2643" i="5" a="1"/>
  <c r="S2643" i="5" s="1"/>
  <c r="S2644" i="5" a="1"/>
  <c r="S2644" i="5" s="1"/>
  <c r="S2645" i="5" a="1"/>
  <c r="S2645" i="5" s="1"/>
  <c r="S2646" i="5" a="1"/>
  <c r="S2646" i="5" s="1"/>
  <c r="S2647" i="5" a="1"/>
  <c r="S2647" i="5" s="1"/>
  <c r="S2648" i="5" a="1"/>
  <c r="S2648" i="5" s="1"/>
  <c r="S2649" i="5" a="1"/>
  <c r="S2649" i="5" s="1"/>
  <c r="S2650" i="5" a="1"/>
  <c r="S2650" i="5" s="1"/>
  <c r="S2651" i="5" a="1"/>
  <c r="S2651" i="5" s="1"/>
  <c r="S2652" i="5" a="1"/>
  <c r="S2652" i="5" s="1"/>
  <c r="S2653" i="5" a="1"/>
  <c r="S2653" i="5" s="1"/>
  <c r="S2654" i="5" a="1"/>
  <c r="S2654" i="5" s="1"/>
  <c r="S2655" i="5" a="1"/>
  <c r="S2655" i="5" s="1"/>
  <c r="S2656" i="5" a="1"/>
  <c r="S2656" i="5" s="1"/>
  <c r="S2657" i="5" a="1"/>
  <c r="S2657" i="5" s="1"/>
  <c r="S2658" i="5" a="1"/>
  <c r="S2658" i="5" s="1"/>
  <c r="S2659" i="5" a="1"/>
  <c r="S2659" i="5"/>
  <c r="S2660" i="5" a="1"/>
  <c r="S2660" i="5" s="1"/>
  <c r="S2661" i="5" a="1"/>
  <c r="S2661" i="5" s="1"/>
  <c r="S2662" i="5" a="1"/>
  <c r="S2662" i="5" s="1"/>
  <c r="S2663" i="5" a="1"/>
  <c r="S2663" i="5"/>
  <c r="S2664" i="5" a="1"/>
  <c r="S2664" i="5" s="1"/>
  <c r="S2665" i="5" a="1"/>
  <c r="S2665" i="5" s="1"/>
  <c r="S2666" i="5" a="1"/>
  <c r="S2666" i="5" s="1"/>
  <c r="S2667" i="5" a="1"/>
  <c r="S2667" i="5" s="1"/>
  <c r="S2668" i="5" a="1"/>
  <c r="S2668" i="5" s="1"/>
  <c r="S2669" i="5" a="1"/>
  <c r="S2669" i="5" s="1"/>
  <c r="S2670" i="5" a="1"/>
  <c r="S2670" i="5" s="1"/>
  <c r="S2671" i="5" a="1"/>
  <c r="S2671" i="5" s="1"/>
  <c r="S2672" i="5" a="1"/>
  <c r="S2672" i="5" s="1"/>
  <c r="S2673" i="5" a="1"/>
  <c r="S2673" i="5" s="1"/>
  <c r="S2674" i="5" a="1"/>
  <c r="S2674" i="5" s="1"/>
  <c r="S2675" i="5" a="1"/>
  <c r="S2675" i="5" s="1"/>
  <c r="S2676" i="5" a="1"/>
  <c r="S2676" i="5" s="1"/>
  <c r="S2677" i="5" a="1"/>
  <c r="S2677" i="5" s="1"/>
  <c r="S2678" i="5" a="1"/>
  <c r="S2678" i="5" s="1"/>
  <c r="S2679" i="5" a="1"/>
  <c r="S2679" i="5" s="1"/>
  <c r="S2680" i="5" a="1"/>
  <c r="S2680" i="5" s="1"/>
  <c r="S2681" i="5" a="1"/>
  <c r="S2681" i="5" s="1"/>
  <c r="S2682" i="5" a="1"/>
  <c r="S2682" i="5" s="1"/>
  <c r="S2683" i="5" a="1"/>
  <c r="S2683" i="5" s="1"/>
  <c r="S2684" i="5" a="1"/>
  <c r="S2684" i="5" s="1"/>
  <c r="S2685" i="5" a="1"/>
  <c r="S2685" i="5" s="1"/>
  <c r="S2686" i="5" a="1"/>
  <c r="S2686" i="5" s="1"/>
  <c r="S2687" i="5" a="1"/>
  <c r="S2687" i="5" s="1"/>
  <c r="S2688" i="5" a="1"/>
  <c r="S2688" i="5" s="1"/>
  <c r="S2689" i="5" a="1"/>
  <c r="S2689" i="5" s="1"/>
  <c r="S2690" i="5" a="1"/>
  <c r="S2690" i="5" s="1"/>
  <c r="S2691" i="5" a="1"/>
  <c r="S2691" i="5" s="1"/>
  <c r="S2692" i="5" a="1"/>
  <c r="S2692" i="5" s="1"/>
  <c r="S2693" i="5" a="1"/>
  <c r="S2693" i="5" s="1"/>
  <c r="S2694" i="5" a="1"/>
  <c r="S2694" i="5" s="1"/>
  <c r="S2695" i="5" a="1"/>
  <c r="S2695" i="5" s="1"/>
  <c r="S2696" i="5" a="1"/>
  <c r="S2696" i="5" s="1"/>
  <c r="S2697" i="5" a="1"/>
  <c r="S2697" i="5" s="1"/>
  <c r="S2698" i="5" a="1"/>
  <c r="S2698" i="5" s="1"/>
  <c r="S2699" i="5" a="1"/>
  <c r="S2699" i="5" s="1"/>
  <c r="S2700" i="5" a="1"/>
  <c r="S2700" i="5" s="1"/>
  <c r="S2701" i="5" a="1"/>
  <c r="S2701" i="5" s="1"/>
  <c r="S2702" i="5" a="1"/>
  <c r="S2702" i="5" s="1"/>
  <c r="S2703" i="5" a="1"/>
  <c r="S2703" i="5"/>
  <c r="S2704" i="5" a="1"/>
  <c r="S2704" i="5" s="1"/>
  <c r="S2705" i="5" a="1"/>
  <c r="S2705" i="5" s="1"/>
  <c r="S2706" i="5" a="1"/>
  <c r="S2706" i="5" s="1"/>
  <c r="S2707" i="5" a="1"/>
  <c r="S2707" i="5"/>
  <c r="S2708" i="5" a="1"/>
  <c r="S2708" i="5" s="1"/>
  <c r="S2709" i="5" a="1"/>
  <c r="S2709" i="5" s="1"/>
  <c r="S2710" i="5" a="1"/>
  <c r="S2710" i="5" s="1"/>
  <c r="S2711" i="5" a="1"/>
  <c r="S2711" i="5" s="1"/>
  <c r="S2712" i="5" a="1"/>
  <c r="S2712" i="5" s="1"/>
  <c r="S2713" i="5" a="1"/>
  <c r="S2713" i="5" s="1"/>
  <c r="S2714" i="5" a="1"/>
  <c r="S2714" i="5" s="1"/>
  <c r="S2715" i="5" a="1"/>
  <c r="S2715" i="5" s="1"/>
  <c r="S2716" i="5" a="1"/>
  <c r="S2716" i="5" s="1"/>
  <c r="S2717" i="5" a="1"/>
  <c r="S2717" i="5" s="1"/>
  <c r="S2718" i="5" a="1"/>
  <c r="S2718" i="5" s="1"/>
  <c r="S2719" i="5" a="1"/>
  <c r="S2719" i="5" s="1"/>
  <c r="S2720" i="5" a="1"/>
  <c r="S2720" i="5" s="1"/>
  <c r="S2721" i="5" a="1"/>
  <c r="S2721" i="5" s="1"/>
  <c r="S2722" i="5" a="1"/>
  <c r="S2722" i="5" s="1"/>
  <c r="S2723" i="5" a="1"/>
  <c r="S2723" i="5"/>
  <c r="S2724" i="5" a="1"/>
  <c r="S2724" i="5" s="1"/>
  <c r="S2725" i="5" a="1"/>
  <c r="S2725" i="5" s="1"/>
  <c r="S2726" i="5" a="1"/>
  <c r="S2726" i="5" s="1"/>
  <c r="S2727" i="5" a="1"/>
  <c r="S2727" i="5" s="1"/>
  <c r="S2728" i="5" a="1"/>
  <c r="S2728" i="5" s="1"/>
  <c r="S2729" i="5" a="1"/>
  <c r="S2729" i="5" s="1"/>
  <c r="S2730" i="5" a="1"/>
  <c r="S2730" i="5" s="1"/>
  <c r="S2731" i="5" a="1"/>
  <c r="S2731" i="5" s="1"/>
  <c r="S2732" i="5" a="1"/>
  <c r="S2732" i="5" s="1"/>
  <c r="S2733" i="5" a="1"/>
  <c r="S2733" i="5" s="1"/>
  <c r="S2734" i="5" a="1"/>
  <c r="S2734" i="5" s="1"/>
  <c r="S2735" i="5" a="1"/>
  <c r="S2735" i="5" s="1"/>
  <c r="S2736" i="5" a="1"/>
  <c r="S2736" i="5" s="1"/>
  <c r="S2737" i="5" a="1"/>
  <c r="S2737" i="5" s="1"/>
  <c r="S2738" i="5" a="1"/>
  <c r="S2738" i="5" s="1"/>
  <c r="S2739" i="5" a="1"/>
  <c r="S2739" i="5" s="1"/>
  <c r="S2740" i="5" a="1"/>
  <c r="S2740" i="5" s="1"/>
  <c r="S2741" i="5" a="1"/>
  <c r="S2741" i="5" s="1"/>
  <c r="S2742" i="5" a="1"/>
  <c r="S2742" i="5" s="1"/>
  <c r="S2743" i="5" a="1"/>
  <c r="S2743" i="5" s="1"/>
  <c r="S2744" i="5" a="1"/>
  <c r="S2744" i="5" s="1"/>
  <c r="S2745" i="5" a="1"/>
  <c r="S2745" i="5" s="1"/>
  <c r="S2746" i="5" a="1"/>
  <c r="S2746" i="5" s="1"/>
  <c r="S2747" i="5" a="1"/>
  <c r="S2747" i="5" s="1"/>
  <c r="S2748" i="5" a="1"/>
  <c r="S2748" i="5" s="1"/>
  <c r="S2749" i="5" a="1"/>
  <c r="S2749" i="5" s="1"/>
  <c r="S2750" i="5" a="1"/>
  <c r="S2750" i="5" s="1"/>
  <c r="S2751" i="5" a="1"/>
  <c r="S2751" i="5"/>
  <c r="S2752" i="5" a="1"/>
  <c r="S2752" i="5" s="1"/>
  <c r="S2753" i="5" a="1"/>
  <c r="S2753" i="5" s="1"/>
  <c r="S2754" i="5" a="1"/>
  <c r="S2754" i="5" s="1"/>
  <c r="S2755" i="5" a="1"/>
  <c r="S2755" i="5" s="1"/>
  <c r="S2756" i="5" a="1"/>
  <c r="S2756" i="5" s="1"/>
  <c r="S2757" i="5" a="1"/>
  <c r="S2757" i="5"/>
  <c r="S2758" i="5" a="1"/>
  <c r="S2758" i="5" s="1"/>
  <c r="S2759" i="5" a="1"/>
  <c r="S2759" i="5"/>
  <c r="S2760" i="5" a="1"/>
  <c r="S2760" i="5" s="1"/>
  <c r="S2761" i="5" a="1"/>
  <c r="S2761" i="5" s="1"/>
  <c r="S2762" i="5" a="1"/>
  <c r="S2762" i="5" s="1"/>
  <c r="S2763" i="5" a="1"/>
  <c r="S2763" i="5" s="1"/>
  <c r="S2764" i="5" a="1"/>
  <c r="S2764" i="5" s="1"/>
  <c r="S2765" i="5" a="1"/>
  <c r="S2765" i="5"/>
  <c r="S2766" i="5" a="1"/>
  <c r="S2766" i="5" s="1"/>
  <c r="S2767" i="5" a="1"/>
  <c r="S2767" i="5"/>
  <c r="S2768" i="5" a="1"/>
  <c r="S2768" i="5" s="1"/>
  <c r="S2769" i="5" a="1"/>
  <c r="S2769" i="5" s="1"/>
  <c r="S2770" i="5" a="1"/>
  <c r="S2770" i="5" s="1"/>
  <c r="S2771" i="5" a="1"/>
  <c r="S2771" i="5"/>
  <c r="S2772" i="5" a="1"/>
  <c r="S2772" i="5" s="1"/>
  <c r="S2773" i="5" a="1"/>
  <c r="S2773" i="5"/>
  <c r="S2774" i="5" a="1"/>
  <c r="S2774" i="5" s="1"/>
  <c r="S2775" i="5" a="1"/>
  <c r="S2775" i="5"/>
  <c r="S2776" i="5" a="1"/>
  <c r="S2776" i="5" s="1"/>
  <c r="S2777" i="5" a="1"/>
  <c r="S2777" i="5" s="1"/>
  <c r="S2778" i="5" a="1"/>
  <c r="S2778" i="5" s="1"/>
  <c r="S2779" i="5" a="1"/>
  <c r="S2779" i="5"/>
  <c r="S2780" i="5" a="1"/>
  <c r="S2780" i="5" s="1"/>
  <c r="S2781" i="5" a="1"/>
  <c r="S2781" i="5"/>
  <c r="S2782" i="5" a="1"/>
  <c r="S2782" i="5" s="1"/>
  <c r="S2783" i="5" a="1"/>
  <c r="S2783" i="5"/>
  <c r="S2784" i="5" a="1"/>
  <c r="S2784" i="5" s="1"/>
  <c r="S2785" i="5" a="1"/>
  <c r="S2785" i="5" s="1"/>
  <c r="S2786" i="5" a="1"/>
  <c r="S2786" i="5" s="1"/>
  <c r="S2787" i="5" a="1"/>
  <c r="S2787" i="5" s="1"/>
  <c r="S2788" i="5" a="1"/>
  <c r="S2788" i="5" s="1"/>
  <c r="S2789" i="5" a="1"/>
  <c r="S2789" i="5"/>
  <c r="S2790" i="5" a="1"/>
  <c r="S2790" i="5" s="1"/>
  <c r="S2791" i="5" a="1"/>
  <c r="S2791" i="5"/>
  <c r="S2792" i="5" a="1"/>
  <c r="S2792" i="5" s="1"/>
  <c r="S2793" i="5" a="1"/>
  <c r="S2793" i="5" s="1"/>
  <c r="S2794" i="5" a="1"/>
  <c r="S2794" i="5" s="1"/>
  <c r="S2795" i="5" a="1"/>
  <c r="S2795" i="5" s="1"/>
  <c r="S2796" i="5" a="1"/>
  <c r="S2796" i="5" s="1"/>
  <c r="S2797" i="5" a="1"/>
  <c r="S2797" i="5"/>
  <c r="S2798" i="5" a="1"/>
  <c r="S2798" i="5" s="1"/>
  <c r="S2799" i="5" a="1"/>
  <c r="S2799" i="5"/>
  <c r="S2800" i="5" a="1"/>
  <c r="S2800" i="5" s="1"/>
  <c r="S2801" i="5" a="1"/>
  <c r="S2801" i="5" s="1"/>
  <c r="R3" i="5" a="1"/>
  <c r="R3" i="5" s="1"/>
  <c r="R2" i="5" a="1"/>
  <c r="R2" i="5" s="1"/>
  <c r="R4" i="5" a="1"/>
  <c r="R4" i="5" s="1"/>
  <c r="R5" i="5" a="1"/>
  <c r="R5" i="5" s="1"/>
  <c r="R6" i="5" a="1"/>
  <c r="R6" i="5" s="1"/>
  <c r="R7" i="5" a="1"/>
  <c r="R7" i="5" s="1"/>
  <c r="R8" i="5" a="1"/>
  <c r="R8" i="5" s="1"/>
  <c r="R9" i="5" a="1"/>
  <c r="R9" i="5" s="1"/>
  <c r="R10" i="5" a="1"/>
  <c r="R10" i="5" s="1"/>
  <c r="R11" i="5" a="1"/>
  <c r="R11" i="5"/>
  <c r="R12" i="5" a="1"/>
  <c r="R12" i="5" s="1"/>
  <c r="R13" i="5" a="1"/>
  <c r="R13" i="5" s="1"/>
  <c r="R14" i="5" a="1"/>
  <c r="R14" i="5" s="1"/>
  <c r="R15" i="5" a="1"/>
  <c r="R15" i="5" s="1"/>
  <c r="R16" i="5" a="1"/>
  <c r="R16" i="5" s="1"/>
  <c r="R17" i="5" a="1"/>
  <c r="R17" i="5" s="1"/>
  <c r="R18" i="5" a="1"/>
  <c r="R18" i="5" s="1"/>
  <c r="R19" i="5" a="1"/>
  <c r="R19" i="5" s="1"/>
  <c r="R20" i="5" a="1"/>
  <c r="R20" i="5" s="1"/>
  <c r="R21" i="5" a="1"/>
  <c r="R21" i="5" s="1"/>
  <c r="R22" i="5" a="1"/>
  <c r="R22" i="5" s="1"/>
  <c r="R23" i="5" a="1"/>
  <c r="R23" i="5" s="1"/>
  <c r="R24" i="5" a="1"/>
  <c r="R24" i="5" s="1"/>
  <c r="R25" i="5" a="1"/>
  <c r="R25" i="5"/>
  <c r="R26" i="5" a="1"/>
  <c r="R26" i="5" s="1"/>
  <c r="R27" i="5" a="1"/>
  <c r="R27" i="5" s="1"/>
  <c r="R28" i="5" a="1"/>
  <c r="R28" i="5" s="1"/>
  <c r="R29" i="5" a="1"/>
  <c r="R29" i="5" s="1"/>
  <c r="R30" i="5" a="1"/>
  <c r="R30" i="5" s="1"/>
  <c r="R31" i="5" a="1"/>
  <c r="R31" i="5" s="1"/>
  <c r="R32" i="5" a="1"/>
  <c r="R32" i="5" s="1"/>
  <c r="R33" i="5" a="1"/>
  <c r="R33" i="5" s="1"/>
  <c r="R34" i="5" a="1"/>
  <c r="R34" i="5" s="1"/>
  <c r="R35" i="5" a="1"/>
  <c r="R35" i="5" s="1"/>
  <c r="R36" i="5" a="1"/>
  <c r="R36" i="5" s="1"/>
  <c r="R37" i="5" a="1"/>
  <c r="R37" i="5" s="1"/>
  <c r="R38" i="5" a="1"/>
  <c r="R38" i="5" s="1"/>
  <c r="R39" i="5" a="1"/>
  <c r="R39" i="5" s="1"/>
  <c r="R40" i="5" a="1"/>
  <c r="R40" i="5" s="1"/>
  <c r="R41" i="5" a="1"/>
  <c r="R41" i="5" s="1"/>
  <c r="R42" i="5" a="1"/>
  <c r="R42" i="5" s="1"/>
  <c r="R43" i="5" a="1"/>
  <c r="R43" i="5"/>
  <c r="R44" i="5" a="1"/>
  <c r="R44" i="5" s="1"/>
  <c r="R45" i="5" a="1"/>
  <c r="R45" i="5" s="1"/>
  <c r="R46" i="5" a="1"/>
  <c r="R46" i="5" s="1"/>
  <c r="R47" i="5" a="1"/>
  <c r="R47" i="5" s="1"/>
  <c r="R48" i="5" a="1"/>
  <c r="R48" i="5" s="1"/>
  <c r="R49" i="5" a="1"/>
  <c r="R49" i="5" s="1"/>
  <c r="R50" i="5" a="1"/>
  <c r="R50" i="5" s="1"/>
  <c r="R51" i="5" a="1"/>
  <c r="R51" i="5" s="1"/>
  <c r="R52" i="5" a="1"/>
  <c r="R52" i="5" s="1"/>
  <c r="R53" i="5" a="1"/>
  <c r="R53" i="5" s="1"/>
  <c r="R54" i="5" a="1"/>
  <c r="R54" i="5" s="1"/>
  <c r="R55" i="5" a="1"/>
  <c r="R55" i="5" s="1"/>
  <c r="R56" i="5" a="1"/>
  <c r="R56" i="5" s="1"/>
  <c r="R57" i="5" a="1"/>
  <c r="R57" i="5" s="1"/>
  <c r="R58" i="5" a="1"/>
  <c r="R58" i="5" s="1"/>
  <c r="R59" i="5" a="1"/>
  <c r="R59" i="5" s="1"/>
  <c r="R60" i="5" a="1"/>
  <c r="R60" i="5" s="1"/>
  <c r="R61" i="5" a="1"/>
  <c r="R61" i="5" s="1"/>
  <c r="R62" i="5" a="1"/>
  <c r="R62" i="5" s="1"/>
  <c r="R63" i="5" a="1"/>
  <c r="R63" i="5" s="1"/>
  <c r="R64" i="5" a="1"/>
  <c r="R64" i="5" s="1"/>
  <c r="R65" i="5" a="1"/>
  <c r="R65" i="5" s="1"/>
  <c r="R66" i="5" a="1"/>
  <c r="R66" i="5" s="1"/>
  <c r="R67" i="5" a="1"/>
  <c r="R67" i="5"/>
  <c r="R68" i="5" a="1"/>
  <c r="R68" i="5" s="1"/>
  <c r="R69" i="5" a="1"/>
  <c r="R69" i="5" s="1"/>
  <c r="R70" i="5" a="1"/>
  <c r="R70" i="5" s="1"/>
  <c r="R71" i="5" a="1"/>
  <c r="R71" i="5" s="1"/>
  <c r="R72" i="5" a="1"/>
  <c r="R72" i="5" s="1"/>
  <c r="R73" i="5" a="1"/>
  <c r="R73" i="5" s="1"/>
  <c r="R74" i="5" a="1"/>
  <c r="R74" i="5" s="1"/>
  <c r="R75" i="5" a="1"/>
  <c r="R75" i="5" s="1"/>
  <c r="R76" i="5" a="1"/>
  <c r="R76" i="5" s="1"/>
  <c r="R77" i="5" a="1"/>
  <c r="R77" i="5" s="1"/>
  <c r="R78" i="5" a="1"/>
  <c r="R78" i="5" s="1"/>
  <c r="R79" i="5" a="1"/>
  <c r="R79" i="5" s="1"/>
  <c r="R80" i="5" a="1"/>
  <c r="R80" i="5" s="1"/>
  <c r="R81" i="5" a="1"/>
  <c r="R81" i="5" s="1"/>
  <c r="R82" i="5" a="1"/>
  <c r="R82" i="5" s="1"/>
  <c r="R83" i="5" a="1"/>
  <c r="R83" i="5" s="1"/>
  <c r="R84" i="5" a="1"/>
  <c r="R84" i="5" s="1"/>
  <c r="R85" i="5" a="1"/>
  <c r="R85" i="5" s="1"/>
  <c r="R86" i="5" a="1"/>
  <c r="R86" i="5" s="1"/>
  <c r="R87" i="5" a="1"/>
  <c r="R87" i="5" s="1"/>
  <c r="R88" i="5" a="1"/>
  <c r="R88" i="5" s="1"/>
  <c r="R89" i="5" a="1"/>
  <c r="R89" i="5" s="1"/>
  <c r="R90" i="5" a="1"/>
  <c r="R90" i="5" s="1"/>
  <c r="R91" i="5" a="1"/>
  <c r="R91" i="5" s="1"/>
  <c r="R92" i="5" a="1"/>
  <c r="R92" i="5" s="1"/>
  <c r="R93" i="5" a="1"/>
  <c r="R93" i="5" s="1"/>
  <c r="R94" i="5" a="1"/>
  <c r="R94" i="5" s="1"/>
  <c r="R95" i="5" a="1"/>
  <c r="R95" i="5" s="1"/>
  <c r="R96" i="5" a="1"/>
  <c r="R96" i="5" s="1"/>
  <c r="R97" i="5" a="1"/>
  <c r="R97" i="5" s="1"/>
  <c r="R98" i="5" a="1"/>
  <c r="R98" i="5" s="1"/>
  <c r="R99" i="5" a="1"/>
  <c r="R99" i="5" s="1"/>
  <c r="R100" i="5" a="1"/>
  <c r="R100" i="5" s="1"/>
  <c r="R101" i="5" a="1"/>
  <c r="R101" i="5" s="1"/>
  <c r="R102" i="5" a="1"/>
  <c r="R102" i="5" s="1"/>
  <c r="R103" i="5" a="1"/>
  <c r="R103" i="5" s="1"/>
  <c r="R104" i="5" a="1"/>
  <c r="R104" i="5" s="1"/>
  <c r="R105" i="5" a="1"/>
  <c r="R105" i="5" s="1"/>
  <c r="R106" i="5" a="1"/>
  <c r="R106" i="5" s="1"/>
  <c r="R107" i="5" a="1"/>
  <c r="R107" i="5" s="1"/>
  <c r="R108" i="5" a="1"/>
  <c r="R108" i="5" s="1"/>
  <c r="R109" i="5" a="1"/>
  <c r="R109" i="5" s="1"/>
  <c r="R110" i="5" a="1"/>
  <c r="R110" i="5" s="1"/>
  <c r="R111" i="5" a="1"/>
  <c r="R111" i="5" s="1"/>
  <c r="R112" i="5" a="1"/>
  <c r="R112" i="5" s="1"/>
  <c r="R113" i="5" a="1"/>
  <c r="R113" i="5" s="1"/>
  <c r="R114" i="5" a="1"/>
  <c r="R114" i="5" s="1"/>
  <c r="R115" i="5" a="1"/>
  <c r="R115" i="5" s="1"/>
  <c r="R116" i="5" a="1"/>
  <c r="R116" i="5" s="1"/>
  <c r="R117" i="5" a="1"/>
  <c r="R117" i="5" s="1"/>
  <c r="R118" i="5" a="1"/>
  <c r="R118" i="5" s="1"/>
  <c r="R119" i="5" a="1"/>
  <c r="R119" i="5" s="1"/>
  <c r="R120" i="5" a="1"/>
  <c r="R120" i="5" s="1"/>
  <c r="R121" i="5" a="1"/>
  <c r="R121" i="5" s="1"/>
  <c r="R122" i="5" a="1"/>
  <c r="R122" i="5" s="1"/>
  <c r="R123" i="5" a="1"/>
  <c r="R123" i="5" s="1"/>
  <c r="R124" i="5" a="1"/>
  <c r="R124" i="5" s="1"/>
  <c r="R125" i="5" a="1"/>
  <c r="R125" i="5" s="1"/>
  <c r="R126" i="5" a="1"/>
  <c r="R126" i="5" s="1"/>
  <c r="R127" i="5" a="1"/>
  <c r="R127" i="5" s="1"/>
  <c r="R128" i="5" a="1"/>
  <c r="R128" i="5" s="1"/>
  <c r="R129" i="5" a="1"/>
  <c r="R129" i="5" s="1"/>
  <c r="R130" i="5" a="1"/>
  <c r="R130" i="5" s="1"/>
  <c r="R131" i="5" a="1"/>
  <c r="R131" i="5" s="1"/>
  <c r="R132" i="5" a="1"/>
  <c r="R132" i="5" s="1"/>
  <c r="R133" i="5" a="1"/>
  <c r="R133" i="5" s="1"/>
  <c r="R134" i="5" a="1"/>
  <c r="R134" i="5" s="1"/>
  <c r="R135" i="5" a="1"/>
  <c r="R135" i="5" s="1"/>
  <c r="R136" i="5" a="1"/>
  <c r="R136" i="5" s="1"/>
  <c r="R137" i="5" a="1"/>
  <c r="R137" i="5" s="1"/>
  <c r="R138" i="5" a="1"/>
  <c r="R138" i="5" s="1"/>
  <c r="R139" i="5" a="1"/>
  <c r="R139" i="5"/>
  <c r="R140" i="5" a="1"/>
  <c r="R140" i="5" s="1"/>
  <c r="R141" i="5" a="1"/>
  <c r="R141" i="5" s="1"/>
  <c r="R142" i="5" a="1"/>
  <c r="R142" i="5" s="1"/>
  <c r="R143" i="5" a="1"/>
  <c r="R143" i="5" s="1"/>
  <c r="R144" i="5" a="1"/>
  <c r="R144" i="5" s="1"/>
  <c r="R145" i="5" a="1"/>
  <c r="R145" i="5" s="1"/>
  <c r="R146" i="5" a="1"/>
  <c r="R146" i="5" s="1"/>
  <c r="R147" i="5" a="1"/>
  <c r="R147" i="5" s="1"/>
  <c r="R148" i="5" a="1"/>
  <c r="R148" i="5" s="1"/>
  <c r="R149" i="5" a="1"/>
  <c r="R149" i="5" s="1"/>
  <c r="R150" i="5" a="1"/>
  <c r="R150" i="5" s="1"/>
  <c r="R151" i="5" a="1"/>
  <c r="R151" i="5" s="1"/>
  <c r="R152" i="5" a="1"/>
  <c r="R152" i="5" s="1"/>
  <c r="R153" i="5" a="1"/>
  <c r="R153" i="5" s="1"/>
  <c r="R154" i="5" a="1"/>
  <c r="R154" i="5" s="1"/>
  <c r="R155" i="5" a="1"/>
  <c r="R155" i="5" s="1"/>
  <c r="R156" i="5" a="1"/>
  <c r="R156" i="5" s="1"/>
  <c r="R157" i="5" a="1"/>
  <c r="R157" i="5" s="1"/>
  <c r="R158" i="5" a="1"/>
  <c r="R158" i="5" s="1"/>
  <c r="R159" i="5" a="1"/>
  <c r="R159" i="5" s="1"/>
  <c r="R160" i="5" a="1"/>
  <c r="R160" i="5" s="1"/>
  <c r="R161" i="5" a="1"/>
  <c r="R161" i="5" s="1"/>
  <c r="R162" i="5" a="1"/>
  <c r="R162" i="5" s="1"/>
  <c r="R163" i="5" a="1"/>
  <c r="R163" i="5" s="1"/>
  <c r="R164" i="5" a="1"/>
  <c r="R164" i="5" s="1"/>
  <c r="R165" i="5" a="1"/>
  <c r="R165" i="5" s="1"/>
  <c r="R166" i="5" a="1"/>
  <c r="R166" i="5" s="1"/>
  <c r="R167" i="5" a="1"/>
  <c r="R167" i="5" s="1"/>
  <c r="R168" i="5" a="1"/>
  <c r="R168" i="5" s="1"/>
  <c r="R169" i="5" a="1"/>
  <c r="R169" i="5"/>
  <c r="R170" i="5" a="1"/>
  <c r="R170" i="5" s="1"/>
  <c r="R171" i="5" a="1"/>
  <c r="R171" i="5" s="1"/>
  <c r="R172" i="5" a="1"/>
  <c r="R172" i="5" s="1"/>
  <c r="R173" i="5" a="1"/>
  <c r="R173" i="5" s="1"/>
  <c r="R174" i="5" a="1"/>
  <c r="R174" i="5" s="1"/>
  <c r="R175" i="5" a="1"/>
  <c r="R175" i="5"/>
  <c r="R176" i="5" a="1"/>
  <c r="R176" i="5" s="1"/>
  <c r="R177" i="5" a="1"/>
  <c r="R177" i="5" s="1"/>
  <c r="R178" i="5" a="1"/>
  <c r="R178" i="5" s="1"/>
  <c r="R179" i="5" a="1"/>
  <c r="R179" i="5" s="1"/>
  <c r="R180" i="5" a="1"/>
  <c r="R180" i="5" s="1"/>
  <c r="R181" i="5" a="1"/>
  <c r="R181" i="5" s="1"/>
  <c r="R182" i="5" a="1"/>
  <c r="R182" i="5" s="1"/>
  <c r="R183" i="5" a="1"/>
  <c r="R183" i="5" s="1"/>
  <c r="R184" i="5" a="1"/>
  <c r="R184" i="5" s="1"/>
  <c r="R185" i="5" a="1"/>
  <c r="R185" i="5" s="1"/>
  <c r="R186" i="5" a="1"/>
  <c r="R186" i="5" s="1"/>
  <c r="R187" i="5" a="1"/>
  <c r="R187" i="5" s="1"/>
  <c r="R188" i="5" a="1"/>
  <c r="R188" i="5" s="1"/>
  <c r="R189" i="5" a="1"/>
  <c r="R189" i="5" s="1"/>
  <c r="R190" i="5" a="1"/>
  <c r="R190" i="5" s="1"/>
  <c r="R191" i="5" a="1"/>
  <c r="R191" i="5" s="1"/>
  <c r="R192" i="5" a="1"/>
  <c r="R192" i="5" s="1"/>
  <c r="R193" i="5" a="1"/>
  <c r="R193" i="5" s="1"/>
  <c r="R194" i="5" a="1"/>
  <c r="R194" i="5" s="1"/>
  <c r="R195" i="5" a="1"/>
  <c r="R195" i="5" s="1"/>
  <c r="R196" i="5" a="1"/>
  <c r="R196" i="5" s="1"/>
  <c r="R197" i="5" a="1"/>
  <c r="R197" i="5" s="1"/>
  <c r="R198" i="5" a="1"/>
  <c r="R198" i="5" s="1"/>
  <c r="R199" i="5" a="1"/>
  <c r="R199" i="5" s="1"/>
  <c r="R200" i="5" a="1"/>
  <c r="R200" i="5" s="1"/>
  <c r="R201" i="5" a="1"/>
  <c r="R201" i="5" s="1"/>
  <c r="R202" i="5" a="1"/>
  <c r="R202" i="5" s="1"/>
  <c r="R203" i="5" a="1"/>
  <c r="R203" i="5" s="1"/>
  <c r="R204" i="5" a="1"/>
  <c r="R204" i="5" s="1"/>
  <c r="R205" i="5" a="1"/>
  <c r="R205" i="5" s="1"/>
  <c r="R206" i="5" a="1"/>
  <c r="R206" i="5" s="1"/>
  <c r="R207" i="5" a="1"/>
  <c r="R207" i="5" s="1"/>
  <c r="R208" i="5" a="1"/>
  <c r="R208" i="5" s="1"/>
  <c r="R209" i="5" a="1"/>
  <c r="R209" i="5" s="1"/>
  <c r="R210" i="5" a="1"/>
  <c r="R210" i="5" s="1"/>
  <c r="R211" i="5" a="1"/>
  <c r="R211" i="5" s="1"/>
  <c r="R212" i="5" a="1"/>
  <c r="R212" i="5" s="1"/>
  <c r="R213" i="5" a="1"/>
  <c r="R213" i="5" s="1"/>
  <c r="R214" i="5" a="1"/>
  <c r="R214" i="5" s="1"/>
  <c r="R215" i="5" a="1"/>
  <c r="R215" i="5" s="1"/>
  <c r="R216" i="5" a="1"/>
  <c r="R216" i="5" s="1"/>
  <c r="R217" i="5" a="1"/>
  <c r="R217" i="5" s="1"/>
  <c r="R218" i="5" a="1"/>
  <c r="R218" i="5" s="1"/>
  <c r="R219" i="5" a="1"/>
  <c r="R219" i="5" s="1"/>
  <c r="R220" i="5" a="1"/>
  <c r="R220" i="5" s="1"/>
  <c r="R221" i="5" a="1"/>
  <c r="R221" i="5" s="1"/>
  <c r="R222" i="5" a="1"/>
  <c r="R222" i="5" s="1"/>
  <c r="R223" i="5" a="1"/>
  <c r="R223" i="5" s="1"/>
  <c r="R224" i="5" a="1"/>
  <c r="R224" i="5" s="1"/>
  <c r="R225" i="5" a="1"/>
  <c r="R225" i="5" s="1"/>
  <c r="R226" i="5" a="1"/>
  <c r="R226" i="5"/>
  <c r="R227" i="5" a="1"/>
  <c r="R227" i="5" s="1"/>
  <c r="R228" i="5" a="1"/>
  <c r="R228" i="5" s="1"/>
  <c r="R229" i="5" a="1"/>
  <c r="R229" i="5" s="1"/>
  <c r="R230" i="5" a="1"/>
  <c r="R230" i="5" s="1"/>
  <c r="R231" i="5" a="1"/>
  <c r="R231" i="5" s="1"/>
  <c r="R232" i="5" a="1"/>
  <c r="R232" i="5" s="1"/>
  <c r="R233" i="5" a="1"/>
  <c r="R233" i="5" s="1"/>
  <c r="R234" i="5" a="1"/>
  <c r="R234" i="5" s="1"/>
  <c r="R235" i="5" a="1"/>
  <c r="R235" i="5" s="1"/>
  <c r="R236" i="5" a="1"/>
  <c r="R236" i="5" s="1"/>
  <c r="R237" i="5" a="1"/>
  <c r="R237" i="5" s="1"/>
  <c r="R238" i="5" a="1"/>
  <c r="R238" i="5" s="1"/>
  <c r="R239" i="5" a="1"/>
  <c r="R239" i="5" s="1"/>
  <c r="R240" i="5" a="1"/>
  <c r="R240" i="5" s="1"/>
  <c r="R241" i="5" a="1"/>
  <c r="R241" i="5" s="1"/>
  <c r="R242" i="5" a="1"/>
  <c r="R242" i="5" s="1"/>
  <c r="R243" i="5" a="1"/>
  <c r="R243" i="5" s="1"/>
  <c r="R244" i="5" a="1"/>
  <c r="R244" i="5" s="1"/>
  <c r="R245" i="5" a="1"/>
  <c r="R245" i="5" s="1"/>
  <c r="R246" i="5" a="1"/>
  <c r="R246" i="5" s="1"/>
  <c r="R247" i="5" a="1"/>
  <c r="R247" i="5" s="1"/>
  <c r="R248" i="5" a="1"/>
  <c r="R248" i="5"/>
  <c r="R249" i="5" a="1"/>
  <c r="R249" i="5" s="1"/>
  <c r="R250" i="5" a="1"/>
  <c r="R250" i="5" s="1"/>
  <c r="R251" i="5" a="1"/>
  <c r="R251" i="5" s="1"/>
  <c r="R252" i="5" a="1"/>
  <c r="R252" i="5" s="1"/>
  <c r="R253" i="5" a="1"/>
  <c r="R253" i="5" s="1"/>
  <c r="R254" i="5" a="1"/>
  <c r="R254" i="5" s="1"/>
  <c r="R255" i="5" a="1"/>
  <c r="R255" i="5" s="1"/>
  <c r="R256" i="5" a="1"/>
  <c r="R256" i="5" s="1"/>
  <c r="R257" i="5" a="1"/>
  <c r="R257" i="5" s="1"/>
  <c r="R258" i="5" a="1"/>
  <c r="R258" i="5" s="1"/>
  <c r="R259" i="5" a="1"/>
  <c r="R259" i="5" s="1"/>
  <c r="R260" i="5" a="1"/>
  <c r="R260" i="5" s="1"/>
  <c r="R261" i="5" a="1"/>
  <c r="R261" i="5" s="1"/>
  <c r="R262" i="5" a="1"/>
  <c r="R262" i="5" s="1"/>
  <c r="R263" i="5" a="1"/>
  <c r="R263" i="5" s="1"/>
  <c r="R264" i="5" a="1"/>
  <c r="R264" i="5" s="1"/>
  <c r="R265" i="5" a="1"/>
  <c r="R265" i="5" s="1"/>
  <c r="R266" i="5" a="1"/>
  <c r="R266" i="5" s="1"/>
  <c r="R267" i="5" a="1"/>
  <c r="R267" i="5" s="1"/>
  <c r="R268" i="5" a="1"/>
  <c r="R268" i="5" s="1"/>
  <c r="R269" i="5" a="1"/>
  <c r="R269" i="5" s="1"/>
  <c r="R270" i="5" a="1"/>
  <c r="R270" i="5" s="1"/>
  <c r="R271" i="5" a="1"/>
  <c r="R271" i="5" s="1"/>
  <c r="R272" i="5" a="1"/>
  <c r="R272" i="5" s="1"/>
  <c r="R273" i="5" a="1"/>
  <c r="R273" i="5" s="1"/>
  <c r="R274" i="5" a="1"/>
  <c r="R274" i="5" s="1"/>
  <c r="R275" i="5" a="1"/>
  <c r="R275" i="5" s="1"/>
  <c r="R276" i="5" a="1"/>
  <c r="R276" i="5" s="1"/>
  <c r="R277" i="5" a="1"/>
  <c r="R277" i="5" s="1"/>
  <c r="R278" i="5" a="1"/>
  <c r="R278" i="5" s="1"/>
  <c r="R279" i="5" a="1"/>
  <c r="R279" i="5" s="1"/>
  <c r="R280" i="5" a="1"/>
  <c r="R280" i="5" s="1"/>
  <c r="R281" i="5" a="1"/>
  <c r="R281" i="5" s="1"/>
  <c r="R282" i="5" a="1"/>
  <c r="R282" i="5" s="1"/>
  <c r="R283" i="5" a="1"/>
  <c r="R283" i="5" s="1"/>
  <c r="R284" i="5" a="1"/>
  <c r="R284" i="5" s="1"/>
  <c r="R285" i="5" a="1"/>
  <c r="R285" i="5" s="1"/>
  <c r="R286" i="5" a="1"/>
  <c r="R286" i="5" s="1"/>
  <c r="R287" i="5" a="1"/>
  <c r="R287" i="5" s="1"/>
  <c r="R288" i="5" a="1"/>
  <c r="R288" i="5" s="1"/>
  <c r="R289" i="5" a="1"/>
  <c r="R289" i="5" s="1"/>
  <c r="R290" i="5" a="1"/>
  <c r="R290" i="5" s="1"/>
  <c r="R291" i="5" a="1"/>
  <c r="R291" i="5" s="1"/>
  <c r="R292" i="5" a="1"/>
  <c r="R292" i="5" s="1"/>
  <c r="R293" i="5" a="1"/>
  <c r="R293" i="5" s="1"/>
  <c r="R294" i="5" a="1"/>
  <c r="R294" i="5" s="1"/>
  <c r="R295" i="5" a="1"/>
  <c r="R295" i="5" s="1"/>
  <c r="R296" i="5" a="1"/>
  <c r="R296" i="5"/>
  <c r="R297" i="5" a="1"/>
  <c r="R297" i="5" s="1"/>
  <c r="R298" i="5" a="1"/>
  <c r="R298" i="5" s="1"/>
  <c r="R299" i="5" a="1"/>
  <c r="R299" i="5" s="1"/>
  <c r="R300" i="5" a="1"/>
  <c r="R300" i="5" s="1"/>
  <c r="R301" i="5" a="1"/>
  <c r="R301" i="5" s="1"/>
  <c r="R302" i="5" a="1"/>
  <c r="R302" i="5" s="1"/>
  <c r="R303" i="5" a="1"/>
  <c r="R303" i="5" s="1"/>
  <c r="R304" i="5" a="1"/>
  <c r="R304" i="5" s="1"/>
  <c r="R305" i="5" a="1"/>
  <c r="R305" i="5" s="1"/>
  <c r="R306" i="5" a="1"/>
  <c r="R306" i="5"/>
  <c r="R307" i="5" a="1"/>
  <c r="R307" i="5" s="1"/>
  <c r="R308" i="5" a="1"/>
  <c r="R308" i="5" s="1"/>
  <c r="R309" i="5" a="1"/>
  <c r="R309" i="5" s="1"/>
  <c r="R310" i="5" a="1"/>
  <c r="R310" i="5" s="1"/>
  <c r="R311" i="5" a="1"/>
  <c r="R311" i="5" s="1"/>
  <c r="R312" i="5" a="1"/>
  <c r="R312" i="5" s="1"/>
  <c r="R313" i="5" a="1"/>
  <c r="R313" i="5" s="1"/>
  <c r="R314" i="5" a="1"/>
  <c r="R314" i="5" s="1"/>
  <c r="R315" i="5" a="1"/>
  <c r="R315" i="5" s="1"/>
  <c r="R316" i="5" a="1"/>
  <c r="R316" i="5" s="1"/>
  <c r="R317" i="5" a="1"/>
  <c r="R317" i="5" s="1"/>
  <c r="R318" i="5" a="1"/>
  <c r="R318" i="5" s="1"/>
  <c r="R319" i="5" a="1"/>
  <c r="R319" i="5" s="1"/>
  <c r="R320" i="5" a="1"/>
  <c r="R320" i="5"/>
  <c r="R321" i="5" a="1"/>
  <c r="R321" i="5" s="1"/>
  <c r="R322" i="5" a="1"/>
  <c r="R322" i="5" s="1"/>
  <c r="R323" i="5" a="1"/>
  <c r="R323" i="5" s="1"/>
  <c r="R324" i="5" a="1"/>
  <c r="R324" i="5" s="1"/>
  <c r="R325" i="5" a="1"/>
  <c r="R325" i="5" s="1"/>
  <c r="R326" i="5" a="1"/>
  <c r="R326" i="5" s="1"/>
  <c r="R327" i="5" a="1"/>
  <c r="R327" i="5" s="1"/>
  <c r="R328" i="5" a="1"/>
  <c r="R328" i="5" s="1"/>
  <c r="R329" i="5" a="1"/>
  <c r="R329" i="5" s="1"/>
  <c r="R330" i="5" a="1"/>
  <c r="R330" i="5" s="1"/>
  <c r="R331" i="5" a="1"/>
  <c r="R331" i="5" s="1"/>
  <c r="R332" i="5" a="1"/>
  <c r="R332" i="5" s="1"/>
  <c r="R333" i="5" a="1"/>
  <c r="R333" i="5" s="1"/>
  <c r="R334" i="5" a="1"/>
  <c r="R334" i="5" s="1"/>
  <c r="R335" i="5" a="1"/>
  <c r="R335" i="5" s="1"/>
  <c r="R336" i="5" a="1"/>
  <c r="R336" i="5" s="1"/>
  <c r="R337" i="5" a="1"/>
  <c r="R337" i="5" s="1"/>
  <c r="R338" i="5" a="1"/>
  <c r="R338" i="5" s="1"/>
  <c r="R339" i="5" a="1"/>
  <c r="R339" i="5" s="1"/>
  <c r="R340" i="5" a="1"/>
  <c r="R340" i="5" s="1"/>
  <c r="R341" i="5" a="1"/>
  <c r="R341" i="5" s="1"/>
  <c r="R342" i="5" a="1"/>
  <c r="R342" i="5" s="1"/>
  <c r="R343" i="5" a="1"/>
  <c r="R343" i="5" s="1"/>
  <c r="R344" i="5" a="1"/>
  <c r="R344" i="5"/>
  <c r="R345" i="5" a="1"/>
  <c r="R345" i="5" s="1"/>
  <c r="R346" i="5" a="1"/>
  <c r="R346" i="5" s="1"/>
  <c r="R347" i="5" a="1"/>
  <c r="R347" i="5" s="1"/>
  <c r="R348" i="5" a="1"/>
  <c r="R348" i="5" s="1"/>
  <c r="R349" i="5" a="1"/>
  <c r="R349" i="5" s="1"/>
  <c r="R350" i="5" a="1"/>
  <c r="R350" i="5" s="1"/>
  <c r="R351" i="5" a="1"/>
  <c r="R351" i="5" s="1"/>
  <c r="R352" i="5" a="1"/>
  <c r="R352" i="5" s="1"/>
  <c r="R353" i="5" a="1"/>
  <c r="R353" i="5" s="1"/>
  <c r="R354" i="5" a="1"/>
  <c r="R354" i="5" s="1"/>
  <c r="R355" i="5" a="1"/>
  <c r="R355" i="5" s="1"/>
  <c r="R356" i="5" a="1"/>
  <c r="R356" i="5" s="1"/>
  <c r="R357" i="5" a="1"/>
  <c r="R357" i="5" s="1"/>
  <c r="R358" i="5" a="1"/>
  <c r="R358" i="5" s="1"/>
  <c r="R359" i="5" a="1"/>
  <c r="R359" i="5" s="1"/>
  <c r="R360" i="5" a="1"/>
  <c r="R360" i="5" s="1"/>
  <c r="R361" i="5" a="1"/>
  <c r="R361" i="5" s="1"/>
  <c r="R362" i="5" a="1"/>
  <c r="R362" i="5" s="1"/>
  <c r="R363" i="5" a="1"/>
  <c r="R363" i="5" s="1"/>
  <c r="R364" i="5" a="1"/>
  <c r="R364" i="5" s="1"/>
  <c r="R365" i="5" a="1"/>
  <c r="R365" i="5" s="1"/>
  <c r="R366" i="5" a="1"/>
  <c r="R366" i="5" s="1"/>
  <c r="R367" i="5" a="1"/>
  <c r="R367" i="5" s="1"/>
  <c r="R368" i="5" a="1"/>
  <c r="R368" i="5" s="1"/>
  <c r="R369" i="5" a="1"/>
  <c r="R369" i="5" s="1"/>
  <c r="R370" i="5" a="1"/>
  <c r="R370" i="5" s="1"/>
  <c r="R371" i="5" a="1"/>
  <c r="R371" i="5" s="1"/>
  <c r="R372" i="5" a="1"/>
  <c r="R372" i="5" s="1"/>
  <c r="R373" i="5" a="1"/>
  <c r="R373" i="5" s="1"/>
  <c r="R374" i="5" a="1"/>
  <c r="R374" i="5" s="1"/>
  <c r="R375" i="5" a="1"/>
  <c r="R375" i="5" s="1"/>
  <c r="R376" i="5" a="1"/>
  <c r="R376" i="5" s="1"/>
  <c r="R377" i="5" a="1"/>
  <c r="R377" i="5" s="1"/>
  <c r="R378" i="5" a="1"/>
  <c r="R378" i="5" s="1"/>
  <c r="R379" i="5" a="1"/>
  <c r="R379" i="5" s="1"/>
  <c r="R380" i="5" a="1"/>
  <c r="R380" i="5" s="1"/>
  <c r="R381" i="5" a="1"/>
  <c r="R381" i="5" s="1"/>
  <c r="R382" i="5" a="1"/>
  <c r="R382" i="5" s="1"/>
  <c r="R383" i="5" a="1"/>
  <c r="R383" i="5" s="1"/>
  <c r="R384" i="5" a="1"/>
  <c r="R384" i="5" s="1"/>
  <c r="R385" i="5" a="1"/>
  <c r="R385" i="5" s="1"/>
  <c r="R386" i="5" a="1"/>
  <c r="R386" i="5" s="1"/>
  <c r="R387" i="5" a="1"/>
  <c r="R387" i="5" s="1"/>
  <c r="R388" i="5" a="1"/>
  <c r="R388" i="5" s="1"/>
  <c r="R389" i="5" a="1"/>
  <c r="R389" i="5" s="1"/>
  <c r="R390" i="5" a="1"/>
  <c r="R390" i="5" s="1"/>
  <c r="R391" i="5" a="1"/>
  <c r="R391" i="5" s="1"/>
  <c r="R392" i="5" a="1"/>
  <c r="R392" i="5" s="1"/>
  <c r="R393" i="5" a="1"/>
  <c r="R393" i="5" s="1"/>
  <c r="R394" i="5" a="1"/>
  <c r="R394" i="5" s="1"/>
  <c r="R395" i="5" a="1"/>
  <c r="R395" i="5" s="1"/>
  <c r="R396" i="5" a="1"/>
  <c r="R396" i="5" s="1"/>
  <c r="R397" i="5" a="1"/>
  <c r="R397" i="5" s="1"/>
  <c r="R398" i="5" a="1"/>
  <c r="R398" i="5" s="1"/>
  <c r="R399" i="5" a="1"/>
  <c r="R399" i="5" s="1"/>
  <c r="R400" i="5" a="1"/>
  <c r="R400" i="5" s="1"/>
  <c r="R401" i="5" a="1"/>
  <c r="R401" i="5" s="1"/>
  <c r="R402" i="5" a="1"/>
  <c r="R402" i="5" s="1"/>
  <c r="R403" i="5" a="1"/>
  <c r="R403" i="5" s="1"/>
  <c r="R404" i="5" a="1"/>
  <c r="R404" i="5" s="1"/>
  <c r="R405" i="5" a="1"/>
  <c r="R405" i="5" s="1"/>
  <c r="R406" i="5" a="1"/>
  <c r="R406" i="5" s="1"/>
  <c r="R407" i="5" a="1"/>
  <c r="R407" i="5" s="1"/>
  <c r="R408" i="5" a="1"/>
  <c r="R408" i="5" s="1"/>
  <c r="R409" i="5" a="1"/>
  <c r="R409" i="5" s="1"/>
  <c r="R410" i="5" a="1"/>
  <c r="R410" i="5" s="1"/>
  <c r="R411" i="5" a="1"/>
  <c r="R411" i="5" s="1"/>
  <c r="R412" i="5" a="1"/>
  <c r="R412" i="5" s="1"/>
  <c r="R413" i="5" a="1"/>
  <c r="R413" i="5" s="1"/>
  <c r="R414" i="5" a="1"/>
  <c r="R414" i="5" s="1"/>
  <c r="R415" i="5" a="1"/>
  <c r="R415" i="5" s="1"/>
  <c r="R416" i="5" a="1"/>
  <c r="R416" i="5" s="1"/>
  <c r="R417" i="5" a="1"/>
  <c r="R417" i="5" s="1"/>
  <c r="R418" i="5" a="1"/>
  <c r="R418" i="5" s="1"/>
  <c r="R419" i="5" a="1"/>
  <c r="R419" i="5" s="1"/>
  <c r="R420" i="5" a="1"/>
  <c r="R420" i="5" s="1"/>
  <c r="R421" i="5" a="1"/>
  <c r="R421" i="5" s="1"/>
  <c r="R422" i="5" a="1"/>
  <c r="R422" i="5" s="1"/>
  <c r="R423" i="5" a="1"/>
  <c r="R423" i="5" s="1"/>
  <c r="R424" i="5" a="1"/>
  <c r="R424" i="5" s="1"/>
  <c r="R425" i="5" a="1"/>
  <c r="R425" i="5" s="1"/>
  <c r="R426" i="5" a="1"/>
  <c r="R426" i="5" s="1"/>
  <c r="R427" i="5" a="1"/>
  <c r="R427" i="5" s="1"/>
  <c r="R428" i="5" a="1"/>
  <c r="R428" i="5" s="1"/>
  <c r="R429" i="5" a="1"/>
  <c r="R429" i="5" s="1"/>
  <c r="R430" i="5" a="1"/>
  <c r="R430" i="5" s="1"/>
  <c r="R431" i="5" a="1"/>
  <c r="R431" i="5" s="1"/>
  <c r="R432" i="5" a="1"/>
  <c r="R432" i="5" s="1"/>
  <c r="R433" i="5" a="1"/>
  <c r="R433" i="5" s="1"/>
  <c r="R434" i="5" a="1"/>
  <c r="R434" i="5" s="1"/>
  <c r="R435" i="5" a="1"/>
  <c r="R435" i="5" s="1"/>
  <c r="R436" i="5" a="1"/>
  <c r="R436" i="5" s="1"/>
  <c r="R437" i="5" a="1"/>
  <c r="R437" i="5" s="1"/>
  <c r="R438" i="5" a="1"/>
  <c r="R438" i="5" s="1"/>
  <c r="R439" i="5" a="1"/>
  <c r="R439" i="5" s="1"/>
  <c r="R440" i="5" a="1"/>
  <c r="R440" i="5" s="1"/>
  <c r="R441" i="5" a="1"/>
  <c r="R441" i="5" s="1"/>
  <c r="R442" i="5" a="1"/>
  <c r="R442" i="5" s="1"/>
  <c r="R443" i="5" a="1"/>
  <c r="R443" i="5" s="1"/>
  <c r="R444" i="5" a="1"/>
  <c r="R444" i="5" s="1"/>
  <c r="R445" i="5" a="1"/>
  <c r="R445" i="5" s="1"/>
  <c r="R446" i="5" a="1"/>
  <c r="R446" i="5" s="1"/>
  <c r="R447" i="5" a="1"/>
  <c r="R447" i="5" s="1"/>
  <c r="R448" i="5" a="1"/>
  <c r="R448" i="5" s="1"/>
  <c r="R449" i="5" a="1"/>
  <c r="R449" i="5" s="1"/>
  <c r="R450" i="5" a="1"/>
  <c r="R450" i="5" s="1"/>
  <c r="R451" i="5" a="1"/>
  <c r="R451" i="5" s="1"/>
  <c r="R452" i="5" a="1"/>
  <c r="R452" i="5" s="1"/>
  <c r="R453" i="5" a="1"/>
  <c r="R453" i="5" s="1"/>
  <c r="R454" i="5" a="1"/>
  <c r="R454" i="5" s="1"/>
  <c r="R455" i="5" a="1"/>
  <c r="R455" i="5" s="1"/>
  <c r="R456" i="5" a="1"/>
  <c r="R456" i="5" s="1"/>
  <c r="R457" i="5" a="1"/>
  <c r="R457" i="5" s="1"/>
  <c r="R458" i="5" a="1"/>
  <c r="R458" i="5" s="1"/>
  <c r="R459" i="5" a="1"/>
  <c r="R459" i="5" s="1"/>
  <c r="R460" i="5" a="1"/>
  <c r="R460" i="5" s="1"/>
  <c r="R461" i="5" a="1"/>
  <c r="R461" i="5" s="1"/>
  <c r="R462" i="5" a="1"/>
  <c r="R462" i="5" s="1"/>
  <c r="R463" i="5" a="1"/>
  <c r="R463" i="5" s="1"/>
  <c r="R464" i="5" a="1"/>
  <c r="R464" i="5" s="1"/>
  <c r="R465" i="5" a="1"/>
  <c r="R465" i="5" s="1"/>
  <c r="R466" i="5" a="1"/>
  <c r="R466" i="5" s="1"/>
  <c r="R467" i="5" a="1"/>
  <c r="R467" i="5" s="1"/>
  <c r="R468" i="5" a="1"/>
  <c r="R468" i="5" s="1"/>
  <c r="R469" i="5" a="1"/>
  <c r="R469" i="5" s="1"/>
  <c r="R470" i="5" a="1"/>
  <c r="R470" i="5" s="1"/>
  <c r="R471" i="5" a="1"/>
  <c r="R471" i="5" s="1"/>
  <c r="R472" i="5" a="1"/>
  <c r="R472" i="5" s="1"/>
  <c r="R473" i="5" a="1"/>
  <c r="R473" i="5" s="1"/>
  <c r="R474" i="5" a="1"/>
  <c r="R474" i="5" s="1"/>
  <c r="R475" i="5" a="1"/>
  <c r="R475" i="5" s="1"/>
  <c r="R476" i="5" a="1"/>
  <c r="R476" i="5" s="1"/>
  <c r="R477" i="5" a="1"/>
  <c r="R477" i="5" s="1"/>
  <c r="R478" i="5" a="1"/>
  <c r="R478" i="5" s="1"/>
  <c r="R479" i="5" a="1"/>
  <c r="R479" i="5" s="1"/>
  <c r="R480" i="5" a="1"/>
  <c r="R480" i="5" s="1"/>
  <c r="R481" i="5" a="1"/>
  <c r="R481" i="5" s="1"/>
  <c r="R482" i="5" a="1"/>
  <c r="R482" i="5" s="1"/>
  <c r="R483" i="5" a="1"/>
  <c r="R483" i="5" s="1"/>
  <c r="R484" i="5" a="1"/>
  <c r="R484" i="5" s="1"/>
  <c r="R485" i="5" a="1"/>
  <c r="R485" i="5"/>
  <c r="R486" i="5" a="1"/>
  <c r="R486" i="5" s="1"/>
  <c r="R487" i="5" a="1"/>
  <c r="R487" i="5" s="1"/>
  <c r="R488" i="5" a="1"/>
  <c r="R488" i="5" s="1"/>
  <c r="R489" i="5" a="1"/>
  <c r="R489" i="5" s="1"/>
  <c r="R490" i="5" a="1"/>
  <c r="R490" i="5" s="1"/>
  <c r="R491" i="5" a="1"/>
  <c r="R491" i="5" s="1"/>
  <c r="R492" i="5" a="1"/>
  <c r="R492" i="5" s="1"/>
  <c r="R493" i="5" a="1"/>
  <c r="R493" i="5" s="1"/>
  <c r="R494" i="5" a="1"/>
  <c r="R494" i="5" s="1"/>
  <c r="R495" i="5" a="1"/>
  <c r="R495" i="5" s="1"/>
  <c r="R496" i="5" a="1"/>
  <c r="R496" i="5" s="1"/>
  <c r="R497" i="5" a="1"/>
  <c r="R497" i="5" s="1"/>
  <c r="R498" i="5" a="1"/>
  <c r="R498" i="5" s="1"/>
  <c r="R499" i="5" a="1"/>
  <c r="R499" i="5" s="1"/>
  <c r="R500" i="5" a="1"/>
  <c r="R500" i="5" s="1"/>
  <c r="R501" i="5" a="1"/>
  <c r="R501" i="5" s="1"/>
  <c r="R502" i="5" a="1"/>
  <c r="R502" i="5" s="1"/>
  <c r="R503" i="5" a="1"/>
  <c r="R503" i="5" s="1"/>
  <c r="R504" i="5" a="1"/>
  <c r="R504" i="5" s="1"/>
  <c r="R505" i="5" a="1"/>
  <c r="R505" i="5" s="1"/>
  <c r="R506" i="5" a="1"/>
  <c r="R506" i="5" s="1"/>
  <c r="R507" i="5" a="1"/>
  <c r="R507" i="5" s="1"/>
  <c r="R508" i="5" a="1"/>
  <c r="R508" i="5" s="1"/>
  <c r="R509" i="5" a="1"/>
  <c r="R509" i="5" s="1"/>
  <c r="R510" i="5" a="1"/>
  <c r="R510" i="5" s="1"/>
  <c r="R511" i="5" a="1"/>
  <c r="R511" i="5" s="1"/>
  <c r="R512" i="5" a="1"/>
  <c r="R512" i="5" s="1"/>
  <c r="R513" i="5" a="1"/>
  <c r="R513" i="5" s="1"/>
  <c r="R514" i="5" a="1"/>
  <c r="R514" i="5" s="1"/>
  <c r="R515" i="5" a="1"/>
  <c r="R515" i="5" s="1"/>
  <c r="R516" i="5" a="1"/>
  <c r="R516" i="5" s="1"/>
  <c r="R517" i="5" a="1"/>
  <c r="R517" i="5" s="1"/>
  <c r="R518" i="5" a="1"/>
  <c r="R518" i="5" s="1"/>
  <c r="R519" i="5" a="1"/>
  <c r="R519" i="5" s="1"/>
  <c r="R520" i="5" a="1"/>
  <c r="R520" i="5" s="1"/>
  <c r="R521" i="5" a="1"/>
  <c r="R521" i="5" s="1"/>
  <c r="R522" i="5" a="1"/>
  <c r="R522" i="5" s="1"/>
  <c r="R523" i="5" a="1"/>
  <c r="R523" i="5" s="1"/>
  <c r="R524" i="5" a="1"/>
  <c r="R524" i="5" s="1"/>
  <c r="R525" i="5" a="1"/>
  <c r="R525" i="5" s="1"/>
  <c r="R526" i="5" a="1"/>
  <c r="R526" i="5" s="1"/>
  <c r="R527" i="5" a="1"/>
  <c r="R527" i="5" s="1"/>
  <c r="R528" i="5" a="1"/>
  <c r="R528" i="5" s="1"/>
  <c r="R529" i="5" a="1"/>
  <c r="R529" i="5" s="1"/>
  <c r="R530" i="5" a="1"/>
  <c r="R530" i="5" s="1"/>
  <c r="R531" i="5" a="1"/>
  <c r="R531" i="5" s="1"/>
  <c r="R532" i="5" a="1"/>
  <c r="R532" i="5" s="1"/>
  <c r="R533" i="5" a="1"/>
  <c r="R533" i="5" s="1"/>
  <c r="R534" i="5" a="1"/>
  <c r="R534" i="5" s="1"/>
  <c r="R535" i="5" a="1"/>
  <c r="R535" i="5" s="1"/>
  <c r="R536" i="5" a="1"/>
  <c r="R536" i="5" s="1"/>
  <c r="R537" i="5" a="1"/>
  <c r="R537" i="5" s="1"/>
  <c r="R538" i="5" a="1"/>
  <c r="R538" i="5" s="1"/>
  <c r="R539" i="5" a="1"/>
  <c r="R539" i="5"/>
  <c r="R540" i="5" a="1"/>
  <c r="R540" i="5" s="1"/>
  <c r="R541" i="5" a="1"/>
  <c r="R541" i="5" s="1"/>
  <c r="R542" i="5" a="1"/>
  <c r="R542" i="5" s="1"/>
  <c r="R543" i="5" a="1"/>
  <c r="R543" i="5" s="1"/>
  <c r="R544" i="5" a="1"/>
  <c r="R544" i="5" s="1"/>
  <c r="R545" i="5" a="1"/>
  <c r="R545" i="5" s="1"/>
  <c r="R546" i="5" a="1"/>
  <c r="R546" i="5" s="1"/>
  <c r="R547" i="5" a="1"/>
  <c r="R547" i="5" s="1"/>
  <c r="R548" i="5" a="1"/>
  <c r="R548" i="5" s="1"/>
  <c r="R549" i="5" a="1"/>
  <c r="R549" i="5" s="1"/>
  <c r="R550" i="5" a="1"/>
  <c r="R550" i="5" s="1"/>
  <c r="R551" i="5" a="1"/>
  <c r="R551" i="5" s="1"/>
  <c r="R552" i="5" a="1"/>
  <c r="R552" i="5" s="1"/>
  <c r="R553" i="5" a="1"/>
  <c r="R553" i="5" s="1"/>
  <c r="R554" i="5" a="1"/>
  <c r="R554" i="5" s="1"/>
  <c r="R555" i="5" a="1"/>
  <c r="R555" i="5" s="1"/>
  <c r="R556" i="5" a="1"/>
  <c r="R556" i="5" s="1"/>
  <c r="R557" i="5" a="1"/>
  <c r="R557" i="5" s="1"/>
  <c r="R558" i="5" a="1"/>
  <c r="R558" i="5" s="1"/>
  <c r="R559" i="5" a="1"/>
  <c r="R559" i="5" s="1"/>
  <c r="R560" i="5" a="1"/>
  <c r="R560" i="5" s="1"/>
  <c r="R561" i="5" a="1"/>
  <c r="R561" i="5" s="1"/>
  <c r="R562" i="5" a="1"/>
  <c r="R562" i="5" s="1"/>
  <c r="R563" i="5" a="1"/>
  <c r="R563" i="5" s="1"/>
  <c r="R564" i="5" a="1"/>
  <c r="R564" i="5" s="1"/>
  <c r="R565" i="5" a="1"/>
  <c r="R565" i="5" s="1"/>
  <c r="R566" i="5" a="1"/>
  <c r="R566" i="5" s="1"/>
  <c r="R567" i="5" a="1"/>
  <c r="R567" i="5" s="1"/>
  <c r="R568" i="5" a="1"/>
  <c r="R568" i="5" s="1"/>
  <c r="R569" i="5" a="1"/>
  <c r="R569" i="5" s="1"/>
  <c r="R570" i="5" a="1"/>
  <c r="R570" i="5" s="1"/>
  <c r="R571" i="5" a="1"/>
  <c r="R571" i="5" s="1"/>
  <c r="R572" i="5" a="1"/>
  <c r="R572" i="5" s="1"/>
  <c r="R573" i="5" a="1"/>
  <c r="R573" i="5" s="1"/>
  <c r="R574" i="5" a="1"/>
  <c r="R574" i="5" s="1"/>
  <c r="R575" i="5" a="1"/>
  <c r="R575" i="5" s="1"/>
  <c r="R576" i="5" a="1"/>
  <c r="R576" i="5" s="1"/>
  <c r="R577" i="5" a="1"/>
  <c r="R577" i="5" s="1"/>
  <c r="R578" i="5" a="1"/>
  <c r="R578" i="5" s="1"/>
  <c r="R579" i="5" a="1"/>
  <c r="R579" i="5" s="1"/>
  <c r="R580" i="5" a="1"/>
  <c r="R580" i="5" s="1"/>
  <c r="R581" i="5" a="1"/>
  <c r="R581" i="5" s="1"/>
  <c r="R582" i="5" a="1"/>
  <c r="R582" i="5" s="1"/>
  <c r="R583" i="5" a="1"/>
  <c r="R583" i="5" s="1"/>
  <c r="R584" i="5" a="1"/>
  <c r="R584" i="5" s="1"/>
  <c r="R585" i="5" a="1"/>
  <c r="R585" i="5" s="1"/>
  <c r="R586" i="5" a="1"/>
  <c r="R586" i="5" s="1"/>
  <c r="R587" i="5" a="1"/>
  <c r="R587" i="5" s="1"/>
  <c r="R588" i="5" a="1"/>
  <c r="R588" i="5" s="1"/>
  <c r="R589" i="5" a="1"/>
  <c r="R589" i="5" s="1"/>
  <c r="R590" i="5" a="1"/>
  <c r="R590" i="5" s="1"/>
  <c r="R591" i="5" a="1"/>
  <c r="R591" i="5" s="1"/>
  <c r="R592" i="5" a="1"/>
  <c r="R592" i="5" s="1"/>
  <c r="R593" i="5" a="1"/>
  <c r="R593" i="5" s="1"/>
  <c r="R594" i="5" a="1"/>
  <c r="R594" i="5" s="1"/>
  <c r="R595" i="5" a="1"/>
  <c r="R595" i="5" s="1"/>
  <c r="R596" i="5" a="1"/>
  <c r="R596" i="5" s="1"/>
  <c r="R597" i="5" a="1"/>
  <c r="R597" i="5" s="1"/>
  <c r="R598" i="5" a="1"/>
  <c r="R598" i="5" s="1"/>
  <c r="R599" i="5" a="1"/>
  <c r="R599" i="5" s="1"/>
  <c r="R600" i="5" a="1"/>
  <c r="R600" i="5" s="1"/>
  <c r="R601" i="5" a="1"/>
  <c r="R601" i="5" s="1"/>
  <c r="R602" i="5" a="1"/>
  <c r="R602" i="5" s="1"/>
  <c r="R603" i="5" a="1"/>
  <c r="R603" i="5" s="1"/>
  <c r="R604" i="5" a="1"/>
  <c r="R604" i="5" s="1"/>
  <c r="R605" i="5" a="1"/>
  <c r="R605" i="5" s="1"/>
  <c r="R606" i="5" a="1"/>
  <c r="R606" i="5" s="1"/>
  <c r="R607" i="5" a="1"/>
  <c r="R607" i="5" s="1"/>
  <c r="R608" i="5" a="1"/>
  <c r="R608" i="5" s="1"/>
  <c r="R609" i="5" a="1"/>
  <c r="R609" i="5" s="1"/>
  <c r="R610" i="5" a="1"/>
  <c r="R610" i="5" s="1"/>
  <c r="R611" i="5" a="1"/>
  <c r="R611" i="5" s="1"/>
  <c r="R612" i="5" a="1"/>
  <c r="R612" i="5" s="1"/>
  <c r="R613" i="5" a="1"/>
  <c r="R613" i="5" s="1"/>
  <c r="R614" i="5" a="1"/>
  <c r="R614" i="5" s="1"/>
  <c r="R615" i="5" a="1"/>
  <c r="R615" i="5" s="1"/>
  <c r="R616" i="5" a="1"/>
  <c r="R616" i="5" s="1"/>
  <c r="R617" i="5" a="1"/>
  <c r="R617" i="5" s="1"/>
  <c r="R618" i="5" a="1"/>
  <c r="R618" i="5" s="1"/>
  <c r="R619" i="5" a="1"/>
  <c r="R619" i="5" s="1"/>
  <c r="R620" i="5" a="1"/>
  <c r="R620" i="5" s="1"/>
  <c r="R621" i="5" a="1"/>
  <c r="R621" i="5" s="1"/>
  <c r="R622" i="5" a="1"/>
  <c r="R622" i="5" s="1"/>
  <c r="R623" i="5" a="1"/>
  <c r="R623" i="5" s="1"/>
  <c r="R624" i="5" a="1"/>
  <c r="R624" i="5" s="1"/>
  <c r="R625" i="5" a="1"/>
  <c r="R625" i="5" s="1"/>
  <c r="R626" i="5" a="1"/>
  <c r="R626" i="5" s="1"/>
  <c r="R627" i="5" a="1"/>
  <c r="R627" i="5" s="1"/>
  <c r="R628" i="5" a="1"/>
  <c r="R628" i="5" s="1"/>
  <c r="R629" i="5" a="1"/>
  <c r="R629" i="5" s="1"/>
  <c r="R630" i="5" a="1"/>
  <c r="R630" i="5" s="1"/>
  <c r="R631" i="5" a="1"/>
  <c r="R631" i="5" s="1"/>
  <c r="R632" i="5" a="1"/>
  <c r="R632" i="5" s="1"/>
  <c r="R633" i="5" a="1"/>
  <c r="R633" i="5" s="1"/>
  <c r="R634" i="5" a="1"/>
  <c r="R634" i="5" s="1"/>
  <c r="R635" i="5" a="1"/>
  <c r="R635" i="5" s="1"/>
  <c r="R636" i="5" a="1"/>
  <c r="R636" i="5" s="1"/>
  <c r="R637" i="5" a="1"/>
  <c r="R637" i="5" s="1"/>
  <c r="R638" i="5" a="1"/>
  <c r="R638" i="5" s="1"/>
  <c r="R639" i="5" a="1"/>
  <c r="R639" i="5" s="1"/>
  <c r="R640" i="5" a="1"/>
  <c r="R640" i="5" s="1"/>
  <c r="R641" i="5" a="1"/>
  <c r="R641" i="5" s="1"/>
  <c r="R642" i="5" a="1"/>
  <c r="R642" i="5" s="1"/>
  <c r="R643" i="5" a="1"/>
  <c r="R643" i="5"/>
  <c r="R644" i="5" a="1"/>
  <c r="R644" i="5" s="1"/>
  <c r="R645" i="5" a="1"/>
  <c r="R645" i="5" s="1"/>
  <c r="R646" i="5" a="1"/>
  <c r="R646" i="5" s="1"/>
  <c r="R647" i="5" a="1"/>
  <c r="R647" i="5" s="1"/>
  <c r="R648" i="5" a="1"/>
  <c r="R648" i="5" s="1"/>
  <c r="R649" i="5" a="1"/>
  <c r="R649" i="5" s="1"/>
  <c r="R650" i="5" a="1"/>
  <c r="R650" i="5" s="1"/>
  <c r="R651" i="5" a="1"/>
  <c r="R651" i="5" s="1"/>
  <c r="R652" i="5" a="1"/>
  <c r="R652" i="5" s="1"/>
  <c r="R653" i="5" a="1"/>
  <c r="R653" i="5" s="1"/>
  <c r="R654" i="5" a="1"/>
  <c r="R654" i="5" s="1"/>
  <c r="R655" i="5" a="1"/>
  <c r="R655" i="5" s="1"/>
  <c r="R656" i="5" a="1"/>
  <c r="R656" i="5" s="1"/>
  <c r="R657" i="5" a="1"/>
  <c r="R657" i="5" s="1"/>
  <c r="R658" i="5" a="1"/>
  <c r="R658" i="5" s="1"/>
  <c r="R659" i="5" a="1"/>
  <c r="R659" i="5" s="1"/>
  <c r="R660" i="5" a="1"/>
  <c r="R660" i="5" s="1"/>
  <c r="R661" i="5" a="1"/>
  <c r="R661" i="5" s="1"/>
  <c r="R662" i="5" a="1"/>
  <c r="R662" i="5" s="1"/>
  <c r="R663" i="5" a="1"/>
  <c r="R663" i="5" s="1"/>
  <c r="R664" i="5" a="1"/>
  <c r="R664" i="5" s="1"/>
  <c r="R665" i="5" a="1"/>
  <c r="R665" i="5" s="1"/>
  <c r="R666" i="5" a="1"/>
  <c r="R666" i="5" s="1"/>
  <c r="R667" i="5" a="1"/>
  <c r="R667" i="5" s="1"/>
  <c r="R668" i="5" a="1"/>
  <c r="R668" i="5" s="1"/>
  <c r="R669" i="5" a="1"/>
  <c r="R669" i="5" s="1"/>
  <c r="R670" i="5" a="1"/>
  <c r="R670" i="5" s="1"/>
  <c r="R671" i="5" a="1"/>
  <c r="R671" i="5" s="1"/>
  <c r="R672" i="5" a="1"/>
  <c r="R672" i="5" s="1"/>
  <c r="R673" i="5" a="1"/>
  <c r="R673" i="5" s="1"/>
  <c r="R674" i="5" a="1"/>
  <c r="R674" i="5" s="1"/>
  <c r="R675" i="5" a="1"/>
  <c r="R675" i="5" s="1"/>
  <c r="R676" i="5" a="1"/>
  <c r="R676" i="5" s="1"/>
  <c r="R677" i="5" a="1"/>
  <c r="R677" i="5" s="1"/>
  <c r="R678" i="5" a="1"/>
  <c r="R678" i="5" s="1"/>
  <c r="R679" i="5" a="1"/>
  <c r="R679" i="5" s="1"/>
  <c r="R680" i="5" a="1"/>
  <c r="R680" i="5" s="1"/>
  <c r="R681" i="5" a="1"/>
  <c r="R681" i="5" s="1"/>
  <c r="R682" i="5" a="1"/>
  <c r="R682" i="5" s="1"/>
  <c r="R683" i="5" a="1"/>
  <c r="R683" i="5" s="1"/>
  <c r="R684" i="5" a="1"/>
  <c r="R684" i="5" s="1"/>
  <c r="R685" i="5" a="1"/>
  <c r="R685" i="5" s="1"/>
  <c r="R686" i="5" a="1"/>
  <c r="R686" i="5" s="1"/>
  <c r="R687" i="5" a="1"/>
  <c r="R687" i="5" s="1"/>
  <c r="R688" i="5" a="1"/>
  <c r="R688" i="5" s="1"/>
  <c r="R689" i="5" a="1"/>
  <c r="R689" i="5" s="1"/>
  <c r="R690" i="5" a="1"/>
  <c r="R690" i="5" s="1"/>
  <c r="R691" i="5" a="1"/>
  <c r="R691" i="5" s="1"/>
  <c r="R692" i="5" a="1"/>
  <c r="R692" i="5" s="1"/>
  <c r="R693" i="5" a="1"/>
  <c r="R693" i="5"/>
  <c r="R694" i="5" a="1"/>
  <c r="R694" i="5" s="1"/>
  <c r="R695" i="5" a="1"/>
  <c r="R695" i="5" s="1"/>
  <c r="R696" i="5" a="1"/>
  <c r="R696" i="5" s="1"/>
  <c r="R697" i="5" a="1"/>
  <c r="R697" i="5" s="1"/>
  <c r="R698" i="5" a="1"/>
  <c r="R698" i="5" s="1"/>
  <c r="R699" i="5" a="1"/>
  <c r="R699" i="5"/>
  <c r="R700" i="5" a="1"/>
  <c r="R700" i="5" s="1"/>
  <c r="R701" i="5" a="1"/>
  <c r="R701" i="5" s="1"/>
  <c r="R702" i="5" a="1"/>
  <c r="R702" i="5" s="1"/>
  <c r="R703" i="5" a="1"/>
  <c r="R703" i="5" s="1"/>
  <c r="R704" i="5" a="1"/>
  <c r="R704" i="5" s="1"/>
  <c r="R705" i="5" a="1"/>
  <c r="R705" i="5" s="1"/>
  <c r="R706" i="5" a="1"/>
  <c r="R706" i="5" s="1"/>
  <c r="R707" i="5" a="1"/>
  <c r="R707" i="5" s="1"/>
  <c r="R708" i="5" a="1"/>
  <c r="R708" i="5" s="1"/>
  <c r="R709" i="5" a="1"/>
  <c r="R709" i="5" s="1"/>
  <c r="R710" i="5" a="1"/>
  <c r="R710" i="5" s="1"/>
  <c r="R711" i="5" a="1"/>
  <c r="R711" i="5" s="1"/>
  <c r="R712" i="5" a="1"/>
  <c r="R712" i="5" s="1"/>
  <c r="R713" i="5" a="1"/>
  <c r="R713" i="5"/>
  <c r="R714" i="5" a="1"/>
  <c r="R714" i="5" s="1"/>
  <c r="R715" i="5" a="1"/>
  <c r="R715" i="5" s="1"/>
  <c r="R716" i="5" a="1"/>
  <c r="R716" i="5" s="1"/>
  <c r="R717" i="5" a="1"/>
  <c r="R717" i="5" s="1"/>
  <c r="R718" i="5" a="1"/>
  <c r="R718" i="5" s="1"/>
  <c r="R719" i="5" a="1"/>
  <c r="R719" i="5" s="1"/>
  <c r="R720" i="5" a="1"/>
  <c r="R720" i="5" s="1"/>
  <c r="R721" i="5" a="1"/>
  <c r="R721" i="5" s="1"/>
  <c r="R722" i="5" a="1"/>
  <c r="R722" i="5" s="1"/>
  <c r="R723" i="5" a="1"/>
  <c r="R723" i="5" s="1"/>
  <c r="R724" i="5" a="1"/>
  <c r="R724" i="5" s="1"/>
  <c r="R725" i="5" a="1"/>
  <c r="R725" i="5" s="1"/>
  <c r="R726" i="5" a="1"/>
  <c r="R726" i="5" s="1"/>
  <c r="R727" i="5" a="1"/>
  <c r="R727" i="5" s="1"/>
  <c r="R728" i="5" a="1"/>
  <c r="R728" i="5" s="1"/>
  <c r="R729" i="5" a="1"/>
  <c r="R729" i="5" s="1"/>
  <c r="R730" i="5" a="1"/>
  <c r="R730" i="5" s="1"/>
  <c r="R731" i="5" a="1"/>
  <c r="R731" i="5" s="1"/>
  <c r="R732" i="5" a="1"/>
  <c r="R732" i="5" s="1"/>
  <c r="R733" i="5" a="1"/>
  <c r="R733" i="5" s="1"/>
  <c r="R734" i="5" a="1"/>
  <c r="R734" i="5" s="1"/>
  <c r="R735" i="5" a="1"/>
  <c r="R735" i="5" s="1"/>
  <c r="R736" i="5" a="1"/>
  <c r="R736" i="5" s="1"/>
  <c r="R737" i="5" a="1"/>
  <c r="R737" i="5" s="1"/>
  <c r="R738" i="5" a="1"/>
  <c r="R738" i="5" s="1"/>
  <c r="R739" i="5" a="1"/>
  <c r="R739" i="5" s="1"/>
  <c r="R740" i="5" a="1"/>
  <c r="R740" i="5" s="1"/>
  <c r="R741" i="5" a="1"/>
  <c r="R741" i="5" s="1"/>
  <c r="R742" i="5" a="1"/>
  <c r="R742" i="5" s="1"/>
  <c r="R743" i="5" a="1"/>
  <c r="R743" i="5" s="1"/>
  <c r="R744" i="5" a="1"/>
  <c r="R744" i="5" s="1"/>
  <c r="R745" i="5" a="1"/>
  <c r="R745" i="5" s="1"/>
  <c r="R746" i="5" a="1"/>
  <c r="R746" i="5" s="1"/>
  <c r="R747" i="5" a="1"/>
  <c r="R747" i="5" s="1"/>
  <c r="R748" i="5" a="1"/>
  <c r="R748" i="5" s="1"/>
  <c r="R749" i="5" a="1"/>
  <c r="R749" i="5" s="1"/>
  <c r="R750" i="5" a="1"/>
  <c r="R750" i="5" s="1"/>
  <c r="R751" i="5" a="1"/>
  <c r="R751" i="5" s="1"/>
  <c r="R752" i="5" a="1"/>
  <c r="R752" i="5" s="1"/>
  <c r="R753" i="5" a="1"/>
  <c r="R753" i="5" s="1"/>
  <c r="R754" i="5" a="1"/>
  <c r="R754" i="5" s="1"/>
  <c r="R755" i="5" a="1"/>
  <c r="R755" i="5" s="1"/>
  <c r="R756" i="5" a="1"/>
  <c r="R756" i="5" s="1"/>
  <c r="R757" i="5" a="1"/>
  <c r="R757" i="5"/>
  <c r="R758" i="5" a="1"/>
  <c r="R758" i="5" s="1"/>
  <c r="R759" i="5" a="1"/>
  <c r="R759" i="5" s="1"/>
  <c r="R760" i="5" a="1"/>
  <c r="R760" i="5" s="1"/>
  <c r="R761" i="5" a="1"/>
  <c r="R761" i="5" s="1"/>
  <c r="R762" i="5" a="1"/>
  <c r="R762" i="5" s="1"/>
  <c r="R763" i="5" a="1"/>
  <c r="R763" i="5" s="1"/>
  <c r="R764" i="5" a="1"/>
  <c r="R764" i="5" s="1"/>
  <c r="R765" i="5" a="1"/>
  <c r="R765" i="5" s="1"/>
  <c r="R766" i="5" a="1"/>
  <c r="R766" i="5" s="1"/>
  <c r="R767" i="5" a="1"/>
  <c r="R767" i="5" s="1"/>
  <c r="R768" i="5" a="1"/>
  <c r="R768" i="5" s="1"/>
  <c r="R769" i="5" a="1"/>
  <c r="R769" i="5" s="1"/>
  <c r="R770" i="5" a="1"/>
  <c r="R770" i="5" s="1"/>
  <c r="R771" i="5" a="1"/>
  <c r="R771" i="5" s="1"/>
  <c r="R772" i="5" a="1"/>
  <c r="R772" i="5" s="1"/>
  <c r="R773" i="5" a="1"/>
  <c r="R773" i="5" s="1"/>
  <c r="R774" i="5" a="1"/>
  <c r="R774" i="5" s="1"/>
  <c r="R775" i="5" a="1"/>
  <c r="R775" i="5" s="1"/>
  <c r="R776" i="5" a="1"/>
  <c r="R776" i="5" s="1"/>
  <c r="R777" i="5" a="1"/>
  <c r="R777" i="5" s="1"/>
  <c r="R778" i="5" a="1"/>
  <c r="R778" i="5" s="1"/>
  <c r="R779" i="5" a="1"/>
  <c r="R779" i="5" s="1"/>
  <c r="R780" i="5" a="1"/>
  <c r="R780" i="5" s="1"/>
  <c r="R781" i="5" a="1"/>
  <c r="R781" i="5" s="1"/>
  <c r="R782" i="5" a="1"/>
  <c r="R782" i="5" s="1"/>
  <c r="R783" i="5" a="1"/>
  <c r="R783" i="5" s="1"/>
  <c r="R784" i="5" a="1"/>
  <c r="R784" i="5" s="1"/>
  <c r="R785" i="5" a="1"/>
  <c r="R785" i="5" s="1"/>
  <c r="R786" i="5" a="1"/>
  <c r="R786" i="5" s="1"/>
  <c r="R787" i="5" a="1"/>
  <c r="R787" i="5" s="1"/>
  <c r="R788" i="5" a="1"/>
  <c r="R788" i="5" s="1"/>
  <c r="R789" i="5" a="1"/>
  <c r="R789" i="5" s="1"/>
  <c r="R790" i="5" a="1"/>
  <c r="R790" i="5" s="1"/>
  <c r="R791" i="5" a="1"/>
  <c r="R791" i="5" s="1"/>
  <c r="R792" i="5" a="1"/>
  <c r="R792" i="5" s="1"/>
  <c r="R793" i="5" a="1"/>
  <c r="R793" i="5" s="1"/>
  <c r="R794" i="5" a="1"/>
  <c r="R794" i="5" s="1"/>
  <c r="R795" i="5" a="1"/>
  <c r="R795" i="5" s="1"/>
  <c r="R796" i="5" a="1"/>
  <c r="R796" i="5" s="1"/>
  <c r="R797" i="5" a="1"/>
  <c r="R797" i="5" s="1"/>
  <c r="R798" i="5" a="1"/>
  <c r="R798" i="5" s="1"/>
  <c r="R799" i="5" a="1"/>
  <c r="R799" i="5" s="1"/>
  <c r="R800" i="5" a="1"/>
  <c r="R800" i="5" s="1"/>
  <c r="R801" i="5" a="1"/>
  <c r="R801" i="5" s="1"/>
  <c r="R802" i="5" a="1"/>
  <c r="R802" i="5" s="1"/>
  <c r="R803" i="5" a="1"/>
  <c r="R803" i="5" s="1"/>
  <c r="R804" i="5" a="1"/>
  <c r="R804" i="5" s="1"/>
  <c r="R805" i="5" a="1"/>
  <c r="R805" i="5" s="1"/>
  <c r="R806" i="5" a="1"/>
  <c r="R806" i="5" s="1"/>
  <c r="R807" i="5" a="1"/>
  <c r="R807" i="5" s="1"/>
  <c r="R808" i="5" a="1"/>
  <c r="R808" i="5" s="1"/>
  <c r="R809" i="5" a="1"/>
  <c r="R809" i="5" s="1"/>
  <c r="R810" i="5" a="1"/>
  <c r="R810" i="5" s="1"/>
  <c r="R811" i="5" a="1"/>
  <c r="R811" i="5" s="1"/>
  <c r="R812" i="5" a="1"/>
  <c r="R812" i="5" s="1"/>
  <c r="R813" i="5" a="1"/>
  <c r="R813" i="5" s="1"/>
  <c r="R814" i="5" a="1"/>
  <c r="R814" i="5" s="1"/>
  <c r="R815" i="5" a="1"/>
  <c r="R815" i="5" s="1"/>
  <c r="R816" i="5" a="1"/>
  <c r="R816" i="5" s="1"/>
  <c r="R817" i="5" a="1"/>
  <c r="R817" i="5" s="1"/>
  <c r="R818" i="5" a="1"/>
  <c r="R818" i="5" s="1"/>
  <c r="R819" i="5" a="1"/>
  <c r="R819" i="5" s="1"/>
  <c r="R820" i="5" a="1"/>
  <c r="R820" i="5" s="1"/>
  <c r="R821" i="5" a="1"/>
  <c r="R821" i="5" s="1"/>
  <c r="R822" i="5" a="1"/>
  <c r="R822" i="5" s="1"/>
  <c r="R823" i="5" a="1"/>
  <c r="R823" i="5" s="1"/>
  <c r="R824" i="5" a="1"/>
  <c r="R824" i="5" s="1"/>
  <c r="R825" i="5" a="1"/>
  <c r="R825" i="5" s="1"/>
  <c r="R826" i="5" a="1"/>
  <c r="R826" i="5" s="1"/>
  <c r="R827" i="5" a="1"/>
  <c r="R827" i="5" s="1"/>
  <c r="R828" i="5" a="1"/>
  <c r="R828" i="5" s="1"/>
  <c r="R829" i="5" a="1"/>
  <c r="R829" i="5" s="1"/>
  <c r="R830" i="5" a="1"/>
  <c r="R830" i="5" s="1"/>
  <c r="R831" i="5" a="1"/>
  <c r="R831" i="5" s="1"/>
  <c r="R832" i="5" a="1"/>
  <c r="R832" i="5" s="1"/>
  <c r="R833" i="5" a="1"/>
  <c r="R833" i="5" s="1"/>
  <c r="R834" i="5" a="1"/>
  <c r="R834" i="5"/>
  <c r="R835" i="5" a="1"/>
  <c r="R835" i="5" s="1"/>
  <c r="R836" i="5" a="1"/>
  <c r="R836" i="5"/>
  <c r="R837" i="5" a="1"/>
  <c r="R837" i="5" s="1"/>
  <c r="R838" i="5" a="1"/>
  <c r="R838" i="5" s="1"/>
  <c r="R839" i="5" a="1"/>
  <c r="R839" i="5" s="1"/>
  <c r="R840" i="5" a="1"/>
  <c r="R840" i="5"/>
  <c r="R841" i="5" a="1"/>
  <c r="R841" i="5" s="1"/>
  <c r="R842" i="5" a="1"/>
  <c r="R842" i="5"/>
  <c r="R843" i="5" a="1"/>
  <c r="R843" i="5" s="1"/>
  <c r="R844" i="5" a="1"/>
  <c r="R844" i="5" s="1"/>
  <c r="R845" i="5" a="1"/>
  <c r="R845" i="5" s="1"/>
  <c r="R846" i="5" a="1"/>
  <c r="R846" i="5" s="1"/>
  <c r="R847" i="5" a="1"/>
  <c r="R847" i="5" s="1"/>
  <c r="R848" i="5" a="1"/>
  <c r="R848" i="5" s="1"/>
  <c r="R849" i="5" a="1"/>
  <c r="R849" i="5" s="1"/>
  <c r="R850" i="5" a="1"/>
  <c r="R850" i="5" s="1"/>
  <c r="R851" i="5" a="1"/>
  <c r="R851" i="5" s="1"/>
  <c r="R852" i="5" a="1"/>
  <c r="R852" i="5" s="1"/>
  <c r="R853" i="5" a="1"/>
  <c r="R853" i="5" s="1"/>
  <c r="R854" i="5" a="1"/>
  <c r="R854" i="5" s="1"/>
  <c r="R855" i="5" a="1"/>
  <c r="R855" i="5" s="1"/>
  <c r="R856" i="5" a="1"/>
  <c r="R856" i="5" s="1"/>
  <c r="R857" i="5" a="1"/>
  <c r="R857" i="5" s="1"/>
  <c r="R858" i="5" a="1"/>
  <c r="R858" i="5" s="1"/>
  <c r="R859" i="5" a="1"/>
  <c r="R859" i="5" s="1"/>
  <c r="R860" i="5" a="1"/>
  <c r="R860" i="5"/>
  <c r="R861" i="5" a="1"/>
  <c r="R861" i="5" s="1"/>
  <c r="R862" i="5" a="1"/>
  <c r="R862" i="5" s="1"/>
  <c r="R863" i="5" a="1"/>
  <c r="R863" i="5" s="1"/>
  <c r="R864" i="5" a="1"/>
  <c r="R864" i="5" s="1"/>
  <c r="R865" i="5" a="1"/>
  <c r="R865" i="5" s="1"/>
  <c r="R866" i="5" a="1"/>
  <c r="R866" i="5" s="1"/>
  <c r="R867" i="5" a="1"/>
  <c r="R867" i="5" s="1"/>
  <c r="R868" i="5" a="1"/>
  <c r="R868" i="5" s="1"/>
  <c r="R869" i="5" a="1"/>
  <c r="R869" i="5" s="1"/>
  <c r="R870" i="5" a="1"/>
  <c r="R870" i="5" s="1"/>
  <c r="R871" i="5" a="1"/>
  <c r="R871" i="5" s="1"/>
  <c r="R872" i="5" a="1"/>
  <c r="R872" i="5" s="1"/>
  <c r="R873" i="5" a="1"/>
  <c r="R873" i="5" s="1"/>
  <c r="R874" i="5" a="1"/>
  <c r="R874" i="5" s="1"/>
  <c r="R875" i="5" a="1"/>
  <c r="R875" i="5" s="1"/>
  <c r="R876" i="5" a="1"/>
  <c r="R876" i="5" s="1"/>
  <c r="R877" i="5" a="1"/>
  <c r="R877" i="5" s="1"/>
  <c r="R878" i="5" a="1"/>
  <c r="R878" i="5" s="1"/>
  <c r="R879" i="5" a="1"/>
  <c r="R879" i="5" s="1"/>
  <c r="R880" i="5" a="1"/>
  <c r="R880" i="5" s="1"/>
  <c r="R881" i="5" a="1"/>
  <c r="R881" i="5" s="1"/>
  <c r="R882" i="5" a="1"/>
  <c r="R882" i="5" s="1"/>
  <c r="R883" i="5" a="1"/>
  <c r="R883" i="5" s="1"/>
  <c r="R884" i="5" a="1"/>
  <c r="R884" i="5" s="1"/>
  <c r="R885" i="5" a="1"/>
  <c r="R885" i="5" s="1"/>
  <c r="R886" i="5" a="1"/>
  <c r="R886" i="5" s="1"/>
  <c r="R887" i="5" a="1"/>
  <c r="R887" i="5" s="1"/>
  <c r="R888" i="5" a="1"/>
  <c r="R888" i="5" s="1"/>
  <c r="R889" i="5" a="1"/>
  <c r="R889" i="5" s="1"/>
  <c r="R890" i="5" a="1"/>
  <c r="R890" i="5" s="1"/>
  <c r="R891" i="5" a="1"/>
  <c r="R891" i="5" s="1"/>
  <c r="R892" i="5" a="1"/>
  <c r="R892" i="5" s="1"/>
  <c r="R893" i="5" a="1"/>
  <c r="R893" i="5" s="1"/>
  <c r="R894" i="5" a="1"/>
  <c r="R894" i="5" s="1"/>
  <c r="R895" i="5" a="1"/>
  <c r="R895" i="5" s="1"/>
  <c r="R896" i="5" a="1"/>
  <c r="R896" i="5" s="1"/>
  <c r="R897" i="5" a="1"/>
  <c r="R897" i="5" s="1"/>
  <c r="R898" i="5" a="1"/>
  <c r="R898" i="5" s="1"/>
  <c r="R899" i="5" a="1"/>
  <c r="R899" i="5" s="1"/>
  <c r="R900" i="5" a="1"/>
  <c r="R900" i="5" s="1"/>
  <c r="R901" i="5" a="1"/>
  <c r="R901" i="5" s="1"/>
  <c r="R902" i="5" a="1"/>
  <c r="R902" i="5" s="1"/>
  <c r="R903" i="5" a="1"/>
  <c r="R903" i="5" s="1"/>
  <c r="R904" i="5" a="1"/>
  <c r="R904" i="5" s="1"/>
  <c r="R905" i="5" a="1"/>
  <c r="R905" i="5" s="1"/>
  <c r="R906" i="5" a="1"/>
  <c r="R906" i="5"/>
  <c r="R907" i="5" a="1"/>
  <c r="R907" i="5" s="1"/>
  <c r="R908" i="5" a="1"/>
  <c r="R908" i="5" s="1"/>
  <c r="R909" i="5" a="1"/>
  <c r="R909" i="5" s="1"/>
  <c r="R910" i="5" a="1"/>
  <c r="R910" i="5" s="1"/>
  <c r="R911" i="5" a="1"/>
  <c r="R911" i="5" s="1"/>
  <c r="R912" i="5" a="1"/>
  <c r="R912" i="5"/>
  <c r="R913" i="5" a="1"/>
  <c r="R913" i="5" s="1"/>
  <c r="R914" i="5" a="1"/>
  <c r="R914" i="5" s="1"/>
  <c r="R915" i="5" a="1"/>
  <c r="R915" i="5" s="1"/>
  <c r="R916" i="5" a="1"/>
  <c r="R916" i="5" s="1"/>
  <c r="R917" i="5" a="1"/>
  <c r="R917" i="5" s="1"/>
  <c r="R918" i="5" a="1"/>
  <c r="R918" i="5"/>
  <c r="R919" i="5" a="1"/>
  <c r="R919" i="5" s="1"/>
  <c r="R920" i="5" a="1"/>
  <c r="R920" i="5" s="1"/>
  <c r="R921" i="5" a="1"/>
  <c r="R921" i="5" s="1"/>
  <c r="R922" i="5" a="1"/>
  <c r="R922" i="5" s="1"/>
  <c r="R923" i="5" a="1"/>
  <c r="R923" i="5" s="1"/>
  <c r="R924" i="5" a="1"/>
  <c r="R924" i="5" s="1"/>
  <c r="R925" i="5" a="1"/>
  <c r="R925" i="5" s="1"/>
  <c r="R926" i="5" a="1"/>
  <c r="R926" i="5" s="1"/>
  <c r="R927" i="5" a="1"/>
  <c r="R927" i="5" s="1"/>
  <c r="R928" i="5" a="1"/>
  <c r="R928" i="5" s="1"/>
  <c r="R929" i="5" a="1"/>
  <c r="R929" i="5"/>
  <c r="R930" i="5" a="1"/>
  <c r="R930" i="5" s="1"/>
  <c r="R931" i="5" a="1"/>
  <c r="R931" i="5" s="1"/>
  <c r="R932" i="5" a="1"/>
  <c r="R932" i="5" s="1"/>
  <c r="R933" i="5" a="1"/>
  <c r="R933" i="5" s="1"/>
  <c r="R934" i="5" a="1"/>
  <c r="R934" i="5" s="1"/>
  <c r="R935" i="5" a="1"/>
  <c r="R935" i="5" s="1"/>
  <c r="R936" i="5" a="1"/>
  <c r="R936" i="5" s="1"/>
  <c r="R937" i="5" a="1"/>
  <c r="R937" i="5" s="1"/>
  <c r="R938" i="5" a="1"/>
  <c r="R938" i="5" s="1"/>
  <c r="R939" i="5" a="1"/>
  <c r="R939" i="5" s="1"/>
  <c r="R940" i="5" a="1"/>
  <c r="R940" i="5" s="1"/>
  <c r="R941" i="5" a="1"/>
  <c r="R941" i="5" s="1"/>
  <c r="R942" i="5" a="1"/>
  <c r="R942" i="5" s="1"/>
  <c r="R943" i="5" a="1"/>
  <c r="R943" i="5" s="1"/>
  <c r="R944" i="5" a="1"/>
  <c r="R944" i="5" s="1"/>
  <c r="R945" i="5" a="1"/>
  <c r="R945" i="5" s="1"/>
  <c r="R946" i="5" a="1"/>
  <c r="R946" i="5" s="1"/>
  <c r="R947" i="5" a="1"/>
  <c r="R947" i="5" s="1"/>
  <c r="R948" i="5" a="1"/>
  <c r="R948" i="5" s="1"/>
  <c r="R949" i="5" a="1"/>
  <c r="R949" i="5" s="1"/>
  <c r="R950" i="5" a="1"/>
  <c r="R950" i="5" s="1"/>
  <c r="R951" i="5" a="1"/>
  <c r="R951" i="5" s="1"/>
  <c r="R952" i="5" a="1"/>
  <c r="R952" i="5" s="1"/>
  <c r="R953" i="5" a="1"/>
  <c r="R953" i="5" s="1"/>
  <c r="R954" i="5" a="1"/>
  <c r="R954" i="5" s="1"/>
  <c r="R955" i="5" a="1"/>
  <c r="R955" i="5" s="1"/>
  <c r="R956" i="5" a="1"/>
  <c r="R956" i="5" s="1"/>
  <c r="R957" i="5" a="1"/>
  <c r="R957" i="5" s="1"/>
  <c r="R958" i="5" a="1"/>
  <c r="R958" i="5" s="1"/>
  <c r="R959" i="5" a="1"/>
  <c r="R959" i="5" s="1"/>
  <c r="R960" i="5" a="1"/>
  <c r="R960" i="5" s="1"/>
  <c r="R961" i="5" a="1"/>
  <c r="R961" i="5" s="1"/>
  <c r="R962" i="5" a="1"/>
  <c r="R962" i="5" s="1"/>
  <c r="R963" i="5" a="1"/>
  <c r="R963" i="5"/>
  <c r="R964" i="5" a="1"/>
  <c r="R964" i="5" s="1"/>
  <c r="R965" i="5" a="1"/>
  <c r="R965" i="5" s="1"/>
  <c r="R966" i="5" a="1"/>
  <c r="R966" i="5" s="1"/>
  <c r="R967" i="5" a="1"/>
  <c r="R967" i="5" s="1"/>
  <c r="R968" i="5" a="1"/>
  <c r="R968" i="5" s="1"/>
  <c r="R969" i="5" a="1"/>
  <c r="R969" i="5"/>
  <c r="R970" i="5" a="1"/>
  <c r="R970" i="5" s="1"/>
  <c r="R971" i="5" a="1"/>
  <c r="R971" i="5" s="1"/>
  <c r="R972" i="5" a="1"/>
  <c r="R972" i="5" s="1"/>
  <c r="R973" i="5" a="1"/>
  <c r="R973" i="5"/>
  <c r="R974" i="5" a="1"/>
  <c r="R974" i="5" s="1"/>
  <c r="R975" i="5" a="1"/>
  <c r="R975" i="5" s="1"/>
  <c r="R976" i="5" a="1"/>
  <c r="R976" i="5" s="1"/>
  <c r="R977" i="5" a="1"/>
  <c r="R977" i="5" s="1"/>
  <c r="R978" i="5" a="1"/>
  <c r="R978" i="5" s="1"/>
  <c r="R979" i="5" a="1"/>
  <c r="R979" i="5"/>
  <c r="R980" i="5" a="1"/>
  <c r="R980" i="5" s="1"/>
  <c r="R981" i="5" a="1"/>
  <c r="R981" i="5" s="1"/>
  <c r="R982" i="5" a="1"/>
  <c r="R982" i="5" s="1"/>
  <c r="R983" i="5" a="1"/>
  <c r="R983" i="5" s="1"/>
  <c r="R984" i="5" a="1"/>
  <c r="R984" i="5" s="1"/>
  <c r="R985" i="5" a="1"/>
  <c r="R985" i="5" s="1"/>
  <c r="R986" i="5" a="1"/>
  <c r="R986" i="5" s="1"/>
  <c r="R987" i="5" a="1"/>
  <c r="R987" i="5" s="1"/>
  <c r="R988" i="5" a="1"/>
  <c r="R988" i="5" s="1"/>
  <c r="R989" i="5" a="1"/>
  <c r="R989" i="5" s="1"/>
  <c r="R990" i="5" a="1"/>
  <c r="R990" i="5" s="1"/>
  <c r="R991" i="5" a="1"/>
  <c r="R991" i="5" s="1"/>
  <c r="R992" i="5" a="1"/>
  <c r="R992" i="5" s="1"/>
  <c r="R993" i="5" a="1"/>
  <c r="R993" i="5" s="1"/>
  <c r="R994" i="5" a="1"/>
  <c r="R994" i="5" s="1"/>
  <c r="R995" i="5" a="1"/>
  <c r="R995" i="5" s="1"/>
  <c r="R996" i="5" a="1"/>
  <c r="R996" i="5" s="1"/>
  <c r="R997" i="5" a="1"/>
  <c r="R997" i="5" s="1"/>
  <c r="R998" i="5" a="1"/>
  <c r="R998" i="5" s="1"/>
  <c r="R999" i="5" a="1"/>
  <c r="R999" i="5" s="1"/>
  <c r="R1000" i="5" a="1"/>
  <c r="R1000" i="5" s="1"/>
  <c r="R1001" i="5" a="1"/>
  <c r="R1001" i="5" s="1"/>
  <c r="R1002" i="5" a="1"/>
  <c r="R1002" i="5" s="1"/>
  <c r="R1003" i="5" a="1"/>
  <c r="R1003" i="5" s="1"/>
  <c r="R1004" i="5" a="1"/>
  <c r="R1004" i="5" s="1"/>
  <c r="R1005" i="5" a="1"/>
  <c r="R1005" i="5"/>
  <c r="R1006" i="5" a="1"/>
  <c r="R1006" i="5" s="1"/>
  <c r="R1007" i="5" a="1"/>
  <c r="R1007" i="5" s="1"/>
  <c r="R1008" i="5" a="1"/>
  <c r="R1008" i="5" s="1"/>
  <c r="R1009" i="5" a="1"/>
  <c r="R1009" i="5" s="1"/>
  <c r="R1010" i="5" a="1"/>
  <c r="R1010" i="5" s="1"/>
  <c r="R1011" i="5" a="1"/>
  <c r="R1011" i="5" s="1"/>
  <c r="R1012" i="5" a="1"/>
  <c r="R1012" i="5" s="1"/>
  <c r="R1013" i="5" a="1"/>
  <c r="R1013" i="5" s="1"/>
  <c r="R1014" i="5" a="1"/>
  <c r="R1014" i="5" s="1"/>
  <c r="R1015" i="5" a="1"/>
  <c r="R1015" i="5" s="1"/>
  <c r="R1016" i="5" a="1"/>
  <c r="R1016" i="5" s="1"/>
  <c r="R1017" i="5" a="1"/>
  <c r="R1017" i="5" s="1"/>
  <c r="R1018" i="5" a="1"/>
  <c r="R1018" i="5" s="1"/>
  <c r="R1019" i="5" a="1"/>
  <c r="R1019" i="5" s="1"/>
  <c r="R1020" i="5" a="1"/>
  <c r="R1020" i="5" s="1"/>
  <c r="R1021" i="5" a="1"/>
  <c r="R1021" i="5" s="1"/>
  <c r="R1022" i="5" a="1"/>
  <c r="R1022" i="5" s="1"/>
  <c r="R1023" i="5" a="1"/>
  <c r="R1023" i="5" s="1"/>
  <c r="R1024" i="5" a="1"/>
  <c r="R1024" i="5" s="1"/>
  <c r="R1025" i="5" a="1"/>
  <c r="R1025" i="5" s="1"/>
  <c r="R1026" i="5" a="1"/>
  <c r="R1026" i="5" s="1"/>
  <c r="R1027" i="5" a="1"/>
  <c r="R1027" i="5" s="1"/>
  <c r="R1028" i="5" a="1"/>
  <c r="R1028" i="5" s="1"/>
  <c r="R1029" i="5" a="1"/>
  <c r="R1029" i="5" s="1"/>
  <c r="R1030" i="5" a="1"/>
  <c r="R1030" i="5" s="1"/>
  <c r="R1031" i="5" a="1"/>
  <c r="R1031" i="5" s="1"/>
  <c r="R1032" i="5" a="1"/>
  <c r="R1032" i="5" s="1"/>
  <c r="R1033" i="5" a="1"/>
  <c r="R1033" i="5" s="1"/>
  <c r="R1034" i="5" a="1"/>
  <c r="R1034" i="5" s="1"/>
  <c r="R1035" i="5" a="1"/>
  <c r="R1035" i="5" s="1"/>
  <c r="R1036" i="5" a="1"/>
  <c r="R1036" i="5" s="1"/>
  <c r="R1037" i="5" a="1"/>
  <c r="R1037" i="5"/>
  <c r="R1038" i="5" a="1"/>
  <c r="R1038" i="5" s="1"/>
  <c r="R1039" i="5" a="1"/>
  <c r="R1039" i="5" s="1"/>
  <c r="R1040" i="5" a="1"/>
  <c r="R1040" i="5" s="1"/>
  <c r="R1041" i="5" a="1"/>
  <c r="R1041" i="5" s="1"/>
  <c r="R1042" i="5" a="1"/>
  <c r="R1042" i="5" s="1"/>
  <c r="R1043" i="5" a="1"/>
  <c r="R1043" i="5" s="1"/>
  <c r="R1044" i="5" a="1"/>
  <c r="R1044" i="5" s="1"/>
  <c r="R1045" i="5" a="1"/>
  <c r="R1045" i="5" s="1"/>
  <c r="R1046" i="5" a="1"/>
  <c r="R1046" i="5" s="1"/>
  <c r="R1047" i="5" a="1"/>
  <c r="R1047" i="5" s="1"/>
  <c r="R1048" i="5" a="1"/>
  <c r="R1048" i="5" s="1"/>
  <c r="R1049" i="5" a="1"/>
  <c r="R1049" i="5" s="1"/>
  <c r="R1050" i="5" a="1"/>
  <c r="R1050" i="5" s="1"/>
  <c r="R1051" i="5" a="1"/>
  <c r="R1051" i="5" s="1"/>
  <c r="R1052" i="5" a="1"/>
  <c r="R1052" i="5" s="1"/>
  <c r="R1053" i="5" a="1"/>
  <c r="R1053" i="5" s="1"/>
  <c r="R1054" i="5" a="1"/>
  <c r="R1054" i="5" s="1"/>
  <c r="R1055" i="5" a="1"/>
  <c r="R1055" i="5" s="1"/>
  <c r="R1056" i="5" a="1"/>
  <c r="R1056" i="5" s="1"/>
  <c r="R1057" i="5" a="1"/>
  <c r="R1057" i="5" s="1"/>
  <c r="R1058" i="5" a="1"/>
  <c r="R1058" i="5" s="1"/>
  <c r="R1059" i="5" a="1"/>
  <c r="R1059" i="5" s="1"/>
  <c r="R1060" i="5" a="1"/>
  <c r="R1060" i="5" s="1"/>
  <c r="R1061" i="5" a="1"/>
  <c r="R1061" i="5" s="1"/>
  <c r="R1062" i="5" a="1"/>
  <c r="R1062" i="5" s="1"/>
  <c r="R1063" i="5" a="1"/>
  <c r="R1063" i="5" s="1"/>
  <c r="R1064" i="5" a="1"/>
  <c r="R1064" i="5" s="1"/>
  <c r="R1065" i="5" a="1"/>
  <c r="R1065" i="5" s="1"/>
  <c r="R1066" i="5" a="1"/>
  <c r="R1066" i="5" s="1"/>
  <c r="R1067" i="5" a="1"/>
  <c r="R1067" i="5"/>
  <c r="R1068" i="5" a="1"/>
  <c r="R1068" i="5" s="1"/>
  <c r="R1069" i="5" a="1"/>
  <c r="R1069" i="5" s="1"/>
  <c r="R1070" i="5" a="1"/>
  <c r="R1070" i="5" s="1"/>
  <c r="R1071" i="5" a="1"/>
  <c r="R1071" i="5" s="1"/>
  <c r="R1072" i="5" a="1"/>
  <c r="R1072" i="5" s="1"/>
  <c r="R1073" i="5" a="1"/>
  <c r="R1073" i="5" s="1"/>
  <c r="R1074" i="5" a="1"/>
  <c r="R1074" i="5" s="1"/>
  <c r="R1075" i="5" a="1"/>
  <c r="R1075" i="5" s="1"/>
  <c r="R1076" i="5" a="1"/>
  <c r="R1076" i="5" s="1"/>
  <c r="R1077" i="5" a="1"/>
  <c r="R1077" i="5" s="1"/>
  <c r="R1078" i="5" a="1"/>
  <c r="R1078" i="5" s="1"/>
  <c r="R1079" i="5" a="1"/>
  <c r="R1079" i="5" s="1"/>
  <c r="R1080" i="5" a="1"/>
  <c r="R1080" i="5" s="1"/>
  <c r="R1081" i="5" a="1"/>
  <c r="R1081" i="5" s="1"/>
  <c r="R1082" i="5" a="1"/>
  <c r="R1082" i="5" s="1"/>
  <c r="R1083" i="5" a="1"/>
  <c r="R1083" i="5" s="1"/>
  <c r="R1084" i="5" a="1"/>
  <c r="R1084" i="5" s="1"/>
  <c r="R1085" i="5" a="1"/>
  <c r="R1085" i="5" s="1"/>
  <c r="R1086" i="5" a="1"/>
  <c r="R1086" i="5" s="1"/>
  <c r="R1087" i="5" a="1"/>
  <c r="R1087" i="5" s="1"/>
  <c r="R1088" i="5" a="1"/>
  <c r="R1088" i="5" s="1"/>
  <c r="R1089" i="5" a="1"/>
  <c r="R1089" i="5" s="1"/>
  <c r="R1090" i="5" a="1"/>
  <c r="R1090" i="5" s="1"/>
  <c r="R1091" i="5" a="1"/>
  <c r="R1091" i="5" s="1"/>
  <c r="R1092" i="5" a="1"/>
  <c r="R1092" i="5" s="1"/>
  <c r="R1093" i="5" a="1"/>
  <c r="R1093" i="5" s="1"/>
  <c r="R1094" i="5" a="1"/>
  <c r="R1094" i="5" s="1"/>
  <c r="R1095" i="5" a="1"/>
  <c r="R1095" i="5" s="1"/>
  <c r="R1096" i="5" a="1"/>
  <c r="R1096" i="5" s="1"/>
  <c r="R1097" i="5" a="1"/>
  <c r="R1097" i="5" s="1"/>
  <c r="R1098" i="5" a="1"/>
  <c r="R1098" i="5" s="1"/>
  <c r="R1099" i="5" a="1"/>
  <c r="R1099" i="5" s="1"/>
  <c r="R1100" i="5" a="1"/>
  <c r="R1100" i="5" s="1"/>
  <c r="R1101" i="5" a="1"/>
  <c r="R1101" i="5"/>
  <c r="R1102" i="5" a="1"/>
  <c r="R1102" i="5" s="1"/>
  <c r="R1103" i="5" a="1"/>
  <c r="R1103" i="5" s="1"/>
  <c r="R1104" i="5" a="1"/>
  <c r="R1104" i="5" s="1"/>
  <c r="R1105" i="5" a="1"/>
  <c r="R1105" i="5" s="1"/>
  <c r="R1106" i="5" a="1"/>
  <c r="R1106" i="5" s="1"/>
  <c r="R1107" i="5" a="1"/>
  <c r="R1107" i="5" s="1"/>
  <c r="R1108" i="5" a="1"/>
  <c r="R1108" i="5" s="1"/>
  <c r="R1109" i="5" a="1"/>
  <c r="R1109" i="5" s="1"/>
  <c r="R1110" i="5" a="1"/>
  <c r="R1110" i="5" s="1"/>
  <c r="R1111" i="5" a="1"/>
  <c r="R1111" i="5" s="1"/>
  <c r="R1112" i="5" a="1"/>
  <c r="R1112" i="5" s="1"/>
  <c r="R1113" i="5" a="1"/>
  <c r="R1113" i="5" s="1"/>
  <c r="R1114" i="5" a="1"/>
  <c r="R1114" i="5" s="1"/>
  <c r="R1115" i="5" a="1"/>
  <c r="R1115" i="5" s="1"/>
  <c r="R1116" i="5" a="1"/>
  <c r="R1116" i="5" s="1"/>
  <c r="R1117" i="5" a="1"/>
  <c r="R1117" i="5" s="1"/>
  <c r="R1118" i="5" a="1"/>
  <c r="R1118" i="5" s="1"/>
  <c r="R1119" i="5" a="1"/>
  <c r="R1119" i="5"/>
  <c r="R1120" i="5" a="1"/>
  <c r="R1120" i="5" s="1"/>
  <c r="R1121" i="5" a="1"/>
  <c r="R1121" i="5" s="1"/>
  <c r="R1122" i="5" a="1"/>
  <c r="R1122" i="5" s="1"/>
  <c r="R1123" i="5" a="1"/>
  <c r="R1123" i="5" s="1"/>
  <c r="R1124" i="5" a="1"/>
  <c r="R1124" i="5" s="1"/>
  <c r="R1125" i="5" a="1"/>
  <c r="R1125" i="5" s="1"/>
  <c r="R1126" i="5" a="1"/>
  <c r="R1126" i="5" s="1"/>
  <c r="R1127" i="5" a="1"/>
  <c r="R1127" i="5" s="1"/>
  <c r="R1128" i="5" a="1"/>
  <c r="R1128" i="5" s="1"/>
  <c r="R1129" i="5" a="1"/>
  <c r="R1129" i="5" s="1"/>
  <c r="R1130" i="5" a="1"/>
  <c r="R1130" i="5" s="1"/>
  <c r="R1131" i="5" a="1"/>
  <c r="R1131" i="5" s="1"/>
  <c r="R1132" i="5" a="1"/>
  <c r="R1132" i="5" s="1"/>
  <c r="R1133" i="5" a="1"/>
  <c r="R1133" i="5" s="1"/>
  <c r="R1134" i="5" a="1"/>
  <c r="R1134" i="5" s="1"/>
  <c r="R1135" i="5" a="1"/>
  <c r="R1135" i="5"/>
  <c r="R1136" i="5" a="1"/>
  <c r="R1136" i="5" s="1"/>
  <c r="R1137" i="5" a="1"/>
  <c r="R1137" i="5" s="1"/>
  <c r="R1138" i="5" a="1"/>
  <c r="R1138" i="5" s="1"/>
  <c r="R1139" i="5" a="1"/>
  <c r="R1139" i="5" s="1"/>
  <c r="R1140" i="5" a="1"/>
  <c r="R1140" i="5" s="1"/>
  <c r="R1141" i="5" a="1"/>
  <c r="R1141" i="5" s="1"/>
  <c r="R1142" i="5" a="1"/>
  <c r="R1142" i="5" s="1"/>
  <c r="R1143" i="5" a="1"/>
  <c r="R1143" i="5" s="1"/>
  <c r="R1144" i="5" a="1"/>
  <c r="R1144" i="5" s="1"/>
  <c r="R1145" i="5" a="1"/>
  <c r="R1145" i="5" s="1"/>
  <c r="R1146" i="5" a="1"/>
  <c r="R1146" i="5" s="1"/>
  <c r="R1147" i="5" a="1"/>
  <c r="R1147" i="5" s="1"/>
  <c r="R1148" i="5" a="1"/>
  <c r="R1148" i="5" s="1"/>
  <c r="R1149" i="5" a="1"/>
  <c r="R1149" i="5" s="1"/>
  <c r="R1150" i="5" a="1"/>
  <c r="R1150" i="5" s="1"/>
  <c r="R1151" i="5" a="1"/>
  <c r="R1151" i="5" s="1"/>
  <c r="R1152" i="5" a="1"/>
  <c r="R1152" i="5" s="1"/>
  <c r="R1153" i="5" a="1"/>
  <c r="R1153" i="5" s="1"/>
  <c r="R1154" i="5" a="1"/>
  <c r="R1154" i="5" s="1"/>
  <c r="R1155" i="5" a="1"/>
  <c r="R1155" i="5" s="1"/>
  <c r="R1156" i="5" a="1"/>
  <c r="R1156" i="5" s="1"/>
  <c r="R1157" i="5" a="1"/>
  <c r="R1157" i="5" s="1"/>
  <c r="R1158" i="5" a="1"/>
  <c r="R1158" i="5" s="1"/>
  <c r="R1159" i="5" a="1"/>
  <c r="R1159" i="5" s="1"/>
  <c r="R1160" i="5" a="1"/>
  <c r="R1160" i="5" s="1"/>
  <c r="R1161" i="5" a="1"/>
  <c r="R1161" i="5" s="1"/>
  <c r="R1162" i="5" a="1"/>
  <c r="R1162" i="5" s="1"/>
  <c r="R1163" i="5" a="1"/>
  <c r="R1163" i="5" s="1"/>
  <c r="R1164" i="5" a="1"/>
  <c r="R1164" i="5" s="1"/>
  <c r="R1165" i="5" a="1"/>
  <c r="R1165" i="5" s="1"/>
  <c r="R1166" i="5" a="1"/>
  <c r="R1166" i="5" s="1"/>
  <c r="R1167" i="5" a="1"/>
  <c r="R1167" i="5"/>
  <c r="R1168" i="5" a="1"/>
  <c r="R1168" i="5" s="1"/>
  <c r="R1169" i="5" a="1"/>
  <c r="R1169" i="5" s="1"/>
  <c r="R1170" i="5" a="1"/>
  <c r="R1170" i="5" s="1"/>
  <c r="R1171" i="5" a="1"/>
  <c r="R1171" i="5" s="1"/>
  <c r="R1172" i="5" a="1"/>
  <c r="R1172" i="5" s="1"/>
  <c r="R1173" i="5" a="1"/>
  <c r="R1173" i="5" s="1"/>
  <c r="R1174" i="5" a="1"/>
  <c r="R1174" i="5" s="1"/>
  <c r="R1175" i="5" a="1"/>
  <c r="R1175" i="5" s="1"/>
  <c r="R1176" i="5" a="1"/>
  <c r="R1176" i="5" s="1"/>
  <c r="R1177" i="5" a="1"/>
  <c r="R1177" i="5" s="1"/>
  <c r="R1178" i="5" a="1"/>
  <c r="R1178" i="5" s="1"/>
  <c r="R1179" i="5" a="1"/>
  <c r="R1179" i="5" s="1"/>
  <c r="R1180" i="5" a="1"/>
  <c r="R1180" i="5" s="1"/>
  <c r="R1181" i="5" a="1"/>
  <c r="R1181" i="5" s="1"/>
  <c r="R1182" i="5" a="1"/>
  <c r="R1182" i="5" s="1"/>
  <c r="R1183" i="5" a="1"/>
  <c r="R1183" i="5" s="1"/>
  <c r="R1184" i="5" a="1"/>
  <c r="R1184" i="5" s="1"/>
  <c r="R1185" i="5" a="1"/>
  <c r="R1185" i="5" s="1"/>
  <c r="R1186" i="5" a="1"/>
  <c r="R1186" i="5" s="1"/>
  <c r="R1187" i="5" a="1"/>
  <c r="R1187" i="5" s="1"/>
  <c r="R1188" i="5" a="1"/>
  <c r="R1188" i="5" s="1"/>
  <c r="R1189" i="5" a="1"/>
  <c r="R1189" i="5" s="1"/>
  <c r="R1190" i="5" a="1"/>
  <c r="R1190" i="5" s="1"/>
  <c r="R1191" i="5" a="1"/>
  <c r="R1191" i="5" s="1"/>
  <c r="R1192" i="5" a="1"/>
  <c r="R1192" i="5" s="1"/>
  <c r="R1193" i="5" a="1"/>
  <c r="R1193" i="5" s="1"/>
  <c r="R1194" i="5" a="1"/>
  <c r="R1194" i="5" s="1"/>
  <c r="R1195" i="5" a="1"/>
  <c r="R1195" i="5" s="1"/>
  <c r="R1196" i="5" a="1"/>
  <c r="R1196" i="5" s="1"/>
  <c r="R1197" i="5" a="1"/>
  <c r="R1197" i="5"/>
  <c r="R1198" i="5" a="1"/>
  <c r="R1198" i="5" s="1"/>
  <c r="R1199" i="5" a="1"/>
  <c r="R1199" i="5"/>
  <c r="R1200" i="5" a="1"/>
  <c r="R1200" i="5" s="1"/>
  <c r="R1201" i="5" a="1"/>
  <c r="R1201" i="5" s="1"/>
  <c r="R1202" i="5" a="1"/>
  <c r="R1202" i="5" s="1"/>
  <c r="R1203" i="5" a="1"/>
  <c r="R1203" i="5" s="1"/>
  <c r="R1204" i="5" a="1"/>
  <c r="R1204" i="5" s="1"/>
  <c r="R1205" i="5" a="1"/>
  <c r="R1205" i="5" s="1"/>
  <c r="R1206" i="5" a="1"/>
  <c r="R1206" i="5" s="1"/>
  <c r="R1207" i="5" a="1"/>
  <c r="R1207" i="5" s="1"/>
  <c r="R1208" i="5" a="1"/>
  <c r="R1208" i="5" s="1"/>
  <c r="R1209" i="5" a="1"/>
  <c r="R1209" i="5" s="1"/>
  <c r="R1210" i="5" a="1"/>
  <c r="R1210" i="5" s="1"/>
  <c r="R1211" i="5" a="1"/>
  <c r="R1211" i="5" s="1"/>
  <c r="R1212" i="5" a="1"/>
  <c r="R1212" i="5" s="1"/>
  <c r="R1213" i="5" a="1"/>
  <c r="R1213" i="5" s="1"/>
  <c r="R1214" i="5" a="1"/>
  <c r="R1214" i="5" s="1"/>
  <c r="R1215" i="5" a="1"/>
  <c r="R1215" i="5"/>
  <c r="R1216" i="5" a="1"/>
  <c r="R1216" i="5" s="1"/>
  <c r="R1217" i="5" a="1"/>
  <c r="R1217" i="5" s="1"/>
  <c r="R1218" i="5" a="1"/>
  <c r="R1218" i="5" s="1"/>
  <c r="R1219" i="5" a="1"/>
  <c r="R1219" i="5" s="1"/>
  <c r="R1220" i="5" a="1"/>
  <c r="R1220" i="5" s="1"/>
  <c r="R1221" i="5" a="1"/>
  <c r="R1221" i="5" s="1"/>
  <c r="R1222" i="5" a="1"/>
  <c r="R1222" i="5" s="1"/>
  <c r="R1223" i="5" a="1"/>
  <c r="R1223" i="5" s="1"/>
  <c r="R1224" i="5" a="1"/>
  <c r="R1224" i="5" s="1"/>
  <c r="R1225" i="5" a="1"/>
  <c r="R1225" i="5" s="1"/>
  <c r="R1226" i="5" a="1"/>
  <c r="R1226" i="5" s="1"/>
  <c r="R1227" i="5" a="1"/>
  <c r="R1227" i="5" s="1"/>
  <c r="R1228" i="5" a="1"/>
  <c r="R1228" i="5" s="1"/>
  <c r="R1229" i="5" a="1"/>
  <c r="R1229" i="5"/>
  <c r="R1230" i="5" a="1"/>
  <c r="R1230" i="5" s="1"/>
  <c r="R1231" i="5" a="1"/>
  <c r="R1231" i="5" s="1"/>
  <c r="R1232" i="5" a="1"/>
  <c r="R1232" i="5" s="1"/>
  <c r="R1233" i="5" a="1"/>
  <c r="R1233" i="5" s="1"/>
  <c r="R1234" i="5" a="1"/>
  <c r="R1234" i="5" s="1"/>
  <c r="R1235" i="5" a="1"/>
  <c r="R1235" i="5" s="1"/>
  <c r="R1236" i="5" a="1"/>
  <c r="R1236" i="5" s="1"/>
  <c r="R1237" i="5" a="1"/>
  <c r="R1237" i="5" s="1"/>
  <c r="R1238" i="5" a="1"/>
  <c r="R1238" i="5" s="1"/>
  <c r="R1239" i="5" a="1"/>
  <c r="R1239" i="5" s="1"/>
  <c r="R1240" i="5" a="1"/>
  <c r="R1240" i="5" s="1"/>
  <c r="R1241" i="5" a="1"/>
  <c r="R1241" i="5" s="1"/>
  <c r="R1242" i="5" a="1"/>
  <c r="R1242" i="5" s="1"/>
  <c r="R1243" i="5" a="1"/>
  <c r="R1243" i="5" s="1"/>
  <c r="R1244" i="5" a="1"/>
  <c r="R1244" i="5" s="1"/>
  <c r="R1245" i="5" a="1"/>
  <c r="R1245" i="5" s="1"/>
  <c r="R1246" i="5" a="1"/>
  <c r="R1246" i="5" s="1"/>
  <c r="R1247" i="5" a="1"/>
  <c r="R1247" i="5"/>
  <c r="R1248" i="5" a="1"/>
  <c r="R1248" i="5" s="1"/>
  <c r="R1249" i="5" a="1"/>
  <c r="R1249" i="5" s="1"/>
  <c r="R1250" i="5" a="1"/>
  <c r="R1250" i="5" s="1"/>
  <c r="R1251" i="5" a="1"/>
  <c r="R1251" i="5" s="1"/>
  <c r="R1252" i="5" a="1"/>
  <c r="R1252" i="5" s="1"/>
  <c r="R1253" i="5" a="1"/>
  <c r="R1253" i="5" s="1"/>
  <c r="R1254" i="5" a="1"/>
  <c r="R1254" i="5" s="1"/>
  <c r="R1255" i="5" a="1"/>
  <c r="R1255" i="5"/>
  <c r="R1256" i="5" a="1"/>
  <c r="R1256" i="5" s="1"/>
  <c r="R1257" i="5" a="1"/>
  <c r="R1257" i="5" s="1"/>
  <c r="R1258" i="5" a="1"/>
  <c r="R1258" i="5" s="1"/>
  <c r="R1259" i="5" a="1"/>
  <c r="R1259" i="5" s="1"/>
  <c r="R1260" i="5" a="1"/>
  <c r="R1260" i="5" s="1"/>
  <c r="R1261" i="5" a="1"/>
  <c r="R1261" i="5" s="1"/>
  <c r="R1262" i="5" a="1"/>
  <c r="R1262" i="5" s="1"/>
  <c r="R1263" i="5" a="1"/>
  <c r="R1263" i="5" s="1"/>
  <c r="R1264" i="5" a="1"/>
  <c r="R1264" i="5" s="1"/>
  <c r="R1265" i="5" a="1"/>
  <c r="R1265" i="5" s="1"/>
  <c r="R1266" i="5" a="1"/>
  <c r="R1266" i="5" s="1"/>
  <c r="R1267" i="5" a="1"/>
  <c r="R1267" i="5" s="1"/>
  <c r="R1268" i="5" a="1"/>
  <c r="R1268" i="5" s="1"/>
  <c r="R1269" i="5" a="1"/>
  <c r="R1269" i="5" s="1"/>
  <c r="R1270" i="5" a="1"/>
  <c r="R1270" i="5" s="1"/>
  <c r="R1271" i="5" a="1"/>
  <c r="R1271" i="5" s="1"/>
  <c r="R1272" i="5" a="1"/>
  <c r="R1272" i="5" s="1"/>
  <c r="R1273" i="5" a="1"/>
  <c r="R1273" i="5" s="1"/>
  <c r="R1274" i="5" a="1"/>
  <c r="R1274" i="5" s="1"/>
  <c r="R1275" i="5" a="1"/>
  <c r="R1275" i="5" s="1"/>
  <c r="R1276" i="5" a="1"/>
  <c r="R1276" i="5" s="1"/>
  <c r="R1277" i="5" a="1"/>
  <c r="R1277" i="5" s="1"/>
  <c r="R1278" i="5" a="1"/>
  <c r="R1278" i="5" s="1"/>
  <c r="R1279" i="5" a="1"/>
  <c r="R1279" i="5" s="1"/>
  <c r="R1280" i="5" a="1"/>
  <c r="R1280" i="5" s="1"/>
  <c r="R1281" i="5" a="1"/>
  <c r="R1281" i="5" s="1"/>
  <c r="R1282" i="5" a="1"/>
  <c r="R1282" i="5" s="1"/>
  <c r="R1283" i="5" a="1"/>
  <c r="R1283" i="5" s="1"/>
  <c r="R1284" i="5" a="1"/>
  <c r="R1284" i="5" s="1"/>
  <c r="R1285" i="5" a="1"/>
  <c r="R1285" i="5" s="1"/>
  <c r="R1286" i="5" a="1"/>
  <c r="R1286" i="5" s="1"/>
  <c r="R1287" i="5" a="1"/>
  <c r="R1287" i="5" s="1"/>
  <c r="R1288" i="5" a="1"/>
  <c r="R1288" i="5" s="1"/>
  <c r="R1289" i="5" a="1"/>
  <c r="R1289" i="5" s="1"/>
  <c r="R1290" i="5" a="1"/>
  <c r="R1290" i="5" s="1"/>
  <c r="R1291" i="5" a="1"/>
  <c r="R1291" i="5" s="1"/>
  <c r="R1292" i="5" a="1"/>
  <c r="R1292" i="5" s="1"/>
  <c r="R1293" i="5" a="1"/>
  <c r="R1293" i="5" s="1"/>
  <c r="R1294" i="5" a="1"/>
  <c r="R1294" i="5" s="1"/>
  <c r="R1295" i="5" a="1"/>
  <c r="R1295" i="5" s="1"/>
  <c r="R1296" i="5" a="1"/>
  <c r="R1296" i="5" s="1"/>
  <c r="R1297" i="5" a="1"/>
  <c r="R1297" i="5"/>
  <c r="R1298" i="5" a="1"/>
  <c r="R1298" i="5" s="1"/>
  <c r="R1299" i="5" a="1"/>
  <c r="R1299" i="5" s="1"/>
  <c r="R1300" i="5" a="1"/>
  <c r="R1300" i="5" s="1"/>
  <c r="R1301" i="5" a="1"/>
  <c r="R1301" i="5" s="1"/>
  <c r="R1302" i="5" a="1"/>
  <c r="R1302" i="5" s="1"/>
  <c r="R1303" i="5" a="1"/>
  <c r="R1303" i="5" s="1"/>
  <c r="R1304" i="5" a="1"/>
  <c r="R1304" i="5" s="1"/>
  <c r="R1305" i="5" a="1"/>
  <c r="R1305" i="5" s="1"/>
  <c r="R1306" i="5" a="1"/>
  <c r="R1306" i="5" s="1"/>
  <c r="R1307" i="5" a="1"/>
  <c r="R1307" i="5" s="1"/>
  <c r="R1308" i="5" a="1"/>
  <c r="R1308" i="5"/>
  <c r="R1309" i="5" a="1"/>
  <c r="R1309" i="5" s="1"/>
  <c r="R1310" i="5" a="1"/>
  <c r="R1310" i="5" s="1"/>
  <c r="R1311" i="5" a="1"/>
  <c r="R1311" i="5" s="1"/>
  <c r="R1312" i="5" a="1"/>
  <c r="R1312" i="5" s="1"/>
  <c r="R1313" i="5" a="1"/>
  <c r="R1313" i="5" s="1"/>
  <c r="R1314" i="5" a="1"/>
  <c r="R1314" i="5" s="1"/>
  <c r="R1315" i="5" a="1"/>
  <c r="R1315" i="5" s="1"/>
  <c r="R1316" i="5" a="1"/>
  <c r="R1316" i="5" s="1"/>
  <c r="R1317" i="5" a="1"/>
  <c r="R1317" i="5" s="1"/>
  <c r="R1318" i="5" a="1"/>
  <c r="R1318" i="5" s="1"/>
  <c r="R1319" i="5" a="1"/>
  <c r="R1319" i="5" s="1"/>
  <c r="R1320" i="5" a="1"/>
  <c r="R1320" i="5" s="1"/>
  <c r="R1321" i="5" a="1"/>
  <c r="R1321" i="5" s="1"/>
  <c r="R1322" i="5" a="1"/>
  <c r="R1322" i="5" s="1"/>
  <c r="R1323" i="5" a="1"/>
  <c r="R1323" i="5" s="1"/>
  <c r="R1324" i="5" a="1"/>
  <c r="R1324" i="5" s="1"/>
  <c r="R1325" i="5" a="1"/>
  <c r="R1325" i="5" s="1"/>
  <c r="R1326" i="5" a="1"/>
  <c r="R1326" i="5" s="1"/>
  <c r="R1327" i="5" a="1"/>
  <c r="R1327" i="5" s="1"/>
  <c r="R1328" i="5" a="1"/>
  <c r="R1328" i="5" s="1"/>
  <c r="R1329" i="5" a="1"/>
  <c r="R1329" i="5" s="1"/>
  <c r="R1330" i="5" a="1"/>
  <c r="R1330" i="5" s="1"/>
  <c r="R1331" i="5" a="1"/>
  <c r="R1331" i="5" s="1"/>
  <c r="R1332" i="5" a="1"/>
  <c r="R1332" i="5" s="1"/>
  <c r="R1333" i="5" a="1"/>
  <c r="R1333" i="5" s="1"/>
  <c r="R1334" i="5" a="1"/>
  <c r="R1334" i="5" s="1"/>
  <c r="R1335" i="5" a="1"/>
  <c r="R1335" i="5" s="1"/>
  <c r="R1336" i="5" a="1"/>
  <c r="R1336" i="5" s="1"/>
  <c r="R1337" i="5" a="1"/>
  <c r="R1337" i="5" s="1"/>
  <c r="R1338" i="5" a="1"/>
  <c r="R1338" i="5" s="1"/>
  <c r="R1339" i="5" a="1"/>
  <c r="R1339" i="5" s="1"/>
  <c r="R1340" i="5" a="1"/>
  <c r="R1340" i="5" s="1"/>
  <c r="R1341" i="5" a="1"/>
  <c r="R1341" i="5" s="1"/>
  <c r="R1342" i="5" a="1"/>
  <c r="R1342" i="5"/>
  <c r="R1343" i="5" a="1"/>
  <c r="R1343" i="5" s="1"/>
  <c r="R1344" i="5" a="1"/>
  <c r="R1344" i="5" s="1"/>
  <c r="R1345" i="5" a="1"/>
  <c r="R1345" i="5" s="1"/>
  <c r="R1346" i="5" a="1"/>
  <c r="R1346" i="5" s="1"/>
  <c r="R1347" i="5" a="1"/>
  <c r="R1347" i="5" s="1"/>
  <c r="R1348" i="5" a="1"/>
  <c r="R1348" i="5" s="1"/>
  <c r="R1349" i="5" a="1"/>
  <c r="R1349" i="5" s="1"/>
  <c r="R1350" i="5" a="1"/>
  <c r="R1350" i="5" s="1"/>
  <c r="R1351" i="5" a="1"/>
  <c r="R1351" i="5" s="1"/>
  <c r="R1352" i="5" a="1"/>
  <c r="R1352" i="5" s="1"/>
  <c r="R1353" i="5" a="1"/>
  <c r="R1353" i="5" s="1"/>
  <c r="R1354" i="5" a="1"/>
  <c r="R1354" i="5"/>
  <c r="R1355" i="5" a="1"/>
  <c r="R1355" i="5" s="1"/>
  <c r="R1356" i="5" a="1"/>
  <c r="R1356" i="5" s="1"/>
  <c r="R1357" i="5" a="1"/>
  <c r="R1357" i="5" s="1"/>
  <c r="R1358" i="5" a="1"/>
  <c r="R1358" i="5" s="1"/>
  <c r="R1359" i="5" a="1"/>
  <c r="R1359" i="5" s="1"/>
  <c r="R1360" i="5" a="1"/>
  <c r="R1360" i="5" s="1"/>
  <c r="R1361" i="5" a="1"/>
  <c r="R1361" i="5" s="1"/>
  <c r="R1362" i="5" a="1"/>
  <c r="R1362" i="5" s="1"/>
  <c r="R1363" i="5" a="1"/>
  <c r="R1363" i="5" s="1"/>
  <c r="R1364" i="5" a="1"/>
  <c r="R1364" i="5" s="1"/>
  <c r="R1365" i="5" a="1"/>
  <c r="R1365" i="5" s="1"/>
  <c r="R1366" i="5" a="1"/>
  <c r="R1366" i="5" s="1"/>
  <c r="R1367" i="5" a="1"/>
  <c r="R1367" i="5" s="1"/>
  <c r="R1368" i="5" a="1"/>
  <c r="R1368" i="5" s="1"/>
  <c r="R1369" i="5" a="1"/>
  <c r="R1369" i="5" s="1"/>
  <c r="R1370" i="5" a="1"/>
  <c r="R1370" i="5" s="1"/>
  <c r="R1371" i="5" a="1"/>
  <c r="R1371" i="5" s="1"/>
  <c r="R1372" i="5" a="1"/>
  <c r="R1372" i="5" s="1"/>
  <c r="R1373" i="5" a="1"/>
  <c r="R1373" i="5" s="1"/>
  <c r="R1374" i="5" a="1"/>
  <c r="R1374" i="5" s="1"/>
  <c r="R1375" i="5" a="1"/>
  <c r="R1375" i="5" s="1"/>
  <c r="R1376" i="5" a="1"/>
  <c r="R1376" i="5" s="1"/>
  <c r="R1377" i="5" a="1"/>
  <c r="R1377" i="5" s="1"/>
  <c r="R1378" i="5" a="1"/>
  <c r="R1378" i="5" s="1"/>
  <c r="R1379" i="5" a="1"/>
  <c r="R1379" i="5" s="1"/>
  <c r="R1380" i="5" a="1"/>
  <c r="R1380" i="5" s="1"/>
  <c r="R1381" i="5" a="1"/>
  <c r="R1381" i="5" s="1"/>
  <c r="R1382" i="5" a="1"/>
  <c r="R1382" i="5" s="1"/>
  <c r="R1383" i="5" a="1"/>
  <c r="R1383" i="5" s="1"/>
  <c r="R1384" i="5" a="1"/>
  <c r="R1384" i="5" s="1"/>
  <c r="R1385" i="5" a="1"/>
  <c r="R1385" i="5" s="1"/>
  <c r="R1386" i="5" a="1"/>
  <c r="R1386" i="5" s="1"/>
  <c r="R1387" i="5" a="1"/>
  <c r="R1387" i="5" s="1"/>
  <c r="R1388" i="5" a="1"/>
  <c r="R1388" i="5" s="1"/>
  <c r="R1389" i="5" a="1"/>
  <c r="R1389" i="5" s="1"/>
  <c r="R1390" i="5" a="1"/>
  <c r="R1390" i="5" s="1"/>
  <c r="R1391" i="5" a="1"/>
  <c r="R1391" i="5" s="1"/>
  <c r="R1392" i="5" a="1"/>
  <c r="R1392" i="5" s="1"/>
  <c r="R1393" i="5" a="1"/>
  <c r="R1393" i="5" s="1"/>
  <c r="R1394" i="5" a="1"/>
  <c r="R1394" i="5" s="1"/>
  <c r="R1395" i="5" a="1"/>
  <c r="R1395" i="5" s="1"/>
  <c r="R1396" i="5" a="1"/>
  <c r="R1396" i="5" s="1"/>
  <c r="R1397" i="5" a="1"/>
  <c r="R1397" i="5" s="1"/>
  <c r="R1398" i="5" a="1"/>
  <c r="R1398" i="5" s="1"/>
  <c r="R1399" i="5" a="1"/>
  <c r="R1399" i="5" s="1"/>
  <c r="R1400" i="5" a="1"/>
  <c r="R1400" i="5" s="1"/>
  <c r="R1401" i="5" a="1"/>
  <c r="R1401" i="5" s="1"/>
  <c r="R1402" i="5" a="1"/>
  <c r="R1402" i="5" s="1"/>
  <c r="R1403" i="5" a="1"/>
  <c r="R1403" i="5" s="1"/>
  <c r="R1404" i="5" a="1"/>
  <c r="R1404" i="5"/>
  <c r="R1405" i="5" a="1"/>
  <c r="R1405" i="5" s="1"/>
  <c r="R1406" i="5" a="1"/>
  <c r="R1406" i="5" s="1"/>
  <c r="R1407" i="5" a="1"/>
  <c r="R1407" i="5" s="1"/>
  <c r="R1408" i="5" a="1"/>
  <c r="R1408" i="5" s="1"/>
  <c r="R1409" i="5" a="1"/>
  <c r="R1409" i="5" s="1"/>
  <c r="R1410" i="5" a="1"/>
  <c r="R1410" i="5"/>
  <c r="R1411" i="5" a="1"/>
  <c r="R1411" i="5" s="1"/>
  <c r="R1412" i="5" a="1"/>
  <c r="R1412" i="5" s="1"/>
  <c r="R1413" i="5" a="1"/>
  <c r="R1413" i="5" s="1"/>
  <c r="R1414" i="5" a="1"/>
  <c r="R1414" i="5" s="1"/>
  <c r="R1415" i="5" a="1"/>
  <c r="R1415" i="5" s="1"/>
  <c r="R1416" i="5" a="1"/>
  <c r="R1416" i="5" s="1"/>
  <c r="R1417" i="5" a="1"/>
  <c r="R1417" i="5" s="1"/>
  <c r="R1418" i="5" a="1"/>
  <c r="R1418" i="5" s="1"/>
  <c r="R1419" i="5" a="1"/>
  <c r="R1419" i="5" s="1"/>
  <c r="R1420" i="5" a="1"/>
  <c r="R1420" i="5" s="1"/>
  <c r="R1421" i="5" a="1"/>
  <c r="R1421" i="5" s="1"/>
  <c r="R1422" i="5" a="1"/>
  <c r="R1422" i="5" s="1"/>
  <c r="R1423" i="5" a="1"/>
  <c r="R1423" i="5" s="1"/>
  <c r="R1424" i="5" a="1"/>
  <c r="R1424" i="5" s="1"/>
  <c r="R1425" i="5" a="1"/>
  <c r="R1425" i="5" s="1"/>
  <c r="R1426" i="5" a="1"/>
  <c r="R1426" i="5" s="1"/>
  <c r="R1427" i="5" a="1"/>
  <c r="R1427" i="5" s="1"/>
  <c r="R1428" i="5" a="1"/>
  <c r="R1428" i="5" s="1"/>
  <c r="R1429" i="5" a="1"/>
  <c r="R1429" i="5" s="1"/>
  <c r="R1430" i="5" a="1"/>
  <c r="R1430" i="5" s="1"/>
  <c r="R1431" i="5" a="1"/>
  <c r="R1431" i="5" s="1"/>
  <c r="R1432" i="5" a="1"/>
  <c r="R1432" i="5" s="1"/>
  <c r="R1433" i="5" a="1"/>
  <c r="R1433" i="5" s="1"/>
  <c r="R1434" i="5" a="1"/>
  <c r="R1434" i="5" s="1"/>
  <c r="R1435" i="5" a="1"/>
  <c r="R1435" i="5" s="1"/>
  <c r="R1436" i="5" a="1"/>
  <c r="R1436" i="5" s="1"/>
  <c r="R1437" i="5" a="1"/>
  <c r="R1437" i="5" s="1"/>
  <c r="R1438" i="5" a="1"/>
  <c r="R1438" i="5"/>
  <c r="R1439" i="5" a="1"/>
  <c r="R1439" i="5" s="1"/>
  <c r="R1440" i="5" a="1"/>
  <c r="R1440" i="5" s="1"/>
  <c r="R1441" i="5" a="1"/>
  <c r="R1441" i="5" s="1"/>
  <c r="R1442" i="5" a="1"/>
  <c r="R1442" i="5" s="1"/>
  <c r="R1443" i="5" a="1"/>
  <c r="R1443" i="5" s="1"/>
  <c r="R1444" i="5" a="1"/>
  <c r="R1444" i="5" s="1"/>
  <c r="R1445" i="5" a="1"/>
  <c r="R1445" i="5" s="1"/>
  <c r="R1446" i="5" a="1"/>
  <c r="R1446" i="5" s="1"/>
  <c r="R1447" i="5" a="1"/>
  <c r="R1447" i="5" s="1"/>
  <c r="R1448" i="5" a="1"/>
  <c r="R1448" i="5" s="1"/>
  <c r="R1449" i="5" a="1"/>
  <c r="R1449" i="5" s="1"/>
  <c r="R1450" i="5" a="1"/>
  <c r="R1450" i="5" s="1"/>
  <c r="R1451" i="5" a="1"/>
  <c r="R1451" i="5" s="1"/>
  <c r="R1452" i="5" a="1"/>
  <c r="R1452" i="5" s="1"/>
  <c r="R1453" i="5" a="1"/>
  <c r="R1453" i="5" s="1"/>
  <c r="R1454" i="5" a="1"/>
  <c r="R1454" i="5" s="1"/>
  <c r="R1455" i="5" a="1"/>
  <c r="R1455" i="5" s="1"/>
  <c r="R1456" i="5" a="1"/>
  <c r="R1456" i="5" s="1"/>
  <c r="R1457" i="5" a="1"/>
  <c r="R1457" i="5" s="1"/>
  <c r="R1458" i="5" a="1"/>
  <c r="R1458" i="5" s="1"/>
  <c r="R1459" i="5" a="1"/>
  <c r="R1459" i="5" s="1"/>
  <c r="R1460" i="5" a="1"/>
  <c r="R1460" i="5" s="1"/>
  <c r="R1461" i="5" a="1"/>
  <c r="R1461" i="5" s="1"/>
  <c r="R1462" i="5" a="1"/>
  <c r="R1462" i="5"/>
  <c r="R1463" i="5" a="1"/>
  <c r="R1463" i="5" s="1"/>
  <c r="R1464" i="5" a="1"/>
  <c r="R1464" i="5" s="1"/>
  <c r="R1465" i="5" a="1"/>
  <c r="R1465" i="5" s="1"/>
  <c r="R1466" i="5" a="1"/>
  <c r="R1466" i="5" s="1"/>
  <c r="R1467" i="5" a="1"/>
  <c r="R1467" i="5" s="1"/>
  <c r="R1468" i="5" a="1"/>
  <c r="R1468" i="5" s="1"/>
  <c r="R1469" i="5" a="1"/>
  <c r="R1469" i="5" s="1"/>
  <c r="R1470" i="5" a="1"/>
  <c r="R1470" i="5" s="1"/>
  <c r="R1471" i="5" a="1"/>
  <c r="R1471" i="5" s="1"/>
  <c r="R1472" i="5" a="1"/>
  <c r="R1472" i="5" s="1"/>
  <c r="R1473" i="5" a="1"/>
  <c r="R1473" i="5" s="1"/>
  <c r="R1474" i="5" a="1"/>
  <c r="R1474" i="5" s="1"/>
  <c r="R1475" i="5" a="1"/>
  <c r="R1475" i="5" s="1"/>
  <c r="R1476" i="5" a="1"/>
  <c r="R1476" i="5"/>
  <c r="R1477" i="5" a="1"/>
  <c r="R1477" i="5" s="1"/>
  <c r="R1478" i="5" a="1"/>
  <c r="R1478" i="5" s="1"/>
  <c r="R1479" i="5" a="1"/>
  <c r="R1479" i="5" s="1"/>
  <c r="R1480" i="5" a="1"/>
  <c r="R1480" i="5" s="1"/>
  <c r="R1481" i="5" a="1"/>
  <c r="R1481" i="5" s="1"/>
  <c r="R1482" i="5" a="1"/>
  <c r="R1482" i="5"/>
  <c r="R1483" i="5" a="1"/>
  <c r="R1483" i="5" s="1"/>
  <c r="R1484" i="5" a="1"/>
  <c r="R1484" i="5" s="1"/>
  <c r="R1485" i="5" a="1"/>
  <c r="R1485" i="5" s="1"/>
  <c r="R1486" i="5" a="1"/>
  <c r="R1486" i="5" s="1"/>
  <c r="R1487" i="5" a="1"/>
  <c r="R1487" i="5" s="1"/>
  <c r="R1488" i="5" a="1"/>
  <c r="R1488" i="5" s="1"/>
  <c r="R1489" i="5" a="1"/>
  <c r="R1489" i="5" s="1"/>
  <c r="R1490" i="5" a="1"/>
  <c r="R1490" i="5" s="1"/>
  <c r="R1491" i="5" a="1"/>
  <c r="R1491" i="5" s="1"/>
  <c r="R1492" i="5" a="1"/>
  <c r="R1492" i="5" s="1"/>
  <c r="R1493" i="5" a="1"/>
  <c r="R1493" i="5" s="1"/>
  <c r="R1494" i="5" a="1"/>
  <c r="R1494" i="5" s="1"/>
  <c r="R1495" i="5" a="1"/>
  <c r="R1495" i="5" s="1"/>
  <c r="R1496" i="5" a="1"/>
  <c r="R1496" i="5" s="1"/>
  <c r="R1497" i="5" a="1"/>
  <c r="R1497" i="5" s="1"/>
  <c r="R1498" i="5" a="1"/>
  <c r="R1498" i="5" s="1"/>
  <c r="R1499" i="5" a="1"/>
  <c r="R1499" i="5" s="1"/>
  <c r="R1500" i="5" a="1"/>
  <c r="R1500" i="5" s="1"/>
  <c r="R1501" i="5" a="1"/>
  <c r="R1501" i="5" s="1"/>
  <c r="R1502" i="5" a="1"/>
  <c r="R1502" i="5"/>
  <c r="R1503" i="5" a="1"/>
  <c r="R1503" i="5" s="1"/>
  <c r="R1504" i="5" a="1"/>
  <c r="R1504" i="5" s="1"/>
  <c r="R1505" i="5" a="1"/>
  <c r="R1505" i="5" s="1"/>
  <c r="R1506" i="5" a="1"/>
  <c r="R1506" i="5" s="1"/>
  <c r="R1507" i="5" a="1"/>
  <c r="R1507" i="5" s="1"/>
  <c r="R1508" i="5" a="1"/>
  <c r="R1508" i="5"/>
  <c r="R1509" i="5" a="1"/>
  <c r="R1509" i="5" s="1"/>
  <c r="R1510" i="5" a="1"/>
  <c r="R1510" i="5" s="1"/>
  <c r="R1511" i="5" a="1"/>
  <c r="R1511" i="5" s="1"/>
  <c r="R1512" i="5" a="1"/>
  <c r="R1512" i="5" s="1"/>
  <c r="R1513" i="5" a="1"/>
  <c r="R1513" i="5" s="1"/>
  <c r="R1514" i="5" a="1"/>
  <c r="R1514" i="5" s="1"/>
  <c r="R1515" i="5" a="1"/>
  <c r="R1515" i="5" s="1"/>
  <c r="R1516" i="5" a="1"/>
  <c r="R1516" i="5" s="1"/>
  <c r="R1517" i="5" a="1"/>
  <c r="R1517" i="5" s="1"/>
  <c r="R1518" i="5" a="1"/>
  <c r="R1518" i="5" s="1"/>
  <c r="R1519" i="5" a="1"/>
  <c r="R1519" i="5" s="1"/>
  <c r="R1520" i="5" a="1"/>
  <c r="R1520" i="5" s="1"/>
  <c r="R1521" i="5" a="1"/>
  <c r="R1521" i="5" s="1"/>
  <c r="R1522" i="5" a="1"/>
  <c r="R1522" i="5" s="1"/>
  <c r="R1523" i="5" a="1"/>
  <c r="R1523" i="5" s="1"/>
  <c r="R1524" i="5" a="1"/>
  <c r="R1524" i="5" s="1"/>
  <c r="R1525" i="5" a="1"/>
  <c r="R1525" i="5" s="1"/>
  <c r="R1526" i="5" a="1"/>
  <c r="R1526" i="5"/>
  <c r="R1527" i="5" a="1"/>
  <c r="R1527" i="5" s="1"/>
  <c r="R1528" i="5" a="1"/>
  <c r="R1528" i="5" s="1"/>
  <c r="R1529" i="5" a="1"/>
  <c r="R1529" i="5" s="1"/>
  <c r="R1530" i="5" a="1"/>
  <c r="R1530" i="5" s="1"/>
  <c r="R1531" i="5" a="1"/>
  <c r="R1531" i="5" s="1"/>
  <c r="R1532" i="5" a="1"/>
  <c r="R1532" i="5" s="1"/>
  <c r="R1533" i="5" a="1"/>
  <c r="R1533" i="5" s="1"/>
  <c r="R1534" i="5" a="1"/>
  <c r="R1534" i="5" s="1"/>
  <c r="R1535" i="5" a="1"/>
  <c r="R1535" i="5" s="1"/>
  <c r="R1536" i="5" a="1"/>
  <c r="R1536" i="5" s="1"/>
  <c r="R1537" i="5" a="1"/>
  <c r="R1537" i="5" s="1"/>
  <c r="R1538" i="5" a="1"/>
  <c r="R1538" i="5" s="1"/>
  <c r="R1539" i="5" a="1"/>
  <c r="R1539" i="5" s="1"/>
  <c r="R1540" i="5" a="1"/>
  <c r="R1540" i="5" s="1"/>
  <c r="R1541" i="5" a="1"/>
  <c r="R1541" i="5" s="1"/>
  <c r="R1542" i="5" a="1"/>
  <c r="R1542" i="5" s="1"/>
  <c r="R1543" i="5" a="1"/>
  <c r="R1543" i="5" s="1"/>
  <c r="R1544" i="5" a="1"/>
  <c r="R1544" i="5" s="1"/>
  <c r="R1545" i="5" a="1"/>
  <c r="R1545" i="5" s="1"/>
  <c r="R1546" i="5" a="1"/>
  <c r="R1546" i="5" s="1"/>
  <c r="R1547" i="5" a="1"/>
  <c r="R1547" i="5" s="1"/>
  <c r="R1548" i="5" a="1"/>
  <c r="R1548" i="5" s="1"/>
  <c r="R1549" i="5" a="1"/>
  <c r="R1549" i="5" s="1"/>
  <c r="R1550" i="5" a="1"/>
  <c r="R1550" i="5" s="1"/>
  <c r="R1551" i="5" a="1"/>
  <c r="R1551" i="5" s="1"/>
  <c r="R1552" i="5" a="1"/>
  <c r="R1552" i="5" s="1"/>
  <c r="R1553" i="5" a="1"/>
  <c r="R1553" i="5" s="1"/>
  <c r="R1554" i="5" a="1"/>
  <c r="R1554" i="5" s="1"/>
  <c r="R1555" i="5" a="1"/>
  <c r="R1555" i="5" s="1"/>
  <c r="R1556" i="5" a="1"/>
  <c r="R1556" i="5" s="1"/>
  <c r="R1557" i="5" a="1"/>
  <c r="R1557" i="5" s="1"/>
  <c r="R1558" i="5" a="1"/>
  <c r="R1558" i="5" s="1"/>
  <c r="R1559" i="5" a="1"/>
  <c r="R1559" i="5" s="1"/>
  <c r="R1560" i="5" a="1"/>
  <c r="R1560" i="5" s="1"/>
  <c r="R1561" i="5" a="1"/>
  <c r="R1561" i="5" s="1"/>
  <c r="R1562" i="5" a="1"/>
  <c r="R1562" i="5" s="1"/>
  <c r="R1563" i="5" a="1"/>
  <c r="R1563" i="5" s="1"/>
  <c r="R1564" i="5" a="1"/>
  <c r="R1564" i="5" s="1"/>
  <c r="R1565" i="5" a="1"/>
  <c r="R1565" i="5" s="1"/>
  <c r="R1566" i="5" a="1"/>
  <c r="R1566" i="5" s="1"/>
  <c r="R1567" i="5" a="1"/>
  <c r="R1567" i="5" s="1"/>
  <c r="R1568" i="5" a="1"/>
  <c r="R1568" i="5" s="1"/>
  <c r="R1569" i="5" a="1"/>
  <c r="R1569" i="5" s="1"/>
  <c r="R1570" i="5" a="1"/>
  <c r="R1570" i="5" s="1"/>
  <c r="R1571" i="5" a="1"/>
  <c r="R1571" i="5" s="1"/>
  <c r="R1572" i="5" a="1"/>
  <c r="R1572" i="5" s="1"/>
  <c r="R1573" i="5" a="1"/>
  <c r="R1573" i="5" s="1"/>
  <c r="R1574" i="5" a="1"/>
  <c r="R1574" i="5" s="1"/>
  <c r="R1575" i="5" a="1"/>
  <c r="R1575" i="5" s="1"/>
  <c r="R1576" i="5" a="1"/>
  <c r="R1576" i="5" s="1"/>
  <c r="R1577" i="5" a="1"/>
  <c r="R1577" i="5" s="1"/>
  <c r="R1578" i="5" a="1"/>
  <c r="R1578" i="5" s="1"/>
  <c r="R1579" i="5" a="1"/>
  <c r="R1579" i="5" s="1"/>
  <c r="R1580" i="5" a="1"/>
  <c r="R1580" i="5" s="1"/>
  <c r="R1581" i="5" a="1"/>
  <c r="R1581" i="5" s="1"/>
  <c r="R1582" i="5" a="1"/>
  <c r="R1582" i="5" s="1"/>
  <c r="R1583" i="5" a="1"/>
  <c r="R1583" i="5" s="1"/>
  <c r="R1584" i="5" a="1"/>
  <c r="R1584" i="5" s="1"/>
  <c r="R1585" i="5" a="1"/>
  <c r="R1585" i="5" s="1"/>
  <c r="R1586" i="5" a="1"/>
  <c r="R1586" i="5"/>
  <c r="R1587" i="5" a="1"/>
  <c r="R1587" i="5" s="1"/>
  <c r="R1588" i="5" a="1"/>
  <c r="R1588" i="5" s="1"/>
  <c r="R1589" i="5" a="1"/>
  <c r="R1589" i="5" s="1"/>
  <c r="R1590" i="5" a="1"/>
  <c r="R1590" i="5" s="1"/>
  <c r="R1591" i="5" a="1"/>
  <c r="R1591" i="5" s="1"/>
  <c r="R1592" i="5" a="1"/>
  <c r="R1592" i="5" s="1"/>
  <c r="R1593" i="5" a="1"/>
  <c r="R1593" i="5" s="1"/>
  <c r="R1594" i="5" a="1"/>
  <c r="R1594" i="5" s="1"/>
  <c r="R1595" i="5" a="1"/>
  <c r="R1595" i="5" s="1"/>
  <c r="R1596" i="5" a="1"/>
  <c r="R1596" i="5" s="1"/>
  <c r="R1597" i="5" a="1"/>
  <c r="R1597" i="5" s="1"/>
  <c r="R1598" i="5" a="1"/>
  <c r="R1598" i="5" s="1"/>
  <c r="R1599" i="5" a="1"/>
  <c r="R1599" i="5" s="1"/>
  <c r="R1600" i="5" a="1"/>
  <c r="R1600" i="5" s="1"/>
  <c r="R1601" i="5" a="1"/>
  <c r="R1601" i="5" s="1"/>
  <c r="R1602" i="5" a="1"/>
  <c r="R1602" i="5" s="1"/>
  <c r="R1603" i="5" a="1"/>
  <c r="R1603" i="5" s="1"/>
  <c r="R1604" i="5" a="1"/>
  <c r="R1604" i="5"/>
  <c r="R1605" i="5" a="1"/>
  <c r="R1605" i="5" s="1"/>
  <c r="R1606" i="5" a="1"/>
  <c r="R1606" i="5" s="1"/>
  <c r="R1607" i="5" a="1"/>
  <c r="R1607" i="5" s="1"/>
  <c r="R1608" i="5" a="1"/>
  <c r="R1608" i="5" s="1"/>
  <c r="R1609" i="5" a="1"/>
  <c r="R1609" i="5" s="1"/>
  <c r="R1610" i="5" a="1"/>
  <c r="R1610" i="5" s="1"/>
  <c r="R1611" i="5" a="1"/>
  <c r="R1611" i="5" s="1"/>
  <c r="R1612" i="5" a="1"/>
  <c r="R1612" i="5" s="1"/>
  <c r="R1613" i="5" a="1"/>
  <c r="R1613" i="5" s="1"/>
  <c r="R1614" i="5" a="1"/>
  <c r="R1614" i="5" s="1"/>
  <c r="R1615" i="5" a="1"/>
  <c r="R1615" i="5" s="1"/>
  <c r="R1616" i="5" a="1"/>
  <c r="R1616" i="5" s="1"/>
  <c r="R1617" i="5" a="1"/>
  <c r="R1617" i="5" s="1"/>
  <c r="R1618" i="5" a="1"/>
  <c r="R1618" i="5" s="1"/>
  <c r="R1619" i="5" a="1"/>
  <c r="R1619" i="5" s="1"/>
  <c r="R1620" i="5" a="1"/>
  <c r="R1620" i="5" s="1"/>
  <c r="R1621" i="5" a="1"/>
  <c r="R1621" i="5" s="1"/>
  <c r="R1622" i="5" a="1"/>
  <c r="R1622" i="5" s="1"/>
  <c r="R1623" i="5" a="1"/>
  <c r="R1623" i="5" s="1"/>
  <c r="R1624" i="5" a="1"/>
  <c r="R1624" i="5" s="1"/>
  <c r="R1625" i="5" a="1"/>
  <c r="R1625" i="5" s="1"/>
  <c r="R1626" i="5" a="1"/>
  <c r="R1626" i="5" s="1"/>
  <c r="R1627" i="5" a="1"/>
  <c r="R1627" i="5" s="1"/>
  <c r="R1628" i="5" a="1"/>
  <c r="R1628" i="5" s="1"/>
  <c r="R1629" i="5" a="1"/>
  <c r="R1629" i="5" s="1"/>
  <c r="R1630" i="5" a="1"/>
  <c r="R1630" i="5" s="1"/>
  <c r="R1631" i="5" a="1"/>
  <c r="R1631" i="5" s="1"/>
  <c r="R1632" i="5" a="1"/>
  <c r="R1632" i="5" s="1"/>
  <c r="R1633" i="5" a="1"/>
  <c r="R1633" i="5" s="1"/>
  <c r="R1634" i="5" a="1"/>
  <c r="R1634" i="5" s="1"/>
  <c r="R1635" i="5" a="1"/>
  <c r="R1635" i="5" s="1"/>
  <c r="R1636" i="5" a="1"/>
  <c r="R1636" i="5" s="1"/>
  <c r="R1637" i="5" a="1"/>
  <c r="R1637" i="5" s="1"/>
  <c r="R1638" i="5" a="1"/>
  <c r="R1638" i="5" s="1"/>
  <c r="R1639" i="5" a="1"/>
  <c r="R1639" i="5" s="1"/>
  <c r="R1640" i="5" a="1"/>
  <c r="R1640" i="5" s="1"/>
  <c r="R1641" i="5" a="1"/>
  <c r="R1641" i="5" s="1"/>
  <c r="R1642" i="5" a="1"/>
  <c r="R1642" i="5" s="1"/>
  <c r="R1643" i="5" a="1"/>
  <c r="R1643" i="5" s="1"/>
  <c r="R1644" i="5" a="1"/>
  <c r="R1644" i="5" s="1"/>
  <c r="R1645" i="5" a="1"/>
  <c r="R1645" i="5" s="1"/>
  <c r="R1646" i="5" a="1"/>
  <c r="R1646" i="5" s="1"/>
  <c r="R1647" i="5" a="1"/>
  <c r="R1647" i="5" s="1"/>
  <c r="R1648" i="5" a="1"/>
  <c r="R1648" i="5" s="1"/>
  <c r="R1649" i="5" a="1"/>
  <c r="R1649" i="5" s="1"/>
  <c r="R1650" i="5" a="1"/>
  <c r="R1650" i="5" s="1"/>
  <c r="R1651" i="5" a="1"/>
  <c r="R1651" i="5" s="1"/>
  <c r="R1652" i="5" a="1"/>
  <c r="R1652" i="5" s="1"/>
  <c r="R1653" i="5" a="1"/>
  <c r="R1653" i="5" s="1"/>
  <c r="R1654" i="5" a="1"/>
  <c r="R1654" i="5" s="1"/>
  <c r="R1655" i="5" a="1"/>
  <c r="R1655" i="5" s="1"/>
  <c r="R1656" i="5" a="1"/>
  <c r="R1656" i="5" s="1"/>
  <c r="R1657" i="5" a="1"/>
  <c r="R1657" i="5" s="1"/>
  <c r="R1658" i="5" a="1"/>
  <c r="R1658" i="5" s="1"/>
  <c r="R1659" i="5" a="1"/>
  <c r="R1659" i="5" s="1"/>
  <c r="R1660" i="5" a="1"/>
  <c r="R1660" i="5" s="1"/>
  <c r="R1661" i="5" a="1"/>
  <c r="R1661" i="5" s="1"/>
  <c r="R1662" i="5" a="1"/>
  <c r="R1662" i="5" s="1"/>
  <c r="R1663" i="5" a="1"/>
  <c r="R1663" i="5" s="1"/>
  <c r="R1664" i="5" a="1"/>
  <c r="R1664" i="5" s="1"/>
  <c r="R1665" i="5" a="1"/>
  <c r="R1665" i="5" s="1"/>
  <c r="R1666" i="5" a="1"/>
  <c r="R1666" i="5" s="1"/>
  <c r="R1667" i="5" a="1"/>
  <c r="R1667" i="5" s="1"/>
  <c r="R1668" i="5" a="1"/>
  <c r="R1668" i="5" s="1"/>
  <c r="R1669" i="5" a="1"/>
  <c r="R1669" i="5" s="1"/>
  <c r="R1670" i="5" a="1"/>
  <c r="R1670" i="5" s="1"/>
  <c r="R1671" i="5" a="1"/>
  <c r="R1671" i="5" s="1"/>
  <c r="R1672" i="5" a="1"/>
  <c r="R1672" i="5" s="1"/>
  <c r="R1673" i="5" a="1"/>
  <c r="R1673" i="5" s="1"/>
  <c r="R1674" i="5" a="1"/>
  <c r="R1674" i="5" s="1"/>
  <c r="R1675" i="5" a="1"/>
  <c r="R1675" i="5" s="1"/>
  <c r="R1676" i="5" a="1"/>
  <c r="R1676" i="5" s="1"/>
  <c r="R1677" i="5" a="1"/>
  <c r="R1677" i="5" s="1"/>
  <c r="R1678" i="5" a="1"/>
  <c r="R1678" i="5" s="1"/>
  <c r="R1679" i="5" a="1"/>
  <c r="R1679" i="5" s="1"/>
  <c r="R1680" i="5" a="1"/>
  <c r="R1680" i="5" s="1"/>
  <c r="R1681" i="5" a="1"/>
  <c r="R1681" i="5" s="1"/>
  <c r="R1682" i="5" a="1"/>
  <c r="R1682" i="5" s="1"/>
  <c r="R1683" i="5" a="1"/>
  <c r="R1683" i="5" s="1"/>
  <c r="R1684" i="5" a="1"/>
  <c r="R1684" i="5" s="1"/>
  <c r="R1685" i="5" a="1"/>
  <c r="R1685" i="5" s="1"/>
  <c r="R1686" i="5" a="1"/>
  <c r="R1686" i="5"/>
  <c r="R1687" i="5" a="1"/>
  <c r="R1687" i="5" s="1"/>
  <c r="R1688" i="5" a="1"/>
  <c r="R1688" i="5" s="1"/>
  <c r="R1689" i="5" a="1"/>
  <c r="R1689" i="5" s="1"/>
  <c r="R1690" i="5" a="1"/>
  <c r="R1690" i="5" s="1"/>
  <c r="R1691" i="5" a="1"/>
  <c r="R1691" i="5" s="1"/>
  <c r="R1692" i="5" a="1"/>
  <c r="R1692" i="5" s="1"/>
  <c r="R1693" i="5" a="1"/>
  <c r="R1693" i="5" s="1"/>
  <c r="R1694" i="5" a="1"/>
  <c r="R1694" i="5" s="1"/>
  <c r="R1695" i="5" a="1"/>
  <c r="R1695" i="5" s="1"/>
  <c r="R1696" i="5" a="1"/>
  <c r="R1696" i="5" s="1"/>
  <c r="R1697" i="5" a="1"/>
  <c r="R1697" i="5" s="1"/>
  <c r="R1698" i="5" a="1"/>
  <c r="R1698" i="5" s="1"/>
  <c r="R1699" i="5" a="1"/>
  <c r="R1699" i="5" s="1"/>
  <c r="R1700" i="5" a="1"/>
  <c r="R1700" i="5" s="1"/>
  <c r="R1701" i="5" a="1"/>
  <c r="R1701" i="5" s="1"/>
  <c r="R1702" i="5" a="1"/>
  <c r="R1702" i="5" s="1"/>
  <c r="R1703" i="5" a="1"/>
  <c r="R1703" i="5" s="1"/>
  <c r="R1704" i="5" a="1"/>
  <c r="R1704" i="5" s="1"/>
  <c r="R1705" i="5" a="1"/>
  <c r="R1705" i="5" s="1"/>
  <c r="R1706" i="5" a="1"/>
  <c r="R1706" i="5" s="1"/>
  <c r="R1707" i="5" a="1"/>
  <c r="R1707" i="5" s="1"/>
  <c r="R1708" i="5" a="1"/>
  <c r="R1708" i="5" s="1"/>
  <c r="R1709" i="5" a="1"/>
  <c r="R1709" i="5" s="1"/>
  <c r="R1710" i="5" a="1"/>
  <c r="R1710" i="5" s="1"/>
  <c r="R1711" i="5" a="1"/>
  <c r="R1711" i="5" s="1"/>
  <c r="R1712" i="5" a="1"/>
  <c r="R1712" i="5" s="1"/>
  <c r="R1713" i="5" a="1"/>
  <c r="R1713" i="5" s="1"/>
  <c r="R1714" i="5" a="1"/>
  <c r="R1714" i="5" s="1"/>
  <c r="R1715" i="5" a="1"/>
  <c r="R1715" i="5" s="1"/>
  <c r="R1716" i="5" a="1"/>
  <c r="R1716" i="5" s="1"/>
  <c r="R1717" i="5" a="1"/>
  <c r="R1717" i="5" s="1"/>
  <c r="R1718" i="5" a="1"/>
  <c r="R1718" i="5" s="1"/>
  <c r="R1719" i="5" a="1"/>
  <c r="R1719" i="5" s="1"/>
  <c r="R1720" i="5" a="1"/>
  <c r="R1720" i="5" s="1"/>
  <c r="R1721" i="5" a="1"/>
  <c r="R1721" i="5" s="1"/>
  <c r="R1722" i="5" a="1"/>
  <c r="R1722" i="5" s="1"/>
  <c r="R1723" i="5" a="1"/>
  <c r="R1723" i="5" s="1"/>
  <c r="R1724" i="5" a="1"/>
  <c r="R1724" i="5" s="1"/>
  <c r="R1725" i="5" a="1"/>
  <c r="R1725" i="5" s="1"/>
  <c r="R1726" i="5" a="1"/>
  <c r="R1726" i="5" s="1"/>
  <c r="R1727" i="5" a="1"/>
  <c r="R1727" i="5" s="1"/>
  <c r="R1728" i="5" a="1"/>
  <c r="R1728" i="5" s="1"/>
  <c r="R1729" i="5" a="1"/>
  <c r="R1729" i="5" s="1"/>
  <c r="R1730" i="5" a="1"/>
  <c r="R1730" i="5" s="1"/>
  <c r="R1731" i="5" a="1"/>
  <c r="R1731" i="5" s="1"/>
  <c r="R1732" i="5" a="1"/>
  <c r="R1732" i="5" s="1"/>
  <c r="R1733" i="5" a="1"/>
  <c r="R1733" i="5" s="1"/>
  <c r="R1734" i="5" a="1"/>
  <c r="R1734" i="5" s="1"/>
  <c r="R1735" i="5" a="1"/>
  <c r="R1735" i="5" s="1"/>
  <c r="R1736" i="5" a="1"/>
  <c r="R1736" i="5" s="1"/>
  <c r="R1737" i="5" a="1"/>
  <c r="R1737" i="5" s="1"/>
  <c r="R1738" i="5" a="1"/>
  <c r="R1738" i="5" s="1"/>
  <c r="R1739" i="5" a="1"/>
  <c r="R1739" i="5" s="1"/>
  <c r="R1740" i="5" a="1"/>
  <c r="R1740" i="5" s="1"/>
  <c r="R1741" i="5" a="1"/>
  <c r="R1741" i="5" s="1"/>
  <c r="R1742" i="5" a="1"/>
  <c r="R1742" i="5" s="1"/>
  <c r="R1743" i="5" a="1"/>
  <c r="R1743" i="5" s="1"/>
  <c r="R1744" i="5" a="1"/>
  <c r="R1744" i="5" s="1"/>
  <c r="R1745" i="5" a="1"/>
  <c r="R1745" i="5" s="1"/>
  <c r="R1746" i="5" a="1"/>
  <c r="R1746" i="5" s="1"/>
  <c r="R1747" i="5" a="1"/>
  <c r="R1747" i="5" s="1"/>
  <c r="R1748" i="5" a="1"/>
  <c r="R1748" i="5" s="1"/>
  <c r="R1749" i="5" a="1"/>
  <c r="R1749" i="5" s="1"/>
  <c r="R1750" i="5" a="1"/>
  <c r="R1750" i="5" s="1"/>
  <c r="R1751" i="5" a="1"/>
  <c r="R1751" i="5" s="1"/>
  <c r="R1752" i="5" a="1"/>
  <c r="R1752" i="5" s="1"/>
  <c r="R1753" i="5" a="1"/>
  <c r="R1753" i="5" s="1"/>
  <c r="R1754" i="5" a="1"/>
  <c r="R1754" i="5" s="1"/>
  <c r="R1755" i="5" a="1"/>
  <c r="R1755" i="5" s="1"/>
  <c r="R1756" i="5" a="1"/>
  <c r="R1756" i="5" s="1"/>
  <c r="R1757" i="5" a="1"/>
  <c r="R1757" i="5" s="1"/>
  <c r="R1758" i="5" a="1"/>
  <c r="R1758" i="5" s="1"/>
  <c r="R1759" i="5" a="1"/>
  <c r="R1759" i="5" s="1"/>
  <c r="R1760" i="5" a="1"/>
  <c r="R1760" i="5" s="1"/>
  <c r="R1761" i="5" a="1"/>
  <c r="R1761" i="5" s="1"/>
  <c r="R1762" i="5" a="1"/>
  <c r="R1762" i="5" s="1"/>
  <c r="R1763" i="5" a="1"/>
  <c r="R1763" i="5" s="1"/>
  <c r="R1764" i="5" a="1"/>
  <c r="R1764" i="5" s="1"/>
  <c r="R1765" i="5" a="1"/>
  <c r="R1765" i="5" s="1"/>
  <c r="R1766" i="5" a="1"/>
  <c r="R1766" i="5" s="1"/>
  <c r="R1767" i="5" a="1"/>
  <c r="R1767" i="5" s="1"/>
  <c r="R1768" i="5" a="1"/>
  <c r="R1768" i="5" s="1"/>
  <c r="R1769" i="5" a="1"/>
  <c r="R1769" i="5" s="1"/>
  <c r="R1770" i="5" a="1"/>
  <c r="R1770" i="5" s="1"/>
  <c r="R1771" i="5" a="1"/>
  <c r="R1771" i="5" s="1"/>
  <c r="R1772" i="5" a="1"/>
  <c r="R1772" i="5" s="1"/>
  <c r="R1773" i="5" a="1"/>
  <c r="R1773" i="5" s="1"/>
  <c r="R1774" i="5" a="1"/>
  <c r="R1774" i="5" s="1"/>
  <c r="R1775" i="5" a="1"/>
  <c r="R1775" i="5" s="1"/>
  <c r="R1776" i="5" a="1"/>
  <c r="R1776" i="5" s="1"/>
  <c r="R1777" i="5" a="1"/>
  <c r="R1777" i="5" s="1"/>
  <c r="R1778" i="5" a="1"/>
  <c r="R1778" i="5" s="1"/>
  <c r="R1779" i="5" a="1"/>
  <c r="R1779" i="5" s="1"/>
  <c r="R1780" i="5" a="1"/>
  <c r="R1780" i="5"/>
  <c r="R1781" i="5" a="1"/>
  <c r="R1781" i="5" s="1"/>
  <c r="R1782" i="5" a="1"/>
  <c r="R1782" i="5" s="1"/>
  <c r="R1783" i="5" a="1"/>
  <c r="R1783" i="5" s="1"/>
  <c r="R1784" i="5" a="1"/>
  <c r="R1784" i="5" s="1"/>
  <c r="R1785" i="5" a="1"/>
  <c r="R1785" i="5" s="1"/>
  <c r="R1786" i="5" a="1"/>
  <c r="R1786" i="5"/>
  <c r="R1787" i="5" a="1"/>
  <c r="R1787" i="5" s="1"/>
  <c r="R1788" i="5" a="1"/>
  <c r="R1788" i="5" s="1"/>
  <c r="R1789" i="5" a="1"/>
  <c r="R1789" i="5" s="1"/>
  <c r="R1790" i="5" a="1"/>
  <c r="R1790" i="5" s="1"/>
  <c r="R1791" i="5" a="1"/>
  <c r="R1791" i="5" s="1"/>
  <c r="R1792" i="5" a="1"/>
  <c r="R1792" i="5" s="1"/>
  <c r="R1793" i="5" a="1"/>
  <c r="R1793" i="5" s="1"/>
  <c r="R1794" i="5" a="1"/>
  <c r="R1794" i="5" s="1"/>
  <c r="R1795" i="5" a="1"/>
  <c r="R1795" i="5" s="1"/>
  <c r="R1796" i="5" a="1"/>
  <c r="R1796" i="5" s="1"/>
  <c r="R1797" i="5" a="1"/>
  <c r="R1797" i="5" s="1"/>
  <c r="R1798" i="5" a="1"/>
  <c r="R1798" i="5" s="1"/>
  <c r="R1799" i="5" a="1"/>
  <c r="R1799" i="5" s="1"/>
  <c r="R1800" i="5" a="1"/>
  <c r="R1800" i="5" s="1"/>
  <c r="R1801" i="5" a="1"/>
  <c r="R1801" i="5" s="1"/>
  <c r="R1802" i="5" a="1"/>
  <c r="R1802" i="5" s="1"/>
  <c r="R1803" i="5" a="1"/>
  <c r="R1803" i="5" s="1"/>
  <c r="R1804" i="5" a="1"/>
  <c r="R1804" i="5" s="1"/>
  <c r="R1805" i="5" a="1"/>
  <c r="R1805" i="5" s="1"/>
  <c r="R1806" i="5" a="1"/>
  <c r="R1806" i="5" s="1"/>
  <c r="R1807" i="5" a="1"/>
  <c r="R1807" i="5" s="1"/>
  <c r="R1808" i="5" a="1"/>
  <c r="R1808" i="5" s="1"/>
  <c r="R1809" i="5" a="1"/>
  <c r="R1809" i="5" s="1"/>
  <c r="R1810" i="5" a="1"/>
  <c r="R1810" i="5" s="1"/>
  <c r="R1811" i="5" a="1"/>
  <c r="R1811" i="5" s="1"/>
  <c r="R1812" i="5" a="1"/>
  <c r="R1812" i="5" s="1"/>
  <c r="R1813" i="5" a="1"/>
  <c r="R1813" i="5" s="1"/>
  <c r="R1814" i="5" a="1"/>
  <c r="R1814" i="5" s="1"/>
  <c r="R1815" i="5" a="1"/>
  <c r="R1815" i="5" s="1"/>
  <c r="R1816" i="5" a="1"/>
  <c r="R1816" i="5" s="1"/>
  <c r="R1817" i="5" a="1"/>
  <c r="R1817" i="5" s="1"/>
  <c r="R1818" i="5" a="1"/>
  <c r="R1818" i="5" s="1"/>
  <c r="R1819" i="5" a="1"/>
  <c r="R1819" i="5" s="1"/>
  <c r="R1820" i="5" a="1"/>
  <c r="R1820" i="5" s="1"/>
  <c r="R1821" i="5" a="1"/>
  <c r="R1821" i="5" s="1"/>
  <c r="R1822" i="5" a="1"/>
  <c r="R1822" i="5" s="1"/>
  <c r="R1823" i="5" a="1"/>
  <c r="R1823" i="5" s="1"/>
  <c r="R1824" i="5" a="1"/>
  <c r="R1824" i="5" s="1"/>
  <c r="R1825" i="5" a="1"/>
  <c r="R1825" i="5" s="1"/>
  <c r="R1826" i="5" a="1"/>
  <c r="R1826" i="5" s="1"/>
  <c r="R1827" i="5" a="1"/>
  <c r="R1827" i="5" s="1"/>
  <c r="R1828" i="5" a="1"/>
  <c r="R1828" i="5" s="1"/>
  <c r="R1829" i="5" a="1"/>
  <c r="R1829" i="5" s="1"/>
  <c r="R1830" i="5" a="1"/>
  <c r="R1830" i="5" s="1"/>
  <c r="R1831" i="5" a="1"/>
  <c r="R1831" i="5" s="1"/>
  <c r="R1832" i="5" a="1"/>
  <c r="R1832" i="5" s="1"/>
  <c r="R1833" i="5" a="1"/>
  <c r="R1833" i="5" s="1"/>
  <c r="R1834" i="5" a="1"/>
  <c r="R1834" i="5" s="1"/>
  <c r="R1835" i="5" a="1"/>
  <c r="R1835" i="5" s="1"/>
  <c r="R1836" i="5" a="1"/>
  <c r="R1836" i="5" s="1"/>
  <c r="R1837" i="5" a="1"/>
  <c r="R1837" i="5" s="1"/>
  <c r="R1838" i="5" a="1"/>
  <c r="R1838" i="5" s="1"/>
  <c r="R1839" i="5" a="1"/>
  <c r="R1839" i="5" s="1"/>
  <c r="R1840" i="5" a="1"/>
  <c r="R1840" i="5" s="1"/>
  <c r="R1841" i="5" a="1"/>
  <c r="R1841" i="5" s="1"/>
  <c r="R1842" i="5" a="1"/>
  <c r="R1842" i="5" s="1"/>
  <c r="R1843" i="5" a="1"/>
  <c r="R1843" i="5" s="1"/>
  <c r="R1844" i="5" a="1"/>
  <c r="R1844" i="5" s="1"/>
  <c r="R1845" i="5" a="1"/>
  <c r="R1845" i="5" s="1"/>
  <c r="R1846" i="5" a="1"/>
  <c r="R1846" i="5" s="1"/>
  <c r="R1847" i="5" a="1"/>
  <c r="R1847" i="5" s="1"/>
  <c r="R1848" i="5" a="1"/>
  <c r="R1848" i="5" s="1"/>
  <c r="R1849" i="5" a="1"/>
  <c r="R1849" i="5" s="1"/>
  <c r="R1850" i="5" a="1"/>
  <c r="R1850" i="5" s="1"/>
  <c r="R1851" i="5" a="1"/>
  <c r="R1851" i="5" s="1"/>
  <c r="R1852" i="5" a="1"/>
  <c r="R1852" i="5" s="1"/>
  <c r="R1853" i="5" a="1"/>
  <c r="R1853" i="5" s="1"/>
  <c r="R1854" i="5" a="1"/>
  <c r="R1854" i="5"/>
  <c r="R1855" i="5" a="1"/>
  <c r="R1855" i="5" s="1"/>
  <c r="R1856" i="5" a="1"/>
  <c r="R1856" i="5" s="1"/>
  <c r="R1857" i="5" a="1"/>
  <c r="R1857" i="5" s="1"/>
  <c r="R1858" i="5" a="1"/>
  <c r="R1858" i="5" s="1"/>
  <c r="R1859" i="5" a="1"/>
  <c r="R1859" i="5" s="1"/>
  <c r="R1860" i="5" a="1"/>
  <c r="R1860" i="5" s="1"/>
  <c r="R1861" i="5" a="1"/>
  <c r="R1861" i="5" s="1"/>
  <c r="R1862" i="5" a="1"/>
  <c r="R1862" i="5" s="1"/>
  <c r="R1863" i="5" a="1"/>
  <c r="R1863" i="5" s="1"/>
  <c r="R1864" i="5" a="1"/>
  <c r="R1864" i="5" s="1"/>
  <c r="R1865" i="5" a="1"/>
  <c r="R1865" i="5" s="1"/>
  <c r="R1866" i="5" a="1"/>
  <c r="R1866" i="5" s="1"/>
  <c r="R1867" i="5" a="1"/>
  <c r="R1867" i="5" s="1"/>
  <c r="R1868" i="5" a="1"/>
  <c r="R1868" i="5" s="1"/>
  <c r="R1869" i="5" a="1"/>
  <c r="R1869" i="5" s="1"/>
  <c r="R1870" i="5" a="1"/>
  <c r="R1870" i="5" s="1"/>
  <c r="R1871" i="5" a="1"/>
  <c r="R1871" i="5" s="1"/>
  <c r="R1872" i="5" a="1"/>
  <c r="R1872" i="5" s="1"/>
  <c r="R1873" i="5" a="1"/>
  <c r="R1873" i="5" s="1"/>
  <c r="R1874" i="5" a="1"/>
  <c r="R1874" i="5" s="1"/>
  <c r="R1875" i="5" a="1"/>
  <c r="R1875" i="5" s="1"/>
  <c r="R1876" i="5" a="1"/>
  <c r="R1876" i="5" s="1"/>
  <c r="R1877" i="5" a="1"/>
  <c r="R1877" i="5" s="1"/>
  <c r="R1878" i="5" a="1"/>
  <c r="R1878" i="5" s="1"/>
  <c r="R1879" i="5" a="1"/>
  <c r="R1879" i="5" s="1"/>
  <c r="R1880" i="5" a="1"/>
  <c r="R1880" i="5" s="1"/>
  <c r="R1881" i="5" a="1"/>
  <c r="R1881" i="5" s="1"/>
  <c r="R1882" i="5" a="1"/>
  <c r="R1882" i="5"/>
  <c r="R1883" i="5" a="1"/>
  <c r="R1883" i="5" s="1"/>
  <c r="R1884" i="5" a="1"/>
  <c r="R1884" i="5" s="1"/>
  <c r="R1885" i="5" a="1"/>
  <c r="R1885" i="5" s="1"/>
  <c r="R1886" i="5" a="1"/>
  <c r="R1886" i="5" s="1"/>
  <c r="R1887" i="5" a="1"/>
  <c r="R1887" i="5" s="1"/>
  <c r="R1888" i="5" a="1"/>
  <c r="R1888" i="5" s="1"/>
  <c r="R1889" i="5" a="1"/>
  <c r="R1889" i="5" s="1"/>
  <c r="R1890" i="5" a="1"/>
  <c r="R1890" i="5" s="1"/>
  <c r="R1891" i="5" a="1"/>
  <c r="R1891" i="5" s="1"/>
  <c r="R1892" i="5" a="1"/>
  <c r="R1892" i="5" s="1"/>
  <c r="R1893" i="5" a="1"/>
  <c r="R1893" i="5" s="1"/>
  <c r="R1894" i="5" a="1"/>
  <c r="R1894" i="5" s="1"/>
  <c r="R1895" i="5" a="1"/>
  <c r="R1895" i="5" s="1"/>
  <c r="R1896" i="5" a="1"/>
  <c r="R1896" i="5" s="1"/>
  <c r="R1897" i="5" a="1"/>
  <c r="R1897" i="5" s="1"/>
  <c r="R1898" i="5" a="1"/>
  <c r="R1898" i="5" s="1"/>
  <c r="R1899" i="5" a="1"/>
  <c r="R1899" i="5" s="1"/>
  <c r="R1900" i="5" a="1"/>
  <c r="R1900" i="5" s="1"/>
  <c r="R1901" i="5" a="1"/>
  <c r="R1901" i="5" s="1"/>
  <c r="R1902" i="5" a="1"/>
  <c r="R1902" i="5" s="1"/>
  <c r="R1903" i="5" a="1"/>
  <c r="R1903" i="5" s="1"/>
  <c r="R1904" i="5" a="1"/>
  <c r="R1904" i="5" s="1"/>
  <c r="R1905" i="5" a="1"/>
  <c r="R1905" i="5" s="1"/>
  <c r="R1906" i="5" a="1"/>
  <c r="R1906" i="5" s="1"/>
  <c r="R1907" i="5" a="1"/>
  <c r="R1907" i="5" s="1"/>
  <c r="R1908" i="5" a="1"/>
  <c r="R1908" i="5" s="1"/>
  <c r="R1909" i="5" a="1"/>
  <c r="R1909" i="5" s="1"/>
  <c r="R1910" i="5" a="1"/>
  <c r="R1910" i="5" s="1"/>
  <c r="R1911" i="5" a="1"/>
  <c r="R1911" i="5" s="1"/>
  <c r="R1912" i="5" a="1"/>
  <c r="R1912" i="5" s="1"/>
  <c r="R1913" i="5" a="1"/>
  <c r="R1913" i="5" s="1"/>
  <c r="R1914" i="5" a="1"/>
  <c r="R1914" i="5" s="1"/>
  <c r="R1915" i="5" a="1"/>
  <c r="R1915" i="5" s="1"/>
  <c r="R1916" i="5" a="1"/>
  <c r="R1916" i="5" s="1"/>
  <c r="R1917" i="5" a="1"/>
  <c r="R1917" i="5" s="1"/>
  <c r="R1918" i="5" a="1"/>
  <c r="R1918" i="5"/>
  <c r="R1919" i="5" a="1"/>
  <c r="R1919" i="5" s="1"/>
  <c r="R1920" i="5" a="1"/>
  <c r="R1920" i="5" s="1"/>
  <c r="R1921" i="5" a="1"/>
  <c r="R1921" i="5" s="1"/>
  <c r="R1922" i="5" a="1"/>
  <c r="R1922" i="5" s="1"/>
  <c r="R1923" i="5" a="1"/>
  <c r="R1923" i="5" s="1"/>
  <c r="R1924" i="5" a="1"/>
  <c r="R1924" i="5"/>
  <c r="R1925" i="5" a="1"/>
  <c r="R1925" i="5" s="1"/>
  <c r="R1926" i="5" a="1"/>
  <c r="R1926" i="5" s="1"/>
  <c r="R1927" i="5" a="1"/>
  <c r="R1927" i="5" s="1"/>
  <c r="R1928" i="5" a="1"/>
  <c r="R1928" i="5" s="1"/>
  <c r="R1929" i="5" a="1"/>
  <c r="R1929" i="5" s="1"/>
  <c r="R1930" i="5" a="1"/>
  <c r="R1930" i="5" s="1"/>
  <c r="R1931" i="5" a="1"/>
  <c r="R1931" i="5" s="1"/>
  <c r="R1932" i="5" a="1"/>
  <c r="R1932" i="5" s="1"/>
  <c r="R1933" i="5" a="1"/>
  <c r="R1933" i="5" s="1"/>
  <c r="R1934" i="5" a="1"/>
  <c r="R1934" i="5" s="1"/>
  <c r="R1935" i="5" a="1"/>
  <c r="R1935" i="5" s="1"/>
  <c r="R1936" i="5" a="1"/>
  <c r="R1936" i="5" s="1"/>
  <c r="R1937" i="5" a="1"/>
  <c r="R1937" i="5" s="1"/>
  <c r="R1938" i="5" a="1"/>
  <c r="R1938" i="5" s="1"/>
  <c r="R1939" i="5" a="1"/>
  <c r="R1939" i="5" s="1"/>
  <c r="R1940" i="5" a="1"/>
  <c r="R1940" i="5" s="1"/>
  <c r="R1941" i="5" a="1"/>
  <c r="R1941" i="5"/>
  <c r="R1942" i="5" a="1"/>
  <c r="R1942" i="5" s="1"/>
  <c r="R1943" i="5" a="1"/>
  <c r="R1943" i="5" s="1"/>
  <c r="R1944" i="5" a="1"/>
  <c r="R1944" i="5" s="1"/>
  <c r="R1945" i="5" a="1"/>
  <c r="R1945" i="5" s="1"/>
  <c r="R1946" i="5" a="1"/>
  <c r="R1946" i="5" s="1"/>
  <c r="R1947" i="5" a="1"/>
  <c r="R1947" i="5" s="1"/>
  <c r="R1948" i="5" a="1"/>
  <c r="R1948" i="5" s="1"/>
  <c r="R1949" i="5" a="1"/>
  <c r="R1949" i="5" s="1"/>
  <c r="R1950" i="5" a="1"/>
  <c r="R1950" i="5" s="1"/>
  <c r="R1951" i="5" a="1"/>
  <c r="R1951" i="5" s="1"/>
  <c r="R1952" i="5" a="1"/>
  <c r="R1952" i="5" s="1"/>
  <c r="R1953" i="5" a="1"/>
  <c r="R1953" i="5" s="1"/>
  <c r="R1954" i="5" a="1"/>
  <c r="R1954" i="5" s="1"/>
  <c r="R1955" i="5" a="1"/>
  <c r="R1955" i="5" s="1"/>
  <c r="R1956" i="5" a="1"/>
  <c r="R1956" i="5" s="1"/>
  <c r="R1957" i="5" a="1"/>
  <c r="R1957" i="5" s="1"/>
  <c r="R1958" i="5" a="1"/>
  <c r="R1958" i="5" s="1"/>
  <c r="R1959" i="5" a="1"/>
  <c r="R1959" i="5" s="1"/>
  <c r="R1960" i="5" a="1"/>
  <c r="R1960" i="5" s="1"/>
  <c r="R1961" i="5" a="1"/>
  <c r="R1961" i="5" s="1"/>
  <c r="R1962" i="5" a="1"/>
  <c r="R1962" i="5" s="1"/>
  <c r="R1963" i="5" a="1"/>
  <c r="R1963" i="5"/>
  <c r="R1964" i="5" a="1"/>
  <c r="R1964" i="5" s="1"/>
  <c r="R1965" i="5" a="1"/>
  <c r="R1965" i="5" s="1"/>
  <c r="R1966" i="5" a="1"/>
  <c r="R1966" i="5" s="1"/>
  <c r="R1967" i="5" a="1"/>
  <c r="R1967" i="5" s="1"/>
  <c r="R1968" i="5" a="1"/>
  <c r="R1968" i="5" s="1"/>
  <c r="R1969" i="5" a="1"/>
  <c r="R1969" i="5" s="1"/>
  <c r="R1970" i="5" a="1"/>
  <c r="R1970" i="5" s="1"/>
  <c r="R1971" i="5" a="1"/>
  <c r="R1971" i="5" s="1"/>
  <c r="R1972" i="5" a="1"/>
  <c r="R1972" i="5" s="1"/>
  <c r="R1973" i="5" a="1"/>
  <c r="R1973" i="5" s="1"/>
  <c r="R1974" i="5" a="1"/>
  <c r="R1974" i="5" s="1"/>
  <c r="R1975" i="5" a="1"/>
  <c r="R1975" i="5" s="1"/>
  <c r="R1976" i="5" a="1"/>
  <c r="R1976" i="5" s="1"/>
  <c r="R1977" i="5" a="1"/>
  <c r="R1977" i="5" s="1"/>
  <c r="R1978" i="5" a="1"/>
  <c r="R1978" i="5" s="1"/>
  <c r="R1979" i="5" a="1"/>
  <c r="R1979" i="5" s="1"/>
  <c r="R1980" i="5" a="1"/>
  <c r="R1980" i="5" s="1"/>
  <c r="R1981" i="5" a="1"/>
  <c r="R1981" i="5" s="1"/>
  <c r="R1982" i="5" a="1"/>
  <c r="R1982" i="5" s="1"/>
  <c r="R1983" i="5" a="1"/>
  <c r="R1983" i="5" s="1"/>
  <c r="R1984" i="5" a="1"/>
  <c r="R1984" i="5" s="1"/>
  <c r="R1985" i="5" a="1"/>
  <c r="R1985" i="5" s="1"/>
  <c r="R1986" i="5" a="1"/>
  <c r="R1986" i="5" s="1"/>
  <c r="R1987" i="5" a="1"/>
  <c r="R1987" i="5" s="1"/>
  <c r="R1988" i="5" a="1"/>
  <c r="R1988" i="5" s="1"/>
  <c r="R1989" i="5" a="1"/>
  <c r="R1989" i="5" s="1"/>
  <c r="R1990" i="5" a="1"/>
  <c r="R1990" i="5" s="1"/>
  <c r="R1991" i="5" a="1"/>
  <c r="R1991" i="5" s="1"/>
  <c r="R1992" i="5" a="1"/>
  <c r="R1992" i="5" s="1"/>
  <c r="R1993" i="5" a="1"/>
  <c r="R1993" i="5" s="1"/>
  <c r="R1994" i="5" a="1"/>
  <c r="R1994" i="5" s="1"/>
  <c r="R1995" i="5" a="1"/>
  <c r="R1995" i="5" s="1"/>
  <c r="R1996" i="5" a="1"/>
  <c r="R1996" i="5" s="1"/>
  <c r="R1997" i="5" a="1"/>
  <c r="R1997" i="5" s="1"/>
  <c r="R1998" i="5" a="1"/>
  <c r="R1998" i="5" s="1"/>
  <c r="R1999" i="5" a="1"/>
  <c r="R1999" i="5" s="1"/>
  <c r="R2000" i="5" a="1"/>
  <c r="R2000" i="5" s="1"/>
  <c r="R2001" i="5" a="1"/>
  <c r="R2001" i="5" s="1"/>
  <c r="R2002" i="5" a="1"/>
  <c r="R2002" i="5" s="1"/>
  <c r="R2003" i="5" a="1"/>
  <c r="R2003" i="5" s="1"/>
  <c r="R2004" i="5" a="1"/>
  <c r="R2004" i="5" s="1"/>
  <c r="R2005" i="5" a="1"/>
  <c r="R2005" i="5" s="1"/>
  <c r="R2006" i="5" a="1"/>
  <c r="R2006" i="5" s="1"/>
  <c r="R2007" i="5" a="1"/>
  <c r="R2007" i="5" s="1"/>
  <c r="R2008" i="5" a="1"/>
  <c r="R2008" i="5" s="1"/>
  <c r="R2009" i="5" a="1"/>
  <c r="R2009" i="5" s="1"/>
  <c r="R2010" i="5" a="1"/>
  <c r="R2010" i="5" s="1"/>
  <c r="R2011" i="5" a="1"/>
  <c r="R2011" i="5" s="1"/>
  <c r="R2012" i="5" a="1"/>
  <c r="R2012" i="5" s="1"/>
  <c r="R2013" i="5" a="1"/>
  <c r="R2013" i="5" s="1"/>
  <c r="R2014" i="5" a="1"/>
  <c r="R2014" i="5" s="1"/>
  <c r="R2015" i="5" a="1"/>
  <c r="R2015" i="5" s="1"/>
  <c r="R2016" i="5" a="1"/>
  <c r="R2016" i="5" s="1"/>
  <c r="R2017" i="5" a="1"/>
  <c r="R2017" i="5" s="1"/>
  <c r="R2018" i="5" a="1"/>
  <c r="R2018" i="5" s="1"/>
  <c r="R2019" i="5" a="1"/>
  <c r="R2019" i="5" s="1"/>
  <c r="R2020" i="5" a="1"/>
  <c r="R2020" i="5" s="1"/>
  <c r="R2021" i="5" a="1"/>
  <c r="R2021" i="5" s="1"/>
  <c r="R2022" i="5" a="1"/>
  <c r="R2022" i="5" s="1"/>
  <c r="R2023" i="5" a="1"/>
  <c r="R2023" i="5" s="1"/>
  <c r="R2024" i="5" a="1"/>
  <c r="R2024" i="5" s="1"/>
  <c r="R2025" i="5" a="1"/>
  <c r="R2025" i="5" s="1"/>
  <c r="R2026" i="5" a="1"/>
  <c r="R2026" i="5" s="1"/>
  <c r="R2027" i="5" a="1"/>
  <c r="R2027" i="5" s="1"/>
  <c r="R2028" i="5" a="1"/>
  <c r="R2028" i="5" s="1"/>
  <c r="R2029" i="5" a="1"/>
  <c r="R2029" i="5" s="1"/>
  <c r="R2030" i="5" a="1"/>
  <c r="R2030" i="5" s="1"/>
  <c r="R2031" i="5" a="1"/>
  <c r="R2031" i="5" s="1"/>
  <c r="R2032" i="5" a="1"/>
  <c r="R2032" i="5" s="1"/>
  <c r="R2033" i="5" a="1"/>
  <c r="R2033" i="5" s="1"/>
  <c r="R2034" i="5" a="1"/>
  <c r="R2034" i="5" s="1"/>
  <c r="R2035" i="5" a="1"/>
  <c r="R2035" i="5" s="1"/>
  <c r="R2036" i="5" a="1"/>
  <c r="R2036" i="5" s="1"/>
  <c r="R2037" i="5" a="1"/>
  <c r="R2037" i="5" s="1"/>
  <c r="R2038" i="5" a="1"/>
  <c r="R2038" i="5" s="1"/>
  <c r="R2039" i="5" a="1"/>
  <c r="R2039" i="5" s="1"/>
  <c r="R2040" i="5" a="1"/>
  <c r="R2040" i="5" s="1"/>
  <c r="R2041" i="5" a="1"/>
  <c r="R2041" i="5" s="1"/>
  <c r="R2042" i="5" a="1"/>
  <c r="R2042" i="5" s="1"/>
  <c r="R2043" i="5" a="1"/>
  <c r="R2043" i="5" s="1"/>
  <c r="R2044" i="5" a="1"/>
  <c r="R2044" i="5" s="1"/>
  <c r="R2045" i="5" a="1"/>
  <c r="R2045" i="5" s="1"/>
  <c r="R2046" i="5" a="1"/>
  <c r="R2046" i="5" s="1"/>
  <c r="R2047" i="5" a="1"/>
  <c r="R2047" i="5" s="1"/>
  <c r="R2048" i="5" a="1"/>
  <c r="R2048" i="5" s="1"/>
  <c r="R2049" i="5" a="1"/>
  <c r="R2049" i="5" s="1"/>
  <c r="R2050" i="5" a="1"/>
  <c r="R2050" i="5" s="1"/>
  <c r="R2051" i="5" a="1"/>
  <c r="R2051" i="5" s="1"/>
  <c r="R2052" i="5" a="1"/>
  <c r="R2052" i="5" s="1"/>
  <c r="R2053" i="5" a="1"/>
  <c r="R2053" i="5" s="1"/>
  <c r="R2054" i="5" a="1"/>
  <c r="R2054" i="5" s="1"/>
  <c r="R2055" i="5" a="1"/>
  <c r="R2055" i="5" s="1"/>
  <c r="R2056" i="5" a="1"/>
  <c r="R2056" i="5" s="1"/>
  <c r="R2057" i="5" a="1"/>
  <c r="R2057" i="5" s="1"/>
  <c r="R2058" i="5" a="1"/>
  <c r="R2058" i="5" s="1"/>
  <c r="R2059" i="5" a="1"/>
  <c r="R2059" i="5" s="1"/>
  <c r="R2060" i="5" a="1"/>
  <c r="R2060" i="5" s="1"/>
  <c r="R2061" i="5" a="1"/>
  <c r="R2061" i="5" s="1"/>
  <c r="R2062" i="5" a="1"/>
  <c r="R2062" i="5" s="1"/>
  <c r="R2063" i="5" a="1"/>
  <c r="R2063" i="5" s="1"/>
  <c r="R2064" i="5" a="1"/>
  <c r="R2064" i="5" s="1"/>
  <c r="R2065" i="5" a="1"/>
  <c r="R2065" i="5" s="1"/>
  <c r="R2066" i="5" a="1"/>
  <c r="R2066" i="5" s="1"/>
  <c r="R2067" i="5" a="1"/>
  <c r="R2067" i="5" s="1"/>
  <c r="R2068" i="5" a="1"/>
  <c r="R2068" i="5" s="1"/>
  <c r="R2069" i="5" a="1"/>
  <c r="R2069" i="5" s="1"/>
  <c r="R2070" i="5" a="1"/>
  <c r="R2070" i="5" s="1"/>
  <c r="R2071" i="5" a="1"/>
  <c r="R2071" i="5" s="1"/>
  <c r="R2072" i="5" a="1"/>
  <c r="R2072" i="5" s="1"/>
  <c r="R2073" i="5" a="1"/>
  <c r="R2073" i="5"/>
  <c r="R2074" i="5" a="1"/>
  <c r="R2074" i="5" s="1"/>
  <c r="R2075" i="5" a="1"/>
  <c r="R2075" i="5" s="1"/>
  <c r="R2076" i="5" a="1"/>
  <c r="R2076" i="5" s="1"/>
  <c r="R2077" i="5" a="1"/>
  <c r="R2077" i="5" s="1"/>
  <c r="R2078" i="5" a="1"/>
  <c r="R2078" i="5" s="1"/>
  <c r="R2079" i="5" a="1"/>
  <c r="R2079" i="5" s="1"/>
  <c r="R2080" i="5" a="1"/>
  <c r="R2080" i="5" s="1"/>
  <c r="R2081" i="5" a="1"/>
  <c r="R2081" i="5" s="1"/>
  <c r="R2082" i="5" a="1"/>
  <c r="R2082" i="5" s="1"/>
  <c r="R2083" i="5" a="1"/>
  <c r="R2083" i="5" s="1"/>
  <c r="R2084" i="5" a="1"/>
  <c r="R2084" i="5" s="1"/>
  <c r="R2085" i="5" a="1"/>
  <c r="R2085" i="5" s="1"/>
  <c r="R2086" i="5" a="1"/>
  <c r="R2086" i="5" s="1"/>
  <c r="R2087" i="5" a="1"/>
  <c r="R2087" i="5" s="1"/>
  <c r="R2088" i="5" a="1"/>
  <c r="R2088" i="5" s="1"/>
  <c r="R2089" i="5" a="1"/>
  <c r="R2089" i="5" s="1"/>
  <c r="R2090" i="5" a="1"/>
  <c r="R2090" i="5" s="1"/>
  <c r="R2091" i="5" a="1"/>
  <c r="R2091" i="5" s="1"/>
  <c r="R2092" i="5" a="1"/>
  <c r="R2092" i="5" s="1"/>
  <c r="R2093" i="5" a="1"/>
  <c r="R2093" i="5" s="1"/>
  <c r="R2094" i="5" a="1"/>
  <c r="R2094" i="5" s="1"/>
  <c r="R2095" i="5" a="1"/>
  <c r="R2095" i="5" s="1"/>
  <c r="R2096" i="5" a="1"/>
  <c r="R2096" i="5" s="1"/>
  <c r="R2097" i="5" a="1"/>
  <c r="R2097" i="5" s="1"/>
  <c r="R2098" i="5" a="1"/>
  <c r="R2098" i="5" s="1"/>
  <c r="R2099" i="5" a="1"/>
  <c r="R2099" i="5" s="1"/>
  <c r="R2100" i="5" a="1"/>
  <c r="R2100" i="5" s="1"/>
  <c r="R2101" i="5" a="1"/>
  <c r="R2101" i="5" s="1"/>
  <c r="R2102" i="5" a="1"/>
  <c r="R2102" i="5" s="1"/>
  <c r="R2103" i="5" a="1"/>
  <c r="R2103" i="5" s="1"/>
  <c r="R2104" i="5" a="1"/>
  <c r="R2104" i="5" s="1"/>
  <c r="R2105" i="5" a="1"/>
  <c r="R2105" i="5" s="1"/>
  <c r="R2106" i="5" a="1"/>
  <c r="R2106" i="5" s="1"/>
  <c r="R2107" i="5" a="1"/>
  <c r="R2107" i="5" s="1"/>
  <c r="R2108" i="5" a="1"/>
  <c r="R2108" i="5" s="1"/>
  <c r="R2109" i="5" a="1"/>
  <c r="R2109" i="5" s="1"/>
  <c r="R2110" i="5" a="1"/>
  <c r="R2110" i="5" s="1"/>
  <c r="R2111" i="5" a="1"/>
  <c r="R2111" i="5" s="1"/>
  <c r="R2112" i="5" a="1"/>
  <c r="R2112" i="5" s="1"/>
  <c r="R2113" i="5" a="1"/>
  <c r="R2113" i="5" s="1"/>
  <c r="R2114" i="5" a="1"/>
  <c r="R2114" i="5" s="1"/>
  <c r="R2115" i="5" a="1"/>
  <c r="R2115" i="5" s="1"/>
  <c r="R2116" i="5" a="1"/>
  <c r="R2116" i="5" s="1"/>
  <c r="R2117" i="5" a="1"/>
  <c r="R2117" i="5" s="1"/>
  <c r="R2118" i="5" a="1"/>
  <c r="R2118" i="5" s="1"/>
  <c r="R2119" i="5" a="1"/>
  <c r="R2119" i="5" s="1"/>
  <c r="R2120" i="5" a="1"/>
  <c r="R2120" i="5" s="1"/>
  <c r="R2121" i="5" a="1"/>
  <c r="R2121" i="5" s="1"/>
  <c r="R2122" i="5" a="1"/>
  <c r="R2122" i="5" s="1"/>
  <c r="R2123" i="5" a="1"/>
  <c r="R2123" i="5" s="1"/>
  <c r="R2124" i="5" a="1"/>
  <c r="R2124" i="5" s="1"/>
  <c r="R2125" i="5" a="1"/>
  <c r="R2125" i="5" s="1"/>
  <c r="R2126" i="5" a="1"/>
  <c r="R2126" i="5"/>
  <c r="R2127" i="5" a="1"/>
  <c r="R2127" i="5" s="1"/>
  <c r="R2128" i="5" a="1"/>
  <c r="R2128" i="5" s="1"/>
  <c r="R2129" i="5" a="1"/>
  <c r="R2129" i="5" s="1"/>
  <c r="R2130" i="5" a="1"/>
  <c r="R2130" i="5" s="1"/>
  <c r="R2131" i="5" a="1"/>
  <c r="R2131" i="5" s="1"/>
  <c r="R2132" i="5" a="1"/>
  <c r="R2132" i="5" s="1"/>
  <c r="R2133" i="5" a="1"/>
  <c r="R2133" i="5" s="1"/>
  <c r="R2134" i="5" a="1"/>
  <c r="R2134" i="5" s="1"/>
  <c r="R2135" i="5" a="1"/>
  <c r="R2135" i="5" s="1"/>
  <c r="R2136" i="5" a="1"/>
  <c r="R2136" i="5" s="1"/>
  <c r="R2137" i="5" a="1"/>
  <c r="R2137" i="5" s="1"/>
  <c r="R2138" i="5" a="1"/>
  <c r="R2138" i="5" s="1"/>
  <c r="R2139" i="5" a="1"/>
  <c r="R2139" i="5" s="1"/>
  <c r="R2140" i="5" a="1"/>
  <c r="R2140" i="5" s="1"/>
  <c r="R2141" i="5" a="1"/>
  <c r="R2141" i="5" s="1"/>
  <c r="R2142" i="5" a="1"/>
  <c r="R2142" i="5" s="1"/>
  <c r="R2143" i="5" a="1"/>
  <c r="R2143" i="5" s="1"/>
  <c r="R2144" i="5" a="1"/>
  <c r="R2144" i="5" s="1"/>
  <c r="R2145" i="5" a="1"/>
  <c r="R2145" i="5" s="1"/>
  <c r="R2146" i="5" a="1"/>
  <c r="R2146" i="5" s="1"/>
  <c r="R2147" i="5" a="1"/>
  <c r="R2147" i="5" s="1"/>
  <c r="R2148" i="5" a="1"/>
  <c r="R2148" i="5" s="1"/>
  <c r="R2149" i="5" a="1"/>
  <c r="R2149" i="5" s="1"/>
  <c r="R2150" i="5" a="1"/>
  <c r="R2150" i="5" s="1"/>
  <c r="R2151" i="5" a="1"/>
  <c r="R2151" i="5" s="1"/>
  <c r="R2152" i="5" a="1"/>
  <c r="R2152" i="5" s="1"/>
  <c r="R2153" i="5" a="1"/>
  <c r="R2153" i="5" s="1"/>
  <c r="R2154" i="5" a="1"/>
  <c r="R2154" i="5" s="1"/>
  <c r="R2155" i="5" a="1"/>
  <c r="R2155" i="5" s="1"/>
  <c r="R2156" i="5" a="1"/>
  <c r="R2156" i="5" s="1"/>
  <c r="R2157" i="5" a="1"/>
  <c r="R2157" i="5" s="1"/>
  <c r="R2158" i="5" a="1"/>
  <c r="R2158" i="5" s="1"/>
  <c r="R2159" i="5" a="1"/>
  <c r="R2159" i="5" s="1"/>
  <c r="R2160" i="5" a="1"/>
  <c r="R2160" i="5" s="1"/>
  <c r="R2161" i="5" a="1"/>
  <c r="R2161" i="5" s="1"/>
  <c r="R2162" i="5" a="1"/>
  <c r="R2162" i="5" s="1"/>
  <c r="R2163" i="5" a="1"/>
  <c r="R2163" i="5" s="1"/>
  <c r="R2164" i="5" a="1"/>
  <c r="R2164" i="5" s="1"/>
  <c r="R2165" i="5" a="1"/>
  <c r="R2165" i="5" s="1"/>
  <c r="R2166" i="5" a="1"/>
  <c r="R2166" i="5" s="1"/>
  <c r="R2167" i="5" a="1"/>
  <c r="R2167" i="5" s="1"/>
  <c r="R2168" i="5" a="1"/>
  <c r="R2168" i="5" s="1"/>
  <c r="R2169" i="5" a="1"/>
  <c r="R2169" i="5" s="1"/>
  <c r="R2170" i="5" a="1"/>
  <c r="R2170" i="5" s="1"/>
  <c r="R2171" i="5" a="1"/>
  <c r="R2171" i="5" s="1"/>
  <c r="R2172" i="5" a="1"/>
  <c r="R2172" i="5" s="1"/>
  <c r="R2173" i="5" a="1"/>
  <c r="R2173" i="5" s="1"/>
  <c r="R2174" i="5" a="1"/>
  <c r="R2174" i="5" s="1"/>
  <c r="R2175" i="5" a="1"/>
  <c r="R2175" i="5" s="1"/>
  <c r="R2176" i="5" a="1"/>
  <c r="R2176" i="5" s="1"/>
  <c r="R2177" i="5" a="1"/>
  <c r="R2177" i="5" s="1"/>
  <c r="R2178" i="5" a="1"/>
  <c r="R2178" i="5" s="1"/>
  <c r="R2179" i="5" a="1"/>
  <c r="R2179" i="5" s="1"/>
  <c r="R2180" i="5" a="1"/>
  <c r="R2180" i="5" s="1"/>
  <c r="R2181" i="5" a="1"/>
  <c r="R2181" i="5" s="1"/>
  <c r="R2182" i="5" a="1"/>
  <c r="R2182" i="5" s="1"/>
  <c r="R2183" i="5" a="1"/>
  <c r="R2183" i="5" s="1"/>
  <c r="R2184" i="5" a="1"/>
  <c r="R2184" i="5" s="1"/>
  <c r="R2185" i="5" a="1"/>
  <c r="R2185" i="5" s="1"/>
  <c r="R2186" i="5" a="1"/>
  <c r="R2186" i="5" s="1"/>
  <c r="R2187" i="5" a="1"/>
  <c r="R2187" i="5" s="1"/>
  <c r="R2188" i="5" a="1"/>
  <c r="R2188" i="5" s="1"/>
  <c r="R2189" i="5" a="1"/>
  <c r="R2189" i="5" s="1"/>
  <c r="R2190" i="5" a="1"/>
  <c r="R2190" i="5" s="1"/>
  <c r="R2191" i="5" a="1"/>
  <c r="R2191" i="5" s="1"/>
  <c r="R2192" i="5" a="1"/>
  <c r="R2192" i="5"/>
  <c r="R2193" i="5" a="1"/>
  <c r="R2193" i="5" s="1"/>
  <c r="R2194" i="5" a="1"/>
  <c r="R2194" i="5" s="1"/>
  <c r="R2195" i="5" a="1"/>
  <c r="R2195" i="5" s="1"/>
  <c r="R2196" i="5" a="1"/>
  <c r="R2196" i="5" s="1"/>
  <c r="R2197" i="5" a="1"/>
  <c r="R2197" i="5" s="1"/>
  <c r="R2198" i="5" a="1"/>
  <c r="R2198" i="5" s="1"/>
  <c r="R2199" i="5" a="1"/>
  <c r="R2199" i="5" s="1"/>
  <c r="R2200" i="5" a="1"/>
  <c r="R2200" i="5" s="1"/>
  <c r="R2201" i="5" a="1"/>
  <c r="R2201" i="5" s="1"/>
  <c r="R2202" i="5" a="1"/>
  <c r="R2202" i="5" s="1"/>
  <c r="R2203" i="5" a="1"/>
  <c r="R2203" i="5" s="1"/>
  <c r="R2204" i="5" a="1"/>
  <c r="R2204" i="5" s="1"/>
  <c r="R2205" i="5" a="1"/>
  <c r="R2205" i="5" s="1"/>
  <c r="R2206" i="5" a="1"/>
  <c r="R2206" i="5" s="1"/>
  <c r="R2207" i="5" a="1"/>
  <c r="R2207" i="5" s="1"/>
  <c r="R2208" i="5" a="1"/>
  <c r="R2208" i="5" s="1"/>
  <c r="R2209" i="5" a="1"/>
  <c r="R2209" i="5" s="1"/>
  <c r="R2210" i="5" a="1"/>
  <c r="R2210" i="5" s="1"/>
  <c r="R2211" i="5" a="1"/>
  <c r="R2211" i="5" s="1"/>
  <c r="R2212" i="5" a="1"/>
  <c r="R2212" i="5" s="1"/>
  <c r="R2213" i="5" a="1"/>
  <c r="R2213" i="5" s="1"/>
  <c r="R2214" i="5" a="1"/>
  <c r="R2214" i="5" s="1"/>
  <c r="R2215" i="5" a="1"/>
  <c r="R2215" i="5" s="1"/>
  <c r="R2216" i="5" a="1"/>
  <c r="R2216" i="5" s="1"/>
  <c r="R2217" i="5" a="1"/>
  <c r="R2217" i="5" s="1"/>
  <c r="R2218" i="5" a="1"/>
  <c r="R2218" i="5" s="1"/>
  <c r="R2219" i="5" a="1"/>
  <c r="R2219" i="5" s="1"/>
  <c r="R2220" i="5" a="1"/>
  <c r="R2220" i="5" s="1"/>
  <c r="R2221" i="5" a="1"/>
  <c r="R2221" i="5" s="1"/>
  <c r="R2222" i="5" a="1"/>
  <c r="R2222" i="5" s="1"/>
  <c r="R2223" i="5" a="1"/>
  <c r="R2223" i="5" s="1"/>
  <c r="R2224" i="5" a="1"/>
  <c r="R2224" i="5" s="1"/>
  <c r="R2225" i="5" a="1"/>
  <c r="R2225" i="5" s="1"/>
  <c r="R2226" i="5" a="1"/>
  <c r="R2226" i="5" s="1"/>
  <c r="R2227" i="5" a="1"/>
  <c r="R2227" i="5" s="1"/>
  <c r="R2228" i="5" a="1"/>
  <c r="R2228" i="5" s="1"/>
  <c r="R2229" i="5" a="1"/>
  <c r="R2229" i="5" s="1"/>
  <c r="R2230" i="5" a="1"/>
  <c r="R2230" i="5"/>
  <c r="R2231" i="5" a="1"/>
  <c r="R2231" i="5" s="1"/>
  <c r="R2232" i="5" a="1"/>
  <c r="R2232" i="5" s="1"/>
  <c r="R2233" i="5" a="1"/>
  <c r="R2233" i="5" s="1"/>
  <c r="R2234" i="5" a="1"/>
  <c r="R2234" i="5" s="1"/>
  <c r="R2235" i="5" a="1"/>
  <c r="R2235" i="5" s="1"/>
  <c r="R2236" i="5" a="1"/>
  <c r="R2236" i="5" s="1"/>
  <c r="R2237" i="5" a="1"/>
  <c r="R2237" i="5" s="1"/>
  <c r="R2238" i="5" a="1"/>
  <c r="R2238" i="5" s="1"/>
  <c r="R2239" i="5" a="1"/>
  <c r="R2239" i="5" s="1"/>
  <c r="R2240" i="5" a="1"/>
  <c r="R2240" i="5" s="1"/>
  <c r="R2241" i="5" a="1"/>
  <c r="R2241" i="5" s="1"/>
  <c r="R2242" i="5" a="1"/>
  <c r="R2242" i="5" s="1"/>
  <c r="R2243" i="5" a="1"/>
  <c r="R2243" i="5" s="1"/>
  <c r="R2244" i="5" a="1"/>
  <c r="R2244" i="5" s="1"/>
  <c r="R2245" i="5" a="1"/>
  <c r="R2245" i="5" s="1"/>
  <c r="R2246" i="5" a="1"/>
  <c r="R2246" i="5" s="1"/>
  <c r="R2247" i="5" a="1"/>
  <c r="R2247" i="5" s="1"/>
  <c r="R2248" i="5" a="1"/>
  <c r="R2248" i="5" s="1"/>
  <c r="R2249" i="5" a="1"/>
  <c r="R2249" i="5" s="1"/>
  <c r="R2250" i="5" a="1"/>
  <c r="R2250" i="5" s="1"/>
  <c r="R2251" i="5" a="1"/>
  <c r="R2251" i="5" s="1"/>
  <c r="R2252" i="5" a="1"/>
  <c r="R2252" i="5" s="1"/>
  <c r="R2253" i="5" a="1"/>
  <c r="R2253" i="5" s="1"/>
  <c r="R2254" i="5" a="1"/>
  <c r="R2254" i="5" s="1"/>
  <c r="R2255" i="5" a="1"/>
  <c r="R2255" i="5" s="1"/>
  <c r="R2256" i="5" a="1"/>
  <c r="R2256" i="5" s="1"/>
  <c r="R2257" i="5" a="1"/>
  <c r="R2257" i="5" s="1"/>
  <c r="R2258" i="5" a="1"/>
  <c r="R2258" i="5" s="1"/>
  <c r="R2259" i="5" a="1"/>
  <c r="R2259" i="5" s="1"/>
  <c r="R2260" i="5" a="1"/>
  <c r="R2260" i="5" s="1"/>
  <c r="R2261" i="5" a="1"/>
  <c r="R2261" i="5" s="1"/>
  <c r="R2262" i="5" a="1"/>
  <c r="R2262" i="5" s="1"/>
  <c r="R2263" i="5" a="1"/>
  <c r="R2263" i="5" s="1"/>
  <c r="R2264" i="5" a="1"/>
  <c r="R2264" i="5" s="1"/>
  <c r="R2265" i="5" a="1"/>
  <c r="R2265" i="5" s="1"/>
  <c r="R2266" i="5" a="1"/>
  <c r="R2266" i="5" s="1"/>
  <c r="R2267" i="5" a="1"/>
  <c r="R2267" i="5" s="1"/>
  <c r="R2268" i="5" a="1"/>
  <c r="R2268" i="5" s="1"/>
  <c r="R2269" i="5" a="1"/>
  <c r="R2269" i="5" s="1"/>
  <c r="R2270" i="5" a="1"/>
  <c r="R2270" i="5" s="1"/>
  <c r="R2271" i="5" a="1"/>
  <c r="R2271" i="5" s="1"/>
  <c r="R2272" i="5" a="1"/>
  <c r="R2272" i="5" s="1"/>
  <c r="R2273" i="5" a="1"/>
  <c r="R2273" i="5" s="1"/>
  <c r="R2274" i="5" a="1"/>
  <c r="R2274" i="5" s="1"/>
  <c r="R2275" i="5" a="1"/>
  <c r="R2275" i="5" s="1"/>
  <c r="R2276" i="5" a="1"/>
  <c r="R2276" i="5" s="1"/>
  <c r="R2277" i="5" a="1"/>
  <c r="R2277" i="5" s="1"/>
  <c r="R2278" i="5" a="1"/>
  <c r="R2278" i="5" s="1"/>
  <c r="R2279" i="5" a="1"/>
  <c r="R2279" i="5" s="1"/>
  <c r="R2280" i="5" a="1"/>
  <c r="R2280" i="5" s="1"/>
  <c r="R2281" i="5" a="1"/>
  <c r="R2281" i="5" s="1"/>
  <c r="R2282" i="5" a="1"/>
  <c r="R2282" i="5" s="1"/>
  <c r="R2283" i="5" a="1"/>
  <c r="R2283" i="5" s="1"/>
  <c r="R2284" i="5" a="1"/>
  <c r="R2284" i="5" s="1"/>
  <c r="R2285" i="5" a="1"/>
  <c r="R2285" i="5" s="1"/>
  <c r="R2286" i="5" a="1"/>
  <c r="R2286" i="5" s="1"/>
  <c r="R2287" i="5" a="1"/>
  <c r="R2287" i="5" s="1"/>
  <c r="R2288" i="5" a="1"/>
  <c r="R2288" i="5"/>
  <c r="R2289" i="5" a="1"/>
  <c r="R2289" i="5" s="1"/>
  <c r="R2290" i="5" a="1"/>
  <c r="R2290" i="5" s="1"/>
  <c r="R2291" i="5" a="1"/>
  <c r="R2291" i="5" s="1"/>
  <c r="R2292" i="5" a="1"/>
  <c r="R2292" i="5" s="1"/>
  <c r="R2293" i="5" a="1"/>
  <c r="R2293" i="5" s="1"/>
  <c r="R2294" i="5" a="1"/>
  <c r="R2294" i="5" s="1"/>
  <c r="R2295" i="5" a="1"/>
  <c r="R2295" i="5" s="1"/>
  <c r="R2296" i="5" a="1"/>
  <c r="R2296" i="5" s="1"/>
  <c r="R2297" i="5" a="1"/>
  <c r="R2297" i="5" s="1"/>
  <c r="R2298" i="5" a="1"/>
  <c r="R2298" i="5" s="1"/>
  <c r="R2299" i="5" a="1"/>
  <c r="R2299" i="5" s="1"/>
  <c r="R2300" i="5" a="1"/>
  <c r="R2300" i="5" s="1"/>
  <c r="R2301" i="5" a="1"/>
  <c r="R2301" i="5" s="1"/>
  <c r="R2302" i="5" a="1"/>
  <c r="R2302" i="5" s="1"/>
  <c r="R2303" i="5" a="1"/>
  <c r="R2303" i="5" s="1"/>
  <c r="R2304" i="5" a="1"/>
  <c r="R2304" i="5" s="1"/>
  <c r="R2305" i="5" a="1"/>
  <c r="R2305" i="5" s="1"/>
  <c r="R2306" i="5" a="1"/>
  <c r="R2306" i="5" s="1"/>
  <c r="R2307" i="5" a="1"/>
  <c r="R2307" i="5" s="1"/>
  <c r="R2308" i="5" a="1"/>
  <c r="R2308" i="5" s="1"/>
  <c r="R2309" i="5" a="1"/>
  <c r="R2309" i="5" s="1"/>
  <c r="R2310" i="5" a="1"/>
  <c r="R2310" i="5" s="1"/>
  <c r="R2311" i="5" a="1"/>
  <c r="R2311" i="5" s="1"/>
  <c r="R2312" i="5" a="1"/>
  <c r="R2312" i="5" s="1"/>
  <c r="R2313" i="5" a="1"/>
  <c r="R2313" i="5" s="1"/>
  <c r="R2314" i="5" a="1"/>
  <c r="R2314" i="5" s="1"/>
  <c r="R2315" i="5" a="1"/>
  <c r="R2315" i="5" s="1"/>
  <c r="R2316" i="5" a="1"/>
  <c r="R2316" i="5" s="1"/>
  <c r="R2317" i="5" a="1"/>
  <c r="R2317" i="5" s="1"/>
  <c r="R2318" i="5" a="1"/>
  <c r="R2318" i="5" s="1"/>
  <c r="R2319" i="5" a="1"/>
  <c r="R2319" i="5" s="1"/>
  <c r="R2320" i="5" a="1"/>
  <c r="R2320" i="5" s="1"/>
  <c r="R2321" i="5" a="1"/>
  <c r="R2321" i="5" s="1"/>
  <c r="R2322" i="5" a="1"/>
  <c r="R2322" i="5" s="1"/>
  <c r="R2323" i="5" a="1"/>
  <c r="R2323" i="5" s="1"/>
  <c r="R2324" i="5" a="1"/>
  <c r="R2324" i="5" s="1"/>
  <c r="R2325" i="5" a="1"/>
  <c r="R2325" i="5" s="1"/>
  <c r="R2326" i="5" a="1"/>
  <c r="R2326" i="5" s="1"/>
  <c r="R2327" i="5" a="1"/>
  <c r="R2327" i="5" s="1"/>
  <c r="R2328" i="5" a="1"/>
  <c r="R2328" i="5"/>
  <c r="R2329" i="5" a="1"/>
  <c r="R2329" i="5" s="1"/>
  <c r="R2330" i="5" a="1"/>
  <c r="R2330" i="5" s="1"/>
  <c r="R2331" i="5" a="1"/>
  <c r="R2331" i="5" s="1"/>
  <c r="R2332" i="5" a="1"/>
  <c r="R2332" i="5" s="1"/>
  <c r="R2333" i="5" a="1"/>
  <c r="R2333" i="5" s="1"/>
  <c r="R2334" i="5" a="1"/>
  <c r="R2334" i="5" s="1"/>
  <c r="R2335" i="5" a="1"/>
  <c r="R2335" i="5" s="1"/>
  <c r="R2336" i="5" a="1"/>
  <c r="R2336" i="5" s="1"/>
  <c r="R2337" i="5" a="1"/>
  <c r="R2337" i="5" s="1"/>
  <c r="R2338" i="5" a="1"/>
  <c r="R2338" i="5" s="1"/>
  <c r="R2339" i="5" a="1"/>
  <c r="R2339" i="5" s="1"/>
  <c r="R2340" i="5" a="1"/>
  <c r="R2340" i="5" s="1"/>
  <c r="R2341" i="5" a="1"/>
  <c r="R2341" i="5" s="1"/>
  <c r="R2342" i="5" a="1"/>
  <c r="R2342" i="5"/>
  <c r="R2343" i="5" a="1"/>
  <c r="R2343" i="5" s="1"/>
  <c r="R2344" i="5" a="1"/>
  <c r="R2344" i="5" s="1"/>
  <c r="R2345" i="5" a="1"/>
  <c r="R2345" i="5" s="1"/>
  <c r="R2346" i="5" a="1"/>
  <c r="R2346" i="5" s="1"/>
  <c r="R2347" i="5" a="1"/>
  <c r="R2347" i="5" s="1"/>
  <c r="R2348" i="5" a="1"/>
  <c r="R2348" i="5" s="1"/>
  <c r="R2349" i="5" a="1"/>
  <c r="R2349" i="5" s="1"/>
  <c r="R2350" i="5" a="1"/>
  <c r="R2350" i="5" s="1"/>
  <c r="R2351" i="5" a="1"/>
  <c r="R2351" i="5" s="1"/>
  <c r="R2352" i="5" a="1"/>
  <c r="R2352" i="5" s="1"/>
  <c r="R2353" i="5" a="1"/>
  <c r="R2353" i="5" s="1"/>
  <c r="R2354" i="5" a="1"/>
  <c r="R2354" i="5" s="1"/>
  <c r="R2355" i="5" a="1"/>
  <c r="R2355" i="5" s="1"/>
  <c r="R2356" i="5" a="1"/>
  <c r="R2356" i="5" s="1"/>
  <c r="R2357" i="5" a="1"/>
  <c r="R2357" i="5" s="1"/>
  <c r="R2358" i="5" a="1"/>
  <c r="R2358" i="5" s="1"/>
  <c r="R2359" i="5" a="1"/>
  <c r="R2359" i="5" s="1"/>
  <c r="R2360" i="5" a="1"/>
  <c r="R2360" i="5" s="1"/>
  <c r="R2361" i="5" a="1"/>
  <c r="R2361" i="5" s="1"/>
  <c r="R2362" i="5" a="1"/>
  <c r="R2362" i="5" s="1"/>
  <c r="R2363" i="5" a="1"/>
  <c r="R2363" i="5" s="1"/>
  <c r="R2364" i="5" a="1"/>
  <c r="R2364" i="5" s="1"/>
  <c r="R2365" i="5" a="1"/>
  <c r="R2365" i="5" s="1"/>
  <c r="R2366" i="5" a="1"/>
  <c r="R2366" i="5" s="1"/>
  <c r="R2367" i="5" a="1"/>
  <c r="R2367" i="5" s="1"/>
  <c r="R2368" i="5" a="1"/>
  <c r="R2368" i="5" s="1"/>
  <c r="R2369" i="5" a="1"/>
  <c r="R2369" i="5" s="1"/>
  <c r="R2370" i="5" a="1"/>
  <c r="R2370" i="5" s="1"/>
  <c r="R2371" i="5" a="1"/>
  <c r="R2371" i="5" s="1"/>
  <c r="R2372" i="5" a="1"/>
  <c r="R2372" i="5" s="1"/>
  <c r="R2373" i="5" a="1"/>
  <c r="R2373" i="5" s="1"/>
  <c r="R2374" i="5" a="1"/>
  <c r="R2374" i="5" s="1"/>
  <c r="R2375" i="5" a="1"/>
  <c r="R2375" i="5" s="1"/>
  <c r="R2376" i="5" a="1"/>
  <c r="R2376" i="5" s="1"/>
  <c r="R2377" i="5" a="1"/>
  <c r="R2377" i="5" s="1"/>
  <c r="R2378" i="5" a="1"/>
  <c r="R2378" i="5" s="1"/>
  <c r="R2379" i="5" a="1"/>
  <c r="R2379" i="5" s="1"/>
  <c r="R2380" i="5" a="1"/>
  <c r="R2380" i="5" s="1"/>
  <c r="R2381" i="5" a="1"/>
  <c r="R2381" i="5" s="1"/>
  <c r="R2382" i="5" a="1"/>
  <c r="R2382" i="5" s="1"/>
  <c r="R2383" i="5" a="1"/>
  <c r="R2383" i="5" s="1"/>
  <c r="R2384" i="5" a="1"/>
  <c r="R2384" i="5" s="1"/>
  <c r="R2385" i="5" a="1"/>
  <c r="R2385" i="5" s="1"/>
  <c r="R2386" i="5" a="1"/>
  <c r="R2386" i="5" s="1"/>
  <c r="R2387" i="5" a="1"/>
  <c r="R2387" i="5" s="1"/>
  <c r="R2388" i="5" a="1"/>
  <c r="R2388" i="5" s="1"/>
  <c r="R2389" i="5" a="1"/>
  <c r="R2389" i="5" s="1"/>
  <c r="R2390" i="5" a="1"/>
  <c r="R2390" i="5" s="1"/>
  <c r="R2391" i="5" a="1"/>
  <c r="R2391" i="5" s="1"/>
  <c r="R2392" i="5" a="1"/>
  <c r="R2392" i="5" s="1"/>
  <c r="R2393" i="5" a="1"/>
  <c r="R2393" i="5" s="1"/>
  <c r="R2394" i="5" a="1"/>
  <c r="R2394" i="5" s="1"/>
  <c r="R2395" i="5" a="1"/>
  <c r="R2395" i="5" s="1"/>
  <c r="R2396" i="5" a="1"/>
  <c r="R2396" i="5" s="1"/>
  <c r="R2397" i="5" a="1"/>
  <c r="R2397" i="5" s="1"/>
  <c r="R2398" i="5" a="1"/>
  <c r="R2398" i="5" s="1"/>
  <c r="R2399" i="5" a="1"/>
  <c r="R2399" i="5" s="1"/>
  <c r="R2400" i="5" a="1"/>
  <c r="R2400" i="5" s="1"/>
  <c r="R2401" i="5" a="1"/>
  <c r="R2401" i="5" s="1"/>
  <c r="R2402" i="5" a="1"/>
  <c r="R2402" i="5" s="1"/>
  <c r="R2403" i="5" a="1"/>
  <c r="R2403" i="5" s="1"/>
  <c r="R2404" i="5" a="1"/>
  <c r="R2404" i="5" s="1"/>
  <c r="R2405" i="5" a="1"/>
  <c r="R2405" i="5" s="1"/>
  <c r="R2406" i="5" a="1"/>
  <c r="R2406" i="5" s="1"/>
  <c r="R2407" i="5" a="1"/>
  <c r="R2407" i="5" s="1"/>
  <c r="R2408" i="5" a="1"/>
  <c r="R2408" i="5" s="1"/>
  <c r="R2409" i="5" a="1"/>
  <c r="R2409" i="5" s="1"/>
  <c r="R2410" i="5" a="1"/>
  <c r="R2410" i="5" s="1"/>
  <c r="R2411" i="5" a="1"/>
  <c r="R2411" i="5" s="1"/>
  <c r="R2412" i="5" a="1"/>
  <c r="R2412" i="5" s="1"/>
  <c r="R2413" i="5" a="1"/>
  <c r="R2413" i="5" s="1"/>
  <c r="R2414" i="5" a="1"/>
  <c r="R2414" i="5" s="1"/>
  <c r="R2415" i="5" a="1"/>
  <c r="R2415" i="5" s="1"/>
  <c r="R2416" i="5" a="1"/>
  <c r="R2416" i="5" s="1"/>
  <c r="R2417" i="5" a="1"/>
  <c r="R2417" i="5" s="1"/>
  <c r="R2418" i="5" a="1"/>
  <c r="R2418" i="5" s="1"/>
  <c r="R2419" i="5" a="1"/>
  <c r="R2419" i="5" s="1"/>
  <c r="R2420" i="5" a="1"/>
  <c r="R2420" i="5" s="1"/>
  <c r="R2421" i="5" a="1"/>
  <c r="R2421" i="5" s="1"/>
  <c r="R2422" i="5" a="1"/>
  <c r="R2422" i="5" s="1"/>
  <c r="R2423" i="5" a="1"/>
  <c r="R2423" i="5" s="1"/>
  <c r="R2424" i="5" a="1"/>
  <c r="R2424" i="5" s="1"/>
  <c r="R2425" i="5" a="1"/>
  <c r="R2425" i="5" s="1"/>
  <c r="R2426" i="5" a="1"/>
  <c r="R2426" i="5" s="1"/>
  <c r="R2427" i="5" a="1"/>
  <c r="R2427" i="5" s="1"/>
  <c r="R2428" i="5" a="1"/>
  <c r="R2428" i="5" s="1"/>
  <c r="R2429" i="5" a="1"/>
  <c r="R2429" i="5" s="1"/>
  <c r="R2430" i="5" a="1"/>
  <c r="R2430" i="5" s="1"/>
  <c r="R2431" i="5" a="1"/>
  <c r="R2431" i="5" s="1"/>
  <c r="R2432" i="5" a="1"/>
  <c r="R2432" i="5" s="1"/>
  <c r="R2433" i="5" a="1"/>
  <c r="R2433" i="5" s="1"/>
  <c r="R2434" i="5" a="1"/>
  <c r="R2434" i="5" s="1"/>
  <c r="R2435" i="5" a="1"/>
  <c r="R2435" i="5" s="1"/>
  <c r="R2436" i="5" a="1"/>
  <c r="R2436" i="5" s="1"/>
  <c r="R2437" i="5" a="1"/>
  <c r="R2437" i="5" s="1"/>
  <c r="R2438" i="5" a="1"/>
  <c r="R2438" i="5" s="1"/>
  <c r="R2439" i="5" a="1"/>
  <c r="R2439" i="5" s="1"/>
  <c r="R2440" i="5" a="1"/>
  <c r="R2440" i="5"/>
  <c r="R2441" i="5" a="1"/>
  <c r="R2441" i="5" s="1"/>
  <c r="R2442" i="5" a="1"/>
  <c r="R2442" i="5" s="1"/>
  <c r="R2443" i="5" a="1"/>
  <c r="R2443" i="5" s="1"/>
  <c r="R2444" i="5" a="1"/>
  <c r="R2444" i="5" s="1"/>
  <c r="R2445" i="5" a="1"/>
  <c r="R2445" i="5" s="1"/>
  <c r="R2446" i="5" a="1"/>
  <c r="R2446" i="5" s="1"/>
  <c r="R2447" i="5" a="1"/>
  <c r="R2447" i="5" s="1"/>
  <c r="R2448" i="5" a="1"/>
  <c r="R2448" i="5" s="1"/>
  <c r="R2449" i="5" a="1"/>
  <c r="R2449" i="5" s="1"/>
  <c r="R2450" i="5" a="1"/>
  <c r="R2450" i="5" s="1"/>
  <c r="R2451" i="5" a="1"/>
  <c r="R2451" i="5" s="1"/>
  <c r="R2452" i="5" a="1"/>
  <c r="R2452" i="5" s="1"/>
  <c r="R2453" i="5" a="1"/>
  <c r="R2453" i="5" s="1"/>
  <c r="R2454" i="5" a="1"/>
  <c r="R2454" i="5" s="1"/>
  <c r="R2455" i="5" a="1"/>
  <c r="R2455" i="5" s="1"/>
  <c r="R2456" i="5" a="1"/>
  <c r="R2456" i="5" s="1"/>
  <c r="R2457" i="5" a="1"/>
  <c r="R2457" i="5" s="1"/>
  <c r="R2458" i="5" a="1"/>
  <c r="R2458" i="5" s="1"/>
  <c r="R2459" i="5" a="1"/>
  <c r="R2459" i="5" s="1"/>
  <c r="R2460" i="5" a="1"/>
  <c r="R2460" i="5" s="1"/>
  <c r="R2461" i="5" a="1"/>
  <c r="R2461" i="5" s="1"/>
  <c r="R2462" i="5" a="1"/>
  <c r="R2462" i="5" s="1"/>
  <c r="R2463" i="5" a="1"/>
  <c r="R2463" i="5" s="1"/>
  <c r="R2464" i="5" a="1"/>
  <c r="R2464" i="5" s="1"/>
  <c r="R2465" i="5" a="1"/>
  <c r="R2465" i="5" s="1"/>
  <c r="R2466" i="5" a="1"/>
  <c r="R2466" i="5" s="1"/>
  <c r="R2467" i="5" a="1"/>
  <c r="R2467" i="5" s="1"/>
  <c r="R2468" i="5" a="1"/>
  <c r="R2468" i="5" s="1"/>
  <c r="R2469" i="5" a="1"/>
  <c r="R2469" i="5" s="1"/>
  <c r="R2470" i="5" a="1"/>
  <c r="R2470" i="5" s="1"/>
  <c r="R2471" i="5" a="1"/>
  <c r="R2471" i="5" s="1"/>
  <c r="R2472" i="5" a="1"/>
  <c r="R2472" i="5" s="1"/>
  <c r="R2473" i="5" a="1"/>
  <c r="R2473" i="5" s="1"/>
  <c r="R2474" i="5" a="1"/>
  <c r="R2474" i="5" s="1"/>
  <c r="R2475" i="5" a="1"/>
  <c r="R2475" i="5" s="1"/>
  <c r="R2476" i="5" a="1"/>
  <c r="R2476" i="5" s="1"/>
  <c r="R2477" i="5" a="1"/>
  <c r="R2477" i="5" s="1"/>
  <c r="R2478" i="5" a="1"/>
  <c r="R2478" i="5" s="1"/>
  <c r="R2479" i="5" a="1"/>
  <c r="R2479" i="5" s="1"/>
  <c r="R2480" i="5" a="1"/>
  <c r="R2480" i="5" s="1"/>
  <c r="R2481" i="5" a="1"/>
  <c r="R2481" i="5" s="1"/>
  <c r="R2482" i="5" a="1"/>
  <c r="R2482" i="5" s="1"/>
  <c r="R2483" i="5" a="1"/>
  <c r="R2483" i="5" s="1"/>
  <c r="R2484" i="5" a="1"/>
  <c r="R2484" i="5" s="1"/>
  <c r="R2485" i="5" a="1"/>
  <c r="R2485" i="5" s="1"/>
  <c r="R2486" i="5" a="1"/>
  <c r="R2486" i="5" s="1"/>
  <c r="R2487" i="5" a="1"/>
  <c r="R2487" i="5" s="1"/>
  <c r="R2488" i="5" a="1"/>
  <c r="R2488" i="5"/>
  <c r="R2489" i="5" a="1"/>
  <c r="R2489" i="5" s="1"/>
  <c r="R2490" i="5" a="1"/>
  <c r="R2490" i="5" s="1"/>
  <c r="R2491" i="5" a="1"/>
  <c r="R2491" i="5" s="1"/>
  <c r="R2492" i="5" a="1"/>
  <c r="R2492" i="5" s="1"/>
  <c r="R2493" i="5" a="1"/>
  <c r="R2493" i="5" s="1"/>
  <c r="R2494" i="5" a="1"/>
  <c r="R2494" i="5" s="1"/>
  <c r="R2495" i="5" a="1"/>
  <c r="R2495" i="5" s="1"/>
  <c r="R2496" i="5" a="1"/>
  <c r="R2496" i="5" s="1"/>
  <c r="R2497" i="5" a="1"/>
  <c r="R2497" i="5" s="1"/>
  <c r="R2498" i="5" a="1"/>
  <c r="R2498" i="5" s="1"/>
  <c r="R2499" i="5" a="1"/>
  <c r="R2499" i="5" s="1"/>
  <c r="R2500" i="5" a="1"/>
  <c r="R2500" i="5" s="1"/>
  <c r="R2501" i="5" a="1"/>
  <c r="R2501" i="5" s="1"/>
  <c r="R2502" i="5" a="1"/>
  <c r="R2502" i="5" s="1"/>
  <c r="R2503" i="5" a="1"/>
  <c r="R2503" i="5" s="1"/>
  <c r="R2504" i="5" a="1"/>
  <c r="R2504" i="5" s="1"/>
  <c r="R2505" i="5" a="1"/>
  <c r="R2505" i="5" s="1"/>
  <c r="R2506" i="5" a="1"/>
  <c r="R2506" i="5" s="1"/>
  <c r="R2507" i="5" a="1"/>
  <c r="R2507" i="5" s="1"/>
  <c r="R2508" i="5" a="1"/>
  <c r="R2508" i="5" s="1"/>
  <c r="R2509" i="5" a="1"/>
  <c r="R2509" i="5" s="1"/>
  <c r="R2510" i="5" a="1"/>
  <c r="R2510" i="5"/>
  <c r="R2511" i="5" a="1"/>
  <c r="R2511" i="5" s="1"/>
  <c r="R2512" i="5" a="1"/>
  <c r="R2512" i="5" s="1"/>
  <c r="R2513" i="5" a="1"/>
  <c r="R2513" i="5" s="1"/>
  <c r="R2514" i="5" a="1"/>
  <c r="R2514" i="5" s="1"/>
  <c r="R2515" i="5" a="1"/>
  <c r="R2515" i="5" s="1"/>
  <c r="R2516" i="5" a="1"/>
  <c r="R2516" i="5" s="1"/>
  <c r="R2517" i="5" a="1"/>
  <c r="R2517" i="5" s="1"/>
  <c r="R2518" i="5" a="1"/>
  <c r="R2518" i="5" s="1"/>
  <c r="R2519" i="5" a="1"/>
  <c r="R2519" i="5" s="1"/>
  <c r="R2520" i="5" a="1"/>
  <c r="R2520" i="5" s="1"/>
  <c r="R2521" i="5" a="1"/>
  <c r="R2521" i="5" s="1"/>
  <c r="R2522" i="5" a="1"/>
  <c r="R2522" i="5" s="1"/>
  <c r="R2523" i="5" a="1"/>
  <c r="R2523" i="5" s="1"/>
  <c r="R2524" i="5" a="1"/>
  <c r="R2524" i="5" s="1"/>
  <c r="R2525" i="5" a="1"/>
  <c r="R2525" i="5" s="1"/>
  <c r="R2526" i="5" a="1"/>
  <c r="R2526" i="5" s="1"/>
  <c r="R2527" i="5" a="1"/>
  <c r="R2527" i="5" s="1"/>
  <c r="R2528" i="5" a="1"/>
  <c r="R2528" i="5" s="1"/>
  <c r="R2529" i="5" a="1"/>
  <c r="R2529" i="5" s="1"/>
  <c r="R2530" i="5" a="1"/>
  <c r="R2530" i="5" s="1"/>
  <c r="R2531" i="5" a="1"/>
  <c r="R2531" i="5" s="1"/>
  <c r="R2532" i="5" a="1"/>
  <c r="R2532" i="5" s="1"/>
  <c r="R2533" i="5" a="1"/>
  <c r="R2533" i="5" s="1"/>
  <c r="R2534" i="5" a="1"/>
  <c r="R2534" i="5" s="1"/>
  <c r="R2535" i="5" a="1"/>
  <c r="R2535" i="5" s="1"/>
  <c r="R2536" i="5" a="1"/>
  <c r="R2536" i="5" s="1"/>
  <c r="R2537" i="5" a="1"/>
  <c r="R2537" i="5" s="1"/>
  <c r="R2538" i="5" a="1"/>
  <c r="R2538" i="5" s="1"/>
  <c r="R2539" i="5" a="1"/>
  <c r="R2539" i="5" s="1"/>
  <c r="R2540" i="5" a="1"/>
  <c r="R2540" i="5" s="1"/>
  <c r="R2541" i="5" a="1"/>
  <c r="R2541" i="5" s="1"/>
  <c r="R2542" i="5" a="1"/>
  <c r="R2542" i="5" s="1"/>
  <c r="R2543" i="5" a="1"/>
  <c r="R2543" i="5" s="1"/>
  <c r="R2544" i="5" a="1"/>
  <c r="R2544" i="5" s="1"/>
  <c r="R2545" i="5" a="1"/>
  <c r="R2545" i="5" s="1"/>
  <c r="R2546" i="5" a="1"/>
  <c r="R2546" i="5" s="1"/>
  <c r="R2547" i="5" a="1"/>
  <c r="R2547" i="5" s="1"/>
  <c r="R2548" i="5" a="1"/>
  <c r="R2548" i="5" s="1"/>
  <c r="R2549" i="5" a="1"/>
  <c r="R2549" i="5" s="1"/>
  <c r="R2550" i="5" a="1"/>
  <c r="R2550" i="5"/>
  <c r="R2551" i="5" a="1"/>
  <c r="R2551" i="5" s="1"/>
  <c r="R2552" i="5" a="1"/>
  <c r="R2552" i="5" s="1"/>
  <c r="R2553" i="5" a="1"/>
  <c r="R2553" i="5" s="1"/>
  <c r="R2554" i="5" a="1"/>
  <c r="R2554" i="5" s="1"/>
  <c r="R2555" i="5" a="1"/>
  <c r="R2555" i="5" s="1"/>
  <c r="R2556" i="5" a="1"/>
  <c r="R2556" i="5" s="1"/>
  <c r="R2557" i="5" a="1"/>
  <c r="R2557" i="5" s="1"/>
  <c r="R2558" i="5" a="1"/>
  <c r="R2558" i="5" s="1"/>
  <c r="R2559" i="5" a="1"/>
  <c r="R2559" i="5" s="1"/>
  <c r="R2560" i="5" a="1"/>
  <c r="R2560" i="5" s="1"/>
  <c r="R2561" i="5" a="1"/>
  <c r="R2561" i="5" s="1"/>
  <c r="R2562" i="5" a="1"/>
  <c r="R2562" i="5" s="1"/>
  <c r="R2563" i="5" a="1"/>
  <c r="R2563" i="5" s="1"/>
  <c r="R2564" i="5" a="1"/>
  <c r="R2564" i="5" s="1"/>
  <c r="R2565" i="5" a="1"/>
  <c r="R2565" i="5" s="1"/>
  <c r="R2566" i="5" a="1"/>
  <c r="R2566" i="5" s="1"/>
  <c r="R2567" i="5" a="1"/>
  <c r="R2567" i="5" s="1"/>
  <c r="R2568" i="5" a="1"/>
  <c r="R2568" i="5"/>
  <c r="R2569" i="5" a="1"/>
  <c r="R2569" i="5" s="1"/>
  <c r="R2570" i="5" a="1"/>
  <c r="R2570" i="5" s="1"/>
  <c r="R2571" i="5" a="1"/>
  <c r="R2571" i="5" s="1"/>
  <c r="R2572" i="5" a="1"/>
  <c r="R2572" i="5" s="1"/>
  <c r="R2573" i="5" a="1"/>
  <c r="R2573" i="5" s="1"/>
  <c r="R2574" i="5" a="1"/>
  <c r="R2574" i="5" s="1"/>
  <c r="R2575" i="5" a="1"/>
  <c r="R2575" i="5" s="1"/>
  <c r="R2576" i="5" a="1"/>
  <c r="R2576" i="5" s="1"/>
  <c r="R2577" i="5" a="1"/>
  <c r="R2577" i="5" s="1"/>
  <c r="R2578" i="5" a="1"/>
  <c r="R2578" i="5" s="1"/>
  <c r="R2579" i="5" a="1"/>
  <c r="R2579" i="5" s="1"/>
  <c r="R2580" i="5" a="1"/>
  <c r="R2580" i="5" s="1"/>
  <c r="R2581" i="5" a="1"/>
  <c r="R2581" i="5" s="1"/>
  <c r="R2582" i="5" a="1"/>
  <c r="R2582" i="5" s="1"/>
  <c r="R2583" i="5" a="1"/>
  <c r="R2583" i="5" s="1"/>
  <c r="R2584" i="5" a="1"/>
  <c r="R2584" i="5" s="1"/>
  <c r="R2585" i="5" a="1"/>
  <c r="R2585" i="5" s="1"/>
  <c r="R2586" i="5" a="1"/>
  <c r="R2586" i="5" s="1"/>
  <c r="R2587" i="5" a="1"/>
  <c r="R2587" i="5" s="1"/>
  <c r="R2588" i="5" a="1"/>
  <c r="R2588" i="5" s="1"/>
  <c r="R2589" i="5" a="1"/>
  <c r="R2589" i="5" s="1"/>
  <c r="R2590" i="5" a="1"/>
  <c r="R2590" i="5" s="1"/>
  <c r="R2591" i="5" a="1"/>
  <c r="R2591" i="5" s="1"/>
  <c r="R2592" i="5" a="1"/>
  <c r="R2592" i="5" s="1"/>
  <c r="R2593" i="5" a="1"/>
  <c r="R2593" i="5" s="1"/>
  <c r="R2594" i="5" a="1"/>
  <c r="R2594" i="5" s="1"/>
  <c r="R2595" i="5" a="1"/>
  <c r="R2595" i="5" s="1"/>
  <c r="R2596" i="5" a="1"/>
  <c r="R2596" i="5" s="1"/>
  <c r="R2597" i="5" a="1"/>
  <c r="R2597" i="5" s="1"/>
  <c r="R2598" i="5" a="1"/>
  <c r="R2598" i="5" s="1"/>
  <c r="R2599" i="5" a="1"/>
  <c r="R2599" i="5" s="1"/>
  <c r="R2600" i="5" a="1"/>
  <c r="R2600" i="5" s="1"/>
  <c r="R2601" i="5" a="1"/>
  <c r="R2601" i="5" s="1"/>
  <c r="R2602" i="5" a="1"/>
  <c r="R2602" i="5" s="1"/>
  <c r="R2603" i="5" a="1"/>
  <c r="R2603" i="5" s="1"/>
  <c r="R2604" i="5" a="1"/>
  <c r="R2604" i="5" s="1"/>
  <c r="R2605" i="5" a="1"/>
  <c r="R2605" i="5" s="1"/>
  <c r="R2606" i="5" a="1"/>
  <c r="R2606" i="5" s="1"/>
  <c r="R2607" i="5" a="1"/>
  <c r="R2607" i="5" s="1"/>
  <c r="R2608" i="5" a="1"/>
  <c r="R2608" i="5" s="1"/>
  <c r="R2609" i="5" a="1"/>
  <c r="R2609" i="5" s="1"/>
  <c r="R2610" i="5" a="1"/>
  <c r="R2610" i="5" s="1"/>
  <c r="R2611" i="5" a="1"/>
  <c r="R2611" i="5" s="1"/>
  <c r="R2612" i="5" a="1"/>
  <c r="R2612" i="5" s="1"/>
  <c r="R2613" i="5" a="1"/>
  <c r="R2613" i="5" s="1"/>
  <c r="R2614" i="5" a="1"/>
  <c r="R2614" i="5" s="1"/>
  <c r="R2615" i="5" a="1"/>
  <c r="R2615" i="5" s="1"/>
  <c r="R2616" i="5" a="1"/>
  <c r="R2616" i="5" s="1"/>
  <c r="R2617" i="5" a="1"/>
  <c r="R2617" i="5" s="1"/>
  <c r="R2618" i="5" a="1"/>
  <c r="R2618" i="5" s="1"/>
  <c r="R2619" i="5" a="1"/>
  <c r="R2619" i="5" s="1"/>
  <c r="R2620" i="5" a="1"/>
  <c r="R2620" i="5" s="1"/>
  <c r="R2621" i="5" a="1"/>
  <c r="R2621" i="5" s="1"/>
  <c r="R2622" i="5" a="1"/>
  <c r="R2622" i="5" s="1"/>
  <c r="R2623" i="5" a="1"/>
  <c r="R2623" i="5" s="1"/>
  <c r="R2624" i="5" a="1"/>
  <c r="R2624" i="5" s="1"/>
  <c r="R2625" i="5" a="1"/>
  <c r="R2625" i="5" s="1"/>
  <c r="R2626" i="5" a="1"/>
  <c r="R2626" i="5" s="1"/>
  <c r="R2627" i="5" a="1"/>
  <c r="R2627" i="5" s="1"/>
  <c r="R2628" i="5" a="1"/>
  <c r="R2628" i="5" s="1"/>
  <c r="R2629" i="5" a="1"/>
  <c r="R2629" i="5" s="1"/>
  <c r="R2630" i="5" a="1"/>
  <c r="R2630" i="5" s="1"/>
  <c r="R2631" i="5" a="1"/>
  <c r="R2631" i="5" s="1"/>
  <c r="R2632" i="5" a="1"/>
  <c r="R2632" i="5" s="1"/>
  <c r="R2633" i="5" a="1"/>
  <c r="R2633" i="5" s="1"/>
  <c r="R2634" i="5" a="1"/>
  <c r="R2634" i="5" s="1"/>
  <c r="R2635" i="5" a="1"/>
  <c r="R2635" i="5" s="1"/>
  <c r="R2636" i="5" a="1"/>
  <c r="R2636" i="5" s="1"/>
  <c r="R2637" i="5" a="1"/>
  <c r="R2637" i="5" s="1"/>
  <c r="R2638" i="5" a="1"/>
  <c r="R2638" i="5" s="1"/>
  <c r="R2639" i="5" a="1"/>
  <c r="R2639" i="5" s="1"/>
  <c r="R2640" i="5" a="1"/>
  <c r="R2640" i="5" s="1"/>
  <c r="R2641" i="5" a="1"/>
  <c r="R2641" i="5" s="1"/>
  <c r="R2642" i="5" a="1"/>
  <c r="R2642" i="5" s="1"/>
  <c r="R2643" i="5" a="1"/>
  <c r="R2643" i="5" s="1"/>
  <c r="R2644" i="5" a="1"/>
  <c r="R2644" i="5" s="1"/>
  <c r="R2645" i="5" a="1"/>
  <c r="R2645" i="5" s="1"/>
  <c r="R2646" i="5" a="1"/>
  <c r="R2646" i="5" s="1"/>
  <c r="R2647" i="5" a="1"/>
  <c r="R2647" i="5" s="1"/>
  <c r="R2648" i="5" a="1"/>
  <c r="R2648" i="5" s="1"/>
  <c r="R2649" i="5" a="1"/>
  <c r="R2649" i="5" s="1"/>
  <c r="R2650" i="5" a="1"/>
  <c r="R2650" i="5" s="1"/>
  <c r="R2651" i="5" a="1"/>
  <c r="R2651" i="5" s="1"/>
  <c r="R2652" i="5" a="1"/>
  <c r="R2652" i="5" s="1"/>
  <c r="R2653" i="5" a="1"/>
  <c r="R2653" i="5" s="1"/>
  <c r="R2654" i="5" a="1"/>
  <c r="R2654" i="5" s="1"/>
  <c r="R2655" i="5" a="1"/>
  <c r="R2655" i="5" s="1"/>
  <c r="R2656" i="5" a="1"/>
  <c r="R2656" i="5" s="1"/>
  <c r="R2657" i="5" a="1"/>
  <c r="R2657" i="5" s="1"/>
  <c r="R2658" i="5" a="1"/>
  <c r="R2658" i="5" s="1"/>
  <c r="R2659" i="5" a="1"/>
  <c r="R2659" i="5" s="1"/>
  <c r="R2660" i="5" a="1"/>
  <c r="R2660" i="5" s="1"/>
  <c r="R2661" i="5" a="1"/>
  <c r="R2661" i="5" s="1"/>
  <c r="R2662" i="5" a="1"/>
  <c r="R2662" i="5" s="1"/>
  <c r="R2663" i="5" a="1"/>
  <c r="R2663" i="5" s="1"/>
  <c r="R2664" i="5" a="1"/>
  <c r="R2664" i="5" s="1"/>
  <c r="R2665" i="5" a="1"/>
  <c r="R2665" i="5" s="1"/>
  <c r="R2666" i="5" a="1"/>
  <c r="R2666" i="5" s="1"/>
  <c r="R2667" i="5" a="1"/>
  <c r="R2667" i="5" s="1"/>
  <c r="R2668" i="5" a="1"/>
  <c r="R2668" i="5" s="1"/>
  <c r="R2669" i="5" a="1"/>
  <c r="R2669" i="5" s="1"/>
  <c r="R2670" i="5" a="1"/>
  <c r="R2670" i="5" s="1"/>
  <c r="R2671" i="5" a="1"/>
  <c r="R2671" i="5" s="1"/>
  <c r="R2672" i="5" a="1"/>
  <c r="R2672" i="5" s="1"/>
  <c r="R2673" i="5" a="1"/>
  <c r="R2673" i="5" s="1"/>
  <c r="R2674" i="5" a="1"/>
  <c r="R2674" i="5" s="1"/>
  <c r="R2675" i="5" a="1"/>
  <c r="R2675" i="5" s="1"/>
  <c r="R2676" i="5" a="1"/>
  <c r="R2676" i="5" s="1"/>
  <c r="R2677" i="5" a="1"/>
  <c r="R2677" i="5" s="1"/>
  <c r="R2678" i="5" a="1"/>
  <c r="R2678" i="5" s="1"/>
  <c r="R2679" i="5" a="1"/>
  <c r="R2679" i="5" s="1"/>
  <c r="R2680" i="5" a="1"/>
  <c r="R2680" i="5" s="1"/>
  <c r="R2681" i="5" a="1"/>
  <c r="R2681" i="5" s="1"/>
  <c r="R2682" i="5" a="1"/>
  <c r="R2682" i="5" s="1"/>
  <c r="R2683" i="5" a="1"/>
  <c r="R2683" i="5" s="1"/>
  <c r="R2684" i="5" a="1"/>
  <c r="R2684" i="5" s="1"/>
  <c r="R2685" i="5" a="1"/>
  <c r="R2685" i="5" s="1"/>
  <c r="R2686" i="5" a="1"/>
  <c r="R2686" i="5"/>
  <c r="R2687" i="5" a="1"/>
  <c r="R2687" i="5" s="1"/>
  <c r="R2688" i="5" a="1"/>
  <c r="R2688" i="5" s="1"/>
  <c r="R2689" i="5" a="1"/>
  <c r="R2689" i="5" s="1"/>
  <c r="R2690" i="5" a="1"/>
  <c r="R2690" i="5" s="1"/>
  <c r="R2691" i="5" a="1"/>
  <c r="R2691" i="5" s="1"/>
  <c r="R2692" i="5" a="1"/>
  <c r="R2692" i="5" s="1"/>
  <c r="R2693" i="5" a="1"/>
  <c r="R2693" i="5" s="1"/>
  <c r="R2694" i="5" a="1"/>
  <c r="R2694" i="5" s="1"/>
  <c r="R2695" i="5" a="1"/>
  <c r="R2695" i="5" s="1"/>
  <c r="R2696" i="5" a="1"/>
  <c r="R2696" i="5" s="1"/>
  <c r="R2697" i="5" a="1"/>
  <c r="R2697" i="5" s="1"/>
  <c r="R2698" i="5" a="1"/>
  <c r="R2698" i="5" s="1"/>
  <c r="R2699" i="5" a="1"/>
  <c r="R2699" i="5" s="1"/>
  <c r="R2700" i="5" a="1"/>
  <c r="R2700" i="5" s="1"/>
  <c r="R2701" i="5" a="1"/>
  <c r="R2701" i="5" s="1"/>
  <c r="R2702" i="5" a="1"/>
  <c r="R2702" i="5" s="1"/>
  <c r="R2703" i="5" a="1"/>
  <c r="R2703" i="5" s="1"/>
  <c r="R2704" i="5" a="1"/>
  <c r="R2704" i="5" s="1"/>
  <c r="R2705" i="5" a="1"/>
  <c r="R2705" i="5" s="1"/>
  <c r="R2706" i="5" a="1"/>
  <c r="R2706" i="5" s="1"/>
  <c r="R2707" i="5" a="1"/>
  <c r="R2707" i="5" s="1"/>
  <c r="R2708" i="5" a="1"/>
  <c r="R2708" i="5" s="1"/>
  <c r="R2709" i="5" a="1"/>
  <c r="R2709" i="5" s="1"/>
  <c r="R2710" i="5" a="1"/>
  <c r="R2710" i="5" s="1"/>
  <c r="R2711" i="5" a="1"/>
  <c r="R2711" i="5" s="1"/>
  <c r="R2712" i="5" a="1"/>
  <c r="R2712" i="5" s="1"/>
  <c r="R2713" i="5" a="1"/>
  <c r="R2713" i="5" s="1"/>
  <c r="R2714" i="5" a="1"/>
  <c r="R2714" i="5" s="1"/>
  <c r="R2715" i="5" a="1"/>
  <c r="R2715" i="5" s="1"/>
  <c r="R2716" i="5" a="1"/>
  <c r="R2716" i="5" s="1"/>
  <c r="R2717" i="5" a="1"/>
  <c r="R2717" i="5" s="1"/>
  <c r="R2718" i="5" a="1"/>
  <c r="R2718" i="5" s="1"/>
  <c r="R2719" i="5" a="1"/>
  <c r="R2719" i="5" s="1"/>
  <c r="R2720" i="5" a="1"/>
  <c r="R2720" i="5" s="1"/>
  <c r="R2721" i="5" a="1"/>
  <c r="R2721" i="5" s="1"/>
  <c r="R2722" i="5" a="1"/>
  <c r="R2722" i="5" s="1"/>
  <c r="R2723" i="5" a="1"/>
  <c r="R2723" i="5" s="1"/>
  <c r="R2724" i="5" a="1"/>
  <c r="R2724" i="5" s="1"/>
  <c r="R2725" i="5" a="1"/>
  <c r="R2725" i="5" s="1"/>
  <c r="R2726" i="5" a="1"/>
  <c r="R2726" i="5" s="1"/>
  <c r="R2727" i="5" a="1"/>
  <c r="R2727" i="5" s="1"/>
  <c r="R2728" i="5" a="1"/>
  <c r="R2728" i="5"/>
  <c r="R2729" i="5" a="1"/>
  <c r="R2729" i="5" s="1"/>
  <c r="R2730" i="5" a="1"/>
  <c r="R2730" i="5" s="1"/>
  <c r="R2731" i="5" a="1"/>
  <c r="R2731" i="5" s="1"/>
  <c r="R2732" i="5" a="1"/>
  <c r="R2732" i="5" s="1"/>
  <c r="R2733" i="5" a="1"/>
  <c r="R2733" i="5" s="1"/>
  <c r="R2734" i="5" a="1"/>
  <c r="R2734" i="5" s="1"/>
  <c r="R2735" i="5" a="1"/>
  <c r="R2735" i="5" s="1"/>
  <c r="R2736" i="5" a="1"/>
  <c r="R2736" i="5" s="1"/>
  <c r="R2737" i="5" a="1"/>
  <c r="R2737" i="5" s="1"/>
  <c r="R2738" i="5" a="1"/>
  <c r="R2738" i="5"/>
  <c r="R2739" i="5" a="1"/>
  <c r="R2739" i="5" s="1"/>
  <c r="R2740" i="5" a="1"/>
  <c r="R2740" i="5" s="1"/>
  <c r="R2741" i="5" a="1"/>
  <c r="R2741" i="5" s="1"/>
  <c r="R2742" i="5" a="1"/>
  <c r="R2742" i="5" s="1"/>
  <c r="R2743" i="5" a="1"/>
  <c r="R2743" i="5" s="1"/>
  <c r="R2744" i="5" a="1"/>
  <c r="R2744" i="5" s="1"/>
  <c r="R2745" i="5" a="1"/>
  <c r="R2745" i="5" s="1"/>
  <c r="R2746" i="5" a="1"/>
  <c r="R2746" i="5" s="1"/>
  <c r="R2747" i="5" a="1"/>
  <c r="R2747" i="5" s="1"/>
  <c r="R2748" i="5" a="1"/>
  <c r="R2748" i="5" s="1"/>
  <c r="R2749" i="5" a="1"/>
  <c r="R2749" i="5" s="1"/>
  <c r="R2750" i="5" a="1"/>
  <c r="R2750" i="5" s="1"/>
  <c r="R2751" i="5" a="1"/>
  <c r="R2751" i="5" s="1"/>
  <c r="R2752" i="5" a="1"/>
  <c r="R2752" i="5" s="1"/>
  <c r="R2753" i="5" a="1"/>
  <c r="R2753" i="5" s="1"/>
  <c r="R2754" i="5" a="1"/>
  <c r="R2754" i="5" s="1"/>
  <c r="R2755" i="5" a="1"/>
  <c r="R2755" i="5" s="1"/>
  <c r="R2756" i="5" a="1"/>
  <c r="R2756" i="5" s="1"/>
  <c r="R2757" i="5" a="1"/>
  <c r="R2757" i="5" s="1"/>
  <c r="R2758" i="5" a="1"/>
  <c r="R2758" i="5"/>
  <c r="R2759" i="5" a="1"/>
  <c r="R2759" i="5" s="1"/>
  <c r="R2760" i="5" a="1"/>
  <c r="R2760" i="5" s="1"/>
  <c r="R2761" i="5" a="1"/>
  <c r="R2761" i="5" s="1"/>
  <c r="R2762" i="5" a="1"/>
  <c r="R2762" i="5" s="1"/>
  <c r="R2763" i="5" a="1"/>
  <c r="R2763" i="5" s="1"/>
  <c r="R2764" i="5" a="1"/>
  <c r="R2764" i="5"/>
  <c r="R2765" i="5" a="1"/>
  <c r="R2765" i="5" s="1"/>
  <c r="R2766" i="5" a="1"/>
  <c r="R2766" i="5" s="1"/>
  <c r="R2767" i="5" a="1"/>
  <c r="R2767" i="5" s="1"/>
  <c r="R2768" i="5" a="1"/>
  <c r="R2768" i="5" s="1"/>
  <c r="R2769" i="5" a="1"/>
  <c r="R2769" i="5" s="1"/>
  <c r="R2770" i="5" a="1"/>
  <c r="R2770" i="5" s="1"/>
  <c r="R2771" i="5" a="1"/>
  <c r="R2771" i="5" s="1"/>
  <c r="R2772" i="5" a="1"/>
  <c r="R2772" i="5" s="1"/>
  <c r="R2773" i="5" a="1"/>
  <c r="R2773" i="5" s="1"/>
  <c r="R2774" i="5" a="1"/>
  <c r="R2774" i="5" s="1"/>
  <c r="R2775" i="5" a="1"/>
  <c r="R2775" i="5" s="1"/>
  <c r="R2776" i="5" a="1"/>
  <c r="R2776" i="5" s="1"/>
  <c r="R2777" i="5" a="1"/>
  <c r="R2777" i="5" s="1"/>
  <c r="R2778" i="5" a="1"/>
  <c r="R2778" i="5" s="1"/>
  <c r="R2779" i="5" a="1"/>
  <c r="R2779" i="5" s="1"/>
  <c r="R2780" i="5" a="1"/>
  <c r="R2780" i="5" s="1"/>
  <c r="R2781" i="5" a="1"/>
  <c r="R2781" i="5" s="1"/>
  <c r="R2782" i="5" a="1"/>
  <c r="R2782" i="5" s="1"/>
  <c r="R2783" i="5" a="1"/>
  <c r="R2783" i="5" s="1"/>
  <c r="R2784" i="5" a="1"/>
  <c r="R2784" i="5" s="1"/>
  <c r="R2785" i="5" a="1"/>
  <c r="R2785" i="5" s="1"/>
  <c r="R2786" i="5" a="1"/>
  <c r="R2786" i="5" s="1"/>
  <c r="R2787" i="5" a="1"/>
  <c r="R2787" i="5" s="1"/>
  <c r="R2788" i="5" a="1"/>
  <c r="R2788" i="5"/>
  <c r="R2789" i="5" a="1"/>
  <c r="R2789" i="5" s="1"/>
  <c r="R2790" i="5" a="1"/>
  <c r="R2790" i="5" s="1"/>
  <c r="R2791" i="5" a="1"/>
  <c r="R2791" i="5" s="1"/>
  <c r="R2792" i="5" a="1"/>
  <c r="R2792" i="5" s="1"/>
  <c r="R2793" i="5" a="1"/>
  <c r="R2793" i="5" s="1"/>
  <c r="R2794" i="5" a="1"/>
  <c r="R2794" i="5"/>
  <c r="R2795" i="5" a="1"/>
  <c r="R2795" i="5" s="1"/>
  <c r="R2796" i="5" a="1"/>
  <c r="R2796" i="5" s="1"/>
  <c r="R2797" i="5" a="1"/>
  <c r="R2797" i="5" s="1"/>
  <c r="R2798" i="5" a="1"/>
  <c r="R2798" i="5" s="1"/>
  <c r="R2799" i="5" a="1"/>
  <c r="R2799" i="5" s="1"/>
  <c r="R2800" i="5" a="1"/>
  <c r="R2800" i="5" s="1"/>
  <c r="R2801" i="5" a="1"/>
  <c r="R2801" i="5" s="1"/>
  <c r="Q2" i="5"/>
  <c r="Q3" i="5"/>
  <c r="Q4" i="5"/>
  <c r="Q5" i="5"/>
  <c r="Q6" i="5"/>
  <c r="Q7" i="5"/>
  <c r="Q8" i="5"/>
  <c r="Q9" i="5"/>
  <c r="Q10" i="5"/>
  <c r="Q11" i="5"/>
  <c r="Q12" i="5"/>
  <c r="Q13" i="5"/>
  <c r="Q14" i="5"/>
  <c r="Q15" i="5"/>
  <c r="Q16" i="5"/>
  <c r="Q17" i="5"/>
  <c r="Q18" i="5"/>
  <c r="Q19" i="5"/>
  <c r="Q20" i="5"/>
  <c r="Q21" i="5"/>
  <c r="Q22" i="5"/>
  <c r="Q23" i="5"/>
  <c r="Q24" i="5"/>
  <c r="Q25" i="5"/>
  <c r="Q26" i="5"/>
  <c r="Q27" i="5"/>
  <c r="Q28" i="5"/>
  <c r="Q29" i="5"/>
  <c r="Q30" i="5"/>
  <c r="Q31" i="5"/>
  <c r="Q32" i="5"/>
  <c r="Q33" i="5"/>
  <c r="Q34" i="5"/>
  <c r="Q35" i="5"/>
  <c r="Q36" i="5"/>
  <c r="Q37" i="5"/>
  <c r="Q38" i="5"/>
  <c r="Q39" i="5"/>
  <c r="Q40" i="5"/>
  <c r="Q41" i="5"/>
  <c r="Q42" i="5"/>
  <c r="Q43" i="5"/>
  <c r="Q44" i="5"/>
  <c r="Q45" i="5"/>
  <c r="Q46" i="5"/>
  <c r="Q47" i="5"/>
  <c r="Q48" i="5"/>
  <c r="Q49" i="5"/>
  <c r="Q50" i="5"/>
  <c r="Q51" i="5"/>
  <c r="Q52" i="5"/>
  <c r="Q53" i="5"/>
  <c r="Q54" i="5"/>
  <c r="Q55" i="5"/>
  <c r="Q56" i="5"/>
  <c r="Q57" i="5"/>
  <c r="Q58" i="5"/>
  <c r="Q59" i="5"/>
  <c r="Q60" i="5"/>
  <c r="Q61" i="5"/>
  <c r="Q62" i="5"/>
  <c r="Q63" i="5"/>
  <c r="Q64" i="5"/>
  <c r="Q65" i="5"/>
  <c r="Q66" i="5"/>
  <c r="Q67" i="5"/>
  <c r="Q68" i="5"/>
  <c r="Q69" i="5"/>
  <c r="Q70" i="5"/>
  <c r="Q71" i="5"/>
  <c r="Q72" i="5"/>
  <c r="Q73" i="5"/>
  <c r="Q74" i="5"/>
  <c r="Q75" i="5"/>
  <c r="Q76" i="5"/>
  <c r="Q77" i="5"/>
  <c r="Q78" i="5"/>
  <c r="Q79" i="5"/>
  <c r="Q80" i="5"/>
  <c r="Q81" i="5"/>
  <c r="Q82" i="5"/>
  <c r="Q83" i="5"/>
  <c r="Q84" i="5"/>
  <c r="Q85" i="5"/>
  <c r="Q86" i="5"/>
  <c r="Q87" i="5"/>
  <c r="Q88" i="5"/>
  <c r="Q89" i="5"/>
  <c r="Q90" i="5"/>
  <c r="Q91" i="5"/>
  <c r="Q92" i="5"/>
  <c r="Q93" i="5"/>
  <c r="Q94" i="5"/>
  <c r="Q95" i="5"/>
  <c r="Q96" i="5"/>
  <c r="Q97" i="5"/>
  <c r="Q98" i="5"/>
  <c r="Q99" i="5"/>
  <c r="Q100" i="5"/>
  <c r="Q101" i="5"/>
  <c r="Q102" i="5"/>
  <c r="Q103" i="5"/>
  <c r="Q104" i="5"/>
  <c r="Q105" i="5"/>
  <c r="Q106" i="5"/>
  <c r="Q107" i="5"/>
  <c r="Q108" i="5"/>
  <c r="Q109" i="5"/>
  <c r="Q110" i="5"/>
  <c r="Q111" i="5"/>
  <c r="Q112" i="5"/>
  <c r="Q113" i="5"/>
  <c r="Q114" i="5"/>
  <c r="Q115" i="5"/>
  <c r="Q116" i="5"/>
  <c r="Q117" i="5"/>
  <c r="Q118" i="5"/>
  <c r="Q119" i="5"/>
  <c r="Q120" i="5"/>
  <c r="Q121" i="5"/>
  <c r="Q122" i="5"/>
  <c r="Q123" i="5"/>
  <c r="Q124" i="5"/>
  <c r="Q125" i="5"/>
  <c r="Q126" i="5"/>
  <c r="Q127" i="5"/>
  <c r="Q128" i="5"/>
  <c r="Q129" i="5"/>
  <c r="Q130" i="5"/>
  <c r="Q131" i="5"/>
  <c r="Q132" i="5"/>
  <c r="Q133" i="5"/>
  <c r="Q134" i="5"/>
  <c r="Q135" i="5"/>
  <c r="Q136" i="5"/>
  <c r="Q137" i="5"/>
  <c r="Q138" i="5"/>
  <c r="Q139" i="5"/>
  <c r="Q140" i="5"/>
  <c r="Q141" i="5"/>
  <c r="Q142" i="5"/>
  <c r="Q143" i="5"/>
  <c r="Q144" i="5"/>
  <c r="Q145" i="5"/>
  <c r="Q146" i="5"/>
  <c r="Q147" i="5"/>
  <c r="Q148" i="5"/>
  <c r="Q149" i="5"/>
  <c r="Q150" i="5"/>
  <c r="Q151" i="5"/>
  <c r="Q152" i="5"/>
  <c r="Q153" i="5"/>
  <c r="Q154" i="5"/>
  <c r="Q155" i="5"/>
  <c r="Q156" i="5"/>
  <c r="Q157" i="5"/>
  <c r="Q158" i="5"/>
  <c r="Q159" i="5"/>
  <c r="Q160" i="5"/>
  <c r="Q161" i="5"/>
  <c r="Q162" i="5"/>
  <c r="Q163" i="5"/>
  <c r="Q164" i="5"/>
  <c r="Q165" i="5"/>
  <c r="Q166" i="5"/>
  <c r="Q167" i="5"/>
  <c r="Q168" i="5"/>
  <c r="Q169" i="5"/>
  <c r="Q170" i="5"/>
  <c r="Q171" i="5"/>
  <c r="Q172" i="5"/>
  <c r="Q173" i="5"/>
  <c r="Q174" i="5"/>
  <c r="Q175" i="5"/>
  <c r="Q176" i="5"/>
  <c r="Q177" i="5"/>
  <c r="Q178" i="5"/>
  <c r="Q179" i="5"/>
  <c r="Q180" i="5"/>
  <c r="Q181" i="5"/>
  <c r="Q182" i="5"/>
  <c r="Q183" i="5"/>
  <c r="Q184" i="5"/>
  <c r="Q185" i="5"/>
  <c r="Q186" i="5"/>
  <c r="Q187" i="5"/>
  <c r="Q188" i="5"/>
  <c r="Q189" i="5"/>
  <c r="Q190" i="5"/>
  <c r="Q191" i="5"/>
  <c r="Q192" i="5"/>
  <c r="Q193" i="5"/>
  <c r="Q194" i="5"/>
  <c r="Q195" i="5"/>
  <c r="Q196" i="5"/>
  <c r="Q197" i="5"/>
  <c r="Q198" i="5"/>
  <c r="Q199" i="5"/>
  <c r="Q200" i="5"/>
  <c r="Q201" i="5"/>
  <c r="Q202" i="5"/>
  <c r="Q203" i="5"/>
  <c r="Q204" i="5"/>
  <c r="Q205" i="5"/>
  <c r="Q206" i="5"/>
  <c r="Q207" i="5"/>
  <c r="Q208" i="5"/>
  <c r="Q209" i="5"/>
  <c r="Q210" i="5"/>
  <c r="Q211" i="5"/>
  <c r="Q212" i="5"/>
  <c r="Q213" i="5"/>
  <c r="Q214" i="5"/>
  <c r="Q215" i="5"/>
  <c r="Q216" i="5"/>
  <c r="Q217" i="5"/>
  <c r="Q218" i="5"/>
  <c r="Q219" i="5"/>
  <c r="Q220" i="5"/>
  <c r="Q221" i="5"/>
  <c r="Q222" i="5"/>
  <c r="Q223" i="5"/>
  <c r="Q224" i="5"/>
  <c r="Q225" i="5"/>
  <c r="Q226" i="5"/>
  <c r="Q227" i="5"/>
  <c r="Q228" i="5"/>
  <c r="Q229" i="5"/>
  <c r="Q230" i="5"/>
  <c r="Q231" i="5"/>
  <c r="Q232" i="5"/>
  <c r="Q233" i="5"/>
  <c r="Q234" i="5"/>
  <c r="Q235" i="5"/>
  <c r="Q236" i="5"/>
  <c r="Q237" i="5"/>
  <c r="Q238" i="5"/>
  <c r="Q239" i="5"/>
  <c r="Q240" i="5"/>
  <c r="Q241" i="5"/>
  <c r="Q242" i="5"/>
  <c r="Q243" i="5"/>
  <c r="Q244" i="5"/>
  <c r="Q245" i="5"/>
  <c r="Q246" i="5"/>
  <c r="Q247" i="5"/>
  <c r="Q248" i="5"/>
  <c r="Q249" i="5"/>
  <c r="Q250" i="5"/>
  <c r="Q251" i="5"/>
  <c r="Q252" i="5"/>
  <c r="Q253" i="5"/>
  <c r="Q254" i="5"/>
  <c r="Q255" i="5"/>
  <c r="Q256" i="5"/>
  <c r="Q257" i="5"/>
  <c r="Q258" i="5"/>
  <c r="Q259" i="5"/>
  <c r="Q260" i="5"/>
  <c r="Q261" i="5"/>
  <c r="Q262" i="5"/>
  <c r="Q263" i="5"/>
  <c r="Q264" i="5"/>
  <c r="Q265" i="5"/>
  <c r="Q266" i="5"/>
  <c r="Q267" i="5"/>
  <c r="Q268" i="5"/>
  <c r="Q269" i="5"/>
  <c r="Q270" i="5"/>
  <c r="Q271" i="5"/>
  <c r="Q272" i="5"/>
  <c r="Q273" i="5"/>
  <c r="Q274" i="5"/>
  <c r="Q275" i="5"/>
  <c r="Q276" i="5"/>
  <c r="Q277" i="5"/>
  <c r="Q278" i="5"/>
  <c r="Q279" i="5"/>
  <c r="Q280" i="5"/>
  <c r="Q281" i="5"/>
  <c r="Q282" i="5"/>
  <c r="Q283" i="5"/>
  <c r="Q284" i="5"/>
  <c r="Q285" i="5"/>
  <c r="Q286" i="5"/>
  <c r="Q287" i="5"/>
  <c r="Q288" i="5"/>
  <c r="Q289" i="5"/>
  <c r="Q290" i="5"/>
  <c r="Q291" i="5"/>
  <c r="Q292" i="5"/>
  <c r="Q293" i="5"/>
  <c r="Q294" i="5"/>
  <c r="Q295" i="5"/>
  <c r="Q296" i="5"/>
  <c r="Q297" i="5"/>
  <c r="Q298" i="5"/>
  <c r="Q299" i="5"/>
  <c r="Q300" i="5"/>
  <c r="Q301" i="5"/>
  <c r="Q302" i="5"/>
  <c r="Q303" i="5"/>
  <c r="Q304" i="5"/>
  <c r="Q305" i="5"/>
  <c r="Q306" i="5"/>
  <c r="Q307" i="5"/>
  <c r="Q308" i="5"/>
  <c r="Q309" i="5"/>
  <c r="Q310" i="5"/>
  <c r="Q311" i="5"/>
  <c r="Q312" i="5"/>
  <c r="Q313" i="5"/>
  <c r="Q314" i="5"/>
  <c r="Q315" i="5"/>
  <c r="Q316" i="5"/>
  <c r="Q317" i="5"/>
  <c r="Q318" i="5"/>
  <c r="Q319" i="5"/>
  <c r="Q320" i="5"/>
  <c r="Q321" i="5"/>
  <c r="Q322" i="5"/>
  <c r="Q323" i="5"/>
  <c r="Q324" i="5"/>
  <c r="Q325" i="5"/>
  <c r="Q326" i="5"/>
  <c r="Q327" i="5"/>
  <c r="Q328" i="5"/>
  <c r="Q329" i="5"/>
  <c r="Q330" i="5"/>
  <c r="Q331" i="5"/>
  <c r="Q332" i="5"/>
  <c r="Q333" i="5"/>
  <c r="Q334" i="5"/>
  <c r="Q335" i="5"/>
  <c r="Q336" i="5"/>
  <c r="Q337" i="5"/>
  <c r="Q338" i="5"/>
  <c r="Q339" i="5"/>
  <c r="Q340" i="5"/>
  <c r="Q341" i="5"/>
  <c r="Q342" i="5"/>
  <c r="Q343" i="5"/>
  <c r="Q344" i="5"/>
  <c r="Q345" i="5"/>
  <c r="Q346" i="5"/>
  <c r="Q347" i="5"/>
  <c r="Q348" i="5"/>
  <c r="Q349" i="5"/>
  <c r="Q350" i="5"/>
  <c r="Q351" i="5"/>
  <c r="Q352" i="5"/>
  <c r="Q353" i="5"/>
  <c r="Q354" i="5"/>
  <c r="Q355" i="5"/>
  <c r="Q356" i="5"/>
  <c r="Q357" i="5"/>
  <c r="Q358" i="5"/>
  <c r="Q359" i="5"/>
  <c r="Q360" i="5"/>
  <c r="Q361" i="5"/>
  <c r="Q362" i="5"/>
  <c r="Q363" i="5"/>
  <c r="Q364" i="5"/>
  <c r="Q365" i="5"/>
  <c r="Q366" i="5"/>
  <c r="Q367" i="5"/>
  <c r="Q368" i="5"/>
  <c r="Q369" i="5"/>
  <c r="Q370" i="5"/>
  <c r="Q371" i="5"/>
  <c r="Q372" i="5"/>
  <c r="Q373" i="5"/>
  <c r="Q374" i="5"/>
  <c r="Q375" i="5"/>
  <c r="Q376" i="5"/>
  <c r="Q377" i="5"/>
  <c r="Q378" i="5"/>
  <c r="Q379" i="5"/>
  <c r="Q380" i="5"/>
  <c r="Q381" i="5"/>
  <c r="Q382" i="5"/>
  <c r="Q383" i="5"/>
  <c r="Q384" i="5"/>
  <c r="Q385" i="5"/>
  <c r="Q386" i="5"/>
  <c r="Q387" i="5"/>
  <c r="Q388" i="5"/>
  <c r="Q389" i="5"/>
  <c r="Q390" i="5"/>
  <c r="Q391" i="5"/>
  <c r="Q392" i="5"/>
  <c r="Q393" i="5"/>
  <c r="Q394" i="5"/>
  <c r="Q395" i="5"/>
  <c r="Q396" i="5"/>
  <c r="Q397" i="5"/>
  <c r="Q398" i="5"/>
  <c r="Q399" i="5"/>
  <c r="Q400" i="5"/>
  <c r="Q401" i="5"/>
  <c r="Q402" i="5"/>
  <c r="Q403" i="5"/>
  <c r="Q404" i="5"/>
  <c r="Q405" i="5"/>
  <c r="Q406" i="5"/>
  <c r="Q407" i="5"/>
  <c r="Q408" i="5"/>
  <c r="Q409" i="5"/>
  <c r="Q410" i="5"/>
  <c r="Q411" i="5"/>
  <c r="Q412" i="5"/>
  <c r="Q413" i="5"/>
  <c r="Q414" i="5"/>
  <c r="Q415" i="5"/>
  <c r="Q416" i="5"/>
  <c r="Q417" i="5"/>
  <c r="Q418" i="5"/>
  <c r="Q419" i="5"/>
  <c r="Q420" i="5"/>
  <c r="Q421" i="5"/>
  <c r="Q422" i="5"/>
  <c r="Q423" i="5"/>
  <c r="Q424" i="5"/>
  <c r="Q425" i="5"/>
  <c r="Q426" i="5"/>
  <c r="Q427" i="5"/>
  <c r="Q428" i="5"/>
  <c r="Q429" i="5"/>
  <c r="Q430" i="5"/>
  <c r="Q431" i="5"/>
  <c r="Q432" i="5"/>
  <c r="Q433" i="5"/>
  <c r="Q434" i="5"/>
  <c r="Q435" i="5"/>
  <c r="Q436" i="5"/>
  <c r="Q437" i="5"/>
  <c r="Q438" i="5"/>
  <c r="Q439" i="5"/>
  <c r="Q440" i="5"/>
  <c r="Q441" i="5"/>
  <c r="Q442" i="5"/>
  <c r="Q443" i="5"/>
  <c r="Q444" i="5"/>
  <c r="Q445" i="5"/>
  <c r="Q446" i="5"/>
  <c r="Q447" i="5"/>
  <c r="Q448" i="5"/>
  <c r="Q449" i="5"/>
  <c r="Q450" i="5"/>
  <c r="Q451" i="5"/>
  <c r="Q452" i="5"/>
  <c r="Q453" i="5"/>
  <c r="Q454" i="5"/>
  <c r="Q455" i="5"/>
  <c r="Q456" i="5"/>
  <c r="Q457" i="5"/>
  <c r="Q458" i="5"/>
  <c r="Q459" i="5"/>
  <c r="Q460" i="5"/>
  <c r="Q461" i="5"/>
  <c r="Q462" i="5"/>
  <c r="Q463" i="5"/>
  <c r="Q464" i="5"/>
  <c r="Q465" i="5"/>
  <c r="Q466" i="5"/>
  <c r="Q467" i="5"/>
  <c r="Q468" i="5"/>
  <c r="Q469" i="5"/>
  <c r="Q470" i="5"/>
  <c r="Q471" i="5"/>
  <c r="Q472" i="5"/>
  <c r="Q473" i="5"/>
  <c r="Q474" i="5"/>
  <c r="Q475" i="5"/>
  <c r="Q476" i="5"/>
  <c r="Q477" i="5"/>
  <c r="Q478" i="5"/>
  <c r="Q479" i="5"/>
  <c r="Q480" i="5"/>
  <c r="Q481" i="5"/>
  <c r="Q482" i="5"/>
  <c r="Q483" i="5"/>
  <c r="Q484" i="5"/>
  <c r="Q485" i="5"/>
  <c r="Q486" i="5"/>
  <c r="Q487" i="5"/>
  <c r="Q488" i="5"/>
  <c r="Q489" i="5"/>
  <c r="Q490" i="5"/>
  <c r="Q491" i="5"/>
  <c r="Q492" i="5"/>
  <c r="Q493" i="5"/>
  <c r="Q494" i="5"/>
  <c r="Q495" i="5"/>
  <c r="Q496" i="5"/>
  <c r="Q497" i="5"/>
  <c r="Q498" i="5"/>
  <c r="Q499" i="5"/>
  <c r="Q500" i="5"/>
  <c r="Q501" i="5"/>
  <c r="Q502" i="5"/>
  <c r="Q503" i="5"/>
  <c r="Q504" i="5"/>
  <c r="Q505" i="5"/>
  <c r="Q506" i="5"/>
  <c r="Q507" i="5"/>
  <c r="Q508" i="5"/>
  <c r="Q509" i="5"/>
  <c r="Q510" i="5"/>
  <c r="Q511" i="5"/>
  <c r="Q512" i="5"/>
  <c r="Q513" i="5"/>
  <c r="Q514" i="5"/>
  <c r="Q515" i="5"/>
  <c r="Q516" i="5"/>
  <c r="Q517" i="5"/>
  <c r="Q518" i="5"/>
  <c r="Q519" i="5"/>
  <c r="Q520" i="5"/>
  <c r="Q521" i="5"/>
  <c r="Q522" i="5"/>
  <c r="Q523" i="5"/>
  <c r="Q524" i="5"/>
  <c r="Q525" i="5"/>
  <c r="Q526" i="5"/>
  <c r="Q527" i="5"/>
  <c r="Q528" i="5"/>
  <c r="Q529" i="5"/>
  <c r="Q530" i="5"/>
  <c r="Q531" i="5"/>
  <c r="Q532" i="5"/>
  <c r="Q533" i="5"/>
  <c r="Q534" i="5"/>
  <c r="Q535" i="5"/>
  <c r="Q536" i="5"/>
  <c r="Q537" i="5"/>
  <c r="Q538" i="5"/>
  <c r="Q539" i="5"/>
  <c r="Q540" i="5"/>
  <c r="Q541" i="5"/>
  <c r="Q542" i="5"/>
  <c r="Q543" i="5"/>
  <c r="Q544" i="5"/>
  <c r="Q545" i="5"/>
  <c r="Q546" i="5"/>
  <c r="Q547" i="5"/>
  <c r="Q548" i="5"/>
  <c r="Q549" i="5"/>
  <c r="Q550" i="5"/>
  <c r="Q551" i="5"/>
  <c r="Q552" i="5"/>
  <c r="Q553" i="5"/>
  <c r="Q554" i="5"/>
  <c r="Q555" i="5"/>
  <c r="Q556" i="5"/>
  <c r="Q557" i="5"/>
  <c r="Q558" i="5"/>
  <c r="Q559" i="5"/>
  <c r="Q560" i="5"/>
  <c r="Q561" i="5"/>
  <c r="Q562" i="5"/>
  <c r="Q563" i="5"/>
  <c r="Q564" i="5"/>
  <c r="Q565" i="5"/>
  <c r="Q566" i="5"/>
  <c r="Q567" i="5"/>
  <c r="Q568" i="5"/>
  <c r="Q569" i="5"/>
  <c r="Q570" i="5"/>
  <c r="Q571" i="5"/>
  <c r="Q572" i="5"/>
  <c r="Q573" i="5"/>
  <c r="Q574" i="5"/>
  <c r="Q575" i="5"/>
  <c r="Q576" i="5"/>
  <c r="Q577" i="5"/>
  <c r="Q578" i="5"/>
  <c r="Q579" i="5"/>
  <c r="Q580" i="5"/>
  <c r="Q581" i="5"/>
  <c r="Q582" i="5"/>
  <c r="Q583" i="5"/>
  <c r="Q584" i="5"/>
  <c r="Q585" i="5"/>
  <c r="Q586" i="5"/>
  <c r="Q587" i="5"/>
  <c r="Q588" i="5"/>
  <c r="Q589" i="5"/>
  <c r="Q590" i="5"/>
  <c r="Q591" i="5"/>
  <c r="Q592" i="5"/>
  <c r="Q593" i="5"/>
  <c r="Q594" i="5"/>
  <c r="Q595" i="5"/>
  <c r="Q596" i="5"/>
  <c r="Q597" i="5"/>
  <c r="Q598" i="5"/>
  <c r="Q599" i="5"/>
  <c r="Q600" i="5"/>
  <c r="Q601" i="5"/>
  <c r="Q602" i="5"/>
  <c r="Q603" i="5"/>
  <c r="Q604" i="5"/>
  <c r="Q605" i="5"/>
  <c r="Q606" i="5"/>
  <c r="Q607" i="5"/>
  <c r="Q608" i="5"/>
  <c r="Q609" i="5"/>
  <c r="Q610" i="5"/>
  <c r="Q611" i="5"/>
  <c r="Q612" i="5"/>
  <c r="Q613" i="5"/>
  <c r="Q614" i="5"/>
  <c r="Q615" i="5"/>
  <c r="Q616" i="5"/>
  <c r="Q617" i="5"/>
  <c r="Q618" i="5"/>
  <c r="Q619" i="5"/>
  <c r="Q620" i="5"/>
  <c r="Q621" i="5"/>
  <c r="Q622" i="5"/>
  <c r="Q623" i="5"/>
  <c r="Q624" i="5"/>
  <c r="Q625" i="5"/>
  <c r="Q626" i="5"/>
  <c r="Q627" i="5"/>
  <c r="Q628" i="5"/>
  <c r="Q629" i="5"/>
  <c r="Q630" i="5"/>
  <c r="Q631" i="5"/>
  <c r="Q632" i="5"/>
  <c r="Q633" i="5"/>
  <c r="Q634" i="5"/>
  <c r="Q635" i="5"/>
  <c r="Q636" i="5"/>
  <c r="Q637" i="5"/>
  <c r="Q638" i="5"/>
  <c r="Q639" i="5"/>
  <c r="Q640" i="5"/>
  <c r="Q641" i="5"/>
  <c r="Q642" i="5"/>
  <c r="Q643" i="5"/>
  <c r="Q644" i="5"/>
  <c r="Q645" i="5"/>
  <c r="Q646" i="5"/>
  <c r="Q647" i="5"/>
  <c r="Q648" i="5"/>
  <c r="Q649" i="5"/>
  <c r="Q650" i="5"/>
  <c r="Q651" i="5"/>
  <c r="Q652" i="5"/>
  <c r="Q653" i="5"/>
  <c r="Q654" i="5"/>
  <c r="Q655" i="5"/>
  <c r="Q656" i="5"/>
  <c r="Q657" i="5"/>
  <c r="Q658" i="5"/>
  <c r="Q659" i="5"/>
  <c r="Q660" i="5"/>
  <c r="Q661" i="5"/>
  <c r="Q662" i="5"/>
  <c r="Q663" i="5"/>
  <c r="Q664" i="5"/>
  <c r="Q665" i="5"/>
  <c r="Q666" i="5"/>
  <c r="Q667" i="5"/>
  <c r="Q668" i="5"/>
  <c r="Q669" i="5"/>
  <c r="Q670" i="5"/>
  <c r="Q671" i="5"/>
  <c r="Q672" i="5"/>
  <c r="Q673" i="5"/>
  <c r="Q674" i="5"/>
  <c r="Q675" i="5"/>
  <c r="Q676" i="5"/>
  <c r="Q677" i="5"/>
  <c r="Q678" i="5"/>
  <c r="Q679" i="5"/>
  <c r="Q680" i="5"/>
  <c r="Q681" i="5"/>
  <c r="Q682" i="5"/>
  <c r="Q683" i="5"/>
  <c r="Q684" i="5"/>
  <c r="Q685" i="5"/>
  <c r="Q686" i="5"/>
  <c r="Q687" i="5"/>
  <c r="Q688" i="5"/>
  <c r="Q689" i="5"/>
  <c r="Q690" i="5"/>
  <c r="Q691" i="5"/>
  <c r="Q692" i="5"/>
  <c r="Q693" i="5"/>
  <c r="Q694" i="5"/>
  <c r="Q695" i="5"/>
  <c r="Q696" i="5"/>
  <c r="Q697" i="5"/>
  <c r="Q698" i="5"/>
  <c r="Q699" i="5"/>
  <c r="Q700" i="5"/>
  <c r="Q701" i="5"/>
  <c r="Q702" i="5"/>
  <c r="Q703" i="5"/>
  <c r="Q704" i="5"/>
  <c r="Q705" i="5"/>
  <c r="Q706" i="5"/>
  <c r="Q707" i="5"/>
  <c r="Q708" i="5"/>
  <c r="Q709" i="5"/>
  <c r="Q710" i="5"/>
  <c r="Q711" i="5"/>
  <c r="Q712" i="5"/>
  <c r="Q713" i="5"/>
  <c r="Q714" i="5"/>
  <c r="Q715" i="5"/>
  <c r="Q716" i="5"/>
  <c r="Q717" i="5"/>
  <c r="Q718" i="5"/>
  <c r="Q719" i="5"/>
  <c r="Q720" i="5"/>
  <c r="Q721" i="5"/>
  <c r="Q722" i="5"/>
  <c r="Q723" i="5"/>
  <c r="Q724" i="5"/>
  <c r="Q725" i="5"/>
  <c r="Q726" i="5"/>
  <c r="Q727" i="5"/>
  <c r="Q728" i="5"/>
  <c r="Q729" i="5"/>
  <c r="Q730" i="5"/>
  <c r="Q731" i="5"/>
  <c r="Q732" i="5"/>
  <c r="Q733" i="5"/>
  <c r="Q734" i="5"/>
  <c r="Q735" i="5"/>
  <c r="Q736" i="5"/>
  <c r="Q737" i="5"/>
  <c r="Q738" i="5"/>
  <c r="Q739" i="5"/>
  <c r="Q740" i="5"/>
  <c r="Q741" i="5"/>
  <c r="Q742" i="5"/>
  <c r="Q743" i="5"/>
  <c r="Q744" i="5"/>
  <c r="Q745" i="5"/>
  <c r="Q746" i="5"/>
  <c r="Q747" i="5"/>
  <c r="Q748" i="5"/>
  <c r="Q749" i="5"/>
  <c r="Q750" i="5"/>
  <c r="Q751" i="5"/>
  <c r="Q752" i="5"/>
  <c r="Q753" i="5"/>
  <c r="Q754" i="5"/>
  <c r="Q755" i="5"/>
  <c r="Q756" i="5"/>
  <c r="Q757" i="5"/>
  <c r="Q758" i="5"/>
  <c r="Q759" i="5"/>
  <c r="Q760" i="5"/>
  <c r="Q761" i="5"/>
  <c r="Q762" i="5"/>
  <c r="Q763" i="5"/>
  <c r="Q764" i="5"/>
  <c r="Q765" i="5"/>
  <c r="Q766" i="5"/>
  <c r="Q767" i="5"/>
  <c r="Q768" i="5"/>
  <c r="Q769" i="5"/>
  <c r="Q770" i="5"/>
  <c r="Q771" i="5"/>
  <c r="Q772" i="5"/>
  <c r="Q773" i="5"/>
  <c r="Q774" i="5"/>
  <c r="Q775" i="5"/>
  <c r="Q776" i="5"/>
  <c r="Q777" i="5"/>
  <c r="Q778" i="5"/>
  <c r="Q779" i="5"/>
  <c r="Q780" i="5"/>
  <c r="Q781" i="5"/>
  <c r="Q782" i="5"/>
  <c r="Q783" i="5"/>
  <c r="Q784" i="5"/>
  <c r="Q785" i="5"/>
  <c r="Q786" i="5"/>
  <c r="Q787" i="5"/>
  <c r="Q788" i="5"/>
  <c r="Q789" i="5"/>
  <c r="Q790" i="5"/>
  <c r="Q791" i="5"/>
  <c r="Q792" i="5"/>
  <c r="Q793" i="5"/>
  <c r="Q794" i="5"/>
  <c r="Q795" i="5"/>
  <c r="Q796" i="5"/>
  <c r="Q797" i="5"/>
  <c r="Q798" i="5"/>
  <c r="Q799" i="5"/>
  <c r="Q800" i="5"/>
  <c r="Q801" i="5"/>
  <c r="Q802" i="5"/>
  <c r="Q803" i="5"/>
  <c r="Q804" i="5"/>
  <c r="Q805" i="5"/>
  <c r="Q806" i="5"/>
  <c r="Q807" i="5"/>
  <c r="Q808" i="5"/>
  <c r="Q809" i="5"/>
  <c r="Q810" i="5"/>
  <c r="Q811" i="5"/>
  <c r="Q812" i="5"/>
  <c r="Q813" i="5"/>
  <c r="Q814" i="5"/>
  <c r="Q815" i="5"/>
  <c r="Q816" i="5"/>
  <c r="Q817" i="5"/>
  <c r="Q818" i="5"/>
  <c r="Q819" i="5"/>
  <c r="Q820" i="5"/>
  <c r="Q821" i="5"/>
  <c r="Q822" i="5"/>
  <c r="Q823" i="5"/>
  <c r="Q824" i="5"/>
  <c r="Q825" i="5"/>
  <c r="Q826" i="5"/>
  <c r="Q827" i="5"/>
  <c r="Q828" i="5"/>
  <c r="Q829" i="5"/>
  <c r="Q830" i="5"/>
  <c r="Q831" i="5"/>
  <c r="Q832" i="5"/>
  <c r="Q833" i="5"/>
  <c r="Q834" i="5"/>
  <c r="Q835" i="5"/>
  <c r="Q836" i="5"/>
  <c r="Q837" i="5"/>
  <c r="Q838" i="5"/>
  <c r="Q839" i="5"/>
  <c r="Q840" i="5"/>
  <c r="Q841" i="5"/>
  <c r="Q842" i="5"/>
  <c r="Q843" i="5"/>
  <c r="Q844" i="5"/>
  <c r="Q845" i="5"/>
  <c r="Q846" i="5"/>
  <c r="Q847" i="5"/>
  <c r="Q848" i="5"/>
  <c r="Q849" i="5"/>
  <c r="Q850" i="5"/>
  <c r="Q851" i="5"/>
  <c r="Q852" i="5"/>
  <c r="Q853" i="5"/>
  <c r="Q854" i="5"/>
  <c r="Q855" i="5"/>
  <c r="Q856" i="5"/>
  <c r="Q857" i="5"/>
  <c r="Q858" i="5"/>
  <c r="Q859" i="5"/>
  <c r="Q860" i="5"/>
  <c r="Q861" i="5"/>
  <c r="Q862" i="5"/>
  <c r="Q863" i="5"/>
  <c r="Q864" i="5"/>
  <c r="Q865" i="5"/>
  <c r="Q866" i="5"/>
  <c r="Q867" i="5"/>
  <c r="Q868" i="5"/>
  <c r="Q869" i="5"/>
  <c r="Q870" i="5"/>
  <c r="Q871" i="5"/>
  <c r="Q872" i="5"/>
  <c r="Q873" i="5"/>
  <c r="Q874" i="5"/>
  <c r="Q875" i="5"/>
  <c r="Q876" i="5"/>
  <c r="Q877" i="5"/>
  <c r="Q878" i="5"/>
  <c r="Q879" i="5"/>
  <c r="Q880" i="5"/>
  <c r="Q881" i="5"/>
  <c r="Q882" i="5"/>
  <c r="Q883" i="5"/>
  <c r="Q884" i="5"/>
  <c r="Q885" i="5"/>
  <c r="Q886" i="5"/>
  <c r="Q887" i="5"/>
  <c r="Q888" i="5"/>
  <c r="Q889" i="5"/>
  <c r="Q890" i="5"/>
  <c r="Q891" i="5"/>
  <c r="Q892" i="5"/>
  <c r="Q893" i="5"/>
  <c r="Q894" i="5"/>
  <c r="Q895" i="5"/>
  <c r="Q896" i="5"/>
  <c r="Q897" i="5"/>
  <c r="Q898" i="5"/>
  <c r="Q899" i="5"/>
  <c r="Q900" i="5"/>
  <c r="Q901" i="5"/>
  <c r="Q902" i="5"/>
  <c r="Q903" i="5"/>
  <c r="Q904" i="5"/>
  <c r="Q905" i="5"/>
  <c r="Q906" i="5"/>
  <c r="Q907" i="5"/>
  <c r="Q908" i="5"/>
  <c r="Q909" i="5"/>
  <c r="Q910" i="5"/>
  <c r="Q911" i="5"/>
  <c r="Q912" i="5"/>
  <c r="Q913" i="5"/>
  <c r="Q914" i="5"/>
  <c r="Q915" i="5"/>
  <c r="Q916" i="5"/>
  <c r="Q917" i="5"/>
  <c r="Q918" i="5"/>
  <c r="Q919" i="5"/>
  <c r="Q920" i="5"/>
  <c r="Q921" i="5"/>
  <c r="Q922" i="5"/>
  <c r="Q923" i="5"/>
  <c r="Q924" i="5"/>
  <c r="Q925" i="5"/>
  <c r="Q926" i="5"/>
  <c r="Q927" i="5"/>
  <c r="Q928" i="5"/>
  <c r="Q929" i="5"/>
  <c r="Q930" i="5"/>
  <c r="Q931" i="5"/>
  <c r="Q932" i="5"/>
  <c r="Q933" i="5"/>
  <c r="Q934" i="5"/>
  <c r="Q935" i="5"/>
  <c r="Q936" i="5"/>
  <c r="Q937" i="5"/>
  <c r="Q938" i="5"/>
  <c r="Q939" i="5"/>
  <c r="Q940" i="5"/>
  <c r="Q941" i="5"/>
  <c r="Q942" i="5"/>
  <c r="Q943" i="5"/>
  <c r="Q944" i="5"/>
  <c r="Q945" i="5"/>
  <c r="Q946" i="5"/>
  <c r="Q947" i="5"/>
  <c r="Q948" i="5"/>
  <c r="Q949" i="5"/>
  <c r="Q950" i="5"/>
  <c r="Q951" i="5"/>
  <c r="Q952" i="5"/>
  <c r="Q953" i="5"/>
  <c r="Q954" i="5"/>
  <c r="Q955" i="5"/>
  <c r="Q956" i="5"/>
  <c r="Q957" i="5"/>
  <c r="Q958" i="5"/>
  <c r="Q959" i="5"/>
  <c r="Q960" i="5"/>
  <c r="Q961" i="5"/>
  <c r="Q962" i="5"/>
  <c r="Q963" i="5"/>
  <c r="Q964" i="5"/>
  <c r="Q965" i="5"/>
  <c r="Q966" i="5"/>
  <c r="Q967" i="5"/>
  <c r="Q968" i="5"/>
  <c r="Q969" i="5"/>
  <c r="Q970" i="5"/>
  <c r="Q971" i="5"/>
  <c r="Q972" i="5"/>
  <c r="Q973" i="5"/>
  <c r="Q974" i="5"/>
  <c r="Q975" i="5"/>
  <c r="Q976" i="5"/>
  <c r="Q977" i="5"/>
  <c r="Q978" i="5"/>
  <c r="Q979" i="5"/>
  <c r="Q980" i="5"/>
  <c r="Q981" i="5"/>
  <c r="Q982" i="5"/>
  <c r="Q983" i="5"/>
  <c r="Q984" i="5"/>
  <c r="Q985" i="5"/>
  <c r="Q986" i="5"/>
  <c r="Q987" i="5"/>
  <c r="Q988" i="5"/>
  <c r="Q989" i="5"/>
  <c r="Q990" i="5"/>
  <c r="Q991" i="5"/>
  <c r="Q992" i="5"/>
  <c r="Q993" i="5"/>
  <c r="Q994" i="5"/>
  <c r="Q995" i="5"/>
  <c r="Q996" i="5"/>
  <c r="Q997" i="5"/>
  <c r="Q998" i="5"/>
  <c r="Q999" i="5"/>
  <c r="Q1000" i="5"/>
  <c r="Q1001" i="5"/>
  <c r="Q1002" i="5"/>
  <c r="Q1003" i="5"/>
  <c r="Q1004" i="5"/>
  <c r="Q1005" i="5"/>
  <c r="Q1006" i="5"/>
  <c r="Q1007" i="5"/>
  <c r="Q1008" i="5"/>
  <c r="Q1009" i="5"/>
  <c r="Q1010" i="5"/>
  <c r="Q1011" i="5"/>
  <c r="Q1012" i="5"/>
  <c r="Q1013" i="5"/>
  <c r="Q1014" i="5"/>
  <c r="Q1015" i="5"/>
  <c r="Q1016" i="5"/>
  <c r="Q1017" i="5"/>
  <c r="Q1018" i="5"/>
  <c r="Q1019" i="5"/>
  <c r="Q1020" i="5"/>
  <c r="Q1021" i="5"/>
  <c r="Q1022" i="5"/>
  <c r="Q1023" i="5"/>
  <c r="Q1024" i="5"/>
  <c r="Q1025" i="5"/>
  <c r="Q1026" i="5"/>
  <c r="Q1027" i="5"/>
  <c r="Q1028" i="5"/>
  <c r="Q1029" i="5"/>
  <c r="Q1030" i="5"/>
  <c r="Q1031" i="5"/>
  <c r="Q1032" i="5"/>
  <c r="Q1033" i="5"/>
  <c r="Q1034" i="5"/>
  <c r="Q1035" i="5"/>
  <c r="Q1036" i="5"/>
  <c r="Q1037" i="5"/>
  <c r="Q1038" i="5"/>
  <c r="Q1039" i="5"/>
  <c r="Q1040" i="5"/>
  <c r="Q1041" i="5"/>
  <c r="Q1042" i="5"/>
  <c r="Q1043" i="5"/>
  <c r="Q1044" i="5"/>
  <c r="Q1045" i="5"/>
  <c r="Q1046" i="5"/>
  <c r="Q1047" i="5"/>
  <c r="Q1048" i="5"/>
  <c r="Q1049" i="5"/>
  <c r="Q1050" i="5"/>
  <c r="Q1051" i="5"/>
  <c r="Q1052" i="5"/>
  <c r="Q1053" i="5"/>
  <c r="Q1054" i="5"/>
  <c r="Q1055" i="5"/>
  <c r="Q1056" i="5"/>
  <c r="Q1057" i="5"/>
  <c r="Q1058" i="5"/>
  <c r="Q1059" i="5"/>
  <c r="Q1060" i="5"/>
  <c r="Q1061" i="5"/>
  <c r="Q1062" i="5"/>
  <c r="Q1063" i="5"/>
  <c r="Q1064" i="5"/>
  <c r="Q1065" i="5"/>
  <c r="Q1066" i="5"/>
  <c r="Q1067" i="5"/>
  <c r="Q1068" i="5"/>
  <c r="Q1069" i="5"/>
  <c r="Q1070" i="5"/>
  <c r="Q1071" i="5"/>
  <c r="Q1072" i="5"/>
  <c r="Q1073" i="5"/>
  <c r="Q1074" i="5"/>
  <c r="Q1075" i="5"/>
  <c r="Q1076" i="5"/>
  <c r="Q1077" i="5"/>
  <c r="Q1078" i="5"/>
  <c r="Q1079" i="5"/>
  <c r="Q1080" i="5"/>
  <c r="Q1081" i="5"/>
  <c r="Q1082" i="5"/>
  <c r="Q1083" i="5"/>
  <c r="Q1084" i="5"/>
  <c r="Q1085" i="5"/>
  <c r="Q1086" i="5"/>
  <c r="Q1087" i="5"/>
  <c r="Q1088" i="5"/>
  <c r="Q1089" i="5"/>
  <c r="Q1090" i="5"/>
  <c r="Q1091" i="5"/>
  <c r="Q1092" i="5"/>
  <c r="Q1093" i="5"/>
  <c r="Q1094" i="5"/>
  <c r="Q1095" i="5"/>
  <c r="Q1096" i="5"/>
  <c r="Q1097" i="5"/>
  <c r="Q1098" i="5"/>
  <c r="Q1099" i="5"/>
  <c r="Q1100" i="5"/>
  <c r="Q1101" i="5"/>
  <c r="Q1102" i="5"/>
  <c r="Q1103" i="5"/>
  <c r="Q1104" i="5"/>
  <c r="Q1105" i="5"/>
  <c r="Q1106" i="5"/>
  <c r="Q1107" i="5"/>
  <c r="Q1108" i="5"/>
  <c r="Q1109" i="5"/>
  <c r="Q1110" i="5"/>
  <c r="Q1111" i="5"/>
  <c r="Q1112" i="5"/>
  <c r="Q1113" i="5"/>
  <c r="Q1114" i="5"/>
  <c r="Q1115" i="5"/>
  <c r="Q1116" i="5"/>
  <c r="Q1117" i="5"/>
  <c r="Q1118" i="5"/>
  <c r="Q1119" i="5"/>
  <c r="Q1120" i="5"/>
  <c r="Q1121" i="5"/>
  <c r="Q1122" i="5"/>
  <c r="Q1123" i="5"/>
  <c r="Q1124" i="5"/>
  <c r="Q1125" i="5"/>
  <c r="Q1126" i="5"/>
  <c r="Q1127" i="5"/>
  <c r="Q1128" i="5"/>
  <c r="Q1129" i="5"/>
  <c r="Q1130" i="5"/>
  <c r="Q1131" i="5"/>
  <c r="Q1132" i="5"/>
  <c r="Q1133" i="5"/>
  <c r="Q1134" i="5"/>
  <c r="Q1135" i="5"/>
  <c r="Q1136" i="5"/>
  <c r="Q1137" i="5"/>
  <c r="Q1138" i="5"/>
  <c r="Q1139" i="5"/>
  <c r="Q1140" i="5"/>
  <c r="Q1141" i="5"/>
  <c r="Q1142" i="5"/>
  <c r="Q1143" i="5"/>
  <c r="Q1144" i="5"/>
  <c r="Q1145" i="5"/>
  <c r="Q1146" i="5"/>
  <c r="Q1147" i="5"/>
  <c r="Q1148" i="5"/>
  <c r="Q1149" i="5"/>
  <c r="Q1150" i="5"/>
  <c r="Q1151" i="5"/>
  <c r="Q1152" i="5"/>
  <c r="Q1153" i="5"/>
  <c r="Q1154" i="5"/>
  <c r="Q1155" i="5"/>
  <c r="Q1156" i="5"/>
  <c r="Q1157" i="5"/>
  <c r="Q1158" i="5"/>
  <c r="Q1159" i="5"/>
  <c r="Q1160" i="5"/>
  <c r="Q1161" i="5"/>
  <c r="Q1162" i="5"/>
  <c r="Q1163" i="5"/>
  <c r="Q1164" i="5"/>
  <c r="Q1165" i="5"/>
  <c r="Q1166" i="5"/>
  <c r="Q1167" i="5"/>
  <c r="Q1168" i="5"/>
  <c r="Q1169" i="5"/>
  <c r="Q1170" i="5"/>
  <c r="Q1171" i="5"/>
  <c r="Q1172" i="5"/>
  <c r="Q1173" i="5"/>
  <c r="Q1174" i="5"/>
  <c r="Q1175" i="5"/>
  <c r="Q1176" i="5"/>
  <c r="Q1177" i="5"/>
  <c r="Q1178" i="5"/>
  <c r="Q1179" i="5"/>
  <c r="Q1180" i="5"/>
  <c r="Q1181" i="5"/>
  <c r="Q1182" i="5"/>
  <c r="Q1183" i="5"/>
  <c r="Q1184" i="5"/>
  <c r="Q1185" i="5"/>
  <c r="Q1186" i="5"/>
  <c r="Q1187" i="5"/>
  <c r="Q1188" i="5"/>
  <c r="Q1189" i="5"/>
  <c r="Q1190" i="5"/>
  <c r="Q1191" i="5"/>
  <c r="Q1192" i="5"/>
  <c r="Q1193" i="5"/>
  <c r="Q1194" i="5"/>
  <c r="Q1195" i="5"/>
  <c r="Q1196" i="5"/>
  <c r="Q1197" i="5"/>
  <c r="Q1198" i="5"/>
  <c r="Q1199" i="5"/>
  <c r="Q1200" i="5"/>
  <c r="Q1201" i="5"/>
  <c r="Q1202" i="5"/>
  <c r="Q1203" i="5"/>
  <c r="Q1204" i="5"/>
  <c r="Q1205" i="5"/>
  <c r="Q1206" i="5"/>
  <c r="Q1207" i="5"/>
  <c r="Q1208" i="5"/>
  <c r="Q1209" i="5"/>
  <c r="Q1210" i="5"/>
  <c r="Q1211" i="5"/>
  <c r="Q1212" i="5"/>
  <c r="Q1213" i="5"/>
  <c r="Q1214" i="5"/>
  <c r="Q1215" i="5"/>
  <c r="Q1216" i="5"/>
  <c r="Q1217" i="5"/>
  <c r="Q1218" i="5"/>
  <c r="Q1219" i="5"/>
  <c r="Q1220" i="5"/>
  <c r="Q1221" i="5"/>
  <c r="Q1222" i="5"/>
  <c r="Q1223" i="5"/>
  <c r="Q1224" i="5"/>
  <c r="Q1225" i="5"/>
  <c r="Q1226" i="5"/>
  <c r="Q1227" i="5"/>
  <c r="Q1228" i="5"/>
  <c r="Q1229" i="5"/>
  <c r="Q1230" i="5"/>
  <c r="Q1231" i="5"/>
  <c r="Q1232" i="5"/>
  <c r="Q1233" i="5"/>
  <c r="Q1234" i="5"/>
  <c r="Q1235" i="5"/>
  <c r="Q1236" i="5"/>
  <c r="Q1237" i="5"/>
  <c r="Q1238" i="5"/>
  <c r="Q1239" i="5"/>
  <c r="Q1240" i="5"/>
  <c r="Q1241" i="5"/>
  <c r="Q1242" i="5"/>
  <c r="Q1243" i="5"/>
  <c r="Q1244" i="5"/>
  <c r="Q1245" i="5"/>
  <c r="Q1246" i="5"/>
  <c r="Q1247" i="5"/>
  <c r="Q1248" i="5"/>
  <c r="Q1249" i="5"/>
  <c r="Q1250" i="5"/>
  <c r="Q1251" i="5"/>
  <c r="Q1252" i="5"/>
  <c r="Q1253" i="5"/>
  <c r="Q1254" i="5"/>
  <c r="Q1255" i="5"/>
  <c r="Q1256" i="5"/>
  <c r="Q1257" i="5"/>
  <c r="Q1258" i="5"/>
  <c r="Q1259" i="5"/>
  <c r="Q1260" i="5"/>
  <c r="Q1261" i="5"/>
  <c r="Q1262" i="5"/>
  <c r="Q1263" i="5"/>
  <c r="Q1264" i="5"/>
  <c r="Q1265" i="5"/>
  <c r="Q1266" i="5"/>
  <c r="Q1267" i="5"/>
  <c r="Q1268" i="5"/>
  <c r="Q1269" i="5"/>
  <c r="Q1270" i="5"/>
  <c r="Q1271" i="5"/>
  <c r="Q1272" i="5"/>
  <c r="Q1273" i="5"/>
  <c r="Q1274" i="5"/>
  <c r="Q1275" i="5"/>
  <c r="Q1276" i="5"/>
  <c r="Q1277" i="5"/>
  <c r="Q1278" i="5"/>
  <c r="Q1279" i="5"/>
  <c r="Q1280" i="5"/>
  <c r="Q1281" i="5"/>
  <c r="Q1282" i="5"/>
  <c r="Q1283" i="5"/>
  <c r="Q1284" i="5"/>
  <c r="Q1285" i="5"/>
  <c r="Q1286" i="5"/>
  <c r="Q1287" i="5"/>
  <c r="Q1288" i="5"/>
  <c r="Q1289" i="5"/>
  <c r="Q1290" i="5"/>
  <c r="Q1291" i="5"/>
  <c r="Q1292" i="5"/>
  <c r="Q1293" i="5"/>
  <c r="Q1294" i="5"/>
  <c r="Q1295" i="5"/>
  <c r="Q1296" i="5"/>
  <c r="Q1297" i="5"/>
  <c r="Q1298" i="5"/>
  <c r="Q1299" i="5"/>
  <c r="Q1300" i="5"/>
  <c r="Q1301" i="5"/>
  <c r="Q1302" i="5"/>
  <c r="Q1303" i="5"/>
  <c r="Q1304" i="5"/>
  <c r="Q1305" i="5"/>
  <c r="Q1306" i="5"/>
  <c r="Q1307" i="5"/>
  <c r="Q1308" i="5"/>
  <c r="Q1309" i="5"/>
  <c r="Q1310" i="5"/>
  <c r="Q1311" i="5"/>
  <c r="Q1312" i="5"/>
  <c r="Q1313" i="5"/>
  <c r="Q1314" i="5"/>
  <c r="Q1315" i="5"/>
  <c r="Q1316" i="5"/>
  <c r="Q1317" i="5"/>
  <c r="Q1318" i="5"/>
  <c r="Q1319" i="5"/>
  <c r="Q1320" i="5"/>
  <c r="Q1321" i="5"/>
  <c r="Q1322" i="5"/>
  <c r="Q1323" i="5"/>
  <c r="Q1324" i="5"/>
  <c r="Q1325" i="5"/>
  <c r="Q1326" i="5"/>
  <c r="Q1327" i="5"/>
  <c r="Q1328" i="5"/>
  <c r="Q1329" i="5"/>
  <c r="Q1330" i="5"/>
  <c r="Q1331" i="5"/>
  <c r="Q1332" i="5"/>
  <c r="Q1333" i="5"/>
  <c r="Q1334" i="5"/>
  <c r="Q1335" i="5"/>
  <c r="Q1336" i="5"/>
  <c r="Q1337" i="5"/>
  <c r="Q1338" i="5"/>
  <c r="Q1339" i="5"/>
  <c r="Q1340" i="5"/>
  <c r="Q1341" i="5"/>
  <c r="Q1342" i="5"/>
  <c r="Q1343" i="5"/>
  <c r="Q1344" i="5"/>
  <c r="Q1345" i="5"/>
  <c r="Q1346" i="5"/>
  <c r="Q1347" i="5"/>
  <c r="Q1348" i="5"/>
  <c r="Q1349" i="5"/>
  <c r="Q1350" i="5"/>
  <c r="Q1351" i="5"/>
  <c r="Q1352" i="5"/>
  <c r="Q1353" i="5"/>
  <c r="Q1354" i="5"/>
  <c r="Q1355" i="5"/>
  <c r="Q1356" i="5"/>
  <c r="Q1357" i="5"/>
  <c r="Q1358" i="5"/>
  <c r="Q1359" i="5"/>
  <c r="Q1360" i="5"/>
  <c r="Q1361" i="5"/>
  <c r="Q1362" i="5"/>
  <c r="Q1363" i="5"/>
  <c r="Q1364" i="5"/>
  <c r="Q1365" i="5"/>
  <c r="Q1366" i="5"/>
  <c r="Q1367" i="5"/>
  <c r="Q1368" i="5"/>
  <c r="Q1369" i="5"/>
  <c r="Q1370" i="5"/>
  <c r="Q1371" i="5"/>
  <c r="Q1372" i="5"/>
  <c r="Q1373" i="5"/>
  <c r="Q1374" i="5"/>
  <c r="Q1375" i="5"/>
  <c r="Q1376" i="5"/>
  <c r="Q1377" i="5"/>
  <c r="Q1378" i="5"/>
  <c r="Q1379" i="5"/>
  <c r="Q1380" i="5"/>
  <c r="Q1381" i="5"/>
  <c r="Q1382" i="5"/>
  <c r="Q1383" i="5"/>
  <c r="Q1384" i="5"/>
  <c r="Q1385" i="5"/>
  <c r="Q1386" i="5"/>
  <c r="Q1387" i="5"/>
  <c r="Q1388" i="5"/>
  <c r="Q1389" i="5"/>
  <c r="Q1390" i="5"/>
  <c r="Q1391" i="5"/>
  <c r="Q1392" i="5"/>
  <c r="Q1393" i="5"/>
  <c r="Q1394" i="5"/>
  <c r="Q1395" i="5"/>
  <c r="Q1396" i="5"/>
  <c r="Q1397" i="5"/>
  <c r="Q1398" i="5"/>
  <c r="Q1399" i="5"/>
  <c r="Q1400" i="5"/>
  <c r="Q1401" i="5"/>
  <c r="Q1402" i="5"/>
  <c r="Q1403" i="5"/>
  <c r="Q1404" i="5"/>
  <c r="Q1405" i="5"/>
  <c r="Q1406" i="5"/>
  <c r="Q1407" i="5"/>
  <c r="Q1408" i="5"/>
  <c r="Q1409" i="5"/>
  <c r="Q1410" i="5"/>
  <c r="Q1411" i="5"/>
  <c r="Q1412" i="5"/>
  <c r="Q1413" i="5"/>
  <c r="Q1414" i="5"/>
  <c r="Q1415" i="5"/>
  <c r="Q1416" i="5"/>
  <c r="Q1417" i="5"/>
  <c r="Q1418" i="5"/>
  <c r="Q1419" i="5"/>
  <c r="Q1420" i="5"/>
  <c r="Q1421" i="5"/>
  <c r="Q1422" i="5"/>
  <c r="Q1423" i="5"/>
  <c r="Q1424" i="5"/>
  <c r="Q1425" i="5"/>
  <c r="Q1426" i="5"/>
  <c r="Q1427" i="5"/>
  <c r="Q1428" i="5"/>
  <c r="Q1429" i="5"/>
  <c r="Q1430" i="5"/>
  <c r="Q1431" i="5"/>
  <c r="Q1432" i="5"/>
  <c r="Q1433" i="5"/>
  <c r="Q1434" i="5"/>
  <c r="Q1435" i="5"/>
  <c r="Q1436" i="5"/>
  <c r="Q1437" i="5"/>
  <c r="Q1438" i="5"/>
  <c r="Q1439" i="5"/>
  <c r="Q1440" i="5"/>
  <c r="Q1441" i="5"/>
  <c r="Q1442" i="5"/>
  <c r="Q1443" i="5"/>
  <c r="Q1444" i="5"/>
  <c r="Q1445" i="5"/>
  <c r="Q1446" i="5"/>
  <c r="Q1447" i="5"/>
  <c r="Q1448" i="5"/>
  <c r="Q1449" i="5"/>
  <c r="Q1450" i="5"/>
  <c r="Q1451" i="5"/>
  <c r="Q1452" i="5"/>
  <c r="Q1453" i="5"/>
  <c r="Q1454" i="5"/>
  <c r="Q1455" i="5"/>
  <c r="Q1456" i="5"/>
  <c r="Q1457" i="5"/>
  <c r="Q1458" i="5"/>
  <c r="Q1459" i="5"/>
  <c r="Q1460" i="5"/>
  <c r="Q1461" i="5"/>
  <c r="Q1462" i="5"/>
  <c r="Q1463" i="5"/>
  <c r="Q1464" i="5"/>
  <c r="Q1465" i="5"/>
  <c r="Q1466" i="5"/>
  <c r="Q1467" i="5"/>
  <c r="Q1468" i="5"/>
  <c r="Q1469" i="5"/>
  <c r="Q1470" i="5"/>
  <c r="Q1471" i="5"/>
  <c r="Q1472" i="5"/>
  <c r="Q1473" i="5"/>
  <c r="Q1474" i="5"/>
  <c r="Q1475" i="5"/>
  <c r="Q1476" i="5"/>
  <c r="Q1477" i="5"/>
  <c r="Q1478" i="5"/>
  <c r="Q1479" i="5"/>
  <c r="Q1480" i="5"/>
  <c r="Q1481" i="5"/>
  <c r="Q1482" i="5"/>
  <c r="Q1483" i="5"/>
  <c r="Q1484" i="5"/>
  <c r="Q1485" i="5"/>
  <c r="Q1486" i="5"/>
  <c r="Q1487" i="5"/>
  <c r="Q1488" i="5"/>
  <c r="Q1489" i="5"/>
  <c r="Q1490" i="5"/>
  <c r="Q1491" i="5"/>
  <c r="Q1492" i="5"/>
  <c r="Q1493" i="5"/>
  <c r="Q1494" i="5"/>
  <c r="Q1495" i="5"/>
  <c r="Q1496" i="5"/>
  <c r="Q1497" i="5"/>
  <c r="Q1498" i="5"/>
  <c r="Q1499" i="5"/>
  <c r="Q1500" i="5"/>
  <c r="Q1501" i="5"/>
  <c r="Q1502" i="5"/>
  <c r="Q1503" i="5"/>
  <c r="Q1504" i="5"/>
  <c r="Q1505" i="5"/>
  <c r="Q1506" i="5"/>
  <c r="Q1507" i="5"/>
  <c r="Q1508" i="5"/>
  <c r="Q1509" i="5"/>
  <c r="Q1510" i="5"/>
  <c r="Q1511" i="5"/>
  <c r="Q1512" i="5"/>
  <c r="Q1513" i="5"/>
  <c r="Q1514" i="5"/>
  <c r="Q1515" i="5"/>
  <c r="Q1516" i="5"/>
  <c r="Q1517" i="5"/>
  <c r="Q1518" i="5"/>
  <c r="Q1519" i="5"/>
  <c r="Q1520" i="5"/>
  <c r="Q1521" i="5"/>
  <c r="Q1522" i="5"/>
  <c r="Q1523" i="5"/>
  <c r="Q1524" i="5"/>
  <c r="Q1525" i="5"/>
  <c r="Q1526" i="5"/>
  <c r="Q1527" i="5"/>
  <c r="Q1528" i="5"/>
  <c r="Q1529" i="5"/>
  <c r="Q1530" i="5"/>
  <c r="Q1531" i="5"/>
  <c r="Q1532" i="5"/>
  <c r="Q1533" i="5"/>
  <c r="Q1534" i="5"/>
  <c r="Q1535" i="5"/>
  <c r="Q1536" i="5"/>
  <c r="Q1537" i="5"/>
  <c r="Q1538" i="5"/>
  <c r="Q1539" i="5"/>
  <c r="Q1540" i="5"/>
  <c r="Q1541" i="5"/>
  <c r="Q1542" i="5"/>
  <c r="Q1543" i="5"/>
  <c r="Q1544" i="5"/>
  <c r="Q1545" i="5"/>
  <c r="Q1546" i="5"/>
  <c r="Q1547" i="5"/>
  <c r="Q1548" i="5"/>
  <c r="Q1549" i="5"/>
  <c r="Q1550" i="5"/>
  <c r="Q1551" i="5"/>
  <c r="Q1552" i="5"/>
  <c r="Q1553" i="5"/>
  <c r="Q1554" i="5"/>
  <c r="Q1555" i="5"/>
  <c r="Q1556" i="5"/>
  <c r="Q1557" i="5"/>
  <c r="Q1558" i="5"/>
  <c r="Q1559" i="5"/>
  <c r="Q1560" i="5"/>
  <c r="Q1561" i="5"/>
  <c r="Q1562" i="5"/>
  <c r="Q1563" i="5"/>
  <c r="Q1564" i="5"/>
  <c r="Q1565" i="5"/>
  <c r="Q1566" i="5"/>
  <c r="Q1567" i="5"/>
  <c r="Q1568" i="5"/>
  <c r="Q1569" i="5"/>
  <c r="Q1570" i="5"/>
  <c r="Q1571" i="5"/>
  <c r="Q1572" i="5"/>
  <c r="Q1573" i="5"/>
  <c r="Q1574" i="5"/>
  <c r="Q1575" i="5"/>
  <c r="Q1576" i="5"/>
  <c r="Q1577" i="5"/>
  <c r="Q1578" i="5"/>
  <c r="Q1579" i="5"/>
  <c r="Q1580" i="5"/>
  <c r="Q1581" i="5"/>
  <c r="Q1582" i="5"/>
  <c r="Q1583" i="5"/>
  <c r="Q1584" i="5"/>
  <c r="Q1585" i="5"/>
  <c r="Q1586" i="5"/>
  <c r="Q1587" i="5"/>
  <c r="Q1588" i="5"/>
  <c r="Q1589" i="5"/>
  <c r="Q1590" i="5"/>
  <c r="Q1591" i="5"/>
  <c r="Q1592" i="5"/>
  <c r="Q1593" i="5"/>
  <c r="Q1594" i="5"/>
  <c r="Q1595" i="5"/>
  <c r="Q1596" i="5"/>
  <c r="Q1597" i="5"/>
  <c r="Q1598" i="5"/>
  <c r="Q1599" i="5"/>
  <c r="Q1600" i="5"/>
  <c r="Q1601" i="5"/>
  <c r="Q1602" i="5"/>
  <c r="Q1603" i="5"/>
  <c r="Q1604" i="5"/>
  <c r="Q1605" i="5"/>
  <c r="Q1606" i="5"/>
  <c r="Q1607" i="5"/>
  <c r="Q1608" i="5"/>
  <c r="Q1609" i="5"/>
  <c r="Q1610" i="5"/>
  <c r="Q1611" i="5"/>
  <c r="Q1612" i="5"/>
  <c r="Q1613" i="5"/>
  <c r="Q1614" i="5"/>
  <c r="Q1615" i="5"/>
  <c r="Q1616" i="5"/>
  <c r="Q1617" i="5"/>
  <c r="Q1618" i="5"/>
  <c r="Q1619" i="5"/>
  <c r="Q1620" i="5"/>
  <c r="Q1621" i="5"/>
  <c r="Q1622" i="5"/>
  <c r="Q1623" i="5"/>
  <c r="Q1624" i="5"/>
  <c r="Q1625" i="5"/>
  <c r="Q1626" i="5"/>
  <c r="Q1627" i="5"/>
  <c r="Q1628" i="5"/>
  <c r="Q1629" i="5"/>
  <c r="Q1630" i="5"/>
  <c r="Q1631" i="5"/>
  <c r="Q1632" i="5"/>
  <c r="Q1633" i="5"/>
  <c r="Q1634" i="5"/>
  <c r="Q1635" i="5"/>
  <c r="Q1636" i="5"/>
  <c r="Q1637" i="5"/>
  <c r="Q1638" i="5"/>
  <c r="Q1639" i="5"/>
  <c r="Q1640" i="5"/>
  <c r="Q1641" i="5"/>
  <c r="Q1642" i="5"/>
  <c r="Q1643" i="5"/>
  <c r="Q1644" i="5"/>
  <c r="Q1645" i="5"/>
  <c r="Q1646" i="5"/>
  <c r="Q1647" i="5"/>
  <c r="Q1648" i="5"/>
  <c r="Q1649" i="5"/>
  <c r="Q1650" i="5"/>
  <c r="Q1651" i="5"/>
  <c r="Q1652" i="5"/>
  <c r="Q1653" i="5"/>
  <c r="Q1654" i="5"/>
  <c r="Q1655" i="5"/>
  <c r="Q1656" i="5"/>
  <c r="Q1657" i="5"/>
  <c r="Q1658" i="5"/>
  <c r="Q1659" i="5"/>
  <c r="Q1660" i="5"/>
  <c r="Q1661" i="5"/>
  <c r="Q1662" i="5"/>
  <c r="Q1663" i="5"/>
  <c r="Q1664" i="5"/>
  <c r="Q1665" i="5"/>
  <c r="Q1666" i="5"/>
  <c r="Q1667" i="5"/>
  <c r="Q1668" i="5"/>
  <c r="Q1669" i="5"/>
  <c r="Q1670" i="5"/>
  <c r="Q1671" i="5"/>
  <c r="Q1672" i="5"/>
  <c r="Q1673" i="5"/>
  <c r="Q1674" i="5"/>
  <c r="Q1675" i="5"/>
  <c r="Q1676" i="5"/>
  <c r="Q1677" i="5"/>
  <c r="Q1678" i="5"/>
  <c r="Q1679" i="5"/>
  <c r="Q1680" i="5"/>
  <c r="Q1681" i="5"/>
  <c r="Q1682" i="5"/>
  <c r="Q1683" i="5"/>
  <c r="Q1684" i="5"/>
  <c r="Q1685" i="5"/>
  <c r="Q1686" i="5"/>
  <c r="Q1687" i="5"/>
  <c r="Q1688" i="5"/>
  <c r="Q1689" i="5"/>
  <c r="Q1690" i="5"/>
  <c r="Q1691" i="5"/>
  <c r="Q1692" i="5"/>
  <c r="Q1693" i="5"/>
  <c r="Q1694" i="5"/>
  <c r="Q1695" i="5"/>
  <c r="Q1696" i="5"/>
  <c r="Q1697" i="5"/>
  <c r="Q1698" i="5"/>
  <c r="Q1699" i="5"/>
  <c r="Q1700" i="5"/>
  <c r="Q1701" i="5"/>
  <c r="Q1702" i="5"/>
  <c r="Q1703" i="5"/>
  <c r="Q1704" i="5"/>
  <c r="Q1705" i="5"/>
  <c r="Q1706" i="5"/>
  <c r="Q1707" i="5"/>
  <c r="Q1708" i="5"/>
  <c r="Q1709" i="5"/>
  <c r="Q1710" i="5"/>
  <c r="Q1711" i="5"/>
  <c r="Q1712" i="5"/>
  <c r="Q1713" i="5"/>
  <c r="Q1714" i="5"/>
  <c r="Q1715" i="5"/>
  <c r="Q1716" i="5"/>
  <c r="Q1717" i="5"/>
  <c r="Q1718" i="5"/>
  <c r="Q1719" i="5"/>
  <c r="Q1720" i="5"/>
  <c r="Q1721" i="5"/>
  <c r="Q1722" i="5"/>
  <c r="Q1723" i="5"/>
  <c r="Q1724" i="5"/>
  <c r="Q1725" i="5"/>
  <c r="Q1726" i="5"/>
  <c r="Q1727" i="5"/>
  <c r="Q1728" i="5"/>
  <c r="Q1729" i="5"/>
  <c r="Q1730" i="5"/>
  <c r="Q1731" i="5"/>
  <c r="Q1732" i="5"/>
  <c r="Q1733" i="5"/>
  <c r="Q1734" i="5"/>
  <c r="Q1735" i="5"/>
  <c r="Q1736" i="5"/>
  <c r="Q1737" i="5"/>
  <c r="Q1738" i="5"/>
  <c r="Q1739" i="5"/>
  <c r="Q1740" i="5"/>
  <c r="Q1741" i="5"/>
  <c r="Q1742" i="5"/>
  <c r="Q1743" i="5"/>
  <c r="Q1744" i="5"/>
  <c r="Q1745" i="5"/>
  <c r="Q1746" i="5"/>
  <c r="Q1747" i="5"/>
  <c r="Q1748" i="5"/>
  <c r="Q1749" i="5"/>
  <c r="Q1750" i="5"/>
  <c r="Q1751" i="5"/>
  <c r="Q1752" i="5"/>
  <c r="Q1753" i="5"/>
  <c r="Q1754" i="5"/>
  <c r="Q1755" i="5"/>
  <c r="Q1756" i="5"/>
  <c r="Q1757" i="5"/>
  <c r="Q1758" i="5"/>
  <c r="Q1759" i="5"/>
  <c r="Q1760" i="5"/>
  <c r="Q1761" i="5"/>
  <c r="Q1762" i="5"/>
  <c r="Q1763" i="5"/>
  <c r="Q1764" i="5"/>
  <c r="Q1765" i="5"/>
  <c r="Q1766" i="5"/>
  <c r="Q1767" i="5"/>
  <c r="Q1768" i="5"/>
  <c r="Q1769" i="5"/>
  <c r="Q1770" i="5"/>
  <c r="Q1771" i="5"/>
  <c r="Q1772" i="5"/>
  <c r="Q1773" i="5"/>
  <c r="Q1774" i="5"/>
  <c r="Q1775" i="5"/>
  <c r="Q1776" i="5"/>
  <c r="Q1777" i="5"/>
  <c r="Q1778" i="5"/>
  <c r="Q1779" i="5"/>
  <c r="Q1780" i="5"/>
  <c r="Q1781" i="5"/>
  <c r="Q1782" i="5"/>
  <c r="Q1783" i="5"/>
  <c r="Q1784" i="5"/>
  <c r="Q1785" i="5"/>
  <c r="Q1786" i="5"/>
  <c r="Q1787" i="5"/>
  <c r="Q1788" i="5"/>
  <c r="Q1789" i="5"/>
  <c r="Q1790" i="5"/>
  <c r="Q1791" i="5"/>
  <c r="Q1792" i="5"/>
  <c r="Q1793" i="5"/>
  <c r="Q1794" i="5"/>
  <c r="Q1795" i="5"/>
  <c r="Q1796" i="5"/>
  <c r="Q1797" i="5"/>
  <c r="Q1798" i="5"/>
  <c r="Q1799" i="5"/>
  <c r="Q1800" i="5"/>
  <c r="Q1801" i="5"/>
  <c r="Q1802" i="5"/>
  <c r="Q1803" i="5"/>
  <c r="Q1804" i="5"/>
  <c r="Q1805" i="5"/>
  <c r="Q1806" i="5"/>
  <c r="Q1807" i="5"/>
  <c r="Q1808" i="5"/>
  <c r="Q1809" i="5"/>
  <c r="Q1810" i="5"/>
  <c r="Q1811" i="5"/>
  <c r="Q1812" i="5"/>
  <c r="Q1813" i="5"/>
  <c r="Q1814" i="5"/>
  <c r="Q1815" i="5"/>
  <c r="Q1816" i="5"/>
  <c r="Q1817" i="5"/>
  <c r="Q1818" i="5"/>
  <c r="Q1819" i="5"/>
  <c r="Q1820" i="5"/>
  <c r="Q1821" i="5"/>
  <c r="Q1822" i="5"/>
  <c r="Q1823" i="5"/>
  <c r="Q1824" i="5"/>
  <c r="Q1825" i="5"/>
  <c r="Q1826" i="5"/>
  <c r="Q1827" i="5"/>
  <c r="Q1828" i="5"/>
  <c r="Q1829" i="5"/>
  <c r="Q1830" i="5"/>
  <c r="Q1831" i="5"/>
  <c r="Q1832" i="5"/>
  <c r="Q1833" i="5"/>
  <c r="Q1834" i="5"/>
  <c r="Q1835" i="5"/>
  <c r="Q1836" i="5"/>
  <c r="Q1837" i="5"/>
  <c r="Q1838" i="5"/>
  <c r="Q1839" i="5"/>
  <c r="Q1840" i="5"/>
  <c r="Q1841" i="5"/>
  <c r="Q1842" i="5"/>
  <c r="Q1843" i="5"/>
  <c r="Q1844" i="5"/>
  <c r="Q1845" i="5"/>
  <c r="Q1846" i="5"/>
  <c r="Q1847" i="5"/>
  <c r="Q1848" i="5"/>
  <c r="Q1849" i="5"/>
  <c r="Q1850" i="5"/>
  <c r="Q1851" i="5"/>
  <c r="Q1852" i="5"/>
  <c r="Q1853" i="5"/>
  <c r="Q1854" i="5"/>
  <c r="Q1855" i="5"/>
  <c r="Q1856" i="5"/>
  <c r="Q1857" i="5"/>
  <c r="Q1858" i="5"/>
  <c r="Q1859" i="5"/>
  <c r="Q1860" i="5"/>
  <c r="Q1861" i="5"/>
  <c r="Q1862" i="5"/>
  <c r="Q1863" i="5"/>
  <c r="Q1864" i="5"/>
  <c r="Q1865" i="5"/>
  <c r="Q1866" i="5"/>
  <c r="Q1867" i="5"/>
  <c r="Q1868" i="5"/>
  <c r="Q1869" i="5"/>
  <c r="Q1870" i="5"/>
  <c r="Q1871" i="5"/>
  <c r="Q1872" i="5"/>
  <c r="Q1873" i="5"/>
  <c r="Q1874" i="5"/>
  <c r="Q1875" i="5"/>
  <c r="Q1876" i="5"/>
  <c r="Q1877" i="5"/>
  <c r="Q1878" i="5"/>
  <c r="Q1879" i="5"/>
  <c r="Q1880" i="5"/>
  <c r="Q1881" i="5"/>
  <c r="Q1882" i="5"/>
  <c r="Q1883" i="5"/>
  <c r="Q1884" i="5"/>
  <c r="Q1885" i="5"/>
  <c r="Q1886" i="5"/>
  <c r="Q1887" i="5"/>
  <c r="Q1888" i="5"/>
  <c r="Q1889" i="5"/>
  <c r="Q1890" i="5"/>
  <c r="Q1891" i="5"/>
  <c r="Q1892" i="5"/>
  <c r="Q1893" i="5"/>
  <c r="Q1894" i="5"/>
  <c r="Q1895" i="5"/>
  <c r="Q1896" i="5"/>
  <c r="Q1897" i="5"/>
  <c r="Q1898" i="5"/>
  <c r="Q1899" i="5"/>
  <c r="Q1900" i="5"/>
  <c r="Q1901" i="5"/>
  <c r="Q1902" i="5"/>
  <c r="Q1903" i="5"/>
  <c r="Q1904" i="5"/>
  <c r="Q1905" i="5"/>
  <c r="Q1906" i="5"/>
  <c r="Q1907" i="5"/>
  <c r="Q1908" i="5"/>
  <c r="Q1909" i="5"/>
  <c r="Q1910" i="5"/>
  <c r="Q1911" i="5"/>
  <c r="Q1912" i="5"/>
  <c r="Q1913" i="5"/>
  <c r="Q1914" i="5"/>
  <c r="Q1915" i="5"/>
  <c r="Q1916" i="5"/>
  <c r="Q1917" i="5"/>
  <c r="Q1918" i="5"/>
  <c r="Q1919" i="5"/>
  <c r="Q1920" i="5"/>
  <c r="Q1921" i="5"/>
  <c r="Q1922" i="5"/>
  <c r="Q1923" i="5"/>
  <c r="Q1924" i="5"/>
  <c r="Q1925" i="5"/>
  <c r="Q1926" i="5"/>
  <c r="Q1927" i="5"/>
  <c r="Q1928" i="5"/>
  <c r="Q1929" i="5"/>
  <c r="Q1930" i="5"/>
  <c r="Q1931" i="5"/>
  <c r="Q1932" i="5"/>
  <c r="Q1933" i="5"/>
  <c r="Q1934" i="5"/>
  <c r="Q1935" i="5"/>
  <c r="Q1936" i="5"/>
  <c r="Q1937" i="5"/>
  <c r="Q1938" i="5"/>
  <c r="Q1939" i="5"/>
  <c r="Q1940" i="5"/>
  <c r="Q1941" i="5"/>
  <c r="Q1942" i="5"/>
  <c r="Q1943" i="5"/>
  <c r="Q1944" i="5"/>
  <c r="Q1945" i="5"/>
  <c r="Q1946" i="5"/>
  <c r="Q1947" i="5"/>
  <c r="Q1948" i="5"/>
  <c r="Q1949" i="5"/>
  <c r="Q1950" i="5"/>
  <c r="Q1951" i="5"/>
  <c r="Q1952" i="5"/>
  <c r="Q1953" i="5"/>
  <c r="Q1954" i="5"/>
  <c r="Q1955" i="5"/>
  <c r="Q1956" i="5"/>
  <c r="Q1957" i="5"/>
  <c r="Q1958" i="5"/>
  <c r="Q1959" i="5"/>
  <c r="Q1960" i="5"/>
  <c r="Q1961" i="5"/>
  <c r="Q1962" i="5"/>
  <c r="Q1963" i="5"/>
  <c r="Q1964" i="5"/>
  <c r="Q1965" i="5"/>
  <c r="Q1966" i="5"/>
  <c r="Q1967" i="5"/>
  <c r="Q1968" i="5"/>
  <c r="Q1969" i="5"/>
  <c r="Q1970" i="5"/>
  <c r="Q1971" i="5"/>
  <c r="Q1972" i="5"/>
  <c r="Q1973" i="5"/>
  <c r="Q1974" i="5"/>
  <c r="Q1975" i="5"/>
  <c r="Q1976" i="5"/>
  <c r="Q1977" i="5"/>
  <c r="Q1978" i="5"/>
  <c r="Q1979" i="5"/>
  <c r="Q1980" i="5"/>
  <c r="Q1981" i="5"/>
  <c r="Q1982" i="5"/>
  <c r="Q1983" i="5"/>
  <c r="Q1984" i="5"/>
  <c r="Q1985" i="5"/>
  <c r="Q1986" i="5"/>
  <c r="Q1987" i="5"/>
  <c r="Q1988" i="5"/>
  <c r="Q1989" i="5"/>
  <c r="Q1990" i="5"/>
  <c r="Q1991" i="5"/>
  <c r="Q1992" i="5"/>
  <c r="Q1993" i="5"/>
  <c r="Q1994" i="5"/>
  <c r="Q1995" i="5"/>
  <c r="Q1996" i="5"/>
  <c r="Q1997" i="5"/>
  <c r="Q1998" i="5"/>
  <c r="Q1999" i="5"/>
  <c r="Q2000" i="5"/>
  <c r="Q2001" i="5"/>
  <c r="Q2002" i="5"/>
  <c r="Q2003" i="5"/>
  <c r="Q2004" i="5"/>
  <c r="Q2005" i="5"/>
  <c r="Q2006" i="5"/>
  <c r="Q2007" i="5"/>
  <c r="Q2008" i="5"/>
  <c r="Q2009" i="5"/>
  <c r="Q2010" i="5"/>
  <c r="Q2011" i="5"/>
  <c r="Q2012" i="5"/>
  <c r="Q2013" i="5"/>
  <c r="Q2014" i="5"/>
  <c r="Q2015" i="5"/>
  <c r="Q2016" i="5"/>
  <c r="Q2017" i="5"/>
  <c r="Q2018" i="5"/>
  <c r="Q2019" i="5"/>
  <c r="Q2020" i="5"/>
  <c r="Q2021" i="5"/>
  <c r="Q2022" i="5"/>
  <c r="Q2023" i="5"/>
  <c r="Q2024" i="5"/>
  <c r="Q2025" i="5"/>
  <c r="Q2026" i="5"/>
  <c r="Q2027" i="5"/>
  <c r="Q2028" i="5"/>
  <c r="Q2029" i="5"/>
  <c r="Q2030" i="5"/>
  <c r="Q2031" i="5"/>
  <c r="Q2032" i="5"/>
  <c r="Q2033" i="5"/>
  <c r="Q2034" i="5"/>
  <c r="Q2035" i="5"/>
  <c r="Q2036" i="5"/>
  <c r="Q2037" i="5"/>
  <c r="Q2038" i="5"/>
  <c r="Q2039" i="5"/>
  <c r="Q2040" i="5"/>
  <c r="Q2041" i="5"/>
  <c r="Q2042" i="5"/>
  <c r="Q2043" i="5"/>
  <c r="Q2044" i="5"/>
  <c r="Q2045" i="5"/>
  <c r="Q2046" i="5"/>
  <c r="Q2047" i="5"/>
  <c r="Q2048" i="5"/>
  <c r="Q2049" i="5"/>
  <c r="Q2050" i="5"/>
  <c r="Q2051" i="5"/>
  <c r="Q2052" i="5"/>
  <c r="Q2053" i="5"/>
  <c r="Q2054" i="5"/>
  <c r="Q2055" i="5"/>
  <c r="Q2056" i="5"/>
  <c r="Q2057" i="5"/>
  <c r="Q2058" i="5"/>
  <c r="Q2059" i="5"/>
  <c r="Q2060" i="5"/>
  <c r="Q2061" i="5"/>
  <c r="Q2062" i="5"/>
  <c r="Q2063" i="5"/>
  <c r="Q2064" i="5"/>
  <c r="Q2065" i="5"/>
  <c r="Q2066" i="5"/>
  <c r="Q2067" i="5"/>
  <c r="Q2068" i="5"/>
  <c r="Q2069" i="5"/>
  <c r="Q2070" i="5"/>
  <c r="Q2071" i="5"/>
  <c r="Q2072" i="5"/>
  <c r="Q2073" i="5"/>
  <c r="Q2074" i="5"/>
  <c r="Q2075" i="5"/>
  <c r="Q2076" i="5"/>
  <c r="Q2077" i="5"/>
  <c r="Q2078" i="5"/>
  <c r="Q2079" i="5"/>
  <c r="Q2080" i="5"/>
  <c r="Q2081" i="5"/>
  <c r="Q2082" i="5"/>
  <c r="Q2083" i="5"/>
  <c r="Q2084" i="5"/>
  <c r="Q2085" i="5"/>
  <c r="Q2086" i="5"/>
  <c r="Q2087" i="5"/>
  <c r="Q2088" i="5"/>
  <c r="Q2089" i="5"/>
  <c r="Q2090" i="5"/>
  <c r="Q2091" i="5"/>
  <c r="Q2092" i="5"/>
  <c r="Q2093" i="5"/>
  <c r="Q2094" i="5"/>
  <c r="Q2095" i="5"/>
  <c r="Q2096" i="5"/>
  <c r="Q2097" i="5"/>
  <c r="Q2098" i="5"/>
  <c r="Q2099" i="5"/>
  <c r="Q2100" i="5"/>
  <c r="Q2101" i="5"/>
  <c r="Q2102" i="5"/>
  <c r="Q2103" i="5"/>
  <c r="Q2104" i="5"/>
  <c r="Q2105" i="5"/>
  <c r="Q2106" i="5"/>
  <c r="Q2107" i="5"/>
  <c r="Q2108" i="5"/>
  <c r="Q2109" i="5"/>
  <c r="Q2110" i="5"/>
  <c r="Q2111" i="5"/>
  <c r="Q2112" i="5"/>
  <c r="Q2113" i="5"/>
  <c r="Q2114" i="5"/>
  <c r="Q2115" i="5"/>
  <c r="Q2116" i="5"/>
  <c r="Q2117" i="5"/>
  <c r="Q2118" i="5"/>
  <c r="Q2119" i="5"/>
  <c r="Q2120" i="5"/>
  <c r="Q2121" i="5"/>
  <c r="Q2122" i="5"/>
  <c r="Q2123" i="5"/>
  <c r="Q2124" i="5"/>
  <c r="Q2125" i="5"/>
  <c r="Q2126" i="5"/>
  <c r="Q2127" i="5"/>
  <c r="Q2128" i="5"/>
  <c r="Q2129" i="5"/>
  <c r="Q2130" i="5"/>
  <c r="Q2131" i="5"/>
  <c r="Q2132" i="5"/>
  <c r="Q2133" i="5"/>
  <c r="Q2134" i="5"/>
  <c r="Q2135" i="5"/>
  <c r="Q2136" i="5"/>
  <c r="Q2137" i="5"/>
  <c r="Q2138" i="5"/>
  <c r="Q2139" i="5"/>
  <c r="Q2140" i="5"/>
  <c r="Q2141" i="5"/>
  <c r="Q2142" i="5"/>
  <c r="Q2143" i="5"/>
  <c r="Q2144" i="5"/>
  <c r="Q2145" i="5"/>
  <c r="Q2146" i="5"/>
  <c r="Q2147" i="5"/>
  <c r="Q2148" i="5"/>
  <c r="Q2149" i="5"/>
  <c r="Q2150" i="5"/>
  <c r="Q2151" i="5"/>
  <c r="Q2152" i="5"/>
  <c r="Q2153" i="5"/>
  <c r="Q2154" i="5"/>
  <c r="Q2155" i="5"/>
  <c r="Q2156" i="5"/>
  <c r="Q2157" i="5"/>
  <c r="Q2158" i="5"/>
  <c r="Q2159" i="5"/>
  <c r="Q2160" i="5"/>
  <c r="Q2161" i="5"/>
  <c r="Q2162" i="5"/>
  <c r="Q2163" i="5"/>
  <c r="Q2164" i="5"/>
  <c r="Q2165" i="5"/>
  <c r="Q2166" i="5"/>
  <c r="Q2167" i="5"/>
  <c r="Q2168" i="5"/>
  <c r="Q2169" i="5"/>
  <c r="Q2170" i="5"/>
  <c r="Q2171" i="5"/>
  <c r="Q2172" i="5"/>
  <c r="Q2173" i="5"/>
  <c r="Q2174" i="5"/>
  <c r="Q2175" i="5"/>
  <c r="Q2176" i="5"/>
  <c r="Q2177" i="5"/>
  <c r="Q2178" i="5"/>
  <c r="Q2179" i="5"/>
  <c r="Q2180" i="5"/>
  <c r="Q2181" i="5"/>
  <c r="Q2182" i="5"/>
  <c r="Q2183" i="5"/>
  <c r="Q2184" i="5"/>
  <c r="Q2185" i="5"/>
  <c r="Q2186" i="5"/>
  <c r="Q2187" i="5"/>
  <c r="Q2188" i="5"/>
  <c r="Q2189" i="5"/>
  <c r="Q2190" i="5"/>
  <c r="Q2191" i="5"/>
  <c r="Q2192" i="5"/>
  <c r="Q2193" i="5"/>
  <c r="Q2194" i="5"/>
  <c r="Q2195" i="5"/>
  <c r="Q2196" i="5"/>
  <c r="Q2197" i="5"/>
  <c r="Q2198" i="5"/>
  <c r="Q2199" i="5"/>
  <c r="Q2200" i="5"/>
  <c r="Q2201" i="5"/>
  <c r="Q2202" i="5"/>
  <c r="Q2203" i="5"/>
  <c r="Q2204" i="5"/>
  <c r="Q2205" i="5"/>
  <c r="Q2206" i="5"/>
  <c r="Q2207" i="5"/>
  <c r="Q2208" i="5"/>
  <c r="Q2209" i="5"/>
  <c r="Q2210" i="5"/>
  <c r="Q2211" i="5"/>
  <c r="Q2212" i="5"/>
  <c r="Q2213" i="5"/>
  <c r="Q2214" i="5"/>
  <c r="Q2215" i="5"/>
  <c r="Q2216" i="5"/>
  <c r="Q2217" i="5"/>
  <c r="Q2218" i="5"/>
  <c r="Q2219" i="5"/>
  <c r="Q2220" i="5"/>
  <c r="Q2221" i="5"/>
  <c r="Q2222" i="5"/>
  <c r="Q2223" i="5"/>
  <c r="Q2224" i="5"/>
  <c r="Q2225" i="5"/>
  <c r="Q2226" i="5"/>
  <c r="Q2227" i="5"/>
  <c r="Q2228" i="5"/>
  <c r="Q2229" i="5"/>
  <c r="Q2230" i="5"/>
  <c r="Q2231" i="5"/>
  <c r="Q2232" i="5"/>
  <c r="Q2233" i="5"/>
  <c r="Q2234" i="5"/>
  <c r="Q2235" i="5"/>
  <c r="Q2236" i="5"/>
  <c r="Q2237" i="5"/>
  <c r="Q2238" i="5"/>
  <c r="Q2239" i="5"/>
  <c r="Q2240" i="5"/>
  <c r="Q2241" i="5"/>
  <c r="Q2242" i="5"/>
  <c r="Q2243" i="5"/>
  <c r="Q2244" i="5"/>
  <c r="Q2245" i="5"/>
  <c r="Q2246" i="5"/>
  <c r="Q2247" i="5"/>
  <c r="Q2248" i="5"/>
  <c r="Q2249" i="5"/>
  <c r="Q2250" i="5"/>
  <c r="Q2251" i="5"/>
  <c r="Q2252" i="5"/>
  <c r="Q2253" i="5"/>
  <c r="Q2254" i="5"/>
  <c r="Q2255" i="5"/>
  <c r="Q2256" i="5"/>
  <c r="Q2257" i="5"/>
  <c r="Q2258" i="5"/>
  <c r="Q2259" i="5"/>
  <c r="Q2260" i="5"/>
  <c r="Q2261" i="5"/>
  <c r="Q2262" i="5"/>
  <c r="Q2263" i="5"/>
  <c r="Q2264" i="5"/>
  <c r="Q2265" i="5"/>
  <c r="Q2266" i="5"/>
  <c r="Q2267" i="5"/>
  <c r="Q2268" i="5"/>
  <c r="Q2269" i="5"/>
  <c r="Q2270" i="5"/>
  <c r="Q2271" i="5"/>
  <c r="Q2272" i="5"/>
  <c r="Q2273" i="5"/>
  <c r="Q2274" i="5"/>
  <c r="Q2275" i="5"/>
  <c r="Q2276" i="5"/>
  <c r="Q2277" i="5"/>
  <c r="Q2278" i="5"/>
  <c r="Q2279" i="5"/>
  <c r="Q2280" i="5"/>
  <c r="Q2281" i="5"/>
  <c r="Q2282" i="5"/>
  <c r="Q2283" i="5"/>
  <c r="Q2284" i="5"/>
  <c r="Q2285" i="5"/>
  <c r="Q2286" i="5"/>
  <c r="Q2287" i="5"/>
  <c r="Q2288" i="5"/>
  <c r="Q2289" i="5"/>
  <c r="Q2290" i="5"/>
  <c r="Q2291" i="5"/>
  <c r="Q2292" i="5"/>
  <c r="Q2293" i="5"/>
  <c r="Q2294" i="5"/>
  <c r="Q2295" i="5"/>
  <c r="Q2296" i="5"/>
  <c r="Q2297" i="5"/>
  <c r="Q2298" i="5"/>
  <c r="Q2299" i="5"/>
  <c r="Q2300" i="5"/>
  <c r="Q2301" i="5"/>
  <c r="Q2302" i="5"/>
  <c r="Q2303" i="5"/>
  <c r="Q2304" i="5"/>
  <c r="Q2305" i="5"/>
  <c r="Q2306" i="5"/>
  <c r="Q2307" i="5"/>
  <c r="Q2308" i="5"/>
  <c r="Q2309" i="5"/>
  <c r="Q2310" i="5"/>
  <c r="Q2311" i="5"/>
  <c r="Q2312" i="5"/>
  <c r="Q2313" i="5"/>
  <c r="Q2314" i="5"/>
  <c r="Q2315" i="5"/>
  <c r="Q2316" i="5"/>
  <c r="Q2317" i="5"/>
  <c r="Q2318" i="5"/>
  <c r="Q2319" i="5"/>
  <c r="Q2320" i="5"/>
  <c r="Q2321" i="5"/>
  <c r="Q2322" i="5"/>
  <c r="Q2323" i="5"/>
  <c r="Q2324" i="5"/>
  <c r="Q2325" i="5"/>
  <c r="Q2326" i="5"/>
  <c r="Q2327" i="5"/>
  <c r="Q2328" i="5"/>
  <c r="Q2329" i="5"/>
  <c r="Q2330" i="5"/>
  <c r="Q2331" i="5"/>
  <c r="Q2332" i="5"/>
  <c r="Q2333" i="5"/>
  <c r="Q2334" i="5"/>
  <c r="Q2335" i="5"/>
  <c r="Q2336" i="5"/>
  <c r="Q2337" i="5"/>
  <c r="Q2338" i="5"/>
  <c r="Q2339" i="5"/>
  <c r="Q2340" i="5"/>
  <c r="Q2341" i="5"/>
  <c r="Q2342" i="5"/>
  <c r="Q2343" i="5"/>
  <c r="Q2344" i="5"/>
  <c r="Q2345" i="5"/>
  <c r="Q2346" i="5"/>
  <c r="Q2347" i="5"/>
  <c r="Q2348" i="5"/>
  <c r="Q2349" i="5"/>
  <c r="Q2350" i="5"/>
  <c r="Q2351" i="5"/>
  <c r="Q2352" i="5"/>
  <c r="Q2353" i="5"/>
  <c r="Q2354" i="5"/>
  <c r="Q2355" i="5"/>
  <c r="Q2356" i="5"/>
  <c r="Q2357" i="5"/>
  <c r="Q2358" i="5"/>
  <c r="Q2359" i="5"/>
  <c r="Q2360" i="5"/>
  <c r="Q2361" i="5"/>
  <c r="Q2362" i="5"/>
  <c r="Q2363" i="5"/>
  <c r="Q2364" i="5"/>
  <c r="Q2365" i="5"/>
  <c r="Q2366" i="5"/>
  <c r="Q2367" i="5"/>
  <c r="Q2368" i="5"/>
  <c r="Q2369" i="5"/>
  <c r="Q2370" i="5"/>
  <c r="Q2371" i="5"/>
  <c r="Q2372" i="5"/>
  <c r="Q2373" i="5"/>
  <c r="Q2374" i="5"/>
  <c r="Q2375" i="5"/>
  <c r="Q2376" i="5"/>
  <c r="Q2377" i="5"/>
  <c r="Q2378" i="5"/>
  <c r="Q2379" i="5"/>
  <c r="Q2380" i="5"/>
  <c r="Q2381" i="5"/>
  <c r="Q2382" i="5"/>
  <c r="Q2383" i="5"/>
  <c r="Q2384" i="5"/>
  <c r="Q2385" i="5"/>
  <c r="Q2386" i="5"/>
  <c r="Q2387" i="5"/>
  <c r="Q2388" i="5"/>
  <c r="Q2389" i="5"/>
  <c r="Q2390" i="5"/>
  <c r="Q2391" i="5"/>
  <c r="Q2392" i="5"/>
  <c r="Q2393" i="5"/>
  <c r="Q2394" i="5"/>
  <c r="Q2395" i="5"/>
  <c r="Q2396" i="5"/>
  <c r="Q2397" i="5"/>
  <c r="Q2398" i="5"/>
  <c r="Q2399" i="5"/>
  <c r="Q2400" i="5"/>
  <c r="Q2401" i="5"/>
  <c r="Q2402" i="5"/>
  <c r="Q2403" i="5"/>
  <c r="Q2404" i="5"/>
  <c r="Q2405" i="5"/>
  <c r="Q2406" i="5"/>
  <c r="Q2407" i="5"/>
  <c r="Q2408" i="5"/>
  <c r="Q2409" i="5"/>
  <c r="Q2410" i="5"/>
  <c r="Q2411" i="5"/>
  <c r="Q2412" i="5"/>
  <c r="Q2413" i="5"/>
  <c r="Q2414" i="5"/>
  <c r="Q2415" i="5"/>
  <c r="Q2416" i="5"/>
  <c r="Q2417" i="5"/>
  <c r="Q2418" i="5"/>
  <c r="Q2419" i="5"/>
  <c r="Q2420" i="5"/>
  <c r="Q2421" i="5"/>
  <c r="Q2422" i="5"/>
  <c r="Q2423" i="5"/>
  <c r="Q2424" i="5"/>
  <c r="Q2425" i="5"/>
  <c r="Q2426" i="5"/>
  <c r="Q2427" i="5"/>
  <c r="Q2428" i="5"/>
  <c r="Q2429" i="5"/>
  <c r="Q2430" i="5"/>
  <c r="Q2431" i="5"/>
  <c r="Q2432" i="5"/>
  <c r="Q2433" i="5"/>
  <c r="Q2434" i="5"/>
  <c r="Q2435" i="5"/>
  <c r="Q2436" i="5"/>
  <c r="Q2437" i="5"/>
  <c r="Q2438" i="5"/>
  <c r="Q2439" i="5"/>
  <c r="Q2440" i="5"/>
  <c r="Q2441" i="5"/>
  <c r="Q2442" i="5"/>
  <c r="Q2443" i="5"/>
  <c r="Q2444" i="5"/>
  <c r="Q2445" i="5"/>
  <c r="Q2446" i="5"/>
  <c r="Q2447" i="5"/>
  <c r="Q2448" i="5"/>
  <c r="Q2449" i="5"/>
  <c r="Q2450" i="5"/>
  <c r="Q2451" i="5"/>
  <c r="Q2452" i="5"/>
  <c r="Q2453" i="5"/>
  <c r="Q2454" i="5"/>
  <c r="Q2455" i="5"/>
  <c r="Q2456" i="5"/>
  <c r="Q2457" i="5"/>
  <c r="Q2458" i="5"/>
  <c r="Q2459" i="5"/>
  <c r="Q2460" i="5"/>
  <c r="Q2461" i="5"/>
  <c r="Q2462" i="5"/>
  <c r="Q2463" i="5"/>
  <c r="Q2464" i="5"/>
  <c r="Q2465" i="5"/>
  <c r="Q2466" i="5"/>
  <c r="Q2467" i="5"/>
  <c r="Q2468" i="5"/>
  <c r="Q2469" i="5"/>
  <c r="Q2470" i="5"/>
  <c r="Q2471" i="5"/>
  <c r="Q2472" i="5"/>
  <c r="Q2473" i="5"/>
  <c r="Q2474" i="5"/>
  <c r="Q2475" i="5"/>
  <c r="Q2476" i="5"/>
  <c r="Q2477" i="5"/>
  <c r="Q2478" i="5"/>
  <c r="Q2479" i="5"/>
  <c r="Q2480" i="5"/>
  <c r="Q2481" i="5"/>
  <c r="Q2482" i="5"/>
  <c r="Q2483" i="5"/>
  <c r="Q2484" i="5"/>
  <c r="Q2485" i="5"/>
  <c r="Q2486" i="5"/>
  <c r="Q2487" i="5"/>
  <c r="Q2488" i="5"/>
  <c r="Q2489" i="5"/>
  <c r="Q2490" i="5"/>
  <c r="Q2491" i="5"/>
  <c r="Q2492" i="5"/>
  <c r="Q2493" i="5"/>
  <c r="Q2494" i="5"/>
  <c r="Q2495" i="5"/>
  <c r="Q2496" i="5"/>
  <c r="Q2497" i="5"/>
  <c r="Q2498" i="5"/>
  <c r="Q2499" i="5"/>
  <c r="Q2500" i="5"/>
  <c r="Q2501" i="5"/>
  <c r="Q2502" i="5"/>
  <c r="Q2503" i="5"/>
  <c r="Q2504" i="5"/>
  <c r="Q2505" i="5"/>
  <c r="Q2506" i="5"/>
  <c r="Q2507" i="5"/>
  <c r="Q2508" i="5"/>
  <c r="Q2509" i="5"/>
  <c r="Q2510" i="5"/>
  <c r="Q2511" i="5"/>
  <c r="Q2512" i="5"/>
  <c r="Q2513" i="5"/>
  <c r="Q2514" i="5"/>
  <c r="Q2515" i="5"/>
  <c r="Q2516" i="5"/>
  <c r="Q2517" i="5"/>
  <c r="Q2518" i="5"/>
  <c r="Q2519" i="5"/>
  <c r="Q2520" i="5"/>
  <c r="Q2521" i="5"/>
  <c r="Q2522" i="5"/>
  <c r="Q2523" i="5"/>
  <c r="Q2524" i="5"/>
  <c r="Q2525" i="5"/>
  <c r="Q2526" i="5"/>
  <c r="Q2527" i="5"/>
  <c r="Q2528" i="5"/>
  <c r="Q2529" i="5"/>
  <c r="Q2530" i="5"/>
  <c r="Q2531" i="5"/>
  <c r="Q2532" i="5"/>
  <c r="Q2533" i="5"/>
  <c r="Q2534" i="5"/>
  <c r="Q2535" i="5"/>
  <c r="Q2536" i="5"/>
  <c r="Q2537" i="5"/>
  <c r="Q2538" i="5"/>
  <c r="Q2539" i="5"/>
  <c r="Q2540" i="5"/>
  <c r="Q2541" i="5"/>
  <c r="Q2542" i="5"/>
  <c r="Q2543" i="5"/>
  <c r="Q2544" i="5"/>
  <c r="Q2545" i="5"/>
  <c r="Q2546" i="5"/>
  <c r="Q2547" i="5"/>
  <c r="Q2548" i="5"/>
  <c r="Q2549" i="5"/>
  <c r="Q2550" i="5"/>
  <c r="Q2551" i="5"/>
  <c r="Q2552" i="5"/>
  <c r="Q2553" i="5"/>
  <c r="Q2554" i="5"/>
  <c r="Q2555" i="5"/>
  <c r="Q2556" i="5"/>
  <c r="Q2557" i="5"/>
  <c r="Q2558" i="5"/>
  <c r="Q2559" i="5"/>
  <c r="Q2560" i="5"/>
  <c r="Q2561" i="5"/>
  <c r="Q2562" i="5"/>
  <c r="Q2563" i="5"/>
  <c r="Q2564" i="5"/>
  <c r="Q2565" i="5"/>
  <c r="Q2566" i="5"/>
  <c r="Q2567" i="5"/>
  <c r="Q2568" i="5"/>
  <c r="Q2569" i="5"/>
  <c r="Q2570" i="5"/>
  <c r="Q2571" i="5"/>
  <c r="Q2572" i="5"/>
  <c r="Q2573" i="5"/>
  <c r="Q2574" i="5"/>
  <c r="Q2575" i="5"/>
  <c r="Q2576" i="5"/>
  <c r="Q2577" i="5"/>
  <c r="Q2578" i="5"/>
  <c r="Q2579" i="5"/>
  <c r="Q2580" i="5"/>
  <c r="Q2581" i="5"/>
  <c r="Q2582" i="5"/>
  <c r="Q2583" i="5"/>
  <c r="Q2584" i="5"/>
  <c r="Q2585" i="5"/>
  <c r="Q2586" i="5"/>
  <c r="Q2587" i="5"/>
  <c r="Q2588" i="5"/>
  <c r="Q2589" i="5"/>
  <c r="Q2590" i="5"/>
  <c r="Q2591" i="5"/>
  <c r="Q2592" i="5"/>
  <c r="Q2593" i="5"/>
  <c r="Q2594" i="5"/>
  <c r="Q2595" i="5"/>
  <c r="Q2596" i="5"/>
  <c r="Q2597" i="5"/>
  <c r="Q2598" i="5"/>
  <c r="Q2599" i="5"/>
  <c r="Q2600" i="5"/>
  <c r="Q2601" i="5"/>
  <c r="Q2602" i="5"/>
  <c r="Q2603" i="5"/>
  <c r="Q2604" i="5"/>
  <c r="Q2605" i="5"/>
  <c r="Q2606" i="5"/>
  <c r="Q2607" i="5"/>
  <c r="Q2608" i="5"/>
  <c r="Q2609" i="5"/>
  <c r="Q2610" i="5"/>
  <c r="Q2611" i="5"/>
  <c r="Q2612" i="5"/>
  <c r="Q2613" i="5"/>
  <c r="Q2614" i="5"/>
  <c r="Q2615" i="5"/>
  <c r="Q2616" i="5"/>
  <c r="Q2617" i="5"/>
  <c r="Q2618" i="5"/>
  <c r="Q2619" i="5"/>
  <c r="Q2620" i="5"/>
  <c r="Q2621" i="5"/>
  <c r="Q2622" i="5"/>
  <c r="Q2623" i="5"/>
  <c r="Q2624" i="5"/>
  <c r="Q2625" i="5"/>
  <c r="Q2626" i="5"/>
  <c r="Q2627" i="5"/>
  <c r="Q2628" i="5"/>
  <c r="Q2629" i="5"/>
  <c r="Q2630" i="5"/>
  <c r="Q2631" i="5"/>
  <c r="Q2632" i="5"/>
  <c r="Q2633" i="5"/>
  <c r="Q2634" i="5"/>
  <c r="Q2635" i="5"/>
  <c r="Q2636" i="5"/>
  <c r="Q2637" i="5"/>
  <c r="Q2638" i="5"/>
  <c r="Q2639" i="5"/>
  <c r="Q2640" i="5"/>
  <c r="Q2641" i="5"/>
  <c r="Q2642" i="5"/>
  <c r="Q2643" i="5"/>
  <c r="Q2644" i="5"/>
  <c r="Q2645" i="5"/>
  <c r="Q2646" i="5"/>
  <c r="Q2647" i="5"/>
  <c r="Q2648" i="5"/>
  <c r="Q2649" i="5"/>
  <c r="Q2650" i="5"/>
  <c r="Q2651" i="5"/>
  <c r="Q2652" i="5"/>
  <c r="Q2653" i="5"/>
  <c r="Q2654" i="5"/>
  <c r="Q2655" i="5"/>
  <c r="Q2656" i="5"/>
  <c r="Q2657" i="5"/>
  <c r="Q2658" i="5"/>
  <c r="Q2659" i="5"/>
  <c r="Q2660" i="5"/>
  <c r="Q2661" i="5"/>
  <c r="Q2662" i="5"/>
  <c r="Q2663" i="5"/>
  <c r="Q2664" i="5"/>
  <c r="Q2665" i="5"/>
  <c r="Q2666" i="5"/>
  <c r="Q2667" i="5"/>
  <c r="Q2668" i="5"/>
  <c r="Q2669" i="5"/>
  <c r="Q2670" i="5"/>
  <c r="Q2671" i="5"/>
  <c r="Q2672" i="5"/>
  <c r="Q2673" i="5"/>
  <c r="Q2674" i="5"/>
  <c r="Q2675" i="5"/>
  <c r="Q2676" i="5"/>
  <c r="Q2677" i="5"/>
  <c r="Q2678" i="5"/>
  <c r="Q2679" i="5"/>
  <c r="Q2680" i="5"/>
  <c r="Q2681" i="5"/>
  <c r="Q2682" i="5"/>
  <c r="Q2683" i="5"/>
  <c r="Q2684" i="5"/>
  <c r="Q2685" i="5"/>
  <c r="Q2686" i="5"/>
  <c r="Q2687" i="5"/>
  <c r="Q2688" i="5"/>
  <c r="Q2689" i="5"/>
  <c r="Q2690" i="5"/>
  <c r="Q2691" i="5"/>
  <c r="Q2692" i="5"/>
  <c r="Q2693" i="5"/>
  <c r="Q2694" i="5"/>
  <c r="Q2695" i="5"/>
  <c r="Q2696" i="5"/>
  <c r="Q2697" i="5"/>
  <c r="Q2698" i="5"/>
  <c r="Q2699" i="5"/>
  <c r="Q2700" i="5"/>
  <c r="Q2701" i="5"/>
  <c r="Q2702" i="5"/>
  <c r="Q2703" i="5"/>
  <c r="Q2704" i="5"/>
  <c r="Q2705" i="5"/>
  <c r="Q2706" i="5"/>
  <c r="Q2707" i="5"/>
  <c r="Q2708" i="5"/>
  <c r="Q2709" i="5"/>
  <c r="Q2710" i="5"/>
  <c r="Q2711" i="5"/>
  <c r="Q2712" i="5"/>
  <c r="Q2713" i="5"/>
  <c r="Q2714" i="5"/>
  <c r="Q2715" i="5"/>
  <c r="Q2716" i="5"/>
  <c r="Q2717" i="5"/>
  <c r="Q2718" i="5"/>
  <c r="Q2719" i="5"/>
  <c r="Q2720" i="5"/>
  <c r="Q2721" i="5"/>
  <c r="Q2722" i="5"/>
  <c r="Q2723" i="5"/>
  <c r="Q2724" i="5"/>
  <c r="Q2725" i="5"/>
  <c r="Q2726" i="5"/>
  <c r="Q2727" i="5"/>
  <c r="Q2728" i="5"/>
  <c r="Q2729" i="5"/>
  <c r="Q2730" i="5"/>
  <c r="Q2731" i="5"/>
  <c r="Q2732" i="5"/>
  <c r="Q2733" i="5"/>
  <c r="Q2734" i="5"/>
  <c r="Q2735" i="5"/>
  <c r="Q2736" i="5"/>
  <c r="Q2737" i="5"/>
  <c r="Q2738" i="5"/>
  <c r="Q2739" i="5"/>
  <c r="Q2740" i="5"/>
  <c r="Q2741" i="5"/>
  <c r="Q2742" i="5"/>
  <c r="Q2743" i="5"/>
  <c r="Q2744" i="5"/>
  <c r="Q2745" i="5"/>
  <c r="Q2746" i="5"/>
  <c r="Q2747" i="5"/>
  <c r="Q2748" i="5"/>
  <c r="Q2749" i="5"/>
  <c r="Q2750" i="5"/>
  <c r="Q2751" i="5"/>
  <c r="Q2752" i="5"/>
  <c r="Q2753" i="5"/>
  <c r="Q2754" i="5"/>
  <c r="Q2755" i="5"/>
  <c r="Q2756" i="5"/>
  <c r="Q2757" i="5"/>
  <c r="Q2758" i="5"/>
  <c r="Q2759" i="5"/>
  <c r="Q2760" i="5"/>
  <c r="Q2761" i="5"/>
  <c r="Q2762" i="5"/>
  <c r="Q2763" i="5"/>
  <c r="Q2764" i="5"/>
  <c r="Q2765" i="5"/>
  <c r="Q2766" i="5"/>
  <c r="Q2767" i="5"/>
  <c r="Q2768" i="5"/>
  <c r="Q2769" i="5"/>
  <c r="Q2770" i="5"/>
  <c r="Q2771" i="5"/>
  <c r="Q2772" i="5"/>
  <c r="Q2773" i="5"/>
  <c r="Q2774" i="5"/>
  <c r="Q2775" i="5"/>
  <c r="Q2776" i="5"/>
  <c r="Q2777" i="5"/>
  <c r="Q2778" i="5"/>
  <c r="Q2779" i="5"/>
  <c r="Q2780" i="5"/>
  <c r="Q2781" i="5"/>
  <c r="Q2782" i="5"/>
  <c r="Q2783" i="5"/>
  <c r="Q2784" i="5"/>
  <c r="Q2785" i="5"/>
  <c r="Q2786" i="5"/>
  <c r="Q2787" i="5"/>
  <c r="Q2788" i="5"/>
  <c r="Q2789" i="5"/>
  <c r="Q2790" i="5"/>
  <c r="Q2791" i="5"/>
  <c r="Q2792" i="5"/>
  <c r="Q2793" i="5"/>
  <c r="Q2794" i="5"/>
  <c r="Q2795" i="5"/>
  <c r="Q2796" i="5"/>
  <c r="Q2797" i="5"/>
  <c r="Q2798" i="5"/>
  <c r="Q2799" i="5"/>
  <c r="Q2800" i="5"/>
  <c r="Q2801" i="5"/>
  <c r="P2" i="5" a="1"/>
  <c r="P2" i="5" s="1"/>
  <c r="P3" i="5" a="1"/>
  <c r="P3" i="5" s="1"/>
  <c r="P4" i="5" a="1"/>
  <c r="P4" i="5" s="1"/>
  <c r="P5" i="5" a="1"/>
  <c r="P5" i="5" s="1"/>
  <c r="P6" i="5" a="1"/>
  <c r="P6" i="5" s="1"/>
  <c r="P7" i="5" a="1"/>
  <c r="P7" i="5" s="1"/>
  <c r="P8" i="5" a="1"/>
  <c r="P8" i="5" s="1"/>
  <c r="P9" i="5" a="1"/>
  <c r="P9" i="5" s="1"/>
  <c r="P10" i="5" a="1"/>
  <c r="P10" i="5" s="1"/>
  <c r="P11" i="5" a="1"/>
  <c r="P11" i="5" s="1"/>
  <c r="P12" i="5" a="1"/>
  <c r="P12" i="5" s="1"/>
  <c r="P13" i="5" a="1"/>
  <c r="P13" i="5" s="1"/>
  <c r="P14" i="5" a="1"/>
  <c r="P14" i="5" s="1"/>
  <c r="P15" i="5" a="1"/>
  <c r="P15" i="5" s="1"/>
  <c r="P16" i="5" a="1"/>
  <c r="P16" i="5" s="1"/>
  <c r="P17" i="5" a="1"/>
  <c r="P17" i="5" s="1"/>
  <c r="P18" i="5" a="1"/>
  <c r="P18" i="5" s="1"/>
  <c r="P19" i="5" a="1"/>
  <c r="P19" i="5" s="1"/>
  <c r="P20" i="5" a="1"/>
  <c r="P20" i="5" s="1"/>
  <c r="P21" i="5" a="1"/>
  <c r="P21" i="5" s="1"/>
  <c r="P22" i="5" a="1"/>
  <c r="P22" i="5" s="1"/>
  <c r="P23" i="5" a="1"/>
  <c r="P23" i="5" s="1"/>
  <c r="P24" i="5" a="1"/>
  <c r="P24" i="5" s="1"/>
  <c r="P25" i="5" a="1"/>
  <c r="P25" i="5" s="1"/>
  <c r="P26" i="5" a="1"/>
  <c r="P26" i="5" s="1"/>
  <c r="P27" i="5" a="1"/>
  <c r="P27" i="5" s="1"/>
  <c r="P28" i="5" a="1"/>
  <c r="P28" i="5" s="1"/>
  <c r="P29" i="5" a="1"/>
  <c r="P29" i="5" s="1"/>
  <c r="P30" i="5" a="1"/>
  <c r="P30" i="5" s="1"/>
  <c r="P31" i="5" a="1"/>
  <c r="P31" i="5" s="1"/>
  <c r="P32" i="5" a="1"/>
  <c r="P32" i="5" s="1"/>
  <c r="P33" i="5" a="1"/>
  <c r="P33" i="5" s="1"/>
  <c r="P34" i="5" a="1"/>
  <c r="P34" i="5" s="1"/>
  <c r="P35" i="5" a="1"/>
  <c r="P35" i="5" s="1"/>
  <c r="P36" i="5" a="1"/>
  <c r="P36" i="5" s="1"/>
  <c r="P37" i="5" a="1"/>
  <c r="P37" i="5" s="1"/>
  <c r="P38" i="5" a="1"/>
  <c r="P38" i="5" s="1"/>
  <c r="P39" i="5" a="1"/>
  <c r="P39" i="5" s="1"/>
  <c r="P40" i="5" a="1"/>
  <c r="P40" i="5" s="1"/>
  <c r="P41" i="5" a="1"/>
  <c r="P41" i="5" s="1"/>
  <c r="P42" i="5" a="1"/>
  <c r="P42" i="5" s="1"/>
  <c r="P43" i="5" a="1"/>
  <c r="P43" i="5" s="1"/>
  <c r="P44" i="5" a="1"/>
  <c r="P44" i="5" s="1"/>
  <c r="P45" i="5" a="1"/>
  <c r="P45" i="5" s="1"/>
  <c r="P46" i="5" a="1"/>
  <c r="P46" i="5" s="1"/>
  <c r="P47" i="5" a="1"/>
  <c r="P47" i="5" s="1"/>
  <c r="P48" i="5" a="1"/>
  <c r="P48" i="5" s="1"/>
  <c r="P49" i="5" a="1"/>
  <c r="P49" i="5" s="1"/>
  <c r="P50" i="5" a="1"/>
  <c r="P50" i="5" s="1"/>
  <c r="P51" i="5" a="1"/>
  <c r="P51" i="5" s="1"/>
  <c r="P52" i="5" a="1"/>
  <c r="P52" i="5" s="1"/>
  <c r="P53" i="5" a="1"/>
  <c r="P53" i="5" s="1"/>
  <c r="P54" i="5" a="1"/>
  <c r="P54" i="5" s="1"/>
  <c r="P55" i="5" a="1"/>
  <c r="P55" i="5" s="1"/>
  <c r="P56" i="5" a="1"/>
  <c r="P56" i="5" s="1"/>
  <c r="P57" i="5" a="1"/>
  <c r="P57" i="5"/>
  <c r="P58" i="5" a="1"/>
  <c r="P58" i="5" s="1"/>
  <c r="P59" i="5" a="1"/>
  <c r="P59" i="5" s="1"/>
  <c r="P60" i="5" a="1"/>
  <c r="P60" i="5" s="1"/>
  <c r="P61" i="5" a="1"/>
  <c r="P61" i="5" s="1"/>
  <c r="P62" i="5" a="1"/>
  <c r="P62" i="5" s="1"/>
  <c r="P63" i="5" a="1"/>
  <c r="P63" i="5" s="1"/>
  <c r="P64" i="5" a="1"/>
  <c r="P64" i="5" s="1"/>
  <c r="P65" i="5" a="1"/>
  <c r="P65" i="5" s="1"/>
  <c r="P66" i="5" a="1"/>
  <c r="P66" i="5" s="1"/>
  <c r="P67" i="5" a="1"/>
  <c r="P67" i="5" s="1"/>
  <c r="P68" i="5" a="1"/>
  <c r="P68" i="5" s="1"/>
  <c r="P69" i="5" a="1"/>
  <c r="P69" i="5" s="1"/>
  <c r="P70" i="5" a="1"/>
  <c r="P70" i="5" s="1"/>
  <c r="P71" i="5" a="1"/>
  <c r="P71" i="5" s="1"/>
  <c r="P72" i="5" a="1"/>
  <c r="P72" i="5" s="1"/>
  <c r="P73" i="5" a="1"/>
  <c r="P73" i="5" s="1"/>
  <c r="P74" i="5" a="1"/>
  <c r="P74" i="5" s="1"/>
  <c r="P75" i="5" a="1"/>
  <c r="P75" i="5" s="1"/>
  <c r="P76" i="5" a="1"/>
  <c r="P76" i="5" s="1"/>
  <c r="P77" i="5" a="1"/>
  <c r="P77" i="5" s="1"/>
  <c r="P78" i="5" a="1"/>
  <c r="P78" i="5" s="1"/>
  <c r="P79" i="5" a="1"/>
  <c r="P79" i="5" s="1"/>
  <c r="P80" i="5" a="1"/>
  <c r="P80" i="5" s="1"/>
  <c r="P81" i="5" a="1"/>
  <c r="P81" i="5" s="1"/>
  <c r="P82" i="5" a="1"/>
  <c r="P82" i="5" s="1"/>
  <c r="P83" i="5" a="1"/>
  <c r="P83" i="5" s="1"/>
  <c r="P84" i="5" a="1"/>
  <c r="P84" i="5" s="1"/>
  <c r="P85" i="5" a="1"/>
  <c r="P85" i="5"/>
  <c r="P86" i="5" a="1"/>
  <c r="P86" i="5" s="1"/>
  <c r="P87" i="5" a="1"/>
  <c r="P87" i="5" s="1"/>
  <c r="P88" i="5" a="1"/>
  <c r="P88" i="5" s="1"/>
  <c r="P89" i="5" a="1"/>
  <c r="P89" i="5" s="1"/>
  <c r="P90" i="5" a="1"/>
  <c r="P90" i="5" s="1"/>
  <c r="P91" i="5" a="1"/>
  <c r="P91" i="5" s="1"/>
  <c r="P92" i="5" a="1"/>
  <c r="P92" i="5" s="1"/>
  <c r="P93" i="5" a="1"/>
  <c r="P93" i="5" s="1"/>
  <c r="P94" i="5" a="1"/>
  <c r="P94" i="5" s="1"/>
  <c r="P95" i="5" a="1"/>
  <c r="P95" i="5" s="1"/>
  <c r="P96" i="5" a="1"/>
  <c r="P96" i="5" s="1"/>
  <c r="P97" i="5" a="1"/>
  <c r="P97" i="5" s="1"/>
  <c r="P98" i="5" a="1"/>
  <c r="P98" i="5" s="1"/>
  <c r="P99" i="5" a="1"/>
  <c r="P99" i="5" s="1"/>
  <c r="P100" i="5" a="1"/>
  <c r="P100" i="5" s="1"/>
  <c r="P101" i="5" a="1"/>
  <c r="P101" i="5" s="1"/>
  <c r="P102" i="5" a="1"/>
  <c r="P102" i="5" s="1"/>
  <c r="P103" i="5" a="1"/>
  <c r="P103" i="5" s="1"/>
  <c r="P104" i="5" a="1"/>
  <c r="P104" i="5" s="1"/>
  <c r="P105" i="5" a="1"/>
  <c r="P105" i="5" s="1"/>
  <c r="P106" i="5" a="1"/>
  <c r="P106" i="5" s="1"/>
  <c r="P107" i="5" a="1"/>
  <c r="P107" i="5" s="1"/>
  <c r="P108" i="5" a="1"/>
  <c r="P108" i="5" s="1"/>
  <c r="P109" i="5" a="1"/>
  <c r="P109" i="5" s="1"/>
  <c r="P110" i="5" a="1"/>
  <c r="P110" i="5" s="1"/>
  <c r="P111" i="5" a="1"/>
  <c r="P111" i="5" s="1"/>
  <c r="P112" i="5" a="1"/>
  <c r="P112" i="5" s="1"/>
  <c r="P113" i="5" a="1"/>
  <c r="P113" i="5" s="1"/>
  <c r="P114" i="5" a="1"/>
  <c r="P114" i="5" s="1"/>
  <c r="P115" i="5" a="1"/>
  <c r="P115" i="5"/>
  <c r="P116" i="5" a="1"/>
  <c r="P116" i="5" s="1"/>
  <c r="P117" i="5" a="1"/>
  <c r="P117" i="5" s="1"/>
  <c r="P118" i="5" a="1"/>
  <c r="P118" i="5" s="1"/>
  <c r="P119" i="5" a="1"/>
  <c r="P119" i="5" s="1"/>
  <c r="P120" i="5" a="1"/>
  <c r="P120" i="5" s="1"/>
  <c r="P121" i="5" a="1"/>
  <c r="P121" i="5" s="1"/>
  <c r="P122" i="5" a="1"/>
  <c r="P122" i="5" s="1"/>
  <c r="P123" i="5" a="1"/>
  <c r="P123" i="5" s="1"/>
  <c r="P124" i="5" a="1"/>
  <c r="P124" i="5" s="1"/>
  <c r="P125" i="5" a="1"/>
  <c r="P125" i="5" s="1"/>
  <c r="P126" i="5" a="1"/>
  <c r="P126" i="5" s="1"/>
  <c r="P127" i="5" a="1"/>
  <c r="P127" i="5" s="1"/>
  <c r="P128" i="5" a="1"/>
  <c r="P128" i="5" s="1"/>
  <c r="P129" i="5" a="1"/>
  <c r="P129" i="5" s="1"/>
  <c r="P130" i="5" a="1"/>
  <c r="P130" i="5" s="1"/>
  <c r="P131" i="5" a="1"/>
  <c r="P131" i="5" s="1"/>
  <c r="P132" i="5" a="1"/>
  <c r="P132" i="5" s="1"/>
  <c r="P133" i="5" a="1"/>
  <c r="P133" i="5" s="1"/>
  <c r="P134" i="5" a="1"/>
  <c r="P134" i="5" s="1"/>
  <c r="P135" i="5" a="1"/>
  <c r="P135" i="5" s="1"/>
  <c r="P136" i="5" a="1"/>
  <c r="P136" i="5" s="1"/>
  <c r="P137" i="5" a="1"/>
  <c r="P137" i="5" s="1"/>
  <c r="P138" i="5" a="1"/>
  <c r="P138" i="5" s="1"/>
  <c r="P139" i="5" a="1"/>
  <c r="P139" i="5" s="1"/>
  <c r="P140" i="5" a="1"/>
  <c r="P140" i="5" s="1"/>
  <c r="P141" i="5" a="1"/>
  <c r="P141" i="5" s="1"/>
  <c r="P142" i="5" a="1"/>
  <c r="P142" i="5" s="1"/>
  <c r="P143" i="5" a="1"/>
  <c r="P143" i="5" s="1"/>
  <c r="P144" i="5" a="1"/>
  <c r="P144" i="5" s="1"/>
  <c r="P145" i="5" a="1"/>
  <c r="P145" i="5" s="1"/>
  <c r="P146" i="5" a="1"/>
  <c r="P146" i="5" s="1"/>
  <c r="P147" i="5" a="1"/>
  <c r="P147" i="5" s="1"/>
  <c r="P148" i="5" a="1"/>
  <c r="P148" i="5" s="1"/>
  <c r="P149" i="5" a="1"/>
  <c r="P149" i="5" s="1"/>
  <c r="P150" i="5" a="1"/>
  <c r="P150" i="5" s="1"/>
  <c r="P151" i="5" a="1"/>
  <c r="P151" i="5" s="1"/>
  <c r="P152" i="5" a="1"/>
  <c r="P152" i="5" s="1"/>
  <c r="P153" i="5" a="1"/>
  <c r="P153" i="5" s="1"/>
  <c r="P154" i="5" a="1"/>
  <c r="P154" i="5" s="1"/>
  <c r="P155" i="5" a="1"/>
  <c r="P155" i="5" s="1"/>
  <c r="P156" i="5" a="1"/>
  <c r="P156" i="5" s="1"/>
  <c r="P157" i="5" a="1"/>
  <c r="P157" i="5" s="1"/>
  <c r="P158" i="5" a="1"/>
  <c r="P158" i="5" s="1"/>
  <c r="P159" i="5" a="1"/>
  <c r="P159" i="5" s="1"/>
  <c r="P160" i="5" a="1"/>
  <c r="P160" i="5" s="1"/>
  <c r="P161" i="5" a="1"/>
  <c r="P161" i="5" s="1"/>
  <c r="P162" i="5" a="1"/>
  <c r="P162" i="5" s="1"/>
  <c r="P163" i="5" a="1"/>
  <c r="P163" i="5" s="1"/>
  <c r="P164" i="5" a="1"/>
  <c r="P164" i="5" s="1"/>
  <c r="P165" i="5" a="1"/>
  <c r="P165" i="5" s="1"/>
  <c r="P166" i="5" a="1"/>
  <c r="P166" i="5" s="1"/>
  <c r="P167" i="5" a="1"/>
  <c r="P167" i="5" s="1"/>
  <c r="P168" i="5" a="1"/>
  <c r="P168" i="5" s="1"/>
  <c r="P169" i="5" a="1"/>
  <c r="P169" i="5" s="1"/>
  <c r="P170" i="5" a="1"/>
  <c r="P170" i="5" s="1"/>
  <c r="P171" i="5" a="1"/>
  <c r="P171" i="5"/>
  <c r="P172" i="5" a="1"/>
  <c r="P172" i="5" s="1"/>
  <c r="P173" i="5" a="1"/>
  <c r="P173" i="5" s="1"/>
  <c r="P174" i="5" a="1"/>
  <c r="P174" i="5" s="1"/>
  <c r="P175" i="5" a="1"/>
  <c r="P175" i="5" s="1"/>
  <c r="P176" i="5" a="1"/>
  <c r="P176" i="5" s="1"/>
  <c r="P177" i="5" a="1"/>
  <c r="P177" i="5" s="1"/>
  <c r="P178" i="5" a="1"/>
  <c r="P178" i="5" s="1"/>
  <c r="P179" i="5" a="1"/>
  <c r="P179" i="5" s="1"/>
  <c r="P180" i="5" a="1"/>
  <c r="P180" i="5" s="1"/>
  <c r="P181" i="5" a="1"/>
  <c r="P181" i="5" s="1"/>
  <c r="P182" i="5" a="1"/>
  <c r="P182" i="5" s="1"/>
  <c r="P183" i="5" a="1"/>
  <c r="P183" i="5" s="1"/>
  <c r="P184" i="5" a="1"/>
  <c r="P184" i="5" s="1"/>
  <c r="P185" i="5" a="1"/>
  <c r="P185" i="5" s="1"/>
  <c r="P186" i="5" a="1"/>
  <c r="P186" i="5" s="1"/>
  <c r="P187" i="5" a="1"/>
  <c r="P187" i="5" s="1"/>
  <c r="P188" i="5" a="1"/>
  <c r="P188" i="5" s="1"/>
  <c r="P189" i="5" a="1"/>
  <c r="P189" i="5" s="1"/>
  <c r="P190" i="5" a="1"/>
  <c r="P190" i="5" s="1"/>
  <c r="P191" i="5" a="1"/>
  <c r="P191" i="5" s="1"/>
  <c r="P192" i="5" a="1"/>
  <c r="P192" i="5" s="1"/>
  <c r="P193" i="5" a="1"/>
  <c r="P193" i="5" s="1"/>
  <c r="P194" i="5" a="1"/>
  <c r="P194" i="5" s="1"/>
  <c r="P195" i="5" a="1"/>
  <c r="P195" i="5" s="1"/>
  <c r="P196" i="5" a="1"/>
  <c r="P196" i="5" s="1"/>
  <c r="P197" i="5" a="1"/>
  <c r="P197" i="5" s="1"/>
  <c r="P198" i="5" a="1"/>
  <c r="P198" i="5" s="1"/>
  <c r="P199" i="5" a="1"/>
  <c r="P199" i="5" s="1"/>
  <c r="P200" i="5" a="1"/>
  <c r="P200" i="5" s="1"/>
  <c r="P201" i="5" a="1"/>
  <c r="P201" i="5" s="1"/>
  <c r="P202" i="5" a="1"/>
  <c r="P202" i="5" s="1"/>
  <c r="P203" i="5" a="1"/>
  <c r="P203" i="5" s="1"/>
  <c r="P204" i="5" a="1"/>
  <c r="P204" i="5" s="1"/>
  <c r="P205" i="5" a="1"/>
  <c r="P205" i="5" s="1"/>
  <c r="P206" i="5" a="1"/>
  <c r="P206" i="5" s="1"/>
  <c r="P207" i="5" a="1"/>
  <c r="P207" i="5" s="1"/>
  <c r="P208" i="5" a="1"/>
  <c r="P208" i="5" s="1"/>
  <c r="P209" i="5" a="1"/>
  <c r="P209" i="5" s="1"/>
  <c r="P210" i="5" a="1"/>
  <c r="P210" i="5" s="1"/>
  <c r="P211" i="5" a="1"/>
  <c r="P211" i="5" s="1"/>
  <c r="P212" i="5" a="1"/>
  <c r="P212" i="5" s="1"/>
  <c r="P213" i="5" a="1"/>
  <c r="P213" i="5" s="1"/>
  <c r="P214" i="5" a="1"/>
  <c r="P214" i="5" s="1"/>
  <c r="P215" i="5" a="1"/>
  <c r="P215" i="5" s="1"/>
  <c r="P216" i="5" a="1"/>
  <c r="P216" i="5" s="1"/>
  <c r="P217" i="5" a="1"/>
  <c r="P217" i="5" s="1"/>
  <c r="P218" i="5" a="1"/>
  <c r="P218" i="5" s="1"/>
  <c r="P219" i="5" a="1"/>
  <c r="P219" i="5" s="1"/>
  <c r="P220" i="5" a="1"/>
  <c r="P220" i="5" s="1"/>
  <c r="P221" i="5" a="1"/>
  <c r="P221" i="5" s="1"/>
  <c r="P222" i="5" a="1"/>
  <c r="P222" i="5" s="1"/>
  <c r="P223" i="5" a="1"/>
  <c r="P223" i="5" s="1"/>
  <c r="P224" i="5" a="1"/>
  <c r="P224" i="5" s="1"/>
  <c r="P225" i="5" a="1"/>
  <c r="P225" i="5" s="1"/>
  <c r="P226" i="5" a="1"/>
  <c r="P226" i="5" s="1"/>
  <c r="P227" i="5" a="1"/>
  <c r="P227" i="5" s="1"/>
  <c r="P228" i="5" a="1"/>
  <c r="P228" i="5" s="1"/>
  <c r="P229" i="5" a="1"/>
  <c r="P229" i="5" s="1"/>
  <c r="P230" i="5" a="1"/>
  <c r="P230" i="5" s="1"/>
  <c r="P231" i="5" a="1"/>
  <c r="P231" i="5" s="1"/>
  <c r="P232" i="5" a="1"/>
  <c r="P232" i="5" s="1"/>
  <c r="P233" i="5" a="1"/>
  <c r="P233" i="5" s="1"/>
  <c r="P234" i="5" a="1"/>
  <c r="P234" i="5" s="1"/>
  <c r="P235" i="5" a="1"/>
  <c r="P235" i="5" s="1"/>
  <c r="P236" i="5" a="1"/>
  <c r="P236" i="5" s="1"/>
  <c r="P237" i="5" a="1"/>
  <c r="P237" i="5" s="1"/>
  <c r="P238" i="5" a="1"/>
  <c r="P238" i="5" s="1"/>
  <c r="P239" i="5" a="1"/>
  <c r="P239" i="5" s="1"/>
  <c r="P240" i="5" a="1"/>
  <c r="P240" i="5" s="1"/>
  <c r="P241" i="5" a="1"/>
  <c r="P241" i="5" s="1"/>
  <c r="P242" i="5" a="1"/>
  <c r="P242" i="5" s="1"/>
  <c r="P243" i="5" a="1"/>
  <c r="P243" i="5" s="1"/>
  <c r="P244" i="5" a="1"/>
  <c r="P244" i="5" s="1"/>
  <c r="P245" i="5" a="1"/>
  <c r="P245" i="5" s="1"/>
  <c r="P246" i="5" a="1"/>
  <c r="P246" i="5" s="1"/>
  <c r="P247" i="5" a="1"/>
  <c r="P247" i="5" s="1"/>
  <c r="P248" i="5" a="1"/>
  <c r="P248" i="5" s="1"/>
  <c r="P249" i="5" a="1"/>
  <c r="P249" i="5" s="1"/>
  <c r="P250" i="5" a="1"/>
  <c r="P250" i="5" s="1"/>
  <c r="P251" i="5" a="1"/>
  <c r="P251" i="5" s="1"/>
  <c r="P252" i="5" a="1"/>
  <c r="P252" i="5" s="1"/>
  <c r="P253" i="5" a="1"/>
  <c r="P253" i="5" s="1"/>
  <c r="P254" i="5" a="1"/>
  <c r="P254" i="5" s="1"/>
  <c r="P255" i="5" a="1"/>
  <c r="P255" i="5" s="1"/>
  <c r="P256" i="5" a="1"/>
  <c r="P256" i="5" s="1"/>
  <c r="P257" i="5" a="1"/>
  <c r="P257" i="5" s="1"/>
  <c r="P258" i="5" a="1"/>
  <c r="P258" i="5" s="1"/>
  <c r="P259" i="5" a="1"/>
  <c r="P259" i="5" s="1"/>
  <c r="P260" i="5" a="1"/>
  <c r="P260" i="5" s="1"/>
  <c r="P261" i="5" a="1"/>
  <c r="P261" i="5" s="1"/>
  <c r="P262" i="5" a="1"/>
  <c r="P262" i="5" s="1"/>
  <c r="P263" i="5" a="1"/>
  <c r="P263" i="5" s="1"/>
  <c r="P264" i="5" a="1"/>
  <c r="P264" i="5" s="1"/>
  <c r="P265" i="5" a="1"/>
  <c r="P265" i="5" s="1"/>
  <c r="P266" i="5" a="1"/>
  <c r="P266" i="5" s="1"/>
  <c r="P267" i="5" a="1"/>
  <c r="P267" i="5" s="1"/>
  <c r="P268" i="5" a="1"/>
  <c r="P268" i="5" s="1"/>
  <c r="P269" i="5" a="1"/>
  <c r="P269" i="5" s="1"/>
  <c r="P270" i="5" a="1"/>
  <c r="P270" i="5" s="1"/>
  <c r="P271" i="5" a="1"/>
  <c r="P271" i="5" s="1"/>
  <c r="P272" i="5" a="1"/>
  <c r="P272" i="5" s="1"/>
  <c r="P273" i="5" a="1"/>
  <c r="P273" i="5" s="1"/>
  <c r="P274" i="5" a="1"/>
  <c r="P274" i="5" s="1"/>
  <c r="P275" i="5" a="1"/>
  <c r="P275" i="5" s="1"/>
  <c r="P276" i="5" a="1"/>
  <c r="P276" i="5" s="1"/>
  <c r="P277" i="5" a="1"/>
  <c r="P277" i="5" s="1"/>
  <c r="P278" i="5" a="1"/>
  <c r="P278" i="5" s="1"/>
  <c r="P279" i="5" a="1"/>
  <c r="P279" i="5" s="1"/>
  <c r="P280" i="5" a="1"/>
  <c r="P280" i="5" s="1"/>
  <c r="P281" i="5" a="1"/>
  <c r="P281" i="5" s="1"/>
  <c r="P282" i="5" a="1"/>
  <c r="P282" i="5" s="1"/>
  <c r="P283" i="5" a="1"/>
  <c r="P283" i="5" s="1"/>
  <c r="P284" i="5" a="1"/>
  <c r="P284" i="5" s="1"/>
  <c r="P285" i="5" a="1"/>
  <c r="P285" i="5" s="1"/>
  <c r="P286" i="5" a="1"/>
  <c r="P286" i="5" s="1"/>
  <c r="P287" i="5" a="1"/>
  <c r="P287" i="5" s="1"/>
  <c r="P288" i="5" a="1"/>
  <c r="P288" i="5" s="1"/>
  <c r="P289" i="5" a="1"/>
  <c r="P289" i="5" s="1"/>
  <c r="P290" i="5" a="1"/>
  <c r="P290" i="5" s="1"/>
  <c r="P291" i="5" a="1"/>
  <c r="P291" i="5" s="1"/>
  <c r="P292" i="5" a="1"/>
  <c r="P292" i="5" s="1"/>
  <c r="P293" i="5" a="1"/>
  <c r="P293" i="5" s="1"/>
  <c r="P294" i="5" a="1"/>
  <c r="P294" i="5" s="1"/>
  <c r="P295" i="5" a="1"/>
  <c r="P295" i="5" s="1"/>
  <c r="P296" i="5" a="1"/>
  <c r="P296" i="5" s="1"/>
  <c r="P297" i="5" a="1"/>
  <c r="P297" i="5" s="1"/>
  <c r="P298" i="5" a="1"/>
  <c r="P298" i="5" s="1"/>
  <c r="P299" i="5" a="1"/>
  <c r="P299" i="5" s="1"/>
  <c r="P300" i="5" a="1"/>
  <c r="P300" i="5" s="1"/>
  <c r="P301" i="5" a="1"/>
  <c r="P301" i="5" s="1"/>
  <c r="P302" i="5" a="1"/>
  <c r="P302" i="5" s="1"/>
  <c r="P303" i="5" a="1"/>
  <c r="P303" i="5" s="1"/>
  <c r="P304" i="5" a="1"/>
  <c r="P304" i="5" s="1"/>
  <c r="P305" i="5" a="1"/>
  <c r="P305" i="5" s="1"/>
  <c r="P306" i="5" a="1"/>
  <c r="P306" i="5" s="1"/>
  <c r="P307" i="5" a="1"/>
  <c r="P307" i="5" s="1"/>
  <c r="P308" i="5" a="1"/>
  <c r="P308" i="5" s="1"/>
  <c r="P309" i="5" a="1"/>
  <c r="P309" i="5" s="1"/>
  <c r="P310" i="5" a="1"/>
  <c r="P310" i="5" s="1"/>
  <c r="P311" i="5" a="1"/>
  <c r="P311" i="5" s="1"/>
  <c r="P312" i="5" a="1"/>
  <c r="P312" i="5" s="1"/>
  <c r="P313" i="5" a="1"/>
  <c r="P313" i="5" s="1"/>
  <c r="P314" i="5" a="1"/>
  <c r="P314" i="5" s="1"/>
  <c r="P315" i="5" a="1"/>
  <c r="P315" i="5" s="1"/>
  <c r="P316" i="5" a="1"/>
  <c r="P316" i="5" s="1"/>
  <c r="P317" i="5" a="1"/>
  <c r="P317" i="5" s="1"/>
  <c r="P318" i="5" a="1"/>
  <c r="P318" i="5" s="1"/>
  <c r="P319" i="5" a="1"/>
  <c r="P319" i="5" s="1"/>
  <c r="P320" i="5" a="1"/>
  <c r="P320" i="5" s="1"/>
  <c r="P321" i="5" a="1"/>
  <c r="P321" i="5" s="1"/>
  <c r="P322" i="5" a="1"/>
  <c r="P322" i="5" s="1"/>
  <c r="P323" i="5" a="1"/>
  <c r="P323" i="5" s="1"/>
  <c r="P324" i="5" a="1"/>
  <c r="P324" i="5" s="1"/>
  <c r="P325" i="5" a="1"/>
  <c r="P325" i="5" s="1"/>
  <c r="P326" i="5" a="1"/>
  <c r="P326" i="5" s="1"/>
  <c r="P327" i="5" a="1"/>
  <c r="P327" i="5" s="1"/>
  <c r="P328" i="5" a="1"/>
  <c r="P328" i="5" s="1"/>
  <c r="P329" i="5" a="1"/>
  <c r="P329" i="5" s="1"/>
  <c r="P330" i="5" a="1"/>
  <c r="P330" i="5" s="1"/>
  <c r="P331" i="5" a="1"/>
  <c r="P331" i="5" s="1"/>
  <c r="P332" i="5" a="1"/>
  <c r="P332" i="5" s="1"/>
  <c r="P333" i="5" a="1"/>
  <c r="P333" i="5" s="1"/>
  <c r="P334" i="5" a="1"/>
  <c r="P334" i="5" s="1"/>
  <c r="P335" i="5" a="1"/>
  <c r="P335" i="5" s="1"/>
  <c r="P336" i="5" a="1"/>
  <c r="P336" i="5" s="1"/>
  <c r="P337" i="5" a="1"/>
  <c r="P337" i="5" s="1"/>
  <c r="P338" i="5" a="1"/>
  <c r="P338" i="5" s="1"/>
  <c r="P339" i="5" a="1"/>
  <c r="P339" i="5" s="1"/>
  <c r="P340" i="5" a="1"/>
  <c r="P340" i="5" s="1"/>
  <c r="P341" i="5" a="1"/>
  <c r="P341" i="5" s="1"/>
  <c r="P342" i="5" a="1"/>
  <c r="P342" i="5" s="1"/>
  <c r="P343" i="5" a="1"/>
  <c r="P343" i="5" s="1"/>
  <c r="P344" i="5" a="1"/>
  <c r="P344" i="5" s="1"/>
  <c r="P345" i="5" a="1"/>
  <c r="P345" i="5" s="1"/>
  <c r="P346" i="5" a="1"/>
  <c r="P346" i="5" s="1"/>
  <c r="P347" i="5" a="1"/>
  <c r="P347" i="5" s="1"/>
  <c r="P348" i="5" a="1"/>
  <c r="P348" i="5" s="1"/>
  <c r="P349" i="5" a="1"/>
  <c r="P349" i="5" s="1"/>
  <c r="P350" i="5" a="1"/>
  <c r="P350" i="5" s="1"/>
  <c r="P351" i="5" a="1"/>
  <c r="P351" i="5" s="1"/>
  <c r="P352" i="5" a="1"/>
  <c r="P352" i="5" s="1"/>
  <c r="P353" i="5" a="1"/>
  <c r="P353" i="5" s="1"/>
  <c r="P354" i="5" a="1"/>
  <c r="P354" i="5" s="1"/>
  <c r="P355" i="5" a="1"/>
  <c r="P355" i="5" s="1"/>
  <c r="P356" i="5" a="1"/>
  <c r="P356" i="5" s="1"/>
  <c r="P357" i="5" a="1"/>
  <c r="P357" i="5" s="1"/>
  <c r="P358" i="5" a="1"/>
  <c r="P358" i="5" s="1"/>
  <c r="P359" i="5" a="1"/>
  <c r="P359" i="5" s="1"/>
  <c r="P360" i="5" a="1"/>
  <c r="P360" i="5" s="1"/>
  <c r="P361" i="5" a="1"/>
  <c r="P361" i="5" s="1"/>
  <c r="P362" i="5" a="1"/>
  <c r="P362" i="5" s="1"/>
  <c r="P363" i="5" a="1"/>
  <c r="P363" i="5" s="1"/>
  <c r="P364" i="5" a="1"/>
  <c r="P364" i="5" s="1"/>
  <c r="P365" i="5" a="1"/>
  <c r="P365" i="5" s="1"/>
  <c r="P366" i="5" a="1"/>
  <c r="P366" i="5" s="1"/>
  <c r="P367" i="5" a="1"/>
  <c r="P367" i="5" s="1"/>
  <c r="P368" i="5" a="1"/>
  <c r="P368" i="5" s="1"/>
  <c r="P369" i="5" a="1"/>
  <c r="P369" i="5" s="1"/>
  <c r="P370" i="5" a="1"/>
  <c r="P370" i="5" s="1"/>
  <c r="P371" i="5" a="1"/>
  <c r="P371" i="5" s="1"/>
  <c r="P372" i="5" a="1"/>
  <c r="P372" i="5" s="1"/>
  <c r="P373" i="5" a="1"/>
  <c r="P373" i="5" s="1"/>
  <c r="P374" i="5" a="1"/>
  <c r="P374" i="5" s="1"/>
  <c r="P375" i="5" a="1"/>
  <c r="P375" i="5" s="1"/>
  <c r="P376" i="5" a="1"/>
  <c r="P376" i="5" s="1"/>
  <c r="P377" i="5" a="1"/>
  <c r="P377" i="5" s="1"/>
  <c r="P378" i="5" a="1"/>
  <c r="P378" i="5" s="1"/>
  <c r="P379" i="5" a="1"/>
  <c r="P379" i="5" s="1"/>
  <c r="P380" i="5" a="1"/>
  <c r="P380" i="5" s="1"/>
  <c r="P381" i="5" a="1"/>
  <c r="P381" i="5" s="1"/>
  <c r="P382" i="5" a="1"/>
  <c r="P382" i="5" s="1"/>
  <c r="P383" i="5" a="1"/>
  <c r="P383" i="5" s="1"/>
  <c r="P384" i="5" a="1"/>
  <c r="P384" i="5" s="1"/>
  <c r="P385" i="5" a="1"/>
  <c r="P385" i="5" s="1"/>
  <c r="P386" i="5" a="1"/>
  <c r="P386" i="5" s="1"/>
  <c r="P387" i="5" a="1"/>
  <c r="P387" i="5" s="1"/>
  <c r="P388" i="5" a="1"/>
  <c r="P388" i="5" s="1"/>
  <c r="P389" i="5" a="1"/>
  <c r="P389" i="5" s="1"/>
  <c r="P390" i="5" a="1"/>
  <c r="P390" i="5" s="1"/>
  <c r="P391" i="5" a="1"/>
  <c r="P391" i="5" s="1"/>
  <c r="P392" i="5" a="1"/>
  <c r="P392" i="5" s="1"/>
  <c r="P393" i="5" a="1"/>
  <c r="P393" i="5" s="1"/>
  <c r="P394" i="5" a="1"/>
  <c r="P394" i="5" s="1"/>
  <c r="P395" i="5" a="1"/>
  <c r="P395" i="5" s="1"/>
  <c r="P396" i="5" a="1"/>
  <c r="P396" i="5" s="1"/>
  <c r="P397" i="5" a="1"/>
  <c r="P397" i="5" s="1"/>
  <c r="P398" i="5" a="1"/>
  <c r="P398" i="5" s="1"/>
  <c r="P399" i="5" a="1"/>
  <c r="P399" i="5" s="1"/>
  <c r="P400" i="5" a="1"/>
  <c r="P400" i="5" s="1"/>
  <c r="P401" i="5" a="1"/>
  <c r="P401" i="5" s="1"/>
  <c r="P402" i="5" a="1"/>
  <c r="P402" i="5" s="1"/>
  <c r="P403" i="5" a="1"/>
  <c r="P403" i="5" s="1"/>
  <c r="P404" i="5" a="1"/>
  <c r="P404" i="5" s="1"/>
  <c r="P405" i="5" a="1"/>
  <c r="P405" i="5" s="1"/>
  <c r="P406" i="5" a="1"/>
  <c r="P406" i="5" s="1"/>
  <c r="P407" i="5" a="1"/>
  <c r="P407" i="5" s="1"/>
  <c r="P408" i="5" a="1"/>
  <c r="P408" i="5" s="1"/>
  <c r="P409" i="5" a="1"/>
  <c r="P409" i="5" s="1"/>
  <c r="P410" i="5" a="1"/>
  <c r="P410" i="5" s="1"/>
  <c r="P411" i="5" a="1"/>
  <c r="P411" i="5" s="1"/>
  <c r="P412" i="5" a="1"/>
  <c r="P412" i="5" s="1"/>
  <c r="P413" i="5" a="1"/>
  <c r="P413" i="5" s="1"/>
  <c r="P414" i="5" a="1"/>
  <c r="P414" i="5" s="1"/>
  <c r="P415" i="5" a="1"/>
  <c r="P415" i="5" s="1"/>
  <c r="P416" i="5" a="1"/>
  <c r="P416" i="5" s="1"/>
  <c r="P417" i="5" a="1"/>
  <c r="P417" i="5" s="1"/>
  <c r="P418" i="5" a="1"/>
  <c r="P418" i="5" s="1"/>
  <c r="P419" i="5" a="1"/>
  <c r="P419" i="5" s="1"/>
  <c r="P420" i="5" a="1"/>
  <c r="P420" i="5" s="1"/>
  <c r="P421" i="5" a="1"/>
  <c r="P421" i="5" s="1"/>
  <c r="P422" i="5" a="1"/>
  <c r="P422" i="5" s="1"/>
  <c r="P423" i="5" a="1"/>
  <c r="P423" i="5" s="1"/>
  <c r="P424" i="5" a="1"/>
  <c r="P424" i="5" s="1"/>
  <c r="P425" i="5" a="1"/>
  <c r="P425" i="5" s="1"/>
  <c r="P426" i="5" a="1"/>
  <c r="P426" i="5" s="1"/>
  <c r="P427" i="5" a="1"/>
  <c r="P427" i="5" s="1"/>
  <c r="P428" i="5" a="1"/>
  <c r="P428" i="5" s="1"/>
  <c r="P429" i="5" a="1"/>
  <c r="P429" i="5" s="1"/>
  <c r="P430" i="5" a="1"/>
  <c r="P430" i="5" s="1"/>
  <c r="P431" i="5" a="1"/>
  <c r="P431" i="5" s="1"/>
  <c r="P432" i="5" a="1"/>
  <c r="P432" i="5" s="1"/>
  <c r="P433" i="5" a="1"/>
  <c r="P433" i="5" s="1"/>
  <c r="P434" i="5" a="1"/>
  <c r="P434" i="5" s="1"/>
  <c r="P435" i="5" a="1"/>
  <c r="P435" i="5" s="1"/>
  <c r="P436" i="5" a="1"/>
  <c r="P436" i="5" s="1"/>
  <c r="P437" i="5" a="1"/>
  <c r="P437" i="5" s="1"/>
  <c r="P438" i="5" a="1"/>
  <c r="P438" i="5" s="1"/>
  <c r="P439" i="5" a="1"/>
  <c r="P439" i="5" s="1"/>
  <c r="P440" i="5" a="1"/>
  <c r="P440" i="5" s="1"/>
  <c r="P441" i="5" a="1"/>
  <c r="P441" i="5" s="1"/>
  <c r="P442" i="5" a="1"/>
  <c r="P442" i="5" s="1"/>
  <c r="P443" i="5" a="1"/>
  <c r="P443" i="5" s="1"/>
  <c r="P444" i="5" a="1"/>
  <c r="P444" i="5" s="1"/>
  <c r="P445" i="5" a="1"/>
  <c r="P445" i="5" s="1"/>
  <c r="P446" i="5" a="1"/>
  <c r="P446" i="5" s="1"/>
  <c r="P447" i="5" a="1"/>
  <c r="P447" i="5" s="1"/>
  <c r="P448" i="5" a="1"/>
  <c r="P448" i="5" s="1"/>
  <c r="P449" i="5" a="1"/>
  <c r="P449" i="5" s="1"/>
  <c r="P450" i="5" a="1"/>
  <c r="P450" i="5" s="1"/>
  <c r="P451" i="5" a="1"/>
  <c r="P451" i="5" s="1"/>
  <c r="P452" i="5" a="1"/>
  <c r="P452" i="5" s="1"/>
  <c r="P453" i="5" a="1"/>
  <c r="P453" i="5" s="1"/>
  <c r="P454" i="5" a="1"/>
  <c r="P454" i="5" s="1"/>
  <c r="P455" i="5" a="1"/>
  <c r="P455" i="5" s="1"/>
  <c r="P456" i="5" a="1"/>
  <c r="P456" i="5" s="1"/>
  <c r="P457" i="5" a="1"/>
  <c r="P457" i="5" s="1"/>
  <c r="P458" i="5" a="1"/>
  <c r="P458" i="5" s="1"/>
  <c r="P459" i="5" a="1"/>
  <c r="P459" i="5" s="1"/>
  <c r="P460" i="5" a="1"/>
  <c r="P460" i="5" s="1"/>
  <c r="P461" i="5" a="1"/>
  <c r="P461" i="5" s="1"/>
  <c r="P462" i="5" a="1"/>
  <c r="P462" i="5" s="1"/>
  <c r="P463" i="5" a="1"/>
  <c r="P463" i="5" s="1"/>
  <c r="P464" i="5" a="1"/>
  <c r="P464" i="5" s="1"/>
  <c r="P465" i="5" a="1"/>
  <c r="P465" i="5" s="1"/>
  <c r="P466" i="5" a="1"/>
  <c r="P466" i="5" s="1"/>
  <c r="P467" i="5" a="1"/>
  <c r="P467" i="5" s="1"/>
  <c r="P468" i="5" a="1"/>
  <c r="P468" i="5" s="1"/>
  <c r="P469" i="5" a="1"/>
  <c r="P469" i="5" s="1"/>
  <c r="P470" i="5" a="1"/>
  <c r="P470" i="5" s="1"/>
  <c r="P471" i="5" a="1"/>
  <c r="P471" i="5" s="1"/>
  <c r="P472" i="5" a="1"/>
  <c r="P472" i="5" s="1"/>
  <c r="P473" i="5" a="1"/>
  <c r="P473" i="5" s="1"/>
  <c r="P474" i="5" a="1"/>
  <c r="P474" i="5" s="1"/>
  <c r="P475" i="5" a="1"/>
  <c r="P475" i="5" s="1"/>
  <c r="P476" i="5" a="1"/>
  <c r="P476" i="5" s="1"/>
  <c r="P477" i="5" a="1"/>
  <c r="P477" i="5" s="1"/>
  <c r="P478" i="5" a="1"/>
  <c r="P478" i="5" s="1"/>
  <c r="P479" i="5" a="1"/>
  <c r="P479" i="5" s="1"/>
  <c r="P480" i="5" a="1"/>
  <c r="P480" i="5" s="1"/>
  <c r="P481" i="5" a="1"/>
  <c r="P481" i="5" s="1"/>
  <c r="P482" i="5" a="1"/>
  <c r="P482" i="5" s="1"/>
  <c r="P483" i="5" a="1"/>
  <c r="P483" i="5" s="1"/>
  <c r="P484" i="5" a="1"/>
  <c r="P484" i="5" s="1"/>
  <c r="P485" i="5" a="1"/>
  <c r="P485" i="5" s="1"/>
  <c r="P486" i="5" a="1"/>
  <c r="P486" i="5" s="1"/>
  <c r="P487" i="5" a="1"/>
  <c r="P487" i="5" s="1"/>
  <c r="P488" i="5" a="1"/>
  <c r="P488" i="5" s="1"/>
  <c r="P489" i="5" a="1"/>
  <c r="P489" i="5" s="1"/>
  <c r="P490" i="5" a="1"/>
  <c r="P490" i="5" s="1"/>
  <c r="P491" i="5" a="1"/>
  <c r="P491" i="5" s="1"/>
  <c r="P492" i="5" a="1"/>
  <c r="P492" i="5" s="1"/>
  <c r="P493" i="5" a="1"/>
  <c r="P493" i="5" s="1"/>
  <c r="P494" i="5" a="1"/>
  <c r="P494" i="5" s="1"/>
  <c r="P495" i="5" a="1"/>
  <c r="P495" i="5" s="1"/>
  <c r="P496" i="5" a="1"/>
  <c r="P496" i="5" s="1"/>
  <c r="P497" i="5" a="1"/>
  <c r="P497" i="5" s="1"/>
  <c r="P498" i="5" a="1"/>
  <c r="P498" i="5" s="1"/>
  <c r="P499" i="5" a="1"/>
  <c r="P499" i="5" s="1"/>
  <c r="P500" i="5" a="1"/>
  <c r="P500" i="5" s="1"/>
  <c r="P501" i="5" a="1"/>
  <c r="P501" i="5" s="1"/>
  <c r="P502" i="5" a="1"/>
  <c r="P502" i="5" s="1"/>
  <c r="P503" i="5" a="1"/>
  <c r="P503" i="5" s="1"/>
  <c r="P504" i="5" a="1"/>
  <c r="P504" i="5" s="1"/>
  <c r="P505" i="5" a="1"/>
  <c r="P505" i="5" s="1"/>
  <c r="P506" i="5" a="1"/>
  <c r="P506" i="5" s="1"/>
  <c r="P507" i="5" a="1"/>
  <c r="P507" i="5" s="1"/>
  <c r="P508" i="5" a="1"/>
  <c r="P508" i="5" s="1"/>
  <c r="P509" i="5" a="1"/>
  <c r="P509" i="5" s="1"/>
  <c r="P510" i="5" a="1"/>
  <c r="P510" i="5" s="1"/>
  <c r="P511" i="5" a="1"/>
  <c r="P511" i="5" s="1"/>
  <c r="P512" i="5" a="1"/>
  <c r="P512" i="5" s="1"/>
  <c r="P513" i="5" a="1"/>
  <c r="P513" i="5" s="1"/>
  <c r="P514" i="5" a="1"/>
  <c r="P514" i="5" s="1"/>
  <c r="P515" i="5" a="1"/>
  <c r="P515" i="5" s="1"/>
  <c r="P516" i="5" a="1"/>
  <c r="P516" i="5" s="1"/>
  <c r="P517" i="5" a="1"/>
  <c r="P517" i="5" s="1"/>
  <c r="P518" i="5" a="1"/>
  <c r="P518" i="5" s="1"/>
  <c r="P519" i="5" a="1"/>
  <c r="P519" i="5" s="1"/>
  <c r="P520" i="5" a="1"/>
  <c r="P520" i="5" s="1"/>
  <c r="P521" i="5" a="1"/>
  <c r="P521" i="5" s="1"/>
  <c r="P522" i="5" a="1"/>
  <c r="P522" i="5" s="1"/>
  <c r="P523" i="5" a="1"/>
  <c r="P523" i="5" s="1"/>
  <c r="P524" i="5" a="1"/>
  <c r="P524" i="5" s="1"/>
  <c r="P525" i="5" a="1"/>
  <c r="P525" i="5" s="1"/>
  <c r="P526" i="5" a="1"/>
  <c r="P526" i="5" s="1"/>
  <c r="P527" i="5" a="1"/>
  <c r="P527" i="5" s="1"/>
  <c r="P528" i="5" a="1"/>
  <c r="P528" i="5" s="1"/>
  <c r="P529" i="5" a="1"/>
  <c r="P529" i="5" s="1"/>
  <c r="P530" i="5" a="1"/>
  <c r="P530" i="5" s="1"/>
  <c r="P531" i="5" a="1"/>
  <c r="P531" i="5" s="1"/>
  <c r="P532" i="5" a="1"/>
  <c r="P532" i="5" s="1"/>
  <c r="P533" i="5" a="1"/>
  <c r="P533" i="5" s="1"/>
  <c r="P534" i="5" a="1"/>
  <c r="P534" i="5" s="1"/>
  <c r="P535" i="5" a="1"/>
  <c r="P535" i="5" s="1"/>
  <c r="P536" i="5" a="1"/>
  <c r="P536" i="5" s="1"/>
  <c r="P537" i="5" a="1"/>
  <c r="P537" i="5" s="1"/>
  <c r="P538" i="5" a="1"/>
  <c r="P538" i="5" s="1"/>
  <c r="P539" i="5" a="1"/>
  <c r="P539" i="5" s="1"/>
  <c r="P540" i="5" a="1"/>
  <c r="P540" i="5" s="1"/>
  <c r="P541" i="5" a="1"/>
  <c r="P541" i="5" s="1"/>
  <c r="P542" i="5" a="1"/>
  <c r="P542" i="5" s="1"/>
  <c r="P543" i="5" a="1"/>
  <c r="P543" i="5" s="1"/>
  <c r="P544" i="5" a="1"/>
  <c r="P544" i="5" s="1"/>
  <c r="P545" i="5" a="1"/>
  <c r="P545" i="5" s="1"/>
  <c r="P546" i="5" a="1"/>
  <c r="P546" i="5" s="1"/>
  <c r="P547" i="5" a="1"/>
  <c r="P547" i="5" s="1"/>
  <c r="P548" i="5" a="1"/>
  <c r="P548" i="5" s="1"/>
  <c r="P549" i="5" a="1"/>
  <c r="P549" i="5" s="1"/>
  <c r="P550" i="5" a="1"/>
  <c r="P550" i="5" s="1"/>
  <c r="P551" i="5" a="1"/>
  <c r="P551" i="5" s="1"/>
  <c r="P552" i="5" a="1"/>
  <c r="P552" i="5" s="1"/>
  <c r="P553" i="5" a="1"/>
  <c r="P553" i="5" s="1"/>
  <c r="P554" i="5" a="1"/>
  <c r="P554" i="5" s="1"/>
  <c r="P555" i="5" a="1"/>
  <c r="P555" i="5" s="1"/>
  <c r="P556" i="5" a="1"/>
  <c r="P556" i="5" s="1"/>
  <c r="P557" i="5" a="1"/>
  <c r="P557" i="5" s="1"/>
  <c r="P558" i="5" a="1"/>
  <c r="P558" i="5" s="1"/>
  <c r="P559" i="5" a="1"/>
  <c r="P559" i="5" s="1"/>
  <c r="P560" i="5" a="1"/>
  <c r="P560" i="5" s="1"/>
  <c r="P561" i="5" a="1"/>
  <c r="P561" i="5" s="1"/>
  <c r="P562" i="5" a="1"/>
  <c r="P562" i="5" s="1"/>
  <c r="P563" i="5" a="1"/>
  <c r="P563" i="5" s="1"/>
  <c r="P564" i="5" a="1"/>
  <c r="P564" i="5" s="1"/>
  <c r="P565" i="5" a="1"/>
  <c r="P565" i="5" s="1"/>
  <c r="P566" i="5" a="1"/>
  <c r="P566" i="5" s="1"/>
  <c r="P567" i="5" a="1"/>
  <c r="P567" i="5" s="1"/>
  <c r="P568" i="5" a="1"/>
  <c r="P568" i="5" s="1"/>
  <c r="P569" i="5" a="1"/>
  <c r="P569" i="5" s="1"/>
  <c r="P570" i="5" a="1"/>
  <c r="P570" i="5" s="1"/>
  <c r="P571" i="5" a="1"/>
  <c r="P571" i="5" s="1"/>
  <c r="P572" i="5" a="1"/>
  <c r="P572" i="5" s="1"/>
  <c r="P573" i="5" a="1"/>
  <c r="P573" i="5" s="1"/>
  <c r="P574" i="5" a="1"/>
  <c r="P574" i="5" s="1"/>
  <c r="P575" i="5" a="1"/>
  <c r="P575" i="5" s="1"/>
  <c r="P576" i="5" a="1"/>
  <c r="P576" i="5" s="1"/>
  <c r="P577" i="5" a="1"/>
  <c r="P577" i="5" s="1"/>
  <c r="P578" i="5" a="1"/>
  <c r="P578" i="5" s="1"/>
  <c r="P579" i="5" a="1"/>
  <c r="P579" i="5" s="1"/>
  <c r="P580" i="5" a="1"/>
  <c r="P580" i="5" s="1"/>
  <c r="P581" i="5" a="1"/>
  <c r="P581" i="5" s="1"/>
  <c r="P582" i="5" a="1"/>
  <c r="P582" i="5" s="1"/>
  <c r="P583" i="5" a="1"/>
  <c r="P583" i="5" s="1"/>
  <c r="P584" i="5" a="1"/>
  <c r="P584" i="5" s="1"/>
  <c r="P585" i="5" a="1"/>
  <c r="P585" i="5" s="1"/>
  <c r="P586" i="5" a="1"/>
  <c r="P586" i="5" s="1"/>
  <c r="P587" i="5" a="1"/>
  <c r="P587" i="5" s="1"/>
  <c r="P588" i="5" a="1"/>
  <c r="P588" i="5" s="1"/>
  <c r="P589" i="5" a="1"/>
  <c r="P589" i="5" s="1"/>
  <c r="P590" i="5" a="1"/>
  <c r="P590" i="5" s="1"/>
  <c r="P591" i="5" a="1"/>
  <c r="P591" i="5" s="1"/>
  <c r="P592" i="5" a="1"/>
  <c r="P592" i="5" s="1"/>
  <c r="P593" i="5" a="1"/>
  <c r="P593" i="5" s="1"/>
  <c r="P594" i="5" a="1"/>
  <c r="P594" i="5" s="1"/>
  <c r="P595" i="5" a="1"/>
  <c r="P595" i="5" s="1"/>
  <c r="P596" i="5" a="1"/>
  <c r="P596" i="5" s="1"/>
  <c r="P597" i="5" a="1"/>
  <c r="P597" i="5" s="1"/>
  <c r="P598" i="5" a="1"/>
  <c r="P598" i="5" s="1"/>
  <c r="P599" i="5" a="1"/>
  <c r="P599" i="5" s="1"/>
  <c r="P600" i="5" a="1"/>
  <c r="P600" i="5" s="1"/>
  <c r="P601" i="5" a="1"/>
  <c r="P601" i="5" s="1"/>
  <c r="P602" i="5" a="1"/>
  <c r="P602" i="5" s="1"/>
  <c r="P603" i="5" a="1"/>
  <c r="P603" i="5" s="1"/>
  <c r="P604" i="5" a="1"/>
  <c r="P604" i="5" s="1"/>
  <c r="P605" i="5" a="1"/>
  <c r="P605" i="5" s="1"/>
  <c r="P606" i="5" a="1"/>
  <c r="P606" i="5" s="1"/>
  <c r="P607" i="5" a="1"/>
  <c r="P607" i="5" s="1"/>
  <c r="P608" i="5" a="1"/>
  <c r="P608" i="5" s="1"/>
  <c r="P609" i="5" a="1"/>
  <c r="P609" i="5" s="1"/>
  <c r="P610" i="5" a="1"/>
  <c r="P610" i="5" s="1"/>
  <c r="P611" i="5" a="1"/>
  <c r="P611" i="5" s="1"/>
  <c r="P612" i="5" a="1"/>
  <c r="P612" i="5" s="1"/>
  <c r="P613" i="5" a="1"/>
  <c r="P613" i="5" s="1"/>
  <c r="P614" i="5" a="1"/>
  <c r="P614" i="5" s="1"/>
  <c r="P615" i="5" a="1"/>
  <c r="P615" i="5" s="1"/>
  <c r="P616" i="5" a="1"/>
  <c r="P616" i="5" s="1"/>
  <c r="P617" i="5" a="1"/>
  <c r="P617" i="5" s="1"/>
  <c r="P618" i="5" a="1"/>
  <c r="P618" i="5" s="1"/>
  <c r="P619" i="5" a="1"/>
  <c r="P619" i="5" s="1"/>
  <c r="P620" i="5" a="1"/>
  <c r="P620" i="5" s="1"/>
  <c r="P621" i="5" a="1"/>
  <c r="P621" i="5" s="1"/>
  <c r="P622" i="5" a="1"/>
  <c r="P622" i="5" s="1"/>
  <c r="P623" i="5" a="1"/>
  <c r="P623" i="5" s="1"/>
  <c r="P624" i="5" a="1"/>
  <c r="P624" i="5" s="1"/>
  <c r="P625" i="5" a="1"/>
  <c r="P625" i="5" s="1"/>
  <c r="P626" i="5" a="1"/>
  <c r="P626" i="5" s="1"/>
  <c r="P627" i="5" a="1"/>
  <c r="P627" i="5" s="1"/>
  <c r="P628" i="5" a="1"/>
  <c r="P628" i="5" s="1"/>
  <c r="P629" i="5" a="1"/>
  <c r="P629" i="5" s="1"/>
  <c r="P630" i="5" a="1"/>
  <c r="P630" i="5" s="1"/>
  <c r="P631" i="5" a="1"/>
  <c r="P631" i="5" s="1"/>
  <c r="P632" i="5" a="1"/>
  <c r="P632" i="5" s="1"/>
  <c r="P633" i="5" a="1"/>
  <c r="P633" i="5" s="1"/>
  <c r="P634" i="5" a="1"/>
  <c r="P634" i="5" s="1"/>
  <c r="P635" i="5" a="1"/>
  <c r="P635" i="5" s="1"/>
  <c r="P636" i="5" a="1"/>
  <c r="P636" i="5" s="1"/>
  <c r="P637" i="5" a="1"/>
  <c r="P637" i="5" s="1"/>
  <c r="P638" i="5" a="1"/>
  <c r="P638" i="5" s="1"/>
  <c r="P639" i="5" a="1"/>
  <c r="P639" i="5" s="1"/>
  <c r="P640" i="5" a="1"/>
  <c r="P640" i="5" s="1"/>
  <c r="P641" i="5" a="1"/>
  <c r="P641" i="5" s="1"/>
  <c r="P642" i="5" a="1"/>
  <c r="P642" i="5" s="1"/>
  <c r="P643" i="5" a="1"/>
  <c r="P643" i="5" s="1"/>
  <c r="P644" i="5" a="1"/>
  <c r="P644" i="5" s="1"/>
  <c r="P645" i="5" a="1"/>
  <c r="P645" i="5" s="1"/>
  <c r="P646" i="5" a="1"/>
  <c r="P646" i="5" s="1"/>
  <c r="P647" i="5" a="1"/>
  <c r="P647" i="5" s="1"/>
  <c r="P648" i="5" a="1"/>
  <c r="P648" i="5" s="1"/>
  <c r="P649" i="5" a="1"/>
  <c r="P649" i="5" s="1"/>
  <c r="P650" i="5" a="1"/>
  <c r="P650" i="5" s="1"/>
  <c r="P651" i="5" a="1"/>
  <c r="P651" i="5" s="1"/>
  <c r="P652" i="5" a="1"/>
  <c r="P652" i="5" s="1"/>
  <c r="P653" i="5" a="1"/>
  <c r="P653" i="5" s="1"/>
  <c r="P654" i="5" a="1"/>
  <c r="P654" i="5" s="1"/>
  <c r="P655" i="5" a="1"/>
  <c r="P655" i="5" s="1"/>
  <c r="P656" i="5" a="1"/>
  <c r="P656" i="5" s="1"/>
  <c r="P657" i="5" a="1"/>
  <c r="P657" i="5" s="1"/>
  <c r="P658" i="5" a="1"/>
  <c r="P658" i="5" s="1"/>
  <c r="P659" i="5" a="1"/>
  <c r="P659" i="5" s="1"/>
  <c r="P660" i="5" a="1"/>
  <c r="P660" i="5" s="1"/>
  <c r="P661" i="5" a="1"/>
  <c r="P661" i="5" s="1"/>
  <c r="P662" i="5" a="1"/>
  <c r="P662" i="5" s="1"/>
  <c r="P663" i="5" a="1"/>
  <c r="P663" i="5" s="1"/>
  <c r="P664" i="5" a="1"/>
  <c r="P664" i="5" s="1"/>
  <c r="P665" i="5" a="1"/>
  <c r="P665" i="5" s="1"/>
  <c r="P666" i="5" a="1"/>
  <c r="P666" i="5" s="1"/>
  <c r="P667" i="5" a="1"/>
  <c r="P667" i="5" s="1"/>
  <c r="P668" i="5" a="1"/>
  <c r="P668" i="5" s="1"/>
  <c r="P669" i="5" a="1"/>
  <c r="P669" i="5" s="1"/>
  <c r="P670" i="5" a="1"/>
  <c r="P670" i="5" s="1"/>
  <c r="P671" i="5" a="1"/>
  <c r="P671" i="5" s="1"/>
  <c r="P672" i="5" a="1"/>
  <c r="P672" i="5" s="1"/>
  <c r="P673" i="5" a="1"/>
  <c r="P673" i="5" s="1"/>
  <c r="P674" i="5" a="1"/>
  <c r="P674" i="5" s="1"/>
  <c r="P675" i="5" a="1"/>
  <c r="P675" i="5" s="1"/>
  <c r="P676" i="5" a="1"/>
  <c r="P676" i="5" s="1"/>
  <c r="P677" i="5" a="1"/>
  <c r="P677" i="5" s="1"/>
  <c r="P678" i="5" a="1"/>
  <c r="P678" i="5" s="1"/>
  <c r="P679" i="5" a="1"/>
  <c r="P679" i="5" s="1"/>
  <c r="P680" i="5" a="1"/>
  <c r="P680" i="5" s="1"/>
  <c r="P681" i="5" a="1"/>
  <c r="P681" i="5" s="1"/>
  <c r="P682" i="5" a="1"/>
  <c r="P682" i="5" s="1"/>
  <c r="P683" i="5" a="1"/>
  <c r="P683" i="5" s="1"/>
  <c r="P684" i="5" a="1"/>
  <c r="P684" i="5" s="1"/>
  <c r="P685" i="5" a="1"/>
  <c r="P685" i="5" s="1"/>
  <c r="P686" i="5" a="1"/>
  <c r="P686" i="5" s="1"/>
  <c r="P687" i="5" a="1"/>
  <c r="P687" i="5" s="1"/>
  <c r="P688" i="5" a="1"/>
  <c r="P688" i="5" s="1"/>
  <c r="P689" i="5" a="1"/>
  <c r="P689" i="5" s="1"/>
  <c r="P690" i="5" a="1"/>
  <c r="P690" i="5" s="1"/>
  <c r="P691" i="5" a="1"/>
  <c r="P691" i="5" s="1"/>
  <c r="P692" i="5" a="1"/>
  <c r="P692" i="5" s="1"/>
  <c r="P693" i="5" a="1"/>
  <c r="P693" i="5" s="1"/>
  <c r="P694" i="5" a="1"/>
  <c r="P694" i="5" s="1"/>
  <c r="P695" i="5" a="1"/>
  <c r="P695" i="5" s="1"/>
  <c r="P696" i="5" a="1"/>
  <c r="P696" i="5" s="1"/>
  <c r="P697" i="5" a="1"/>
  <c r="P697" i="5" s="1"/>
  <c r="P698" i="5" a="1"/>
  <c r="P698" i="5" s="1"/>
  <c r="P699" i="5" a="1"/>
  <c r="P699" i="5" s="1"/>
  <c r="P700" i="5" a="1"/>
  <c r="P700" i="5" s="1"/>
  <c r="P701" i="5" a="1"/>
  <c r="P701" i="5" s="1"/>
  <c r="P702" i="5" a="1"/>
  <c r="P702" i="5" s="1"/>
  <c r="P703" i="5" a="1"/>
  <c r="P703" i="5" s="1"/>
  <c r="P704" i="5" a="1"/>
  <c r="P704" i="5" s="1"/>
  <c r="P705" i="5" a="1"/>
  <c r="P705" i="5" s="1"/>
  <c r="P706" i="5" a="1"/>
  <c r="P706" i="5" s="1"/>
  <c r="P707" i="5" a="1"/>
  <c r="P707" i="5" s="1"/>
  <c r="P708" i="5" a="1"/>
  <c r="P708" i="5" s="1"/>
  <c r="P709" i="5" a="1"/>
  <c r="P709" i="5" s="1"/>
  <c r="P710" i="5" a="1"/>
  <c r="P710" i="5" s="1"/>
  <c r="P711" i="5" a="1"/>
  <c r="P711" i="5" s="1"/>
  <c r="P712" i="5" a="1"/>
  <c r="P712" i="5" s="1"/>
  <c r="P713" i="5" a="1"/>
  <c r="P713" i="5" s="1"/>
  <c r="P714" i="5" a="1"/>
  <c r="P714" i="5" s="1"/>
  <c r="P715" i="5" a="1"/>
  <c r="P715" i="5" s="1"/>
  <c r="P716" i="5" a="1"/>
  <c r="P716" i="5" s="1"/>
  <c r="P717" i="5" a="1"/>
  <c r="P717" i="5" s="1"/>
  <c r="P718" i="5" a="1"/>
  <c r="P718" i="5" s="1"/>
  <c r="P719" i="5" a="1"/>
  <c r="P719" i="5" s="1"/>
  <c r="P720" i="5" a="1"/>
  <c r="P720" i="5" s="1"/>
  <c r="P721" i="5" a="1"/>
  <c r="P721" i="5" s="1"/>
  <c r="P722" i="5" a="1"/>
  <c r="P722" i="5" s="1"/>
  <c r="P723" i="5" a="1"/>
  <c r="P723" i="5" s="1"/>
  <c r="P724" i="5" a="1"/>
  <c r="P724" i="5" s="1"/>
  <c r="P725" i="5" a="1"/>
  <c r="P725" i="5" s="1"/>
  <c r="P726" i="5" a="1"/>
  <c r="P726" i="5" s="1"/>
  <c r="P727" i="5" a="1"/>
  <c r="P727" i="5" s="1"/>
  <c r="P728" i="5" a="1"/>
  <c r="P728" i="5" s="1"/>
  <c r="P729" i="5" a="1"/>
  <c r="P729" i="5" s="1"/>
  <c r="P730" i="5" a="1"/>
  <c r="P730" i="5" s="1"/>
  <c r="P731" i="5" a="1"/>
  <c r="P731" i="5" s="1"/>
  <c r="P732" i="5" a="1"/>
  <c r="P732" i="5" s="1"/>
  <c r="P733" i="5" a="1"/>
  <c r="P733" i="5" s="1"/>
  <c r="P734" i="5" a="1"/>
  <c r="P734" i="5" s="1"/>
  <c r="P735" i="5" a="1"/>
  <c r="P735" i="5" s="1"/>
  <c r="P736" i="5" a="1"/>
  <c r="P736" i="5" s="1"/>
  <c r="P737" i="5" a="1"/>
  <c r="P737" i="5" s="1"/>
  <c r="P738" i="5" a="1"/>
  <c r="P738" i="5" s="1"/>
  <c r="P739" i="5" a="1"/>
  <c r="P739" i="5" s="1"/>
  <c r="P740" i="5" a="1"/>
  <c r="P740" i="5" s="1"/>
  <c r="P741" i="5" a="1"/>
  <c r="P741" i="5" s="1"/>
  <c r="P742" i="5" a="1"/>
  <c r="P742" i="5" s="1"/>
  <c r="P743" i="5" a="1"/>
  <c r="P743" i="5" s="1"/>
  <c r="P744" i="5" a="1"/>
  <c r="P744" i="5" s="1"/>
  <c r="P745" i="5" a="1"/>
  <c r="P745" i="5" s="1"/>
  <c r="P746" i="5" a="1"/>
  <c r="P746" i="5" s="1"/>
  <c r="P747" i="5" a="1"/>
  <c r="P747" i="5" s="1"/>
  <c r="P748" i="5" a="1"/>
  <c r="P748" i="5" s="1"/>
  <c r="P749" i="5" a="1"/>
  <c r="P749" i="5" s="1"/>
  <c r="P750" i="5" a="1"/>
  <c r="P750" i="5" s="1"/>
  <c r="P751" i="5" a="1"/>
  <c r="P751" i="5" s="1"/>
  <c r="P752" i="5" a="1"/>
  <c r="P752" i="5" s="1"/>
  <c r="P753" i="5" a="1"/>
  <c r="P753" i="5" s="1"/>
  <c r="P754" i="5" a="1"/>
  <c r="P754" i="5" s="1"/>
  <c r="P755" i="5" a="1"/>
  <c r="P755" i="5" s="1"/>
  <c r="P756" i="5" a="1"/>
  <c r="P756" i="5" s="1"/>
  <c r="P757" i="5" a="1"/>
  <c r="P757" i="5" s="1"/>
  <c r="P758" i="5" a="1"/>
  <c r="P758" i="5" s="1"/>
  <c r="P759" i="5" a="1"/>
  <c r="P759" i="5" s="1"/>
  <c r="P760" i="5" a="1"/>
  <c r="P760" i="5" s="1"/>
  <c r="P761" i="5" a="1"/>
  <c r="P761" i="5" s="1"/>
  <c r="P762" i="5" a="1"/>
  <c r="P762" i="5" s="1"/>
  <c r="P763" i="5" a="1"/>
  <c r="P763" i="5" s="1"/>
  <c r="P764" i="5" a="1"/>
  <c r="P764" i="5" s="1"/>
  <c r="P765" i="5" a="1"/>
  <c r="P765" i="5" s="1"/>
  <c r="P766" i="5" a="1"/>
  <c r="P766" i="5" s="1"/>
  <c r="P767" i="5" a="1"/>
  <c r="P767" i="5" s="1"/>
  <c r="P768" i="5" a="1"/>
  <c r="P768" i="5" s="1"/>
  <c r="P769" i="5" a="1"/>
  <c r="P769" i="5" s="1"/>
  <c r="P770" i="5" a="1"/>
  <c r="P770" i="5" s="1"/>
  <c r="P771" i="5" a="1"/>
  <c r="P771" i="5" s="1"/>
  <c r="P772" i="5" a="1"/>
  <c r="P772" i="5" s="1"/>
  <c r="P773" i="5" a="1"/>
  <c r="P773" i="5" s="1"/>
  <c r="P774" i="5" a="1"/>
  <c r="P774" i="5" s="1"/>
  <c r="P775" i="5" a="1"/>
  <c r="P775" i="5" s="1"/>
  <c r="P776" i="5" a="1"/>
  <c r="P776" i="5" s="1"/>
  <c r="P777" i="5" a="1"/>
  <c r="P777" i="5" s="1"/>
  <c r="P778" i="5" a="1"/>
  <c r="P778" i="5" s="1"/>
  <c r="P779" i="5" a="1"/>
  <c r="P779" i="5" s="1"/>
  <c r="P780" i="5" a="1"/>
  <c r="P780" i="5" s="1"/>
  <c r="P781" i="5" a="1"/>
  <c r="P781" i="5" s="1"/>
  <c r="P782" i="5" a="1"/>
  <c r="P782" i="5" s="1"/>
  <c r="P783" i="5" a="1"/>
  <c r="P783" i="5" s="1"/>
  <c r="P784" i="5" a="1"/>
  <c r="P784" i="5" s="1"/>
  <c r="P785" i="5" a="1"/>
  <c r="P785" i="5" s="1"/>
  <c r="P786" i="5" a="1"/>
  <c r="P786" i="5" s="1"/>
  <c r="P787" i="5" a="1"/>
  <c r="P787" i="5" s="1"/>
  <c r="P788" i="5" a="1"/>
  <c r="P788" i="5" s="1"/>
  <c r="P789" i="5" a="1"/>
  <c r="P789" i="5" s="1"/>
  <c r="P790" i="5" a="1"/>
  <c r="P790" i="5" s="1"/>
  <c r="P791" i="5" a="1"/>
  <c r="P791" i="5" s="1"/>
  <c r="P792" i="5" a="1"/>
  <c r="P792" i="5" s="1"/>
  <c r="P793" i="5" a="1"/>
  <c r="P793" i="5" s="1"/>
  <c r="P794" i="5" a="1"/>
  <c r="P794" i="5" s="1"/>
  <c r="P795" i="5" a="1"/>
  <c r="P795" i="5" s="1"/>
  <c r="P796" i="5" a="1"/>
  <c r="P796" i="5" s="1"/>
  <c r="P797" i="5" a="1"/>
  <c r="P797" i="5" s="1"/>
  <c r="P798" i="5" a="1"/>
  <c r="P798" i="5" s="1"/>
  <c r="P799" i="5" a="1"/>
  <c r="P799" i="5" s="1"/>
  <c r="P800" i="5" a="1"/>
  <c r="P800" i="5" s="1"/>
  <c r="P801" i="5" a="1"/>
  <c r="P801" i="5" s="1"/>
  <c r="P802" i="5" a="1"/>
  <c r="P802" i="5" s="1"/>
  <c r="P803" i="5" a="1"/>
  <c r="P803" i="5" s="1"/>
  <c r="P804" i="5" a="1"/>
  <c r="P804" i="5" s="1"/>
  <c r="P805" i="5" a="1"/>
  <c r="P805" i="5" s="1"/>
  <c r="P806" i="5" a="1"/>
  <c r="P806" i="5" s="1"/>
  <c r="P807" i="5" a="1"/>
  <c r="P807" i="5" s="1"/>
  <c r="P808" i="5" a="1"/>
  <c r="P808" i="5" s="1"/>
  <c r="P809" i="5" a="1"/>
  <c r="P809" i="5" s="1"/>
  <c r="P810" i="5" a="1"/>
  <c r="P810" i="5" s="1"/>
  <c r="P811" i="5" a="1"/>
  <c r="P811" i="5" s="1"/>
  <c r="P812" i="5" a="1"/>
  <c r="P812" i="5" s="1"/>
  <c r="P813" i="5" a="1"/>
  <c r="P813" i="5" s="1"/>
  <c r="P814" i="5" a="1"/>
  <c r="P814" i="5" s="1"/>
  <c r="P815" i="5" a="1"/>
  <c r="P815" i="5" s="1"/>
  <c r="P816" i="5" a="1"/>
  <c r="P816" i="5" s="1"/>
  <c r="P817" i="5" a="1"/>
  <c r="P817" i="5" s="1"/>
  <c r="P818" i="5" a="1"/>
  <c r="P818" i="5" s="1"/>
  <c r="P819" i="5" a="1"/>
  <c r="P819" i="5" s="1"/>
  <c r="P820" i="5" a="1"/>
  <c r="P820" i="5" s="1"/>
  <c r="P821" i="5" a="1"/>
  <c r="P821" i="5" s="1"/>
  <c r="P822" i="5" a="1"/>
  <c r="P822" i="5" s="1"/>
  <c r="P823" i="5" a="1"/>
  <c r="P823" i="5" s="1"/>
  <c r="P824" i="5" a="1"/>
  <c r="P824" i="5" s="1"/>
  <c r="P825" i="5" a="1"/>
  <c r="P825" i="5" s="1"/>
  <c r="P826" i="5" a="1"/>
  <c r="P826" i="5" s="1"/>
  <c r="P827" i="5" a="1"/>
  <c r="P827" i="5" s="1"/>
  <c r="P828" i="5" a="1"/>
  <c r="P828" i="5" s="1"/>
  <c r="P829" i="5" a="1"/>
  <c r="P829" i="5" s="1"/>
  <c r="P830" i="5" a="1"/>
  <c r="P830" i="5" s="1"/>
  <c r="P831" i="5" a="1"/>
  <c r="P831" i="5" s="1"/>
  <c r="P832" i="5" a="1"/>
  <c r="P832" i="5" s="1"/>
  <c r="P833" i="5" a="1"/>
  <c r="P833" i="5" s="1"/>
  <c r="P834" i="5" a="1"/>
  <c r="P834" i="5" s="1"/>
  <c r="P835" i="5" a="1"/>
  <c r="P835" i="5" s="1"/>
  <c r="P836" i="5" a="1"/>
  <c r="P836" i="5" s="1"/>
  <c r="P837" i="5" a="1"/>
  <c r="P837" i="5" s="1"/>
  <c r="P838" i="5" a="1"/>
  <c r="P838" i="5" s="1"/>
  <c r="P839" i="5" a="1"/>
  <c r="P839" i="5" s="1"/>
  <c r="P840" i="5" a="1"/>
  <c r="P840" i="5" s="1"/>
  <c r="P841" i="5" a="1"/>
  <c r="P841" i="5" s="1"/>
  <c r="P842" i="5" a="1"/>
  <c r="P842" i="5" s="1"/>
  <c r="P843" i="5" a="1"/>
  <c r="P843" i="5" s="1"/>
  <c r="P844" i="5" a="1"/>
  <c r="P844" i="5" s="1"/>
  <c r="P845" i="5" a="1"/>
  <c r="P845" i="5" s="1"/>
  <c r="P846" i="5" a="1"/>
  <c r="P846" i="5" s="1"/>
  <c r="P847" i="5" a="1"/>
  <c r="P847" i="5" s="1"/>
  <c r="P848" i="5" a="1"/>
  <c r="P848" i="5" s="1"/>
  <c r="P849" i="5" a="1"/>
  <c r="P849" i="5" s="1"/>
  <c r="P850" i="5" a="1"/>
  <c r="P850" i="5" s="1"/>
  <c r="P851" i="5" a="1"/>
  <c r="P851" i="5" s="1"/>
  <c r="P852" i="5" a="1"/>
  <c r="P852" i="5" s="1"/>
  <c r="P853" i="5" a="1"/>
  <c r="P853" i="5" s="1"/>
  <c r="P854" i="5" a="1"/>
  <c r="P854" i="5" s="1"/>
  <c r="P855" i="5" a="1"/>
  <c r="P855" i="5" s="1"/>
  <c r="P856" i="5" a="1"/>
  <c r="P856" i="5" s="1"/>
  <c r="P857" i="5" a="1"/>
  <c r="P857" i="5" s="1"/>
  <c r="P858" i="5" a="1"/>
  <c r="P858" i="5" s="1"/>
  <c r="P859" i="5" a="1"/>
  <c r="P859" i="5" s="1"/>
  <c r="P860" i="5" a="1"/>
  <c r="P860" i="5" s="1"/>
  <c r="P861" i="5" a="1"/>
  <c r="P861" i="5" s="1"/>
  <c r="P862" i="5" a="1"/>
  <c r="P862" i="5" s="1"/>
  <c r="P863" i="5" a="1"/>
  <c r="P863" i="5" s="1"/>
  <c r="P864" i="5" a="1"/>
  <c r="P864" i="5" s="1"/>
  <c r="P865" i="5" a="1"/>
  <c r="P865" i="5" s="1"/>
  <c r="P866" i="5" a="1"/>
  <c r="P866" i="5" s="1"/>
  <c r="P867" i="5" a="1"/>
  <c r="P867" i="5" s="1"/>
  <c r="P868" i="5" a="1"/>
  <c r="P868" i="5" s="1"/>
  <c r="P869" i="5" a="1"/>
  <c r="P869" i="5" s="1"/>
  <c r="P870" i="5" a="1"/>
  <c r="P870" i="5" s="1"/>
  <c r="P871" i="5" a="1"/>
  <c r="P871" i="5" s="1"/>
  <c r="P872" i="5" a="1"/>
  <c r="P872" i="5" s="1"/>
  <c r="P873" i="5" a="1"/>
  <c r="P873" i="5" s="1"/>
  <c r="P874" i="5" a="1"/>
  <c r="P874" i="5" s="1"/>
  <c r="P875" i="5" a="1"/>
  <c r="P875" i="5" s="1"/>
  <c r="P876" i="5" a="1"/>
  <c r="P876" i="5" s="1"/>
  <c r="P877" i="5" a="1"/>
  <c r="P877" i="5" s="1"/>
  <c r="P878" i="5" a="1"/>
  <c r="P878" i="5" s="1"/>
  <c r="P879" i="5" a="1"/>
  <c r="P879" i="5" s="1"/>
  <c r="P880" i="5" a="1"/>
  <c r="P880" i="5" s="1"/>
  <c r="P881" i="5" a="1"/>
  <c r="P881" i="5" s="1"/>
  <c r="P882" i="5" a="1"/>
  <c r="P882" i="5" s="1"/>
  <c r="P883" i="5" a="1"/>
  <c r="P883" i="5" s="1"/>
  <c r="P884" i="5" a="1"/>
  <c r="P884" i="5" s="1"/>
  <c r="P885" i="5" a="1"/>
  <c r="P885" i="5" s="1"/>
  <c r="P886" i="5" a="1"/>
  <c r="P886" i="5" s="1"/>
  <c r="P887" i="5" a="1"/>
  <c r="P887" i="5" s="1"/>
  <c r="P888" i="5" a="1"/>
  <c r="P888" i="5" s="1"/>
  <c r="P889" i="5" a="1"/>
  <c r="P889" i="5" s="1"/>
  <c r="P890" i="5" a="1"/>
  <c r="P890" i="5" s="1"/>
  <c r="P891" i="5" a="1"/>
  <c r="P891" i="5" s="1"/>
  <c r="P892" i="5" a="1"/>
  <c r="P892" i="5" s="1"/>
  <c r="P893" i="5" a="1"/>
  <c r="P893" i="5" s="1"/>
  <c r="P894" i="5" a="1"/>
  <c r="P894" i="5" s="1"/>
  <c r="P895" i="5" a="1"/>
  <c r="P895" i="5" s="1"/>
  <c r="P896" i="5" a="1"/>
  <c r="P896" i="5" s="1"/>
  <c r="P897" i="5" a="1"/>
  <c r="P897" i="5" s="1"/>
  <c r="P898" i="5" a="1"/>
  <c r="P898" i="5" s="1"/>
  <c r="P899" i="5" a="1"/>
  <c r="P899" i="5" s="1"/>
  <c r="P900" i="5" a="1"/>
  <c r="P900" i="5" s="1"/>
  <c r="P901" i="5" a="1"/>
  <c r="P901" i="5" s="1"/>
  <c r="P902" i="5" a="1"/>
  <c r="P902" i="5" s="1"/>
  <c r="P903" i="5" a="1"/>
  <c r="P903" i="5" s="1"/>
  <c r="P904" i="5" a="1"/>
  <c r="P904" i="5" s="1"/>
  <c r="P905" i="5" a="1"/>
  <c r="P905" i="5" s="1"/>
  <c r="P906" i="5" a="1"/>
  <c r="P906" i="5" s="1"/>
  <c r="P907" i="5" a="1"/>
  <c r="P907" i="5" s="1"/>
  <c r="P908" i="5" a="1"/>
  <c r="P908" i="5" s="1"/>
  <c r="P909" i="5" a="1"/>
  <c r="P909" i="5" s="1"/>
  <c r="P910" i="5" a="1"/>
  <c r="P910" i="5" s="1"/>
  <c r="P911" i="5" a="1"/>
  <c r="P911" i="5" s="1"/>
  <c r="P912" i="5" a="1"/>
  <c r="P912" i="5" s="1"/>
  <c r="P913" i="5" a="1"/>
  <c r="P913" i="5" s="1"/>
  <c r="P914" i="5" a="1"/>
  <c r="P914" i="5" s="1"/>
  <c r="P915" i="5" a="1"/>
  <c r="P915" i="5" s="1"/>
  <c r="P916" i="5" a="1"/>
  <c r="P916" i="5" s="1"/>
  <c r="P917" i="5" a="1"/>
  <c r="P917" i="5" s="1"/>
  <c r="P918" i="5" a="1"/>
  <c r="P918" i="5" s="1"/>
  <c r="P919" i="5" a="1"/>
  <c r="P919" i="5" s="1"/>
  <c r="P920" i="5" a="1"/>
  <c r="P920" i="5" s="1"/>
  <c r="P921" i="5" a="1"/>
  <c r="P921" i="5" s="1"/>
  <c r="P922" i="5" a="1"/>
  <c r="P922" i="5" s="1"/>
  <c r="P923" i="5" a="1"/>
  <c r="P923" i="5" s="1"/>
  <c r="P924" i="5" a="1"/>
  <c r="P924" i="5" s="1"/>
  <c r="P925" i="5" a="1"/>
  <c r="P925" i="5" s="1"/>
  <c r="P926" i="5" a="1"/>
  <c r="P926" i="5" s="1"/>
  <c r="P927" i="5" a="1"/>
  <c r="P927" i="5" s="1"/>
  <c r="P928" i="5" a="1"/>
  <c r="P928" i="5" s="1"/>
  <c r="P929" i="5" a="1"/>
  <c r="P929" i="5" s="1"/>
  <c r="P930" i="5" a="1"/>
  <c r="P930" i="5" s="1"/>
  <c r="P931" i="5" a="1"/>
  <c r="P931" i="5" s="1"/>
  <c r="P932" i="5" a="1"/>
  <c r="P932" i="5" s="1"/>
  <c r="P933" i="5" a="1"/>
  <c r="P933" i="5" s="1"/>
  <c r="P934" i="5" a="1"/>
  <c r="P934" i="5" s="1"/>
  <c r="P935" i="5" a="1"/>
  <c r="P935" i="5" s="1"/>
  <c r="P936" i="5" a="1"/>
  <c r="P936" i="5" s="1"/>
  <c r="P937" i="5" a="1"/>
  <c r="P937" i="5" s="1"/>
  <c r="P938" i="5" a="1"/>
  <c r="P938" i="5" s="1"/>
  <c r="P939" i="5" a="1"/>
  <c r="P939" i="5" s="1"/>
  <c r="P940" i="5" a="1"/>
  <c r="P940" i="5" s="1"/>
  <c r="P941" i="5" a="1"/>
  <c r="P941" i="5" s="1"/>
  <c r="P942" i="5" a="1"/>
  <c r="P942" i="5" s="1"/>
  <c r="P943" i="5" a="1"/>
  <c r="P943" i="5" s="1"/>
  <c r="P944" i="5" a="1"/>
  <c r="P944" i="5" s="1"/>
  <c r="P945" i="5" a="1"/>
  <c r="P945" i="5" s="1"/>
  <c r="P946" i="5" a="1"/>
  <c r="P946" i="5" s="1"/>
  <c r="P947" i="5" a="1"/>
  <c r="P947" i="5" s="1"/>
  <c r="P948" i="5" a="1"/>
  <c r="P948" i="5" s="1"/>
  <c r="P949" i="5" a="1"/>
  <c r="P949" i="5" s="1"/>
  <c r="P950" i="5" a="1"/>
  <c r="P950" i="5" s="1"/>
  <c r="P951" i="5" a="1"/>
  <c r="P951" i="5" s="1"/>
  <c r="P952" i="5" a="1"/>
  <c r="P952" i="5" s="1"/>
  <c r="P953" i="5" a="1"/>
  <c r="P953" i="5" s="1"/>
  <c r="P954" i="5" a="1"/>
  <c r="P954" i="5" s="1"/>
  <c r="P955" i="5" a="1"/>
  <c r="P955" i="5" s="1"/>
  <c r="P956" i="5" a="1"/>
  <c r="P956" i="5" s="1"/>
  <c r="P957" i="5" a="1"/>
  <c r="P957" i="5" s="1"/>
  <c r="P958" i="5" a="1"/>
  <c r="P958" i="5" s="1"/>
  <c r="P959" i="5" a="1"/>
  <c r="P959" i="5" s="1"/>
  <c r="P960" i="5" a="1"/>
  <c r="P960" i="5" s="1"/>
  <c r="P961" i="5" a="1"/>
  <c r="P961" i="5" s="1"/>
  <c r="P962" i="5" a="1"/>
  <c r="P962" i="5" s="1"/>
  <c r="P963" i="5" a="1"/>
  <c r="P963" i="5" s="1"/>
  <c r="P964" i="5" a="1"/>
  <c r="P964" i="5" s="1"/>
  <c r="P965" i="5" a="1"/>
  <c r="P965" i="5" s="1"/>
  <c r="P966" i="5" a="1"/>
  <c r="P966" i="5" s="1"/>
  <c r="P967" i="5" a="1"/>
  <c r="P967" i="5" s="1"/>
  <c r="P968" i="5" a="1"/>
  <c r="P968" i="5" s="1"/>
  <c r="P969" i="5" a="1"/>
  <c r="P969" i="5" s="1"/>
  <c r="P970" i="5" a="1"/>
  <c r="P970" i="5" s="1"/>
  <c r="P971" i="5" a="1"/>
  <c r="P971" i="5" s="1"/>
  <c r="P972" i="5" a="1"/>
  <c r="P972" i="5" s="1"/>
  <c r="P973" i="5" a="1"/>
  <c r="P973" i="5" s="1"/>
  <c r="P974" i="5" a="1"/>
  <c r="P974" i="5" s="1"/>
  <c r="P975" i="5" a="1"/>
  <c r="P975" i="5" s="1"/>
  <c r="P976" i="5" a="1"/>
  <c r="P976" i="5" s="1"/>
  <c r="P977" i="5" a="1"/>
  <c r="P977" i="5" s="1"/>
  <c r="P978" i="5" a="1"/>
  <c r="P978" i="5" s="1"/>
  <c r="P979" i="5" a="1"/>
  <c r="P979" i="5" s="1"/>
  <c r="P980" i="5" a="1"/>
  <c r="P980" i="5" s="1"/>
  <c r="P981" i="5" a="1"/>
  <c r="P981" i="5" s="1"/>
  <c r="P982" i="5" a="1"/>
  <c r="P982" i="5" s="1"/>
  <c r="P983" i="5" a="1"/>
  <c r="P983" i="5" s="1"/>
  <c r="P984" i="5" a="1"/>
  <c r="P984" i="5" s="1"/>
  <c r="P985" i="5" a="1"/>
  <c r="P985" i="5" s="1"/>
  <c r="P986" i="5" a="1"/>
  <c r="P986" i="5" s="1"/>
  <c r="P987" i="5" a="1"/>
  <c r="P987" i="5" s="1"/>
  <c r="P988" i="5" a="1"/>
  <c r="P988" i="5" s="1"/>
  <c r="P989" i="5" a="1"/>
  <c r="P989" i="5" s="1"/>
  <c r="P990" i="5" a="1"/>
  <c r="P990" i="5" s="1"/>
  <c r="P991" i="5" a="1"/>
  <c r="P991" i="5" s="1"/>
  <c r="P992" i="5" a="1"/>
  <c r="P992" i="5" s="1"/>
  <c r="P993" i="5" a="1"/>
  <c r="P993" i="5" s="1"/>
  <c r="P994" i="5" a="1"/>
  <c r="P994" i="5" s="1"/>
  <c r="P995" i="5" a="1"/>
  <c r="P995" i="5" s="1"/>
  <c r="P996" i="5" a="1"/>
  <c r="P996" i="5" s="1"/>
  <c r="P997" i="5" a="1"/>
  <c r="P997" i="5" s="1"/>
  <c r="P998" i="5" a="1"/>
  <c r="P998" i="5" s="1"/>
  <c r="P999" i="5" a="1"/>
  <c r="P999" i="5" s="1"/>
  <c r="P1000" i="5" a="1"/>
  <c r="P1000" i="5" s="1"/>
  <c r="P1001" i="5" a="1"/>
  <c r="P1001" i="5" s="1"/>
  <c r="P1002" i="5" a="1"/>
  <c r="P1002" i="5" s="1"/>
  <c r="P1003" i="5" a="1"/>
  <c r="P1003" i="5" s="1"/>
  <c r="P1004" i="5" a="1"/>
  <c r="P1004" i="5" s="1"/>
  <c r="P1005" i="5" a="1"/>
  <c r="P1005" i="5" s="1"/>
  <c r="P1006" i="5" a="1"/>
  <c r="P1006" i="5" s="1"/>
  <c r="P1007" i="5" a="1"/>
  <c r="P1007" i="5" s="1"/>
  <c r="P1008" i="5" a="1"/>
  <c r="P1008" i="5" s="1"/>
  <c r="P1009" i="5" a="1"/>
  <c r="P1009" i="5" s="1"/>
  <c r="P1010" i="5" a="1"/>
  <c r="P1010" i="5" s="1"/>
  <c r="P1011" i="5" a="1"/>
  <c r="P1011" i="5" s="1"/>
  <c r="P1012" i="5" a="1"/>
  <c r="P1012" i="5" s="1"/>
  <c r="P1013" i="5" a="1"/>
  <c r="P1013" i="5" s="1"/>
  <c r="P1014" i="5" a="1"/>
  <c r="P1014" i="5" s="1"/>
  <c r="P1015" i="5" a="1"/>
  <c r="P1015" i="5" s="1"/>
  <c r="P1016" i="5" a="1"/>
  <c r="P1016" i="5" s="1"/>
  <c r="P1017" i="5" a="1"/>
  <c r="P1017" i="5" s="1"/>
  <c r="P1018" i="5" a="1"/>
  <c r="P1018" i="5" s="1"/>
  <c r="P1019" i="5" a="1"/>
  <c r="P1019" i="5" s="1"/>
  <c r="P1020" i="5" a="1"/>
  <c r="P1020" i="5" s="1"/>
  <c r="P1021" i="5" a="1"/>
  <c r="P1021" i="5" s="1"/>
  <c r="P1022" i="5" a="1"/>
  <c r="P1022" i="5" s="1"/>
  <c r="P1023" i="5" a="1"/>
  <c r="P1023" i="5" s="1"/>
  <c r="P1024" i="5" a="1"/>
  <c r="P1024" i="5" s="1"/>
  <c r="P1025" i="5" a="1"/>
  <c r="P1025" i="5" s="1"/>
  <c r="P1026" i="5" a="1"/>
  <c r="P1026" i="5" s="1"/>
  <c r="P1027" i="5" a="1"/>
  <c r="P1027" i="5" s="1"/>
  <c r="P1028" i="5" a="1"/>
  <c r="P1028" i="5" s="1"/>
  <c r="P1029" i="5" a="1"/>
  <c r="P1029" i="5" s="1"/>
  <c r="P1030" i="5" a="1"/>
  <c r="P1030" i="5" s="1"/>
  <c r="P1031" i="5" a="1"/>
  <c r="P1031" i="5" s="1"/>
  <c r="P1032" i="5" a="1"/>
  <c r="P1032" i="5" s="1"/>
  <c r="P1033" i="5" a="1"/>
  <c r="P1033" i="5" s="1"/>
  <c r="P1034" i="5" a="1"/>
  <c r="P1034" i="5" s="1"/>
  <c r="P1035" i="5" a="1"/>
  <c r="P1035" i="5" s="1"/>
  <c r="P1036" i="5" a="1"/>
  <c r="P1036" i="5" s="1"/>
  <c r="P1037" i="5" a="1"/>
  <c r="P1037" i="5" s="1"/>
  <c r="P1038" i="5" a="1"/>
  <c r="P1038" i="5" s="1"/>
  <c r="P1039" i="5" a="1"/>
  <c r="P1039" i="5" s="1"/>
  <c r="P1040" i="5" a="1"/>
  <c r="P1040" i="5" s="1"/>
  <c r="P1041" i="5" a="1"/>
  <c r="P1041" i="5" s="1"/>
  <c r="P1042" i="5" a="1"/>
  <c r="P1042" i="5" s="1"/>
  <c r="P1043" i="5" a="1"/>
  <c r="P1043" i="5" s="1"/>
  <c r="P1044" i="5" a="1"/>
  <c r="P1044" i="5" s="1"/>
  <c r="P1045" i="5" a="1"/>
  <c r="P1045" i="5" s="1"/>
  <c r="P1046" i="5" a="1"/>
  <c r="P1046" i="5" s="1"/>
  <c r="P1047" i="5" a="1"/>
  <c r="P1047" i="5" s="1"/>
  <c r="P1048" i="5" a="1"/>
  <c r="P1048" i="5" s="1"/>
  <c r="P1049" i="5" a="1"/>
  <c r="P1049" i="5" s="1"/>
  <c r="P1050" i="5" a="1"/>
  <c r="P1050" i="5" s="1"/>
  <c r="P1051" i="5" a="1"/>
  <c r="P1051" i="5" s="1"/>
  <c r="P1052" i="5" a="1"/>
  <c r="P1052" i="5" s="1"/>
  <c r="P1053" i="5" a="1"/>
  <c r="P1053" i="5" s="1"/>
  <c r="P1054" i="5" a="1"/>
  <c r="P1054" i="5" s="1"/>
  <c r="P1055" i="5" a="1"/>
  <c r="P1055" i="5" s="1"/>
  <c r="P1056" i="5" a="1"/>
  <c r="P1056" i="5" s="1"/>
  <c r="P1057" i="5" a="1"/>
  <c r="P1057" i="5" s="1"/>
  <c r="P1058" i="5" a="1"/>
  <c r="P1058" i="5" s="1"/>
  <c r="P1059" i="5" a="1"/>
  <c r="P1059" i="5" s="1"/>
  <c r="P1060" i="5" a="1"/>
  <c r="P1060" i="5" s="1"/>
  <c r="P1061" i="5" a="1"/>
  <c r="P1061" i="5" s="1"/>
  <c r="P1062" i="5" a="1"/>
  <c r="P1062" i="5" s="1"/>
  <c r="P1063" i="5" a="1"/>
  <c r="P1063" i="5" s="1"/>
  <c r="P1064" i="5" a="1"/>
  <c r="P1064" i="5" s="1"/>
  <c r="P1065" i="5" a="1"/>
  <c r="P1065" i="5" s="1"/>
  <c r="P1066" i="5" a="1"/>
  <c r="P1066" i="5" s="1"/>
  <c r="P1067" i="5" a="1"/>
  <c r="P1067" i="5" s="1"/>
  <c r="P1068" i="5" a="1"/>
  <c r="P1068" i="5" s="1"/>
  <c r="P1069" i="5" a="1"/>
  <c r="P1069" i="5" s="1"/>
  <c r="P1070" i="5" a="1"/>
  <c r="P1070" i="5" s="1"/>
  <c r="P1071" i="5" a="1"/>
  <c r="P1071" i="5" s="1"/>
  <c r="P1072" i="5" a="1"/>
  <c r="P1072" i="5" s="1"/>
  <c r="P1073" i="5" a="1"/>
  <c r="P1073" i="5" s="1"/>
  <c r="P1074" i="5" a="1"/>
  <c r="P1074" i="5" s="1"/>
  <c r="P1075" i="5" a="1"/>
  <c r="P1075" i="5" s="1"/>
  <c r="P1076" i="5" a="1"/>
  <c r="P1076" i="5" s="1"/>
  <c r="P1077" i="5" a="1"/>
  <c r="P1077" i="5" s="1"/>
  <c r="P1078" i="5" a="1"/>
  <c r="P1078" i="5" s="1"/>
  <c r="P1079" i="5" a="1"/>
  <c r="P1079" i="5" s="1"/>
  <c r="P1080" i="5" a="1"/>
  <c r="P1080" i="5" s="1"/>
  <c r="P1081" i="5" a="1"/>
  <c r="P1081" i="5" s="1"/>
  <c r="P1082" i="5" a="1"/>
  <c r="P1082" i="5" s="1"/>
  <c r="P1083" i="5" a="1"/>
  <c r="P1083" i="5" s="1"/>
  <c r="P1084" i="5" a="1"/>
  <c r="P1084" i="5" s="1"/>
  <c r="P1085" i="5" a="1"/>
  <c r="P1085" i="5" s="1"/>
  <c r="P1086" i="5" a="1"/>
  <c r="P1086" i="5" s="1"/>
  <c r="P1087" i="5" a="1"/>
  <c r="P1087" i="5" s="1"/>
  <c r="P1088" i="5" a="1"/>
  <c r="P1088" i="5" s="1"/>
  <c r="P1089" i="5" a="1"/>
  <c r="P1089" i="5" s="1"/>
  <c r="P1090" i="5" a="1"/>
  <c r="P1090" i="5" s="1"/>
  <c r="P1091" i="5" a="1"/>
  <c r="P1091" i="5" s="1"/>
  <c r="P1092" i="5" a="1"/>
  <c r="P1092" i="5" s="1"/>
  <c r="P1093" i="5" a="1"/>
  <c r="P1093" i="5" s="1"/>
  <c r="P1094" i="5" a="1"/>
  <c r="P1094" i="5" s="1"/>
  <c r="P1095" i="5" a="1"/>
  <c r="P1095" i="5" s="1"/>
  <c r="P1096" i="5" a="1"/>
  <c r="P1096" i="5" s="1"/>
  <c r="P1097" i="5" a="1"/>
  <c r="P1097" i="5" s="1"/>
  <c r="P1098" i="5" a="1"/>
  <c r="P1098" i="5" s="1"/>
  <c r="P1099" i="5" a="1"/>
  <c r="P1099" i="5" s="1"/>
  <c r="P1100" i="5" a="1"/>
  <c r="P1100" i="5" s="1"/>
  <c r="P1101" i="5" a="1"/>
  <c r="P1101" i="5" s="1"/>
  <c r="P1102" i="5" a="1"/>
  <c r="P1102" i="5" s="1"/>
  <c r="P1103" i="5" a="1"/>
  <c r="P1103" i="5" s="1"/>
  <c r="P1104" i="5" a="1"/>
  <c r="P1104" i="5" s="1"/>
  <c r="P1105" i="5" a="1"/>
  <c r="P1105" i="5" s="1"/>
  <c r="P1106" i="5" a="1"/>
  <c r="P1106" i="5" s="1"/>
  <c r="P1107" i="5" a="1"/>
  <c r="P1107" i="5" s="1"/>
  <c r="P1108" i="5" a="1"/>
  <c r="P1108" i="5" s="1"/>
  <c r="P1109" i="5" a="1"/>
  <c r="P1109" i="5" s="1"/>
  <c r="P1110" i="5" a="1"/>
  <c r="P1110" i="5" s="1"/>
  <c r="P1111" i="5" a="1"/>
  <c r="P1111" i="5" s="1"/>
  <c r="P1112" i="5" a="1"/>
  <c r="P1112" i="5" s="1"/>
  <c r="P1113" i="5" a="1"/>
  <c r="P1113" i="5" s="1"/>
  <c r="P1114" i="5" a="1"/>
  <c r="P1114" i="5" s="1"/>
  <c r="P1115" i="5" a="1"/>
  <c r="P1115" i="5" s="1"/>
  <c r="P1116" i="5" a="1"/>
  <c r="P1116" i="5" s="1"/>
  <c r="P1117" i="5" a="1"/>
  <c r="P1117" i="5" s="1"/>
  <c r="P1118" i="5" a="1"/>
  <c r="P1118" i="5" s="1"/>
  <c r="P1119" i="5" a="1"/>
  <c r="P1119" i="5" s="1"/>
  <c r="P1120" i="5" a="1"/>
  <c r="P1120" i="5" s="1"/>
  <c r="P1121" i="5" a="1"/>
  <c r="P1121" i="5" s="1"/>
  <c r="P1122" i="5" a="1"/>
  <c r="P1122" i="5" s="1"/>
  <c r="P1123" i="5" a="1"/>
  <c r="P1123" i="5" s="1"/>
  <c r="P1124" i="5" a="1"/>
  <c r="P1124" i="5" s="1"/>
  <c r="P1125" i="5" a="1"/>
  <c r="P1125" i="5" s="1"/>
  <c r="P1126" i="5" a="1"/>
  <c r="P1126" i="5" s="1"/>
  <c r="P1127" i="5" a="1"/>
  <c r="P1127" i="5" s="1"/>
  <c r="P1128" i="5" a="1"/>
  <c r="P1128" i="5" s="1"/>
  <c r="P1129" i="5" a="1"/>
  <c r="P1129" i="5" s="1"/>
  <c r="P1130" i="5" a="1"/>
  <c r="P1130" i="5" s="1"/>
  <c r="P1131" i="5" a="1"/>
  <c r="P1131" i="5" s="1"/>
  <c r="P1132" i="5" a="1"/>
  <c r="P1132" i="5" s="1"/>
  <c r="P1133" i="5" a="1"/>
  <c r="P1133" i="5" s="1"/>
  <c r="P1134" i="5" a="1"/>
  <c r="P1134" i="5" s="1"/>
  <c r="P1135" i="5" a="1"/>
  <c r="P1135" i="5" s="1"/>
  <c r="P1136" i="5" a="1"/>
  <c r="P1136" i="5" s="1"/>
  <c r="P1137" i="5" a="1"/>
  <c r="P1137" i="5" s="1"/>
  <c r="P1138" i="5" a="1"/>
  <c r="P1138" i="5" s="1"/>
  <c r="P1139" i="5" a="1"/>
  <c r="P1139" i="5" s="1"/>
  <c r="P1140" i="5" a="1"/>
  <c r="P1140" i="5" s="1"/>
  <c r="P1141" i="5" a="1"/>
  <c r="P1141" i="5" s="1"/>
  <c r="P1142" i="5" a="1"/>
  <c r="P1142" i="5" s="1"/>
  <c r="P1143" i="5" a="1"/>
  <c r="P1143" i="5" s="1"/>
  <c r="P1144" i="5" a="1"/>
  <c r="P1144" i="5" s="1"/>
  <c r="P1145" i="5" a="1"/>
  <c r="P1145" i="5" s="1"/>
  <c r="P1146" i="5" a="1"/>
  <c r="P1146" i="5" s="1"/>
  <c r="P1147" i="5" a="1"/>
  <c r="P1147" i="5" s="1"/>
  <c r="P1148" i="5" a="1"/>
  <c r="P1148" i="5" s="1"/>
  <c r="P1149" i="5" a="1"/>
  <c r="P1149" i="5" s="1"/>
  <c r="P1150" i="5" a="1"/>
  <c r="P1150" i="5" s="1"/>
  <c r="P1151" i="5" a="1"/>
  <c r="P1151" i="5" s="1"/>
  <c r="P1152" i="5" a="1"/>
  <c r="P1152" i="5" s="1"/>
  <c r="P1153" i="5" a="1"/>
  <c r="P1153" i="5" s="1"/>
  <c r="P1154" i="5" a="1"/>
  <c r="P1154" i="5" s="1"/>
  <c r="P1155" i="5" a="1"/>
  <c r="P1155" i="5" s="1"/>
  <c r="P1156" i="5" a="1"/>
  <c r="P1156" i="5" s="1"/>
  <c r="P1157" i="5" a="1"/>
  <c r="P1157" i="5" s="1"/>
  <c r="P1158" i="5" a="1"/>
  <c r="P1158" i="5" s="1"/>
  <c r="P1159" i="5" a="1"/>
  <c r="P1159" i="5" s="1"/>
  <c r="P1160" i="5" a="1"/>
  <c r="P1160" i="5" s="1"/>
  <c r="P1161" i="5" a="1"/>
  <c r="P1161" i="5" s="1"/>
  <c r="P1162" i="5" a="1"/>
  <c r="P1162" i="5" s="1"/>
  <c r="P1163" i="5" a="1"/>
  <c r="P1163" i="5" s="1"/>
  <c r="P1164" i="5" a="1"/>
  <c r="P1164" i="5" s="1"/>
  <c r="P1165" i="5" a="1"/>
  <c r="P1165" i="5" s="1"/>
  <c r="P1166" i="5" a="1"/>
  <c r="P1166" i="5" s="1"/>
  <c r="P1167" i="5" a="1"/>
  <c r="P1167" i="5" s="1"/>
  <c r="P1168" i="5" a="1"/>
  <c r="P1168" i="5" s="1"/>
  <c r="P1169" i="5" a="1"/>
  <c r="P1169" i="5" s="1"/>
  <c r="P1170" i="5" a="1"/>
  <c r="P1170" i="5" s="1"/>
  <c r="P1171" i="5" a="1"/>
  <c r="P1171" i="5" s="1"/>
  <c r="P1172" i="5" a="1"/>
  <c r="P1172" i="5" s="1"/>
  <c r="P1173" i="5" a="1"/>
  <c r="P1173" i="5" s="1"/>
  <c r="P1174" i="5" a="1"/>
  <c r="P1174" i="5" s="1"/>
  <c r="P1175" i="5" a="1"/>
  <c r="P1175" i="5" s="1"/>
  <c r="P1176" i="5" a="1"/>
  <c r="P1176" i="5" s="1"/>
  <c r="P1177" i="5" a="1"/>
  <c r="P1177" i="5" s="1"/>
  <c r="P1178" i="5" a="1"/>
  <c r="P1178" i="5" s="1"/>
  <c r="P1179" i="5" a="1"/>
  <c r="P1179" i="5" s="1"/>
  <c r="P1180" i="5" a="1"/>
  <c r="P1180" i="5" s="1"/>
  <c r="P1181" i="5" a="1"/>
  <c r="P1181" i="5" s="1"/>
  <c r="P1182" i="5" a="1"/>
  <c r="P1182" i="5" s="1"/>
  <c r="P1183" i="5" a="1"/>
  <c r="P1183" i="5" s="1"/>
  <c r="P1184" i="5" a="1"/>
  <c r="P1184" i="5" s="1"/>
  <c r="P1185" i="5" a="1"/>
  <c r="P1185" i="5" s="1"/>
  <c r="P1186" i="5" a="1"/>
  <c r="P1186" i="5" s="1"/>
  <c r="P1187" i="5" a="1"/>
  <c r="P1187" i="5" s="1"/>
  <c r="P1188" i="5" a="1"/>
  <c r="P1188" i="5" s="1"/>
  <c r="P1189" i="5" a="1"/>
  <c r="P1189" i="5" s="1"/>
  <c r="P1190" i="5" a="1"/>
  <c r="P1190" i="5" s="1"/>
  <c r="P1191" i="5" a="1"/>
  <c r="P1191" i="5" s="1"/>
  <c r="P1192" i="5" a="1"/>
  <c r="P1192" i="5" s="1"/>
  <c r="P1193" i="5" a="1"/>
  <c r="P1193" i="5" s="1"/>
  <c r="P1194" i="5" a="1"/>
  <c r="P1194" i="5" s="1"/>
  <c r="P1195" i="5" a="1"/>
  <c r="P1195" i="5" s="1"/>
  <c r="P1196" i="5" a="1"/>
  <c r="P1196" i="5" s="1"/>
  <c r="P1197" i="5" a="1"/>
  <c r="P1197" i="5" s="1"/>
  <c r="P1198" i="5" a="1"/>
  <c r="P1198" i="5" s="1"/>
  <c r="P1199" i="5" a="1"/>
  <c r="P1199" i="5" s="1"/>
  <c r="P1200" i="5" a="1"/>
  <c r="P1200" i="5" s="1"/>
  <c r="P1201" i="5" a="1"/>
  <c r="P1201" i="5" s="1"/>
  <c r="P1202" i="5" a="1"/>
  <c r="P1202" i="5" s="1"/>
  <c r="P1203" i="5" a="1"/>
  <c r="P1203" i="5" s="1"/>
  <c r="P1204" i="5" a="1"/>
  <c r="P1204" i="5" s="1"/>
  <c r="P1205" i="5" a="1"/>
  <c r="P1205" i="5" s="1"/>
  <c r="P1206" i="5" a="1"/>
  <c r="P1206" i="5" s="1"/>
  <c r="P1207" i="5" a="1"/>
  <c r="P1207" i="5" s="1"/>
  <c r="P1208" i="5" a="1"/>
  <c r="P1208" i="5" s="1"/>
  <c r="P1209" i="5" a="1"/>
  <c r="P1209" i="5" s="1"/>
  <c r="P1210" i="5" a="1"/>
  <c r="P1210" i="5" s="1"/>
  <c r="P1211" i="5" a="1"/>
  <c r="P1211" i="5" s="1"/>
  <c r="P1212" i="5" a="1"/>
  <c r="P1212" i="5" s="1"/>
  <c r="P1213" i="5" a="1"/>
  <c r="P1213" i="5" s="1"/>
  <c r="P1214" i="5" a="1"/>
  <c r="P1214" i="5" s="1"/>
  <c r="P1215" i="5" a="1"/>
  <c r="P1215" i="5" s="1"/>
  <c r="P1216" i="5" a="1"/>
  <c r="P1216" i="5" s="1"/>
  <c r="P1217" i="5" a="1"/>
  <c r="P1217" i="5" s="1"/>
  <c r="P1218" i="5" a="1"/>
  <c r="P1218" i="5" s="1"/>
  <c r="P1219" i="5" a="1"/>
  <c r="P1219" i="5" s="1"/>
  <c r="P1220" i="5" a="1"/>
  <c r="P1220" i="5" s="1"/>
  <c r="P1221" i="5" a="1"/>
  <c r="P1221" i="5" s="1"/>
  <c r="P1222" i="5" a="1"/>
  <c r="P1222" i="5" s="1"/>
  <c r="P1223" i="5" a="1"/>
  <c r="P1223" i="5" s="1"/>
  <c r="P1224" i="5" a="1"/>
  <c r="P1224" i="5" s="1"/>
  <c r="P1225" i="5" a="1"/>
  <c r="P1225" i="5" s="1"/>
  <c r="P1226" i="5" a="1"/>
  <c r="P1226" i="5" s="1"/>
  <c r="P1227" i="5" a="1"/>
  <c r="P1227" i="5" s="1"/>
  <c r="P1228" i="5" a="1"/>
  <c r="P1228" i="5" s="1"/>
  <c r="P1229" i="5" a="1"/>
  <c r="P1229" i="5" s="1"/>
  <c r="P1230" i="5" a="1"/>
  <c r="P1230" i="5" s="1"/>
  <c r="P1231" i="5" a="1"/>
  <c r="P1231" i="5" s="1"/>
  <c r="P1232" i="5" a="1"/>
  <c r="P1232" i="5" s="1"/>
  <c r="P1233" i="5" a="1"/>
  <c r="P1233" i="5" s="1"/>
  <c r="P1234" i="5" a="1"/>
  <c r="P1234" i="5" s="1"/>
  <c r="P1235" i="5" a="1"/>
  <c r="P1235" i="5" s="1"/>
  <c r="P1236" i="5" a="1"/>
  <c r="P1236" i="5" s="1"/>
  <c r="P1237" i="5" a="1"/>
  <c r="P1237" i="5" s="1"/>
  <c r="P1238" i="5" a="1"/>
  <c r="P1238" i="5" s="1"/>
  <c r="P1239" i="5" a="1"/>
  <c r="P1239" i="5" s="1"/>
  <c r="P1240" i="5" a="1"/>
  <c r="P1240" i="5" s="1"/>
  <c r="P1241" i="5" a="1"/>
  <c r="P1241" i="5" s="1"/>
  <c r="P1242" i="5" a="1"/>
  <c r="P1242" i="5" s="1"/>
  <c r="P1243" i="5" a="1"/>
  <c r="P1243" i="5" s="1"/>
  <c r="P1244" i="5" a="1"/>
  <c r="P1244" i="5" s="1"/>
  <c r="P1245" i="5" a="1"/>
  <c r="P1245" i="5" s="1"/>
  <c r="P1246" i="5" a="1"/>
  <c r="P1246" i="5" s="1"/>
  <c r="P1247" i="5" a="1"/>
  <c r="P1247" i="5" s="1"/>
  <c r="P1248" i="5" a="1"/>
  <c r="P1248" i="5" s="1"/>
  <c r="P1249" i="5" a="1"/>
  <c r="P1249" i="5" s="1"/>
  <c r="P1250" i="5" a="1"/>
  <c r="P1250" i="5" s="1"/>
  <c r="P1251" i="5" a="1"/>
  <c r="P1251" i="5" s="1"/>
  <c r="P1252" i="5" a="1"/>
  <c r="P1252" i="5" s="1"/>
  <c r="P1253" i="5" a="1"/>
  <c r="P1253" i="5" s="1"/>
  <c r="P1254" i="5" a="1"/>
  <c r="P1254" i="5" s="1"/>
  <c r="P1255" i="5" a="1"/>
  <c r="P1255" i="5" s="1"/>
  <c r="P1256" i="5" a="1"/>
  <c r="P1256" i="5" s="1"/>
  <c r="P1257" i="5" a="1"/>
  <c r="P1257" i="5" s="1"/>
  <c r="P1258" i="5" a="1"/>
  <c r="P1258" i="5" s="1"/>
  <c r="P1259" i="5" a="1"/>
  <c r="P1259" i="5" s="1"/>
  <c r="P1260" i="5" a="1"/>
  <c r="P1260" i="5" s="1"/>
  <c r="P1261" i="5" a="1"/>
  <c r="P1261" i="5" s="1"/>
  <c r="P1262" i="5" a="1"/>
  <c r="P1262" i="5" s="1"/>
  <c r="P1263" i="5" a="1"/>
  <c r="P1263" i="5" s="1"/>
  <c r="P1264" i="5" a="1"/>
  <c r="P1264" i="5" s="1"/>
  <c r="P1265" i="5" a="1"/>
  <c r="P1265" i="5" s="1"/>
  <c r="P1266" i="5" a="1"/>
  <c r="P1266" i="5" s="1"/>
  <c r="P1267" i="5" a="1"/>
  <c r="P1267" i="5" s="1"/>
  <c r="P1268" i="5" a="1"/>
  <c r="P1268" i="5" s="1"/>
  <c r="P1269" i="5" a="1"/>
  <c r="P1269" i="5" s="1"/>
  <c r="P1270" i="5" a="1"/>
  <c r="P1270" i="5" s="1"/>
  <c r="P1271" i="5" a="1"/>
  <c r="P1271" i="5" s="1"/>
  <c r="P1272" i="5" a="1"/>
  <c r="P1272" i="5" s="1"/>
  <c r="P1273" i="5" a="1"/>
  <c r="P1273" i="5" s="1"/>
  <c r="P1274" i="5" a="1"/>
  <c r="P1274" i="5" s="1"/>
  <c r="P1275" i="5" a="1"/>
  <c r="P1275" i="5" s="1"/>
  <c r="P1276" i="5" a="1"/>
  <c r="P1276" i="5" s="1"/>
  <c r="P1277" i="5" a="1"/>
  <c r="P1277" i="5" s="1"/>
  <c r="P1278" i="5" a="1"/>
  <c r="P1278" i="5" s="1"/>
  <c r="P1279" i="5" a="1"/>
  <c r="P1279" i="5" s="1"/>
  <c r="P1280" i="5" a="1"/>
  <c r="P1280" i="5" s="1"/>
  <c r="P1281" i="5" a="1"/>
  <c r="P1281" i="5" s="1"/>
  <c r="P1282" i="5" a="1"/>
  <c r="P1282" i="5" s="1"/>
  <c r="P1283" i="5" a="1"/>
  <c r="P1283" i="5" s="1"/>
  <c r="P1284" i="5" a="1"/>
  <c r="P1284" i="5" s="1"/>
  <c r="P1285" i="5" a="1"/>
  <c r="P1285" i="5" s="1"/>
  <c r="P1286" i="5" a="1"/>
  <c r="P1286" i="5" s="1"/>
  <c r="P1287" i="5" a="1"/>
  <c r="P1287" i="5" s="1"/>
  <c r="P1288" i="5" a="1"/>
  <c r="P1288" i="5" s="1"/>
  <c r="P1289" i="5" a="1"/>
  <c r="P1289" i="5" s="1"/>
  <c r="P1290" i="5" a="1"/>
  <c r="P1290" i="5" s="1"/>
  <c r="P1291" i="5" a="1"/>
  <c r="P1291" i="5" s="1"/>
  <c r="P1292" i="5" a="1"/>
  <c r="P1292" i="5" s="1"/>
  <c r="P1293" i="5" a="1"/>
  <c r="P1293" i="5" s="1"/>
  <c r="P1294" i="5" a="1"/>
  <c r="P1294" i="5" s="1"/>
  <c r="P1295" i="5" a="1"/>
  <c r="P1295" i="5" s="1"/>
  <c r="P1296" i="5" a="1"/>
  <c r="P1296" i="5" s="1"/>
  <c r="P1297" i="5" a="1"/>
  <c r="P1297" i="5" s="1"/>
  <c r="P1298" i="5" a="1"/>
  <c r="P1298" i="5" s="1"/>
  <c r="P1299" i="5" a="1"/>
  <c r="P1299" i="5" s="1"/>
  <c r="P1300" i="5" a="1"/>
  <c r="P1300" i="5" s="1"/>
  <c r="P1301" i="5" a="1"/>
  <c r="P1301" i="5" s="1"/>
  <c r="P1302" i="5" a="1"/>
  <c r="P1302" i="5" s="1"/>
  <c r="P1303" i="5" a="1"/>
  <c r="P1303" i="5" s="1"/>
  <c r="P1304" i="5" a="1"/>
  <c r="P1304" i="5" s="1"/>
  <c r="P1305" i="5" a="1"/>
  <c r="P1305" i="5" s="1"/>
  <c r="P1306" i="5" a="1"/>
  <c r="P1306" i="5" s="1"/>
  <c r="P1307" i="5" a="1"/>
  <c r="P1307" i="5" s="1"/>
  <c r="P1308" i="5" a="1"/>
  <c r="P1308" i="5" s="1"/>
  <c r="P1309" i="5" a="1"/>
  <c r="P1309" i="5" s="1"/>
  <c r="P1310" i="5" a="1"/>
  <c r="P1310" i="5" s="1"/>
  <c r="P1311" i="5" a="1"/>
  <c r="P1311" i="5" s="1"/>
  <c r="P1312" i="5" a="1"/>
  <c r="P1312" i="5" s="1"/>
  <c r="P1313" i="5" a="1"/>
  <c r="P1313" i="5" s="1"/>
  <c r="P1314" i="5" a="1"/>
  <c r="P1314" i="5" s="1"/>
  <c r="P1315" i="5" a="1"/>
  <c r="P1315" i="5" s="1"/>
  <c r="P1316" i="5" a="1"/>
  <c r="P1316" i="5" s="1"/>
  <c r="P1317" i="5" a="1"/>
  <c r="P1317" i="5" s="1"/>
  <c r="P1318" i="5" a="1"/>
  <c r="P1318" i="5" s="1"/>
  <c r="P1319" i="5" a="1"/>
  <c r="P1319" i="5" s="1"/>
  <c r="P1320" i="5" a="1"/>
  <c r="P1320" i="5" s="1"/>
  <c r="P1321" i="5" a="1"/>
  <c r="P1321" i="5" s="1"/>
  <c r="P1322" i="5" a="1"/>
  <c r="P1322" i="5" s="1"/>
  <c r="P1323" i="5" a="1"/>
  <c r="P1323" i="5" s="1"/>
  <c r="P1324" i="5" a="1"/>
  <c r="P1324" i="5" s="1"/>
  <c r="P1325" i="5" a="1"/>
  <c r="P1325" i="5" s="1"/>
  <c r="P1326" i="5" a="1"/>
  <c r="P1326" i="5" s="1"/>
  <c r="P1327" i="5" a="1"/>
  <c r="P1327" i="5" s="1"/>
  <c r="P1328" i="5" a="1"/>
  <c r="P1328" i="5" s="1"/>
  <c r="P1329" i="5" a="1"/>
  <c r="P1329" i="5" s="1"/>
  <c r="P1330" i="5" a="1"/>
  <c r="P1330" i="5" s="1"/>
  <c r="P1331" i="5" a="1"/>
  <c r="P1331" i="5" s="1"/>
  <c r="P1332" i="5" a="1"/>
  <c r="P1332" i="5" s="1"/>
  <c r="P1333" i="5" a="1"/>
  <c r="P1333" i="5" s="1"/>
  <c r="P1334" i="5" a="1"/>
  <c r="P1334" i="5" s="1"/>
  <c r="P1335" i="5" a="1"/>
  <c r="P1335" i="5" s="1"/>
  <c r="P1336" i="5" a="1"/>
  <c r="P1336" i="5" s="1"/>
  <c r="P1337" i="5" a="1"/>
  <c r="P1337" i="5" s="1"/>
  <c r="P1338" i="5" a="1"/>
  <c r="P1338" i="5" s="1"/>
  <c r="P1339" i="5" a="1"/>
  <c r="P1339" i="5" s="1"/>
  <c r="P1340" i="5" a="1"/>
  <c r="P1340" i="5" s="1"/>
  <c r="P1341" i="5" a="1"/>
  <c r="P1341" i="5" s="1"/>
  <c r="P1342" i="5" a="1"/>
  <c r="P1342" i="5" s="1"/>
  <c r="P1343" i="5" a="1"/>
  <c r="P1343" i="5" s="1"/>
  <c r="P1344" i="5" a="1"/>
  <c r="P1344" i="5" s="1"/>
  <c r="P1345" i="5" a="1"/>
  <c r="P1345" i="5" s="1"/>
  <c r="P1346" i="5" a="1"/>
  <c r="P1346" i="5" s="1"/>
  <c r="P1347" i="5" a="1"/>
  <c r="P1347" i="5" s="1"/>
  <c r="P1348" i="5" a="1"/>
  <c r="P1348" i="5" s="1"/>
  <c r="P1349" i="5" a="1"/>
  <c r="P1349" i="5" s="1"/>
  <c r="P1350" i="5" a="1"/>
  <c r="P1350" i="5" s="1"/>
  <c r="P1351" i="5" a="1"/>
  <c r="P1351" i="5"/>
  <c r="P1352" i="5" a="1"/>
  <c r="P1352" i="5" s="1"/>
  <c r="P1353" i="5" a="1"/>
  <c r="P1353" i="5" s="1"/>
  <c r="P1354" i="5" a="1"/>
  <c r="P1354" i="5" s="1"/>
  <c r="P1355" i="5" a="1"/>
  <c r="P1355" i="5" s="1"/>
  <c r="P1356" i="5" a="1"/>
  <c r="P1356" i="5" s="1"/>
  <c r="P1357" i="5" a="1"/>
  <c r="P1357" i="5" s="1"/>
  <c r="P1358" i="5" a="1"/>
  <c r="P1358" i="5" s="1"/>
  <c r="P1359" i="5" a="1"/>
  <c r="P1359" i="5" s="1"/>
  <c r="P1360" i="5" a="1"/>
  <c r="P1360" i="5" s="1"/>
  <c r="P1361" i="5" a="1"/>
  <c r="P1361" i="5" s="1"/>
  <c r="P1362" i="5" a="1"/>
  <c r="P1362" i="5" s="1"/>
  <c r="P1363" i="5" a="1"/>
  <c r="P1363" i="5" s="1"/>
  <c r="P1364" i="5" a="1"/>
  <c r="P1364" i="5" s="1"/>
  <c r="P1365" i="5" a="1"/>
  <c r="P1365" i="5" s="1"/>
  <c r="P1366" i="5" a="1"/>
  <c r="P1366" i="5" s="1"/>
  <c r="P1367" i="5" a="1"/>
  <c r="P1367" i="5" s="1"/>
  <c r="P1368" i="5" a="1"/>
  <c r="P1368" i="5" s="1"/>
  <c r="P1369" i="5" a="1"/>
  <c r="P1369" i="5" s="1"/>
  <c r="P1370" i="5" a="1"/>
  <c r="P1370" i="5" s="1"/>
  <c r="P1371" i="5" a="1"/>
  <c r="P1371" i="5" s="1"/>
  <c r="P1372" i="5" a="1"/>
  <c r="P1372" i="5" s="1"/>
  <c r="P1373" i="5" a="1"/>
  <c r="P1373" i="5" s="1"/>
  <c r="P1374" i="5" a="1"/>
  <c r="P1374" i="5" s="1"/>
  <c r="P1375" i="5" a="1"/>
  <c r="P1375" i="5" s="1"/>
  <c r="P1376" i="5" a="1"/>
  <c r="P1376" i="5" s="1"/>
  <c r="P1377" i="5" a="1"/>
  <c r="P1377" i="5" s="1"/>
  <c r="P1378" i="5" a="1"/>
  <c r="P1378" i="5" s="1"/>
  <c r="P1379" i="5" a="1"/>
  <c r="P1379" i="5" s="1"/>
  <c r="P1380" i="5" a="1"/>
  <c r="P1380" i="5" s="1"/>
  <c r="P1381" i="5" a="1"/>
  <c r="P1381" i="5" s="1"/>
  <c r="P1382" i="5" a="1"/>
  <c r="P1382" i="5" s="1"/>
  <c r="P1383" i="5" a="1"/>
  <c r="P1383" i="5" s="1"/>
  <c r="P1384" i="5" a="1"/>
  <c r="P1384" i="5" s="1"/>
  <c r="P1385" i="5" a="1"/>
  <c r="P1385" i="5" s="1"/>
  <c r="P1386" i="5" a="1"/>
  <c r="P1386" i="5" s="1"/>
  <c r="P1387" i="5" a="1"/>
  <c r="P1387" i="5" s="1"/>
  <c r="P1388" i="5" a="1"/>
  <c r="P1388" i="5" s="1"/>
  <c r="P1389" i="5" a="1"/>
  <c r="P1389" i="5" s="1"/>
  <c r="P1390" i="5" a="1"/>
  <c r="P1390" i="5" s="1"/>
  <c r="P1391" i="5" a="1"/>
  <c r="P1391" i="5" s="1"/>
  <c r="P1392" i="5" a="1"/>
  <c r="P1392" i="5" s="1"/>
  <c r="P1393" i="5" a="1"/>
  <c r="P1393" i="5" s="1"/>
  <c r="P1394" i="5" a="1"/>
  <c r="P1394" i="5" s="1"/>
  <c r="P1395" i="5" a="1"/>
  <c r="P1395" i="5" s="1"/>
  <c r="P1396" i="5" a="1"/>
  <c r="P1396" i="5" s="1"/>
  <c r="P1397" i="5" a="1"/>
  <c r="P1397" i="5" s="1"/>
  <c r="P1398" i="5" a="1"/>
  <c r="P1398" i="5" s="1"/>
  <c r="P1399" i="5" a="1"/>
  <c r="P1399" i="5" s="1"/>
  <c r="P1400" i="5" a="1"/>
  <c r="P1400" i="5" s="1"/>
  <c r="P1401" i="5" a="1"/>
  <c r="P1401" i="5" s="1"/>
  <c r="P1402" i="5" a="1"/>
  <c r="P1402" i="5" s="1"/>
  <c r="P1403" i="5" a="1"/>
  <c r="P1403" i="5" s="1"/>
  <c r="P1404" i="5" a="1"/>
  <c r="P1404" i="5" s="1"/>
  <c r="P1405" i="5" a="1"/>
  <c r="P1405" i="5" s="1"/>
  <c r="P1406" i="5" a="1"/>
  <c r="P1406" i="5" s="1"/>
  <c r="P1407" i="5" a="1"/>
  <c r="P1407" i="5"/>
  <c r="P1408" i="5" a="1"/>
  <c r="P1408" i="5" s="1"/>
  <c r="P1409" i="5" a="1"/>
  <c r="P1409" i="5" s="1"/>
  <c r="P1410" i="5" a="1"/>
  <c r="P1410" i="5" s="1"/>
  <c r="P1411" i="5" a="1"/>
  <c r="P1411" i="5" s="1"/>
  <c r="P1412" i="5" a="1"/>
  <c r="P1412" i="5" s="1"/>
  <c r="P1413" i="5" a="1"/>
  <c r="P1413" i="5" s="1"/>
  <c r="P1414" i="5" a="1"/>
  <c r="P1414" i="5" s="1"/>
  <c r="P1415" i="5" a="1"/>
  <c r="P1415" i="5" s="1"/>
  <c r="P1416" i="5" a="1"/>
  <c r="P1416" i="5" s="1"/>
  <c r="P1417" i="5" a="1"/>
  <c r="P1417" i="5" s="1"/>
  <c r="P1418" i="5" a="1"/>
  <c r="P1418" i="5" s="1"/>
  <c r="P1419" i="5" a="1"/>
  <c r="P1419" i="5" s="1"/>
  <c r="P1420" i="5" a="1"/>
  <c r="P1420" i="5" s="1"/>
  <c r="P1421" i="5" a="1"/>
  <c r="P1421" i="5" s="1"/>
  <c r="P1422" i="5" a="1"/>
  <c r="P1422" i="5" s="1"/>
  <c r="P1423" i="5" a="1"/>
  <c r="P1423" i="5" s="1"/>
  <c r="P1424" i="5" a="1"/>
  <c r="P1424" i="5" s="1"/>
  <c r="P1425" i="5" a="1"/>
  <c r="P1425" i="5" s="1"/>
  <c r="P1426" i="5" a="1"/>
  <c r="P1426" i="5" s="1"/>
  <c r="P1427" i="5" a="1"/>
  <c r="P1427" i="5" s="1"/>
  <c r="P1428" i="5" a="1"/>
  <c r="P1428" i="5" s="1"/>
  <c r="P1429" i="5" a="1"/>
  <c r="P1429" i="5" s="1"/>
  <c r="P1430" i="5" a="1"/>
  <c r="P1430" i="5" s="1"/>
  <c r="P1431" i="5" a="1"/>
  <c r="P1431" i="5" s="1"/>
  <c r="P1432" i="5" a="1"/>
  <c r="P1432" i="5" s="1"/>
  <c r="P1433" i="5" a="1"/>
  <c r="P1433" i="5" s="1"/>
  <c r="P1434" i="5" a="1"/>
  <c r="P1434" i="5" s="1"/>
  <c r="P1435" i="5" a="1"/>
  <c r="P1435" i="5" s="1"/>
  <c r="P1436" i="5" a="1"/>
  <c r="P1436" i="5" s="1"/>
  <c r="P1437" i="5" a="1"/>
  <c r="P1437" i="5" s="1"/>
  <c r="P1438" i="5" a="1"/>
  <c r="P1438" i="5" s="1"/>
  <c r="P1439" i="5" a="1"/>
  <c r="P1439" i="5" s="1"/>
  <c r="P1440" i="5" a="1"/>
  <c r="P1440" i="5" s="1"/>
  <c r="P1441" i="5" a="1"/>
  <c r="P1441" i="5" s="1"/>
  <c r="P1442" i="5" a="1"/>
  <c r="P1442" i="5" s="1"/>
  <c r="P1443" i="5" a="1"/>
  <c r="P1443" i="5" s="1"/>
  <c r="P1444" i="5" a="1"/>
  <c r="P1444" i="5" s="1"/>
  <c r="P1445" i="5" a="1"/>
  <c r="P1445" i="5" s="1"/>
  <c r="P1446" i="5" a="1"/>
  <c r="P1446" i="5" s="1"/>
  <c r="P1447" i="5" a="1"/>
  <c r="P1447" i="5" s="1"/>
  <c r="P1448" i="5" a="1"/>
  <c r="P1448" i="5" s="1"/>
  <c r="P1449" i="5" a="1"/>
  <c r="P1449" i="5" s="1"/>
  <c r="P1450" i="5" a="1"/>
  <c r="P1450" i="5" s="1"/>
  <c r="P1451" i="5" a="1"/>
  <c r="P1451" i="5" s="1"/>
  <c r="P1452" i="5" a="1"/>
  <c r="P1452" i="5" s="1"/>
  <c r="P1453" i="5" a="1"/>
  <c r="P1453" i="5" s="1"/>
  <c r="P1454" i="5" a="1"/>
  <c r="P1454" i="5" s="1"/>
  <c r="P1455" i="5" a="1"/>
  <c r="P1455" i="5" s="1"/>
  <c r="P1456" i="5" a="1"/>
  <c r="P1456" i="5" s="1"/>
  <c r="P1457" i="5" a="1"/>
  <c r="P1457" i="5" s="1"/>
  <c r="P1458" i="5" a="1"/>
  <c r="P1458" i="5" s="1"/>
  <c r="P1459" i="5" a="1"/>
  <c r="P1459" i="5" s="1"/>
  <c r="P1460" i="5" a="1"/>
  <c r="P1460" i="5" s="1"/>
  <c r="P1461" i="5" a="1"/>
  <c r="P1461" i="5" s="1"/>
  <c r="P1462" i="5" a="1"/>
  <c r="P1462" i="5" s="1"/>
  <c r="P1463" i="5" a="1"/>
  <c r="P1463" i="5" s="1"/>
  <c r="P1464" i="5" a="1"/>
  <c r="P1464" i="5" s="1"/>
  <c r="P1465" i="5" a="1"/>
  <c r="P1465" i="5" s="1"/>
  <c r="P1466" i="5" a="1"/>
  <c r="P1466" i="5" s="1"/>
  <c r="P1467" i="5" a="1"/>
  <c r="P1467" i="5" s="1"/>
  <c r="P1468" i="5" a="1"/>
  <c r="P1468" i="5" s="1"/>
  <c r="P1469" i="5" a="1"/>
  <c r="P1469" i="5" s="1"/>
  <c r="P1470" i="5" a="1"/>
  <c r="P1470" i="5" s="1"/>
  <c r="P1471" i="5" a="1"/>
  <c r="P1471" i="5" s="1"/>
  <c r="P1472" i="5" a="1"/>
  <c r="P1472" i="5" s="1"/>
  <c r="P1473" i="5" a="1"/>
  <c r="P1473" i="5" s="1"/>
  <c r="P1474" i="5" a="1"/>
  <c r="P1474" i="5" s="1"/>
  <c r="P1475" i="5" a="1"/>
  <c r="P1475" i="5" s="1"/>
  <c r="P1476" i="5" a="1"/>
  <c r="P1476" i="5" s="1"/>
  <c r="P1477" i="5" a="1"/>
  <c r="P1477" i="5" s="1"/>
  <c r="P1478" i="5" a="1"/>
  <c r="P1478" i="5" s="1"/>
  <c r="P1479" i="5" a="1"/>
  <c r="P1479" i="5" s="1"/>
  <c r="P1480" i="5" a="1"/>
  <c r="P1480" i="5" s="1"/>
  <c r="P1481" i="5" a="1"/>
  <c r="P1481" i="5" s="1"/>
  <c r="P1482" i="5" a="1"/>
  <c r="P1482" i="5" s="1"/>
  <c r="P1483" i="5" a="1"/>
  <c r="P1483" i="5" s="1"/>
  <c r="P1484" i="5" a="1"/>
  <c r="P1484" i="5" s="1"/>
  <c r="P1485" i="5" a="1"/>
  <c r="P1485" i="5" s="1"/>
  <c r="P1486" i="5" a="1"/>
  <c r="P1486" i="5" s="1"/>
  <c r="P1487" i="5" a="1"/>
  <c r="P1487" i="5" s="1"/>
  <c r="P1488" i="5" a="1"/>
  <c r="P1488" i="5" s="1"/>
  <c r="P1489" i="5" a="1"/>
  <c r="P1489" i="5" s="1"/>
  <c r="P1490" i="5" a="1"/>
  <c r="P1490" i="5" s="1"/>
  <c r="P1491" i="5" a="1"/>
  <c r="P1491" i="5" s="1"/>
  <c r="P1492" i="5" a="1"/>
  <c r="P1492" i="5" s="1"/>
  <c r="P1493" i="5" a="1"/>
  <c r="P1493" i="5" s="1"/>
  <c r="P1494" i="5" a="1"/>
  <c r="P1494" i="5" s="1"/>
  <c r="P1495" i="5" a="1"/>
  <c r="P1495" i="5" s="1"/>
  <c r="P1496" i="5" a="1"/>
  <c r="P1496" i="5" s="1"/>
  <c r="P1497" i="5" a="1"/>
  <c r="P1497" i="5" s="1"/>
  <c r="P1498" i="5" a="1"/>
  <c r="P1498" i="5" s="1"/>
  <c r="P1499" i="5" a="1"/>
  <c r="P1499" i="5" s="1"/>
  <c r="P1500" i="5" a="1"/>
  <c r="P1500" i="5" s="1"/>
  <c r="P1501" i="5" a="1"/>
  <c r="P1501" i="5" s="1"/>
  <c r="P1502" i="5" a="1"/>
  <c r="P1502" i="5" s="1"/>
  <c r="P1503" i="5" a="1"/>
  <c r="P1503" i="5" s="1"/>
  <c r="P1504" i="5" a="1"/>
  <c r="P1504" i="5" s="1"/>
  <c r="P1505" i="5" a="1"/>
  <c r="P1505" i="5" s="1"/>
  <c r="P1506" i="5" a="1"/>
  <c r="P1506" i="5" s="1"/>
  <c r="P1507" i="5" a="1"/>
  <c r="P1507" i="5" s="1"/>
  <c r="P1508" i="5" a="1"/>
  <c r="P1508" i="5" s="1"/>
  <c r="P1509" i="5" a="1"/>
  <c r="P1509" i="5" s="1"/>
  <c r="P1510" i="5" a="1"/>
  <c r="P1510" i="5" s="1"/>
  <c r="P1511" i="5" a="1"/>
  <c r="P1511" i="5" s="1"/>
  <c r="P1512" i="5" a="1"/>
  <c r="P1512" i="5" s="1"/>
  <c r="P1513" i="5" a="1"/>
  <c r="P1513" i="5" s="1"/>
  <c r="P1514" i="5" a="1"/>
  <c r="P1514" i="5" s="1"/>
  <c r="P1515" i="5" a="1"/>
  <c r="P1515" i="5"/>
  <c r="P1516" i="5" a="1"/>
  <c r="P1516" i="5" s="1"/>
  <c r="P1517" i="5" a="1"/>
  <c r="P1517" i="5" s="1"/>
  <c r="P1518" i="5" a="1"/>
  <c r="P1518" i="5" s="1"/>
  <c r="P1519" i="5" a="1"/>
  <c r="P1519" i="5" s="1"/>
  <c r="P1520" i="5" a="1"/>
  <c r="P1520" i="5" s="1"/>
  <c r="P1521" i="5" a="1"/>
  <c r="P1521" i="5" s="1"/>
  <c r="P1522" i="5" a="1"/>
  <c r="P1522" i="5" s="1"/>
  <c r="P1523" i="5" a="1"/>
  <c r="P1523" i="5" s="1"/>
  <c r="P1524" i="5" a="1"/>
  <c r="P1524" i="5" s="1"/>
  <c r="P1525" i="5" a="1"/>
  <c r="P1525" i="5" s="1"/>
  <c r="P1526" i="5" a="1"/>
  <c r="P1526" i="5" s="1"/>
  <c r="P1527" i="5" a="1"/>
  <c r="P1527" i="5"/>
  <c r="P1528" i="5" a="1"/>
  <c r="P1528" i="5" s="1"/>
  <c r="P1529" i="5" a="1"/>
  <c r="P1529" i="5" s="1"/>
  <c r="P1530" i="5" a="1"/>
  <c r="P1530" i="5" s="1"/>
  <c r="P1531" i="5" a="1"/>
  <c r="P1531" i="5" s="1"/>
  <c r="P1532" i="5" a="1"/>
  <c r="P1532" i="5" s="1"/>
  <c r="P1533" i="5" a="1"/>
  <c r="P1533" i="5" s="1"/>
  <c r="P1534" i="5" a="1"/>
  <c r="P1534" i="5" s="1"/>
  <c r="P1535" i="5" a="1"/>
  <c r="P1535" i="5" s="1"/>
  <c r="P1536" i="5" a="1"/>
  <c r="P1536" i="5" s="1"/>
  <c r="P1537" i="5" a="1"/>
  <c r="P1537" i="5" s="1"/>
  <c r="P1538" i="5" a="1"/>
  <c r="P1538" i="5" s="1"/>
  <c r="P1539" i="5" a="1"/>
  <c r="P1539" i="5" s="1"/>
  <c r="P1540" i="5" a="1"/>
  <c r="P1540" i="5" s="1"/>
  <c r="P1541" i="5" a="1"/>
  <c r="P1541" i="5" s="1"/>
  <c r="P1542" i="5" a="1"/>
  <c r="P1542" i="5" s="1"/>
  <c r="P1543" i="5" a="1"/>
  <c r="P1543" i="5" s="1"/>
  <c r="P1544" i="5" a="1"/>
  <c r="P1544" i="5" s="1"/>
  <c r="P1545" i="5" a="1"/>
  <c r="P1545" i="5" s="1"/>
  <c r="P1546" i="5" a="1"/>
  <c r="P1546" i="5" s="1"/>
  <c r="P1547" i="5" a="1"/>
  <c r="P1547" i="5" s="1"/>
  <c r="P1548" i="5" a="1"/>
  <c r="P1548" i="5" s="1"/>
  <c r="P1549" i="5" a="1"/>
  <c r="P1549" i="5" s="1"/>
  <c r="P1550" i="5" a="1"/>
  <c r="P1550" i="5" s="1"/>
  <c r="P1551" i="5" a="1"/>
  <c r="P1551" i="5" s="1"/>
  <c r="P1552" i="5" a="1"/>
  <c r="P1552" i="5" s="1"/>
  <c r="P1553" i="5" a="1"/>
  <c r="P1553" i="5" s="1"/>
  <c r="P1554" i="5" a="1"/>
  <c r="P1554" i="5" s="1"/>
  <c r="P1555" i="5" a="1"/>
  <c r="P1555" i="5" s="1"/>
  <c r="P1556" i="5" a="1"/>
  <c r="P1556" i="5" s="1"/>
  <c r="P1557" i="5" a="1"/>
  <c r="P1557" i="5" s="1"/>
  <c r="P1558" i="5" a="1"/>
  <c r="P1558" i="5" s="1"/>
  <c r="P1559" i="5" a="1"/>
  <c r="P1559" i="5" s="1"/>
  <c r="P1560" i="5" a="1"/>
  <c r="P1560" i="5" s="1"/>
  <c r="P1561" i="5" a="1"/>
  <c r="P1561" i="5" s="1"/>
  <c r="P1562" i="5" a="1"/>
  <c r="P1562" i="5" s="1"/>
  <c r="P1563" i="5" a="1"/>
  <c r="P1563" i="5" s="1"/>
  <c r="P1564" i="5" a="1"/>
  <c r="P1564" i="5" s="1"/>
  <c r="P1565" i="5" a="1"/>
  <c r="P1565" i="5" s="1"/>
  <c r="P1566" i="5" a="1"/>
  <c r="P1566" i="5" s="1"/>
  <c r="P1567" i="5" a="1"/>
  <c r="P1567" i="5" s="1"/>
  <c r="P1568" i="5" a="1"/>
  <c r="P1568" i="5" s="1"/>
  <c r="P1569" i="5" a="1"/>
  <c r="P1569" i="5" s="1"/>
  <c r="P1570" i="5" a="1"/>
  <c r="P1570" i="5" s="1"/>
  <c r="P1571" i="5" a="1"/>
  <c r="P1571" i="5" s="1"/>
  <c r="P1572" i="5" a="1"/>
  <c r="P1572" i="5" s="1"/>
  <c r="P1573" i="5" a="1"/>
  <c r="P1573" i="5" s="1"/>
  <c r="P1574" i="5" a="1"/>
  <c r="P1574" i="5" s="1"/>
  <c r="P1575" i="5" a="1"/>
  <c r="P1575" i="5" s="1"/>
  <c r="P1576" i="5" a="1"/>
  <c r="P1576" i="5" s="1"/>
  <c r="P1577" i="5" a="1"/>
  <c r="P1577" i="5" s="1"/>
  <c r="P1578" i="5" a="1"/>
  <c r="P1578" i="5" s="1"/>
  <c r="P1579" i="5" a="1"/>
  <c r="P1579" i="5" s="1"/>
  <c r="P1580" i="5" a="1"/>
  <c r="P1580" i="5" s="1"/>
  <c r="P1581" i="5" a="1"/>
  <c r="P1581" i="5" s="1"/>
  <c r="P1582" i="5" a="1"/>
  <c r="P1582" i="5" s="1"/>
  <c r="P1583" i="5" a="1"/>
  <c r="P1583" i="5" s="1"/>
  <c r="P1584" i="5" a="1"/>
  <c r="P1584" i="5" s="1"/>
  <c r="P1585" i="5" a="1"/>
  <c r="P1585" i="5" s="1"/>
  <c r="P1586" i="5" a="1"/>
  <c r="P1586" i="5" s="1"/>
  <c r="P1587" i="5" a="1"/>
  <c r="P1587" i="5" s="1"/>
  <c r="P1588" i="5" a="1"/>
  <c r="P1588" i="5" s="1"/>
  <c r="P1589" i="5" a="1"/>
  <c r="P1589" i="5"/>
  <c r="P1590" i="5" a="1"/>
  <c r="P1590" i="5" s="1"/>
  <c r="P1591" i="5" a="1"/>
  <c r="P1591" i="5" s="1"/>
  <c r="P1592" i="5" a="1"/>
  <c r="P1592" i="5" s="1"/>
  <c r="P1593" i="5" a="1"/>
  <c r="P1593" i="5" s="1"/>
  <c r="P1594" i="5" a="1"/>
  <c r="P1594" i="5" s="1"/>
  <c r="P1595" i="5" a="1"/>
  <c r="P1595" i="5" s="1"/>
  <c r="P1596" i="5" a="1"/>
  <c r="P1596" i="5" s="1"/>
  <c r="P1597" i="5" a="1"/>
  <c r="P1597" i="5" s="1"/>
  <c r="P1598" i="5" a="1"/>
  <c r="P1598" i="5" s="1"/>
  <c r="P1599" i="5" a="1"/>
  <c r="P1599" i="5" s="1"/>
  <c r="P1600" i="5" a="1"/>
  <c r="P1600" i="5" s="1"/>
  <c r="P1601" i="5" a="1"/>
  <c r="P1601" i="5" s="1"/>
  <c r="P1602" i="5" a="1"/>
  <c r="P1602" i="5" s="1"/>
  <c r="P1603" i="5" a="1"/>
  <c r="P1603" i="5" s="1"/>
  <c r="P1604" i="5" a="1"/>
  <c r="P1604" i="5" s="1"/>
  <c r="P1605" i="5" a="1"/>
  <c r="P1605" i="5" s="1"/>
  <c r="P1606" i="5" a="1"/>
  <c r="P1606" i="5" s="1"/>
  <c r="P1607" i="5" a="1"/>
  <c r="P1607" i="5" s="1"/>
  <c r="P1608" i="5" a="1"/>
  <c r="P1608" i="5" s="1"/>
  <c r="P1609" i="5" a="1"/>
  <c r="P1609" i="5" s="1"/>
  <c r="P1610" i="5" a="1"/>
  <c r="P1610" i="5" s="1"/>
  <c r="P1611" i="5" a="1"/>
  <c r="P1611" i="5" s="1"/>
  <c r="P1612" i="5" a="1"/>
  <c r="P1612" i="5" s="1"/>
  <c r="P1613" i="5" a="1"/>
  <c r="P1613" i="5" s="1"/>
  <c r="P1614" i="5" a="1"/>
  <c r="P1614" i="5" s="1"/>
  <c r="P1615" i="5" a="1"/>
  <c r="P1615" i="5" s="1"/>
  <c r="P1616" i="5" a="1"/>
  <c r="P1616" i="5" s="1"/>
  <c r="P1617" i="5" a="1"/>
  <c r="P1617" i="5" s="1"/>
  <c r="P1618" i="5" a="1"/>
  <c r="P1618" i="5" s="1"/>
  <c r="P1619" i="5" a="1"/>
  <c r="P1619" i="5" s="1"/>
  <c r="P1620" i="5" a="1"/>
  <c r="P1620" i="5" s="1"/>
  <c r="P1621" i="5" a="1"/>
  <c r="P1621" i="5" s="1"/>
  <c r="P1622" i="5" a="1"/>
  <c r="P1622" i="5" s="1"/>
  <c r="P1623" i="5" a="1"/>
  <c r="P1623" i="5" s="1"/>
  <c r="P1624" i="5" a="1"/>
  <c r="P1624" i="5" s="1"/>
  <c r="P1625" i="5" a="1"/>
  <c r="P1625" i="5" s="1"/>
  <c r="P1626" i="5" a="1"/>
  <c r="P1626" i="5" s="1"/>
  <c r="P1627" i="5" a="1"/>
  <c r="P1627" i="5" s="1"/>
  <c r="P1628" i="5" a="1"/>
  <c r="P1628" i="5" s="1"/>
  <c r="P1629" i="5" a="1"/>
  <c r="P1629" i="5"/>
  <c r="P1630" i="5" a="1"/>
  <c r="P1630" i="5" s="1"/>
  <c r="P1631" i="5" a="1"/>
  <c r="P1631" i="5" s="1"/>
  <c r="P1632" i="5" a="1"/>
  <c r="P1632" i="5" s="1"/>
  <c r="P1633" i="5" a="1"/>
  <c r="P1633" i="5" s="1"/>
  <c r="P1634" i="5" a="1"/>
  <c r="P1634" i="5" s="1"/>
  <c r="P1635" i="5" a="1"/>
  <c r="P1635" i="5" s="1"/>
  <c r="P1636" i="5" a="1"/>
  <c r="P1636" i="5" s="1"/>
  <c r="P1637" i="5" a="1"/>
  <c r="P1637" i="5" s="1"/>
  <c r="P1638" i="5" a="1"/>
  <c r="P1638" i="5" s="1"/>
  <c r="P1639" i="5" a="1"/>
  <c r="P1639" i="5" s="1"/>
  <c r="P1640" i="5" a="1"/>
  <c r="P1640" i="5" s="1"/>
  <c r="P1641" i="5" a="1"/>
  <c r="P1641" i="5" s="1"/>
  <c r="P1642" i="5" a="1"/>
  <c r="P1642" i="5" s="1"/>
  <c r="P1643" i="5" a="1"/>
  <c r="P1643" i="5" s="1"/>
  <c r="P1644" i="5" a="1"/>
  <c r="P1644" i="5" s="1"/>
  <c r="P1645" i="5" a="1"/>
  <c r="P1645" i="5" s="1"/>
  <c r="P1646" i="5" a="1"/>
  <c r="P1646" i="5" s="1"/>
  <c r="P1647" i="5" a="1"/>
  <c r="P1647" i="5" s="1"/>
  <c r="P1648" i="5" a="1"/>
  <c r="P1648" i="5" s="1"/>
  <c r="P1649" i="5" a="1"/>
  <c r="P1649" i="5" s="1"/>
  <c r="P1650" i="5" a="1"/>
  <c r="P1650" i="5" s="1"/>
  <c r="P1651" i="5" a="1"/>
  <c r="P1651" i="5" s="1"/>
  <c r="P1652" i="5" a="1"/>
  <c r="P1652" i="5" s="1"/>
  <c r="P1653" i="5" a="1"/>
  <c r="P1653" i="5" s="1"/>
  <c r="P1654" i="5" a="1"/>
  <c r="P1654" i="5" s="1"/>
  <c r="P1655" i="5" a="1"/>
  <c r="P1655" i="5" s="1"/>
  <c r="P1656" i="5" a="1"/>
  <c r="P1656" i="5" s="1"/>
  <c r="P1657" i="5" a="1"/>
  <c r="P1657" i="5" s="1"/>
  <c r="P1658" i="5" a="1"/>
  <c r="P1658" i="5" s="1"/>
  <c r="P1659" i="5" a="1"/>
  <c r="P1659" i="5" s="1"/>
  <c r="P1660" i="5" a="1"/>
  <c r="P1660" i="5" s="1"/>
  <c r="P1661" i="5" a="1"/>
  <c r="P1661" i="5"/>
  <c r="P1662" i="5" a="1"/>
  <c r="P1662" i="5" s="1"/>
  <c r="P1663" i="5" a="1"/>
  <c r="P1663" i="5" s="1"/>
  <c r="P1664" i="5" a="1"/>
  <c r="P1664" i="5" s="1"/>
  <c r="P1665" i="5" a="1"/>
  <c r="P1665" i="5" s="1"/>
  <c r="P1666" i="5" a="1"/>
  <c r="P1666" i="5" s="1"/>
  <c r="P1667" i="5" a="1"/>
  <c r="P1667" i="5" s="1"/>
  <c r="P1668" i="5" a="1"/>
  <c r="P1668" i="5" s="1"/>
  <c r="P1669" i="5" a="1"/>
  <c r="P1669" i="5" s="1"/>
  <c r="P1670" i="5" a="1"/>
  <c r="P1670" i="5" s="1"/>
  <c r="P1671" i="5" a="1"/>
  <c r="P1671" i="5" s="1"/>
  <c r="P1672" i="5" a="1"/>
  <c r="P1672" i="5" s="1"/>
  <c r="P1673" i="5" a="1"/>
  <c r="P1673" i="5" s="1"/>
  <c r="P1674" i="5" a="1"/>
  <c r="P1674" i="5" s="1"/>
  <c r="P1675" i="5" a="1"/>
  <c r="P1675" i="5" s="1"/>
  <c r="P1676" i="5" a="1"/>
  <c r="P1676" i="5" s="1"/>
  <c r="P1677" i="5" a="1"/>
  <c r="P1677" i="5" s="1"/>
  <c r="P1678" i="5" a="1"/>
  <c r="P1678" i="5" s="1"/>
  <c r="P1679" i="5" a="1"/>
  <c r="P1679" i="5" s="1"/>
  <c r="P1680" i="5" a="1"/>
  <c r="P1680" i="5" s="1"/>
  <c r="P1681" i="5" a="1"/>
  <c r="P1681" i="5" s="1"/>
  <c r="P1682" i="5" a="1"/>
  <c r="P1682" i="5" s="1"/>
  <c r="P1683" i="5" a="1"/>
  <c r="P1683" i="5" s="1"/>
  <c r="P1684" i="5" a="1"/>
  <c r="P1684" i="5" s="1"/>
  <c r="P1685" i="5" a="1"/>
  <c r="P1685" i="5" s="1"/>
  <c r="P1686" i="5" a="1"/>
  <c r="P1686" i="5" s="1"/>
  <c r="P1687" i="5" a="1"/>
  <c r="P1687" i="5" s="1"/>
  <c r="P1688" i="5" a="1"/>
  <c r="P1688" i="5" s="1"/>
  <c r="P1689" i="5" a="1"/>
  <c r="P1689" i="5" s="1"/>
  <c r="P1690" i="5" a="1"/>
  <c r="P1690" i="5" s="1"/>
  <c r="P1691" i="5" a="1"/>
  <c r="P1691" i="5" s="1"/>
  <c r="P1692" i="5" a="1"/>
  <c r="P1692" i="5" s="1"/>
  <c r="P1693" i="5" a="1"/>
  <c r="P1693" i="5" s="1"/>
  <c r="P1694" i="5" a="1"/>
  <c r="P1694" i="5" s="1"/>
  <c r="P1695" i="5" a="1"/>
  <c r="P1695" i="5" s="1"/>
  <c r="P1696" i="5" a="1"/>
  <c r="P1696" i="5" s="1"/>
  <c r="P1697" i="5" a="1"/>
  <c r="P1697" i="5" s="1"/>
  <c r="P1698" i="5" a="1"/>
  <c r="P1698" i="5" s="1"/>
  <c r="P1699" i="5" a="1"/>
  <c r="P1699" i="5" s="1"/>
  <c r="P1700" i="5" a="1"/>
  <c r="P1700" i="5" s="1"/>
  <c r="P1701" i="5" a="1"/>
  <c r="P1701" i="5" s="1"/>
  <c r="P1702" i="5" a="1"/>
  <c r="P1702" i="5" s="1"/>
  <c r="P1703" i="5" a="1"/>
  <c r="P1703" i="5" s="1"/>
  <c r="P1704" i="5" a="1"/>
  <c r="P1704" i="5" s="1"/>
  <c r="P1705" i="5" a="1"/>
  <c r="P1705" i="5" s="1"/>
  <c r="P1706" i="5" a="1"/>
  <c r="P1706" i="5" s="1"/>
  <c r="P1707" i="5" a="1"/>
  <c r="P1707" i="5" s="1"/>
  <c r="P1708" i="5" a="1"/>
  <c r="P1708" i="5" s="1"/>
  <c r="P1709" i="5" a="1"/>
  <c r="P1709" i="5" s="1"/>
  <c r="P1710" i="5" a="1"/>
  <c r="P1710" i="5" s="1"/>
  <c r="P1711" i="5" a="1"/>
  <c r="P1711" i="5" s="1"/>
  <c r="P1712" i="5" a="1"/>
  <c r="P1712" i="5" s="1"/>
  <c r="P1713" i="5" a="1"/>
  <c r="P1713" i="5" s="1"/>
  <c r="P1714" i="5" a="1"/>
  <c r="P1714" i="5" s="1"/>
  <c r="P1715" i="5" a="1"/>
  <c r="P1715" i="5" s="1"/>
  <c r="P1716" i="5" a="1"/>
  <c r="P1716" i="5" s="1"/>
  <c r="P1717" i="5" a="1"/>
  <c r="P1717" i="5" s="1"/>
  <c r="P1718" i="5" a="1"/>
  <c r="P1718" i="5" s="1"/>
  <c r="P1719" i="5" a="1"/>
  <c r="P1719" i="5" s="1"/>
  <c r="P1720" i="5" a="1"/>
  <c r="P1720" i="5" s="1"/>
  <c r="P1721" i="5" a="1"/>
  <c r="P1721" i="5" s="1"/>
  <c r="P1722" i="5" a="1"/>
  <c r="P1722" i="5" s="1"/>
  <c r="P1723" i="5" a="1"/>
  <c r="P1723" i="5" s="1"/>
  <c r="P1724" i="5" a="1"/>
  <c r="P1724" i="5" s="1"/>
  <c r="P1725" i="5" a="1"/>
  <c r="P1725" i="5" s="1"/>
  <c r="P1726" i="5" a="1"/>
  <c r="P1726" i="5" s="1"/>
  <c r="P1727" i="5" a="1"/>
  <c r="P1727" i="5" s="1"/>
  <c r="P1728" i="5" a="1"/>
  <c r="P1728" i="5" s="1"/>
  <c r="P1729" i="5" a="1"/>
  <c r="P1729" i="5" s="1"/>
  <c r="P1730" i="5" a="1"/>
  <c r="P1730" i="5" s="1"/>
  <c r="P1731" i="5" a="1"/>
  <c r="P1731" i="5" s="1"/>
  <c r="P1732" i="5" a="1"/>
  <c r="P1732" i="5" s="1"/>
  <c r="P1733" i="5" a="1"/>
  <c r="P1733" i="5" s="1"/>
  <c r="P1734" i="5" a="1"/>
  <c r="P1734" i="5" s="1"/>
  <c r="P1735" i="5" a="1"/>
  <c r="P1735" i="5" s="1"/>
  <c r="P1736" i="5" a="1"/>
  <c r="P1736" i="5" s="1"/>
  <c r="P1737" i="5" a="1"/>
  <c r="P1737" i="5" s="1"/>
  <c r="P1738" i="5" a="1"/>
  <c r="P1738" i="5" s="1"/>
  <c r="P1739" i="5" a="1"/>
  <c r="P1739" i="5" s="1"/>
  <c r="P1740" i="5" a="1"/>
  <c r="P1740" i="5" s="1"/>
  <c r="P1741" i="5" a="1"/>
  <c r="P1741" i="5" s="1"/>
  <c r="P1742" i="5" a="1"/>
  <c r="P1742" i="5" s="1"/>
  <c r="P1743" i="5" a="1"/>
  <c r="P1743" i="5" s="1"/>
  <c r="P1744" i="5" a="1"/>
  <c r="P1744" i="5" s="1"/>
  <c r="P1745" i="5" a="1"/>
  <c r="P1745" i="5" s="1"/>
  <c r="P1746" i="5" a="1"/>
  <c r="P1746" i="5" s="1"/>
  <c r="P1747" i="5" a="1"/>
  <c r="P1747" i="5" s="1"/>
  <c r="P1748" i="5" a="1"/>
  <c r="P1748" i="5" s="1"/>
  <c r="P1749" i="5" a="1"/>
  <c r="P1749" i="5" s="1"/>
  <c r="P1750" i="5" a="1"/>
  <c r="P1750" i="5" s="1"/>
  <c r="P1751" i="5" a="1"/>
  <c r="P1751" i="5" s="1"/>
  <c r="P1752" i="5" a="1"/>
  <c r="P1752" i="5" s="1"/>
  <c r="P1753" i="5" a="1"/>
  <c r="P1753" i="5" s="1"/>
  <c r="P1754" i="5" a="1"/>
  <c r="P1754" i="5" s="1"/>
  <c r="P1755" i="5" a="1"/>
  <c r="P1755" i="5" s="1"/>
  <c r="P1756" i="5" a="1"/>
  <c r="P1756" i="5" s="1"/>
  <c r="P1757" i="5" a="1"/>
  <c r="P1757" i="5" s="1"/>
  <c r="P1758" i="5" a="1"/>
  <c r="P1758" i="5" s="1"/>
  <c r="P1759" i="5" a="1"/>
  <c r="P1759" i="5" s="1"/>
  <c r="P1760" i="5" a="1"/>
  <c r="P1760" i="5" s="1"/>
  <c r="P1761" i="5" a="1"/>
  <c r="P1761" i="5" s="1"/>
  <c r="P1762" i="5" a="1"/>
  <c r="P1762" i="5" s="1"/>
  <c r="P1763" i="5" a="1"/>
  <c r="P1763" i="5" s="1"/>
  <c r="P1764" i="5" a="1"/>
  <c r="P1764" i="5" s="1"/>
  <c r="P1765" i="5" a="1"/>
  <c r="P1765" i="5" s="1"/>
  <c r="P1766" i="5" a="1"/>
  <c r="P1766" i="5" s="1"/>
  <c r="P1767" i="5" a="1"/>
  <c r="P1767" i="5" s="1"/>
  <c r="P1768" i="5" a="1"/>
  <c r="P1768" i="5" s="1"/>
  <c r="P1769" i="5" a="1"/>
  <c r="P1769" i="5"/>
  <c r="P1770" i="5" a="1"/>
  <c r="P1770" i="5" s="1"/>
  <c r="P1771" i="5" a="1"/>
  <c r="P1771" i="5" s="1"/>
  <c r="P1772" i="5" a="1"/>
  <c r="P1772" i="5" s="1"/>
  <c r="P1773" i="5" a="1"/>
  <c r="P1773" i="5" s="1"/>
  <c r="P1774" i="5" a="1"/>
  <c r="P1774" i="5" s="1"/>
  <c r="P1775" i="5" a="1"/>
  <c r="P1775" i="5" s="1"/>
  <c r="P1776" i="5" a="1"/>
  <c r="P1776" i="5" s="1"/>
  <c r="P1777" i="5" a="1"/>
  <c r="P1777" i="5" s="1"/>
  <c r="P1778" i="5" a="1"/>
  <c r="P1778" i="5" s="1"/>
  <c r="P1779" i="5" a="1"/>
  <c r="P1779" i="5" s="1"/>
  <c r="P1780" i="5" a="1"/>
  <c r="P1780" i="5" s="1"/>
  <c r="P1781" i="5" a="1"/>
  <c r="P1781" i="5" s="1"/>
  <c r="P1782" i="5" a="1"/>
  <c r="P1782" i="5" s="1"/>
  <c r="P1783" i="5" a="1"/>
  <c r="P1783" i="5" s="1"/>
  <c r="P1784" i="5" a="1"/>
  <c r="P1784" i="5" s="1"/>
  <c r="P1785" i="5" a="1"/>
  <c r="P1785" i="5" s="1"/>
  <c r="P1786" i="5" a="1"/>
  <c r="P1786" i="5" s="1"/>
  <c r="P1787" i="5" a="1"/>
  <c r="P1787" i="5" s="1"/>
  <c r="P1788" i="5" a="1"/>
  <c r="P1788" i="5" s="1"/>
  <c r="P1789" i="5" a="1"/>
  <c r="P1789" i="5" s="1"/>
  <c r="P1790" i="5" a="1"/>
  <c r="P1790" i="5" s="1"/>
  <c r="P1791" i="5" a="1"/>
  <c r="P1791" i="5" s="1"/>
  <c r="P1792" i="5" a="1"/>
  <c r="P1792" i="5" s="1"/>
  <c r="P1793" i="5" a="1"/>
  <c r="P1793" i="5" s="1"/>
  <c r="P1794" i="5" a="1"/>
  <c r="P1794" i="5" s="1"/>
  <c r="P1795" i="5" a="1"/>
  <c r="P1795" i="5" s="1"/>
  <c r="P1796" i="5" a="1"/>
  <c r="P1796" i="5" s="1"/>
  <c r="P1797" i="5" a="1"/>
  <c r="P1797" i="5" s="1"/>
  <c r="P1798" i="5" a="1"/>
  <c r="P1798" i="5" s="1"/>
  <c r="P1799" i="5" a="1"/>
  <c r="P1799" i="5"/>
  <c r="P1800" i="5" a="1"/>
  <c r="P1800" i="5" s="1"/>
  <c r="P1801" i="5" a="1"/>
  <c r="P1801" i="5" s="1"/>
  <c r="P1802" i="5" a="1"/>
  <c r="P1802" i="5" s="1"/>
  <c r="P1803" i="5" a="1"/>
  <c r="P1803" i="5" s="1"/>
  <c r="P1804" i="5" a="1"/>
  <c r="P1804" i="5" s="1"/>
  <c r="P1805" i="5" a="1"/>
  <c r="P1805" i="5" s="1"/>
  <c r="P1806" i="5" a="1"/>
  <c r="P1806" i="5" s="1"/>
  <c r="P1807" i="5" a="1"/>
  <c r="P1807" i="5" s="1"/>
  <c r="P1808" i="5" a="1"/>
  <c r="P1808" i="5" s="1"/>
  <c r="P1809" i="5" a="1"/>
  <c r="P1809" i="5" s="1"/>
  <c r="P1810" i="5" a="1"/>
  <c r="P1810" i="5" s="1"/>
  <c r="P1811" i="5" a="1"/>
  <c r="P1811" i="5" s="1"/>
  <c r="P1812" i="5" a="1"/>
  <c r="P1812" i="5" s="1"/>
  <c r="P1813" i="5" a="1"/>
  <c r="P1813" i="5" s="1"/>
  <c r="P1814" i="5" a="1"/>
  <c r="P1814" i="5" s="1"/>
  <c r="P1815" i="5" a="1"/>
  <c r="P1815" i="5" s="1"/>
  <c r="P1816" i="5" a="1"/>
  <c r="P1816" i="5" s="1"/>
  <c r="P1817" i="5" a="1"/>
  <c r="P1817" i="5" s="1"/>
  <c r="P1818" i="5" a="1"/>
  <c r="P1818" i="5" s="1"/>
  <c r="P1819" i="5" a="1"/>
  <c r="P1819" i="5" s="1"/>
  <c r="P1820" i="5" a="1"/>
  <c r="P1820" i="5" s="1"/>
  <c r="P1821" i="5" a="1"/>
  <c r="P1821" i="5"/>
  <c r="P1822" i="5" a="1"/>
  <c r="P1822" i="5" s="1"/>
  <c r="P1823" i="5" a="1"/>
  <c r="P1823" i="5" s="1"/>
  <c r="P1824" i="5" a="1"/>
  <c r="P1824" i="5" s="1"/>
  <c r="P1825" i="5" a="1"/>
  <c r="P1825" i="5" s="1"/>
  <c r="P1826" i="5" a="1"/>
  <c r="P1826" i="5" s="1"/>
  <c r="P1827" i="5" a="1"/>
  <c r="P1827" i="5" s="1"/>
  <c r="P1828" i="5" a="1"/>
  <c r="P1828" i="5" s="1"/>
  <c r="P1829" i="5" a="1"/>
  <c r="P1829" i="5" s="1"/>
  <c r="P1830" i="5" a="1"/>
  <c r="P1830" i="5" s="1"/>
  <c r="P1831" i="5" a="1"/>
  <c r="P1831" i="5" s="1"/>
  <c r="P1832" i="5" a="1"/>
  <c r="P1832" i="5" s="1"/>
  <c r="P1833" i="5" a="1"/>
  <c r="P1833" i="5" s="1"/>
  <c r="P1834" i="5" a="1"/>
  <c r="P1834" i="5" s="1"/>
  <c r="P1835" i="5" a="1"/>
  <c r="P1835" i="5" s="1"/>
  <c r="P1836" i="5" a="1"/>
  <c r="P1836" i="5" s="1"/>
  <c r="P1837" i="5" a="1"/>
  <c r="P1837" i="5" s="1"/>
  <c r="P1838" i="5" a="1"/>
  <c r="P1838" i="5" s="1"/>
  <c r="P1839" i="5" a="1"/>
  <c r="P1839" i="5" s="1"/>
  <c r="P1840" i="5" a="1"/>
  <c r="P1840" i="5" s="1"/>
  <c r="P1841" i="5" a="1"/>
  <c r="P1841" i="5" s="1"/>
  <c r="P1842" i="5" a="1"/>
  <c r="P1842" i="5" s="1"/>
  <c r="P1843" i="5" a="1"/>
  <c r="P1843" i="5" s="1"/>
  <c r="P1844" i="5" a="1"/>
  <c r="P1844" i="5" s="1"/>
  <c r="P1845" i="5" a="1"/>
  <c r="P1845" i="5" s="1"/>
  <c r="P1846" i="5" a="1"/>
  <c r="P1846" i="5" s="1"/>
  <c r="P1847" i="5" a="1"/>
  <c r="P1847" i="5" s="1"/>
  <c r="P1848" i="5" a="1"/>
  <c r="P1848" i="5" s="1"/>
  <c r="P1849" i="5" a="1"/>
  <c r="P1849" i="5" s="1"/>
  <c r="P1850" i="5" a="1"/>
  <c r="P1850" i="5" s="1"/>
  <c r="P1851" i="5" a="1"/>
  <c r="P1851" i="5" s="1"/>
  <c r="P1852" i="5" a="1"/>
  <c r="P1852" i="5" s="1"/>
  <c r="P1853" i="5" a="1"/>
  <c r="P1853" i="5" s="1"/>
  <c r="P1854" i="5" a="1"/>
  <c r="P1854" i="5" s="1"/>
  <c r="P1855" i="5" a="1"/>
  <c r="P1855" i="5" s="1"/>
  <c r="P1856" i="5" a="1"/>
  <c r="P1856" i="5" s="1"/>
  <c r="P1857" i="5" a="1"/>
  <c r="P1857" i="5" s="1"/>
  <c r="P1858" i="5" a="1"/>
  <c r="P1858" i="5" s="1"/>
  <c r="P1859" i="5" a="1"/>
  <c r="P1859" i="5" s="1"/>
  <c r="P1860" i="5" a="1"/>
  <c r="P1860" i="5" s="1"/>
  <c r="P1861" i="5" a="1"/>
  <c r="P1861" i="5" s="1"/>
  <c r="P1862" i="5" a="1"/>
  <c r="P1862" i="5" s="1"/>
  <c r="P1863" i="5" a="1"/>
  <c r="P1863" i="5" s="1"/>
  <c r="P1864" i="5" a="1"/>
  <c r="P1864" i="5" s="1"/>
  <c r="P1865" i="5" a="1"/>
  <c r="P1865" i="5" s="1"/>
  <c r="P1866" i="5" a="1"/>
  <c r="P1866" i="5" s="1"/>
  <c r="P1867" i="5" a="1"/>
  <c r="P1867" i="5" s="1"/>
  <c r="P1868" i="5" a="1"/>
  <c r="P1868" i="5" s="1"/>
  <c r="P1869" i="5" a="1"/>
  <c r="P1869" i="5" s="1"/>
  <c r="P1870" i="5" a="1"/>
  <c r="P1870" i="5" s="1"/>
  <c r="P1871" i="5" a="1"/>
  <c r="P1871" i="5" s="1"/>
  <c r="P1872" i="5" a="1"/>
  <c r="P1872" i="5" s="1"/>
  <c r="P1873" i="5" a="1"/>
  <c r="P1873" i="5" s="1"/>
  <c r="P1874" i="5" a="1"/>
  <c r="P1874" i="5" s="1"/>
  <c r="P1875" i="5" a="1"/>
  <c r="P1875" i="5" s="1"/>
  <c r="P1876" i="5" a="1"/>
  <c r="P1876" i="5" s="1"/>
  <c r="P1877" i="5" a="1"/>
  <c r="P1877" i="5" s="1"/>
  <c r="P1878" i="5" a="1"/>
  <c r="P1878" i="5" s="1"/>
  <c r="P1879" i="5" a="1"/>
  <c r="P1879" i="5" s="1"/>
  <c r="P1880" i="5" a="1"/>
  <c r="P1880" i="5" s="1"/>
  <c r="P1881" i="5" a="1"/>
  <c r="P1881" i="5" s="1"/>
  <c r="P1882" i="5" a="1"/>
  <c r="P1882" i="5" s="1"/>
  <c r="P1883" i="5" a="1"/>
  <c r="P1883" i="5" s="1"/>
  <c r="P1884" i="5" a="1"/>
  <c r="P1884" i="5" s="1"/>
  <c r="P1885" i="5" a="1"/>
  <c r="P1885" i="5" s="1"/>
  <c r="P1886" i="5" a="1"/>
  <c r="P1886" i="5" s="1"/>
  <c r="P1887" i="5" a="1"/>
  <c r="P1887" i="5" s="1"/>
  <c r="P1888" i="5" a="1"/>
  <c r="P1888" i="5" s="1"/>
  <c r="P1889" i="5" a="1"/>
  <c r="P1889" i="5" s="1"/>
  <c r="P1890" i="5" a="1"/>
  <c r="P1890" i="5" s="1"/>
  <c r="P1891" i="5" a="1"/>
  <c r="P1891" i="5" s="1"/>
  <c r="P1892" i="5" a="1"/>
  <c r="P1892" i="5" s="1"/>
  <c r="P1893" i="5" a="1"/>
  <c r="P1893" i="5" s="1"/>
  <c r="P1894" i="5" a="1"/>
  <c r="P1894" i="5" s="1"/>
  <c r="P1895" i="5" a="1"/>
  <c r="P1895" i="5" s="1"/>
  <c r="P1896" i="5" a="1"/>
  <c r="P1896" i="5" s="1"/>
  <c r="P1897" i="5" a="1"/>
  <c r="P1897" i="5" s="1"/>
  <c r="P1898" i="5" a="1"/>
  <c r="P1898" i="5" s="1"/>
  <c r="P1899" i="5" a="1"/>
  <c r="P1899" i="5" s="1"/>
  <c r="P1900" i="5" a="1"/>
  <c r="P1900" i="5" s="1"/>
  <c r="P1901" i="5" a="1"/>
  <c r="P1901" i="5" s="1"/>
  <c r="P1902" i="5" a="1"/>
  <c r="P1902" i="5" s="1"/>
  <c r="P1903" i="5" a="1"/>
  <c r="P1903" i="5" s="1"/>
  <c r="P1904" i="5" a="1"/>
  <c r="P1904" i="5" s="1"/>
  <c r="P1905" i="5" a="1"/>
  <c r="P1905" i="5" s="1"/>
  <c r="P1906" i="5" a="1"/>
  <c r="P1906" i="5" s="1"/>
  <c r="P1907" i="5" a="1"/>
  <c r="P1907" i="5" s="1"/>
  <c r="P1908" i="5" a="1"/>
  <c r="P1908" i="5" s="1"/>
  <c r="P1909" i="5" a="1"/>
  <c r="P1909" i="5" s="1"/>
  <c r="P1910" i="5" a="1"/>
  <c r="P1910" i="5" s="1"/>
  <c r="P1911" i="5" a="1"/>
  <c r="P1911" i="5" s="1"/>
  <c r="P1912" i="5" a="1"/>
  <c r="P1912" i="5" s="1"/>
  <c r="P1913" i="5" a="1"/>
  <c r="P1913" i="5" s="1"/>
  <c r="P1914" i="5" a="1"/>
  <c r="P1914" i="5" s="1"/>
  <c r="P1915" i="5" a="1"/>
  <c r="P1915" i="5" s="1"/>
  <c r="P1916" i="5" a="1"/>
  <c r="P1916" i="5" s="1"/>
  <c r="P1917" i="5" a="1"/>
  <c r="P1917" i="5" s="1"/>
  <c r="P1918" i="5" a="1"/>
  <c r="P1918" i="5" s="1"/>
  <c r="P1919" i="5" a="1"/>
  <c r="P1919" i="5" s="1"/>
  <c r="P1920" i="5" a="1"/>
  <c r="P1920" i="5" s="1"/>
  <c r="P1921" i="5" a="1"/>
  <c r="P1921" i="5" s="1"/>
  <c r="P1922" i="5" a="1"/>
  <c r="P1922" i="5" s="1"/>
  <c r="P1923" i="5" a="1"/>
  <c r="P1923" i="5" s="1"/>
  <c r="P1924" i="5" a="1"/>
  <c r="P1924" i="5" s="1"/>
  <c r="P1925" i="5" a="1"/>
  <c r="P1925" i="5" s="1"/>
  <c r="P1926" i="5" a="1"/>
  <c r="P1926" i="5" s="1"/>
  <c r="P1927" i="5" a="1"/>
  <c r="P1927" i="5" s="1"/>
  <c r="P1928" i="5" a="1"/>
  <c r="P1928" i="5" s="1"/>
  <c r="P1929" i="5" a="1"/>
  <c r="P1929" i="5" s="1"/>
  <c r="P1930" i="5" a="1"/>
  <c r="P1930" i="5" s="1"/>
  <c r="P1931" i="5" a="1"/>
  <c r="P1931" i="5" s="1"/>
  <c r="P1932" i="5" a="1"/>
  <c r="P1932" i="5" s="1"/>
  <c r="P1933" i="5" a="1"/>
  <c r="P1933" i="5" s="1"/>
  <c r="P1934" i="5" a="1"/>
  <c r="P1934" i="5" s="1"/>
  <c r="P1935" i="5" a="1"/>
  <c r="P1935" i="5" s="1"/>
  <c r="P1936" i="5" a="1"/>
  <c r="P1936" i="5" s="1"/>
  <c r="P1937" i="5" a="1"/>
  <c r="P1937" i="5" s="1"/>
  <c r="P1938" i="5" a="1"/>
  <c r="P1938" i="5" s="1"/>
  <c r="P1939" i="5" a="1"/>
  <c r="P1939" i="5" s="1"/>
  <c r="P1940" i="5" a="1"/>
  <c r="P1940" i="5" s="1"/>
  <c r="P1941" i="5" a="1"/>
  <c r="P1941" i="5" s="1"/>
  <c r="P1942" i="5" a="1"/>
  <c r="P1942" i="5" s="1"/>
  <c r="P1943" i="5" a="1"/>
  <c r="P1943" i="5" s="1"/>
  <c r="P1944" i="5" a="1"/>
  <c r="P1944" i="5" s="1"/>
  <c r="P1945" i="5" a="1"/>
  <c r="P1945" i="5" s="1"/>
  <c r="P1946" i="5" a="1"/>
  <c r="P1946" i="5" s="1"/>
  <c r="P1947" i="5" a="1"/>
  <c r="P1947" i="5" s="1"/>
  <c r="P1948" i="5" a="1"/>
  <c r="P1948" i="5" s="1"/>
  <c r="P1949" i="5" a="1"/>
  <c r="P1949" i="5" s="1"/>
  <c r="P1950" i="5" a="1"/>
  <c r="P1950" i="5" s="1"/>
  <c r="P1951" i="5" a="1"/>
  <c r="P1951" i="5" s="1"/>
  <c r="P1952" i="5" a="1"/>
  <c r="P1952" i="5" s="1"/>
  <c r="P1953" i="5" a="1"/>
  <c r="P1953" i="5" s="1"/>
  <c r="P1954" i="5" a="1"/>
  <c r="P1954" i="5" s="1"/>
  <c r="P1955" i="5" a="1"/>
  <c r="P1955" i="5" s="1"/>
  <c r="P1956" i="5" a="1"/>
  <c r="P1956" i="5" s="1"/>
  <c r="P1957" i="5" a="1"/>
  <c r="P1957" i="5" s="1"/>
  <c r="P1958" i="5" a="1"/>
  <c r="P1958" i="5" s="1"/>
  <c r="P1959" i="5" a="1"/>
  <c r="P1959" i="5" s="1"/>
  <c r="P1960" i="5" a="1"/>
  <c r="P1960" i="5" s="1"/>
  <c r="P1961" i="5" a="1"/>
  <c r="P1961" i="5" s="1"/>
  <c r="P1962" i="5" a="1"/>
  <c r="P1962" i="5" s="1"/>
  <c r="P1963" i="5" a="1"/>
  <c r="P1963" i="5" s="1"/>
  <c r="P1964" i="5" a="1"/>
  <c r="P1964" i="5" s="1"/>
  <c r="P1965" i="5" a="1"/>
  <c r="P1965" i="5" s="1"/>
  <c r="P1966" i="5" a="1"/>
  <c r="P1966" i="5" s="1"/>
  <c r="P1967" i="5" a="1"/>
  <c r="P1967" i="5" s="1"/>
  <c r="P1968" i="5" a="1"/>
  <c r="P1968" i="5" s="1"/>
  <c r="P1969" i="5" a="1"/>
  <c r="P1969" i="5" s="1"/>
  <c r="P1970" i="5" a="1"/>
  <c r="P1970" i="5" s="1"/>
  <c r="P1971" i="5" a="1"/>
  <c r="P1971" i="5" s="1"/>
  <c r="P1972" i="5" a="1"/>
  <c r="P1972" i="5" s="1"/>
  <c r="P1973" i="5" a="1"/>
  <c r="P1973" i="5" s="1"/>
  <c r="P1974" i="5" a="1"/>
  <c r="P1974" i="5" s="1"/>
  <c r="P1975" i="5" a="1"/>
  <c r="P1975" i="5" s="1"/>
  <c r="P1976" i="5" a="1"/>
  <c r="P1976" i="5" s="1"/>
  <c r="P1977" i="5" a="1"/>
  <c r="P1977" i="5" s="1"/>
  <c r="P1978" i="5" a="1"/>
  <c r="P1978" i="5" s="1"/>
  <c r="P1979" i="5" a="1"/>
  <c r="P1979" i="5" s="1"/>
  <c r="P1980" i="5" a="1"/>
  <c r="P1980" i="5" s="1"/>
  <c r="P1981" i="5" a="1"/>
  <c r="P1981" i="5" s="1"/>
  <c r="P1982" i="5" a="1"/>
  <c r="P1982" i="5" s="1"/>
  <c r="P1983" i="5" a="1"/>
  <c r="P1983" i="5" s="1"/>
  <c r="P1984" i="5" a="1"/>
  <c r="P1984" i="5" s="1"/>
  <c r="P1985" i="5" a="1"/>
  <c r="P1985" i="5" s="1"/>
  <c r="P1986" i="5" a="1"/>
  <c r="P1986" i="5" s="1"/>
  <c r="P1987" i="5" a="1"/>
  <c r="P1987" i="5" s="1"/>
  <c r="P1988" i="5" a="1"/>
  <c r="P1988" i="5" s="1"/>
  <c r="P1989" i="5" a="1"/>
  <c r="P1989" i="5" s="1"/>
  <c r="P1990" i="5" a="1"/>
  <c r="P1990" i="5" s="1"/>
  <c r="P1991" i="5" a="1"/>
  <c r="P1991" i="5" s="1"/>
  <c r="P1992" i="5" a="1"/>
  <c r="P1992" i="5" s="1"/>
  <c r="P1993" i="5" a="1"/>
  <c r="P1993" i="5" s="1"/>
  <c r="P1994" i="5" a="1"/>
  <c r="P1994" i="5" s="1"/>
  <c r="P1995" i="5" a="1"/>
  <c r="P1995" i="5" s="1"/>
  <c r="P1996" i="5" a="1"/>
  <c r="P1996" i="5" s="1"/>
  <c r="P1997" i="5" a="1"/>
  <c r="P1997" i="5" s="1"/>
  <c r="P1998" i="5" a="1"/>
  <c r="P1998" i="5" s="1"/>
  <c r="P1999" i="5" a="1"/>
  <c r="P1999" i="5" s="1"/>
  <c r="P2000" i="5" a="1"/>
  <c r="P2000" i="5" s="1"/>
  <c r="P2001" i="5" a="1"/>
  <c r="P2001" i="5" s="1"/>
  <c r="P2002" i="5" a="1"/>
  <c r="P2002" i="5" s="1"/>
  <c r="P2003" i="5" a="1"/>
  <c r="P2003" i="5" s="1"/>
  <c r="P2004" i="5" a="1"/>
  <c r="P2004" i="5" s="1"/>
  <c r="P2005" i="5" a="1"/>
  <c r="P2005" i="5" s="1"/>
  <c r="P2006" i="5" a="1"/>
  <c r="P2006" i="5" s="1"/>
  <c r="P2007" i="5" a="1"/>
  <c r="P2007" i="5" s="1"/>
  <c r="P2008" i="5" a="1"/>
  <c r="P2008" i="5" s="1"/>
  <c r="P2009" i="5" a="1"/>
  <c r="P2009" i="5" s="1"/>
  <c r="P2010" i="5" a="1"/>
  <c r="P2010" i="5" s="1"/>
  <c r="P2011" i="5" a="1"/>
  <c r="P2011" i="5" s="1"/>
  <c r="P2012" i="5" a="1"/>
  <c r="P2012" i="5" s="1"/>
  <c r="P2013" i="5" a="1"/>
  <c r="P2013" i="5" s="1"/>
  <c r="P2014" i="5" a="1"/>
  <c r="P2014" i="5" s="1"/>
  <c r="P2015" i="5" a="1"/>
  <c r="P2015" i="5" s="1"/>
  <c r="P2016" i="5" a="1"/>
  <c r="P2016" i="5" s="1"/>
  <c r="P2017" i="5" a="1"/>
  <c r="P2017" i="5" s="1"/>
  <c r="P2018" i="5" a="1"/>
  <c r="P2018" i="5" s="1"/>
  <c r="P2019" i="5" a="1"/>
  <c r="P2019" i="5" s="1"/>
  <c r="P2020" i="5" a="1"/>
  <c r="P2020" i="5" s="1"/>
  <c r="P2021" i="5" a="1"/>
  <c r="P2021" i="5" s="1"/>
  <c r="P2022" i="5" a="1"/>
  <c r="P2022" i="5" s="1"/>
  <c r="P2023" i="5" a="1"/>
  <c r="P2023" i="5" s="1"/>
  <c r="P2024" i="5" a="1"/>
  <c r="P2024" i="5" s="1"/>
  <c r="P2025" i="5" a="1"/>
  <c r="P2025" i="5" s="1"/>
  <c r="P2026" i="5" a="1"/>
  <c r="P2026" i="5" s="1"/>
  <c r="P2027" i="5" a="1"/>
  <c r="P2027" i="5" s="1"/>
  <c r="P2028" i="5" a="1"/>
  <c r="P2028" i="5" s="1"/>
  <c r="P2029" i="5" a="1"/>
  <c r="P2029" i="5" s="1"/>
  <c r="P2030" i="5" a="1"/>
  <c r="P2030" i="5" s="1"/>
  <c r="P2031" i="5" a="1"/>
  <c r="P2031" i="5" s="1"/>
  <c r="P2032" i="5" a="1"/>
  <c r="P2032" i="5" s="1"/>
  <c r="P2033" i="5" a="1"/>
  <c r="P2033" i="5" s="1"/>
  <c r="P2034" i="5" a="1"/>
  <c r="P2034" i="5" s="1"/>
  <c r="P2035" i="5" a="1"/>
  <c r="P2035" i="5" s="1"/>
  <c r="P2036" i="5" a="1"/>
  <c r="P2036" i="5" s="1"/>
  <c r="P2037" i="5" a="1"/>
  <c r="P2037" i="5" s="1"/>
  <c r="P2038" i="5" a="1"/>
  <c r="P2038" i="5" s="1"/>
  <c r="P2039" i="5" a="1"/>
  <c r="P2039" i="5" s="1"/>
  <c r="P2040" i="5" a="1"/>
  <c r="P2040" i="5" s="1"/>
  <c r="P2041" i="5" a="1"/>
  <c r="P2041" i="5" s="1"/>
  <c r="P2042" i="5" a="1"/>
  <c r="P2042" i="5" s="1"/>
  <c r="P2043" i="5" a="1"/>
  <c r="P2043" i="5" s="1"/>
  <c r="P2044" i="5" a="1"/>
  <c r="P2044" i="5" s="1"/>
  <c r="P2045" i="5" a="1"/>
  <c r="P2045" i="5" s="1"/>
  <c r="P2046" i="5" a="1"/>
  <c r="P2046" i="5" s="1"/>
  <c r="P2047" i="5" a="1"/>
  <c r="P2047" i="5" s="1"/>
  <c r="P2048" i="5" a="1"/>
  <c r="P2048" i="5" s="1"/>
  <c r="P2049" i="5" a="1"/>
  <c r="P2049" i="5" s="1"/>
  <c r="P2050" i="5" a="1"/>
  <c r="P2050" i="5" s="1"/>
  <c r="P2051" i="5" a="1"/>
  <c r="P2051" i="5" s="1"/>
  <c r="P2052" i="5" a="1"/>
  <c r="P2052" i="5" s="1"/>
  <c r="P2053" i="5" a="1"/>
  <c r="P2053" i="5" s="1"/>
  <c r="P2054" i="5" a="1"/>
  <c r="P2054" i="5" s="1"/>
  <c r="P2055" i="5" a="1"/>
  <c r="P2055" i="5" s="1"/>
  <c r="P2056" i="5" a="1"/>
  <c r="P2056" i="5" s="1"/>
  <c r="P2057" i="5" a="1"/>
  <c r="P2057" i="5" s="1"/>
  <c r="P2058" i="5" a="1"/>
  <c r="P2058" i="5" s="1"/>
  <c r="P2059" i="5" a="1"/>
  <c r="P2059" i="5" s="1"/>
  <c r="P2060" i="5" a="1"/>
  <c r="P2060" i="5" s="1"/>
  <c r="P2061" i="5" a="1"/>
  <c r="P2061" i="5" s="1"/>
  <c r="P2062" i="5" a="1"/>
  <c r="P2062" i="5" s="1"/>
  <c r="P2063" i="5" a="1"/>
  <c r="P2063" i="5" s="1"/>
  <c r="P2064" i="5" a="1"/>
  <c r="P2064" i="5" s="1"/>
  <c r="P2065" i="5" a="1"/>
  <c r="P2065" i="5" s="1"/>
  <c r="P2066" i="5" a="1"/>
  <c r="P2066" i="5" s="1"/>
  <c r="P2067" i="5" a="1"/>
  <c r="P2067" i="5" s="1"/>
  <c r="P2068" i="5" a="1"/>
  <c r="P2068" i="5" s="1"/>
  <c r="P2069" i="5" a="1"/>
  <c r="P2069" i="5" s="1"/>
  <c r="P2070" i="5" a="1"/>
  <c r="P2070" i="5" s="1"/>
  <c r="P2071" i="5" a="1"/>
  <c r="P2071" i="5" s="1"/>
  <c r="P2072" i="5" a="1"/>
  <c r="P2072" i="5" s="1"/>
  <c r="P2073" i="5" a="1"/>
  <c r="P2073" i="5" s="1"/>
  <c r="P2074" i="5" a="1"/>
  <c r="P2074" i="5" s="1"/>
  <c r="P2075" i="5" a="1"/>
  <c r="P2075" i="5" s="1"/>
  <c r="P2076" i="5" a="1"/>
  <c r="P2076" i="5" s="1"/>
  <c r="P2077" i="5" a="1"/>
  <c r="P2077" i="5" s="1"/>
  <c r="P2078" i="5" a="1"/>
  <c r="P2078" i="5" s="1"/>
  <c r="P2079" i="5" a="1"/>
  <c r="P2079" i="5" s="1"/>
  <c r="P2080" i="5" a="1"/>
  <c r="P2080" i="5" s="1"/>
  <c r="P2081" i="5" a="1"/>
  <c r="P2081" i="5" s="1"/>
  <c r="P2082" i="5" a="1"/>
  <c r="P2082" i="5" s="1"/>
  <c r="P2083" i="5" a="1"/>
  <c r="P2083" i="5" s="1"/>
  <c r="P2084" i="5" a="1"/>
  <c r="P2084" i="5" s="1"/>
  <c r="P2085" i="5" a="1"/>
  <c r="P2085" i="5" s="1"/>
  <c r="P2086" i="5" a="1"/>
  <c r="P2086" i="5" s="1"/>
  <c r="P2087" i="5" a="1"/>
  <c r="P2087" i="5" s="1"/>
  <c r="P2088" i="5" a="1"/>
  <c r="P2088" i="5" s="1"/>
  <c r="P2089" i="5" a="1"/>
  <c r="P2089" i="5" s="1"/>
  <c r="P2090" i="5" a="1"/>
  <c r="P2090" i="5" s="1"/>
  <c r="P2091" i="5" a="1"/>
  <c r="P2091" i="5" s="1"/>
  <c r="P2092" i="5" a="1"/>
  <c r="P2092" i="5" s="1"/>
  <c r="P2093" i="5" a="1"/>
  <c r="P2093" i="5" s="1"/>
  <c r="P2094" i="5" a="1"/>
  <c r="P2094" i="5" s="1"/>
  <c r="P2095" i="5" a="1"/>
  <c r="P2095" i="5" s="1"/>
  <c r="P2096" i="5" a="1"/>
  <c r="P2096" i="5" s="1"/>
  <c r="P2097" i="5" a="1"/>
  <c r="P2097" i="5" s="1"/>
  <c r="P2098" i="5" a="1"/>
  <c r="P2098" i="5" s="1"/>
  <c r="P2099" i="5" a="1"/>
  <c r="P2099" i="5" s="1"/>
  <c r="P2100" i="5" a="1"/>
  <c r="P2100" i="5" s="1"/>
  <c r="P2101" i="5" a="1"/>
  <c r="P2101" i="5" s="1"/>
  <c r="P2102" i="5" a="1"/>
  <c r="P2102" i="5" s="1"/>
  <c r="P2103" i="5" a="1"/>
  <c r="P2103" i="5" s="1"/>
  <c r="P2104" i="5" a="1"/>
  <c r="P2104" i="5" s="1"/>
  <c r="P2105" i="5" a="1"/>
  <c r="P2105" i="5" s="1"/>
  <c r="P2106" i="5" a="1"/>
  <c r="P2106" i="5" s="1"/>
  <c r="P2107" i="5" a="1"/>
  <c r="P2107" i="5" s="1"/>
  <c r="P2108" i="5" a="1"/>
  <c r="P2108" i="5" s="1"/>
  <c r="P2109" i="5" a="1"/>
  <c r="P2109" i="5" s="1"/>
  <c r="P2110" i="5" a="1"/>
  <c r="P2110" i="5" s="1"/>
  <c r="P2111" i="5" a="1"/>
  <c r="P2111" i="5" s="1"/>
  <c r="P2112" i="5" a="1"/>
  <c r="P2112" i="5" s="1"/>
  <c r="P2113" i="5" a="1"/>
  <c r="P2113" i="5" s="1"/>
  <c r="P2114" i="5" a="1"/>
  <c r="P2114" i="5" s="1"/>
  <c r="P2115" i="5" a="1"/>
  <c r="P2115" i="5" s="1"/>
  <c r="P2116" i="5" a="1"/>
  <c r="P2116" i="5" s="1"/>
  <c r="P2117" i="5" a="1"/>
  <c r="P2117" i="5" s="1"/>
  <c r="P2118" i="5" a="1"/>
  <c r="P2118" i="5" s="1"/>
  <c r="P2119" i="5" a="1"/>
  <c r="P2119" i="5" s="1"/>
  <c r="P2120" i="5" a="1"/>
  <c r="P2120" i="5" s="1"/>
  <c r="P2121" i="5" a="1"/>
  <c r="P2121" i="5" s="1"/>
  <c r="P2122" i="5" a="1"/>
  <c r="P2122" i="5" s="1"/>
  <c r="P2123" i="5" a="1"/>
  <c r="P2123" i="5" s="1"/>
  <c r="P2124" i="5" a="1"/>
  <c r="P2124" i="5" s="1"/>
  <c r="P2125" i="5" a="1"/>
  <c r="P2125" i="5" s="1"/>
  <c r="P2126" i="5" a="1"/>
  <c r="P2126" i="5" s="1"/>
  <c r="P2127" i="5" a="1"/>
  <c r="P2127" i="5" s="1"/>
  <c r="P2128" i="5" a="1"/>
  <c r="P2128" i="5" s="1"/>
  <c r="P2129" i="5" a="1"/>
  <c r="P2129" i="5" s="1"/>
  <c r="P2130" i="5" a="1"/>
  <c r="P2130" i="5" s="1"/>
  <c r="P2131" i="5" a="1"/>
  <c r="P2131" i="5" s="1"/>
  <c r="P2132" i="5" a="1"/>
  <c r="P2132" i="5" s="1"/>
  <c r="P2133" i="5" a="1"/>
  <c r="P2133" i="5" s="1"/>
  <c r="P2134" i="5" a="1"/>
  <c r="P2134" i="5" s="1"/>
  <c r="P2135" i="5" a="1"/>
  <c r="P2135" i="5" s="1"/>
  <c r="P2136" i="5" a="1"/>
  <c r="P2136" i="5" s="1"/>
  <c r="P2137" i="5" a="1"/>
  <c r="P2137" i="5" s="1"/>
  <c r="P2138" i="5" a="1"/>
  <c r="P2138" i="5" s="1"/>
  <c r="P2139" i="5" a="1"/>
  <c r="P2139" i="5" s="1"/>
  <c r="P2140" i="5" a="1"/>
  <c r="P2140" i="5" s="1"/>
  <c r="P2141" i="5" a="1"/>
  <c r="P2141" i="5" s="1"/>
  <c r="P2142" i="5" a="1"/>
  <c r="P2142" i="5" s="1"/>
  <c r="P2143" i="5" a="1"/>
  <c r="P2143" i="5" s="1"/>
  <c r="P2144" i="5" a="1"/>
  <c r="P2144" i="5" s="1"/>
  <c r="P2145" i="5" a="1"/>
  <c r="P2145" i="5" s="1"/>
  <c r="P2146" i="5" a="1"/>
  <c r="P2146" i="5" s="1"/>
  <c r="P2147" i="5" a="1"/>
  <c r="P2147" i="5" s="1"/>
  <c r="P2148" i="5" a="1"/>
  <c r="P2148" i="5" s="1"/>
  <c r="P2149" i="5" a="1"/>
  <c r="P2149" i="5" s="1"/>
  <c r="P2150" i="5" a="1"/>
  <c r="P2150" i="5" s="1"/>
  <c r="P2151" i="5" a="1"/>
  <c r="P2151" i="5" s="1"/>
  <c r="P2152" i="5" a="1"/>
  <c r="P2152" i="5" s="1"/>
  <c r="P2153" i="5" a="1"/>
  <c r="P2153" i="5" s="1"/>
  <c r="P2154" i="5" a="1"/>
  <c r="P2154" i="5" s="1"/>
  <c r="P2155" i="5" a="1"/>
  <c r="P2155" i="5" s="1"/>
  <c r="P2156" i="5" a="1"/>
  <c r="P2156" i="5" s="1"/>
  <c r="P2157" i="5" a="1"/>
  <c r="P2157" i="5" s="1"/>
  <c r="P2158" i="5" a="1"/>
  <c r="P2158" i="5" s="1"/>
  <c r="P2159" i="5" a="1"/>
  <c r="P2159" i="5" s="1"/>
  <c r="P2160" i="5" a="1"/>
  <c r="P2160" i="5" s="1"/>
  <c r="P2161" i="5" a="1"/>
  <c r="P2161" i="5" s="1"/>
  <c r="P2162" i="5" a="1"/>
  <c r="P2162" i="5" s="1"/>
  <c r="P2163" i="5" a="1"/>
  <c r="P2163" i="5" s="1"/>
  <c r="P2164" i="5" a="1"/>
  <c r="P2164" i="5" s="1"/>
  <c r="P2165" i="5" a="1"/>
  <c r="P2165" i="5" s="1"/>
  <c r="P2166" i="5" a="1"/>
  <c r="P2166" i="5" s="1"/>
  <c r="P2167" i="5" a="1"/>
  <c r="P2167" i="5" s="1"/>
  <c r="P2168" i="5" a="1"/>
  <c r="P2168" i="5" s="1"/>
  <c r="P2169" i="5" a="1"/>
  <c r="P2169" i="5" s="1"/>
  <c r="P2170" i="5" a="1"/>
  <c r="P2170" i="5" s="1"/>
  <c r="P2171" i="5" a="1"/>
  <c r="P2171" i="5" s="1"/>
  <c r="P2172" i="5" a="1"/>
  <c r="P2172" i="5" s="1"/>
  <c r="P2173" i="5" a="1"/>
  <c r="P2173" i="5" s="1"/>
  <c r="P2174" i="5" a="1"/>
  <c r="P2174" i="5" s="1"/>
  <c r="P2175" i="5" a="1"/>
  <c r="P2175" i="5" s="1"/>
  <c r="P2176" i="5" a="1"/>
  <c r="P2176" i="5" s="1"/>
  <c r="P2177" i="5" a="1"/>
  <c r="P2177" i="5" s="1"/>
  <c r="P2178" i="5" a="1"/>
  <c r="P2178" i="5" s="1"/>
  <c r="P2179" i="5" a="1"/>
  <c r="P2179" i="5" s="1"/>
  <c r="P2180" i="5" a="1"/>
  <c r="P2180" i="5" s="1"/>
  <c r="P2181" i="5" a="1"/>
  <c r="P2181" i="5" s="1"/>
  <c r="P2182" i="5" a="1"/>
  <c r="P2182" i="5" s="1"/>
  <c r="P2183" i="5" a="1"/>
  <c r="P2183" i="5" s="1"/>
  <c r="P2184" i="5" a="1"/>
  <c r="P2184" i="5" s="1"/>
  <c r="P2185" i="5" a="1"/>
  <c r="P2185" i="5" s="1"/>
  <c r="P2186" i="5" a="1"/>
  <c r="P2186" i="5" s="1"/>
  <c r="P2187" i="5" a="1"/>
  <c r="P2187" i="5" s="1"/>
  <c r="P2188" i="5" a="1"/>
  <c r="P2188" i="5" s="1"/>
  <c r="P2189" i="5" a="1"/>
  <c r="P2189" i="5" s="1"/>
  <c r="P2190" i="5" a="1"/>
  <c r="P2190" i="5" s="1"/>
  <c r="P2191" i="5" a="1"/>
  <c r="P2191" i="5" s="1"/>
  <c r="P2192" i="5" a="1"/>
  <c r="P2192" i="5" s="1"/>
  <c r="P2193" i="5" a="1"/>
  <c r="P2193" i="5" s="1"/>
  <c r="P2194" i="5" a="1"/>
  <c r="P2194" i="5" s="1"/>
  <c r="P2195" i="5" a="1"/>
  <c r="P2195" i="5" s="1"/>
  <c r="P2196" i="5" a="1"/>
  <c r="P2196" i="5" s="1"/>
  <c r="P2197" i="5" a="1"/>
  <c r="P2197" i="5" s="1"/>
  <c r="P2198" i="5" a="1"/>
  <c r="P2198" i="5" s="1"/>
  <c r="P2199" i="5" a="1"/>
  <c r="P2199" i="5" s="1"/>
  <c r="P2200" i="5" a="1"/>
  <c r="P2200" i="5" s="1"/>
  <c r="P2201" i="5" a="1"/>
  <c r="P2201" i="5" s="1"/>
  <c r="P2202" i="5" a="1"/>
  <c r="P2202" i="5" s="1"/>
  <c r="P2203" i="5" a="1"/>
  <c r="P2203" i="5" s="1"/>
  <c r="P2204" i="5" a="1"/>
  <c r="P2204" i="5" s="1"/>
  <c r="P2205" i="5" a="1"/>
  <c r="P2205" i="5" s="1"/>
  <c r="P2206" i="5" a="1"/>
  <c r="P2206" i="5" s="1"/>
  <c r="P2207" i="5" a="1"/>
  <c r="P2207" i="5" s="1"/>
  <c r="P2208" i="5" a="1"/>
  <c r="P2208" i="5" s="1"/>
  <c r="P2209" i="5" a="1"/>
  <c r="P2209" i="5" s="1"/>
  <c r="P2210" i="5" a="1"/>
  <c r="P2210" i="5" s="1"/>
  <c r="P2211" i="5" a="1"/>
  <c r="P2211" i="5" s="1"/>
  <c r="P2212" i="5" a="1"/>
  <c r="P2212" i="5" s="1"/>
  <c r="P2213" i="5" a="1"/>
  <c r="P2213" i="5" s="1"/>
  <c r="P2214" i="5" a="1"/>
  <c r="P2214" i="5" s="1"/>
  <c r="P2215" i="5" a="1"/>
  <c r="P2215" i="5" s="1"/>
  <c r="P2216" i="5" a="1"/>
  <c r="P2216" i="5" s="1"/>
  <c r="P2217" i="5" a="1"/>
  <c r="P2217" i="5" s="1"/>
  <c r="P2218" i="5" a="1"/>
  <c r="P2218" i="5" s="1"/>
  <c r="P2219" i="5" a="1"/>
  <c r="P2219" i="5" s="1"/>
  <c r="P2220" i="5" a="1"/>
  <c r="P2220" i="5" s="1"/>
  <c r="P2221" i="5" a="1"/>
  <c r="P2221" i="5" s="1"/>
  <c r="P2222" i="5" a="1"/>
  <c r="P2222" i="5" s="1"/>
  <c r="P2223" i="5" a="1"/>
  <c r="P2223" i="5" s="1"/>
  <c r="P2224" i="5" a="1"/>
  <c r="P2224" i="5" s="1"/>
  <c r="P2225" i="5" a="1"/>
  <c r="P2225" i="5" s="1"/>
  <c r="P2226" i="5" a="1"/>
  <c r="P2226" i="5" s="1"/>
  <c r="P2227" i="5" a="1"/>
  <c r="P2227" i="5" s="1"/>
  <c r="P2228" i="5" a="1"/>
  <c r="P2228" i="5" s="1"/>
  <c r="P2229" i="5" a="1"/>
  <c r="P2229" i="5" s="1"/>
  <c r="P2230" i="5" a="1"/>
  <c r="P2230" i="5" s="1"/>
  <c r="P2231" i="5" a="1"/>
  <c r="P2231" i="5" s="1"/>
  <c r="P2232" i="5" a="1"/>
  <c r="P2232" i="5" s="1"/>
  <c r="P2233" i="5" a="1"/>
  <c r="P2233" i="5" s="1"/>
  <c r="P2234" i="5" a="1"/>
  <c r="P2234" i="5" s="1"/>
  <c r="P2235" i="5" a="1"/>
  <c r="P2235" i="5" s="1"/>
  <c r="P2236" i="5" a="1"/>
  <c r="P2236" i="5" s="1"/>
  <c r="P2237" i="5" a="1"/>
  <c r="P2237" i="5" s="1"/>
  <c r="P2238" i="5" a="1"/>
  <c r="P2238" i="5" s="1"/>
  <c r="P2239" i="5" a="1"/>
  <c r="P2239" i="5" s="1"/>
  <c r="P2240" i="5" a="1"/>
  <c r="P2240" i="5" s="1"/>
  <c r="P2241" i="5" a="1"/>
  <c r="P2241" i="5" s="1"/>
  <c r="P2242" i="5" a="1"/>
  <c r="P2242" i="5" s="1"/>
  <c r="P2243" i="5" a="1"/>
  <c r="P2243" i="5" s="1"/>
  <c r="P2244" i="5" a="1"/>
  <c r="P2244" i="5" s="1"/>
  <c r="P2245" i="5" a="1"/>
  <c r="P2245" i="5" s="1"/>
  <c r="P2246" i="5" a="1"/>
  <c r="P2246" i="5" s="1"/>
  <c r="P2247" i="5" a="1"/>
  <c r="P2247" i="5" s="1"/>
  <c r="P2248" i="5" a="1"/>
  <c r="P2248" i="5" s="1"/>
  <c r="P2249" i="5" a="1"/>
  <c r="P2249" i="5" s="1"/>
  <c r="P2250" i="5" a="1"/>
  <c r="P2250" i="5" s="1"/>
  <c r="P2251" i="5" a="1"/>
  <c r="P2251" i="5" s="1"/>
  <c r="P2252" i="5" a="1"/>
  <c r="P2252" i="5" s="1"/>
  <c r="P2253" i="5" a="1"/>
  <c r="P2253" i="5" s="1"/>
  <c r="P2254" i="5" a="1"/>
  <c r="P2254" i="5" s="1"/>
  <c r="P2255" i="5" a="1"/>
  <c r="P2255" i="5" s="1"/>
  <c r="P2256" i="5" a="1"/>
  <c r="P2256" i="5" s="1"/>
  <c r="P2257" i="5" a="1"/>
  <c r="P2257" i="5" s="1"/>
  <c r="P2258" i="5" a="1"/>
  <c r="P2258" i="5" s="1"/>
  <c r="P2259" i="5" a="1"/>
  <c r="P2259" i="5" s="1"/>
  <c r="P2260" i="5" a="1"/>
  <c r="P2260" i="5" s="1"/>
  <c r="P2261" i="5" a="1"/>
  <c r="P2261" i="5" s="1"/>
  <c r="P2262" i="5" a="1"/>
  <c r="P2262" i="5" s="1"/>
  <c r="P2263" i="5" a="1"/>
  <c r="P2263" i="5" s="1"/>
  <c r="P2264" i="5" a="1"/>
  <c r="P2264" i="5" s="1"/>
  <c r="P2265" i="5" a="1"/>
  <c r="P2265" i="5" s="1"/>
  <c r="P2266" i="5" a="1"/>
  <c r="P2266" i="5" s="1"/>
  <c r="P2267" i="5" a="1"/>
  <c r="P2267" i="5" s="1"/>
  <c r="P2268" i="5" a="1"/>
  <c r="P2268" i="5" s="1"/>
  <c r="P2269" i="5" a="1"/>
  <c r="P2269" i="5" s="1"/>
  <c r="P2270" i="5" a="1"/>
  <c r="P2270" i="5" s="1"/>
  <c r="P2271" i="5" a="1"/>
  <c r="P2271" i="5" s="1"/>
  <c r="P2272" i="5" a="1"/>
  <c r="P2272" i="5" s="1"/>
  <c r="P2273" i="5" a="1"/>
  <c r="P2273" i="5" s="1"/>
  <c r="P2274" i="5" a="1"/>
  <c r="P2274" i="5" s="1"/>
  <c r="P2275" i="5" a="1"/>
  <c r="P2275" i="5" s="1"/>
  <c r="P2276" i="5" a="1"/>
  <c r="P2276" i="5" s="1"/>
  <c r="P2277" i="5" a="1"/>
  <c r="P2277" i="5" s="1"/>
  <c r="P2278" i="5" a="1"/>
  <c r="P2278" i="5" s="1"/>
  <c r="P2279" i="5" a="1"/>
  <c r="P2279" i="5" s="1"/>
  <c r="P2280" i="5" a="1"/>
  <c r="P2280" i="5" s="1"/>
  <c r="P2281" i="5" a="1"/>
  <c r="P2281" i="5" s="1"/>
  <c r="P2282" i="5" a="1"/>
  <c r="P2282" i="5" s="1"/>
  <c r="P2283" i="5" a="1"/>
  <c r="P2283" i="5" s="1"/>
  <c r="P2284" i="5" a="1"/>
  <c r="P2284" i="5" s="1"/>
  <c r="P2285" i="5" a="1"/>
  <c r="P2285" i="5" s="1"/>
  <c r="P2286" i="5" a="1"/>
  <c r="P2286" i="5" s="1"/>
  <c r="P2287" i="5" a="1"/>
  <c r="P2287" i="5" s="1"/>
  <c r="P2288" i="5" a="1"/>
  <c r="P2288" i="5" s="1"/>
  <c r="P2289" i="5" a="1"/>
  <c r="P2289" i="5" s="1"/>
  <c r="P2290" i="5" a="1"/>
  <c r="P2290" i="5" s="1"/>
  <c r="P2291" i="5" a="1"/>
  <c r="P2291" i="5" s="1"/>
  <c r="P2292" i="5" a="1"/>
  <c r="P2292" i="5" s="1"/>
  <c r="P2293" i="5" a="1"/>
  <c r="P2293" i="5" s="1"/>
  <c r="P2294" i="5" a="1"/>
  <c r="P2294" i="5" s="1"/>
  <c r="P2295" i="5" a="1"/>
  <c r="P2295" i="5" s="1"/>
  <c r="P2296" i="5" a="1"/>
  <c r="P2296" i="5" s="1"/>
  <c r="P2297" i="5" a="1"/>
  <c r="P2297" i="5" s="1"/>
  <c r="P2298" i="5" a="1"/>
  <c r="P2298" i="5" s="1"/>
  <c r="P2299" i="5" a="1"/>
  <c r="P2299" i="5" s="1"/>
  <c r="P2300" i="5" a="1"/>
  <c r="P2300" i="5" s="1"/>
  <c r="P2301" i="5" a="1"/>
  <c r="P2301" i="5" s="1"/>
  <c r="P2302" i="5" a="1"/>
  <c r="P2302" i="5" s="1"/>
  <c r="P2303" i="5" a="1"/>
  <c r="P2303" i="5" s="1"/>
  <c r="P2304" i="5" a="1"/>
  <c r="P2304" i="5" s="1"/>
  <c r="P2305" i="5" a="1"/>
  <c r="P2305" i="5" s="1"/>
  <c r="P2306" i="5" a="1"/>
  <c r="P2306" i="5" s="1"/>
  <c r="P2307" i="5" a="1"/>
  <c r="P2307" i="5" s="1"/>
  <c r="P2308" i="5" a="1"/>
  <c r="P2308" i="5" s="1"/>
  <c r="P2309" i="5" a="1"/>
  <c r="P2309" i="5" s="1"/>
  <c r="P2310" i="5" a="1"/>
  <c r="P2310" i="5" s="1"/>
  <c r="P2311" i="5" a="1"/>
  <c r="P2311" i="5" s="1"/>
  <c r="P2312" i="5" a="1"/>
  <c r="P2312" i="5" s="1"/>
  <c r="P2313" i="5" a="1"/>
  <c r="P2313" i="5" s="1"/>
  <c r="P2314" i="5" a="1"/>
  <c r="P2314" i="5" s="1"/>
  <c r="P2315" i="5" a="1"/>
  <c r="P2315" i="5" s="1"/>
  <c r="P2316" i="5" a="1"/>
  <c r="P2316" i="5" s="1"/>
  <c r="P2317" i="5" a="1"/>
  <c r="P2317" i="5" s="1"/>
  <c r="P2318" i="5" a="1"/>
  <c r="P2318" i="5" s="1"/>
  <c r="P2319" i="5" a="1"/>
  <c r="P2319" i="5" s="1"/>
  <c r="P2320" i="5" a="1"/>
  <c r="P2320" i="5" s="1"/>
  <c r="P2321" i="5" a="1"/>
  <c r="P2321" i="5" s="1"/>
  <c r="P2322" i="5" a="1"/>
  <c r="P2322" i="5" s="1"/>
  <c r="P2323" i="5" a="1"/>
  <c r="P2323" i="5" s="1"/>
  <c r="P2324" i="5" a="1"/>
  <c r="P2324" i="5" s="1"/>
  <c r="P2325" i="5" a="1"/>
  <c r="P2325" i="5" s="1"/>
  <c r="P2326" i="5" a="1"/>
  <c r="P2326" i="5" s="1"/>
  <c r="P2327" i="5" a="1"/>
  <c r="P2327" i="5" s="1"/>
  <c r="P2328" i="5" a="1"/>
  <c r="P2328" i="5" s="1"/>
  <c r="P2329" i="5" a="1"/>
  <c r="P2329" i="5" s="1"/>
  <c r="P2330" i="5" a="1"/>
  <c r="P2330" i="5" s="1"/>
  <c r="P2331" i="5" a="1"/>
  <c r="P2331" i="5" s="1"/>
  <c r="P2332" i="5" a="1"/>
  <c r="P2332" i="5" s="1"/>
  <c r="P2333" i="5" a="1"/>
  <c r="P2333" i="5" s="1"/>
  <c r="P2334" i="5" a="1"/>
  <c r="P2334" i="5" s="1"/>
  <c r="P2335" i="5" a="1"/>
  <c r="P2335" i="5" s="1"/>
  <c r="P2336" i="5" a="1"/>
  <c r="P2336" i="5" s="1"/>
  <c r="P2337" i="5" a="1"/>
  <c r="P2337" i="5" s="1"/>
  <c r="P2338" i="5" a="1"/>
  <c r="P2338" i="5" s="1"/>
  <c r="P2339" i="5" a="1"/>
  <c r="P2339" i="5" s="1"/>
  <c r="P2340" i="5" a="1"/>
  <c r="P2340" i="5" s="1"/>
  <c r="P2341" i="5" a="1"/>
  <c r="P2341" i="5" s="1"/>
  <c r="P2342" i="5" a="1"/>
  <c r="P2342" i="5" s="1"/>
  <c r="P2343" i="5" a="1"/>
  <c r="P2343" i="5" s="1"/>
  <c r="P2344" i="5" a="1"/>
  <c r="P2344" i="5" s="1"/>
  <c r="P2345" i="5" a="1"/>
  <c r="P2345" i="5" s="1"/>
  <c r="P2346" i="5" a="1"/>
  <c r="P2346" i="5" s="1"/>
  <c r="P2347" i="5" a="1"/>
  <c r="P2347" i="5" s="1"/>
  <c r="P2348" i="5" a="1"/>
  <c r="P2348" i="5" s="1"/>
  <c r="P2349" i="5" a="1"/>
  <c r="P2349" i="5" s="1"/>
  <c r="P2350" i="5" a="1"/>
  <c r="P2350" i="5" s="1"/>
  <c r="P2351" i="5" a="1"/>
  <c r="P2351" i="5" s="1"/>
  <c r="P2352" i="5" a="1"/>
  <c r="P2352" i="5" s="1"/>
  <c r="P2353" i="5" a="1"/>
  <c r="P2353" i="5" s="1"/>
  <c r="P2354" i="5" a="1"/>
  <c r="P2354" i="5" s="1"/>
  <c r="P2355" i="5" a="1"/>
  <c r="P2355" i="5" s="1"/>
  <c r="P2356" i="5" a="1"/>
  <c r="P2356" i="5" s="1"/>
  <c r="P2357" i="5" a="1"/>
  <c r="P2357" i="5" s="1"/>
  <c r="P2358" i="5" a="1"/>
  <c r="P2358" i="5" s="1"/>
  <c r="P2359" i="5" a="1"/>
  <c r="P2359" i="5" s="1"/>
  <c r="P2360" i="5" a="1"/>
  <c r="P2360" i="5" s="1"/>
  <c r="P2361" i="5" a="1"/>
  <c r="P2361" i="5" s="1"/>
  <c r="P2362" i="5" a="1"/>
  <c r="P2362" i="5" s="1"/>
  <c r="P2363" i="5" a="1"/>
  <c r="P2363" i="5" s="1"/>
  <c r="P2364" i="5" a="1"/>
  <c r="P2364" i="5" s="1"/>
  <c r="P2365" i="5" a="1"/>
  <c r="P2365" i="5" s="1"/>
  <c r="P2366" i="5" a="1"/>
  <c r="P2366" i="5" s="1"/>
  <c r="P2367" i="5" a="1"/>
  <c r="P2367" i="5" s="1"/>
  <c r="P2368" i="5" a="1"/>
  <c r="P2368" i="5" s="1"/>
  <c r="P2369" i="5" a="1"/>
  <c r="P2369" i="5" s="1"/>
  <c r="P2370" i="5" a="1"/>
  <c r="P2370" i="5" s="1"/>
  <c r="P2371" i="5" a="1"/>
  <c r="P2371" i="5" s="1"/>
  <c r="P2372" i="5" a="1"/>
  <c r="P2372" i="5" s="1"/>
  <c r="P2373" i="5" a="1"/>
  <c r="P2373" i="5" s="1"/>
  <c r="P2374" i="5" a="1"/>
  <c r="P2374" i="5" s="1"/>
  <c r="P2375" i="5" a="1"/>
  <c r="P2375" i="5" s="1"/>
  <c r="P2376" i="5" a="1"/>
  <c r="P2376" i="5" s="1"/>
  <c r="P2377" i="5" a="1"/>
  <c r="P2377" i="5" s="1"/>
  <c r="P2378" i="5" a="1"/>
  <c r="P2378" i="5" s="1"/>
  <c r="P2379" i="5" a="1"/>
  <c r="P2379" i="5" s="1"/>
  <c r="P2380" i="5" a="1"/>
  <c r="P2380" i="5" s="1"/>
  <c r="P2381" i="5" a="1"/>
  <c r="P2381" i="5" s="1"/>
  <c r="P2382" i="5" a="1"/>
  <c r="P2382" i="5" s="1"/>
  <c r="P2383" i="5" a="1"/>
  <c r="P2383" i="5" s="1"/>
  <c r="P2384" i="5" a="1"/>
  <c r="P2384" i="5" s="1"/>
  <c r="P2385" i="5" a="1"/>
  <c r="P2385" i="5" s="1"/>
  <c r="P2386" i="5" a="1"/>
  <c r="P2386" i="5" s="1"/>
  <c r="P2387" i="5" a="1"/>
  <c r="P2387" i="5" s="1"/>
  <c r="P2388" i="5" a="1"/>
  <c r="P2388" i="5" s="1"/>
  <c r="P2389" i="5" a="1"/>
  <c r="P2389" i="5" s="1"/>
  <c r="P2390" i="5" a="1"/>
  <c r="P2390" i="5" s="1"/>
  <c r="P2391" i="5" a="1"/>
  <c r="P2391" i="5"/>
  <c r="P2392" i="5" a="1"/>
  <c r="P2392" i="5" s="1"/>
  <c r="P2393" i="5" a="1"/>
  <c r="P2393" i="5" s="1"/>
  <c r="P2394" i="5" a="1"/>
  <c r="P2394" i="5" s="1"/>
  <c r="P2395" i="5" a="1"/>
  <c r="P2395" i="5" s="1"/>
  <c r="P2396" i="5" a="1"/>
  <c r="P2396" i="5" s="1"/>
  <c r="P2397" i="5" a="1"/>
  <c r="P2397" i="5" s="1"/>
  <c r="P2398" i="5" a="1"/>
  <c r="P2398" i="5" s="1"/>
  <c r="P2399" i="5" a="1"/>
  <c r="P2399" i="5" s="1"/>
  <c r="P2400" i="5" a="1"/>
  <c r="P2400" i="5" s="1"/>
  <c r="P2401" i="5" a="1"/>
  <c r="P2401" i="5" s="1"/>
  <c r="P2402" i="5" a="1"/>
  <c r="P2402" i="5" s="1"/>
  <c r="P2403" i="5" a="1"/>
  <c r="P2403" i="5" s="1"/>
  <c r="P2404" i="5" a="1"/>
  <c r="P2404" i="5" s="1"/>
  <c r="P2405" i="5" a="1"/>
  <c r="P2405" i="5" s="1"/>
  <c r="P2406" i="5" a="1"/>
  <c r="P2406" i="5" s="1"/>
  <c r="P2407" i="5" a="1"/>
  <c r="P2407" i="5" s="1"/>
  <c r="P2408" i="5" a="1"/>
  <c r="P2408" i="5" s="1"/>
  <c r="P2409" i="5" a="1"/>
  <c r="P2409" i="5" s="1"/>
  <c r="P2410" i="5" a="1"/>
  <c r="P2410" i="5" s="1"/>
  <c r="P2411" i="5" a="1"/>
  <c r="P2411" i="5" s="1"/>
  <c r="P2412" i="5" a="1"/>
  <c r="P2412" i="5" s="1"/>
  <c r="P2413" i="5" a="1"/>
  <c r="P2413" i="5" s="1"/>
  <c r="P2414" i="5" a="1"/>
  <c r="P2414" i="5" s="1"/>
  <c r="P2415" i="5" a="1"/>
  <c r="P2415" i="5" s="1"/>
  <c r="P2416" i="5" a="1"/>
  <c r="P2416" i="5" s="1"/>
  <c r="P2417" i="5" a="1"/>
  <c r="P2417" i="5" s="1"/>
  <c r="P2418" i="5" a="1"/>
  <c r="P2418" i="5" s="1"/>
  <c r="P2419" i="5" a="1"/>
  <c r="P2419" i="5" s="1"/>
  <c r="P2420" i="5" a="1"/>
  <c r="P2420" i="5" s="1"/>
  <c r="P2421" i="5" a="1"/>
  <c r="P2421" i="5" s="1"/>
  <c r="P2422" i="5" a="1"/>
  <c r="P2422" i="5" s="1"/>
  <c r="P2423" i="5" a="1"/>
  <c r="P2423" i="5" s="1"/>
  <c r="P2424" i="5" a="1"/>
  <c r="P2424" i="5" s="1"/>
  <c r="P2425" i="5" a="1"/>
  <c r="P2425" i="5" s="1"/>
  <c r="P2426" i="5" a="1"/>
  <c r="P2426" i="5" s="1"/>
  <c r="P2427" i="5" a="1"/>
  <c r="P2427" i="5" s="1"/>
  <c r="P2428" i="5" a="1"/>
  <c r="P2428" i="5" s="1"/>
  <c r="P2429" i="5" a="1"/>
  <c r="P2429" i="5" s="1"/>
  <c r="P2430" i="5" a="1"/>
  <c r="P2430" i="5" s="1"/>
  <c r="P2431" i="5" a="1"/>
  <c r="P2431" i="5" s="1"/>
  <c r="P2432" i="5" a="1"/>
  <c r="P2432" i="5" s="1"/>
  <c r="P2433" i="5" a="1"/>
  <c r="P2433" i="5" s="1"/>
  <c r="P2434" i="5" a="1"/>
  <c r="P2434" i="5" s="1"/>
  <c r="P2435" i="5" a="1"/>
  <c r="P2435" i="5" s="1"/>
  <c r="P2436" i="5" a="1"/>
  <c r="P2436" i="5" s="1"/>
  <c r="P2437" i="5" a="1"/>
  <c r="P2437" i="5" s="1"/>
  <c r="P2438" i="5" a="1"/>
  <c r="P2438" i="5" s="1"/>
  <c r="P2439" i="5" a="1"/>
  <c r="P2439" i="5" s="1"/>
  <c r="P2440" i="5" a="1"/>
  <c r="P2440" i="5" s="1"/>
  <c r="P2441" i="5" a="1"/>
  <c r="P2441" i="5" s="1"/>
  <c r="P2442" i="5" a="1"/>
  <c r="P2442" i="5" s="1"/>
  <c r="P2443" i="5" a="1"/>
  <c r="P2443" i="5" s="1"/>
  <c r="P2444" i="5" a="1"/>
  <c r="P2444" i="5" s="1"/>
  <c r="P2445" i="5" a="1"/>
  <c r="P2445" i="5" s="1"/>
  <c r="P2446" i="5" a="1"/>
  <c r="P2446" i="5" s="1"/>
  <c r="P2447" i="5" a="1"/>
  <c r="P2447" i="5" s="1"/>
  <c r="P2448" i="5" a="1"/>
  <c r="P2448" i="5" s="1"/>
  <c r="P2449" i="5" a="1"/>
  <c r="P2449" i="5" s="1"/>
  <c r="P2450" i="5" a="1"/>
  <c r="P2450" i="5" s="1"/>
  <c r="P2451" i="5" a="1"/>
  <c r="P2451" i="5" s="1"/>
  <c r="P2452" i="5" a="1"/>
  <c r="P2452" i="5" s="1"/>
  <c r="P2453" i="5" a="1"/>
  <c r="P2453" i="5" s="1"/>
  <c r="P2454" i="5" a="1"/>
  <c r="P2454" i="5" s="1"/>
  <c r="P2455" i="5" a="1"/>
  <c r="P2455" i="5" s="1"/>
  <c r="P2456" i="5" a="1"/>
  <c r="P2456" i="5" s="1"/>
  <c r="P2457" i="5" a="1"/>
  <c r="P2457" i="5" s="1"/>
  <c r="P2458" i="5" a="1"/>
  <c r="P2458" i="5" s="1"/>
  <c r="P2459" i="5" a="1"/>
  <c r="P2459" i="5" s="1"/>
  <c r="P2460" i="5" a="1"/>
  <c r="P2460" i="5" s="1"/>
  <c r="P2461" i="5" a="1"/>
  <c r="P2461" i="5" s="1"/>
  <c r="P2462" i="5" a="1"/>
  <c r="P2462" i="5" s="1"/>
  <c r="P2463" i="5" a="1"/>
  <c r="P2463" i="5" s="1"/>
  <c r="P2464" i="5" a="1"/>
  <c r="P2464" i="5" s="1"/>
  <c r="P2465" i="5" a="1"/>
  <c r="P2465" i="5" s="1"/>
  <c r="P2466" i="5" a="1"/>
  <c r="P2466" i="5" s="1"/>
  <c r="P2467" i="5" a="1"/>
  <c r="P2467" i="5" s="1"/>
  <c r="P2468" i="5" a="1"/>
  <c r="P2468" i="5" s="1"/>
  <c r="P2469" i="5" a="1"/>
  <c r="P2469" i="5" s="1"/>
  <c r="P2470" i="5" a="1"/>
  <c r="P2470" i="5" s="1"/>
  <c r="P2471" i="5" a="1"/>
  <c r="P2471" i="5" s="1"/>
  <c r="P2472" i="5" a="1"/>
  <c r="P2472" i="5" s="1"/>
  <c r="P2473" i="5" a="1"/>
  <c r="P2473" i="5" s="1"/>
  <c r="P2474" i="5" a="1"/>
  <c r="P2474" i="5" s="1"/>
  <c r="P2475" i="5" a="1"/>
  <c r="P2475" i="5" s="1"/>
  <c r="P2476" i="5" a="1"/>
  <c r="P2476" i="5" s="1"/>
  <c r="P2477" i="5" a="1"/>
  <c r="P2477" i="5" s="1"/>
  <c r="P2478" i="5" a="1"/>
  <c r="P2478" i="5" s="1"/>
  <c r="P2479" i="5" a="1"/>
  <c r="P2479" i="5" s="1"/>
  <c r="P2480" i="5" a="1"/>
  <c r="P2480" i="5" s="1"/>
  <c r="P2481" i="5" a="1"/>
  <c r="P2481" i="5" s="1"/>
  <c r="P2482" i="5" a="1"/>
  <c r="P2482" i="5" s="1"/>
  <c r="P2483" i="5" a="1"/>
  <c r="P2483" i="5" s="1"/>
  <c r="P2484" i="5" a="1"/>
  <c r="P2484" i="5" s="1"/>
  <c r="P2485" i="5" a="1"/>
  <c r="P2485" i="5" s="1"/>
  <c r="P2486" i="5" a="1"/>
  <c r="P2486" i="5" s="1"/>
  <c r="P2487" i="5" a="1"/>
  <c r="P2487" i="5" s="1"/>
  <c r="P2488" i="5" a="1"/>
  <c r="P2488" i="5" s="1"/>
  <c r="P2489" i="5" a="1"/>
  <c r="P2489" i="5" s="1"/>
  <c r="P2490" i="5" a="1"/>
  <c r="P2490" i="5" s="1"/>
  <c r="P2491" i="5" a="1"/>
  <c r="P2491" i="5" s="1"/>
  <c r="P2492" i="5" a="1"/>
  <c r="P2492" i="5" s="1"/>
  <c r="P2493" i="5" a="1"/>
  <c r="P2493" i="5" s="1"/>
  <c r="P2494" i="5" a="1"/>
  <c r="P2494" i="5" s="1"/>
  <c r="P2495" i="5" a="1"/>
  <c r="P2495" i="5" s="1"/>
  <c r="P2496" i="5" a="1"/>
  <c r="P2496" i="5" s="1"/>
  <c r="P2497" i="5" a="1"/>
  <c r="P2497" i="5" s="1"/>
  <c r="P2498" i="5" a="1"/>
  <c r="P2498" i="5" s="1"/>
  <c r="P2499" i="5" a="1"/>
  <c r="P2499" i="5" s="1"/>
  <c r="P2500" i="5" a="1"/>
  <c r="P2500" i="5" s="1"/>
  <c r="P2501" i="5" a="1"/>
  <c r="P2501" i="5" s="1"/>
  <c r="P2502" i="5" a="1"/>
  <c r="P2502" i="5" s="1"/>
  <c r="P2503" i="5" a="1"/>
  <c r="P2503" i="5" s="1"/>
  <c r="P2504" i="5" a="1"/>
  <c r="P2504" i="5" s="1"/>
  <c r="P2505" i="5" a="1"/>
  <c r="P2505" i="5" s="1"/>
  <c r="P2506" i="5" a="1"/>
  <c r="P2506" i="5" s="1"/>
  <c r="P2507" i="5" a="1"/>
  <c r="P2507" i="5" s="1"/>
  <c r="P2508" i="5" a="1"/>
  <c r="P2508" i="5" s="1"/>
  <c r="P2509" i="5" a="1"/>
  <c r="P2509" i="5" s="1"/>
  <c r="P2510" i="5" a="1"/>
  <c r="P2510" i="5" s="1"/>
  <c r="P2511" i="5" a="1"/>
  <c r="P2511" i="5" s="1"/>
  <c r="P2512" i="5" a="1"/>
  <c r="P2512" i="5" s="1"/>
  <c r="P2513" i="5" a="1"/>
  <c r="P2513" i="5" s="1"/>
  <c r="P2514" i="5" a="1"/>
  <c r="P2514" i="5" s="1"/>
  <c r="P2515" i="5" a="1"/>
  <c r="P2515" i="5" s="1"/>
  <c r="P2516" i="5" a="1"/>
  <c r="P2516" i="5" s="1"/>
  <c r="P2517" i="5" a="1"/>
  <c r="P2517" i="5" s="1"/>
  <c r="P2518" i="5" a="1"/>
  <c r="P2518" i="5" s="1"/>
  <c r="P2519" i="5" a="1"/>
  <c r="P2519" i="5" s="1"/>
  <c r="P2520" i="5" a="1"/>
  <c r="P2520" i="5" s="1"/>
  <c r="P2521" i="5" a="1"/>
  <c r="P2521" i="5" s="1"/>
  <c r="P2522" i="5" a="1"/>
  <c r="P2522" i="5" s="1"/>
  <c r="P2523" i="5" a="1"/>
  <c r="P2523" i="5" s="1"/>
  <c r="P2524" i="5" a="1"/>
  <c r="P2524" i="5" s="1"/>
  <c r="P2525" i="5" a="1"/>
  <c r="P2525" i="5" s="1"/>
  <c r="P2526" i="5" a="1"/>
  <c r="P2526" i="5" s="1"/>
  <c r="P2527" i="5" a="1"/>
  <c r="P2527" i="5" s="1"/>
  <c r="P2528" i="5" a="1"/>
  <c r="P2528" i="5" s="1"/>
  <c r="P2529" i="5" a="1"/>
  <c r="P2529" i="5" s="1"/>
  <c r="P2530" i="5" a="1"/>
  <c r="P2530" i="5" s="1"/>
  <c r="P2531" i="5" a="1"/>
  <c r="P2531" i="5" s="1"/>
  <c r="P2532" i="5" a="1"/>
  <c r="P2532" i="5" s="1"/>
  <c r="P2533" i="5" a="1"/>
  <c r="P2533" i="5" s="1"/>
  <c r="P2534" i="5" a="1"/>
  <c r="P2534" i="5" s="1"/>
  <c r="P2535" i="5" a="1"/>
  <c r="P2535" i="5" s="1"/>
  <c r="P2536" i="5" a="1"/>
  <c r="P2536" i="5" s="1"/>
  <c r="P2537" i="5" a="1"/>
  <c r="P2537" i="5" s="1"/>
  <c r="P2538" i="5" a="1"/>
  <c r="P2538" i="5" s="1"/>
  <c r="P2539" i="5" a="1"/>
  <c r="P2539" i="5" s="1"/>
  <c r="P2540" i="5" a="1"/>
  <c r="P2540" i="5" s="1"/>
  <c r="P2541" i="5" a="1"/>
  <c r="P2541" i="5" s="1"/>
  <c r="P2542" i="5" a="1"/>
  <c r="P2542" i="5" s="1"/>
  <c r="P2543" i="5" a="1"/>
  <c r="P2543" i="5" s="1"/>
  <c r="P2544" i="5" a="1"/>
  <c r="P2544" i="5" s="1"/>
  <c r="P2545" i="5" a="1"/>
  <c r="P2545" i="5"/>
  <c r="P2546" i="5" a="1"/>
  <c r="P2546" i="5" s="1"/>
  <c r="P2547" i="5" a="1"/>
  <c r="P2547" i="5" s="1"/>
  <c r="P2548" i="5" a="1"/>
  <c r="P2548" i="5" s="1"/>
  <c r="P2549" i="5" a="1"/>
  <c r="P2549" i="5" s="1"/>
  <c r="P2550" i="5" a="1"/>
  <c r="P2550" i="5" s="1"/>
  <c r="P2551" i="5" a="1"/>
  <c r="P2551" i="5"/>
  <c r="P2552" i="5" a="1"/>
  <c r="P2552" i="5" s="1"/>
  <c r="P2553" i="5" a="1"/>
  <c r="P2553" i="5" s="1"/>
  <c r="P2554" i="5" a="1"/>
  <c r="P2554" i="5" s="1"/>
  <c r="P2555" i="5" a="1"/>
  <c r="P2555" i="5" s="1"/>
  <c r="P2556" i="5" a="1"/>
  <c r="P2556" i="5" s="1"/>
  <c r="P2557" i="5" a="1"/>
  <c r="P2557" i="5" s="1"/>
  <c r="P2558" i="5" a="1"/>
  <c r="P2558" i="5" s="1"/>
  <c r="P2559" i="5" a="1"/>
  <c r="P2559" i="5" s="1"/>
  <c r="P2560" i="5" a="1"/>
  <c r="P2560" i="5" s="1"/>
  <c r="P2561" i="5" a="1"/>
  <c r="P2561" i="5" s="1"/>
  <c r="P2562" i="5" a="1"/>
  <c r="P2562" i="5" s="1"/>
  <c r="P2563" i="5" a="1"/>
  <c r="P2563" i="5" s="1"/>
  <c r="P2564" i="5" a="1"/>
  <c r="P2564" i="5" s="1"/>
  <c r="P2565" i="5" a="1"/>
  <c r="P2565" i="5" s="1"/>
  <c r="P2566" i="5" a="1"/>
  <c r="P2566" i="5" s="1"/>
  <c r="P2567" i="5" a="1"/>
  <c r="P2567" i="5"/>
  <c r="P2568" i="5" a="1"/>
  <c r="P2568" i="5" s="1"/>
  <c r="P2569" i="5" a="1"/>
  <c r="P2569" i="5" s="1"/>
  <c r="P2570" i="5" a="1"/>
  <c r="P2570" i="5" s="1"/>
  <c r="P2571" i="5" a="1"/>
  <c r="P2571" i="5" s="1"/>
  <c r="P2572" i="5" a="1"/>
  <c r="P2572" i="5" s="1"/>
  <c r="P2573" i="5" a="1"/>
  <c r="P2573" i="5" s="1"/>
  <c r="P2574" i="5" a="1"/>
  <c r="P2574" i="5" s="1"/>
  <c r="P2575" i="5" a="1"/>
  <c r="P2575" i="5" s="1"/>
  <c r="P2576" i="5" a="1"/>
  <c r="P2576" i="5" s="1"/>
  <c r="P2577" i="5" a="1"/>
  <c r="P2577" i="5"/>
  <c r="P2578" i="5" a="1"/>
  <c r="P2578" i="5" s="1"/>
  <c r="P2579" i="5" a="1"/>
  <c r="P2579" i="5" s="1"/>
  <c r="P2580" i="5" a="1"/>
  <c r="P2580" i="5" s="1"/>
  <c r="P2581" i="5" a="1"/>
  <c r="P2581" i="5" s="1"/>
  <c r="P2582" i="5" a="1"/>
  <c r="P2582" i="5" s="1"/>
  <c r="P2583" i="5" a="1"/>
  <c r="P2583" i="5" s="1"/>
  <c r="P2584" i="5" a="1"/>
  <c r="P2584" i="5" s="1"/>
  <c r="P2585" i="5" a="1"/>
  <c r="P2585" i="5" s="1"/>
  <c r="P2586" i="5" a="1"/>
  <c r="P2586" i="5" s="1"/>
  <c r="P2587" i="5" a="1"/>
  <c r="P2587" i="5" s="1"/>
  <c r="P2588" i="5" a="1"/>
  <c r="P2588" i="5" s="1"/>
  <c r="P2589" i="5" a="1"/>
  <c r="P2589" i="5" s="1"/>
  <c r="P2590" i="5" a="1"/>
  <c r="P2590" i="5" s="1"/>
  <c r="P2591" i="5" a="1"/>
  <c r="P2591" i="5" s="1"/>
  <c r="P2592" i="5" a="1"/>
  <c r="P2592" i="5" s="1"/>
  <c r="P2593" i="5" a="1"/>
  <c r="P2593" i="5" s="1"/>
  <c r="P2594" i="5" a="1"/>
  <c r="P2594" i="5" s="1"/>
  <c r="P2595" i="5" a="1"/>
  <c r="P2595" i="5" s="1"/>
  <c r="P2596" i="5" a="1"/>
  <c r="P2596" i="5" s="1"/>
  <c r="P2597" i="5" a="1"/>
  <c r="P2597" i="5" s="1"/>
  <c r="P2598" i="5" a="1"/>
  <c r="P2598" i="5" s="1"/>
  <c r="P2599" i="5" a="1"/>
  <c r="P2599" i="5" s="1"/>
  <c r="P2600" i="5" a="1"/>
  <c r="P2600" i="5" s="1"/>
  <c r="P2601" i="5" a="1"/>
  <c r="P2601" i="5" s="1"/>
  <c r="P2602" i="5" a="1"/>
  <c r="P2602" i="5" s="1"/>
  <c r="P2603" i="5" a="1"/>
  <c r="P2603" i="5" s="1"/>
  <c r="P2604" i="5" a="1"/>
  <c r="P2604" i="5" s="1"/>
  <c r="P2605" i="5" a="1"/>
  <c r="P2605" i="5" s="1"/>
  <c r="P2606" i="5" a="1"/>
  <c r="P2606" i="5" s="1"/>
  <c r="P2607" i="5" a="1"/>
  <c r="P2607" i="5" s="1"/>
  <c r="P2608" i="5" a="1"/>
  <c r="P2608" i="5" s="1"/>
  <c r="P2609" i="5" a="1"/>
  <c r="P2609" i="5" s="1"/>
  <c r="P2610" i="5" a="1"/>
  <c r="P2610" i="5" s="1"/>
  <c r="P2611" i="5" a="1"/>
  <c r="P2611" i="5" s="1"/>
  <c r="P2612" i="5" a="1"/>
  <c r="P2612" i="5" s="1"/>
  <c r="P2613" i="5" a="1"/>
  <c r="P2613" i="5" s="1"/>
  <c r="P2614" i="5" a="1"/>
  <c r="P2614" i="5" s="1"/>
  <c r="P2615" i="5" a="1"/>
  <c r="P2615" i="5" s="1"/>
  <c r="P2616" i="5" a="1"/>
  <c r="P2616" i="5" s="1"/>
  <c r="P2617" i="5" a="1"/>
  <c r="P2617" i="5" s="1"/>
  <c r="P2618" i="5" a="1"/>
  <c r="P2618" i="5" s="1"/>
  <c r="P2619" i="5" a="1"/>
  <c r="P2619" i="5" s="1"/>
  <c r="P2620" i="5" a="1"/>
  <c r="P2620" i="5" s="1"/>
  <c r="P2621" i="5" a="1"/>
  <c r="P2621" i="5" s="1"/>
  <c r="P2622" i="5" a="1"/>
  <c r="P2622" i="5" s="1"/>
  <c r="P2623" i="5" a="1"/>
  <c r="P2623" i="5" s="1"/>
  <c r="P2624" i="5" a="1"/>
  <c r="P2624" i="5" s="1"/>
  <c r="P2625" i="5" a="1"/>
  <c r="P2625" i="5" s="1"/>
  <c r="P2626" i="5" a="1"/>
  <c r="P2626" i="5" s="1"/>
  <c r="P2627" i="5" a="1"/>
  <c r="P2627" i="5" s="1"/>
  <c r="P2628" i="5" a="1"/>
  <c r="P2628" i="5" s="1"/>
  <c r="P2629" i="5" a="1"/>
  <c r="P2629" i="5" s="1"/>
  <c r="P2630" i="5" a="1"/>
  <c r="P2630" i="5" s="1"/>
  <c r="P2631" i="5" a="1"/>
  <c r="P2631" i="5" s="1"/>
  <c r="P2632" i="5" a="1"/>
  <c r="P2632" i="5" s="1"/>
  <c r="P2633" i="5" a="1"/>
  <c r="P2633" i="5" s="1"/>
  <c r="P2634" i="5" a="1"/>
  <c r="P2634" i="5" s="1"/>
  <c r="P2635" i="5" a="1"/>
  <c r="P2635" i="5" s="1"/>
  <c r="P2636" i="5" a="1"/>
  <c r="P2636" i="5" s="1"/>
  <c r="P2637" i="5" a="1"/>
  <c r="P2637" i="5" s="1"/>
  <c r="P2638" i="5" a="1"/>
  <c r="P2638" i="5" s="1"/>
  <c r="P2639" i="5" a="1"/>
  <c r="P2639" i="5" s="1"/>
  <c r="P2640" i="5" a="1"/>
  <c r="P2640" i="5" s="1"/>
  <c r="P2641" i="5" a="1"/>
  <c r="P2641" i="5" s="1"/>
  <c r="P2642" i="5" a="1"/>
  <c r="P2642" i="5" s="1"/>
  <c r="P2643" i="5" a="1"/>
  <c r="P2643" i="5" s="1"/>
  <c r="P2644" i="5" a="1"/>
  <c r="P2644" i="5" s="1"/>
  <c r="P2645" i="5" a="1"/>
  <c r="P2645" i="5" s="1"/>
  <c r="P2646" i="5" a="1"/>
  <c r="P2646" i="5" s="1"/>
  <c r="P2647" i="5" a="1"/>
  <c r="P2647" i="5" s="1"/>
  <c r="P2648" i="5" a="1"/>
  <c r="P2648" i="5" s="1"/>
  <c r="P2649" i="5" a="1"/>
  <c r="P2649" i="5" s="1"/>
  <c r="P2650" i="5" a="1"/>
  <c r="P2650" i="5" s="1"/>
  <c r="P2651" i="5" a="1"/>
  <c r="P2651" i="5" s="1"/>
  <c r="P2652" i="5" a="1"/>
  <c r="P2652" i="5" s="1"/>
  <c r="P2653" i="5" a="1"/>
  <c r="P2653" i="5" s="1"/>
  <c r="P2654" i="5" a="1"/>
  <c r="P2654" i="5" s="1"/>
  <c r="P2655" i="5" a="1"/>
  <c r="P2655" i="5" s="1"/>
  <c r="P2656" i="5" a="1"/>
  <c r="P2656" i="5" s="1"/>
  <c r="P2657" i="5" a="1"/>
  <c r="P2657" i="5" s="1"/>
  <c r="P2658" i="5" a="1"/>
  <c r="P2658" i="5" s="1"/>
  <c r="P2659" i="5" a="1"/>
  <c r="P2659" i="5" s="1"/>
  <c r="P2660" i="5" a="1"/>
  <c r="P2660" i="5" s="1"/>
  <c r="P2661" i="5" a="1"/>
  <c r="P2661" i="5" s="1"/>
  <c r="P2662" i="5" a="1"/>
  <c r="P2662" i="5" s="1"/>
  <c r="P2663" i="5" a="1"/>
  <c r="P2663" i="5" s="1"/>
  <c r="P2664" i="5" a="1"/>
  <c r="P2664" i="5" s="1"/>
  <c r="P2665" i="5" a="1"/>
  <c r="P2665" i="5" s="1"/>
  <c r="P2666" i="5" a="1"/>
  <c r="P2666" i="5" s="1"/>
  <c r="P2667" i="5" a="1"/>
  <c r="P2667" i="5" s="1"/>
  <c r="P2668" i="5" a="1"/>
  <c r="P2668" i="5" s="1"/>
  <c r="P2669" i="5" a="1"/>
  <c r="P2669" i="5" s="1"/>
  <c r="P2670" i="5" a="1"/>
  <c r="P2670" i="5" s="1"/>
  <c r="P2671" i="5" a="1"/>
  <c r="P2671" i="5" s="1"/>
  <c r="P2672" i="5" a="1"/>
  <c r="P2672" i="5" s="1"/>
  <c r="P2673" i="5" a="1"/>
  <c r="P2673" i="5" s="1"/>
  <c r="P2674" i="5" a="1"/>
  <c r="P2674" i="5" s="1"/>
  <c r="P2675" i="5" a="1"/>
  <c r="P2675" i="5" s="1"/>
  <c r="P2676" i="5" a="1"/>
  <c r="P2676" i="5" s="1"/>
  <c r="P2677" i="5" a="1"/>
  <c r="P2677" i="5" s="1"/>
  <c r="P2678" i="5" a="1"/>
  <c r="P2678" i="5" s="1"/>
  <c r="P2679" i="5" a="1"/>
  <c r="P2679" i="5" s="1"/>
  <c r="P2680" i="5" a="1"/>
  <c r="P2680" i="5" s="1"/>
  <c r="P2681" i="5" a="1"/>
  <c r="P2681" i="5" s="1"/>
  <c r="P2682" i="5" a="1"/>
  <c r="P2682" i="5" s="1"/>
  <c r="P2683" i="5" a="1"/>
  <c r="P2683" i="5" s="1"/>
  <c r="P2684" i="5" a="1"/>
  <c r="P2684" i="5" s="1"/>
  <c r="P2685" i="5" a="1"/>
  <c r="P2685" i="5" s="1"/>
  <c r="P2686" i="5" a="1"/>
  <c r="P2686" i="5" s="1"/>
  <c r="P2687" i="5" a="1"/>
  <c r="P2687" i="5" s="1"/>
  <c r="P2688" i="5" a="1"/>
  <c r="P2688" i="5" s="1"/>
  <c r="P2689" i="5" a="1"/>
  <c r="P2689" i="5" s="1"/>
  <c r="P2690" i="5" a="1"/>
  <c r="P2690" i="5" s="1"/>
  <c r="P2691" i="5" a="1"/>
  <c r="P2691" i="5" s="1"/>
  <c r="P2692" i="5" a="1"/>
  <c r="P2692" i="5" s="1"/>
  <c r="P2693" i="5" a="1"/>
  <c r="P2693" i="5" s="1"/>
  <c r="P2694" i="5" a="1"/>
  <c r="P2694" i="5" s="1"/>
  <c r="P2695" i="5" a="1"/>
  <c r="P2695" i="5" s="1"/>
  <c r="P2696" i="5" a="1"/>
  <c r="P2696" i="5" s="1"/>
  <c r="P2697" i="5" a="1"/>
  <c r="P2697" i="5" s="1"/>
  <c r="P2698" i="5" a="1"/>
  <c r="P2698" i="5" s="1"/>
  <c r="P2699" i="5" a="1"/>
  <c r="P2699" i="5" s="1"/>
  <c r="P2700" i="5" a="1"/>
  <c r="P2700" i="5" s="1"/>
  <c r="P2701" i="5" a="1"/>
  <c r="P2701" i="5" s="1"/>
  <c r="P2702" i="5" a="1"/>
  <c r="P2702" i="5" s="1"/>
  <c r="P2703" i="5" a="1"/>
  <c r="P2703" i="5" s="1"/>
  <c r="P2704" i="5" a="1"/>
  <c r="P2704" i="5" s="1"/>
  <c r="P2705" i="5" a="1"/>
  <c r="P2705" i="5" s="1"/>
  <c r="P2706" i="5" a="1"/>
  <c r="P2706" i="5" s="1"/>
  <c r="P2707" i="5" a="1"/>
  <c r="P2707" i="5" s="1"/>
  <c r="P2708" i="5" a="1"/>
  <c r="P2708" i="5" s="1"/>
  <c r="P2709" i="5" a="1"/>
  <c r="P2709" i="5" s="1"/>
  <c r="P2710" i="5" a="1"/>
  <c r="P2710" i="5" s="1"/>
  <c r="P2711" i="5" a="1"/>
  <c r="P2711" i="5" s="1"/>
  <c r="P2712" i="5" a="1"/>
  <c r="P2712" i="5" s="1"/>
  <c r="P2713" i="5" a="1"/>
  <c r="P2713" i="5" s="1"/>
  <c r="P2714" i="5" a="1"/>
  <c r="P2714" i="5" s="1"/>
  <c r="P2715" i="5" a="1"/>
  <c r="P2715" i="5" s="1"/>
  <c r="P2716" i="5" a="1"/>
  <c r="P2716" i="5" s="1"/>
  <c r="P2717" i="5" a="1"/>
  <c r="P2717" i="5" s="1"/>
  <c r="P2718" i="5" a="1"/>
  <c r="P2718" i="5" s="1"/>
  <c r="P2719" i="5" a="1"/>
  <c r="P2719" i="5" s="1"/>
  <c r="P2720" i="5" a="1"/>
  <c r="P2720" i="5" s="1"/>
  <c r="P2721" i="5" a="1"/>
  <c r="P2721" i="5" s="1"/>
  <c r="P2722" i="5" a="1"/>
  <c r="P2722" i="5" s="1"/>
  <c r="P2723" i="5" a="1"/>
  <c r="P2723" i="5" s="1"/>
  <c r="P2724" i="5" a="1"/>
  <c r="P2724" i="5" s="1"/>
  <c r="P2725" i="5" a="1"/>
  <c r="P2725" i="5" s="1"/>
  <c r="P2726" i="5" a="1"/>
  <c r="P2726" i="5" s="1"/>
  <c r="P2727" i="5" a="1"/>
  <c r="P2727" i="5" s="1"/>
  <c r="P2728" i="5" a="1"/>
  <c r="P2728" i="5" s="1"/>
  <c r="P2729" i="5" a="1"/>
  <c r="P2729" i="5" s="1"/>
  <c r="P2730" i="5" a="1"/>
  <c r="P2730" i="5" s="1"/>
  <c r="P2731" i="5" a="1"/>
  <c r="P2731" i="5" s="1"/>
  <c r="P2732" i="5" a="1"/>
  <c r="P2732" i="5" s="1"/>
  <c r="P2733" i="5" a="1"/>
  <c r="P2733" i="5" s="1"/>
  <c r="P2734" i="5" a="1"/>
  <c r="P2734" i="5" s="1"/>
  <c r="P2735" i="5" a="1"/>
  <c r="P2735" i="5" s="1"/>
  <c r="P2736" i="5" a="1"/>
  <c r="P2736" i="5" s="1"/>
  <c r="P2737" i="5" a="1"/>
  <c r="P2737" i="5" s="1"/>
  <c r="P2738" i="5" a="1"/>
  <c r="P2738" i="5" s="1"/>
  <c r="P2739" i="5" a="1"/>
  <c r="P2739" i="5" s="1"/>
  <c r="P2740" i="5" a="1"/>
  <c r="P2740" i="5" s="1"/>
  <c r="P2741" i="5" a="1"/>
  <c r="P2741" i="5" s="1"/>
  <c r="P2742" i="5" a="1"/>
  <c r="P2742" i="5" s="1"/>
  <c r="P2743" i="5" a="1"/>
  <c r="P2743" i="5" s="1"/>
  <c r="P2744" i="5" a="1"/>
  <c r="P2744" i="5" s="1"/>
  <c r="P2745" i="5" a="1"/>
  <c r="P2745" i="5" s="1"/>
  <c r="P2746" i="5" a="1"/>
  <c r="P2746" i="5" s="1"/>
  <c r="P2747" i="5" a="1"/>
  <c r="P2747" i="5" s="1"/>
  <c r="P2748" i="5" a="1"/>
  <c r="P2748" i="5" s="1"/>
  <c r="P2749" i="5" a="1"/>
  <c r="P2749" i="5" s="1"/>
  <c r="P2750" i="5" a="1"/>
  <c r="P2750" i="5" s="1"/>
  <c r="P2751" i="5" a="1"/>
  <c r="P2751" i="5" s="1"/>
  <c r="P2752" i="5" a="1"/>
  <c r="P2752" i="5" s="1"/>
  <c r="P2753" i="5" a="1"/>
  <c r="P2753" i="5" s="1"/>
  <c r="P2754" i="5" a="1"/>
  <c r="P2754" i="5" s="1"/>
  <c r="P2755" i="5" a="1"/>
  <c r="P2755" i="5" s="1"/>
  <c r="P2756" i="5" a="1"/>
  <c r="P2756" i="5" s="1"/>
  <c r="P2757" i="5" a="1"/>
  <c r="P2757" i="5" s="1"/>
  <c r="P2758" i="5" a="1"/>
  <c r="P2758" i="5" s="1"/>
  <c r="P2759" i="5" a="1"/>
  <c r="P2759" i="5" s="1"/>
  <c r="P2760" i="5" a="1"/>
  <c r="P2760" i="5" s="1"/>
  <c r="P2761" i="5" a="1"/>
  <c r="P2761" i="5" s="1"/>
  <c r="P2762" i="5" a="1"/>
  <c r="P2762" i="5" s="1"/>
  <c r="P2763" i="5" a="1"/>
  <c r="P2763" i="5" s="1"/>
  <c r="P2764" i="5" a="1"/>
  <c r="P2764" i="5" s="1"/>
  <c r="P2765" i="5" a="1"/>
  <c r="P2765" i="5" s="1"/>
  <c r="P2766" i="5" a="1"/>
  <c r="P2766" i="5" s="1"/>
  <c r="P2767" i="5" a="1"/>
  <c r="P2767" i="5" s="1"/>
  <c r="P2768" i="5" a="1"/>
  <c r="P2768" i="5" s="1"/>
  <c r="P2769" i="5" a="1"/>
  <c r="P2769" i="5" s="1"/>
  <c r="P2770" i="5" a="1"/>
  <c r="P2770" i="5" s="1"/>
  <c r="P2771" i="5" a="1"/>
  <c r="P2771" i="5" s="1"/>
  <c r="P2772" i="5" a="1"/>
  <c r="P2772" i="5" s="1"/>
  <c r="P2773" i="5" a="1"/>
  <c r="P2773" i="5" s="1"/>
  <c r="P2774" i="5" a="1"/>
  <c r="P2774" i="5" s="1"/>
  <c r="P2775" i="5" a="1"/>
  <c r="P2775" i="5" s="1"/>
  <c r="P2776" i="5" a="1"/>
  <c r="P2776" i="5" s="1"/>
  <c r="P2777" i="5" a="1"/>
  <c r="P2777" i="5" s="1"/>
  <c r="P2778" i="5" a="1"/>
  <c r="P2778" i="5" s="1"/>
  <c r="P2779" i="5" a="1"/>
  <c r="P2779" i="5" s="1"/>
  <c r="P2780" i="5" a="1"/>
  <c r="P2780" i="5" s="1"/>
  <c r="P2781" i="5" a="1"/>
  <c r="P2781" i="5" s="1"/>
  <c r="P2782" i="5" a="1"/>
  <c r="P2782" i="5" s="1"/>
  <c r="P2783" i="5" a="1"/>
  <c r="P2783" i="5" s="1"/>
  <c r="P2784" i="5" a="1"/>
  <c r="P2784" i="5" s="1"/>
  <c r="P2785" i="5" a="1"/>
  <c r="P2785" i="5" s="1"/>
  <c r="P2786" i="5" a="1"/>
  <c r="P2786" i="5" s="1"/>
  <c r="P2787" i="5" a="1"/>
  <c r="P2787" i="5" s="1"/>
  <c r="P2788" i="5" a="1"/>
  <c r="P2788" i="5" s="1"/>
  <c r="P2789" i="5" a="1"/>
  <c r="P2789" i="5" s="1"/>
  <c r="P2790" i="5" a="1"/>
  <c r="P2790" i="5" s="1"/>
  <c r="P2791" i="5" a="1"/>
  <c r="P2791" i="5" s="1"/>
  <c r="P2792" i="5" a="1"/>
  <c r="P2792" i="5" s="1"/>
  <c r="P2793" i="5" a="1"/>
  <c r="P2793" i="5" s="1"/>
  <c r="P2794" i="5" a="1"/>
  <c r="P2794" i="5" s="1"/>
  <c r="P2795" i="5" a="1"/>
  <c r="P2795" i="5" s="1"/>
  <c r="P2796" i="5" a="1"/>
  <c r="P2796" i="5" s="1"/>
  <c r="P2797" i="5" a="1"/>
  <c r="P2797" i="5" s="1"/>
  <c r="P2798" i="5" a="1"/>
  <c r="P2798" i="5" s="1"/>
  <c r="P2799" i="5" a="1"/>
  <c r="P2799" i="5" s="1"/>
  <c r="P2800" i="5" a="1"/>
  <c r="P2800" i="5" s="1"/>
  <c r="P2801" i="5" a="1"/>
  <c r="P2801" i="5"/>
  <c r="O3" i="5" a="1"/>
  <c r="O3" i="5" s="1"/>
  <c r="O2" i="5" a="1"/>
  <c r="O2" i="5" s="1"/>
  <c r="O4" i="5" a="1"/>
  <c r="O4" i="5" s="1"/>
  <c r="O5" i="5" a="1"/>
  <c r="O5" i="5" s="1"/>
  <c r="O6" i="5" a="1"/>
  <c r="O6" i="5" s="1"/>
  <c r="O7" i="5" a="1"/>
  <c r="O7" i="5" s="1"/>
  <c r="O8" i="5" a="1"/>
  <c r="O8" i="5" s="1"/>
  <c r="O9" i="5" a="1"/>
  <c r="O9" i="5" s="1"/>
  <c r="O10" i="5" a="1"/>
  <c r="O10" i="5" s="1"/>
  <c r="O11" i="5" a="1"/>
  <c r="O11" i="5" s="1"/>
  <c r="O12" i="5" a="1"/>
  <c r="O12" i="5" s="1"/>
  <c r="O13" i="5" a="1"/>
  <c r="O13" i="5" s="1"/>
  <c r="O14" i="5" a="1"/>
  <c r="O14" i="5" s="1"/>
  <c r="O15" i="5" a="1"/>
  <c r="O15" i="5" s="1"/>
  <c r="O16" i="5" a="1"/>
  <c r="O16" i="5" s="1"/>
  <c r="O17" i="5" a="1"/>
  <c r="O17" i="5" s="1"/>
  <c r="O18" i="5" a="1"/>
  <c r="O18" i="5" s="1"/>
  <c r="O19" i="5" a="1"/>
  <c r="O19" i="5" s="1"/>
  <c r="O20" i="5" a="1"/>
  <c r="O20" i="5" s="1"/>
  <c r="O21" i="5" a="1"/>
  <c r="O21" i="5" s="1"/>
  <c r="O22" i="5" a="1"/>
  <c r="O22" i="5" s="1"/>
  <c r="O23" i="5" a="1"/>
  <c r="O23" i="5" s="1"/>
  <c r="O24" i="5" a="1"/>
  <c r="O24" i="5" s="1"/>
  <c r="O25" i="5" a="1"/>
  <c r="O25" i="5" s="1"/>
  <c r="O26" i="5" a="1"/>
  <c r="O26" i="5" s="1"/>
  <c r="O27" i="5" a="1"/>
  <c r="O27" i="5" s="1"/>
  <c r="O28" i="5" a="1"/>
  <c r="O28" i="5" s="1"/>
  <c r="O29" i="5" a="1"/>
  <c r="O29" i="5" s="1"/>
  <c r="O30" i="5" a="1"/>
  <c r="O30" i="5" s="1"/>
  <c r="O31" i="5" a="1"/>
  <c r="O31" i="5" s="1"/>
  <c r="O32" i="5" a="1"/>
  <c r="O32" i="5" s="1"/>
  <c r="O33" i="5" a="1"/>
  <c r="O33" i="5" s="1"/>
  <c r="O34" i="5" a="1"/>
  <c r="O34" i="5" s="1"/>
  <c r="O35" i="5" a="1"/>
  <c r="O35" i="5" s="1"/>
  <c r="O36" i="5" a="1"/>
  <c r="O36" i="5" s="1"/>
  <c r="O37" i="5" a="1"/>
  <c r="O37" i="5" s="1"/>
  <c r="O38" i="5" a="1"/>
  <c r="O38" i="5" s="1"/>
  <c r="O39" i="5" a="1"/>
  <c r="O39" i="5" s="1"/>
  <c r="O40" i="5" a="1"/>
  <c r="O40" i="5" s="1"/>
  <c r="O41" i="5" a="1"/>
  <c r="O41" i="5" s="1"/>
  <c r="O42" i="5" a="1"/>
  <c r="O42" i="5" s="1"/>
  <c r="O43" i="5" a="1"/>
  <c r="O43" i="5" s="1"/>
  <c r="O44" i="5" a="1"/>
  <c r="O44" i="5" s="1"/>
  <c r="O45" i="5" a="1"/>
  <c r="O45" i="5" s="1"/>
  <c r="O46" i="5" a="1"/>
  <c r="O46" i="5" s="1"/>
  <c r="O47" i="5" a="1"/>
  <c r="O47" i="5" s="1"/>
  <c r="O48" i="5" a="1"/>
  <c r="O48" i="5" s="1"/>
  <c r="O49" i="5" a="1"/>
  <c r="O49" i="5" s="1"/>
  <c r="O50" i="5" a="1"/>
  <c r="O50" i="5" s="1"/>
  <c r="O51" i="5" a="1"/>
  <c r="O51" i="5" s="1"/>
  <c r="O52" i="5" a="1"/>
  <c r="O52" i="5" s="1"/>
  <c r="O53" i="5" a="1"/>
  <c r="O53" i="5" s="1"/>
  <c r="O54" i="5" a="1"/>
  <c r="O54" i="5" s="1"/>
  <c r="O55" i="5" a="1"/>
  <c r="O55" i="5" s="1"/>
  <c r="O56" i="5" a="1"/>
  <c r="O56" i="5" s="1"/>
  <c r="O57" i="5" a="1"/>
  <c r="O57" i="5" s="1"/>
  <c r="O58" i="5" a="1"/>
  <c r="O58" i="5" s="1"/>
  <c r="O59" i="5" a="1"/>
  <c r="O59" i="5" s="1"/>
  <c r="O60" i="5" a="1"/>
  <c r="O60" i="5" s="1"/>
  <c r="O61" i="5" a="1"/>
  <c r="O61" i="5" s="1"/>
  <c r="O62" i="5" a="1"/>
  <c r="O62" i="5" s="1"/>
  <c r="O63" i="5" a="1"/>
  <c r="O63" i="5" s="1"/>
  <c r="O64" i="5" a="1"/>
  <c r="O64" i="5" s="1"/>
  <c r="O65" i="5" a="1"/>
  <c r="O65" i="5" s="1"/>
  <c r="O66" i="5" a="1"/>
  <c r="O66" i="5" s="1"/>
  <c r="O67" i="5" a="1"/>
  <c r="O67" i="5" s="1"/>
  <c r="O68" i="5" a="1"/>
  <c r="O68" i="5" s="1"/>
  <c r="O69" i="5" a="1"/>
  <c r="O69" i="5" s="1"/>
  <c r="O70" i="5" a="1"/>
  <c r="O70" i="5" s="1"/>
  <c r="O71" i="5" a="1"/>
  <c r="O71" i="5" s="1"/>
  <c r="O72" i="5" a="1"/>
  <c r="O72" i="5" s="1"/>
  <c r="O73" i="5" a="1"/>
  <c r="O73" i="5" s="1"/>
  <c r="O74" i="5" a="1"/>
  <c r="O74" i="5" s="1"/>
  <c r="O75" i="5" a="1"/>
  <c r="O75" i="5" s="1"/>
  <c r="O76" i="5" a="1"/>
  <c r="O76" i="5" s="1"/>
  <c r="O77" i="5" a="1"/>
  <c r="O77" i="5" s="1"/>
  <c r="O78" i="5" a="1"/>
  <c r="O78" i="5" s="1"/>
  <c r="O79" i="5" a="1"/>
  <c r="O79" i="5" s="1"/>
  <c r="O80" i="5" a="1"/>
  <c r="O80" i="5" s="1"/>
  <c r="O81" i="5" a="1"/>
  <c r="O81" i="5" s="1"/>
  <c r="O82" i="5" a="1"/>
  <c r="O82" i="5" s="1"/>
  <c r="O83" i="5" a="1"/>
  <c r="O83" i="5" s="1"/>
  <c r="O84" i="5" a="1"/>
  <c r="O84" i="5" s="1"/>
  <c r="O85" i="5" a="1"/>
  <c r="O85" i="5" s="1"/>
  <c r="O86" i="5" a="1"/>
  <c r="O86" i="5" s="1"/>
  <c r="O87" i="5" a="1"/>
  <c r="O87" i="5" s="1"/>
  <c r="O88" i="5" a="1"/>
  <c r="O88" i="5" s="1"/>
  <c r="O89" i="5" a="1"/>
  <c r="O89" i="5" s="1"/>
  <c r="O90" i="5" a="1"/>
  <c r="O90" i="5" s="1"/>
  <c r="O91" i="5" a="1"/>
  <c r="O91" i="5" s="1"/>
  <c r="O92" i="5" a="1"/>
  <c r="O92" i="5" s="1"/>
  <c r="O93" i="5" a="1"/>
  <c r="O93" i="5" s="1"/>
  <c r="O94" i="5" a="1"/>
  <c r="O94" i="5" s="1"/>
  <c r="O95" i="5" a="1"/>
  <c r="O95" i="5" s="1"/>
  <c r="O96" i="5" a="1"/>
  <c r="O96" i="5" s="1"/>
  <c r="O97" i="5" a="1"/>
  <c r="O97" i="5" s="1"/>
  <c r="O98" i="5" a="1"/>
  <c r="O98" i="5" s="1"/>
  <c r="O99" i="5" a="1"/>
  <c r="O99" i="5" s="1"/>
  <c r="O100" i="5" a="1"/>
  <c r="O100" i="5" s="1"/>
  <c r="O101" i="5" a="1"/>
  <c r="O101" i="5" s="1"/>
  <c r="O102" i="5" a="1"/>
  <c r="O102" i="5" s="1"/>
  <c r="O103" i="5" a="1"/>
  <c r="O103" i="5" s="1"/>
  <c r="O104" i="5" a="1"/>
  <c r="O104" i="5" s="1"/>
  <c r="O105" i="5" a="1"/>
  <c r="O105" i="5" s="1"/>
  <c r="O106" i="5" a="1"/>
  <c r="O106" i="5" s="1"/>
  <c r="O107" i="5" a="1"/>
  <c r="O107" i="5" s="1"/>
  <c r="O108" i="5" a="1"/>
  <c r="O108" i="5" s="1"/>
  <c r="O109" i="5" a="1"/>
  <c r="O109" i="5" s="1"/>
  <c r="O110" i="5" a="1"/>
  <c r="O110" i="5" s="1"/>
  <c r="O111" i="5" a="1"/>
  <c r="O111" i="5" s="1"/>
  <c r="O112" i="5" a="1"/>
  <c r="O112" i="5" s="1"/>
  <c r="O113" i="5" a="1"/>
  <c r="O113" i="5" s="1"/>
  <c r="O114" i="5" a="1"/>
  <c r="O114" i="5" s="1"/>
  <c r="O115" i="5" a="1"/>
  <c r="O115" i="5" s="1"/>
  <c r="O116" i="5" a="1"/>
  <c r="O116" i="5" s="1"/>
  <c r="O117" i="5" a="1"/>
  <c r="O117" i="5" s="1"/>
  <c r="O118" i="5" a="1"/>
  <c r="O118" i="5" s="1"/>
  <c r="O119" i="5" a="1"/>
  <c r="O119" i="5" s="1"/>
  <c r="O120" i="5" a="1"/>
  <c r="O120" i="5" s="1"/>
  <c r="O121" i="5" a="1"/>
  <c r="O121" i="5" s="1"/>
  <c r="O122" i="5" a="1"/>
  <c r="O122" i="5" s="1"/>
  <c r="O123" i="5" a="1"/>
  <c r="O123" i="5" s="1"/>
  <c r="O124" i="5" a="1"/>
  <c r="O124" i="5" s="1"/>
  <c r="O125" i="5" a="1"/>
  <c r="O125" i="5" s="1"/>
  <c r="O126" i="5" a="1"/>
  <c r="O126" i="5" s="1"/>
  <c r="O127" i="5" a="1"/>
  <c r="O127" i="5" s="1"/>
  <c r="O128" i="5" a="1"/>
  <c r="O128" i="5" s="1"/>
  <c r="O129" i="5" a="1"/>
  <c r="O129" i="5" s="1"/>
  <c r="O130" i="5" a="1"/>
  <c r="O130" i="5" s="1"/>
  <c r="O131" i="5" a="1"/>
  <c r="O131" i="5" s="1"/>
  <c r="O132" i="5" a="1"/>
  <c r="O132" i="5" s="1"/>
  <c r="O133" i="5" a="1"/>
  <c r="O133" i="5" s="1"/>
  <c r="O134" i="5" a="1"/>
  <c r="O134" i="5" s="1"/>
  <c r="O135" i="5" a="1"/>
  <c r="O135" i="5" s="1"/>
  <c r="O136" i="5" a="1"/>
  <c r="O136" i="5" s="1"/>
  <c r="O137" i="5" a="1"/>
  <c r="O137" i="5" s="1"/>
  <c r="O138" i="5" a="1"/>
  <c r="O138" i="5" s="1"/>
  <c r="O139" i="5" a="1"/>
  <c r="O139" i="5" s="1"/>
  <c r="O140" i="5" a="1"/>
  <c r="O140" i="5" s="1"/>
  <c r="O141" i="5" a="1"/>
  <c r="O141" i="5" s="1"/>
  <c r="O142" i="5" a="1"/>
  <c r="O142" i="5" s="1"/>
  <c r="O143" i="5" a="1"/>
  <c r="O143" i="5" s="1"/>
  <c r="O144" i="5" a="1"/>
  <c r="O144" i="5" s="1"/>
  <c r="O145" i="5" a="1"/>
  <c r="O145" i="5" s="1"/>
  <c r="O146" i="5" a="1"/>
  <c r="O146" i="5" s="1"/>
  <c r="O147" i="5" a="1"/>
  <c r="O147" i="5" s="1"/>
  <c r="O148" i="5" a="1"/>
  <c r="O148" i="5" s="1"/>
  <c r="O149" i="5" a="1"/>
  <c r="O149" i="5" s="1"/>
  <c r="O150" i="5" a="1"/>
  <c r="O150" i="5" s="1"/>
  <c r="O151" i="5" a="1"/>
  <c r="O151" i="5" s="1"/>
  <c r="O152" i="5" a="1"/>
  <c r="O152" i="5" s="1"/>
  <c r="O153" i="5" a="1"/>
  <c r="O153" i="5" s="1"/>
  <c r="O154" i="5" a="1"/>
  <c r="O154" i="5" s="1"/>
  <c r="O155" i="5" a="1"/>
  <c r="O155" i="5" s="1"/>
  <c r="O156" i="5" a="1"/>
  <c r="O156" i="5" s="1"/>
  <c r="O157" i="5" a="1"/>
  <c r="O157" i="5" s="1"/>
  <c r="O158" i="5" a="1"/>
  <c r="O158" i="5" s="1"/>
  <c r="O159" i="5" a="1"/>
  <c r="O159" i="5" s="1"/>
  <c r="O160" i="5" a="1"/>
  <c r="O160" i="5" s="1"/>
  <c r="O161" i="5" a="1"/>
  <c r="O161" i="5" s="1"/>
  <c r="O162" i="5" a="1"/>
  <c r="O162" i="5" s="1"/>
  <c r="O163" i="5" a="1"/>
  <c r="O163" i="5" s="1"/>
  <c r="O164" i="5" a="1"/>
  <c r="O164" i="5" s="1"/>
  <c r="O165" i="5" a="1"/>
  <c r="O165" i="5" s="1"/>
  <c r="O166" i="5" a="1"/>
  <c r="O166" i="5" s="1"/>
  <c r="O167" i="5" a="1"/>
  <c r="O167" i="5" s="1"/>
  <c r="O168" i="5" a="1"/>
  <c r="O168" i="5" s="1"/>
  <c r="O169" i="5" a="1"/>
  <c r="O169" i="5" s="1"/>
  <c r="O170" i="5" a="1"/>
  <c r="O170" i="5" s="1"/>
  <c r="O171" i="5" a="1"/>
  <c r="O171" i="5" s="1"/>
  <c r="O172" i="5" a="1"/>
  <c r="O172" i="5" s="1"/>
  <c r="O173" i="5" a="1"/>
  <c r="O173" i="5" s="1"/>
  <c r="O174" i="5" a="1"/>
  <c r="O174" i="5" s="1"/>
  <c r="O175" i="5" a="1"/>
  <c r="O175" i="5" s="1"/>
  <c r="O176" i="5" a="1"/>
  <c r="O176" i="5" s="1"/>
  <c r="O177" i="5" a="1"/>
  <c r="O177" i="5" s="1"/>
  <c r="O178" i="5" a="1"/>
  <c r="O178" i="5" s="1"/>
  <c r="O179" i="5" a="1"/>
  <c r="O179" i="5" s="1"/>
  <c r="O180" i="5" a="1"/>
  <c r="O180" i="5" s="1"/>
  <c r="O181" i="5" a="1"/>
  <c r="O181" i="5" s="1"/>
  <c r="O182" i="5" a="1"/>
  <c r="O182" i="5" s="1"/>
  <c r="O183" i="5" a="1"/>
  <c r="O183" i="5" s="1"/>
  <c r="O184" i="5" a="1"/>
  <c r="O184" i="5" s="1"/>
  <c r="O185" i="5" a="1"/>
  <c r="O185" i="5" s="1"/>
  <c r="O186" i="5" a="1"/>
  <c r="O186" i="5" s="1"/>
  <c r="O187" i="5" a="1"/>
  <c r="O187" i="5" s="1"/>
  <c r="O188" i="5" a="1"/>
  <c r="O188" i="5" s="1"/>
  <c r="O189" i="5" a="1"/>
  <c r="O189" i="5" s="1"/>
  <c r="O190" i="5" a="1"/>
  <c r="O190" i="5" s="1"/>
  <c r="O191" i="5" a="1"/>
  <c r="O191" i="5" s="1"/>
  <c r="O192" i="5" a="1"/>
  <c r="O192" i="5" s="1"/>
  <c r="O193" i="5" a="1"/>
  <c r="O193" i="5" s="1"/>
  <c r="O194" i="5" a="1"/>
  <c r="O194" i="5" s="1"/>
  <c r="O195" i="5" a="1"/>
  <c r="O195" i="5" s="1"/>
  <c r="O196" i="5" a="1"/>
  <c r="O196" i="5" s="1"/>
  <c r="O197" i="5" a="1"/>
  <c r="O197" i="5" s="1"/>
  <c r="O198" i="5" a="1"/>
  <c r="O198" i="5" s="1"/>
  <c r="O199" i="5" a="1"/>
  <c r="O199" i="5" s="1"/>
  <c r="O200" i="5" a="1"/>
  <c r="O200" i="5" s="1"/>
  <c r="O201" i="5" a="1"/>
  <c r="O201" i="5" s="1"/>
  <c r="O202" i="5" a="1"/>
  <c r="O202" i="5" s="1"/>
  <c r="O203" i="5" a="1"/>
  <c r="O203" i="5" s="1"/>
  <c r="O204" i="5" a="1"/>
  <c r="O204" i="5" s="1"/>
  <c r="O205" i="5" a="1"/>
  <c r="O205" i="5" s="1"/>
  <c r="O206" i="5" a="1"/>
  <c r="O206" i="5" s="1"/>
  <c r="O207" i="5" a="1"/>
  <c r="O207" i="5" s="1"/>
  <c r="O208" i="5" a="1"/>
  <c r="O208" i="5" s="1"/>
  <c r="O209" i="5" a="1"/>
  <c r="O209" i="5" s="1"/>
  <c r="O210" i="5" a="1"/>
  <c r="O210" i="5" s="1"/>
  <c r="O211" i="5" a="1"/>
  <c r="O211" i="5" s="1"/>
  <c r="O212" i="5" a="1"/>
  <c r="O212" i="5" s="1"/>
  <c r="O213" i="5" a="1"/>
  <c r="O213" i="5" s="1"/>
  <c r="O214" i="5" a="1"/>
  <c r="O214" i="5" s="1"/>
  <c r="O215" i="5" a="1"/>
  <c r="O215" i="5" s="1"/>
  <c r="O216" i="5" a="1"/>
  <c r="O216" i="5" s="1"/>
  <c r="O217" i="5" a="1"/>
  <c r="O217" i="5" s="1"/>
  <c r="O218" i="5" a="1"/>
  <c r="O218" i="5" s="1"/>
  <c r="O219" i="5" a="1"/>
  <c r="O219" i="5" s="1"/>
  <c r="O220" i="5" a="1"/>
  <c r="O220" i="5" s="1"/>
  <c r="O221" i="5" a="1"/>
  <c r="O221" i="5" s="1"/>
  <c r="O222" i="5" a="1"/>
  <c r="O222" i="5" s="1"/>
  <c r="O223" i="5" a="1"/>
  <c r="O223" i="5" s="1"/>
  <c r="O224" i="5" a="1"/>
  <c r="O224" i="5" s="1"/>
  <c r="O225" i="5" a="1"/>
  <c r="O225" i="5" s="1"/>
  <c r="O226" i="5" a="1"/>
  <c r="O226" i="5" s="1"/>
  <c r="O227" i="5" a="1"/>
  <c r="O227" i="5" s="1"/>
  <c r="O228" i="5" a="1"/>
  <c r="O228" i="5" s="1"/>
  <c r="O229" i="5" a="1"/>
  <c r="O229" i="5" s="1"/>
  <c r="O230" i="5" a="1"/>
  <c r="O230" i="5" s="1"/>
  <c r="O231" i="5" a="1"/>
  <c r="O231" i="5" s="1"/>
  <c r="O232" i="5" a="1"/>
  <c r="O232" i="5" s="1"/>
  <c r="O233" i="5" a="1"/>
  <c r="O233" i="5" s="1"/>
  <c r="O234" i="5" a="1"/>
  <c r="O234" i="5" s="1"/>
  <c r="O235" i="5" a="1"/>
  <c r="O235" i="5" s="1"/>
  <c r="O236" i="5" a="1"/>
  <c r="O236" i="5" s="1"/>
  <c r="O237" i="5" a="1"/>
  <c r="O237" i="5" s="1"/>
  <c r="O238" i="5" a="1"/>
  <c r="O238" i="5" s="1"/>
  <c r="O239" i="5" a="1"/>
  <c r="O239" i="5" s="1"/>
  <c r="O240" i="5" a="1"/>
  <c r="O240" i="5" s="1"/>
  <c r="O241" i="5" a="1"/>
  <c r="O241" i="5" s="1"/>
  <c r="O242" i="5" a="1"/>
  <c r="O242" i="5" s="1"/>
  <c r="O243" i="5" a="1"/>
  <c r="O243" i="5" s="1"/>
  <c r="O244" i="5" a="1"/>
  <c r="O244" i="5" s="1"/>
  <c r="O245" i="5" a="1"/>
  <c r="O245" i="5" s="1"/>
  <c r="O246" i="5" a="1"/>
  <c r="O246" i="5" s="1"/>
  <c r="O247" i="5" a="1"/>
  <c r="O247" i="5" s="1"/>
  <c r="O248" i="5" a="1"/>
  <c r="O248" i="5" s="1"/>
  <c r="O249" i="5" a="1"/>
  <c r="O249" i="5" s="1"/>
  <c r="O250" i="5" a="1"/>
  <c r="O250" i="5" s="1"/>
  <c r="O251" i="5" a="1"/>
  <c r="O251" i="5" s="1"/>
  <c r="O252" i="5" a="1"/>
  <c r="O252" i="5" s="1"/>
  <c r="O253" i="5" a="1"/>
  <c r="O253" i="5" s="1"/>
  <c r="O254" i="5" a="1"/>
  <c r="O254" i="5" s="1"/>
  <c r="O255" i="5" a="1"/>
  <c r="O255" i="5" s="1"/>
  <c r="O256" i="5" a="1"/>
  <c r="O256" i="5" s="1"/>
  <c r="O257" i="5" a="1"/>
  <c r="O257" i="5" s="1"/>
  <c r="O258" i="5" a="1"/>
  <c r="O258" i="5" s="1"/>
  <c r="O259" i="5" a="1"/>
  <c r="O259" i="5" s="1"/>
  <c r="O260" i="5" a="1"/>
  <c r="O260" i="5" s="1"/>
  <c r="O261" i="5" a="1"/>
  <c r="O261" i="5" s="1"/>
  <c r="O262" i="5" a="1"/>
  <c r="O262" i="5" s="1"/>
  <c r="O263" i="5" a="1"/>
  <c r="O263" i="5" s="1"/>
  <c r="O264" i="5" a="1"/>
  <c r="O264" i="5" s="1"/>
  <c r="O265" i="5" a="1"/>
  <c r="O265" i="5" s="1"/>
  <c r="O266" i="5" a="1"/>
  <c r="O266" i="5" s="1"/>
  <c r="O267" i="5" a="1"/>
  <c r="O267" i="5" s="1"/>
  <c r="O268" i="5" a="1"/>
  <c r="O268" i="5" s="1"/>
  <c r="O269" i="5" a="1"/>
  <c r="O269" i="5" s="1"/>
  <c r="O270" i="5" a="1"/>
  <c r="O270" i="5" s="1"/>
  <c r="O271" i="5" a="1"/>
  <c r="O271" i="5" s="1"/>
  <c r="O272" i="5" a="1"/>
  <c r="O272" i="5" s="1"/>
  <c r="O273" i="5" a="1"/>
  <c r="O273" i="5" s="1"/>
  <c r="O274" i="5" a="1"/>
  <c r="O274" i="5" s="1"/>
  <c r="O275" i="5" a="1"/>
  <c r="O275" i="5" s="1"/>
  <c r="O276" i="5" a="1"/>
  <c r="O276" i="5" s="1"/>
  <c r="O277" i="5" a="1"/>
  <c r="O277" i="5" s="1"/>
  <c r="O278" i="5" a="1"/>
  <c r="O278" i="5" s="1"/>
  <c r="O279" i="5" a="1"/>
  <c r="O279" i="5" s="1"/>
  <c r="O280" i="5" a="1"/>
  <c r="O280" i="5" s="1"/>
  <c r="O281" i="5" a="1"/>
  <c r="O281" i="5" s="1"/>
  <c r="O282" i="5" a="1"/>
  <c r="O282" i="5" s="1"/>
  <c r="O283" i="5" a="1"/>
  <c r="O283" i="5" s="1"/>
  <c r="O284" i="5" a="1"/>
  <c r="O284" i="5" s="1"/>
  <c r="O285" i="5" a="1"/>
  <c r="O285" i="5" s="1"/>
  <c r="O286" i="5" a="1"/>
  <c r="O286" i="5" s="1"/>
  <c r="O287" i="5" a="1"/>
  <c r="O287" i="5" s="1"/>
  <c r="O288" i="5" a="1"/>
  <c r="O288" i="5" s="1"/>
  <c r="O289" i="5" a="1"/>
  <c r="O289" i="5" s="1"/>
  <c r="O290" i="5" a="1"/>
  <c r="O290" i="5" s="1"/>
  <c r="O291" i="5" a="1"/>
  <c r="O291" i="5" s="1"/>
  <c r="O292" i="5" a="1"/>
  <c r="O292" i="5" s="1"/>
  <c r="O293" i="5" a="1"/>
  <c r="O293" i="5" s="1"/>
  <c r="O294" i="5" a="1"/>
  <c r="O294" i="5" s="1"/>
  <c r="O295" i="5" a="1"/>
  <c r="O295" i="5" s="1"/>
  <c r="O296" i="5" a="1"/>
  <c r="O296" i="5" s="1"/>
  <c r="O297" i="5" a="1"/>
  <c r="O297" i="5" s="1"/>
  <c r="O298" i="5" a="1"/>
  <c r="O298" i="5" s="1"/>
  <c r="O299" i="5" a="1"/>
  <c r="O299" i="5" s="1"/>
  <c r="O300" i="5" a="1"/>
  <c r="O300" i="5" s="1"/>
  <c r="O301" i="5" a="1"/>
  <c r="O301" i="5" s="1"/>
  <c r="O302" i="5" a="1"/>
  <c r="O302" i="5" s="1"/>
  <c r="O303" i="5" a="1"/>
  <c r="O303" i="5" s="1"/>
  <c r="O304" i="5" a="1"/>
  <c r="O304" i="5" s="1"/>
  <c r="O305" i="5" a="1"/>
  <c r="O305" i="5" s="1"/>
  <c r="O306" i="5" a="1"/>
  <c r="O306" i="5" s="1"/>
  <c r="O307" i="5" a="1"/>
  <c r="O307" i="5" s="1"/>
  <c r="O308" i="5" a="1"/>
  <c r="O308" i="5" s="1"/>
  <c r="O309" i="5" a="1"/>
  <c r="O309" i="5" s="1"/>
  <c r="O310" i="5" a="1"/>
  <c r="O310" i="5" s="1"/>
  <c r="O311" i="5" a="1"/>
  <c r="O311" i="5" s="1"/>
  <c r="O312" i="5" a="1"/>
  <c r="O312" i="5" s="1"/>
  <c r="O313" i="5" a="1"/>
  <c r="O313" i="5" s="1"/>
  <c r="O314" i="5" a="1"/>
  <c r="O314" i="5" s="1"/>
  <c r="O315" i="5" a="1"/>
  <c r="O315" i="5" s="1"/>
  <c r="O316" i="5" a="1"/>
  <c r="O316" i="5" s="1"/>
  <c r="O317" i="5" a="1"/>
  <c r="O317" i="5" s="1"/>
  <c r="O318" i="5" a="1"/>
  <c r="O318" i="5" s="1"/>
  <c r="O319" i="5" a="1"/>
  <c r="O319" i="5" s="1"/>
  <c r="O320" i="5" a="1"/>
  <c r="O320" i="5" s="1"/>
  <c r="O321" i="5" a="1"/>
  <c r="O321" i="5" s="1"/>
  <c r="O322" i="5" a="1"/>
  <c r="O322" i="5" s="1"/>
  <c r="O323" i="5" a="1"/>
  <c r="O323" i="5" s="1"/>
  <c r="O324" i="5" a="1"/>
  <c r="O324" i="5" s="1"/>
  <c r="O325" i="5" a="1"/>
  <c r="O325" i="5" s="1"/>
  <c r="O326" i="5" a="1"/>
  <c r="O326" i="5" s="1"/>
  <c r="O327" i="5" a="1"/>
  <c r="O327" i="5" s="1"/>
  <c r="O328" i="5" a="1"/>
  <c r="O328" i="5" s="1"/>
  <c r="O329" i="5" a="1"/>
  <c r="O329" i="5" s="1"/>
  <c r="O330" i="5" a="1"/>
  <c r="O330" i="5" s="1"/>
  <c r="O331" i="5" a="1"/>
  <c r="O331" i="5" s="1"/>
  <c r="O332" i="5" a="1"/>
  <c r="O332" i="5" s="1"/>
  <c r="O333" i="5" a="1"/>
  <c r="O333" i="5" s="1"/>
  <c r="O334" i="5" a="1"/>
  <c r="O334" i="5" s="1"/>
  <c r="O335" i="5" a="1"/>
  <c r="O335" i="5"/>
  <c r="O336" i="5" a="1"/>
  <c r="O336" i="5" s="1"/>
  <c r="O337" i="5" a="1"/>
  <c r="O337" i="5" s="1"/>
  <c r="O338" i="5" a="1"/>
  <c r="O338" i="5" s="1"/>
  <c r="O339" i="5" a="1"/>
  <c r="O339" i="5" s="1"/>
  <c r="O340" i="5" a="1"/>
  <c r="O340" i="5" s="1"/>
  <c r="O341" i="5" a="1"/>
  <c r="O341" i="5" s="1"/>
  <c r="O342" i="5" a="1"/>
  <c r="O342" i="5" s="1"/>
  <c r="O343" i="5" a="1"/>
  <c r="O343" i="5" s="1"/>
  <c r="O344" i="5" a="1"/>
  <c r="O344" i="5" s="1"/>
  <c r="O345" i="5" a="1"/>
  <c r="O345" i="5" s="1"/>
  <c r="O346" i="5" a="1"/>
  <c r="O346" i="5" s="1"/>
  <c r="O347" i="5" a="1"/>
  <c r="O347" i="5" s="1"/>
  <c r="O348" i="5" a="1"/>
  <c r="O348" i="5" s="1"/>
  <c r="O349" i="5" a="1"/>
  <c r="O349" i="5" s="1"/>
  <c r="O350" i="5" a="1"/>
  <c r="O350" i="5" s="1"/>
  <c r="O351" i="5" a="1"/>
  <c r="O351" i="5" s="1"/>
  <c r="O352" i="5" a="1"/>
  <c r="O352" i="5" s="1"/>
  <c r="O353" i="5" a="1"/>
  <c r="O353" i="5" s="1"/>
  <c r="O354" i="5" a="1"/>
  <c r="O354" i="5" s="1"/>
  <c r="O355" i="5" a="1"/>
  <c r="O355" i="5" s="1"/>
  <c r="O356" i="5" a="1"/>
  <c r="O356" i="5" s="1"/>
  <c r="O357" i="5" a="1"/>
  <c r="O357" i="5" s="1"/>
  <c r="O358" i="5" a="1"/>
  <c r="O358" i="5" s="1"/>
  <c r="O359" i="5" a="1"/>
  <c r="O359" i="5" s="1"/>
  <c r="O360" i="5" a="1"/>
  <c r="O360" i="5" s="1"/>
  <c r="O361" i="5" a="1"/>
  <c r="O361" i="5" s="1"/>
  <c r="O362" i="5" a="1"/>
  <c r="O362" i="5" s="1"/>
  <c r="O363" i="5" a="1"/>
  <c r="O363" i="5" s="1"/>
  <c r="O364" i="5" a="1"/>
  <c r="O364" i="5" s="1"/>
  <c r="O365" i="5" a="1"/>
  <c r="O365" i="5" s="1"/>
  <c r="O366" i="5" a="1"/>
  <c r="O366" i="5" s="1"/>
  <c r="O367" i="5" a="1"/>
  <c r="O367" i="5" s="1"/>
  <c r="O368" i="5" a="1"/>
  <c r="O368" i="5" s="1"/>
  <c r="O369" i="5" a="1"/>
  <c r="O369" i="5" s="1"/>
  <c r="O370" i="5" a="1"/>
  <c r="O370" i="5" s="1"/>
  <c r="O371" i="5" a="1"/>
  <c r="O371" i="5" s="1"/>
  <c r="O372" i="5" a="1"/>
  <c r="O372" i="5" s="1"/>
  <c r="O373" i="5" a="1"/>
  <c r="O373" i="5" s="1"/>
  <c r="O374" i="5" a="1"/>
  <c r="O374" i="5" s="1"/>
  <c r="O375" i="5" a="1"/>
  <c r="O375" i="5" s="1"/>
  <c r="O376" i="5" a="1"/>
  <c r="O376" i="5" s="1"/>
  <c r="O377" i="5" a="1"/>
  <c r="O377" i="5" s="1"/>
  <c r="O378" i="5" a="1"/>
  <c r="O378" i="5" s="1"/>
  <c r="O379" i="5" a="1"/>
  <c r="O379" i="5" s="1"/>
  <c r="O380" i="5" a="1"/>
  <c r="O380" i="5" s="1"/>
  <c r="O381" i="5" a="1"/>
  <c r="O381" i="5" s="1"/>
  <c r="O382" i="5" a="1"/>
  <c r="O382" i="5" s="1"/>
  <c r="O383" i="5" a="1"/>
  <c r="O383" i="5" s="1"/>
  <c r="O384" i="5" a="1"/>
  <c r="O384" i="5" s="1"/>
  <c r="O385" i="5" a="1"/>
  <c r="O385" i="5" s="1"/>
  <c r="O386" i="5" a="1"/>
  <c r="O386" i="5" s="1"/>
  <c r="O387" i="5" a="1"/>
  <c r="O387" i="5" s="1"/>
  <c r="O388" i="5" a="1"/>
  <c r="O388" i="5" s="1"/>
  <c r="O389" i="5" a="1"/>
  <c r="O389" i="5" s="1"/>
  <c r="O390" i="5" a="1"/>
  <c r="O390" i="5" s="1"/>
  <c r="O391" i="5" a="1"/>
  <c r="O391" i="5" s="1"/>
  <c r="O392" i="5" a="1"/>
  <c r="O392" i="5" s="1"/>
  <c r="O393" i="5" a="1"/>
  <c r="O393" i="5" s="1"/>
  <c r="O394" i="5" a="1"/>
  <c r="O394" i="5" s="1"/>
  <c r="O395" i="5" a="1"/>
  <c r="O395" i="5" s="1"/>
  <c r="O396" i="5" a="1"/>
  <c r="O396" i="5" s="1"/>
  <c r="O397" i="5" a="1"/>
  <c r="O397" i="5" s="1"/>
  <c r="O398" i="5" a="1"/>
  <c r="O398" i="5" s="1"/>
  <c r="O399" i="5" a="1"/>
  <c r="O399" i="5" s="1"/>
  <c r="O400" i="5" a="1"/>
  <c r="O400" i="5" s="1"/>
  <c r="O401" i="5" a="1"/>
  <c r="O401" i="5" s="1"/>
  <c r="O402" i="5" a="1"/>
  <c r="O402" i="5" s="1"/>
  <c r="O403" i="5" a="1"/>
  <c r="O403" i="5" s="1"/>
  <c r="O404" i="5" a="1"/>
  <c r="O404" i="5" s="1"/>
  <c r="O405" i="5" a="1"/>
  <c r="O405" i="5" s="1"/>
  <c r="O406" i="5" a="1"/>
  <c r="O406" i="5" s="1"/>
  <c r="O407" i="5" a="1"/>
  <c r="O407" i="5" s="1"/>
  <c r="O408" i="5" a="1"/>
  <c r="O408" i="5" s="1"/>
  <c r="O409" i="5" a="1"/>
  <c r="O409" i="5" s="1"/>
  <c r="O410" i="5" a="1"/>
  <c r="O410" i="5" s="1"/>
  <c r="O411" i="5" a="1"/>
  <c r="O411" i="5" s="1"/>
  <c r="O412" i="5" a="1"/>
  <c r="O412" i="5" s="1"/>
  <c r="O413" i="5" a="1"/>
  <c r="O413" i="5" s="1"/>
  <c r="O414" i="5" a="1"/>
  <c r="O414" i="5" s="1"/>
  <c r="O415" i="5" a="1"/>
  <c r="O415" i="5" s="1"/>
  <c r="O416" i="5" a="1"/>
  <c r="O416" i="5" s="1"/>
  <c r="O417" i="5" a="1"/>
  <c r="O417" i="5" s="1"/>
  <c r="O418" i="5" a="1"/>
  <c r="O418" i="5" s="1"/>
  <c r="O419" i="5" a="1"/>
  <c r="O419" i="5" s="1"/>
  <c r="O420" i="5" a="1"/>
  <c r="O420" i="5" s="1"/>
  <c r="O421" i="5" a="1"/>
  <c r="O421" i="5" s="1"/>
  <c r="O422" i="5" a="1"/>
  <c r="O422" i="5" s="1"/>
  <c r="O423" i="5" a="1"/>
  <c r="O423" i="5" s="1"/>
  <c r="O424" i="5" a="1"/>
  <c r="O424" i="5" s="1"/>
  <c r="O425" i="5" a="1"/>
  <c r="O425" i="5" s="1"/>
  <c r="O426" i="5" a="1"/>
  <c r="O426" i="5" s="1"/>
  <c r="O427" i="5" a="1"/>
  <c r="O427" i="5" s="1"/>
  <c r="O428" i="5" a="1"/>
  <c r="O428" i="5" s="1"/>
  <c r="O429" i="5" a="1"/>
  <c r="O429" i="5" s="1"/>
  <c r="O430" i="5" a="1"/>
  <c r="O430" i="5" s="1"/>
  <c r="O431" i="5" a="1"/>
  <c r="O431" i="5" s="1"/>
  <c r="O432" i="5" a="1"/>
  <c r="O432" i="5" s="1"/>
  <c r="O433" i="5" a="1"/>
  <c r="O433" i="5" s="1"/>
  <c r="O434" i="5" a="1"/>
  <c r="O434" i="5" s="1"/>
  <c r="O435" i="5" a="1"/>
  <c r="O435" i="5" s="1"/>
  <c r="O436" i="5" a="1"/>
  <c r="O436" i="5" s="1"/>
  <c r="O437" i="5" a="1"/>
  <c r="O437" i="5" s="1"/>
  <c r="O438" i="5" a="1"/>
  <c r="O438" i="5" s="1"/>
  <c r="O439" i="5" a="1"/>
  <c r="O439" i="5" s="1"/>
  <c r="O440" i="5" a="1"/>
  <c r="O440" i="5" s="1"/>
  <c r="O441" i="5" a="1"/>
  <c r="O441" i="5" s="1"/>
  <c r="O442" i="5" a="1"/>
  <c r="O442" i="5" s="1"/>
  <c r="O443" i="5" a="1"/>
  <c r="O443" i="5" s="1"/>
  <c r="O444" i="5" a="1"/>
  <c r="O444" i="5" s="1"/>
  <c r="O445" i="5" a="1"/>
  <c r="O445" i="5" s="1"/>
  <c r="O446" i="5" a="1"/>
  <c r="O446" i="5" s="1"/>
  <c r="O447" i="5" a="1"/>
  <c r="O447" i="5" s="1"/>
  <c r="O448" i="5" a="1"/>
  <c r="O448" i="5" s="1"/>
  <c r="O449" i="5" a="1"/>
  <c r="O449" i="5" s="1"/>
  <c r="O450" i="5" a="1"/>
  <c r="O450" i="5" s="1"/>
  <c r="O451" i="5" a="1"/>
  <c r="O451" i="5" s="1"/>
  <c r="O452" i="5" a="1"/>
  <c r="O452" i="5" s="1"/>
  <c r="O453" i="5" a="1"/>
  <c r="O453" i="5" s="1"/>
  <c r="O454" i="5" a="1"/>
  <c r="O454" i="5" s="1"/>
  <c r="O455" i="5" a="1"/>
  <c r="O455" i="5" s="1"/>
  <c r="O456" i="5" a="1"/>
  <c r="O456" i="5" s="1"/>
  <c r="O457" i="5" a="1"/>
  <c r="O457" i="5" s="1"/>
  <c r="O458" i="5" a="1"/>
  <c r="O458" i="5" s="1"/>
  <c r="O459" i="5" a="1"/>
  <c r="O459" i="5" s="1"/>
  <c r="O460" i="5" a="1"/>
  <c r="O460" i="5" s="1"/>
  <c r="O461" i="5" a="1"/>
  <c r="O461" i="5" s="1"/>
  <c r="O462" i="5" a="1"/>
  <c r="O462" i="5" s="1"/>
  <c r="O463" i="5" a="1"/>
  <c r="O463" i="5" s="1"/>
  <c r="O464" i="5" a="1"/>
  <c r="O464" i="5" s="1"/>
  <c r="O465" i="5" a="1"/>
  <c r="O465" i="5" s="1"/>
  <c r="O466" i="5" a="1"/>
  <c r="O466" i="5" s="1"/>
  <c r="O467" i="5" a="1"/>
  <c r="O467" i="5" s="1"/>
  <c r="O468" i="5" a="1"/>
  <c r="O468" i="5" s="1"/>
  <c r="O469" i="5" a="1"/>
  <c r="O469" i="5" s="1"/>
  <c r="O470" i="5" a="1"/>
  <c r="O470" i="5" s="1"/>
  <c r="O471" i="5" a="1"/>
  <c r="O471" i="5" s="1"/>
  <c r="O472" i="5" a="1"/>
  <c r="O472" i="5" s="1"/>
  <c r="O473" i="5" a="1"/>
  <c r="O473" i="5" s="1"/>
  <c r="O474" i="5" a="1"/>
  <c r="O474" i="5" s="1"/>
  <c r="O475" i="5" a="1"/>
  <c r="O475" i="5" s="1"/>
  <c r="O476" i="5" a="1"/>
  <c r="O476" i="5" s="1"/>
  <c r="O477" i="5" a="1"/>
  <c r="O477" i="5" s="1"/>
  <c r="O478" i="5" a="1"/>
  <c r="O478" i="5" s="1"/>
  <c r="O479" i="5" a="1"/>
  <c r="O479" i="5" s="1"/>
  <c r="O480" i="5" a="1"/>
  <c r="O480" i="5" s="1"/>
  <c r="O481" i="5" a="1"/>
  <c r="O481" i="5" s="1"/>
  <c r="O482" i="5" a="1"/>
  <c r="O482" i="5" s="1"/>
  <c r="O483" i="5" a="1"/>
  <c r="O483" i="5" s="1"/>
  <c r="O484" i="5" a="1"/>
  <c r="O484" i="5" s="1"/>
  <c r="O485" i="5" a="1"/>
  <c r="O485" i="5" s="1"/>
  <c r="O486" i="5" a="1"/>
  <c r="O486" i="5" s="1"/>
  <c r="O487" i="5" a="1"/>
  <c r="O487" i="5" s="1"/>
  <c r="O488" i="5" a="1"/>
  <c r="O488" i="5" s="1"/>
  <c r="O489" i="5" a="1"/>
  <c r="O489" i="5" s="1"/>
  <c r="O490" i="5" a="1"/>
  <c r="O490" i="5" s="1"/>
  <c r="O491" i="5" a="1"/>
  <c r="O491" i="5" s="1"/>
  <c r="O492" i="5" a="1"/>
  <c r="O492" i="5" s="1"/>
  <c r="O493" i="5" a="1"/>
  <c r="O493" i="5" s="1"/>
  <c r="O494" i="5" a="1"/>
  <c r="O494" i="5" s="1"/>
  <c r="O495" i="5" a="1"/>
  <c r="O495" i="5" s="1"/>
  <c r="O496" i="5" a="1"/>
  <c r="O496" i="5" s="1"/>
  <c r="O497" i="5" a="1"/>
  <c r="O497" i="5" s="1"/>
  <c r="O498" i="5" a="1"/>
  <c r="O498" i="5" s="1"/>
  <c r="O499" i="5" a="1"/>
  <c r="O499" i="5" s="1"/>
  <c r="O500" i="5" a="1"/>
  <c r="O500" i="5" s="1"/>
  <c r="O501" i="5" a="1"/>
  <c r="O501" i="5" s="1"/>
  <c r="O502" i="5" a="1"/>
  <c r="O502" i="5" s="1"/>
  <c r="O503" i="5" a="1"/>
  <c r="O503" i="5" s="1"/>
  <c r="O504" i="5" a="1"/>
  <c r="O504" i="5" s="1"/>
  <c r="O505" i="5" a="1"/>
  <c r="O505" i="5" s="1"/>
  <c r="O506" i="5" a="1"/>
  <c r="O506" i="5" s="1"/>
  <c r="O507" i="5" a="1"/>
  <c r="O507" i="5" s="1"/>
  <c r="O508" i="5" a="1"/>
  <c r="O508" i="5" s="1"/>
  <c r="O509" i="5" a="1"/>
  <c r="O509" i="5" s="1"/>
  <c r="O510" i="5" a="1"/>
  <c r="O510" i="5" s="1"/>
  <c r="O511" i="5" a="1"/>
  <c r="O511" i="5" s="1"/>
  <c r="O512" i="5" a="1"/>
  <c r="O512" i="5" s="1"/>
  <c r="O513" i="5" a="1"/>
  <c r="O513" i="5" s="1"/>
  <c r="O514" i="5" a="1"/>
  <c r="O514" i="5" s="1"/>
  <c r="O515" i="5" a="1"/>
  <c r="O515" i="5" s="1"/>
  <c r="O516" i="5" a="1"/>
  <c r="O516" i="5" s="1"/>
  <c r="O517" i="5" a="1"/>
  <c r="O517" i="5" s="1"/>
  <c r="O518" i="5" a="1"/>
  <c r="O518" i="5"/>
  <c r="O519" i="5" a="1"/>
  <c r="O519" i="5" s="1"/>
  <c r="O520" i="5" a="1"/>
  <c r="O520" i="5" s="1"/>
  <c r="O521" i="5" a="1"/>
  <c r="O521" i="5" s="1"/>
  <c r="O522" i="5" a="1"/>
  <c r="O522" i="5" s="1"/>
  <c r="O523" i="5" a="1"/>
  <c r="O523" i="5" s="1"/>
  <c r="O524" i="5" a="1"/>
  <c r="O524" i="5" s="1"/>
  <c r="O525" i="5" a="1"/>
  <c r="O525" i="5" s="1"/>
  <c r="O526" i="5" a="1"/>
  <c r="O526" i="5" s="1"/>
  <c r="O527" i="5" a="1"/>
  <c r="O527" i="5" s="1"/>
  <c r="O528" i="5" a="1"/>
  <c r="O528" i="5" s="1"/>
  <c r="O529" i="5" a="1"/>
  <c r="O529" i="5" s="1"/>
  <c r="O530" i="5" a="1"/>
  <c r="O530" i="5" s="1"/>
  <c r="O531" i="5" a="1"/>
  <c r="O531" i="5" s="1"/>
  <c r="O532" i="5" a="1"/>
  <c r="O532" i="5" s="1"/>
  <c r="O533" i="5" a="1"/>
  <c r="O533" i="5"/>
  <c r="O534" i="5" a="1"/>
  <c r="O534" i="5" s="1"/>
  <c r="O535" i="5" a="1"/>
  <c r="O535" i="5" s="1"/>
  <c r="O536" i="5" a="1"/>
  <c r="O536" i="5" s="1"/>
  <c r="O537" i="5" a="1"/>
  <c r="O537" i="5" s="1"/>
  <c r="O538" i="5" a="1"/>
  <c r="O538" i="5" s="1"/>
  <c r="O539" i="5" a="1"/>
  <c r="O539" i="5" s="1"/>
  <c r="O540" i="5" a="1"/>
  <c r="O540" i="5" s="1"/>
  <c r="O541" i="5" a="1"/>
  <c r="O541" i="5" s="1"/>
  <c r="O542" i="5" a="1"/>
  <c r="O542" i="5" s="1"/>
  <c r="O543" i="5" a="1"/>
  <c r="O543" i="5" s="1"/>
  <c r="O544" i="5" a="1"/>
  <c r="O544" i="5" s="1"/>
  <c r="O545" i="5" a="1"/>
  <c r="O545" i="5" s="1"/>
  <c r="O546" i="5" a="1"/>
  <c r="O546" i="5" s="1"/>
  <c r="O547" i="5" a="1"/>
  <c r="O547" i="5" s="1"/>
  <c r="O548" i="5" a="1"/>
  <c r="O548" i="5" s="1"/>
  <c r="O549" i="5" a="1"/>
  <c r="O549" i="5" s="1"/>
  <c r="O550" i="5" a="1"/>
  <c r="O550" i="5" s="1"/>
  <c r="O551" i="5" a="1"/>
  <c r="O551" i="5" s="1"/>
  <c r="O552" i="5" a="1"/>
  <c r="O552" i="5" s="1"/>
  <c r="O553" i="5" a="1"/>
  <c r="O553" i="5" s="1"/>
  <c r="O554" i="5" a="1"/>
  <c r="O554" i="5" s="1"/>
  <c r="O555" i="5" a="1"/>
  <c r="O555" i="5" s="1"/>
  <c r="O556" i="5" a="1"/>
  <c r="O556" i="5" s="1"/>
  <c r="O557" i="5" a="1"/>
  <c r="O557" i="5" s="1"/>
  <c r="O558" i="5" a="1"/>
  <c r="O558" i="5" s="1"/>
  <c r="O559" i="5" a="1"/>
  <c r="O559" i="5" s="1"/>
  <c r="O560" i="5" a="1"/>
  <c r="O560" i="5" s="1"/>
  <c r="O561" i="5" a="1"/>
  <c r="O561" i="5" s="1"/>
  <c r="O562" i="5" a="1"/>
  <c r="O562" i="5" s="1"/>
  <c r="O563" i="5" a="1"/>
  <c r="O563" i="5" s="1"/>
  <c r="O564" i="5" a="1"/>
  <c r="O564" i="5" s="1"/>
  <c r="O565" i="5" a="1"/>
  <c r="O565" i="5" s="1"/>
  <c r="O566" i="5" a="1"/>
  <c r="O566" i="5" s="1"/>
  <c r="O567" i="5" a="1"/>
  <c r="O567" i="5" s="1"/>
  <c r="O568" i="5" a="1"/>
  <c r="O568" i="5" s="1"/>
  <c r="O569" i="5" a="1"/>
  <c r="O569" i="5" s="1"/>
  <c r="O570" i="5" a="1"/>
  <c r="O570" i="5" s="1"/>
  <c r="O571" i="5" a="1"/>
  <c r="O571" i="5" s="1"/>
  <c r="O572" i="5" a="1"/>
  <c r="O572" i="5" s="1"/>
  <c r="O573" i="5" a="1"/>
  <c r="O573" i="5" s="1"/>
  <c r="O574" i="5" a="1"/>
  <c r="O574" i="5" s="1"/>
  <c r="O575" i="5" a="1"/>
  <c r="O575" i="5" s="1"/>
  <c r="O576" i="5" a="1"/>
  <c r="O576" i="5" s="1"/>
  <c r="O577" i="5" a="1"/>
  <c r="O577" i="5" s="1"/>
  <c r="O578" i="5" a="1"/>
  <c r="O578" i="5" s="1"/>
  <c r="O579" i="5" a="1"/>
  <c r="O579" i="5" s="1"/>
  <c r="O580" i="5" a="1"/>
  <c r="O580" i="5" s="1"/>
  <c r="O581" i="5" a="1"/>
  <c r="O581" i="5" s="1"/>
  <c r="O582" i="5" a="1"/>
  <c r="O582" i="5" s="1"/>
  <c r="O583" i="5" a="1"/>
  <c r="O583" i="5" s="1"/>
  <c r="O584" i="5" a="1"/>
  <c r="O584" i="5" s="1"/>
  <c r="O585" i="5" a="1"/>
  <c r="O585" i="5" s="1"/>
  <c r="O586" i="5" a="1"/>
  <c r="O586" i="5" s="1"/>
  <c r="O587" i="5" a="1"/>
  <c r="O587" i="5" s="1"/>
  <c r="O588" i="5" a="1"/>
  <c r="O588" i="5" s="1"/>
  <c r="O589" i="5" a="1"/>
  <c r="O589" i="5" s="1"/>
  <c r="O590" i="5" a="1"/>
  <c r="O590" i="5" s="1"/>
  <c r="O591" i="5" a="1"/>
  <c r="O591" i="5" s="1"/>
  <c r="O592" i="5" a="1"/>
  <c r="O592" i="5" s="1"/>
  <c r="O593" i="5" a="1"/>
  <c r="O593" i="5" s="1"/>
  <c r="O594" i="5" a="1"/>
  <c r="O594" i="5" s="1"/>
  <c r="O595" i="5" a="1"/>
  <c r="O595" i="5" s="1"/>
  <c r="O596" i="5" a="1"/>
  <c r="O596" i="5" s="1"/>
  <c r="O597" i="5" a="1"/>
  <c r="O597" i="5" s="1"/>
  <c r="O598" i="5" a="1"/>
  <c r="O598" i="5" s="1"/>
  <c r="O599" i="5" a="1"/>
  <c r="O599" i="5" s="1"/>
  <c r="O600" i="5" a="1"/>
  <c r="O600" i="5" s="1"/>
  <c r="O601" i="5" a="1"/>
  <c r="O601" i="5" s="1"/>
  <c r="O602" i="5" a="1"/>
  <c r="O602" i="5" s="1"/>
  <c r="O603" i="5" a="1"/>
  <c r="O603" i="5" s="1"/>
  <c r="O604" i="5" a="1"/>
  <c r="O604" i="5" s="1"/>
  <c r="O605" i="5" a="1"/>
  <c r="O605" i="5" s="1"/>
  <c r="O606" i="5" a="1"/>
  <c r="O606" i="5" s="1"/>
  <c r="O607" i="5" a="1"/>
  <c r="O607" i="5" s="1"/>
  <c r="O608" i="5" a="1"/>
  <c r="O608" i="5" s="1"/>
  <c r="O609" i="5" a="1"/>
  <c r="O609" i="5" s="1"/>
  <c r="O610" i="5" a="1"/>
  <c r="O610" i="5" s="1"/>
  <c r="O611" i="5" a="1"/>
  <c r="O611" i="5" s="1"/>
  <c r="O612" i="5" a="1"/>
  <c r="O612" i="5" s="1"/>
  <c r="O613" i="5" a="1"/>
  <c r="O613" i="5" s="1"/>
  <c r="O614" i="5" a="1"/>
  <c r="O614" i="5" s="1"/>
  <c r="O615" i="5" a="1"/>
  <c r="O615" i="5" s="1"/>
  <c r="O616" i="5" a="1"/>
  <c r="O616" i="5" s="1"/>
  <c r="O617" i="5" a="1"/>
  <c r="O617" i="5" s="1"/>
  <c r="O618" i="5" a="1"/>
  <c r="O618" i="5" s="1"/>
  <c r="O619" i="5" a="1"/>
  <c r="O619" i="5" s="1"/>
  <c r="O620" i="5" a="1"/>
  <c r="O620" i="5" s="1"/>
  <c r="O621" i="5" a="1"/>
  <c r="O621" i="5" s="1"/>
  <c r="O622" i="5" a="1"/>
  <c r="O622" i="5" s="1"/>
  <c r="O623" i="5" a="1"/>
  <c r="O623" i="5" s="1"/>
  <c r="O624" i="5" a="1"/>
  <c r="O624" i="5" s="1"/>
  <c r="O625" i="5" a="1"/>
  <c r="O625" i="5" s="1"/>
  <c r="O626" i="5" a="1"/>
  <c r="O626" i="5" s="1"/>
  <c r="O627" i="5" a="1"/>
  <c r="O627" i="5" s="1"/>
  <c r="O628" i="5" a="1"/>
  <c r="O628" i="5" s="1"/>
  <c r="O629" i="5" a="1"/>
  <c r="O629" i="5"/>
  <c r="O630" i="5" a="1"/>
  <c r="O630" i="5" s="1"/>
  <c r="O631" i="5" a="1"/>
  <c r="O631" i="5" s="1"/>
  <c r="O632" i="5" a="1"/>
  <c r="O632" i="5" s="1"/>
  <c r="O633" i="5" a="1"/>
  <c r="O633" i="5" s="1"/>
  <c r="O634" i="5" a="1"/>
  <c r="O634" i="5" s="1"/>
  <c r="O635" i="5" a="1"/>
  <c r="O635" i="5" s="1"/>
  <c r="O636" i="5" a="1"/>
  <c r="O636" i="5" s="1"/>
  <c r="O637" i="5" a="1"/>
  <c r="O637" i="5" s="1"/>
  <c r="O638" i="5" a="1"/>
  <c r="O638" i="5" s="1"/>
  <c r="O639" i="5" a="1"/>
  <c r="O639" i="5" s="1"/>
  <c r="O640" i="5" a="1"/>
  <c r="O640" i="5" s="1"/>
  <c r="O641" i="5" a="1"/>
  <c r="O641" i="5" s="1"/>
  <c r="O642" i="5" a="1"/>
  <c r="O642" i="5" s="1"/>
  <c r="O643" i="5" a="1"/>
  <c r="O643" i="5" s="1"/>
  <c r="O644" i="5" a="1"/>
  <c r="O644" i="5" s="1"/>
  <c r="O645" i="5" a="1"/>
  <c r="O645" i="5" s="1"/>
  <c r="O646" i="5" a="1"/>
  <c r="O646" i="5" s="1"/>
  <c r="O647" i="5" a="1"/>
  <c r="O647" i="5" s="1"/>
  <c r="O648" i="5" a="1"/>
  <c r="O648" i="5" s="1"/>
  <c r="O649" i="5" a="1"/>
  <c r="O649" i="5" s="1"/>
  <c r="O650" i="5" a="1"/>
  <c r="O650" i="5" s="1"/>
  <c r="O651" i="5" a="1"/>
  <c r="O651" i="5" s="1"/>
  <c r="O652" i="5" a="1"/>
  <c r="O652" i="5" s="1"/>
  <c r="O653" i="5" a="1"/>
  <c r="O653" i="5" s="1"/>
  <c r="O654" i="5" a="1"/>
  <c r="O654" i="5" s="1"/>
  <c r="O655" i="5" a="1"/>
  <c r="O655" i="5" s="1"/>
  <c r="O656" i="5" a="1"/>
  <c r="O656" i="5" s="1"/>
  <c r="O657" i="5" a="1"/>
  <c r="O657" i="5" s="1"/>
  <c r="O658" i="5" a="1"/>
  <c r="O658" i="5" s="1"/>
  <c r="O659" i="5" a="1"/>
  <c r="O659" i="5"/>
  <c r="O660" i="5" a="1"/>
  <c r="O660" i="5" s="1"/>
  <c r="O661" i="5" a="1"/>
  <c r="O661" i="5" s="1"/>
  <c r="O662" i="5" a="1"/>
  <c r="O662" i="5" s="1"/>
  <c r="O663" i="5" a="1"/>
  <c r="O663" i="5" s="1"/>
  <c r="O664" i="5" a="1"/>
  <c r="O664" i="5" s="1"/>
  <c r="O665" i="5" a="1"/>
  <c r="O665" i="5" s="1"/>
  <c r="O666" i="5" a="1"/>
  <c r="O666" i="5" s="1"/>
  <c r="O667" i="5" a="1"/>
  <c r="O667" i="5" s="1"/>
  <c r="O668" i="5" a="1"/>
  <c r="O668" i="5" s="1"/>
  <c r="O669" i="5" a="1"/>
  <c r="O669" i="5" s="1"/>
  <c r="O670" i="5" a="1"/>
  <c r="O670" i="5" s="1"/>
  <c r="O671" i="5" a="1"/>
  <c r="O671" i="5" s="1"/>
  <c r="O672" i="5" a="1"/>
  <c r="O672" i="5" s="1"/>
  <c r="O673" i="5" a="1"/>
  <c r="O673" i="5" s="1"/>
  <c r="O674" i="5" a="1"/>
  <c r="O674" i="5" s="1"/>
  <c r="O675" i="5" a="1"/>
  <c r="O675" i="5" s="1"/>
  <c r="O676" i="5" a="1"/>
  <c r="O676" i="5" s="1"/>
  <c r="O677" i="5" a="1"/>
  <c r="O677" i="5" s="1"/>
  <c r="O678" i="5" a="1"/>
  <c r="O678" i="5" s="1"/>
  <c r="O679" i="5" a="1"/>
  <c r="O679" i="5" s="1"/>
  <c r="O680" i="5" a="1"/>
  <c r="O680" i="5" s="1"/>
  <c r="O681" i="5" a="1"/>
  <c r="O681" i="5" s="1"/>
  <c r="O682" i="5" a="1"/>
  <c r="O682" i="5" s="1"/>
  <c r="O683" i="5" a="1"/>
  <c r="O683" i="5" s="1"/>
  <c r="O684" i="5" a="1"/>
  <c r="O684" i="5" s="1"/>
  <c r="O685" i="5" a="1"/>
  <c r="O685" i="5" s="1"/>
  <c r="O686" i="5" a="1"/>
  <c r="O686" i="5" s="1"/>
  <c r="O687" i="5" a="1"/>
  <c r="O687" i="5" s="1"/>
  <c r="O688" i="5" a="1"/>
  <c r="O688" i="5" s="1"/>
  <c r="O689" i="5" a="1"/>
  <c r="O689" i="5" s="1"/>
  <c r="O690" i="5" a="1"/>
  <c r="O690" i="5" s="1"/>
  <c r="O691" i="5" a="1"/>
  <c r="O691" i="5" s="1"/>
  <c r="O692" i="5" a="1"/>
  <c r="O692" i="5" s="1"/>
  <c r="O693" i="5" a="1"/>
  <c r="O693" i="5" s="1"/>
  <c r="O694" i="5" a="1"/>
  <c r="O694" i="5" s="1"/>
  <c r="O695" i="5" a="1"/>
  <c r="O695" i="5" s="1"/>
  <c r="O696" i="5" a="1"/>
  <c r="O696" i="5" s="1"/>
  <c r="O697" i="5" a="1"/>
  <c r="O697" i="5" s="1"/>
  <c r="O698" i="5" a="1"/>
  <c r="O698" i="5" s="1"/>
  <c r="O699" i="5" a="1"/>
  <c r="O699" i="5" s="1"/>
  <c r="O700" i="5" a="1"/>
  <c r="O700" i="5" s="1"/>
  <c r="O701" i="5" a="1"/>
  <c r="O701" i="5" s="1"/>
  <c r="O702" i="5" a="1"/>
  <c r="O702" i="5" s="1"/>
  <c r="O703" i="5" a="1"/>
  <c r="O703" i="5" s="1"/>
  <c r="O704" i="5" a="1"/>
  <c r="O704" i="5" s="1"/>
  <c r="O705" i="5" a="1"/>
  <c r="O705" i="5" s="1"/>
  <c r="O706" i="5" a="1"/>
  <c r="O706" i="5" s="1"/>
  <c r="O707" i="5" a="1"/>
  <c r="O707" i="5" s="1"/>
  <c r="O708" i="5" a="1"/>
  <c r="O708" i="5" s="1"/>
  <c r="O709" i="5" a="1"/>
  <c r="O709" i="5" s="1"/>
  <c r="O710" i="5" a="1"/>
  <c r="O710" i="5" s="1"/>
  <c r="O711" i="5" a="1"/>
  <c r="O711" i="5" s="1"/>
  <c r="O712" i="5" a="1"/>
  <c r="O712" i="5" s="1"/>
  <c r="O713" i="5" a="1"/>
  <c r="O713" i="5" s="1"/>
  <c r="O714" i="5" a="1"/>
  <c r="O714" i="5" s="1"/>
  <c r="O715" i="5" a="1"/>
  <c r="O715" i="5" s="1"/>
  <c r="O716" i="5" a="1"/>
  <c r="O716" i="5" s="1"/>
  <c r="O717" i="5" a="1"/>
  <c r="O717" i="5" s="1"/>
  <c r="O718" i="5" a="1"/>
  <c r="O718" i="5" s="1"/>
  <c r="O719" i="5" a="1"/>
  <c r="O719" i="5" s="1"/>
  <c r="O720" i="5" a="1"/>
  <c r="O720" i="5" s="1"/>
  <c r="O721" i="5" a="1"/>
  <c r="O721" i="5" s="1"/>
  <c r="O722" i="5" a="1"/>
  <c r="O722" i="5" s="1"/>
  <c r="O723" i="5" a="1"/>
  <c r="O723" i="5" s="1"/>
  <c r="O724" i="5" a="1"/>
  <c r="O724" i="5" s="1"/>
  <c r="O725" i="5" a="1"/>
  <c r="O725" i="5" s="1"/>
  <c r="O726" i="5" a="1"/>
  <c r="O726" i="5" s="1"/>
  <c r="O727" i="5" a="1"/>
  <c r="O727" i="5" s="1"/>
  <c r="O728" i="5" a="1"/>
  <c r="O728" i="5" s="1"/>
  <c r="O729" i="5" a="1"/>
  <c r="O729" i="5" s="1"/>
  <c r="O730" i="5" a="1"/>
  <c r="O730" i="5" s="1"/>
  <c r="O731" i="5" a="1"/>
  <c r="O731" i="5" s="1"/>
  <c r="O732" i="5" a="1"/>
  <c r="O732" i="5" s="1"/>
  <c r="O733" i="5" a="1"/>
  <c r="O733" i="5" s="1"/>
  <c r="O734" i="5" a="1"/>
  <c r="O734" i="5" s="1"/>
  <c r="O735" i="5" a="1"/>
  <c r="O735" i="5" s="1"/>
  <c r="O736" i="5" a="1"/>
  <c r="O736" i="5" s="1"/>
  <c r="O737" i="5" a="1"/>
  <c r="O737" i="5" s="1"/>
  <c r="O738" i="5" a="1"/>
  <c r="O738" i="5" s="1"/>
  <c r="O739" i="5" a="1"/>
  <c r="O739" i="5" s="1"/>
  <c r="O740" i="5" a="1"/>
  <c r="O740" i="5" s="1"/>
  <c r="O741" i="5" a="1"/>
  <c r="O741" i="5" s="1"/>
  <c r="O742" i="5" a="1"/>
  <c r="O742" i="5" s="1"/>
  <c r="O743" i="5" a="1"/>
  <c r="O743" i="5" s="1"/>
  <c r="O744" i="5" a="1"/>
  <c r="O744" i="5" s="1"/>
  <c r="O745" i="5" a="1"/>
  <c r="O745" i="5" s="1"/>
  <c r="O746" i="5" a="1"/>
  <c r="O746" i="5" s="1"/>
  <c r="O747" i="5" a="1"/>
  <c r="O747" i="5" s="1"/>
  <c r="O748" i="5" a="1"/>
  <c r="O748" i="5" s="1"/>
  <c r="O749" i="5" a="1"/>
  <c r="O749" i="5" s="1"/>
  <c r="O750" i="5" a="1"/>
  <c r="O750" i="5" s="1"/>
  <c r="O751" i="5" a="1"/>
  <c r="O751" i="5" s="1"/>
  <c r="O752" i="5" a="1"/>
  <c r="O752" i="5" s="1"/>
  <c r="O753" i="5" a="1"/>
  <c r="O753" i="5" s="1"/>
  <c r="O754" i="5" a="1"/>
  <c r="O754" i="5" s="1"/>
  <c r="O755" i="5" a="1"/>
  <c r="O755" i="5" s="1"/>
  <c r="O756" i="5" a="1"/>
  <c r="O756" i="5" s="1"/>
  <c r="O757" i="5" a="1"/>
  <c r="O757" i="5" s="1"/>
  <c r="O758" i="5" a="1"/>
  <c r="O758" i="5" s="1"/>
  <c r="O759" i="5" a="1"/>
  <c r="O759" i="5" s="1"/>
  <c r="O760" i="5" a="1"/>
  <c r="O760" i="5" s="1"/>
  <c r="O761" i="5" a="1"/>
  <c r="O761" i="5" s="1"/>
  <c r="O762" i="5" a="1"/>
  <c r="O762" i="5" s="1"/>
  <c r="O763" i="5" a="1"/>
  <c r="O763" i="5" s="1"/>
  <c r="O764" i="5" a="1"/>
  <c r="O764" i="5" s="1"/>
  <c r="O765" i="5" a="1"/>
  <c r="O765" i="5" s="1"/>
  <c r="O766" i="5" a="1"/>
  <c r="O766" i="5" s="1"/>
  <c r="O767" i="5" a="1"/>
  <c r="O767" i="5" s="1"/>
  <c r="O768" i="5" a="1"/>
  <c r="O768" i="5" s="1"/>
  <c r="O769" i="5" a="1"/>
  <c r="O769" i="5" s="1"/>
  <c r="O770" i="5" a="1"/>
  <c r="O770" i="5" s="1"/>
  <c r="O771" i="5" a="1"/>
  <c r="O771" i="5" s="1"/>
  <c r="O772" i="5" a="1"/>
  <c r="O772" i="5" s="1"/>
  <c r="O773" i="5" a="1"/>
  <c r="O773" i="5" s="1"/>
  <c r="O774" i="5" a="1"/>
  <c r="O774" i="5" s="1"/>
  <c r="O775" i="5" a="1"/>
  <c r="O775" i="5" s="1"/>
  <c r="O776" i="5" a="1"/>
  <c r="O776" i="5" s="1"/>
  <c r="O777" i="5" a="1"/>
  <c r="O777" i="5" s="1"/>
  <c r="O778" i="5" a="1"/>
  <c r="O778" i="5" s="1"/>
  <c r="O779" i="5" a="1"/>
  <c r="O779" i="5" s="1"/>
  <c r="O780" i="5" a="1"/>
  <c r="O780" i="5" s="1"/>
  <c r="O781" i="5" a="1"/>
  <c r="O781" i="5" s="1"/>
  <c r="O782" i="5" a="1"/>
  <c r="O782" i="5" s="1"/>
  <c r="O783" i="5" a="1"/>
  <c r="O783" i="5" s="1"/>
  <c r="O784" i="5" a="1"/>
  <c r="O784" i="5" s="1"/>
  <c r="O785" i="5" a="1"/>
  <c r="O785" i="5" s="1"/>
  <c r="O786" i="5" a="1"/>
  <c r="O786" i="5" s="1"/>
  <c r="O787" i="5" a="1"/>
  <c r="O787" i="5" s="1"/>
  <c r="O788" i="5" a="1"/>
  <c r="O788" i="5" s="1"/>
  <c r="O789" i="5" a="1"/>
  <c r="O789" i="5" s="1"/>
  <c r="O790" i="5" a="1"/>
  <c r="O790" i="5" s="1"/>
  <c r="O791" i="5" a="1"/>
  <c r="O791" i="5" s="1"/>
  <c r="O792" i="5" a="1"/>
  <c r="O792" i="5" s="1"/>
  <c r="O793" i="5" a="1"/>
  <c r="O793" i="5" s="1"/>
  <c r="O794" i="5" a="1"/>
  <c r="O794" i="5" s="1"/>
  <c r="O795" i="5" a="1"/>
  <c r="O795" i="5" s="1"/>
  <c r="O796" i="5" a="1"/>
  <c r="O796" i="5" s="1"/>
  <c r="O797" i="5" a="1"/>
  <c r="O797" i="5" s="1"/>
  <c r="O798" i="5" a="1"/>
  <c r="O798" i="5" s="1"/>
  <c r="O799" i="5" a="1"/>
  <c r="O799" i="5" s="1"/>
  <c r="O800" i="5" a="1"/>
  <c r="O800" i="5" s="1"/>
  <c r="O801" i="5" a="1"/>
  <c r="O801" i="5" s="1"/>
  <c r="O802" i="5" a="1"/>
  <c r="O802" i="5" s="1"/>
  <c r="O803" i="5" a="1"/>
  <c r="O803" i="5" s="1"/>
  <c r="O804" i="5" a="1"/>
  <c r="O804" i="5" s="1"/>
  <c r="O805" i="5" a="1"/>
  <c r="O805" i="5" s="1"/>
  <c r="O806" i="5" a="1"/>
  <c r="O806" i="5" s="1"/>
  <c r="O807" i="5" a="1"/>
  <c r="O807" i="5" s="1"/>
  <c r="O808" i="5" a="1"/>
  <c r="O808" i="5" s="1"/>
  <c r="O809" i="5" a="1"/>
  <c r="O809" i="5" s="1"/>
  <c r="O810" i="5" a="1"/>
  <c r="O810" i="5" s="1"/>
  <c r="O811" i="5" a="1"/>
  <c r="O811" i="5" s="1"/>
  <c r="O812" i="5" a="1"/>
  <c r="O812" i="5" s="1"/>
  <c r="O813" i="5" a="1"/>
  <c r="O813" i="5" s="1"/>
  <c r="O814" i="5" a="1"/>
  <c r="O814" i="5" s="1"/>
  <c r="O815" i="5" a="1"/>
  <c r="O815" i="5" s="1"/>
  <c r="O816" i="5" a="1"/>
  <c r="O816" i="5" s="1"/>
  <c r="O817" i="5" a="1"/>
  <c r="O817" i="5" s="1"/>
  <c r="O818" i="5" a="1"/>
  <c r="O818" i="5" s="1"/>
  <c r="O819" i="5" a="1"/>
  <c r="O819" i="5" s="1"/>
  <c r="O820" i="5" a="1"/>
  <c r="O820" i="5" s="1"/>
  <c r="O821" i="5" a="1"/>
  <c r="O821" i="5" s="1"/>
  <c r="O822" i="5" a="1"/>
  <c r="O822" i="5" s="1"/>
  <c r="O823" i="5" a="1"/>
  <c r="O823" i="5" s="1"/>
  <c r="O824" i="5" a="1"/>
  <c r="O824" i="5" s="1"/>
  <c r="O825" i="5" a="1"/>
  <c r="O825" i="5" s="1"/>
  <c r="O826" i="5" a="1"/>
  <c r="O826" i="5" s="1"/>
  <c r="O827" i="5" a="1"/>
  <c r="O827" i="5" s="1"/>
  <c r="O828" i="5" a="1"/>
  <c r="O828" i="5" s="1"/>
  <c r="O829" i="5" a="1"/>
  <c r="O829" i="5" s="1"/>
  <c r="O830" i="5" a="1"/>
  <c r="O830" i="5" s="1"/>
  <c r="O831" i="5" a="1"/>
  <c r="O831" i="5" s="1"/>
  <c r="O832" i="5" a="1"/>
  <c r="O832" i="5" s="1"/>
  <c r="O833" i="5" a="1"/>
  <c r="O833" i="5" s="1"/>
  <c r="O834" i="5" a="1"/>
  <c r="O834" i="5" s="1"/>
  <c r="O835" i="5" a="1"/>
  <c r="O835" i="5" s="1"/>
  <c r="O836" i="5" a="1"/>
  <c r="O836" i="5" s="1"/>
  <c r="O837" i="5" a="1"/>
  <c r="O837" i="5" s="1"/>
  <c r="O838" i="5" a="1"/>
  <c r="O838" i="5" s="1"/>
  <c r="O839" i="5" a="1"/>
  <c r="O839" i="5" s="1"/>
  <c r="O840" i="5" a="1"/>
  <c r="O840" i="5" s="1"/>
  <c r="O841" i="5" a="1"/>
  <c r="O841" i="5" s="1"/>
  <c r="O842" i="5" a="1"/>
  <c r="O842" i="5" s="1"/>
  <c r="O843" i="5" a="1"/>
  <c r="O843" i="5" s="1"/>
  <c r="O844" i="5" a="1"/>
  <c r="O844" i="5" s="1"/>
  <c r="O845" i="5" a="1"/>
  <c r="O845" i="5" s="1"/>
  <c r="O846" i="5" a="1"/>
  <c r="O846" i="5" s="1"/>
  <c r="O847" i="5" a="1"/>
  <c r="O847" i="5" s="1"/>
  <c r="O848" i="5" a="1"/>
  <c r="O848" i="5" s="1"/>
  <c r="O849" i="5" a="1"/>
  <c r="O849" i="5" s="1"/>
  <c r="O850" i="5" a="1"/>
  <c r="O850" i="5" s="1"/>
  <c r="O851" i="5" a="1"/>
  <c r="O851" i="5"/>
  <c r="O852" i="5" a="1"/>
  <c r="O852" i="5" s="1"/>
  <c r="O853" i="5" a="1"/>
  <c r="O853" i="5" s="1"/>
  <c r="O854" i="5" a="1"/>
  <c r="O854" i="5" s="1"/>
  <c r="O855" i="5" a="1"/>
  <c r="O855" i="5" s="1"/>
  <c r="O856" i="5" a="1"/>
  <c r="O856" i="5" s="1"/>
  <c r="O857" i="5" a="1"/>
  <c r="O857" i="5" s="1"/>
  <c r="O858" i="5" a="1"/>
  <c r="O858" i="5" s="1"/>
  <c r="O859" i="5" a="1"/>
  <c r="O859" i="5" s="1"/>
  <c r="O860" i="5" a="1"/>
  <c r="O860" i="5" s="1"/>
  <c r="O861" i="5" a="1"/>
  <c r="O861" i="5" s="1"/>
  <c r="O862" i="5" a="1"/>
  <c r="O862" i="5" s="1"/>
  <c r="O863" i="5" a="1"/>
  <c r="O863" i="5" s="1"/>
  <c r="O864" i="5" a="1"/>
  <c r="O864" i="5" s="1"/>
  <c r="O865" i="5" a="1"/>
  <c r="O865" i="5" s="1"/>
  <c r="O866" i="5" a="1"/>
  <c r="O866" i="5" s="1"/>
  <c r="O867" i="5" a="1"/>
  <c r="O867" i="5" s="1"/>
  <c r="O868" i="5" a="1"/>
  <c r="O868" i="5" s="1"/>
  <c r="O869" i="5" a="1"/>
  <c r="O869" i="5" s="1"/>
  <c r="O870" i="5" a="1"/>
  <c r="O870" i="5" s="1"/>
  <c r="O871" i="5" a="1"/>
  <c r="O871" i="5" s="1"/>
  <c r="O872" i="5" a="1"/>
  <c r="O872" i="5" s="1"/>
  <c r="O873" i="5" a="1"/>
  <c r="O873" i="5" s="1"/>
  <c r="O874" i="5" a="1"/>
  <c r="O874" i="5" s="1"/>
  <c r="O875" i="5" a="1"/>
  <c r="O875" i="5" s="1"/>
  <c r="O876" i="5" a="1"/>
  <c r="O876" i="5" s="1"/>
  <c r="O877" i="5" a="1"/>
  <c r="O877" i="5" s="1"/>
  <c r="O878" i="5" a="1"/>
  <c r="O878" i="5" s="1"/>
  <c r="O879" i="5" a="1"/>
  <c r="O879" i="5" s="1"/>
  <c r="O880" i="5" a="1"/>
  <c r="O880" i="5"/>
  <c r="O881" i="5" a="1"/>
  <c r="O881" i="5" s="1"/>
  <c r="O882" i="5" a="1"/>
  <c r="O882" i="5" s="1"/>
  <c r="O883" i="5" a="1"/>
  <c r="O883" i="5" s="1"/>
  <c r="O884" i="5" a="1"/>
  <c r="O884" i="5" s="1"/>
  <c r="O885" i="5" a="1"/>
  <c r="O885" i="5" s="1"/>
  <c r="O886" i="5" a="1"/>
  <c r="O886" i="5" s="1"/>
  <c r="O887" i="5" a="1"/>
  <c r="O887" i="5" s="1"/>
  <c r="O888" i="5" a="1"/>
  <c r="O888" i="5" s="1"/>
  <c r="O889" i="5" a="1"/>
  <c r="O889" i="5" s="1"/>
  <c r="O890" i="5" a="1"/>
  <c r="O890" i="5" s="1"/>
  <c r="O891" i="5" a="1"/>
  <c r="O891" i="5" s="1"/>
  <c r="O892" i="5" a="1"/>
  <c r="O892" i="5" s="1"/>
  <c r="O893" i="5" a="1"/>
  <c r="O893" i="5" s="1"/>
  <c r="O894" i="5" a="1"/>
  <c r="O894" i="5" s="1"/>
  <c r="O895" i="5" a="1"/>
  <c r="O895" i="5" s="1"/>
  <c r="O896" i="5" a="1"/>
  <c r="O896" i="5" s="1"/>
  <c r="O897" i="5" a="1"/>
  <c r="O897" i="5" s="1"/>
  <c r="O898" i="5" a="1"/>
  <c r="O898" i="5"/>
  <c r="O899" i="5" a="1"/>
  <c r="O899" i="5" s="1"/>
  <c r="O900" i="5" a="1"/>
  <c r="O900" i="5" s="1"/>
  <c r="O901" i="5" a="1"/>
  <c r="O901" i="5" s="1"/>
  <c r="O902" i="5" a="1"/>
  <c r="O902" i="5" s="1"/>
  <c r="O903" i="5" a="1"/>
  <c r="O903" i="5" s="1"/>
  <c r="O904" i="5" a="1"/>
  <c r="O904" i="5" s="1"/>
  <c r="O905" i="5" a="1"/>
  <c r="O905" i="5" s="1"/>
  <c r="O906" i="5" a="1"/>
  <c r="O906" i="5" s="1"/>
  <c r="O907" i="5" a="1"/>
  <c r="O907" i="5" s="1"/>
  <c r="O908" i="5" a="1"/>
  <c r="O908" i="5" s="1"/>
  <c r="O909" i="5" a="1"/>
  <c r="O909" i="5" s="1"/>
  <c r="O910" i="5" a="1"/>
  <c r="O910" i="5" s="1"/>
  <c r="O911" i="5" a="1"/>
  <c r="O911" i="5" s="1"/>
  <c r="O912" i="5" a="1"/>
  <c r="O912" i="5" s="1"/>
  <c r="O913" i="5" a="1"/>
  <c r="O913" i="5" s="1"/>
  <c r="O914" i="5" a="1"/>
  <c r="O914" i="5" s="1"/>
  <c r="O915" i="5" a="1"/>
  <c r="O915" i="5" s="1"/>
  <c r="O916" i="5" a="1"/>
  <c r="O916" i="5" s="1"/>
  <c r="O917" i="5" a="1"/>
  <c r="O917" i="5" s="1"/>
  <c r="O918" i="5" a="1"/>
  <c r="O918" i="5" s="1"/>
  <c r="O919" i="5" a="1"/>
  <c r="O919" i="5" s="1"/>
  <c r="O920" i="5" a="1"/>
  <c r="O920" i="5" s="1"/>
  <c r="O921" i="5" a="1"/>
  <c r="O921" i="5" s="1"/>
  <c r="O922" i="5" a="1"/>
  <c r="O922" i="5" s="1"/>
  <c r="O923" i="5" a="1"/>
  <c r="O923" i="5" s="1"/>
  <c r="O924" i="5" a="1"/>
  <c r="O924" i="5" s="1"/>
  <c r="O925" i="5" a="1"/>
  <c r="O925" i="5" s="1"/>
  <c r="O926" i="5" a="1"/>
  <c r="O926" i="5" s="1"/>
  <c r="O927" i="5" a="1"/>
  <c r="O927" i="5" s="1"/>
  <c r="O928" i="5" a="1"/>
  <c r="O928" i="5" s="1"/>
  <c r="O929" i="5" a="1"/>
  <c r="O929" i="5" s="1"/>
  <c r="O930" i="5" a="1"/>
  <c r="O930" i="5" s="1"/>
  <c r="O931" i="5" a="1"/>
  <c r="O931" i="5" s="1"/>
  <c r="O932" i="5" a="1"/>
  <c r="O932" i="5" s="1"/>
  <c r="O933" i="5" a="1"/>
  <c r="O933" i="5" s="1"/>
  <c r="O934" i="5" a="1"/>
  <c r="O934" i="5" s="1"/>
  <c r="O935" i="5" a="1"/>
  <c r="O935" i="5" s="1"/>
  <c r="O936" i="5" a="1"/>
  <c r="O936" i="5" s="1"/>
  <c r="O937" i="5" a="1"/>
  <c r="O937" i="5" s="1"/>
  <c r="O938" i="5" a="1"/>
  <c r="O938" i="5" s="1"/>
  <c r="O939" i="5" a="1"/>
  <c r="O939" i="5" s="1"/>
  <c r="O940" i="5" a="1"/>
  <c r="O940" i="5" s="1"/>
  <c r="O941" i="5" a="1"/>
  <c r="O941" i="5" s="1"/>
  <c r="O942" i="5" a="1"/>
  <c r="O942" i="5" s="1"/>
  <c r="O943" i="5" a="1"/>
  <c r="O943" i="5" s="1"/>
  <c r="O944" i="5" a="1"/>
  <c r="O944" i="5" s="1"/>
  <c r="O945" i="5" a="1"/>
  <c r="O945" i="5" s="1"/>
  <c r="O946" i="5" a="1"/>
  <c r="O946" i="5"/>
  <c r="O947" i="5" a="1"/>
  <c r="O947" i="5" s="1"/>
  <c r="O948" i="5" a="1"/>
  <c r="O948" i="5" s="1"/>
  <c r="O949" i="5" a="1"/>
  <c r="O949" i="5" s="1"/>
  <c r="O950" i="5" a="1"/>
  <c r="O950" i="5" s="1"/>
  <c r="O951" i="5" a="1"/>
  <c r="O951" i="5" s="1"/>
  <c r="O952" i="5" a="1"/>
  <c r="O952" i="5" s="1"/>
  <c r="O953" i="5" a="1"/>
  <c r="O953" i="5" s="1"/>
  <c r="O954" i="5" a="1"/>
  <c r="O954" i="5" s="1"/>
  <c r="O955" i="5" a="1"/>
  <c r="O955" i="5" s="1"/>
  <c r="O956" i="5" a="1"/>
  <c r="O956" i="5" s="1"/>
  <c r="O957" i="5" a="1"/>
  <c r="O957" i="5" s="1"/>
  <c r="O958" i="5" a="1"/>
  <c r="O958" i="5" s="1"/>
  <c r="O959" i="5" a="1"/>
  <c r="O959" i="5" s="1"/>
  <c r="O960" i="5" a="1"/>
  <c r="O960" i="5" s="1"/>
  <c r="O961" i="5" a="1"/>
  <c r="O961" i="5" s="1"/>
  <c r="O962" i="5" a="1"/>
  <c r="O962" i="5" s="1"/>
  <c r="O963" i="5" a="1"/>
  <c r="O963" i="5" s="1"/>
  <c r="O964" i="5" a="1"/>
  <c r="O964" i="5" s="1"/>
  <c r="O965" i="5" a="1"/>
  <c r="O965" i="5" s="1"/>
  <c r="O966" i="5" a="1"/>
  <c r="O966" i="5" s="1"/>
  <c r="O967" i="5" a="1"/>
  <c r="O967" i="5" s="1"/>
  <c r="O968" i="5" a="1"/>
  <c r="O968" i="5" s="1"/>
  <c r="O969" i="5" a="1"/>
  <c r="O969" i="5" s="1"/>
  <c r="O970" i="5" a="1"/>
  <c r="O970" i="5" s="1"/>
  <c r="O971" i="5" a="1"/>
  <c r="O971" i="5" s="1"/>
  <c r="O972" i="5" a="1"/>
  <c r="O972" i="5" s="1"/>
  <c r="O973" i="5" a="1"/>
  <c r="O973" i="5" s="1"/>
  <c r="O974" i="5" a="1"/>
  <c r="O974" i="5" s="1"/>
  <c r="O975" i="5" a="1"/>
  <c r="O975" i="5" s="1"/>
  <c r="O976" i="5" a="1"/>
  <c r="O976" i="5"/>
  <c r="O977" i="5" a="1"/>
  <c r="O977" i="5" s="1"/>
  <c r="O978" i="5" a="1"/>
  <c r="O978" i="5" s="1"/>
  <c r="O979" i="5" a="1"/>
  <c r="O979" i="5"/>
  <c r="O980" i="5" a="1"/>
  <c r="O980" i="5" s="1"/>
  <c r="O981" i="5" a="1"/>
  <c r="O981" i="5" s="1"/>
  <c r="O982" i="5" a="1"/>
  <c r="O982" i="5" s="1"/>
  <c r="O983" i="5" a="1"/>
  <c r="O983" i="5" s="1"/>
  <c r="O984" i="5" a="1"/>
  <c r="O984" i="5" s="1"/>
  <c r="O985" i="5" a="1"/>
  <c r="O985" i="5"/>
  <c r="O986" i="5" a="1"/>
  <c r="O986" i="5" s="1"/>
  <c r="O987" i="5" a="1"/>
  <c r="O987" i="5" s="1"/>
  <c r="O988" i="5" a="1"/>
  <c r="O988" i="5" s="1"/>
  <c r="O989" i="5" a="1"/>
  <c r="O989" i="5" s="1"/>
  <c r="O990" i="5" a="1"/>
  <c r="O990" i="5" s="1"/>
  <c r="O991" i="5" a="1"/>
  <c r="O991" i="5" s="1"/>
  <c r="O992" i="5" a="1"/>
  <c r="O992" i="5" s="1"/>
  <c r="O993" i="5" a="1"/>
  <c r="O993" i="5" s="1"/>
  <c r="O994" i="5" a="1"/>
  <c r="O994" i="5" s="1"/>
  <c r="O995" i="5" a="1"/>
  <c r="O995" i="5" s="1"/>
  <c r="O996" i="5" a="1"/>
  <c r="O996" i="5" s="1"/>
  <c r="O997" i="5" a="1"/>
  <c r="O997" i="5" s="1"/>
  <c r="O998" i="5" a="1"/>
  <c r="O998" i="5" s="1"/>
  <c r="O999" i="5" a="1"/>
  <c r="O999" i="5" s="1"/>
  <c r="O1000" i="5" a="1"/>
  <c r="O1000" i="5" s="1"/>
  <c r="O1001" i="5" a="1"/>
  <c r="O1001" i="5" s="1"/>
  <c r="O1002" i="5" a="1"/>
  <c r="O1002" i="5" s="1"/>
  <c r="O1003" i="5" a="1"/>
  <c r="O1003" i="5" s="1"/>
  <c r="O1004" i="5" a="1"/>
  <c r="O1004" i="5" s="1"/>
  <c r="O1005" i="5" a="1"/>
  <c r="O1005" i="5" s="1"/>
  <c r="O1006" i="5" a="1"/>
  <c r="O1006" i="5" s="1"/>
  <c r="O1007" i="5" a="1"/>
  <c r="O1007" i="5" s="1"/>
  <c r="O1008" i="5" a="1"/>
  <c r="O1008" i="5" s="1"/>
  <c r="O1009" i="5" a="1"/>
  <c r="O1009" i="5" s="1"/>
  <c r="O1010" i="5" a="1"/>
  <c r="O1010" i="5" s="1"/>
  <c r="O1011" i="5" a="1"/>
  <c r="O1011" i="5" s="1"/>
  <c r="O1012" i="5" a="1"/>
  <c r="O1012" i="5" s="1"/>
  <c r="O1013" i="5" a="1"/>
  <c r="O1013" i="5" s="1"/>
  <c r="O1014" i="5" a="1"/>
  <c r="O1014" i="5" s="1"/>
  <c r="O1015" i="5" a="1"/>
  <c r="O1015" i="5" s="1"/>
  <c r="O1016" i="5" a="1"/>
  <c r="O1016" i="5" s="1"/>
  <c r="O1017" i="5" a="1"/>
  <c r="O1017" i="5" s="1"/>
  <c r="O1018" i="5" a="1"/>
  <c r="O1018" i="5" s="1"/>
  <c r="O1019" i="5" a="1"/>
  <c r="O1019" i="5" s="1"/>
  <c r="O1020" i="5" a="1"/>
  <c r="O1020" i="5" s="1"/>
  <c r="O1021" i="5" a="1"/>
  <c r="O1021" i="5" s="1"/>
  <c r="O1022" i="5" a="1"/>
  <c r="O1022" i="5" s="1"/>
  <c r="O1023" i="5" a="1"/>
  <c r="O1023" i="5" s="1"/>
  <c r="O1024" i="5" a="1"/>
  <c r="O1024" i="5" s="1"/>
  <c r="O1025" i="5" a="1"/>
  <c r="O1025" i="5" s="1"/>
  <c r="O1026" i="5" a="1"/>
  <c r="O1026" i="5" s="1"/>
  <c r="O1027" i="5" a="1"/>
  <c r="O1027" i="5" s="1"/>
  <c r="O1028" i="5" a="1"/>
  <c r="O1028" i="5" s="1"/>
  <c r="O1029" i="5" a="1"/>
  <c r="O1029" i="5" s="1"/>
  <c r="O1030" i="5" a="1"/>
  <c r="O1030" i="5" s="1"/>
  <c r="O1031" i="5" a="1"/>
  <c r="O1031" i="5" s="1"/>
  <c r="O1032" i="5" a="1"/>
  <c r="O1032" i="5" s="1"/>
  <c r="O1033" i="5" a="1"/>
  <c r="O1033" i="5" s="1"/>
  <c r="O1034" i="5" a="1"/>
  <c r="O1034" i="5" s="1"/>
  <c r="O1035" i="5" a="1"/>
  <c r="O1035" i="5" s="1"/>
  <c r="O1036" i="5" a="1"/>
  <c r="O1036" i="5" s="1"/>
  <c r="O1037" i="5" a="1"/>
  <c r="O1037" i="5" s="1"/>
  <c r="O1038" i="5" a="1"/>
  <c r="O1038" i="5" s="1"/>
  <c r="O1039" i="5" a="1"/>
  <c r="O1039" i="5" s="1"/>
  <c r="O1040" i="5" a="1"/>
  <c r="O1040" i="5" s="1"/>
  <c r="O1041" i="5" a="1"/>
  <c r="O1041" i="5" s="1"/>
  <c r="O1042" i="5" a="1"/>
  <c r="O1042" i="5" s="1"/>
  <c r="O1043" i="5" a="1"/>
  <c r="O1043" i="5" s="1"/>
  <c r="O1044" i="5" a="1"/>
  <c r="O1044" i="5" s="1"/>
  <c r="O1045" i="5" a="1"/>
  <c r="O1045" i="5" s="1"/>
  <c r="O1046" i="5" a="1"/>
  <c r="O1046" i="5" s="1"/>
  <c r="O1047" i="5" a="1"/>
  <c r="O1047" i="5" s="1"/>
  <c r="O1048" i="5" a="1"/>
  <c r="O1048" i="5" s="1"/>
  <c r="O1049" i="5" a="1"/>
  <c r="O1049" i="5" s="1"/>
  <c r="O1050" i="5" a="1"/>
  <c r="O1050" i="5" s="1"/>
  <c r="O1051" i="5" a="1"/>
  <c r="O1051" i="5" s="1"/>
  <c r="O1052" i="5" a="1"/>
  <c r="O1052" i="5" s="1"/>
  <c r="O1053" i="5" a="1"/>
  <c r="O1053" i="5" s="1"/>
  <c r="O1054" i="5" a="1"/>
  <c r="O1054" i="5" s="1"/>
  <c r="O1055" i="5" a="1"/>
  <c r="O1055" i="5" s="1"/>
  <c r="O1056" i="5" a="1"/>
  <c r="O1056" i="5" s="1"/>
  <c r="O1057" i="5" a="1"/>
  <c r="O1057" i="5"/>
  <c r="O1058" i="5" a="1"/>
  <c r="O1058" i="5" s="1"/>
  <c r="O1059" i="5" a="1"/>
  <c r="O1059" i="5" s="1"/>
  <c r="O1060" i="5" a="1"/>
  <c r="O1060" i="5" s="1"/>
  <c r="O1061" i="5" a="1"/>
  <c r="O1061" i="5" s="1"/>
  <c r="O1062" i="5" a="1"/>
  <c r="O1062" i="5" s="1"/>
  <c r="O1063" i="5" a="1"/>
  <c r="O1063" i="5" s="1"/>
  <c r="O1064" i="5" a="1"/>
  <c r="O1064" i="5" s="1"/>
  <c r="O1065" i="5" a="1"/>
  <c r="O1065" i="5" s="1"/>
  <c r="O1066" i="5" a="1"/>
  <c r="O1066" i="5" s="1"/>
  <c r="O1067" i="5" a="1"/>
  <c r="O1067" i="5" s="1"/>
  <c r="O1068" i="5" a="1"/>
  <c r="O1068" i="5" s="1"/>
  <c r="O1069" i="5" a="1"/>
  <c r="O1069" i="5" s="1"/>
  <c r="O1070" i="5" a="1"/>
  <c r="O1070" i="5" s="1"/>
  <c r="O1071" i="5" a="1"/>
  <c r="O1071" i="5" s="1"/>
  <c r="O1072" i="5" a="1"/>
  <c r="O1072" i="5" s="1"/>
  <c r="O1073" i="5" a="1"/>
  <c r="O1073" i="5" s="1"/>
  <c r="O1074" i="5" a="1"/>
  <c r="O1074" i="5" s="1"/>
  <c r="O1075" i="5" a="1"/>
  <c r="O1075" i="5"/>
  <c r="O1076" i="5" a="1"/>
  <c r="O1076" i="5" s="1"/>
  <c r="O1077" i="5" a="1"/>
  <c r="O1077" i="5" s="1"/>
  <c r="O1078" i="5" a="1"/>
  <c r="O1078" i="5" s="1"/>
  <c r="O1079" i="5" a="1"/>
  <c r="O1079" i="5" s="1"/>
  <c r="O1080" i="5" a="1"/>
  <c r="O1080" i="5" s="1"/>
  <c r="O1081" i="5" a="1"/>
  <c r="O1081" i="5" s="1"/>
  <c r="O1082" i="5" a="1"/>
  <c r="O1082" i="5" s="1"/>
  <c r="O1083" i="5" a="1"/>
  <c r="O1083" i="5" s="1"/>
  <c r="O1084" i="5" a="1"/>
  <c r="O1084" i="5" s="1"/>
  <c r="O1085" i="5" a="1"/>
  <c r="O1085" i="5" s="1"/>
  <c r="O1086" i="5" a="1"/>
  <c r="O1086" i="5" s="1"/>
  <c r="O1087" i="5" a="1"/>
  <c r="O1087" i="5" s="1"/>
  <c r="O1088" i="5" a="1"/>
  <c r="O1088" i="5" s="1"/>
  <c r="O1089" i="5" a="1"/>
  <c r="O1089" i="5" s="1"/>
  <c r="O1090" i="5" a="1"/>
  <c r="O1090" i="5" s="1"/>
  <c r="O1091" i="5" a="1"/>
  <c r="O1091" i="5" s="1"/>
  <c r="O1092" i="5" a="1"/>
  <c r="O1092" i="5" s="1"/>
  <c r="O1093" i="5" a="1"/>
  <c r="O1093" i="5" s="1"/>
  <c r="O1094" i="5" a="1"/>
  <c r="O1094" i="5" s="1"/>
  <c r="O1095" i="5" a="1"/>
  <c r="O1095" i="5" s="1"/>
  <c r="O1096" i="5" a="1"/>
  <c r="O1096" i="5" s="1"/>
  <c r="O1097" i="5" a="1"/>
  <c r="O1097" i="5" s="1"/>
  <c r="O1098" i="5" a="1"/>
  <c r="O1098" i="5" s="1"/>
  <c r="O1099" i="5" a="1"/>
  <c r="O1099" i="5" s="1"/>
  <c r="O1100" i="5" a="1"/>
  <c r="O1100" i="5" s="1"/>
  <c r="O1101" i="5" a="1"/>
  <c r="O1101" i="5" s="1"/>
  <c r="O1102" i="5" a="1"/>
  <c r="O1102" i="5" s="1"/>
  <c r="O1103" i="5" a="1"/>
  <c r="O1103" i="5" s="1"/>
  <c r="O1104" i="5" a="1"/>
  <c r="O1104" i="5" s="1"/>
  <c r="O1105" i="5" a="1"/>
  <c r="O1105" i="5" s="1"/>
  <c r="O1106" i="5" a="1"/>
  <c r="O1106" i="5" s="1"/>
  <c r="O1107" i="5" a="1"/>
  <c r="O1107" i="5" s="1"/>
  <c r="O1108" i="5" a="1"/>
  <c r="O1108" i="5" s="1"/>
  <c r="O1109" i="5" a="1"/>
  <c r="O1109" i="5" s="1"/>
  <c r="O1110" i="5" a="1"/>
  <c r="O1110" i="5" s="1"/>
  <c r="O1111" i="5" a="1"/>
  <c r="O1111" i="5" s="1"/>
  <c r="O1112" i="5" a="1"/>
  <c r="O1112" i="5" s="1"/>
  <c r="O1113" i="5" a="1"/>
  <c r="O1113" i="5" s="1"/>
  <c r="O1114" i="5" a="1"/>
  <c r="O1114" i="5" s="1"/>
  <c r="O1115" i="5" a="1"/>
  <c r="O1115" i="5" s="1"/>
  <c r="O1116" i="5" a="1"/>
  <c r="O1116" i="5" s="1"/>
  <c r="O1117" i="5" a="1"/>
  <c r="O1117" i="5" s="1"/>
  <c r="O1118" i="5" a="1"/>
  <c r="O1118" i="5" s="1"/>
  <c r="O1119" i="5" a="1"/>
  <c r="O1119" i="5" s="1"/>
  <c r="O1120" i="5" a="1"/>
  <c r="O1120" i="5" s="1"/>
  <c r="O1121" i="5" a="1"/>
  <c r="O1121" i="5" s="1"/>
  <c r="O1122" i="5" a="1"/>
  <c r="O1122" i="5" s="1"/>
  <c r="O1123" i="5" a="1"/>
  <c r="O1123" i="5"/>
  <c r="O1124" i="5" a="1"/>
  <c r="O1124" i="5" s="1"/>
  <c r="O1125" i="5" a="1"/>
  <c r="O1125" i="5" s="1"/>
  <c r="O1126" i="5" a="1"/>
  <c r="O1126" i="5" s="1"/>
  <c r="O1127" i="5" a="1"/>
  <c r="O1127" i="5" s="1"/>
  <c r="O1128" i="5" a="1"/>
  <c r="O1128" i="5" s="1"/>
  <c r="O1129" i="5" a="1"/>
  <c r="O1129" i="5" s="1"/>
  <c r="O1130" i="5" a="1"/>
  <c r="O1130" i="5" s="1"/>
  <c r="O1131" i="5" a="1"/>
  <c r="O1131" i="5" s="1"/>
  <c r="O1132" i="5" a="1"/>
  <c r="O1132" i="5" s="1"/>
  <c r="O1133" i="5" a="1"/>
  <c r="O1133" i="5" s="1"/>
  <c r="O1134" i="5" a="1"/>
  <c r="O1134" i="5" s="1"/>
  <c r="O1135" i="5" a="1"/>
  <c r="O1135" i="5" s="1"/>
  <c r="O1136" i="5" a="1"/>
  <c r="O1136" i="5" s="1"/>
  <c r="O1137" i="5" a="1"/>
  <c r="O1137" i="5"/>
  <c r="O1138" i="5" a="1"/>
  <c r="O1138" i="5" s="1"/>
  <c r="O1139" i="5" a="1"/>
  <c r="O1139" i="5" s="1"/>
  <c r="O1140" i="5" a="1"/>
  <c r="O1140" i="5" s="1"/>
  <c r="O1141" i="5" a="1"/>
  <c r="O1141" i="5" s="1"/>
  <c r="O1142" i="5" a="1"/>
  <c r="O1142" i="5" s="1"/>
  <c r="O1143" i="5" a="1"/>
  <c r="O1143" i="5" s="1"/>
  <c r="O1144" i="5" a="1"/>
  <c r="O1144" i="5" s="1"/>
  <c r="O1145" i="5" a="1"/>
  <c r="O1145" i="5" s="1"/>
  <c r="O1146" i="5" a="1"/>
  <c r="O1146" i="5" s="1"/>
  <c r="O1147" i="5" a="1"/>
  <c r="O1147" i="5" s="1"/>
  <c r="O1148" i="5" a="1"/>
  <c r="O1148" i="5" s="1"/>
  <c r="O1149" i="5" a="1"/>
  <c r="O1149" i="5" s="1"/>
  <c r="O1150" i="5" a="1"/>
  <c r="O1150" i="5" s="1"/>
  <c r="O1151" i="5" a="1"/>
  <c r="O1151" i="5" s="1"/>
  <c r="O1152" i="5" a="1"/>
  <c r="O1152" i="5" s="1"/>
  <c r="O1153" i="5" a="1"/>
  <c r="O1153" i="5" s="1"/>
  <c r="O1154" i="5" a="1"/>
  <c r="O1154" i="5" s="1"/>
  <c r="O1155" i="5" a="1"/>
  <c r="O1155" i="5" s="1"/>
  <c r="O1156" i="5" a="1"/>
  <c r="O1156" i="5"/>
  <c r="O1157" i="5" a="1"/>
  <c r="O1157" i="5" s="1"/>
  <c r="O1158" i="5" a="1"/>
  <c r="O1158" i="5" s="1"/>
  <c r="O1159" i="5" a="1"/>
  <c r="O1159" i="5" s="1"/>
  <c r="O1160" i="5" a="1"/>
  <c r="O1160" i="5" s="1"/>
  <c r="O1161" i="5" a="1"/>
  <c r="O1161" i="5" s="1"/>
  <c r="O1162" i="5" a="1"/>
  <c r="O1162" i="5" s="1"/>
  <c r="O1163" i="5" a="1"/>
  <c r="O1163" i="5" s="1"/>
  <c r="O1164" i="5" a="1"/>
  <c r="O1164" i="5" s="1"/>
  <c r="O1165" i="5" a="1"/>
  <c r="O1165" i="5" s="1"/>
  <c r="O1166" i="5" a="1"/>
  <c r="O1166" i="5" s="1"/>
  <c r="O1167" i="5" a="1"/>
  <c r="O1167" i="5" s="1"/>
  <c r="O1168" i="5" a="1"/>
  <c r="O1168" i="5" s="1"/>
  <c r="O1169" i="5" a="1"/>
  <c r="O1169" i="5" s="1"/>
  <c r="O1170" i="5" a="1"/>
  <c r="O1170" i="5" s="1"/>
  <c r="O1171" i="5" a="1"/>
  <c r="O1171" i="5" s="1"/>
  <c r="O1172" i="5" a="1"/>
  <c r="O1172" i="5" s="1"/>
  <c r="O1173" i="5" a="1"/>
  <c r="O1173" i="5" s="1"/>
  <c r="O1174" i="5" a="1"/>
  <c r="O1174" i="5" s="1"/>
  <c r="O1175" i="5" a="1"/>
  <c r="O1175" i="5" s="1"/>
  <c r="O1176" i="5" a="1"/>
  <c r="O1176" i="5" s="1"/>
  <c r="O1177" i="5" a="1"/>
  <c r="O1177" i="5" s="1"/>
  <c r="O1178" i="5" a="1"/>
  <c r="O1178" i="5" s="1"/>
  <c r="O1179" i="5" a="1"/>
  <c r="O1179" i="5" s="1"/>
  <c r="O1180" i="5" a="1"/>
  <c r="O1180" i="5" s="1"/>
  <c r="O1181" i="5" a="1"/>
  <c r="O1181" i="5" s="1"/>
  <c r="O1182" i="5" a="1"/>
  <c r="O1182" i="5" s="1"/>
  <c r="O1183" i="5" a="1"/>
  <c r="O1183" i="5" s="1"/>
  <c r="O1184" i="5" a="1"/>
  <c r="O1184" i="5" s="1"/>
  <c r="O1185" i="5" a="1"/>
  <c r="O1185" i="5" s="1"/>
  <c r="O1186" i="5" a="1"/>
  <c r="O1186" i="5" s="1"/>
  <c r="O1187" i="5" a="1"/>
  <c r="O1187" i="5" s="1"/>
  <c r="O1188" i="5" a="1"/>
  <c r="O1188" i="5" s="1"/>
  <c r="O1189" i="5" a="1"/>
  <c r="O1189" i="5" s="1"/>
  <c r="O1190" i="5" a="1"/>
  <c r="O1190" i="5" s="1"/>
  <c r="O1191" i="5" a="1"/>
  <c r="O1191" i="5" s="1"/>
  <c r="O1192" i="5" a="1"/>
  <c r="O1192" i="5" s="1"/>
  <c r="O1193" i="5" a="1"/>
  <c r="O1193" i="5" s="1"/>
  <c r="O1194" i="5" a="1"/>
  <c r="O1194" i="5" s="1"/>
  <c r="O1195" i="5" a="1"/>
  <c r="O1195" i="5" s="1"/>
  <c r="O1196" i="5" a="1"/>
  <c r="O1196" i="5" s="1"/>
  <c r="O1197" i="5" a="1"/>
  <c r="O1197" i="5" s="1"/>
  <c r="O1198" i="5" a="1"/>
  <c r="O1198" i="5" s="1"/>
  <c r="O1199" i="5" a="1"/>
  <c r="O1199" i="5" s="1"/>
  <c r="O1200" i="5" a="1"/>
  <c r="O1200" i="5" s="1"/>
  <c r="O1201" i="5" a="1"/>
  <c r="O1201" i="5" s="1"/>
  <c r="O1202" i="5" a="1"/>
  <c r="O1202" i="5" s="1"/>
  <c r="O1203" i="5" a="1"/>
  <c r="O1203" i="5" s="1"/>
  <c r="O1204" i="5" a="1"/>
  <c r="O1204" i="5" s="1"/>
  <c r="O1205" i="5" a="1"/>
  <c r="O1205" i="5" s="1"/>
  <c r="O1206" i="5" a="1"/>
  <c r="O1206" i="5" s="1"/>
  <c r="O1207" i="5" a="1"/>
  <c r="O1207" i="5" s="1"/>
  <c r="O1208" i="5" a="1"/>
  <c r="O1208" i="5" s="1"/>
  <c r="O1209" i="5" a="1"/>
  <c r="O1209" i="5" s="1"/>
  <c r="O1210" i="5" a="1"/>
  <c r="O1210" i="5" s="1"/>
  <c r="O1211" i="5" a="1"/>
  <c r="O1211" i="5" s="1"/>
  <c r="O1212" i="5" a="1"/>
  <c r="O1212" i="5" s="1"/>
  <c r="O1213" i="5" a="1"/>
  <c r="O1213" i="5" s="1"/>
  <c r="O1214" i="5" a="1"/>
  <c r="O1214" i="5" s="1"/>
  <c r="O1215" i="5" a="1"/>
  <c r="O1215" i="5" s="1"/>
  <c r="O1216" i="5" a="1"/>
  <c r="O1216" i="5" s="1"/>
  <c r="O1217" i="5" a="1"/>
  <c r="O1217" i="5" s="1"/>
  <c r="O1218" i="5" a="1"/>
  <c r="O1218" i="5" s="1"/>
  <c r="O1219" i="5" a="1"/>
  <c r="O1219" i="5" s="1"/>
  <c r="O1220" i="5" a="1"/>
  <c r="O1220" i="5" s="1"/>
  <c r="O1221" i="5" a="1"/>
  <c r="O1221" i="5" s="1"/>
  <c r="O1222" i="5" a="1"/>
  <c r="O1222" i="5" s="1"/>
  <c r="O1223" i="5" a="1"/>
  <c r="O1223" i="5" s="1"/>
  <c r="O1224" i="5" a="1"/>
  <c r="O1224" i="5" s="1"/>
  <c r="O1225" i="5" a="1"/>
  <c r="O1225" i="5" s="1"/>
  <c r="O1226" i="5" a="1"/>
  <c r="O1226" i="5" s="1"/>
  <c r="O1227" i="5" a="1"/>
  <c r="O1227" i="5" s="1"/>
  <c r="O1228" i="5" a="1"/>
  <c r="O1228" i="5" s="1"/>
  <c r="O1229" i="5" a="1"/>
  <c r="O1229" i="5" s="1"/>
  <c r="O1230" i="5" a="1"/>
  <c r="O1230" i="5" s="1"/>
  <c r="O1231" i="5" a="1"/>
  <c r="O1231" i="5" s="1"/>
  <c r="O1232" i="5" a="1"/>
  <c r="O1232" i="5" s="1"/>
  <c r="O1233" i="5" a="1"/>
  <c r="O1233" i="5" s="1"/>
  <c r="O1234" i="5" a="1"/>
  <c r="O1234" i="5" s="1"/>
  <c r="O1235" i="5" a="1"/>
  <c r="O1235" i="5" s="1"/>
  <c r="O1236" i="5" a="1"/>
  <c r="O1236" i="5" s="1"/>
  <c r="O1237" i="5" a="1"/>
  <c r="O1237" i="5" s="1"/>
  <c r="O1238" i="5" a="1"/>
  <c r="O1238" i="5" s="1"/>
  <c r="O1239" i="5" a="1"/>
  <c r="O1239" i="5" s="1"/>
  <c r="O1240" i="5" a="1"/>
  <c r="O1240" i="5" s="1"/>
  <c r="O1241" i="5" a="1"/>
  <c r="O1241" i="5" s="1"/>
  <c r="O1242" i="5" a="1"/>
  <c r="O1242" i="5" s="1"/>
  <c r="O1243" i="5" a="1"/>
  <c r="O1243" i="5" s="1"/>
  <c r="O1244" i="5" a="1"/>
  <c r="O1244" i="5" s="1"/>
  <c r="O1245" i="5" a="1"/>
  <c r="O1245" i="5" s="1"/>
  <c r="O1246" i="5" a="1"/>
  <c r="O1246" i="5" s="1"/>
  <c r="O1247" i="5" a="1"/>
  <c r="O1247" i="5" s="1"/>
  <c r="O1248" i="5" a="1"/>
  <c r="O1248" i="5" s="1"/>
  <c r="O1249" i="5" a="1"/>
  <c r="O1249" i="5" s="1"/>
  <c r="O1250" i="5" a="1"/>
  <c r="O1250" i="5" s="1"/>
  <c r="O1251" i="5" a="1"/>
  <c r="O1251" i="5" s="1"/>
  <c r="O1252" i="5" a="1"/>
  <c r="O1252" i="5" s="1"/>
  <c r="O1253" i="5" a="1"/>
  <c r="O1253" i="5" s="1"/>
  <c r="O1254" i="5" a="1"/>
  <c r="O1254" i="5" s="1"/>
  <c r="O1255" i="5" a="1"/>
  <c r="O1255" i="5" s="1"/>
  <c r="O1256" i="5" a="1"/>
  <c r="O1256" i="5" s="1"/>
  <c r="O1257" i="5" a="1"/>
  <c r="O1257" i="5" s="1"/>
  <c r="O1258" i="5" a="1"/>
  <c r="O1258" i="5" s="1"/>
  <c r="O1259" i="5" a="1"/>
  <c r="O1259" i="5" s="1"/>
  <c r="O1260" i="5" a="1"/>
  <c r="O1260" i="5" s="1"/>
  <c r="O1261" i="5" a="1"/>
  <c r="O1261" i="5" s="1"/>
  <c r="O1262" i="5" a="1"/>
  <c r="O1262" i="5" s="1"/>
  <c r="O1263" i="5" a="1"/>
  <c r="O1263" i="5" s="1"/>
  <c r="O1264" i="5" a="1"/>
  <c r="O1264" i="5" s="1"/>
  <c r="O1265" i="5" a="1"/>
  <c r="O1265" i="5" s="1"/>
  <c r="O1266" i="5" a="1"/>
  <c r="O1266" i="5" s="1"/>
  <c r="O1267" i="5" a="1"/>
  <c r="O1267" i="5" s="1"/>
  <c r="O1268" i="5" a="1"/>
  <c r="O1268" i="5" s="1"/>
  <c r="O1269" i="5" a="1"/>
  <c r="O1269" i="5" s="1"/>
  <c r="O1270" i="5" a="1"/>
  <c r="O1270" i="5" s="1"/>
  <c r="O1271" i="5" a="1"/>
  <c r="O1271" i="5" s="1"/>
  <c r="O1272" i="5" a="1"/>
  <c r="O1272" i="5" s="1"/>
  <c r="O1273" i="5" a="1"/>
  <c r="O1273" i="5" s="1"/>
  <c r="O1274" i="5" a="1"/>
  <c r="O1274" i="5" s="1"/>
  <c r="O1275" i="5" a="1"/>
  <c r="O1275" i="5" s="1"/>
  <c r="O1276" i="5" a="1"/>
  <c r="O1276" i="5" s="1"/>
  <c r="O1277" i="5" a="1"/>
  <c r="O1277" i="5" s="1"/>
  <c r="O1278" i="5" a="1"/>
  <c r="O1278" i="5" s="1"/>
  <c r="O1279" i="5" a="1"/>
  <c r="O1279" i="5" s="1"/>
  <c r="O1280" i="5" a="1"/>
  <c r="O1280" i="5" s="1"/>
  <c r="O1281" i="5" a="1"/>
  <c r="O1281" i="5" s="1"/>
  <c r="O1282" i="5" a="1"/>
  <c r="O1282" i="5" s="1"/>
  <c r="O1283" i="5" a="1"/>
  <c r="O1283" i="5" s="1"/>
  <c r="O1284" i="5" a="1"/>
  <c r="O1284" i="5" s="1"/>
  <c r="O1285" i="5" a="1"/>
  <c r="O1285" i="5" s="1"/>
  <c r="O1286" i="5" a="1"/>
  <c r="O1286" i="5" s="1"/>
  <c r="O1287" i="5" a="1"/>
  <c r="O1287" i="5" s="1"/>
  <c r="O1288" i="5" a="1"/>
  <c r="O1288" i="5" s="1"/>
  <c r="O1289" i="5" a="1"/>
  <c r="O1289" i="5" s="1"/>
  <c r="O1290" i="5" a="1"/>
  <c r="O1290" i="5" s="1"/>
  <c r="O1291" i="5" a="1"/>
  <c r="O1291" i="5" s="1"/>
  <c r="O1292" i="5" a="1"/>
  <c r="O1292" i="5" s="1"/>
  <c r="O1293" i="5" a="1"/>
  <c r="O1293" i="5" s="1"/>
  <c r="O1294" i="5" a="1"/>
  <c r="O1294" i="5" s="1"/>
  <c r="O1295" i="5" a="1"/>
  <c r="O1295" i="5" s="1"/>
  <c r="O1296" i="5" a="1"/>
  <c r="O1296" i="5" s="1"/>
  <c r="O1297" i="5" a="1"/>
  <c r="O1297" i="5" s="1"/>
  <c r="O1298" i="5" a="1"/>
  <c r="O1298" i="5" s="1"/>
  <c r="O1299" i="5" a="1"/>
  <c r="O1299" i="5" s="1"/>
  <c r="O1300" i="5" a="1"/>
  <c r="O1300" i="5" s="1"/>
  <c r="O1301" i="5" a="1"/>
  <c r="O1301" i="5" s="1"/>
  <c r="O1302" i="5" a="1"/>
  <c r="O1302" i="5" s="1"/>
  <c r="O1303" i="5" a="1"/>
  <c r="O1303" i="5" s="1"/>
  <c r="O1304" i="5" a="1"/>
  <c r="O1304" i="5" s="1"/>
  <c r="O1305" i="5" a="1"/>
  <c r="O1305" i="5" s="1"/>
  <c r="O1306" i="5" a="1"/>
  <c r="O1306" i="5" s="1"/>
  <c r="O1307" i="5" a="1"/>
  <c r="O1307" i="5" s="1"/>
  <c r="O1308" i="5" a="1"/>
  <c r="O1308" i="5" s="1"/>
  <c r="O1309" i="5" a="1"/>
  <c r="O1309" i="5" s="1"/>
  <c r="O1310" i="5" a="1"/>
  <c r="O1310" i="5" s="1"/>
  <c r="O1311" i="5" a="1"/>
  <c r="O1311" i="5" s="1"/>
  <c r="O1312" i="5" a="1"/>
  <c r="O1312" i="5" s="1"/>
  <c r="O1313" i="5" a="1"/>
  <c r="O1313" i="5" s="1"/>
  <c r="O1314" i="5" a="1"/>
  <c r="O1314" i="5" s="1"/>
  <c r="O1315" i="5" a="1"/>
  <c r="O1315" i="5" s="1"/>
  <c r="O1316" i="5" a="1"/>
  <c r="O1316" i="5" s="1"/>
  <c r="O1317" i="5" a="1"/>
  <c r="O1317" i="5" s="1"/>
  <c r="O1318" i="5" a="1"/>
  <c r="O1318" i="5"/>
  <c r="O1319" i="5" a="1"/>
  <c r="O1319" i="5" s="1"/>
  <c r="O1320" i="5" a="1"/>
  <c r="O1320" i="5" s="1"/>
  <c r="O1321" i="5" a="1"/>
  <c r="O1321" i="5" s="1"/>
  <c r="O1322" i="5" a="1"/>
  <c r="O1322" i="5" s="1"/>
  <c r="O1323" i="5" a="1"/>
  <c r="O1323" i="5" s="1"/>
  <c r="O1324" i="5" a="1"/>
  <c r="O1324" i="5" s="1"/>
  <c r="O1325" i="5" a="1"/>
  <c r="O1325" i="5" s="1"/>
  <c r="O1326" i="5" a="1"/>
  <c r="O1326" i="5" s="1"/>
  <c r="O1327" i="5" a="1"/>
  <c r="O1327" i="5" s="1"/>
  <c r="O1328" i="5" a="1"/>
  <c r="O1328" i="5" s="1"/>
  <c r="O1329" i="5" a="1"/>
  <c r="O1329" i="5" s="1"/>
  <c r="O1330" i="5" a="1"/>
  <c r="O1330" i="5" s="1"/>
  <c r="O1331" i="5" a="1"/>
  <c r="O1331" i="5" s="1"/>
  <c r="O1332" i="5" a="1"/>
  <c r="O1332" i="5" s="1"/>
  <c r="O1333" i="5" a="1"/>
  <c r="O1333" i="5" s="1"/>
  <c r="O1334" i="5" a="1"/>
  <c r="O1334" i="5" s="1"/>
  <c r="O1335" i="5" a="1"/>
  <c r="O1335" i="5" s="1"/>
  <c r="O1336" i="5" a="1"/>
  <c r="O1336" i="5" s="1"/>
  <c r="O1337" i="5" a="1"/>
  <c r="O1337" i="5" s="1"/>
  <c r="O1338" i="5" a="1"/>
  <c r="O1338" i="5" s="1"/>
  <c r="O1339" i="5" a="1"/>
  <c r="O1339" i="5" s="1"/>
  <c r="O1340" i="5" a="1"/>
  <c r="O1340" i="5" s="1"/>
  <c r="O1341" i="5" a="1"/>
  <c r="O1341" i="5" s="1"/>
  <c r="O1342" i="5" a="1"/>
  <c r="O1342" i="5" s="1"/>
  <c r="O1343" i="5" a="1"/>
  <c r="O1343" i="5" s="1"/>
  <c r="O1344" i="5" a="1"/>
  <c r="O1344" i="5" s="1"/>
  <c r="O1345" i="5" a="1"/>
  <c r="O1345" i="5" s="1"/>
  <c r="O1346" i="5" a="1"/>
  <c r="O1346" i="5" s="1"/>
  <c r="O1347" i="5" a="1"/>
  <c r="O1347" i="5" s="1"/>
  <c r="O1348" i="5" a="1"/>
  <c r="O1348" i="5" s="1"/>
  <c r="O1349" i="5" a="1"/>
  <c r="O1349" i="5" s="1"/>
  <c r="O1350" i="5" a="1"/>
  <c r="O1350" i="5" s="1"/>
  <c r="O1351" i="5" a="1"/>
  <c r="O1351" i="5" s="1"/>
  <c r="O1352" i="5" a="1"/>
  <c r="O1352" i="5" s="1"/>
  <c r="O1353" i="5" a="1"/>
  <c r="O1353" i="5" s="1"/>
  <c r="O1354" i="5" a="1"/>
  <c r="O1354" i="5" s="1"/>
  <c r="O1355" i="5" a="1"/>
  <c r="O1355" i="5" s="1"/>
  <c r="O1356" i="5" a="1"/>
  <c r="O1356" i="5" s="1"/>
  <c r="O1357" i="5" a="1"/>
  <c r="O1357" i="5" s="1"/>
  <c r="O1358" i="5" a="1"/>
  <c r="O1358" i="5" s="1"/>
  <c r="O1359" i="5" a="1"/>
  <c r="O1359" i="5" s="1"/>
  <c r="O1360" i="5" a="1"/>
  <c r="O1360" i="5" s="1"/>
  <c r="O1361" i="5" a="1"/>
  <c r="O1361" i="5" s="1"/>
  <c r="O1362" i="5" a="1"/>
  <c r="O1362" i="5" s="1"/>
  <c r="O1363" i="5" a="1"/>
  <c r="O1363" i="5" s="1"/>
  <c r="O1364" i="5" a="1"/>
  <c r="O1364" i="5" s="1"/>
  <c r="O1365" i="5" a="1"/>
  <c r="O1365" i="5" s="1"/>
  <c r="O1366" i="5" a="1"/>
  <c r="O1366" i="5"/>
  <c r="O1367" i="5" a="1"/>
  <c r="O1367" i="5" s="1"/>
  <c r="O1368" i="5" a="1"/>
  <c r="O1368" i="5" s="1"/>
  <c r="O1369" i="5" a="1"/>
  <c r="O1369" i="5" s="1"/>
  <c r="O1370" i="5" a="1"/>
  <c r="O1370" i="5" s="1"/>
  <c r="O1371" i="5" a="1"/>
  <c r="O1371" i="5" s="1"/>
  <c r="O1372" i="5" a="1"/>
  <c r="O1372" i="5" s="1"/>
  <c r="O1373" i="5" a="1"/>
  <c r="O1373" i="5" s="1"/>
  <c r="O1374" i="5" a="1"/>
  <c r="O1374" i="5" s="1"/>
  <c r="O1375" i="5" a="1"/>
  <c r="O1375" i="5" s="1"/>
  <c r="O1376" i="5" a="1"/>
  <c r="O1376" i="5" s="1"/>
  <c r="O1377" i="5" a="1"/>
  <c r="O1377" i="5" s="1"/>
  <c r="O1378" i="5" a="1"/>
  <c r="O1378" i="5" s="1"/>
  <c r="O1379" i="5" a="1"/>
  <c r="O1379" i="5" s="1"/>
  <c r="O1380" i="5" a="1"/>
  <c r="O1380" i="5" s="1"/>
  <c r="O1381" i="5" a="1"/>
  <c r="O1381" i="5" s="1"/>
  <c r="O1382" i="5" a="1"/>
  <c r="O1382" i="5" s="1"/>
  <c r="O1383" i="5" a="1"/>
  <c r="O1383" i="5" s="1"/>
  <c r="O1384" i="5" a="1"/>
  <c r="O1384" i="5" s="1"/>
  <c r="O1385" i="5" a="1"/>
  <c r="O1385" i="5" s="1"/>
  <c r="O1386" i="5" a="1"/>
  <c r="O1386" i="5" s="1"/>
  <c r="O1387" i="5" a="1"/>
  <c r="O1387" i="5" s="1"/>
  <c r="O1388" i="5" a="1"/>
  <c r="O1388" i="5" s="1"/>
  <c r="O1389" i="5" a="1"/>
  <c r="O1389" i="5" s="1"/>
  <c r="O1390" i="5" a="1"/>
  <c r="O1390" i="5" s="1"/>
  <c r="O1391" i="5" a="1"/>
  <c r="O1391" i="5" s="1"/>
  <c r="O1392" i="5" a="1"/>
  <c r="O1392" i="5" s="1"/>
  <c r="O1393" i="5" a="1"/>
  <c r="O1393" i="5" s="1"/>
  <c r="O1394" i="5" a="1"/>
  <c r="O1394" i="5" s="1"/>
  <c r="O1395" i="5" a="1"/>
  <c r="O1395" i="5" s="1"/>
  <c r="O1396" i="5" a="1"/>
  <c r="O1396" i="5" s="1"/>
  <c r="O1397" i="5" a="1"/>
  <c r="O1397" i="5" s="1"/>
  <c r="O1398" i="5" a="1"/>
  <c r="O1398" i="5" s="1"/>
  <c r="O1399" i="5" a="1"/>
  <c r="O1399" i="5" s="1"/>
  <c r="O1400" i="5" a="1"/>
  <c r="O1400" i="5" s="1"/>
  <c r="O1401" i="5" a="1"/>
  <c r="O1401" i="5" s="1"/>
  <c r="O1402" i="5" a="1"/>
  <c r="O1402" i="5" s="1"/>
  <c r="O1403" i="5" a="1"/>
  <c r="O1403" i="5" s="1"/>
  <c r="O1404" i="5" a="1"/>
  <c r="O1404" i="5" s="1"/>
  <c r="O1405" i="5" a="1"/>
  <c r="O1405" i="5" s="1"/>
  <c r="O1406" i="5" a="1"/>
  <c r="O1406" i="5" s="1"/>
  <c r="O1407" i="5" a="1"/>
  <c r="O1407" i="5" s="1"/>
  <c r="O1408" i="5" a="1"/>
  <c r="O1408" i="5" s="1"/>
  <c r="O1409" i="5" a="1"/>
  <c r="O1409" i="5" s="1"/>
  <c r="O1410" i="5" a="1"/>
  <c r="O1410" i="5" s="1"/>
  <c r="O1411" i="5" a="1"/>
  <c r="O1411" i="5" s="1"/>
  <c r="O1412" i="5" a="1"/>
  <c r="O1412" i="5" s="1"/>
  <c r="O1413" i="5" a="1"/>
  <c r="O1413" i="5" s="1"/>
  <c r="O1414" i="5" a="1"/>
  <c r="O1414" i="5" s="1"/>
  <c r="O1415" i="5" a="1"/>
  <c r="O1415" i="5" s="1"/>
  <c r="O1416" i="5" a="1"/>
  <c r="O1416" i="5" s="1"/>
  <c r="O1417" i="5" a="1"/>
  <c r="O1417" i="5" s="1"/>
  <c r="O1418" i="5" a="1"/>
  <c r="O1418" i="5" s="1"/>
  <c r="O1419" i="5" a="1"/>
  <c r="O1419" i="5" s="1"/>
  <c r="O1420" i="5" a="1"/>
  <c r="O1420" i="5" s="1"/>
  <c r="O1421" i="5" a="1"/>
  <c r="O1421" i="5" s="1"/>
  <c r="O1422" i="5" a="1"/>
  <c r="O1422" i="5" s="1"/>
  <c r="O1423" i="5" a="1"/>
  <c r="O1423" i="5" s="1"/>
  <c r="O1424" i="5" a="1"/>
  <c r="O1424" i="5" s="1"/>
  <c r="O1425" i="5" a="1"/>
  <c r="O1425" i="5" s="1"/>
  <c r="O1426" i="5" a="1"/>
  <c r="O1426" i="5" s="1"/>
  <c r="O1427" i="5" a="1"/>
  <c r="O1427" i="5" s="1"/>
  <c r="O1428" i="5" a="1"/>
  <c r="O1428" i="5" s="1"/>
  <c r="O1429" i="5" a="1"/>
  <c r="O1429" i="5" s="1"/>
  <c r="O1430" i="5" a="1"/>
  <c r="O1430" i="5" s="1"/>
  <c r="O1431" i="5" a="1"/>
  <c r="O1431" i="5" s="1"/>
  <c r="O1432" i="5" a="1"/>
  <c r="O1432" i="5" s="1"/>
  <c r="O1433" i="5" a="1"/>
  <c r="O1433" i="5" s="1"/>
  <c r="O1434" i="5" a="1"/>
  <c r="O1434" i="5" s="1"/>
  <c r="O1435" i="5" a="1"/>
  <c r="O1435" i="5" s="1"/>
  <c r="O1436" i="5" a="1"/>
  <c r="O1436" i="5" s="1"/>
  <c r="O1437" i="5" a="1"/>
  <c r="O1437" i="5" s="1"/>
  <c r="O1438" i="5" a="1"/>
  <c r="O1438" i="5" s="1"/>
  <c r="O1439" i="5" a="1"/>
  <c r="O1439" i="5" s="1"/>
  <c r="O1440" i="5" a="1"/>
  <c r="O1440" i="5" s="1"/>
  <c r="O1441" i="5" a="1"/>
  <c r="O1441" i="5" s="1"/>
  <c r="O1442" i="5" a="1"/>
  <c r="O1442" i="5" s="1"/>
  <c r="O1443" i="5" a="1"/>
  <c r="O1443" i="5" s="1"/>
  <c r="O1444" i="5" a="1"/>
  <c r="O1444" i="5" s="1"/>
  <c r="O1445" i="5" a="1"/>
  <c r="O1445" i="5" s="1"/>
  <c r="O1446" i="5" a="1"/>
  <c r="O1446" i="5" s="1"/>
  <c r="O1447" i="5" a="1"/>
  <c r="O1447" i="5" s="1"/>
  <c r="O1448" i="5" a="1"/>
  <c r="O1448" i="5" s="1"/>
  <c r="O1449" i="5" a="1"/>
  <c r="O1449" i="5" s="1"/>
  <c r="O1450" i="5" a="1"/>
  <c r="O1450" i="5" s="1"/>
  <c r="O1451" i="5" a="1"/>
  <c r="O1451" i="5" s="1"/>
  <c r="O1452" i="5" a="1"/>
  <c r="O1452" i="5" s="1"/>
  <c r="O1453" i="5" a="1"/>
  <c r="O1453" i="5" s="1"/>
  <c r="O1454" i="5" a="1"/>
  <c r="O1454" i="5" s="1"/>
  <c r="O1455" i="5" a="1"/>
  <c r="O1455" i="5" s="1"/>
  <c r="O1456" i="5" a="1"/>
  <c r="O1456" i="5" s="1"/>
  <c r="O1457" i="5" a="1"/>
  <c r="O1457" i="5" s="1"/>
  <c r="O1458" i="5" a="1"/>
  <c r="O1458" i="5" s="1"/>
  <c r="O1459" i="5" a="1"/>
  <c r="O1459" i="5" s="1"/>
  <c r="O1460" i="5" a="1"/>
  <c r="O1460" i="5" s="1"/>
  <c r="O1461" i="5" a="1"/>
  <c r="O1461" i="5" s="1"/>
  <c r="O1462" i="5" a="1"/>
  <c r="O1462" i="5" s="1"/>
  <c r="O1463" i="5" a="1"/>
  <c r="O1463" i="5" s="1"/>
  <c r="O1464" i="5" a="1"/>
  <c r="O1464" i="5" s="1"/>
  <c r="O1465" i="5" a="1"/>
  <c r="O1465" i="5" s="1"/>
  <c r="O1466" i="5" a="1"/>
  <c r="O1466" i="5" s="1"/>
  <c r="O1467" i="5" a="1"/>
  <c r="O1467" i="5" s="1"/>
  <c r="O1468" i="5" a="1"/>
  <c r="O1468" i="5" s="1"/>
  <c r="O1469" i="5" a="1"/>
  <c r="O1469" i="5" s="1"/>
  <c r="O1470" i="5" a="1"/>
  <c r="O1470" i="5" s="1"/>
  <c r="O1471" i="5" a="1"/>
  <c r="O1471" i="5" s="1"/>
  <c r="O1472" i="5" a="1"/>
  <c r="O1472" i="5" s="1"/>
  <c r="O1473" i="5" a="1"/>
  <c r="O1473" i="5" s="1"/>
  <c r="O1474" i="5" a="1"/>
  <c r="O1474" i="5" s="1"/>
  <c r="O1475" i="5" a="1"/>
  <c r="O1475" i="5" s="1"/>
  <c r="O1476" i="5" a="1"/>
  <c r="O1476" i="5" s="1"/>
  <c r="O1477" i="5" a="1"/>
  <c r="O1477" i="5" s="1"/>
  <c r="O1478" i="5" a="1"/>
  <c r="O1478" i="5" s="1"/>
  <c r="O1479" i="5" a="1"/>
  <c r="O1479" i="5" s="1"/>
  <c r="O1480" i="5" a="1"/>
  <c r="O1480" i="5" s="1"/>
  <c r="O1481" i="5" a="1"/>
  <c r="O1481" i="5" s="1"/>
  <c r="O1482" i="5" a="1"/>
  <c r="O1482" i="5" s="1"/>
  <c r="O1483" i="5" a="1"/>
  <c r="O1483" i="5" s="1"/>
  <c r="O1484" i="5" a="1"/>
  <c r="O1484" i="5" s="1"/>
  <c r="O1485" i="5" a="1"/>
  <c r="O1485" i="5" s="1"/>
  <c r="O1486" i="5" a="1"/>
  <c r="O1486" i="5" s="1"/>
  <c r="O1487" i="5" a="1"/>
  <c r="O1487" i="5" s="1"/>
  <c r="O1488" i="5" a="1"/>
  <c r="O1488" i="5" s="1"/>
  <c r="O1489" i="5" a="1"/>
  <c r="O1489" i="5" s="1"/>
  <c r="O1490" i="5" a="1"/>
  <c r="O1490" i="5" s="1"/>
  <c r="O1491" i="5" a="1"/>
  <c r="O1491" i="5" s="1"/>
  <c r="O1492" i="5" a="1"/>
  <c r="O1492" i="5" s="1"/>
  <c r="O1493" i="5" a="1"/>
  <c r="O1493" i="5" s="1"/>
  <c r="O1494" i="5" a="1"/>
  <c r="O1494" i="5" s="1"/>
  <c r="O1495" i="5" a="1"/>
  <c r="O1495" i="5" s="1"/>
  <c r="O1496" i="5" a="1"/>
  <c r="O1496" i="5" s="1"/>
  <c r="O1497" i="5" a="1"/>
  <c r="O1497" i="5" s="1"/>
  <c r="O1498" i="5" a="1"/>
  <c r="O1498" i="5" s="1"/>
  <c r="O1499" i="5" a="1"/>
  <c r="O1499" i="5" s="1"/>
  <c r="O1500" i="5" a="1"/>
  <c r="O1500" i="5" s="1"/>
  <c r="O1501" i="5" a="1"/>
  <c r="O1501" i="5" s="1"/>
  <c r="O1502" i="5" a="1"/>
  <c r="O1502" i="5" s="1"/>
  <c r="O1503" i="5" a="1"/>
  <c r="O1503" i="5" s="1"/>
  <c r="O1504" i="5" a="1"/>
  <c r="O1504" i="5" s="1"/>
  <c r="O1505" i="5" a="1"/>
  <c r="O1505" i="5" s="1"/>
  <c r="O1506" i="5" a="1"/>
  <c r="O1506" i="5" s="1"/>
  <c r="O1507" i="5" a="1"/>
  <c r="O1507" i="5" s="1"/>
  <c r="O1508" i="5" a="1"/>
  <c r="O1508" i="5" s="1"/>
  <c r="O1509" i="5" a="1"/>
  <c r="O1509" i="5" s="1"/>
  <c r="O1510" i="5" a="1"/>
  <c r="O1510" i="5" s="1"/>
  <c r="O1511" i="5" a="1"/>
  <c r="O1511" i="5" s="1"/>
  <c r="O1512" i="5" a="1"/>
  <c r="O1512" i="5" s="1"/>
  <c r="O1513" i="5" a="1"/>
  <c r="O1513" i="5" s="1"/>
  <c r="O1514" i="5" a="1"/>
  <c r="O1514" i="5" s="1"/>
  <c r="O1515" i="5" a="1"/>
  <c r="O1515" i="5" s="1"/>
  <c r="O1516" i="5" a="1"/>
  <c r="O1516" i="5" s="1"/>
  <c r="O1517" i="5" a="1"/>
  <c r="O1517" i="5"/>
  <c r="O1518" i="5" a="1"/>
  <c r="O1518" i="5" s="1"/>
  <c r="O1519" i="5" a="1"/>
  <c r="O1519" i="5" s="1"/>
  <c r="O1520" i="5" a="1"/>
  <c r="O1520" i="5" s="1"/>
  <c r="O1521" i="5" a="1"/>
  <c r="O1521" i="5" s="1"/>
  <c r="O1522" i="5" a="1"/>
  <c r="O1522" i="5" s="1"/>
  <c r="O1523" i="5" a="1"/>
  <c r="O1523" i="5" s="1"/>
  <c r="O1524" i="5" a="1"/>
  <c r="O1524" i="5" s="1"/>
  <c r="O1525" i="5" a="1"/>
  <c r="O1525" i="5" s="1"/>
  <c r="O1526" i="5" a="1"/>
  <c r="O1526" i="5" s="1"/>
  <c r="O1527" i="5" a="1"/>
  <c r="O1527" i="5" s="1"/>
  <c r="O1528" i="5" a="1"/>
  <c r="O1528" i="5" s="1"/>
  <c r="O1529" i="5" a="1"/>
  <c r="O1529" i="5" s="1"/>
  <c r="O1530" i="5" a="1"/>
  <c r="O1530" i="5" s="1"/>
  <c r="O1531" i="5" a="1"/>
  <c r="O1531" i="5" s="1"/>
  <c r="O1532" i="5" a="1"/>
  <c r="O1532" i="5" s="1"/>
  <c r="O1533" i="5" a="1"/>
  <c r="O1533" i="5" s="1"/>
  <c r="O1534" i="5" a="1"/>
  <c r="O1534" i="5" s="1"/>
  <c r="O1535" i="5" a="1"/>
  <c r="O1535" i="5" s="1"/>
  <c r="O1536" i="5" a="1"/>
  <c r="O1536" i="5" s="1"/>
  <c r="O1537" i="5" a="1"/>
  <c r="O1537" i="5" s="1"/>
  <c r="O1538" i="5" a="1"/>
  <c r="O1538" i="5" s="1"/>
  <c r="O1539" i="5" a="1"/>
  <c r="O1539" i="5" s="1"/>
  <c r="O1540" i="5" a="1"/>
  <c r="O1540" i="5" s="1"/>
  <c r="O1541" i="5" a="1"/>
  <c r="O1541" i="5" s="1"/>
  <c r="O1542" i="5" a="1"/>
  <c r="O1542" i="5" s="1"/>
  <c r="O1543" i="5" a="1"/>
  <c r="O1543" i="5" s="1"/>
  <c r="O1544" i="5" a="1"/>
  <c r="O1544" i="5" s="1"/>
  <c r="O1545" i="5" a="1"/>
  <c r="O1545" i="5" s="1"/>
  <c r="O1546" i="5" a="1"/>
  <c r="O1546" i="5" s="1"/>
  <c r="O1547" i="5" a="1"/>
  <c r="O1547" i="5" s="1"/>
  <c r="O1548" i="5" a="1"/>
  <c r="O1548" i="5" s="1"/>
  <c r="O1549" i="5" a="1"/>
  <c r="O1549" i="5" s="1"/>
  <c r="O1550" i="5" a="1"/>
  <c r="O1550" i="5" s="1"/>
  <c r="O1551" i="5" a="1"/>
  <c r="O1551" i="5" s="1"/>
  <c r="O1552" i="5" a="1"/>
  <c r="O1552" i="5" s="1"/>
  <c r="O1553" i="5" a="1"/>
  <c r="O1553" i="5" s="1"/>
  <c r="O1554" i="5" a="1"/>
  <c r="O1554" i="5" s="1"/>
  <c r="O1555" i="5" a="1"/>
  <c r="O1555" i="5" s="1"/>
  <c r="O1556" i="5" a="1"/>
  <c r="O1556" i="5" s="1"/>
  <c r="O1557" i="5" a="1"/>
  <c r="O1557" i="5" s="1"/>
  <c r="O1558" i="5" a="1"/>
  <c r="O1558" i="5" s="1"/>
  <c r="O1559" i="5" a="1"/>
  <c r="O1559" i="5" s="1"/>
  <c r="O1560" i="5" a="1"/>
  <c r="O1560" i="5" s="1"/>
  <c r="O1561" i="5" a="1"/>
  <c r="O1561" i="5" s="1"/>
  <c r="O1562" i="5" a="1"/>
  <c r="O1562" i="5" s="1"/>
  <c r="O1563" i="5" a="1"/>
  <c r="O1563" i="5" s="1"/>
  <c r="O1564" i="5" a="1"/>
  <c r="O1564" i="5" s="1"/>
  <c r="O1565" i="5" a="1"/>
  <c r="O1565" i="5" s="1"/>
  <c r="O1566" i="5" a="1"/>
  <c r="O1566" i="5" s="1"/>
  <c r="O1567" i="5" a="1"/>
  <c r="O1567" i="5" s="1"/>
  <c r="O1568" i="5" a="1"/>
  <c r="O1568" i="5" s="1"/>
  <c r="O1569" i="5" a="1"/>
  <c r="O1569" i="5" s="1"/>
  <c r="O1570" i="5" a="1"/>
  <c r="O1570" i="5" s="1"/>
  <c r="O1571" i="5" a="1"/>
  <c r="O1571" i="5" s="1"/>
  <c r="O1572" i="5" a="1"/>
  <c r="O1572" i="5" s="1"/>
  <c r="O1573" i="5" a="1"/>
  <c r="O1573" i="5" s="1"/>
  <c r="O1574" i="5" a="1"/>
  <c r="O1574" i="5" s="1"/>
  <c r="O1575" i="5" a="1"/>
  <c r="O1575" i="5"/>
  <c r="O1576" i="5" a="1"/>
  <c r="O1576" i="5" s="1"/>
  <c r="O1577" i="5" a="1"/>
  <c r="O1577" i="5" s="1"/>
  <c r="O1578" i="5" a="1"/>
  <c r="O1578" i="5" s="1"/>
  <c r="O1579" i="5" a="1"/>
  <c r="O1579" i="5" s="1"/>
  <c r="O1580" i="5" a="1"/>
  <c r="O1580" i="5" s="1"/>
  <c r="O1581" i="5" a="1"/>
  <c r="O1581" i="5" s="1"/>
  <c r="O1582" i="5" a="1"/>
  <c r="O1582" i="5" s="1"/>
  <c r="O1583" i="5" a="1"/>
  <c r="O1583" i="5" s="1"/>
  <c r="O1584" i="5" a="1"/>
  <c r="O1584" i="5" s="1"/>
  <c r="O1585" i="5" a="1"/>
  <c r="O1585" i="5" s="1"/>
  <c r="O1586" i="5" a="1"/>
  <c r="O1586" i="5" s="1"/>
  <c r="O1587" i="5" a="1"/>
  <c r="O1587" i="5" s="1"/>
  <c r="O1588" i="5" a="1"/>
  <c r="O1588" i="5" s="1"/>
  <c r="O1589" i="5" a="1"/>
  <c r="O1589" i="5" s="1"/>
  <c r="O1590" i="5" a="1"/>
  <c r="O1590" i="5" s="1"/>
  <c r="O1591" i="5" a="1"/>
  <c r="O1591" i="5" s="1"/>
  <c r="O1592" i="5" a="1"/>
  <c r="O1592" i="5" s="1"/>
  <c r="O1593" i="5" a="1"/>
  <c r="O1593" i="5"/>
  <c r="O1594" i="5" a="1"/>
  <c r="O1594" i="5" s="1"/>
  <c r="O1595" i="5" a="1"/>
  <c r="O1595" i="5" s="1"/>
  <c r="O1596" i="5" a="1"/>
  <c r="O1596" i="5" s="1"/>
  <c r="O1597" i="5" a="1"/>
  <c r="O1597" i="5" s="1"/>
  <c r="O1598" i="5" a="1"/>
  <c r="O1598" i="5" s="1"/>
  <c r="O1599" i="5" a="1"/>
  <c r="O1599" i="5" s="1"/>
  <c r="O1600" i="5" a="1"/>
  <c r="O1600" i="5" s="1"/>
  <c r="O1601" i="5" a="1"/>
  <c r="O1601" i="5" s="1"/>
  <c r="O1602" i="5" a="1"/>
  <c r="O1602" i="5" s="1"/>
  <c r="O1603" i="5" a="1"/>
  <c r="O1603" i="5" s="1"/>
  <c r="O1604" i="5" a="1"/>
  <c r="O1604" i="5" s="1"/>
  <c r="O1605" i="5" a="1"/>
  <c r="O1605" i="5"/>
  <c r="O1606" i="5" a="1"/>
  <c r="O1606" i="5" s="1"/>
  <c r="O1607" i="5" a="1"/>
  <c r="O1607" i="5" s="1"/>
  <c r="O1608" i="5" a="1"/>
  <c r="O1608" i="5" s="1"/>
  <c r="O1609" i="5" a="1"/>
  <c r="O1609" i="5" s="1"/>
  <c r="O1610" i="5" a="1"/>
  <c r="O1610" i="5" s="1"/>
  <c r="O1611" i="5" a="1"/>
  <c r="O1611" i="5" s="1"/>
  <c r="O1612" i="5" a="1"/>
  <c r="O1612" i="5" s="1"/>
  <c r="O1613" i="5" a="1"/>
  <c r="O1613" i="5" s="1"/>
  <c r="O1614" i="5" a="1"/>
  <c r="O1614" i="5" s="1"/>
  <c r="O1615" i="5" a="1"/>
  <c r="O1615" i="5" s="1"/>
  <c r="O1616" i="5" a="1"/>
  <c r="O1616" i="5" s="1"/>
  <c r="O1617" i="5" a="1"/>
  <c r="O1617" i="5" s="1"/>
  <c r="O1618" i="5" a="1"/>
  <c r="O1618" i="5" s="1"/>
  <c r="O1619" i="5" a="1"/>
  <c r="O1619" i="5" s="1"/>
  <c r="O1620" i="5" a="1"/>
  <c r="O1620" i="5" s="1"/>
  <c r="O1621" i="5" a="1"/>
  <c r="O1621" i="5" s="1"/>
  <c r="O1622" i="5" a="1"/>
  <c r="O1622" i="5" s="1"/>
  <c r="O1623" i="5" a="1"/>
  <c r="O1623" i="5" s="1"/>
  <c r="O1624" i="5" a="1"/>
  <c r="O1624" i="5" s="1"/>
  <c r="O1625" i="5" a="1"/>
  <c r="O1625" i="5" s="1"/>
  <c r="O1626" i="5" a="1"/>
  <c r="O1626" i="5" s="1"/>
  <c r="O1627" i="5" a="1"/>
  <c r="O1627" i="5" s="1"/>
  <c r="O1628" i="5" a="1"/>
  <c r="O1628" i="5" s="1"/>
  <c r="O1629" i="5" a="1"/>
  <c r="O1629" i="5" s="1"/>
  <c r="O1630" i="5" a="1"/>
  <c r="O1630" i="5" s="1"/>
  <c r="O1631" i="5" a="1"/>
  <c r="O1631" i="5" s="1"/>
  <c r="O1632" i="5" a="1"/>
  <c r="O1632" i="5" s="1"/>
  <c r="O1633" i="5" a="1"/>
  <c r="O1633" i="5" s="1"/>
  <c r="O1634" i="5" a="1"/>
  <c r="O1634" i="5" s="1"/>
  <c r="O1635" i="5" a="1"/>
  <c r="O1635" i="5" s="1"/>
  <c r="O1636" i="5" a="1"/>
  <c r="O1636" i="5" s="1"/>
  <c r="O1637" i="5" a="1"/>
  <c r="O1637" i="5" s="1"/>
  <c r="O1638" i="5" a="1"/>
  <c r="O1638" i="5" s="1"/>
  <c r="O1639" i="5" a="1"/>
  <c r="O1639" i="5" s="1"/>
  <c r="O1640" i="5" a="1"/>
  <c r="O1640" i="5" s="1"/>
  <c r="O1641" i="5" a="1"/>
  <c r="O1641" i="5" s="1"/>
  <c r="O1642" i="5" a="1"/>
  <c r="O1642" i="5" s="1"/>
  <c r="O1643" i="5" a="1"/>
  <c r="O1643" i="5" s="1"/>
  <c r="O1644" i="5" a="1"/>
  <c r="O1644" i="5" s="1"/>
  <c r="O1645" i="5" a="1"/>
  <c r="O1645" i="5" s="1"/>
  <c r="O1646" i="5" a="1"/>
  <c r="O1646" i="5" s="1"/>
  <c r="O1647" i="5" a="1"/>
  <c r="O1647" i="5" s="1"/>
  <c r="O1648" i="5" a="1"/>
  <c r="O1648" i="5" s="1"/>
  <c r="O1649" i="5" a="1"/>
  <c r="O1649" i="5" s="1"/>
  <c r="O1650" i="5" a="1"/>
  <c r="O1650" i="5" s="1"/>
  <c r="O1651" i="5" a="1"/>
  <c r="O1651" i="5" s="1"/>
  <c r="O1652" i="5" a="1"/>
  <c r="O1652" i="5" s="1"/>
  <c r="O1653" i="5" a="1"/>
  <c r="O1653" i="5" s="1"/>
  <c r="O1654" i="5" a="1"/>
  <c r="O1654" i="5" s="1"/>
  <c r="O1655" i="5" a="1"/>
  <c r="O1655" i="5" s="1"/>
  <c r="O1656" i="5" a="1"/>
  <c r="O1656" i="5" s="1"/>
  <c r="O1657" i="5" a="1"/>
  <c r="O1657" i="5" s="1"/>
  <c r="O1658" i="5" a="1"/>
  <c r="O1658" i="5" s="1"/>
  <c r="O1659" i="5" a="1"/>
  <c r="O1659" i="5" s="1"/>
  <c r="O1660" i="5" a="1"/>
  <c r="O1660" i="5" s="1"/>
  <c r="O1661" i="5" a="1"/>
  <c r="O1661" i="5" s="1"/>
  <c r="O1662" i="5" a="1"/>
  <c r="O1662" i="5" s="1"/>
  <c r="O1663" i="5" a="1"/>
  <c r="O1663" i="5" s="1"/>
  <c r="O1664" i="5" a="1"/>
  <c r="O1664" i="5" s="1"/>
  <c r="O1665" i="5" a="1"/>
  <c r="O1665" i="5" s="1"/>
  <c r="O1666" i="5" a="1"/>
  <c r="O1666" i="5" s="1"/>
  <c r="O1667" i="5" a="1"/>
  <c r="O1667" i="5" s="1"/>
  <c r="O1668" i="5" a="1"/>
  <c r="O1668" i="5" s="1"/>
  <c r="O1669" i="5" a="1"/>
  <c r="O1669" i="5" s="1"/>
  <c r="O1670" i="5" a="1"/>
  <c r="O1670" i="5" s="1"/>
  <c r="O1671" i="5" a="1"/>
  <c r="O1671" i="5" s="1"/>
  <c r="O1672" i="5" a="1"/>
  <c r="O1672" i="5" s="1"/>
  <c r="O1673" i="5" a="1"/>
  <c r="O1673" i="5" s="1"/>
  <c r="O1674" i="5" a="1"/>
  <c r="O1674" i="5" s="1"/>
  <c r="O1675" i="5" a="1"/>
  <c r="O1675" i="5" s="1"/>
  <c r="O1676" i="5" a="1"/>
  <c r="O1676" i="5" s="1"/>
  <c r="O1677" i="5" a="1"/>
  <c r="O1677" i="5" s="1"/>
  <c r="O1678" i="5" a="1"/>
  <c r="O1678" i="5" s="1"/>
  <c r="O1679" i="5" a="1"/>
  <c r="O1679" i="5" s="1"/>
  <c r="O1680" i="5" a="1"/>
  <c r="O1680" i="5" s="1"/>
  <c r="O1681" i="5" a="1"/>
  <c r="O1681" i="5" s="1"/>
  <c r="O1682" i="5" a="1"/>
  <c r="O1682" i="5" s="1"/>
  <c r="O1683" i="5" a="1"/>
  <c r="O1683" i="5" s="1"/>
  <c r="O1684" i="5" a="1"/>
  <c r="O1684" i="5" s="1"/>
  <c r="O1685" i="5" a="1"/>
  <c r="O1685" i="5" s="1"/>
  <c r="O1686" i="5" a="1"/>
  <c r="O1686" i="5" s="1"/>
  <c r="O1687" i="5" a="1"/>
  <c r="O1687" i="5" s="1"/>
  <c r="O1688" i="5" a="1"/>
  <c r="O1688" i="5" s="1"/>
  <c r="O1689" i="5" a="1"/>
  <c r="O1689" i="5" s="1"/>
  <c r="O1690" i="5" a="1"/>
  <c r="O1690" i="5" s="1"/>
  <c r="O1691" i="5" a="1"/>
  <c r="O1691" i="5" s="1"/>
  <c r="O1692" i="5" a="1"/>
  <c r="O1692" i="5" s="1"/>
  <c r="O1693" i="5" a="1"/>
  <c r="O1693" i="5" s="1"/>
  <c r="O1694" i="5" a="1"/>
  <c r="O1694" i="5" s="1"/>
  <c r="O1695" i="5" a="1"/>
  <c r="O1695" i="5" s="1"/>
  <c r="O1696" i="5" a="1"/>
  <c r="O1696" i="5" s="1"/>
  <c r="O1697" i="5" a="1"/>
  <c r="O1697" i="5" s="1"/>
  <c r="O1698" i="5" a="1"/>
  <c r="O1698" i="5" s="1"/>
  <c r="O1699" i="5" a="1"/>
  <c r="O1699" i="5" s="1"/>
  <c r="O1700" i="5" a="1"/>
  <c r="O1700" i="5" s="1"/>
  <c r="O1701" i="5" a="1"/>
  <c r="O1701" i="5" s="1"/>
  <c r="O1702" i="5" a="1"/>
  <c r="O1702" i="5" s="1"/>
  <c r="O1703" i="5" a="1"/>
  <c r="O1703" i="5" s="1"/>
  <c r="O1704" i="5" a="1"/>
  <c r="O1704" i="5" s="1"/>
  <c r="O1705" i="5" a="1"/>
  <c r="O1705" i="5" s="1"/>
  <c r="O1706" i="5" a="1"/>
  <c r="O1706" i="5" s="1"/>
  <c r="O1707" i="5" a="1"/>
  <c r="O1707" i="5" s="1"/>
  <c r="O1708" i="5" a="1"/>
  <c r="O1708" i="5" s="1"/>
  <c r="O1709" i="5" a="1"/>
  <c r="O1709" i="5" s="1"/>
  <c r="O1710" i="5" a="1"/>
  <c r="O1710" i="5" s="1"/>
  <c r="O1711" i="5" a="1"/>
  <c r="O1711" i="5" s="1"/>
  <c r="O1712" i="5" a="1"/>
  <c r="O1712" i="5" s="1"/>
  <c r="O1713" i="5" a="1"/>
  <c r="O1713" i="5" s="1"/>
  <c r="O1714" i="5" a="1"/>
  <c r="O1714" i="5" s="1"/>
  <c r="O1715" i="5" a="1"/>
  <c r="O1715" i="5" s="1"/>
  <c r="O1716" i="5" a="1"/>
  <c r="O1716" i="5" s="1"/>
  <c r="O1717" i="5" a="1"/>
  <c r="O1717" i="5" s="1"/>
  <c r="O1718" i="5" a="1"/>
  <c r="O1718" i="5" s="1"/>
  <c r="O1719" i="5" a="1"/>
  <c r="O1719" i="5" s="1"/>
  <c r="O1720" i="5" a="1"/>
  <c r="O1720" i="5" s="1"/>
  <c r="O1721" i="5" a="1"/>
  <c r="O1721" i="5" s="1"/>
  <c r="O1722" i="5" a="1"/>
  <c r="O1722" i="5"/>
  <c r="O1723" i="5" a="1"/>
  <c r="O1723" i="5" s="1"/>
  <c r="O1724" i="5" a="1"/>
  <c r="O1724" i="5" s="1"/>
  <c r="O1725" i="5" a="1"/>
  <c r="O1725" i="5" s="1"/>
  <c r="O1726" i="5" a="1"/>
  <c r="O1726" i="5" s="1"/>
  <c r="O1727" i="5" a="1"/>
  <c r="O1727" i="5" s="1"/>
  <c r="O1728" i="5" a="1"/>
  <c r="O1728" i="5" s="1"/>
  <c r="O1729" i="5" a="1"/>
  <c r="O1729" i="5" s="1"/>
  <c r="O1730" i="5" a="1"/>
  <c r="O1730" i="5" s="1"/>
  <c r="O1731" i="5" a="1"/>
  <c r="O1731" i="5" s="1"/>
  <c r="O1732" i="5" a="1"/>
  <c r="O1732" i="5" s="1"/>
  <c r="O1733" i="5" a="1"/>
  <c r="O1733" i="5" s="1"/>
  <c r="O1734" i="5" a="1"/>
  <c r="O1734" i="5" s="1"/>
  <c r="O1735" i="5" a="1"/>
  <c r="O1735" i="5" s="1"/>
  <c r="O1736" i="5" a="1"/>
  <c r="O1736" i="5" s="1"/>
  <c r="O1737" i="5" a="1"/>
  <c r="O1737" i="5" s="1"/>
  <c r="O1738" i="5" a="1"/>
  <c r="O1738" i="5" s="1"/>
  <c r="O1739" i="5" a="1"/>
  <c r="O1739" i="5" s="1"/>
  <c r="O1740" i="5" a="1"/>
  <c r="O1740" i="5" s="1"/>
  <c r="O1741" i="5" a="1"/>
  <c r="O1741" i="5" s="1"/>
  <c r="O1742" i="5" a="1"/>
  <c r="O1742" i="5" s="1"/>
  <c r="O1743" i="5" a="1"/>
  <c r="O1743" i="5" s="1"/>
  <c r="O1744" i="5" a="1"/>
  <c r="O1744" i="5" s="1"/>
  <c r="O1745" i="5" a="1"/>
  <c r="O1745" i="5" s="1"/>
  <c r="O1746" i="5" a="1"/>
  <c r="O1746" i="5" s="1"/>
  <c r="O1747" i="5" a="1"/>
  <c r="O1747" i="5" s="1"/>
  <c r="O1748" i="5" a="1"/>
  <c r="O1748" i="5" s="1"/>
  <c r="O1749" i="5" a="1"/>
  <c r="O1749" i="5" s="1"/>
  <c r="O1750" i="5" a="1"/>
  <c r="O1750" i="5" s="1"/>
  <c r="O1751" i="5" a="1"/>
  <c r="O1751" i="5" s="1"/>
  <c r="O1752" i="5" a="1"/>
  <c r="O1752" i="5" s="1"/>
  <c r="O1753" i="5" a="1"/>
  <c r="O1753" i="5" s="1"/>
  <c r="O1754" i="5" a="1"/>
  <c r="O1754" i="5" s="1"/>
  <c r="O1755" i="5" a="1"/>
  <c r="O1755" i="5" s="1"/>
  <c r="O1756" i="5" a="1"/>
  <c r="O1756" i="5" s="1"/>
  <c r="O1757" i="5" a="1"/>
  <c r="O1757" i="5" s="1"/>
  <c r="O1758" i="5" a="1"/>
  <c r="O1758" i="5" s="1"/>
  <c r="O1759" i="5" a="1"/>
  <c r="O1759" i="5" s="1"/>
  <c r="O1760" i="5" a="1"/>
  <c r="O1760" i="5" s="1"/>
  <c r="O1761" i="5" a="1"/>
  <c r="O1761" i="5" s="1"/>
  <c r="O1762" i="5" a="1"/>
  <c r="O1762" i="5" s="1"/>
  <c r="O1763" i="5" a="1"/>
  <c r="O1763" i="5" s="1"/>
  <c r="O1764" i="5" a="1"/>
  <c r="O1764" i="5" s="1"/>
  <c r="O1765" i="5" a="1"/>
  <c r="O1765" i="5" s="1"/>
  <c r="O1766" i="5" a="1"/>
  <c r="O1766" i="5" s="1"/>
  <c r="O1767" i="5" a="1"/>
  <c r="O1767" i="5" s="1"/>
  <c r="O1768" i="5" a="1"/>
  <c r="O1768" i="5" s="1"/>
  <c r="O1769" i="5" a="1"/>
  <c r="O1769" i="5" s="1"/>
  <c r="O1770" i="5" a="1"/>
  <c r="O1770" i="5" s="1"/>
  <c r="O1771" i="5" a="1"/>
  <c r="O1771" i="5" s="1"/>
  <c r="O1772" i="5" a="1"/>
  <c r="O1772" i="5"/>
  <c r="O1773" i="5" a="1"/>
  <c r="O1773" i="5" s="1"/>
  <c r="O1774" i="5" a="1"/>
  <c r="O1774" i="5" s="1"/>
  <c r="O1775" i="5" a="1"/>
  <c r="O1775" i="5" s="1"/>
  <c r="O1776" i="5" a="1"/>
  <c r="O1776" i="5" s="1"/>
  <c r="O1777" i="5" a="1"/>
  <c r="O1777" i="5" s="1"/>
  <c r="O1778" i="5" a="1"/>
  <c r="O1778" i="5" s="1"/>
  <c r="O1779" i="5" a="1"/>
  <c r="O1779" i="5" s="1"/>
  <c r="O1780" i="5" a="1"/>
  <c r="O1780" i="5" s="1"/>
  <c r="O1781" i="5" a="1"/>
  <c r="O1781" i="5" s="1"/>
  <c r="O1782" i="5" a="1"/>
  <c r="O1782" i="5" s="1"/>
  <c r="O1783" i="5" a="1"/>
  <c r="O1783" i="5" s="1"/>
  <c r="O1784" i="5" a="1"/>
  <c r="O1784" i="5" s="1"/>
  <c r="O1785" i="5" a="1"/>
  <c r="O1785" i="5" s="1"/>
  <c r="O1786" i="5" a="1"/>
  <c r="O1786" i="5" s="1"/>
  <c r="O1787" i="5" a="1"/>
  <c r="O1787" i="5" s="1"/>
  <c r="O1788" i="5" a="1"/>
  <c r="O1788" i="5" s="1"/>
  <c r="O1789" i="5" a="1"/>
  <c r="O1789" i="5" s="1"/>
  <c r="O1790" i="5" a="1"/>
  <c r="O1790" i="5" s="1"/>
  <c r="O1791" i="5" a="1"/>
  <c r="O1791" i="5" s="1"/>
  <c r="O1792" i="5" a="1"/>
  <c r="O1792" i="5" s="1"/>
  <c r="O1793" i="5" a="1"/>
  <c r="O1793" i="5" s="1"/>
  <c r="O1794" i="5" a="1"/>
  <c r="O1794" i="5" s="1"/>
  <c r="O1795" i="5" a="1"/>
  <c r="O1795" i="5" s="1"/>
  <c r="O1796" i="5" a="1"/>
  <c r="O1796" i="5" s="1"/>
  <c r="O1797" i="5" a="1"/>
  <c r="O1797" i="5" s="1"/>
  <c r="O1798" i="5" a="1"/>
  <c r="O1798" i="5" s="1"/>
  <c r="O1799" i="5" a="1"/>
  <c r="O1799" i="5" s="1"/>
  <c r="O1800" i="5" a="1"/>
  <c r="O1800" i="5" s="1"/>
  <c r="O1801" i="5" a="1"/>
  <c r="O1801" i="5" s="1"/>
  <c r="O1802" i="5" a="1"/>
  <c r="O1802" i="5" s="1"/>
  <c r="O1803" i="5" a="1"/>
  <c r="O1803" i="5" s="1"/>
  <c r="O1804" i="5" a="1"/>
  <c r="O1804" i="5" s="1"/>
  <c r="O1805" i="5" a="1"/>
  <c r="O1805" i="5" s="1"/>
  <c r="O1806" i="5" a="1"/>
  <c r="O1806" i="5" s="1"/>
  <c r="O1807" i="5" a="1"/>
  <c r="O1807" i="5" s="1"/>
  <c r="O1808" i="5" a="1"/>
  <c r="O1808" i="5" s="1"/>
  <c r="O1809" i="5" a="1"/>
  <c r="O1809" i="5" s="1"/>
  <c r="O1810" i="5" a="1"/>
  <c r="O1810" i="5"/>
  <c r="O1811" i="5" a="1"/>
  <c r="O1811" i="5" s="1"/>
  <c r="O1812" i="5" a="1"/>
  <c r="O1812" i="5" s="1"/>
  <c r="O1813" i="5" a="1"/>
  <c r="O1813" i="5" s="1"/>
  <c r="O1814" i="5" a="1"/>
  <c r="O1814" i="5" s="1"/>
  <c r="O1815" i="5" a="1"/>
  <c r="O1815" i="5" s="1"/>
  <c r="O1816" i="5" a="1"/>
  <c r="O1816" i="5" s="1"/>
  <c r="O1817" i="5" a="1"/>
  <c r="O1817" i="5" s="1"/>
  <c r="O1818" i="5" a="1"/>
  <c r="O1818" i="5" s="1"/>
  <c r="O1819" i="5" a="1"/>
  <c r="O1819" i="5" s="1"/>
  <c r="O1820" i="5" a="1"/>
  <c r="O1820" i="5" s="1"/>
  <c r="O1821" i="5" a="1"/>
  <c r="O1821" i="5" s="1"/>
  <c r="O1822" i="5" a="1"/>
  <c r="O1822" i="5" s="1"/>
  <c r="O1823" i="5" a="1"/>
  <c r="O1823" i="5" s="1"/>
  <c r="O1824" i="5" a="1"/>
  <c r="O1824" i="5" s="1"/>
  <c r="O1825" i="5" a="1"/>
  <c r="O1825" i="5" s="1"/>
  <c r="O1826" i="5" a="1"/>
  <c r="O1826" i="5" s="1"/>
  <c r="O1827" i="5" a="1"/>
  <c r="O1827" i="5" s="1"/>
  <c r="O1828" i="5" a="1"/>
  <c r="O1828" i="5" s="1"/>
  <c r="O1829" i="5" a="1"/>
  <c r="O1829" i="5" s="1"/>
  <c r="O1830" i="5" a="1"/>
  <c r="O1830" i="5" s="1"/>
  <c r="O1831" i="5" a="1"/>
  <c r="O1831" i="5" s="1"/>
  <c r="O1832" i="5" a="1"/>
  <c r="O1832" i="5" s="1"/>
  <c r="O1833" i="5" a="1"/>
  <c r="O1833" i="5" s="1"/>
  <c r="O1834" i="5" a="1"/>
  <c r="O1834" i="5" s="1"/>
  <c r="O1835" i="5" a="1"/>
  <c r="O1835" i="5" s="1"/>
  <c r="O1836" i="5" a="1"/>
  <c r="O1836" i="5" s="1"/>
  <c r="O1837" i="5" a="1"/>
  <c r="O1837" i="5" s="1"/>
  <c r="O1838" i="5" a="1"/>
  <c r="O1838" i="5" s="1"/>
  <c r="O1839" i="5" a="1"/>
  <c r="O1839" i="5" s="1"/>
  <c r="O1840" i="5" a="1"/>
  <c r="O1840" i="5" s="1"/>
  <c r="O1841" i="5" a="1"/>
  <c r="O1841" i="5" s="1"/>
  <c r="O1842" i="5" a="1"/>
  <c r="O1842" i="5"/>
  <c r="O1843" i="5" a="1"/>
  <c r="O1843" i="5" s="1"/>
  <c r="O1844" i="5" a="1"/>
  <c r="O1844" i="5" s="1"/>
  <c r="O1845" i="5" a="1"/>
  <c r="O1845" i="5" s="1"/>
  <c r="O1846" i="5" a="1"/>
  <c r="O1846" i="5" s="1"/>
  <c r="O1847" i="5" a="1"/>
  <c r="O1847" i="5" s="1"/>
  <c r="O1848" i="5" a="1"/>
  <c r="O1848" i="5" s="1"/>
  <c r="O1849" i="5" a="1"/>
  <c r="O1849" i="5" s="1"/>
  <c r="O1850" i="5" a="1"/>
  <c r="O1850" i="5" s="1"/>
  <c r="O1851" i="5" a="1"/>
  <c r="O1851" i="5" s="1"/>
  <c r="O1852" i="5" a="1"/>
  <c r="O1852" i="5" s="1"/>
  <c r="O1853" i="5" a="1"/>
  <c r="O1853" i="5" s="1"/>
  <c r="O1854" i="5" a="1"/>
  <c r="O1854" i="5" s="1"/>
  <c r="O1855" i="5" a="1"/>
  <c r="O1855" i="5" s="1"/>
  <c r="O1856" i="5" a="1"/>
  <c r="O1856" i="5" s="1"/>
  <c r="O1857" i="5" a="1"/>
  <c r="O1857" i="5" s="1"/>
  <c r="O1858" i="5" a="1"/>
  <c r="O1858" i="5" s="1"/>
  <c r="O1859" i="5" a="1"/>
  <c r="O1859" i="5" s="1"/>
  <c r="O1860" i="5" a="1"/>
  <c r="O1860" i="5" s="1"/>
  <c r="O1861" i="5" a="1"/>
  <c r="O1861" i="5" s="1"/>
  <c r="O1862" i="5" a="1"/>
  <c r="O1862" i="5" s="1"/>
  <c r="O1863" i="5" a="1"/>
  <c r="O1863" i="5" s="1"/>
  <c r="O1864" i="5" a="1"/>
  <c r="O1864" i="5" s="1"/>
  <c r="O1865" i="5" a="1"/>
  <c r="O1865" i="5" s="1"/>
  <c r="O1866" i="5" a="1"/>
  <c r="O1866" i="5" s="1"/>
  <c r="O1867" i="5" a="1"/>
  <c r="O1867" i="5" s="1"/>
  <c r="O1868" i="5" a="1"/>
  <c r="O1868" i="5" s="1"/>
  <c r="O1869" i="5" a="1"/>
  <c r="O1869" i="5" s="1"/>
  <c r="O1870" i="5" a="1"/>
  <c r="O1870" i="5" s="1"/>
  <c r="O1871" i="5" a="1"/>
  <c r="O1871" i="5" s="1"/>
  <c r="O1872" i="5" a="1"/>
  <c r="O1872" i="5" s="1"/>
  <c r="O1873" i="5" a="1"/>
  <c r="O1873" i="5" s="1"/>
  <c r="O1874" i="5" a="1"/>
  <c r="O1874" i="5" s="1"/>
  <c r="O1875" i="5" a="1"/>
  <c r="O1875" i="5" s="1"/>
  <c r="O1876" i="5" a="1"/>
  <c r="O1876" i="5" s="1"/>
  <c r="O1877" i="5" a="1"/>
  <c r="O1877" i="5" s="1"/>
  <c r="O1878" i="5" a="1"/>
  <c r="O1878" i="5" s="1"/>
  <c r="O1879" i="5" a="1"/>
  <c r="O1879" i="5" s="1"/>
  <c r="O1880" i="5" a="1"/>
  <c r="O1880" i="5" s="1"/>
  <c r="O1881" i="5" a="1"/>
  <c r="O1881" i="5" s="1"/>
  <c r="O1882" i="5" a="1"/>
  <c r="O1882" i="5" s="1"/>
  <c r="O1883" i="5" a="1"/>
  <c r="O1883" i="5" s="1"/>
  <c r="O1884" i="5" a="1"/>
  <c r="O1884" i="5" s="1"/>
  <c r="O1885" i="5" a="1"/>
  <c r="O1885" i="5" s="1"/>
  <c r="O1886" i="5" a="1"/>
  <c r="O1886" i="5" s="1"/>
  <c r="O1887" i="5" a="1"/>
  <c r="O1887" i="5" s="1"/>
  <c r="O1888" i="5" a="1"/>
  <c r="O1888" i="5" s="1"/>
  <c r="O1889" i="5" a="1"/>
  <c r="O1889" i="5" s="1"/>
  <c r="O1890" i="5" a="1"/>
  <c r="O1890" i="5" s="1"/>
  <c r="O1891" i="5" a="1"/>
  <c r="O1891" i="5" s="1"/>
  <c r="O1892" i="5" a="1"/>
  <c r="O1892" i="5" s="1"/>
  <c r="O1893" i="5" a="1"/>
  <c r="O1893" i="5" s="1"/>
  <c r="O1894" i="5" a="1"/>
  <c r="O1894" i="5" s="1"/>
  <c r="O1895" i="5" a="1"/>
  <c r="O1895" i="5" s="1"/>
  <c r="O1896" i="5" a="1"/>
  <c r="O1896" i="5" s="1"/>
  <c r="O1897" i="5" a="1"/>
  <c r="O1897" i="5" s="1"/>
  <c r="O1898" i="5" a="1"/>
  <c r="O1898" i="5" s="1"/>
  <c r="O1899" i="5" a="1"/>
  <c r="O1899" i="5" s="1"/>
  <c r="O1900" i="5" a="1"/>
  <c r="O1900" i="5" s="1"/>
  <c r="O1901" i="5" a="1"/>
  <c r="O1901" i="5" s="1"/>
  <c r="O1902" i="5" a="1"/>
  <c r="O1902" i="5" s="1"/>
  <c r="O1903" i="5" a="1"/>
  <c r="O1903" i="5" s="1"/>
  <c r="O1904" i="5" a="1"/>
  <c r="O1904" i="5" s="1"/>
  <c r="O1905" i="5" a="1"/>
  <c r="O1905" i="5" s="1"/>
  <c r="O1906" i="5" a="1"/>
  <c r="O1906" i="5" s="1"/>
  <c r="O1907" i="5" a="1"/>
  <c r="O1907" i="5" s="1"/>
  <c r="O1908" i="5" a="1"/>
  <c r="O1908" i="5" s="1"/>
  <c r="O1909" i="5" a="1"/>
  <c r="O1909" i="5" s="1"/>
  <c r="O1910" i="5" a="1"/>
  <c r="O1910" i="5" s="1"/>
  <c r="O1911" i="5" a="1"/>
  <c r="O1911" i="5" s="1"/>
  <c r="O1912" i="5" a="1"/>
  <c r="O1912" i="5" s="1"/>
  <c r="O1913" i="5" a="1"/>
  <c r="O1913" i="5" s="1"/>
  <c r="O1914" i="5" a="1"/>
  <c r="O1914" i="5" s="1"/>
  <c r="O1915" i="5" a="1"/>
  <c r="O1915" i="5" s="1"/>
  <c r="O1916" i="5" a="1"/>
  <c r="O1916" i="5" s="1"/>
  <c r="O1917" i="5" a="1"/>
  <c r="O1917" i="5" s="1"/>
  <c r="O1918" i="5" a="1"/>
  <c r="O1918" i="5" s="1"/>
  <c r="O1919" i="5" a="1"/>
  <c r="O1919" i="5" s="1"/>
  <c r="O1920" i="5" a="1"/>
  <c r="O1920" i="5" s="1"/>
  <c r="O1921" i="5" a="1"/>
  <c r="O1921" i="5" s="1"/>
  <c r="O1922" i="5" a="1"/>
  <c r="O1922" i="5" s="1"/>
  <c r="O1923" i="5" a="1"/>
  <c r="O1923" i="5" s="1"/>
  <c r="O1924" i="5" a="1"/>
  <c r="O1924" i="5" s="1"/>
  <c r="O1925" i="5" a="1"/>
  <c r="O1925" i="5" s="1"/>
  <c r="O1926" i="5" a="1"/>
  <c r="O1926" i="5" s="1"/>
  <c r="O1927" i="5" a="1"/>
  <c r="O1927" i="5" s="1"/>
  <c r="O1928" i="5" a="1"/>
  <c r="O1928" i="5" s="1"/>
  <c r="O1929" i="5" a="1"/>
  <c r="O1929" i="5" s="1"/>
  <c r="O1930" i="5" a="1"/>
  <c r="O1930" i="5" s="1"/>
  <c r="O1931" i="5" a="1"/>
  <c r="O1931" i="5" s="1"/>
  <c r="O1932" i="5" a="1"/>
  <c r="O1932" i="5" s="1"/>
  <c r="O1933" i="5" a="1"/>
  <c r="O1933" i="5" s="1"/>
  <c r="O1934" i="5" a="1"/>
  <c r="O1934" i="5" s="1"/>
  <c r="O1935" i="5" a="1"/>
  <c r="O1935" i="5" s="1"/>
  <c r="O1936" i="5" a="1"/>
  <c r="O1936" i="5" s="1"/>
  <c r="O1937" i="5" a="1"/>
  <c r="O1937" i="5" s="1"/>
  <c r="O1938" i="5" a="1"/>
  <c r="O1938" i="5" s="1"/>
  <c r="O1939" i="5" a="1"/>
  <c r="O1939" i="5" s="1"/>
  <c r="O1940" i="5" a="1"/>
  <c r="O1940" i="5" s="1"/>
  <c r="O1941" i="5" a="1"/>
  <c r="O1941" i="5" s="1"/>
  <c r="O1942" i="5" a="1"/>
  <c r="O1942" i="5" s="1"/>
  <c r="O1943" i="5" a="1"/>
  <c r="O1943" i="5" s="1"/>
  <c r="O1944" i="5" a="1"/>
  <c r="O1944" i="5" s="1"/>
  <c r="O1945" i="5" a="1"/>
  <c r="O1945" i="5" s="1"/>
  <c r="O1946" i="5" a="1"/>
  <c r="O1946" i="5" s="1"/>
  <c r="O1947" i="5" a="1"/>
  <c r="O1947" i="5" s="1"/>
  <c r="O1948" i="5" a="1"/>
  <c r="O1948" i="5" s="1"/>
  <c r="O1949" i="5" a="1"/>
  <c r="O1949" i="5" s="1"/>
  <c r="O1950" i="5" a="1"/>
  <c r="O1950" i="5" s="1"/>
  <c r="O1951" i="5" a="1"/>
  <c r="O1951" i="5" s="1"/>
  <c r="O1952" i="5" a="1"/>
  <c r="O1952" i="5" s="1"/>
  <c r="O1953" i="5" a="1"/>
  <c r="O1953" i="5" s="1"/>
  <c r="O1954" i="5" a="1"/>
  <c r="O1954" i="5" s="1"/>
  <c r="O1955" i="5" a="1"/>
  <c r="O1955" i="5" s="1"/>
  <c r="O1956" i="5" a="1"/>
  <c r="O1956" i="5" s="1"/>
  <c r="O1957" i="5" a="1"/>
  <c r="O1957" i="5" s="1"/>
  <c r="O1958" i="5" a="1"/>
  <c r="O1958" i="5" s="1"/>
  <c r="O1959" i="5" a="1"/>
  <c r="O1959" i="5" s="1"/>
  <c r="O1960" i="5" a="1"/>
  <c r="O1960" i="5" s="1"/>
  <c r="O1961" i="5" a="1"/>
  <c r="O1961" i="5" s="1"/>
  <c r="O1962" i="5" a="1"/>
  <c r="O1962" i="5" s="1"/>
  <c r="O1963" i="5" a="1"/>
  <c r="O1963" i="5" s="1"/>
  <c r="O1964" i="5" a="1"/>
  <c r="O1964" i="5" s="1"/>
  <c r="O1965" i="5" a="1"/>
  <c r="O1965" i="5" s="1"/>
  <c r="O1966" i="5" a="1"/>
  <c r="O1966" i="5" s="1"/>
  <c r="O1967" i="5" a="1"/>
  <c r="O1967" i="5" s="1"/>
  <c r="O1968" i="5" a="1"/>
  <c r="O1968" i="5" s="1"/>
  <c r="O1969" i="5" a="1"/>
  <c r="O1969" i="5" s="1"/>
  <c r="O1970" i="5" a="1"/>
  <c r="O1970" i="5" s="1"/>
  <c r="O1971" i="5" a="1"/>
  <c r="O1971" i="5" s="1"/>
  <c r="O1972" i="5" a="1"/>
  <c r="O1972" i="5" s="1"/>
  <c r="O1973" i="5" a="1"/>
  <c r="O1973" i="5" s="1"/>
  <c r="O1974" i="5" a="1"/>
  <c r="O1974" i="5" s="1"/>
  <c r="O1975" i="5" a="1"/>
  <c r="O1975" i="5" s="1"/>
  <c r="O1976" i="5" a="1"/>
  <c r="O1976" i="5" s="1"/>
  <c r="O1977" i="5" a="1"/>
  <c r="O1977" i="5" s="1"/>
  <c r="O1978" i="5" a="1"/>
  <c r="O1978" i="5" s="1"/>
  <c r="O1979" i="5" a="1"/>
  <c r="O1979" i="5" s="1"/>
  <c r="O1980" i="5" a="1"/>
  <c r="O1980" i="5" s="1"/>
  <c r="O1981" i="5" a="1"/>
  <c r="O1981" i="5" s="1"/>
  <c r="O1982" i="5" a="1"/>
  <c r="O1982" i="5" s="1"/>
  <c r="O1983" i="5" a="1"/>
  <c r="O1983" i="5" s="1"/>
  <c r="O1984" i="5" a="1"/>
  <c r="O1984" i="5" s="1"/>
  <c r="O1985" i="5" a="1"/>
  <c r="O1985" i="5" s="1"/>
  <c r="O1986" i="5" a="1"/>
  <c r="O1986" i="5" s="1"/>
  <c r="O1987" i="5" a="1"/>
  <c r="O1987" i="5" s="1"/>
  <c r="O1988" i="5" a="1"/>
  <c r="O1988" i="5" s="1"/>
  <c r="O1989" i="5" a="1"/>
  <c r="O1989" i="5" s="1"/>
  <c r="O1990" i="5" a="1"/>
  <c r="O1990" i="5" s="1"/>
  <c r="O1991" i="5" a="1"/>
  <c r="O1991" i="5" s="1"/>
  <c r="O1992" i="5" a="1"/>
  <c r="O1992" i="5" s="1"/>
  <c r="O1993" i="5" a="1"/>
  <c r="O1993" i="5" s="1"/>
  <c r="O1994" i="5" a="1"/>
  <c r="O1994" i="5" s="1"/>
  <c r="O1995" i="5" a="1"/>
  <c r="O1995" i="5" s="1"/>
  <c r="O1996" i="5" a="1"/>
  <c r="O1996" i="5" s="1"/>
  <c r="O1997" i="5" a="1"/>
  <c r="O1997" i="5" s="1"/>
  <c r="O1998" i="5" a="1"/>
  <c r="O1998" i="5" s="1"/>
  <c r="O1999" i="5" a="1"/>
  <c r="O1999" i="5" s="1"/>
  <c r="O2000" i="5" a="1"/>
  <c r="O2000" i="5" s="1"/>
  <c r="O2001" i="5" a="1"/>
  <c r="O2001" i="5" s="1"/>
  <c r="O2002" i="5" a="1"/>
  <c r="O2002" i="5" s="1"/>
  <c r="O2003" i="5" a="1"/>
  <c r="O2003" i="5" s="1"/>
  <c r="O2004" i="5" a="1"/>
  <c r="O2004" i="5" s="1"/>
  <c r="O2005" i="5" a="1"/>
  <c r="O2005" i="5" s="1"/>
  <c r="O2006" i="5" a="1"/>
  <c r="O2006" i="5" s="1"/>
  <c r="O2007" i="5" a="1"/>
  <c r="O2007" i="5" s="1"/>
  <c r="O2008" i="5" a="1"/>
  <c r="O2008" i="5" s="1"/>
  <c r="O2009" i="5" a="1"/>
  <c r="O2009" i="5" s="1"/>
  <c r="O2010" i="5" a="1"/>
  <c r="O2010" i="5" s="1"/>
  <c r="O2011" i="5" a="1"/>
  <c r="O2011" i="5" s="1"/>
  <c r="O2012" i="5" a="1"/>
  <c r="O2012" i="5"/>
  <c r="O2013" i="5" a="1"/>
  <c r="O2013" i="5" s="1"/>
  <c r="O2014" i="5" a="1"/>
  <c r="O2014" i="5" s="1"/>
  <c r="O2015" i="5" a="1"/>
  <c r="O2015" i="5" s="1"/>
  <c r="O2016" i="5" a="1"/>
  <c r="O2016" i="5" s="1"/>
  <c r="O2017" i="5" a="1"/>
  <c r="O2017" i="5" s="1"/>
  <c r="O2018" i="5" a="1"/>
  <c r="O2018" i="5" s="1"/>
  <c r="O2019" i="5" a="1"/>
  <c r="O2019" i="5" s="1"/>
  <c r="O2020" i="5" a="1"/>
  <c r="O2020" i="5" s="1"/>
  <c r="O2021" i="5" a="1"/>
  <c r="O2021" i="5" s="1"/>
  <c r="O2022" i="5" a="1"/>
  <c r="O2022" i="5" s="1"/>
  <c r="O2023" i="5" a="1"/>
  <c r="O2023" i="5" s="1"/>
  <c r="O2024" i="5" a="1"/>
  <c r="O2024" i="5" s="1"/>
  <c r="O2025" i="5" a="1"/>
  <c r="O2025" i="5" s="1"/>
  <c r="O2026" i="5" a="1"/>
  <c r="O2026" i="5" s="1"/>
  <c r="O2027" i="5" a="1"/>
  <c r="O2027" i="5" s="1"/>
  <c r="O2028" i="5" a="1"/>
  <c r="O2028" i="5" s="1"/>
  <c r="O2029" i="5" a="1"/>
  <c r="O2029" i="5" s="1"/>
  <c r="O2030" i="5" a="1"/>
  <c r="O2030" i="5" s="1"/>
  <c r="O2031" i="5" a="1"/>
  <c r="O2031" i="5" s="1"/>
  <c r="O2032" i="5" a="1"/>
  <c r="O2032" i="5" s="1"/>
  <c r="O2033" i="5" a="1"/>
  <c r="O2033" i="5" s="1"/>
  <c r="O2034" i="5" a="1"/>
  <c r="O2034" i="5"/>
  <c r="O2035" i="5" a="1"/>
  <c r="O2035" i="5" s="1"/>
  <c r="O2036" i="5" a="1"/>
  <c r="O2036" i="5" s="1"/>
  <c r="O2037" i="5" a="1"/>
  <c r="O2037" i="5" s="1"/>
  <c r="O2038" i="5" a="1"/>
  <c r="O2038" i="5" s="1"/>
  <c r="O2039" i="5" a="1"/>
  <c r="O2039" i="5" s="1"/>
  <c r="O2040" i="5" a="1"/>
  <c r="O2040" i="5" s="1"/>
  <c r="O2041" i="5" a="1"/>
  <c r="O2041" i="5" s="1"/>
  <c r="O2042" i="5" a="1"/>
  <c r="O2042" i="5" s="1"/>
  <c r="O2043" i="5" a="1"/>
  <c r="O2043" i="5" s="1"/>
  <c r="O2044" i="5" a="1"/>
  <c r="O2044" i="5" s="1"/>
  <c r="O2045" i="5" a="1"/>
  <c r="O2045" i="5" s="1"/>
  <c r="O2046" i="5" a="1"/>
  <c r="O2046" i="5" s="1"/>
  <c r="O2047" i="5" a="1"/>
  <c r="O2047" i="5" s="1"/>
  <c r="O2048" i="5" a="1"/>
  <c r="O2048" i="5" s="1"/>
  <c r="O2049" i="5" a="1"/>
  <c r="O2049" i="5" s="1"/>
  <c r="O2050" i="5" a="1"/>
  <c r="O2050" i="5" s="1"/>
  <c r="O2051" i="5" a="1"/>
  <c r="O2051" i="5" s="1"/>
  <c r="O2052" i="5" a="1"/>
  <c r="O2052" i="5" s="1"/>
  <c r="O2053" i="5" a="1"/>
  <c r="O2053" i="5" s="1"/>
  <c r="O2054" i="5" a="1"/>
  <c r="O2054" i="5" s="1"/>
  <c r="O2055" i="5" a="1"/>
  <c r="O2055" i="5" s="1"/>
  <c r="O2056" i="5" a="1"/>
  <c r="O2056" i="5" s="1"/>
  <c r="O2057" i="5" a="1"/>
  <c r="O2057" i="5" s="1"/>
  <c r="O2058" i="5" a="1"/>
  <c r="O2058" i="5" s="1"/>
  <c r="O2059" i="5" a="1"/>
  <c r="O2059" i="5" s="1"/>
  <c r="O2060" i="5" a="1"/>
  <c r="O2060" i="5" s="1"/>
  <c r="O2061" i="5" a="1"/>
  <c r="O2061" i="5" s="1"/>
  <c r="O2062" i="5" a="1"/>
  <c r="O2062" i="5" s="1"/>
  <c r="O2063" i="5" a="1"/>
  <c r="O2063" i="5" s="1"/>
  <c r="O2064" i="5" a="1"/>
  <c r="O2064" i="5" s="1"/>
  <c r="O2065" i="5" a="1"/>
  <c r="O2065" i="5" s="1"/>
  <c r="O2066" i="5" a="1"/>
  <c r="O2066" i="5"/>
  <c r="O2067" i="5" a="1"/>
  <c r="O2067" i="5" s="1"/>
  <c r="O2068" i="5" a="1"/>
  <c r="O2068" i="5" s="1"/>
  <c r="O2069" i="5" a="1"/>
  <c r="O2069" i="5" s="1"/>
  <c r="O2070" i="5" a="1"/>
  <c r="O2070" i="5" s="1"/>
  <c r="O2071" i="5" a="1"/>
  <c r="O2071" i="5" s="1"/>
  <c r="O2072" i="5" a="1"/>
  <c r="O2072" i="5" s="1"/>
  <c r="O2073" i="5" a="1"/>
  <c r="O2073" i="5" s="1"/>
  <c r="O2074" i="5" a="1"/>
  <c r="O2074" i="5" s="1"/>
  <c r="O2075" i="5" a="1"/>
  <c r="O2075" i="5" s="1"/>
  <c r="O2076" i="5" a="1"/>
  <c r="O2076" i="5" s="1"/>
  <c r="O2077" i="5" a="1"/>
  <c r="O2077" i="5" s="1"/>
  <c r="O2078" i="5" a="1"/>
  <c r="O2078" i="5" s="1"/>
  <c r="O2079" i="5" a="1"/>
  <c r="O2079" i="5" s="1"/>
  <c r="O2080" i="5" a="1"/>
  <c r="O2080" i="5" s="1"/>
  <c r="O2081" i="5" a="1"/>
  <c r="O2081" i="5" s="1"/>
  <c r="O2082" i="5" a="1"/>
  <c r="O2082" i="5" s="1"/>
  <c r="O2083" i="5" a="1"/>
  <c r="O2083" i="5" s="1"/>
  <c r="O2084" i="5" a="1"/>
  <c r="O2084" i="5" s="1"/>
  <c r="O2085" i="5" a="1"/>
  <c r="O2085" i="5" s="1"/>
  <c r="O2086" i="5" a="1"/>
  <c r="O2086" i="5" s="1"/>
  <c r="O2087" i="5" a="1"/>
  <c r="O2087" i="5" s="1"/>
  <c r="O2088" i="5" a="1"/>
  <c r="O2088" i="5" s="1"/>
  <c r="O2089" i="5" a="1"/>
  <c r="O2089" i="5" s="1"/>
  <c r="O2090" i="5" a="1"/>
  <c r="O2090" i="5" s="1"/>
  <c r="O2091" i="5" a="1"/>
  <c r="O2091" i="5" s="1"/>
  <c r="O2092" i="5" a="1"/>
  <c r="O2092" i="5" s="1"/>
  <c r="O2093" i="5" a="1"/>
  <c r="O2093" i="5" s="1"/>
  <c r="O2094" i="5" a="1"/>
  <c r="O2094" i="5" s="1"/>
  <c r="O2095" i="5" a="1"/>
  <c r="O2095" i="5" s="1"/>
  <c r="O2096" i="5" a="1"/>
  <c r="O2096" i="5" s="1"/>
  <c r="O2097" i="5" a="1"/>
  <c r="O2097" i="5" s="1"/>
  <c r="O2098" i="5" a="1"/>
  <c r="O2098" i="5" s="1"/>
  <c r="O2099" i="5" a="1"/>
  <c r="O2099" i="5" s="1"/>
  <c r="O2100" i="5" a="1"/>
  <c r="O2100" i="5" s="1"/>
  <c r="O2101" i="5" a="1"/>
  <c r="O2101" i="5" s="1"/>
  <c r="O2102" i="5" a="1"/>
  <c r="O2102" i="5" s="1"/>
  <c r="O2103" i="5" a="1"/>
  <c r="O2103" i="5" s="1"/>
  <c r="O2104" i="5" a="1"/>
  <c r="O2104" i="5" s="1"/>
  <c r="O2105" i="5" a="1"/>
  <c r="O2105" i="5" s="1"/>
  <c r="O2106" i="5" a="1"/>
  <c r="O2106" i="5" s="1"/>
  <c r="O2107" i="5" a="1"/>
  <c r="O2107" i="5" s="1"/>
  <c r="O2108" i="5" a="1"/>
  <c r="O2108" i="5" s="1"/>
  <c r="O2109" i="5" a="1"/>
  <c r="O2109" i="5" s="1"/>
  <c r="O2110" i="5" a="1"/>
  <c r="O2110" i="5" s="1"/>
  <c r="O2111" i="5" a="1"/>
  <c r="O2111" i="5" s="1"/>
  <c r="O2112" i="5" a="1"/>
  <c r="O2112" i="5" s="1"/>
  <c r="O2113" i="5" a="1"/>
  <c r="O2113" i="5" s="1"/>
  <c r="O2114" i="5" a="1"/>
  <c r="O2114" i="5" s="1"/>
  <c r="O2115" i="5" a="1"/>
  <c r="O2115" i="5" s="1"/>
  <c r="O2116" i="5" a="1"/>
  <c r="O2116" i="5" s="1"/>
  <c r="O2117" i="5" a="1"/>
  <c r="O2117" i="5" s="1"/>
  <c r="O2118" i="5" a="1"/>
  <c r="O2118" i="5" s="1"/>
  <c r="O2119" i="5" a="1"/>
  <c r="O2119" i="5" s="1"/>
  <c r="O2120" i="5" a="1"/>
  <c r="O2120" i="5" s="1"/>
  <c r="O2121" i="5" a="1"/>
  <c r="O2121" i="5" s="1"/>
  <c r="O2122" i="5" a="1"/>
  <c r="O2122" i="5" s="1"/>
  <c r="O2123" i="5" a="1"/>
  <c r="O2123" i="5" s="1"/>
  <c r="O2124" i="5" a="1"/>
  <c r="O2124" i="5"/>
  <c r="O2125" i="5" a="1"/>
  <c r="O2125" i="5" s="1"/>
  <c r="O2126" i="5" a="1"/>
  <c r="O2126" i="5" s="1"/>
  <c r="O2127" i="5" a="1"/>
  <c r="O2127" i="5" s="1"/>
  <c r="O2128" i="5" a="1"/>
  <c r="O2128" i="5" s="1"/>
  <c r="O2129" i="5" a="1"/>
  <c r="O2129" i="5" s="1"/>
  <c r="O2130" i="5" a="1"/>
  <c r="O2130" i="5" s="1"/>
  <c r="O2131" i="5" a="1"/>
  <c r="O2131" i="5" s="1"/>
  <c r="O2132" i="5" a="1"/>
  <c r="O2132" i="5" s="1"/>
  <c r="O2133" i="5" a="1"/>
  <c r="O2133" i="5" s="1"/>
  <c r="O2134" i="5" a="1"/>
  <c r="O2134" i="5" s="1"/>
  <c r="O2135" i="5" a="1"/>
  <c r="O2135" i="5" s="1"/>
  <c r="O2136" i="5" a="1"/>
  <c r="O2136" i="5" s="1"/>
  <c r="O2137" i="5" a="1"/>
  <c r="O2137" i="5" s="1"/>
  <c r="O2138" i="5" a="1"/>
  <c r="O2138" i="5" s="1"/>
  <c r="O2139" i="5" a="1"/>
  <c r="O2139" i="5" s="1"/>
  <c r="O2140" i="5" a="1"/>
  <c r="O2140" i="5" s="1"/>
  <c r="O2141" i="5" a="1"/>
  <c r="O2141" i="5" s="1"/>
  <c r="O2142" i="5" a="1"/>
  <c r="O2142" i="5" s="1"/>
  <c r="O2143" i="5" a="1"/>
  <c r="O2143" i="5" s="1"/>
  <c r="O2144" i="5" a="1"/>
  <c r="O2144" i="5" s="1"/>
  <c r="O2145" i="5" a="1"/>
  <c r="O2145" i="5" s="1"/>
  <c r="O2146" i="5" a="1"/>
  <c r="O2146" i="5" s="1"/>
  <c r="O2147" i="5" a="1"/>
  <c r="O2147" i="5" s="1"/>
  <c r="O2148" i="5" a="1"/>
  <c r="O2148" i="5" s="1"/>
  <c r="O2149" i="5" a="1"/>
  <c r="O2149" i="5" s="1"/>
  <c r="O2150" i="5" a="1"/>
  <c r="O2150" i="5" s="1"/>
  <c r="O2151" i="5" a="1"/>
  <c r="O2151" i="5" s="1"/>
  <c r="O2152" i="5" a="1"/>
  <c r="O2152" i="5" s="1"/>
  <c r="O2153" i="5" a="1"/>
  <c r="O2153" i="5" s="1"/>
  <c r="O2154" i="5" a="1"/>
  <c r="O2154" i="5"/>
  <c r="O2155" i="5" a="1"/>
  <c r="O2155" i="5" s="1"/>
  <c r="O2156" i="5" a="1"/>
  <c r="O2156" i="5" s="1"/>
  <c r="O2157" i="5" a="1"/>
  <c r="O2157" i="5" s="1"/>
  <c r="O2158" i="5" a="1"/>
  <c r="O2158" i="5" s="1"/>
  <c r="O2159" i="5" a="1"/>
  <c r="O2159" i="5" s="1"/>
  <c r="O2160" i="5" a="1"/>
  <c r="O2160" i="5" s="1"/>
  <c r="O2161" i="5" a="1"/>
  <c r="O2161" i="5" s="1"/>
  <c r="O2162" i="5" a="1"/>
  <c r="O2162" i="5" s="1"/>
  <c r="O2163" i="5" a="1"/>
  <c r="O2163" i="5" s="1"/>
  <c r="O2164" i="5" a="1"/>
  <c r="O2164" i="5" s="1"/>
  <c r="O2165" i="5" a="1"/>
  <c r="O2165" i="5" s="1"/>
  <c r="O2166" i="5" a="1"/>
  <c r="O2166" i="5" s="1"/>
  <c r="O2167" i="5" a="1"/>
  <c r="O2167" i="5" s="1"/>
  <c r="O2168" i="5" a="1"/>
  <c r="O2168" i="5" s="1"/>
  <c r="O2169" i="5" a="1"/>
  <c r="O2169" i="5" s="1"/>
  <c r="O2170" i="5" a="1"/>
  <c r="O2170" i="5" s="1"/>
  <c r="O2171" i="5" a="1"/>
  <c r="O2171" i="5" s="1"/>
  <c r="O2172" i="5" a="1"/>
  <c r="O2172" i="5" s="1"/>
  <c r="O2173" i="5" a="1"/>
  <c r="O2173" i="5" s="1"/>
  <c r="O2174" i="5" a="1"/>
  <c r="O2174" i="5" s="1"/>
  <c r="O2175" i="5" a="1"/>
  <c r="O2175" i="5" s="1"/>
  <c r="O2176" i="5" a="1"/>
  <c r="O2176" i="5" s="1"/>
  <c r="O2177" i="5" a="1"/>
  <c r="O2177" i="5" s="1"/>
  <c r="O2178" i="5" a="1"/>
  <c r="O2178" i="5" s="1"/>
  <c r="O2179" i="5" a="1"/>
  <c r="O2179" i="5" s="1"/>
  <c r="O2180" i="5" a="1"/>
  <c r="O2180" i="5" s="1"/>
  <c r="O2181" i="5" a="1"/>
  <c r="O2181" i="5" s="1"/>
  <c r="O2182" i="5" a="1"/>
  <c r="O2182" i="5" s="1"/>
  <c r="O2183" i="5" a="1"/>
  <c r="O2183" i="5" s="1"/>
  <c r="O2184" i="5" a="1"/>
  <c r="O2184" i="5" s="1"/>
  <c r="O2185" i="5" a="1"/>
  <c r="O2185" i="5" s="1"/>
  <c r="O2186" i="5" a="1"/>
  <c r="O2186" i="5" s="1"/>
  <c r="O2187" i="5" a="1"/>
  <c r="O2187" i="5" s="1"/>
  <c r="O2188" i="5" a="1"/>
  <c r="O2188" i="5" s="1"/>
  <c r="O2189" i="5" a="1"/>
  <c r="O2189" i="5" s="1"/>
  <c r="O2190" i="5" a="1"/>
  <c r="O2190" i="5" s="1"/>
  <c r="O2191" i="5" a="1"/>
  <c r="O2191" i="5" s="1"/>
  <c r="O2192" i="5" a="1"/>
  <c r="O2192" i="5" s="1"/>
  <c r="O2193" i="5" a="1"/>
  <c r="O2193" i="5" s="1"/>
  <c r="O2194" i="5" a="1"/>
  <c r="O2194" i="5" s="1"/>
  <c r="O2195" i="5" a="1"/>
  <c r="O2195" i="5" s="1"/>
  <c r="O2196" i="5" a="1"/>
  <c r="O2196" i="5"/>
  <c r="O2197" i="5" a="1"/>
  <c r="O2197" i="5" s="1"/>
  <c r="O2198" i="5" a="1"/>
  <c r="O2198" i="5" s="1"/>
  <c r="O2199" i="5" a="1"/>
  <c r="O2199" i="5" s="1"/>
  <c r="O2200" i="5" a="1"/>
  <c r="O2200" i="5" s="1"/>
  <c r="O2201" i="5" a="1"/>
  <c r="O2201" i="5" s="1"/>
  <c r="O2202" i="5" a="1"/>
  <c r="O2202" i="5" s="1"/>
  <c r="O2203" i="5" a="1"/>
  <c r="O2203" i="5" s="1"/>
  <c r="O2204" i="5" a="1"/>
  <c r="O2204" i="5" s="1"/>
  <c r="O2205" i="5" a="1"/>
  <c r="O2205" i="5" s="1"/>
  <c r="O2206" i="5" a="1"/>
  <c r="O2206" i="5" s="1"/>
  <c r="O2207" i="5" a="1"/>
  <c r="O2207" i="5" s="1"/>
  <c r="O2208" i="5" a="1"/>
  <c r="O2208" i="5" s="1"/>
  <c r="O2209" i="5" a="1"/>
  <c r="O2209" i="5" s="1"/>
  <c r="O2210" i="5" a="1"/>
  <c r="O2210" i="5" s="1"/>
  <c r="O2211" i="5" a="1"/>
  <c r="O2211" i="5" s="1"/>
  <c r="O2212" i="5" a="1"/>
  <c r="O2212" i="5" s="1"/>
  <c r="O2213" i="5" a="1"/>
  <c r="O2213" i="5" s="1"/>
  <c r="O2214" i="5" a="1"/>
  <c r="O2214" i="5" s="1"/>
  <c r="O2215" i="5" a="1"/>
  <c r="O2215" i="5" s="1"/>
  <c r="O2216" i="5" a="1"/>
  <c r="O2216" i="5" s="1"/>
  <c r="O2217" i="5" a="1"/>
  <c r="O2217" i="5" s="1"/>
  <c r="O2218" i="5" a="1"/>
  <c r="O2218" i="5" s="1"/>
  <c r="O2219" i="5" a="1"/>
  <c r="O2219" i="5" s="1"/>
  <c r="O2220" i="5" a="1"/>
  <c r="O2220" i="5" s="1"/>
  <c r="O2221" i="5" a="1"/>
  <c r="O2221" i="5" s="1"/>
  <c r="O2222" i="5" a="1"/>
  <c r="O2222" i="5" s="1"/>
  <c r="O2223" i="5" a="1"/>
  <c r="O2223" i="5" s="1"/>
  <c r="O2224" i="5" a="1"/>
  <c r="O2224" i="5" s="1"/>
  <c r="O2225" i="5" a="1"/>
  <c r="O2225" i="5" s="1"/>
  <c r="O2226" i="5" a="1"/>
  <c r="O2226" i="5" s="1"/>
  <c r="O2227" i="5" a="1"/>
  <c r="O2227" i="5" s="1"/>
  <c r="O2228" i="5" a="1"/>
  <c r="O2228" i="5" s="1"/>
  <c r="O2229" i="5" a="1"/>
  <c r="O2229" i="5" s="1"/>
  <c r="O2230" i="5" a="1"/>
  <c r="O2230" i="5" s="1"/>
  <c r="O2231" i="5" a="1"/>
  <c r="O2231" i="5" s="1"/>
  <c r="O2232" i="5" a="1"/>
  <c r="O2232" i="5" s="1"/>
  <c r="O2233" i="5" a="1"/>
  <c r="O2233" i="5" s="1"/>
  <c r="O2234" i="5" a="1"/>
  <c r="O2234" i="5" s="1"/>
  <c r="O2235" i="5" a="1"/>
  <c r="O2235" i="5" s="1"/>
  <c r="O2236" i="5" a="1"/>
  <c r="O2236" i="5" s="1"/>
  <c r="O2237" i="5" a="1"/>
  <c r="O2237" i="5" s="1"/>
  <c r="O2238" i="5" a="1"/>
  <c r="O2238" i="5" s="1"/>
  <c r="O2239" i="5" a="1"/>
  <c r="O2239" i="5" s="1"/>
  <c r="O2240" i="5" a="1"/>
  <c r="O2240" i="5" s="1"/>
  <c r="O2241" i="5" a="1"/>
  <c r="O2241" i="5" s="1"/>
  <c r="O2242" i="5" a="1"/>
  <c r="O2242" i="5" s="1"/>
  <c r="O2243" i="5" a="1"/>
  <c r="O2243" i="5" s="1"/>
  <c r="O2244" i="5" a="1"/>
  <c r="O2244" i="5" s="1"/>
  <c r="O2245" i="5" a="1"/>
  <c r="O2245" i="5" s="1"/>
  <c r="O2246" i="5" a="1"/>
  <c r="O2246" i="5" s="1"/>
  <c r="O2247" i="5" a="1"/>
  <c r="O2247" i="5" s="1"/>
  <c r="O2248" i="5" a="1"/>
  <c r="O2248" i="5" s="1"/>
  <c r="O2249" i="5" a="1"/>
  <c r="O2249" i="5" s="1"/>
  <c r="O2250" i="5" a="1"/>
  <c r="O2250" i="5"/>
  <c r="O2251" i="5" a="1"/>
  <c r="O2251" i="5" s="1"/>
  <c r="O2252" i="5" a="1"/>
  <c r="O2252" i="5" s="1"/>
  <c r="O2253" i="5" a="1"/>
  <c r="O2253" i="5" s="1"/>
  <c r="O2254" i="5" a="1"/>
  <c r="O2254" i="5" s="1"/>
  <c r="O2255" i="5" a="1"/>
  <c r="O2255" i="5" s="1"/>
  <c r="O2256" i="5" a="1"/>
  <c r="O2256" i="5" s="1"/>
  <c r="O2257" i="5" a="1"/>
  <c r="O2257" i="5" s="1"/>
  <c r="O2258" i="5" a="1"/>
  <c r="O2258" i="5" s="1"/>
  <c r="O2259" i="5" a="1"/>
  <c r="O2259" i="5" s="1"/>
  <c r="O2260" i="5" a="1"/>
  <c r="O2260" i="5" s="1"/>
  <c r="O2261" i="5" a="1"/>
  <c r="O2261" i="5" s="1"/>
  <c r="O2262" i="5" a="1"/>
  <c r="O2262" i="5" s="1"/>
  <c r="O2263" i="5" a="1"/>
  <c r="O2263" i="5" s="1"/>
  <c r="O2264" i="5" a="1"/>
  <c r="O2264" i="5" s="1"/>
  <c r="O2265" i="5" a="1"/>
  <c r="O2265" i="5" s="1"/>
  <c r="O2266" i="5" a="1"/>
  <c r="O2266" i="5" s="1"/>
  <c r="O2267" i="5" a="1"/>
  <c r="O2267" i="5" s="1"/>
  <c r="O2268" i="5" a="1"/>
  <c r="O2268" i="5" s="1"/>
  <c r="O2269" i="5" a="1"/>
  <c r="O2269" i="5" s="1"/>
  <c r="O2270" i="5" a="1"/>
  <c r="O2270" i="5" s="1"/>
  <c r="O2271" i="5" a="1"/>
  <c r="O2271" i="5" s="1"/>
  <c r="O2272" i="5" a="1"/>
  <c r="O2272" i="5" s="1"/>
  <c r="O2273" i="5" a="1"/>
  <c r="O2273" i="5" s="1"/>
  <c r="O2274" i="5" a="1"/>
  <c r="O2274" i="5" s="1"/>
  <c r="O2275" i="5" a="1"/>
  <c r="O2275" i="5" s="1"/>
  <c r="O2276" i="5" a="1"/>
  <c r="O2276" i="5" s="1"/>
  <c r="O2277" i="5" a="1"/>
  <c r="O2277" i="5" s="1"/>
  <c r="O2278" i="5" a="1"/>
  <c r="O2278" i="5" s="1"/>
  <c r="O2279" i="5" a="1"/>
  <c r="O2279" i="5" s="1"/>
  <c r="O2280" i="5" a="1"/>
  <c r="O2280" i="5" s="1"/>
  <c r="O2281" i="5" a="1"/>
  <c r="O2281" i="5" s="1"/>
  <c r="O2282" i="5" a="1"/>
  <c r="O2282" i="5" s="1"/>
  <c r="O2283" i="5" a="1"/>
  <c r="O2283" i="5" s="1"/>
  <c r="O2284" i="5" a="1"/>
  <c r="O2284" i="5" s="1"/>
  <c r="O2285" i="5" a="1"/>
  <c r="O2285" i="5" s="1"/>
  <c r="O2286" i="5" a="1"/>
  <c r="O2286" i="5" s="1"/>
  <c r="O2287" i="5" a="1"/>
  <c r="O2287" i="5" s="1"/>
  <c r="O2288" i="5" a="1"/>
  <c r="O2288" i="5" s="1"/>
  <c r="O2289" i="5" a="1"/>
  <c r="O2289" i="5" s="1"/>
  <c r="O2290" i="5" a="1"/>
  <c r="O2290" i="5" s="1"/>
  <c r="O2291" i="5" a="1"/>
  <c r="O2291" i="5" s="1"/>
  <c r="O2292" i="5" a="1"/>
  <c r="O2292" i="5" s="1"/>
  <c r="O2293" i="5" a="1"/>
  <c r="O2293" i="5" s="1"/>
  <c r="O2294" i="5" a="1"/>
  <c r="O2294" i="5" s="1"/>
  <c r="O2295" i="5" a="1"/>
  <c r="O2295" i="5" s="1"/>
  <c r="O2296" i="5" a="1"/>
  <c r="O2296" i="5" s="1"/>
  <c r="O2297" i="5" a="1"/>
  <c r="O2297" i="5" s="1"/>
  <c r="O2298" i="5" a="1"/>
  <c r="O2298" i="5" s="1"/>
  <c r="O2299" i="5" a="1"/>
  <c r="O2299" i="5" s="1"/>
  <c r="O2300" i="5" a="1"/>
  <c r="O2300" i="5" s="1"/>
  <c r="O2301" i="5" a="1"/>
  <c r="O2301" i="5" s="1"/>
  <c r="O2302" i="5" a="1"/>
  <c r="O2302" i="5" s="1"/>
  <c r="O2303" i="5" a="1"/>
  <c r="O2303" i="5" s="1"/>
  <c r="O2304" i="5" a="1"/>
  <c r="O2304" i="5" s="1"/>
  <c r="O2305" i="5" a="1"/>
  <c r="O2305" i="5" s="1"/>
  <c r="O2306" i="5" a="1"/>
  <c r="O2306" i="5" s="1"/>
  <c r="O2307" i="5" a="1"/>
  <c r="O2307" i="5" s="1"/>
  <c r="O2308" i="5" a="1"/>
  <c r="O2308" i="5" s="1"/>
  <c r="O2309" i="5" a="1"/>
  <c r="O2309" i="5" s="1"/>
  <c r="O2310" i="5" a="1"/>
  <c r="O2310" i="5" s="1"/>
  <c r="O2311" i="5" a="1"/>
  <c r="O2311" i="5" s="1"/>
  <c r="O2312" i="5" a="1"/>
  <c r="O2312" i="5" s="1"/>
  <c r="O2313" i="5" a="1"/>
  <c r="O2313" i="5" s="1"/>
  <c r="O2314" i="5" a="1"/>
  <c r="O2314" i="5" s="1"/>
  <c r="O2315" i="5" a="1"/>
  <c r="O2315" i="5" s="1"/>
  <c r="O2316" i="5" a="1"/>
  <c r="O2316" i="5" s="1"/>
  <c r="O2317" i="5" a="1"/>
  <c r="O2317" i="5" s="1"/>
  <c r="O2318" i="5" a="1"/>
  <c r="O2318" i="5" s="1"/>
  <c r="O2319" i="5" a="1"/>
  <c r="O2319" i="5" s="1"/>
  <c r="O2320" i="5" a="1"/>
  <c r="O2320" i="5" s="1"/>
  <c r="O2321" i="5" a="1"/>
  <c r="O2321" i="5" s="1"/>
  <c r="O2322" i="5" a="1"/>
  <c r="O2322" i="5" s="1"/>
  <c r="O2323" i="5" a="1"/>
  <c r="O2323" i="5" s="1"/>
  <c r="O2324" i="5" a="1"/>
  <c r="O2324" i="5" s="1"/>
  <c r="O2325" i="5" a="1"/>
  <c r="O2325" i="5" s="1"/>
  <c r="O2326" i="5" a="1"/>
  <c r="O2326" i="5" s="1"/>
  <c r="O2327" i="5" a="1"/>
  <c r="O2327" i="5" s="1"/>
  <c r="O2328" i="5" a="1"/>
  <c r="O2328" i="5" s="1"/>
  <c r="O2329" i="5" a="1"/>
  <c r="O2329" i="5" s="1"/>
  <c r="O2330" i="5" a="1"/>
  <c r="O2330" i="5" s="1"/>
  <c r="O2331" i="5" a="1"/>
  <c r="O2331" i="5" s="1"/>
  <c r="O2332" i="5" a="1"/>
  <c r="O2332" i="5" s="1"/>
  <c r="O2333" i="5" a="1"/>
  <c r="O2333" i="5" s="1"/>
  <c r="O2334" i="5" a="1"/>
  <c r="O2334" i="5" s="1"/>
  <c r="O2335" i="5" a="1"/>
  <c r="O2335" i="5" s="1"/>
  <c r="O2336" i="5" a="1"/>
  <c r="O2336" i="5" s="1"/>
  <c r="O2337" i="5" a="1"/>
  <c r="O2337" i="5" s="1"/>
  <c r="O2338" i="5" a="1"/>
  <c r="O2338" i="5" s="1"/>
  <c r="O2339" i="5" a="1"/>
  <c r="O2339" i="5" s="1"/>
  <c r="O2340" i="5" a="1"/>
  <c r="O2340" i="5" s="1"/>
  <c r="O2341" i="5" a="1"/>
  <c r="O2341" i="5" s="1"/>
  <c r="O2342" i="5" a="1"/>
  <c r="O2342" i="5" s="1"/>
  <c r="O2343" i="5" a="1"/>
  <c r="O2343" i="5" s="1"/>
  <c r="O2344" i="5" a="1"/>
  <c r="O2344" i="5" s="1"/>
  <c r="O2345" i="5" a="1"/>
  <c r="O2345" i="5" s="1"/>
  <c r="O2346" i="5" a="1"/>
  <c r="O2346" i="5" s="1"/>
  <c r="O2347" i="5" a="1"/>
  <c r="O2347" i="5" s="1"/>
  <c r="O2348" i="5" a="1"/>
  <c r="O2348" i="5" s="1"/>
  <c r="O2349" i="5" a="1"/>
  <c r="O2349" i="5" s="1"/>
  <c r="O2350" i="5" a="1"/>
  <c r="O2350" i="5" s="1"/>
  <c r="O2351" i="5" a="1"/>
  <c r="O2351" i="5" s="1"/>
  <c r="O2352" i="5" a="1"/>
  <c r="O2352" i="5" s="1"/>
  <c r="O2353" i="5" a="1"/>
  <c r="O2353" i="5" s="1"/>
  <c r="O2354" i="5" a="1"/>
  <c r="O2354" i="5" s="1"/>
  <c r="O2355" i="5" a="1"/>
  <c r="O2355" i="5" s="1"/>
  <c r="O2356" i="5" a="1"/>
  <c r="O2356" i="5" s="1"/>
  <c r="O2357" i="5" a="1"/>
  <c r="O2357" i="5" s="1"/>
  <c r="O2358" i="5" a="1"/>
  <c r="O2358" i="5" s="1"/>
  <c r="O2359" i="5" a="1"/>
  <c r="O2359" i="5" s="1"/>
  <c r="O2360" i="5" a="1"/>
  <c r="O2360" i="5" s="1"/>
  <c r="O2361" i="5" a="1"/>
  <c r="O2361" i="5" s="1"/>
  <c r="O2362" i="5" a="1"/>
  <c r="O2362" i="5" s="1"/>
  <c r="O2363" i="5" a="1"/>
  <c r="O2363" i="5" s="1"/>
  <c r="O2364" i="5" a="1"/>
  <c r="O2364" i="5" s="1"/>
  <c r="O2365" i="5" a="1"/>
  <c r="O2365" i="5" s="1"/>
  <c r="O2366" i="5" a="1"/>
  <c r="O2366" i="5" s="1"/>
  <c r="O2367" i="5" a="1"/>
  <c r="O2367" i="5" s="1"/>
  <c r="O2368" i="5" a="1"/>
  <c r="O2368" i="5" s="1"/>
  <c r="O2369" i="5" a="1"/>
  <c r="O2369" i="5" s="1"/>
  <c r="O2370" i="5" a="1"/>
  <c r="O2370" i="5"/>
  <c r="O2371" i="5" a="1"/>
  <c r="O2371" i="5" s="1"/>
  <c r="O2372" i="5" a="1"/>
  <c r="O2372" i="5" s="1"/>
  <c r="O2373" i="5" a="1"/>
  <c r="O2373" i="5" s="1"/>
  <c r="O2374" i="5" a="1"/>
  <c r="O2374" i="5" s="1"/>
  <c r="O2375" i="5" a="1"/>
  <c r="O2375" i="5" s="1"/>
  <c r="O2376" i="5" a="1"/>
  <c r="O2376" i="5" s="1"/>
  <c r="O2377" i="5" a="1"/>
  <c r="O2377" i="5" s="1"/>
  <c r="O2378" i="5" a="1"/>
  <c r="O2378" i="5" s="1"/>
  <c r="O2379" i="5" a="1"/>
  <c r="O2379" i="5" s="1"/>
  <c r="O2380" i="5" a="1"/>
  <c r="O2380" i="5" s="1"/>
  <c r="O2381" i="5" a="1"/>
  <c r="O2381" i="5" s="1"/>
  <c r="O2382" i="5" a="1"/>
  <c r="O2382" i="5" s="1"/>
  <c r="O2383" i="5" a="1"/>
  <c r="O2383" i="5" s="1"/>
  <c r="O2384" i="5" a="1"/>
  <c r="O2384" i="5" s="1"/>
  <c r="O2385" i="5" a="1"/>
  <c r="O2385" i="5" s="1"/>
  <c r="O2386" i="5" a="1"/>
  <c r="O2386" i="5" s="1"/>
  <c r="O2387" i="5" a="1"/>
  <c r="O2387" i="5" s="1"/>
  <c r="O2388" i="5" a="1"/>
  <c r="O2388" i="5" s="1"/>
  <c r="O2389" i="5" a="1"/>
  <c r="O2389" i="5" s="1"/>
  <c r="O2390" i="5" a="1"/>
  <c r="O2390" i="5" s="1"/>
  <c r="O2391" i="5" a="1"/>
  <c r="O2391" i="5" s="1"/>
  <c r="O2392" i="5" a="1"/>
  <c r="O2392" i="5" s="1"/>
  <c r="O2393" i="5" a="1"/>
  <c r="O2393" i="5" s="1"/>
  <c r="O2394" i="5" a="1"/>
  <c r="O2394" i="5" s="1"/>
  <c r="O2395" i="5" a="1"/>
  <c r="O2395" i="5" s="1"/>
  <c r="O2396" i="5" a="1"/>
  <c r="O2396" i="5" s="1"/>
  <c r="O2397" i="5" a="1"/>
  <c r="O2397" i="5" s="1"/>
  <c r="O2398" i="5" a="1"/>
  <c r="O2398" i="5" s="1"/>
  <c r="O2399" i="5" a="1"/>
  <c r="O2399" i="5"/>
  <c r="O2400" i="5" a="1"/>
  <c r="O2400" i="5" s="1"/>
  <c r="O2401" i="5" a="1"/>
  <c r="O2401" i="5" s="1"/>
  <c r="O2402" i="5" a="1"/>
  <c r="O2402" i="5" s="1"/>
  <c r="O2403" i="5" a="1"/>
  <c r="O2403" i="5" s="1"/>
  <c r="O2404" i="5" a="1"/>
  <c r="O2404" i="5" s="1"/>
  <c r="O2405" i="5" a="1"/>
  <c r="O2405" i="5" s="1"/>
  <c r="O2406" i="5" a="1"/>
  <c r="O2406" i="5" s="1"/>
  <c r="O2407" i="5" a="1"/>
  <c r="O2407" i="5" s="1"/>
  <c r="O2408" i="5" a="1"/>
  <c r="O2408" i="5" s="1"/>
  <c r="O2409" i="5" a="1"/>
  <c r="O2409" i="5" s="1"/>
  <c r="O2410" i="5" a="1"/>
  <c r="O2410" i="5" s="1"/>
  <c r="O2411" i="5" a="1"/>
  <c r="O2411" i="5" s="1"/>
  <c r="O2412" i="5" a="1"/>
  <c r="O2412" i="5" s="1"/>
  <c r="O2413" i="5" a="1"/>
  <c r="O2413" i="5" s="1"/>
  <c r="O2414" i="5" a="1"/>
  <c r="O2414" i="5" s="1"/>
  <c r="O2415" i="5" a="1"/>
  <c r="O2415" i="5" s="1"/>
  <c r="O2416" i="5" a="1"/>
  <c r="O2416" i="5" s="1"/>
  <c r="O2417" i="5" a="1"/>
  <c r="O2417" i="5" s="1"/>
  <c r="O2418" i="5" a="1"/>
  <c r="O2418" i="5" s="1"/>
  <c r="O2419" i="5" a="1"/>
  <c r="O2419" i="5" s="1"/>
  <c r="O2420" i="5" a="1"/>
  <c r="O2420" i="5" s="1"/>
  <c r="O2421" i="5" a="1"/>
  <c r="O2421" i="5" s="1"/>
  <c r="O2422" i="5" a="1"/>
  <c r="O2422" i="5" s="1"/>
  <c r="O2423" i="5" a="1"/>
  <c r="O2423" i="5" s="1"/>
  <c r="O2424" i="5" a="1"/>
  <c r="O2424" i="5" s="1"/>
  <c r="O2425" i="5" a="1"/>
  <c r="O2425" i="5" s="1"/>
  <c r="O2426" i="5" a="1"/>
  <c r="O2426" i="5" s="1"/>
  <c r="O2427" i="5" a="1"/>
  <c r="O2427" i="5" s="1"/>
  <c r="O2428" i="5" a="1"/>
  <c r="O2428" i="5" s="1"/>
  <c r="O2429" i="5" a="1"/>
  <c r="O2429" i="5" s="1"/>
  <c r="O2430" i="5" a="1"/>
  <c r="O2430" i="5" s="1"/>
  <c r="O2431" i="5" a="1"/>
  <c r="O2431" i="5" s="1"/>
  <c r="O2432" i="5" a="1"/>
  <c r="O2432" i="5" s="1"/>
  <c r="O2433" i="5" a="1"/>
  <c r="O2433" i="5" s="1"/>
  <c r="O2434" i="5" a="1"/>
  <c r="O2434" i="5" s="1"/>
  <c r="O2435" i="5" a="1"/>
  <c r="O2435" i="5" s="1"/>
  <c r="O2436" i="5" a="1"/>
  <c r="O2436" i="5" s="1"/>
  <c r="O2437" i="5" a="1"/>
  <c r="O2437" i="5" s="1"/>
  <c r="O2438" i="5" a="1"/>
  <c r="O2438" i="5" s="1"/>
  <c r="O2439" i="5" a="1"/>
  <c r="O2439" i="5" s="1"/>
  <c r="O2440" i="5" a="1"/>
  <c r="O2440" i="5" s="1"/>
  <c r="O2441" i="5" a="1"/>
  <c r="O2441" i="5" s="1"/>
  <c r="O2442" i="5" a="1"/>
  <c r="O2442" i="5" s="1"/>
  <c r="O2443" i="5" a="1"/>
  <c r="O2443" i="5" s="1"/>
  <c r="O2444" i="5" a="1"/>
  <c r="O2444" i="5" s="1"/>
  <c r="O2445" i="5" a="1"/>
  <c r="O2445" i="5" s="1"/>
  <c r="O2446" i="5" a="1"/>
  <c r="O2446" i="5" s="1"/>
  <c r="O2447" i="5" a="1"/>
  <c r="O2447" i="5" s="1"/>
  <c r="O2448" i="5" a="1"/>
  <c r="O2448" i="5" s="1"/>
  <c r="O2449" i="5" a="1"/>
  <c r="O2449" i="5" s="1"/>
  <c r="O2450" i="5" a="1"/>
  <c r="O2450" i="5" s="1"/>
  <c r="O2451" i="5" a="1"/>
  <c r="O2451" i="5" s="1"/>
  <c r="O2452" i="5" a="1"/>
  <c r="O2452" i="5" s="1"/>
  <c r="O2453" i="5" a="1"/>
  <c r="O2453" i="5"/>
  <c r="O2454" i="5" a="1"/>
  <c r="O2454" i="5" s="1"/>
  <c r="O2455" i="5" a="1"/>
  <c r="O2455" i="5" s="1"/>
  <c r="O2456" i="5" a="1"/>
  <c r="O2456" i="5" s="1"/>
  <c r="O2457" i="5" a="1"/>
  <c r="O2457" i="5" s="1"/>
  <c r="O2458" i="5" a="1"/>
  <c r="O2458" i="5" s="1"/>
  <c r="O2459" i="5" a="1"/>
  <c r="O2459" i="5" s="1"/>
  <c r="O2460" i="5" a="1"/>
  <c r="O2460" i="5" s="1"/>
  <c r="O2461" i="5" a="1"/>
  <c r="O2461" i="5" s="1"/>
  <c r="O2462" i="5" a="1"/>
  <c r="O2462" i="5" s="1"/>
  <c r="O2463" i="5" a="1"/>
  <c r="O2463" i="5" s="1"/>
  <c r="O2464" i="5" a="1"/>
  <c r="O2464" i="5" s="1"/>
  <c r="O2465" i="5" a="1"/>
  <c r="O2465" i="5" s="1"/>
  <c r="O2466" i="5" a="1"/>
  <c r="O2466" i="5" s="1"/>
  <c r="O2467" i="5" a="1"/>
  <c r="O2467" i="5"/>
  <c r="O2468" i="5" a="1"/>
  <c r="O2468" i="5" s="1"/>
  <c r="O2469" i="5" a="1"/>
  <c r="O2469" i="5" s="1"/>
  <c r="O2470" i="5" a="1"/>
  <c r="O2470" i="5" s="1"/>
  <c r="O2471" i="5" a="1"/>
  <c r="O2471" i="5" s="1"/>
  <c r="O2472" i="5" a="1"/>
  <c r="O2472" i="5" s="1"/>
  <c r="O2473" i="5" a="1"/>
  <c r="O2473" i="5" s="1"/>
  <c r="O2474" i="5" a="1"/>
  <c r="O2474" i="5" s="1"/>
  <c r="O2475" i="5" a="1"/>
  <c r="O2475" i="5" s="1"/>
  <c r="O2476" i="5" a="1"/>
  <c r="O2476" i="5" s="1"/>
  <c r="O2477" i="5" a="1"/>
  <c r="O2477" i="5" s="1"/>
  <c r="O2478" i="5" a="1"/>
  <c r="O2478" i="5" s="1"/>
  <c r="O2479" i="5" a="1"/>
  <c r="O2479" i="5" s="1"/>
  <c r="O2480" i="5" a="1"/>
  <c r="O2480" i="5" s="1"/>
  <c r="O2481" i="5" a="1"/>
  <c r="O2481" i="5" s="1"/>
  <c r="O2482" i="5" a="1"/>
  <c r="O2482" i="5" s="1"/>
  <c r="O2483" i="5" a="1"/>
  <c r="O2483" i="5" s="1"/>
  <c r="O2484" i="5" a="1"/>
  <c r="O2484" i="5" s="1"/>
  <c r="O2485" i="5" a="1"/>
  <c r="O2485" i="5" s="1"/>
  <c r="O2486" i="5" a="1"/>
  <c r="O2486" i="5" s="1"/>
  <c r="O2487" i="5" a="1"/>
  <c r="O2487" i="5" s="1"/>
  <c r="O2488" i="5" a="1"/>
  <c r="O2488" i="5" s="1"/>
  <c r="O2489" i="5" a="1"/>
  <c r="O2489" i="5" s="1"/>
  <c r="O2490" i="5" a="1"/>
  <c r="O2490" i="5" s="1"/>
  <c r="O2491" i="5" a="1"/>
  <c r="O2491" i="5" s="1"/>
  <c r="O2492" i="5" a="1"/>
  <c r="O2492" i="5" s="1"/>
  <c r="O2493" i="5" a="1"/>
  <c r="O2493" i="5" s="1"/>
  <c r="O2494" i="5" a="1"/>
  <c r="O2494" i="5" s="1"/>
  <c r="O2495" i="5" a="1"/>
  <c r="O2495" i="5"/>
  <c r="O2496" i="5" a="1"/>
  <c r="O2496" i="5" s="1"/>
  <c r="O2497" i="5" a="1"/>
  <c r="O2497" i="5" s="1"/>
  <c r="O2498" i="5" a="1"/>
  <c r="O2498" i="5" s="1"/>
  <c r="O2499" i="5" a="1"/>
  <c r="O2499" i="5" s="1"/>
  <c r="O2500" i="5" a="1"/>
  <c r="O2500" i="5" s="1"/>
  <c r="O2501" i="5" a="1"/>
  <c r="O2501" i="5" s="1"/>
  <c r="O2502" i="5" a="1"/>
  <c r="O2502" i="5" s="1"/>
  <c r="O2503" i="5" a="1"/>
  <c r="O2503" i="5" s="1"/>
  <c r="O2504" i="5" a="1"/>
  <c r="O2504" i="5" s="1"/>
  <c r="O2505" i="5" a="1"/>
  <c r="O2505" i="5" s="1"/>
  <c r="O2506" i="5" a="1"/>
  <c r="O2506" i="5" s="1"/>
  <c r="O2507" i="5" a="1"/>
  <c r="O2507" i="5" s="1"/>
  <c r="O2508" i="5" a="1"/>
  <c r="O2508" i="5" s="1"/>
  <c r="O2509" i="5" a="1"/>
  <c r="O2509" i="5" s="1"/>
  <c r="O2510" i="5" a="1"/>
  <c r="O2510" i="5" s="1"/>
  <c r="O2511" i="5" a="1"/>
  <c r="O2511" i="5" s="1"/>
  <c r="O2512" i="5" a="1"/>
  <c r="O2512" i="5" s="1"/>
  <c r="O2513" i="5" a="1"/>
  <c r="O2513" i="5" s="1"/>
  <c r="O2514" i="5" a="1"/>
  <c r="O2514" i="5" s="1"/>
  <c r="O2515" i="5" a="1"/>
  <c r="O2515" i="5" s="1"/>
  <c r="O2516" i="5" a="1"/>
  <c r="O2516" i="5" s="1"/>
  <c r="O2517" i="5" a="1"/>
  <c r="O2517" i="5" s="1"/>
  <c r="O2518" i="5" a="1"/>
  <c r="O2518" i="5" s="1"/>
  <c r="O2519" i="5" a="1"/>
  <c r="O2519" i="5" s="1"/>
  <c r="O2520" i="5" a="1"/>
  <c r="O2520" i="5" s="1"/>
  <c r="O2521" i="5" a="1"/>
  <c r="O2521" i="5" s="1"/>
  <c r="O2522" i="5" a="1"/>
  <c r="O2522" i="5" s="1"/>
  <c r="O2523" i="5" a="1"/>
  <c r="O2523" i="5" s="1"/>
  <c r="O2524" i="5" a="1"/>
  <c r="O2524" i="5" s="1"/>
  <c r="O2525" i="5" a="1"/>
  <c r="O2525" i="5" s="1"/>
  <c r="O2526" i="5" a="1"/>
  <c r="O2526" i="5" s="1"/>
  <c r="O2527" i="5" a="1"/>
  <c r="O2527" i="5" s="1"/>
  <c r="O2528" i="5" a="1"/>
  <c r="O2528" i="5" s="1"/>
  <c r="O2529" i="5" a="1"/>
  <c r="O2529" i="5" s="1"/>
  <c r="O2530" i="5" a="1"/>
  <c r="O2530" i="5" s="1"/>
  <c r="O2531" i="5" a="1"/>
  <c r="O2531" i="5" s="1"/>
  <c r="O2532" i="5" a="1"/>
  <c r="O2532" i="5" s="1"/>
  <c r="O2533" i="5" a="1"/>
  <c r="O2533" i="5" s="1"/>
  <c r="O2534" i="5" a="1"/>
  <c r="O2534" i="5" s="1"/>
  <c r="O2535" i="5" a="1"/>
  <c r="O2535" i="5" s="1"/>
  <c r="O2536" i="5" a="1"/>
  <c r="O2536" i="5" s="1"/>
  <c r="O2537" i="5" a="1"/>
  <c r="O2537" i="5" s="1"/>
  <c r="O2538" i="5" a="1"/>
  <c r="O2538" i="5" s="1"/>
  <c r="O2539" i="5" a="1"/>
  <c r="O2539" i="5" s="1"/>
  <c r="O2540" i="5" a="1"/>
  <c r="O2540" i="5" s="1"/>
  <c r="O2541" i="5" a="1"/>
  <c r="O2541" i="5" s="1"/>
  <c r="O2542" i="5" a="1"/>
  <c r="O2542" i="5" s="1"/>
  <c r="O2543" i="5" a="1"/>
  <c r="O2543" i="5" s="1"/>
  <c r="O2544" i="5" a="1"/>
  <c r="O2544" i="5" s="1"/>
  <c r="O2545" i="5" a="1"/>
  <c r="O2545" i="5" s="1"/>
  <c r="O2546" i="5" a="1"/>
  <c r="O2546" i="5" s="1"/>
  <c r="O2547" i="5" a="1"/>
  <c r="O2547" i="5" s="1"/>
  <c r="O2548" i="5" a="1"/>
  <c r="O2548" i="5" s="1"/>
  <c r="O2549" i="5" a="1"/>
  <c r="O2549" i="5" s="1"/>
  <c r="O2550" i="5" a="1"/>
  <c r="O2550" i="5" s="1"/>
  <c r="O2551" i="5" a="1"/>
  <c r="O2551" i="5" s="1"/>
  <c r="O2552" i="5" a="1"/>
  <c r="O2552" i="5" s="1"/>
  <c r="O2553" i="5" a="1"/>
  <c r="O2553" i="5" s="1"/>
  <c r="O2554" i="5" a="1"/>
  <c r="O2554" i="5" s="1"/>
  <c r="O2555" i="5" a="1"/>
  <c r="O2555" i="5" s="1"/>
  <c r="O2556" i="5" a="1"/>
  <c r="O2556" i="5" s="1"/>
  <c r="O2557" i="5" a="1"/>
  <c r="O2557" i="5" s="1"/>
  <c r="O2558" i="5" a="1"/>
  <c r="O2558" i="5" s="1"/>
  <c r="O2559" i="5" a="1"/>
  <c r="O2559" i="5" s="1"/>
  <c r="O2560" i="5" a="1"/>
  <c r="O2560" i="5" s="1"/>
  <c r="O2561" i="5" a="1"/>
  <c r="O2561" i="5" s="1"/>
  <c r="O2562" i="5" a="1"/>
  <c r="O2562" i="5" s="1"/>
  <c r="O2563" i="5" a="1"/>
  <c r="O2563" i="5" s="1"/>
  <c r="O2564" i="5" a="1"/>
  <c r="O2564" i="5" s="1"/>
  <c r="O2565" i="5" a="1"/>
  <c r="O2565" i="5" s="1"/>
  <c r="O2566" i="5" a="1"/>
  <c r="O2566" i="5" s="1"/>
  <c r="O2567" i="5" a="1"/>
  <c r="O2567" i="5" s="1"/>
  <c r="O2568" i="5" a="1"/>
  <c r="O2568" i="5" s="1"/>
  <c r="O2569" i="5" a="1"/>
  <c r="O2569" i="5" s="1"/>
  <c r="O2570" i="5" a="1"/>
  <c r="O2570" i="5" s="1"/>
  <c r="O2571" i="5" a="1"/>
  <c r="O2571" i="5" s="1"/>
  <c r="O2572" i="5" a="1"/>
  <c r="O2572" i="5" s="1"/>
  <c r="O2573" i="5" a="1"/>
  <c r="O2573" i="5" s="1"/>
  <c r="O2574" i="5" a="1"/>
  <c r="O2574" i="5" s="1"/>
  <c r="O2575" i="5" a="1"/>
  <c r="O2575" i="5"/>
  <c r="O2576" i="5" a="1"/>
  <c r="O2576" i="5" s="1"/>
  <c r="O2577" i="5" a="1"/>
  <c r="O2577" i="5" s="1"/>
  <c r="O2578" i="5" a="1"/>
  <c r="O2578" i="5" s="1"/>
  <c r="O2579" i="5" a="1"/>
  <c r="O2579" i="5"/>
  <c r="O2580" i="5" a="1"/>
  <c r="O2580" i="5" s="1"/>
  <c r="O2581" i="5" a="1"/>
  <c r="O2581" i="5"/>
  <c r="O2582" i="5" a="1"/>
  <c r="O2582" i="5" s="1"/>
  <c r="O2583" i="5" a="1"/>
  <c r="O2583" i="5" s="1"/>
  <c r="O2584" i="5" a="1"/>
  <c r="O2584" i="5" s="1"/>
  <c r="O2585" i="5" a="1"/>
  <c r="O2585" i="5" s="1"/>
  <c r="O2586" i="5" a="1"/>
  <c r="O2586" i="5" s="1"/>
  <c r="O2587" i="5" a="1"/>
  <c r="O2587" i="5" s="1"/>
  <c r="O2588" i="5" a="1"/>
  <c r="O2588" i="5" s="1"/>
  <c r="O2589" i="5" a="1"/>
  <c r="O2589" i="5" s="1"/>
  <c r="O2590" i="5" a="1"/>
  <c r="O2590" i="5" s="1"/>
  <c r="O2591" i="5" a="1"/>
  <c r="O2591" i="5" s="1"/>
  <c r="O2592" i="5" a="1"/>
  <c r="O2592" i="5" s="1"/>
  <c r="O2593" i="5" a="1"/>
  <c r="O2593" i="5" s="1"/>
  <c r="O2594" i="5" a="1"/>
  <c r="O2594" i="5" s="1"/>
  <c r="O2595" i="5" a="1"/>
  <c r="O2595" i="5" s="1"/>
  <c r="O2596" i="5" a="1"/>
  <c r="O2596" i="5" s="1"/>
  <c r="O2597" i="5" a="1"/>
  <c r="O2597" i="5" s="1"/>
  <c r="O2598" i="5" a="1"/>
  <c r="O2598" i="5" s="1"/>
  <c r="O2599" i="5" a="1"/>
  <c r="O2599" i="5" s="1"/>
  <c r="O2600" i="5" a="1"/>
  <c r="O2600" i="5" s="1"/>
  <c r="O2601" i="5" a="1"/>
  <c r="O2601" i="5" s="1"/>
  <c r="O2602" i="5" a="1"/>
  <c r="O2602" i="5" s="1"/>
  <c r="O2603" i="5" a="1"/>
  <c r="O2603" i="5" s="1"/>
  <c r="O2604" i="5" a="1"/>
  <c r="O2604" i="5" s="1"/>
  <c r="O2605" i="5" a="1"/>
  <c r="O2605" i="5" s="1"/>
  <c r="O2606" i="5" a="1"/>
  <c r="O2606" i="5" s="1"/>
  <c r="O2607" i="5" a="1"/>
  <c r="O2607" i="5" s="1"/>
  <c r="O2608" i="5" a="1"/>
  <c r="O2608" i="5" s="1"/>
  <c r="O2609" i="5" a="1"/>
  <c r="O2609" i="5" s="1"/>
  <c r="O2610" i="5" a="1"/>
  <c r="O2610" i="5" s="1"/>
  <c r="O2611" i="5" a="1"/>
  <c r="O2611" i="5" s="1"/>
  <c r="O2612" i="5" a="1"/>
  <c r="O2612" i="5" s="1"/>
  <c r="O2613" i="5" a="1"/>
  <c r="O2613" i="5" s="1"/>
  <c r="O2614" i="5" a="1"/>
  <c r="O2614" i="5" s="1"/>
  <c r="O2615" i="5" a="1"/>
  <c r="O2615" i="5" s="1"/>
  <c r="O2616" i="5" a="1"/>
  <c r="O2616" i="5" s="1"/>
  <c r="O2617" i="5" a="1"/>
  <c r="O2617" i="5" s="1"/>
  <c r="O2618" i="5" a="1"/>
  <c r="O2618" i="5" s="1"/>
  <c r="O2619" i="5" a="1"/>
  <c r="O2619" i="5" s="1"/>
  <c r="O2620" i="5" a="1"/>
  <c r="O2620" i="5" s="1"/>
  <c r="O2621" i="5" a="1"/>
  <c r="O2621" i="5" s="1"/>
  <c r="O2622" i="5" a="1"/>
  <c r="O2622" i="5" s="1"/>
  <c r="O2623" i="5" a="1"/>
  <c r="O2623" i="5" s="1"/>
  <c r="O2624" i="5" a="1"/>
  <c r="O2624" i="5" s="1"/>
  <c r="O2625" i="5" a="1"/>
  <c r="O2625" i="5" s="1"/>
  <c r="O2626" i="5" a="1"/>
  <c r="O2626" i="5" s="1"/>
  <c r="O2627" i="5" a="1"/>
  <c r="O2627" i="5" s="1"/>
  <c r="O2628" i="5" a="1"/>
  <c r="O2628" i="5" s="1"/>
  <c r="O2629" i="5" a="1"/>
  <c r="O2629" i="5" s="1"/>
  <c r="O2630" i="5" a="1"/>
  <c r="O2630" i="5" s="1"/>
  <c r="O2631" i="5" a="1"/>
  <c r="O2631" i="5" s="1"/>
  <c r="O2632" i="5" a="1"/>
  <c r="O2632" i="5" s="1"/>
  <c r="O2633" i="5" a="1"/>
  <c r="O2633" i="5" s="1"/>
  <c r="O2634" i="5" a="1"/>
  <c r="O2634" i="5" s="1"/>
  <c r="O2635" i="5" a="1"/>
  <c r="O2635" i="5" s="1"/>
  <c r="O2636" i="5" a="1"/>
  <c r="O2636" i="5" s="1"/>
  <c r="O2637" i="5" a="1"/>
  <c r="O2637" i="5" s="1"/>
  <c r="O2638" i="5" a="1"/>
  <c r="O2638" i="5" s="1"/>
  <c r="O2639" i="5" a="1"/>
  <c r="O2639" i="5" s="1"/>
  <c r="O2640" i="5" a="1"/>
  <c r="O2640" i="5" s="1"/>
  <c r="O2641" i="5" a="1"/>
  <c r="O2641" i="5" s="1"/>
  <c r="O2642" i="5" a="1"/>
  <c r="O2642" i="5" s="1"/>
  <c r="O2643" i="5" a="1"/>
  <c r="O2643" i="5" s="1"/>
  <c r="O2644" i="5" a="1"/>
  <c r="O2644" i="5" s="1"/>
  <c r="O2645" i="5" a="1"/>
  <c r="O2645" i="5" s="1"/>
  <c r="O2646" i="5" a="1"/>
  <c r="O2646" i="5" s="1"/>
  <c r="O2647" i="5" a="1"/>
  <c r="O2647" i="5" s="1"/>
  <c r="O2648" i="5" a="1"/>
  <c r="O2648" i="5" s="1"/>
  <c r="O2649" i="5" a="1"/>
  <c r="O2649" i="5" s="1"/>
  <c r="O2650" i="5" a="1"/>
  <c r="O2650" i="5" s="1"/>
  <c r="O2651" i="5" a="1"/>
  <c r="O2651" i="5" s="1"/>
  <c r="O2652" i="5" a="1"/>
  <c r="O2652" i="5" s="1"/>
  <c r="O2653" i="5" a="1"/>
  <c r="O2653" i="5" s="1"/>
  <c r="O2654" i="5" a="1"/>
  <c r="O2654" i="5" s="1"/>
  <c r="O2655" i="5" a="1"/>
  <c r="O2655" i="5" s="1"/>
  <c r="O2656" i="5" a="1"/>
  <c r="O2656" i="5" s="1"/>
  <c r="O2657" i="5" a="1"/>
  <c r="O2657" i="5" s="1"/>
  <c r="O2658" i="5" a="1"/>
  <c r="O2658" i="5" s="1"/>
  <c r="O2659" i="5" a="1"/>
  <c r="O2659" i="5" s="1"/>
  <c r="O2660" i="5" a="1"/>
  <c r="O2660" i="5" s="1"/>
  <c r="O2661" i="5" a="1"/>
  <c r="O2661" i="5" s="1"/>
  <c r="O2662" i="5" a="1"/>
  <c r="O2662" i="5" s="1"/>
  <c r="O2663" i="5" a="1"/>
  <c r="O2663" i="5" s="1"/>
  <c r="O2664" i="5" a="1"/>
  <c r="O2664" i="5" s="1"/>
  <c r="O2665" i="5" a="1"/>
  <c r="O2665" i="5" s="1"/>
  <c r="O2666" i="5" a="1"/>
  <c r="O2666" i="5" s="1"/>
  <c r="O2667" i="5" a="1"/>
  <c r="O2667" i="5" s="1"/>
  <c r="O2668" i="5" a="1"/>
  <c r="O2668" i="5" s="1"/>
  <c r="O2669" i="5" a="1"/>
  <c r="O2669" i="5" s="1"/>
  <c r="O2670" i="5" a="1"/>
  <c r="O2670" i="5" s="1"/>
  <c r="O2671" i="5" a="1"/>
  <c r="O2671" i="5" s="1"/>
  <c r="O2672" i="5" a="1"/>
  <c r="O2672" i="5" s="1"/>
  <c r="O2673" i="5" a="1"/>
  <c r="O2673" i="5" s="1"/>
  <c r="O2674" i="5" a="1"/>
  <c r="O2674" i="5" s="1"/>
  <c r="O2675" i="5" a="1"/>
  <c r="O2675" i="5" s="1"/>
  <c r="O2676" i="5" a="1"/>
  <c r="O2676" i="5" s="1"/>
  <c r="O2677" i="5" a="1"/>
  <c r="O2677" i="5" s="1"/>
  <c r="O2678" i="5" a="1"/>
  <c r="O2678" i="5" s="1"/>
  <c r="O2679" i="5" a="1"/>
  <c r="O2679" i="5"/>
  <c r="O2680" i="5" a="1"/>
  <c r="O2680" i="5" s="1"/>
  <c r="O2681" i="5" a="1"/>
  <c r="O2681" i="5" s="1"/>
  <c r="O2682" i="5" a="1"/>
  <c r="O2682" i="5" s="1"/>
  <c r="O2683" i="5" a="1"/>
  <c r="O2683" i="5" s="1"/>
  <c r="O2684" i="5" a="1"/>
  <c r="O2684" i="5" s="1"/>
  <c r="O2685" i="5" a="1"/>
  <c r="O2685" i="5" s="1"/>
  <c r="O2686" i="5" a="1"/>
  <c r="O2686" i="5" s="1"/>
  <c r="O2687" i="5" a="1"/>
  <c r="O2687" i="5" s="1"/>
  <c r="O2688" i="5" a="1"/>
  <c r="O2688" i="5" s="1"/>
  <c r="O2689" i="5" a="1"/>
  <c r="O2689" i="5" s="1"/>
  <c r="O2690" i="5" a="1"/>
  <c r="O2690" i="5" s="1"/>
  <c r="O2691" i="5" a="1"/>
  <c r="O2691" i="5" s="1"/>
  <c r="O2692" i="5" a="1"/>
  <c r="O2692" i="5" s="1"/>
  <c r="O2693" i="5" a="1"/>
  <c r="O2693" i="5" s="1"/>
  <c r="O2694" i="5" a="1"/>
  <c r="O2694" i="5" s="1"/>
  <c r="O2695" i="5" a="1"/>
  <c r="O2695" i="5" s="1"/>
  <c r="O2696" i="5" a="1"/>
  <c r="O2696" i="5" s="1"/>
  <c r="O2697" i="5" a="1"/>
  <c r="O2697" i="5" s="1"/>
  <c r="O2698" i="5" a="1"/>
  <c r="O2698" i="5" s="1"/>
  <c r="O2699" i="5" a="1"/>
  <c r="O2699" i="5" s="1"/>
  <c r="O2700" i="5" a="1"/>
  <c r="O2700" i="5" s="1"/>
  <c r="O2701" i="5" a="1"/>
  <c r="O2701" i="5" s="1"/>
  <c r="O2702" i="5" a="1"/>
  <c r="O2702" i="5" s="1"/>
  <c r="O2703" i="5" a="1"/>
  <c r="O2703" i="5" s="1"/>
  <c r="O2704" i="5" a="1"/>
  <c r="O2704" i="5" s="1"/>
  <c r="O2705" i="5" a="1"/>
  <c r="O2705" i="5" s="1"/>
  <c r="O2706" i="5" a="1"/>
  <c r="O2706" i="5" s="1"/>
  <c r="O2707" i="5" a="1"/>
  <c r="O2707" i="5" s="1"/>
  <c r="O2708" i="5" a="1"/>
  <c r="O2708" i="5" s="1"/>
  <c r="O2709" i="5" a="1"/>
  <c r="O2709" i="5" s="1"/>
  <c r="O2710" i="5" a="1"/>
  <c r="O2710" i="5" s="1"/>
  <c r="O2711" i="5" a="1"/>
  <c r="O2711" i="5" s="1"/>
  <c r="O2712" i="5" a="1"/>
  <c r="O2712" i="5" s="1"/>
  <c r="O2713" i="5" a="1"/>
  <c r="O2713" i="5" s="1"/>
  <c r="O2714" i="5" a="1"/>
  <c r="O2714" i="5" s="1"/>
  <c r="O2715" i="5" a="1"/>
  <c r="O2715" i="5" s="1"/>
  <c r="O2716" i="5" a="1"/>
  <c r="O2716" i="5" s="1"/>
  <c r="O2717" i="5" a="1"/>
  <c r="O2717" i="5" s="1"/>
  <c r="O2718" i="5" a="1"/>
  <c r="O2718" i="5" s="1"/>
  <c r="O2719" i="5" a="1"/>
  <c r="O2719" i="5" s="1"/>
  <c r="O2720" i="5" a="1"/>
  <c r="O2720" i="5" s="1"/>
  <c r="O2721" i="5" a="1"/>
  <c r="O2721" i="5" s="1"/>
  <c r="O2722" i="5" a="1"/>
  <c r="O2722" i="5" s="1"/>
  <c r="O2723" i="5" a="1"/>
  <c r="O2723" i="5" s="1"/>
  <c r="O2724" i="5" a="1"/>
  <c r="O2724" i="5" s="1"/>
  <c r="O2725" i="5" a="1"/>
  <c r="O2725" i="5" s="1"/>
  <c r="O2726" i="5" a="1"/>
  <c r="O2726" i="5" s="1"/>
  <c r="O2727" i="5" a="1"/>
  <c r="O2727" i="5"/>
  <c r="O2728" i="5" a="1"/>
  <c r="O2728" i="5" s="1"/>
  <c r="O2729" i="5" a="1"/>
  <c r="O2729" i="5" s="1"/>
  <c r="O2730" i="5" a="1"/>
  <c r="O2730" i="5" s="1"/>
  <c r="O2731" i="5" a="1"/>
  <c r="O2731" i="5" s="1"/>
  <c r="O2732" i="5" a="1"/>
  <c r="O2732" i="5" s="1"/>
  <c r="O2733" i="5" a="1"/>
  <c r="O2733" i="5" s="1"/>
  <c r="O2734" i="5" a="1"/>
  <c r="O2734" i="5" s="1"/>
  <c r="O2735" i="5" a="1"/>
  <c r="O2735" i="5" s="1"/>
  <c r="O2736" i="5" a="1"/>
  <c r="O2736" i="5" s="1"/>
  <c r="O2737" i="5" a="1"/>
  <c r="O2737" i="5" s="1"/>
  <c r="O2738" i="5" a="1"/>
  <c r="O2738" i="5" s="1"/>
  <c r="O2739" i="5" a="1"/>
  <c r="O2739" i="5" s="1"/>
  <c r="O2740" i="5" a="1"/>
  <c r="O2740" i="5" s="1"/>
  <c r="O2741" i="5" a="1"/>
  <c r="O2741" i="5" s="1"/>
  <c r="O2742" i="5" a="1"/>
  <c r="O2742" i="5" s="1"/>
  <c r="O2743" i="5" a="1"/>
  <c r="O2743" i="5" s="1"/>
  <c r="O2744" i="5" a="1"/>
  <c r="O2744" i="5" s="1"/>
  <c r="O2745" i="5" a="1"/>
  <c r="O2745" i="5" s="1"/>
  <c r="O2746" i="5" a="1"/>
  <c r="O2746" i="5" s="1"/>
  <c r="O2747" i="5" a="1"/>
  <c r="O2747" i="5" s="1"/>
  <c r="O2748" i="5" a="1"/>
  <c r="O2748" i="5" s="1"/>
  <c r="O2749" i="5" a="1"/>
  <c r="O2749" i="5" s="1"/>
  <c r="O2750" i="5" a="1"/>
  <c r="O2750" i="5" s="1"/>
  <c r="O2751" i="5" a="1"/>
  <c r="O2751" i="5" s="1"/>
  <c r="O2752" i="5" a="1"/>
  <c r="O2752" i="5" s="1"/>
  <c r="O2753" i="5" a="1"/>
  <c r="O2753" i="5" s="1"/>
  <c r="O2754" i="5" a="1"/>
  <c r="O2754" i="5" s="1"/>
  <c r="O2755" i="5" a="1"/>
  <c r="O2755" i="5" s="1"/>
  <c r="O2756" i="5" a="1"/>
  <c r="O2756" i="5" s="1"/>
  <c r="O2757" i="5" a="1"/>
  <c r="O2757" i="5" s="1"/>
  <c r="O2758" i="5" a="1"/>
  <c r="O2758" i="5" s="1"/>
  <c r="O2759" i="5" a="1"/>
  <c r="O2759" i="5" s="1"/>
  <c r="O2760" i="5" a="1"/>
  <c r="O2760" i="5" s="1"/>
  <c r="O2761" i="5" a="1"/>
  <c r="O2761" i="5" s="1"/>
  <c r="O2762" i="5" a="1"/>
  <c r="O2762" i="5" s="1"/>
  <c r="O2763" i="5" a="1"/>
  <c r="O2763" i="5" s="1"/>
  <c r="O2764" i="5" a="1"/>
  <c r="O2764" i="5" s="1"/>
  <c r="O2765" i="5" a="1"/>
  <c r="O2765" i="5" s="1"/>
  <c r="O2766" i="5" a="1"/>
  <c r="O2766" i="5" s="1"/>
  <c r="O2767" i="5" a="1"/>
  <c r="O2767" i="5" s="1"/>
  <c r="O2768" i="5" a="1"/>
  <c r="O2768" i="5" s="1"/>
  <c r="O2769" i="5" a="1"/>
  <c r="O2769" i="5" s="1"/>
  <c r="O2770" i="5" a="1"/>
  <c r="O2770" i="5" s="1"/>
  <c r="O2771" i="5" a="1"/>
  <c r="O2771" i="5" s="1"/>
  <c r="O2772" i="5" a="1"/>
  <c r="O2772" i="5" s="1"/>
  <c r="O2773" i="5" a="1"/>
  <c r="O2773" i="5" s="1"/>
  <c r="O2774" i="5" a="1"/>
  <c r="O2774" i="5" s="1"/>
  <c r="O2775" i="5" a="1"/>
  <c r="O2775" i="5" s="1"/>
  <c r="O2776" i="5" a="1"/>
  <c r="O2776" i="5" s="1"/>
  <c r="O2777" i="5" a="1"/>
  <c r="O2777" i="5" s="1"/>
  <c r="O2778" i="5" a="1"/>
  <c r="O2778" i="5" s="1"/>
  <c r="O2779" i="5" a="1"/>
  <c r="O2779" i="5" s="1"/>
  <c r="O2780" i="5" a="1"/>
  <c r="O2780" i="5" s="1"/>
  <c r="O2781" i="5" a="1"/>
  <c r="O2781" i="5" s="1"/>
  <c r="O2782" i="5" a="1"/>
  <c r="O2782" i="5" s="1"/>
  <c r="O2783" i="5" a="1"/>
  <c r="O2783" i="5" s="1"/>
  <c r="O2784" i="5" a="1"/>
  <c r="O2784" i="5" s="1"/>
  <c r="O2785" i="5" a="1"/>
  <c r="O2785" i="5" s="1"/>
  <c r="O2786" i="5" a="1"/>
  <c r="O2786" i="5" s="1"/>
  <c r="O2787" i="5" a="1"/>
  <c r="O2787" i="5" s="1"/>
  <c r="O2788" i="5" a="1"/>
  <c r="O2788" i="5" s="1"/>
  <c r="O2789" i="5" a="1"/>
  <c r="O2789" i="5" s="1"/>
  <c r="O2790" i="5" a="1"/>
  <c r="O2790" i="5" s="1"/>
  <c r="O2791" i="5" a="1"/>
  <c r="O2791" i="5" s="1"/>
  <c r="O2792" i="5" a="1"/>
  <c r="O2792" i="5" s="1"/>
  <c r="O2793" i="5" a="1"/>
  <c r="O2793" i="5" s="1"/>
  <c r="O2794" i="5" a="1"/>
  <c r="O2794" i="5" s="1"/>
  <c r="O2795" i="5" a="1"/>
  <c r="O2795" i="5"/>
  <c r="O2796" i="5" a="1"/>
  <c r="O2796" i="5" s="1"/>
  <c r="O2797" i="5" a="1"/>
  <c r="O2797" i="5" s="1"/>
  <c r="O2798" i="5" a="1"/>
  <c r="O2798" i="5" s="1"/>
  <c r="O2799" i="5" a="1"/>
  <c r="O2799" i="5" s="1"/>
  <c r="O2800" i="5" a="1"/>
  <c r="O2800" i="5" s="1"/>
  <c r="O2801" i="5" a="1"/>
  <c r="O2801" i="5" s="1"/>
  <c r="L2" i="5"/>
  <c r="N2" i="5" s="1"/>
  <c r="L3" i="5"/>
  <c r="N3" i="5" s="1"/>
  <c r="L4" i="5"/>
  <c r="N4" i="5" s="1"/>
  <c r="L5" i="5"/>
  <c r="N5" i="5" s="1"/>
  <c r="L6" i="5"/>
  <c r="N6" i="5" s="1"/>
  <c r="L7" i="5"/>
  <c r="N7" i="5" s="1"/>
  <c r="L8" i="5"/>
  <c r="N8" i="5" s="1"/>
  <c r="L9" i="5"/>
  <c r="N9" i="5" s="1"/>
  <c r="L10" i="5"/>
  <c r="N10" i="5" s="1"/>
  <c r="L11" i="5"/>
  <c r="N11" i="5" s="1"/>
  <c r="L12" i="5"/>
  <c r="N12" i="5" s="1"/>
  <c r="L13" i="5"/>
  <c r="N13" i="5" s="1"/>
  <c r="L14" i="5"/>
  <c r="N14" i="5" s="1"/>
  <c r="L15" i="5"/>
  <c r="N15" i="5" s="1"/>
  <c r="L16" i="5"/>
  <c r="N16" i="5" s="1"/>
  <c r="L17" i="5"/>
  <c r="N17" i="5" s="1"/>
  <c r="L18" i="5"/>
  <c r="N18" i="5" s="1"/>
  <c r="L19" i="5"/>
  <c r="N19" i="5" s="1"/>
  <c r="L20" i="5"/>
  <c r="N20" i="5" s="1"/>
  <c r="L21" i="5"/>
  <c r="N21" i="5" s="1"/>
  <c r="L22" i="5"/>
  <c r="N22" i="5" s="1"/>
  <c r="L23" i="5"/>
  <c r="N23" i="5" s="1"/>
  <c r="L24" i="5"/>
  <c r="N24" i="5" s="1"/>
  <c r="L25" i="5"/>
  <c r="N25" i="5" s="1"/>
  <c r="L26" i="5"/>
  <c r="N26" i="5" s="1"/>
  <c r="L27" i="5"/>
  <c r="N27" i="5" s="1"/>
  <c r="L28" i="5"/>
  <c r="N28" i="5" s="1"/>
  <c r="L29" i="5"/>
  <c r="N29" i="5" s="1"/>
  <c r="L30" i="5"/>
  <c r="N30" i="5" s="1"/>
  <c r="L31" i="5"/>
  <c r="N31" i="5" s="1"/>
  <c r="L32" i="5"/>
  <c r="N32" i="5" s="1"/>
  <c r="L33" i="5"/>
  <c r="N33" i="5" s="1"/>
  <c r="L34" i="5"/>
  <c r="N34" i="5" s="1"/>
  <c r="L35" i="5"/>
  <c r="N35" i="5" s="1"/>
  <c r="L36" i="5"/>
  <c r="N36" i="5" s="1"/>
  <c r="L37" i="5"/>
  <c r="N37" i="5" s="1"/>
  <c r="L38" i="5"/>
  <c r="N38" i="5" s="1"/>
  <c r="L39" i="5"/>
  <c r="N39" i="5" s="1"/>
  <c r="L40" i="5"/>
  <c r="N40" i="5" s="1"/>
  <c r="L41" i="5"/>
  <c r="N41" i="5" s="1"/>
  <c r="L42" i="5"/>
  <c r="N42" i="5" s="1"/>
  <c r="L43" i="5"/>
  <c r="N43" i="5" s="1"/>
  <c r="L44" i="5"/>
  <c r="N44" i="5" s="1"/>
  <c r="L45" i="5"/>
  <c r="N45" i="5" s="1"/>
  <c r="L46" i="5"/>
  <c r="N46" i="5" s="1"/>
  <c r="L47" i="5"/>
  <c r="N47" i="5" s="1"/>
  <c r="L48" i="5"/>
  <c r="N48" i="5" s="1"/>
  <c r="L49" i="5"/>
  <c r="N49" i="5" s="1"/>
  <c r="L50" i="5"/>
  <c r="N50" i="5" s="1"/>
  <c r="L51" i="5"/>
  <c r="N51" i="5" s="1"/>
  <c r="L52" i="5"/>
  <c r="N52" i="5" s="1"/>
  <c r="L53" i="5"/>
  <c r="N53" i="5" s="1"/>
  <c r="L54" i="5"/>
  <c r="N54" i="5" s="1"/>
  <c r="L55" i="5"/>
  <c r="N55" i="5" s="1"/>
  <c r="L56" i="5"/>
  <c r="N56" i="5" s="1"/>
  <c r="L57" i="5"/>
  <c r="N57" i="5" s="1"/>
  <c r="L58" i="5"/>
  <c r="N58" i="5" s="1"/>
  <c r="L59" i="5"/>
  <c r="N59" i="5" s="1"/>
  <c r="L60" i="5"/>
  <c r="N60" i="5" s="1"/>
  <c r="L61" i="5"/>
  <c r="N61" i="5" s="1"/>
  <c r="L62" i="5"/>
  <c r="N62" i="5" s="1"/>
  <c r="L63" i="5"/>
  <c r="N63" i="5" s="1"/>
  <c r="L64" i="5"/>
  <c r="N64" i="5" s="1"/>
  <c r="L65" i="5"/>
  <c r="N65" i="5" s="1"/>
  <c r="L66" i="5"/>
  <c r="N66" i="5" s="1"/>
  <c r="L67" i="5"/>
  <c r="N67" i="5" s="1"/>
  <c r="L68" i="5"/>
  <c r="N68" i="5" s="1"/>
  <c r="L69" i="5"/>
  <c r="N69" i="5" s="1"/>
  <c r="L70" i="5"/>
  <c r="N70" i="5" s="1"/>
  <c r="L71" i="5"/>
  <c r="N71" i="5" s="1"/>
  <c r="L72" i="5"/>
  <c r="N72" i="5" s="1"/>
  <c r="L73" i="5"/>
  <c r="N73" i="5" s="1"/>
  <c r="L74" i="5"/>
  <c r="N74" i="5" s="1"/>
  <c r="L75" i="5"/>
  <c r="N75" i="5" s="1"/>
  <c r="L76" i="5"/>
  <c r="N76" i="5" s="1"/>
  <c r="L77" i="5"/>
  <c r="N77" i="5" s="1"/>
  <c r="L78" i="5"/>
  <c r="N78" i="5" s="1"/>
  <c r="L79" i="5"/>
  <c r="N79" i="5" s="1"/>
  <c r="L80" i="5"/>
  <c r="N80" i="5" s="1"/>
  <c r="L81" i="5"/>
  <c r="N81" i="5" s="1"/>
  <c r="L82" i="5"/>
  <c r="N82" i="5" s="1"/>
  <c r="L83" i="5"/>
  <c r="N83" i="5" s="1"/>
  <c r="L84" i="5"/>
  <c r="N84" i="5" s="1"/>
  <c r="L85" i="5"/>
  <c r="N85" i="5" s="1"/>
  <c r="L86" i="5"/>
  <c r="N86" i="5" s="1"/>
  <c r="L87" i="5"/>
  <c r="N87" i="5" s="1"/>
  <c r="L88" i="5"/>
  <c r="N88" i="5" s="1"/>
  <c r="L89" i="5"/>
  <c r="N89" i="5" s="1"/>
  <c r="L90" i="5"/>
  <c r="N90" i="5" s="1"/>
  <c r="L91" i="5"/>
  <c r="N91" i="5" s="1"/>
  <c r="L92" i="5"/>
  <c r="N92" i="5" s="1"/>
  <c r="L93" i="5"/>
  <c r="N93" i="5" s="1"/>
  <c r="L94" i="5"/>
  <c r="N94" i="5" s="1"/>
  <c r="L95" i="5"/>
  <c r="N95" i="5" s="1"/>
  <c r="L96" i="5"/>
  <c r="N96" i="5" s="1"/>
  <c r="L97" i="5"/>
  <c r="N97" i="5" s="1"/>
  <c r="L98" i="5"/>
  <c r="N98" i="5" s="1"/>
  <c r="L99" i="5"/>
  <c r="N99" i="5" s="1"/>
  <c r="L100" i="5"/>
  <c r="N100" i="5" s="1"/>
  <c r="L101" i="5"/>
  <c r="N101" i="5" s="1"/>
  <c r="L102" i="5"/>
  <c r="N102" i="5" s="1"/>
  <c r="L103" i="5"/>
  <c r="N103" i="5" s="1"/>
  <c r="L104" i="5"/>
  <c r="N104" i="5" s="1"/>
  <c r="L105" i="5"/>
  <c r="N105" i="5" s="1"/>
  <c r="L106" i="5"/>
  <c r="N106" i="5" s="1"/>
  <c r="L107" i="5"/>
  <c r="N107" i="5" s="1"/>
  <c r="L108" i="5"/>
  <c r="N108" i="5" s="1"/>
  <c r="L109" i="5"/>
  <c r="N109" i="5" s="1"/>
  <c r="L110" i="5"/>
  <c r="N110" i="5" s="1"/>
  <c r="L111" i="5"/>
  <c r="N111" i="5" s="1"/>
  <c r="L112" i="5"/>
  <c r="N112" i="5" s="1"/>
  <c r="L113" i="5"/>
  <c r="N113" i="5" s="1"/>
  <c r="L114" i="5"/>
  <c r="N114" i="5" s="1"/>
  <c r="L115" i="5"/>
  <c r="N115" i="5" s="1"/>
  <c r="L116" i="5"/>
  <c r="N116" i="5" s="1"/>
  <c r="L117" i="5"/>
  <c r="N117" i="5" s="1"/>
  <c r="L118" i="5"/>
  <c r="N118" i="5" s="1"/>
  <c r="L119" i="5"/>
  <c r="N119" i="5" s="1"/>
  <c r="L120" i="5"/>
  <c r="N120" i="5" s="1"/>
  <c r="L121" i="5"/>
  <c r="N121" i="5" s="1"/>
  <c r="L122" i="5"/>
  <c r="N122" i="5" s="1"/>
  <c r="L123" i="5"/>
  <c r="N123" i="5" s="1"/>
  <c r="L124" i="5"/>
  <c r="N124" i="5" s="1"/>
  <c r="L125" i="5"/>
  <c r="N125" i="5" s="1"/>
  <c r="L126" i="5"/>
  <c r="N126" i="5" s="1"/>
  <c r="L127" i="5"/>
  <c r="N127" i="5" s="1"/>
  <c r="L128" i="5"/>
  <c r="N128" i="5" s="1"/>
  <c r="L129" i="5"/>
  <c r="N129" i="5" s="1"/>
  <c r="L130" i="5"/>
  <c r="N130" i="5" s="1"/>
  <c r="L131" i="5"/>
  <c r="N131" i="5" s="1"/>
  <c r="L132" i="5"/>
  <c r="N132" i="5" s="1"/>
  <c r="L133" i="5"/>
  <c r="N133" i="5" s="1"/>
  <c r="L134" i="5"/>
  <c r="N134" i="5" s="1"/>
  <c r="L135" i="5"/>
  <c r="N135" i="5" s="1"/>
  <c r="L136" i="5"/>
  <c r="N136" i="5" s="1"/>
  <c r="L137" i="5"/>
  <c r="N137" i="5" s="1"/>
  <c r="L138" i="5"/>
  <c r="N138" i="5" s="1"/>
  <c r="L139" i="5"/>
  <c r="N139" i="5" s="1"/>
  <c r="L140" i="5"/>
  <c r="N140" i="5" s="1"/>
  <c r="L141" i="5"/>
  <c r="N141" i="5" s="1"/>
  <c r="L142" i="5"/>
  <c r="N142" i="5" s="1"/>
  <c r="L143" i="5"/>
  <c r="N143" i="5" s="1"/>
  <c r="L144" i="5"/>
  <c r="N144" i="5" s="1"/>
  <c r="L145" i="5"/>
  <c r="N145" i="5" s="1"/>
  <c r="L146" i="5"/>
  <c r="N146" i="5" s="1"/>
  <c r="L147" i="5"/>
  <c r="N147" i="5" s="1"/>
  <c r="L148" i="5"/>
  <c r="N148" i="5" s="1"/>
  <c r="L149" i="5"/>
  <c r="N149" i="5" s="1"/>
  <c r="L150" i="5"/>
  <c r="N150" i="5" s="1"/>
  <c r="L151" i="5"/>
  <c r="N151" i="5" s="1"/>
  <c r="L152" i="5"/>
  <c r="N152" i="5" s="1"/>
  <c r="L153" i="5"/>
  <c r="N153" i="5" s="1"/>
  <c r="L154" i="5"/>
  <c r="N154" i="5" s="1"/>
  <c r="L155" i="5"/>
  <c r="N155" i="5" s="1"/>
  <c r="L156" i="5"/>
  <c r="N156" i="5" s="1"/>
  <c r="L157" i="5"/>
  <c r="N157" i="5" s="1"/>
  <c r="L158" i="5"/>
  <c r="N158" i="5" s="1"/>
  <c r="L159" i="5"/>
  <c r="N159" i="5" s="1"/>
  <c r="L160" i="5"/>
  <c r="N160" i="5" s="1"/>
  <c r="L161" i="5"/>
  <c r="N161" i="5" s="1"/>
  <c r="L162" i="5"/>
  <c r="N162" i="5" s="1"/>
  <c r="L163" i="5"/>
  <c r="N163" i="5" s="1"/>
  <c r="L164" i="5"/>
  <c r="N164" i="5" s="1"/>
  <c r="L165" i="5"/>
  <c r="N165" i="5" s="1"/>
  <c r="L166" i="5"/>
  <c r="N166" i="5" s="1"/>
  <c r="L167" i="5"/>
  <c r="N167" i="5" s="1"/>
  <c r="L168" i="5"/>
  <c r="N168" i="5" s="1"/>
  <c r="L169" i="5"/>
  <c r="N169" i="5" s="1"/>
  <c r="L170" i="5"/>
  <c r="N170" i="5" s="1"/>
  <c r="L171" i="5"/>
  <c r="N171" i="5" s="1"/>
  <c r="L172" i="5"/>
  <c r="N172" i="5" s="1"/>
  <c r="L173" i="5"/>
  <c r="N173" i="5" s="1"/>
  <c r="L174" i="5"/>
  <c r="N174" i="5" s="1"/>
  <c r="L175" i="5"/>
  <c r="N175" i="5" s="1"/>
  <c r="L176" i="5"/>
  <c r="N176" i="5" s="1"/>
  <c r="L177" i="5"/>
  <c r="N177" i="5" s="1"/>
  <c r="L178" i="5"/>
  <c r="N178" i="5" s="1"/>
  <c r="L179" i="5"/>
  <c r="N179" i="5" s="1"/>
  <c r="L180" i="5"/>
  <c r="N180" i="5" s="1"/>
  <c r="L181" i="5"/>
  <c r="N181" i="5" s="1"/>
  <c r="L182" i="5"/>
  <c r="N182" i="5" s="1"/>
  <c r="L183" i="5"/>
  <c r="N183" i="5" s="1"/>
  <c r="L184" i="5"/>
  <c r="N184" i="5" s="1"/>
  <c r="L185" i="5"/>
  <c r="N185" i="5" s="1"/>
  <c r="L186" i="5"/>
  <c r="N186" i="5" s="1"/>
  <c r="L187" i="5"/>
  <c r="N187" i="5" s="1"/>
  <c r="L188" i="5"/>
  <c r="N188" i="5" s="1"/>
  <c r="L189" i="5"/>
  <c r="N189" i="5" s="1"/>
  <c r="L190" i="5"/>
  <c r="N190" i="5" s="1"/>
  <c r="L191" i="5"/>
  <c r="N191" i="5" s="1"/>
  <c r="L192" i="5"/>
  <c r="N192" i="5" s="1"/>
  <c r="L193" i="5"/>
  <c r="N193" i="5" s="1"/>
  <c r="L194" i="5"/>
  <c r="N194" i="5" s="1"/>
  <c r="L195" i="5"/>
  <c r="N195" i="5" s="1"/>
  <c r="L196" i="5"/>
  <c r="N196" i="5" s="1"/>
  <c r="L197" i="5"/>
  <c r="N197" i="5" s="1"/>
  <c r="L198" i="5"/>
  <c r="N198" i="5" s="1"/>
  <c r="L199" i="5"/>
  <c r="N199" i="5" s="1"/>
  <c r="L200" i="5"/>
  <c r="N200" i="5" s="1"/>
  <c r="L201" i="5"/>
  <c r="N201" i="5" s="1"/>
  <c r="L202" i="5"/>
  <c r="N202" i="5" s="1"/>
  <c r="L203" i="5"/>
  <c r="N203" i="5" s="1"/>
  <c r="L204" i="5"/>
  <c r="N204" i="5" s="1"/>
  <c r="L205" i="5"/>
  <c r="N205" i="5" s="1"/>
  <c r="L206" i="5"/>
  <c r="N206" i="5" s="1"/>
  <c r="L207" i="5"/>
  <c r="N207" i="5" s="1"/>
  <c r="L208" i="5"/>
  <c r="N208" i="5" s="1"/>
  <c r="L209" i="5"/>
  <c r="N209" i="5" s="1"/>
  <c r="L210" i="5"/>
  <c r="N210" i="5" s="1"/>
  <c r="L211" i="5"/>
  <c r="N211" i="5" s="1"/>
  <c r="L212" i="5"/>
  <c r="N212" i="5" s="1"/>
  <c r="L213" i="5"/>
  <c r="N213" i="5" s="1"/>
  <c r="L214" i="5"/>
  <c r="N214" i="5" s="1"/>
  <c r="L215" i="5"/>
  <c r="N215" i="5" s="1"/>
  <c r="L216" i="5"/>
  <c r="N216" i="5" s="1"/>
  <c r="L217" i="5"/>
  <c r="N217" i="5" s="1"/>
  <c r="L218" i="5"/>
  <c r="N218" i="5" s="1"/>
  <c r="L219" i="5"/>
  <c r="N219" i="5" s="1"/>
  <c r="L220" i="5"/>
  <c r="N220" i="5" s="1"/>
  <c r="L221" i="5"/>
  <c r="N221" i="5" s="1"/>
  <c r="L222" i="5"/>
  <c r="N222" i="5" s="1"/>
  <c r="L223" i="5"/>
  <c r="N223" i="5" s="1"/>
  <c r="L224" i="5"/>
  <c r="N224" i="5" s="1"/>
  <c r="L225" i="5"/>
  <c r="N225" i="5" s="1"/>
  <c r="L226" i="5"/>
  <c r="N226" i="5" s="1"/>
  <c r="L227" i="5"/>
  <c r="N227" i="5" s="1"/>
  <c r="L228" i="5"/>
  <c r="N228" i="5" s="1"/>
  <c r="L229" i="5"/>
  <c r="N229" i="5" s="1"/>
  <c r="L230" i="5"/>
  <c r="N230" i="5" s="1"/>
  <c r="L231" i="5"/>
  <c r="N231" i="5" s="1"/>
  <c r="L232" i="5"/>
  <c r="N232" i="5" s="1"/>
  <c r="L233" i="5"/>
  <c r="N233" i="5" s="1"/>
  <c r="L234" i="5"/>
  <c r="N234" i="5" s="1"/>
  <c r="L235" i="5"/>
  <c r="N235" i="5" s="1"/>
  <c r="L236" i="5"/>
  <c r="N236" i="5" s="1"/>
  <c r="L237" i="5"/>
  <c r="N237" i="5" s="1"/>
  <c r="L238" i="5"/>
  <c r="N238" i="5" s="1"/>
  <c r="L239" i="5"/>
  <c r="N239" i="5" s="1"/>
  <c r="L240" i="5"/>
  <c r="N240" i="5" s="1"/>
  <c r="L241" i="5"/>
  <c r="N241" i="5" s="1"/>
  <c r="L242" i="5"/>
  <c r="N242" i="5" s="1"/>
  <c r="L243" i="5"/>
  <c r="N243" i="5" s="1"/>
  <c r="L244" i="5"/>
  <c r="N244" i="5" s="1"/>
  <c r="L245" i="5"/>
  <c r="N245" i="5" s="1"/>
  <c r="L246" i="5"/>
  <c r="N246" i="5" s="1"/>
  <c r="L247" i="5"/>
  <c r="N247" i="5" s="1"/>
  <c r="L248" i="5"/>
  <c r="N248" i="5" s="1"/>
  <c r="L249" i="5"/>
  <c r="N249" i="5" s="1"/>
  <c r="L250" i="5"/>
  <c r="N250" i="5" s="1"/>
  <c r="L251" i="5"/>
  <c r="N251" i="5" s="1"/>
  <c r="L252" i="5"/>
  <c r="N252" i="5" s="1"/>
  <c r="L253" i="5"/>
  <c r="N253" i="5" s="1"/>
  <c r="L254" i="5"/>
  <c r="N254" i="5" s="1"/>
  <c r="L255" i="5"/>
  <c r="N255" i="5" s="1"/>
  <c r="L256" i="5"/>
  <c r="N256" i="5" s="1"/>
  <c r="L257" i="5"/>
  <c r="N257" i="5" s="1"/>
  <c r="L258" i="5"/>
  <c r="N258" i="5" s="1"/>
  <c r="L259" i="5"/>
  <c r="N259" i="5" s="1"/>
  <c r="L260" i="5"/>
  <c r="N260" i="5" s="1"/>
  <c r="L261" i="5"/>
  <c r="N261" i="5" s="1"/>
  <c r="L262" i="5"/>
  <c r="N262" i="5" s="1"/>
  <c r="L263" i="5"/>
  <c r="N263" i="5" s="1"/>
  <c r="L264" i="5"/>
  <c r="N264" i="5" s="1"/>
  <c r="L265" i="5"/>
  <c r="N265" i="5" s="1"/>
  <c r="L266" i="5"/>
  <c r="N266" i="5" s="1"/>
  <c r="L267" i="5"/>
  <c r="N267" i="5" s="1"/>
  <c r="L268" i="5"/>
  <c r="N268" i="5" s="1"/>
  <c r="L269" i="5"/>
  <c r="N269" i="5" s="1"/>
  <c r="L270" i="5"/>
  <c r="N270" i="5" s="1"/>
  <c r="L271" i="5"/>
  <c r="N271" i="5" s="1"/>
  <c r="L272" i="5"/>
  <c r="N272" i="5" s="1"/>
  <c r="L273" i="5"/>
  <c r="N273" i="5" s="1"/>
  <c r="L274" i="5"/>
  <c r="N274" i="5" s="1"/>
  <c r="L275" i="5"/>
  <c r="N275" i="5" s="1"/>
  <c r="L276" i="5"/>
  <c r="N276" i="5" s="1"/>
  <c r="L277" i="5"/>
  <c r="N277" i="5" s="1"/>
  <c r="L278" i="5"/>
  <c r="N278" i="5" s="1"/>
  <c r="L279" i="5"/>
  <c r="N279" i="5" s="1"/>
  <c r="L280" i="5"/>
  <c r="N280" i="5" s="1"/>
  <c r="L281" i="5"/>
  <c r="N281" i="5" s="1"/>
  <c r="L282" i="5"/>
  <c r="N282" i="5" s="1"/>
  <c r="L283" i="5"/>
  <c r="N283" i="5" s="1"/>
  <c r="L284" i="5"/>
  <c r="N284" i="5" s="1"/>
  <c r="L285" i="5"/>
  <c r="N285" i="5" s="1"/>
  <c r="L286" i="5"/>
  <c r="N286" i="5" s="1"/>
  <c r="L287" i="5"/>
  <c r="N287" i="5" s="1"/>
  <c r="L288" i="5"/>
  <c r="N288" i="5" s="1"/>
  <c r="L289" i="5"/>
  <c r="N289" i="5" s="1"/>
  <c r="L290" i="5"/>
  <c r="N290" i="5" s="1"/>
  <c r="L291" i="5"/>
  <c r="N291" i="5" s="1"/>
  <c r="L292" i="5"/>
  <c r="N292" i="5" s="1"/>
  <c r="L293" i="5"/>
  <c r="N293" i="5" s="1"/>
  <c r="L294" i="5"/>
  <c r="N294" i="5" s="1"/>
  <c r="L295" i="5"/>
  <c r="N295" i="5" s="1"/>
  <c r="L296" i="5"/>
  <c r="N296" i="5" s="1"/>
  <c r="L297" i="5"/>
  <c r="N297" i="5" s="1"/>
  <c r="L298" i="5"/>
  <c r="N298" i="5" s="1"/>
  <c r="L299" i="5"/>
  <c r="N299" i="5" s="1"/>
  <c r="L300" i="5"/>
  <c r="N300" i="5" s="1"/>
  <c r="L301" i="5"/>
  <c r="N301" i="5" s="1"/>
  <c r="L302" i="5"/>
  <c r="N302" i="5" s="1"/>
  <c r="L303" i="5"/>
  <c r="N303" i="5" s="1"/>
  <c r="L304" i="5"/>
  <c r="N304" i="5" s="1"/>
  <c r="L305" i="5"/>
  <c r="N305" i="5" s="1"/>
  <c r="L306" i="5"/>
  <c r="N306" i="5" s="1"/>
  <c r="L307" i="5"/>
  <c r="N307" i="5" s="1"/>
  <c r="L308" i="5"/>
  <c r="N308" i="5" s="1"/>
  <c r="L309" i="5"/>
  <c r="N309" i="5" s="1"/>
  <c r="L310" i="5"/>
  <c r="N310" i="5" s="1"/>
  <c r="L311" i="5"/>
  <c r="N311" i="5" s="1"/>
  <c r="L312" i="5"/>
  <c r="N312" i="5" s="1"/>
  <c r="L313" i="5"/>
  <c r="N313" i="5" s="1"/>
  <c r="L314" i="5"/>
  <c r="N314" i="5" s="1"/>
  <c r="L315" i="5"/>
  <c r="N315" i="5" s="1"/>
  <c r="L316" i="5"/>
  <c r="N316" i="5" s="1"/>
  <c r="L317" i="5"/>
  <c r="N317" i="5" s="1"/>
  <c r="L318" i="5"/>
  <c r="N318" i="5" s="1"/>
  <c r="L319" i="5"/>
  <c r="N319" i="5" s="1"/>
  <c r="L320" i="5"/>
  <c r="N320" i="5" s="1"/>
  <c r="L321" i="5"/>
  <c r="N321" i="5" s="1"/>
  <c r="L322" i="5"/>
  <c r="N322" i="5" s="1"/>
  <c r="L323" i="5"/>
  <c r="N323" i="5" s="1"/>
  <c r="L324" i="5"/>
  <c r="N324" i="5" s="1"/>
  <c r="L325" i="5"/>
  <c r="N325" i="5" s="1"/>
  <c r="L326" i="5"/>
  <c r="N326" i="5" s="1"/>
  <c r="L327" i="5"/>
  <c r="N327" i="5" s="1"/>
  <c r="L328" i="5"/>
  <c r="N328" i="5" s="1"/>
  <c r="L329" i="5"/>
  <c r="N329" i="5" s="1"/>
  <c r="L330" i="5"/>
  <c r="N330" i="5" s="1"/>
  <c r="L331" i="5"/>
  <c r="N331" i="5" s="1"/>
  <c r="L332" i="5"/>
  <c r="N332" i="5" s="1"/>
  <c r="L333" i="5"/>
  <c r="N333" i="5" s="1"/>
  <c r="L334" i="5"/>
  <c r="N334" i="5" s="1"/>
  <c r="L335" i="5"/>
  <c r="N335" i="5" s="1"/>
  <c r="L336" i="5"/>
  <c r="N336" i="5" s="1"/>
  <c r="L337" i="5"/>
  <c r="N337" i="5" s="1"/>
  <c r="L338" i="5"/>
  <c r="N338" i="5" s="1"/>
  <c r="L339" i="5"/>
  <c r="N339" i="5" s="1"/>
  <c r="L340" i="5"/>
  <c r="N340" i="5" s="1"/>
  <c r="L341" i="5"/>
  <c r="N341" i="5" s="1"/>
  <c r="L342" i="5"/>
  <c r="N342" i="5" s="1"/>
  <c r="L343" i="5"/>
  <c r="N343" i="5" s="1"/>
  <c r="L344" i="5"/>
  <c r="N344" i="5" s="1"/>
  <c r="L345" i="5"/>
  <c r="N345" i="5" s="1"/>
  <c r="L346" i="5"/>
  <c r="N346" i="5" s="1"/>
  <c r="L347" i="5"/>
  <c r="N347" i="5" s="1"/>
  <c r="L348" i="5"/>
  <c r="N348" i="5" s="1"/>
  <c r="L349" i="5"/>
  <c r="N349" i="5" s="1"/>
  <c r="L350" i="5"/>
  <c r="N350" i="5" s="1"/>
  <c r="L351" i="5"/>
  <c r="N351" i="5" s="1"/>
  <c r="L352" i="5"/>
  <c r="N352" i="5" s="1"/>
  <c r="L353" i="5"/>
  <c r="N353" i="5" s="1"/>
  <c r="L354" i="5"/>
  <c r="N354" i="5" s="1"/>
  <c r="L355" i="5"/>
  <c r="N355" i="5" s="1"/>
  <c r="L356" i="5"/>
  <c r="N356" i="5" s="1"/>
  <c r="L357" i="5"/>
  <c r="N357" i="5" s="1"/>
  <c r="L358" i="5"/>
  <c r="N358" i="5" s="1"/>
  <c r="L359" i="5"/>
  <c r="N359" i="5" s="1"/>
  <c r="L360" i="5"/>
  <c r="N360" i="5" s="1"/>
  <c r="L361" i="5"/>
  <c r="N361" i="5" s="1"/>
  <c r="L362" i="5"/>
  <c r="N362" i="5" s="1"/>
  <c r="L363" i="5"/>
  <c r="N363" i="5" s="1"/>
  <c r="L364" i="5"/>
  <c r="N364" i="5" s="1"/>
  <c r="L365" i="5"/>
  <c r="N365" i="5" s="1"/>
  <c r="L366" i="5"/>
  <c r="N366" i="5" s="1"/>
  <c r="L367" i="5"/>
  <c r="N367" i="5" s="1"/>
  <c r="L368" i="5"/>
  <c r="N368" i="5" s="1"/>
  <c r="L369" i="5"/>
  <c r="N369" i="5" s="1"/>
  <c r="L370" i="5"/>
  <c r="N370" i="5" s="1"/>
  <c r="L371" i="5"/>
  <c r="N371" i="5" s="1"/>
  <c r="L372" i="5"/>
  <c r="N372" i="5" s="1"/>
  <c r="L373" i="5"/>
  <c r="N373" i="5" s="1"/>
  <c r="L374" i="5"/>
  <c r="N374" i="5" s="1"/>
  <c r="L375" i="5"/>
  <c r="N375" i="5" s="1"/>
  <c r="L376" i="5"/>
  <c r="N376" i="5" s="1"/>
  <c r="L377" i="5"/>
  <c r="N377" i="5" s="1"/>
  <c r="L378" i="5"/>
  <c r="N378" i="5" s="1"/>
  <c r="L379" i="5"/>
  <c r="N379" i="5" s="1"/>
  <c r="L380" i="5"/>
  <c r="N380" i="5" s="1"/>
  <c r="L381" i="5"/>
  <c r="N381" i="5" s="1"/>
  <c r="L382" i="5"/>
  <c r="N382" i="5" s="1"/>
  <c r="L383" i="5"/>
  <c r="N383" i="5" s="1"/>
  <c r="L384" i="5"/>
  <c r="N384" i="5" s="1"/>
  <c r="L385" i="5"/>
  <c r="N385" i="5" s="1"/>
  <c r="L386" i="5"/>
  <c r="N386" i="5" s="1"/>
  <c r="L387" i="5"/>
  <c r="N387" i="5" s="1"/>
  <c r="L388" i="5"/>
  <c r="N388" i="5" s="1"/>
  <c r="L389" i="5"/>
  <c r="N389" i="5" s="1"/>
  <c r="L390" i="5"/>
  <c r="N390" i="5" s="1"/>
  <c r="L391" i="5"/>
  <c r="N391" i="5" s="1"/>
  <c r="L392" i="5"/>
  <c r="N392" i="5" s="1"/>
  <c r="L393" i="5"/>
  <c r="N393" i="5" s="1"/>
  <c r="L394" i="5"/>
  <c r="N394" i="5" s="1"/>
  <c r="L395" i="5"/>
  <c r="N395" i="5" s="1"/>
  <c r="L396" i="5"/>
  <c r="N396" i="5" s="1"/>
  <c r="L397" i="5"/>
  <c r="N397" i="5" s="1"/>
  <c r="L398" i="5"/>
  <c r="N398" i="5" s="1"/>
  <c r="L399" i="5"/>
  <c r="N399" i="5" s="1"/>
  <c r="L400" i="5"/>
  <c r="N400" i="5" s="1"/>
  <c r="L401" i="5"/>
  <c r="N401" i="5" s="1"/>
  <c r="L402" i="5"/>
  <c r="N402" i="5" s="1"/>
  <c r="L403" i="5"/>
  <c r="N403" i="5" s="1"/>
  <c r="L404" i="5"/>
  <c r="N404" i="5" s="1"/>
  <c r="L405" i="5"/>
  <c r="N405" i="5" s="1"/>
  <c r="L406" i="5"/>
  <c r="N406" i="5" s="1"/>
  <c r="L407" i="5"/>
  <c r="N407" i="5" s="1"/>
  <c r="L408" i="5"/>
  <c r="N408" i="5" s="1"/>
  <c r="L409" i="5"/>
  <c r="N409" i="5" s="1"/>
  <c r="L410" i="5"/>
  <c r="N410" i="5" s="1"/>
  <c r="L411" i="5"/>
  <c r="N411" i="5" s="1"/>
  <c r="L412" i="5"/>
  <c r="N412" i="5" s="1"/>
  <c r="L413" i="5"/>
  <c r="N413" i="5" s="1"/>
  <c r="L414" i="5"/>
  <c r="N414" i="5" s="1"/>
  <c r="L415" i="5"/>
  <c r="N415" i="5" s="1"/>
  <c r="L416" i="5"/>
  <c r="N416" i="5" s="1"/>
  <c r="L417" i="5"/>
  <c r="N417" i="5" s="1"/>
  <c r="L418" i="5"/>
  <c r="N418" i="5" s="1"/>
  <c r="L419" i="5"/>
  <c r="N419" i="5" s="1"/>
  <c r="L420" i="5"/>
  <c r="N420" i="5" s="1"/>
  <c r="L421" i="5"/>
  <c r="N421" i="5" s="1"/>
  <c r="L422" i="5"/>
  <c r="N422" i="5" s="1"/>
  <c r="L423" i="5"/>
  <c r="N423" i="5" s="1"/>
  <c r="L424" i="5"/>
  <c r="N424" i="5" s="1"/>
  <c r="L425" i="5"/>
  <c r="N425" i="5" s="1"/>
  <c r="L426" i="5"/>
  <c r="N426" i="5" s="1"/>
  <c r="L427" i="5"/>
  <c r="N427" i="5" s="1"/>
  <c r="L428" i="5"/>
  <c r="N428" i="5" s="1"/>
  <c r="L429" i="5"/>
  <c r="N429" i="5" s="1"/>
  <c r="L430" i="5"/>
  <c r="N430" i="5" s="1"/>
  <c r="L431" i="5"/>
  <c r="N431" i="5" s="1"/>
  <c r="L432" i="5"/>
  <c r="N432" i="5" s="1"/>
  <c r="L433" i="5"/>
  <c r="N433" i="5" s="1"/>
  <c r="L434" i="5"/>
  <c r="N434" i="5" s="1"/>
  <c r="L435" i="5"/>
  <c r="N435" i="5" s="1"/>
  <c r="L436" i="5"/>
  <c r="N436" i="5" s="1"/>
  <c r="L437" i="5"/>
  <c r="N437" i="5" s="1"/>
  <c r="L438" i="5"/>
  <c r="N438" i="5" s="1"/>
  <c r="L439" i="5"/>
  <c r="N439" i="5" s="1"/>
  <c r="L440" i="5"/>
  <c r="N440" i="5" s="1"/>
  <c r="L441" i="5"/>
  <c r="N441" i="5" s="1"/>
  <c r="L442" i="5"/>
  <c r="N442" i="5" s="1"/>
  <c r="L443" i="5"/>
  <c r="N443" i="5" s="1"/>
  <c r="L444" i="5"/>
  <c r="N444" i="5" s="1"/>
  <c r="L445" i="5"/>
  <c r="N445" i="5" s="1"/>
  <c r="L446" i="5"/>
  <c r="N446" i="5" s="1"/>
  <c r="L447" i="5"/>
  <c r="N447" i="5" s="1"/>
  <c r="L448" i="5"/>
  <c r="N448" i="5" s="1"/>
  <c r="L449" i="5"/>
  <c r="N449" i="5" s="1"/>
  <c r="L450" i="5"/>
  <c r="N450" i="5" s="1"/>
  <c r="L451" i="5"/>
  <c r="N451" i="5" s="1"/>
  <c r="L452" i="5"/>
  <c r="N452" i="5" s="1"/>
  <c r="L453" i="5"/>
  <c r="N453" i="5" s="1"/>
  <c r="L454" i="5"/>
  <c r="N454" i="5" s="1"/>
  <c r="L455" i="5"/>
  <c r="N455" i="5" s="1"/>
  <c r="L456" i="5"/>
  <c r="N456" i="5" s="1"/>
  <c r="L457" i="5"/>
  <c r="N457" i="5" s="1"/>
  <c r="L458" i="5"/>
  <c r="N458" i="5" s="1"/>
  <c r="L459" i="5"/>
  <c r="N459" i="5" s="1"/>
  <c r="L460" i="5"/>
  <c r="N460" i="5" s="1"/>
  <c r="L461" i="5"/>
  <c r="N461" i="5" s="1"/>
  <c r="L462" i="5"/>
  <c r="N462" i="5" s="1"/>
  <c r="L463" i="5"/>
  <c r="N463" i="5" s="1"/>
  <c r="L464" i="5"/>
  <c r="N464" i="5" s="1"/>
  <c r="L465" i="5"/>
  <c r="N465" i="5" s="1"/>
  <c r="L466" i="5"/>
  <c r="N466" i="5" s="1"/>
  <c r="L467" i="5"/>
  <c r="N467" i="5" s="1"/>
  <c r="L468" i="5"/>
  <c r="N468" i="5" s="1"/>
  <c r="L469" i="5"/>
  <c r="N469" i="5" s="1"/>
  <c r="L470" i="5"/>
  <c r="N470" i="5" s="1"/>
  <c r="L471" i="5"/>
  <c r="N471" i="5" s="1"/>
  <c r="L472" i="5"/>
  <c r="N472" i="5" s="1"/>
  <c r="L473" i="5"/>
  <c r="N473" i="5" s="1"/>
  <c r="L474" i="5"/>
  <c r="N474" i="5" s="1"/>
  <c r="L475" i="5"/>
  <c r="N475" i="5" s="1"/>
  <c r="L476" i="5"/>
  <c r="N476" i="5" s="1"/>
  <c r="L477" i="5"/>
  <c r="N477" i="5" s="1"/>
  <c r="L478" i="5"/>
  <c r="N478" i="5" s="1"/>
  <c r="L479" i="5"/>
  <c r="N479" i="5" s="1"/>
  <c r="L480" i="5"/>
  <c r="N480" i="5" s="1"/>
  <c r="L481" i="5"/>
  <c r="N481" i="5" s="1"/>
  <c r="L482" i="5"/>
  <c r="N482" i="5" s="1"/>
  <c r="L483" i="5"/>
  <c r="N483" i="5" s="1"/>
  <c r="L484" i="5"/>
  <c r="N484" i="5" s="1"/>
  <c r="L485" i="5"/>
  <c r="N485" i="5" s="1"/>
  <c r="L486" i="5"/>
  <c r="N486" i="5" s="1"/>
  <c r="L487" i="5"/>
  <c r="N487" i="5" s="1"/>
  <c r="L488" i="5"/>
  <c r="N488" i="5" s="1"/>
  <c r="L489" i="5"/>
  <c r="N489" i="5" s="1"/>
  <c r="L490" i="5"/>
  <c r="N490" i="5" s="1"/>
  <c r="L491" i="5"/>
  <c r="N491" i="5" s="1"/>
  <c r="L492" i="5"/>
  <c r="N492" i="5" s="1"/>
  <c r="L493" i="5"/>
  <c r="N493" i="5" s="1"/>
  <c r="L494" i="5"/>
  <c r="N494" i="5" s="1"/>
  <c r="L495" i="5"/>
  <c r="N495" i="5" s="1"/>
  <c r="L496" i="5"/>
  <c r="N496" i="5" s="1"/>
  <c r="L497" i="5"/>
  <c r="N497" i="5" s="1"/>
  <c r="L498" i="5"/>
  <c r="N498" i="5" s="1"/>
  <c r="L499" i="5"/>
  <c r="N499" i="5" s="1"/>
  <c r="L500" i="5"/>
  <c r="N500" i="5" s="1"/>
  <c r="L501" i="5"/>
  <c r="N501" i="5" s="1"/>
  <c r="L502" i="5"/>
  <c r="N502" i="5" s="1"/>
  <c r="L503" i="5"/>
  <c r="N503" i="5" s="1"/>
  <c r="L504" i="5"/>
  <c r="N504" i="5" s="1"/>
  <c r="L505" i="5"/>
  <c r="N505" i="5" s="1"/>
  <c r="L506" i="5"/>
  <c r="N506" i="5" s="1"/>
  <c r="L507" i="5"/>
  <c r="N507" i="5" s="1"/>
  <c r="L508" i="5"/>
  <c r="N508" i="5" s="1"/>
  <c r="L509" i="5"/>
  <c r="N509" i="5" s="1"/>
  <c r="L510" i="5"/>
  <c r="N510" i="5" s="1"/>
  <c r="L511" i="5"/>
  <c r="N511" i="5" s="1"/>
  <c r="L512" i="5"/>
  <c r="N512" i="5" s="1"/>
  <c r="L513" i="5"/>
  <c r="N513" i="5" s="1"/>
  <c r="L514" i="5"/>
  <c r="N514" i="5" s="1"/>
  <c r="L515" i="5"/>
  <c r="N515" i="5" s="1"/>
  <c r="L516" i="5"/>
  <c r="N516" i="5" s="1"/>
  <c r="L517" i="5"/>
  <c r="N517" i="5" s="1"/>
  <c r="L518" i="5"/>
  <c r="N518" i="5" s="1"/>
  <c r="L519" i="5"/>
  <c r="N519" i="5" s="1"/>
  <c r="L520" i="5"/>
  <c r="N520" i="5" s="1"/>
  <c r="L521" i="5"/>
  <c r="N521" i="5" s="1"/>
  <c r="L522" i="5"/>
  <c r="N522" i="5" s="1"/>
  <c r="L523" i="5"/>
  <c r="N523" i="5" s="1"/>
  <c r="L524" i="5"/>
  <c r="N524" i="5" s="1"/>
  <c r="L525" i="5"/>
  <c r="N525" i="5" s="1"/>
  <c r="L526" i="5"/>
  <c r="N526" i="5" s="1"/>
  <c r="L527" i="5"/>
  <c r="N527" i="5" s="1"/>
  <c r="L528" i="5"/>
  <c r="N528" i="5" s="1"/>
  <c r="L529" i="5"/>
  <c r="N529" i="5" s="1"/>
  <c r="L530" i="5"/>
  <c r="N530" i="5" s="1"/>
  <c r="L531" i="5"/>
  <c r="N531" i="5" s="1"/>
  <c r="L532" i="5"/>
  <c r="N532" i="5" s="1"/>
  <c r="L533" i="5"/>
  <c r="N533" i="5" s="1"/>
  <c r="L534" i="5"/>
  <c r="N534" i="5" s="1"/>
  <c r="L535" i="5"/>
  <c r="N535" i="5" s="1"/>
  <c r="L536" i="5"/>
  <c r="N536" i="5" s="1"/>
  <c r="L537" i="5"/>
  <c r="N537" i="5" s="1"/>
  <c r="L538" i="5"/>
  <c r="N538" i="5" s="1"/>
  <c r="L539" i="5"/>
  <c r="N539" i="5" s="1"/>
  <c r="L540" i="5"/>
  <c r="N540" i="5" s="1"/>
  <c r="L541" i="5"/>
  <c r="N541" i="5" s="1"/>
  <c r="L542" i="5"/>
  <c r="N542" i="5" s="1"/>
  <c r="L543" i="5"/>
  <c r="N543" i="5" s="1"/>
  <c r="L544" i="5"/>
  <c r="N544" i="5" s="1"/>
  <c r="L545" i="5"/>
  <c r="N545" i="5" s="1"/>
  <c r="L546" i="5"/>
  <c r="N546" i="5" s="1"/>
  <c r="L547" i="5"/>
  <c r="N547" i="5" s="1"/>
  <c r="L548" i="5"/>
  <c r="N548" i="5" s="1"/>
  <c r="L549" i="5"/>
  <c r="N549" i="5" s="1"/>
  <c r="L550" i="5"/>
  <c r="N550" i="5" s="1"/>
  <c r="L551" i="5"/>
  <c r="N551" i="5" s="1"/>
  <c r="L552" i="5"/>
  <c r="N552" i="5" s="1"/>
  <c r="L553" i="5"/>
  <c r="N553" i="5" s="1"/>
  <c r="L554" i="5"/>
  <c r="N554" i="5" s="1"/>
  <c r="L555" i="5"/>
  <c r="N555" i="5" s="1"/>
  <c r="L556" i="5"/>
  <c r="N556" i="5" s="1"/>
  <c r="L557" i="5"/>
  <c r="N557" i="5" s="1"/>
  <c r="L558" i="5"/>
  <c r="N558" i="5" s="1"/>
  <c r="L559" i="5"/>
  <c r="N559" i="5" s="1"/>
  <c r="L560" i="5"/>
  <c r="N560" i="5" s="1"/>
  <c r="L561" i="5"/>
  <c r="N561" i="5" s="1"/>
  <c r="L562" i="5"/>
  <c r="N562" i="5" s="1"/>
  <c r="L563" i="5"/>
  <c r="N563" i="5" s="1"/>
  <c r="L564" i="5"/>
  <c r="N564" i="5" s="1"/>
  <c r="L565" i="5"/>
  <c r="N565" i="5" s="1"/>
  <c r="L566" i="5"/>
  <c r="N566" i="5" s="1"/>
  <c r="L567" i="5"/>
  <c r="N567" i="5" s="1"/>
  <c r="L568" i="5"/>
  <c r="N568" i="5" s="1"/>
  <c r="L569" i="5"/>
  <c r="N569" i="5" s="1"/>
  <c r="L570" i="5"/>
  <c r="N570" i="5" s="1"/>
  <c r="L571" i="5"/>
  <c r="N571" i="5" s="1"/>
  <c r="L572" i="5"/>
  <c r="N572" i="5" s="1"/>
  <c r="L573" i="5"/>
  <c r="N573" i="5" s="1"/>
  <c r="L574" i="5"/>
  <c r="N574" i="5" s="1"/>
  <c r="L575" i="5"/>
  <c r="N575" i="5" s="1"/>
  <c r="L576" i="5"/>
  <c r="N576" i="5" s="1"/>
  <c r="L577" i="5"/>
  <c r="N577" i="5" s="1"/>
  <c r="L578" i="5"/>
  <c r="N578" i="5" s="1"/>
  <c r="L579" i="5"/>
  <c r="N579" i="5" s="1"/>
  <c r="L580" i="5"/>
  <c r="N580" i="5" s="1"/>
  <c r="L581" i="5"/>
  <c r="N581" i="5" s="1"/>
  <c r="L582" i="5"/>
  <c r="N582" i="5" s="1"/>
  <c r="L583" i="5"/>
  <c r="N583" i="5" s="1"/>
  <c r="L584" i="5"/>
  <c r="N584" i="5" s="1"/>
  <c r="L585" i="5"/>
  <c r="N585" i="5" s="1"/>
  <c r="L586" i="5"/>
  <c r="N586" i="5" s="1"/>
  <c r="L587" i="5"/>
  <c r="N587" i="5" s="1"/>
  <c r="L588" i="5"/>
  <c r="N588" i="5" s="1"/>
  <c r="L589" i="5"/>
  <c r="N589" i="5" s="1"/>
  <c r="L590" i="5"/>
  <c r="N590" i="5" s="1"/>
  <c r="L591" i="5"/>
  <c r="N591" i="5" s="1"/>
  <c r="L592" i="5"/>
  <c r="N592" i="5" s="1"/>
  <c r="L593" i="5"/>
  <c r="N593" i="5" s="1"/>
  <c r="L594" i="5"/>
  <c r="N594" i="5" s="1"/>
  <c r="L595" i="5"/>
  <c r="N595" i="5" s="1"/>
  <c r="L596" i="5"/>
  <c r="N596" i="5" s="1"/>
  <c r="L597" i="5"/>
  <c r="N597" i="5" s="1"/>
  <c r="L598" i="5"/>
  <c r="N598" i="5" s="1"/>
  <c r="L599" i="5"/>
  <c r="N599" i="5" s="1"/>
  <c r="L600" i="5"/>
  <c r="N600" i="5" s="1"/>
  <c r="L601" i="5"/>
  <c r="N601" i="5" s="1"/>
  <c r="L602" i="5"/>
  <c r="N602" i="5" s="1"/>
  <c r="L603" i="5"/>
  <c r="N603" i="5" s="1"/>
  <c r="L604" i="5"/>
  <c r="N604" i="5" s="1"/>
  <c r="L605" i="5"/>
  <c r="N605" i="5" s="1"/>
  <c r="L606" i="5"/>
  <c r="N606" i="5" s="1"/>
  <c r="L607" i="5"/>
  <c r="N607" i="5" s="1"/>
  <c r="L608" i="5"/>
  <c r="N608" i="5" s="1"/>
  <c r="L609" i="5"/>
  <c r="N609" i="5" s="1"/>
  <c r="L610" i="5"/>
  <c r="N610" i="5" s="1"/>
  <c r="L611" i="5"/>
  <c r="N611" i="5" s="1"/>
  <c r="L612" i="5"/>
  <c r="N612" i="5" s="1"/>
  <c r="L613" i="5"/>
  <c r="N613" i="5" s="1"/>
  <c r="L614" i="5"/>
  <c r="N614" i="5" s="1"/>
  <c r="L615" i="5"/>
  <c r="N615" i="5" s="1"/>
  <c r="L616" i="5"/>
  <c r="N616" i="5" s="1"/>
  <c r="L617" i="5"/>
  <c r="N617" i="5" s="1"/>
  <c r="L618" i="5"/>
  <c r="N618" i="5" s="1"/>
  <c r="L619" i="5"/>
  <c r="N619" i="5" s="1"/>
  <c r="L620" i="5"/>
  <c r="N620" i="5" s="1"/>
  <c r="L621" i="5"/>
  <c r="N621" i="5" s="1"/>
  <c r="L622" i="5"/>
  <c r="N622" i="5" s="1"/>
  <c r="L623" i="5"/>
  <c r="N623" i="5" s="1"/>
  <c r="L624" i="5"/>
  <c r="N624" i="5" s="1"/>
  <c r="L625" i="5"/>
  <c r="N625" i="5" s="1"/>
  <c r="L626" i="5"/>
  <c r="N626" i="5" s="1"/>
  <c r="L627" i="5"/>
  <c r="N627" i="5" s="1"/>
  <c r="L628" i="5"/>
  <c r="N628" i="5" s="1"/>
  <c r="L629" i="5"/>
  <c r="N629" i="5" s="1"/>
  <c r="L630" i="5"/>
  <c r="N630" i="5" s="1"/>
  <c r="L631" i="5"/>
  <c r="N631" i="5" s="1"/>
  <c r="L632" i="5"/>
  <c r="N632" i="5" s="1"/>
  <c r="L633" i="5"/>
  <c r="N633" i="5" s="1"/>
  <c r="L634" i="5"/>
  <c r="N634" i="5" s="1"/>
  <c r="L635" i="5"/>
  <c r="N635" i="5" s="1"/>
  <c r="L636" i="5"/>
  <c r="N636" i="5" s="1"/>
  <c r="L637" i="5"/>
  <c r="N637" i="5" s="1"/>
  <c r="L638" i="5"/>
  <c r="N638" i="5" s="1"/>
  <c r="L639" i="5"/>
  <c r="N639" i="5" s="1"/>
  <c r="L640" i="5"/>
  <c r="N640" i="5" s="1"/>
  <c r="L641" i="5"/>
  <c r="N641" i="5" s="1"/>
  <c r="L642" i="5"/>
  <c r="N642" i="5" s="1"/>
  <c r="L643" i="5"/>
  <c r="N643" i="5" s="1"/>
  <c r="L644" i="5"/>
  <c r="N644" i="5" s="1"/>
  <c r="L645" i="5"/>
  <c r="N645" i="5" s="1"/>
  <c r="L646" i="5"/>
  <c r="N646" i="5" s="1"/>
  <c r="L647" i="5"/>
  <c r="N647" i="5" s="1"/>
  <c r="L648" i="5"/>
  <c r="N648" i="5" s="1"/>
  <c r="L649" i="5"/>
  <c r="N649" i="5" s="1"/>
  <c r="L650" i="5"/>
  <c r="N650" i="5" s="1"/>
  <c r="L651" i="5"/>
  <c r="N651" i="5" s="1"/>
  <c r="L652" i="5"/>
  <c r="N652" i="5" s="1"/>
  <c r="L653" i="5"/>
  <c r="N653" i="5" s="1"/>
  <c r="L654" i="5"/>
  <c r="N654" i="5" s="1"/>
  <c r="L655" i="5"/>
  <c r="N655" i="5" s="1"/>
  <c r="L656" i="5"/>
  <c r="N656" i="5" s="1"/>
  <c r="L657" i="5"/>
  <c r="N657" i="5" s="1"/>
  <c r="L658" i="5"/>
  <c r="N658" i="5" s="1"/>
  <c r="L659" i="5"/>
  <c r="N659" i="5" s="1"/>
  <c r="L660" i="5"/>
  <c r="N660" i="5" s="1"/>
  <c r="L661" i="5"/>
  <c r="N661" i="5" s="1"/>
  <c r="L662" i="5"/>
  <c r="N662" i="5" s="1"/>
  <c r="L663" i="5"/>
  <c r="N663" i="5" s="1"/>
  <c r="L664" i="5"/>
  <c r="N664" i="5" s="1"/>
  <c r="L665" i="5"/>
  <c r="N665" i="5" s="1"/>
  <c r="L666" i="5"/>
  <c r="N666" i="5" s="1"/>
  <c r="L667" i="5"/>
  <c r="N667" i="5" s="1"/>
  <c r="L668" i="5"/>
  <c r="N668" i="5" s="1"/>
  <c r="L669" i="5"/>
  <c r="N669" i="5" s="1"/>
  <c r="L670" i="5"/>
  <c r="N670" i="5" s="1"/>
  <c r="L671" i="5"/>
  <c r="N671" i="5" s="1"/>
  <c r="L672" i="5"/>
  <c r="N672" i="5" s="1"/>
  <c r="L673" i="5"/>
  <c r="N673" i="5" s="1"/>
  <c r="L674" i="5"/>
  <c r="N674" i="5" s="1"/>
  <c r="L675" i="5"/>
  <c r="N675" i="5" s="1"/>
  <c r="L676" i="5"/>
  <c r="N676" i="5" s="1"/>
  <c r="L677" i="5"/>
  <c r="N677" i="5" s="1"/>
  <c r="L678" i="5"/>
  <c r="N678" i="5" s="1"/>
  <c r="L679" i="5"/>
  <c r="N679" i="5" s="1"/>
  <c r="L680" i="5"/>
  <c r="N680" i="5" s="1"/>
  <c r="L681" i="5"/>
  <c r="N681" i="5" s="1"/>
  <c r="L682" i="5"/>
  <c r="N682" i="5" s="1"/>
  <c r="L683" i="5"/>
  <c r="N683" i="5" s="1"/>
  <c r="L684" i="5"/>
  <c r="N684" i="5" s="1"/>
  <c r="L685" i="5"/>
  <c r="N685" i="5" s="1"/>
  <c r="L686" i="5"/>
  <c r="N686" i="5" s="1"/>
  <c r="L687" i="5"/>
  <c r="N687" i="5" s="1"/>
  <c r="L688" i="5"/>
  <c r="N688" i="5" s="1"/>
  <c r="L689" i="5"/>
  <c r="N689" i="5" s="1"/>
  <c r="L690" i="5"/>
  <c r="N690" i="5" s="1"/>
  <c r="L691" i="5"/>
  <c r="N691" i="5" s="1"/>
  <c r="L692" i="5"/>
  <c r="N692" i="5" s="1"/>
  <c r="L693" i="5"/>
  <c r="N693" i="5" s="1"/>
  <c r="L694" i="5"/>
  <c r="N694" i="5" s="1"/>
  <c r="L695" i="5"/>
  <c r="N695" i="5" s="1"/>
  <c r="L696" i="5"/>
  <c r="N696" i="5" s="1"/>
  <c r="L697" i="5"/>
  <c r="N697" i="5" s="1"/>
  <c r="L698" i="5"/>
  <c r="N698" i="5" s="1"/>
  <c r="L699" i="5"/>
  <c r="N699" i="5" s="1"/>
  <c r="L700" i="5"/>
  <c r="N700" i="5" s="1"/>
  <c r="L701" i="5"/>
  <c r="N701" i="5" s="1"/>
  <c r="L702" i="5"/>
  <c r="N702" i="5" s="1"/>
  <c r="L703" i="5"/>
  <c r="N703" i="5" s="1"/>
  <c r="L704" i="5"/>
  <c r="N704" i="5" s="1"/>
  <c r="L705" i="5"/>
  <c r="N705" i="5" s="1"/>
  <c r="L706" i="5"/>
  <c r="N706" i="5" s="1"/>
  <c r="L707" i="5"/>
  <c r="N707" i="5" s="1"/>
  <c r="L708" i="5"/>
  <c r="N708" i="5" s="1"/>
  <c r="L709" i="5"/>
  <c r="N709" i="5" s="1"/>
  <c r="L710" i="5"/>
  <c r="N710" i="5" s="1"/>
  <c r="L711" i="5"/>
  <c r="N711" i="5" s="1"/>
  <c r="L712" i="5"/>
  <c r="N712" i="5" s="1"/>
  <c r="L713" i="5"/>
  <c r="N713" i="5" s="1"/>
  <c r="L714" i="5"/>
  <c r="N714" i="5" s="1"/>
  <c r="L715" i="5"/>
  <c r="N715" i="5" s="1"/>
  <c r="L716" i="5"/>
  <c r="N716" i="5" s="1"/>
  <c r="L717" i="5"/>
  <c r="N717" i="5" s="1"/>
  <c r="L718" i="5"/>
  <c r="N718" i="5" s="1"/>
  <c r="L719" i="5"/>
  <c r="N719" i="5" s="1"/>
  <c r="L720" i="5"/>
  <c r="N720" i="5" s="1"/>
  <c r="L721" i="5"/>
  <c r="N721" i="5" s="1"/>
  <c r="L722" i="5"/>
  <c r="N722" i="5" s="1"/>
  <c r="L723" i="5"/>
  <c r="N723" i="5" s="1"/>
  <c r="L724" i="5"/>
  <c r="N724" i="5" s="1"/>
  <c r="L725" i="5"/>
  <c r="N725" i="5" s="1"/>
  <c r="L726" i="5"/>
  <c r="N726" i="5" s="1"/>
  <c r="L727" i="5"/>
  <c r="N727" i="5" s="1"/>
  <c r="L728" i="5"/>
  <c r="N728" i="5" s="1"/>
  <c r="L729" i="5"/>
  <c r="N729" i="5" s="1"/>
  <c r="L730" i="5"/>
  <c r="N730" i="5" s="1"/>
  <c r="L731" i="5"/>
  <c r="N731" i="5" s="1"/>
  <c r="L732" i="5"/>
  <c r="N732" i="5" s="1"/>
  <c r="L733" i="5"/>
  <c r="N733" i="5" s="1"/>
  <c r="L734" i="5"/>
  <c r="N734" i="5" s="1"/>
  <c r="L735" i="5"/>
  <c r="N735" i="5" s="1"/>
  <c r="L736" i="5"/>
  <c r="N736" i="5" s="1"/>
  <c r="L737" i="5"/>
  <c r="N737" i="5" s="1"/>
  <c r="L738" i="5"/>
  <c r="N738" i="5" s="1"/>
  <c r="L739" i="5"/>
  <c r="N739" i="5" s="1"/>
  <c r="L740" i="5"/>
  <c r="N740" i="5" s="1"/>
  <c r="L741" i="5"/>
  <c r="N741" i="5" s="1"/>
  <c r="L742" i="5"/>
  <c r="N742" i="5" s="1"/>
  <c r="L743" i="5"/>
  <c r="N743" i="5" s="1"/>
  <c r="L744" i="5"/>
  <c r="N744" i="5" s="1"/>
  <c r="L745" i="5"/>
  <c r="N745" i="5" s="1"/>
  <c r="L746" i="5"/>
  <c r="N746" i="5" s="1"/>
  <c r="L747" i="5"/>
  <c r="N747" i="5" s="1"/>
  <c r="L748" i="5"/>
  <c r="N748" i="5" s="1"/>
  <c r="L749" i="5"/>
  <c r="N749" i="5" s="1"/>
  <c r="L750" i="5"/>
  <c r="N750" i="5" s="1"/>
  <c r="L751" i="5"/>
  <c r="N751" i="5" s="1"/>
  <c r="L752" i="5"/>
  <c r="N752" i="5" s="1"/>
  <c r="L753" i="5"/>
  <c r="N753" i="5" s="1"/>
  <c r="L754" i="5"/>
  <c r="N754" i="5" s="1"/>
  <c r="L755" i="5"/>
  <c r="N755" i="5" s="1"/>
  <c r="L756" i="5"/>
  <c r="N756" i="5" s="1"/>
  <c r="L757" i="5"/>
  <c r="N757" i="5" s="1"/>
  <c r="L758" i="5"/>
  <c r="N758" i="5" s="1"/>
  <c r="L759" i="5"/>
  <c r="N759" i="5" s="1"/>
  <c r="L760" i="5"/>
  <c r="N760" i="5" s="1"/>
  <c r="L761" i="5"/>
  <c r="N761" i="5" s="1"/>
  <c r="L762" i="5"/>
  <c r="N762" i="5" s="1"/>
  <c r="L763" i="5"/>
  <c r="N763" i="5" s="1"/>
  <c r="L764" i="5"/>
  <c r="N764" i="5" s="1"/>
  <c r="L765" i="5"/>
  <c r="N765" i="5" s="1"/>
  <c r="L766" i="5"/>
  <c r="N766" i="5" s="1"/>
  <c r="L767" i="5"/>
  <c r="N767" i="5" s="1"/>
  <c r="L768" i="5"/>
  <c r="N768" i="5" s="1"/>
  <c r="L769" i="5"/>
  <c r="N769" i="5" s="1"/>
  <c r="L770" i="5"/>
  <c r="N770" i="5" s="1"/>
  <c r="L771" i="5"/>
  <c r="N771" i="5" s="1"/>
  <c r="L772" i="5"/>
  <c r="N772" i="5" s="1"/>
  <c r="L773" i="5"/>
  <c r="N773" i="5" s="1"/>
  <c r="L774" i="5"/>
  <c r="N774" i="5" s="1"/>
  <c r="L775" i="5"/>
  <c r="N775" i="5" s="1"/>
  <c r="L776" i="5"/>
  <c r="N776" i="5" s="1"/>
  <c r="L777" i="5"/>
  <c r="N777" i="5" s="1"/>
  <c r="L778" i="5"/>
  <c r="N778" i="5" s="1"/>
  <c r="L779" i="5"/>
  <c r="N779" i="5" s="1"/>
  <c r="L780" i="5"/>
  <c r="N780" i="5" s="1"/>
  <c r="L781" i="5"/>
  <c r="N781" i="5" s="1"/>
  <c r="L782" i="5"/>
  <c r="N782" i="5" s="1"/>
  <c r="L783" i="5"/>
  <c r="N783" i="5" s="1"/>
  <c r="L784" i="5"/>
  <c r="N784" i="5" s="1"/>
  <c r="L785" i="5"/>
  <c r="N785" i="5" s="1"/>
  <c r="L786" i="5"/>
  <c r="N786" i="5" s="1"/>
  <c r="L787" i="5"/>
  <c r="N787" i="5" s="1"/>
  <c r="L788" i="5"/>
  <c r="N788" i="5" s="1"/>
  <c r="L789" i="5"/>
  <c r="N789" i="5" s="1"/>
  <c r="L790" i="5"/>
  <c r="N790" i="5" s="1"/>
  <c r="L791" i="5"/>
  <c r="N791" i="5" s="1"/>
  <c r="L792" i="5"/>
  <c r="N792" i="5" s="1"/>
  <c r="L793" i="5"/>
  <c r="N793" i="5" s="1"/>
  <c r="L794" i="5"/>
  <c r="N794" i="5" s="1"/>
  <c r="L795" i="5"/>
  <c r="N795" i="5" s="1"/>
  <c r="L796" i="5"/>
  <c r="N796" i="5" s="1"/>
  <c r="L797" i="5"/>
  <c r="N797" i="5" s="1"/>
  <c r="L798" i="5"/>
  <c r="N798" i="5" s="1"/>
  <c r="L799" i="5"/>
  <c r="N799" i="5" s="1"/>
  <c r="L800" i="5"/>
  <c r="N800" i="5" s="1"/>
  <c r="L801" i="5"/>
  <c r="N801" i="5" s="1"/>
  <c r="L802" i="5"/>
  <c r="N802" i="5" s="1"/>
  <c r="L803" i="5"/>
  <c r="N803" i="5" s="1"/>
  <c r="L804" i="5"/>
  <c r="N804" i="5" s="1"/>
  <c r="L805" i="5"/>
  <c r="N805" i="5" s="1"/>
  <c r="L806" i="5"/>
  <c r="N806" i="5" s="1"/>
  <c r="L807" i="5"/>
  <c r="N807" i="5" s="1"/>
  <c r="L808" i="5"/>
  <c r="N808" i="5" s="1"/>
  <c r="L809" i="5"/>
  <c r="N809" i="5" s="1"/>
  <c r="L810" i="5"/>
  <c r="N810" i="5" s="1"/>
  <c r="L811" i="5"/>
  <c r="N811" i="5" s="1"/>
  <c r="L812" i="5"/>
  <c r="N812" i="5" s="1"/>
  <c r="L813" i="5"/>
  <c r="N813" i="5" s="1"/>
  <c r="L814" i="5"/>
  <c r="N814" i="5" s="1"/>
  <c r="L815" i="5"/>
  <c r="N815" i="5" s="1"/>
  <c r="L816" i="5"/>
  <c r="N816" i="5" s="1"/>
  <c r="L817" i="5"/>
  <c r="N817" i="5" s="1"/>
  <c r="L818" i="5"/>
  <c r="N818" i="5" s="1"/>
  <c r="L819" i="5"/>
  <c r="N819" i="5" s="1"/>
  <c r="L820" i="5"/>
  <c r="N820" i="5" s="1"/>
  <c r="L821" i="5"/>
  <c r="N821" i="5" s="1"/>
  <c r="L822" i="5"/>
  <c r="N822" i="5" s="1"/>
  <c r="L823" i="5"/>
  <c r="N823" i="5" s="1"/>
  <c r="L824" i="5"/>
  <c r="N824" i="5" s="1"/>
  <c r="L825" i="5"/>
  <c r="N825" i="5" s="1"/>
  <c r="L826" i="5"/>
  <c r="N826" i="5" s="1"/>
  <c r="L827" i="5"/>
  <c r="N827" i="5" s="1"/>
  <c r="L828" i="5"/>
  <c r="N828" i="5" s="1"/>
  <c r="L829" i="5"/>
  <c r="N829" i="5" s="1"/>
  <c r="L830" i="5"/>
  <c r="N830" i="5" s="1"/>
  <c r="L831" i="5"/>
  <c r="N831" i="5" s="1"/>
  <c r="L832" i="5"/>
  <c r="N832" i="5" s="1"/>
  <c r="L833" i="5"/>
  <c r="N833" i="5" s="1"/>
  <c r="L834" i="5"/>
  <c r="N834" i="5" s="1"/>
  <c r="L835" i="5"/>
  <c r="N835" i="5" s="1"/>
  <c r="L836" i="5"/>
  <c r="N836" i="5" s="1"/>
  <c r="L837" i="5"/>
  <c r="N837" i="5" s="1"/>
  <c r="L838" i="5"/>
  <c r="N838" i="5" s="1"/>
  <c r="L839" i="5"/>
  <c r="N839" i="5" s="1"/>
  <c r="L840" i="5"/>
  <c r="N840" i="5" s="1"/>
  <c r="L841" i="5"/>
  <c r="N841" i="5" s="1"/>
  <c r="L842" i="5"/>
  <c r="N842" i="5" s="1"/>
  <c r="L843" i="5"/>
  <c r="N843" i="5" s="1"/>
  <c r="L844" i="5"/>
  <c r="N844" i="5" s="1"/>
  <c r="L845" i="5"/>
  <c r="N845" i="5" s="1"/>
  <c r="L846" i="5"/>
  <c r="N846" i="5" s="1"/>
  <c r="L847" i="5"/>
  <c r="N847" i="5" s="1"/>
  <c r="L848" i="5"/>
  <c r="N848" i="5" s="1"/>
  <c r="L849" i="5"/>
  <c r="N849" i="5" s="1"/>
  <c r="L850" i="5"/>
  <c r="N850" i="5" s="1"/>
  <c r="L851" i="5"/>
  <c r="N851" i="5" s="1"/>
  <c r="L852" i="5"/>
  <c r="N852" i="5" s="1"/>
  <c r="L853" i="5"/>
  <c r="N853" i="5" s="1"/>
  <c r="L854" i="5"/>
  <c r="N854" i="5" s="1"/>
  <c r="L855" i="5"/>
  <c r="N855" i="5" s="1"/>
  <c r="L856" i="5"/>
  <c r="N856" i="5" s="1"/>
  <c r="L857" i="5"/>
  <c r="N857" i="5" s="1"/>
  <c r="L858" i="5"/>
  <c r="N858" i="5" s="1"/>
  <c r="L859" i="5"/>
  <c r="N859" i="5" s="1"/>
  <c r="L860" i="5"/>
  <c r="N860" i="5" s="1"/>
  <c r="L861" i="5"/>
  <c r="N861" i="5" s="1"/>
  <c r="L862" i="5"/>
  <c r="N862" i="5" s="1"/>
  <c r="L863" i="5"/>
  <c r="N863" i="5" s="1"/>
  <c r="L864" i="5"/>
  <c r="N864" i="5" s="1"/>
  <c r="L865" i="5"/>
  <c r="N865" i="5" s="1"/>
  <c r="L866" i="5"/>
  <c r="N866" i="5" s="1"/>
  <c r="L867" i="5"/>
  <c r="N867" i="5" s="1"/>
  <c r="L868" i="5"/>
  <c r="N868" i="5" s="1"/>
  <c r="L869" i="5"/>
  <c r="N869" i="5" s="1"/>
  <c r="L870" i="5"/>
  <c r="N870" i="5" s="1"/>
  <c r="L871" i="5"/>
  <c r="N871" i="5" s="1"/>
  <c r="L872" i="5"/>
  <c r="N872" i="5" s="1"/>
  <c r="L873" i="5"/>
  <c r="N873" i="5" s="1"/>
  <c r="L874" i="5"/>
  <c r="N874" i="5" s="1"/>
  <c r="L875" i="5"/>
  <c r="N875" i="5" s="1"/>
  <c r="L876" i="5"/>
  <c r="N876" i="5" s="1"/>
  <c r="L877" i="5"/>
  <c r="N877" i="5" s="1"/>
  <c r="L878" i="5"/>
  <c r="N878" i="5" s="1"/>
  <c r="L879" i="5"/>
  <c r="N879" i="5" s="1"/>
  <c r="L880" i="5"/>
  <c r="N880" i="5" s="1"/>
  <c r="L881" i="5"/>
  <c r="N881" i="5" s="1"/>
  <c r="L882" i="5"/>
  <c r="N882" i="5" s="1"/>
  <c r="L883" i="5"/>
  <c r="N883" i="5" s="1"/>
  <c r="L884" i="5"/>
  <c r="N884" i="5" s="1"/>
  <c r="L885" i="5"/>
  <c r="N885" i="5" s="1"/>
  <c r="L886" i="5"/>
  <c r="N886" i="5" s="1"/>
  <c r="L887" i="5"/>
  <c r="N887" i="5" s="1"/>
  <c r="L888" i="5"/>
  <c r="N888" i="5" s="1"/>
  <c r="L889" i="5"/>
  <c r="N889" i="5" s="1"/>
  <c r="L890" i="5"/>
  <c r="N890" i="5" s="1"/>
  <c r="L891" i="5"/>
  <c r="N891" i="5" s="1"/>
  <c r="L892" i="5"/>
  <c r="N892" i="5" s="1"/>
  <c r="L893" i="5"/>
  <c r="N893" i="5" s="1"/>
  <c r="L894" i="5"/>
  <c r="N894" i="5" s="1"/>
  <c r="L895" i="5"/>
  <c r="N895" i="5" s="1"/>
  <c r="L896" i="5"/>
  <c r="N896" i="5" s="1"/>
  <c r="L897" i="5"/>
  <c r="N897" i="5" s="1"/>
  <c r="L898" i="5"/>
  <c r="N898" i="5" s="1"/>
  <c r="L899" i="5"/>
  <c r="N899" i="5" s="1"/>
  <c r="L900" i="5"/>
  <c r="N900" i="5" s="1"/>
  <c r="L901" i="5"/>
  <c r="N901" i="5" s="1"/>
  <c r="L902" i="5"/>
  <c r="N902" i="5" s="1"/>
  <c r="L903" i="5"/>
  <c r="N903" i="5" s="1"/>
  <c r="L904" i="5"/>
  <c r="N904" i="5" s="1"/>
  <c r="L905" i="5"/>
  <c r="N905" i="5" s="1"/>
  <c r="L906" i="5"/>
  <c r="N906" i="5" s="1"/>
  <c r="L907" i="5"/>
  <c r="N907" i="5" s="1"/>
  <c r="L908" i="5"/>
  <c r="N908" i="5" s="1"/>
  <c r="L909" i="5"/>
  <c r="N909" i="5" s="1"/>
  <c r="L910" i="5"/>
  <c r="N910" i="5" s="1"/>
  <c r="L911" i="5"/>
  <c r="N911" i="5" s="1"/>
  <c r="L912" i="5"/>
  <c r="N912" i="5" s="1"/>
  <c r="L913" i="5"/>
  <c r="N913" i="5" s="1"/>
  <c r="L914" i="5"/>
  <c r="N914" i="5" s="1"/>
  <c r="L915" i="5"/>
  <c r="N915" i="5" s="1"/>
  <c r="L916" i="5"/>
  <c r="N916" i="5" s="1"/>
  <c r="L917" i="5"/>
  <c r="N917" i="5" s="1"/>
  <c r="L918" i="5"/>
  <c r="N918" i="5" s="1"/>
  <c r="L919" i="5"/>
  <c r="N919" i="5" s="1"/>
  <c r="L920" i="5"/>
  <c r="N920" i="5" s="1"/>
  <c r="L921" i="5"/>
  <c r="N921" i="5" s="1"/>
  <c r="L922" i="5"/>
  <c r="N922" i="5" s="1"/>
  <c r="L923" i="5"/>
  <c r="N923" i="5" s="1"/>
  <c r="L924" i="5"/>
  <c r="N924" i="5" s="1"/>
  <c r="L925" i="5"/>
  <c r="N925" i="5" s="1"/>
  <c r="L926" i="5"/>
  <c r="N926" i="5" s="1"/>
  <c r="L927" i="5"/>
  <c r="N927" i="5" s="1"/>
  <c r="L928" i="5"/>
  <c r="N928" i="5" s="1"/>
  <c r="L929" i="5"/>
  <c r="N929" i="5" s="1"/>
  <c r="L930" i="5"/>
  <c r="N930" i="5" s="1"/>
  <c r="L931" i="5"/>
  <c r="N931" i="5" s="1"/>
  <c r="L932" i="5"/>
  <c r="N932" i="5" s="1"/>
  <c r="L933" i="5"/>
  <c r="N933" i="5" s="1"/>
  <c r="L934" i="5"/>
  <c r="N934" i="5" s="1"/>
  <c r="L935" i="5"/>
  <c r="N935" i="5" s="1"/>
  <c r="L936" i="5"/>
  <c r="N936" i="5" s="1"/>
  <c r="L937" i="5"/>
  <c r="N937" i="5" s="1"/>
  <c r="L938" i="5"/>
  <c r="N938" i="5" s="1"/>
  <c r="L939" i="5"/>
  <c r="N939" i="5" s="1"/>
  <c r="L940" i="5"/>
  <c r="N940" i="5" s="1"/>
  <c r="L941" i="5"/>
  <c r="N941" i="5" s="1"/>
  <c r="L942" i="5"/>
  <c r="N942" i="5" s="1"/>
  <c r="L943" i="5"/>
  <c r="N943" i="5" s="1"/>
  <c r="L944" i="5"/>
  <c r="N944" i="5" s="1"/>
  <c r="L945" i="5"/>
  <c r="N945" i="5" s="1"/>
  <c r="L946" i="5"/>
  <c r="N946" i="5" s="1"/>
  <c r="L947" i="5"/>
  <c r="N947" i="5" s="1"/>
  <c r="L948" i="5"/>
  <c r="N948" i="5" s="1"/>
  <c r="L949" i="5"/>
  <c r="N949" i="5" s="1"/>
  <c r="L950" i="5"/>
  <c r="N950" i="5" s="1"/>
  <c r="L951" i="5"/>
  <c r="N951" i="5" s="1"/>
  <c r="L952" i="5"/>
  <c r="N952" i="5" s="1"/>
  <c r="L953" i="5"/>
  <c r="N953" i="5" s="1"/>
  <c r="L954" i="5"/>
  <c r="N954" i="5" s="1"/>
  <c r="L955" i="5"/>
  <c r="N955" i="5" s="1"/>
  <c r="L956" i="5"/>
  <c r="N956" i="5" s="1"/>
  <c r="L957" i="5"/>
  <c r="N957" i="5" s="1"/>
  <c r="L958" i="5"/>
  <c r="N958" i="5" s="1"/>
  <c r="L959" i="5"/>
  <c r="N959" i="5" s="1"/>
  <c r="L960" i="5"/>
  <c r="N960" i="5" s="1"/>
  <c r="L961" i="5"/>
  <c r="N961" i="5" s="1"/>
  <c r="L962" i="5"/>
  <c r="N962" i="5" s="1"/>
  <c r="L963" i="5"/>
  <c r="N963" i="5" s="1"/>
  <c r="L964" i="5"/>
  <c r="N964" i="5" s="1"/>
  <c r="L965" i="5"/>
  <c r="N965" i="5" s="1"/>
  <c r="L966" i="5"/>
  <c r="N966" i="5" s="1"/>
  <c r="L967" i="5"/>
  <c r="N967" i="5" s="1"/>
  <c r="L968" i="5"/>
  <c r="N968" i="5" s="1"/>
  <c r="L969" i="5"/>
  <c r="N969" i="5" s="1"/>
  <c r="L970" i="5"/>
  <c r="N970" i="5" s="1"/>
  <c r="L971" i="5"/>
  <c r="N971" i="5" s="1"/>
  <c r="L972" i="5"/>
  <c r="N972" i="5" s="1"/>
  <c r="L973" i="5"/>
  <c r="N973" i="5" s="1"/>
  <c r="L974" i="5"/>
  <c r="N974" i="5" s="1"/>
  <c r="L975" i="5"/>
  <c r="N975" i="5" s="1"/>
  <c r="L976" i="5"/>
  <c r="N976" i="5" s="1"/>
  <c r="L977" i="5"/>
  <c r="N977" i="5" s="1"/>
  <c r="L978" i="5"/>
  <c r="N978" i="5" s="1"/>
  <c r="L979" i="5"/>
  <c r="N979" i="5" s="1"/>
  <c r="L980" i="5"/>
  <c r="N980" i="5" s="1"/>
  <c r="L981" i="5"/>
  <c r="N981" i="5" s="1"/>
  <c r="L982" i="5"/>
  <c r="N982" i="5" s="1"/>
  <c r="L983" i="5"/>
  <c r="N983" i="5" s="1"/>
  <c r="L984" i="5"/>
  <c r="N984" i="5" s="1"/>
  <c r="L985" i="5"/>
  <c r="N985" i="5" s="1"/>
  <c r="L986" i="5"/>
  <c r="N986" i="5" s="1"/>
  <c r="L987" i="5"/>
  <c r="N987" i="5" s="1"/>
  <c r="L988" i="5"/>
  <c r="N988" i="5" s="1"/>
  <c r="L989" i="5"/>
  <c r="N989" i="5" s="1"/>
  <c r="L990" i="5"/>
  <c r="N990" i="5" s="1"/>
  <c r="L991" i="5"/>
  <c r="N991" i="5" s="1"/>
  <c r="L992" i="5"/>
  <c r="N992" i="5" s="1"/>
  <c r="L993" i="5"/>
  <c r="N993" i="5" s="1"/>
  <c r="L994" i="5"/>
  <c r="N994" i="5" s="1"/>
  <c r="L995" i="5"/>
  <c r="N995" i="5" s="1"/>
  <c r="L996" i="5"/>
  <c r="N996" i="5" s="1"/>
  <c r="L997" i="5"/>
  <c r="N997" i="5" s="1"/>
  <c r="L998" i="5"/>
  <c r="N998" i="5" s="1"/>
  <c r="L999" i="5"/>
  <c r="N999" i="5" s="1"/>
  <c r="L1000" i="5"/>
  <c r="N1000" i="5" s="1"/>
  <c r="L1001" i="5"/>
  <c r="N1001" i="5" s="1"/>
  <c r="L1002" i="5"/>
  <c r="N1002" i="5" s="1"/>
  <c r="L1003" i="5"/>
  <c r="N1003" i="5" s="1"/>
  <c r="L1004" i="5"/>
  <c r="N1004" i="5" s="1"/>
  <c r="L1005" i="5"/>
  <c r="N1005" i="5" s="1"/>
  <c r="L1006" i="5"/>
  <c r="N1006" i="5" s="1"/>
  <c r="L1007" i="5"/>
  <c r="N1007" i="5" s="1"/>
  <c r="L1008" i="5"/>
  <c r="N1008" i="5" s="1"/>
  <c r="L1009" i="5"/>
  <c r="N1009" i="5" s="1"/>
  <c r="L1010" i="5"/>
  <c r="N1010" i="5" s="1"/>
  <c r="L1011" i="5"/>
  <c r="N1011" i="5" s="1"/>
  <c r="L1012" i="5"/>
  <c r="N1012" i="5" s="1"/>
  <c r="L1013" i="5"/>
  <c r="N1013" i="5" s="1"/>
  <c r="L1014" i="5"/>
  <c r="N1014" i="5" s="1"/>
  <c r="L1015" i="5"/>
  <c r="N1015" i="5" s="1"/>
  <c r="L1016" i="5"/>
  <c r="N1016" i="5" s="1"/>
  <c r="L1017" i="5"/>
  <c r="N1017" i="5" s="1"/>
  <c r="L1018" i="5"/>
  <c r="N1018" i="5" s="1"/>
  <c r="L1019" i="5"/>
  <c r="N1019" i="5" s="1"/>
  <c r="L1020" i="5"/>
  <c r="N1020" i="5" s="1"/>
  <c r="L1021" i="5"/>
  <c r="N1021" i="5" s="1"/>
  <c r="L1022" i="5"/>
  <c r="N1022" i="5" s="1"/>
  <c r="L1023" i="5"/>
  <c r="N1023" i="5" s="1"/>
  <c r="L1024" i="5"/>
  <c r="N1024" i="5" s="1"/>
  <c r="L1025" i="5"/>
  <c r="N1025" i="5" s="1"/>
  <c r="L1026" i="5"/>
  <c r="N1026" i="5" s="1"/>
  <c r="L1027" i="5"/>
  <c r="N1027" i="5" s="1"/>
  <c r="L1028" i="5"/>
  <c r="N1028" i="5" s="1"/>
  <c r="L1029" i="5"/>
  <c r="N1029" i="5" s="1"/>
  <c r="L1030" i="5"/>
  <c r="N1030" i="5" s="1"/>
  <c r="L1031" i="5"/>
  <c r="N1031" i="5" s="1"/>
  <c r="L1032" i="5"/>
  <c r="N1032" i="5" s="1"/>
  <c r="L1033" i="5"/>
  <c r="N1033" i="5" s="1"/>
  <c r="L1034" i="5"/>
  <c r="N1034" i="5" s="1"/>
  <c r="L1035" i="5"/>
  <c r="N1035" i="5" s="1"/>
  <c r="L1036" i="5"/>
  <c r="N1036" i="5" s="1"/>
  <c r="L1037" i="5"/>
  <c r="N1037" i="5" s="1"/>
  <c r="L1038" i="5"/>
  <c r="N1038" i="5" s="1"/>
  <c r="L1039" i="5"/>
  <c r="N1039" i="5" s="1"/>
  <c r="L1040" i="5"/>
  <c r="N1040" i="5" s="1"/>
  <c r="L1041" i="5"/>
  <c r="N1041" i="5" s="1"/>
  <c r="L1042" i="5"/>
  <c r="N1042" i="5" s="1"/>
  <c r="L1043" i="5"/>
  <c r="N1043" i="5" s="1"/>
  <c r="L1044" i="5"/>
  <c r="N1044" i="5" s="1"/>
  <c r="L1045" i="5"/>
  <c r="N1045" i="5" s="1"/>
  <c r="L1046" i="5"/>
  <c r="N1046" i="5" s="1"/>
  <c r="L1047" i="5"/>
  <c r="N1047" i="5" s="1"/>
  <c r="L1048" i="5"/>
  <c r="N1048" i="5" s="1"/>
  <c r="L1049" i="5"/>
  <c r="N1049" i="5" s="1"/>
  <c r="L1050" i="5"/>
  <c r="N1050" i="5" s="1"/>
  <c r="L1051" i="5"/>
  <c r="N1051" i="5" s="1"/>
  <c r="L1052" i="5"/>
  <c r="N1052" i="5" s="1"/>
  <c r="L1053" i="5"/>
  <c r="N1053" i="5" s="1"/>
  <c r="L1054" i="5"/>
  <c r="N1054" i="5" s="1"/>
  <c r="L1055" i="5"/>
  <c r="N1055" i="5" s="1"/>
  <c r="L1056" i="5"/>
  <c r="N1056" i="5" s="1"/>
  <c r="L1057" i="5"/>
  <c r="N1057" i="5" s="1"/>
  <c r="L1058" i="5"/>
  <c r="N1058" i="5" s="1"/>
  <c r="L1059" i="5"/>
  <c r="N1059" i="5" s="1"/>
  <c r="L1060" i="5"/>
  <c r="N1060" i="5" s="1"/>
  <c r="L1061" i="5"/>
  <c r="N1061" i="5" s="1"/>
  <c r="L1062" i="5"/>
  <c r="N1062" i="5" s="1"/>
  <c r="L1063" i="5"/>
  <c r="N1063" i="5" s="1"/>
  <c r="L1064" i="5"/>
  <c r="N1064" i="5" s="1"/>
  <c r="L1065" i="5"/>
  <c r="N1065" i="5" s="1"/>
  <c r="L1066" i="5"/>
  <c r="N1066" i="5" s="1"/>
  <c r="L1067" i="5"/>
  <c r="N1067" i="5" s="1"/>
  <c r="L1068" i="5"/>
  <c r="N1068" i="5" s="1"/>
  <c r="L1069" i="5"/>
  <c r="N1069" i="5" s="1"/>
  <c r="L1070" i="5"/>
  <c r="N1070" i="5" s="1"/>
  <c r="L1071" i="5"/>
  <c r="N1071" i="5" s="1"/>
  <c r="L1072" i="5"/>
  <c r="N1072" i="5" s="1"/>
  <c r="L1073" i="5"/>
  <c r="N1073" i="5" s="1"/>
  <c r="L1074" i="5"/>
  <c r="N1074" i="5" s="1"/>
  <c r="L1075" i="5"/>
  <c r="N1075" i="5" s="1"/>
  <c r="L1076" i="5"/>
  <c r="N1076" i="5" s="1"/>
  <c r="L1077" i="5"/>
  <c r="N1077" i="5" s="1"/>
  <c r="L1078" i="5"/>
  <c r="N1078" i="5" s="1"/>
  <c r="L1079" i="5"/>
  <c r="N1079" i="5" s="1"/>
  <c r="L1080" i="5"/>
  <c r="N1080" i="5" s="1"/>
  <c r="L1081" i="5"/>
  <c r="N1081" i="5" s="1"/>
  <c r="L1082" i="5"/>
  <c r="N1082" i="5" s="1"/>
  <c r="L1083" i="5"/>
  <c r="N1083" i="5" s="1"/>
  <c r="L1084" i="5"/>
  <c r="N1084" i="5" s="1"/>
  <c r="L1085" i="5"/>
  <c r="N1085" i="5" s="1"/>
  <c r="L1086" i="5"/>
  <c r="N1086" i="5" s="1"/>
  <c r="L1087" i="5"/>
  <c r="N1087" i="5" s="1"/>
  <c r="L1088" i="5"/>
  <c r="N1088" i="5" s="1"/>
  <c r="L1089" i="5"/>
  <c r="N1089" i="5" s="1"/>
  <c r="L1090" i="5"/>
  <c r="N1090" i="5" s="1"/>
  <c r="L1091" i="5"/>
  <c r="N1091" i="5" s="1"/>
  <c r="L1092" i="5"/>
  <c r="N1092" i="5" s="1"/>
  <c r="L1093" i="5"/>
  <c r="N1093" i="5" s="1"/>
  <c r="L1094" i="5"/>
  <c r="N1094" i="5" s="1"/>
  <c r="L1095" i="5"/>
  <c r="N1095" i="5" s="1"/>
  <c r="L1096" i="5"/>
  <c r="N1096" i="5" s="1"/>
  <c r="L1097" i="5"/>
  <c r="N1097" i="5" s="1"/>
  <c r="L1098" i="5"/>
  <c r="N1098" i="5" s="1"/>
  <c r="L1099" i="5"/>
  <c r="N1099" i="5" s="1"/>
  <c r="L1100" i="5"/>
  <c r="N1100" i="5" s="1"/>
  <c r="L1101" i="5"/>
  <c r="N1101" i="5" s="1"/>
  <c r="L1102" i="5"/>
  <c r="N1102" i="5" s="1"/>
  <c r="L1103" i="5"/>
  <c r="N1103" i="5" s="1"/>
  <c r="L1104" i="5"/>
  <c r="N1104" i="5" s="1"/>
  <c r="L1105" i="5"/>
  <c r="N1105" i="5" s="1"/>
  <c r="L1106" i="5"/>
  <c r="N1106" i="5" s="1"/>
  <c r="L1107" i="5"/>
  <c r="N1107" i="5" s="1"/>
  <c r="L1108" i="5"/>
  <c r="N1108" i="5" s="1"/>
  <c r="L1109" i="5"/>
  <c r="N1109" i="5" s="1"/>
  <c r="L1110" i="5"/>
  <c r="N1110" i="5" s="1"/>
  <c r="L1111" i="5"/>
  <c r="N1111" i="5" s="1"/>
  <c r="L1112" i="5"/>
  <c r="N1112" i="5" s="1"/>
  <c r="L1113" i="5"/>
  <c r="N1113" i="5" s="1"/>
  <c r="L1114" i="5"/>
  <c r="N1114" i="5" s="1"/>
  <c r="L1115" i="5"/>
  <c r="N1115" i="5" s="1"/>
  <c r="L1116" i="5"/>
  <c r="N1116" i="5" s="1"/>
  <c r="L1117" i="5"/>
  <c r="N1117" i="5" s="1"/>
  <c r="L1118" i="5"/>
  <c r="N1118" i="5" s="1"/>
  <c r="L1119" i="5"/>
  <c r="N1119" i="5" s="1"/>
  <c r="L1120" i="5"/>
  <c r="N1120" i="5" s="1"/>
  <c r="L1121" i="5"/>
  <c r="N1121" i="5" s="1"/>
  <c r="L1122" i="5"/>
  <c r="N1122" i="5" s="1"/>
  <c r="L1123" i="5"/>
  <c r="N1123" i="5" s="1"/>
  <c r="L1124" i="5"/>
  <c r="N1124" i="5" s="1"/>
  <c r="L1125" i="5"/>
  <c r="N1125" i="5" s="1"/>
  <c r="L1126" i="5"/>
  <c r="N1126" i="5" s="1"/>
  <c r="L1127" i="5"/>
  <c r="N1127" i="5" s="1"/>
  <c r="L1128" i="5"/>
  <c r="N1128" i="5" s="1"/>
  <c r="L1129" i="5"/>
  <c r="N1129" i="5" s="1"/>
  <c r="L1130" i="5"/>
  <c r="N1130" i="5" s="1"/>
  <c r="L1131" i="5"/>
  <c r="N1131" i="5" s="1"/>
  <c r="L1132" i="5"/>
  <c r="N1132" i="5" s="1"/>
  <c r="L1133" i="5"/>
  <c r="N1133" i="5" s="1"/>
  <c r="L1134" i="5"/>
  <c r="N1134" i="5" s="1"/>
  <c r="L1135" i="5"/>
  <c r="N1135" i="5" s="1"/>
  <c r="L1136" i="5"/>
  <c r="N1136" i="5" s="1"/>
  <c r="L1137" i="5"/>
  <c r="N1137" i="5" s="1"/>
  <c r="L1138" i="5"/>
  <c r="N1138" i="5" s="1"/>
  <c r="L1139" i="5"/>
  <c r="N1139" i="5" s="1"/>
  <c r="L1140" i="5"/>
  <c r="N1140" i="5" s="1"/>
  <c r="L1141" i="5"/>
  <c r="N1141" i="5" s="1"/>
  <c r="L1142" i="5"/>
  <c r="N1142" i="5" s="1"/>
  <c r="L1143" i="5"/>
  <c r="N1143" i="5" s="1"/>
  <c r="L1144" i="5"/>
  <c r="N1144" i="5" s="1"/>
  <c r="L1145" i="5"/>
  <c r="N1145" i="5" s="1"/>
  <c r="L1146" i="5"/>
  <c r="N1146" i="5" s="1"/>
  <c r="L1147" i="5"/>
  <c r="N1147" i="5" s="1"/>
  <c r="L1148" i="5"/>
  <c r="N1148" i="5" s="1"/>
  <c r="L1149" i="5"/>
  <c r="N1149" i="5" s="1"/>
  <c r="L1150" i="5"/>
  <c r="N1150" i="5" s="1"/>
  <c r="L1151" i="5"/>
  <c r="N1151" i="5" s="1"/>
  <c r="L1152" i="5"/>
  <c r="N1152" i="5" s="1"/>
  <c r="L1153" i="5"/>
  <c r="N1153" i="5" s="1"/>
  <c r="L1154" i="5"/>
  <c r="N1154" i="5" s="1"/>
  <c r="L1155" i="5"/>
  <c r="N1155" i="5" s="1"/>
  <c r="L1156" i="5"/>
  <c r="N1156" i="5" s="1"/>
  <c r="L1157" i="5"/>
  <c r="N1157" i="5" s="1"/>
  <c r="L1158" i="5"/>
  <c r="N1158" i="5" s="1"/>
  <c r="L1159" i="5"/>
  <c r="N1159" i="5" s="1"/>
  <c r="L1160" i="5"/>
  <c r="N1160" i="5" s="1"/>
  <c r="L1161" i="5"/>
  <c r="N1161" i="5" s="1"/>
  <c r="L1162" i="5"/>
  <c r="N1162" i="5" s="1"/>
  <c r="L1163" i="5"/>
  <c r="N1163" i="5" s="1"/>
  <c r="L1164" i="5"/>
  <c r="N1164" i="5" s="1"/>
  <c r="L1165" i="5"/>
  <c r="N1165" i="5" s="1"/>
  <c r="L1166" i="5"/>
  <c r="N1166" i="5" s="1"/>
  <c r="L1167" i="5"/>
  <c r="N1167" i="5" s="1"/>
  <c r="L1168" i="5"/>
  <c r="N1168" i="5" s="1"/>
  <c r="L1169" i="5"/>
  <c r="N1169" i="5" s="1"/>
  <c r="L1170" i="5"/>
  <c r="N1170" i="5" s="1"/>
  <c r="L1171" i="5"/>
  <c r="N1171" i="5" s="1"/>
  <c r="L1172" i="5"/>
  <c r="N1172" i="5" s="1"/>
  <c r="L1173" i="5"/>
  <c r="N1173" i="5" s="1"/>
  <c r="L1174" i="5"/>
  <c r="N1174" i="5" s="1"/>
  <c r="L1175" i="5"/>
  <c r="N1175" i="5" s="1"/>
  <c r="L1176" i="5"/>
  <c r="N1176" i="5" s="1"/>
  <c r="L1177" i="5"/>
  <c r="N1177" i="5" s="1"/>
  <c r="L1178" i="5"/>
  <c r="N1178" i="5" s="1"/>
  <c r="L1179" i="5"/>
  <c r="N1179" i="5" s="1"/>
  <c r="L1180" i="5"/>
  <c r="N1180" i="5" s="1"/>
  <c r="L1181" i="5"/>
  <c r="N1181" i="5" s="1"/>
  <c r="L1182" i="5"/>
  <c r="N1182" i="5" s="1"/>
  <c r="L1183" i="5"/>
  <c r="N1183" i="5" s="1"/>
  <c r="L1184" i="5"/>
  <c r="N1184" i="5" s="1"/>
  <c r="L1185" i="5"/>
  <c r="N1185" i="5" s="1"/>
  <c r="L1186" i="5"/>
  <c r="N1186" i="5" s="1"/>
  <c r="L1187" i="5"/>
  <c r="N1187" i="5" s="1"/>
  <c r="L1188" i="5"/>
  <c r="N1188" i="5" s="1"/>
  <c r="L1189" i="5"/>
  <c r="N1189" i="5" s="1"/>
  <c r="L1190" i="5"/>
  <c r="N1190" i="5" s="1"/>
  <c r="L1191" i="5"/>
  <c r="N1191" i="5" s="1"/>
  <c r="L1192" i="5"/>
  <c r="N1192" i="5" s="1"/>
  <c r="L1193" i="5"/>
  <c r="N1193" i="5" s="1"/>
  <c r="L1194" i="5"/>
  <c r="N1194" i="5" s="1"/>
  <c r="L1195" i="5"/>
  <c r="N1195" i="5" s="1"/>
  <c r="L1196" i="5"/>
  <c r="N1196" i="5" s="1"/>
  <c r="L1197" i="5"/>
  <c r="N1197" i="5" s="1"/>
  <c r="L1198" i="5"/>
  <c r="N1198" i="5" s="1"/>
  <c r="L1199" i="5"/>
  <c r="N1199" i="5" s="1"/>
  <c r="L1200" i="5"/>
  <c r="N1200" i="5" s="1"/>
  <c r="L1201" i="5"/>
  <c r="N1201" i="5" s="1"/>
  <c r="L1202" i="5"/>
  <c r="N1202" i="5" s="1"/>
  <c r="L1203" i="5"/>
  <c r="N1203" i="5" s="1"/>
  <c r="L1204" i="5"/>
  <c r="N1204" i="5" s="1"/>
  <c r="L1205" i="5"/>
  <c r="N1205" i="5" s="1"/>
  <c r="L1206" i="5"/>
  <c r="N1206" i="5" s="1"/>
  <c r="L1207" i="5"/>
  <c r="N1207" i="5" s="1"/>
  <c r="L1208" i="5"/>
  <c r="N1208" i="5" s="1"/>
  <c r="L1209" i="5"/>
  <c r="N1209" i="5" s="1"/>
  <c r="L1210" i="5"/>
  <c r="N1210" i="5" s="1"/>
  <c r="L1211" i="5"/>
  <c r="N1211" i="5" s="1"/>
  <c r="L1212" i="5"/>
  <c r="N1212" i="5" s="1"/>
  <c r="L1213" i="5"/>
  <c r="N1213" i="5" s="1"/>
  <c r="L1214" i="5"/>
  <c r="N1214" i="5" s="1"/>
  <c r="L1215" i="5"/>
  <c r="N1215" i="5" s="1"/>
  <c r="L1216" i="5"/>
  <c r="N1216" i="5" s="1"/>
  <c r="L1217" i="5"/>
  <c r="N1217" i="5" s="1"/>
  <c r="L1218" i="5"/>
  <c r="N1218" i="5" s="1"/>
  <c r="L1219" i="5"/>
  <c r="N1219" i="5" s="1"/>
  <c r="L1220" i="5"/>
  <c r="N1220" i="5" s="1"/>
  <c r="L1221" i="5"/>
  <c r="N1221" i="5" s="1"/>
  <c r="L1222" i="5"/>
  <c r="N1222" i="5" s="1"/>
  <c r="L1223" i="5"/>
  <c r="N1223" i="5" s="1"/>
  <c r="L1224" i="5"/>
  <c r="N1224" i="5" s="1"/>
  <c r="L1225" i="5"/>
  <c r="N1225" i="5" s="1"/>
  <c r="L1226" i="5"/>
  <c r="N1226" i="5" s="1"/>
  <c r="L1227" i="5"/>
  <c r="N1227" i="5" s="1"/>
  <c r="L1228" i="5"/>
  <c r="N1228" i="5" s="1"/>
  <c r="L1229" i="5"/>
  <c r="N1229" i="5" s="1"/>
  <c r="L1230" i="5"/>
  <c r="N1230" i="5" s="1"/>
  <c r="L1231" i="5"/>
  <c r="N1231" i="5" s="1"/>
  <c r="L1232" i="5"/>
  <c r="N1232" i="5" s="1"/>
  <c r="L1233" i="5"/>
  <c r="N1233" i="5" s="1"/>
  <c r="L1234" i="5"/>
  <c r="N1234" i="5" s="1"/>
  <c r="L1235" i="5"/>
  <c r="N1235" i="5" s="1"/>
  <c r="L1236" i="5"/>
  <c r="N1236" i="5" s="1"/>
  <c r="L1237" i="5"/>
  <c r="N1237" i="5" s="1"/>
  <c r="L1238" i="5"/>
  <c r="N1238" i="5" s="1"/>
  <c r="L1239" i="5"/>
  <c r="N1239" i="5" s="1"/>
  <c r="L1240" i="5"/>
  <c r="N1240" i="5" s="1"/>
  <c r="L1241" i="5"/>
  <c r="N1241" i="5" s="1"/>
  <c r="L1242" i="5"/>
  <c r="N1242" i="5" s="1"/>
  <c r="L1243" i="5"/>
  <c r="N1243" i="5" s="1"/>
  <c r="L1244" i="5"/>
  <c r="N1244" i="5" s="1"/>
  <c r="L1245" i="5"/>
  <c r="N1245" i="5" s="1"/>
  <c r="L1246" i="5"/>
  <c r="N1246" i="5" s="1"/>
  <c r="L1247" i="5"/>
  <c r="N1247" i="5" s="1"/>
  <c r="L1248" i="5"/>
  <c r="N1248" i="5" s="1"/>
  <c r="L1249" i="5"/>
  <c r="N1249" i="5" s="1"/>
  <c r="L1250" i="5"/>
  <c r="N1250" i="5" s="1"/>
  <c r="L1251" i="5"/>
  <c r="N1251" i="5" s="1"/>
  <c r="L1252" i="5"/>
  <c r="N1252" i="5" s="1"/>
  <c r="L1253" i="5"/>
  <c r="N1253" i="5" s="1"/>
  <c r="L1254" i="5"/>
  <c r="N1254" i="5" s="1"/>
  <c r="L1255" i="5"/>
  <c r="N1255" i="5" s="1"/>
  <c r="L1256" i="5"/>
  <c r="N1256" i="5" s="1"/>
  <c r="L1257" i="5"/>
  <c r="N1257" i="5" s="1"/>
  <c r="L1258" i="5"/>
  <c r="N1258" i="5" s="1"/>
  <c r="L1259" i="5"/>
  <c r="N1259" i="5" s="1"/>
  <c r="L1260" i="5"/>
  <c r="N1260" i="5" s="1"/>
  <c r="L1261" i="5"/>
  <c r="N1261" i="5" s="1"/>
  <c r="L1262" i="5"/>
  <c r="N1262" i="5" s="1"/>
  <c r="L1263" i="5"/>
  <c r="N1263" i="5" s="1"/>
  <c r="L1264" i="5"/>
  <c r="N1264" i="5" s="1"/>
  <c r="L1265" i="5"/>
  <c r="N1265" i="5" s="1"/>
  <c r="L1266" i="5"/>
  <c r="N1266" i="5" s="1"/>
  <c r="L1267" i="5"/>
  <c r="N1267" i="5" s="1"/>
  <c r="L1268" i="5"/>
  <c r="N1268" i="5" s="1"/>
  <c r="L1269" i="5"/>
  <c r="N1269" i="5" s="1"/>
  <c r="L1270" i="5"/>
  <c r="N1270" i="5" s="1"/>
  <c r="L1271" i="5"/>
  <c r="N1271" i="5" s="1"/>
  <c r="L1272" i="5"/>
  <c r="N1272" i="5" s="1"/>
  <c r="L1273" i="5"/>
  <c r="N1273" i="5" s="1"/>
  <c r="L1274" i="5"/>
  <c r="N1274" i="5" s="1"/>
  <c r="L1275" i="5"/>
  <c r="N1275" i="5" s="1"/>
  <c r="L1276" i="5"/>
  <c r="N1276" i="5" s="1"/>
  <c r="L1277" i="5"/>
  <c r="N1277" i="5" s="1"/>
  <c r="L1278" i="5"/>
  <c r="N1278" i="5" s="1"/>
  <c r="L1279" i="5"/>
  <c r="N1279" i="5" s="1"/>
  <c r="L1280" i="5"/>
  <c r="N1280" i="5" s="1"/>
  <c r="L1281" i="5"/>
  <c r="N1281" i="5" s="1"/>
  <c r="L1282" i="5"/>
  <c r="N1282" i="5" s="1"/>
  <c r="L1283" i="5"/>
  <c r="N1283" i="5" s="1"/>
  <c r="L1284" i="5"/>
  <c r="N1284" i="5" s="1"/>
  <c r="L1285" i="5"/>
  <c r="N1285" i="5" s="1"/>
  <c r="L1286" i="5"/>
  <c r="N1286" i="5" s="1"/>
  <c r="L1287" i="5"/>
  <c r="N1287" i="5" s="1"/>
  <c r="L1288" i="5"/>
  <c r="N1288" i="5" s="1"/>
  <c r="L1289" i="5"/>
  <c r="N1289" i="5" s="1"/>
  <c r="L1290" i="5"/>
  <c r="N1290" i="5" s="1"/>
  <c r="L1291" i="5"/>
  <c r="N1291" i="5" s="1"/>
  <c r="L1292" i="5"/>
  <c r="N1292" i="5" s="1"/>
  <c r="L1293" i="5"/>
  <c r="N1293" i="5" s="1"/>
  <c r="L1294" i="5"/>
  <c r="N1294" i="5" s="1"/>
  <c r="L1295" i="5"/>
  <c r="N1295" i="5" s="1"/>
  <c r="L1296" i="5"/>
  <c r="N1296" i="5" s="1"/>
  <c r="L1297" i="5"/>
  <c r="N1297" i="5" s="1"/>
  <c r="L1298" i="5"/>
  <c r="N1298" i="5" s="1"/>
  <c r="L1299" i="5"/>
  <c r="N1299" i="5" s="1"/>
  <c r="L1300" i="5"/>
  <c r="N1300" i="5" s="1"/>
  <c r="L1301" i="5"/>
  <c r="N1301" i="5" s="1"/>
  <c r="L1302" i="5"/>
  <c r="N1302" i="5" s="1"/>
  <c r="L1303" i="5"/>
  <c r="N1303" i="5" s="1"/>
  <c r="L1304" i="5"/>
  <c r="N1304" i="5" s="1"/>
  <c r="L1305" i="5"/>
  <c r="N1305" i="5" s="1"/>
  <c r="L1306" i="5"/>
  <c r="N1306" i="5" s="1"/>
  <c r="L1307" i="5"/>
  <c r="N1307" i="5" s="1"/>
  <c r="L1308" i="5"/>
  <c r="N1308" i="5" s="1"/>
  <c r="L1309" i="5"/>
  <c r="N1309" i="5" s="1"/>
  <c r="L1310" i="5"/>
  <c r="N1310" i="5" s="1"/>
  <c r="L1311" i="5"/>
  <c r="N1311" i="5" s="1"/>
  <c r="L1312" i="5"/>
  <c r="N1312" i="5" s="1"/>
  <c r="L1313" i="5"/>
  <c r="N1313" i="5" s="1"/>
  <c r="L1314" i="5"/>
  <c r="N1314" i="5" s="1"/>
  <c r="L1315" i="5"/>
  <c r="N1315" i="5" s="1"/>
  <c r="L1316" i="5"/>
  <c r="N1316" i="5" s="1"/>
  <c r="L1317" i="5"/>
  <c r="N1317" i="5" s="1"/>
  <c r="L1318" i="5"/>
  <c r="N1318" i="5" s="1"/>
  <c r="L1319" i="5"/>
  <c r="N1319" i="5" s="1"/>
  <c r="L1320" i="5"/>
  <c r="N1320" i="5" s="1"/>
  <c r="L1321" i="5"/>
  <c r="N1321" i="5" s="1"/>
  <c r="L1322" i="5"/>
  <c r="N1322" i="5" s="1"/>
  <c r="L1323" i="5"/>
  <c r="N1323" i="5" s="1"/>
  <c r="L1324" i="5"/>
  <c r="N1324" i="5" s="1"/>
  <c r="L1325" i="5"/>
  <c r="N1325" i="5" s="1"/>
  <c r="L1326" i="5"/>
  <c r="N1326" i="5" s="1"/>
  <c r="L1327" i="5"/>
  <c r="N1327" i="5" s="1"/>
  <c r="L1328" i="5"/>
  <c r="N1328" i="5" s="1"/>
  <c r="L1329" i="5"/>
  <c r="N1329" i="5" s="1"/>
  <c r="L1330" i="5"/>
  <c r="N1330" i="5" s="1"/>
  <c r="L1331" i="5"/>
  <c r="N1331" i="5" s="1"/>
  <c r="L1332" i="5"/>
  <c r="N1332" i="5" s="1"/>
  <c r="L1333" i="5"/>
  <c r="N1333" i="5" s="1"/>
  <c r="L1334" i="5"/>
  <c r="N1334" i="5" s="1"/>
  <c r="L1335" i="5"/>
  <c r="N1335" i="5" s="1"/>
  <c r="L1336" i="5"/>
  <c r="N1336" i="5" s="1"/>
  <c r="L1337" i="5"/>
  <c r="N1337" i="5" s="1"/>
  <c r="L1338" i="5"/>
  <c r="N1338" i="5" s="1"/>
  <c r="L1339" i="5"/>
  <c r="N1339" i="5" s="1"/>
  <c r="L1340" i="5"/>
  <c r="N1340" i="5" s="1"/>
  <c r="L1341" i="5"/>
  <c r="N1341" i="5" s="1"/>
  <c r="L1342" i="5"/>
  <c r="N1342" i="5" s="1"/>
  <c r="L1343" i="5"/>
  <c r="N1343" i="5" s="1"/>
  <c r="L1344" i="5"/>
  <c r="N1344" i="5" s="1"/>
  <c r="L1345" i="5"/>
  <c r="N1345" i="5" s="1"/>
  <c r="L1346" i="5"/>
  <c r="N1346" i="5" s="1"/>
  <c r="L1347" i="5"/>
  <c r="N1347" i="5" s="1"/>
  <c r="L1348" i="5"/>
  <c r="N1348" i="5" s="1"/>
  <c r="L1349" i="5"/>
  <c r="N1349" i="5" s="1"/>
  <c r="L1350" i="5"/>
  <c r="N1350" i="5" s="1"/>
  <c r="L1351" i="5"/>
  <c r="N1351" i="5" s="1"/>
  <c r="L1352" i="5"/>
  <c r="N1352" i="5" s="1"/>
  <c r="L1353" i="5"/>
  <c r="N1353" i="5" s="1"/>
  <c r="L1354" i="5"/>
  <c r="N1354" i="5" s="1"/>
  <c r="L1355" i="5"/>
  <c r="N1355" i="5" s="1"/>
  <c r="L1356" i="5"/>
  <c r="N1356" i="5" s="1"/>
  <c r="L1357" i="5"/>
  <c r="N1357" i="5" s="1"/>
  <c r="L1358" i="5"/>
  <c r="N1358" i="5" s="1"/>
  <c r="L1359" i="5"/>
  <c r="N1359" i="5" s="1"/>
  <c r="L1360" i="5"/>
  <c r="N1360" i="5" s="1"/>
  <c r="L1361" i="5"/>
  <c r="N1361" i="5" s="1"/>
  <c r="L1362" i="5"/>
  <c r="N1362" i="5" s="1"/>
  <c r="L1363" i="5"/>
  <c r="N1363" i="5" s="1"/>
  <c r="L1364" i="5"/>
  <c r="N1364" i="5" s="1"/>
  <c r="L1365" i="5"/>
  <c r="N1365" i="5" s="1"/>
  <c r="L1366" i="5"/>
  <c r="N1366" i="5" s="1"/>
  <c r="L1367" i="5"/>
  <c r="N1367" i="5" s="1"/>
  <c r="L1368" i="5"/>
  <c r="N1368" i="5" s="1"/>
  <c r="L1369" i="5"/>
  <c r="N1369" i="5" s="1"/>
  <c r="L1370" i="5"/>
  <c r="N1370" i="5" s="1"/>
  <c r="L1371" i="5"/>
  <c r="N1371" i="5" s="1"/>
  <c r="L1372" i="5"/>
  <c r="N1372" i="5" s="1"/>
  <c r="L1373" i="5"/>
  <c r="N1373" i="5" s="1"/>
  <c r="L1374" i="5"/>
  <c r="N1374" i="5" s="1"/>
  <c r="L1375" i="5"/>
  <c r="N1375" i="5" s="1"/>
  <c r="L1376" i="5"/>
  <c r="N1376" i="5" s="1"/>
  <c r="L1377" i="5"/>
  <c r="N1377" i="5" s="1"/>
  <c r="L1378" i="5"/>
  <c r="N1378" i="5" s="1"/>
  <c r="L1379" i="5"/>
  <c r="N1379" i="5" s="1"/>
  <c r="L1380" i="5"/>
  <c r="N1380" i="5" s="1"/>
  <c r="L1381" i="5"/>
  <c r="N1381" i="5" s="1"/>
  <c r="L1382" i="5"/>
  <c r="N1382" i="5" s="1"/>
  <c r="L1383" i="5"/>
  <c r="N1383" i="5" s="1"/>
  <c r="L1384" i="5"/>
  <c r="N1384" i="5" s="1"/>
  <c r="L1385" i="5"/>
  <c r="N1385" i="5" s="1"/>
  <c r="L1386" i="5"/>
  <c r="N1386" i="5" s="1"/>
  <c r="L1387" i="5"/>
  <c r="N1387" i="5" s="1"/>
  <c r="L1388" i="5"/>
  <c r="N1388" i="5" s="1"/>
  <c r="L1389" i="5"/>
  <c r="N1389" i="5" s="1"/>
  <c r="L1390" i="5"/>
  <c r="N1390" i="5" s="1"/>
  <c r="L1391" i="5"/>
  <c r="N1391" i="5" s="1"/>
  <c r="L1392" i="5"/>
  <c r="N1392" i="5" s="1"/>
  <c r="L1393" i="5"/>
  <c r="N1393" i="5" s="1"/>
  <c r="L1394" i="5"/>
  <c r="N1394" i="5" s="1"/>
  <c r="L1395" i="5"/>
  <c r="N1395" i="5" s="1"/>
  <c r="L1396" i="5"/>
  <c r="N1396" i="5" s="1"/>
  <c r="L1397" i="5"/>
  <c r="N1397" i="5" s="1"/>
  <c r="L1398" i="5"/>
  <c r="N1398" i="5" s="1"/>
  <c r="L1399" i="5"/>
  <c r="N1399" i="5" s="1"/>
  <c r="L1400" i="5"/>
  <c r="N1400" i="5" s="1"/>
  <c r="L1401" i="5"/>
  <c r="N1401" i="5" s="1"/>
  <c r="L1402" i="5"/>
  <c r="N1402" i="5" s="1"/>
  <c r="L1403" i="5"/>
  <c r="N1403" i="5" s="1"/>
  <c r="L1404" i="5"/>
  <c r="N1404" i="5" s="1"/>
  <c r="L1405" i="5"/>
  <c r="N1405" i="5" s="1"/>
  <c r="L1406" i="5"/>
  <c r="N1406" i="5" s="1"/>
  <c r="L1407" i="5"/>
  <c r="N1407" i="5" s="1"/>
  <c r="L1408" i="5"/>
  <c r="N1408" i="5" s="1"/>
  <c r="L1409" i="5"/>
  <c r="N1409" i="5" s="1"/>
  <c r="L1410" i="5"/>
  <c r="N1410" i="5" s="1"/>
  <c r="L1411" i="5"/>
  <c r="N1411" i="5" s="1"/>
  <c r="L1412" i="5"/>
  <c r="N1412" i="5" s="1"/>
  <c r="L1413" i="5"/>
  <c r="N1413" i="5" s="1"/>
  <c r="L1414" i="5"/>
  <c r="N1414" i="5" s="1"/>
  <c r="L1415" i="5"/>
  <c r="N1415" i="5" s="1"/>
  <c r="L1416" i="5"/>
  <c r="N1416" i="5" s="1"/>
  <c r="L1417" i="5"/>
  <c r="N1417" i="5" s="1"/>
  <c r="L1418" i="5"/>
  <c r="N1418" i="5" s="1"/>
  <c r="L1419" i="5"/>
  <c r="N1419" i="5" s="1"/>
  <c r="L1420" i="5"/>
  <c r="N1420" i="5" s="1"/>
  <c r="L1421" i="5"/>
  <c r="N1421" i="5" s="1"/>
  <c r="L1422" i="5"/>
  <c r="N1422" i="5" s="1"/>
  <c r="L1423" i="5"/>
  <c r="N1423" i="5" s="1"/>
  <c r="L1424" i="5"/>
  <c r="N1424" i="5" s="1"/>
  <c r="L1425" i="5"/>
  <c r="N1425" i="5" s="1"/>
  <c r="L1426" i="5"/>
  <c r="N1426" i="5" s="1"/>
  <c r="L1427" i="5"/>
  <c r="N1427" i="5" s="1"/>
  <c r="L1428" i="5"/>
  <c r="N1428" i="5" s="1"/>
  <c r="L1429" i="5"/>
  <c r="N1429" i="5" s="1"/>
  <c r="L1430" i="5"/>
  <c r="N1430" i="5" s="1"/>
  <c r="L1431" i="5"/>
  <c r="N1431" i="5" s="1"/>
  <c r="L1432" i="5"/>
  <c r="N1432" i="5" s="1"/>
  <c r="L1433" i="5"/>
  <c r="N1433" i="5" s="1"/>
  <c r="L1434" i="5"/>
  <c r="N1434" i="5" s="1"/>
  <c r="L1435" i="5"/>
  <c r="N1435" i="5" s="1"/>
  <c r="L1436" i="5"/>
  <c r="N1436" i="5" s="1"/>
  <c r="L1437" i="5"/>
  <c r="N1437" i="5" s="1"/>
  <c r="L1438" i="5"/>
  <c r="N1438" i="5" s="1"/>
  <c r="L1439" i="5"/>
  <c r="N1439" i="5" s="1"/>
  <c r="L1440" i="5"/>
  <c r="N1440" i="5" s="1"/>
  <c r="L1441" i="5"/>
  <c r="N1441" i="5" s="1"/>
  <c r="L1442" i="5"/>
  <c r="N1442" i="5" s="1"/>
  <c r="L1443" i="5"/>
  <c r="N1443" i="5" s="1"/>
  <c r="L1444" i="5"/>
  <c r="N1444" i="5" s="1"/>
  <c r="L1445" i="5"/>
  <c r="N1445" i="5" s="1"/>
  <c r="L1446" i="5"/>
  <c r="N1446" i="5" s="1"/>
  <c r="L1447" i="5"/>
  <c r="N1447" i="5" s="1"/>
  <c r="L1448" i="5"/>
  <c r="N1448" i="5" s="1"/>
  <c r="L1449" i="5"/>
  <c r="N1449" i="5" s="1"/>
  <c r="L1450" i="5"/>
  <c r="N1450" i="5" s="1"/>
  <c r="L1451" i="5"/>
  <c r="N1451" i="5" s="1"/>
  <c r="L1452" i="5"/>
  <c r="N1452" i="5" s="1"/>
  <c r="L1453" i="5"/>
  <c r="N1453" i="5" s="1"/>
  <c r="L1454" i="5"/>
  <c r="N1454" i="5" s="1"/>
  <c r="L1455" i="5"/>
  <c r="N1455" i="5" s="1"/>
  <c r="L1456" i="5"/>
  <c r="N1456" i="5" s="1"/>
  <c r="L1457" i="5"/>
  <c r="N1457" i="5" s="1"/>
  <c r="L1458" i="5"/>
  <c r="N1458" i="5" s="1"/>
  <c r="L1459" i="5"/>
  <c r="N1459" i="5" s="1"/>
  <c r="L1460" i="5"/>
  <c r="N1460" i="5" s="1"/>
  <c r="L1461" i="5"/>
  <c r="N1461" i="5" s="1"/>
  <c r="L1462" i="5"/>
  <c r="N1462" i="5" s="1"/>
  <c r="L1463" i="5"/>
  <c r="N1463" i="5" s="1"/>
  <c r="L1464" i="5"/>
  <c r="N1464" i="5" s="1"/>
  <c r="L1465" i="5"/>
  <c r="N1465" i="5" s="1"/>
  <c r="L1466" i="5"/>
  <c r="N1466" i="5" s="1"/>
  <c r="L1467" i="5"/>
  <c r="N1467" i="5" s="1"/>
  <c r="L1468" i="5"/>
  <c r="N1468" i="5" s="1"/>
  <c r="L1469" i="5"/>
  <c r="N1469" i="5" s="1"/>
  <c r="L1470" i="5"/>
  <c r="N1470" i="5" s="1"/>
  <c r="L1471" i="5"/>
  <c r="N1471" i="5" s="1"/>
  <c r="L1472" i="5"/>
  <c r="N1472" i="5" s="1"/>
  <c r="L1473" i="5"/>
  <c r="N1473" i="5" s="1"/>
  <c r="L1474" i="5"/>
  <c r="N1474" i="5" s="1"/>
  <c r="L1475" i="5"/>
  <c r="N1475" i="5" s="1"/>
  <c r="L1476" i="5"/>
  <c r="N1476" i="5" s="1"/>
  <c r="L1477" i="5"/>
  <c r="N1477" i="5" s="1"/>
  <c r="L1478" i="5"/>
  <c r="N1478" i="5" s="1"/>
  <c r="L1479" i="5"/>
  <c r="N1479" i="5" s="1"/>
  <c r="L1480" i="5"/>
  <c r="N1480" i="5" s="1"/>
  <c r="L1481" i="5"/>
  <c r="N1481" i="5" s="1"/>
  <c r="L1482" i="5"/>
  <c r="N1482" i="5" s="1"/>
  <c r="L1483" i="5"/>
  <c r="N1483" i="5" s="1"/>
  <c r="L1484" i="5"/>
  <c r="N1484" i="5" s="1"/>
  <c r="L1485" i="5"/>
  <c r="N1485" i="5" s="1"/>
  <c r="L1486" i="5"/>
  <c r="N1486" i="5" s="1"/>
  <c r="L1487" i="5"/>
  <c r="N1487" i="5" s="1"/>
  <c r="L1488" i="5"/>
  <c r="N1488" i="5" s="1"/>
  <c r="L1489" i="5"/>
  <c r="N1489" i="5" s="1"/>
  <c r="L1490" i="5"/>
  <c r="N1490" i="5" s="1"/>
  <c r="L1491" i="5"/>
  <c r="N1491" i="5" s="1"/>
  <c r="L1492" i="5"/>
  <c r="N1492" i="5" s="1"/>
  <c r="L1493" i="5"/>
  <c r="N1493" i="5" s="1"/>
  <c r="L1494" i="5"/>
  <c r="N1494" i="5" s="1"/>
  <c r="L1495" i="5"/>
  <c r="N1495" i="5" s="1"/>
  <c r="L1496" i="5"/>
  <c r="N1496" i="5" s="1"/>
  <c r="L1497" i="5"/>
  <c r="N1497" i="5" s="1"/>
  <c r="L1498" i="5"/>
  <c r="N1498" i="5" s="1"/>
  <c r="L1499" i="5"/>
  <c r="N1499" i="5" s="1"/>
  <c r="L1500" i="5"/>
  <c r="N1500" i="5" s="1"/>
  <c r="L1501" i="5"/>
  <c r="N1501" i="5" s="1"/>
  <c r="L1502" i="5"/>
  <c r="N1502" i="5" s="1"/>
  <c r="L1503" i="5"/>
  <c r="N1503" i="5" s="1"/>
  <c r="L1504" i="5"/>
  <c r="N1504" i="5" s="1"/>
  <c r="L1505" i="5"/>
  <c r="N1505" i="5" s="1"/>
  <c r="L1506" i="5"/>
  <c r="N1506" i="5" s="1"/>
  <c r="L1507" i="5"/>
  <c r="N1507" i="5" s="1"/>
  <c r="L1508" i="5"/>
  <c r="N1508" i="5" s="1"/>
  <c r="L1509" i="5"/>
  <c r="N1509" i="5" s="1"/>
  <c r="L1510" i="5"/>
  <c r="N1510" i="5" s="1"/>
  <c r="L1511" i="5"/>
  <c r="N1511" i="5" s="1"/>
  <c r="L1512" i="5"/>
  <c r="N1512" i="5" s="1"/>
  <c r="L1513" i="5"/>
  <c r="N1513" i="5" s="1"/>
  <c r="L1514" i="5"/>
  <c r="N1514" i="5" s="1"/>
  <c r="L1515" i="5"/>
  <c r="N1515" i="5" s="1"/>
  <c r="L1516" i="5"/>
  <c r="N1516" i="5" s="1"/>
  <c r="L1517" i="5"/>
  <c r="N1517" i="5" s="1"/>
  <c r="L1518" i="5"/>
  <c r="N1518" i="5" s="1"/>
  <c r="L1519" i="5"/>
  <c r="N1519" i="5" s="1"/>
  <c r="L1520" i="5"/>
  <c r="N1520" i="5" s="1"/>
  <c r="L1521" i="5"/>
  <c r="N1521" i="5" s="1"/>
  <c r="L1522" i="5"/>
  <c r="N1522" i="5" s="1"/>
  <c r="L1523" i="5"/>
  <c r="N1523" i="5" s="1"/>
  <c r="L1524" i="5"/>
  <c r="N1524" i="5" s="1"/>
  <c r="L1525" i="5"/>
  <c r="N1525" i="5" s="1"/>
  <c r="L1526" i="5"/>
  <c r="N1526" i="5" s="1"/>
  <c r="L1527" i="5"/>
  <c r="N1527" i="5" s="1"/>
  <c r="L1528" i="5"/>
  <c r="N1528" i="5" s="1"/>
  <c r="L1529" i="5"/>
  <c r="N1529" i="5" s="1"/>
  <c r="L1530" i="5"/>
  <c r="N1530" i="5" s="1"/>
  <c r="L1531" i="5"/>
  <c r="N1531" i="5" s="1"/>
  <c r="L1532" i="5"/>
  <c r="N1532" i="5" s="1"/>
  <c r="L1533" i="5"/>
  <c r="N1533" i="5" s="1"/>
  <c r="L1534" i="5"/>
  <c r="N1534" i="5" s="1"/>
  <c r="L1535" i="5"/>
  <c r="N1535" i="5" s="1"/>
  <c r="L1536" i="5"/>
  <c r="N1536" i="5" s="1"/>
  <c r="L1537" i="5"/>
  <c r="N1537" i="5" s="1"/>
  <c r="L1538" i="5"/>
  <c r="N1538" i="5" s="1"/>
  <c r="L1539" i="5"/>
  <c r="N1539" i="5" s="1"/>
  <c r="L1540" i="5"/>
  <c r="N1540" i="5" s="1"/>
  <c r="L1541" i="5"/>
  <c r="N1541" i="5" s="1"/>
  <c r="L1542" i="5"/>
  <c r="N1542" i="5" s="1"/>
  <c r="L1543" i="5"/>
  <c r="N1543" i="5" s="1"/>
  <c r="L1544" i="5"/>
  <c r="N1544" i="5" s="1"/>
  <c r="L1545" i="5"/>
  <c r="N1545" i="5" s="1"/>
  <c r="L1546" i="5"/>
  <c r="N1546" i="5" s="1"/>
  <c r="L1547" i="5"/>
  <c r="N1547" i="5" s="1"/>
  <c r="L1548" i="5"/>
  <c r="N1548" i="5" s="1"/>
  <c r="L1549" i="5"/>
  <c r="N1549" i="5" s="1"/>
  <c r="L1550" i="5"/>
  <c r="N1550" i="5" s="1"/>
  <c r="L1551" i="5"/>
  <c r="N1551" i="5" s="1"/>
  <c r="L1552" i="5"/>
  <c r="N1552" i="5" s="1"/>
  <c r="L1553" i="5"/>
  <c r="N1553" i="5" s="1"/>
  <c r="L1554" i="5"/>
  <c r="N1554" i="5" s="1"/>
  <c r="L1555" i="5"/>
  <c r="N1555" i="5" s="1"/>
  <c r="L1556" i="5"/>
  <c r="N1556" i="5" s="1"/>
  <c r="L1557" i="5"/>
  <c r="N1557" i="5" s="1"/>
  <c r="L1558" i="5"/>
  <c r="N1558" i="5" s="1"/>
  <c r="L1559" i="5"/>
  <c r="N1559" i="5" s="1"/>
  <c r="L1560" i="5"/>
  <c r="N1560" i="5" s="1"/>
  <c r="L1561" i="5"/>
  <c r="N1561" i="5" s="1"/>
  <c r="L1562" i="5"/>
  <c r="N1562" i="5" s="1"/>
  <c r="L1563" i="5"/>
  <c r="N1563" i="5" s="1"/>
  <c r="L1564" i="5"/>
  <c r="N1564" i="5" s="1"/>
  <c r="L1565" i="5"/>
  <c r="N1565" i="5" s="1"/>
  <c r="L1566" i="5"/>
  <c r="N1566" i="5" s="1"/>
  <c r="L1567" i="5"/>
  <c r="N1567" i="5" s="1"/>
  <c r="L1568" i="5"/>
  <c r="N1568" i="5" s="1"/>
  <c r="L1569" i="5"/>
  <c r="N1569" i="5" s="1"/>
  <c r="L1570" i="5"/>
  <c r="N1570" i="5" s="1"/>
  <c r="L1571" i="5"/>
  <c r="N1571" i="5" s="1"/>
  <c r="L1572" i="5"/>
  <c r="N1572" i="5" s="1"/>
  <c r="L1573" i="5"/>
  <c r="N1573" i="5" s="1"/>
  <c r="L1574" i="5"/>
  <c r="N1574" i="5" s="1"/>
  <c r="L1575" i="5"/>
  <c r="N1575" i="5" s="1"/>
  <c r="L1576" i="5"/>
  <c r="N1576" i="5" s="1"/>
  <c r="L1577" i="5"/>
  <c r="N1577" i="5" s="1"/>
  <c r="L1578" i="5"/>
  <c r="N1578" i="5" s="1"/>
  <c r="L1579" i="5"/>
  <c r="N1579" i="5" s="1"/>
  <c r="L1580" i="5"/>
  <c r="N1580" i="5" s="1"/>
  <c r="L1581" i="5"/>
  <c r="N1581" i="5" s="1"/>
  <c r="L1582" i="5"/>
  <c r="N1582" i="5" s="1"/>
  <c r="L1583" i="5"/>
  <c r="N1583" i="5" s="1"/>
  <c r="L1584" i="5"/>
  <c r="N1584" i="5" s="1"/>
  <c r="L1585" i="5"/>
  <c r="N1585" i="5" s="1"/>
  <c r="L1586" i="5"/>
  <c r="N1586" i="5" s="1"/>
  <c r="L1587" i="5"/>
  <c r="N1587" i="5" s="1"/>
  <c r="L1588" i="5"/>
  <c r="N1588" i="5" s="1"/>
  <c r="L1589" i="5"/>
  <c r="N1589" i="5" s="1"/>
  <c r="L1590" i="5"/>
  <c r="N1590" i="5" s="1"/>
  <c r="L1591" i="5"/>
  <c r="N1591" i="5" s="1"/>
  <c r="L1592" i="5"/>
  <c r="N1592" i="5" s="1"/>
  <c r="L1593" i="5"/>
  <c r="N1593" i="5" s="1"/>
  <c r="L1594" i="5"/>
  <c r="N1594" i="5" s="1"/>
  <c r="L1595" i="5"/>
  <c r="N1595" i="5" s="1"/>
  <c r="L1596" i="5"/>
  <c r="N1596" i="5" s="1"/>
  <c r="L1597" i="5"/>
  <c r="N1597" i="5" s="1"/>
  <c r="L1598" i="5"/>
  <c r="N1598" i="5" s="1"/>
  <c r="L1599" i="5"/>
  <c r="N1599" i="5" s="1"/>
  <c r="L1600" i="5"/>
  <c r="N1600" i="5" s="1"/>
  <c r="L1601" i="5"/>
  <c r="N1601" i="5" s="1"/>
  <c r="L1602" i="5"/>
  <c r="N1602" i="5" s="1"/>
  <c r="L1603" i="5"/>
  <c r="N1603" i="5" s="1"/>
  <c r="L1604" i="5"/>
  <c r="N1604" i="5" s="1"/>
  <c r="L1605" i="5"/>
  <c r="N1605" i="5" s="1"/>
  <c r="L1606" i="5"/>
  <c r="N1606" i="5" s="1"/>
  <c r="L1607" i="5"/>
  <c r="N1607" i="5" s="1"/>
  <c r="L1608" i="5"/>
  <c r="N1608" i="5" s="1"/>
  <c r="L1609" i="5"/>
  <c r="N1609" i="5" s="1"/>
  <c r="L1610" i="5"/>
  <c r="N1610" i="5" s="1"/>
  <c r="L1611" i="5"/>
  <c r="N1611" i="5" s="1"/>
  <c r="L1612" i="5"/>
  <c r="N1612" i="5" s="1"/>
  <c r="L1613" i="5"/>
  <c r="N1613" i="5" s="1"/>
  <c r="L1614" i="5"/>
  <c r="N1614" i="5" s="1"/>
  <c r="L1615" i="5"/>
  <c r="N1615" i="5" s="1"/>
  <c r="L1616" i="5"/>
  <c r="N1616" i="5" s="1"/>
  <c r="L1617" i="5"/>
  <c r="N1617" i="5" s="1"/>
  <c r="L1618" i="5"/>
  <c r="N1618" i="5" s="1"/>
  <c r="L1619" i="5"/>
  <c r="N1619" i="5" s="1"/>
  <c r="L1620" i="5"/>
  <c r="N1620" i="5" s="1"/>
  <c r="L1621" i="5"/>
  <c r="N1621" i="5" s="1"/>
  <c r="L1622" i="5"/>
  <c r="N1622" i="5" s="1"/>
  <c r="L1623" i="5"/>
  <c r="N1623" i="5" s="1"/>
  <c r="L1624" i="5"/>
  <c r="N1624" i="5" s="1"/>
  <c r="L1625" i="5"/>
  <c r="N1625" i="5" s="1"/>
  <c r="L1626" i="5"/>
  <c r="N1626" i="5" s="1"/>
  <c r="L1627" i="5"/>
  <c r="N1627" i="5" s="1"/>
  <c r="L1628" i="5"/>
  <c r="N1628" i="5" s="1"/>
  <c r="L1629" i="5"/>
  <c r="N1629" i="5" s="1"/>
  <c r="L1630" i="5"/>
  <c r="N1630" i="5" s="1"/>
  <c r="L1631" i="5"/>
  <c r="N1631" i="5" s="1"/>
  <c r="L1632" i="5"/>
  <c r="N1632" i="5" s="1"/>
  <c r="L1633" i="5"/>
  <c r="N1633" i="5" s="1"/>
  <c r="L1634" i="5"/>
  <c r="N1634" i="5" s="1"/>
  <c r="L1635" i="5"/>
  <c r="N1635" i="5" s="1"/>
  <c r="L1636" i="5"/>
  <c r="N1636" i="5" s="1"/>
  <c r="L1637" i="5"/>
  <c r="N1637" i="5" s="1"/>
  <c r="L1638" i="5"/>
  <c r="N1638" i="5" s="1"/>
  <c r="L1639" i="5"/>
  <c r="N1639" i="5" s="1"/>
  <c r="L1640" i="5"/>
  <c r="N1640" i="5" s="1"/>
  <c r="L1641" i="5"/>
  <c r="N1641" i="5" s="1"/>
  <c r="L1642" i="5"/>
  <c r="N1642" i="5" s="1"/>
  <c r="L1643" i="5"/>
  <c r="N1643" i="5" s="1"/>
  <c r="L1644" i="5"/>
  <c r="N1644" i="5" s="1"/>
  <c r="L1645" i="5"/>
  <c r="N1645" i="5" s="1"/>
  <c r="L1646" i="5"/>
  <c r="N1646" i="5" s="1"/>
  <c r="L1647" i="5"/>
  <c r="N1647" i="5" s="1"/>
  <c r="L1648" i="5"/>
  <c r="N1648" i="5" s="1"/>
  <c r="L1649" i="5"/>
  <c r="N1649" i="5" s="1"/>
  <c r="L1650" i="5"/>
  <c r="N1650" i="5" s="1"/>
  <c r="L1651" i="5"/>
  <c r="N1651" i="5" s="1"/>
  <c r="L1652" i="5"/>
  <c r="N1652" i="5" s="1"/>
  <c r="L1653" i="5"/>
  <c r="N1653" i="5" s="1"/>
  <c r="L1654" i="5"/>
  <c r="N1654" i="5" s="1"/>
  <c r="L1655" i="5"/>
  <c r="N1655" i="5" s="1"/>
  <c r="L1656" i="5"/>
  <c r="N1656" i="5" s="1"/>
  <c r="L1657" i="5"/>
  <c r="N1657" i="5" s="1"/>
  <c r="L1658" i="5"/>
  <c r="N1658" i="5" s="1"/>
  <c r="L1659" i="5"/>
  <c r="N1659" i="5" s="1"/>
  <c r="L1660" i="5"/>
  <c r="N1660" i="5" s="1"/>
  <c r="L1661" i="5"/>
  <c r="N1661" i="5" s="1"/>
  <c r="L1662" i="5"/>
  <c r="N1662" i="5" s="1"/>
  <c r="L1663" i="5"/>
  <c r="N1663" i="5" s="1"/>
  <c r="L1664" i="5"/>
  <c r="N1664" i="5" s="1"/>
  <c r="L1665" i="5"/>
  <c r="N1665" i="5" s="1"/>
  <c r="L1666" i="5"/>
  <c r="N1666" i="5" s="1"/>
  <c r="L1667" i="5"/>
  <c r="N1667" i="5" s="1"/>
  <c r="L1668" i="5"/>
  <c r="N1668" i="5" s="1"/>
  <c r="L1669" i="5"/>
  <c r="N1669" i="5" s="1"/>
  <c r="L1670" i="5"/>
  <c r="N1670" i="5" s="1"/>
  <c r="L1671" i="5"/>
  <c r="N1671" i="5" s="1"/>
  <c r="L1672" i="5"/>
  <c r="N1672" i="5" s="1"/>
  <c r="L1673" i="5"/>
  <c r="N1673" i="5" s="1"/>
  <c r="L1674" i="5"/>
  <c r="N1674" i="5" s="1"/>
  <c r="L1675" i="5"/>
  <c r="N1675" i="5" s="1"/>
  <c r="L1676" i="5"/>
  <c r="N1676" i="5" s="1"/>
  <c r="L1677" i="5"/>
  <c r="N1677" i="5" s="1"/>
  <c r="L1678" i="5"/>
  <c r="N1678" i="5" s="1"/>
  <c r="L1679" i="5"/>
  <c r="N1679" i="5" s="1"/>
  <c r="L1680" i="5"/>
  <c r="N1680" i="5" s="1"/>
  <c r="L1681" i="5"/>
  <c r="N1681" i="5" s="1"/>
  <c r="L1682" i="5"/>
  <c r="N1682" i="5" s="1"/>
  <c r="L1683" i="5"/>
  <c r="N1683" i="5" s="1"/>
  <c r="L1684" i="5"/>
  <c r="N1684" i="5" s="1"/>
  <c r="L1685" i="5"/>
  <c r="N1685" i="5" s="1"/>
  <c r="L1686" i="5"/>
  <c r="N1686" i="5" s="1"/>
  <c r="L1687" i="5"/>
  <c r="N1687" i="5" s="1"/>
  <c r="L1688" i="5"/>
  <c r="N1688" i="5" s="1"/>
  <c r="L1689" i="5"/>
  <c r="N1689" i="5" s="1"/>
  <c r="L1690" i="5"/>
  <c r="N1690" i="5" s="1"/>
  <c r="L1691" i="5"/>
  <c r="N1691" i="5" s="1"/>
  <c r="L1692" i="5"/>
  <c r="N1692" i="5" s="1"/>
  <c r="L1693" i="5"/>
  <c r="N1693" i="5" s="1"/>
  <c r="L1694" i="5"/>
  <c r="N1694" i="5" s="1"/>
  <c r="L1695" i="5"/>
  <c r="N1695" i="5" s="1"/>
  <c r="L1696" i="5"/>
  <c r="N1696" i="5" s="1"/>
  <c r="L1697" i="5"/>
  <c r="N1697" i="5" s="1"/>
  <c r="L1698" i="5"/>
  <c r="N1698" i="5" s="1"/>
  <c r="L1699" i="5"/>
  <c r="N1699" i="5" s="1"/>
  <c r="L1700" i="5"/>
  <c r="N1700" i="5" s="1"/>
  <c r="L1701" i="5"/>
  <c r="N1701" i="5" s="1"/>
  <c r="L1702" i="5"/>
  <c r="N1702" i="5" s="1"/>
  <c r="L1703" i="5"/>
  <c r="N1703" i="5" s="1"/>
  <c r="L1704" i="5"/>
  <c r="N1704" i="5" s="1"/>
  <c r="L1705" i="5"/>
  <c r="N1705" i="5" s="1"/>
  <c r="L1706" i="5"/>
  <c r="N1706" i="5" s="1"/>
  <c r="L1707" i="5"/>
  <c r="N1707" i="5" s="1"/>
  <c r="L1708" i="5"/>
  <c r="N1708" i="5" s="1"/>
  <c r="L1709" i="5"/>
  <c r="N1709" i="5" s="1"/>
  <c r="L1710" i="5"/>
  <c r="N1710" i="5" s="1"/>
  <c r="L1711" i="5"/>
  <c r="N1711" i="5" s="1"/>
  <c r="L1712" i="5"/>
  <c r="N1712" i="5" s="1"/>
  <c r="L1713" i="5"/>
  <c r="N1713" i="5" s="1"/>
  <c r="L1714" i="5"/>
  <c r="N1714" i="5" s="1"/>
  <c r="L1715" i="5"/>
  <c r="N1715" i="5" s="1"/>
  <c r="L1716" i="5"/>
  <c r="N1716" i="5" s="1"/>
  <c r="L1717" i="5"/>
  <c r="N1717" i="5" s="1"/>
  <c r="L1718" i="5"/>
  <c r="N1718" i="5" s="1"/>
  <c r="L1719" i="5"/>
  <c r="N1719" i="5" s="1"/>
  <c r="L1720" i="5"/>
  <c r="N1720" i="5" s="1"/>
  <c r="L1721" i="5"/>
  <c r="N1721" i="5" s="1"/>
  <c r="L1722" i="5"/>
  <c r="N1722" i="5" s="1"/>
  <c r="L1723" i="5"/>
  <c r="N1723" i="5" s="1"/>
  <c r="L1724" i="5"/>
  <c r="N1724" i="5" s="1"/>
  <c r="L1725" i="5"/>
  <c r="N1725" i="5" s="1"/>
  <c r="L1726" i="5"/>
  <c r="N1726" i="5" s="1"/>
  <c r="L1727" i="5"/>
  <c r="N1727" i="5" s="1"/>
  <c r="L1728" i="5"/>
  <c r="N1728" i="5" s="1"/>
  <c r="L1729" i="5"/>
  <c r="N1729" i="5" s="1"/>
  <c r="L1730" i="5"/>
  <c r="N1730" i="5" s="1"/>
  <c r="L1731" i="5"/>
  <c r="N1731" i="5" s="1"/>
  <c r="L1732" i="5"/>
  <c r="N1732" i="5" s="1"/>
  <c r="L1733" i="5"/>
  <c r="N1733" i="5" s="1"/>
  <c r="L1734" i="5"/>
  <c r="N1734" i="5" s="1"/>
  <c r="L1735" i="5"/>
  <c r="N1735" i="5" s="1"/>
  <c r="L1736" i="5"/>
  <c r="N1736" i="5" s="1"/>
  <c r="L1737" i="5"/>
  <c r="N1737" i="5" s="1"/>
  <c r="L1738" i="5"/>
  <c r="N1738" i="5" s="1"/>
  <c r="L1739" i="5"/>
  <c r="N1739" i="5" s="1"/>
  <c r="L1740" i="5"/>
  <c r="N1740" i="5" s="1"/>
  <c r="L1741" i="5"/>
  <c r="N1741" i="5" s="1"/>
  <c r="L1742" i="5"/>
  <c r="N1742" i="5" s="1"/>
  <c r="L1743" i="5"/>
  <c r="N1743" i="5" s="1"/>
  <c r="L1744" i="5"/>
  <c r="N1744" i="5" s="1"/>
  <c r="L1745" i="5"/>
  <c r="N1745" i="5" s="1"/>
  <c r="L1746" i="5"/>
  <c r="N1746" i="5" s="1"/>
  <c r="L1747" i="5"/>
  <c r="N1747" i="5" s="1"/>
  <c r="L1748" i="5"/>
  <c r="N1748" i="5" s="1"/>
  <c r="L1749" i="5"/>
  <c r="N1749" i="5" s="1"/>
  <c r="L1750" i="5"/>
  <c r="N1750" i="5" s="1"/>
  <c r="L1751" i="5"/>
  <c r="N1751" i="5" s="1"/>
  <c r="L1752" i="5"/>
  <c r="N1752" i="5" s="1"/>
  <c r="L1753" i="5"/>
  <c r="N1753" i="5" s="1"/>
  <c r="L1754" i="5"/>
  <c r="N1754" i="5" s="1"/>
  <c r="L1755" i="5"/>
  <c r="N1755" i="5" s="1"/>
  <c r="L1756" i="5"/>
  <c r="N1756" i="5" s="1"/>
  <c r="L1757" i="5"/>
  <c r="N1757" i="5" s="1"/>
  <c r="L1758" i="5"/>
  <c r="N1758" i="5" s="1"/>
  <c r="L1759" i="5"/>
  <c r="N1759" i="5" s="1"/>
  <c r="L1760" i="5"/>
  <c r="N1760" i="5" s="1"/>
  <c r="L1761" i="5"/>
  <c r="N1761" i="5" s="1"/>
  <c r="L1762" i="5"/>
  <c r="N1762" i="5" s="1"/>
  <c r="L1763" i="5"/>
  <c r="N1763" i="5" s="1"/>
  <c r="L1764" i="5"/>
  <c r="N1764" i="5" s="1"/>
  <c r="L1765" i="5"/>
  <c r="N1765" i="5" s="1"/>
  <c r="L1766" i="5"/>
  <c r="N1766" i="5" s="1"/>
  <c r="L1767" i="5"/>
  <c r="N1767" i="5" s="1"/>
  <c r="L1768" i="5"/>
  <c r="N1768" i="5" s="1"/>
  <c r="L1769" i="5"/>
  <c r="N1769" i="5" s="1"/>
  <c r="L1770" i="5"/>
  <c r="N1770" i="5" s="1"/>
  <c r="L1771" i="5"/>
  <c r="N1771" i="5" s="1"/>
  <c r="L1772" i="5"/>
  <c r="N1772" i="5" s="1"/>
  <c r="L1773" i="5"/>
  <c r="N1773" i="5" s="1"/>
  <c r="L1774" i="5"/>
  <c r="N1774" i="5" s="1"/>
  <c r="L1775" i="5"/>
  <c r="N1775" i="5" s="1"/>
  <c r="L1776" i="5"/>
  <c r="N1776" i="5" s="1"/>
  <c r="L1777" i="5"/>
  <c r="N1777" i="5" s="1"/>
  <c r="L1778" i="5"/>
  <c r="N1778" i="5" s="1"/>
  <c r="L1779" i="5"/>
  <c r="N1779" i="5" s="1"/>
  <c r="L1780" i="5"/>
  <c r="N1780" i="5" s="1"/>
  <c r="L1781" i="5"/>
  <c r="N1781" i="5" s="1"/>
  <c r="L1782" i="5"/>
  <c r="N1782" i="5" s="1"/>
  <c r="L1783" i="5"/>
  <c r="N1783" i="5" s="1"/>
  <c r="L1784" i="5"/>
  <c r="N1784" i="5" s="1"/>
  <c r="L1785" i="5"/>
  <c r="N1785" i="5" s="1"/>
  <c r="L1786" i="5"/>
  <c r="N1786" i="5" s="1"/>
  <c r="L1787" i="5"/>
  <c r="N1787" i="5" s="1"/>
  <c r="L1788" i="5"/>
  <c r="N1788" i="5" s="1"/>
  <c r="L1789" i="5"/>
  <c r="N1789" i="5" s="1"/>
  <c r="L1790" i="5"/>
  <c r="N1790" i="5" s="1"/>
  <c r="L1791" i="5"/>
  <c r="N1791" i="5" s="1"/>
  <c r="L1792" i="5"/>
  <c r="N1792" i="5" s="1"/>
  <c r="L1793" i="5"/>
  <c r="N1793" i="5" s="1"/>
  <c r="L1794" i="5"/>
  <c r="N1794" i="5" s="1"/>
  <c r="L1795" i="5"/>
  <c r="N1795" i="5" s="1"/>
  <c r="L1796" i="5"/>
  <c r="N1796" i="5" s="1"/>
  <c r="L1797" i="5"/>
  <c r="N1797" i="5" s="1"/>
  <c r="L1798" i="5"/>
  <c r="N1798" i="5" s="1"/>
  <c r="L1799" i="5"/>
  <c r="N1799" i="5" s="1"/>
  <c r="L1800" i="5"/>
  <c r="N1800" i="5" s="1"/>
  <c r="L1801" i="5"/>
  <c r="N1801" i="5" s="1"/>
  <c r="L1802" i="5"/>
  <c r="N1802" i="5" s="1"/>
  <c r="L1803" i="5"/>
  <c r="N1803" i="5" s="1"/>
  <c r="L1804" i="5"/>
  <c r="N1804" i="5" s="1"/>
  <c r="L1805" i="5"/>
  <c r="N1805" i="5" s="1"/>
  <c r="L1806" i="5"/>
  <c r="N1806" i="5" s="1"/>
  <c r="L1807" i="5"/>
  <c r="N1807" i="5" s="1"/>
  <c r="L1808" i="5"/>
  <c r="N1808" i="5" s="1"/>
  <c r="L1809" i="5"/>
  <c r="N1809" i="5" s="1"/>
  <c r="L1810" i="5"/>
  <c r="N1810" i="5" s="1"/>
  <c r="L1811" i="5"/>
  <c r="N1811" i="5" s="1"/>
  <c r="L1812" i="5"/>
  <c r="N1812" i="5" s="1"/>
  <c r="L1813" i="5"/>
  <c r="N1813" i="5" s="1"/>
  <c r="L1814" i="5"/>
  <c r="N1814" i="5" s="1"/>
  <c r="L1815" i="5"/>
  <c r="N1815" i="5" s="1"/>
  <c r="L1816" i="5"/>
  <c r="N1816" i="5" s="1"/>
  <c r="L1817" i="5"/>
  <c r="N1817" i="5" s="1"/>
  <c r="L1818" i="5"/>
  <c r="N1818" i="5" s="1"/>
  <c r="L1819" i="5"/>
  <c r="N1819" i="5" s="1"/>
  <c r="L1820" i="5"/>
  <c r="N1820" i="5" s="1"/>
  <c r="L1821" i="5"/>
  <c r="N1821" i="5" s="1"/>
  <c r="L1822" i="5"/>
  <c r="N1822" i="5" s="1"/>
  <c r="L1823" i="5"/>
  <c r="N1823" i="5" s="1"/>
  <c r="L1824" i="5"/>
  <c r="N1824" i="5" s="1"/>
  <c r="L1825" i="5"/>
  <c r="N1825" i="5" s="1"/>
  <c r="L1826" i="5"/>
  <c r="N1826" i="5" s="1"/>
  <c r="L1827" i="5"/>
  <c r="N1827" i="5" s="1"/>
  <c r="L1828" i="5"/>
  <c r="N1828" i="5" s="1"/>
  <c r="L1829" i="5"/>
  <c r="N1829" i="5" s="1"/>
  <c r="L1830" i="5"/>
  <c r="N1830" i="5" s="1"/>
  <c r="L1831" i="5"/>
  <c r="N1831" i="5" s="1"/>
  <c r="L1832" i="5"/>
  <c r="N1832" i="5" s="1"/>
  <c r="L1833" i="5"/>
  <c r="N1833" i="5" s="1"/>
  <c r="L1834" i="5"/>
  <c r="N1834" i="5" s="1"/>
  <c r="L1835" i="5"/>
  <c r="N1835" i="5" s="1"/>
  <c r="L1836" i="5"/>
  <c r="N1836" i="5" s="1"/>
  <c r="L1837" i="5"/>
  <c r="N1837" i="5" s="1"/>
  <c r="L1838" i="5"/>
  <c r="N1838" i="5" s="1"/>
  <c r="L1839" i="5"/>
  <c r="N1839" i="5" s="1"/>
  <c r="L1840" i="5"/>
  <c r="N1840" i="5" s="1"/>
  <c r="L1841" i="5"/>
  <c r="N1841" i="5" s="1"/>
  <c r="L1842" i="5"/>
  <c r="N1842" i="5" s="1"/>
  <c r="L1843" i="5"/>
  <c r="N1843" i="5" s="1"/>
  <c r="L1844" i="5"/>
  <c r="N1844" i="5" s="1"/>
  <c r="L1845" i="5"/>
  <c r="N1845" i="5" s="1"/>
  <c r="L1846" i="5"/>
  <c r="N1846" i="5" s="1"/>
  <c r="L1847" i="5"/>
  <c r="N1847" i="5" s="1"/>
  <c r="L1848" i="5"/>
  <c r="N1848" i="5" s="1"/>
  <c r="L1849" i="5"/>
  <c r="N1849" i="5" s="1"/>
  <c r="L1850" i="5"/>
  <c r="N1850" i="5" s="1"/>
  <c r="L1851" i="5"/>
  <c r="N1851" i="5" s="1"/>
  <c r="L1852" i="5"/>
  <c r="N1852" i="5" s="1"/>
  <c r="L1853" i="5"/>
  <c r="N1853" i="5" s="1"/>
  <c r="L1854" i="5"/>
  <c r="N1854" i="5" s="1"/>
  <c r="L1855" i="5"/>
  <c r="N1855" i="5" s="1"/>
  <c r="L1856" i="5"/>
  <c r="N1856" i="5" s="1"/>
  <c r="L1857" i="5"/>
  <c r="N1857" i="5" s="1"/>
  <c r="L1858" i="5"/>
  <c r="N1858" i="5" s="1"/>
  <c r="L1859" i="5"/>
  <c r="N1859" i="5" s="1"/>
  <c r="L1860" i="5"/>
  <c r="N1860" i="5" s="1"/>
  <c r="L1861" i="5"/>
  <c r="N1861" i="5" s="1"/>
  <c r="L1862" i="5"/>
  <c r="N1862" i="5" s="1"/>
  <c r="L1863" i="5"/>
  <c r="N1863" i="5" s="1"/>
  <c r="L1864" i="5"/>
  <c r="N1864" i="5" s="1"/>
  <c r="L1865" i="5"/>
  <c r="N1865" i="5" s="1"/>
  <c r="L1866" i="5"/>
  <c r="N1866" i="5" s="1"/>
  <c r="L1867" i="5"/>
  <c r="N1867" i="5" s="1"/>
  <c r="L1868" i="5"/>
  <c r="N1868" i="5" s="1"/>
  <c r="L1869" i="5"/>
  <c r="N1869" i="5" s="1"/>
  <c r="L1870" i="5"/>
  <c r="N1870" i="5" s="1"/>
  <c r="L1871" i="5"/>
  <c r="N1871" i="5" s="1"/>
  <c r="L1872" i="5"/>
  <c r="N1872" i="5" s="1"/>
  <c r="L1873" i="5"/>
  <c r="N1873" i="5" s="1"/>
  <c r="L1874" i="5"/>
  <c r="N1874" i="5" s="1"/>
  <c r="L1875" i="5"/>
  <c r="N1875" i="5" s="1"/>
  <c r="L1876" i="5"/>
  <c r="N1876" i="5" s="1"/>
  <c r="L1877" i="5"/>
  <c r="N1877" i="5" s="1"/>
  <c r="L1878" i="5"/>
  <c r="N1878" i="5" s="1"/>
  <c r="L1879" i="5"/>
  <c r="N1879" i="5" s="1"/>
  <c r="L1880" i="5"/>
  <c r="N1880" i="5" s="1"/>
  <c r="L1881" i="5"/>
  <c r="N1881" i="5" s="1"/>
  <c r="L1882" i="5"/>
  <c r="N1882" i="5" s="1"/>
  <c r="L1883" i="5"/>
  <c r="N1883" i="5" s="1"/>
  <c r="L1884" i="5"/>
  <c r="N1884" i="5" s="1"/>
  <c r="L1885" i="5"/>
  <c r="N1885" i="5" s="1"/>
  <c r="L1886" i="5"/>
  <c r="N1886" i="5" s="1"/>
  <c r="L1887" i="5"/>
  <c r="N1887" i="5" s="1"/>
  <c r="L1888" i="5"/>
  <c r="N1888" i="5" s="1"/>
  <c r="L1889" i="5"/>
  <c r="N1889" i="5" s="1"/>
  <c r="L1890" i="5"/>
  <c r="N1890" i="5" s="1"/>
  <c r="L1891" i="5"/>
  <c r="N1891" i="5" s="1"/>
  <c r="L1892" i="5"/>
  <c r="N1892" i="5" s="1"/>
  <c r="L1893" i="5"/>
  <c r="N1893" i="5" s="1"/>
  <c r="L1894" i="5"/>
  <c r="N1894" i="5" s="1"/>
  <c r="L1895" i="5"/>
  <c r="N1895" i="5" s="1"/>
  <c r="L1896" i="5"/>
  <c r="N1896" i="5" s="1"/>
  <c r="L1897" i="5"/>
  <c r="N1897" i="5" s="1"/>
  <c r="L1898" i="5"/>
  <c r="N1898" i="5" s="1"/>
  <c r="L1899" i="5"/>
  <c r="N1899" i="5" s="1"/>
  <c r="L1900" i="5"/>
  <c r="N1900" i="5" s="1"/>
  <c r="L1901" i="5"/>
  <c r="N1901" i="5" s="1"/>
  <c r="L1902" i="5"/>
  <c r="N1902" i="5" s="1"/>
  <c r="L1903" i="5"/>
  <c r="N1903" i="5" s="1"/>
  <c r="L1904" i="5"/>
  <c r="N1904" i="5" s="1"/>
  <c r="L1905" i="5"/>
  <c r="N1905" i="5" s="1"/>
  <c r="L1906" i="5"/>
  <c r="N1906" i="5" s="1"/>
  <c r="L1907" i="5"/>
  <c r="N1907" i="5" s="1"/>
  <c r="L1908" i="5"/>
  <c r="N1908" i="5" s="1"/>
  <c r="L1909" i="5"/>
  <c r="N1909" i="5" s="1"/>
  <c r="L1910" i="5"/>
  <c r="N1910" i="5" s="1"/>
  <c r="L1911" i="5"/>
  <c r="N1911" i="5" s="1"/>
  <c r="L1912" i="5"/>
  <c r="N1912" i="5" s="1"/>
  <c r="L1913" i="5"/>
  <c r="N1913" i="5" s="1"/>
  <c r="L1914" i="5"/>
  <c r="N1914" i="5" s="1"/>
  <c r="L1915" i="5"/>
  <c r="N1915" i="5" s="1"/>
  <c r="L1916" i="5"/>
  <c r="N1916" i="5" s="1"/>
  <c r="L1917" i="5"/>
  <c r="N1917" i="5" s="1"/>
  <c r="L1918" i="5"/>
  <c r="N1918" i="5" s="1"/>
  <c r="L1919" i="5"/>
  <c r="N1919" i="5" s="1"/>
  <c r="L1920" i="5"/>
  <c r="N1920" i="5" s="1"/>
  <c r="L1921" i="5"/>
  <c r="N1921" i="5" s="1"/>
  <c r="L1922" i="5"/>
  <c r="N1922" i="5" s="1"/>
  <c r="L1923" i="5"/>
  <c r="N1923" i="5" s="1"/>
  <c r="L1924" i="5"/>
  <c r="N1924" i="5" s="1"/>
  <c r="L1925" i="5"/>
  <c r="N1925" i="5" s="1"/>
  <c r="L1926" i="5"/>
  <c r="N1926" i="5" s="1"/>
  <c r="L1927" i="5"/>
  <c r="N1927" i="5" s="1"/>
  <c r="L1928" i="5"/>
  <c r="N1928" i="5" s="1"/>
  <c r="L1929" i="5"/>
  <c r="N1929" i="5" s="1"/>
  <c r="L1930" i="5"/>
  <c r="N1930" i="5" s="1"/>
  <c r="L1931" i="5"/>
  <c r="N1931" i="5" s="1"/>
  <c r="L1932" i="5"/>
  <c r="N1932" i="5" s="1"/>
  <c r="L1933" i="5"/>
  <c r="N1933" i="5" s="1"/>
  <c r="L1934" i="5"/>
  <c r="N1934" i="5" s="1"/>
  <c r="L1935" i="5"/>
  <c r="N1935" i="5" s="1"/>
  <c r="L1936" i="5"/>
  <c r="N1936" i="5" s="1"/>
  <c r="L1937" i="5"/>
  <c r="N1937" i="5" s="1"/>
  <c r="L1938" i="5"/>
  <c r="N1938" i="5" s="1"/>
  <c r="L1939" i="5"/>
  <c r="N1939" i="5" s="1"/>
  <c r="L1940" i="5"/>
  <c r="N1940" i="5" s="1"/>
  <c r="L1941" i="5"/>
  <c r="N1941" i="5" s="1"/>
  <c r="L1942" i="5"/>
  <c r="N1942" i="5" s="1"/>
  <c r="L1943" i="5"/>
  <c r="N1943" i="5" s="1"/>
  <c r="L1944" i="5"/>
  <c r="N1944" i="5" s="1"/>
  <c r="L1945" i="5"/>
  <c r="N1945" i="5" s="1"/>
  <c r="L1946" i="5"/>
  <c r="N1946" i="5" s="1"/>
  <c r="L1947" i="5"/>
  <c r="N1947" i="5" s="1"/>
  <c r="L1948" i="5"/>
  <c r="N1948" i="5" s="1"/>
  <c r="L1949" i="5"/>
  <c r="N1949" i="5" s="1"/>
  <c r="L1950" i="5"/>
  <c r="N1950" i="5" s="1"/>
  <c r="L1951" i="5"/>
  <c r="N1951" i="5" s="1"/>
  <c r="L1952" i="5"/>
  <c r="N1952" i="5" s="1"/>
  <c r="L1953" i="5"/>
  <c r="N1953" i="5" s="1"/>
  <c r="L1954" i="5"/>
  <c r="N1954" i="5" s="1"/>
  <c r="L1955" i="5"/>
  <c r="N1955" i="5" s="1"/>
  <c r="L1956" i="5"/>
  <c r="N1956" i="5" s="1"/>
  <c r="L1957" i="5"/>
  <c r="N1957" i="5" s="1"/>
  <c r="L1958" i="5"/>
  <c r="N1958" i="5" s="1"/>
  <c r="L1959" i="5"/>
  <c r="N1959" i="5" s="1"/>
  <c r="L1960" i="5"/>
  <c r="N1960" i="5" s="1"/>
  <c r="L1961" i="5"/>
  <c r="N1961" i="5" s="1"/>
  <c r="L1962" i="5"/>
  <c r="N1962" i="5" s="1"/>
  <c r="L1963" i="5"/>
  <c r="N1963" i="5" s="1"/>
  <c r="L1964" i="5"/>
  <c r="N1964" i="5" s="1"/>
  <c r="L1965" i="5"/>
  <c r="N1965" i="5" s="1"/>
  <c r="L1966" i="5"/>
  <c r="N1966" i="5" s="1"/>
  <c r="L1967" i="5"/>
  <c r="N1967" i="5" s="1"/>
  <c r="L1968" i="5"/>
  <c r="N1968" i="5" s="1"/>
  <c r="L1969" i="5"/>
  <c r="N1969" i="5" s="1"/>
  <c r="L1970" i="5"/>
  <c r="N1970" i="5" s="1"/>
  <c r="L1971" i="5"/>
  <c r="N1971" i="5" s="1"/>
  <c r="L1972" i="5"/>
  <c r="N1972" i="5" s="1"/>
  <c r="L1973" i="5"/>
  <c r="N1973" i="5" s="1"/>
  <c r="L1974" i="5"/>
  <c r="N1974" i="5" s="1"/>
  <c r="L1975" i="5"/>
  <c r="N1975" i="5" s="1"/>
  <c r="L1976" i="5"/>
  <c r="N1976" i="5" s="1"/>
  <c r="L1977" i="5"/>
  <c r="N1977" i="5" s="1"/>
  <c r="L1978" i="5"/>
  <c r="N1978" i="5" s="1"/>
  <c r="L1979" i="5"/>
  <c r="N1979" i="5" s="1"/>
  <c r="L1980" i="5"/>
  <c r="N1980" i="5" s="1"/>
  <c r="L1981" i="5"/>
  <c r="N1981" i="5" s="1"/>
  <c r="L1982" i="5"/>
  <c r="N1982" i="5" s="1"/>
  <c r="L1983" i="5"/>
  <c r="N1983" i="5" s="1"/>
  <c r="L1984" i="5"/>
  <c r="N1984" i="5" s="1"/>
  <c r="L1985" i="5"/>
  <c r="N1985" i="5" s="1"/>
  <c r="L1986" i="5"/>
  <c r="N1986" i="5" s="1"/>
  <c r="L1987" i="5"/>
  <c r="N1987" i="5" s="1"/>
  <c r="L1988" i="5"/>
  <c r="N1988" i="5" s="1"/>
  <c r="L1989" i="5"/>
  <c r="N1989" i="5" s="1"/>
  <c r="L1990" i="5"/>
  <c r="N1990" i="5" s="1"/>
  <c r="L1991" i="5"/>
  <c r="N1991" i="5" s="1"/>
  <c r="L1992" i="5"/>
  <c r="N1992" i="5" s="1"/>
  <c r="L1993" i="5"/>
  <c r="N1993" i="5" s="1"/>
  <c r="L1994" i="5"/>
  <c r="N1994" i="5" s="1"/>
  <c r="L1995" i="5"/>
  <c r="N1995" i="5" s="1"/>
  <c r="L1996" i="5"/>
  <c r="N1996" i="5" s="1"/>
  <c r="L1997" i="5"/>
  <c r="N1997" i="5" s="1"/>
  <c r="L1998" i="5"/>
  <c r="N1998" i="5" s="1"/>
  <c r="L1999" i="5"/>
  <c r="N1999" i="5" s="1"/>
  <c r="L2000" i="5"/>
  <c r="N2000" i="5" s="1"/>
  <c r="L2001" i="5"/>
  <c r="N2001" i="5" s="1"/>
  <c r="L2002" i="5"/>
  <c r="N2002" i="5" s="1"/>
  <c r="L2003" i="5"/>
  <c r="N2003" i="5" s="1"/>
  <c r="L2004" i="5"/>
  <c r="N2004" i="5" s="1"/>
  <c r="L2005" i="5"/>
  <c r="N2005" i="5" s="1"/>
  <c r="L2006" i="5"/>
  <c r="N2006" i="5" s="1"/>
  <c r="L2007" i="5"/>
  <c r="N2007" i="5" s="1"/>
  <c r="L2008" i="5"/>
  <c r="N2008" i="5" s="1"/>
  <c r="L2009" i="5"/>
  <c r="N2009" i="5" s="1"/>
  <c r="L2010" i="5"/>
  <c r="N2010" i="5" s="1"/>
  <c r="L2011" i="5"/>
  <c r="N2011" i="5" s="1"/>
  <c r="L2012" i="5"/>
  <c r="N2012" i="5" s="1"/>
  <c r="L2013" i="5"/>
  <c r="N2013" i="5" s="1"/>
  <c r="L2014" i="5"/>
  <c r="N2014" i="5" s="1"/>
  <c r="L2015" i="5"/>
  <c r="N2015" i="5" s="1"/>
  <c r="L2016" i="5"/>
  <c r="N2016" i="5" s="1"/>
  <c r="L2017" i="5"/>
  <c r="N2017" i="5" s="1"/>
  <c r="L2018" i="5"/>
  <c r="N2018" i="5" s="1"/>
  <c r="L2019" i="5"/>
  <c r="N2019" i="5" s="1"/>
  <c r="L2020" i="5"/>
  <c r="N2020" i="5" s="1"/>
  <c r="L2021" i="5"/>
  <c r="N2021" i="5" s="1"/>
  <c r="L2022" i="5"/>
  <c r="N2022" i="5" s="1"/>
  <c r="L2023" i="5"/>
  <c r="N2023" i="5" s="1"/>
  <c r="L2024" i="5"/>
  <c r="N2024" i="5" s="1"/>
  <c r="L2025" i="5"/>
  <c r="N2025" i="5" s="1"/>
  <c r="L2026" i="5"/>
  <c r="N2026" i="5" s="1"/>
  <c r="L2027" i="5"/>
  <c r="N2027" i="5" s="1"/>
  <c r="L2028" i="5"/>
  <c r="N2028" i="5" s="1"/>
  <c r="L2029" i="5"/>
  <c r="N2029" i="5" s="1"/>
  <c r="L2030" i="5"/>
  <c r="N2030" i="5" s="1"/>
  <c r="L2031" i="5"/>
  <c r="N2031" i="5" s="1"/>
  <c r="L2032" i="5"/>
  <c r="N2032" i="5" s="1"/>
  <c r="L2033" i="5"/>
  <c r="N2033" i="5" s="1"/>
  <c r="L2034" i="5"/>
  <c r="N2034" i="5" s="1"/>
  <c r="L2035" i="5"/>
  <c r="N2035" i="5" s="1"/>
  <c r="L2036" i="5"/>
  <c r="N2036" i="5" s="1"/>
  <c r="L2037" i="5"/>
  <c r="N2037" i="5" s="1"/>
  <c r="L2038" i="5"/>
  <c r="N2038" i="5" s="1"/>
  <c r="L2039" i="5"/>
  <c r="N2039" i="5" s="1"/>
  <c r="L2040" i="5"/>
  <c r="N2040" i="5" s="1"/>
  <c r="L2041" i="5"/>
  <c r="N2041" i="5" s="1"/>
  <c r="L2042" i="5"/>
  <c r="N2042" i="5" s="1"/>
  <c r="L2043" i="5"/>
  <c r="N2043" i="5" s="1"/>
  <c r="L2044" i="5"/>
  <c r="N2044" i="5" s="1"/>
  <c r="L2045" i="5"/>
  <c r="N2045" i="5" s="1"/>
  <c r="L2046" i="5"/>
  <c r="N2046" i="5" s="1"/>
  <c r="L2047" i="5"/>
  <c r="N2047" i="5" s="1"/>
  <c r="L2048" i="5"/>
  <c r="N2048" i="5" s="1"/>
  <c r="L2049" i="5"/>
  <c r="N2049" i="5" s="1"/>
  <c r="L2050" i="5"/>
  <c r="N2050" i="5" s="1"/>
  <c r="L2051" i="5"/>
  <c r="N2051" i="5" s="1"/>
  <c r="L2052" i="5"/>
  <c r="N2052" i="5" s="1"/>
  <c r="L2053" i="5"/>
  <c r="N2053" i="5" s="1"/>
  <c r="L2054" i="5"/>
  <c r="N2054" i="5" s="1"/>
  <c r="L2055" i="5"/>
  <c r="N2055" i="5" s="1"/>
  <c r="L2056" i="5"/>
  <c r="N2056" i="5" s="1"/>
  <c r="L2057" i="5"/>
  <c r="N2057" i="5" s="1"/>
  <c r="L2058" i="5"/>
  <c r="N2058" i="5" s="1"/>
  <c r="L2059" i="5"/>
  <c r="N2059" i="5" s="1"/>
  <c r="L2060" i="5"/>
  <c r="N2060" i="5" s="1"/>
  <c r="L2061" i="5"/>
  <c r="N2061" i="5" s="1"/>
  <c r="L2062" i="5"/>
  <c r="N2062" i="5" s="1"/>
  <c r="L2063" i="5"/>
  <c r="N2063" i="5" s="1"/>
  <c r="L2064" i="5"/>
  <c r="N2064" i="5" s="1"/>
  <c r="L2065" i="5"/>
  <c r="N2065" i="5" s="1"/>
  <c r="L2066" i="5"/>
  <c r="N2066" i="5" s="1"/>
  <c r="L2067" i="5"/>
  <c r="N2067" i="5" s="1"/>
  <c r="L2068" i="5"/>
  <c r="N2068" i="5" s="1"/>
  <c r="L2069" i="5"/>
  <c r="N2069" i="5" s="1"/>
  <c r="L2070" i="5"/>
  <c r="N2070" i="5" s="1"/>
  <c r="L2071" i="5"/>
  <c r="N2071" i="5" s="1"/>
  <c r="L2072" i="5"/>
  <c r="N2072" i="5" s="1"/>
  <c r="L2073" i="5"/>
  <c r="N2073" i="5" s="1"/>
  <c r="L2074" i="5"/>
  <c r="N2074" i="5" s="1"/>
  <c r="L2075" i="5"/>
  <c r="N2075" i="5" s="1"/>
  <c r="L2076" i="5"/>
  <c r="N2076" i="5" s="1"/>
  <c r="L2077" i="5"/>
  <c r="N2077" i="5" s="1"/>
  <c r="L2078" i="5"/>
  <c r="N2078" i="5" s="1"/>
  <c r="L2079" i="5"/>
  <c r="N2079" i="5" s="1"/>
  <c r="L2080" i="5"/>
  <c r="N2080" i="5" s="1"/>
  <c r="L2081" i="5"/>
  <c r="N2081" i="5" s="1"/>
  <c r="L2082" i="5"/>
  <c r="N2082" i="5" s="1"/>
  <c r="L2083" i="5"/>
  <c r="N2083" i="5" s="1"/>
  <c r="L2084" i="5"/>
  <c r="N2084" i="5" s="1"/>
  <c r="L2085" i="5"/>
  <c r="N2085" i="5" s="1"/>
  <c r="L2086" i="5"/>
  <c r="N2086" i="5" s="1"/>
  <c r="L2087" i="5"/>
  <c r="N2087" i="5" s="1"/>
  <c r="L2088" i="5"/>
  <c r="N2088" i="5" s="1"/>
  <c r="L2089" i="5"/>
  <c r="N2089" i="5" s="1"/>
  <c r="L2090" i="5"/>
  <c r="N2090" i="5" s="1"/>
  <c r="L2091" i="5"/>
  <c r="N2091" i="5" s="1"/>
  <c r="L2092" i="5"/>
  <c r="N2092" i="5" s="1"/>
  <c r="L2093" i="5"/>
  <c r="N2093" i="5" s="1"/>
  <c r="L2094" i="5"/>
  <c r="N2094" i="5" s="1"/>
  <c r="L2095" i="5"/>
  <c r="N2095" i="5" s="1"/>
  <c r="L2096" i="5"/>
  <c r="N2096" i="5" s="1"/>
  <c r="L2097" i="5"/>
  <c r="N2097" i="5" s="1"/>
  <c r="L2098" i="5"/>
  <c r="N2098" i="5" s="1"/>
  <c r="L2099" i="5"/>
  <c r="N2099" i="5" s="1"/>
  <c r="L2100" i="5"/>
  <c r="N2100" i="5" s="1"/>
  <c r="L2101" i="5"/>
  <c r="N2101" i="5" s="1"/>
  <c r="L2102" i="5"/>
  <c r="N2102" i="5" s="1"/>
  <c r="L2103" i="5"/>
  <c r="N2103" i="5" s="1"/>
  <c r="L2104" i="5"/>
  <c r="N2104" i="5" s="1"/>
  <c r="L2105" i="5"/>
  <c r="N2105" i="5" s="1"/>
  <c r="L2106" i="5"/>
  <c r="N2106" i="5" s="1"/>
  <c r="L2107" i="5"/>
  <c r="N2107" i="5" s="1"/>
  <c r="L2108" i="5"/>
  <c r="N2108" i="5" s="1"/>
  <c r="L2109" i="5"/>
  <c r="N2109" i="5" s="1"/>
  <c r="L2110" i="5"/>
  <c r="N2110" i="5" s="1"/>
  <c r="L2111" i="5"/>
  <c r="N2111" i="5" s="1"/>
  <c r="L2112" i="5"/>
  <c r="N2112" i="5" s="1"/>
  <c r="L2113" i="5"/>
  <c r="N2113" i="5" s="1"/>
  <c r="L2114" i="5"/>
  <c r="N2114" i="5" s="1"/>
  <c r="L2115" i="5"/>
  <c r="N2115" i="5" s="1"/>
  <c r="L2116" i="5"/>
  <c r="N2116" i="5" s="1"/>
  <c r="L2117" i="5"/>
  <c r="N2117" i="5" s="1"/>
  <c r="L2118" i="5"/>
  <c r="N2118" i="5" s="1"/>
  <c r="L2119" i="5"/>
  <c r="N2119" i="5" s="1"/>
  <c r="L2120" i="5"/>
  <c r="N2120" i="5" s="1"/>
  <c r="L2121" i="5"/>
  <c r="N2121" i="5" s="1"/>
  <c r="L2122" i="5"/>
  <c r="N2122" i="5" s="1"/>
  <c r="L2123" i="5"/>
  <c r="N2123" i="5" s="1"/>
  <c r="L2124" i="5"/>
  <c r="N2124" i="5" s="1"/>
  <c r="L2125" i="5"/>
  <c r="N2125" i="5" s="1"/>
  <c r="L2126" i="5"/>
  <c r="N2126" i="5" s="1"/>
  <c r="L2127" i="5"/>
  <c r="N2127" i="5" s="1"/>
  <c r="L2128" i="5"/>
  <c r="N2128" i="5" s="1"/>
  <c r="L2129" i="5"/>
  <c r="N2129" i="5" s="1"/>
  <c r="L2130" i="5"/>
  <c r="N2130" i="5" s="1"/>
  <c r="L2131" i="5"/>
  <c r="N2131" i="5" s="1"/>
  <c r="L2132" i="5"/>
  <c r="N2132" i="5" s="1"/>
  <c r="L2133" i="5"/>
  <c r="N2133" i="5" s="1"/>
  <c r="L2134" i="5"/>
  <c r="N2134" i="5" s="1"/>
  <c r="L2135" i="5"/>
  <c r="N2135" i="5" s="1"/>
  <c r="L2136" i="5"/>
  <c r="N2136" i="5" s="1"/>
  <c r="L2137" i="5"/>
  <c r="N2137" i="5" s="1"/>
  <c r="L2138" i="5"/>
  <c r="N2138" i="5" s="1"/>
  <c r="L2139" i="5"/>
  <c r="N2139" i="5" s="1"/>
  <c r="L2140" i="5"/>
  <c r="N2140" i="5" s="1"/>
  <c r="L2141" i="5"/>
  <c r="N2141" i="5" s="1"/>
  <c r="L2142" i="5"/>
  <c r="N2142" i="5" s="1"/>
  <c r="L2143" i="5"/>
  <c r="N2143" i="5" s="1"/>
  <c r="L2144" i="5"/>
  <c r="N2144" i="5" s="1"/>
  <c r="L2145" i="5"/>
  <c r="N2145" i="5" s="1"/>
  <c r="L2146" i="5"/>
  <c r="N2146" i="5" s="1"/>
  <c r="L2147" i="5"/>
  <c r="N2147" i="5" s="1"/>
  <c r="L2148" i="5"/>
  <c r="N2148" i="5" s="1"/>
  <c r="L2149" i="5"/>
  <c r="N2149" i="5" s="1"/>
  <c r="L2150" i="5"/>
  <c r="N2150" i="5" s="1"/>
  <c r="L2151" i="5"/>
  <c r="N2151" i="5" s="1"/>
  <c r="L2152" i="5"/>
  <c r="N2152" i="5" s="1"/>
  <c r="L2153" i="5"/>
  <c r="N2153" i="5" s="1"/>
  <c r="L2154" i="5"/>
  <c r="N2154" i="5" s="1"/>
  <c r="L2155" i="5"/>
  <c r="N2155" i="5" s="1"/>
  <c r="L2156" i="5"/>
  <c r="N2156" i="5" s="1"/>
  <c r="L2157" i="5"/>
  <c r="N2157" i="5" s="1"/>
  <c r="L2158" i="5"/>
  <c r="N2158" i="5" s="1"/>
  <c r="L2159" i="5"/>
  <c r="N2159" i="5" s="1"/>
  <c r="L2160" i="5"/>
  <c r="N2160" i="5" s="1"/>
  <c r="L2161" i="5"/>
  <c r="N2161" i="5" s="1"/>
  <c r="L2162" i="5"/>
  <c r="N2162" i="5" s="1"/>
  <c r="L2163" i="5"/>
  <c r="N2163" i="5" s="1"/>
  <c r="L2164" i="5"/>
  <c r="N2164" i="5" s="1"/>
  <c r="L2165" i="5"/>
  <c r="N2165" i="5" s="1"/>
  <c r="L2166" i="5"/>
  <c r="N2166" i="5" s="1"/>
  <c r="L2167" i="5"/>
  <c r="N2167" i="5" s="1"/>
  <c r="L2168" i="5"/>
  <c r="N2168" i="5" s="1"/>
  <c r="L2169" i="5"/>
  <c r="N2169" i="5" s="1"/>
  <c r="L2170" i="5"/>
  <c r="N2170" i="5" s="1"/>
  <c r="L2171" i="5"/>
  <c r="N2171" i="5" s="1"/>
  <c r="L2172" i="5"/>
  <c r="N2172" i="5" s="1"/>
  <c r="L2173" i="5"/>
  <c r="N2173" i="5" s="1"/>
  <c r="L2174" i="5"/>
  <c r="N2174" i="5" s="1"/>
  <c r="L2175" i="5"/>
  <c r="N2175" i="5" s="1"/>
  <c r="L2176" i="5"/>
  <c r="N2176" i="5" s="1"/>
  <c r="L2177" i="5"/>
  <c r="N2177" i="5" s="1"/>
  <c r="L2178" i="5"/>
  <c r="N2178" i="5" s="1"/>
  <c r="L2179" i="5"/>
  <c r="N2179" i="5" s="1"/>
  <c r="L2180" i="5"/>
  <c r="N2180" i="5" s="1"/>
  <c r="L2181" i="5"/>
  <c r="N2181" i="5" s="1"/>
  <c r="L2182" i="5"/>
  <c r="N2182" i="5" s="1"/>
  <c r="L2183" i="5"/>
  <c r="N2183" i="5" s="1"/>
  <c r="L2184" i="5"/>
  <c r="N2184" i="5" s="1"/>
  <c r="L2185" i="5"/>
  <c r="N2185" i="5" s="1"/>
  <c r="L2186" i="5"/>
  <c r="N2186" i="5" s="1"/>
  <c r="L2187" i="5"/>
  <c r="N2187" i="5" s="1"/>
  <c r="L2188" i="5"/>
  <c r="N2188" i="5" s="1"/>
  <c r="L2189" i="5"/>
  <c r="N2189" i="5" s="1"/>
  <c r="L2190" i="5"/>
  <c r="N2190" i="5" s="1"/>
  <c r="L2191" i="5"/>
  <c r="N2191" i="5" s="1"/>
  <c r="L2192" i="5"/>
  <c r="N2192" i="5" s="1"/>
  <c r="L2193" i="5"/>
  <c r="N2193" i="5" s="1"/>
  <c r="L2194" i="5"/>
  <c r="N2194" i="5" s="1"/>
  <c r="L2195" i="5"/>
  <c r="N2195" i="5" s="1"/>
  <c r="L2196" i="5"/>
  <c r="N2196" i="5" s="1"/>
  <c r="L2197" i="5"/>
  <c r="N2197" i="5" s="1"/>
  <c r="L2198" i="5"/>
  <c r="N2198" i="5" s="1"/>
  <c r="L2199" i="5"/>
  <c r="N2199" i="5" s="1"/>
  <c r="L2200" i="5"/>
  <c r="N2200" i="5" s="1"/>
  <c r="L2201" i="5"/>
  <c r="N2201" i="5" s="1"/>
  <c r="L2202" i="5"/>
  <c r="N2202" i="5" s="1"/>
  <c r="L2203" i="5"/>
  <c r="N2203" i="5" s="1"/>
  <c r="L2204" i="5"/>
  <c r="N2204" i="5" s="1"/>
  <c r="L2205" i="5"/>
  <c r="N2205" i="5" s="1"/>
  <c r="L2206" i="5"/>
  <c r="N2206" i="5" s="1"/>
  <c r="L2207" i="5"/>
  <c r="N2207" i="5" s="1"/>
  <c r="L2208" i="5"/>
  <c r="N2208" i="5" s="1"/>
  <c r="L2209" i="5"/>
  <c r="N2209" i="5" s="1"/>
  <c r="L2210" i="5"/>
  <c r="N2210" i="5" s="1"/>
  <c r="L2211" i="5"/>
  <c r="N2211" i="5" s="1"/>
  <c r="L2212" i="5"/>
  <c r="N2212" i="5" s="1"/>
  <c r="L2213" i="5"/>
  <c r="N2213" i="5" s="1"/>
  <c r="L2214" i="5"/>
  <c r="N2214" i="5" s="1"/>
  <c r="L2215" i="5"/>
  <c r="N2215" i="5" s="1"/>
  <c r="L2216" i="5"/>
  <c r="N2216" i="5" s="1"/>
  <c r="L2217" i="5"/>
  <c r="N2217" i="5" s="1"/>
  <c r="L2218" i="5"/>
  <c r="N2218" i="5" s="1"/>
  <c r="L2219" i="5"/>
  <c r="N2219" i="5" s="1"/>
  <c r="L2220" i="5"/>
  <c r="N2220" i="5" s="1"/>
  <c r="L2221" i="5"/>
  <c r="N2221" i="5" s="1"/>
  <c r="L2222" i="5"/>
  <c r="N2222" i="5" s="1"/>
  <c r="L2223" i="5"/>
  <c r="N2223" i="5" s="1"/>
  <c r="L2224" i="5"/>
  <c r="N2224" i="5" s="1"/>
  <c r="L2225" i="5"/>
  <c r="N2225" i="5" s="1"/>
  <c r="L2226" i="5"/>
  <c r="N2226" i="5" s="1"/>
  <c r="L2227" i="5"/>
  <c r="N2227" i="5" s="1"/>
  <c r="L2228" i="5"/>
  <c r="N2228" i="5" s="1"/>
  <c r="L2229" i="5"/>
  <c r="N2229" i="5" s="1"/>
  <c r="L2230" i="5"/>
  <c r="N2230" i="5" s="1"/>
  <c r="L2231" i="5"/>
  <c r="N2231" i="5" s="1"/>
  <c r="L2232" i="5"/>
  <c r="N2232" i="5" s="1"/>
  <c r="L2233" i="5"/>
  <c r="N2233" i="5" s="1"/>
  <c r="L2234" i="5"/>
  <c r="N2234" i="5" s="1"/>
  <c r="L2235" i="5"/>
  <c r="N2235" i="5" s="1"/>
  <c r="L2236" i="5"/>
  <c r="N2236" i="5" s="1"/>
  <c r="L2237" i="5"/>
  <c r="N2237" i="5" s="1"/>
  <c r="L2238" i="5"/>
  <c r="N2238" i="5" s="1"/>
  <c r="L2239" i="5"/>
  <c r="N2239" i="5" s="1"/>
  <c r="L2240" i="5"/>
  <c r="N2240" i="5" s="1"/>
  <c r="L2241" i="5"/>
  <c r="N2241" i="5" s="1"/>
  <c r="L2242" i="5"/>
  <c r="N2242" i="5" s="1"/>
  <c r="L2243" i="5"/>
  <c r="N2243" i="5" s="1"/>
  <c r="L2244" i="5"/>
  <c r="N2244" i="5" s="1"/>
  <c r="L2245" i="5"/>
  <c r="N2245" i="5" s="1"/>
  <c r="L2246" i="5"/>
  <c r="N2246" i="5" s="1"/>
  <c r="L2247" i="5"/>
  <c r="N2247" i="5" s="1"/>
  <c r="L2248" i="5"/>
  <c r="N2248" i="5" s="1"/>
  <c r="L2249" i="5"/>
  <c r="N2249" i="5" s="1"/>
  <c r="L2250" i="5"/>
  <c r="N2250" i="5" s="1"/>
  <c r="L2251" i="5"/>
  <c r="N2251" i="5" s="1"/>
  <c r="L2252" i="5"/>
  <c r="N2252" i="5" s="1"/>
  <c r="L2253" i="5"/>
  <c r="N2253" i="5" s="1"/>
  <c r="L2254" i="5"/>
  <c r="N2254" i="5" s="1"/>
  <c r="L2255" i="5"/>
  <c r="N2255" i="5" s="1"/>
  <c r="L2256" i="5"/>
  <c r="N2256" i="5" s="1"/>
  <c r="L2257" i="5"/>
  <c r="N2257" i="5" s="1"/>
  <c r="L2258" i="5"/>
  <c r="N2258" i="5" s="1"/>
  <c r="L2259" i="5"/>
  <c r="N2259" i="5" s="1"/>
  <c r="L2260" i="5"/>
  <c r="N2260" i="5" s="1"/>
  <c r="L2261" i="5"/>
  <c r="N2261" i="5" s="1"/>
  <c r="L2262" i="5"/>
  <c r="N2262" i="5" s="1"/>
  <c r="L2263" i="5"/>
  <c r="N2263" i="5" s="1"/>
  <c r="L2264" i="5"/>
  <c r="N2264" i="5" s="1"/>
  <c r="L2265" i="5"/>
  <c r="N2265" i="5" s="1"/>
  <c r="L2266" i="5"/>
  <c r="N2266" i="5" s="1"/>
  <c r="L2267" i="5"/>
  <c r="N2267" i="5" s="1"/>
  <c r="L2268" i="5"/>
  <c r="N2268" i="5" s="1"/>
  <c r="L2269" i="5"/>
  <c r="N2269" i="5" s="1"/>
  <c r="L2270" i="5"/>
  <c r="N2270" i="5" s="1"/>
  <c r="L2271" i="5"/>
  <c r="N2271" i="5" s="1"/>
  <c r="L2272" i="5"/>
  <c r="N2272" i="5" s="1"/>
  <c r="L2273" i="5"/>
  <c r="N2273" i="5" s="1"/>
  <c r="L2274" i="5"/>
  <c r="N2274" i="5" s="1"/>
  <c r="L2275" i="5"/>
  <c r="N2275" i="5" s="1"/>
  <c r="L2276" i="5"/>
  <c r="N2276" i="5" s="1"/>
  <c r="L2277" i="5"/>
  <c r="N2277" i="5" s="1"/>
  <c r="L2278" i="5"/>
  <c r="N2278" i="5" s="1"/>
  <c r="L2279" i="5"/>
  <c r="N2279" i="5" s="1"/>
  <c r="L2280" i="5"/>
  <c r="N2280" i="5" s="1"/>
  <c r="L2281" i="5"/>
  <c r="N2281" i="5" s="1"/>
  <c r="L2282" i="5"/>
  <c r="N2282" i="5" s="1"/>
  <c r="L2283" i="5"/>
  <c r="N2283" i="5" s="1"/>
  <c r="L2284" i="5"/>
  <c r="N2284" i="5" s="1"/>
  <c r="L2285" i="5"/>
  <c r="N2285" i="5" s="1"/>
  <c r="L2286" i="5"/>
  <c r="N2286" i="5" s="1"/>
  <c r="L2287" i="5"/>
  <c r="N2287" i="5" s="1"/>
  <c r="L2288" i="5"/>
  <c r="N2288" i="5" s="1"/>
  <c r="L2289" i="5"/>
  <c r="N2289" i="5" s="1"/>
  <c r="L2290" i="5"/>
  <c r="N2290" i="5" s="1"/>
  <c r="L2291" i="5"/>
  <c r="N2291" i="5" s="1"/>
  <c r="L2292" i="5"/>
  <c r="N2292" i="5" s="1"/>
  <c r="L2293" i="5"/>
  <c r="N2293" i="5" s="1"/>
  <c r="L2294" i="5"/>
  <c r="N2294" i="5" s="1"/>
  <c r="L2295" i="5"/>
  <c r="N2295" i="5" s="1"/>
  <c r="L2296" i="5"/>
  <c r="N2296" i="5" s="1"/>
  <c r="L2297" i="5"/>
  <c r="N2297" i="5" s="1"/>
  <c r="L2298" i="5"/>
  <c r="N2298" i="5" s="1"/>
  <c r="L2299" i="5"/>
  <c r="N2299" i="5" s="1"/>
  <c r="L2300" i="5"/>
  <c r="N2300" i="5" s="1"/>
  <c r="L2301" i="5"/>
  <c r="N2301" i="5" s="1"/>
  <c r="L2302" i="5"/>
  <c r="N2302" i="5" s="1"/>
  <c r="L2303" i="5"/>
  <c r="N2303" i="5" s="1"/>
  <c r="L2304" i="5"/>
  <c r="N2304" i="5" s="1"/>
  <c r="L2305" i="5"/>
  <c r="N2305" i="5" s="1"/>
  <c r="L2306" i="5"/>
  <c r="N2306" i="5" s="1"/>
  <c r="L2307" i="5"/>
  <c r="N2307" i="5" s="1"/>
  <c r="L2308" i="5"/>
  <c r="N2308" i="5" s="1"/>
  <c r="L2309" i="5"/>
  <c r="N2309" i="5" s="1"/>
  <c r="L2310" i="5"/>
  <c r="N2310" i="5" s="1"/>
  <c r="L2311" i="5"/>
  <c r="N2311" i="5" s="1"/>
  <c r="L2312" i="5"/>
  <c r="N2312" i="5" s="1"/>
  <c r="L2313" i="5"/>
  <c r="N2313" i="5" s="1"/>
  <c r="L2314" i="5"/>
  <c r="N2314" i="5" s="1"/>
  <c r="L2315" i="5"/>
  <c r="N2315" i="5" s="1"/>
  <c r="L2316" i="5"/>
  <c r="N2316" i="5" s="1"/>
  <c r="L2317" i="5"/>
  <c r="N2317" i="5" s="1"/>
  <c r="L2318" i="5"/>
  <c r="N2318" i="5" s="1"/>
  <c r="L2319" i="5"/>
  <c r="N2319" i="5" s="1"/>
  <c r="L2320" i="5"/>
  <c r="N2320" i="5" s="1"/>
  <c r="L2321" i="5"/>
  <c r="N2321" i="5" s="1"/>
  <c r="L2322" i="5"/>
  <c r="N2322" i="5" s="1"/>
  <c r="L2323" i="5"/>
  <c r="N2323" i="5" s="1"/>
  <c r="L2324" i="5"/>
  <c r="N2324" i="5" s="1"/>
  <c r="L2325" i="5"/>
  <c r="N2325" i="5" s="1"/>
  <c r="L2326" i="5"/>
  <c r="N2326" i="5" s="1"/>
  <c r="L2327" i="5"/>
  <c r="N2327" i="5" s="1"/>
  <c r="L2328" i="5"/>
  <c r="N2328" i="5" s="1"/>
  <c r="L2329" i="5"/>
  <c r="N2329" i="5" s="1"/>
  <c r="L2330" i="5"/>
  <c r="N2330" i="5" s="1"/>
  <c r="L2331" i="5"/>
  <c r="N2331" i="5" s="1"/>
  <c r="L2332" i="5"/>
  <c r="N2332" i="5" s="1"/>
  <c r="L2333" i="5"/>
  <c r="N2333" i="5" s="1"/>
  <c r="L2334" i="5"/>
  <c r="N2334" i="5" s="1"/>
  <c r="L2335" i="5"/>
  <c r="N2335" i="5" s="1"/>
  <c r="L2336" i="5"/>
  <c r="N2336" i="5" s="1"/>
  <c r="L2337" i="5"/>
  <c r="N2337" i="5" s="1"/>
  <c r="L2338" i="5"/>
  <c r="N2338" i="5" s="1"/>
  <c r="L2339" i="5"/>
  <c r="N2339" i="5" s="1"/>
  <c r="L2340" i="5"/>
  <c r="N2340" i="5" s="1"/>
  <c r="L2341" i="5"/>
  <c r="N2341" i="5" s="1"/>
  <c r="L2342" i="5"/>
  <c r="N2342" i="5" s="1"/>
  <c r="L2343" i="5"/>
  <c r="N2343" i="5" s="1"/>
  <c r="L2344" i="5"/>
  <c r="N2344" i="5" s="1"/>
  <c r="L2345" i="5"/>
  <c r="N2345" i="5" s="1"/>
  <c r="L2346" i="5"/>
  <c r="N2346" i="5" s="1"/>
  <c r="L2347" i="5"/>
  <c r="N2347" i="5" s="1"/>
  <c r="L2348" i="5"/>
  <c r="N2348" i="5" s="1"/>
  <c r="L2349" i="5"/>
  <c r="N2349" i="5" s="1"/>
  <c r="L2350" i="5"/>
  <c r="N2350" i="5" s="1"/>
  <c r="L2351" i="5"/>
  <c r="N2351" i="5" s="1"/>
  <c r="L2352" i="5"/>
  <c r="N2352" i="5" s="1"/>
  <c r="L2353" i="5"/>
  <c r="N2353" i="5" s="1"/>
  <c r="L2354" i="5"/>
  <c r="N2354" i="5" s="1"/>
  <c r="L2355" i="5"/>
  <c r="N2355" i="5" s="1"/>
  <c r="L2356" i="5"/>
  <c r="N2356" i="5" s="1"/>
  <c r="L2357" i="5"/>
  <c r="N2357" i="5" s="1"/>
  <c r="L2358" i="5"/>
  <c r="N2358" i="5" s="1"/>
  <c r="L2359" i="5"/>
  <c r="N2359" i="5" s="1"/>
  <c r="L2360" i="5"/>
  <c r="N2360" i="5" s="1"/>
  <c r="L2361" i="5"/>
  <c r="N2361" i="5" s="1"/>
  <c r="L2362" i="5"/>
  <c r="N2362" i="5" s="1"/>
  <c r="L2363" i="5"/>
  <c r="N2363" i="5" s="1"/>
  <c r="L2364" i="5"/>
  <c r="N2364" i="5" s="1"/>
  <c r="L2365" i="5"/>
  <c r="N2365" i="5" s="1"/>
  <c r="L2366" i="5"/>
  <c r="N2366" i="5" s="1"/>
  <c r="L2367" i="5"/>
  <c r="N2367" i="5" s="1"/>
  <c r="L2368" i="5"/>
  <c r="N2368" i="5" s="1"/>
  <c r="L2369" i="5"/>
  <c r="N2369" i="5" s="1"/>
  <c r="L2370" i="5"/>
  <c r="N2370" i="5" s="1"/>
  <c r="L2371" i="5"/>
  <c r="N2371" i="5" s="1"/>
  <c r="L2372" i="5"/>
  <c r="N2372" i="5" s="1"/>
  <c r="L2373" i="5"/>
  <c r="N2373" i="5" s="1"/>
  <c r="L2374" i="5"/>
  <c r="N2374" i="5" s="1"/>
  <c r="L2375" i="5"/>
  <c r="N2375" i="5" s="1"/>
  <c r="L2376" i="5"/>
  <c r="N2376" i="5" s="1"/>
  <c r="L2377" i="5"/>
  <c r="N2377" i="5" s="1"/>
  <c r="L2378" i="5"/>
  <c r="N2378" i="5" s="1"/>
  <c r="L2379" i="5"/>
  <c r="N2379" i="5" s="1"/>
  <c r="L2380" i="5"/>
  <c r="N2380" i="5" s="1"/>
  <c r="L2381" i="5"/>
  <c r="N2381" i="5" s="1"/>
  <c r="L2382" i="5"/>
  <c r="N2382" i="5" s="1"/>
  <c r="L2383" i="5"/>
  <c r="N2383" i="5" s="1"/>
  <c r="L2384" i="5"/>
  <c r="N2384" i="5" s="1"/>
  <c r="L2385" i="5"/>
  <c r="N2385" i="5" s="1"/>
  <c r="L2386" i="5"/>
  <c r="N2386" i="5" s="1"/>
  <c r="L2387" i="5"/>
  <c r="N2387" i="5" s="1"/>
  <c r="L2388" i="5"/>
  <c r="N2388" i="5" s="1"/>
  <c r="L2389" i="5"/>
  <c r="N2389" i="5" s="1"/>
  <c r="L2390" i="5"/>
  <c r="N2390" i="5" s="1"/>
  <c r="L2391" i="5"/>
  <c r="N2391" i="5" s="1"/>
  <c r="L2392" i="5"/>
  <c r="N2392" i="5" s="1"/>
  <c r="L2393" i="5"/>
  <c r="N2393" i="5" s="1"/>
  <c r="L2394" i="5"/>
  <c r="N2394" i="5" s="1"/>
  <c r="L2395" i="5"/>
  <c r="N2395" i="5" s="1"/>
  <c r="L2396" i="5"/>
  <c r="N2396" i="5" s="1"/>
  <c r="L2397" i="5"/>
  <c r="N2397" i="5" s="1"/>
  <c r="L2398" i="5"/>
  <c r="N2398" i="5" s="1"/>
  <c r="L2399" i="5"/>
  <c r="N2399" i="5" s="1"/>
  <c r="L2400" i="5"/>
  <c r="N2400" i="5" s="1"/>
  <c r="L2401" i="5"/>
  <c r="N2401" i="5" s="1"/>
  <c r="L2402" i="5"/>
  <c r="N2402" i="5" s="1"/>
  <c r="L2403" i="5"/>
  <c r="N2403" i="5" s="1"/>
  <c r="L2404" i="5"/>
  <c r="N2404" i="5" s="1"/>
  <c r="L2405" i="5"/>
  <c r="N2405" i="5" s="1"/>
  <c r="L2406" i="5"/>
  <c r="N2406" i="5" s="1"/>
  <c r="L2407" i="5"/>
  <c r="N2407" i="5" s="1"/>
  <c r="L2408" i="5"/>
  <c r="N2408" i="5" s="1"/>
  <c r="L2409" i="5"/>
  <c r="N2409" i="5" s="1"/>
  <c r="L2410" i="5"/>
  <c r="N2410" i="5" s="1"/>
  <c r="L2411" i="5"/>
  <c r="N2411" i="5" s="1"/>
  <c r="L2412" i="5"/>
  <c r="N2412" i="5" s="1"/>
  <c r="L2413" i="5"/>
  <c r="N2413" i="5" s="1"/>
  <c r="L2414" i="5"/>
  <c r="N2414" i="5" s="1"/>
  <c r="L2415" i="5"/>
  <c r="N2415" i="5" s="1"/>
  <c r="L2416" i="5"/>
  <c r="N2416" i="5" s="1"/>
  <c r="L2417" i="5"/>
  <c r="N2417" i="5" s="1"/>
  <c r="L2418" i="5"/>
  <c r="N2418" i="5" s="1"/>
  <c r="L2419" i="5"/>
  <c r="N2419" i="5" s="1"/>
  <c r="L2420" i="5"/>
  <c r="N2420" i="5" s="1"/>
  <c r="L2421" i="5"/>
  <c r="N2421" i="5" s="1"/>
  <c r="L2422" i="5"/>
  <c r="N2422" i="5" s="1"/>
  <c r="L2423" i="5"/>
  <c r="N2423" i="5" s="1"/>
  <c r="L2424" i="5"/>
  <c r="N2424" i="5" s="1"/>
  <c r="L2425" i="5"/>
  <c r="N2425" i="5" s="1"/>
  <c r="L2426" i="5"/>
  <c r="N2426" i="5" s="1"/>
  <c r="L2427" i="5"/>
  <c r="N2427" i="5" s="1"/>
  <c r="L2428" i="5"/>
  <c r="N2428" i="5" s="1"/>
  <c r="L2429" i="5"/>
  <c r="N2429" i="5" s="1"/>
  <c r="L2430" i="5"/>
  <c r="N2430" i="5" s="1"/>
  <c r="L2431" i="5"/>
  <c r="N2431" i="5" s="1"/>
  <c r="L2432" i="5"/>
  <c r="N2432" i="5" s="1"/>
  <c r="L2433" i="5"/>
  <c r="N2433" i="5" s="1"/>
  <c r="L2434" i="5"/>
  <c r="N2434" i="5" s="1"/>
  <c r="L2435" i="5"/>
  <c r="N2435" i="5" s="1"/>
  <c r="L2436" i="5"/>
  <c r="N2436" i="5" s="1"/>
  <c r="L2437" i="5"/>
  <c r="N2437" i="5" s="1"/>
  <c r="L2438" i="5"/>
  <c r="N2438" i="5" s="1"/>
  <c r="L2439" i="5"/>
  <c r="N2439" i="5" s="1"/>
  <c r="L2440" i="5"/>
  <c r="N2440" i="5" s="1"/>
  <c r="L2441" i="5"/>
  <c r="N2441" i="5" s="1"/>
  <c r="L2442" i="5"/>
  <c r="N2442" i="5" s="1"/>
  <c r="L2443" i="5"/>
  <c r="N2443" i="5" s="1"/>
  <c r="L2444" i="5"/>
  <c r="N2444" i="5" s="1"/>
  <c r="L2445" i="5"/>
  <c r="N2445" i="5" s="1"/>
  <c r="L2446" i="5"/>
  <c r="N2446" i="5" s="1"/>
  <c r="L2447" i="5"/>
  <c r="N2447" i="5" s="1"/>
  <c r="L2448" i="5"/>
  <c r="N2448" i="5" s="1"/>
  <c r="L2449" i="5"/>
  <c r="N2449" i="5" s="1"/>
  <c r="L2450" i="5"/>
  <c r="N2450" i="5" s="1"/>
  <c r="L2451" i="5"/>
  <c r="N2451" i="5" s="1"/>
  <c r="L2452" i="5"/>
  <c r="N2452" i="5" s="1"/>
  <c r="L2453" i="5"/>
  <c r="N2453" i="5" s="1"/>
  <c r="L2454" i="5"/>
  <c r="N2454" i="5" s="1"/>
  <c r="L2455" i="5"/>
  <c r="N2455" i="5" s="1"/>
  <c r="L2456" i="5"/>
  <c r="N2456" i="5" s="1"/>
  <c r="L2457" i="5"/>
  <c r="N2457" i="5" s="1"/>
  <c r="L2458" i="5"/>
  <c r="N2458" i="5" s="1"/>
  <c r="L2459" i="5"/>
  <c r="N2459" i="5" s="1"/>
  <c r="L2460" i="5"/>
  <c r="N2460" i="5" s="1"/>
  <c r="L2461" i="5"/>
  <c r="N2461" i="5" s="1"/>
  <c r="L2462" i="5"/>
  <c r="N2462" i="5" s="1"/>
  <c r="L2463" i="5"/>
  <c r="N2463" i="5" s="1"/>
  <c r="L2464" i="5"/>
  <c r="N2464" i="5" s="1"/>
  <c r="L2465" i="5"/>
  <c r="N2465" i="5" s="1"/>
  <c r="L2466" i="5"/>
  <c r="N2466" i="5" s="1"/>
  <c r="L2467" i="5"/>
  <c r="N2467" i="5" s="1"/>
  <c r="L2468" i="5"/>
  <c r="N2468" i="5" s="1"/>
  <c r="L2469" i="5"/>
  <c r="N2469" i="5" s="1"/>
  <c r="L2470" i="5"/>
  <c r="N2470" i="5" s="1"/>
  <c r="L2471" i="5"/>
  <c r="N2471" i="5" s="1"/>
  <c r="L2472" i="5"/>
  <c r="N2472" i="5" s="1"/>
  <c r="L2473" i="5"/>
  <c r="N2473" i="5" s="1"/>
  <c r="L2474" i="5"/>
  <c r="N2474" i="5" s="1"/>
  <c r="L2475" i="5"/>
  <c r="N2475" i="5" s="1"/>
  <c r="L2476" i="5"/>
  <c r="N2476" i="5" s="1"/>
  <c r="L2477" i="5"/>
  <c r="N2477" i="5" s="1"/>
  <c r="L2478" i="5"/>
  <c r="N2478" i="5" s="1"/>
  <c r="L2479" i="5"/>
  <c r="N2479" i="5" s="1"/>
  <c r="L2480" i="5"/>
  <c r="N2480" i="5" s="1"/>
  <c r="L2481" i="5"/>
  <c r="N2481" i="5" s="1"/>
  <c r="L2482" i="5"/>
  <c r="N2482" i="5" s="1"/>
  <c r="L2483" i="5"/>
  <c r="N2483" i="5" s="1"/>
  <c r="L2484" i="5"/>
  <c r="N2484" i="5" s="1"/>
  <c r="L2485" i="5"/>
  <c r="N2485" i="5" s="1"/>
  <c r="L2486" i="5"/>
  <c r="N2486" i="5" s="1"/>
  <c r="L2487" i="5"/>
  <c r="N2487" i="5" s="1"/>
  <c r="L2488" i="5"/>
  <c r="N2488" i="5" s="1"/>
  <c r="L2489" i="5"/>
  <c r="N2489" i="5" s="1"/>
  <c r="L2490" i="5"/>
  <c r="N2490" i="5" s="1"/>
  <c r="L2491" i="5"/>
  <c r="N2491" i="5" s="1"/>
  <c r="L2492" i="5"/>
  <c r="N2492" i="5" s="1"/>
  <c r="L2493" i="5"/>
  <c r="N2493" i="5" s="1"/>
  <c r="L2494" i="5"/>
  <c r="N2494" i="5" s="1"/>
  <c r="L2495" i="5"/>
  <c r="N2495" i="5" s="1"/>
  <c r="L2496" i="5"/>
  <c r="N2496" i="5" s="1"/>
  <c r="L2497" i="5"/>
  <c r="N2497" i="5" s="1"/>
  <c r="L2498" i="5"/>
  <c r="N2498" i="5" s="1"/>
  <c r="L2499" i="5"/>
  <c r="N2499" i="5" s="1"/>
  <c r="L2500" i="5"/>
  <c r="N2500" i="5" s="1"/>
  <c r="L2501" i="5"/>
  <c r="N2501" i="5" s="1"/>
  <c r="L2502" i="5"/>
  <c r="N2502" i="5" s="1"/>
  <c r="L2503" i="5"/>
  <c r="N2503" i="5" s="1"/>
  <c r="L2504" i="5"/>
  <c r="N2504" i="5" s="1"/>
  <c r="L2505" i="5"/>
  <c r="N2505" i="5" s="1"/>
  <c r="L2506" i="5"/>
  <c r="N2506" i="5" s="1"/>
  <c r="L2507" i="5"/>
  <c r="N2507" i="5" s="1"/>
  <c r="L2508" i="5"/>
  <c r="N2508" i="5" s="1"/>
  <c r="L2509" i="5"/>
  <c r="N2509" i="5" s="1"/>
  <c r="L2510" i="5"/>
  <c r="N2510" i="5" s="1"/>
  <c r="L2511" i="5"/>
  <c r="N2511" i="5" s="1"/>
  <c r="L2512" i="5"/>
  <c r="N2512" i="5" s="1"/>
  <c r="L2513" i="5"/>
  <c r="N2513" i="5" s="1"/>
  <c r="L2514" i="5"/>
  <c r="N2514" i="5" s="1"/>
  <c r="L2515" i="5"/>
  <c r="N2515" i="5" s="1"/>
  <c r="L2516" i="5"/>
  <c r="N2516" i="5" s="1"/>
  <c r="L2517" i="5"/>
  <c r="N2517" i="5" s="1"/>
  <c r="L2518" i="5"/>
  <c r="N2518" i="5" s="1"/>
  <c r="L2519" i="5"/>
  <c r="N2519" i="5" s="1"/>
  <c r="L2520" i="5"/>
  <c r="N2520" i="5" s="1"/>
  <c r="L2521" i="5"/>
  <c r="N2521" i="5" s="1"/>
  <c r="L2522" i="5"/>
  <c r="N2522" i="5" s="1"/>
  <c r="L2523" i="5"/>
  <c r="N2523" i="5" s="1"/>
  <c r="L2524" i="5"/>
  <c r="N2524" i="5" s="1"/>
  <c r="L2525" i="5"/>
  <c r="N2525" i="5" s="1"/>
  <c r="L2526" i="5"/>
  <c r="N2526" i="5" s="1"/>
  <c r="L2527" i="5"/>
  <c r="N2527" i="5" s="1"/>
  <c r="L2528" i="5"/>
  <c r="N2528" i="5" s="1"/>
  <c r="L2529" i="5"/>
  <c r="N2529" i="5" s="1"/>
  <c r="L2530" i="5"/>
  <c r="N2530" i="5" s="1"/>
  <c r="L2531" i="5"/>
  <c r="N2531" i="5" s="1"/>
  <c r="L2532" i="5"/>
  <c r="N2532" i="5" s="1"/>
  <c r="L2533" i="5"/>
  <c r="N2533" i="5" s="1"/>
  <c r="L2534" i="5"/>
  <c r="N2534" i="5" s="1"/>
  <c r="L2535" i="5"/>
  <c r="N2535" i="5" s="1"/>
  <c r="L2536" i="5"/>
  <c r="N2536" i="5" s="1"/>
  <c r="L2537" i="5"/>
  <c r="N2537" i="5" s="1"/>
  <c r="L2538" i="5"/>
  <c r="N2538" i="5" s="1"/>
  <c r="L2539" i="5"/>
  <c r="N2539" i="5" s="1"/>
  <c r="L2540" i="5"/>
  <c r="N2540" i="5" s="1"/>
  <c r="L2541" i="5"/>
  <c r="N2541" i="5" s="1"/>
  <c r="L2542" i="5"/>
  <c r="N2542" i="5" s="1"/>
  <c r="L2543" i="5"/>
  <c r="N2543" i="5" s="1"/>
  <c r="L2544" i="5"/>
  <c r="N2544" i="5" s="1"/>
  <c r="L2545" i="5"/>
  <c r="N2545" i="5" s="1"/>
  <c r="L2546" i="5"/>
  <c r="N2546" i="5" s="1"/>
  <c r="L2547" i="5"/>
  <c r="N2547" i="5" s="1"/>
  <c r="L2548" i="5"/>
  <c r="N2548" i="5" s="1"/>
  <c r="L2549" i="5"/>
  <c r="N2549" i="5" s="1"/>
  <c r="L2550" i="5"/>
  <c r="N2550" i="5" s="1"/>
  <c r="L2551" i="5"/>
  <c r="N2551" i="5" s="1"/>
  <c r="L2552" i="5"/>
  <c r="N2552" i="5" s="1"/>
  <c r="L2553" i="5"/>
  <c r="N2553" i="5" s="1"/>
  <c r="L2554" i="5"/>
  <c r="N2554" i="5" s="1"/>
  <c r="L2555" i="5"/>
  <c r="N2555" i="5" s="1"/>
  <c r="L2556" i="5"/>
  <c r="N2556" i="5" s="1"/>
  <c r="L2557" i="5"/>
  <c r="N2557" i="5" s="1"/>
  <c r="L2558" i="5"/>
  <c r="N2558" i="5" s="1"/>
  <c r="L2559" i="5"/>
  <c r="N2559" i="5" s="1"/>
  <c r="L2560" i="5"/>
  <c r="N2560" i="5" s="1"/>
  <c r="L2561" i="5"/>
  <c r="N2561" i="5" s="1"/>
  <c r="L2562" i="5"/>
  <c r="N2562" i="5" s="1"/>
  <c r="L2563" i="5"/>
  <c r="N2563" i="5" s="1"/>
  <c r="L2564" i="5"/>
  <c r="N2564" i="5" s="1"/>
  <c r="L2565" i="5"/>
  <c r="N2565" i="5" s="1"/>
  <c r="L2566" i="5"/>
  <c r="N2566" i="5" s="1"/>
  <c r="L2567" i="5"/>
  <c r="N2567" i="5" s="1"/>
  <c r="L2568" i="5"/>
  <c r="N2568" i="5" s="1"/>
  <c r="L2569" i="5"/>
  <c r="N2569" i="5" s="1"/>
  <c r="L2570" i="5"/>
  <c r="N2570" i="5" s="1"/>
  <c r="L2571" i="5"/>
  <c r="N2571" i="5" s="1"/>
  <c r="L2572" i="5"/>
  <c r="N2572" i="5" s="1"/>
  <c r="L2573" i="5"/>
  <c r="N2573" i="5" s="1"/>
  <c r="L2574" i="5"/>
  <c r="N2574" i="5" s="1"/>
  <c r="L2575" i="5"/>
  <c r="N2575" i="5" s="1"/>
  <c r="L2576" i="5"/>
  <c r="N2576" i="5" s="1"/>
  <c r="L2577" i="5"/>
  <c r="N2577" i="5" s="1"/>
  <c r="L2578" i="5"/>
  <c r="N2578" i="5" s="1"/>
  <c r="L2579" i="5"/>
  <c r="N2579" i="5" s="1"/>
  <c r="L2580" i="5"/>
  <c r="N2580" i="5" s="1"/>
  <c r="L2581" i="5"/>
  <c r="N2581" i="5" s="1"/>
  <c r="L2582" i="5"/>
  <c r="N2582" i="5" s="1"/>
  <c r="L2583" i="5"/>
  <c r="N2583" i="5" s="1"/>
  <c r="L2584" i="5"/>
  <c r="N2584" i="5" s="1"/>
  <c r="L2585" i="5"/>
  <c r="N2585" i="5" s="1"/>
  <c r="L2586" i="5"/>
  <c r="N2586" i="5" s="1"/>
  <c r="L2587" i="5"/>
  <c r="N2587" i="5" s="1"/>
  <c r="L2588" i="5"/>
  <c r="N2588" i="5" s="1"/>
  <c r="L2589" i="5"/>
  <c r="N2589" i="5" s="1"/>
  <c r="L2590" i="5"/>
  <c r="N2590" i="5" s="1"/>
  <c r="L2591" i="5"/>
  <c r="N2591" i="5" s="1"/>
  <c r="L2592" i="5"/>
  <c r="N2592" i="5" s="1"/>
  <c r="L2593" i="5"/>
  <c r="N2593" i="5" s="1"/>
  <c r="L2594" i="5"/>
  <c r="N2594" i="5" s="1"/>
  <c r="L2595" i="5"/>
  <c r="N2595" i="5" s="1"/>
  <c r="L2596" i="5"/>
  <c r="N2596" i="5" s="1"/>
  <c r="L2597" i="5"/>
  <c r="N2597" i="5" s="1"/>
  <c r="L2598" i="5"/>
  <c r="N2598" i="5" s="1"/>
  <c r="L2599" i="5"/>
  <c r="N2599" i="5" s="1"/>
  <c r="L2600" i="5"/>
  <c r="N2600" i="5" s="1"/>
  <c r="L2601" i="5"/>
  <c r="N2601" i="5" s="1"/>
  <c r="L2602" i="5"/>
  <c r="N2602" i="5" s="1"/>
  <c r="L2603" i="5"/>
  <c r="N2603" i="5" s="1"/>
  <c r="L2604" i="5"/>
  <c r="N2604" i="5" s="1"/>
  <c r="L2605" i="5"/>
  <c r="N2605" i="5" s="1"/>
  <c r="L2606" i="5"/>
  <c r="N2606" i="5" s="1"/>
  <c r="L2607" i="5"/>
  <c r="N2607" i="5" s="1"/>
  <c r="L2608" i="5"/>
  <c r="N2608" i="5" s="1"/>
  <c r="L2609" i="5"/>
  <c r="N2609" i="5" s="1"/>
  <c r="L2610" i="5"/>
  <c r="N2610" i="5" s="1"/>
  <c r="L2611" i="5"/>
  <c r="N2611" i="5" s="1"/>
  <c r="L2612" i="5"/>
  <c r="N2612" i="5" s="1"/>
  <c r="L2613" i="5"/>
  <c r="N2613" i="5" s="1"/>
  <c r="L2614" i="5"/>
  <c r="N2614" i="5" s="1"/>
  <c r="L2615" i="5"/>
  <c r="N2615" i="5" s="1"/>
  <c r="L2616" i="5"/>
  <c r="N2616" i="5" s="1"/>
  <c r="L2617" i="5"/>
  <c r="N2617" i="5" s="1"/>
  <c r="L2618" i="5"/>
  <c r="N2618" i="5" s="1"/>
  <c r="L2619" i="5"/>
  <c r="N2619" i="5" s="1"/>
  <c r="L2620" i="5"/>
  <c r="N2620" i="5" s="1"/>
  <c r="L2621" i="5"/>
  <c r="N2621" i="5" s="1"/>
  <c r="L2622" i="5"/>
  <c r="N2622" i="5" s="1"/>
  <c r="L2623" i="5"/>
  <c r="N2623" i="5" s="1"/>
  <c r="L2624" i="5"/>
  <c r="N2624" i="5" s="1"/>
  <c r="L2625" i="5"/>
  <c r="N2625" i="5" s="1"/>
  <c r="L2626" i="5"/>
  <c r="N2626" i="5" s="1"/>
  <c r="L2627" i="5"/>
  <c r="N2627" i="5" s="1"/>
  <c r="L2628" i="5"/>
  <c r="N2628" i="5" s="1"/>
  <c r="L2629" i="5"/>
  <c r="N2629" i="5" s="1"/>
  <c r="L2630" i="5"/>
  <c r="N2630" i="5" s="1"/>
  <c r="L2631" i="5"/>
  <c r="N2631" i="5" s="1"/>
  <c r="L2632" i="5"/>
  <c r="N2632" i="5" s="1"/>
  <c r="L2633" i="5"/>
  <c r="N2633" i="5" s="1"/>
  <c r="L2634" i="5"/>
  <c r="N2634" i="5" s="1"/>
  <c r="L2635" i="5"/>
  <c r="N2635" i="5" s="1"/>
  <c r="L2636" i="5"/>
  <c r="N2636" i="5" s="1"/>
  <c r="L2637" i="5"/>
  <c r="N2637" i="5" s="1"/>
  <c r="L2638" i="5"/>
  <c r="N2638" i="5" s="1"/>
  <c r="L2639" i="5"/>
  <c r="N2639" i="5" s="1"/>
  <c r="L2640" i="5"/>
  <c r="N2640" i="5" s="1"/>
  <c r="L2641" i="5"/>
  <c r="N2641" i="5" s="1"/>
  <c r="L2642" i="5"/>
  <c r="N2642" i="5" s="1"/>
  <c r="L2643" i="5"/>
  <c r="N2643" i="5" s="1"/>
  <c r="L2644" i="5"/>
  <c r="N2644" i="5" s="1"/>
  <c r="L2645" i="5"/>
  <c r="N2645" i="5" s="1"/>
  <c r="L2646" i="5"/>
  <c r="N2646" i="5" s="1"/>
  <c r="L2647" i="5"/>
  <c r="N2647" i="5" s="1"/>
  <c r="L2648" i="5"/>
  <c r="N2648" i="5" s="1"/>
  <c r="L2649" i="5"/>
  <c r="N2649" i="5" s="1"/>
  <c r="L2650" i="5"/>
  <c r="N2650" i="5" s="1"/>
  <c r="L2651" i="5"/>
  <c r="N2651" i="5" s="1"/>
  <c r="L2652" i="5"/>
  <c r="N2652" i="5" s="1"/>
  <c r="L2653" i="5"/>
  <c r="N2653" i="5" s="1"/>
  <c r="L2654" i="5"/>
  <c r="N2654" i="5" s="1"/>
  <c r="L2655" i="5"/>
  <c r="N2655" i="5" s="1"/>
  <c r="L2656" i="5"/>
  <c r="N2656" i="5" s="1"/>
  <c r="L2657" i="5"/>
  <c r="N2657" i="5" s="1"/>
  <c r="L2658" i="5"/>
  <c r="N2658" i="5" s="1"/>
  <c r="L2659" i="5"/>
  <c r="N2659" i="5" s="1"/>
  <c r="L2660" i="5"/>
  <c r="N2660" i="5" s="1"/>
  <c r="L2661" i="5"/>
  <c r="N2661" i="5" s="1"/>
  <c r="L2662" i="5"/>
  <c r="N2662" i="5" s="1"/>
  <c r="L2663" i="5"/>
  <c r="N2663" i="5" s="1"/>
  <c r="L2664" i="5"/>
  <c r="N2664" i="5" s="1"/>
  <c r="L2665" i="5"/>
  <c r="N2665" i="5" s="1"/>
  <c r="L2666" i="5"/>
  <c r="N2666" i="5" s="1"/>
  <c r="L2667" i="5"/>
  <c r="N2667" i="5" s="1"/>
  <c r="L2668" i="5"/>
  <c r="N2668" i="5" s="1"/>
  <c r="L2669" i="5"/>
  <c r="N2669" i="5" s="1"/>
  <c r="L2670" i="5"/>
  <c r="N2670" i="5" s="1"/>
  <c r="L2671" i="5"/>
  <c r="N2671" i="5" s="1"/>
  <c r="L2672" i="5"/>
  <c r="N2672" i="5" s="1"/>
  <c r="L2673" i="5"/>
  <c r="N2673" i="5" s="1"/>
  <c r="L2674" i="5"/>
  <c r="N2674" i="5" s="1"/>
  <c r="L2675" i="5"/>
  <c r="N2675" i="5" s="1"/>
  <c r="L2676" i="5"/>
  <c r="N2676" i="5" s="1"/>
  <c r="L2677" i="5"/>
  <c r="N2677" i="5" s="1"/>
  <c r="L2678" i="5"/>
  <c r="N2678" i="5" s="1"/>
  <c r="L2679" i="5"/>
  <c r="N2679" i="5" s="1"/>
  <c r="L2680" i="5"/>
  <c r="N2680" i="5" s="1"/>
  <c r="L2681" i="5"/>
  <c r="N2681" i="5" s="1"/>
  <c r="L2682" i="5"/>
  <c r="N2682" i="5" s="1"/>
  <c r="L2683" i="5"/>
  <c r="N2683" i="5" s="1"/>
  <c r="L2684" i="5"/>
  <c r="N2684" i="5" s="1"/>
  <c r="L2685" i="5"/>
  <c r="N2685" i="5" s="1"/>
  <c r="L2686" i="5"/>
  <c r="N2686" i="5" s="1"/>
  <c r="L2687" i="5"/>
  <c r="N2687" i="5" s="1"/>
  <c r="L2688" i="5"/>
  <c r="N2688" i="5" s="1"/>
  <c r="L2689" i="5"/>
  <c r="N2689" i="5" s="1"/>
  <c r="L2690" i="5"/>
  <c r="N2690" i="5" s="1"/>
  <c r="L2691" i="5"/>
  <c r="N2691" i="5" s="1"/>
  <c r="L2692" i="5"/>
  <c r="N2692" i="5" s="1"/>
  <c r="L2693" i="5"/>
  <c r="N2693" i="5" s="1"/>
  <c r="L2694" i="5"/>
  <c r="N2694" i="5" s="1"/>
  <c r="L2695" i="5"/>
  <c r="N2695" i="5" s="1"/>
  <c r="L2696" i="5"/>
  <c r="N2696" i="5" s="1"/>
  <c r="L2697" i="5"/>
  <c r="N2697" i="5" s="1"/>
  <c r="L2698" i="5"/>
  <c r="N2698" i="5" s="1"/>
  <c r="L2699" i="5"/>
  <c r="N2699" i="5" s="1"/>
  <c r="L2700" i="5"/>
  <c r="N2700" i="5" s="1"/>
  <c r="L2701" i="5"/>
  <c r="N2701" i="5" s="1"/>
  <c r="L2702" i="5"/>
  <c r="N2702" i="5" s="1"/>
  <c r="L2703" i="5"/>
  <c r="N2703" i="5" s="1"/>
  <c r="L2704" i="5"/>
  <c r="N2704" i="5" s="1"/>
  <c r="L2705" i="5"/>
  <c r="N2705" i="5" s="1"/>
  <c r="L2706" i="5"/>
  <c r="N2706" i="5" s="1"/>
  <c r="L2707" i="5"/>
  <c r="N2707" i="5" s="1"/>
  <c r="L2708" i="5"/>
  <c r="N2708" i="5" s="1"/>
  <c r="L2709" i="5"/>
  <c r="N2709" i="5" s="1"/>
  <c r="L2710" i="5"/>
  <c r="N2710" i="5" s="1"/>
  <c r="L2711" i="5"/>
  <c r="N2711" i="5" s="1"/>
  <c r="L2712" i="5"/>
  <c r="N2712" i="5" s="1"/>
  <c r="L2713" i="5"/>
  <c r="N2713" i="5" s="1"/>
  <c r="L2714" i="5"/>
  <c r="N2714" i="5" s="1"/>
  <c r="L2715" i="5"/>
  <c r="N2715" i="5" s="1"/>
  <c r="L2716" i="5"/>
  <c r="N2716" i="5" s="1"/>
  <c r="L2717" i="5"/>
  <c r="N2717" i="5" s="1"/>
  <c r="L2718" i="5"/>
  <c r="N2718" i="5" s="1"/>
  <c r="L2719" i="5"/>
  <c r="N2719" i="5" s="1"/>
  <c r="L2720" i="5"/>
  <c r="N2720" i="5" s="1"/>
  <c r="L2721" i="5"/>
  <c r="N2721" i="5" s="1"/>
  <c r="L2722" i="5"/>
  <c r="N2722" i="5" s="1"/>
  <c r="L2723" i="5"/>
  <c r="N2723" i="5" s="1"/>
  <c r="L2724" i="5"/>
  <c r="N2724" i="5" s="1"/>
  <c r="L2725" i="5"/>
  <c r="N2725" i="5" s="1"/>
  <c r="L2726" i="5"/>
  <c r="N2726" i="5" s="1"/>
  <c r="L2727" i="5"/>
  <c r="N2727" i="5" s="1"/>
  <c r="L2728" i="5"/>
  <c r="N2728" i="5" s="1"/>
  <c r="L2729" i="5"/>
  <c r="N2729" i="5" s="1"/>
  <c r="L2730" i="5"/>
  <c r="N2730" i="5" s="1"/>
  <c r="L2731" i="5"/>
  <c r="N2731" i="5" s="1"/>
  <c r="L2732" i="5"/>
  <c r="N2732" i="5" s="1"/>
  <c r="L2733" i="5"/>
  <c r="N2733" i="5" s="1"/>
  <c r="L2734" i="5"/>
  <c r="N2734" i="5" s="1"/>
  <c r="L2735" i="5"/>
  <c r="N2735" i="5" s="1"/>
  <c r="L2736" i="5"/>
  <c r="N2736" i="5" s="1"/>
  <c r="L2737" i="5"/>
  <c r="N2737" i="5" s="1"/>
  <c r="L2738" i="5"/>
  <c r="N2738" i="5" s="1"/>
  <c r="L2739" i="5"/>
  <c r="N2739" i="5" s="1"/>
  <c r="L2740" i="5"/>
  <c r="N2740" i="5" s="1"/>
  <c r="L2741" i="5"/>
  <c r="N2741" i="5" s="1"/>
  <c r="L2742" i="5"/>
  <c r="N2742" i="5" s="1"/>
  <c r="L2743" i="5"/>
  <c r="N2743" i="5" s="1"/>
  <c r="L2744" i="5"/>
  <c r="N2744" i="5" s="1"/>
  <c r="L2745" i="5"/>
  <c r="N2745" i="5" s="1"/>
  <c r="L2746" i="5"/>
  <c r="N2746" i="5" s="1"/>
  <c r="L2747" i="5"/>
  <c r="N2747" i="5" s="1"/>
  <c r="L2748" i="5"/>
  <c r="N2748" i="5" s="1"/>
  <c r="L2749" i="5"/>
  <c r="N2749" i="5" s="1"/>
  <c r="L2750" i="5"/>
  <c r="N2750" i="5" s="1"/>
  <c r="L2751" i="5"/>
  <c r="N2751" i="5" s="1"/>
  <c r="L2752" i="5"/>
  <c r="N2752" i="5" s="1"/>
  <c r="L2753" i="5"/>
  <c r="N2753" i="5" s="1"/>
  <c r="L2754" i="5"/>
  <c r="N2754" i="5" s="1"/>
  <c r="L2755" i="5"/>
  <c r="N2755" i="5" s="1"/>
  <c r="L2756" i="5"/>
  <c r="N2756" i="5" s="1"/>
  <c r="L2757" i="5"/>
  <c r="N2757" i="5" s="1"/>
  <c r="L2758" i="5"/>
  <c r="N2758" i="5" s="1"/>
  <c r="L2759" i="5"/>
  <c r="N2759" i="5" s="1"/>
  <c r="L2760" i="5"/>
  <c r="N2760" i="5" s="1"/>
  <c r="L2761" i="5"/>
  <c r="N2761" i="5" s="1"/>
  <c r="L2762" i="5"/>
  <c r="N2762" i="5" s="1"/>
  <c r="L2763" i="5"/>
  <c r="N2763" i="5" s="1"/>
  <c r="L2764" i="5"/>
  <c r="N2764" i="5" s="1"/>
  <c r="L2765" i="5"/>
  <c r="N2765" i="5" s="1"/>
  <c r="L2766" i="5"/>
  <c r="N2766" i="5" s="1"/>
  <c r="L2767" i="5"/>
  <c r="N2767" i="5" s="1"/>
  <c r="L2768" i="5"/>
  <c r="N2768" i="5" s="1"/>
  <c r="L2769" i="5"/>
  <c r="N2769" i="5" s="1"/>
  <c r="L2770" i="5"/>
  <c r="N2770" i="5" s="1"/>
  <c r="L2771" i="5"/>
  <c r="N2771" i="5" s="1"/>
  <c r="L2772" i="5"/>
  <c r="N2772" i="5" s="1"/>
  <c r="L2773" i="5"/>
  <c r="N2773" i="5" s="1"/>
  <c r="L2774" i="5"/>
  <c r="N2774" i="5" s="1"/>
  <c r="L2775" i="5"/>
  <c r="N2775" i="5" s="1"/>
  <c r="L2776" i="5"/>
  <c r="N2776" i="5" s="1"/>
  <c r="L2777" i="5"/>
  <c r="N2777" i="5" s="1"/>
  <c r="L2778" i="5"/>
  <c r="N2778" i="5" s="1"/>
  <c r="L2779" i="5"/>
  <c r="N2779" i="5" s="1"/>
  <c r="L2780" i="5"/>
  <c r="N2780" i="5" s="1"/>
  <c r="L2781" i="5"/>
  <c r="N2781" i="5" s="1"/>
  <c r="L2782" i="5"/>
  <c r="N2782" i="5" s="1"/>
  <c r="L2783" i="5"/>
  <c r="N2783" i="5" s="1"/>
  <c r="L2784" i="5"/>
  <c r="N2784" i="5" s="1"/>
  <c r="L2785" i="5"/>
  <c r="N2785" i="5" s="1"/>
  <c r="L2786" i="5"/>
  <c r="N2786" i="5" s="1"/>
  <c r="L2787" i="5"/>
  <c r="N2787" i="5" s="1"/>
  <c r="L2788" i="5"/>
  <c r="N2788" i="5" s="1"/>
  <c r="L2789" i="5"/>
  <c r="N2789" i="5" s="1"/>
  <c r="L2790" i="5"/>
  <c r="N2790" i="5" s="1"/>
  <c r="L2791" i="5"/>
  <c r="N2791" i="5" s="1"/>
  <c r="L2792" i="5"/>
  <c r="N2792" i="5" s="1"/>
  <c r="L2793" i="5"/>
  <c r="N2793" i="5" s="1"/>
  <c r="L2794" i="5"/>
  <c r="N2794" i="5" s="1"/>
  <c r="L2795" i="5"/>
  <c r="N2795" i="5" s="1"/>
  <c r="L2796" i="5"/>
  <c r="N2796" i="5" s="1"/>
  <c r="L2797" i="5"/>
  <c r="N2797" i="5" s="1"/>
  <c r="L2798" i="5"/>
  <c r="N2798" i="5" s="1"/>
  <c r="L2799" i="5"/>
  <c r="N2799" i="5" s="1"/>
  <c r="L2800" i="5"/>
  <c r="N2800" i="5" s="1"/>
  <c r="L2801" i="5"/>
  <c r="N2801" i="5" s="1"/>
  <c r="K2" i="5"/>
  <c r="M2" i="5" s="1"/>
  <c r="K3" i="5"/>
  <c r="M3" i="5" s="1"/>
  <c r="K4" i="5"/>
  <c r="M4" i="5" s="1"/>
  <c r="K5" i="5"/>
  <c r="M5" i="5" s="1"/>
  <c r="K6" i="5"/>
  <c r="M6" i="5" s="1"/>
  <c r="K7" i="5"/>
  <c r="M7" i="5" s="1"/>
  <c r="K8" i="5"/>
  <c r="M8" i="5" s="1"/>
  <c r="K9" i="5"/>
  <c r="M9" i="5" s="1"/>
  <c r="K10" i="5"/>
  <c r="M10" i="5" s="1"/>
  <c r="K11" i="5"/>
  <c r="M11" i="5" s="1"/>
  <c r="K12" i="5"/>
  <c r="M12" i="5" s="1"/>
  <c r="K13" i="5"/>
  <c r="M13" i="5" s="1"/>
  <c r="K14" i="5"/>
  <c r="M14" i="5" s="1"/>
  <c r="K15" i="5"/>
  <c r="M15" i="5" s="1"/>
  <c r="K16" i="5"/>
  <c r="M16" i="5" s="1"/>
  <c r="K17" i="5"/>
  <c r="M17" i="5" s="1"/>
  <c r="K18" i="5"/>
  <c r="M18" i="5" s="1"/>
  <c r="K19" i="5"/>
  <c r="M19" i="5" s="1"/>
  <c r="K20" i="5"/>
  <c r="M20" i="5" s="1"/>
  <c r="K21" i="5"/>
  <c r="M21" i="5" s="1"/>
  <c r="K22" i="5"/>
  <c r="M22" i="5" s="1"/>
  <c r="K23" i="5"/>
  <c r="M23" i="5" s="1"/>
  <c r="K24" i="5"/>
  <c r="M24" i="5" s="1"/>
  <c r="K25" i="5"/>
  <c r="M25" i="5" s="1"/>
  <c r="K26" i="5"/>
  <c r="M26" i="5" s="1"/>
  <c r="K27" i="5"/>
  <c r="M27" i="5" s="1"/>
  <c r="K28" i="5"/>
  <c r="M28" i="5" s="1"/>
  <c r="K29" i="5"/>
  <c r="M29" i="5" s="1"/>
  <c r="K30" i="5"/>
  <c r="M30" i="5" s="1"/>
  <c r="K31" i="5"/>
  <c r="M31" i="5" s="1"/>
  <c r="K32" i="5"/>
  <c r="M32" i="5" s="1"/>
  <c r="K33" i="5"/>
  <c r="M33" i="5" s="1"/>
  <c r="K34" i="5"/>
  <c r="M34" i="5" s="1"/>
  <c r="K35" i="5"/>
  <c r="M35" i="5" s="1"/>
  <c r="K36" i="5"/>
  <c r="M36" i="5" s="1"/>
  <c r="K37" i="5"/>
  <c r="M37" i="5" s="1"/>
  <c r="K38" i="5"/>
  <c r="M38" i="5" s="1"/>
  <c r="K39" i="5"/>
  <c r="M39" i="5" s="1"/>
  <c r="K40" i="5"/>
  <c r="M40" i="5" s="1"/>
  <c r="K41" i="5"/>
  <c r="M41" i="5" s="1"/>
  <c r="K42" i="5"/>
  <c r="M42" i="5" s="1"/>
  <c r="K43" i="5"/>
  <c r="M43" i="5" s="1"/>
  <c r="K44" i="5"/>
  <c r="M44" i="5" s="1"/>
  <c r="K45" i="5"/>
  <c r="M45" i="5" s="1"/>
  <c r="K46" i="5"/>
  <c r="M46" i="5" s="1"/>
  <c r="K47" i="5"/>
  <c r="M47" i="5" s="1"/>
  <c r="K48" i="5"/>
  <c r="M48" i="5" s="1"/>
  <c r="K49" i="5"/>
  <c r="M49" i="5" s="1"/>
  <c r="K50" i="5"/>
  <c r="M50" i="5" s="1"/>
  <c r="K51" i="5"/>
  <c r="M51" i="5" s="1"/>
  <c r="K52" i="5"/>
  <c r="M52" i="5" s="1"/>
  <c r="K53" i="5"/>
  <c r="M53" i="5" s="1"/>
  <c r="K54" i="5"/>
  <c r="M54" i="5" s="1"/>
  <c r="K55" i="5"/>
  <c r="M55" i="5" s="1"/>
  <c r="K56" i="5"/>
  <c r="M56" i="5" s="1"/>
  <c r="K57" i="5"/>
  <c r="M57" i="5" s="1"/>
  <c r="K58" i="5"/>
  <c r="M58" i="5" s="1"/>
  <c r="K59" i="5"/>
  <c r="M59" i="5" s="1"/>
  <c r="K60" i="5"/>
  <c r="M60" i="5" s="1"/>
  <c r="K61" i="5"/>
  <c r="M61" i="5" s="1"/>
  <c r="K62" i="5"/>
  <c r="M62" i="5" s="1"/>
  <c r="K63" i="5"/>
  <c r="M63" i="5" s="1"/>
  <c r="K64" i="5"/>
  <c r="M64" i="5" s="1"/>
  <c r="K65" i="5"/>
  <c r="M65" i="5" s="1"/>
  <c r="K66" i="5"/>
  <c r="M66" i="5" s="1"/>
  <c r="K67" i="5"/>
  <c r="M67" i="5" s="1"/>
  <c r="K68" i="5"/>
  <c r="M68" i="5" s="1"/>
  <c r="K69" i="5"/>
  <c r="M69" i="5" s="1"/>
  <c r="K70" i="5"/>
  <c r="M70" i="5" s="1"/>
  <c r="K71" i="5"/>
  <c r="M71" i="5" s="1"/>
  <c r="K72" i="5"/>
  <c r="M72" i="5" s="1"/>
  <c r="K73" i="5"/>
  <c r="M73" i="5" s="1"/>
  <c r="K74" i="5"/>
  <c r="M74" i="5" s="1"/>
  <c r="K75" i="5"/>
  <c r="M75" i="5" s="1"/>
  <c r="K76" i="5"/>
  <c r="M76" i="5" s="1"/>
  <c r="K77" i="5"/>
  <c r="M77" i="5" s="1"/>
  <c r="K78" i="5"/>
  <c r="M78" i="5" s="1"/>
  <c r="K79" i="5"/>
  <c r="M79" i="5" s="1"/>
  <c r="K80" i="5"/>
  <c r="M80" i="5" s="1"/>
  <c r="K81" i="5"/>
  <c r="M81" i="5" s="1"/>
  <c r="K82" i="5"/>
  <c r="M82" i="5" s="1"/>
  <c r="K83" i="5"/>
  <c r="M83" i="5" s="1"/>
  <c r="K84" i="5"/>
  <c r="M84" i="5" s="1"/>
  <c r="K85" i="5"/>
  <c r="M85" i="5" s="1"/>
  <c r="K86" i="5"/>
  <c r="M86" i="5" s="1"/>
  <c r="K87" i="5"/>
  <c r="M87" i="5" s="1"/>
  <c r="K88" i="5"/>
  <c r="M88" i="5" s="1"/>
  <c r="K89" i="5"/>
  <c r="M89" i="5" s="1"/>
  <c r="K90" i="5"/>
  <c r="M90" i="5" s="1"/>
  <c r="K91" i="5"/>
  <c r="M91" i="5" s="1"/>
  <c r="K92" i="5"/>
  <c r="M92" i="5" s="1"/>
  <c r="K93" i="5"/>
  <c r="M93" i="5" s="1"/>
  <c r="K94" i="5"/>
  <c r="M94" i="5" s="1"/>
  <c r="K95" i="5"/>
  <c r="M95" i="5" s="1"/>
  <c r="K96" i="5"/>
  <c r="M96" i="5" s="1"/>
  <c r="K97" i="5"/>
  <c r="M97" i="5" s="1"/>
  <c r="K98" i="5"/>
  <c r="M98" i="5" s="1"/>
  <c r="K99" i="5"/>
  <c r="M99" i="5" s="1"/>
  <c r="K100" i="5"/>
  <c r="M100" i="5" s="1"/>
  <c r="K101" i="5"/>
  <c r="M101" i="5" s="1"/>
  <c r="K102" i="5"/>
  <c r="M102" i="5" s="1"/>
  <c r="K103" i="5"/>
  <c r="M103" i="5" s="1"/>
  <c r="K104" i="5"/>
  <c r="M104" i="5" s="1"/>
  <c r="K105" i="5"/>
  <c r="M105" i="5" s="1"/>
  <c r="K106" i="5"/>
  <c r="M106" i="5" s="1"/>
  <c r="K107" i="5"/>
  <c r="M107" i="5" s="1"/>
  <c r="K108" i="5"/>
  <c r="M108" i="5" s="1"/>
  <c r="K109" i="5"/>
  <c r="M109" i="5" s="1"/>
  <c r="K110" i="5"/>
  <c r="M110" i="5" s="1"/>
  <c r="K111" i="5"/>
  <c r="M111" i="5" s="1"/>
  <c r="K112" i="5"/>
  <c r="M112" i="5" s="1"/>
  <c r="K113" i="5"/>
  <c r="M113" i="5" s="1"/>
  <c r="K114" i="5"/>
  <c r="M114" i="5" s="1"/>
  <c r="K115" i="5"/>
  <c r="M115" i="5" s="1"/>
  <c r="K116" i="5"/>
  <c r="M116" i="5" s="1"/>
  <c r="K117" i="5"/>
  <c r="M117" i="5" s="1"/>
  <c r="K118" i="5"/>
  <c r="M118" i="5" s="1"/>
  <c r="K119" i="5"/>
  <c r="M119" i="5" s="1"/>
  <c r="K120" i="5"/>
  <c r="M120" i="5" s="1"/>
  <c r="K121" i="5"/>
  <c r="M121" i="5" s="1"/>
  <c r="K122" i="5"/>
  <c r="M122" i="5" s="1"/>
  <c r="K123" i="5"/>
  <c r="M123" i="5" s="1"/>
  <c r="K124" i="5"/>
  <c r="M124" i="5" s="1"/>
  <c r="K125" i="5"/>
  <c r="M125" i="5" s="1"/>
  <c r="K126" i="5"/>
  <c r="M126" i="5" s="1"/>
  <c r="K127" i="5"/>
  <c r="M127" i="5" s="1"/>
  <c r="K128" i="5"/>
  <c r="M128" i="5" s="1"/>
  <c r="K129" i="5"/>
  <c r="M129" i="5" s="1"/>
  <c r="K130" i="5"/>
  <c r="M130" i="5" s="1"/>
  <c r="K131" i="5"/>
  <c r="M131" i="5" s="1"/>
  <c r="K132" i="5"/>
  <c r="M132" i="5" s="1"/>
  <c r="K133" i="5"/>
  <c r="M133" i="5" s="1"/>
  <c r="K134" i="5"/>
  <c r="M134" i="5" s="1"/>
  <c r="K135" i="5"/>
  <c r="M135" i="5" s="1"/>
  <c r="K136" i="5"/>
  <c r="M136" i="5" s="1"/>
  <c r="K137" i="5"/>
  <c r="M137" i="5" s="1"/>
  <c r="K138" i="5"/>
  <c r="M138" i="5" s="1"/>
  <c r="K139" i="5"/>
  <c r="M139" i="5" s="1"/>
  <c r="K140" i="5"/>
  <c r="M140" i="5" s="1"/>
  <c r="K141" i="5"/>
  <c r="M141" i="5" s="1"/>
  <c r="K142" i="5"/>
  <c r="M142" i="5" s="1"/>
  <c r="K143" i="5"/>
  <c r="M143" i="5" s="1"/>
  <c r="K144" i="5"/>
  <c r="M144" i="5" s="1"/>
  <c r="K145" i="5"/>
  <c r="M145" i="5" s="1"/>
  <c r="K146" i="5"/>
  <c r="M146" i="5" s="1"/>
  <c r="K147" i="5"/>
  <c r="M147" i="5" s="1"/>
  <c r="K148" i="5"/>
  <c r="M148" i="5" s="1"/>
  <c r="K149" i="5"/>
  <c r="M149" i="5" s="1"/>
  <c r="K150" i="5"/>
  <c r="M150" i="5" s="1"/>
  <c r="K151" i="5"/>
  <c r="M151" i="5" s="1"/>
  <c r="K152" i="5"/>
  <c r="M152" i="5" s="1"/>
  <c r="K153" i="5"/>
  <c r="M153" i="5" s="1"/>
  <c r="K154" i="5"/>
  <c r="M154" i="5" s="1"/>
  <c r="K155" i="5"/>
  <c r="M155" i="5" s="1"/>
  <c r="K156" i="5"/>
  <c r="M156" i="5" s="1"/>
  <c r="K157" i="5"/>
  <c r="M157" i="5" s="1"/>
  <c r="K158" i="5"/>
  <c r="M158" i="5" s="1"/>
  <c r="K159" i="5"/>
  <c r="M159" i="5" s="1"/>
  <c r="K160" i="5"/>
  <c r="M160" i="5" s="1"/>
  <c r="K161" i="5"/>
  <c r="M161" i="5" s="1"/>
  <c r="K162" i="5"/>
  <c r="M162" i="5" s="1"/>
  <c r="K163" i="5"/>
  <c r="M163" i="5" s="1"/>
  <c r="K164" i="5"/>
  <c r="M164" i="5" s="1"/>
  <c r="K165" i="5"/>
  <c r="M165" i="5" s="1"/>
  <c r="K166" i="5"/>
  <c r="M166" i="5" s="1"/>
  <c r="K167" i="5"/>
  <c r="M167" i="5" s="1"/>
  <c r="K168" i="5"/>
  <c r="M168" i="5" s="1"/>
  <c r="K169" i="5"/>
  <c r="M169" i="5" s="1"/>
  <c r="K170" i="5"/>
  <c r="M170" i="5" s="1"/>
  <c r="K171" i="5"/>
  <c r="M171" i="5" s="1"/>
  <c r="K172" i="5"/>
  <c r="M172" i="5" s="1"/>
  <c r="K173" i="5"/>
  <c r="M173" i="5" s="1"/>
  <c r="K174" i="5"/>
  <c r="M174" i="5" s="1"/>
  <c r="K175" i="5"/>
  <c r="M175" i="5" s="1"/>
  <c r="K176" i="5"/>
  <c r="M176" i="5" s="1"/>
  <c r="K177" i="5"/>
  <c r="M177" i="5" s="1"/>
  <c r="K178" i="5"/>
  <c r="M178" i="5" s="1"/>
  <c r="K179" i="5"/>
  <c r="M179" i="5" s="1"/>
  <c r="K180" i="5"/>
  <c r="M180" i="5" s="1"/>
  <c r="K181" i="5"/>
  <c r="M181" i="5" s="1"/>
  <c r="K182" i="5"/>
  <c r="M182" i="5" s="1"/>
  <c r="K183" i="5"/>
  <c r="M183" i="5" s="1"/>
  <c r="K184" i="5"/>
  <c r="M184" i="5" s="1"/>
  <c r="K185" i="5"/>
  <c r="M185" i="5" s="1"/>
  <c r="K186" i="5"/>
  <c r="M186" i="5" s="1"/>
  <c r="K187" i="5"/>
  <c r="M187" i="5" s="1"/>
  <c r="K188" i="5"/>
  <c r="M188" i="5" s="1"/>
  <c r="K189" i="5"/>
  <c r="M189" i="5" s="1"/>
  <c r="K190" i="5"/>
  <c r="M190" i="5" s="1"/>
  <c r="K191" i="5"/>
  <c r="M191" i="5" s="1"/>
  <c r="K192" i="5"/>
  <c r="M192" i="5" s="1"/>
  <c r="K193" i="5"/>
  <c r="M193" i="5" s="1"/>
  <c r="K194" i="5"/>
  <c r="M194" i="5" s="1"/>
  <c r="K195" i="5"/>
  <c r="M195" i="5" s="1"/>
  <c r="K196" i="5"/>
  <c r="M196" i="5" s="1"/>
  <c r="K197" i="5"/>
  <c r="M197" i="5" s="1"/>
  <c r="K198" i="5"/>
  <c r="M198" i="5" s="1"/>
  <c r="K199" i="5"/>
  <c r="M199" i="5" s="1"/>
  <c r="K200" i="5"/>
  <c r="M200" i="5" s="1"/>
  <c r="K201" i="5"/>
  <c r="M201" i="5" s="1"/>
  <c r="K202" i="5"/>
  <c r="M202" i="5" s="1"/>
  <c r="K203" i="5"/>
  <c r="M203" i="5" s="1"/>
  <c r="K204" i="5"/>
  <c r="M204" i="5" s="1"/>
  <c r="K205" i="5"/>
  <c r="M205" i="5" s="1"/>
  <c r="K206" i="5"/>
  <c r="M206" i="5" s="1"/>
  <c r="K207" i="5"/>
  <c r="M207" i="5" s="1"/>
  <c r="K208" i="5"/>
  <c r="M208" i="5" s="1"/>
  <c r="K209" i="5"/>
  <c r="M209" i="5" s="1"/>
  <c r="K210" i="5"/>
  <c r="M210" i="5" s="1"/>
  <c r="K211" i="5"/>
  <c r="M211" i="5" s="1"/>
  <c r="K212" i="5"/>
  <c r="M212" i="5" s="1"/>
  <c r="K213" i="5"/>
  <c r="M213" i="5" s="1"/>
  <c r="K214" i="5"/>
  <c r="M214" i="5" s="1"/>
  <c r="K215" i="5"/>
  <c r="M215" i="5" s="1"/>
  <c r="K216" i="5"/>
  <c r="M216" i="5" s="1"/>
  <c r="K217" i="5"/>
  <c r="M217" i="5" s="1"/>
  <c r="K218" i="5"/>
  <c r="M218" i="5" s="1"/>
  <c r="K219" i="5"/>
  <c r="M219" i="5" s="1"/>
  <c r="K220" i="5"/>
  <c r="M220" i="5" s="1"/>
  <c r="K221" i="5"/>
  <c r="M221" i="5" s="1"/>
  <c r="K222" i="5"/>
  <c r="M222" i="5" s="1"/>
  <c r="K223" i="5"/>
  <c r="M223" i="5" s="1"/>
  <c r="K224" i="5"/>
  <c r="M224" i="5" s="1"/>
  <c r="K225" i="5"/>
  <c r="M225" i="5" s="1"/>
  <c r="K226" i="5"/>
  <c r="M226" i="5" s="1"/>
  <c r="K227" i="5"/>
  <c r="M227" i="5" s="1"/>
  <c r="K228" i="5"/>
  <c r="M228" i="5" s="1"/>
  <c r="K229" i="5"/>
  <c r="M229" i="5" s="1"/>
  <c r="K230" i="5"/>
  <c r="M230" i="5" s="1"/>
  <c r="K231" i="5"/>
  <c r="M231" i="5" s="1"/>
  <c r="K232" i="5"/>
  <c r="M232" i="5" s="1"/>
  <c r="K233" i="5"/>
  <c r="M233" i="5" s="1"/>
  <c r="K234" i="5"/>
  <c r="M234" i="5" s="1"/>
  <c r="K235" i="5"/>
  <c r="M235" i="5" s="1"/>
  <c r="K236" i="5"/>
  <c r="M236" i="5" s="1"/>
  <c r="K237" i="5"/>
  <c r="M237" i="5" s="1"/>
  <c r="K238" i="5"/>
  <c r="M238" i="5" s="1"/>
  <c r="K239" i="5"/>
  <c r="M239" i="5" s="1"/>
  <c r="K240" i="5"/>
  <c r="M240" i="5" s="1"/>
  <c r="K241" i="5"/>
  <c r="M241" i="5" s="1"/>
  <c r="K242" i="5"/>
  <c r="M242" i="5" s="1"/>
  <c r="K243" i="5"/>
  <c r="M243" i="5" s="1"/>
  <c r="K244" i="5"/>
  <c r="M244" i="5" s="1"/>
  <c r="K245" i="5"/>
  <c r="M245" i="5" s="1"/>
  <c r="K246" i="5"/>
  <c r="M246" i="5" s="1"/>
  <c r="K247" i="5"/>
  <c r="M247" i="5" s="1"/>
  <c r="K248" i="5"/>
  <c r="M248" i="5" s="1"/>
  <c r="K249" i="5"/>
  <c r="M249" i="5" s="1"/>
  <c r="K250" i="5"/>
  <c r="M250" i="5" s="1"/>
  <c r="K251" i="5"/>
  <c r="M251" i="5" s="1"/>
  <c r="K252" i="5"/>
  <c r="M252" i="5" s="1"/>
  <c r="K253" i="5"/>
  <c r="M253" i="5" s="1"/>
  <c r="K254" i="5"/>
  <c r="M254" i="5" s="1"/>
  <c r="K255" i="5"/>
  <c r="M255" i="5" s="1"/>
  <c r="K256" i="5"/>
  <c r="M256" i="5" s="1"/>
  <c r="K257" i="5"/>
  <c r="M257" i="5" s="1"/>
  <c r="K258" i="5"/>
  <c r="M258" i="5" s="1"/>
  <c r="K259" i="5"/>
  <c r="M259" i="5" s="1"/>
  <c r="K260" i="5"/>
  <c r="M260" i="5" s="1"/>
  <c r="K261" i="5"/>
  <c r="M261" i="5" s="1"/>
  <c r="K262" i="5"/>
  <c r="M262" i="5" s="1"/>
  <c r="K263" i="5"/>
  <c r="M263" i="5" s="1"/>
  <c r="K264" i="5"/>
  <c r="M264" i="5" s="1"/>
  <c r="K265" i="5"/>
  <c r="M265" i="5" s="1"/>
  <c r="K266" i="5"/>
  <c r="M266" i="5" s="1"/>
  <c r="K267" i="5"/>
  <c r="M267" i="5" s="1"/>
  <c r="K268" i="5"/>
  <c r="M268" i="5" s="1"/>
  <c r="K269" i="5"/>
  <c r="M269" i="5" s="1"/>
  <c r="K270" i="5"/>
  <c r="M270" i="5" s="1"/>
  <c r="K271" i="5"/>
  <c r="M271" i="5" s="1"/>
  <c r="K272" i="5"/>
  <c r="M272" i="5" s="1"/>
  <c r="K273" i="5"/>
  <c r="M273" i="5" s="1"/>
  <c r="K274" i="5"/>
  <c r="M274" i="5" s="1"/>
  <c r="K275" i="5"/>
  <c r="M275" i="5" s="1"/>
  <c r="K276" i="5"/>
  <c r="M276" i="5" s="1"/>
  <c r="K277" i="5"/>
  <c r="M277" i="5" s="1"/>
  <c r="K278" i="5"/>
  <c r="M278" i="5" s="1"/>
  <c r="K279" i="5"/>
  <c r="M279" i="5" s="1"/>
  <c r="K280" i="5"/>
  <c r="M280" i="5" s="1"/>
  <c r="K281" i="5"/>
  <c r="M281" i="5" s="1"/>
  <c r="K282" i="5"/>
  <c r="M282" i="5" s="1"/>
  <c r="K283" i="5"/>
  <c r="M283" i="5" s="1"/>
  <c r="K284" i="5"/>
  <c r="M284" i="5" s="1"/>
  <c r="K285" i="5"/>
  <c r="M285" i="5" s="1"/>
  <c r="K286" i="5"/>
  <c r="M286" i="5" s="1"/>
  <c r="K287" i="5"/>
  <c r="M287" i="5" s="1"/>
  <c r="K288" i="5"/>
  <c r="M288" i="5" s="1"/>
  <c r="K289" i="5"/>
  <c r="M289" i="5" s="1"/>
  <c r="K290" i="5"/>
  <c r="M290" i="5" s="1"/>
  <c r="K291" i="5"/>
  <c r="M291" i="5" s="1"/>
  <c r="K292" i="5"/>
  <c r="M292" i="5" s="1"/>
  <c r="K293" i="5"/>
  <c r="M293" i="5" s="1"/>
  <c r="K294" i="5"/>
  <c r="M294" i="5" s="1"/>
  <c r="K295" i="5"/>
  <c r="M295" i="5" s="1"/>
  <c r="K296" i="5"/>
  <c r="M296" i="5" s="1"/>
  <c r="K297" i="5"/>
  <c r="M297" i="5" s="1"/>
  <c r="K298" i="5"/>
  <c r="M298" i="5" s="1"/>
  <c r="K299" i="5"/>
  <c r="M299" i="5" s="1"/>
  <c r="K300" i="5"/>
  <c r="M300" i="5" s="1"/>
  <c r="K301" i="5"/>
  <c r="M301" i="5" s="1"/>
  <c r="K302" i="5"/>
  <c r="M302" i="5" s="1"/>
  <c r="K303" i="5"/>
  <c r="M303" i="5" s="1"/>
  <c r="K304" i="5"/>
  <c r="M304" i="5" s="1"/>
  <c r="K305" i="5"/>
  <c r="M305" i="5" s="1"/>
  <c r="K306" i="5"/>
  <c r="M306" i="5" s="1"/>
  <c r="K307" i="5"/>
  <c r="M307" i="5" s="1"/>
  <c r="K308" i="5"/>
  <c r="M308" i="5" s="1"/>
  <c r="K309" i="5"/>
  <c r="M309" i="5" s="1"/>
  <c r="K310" i="5"/>
  <c r="M310" i="5" s="1"/>
  <c r="K311" i="5"/>
  <c r="M311" i="5" s="1"/>
  <c r="K312" i="5"/>
  <c r="M312" i="5" s="1"/>
  <c r="K313" i="5"/>
  <c r="M313" i="5" s="1"/>
  <c r="K314" i="5"/>
  <c r="M314" i="5" s="1"/>
  <c r="K315" i="5"/>
  <c r="M315" i="5" s="1"/>
  <c r="K316" i="5"/>
  <c r="M316" i="5" s="1"/>
  <c r="K317" i="5"/>
  <c r="M317" i="5" s="1"/>
  <c r="K318" i="5"/>
  <c r="M318" i="5" s="1"/>
  <c r="K319" i="5"/>
  <c r="M319" i="5" s="1"/>
  <c r="K320" i="5"/>
  <c r="M320" i="5" s="1"/>
  <c r="K321" i="5"/>
  <c r="M321" i="5" s="1"/>
  <c r="K322" i="5"/>
  <c r="M322" i="5" s="1"/>
  <c r="K323" i="5"/>
  <c r="M323" i="5" s="1"/>
  <c r="K324" i="5"/>
  <c r="M324" i="5" s="1"/>
  <c r="K325" i="5"/>
  <c r="M325" i="5" s="1"/>
  <c r="K326" i="5"/>
  <c r="M326" i="5" s="1"/>
  <c r="K327" i="5"/>
  <c r="M327" i="5" s="1"/>
  <c r="K328" i="5"/>
  <c r="M328" i="5" s="1"/>
  <c r="K329" i="5"/>
  <c r="M329" i="5" s="1"/>
  <c r="K330" i="5"/>
  <c r="M330" i="5" s="1"/>
  <c r="K331" i="5"/>
  <c r="M331" i="5" s="1"/>
  <c r="K332" i="5"/>
  <c r="M332" i="5" s="1"/>
  <c r="K333" i="5"/>
  <c r="M333" i="5" s="1"/>
  <c r="K334" i="5"/>
  <c r="M334" i="5" s="1"/>
  <c r="K335" i="5"/>
  <c r="M335" i="5" s="1"/>
  <c r="K336" i="5"/>
  <c r="M336" i="5" s="1"/>
  <c r="K337" i="5"/>
  <c r="M337" i="5" s="1"/>
  <c r="K338" i="5"/>
  <c r="M338" i="5" s="1"/>
  <c r="K339" i="5"/>
  <c r="M339" i="5" s="1"/>
  <c r="K340" i="5"/>
  <c r="M340" i="5" s="1"/>
  <c r="K341" i="5"/>
  <c r="M341" i="5" s="1"/>
  <c r="K342" i="5"/>
  <c r="M342" i="5" s="1"/>
  <c r="K343" i="5"/>
  <c r="M343" i="5" s="1"/>
  <c r="K344" i="5"/>
  <c r="M344" i="5" s="1"/>
  <c r="K345" i="5"/>
  <c r="M345" i="5" s="1"/>
  <c r="K346" i="5"/>
  <c r="M346" i="5" s="1"/>
  <c r="K347" i="5"/>
  <c r="M347" i="5" s="1"/>
  <c r="K348" i="5"/>
  <c r="M348" i="5" s="1"/>
  <c r="K349" i="5"/>
  <c r="M349" i="5" s="1"/>
  <c r="K350" i="5"/>
  <c r="M350" i="5" s="1"/>
  <c r="K351" i="5"/>
  <c r="M351" i="5" s="1"/>
  <c r="K352" i="5"/>
  <c r="M352" i="5" s="1"/>
  <c r="K353" i="5"/>
  <c r="M353" i="5" s="1"/>
  <c r="K354" i="5"/>
  <c r="M354" i="5" s="1"/>
  <c r="K355" i="5"/>
  <c r="M355" i="5" s="1"/>
  <c r="K356" i="5"/>
  <c r="M356" i="5" s="1"/>
  <c r="K357" i="5"/>
  <c r="M357" i="5" s="1"/>
  <c r="K358" i="5"/>
  <c r="M358" i="5" s="1"/>
  <c r="K359" i="5"/>
  <c r="M359" i="5" s="1"/>
  <c r="K360" i="5"/>
  <c r="M360" i="5" s="1"/>
  <c r="K361" i="5"/>
  <c r="M361" i="5" s="1"/>
  <c r="K362" i="5"/>
  <c r="M362" i="5" s="1"/>
  <c r="K363" i="5"/>
  <c r="M363" i="5" s="1"/>
  <c r="K364" i="5"/>
  <c r="M364" i="5" s="1"/>
  <c r="K365" i="5"/>
  <c r="M365" i="5" s="1"/>
  <c r="K366" i="5"/>
  <c r="M366" i="5" s="1"/>
  <c r="K367" i="5"/>
  <c r="M367" i="5" s="1"/>
  <c r="K368" i="5"/>
  <c r="M368" i="5" s="1"/>
  <c r="K369" i="5"/>
  <c r="M369" i="5" s="1"/>
  <c r="K370" i="5"/>
  <c r="M370" i="5" s="1"/>
  <c r="K371" i="5"/>
  <c r="M371" i="5" s="1"/>
  <c r="K372" i="5"/>
  <c r="M372" i="5" s="1"/>
  <c r="K373" i="5"/>
  <c r="M373" i="5" s="1"/>
  <c r="K374" i="5"/>
  <c r="M374" i="5" s="1"/>
  <c r="K375" i="5"/>
  <c r="M375" i="5" s="1"/>
  <c r="K376" i="5"/>
  <c r="M376" i="5" s="1"/>
  <c r="K377" i="5"/>
  <c r="M377" i="5" s="1"/>
  <c r="K378" i="5"/>
  <c r="M378" i="5" s="1"/>
  <c r="K379" i="5"/>
  <c r="M379" i="5" s="1"/>
  <c r="K380" i="5"/>
  <c r="M380" i="5" s="1"/>
  <c r="K381" i="5"/>
  <c r="M381" i="5" s="1"/>
  <c r="K382" i="5"/>
  <c r="M382" i="5" s="1"/>
  <c r="K383" i="5"/>
  <c r="M383" i="5" s="1"/>
  <c r="K384" i="5"/>
  <c r="M384" i="5" s="1"/>
  <c r="K385" i="5"/>
  <c r="M385" i="5" s="1"/>
  <c r="K386" i="5"/>
  <c r="M386" i="5" s="1"/>
  <c r="K387" i="5"/>
  <c r="M387" i="5" s="1"/>
  <c r="K388" i="5"/>
  <c r="M388" i="5" s="1"/>
  <c r="K389" i="5"/>
  <c r="M389" i="5" s="1"/>
  <c r="K390" i="5"/>
  <c r="M390" i="5" s="1"/>
  <c r="K391" i="5"/>
  <c r="M391" i="5" s="1"/>
  <c r="K392" i="5"/>
  <c r="M392" i="5" s="1"/>
  <c r="K393" i="5"/>
  <c r="M393" i="5" s="1"/>
  <c r="K394" i="5"/>
  <c r="M394" i="5" s="1"/>
  <c r="K395" i="5"/>
  <c r="M395" i="5" s="1"/>
  <c r="K396" i="5"/>
  <c r="M396" i="5" s="1"/>
  <c r="K397" i="5"/>
  <c r="M397" i="5" s="1"/>
  <c r="K398" i="5"/>
  <c r="M398" i="5" s="1"/>
  <c r="K399" i="5"/>
  <c r="M399" i="5" s="1"/>
  <c r="K400" i="5"/>
  <c r="M400" i="5" s="1"/>
  <c r="K401" i="5"/>
  <c r="M401" i="5" s="1"/>
  <c r="K402" i="5"/>
  <c r="M402" i="5" s="1"/>
  <c r="K403" i="5"/>
  <c r="M403" i="5" s="1"/>
  <c r="K404" i="5"/>
  <c r="M404" i="5" s="1"/>
  <c r="K405" i="5"/>
  <c r="M405" i="5" s="1"/>
  <c r="K406" i="5"/>
  <c r="M406" i="5" s="1"/>
  <c r="K407" i="5"/>
  <c r="M407" i="5" s="1"/>
  <c r="K408" i="5"/>
  <c r="M408" i="5" s="1"/>
  <c r="K409" i="5"/>
  <c r="M409" i="5" s="1"/>
  <c r="K410" i="5"/>
  <c r="M410" i="5" s="1"/>
  <c r="K411" i="5"/>
  <c r="M411" i="5" s="1"/>
  <c r="K412" i="5"/>
  <c r="M412" i="5" s="1"/>
  <c r="K413" i="5"/>
  <c r="M413" i="5" s="1"/>
  <c r="K414" i="5"/>
  <c r="M414" i="5" s="1"/>
  <c r="K415" i="5"/>
  <c r="M415" i="5" s="1"/>
  <c r="K416" i="5"/>
  <c r="M416" i="5" s="1"/>
  <c r="K417" i="5"/>
  <c r="M417" i="5" s="1"/>
  <c r="K418" i="5"/>
  <c r="M418" i="5" s="1"/>
  <c r="K419" i="5"/>
  <c r="M419" i="5" s="1"/>
  <c r="K420" i="5"/>
  <c r="M420" i="5" s="1"/>
  <c r="K421" i="5"/>
  <c r="M421" i="5" s="1"/>
  <c r="K422" i="5"/>
  <c r="M422" i="5" s="1"/>
  <c r="K423" i="5"/>
  <c r="M423" i="5" s="1"/>
  <c r="K424" i="5"/>
  <c r="M424" i="5" s="1"/>
  <c r="K425" i="5"/>
  <c r="M425" i="5" s="1"/>
  <c r="K426" i="5"/>
  <c r="M426" i="5" s="1"/>
  <c r="K427" i="5"/>
  <c r="M427" i="5" s="1"/>
  <c r="K428" i="5"/>
  <c r="M428" i="5" s="1"/>
  <c r="K429" i="5"/>
  <c r="M429" i="5" s="1"/>
  <c r="K430" i="5"/>
  <c r="M430" i="5" s="1"/>
  <c r="K431" i="5"/>
  <c r="M431" i="5" s="1"/>
  <c r="K432" i="5"/>
  <c r="M432" i="5" s="1"/>
  <c r="K433" i="5"/>
  <c r="M433" i="5" s="1"/>
  <c r="K434" i="5"/>
  <c r="M434" i="5" s="1"/>
  <c r="K435" i="5"/>
  <c r="M435" i="5" s="1"/>
  <c r="K436" i="5"/>
  <c r="M436" i="5" s="1"/>
  <c r="K437" i="5"/>
  <c r="M437" i="5" s="1"/>
  <c r="K438" i="5"/>
  <c r="M438" i="5" s="1"/>
  <c r="K439" i="5"/>
  <c r="M439" i="5" s="1"/>
  <c r="K440" i="5"/>
  <c r="M440" i="5" s="1"/>
  <c r="K441" i="5"/>
  <c r="M441" i="5" s="1"/>
  <c r="K442" i="5"/>
  <c r="M442" i="5" s="1"/>
  <c r="K443" i="5"/>
  <c r="M443" i="5" s="1"/>
  <c r="K444" i="5"/>
  <c r="M444" i="5" s="1"/>
  <c r="K445" i="5"/>
  <c r="M445" i="5" s="1"/>
  <c r="K446" i="5"/>
  <c r="M446" i="5" s="1"/>
  <c r="K447" i="5"/>
  <c r="M447" i="5" s="1"/>
  <c r="K448" i="5"/>
  <c r="M448" i="5" s="1"/>
  <c r="K449" i="5"/>
  <c r="M449" i="5" s="1"/>
  <c r="K450" i="5"/>
  <c r="M450" i="5" s="1"/>
  <c r="K451" i="5"/>
  <c r="M451" i="5" s="1"/>
  <c r="K452" i="5"/>
  <c r="M452" i="5" s="1"/>
  <c r="K453" i="5"/>
  <c r="M453" i="5" s="1"/>
  <c r="K454" i="5"/>
  <c r="M454" i="5" s="1"/>
  <c r="K455" i="5"/>
  <c r="M455" i="5" s="1"/>
  <c r="K456" i="5"/>
  <c r="M456" i="5" s="1"/>
  <c r="K457" i="5"/>
  <c r="M457" i="5" s="1"/>
  <c r="K458" i="5"/>
  <c r="M458" i="5" s="1"/>
  <c r="K459" i="5"/>
  <c r="M459" i="5" s="1"/>
  <c r="K460" i="5"/>
  <c r="M460" i="5" s="1"/>
  <c r="K461" i="5"/>
  <c r="M461" i="5" s="1"/>
  <c r="K462" i="5"/>
  <c r="M462" i="5" s="1"/>
  <c r="K463" i="5"/>
  <c r="M463" i="5" s="1"/>
  <c r="K464" i="5"/>
  <c r="M464" i="5" s="1"/>
  <c r="K465" i="5"/>
  <c r="M465" i="5" s="1"/>
  <c r="K466" i="5"/>
  <c r="M466" i="5" s="1"/>
  <c r="K467" i="5"/>
  <c r="M467" i="5" s="1"/>
  <c r="K468" i="5"/>
  <c r="M468" i="5" s="1"/>
  <c r="K469" i="5"/>
  <c r="M469" i="5" s="1"/>
  <c r="K470" i="5"/>
  <c r="M470" i="5" s="1"/>
  <c r="K471" i="5"/>
  <c r="M471" i="5" s="1"/>
  <c r="K472" i="5"/>
  <c r="M472" i="5" s="1"/>
  <c r="K473" i="5"/>
  <c r="M473" i="5" s="1"/>
  <c r="K474" i="5"/>
  <c r="M474" i="5" s="1"/>
  <c r="K475" i="5"/>
  <c r="M475" i="5" s="1"/>
  <c r="K476" i="5"/>
  <c r="M476" i="5" s="1"/>
  <c r="K477" i="5"/>
  <c r="M477" i="5" s="1"/>
  <c r="K478" i="5"/>
  <c r="M478" i="5" s="1"/>
  <c r="K479" i="5"/>
  <c r="M479" i="5" s="1"/>
  <c r="K480" i="5"/>
  <c r="M480" i="5" s="1"/>
  <c r="K481" i="5"/>
  <c r="M481" i="5" s="1"/>
  <c r="K482" i="5"/>
  <c r="M482" i="5" s="1"/>
  <c r="K483" i="5"/>
  <c r="M483" i="5" s="1"/>
  <c r="K484" i="5"/>
  <c r="M484" i="5" s="1"/>
  <c r="K485" i="5"/>
  <c r="M485" i="5" s="1"/>
  <c r="K486" i="5"/>
  <c r="M486" i="5" s="1"/>
  <c r="K487" i="5"/>
  <c r="M487" i="5" s="1"/>
  <c r="K488" i="5"/>
  <c r="M488" i="5" s="1"/>
  <c r="K489" i="5"/>
  <c r="M489" i="5" s="1"/>
  <c r="K490" i="5"/>
  <c r="M490" i="5" s="1"/>
  <c r="K491" i="5"/>
  <c r="M491" i="5" s="1"/>
  <c r="K492" i="5"/>
  <c r="M492" i="5" s="1"/>
  <c r="K493" i="5"/>
  <c r="M493" i="5" s="1"/>
  <c r="K494" i="5"/>
  <c r="M494" i="5" s="1"/>
  <c r="K495" i="5"/>
  <c r="M495" i="5" s="1"/>
  <c r="K496" i="5"/>
  <c r="M496" i="5" s="1"/>
  <c r="K497" i="5"/>
  <c r="M497" i="5" s="1"/>
  <c r="K498" i="5"/>
  <c r="M498" i="5" s="1"/>
  <c r="K499" i="5"/>
  <c r="M499" i="5" s="1"/>
  <c r="K500" i="5"/>
  <c r="M500" i="5" s="1"/>
  <c r="K501" i="5"/>
  <c r="M501" i="5" s="1"/>
  <c r="K502" i="5"/>
  <c r="M502" i="5" s="1"/>
  <c r="K503" i="5"/>
  <c r="M503" i="5" s="1"/>
  <c r="K504" i="5"/>
  <c r="M504" i="5" s="1"/>
  <c r="K505" i="5"/>
  <c r="M505" i="5" s="1"/>
  <c r="K506" i="5"/>
  <c r="M506" i="5" s="1"/>
  <c r="K507" i="5"/>
  <c r="M507" i="5" s="1"/>
  <c r="K508" i="5"/>
  <c r="M508" i="5" s="1"/>
  <c r="K509" i="5"/>
  <c r="M509" i="5" s="1"/>
  <c r="K510" i="5"/>
  <c r="M510" i="5" s="1"/>
  <c r="K511" i="5"/>
  <c r="M511" i="5" s="1"/>
  <c r="K512" i="5"/>
  <c r="M512" i="5" s="1"/>
  <c r="K513" i="5"/>
  <c r="M513" i="5" s="1"/>
  <c r="K514" i="5"/>
  <c r="M514" i="5" s="1"/>
  <c r="K515" i="5"/>
  <c r="M515" i="5" s="1"/>
  <c r="K516" i="5"/>
  <c r="M516" i="5" s="1"/>
  <c r="K517" i="5"/>
  <c r="M517" i="5" s="1"/>
  <c r="K518" i="5"/>
  <c r="M518" i="5" s="1"/>
  <c r="K519" i="5"/>
  <c r="M519" i="5" s="1"/>
  <c r="K520" i="5"/>
  <c r="M520" i="5" s="1"/>
  <c r="K521" i="5"/>
  <c r="M521" i="5" s="1"/>
  <c r="K522" i="5"/>
  <c r="M522" i="5" s="1"/>
  <c r="K523" i="5"/>
  <c r="M523" i="5" s="1"/>
  <c r="K524" i="5"/>
  <c r="M524" i="5" s="1"/>
  <c r="K525" i="5"/>
  <c r="M525" i="5" s="1"/>
  <c r="K526" i="5"/>
  <c r="M526" i="5" s="1"/>
  <c r="K527" i="5"/>
  <c r="M527" i="5" s="1"/>
  <c r="K528" i="5"/>
  <c r="M528" i="5" s="1"/>
  <c r="K529" i="5"/>
  <c r="M529" i="5" s="1"/>
  <c r="K530" i="5"/>
  <c r="M530" i="5" s="1"/>
  <c r="K531" i="5"/>
  <c r="M531" i="5" s="1"/>
  <c r="K532" i="5"/>
  <c r="M532" i="5" s="1"/>
  <c r="K533" i="5"/>
  <c r="M533" i="5" s="1"/>
  <c r="K534" i="5"/>
  <c r="M534" i="5" s="1"/>
  <c r="K535" i="5"/>
  <c r="M535" i="5" s="1"/>
  <c r="K536" i="5"/>
  <c r="M536" i="5" s="1"/>
  <c r="K537" i="5"/>
  <c r="M537" i="5" s="1"/>
  <c r="K538" i="5"/>
  <c r="M538" i="5" s="1"/>
  <c r="K539" i="5"/>
  <c r="M539" i="5" s="1"/>
  <c r="K540" i="5"/>
  <c r="M540" i="5" s="1"/>
  <c r="K541" i="5"/>
  <c r="M541" i="5" s="1"/>
  <c r="K542" i="5"/>
  <c r="M542" i="5" s="1"/>
  <c r="K543" i="5"/>
  <c r="M543" i="5" s="1"/>
  <c r="K544" i="5"/>
  <c r="M544" i="5" s="1"/>
  <c r="K545" i="5"/>
  <c r="M545" i="5" s="1"/>
  <c r="K546" i="5"/>
  <c r="M546" i="5" s="1"/>
  <c r="K547" i="5"/>
  <c r="M547" i="5" s="1"/>
  <c r="K548" i="5"/>
  <c r="M548" i="5" s="1"/>
  <c r="K549" i="5"/>
  <c r="M549" i="5" s="1"/>
  <c r="K550" i="5"/>
  <c r="M550" i="5" s="1"/>
  <c r="K551" i="5"/>
  <c r="M551" i="5" s="1"/>
  <c r="K552" i="5"/>
  <c r="M552" i="5" s="1"/>
  <c r="K553" i="5"/>
  <c r="M553" i="5" s="1"/>
  <c r="K554" i="5"/>
  <c r="M554" i="5" s="1"/>
  <c r="K555" i="5"/>
  <c r="M555" i="5" s="1"/>
  <c r="K556" i="5"/>
  <c r="M556" i="5" s="1"/>
  <c r="K557" i="5"/>
  <c r="M557" i="5" s="1"/>
  <c r="K558" i="5"/>
  <c r="M558" i="5" s="1"/>
  <c r="K559" i="5"/>
  <c r="M559" i="5" s="1"/>
  <c r="K560" i="5"/>
  <c r="M560" i="5" s="1"/>
  <c r="K561" i="5"/>
  <c r="M561" i="5" s="1"/>
  <c r="K562" i="5"/>
  <c r="M562" i="5" s="1"/>
  <c r="K563" i="5"/>
  <c r="M563" i="5" s="1"/>
  <c r="K564" i="5"/>
  <c r="M564" i="5" s="1"/>
  <c r="K565" i="5"/>
  <c r="M565" i="5" s="1"/>
  <c r="K566" i="5"/>
  <c r="M566" i="5" s="1"/>
  <c r="K567" i="5"/>
  <c r="M567" i="5" s="1"/>
  <c r="K568" i="5"/>
  <c r="M568" i="5" s="1"/>
  <c r="K569" i="5"/>
  <c r="M569" i="5" s="1"/>
  <c r="K570" i="5"/>
  <c r="M570" i="5" s="1"/>
  <c r="K571" i="5"/>
  <c r="M571" i="5" s="1"/>
  <c r="K572" i="5"/>
  <c r="M572" i="5" s="1"/>
  <c r="K573" i="5"/>
  <c r="M573" i="5" s="1"/>
  <c r="K574" i="5"/>
  <c r="M574" i="5" s="1"/>
  <c r="K575" i="5"/>
  <c r="M575" i="5" s="1"/>
  <c r="K576" i="5"/>
  <c r="M576" i="5" s="1"/>
  <c r="K577" i="5"/>
  <c r="M577" i="5" s="1"/>
  <c r="K578" i="5"/>
  <c r="M578" i="5" s="1"/>
  <c r="K579" i="5"/>
  <c r="M579" i="5" s="1"/>
  <c r="K580" i="5"/>
  <c r="M580" i="5" s="1"/>
  <c r="K581" i="5"/>
  <c r="M581" i="5" s="1"/>
  <c r="K582" i="5"/>
  <c r="M582" i="5" s="1"/>
  <c r="K583" i="5"/>
  <c r="M583" i="5" s="1"/>
  <c r="K584" i="5"/>
  <c r="M584" i="5" s="1"/>
  <c r="K585" i="5"/>
  <c r="M585" i="5" s="1"/>
  <c r="K586" i="5"/>
  <c r="M586" i="5" s="1"/>
  <c r="K587" i="5"/>
  <c r="M587" i="5" s="1"/>
  <c r="K588" i="5"/>
  <c r="M588" i="5" s="1"/>
  <c r="K589" i="5"/>
  <c r="M589" i="5" s="1"/>
  <c r="K590" i="5"/>
  <c r="M590" i="5" s="1"/>
  <c r="K591" i="5"/>
  <c r="M591" i="5" s="1"/>
  <c r="K592" i="5"/>
  <c r="M592" i="5" s="1"/>
  <c r="K593" i="5"/>
  <c r="M593" i="5" s="1"/>
  <c r="K594" i="5"/>
  <c r="M594" i="5" s="1"/>
  <c r="K595" i="5"/>
  <c r="M595" i="5" s="1"/>
  <c r="K596" i="5"/>
  <c r="M596" i="5" s="1"/>
  <c r="K597" i="5"/>
  <c r="M597" i="5" s="1"/>
  <c r="K598" i="5"/>
  <c r="M598" i="5" s="1"/>
  <c r="K599" i="5"/>
  <c r="M599" i="5" s="1"/>
  <c r="K600" i="5"/>
  <c r="M600" i="5" s="1"/>
  <c r="K601" i="5"/>
  <c r="M601" i="5" s="1"/>
  <c r="K602" i="5"/>
  <c r="M602" i="5" s="1"/>
  <c r="K603" i="5"/>
  <c r="M603" i="5" s="1"/>
  <c r="K604" i="5"/>
  <c r="M604" i="5" s="1"/>
  <c r="K605" i="5"/>
  <c r="M605" i="5" s="1"/>
  <c r="K606" i="5"/>
  <c r="M606" i="5" s="1"/>
  <c r="K607" i="5"/>
  <c r="M607" i="5" s="1"/>
  <c r="K608" i="5"/>
  <c r="M608" i="5" s="1"/>
  <c r="K609" i="5"/>
  <c r="M609" i="5" s="1"/>
  <c r="K610" i="5"/>
  <c r="M610" i="5" s="1"/>
  <c r="K611" i="5"/>
  <c r="M611" i="5" s="1"/>
  <c r="K612" i="5"/>
  <c r="M612" i="5" s="1"/>
  <c r="K613" i="5"/>
  <c r="M613" i="5" s="1"/>
  <c r="K614" i="5"/>
  <c r="M614" i="5" s="1"/>
  <c r="K615" i="5"/>
  <c r="M615" i="5" s="1"/>
  <c r="K616" i="5"/>
  <c r="M616" i="5" s="1"/>
  <c r="K617" i="5"/>
  <c r="M617" i="5" s="1"/>
  <c r="K618" i="5"/>
  <c r="M618" i="5" s="1"/>
  <c r="K619" i="5"/>
  <c r="M619" i="5" s="1"/>
  <c r="K620" i="5"/>
  <c r="M620" i="5" s="1"/>
  <c r="K621" i="5"/>
  <c r="M621" i="5" s="1"/>
  <c r="K622" i="5"/>
  <c r="M622" i="5" s="1"/>
  <c r="K623" i="5"/>
  <c r="M623" i="5" s="1"/>
  <c r="K624" i="5"/>
  <c r="M624" i="5" s="1"/>
  <c r="K625" i="5"/>
  <c r="M625" i="5" s="1"/>
  <c r="K626" i="5"/>
  <c r="M626" i="5" s="1"/>
  <c r="K627" i="5"/>
  <c r="M627" i="5" s="1"/>
  <c r="K628" i="5"/>
  <c r="M628" i="5" s="1"/>
  <c r="K629" i="5"/>
  <c r="M629" i="5" s="1"/>
  <c r="K630" i="5"/>
  <c r="M630" i="5" s="1"/>
  <c r="K631" i="5"/>
  <c r="M631" i="5" s="1"/>
  <c r="K632" i="5"/>
  <c r="M632" i="5" s="1"/>
  <c r="K633" i="5"/>
  <c r="M633" i="5" s="1"/>
  <c r="K634" i="5"/>
  <c r="M634" i="5" s="1"/>
  <c r="K635" i="5"/>
  <c r="M635" i="5" s="1"/>
  <c r="K636" i="5"/>
  <c r="M636" i="5" s="1"/>
  <c r="K637" i="5"/>
  <c r="M637" i="5" s="1"/>
  <c r="K638" i="5"/>
  <c r="M638" i="5" s="1"/>
  <c r="K639" i="5"/>
  <c r="M639" i="5" s="1"/>
  <c r="K640" i="5"/>
  <c r="M640" i="5" s="1"/>
  <c r="K641" i="5"/>
  <c r="M641" i="5" s="1"/>
  <c r="K642" i="5"/>
  <c r="M642" i="5" s="1"/>
  <c r="K643" i="5"/>
  <c r="M643" i="5" s="1"/>
  <c r="K644" i="5"/>
  <c r="M644" i="5" s="1"/>
  <c r="K645" i="5"/>
  <c r="M645" i="5" s="1"/>
  <c r="K646" i="5"/>
  <c r="M646" i="5" s="1"/>
  <c r="K647" i="5"/>
  <c r="M647" i="5" s="1"/>
  <c r="K648" i="5"/>
  <c r="M648" i="5" s="1"/>
  <c r="K649" i="5"/>
  <c r="M649" i="5" s="1"/>
  <c r="K650" i="5"/>
  <c r="M650" i="5" s="1"/>
  <c r="K651" i="5"/>
  <c r="M651" i="5" s="1"/>
  <c r="K652" i="5"/>
  <c r="M652" i="5" s="1"/>
  <c r="K653" i="5"/>
  <c r="M653" i="5" s="1"/>
  <c r="K654" i="5"/>
  <c r="M654" i="5" s="1"/>
  <c r="K655" i="5"/>
  <c r="M655" i="5" s="1"/>
  <c r="K656" i="5"/>
  <c r="M656" i="5" s="1"/>
  <c r="K657" i="5"/>
  <c r="M657" i="5" s="1"/>
  <c r="K658" i="5"/>
  <c r="M658" i="5" s="1"/>
  <c r="K659" i="5"/>
  <c r="M659" i="5" s="1"/>
  <c r="K660" i="5"/>
  <c r="M660" i="5" s="1"/>
  <c r="K661" i="5"/>
  <c r="M661" i="5" s="1"/>
  <c r="K662" i="5"/>
  <c r="M662" i="5" s="1"/>
  <c r="K663" i="5"/>
  <c r="M663" i="5" s="1"/>
  <c r="K664" i="5"/>
  <c r="M664" i="5" s="1"/>
  <c r="K665" i="5"/>
  <c r="M665" i="5" s="1"/>
  <c r="K666" i="5"/>
  <c r="M666" i="5" s="1"/>
  <c r="K667" i="5"/>
  <c r="M667" i="5" s="1"/>
  <c r="K668" i="5"/>
  <c r="M668" i="5" s="1"/>
  <c r="K669" i="5"/>
  <c r="M669" i="5" s="1"/>
  <c r="K670" i="5"/>
  <c r="M670" i="5" s="1"/>
  <c r="K671" i="5"/>
  <c r="M671" i="5" s="1"/>
  <c r="K672" i="5"/>
  <c r="M672" i="5" s="1"/>
  <c r="K673" i="5"/>
  <c r="M673" i="5" s="1"/>
  <c r="K674" i="5"/>
  <c r="M674" i="5" s="1"/>
  <c r="K675" i="5"/>
  <c r="M675" i="5" s="1"/>
  <c r="K676" i="5"/>
  <c r="M676" i="5" s="1"/>
  <c r="K677" i="5"/>
  <c r="M677" i="5" s="1"/>
  <c r="K678" i="5"/>
  <c r="M678" i="5" s="1"/>
  <c r="K679" i="5"/>
  <c r="M679" i="5" s="1"/>
  <c r="K680" i="5"/>
  <c r="M680" i="5" s="1"/>
  <c r="K681" i="5"/>
  <c r="M681" i="5" s="1"/>
  <c r="K682" i="5"/>
  <c r="M682" i="5" s="1"/>
  <c r="K683" i="5"/>
  <c r="M683" i="5" s="1"/>
  <c r="K684" i="5"/>
  <c r="M684" i="5" s="1"/>
  <c r="K685" i="5"/>
  <c r="M685" i="5" s="1"/>
  <c r="K686" i="5"/>
  <c r="M686" i="5" s="1"/>
  <c r="K687" i="5"/>
  <c r="M687" i="5" s="1"/>
  <c r="K688" i="5"/>
  <c r="M688" i="5" s="1"/>
  <c r="K689" i="5"/>
  <c r="M689" i="5" s="1"/>
  <c r="K690" i="5"/>
  <c r="M690" i="5" s="1"/>
  <c r="K691" i="5"/>
  <c r="M691" i="5" s="1"/>
  <c r="K692" i="5"/>
  <c r="M692" i="5" s="1"/>
  <c r="K693" i="5"/>
  <c r="M693" i="5" s="1"/>
  <c r="K694" i="5"/>
  <c r="M694" i="5" s="1"/>
  <c r="K695" i="5"/>
  <c r="M695" i="5" s="1"/>
  <c r="K696" i="5"/>
  <c r="M696" i="5" s="1"/>
  <c r="K697" i="5"/>
  <c r="M697" i="5" s="1"/>
  <c r="K698" i="5"/>
  <c r="M698" i="5" s="1"/>
  <c r="K699" i="5"/>
  <c r="M699" i="5" s="1"/>
  <c r="K700" i="5"/>
  <c r="M700" i="5" s="1"/>
  <c r="K701" i="5"/>
  <c r="M701" i="5" s="1"/>
  <c r="K702" i="5"/>
  <c r="M702" i="5" s="1"/>
  <c r="K703" i="5"/>
  <c r="M703" i="5" s="1"/>
  <c r="K704" i="5"/>
  <c r="M704" i="5" s="1"/>
  <c r="K705" i="5"/>
  <c r="M705" i="5" s="1"/>
  <c r="K706" i="5"/>
  <c r="M706" i="5" s="1"/>
  <c r="K707" i="5"/>
  <c r="M707" i="5" s="1"/>
  <c r="K708" i="5"/>
  <c r="M708" i="5" s="1"/>
  <c r="K709" i="5"/>
  <c r="M709" i="5" s="1"/>
  <c r="K710" i="5"/>
  <c r="M710" i="5" s="1"/>
  <c r="K711" i="5"/>
  <c r="M711" i="5" s="1"/>
  <c r="K712" i="5"/>
  <c r="M712" i="5" s="1"/>
  <c r="K713" i="5"/>
  <c r="M713" i="5" s="1"/>
  <c r="K714" i="5"/>
  <c r="M714" i="5" s="1"/>
  <c r="K715" i="5"/>
  <c r="M715" i="5" s="1"/>
  <c r="K716" i="5"/>
  <c r="M716" i="5" s="1"/>
  <c r="K717" i="5"/>
  <c r="M717" i="5" s="1"/>
  <c r="K718" i="5"/>
  <c r="M718" i="5" s="1"/>
  <c r="K719" i="5"/>
  <c r="M719" i="5" s="1"/>
  <c r="K720" i="5"/>
  <c r="M720" i="5" s="1"/>
  <c r="K721" i="5"/>
  <c r="M721" i="5" s="1"/>
  <c r="K722" i="5"/>
  <c r="M722" i="5" s="1"/>
  <c r="K723" i="5"/>
  <c r="M723" i="5" s="1"/>
  <c r="K724" i="5"/>
  <c r="M724" i="5" s="1"/>
  <c r="K725" i="5"/>
  <c r="M725" i="5" s="1"/>
  <c r="K726" i="5"/>
  <c r="M726" i="5" s="1"/>
  <c r="K727" i="5"/>
  <c r="M727" i="5" s="1"/>
  <c r="K728" i="5"/>
  <c r="M728" i="5" s="1"/>
  <c r="K729" i="5"/>
  <c r="M729" i="5" s="1"/>
  <c r="K730" i="5"/>
  <c r="M730" i="5" s="1"/>
  <c r="K731" i="5"/>
  <c r="M731" i="5" s="1"/>
  <c r="K732" i="5"/>
  <c r="M732" i="5" s="1"/>
  <c r="K733" i="5"/>
  <c r="M733" i="5" s="1"/>
  <c r="K734" i="5"/>
  <c r="M734" i="5" s="1"/>
  <c r="K735" i="5"/>
  <c r="M735" i="5" s="1"/>
  <c r="K736" i="5"/>
  <c r="M736" i="5" s="1"/>
  <c r="K737" i="5"/>
  <c r="M737" i="5" s="1"/>
  <c r="K738" i="5"/>
  <c r="M738" i="5" s="1"/>
  <c r="K739" i="5"/>
  <c r="M739" i="5" s="1"/>
  <c r="K740" i="5"/>
  <c r="M740" i="5" s="1"/>
  <c r="K741" i="5"/>
  <c r="M741" i="5" s="1"/>
  <c r="K742" i="5"/>
  <c r="M742" i="5" s="1"/>
  <c r="K743" i="5"/>
  <c r="M743" i="5" s="1"/>
  <c r="K744" i="5"/>
  <c r="M744" i="5" s="1"/>
  <c r="K745" i="5"/>
  <c r="M745" i="5" s="1"/>
  <c r="K746" i="5"/>
  <c r="M746" i="5" s="1"/>
  <c r="K747" i="5"/>
  <c r="M747" i="5" s="1"/>
  <c r="K748" i="5"/>
  <c r="M748" i="5" s="1"/>
  <c r="K749" i="5"/>
  <c r="M749" i="5" s="1"/>
  <c r="K750" i="5"/>
  <c r="M750" i="5" s="1"/>
  <c r="K751" i="5"/>
  <c r="M751" i="5" s="1"/>
  <c r="K752" i="5"/>
  <c r="M752" i="5" s="1"/>
  <c r="K753" i="5"/>
  <c r="M753" i="5" s="1"/>
  <c r="K754" i="5"/>
  <c r="M754" i="5" s="1"/>
  <c r="K755" i="5"/>
  <c r="M755" i="5" s="1"/>
  <c r="K756" i="5"/>
  <c r="M756" i="5" s="1"/>
  <c r="K757" i="5"/>
  <c r="M757" i="5" s="1"/>
  <c r="K758" i="5"/>
  <c r="M758" i="5" s="1"/>
  <c r="K759" i="5"/>
  <c r="M759" i="5" s="1"/>
  <c r="K760" i="5"/>
  <c r="M760" i="5" s="1"/>
  <c r="K761" i="5"/>
  <c r="M761" i="5" s="1"/>
  <c r="K762" i="5"/>
  <c r="M762" i="5" s="1"/>
  <c r="K763" i="5"/>
  <c r="M763" i="5" s="1"/>
  <c r="K764" i="5"/>
  <c r="M764" i="5" s="1"/>
  <c r="K765" i="5"/>
  <c r="M765" i="5" s="1"/>
  <c r="K766" i="5"/>
  <c r="M766" i="5" s="1"/>
  <c r="K767" i="5"/>
  <c r="M767" i="5" s="1"/>
  <c r="K768" i="5"/>
  <c r="M768" i="5" s="1"/>
  <c r="K769" i="5"/>
  <c r="M769" i="5" s="1"/>
  <c r="K770" i="5"/>
  <c r="M770" i="5" s="1"/>
  <c r="K771" i="5"/>
  <c r="M771" i="5" s="1"/>
  <c r="K772" i="5"/>
  <c r="M772" i="5" s="1"/>
  <c r="K773" i="5"/>
  <c r="M773" i="5" s="1"/>
  <c r="K774" i="5"/>
  <c r="M774" i="5" s="1"/>
  <c r="K775" i="5"/>
  <c r="M775" i="5" s="1"/>
  <c r="K776" i="5"/>
  <c r="M776" i="5" s="1"/>
  <c r="K777" i="5"/>
  <c r="M777" i="5" s="1"/>
  <c r="K778" i="5"/>
  <c r="M778" i="5" s="1"/>
  <c r="K779" i="5"/>
  <c r="M779" i="5" s="1"/>
  <c r="K780" i="5"/>
  <c r="M780" i="5" s="1"/>
  <c r="K781" i="5"/>
  <c r="M781" i="5" s="1"/>
  <c r="K782" i="5"/>
  <c r="M782" i="5" s="1"/>
  <c r="K783" i="5"/>
  <c r="M783" i="5" s="1"/>
  <c r="K784" i="5"/>
  <c r="M784" i="5" s="1"/>
  <c r="K785" i="5"/>
  <c r="M785" i="5" s="1"/>
  <c r="K786" i="5"/>
  <c r="M786" i="5" s="1"/>
  <c r="K787" i="5"/>
  <c r="M787" i="5" s="1"/>
  <c r="K788" i="5"/>
  <c r="M788" i="5" s="1"/>
  <c r="K789" i="5"/>
  <c r="M789" i="5" s="1"/>
  <c r="K790" i="5"/>
  <c r="M790" i="5" s="1"/>
  <c r="K791" i="5"/>
  <c r="M791" i="5" s="1"/>
  <c r="K792" i="5"/>
  <c r="M792" i="5" s="1"/>
  <c r="K793" i="5"/>
  <c r="M793" i="5" s="1"/>
  <c r="K794" i="5"/>
  <c r="M794" i="5" s="1"/>
  <c r="K795" i="5"/>
  <c r="M795" i="5" s="1"/>
  <c r="K796" i="5"/>
  <c r="M796" i="5" s="1"/>
  <c r="K797" i="5"/>
  <c r="M797" i="5" s="1"/>
  <c r="K798" i="5"/>
  <c r="M798" i="5" s="1"/>
  <c r="K799" i="5"/>
  <c r="M799" i="5" s="1"/>
  <c r="K800" i="5"/>
  <c r="M800" i="5" s="1"/>
  <c r="K801" i="5"/>
  <c r="M801" i="5" s="1"/>
  <c r="K802" i="5"/>
  <c r="M802" i="5" s="1"/>
  <c r="K803" i="5"/>
  <c r="M803" i="5" s="1"/>
  <c r="K804" i="5"/>
  <c r="M804" i="5" s="1"/>
  <c r="K805" i="5"/>
  <c r="M805" i="5" s="1"/>
  <c r="K806" i="5"/>
  <c r="M806" i="5" s="1"/>
  <c r="K807" i="5"/>
  <c r="M807" i="5" s="1"/>
  <c r="K808" i="5"/>
  <c r="M808" i="5" s="1"/>
  <c r="K809" i="5"/>
  <c r="M809" i="5" s="1"/>
  <c r="K810" i="5"/>
  <c r="M810" i="5" s="1"/>
  <c r="K811" i="5"/>
  <c r="M811" i="5" s="1"/>
  <c r="K812" i="5"/>
  <c r="M812" i="5" s="1"/>
  <c r="K813" i="5"/>
  <c r="M813" i="5" s="1"/>
  <c r="K814" i="5"/>
  <c r="M814" i="5" s="1"/>
  <c r="K815" i="5"/>
  <c r="M815" i="5" s="1"/>
  <c r="K816" i="5"/>
  <c r="M816" i="5" s="1"/>
  <c r="K817" i="5"/>
  <c r="M817" i="5" s="1"/>
  <c r="K818" i="5"/>
  <c r="M818" i="5" s="1"/>
  <c r="K819" i="5"/>
  <c r="M819" i="5" s="1"/>
  <c r="K820" i="5"/>
  <c r="M820" i="5" s="1"/>
  <c r="K821" i="5"/>
  <c r="M821" i="5" s="1"/>
  <c r="K822" i="5"/>
  <c r="M822" i="5" s="1"/>
  <c r="K823" i="5"/>
  <c r="M823" i="5" s="1"/>
  <c r="K824" i="5"/>
  <c r="M824" i="5" s="1"/>
  <c r="K825" i="5"/>
  <c r="M825" i="5" s="1"/>
  <c r="K826" i="5"/>
  <c r="M826" i="5" s="1"/>
  <c r="K827" i="5"/>
  <c r="M827" i="5" s="1"/>
  <c r="K828" i="5"/>
  <c r="M828" i="5" s="1"/>
  <c r="K829" i="5"/>
  <c r="M829" i="5" s="1"/>
  <c r="K830" i="5"/>
  <c r="M830" i="5" s="1"/>
  <c r="K831" i="5"/>
  <c r="M831" i="5" s="1"/>
  <c r="K832" i="5"/>
  <c r="M832" i="5" s="1"/>
  <c r="K833" i="5"/>
  <c r="M833" i="5" s="1"/>
  <c r="K834" i="5"/>
  <c r="M834" i="5" s="1"/>
  <c r="K835" i="5"/>
  <c r="M835" i="5" s="1"/>
  <c r="K836" i="5"/>
  <c r="M836" i="5" s="1"/>
  <c r="K837" i="5"/>
  <c r="M837" i="5" s="1"/>
  <c r="K838" i="5"/>
  <c r="M838" i="5" s="1"/>
  <c r="K839" i="5"/>
  <c r="M839" i="5" s="1"/>
  <c r="K840" i="5"/>
  <c r="M840" i="5" s="1"/>
  <c r="K841" i="5"/>
  <c r="M841" i="5" s="1"/>
  <c r="K842" i="5"/>
  <c r="M842" i="5" s="1"/>
  <c r="K843" i="5"/>
  <c r="M843" i="5" s="1"/>
  <c r="K844" i="5"/>
  <c r="M844" i="5" s="1"/>
  <c r="K845" i="5"/>
  <c r="M845" i="5" s="1"/>
  <c r="K846" i="5"/>
  <c r="M846" i="5" s="1"/>
  <c r="K847" i="5"/>
  <c r="M847" i="5" s="1"/>
  <c r="K848" i="5"/>
  <c r="M848" i="5" s="1"/>
  <c r="K849" i="5"/>
  <c r="M849" i="5" s="1"/>
  <c r="K850" i="5"/>
  <c r="M850" i="5" s="1"/>
  <c r="K851" i="5"/>
  <c r="M851" i="5" s="1"/>
  <c r="K852" i="5"/>
  <c r="M852" i="5" s="1"/>
  <c r="K853" i="5"/>
  <c r="M853" i="5" s="1"/>
  <c r="K854" i="5"/>
  <c r="M854" i="5" s="1"/>
  <c r="K855" i="5"/>
  <c r="M855" i="5" s="1"/>
  <c r="K856" i="5"/>
  <c r="M856" i="5" s="1"/>
  <c r="K857" i="5"/>
  <c r="M857" i="5" s="1"/>
  <c r="K858" i="5"/>
  <c r="M858" i="5" s="1"/>
  <c r="K859" i="5"/>
  <c r="M859" i="5" s="1"/>
  <c r="K860" i="5"/>
  <c r="M860" i="5" s="1"/>
  <c r="K861" i="5"/>
  <c r="M861" i="5" s="1"/>
  <c r="K862" i="5"/>
  <c r="M862" i="5" s="1"/>
  <c r="K863" i="5"/>
  <c r="M863" i="5" s="1"/>
  <c r="K864" i="5"/>
  <c r="M864" i="5" s="1"/>
  <c r="K865" i="5"/>
  <c r="M865" i="5" s="1"/>
  <c r="K866" i="5"/>
  <c r="M866" i="5" s="1"/>
  <c r="K867" i="5"/>
  <c r="M867" i="5" s="1"/>
  <c r="K868" i="5"/>
  <c r="M868" i="5" s="1"/>
  <c r="K869" i="5"/>
  <c r="M869" i="5" s="1"/>
  <c r="K870" i="5"/>
  <c r="M870" i="5" s="1"/>
  <c r="K871" i="5"/>
  <c r="M871" i="5" s="1"/>
  <c r="K872" i="5"/>
  <c r="M872" i="5" s="1"/>
  <c r="K873" i="5"/>
  <c r="M873" i="5" s="1"/>
  <c r="K874" i="5"/>
  <c r="M874" i="5" s="1"/>
  <c r="K875" i="5"/>
  <c r="M875" i="5" s="1"/>
  <c r="K876" i="5"/>
  <c r="M876" i="5" s="1"/>
  <c r="K877" i="5"/>
  <c r="M877" i="5" s="1"/>
  <c r="K878" i="5"/>
  <c r="M878" i="5" s="1"/>
  <c r="K879" i="5"/>
  <c r="M879" i="5" s="1"/>
  <c r="K880" i="5"/>
  <c r="M880" i="5" s="1"/>
  <c r="K881" i="5"/>
  <c r="M881" i="5" s="1"/>
  <c r="K882" i="5"/>
  <c r="M882" i="5" s="1"/>
  <c r="K883" i="5"/>
  <c r="M883" i="5" s="1"/>
  <c r="K884" i="5"/>
  <c r="M884" i="5" s="1"/>
  <c r="K885" i="5"/>
  <c r="M885" i="5" s="1"/>
  <c r="K886" i="5"/>
  <c r="M886" i="5" s="1"/>
  <c r="K887" i="5"/>
  <c r="M887" i="5" s="1"/>
  <c r="K888" i="5"/>
  <c r="M888" i="5" s="1"/>
  <c r="K889" i="5"/>
  <c r="M889" i="5" s="1"/>
  <c r="K890" i="5"/>
  <c r="M890" i="5" s="1"/>
  <c r="K891" i="5"/>
  <c r="M891" i="5" s="1"/>
  <c r="K892" i="5"/>
  <c r="M892" i="5" s="1"/>
  <c r="K893" i="5"/>
  <c r="M893" i="5" s="1"/>
  <c r="K894" i="5"/>
  <c r="M894" i="5" s="1"/>
  <c r="K895" i="5"/>
  <c r="M895" i="5" s="1"/>
  <c r="K896" i="5"/>
  <c r="M896" i="5" s="1"/>
  <c r="K897" i="5"/>
  <c r="M897" i="5" s="1"/>
  <c r="K898" i="5"/>
  <c r="M898" i="5" s="1"/>
  <c r="K899" i="5"/>
  <c r="M899" i="5" s="1"/>
  <c r="K900" i="5"/>
  <c r="M900" i="5" s="1"/>
  <c r="K901" i="5"/>
  <c r="M901" i="5" s="1"/>
  <c r="K902" i="5"/>
  <c r="M902" i="5" s="1"/>
  <c r="K903" i="5"/>
  <c r="M903" i="5" s="1"/>
  <c r="K904" i="5"/>
  <c r="M904" i="5" s="1"/>
  <c r="K905" i="5"/>
  <c r="M905" i="5" s="1"/>
  <c r="K906" i="5"/>
  <c r="M906" i="5" s="1"/>
  <c r="K907" i="5"/>
  <c r="M907" i="5" s="1"/>
  <c r="K908" i="5"/>
  <c r="M908" i="5" s="1"/>
  <c r="K909" i="5"/>
  <c r="M909" i="5" s="1"/>
  <c r="K910" i="5"/>
  <c r="M910" i="5" s="1"/>
  <c r="K911" i="5"/>
  <c r="M911" i="5" s="1"/>
  <c r="K912" i="5"/>
  <c r="M912" i="5" s="1"/>
  <c r="K913" i="5"/>
  <c r="M913" i="5" s="1"/>
  <c r="K914" i="5"/>
  <c r="M914" i="5" s="1"/>
  <c r="K915" i="5"/>
  <c r="M915" i="5" s="1"/>
  <c r="K916" i="5"/>
  <c r="M916" i="5" s="1"/>
  <c r="K917" i="5"/>
  <c r="M917" i="5" s="1"/>
  <c r="K918" i="5"/>
  <c r="M918" i="5" s="1"/>
  <c r="K919" i="5"/>
  <c r="M919" i="5" s="1"/>
  <c r="K920" i="5"/>
  <c r="M920" i="5" s="1"/>
  <c r="K921" i="5"/>
  <c r="M921" i="5" s="1"/>
  <c r="K922" i="5"/>
  <c r="M922" i="5" s="1"/>
  <c r="K923" i="5"/>
  <c r="M923" i="5" s="1"/>
  <c r="K924" i="5"/>
  <c r="M924" i="5" s="1"/>
  <c r="K925" i="5"/>
  <c r="M925" i="5" s="1"/>
  <c r="K926" i="5"/>
  <c r="M926" i="5" s="1"/>
  <c r="K927" i="5"/>
  <c r="M927" i="5" s="1"/>
  <c r="K928" i="5"/>
  <c r="M928" i="5" s="1"/>
  <c r="K929" i="5"/>
  <c r="M929" i="5" s="1"/>
  <c r="K930" i="5"/>
  <c r="M930" i="5" s="1"/>
  <c r="K931" i="5"/>
  <c r="M931" i="5" s="1"/>
  <c r="K932" i="5"/>
  <c r="M932" i="5" s="1"/>
  <c r="K933" i="5"/>
  <c r="M933" i="5" s="1"/>
  <c r="K934" i="5"/>
  <c r="M934" i="5" s="1"/>
  <c r="K935" i="5"/>
  <c r="M935" i="5" s="1"/>
  <c r="K936" i="5"/>
  <c r="M936" i="5" s="1"/>
  <c r="K937" i="5"/>
  <c r="M937" i="5" s="1"/>
  <c r="K938" i="5"/>
  <c r="M938" i="5" s="1"/>
  <c r="K939" i="5"/>
  <c r="M939" i="5" s="1"/>
  <c r="K940" i="5"/>
  <c r="M940" i="5" s="1"/>
  <c r="K941" i="5"/>
  <c r="M941" i="5" s="1"/>
  <c r="K942" i="5"/>
  <c r="M942" i="5" s="1"/>
  <c r="K943" i="5"/>
  <c r="M943" i="5" s="1"/>
  <c r="K944" i="5"/>
  <c r="M944" i="5" s="1"/>
  <c r="K945" i="5"/>
  <c r="M945" i="5" s="1"/>
  <c r="K946" i="5"/>
  <c r="M946" i="5" s="1"/>
  <c r="K947" i="5"/>
  <c r="M947" i="5" s="1"/>
  <c r="K948" i="5"/>
  <c r="M948" i="5" s="1"/>
  <c r="K949" i="5"/>
  <c r="M949" i="5" s="1"/>
  <c r="K950" i="5"/>
  <c r="M950" i="5" s="1"/>
  <c r="K951" i="5"/>
  <c r="M951" i="5" s="1"/>
  <c r="K952" i="5"/>
  <c r="M952" i="5" s="1"/>
  <c r="K953" i="5"/>
  <c r="M953" i="5" s="1"/>
  <c r="K954" i="5"/>
  <c r="M954" i="5" s="1"/>
  <c r="K955" i="5"/>
  <c r="M955" i="5" s="1"/>
  <c r="K956" i="5"/>
  <c r="M956" i="5" s="1"/>
  <c r="K957" i="5"/>
  <c r="M957" i="5" s="1"/>
  <c r="K958" i="5"/>
  <c r="M958" i="5" s="1"/>
  <c r="K959" i="5"/>
  <c r="M959" i="5" s="1"/>
  <c r="K960" i="5"/>
  <c r="M960" i="5" s="1"/>
  <c r="K961" i="5"/>
  <c r="M961" i="5" s="1"/>
  <c r="K962" i="5"/>
  <c r="M962" i="5" s="1"/>
  <c r="K963" i="5"/>
  <c r="M963" i="5" s="1"/>
  <c r="K964" i="5"/>
  <c r="M964" i="5" s="1"/>
  <c r="K965" i="5"/>
  <c r="M965" i="5" s="1"/>
  <c r="K966" i="5"/>
  <c r="M966" i="5" s="1"/>
  <c r="K967" i="5"/>
  <c r="M967" i="5" s="1"/>
  <c r="K968" i="5"/>
  <c r="M968" i="5" s="1"/>
  <c r="K969" i="5"/>
  <c r="M969" i="5" s="1"/>
  <c r="K970" i="5"/>
  <c r="M970" i="5" s="1"/>
  <c r="K971" i="5"/>
  <c r="M971" i="5" s="1"/>
  <c r="K972" i="5"/>
  <c r="M972" i="5" s="1"/>
  <c r="K973" i="5"/>
  <c r="M973" i="5" s="1"/>
  <c r="K974" i="5"/>
  <c r="M974" i="5" s="1"/>
  <c r="K975" i="5"/>
  <c r="M975" i="5" s="1"/>
  <c r="K976" i="5"/>
  <c r="M976" i="5" s="1"/>
  <c r="K977" i="5"/>
  <c r="M977" i="5" s="1"/>
  <c r="K978" i="5"/>
  <c r="M978" i="5" s="1"/>
  <c r="K979" i="5"/>
  <c r="M979" i="5" s="1"/>
  <c r="K980" i="5"/>
  <c r="M980" i="5" s="1"/>
  <c r="K981" i="5"/>
  <c r="M981" i="5" s="1"/>
  <c r="K982" i="5"/>
  <c r="M982" i="5" s="1"/>
  <c r="K983" i="5"/>
  <c r="M983" i="5" s="1"/>
  <c r="K984" i="5"/>
  <c r="M984" i="5" s="1"/>
  <c r="K985" i="5"/>
  <c r="M985" i="5" s="1"/>
  <c r="K986" i="5"/>
  <c r="M986" i="5" s="1"/>
  <c r="K987" i="5"/>
  <c r="M987" i="5" s="1"/>
  <c r="K988" i="5"/>
  <c r="M988" i="5" s="1"/>
  <c r="K989" i="5"/>
  <c r="M989" i="5" s="1"/>
  <c r="K990" i="5"/>
  <c r="M990" i="5" s="1"/>
  <c r="K991" i="5"/>
  <c r="M991" i="5" s="1"/>
  <c r="K992" i="5"/>
  <c r="M992" i="5" s="1"/>
  <c r="K993" i="5"/>
  <c r="M993" i="5" s="1"/>
  <c r="K994" i="5"/>
  <c r="M994" i="5" s="1"/>
  <c r="K995" i="5"/>
  <c r="M995" i="5" s="1"/>
  <c r="K996" i="5"/>
  <c r="M996" i="5" s="1"/>
  <c r="K997" i="5"/>
  <c r="M997" i="5" s="1"/>
  <c r="K998" i="5"/>
  <c r="M998" i="5" s="1"/>
  <c r="K999" i="5"/>
  <c r="M999" i="5" s="1"/>
  <c r="K1000" i="5"/>
  <c r="M1000" i="5" s="1"/>
  <c r="K1001" i="5"/>
  <c r="M1001" i="5" s="1"/>
  <c r="K1002" i="5"/>
  <c r="M1002" i="5" s="1"/>
  <c r="K1003" i="5"/>
  <c r="M1003" i="5" s="1"/>
  <c r="K1004" i="5"/>
  <c r="M1004" i="5" s="1"/>
  <c r="K1005" i="5"/>
  <c r="M1005" i="5" s="1"/>
  <c r="K1006" i="5"/>
  <c r="M1006" i="5" s="1"/>
  <c r="K1007" i="5"/>
  <c r="M1007" i="5" s="1"/>
  <c r="K1008" i="5"/>
  <c r="M1008" i="5" s="1"/>
  <c r="K1009" i="5"/>
  <c r="M1009" i="5" s="1"/>
  <c r="K1010" i="5"/>
  <c r="M1010" i="5" s="1"/>
  <c r="K1011" i="5"/>
  <c r="M1011" i="5" s="1"/>
  <c r="K1012" i="5"/>
  <c r="M1012" i="5" s="1"/>
  <c r="K1013" i="5"/>
  <c r="M1013" i="5" s="1"/>
  <c r="K1014" i="5"/>
  <c r="M1014" i="5" s="1"/>
  <c r="K1015" i="5"/>
  <c r="M1015" i="5" s="1"/>
  <c r="K1016" i="5"/>
  <c r="M1016" i="5" s="1"/>
  <c r="K1017" i="5"/>
  <c r="M1017" i="5" s="1"/>
  <c r="K1018" i="5"/>
  <c r="M1018" i="5" s="1"/>
  <c r="K1019" i="5"/>
  <c r="M1019" i="5" s="1"/>
  <c r="K1020" i="5"/>
  <c r="M1020" i="5" s="1"/>
  <c r="K1021" i="5"/>
  <c r="M1021" i="5" s="1"/>
  <c r="K1022" i="5"/>
  <c r="M1022" i="5" s="1"/>
  <c r="K1023" i="5"/>
  <c r="M1023" i="5" s="1"/>
  <c r="K1024" i="5"/>
  <c r="M1024" i="5" s="1"/>
  <c r="K1025" i="5"/>
  <c r="M1025" i="5" s="1"/>
  <c r="K1026" i="5"/>
  <c r="M1026" i="5" s="1"/>
  <c r="K1027" i="5"/>
  <c r="M1027" i="5" s="1"/>
  <c r="K1028" i="5"/>
  <c r="M1028" i="5" s="1"/>
  <c r="K1029" i="5"/>
  <c r="M1029" i="5" s="1"/>
  <c r="K1030" i="5"/>
  <c r="M1030" i="5" s="1"/>
  <c r="K1031" i="5"/>
  <c r="M1031" i="5" s="1"/>
  <c r="K1032" i="5"/>
  <c r="M1032" i="5" s="1"/>
  <c r="K1033" i="5"/>
  <c r="M1033" i="5" s="1"/>
  <c r="K1034" i="5"/>
  <c r="M1034" i="5" s="1"/>
  <c r="K1035" i="5"/>
  <c r="M1035" i="5" s="1"/>
  <c r="K1036" i="5"/>
  <c r="M1036" i="5" s="1"/>
  <c r="K1037" i="5"/>
  <c r="M1037" i="5" s="1"/>
  <c r="K1038" i="5"/>
  <c r="M1038" i="5" s="1"/>
  <c r="K1039" i="5"/>
  <c r="M1039" i="5" s="1"/>
  <c r="K1040" i="5"/>
  <c r="M1040" i="5" s="1"/>
  <c r="K1041" i="5"/>
  <c r="M1041" i="5" s="1"/>
  <c r="K1042" i="5"/>
  <c r="M1042" i="5" s="1"/>
  <c r="K1043" i="5"/>
  <c r="M1043" i="5" s="1"/>
  <c r="K1044" i="5"/>
  <c r="M1044" i="5" s="1"/>
  <c r="K1045" i="5"/>
  <c r="M1045" i="5" s="1"/>
  <c r="K1046" i="5"/>
  <c r="M1046" i="5" s="1"/>
  <c r="K1047" i="5"/>
  <c r="M1047" i="5" s="1"/>
  <c r="K1048" i="5"/>
  <c r="M1048" i="5" s="1"/>
  <c r="K1049" i="5"/>
  <c r="M1049" i="5" s="1"/>
  <c r="K1050" i="5"/>
  <c r="M1050" i="5" s="1"/>
  <c r="K1051" i="5"/>
  <c r="M1051" i="5" s="1"/>
  <c r="K1052" i="5"/>
  <c r="M1052" i="5" s="1"/>
  <c r="K1053" i="5"/>
  <c r="M1053" i="5" s="1"/>
  <c r="K1054" i="5"/>
  <c r="M1054" i="5" s="1"/>
  <c r="K1055" i="5"/>
  <c r="M1055" i="5" s="1"/>
  <c r="K1056" i="5"/>
  <c r="M1056" i="5" s="1"/>
  <c r="K1057" i="5"/>
  <c r="M1057" i="5" s="1"/>
  <c r="K1058" i="5"/>
  <c r="M1058" i="5" s="1"/>
  <c r="K1059" i="5"/>
  <c r="M1059" i="5" s="1"/>
  <c r="K1060" i="5"/>
  <c r="M1060" i="5" s="1"/>
  <c r="K1061" i="5"/>
  <c r="M1061" i="5" s="1"/>
  <c r="K1062" i="5"/>
  <c r="M1062" i="5" s="1"/>
  <c r="K1063" i="5"/>
  <c r="M1063" i="5" s="1"/>
  <c r="K1064" i="5"/>
  <c r="M1064" i="5" s="1"/>
  <c r="K1065" i="5"/>
  <c r="M1065" i="5" s="1"/>
  <c r="K1066" i="5"/>
  <c r="M1066" i="5" s="1"/>
  <c r="K1067" i="5"/>
  <c r="M1067" i="5" s="1"/>
  <c r="K1068" i="5"/>
  <c r="M1068" i="5" s="1"/>
  <c r="K1069" i="5"/>
  <c r="M1069" i="5" s="1"/>
  <c r="K1070" i="5"/>
  <c r="M1070" i="5" s="1"/>
  <c r="K1071" i="5"/>
  <c r="M1071" i="5" s="1"/>
  <c r="K1072" i="5"/>
  <c r="M1072" i="5" s="1"/>
  <c r="K1073" i="5"/>
  <c r="M1073" i="5" s="1"/>
  <c r="K1074" i="5"/>
  <c r="M1074" i="5" s="1"/>
  <c r="K1075" i="5"/>
  <c r="M1075" i="5" s="1"/>
  <c r="K1076" i="5"/>
  <c r="M1076" i="5" s="1"/>
  <c r="K1077" i="5"/>
  <c r="M1077" i="5" s="1"/>
  <c r="K1078" i="5"/>
  <c r="M1078" i="5" s="1"/>
  <c r="K1079" i="5"/>
  <c r="M1079" i="5" s="1"/>
  <c r="K1080" i="5"/>
  <c r="M1080" i="5" s="1"/>
  <c r="K1081" i="5"/>
  <c r="M1081" i="5" s="1"/>
  <c r="K1082" i="5"/>
  <c r="M1082" i="5" s="1"/>
  <c r="K1083" i="5"/>
  <c r="M1083" i="5" s="1"/>
  <c r="K1084" i="5"/>
  <c r="M1084" i="5" s="1"/>
  <c r="K1085" i="5"/>
  <c r="M1085" i="5" s="1"/>
  <c r="K1086" i="5"/>
  <c r="M1086" i="5" s="1"/>
  <c r="K1087" i="5"/>
  <c r="M1087" i="5" s="1"/>
  <c r="K1088" i="5"/>
  <c r="M1088" i="5" s="1"/>
  <c r="K1089" i="5"/>
  <c r="M1089" i="5" s="1"/>
  <c r="K1090" i="5"/>
  <c r="M1090" i="5" s="1"/>
  <c r="K1091" i="5"/>
  <c r="M1091" i="5" s="1"/>
  <c r="K1092" i="5"/>
  <c r="M1092" i="5" s="1"/>
  <c r="K1093" i="5"/>
  <c r="M1093" i="5" s="1"/>
  <c r="K1094" i="5"/>
  <c r="M1094" i="5" s="1"/>
  <c r="K1095" i="5"/>
  <c r="M1095" i="5" s="1"/>
  <c r="K1096" i="5"/>
  <c r="M1096" i="5" s="1"/>
  <c r="K1097" i="5"/>
  <c r="M1097" i="5" s="1"/>
  <c r="K1098" i="5"/>
  <c r="M1098" i="5" s="1"/>
  <c r="K1099" i="5"/>
  <c r="M1099" i="5" s="1"/>
  <c r="K1100" i="5"/>
  <c r="M1100" i="5" s="1"/>
  <c r="K1101" i="5"/>
  <c r="M1101" i="5" s="1"/>
  <c r="K1102" i="5"/>
  <c r="M1102" i="5" s="1"/>
  <c r="K1103" i="5"/>
  <c r="M1103" i="5" s="1"/>
  <c r="K1104" i="5"/>
  <c r="M1104" i="5" s="1"/>
  <c r="K1105" i="5"/>
  <c r="M1105" i="5" s="1"/>
  <c r="K1106" i="5"/>
  <c r="M1106" i="5" s="1"/>
  <c r="K1107" i="5"/>
  <c r="M1107" i="5" s="1"/>
  <c r="K1108" i="5"/>
  <c r="M1108" i="5" s="1"/>
  <c r="K1109" i="5"/>
  <c r="M1109" i="5" s="1"/>
  <c r="K1110" i="5"/>
  <c r="M1110" i="5" s="1"/>
  <c r="K1111" i="5"/>
  <c r="M1111" i="5" s="1"/>
  <c r="K1112" i="5"/>
  <c r="M1112" i="5" s="1"/>
  <c r="K1113" i="5"/>
  <c r="M1113" i="5" s="1"/>
  <c r="K1114" i="5"/>
  <c r="M1114" i="5" s="1"/>
  <c r="K1115" i="5"/>
  <c r="M1115" i="5" s="1"/>
  <c r="K1116" i="5"/>
  <c r="M1116" i="5" s="1"/>
  <c r="K1117" i="5"/>
  <c r="M1117" i="5" s="1"/>
  <c r="K1118" i="5"/>
  <c r="M1118" i="5" s="1"/>
  <c r="K1119" i="5"/>
  <c r="M1119" i="5" s="1"/>
  <c r="K1120" i="5"/>
  <c r="M1120" i="5" s="1"/>
  <c r="K1121" i="5"/>
  <c r="M1121" i="5" s="1"/>
  <c r="K1122" i="5"/>
  <c r="M1122" i="5" s="1"/>
  <c r="K1123" i="5"/>
  <c r="M1123" i="5" s="1"/>
  <c r="K1124" i="5"/>
  <c r="M1124" i="5" s="1"/>
  <c r="K1125" i="5"/>
  <c r="M1125" i="5" s="1"/>
  <c r="K1126" i="5"/>
  <c r="M1126" i="5" s="1"/>
  <c r="K1127" i="5"/>
  <c r="M1127" i="5" s="1"/>
  <c r="K1128" i="5"/>
  <c r="M1128" i="5" s="1"/>
  <c r="K1129" i="5"/>
  <c r="M1129" i="5" s="1"/>
  <c r="K1130" i="5"/>
  <c r="M1130" i="5" s="1"/>
  <c r="K1131" i="5"/>
  <c r="M1131" i="5" s="1"/>
  <c r="K1132" i="5"/>
  <c r="M1132" i="5" s="1"/>
  <c r="K1133" i="5"/>
  <c r="M1133" i="5" s="1"/>
  <c r="K1134" i="5"/>
  <c r="M1134" i="5" s="1"/>
  <c r="K1135" i="5"/>
  <c r="M1135" i="5" s="1"/>
  <c r="K1136" i="5"/>
  <c r="M1136" i="5" s="1"/>
  <c r="K1137" i="5"/>
  <c r="M1137" i="5" s="1"/>
  <c r="K1138" i="5"/>
  <c r="M1138" i="5" s="1"/>
  <c r="K1139" i="5"/>
  <c r="M1139" i="5" s="1"/>
  <c r="K1140" i="5"/>
  <c r="M1140" i="5" s="1"/>
  <c r="K1141" i="5"/>
  <c r="M1141" i="5" s="1"/>
  <c r="K1142" i="5"/>
  <c r="M1142" i="5" s="1"/>
  <c r="K1143" i="5"/>
  <c r="M1143" i="5" s="1"/>
  <c r="K1144" i="5"/>
  <c r="M1144" i="5" s="1"/>
  <c r="K1145" i="5"/>
  <c r="M1145" i="5" s="1"/>
  <c r="K1146" i="5"/>
  <c r="M1146" i="5" s="1"/>
  <c r="K1147" i="5"/>
  <c r="M1147" i="5" s="1"/>
  <c r="K1148" i="5"/>
  <c r="M1148" i="5" s="1"/>
  <c r="K1149" i="5"/>
  <c r="M1149" i="5" s="1"/>
  <c r="K1150" i="5"/>
  <c r="M1150" i="5" s="1"/>
  <c r="K1151" i="5"/>
  <c r="M1151" i="5" s="1"/>
  <c r="K1152" i="5"/>
  <c r="M1152" i="5" s="1"/>
  <c r="K1153" i="5"/>
  <c r="M1153" i="5" s="1"/>
  <c r="K1154" i="5"/>
  <c r="M1154" i="5" s="1"/>
  <c r="K1155" i="5"/>
  <c r="M1155" i="5" s="1"/>
  <c r="K1156" i="5"/>
  <c r="M1156" i="5" s="1"/>
  <c r="K1157" i="5"/>
  <c r="M1157" i="5" s="1"/>
  <c r="K1158" i="5"/>
  <c r="M1158" i="5" s="1"/>
  <c r="K1159" i="5"/>
  <c r="M1159" i="5" s="1"/>
  <c r="K1160" i="5"/>
  <c r="M1160" i="5" s="1"/>
  <c r="K1161" i="5"/>
  <c r="M1161" i="5" s="1"/>
  <c r="K1162" i="5"/>
  <c r="M1162" i="5" s="1"/>
  <c r="K1163" i="5"/>
  <c r="M1163" i="5" s="1"/>
  <c r="K1164" i="5"/>
  <c r="M1164" i="5" s="1"/>
  <c r="K1165" i="5"/>
  <c r="M1165" i="5" s="1"/>
  <c r="K1166" i="5"/>
  <c r="M1166" i="5" s="1"/>
  <c r="K1167" i="5"/>
  <c r="M1167" i="5" s="1"/>
  <c r="K1168" i="5"/>
  <c r="M1168" i="5" s="1"/>
  <c r="K1169" i="5"/>
  <c r="M1169" i="5" s="1"/>
  <c r="K1170" i="5"/>
  <c r="M1170" i="5" s="1"/>
  <c r="K1171" i="5"/>
  <c r="M1171" i="5" s="1"/>
  <c r="K1172" i="5"/>
  <c r="M1172" i="5" s="1"/>
  <c r="K1173" i="5"/>
  <c r="M1173" i="5" s="1"/>
  <c r="K1174" i="5"/>
  <c r="M1174" i="5" s="1"/>
  <c r="K1175" i="5"/>
  <c r="M1175" i="5" s="1"/>
  <c r="K1176" i="5"/>
  <c r="M1176" i="5" s="1"/>
  <c r="K1177" i="5"/>
  <c r="M1177" i="5" s="1"/>
  <c r="K1178" i="5"/>
  <c r="M1178" i="5" s="1"/>
  <c r="K1179" i="5"/>
  <c r="M1179" i="5" s="1"/>
  <c r="K1180" i="5"/>
  <c r="M1180" i="5" s="1"/>
  <c r="K1181" i="5"/>
  <c r="M1181" i="5" s="1"/>
  <c r="K1182" i="5"/>
  <c r="M1182" i="5" s="1"/>
  <c r="K1183" i="5"/>
  <c r="M1183" i="5" s="1"/>
  <c r="K1184" i="5"/>
  <c r="M1184" i="5" s="1"/>
  <c r="K1185" i="5"/>
  <c r="M1185" i="5" s="1"/>
  <c r="K1186" i="5"/>
  <c r="M1186" i="5" s="1"/>
  <c r="K1187" i="5"/>
  <c r="M1187" i="5" s="1"/>
  <c r="K1188" i="5"/>
  <c r="M1188" i="5" s="1"/>
  <c r="K1189" i="5"/>
  <c r="M1189" i="5" s="1"/>
  <c r="K1190" i="5"/>
  <c r="M1190" i="5" s="1"/>
  <c r="K1191" i="5"/>
  <c r="M1191" i="5" s="1"/>
  <c r="K1192" i="5"/>
  <c r="M1192" i="5" s="1"/>
  <c r="K1193" i="5"/>
  <c r="M1193" i="5" s="1"/>
  <c r="K1194" i="5"/>
  <c r="M1194" i="5" s="1"/>
  <c r="K1195" i="5"/>
  <c r="M1195" i="5" s="1"/>
  <c r="K1196" i="5"/>
  <c r="M1196" i="5" s="1"/>
  <c r="K1197" i="5"/>
  <c r="M1197" i="5" s="1"/>
  <c r="K1198" i="5"/>
  <c r="M1198" i="5" s="1"/>
  <c r="K1199" i="5"/>
  <c r="M1199" i="5" s="1"/>
  <c r="K1200" i="5"/>
  <c r="M1200" i="5" s="1"/>
  <c r="K1201" i="5"/>
  <c r="M1201" i="5" s="1"/>
  <c r="K1202" i="5"/>
  <c r="M1202" i="5" s="1"/>
  <c r="K1203" i="5"/>
  <c r="M1203" i="5" s="1"/>
  <c r="K1204" i="5"/>
  <c r="M1204" i="5" s="1"/>
  <c r="K1205" i="5"/>
  <c r="M1205" i="5" s="1"/>
  <c r="K1206" i="5"/>
  <c r="M1206" i="5" s="1"/>
  <c r="K1207" i="5"/>
  <c r="M1207" i="5" s="1"/>
  <c r="K1208" i="5"/>
  <c r="M1208" i="5" s="1"/>
  <c r="K1209" i="5"/>
  <c r="M1209" i="5" s="1"/>
  <c r="K1210" i="5"/>
  <c r="M1210" i="5" s="1"/>
  <c r="K1211" i="5"/>
  <c r="M1211" i="5" s="1"/>
  <c r="K1212" i="5"/>
  <c r="M1212" i="5" s="1"/>
  <c r="K1213" i="5"/>
  <c r="M1213" i="5" s="1"/>
  <c r="K1214" i="5"/>
  <c r="M1214" i="5" s="1"/>
  <c r="K1215" i="5"/>
  <c r="M1215" i="5" s="1"/>
  <c r="K1216" i="5"/>
  <c r="M1216" i="5" s="1"/>
  <c r="K1217" i="5"/>
  <c r="M1217" i="5" s="1"/>
  <c r="K1218" i="5"/>
  <c r="M1218" i="5" s="1"/>
  <c r="K1219" i="5"/>
  <c r="M1219" i="5" s="1"/>
  <c r="K1220" i="5"/>
  <c r="M1220" i="5" s="1"/>
  <c r="K1221" i="5"/>
  <c r="M1221" i="5" s="1"/>
  <c r="K1222" i="5"/>
  <c r="M1222" i="5" s="1"/>
  <c r="K1223" i="5"/>
  <c r="M1223" i="5" s="1"/>
  <c r="K1224" i="5"/>
  <c r="M1224" i="5" s="1"/>
  <c r="K1225" i="5"/>
  <c r="M1225" i="5" s="1"/>
  <c r="K1226" i="5"/>
  <c r="M1226" i="5" s="1"/>
  <c r="K1227" i="5"/>
  <c r="M1227" i="5" s="1"/>
  <c r="K1228" i="5"/>
  <c r="M1228" i="5" s="1"/>
  <c r="K1229" i="5"/>
  <c r="M1229" i="5" s="1"/>
  <c r="K1230" i="5"/>
  <c r="M1230" i="5" s="1"/>
  <c r="K1231" i="5"/>
  <c r="M1231" i="5" s="1"/>
  <c r="K1232" i="5"/>
  <c r="M1232" i="5" s="1"/>
  <c r="K1233" i="5"/>
  <c r="M1233" i="5" s="1"/>
  <c r="K1234" i="5"/>
  <c r="M1234" i="5" s="1"/>
  <c r="K1235" i="5"/>
  <c r="M1235" i="5" s="1"/>
  <c r="K1236" i="5"/>
  <c r="M1236" i="5" s="1"/>
  <c r="K1237" i="5"/>
  <c r="M1237" i="5" s="1"/>
  <c r="K1238" i="5"/>
  <c r="M1238" i="5" s="1"/>
  <c r="K1239" i="5"/>
  <c r="M1239" i="5" s="1"/>
  <c r="K1240" i="5"/>
  <c r="M1240" i="5" s="1"/>
  <c r="K1241" i="5"/>
  <c r="M1241" i="5" s="1"/>
  <c r="K1242" i="5"/>
  <c r="M1242" i="5" s="1"/>
  <c r="K1243" i="5"/>
  <c r="M1243" i="5" s="1"/>
  <c r="K1244" i="5"/>
  <c r="M1244" i="5" s="1"/>
  <c r="K1245" i="5"/>
  <c r="M1245" i="5" s="1"/>
  <c r="K1246" i="5"/>
  <c r="M1246" i="5" s="1"/>
  <c r="K1247" i="5"/>
  <c r="M1247" i="5" s="1"/>
  <c r="K1248" i="5"/>
  <c r="M1248" i="5" s="1"/>
  <c r="K1249" i="5"/>
  <c r="M1249" i="5" s="1"/>
  <c r="K1250" i="5"/>
  <c r="M1250" i="5" s="1"/>
  <c r="K1251" i="5"/>
  <c r="M1251" i="5" s="1"/>
  <c r="K1252" i="5"/>
  <c r="M1252" i="5" s="1"/>
  <c r="K1253" i="5"/>
  <c r="M1253" i="5" s="1"/>
  <c r="K1254" i="5"/>
  <c r="M1254" i="5" s="1"/>
  <c r="K1255" i="5"/>
  <c r="M1255" i="5" s="1"/>
  <c r="K1256" i="5"/>
  <c r="M1256" i="5" s="1"/>
  <c r="K1257" i="5"/>
  <c r="M1257" i="5" s="1"/>
  <c r="K1258" i="5"/>
  <c r="M1258" i="5" s="1"/>
  <c r="K1259" i="5"/>
  <c r="M1259" i="5" s="1"/>
  <c r="K1260" i="5"/>
  <c r="M1260" i="5" s="1"/>
  <c r="K1261" i="5"/>
  <c r="M1261" i="5" s="1"/>
  <c r="K1262" i="5"/>
  <c r="M1262" i="5" s="1"/>
  <c r="K1263" i="5"/>
  <c r="M1263" i="5" s="1"/>
  <c r="K1264" i="5"/>
  <c r="M1264" i="5" s="1"/>
  <c r="K1265" i="5"/>
  <c r="M1265" i="5" s="1"/>
  <c r="K1266" i="5"/>
  <c r="M1266" i="5" s="1"/>
  <c r="K1267" i="5"/>
  <c r="M1267" i="5" s="1"/>
  <c r="K1268" i="5"/>
  <c r="M1268" i="5" s="1"/>
  <c r="K1269" i="5"/>
  <c r="M1269" i="5" s="1"/>
  <c r="K1270" i="5"/>
  <c r="M1270" i="5" s="1"/>
  <c r="K1271" i="5"/>
  <c r="M1271" i="5" s="1"/>
  <c r="K1272" i="5"/>
  <c r="M1272" i="5" s="1"/>
  <c r="K1273" i="5"/>
  <c r="M1273" i="5" s="1"/>
  <c r="K1274" i="5"/>
  <c r="M1274" i="5" s="1"/>
  <c r="K1275" i="5"/>
  <c r="M1275" i="5" s="1"/>
  <c r="K1276" i="5"/>
  <c r="M1276" i="5" s="1"/>
  <c r="K1277" i="5"/>
  <c r="M1277" i="5" s="1"/>
  <c r="K1278" i="5"/>
  <c r="M1278" i="5" s="1"/>
  <c r="K1279" i="5"/>
  <c r="M1279" i="5" s="1"/>
  <c r="K1280" i="5"/>
  <c r="M1280" i="5" s="1"/>
  <c r="K1281" i="5"/>
  <c r="M1281" i="5" s="1"/>
  <c r="K1282" i="5"/>
  <c r="M1282" i="5" s="1"/>
  <c r="K1283" i="5"/>
  <c r="M1283" i="5" s="1"/>
  <c r="K1284" i="5"/>
  <c r="M1284" i="5" s="1"/>
  <c r="K1285" i="5"/>
  <c r="M1285" i="5" s="1"/>
  <c r="K1286" i="5"/>
  <c r="M1286" i="5" s="1"/>
  <c r="K1287" i="5"/>
  <c r="M1287" i="5" s="1"/>
  <c r="K1288" i="5"/>
  <c r="M1288" i="5" s="1"/>
  <c r="K1289" i="5"/>
  <c r="M1289" i="5" s="1"/>
  <c r="K1290" i="5"/>
  <c r="M1290" i="5" s="1"/>
  <c r="K1291" i="5"/>
  <c r="M1291" i="5" s="1"/>
  <c r="K1292" i="5"/>
  <c r="M1292" i="5" s="1"/>
  <c r="K1293" i="5"/>
  <c r="M1293" i="5" s="1"/>
  <c r="K1294" i="5"/>
  <c r="M1294" i="5" s="1"/>
  <c r="K1295" i="5"/>
  <c r="M1295" i="5" s="1"/>
  <c r="K1296" i="5"/>
  <c r="M1296" i="5" s="1"/>
  <c r="K1297" i="5"/>
  <c r="M1297" i="5" s="1"/>
  <c r="K1298" i="5"/>
  <c r="M1298" i="5" s="1"/>
  <c r="K1299" i="5"/>
  <c r="M1299" i="5" s="1"/>
  <c r="K1300" i="5"/>
  <c r="M1300" i="5" s="1"/>
  <c r="K1301" i="5"/>
  <c r="M1301" i="5" s="1"/>
  <c r="K1302" i="5"/>
  <c r="M1302" i="5" s="1"/>
  <c r="K1303" i="5"/>
  <c r="M1303" i="5" s="1"/>
  <c r="K1304" i="5"/>
  <c r="M1304" i="5" s="1"/>
  <c r="K1305" i="5"/>
  <c r="M1305" i="5" s="1"/>
  <c r="K1306" i="5"/>
  <c r="M1306" i="5" s="1"/>
  <c r="K1307" i="5"/>
  <c r="M1307" i="5" s="1"/>
  <c r="K1308" i="5"/>
  <c r="M1308" i="5" s="1"/>
  <c r="K1309" i="5"/>
  <c r="M1309" i="5" s="1"/>
  <c r="K1310" i="5"/>
  <c r="M1310" i="5" s="1"/>
  <c r="K1311" i="5"/>
  <c r="M1311" i="5" s="1"/>
  <c r="K1312" i="5"/>
  <c r="M1312" i="5" s="1"/>
  <c r="K1313" i="5"/>
  <c r="M1313" i="5" s="1"/>
  <c r="K1314" i="5"/>
  <c r="M1314" i="5" s="1"/>
  <c r="K1315" i="5"/>
  <c r="M1315" i="5" s="1"/>
  <c r="K1316" i="5"/>
  <c r="M1316" i="5" s="1"/>
  <c r="K1317" i="5"/>
  <c r="M1317" i="5" s="1"/>
  <c r="K1318" i="5"/>
  <c r="M1318" i="5" s="1"/>
  <c r="K1319" i="5"/>
  <c r="M1319" i="5" s="1"/>
  <c r="K1320" i="5"/>
  <c r="M1320" i="5" s="1"/>
  <c r="K1321" i="5"/>
  <c r="M1321" i="5" s="1"/>
  <c r="K1322" i="5"/>
  <c r="M1322" i="5" s="1"/>
  <c r="K1323" i="5"/>
  <c r="M1323" i="5" s="1"/>
  <c r="K1324" i="5"/>
  <c r="M1324" i="5" s="1"/>
  <c r="K1325" i="5"/>
  <c r="M1325" i="5" s="1"/>
  <c r="K1326" i="5"/>
  <c r="M1326" i="5" s="1"/>
  <c r="K1327" i="5"/>
  <c r="M1327" i="5" s="1"/>
  <c r="K1328" i="5"/>
  <c r="M1328" i="5" s="1"/>
  <c r="K1329" i="5"/>
  <c r="M1329" i="5" s="1"/>
  <c r="K1330" i="5"/>
  <c r="M1330" i="5" s="1"/>
  <c r="K1331" i="5"/>
  <c r="M1331" i="5" s="1"/>
  <c r="K1332" i="5"/>
  <c r="M1332" i="5" s="1"/>
  <c r="K1333" i="5"/>
  <c r="M1333" i="5" s="1"/>
  <c r="K1334" i="5"/>
  <c r="M1334" i="5" s="1"/>
  <c r="K1335" i="5"/>
  <c r="M1335" i="5" s="1"/>
  <c r="K1336" i="5"/>
  <c r="M1336" i="5" s="1"/>
  <c r="K1337" i="5"/>
  <c r="M1337" i="5" s="1"/>
  <c r="K1338" i="5"/>
  <c r="M1338" i="5" s="1"/>
  <c r="K1339" i="5"/>
  <c r="M1339" i="5" s="1"/>
  <c r="K1340" i="5"/>
  <c r="M1340" i="5" s="1"/>
  <c r="K1341" i="5"/>
  <c r="M1341" i="5" s="1"/>
  <c r="K1342" i="5"/>
  <c r="M1342" i="5" s="1"/>
  <c r="K1343" i="5"/>
  <c r="M1343" i="5" s="1"/>
  <c r="K1344" i="5"/>
  <c r="M1344" i="5" s="1"/>
  <c r="K1345" i="5"/>
  <c r="M1345" i="5" s="1"/>
  <c r="K1346" i="5"/>
  <c r="M1346" i="5" s="1"/>
  <c r="K1347" i="5"/>
  <c r="M1347" i="5" s="1"/>
  <c r="K1348" i="5"/>
  <c r="M1348" i="5" s="1"/>
  <c r="K1349" i="5"/>
  <c r="M1349" i="5" s="1"/>
  <c r="K1350" i="5"/>
  <c r="M1350" i="5" s="1"/>
  <c r="K1351" i="5"/>
  <c r="M1351" i="5" s="1"/>
  <c r="K1352" i="5"/>
  <c r="M1352" i="5" s="1"/>
  <c r="K1353" i="5"/>
  <c r="M1353" i="5" s="1"/>
  <c r="K1354" i="5"/>
  <c r="M1354" i="5" s="1"/>
  <c r="K1355" i="5"/>
  <c r="M1355" i="5" s="1"/>
  <c r="K1356" i="5"/>
  <c r="M1356" i="5" s="1"/>
  <c r="K1357" i="5"/>
  <c r="M1357" i="5" s="1"/>
  <c r="K1358" i="5"/>
  <c r="M1358" i="5" s="1"/>
  <c r="K1359" i="5"/>
  <c r="M1359" i="5" s="1"/>
  <c r="K1360" i="5"/>
  <c r="M1360" i="5" s="1"/>
  <c r="K1361" i="5"/>
  <c r="M1361" i="5" s="1"/>
  <c r="K1362" i="5"/>
  <c r="M1362" i="5" s="1"/>
  <c r="K1363" i="5"/>
  <c r="M1363" i="5" s="1"/>
  <c r="K1364" i="5"/>
  <c r="M1364" i="5" s="1"/>
  <c r="K1365" i="5"/>
  <c r="M1365" i="5" s="1"/>
  <c r="K1366" i="5"/>
  <c r="M1366" i="5" s="1"/>
  <c r="K1367" i="5"/>
  <c r="M1367" i="5" s="1"/>
  <c r="K1368" i="5"/>
  <c r="M1368" i="5" s="1"/>
  <c r="K1369" i="5"/>
  <c r="M1369" i="5" s="1"/>
  <c r="K1370" i="5"/>
  <c r="M1370" i="5" s="1"/>
  <c r="K1371" i="5"/>
  <c r="M1371" i="5" s="1"/>
  <c r="K1372" i="5"/>
  <c r="M1372" i="5" s="1"/>
  <c r="K1373" i="5"/>
  <c r="M1373" i="5" s="1"/>
  <c r="K1374" i="5"/>
  <c r="M1374" i="5" s="1"/>
  <c r="K1375" i="5"/>
  <c r="M1375" i="5" s="1"/>
  <c r="K1376" i="5"/>
  <c r="M1376" i="5" s="1"/>
  <c r="K1377" i="5"/>
  <c r="M1377" i="5" s="1"/>
  <c r="K1378" i="5"/>
  <c r="M1378" i="5" s="1"/>
  <c r="K1379" i="5"/>
  <c r="M1379" i="5" s="1"/>
  <c r="K1380" i="5"/>
  <c r="M1380" i="5" s="1"/>
  <c r="K1381" i="5"/>
  <c r="M1381" i="5" s="1"/>
  <c r="K1382" i="5"/>
  <c r="M1382" i="5" s="1"/>
  <c r="K1383" i="5"/>
  <c r="M1383" i="5" s="1"/>
  <c r="K1384" i="5"/>
  <c r="M1384" i="5" s="1"/>
  <c r="K1385" i="5"/>
  <c r="M1385" i="5" s="1"/>
  <c r="K1386" i="5"/>
  <c r="M1386" i="5" s="1"/>
  <c r="K1387" i="5"/>
  <c r="M1387" i="5" s="1"/>
  <c r="K1388" i="5"/>
  <c r="M1388" i="5" s="1"/>
  <c r="K1389" i="5"/>
  <c r="M1389" i="5" s="1"/>
  <c r="K1390" i="5"/>
  <c r="M1390" i="5" s="1"/>
  <c r="K1391" i="5"/>
  <c r="M1391" i="5" s="1"/>
  <c r="K1392" i="5"/>
  <c r="M1392" i="5" s="1"/>
  <c r="K1393" i="5"/>
  <c r="M1393" i="5" s="1"/>
  <c r="K1394" i="5"/>
  <c r="M1394" i="5" s="1"/>
  <c r="K1395" i="5"/>
  <c r="M1395" i="5" s="1"/>
  <c r="K1396" i="5"/>
  <c r="M1396" i="5" s="1"/>
  <c r="K1397" i="5"/>
  <c r="M1397" i="5" s="1"/>
  <c r="K1398" i="5"/>
  <c r="M1398" i="5" s="1"/>
  <c r="K1399" i="5"/>
  <c r="M1399" i="5" s="1"/>
  <c r="K1400" i="5"/>
  <c r="M1400" i="5" s="1"/>
  <c r="K1401" i="5"/>
  <c r="M1401" i="5" s="1"/>
  <c r="K1402" i="5"/>
  <c r="M1402" i="5" s="1"/>
  <c r="K1403" i="5"/>
  <c r="M1403" i="5" s="1"/>
  <c r="K1404" i="5"/>
  <c r="M1404" i="5" s="1"/>
  <c r="K1405" i="5"/>
  <c r="M1405" i="5" s="1"/>
  <c r="K1406" i="5"/>
  <c r="M1406" i="5" s="1"/>
  <c r="K1407" i="5"/>
  <c r="M1407" i="5" s="1"/>
  <c r="K1408" i="5"/>
  <c r="M1408" i="5" s="1"/>
  <c r="K1409" i="5"/>
  <c r="M1409" i="5" s="1"/>
  <c r="K1410" i="5"/>
  <c r="M1410" i="5" s="1"/>
  <c r="K1411" i="5"/>
  <c r="M1411" i="5" s="1"/>
  <c r="K1412" i="5"/>
  <c r="M1412" i="5" s="1"/>
  <c r="K1413" i="5"/>
  <c r="M1413" i="5" s="1"/>
  <c r="K1414" i="5"/>
  <c r="M1414" i="5" s="1"/>
  <c r="K1415" i="5"/>
  <c r="M1415" i="5" s="1"/>
  <c r="K1416" i="5"/>
  <c r="M1416" i="5" s="1"/>
  <c r="K1417" i="5"/>
  <c r="M1417" i="5" s="1"/>
  <c r="K1418" i="5"/>
  <c r="M1418" i="5" s="1"/>
  <c r="K1419" i="5"/>
  <c r="M1419" i="5" s="1"/>
  <c r="K1420" i="5"/>
  <c r="M1420" i="5" s="1"/>
  <c r="K1421" i="5"/>
  <c r="M1421" i="5" s="1"/>
  <c r="K1422" i="5"/>
  <c r="M1422" i="5" s="1"/>
  <c r="K1423" i="5"/>
  <c r="M1423" i="5" s="1"/>
  <c r="K1424" i="5"/>
  <c r="M1424" i="5" s="1"/>
  <c r="K1425" i="5"/>
  <c r="M1425" i="5" s="1"/>
  <c r="K1426" i="5"/>
  <c r="M1426" i="5" s="1"/>
  <c r="K1427" i="5"/>
  <c r="M1427" i="5" s="1"/>
  <c r="K1428" i="5"/>
  <c r="M1428" i="5" s="1"/>
  <c r="K1429" i="5"/>
  <c r="M1429" i="5" s="1"/>
  <c r="K1430" i="5"/>
  <c r="M1430" i="5" s="1"/>
  <c r="K1431" i="5"/>
  <c r="M1431" i="5" s="1"/>
  <c r="K1432" i="5"/>
  <c r="M1432" i="5" s="1"/>
  <c r="K1433" i="5"/>
  <c r="M1433" i="5" s="1"/>
  <c r="K1434" i="5"/>
  <c r="M1434" i="5" s="1"/>
  <c r="K1435" i="5"/>
  <c r="M1435" i="5" s="1"/>
  <c r="K1436" i="5"/>
  <c r="M1436" i="5" s="1"/>
  <c r="K1437" i="5"/>
  <c r="M1437" i="5" s="1"/>
  <c r="K1438" i="5"/>
  <c r="M1438" i="5" s="1"/>
  <c r="K1439" i="5"/>
  <c r="M1439" i="5" s="1"/>
  <c r="K1440" i="5"/>
  <c r="M1440" i="5" s="1"/>
  <c r="K1441" i="5"/>
  <c r="M1441" i="5" s="1"/>
  <c r="K1442" i="5"/>
  <c r="M1442" i="5" s="1"/>
  <c r="K1443" i="5"/>
  <c r="M1443" i="5" s="1"/>
  <c r="K1444" i="5"/>
  <c r="M1444" i="5" s="1"/>
  <c r="K1445" i="5"/>
  <c r="M1445" i="5" s="1"/>
  <c r="K1446" i="5"/>
  <c r="M1446" i="5" s="1"/>
  <c r="K1447" i="5"/>
  <c r="M1447" i="5" s="1"/>
  <c r="K1448" i="5"/>
  <c r="M1448" i="5" s="1"/>
  <c r="K1449" i="5"/>
  <c r="M1449" i="5" s="1"/>
  <c r="K1450" i="5"/>
  <c r="M1450" i="5" s="1"/>
  <c r="K1451" i="5"/>
  <c r="M1451" i="5" s="1"/>
  <c r="K1452" i="5"/>
  <c r="M1452" i="5" s="1"/>
  <c r="K1453" i="5"/>
  <c r="M1453" i="5" s="1"/>
  <c r="K1454" i="5"/>
  <c r="M1454" i="5" s="1"/>
  <c r="K1455" i="5"/>
  <c r="M1455" i="5" s="1"/>
  <c r="K1456" i="5"/>
  <c r="M1456" i="5" s="1"/>
  <c r="K1457" i="5"/>
  <c r="M1457" i="5" s="1"/>
  <c r="K1458" i="5"/>
  <c r="M1458" i="5" s="1"/>
  <c r="K1459" i="5"/>
  <c r="M1459" i="5" s="1"/>
  <c r="K1460" i="5"/>
  <c r="M1460" i="5" s="1"/>
  <c r="K1461" i="5"/>
  <c r="M1461" i="5" s="1"/>
  <c r="K1462" i="5"/>
  <c r="M1462" i="5" s="1"/>
  <c r="K1463" i="5"/>
  <c r="M1463" i="5" s="1"/>
  <c r="K1464" i="5"/>
  <c r="M1464" i="5" s="1"/>
  <c r="K1465" i="5"/>
  <c r="M1465" i="5" s="1"/>
  <c r="K1466" i="5"/>
  <c r="M1466" i="5" s="1"/>
  <c r="K1467" i="5"/>
  <c r="M1467" i="5" s="1"/>
  <c r="K1468" i="5"/>
  <c r="M1468" i="5" s="1"/>
  <c r="K1469" i="5"/>
  <c r="M1469" i="5" s="1"/>
  <c r="K1470" i="5"/>
  <c r="M1470" i="5" s="1"/>
  <c r="K1471" i="5"/>
  <c r="M1471" i="5" s="1"/>
  <c r="K1472" i="5"/>
  <c r="M1472" i="5" s="1"/>
  <c r="K1473" i="5"/>
  <c r="M1473" i="5" s="1"/>
  <c r="K1474" i="5"/>
  <c r="M1474" i="5" s="1"/>
  <c r="K1475" i="5"/>
  <c r="M1475" i="5" s="1"/>
  <c r="K1476" i="5"/>
  <c r="M1476" i="5" s="1"/>
  <c r="K1477" i="5"/>
  <c r="M1477" i="5" s="1"/>
  <c r="K1478" i="5"/>
  <c r="M1478" i="5" s="1"/>
  <c r="K1479" i="5"/>
  <c r="M1479" i="5" s="1"/>
  <c r="K1480" i="5"/>
  <c r="M1480" i="5" s="1"/>
  <c r="K1481" i="5"/>
  <c r="M1481" i="5" s="1"/>
  <c r="K1482" i="5"/>
  <c r="M1482" i="5" s="1"/>
  <c r="K1483" i="5"/>
  <c r="M1483" i="5" s="1"/>
  <c r="K1484" i="5"/>
  <c r="M1484" i="5" s="1"/>
  <c r="K1485" i="5"/>
  <c r="M1485" i="5" s="1"/>
  <c r="K1486" i="5"/>
  <c r="M1486" i="5" s="1"/>
  <c r="K1487" i="5"/>
  <c r="M1487" i="5" s="1"/>
  <c r="K1488" i="5"/>
  <c r="M1488" i="5" s="1"/>
  <c r="K1489" i="5"/>
  <c r="M1489" i="5" s="1"/>
  <c r="K1490" i="5"/>
  <c r="M1490" i="5" s="1"/>
  <c r="K1491" i="5"/>
  <c r="M1491" i="5" s="1"/>
  <c r="K1492" i="5"/>
  <c r="M1492" i="5" s="1"/>
  <c r="K1493" i="5"/>
  <c r="M1493" i="5" s="1"/>
  <c r="K1494" i="5"/>
  <c r="M1494" i="5" s="1"/>
  <c r="K1495" i="5"/>
  <c r="M1495" i="5" s="1"/>
  <c r="K1496" i="5"/>
  <c r="M1496" i="5" s="1"/>
  <c r="K1497" i="5"/>
  <c r="M1497" i="5" s="1"/>
  <c r="K1498" i="5"/>
  <c r="M1498" i="5" s="1"/>
  <c r="K1499" i="5"/>
  <c r="M1499" i="5" s="1"/>
  <c r="K1500" i="5"/>
  <c r="M1500" i="5" s="1"/>
  <c r="K1501" i="5"/>
  <c r="M1501" i="5" s="1"/>
  <c r="K1502" i="5"/>
  <c r="M1502" i="5" s="1"/>
  <c r="K1503" i="5"/>
  <c r="M1503" i="5" s="1"/>
  <c r="K1504" i="5"/>
  <c r="M1504" i="5" s="1"/>
  <c r="K1505" i="5"/>
  <c r="M1505" i="5" s="1"/>
  <c r="K1506" i="5"/>
  <c r="M1506" i="5" s="1"/>
  <c r="K1507" i="5"/>
  <c r="M1507" i="5" s="1"/>
  <c r="K1508" i="5"/>
  <c r="M1508" i="5" s="1"/>
  <c r="K1509" i="5"/>
  <c r="M1509" i="5" s="1"/>
  <c r="K1510" i="5"/>
  <c r="M1510" i="5" s="1"/>
  <c r="K1511" i="5"/>
  <c r="M1511" i="5" s="1"/>
  <c r="K1512" i="5"/>
  <c r="M1512" i="5" s="1"/>
  <c r="K1513" i="5"/>
  <c r="M1513" i="5" s="1"/>
  <c r="K1514" i="5"/>
  <c r="M1514" i="5" s="1"/>
  <c r="K1515" i="5"/>
  <c r="M1515" i="5" s="1"/>
  <c r="K1516" i="5"/>
  <c r="M1516" i="5" s="1"/>
  <c r="K1517" i="5"/>
  <c r="M1517" i="5" s="1"/>
  <c r="K1518" i="5"/>
  <c r="M1518" i="5" s="1"/>
  <c r="K1519" i="5"/>
  <c r="M1519" i="5" s="1"/>
  <c r="K1520" i="5"/>
  <c r="M1520" i="5" s="1"/>
  <c r="K1521" i="5"/>
  <c r="M1521" i="5" s="1"/>
  <c r="K1522" i="5"/>
  <c r="M1522" i="5" s="1"/>
  <c r="K1523" i="5"/>
  <c r="M1523" i="5" s="1"/>
  <c r="K1524" i="5"/>
  <c r="M1524" i="5" s="1"/>
  <c r="K1525" i="5"/>
  <c r="M1525" i="5" s="1"/>
  <c r="K1526" i="5"/>
  <c r="M1526" i="5" s="1"/>
  <c r="K1527" i="5"/>
  <c r="M1527" i="5" s="1"/>
  <c r="K1528" i="5"/>
  <c r="M1528" i="5" s="1"/>
  <c r="K1529" i="5"/>
  <c r="M1529" i="5" s="1"/>
  <c r="K1530" i="5"/>
  <c r="M1530" i="5" s="1"/>
  <c r="K1531" i="5"/>
  <c r="M1531" i="5" s="1"/>
  <c r="K1532" i="5"/>
  <c r="M1532" i="5" s="1"/>
  <c r="K1533" i="5"/>
  <c r="M1533" i="5" s="1"/>
  <c r="K1534" i="5"/>
  <c r="M1534" i="5" s="1"/>
  <c r="K1535" i="5"/>
  <c r="M1535" i="5" s="1"/>
  <c r="K1536" i="5"/>
  <c r="M1536" i="5" s="1"/>
  <c r="K1537" i="5"/>
  <c r="M1537" i="5" s="1"/>
  <c r="K1538" i="5"/>
  <c r="M1538" i="5" s="1"/>
  <c r="K1539" i="5"/>
  <c r="M1539" i="5" s="1"/>
  <c r="K1540" i="5"/>
  <c r="M1540" i="5" s="1"/>
  <c r="K1541" i="5"/>
  <c r="M1541" i="5" s="1"/>
  <c r="K1542" i="5"/>
  <c r="M1542" i="5" s="1"/>
  <c r="K1543" i="5"/>
  <c r="M1543" i="5" s="1"/>
  <c r="K1544" i="5"/>
  <c r="M1544" i="5" s="1"/>
  <c r="K1545" i="5"/>
  <c r="M1545" i="5" s="1"/>
  <c r="K1546" i="5"/>
  <c r="M1546" i="5" s="1"/>
  <c r="K1547" i="5"/>
  <c r="M1547" i="5" s="1"/>
  <c r="K1548" i="5"/>
  <c r="M1548" i="5" s="1"/>
  <c r="K1549" i="5"/>
  <c r="M1549" i="5" s="1"/>
  <c r="K1550" i="5"/>
  <c r="M1550" i="5" s="1"/>
  <c r="K1551" i="5"/>
  <c r="M1551" i="5" s="1"/>
  <c r="K1552" i="5"/>
  <c r="M1552" i="5" s="1"/>
  <c r="K1553" i="5"/>
  <c r="M1553" i="5" s="1"/>
  <c r="K1554" i="5"/>
  <c r="M1554" i="5" s="1"/>
  <c r="K1555" i="5"/>
  <c r="M1555" i="5" s="1"/>
  <c r="K1556" i="5"/>
  <c r="M1556" i="5" s="1"/>
  <c r="K1557" i="5"/>
  <c r="M1557" i="5" s="1"/>
  <c r="K1558" i="5"/>
  <c r="M1558" i="5" s="1"/>
  <c r="K1559" i="5"/>
  <c r="M1559" i="5" s="1"/>
  <c r="K1560" i="5"/>
  <c r="M1560" i="5" s="1"/>
  <c r="K1561" i="5"/>
  <c r="M1561" i="5" s="1"/>
  <c r="K1562" i="5"/>
  <c r="M1562" i="5" s="1"/>
  <c r="K1563" i="5"/>
  <c r="M1563" i="5" s="1"/>
  <c r="K1564" i="5"/>
  <c r="M1564" i="5" s="1"/>
  <c r="K1565" i="5"/>
  <c r="M1565" i="5" s="1"/>
  <c r="K1566" i="5"/>
  <c r="M1566" i="5" s="1"/>
  <c r="K1567" i="5"/>
  <c r="M1567" i="5" s="1"/>
  <c r="K1568" i="5"/>
  <c r="M1568" i="5" s="1"/>
  <c r="K1569" i="5"/>
  <c r="M1569" i="5" s="1"/>
  <c r="K1570" i="5"/>
  <c r="M1570" i="5" s="1"/>
  <c r="K1571" i="5"/>
  <c r="M1571" i="5" s="1"/>
  <c r="K1572" i="5"/>
  <c r="M1572" i="5" s="1"/>
  <c r="K1573" i="5"/>
  <c r="M1573" i="5" s="1"/>
  <c r="K1574" i="5"/>
  <c r="M1574" i="5" s="1"/>
  <c r="K1575" i="5"/>
  <c r="M1575" i="5" s="1"/>
  <c r="K1576" i="5"/>
  <c r="M1576" i="5" s="1"/>
  <c r="K1577" i="5"/>
  <c r="M1577" i="5" s="1"/>
  <c r="K1578" i="5"/>
  <c r="M1578" i="5" s="1"/>
  <c r="K1579" i="5"/>
  <c r="M1579" i="5" s="1"/>
  <c r="K1580" i="5"/>
  <c r="M1580" i="5" s="1"/>
  <c r="K1581" i="5"/>
  <c r="M1581" i="5" s="1"/>
  <c r="K1582" i="5"/>
  <c r="M1582" i="5" s="1"/>
  <c r="K1583" i="5"/>
  <c r="M1583" i="5" s="1"/>
  <c r="K1584" i="5"/>
  <c r="M1584" i="5" s="1"/>
  <c r="K1585" i="5"/>
  <c r="M1585" i="5" s="1"/>
  <c r="K1586" i="5"/>
  <c r="M1586" i="5" s="1"/>
  <c r="K1587" i="5"/>
  <c r="M1587" i="5" s="1"/>
  <c r="K1588" i="5"/>
  <c r="M1588" i="5" s="1"/>
  <c r="K1589" i="5"/>
  <c r="M1589" i="5" s="1"/>
  <c r="K1590" i="5"/>
  <c r="M1590" i="5" s="1"/>
  <c r="K1591" i="5"/>
  <c r="M1591" i="5" s="1"/>
  <c r="K1592" i="5"/>
  <c r="M1592" i="5" s="1"/>
  <c r="K1593" i="5"/>
  <c r="M1593" i="5" s="1"/>
  <c r="K1594" i="5"/>
  <c r="M1594" i="5" s="1"/>
  <c r="K1595" i="5"/>
  <c r="M1595" i="5" s="1"/>
  <c r="K1596" i="5"/>
  <c r="M1596" i="5" s="1"/>
  <c r="K1597" i="5"/>
  <c r="M1597" i="5" s="1"/>
  <c r="K1598" i="5"/>
  <c r="M1598" i="5" s="1"/>
  <c r="K1599" i="5"/>
  <c r="M1599" i="5" s="1"/>
  <c r="K1600" i="5"/>
  <c r="M1600" i="5" s="1"/>
  <c r="K1601" i="5"/>
  <c r="M1601" i="5" s="1"/>
  <c r="K1602" i="5"/>
  <c r="M1602" i="5" s="1"/>
  <c r="K1603" i="5"/>
  <c r="M1603" i="5" s="1"/>
  <c r="K1604" i="5"/>
  <c r="M1604" i="5" s="1"/>
  <c r="K1605" i="5"/>
  <c r="M1605" i="5" s="1"/>
  <c r="K1606" i="5"/>
  <c r="M1606" i="5" s="1"/>
  <c r="K1607" i="5"/>
  <c r="M1607" i="5" s="1"/>
  <c r="K1608" i="5"/>
  <c r="M1608" i="5" s="1"/>
  <c r="K1609" i="5"/>
  <c r="M1609" i="5" s="1"/>
  <c r="K1610" i="5"/>
  <c r="M1610" i="5" s="1"/>
  <c r="K1611" i="5"/>
  <c r="M1611" i="5" s="1"/>
  <c r="K1612" i="5"/>
  <c r="M1612" i="5" s="1"/>
  <c r="K1613" i="5"/>
  <c r="M1613" i="5" s="1"/>
  <c r="K1614" i="5"/>
  <c r="M1614" i="5" s="1"/>
  <c r="K1615" i="5"/>
  <c r="M1615" i="5" s="1"/>
  <c r="K1616" i="5"/>
  <c r="M1616" i="5" s="1"/>
  <c r="K1617" i="5"/>
  <c r="M1617" i="5" s="1"/>
  <c r="K1618" i="5"/>
  <c r="M1618" i="5" s="1"/>
  <c r="K1619" i="5"/>
  <c r="M1619" i="5" s="1"/>
  <c r="K1620" i="5"/>
  <c r="M1620" i="5" s="1"/>
  <c r="K1621" i="5"/>
  <c r="M1621" i="5" s="1"/>
  <c r="K1622" i="5"/>
  <c r="M1622" i="5" s="1"/>
  <c r="K1623" i="5"/>
  <c r="M1623" i="5" s="1"/>
  <c r="K1624" i="5"/>
  <c r="M1624" i="5" s="1"/>
  <c r="K1625" i="5"/>
  <c r="M1625" i="5" s="1"/>
  <c r="K1626" i="5"/>
  <c r="M1626" i="5" s="1"/>
  <c r="K1627" i="5"/>
  <c r="M1627" i="5" s="1"/>
  <c r="K1628" i="5"/>
  <c r="M1628" i="5" s="1"/>
  <c r="K1629" i="5"/>
  <c r="M1629" i="5" s="1"/>
  <c r="K1630" i="5"/>
  <c r="M1630" i="5" s="1"/>
  <c r="K1631" i="5"/>
  <c r="M1631" i="5" s="1"/>
  <c r="K1632" i="5"/>
  <c r="M1632" i="5" s="1"/>
  <c r="K1633" i="5"/>
  <c r="M1633" i="5" s="1"/>
  <c r="K1634" i="5"/>
  <c r="M1634" i="5" s="1"/>
  <c r="K1635" i="5"/>
  <c r="M1635" i="5" s="1"/>
  <c r="K1636" i="5"/>
  <c r="M1636" i="5" s="1"/>
  <c r="K1637" i="5"/>
  <c r="M1637" i="5" s="1"/>
  <c r="K1638" i="5"/>
  <c r="M1638" i="5" s="1"/>
  <c r="K1639" i="5"/>
  <c r="M1639" i="5" s="1"/>
  <c r="K1640" i="5"/>
  <c r="M1640" i="5" s="1"/>
  <c r="K1641" i="5"/>
  <c r="M1641" i="5" s="1"/>
  <c r="K1642" i="5"/>
  <c r="M1642" i="5" s="1"/>
  <c r="K1643" i="5"/>
  <c r="M1643" i="5" s="1"/>
  <c r="K1644" i="5"/>
  <c r="M1644" i="5" s="1"/>
  <c r="K1645" i="5"/>
  <c r="M1645" i="5" s="1"/>
  <c r="K1646" i="5"/>
  <c r="M1646" i="5" s="1"/>
  <c r="K1647" i="5"/>
  <c r="M1647" i="5" s="1"/>
  <c r="K1648" i="5"/>
  <c r="M1648" i="5" s="1"/>
  <c r="K1649" i="5"/>
  <c r="M1649" i="5" s="1"/>
  <c r="K1650" i="5"/>
  <c r="M1650" i="5" s="1"/>
  <c r="K1651" i="5"/>
  <c r="M1651" i="5" s="1"/>
  <c r="K1652" i="5"/>
  <c r="M1652" i="5" s="1"/>
  <c r="K1653" i="5"/>
  <c r="M1653" i="5" s="1"/>
  <c r="K1654" i="5"/>
  <c r="M1654" i="5" s="1"/>
  <c r="K1655" i="5"/>
  <c r="M1655" i="5" s="1"/>
  <c r="K1656" i="5"/>
  <c r="M1656" i="5" s="1"/>
  <c r="K1657" i="5"/>
  <c r="M1657" i="5" s="1"/>
  <c r="K1658" i="5"/>
  <c r="M1658" i="5" s="1"/>
  <c r="K1659" i="5"/>
  <c r="M1659" i="5" s="1"/>
  <c r="K1660" i="5"/>
  <c r="M1660" i="5" s="1"/>
  <c r="K1661" i="5"/>
  <c r="M1661" i="5" s="1"/>
  <c r="K1662" i="5"/>
  <c r="M1662" i="5" s="1"/>
  <c r="K1663" i="5"/>
  <c r="M1663" i="5" s="1"/>
  <c r="K1664" i="5"/>
  <c r="M1664" i="5" s="1"/>
  <c r="K1665" i="5"/>
  <c r="M1665" i="5" s="1"/>
  <c r="K1666" i="5"/>
  <c r="M1666" i="5" s="1"/>
  <c r="K1667" i="5"/>
  <c r="M1667" i="5" s="1"/>
  <c r="K1668" i="5"/>
  <c r="M1668" i="5" s="1"/>
  <c r="K1669" i="5"/>
  <c r="M1669" i="5" s="1"/>
  <c r="K1670" i="5"/>
  <c r="M1670" i="5" s="1"/>
  <c r="K1671" i="5"/>
  <c r="M1671" i="5" s="1"/>
  <c r="K1672" i="5"/>
  <c r="M1672" i="5" s="1"/>
  <c r="K1673" i="5"/>
  <c r="M1673" i="5" s="1"/>
  <c r="K1674" i="5"/>
  <c r="M1674" i="5" s="1"/>
  <c r="K1675" i="5"/>
  <c r="M1675" i="5" s="1"/>
  <c r="K1676" i="5"/>
  <c r="M1676" i="5" s="1"/>
  <c r="K1677" i="5"/>
  <c r="M1677" i="5" s="1"/>
  <c r="K1678" i="5"/>
  <c r="M1678" i="5" s="1"/>
  <c r="K1679" i="5"/>
  <c r="M1679" i="5" s="1"/>
  <c r="K1680" i="5"/>
  <c r="M1680" i="5" s="1"/>
  <c r="K1681" i="5"/>
  <c r="M1681" i="5" s="1"/>
  <c r="K1682" i="5"/>
  <c r="M1682" i="5" s="1"/>
  <c r="K1683" i="5"/>
  <c r="M1683" i="5" s="1"/>
  <c r="K1684" i="5"/>
  <c r="M1684" i="5" s="1"/>
  <c r="K1685" i="5"/>
  <c r="M1685" i="5" s="1"/>
  <c r="K1686" i="5"/>
  <c r="M1686" i="5" s="1"/>
  <c r="K1687" i="5"/>
  <c r="M1687" i="5" s="1"/>
  <c r="K1688" i="5"/>
  <c r="M1688" i="5" s="1"/>
  <c r="K1689" i="5"/>
  <c r="M1689" i="5" s="1"/>
  <c r="K1690" i="5"/>
  <c r="M1690" i="5" s="1"/>
  <c r="K1691" i="5"/>
  <c r="M1691" i="5" s="1"/>
  <c r="K1692" i="5"/>
  <c r="M1692" i="5" s="1"/>
  <c r="K1693" i="5"/>
  <c r="M1693" i="5" s="1"/>
  <c r="K1694" i="5"/>
  <c r="M1694" i="5" s="1"/>
  <c r="K1695" i="5"/>
  <c r="M1695" i="5" s="1"/>
  <c r="K1696" i="5"/>
  <c r="M1696" i="5" s="1"/>
  <c r="K1697" i="5"/>
  <c r="M1697" i="5" s="1"/>
  <c r="K1698" i="5"/>
  <c r="M1698" i="5" s="1"/>
  <c r="K1699" i="5"/>
  <c r="M1699" i="5" s="1"/>
  <c r="K1700" i="5"/>
  <c r="M1700" i="5" s="1"/>
  <c r="K1701" i="5"/>
  <c r="M1701" i="5" s="1"/>
  <c r="K1702" i="5"/>
  <c r="M1702" i="5" s="1"/>
  <c r="K1703" i="5"/>
  <c r="M1703" i="5" s="1"/>
  <c r="K1704" i="5"/>
  <c r="M1704" i="5" s="1"/>
  <c r="K1705" i="5"/>
  <c r="M1705" i="5" s="1"/>
  <c r="K1706" i="5"/>
  <c r="M1706" i="5" s="1"/>
  <c r="K1707" i="5"/>
  <c r="M1707" i="5" s="1"/>
  <c r="K1708" i="5"/>
  <c r="M1708" i="5" s="1"/>
  <c r="K1709" i="5"/>
  <c r="M1709" i="5" s="1"/>
  <c r="K1710" i="5"/>
  <c r="M1710" i="5" s="1"/>
  <c r="K1711" i="5"/>
  <c r="M1711" i="5" s="1"/>
  <c r="K1712" i="5"/>
  <c r="M1712" i="5" s="1"/>
  <c r="K1713" i="5"/>
  <c r="M1713" i="5" s="1"/>
  <c r="K1714" i="5"/>
  <c r="M1714" i="5" s="1"/>
  <c r="K1715" i="5"/>
  <c r="M1715" i="5" s="1"/>
  <c r="K1716" i="5"/>
  <c r="M1716" i="5" s="1"/>
  <c r="K1717" i="5"/>
  <c r="M1717" i="5" s="1"/>
  <c r="K1718" i="5"/>
  <c r="M1718" i="5" s="1"/>
  <c r="K1719" i="5"/>
  <c r="M1719" i="5" s="1"/>
  <c r="K1720" i="5"/>
  <c r="M1720" i="5" s="1"/>
  <c r="K1721" i="5"/>
  <c r="M1721" i="5" s="1"/>
  <c r="K1722" i="5"/>
  <c r="M1722" i="5" s="1"/>
  <c r="K1723" i="5"/>
  <c r="M1723" i="5" s="1"/>
  <c r="K1724" i="5"/>
  <c r="M1724" i="5" s="1"/>
  <c r="K1725" i="5"/>
  <c r="M1725" i="5" s="1"/>
  <c r="K1726" i="5"/>
  <c r="M1726" i="5" s="1"/>
  <c r="K1727" i="5"/>
  <c r="M1727" i="5" s="1"/>
  <c r="K1728" i="5"/>
  <c r="M1728" i="5" s="1"/>
  <c r="K1729" i="5"/>
  <c r="M1729" i="5" s="1"/>
  <c r="K1730" i="5"/>
  <c r="M1730" i="5" s="1"/>
  <c r="K1731" i="5"/>
  <c r="M1731" i="5" s="1"/>
  <c r="K1732" i="5"/>
  <c r="M1732" i="5" s="1"/>
  <c r="K1733" i="5"/>
  <c r="M1733" i="5" s="1"/>
  <c r="K1734" i="5"/>
  <c r="M1734" i="5" s="1"/>
  <c r="K1735" i="5"/>
  <c r="M1735" i="5" s="1"/>
  <c r="K1736" i="5"/>
  <c r="M1736" i="5" s="1"/>
  <c r="K1737" i="5"/>
  <c r="M1737" i="5" s="1"/>
  <c r="K1738" i="5"/>
  <c r="M1738" i="5" s="1"/>
  <c r="K1739" i="5"/>
  <c r="M1739" i="5" s="1"/>
  <c r="K1740" i="5"/>
  <c r="M1740" i="5" s="1"/>
  <c r="K1741" i="5"/>
  <c r="M1741" i="5" s="1"/>
  <c r="K1742" i="5"/>
  <c r="M1742" i="5" s="1"/>
  <c r="K1743" i="5"/>
  <c r="M1743" i="5" s="1"/>
  <c r="K1744" i="5"/>
  <c r="M1744" i="5" s="1"/>
  <c r="K1745" i="5"/>
  <c r="M1745" i="5" s="1"/>
  <c r="K1746" i="5"/>
  <c r="M1746" i="5" s="1"/>
  <c r="K1747" i="5"/>
  <c r="M1747" i="5" s="1"/>
  <c r="K1748" i="5"/>
  <c r="M1748" i="5" s="1"/>
  <c r="K1749" i="5"/>
  <c r="M1749" i="5" s="1"/>
  <c r="K1750" i="5"/>
  <c r="M1750" i="5" s="1"/>
  <c r="K1751" i="5"/>
  <c r="M1751" i="5" s="1"/>
  <c r="K1752" i="5"/>
  <c r="M1752" i="5" s="1"/>
  <c r="K1753" i="5"/>
  <c r="M1753" i="5" s="1"/>
  <c r="K1754" i="5"/>
  <c r="M1754" i="5" s="1"/>
  <c r="K1755" i="5"/>
  <c r="M1755" i="5" s="1"/>
  <c r="K1756" i="5"/>
  <c r="M1756" i="5" s="1"/>
  <c r="K1757" i="5"/>
  <c r="M1757" i="5" s="1"/>
  <c r="K1758" i="5"/>
  <c r="M1758" i="5" s="1"/>
  <c r="K1759" i="5"/>
  <c r="M1759" i="5" s="1"/>
  <c r="K1760" i="5"/>
  <c r="M1760" i="5" s="1"/>
  <c r="K1761" i="5"/>
  <c r="M1761" i="5" s="1"/>
  <c r="K1762" i="5"/>
  <c r="M1762" i="5" s="1"/>
  <c r="K1763" i="5"/>
  <c r="M1763" i="5" s="1"/>
  <c r="K1764" i="5"/>
  <c r="M1764" i="5" s="1"/>
  <c r="K1765" i="5"/>
  <c r="M1765" i="5" s="1"/>
  <c r="K1766" i="5"/>
  <c r="M1766" i="5" s="1"/>
  <c r="K1767" i="5"/>
  <c r="M1767" i="5" s="1"/>
  <c r="K1768" i="5"/>
  <c r="M1768" i="5" s="1"/>
  <c r="K1769" i="5"/>
  <c r="M1769" i="5" s="1"/>
  <c r="K1770" i="5"/>
  <c r="M1770" i="5" s="1"/>
  <c r="K1771" i="5"/>
  <c r="M1771" i="5" s="1"/>
  <c r="K1772" i="5"/>
  <c r="M1772" i="5" s="1"/>
  <c r="K1773" i="5"/>
  <c r="M1773" i="5" s="1"/>
  <c r="K1774" i="5"/>
  <c r="M1774" i="5" s="1"/>
  <c r="K1775" i="5"/>
  <c r="M1775" i="5" s="1"/>
  <c r="K1776" i="5"/>
  <c r="M1776" i="5" s="1"/>
  <c r="K1777" i="5"/>
  <c r="M1777" i="5" s="1"/>
  <c r="K1778" i="5"/>
  <c r="M1778" i="5" s="1"/>
  <c r="K1779" i="5"/>
  <c r="M1779" i="5" s="1"/>
  <c r="K1780" i="5"/>
  <c r="M1780" i="5" s="1"/>
  <c r="K1781" i="5"/>
  <c r="M1781" i="5" s="1"/>
  <c r="K1782" i="5"/>
  <c r="M1782" i="5" s="1"/>
  <c r="K1783" i="5"/>
  <c r="M1783" i="5" s="1"/>
  <c r="K1784" i="5"/>
  <c r="M1784" i="5" s="1"/>
  <c r="K1785" i="5"/>
  <c r="M1785" i="5" s="1"/>
  <c r="K1786" i="5"/>
  <c r="M1786" i="5" s="1"/>
  <c r="K1787" i="5"/>
  <c r="M1787" i="5" s="1"/>
  <c r="K1788" i="5"/>
  <c r="M1788" i="5" s="1"/>
  <c r="K1789" i="5"/>
  <c r="M1789" i="5" s="1"/>
  <c r="K1790" i="5"/>
  <c r="M1790" i="5" s="1"/>
  <c r="K1791" i="5"/>
  <c r="M1791" i="5" s="1"/>
  <c r="K1792" i="5"/>
  <c r="M1792" i="5" s="1"/>
  <c r="K1793" i="5"/>
  <c r="M1793" i="5" s="1"/>
  <c r="K1794" i="5"/>
  <c r="M1794" i="5" s="1"/>
  <c r="K1795" i="5"/>
  <c r="M1795" i="5" s="1"/>
  <c r="K1796" i="5"/>
  <c r="M1796" i="5" s="1"/>
  <c r="K1797" i="5"/>
  <c r="M1797" i="5" s="1"/>
  <c r="K1798" i="5"/>
  <c r="M1798" i="5" s="1"/>
  <c r="K1799" i="5"/>
  <c r="M1799" i="5" s="1"/>
  <c r="K1800" i="5"/>
  <c r="M1800" i="5" s="1"/>
  <c r="K1801" i="5"/>
  <c r="M1801" i="5" s="1"/>
  <c r="K1802" i="5"/>
  <c r="M1802" i="5" s="1"/>
  <c r="K1803" i="5"/>
  <c r="M1803" i="5" s="1"/>
  <c r="K1804" i="5"/>
  <c r="M1804" i="5" s="1"/>
  <c r="K1805" i="5"/>
  <c r="M1805" i="5" s="1"/>
  <c r="K1806" i="5"/>
  <c r="M1806" i="5" s="1"/>
  <c r="K1807" i="5"/>
  <c r="M1807" i="5" s="1"/>
  <c r="K1808" i="5"/>
  <c r="M1808" i="5" s="1"/>
  <c r="K1809" i="5"/>
  <c r="M1809" i="5" s="1"/>
  <c r="K1810" i="5"/>
  <c r="M1810" i="5" s="1"/>
  <c r="K1811" i="5"/>
  <c r="M1811" i="5" s="1"/>
  <c r="K1812" i="5"/>
  <c r="M1812" i="5" s="1"/>
  <c r="K1813" i="5"/>
  <c r="M1813" i="5" s="1"/>
  <c r="K1814" i="5"/>
  <c r="M1814" i="5" s="1"/>
  <c r="K1815" i="5"/>
  <c r="M1815" i="5" s="1"/>
  <c r="K1816" i="5"/>
  <c r="M1816" i="5" s="1"/>
  <c r="K1817" i="5"/>
  <c r="M1817" i="5" s="1"/>
  <c r="K1818" i="5"/>
  <c r="M1818" i="5" s="1"/>
  <c r="K1819" i="5"/>
  <c r="M1819" i="5" s="1"/>
  <c r="K1820" i="5"/>
  <c r="M1820" i="5" s="1"/>
  <c r="K1821" i="5"/>
  <c r="M1821" i="5" s="1"/>
  <c r="K1822" i="5"/>
  <c r="M1822" i="5" s="1"/>
  <c r="K1823" i="5"/>
  <c r="M1823" i="5" s="1"/>
  <c r="K1824" i="5"/>
  <c r="M1824" i="5" s="1"/>
  <c r="K1825" i="5"/>
  <c r="M1825" i="5" s="1"/>
  <c r="K1826" i="5"/>
  <c r="M1826" i="5" s="1"/>
  <c r="K1827" i="5"/>
  <c r="M1827" i="5" s="1"/>
  <c r="K1828" i="5"/>
  <c r="M1828" i="5" s="1"/>
  <c r="K1829" i="5"/>
  <c r="M1829" i="5" s="1"/>
  <c r="K1830" i="5"/>
  <c r="M1830" i="5" s="1"/>
  <c r="K1831" i="5"/>
  <c r="M1831" i="5" s="1"/>
  <c r="K1832" i="5"/>
  <c r="M1832" i="5" s="1"/>
  <c r="K1833" i="5"/>
  <c r="M1833" i="5" s="1"/>
  <c r="K1834" i="5"/>
  <c r="M1834" i="5" s="1"/>
  <c r="K1835" i="5"/>
  <c r="M1835" i="5" s="1"/>
  <c r="K1836" i="5"/>
  <c r="M1836" i="5" s="1"/>
  <c r="K1837" i="5"/>
  <c r="M1837" i="5" s="1"/>
  <c r="K1838" i="5"/>
  <c r="M1838" i="5" s="1"/>
  <c r="K1839" i="5"/>
  <c r="M1839" i="5" s="1"/>
  <c r="K1840" i="5"/>
  <c r="M1840" i="5" s="1"/>
  <c r="K1841" i="5"/>
  <c r="M1841" i="5" s="1"/>
  <c r="K1842" i="5"/>
  <c r="M1842" i="5" s="1"/>
  <c r="K1843" i="5"/>
  <c r="M1843" i="5" s="1"/>
  <c r="K1844" i="5"/>
  <c r="M1844" i="5" s="1"/>
  <c r="K1845" i="5"/>
  <c r="M1845" i="5" s="1"/>
  <c r="K1846" i="5"/>
  <c r="M1846" i="5" s="1"/>
  <c r="K1847" i="5"/>
  <c r="M1847" i="5" s="1"/>
  <c r="K1848" i="5"/>
  <c r="M1848" i="5" s="1"/>
  <c r="K1849" i="5"/>
  <c r="M1849" i="5" s="1"/>
  <c r="K1850" i="5"/>
  <c r="M1850" i="5" s="1"/>
  <c r="K1851" i="5"/>
  <c r="M1851" i="5" s="1"/>
  <c r="K1852" i="5"/>
  <c r="M1852" i="5" s="1"/>
  <c r="K1853" i="5"/>
  <c r="M1853" i="5" s="1"/>
  <c r="K1854" i="5"/>
  <c r="M1854" i="5" s="1"/>
  <c r="K1855" i="5"/>
  <c r="M1855" i="5" s="1"/>
  <c r="K1856" i="5"/>
  <c r="M1856" i="5" s="1"/>
  <c r="K1857" i="5"/>
  <c r="M1857" i="5" s="1"/>
  <c r="K1858" i="5"/>
  <c r="M1858" i="5" s="1"/>
  <c r="K1859" i="5"/>
  <c r="M1859" i="5" s="1"/>
  <c r="K1860" i="5"/>
  <c r="M1860" i="5" s="1"/>
  <c r="K1861" i="5"/>
  <c r="M1861" i="5" s="1"/>
  <c r="K1862" i="5"/>
  <c r="M1862" i="5" s="1"/>
  <c r="K1863" i="5"/>
  <c r="M1863" i="5" s="1"/>
  <c r="K1864" i="5"/>
  <c r="M1864" i="5" s="1"/>
  <c r="K1865" i="5"/>
  <c r="M1865" i="5" s="1"/>
  <c r="K1866" i="5"/>
  <c r="M1866" i="5" s="1"/>
  <c r="K1867" i="5"/>
  <c r="M1867" i="5" s="1"/>
  <c r="K1868" i="5"/>
  <c r="M1868" i="5" s="1"/>
  <c r="K1869" i="5"/>
  <c r="M1869" i="5" s="1"/>
  <c r="K1870" i="5"/>
  <c r="M1870" i="5" s="1"/>
  <c r="K1871" i="5"/>
  <c r="M1871" i="5" s="1"/>
  <c r="K1872" i="5"/>
  <c r="M1872" i="5" s="1"/>
  <c r="K1873" i="5"/>
  <c r="M1873" i="5" s="1"/>
  <c r="K1874" i="5"/>
  <c r="M1874" i="5" s="1"/>
  <c r="K1875" i="5"/>
  <c r="M1875" i="5" s="1"/>
  <c r="K1876" i="5"/>
  <c r="M1876" i="5" s="1"/>
  <c r="K1877" i="5"/>
  <c r="M1877" i="5" s="1"/>
  <c r="K1878" i="5"/>
  <c r="M1878" i="5" s="1"/>
  <c r="K1879" i="5"/>
  <c r="M1879" i="5" s="1"/>
  <c r="K1880" i="5"/>
  <c r="M1880" i="5" s="1"/>
  <c r="K1881" i="5"/>
  <c r="M1881" i="5" s="1"/>
  <c r="K1882" i="5"/>
  <c r="M1882" i="5" s="1"/>
  <c r="K1883" i="5"/>
  <c r="M1883" i="5" s="1"/>
  <c r="K1884" i="5"/>
  <c r="M1884" i="5" s="1"/>
  <c r="K1885" i="5"/>
  <c r="M1885" i="5" s="1"/>
  <c r="K1886" i="5"/>
  <c r="M1886" i="5" s="1"/>
  <c r="K1887" i="5"/>
  <c r="M1887" i="5" s="1"/>
  <c r="K1888" i="5"/>
  <c r="M1888" i="5" s="1"/>
  <c r="K1889" i="5"/>
  <c r="M1889" i="5" s="1"/>
  <c r="K1890" i="5"/>
  <c r="M1890" i="5" s="1"/>
  <c r="K1891" i="5"/>
  <c r="M1891" i="5" s="1"/>
  <c r="K1892" i="5"/>
  <c r="M1892" i="5" s="1"/>
  <c r="K1893" i="5"/>
  <c r="M1893" i="5" s="1"/>
  <c r="K1894" i="5"/>
  <c r="M1894" i="5" s="1"/>
  <c r="K1895" i="5"/>
  <c r="M1895" i="5" s="1"/>
  <c r="K1896" i="5"/>
  <c r="M1896" i="5" s="1"/>
  <c r="K1897" i="5"/>
  <c r="M1897" i="5" s="1"/>
  <c r="K1898" i="5"/>
  <c r="M1898" i="5" s="1"/>
  <c r="K1899" i="5"/>
  <c r="M1899" i="5" s="1"/>
  <c r="K1900" i="5"/>
  <c r="M1900" i="5" s="1"/>
  <c r="K1901" i="5"/>
  <c r="M1901" i="5" s="1"/>
  <c r="K1902" i="5"/>
  <c r="M1902" i="5" s="1"/>
  <c r="K1903" i="5"/>
  <c r="M1903" i="5" s="1"/>
  <c r="K1904" i="5"/>
  <c r="M1904" i="5" s="1"/>
  <c r="K1905" i="5"/>
  <c r="M1905" i="5" s="1"/>
  <c r="K1906" i="5"/>
  <c r="M1906" i="5" s="1"/>
  <c r="K1907" i="5"/>
  <c r="M1907" i="5" s="1"/>
  <c r="K1908" i="5"/>
  <c r="M1908" i="5" s="1"/>
  <c r="K1909" i="5"/>
  <c r="M1909" i="5" s="1"/>
  <c r="K1910" i="5"/>
  <c r="M1910" i="5" s="1"/>
  <c r="K1911" i="5"/>
  <c r="M1911" i="5" s="1"/>
  <c r="K1912" i="5"/>
  <c r="M1912" i="5" s="1"/>
  <c r="K1913" i="5"/>
  <c r="M1913" i="5" s="1"/>
  <c r="K1914" i="5"/>
  <c r="M1914" i="5" s="1"/>
  <c r="K1915" i="5"/>
  <c r="M1915" i="5" s="1"/>
  <c r="K1916" i="5"/>
  <c r="M1916" i="5" s="1"/>
  <c r="K1917" i="5"/>
  <c r="M1917" i="5" s="1"/>
  <c r="K1918" i="5"/>
  <c r="M1918" i="5" s="1"/>
  <c r="K1919" i="5"/>
  <c r="M1919" i="5" s="1"/>
  <c r="K1920" i="5"/>
  <c r="M1920" i="5" s="1"/>
  <c r="K1921" i="5"/>
  <c r="M1921" i="5" s="1"/>
  <c r="K1922" i="5"/>
  <c r="M1922" i="5" s="1"/>
  <c r="K1923" i="5"/>
  <c r="M1923" i="5" s="1"/>
  <c r="K1924" i="5"/>
  <c r="M1924" i="5" s="1"/>
  <c r="K1925" i="5"/>
  <c r="M1925" i="5" s="1"/>
  <c r="K1926" i="5"/>
  <c r="M1926" i="5" s="1"/>
  <c r="K1927" i="5"/>
  <c r="M1927" i="5" s="1"/>
  <c r="K1928" i="5"/>
  <c r="M1928" i="5" s="1"/>
  <c r="K1929" i="5"/>
  <c r="M1929" i="5" s="1"/>
  <c r="K1930" i="5"/>
  <c r="M1930" i="5" s="1"/>
  <c r="K1931" i="5"/>
  <c r="M1931" i="5" s="1"/>
  <c r="K1932" i="5"/>
  <c r="M1932" i="5" s="1"/>
  <c r="K1933" i="5"/>
  <c r="M1933" i="5" s="1"/>
  <c r="K1934" i="5"/>
  <c r="M1934" i="5" s="1"/>
  <c r="K1935" i="5"/>
  <c r="M1935" i="5" s="1"/>
  <c r="K1936" i="5"/>
  <c r="M1936" i="5" s="1"/>
  <c r="K1937" i="5"/>
  <c r="M1937" i="5" s="1"/>
  <c r="K1938" i="5"/>
  <c r="M1938" i="5" s="1"/>
  <c r="K1939" i="5"/>
  <c r="M1939" i="5" s="1"/>
  <c r="K1940" i="5"/>
  <c r="M1940" i="5" s="1"/>
  <c r="K1941" i="5"/>
  <c r="M1941" i="5" s="1"/>
  <c r="K1942" i="5"/>
  <c r="M1942" i="5" s="1"/>
  <c r="K1943" i="5"/>
  <c r="M1943" i="5" s="1"/>
  <c r="K1944" i="5"/>
  <c r="M1944" i="5" s="1"/>
  <c r="K1945" i="5"/>
  <c r="M1945" i="5" s="1"/>
  <c r="K1946" i="5"/>
  <c r="M1946" i="5" s="1"/>
  <c r="K1947" i="5"/>
  <c r="M1947" i="5" s="1"/>
  <c r="K1948" i="5"/>
  <c r="M1948" i="5" s="1"/>
  <c r="K1949" i="5"/>
  <c r="M1949" i="5" s="1"/>
  <c r="K1950" i="5"/>
  <c r="M1950" i="5" s="1"/>
  <c r="K1951" i="5"/>
  <c r="M1951" i="5" s="1"/>
  <c r="K1952" i="5"/>
  <c r="M1952" i="5" s="1"/>
  <c r="K1953" i="5"/>
  <c r="M1953" i="5" s="1"/>
  <c r="K1954" i="5"/>
  <c r="M1954" i="5" s="1"/>
  <c r="K1955" i="5"/>
  <c r="M1955" i="5" s="1"/>
  <c r="K1956" i="5"/>
  <c r="M1956" i="5" s="1"/>
  <c r="K1957" i="5"/>
  <c r="M1957" i="5" s="1"/>
  <c r="K1958" i="5"/>
  <c r="M1958" i="5" s="1"/>
  <c r="K1959" i="5"/>
  <c r="M1959" i="5" s="1"/>
  <c r="K1960" i="5"/>
  <c r="M1960" i="5" s="1"/>
  <c r="K1961" i="5"/>
  <c r="M1961" i="5" s="1"/>
  <c r="K1962" i="5"/>
  <c r="M1962" i="5" s="1"/>
  <c r="K1963" i="5"/>
  <c r="M1963" i="5" s="1"/>
  <c r="K1964" i="5"/>
  <c r="M1964" i="5" s="1"/>
  <c r="K1965" i="5"/>
  <c r="M1965" i="5" s="1"/>
  <c r="K1966" i="5"/>
  <c r="M1966" i="5" s="1"/>
  <c r="K1967" i="5"/>
  <c r="M1967" i="5" s="1"/>
  <c r="K1968" i="5"/>
  <c r="M1968" i="5" s="1"/>
  <c r="K1969" i="5"/>
  <c r="M1969" i="5" s="1"/>
  <c r="K1970" i="5"/>
  <c r="M1970" i="5" s="1"/>
  <c r="K1971" i="5"/>
  <c r="M1971" i="5" s="1"/>
  <c r="K1972" i="5"/>
  <c r="M1972" i="5" s="1"/>
  <c r="K1973" i="5"/>
  <c r="M1973" i="5" s="1"/>
  <c r="K1974" i="5"/>
  <c r="M1974" i="5" s="1"/>
  <c r="K1975" i="5"/>
  <c r="M1975" i="5" s="1"/>
  <c r="K1976" i="5"/>
  <c r="M1976" i="5" s="1"/>
  <c r="K1977" i="5"/>
  <c r="M1977" i="5" s="1"/>
  <c r="K1978" i="5"/>
  <c r="M1978" i="5" s="1"/>
  <c r="K1979" i="5"/>
  <c r="M1979" i="5" s="1"/>
  <c r="K1980" i="5"/>
  <c r="M1980" i="5" s="1"/>
  <c r="K1981" i="5"/>
  <c r="M1981" i="5" s="1"/>
  <c r="K1982" i="5"/>
  <c r="M1982" i="5" s="1"/>
  <c r="K1983" i="5"/>
  <c r="M1983" i="5" s="1"/>
  <c r="K1984" i="5"/>
  <c r="M1984" i="5" s="1"/>
  <c r="K1985" i="5"/>
  <c r="M1985" i="5" s="1"/>
  <c r="K1986" i="5"/>
  <c r="M1986" i="5" s="1"/>
  <c r="K1987" i="5"/>
  <c r="M1987" i="5" s="1"/>
  <c r="K1988" i="5"/>
  <c r="M1988" i="5" s="1"/>
  <c r="K1989" i="5"/>
  <c r="M1989" i="5" s="1"/>
  <c r="K1990" i="5"/>
  <c r="M1990" i="5" s="1"/>
  <c r="K1991" i="5"/>
  <c r="M1991" i="5" s="1"/>
  <c r="K1992" i="5"/>
  <c r="M1992" i="5" s="1"/>
  <c r="K1993" i="5"/>
  <c r="M1993" i="5" s="1"/>
  <c r="K1994" i="5"/>
  <c r="M1994" i="5" s="1"/>
  <c r="K1995" i="5"/>
  <c r="M1995" i="5" s="1"/>
  <c r="K1996" i="5"/>
  <c r="M1996" i="5" s="1"/>
  <c r="K1997" i="5"/>
  <c r="M1997" i="5" s="1"/>
  <c r="K1998" i="5"/>
  <c r="M1998" i="5" s="1"/>
  <c r="K1999" i="5"/>
  <c r="M1999" i="5" s="1"/>
  <c r="K2000" i="5"/>
  <c r="M2000" i="5" s="1"/>
  <c r="K2001" i="5"/>
  <c r="M2001" i="5" s="1"/>
  <c r="K2002" i="5"/>
  <c r="M2002" i="5" s="1"/>
  <c r="K2003" i="5"/>
  <c r="M2003" i="5" s="1"/>
  <c r="K2004" i="5"/>
  <c r="M2004" i="5" s="1"/>
  <c r="K2005" i="5"/>
  <c r="M2005" i="5" s="1"/>
  <c r="K2006" i="5"/>
  <c r="M2006" i="5" s="1"/>
  <c r="K2007" i="5"/>
  <c r="M2007" i="5" s="1"/>
  <c r="K2008" i="5"/>
  <c r="M2008" i="5" s="1"/>
  <c r="K2009" i="5"/>
  <c r="M2009" i="5" s="1"/>
  <c r="K2010" i="5"/>
  <c r="M2010" i="5" s="1"/>
  <c r="K2011" i="5"/>
  <c r="M2011" i="5" s="1"/>
  <c r="K2012" i="5"/>
  <c r="M2012" i="5" s="1"/>
  <c r="K2013" i="5"/>
  <c r="M2013" i="5" s="1"/>
  <c r="K2014" i="5"/>
  <c r="M2014" i="5" s="1"/>
  <c r="K2015" i="5"/>
  <c r="M2015" i="5" s="1"/>
  <c r="K2016" i="5"/>
  <c r="M2016" i="5" s="1"/>
  <c r="K2017" i="5"/>
  <c r="M2017" i="5" s="1"/>
  <c r="K2018" i="5"/>
  <c r="M2018" i="5" s="1"/>
  <c r="K2019" i="5"/>
  <c r="M2019" i="5" s="1"/>
  <c r="K2020" i="5"/>
  <c r="M2020" i="5" s="1"/>
  <c r="K2021" i="5"/>
  <c r="M2021" i="5" s="1"/>
  <c r="K2022" i="5"/>
  <c r="M2022" i="5" s="1"/>
  <c r="K2023" i="5"/>
  <c r="M2023" i="5" s="1"/>
  <c r="K2024" i="5"/>
  <c r="M2024" i="5" s="1"/>
  <c r="K2025" i="5"/>
  <c r="M2025" i="5" s="1"/>
  <c r="K2026" i="5"/>
  <c r="M2026" i="5" s="1"/>
  <c r="K2027" i="5"/>
  <c r="M2027" i="5" s="1"/>
  <c r="K2028" i="5"/>
  <c r="M2028" i="5" s="1"/>
  <c r="K2029" i="5"/>
  <c r="M2029" i="5" s="1"/>
  <c r="K2030" i="5"/>
  <c r="M2030" i="5" s="1"/>
  <c r="K2031" i="5"/>
  <c r="M2031" i="5" s="1"/>
  <c r="K2032" i="5"/>
  <c r="M2032" i="5" s="1"/>
  <c r="K2033" i="5"/>
  <c r="M2033" i="5" s="1"/>
  <c r="K2034" i="5"/>
  <c r="M2034" i="5" s="1"/>
  <c r="K2035" i="5"/>
  <c r="M2035" i="5" s="1"/>
  <c r="K2036" i="5"/>
  <c r="M2036" i="5" s="1"/>
  <c r="K2037" i="5"/>
  <c r="M2037" i="5" s="1"/>
  <c r="K2038" i="5"/>
  <c r="M2038" i="5" s="1"/>
  <c r="K2039" i="5"/>
  <c r="M2039" i="5" s="1"/>
  <c r="K2040" i="5"/>
  <c r="M2040" i="5" s="1"/>
  <c r="K2041" i="5"/>
  <c r="M2041" i="5" s="1"/>
  <c r="K2042" i="5"/>
  <c r="M2042" i="5" s="1"/>
  <c r="K2043" i="5"/>
  <c r="M2043" i="5" s="1"/>
  <c r="K2044" i="5"/>
  <c r="M2044" i="5" s="1"/>
  <c r="K2045" i="5"/>
  <c r="M2045" i="5" s="1"/>
  <c r="K2046" i="5"/>
  <c r="M2046" i="5" s="1"/>
  <c r="K2047" i="5"/>
  <c r="M2047" i="5" s="1"/>
  <c r="K2048" i="5"/>
  <c r="M2048" i="5" s="1"/>
  <c r="K2049" i="5"/>
  <c r="M2049" i="5" s="1"/>
  <c r="K2050" i="5"/>
  <c r="M2050" i="5" s="1"/>
  <c r="K2051" i="5"/>
  <c r="M2051" i="5" s="1"/>
  <c r="K2052" i="5"/>
  <c r="M2052" i="5" s="1"/>
  <c r="K2053" i="5"/>
  <c r="M2053" i="5" s="1"/>
  <c r="K2054" i="5"/>
  <c r="M2054" i="5" s="1"/>
  <c r="K2055" i="5"/>
  <c r="M2055" i="5" s="1"/>
  <c r="K2056" i="5"/>
  <c r="M2056" i="5" s="1"/>
  <c r="K2057" i="5"/>
  <c r="M2057" i="5" s="1"/>
  <c r="K2058" i="5"/>
  <c r="M2058" i="5" s="1"/>
  <c r="K2059" i="5"/>
  <c r="M2059" i="5" s="1"/>
  <c r="K2060" i="5"/>
  <c r="M2060" i="5" s="1"/>
  <c r="K2061" i="5"/>
  <c r="M2061" i="5" s="1"/>
  <c r="K2062" i="5"/>
  <c r="M2062" i="5" s="1"/>
  <c r="K2063" i="5"/>
  <c r="M2063" i="5" s="1"/>
  <c r="K2064" i="5"/>
  <c r="M2064" i="5" s="1"/>
  <c r="K2065" i="5"/>
  <c r="M2065" i="5" s="1"/>
  <c r="K2066" i="5"/>
  <c r="M2066" i="5" s="1"/>
  <c r="K2067" i="5"/>
  <c r="M2067" i="5" s="1"/>
  <c r="K2068" i="5"/>
  <c r="M2068" i="5" s="1"/>
  <c r="K2069" i="5"/>
  <c r="M2069" i="5" s="1"/>
  <c r="K2070" i="5"/>
  <c r="M2070" i="5" s="1"/>
  <c r="K2071" i="5"/>
  <c r="M2071" i="5" s="1"/>
  <c r="K2072" i="5"/>
  <c r="M2072" i="5" s="1"/>
  <c r="K2073" i="5"/>
  <c r="M2073" i="5" s="1"/>
  <c r="K2074" i="5"/>
  <c r="M2074" i="5" s="1"/>
  <c r="K2075" i="5"/>
  <c r="M2075" i="5" s="1"/>
  <c r="K2076" i="5"/>
  <c r="M2076" i="5" s="1"/>
  <c r="K2077" i="5"/>
  <c r="M2077" i="5" s="1"/>
  <c r="K2078" i="5"/>
  <c r="M2078" i="5" s="1"/>
  <c r="K2079" i="5"/>
  <c r="M2079" i="5" s="1"/>
  <c r="K2080" i="5"/>
  <c r="M2080" i="5" s="1"/>
  <c r="K2081" i="5"/>
  <c r="M2081" i="5" s="1"/>
  <c r="K2082" i="5"/>
  <c r="M2082" i="5" s="1"/>
  <c r="K2083" i="5"/>
  <c r="M2083" i="5" s="1"/>
  <c r="K2084" i="5"/>
  <c r="M2084" i="5" s="1"/>
  <c r="K2085" i="5"/>
  <c r="M2085" i="5" s="1"/>
  <c r="K2086" i="5"/>
  <c r="M2086" i="5" s="1"/>
  <c r="K2087" i="5"/>
  <c r="M2087" i="5" s="1"/>
  <c r="K2088" i="5"/>
  <c r="M2088" i="5" s="1"/>
  <c r="K2089" i="5"/>
  <c r="M2089" i="5" s="1"/>
  <c r="K2090" i="5"/>
  <c r="M2090" i="5" s="1"/>
  <c r="K2091" i="5"/>
  <c r="M2091" i="5" s="1"/>
  <c r="K2092" i="5"/>
  <c r="M2092" i="5" s="1"/>
  <c r="K2093" i="5"/>
  <c r="M2093" i="5" s="1"/>
  <c r="K2094" i="5"/>
  <c r="M2094" i="5" s="1"/>
  <c r="K2095" i="5"/>
  <c r="M2095" i="5" s="1"/>
  <c r="K2096" i="5"/>
  <c r="M2096" i="5" s="1"/>
  <c r="K2097" i="5"/>
  <c r="M2097" i="5" s="1"/>
  <c r="K2098" i="5"/>
  <c r="M2098" i="5" s="1"/>
  <c r="K2099" i="5"/>
  <c r="M2099" i="5" s="1"/>
  <c r="K2100" i="5"/>
  <c r="M2100" i="5" s="1"/>
  <c r="K2101" i="5"/>
  <c r="M2101" i="5" s="1"/>
  <c r="K2102" i="5"/>
  <c r="M2102" i="5" s="1"/>
  <c r="K2103" i="5"/>
  <c r="M2103" i="5" s="1"/>
  <c r="K2104" i="5"/>
  <c r="M2104" i="5" s="1"/>
  <c r="K2105" i="5"/>
  <c r="M2105" i="5" s="1"/>
  <c r="K2106" i="5"/>
  <c r="M2106" i="5" s="1"/>
  <c r="K2107" i="5"/>
  <c r="M2107" i="5" s="1"/>
  <c r="K2108" i="5"/>
  <c r="M2108" i="5" s="1"/>
  <c r="K2109" i="5"/>
  <c r="M2109" i="5" s="1"/>
  <c r="K2110" i="5"/>
  <c r="M2110" i="5" s="1"/>
  <c r="K2111" i="5"/>
  <c r="M2111" i="5" s="1"/>
  <c r="K2112" i="5"/>
  <c r="M2112" i="5" s="1"/>
  <c r="K2113" i="5"/>
  <c r="M2113" i="5" s="1"/>
  <c r="K2114" i="5"/>
  <c r="M2114" i="5" s="1"/>
  <c r="K2115" i="5"/>
  <c r="M2115" i="5" s="1"/>
  <c r="K2116" i="5"/>
  <c r="M2116" i="5" s="1"/>
  <c r="K2117" i="5"/>
  <c r="M2117" i="5" s="1"/>
  <c r="K2118" i="5"/>
  <c r="M2118" i="5" s="1"/>
  <c r="K2119" i="5"/>
  <c r="M2119" i="5" s="1"/>
  <c r="K2120" i="5"/>
  <c r="M2120" i="5" s="1"/>
  <c r="K2121" i="5"/>
  <c r="M2121" i="5" s="1"/>
  <c r="K2122" i="5"/>
  <c r="M2122" i="5" s="1"/>
  <c r="K2123" i="5"/>
  <c r="M2123" i="5" s="1"/>
  <c r="K2124" i="5"/>
  <c r="M2124" i="5" s="1"/>
  <c r="K2125" i="5"/>
  <c r="M2125" i="5" s="1"/>
  <c r="K2126" i="5"/>
  <c r="M2126" i="5" s="1"/>
  <c r="K2127" i="5"/>
  <c r="M2127" i="5" s="1"/>
  <c r="K2128" i="5"/>
  <c r="M2128" i="5" s="1"/>
  <c r="K2129" i="5"/>
  <c r="M2129" i="5" s="1"/>
  <c r="K2130" i="5"/>
  <c r="M2130" i="5" s="1"/>
  <c r="K2131" i="5"/>
  <c r="M2131" i="5" s="1"/>
  <c r="K2132" i="5"/>
  <c r="M2132" i="5" s="1"/>
  <c r="K2133" i="5"/>
  <c r="M2133" i="5" s="1"/>
  <c r="K2134" i="5"/>
  <c r="M2134" i="5" s="1"/>
  <c r="K2135" i="5"/>
  <c r="M2135" i="5" s="1"/>
  <c r="K2136" i="5"/>
  <c r="M2136" i="5" s="1"/>
  <c r="K2137" i="5"/>
  <c r="M2137" i="5" s="1"/>
  <c r="K2138" i="5"/>
  <c r="M2138" i="5" s="1"/>
  <c r="K2139" i="5"/>
  <c r="M2139" i="5" s="1"/>
  <c r="K2140" i="5"/>
  <c r="M2140" i="5" s="1"/>
  <c r="K2141" i="5"/>
  <c r="M2141" i="5" s="1"/>
  <c r="K2142" i="5"/>
  <c r="M2142" i="5" s="1"/>
  <c r="K2143" i="5"/>
  <c r="M2143" i="5" s="1"/>
  <c r="K2144" i="5"/>
  <c r="M2144" i="5" s="1"/>
  <c r="K2145" i="5"/>
  <c r="M2145" i="5" s="1"/>
  <c r="K2146" i="5"/>
  <c r="M2146" i="5" s="1"/>
  <c r="K2147" i="5"/>
  <c r="M2147" i="5" s="1"/>
  <c r="K2148" i="5"/>
  <c r="M2148" i="5" s="1"/>
  <c r="K2149" i="5"/>
  <c r="M2149" i="5" s="1"/>
  <c r="K2150" i="5"/>
  <c r="M2150" i="5" s="1"/>
  <c r="K2151" i="5"/>
  <c r="M2151" i="5" s="1"/>
  <c r="K2152" i="5"/>
  <c r="M2152" i="5" s="1"/>
  <c r="K2153" i="5"/>
  <c r="M2153" i="5" s="1"/>
  <c r="K2154" i="5"/>
  <c r="M2154" i="5" s="1"/>
  <c r="K2155" i="5"/>
  <c r="M2155" i="5" s="1"/>
  <c r="K2156" i="5"/>
  <c r="M2156" i="5" s="1"/>
  <c r="K2157" i="5"/>
  <c r="M2157" i="5" s="1"/>
  <c r="K2158" i="5"/>
  <c r="M2158" i="5" s="1"/>
  <c r="K2159" i="5"/>
  <c r="M2159" i="5" s="1"/>
  <c r="K2160" i="5"/>
  <c r="M2160" i="5" s="1"/>
  <c r="K2161" i="5"/>
  <c r="M2161" i="5" s="1"/>
  <c r="K2162" i="5"/>
  <c r="M2162" i="5" s="1"/>
  <c r="K2163" i="5"/>
  <c r="M2163" i="5" s="1"/>
  <c r="K2164" i="5"/>
  <c r="M2164" i="5" s="1"/>
  <c r="K2165" i="5"/>
  <c r="M2165" i="5" s="1"/>
  <c r="K2166" i="5"/>
  <c r="M2166" i="5" s="1"/>
  <c r="K2167" i="5"/>
  <c r="M2167" i="5" s="1"/>
  <c r="K2168" i="5"/>
  <c r="M2168" i="5" s="1"/>
  <c r="K2169" i="5"/>
  <c r="M2169" i="5" s="1"/>
  <c r="K2170" i="5"/>
  <c r="M2170" i="5" s="1"/>
  <c r="K2171" i="5"/>
  <c r="M2171" i="5" s="1"/>
  <c r="K2172" i="5"/>
  <c r="M2172" i="5" s="1"/>
  <c r="K2173" i="5"/>
  <c r="M2173" i="5" s="1"/>
  <c r="K2174" i="5"/>
  <c r="M2174" i="5" s="1"/>
  <c r="K2175" i="5"/>
  <c r="M2175" i="5" s="1"/>
  <c r="K2176" i="5"/>
  <c r="M2176" i="5" s="1"/>
  <c r="K2177" i="5"/>
  <c r="M2177" i="5" s="1"/>
  <c r="K2178" i="5"/>
  <c r="M2178" i="5" s="1"/>
  <c r="K2179" i="5"/>
  <c r="M2179" i="5" s="1"/>
  <c r="K2180" i="5"/>
  <c r="M2180" i="5" s="1"/>
  <c r="K2181" i="5"/>
  <c r="M2181" i="5" s="1"/>
  <c r="K2182" i="5"/>
  <c r="M2182" i="5" s="1"/>
  <c r="K2183" i="5"/>
  <c r="M2183" i="5" s="1"/>
  <c r="K2184" i="5"/>
  <c r="M2184" i="5" s="1"/>
  <c r="K2185" i="5"/>
  <c r="M2185" i="5" s="1"/>
  <c r="K2186" i="5"/>
  <c r="M2186" i="5" s="1"/>
  <c r="K2187" i="5"/>
  <c r="M2187" i="5" s="1"/>
  <c r="K2188" i="5"/>
  <c r="M2188" i="5" s="1"/>
  <c r="K2189" i="5"/>
  <c r="M2189" i="5" s="1"/>
  <c r="K2190" i="5"/>
  <c r="M2190" i="5" s="1"/>
  <c r="K2191" i="5"/>
  <c r="M2191" i="5" s="1"/>
  <c r="K2192" i="5"/>
  <c r="M2192" i="5" s="1"/>
  <c r="K2193" i="5"/>
  <c r="M2193" i="5" s="1"/>
  <c r="K2194" i="5"/>
  <c r="M2194" i="5" s="1"/>
  <c r="K2195" i="5"/>
  <c r="M2195" i="5" s="1"/>
  <c r="K2196" i="5"/>
  <c r="M2196" i="5" s="1"/>
  <c r="K2197" i="5"/>
  <c r="M2197" i="5" s="1"/>
  <c r="K2198" i="5"/>
  <c r="M2198" i="5" s="1"/>
  <c r="K2199" i="5"/>
  <c r="M2199" i="5" s="1"/>
  <c r="K2200" i="5"/>
  <c r="M2200" i="5" s="1"/>
  <c r="K2201" i="5"/>
  <c r="M2201" i="5" s="1"/>
  <c r="K2202" i="5"/>
  <c r="M2202" i="5" s="1"/>
  <c r="K2203" i="5"/>
  <c r="M2203" i="5" s="1"/>
  <c r="K2204" i="5"/>
  <c r="M2204" i="5" s="1"/>
  <c r="K2205" i="5"/>
  <c r="M2205" i="5" s="1"/>
  <c r="K2206" i="5"/>
  <c r="M2206" i="5" s="1"/>
  <c r="K2207" i="5"/>
  <c r="M2207" i="5" s="1"/>
  <c r="K2208" i="5"/>
  <c r="M2208" i="5" s="1"/>
  <c r="K2209" i="5"/>
  <c r="M2209" i="5" s="1"/>
  <c r="K2210" i="5"/>
  <c r="M2210" i="5" s="1"/>
  <c r="K2211" i="5"/>
  <c r="M2211" i="5" s="1"/>
  <c r="K2212" i="5"/>
  <c r="M2212" i="5" s="1"/>
  <c r="K2213" i="5"/>
  <c r="M2213" i="5" s="1"/>
  <c r="K2214" i="5"/>
  <c r="M2214" i="5" s="1"/>
  <c r="K2215" i="5"/>
  <c r="M2215" i="5" s="1"/>
  <c r="K2216" i="5"/>
  <c r="M2216" i="5" s="1"/>
  <c r="K2217" i="5"/>
  <c r="M2217" i="5" s="1"/>
  <c r="K2218" i="5"/>
  <c r="M2218" i="5" s="1"/>
  <c r="K2219" i="5"/>
  <c r="M2219" i="5" s="1"/>
  <c r="K2220" i="5"/>
  <c r="M2220" i="5" s="1"/>
  <c r="K2221" i="5"/>
  <c r="M2221" i="5" s="1"/>
  <c r="K2222" i="5"/>
  <c r="M2222" i="5" s="1"/>
  <c r="K2223" i="5"/>
  <c r="M2223" i="5" s="1"/>
  <c r="K2224" i="5"/>
  <c r="M2224" i="5" s="1"/>
  <c r="K2225" i="5"/>
  <c r="M2225" i="5" s="1"/>
  <c r="K2226" i="5"/>
  <c r="M2226" i="5" s="1"/>
  <c r="K2227" i="5"/>
  <c r="M2227" i="5" s="1"/>
  <c r="K2228" i="5"/>
  <c r="M2228" i="5" s="1"/>
  <c r="K2229" i="5"/>
  <c r="M2229" i="5" s="1"/>
  <c r="K2230" i="5"/>
  <c r="M2230" i="5" s="1"/>
  <c r="K2231" i="5"/>
  <c r="M2231" i="5" s="1"/>
  <c r="K2232" i="5"/>
  <c r="M2232" i="5" s="1"/>
  <c r="K2233" i="5"/>
  <c r="M2233" i="5" s="1"/>
  <c r="K2234" i="5"/>
  <c r="M2234" i="5" s="1"/>
  <c r="K2235" i="5"/>
  <c r="M2235" i="5" s="1"/>
  <c r="K2236" i="5"/>
  <c r="M2236" i="5" s="1"/>
  <c r="K2237" i="5"/>
  <c r="M2237" i="5" s="1"/>
  <c r="K2238" i="5"/>
  <c r="M2238" i="5" s="1"/>
  <c r="K2239" i="5"/>
  <c r="M2239" i="5" s="1"/>
  <c r="K2240" i="5"/>
  <c r="M2240" i="5" s="1"/>
  <c r="K2241" i="5"/>
  <c r="M2241" i="5" s="1"/>
  <c r="K2242" i="5"/>
  <c r="M2242" i="5" s="1"/>
  <c r="K2243" i="5"/>
  <c r="M2243" i="5" s="1"/>
  <c r="K2244" i="5"/>
  <c r="M2244" i="5" s="1"/>
  <c r="K2245" i="5"/>
  <c r="M2245" i="5" s="1"/>
  <c r="K2246" i="5"/>
  <c r="M2246" i="5" s="1"/>
  <c r="K2247" i="5"/>
  <c r="M2247" i="5" s="1"/>
  <c r="K2248" i="5"/>
  <c r="M2248" i="5" s="1"/>
  <c r="K2249" i="5"/>
  <c r="M2249" i="5" s="1"/>
  <c r="K2250" i="5"/>
  <c r="M2250" i="5" s="1"/>
  <c r="K2251" i="5"/>
  <c r="M2251" i="5" s="1"/>
  <c r="K2252" i="5"/>
  <c r="M2252" i="5" s="1"/>
  <c r="K2253" i="5"/>
  <c r="M2253" i="5" s="1"/>
  <c r="K2254" i="5"/>
  <c r="M2254" i="5" s="1"/>
  <c r="K2255" i="5"/>
  <c r="M2255" i="5" s="1"/>
  <c r="K2256" i="5"/>
  <c r="M2256" i="5" s="1"/>
  <c r="K2257" i="5"/>
  <c r="M2257" i="5" s="1"/>
  <c r="K2258" i="5"/>
  <c r="M2258" i="5" s="1"/>
  <c r="K2259" i="5"/>
  <c r="M2259" i="5" s="1"/>
  <c r="K2260" i="5"/>
  <c r="M2260" i="5" s="1"/>
  <c r="K2261" i="5"/>
  <c r="M2261" i="5" s="1"/>
  <c r="K2262" i="5"/>
  <c r="M2262" i="5" s="1"/>
  <c r="K2263" i="5"/>
  <c r="M2263" i="5" s="1"/>
  <c r="K2264" i="5"/>
  <c r="M2264" i="5" s="1"/>
  <c r="K2265" i="5"/>
  <c r="M2265" i="5" s="1"/>
  <c r="K2266" i="5"/>
  <c r="M2266" i="5" s="1"/>
  <c r="K2267" i="5"/>
  <c r="M2267" i="5" s="1"/>
  <c r="K2268" i="5"/>
  <c r="M2268" i="5" s="1"/>
  <c r="K2269" i="5"/>
  <c r="M2269" i="5" s="1"/>
  <c r="K2270" i="5"/>
  <c r="M2270" i="5" s="1"/>
  <c r="K2271" i="5"/>
  <c r="M2271" i="5" s="1"/>
  <c r="K2272" i="5"/>
  <c r="M2272" i="5" s="1"/>
  <c r="K2273" i="5"/>
  <c r="M2273" i="5" s="1"/>
  <c r="K2274" i="5"/>
  <c r="M2274" i="5" s="1"/>
  <c r="K2275" i="5"/>
  <c r="M2275" i="5" s="1"/>
  <c r="K2276" i="5"/>
  <c r="M2276" i="5" s="1"/>
  <c r="K2277" i="5"/>
  <c r="M2277" i="5" s="1"/>
  <c r="K2278" i="5"/>
  <c r="M2278" i="5" s="1"/>
  <c r="K2279" i="5"/>
  <c r="M2279" i="5" s="1"/>
  <c r="K2280" i="5"/>
  <c r="M2280" i="5" s="1"/>
  <c r="K2281" i="5"/>
  <c r="M2281" i="5" s="1"/>
  <c r="K2282" i="5"/>
  <c r="M2282" i="5" s="1"/>
  <c r="K2283" i="5"/>
  <c r="M2283" i="5" s="1"/>
  <c r="K2284" i="5"/>
  <c r="M2284" i="5" s="1"/>
  <c r="K2285" i="5"/>
  <c r="M2285" i="5" s="1"/>
  <c r="K2286" i="5"/>
  <c r="M2286" i="5" s="1"/>
  <c r="K2287" i="5"/>
  <c r="M2287" i="5" s="1"/>
  <c r="K2288" i="5"/>
  <c r="M2288" i="5" s="1"/>
  <c r="K2289" i="5"/>
  <c r="M2289" i="5" s="1"/>
  <c r="K2290" i="5"/>
  <c r="M2290" i="5" s="1"/>
  <c r="K2291" i="5"/>
  <c r="M2291" i="5" s="1"/>
  <c r="K2292" i="5"/>
  <c r="M2292" i="5" s="1"/>
  <c r="K2293" i="5"/>
  <c r="M2293" i="5" s="1"/>
  <c r="K2294" i="5"/>
  <c r="M2294" i="5" s="1"/>
  <c r="K2295" i="5"/>
  <c r="M2295" i="5" s="1"/>
  <c r="K2296" i="5"/>
  <c r="M2296" i="5" s="1"/>
  <c r="K2297" i="5"/>
  <c r="M2297" i="5" s="1"/>
  <c r="K2298" i="5"/>
  <c r="M2298" i="5" s="1"/>
  <c r="K2299" i="5"/>
  <c r="M2299" i="5" s="1"/>
  <c r="K2300" i="5"/>
  <c r="M2300" i="5" s="1"/>
  <c r="K2301" i="5"/>
  <c r="M2301" i="5" s="1"/>
  <c r="K2302" i="5"/>
  <c r="M2302" i="5" s="1"/>
  <c r="K2303" i="5"/>
  <c r="M2303" i="5" s="1"/>
  <c r="K2304" i="5"/>
  <c r="M2304" i="5" s="1"/>
  <c r="K2305" i="5"/>
  <c r="M2305" i="5" s="1"/>
  <c r="K2306" i="5"/>
  <c r="M2306" i="5" s="1"/>
  <c r="K2307" i="5"/>
  <c r="M2307" i="5" s="1"/>
  <c r="K2308" i="5"/>
  <c r="M2308" i="5" s="1"/>
  <c r="K2309" i="5"/>
  <c r="M2309" i="5" s="1"/>
  <c r="K2310" i="5"/>
  <c r="M2310" i="5" s="1"/>
  <c r="K2311" i="5"/>
  <c r="M2311" i="5" s="1"/>
  <c r="K2312" i="5"/>
  <c r="M2312" i="5" s="1"/>
  <c r="K2313" i="5"/>
  <c r="M2313" i="5" s="1"/>
  <c r="K2314" i="5"/>
  <c r="M2314" i="5" s="1"/>
  <c r="K2315" i="5"/>
  <c r="M2315" i="5" s="1"/>
  <c r="K2316" i="5"/>
  <c r="M2316" i="5" s="1"/>
  <c r="K2317" i="5"/>
  <c r="M2317" i="5" s="1"/>
  <c r="K2318" i="5"/>
  <c r="M2318" i="5" s="1"/>
  <c r="K2319" i="5"/>
  <c r="M2319" i="5" s="1"/>
  <c r="K2320" i="5"/>
  <c r="M2320" i="5" s="1"/>
  <c r="K2321" i="5"/>
  <c r="M2321" i="5" s="1"/>
  <c r="K2322" i="5"/>
  <c r="M2322" i="5" s="1"/>
  <c r="K2323" i="5"/>
  <c r="M2323" i="5" s="1"/>
  <c r="K2324" i="5"/>
  <c r="M2324" i="5" s="1"/>
  <c r="K2325" i="5"/>
  <c r="M2325" i="5" s="1"/>
  <c r="K2326" i="5"/>
  <c r="M2326" i="5" s="1"/>
  <c r="K2327" i="5"/>
  <c r="M2327" i="5" s="1"/>
  <c r="K2328" i="5"/>
  <c r="M2328" i="5" s="1"/>
  <c r="K2329" i="5"/>
  <c r="M2329" i="5" s="1"/>
  <c r="K2330" i="5"/>
  <c r="M2330" i="5" s="1"/>
  <c r="K2331" i="5"/>
  <c r="M2331" i="5" s="1"/>
  <c r="K2332" i="5"/>
  <c r="M2332" i="5" s="1"/>
  <c r="K2333" i="5"/>
  <c r="M2333" i="5" s="1"/>
  <c r="K2334" i="5"/>
  <c r="M2334" i="5" s="1"/>
  <c r="K2335" i="5"/>
  <c r="M2335" i="5" s="1"/>
  <c r="K2336" i="5"/>
  <c r="M2336" i="5" s="1"/>
  <c r="K2337" i="5"/>
  <c r="M2337" i="5" s="1"/>
  <c r="K2338" i="5"/>
  <c r="M2338" i="5" s="1"/>
  <c r="K2339" i="5"/>
  <c r="M2339" i="5" s="1"/>
  <c r="K2340" i="5"/>
  <c r="M2340" i="5" s="1"/>
  <c r="K2341" i="5"/>
  <c r="M2341" i="5" s="1"/>
  <c r="K2342" i="5"/>
  <c r="M2342" i="5" s="1"/>
  <c r="K2343" i="5"/>
  <c r="M2343" i="5" s="1"/>
  <c r="K2344" i="5"/>
  <c r="M2344" i="5" s="1"/>
  <c r="K2345" i="5"/>
  <c r="M2345" i="5" s="1"/>
  <c r="K2346" i="5"/>
  <c r="M2346" i="5" s="1"/>
  <c r="K2347" i="5"/>
  <c r="M2347" i="5" s="1"/>
  <c r="K2348" i="5"/>
  <c r="M2348" i="5" s="1"/>
  <c r="K2349" i="5"/>
  <c r="M2349" i="5" s="1"/>
  <c r="K2350" i="5"/>
  <c r="M2350" i="5" s="1"/>
  <c r="K2351" i="5"/>
  <c r="M2351" i="5" s="1"/>
  <c r="K2352" i="5"/>
  <c r="M2352" i="5" s="1"/>
  <c r="K2353" i="5"/>
  <c r="M2353" i="5" s="1"/>
  <c r="K2354" i="5"/>
  <c r="M2354" i="5" s="1"/>
  <c r="K2355" i="5"/>
  <c r="M2355" i="5" s="1"/>
  <c r="K2356" i="5"/>
  <c r="M2356" i="5" s="1"/>
  <c r="K2357" i="5"/>
  <c r="M2357" i="5" s="1"/>
  <c r="K2358" i="5"/>
  <c r="M2358" i="5" s="1"/>
  <c r="K2359" i="5"/>
  <c r="M2359" i="5" s="1"/>
  <c r="K2360" i="5"/>
  <c r="M2360" i="5" s="1"/>
  <c r="K2361" i="5"/>
  <c r="M2361" i="5" s="1"/>
  <c r="K2362" i="5"/>
  <c r="M2362" i="5" s="1"/>
  <c r="K2363" i="5"/>
  <c r="M2363" i="5" s="1"/>
  <c r="K2364" i="5"/>
  <c r="M2364" i="5" s="1"/>
  <c r="K2365" i="5"/>
  <c r="M2365" i="5" s="1"/>
  <c r="K2366" i="5"/>
  <c r="M2366" i="5" s="1"/>
  <c r="K2367" i="5"/>
  <c r="M2367" i="5" s="1"/>
  <c r="K2368" i="5"/>
  <c r="M2368" i="5" s="1"/>
  <c r="K2369" i="5"/>
  <c r="M2369" i="5" s="1"/>
  <c r="K2370" i="5"/>
  <c r="M2370" i="5" s="1"/>
  <c r="K2371" i="5"/>
  <c r="M2371" i="5" s="1"/>
  <c r="K2372" i="5"/>
  <c r="M2372" i="5" s="1"/>
  <c r="K2373" i="5"/>
  <c r="M2373" i="5" s="1"/>
  <c r="K2374" i="5"/>
  <c r="M2374" i="5" s="1"/>
  <c r="K2375" i="5"/>
  <c r="M2375" i="5" s="1"/>
  <c r="K2376" i="5"/>
  <c r="M2376" i="5" s="1"/>
  <c r="K2377" i="5"/>
  <c r="M2377" i="5" s="1"/>
  <c r="K2378" i="5"/>
  <c r="M2378" i="5" s="1"/>
  <c r="K2379" i="5"/>
  <c r="M2379" i="5" s="1"/>
  <c r="K2380" i="5"/>
  <c r="M2380" i="5" s="1"/>
  <c r="K2381" i="5"/>
  <c r="M2381" i="5" s="1"/>
  <c r="K2382" i="5"/>
  <c r="M2382" i="5" s="1"/>
  <c r="K2383" i="5"/>
  <c r="M2383" i="5" s="1"/>
  <c r="K2384" i="5"/>
  <c r="M2384" i="5" s="1"/>
  <c r="K2385" i="5"/>
  <c r="M2385" i="5" s="1"/>
  <c r="K2386" i="5"/>
  <c r="M2386" i="5" s="1"/>
  <c r="K2387" i="5"/>
  <c r="M2387" i="5" s="1"/>
  <c r="K2388" i="5"/>
  <c r="M2388" i="5" s="1"/>
  <c r="K2389" i="5"/>
  <c r="M2389" i="5" s="1"/>
  <c r="K2390" i="5"/>
  <c r="M2390" i="5" s="1"/>
  <c r="K2391" i="5"/>
  <c r="M2391" i="5" s="1"/>
  <c r="K2392" i="5"/>
  <c r="M2392" i="5" s="1"/>
  <c r="K2393" i="5"/>
  <c r="M2393" i="5" s="1"/>
  <c r="K2394" i="5"/>
  <c r="M2394" i="5" s="1"/>
  <c r="K2395" i="5"/>
  <c r="M2395" i="5" s="1"/>
  <c r="K2396" i="5"/>
  <c r="M2396" i="5" s="1"/>
  <c r="K2397" i="5"/>
  <c r="M2397" i="5" s="1"/>
  <c r="K2398" i="5"/>
  <c r="M2398" i="5" s="1"/>
  <c r="K2399" i="5"/>
  <c r="M2399" i="5" s="1"/>
  <c r="K2400" i="5"/>
  <c r="M2400" i="5" s="1"/>
  <c r="K2401" i="5"/>
  <c r="M2401" i="5" s="1"/>
  <c r="K2402" i="5"/>
  <c r="M2402" i="5" s="1"/>
  <c r="K2403" i="5"/>
  <c r="M2403" i="5" s="1"/>
  <c r="K2404" i="5"/>
  <c r="M2404" i="5" s="1"/>
  <c r="K2405" i="5"/>
  <c r="M2405" i="5" s="1"/>
  <c r="K2406" i="5"/>
  <c r="M2406" i="5" s="1"/>
  <c r="K2407" i="5"/>
  <c r="M2407" i="5" s="1"/>
  <c r="K2408" i="5"/>
  <c r="M2408" i="5" s="1"/>
  <c r="K2409" i="5"/>
  <c r="M2409" i="5" s="1"/>
  <c r="K2410" i="5"/>
  <c r="M2410" i="5" s="1"/>
  <c r="K2411" i="5"/>
  <c r="M2411" i="5" s="1"/>
  <c r="K2412" i="5"/>
  <c r="M2412" i="5" s="1"/>
  <c r="K2413" i="5"/>
  <c r="M2413" i="5" s="1"/>
  <c r="K2414" i="5"/>
  <c r="M2414" i="5" s="1"/>
  <c r="K2415" i="5"/>
  <c r="M2415" i="5" s="1"/>
  <c r="K2416" i="5"/>
  <c r="M2416" i="5" s="1"/>
  <c r="K2417" i="5"/>
  <c r="M2417" i="5" s="1"/>
  <c r="K2418" i="5"/>
  <c r="M2418" i="5" s="1"/>
  <c r="K2419" i="5"/>
  <c r="M2419" i="5" s="1"/>
  <c r="K2420" i="5"/>
  <c r="M2420" i="5" s="1"/>
  <c r="K2421" i="5"/>
  <c r="M2421" i="5" s="1"/>
  <c r="K2422" i="5"/>
  <c r="M2422" i="5" s="1"/>
  <c r="K2423" i="5"/>
  <c r="M2423" i="5" s="1"/>
  <c r="K2424" i="5"/>
  <c r="M2424" i="5" s="1"/>
  <c r="K2425" i="5"/>
  <c r="M2425" i="5" s="1"/>
  <c r="K2426" i="5"/>
  <c r="M2426" i="5" s="1"/>
  <c r="K2427" i="5"/>
  <c r="M2427" i="5" s="1"/>
  <c r="K2428" i="5"/>
  <c r="M2428" i="5" s="1"/>
  <c r="K2429" i="5"/>
  <c r="M2429" i="5" s="1"/>
  <c r="K2430" i="5"/>
  <c r="M2430" i="5" s="1"/>
  <c r="K2431" i="5"/>
  <c r="M2431" i="5" s="1"/>
  <c r="K2432" i="5"/>
  <c r="M2432" i="5" s="1"/>
  <c r="K2433" i="5"/>
  <c r="M2433" i="5" s="1"/>
  <c r="K2434" i="5"/>
  <c r="M2434" i="5" s="1"/>
  <c r="K2435" i="5"/>
  <c r="M2435" i="5" s="1"/>
  <c r="K2436" i="5"/>
  <c r="M2436" i="5" s="1"/>
  <c r="K2437" i="5"/>
  <c r="M2437" i="5" s="1"/>
  <c r="K2438" i="5"/>
  <c r="M2438" i="5" s="1"/>
  <c r="K2439" i="5"/>
  <c r="M2439" i="5" s="1"/>
  <c r="K2440" i="5"/>
  <c r="M2440" i="5" s="1"/>
  <c r="K2441" i="5"/>
  <c r="M2441" i="5" s="1"/>
  <c r="K2442" i="5"/>
  <c r="M2442" i="5" s="1"/>
  <c r="K2443" i="5"/>
  <c r="M2443" i="5" s="1"/>
  <c r="K2444" i="5"/>
  <c r="M2444" i="5" s="1"/>
  <c r="K2445" i="5"/>
  <c r="M2445" i="5" s="1"/>
  <c r="K2446" i="5"/>
  <c r="M2446" i="5" s="1"/>
  <c r="K2447" i="5"/>
  <c r="M2447" i="5" s="1"/>
  <c r="K2448" i="5"/>
  <c r="M2448" i="5" s="1"/>
  <c r="K2449" i="5"/>
  <c r="M2449" i="5" s="1"/>
  <c r="K2450" i="5"/>
  <c r="M2450" i="5" s="1"/>
  <c r="K2451" i="5"/>
  <c r="M2451" i="5" s="1"/>
  <c r="K2452" i="5"/>
  <c r="M2452" i="5" s="1"/>
  <c r="K2453" i="5"/>
  <c r="M2453" i="5" s="1"/>
  <c r="K2454" i="5"/>
  <c r="M2454" i="5" s="1"/>
  <c r="K2455" i="5"/>
  <c r="M2455" i="5" s="1"/>
  <c r="K2456" i="5"/>
  <c r="M2456" i="5" s="1"/>
  <c r="K2457" i="5"/>
  <c r="M2457" i="5" s="1"/>
  <c r="K2458" i="5"/>
  <c r="M2458" i="5" s="1"/>
  <c r="K2459" i="5"/>
  <c r="M2459" i="5" s="1"/>
  <c r="K2460" i="5"/>
  <c r="M2460" i="5" s="1"/>
  <c r="K2461" i="5"/>
  <c r="M2461" i="5" s="1"/>
  <c r="K2462" i="5"/>
  <c r="M2462" i="5" s="1"/>
  <c r="K2463" i="5"/>
  <c r="M2463" i="5" s="1"/>
  <c r="K2464" i="5"/>
  <c r="M2464" i="5" s="1"/>
  <c r="K2465" i="5"/>
  <c r="M2465" i="5" s="1"/>
  <c r="K2466" i="5"/>
  <c r="M2466" i="5" s="1"/>
  <c r="K2467" i="5"/>
  <c r="M2467" i="5" s="1"/>
  <c r="K2468" i="5"/>
  <c r="M2468" i="5" s="1"/>
  <c r="K2469" i="5"/>
  <c r="M2469" i="5" s="1"/>
  <c r="K2470" i="5"/>
  <c r="M2470" i="5" s="1"/>
  <c r="K2471" i="5"/>
  <c r="M2471" i="5" s="1"/>
  <c r="K2472" i="5"/>
  <c r="M2472" i="5" s="1"/>
  <c r="K2473" i="5"/>
  <c r="M2473" i="5" s="1"/>
  <c r="K2474" i="5"/>
  <c r="M2474" i="5" s="1"/>
  <c r="K2475" i="5"/>
  <c r="M2475" i="5" s="1"/>
  <c r="K2476" i="5"/>
  <c r="M2476" i="5" s="1"/>
  <c r="K2477" i="5"/>
  <c r="M2477" i="5" s="1"/>
  <c r="K2478" i="5"/>
  <c r="M2478" i="5" s="1"/>
  <c r="K2479" i="5"/>
  <c r="M2479" i="5" s="1"/>
  <c r="K2480" i="5"/>
  <c r="M2480" i="5" s="1"/>
  <c r="K2481" i="5"/>
  <c r="M2481" i="5" s="1"/>
  <c r="K2482" i="5"/>
  <c r="M2482" i="5" s="1"/>
  <c r="K2483" i="5"/>
  <c r="M2483" i="5" s="1"/>
  <c r="K2484" i="5"/>
  <c r="M2484" i="5" s="1"/>
  <c r="K2485" i="5"/>
  <c r="M2485" i="5" s="1"/>
  <c r="K2486" i="5"/>
  <c r="M2486" i="5" s="1"/>
  <c r="K2487" i="5"/>
  <c r="M2487" i="5" s="1"/>
  <c r="K2488" i="5"/>
  <c r="M2488" i="5" s="1"/>
  <c r="K2489" i="5"/>
  <c r="M2489" i="5" s="1"/>
  <c r="K2490" i="5"/>
  <c r="M2490" i="5" s="1"/>
  <c r="K2491" i="5"/>
  <c r="M2491" i="5" s="1"/>
  <c r="K2492" i="5"/>
  <c r="M2492" i="5" s="1"/>
  <c r="K2493" i="5"/>
  <c r="M2493" i="5" s="1"/>
  <c r="K2494" i="5"/>
  <c r="M2494" i="5" s="1"/>
  <c r="K2495" i="5"/>
  <c r="M2495" i="5" s="1"/>
  <c r="K2496" i="5"/>
  <c r="M2496" i="5" s="1"/>
  <c r="K2497" i="5"/>
  <c r="M2497" i="5" s="1"/>
  <c r="K2498" i="5"/>
  <c r="M2498" i="5" s="1"/>
  <c r="K2499" i="5"/>
  <c r="M2499" i="5" s="1"/>
  <c r="K2500" i="5"/>
  <c r="M2500" i="5" s="1"/>
  <c r="K2501" i="5"/>
  <c r="M2501" i="5" s="1"/>
  <c r="K2502" i="5"/>
  <c r="M2502" i="5" s="1"/>
  <c r="K2503" i="5"/>
  <c r="M2503" i="5" s="1"/>
  <c r="K2504" i="5"/>
  <c r="M2504" i="5" s="1"/>
  <c r="K2505" i="5"/>
  <c r="M2505" i="5" s="1"/>
  <c r="K2506" i="5"/>
  <c r="M2506" i="5" s="1"/>
  <c r="K2507" i="5"/>
  <c r="M2507" i="5" s="1"/>
  <c r="K2508" i="5"/>
  <c r="M2508" i="5" s="1"/>
  <c r="K2509" i="5"/>
  <c r="M2509" i="5" s="1"/>
  <c r="K2510" i="5"/>
  <c r="M2510" i="5" s="1"/>
  <c r="K2511" i="5"/>
  <c r="M2511" i="5" s="1"/>
  <c r="K2512" i="5"/>
  <c r="M2512" i="5" s="1"/>
  <c r="K2513" i="5"/>
  <c r="M2513" i="5" s="1"/>
  <c r="K2514" i="5"/>
  <c r="M2514" i="5" s="1"/>
  <c r="K2515" i="5"/>
  <c r="M2515" i="5" s="1"/>
  <c r="K2516" i="5"/>
  <c r="M2516" i="5" s="1"/>
  <c r="K2517" i="5"/>
  <c r="M2517" i="5" s="1"/>
  <c r="K2518" i="5"/>
  <c r="M2518" i="5" s="1"/>
  <c r="K2519" i="5"/>
  <c r="M2519" i="5" s="1"/>
  <c r="K2520" i="5"/>
  <c r="M2520" i="5" s="1"/>
  <c r="K2521" i="5"/>
  <c r="M2521" i="5" s="1"/>
  <c r="K2522" i="5"/>
  <c r="M2522" i="5" s="1"/>
  <c r="K2523" i="5"/>
  <c r="M2523" i="5" s="1"/>
  <c r="K2524" i="5"/>
  <c r="M2524" i="5" s="1"/>
  <c r="K2525" i="5"/>
  <c r="M2525" i="5" s="1"/>
  <c r="K2526" i="5"/>
  <c r="M2526" i="5" s="1"/>
  <c r="K2527" i="5"/>
  <c r="M2527" i="5" s="1"/>
  <c r="K2528" i="5"/>
  <c r="M2528" i="5" s="1"/>
  <c r="K2529" i="5"/>
  <c r="M2529" i="5" s="1"/>
  <c r="K2530" i="5"/>
  <c r="M2530" i="5" s="1"/>
  <c r="K2531" i="5"/>
  <c r="M2531" i="5" s="1"/>
  <c r="K2532" i="5"/>
  <c r="M2532" i="5" s="1"/>
  <c r="K2533" i="5"/>
  <c r="M2533" i="5" s="1"/>
  <c r="K2534" i="5"/>
  <c r="M2534" i="5" s="1"/>
  <c r="K2535" i="5"/>
  <c r="M2535" i="5" s="1"/>
  <c r="K2536" i="5"/>
  <c r="M2536" i="5" s="1"/>
  <c r="K2537" i="5"/>
  <c r="M2537" i="5" s="1"/>
  <c r="K2538" i="5"/>
  <c r="M2538" i="5" s="1"/>
  <c r="K2539" i="5"/>
  <c r="M2539" i="5" s="1"/>
  <c r="K2540" i="5"/>
  <c r="M2540" i="5" s="1"/>
  <c r="K2541" i="5"/>
  <c r="M2541" i="5" s="1"/>
  <c r="K2542" i="5"/>
  <c r="M2542" i="5" s="1"/>
  <c r="K2543" i="5"/>
  <c r="M2543" i="5" s="1"/>
  <c r="K2544" i="5"/>
  <c r="M2544" i="5" s="1"/>
  <c r="K2545" i="5"/>
  <c r="M2545" i="5" s="1"/>
  <c r="K2546" i="5"/>
  <c r="M2546" i="5" s="1"/>
  <c r="K2547" i="5"/>
  <c r="M2547" i="5" s="1"/>
  <c r="K2548" i="5"/>
  <c r="M2548" i="5" s="1"/>
  <c r="K2549" i="5"/>
  <c r="M2549" i="5" s="1"/>
  <c r="K2550" i="5"/>
  <c r="M2550" i="5" s="1"/>
  <c r="K2551" i="5"/>
  <c r="M2551" i="5" s="1"/>
  <c r="K2552" i="5"/>
  <c r="M2552" i="5" s="1"/>
  <c r="K2553" i="5"/>
  <c r="M2553" i="5" s="1"/>
  <c r="K2554" i="5"/>
  <c r="M2554" i="5" s="1"/>
  <c r="K2555" i="5"/>
  <c r="M2555" i="5" s="1"/>
  <c r="K2556" i="5"/>
  <c r="M2556" i="5" s="1"/>
  <c r="K2557" i="5"/>
  <c r="M2557" i="5" s="1"/>
  <c r="K2558" i="5"/>
  <c r="M2558" i="5" s="1"/>
  <c r="K2559" i="5"/>
  <c r="M2559" i="5" s="1"/>
  <c r="K2560" i="5"/>
  <c r="M2560" i="5" s="1"/>
  <c r="K2561" i="5"/>
  <c r="M2561" i="5" s="1"/>
  <c r="K2562" i="5"/>
  <c r="M2562" i="5" s="1"/>
  <c r="K2563" i="5"/>
  <c r="M2563" i="5" s="1"/>
  <c r="K2564" i="5"/>
  <c r="M2564" i="5" s="1"/>
  <c r="K2565" i="5"/>
  <c r="M2565" i="5" s="1"/>
  <c r="K2566" i="5"/>
  <c r="M2566" i="5" s="1"/>
  <c r="K2567" i="5"/>
  <c r="M2567" i="5" s="1"/>
  <c r="K2568" i="5"/>
  <c r="M2568" i="5" s="1"/>
  <c r="K2569" i="5"/>
  <c r="M2569" i="5" s="1"/>
  <c r="K2570" i="5"/>
  <c r="M2570" i="5" s="1"/>
  <c r="K2571" i="5"/>
  <c r="M2571" i="5" s="1"/>
  <c r="K2572" i="5"/>
  <c r="M2572" i="5" s="1"/>
  <c r="K2573" i="5"/>
  <c r="M2573" i="5" s="1"/>
  <c r="K2574" i="5"/>
  <c r="M2574" i="5" s="1"/>
  <c r="K2575" i="5"/>
  <c r="M2575" i="5" s="1"/>
  <c r="K2576" i="5"/>
  <c r="M2576" i="5" s="1"/>
  <c r="K2577" i="5"/>
  <c r="M2577" i="5" s="1"/>
  <c r="K2578" i="5"/>
  <c r="M2578" i="5" s="1"/>
  <c r="K2579" i="5"/>
  <c r="M2579" i="5" s="1"/>
  <c r="K2580" i="5"/>
  <c r="M2580" i="5" s="1"/>
  <c r="K2581" i="5"/>
  <c r="M2581" i="5" s="1"/>
  <c r="K2582" i="5"/>
  <c r="M2582" i="5" s="1"/>
  <c r="K2583" i="5"/>
  <c r="M2583" i="5" s="1"/>
  <c r="K2584" i="5"/>
  <c r="M2584" i="5" s="1"/>
  <c r="K2585" i="5"/>
  <c r="M2585" i="5" s="1"/>
  <c r="K2586" i="5"/>
  <c r="M2586" i="5" s="1"/>
  <c r="K2587" i="5"/>
  <c r="M2587" i="5" s="1"/>
  <c r="K2588" i="5"/>
  <c r="M2588" i="5" s="1"/>
  <c r="K2589" i="5"/>
  <c r="M2589" i="5" s="1"/>
  <c r="K2590" i="5"/>
  <c r="M2590" i="5" s="1"/>
  <c r="K2591" i="5"/>
  <c r="M2591" i="5" s="1"/>
  <c r="K2592" i="5"/>
  <c r="M2592" i="5" s="1"/>
  <c r="K2593" i="5"/>
  <c r="M2593" i="5" s="1"/>
  <c r="K2594" i="5"/>
  <c r="M2594" i="5" s="1"/>
  <c r="K2595" i="5"/>
  <c r="M2595" i="5" s="1"/>
  <c r="K2596" i="5"/>
  <c r="M2596" i="5" s="1"/>
  <c r="K2597" i="5"/>
  <c r="M2597" i="5" s="1"/>
  <c r="K2598" i="5"/>
  <c r="M2598" i="5" s="1"/>
  <c r="K2599" i="5"/>
  <c r="M2599" i="5" s="1"/>
  <c r="K2600" i="5"/>
  <c r="M2600" i="5" s="1"/>
  <c r="K2601" i="5"/>
  <c r="M2601" i="5" s="1"/>
  <c r="K2602" i="5"/>
  <c r="M2602" i="5" s="1"/>
  <c r="K2603" i="5"/>
  <c r="M2603" i="5" s="1"/>
  <c r="K2604" i="5"/>
  <c r="M2604" i="5" s="1"/>
  <c r="K2605" i="5"/>
  <c r="M2605" i="5" s="1"/>
  <c r="K2606" i="5"/>
  <c r="M2606" i="5" s="1"/>
  <c r="K2607" i="5"/>
  <c r="M2607" i="5" s="1"/>
  <c r="K2608" i="5"/>
  <c r="M2608" i="5" s="1"/>
  <c r="K2609" i="5"/>
  <c r="M2609" i="5" s="1"/>
  <c r="K2610" i="5"/>
  <c r="M2610" i="5" s="1"/>
  <c r="K2611" i="5"/>
  <c r="M2611" i="5" s="1"/>
  <c r="K2612" i="5"/>
  <c r="M2612" i="5" s="1"/>
  <c r="K2613" i="5"/>
  <c r="M2613" i="5" s="1"/>
  <c r="K2614" i="5"/>
  <c r="M2614" i="5" s="1"/>
  <c r="K2615" i="5"/>
  <c r="M2615" i="5" s="1"/>
  <c r="K2616" i="5"/>
  <c r="M2616" i="5" s="1"/>
  <c r="K2617" i="5"/>
  <c r="M2617" i="5" s="1"/>
  <c r="K2618" i="5"/>
  <c r="M2618" i="5" s="1"/>
  <c r="K2619" i="5"/>
  <c r="M2619" i="5" s="1"/>
  <c r="K2620" i="5"/>
  <c r="M2620" i="5" s="1"/>
  <c r="K2621" i="5"/>
  <c r="M2621" i="5" s="1"/>
  <c r="K2622" i="5"/>
  <c r="M2622" i="5" s="1"/>
  <c r="K2623" i="5"/>
  <c r="M2623" i="5" s="1"/>
  <c r="K2624" i="5"/>
  <c r="M2624" i="5" s="1"/>
  <c r="K2625" i="5"/>
  <c r="M2625" i="5" s="1"/>
  <c r="K2626" i="5"/>
  <c r="M2626" i="5" s="1"/>
  <c r="K2627" i="5"/>
  <c r="M2627" i="5" s="1"/>
  <c r="K2628" i="5"/>
  <c r="M2628" i="5" s="1"/>
  <c r="K2629" i="5"/>
  <c r="M2629" i="5" s="1"/>
  <c r="K2630" i="5"/>
  <c r="M2630" i="5" s="1"/>
  <c r="K2631" i="5"/>
  <c r="M2631" i="5" s="1"/>
  <c r="K2632" i="5"/>
  <c r="M2632" i="5" s="1"/>
  <c r="K2633" i="5"/>
  <c r="M2633" i="5" s="1"/>
  <c r="K2634" i="5"/>
  <c r="M2634" i="5" s="1"/>
  <c r="K2635" i="5"/>
  <c r="M2635" i="5" s="1"/>
  <c r="K2636" i="5"/>
  <c r="M2636" i="5" s="1"/>
  <c r="K2637" i="5"/>
  <c r="M2637" i="5" s="1"/>
  <c r="K2638" i="5"/>
  <c r="M2638" i="5" s="1"/>
  <c r="K2639" i="5"/>
  <c r="M2639" i="5" s="1"/>
  <c r="K2640" i="5"/>
  <c r="M2640" i="5" s="1"/>
  <c r="K2641" i="5"/>
  <c r="M2641" i="5" s="1"/>
  <c r="K2642" i="5"/>
  <c r="M2642" i="5" s="1"/>
  <c r="K2643" i="5"/>
  <c r="M2643" i="5" s="1"/>
  <c r="K2644" i="5"/>
  <c r="M2644" i="5" s="1"/>
  <c r="K2645" i="5"/>
  <c r="M2645" i="5" s="1"/>
  <c r="K2646" i="5"/>
  <c r="M2646" i="5" s="1"/>
  <c r="K2647" i="5"/>
  <c r="M2647" i="5" s="1"/>
  <c r="K2648" i="5"/>
  <c r="M2648" i="5" s="1"/>
  <c r="K2649" i="5"/>
  <c r="M2649" i="5" s="1"/>
  <c r="K2650" i="5"/>
  <c r="M2650" i="5" s="1"/>
  <c r="K2651" i="5"/>
  <c r="M2651" i="5" s="1"/>
  <c r="K2652" i="5"/>
  <c r="M2652" i="5" s="1"/>
  <c r="K2653" i="5"/>
  <c r="M2653" i="5" s="1"/>
  <c r="K2654" i="5"/>
  <c r="M2654" i="5" s="1"/>
  <c r="K2655" i="5"/>
  <c r="M2655" i="5" s="1"/>
  <c r="K2656" i="5"/>
  <c r="M2656" i="5" s="1"/>
  <c r="K2657" i="5"/>
  <c r="M2657" i="5" s="1"/>
  <c r="K2658" i="5"/>
  <c r="M2658" i="5" s="1"/>
  <c r="K2659" i="5"/>
  <c r="M2659" i="5" s="1"/>
  <c r="K2660" i="5"/>
  <c r="M2660" i="5" s="1"/>
  <c r="K2661" i="5"/>
  <c r="M2661" i="5" s="1"/>
  <c r="K2662" i="5"/>
  <c r="M2662" i="5" s="1"/>
  <c r="K2663" i="5"/>
  <c r="M2663" i="5" s="1"/>
  <c r="K2664" i="5"/>
  <c r="M2664" i="5" s="1"/>
  <c r="K2665" i="5"/>
  <c r="M2665" i="5" s="1"/>
  <c r="K2666" i="5"/>
  <c r="M2666" i="5" s="1"/>
  <c r="K2667" i="5"/>
  <c r="M2667" i="5" s="1"/>
  <c r="K2668" i="5"/>
  <c r="M2668" i="5" s="1"/>
  <c r="K2669" i="5"/>
  <c r="M2669" i="5" s="1"/>
  <c r="K2670" i="5"/>
  <c r="M2670" i="5" s="1"/>
  <c r="K2671" i="5"/>
  <c r="M2671" i="5" s="1"/>
  <c r="K2672" i="5"/>
  <c r="M2672" i="5" s="1"/>
  <c r="K2673" i="5"/>
  <c r="M2673" i="5" s="1"/>
  <c r="K2674" i="5"/>
  <c r="M2674" i="5" s="1"/>
  <c r="K2675" i="5"/>
  <c r="M2675" i="5" s="1"/>
  <c r="K2676" i="5"/>
  <c r="M2676" i="5" s="1"/>
  <c r="K2677" i="5"/>
  <c r="M2677" i="5" s="1"/>
  <c r="K2678" i="5"/>
  <c r="M2678" i="5" s="1"/>
  <c r="K2679" i="5"/>
  <c r="M2679" i="5" s="1"/>
  <c r="K2680" i="5"/>
  <c r="M2680" i="5" s="1"/>
  <c r="K2681" i="5"/>
  <c r="M2681" i="5" s="1"/>
  <c r="K2682" i="5"/>
  <c r="M2682" i="5" s="1"/>
  <c r="K2683" i="5"/>
  <c r="M2683" i="5" s="1"/>
  <c r="K2684" i="5"/>
  <c r="M2684" i="5" s="1"/>
  <c r="K2685" i="5"/>
  <c r="M2685" i="5" s="1"/>
  <c r="K2686" i="5"/>
  <c r="M2686" i="5" s="1"/>
  <c r="K2687" i="5"/>
  <c r="M2687" i="5" s="1"/>
  <c r="K2688" i="5"/>
  <c r="M2688" i="5" s="1"/>
  <c r="K2689" i="5"/>
  <c r="M2689" i="5" s="1"/>
  <c r="K2690" i="5"/>
  <c r="M2690" i="5" s="1"/>
  <c r="K2691" i="5"/>
  <c r="M2691" i="5" s="1"/>
  <c r="K2692" i="5"/>
  <c r="M2692" i="5" s="1"/>
  <c r="K2693" i="5"/>
  <c r="M2693" i="5" s="1"/>
  <c r="K2694" i="5"/>
  <c r="M2694" i="5" s="1"/>
  <c r="K2695" i="5"/>
  <c r="M2695" i="5" s="1"/>
  <c r="K2696" i="5"/>
  <c r="M2696" i="5" s="1"/>
  <c r="K2697" i="5"/>
  <c r="M2697" i="5" s="1"/>
  <c r="K2698" i="5"/>
  <c r="M2698" i="5" s="1"/>
  <c r="K2699" i="5"/>
  <c r="M2699" i="5" s="1"/>
  <c r="K2700" i="5"/>
  <c r="M2700" i="5" s="1"/>
  <c r="K2701" i="5"/>
  <c r="M2701" i="5" s="1"/>
  <c r="K2702" i="5"/>
  <c r="M2702" i="5" s="1"/>
  <c r="K2703" i="5"/>
  <c r="M2703" i="5" s="1"/>
  <c r="K2704" i="5"/>
  <c r="M2704" i="5" s="1"/>
  <c r="K2705" i="5"/>
  <c r="M2705" i="5" s="1"/>
  <c r="K2706" i="5"/>
  <c r="M2706" i="5" s="1"/>
  <c r="K2707" i="5"/>
  <c r="M2707" i="5" s="1"/>
  <c r="K2708" i="5"/>
  <c r="M2708" i="5" s="1"/>
  <c r="K2709" i="5"/>
  <c r="M2709" i="5" s="1"/>
  <c r="K2710" i="5"/>
  <c r="M2710" i="5" s="1"/>
  <c r="K2711" i="5"/>
  <c r="M2711" i="5" s="1"/>
  <c r="K2712" i="5"/>
  <c r="M2712" i="5" s="1"/>
  <c r="K2713" i="5"/>
  <c r="M2713" i="5" s="1"/>
  <c r="K2714" i="5"/>
  <c r="M2714" i="5" s="1"/>
  <c r="K2715" i="5"/>
  <c r="M2715" i="5" s="1"/>
  <c r="K2716" i="5"/>
  <c r="M2716" i="5" s="1"/>
  <c r="K2717" i="5"/>
  <c r="M2717" i="5" s="1"/>
  <c r="K2718" i="5"/>
  <c r="M2718" i="5" s="1"/>
  <c r="K2719" i="5"/>
  <c r="M2719" i="5" s="1"/>
  <c r="K2720" i="5"/>
  <c r="M2720" i="5" s="1"/>
  <c r="K2721" i="5"/>
  <c r="M2721" i="5" s="1"/>
  <c r="K2722" i="5"/>
  <c r="M2722" i="5" s="1"/>
  <c r="K2723" i="5"/>
  <c r="M2723" i="5" s="1"/>
  <c r="K2724" i="5"/>
  <c r="M2724" i="5" s="1"/>
  <c r="K2725" i="5"/>
  <c r="M2725" i="5" s="1"/>
  <c r="K2726" i="5"/>
  <c r="M2726" i="5" s="1"/>
  <c r="K2727" i="5"/>
  <c r="M2727" i="5" s="1"/>
  <c r="K2728" i="5"/>
  <c r="M2728" i="5" s="1"/>
  <c r="K2729" i="5"/>
  <c r="M2729" i="5" s="1"/>
  <c r="K2730" i="5"/>
  <c r="M2730" i="5" s="1"/>
  <c r="K2731" i="5"/>
  <c r="M2731" i="5" s="1"/>
  <c r="K2732" i="5"/>
  <c r="M2732" i="5" s="1"/>
  <c r="K2733" i="5"/>
  <c r="M2733" i="5" s="1"/>
  <c r="K2734" i="5"/>
  <c r="M2734" i="5" s="1"/>
  <c r="K2735" i="5"/>
  <c r="M2735" i="5" s="1"/>
  <c r="K2736" i="5"/>
  <c r="M2736" i="5" s="1"/>
  <c r="K2737" i="5"/>
  <c r="M2737" i="5" s="1"/>
  <c r="K2738" i="5"/>
  <c r="M2738" i="5" s="1"/>
  <c r="K2739" i="5"/>
  <c r="M2739" i="5" s="1"/>
  <c r="K2740" i="5"/>
  <c r="M2740" i="5" s="1"/>
  <c r="K2741" i="5"/>
  <c r="M2741" i="5" s="1"/>
  <c r="K2742" i="5"/>
  <c r="M2742" i="5" s="1"/>
  <c r="K2743" i="5"/>
  <c r="M2743" i="5" s="1"/>
  <c r="K2744" i="5"/>
  <c r="M2744" i="5" s="1"/>
  <c r="K2745" i="5"/>
  <c r="M2745" i="5" s="1"/>
  <c r="K2746" i="5"/>
  <c r="M2746" i="5" s="1"/>
  <c r="K2747" i="5"/>
  <c r="M2747" i="5" s="1"/>
  <c r="K2748" i="5"/>
  <c r="M2748" i="5" s="1"/>
  <c r="K2749" i="5"/>
  <c r="M2749" i="5" s="1"/>
  <c r="K2750" i="5"/>
  <c r="M2750" i="5" s="1"/>
  <c r="K2751" i="5"/>
  <c r="M2751" i="5" s="1"/>
  <c r="K2752" i="5"/>
  <c r="M2752" i="5" s="1"/>
  <c r="K2753" i="5"/>
  <c r="M2753" i="5" s="1"/>
  <c r="K2754" i="5"/>
  <c r="M2754" i="5" s="1"/>
  <c r="K2755" i="5"/>
  <c r="M2755" i="5" s="1"/>
  <c r="K2756" i="5"/>
  <c r="M2756" i="5" s="1"/>
  <c r="K2757" i="5"/>
  <c r="M2757" i="5" s="1"/>
  <c r="K2758" i="5"/>
  <c r="M2758" i="5" s="1"/>
  <c r="K2759" i="5"/>
  <c r="M2759" i="5" s="1"/>
  <c r="K2760" i="5"/>
  <c r="M2760" i="5" s="1"/>
  <c r="K2761" i="5"/>
  <c r="M2761" i="5" s="1"/>
  <c r="K2762" i="5"/>
  <c r="M2762" i="5" s="1"/>
  <c r="K2763" i="5"/>
  <c r="M2763" i="5" s="1"/>
  <c r="K2764" i="5"/>
  <c r="M2764" i="5" s="1"/>
  <c r="K2765" i="5"/>
  <c r="M2765" i="5" s="1"/>
  <c r="K2766" i="5"/>
  <c r="M2766" i="5" s="1"/>
  <c r="K2767" i="5"/>
  <c r="M2767" i="5" s="1"/>
  <c r="K2768" i="5"/>
  <c r="M2768" i="5" s="1"/>
  <c r="K2769" i="5"/>
  <c r="M2769" i="5" s="1"/>
  <c r="K2770" i="5"/>
  <c r="M2770" i="5" s="1"/>
  <c r="K2771" i="5"/>
  <c r="M2771" i="5" s="1"/>
  <c r="K2772" i="5"/>
  <c r="M2772" i="5" s="1"/>
  <c r="K2773" i="5"/>
  <c r="M2773" i="5" s="1"/>
  <c r="K2774" i="5"/>
  <c r="M2774" i="5" s="1"/>
  <c r="K2775" i="5"/>
  <c r="M2775" i="5" s="1"/>
  <c r="K2776" i="5"/>
  <c r="M2776" i="5" s="1"/>
  <c r="K2777" i="5"/>
  <c r="M2777" i="5" s="1"/>
  <c r="K2778" i="5"/>
  <c r="M2778" i="5" s="1"/>
  <c r="K2779" i="5"/>
  <c r="M2779" i="5" s="1"/>
  <c r="K2780" i="5"/>
  <c r="M2780" i="5" s="1"/>
  <c r="K2781" i="5"/>
  <c r="M2781" i="5" s="1"/>
  <c r="K2782" i="5"/>
  <c r="M2782" i="5" s="1"/>
  <c r="K2783" i="5"/>
  <c r="M2783" i="5" s="1"/>
  <c r="K2784" i="5"/>
  <c r="M2784" i="5" s="1"/>
  <c r="K2785" i="5"/>
  <c r="M2785" i="5" s="1"/>
  <c r="K2786" i="5"/>
  <c r="M2786" i="5" s="1"/>
  <c r="K2787" i="5"/>
  <c r="M2787" i="5" s="1"/>
  <c r="K2788" i="5"/>
  <c r="M2788" i="5" s="1"/>
  <c r="K2789" i="5"/>
  <c r="M2789" i="5" s="1"/>
  <c r="K2790" i="5"/>
  <c r="M2790" i="5" s="1"/>
  <c r="K2791" i="5"/>
  <c r="M2791" i="5" s="1"/>
  <c r="K2792" i="5"/>
  <c r="M2792" i="5" s="1"/>
  <c r="K2793" i="5"/>
  <c r="M2793" i="5" s="1"/>
  <c r="K2794" i="5"/>
  <c r="M2794" i="5" s="1"/>
  <c r="K2795" i="5"/>
  <c r="M2795" i="5" s="1"/>
  <c r="K2796" i="5"/>
  <c r="M2796" i="5" s="1"/>
  <c r="K2797" i="5"/>
  <c r="M2797" i="5" s="1"/>
  <c r="K2798" i="5"/>
  <c r="M2798" i="5" s="1"/>
  <c r="K2799" i="5"/>
  <c r="M2799" i="5" s="1"/>
  <c r="K2800" i="5"/>
  <c r="M2800" i="5" s="1"/>
  <c r="K2801" i="5"/>
  <c r="M2801" i="5" s="1"/>
  <c r="B14" i="7"/>
  <c r="B13" i="7" a="1"/>
  <c r="B13" i="7" s="1"/>
  <c r="B12" i="7" a="1"/>
  <c r="B12" i="7" s="1"/>
  <c r="B11" i="7" a="1"/>
  <c r="B11" i="7" s="1"/>
  <c r="B10" i="7" a="1"/>
  <c r="B10" i="7" s="1"/>
  <c r="B9" i="7"/>
  <c r="B8" i="7"/>
  <c r="B7" i="7"/>
  <c r="B6" i="7"/>
  <c r="B5" i="7"/>
  <c r="B4" i="7"/>
  <c r="B3" i="7" a="1"/>
  <c r="B3" i="7" s="1"/>
  <c r="B2"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<sst xmlns="http://schemas.openxmlformats.org/spreadsheetml/2006/main" count="28215" uniqueCount="145">
  <si>
    <t>ticket_id</t>
  </si>
  <si>
    <t>created_date</t>
  </si>
  <si>
    <t>issue_category</t>
  </si>
  <si>
    <t>priority</t>
  </si>
  <si>
    <t>first_response_minutes</t>
  </si>
  <si>
    <t>resolution_time_hours</t>
  </si>
  <si>
    <t>agent_experience_years</t>
  </si>
  <si>
    <t>reopened</t>
  </si>
  <si>
    <t>channel</t>
  </si>
  <si>
    <t>customer_satisfaction</t>
  </si>
  <si>
    <t>Delivery</t>
  </si>
  <si>
    <t>Low</t>
  </si>
  <si>
    <t>Yes</t>
  </si>
  <si>
    <t>Chat</t>
  </si>
  <si>
    <t>Account</t>
  </si>
  <si>
    <t>Medium</t>
  </si>
  <si>
    <t>Email</t>
  </si>
  <si>
    <t>Urgent</t>
  </si>
  <si>
    <t>No</t>
  </si>
  <si>
    <t>Phone</t>
  </si>
  <si>
    <t>High</t>
  </si>
  <si>
    <t>Technical</t>
  </si>
  <si>
    <t>Other</t>
  </si>
  <si>
    <t>Billing</t>
  </si>
  <si>
    <t>Total Records</t>
  </si>
  <si>
    <t>Duplicate Ticket IDs</t>
  </si>
  <si>
    <t>Missing ticket_id</t>
  </si>
  <si>
    <t>Missing created_date</t>
  </si>
  <si>
    <t>Missing priority</t>
  </si>
  <si>
    <t>Negative first response</t>
  </si>
  <si>
    <t>Negative resolution time</t>
  </si>
  <si>
    <t>Invalid priority values</t>
  </si>
  <si>
    <t>Invalid channel values</t>
  </si>
  <si>
    <t>Invalid reopened values</t>
  </si>
  <si>
    <t>Invalid satisfaction values</t>
  </si>
  <si>
    <t>Future dates</t>
  </si>
  <si>
    <t>Unique Ticket ID</t>
  </si>
  <si>
    <t>Values</t>
  </si>
  <si>
    <t>Resolution SLA Hours</t>
  </si>
  <si>
    <t>First Response SLA Minutes</t>
  </si>
  <si>
    <t>Validated columns</t>
  </si>
  <si>
    <t>Resolution SLA Status</t>
  </si>
  <si>
    <t>First Response SLA Status</t>
  </si>
  <si>
    <t>Agent Experience Band</t>
  </si>
  <si>
    <t>Satisfaction Score</t>
  </si>
  <si>
    <t>Reopened Score</t>
  </si>
  <si>
    <t>Response Speed Category</t>
  </si>
  <si>
    <t>Resolution Time Category</t>
  </si>
  <si>
    <t>Ticket Month</t>
  </si>
  <si>
    <t>Ticket Weekday</t>
  </si>
  <si>
    <t>Priority Rank</t>
  </si>
  <si>
    <t>Row Labels</t>
  </si>
  <si>
    <t>Grand Total</t>
  </si>
  <si>
    <t>First Respnse SLA Minutes</t>
  </si>
  <si>
    <t>Overall Percentage</t>
  </si>
  <si>
    <t>Column Labels</t>
  </si>
  <si>
    <t>Breached</t>
  </si>
  <si>
    <t>Within SLA</t>
  </si>
  <si>
    <t>Priority</t>
  </si>
  <si>
    <t>Average of resolution_time_hours</t>
  </si>
  <si>
    <t>Issues Category</t>
  </si>
  <si>
    <t>Overall Average</t>
  </si>
  <si>
    <t>Average of first_response_minutes</t>
  </si>
  <si>
    <t>Channels</t>
  </si>
  <si>
    <t>Count of ticket_id</t>
  </si>
  <si>
    <t>Expert</t>
  </si>
  <si>
    <t>Junior</t>
  </si>
  <si>
    <t>Mid-Level</t>
  </si>
  <si>
    <t>Senior</t>
  </si>
  <si>
    <t>Average of Satisfaction Score</t>
  </si>
  <si>
    <t>Issue Cartegory</t>
  </si>
  <si>
    <t>Apr-2024</t>
  </si>
  <si>
    <t>Aug-2024</t>
  </si>
  <si>
    <t>Dec-2024</t>
  </si>
  <si>
    <t>Feb-2024</t>
  </si>
  <si>
    <t>Jan-2024</t>
  </si>
  <si>
    <t>Jul-2024</t>
  </si>
  <si>
    <t>Jun-2024</t>
  </si>
  <si>
    <t>Mar-2024</t>
  </si>
  <si>
    <t>May-2024</t>
  </si>
  <si>
    <t>Nov-2024</t>
  </si>
  <si>
    <t>Oct-2024</t>
  </si>
  <si>
    <t>Sep-2024</t>
  </si>
  <si>
    <t>Customer Support SLA &amp; Satisfaction Dashboard</t>
  </si>
  <si>
    <t>Resolution SLA Breach %</t>
  </si>
  <si>
    <t>Total Tickets</t>
  </si>
  <si>
    <t>Reopened Ticket %</t>
  </si>
  <si>
    <t>Key Insight</t>
  </si>
  <si>
    <t>Business Meaning</t>
  </si>
  <si>
    <t>First Response SLA Breach %</t>
  </si>
  <si>
    <t>Evidence from Dashboard</t>
  </si>
  <si>
    <t>Resolution SLA breach is high</t>
  </si>
  <si>
    <t>47.29% resolution SLA breach</t>
  </si>
  <si>
    <t>Almost half of support tickets are not resolved within the expected SLA time. This shows a serious resolution delay problem.</t>
  </si>
  <si>
    <t>First response SLA breach is higher than resolution breach</t>
  </si>
  <si>
    <t>55% first response SLA breach</t>
  </si>
  <si>
    <t>More than half of customers are waiting too long before receiving the first support response. Initial response speed is a bigger issue than final resolution.</t>
  </si>
  <si>
    <t>Reopened tickets are very high</t>
  </si>
  <si>
    <t>50% reopened ticket rate</t>
  </si>
  <si>
    <t>Half of the tickets are reopened, which suggests poor first-time resolution quality.</t>
  </si>
  <si>
    <t>Urgent tickets have the highest resolution SLA breach</t>
  </si>
  <si>
    <t>Urgent tickets show 88.43% breached</t>
  </si>
  <si>
    <t>The most important tickets are failing SLA the most. This is the biggest operational risk in the dashboard.</t>
  </si>
  <si>
    <t>Low priority tickets are fully within SLA</t>
  </si>
  <si>
    <t>Low priority shows 100% within SLA</t>
  </si>
  <si>
    <t>Low-priority work is being handled well, but urgent work is not getting enough attention.</t>
  </si>
  <si>
    <t>Account and Technical issues take longest to resolve</t>
  </si>
  <si>
    <t>Account and Technical categories show around 38 hours average resolution time</t>
  </si>
  <si>
    <t>These issue categories are likely more complex and need better support playbooks or specialist handling.</t>
  </si>
  <si>
    <t>Reopened tickets strongly connect with low satisfaction</t>
  </si>
  <si>
    <t>Reopened = Yes has 86.02% low satisfaction</t>
  </si>
  <si>
    <t>Reopened tickets are damaging customer satisfaction heavily.</t>
  </si>
  <si>
    <t>Non-reopened tickets have better satisfaction distribution</t>
  </si>
  <si>
    <t>Reopened = No has only 54.27% low satisfaction and 37.86% medium satisfaction</t>
  </si>
  <si>
    <t>First-time resolution improves satisfaction and reduces repeat workload.</t>
  </si>
  <si>
    <t>Finding</t>
  </si>
  <si>
    <t>Business Impact</t>
  </si>
  <si>
    <t>Recommendation</t>
  </si>
  <si>
    <t>Urgent tickets have 88.43% resolution SLA breach</t>
  </si>
  <si>
    <t>High-priority customer issues are not being resolved fast enough. This can hurt customer trust and retention.</t>
  </si>
  <si>
    <t>Create a separate urgent-ticket queue and assign urgent tickets only to senior or experienced agents.</t>
  </si>
  <si>
    <t>First response SLA breach is 55%</t>
  </si>
  <si>
    <t>Customers are waiting too long before the first reply, which can increase frustration even before the issue is solved.</t>
  </si>
  <si>
    <t>Set first-response alerts, use response templates, and monitor pending tickets every hour.</t>
  </si>
  <si>
    <t>Resolution SLA breach is 47.29%</t>
  </si>
  <si>
    <t>Nearly half of tickets exceed expected resolution time, showing workload or process inefficiency.</t>
  </si>
  <si>
    <t>Review ticket routing rules and redistribute workload based on category complexity and agent experience.</t>
  </si>
  <si>
    <t>Reopened ticket rate is 50%</t>
  </si>
  <si>
    <t>High reopen rate means issues are not solved properly the first time, creating extra workload.</t>
  </si>
  <si>
    <t>Add a closure checklist before marking tickets as resolved.</t>
  </si>
  <si>
    <t>Reopened tickets have 86.02% low satisfaction</t>
  </si>
  <si>
    <t>Poor first-time resolution is directly hurting customer satisfaction.</t>
  </si>
  <si>
    <t>Require quality review for reopened tickets and identify repeat failure reasons.</t>
  </si>
  <si>
    <t>Account and Technical issues have the longest resolution time</t>
  </si>
  <si>
    <t>Complex categories slow down support operations and increase SLA risk.</t>
  </si>
  <si>
    <t>Build troubleshooting guides for Account and Technical issues and assign specialists to these categories.</t>
  </si>
  <si>
    <t>Low-priority tickets are 100% within SLA</t>
  </si>
  <si>
    <t>Team is spending enough time on low-priority tickets, but urgent tickets are still delayed.</t>
  </si>
  <si>
    <t>Rebalance effort from low-priority tickets toward urgent and medium-priority queues.</t>
  </si>
  <si>
    <t>Medium priority has 33.33% SLA breach</t>
  </si>
  <si>
    <t>Medium-priority tickets are not critical, but still show noticeable delay.</t>
  </si>
  <si>
    <t>Monitor medium-priority backlog weekly and create escalation rules when aging exceeds SLA threshold.</t>
  </si>
  <si>
    <t>Recommendation Table</t>
  </si>
  <si>
    <t>Executive Summary
The dashboard shows that the support team is facing major issues in first response speed, resolution SLA performance, and first-time resolution quality. Out of 2,800 tickets, 47.29% breached resolution SLA and 55% breached first response SLA. Urgent tickets are the biggest concern, with 88.43% breaching resolution SLA, meaning the highest-priority issues are not being handled fast enough.
The reopened ticket rate is also very high at 50%. Reopened tickets show 86.02% low customer satisfaction, which indicates that poor first-time resolution is strongly affecting customer experience. Account and Technical issues have the highest average resolution time, around 38 hours, suggesting that these categories need better troubleshooting processes and specialist handling.
The business should focus on urgent-ticket routing, first-response monitoring, closure quality checks, and category-specific support playbooks.</t>
  </si>
  <si>
    <t>Dashboard Summary
Total tickets analyzed: 2,800
Resolution SLA breach rate: 47.29%
First response SLA breach rate: 55%
Reopened ticket rate: 50%
Main issue:
Urgent tickets have the highest SLA breach rate, and reopened tickets are strongly linked with low customer satisfaction.
Recommended focus:
Improve urgent-ticket handling, reduce first response delays, and strengthen first-time resolution quality.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</si>
</sst>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theme="1"/>
      <name val="Aptos Narrow"/>
      <family val="2"/>
      <scheme val="minor"/>
    </font>
    <font>
      <sz val="11"/>
      <color theme="1"/>
      <name val="Aptos Narrow"/>
      <family val="2"/>
      <scheme val="minor"/>
    </font>
    <font>
      <i/>
      <sz val="11"/>
      <color theme="1"/>
      <name val="Aptos Narrow"/>
      <family val="2"/>
      <scheme val="minor"/>
    </font>
    <font>
      <b/>
      <sz val="20"/>
      <color theme="2"/>
      <name val="Aptos Narrow"/>
      <family val="2"/>
      <scheme val="minor"/>
    </font>
    <font>
      <b/>
      <sz val="24"/>
      <color theme="2"/>
      <name val="Aptos Narrow"/>
      <family val="2"/>
      <scheme val="minor"/>
    </font>
  </fonts>
  <fills count="4">
    <fill>
      <patternFill patternType="none"/>
    </fill>
    <fill>
      <patternFill patternType="gray125"/>
    </fill>
    <fill>
      <patternFill patternType="solid">
        <fgColor theme="3" tint="0.499984740745262"/>
        <bgColor indexed="64"/>
      </patternFill>
    </fill>
    <fill>
      <patternFill patternType="solid">
        <fgColor theme="4" tint="-0.249977111117893"/>
        <bgColor indexed="64"/>
      </patternFill>
    </fill>
  </fills>
  <borders count="1">
    <border>
      <left/>
      <right/>
      <top/>
      <bottom/>
      <diagonal/>
    </border>
  </borders>
  <cellStyleXfs count="2">
    <xf numFmtId="0" fontId="0" fillId="0" borderId="0"/>
    <xf numFmtId="9" fontId="2" fillId="0" borderId="0" applyFont="0" applyFill="0" applyBorder="0" applyAlignment="0" applyProtection="0"/>
  </cellStyleXfs>
  <cellXfs count="24">
    <xf numFmtId="0" fontId="0" fillId="0" borderId="0" xfId="0"/>
    <xf numFmtId="14" fontId="0" fillId="0" borderId="0" xfId="0" applyNumberFormat="1"/>
    <xf numFmtId="0" fontId="0" fillId="0" borderId="0" xfId="0" applyAlignment="1">
      <alignment vertical="center" wrapText="1"/>
    </xf>
    <xf numFmtId="0" fontId="1" fillId="0" borderId="0" xfId="0" applyFont="1" applyAlignment="1">
      <alignment horizontal="center" vertical="center" wrapText="1"/>
    </xf>
    <xf numFmtId="0" fontId="0" fillId="0" borderId="0" xfId="0" applyAlignment="1">
      <alignment horizontal="right" vertical="center" wrapText="1"/>
    </xf>
    <xf numFmtId="0" fontId="1" fillId="0" borderId="0" xfId="0" applyFont="1" applyAlignment="1">
      <alignment horizontal="right" vertical="center" wrapText="1"/>
    </xf>
    <xf numFmtId="0" fontId="0" fillId="0" borderId="0" xfId="0" pivotButton="1"/>
    <xf numFmtId="0" fontId="0" fillId="0" borderId="0" xfId="0" applyAlignment="1">
      <alignment horizontal="left"/>
    </xf>
    <xf numFmtId="10" fontId="0" fillId="0" borderId="0" xfId="0" applyNumberFormat="1"/>
    <xf numFmtId="0" fontId="3" fillId="0" borderId="0" xfId="0" applyFont="1"/>
    <xf numFmtId="1" fontId="0" fillId="0" borderId="0" xfId="0" applyNumberFormat="1"/>
    <xf numFmtId="0" fontId="3" fillId="0" borderId="0" xfId="0" applyFont="1" applyAlignment="1">
      <alignment horizontal="left"/>
    </xf>
    <xf numFmtId="10" fontId="3" fillId="0" borderId="0" xfId="0" applyNumberFormat="1" applyFont="1"/>
    <xf numFmtId="0" fontId="0" fillId="0" borderId="0" xfId="0" applyAlignment="1">
      <alignment horizontal="center"/>
    </xf>
    <xf numFmtId="0" fontId="0" fillId="0" borderId="0" xfId="0" applyAlignment="1">
      <alignment horizontal="center" vertical="top"/>
    </xf>
    <xf numFmtId="0" fontId="0" fillId="0" borderId="0" xfId="0" applyAlignment="1">
      <alignment horizontal="left" vertical="center" wrapText="1"/>
    </xf>
    <xf numFmtId="0" fontId="0" fillId="0" borderId="0" xfId="0" applyAlignment="1">
      <alignment horizontal="center" wrapText="1"/>
    </xf>
    <xf numFmtId="0" fontId="0" fillId="0" borderId="0" xfId="0" applyAlignment="1">
      <alignment horizontal="center"/>
    </xf>
    <xf numFmtId="0" fontId="4" fillId="2" borderId="0" xfId="0" applyFont="1" applyFill="1" applyAlignment="1">
      <alignment horizontal="center" wrapText="1"/>
    </xf>
    <xf numFmtId="0" fontId="4" fillId="3" borderId="0" xfId="0" applyFont="1" applyFill="1" applyAlignment="1">
      <alignment horizontal="center"/>
    </xf>
    <xf numFmtId="10" fontId="4" fillId="3" borderId="0" xfId="0" applyNumberFormat="1" applyFont="1" applyFill="1" applyAlignment="1">
      <alignment horizontal="center"/>
    </xf>
    <xf numFmtId="9" fontId="4" fillId="3" borderId="0" xfId="1" applyFont="1" applyFill="1" applyAlignment="1">
      <alignment horizontal="center"/>
    </xf>
    <xf numFmtId="0" fontId="4" fillId="2" borderId="0" xfId="0" applyFont="1" applyFill="1" applyAlignment="1">
      <alignment horizontal="center"/>
    </xf>
    <xf numFmtId="0" fontId="5" fillId="2" borderId="0" xfId="0" applyFont="1" applyFill="1" applyAlignment="1">
      <alignment horizontal="center"/>
    </xf>
  </cellXfs>
  <cellStyles count="2">
    <cellStyle name="Normal" xfId="0" builtinId="0"/>
    <cellStyle name="Percent" xfId="1" builtinId="5"/>
  </cellStyles>
  <dxfs count="29">
    <dxf>
      <font>
        <i/>
      </font>
    </dxf>
    <dxf>
      <font>
        <i/>
      </font>
    </dxf>
    <dxf>
      <font>
        <i/>
      </font>
    </dxf>
    <dxf>
      <font>
        <i/>
      </fon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alignment horizontal="right" vertical="center" textRotation="0" wrapText="1" indent="0" justifyLastLine="0" shrinkToFit="0" readingOrder="0"/>
    </dxf>
    <dxf>
      <alignment horizontal="right"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19" formatCode="dd/mm/yyyy"/>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5.xml"/><Relationship Id="rId18"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2.xml"/><Relationship Id="rId19" Type="http://schemas.openxmlformats.org/officeDocument/2006/relationships/calcChain" Target="calcChain.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theme" Target="theme/theme1.xml"/><Relationship Id="rId22"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[Customer.xlsx]Pivot_Analysis!Resolution SLA Breach Rate by Priority</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0" i="0" u="none" strike="noStrike" kern="1200" cap="none" spc="50" normalizeH="0" baseline="0">
                <a:solidFill>
                  <a:sysClr val="windowText" lastClr="000000">
                    <a:lumMod val="65000"/>
                    <a:lumOff val="35000"/>
                  </a:sysClr>
                </a:solidFill>
                <a:latin typeface="+mj-lt"/>
                <a:ea typeface="+mj-ea"/>
                <a:cs typeface="+mj-cs"/>
              </a:defRPr>
            </a:pPr>
            <a:r>
              <a:rPr lang="en-IN"/>
              <a:t>Resolution SLA by Priority</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0" i="0" u="none" strike="noStrike" kern="1200" cap="none" spc="50" normalizeH="0" baseline="0">
              <a:solidFill>
                <a:sysClr val="windowText" lastClr="000000">
                  <a:lumMod val="65000"/>
                  <a:lumOff val="35000"/>
                </a:sys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Pivot_Analysis!$B$11:$B$12</c:f>
              <c:strCache>
                <c:ptCount val="1"/>
                <c:pt idx="0">
                  <c:v>Breached</c:v>
                </c:pt>
              </c:strCache>
            </c:strRef>
          </c:tx>
          <c:spPr>
            <a:solidFill>
              <a:schemeClr val="accent1">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Pivot_Analysis!$A$13:$A$16</c:f>
              <c:strCache>
                <c:ptCount val="3"/>
                <c:pt idx="0">
                  <c:v>Low</c:v>
                </c:pt>
                <c:pt idx="1">
                  <c:v>Medium</c:v>
                </c:pt>
                <c:pt idx="2">
                  <c:v>Urgent</c:v>
                </c:pt>
              </c:strCache>
            </c:strRef>
          </c:cat>
          <c:val>
            <c:numRef>
              <c:f>Pivot_Analysis!$B$13:$B$16</c:f>
              <c:numCache>
                <c:formatCode>0.00%</c:formatCode>
                <c:ptCount val="3"/>
                <c:pt idx="0">
                  <c:v>0</c:v>
                </c:pt>
                <c:pt idx="1">
                  <c:v>0.33333333333333331</c:v>
                </c:pt>
                <c:pt idx="2">
                  <c:v>0.88434414668547245</c:v>
                </c:pt>
              </c:numCache>
            </c:numRef>
          </c:val>
          <c:extLst>
            <c:ext xmlns:c16="http://schemas.microsoft.com/office/drawing/2014/chart" uri="{C3380CC4-5D6E-409C-BE32-E72D297353CC}">
              <c16:uniqueId val="{00000000-853A-4ED8-8095-D6050CEC19DA}"/>
            </c:ext>
          </c:extLst>
        </c:ser>
        <c:ser>
          <c:idx val="1"/>
          <c:order val="1"/>
          <c:tx>
            <c:strRef>
              <c:f>Pivot_Analysis!$C$11:$C$12</c:f>
              <c:strCache>
                <c:ptCount val="1"/>
                <c:pt idx="0">
                  <c:v>Within SLA</c:v>
                </c:pt>
              </c:strCache>
            </c:strRef>
          </c:tx>
          <c:spPr>
            <a:solidFill>
              <a:schemeClr val="accent2">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Pivot_Analysis!$A$13:$A$16</c:f>
              <c:strCache>
                <c:ptCount val="3"/>
                <c:pt idx="0">
                  <c:v>Low</c:v>
                </c:pt>
                <c:pt idx="1">
                  <c:v>Medium</c:v>
                </c:pt>
                <c:pt idx="2">
                  <c:v>Urgent</c:v>
                </c:pt>
              </c:strCache>
            </c:strRef>
          </c:cat>
          <c:val>
            <c:numRef>
              <c:f>Pivot_Analysis!$C$13:$C$16</c:f>
              <c:numCache>
                <c:formatCode>0.00%</c:formatCode>
                <c:ptCount val="3"/>
                <c:pt idx="0">
                  <c:v>1</c:v>
                </c:pt>
                <c:pt idx="1">
                  <c:v>0.66666666666666663</c:v>
                </c:pt>
                <c:pt idx="2">
                  <c:v>0.1156558533145275</c:v>
                </c:pt>
              </c:numCache>
            </c:numRef>
          </c:val>
          <c:extLst>
            <c:ext xmlns:c16="http://schemas.microsoft.com/office/drawing/2014/chart" uri="{C3380CC4-5D6E-409C-BE32-E72D297353CC}">
              <c16:uniqueId val="{00000001-853A-4ED8-8095-D6050CEC19DA}"/>
            </c:ext>
          </c:extLst>
        </c:ser>
        <c:dLbls>
          <c:dLblPos val="outEnd"/>
          <c:showLegendKey val="0"/>
          <c:showVal val="1"/>
          <c:showCatName val="0"/>
          <c:showSerName val="0"/>
          <c:showPercent val="0"/>
          <c:showBubbleSize val="0"/>
        </c:dLbls>
        <c:gapWidth val="80"/>
        <c:overlap val="25"/>
        <c:axId val="859632175"/>
        <c:axId val="859628335"/>
      </c:barChart>
      <c:catAx>
        <c:axId val="859632175"/>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859628335"/>
        <c:crosses val="autoZero"/>
        <c:auto val="1"/>
        <c:lblAlgn val="ctr"/>
        <c:lblOffset val="100"/>
        <c:noMultiLvlLbl val="0"/>
      </c:catAx>
      <c:valAx>
        <c:axId val="859628335"/>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859632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[Customer.xlsx]Pivot_Analysis!Average Resolution Time by Issue Category</c:name>
    <c:fmtId val="3"/>
  </c:pivotSource>
  <c:chart>
    <c:title>
      <c:tx>
        <c:rich>
          <a:bodyPr/>
          <a:lstStyle/>
          <a:p>
            <a:pPr algn="ctr" rtl="0">
              <a:defRPr lang="en-IN" sz="1600" b="0" i="0" u="none" strike="noStrike" kern="1200" cap="none" spc="50" normalizeH="0" baseline="0">
                <a:solidFill>
                  <a:sysClr val="windowText" lastClr="000000">
                    <a:lumMod val="65000"/>
                    <a:lumOff val="35000"/>
                  </a:sysClr>
                </a:solidFill>
                <a:latin typeface="+mj-lt"/>
                <a:ea typeface="+mj-ea"/>
                <a:cs typeface="+mj-cs"/>
              </a:defRPr>
            </a:pPr>
            <a:r>
              <a:rPr lang="en-IN" sz="1600" b="0" i="0" u="none" strike="noStrike" cap="none" normalizeH="0" baseline="0"/>
              <a:t>Avg Resolution Time by Category</a:t>
            </a:r>
          </a:p>
        </c:rich>
      </c:tx>
      <c:layout>
        <c:manualLayout>
          <c:xMode val="edge"/>
          <c:yMode val="edge"/>
          <c:x val="0.25253066254175488"/>
          <c:y val="5.4001868114573963E-2"/>
        </c:manualLayout>
      </c:layout>
      <c:overlay val="0"/>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Pivot_Analysis!$B$28</c:f>
              <c:strCache>
                <c:ptCount val="1"/>
                <c:pt idx="0">
                  <c:v>Total</c:v>
                </c:pt>
              </c:strCache>
            </c:strRef>
          </c:tx>
          <c:spPr>
            <a:solidFill>
              <a:schemeClr val="accent1"/>
            </a:solidFill>
            <a:ln>
              <a:noFill/>
            </a:ln>
            <a:effectLst/>
          </c:spPr>
          <c:invertIfNegative val="0"/>
          <c:dLbls>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Pivot_Analysis!$A$29:$A$34</c:f>
              <c:strCache>
                <c:ptCount val="5"/>
                <c:pt idx="0">
                  <c:v>Account</c:v>
                </c:pt>
                <c:pt idx="1">
                  <c:v>Technical</c:v>
                </c:pt>
                <c:pt idx="2">
                  <c:v>Other</c:v>
                </c:pt>
                <c:pt idx="3">
                  <c:v>Delivery</c:v>
                </c:pt>
                <c:pt idx="4">
                  <c:v>Billing</c:v>
                </c:pt>
              </c:strCache>
            </c:strRef>
          </c:cat>
          <c:val>
            <c:numRef>
              <c:f>Pivot_Analysis!$B$29:$B$34</c:f>
              <c:numCache>
                <c:formatCode>0</c:formatCode>
                <c:ptCount val="5"/>
                <c:pt idx="0">
                  <c:v>38.082191780821915</c:v>
                </c:pt>
                <c:pt idx="1">
                  <c:v>37.62086513994911</c:v>
                </c:pt>
                <c:pt idx="2">
                  <c:v>36.972839506172839</c:v>
                </c:pt>
                <c:pt idx="3">
                  <c:v>36.213917525773198</c:v>
                </c:pt>
                <c:pt idx="4">
                  <c:v>35.232505643340858</c:v>
                </c:pt>
              </c:numCache>
            </c:numRef>
          </c:val>
          <c:extLst>
            <c:ext xmlns:c16="http://schemas.microsoft.com/office/drawing/2014/chart" uri="{C3380CC4-5D6E-409C-BE32-E72D297353CC}">
              <c16:uniqueId val="{00000003-F417-4E9F-8058-8B83743E9013}"/>
            </c:ext>
          </c:extLst>
        </c:ser>
        <c:dLbls>
          <c:dLblPos val="outEnd"/>
          <c:showLegendKey val="0"/>
          <c:showVal val="1"/>
          <c:showCatName val="0"/>
          <c:showSerName val="0"/>
          <c:showPercent val="0"/>
          <c:showBubbleSize val="0"/>
        </c:dLbls>
        <c:gapWidth val="182"/>
        <c:axId val="1270450047"/>
        <c:axId val="1270451007"/>
      </c:barChart>
      <c:catAx>
        <c:axId val="12704500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0451007"/>
        <c:crosses val="autoZero"/>
        <c:auto val="1"/>
        <c:lblAlgn val="ctr"/>
        <c:lblOffset val="100"/>
        <c:noMultiLvlLbl val="0"/>
      </c:catAx>
      <c:valAx>
        <c:axId val="1270451007"/>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0450047"/>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[Customer.xlsx]Pivot_Analysis!Overall First Response SLA Status</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First Response SLA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Pivot_Analysis!$B$6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F59-4A37-99D5-FB27333B890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F59-4A37-99D5-FB27333B890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Pivot_Analysis!$A$7:$A$9</c:f>
              <c:strCache>
                <c:ptCount val="2"/>
                <c:pt idx="0">
                  <c:v>Breached</c:v>
                </c:pt>
                <c:pt idx="1">
                  <c:v>Within SLA</c:v>
                </c:pt>
              </c:strCache>
            </c:strRef>
          </c:cat>
          <c:val>
            <c:numRef>
              <c:f>Pivot_Analysis!$B$7:$B$9</c:f>
              <c:numCache>
                <c:formatCode>0.00%</c:formatCode>
                <c:ptCount val="2"/>
                <c:pt idx="0">
                  <c:v>0.47266569908079342</c:v>
                </c:pt>
                <c:pt idx="1">
                  <c:v>0.52733430091920663</c:v>
                </c:pt>
              </c:numCache>
            </c:numRef>
          </c:val>
          <c:extLst>
            <c:ext xmlns:c16="http://schemas.microsoft.com/office/drawing/2014/chart" uri="{C3380CC4-5D6E-409C-BE32-E72D297353CC}">
              <c16:uniqueId val="{00000004-8F59-4A37-99D5-FB27333B890D}"/>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[Customer.xlsx]Pivot_Analysis!Reopened Tickets vs Customer Satisfaction</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Reopened Tickets vs Customer Satisfaction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col"/>
        <c:grouping val="percentStacked"/>
        <c:varyColors val="0"/>
        <c:ser>
          <c:idx val="0"/>
          <c:order val="0"/>
          <c:tx>
            <c:strRef>
              <c:f>Pivot_Analysis!$B$44:$B$45</c:f>
              <c:strCache>
                <c:ptCount val="1"/>
                <c:pt idx="0">
                  <c:v>High</c:v>
                </c:pt>
              </c:strCache>
            </c:strRef>
          </c:tx>
          <c:spPr>
            <a:solidFill>
              <a:schemeClr val="accent1"/>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Pivot_Analysis!$A$46:$A$48</c:f>
              <c:strCache>
                <c:ptCount val="2"/>
                <c:pt idx="0">
                  <c:v>No</c:v>
                </c:pt>
                <c:pt idx="1">
                  <c:v>Yes</c:v>
                </c:pt>
              </c:strCache>
            </c:strRef>
          </c:cat>
          <c:val>
            <c:numRef>
              <c:f>Pivot_Analysis!$B$46:$B$48</c:f>
              <c:numCache>
                <c:formatCode>0.00%</c:formatCode>
                <c:ptCount val="2"/>
                <c:pt idx="0">
                  <c:v>7.8640776699029122E-2</c:v>
                </c:pt>
                <c:pt idx="1">
                  <c:v>5.7859209257473485E-3</c:v>
                </c:pt>
              </c:numCache>
            </c:numRef>
          </c:val>
          <c:extLst>
            <c:ext xmlns:c16="http://schemas.microsoft.com/office/drawing/2014/chart" uri="{C3380CC4-5D6E-409C-BE32-E72D297353CC}">
              <c16:uniqueId val="{00000000-F0CD-4290-BD5A-1655618C6F27}"/>
            </c:ext>
          </c:extLst>
        </c:ser>
        <c:ser>
          <c:idx val="1"/>
          <c:order val="1"/>
          <c:tx>
            <c:strRef>
              <c:f>Pivot_Analysis!$C$44:$C$45</c:f>
              <c:strCache>
                <c:ptCount val="1"/>
                <c:pt idx="0">
                  <c:v>Low</c:v>
                </c:pt>
              </c:strCache>
            </c:strRef>
          </c:tx>
          <c:spPr>
            <a:solidFill>
              <a:schemeClr val="accent2"/>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Pivot_Analysis!$A$46:$A$48</c:f>
              <c:strCache>
                <c:ptCount val="2"/>
                <c:pt idx="0">
                  <c:v>No</c:v>
                </c:pt>
                <c:pt idx="1">
                  <c:v>Yes</c:v>
                </c:pt>
              </c:strCache>
            </c:strRef>
          </c:cat>
          <c:val>
            <c:numRef>
              <c:f>Pivot_Analysis!$C$46:$C$48</c:f>
              <c:numCache>
                <c:formatCode>0.00%</c:formatCode>
                <c:ptCount val="2"/>
                <c:pt idx="0">
                  <c:v>0.5427184466019418</c:v>
                </c:pt>
                <c:pt idx="1">
                  <c:v>0.86017357762777247</c:v>
                </c:pt>
              </c:numCache>
            </c:numRef>
          </c:val>
          <c:extLst>
            <c:ext xmlns:c16="http://schemas.microsoft.com/office/drawing/2014/chart" uri="{C3380CC4-5D6E-409C-BE32-E72D297353CC}">
              <c16:uniqueId val="{00000004-F0CD-4290-BD5A-1655618C6F27}"/>
            </c:ext>
          </c:extLst>
        </c:ser>
        <c:ser>
          <c:idx val="2"/>
          <c:order val="2"/>
          <c:tx>
            <c:strRef>
              <c:f>Pivot_Analysis!$D$44:$D$45</c:f>
              <c:strCache>
                <c:ptCount val="1"/>
                <c:pt idx="0">
                  <c:v>Medium</c:v>
                </c:pt>
              </c:strCache>
            </c:strRef>
          </c:tx>
          <c:spPr>
            <a:solidFill>
              <a:schemeClr val="accent3"/>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Pivot_Analysis!$A$46:$A$48</c:f>
              <c:strCache>
                <c:ptCount val="2"/>
                <c:pt idx="0">
                  <c:v>No</c:v>
                </c:pt>
                <c:pt idx="1">
                  <c:v>Yes</c:v>
                </c:pt>
              </c:strCache>
            </c:strRef>
          </c:cat>
          <c:val>
            <c:numRef>
              <c:f>Pivot_Analysis!$D$46:$D$48</c:f>
              <c:numCache>
                <c:formatCode>0.00%</c:formatCode>
                <c:ptCount val="2"/>
                <c:pt idx="0">
                  <c:v>0.37864077669902912</c:v>
                </c:pt>
                <c:pt idx="1">
                  <c:v>0.13404050144648022</c:v>
                </c:pt>
              </c:numCache>
            </c:numRef>
          </c:val>
          <c:extLst>
            <c:ext xmlns:c16="http://schemas.microsoft.com/office/drawing/2014/chart" uri="{C3380CC4-5D6E-409C-BE32-E72D297353CC}">
              <c16:uniqueId val="{00000005-F0CD-4290-BD5A-1655618C6F27}"/>
            </c:ext>
          </c:extLst>
        </c:ser>
        <c:dLbls>
          <c:showLegendKey val="0"/>
          <c:showVal val="0"/>
          <c:showCatName val="0"/>
          <c:showSerName val="0"/>
          <c:showPercent val="0"/>
          <c:showBubbleSize val="0"/>
        </c:dLbls>
        <c:gapWidth val="150"/>
        <c:overlap val="100"/>
        <c:axId val="1270459167"/>
        <c:axId val="1270458207"/>
      </c:barChart>
      <c:catAx>
        <c:axId val="1270459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0458207"/>
        <c:crosses val="autoZero"/>
        <c:auto val="1"/>
        <c:lblAlgn val="ctr"/>
        <c:lblOffset val="100"/>
        <c:noMultiLvlLbl val="0"/>
      </c:catAx>
      <c:valAx>
        <c:axId val="1270458207"/>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04591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10</xdr:col>
      <xdr:colOff>54429</xdr:colOff>
      <xdr:row>5</xdr:row>
      <xdr:rowOff>176629</xdr:rowOff>
    </xdr:from>
    <xdr:to>
      <xdr:col>13</xdr:col>
      <xdr:colOff>1023938</xdr:colOff>
      <xdr:row>23</xdr:row>
      <xdr:rowOff>23813</xdr:rowOff>
    </xdr:to>
    <xdr:graphicFrame macro="">
      <xdr:nvGraphicFramePr>
        <xdr:cNvPr id="2" name="Chart 1">
          <a:extLst>
            <a:ext uri="{FF2B5EF4-FFF2-40B4-BE49-F238E27FC236}">
              <a16:creationId xmlns:a16="http://schemas.microsoft.com/office/drawing/2014/main" id="{0A29EB68-C588-4ED8-9A79-63129AF240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1022670</xdr:colOff>
      <xdr:row>7</xdr:row>
      <xdr:rowOff>-1</xdr:rowOff>
    </xdr:from>
    <xdr:to>
      <xdr:col>15</xdr:col>
      <xdr:colOff>830385</xdr:colOff>
      <xdr:row>22</xdr:row>
      <xdr:rowOff>108855</xdr:rowOff>
    </xdr:to>
    <xdr:graphicFrame macro="">
      <xdr:nvGraphicFramePr>
        <xdr:cNvPr id="3" name="Chart 2">
          <a:extLst>
            <a:ext uri="{FF2B5EF4-FFF2-40B4-BE49-F238E27FC236}">
              <a16:creationId xmlns:a16="http://schemas.microsoft.com/office/drawing/2014/main" id="{A113FEC6-3737-4B94-BE5B-6E449C23E5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54429</xdr:colOff>
      <xdr:row>23</xdr:row>
      <xdr:rowOff>18917</xdr:rowOff>
    </xdr:from>
    <xdr:to>
      <xdr:col>13</xdr:col>
      <xdr:colOff>1023938</xdr:colOff>
      <xdr:row>39</xdr:row>
      <xdr:rowOff>47625</xdr:rowOff>
    </xdr:to>
    <xdr:graphicFrame macro="">
      <xdr:nvGraphicFramePr>
        <xdr:cNvPr id="5" name="Chart 4">
          <a:extLst>
            <a:ext uri="{FF2B5EF4-FFF2-40B4-BE49-F238E27FC236}">
              <a16:creationId xmlns:a16="http://schemas.microsoft.com/office/drawing/2014/main" id="{C376CBDB-180A-45B0-9057-25E5935ED9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1025597</xdr:colOff>
      <xdr:row>22</xdr:row>
      <xdr:rowOff>170961</xdr:rowOff>
    </xdr:from>
    <xdr:to>
      <xdr:col>15</xdr:col>
      <xdr:colOff>854808</xdr:colOff>
      <xdr:row>40</xdr:row>
      <xdr:rowOff>122463</xdr:rowOff>
    </xdr:to>
    <xdr:graphicFrame macro="">
      <xdr:nvGraphicFramePr>
        <xdr:cNvPr id="6" name="Chart 5">
          <a:extLst>
            <a:ext uri="{FF2B5EF4-FFF2-40B4-BE49-F238E27FC236}">
              <a16:creationId xmlns:a16="http://schemas.microsoft.com/office/drawing/2014/main" id="{D8C93098-9CD0-4D37-A388-3B82B9D5A3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5</xdr:col>
      <xdr:colOff>464128</xdr:colOff>
      <xdr:row>19</xdr:row>
      <xdr:rowOff>137472</xdr:rowOff>
    </xdr:from>
    <xdr:to>
      <xdr:col>8</xdr:col>
      <xdr:colOff>452039</xdr:colOff>
      <xdr:row>27</xdr:row>
      <xdr:rowOff>142976</xdr:rowOff>
    </xdr:to>
    <mc:AlternateContent xmlns:mc="http://schemas.openxmlformats.org/markup-compatibility/2006" xmlns:a14="http://schemas.microsoft.com/office/drawing/2010/main">
      <mc:Choice Requires="a14">
        <xdr:graphicFrame macro="">
          <xdr:nvGraphicFramePr>
            <xdr:cNvPr id="8" name="priority">
              <a:extLst>
                <a:ext uri="{FF2B5EF4-FFF2-40B4-BE49-F238E27FC236}">
                  <a16:creationId xmlns:a16="http://schemas.microsoft.com/office/drawing/2014/main" id="{F6A4272F-236E-DE17-CCA5-077AD3A80E4A}"/>
                </a:ext>
              </a:extLst>
            </xdr:cNvPr>
            <xdr:cNvGraphicFramePr/>
          </xdr:nvGraphicFramePr>
          <xdr:xfrm>
            <a:off x="0" y="0"/>
            <a:ext cx="0" cy="0"/>
          </xdr:xfrm>
          <a:graphic>
            <a:graphicData uri="http://schemas.microsoft.com/office/drawing/2010/slicer">
              <sle:slicer xmlns:sle="http://schemas.microsoft.com/office/drawing/2010/slicer" name="priority"/>
            </a:graphicData>
          </a:graphic>
        </xdr:graphicFrame>
      </mc:Choice>
      <mc:Fallback xmlns="">
        <xdr:sp macro="" textlink="">
          <xdr:nvSpPr>
            <xdr:cNvPr id="0" name=""/>
            <xdr:cNvSpPr>
              <a:spLocks noTextEdit="1"/>
            </xdr:cNvSpPr>
          </xdr:nvSpPr>
          <xdr:spPr>
            <a:xfrm>
              <a:off x="3494810" y="4611336"/>
              <a:ext cx="1806320" cy="16218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1115462</xdr:colOff>
      <xdr:row>7</xdr:row>
      <xdr:rowOff>34335</xdr:rowOff>
    </xdr:from>
    <xdr:to>
      <xdr:col>17</xdr:col>
      <xdr:colOff>590486</xdr:colOff>
      <xdr:row>12</xdr:row>
      <xdr:rowOff>130338</xdr:rowOff>
    </xdr:to>
    <mc:AlternateContent xmlns:mc="http://schemas.openxmlformats.org/markup-compatibility/2006" xmlns:a14="http://schemas.microsoft.com/office/drawing/2010/main">
      <mc:Choice Requires="a14">
        <xdr:graphicFrame macro="">
          <xdr:nvGraphicFramePr>
            <xdr:cNvPr id="9" name="reopened">
              <a:extLst>
                <a:ext uri="{FF2B5EF4-FFF2-40B4-BE49-F238E27FC236}">
                  <a16:creationId xmlns:a16="http://schemas.microsoft.com/office/drawing/2014/main" id="{FC3AD274-D6F5-E401-3F6E-DAE441D0904E}"/>
                </a:ext>
              </a:extLst>
            </xdr:cNvPr>
            <xdr:cNvGraphicFramePr/>
          </xdr:nvGraphicFramePr>
          <xdr:xfrm>
            <a:off x="0" y="0"/>
            <a:ext cx="0" cy="0"/>
          </xdr:xfrm>
          <a:graphic>
            <a:graphicData uri="http://schemas.microsoft.com/office/drawing/2010/slicer">
              <sle:slicer xmlns:sle="http://schemas.microsoft.com/office/drawing/2010/slicer" name="reopened"/>
            </a:graphicData>
          </a:graphic>
        </xdr:graphicFrame>
      </mc:Choice>
      <mc:Fallback xmlns="">
        <xdr:sp macro="" textlink="">
          <xdr:nvSpPr>
            <xdr:cNvPr id="0" name=""/>
            <xdr:cNvSpPr>
              <a:spLocks noTextEdit="1"/>
            </xdr:cNvSpPr>
          </xdr:nvSpPr>
          <xdr:spPr>
            <a:xfrm>
              <a:off x="23427053" y="2083653"/>
              <a:ext cx="1812978" cy="11062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1160684</xdr:colOff>
      <xdr:row>13</xdr:row>
      <xdr:rowOff>161273</xdr:rowOff>
    </xdr:from>
    <xdr:to>
      <xdr:col>17</xdr:col>
      <xdr:colOff>635708</xdr:colOff>
      <xdr:row>20</xdr:row>
      <xdr:rowOff>101331</xdr:rowOff>
    </xdr:to>
    <mc:AlternateContent xmlns:mc="http://schemas.openxmlformats.org/markup-compatibility/2006" xmlns:a14="http://schemas.microsoft.com/office/drawing/2010/main">
      <mc:Choice Requires="a14">
        <xdr:graphicFrame macro="">
          <xdr:nvGraphicFramePr>
            <xdr:cNvPr id="10" name="channel">
              <a:extLst>
                <a:ext uri="{FF2B5EF4-FFF2-40B4-BE49-F238E27FC236}">
                  <a16:creationId xmlns:a16="http://schemas.microsoft.com/office/drawing/2014/main" id="{CEA1881B-F442-6C1E-460F-DB77DAF31039}"/>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mlns="">
        <xdr:sp macro="" textlink="">
          <xdr:nvSpPr>
            <xdr:cNvPr id="0" name=""/>
            <xdr:cNvSpPr>
              <a:spLocks noTextEdit="1"/>
            </xdr:cNvSpPr>
          </xdr:nvSpPr>
          <xdr:spPr>
            <a:xfrm>
              <a:off x="23472275" y="3422864"/>
              <a:ext cx="1812978" cy="13543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1148449</xdr:colOff>
      <xdr:row>21</xdr:row>
      <xdr:rowOff>77940</xdr:rowOff>
    </xdr:from>
    <xdr:to>
      <xdr:col>17</xdr:col>
      <xdr:colOff>623473</xdr:colOff>
      <xdr:row>28</xdr:row>
      <xdr:rowOff>74143</xdr:rowOff>
    </xdr:to>
    <mc:AlternateContent xmlns:mc="http://schemas.openxmlformats.org/markup-compatibility/2006" xmlns:a14="http://schemas.microsoft.com/office/drawing/2010/main">
      <mc:Choice Requires="a14">
        <xdr:graphicFrame macro="">
          <xdr:nvGraphicFramePr>
            <xdr:cNvPr id="11" name="customer_satisfaction">
              <a:extLst>
                <a:ext uri="{FF2B5EF4-FFF2-40B4-BE49-F238E27FC236}">
                  <a16:creationId xmlns:a16="http://schemas.microsoft.com/office/drawing/2014/main" id="{8B0E7525-F2A6-1CD0-B321-768322AC1BD7}"/>
                </a:ext>
              </a:extLst>
            </xdr:cNvPr>
            <xdr:cNvGraphicFramePr/>
          </xdr:nvGraphicFramePr>
          <xdr:xfrm>
            <a:off x="0" y="0"/>
            <a:ext cx="0" cy="0"/>
          </xdr:xfrm>
          <a:graphic>
            <a:graphicData uri="http://schemas.microsoft.com/office/drawing/2010/slicer">
              <sle:slicer xmlns:sle="http://schemas.microsoft.com/office/drawing/2010/slicer" name="customer_satisfaction"/>
            </a:graphicData>
          </a:graphic>
        </xdr:graphicFrame>
      </mc:Choice>
      <mc:Fallback xmlns="">
        <xdr:sp macro="" textlink="">
          <xdr:nvSpPr>
            <xdr:cNvPr id="0" name=""/>
            <xdr:cNvSpPr>
              <a:spLocks noTextEdit="1"/>
            </xdr:cNvSpPr>
          </xdr:nvSpPr>
          <xdr:spPr>
            <a:xfrm>
              <a:off x="23460040" y="4955895"/>
              <a:ext cx="1812978" cy="14105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470442</xdr:colOff>
      <xdr:row>6</xdr:row>
      <xdr:rowOff>131336</xdr:rowOff>
    </xdr:from>
    <xdr:to>
      <xdr:col>8</xdr:col>
      <xdr:colOff>459086</xdr:colOff>
      <xdr:row>18</xdr:row>
      <xdr:rowOff>154296</xdr:rowOff>
    </xdr:to>
    <mc:AlternateContent xmlns:mc="http://schemas.openxmlformats.org/markup-compatibility/2006" xmlns:a14="http://schemas.microsoft.com/office/drawing/2010/main">
      <mc:Choice Requires="a14">
        <xdr:graphicFrame macro="">
          <xdr:nvGraphicFramePr>
            <xdr:cNvPr id="7" name="issue_category">
              <a:extLst>
                <a:ext uri="{FF2B5EF4-FFF2-40B4-BE49-F238E27FC236}">
                  <a16:creationId xmlns:a16="http://schemas.microsoft.com/office/drawing/2014/main" id="{316C2E87-E2CF-57B7-14F4-18F956C39A1A}"/>
                </a:ext>
              </a:extLst>
            </xdr:cNvPr>
            <xdr:cNvGraphicFramePr/>
          </xdr:nvGraphicFramePr>
          <xdr:xfrm>
            <a:off x="0" y="0"/>
            <a:ext cx="0" cy="0"/>
          </xdr:xfrm>
          <a:graphic>
            <a:graphicData uri="http://schemas.microsoft.com/office/drawing/2010/slicer">
              <sle:slicer xmlns:sle="http://schemas.microsoft.com/office/drawing/2010/slicer" name="issue_category"/>
            </a:graphicData>
          </a:graphic>
        </xdr:graphicFrame>
      </mc:Choice>
      <mc:Fallback xmlns="">
        <xdr:sp macro="" textlink="">
          <xdr:nvSpPr>
            <xdr:cNvPr id="0" name=""/>
            <xdr:cNvSpPr>
              <a:spLocks noTextEdit="1"/>
            </xdr:cNvSpPr>
          </xdr:nvSpPr>
          <xdr:spPr>
            <a:xfrm>
              <a:off x="3501124" y="1978609"/>
              <a:ext cx="1807053" cy="24475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62FB29B-C07F-4974-874C-D167742F5937}"/>
</namedSheetView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60.849804398145" createdVersion="8" refreshedVersion="8" minRefreshableVersion="3" recordCount="2800" xr:uid="{14AC7480-6813-4A4B-A0BD-1660226FA14D}">
  <cacheSource type="worksheet">
    <worksheetSource name="tbl_analysis_tickets"/>
  </cacheSource>
  <cacheFields count="22">
    <cacheField name="ticket_id" numFmtId="0">
      <sharedItems containsSemiMixedTypes="0" containsString="0" containsNumber="1" containsInteger="1" minValue="1" maxValue="2800" count="280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5"/>
        <n v="1506"/>
        <n v="1507"/>
        <n v="1508"/>
        <n v="1509"/>
        <n v="1510"/>
        <n v="1511"/>
        <n v="1512"/>
        <n v="1513"/>
        <n v="1514"/>
        <n v="1515"/>
        <n v="1516"/>
        <n v="1517"/>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599"/>
        <n v="1600"/>
        <n v="1601"/>
        <n v="1602"/>
        <n v="1603"/>
        <n v="1604"/>
        <n v="1605"/>
        <n v="1606"/>
        <n v="1607"/>
        <n v="1608"/>
        <n v="1609"/>
        <n v="1610"/>
        <n v="1611"/>
        <n v="1612"/>
        <n v="1613"/>
        <n v="1614"/>
        <n v="1615"/>
        <n v="1616"/>
        <n v="1617"/>
        <n v="1618"/>
        <n v="1619"/>
        <n v="1620"/>
        <n v="1621"/>
        <n v="1622"/>
        <n v="1623"/>
        <n v="1624"/>
        <n v="1625"/>
        <n v="1626"/>
        <n v="1627"/>
        <n v="1628"/>
        <n v="1629"/>
        <n v="1630"/>
        <n v="1631"/>
        <n v="163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7"/>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7"/>
        <n v="1808"/>
        <n v="1809"/>
        <n v="1810"/>
        <n v="1811"/>
        <n v="1812"/>
        <n v="1813"/>
        <n v="1814"/>
        <n v="1815"/>
        <n v="1816"/>
        <n v="1817"/>
        <n v="1818"/>
        <n v="1819"/>
        <n v="1820"/>
        <n v="1821"/>
        <n v="1822"/>
        <n v="1823"/>
        <n v="1824"/>
        <n v="1825"/>
        <n v="1826"/>
        <n v="1827"/>
        <n v="1828"/>
        <n v="1829"/>
        <n v="1830"/>
        <n v="1831"/>
        <n v="1832"/>
        <n v="1833"/>
        <n v="1834"/>
        <n v="1835"/>
        <n v="1836"/>
        <n v="1837"/>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6"/>
        <n v="1877"/>
        <n v="1878"/>
        <n v="1879"/>
        <n v="1880"/>
        <n v="1881"/>
        <n v="1882"/>
        <n v="1883"/>
        <n v="1884"/>
        <n v="1885"/>
        <n v="1886"/>
        <n v="1887"/>
        <n v="1888"/>
        <n v="1889"/>
        <n v="1890"/>
        <n v="1891"/>
        <n v="1892"/>
        <n v="1893"/>
        <n v="1894"/>
        <n v="1895"/>
        <n v="1896"/>
        <n v="1897"/>
        <n v="1898"/>
        <n v="1899"/>
        <n v="1900"/>
        <n v="1901"/>
        <n v="1902"/>
        <n v="1903"/>
        <n v="1904"/>
        <n v="1905"/>
        <n v="1906"/>
        <n v="1907"/>
        <n v="1908"/>
        <n v="1909"/>
        <n v="1910"/>
        <n v="1911"/>
        <n v="1912"/>
        <n v="1913"/>
        <n v="1914"/>
        <n v="1915"/>
        <n v="1916"/>
        <n v="1917"/>
        <n v="1918"/>
        <n v="1919"/>
        <n v="1920"/>
        <n v="1921"/>
        <n v="1922"/>
        <n v="1923"/>
        <n v="1924"/>
        <n v="1925"/>
        <n v="1926"/>
        <n v="1927"/>
        <n v="1928"/>
        <n v="1929"/>
        <n v="1930"/>
        <n v="1931"/>
        <n v="1932"/>
        <n v="1933"/>
        <n v="1934"/>
        <n v="1935"/>
        <n v="1936"/>
        <n v="1937"/>
        <n v="1938"/>
        <n v="1939"/>
        <n v="1940"/>
        <n v="1941"/>
        <n v="1942"/>
        <n v="1943"/>
        <n v="1944"/>
        <n v="1945"/>
        <n v="1946"/>
        <n v="1947"/>
        <n v="1948"/>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n v="2025"/>
        <n v="2026"/>
        <n v="2027"/>
        <n v="2028"/>
        <n v="2029"/>
        <n v="2030"/>
        <n v="2031"/>
        <n v="2032"/>
        <n v="2033"/>
        <n v="2034"/>
        <n v="2035"/>
        <n v="2036"/>
        <n v="2037"/>
        <n v="2038"/>
        <n v="2039"/>
        <n v="2040"/>
        <n v="2041"/>
        <n v="2042"/>
        <n v="2043"/>
        <n v="2044"/>
        <n v="2045"/>
        <n v="2046"/>
        <n v="2047"/>
        <n v="2048"/>
        <n v="2049"/>
        <n v="2050"/>
        <n v="2051"/>
        <n v="2052"/>
        <n v="2053"/>
        <n v="2054"/>
        <n v="2055"/>
        <n v="2056"/>
        <n v="2057"/>
        <n v="2058"/>
        <n v="2059"/>
        <n v="2060"/>
        <n v="2061"/>
        <n v="2062"/>
        <n v="2063"/>
        <n v="2064"/>
        <n v="2065"/>
        <n v="2066"/>
        <n v="2067"/>
        <n v="2068"/>
        <n v="2069"/>
        <n v="2070"/>
        <n v="2071"/>
        <n v="2072"/>
        <n v="2073"/>
        <n v="2074"/>
        <n v="2075"/>
        <n v="2076"/>
        <n v="2077"/>
        <n v="2078"/>
        <n v="2079"/>
        <n v="2080"/>
        <n v="2081"/>
        <n v="2082"/>
        <n v="2083"/>
        <n v="2084"/>
        <n v="2085"/>
        <n v="2086"/>
        <n v="2087"/>
        <n v="2088"/>
        <n v="2089"/>
        <n v="2090"/>
        <n v="2091"/>
        <n v="2092"/>
        <n v="2093"/>
        <n v="2094"/>
        <n v="2095"/>
        <n v="2096"/>
        <n v="2097"/>
        <n v="2098"/>
        <n v="2099"/>
        <n v="2100"/>
        <n v="2101"/>
        <n v="2102"/>
        <n v="2103"/>
        <n v="2104"/>
        <n v="2105"/>
        <n v="2106"/>
        <n v="2107"/>
        <n v="2108"/>
        <n v="2109"/>
        <n v="2110"/>
        <n v="2111"/>
        <n v="2112"/>
        <n v="2113"/>
        <n v="2114"/>
        <n v="2115"/>
        <n v="2116"/>
        <n v="2117"/>
        <n v="2118"/>
        <n v="2119"/>
        <n v="2120"/>
        <n v="2121"/>
        <n v="2122"/>
        <n v="2123"/>
        <n v="2124"/>
        <n v="2125"/>
        <n v="2126"/>
        <n v="2127"/>
        <n v="2128"/>
        <n v="2129"/>
        <n v="2130"/>
        <n v="2131"/>
        <n v="2132"/>
        <n v="2133"/>
        <n v="2134"/>
        <n v="2135"/>
        <n v="2136"/>
        <n v="2137"/>
        <n v="2138"/>
        <n v="2139"/>
        <n v="2140"/>
        <n v="2141"/>
        <n v="2142"/>
        <n v="2143"/>
        <n v="2144"/>
        <n v="2145"/>
        <n v="2146"/>
        <n v="2147"/>
        <n v="2148"/>
        <n v="2149"/>
        <n v="2150"/>
        <n v="2151"/>
        <n v="2152"/>
        <n v="2153"/>
        <n v="2154"/>
        <n v="2155"/>
        <n v="2156"/>
        <n v="2157"/>
        <n v="2158"/>
        <n v="2159"/>
        <n v="2160"/>
        <n v="2161"/>
        <n v="2162"/>
        <n v="2163"/>
        <n v="2164"/>
        <n v="2165"/>
        <n v="2166"/>
        <n v="2167"/>
        <n v="2168"/>
        <n v="2169"/>
        <n v="2170"/>
        <n v="2171"/>
        <n v="2172"/>
        <n v="2173"/>
        <n v="2174"/>
        <n v="2175"/>
        <n v="2176"/>
        <n v="2177"/>
        <n v="2178"/>
        <n v="2179"/>
        <n v="2180"/>
        <n v="2181"/>
        <n v="2182"/>
        <n v="2183"/>
        <n v="2184"/>
        <n v="2185"/>
        <n v="2186"/>
        <n v="2187"/>
        <n v="2188"/>
        <n v="2189"/>
        <n v="2190"/>
        <n v="2191"/>
        <n v="2192"/>
        <n v="2193"/>
        <n v="2194"/>
        <n v="2195"/>
        <n v="2196"/>
        <n v="2197"/>
        <n v="2198"/>
        <n v="2199"/>
        <n v="2200"/>
        <n v="2201"/>
        <n v="2202"/>
        <n v="2203"/>
        <n v="2204"/>
        <n v="2205"/>
        <n v="2206"/>
        <n v="2207"/>
        <n v="2208"/>
        <n v="2209"/>
        <n v="2210"/>
        <n v="2211"/>
        <n v="2212"/>
        <n v="2213"/>
        <n v="2214"/>
        <n v="2215"/>
        <n v="2216"/>
        <n v="2217"/>
        <n v="2218"/>
        <n v="2219"/>
        <n v="2220"/>
        <n v="2221"/>
        <n v="2222"/>
        <n v="2223"/>
        <n v="2224"/>
        <n v="2225"/>
        <n v="2226"/>
        <n v="2227"/>
        <n v="2228"/>
        <n v="2229"/>
        <n v="2230"/>
        <n v="2231"/>
        <n v="2232"/>
        <n v="2233"/>
        <n v="2234"/>
        <n v="2235"/>
        <n v="2236"/>
        <n v="2237"/>
        <n v="2238"/>
        <n v="2239"/>
        <n v="2240"/>
        <n v="2241"/>
        <n v="2242"/>
        <n v="2243"/>
        <n v="2244"/>
        <n v="2245"/>
        <n v="2246"/>
        <n v="2247"/>
        <n v="2248"/>
        <n v="2249"/>
        <n v="2250"/>
        <n v="2251"/>
        <n v="2252"/>
        <n v="2253"/>
        <n v="2254"/>
        <n v="2255"/>
        <n v="2256"/>
        <n v="2257"/>
        <n v="2258"/>
        <n v="2259"/>
        <n v="2260"/>
        <n v="2261"/>
        <n v="2262"/>
        <n v="2263"/>
        <n v="2264"/>
        <n v="2265"/>
        <n v="2266"/>
        <n v="2267"/>
        <n v="2268"/>
        <n v="2269"/>
        <n v="2270"/>
        <n v="2271"/>
        <n v="2272"/>
        <n v="2273"/>
        <n v="2274"/>
        <n v="2275"/>
        <n v="2276"/>
        <n v="2277"/>
        <n v="2278"/>
        <n v="2279"/>
        <n v="2280"/>
        <n v="2281"/>
        <n v="2282"/>
        <n v="2283"/>
        <n v="2284"/>
        <n v="2285"/>
        <n v="2286"/>
        <n v="2287"/>
        <n v="2288"/>
        <n v="2289"/>
        <n v="2290"/>
        <n v="2291"/>
        <n v="2292"/>
        <n v="2293"/>
        <n v="2294"/>
        <n v="2295"/>
        <n v="2296"/>
        <n v="2297"/>
        <n v="2298"/>
        <n v="2299"/>
        <n v="2300"/>
        <n v="2301"/>
        <n v="2302"/>
        <n v="2303"/>
        <n v="2304"/>
        <n v="2305"/>
        <n v="2306"/>
        <n v="2307"/>
        <n v="2308"/>
        <n v="2309"/>
        <n v="2310"/>
        <n v="2311"/>
        <n v="2312"/>
        <n v="2313"/>
        <n v="2314"/>
        <n v="2315"/>
        <n v="2316"/>
        <n v="2317"/>
        <n v="2318"/>
        <n v="2319"/>
        <n v="2320"/>
        <n v="2321"/>
        <n v="2322"/>
        <n v="2323"/>
        <n v="2324"/>
        <n v="2325"/>
        <n v="2326"/>
        <n v="2327"/>
        <n v="2328"/>
        <n v="2329"/>
        <n v="2330"/>
        <n v="2331"/>
        <n v="2332"/>
        <n v="2333"/>
        <n v="2334"/>
        <n v="2335"/>
        <n v="2336"/>
        <n v="2337"/>
        <n v="2338"/>
        <n v="2339"/>
        <n v="2340"/>
        <n v="2341"/>
        <n v="2342"/>
        <n v="2343"/>
        <n v="2344"/>
        <n v="2345"/>
        <n v="2346"/>
        <n v="2347"/>
        <n v="2348"/>
        <n v="2349"/>
        <n v="2350"/>
        <n v="2351"/>
        <n v="2352"/>
        <n v="2353"/>
        <n v="2354"/>
        <n v="2355"/>
        <n v="2356"/>
        <n v="2357"/>
        <n v="2358"/>
        <n v="2359"/>
        <n v="2360"/>
        <n v="2361"/>
        <n v="2362"/>
        <n v="2363"/>
        <n v="2364"/>
        <n v="2365"/>
        <n v="2366"/>
        <n v="2367"/>
        <n v="2368"/>
        <n v="2369"/>
        <n v="2370"/>
        <n v="2371"/>
        <n v="2372"/>
        <n v="2373"/>
        <n v="2374"/>
        <n v="2375"/>
        <n v="2376"/>
        <n v="2377"/>
        <n v="2378"/>
        <n v="2379"/>
        <n v="2380"/>
        <n v="2381"/>
        <n v="2382"/>
        <n v="2383"/>
        <n v="2384"/>
        <n v="2385"/>
        <n v="2386"/>
        <n v="2387"/>
        <n v="2388"/>
        <n v="2389"/>
        <n v="2390"/>
        <n v="2391"/>
        <n v="2392"/>
        <n v="2393"/>
        <n v="2394"/>
        <n v="2395"/>
        <n v="2396"/>
        <n v="2397"/>
        <n v="2398"/>
        <n v="2399"/>
        <n v="2400"/>
        <n v="2401"/>
        <n v="2402"/>
        <n v="2403"/>
        <n v="2404"/>
        <n v="2405"/>
        <n v="2406"/>
        <n v="2407"/>
        <n v="2408"/>
        <n v="2409"/>
        <n v="2410"/>
        <n v="2411"/>
        <n v="2412"/>
        <n v="2413"/>
        <n v="2414"/>
        <n v="2415"/>
        <n v="2416"/>
        <n v="2417"/>
        <n v="2418"/>
        <n v="2419"/>
        <n v="2420"/>
        <n v="2421"/>
        <n v="2422"/>
        <n v="2423"/>
        <n v="2424"/>
        <n v="2425"/>
        <n v="2426"/>
        <n v="2427"/>
        <n v="2428"/>
        <n v="2429"/>
        <n v="2430"/>
        <n v="2431"/>
        <n v="2432"/>
        <n v="2433"/>
        <n v="2434"/>
        <n v="2435"/>
        <n v="2436"/>
        <n v="2437"/>
        <n v="2438"/>
        <n v="2439"/>
        <n v="2440"/>
        <n v="2441"/>
        <n v="2442"/>
        <n v="2443"/>
        <n v="2444"/>
        <n v="2445"/>
        <n v="2446"/>
        <n v="2447"/>
        <n v="2448"/>
        <n v="2449"/>
        <n v="2450"/>
        <n v="2451"/>
        <n v="2452"/>
        <n v="2453"/>
        <n v="2454"/>
        <n v="2455"/>
        <n v="2456"/>
        <n v="2457"/>
        <n v="2458"/>
        <n v="2459"/>
        <n v="2460"/>
        <n v="2461"/>
        <n v="2462"/>
        <n v="2463"/>
        <n v="2464"/>
        <n v="2465"/>
        <n v="2466"/>
        <n v="2467"/>
        <n v="2468"/>
        <n v="2469"/>
        <n v="2470"/>
        <n v="2471"/>
        <n v="2472"/>
        <n v="2473"/>
        <n v="2474"/>
        <n v="2475"/>
        <n v="2476"/>
        <n v="2477"/>
        <n v="2478"/>
        <n v="2479"/>
        <n v="2480"/>
        <n v="2481"/>
        <n v="2482"/>
        <n v="2483"/>
        <n v="2484"/>
        <n v="2485"/>
        <n v="2486"/>
        <n v="2487"/>
        <n v="2488"/>
        <n v="2489"/>
        <n v="2490"/>
        <n v="2491"/>
        <n v="2492"/>
        <n v="2493"/>
        <n v="2494"/>
        <n v="2495"/>
        <n v="2496"/>
        <n v="2497"/>
        <n v="2498"/>
        <n v="2499"/>
        <n v="2500"/>
        <n v="2501"/>
        <n v="2502"/>
        <n v="2503"/>
        <n v="2504"/>
        <n v="2505"/>
        <n v="2506"/>
        <n v="2507"/>
        <n v="2508"/>
        <n v="2509"/>
        <n v="2510"/>
        <n v="2511"/>
        <n v="2512"/>
        <n v="2513"/>
        <n v="2514"/>
        <n v="2515"/>
        <n v="2516"/>
        <n v="2517"/>
        <n v="2518"/>
        <n v="2519"/>
        <n v="2520"/>
        <n v="2521"/>
        <n v="2522"/>
        <n v="2523"/>
        <n v="2524"/>
        <n v="2525"/>
        <n v="2526"/>
        <n v="2527"/>
        <n v="2528"/>
        <n v="2529"/>
        <n v="2530"/>
        <n v="2531"/>
        <n v="2532"/>
        <n v="2533"/>
        <n v="2534"/>
        <n v="2535"/>
        <n v="2536"/>
        <n v="2537"/>
        <n v="2538"/>
        <n v="2539"/>
        <n v="2540"/>
        <n v="2541"/>
        <n v="2542"/>
        <n v="2543"/>
        <n v="2544"/>
        <n v="2545"/>
        <n v="2546"/>
        <n v="2547"/>
        <n v="2548"/>
        <n v="2549"/>
        <n v="2550"/>
        <n v="2551"/>
        <n v="2552"/>
        <n v="2553"/>
        <n v="2554"/>
        <n v="2555"/>
        <n v="2556"/>
        <n v="2557"/>
        <n v="2558"/>
        <n v="2559"/>
        <n v="2560"/>
        <n v="2561"/>
        <n v="2562"/>
        <n v="2563"/>
        <n v="2564"/>
        <n v="2565"/>
        <n v="2566"/>
        <n v="2567"/>
        <n v="2568"/>
        <n v="2569"/>
        <n v="2570"/>
        <n v="2571"/>
        <n v="2572"/>
        <n v="2573"/>
        <n v="2574"/>
        <n v="2575"/>
        <n v="2576"/>
        <n v="2577"/>
        <n v="2578"/>
        <n v="2579"/>
        <n v="2580"/>
        <n v="2581"/>
        <n v="2582"/>
        <n v="2583"/>
        <n v="2584"/>
        <n v="2585"/>
        <n v="2586"/>
        <n v="2587"/>
        <n v="2588"/>
        <n v="2589"/>
        <n v="2590"/>
        <n v="2591"/>
        <n v="2592"/>
        <n v="2593"/>
        <n v="2594"/>
        <n v="2595"/>
        <n v="2596"/>
        <n v="2597"/>
        <n v="2598"/>
        <n v="2599"/>
        <n v="2600"/>
        <n v="2601"/>
        <n v="2602"/>
        <n v="2603"/>
        <n v="2604"/>
        <n v="2605"/>
        <n v="2606"/>
        <n v="2607"/>
        <n v="2608"/>
        <n v="2609"/>
        <n v="2610"/>
        <n v="2611"/>
        <n v="2612"/>
        <n v="2613"/>
        <n v="2614"/>
        <n v="2615"/>
        <n v="2616"/>
        <n v="2617"/>
        <n v="2618"/>
        <n v="2619"/>
        <n v="2620"/>
        <n v="2621"/>
        <n v="2622"/>
        <n v="2623"/>
        <n v="2624"/>
        <n v="2625"/>
        <n v="2626"/>
        <n v="2627"/>
        <n v="2628"/>
        <n v="2629"/>
        <n v="2630"/>
        <n v="2631"/>
        <n v="2632"/>
        <n v="2633"/>
        <n v="2634"/>
        <n v="2635"/>
        <n v="2636"/>
        <n v="2637"/>
        <n v="2638"/>
        <n v="2639"/>
        <n v="2640"/>
        <n v="2641"/>
        <n v="2642"/>
        <n v="2643"/>
        <n v="2644"/>
        <n v="2645"/>
        <n v="2646"/>
        <n v="2647"/>
        <n v="2648"/>
        <n v="2649"/>
        <n v="2650"/>
        <n v="2651"/>
        <n v="2652"/>
        <n v="2653"/>
        <n v="2654"/>
        <n v="2655"/>
        <n v="2656"/>
        <n v="2657"/>
        <n v="2658"/>
        <n v="2659"/>
        <n v="2660"/>
        <n v="2661"/>
        <n v="2662"/>
        <n v="2663"/>
        <n v="2664"/>
        <n v="2665"/>
        <n v="2666"/>
        <n v="2667"/>
        <n v="2668"/>
        <n v="2669"/>
        <n v="2670"/>
        <n v="2671"/>
        <n v="2672"/>
        <n v="2673"/>
        <n v="2674"/>
        <n v="2675"/>
        <n v="2676"/>
        <n v="2677"/>
        <n v="2678"/>
        <n v="2679"/>
        <n v="2680"/>
        <n v="2681"/>
        <n v="2682"/>
        <n v="2683"/>
        <n v="2684"/>
        <n v="2685"/>
        <n v="2686"/>
        <n v="2687"/>
        <n v="2688"/>
        <n v="2689"/>
        <n v="2690"/>
        <n v="2691"/>
        <n v="2692"/>
        <n v="2693"/>
        <n v="2694"/>
        <n v="2695"/>
        <n v="2696"/>
        <n v="2697"/>
        <n v="2698"/>
        <n v="2699"/>
        <n v="2700"/>
        <n v="2701"/>
        <n v="2702"/>
        <n v="2703"/>
        <n v="2704"/>
        <n v="2705"/>
        <n v="2706"/>
        <n v="2707"/>
        <n v="2708"/>
        <n v="2709"/>
        <n v="2710"/>
        <n v="2711"/>
        <n v="2712"/>
        <n v="2713"/>
        <n v="2714"/>
        <n v="2715"/>
        <n v="2716"/>
        <n v="2717"/>
        <n v="2718"/>
        <n v="2719"/>
        <n v="2720"/>
        <n v="2721"/>
        <n v="2722"/>
        <n v="2723"/>
        <n v="2724"/>
        <n v="2725"/>
        <n v="2726"/>
        <n v="2727"/>
        <n v="2728"/>
        <n v="2729"/>
        <n v="2730"/>
        <n v="2731"/>
        <n v="2732"/>
        <n v="2733"/>
        <n v="2734"/>
        <n v="2735"/>
        <n v="2736"/>
        <n v="2737"/>
        <n v="2738"/>
        <n v="2739"/>
        <n v="2740"/>
        <n v="2741"/>
        <n v="2742"/>
        <n v="2743"/>
        <n v="2744"/>
        <n v="2745"/>
        <n v="2746"/>
        <n v="2747"/>
        <n v="2748"/>
        <n v="2749"/>
        <n v="2750"/>
        <n v="2751"/>
        <n v="2752"/>
        <n v="2753"/>
        <n v="2754"/>
        <n v="2755"/>
        <n v="2756"/>
        <n v="2757"/>
        <n v="2758"/>
        <n v="2759"/>
        <n v="2760"/>
        <n v="2761"/>
        <n v="2762"/>
        <n v="2763"/>
        <n v="2764"/>
        <n v="2765"/>
        <n v="2766"/>
        <n v="2767"/>
        <n v="2768"/>
        <n v="2769"/>
        <n v="2770"/>
        <n v="2771"/>
        <n v="2772"/>
        <n v="2773"/>
        <n v="2774"/>
        <n v="2775"/>
        <n v="2776"/>
        <n v="2777"/>
        <n v="2778"/>
        <n v="2779"/>
        <n v="2780"/>
        <n v="2781"/>
        <n v="2782"/>
        <n v="2783"/>
        <n v="2784"/>
        <n v="2785"/>
        <n v="2786"/>
        <n v="2787"/>
        <n v="2788"/>
        <n v="2789"/>
        <n v="2790"/>
        <n v="2791"/>
        <n v="2792"/>
        <n v="2793"/>
        <n v="2794"/>
        <n v="2795"/>
        <n v="2796"/>
        <n v="2797"/>
        <n v="2798"/>
        <n v="2799"/>
        <n v="2800"/>
      </sharedItems>
    </cacheField>
    <cacheField name="created_date" numFmtId="14">
      <sharedItems containsSemiMixedTypes="0" containsNonDate="0" containsDate="1" containsString="0" minDate="2024-01-01T00:00:00" maxDate="2025-01-01T00:00:00"/>
    </cacheField>
    <cacheField name="issue_category" numFmtId="0">
      <sharedItems count="5">
        <s v="Delivery"/>
        <s v="Account"/>
        <s v="Technical"/>
        <s v="Other"/>
        <s v="Billing"/>
      </sharedItems>
    </cacheField>
    <cacheField name="priority" numFmtId="0">
      <sharedItems count="4">
        <s v="Low"/>
        <s v="Medium"/>
        <s v="Urgent"/>
        <s v="High"/>
      </sharedItems>
    </cacheField>
    <cacheField name="first_response_minutes" numFmtId="0">
      <sharedItems containsSemiMixedTypes="0" containsString="0" containsNumber="1" containsInteger="1" minValue="5" maxValue="240"/>
    </cacheField>
    <cacheField name="resolution_time_hours" numFmtId="0">
      <sharedItems containsSemiMixedTypes="0" containsString="0" containsNumber="1" containsInteger="1" minValue="1" maxValue="72"/>
    </cacheField>
    <cacheField name="agent_experience_years" numFmtId="0">
      <sharedItems containsSemiMixedTypes="0" containsString="0" containsNumber="1" minValue="0.5" maxValue="10"/>
    </cacheField>
    <cacheField name="reopened" numFmtId="0">
      <sharedItems count="2">
        <s v="Yes"/>
        <s v="No"/>
      </sharedItems>
    </cacheField>
    <cacheField name="channel" numFmtId="0">
      <sharedItems count="3">
        <s v="Chat"/>
        <s v="Email"/>
        <s v="Phone"/>
      </sharedItems>
    </cacheField>
    <cacheField name="customer_satisfaction" numFmtId="0">
      <sharedItems count="3">
        <s v="Low"/>
        <s v="Medium"/>
        <s v="High"/>
      </sharedItems>
    </cacheField>
    <cacheField name="Resolution SLA Hours" numFmtId="0">
      <sharedItems containsSemiMixedTypes="0" containsString="0" containsNumber="1" containsInteger="1" minValue="8" maxValue="72" count="4">
        <n v="72"/>
        <n v="48"/>
        <n v="8"/>
        <n v="24"/>
      </sharedItems>
    </cacheField>
    <cacheField name="First Response SLA Minutes" numFmtId="0">
      <sharedItems containsSemiMixedTypes="0" containsString="0" containsNumber="1" containsInteger="1" minValue="30" maxValue="240" count="4">
        <n v="240"/>
        <n v="120"/>
        <n v="30"/>
        <n v="60"/>
      </sharedItems>
    </cacheField>
    <cacheField name="Resolution SLA Status" numFmtId="0">
      <sharedItems count="2">
        <s v="Within SLA"/>
        <s v="Breached"/>
      </sharedItems>
    </cacheField>
    <cacheField name="First Response SLA Status" numFmtId="0">
      <sharedItems count="2">
        <s v="Within SLA"/>
        <s v="Breached"/>
      </sharedItems>
    </cacheField>
    <cacheField name="Agent Experience Band" numFmtId="0">
      <sharedItems count="4">
        <s v="Senior"/>
        <s v="Junior"/>
        <s v="Expert"/>
        <s v="Mid-Level"/>
      </sharedItems>
    </cacheField>
    <cacheField name="Satisfaction Score" numFmtId="0">
      <sharedItems containsSemiMixedTypes="0" containsString="0" containsNumber="1" containsInteger="1" minValue="1" maxValue="3" count="3">
        <n v="1"/>
        <n v="2"/>
        <n v="3"/>
      </sharedItems>
    </cacheField>
    <cacheField name="Reopened Score" numFmtId="0">
      <sharedItems containsSemiMixedTypes="0" containsString="0" containsNumber="1" containsInteger="1" minValue="0" maxValue="1"/>
    </cacheField>
    <cacheField name="Response Speed Category" numFmtId="0">
      <sharedItems/>
    </cacheField>
    <cacheField name="Resolution Time Category" numFmtId="0">
      <sharedItems/>
    </cacheField>
    <cacheField name="Ticket Month" numFmtId="0">
      <sharedItems count="12">
        <s v="Aug-2024"/>
        <s v="May-2024"/>
        <s v="Mar-2024"/>
        <s v="Apr-2024"/>
        <s v="Jun-2024"/>
        <s v="Sep-2024"/>
        <s v="Nov-2024"/>
        <s v="Oct-2024"/>
        <s v="Jan-2024"/>
        <s v="Feb-2024"/>
        <s v="Jul-2024"/>
        <s v="Dec-2024"/>
      </sharedItems>
    </cacheField>
    <cacheField name="Ticket Weekday" numFmtId="0">
      <sharedItems/>
    </cacheField>
    <cacheField name="Priority Rank" numFmtId="0">
      <sharedItems containsSemiMixedTypes="0" containsString="0" containsNumber="1" containsInteger="1" minValue="1" maxValue="4"/>
    </cacheField>
  </cacheFields>
  <extLst>
    <ext xmlns:x14="http://schemas.microsoft.com/office/spreadsheetml/2009/9/main" uri="{725AE2AE-9491-48be-B2B4-4EB974FC3084}">
      <x14:pivotCacheDefinition pivotCacheId="312018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00">
  <r>
    <x v="0"/>
    <d v="2024-08-24T00:00:00"/>
    <x v="0"/>
    <x v="0"/>
    <n v="114"/>
    <n v="62"/>
    <n v="6"/>
    <x v="0"/>
    <x v="0"/>
    <x v="0"/>
    <x v="0"/>
    <x v="0"/>
    <x v="0"/>
    <x v="0"/>
    <x v="0"/>
    <x v="0"/>
    <n v="1"/>
    <s v="Acceptable"/>
    <s v="3 Days"/>
    <x v="0"/>
    <s v="Saturday"/>
    <n v="4"/>
  </r>
  <r>
    <x v="1"/>
    <d v="2024-05-07T00:00:00"/>
    <x v="1"/>
    <x v="1"/>
    <n v="13"/>
    <n v="67"/>
    <n v="5.2"/>
    <x v="0"/>
    <x v="1"/>
    <x v="1"/>
    <x v="1"/>
    <x v="1"/>
    <x v="1"/>
    <x v="0"/>
    <x v="0"/>
    <x v="1"/>
    <n v="1"/>
    <s v="Very Fast"/>
    <s v="3 Days"/>
    <x v="1"/>
    <s v="Tuesday"/>
    <n v="3"/>
  </r>
  <r>
    <x v="2"/>
    <d v="2024-08-03T00:00:00"/>
    <x v="1"/>
    <x v="2"/>
    <n v="225"/>
    <n v="18"/>
    <n v="6.2"/>
    <x v="1"/>
    <x v="2"/>
    <x v="0"/>
    <x v="2"/>
    <x v="2"/>
    <x v="1"/>
    <x v="1"/>
    <x v="0"/>
    <x v="0"/>
    <n v="0"/>
    <s v="Slow"/>
    <s v="1 Day"/>
    <x v="0"/>
    <s v="Saturday"/>
    <n v="1"/>
  </r>
  <r>
    <x v="3"/>
    <d v="2024-03-09T00:00:00"/>
    <x v="0"/>
    <x v="3"/>
    <n v="121"/>
    <n v="23"/>
    <n v="7"/>
    <x v="1"/>
    <x v="1"/>
    <x v="0"/>
    <x v="3"/>
    <x v="3"/>
    <x v="0"/>
    <x v="1"/>
    <x v="0"/>
    <x v="0"/>
    <n v="0"/>
    <s v="Slow"/>
    <s v="1 Day"/>
    <x v="2"/>
    <s v="Saturday"/>
    <n v="2"/>
  </r>
  <r>
    <x v="4"/>
    <d v="2024-04-30T00:00:00"/>
    <x v="2"/>
    <x v="2"/>
    <n v="162"/>
    <n v="49"/>
    <n v="0.9"/>
    <x v="0"/>
    <x v="1"/>
    <x v="0"/>
    <x v="2"/>
    <x v="2"/>
    <x v="1"/>
    <x v="1"/>
    <x v="1"/>
    <x v="0"/>
    <n v="1"/>
    <s v="Slow"/>
    <s v="3 Days"/>
    <x v="3"/>
    <s v="Tuesday"/>
    <n v="1"/>
  </r>
  <r>
    <x v="5"/>
    <d v="2024-06-09T00:00:00"/>
    <x v="3"/>
    <x v="3"/>
    <n v="142"/>
    <n v="47"/>
    <n v="7.8"/>
    <x v="0"/>
    <x v="0"/>
    <x v="0"/>
    <x v="3"/>
    <x v="3"/>
    <x v="1"/>
    <x v="1"/>
    <x v="0"/>
    <x v="0"/>
    <n v="1"/>
    <s v="Slow"/>
    <s v="2 Days"/>
    <x v="4"/>
    <s v="Sunday"/>
    <n v="2"/>
  </r>
  <r>
    <x v="6"/>
    <d v="2024-09-13T00:00:00"/>
    <x v="2"/>
    <x v="2"/>
    <n v="125"/>
    <n v="9"/>
    <n v="6.7"/>
    <x v="1"/>
    <x v="1"/>
    <x v="0"/>
    <x v="2"/>
    <x v="2"/>
    <x v="1"/>
    <x v="1"/>
    <x v="0"/>
    <x v="0"/>
    <n v="0"/>
    <s v="Slow"/>
    <s v="1 Day"/>
    <x v="5"/>
    <s v="Friday"/>
    <n v="1"/>
  </r>
  <r>
    <x v="7"/>
    <d v="2024-11-06T00:00:00"/>
    <x v="4"/>
    <x v="2"/>
    <n v="66"/>
    <n v="5"/>
    <n v="0.8"/>
    <x v="1"/>
    <x v="2"/>
    <x v="1"/>
    <x v="2"/>
    <x v="2"/>
    <x v="0"/>
    <x v="1"/>
    <x v="1"/>
    <x v="1"/>
    <n v="0"/>
    <s v="Acceptable"/>
    <s v="Same Day"/>
    <x v="6"/>
    <s v="Wednesday"/>
    <n v="1"/>
  </r>
  <r>
    <x v="8"/>
    <d v="2024-11-03T00:00:00"/>
    <x v="2"/>
    <x v="0"/>
    <n v="43"/>
    <n v="50"/>
    <n v="5.9"/>
    <x v="1"/>
    <x v="1"/>
    <x v="1"/>
    <x v="0"/>
    <x v="0"/>
    <x v="0"/>
    <x v="0"/>
    <x v="0"/>
    <x v="1"/>
    <n v="0"/>
    <s v="Acceptable"/>
    <s v="3 Days"/>
    <x v="6"/>
    <s v="Sunday"/>
    <n v="4"/>
  </r>
  <r>
    <x v="9"/>
    <d v="2024-06-27T00:00:00"/>
    <x v="0"/>
    <x v="0"/>
    <n v="118"/>
    <n v="22"/>
    <n v="9.8000000000000007"/>
    <x v="0"/>
    <x v="0"/>
    <x v="0"/>
    <x v="0"/>
    <x v="0"/>
    <x v="0"/>
    <x v="0"/>
    <x v="2"/>
    <x v="0"/>
    <n v="1"/>
    <s v="Acceptable"/>
    <s v="1 Day"/>
    <x v="4"/>
    <s v="Thursday"/>
    <n v="4"/>
  </r>
  <r>
    <x v="10"/>
    <d v="2024-03-02T00:00:00"/>
    <x v="1"/>
    <x v="2"/>
    <n v="67"/>
    <n v="36"/>
    <n v="1.9"/>
    <x v="0"/>
    <x v="0"/>
    <x v="0"/>
    <x v="2"/>
    <x v="2"/>
    <x v="1"/>
    <x v="1"/>
    <x v="1"/>
    <x v="0"/>
    <n v="1"/>
    <s v="Acceptable"/>
    <s v="2 Days"/>
    <x v="2"/>
    <s v="Saturday"/>
    <n v="1"/>
  </r>
  <r>
    <x v="11"/>
    <d v="2024-06-26T00:00:00"/>
    <x v="1"/>
    <x v="3"/>
    <n v="47"/>
    <n v="23"/>
    <n v="7.9"/>
    <x v="1"/>
    <x v="0"/>
    <x v="0"/>
    <x v="3"/>
    <x v="3"/>
    <x v="0"/>
    <x v="0"/>
    <x v="0"/>
    <x v="0"/>
    <n v="0"/>
    <s v="Acceptable"/>
    <s v="1 Day"/>
    <x v="4"/>
    <s v="Wednesday"/>
    <n v="2"/>
  </r>
  <r>
    <x v="12"/>
    <d v="2024-06-12T00:00:00"/>
    <x v="2"/>
    <x v="1"/>
    <n v="6"/>
    <n v="70"/>
    <n v="7.3"/>
    <x v="1"/>
    <x v="1"/>
    <x v="2"/>
    <x v="1"/>
    <x v="1"/>
    <x v="1"/>
    <x v="0"/>
    <x v="0"/>
    <x v="2"/>
    <n v="0"/>
    <s v="Very Fast"/>
    <s v="3 Days"/>
    <x v="4"/>
    <s v="Wednesday"/>
    <n v="3"/>
  </r>
  <r>
    <x v="13"/>
    <d v="2024-09-10T00:00:00"/>
    <x v="2"/>
    <x v="3"/>
    <n v="119"/>
    <n v="52"/>
    <n v="6"/>
    <x v="1"/>
    <x v="2"/>
    <x v="0"/>
    <x v="3"/>
    <x v="3"/>
    <x v="1"/>
    <x v="1"/>
    <x v="0"/>
    <x v="0"/>
    <n v="0"/>
    <s v="Acceptable"/>
    <s v="3 Days"/>
    <x v="5"/>
    <s v="Tuesday"/>
    <n v="2"/>
  </r>
  <r>
    <x v="14"/>
    <d v="2024-03-26T00:00:00"/>
    <x v="0"/>
    <x v="3"/>
    <n v="138"/>
    <n v="62"/>
    <n v="6.2"/>
    <x v="0"/>
    <x v="2"/>
    <x v="0"/>
    <x v="3"/>
    <x v="3"/>
    <x v="1"/>
    <x v="1"/>
    <x v="0"/>
    <x v="0"/>
    <n v="1"/>
    <s v="Slow"/>
    <s v="3 Days"/>
    <x v="2"/>
    <s v="Tuesday"/>
    <n v="2"/>
  </r>
  <r>
    <x v="15"/>
    <d v="2024-10-02T00:00:00"/>
    <x v="0"/>
    <x v="2"/>
    <n v="234"/>
    <n v="52"/>
    <n v="1.8"/>
    <x v="1"/>
    <x v="0"/>
    <x v="0"/>
    <x v="2"/>
    <x v="2"/>
    <x v="1"/>
    <x v="1"/>
    <x v="1"/>
    <x v="0"/>
    <n v="0"/>
    <s v="Slow"/>
    <s v="3 Days"/>
    <x v="7"/>
    <s v="Wednesday"/>
    <n v="1"/>
  </r>
  <r>
    <x v="16"/>
    <d v="2024-01-19T00:00:00"/>
    <x v="4"/>
    <x v="1"/>
    <n v="148"/>
    <n v="57"/>
    <n v="1.4"/>
    <x v="1"/>
    <x v="0"/>
    <x v="0"/>
    <x v="1"/>
    <x v="1"/>
    <x v="1"/>
    <x v="1"/>
    <x v="1"/>
    <x v="0"/>
    <n v="0"/>
    <s v="Slow"/>
    <s v="3 Days"/>
    <x v="8"/>
    <s v="Friday"/>
    <n v="3"/>
  </r>
  <r>
    <x v="17"/>
    <d v="2024-11-07T00:00:00"/>
    <x v="0"/>
    <x v="0"/>
    <n v="17"/>
    <n v="45"/>
    <n v="1.4"/>
    <x v="0"/>
    <x v="0"/>
    <x v="1"/>
    <x v="0"/>
    <x v="0"/>
    <x v="0"/>
    <x v="0"/>
    <x v="1"/>
    <x v="1"/>
    <n v="1"/>
    <s v="Very Fast"/>
    <s v="2 Days"/>
    <x v="6"/>
    <s v="Thursday"/>
    <n v="4"/>
  </r>
  <r>
    <x v="18"/>
    <d v="2024-06-24T00:00:00"/>
    <x v="1"/>
    <x v="1"/>
    <n v="122"/>
    <n v="56"/>
    <n v="7.9"/>
    <x v="1"/>
    <x v="2"/>
    <x v="1"/>
    <x v="1"/>
    <x v="1"/>
    <x v="1"/>
    <x v="1"/>
    <x v="0"/>
    <x v="1"/>
    <n v="0"/>
    <s v="Slow"/>
    <s v="3 Days"/>
    <x v="4"/>
    <s v="Monday"/>
    <n v="3"/>
  </r>
  <r>
    <x v="19"/>
    <d v="2024-05-01T00:00:00"/>
    <x v="1"/>
    <x v="2"/>
    <n v="113"/>
    <n v="43"/>
    <n v="6.7"/>
    <x v="0"/>
    <x v="2"/>
    <x v="0"/>
    <x v="2"/>
    <x v="2"/>
    <x v="1"/>
    <x v="1"/>
    <x v="0"/>
    <x v="0"/>
    <n v="1"/>
    <s v="Acceptable"/>
    <s v="2 Days"/>
    <x v="1"/>
    <s v="Wednesday"/>
    <n v="1"/>
  </r>
  <r>
    <x v="20"/>
    <d v="2024-01-13T00:00:00"/>
    <x v="4"/>
    <x v="0"/>
    <n v="180"/>
    <n v="26"/>
    <n v="6.6"/>
    <x v="1"/>
    <x v="0"/>
    <x v="1"/>
    <x v="0"/>
    <x v="0"/>
    <x v="0"/>
    <x v="0"/>
    <x v="0"/>
    <x v="1"/>
    <n v="0"/>
    <s v="Slow"/>
    <s v="2 Days"/>
    <x v="8"/>
    <s v="Saturday"/>
    <n v="4"/>
  </r>
  <r>
    <x v="21"/>
    <d v="2024-01-24T00:00:00"/>
    <x v="3"/>
    <x v="2"/>
    <n v="222"/>
    <n v="32"/>
    <n v="7.3"/>
    <x v="0"/>
    <x v="2"/>
    <x v="0"/>
    <x v="2"/>
    <x v="2"/>
    <x v="1"/>
    <x v="1"/>
    <x v="0"/>
    <x v="0"/>
    <n v="1"/>
    <s v="Slow"/>
    <s v="2 Days"/>
    <x v="8"/>
    <s v="Wednesday"/>
    <n v="1"/>
  </r>
  <r>
    <x v="22"/>
    <d v="2024-03-13T00:00:00"/>
    <x v="1"/>
    <x v="0"/>
    <n v="214"/>
    <n v="37"/>
    <n v="2"/>
    <x v="1"/>
    <x v="2"/>
    <x v="0"/>
    <x v="0"/>
    <x v="0"/>
    <x v="0"/>
    <x v="0"/>
    <x v="1"/>
    <x v="0"/>
    <n v="0"/>
    <s v="Slow"/>
    <s v="2 Days"/>
    <x v="2"/>
    <s v="Wednesday"/>
    <n v="4"/>
  </r>
  <r>
    <x v="23"/>
    <d v="2024-02-10T00:00:00"/>
    <x v="3"/>
    <x v="2"/>
    <n v="240"/>
    <n v="25"/>
    <n v="9.9"/>
    <x v="0"/>
    <x v="1"/>
    <x v="0"/>
    <x v="2"/>
    <x v="2"/>
    <x v="1"/>
    <x v="1"/>
    <x v="2"/>
    <x v="0"/>
    <n v="1"/>
    <s v="Slow"/>
    <s v="2 Days"/>
    <x v="9"/>
    <s v="Saturday"/>
    <n v="1"/>
  </r>
  <r>
    <x v="24"/>
    <d v="2024-08-25T00:00:00"/>
    <x v="3"/>
    <x v="2"/>
    <n v="58"/>
    <n v="13"/>
    <n v="7"/>
    <x v="1"/>
    <x v="2"/>
    <x v="0"/>
    <x v="2"/>
    <x v="2"/>
    <x v="1"/>
    <x v="1"/>
    <x v="0"/>
    <x v="0"/>
    <n v="0"/>
    <s v="Acceptable"/>
    <s v="1 Day"/>
    <x v="0"/>
    <s v="Sunday"/>
    <n v="1"/>
  </r>
  <r>
    <x v="25"/>
    <d v="2024-02-29T00:00:00"/>
    <x v="4"/>
    <x v="2"/>
    <n v="119"/>
    <n v="72"/>
    <n v="2.5"/>
    <x v="1"/>
    <x v="1"/>
    <x v="0"/>
    <x v="2"/>
    <x v="2"/>
    <x v="1"/>
    <x v="1"/>
    <x v="3"/>
    <x v="0"/>
    <n v="0"/>
    <s v="Acceptable"/>
    <s v="3 Days"/>
    <x v="9"/>
    <s v="Thursday"/>
    <n v="1"/>
  </r>
  <r>
    <x v="26"/>
    <d v="2024-02-05T00:00:00"/>
    <x v="0"/>
    <x v="2"/>
    <n v="161"/>
    <n v="53"/>
    <n v="8.8000000000000007"/>
    <x v="0"/>
    <x v="1"/>
    <x v="0"/>
    <x v="2"/>
    <x v="2"/>
    <x v="1"/>
    <x v="1"/>
    <x v="2"/>
    <x v="0"/>
    <n v="1"/>
    <s v="Slow"/>
    <s v="3 Days"/>
    <x v="9"/>
    <s v="Monday"/>
    <n v="1"/>
  </r>
  <r>
    <x v="27"/>
    <d v="2024-04-09T00:00:00"/>
    <x v="1"/>
    <x v="0"/>
    <n v="94"/>
    <n v="33"/>
    <n v="3.9"/>
    <x v="1"/>
    <x v="0"/>
    <x v="0"/>
    <x v="0"/>
    <x v="0"/>
    <x v="0"/>
    <x v="0"/>
    <x v="3"/>
    <x v="0"/>
    <n v="0"/>
    <s v="Acceptable"/>
    <s v="2 Days"/>
    <x v="3"/>
    <s v="Tuesday"/>
    <n v="4"/>
  </r>
  <r>
    <x v="28"/>
    <d v="2024-07-26T00:00:00"/>
    <x v="0"/>
    <x v="3"/>
    <n v="134"/>
    <n v="64"/>
    <n v="5.3"/>
    <x v="1"/>
    <x v="2"/>
    <x v="0"/>
    <x v="3"/>
    <x v="3"/>
    <x v="1"/>
    <x v="1"/>
    <x v="0"/>
    <x v="0"/>
    <n v="0"/>
    <s v="Slow"/>
    <s v="3 Days"/>
    <x v="10"/>
    <s v="Friday"/>
    <n v="2"/>
  </r>
  <r>
    <x v="29"/>
    <d v="2024-09-01T00:00:00"/>
    <x v="3"/>
    <x v="3"/>
    <n v="94"/>
    <n v="36"/>
    <n v="5.0999999999999996"/>
    <x v="1"/>
    <x v="0"/>
    <x v="0"/>
    <x v="3"/>
    <x v="3"/>
    <x v="1"/>
    <x v="1"/>
    <x v="0"/>
    <x v="0"/>
    <n v="0"/>
    <s v="Acceptable"/>
    <s v="2 Days"/>
    <x v="5"/>
    <s v="Sunday"/>
    <n v="2"/>
  </r>
  <r>
    <x v="30"/>
    <d v="2024-03-27T00:00:00"/>
    <x v="3"/>
    <x v="0"/>
    <n v="181"/>
    <n v="70"/>
    <n v="7.3"/>
    <x v="1"/>
    <x v="0"/>
    <x v="1"/>
    <x v="0"/>
    <x v="0"/>
    <x v="0"/>
    <x v="0"/>
    <x v="0"/>
    <x v="1"/>
    <n v="0"/>
    <s v="Slow"/>
    <s v="3 Days"/>
    <x v="2"/>
    <s v="Wednesday"/>
    <n v="4"/>
  </r>
  <r>
    <x v="31"/>
    <d v="2024-11-29T00:00:00"/>
    <x v="1"/>
    <x v="0"/>
    <n v="157"/>
    <n v="40"/>
    <n v="0.7"/>
    <x v="1"/>
    <x v="1"/>
    <x v="0"/>
    <x v="0"/>
    <x v="0"/>
    <x v="0"/>
    <x v="0"/>
    <x v="1"/>
    <x v="0"/>
    <n v="0"/>
    <s v="Slow"/>
    <s v="2 Days"/>
    <x v="6"/>
    <s v="Friday"/>
    <n v="4"/>
  </r>
  <r>
    <x v="32"/>
    <d v="2024-05-03T00:00:00"/>
    <x v="2"/>
    <x v="2"/>
    <n v="161"/>
    <n v="48"/>
    <n v="3.2"/>
    <x v="0"/>
    <x v="0"/>
    <x v="0"/>
    <x v="2"/>
    <x v="2"/>
    <x v="1"/>
    <x v="1"/>
    <x v="3"/>
    <x v="0"/>
    <n v="1"/>
    <s v="Slow"/>
    <s v="2 Days"/>
    <x v="1"/>
    <s v="Friday"/>
    <n v="1"/>
  </r>
  <r>
    <x v="33"/>
    <d v="2024-08-03T00:00:00"/>
    <x v="2"/>
    <x v="0"/>
    <n v="147"/>
    <n v="7"/>
    <n v="2.6"/>
    <x v="0"/>
    <x v="2"/>
    <x v="0"/>
    <x v="0"/>
    <x v="0"/>
    <x v="0"/>
    <x v="0"/>
    <x v="3"/>
    <x v="0"/>
    <n v="1"/>
    <s v="Slow"/>
    <s v="Same Day"/>
    <x v="0"/>
    <s v="Saturday"/>
    <n v="4"/>
  </r>
  <r>
    <x v="34"/>
    <d v="2024-10-21T00:00:00"/>
    <x v="2"/>
    <x v="2"/>
    <n v="239"/>
    <n v="3"/>
    <n v="4.2"/>
    <x v="1"/>
    <x v="2"/>
    <x v="1"/>
    <x v="2"/>
    <x v="2"/>
    <x v="0"/>
    <x v="1"/>
    <x v="3"/>
    <x v="1"/>
    <n v="0"/>
    <s v="Slow"/>
    <s v="Same Day"/>
    <x v="7"/>
    <s v="Monday"/>
    <n v="1"/>
  </r>
  <r>
    <x v="35"/>
    <d v="2024-01-19T00:00:00"/>
    <x v="3"/>
    <x v="3"/>
    <n v="227"/>
    <n v="7"/>
    <n v="6.7"/>
    <x v="0"/>
    <x v="0"/>
    <x v="0"/>
    <x v="3"/>
    <x v="3"/>
    <x v="0"/>
    <x v="1"/>
    <x v="0"/>
    <x v="0"/>
    <n v="1"/>
    <s v="Slow"/>
    <s v="Same Day"/>
    <x v="8"/>
    <s v="Friday"/>
    <n v="2"/>
  </r>
  <r>
    <x v="36"/>
    <d v="2024-11-06T00:00:00"/>
    <x v="1"/>
    <x v="2"/>
    <n v="88"/>
    <n v="22"/>
    <n v="7.8"/>
    <x v="0"/>
    <x v="1"/>
    <x v="0"/>
    <x v="2"/>
    <x v="2"/>
    <x v="1"/>
    <x v="1"/>
    <x v="0"/>
    <x v="0"/>
    <n v="1"/>
    <s v="Acceptable"/>
    <s v="1 Day"/>
    <x v="6"/>
    <s v="Wednesday"/>
    <n v="1"/>
  </r>
  <r>
    <x v="37"/>
    <d v="2024-02-15T00:00:00"/>
    <x v="0"/>
    <x v="0"/>
    <n v="190"/>
    <n v="69"/>
    <n v="5.4"/>
    <x v="1"/>
    <x v="0"/>
    <x v="1"/>
    <x v="0"/>
    <x v="0"/>
    <x v="0"/>
    <x v="0"/>
    <x v="0"/>
    <x v="1"/>
    <n v="0"/>
    <s v="Slow"/>
    <s v="3 Days"/>
    <x v="9"/>
    <s v="Thursday"/>
    <n v="4"/>
  </r>
  <r>
    <x v="38"/>
    <d v="2024-12-27T00:00:00"/>
    <x v="0"/>
    <x v="3"/>
    <n v="20"/>
    <n v="19"/>
    <n v="9.3000000000000007"/>
    <x v="1"/>
    <x v="2"/>
    <x v="1"/>
    <x v="3"/>
    <x v="3"/>
    <x v="0"/>
    <x v="0"/>
    <x v="2"/>
    <x v="1"/>
    <n v="0"/>
    <s v="Very Fast"/>
    <s v="1 Day"/>
    <x v="11"/>
    <s v="Friday"/>
    <n v="2"/>
  </r>
  <r>
    <x v="39"/>
    <d v="2024-06-30T00:00:00"/>
    <x v="0"/>
    <x v="2"/>
    <n v="189"/>
    <n v="57"/>
    <n v="9.9"/>
    <x v="0"/>
    <x v="0"/>
    <x v="0"/>
    <x v="2"/>
    <x v="2"/>
    <x v="1"/>
    <x v="1"/>
    <x v="2"/>
    <x v="0"/>
    <n v="1"/>
    <s v="Slow"/>
    <s v="3 Days"/>
    <x v="4"/>
    <s v="Sunday"/>
    <n v="1"/>
  </r>
  <r>
    <x v="40"/>
    <d v="2024-01-22T00:00:00"/>
    <x v="2"/>
    <x v="2"/>
    <n v="104"/>
    <n v="25"/>
    <n v="1.4"/>
    <x v="0"/>
    <x v="2"/>
    <x v="0"/>
    <x v="2"/>
    <x v="2"/>
    <x v="1"/>
    <x v="1"/>
    <x v="1"/>
    <x v="0"/>
    <n v="1"/>
    <s v="Acceptable"/>
    <s v="2 Days"/>
    <x v="8"/>
    <s v="Monday"/>
    <n v="1"/>
  </r>
  <r>
    <x v="41"/>
    <d v="2024-10-13T00:00:00"/>
    <x v="0"/>
    <x v="1"/>
    <n v="150"/>
    <n v="55"/>
    <n v="9.8000000000000007"/>
    <x v="1"/>
    <x v="1"/>
    <x v="1"/>
    <x v="1"/>
    <x v="1"/>
    <x v="1"/>
    <x v="1"/>
    <x v="2"/>
    <x v="1"/>
    <n v="0"/>
    <s v="Slow"/>
    <s v="3 Days"/>
    <x v="7"/>
    <s v="Sunday"/>
    <n v="3"/>
  </r>
  <r>
    <x v="42"/>
    <d v="2024-01-26T00:00:00"/>
    <x v="3"/>
    <x v="0"/>
    <n v="47"/>
    <n v="40"/>
    <n v="9.6"/>
    <x v="0"/>
    <x v="1"/>
    <x v="0"/>
    <x v="0"/>
    <x v="0"/>
    <x v="0"/>
    <x v="0"/>
    <x v="2"/>
    <x v="0"/>
    <n v="1"/>
    <s v="Acceptable"/>
    <s v="2 Days"/>
    <x v="8"/>
    <s v="Friday"/>
    <n v="4"/>
  </r>
  <r>
    <x v="43"/>
    <d v="2024-01-22T00:00:00"/>
    <x v="0"/>
    <x v="0"/>
    <n v="167"/>
    <n v="47"/>
    <n v="8.4"/>
    <x v="1"/>
    <x v="2"/>
    <x v="1"/>
    <x v="0"/>
    <x v="0"/>
    <x v="0"/>
    <x v="0"/>
    <x v="2"/>
    <x v="1"/>
    <n v="0"/>
    <s v="Slow"/>
    <s v="2 Days"/>
    <x v="8"/>
    <s v="Monday"/>
    <n v="4"/>
  </r>
  <r>
    <x v="44"/>
    <d v="2024-03-24T00:00:00"/>
    <x v="2"/>
    <x v="2"/>
    <n v="24"/>
    <n v="45"/>
    <n v="7.7"/>
    <x v="1"/>
    <x v="0"/>
    <x v="1"/>
    <x v="2"/>
    <x v="2"/>
    <x v="1"/>
    <x v="0"/>
    <x v="0"/>
    <x v="1"/>
    <n v="0"/>
    <s v="Very Fast"/>
    <s v="2 Days"/>
    <x v="2"/>
    <s v="Sunday"/>
    <n v="1"/>
  </r>
  <r>
    <x v="45"/>
    <d v="2024-03-31T00:00:00"/>
    <x v="3"/>
    <x v="2"/>
    <n v="203"/>
    <n v="43"/>
    <n v="8.8000000000000007"/>
    <x v="0"/>
    <x v="2"/>
    <x v="0"/>
    <x v="2"/>
    <x v="2"/>
    <x v="1"/>
    <x v="1"/>
    <x v="2"/>
    <x v="0"/>
    <n v="1"/>
    <s v="Slow"/>
    <s v="2 Days"/>
    <x v="2"/>
    <s v="Sunday"/>
    <n v="1"/>
  </r>
  <r>
    <x v="46"/>
    <d v="2024-02-18T00:00:00"/>
    <x v="0"/>
    <x v="2"/>
    <n v="44"/>
    <n v="66"/>
    <n v="6.6"/>
    <x v="1"/>
    <x v="1"/>
    <x v="0"/>
    <x v="2"/>
    <x v="2"/>
    <x v="1"/>
    <x v="1"/>
    <x v="0"/>
    <x v="0"/>
    <n v="0"/>
    <s v="Acceptable"/>
    <s v="3 Days"/>
    <x v="9"/>
    <s v="Sunday"/>
    <n v="1"/>
  </r>
  <r>
    <x v="47"/>
    <d v="2024-05-28T00:00:00"/>
    <x v="3"/>
    <x v="1"/>
    <n v="32"/>
    <n v="55"/>
    <n v="7.4"/>
    <x v="1"/>
    <x v="2"/>
    <x v="1"/>
    <x v="1"/>
    <x v="1"/>
    <x v="1"/>
    <x v="0"/>
    <x v="0"/>
    <x v="1"/>
    <n v="0"/>
    <s v="Acceptable"/>
    <s v="3 Days"/>
    <x v="1"/>
    <s v="Tuesday"/>
    <n v="3"/>
  </r>
  <r>
    <x v="48"/>
    <d v="2024-09-29T00:00:00"/>
    <x v="1"/>
    <x v="0"/>
    <n v="93"/>
    <n v="67"/>
    <n v="6.4"/>
    <x v="0"/>
    <x v="1"/>
    <x v="0"/>
    <x v="0"/>
    <x v="0"/>
    <x v="0"/>
    <x v="0"/>
    <x v="0"/>
    <x v="0"/>
    <n v="1"/>
    <s v="Acceptable"/>
    <s v="3 Days"/>
    <x v="5"/>
    <s v="Sunday"/>
    <n v="4"/>
  </r>
  <r>
    <x v="49"/>
    <d v="2024-09-18T00:00:00"/>
    <x v="0"/>
    <x v="1"/>
    <n v="178"/>
    <n v="50"/>
    <n v="7.1"/>
    <x v="0"/>
    <x v="1"/>
    <x v="0"/>
    <x v="1"/>
    <x v="1"/>
    <x v="1"/>
    <x v="1"/>
    <x v="0"/>
    <x v="0"/>
    <n v="1"/>
    <s v="Slow"/>
    <s v="3 Days"/>
    <x v="5"/>
    <s v="Wednesday"/>
    <n v="3"/>
  </r>
  <r>
    <x v="50"/>
    <d v="2024-04-06T00:00:00"/>
    <x v="3"/>
    <x v="2"/>
    <n v="154"/>
    <n v="28"/>
    <n v="3.2"/>
    <x v="0"/>
    <x v="2"/>
    <x v="0"/>
    <x v="2"/>
    <x v="2"/>
    <x v="1"/>
    <x v="1"/>
    <x v="3"/>
    <x v="0"/>
    <n v="1"/>
    <s v="Slow"/>
    <s v="2 Days"/>
    <x v="3"/>
    <s v="Saturday"/>
    <n v="1"/>
  </r>
  <r>
    <x v="51"/>
    <d v="2024-11-30T00:00:00"/>
    <x v="0"/>
    <x v="0"/>
    <n v="24"/>
    <n v="52"/>
    <n v="8.1999999999999993"/>
    <x v="0"/>
    <x v="0"/>
    <x v="1"/>
    <x v="0"/>
    <x v="0"/>
    <x v="0"/>
    <x v="0"/>
    <x v="2"/>
    <x v="1"/>
    <n v="1"/>
    <s v="Very Fast"/>
    <s v="3 Days"/>
    <x v="6"/>
    <s v="Saturday"/>
    <n v="4"/>
  </r>
  <r>
    <x v="52"/>
    <d v="2024-03-28T00:00:00"/>
    <x v="4"/>
    <x v="1"/>
    <n v="191"/>
    <n v="7"/>
    <n v="3.9"/>
    <x v="1"/>
    <x v="1"/>
    <x v="0"/>
    <x v="1"/>
    <x v="1"/>
    <x v="0"/>
    <x v="1"/>
    <x v="3"/>
    <x v="0"/>
    <n v="0"/>
    <s v="Slow"/>
    <s v="Same Day"/>
    <x v="2"/>
    <s v="Thursday"/>
    <n v="3"/>
  </r>
  <r>
    <x v="53"/>
    <d v="2024-07-16T00:00:00"/>
    <x v="3"/>
    <x v="1"/>
    <n v="79"/>
    <n v="26"/>
    <n v="2.8"/>
    <x v="0"/>
    <x v="2"/>
    <x v="0"/>
    <x v="1"/>
    <x v="1"/>
    <x v="0"/>
    <x v="0"/>
    <x v="3"/>
    <x v="0"/>
    <n v="1"/>
    <s v="Acceptable"/>
    <s v="2 Days"/>
    <x v="10"/>
    <s v="Tuesday"/>
    <n v="3"/>
  </r>
  <r>
    <x v="54"/>
    <d v="2024-01-03T00:00:00"/>
    <x v="4"/>
    <x v="2"/>
    <n v="228"/>
    <n v="71"/>
    <n v="7.7"/>
    <x v="0"/>
    <x v="1"/>
    <x v="0"/>
    <x v="2"/>
    <x v="2"/>
    <x v="1"/>
    <x v="1"/>
    <x v="0"/>
    <x v="0"/>
    <n v="1"/>
    <s v="Slow"/>
    <s v="3 Days"/>
    <x v="8"/>
    <s v="Wednesday"/>
    <n v="1"/>
  </r>
  <r>
    <x v="55"/>
    <d v="2024-02-04T00:00:00"/>
    <x v="4"/>
    <x v="0"/>
    <n v="180"/>
    <n v="23"/>
    <n v="1.7"/>
    <x v="1"/>
    <x v="2"/>
    <x v="0"/>
    <x v="0"/>
    <x v="0"/>
    <x v="0"/>
    <x v="0"/>
    <x v="1"/>
    <x v="0"/>
    <n v="0"/>
    <s v="Slow"/>
    <s v="1 Day"/>
    <x v="9"/>
    <s v="Sunday"/>
    <n v="4"/>
  </r>
  <r>
    <x v="56"/>
    <d v="2024-10-09T00:00:00"/>
    <x v="2"/>
    <x v="2"/>
    <n v="194"/>
    <n v="24"/>
    <n v="6.4"/>
    <x v="0"/>
    <x v="1"/>
    <x v="0"/>
    <x v="2"/>
    <x v="2"/>
    <x v="1"/>
    <x v="1"/>
    <x v="0"/>
    <x v="0"/>
    <n v="1"/>
    <s v="Slow"/>
    <s v="1 Day"/>
    <x v="7"/>
    <s v="Wednesday"/>
    <n v="1"/>
  </r>
  <r>
    <x v="57"/>
    <d v="2024-01-18T00:00:00"/>
    <x v="0"/>
    <x v="2"/>
    <n v="153"/>
    <n v="59"/>
    <n v="4.8"/>
    <x v="0"/>
    <x v="2"/>
    <x v="0"/>
    <x v="2"/>
    <x v="2"/>
    <x v="1"/>
    <x v="1"/>
    <x v="3"/>
    <x v="0"/>
    <n v="1"/>
    <s v="Slow"/>
    <s v="3 Days"/>
    <x v="8"/>
    <s v="Thursday"/>
    <n v="1"/>
  </r>
  <r>
    <x v="58"/>
    <d v="2024-05-15T00:00:00"/>
    <x v="1"/>
    <x v="2"/>
    <n v="130"/>
    <n v="47"/>
    <n v="6.8"/>
    <x v="0"/>
    <x v="1"/>
    <x v="0"/>
    <x v="2"/>
    <x v="2"/>
    <x v="1"/>
    <x v="1"/>
    <x v="0"/>
    <x v="0"/>
    <n v="1"/>
    <s v="Slow"/>
    <s v="2 Days"/>
    <x v="1"/>
    <s v="Wednesday"/>
    <n v="1"/>
  </r>
  <r>
    <x v="59"/>
    <d v="2024-09-25T00:00:00"/>
    <x v="1"/>
    <x v="0"/>
    <n v="122"/>
    <n v="2"/>
    <n v="2"/>
    <x v="0"/>
    <x v="1"/>
    <x v="1"/>
    <x v="0"/>
    <x v="0"/>
    <x v="0"/>
    <x v="0"/>
    <x v="1"/>
    <x v="1"/>
    <n v="1"/>
    <s v="Slow"/>
    <s v="Same Day"/>
    <x v="5"/>
    <s v="Wednesday"/>
    <n v="4"/>
  </r>
  <r>
    <x v="60"/>
    <d v="2024-01-02T00:00:00"/>
    <x v="3"/>
    <x v="0"/>
    <n v="142"/>
    <n v="16"/>
    <n v="3.2"/>
    <x v="1"/>
    <x v="0"/>
    <x v="0"/>
    <x v="0"/>
    <x v="0"/>
    <x v="0"/>
    <x v="0"/>
    <x v="3"/>
    <x v="0"/>
    <n v="0"/>
    <s v="Slow"/>
    <s v="1 Day"/>
    <x v="8"/>
    <s v="Tuesday"/>
    <n v="4"/>
  </r>
  <r>
    <x v="61"/>
    <d v="2024-11-20T00:00:00"/>
    <x v="4"/>
    <x v="2"/>
    <n v="229"/>
    <n v="66"/>
    <n v="1.9"/>
    <x v="0"/>
    <x v="2"/>
    <x v="0"/>
    <x v="2"/>
    <x v="2"/>
    <x v="1"/>
    <x v="1"/>
    <x v="1"/>
    <x v="0"/>
    <n v="1"/>
    <s v="Slow"/>
    <s v="3 Days"/>
    <x v="6"/>
    <s v="Wednesday"/>
    <n v="1"/>
  </r>
  <r>
    <x v="62"/>
    <d v="2024-03-16T00:00:00"/>
    <x v="1"/>
    <x v="0"/>
    <n v="170"/>
    <n v="28"/>
    <n v="5.6"/>
    <x v="0"/>
    <x v="2"/>
    <x v="0"/>
    <x v="0"/>
    <x v="0"/>
    <x v="0"/>
    <x v="0"/>
    <x v="0"/>
    <x v="0"/>
    <n v="1"/>
    <s v="Slow"/>
    <s v="2 Days"/>
    <x v="2"/>
    <s v="Saturday"/>
    <n v="4"/>
  </r>
  <r>
    <x v="63"/>
    <d v="2024-09-01T00:00:00"/>
    <x v="1"/>
    <x v="2"/>
    <n v="43"/>
    <n v="4"/>
    <n v="4.0999999999999996"/>
    <x v="0"/>
    <x v="0"/>
    <x v="0"/>
    <x v="2"/>
    <x v="2"/>
    <x v="0"/>
    <x v="1"/>
    <x v="3"/>
    <x v="0"/>
    <n v="1"/>
    <s v="Acceptable"/>
    <s v="Same Day"/>
    <x v="5"/>
    <s v="Sunday"/>
    <n v="1"/>
  </r>
  <r>
    <x v="64"/>
    <d v="2024-08-19T00:00:00"/>
    <x v="2"/>
    <x v="2"/>
    <n v="49"/>
    <n v="19"/>
    <n v="0.8"/>
    <x v="0"/>
    <x v="0"/>
    <x v="0"/>
    <x v="2"/>
    <x v="2"/>
    <x v="1"/>
    <x v="1"/>
    <x v="1"/>
    <x v="0"/>
    <n v="1"/>
    <s v="Acceptable"/>
    <s v="1 Day"/>
    <x v="0"/>
    <s v="Monday"/>
    <n v="1"/>
  </r>
  <r>
    <x v="65"/>
    <d v="2024-03-26T00:00:00"/>
    <x v="0"/>
    <x v="2"/>
    <n v="44"/>
    <n v="6"/>
    <n v="5.2"/>
    <x v="1"/>
    <x v="2"/>
    <x v="1"/>
    <x v="2"/>
    <x v="2"/>
    <x v="0"/>
    <x v="1"/>
    <x v="0"/>
    <x v="1"/>
    <n v="0"/>
    <s v="Acceptable"/>
    <s v="Same Day"/>
    <x v="2"/>
    <s v="Tuesday"/>
    <n v="1"/>
  </r>
  <r>
    <x v="66"/>
    <d v="2024-03-17T00:00:00"/>
    <x v="1"/>
    <x v="3"/>
    <n v="59"/>
    <n v="64"/>
    <n v="5.4"/>
    <x v="1"/>
    <x v="2"/>
    <x v="0"/>
    <x v="3"/>
    <x v="3"/>
    <x v="1"/>
    <x v="0"/>
    <x v="0"/>
    <x v="0"/>
    <n v="0"/>
    <s v="Acceptable"/>
    <s v="3 Days"/>
    <x v="2"/>
    <s v="Sunday"/>
    <n v="2"/>
  </r>
  <r>
    <x v="67"/>
    <d v="2024-09-27T00:00:00"/>
    <x v="3"/>
    <x v="3"/>
    <n v="38"/>
    <n v="8"/>
    <n v="4.8"/>
    <x v="1"/>
    <x v="1"/>
    <x v="0"/>
    <x v="3"/>
    <x v="3"/>
    <x v="0"/>
    <x v="0"/>
    <x v="3"/>
    <x v="0"/>
    <n v="0"/>
    <s v="Acceptable"/>
    <s v="Same Day"/>
    <x v="5"/>
    <s v="Friday"/>
    <n v="2"/>
  </r>
  <r>
    <x v="68"/>
    <d v="2024-03-06T00:00:00"/>
    <x v="4"/>
    <x v="2"/>
    <n v="161"/>
    <n v="11"/>
    <n v="9.1999999999999993"/>
    <x v="0"/>
    <x v="1"/>
    <x v="0"/>
    <x v="2"/>
    <x v="2"/>
    <x v="1"/>
    <x v="1"/>
    <x v="2"/>
    <x v="0"/>
    <n v="1"/>
    <s v="Slow"/>
    <s v="1 Day"/>
    <x v="2"/>
    <s v="Wednesday"/>
    <n v="1"/>
  </r>
  <r>
    <x v="69"/>
    <d v="2024-02-22T00:00:00"/>
    <x v="4"/>
    <x v="3"/>
    <n v="116"/>
    <n v="29"/>
    <n v="6.8"/>
    <x v="0"/>
    <x v="0"/>
    <x v="0"/>
    <x v="3"/>
    <x v="3"/>
    <x v="1"/>
    <x v="1"/>
    <x v="0"/>
    <x v="0"/>
    <n v="1"/>
    <s v="Acceptable"/>
    <s v="2 Days"/>
    <x v="9"/>
    <s v="Thursday"/>
    <n v="2"/>
  </r>
  <r>
    <x v="70"/>
    <d v="2024-11-18T00:00:00"/>
    <x v="0"/>
    <x v="2"/>
    <n v="114"/>
    <n v="40"/>
    <n v="2.2000000000000002"/>
    <x v="0"/>
    <x v="2"/>
    <x v="0"/>
    <x v="2"/>
    <x v="2"/>
    <x v="1"/>
    <x v="1"/>
    <x v="3"/>
    <x v="0"/>
    <n v="1"/>
    <s v="Acceptable"/>
    <s v="2 Days"/>
    <x v="6"/>
    <s v="Monday"/>
    <n v="1"/>
  </r>
  <r>
    <x v="71"/>
    <d v="2024-04-21T00:00:00"/>
    <x v="3"/>
    <x v="1"/>
    <n v="179"/>
    <n v="31"/>
    <n v="7.3"/>
    <x v="1"/>
    <x v="2"/>
    <x v="1"/>
    <x v="1"/>
    <x v="1"/>
    <x v="0"/>
    <x v="1"/>
    <x v="0"/>
    <x v="1"/>
    <n v="0"/>
    <s v="Slow"/>
    <s v="2 Days"/>
    <x v="3"/>
    <s v="Sunday"/>
    <n v="3"/>
  </r>
  <r>
    <x v="72"/>
    <d v="2024-02-04T00:00:00"/>
    <x v="3"/>
    <x v="2"/>
    <n v="180"/>
    <n v="50"/>
    <n v="8"/>
    <x v="0"/>
    <x v="2"/>
    <x v="0"/>
    <x v="2"/>
    <x v="2"/>
    <x v="1"/>
    <x v="1"/>
    <x v="0"/>
    <x v="0"/>
    <n v="1"/>
    <s v="Slow"/>
    <s v="3 Days"/>
    <x v="9"/>
    <s v="Sunday"/>
    <n v="1"/>
  </r>
  <r>
    <x v="73"/>
    <d v="2024-08-21T00:00:00"/>
    <x v="4"/>
    <x v="1"/>
    <n v="223"/>
    <n v="69"/>
    <n v="1.7"/>
    <x v="1"/>
    <x v="1"/>
    <x v="0"/>
    <x v="1"/>
    <x v="1"/>
    <x v="1"/>
    <x v="1"/>
    <x v="1"/>
    <x v="0"/>
    <n v="0"/>
    <s v="Slow"/>
    <s v="3 Days"/>
    <x v="0"/>
    <s v="Wednesday"/>
    <n v="3"/>
  </r>
  <r>
    <x v="74"/>
    <d v="2024-07-15T00:00:00"/>
    <x v="2"/>
    <x v="0"/>
    <n v="121"/>
    <n v="23"/>
    <n v="6.8"/>
    <x v="1"/>
    <x v="1"/>
    <x v="1"/>
    <x v="0"/>
    <x v="0"/>
    <x v="0"/>
    <x v="0"/>
    <x v="0"/>
    <x v="1"/>
    <n v="0"/>
    <s v="Slow"/>
    <s v="1 Day"/>
    <x v="10"/>
    <s v="Monday"/>
    <n v="4"/>
  </r>
  <r>
    <x v="75"/>
    <d v="2024-08-01T00:00:00"/>
    <x v="1"/>
    <x v="3"/>
    <n v="81"/>
    <n v="34"/>
    <n v="2"/>
    <x v="1"/>
    <x v="0"/>
    <x v="0"/>
    <x v="3"/>
    <x v="3"/>
    <x v="1"/>
    <x v="1"/>
    <x v="1"/>
    <x v="0"/>
    <n v="0"/>
    <s v="Acceptable"/>
    <s v="2 Days"/>
    <x v="0"/>
    <s v="Thursday"/>
    <n v="2"/>
  </r>
  <r>
    <x v="76"/>
    <d v="2024-07-27T00:00:00"/>
    <x v="1"/>
    <x v="0"/>
    <n v="88"/>
    <n v="38"/>
    <n v="5.3"/>
    <x v="0"/>
    <x v="0"/>
    <x v="0"/>
    <x v="0"/>
    <x v="0"/>
    <x v="0"/>
    <x v="0"/>
    <x v="0"/>
    <x v="0"/>
    <n v="1"/>
    <s v="Acceptable"/>
    <s v="2 Days"/>
    <x v="10"/>
    <s v="Saturday"/>
    <n v="4"/>
  </r>
  <r>
    <x v="77"/>
    <d v="2024-08-07T00:00:00"/>
    <x v="4"/>
    <x v="1"/>
    <n v="228"/>
    <n v="15"/>
    <n v="9"/>
    <x v="1"/>
    <x v="1"/>
    <x v="1"/>
    <x v="1"/>
    <x v="1"/>
    <x v="0"/>
    <x v="1"/>
    <x v="2"/>
    <x v="1"/>
    <n v="0"/>
    <s v="Slow"/>
    <s v="1 Day"/>
    <x v="0"/>
    <s v="Wednesday"/>
    <n v="3"/>
  </r>
  <r>
    <x v="78"/>
    <d v="2024-01-04T00:00:00"/>
    <x v="3"/>
    <x v="2"/>
    <n v="46"/>
    <n v="10"/>
    <n v="8.3000000000000007"/>
    <x v="0"/>
    <x v="2"/>
    <x v="0"/>
    <x v="2"/>
    <x v="2"/>
    <x v="1"/>
    <x v="1"/>
    <x v="2"/>
    <x v="0"/>
    <n v="1"/>
    <s v="Acceptable"/>
    <s v="1 Day"/>
    <x v="8"/>
    <s v="Thursday"/>
    <n v="1"/>
  </r>
  <r>
    <x v="79"/>
    <d v="2024-08-03T00:00:00"/>
    <x v="4"/>
    <x v="3"/>
    <n v="151"/>
    <n v="62"/>
    <n v="9"/>
    <x v="0"/>
    <x v="0"/>
    <x v="0"/>
    <x v="3"/>
    <x v="3"/>
    <x v="1"/>
    <x v="1"/>
    <x v="2"/>
    <x v="0"/>
    <n v="1"/>
    <s v="Slow"/>
    <s v="3 Days"/>
    <x v="0"/>
    <s v="Saturday"/>
    <n v="2"/>
  </r>
  <r>
    <x v="80"/>
    <d v="2024-08-15T00:00:00"/>
    <x v="0"/>
    <x v="2"/>
    <n v="213"/>
    <n v="29"/>
    <n v="4.2"/>
    <x v="0"/>
    <x v="2"/>
    <x v="0"/>
    <x v="2"/>
    <x v="2"/>
    <x v="1"/>
    <x v="1"/>
    <x v="3"/>
    <x v="0"/>
    <n v="1"/>
    <s v="Slow"/>
    <s v="2 Days"/>
    <x v="0"/>
    <s v="Thursday"/>
    <n v="1"/>
  </r>
  <r>
    <x v="81"/>
    <d v="2024-08-18T00:00:00"/>
    <x v="2"/>
    <x v="2"/>
    <n v="183"/>
    <n v="54"/>
    <n v="3.3"/>
    <x v="0"/>
    <x v="1"/>
    <x v="0"/>
    <x v="2"/>
    <x v="2"/>
    <x v="1"/>
    <x v="1"/>
    <x v="3"/>
    <x v="0"/>
    <n v="1"/>
    <s v="Slow"/>
    <s v="3 Days"/>
    <x v="0"/>
    <s v="Sunday"/>
    <n v="1"/>
  </r>
  <r>
    <x v="82"/>
    <d v="2024-11-02T00:00:00"/>
    <x v="4"/>
    <x v="2"/>
    <n v="132"/>
    <n v="60"/>
    <n v="4.3"/>
    <x v="1"/>
    <x v="2"/>
    <x v="0"/>
    <x v="2"/>
    <x v="2"/>
    <x v="1"/>
    <x v="1"/>
    <x v="3"/>
    <x v="0"/>
    <n v="0"/>
    <s v="Slow"/>
    <s v="3 Days"/>
    <x v="6"/>
    <s v="Saturday"/>
    <n v="1"/>
  </r>
  <r>
    <x v="83"/>
    <d v="2024-04-24T00:00:00"/>
    <x v="1"/>
    <x v="3"/>
    <n v="166"/>
    <n v="60"/>
    <n v="3.4"/>
    <x v="0"/>
    <x v="2"/>
    <x v="0"/>
    <x v="3"/>
    <x v="3"/>
    <x v="1"/>
    <x v="1"/>
    <x v="3"/>
    <x v="0"/>
    <n v="1"/>
    <s v="Slow"/>
    <s v="3 Days"/>
    <x v="3"/>
    <s v="Wednesday"/>
    <n v="2"/>
  </r>
  <r>
    <x v="84"/>
    <d v="2024-01-30T00:00:00"/>
    <x v="2"/>
    <x v="1"/>
    <n v="140"/>
    <n v="4"/>
    <n v="5.6"/>
    <x v="0"/>
    <x v="0"/>
    <x v="1"/>
    <x v="1"/>
    <x v="1"/>
    <x v="0"/>
    <x v="1"/>
    <x v="0"/>
    <x v="1"/>
    <n v="1"/>
    <s v="Slow"/>
    <s v="Same Day"/>
    <x v="8"/>
    <s v="Tuesday"/>
    <n v="3"/>
  </r>
  <r>
    <x v="85"/>
    <d v="2024-06-09T00:00:00"/>
    <x v="4"/>
    <x v="3"/>
    <n v="47"/>
    <n v="26"/>
    <n v="0.8"/>
    <x v="1"/>
    <x v="2"/>
    <x v="0"/>
    <x v="3"/>
    <x v="3"/>
    <x v="1"/>
    <x v="0"/>
    <x v="1"/>
    <x v="0"/>
    <n v="0"/>
    <s v="Acceptable"/>
    <s v="2 Days"/>
    <x v="4"/>
    <s v="Sunday"/>
    <n v="2"/>
  </r>
  <r>
    <x v="86"/>
    <d v="2024-08-20T00:00:00"/>
    <x v="1"/>
    <x v="1"/>
    <n v="14"/>
    <n v="3"/>
    <n v="1.8"/>
    <x v="1"/>
    <x v="1"/>
    <x v="2"/>
    <x v="1"/>
    <x v="1"/>
    <x v="0"/>
    <x v="0"/>
    <x v="1"/>
    <x v="2"/>
    <n v="0"/>
    <s v="Very Fast"/>
    <s v="Same Day"/>
    <x v="0"/>
    <s v="Tuesday"/>
    <n v="3"/>
  </r>
  <r>
    <x v="87"/>
    <d v="2024-05-10T00:00:00"/>
    <x v="4"/>
    <x v="2"/>
    <n v="166"/>
    <n v="46"/>
    <n v="3"/>
    <x v="0"/>
    <x v="1"/>
    <x v="0"/>
    <x v="2"/>
    <x v="2"/>
    <x v="1"/>
    <x v="1"/>
    <x v="3"/>
    <x v="0"/>
    <n v="1"/>
    <s v="Slow"/>
    <s v="2 Days"/>
    <x v="1"/>
    <s v="Friday"/>
    <n v="1"/>
  </r>
  <r>
    <x v="88"/>
    <d v="2024-05-31T00:00:00"/>
    <x v="1"/>
    <x v="1"/>
    <n v="34"/>
    <n v="66"/>
    <n v="7.3"/>
    <x v="1"/>
    <x v="0"/>
    <x v="1"/>
    <x v="1"/>
    <x v="1"/>
    <x v="1"/>
    <x v="0"/>
    <x v="0"/>
    <x v="1"/>
    <n v="0"/>
    <s v="Acceptable"/>
    <s v="3 Days"/>
    <x v="1"/>
    <s v="Friday"/>
    <n v="3"/>
  </r>
  <r>
    <x v="89"/>
    <d v="2024-08-07T00:00:00"/>
    <x v="4"/>
    <x v="2"/>
    <n v="204"/>
    <n v="43"/>
    <n v="6.2"/>
    <x v="1"/>
    <x v="1"/>
    <x v="0"/>
    <x v="2"/>
    <x v="2"/>
    <x v="1"/>
    <x v="1"/>
    <x v="0"/>
    <x v="0"/>
    <n v="0"/>
    <s v="Slow"/>
    <s v="2 Days"/>
    <x v="0"/>
    <s v="Wednesday"/>
    <n v="1"/>
  </r>
  <r>
    <x v="90"/>
    <d v="2024-08-29T00:00:00"/>
    <x v="1"/>
    <x v="2"/>
    <n v="175"/>
    <n v="47"/>
    <n v="5.0999999999999996"/>
    <x v="1"/>
    <x v="1"/>
    <x v="0"/>
    <x v="2"/>
    <x v="2"/>
    <x v="1"/>
    <x v="1"/>
    <x v="0"/>
    <x v="0"/>
    <n v="0"/>
    <s v="Slow"/>
    <s v="2 Days"/>
    <x v="0"/>
    <s v="Thursday"/>
    <n v="1"/>
  </r>
  <r>
    <x v="91"/>
    <d v="2024-05-27T00:00:00"/>
    <x v="2"/>
    <x v="1"/>
    <n v="153"/>
    <n v="25"/>
    <n v="5.7"/>
    <x v="1"/>
    <x v="1"/>
    <x v="1"/>
    <x v="1"/>
    <x v="1"/>
    <x v="0"/>
    <x v="1"/>
    <x v="0"/>
    <x v="1"/>
    <n v="0"/>
    <s v="Slow"/>
    <s v="2 Days"/>
    <x v="1"/>
    <s v="Monday"/>
    <n v="3"/>
  </r>
  <r>
    <x v="92"/>
    <d v="2024-03-23T00:00:00"/>
    <x v="0"/>
    <x v="2"/>
    <n v="190"/>
    <n v="6"/>
    <n v="7.7"/>
    <x v="0"/>
    <x v="0"/>
    <x v="1"/>
    <x v="2"/>
    <x v="2"/>
    <x v="0"/>
    <x v="1"/>
    <x v="0"/>
    <x v="1"/>
    <n v="1"/>
    <s v="Slow"/>
    <s v="Same Day"/>
    <x v="2"/>
    <s v="Saturday"/>
    <n v="1"/>
  </r>
  <r>
    <x v="93"/>
    <d v="2024-10-21T00:00:00"/>
    <x v="4"/>
    <x v="2"/>
    <n v="35"/>
    <n v="50"/>
    <n v="2.9"/>
    <x v="0"/>
    <x v="0"/>
    <x v="0"/>
    <x v="2"/>
    <x v="2"/>
    <x v="1"/>
    <x v="1"/>
    <x v="3"/>
    <x v="0"/>
    <n v="1"/>
    <s v="Acceptable"/>
    <s v="3 Days"/>
    <x v="7"/>
    <s v="Monday"/>
    <n v="1"/>
  </r>
  <r>
    <x v="94"/>
    <d v="2024-05-05T00:00:00"/>
    <x v="2"/>
    <x v="0"/>
    <n v="145"/>
    <n v="33"/>
    <n v="5.0999999999999996"/>
    <x v="0"/>
    <x v="1"/>
    <x v="0"/>
    <x v="0"/>
    <x v="0"/>
    <x v="0"/>
    <x v="0"/>
    <x v="0"/>
    <x v="0"/>
    <n v="1"/>
    <s v="Slow"/>
    <s v="2 Days"/>
    <x v="1"/>
    <s v="Sunday"/>
    <n v="4"/>
  </r>
  <r>
    <x v="95"/>
    <d v="2024-12-24T00:00:00"/>
    <x v="2"/>
    <x v="2"/>
    <n v="108"/>
    <n v="72"/>
    <n v="2.2999999999999998"/>
    <x v="1"/>
    <x v="0"/>
    <x v="0"/>
    <x v="2"/>
    <x v="2"/>
    <x v="1"/>
    <x v="1"/>
    <x v="3"/>
    <x v="0"/>
    <n v="0"/>
    <s v="Acceptable"/>
    <s v="3 Days"/>
    <x v="11"/>
    <s v="Tuesday"/>
    <n v="1"/>
  </r>
  <r>
    <x v="96"/>
    <d v="2024-09-03T00:00:00"/>
    <x v="2"/>
    <x v="2"/>
    <n v="53"/>
    <n v="30"/>
    <n v="7.4"/>
    <x v="1"/>
    <x v="1"/>
    <x v="0"/>
    <x v="2"/>
    <x v="2"/>
    <x v="1"/>
    <x v="1"/>
    <x v="0"/>
    <x v="0"/>
    <n v="0"/>
    <s v="Acceptable"/>
    <s v="2 Days"/>
    <x v="5"/>
    <s v="Tuesday"/>
    <n v="1"/>
  </r>
  <r>
    <x v="97"/>
    <d v="2024-04-06T00:00:00"/>
    <x v="4"/>
    <x v="0"/>
    <n v="191"/>
    <n v="67"/>
    <n v="7.2"/>
    <x v="0"/>
    <x v="2"/>
    <x v="0"/>
    <x v="0"/>
    <x v="0"/>
    <x v="0"/>
    <x v="0"/>
    <x v="0"/>
    <x v="0"/>
    <n v="1"/>
    <s v="Slow"/>
    <s v="3 Days"/>
    <x v="3"/>
    <s v="Saturday"/>
    <n v="4"/>
  </r>
  <r>
    <x v="98"/>
    <d v="2024-12-19T00:00:00"/>
    <x v="3"/>
    <x v="2"/>
    <n v="168"/>
    <n v="70"/>
    <n v="0.5"/>
    <x v="0"/>
    <x v="0"/>
    <x v="0"/>
    <x v="2"/>
    <x v="2"/>
    <x v="1"/>
    <x v="1"/>
    <x v="1"/>
    <x v="0"/>
    <n v="1"/>
    <s v="Slow"/>
    <s v="3 Days"/>
    <x v="11"/>
    <s v="Thursday"/>
    <n v="1"/>
  </r>
  <r>
    <x v="99"/>
    <d v="2024-08-28T00:00:00"/>
    <x v="2"/>
    <x v="3"/>
    <n v="225"/>
    <n v="63"/>
    <n v="8.9"/>
    <x v="0"/>
    <x v="0"/>
    <x v="0"/>
    <x v="3"/>
    <x v="3"/>
    <x v="1"/>
    <x v="1"/>
    <x v="2"/>
    <x v="0"/>
    <n v="1"/>
    <s v="Slow"/>
    <s v="3 Days"/>
    <x v="0"/>
    <s v="Wednesday"/>
    <n v="2"/>
  </r>
  <r>
    <x v="100"/>
    <d v="2024-05-06T00:00:00"/>
    <x v="4"/>
    <x v="2"/>
    <n v="123"/>
    <n v="66"/>
    <n v="1.5"/>
    <x v="0"/>
    <x v="1"/>
    <x v="0"/>
    <x v="2"/>
    <x v="2"/>
    <x v="1"/>
    <x v="1"/>
    <x v="1"/>
    <x v="0"/>
    <n v="1"/>
    <s v="Slow"/>
    <s v="3 Days"/>
    <x v="1"/>
    <s v="Monday"/>
    <n v="1"/>
  </r>
  <r>
    <x v="101"/>
    <d v="2024-05-26T00:00:00"/>
    <x v="3"/>
    <x v="0"/>
    <n v="74"/>
    <n v="32"/>
    <n v="3.1"/>
    <x v="1"/>
    <x v="0"/>
    <x v="0"/>
    <x v="0"/>
    <x v="0"/>
    <x v="0"/>
    <x v="0"/>
    <x v="3"/>
    <x v="0"/>
    <n v="0"/>
    <s v="Acceptable"/>
    <s v="2 Days"/>
    <x v="1"/>
    <s v="Sunday"/>
    <n v="4"/>
  </r>
  <r>
    <x v="102"/>
    <d v="2024-08-18T00:00:00"/>
    <x v="4"/>
    <x v="1"/>
    <n v="94"/>
    <n v="17"/>
    <n v="7.2"/>
    <x v="0"/>
    <x v="0"/>
    <x v="0"/>
    <x v="1"/>
    <x v="1"/>
    <x v="0"/>
    <x v="0"/>
    <x v="0"/>
    <x v="0"/>
    <n v="1"/>
    <s v="Acceptable"/>
    <s v="1 Day"/>
    <x v="0"/>
    <s v="Sunday"/>
    <n v="3"/>
  </r>
  <r>
    <x v="103"/>
    <d v="2024-08-24T00:00:00"/>
    <x v="4"/>
    <x v="0"/>
    <n v="46"/>
    <n v="18"/>
    <n v="4.4000000000000004"/>
    <x v="1"/>
    <x v="1"/>
    <x v="0"/>
    <x v="0"/>
    <x v="0"/>
    <x v="0"/>
    <x v="0"/>
    <x v="3"/>
    <x v="0"/>
    <n v="0"/>
    <s v="Acceptable"/>
    <s v="1 Day"/>
    <x v="0"/>
    <s v="Saturday"/>
    <n v="4"/>
  </r>
  <r>
    <x v="104"/>
    <d v="2024-08-14T00:00:00"/>
    <x v="3"/>
    <x v="0"/>
    <n v="92"/>
    <n v="35"/>
    <n v="7.8"/>
    <x v="0"/>
    <x v="1"/>
    <x v="0"/>
    <x v="0"/>
    <x v="0"/>
    <x v="0"/>
    <x v="0"/>
    <x v="0"/>
    <x v="0"/>
    <n v="1"/>
    <s v="Acceptable"/>
    <s v="2 Days"/>
    <x v="0"/>
    <s v="Wednesday"/>
    <n v="4"/>
  </r>
  <r>
    <x v="105"/>
    <d v="2024-10-08T00:00:00"/>
    <x v="3"/>
    <x v="0"/>
    <n v="13"/>
    <n v="57"/>
    <n v="8.9"/>
    <x v="1"/>
    <x v="0"/>
    <x v="2"/>
    <x v="0"/>
    <x v="0"/>
    <x v="0"/>
    <x v="0"/>
    <x v="2"/>
    <x v="2"/>
    <n v="0"/>
    <s v="Very Fast"/>
    <s v="3 Days"/>
    <x v="7"/>
    <s v="Tuesday"/>
    <n v="4"/>
  </r>
  <r>
    <x v="106"/>
    <d v="2024-07-01T00:00:00"/>
    <x v="4"/>
    <x v="3"/>
    <n v="79"/>
    <n v="18"/>
    <n v="4.9000000000000004"/>
    <x v="1"/>
    <x v="0"/>
    <x v="0"/>
    <x v="3"/>
    <x v="3"/>
    <x v="0"/>
    <x v="1"/>
    <x v="3"/>
    <x v="0"/>
    <n v="0"/>
    <s v="Acceptable"/>
    <s v="1 Day"/>
    <x v="10"/>
    <s v="Monday"/>
    <n v="2"/>
  </r>
  <r>
    <x v="107"/>
    <d v="2024-05-09T00:00:00"/>
    <x v="0"/>
    <x v="3"/>
    <n v="172"/>
    <n v="45"/>
    <n v="7.2"/>
    <x v="0"/>
    <x v="0"/>
    <x v="0"/>
    <x v="3"/>
    <x v="3"/>
    <x v="1"/>
    <x v="1"/>
    <x v="0"/>
    <x v="0"/>
    <n v="1"/>
    <s v="Slow"/>
    <s v="2 Days"/>
    <x v="1"/>
    <s v="Thursday"/>
    <n v="2"/>
  </r>
  <r>
    <x v="108"/>
    <d v="2024-03-17T00:00:00"/>
    <x v="3"/>
    <x v="2"/>
    <n v="114"/>
    <n v="52"/>
    <n v="2.1"/>
    <x v="0"/>
    <x v="2"/>
    <x v="0"/>
    <x v="2"/>
    <x v="2"/>
    <x v="1"/>
    <x v="1"/>
    <x v="3"/>
    <x v="0"/>
    <n v="1"/>
    <s v="Acceptable"/>
    <s v="3 Days"/>
    <x v="2"/>
    <s v="Sunday"/>
    <n v="1"/>
  </r>
  <r>
    <x v="109"/>
    <d v="2024-08-08T00:00:00"/>
    <x v="1"/>
    <x v="1"/>
    <n v="221"/>
    <n v="1"/>
    <n v="4.7"/>
    <x v="1"/>
    <x v="1"/>
    <x v="1"/>
    <x v="1"/>
    <x v="1"/>
    <x v="0"/>
    <x v="1"/>
    <x v="3"/>
    <x v="1"/>
    <n v="0"/>
    <s v="Slow"/>
    <s v="Same Day"/>
    <x v="0"/>
    <s v="Thursday"/>
    <n v="3"/>
  </r>
  <r>
    <x v="110"/>
    <d v="2024-01-26T00:00:00"/>
    <x v="4"/>
    <x v="3"/>
    <n v="235"/>
    <n v="25"/>
    <n v="7"/>
    <x v="0"/>
    <x v="2"/>
    <x v="0"/>
    <x v="3"/>
    <x v="3"/>
    <x v="1"/>
    <x v="1"/>
    <x v="0"/>
    <x v="0"/>
    <n v="1"/>
    <s v="Slow"/>
    <s v="2 Days"/>
    <x v="8"/>
    <s v="Friday"/>
    <n v="2"/>
  </r>
  <r>
    <x v="111"/>
    <d v="2024-01-31T00:00:00"/>
    <x v="3"/>
    <x v="1"/>
    <n v="149"/>
    <n v="69"/>
    <n v="9.4"/>
    <x v="0"/>
    <x v="0"/>
    <x v="0"/>
    <x v="1"/>
    <x v="1"/>
    <x v="1"/>
    <x v="1"/>
    <x v="2"/>
    <x v="0"/>
    <n v="1"/>
    <s v="Slow"/>
    <s v="3 Days"/>
    <x v="8"/>
    <s v="Wednesday"/>
    <n v="3"/>
  </r>
  <r>
    <x v="112"/>
    <d v="2024-05-11T00:00:00"/>
    <x v="4"/>
    <x v="3"/>
    <n v="240"/>
    <n v="60"/>
    <n v="7.7"/>
    <x v="1"/>
    <x v="1"/>
    <x v="0"/>
    <x v="3"/>
    <x v="3"/>
    <x v="1"/>
    <x v="1"/>
    <x v="0"/>
    <x v="0"/>
    <n v="0"/>
    <s v="Slow"/>
    <s v="3 Days"/>
    <x v="1"/>
    <s v="Saturday"/>
    <n v="2"/>
  </r>
  <r>
    <x v="113"/>
    <d v="2024-08-14T00:00:00"/>
    <x v="3"/>
    <x v="3"/>
    <n v="221"/>
    <n v="9"/>
    <n v="6.6"/>
    <x v="0"/>
    <x v="2"/>
    <x v="0"/>
    <x v="3"/>
    <x v="3"/>
    <x v="0"/>
    <x v="1"/>
    <x v="0"/>
    <x v="0"/>
    <n v="1"/>
    <s v="Slow"/>
    <s v="1 Day"/>
    <x v="0"/>
    <s v="Wednesday"/>
    <n v="2"/>
  </r>
  <r>
    <x v="114"/>
    <d v="2024-01-26T00:00:00"/>
    <x v="3"/>
    <x v="1"/>
    <n v="151"/>
    <n v="35"/>
    <n v="5.8"/>
    <x v="1"/>
    <x v="0"/>
    <x v="1"/>
    <x v="1"/>
    <x v="1"/>
    <x v="0"/>
    <x v="1"/>
    <x v="0"/>
    <x v="1"/>
    <n v="0"/>
    <s v="Slow"/>
    <s v="2 Days"/>
    <x v="8"/>
    <s v="Friday"/>
    <n v="3"/>
  </r>
  <r>
    <x v="115"/>
    <d v="2024-09-08T00:00:00"/>
    <x v="1"/>
    <x v="3"/>
    <n v="124"/>
    <n v="8"/>
    <n v="4.0999999999999996"/>
    <x v="1"/>
    <x v="2"/>
    <x v="0"/>
    <x v="3"/>
    <x v="3"/>
    <x v="0"/>
    <x v="1"/>
    <x v="3"/>
    <x v="0"/>
    <n v="0"/>
    <s v="Slow"/>
    <s v="Same Day"/>
    <x v="5"/>
    <s v="Sunday"/>
    <n v="2"/>
  </r>
  <r>
    <x v="116"/>
    <d v="2024-04-03T00:00:00"/>
    <x v="2"/>
    <x v="2"/>
    <n v="5"/>
    <n v="48"/>
    <n v="2.9"/>
    <x v="1"/>
    <x v="0"/>
    <x v="1"/>
    <x v="2"/>
    <x v="2"/>
    <x v="1"/>
    <x v="0"/>
    <x v="3"/>
    <x v="1"/>
    <n v="0"/>
    <s v="Very Fast"/>
    <s v="2 Days"/>
    <x v="3"/>
    <s v="Wednesday"/>
    <n v="1"/>
  </r>
  <r>
    <x v="117"/>
    <d v="2024-02-16T00:00:00"/>
    <x v="4"/>
    <x v="2"/>
    <n v="87"/>
    <n v="36"/>
    <n v="1.5"/>
    <x v="0"/>
    <x v="0"/>
    <x v="0"/>
    <x v="2"/>
    <x v="2"/>
    <x v="1"/>
    <x v="1"/>
    <x v="1"/>
    <x v="0"/>
    <n v="1"/>
    <s v="Acceptable"/>
    <s v="2 Days"/>
    <x v="9"/>
    <s v="Friday"/>
    <n v="1"/>
  </r>
  <r>
    <x v="118"/>
    <d v="2024-01-03T00:00:00"/>
    <x v="3"/>
    <x v="2"/>
    <n v="65"/>
    <n v="23"/>
    <n v="5.7"/>
    <x v="0"/>
    <x v="2"/>
    <x v="0"/>
    <x v="2"/>
    <x v="2"/>
    <x v="1"/>
    <x v="1"/>
    <x v="0"/>
    <x v="0"/>
    <n v="1"/>
    <s v="Acceptable"/>
    <s v="1 Day"/>
    <x v="8"/>
    <s v="Wednesday"/>
    <n v="1"/>
  </r>
  <r>
    <x v="119"/>
    <d v="2024-10-30T00:00:00"/>
    <x v="4"/>
    <x v="3"/>
    <n v="168"/>
    <n v="21"/>
    <n v="3.8"/>
    <x v="0"/>
    <x v="1"/>
    <x v="0"/>
    <x v="3"/>
    <x v="3"/>
    <x v="0"/>
    <x v="1"/>
    <x v="3"/>
    <x v="0"/>
    <n v="1"/>
    <s v="Slow"/>
    <s v="1 Day"/>
    <x v="7"/>
    <s v="Wednesday"/>
    <n v="2"/>
  </r>
  <r>
    <x v="120"/>
    <d v="2024-08-17T00:00:00"/>
    <x v="4"/>
    <x v="3"/>
    <n v="7"/>
    <n v="44"/>
    <n v="9.1"/>
    <x v="0"/>
    <x v="2"/>
    <x v="1"/>
    <x v="3"/>
    <x v="3"/>
    <x v="1"/>
    <x v="0"/>
    <x v="2"/>
    <x v="1"/>
    <n v="1"/>
    <s v="Very Fast"/>
    <s v="2 Days"/>
    <x v="0"/>
    <s v="Saturday"/>
    <n v="2"/>
  </r>
  <r>
    <x v="121"/>
    <d v="2024-09-17T00:00:00"/>
    <x v="2"/>
    <x v="2"/>
    <n v="150"/>
    <n v="18"/>
    <n v="0.7"/>
    <x v="1"/>
    <x v="2"/>
    <x v="0"/>
    <x v="2"/>
    <x v="2"/>
    <x v="1"/>
    <x v="1"/>
    <x v="1"/>
    <x v="0"/>
    <n v="0"/>
    <s v="Slow"/>
    <s v="1 Day"/>
    <x v="5"/>
    <s v="Tuesday"/>
    <n v="1"/>
  </r>
  <r>
    <x v="122"/>
    <d v="2024-10-22T00:00:00"/>
    <x v="1"/>
    <x v="0"/>
    <n v="43"/>
    <n v="64"/>
    <n v="6.4"/>
    <x v="1"/>
    <x v="1"/>
    <x v="1"/>
    <x v="0"/>
    <x v="0"/>
    <x v="0"/>
    <x v="0"/>
    <x v="0"/>
    <x v="1"/>
    <n v="0"/>
    <s v="Acceptable"/>
    <s v="3 Days"/>
    <x v="7"/>
    <s v="Tuesday"/>
    <n v="4"/>
  </r>
  <r>
    <x v="123"/>
    <d v="2024-09-02T00:00:00"/>
    <x v="0"/>
    <x v="2"/>
    <n v="47"/>
    <n v="19"/>
    <n v="4.0999999999999996"/>
    <x v="0"/>
    <x v="0"/>
    <x v="0"/>
    <x v="2"/>
    <x v="2"/>
    <x v="1"/>
    <x v="1"/>
    <x v="3"/>
    <x v="0"/>
    <n v="1"/>
    <s v="Acceptable"/>
    <s v="1 Day"/>
    <x v="5"/>
    <s v="Monday"/>
    <n v="1"/>
  </r>
  <r>
    <x v="124"/>
    <d v="2024-07-26T00:00:00"/>
    <x v="2"/>
    <x v="0"/>
    <n v="12"/>
    <n v="22"/>
    <n v="9.6999999999999993"/>
    <x v="1"/>
    <x v="2"/>
    <x v="2"/>
    <x v="0"/>
    <x v="0"/>
    <x v="0"/>
    <x v="0"/>
    <x v="2"/>
    <x v="2"/>
    <n v="0"/>
    <s v="Very Fast"/>
    <s v="1 Day"/>
    <x v="10"/>
    <s v="Friday"/>
    <n v="4"/>
  </r>
  <r>
    <x v="125"/>
    <d v="2024-07-03T00:00:00"/>
    <x v="3"/>
    <x v="2"/>
    <n v="102"/>
    <n v="31"/>
    <n v="3.7"/>
    <x v="0"/>
    <x v="2"/>
    <x v="0"/>
    <x v="2"/>
    <x v="2"/>
    <x v="1"/>
    <x v="1"/>
    <x v="3"/>
    <x v="0"/>
    <n v="1"/>
    <s v="Acceptable"/>
    <s v="2 Days"/>
    <x v="10"/>
    <s v="Wednesday"/>
    <n v="1"/>
  </r>
  <r>
    <x v="126"/>
    <d v="2024-03-08T00:00:00"/>
    <x v="2"/>
    <x v="0"/>
    <n v="227"/>
    <n v="2"/>
    <n v="8.1"/>
    <x v="0"/>
    <x v="0"/>
    <x v="1"/>
    <x v="0"/>
    <x v="0"/>
    <x v="0"/>
    <x v="0"/>
    <x v="2"/>
    <x v="1"/>
    <n v="1"/>
    <s v="Slow"/>
    <s v="Same Day"/>
    <x v="2"/>
    <s v="Friday"/>
    <n v="4"/>
  </r>
  <r>
    <x v="127"/>
    <d v="2024-08-19T00:00:00"/>
    <x v="1"/>
    <x v="1"/>
    <n v="195"/>
    <n v="10"/>
    <n v="5.0999999999999996"/>
    <x v="0"/>
    <x v="2"/>
    <x v="0"/>
    <x v="1"/>
    <x v="1"/>
    <x v="0"/>
    <x v="1"/>
    <x v="0"/>
    <x v="0"/>
    <n v="1"/>
    <s v="Slow"/>
    <s v="1 Day"/>
    <x v="0"/>
    <s v="Monday"/>
    <n v="3"/>
  </r>
  <r>
    <x v="128"/>
    <d v="2024-12-20T00:00:00"/>
    <x v="1"/>
    <x v="0"/>
    <n v="165"/>
    <n v="28"/>
    <n v="2.2000000000000002"/>
    <x v="0"/>
    <x v="1"/>
    <x v="0"/>
    <x v="0"/>
    <x v="0"/>
    <x v="0"/>
    <x v="0"/>
    <x v="3"/>
    <x v="0"/>
    <n v="1"/>
    <s v="Slow"/>
    <s v="2 Days"/>
    <x v="11"/>
    <s v="Friday"/>
    <n v="4"/>
  </r>
  <r>
    <x v="129"/>
    <d v="2024-07-15T00:00:00"/>
    <x v="4"/>
    <x v="3"/>
    <n v="44"/>
    <n v="67"/>
    <n v="8"/>
    <x v="1"/>
    <x v="1"/>
    <x v="0"/>
    <x v="3"/>
    <x v="3"/>
    <x v="1"/>
    <x v="0"/>
    <x v="0"/>
    <x v="0"/>
    <n v="0"/>
    <s v="Acceptable"/>
    <s v="3 Days"/>
    <x v="10"/>
    <s v="Monday"/>
    <n v="2"/>
  </r>
  <r>
    <x v="130"/>
    <d v="2024-09-10T00:00:00"/>
    <x v="0"/>
    <x v="2"/>
    <n v="24"/>
    <n v="39"/>
    <n v="6.8"/>
    <x v="0"/>
    <x v="0"/>
    <x v="1"/>
    <x v="2"/>
    <x v="2"/>
    <x v="1"/>
    <x v="0"/>
    <x v="0"/>
    <x v="1"/>
    <n v="1"/>
    <s v="Very Fast"/>
    <s v="2 Days"/>
    <x v="5"/>
    <s v="Tuesday"/>
    <n v="1"/>
  </r>
  <r>
    <x v="131"/>
    <d v="2024-02-10T00:00:00"/>
    <x v="1"/>
    <x v="0"/>
    <n v="127"/>
    <n v="38"/>
    <n v="0.9"/>
    <x v="0"/>
    <x v="2"/>
    <x v="0"/>
    <x v="0"/>
    <x v="0"/>
    <x v="0"/>
    <x v="0"/>
    <x v="1"/>
    <x v="0"/>
    <n v="1"/>
    <s v="Slow"/>
    <s v="2 Days"/>
    <x v="9"/>
    <s v="Saturday"/>
    <n v="4"/>
  </r>
  <r>
    <x v="132"/>
    <d v="2024-03-06T00:00:00"/>
    <x v="4"/>
    <x v="2"/>
    <n v="14"/>
    <n v="15"/>
    <n v="9.5"/>
    <x v="0"/>
    <x v="1"/>
    <x v="1"/>
    <x v="2"/>
    <x v="2"/>
    <x v="1"/>
    <x v="0"/>
    <x v="2"/>
    <x v="1"/>
    <n v="1"/>
    <s v="Very Fast"/>
    <s v="1 Day"/>
    <x v="2"/>
    <s v="Wednesday"/>
    <n v="1"/>
  </r>
  <r>
    <x v="133"/>
    <d v="2024-01-24T00:00:00"/>
    <x v="0"/>
    <x v="2"/>
    <n v="231"/>
    <n v="7"/>
    <n v="1.2"/>
    <x v="1"/>
    <x v="0"/>
    <x v="0"/>
    <x v="2"/>
    <x v="2"/>
    <x v="0"/>
    <x v="1"/>
    <x v="1"/>
    <x v="0"/>
    <n v="0"/>
    <s v="Slow"/>
    <s v="Same Day"/>
    <x v="8"/>
    <s v="Wednesday"/>
    <n v="1"/>
  </r>
  <r>
    <x v="134"/>
    <d v="2024-01-08T00:00:00"/>
    <x v="3"/>
    <x v="3"/>
    <n v="136"/>
    <n v="38"/>
    <n v="4.2"/>
    <x v="1"/>
    <x v="2"/>
    <x v="0"/>
    <x v="3"/>
    <x v="3"/>
    <x v="1"/>
    <x v="1"/>
    <x v="3"/>
    <x v="0"/>
    <n v="0"/>
    <s v="Slow"/>
    <s v="2 Days"/>
    <x v="8"/>
    <s v="Monday"/>
    <n v="2"/>
  </r>
  <r>
    <x v="135"/>
    <d v="2024-10-03T00:00:00"/>
    <x v="1"/>
    <x v="0"/>
    <n v="124"/>
    <n v="30"/>
    <n v="5.8"/>
    <x v="1"/>
    <x v="0"/>
    <x v="1"/>
    <x v="0"/>
    <x v="0"/>
    <x v="0"/>
    <x v="0"/>
    <x v="0"/>
    <x v="1"/>
    <n v="0"/>
    <s v="Slow"/>
    <s v="2 Days"/>
    <x v="7"/>
    <s v="Thursday"/>
    <n v="4"/>
  </r>
  <r>
    <x v="136"/>
    <d v="2024-06-08T00:00:00"/>
    <x v="1"/>
    <x v="0"/>
    <n v="17"/>
    <n v="42"/>
    <n v="6"/>
    <x v="1"/>
    <x v="1"/>
    <x v="2"/>
    <x v="0"/>
    <x v="0"/>
    <x v="0"/>
    <x v="0"/>
    <x v="0"/>
    <x v="2"/>
    <n v="0"/>
    <s v="Very Fast"/>
    <s v="2 Days"/>
    <x v="4"/>
    <s v="Saturday"/>
    <n v="4"/>
  </r>
  <r>
    <x v="137"/>
    <d v="2024-04-23T00:00:00"/>
    <x v="1"/>
    <x v="1"/>
    <n v="93"/>
    <n v="64"/>
    <n v="1.4"/>
    <x v="1"/>
    <x v="1"/>
    <x v="0"/>
    <x v="1"/>
    <x v="1"/>
    <x v="1"/>
    <x v="0"/>
    <x v="1"/>
    <x v="0"/>
    <n v="0"/>
    <s v="Acceptable"/>
    <s v="3 Days"/>
    <x v="3"/>
    <s v="Tuesday"/>
    <n v="3"/>
  </r>
  <r>
    <x v="138"/>
    <d v="2024-02-27T00:00:00"/>
    <x v="1"/>
    <x v="3"/>
    <n v="238"/>
    <n v="1"/>
    <n v="9.6999999999999993"/>
    <x v="1"/>
    <x v="1"/>
    <x v="1"/>
    <x v="3"/>
    <x v="3"/>
    <x v="0"/>
    <x v="1"/>
    <x v="2"/>
    <x v="1"/>
    <n v="0"/>
    <s v="Slow"/>
    <s v="Same Day"/>
    <x v="9"/>
    <s v="Tuesday"/>
    <n v="2"/>
  </r>
  <r>
    <x v="139"/>
    <d v="2024-10-01T00:00:00"/>
    <x v="4"/>
    <x v="1"/>
    <n v="151"/>
    <n v="4"/>
    <n v="3.1"/>
    <x v="1"/>
    <x v="2"/>
    <x v="1"/>
    <x v="1"/>
    <x v="1"/>
    <x v="0"/>
    <x v="1"/>
    <x v="3"/>
    <x v="1"/>
    <n v="0"/>
    <s v="Slow"/>
    <s v="Same Day"/>
    <x v="7"/>
    <s v="Tuesday"/>
    <n v="3"/>
  </r>
  <r>
    <x v="140"/>
    <d v="2024-11-15T00:00:00"/>
    <x v="0"/>
    <x v="3"/>
    <n v="144"/>
    <n v="49"/>
    <n v="9.3000000000000007"/>
    <x v="1"/>
    <x v="0"/>
    <x v="0"/>
    <x v="3"/>
    <x v="3"/>
    <x v="1"/>
    <x v="1"/>
    <x v="2"/>
    <x v="0"/>
    <n v="0"/>
    <s v="Slow"/>
    <s v="3 Days"/>
    <x v="6"/>
    <s v="Friday"/>
    <n v="2"/>
  </r>
  <r>
    <x v="141"/>
    <d v="2024-06-29T00:00:00"/>
    <x v="1"/>
    <x v="0"/>
    <n v="239"/>
    <n v="17"/>
    <n v="3.3"/>
    <x v="0"/>
    <x v="2"/>
    <x v="0"/>
    <x v="0"/>
    <x v="0"/>
    <x v="0"/>
    <x v="0"/>
    <x v="3"/>
    <x v="0"/>
    <n v="1"/>
    <s v="Slow"/>
    <s v="1 Day"/>
    <x v="4"/>
    <s v="Saturday"/>
    <n v="4"/>
  </r>
  <r>
    <x v="142"/>
    <d v="2024-07-14T00:00:00"/>
    <x v="3"/>
    <x v="3"/>
    <n v="111"/>
    <n v="13"/>
    <n v="4.8"/>
    <x v="0"/>
    <x v="0"/>
    <x v="0"/>
    <x v="3"/>
    <x v="3"/>
    <x v="0"/>
    <x v="1"/>
    <x v="3"/>
    <x v="0"/>
    <n v="1"/>
    <s v="Acceptable"/>
    <s v="1 Day"/>
    <x v="10"/>
    <s v="Sunday"/>
    <n v="2"/>
  </r>
  <r>
    <x v="143"/>
    <d v="2024-04-27T00:00:00"/>
    <x v="0"/>
    <x v="3"/>
    <n v="68"/>
    <n v="56"/>
    <n v="9.6"/>
    <x v="0"/>
    <x v="2"/>
    <x v="0"/>
    <x v="3"/>
    <x v="3"/>
    <x v="1"/>
    <x v="1"/>
    <x v="2"/>
    <x v="0"/>
    <n v="1"/>
    <s v="Acceptable"/>
    <s v="3 Days"/>
    <x v="3"/>
    <s v="Saturday"/>
    <n v="2"/>
  </r>
  <r>
    <x v="144"/>
    <d v="2024-07-09T00:00:00"/>
    <x v="4"/>
    <x v="1"/>
    <n v="45"/>
    <n v="7"/>
    <n v="9.6"/>
    <x v="1"/>
    <x v="2"/>
    <x v="1"/>
    <x v="1"/>
    <x v="1"/>
    <x v="0"/>
    <x v="0"/>
    <x v="2"/>
    <x v="1"/>
    <n v="0"/>
    <s v="Acceptable"/>
    <s v="Same Day"/>
    <x v="10"/>
    <s v="Tuesday"/>
    <n v="3"/>
  </r>
  <r>
    <x v="145"/>
    <d v="2024-01-12T00:00:00"/>
    <x v="0"/>
    <x v="1"/>
    <n v="194"/>
    <n v="8"/>
    <n v="9.6"/>
    <x v="0"/>
    <x v="1"/>
    <x v="0"/>
    <x v="1"/>
    <x v="1"/>
    <x v="0"/>
    <x v="1"/>
    <x v="2"/>
    <x v="0"/>
    <n v="1"/>
    <s v="Slow"/>
    <s v="Same Day"/>
    <x v="8"/>
    <s v="Friday"/>
    <n v="3"/>
  </r>
  <r>
    <x v="146"/>
    <d v="2024-02-27T00:00:00"/>
    <x v="4"/>
    <x v="0"/>
    <n v="147"/>
    <n v="56"/>
    <n v="8.3000000000000007"/>
    <x v="1"/>
    <x v="2"/>
    <x v="1"/>
    <x v="0"/>
    <x v="0"/>
    <x v="0"/>
    <x v="0"/>
    <x v="2"/>
    <x v="1"/>
    <n v="0"/>
    <s v="Slow"/>
    <s v="3 Days"/>
    <x v="9"/>
    <s v="Tuesday"/>
    <n v="4"/>
  </r>
  <r>
    <x v="147"/>
    <d v="2024-07-12T00:00:00"/>
    <x v="1"/>
    <x v="0"/>
    <n v="222"/>
    <n v="26"/>
    <n v="5.9"/>
    <x v="0"/>
    <x v="1"/>
    <x v="0"/>
    <x v="0"/>
    <x v="0"/>
    <x v="0"/>
    <x v="0"/>
    <x v="0"/>
    <x v="0"/>
    <n v="1"/>
    <s v="Slow"/>
    <s v="2 Days"/>
    <x v="10"/>
    <s v="Friday"/>
    <n v="4"/>
  </r>
  <r>
    <x v="148"/>
    <d v="2024-05-03T00:00:00"/>
    <x v="0"/>
    <x v="3"/>
    <n v="159"/>
    <n v="15"/>
    <n v="3.3"/>
    <x v="0"/>
    <x v="1"/>
    <x v="0"/>
    <x v="3"/>
    <x v="3"/>
    <x v="0"/>
    <x v="1"/>
    <x v="3"/>
    <x v="0"/>
    <n v="1"/>
    <s v="Slow"/>
    <s v="1 Day"/>
    <x v="1"/>
    <s v="Friday"/>
    <n v="2"/>
  </r>
  <r>
    <x v="149"/>
    <d v="2024-08-09T00:00:00"/>
    <x v="4"/>
    <x v="2"/>
    <n v="173"/>
    <n v="42"/>
    <n v="7.7"/>
    <x v="0"/>
    <x v="0"/>
    <x v="0"/>
    <x v="2"/>
    <x v="2"/>
    <x v="1"/>
    <x v="1"/>
    <x v="0"/>
    <x v="0"/>
    <n v="1"/>
    <s v="Slow"/>
    <s v="2 Days"/>
    <x v="0"/>
    <s v="Friday"/>
    <n v="1"/>
  </r>
  <r>
    <x v="150"/>
    <d v="2024-03-13T00:00:00"/>
    <x v="3"/>
    <x v="1"/>
    <n v="116"/>
    <n v="33"/>
    <n v="1.9"/>
    <x v="1"/>
    <x v="2"/>
    <x v="0"/>
    <x v="1"/>
    <x v="1"/>
    <x v="0"/>
    <x v="0"/>
    <x v="1"/>
    <x v="0"/>
    <n v="0"/>
    <s v="Acceptable"/>
    <s v="2 Days"/>
    <x v="2"/>
    <s v="Wednesday"/>
    <n v="3"/>
  </r>
  <r>
    <x v="151"/>
    <d v="2024-09-08T00:00:00"/>
    <x v="0"/>
    <x v="3"/>
    <n v="175"/>
    <n v="66"/>
    <n v="5.8"/>
    <x v="0"/>
    <x v="2"/>
    <x v="0"/>
    <x v="3"/>
    <x v="3"/>
    <x v="1"/>
    <x v="1"/>
    <x v="0"/>
    <x v="0"/>
    <n v="1"/>
    <s v="Slow"/>
    <s v="3 Days"/>
    <x v="5"/>
    <s v="Sunday"/>
    <n v="2"/>
  </r>
  <r>
    <x v="152"/>
    <d v="2024-03-14T00:00:00"/>
    <x v="3"/>
    <x v="0"/>
    <n v="71"/>
    <n v="7"/>
    <n v="2"/>
    <x v="0"/>
    <x v="2"/>
    <x v="0"/>
    <x v="0"/>
    <x v="0"/>
    <x v="0"/>
    <x v="0"/>
    <x v="1"/>
    <x v="0"/>
    <n v="1"/>
    <s v="Acceptable"/>
    <s v="Same Day"/>
    <x v="2"/>
    <s v="Thursday"/>
    <n v="4"/>
  </r>
  <r>
    <x v="153"/>
    <d v="2024-12-21T00:00:00"/>
    <x v="0"/>
    <x v="1"/>
    <n v="75"/>
    <n v="29"/>
    <n v="1.6"/>
    <x v="0"/>
    <x v="0"/>
    <x v="0"/>
    <x v="1"/>
    <x v="1"/>
    <x v="0"/>
    <x v="0"/>
    <x v="1"/>
    <x v="0"/>
    <n v="1"/>
    <s v="Acceptable"/>
    <s v="2 Days"/>
    <x v="11"/>
    <s v="Saturday"/>
    <n v="3"/>
  </r>
  <r>
    <x v="154"/>
    <d v="2024-06-05T00:00:00"/>
    <x v="4"/>
    <x v="0"/>
    <n v="201"/>
    <n v="13"/>
    <n v="9.1999999999999993"/>
    <x v="1"/>
    <x v="1"/>
    <x v="1"/>
    <x v="0"/>
    <x v="0"/>
    <x v="0"/>
    <x v="0"/>
    <x v="2"/>
    <x v="1"/>
    <n v="0"/>
    <s v="Slow"/>
    <s v="1 Day"/>
    <x v="4"/>
    <s v="Wednesday"/>
    <n v="4"/>
  </r>
  <r>
    <x v="155"/>
    <d v="2024-01-11T00:00:00"/>
    <x v="3"/>
    <x v="2"/>
    <n v="85"/>
    <n v="37"/>
    <n v="4.7"/>
    <x v="1"/>
    <x v="1"/>
    <x v="0"/>
    <x v="2"/>
    <x v="2"/>
    <x v="1"/>
    <x v="1"/>
    <x v="3"/>
    <x v="0"/>
    <n v="0"/>
    <s v="Acceptable"/>
    <s v="2 Days"/>
    <x v="8"/>
    <s v="Thursday"/>
    <n v="1"/>
  </r>
  <r>
    <x v="156"/>
    <d v="2024-11-07T00:00:00"/>
    <x v="1"/>
    <x v="1"/>
    <n v="175"/>
    <n v="27"/>
    <n v="1.2"/>
    <x v="0"/>
    <x v="0"/>
    <x v="0"/>
    <x v="1"/>
    <x v="1"/>
    <x v="0"/>
    <x v="1"/>
    <x v="1"/>
    <x v="0"/>
    <n v="1"/>
    <s v="Slow"/>
    <s v="2 Days"/>
    <x v="6"/>
    <s v="Thursday"/>
    <n v="3"/>
  </r>
  <r>
    <x v="157"/>
    <d v="2024-12-12T00:00:00"/>
    <x v="3"/>
    <x v="3"/>
    <n v="139"/>
    <n v="45"/>
    <n v="6.7"/>
    <x v="0"/>
    <x v="1"/>
    <x v="0"/>
    <x v="3"/>
    <x v="3"/>
    <x v="1"/>
    <x v="1"/>
    <x v="0"/>
    <x v="0"/>
    <n v="1"/>
    <s v="Slow"/>
    <s v="2 Days"/>
    <x v="11"/>
    <s v="Thursday"/>
    <n v="2"/>
  </r>
  <r>
    <x v="158"/>
    <d v="2024-12-11T00:00:00"/>
    <x v="0"/>
    <x v="1"/>
    <n v="106"/>
    <n v="33"/>
    <n v="5.0999999999999996"/>
    <x v="1"/>
    <x v="0"/>
    <x v="1"/>
    <x v="1"/>
    <x v="1"/>
    <x v="0"/>
    <x v="0"/>
    <x v="0"/>
    <x v="1"/>
    <n v="0"/>
    <s v="Acceptable"/>
    <s v="2 Days"/>
    <x v="11"/>
    <s v="Wednesday"/>
    <n v="3"/>
  </r>
  <r>
    <x v="159"/>
    <d v="2024-10-02T00:00:00"/>
    <x v="0"/>
    <x v="2"/>
    <n v="87"/>
    <n v="72"/>
    <n v="8.4"/>
    <x v="1"/>
    <x v="1"/>
    <x v="0"/>
    <x v="2"/>
    <x v="2"/>
    <x v="1"/>
    <x v="1"/>
    <x v="2"/>
    <x v="0"/>
    <n v="0"/>
    <s v="Acceptable"/>
    <s v="3 Days"/>
    <x v="7"/>
    <s v="Wednesday"/>
    <n v="1"/>
  </r>
  <r>
    <x v="160"/>
    <d v="2024-08-17T00:00:00"/>
    <x v="2"/>
    <x v="0"/>
    <n v="198"/>
    <n v="63"/>
    <n v="4.9000000000000004"/>
    <x v="0"/>
    <x v="1"/>
    <x v="0"/>
    <x v="0"/>
    <x v="0"/>
    <x v="0"/>
    <x v="0"/>
    <x v="3"/>
    <x v="0"/>
    <n v="1"/>
    <s v="Slow"/>
    <s v="3 Days"/>
    <x v="0"/>
    <s v="Saturday"/>
    <n v="4"/>
  </r>
  <r>
    <x v="161"/>
    <d v="2024-10-04T00:00:00"/>
    <x v="2"/>
    <x v="2"/>
    <n v="156"/>
    <n v="22"/>
    <n v="1.2"/>
    <x v="0"/>
    <x v="2"/>
    <x v="0"/>
    <x v="2"/>
    <x v="2"/>
    <x v="1"/>
    <x v="1"/>
    <x v="1"/>
    <x v="0"/>
    <n v="1"/>
    <s v="Slow"/>
    <s v="1 Day"/>
    <x v="7"/>
    <s v="Friday"/>
    <n v="1"/>
  </r>
  <r>
    <x v="162"/>
    <d v="2024-12-30T00:00:00"/>
    <x v="4"/>
    <x v="1"/>
    <n v="160"/>
    <n v="48"/>
    <n v="6.3"/>
    <x v="0"/>
    <x v="2"/>
    <x v="0"/>
    <x v="1"/>
    <x v="1"/>
    <x v="0"/>
    <x v="1"/>
    <x v="0"/>
    <x v="0"/>
    <n v="1"/>
    <s v="Slow"/>
    <s v="2 Days"/>
    <x v="11"/>
    <s v="Monday"/>
    <n v="3"/>
  </r>
  <r>
    <x v="163"/>
    <d v="2024-11-24T00:00:00"/>
    <x v="4"/>
    <x v="2"/>
    <n v="66"/>
    <n v="19"/>
    <n v="7.2"/>
    <x v="1"/>
    <x v="2"/>
    <x v="0"/>
    <x v="2"/>
    <x v="2"/>
    <x v="1"/>
    <x v="1"/>
    <x v="0"/>
    <x v="0"/>
    <n v="0"/>
    <s v="Acceptable"/>
    <s v="1 Day"/>
    <x v="6"/>
    <s v="Sunday"/>
    <n v="1"/>
  </r>
  <r>
    <x v="164"/>
    <d v="2024-03-09T00:00:00"/>
    <x v="3"/>
    <x v="1"/>
    <n v="131"/>
    <n v="13"/>
    <n v="1"/>
    <x v="0"/>
    <x v="1"/>
    <x v="0"/>
    <x v="1"/>
    <x v="1"/>
    <x v="0"/>
    <x v="1"/>
    <x v="1"/>
    <x v="0"/>
    <n v="1"/>
    <s v="Slow"/>
    <s v="1 Day"/>
    <x v="2"/>
    <s v="Saturday"/>
    <n v="3"/>
  </r>
  <r>
    <x v="165"/>
    <d v="2024-02-07T00:00:00"/>
    <x v="4"/>
    <x v="0"/>
    <n v="123"/>
    <n v="6"/>
    <n v="1.6"/>
    <x v="0"/>
    <x v="1"/>
    <x v="1"/>
    <x v="0"/>
    <x v="0"/>
    <x v="0"/>
    <x v="0"/>
    <x v="1"/>
    <x v="1"/>
    <n v="1"/>
    <s v="Slow"/>
    <s v="Same Day"/>
    <x v="9"/>
    <s v="Wednesday"/>
    <n v="4"/>
  </r>
  <r>
    <x v="166"/>
    <d v="2024-02-24T00:00:00"/>
    <x v="2"/>
    <x v="2"/>
    <n v="218"/>
    <n v="57"/>
    <n v="1.2"/>
    <x v="0"/>
    <x v="1"/>
    <x v="0"/>
    <x v="2"/>
    <x v="2"/>
    <x v="1"/>
    <x v="1"/>
    <x v="1"/>
    <x v="0"/>
    <n v="1"/>
    <s v="Slow"/>
    <s v="3 Days"/>
    <x v="9"/>
    <s v="Saturday"/>
    <n v="1"/>
  </r>
  <r>
    <x v="167"/>
    <d v="2024-09-13T00:00:00"/>
    <x v="3"/>
    <x v="3"/>
    <n v="47"/>
    <n v="68"/>
    <n v="3.1"/>
    <x v="0"/>
    <x v="1"/>
    <x v="0"/>
    <x v="3"/>
    <x v="3"/>
    <x v="1"/>
    <x v="0"/>
    <x v="3"/>
    <x v="0"/>
    <n v="1"/>
    <s v="Acceptable"/>
    <s v="3 Days"/>
    <x v="5"/>
    <s v="Friday"/>
    <n v="2"/>
  </r>
  <r>
    <x v="168"/>
    <d v="2024-10-25T00:00:00"/>
    <x v="3"/>
    <x v="2"/>
    <n v="56"/>
    <n v="69"/>
    <n v="4.7"/>
    <x v="1"/>
    <x v="2"/>
    <x v="0"/>
    <x v="2"/>
    <x v="2"/>
    <x v="1"/>
    <x v="1"/>
    <x v="3"/>
    <x v="0"/>
    <n v="0"/>
    <s v="Acceptable"/>
    <s v="3 Days"/>
    <x v="7"/>
    <s v="Friday"/>
    <n v="1"/>
  </r>
  <r>
    <x v="169"/>
    <d v="2024-01-02T00:00:00"/>
    <x v="1"/>
    <x v="3"/>
    <n v="173"/>
    <n v="58"/>
    <n v="7.8"/>
    <x v="1"/>
    <x v="2"/>
    <x v="0"/>
    <x v="3"/>
    <x v="3"/>
    <x v="1"/>
    <x v="1"/>
    <x v="0"/>
    <x v="0"/>
    <n v="0"/>
    <s v="Slow"/>
    <s v="3 Days"/>
    <x v="8"/>
    <s v="Tuesday"/>
    <n v="2"/>
  </r>
  <r>
    <x v="170"/>
    <d v="2024-02-09T00:00:00"/>
    <x v="1"/>
    <x v="3"/>
    <n v="31"/>
    <n v="53"/>
    <n v="4.4000000000000004"/>
    <x v="1"/>
    <x v="1"/>
    <x v="0"/>
    <x v="3"/>
    <x v="3"/>
    <x v="1"/>
    <x v="0"/>
    <x v="3"/>
    <x v="0"/>
    <n v="0"/>
    <s v="Acceptable"/>
    <s v="3 Days"/>
    <x v="9"/>
    <s v="Friday"/>
    <n v="2"/>
  </r>
  <r>
    <x v="171"/>
    <d v="2024-04-04T00:00:00"/>
    <x v="2"/>
    <x v="3"/>
    <n v="41"/>
    <n v="15"/>
    <n v="1.1000000000000001"/>
    <x v="1"/>
    <x v="1"/>
    <x v="0"/>
    <x v="3"/>
    <x v="3"/>
    <x v="0"/>
    <x v="0"/>
    <x v="1"/>
    <x v="0"/>
    <n v="0"/>
    <s v="Acceptable"/>
    <s v="1 Day"/>
    <x v="3"/>
    <s v="Thursday"/>
    <n v="2"/>
  </r>
  <r>
    <x v="172"/>
    <d v="2024-09-22T00:00:00"/>
    <x v="4"/>
    <x v="3"/>
    <n v="218"/>
    <n v="33"/>
    <n v="7.8"/>
    <x v="1"/>
    <x v="2"/>
    <x v="0"/>
    <x v="3"/>
    <x v="3"/>
    <x v="1"/>
    <x v="1"/>
    <x v="0"/>
    <x v="0"/>
    <n v="0"/>
    <s v="Slow"/>
    <s v="2 Days"/>
    <x v="5"/>
    <s v="Sunday"/>
    <n v="2"/>
  </r>
  <r>
    <x v="173"/>
    <d v="2024-05-07T00:00:00"/>
    <x v="4"/>
    <x v="3"/>
    <n v="190"/>
    <n v="44"/>
    <n v="8.3000000000000007"/>
    <x v="1"/>
    <x v="2"/>
    <x v="0"/>
    <x v="3"/>
    <x v="3"/>
    <x v="1"/>
    <x v="1"/>
    <x v="2"/>
    <x v="0"/>
    <n v="0"/>
    <s v="Slow"/>
    <s v="2 Days"/>
    <x v="1"/>
    <s v="Tuesday"/>
    <n v="2"/>
  </r>
  <r>
    <x v="174"/>
    <d v="2024-01-10T00:00:00"/>
    <x v="2"/>
    <x v="3"/>
    <n v="226"/>
    <n v="30"/>
    <n v="8.6"/>
    <x v="0"/>
    <x v="1"/>
    <x v="0"/>
    <x v="3"/>
    <x v="3"/>
    <x v="1"/>
    <x v="1"/>
    <x v="2"/>
    <x v="0"/>
    <n v="1"/>
    <s v="Slow"/>
    <s v="2 Days"/>
    <x v="8"/>
    <s v="Wednesday"/>
    <n v="2"/>
  </r>
  <r>
    <x v="175"/>
    <d v="2024-02-27T00:00:00"/>
    <x v="1"/>
    <x v="1"/>
    <n v="7"/>
    <n v="16"/>
    <n v="3"/>
    <x v="1"/>
    <x v="1"/>
    <x v="1"/>
    <x v="1"/>
    <x v="1"/>
    <x v="0"/>
    <x v="0"/>
    <x v="3"/>
    <x v="1"/>
    <n v="0"/>
    <s v="Very Fast"/>
    <s v="1 Day"/>
    <x v="9"/>
    <s v="Tuesday"/>
    <n v="3"/>
  </r>
  <r>
    <x v="176"/>
    <d v="2024-08-05T00:00:00"/>
    <x v="0"/>
    <x v="2"/>
    <n v="180"/>
    <n v="42"/>
    <n v="1.5"/>
    <x v="1"/>
    <x v="2"/>
    <x v="0"/>
    <x v="2"/>
    <x v="2"/>
    <x v="1"/>
    <x v="1"/>
    <x v="1"/>
    <x v="0"/>
    <n v="0"/>
    <s v="Slow"/>
    <s v="2 Days"/>
    <x v="0"/>
    <s v="Monday"/>
    <n v="1"/>
  </r>
  <r>
    <x v="177"/>
    <d v="2024-08-10T00:00:00"/>
    <x v="3"/>
    <x v="0"/>
    <n v="191"/>
    <n v="46"/>
    <n v="3.7"/>
    <x v="0"/>
    <x v="2"/>
    <x v="0"/>
    <x v="0"/>
    <x v="0"/>
    <x v="0"/>
    <x v="0"/>
    <x v="3"/>
    <x v="0"/>
    <n v="1"/>
    <s v="Slow"/>
    <s v="2 Days"/>
    <x v="0"/>
    <s v="Saturday"/>
    <n v="4"/>
  </r>
  <r>
    <x v="178"/>
    <d v="2024-07-17T00:00:00"/>
    <x v="4"/>
    <x v="0"/>
    <n v="159"/>
    <n v="56"/>
    <n v="1.6"/>
    <x v="0"/>
    <x v="0"/>
    <x v="0"/>
    <x v="0"/>
    <x v="0"/>
    <x v="0"/>
    <x v="0"/>
    <x v="1"/>
    <x v="0"/>
    <n v="1"/>
    <s v="Slow"/>
    <s v="3 Days"/>
    <x v="10"/>
    <s v="Wednesday"/>
    <n v="4"/>
  </r>
  <r>
    <x v="179"/>
    <d v="2024-11-05T00:00:00"/>
    <x v="3"/>
    <x v="0"/>
    <n v="40"/>
    <n v="35"/>
    <n v="3.8"/>
    <x v="1"/>
    <x v="1"/>
    <x v="0"/>
    <x v="0"/>
    <x v="0"/>
    <x v="0"/>
    <x v="0"/>
    <x v="3"/>
    <x v="0"/>
    <n v="0"/>
    <s v="Acceptable"/>
    <s v="2 Days"/>
    <x v="6"/>
    <s v="Tuesday"/>
    <n v="4"/>
  </r>
  <r>
    <x v="180"/>
    <d v="2024-07-13T00:00:00"/>
    <x v="4"/>
    <x v="0"/>
    <n v="115"/>
    <n v="55"/>
    <n v="8.9"/>
    <x v="0"/>
    <x v="2"/>
    <x v="0"/>
    <x v="0"/>
    <x v="0"/>
    <x v="0"/>
    <x v="0"/>
    <x v="2"/>
    <x v="0"/>
    <n v="1"/>
    <s v="Acceptable"/>
    <s v="3 Days"/>
    <x v="10"/>
    <s v="Saturday"/>
    <n v="4"/>
  </r>
  <r>
    <x v="181"/>
    <d v="2024-06-20T00:00:00"/>
    <x v="2"/>
    <x v="2"/>
    <n v="35"/>
    <n v="16"/>
    <n v="4.9000000000000004"/>
    <x v="1"/>
    <x v="2"/>
    <x v="0"/>
    <x v="2"/>
    <x v="2"/>
    <x v="1"/>
    <x v="1"/>
    <x v="3"/>
    <x v="0"/>
    <n v="0"/>
    <s v="Acceptable"/>
    <s v="1 Day"/>
    <x v="4"/>
    <s v="Thursday"/>
    <n v="1"/>
  </r>
  <r>
    <x v="182"/>
    <d v="2024-08-11T00:00:00"/>
    <x v="1"/>
    <x v="0"/>
    <n v="9"/>
    <n v="68"/>
    <n v="7.1"/>
    <x v="1"/>
    <x v="1"/>
    <x v="2"/>
    <x v="0"/>
    <x v="0"/>
    <x v="0"/>
    <x v="0"/>
    <x v="0"/>
    <x v="2"/>
    <n v="0"/>
    <s v="Very Fast"/>
    <s v="3 Days"/>
    <x v="0"/>
    <s v="Sunday"/>
    <n v="4"/>
  </r>
  <r>
    <x v="183"/>
    <d v="2024-10-19T00:00:00"/>
    <x v="1"/>
    <x v="1"/>
    <n v="105"/>
    <n v="39"/>
    <n v="9.6999999999999993"/>
    <x v="0"/>
    <x v="2"/>
    <x v="0"/>
    <x v="1"/>
    <x v="1"/>
    <x v="0"/>
    <x v="0"/>
    <x v="2"/>
    <x v="0"/>
    <n v="1"/>
    <s v="Acceptable"/>
    <s v="2 Days"/>
    <x v="7"/>
    <s v="Saturday"/>
    <n v="3"/>
  </r>
  <r>
    <x v="184"/>
    <d v="2024-03-19T00:00:00"/>
    <x v="3"/>
    <x v="2"/>
    <n v="144"/>
    <n v="48"/>
    <n v="5"/>
    <x v="1"/>
    <x v="2"/>
    <x v="0"/>
    <x v="2"/>
    <x v="2"/>
    <x v="1"/>
    <x v="1"/>
    <x v="3"/>
    <x v="0"/>
    <n v="0"/>
    <s v="Slow"/>
    <s v="2 Days"/>
    <x v="2"/>
    <s v="Tuesday"/>
    <n v="1"/>
  </r>
  <r>
    <x v="185"/>
    <d v="2024-02-07T00:00:00"/>
    <x v="2"/>
    <x v="3"/>
    <n v="49"/>
    <n v="27"/>
    <n v="5.3"/>
    <x v="0"/>
    <x v="1"/>
    <x v="0"/>
    <x v="3"/>
    <x v="3"/>
    <x v="1"/>
    <x v="0"/>
    <x v="0"/>
    <x v="0"/>
    <n v="1"/>
    <s v="Acceptable"/>
    <s v="2 Days"/>
    <x v="9"/>
    <s v="Wednesday"/>
    <n v="2"/>
  </r>
  <r>
    <x v="186"/>
    <d v="2024-03-03T00:00:00"/>
    <x v="1"/>
    <x v="2"/>
    <n v="89"/>
    <n v="42"/>
    <n v="7.7"/>
    <x v="1"/>
    <x v="2"/>
    <x v="0"/>
    <x v="2"/>
    <x v="2"/>
    <x v="1"/>
    <x v="1"/>
    <x v="0"/>
    <x v="0"/>
    <n v="0"/>
    <s v="Acceptable"/>
    <s v="2 Days"/>
    <x v="2"/>
    <s v="Sunday"/>
    <n v="1"/>
  </r>
  <r>
    <x v="187"/>
    <d v="2024-09-24T00:00:00"/>
    <x v="3"/>
    <x v="1"/>
    <n v="188"/>
    <n v="13"/>
    <n v="7"/>
    <x v="0"/>
    <x v="0"/>
    <x v="0"/>
    <x v="1"/>
    <x v="1"/>
    <x v="0"/>
    <x v="1"/>
    <x v="0"/>
    <x v="0"/>
    <n v="1"/>
    <s v="Slow"/>
    <s v="1 Day"/>
    <x v="5"/>
    <s v="Tuesday"/>
    <n v="3"/>
  </r>
  <r>
    <x v="188"/>
    <d v="2024-08-22T00:00:00"/>
    <x v="4"/>
    <x v="0"/>
    <n v="98"/>
    <n v="40"/>
    <n v="5.9"/>
    <x v="0"/>
    <x v="2"/>
    <x v="0"/>
    <x v="0"/>
    <x v="0"/>
    <x v="0"/>
    <x v="0"/>
    <x v="0"/>
    <x v="0"/>
    <n v="1"/>
    <s v="Acceptable"/>
    <s v="2 Days"/>
    <x v="0"/>
    <s v="Thursday"/>
    <n v="4"/>
  </r>
  <r>
    <x v="189"/>
    <d v="2024-02-03T00:00:00"/>
    <x v="4"/>
    <x v="3"/>
    <n v="190"/>
    <n v="34"/>
    <n v="4.9000000000000004"/>
    <x v="1"/>
    <x v="2"/>
    <x v="0"/>
    <x v="3"/>
    <x v="3"/>
    <x v="1"/>
    <x v="1"/>
    <x v="3"/>
    <x v="0"/>
    <n v="0"/>
    <s v="Slow"/>
    <s v="2 Days"/>
    <x v="9"/>
    <s v="Saturday"/>
    <n v="2"/>
  </r>
  <r>
    <x v="190"/>
    <d v="2024-07-09T00:00:00"/>
    <x v="3"/>
    <x v="3"/>
    <n v="130"/>
    <n v="57"/>
    <n v="3.9"/>
    <x v="0"/>
    <x v="1"/>
    <x v="0"/>
    <x v="3"/>
    <x v="3"/>
    <x v="1"/>
    <x v="1"/>
    <x v="3"/>
    <x v="0"/>
    <n v="1"/>
    <s v="Slow"/>
    <s v="3 Days"/>
    <x v="10"/>
    <s v="Tuesday"/>
    <n v="2"/>
  </r>
  <r>
    <x v="191"/>
    <d v="2024-10-15T00:00:00"/>
    <x v="4"/>
    <x v="0"/>
    <n v="213"/>
    <n v="28"/>
    <n v="9.8000000000000007"/>
    <x v="0"/>
    <x v="1"/>
    <x v="0"/>
    <x v="0"/>
    <x v="0"/>
    <x v="0"/>
    <x v="0"/>
    <x v="2"/>
    <x v="0"/>
    <n v="1"/>
    <s v="Slow"/>
    <s v="2 Days"/>
    <x v="7"/>
    <s v="Tuesday"/>
    <n v="4"/>
  </r>
  <r>
    <x v="192"/>
    <d v="2024-08-23T00:00:00"/>
    <x v="0"/>
    <x v="1"/>
    <n v="239"/>
    <n v="44"/>
    <n v="5.2"/>
    <x v="0"/>
    <x v="1"/>
    <x v="0"/>
    <x v="1"/>
    <x v="1"/>
    <x v="0"/>
    <x v="1"/>
    <x v="0"/>
    <x v="0"/>
    <n v="1"/>
    <s v="Slow"/>
    <s v="2 Days"/>
    <x v="0"/>
    <s v="Friday"/>
    <n v="3"/>
  </r>
  <r>
    <x v="193"/>
    <d v="2024-04-26T00:00:00"/>
    <x v="0"/>
    <x v="0"/>
    <n v="197"/>
    <n v="36"/>
    <n v="9.3000000000000007"/>
    <x v="0"/>
    <x v="0"/>
    <x v="0"/>
    <x v="0"/>
    <x v="0"/>
    <x v="0"/>
    <x v="0"/>
    <x v="2"/>
    <x v="0"/>
    <n v="1"/>
    <s v="Slow"/>
    <s v="2 Days"/>
    <x v="3"/>
    <s v="Friday"/>
    <n v="4"/>
  </r>
  <r>
    <x v="194"/>
    <d v="2024-06-24T00:00:00"/>
    <x v="0"/>
    <x v="1"/>
    <n v="138"/>
    <n v="5"/>
    <n v="7.1"/>
    <x v="0"/>
    <x v="2"/>
    <x v="1"/>
    <x v="1"/>
    <x v="1"/>
    <x v="0"/>
    <x v="1"/>
    <x v="0"/>
    <x v="1"/>
    <n v="1"/>
    <s v="Slow"/>
    <s v="Same Day"/>
    <x v="4"/>
    <s v="Monday"/>
    <n v="3"/>
  </r>
  <r>
    <x v="195"/>
    <d v="2024-02-15T00:00:00"/>
    <x v="4"/>
    <x v="2"/>
    <n v="170"/>
    <n v="70"/>
    <n v="5"/>
    <x v="0"/>
    <x v="1"/>
    <x v="0"/>
    <x v="2"/>
    <x v="2"/>
    <x v="1"/>
    <x v="1"/>
    <x v="3"/>
    <x v="0"/>
    <n v="1"/>
    <s v="Slow"/>
    <s v="3 Days"/>
    <x v="9"/>
    <s v="Thursday"/>
    <n v="1"/>
  </r>
  <r>
    <x v="196"/>
    <d v="2024-07-29T00:00:00"/>
    <x v="1"/>
    <x v="1"/>
    <n v="220"/>
    <n v="1"/>
    <n v="8.6"/>
    <x v="0"/>
    <x v="2"/>
    <x v="1"/>
    <x v="1"/>
    <x v="1"/>
    <x v="0"/>
    <x v="1"/>
    <x v="2"/>
    <x v="1"/>
    <n v="1"/>
    <s v="Slow"/>
    <s v="Same Day"/>
    <x v="10"/>
    <s v="Monday"/>
    <n v="3"/>
  </r>
  <r>
    <x v="197"/>
    <d v="2024-10-20T00:00:00"/>
    <x v="4"/>
    <x v="3"/>
    <n v="179"/>
    <n v="59"/>
    <n v="9.1999999999999993"/>
    <x v="1"/>
    <x v="2"/>
    <x v="0"/>
    <x v="3"/>
    <x v="3"/>
    <x v="1"/>
    <x v="1"/>
    <x v="2"/>
    <x v="0"/>
    <n v="0"/>
    <s v="Slow"/>
    <s v="3 Days"/>
    <x v="7"/>
    <s v="Sunday"/>
    <n v="2"/>
  </r>
  <r>
    <x v="198"/>
    <d v="2024-08-19T00:00:00"/>
    <x v="0"/>
    <x v="1"/>
    <n v="86"/>
    <n v="62"/>
    <n v="9.9"/>
    <x v="1"/>
    <x v="0"/>
    <x v="1"/>
    <x v="1"/>
    <x v="1"/>
    <x v="1"/>
    <x v="0"/>
    <x v="2"/>
    <x v="1"/>
    <n v="0"/>
    <s v="Acceptable"/>
    <s v="3 Days"/>
    <x v="0"/>
    <s v="Monday"/>
    <n v="3"/>
  </r>
  <r>
    <x v="199"/>
    <d v="2024-03-12T00:00:00"/>
    <x v="2"/>
    <x v="2"/>
    <n v="65"/>
    <n v="60"/>
    <n v="7"/>
    <x v="0"/>
    <x v="1"/>
    <x v="0"/>
    <x v="2"/>
    <x v="2"/>
    <x v="1"/>
    <x v="1"/>
    <x v="0"/>
    <x v="0"/>
    <n v="1"/>
    <s v="Acceptable"/>
    <s v="3 Days"/>
    <x v="2"/>
    <s v="Tuesday"/>
    <n v="1"/>
  </r>
  <r>
    <x v="200"/>
    <d v="2024-11-14T00:00:00"/>
    <x v="4"/>
    <x v="3"/>
    <n v="67"/>
    <n v="6"/>
    <n v="0.6"/>
    <x v="0"/>
    <x v="2"/>
    <x v="0"/>
    <x v="3"/>
    <x v="3"/>
    <x v="0"/>
    <x v="1"/>
    <x v="1"/>
    <x v="0"/>
    <n v="1"/>
    <s v="Acceptable"/>
    <s v="Same Day"/>
    <x v="6"/>
    <s v="Thursday"/>
    <n v="2"/>
  </r>
  <r>
    <x v="201"/>
    <d v="2024-11-05T00:00:00"/>
    <x v="0"/>
    <x v="2"/>
    <n v="32"/>
    <n v="58"/>
    <n v="2.1"/>
    <x v="0"/>
    <x v="1"/>
    <x v="0"/>
    <x v="2"/>
    <x v="2"/>
    <x v="1"/>
    <x v="1"/>
    <x v="3"/>
    <x v="0"/>
    <n v="1"/>
    <s v="Acceptable"/>
    <s v="3 Days"/>
    <x v="6"/>
    <s v="Tuesday"/>
    <n v="1"/>
  </r>
  <r>
    <x v="202"/>
    <d v="2024-05-05T00:00:00"/>
    <x v="0"/>
    <x v="0"/>
    <n v="19"/>
    <n v="70"/>
    <n v="7.9"/>
    <x v="0"/>
    <x v="0"/>
    <x v="1"/>
    <x v="0"/>
    <x v="0"/>
    <x v="0"/>
    <x v="0"/>
    <x v="0"/>
    <x v="1"/>
    <n v="1"/>
    <s v="Very Fast"/>
    <s v="3 Days"/>
    <x v="1"/>
    <s v="Sunday"/>
    <n v="4"/>
  </r>
  <r>
    <x v="203"/>
    <d v="2024-12-19T00:00:00"/>
    <x v="0"/>
    <x v="0"/>
    <n v="193"/>
    <n v="70"/>
    <n v="4.5"/>
    <x v="0"/>
    <x v="0"/>
    <x v="0"/>
    <x v="0"/>
    <x v="0"/>
    <x v="0"/>
    <x v="0"/>
    <x v="3"/>
    <x v="0"/>
    <n v="1"/>
    <s v="Slow"/>
    <s v="3 Days"/>
    <x v="11"/>
    <s v="Thursday"/>
    <n v="4"/>
  </r>
  <r>
    <x v="204"/>
    <d v="2024-10-29T00:00:00"/>
    <x v="3"/>
    <x v="3"/>
    <n v="123"/>
    <n v="66"/>
    <n v="8.8000000000000007"/>
    <x v="1"/>
    <x v="0"/>
    <x v="0"/>
    <x v="3"/>
    <x v="3"/>
    <x v="1"/>
    <x v="1"/>
    <x v="2"/>
    <x v="0"/>
    <n v="0"/>
    <s v="Slow"/>
    <s v="3 Days"/>
    <x v="7"/>
    <s v="Tuesday"/>
    <n v="2"/>
  </r>
  <r>
    <x v="205"/>
    <d v="2024-10-06T00:00:00"/>
    <x v="4"/>
    <x v="2"/>
    <n v="222"/>
    <n v="43"/>
    <n v="3.7"/>
    <x v="1"/>
    <x v="1"/>
    <x v="0"/>
    <x v="2"/>
    <x v="2"/>
    <x v="1"/>
    <x v="1"/>
    <x v="3"/>
    <x v="0"/>
    <n v="0"/>
    <s v="Slow"/>
    <s v="2 Days"/>
    <x v="7"/>
    <s v="Sunday"/>
    <n v="1"/>
  </r>
  <r>
    <x v="206"/>
    <d v="2024-02-09T00:00:00"/>
    <x v="1"/>
    <x v="1"/>
    <n v="215"/>
    <n v="38"/>
    <n v="9.3000000000000007"/>
    <x v="0"/>
    <x v="0"/>
    <x v="0"/>
    <x v="1"/>
    <x v="1"/>
    <x v="0"/>
    <x v="1"/>
    <x v="2"/>
    <x v="0"/>
    <n v="1"/>
    <s v="Slow"/>
    <s v="2 Days"/>
    <x v="9"/>
    <s v="Friday"/>
    <n v="3"/>
  </r>
  <r>
    <x v="207"/>
    <d v="2024-07-13T00:00:00"/>
    <x v="3"/>
    <x v="0"/>
    <n v="116"/>
    <n v="18"/>
    <n v="9"/>
    <x v="1"/>
    <x v="2"/>
    <x v="1"/>
    <x v="0"/>
    <x v="0"/>
    <x v="0"/>
    <x v="0"/>
    <x v="2"/>
    <x v="1"/>
    <n v="0"/>
    <s v="Acceptable"/>
    <s v="1 Day"/>
    <x v="10"/>
    <s v="Saturday"/>
    <n v="4"/>
  </r>
  <r>
    <x v="208"/>
    <d v="2024-10-05T00:00:00"/>
    <x v="4"/>
    <x v="0"/>
    <n v="111"/>
    <n v="63"/>
    <n v="9.4"/>
    <x v="0"/>
    <x v="2"/>
    <x v="0"/>
    <x v="0"/>
    <x v="0"/>
    <x v="0"/>
    <x v="0"/>
    <x v="2"/>
    <x v="0"/>
    <n v="1"/>
    <s v="Acceptable"/>
    <s v="3 Days"/>
    <x v="7"/>
    <s v="Saturday"/>
    <n v="4"/>
  </r>
  <r>
    <x v="209"/>
    <d v="2024-07-21T00:00:00"/>
    <x v="1"/>
    <x v="1"/>
    <n v="65"/>
    <n v="54"/>
    <n v="6.9"/>
    <x v="1"/>
    <x v="1"/>
    <x v="1"/>
    <x v="1"/>
    <x v="1"/>
    <x v="1"/>
    <x v="0"/>
    <x v="0"/>
    <x v="1"/>
    <n v="0"/>
    <s v="Acceptable"/>
    <s v="3 Days"/>
    <x v="10"/>
    <s v="Sunday"/>
    <n v="3"/>
  </r>
  <r>
    <x v="210"/>
    <d v="2024-07-19T00:00:00"/>
    <x v="4"/>
    <x v="2"/>
    <n v="83"/>
    <n v="58"/>
    <n v="4.4000000000000004"/>
    <x v="0"/>
    <x v="0"/>
    <x v="0"/>
    <x v="2"/>
    <x v="2"/>
    <x v="1"/>
    <x v="1"/>
    <x v="3"/>
    <x v="0"/>
    <n v="1"/>
    <s v="Acceptable"/>
    <s v="3 Days"/>
    <x v="10"/>
    <s v="Friday"/>
    <n v="1"/>
  </r>
  <r>
    <x v="211"/>
    <d v="2024-10-07T00:00:00"/>
    <x v="4"/>
    <x v="0"/>
    <n v="209"/>
    <n v="12"/>
    <n v="0.7"/>
    <x v="1"/>
    <x v="1"/>
    <x v="0"/>
    <x v="0"/>
    <x v="0"/>
    <x v="0"/>
    <x v="0"/>
    <x v="1"/>
    <x v="0"/>
    <n v="0"/>
    <s v="Slow"/>
    <s v="1 Day"/>
    <x v="7"/>
    <s v="Monday"/>
    <n v="4"/>
  </r>
  <r>
    <x v="212"/>
    <d v="2024-03-15T00:00:00"/>
    <x v="1"/>
    <x v="2"/>
    <n v="10"/>
    <n v="50"/>
    <n v="5.4"/>
    <x v="1"/>
    <x v="0"/>
    <x v="1"/>
    <x v="2"/>
    <x v="2"/>
    <x v="1"/>
    <x v="0"/>
    <x v="0"/>
    <x v="1"/>
    <n v="0"/>
    <s v="Very Fast"/>
    <s v="3 Days"/>
    <x v="2"/>
    <s v="Friday"/>
    <n v="1"/>
  </r>
  <r>
    <x v="213"/>
    <d v="2024-07-07T00:00:00"/>
    <x v="0"/>
    <x v="0"/>
    <n v="128"/>
    <n v="4"/>
    <n v="6.7"/>
    <x v="1"/>
    <x v="2"/>
    <x v="2"/>
    <x v="0"/>
    <x v="0"/>
    <x v="0"/>
    <x v="0"/>
    <x v="0"/>
    <x v="2"/>
    <n v="0"/>
    <s v="Slow"/>
    <s v="Same Day"/>
    <x v="10"/>
    <s v="Sunday"/>
    <n v="4"/>
  </r>
  <r>
    <x v="214"/>
    <d v="2024-08-15T00:00:00"/>
    <x v="2"/>
    <x v="2"/>
    <n v="121"/>
    <n v="6"/>
    <n v="2.8"/>
    <x v="0"/>
    <x v="2"/>
    <x v="0"/>
    <x v="2"/>
    <x v="2"/>
    <x v="0"/>
    <x v="1"/>
    <x v="3"/>
    <x v="0"/>
    <n v="1"/>
    <s v="Slow"/>
    <s v="Same Day"/>
    <x v="0"/>
    <s v="Thursday"/>
    <n v="1"/>
  </r>
  <r>
    <x v="215"/>
    <d v="2024-06-06T00:00:00"/>
    <x v="0"/>
    <x v="1"/>
    <n v="125"/>
    <n v="58"/>
    <n v="2.2000000000000002"/>
    <x v="1"/>
    <x v="0"/>
    <x v="0"/>
    <x v="1"/>
    <x v="1"/>
    <x v="1"/>
    <x v="1"/>
    <x v="3"/>
    <x v="0"/>
    <n v="0"/>
    <s v="Slow"/>
    <s v="3 Days"/>
    <x v="4"/>
    <s v="Thursday"/>
    <n v="3"/>
  </r>
  <r>
    <x v="216"/>
    <d v="2024-08-02T00:00:00"/>
    <x v="1"/>
    <x v="2"/>
    <n v="84"/>
    <n v="22"/>
    <n v="8.4"/>
    <x v="0"/>
    <x v="1"/>
    <x v="0"/>
    <x v="2"/>
    <x v="2"/>
    <x v="1"/>
    <x v="1"/>
    <x v="2"/>
    <x v="0"/>
    <n v="1"/>
    <s v="Acceptable"/>
    <s v="1 Day"/>
    <x v="0"/>
    <s v="Friday"/>
    <n v="1"/>
  </r>
  <r>
    <x v="217"/>
    <d v="2024-06-25T00:00:00"/>
    <x v="2"/>
    <x v="3"/>
    <n v="111"/>
    <n v="15"/>
    <n v="4.7"/>
    <x v="0"/>
    <x v="2"/>
    <x v="0"/>
    <x v="3"/>
    <x v="3"/>
    <x v="0"/>
    <x v="1"/>
    <x v="3"/>
    <x v="0"/>
    <n v="1"/>
    <s v="Acceptable"/>
    <s v="1 Day"/>
    <x v="4"/>
    <s v="Tuesday"/>
    <n v="2"/>
  </r>
  <r>
    <x v="218"/>
    <d v="2024-12-14T00:00:00"/>
    <x v="1"/>
    <x v="0"/>
    <n v="148"/>
    <n v="71"/>
    <n v="4.8"/>
    <x v="0"/>
    <x v="1"/>
    <x v="0"/>
    <x v="0"/>
    <x v="0"/>
    <x v="0"/>
    <x v="0"/>
    <x v="3"/>
    <x v="0"/>
    <n v="1"/>
    <s v="Slow"/>
    <s v="3 Days"/>
    <x v="11"/>
    <s v="Saturday"/>
    <n v="4"/>
  </r>
  <r>
    <x v="219"/>
    <d v="2024-04-08T00:00:00"/>
    <x v="1"/>
    <x v="3"/>
    <n v="37"/>
    <n v="72"/>
    <n v="8.1999999999999993"/>
    <x v="0"/>
    <x v="0"/>
    <x v="0"/>
    <x v="3"/>
    <x v="3"/>
    <x v="1"/>
    <x v="0"/>
    <x v="2"/>
    <x v="0"/>
    <n v="1"/>
    <s v="Acceptable"/>
    <s v="3 Days"/>
    <x v="3"/>
    <s v="Monday"/>
    <n v="2"/>
  </r>
  <r>
    <x v="220"/>
    <d v="2024-07-19T00:00:00"/>
    <x v="4"/>
    <x v="2"/>
    <n v="57"/>
    <n v="39"/>
    <n v="0.9"/>
    <x v="0"/>
    <x v="2"/>
    <x v="0"/>
    <x v="2"/>
    <x v="2"/>
    <x v="1"/>
    <x v="1"/>
    <x v="1"/>
    <x v="0"/>
    <n v="1"/>
    <s v="Acceptable"/>
    <s v="2 Days"/>
    <x v="10"/>
    <s v="Friday"/>
    <n v="1"/>
  </r>
  <r>
    <x v="221"/>
    <d v="2024-02-17T00:00:00"/>
    <x v="3"/>
    <x v="0"/>
    <n v="52"/>
    <n v="43"/>
    <n v="3.1"/>
    <x v="0"/>
    <x v="1"/>
    <x v="0"/>
    <x v="0"/>
    <x v="0"/>
    <x v="0"/>
    <x v="0"/>
    <x v="3"/>
    <x v="0"/>
    <n v="1"/>
    <s v="Acceptable"/>
    <s v="2 Days"/>
    <x v="9"/>
    <s v="Saturday"/>
    <n v="4"/>
  </r>
  <r>
    <x v="222"/>
    <d v="2024-02-12T00:00:00"/>
    <x v="4"/>
    <x v="2"/>
    <n v="106"/>
    <n v="4"/>
    <n v="0.9"/>
    <x v="0"/>
    <x v="0"/>
    <x v="0"/>
    <x v="2"/>
    <x v="2"/>
    <x v="0"/>
    <x v="1"/>
    <x v="1"/>
    <x v="0"/>
    <n v="1"/>
    <s v="Acceptable"/>
    <s v="Same Day"/>
    <x v="9"/>
    <s v="Monday"/>
    <n v="1"/>
  </r>
  <r>
    <x v="223"/>
    <d v="2024-05-17T00:00:00"/>
    <x v="0"/>
    <x v="3"/>
    <n v="125"/>
    <n v="69"/>
    <n v="5.9"/>
    <x v="0"/>
    <x v="0"/>
    <x v="0"/>
    <x v="3"/>
    <x v="3"/>
    <x v="1"/>
    <x v="1"/>
    <x v="0"/>
    <x v="0"/>
    <n v="1"/>
    <s v="Slow"/>
    <s v="3 Days"/>
    <x v="1"/>
    <s v="Friday"/>
    <n v="2"/>
  </r>
  <r>
    <x v="224"/>
    <d v="2024-12-21T00:00:00"/>
    <x v="3"/>
    <x v="0"/>
    <n v="206"/>
    <n v="69"/>
    <n v="5.6"/>
    <x v="0"/>
    <x v="1"/>
    <x v="0"/>
    <x v="0"/>
    <x v="0"/>
    <x v="0"/>
    <x v="0"/>
    <x v="0"/>
    <x v="0"/>
    <n v="1"/>
    <s v="Slow"/>
    <s v="3 Days"/>
    <x v="11"/>
    <s v="Saturday"/>
    <n v="4"/>
  </r>
  <r>
    <x v="225"/>
    <d v="2024-02-25T00:00:00"/>
    <x v="0"/>
    <x v="1"/>
    <n v="150"/>
    <n v="17"/>
    <n v="9.8000000000000007"/>
    <x v="1"/>
    <x v="0"/>
    <x v="1"/>
    <x v="1"/>
    <x v="1"/>
    <x v="0"/>
    <x v="1"/>
    <x v="2"/>
    <x v="1"/>
    <n v="0"/>
    <s v="Slow"/>
    <s v="1 Day"/>
    <x v="9"/>
    <s v="Sunday"/>
    <n v="3"/>
  </r>
  <r>
    <x v="226"/>
    <d v="2024-07-06T00:00:00"/>
    <x v="1"/>
    <x v="3"/>
    <n v="28"/>
    <n v="49"/>
    <n v="6.4"/>
    <x v="0"/>
    <x v="2"/>
    <x v="1"/>
    <x v="3"/>
    <x v="3"/>
    <x v="1"/>
    <x v="0"/>
    <x v="0"/>
    <x v="1"/>
    <n v="1"/>
    <s v="Very Fast"/>
    <s v="3 Days"/>
    <x v="10"/>
    <s v="Saturday"/>
    <n v="2"/>
  </r>
  <r>
    <x v="227"/>
    <d v="2024-09-15T00:00:00"/>
    <x v="0"/>
    <x v="0"/>
    <n v="67"/>
    <n v="16"/>
    <n v="9.4"/>
    <x v="1"/>
    <x v="1"/>
    <x v="1"/>
    <x v="0"/>
    <x v="0"/>
    <x v="0"/>
    <x v="0"/>
    <x v="2"/>
    <x v="1"/>
    <n v="0"/>
    <s v="Acceptable"/>
    <s v="1 Day"/>
    <x v="5"/>
    <s v="Sunday"/>
    <n v="4"/>
  </r>
  <r>
    <x v="228"/>
    <d v="2024-08-07T00:00:00"/>
    <x v="3"/>
    <x v="2"/>
    <n v="184"/>
    <n v="31"/>
    <n v="6.9"/>
    <x v="0"/>
    <x v="0"/>
    <x v="0"/>
    <x v="2"/>
    <x v="2"/>
    <x v="1"/>
    <x v="1"/>
    <x v="0"/>
    <x v="0"/>
    <n v="1"/>
    <s v="Slow"/>
    <s v="2 Days"/>
    <x v="0"/>
    <s v="Wednesday"/>
    <n v="1"/>
  </r>
  <r>
    <x v="229"/>
    <d v="2024-08-22T00:00:00"/>
    <x v="4"/>
    <x v="1"/>
    <n v="103"/>
    <n v="66"/>
    <n v="2.2999999999999998"/>
    <x v="1"/>
    <x v="2"/>
    <x v="0"/>
    <x v="1"/>
    <x v="1"/>
    <x v="1"/>
    <x v="0"/>
    <x v="3"/>
    <x v="0"/>
    <n v="0"/>
    <s v="Acceptable"/>
    <s v="3 Days"/>
    <x v="0"/>
    <s v="Thursday"/>
    <n v="3"/>
  </r>
  <r>
    <x v="230"/>
    <d v="2024-05-17T00:00:00"/>
    <x v="4"/>
    <x v="2"/>
    <n v="149"/>
    <n v="60"/>
    <n v="6"/>
    <x v="1"/>
    <x v="2"/>
    <x v="0"/>
    <x v="2"/>
    <x v="2"/>
    <x v="1"/>
    <x v="1"/>
    <x v="0"/>
    <x v="0"/>
    <n v="0"/>
    <s v="Slow"/>
    <s v="3 Days"/>
    <x v="1"/>
    <s v="Friday"/>
    <n v="1"/>
  </r>
  <r>
    <x v="231"/>
    <d v="2024-09-03T00:00:00"/>
    <x v="0"/>
    <x v="3"/>
    <n v="196"/>
    <n v="49"/>
    <n v="4.5999999999999996"/>
    <x v="1"/>
    <x v="2"/>
    <x v="0"/>
    <x v="3"/>
    <x v="3"/>
    <x v="1"/>
    <x v="1"/>
    <x v="3"/>
    <x v="0"/>
    <n v="0"/>
    <s v="Slow"/>
    <s v="3 Days"/>
    <x v="5"/>
    <s v="Tuesday"/>
    <n v="2"/>
  </r>
  <r>
    <x v="232"/>
    <d v="2024-12-13T00:00:00"/>
    <x v="2"/>
    <x v="2"/>
    <n v="11"/>
    <n v="32"/>
    <n v="3.1"/>
    <x v="0"/>
    <x v="0"/>
    <x v="0"/>
    <x v="2"/>
    <x v="2"/>
    <x v="1"/>
    <x v="0"/>
    <x v="3"/>
    <x v="0"/>
    <n v="1"/>
    <s v="Very Fast"/>
    <s v="2 Days"/>
    <x v="11"/>
    <s v="Friday"/>
    <n v="1"/>
  </r>
  <r>
    <x v="233"/>
    <d v="2024-06-24T00:00:00"/>
    <x v="1"/>
    <x v="0"/>
    <n v="109"/>
    <n v="67"/>
    <n v="8.1"/>
    <x v="1"/>
    <x v="0"/>
    <x v="1"/>
    <x v="0"/>
    <x v="0"/>
    <x v="0"/>
    <x v="0"/>
    <x v="2"/>
    <x v="1"/>
    <n v="0"/>
    <s v="Acceptable"/>
    <s v="3 Days"/>
    <x v="4"/>
    <s v="Monday"/>
    <n v="4"/>
  </r>
  <r>
    <x v="234"/>
    <d v="2024-05-29T00:00:00"/>
    <x v="3"/>
    <x v="0"/>
    <n v="84"/>
    <n v="15"/>
    <n v="4.3"/>
    <x v="0"/>
    <x v="1"/>
    <x v="0"/>
    <x v="0"/>
    <x v="0"/>
    <x v="0"/>
    <x v="0"/>
    <x v="3"/>
    <x v="0"/>
    <n v="1"/>
    <s v="Acceptable"/>
    <s v="1 Day"/>
    <x v="1"/>
    <s v="Wednesday"/>
    <n v="4"/>
  </r>
  <r>
    <x v="235"/>
    <d v="2024-05-16T00:00:00"/>
    <x v="3"/>
    <x v="2"/>
    <n v="56"/>
    <n v="45"/>
    <n v="2.1"/>
    <x v="0"/>
    <x v="1"/>
    <x v="0"/>
    <x v="2"/>
    <x v="2"/>
    <x v="1"/>
    <x v="1"/>
    <x v="3"/>
    <x v="0"/>
    <n v="1"/>
    <s v="Acceptable"/>
    <s v="2 Days"/>
    <x v="1"/>
    <s v="Thursday"/>
    <n v="1"/>
  </r>
  <r>
    <x v="236"/>
    <d v="2024-11-25T00:00:00"/>
    <x v="1"/>
    <x v="1"/>
    <n v="207"/>
    <n v="59"/>
    <n v="3.5"/>
    <x v="1"/>
    <x v="0"/>
    <x v="0"/>
    <x v="1"/>
    <x v="1"/>
    <x v="1"/>
    <x v="1"/>
    <x v="3"/>
    <x v="0"/>
    <n v="0"/>
    <s v="Slow"/>
    <s v="3 Days"/>
    <x v="6"/>
    <s v="Monday"/>
    <n v="3"/>
  </r>
  <r>
    <x v="237"/>
    <d v="2024-06-14T00:00:00"/>
    <x v="1"/>
    <x v="0"/>
    <n v="7"/>
    <n v="42"/>
    <n v="3.1"/>
    <x v="1"/>
    <x v="0"/>
    <x v="1"/>
    <x v="0"/>
    <x v="0"/>
    <x v="0"/>
    <x v="0"/>
    <x v="3"/>
    <x v="1"/>
    <n v="0"/>
    <s v="Very Fast"/>
    <s v="2 Days"/>
    <x v="4"/>
    <s v="Friday"/>
    <n v="4"/>
  </r>
  <r>
    <x v="238"/>
    <d v="2024-06-07T00:00:00"/>
    <x v="1"/>
    <x v="0"/>
    <n v="107"/>
    <n v="46"/>
    <n v="4.9000000000000004"/>
    <x v="0"/>
    <x v="0"/>
    <x v="0"/>
    <x v="0"/>
    <x v="0"/>
    <x v="0"/>
    <x v="0"/>
    <x v="3"/>
    <x v="0"/>
    <n v="1"/>
    <s v="Acceptable"/>
    <s v="2 Days"/>
    <x v="4"/>
    <s v="Friday"/>
    <n v="4"/>
  </r>
  <r>
    <x v="239"/>
    <d v="2024-09-23T00:00:00"/>
    <x v="4"/>
    <x v="0"/>
    <n v="200"/>
    <n v="38"/>
    <n v="3.4"/>
    <x v="1"/>
    <x v="0"/>
    <x v="0"/>
    <x v="0"/>
    <x v="0"/>
    <x v="0"/>
    <x v="0"/>
    <x v="3"/>
    <x v="0"/>
    <n v="0"/>
    <s v="Slow"/>
    <s v="2 Days"/>
    <x v="5"/>
    <s v="Monday"/>
    <n v="4"/>
  </r>
  <r>
    <x v="240"/>
    <d v="2024-07-03T00:00:00"/>
    <x v="4"/>
    <x v="3"/>
    <n v="198"/>
    <n v="50"/>
    <n v="8.3000000000000007"/>
    <x v="1"/>
    <x v="1"/>
    <x v="0"/>
    <x v="3"/>
    <x v="3"/>
    <x v="1"/>
    <x v="1"/>
    <x v="2"/>
    <x v="0"/>
    <n v="0"/>
    <s v="Slow"/>
    <s v="3 Days"/>
    <x v="10"/>
    <s v="Wednesday"/>
    <n v="2"/>
  </r>
  <r>
    <x v="241"/>
    <d v="2024-03-23T00:00:00"/>
    <x v="2"/>
    <x v="2"/>
    <n v="182"/>
    <n v="58"/>
    <n v="5.6"/>
    <x v="0"/>
    <x v="2"/>
    <x v="0"/>
    <x v="2"/>
    <x v="2"/>
    <x v="1"/>
    <x v="1"/>
    <x v="0"/>
    <x v="0"/>
    <n v="1"/>
    <s v="Slow"/>
    <s v="3 Days"/>
    <x v="2"/>
    <s v="Saturday"/>
    <n v="1"/>
  </r>
  <r>
    <x v="242"/>
    <d v="2024-08-12T00:00:00"/>
    <x v="2"/>
    <x v="1"/>
    <n v="125"/>
    <n v="19"/>
    <n v="6.1"/>
    <x v="1"/>
    <x v="0"/>
    <x v="1"/>
    <x v="1"/>
    <x v="1"/>
    <x v="0"/>
    <x v="1"/>
    <x v="0"/>
    <x v="1"/>
    <n v="0"/>
    <s v="Slow"/>
    <s v="1 Day"/>
    <x v="0"/>
    <s v="Monday"/>
    <n v="3"/>
  </r>
  <r>
    <x v="243"/>
    <d v="2024-04-11T00:00:00"/>
    <x v="1"/>
    <x v="0"/>
    <n v="26"/>
    <n v="72"/>
    <n v="9.1999999999999993"/>
    <x v="1"/>
    <x v="2"/>
    <x v="2"/>
    <x v="0"/>
    <x v="0"/>
    <x v="0"/>
    <x v="0"/>
    <x v="2"/>
    <x v="2"/>
    <n v="0"/>
    <s v="Very Fast"/>
    <s v="3 Days"/>
    <x v="3"/>
    <s v="Thursday"/>
    <n v="4"/>
  </r>
  <r>
    <x v="244"/>
    <d v="2024-07-29T00:00:00"/>
    <x v="0"/>
    <x v="2"/>
    <n v="125"/>
    <n v="12"/>
    <n v="9.6"/>
    <x v="0"/>
    <x v="0"/>
    <x v="0"/>
    <x v="2"/>
    <x v="2"/>
    <x v="1"/>
    <x v="1"/>
    <x v="2"/>
    <x v="0"/>
    <n v="1"/>
    <s v="Slow"/>
    <s v="1 Day"/>
    <x v="10"/>
    <s v="Monday"/>
    <n v="1"/>
  </r>
  <r>
    <x v="245"/>
    <d v="2024-02-23T00:00:00"/>
    <x v="3"/>
    <x v="3"/>
    <n v="52"/>
    <n v="47"/>
    <n v="7.8"/>
    <x v="1"/>
    <x v="1"/>
    <x v="0"/>
    <x v="3"/>
    <x v="3"/>
    <x v="1"/>
    <x v="0"/>
    <x v="0"/>
    <x v="0"/>
    <n v="0"/>
    <s v="Acceptable"/>
    <s v="2 Days"/>
    <x v="9"/>
    <s v="Friday"/>
    <n v="2"/>
  </r>
  <r>
    <x v="246"/>
    <d v="2024-07-01T00:00:00"/>
    <x v="2"/>
    <x v="2"/>
    <n v="235"/>
    <n v="38"/>
    <n v="3.4"/>
    <x v="0"/>
    <x v="1"/>
    <x v="0"/>
    <x v="2"/>
    <x v="2"/>
    <x v="1"/>
    <x v="1"/>
    <x v="3"/>
    <x v="0"/>
    <n v="1"/>
    <s v="Slow"/>
    <s v="2 Days"/>
    <x v="10"/>
    <s v="Monday"/>
    <n v="1"/>
  </r>
  <r>
    <x v="247"/>
    <d v="2024-09-17T00:00:00"/>
    <x v="3"/>
    <x v="2"/>
    <n v="17"/>
    <n v="57"/>
    <n v="5.3"/>
    <x v="0"/>
    <x v="1"/>
    <x v="1"/>
    <x v="2"/>
    <x v="2"/>
    <x v="1"/>
    <x v="0"/>
    <x v="0"/>
    <x v="1"/>
    <n v="1"/>
    <s v="Very Fast"/>
    <s v="3 Days"/>
    <x v="5"/>
    <s v="Tuesday"/>
    <n v="1"/>
  </r>
  <r>
    <x v="248"/>
    <d v="2024-03-30T00:00:00"/>
    <x v="0"/>
    <x v="3"/>
    <n v="80"/>
    <n v="4"/>
    <n v="4.2"/>
    <x v="1"/>
    <x v="0"/>
    <x v="1"/>
    <x v="3"/>
    <x v="3"/>
    <x v="0"/>
    <x v="1"/>
    <x v="3"/>
    <x v="1"/>
    <n v="0"/>
    <s v="Acceptable"/>
    <s v="Same Day"/>
    <x v="2"/>
    <s v="Saturday"/>
    <n v="2"/>
  </r>
  <r>
    <x v="249"/>
    <d v="2024-11-22T00:00:00"/>
    <x v="3"/>
    <x v="3"/>
    <n v="37"/>
    <n v="38"/>
    <n v="1.1000000000000001"/>
    <x v="0"/>
    <x v="0"/>
    <x v="0"/>
    <x v="3"/>
    <x v="3"/>
    <x v="1"/>
    <x v="0"/>
    <x v="1"/>
    <x v="0"/>
    <n v="1"/>
    <s v="Acceptable"/>
    <s v="2 Days"/>
    <x v="6"/>
    <s v="Friday"/>
    <n v="2"/>
  </r>
  <r>
    <x v="250"/>
    <d v="2024-01-23T00:00:00"/>
    <x v="4"/>
    <x v="1"/>
    <n v="190"/>
    <n v="35"/>
    <n v="9.1"/>
    <x v="1"/>
    <x v="0"/>
    <x v="1"/>
    <x v="1"/>
    <x v="1"/>
    <x v="0"/>
    <x v="1"/>
    <x v="2"/>
    <x v="1"/>
    <n v="0"/>
    <s v="Slow"/>
    <s v="2 Days"/>
    <x v="8"/>
    <s v="Tuesday"/>
    <n v="3"/>
  </r>
  <r>
    <x v="251"/>
    <d v="2024-04-05T00:00:00"/>
    <x v="3"/>
    <x v="3"/>
    <n v="205"/>
    <n v="54"/>
    <n v="7.8"/>
    <x v="1"/>
    <x v="1"/>
    <x v="0"/>
    <x v="3"/>
    <x v="3"/>
    <x v="1"/>
    <x v="1"/>
    <x v="0"/>
    <x v="0"/>
    <n v="0"/>
    <s v="Slow"/>
    <s v="3 Days"/>
    <x v="3"/>
    <s v="Friday"/>
    <n v="2"/>
  </r>
  <r>
    <x v="252"/>
    <d v="2024-12-23T00:00:00"/>
    <x v="0"/>
    <x v="3"/>
    <n v="88"/>
    <n v="30"/>
    <n v="6.2"/>
    <x v="1"/>
    <x v="1"/>
    <x v="0"/>
    <x v="3"/>
    <x v="3"/>
    <x v="1"/>
    <x v="1"/>
    <x v="0"/>
    <x v="0"/>
    <n v="0"/>
    <s v="Acceptable"/>
    <s v="2 Days"/>
    <x v="11"/>
    <s v="Monday"/>
    <n v="2"/>
  </r>
  <r>
    <x v="253"/>
    <d v="2024-01-09T00:00:00"/>
    <x v="0"/>
    <x v="1"/>
    <n v="93"/>
    <n v="37"/>
    <n v="5.2"/>
    <x v="1"/>
    <x v="0"/>
    <x v="1"/>
    <x v="1"/>
    <x v="1"/>
    <x v="0"/>
    <x v="0"/>
    <x v="0"/>
    <x v="1"/>
    <n v="0"/>
    <s v="Acceptable"/>
    <s v="2 Days"/>
    <x v="8"/>
    <s v="Tuesday"/>
    <n v="3"/>
  </r>
  <r>
    <x v="254"/>
    <d v="2024-10-25T00:00:00"/>
    <x v="0"/>
    <x v="2"/>
    <n v="206"/>
    <n v="44"/>
    <n v="7.9"/>
    <x v="0"/>
    <x v="0"/>
    <x v="0"/>
    <x v="2"/>
    <x v="2"/>
    <x v="1"/>
    <x v="1"/>
    <x v="0"/>
    <x v="0"/>
    <n v="1"/>
    <s v="Slow"/>
    <s v="2 Days"/>
    <x v="7"/>
    <s v="Friday"/>
    <n v="1"/>
  </r>
  <r>
    <x v="255"/>
    <d v="2024-06-15T00:00:00"/>
    <x v="3"/>
    <x v="1"/>
    <n v="187"/>
    <n v="7"/>
    <n v="2.2999999999999998"/>
    <x v="0"/>
    <x v="0"/>
    <x v="0"/>
    <x v="1"/>
    <x v="1"/>
    <x v="0"/>
    <x v="1"/>
    <x v="3"/>
    <x v="0"/>
    <n v="1"/>
    <s v="Slow"/>
    <s v="Same Day"/>
    <x v="4"/>
    <s v="Saturday"/>
    <n v="3"/>
  </r>
  <r>
    <x v="256"/>
    <d v="2024-02-08T00:00:00"/>
    <x v="4"/>
    <x v="2"/>
    <n v="231"/>
    <n v="47"/>
    <n v="4.7"/>
    <x v="0"/>
    <x v="2"/>
    <x v="0"/>
    <x v="2"/>
    <x v="2"/>
    <x v="1"/>
    <x v="1"/>
    <x v="3"/>
    <x v="0"/>
    <n v="1"/>
    <s v="Slow"/>
    <s v="2 Days"/>
    <x v="9"/>
    <s v="Thursday"/>
    <n v="1"/>
  </r>
  <r>
    <x v="257"/>
    <d v="2024-03-30T00:00:00"/>
    <x v="2"/>
    <x v="3"/>
    <n v="216"/>
    <n v="25"/>
    <n v="6.7"/>
    <x v="0"/>
    <x v="2"/>
    <x v="0"/>
    <x v="3"/>
    <x v="3"/>
    <x v="1"/>
    <x v="1"/>
    <x v="0"/>
    <x v="0"/>
    <n v="1"/>
    <s v="Slow"/>
    <s v="2 Days"/>
    <x v="2"/>
    <s v="Saturday"/>
    <n v="2"/>
  </r>
  <r>
    <x v="258"/>
    <d v="2024-02-23T00:00:00"/>
    <x v="0"/>
    <x v="3"/>
    <n v="113"/>
    <n v="38"/>
    <n v="4.4000000000000004"/>
    <x v="1"/>
    <x v="1"/>
    <x v="0"/>
    <x v="3"/>
    <x v="3"/>
    <x v="1"/>
    <x v="1"/>
    <x v="3"/>
    <x v="0"/>
    <n v="0"/>
    <s v="Acceptable"/>
    <s v="2 Days"/>
    <x v="9"/>
    <s v="Friday"/>
    <n v="2"/>
  </r>
  <r>
    <x v="259"/>
    <d v="2024-05-14T00:00:00"/>
    <x v="1"/>
    <x v="3"/>
    <n v="30"/>
    <n v="46"/>
    <n v="7.2"/>
    <x v="1"/>
    <x v="2"/>
    <x v="1"/>
    <x v="3"/>
    <x v="3"/>
    <x v="1"/>
    <x v="0"/>
    <x v="0"/>
    <x v="1"/>
    <n v="0"/>
    <s v="Very Fast"/>
    <s v="2 Days"/>
    <x v="1"/>
    <s v="Tuesday"/>
    <n v="2"/>
  </r>
  <r>
    <x v="260"/>
    <d v="2024-05-07T00:00:00"/>
    <x v="4"/>
    <x v="1"/>
    <n v="238"/>
    <n v="2"/>
    <n v="4.5999999999999996"/>
    <x v="0"/>
    <x v="0"/>
    <x v="1"/>
    <x v="1"/>
    <x v="1"/>
    <x v="0"/>
    <x v="1"/>
    <x v="3"/>
    <x v="1"/>
    <n v="1"/>
    <s v="Slow"/>
    <s v="Same Day"/>
    <x v="1"/>
    <s v="Tuesday"/>
    <n v="3"/>
  </r>
  <r>
    <x v="261"/>
    <d v="2024-12-23T00:00:00"/>
    <x v="0"/>
    <x v="2"/>
    <n v="201"/>
    <n v="55"/>
    <n v="0.7"/>
    <x v="1"/>
    <x v="2"/>
    <x v="0"/>
    <x v="2"/>
    <x v="2"/>
    <x v="1"/>
    <x v="1"/>
    <x v="1"/>
    <x v="0"/>
    <n v="0"/>
    <s v="Slow"/>
    <s v="3 Days"/>
    <x v="11"/>
    <s v="Monday"/>
    <n v="1"/>
  </r>
  <r>
    <x v="262"/>
    <d v="2024-04-18T00:00:00"/>
    <x v="0"/>
    <x v="3"/>
    <n v="140"/>
    <n v="72"/>
    <n v="5.4"/>
    <x v="1"/>
    <x v="2"/>
    <x v="0"/>
    <x v="3"/>
    <x v="3"/>
    <x v="1"/>
    <x v="1"/>
    <x v="0"/>
    <x v="0"/>
    <n v="0"/>
    <s v="Slow"/>
    <s v="3 Days"/>
    <x v="3"/>
    <s v="Thursday"/>
    <n v="2"/>
  </r>
  <r>
    <x v="263"/>
    <d v="2024-03-18T00:00:00"/>
    <x v="0"/>
    <x v="0"/>
    <n v="23"/>
    <n v="27"/>
    <n v="0.8"/>
    <x v="0"/>
    <x v="2"/>
    <x v="1"/>
    <x v="0"/>
    <x v="0"/>
    <x v="0"/>
    <x v="0"/>
    <x v="1"/>
    <x v="1"/>
    <n v="1"/>
    <s v="Very Fast"/>
    <s v="2 Days"/>
    <x v="2"/>
    <s v="Monday"/>
    <n v="4"/>
  </r>
  <r>
    <x v="264"/>
    <d v="2024-03-29T00:00:00"/>
    <x v="3"/>
    <x v="0"/>
    <n v="28"/>
    <n v="37"/>
    <n v="4.9000000000000004"/>
    <x v="1"/>
    <x v="1"/>
    <x v="1"/>
    <x v="0"/>
    <x v="0"/>
    <x v="0"/>
    <x v="0"/>
    <x v="3"/>
    <x v="1"/>
    <n v="0"/>
    <s v="Very Fast"/>
    <s v="2 Days"/>
    <x v="2"/>
    <s v="Friday"/>
    <n v="4"/>
  </r>
  <r>
    <x v="265"/>
    <d v="2024-09-24T00:00:00"/>
    <x v="1"/>
    <x v="1"/>
    <n v="6"/>
    <n v="29"/>
    <n v="2.7"/>
    <x v="1"/>
    <x v="2"/>
    <x v="1"/>
    <x v="1"/>
    <x v="1"/>
    <x v="0"/>
    <x v="0"/>
    <x v="3"/>
    <x v="1"/>
    <n v="0"/>
    <s v="Very Fast"/>
    <s v="2 Days"/>
    <x v="5"/>
    <s v="Tuesday"/>
    <n v="3"/>
  </r>
  <r>
    <x v="266"/>
    <d v="2024-02-29T00:00:00"/>
    <x v="1"/>
    <x v="0"/>
    <n v="183"/>
    <n v="9"/>
    <n v="8"/>
    <x v="0"/>
    <x v="1"/>
    <x v="0"/>
    <x v="0"/>
    <x v="0"/>
    <x v="0"/>
    <x v="0"/>
    <x v="0"/>
    <x v="0"/>
    <n v="1"/>
    <s v="Slow"/>
    <s v="1 Day"/>
    <x v="9"/>
    <s v="Thursday"/>
    <n v="4"/>
  </r>
  <r>
    <x v="267"/>
    <d v="2024-11-19T00:00:00"/>
    <x v="4"/>
    <x v="1"/>
    <n v="186"/>
    <n v="59"/>
    <n v="7.8"/>
    <x v="0"/>
    <x v="1"/>
    <x v="0"/>
    <x v="1"/>
    <x v="1"/>
    <x v="1"/>
    <x v="1"/>
    <x v="0"/>
    <x v="0"/>
    <n v="1"/>
    <s v="Slow"/>
    <s v="3 Days"/>
    <x v="6"/>
    <s v="Tuesday"/>
    <n v="3"/>
  </r>
  <r>
    <x v="268"/>
    <d v="2024-02-06T00:00:00"/>
    <x v="3"/>
    <x v="3"/>
    <n v="200"/>
    <n v="41"/>
    <n v="5.5"/>
    <x v="0"/>
    <x v="0"/>
    <x v="0"/>
    <x v="3"/>
    <x v="3"/>
    <x v="1"/>
    <x v="1"/>
    <x v="0"/>
    <x v="0"/>
    <n v="1"/>
    <s v="Slow"/>
    <s v="2 Days"/>
    <x v="9"/>
    <s v="Tuesday"/>
    <n v="2"/>
  </r>
  <r>
    <x v="269"/>
    <d v="2024-09-23T00:00:00"/>
    <x v="0"/>
    <x v="2"/>
    <n v="123"/>
    <n v="29"/>
    <n v="3.2"/>
    <x v="1"/>
    <x v="1"/>
    <x v="0"/>
    <x v="2"/>
    <x v="2"/>
    <x v="1"/>
    <x v="1"/>
    <x v="3"/>
    <x v="0"/>
    <n v="0"/>
    <s v="Slow"/>
    <s v="2 Days"/>
    <x v="5"/>
    <s v="Monday"/>
    <n v="1"/>
  </r>
  <r>
    <x v="270"/>
    <d v="2024-12-04T00:00:00"/>
    <x v="1"/>
    <x v="1"/>
    <n v="71"/>
    <n v="6"/>
    <n v="0.8"/>
    <x v="0"/>
    <x v="0"/>
    <x v="1"/>
    <x v="1"/>
    <x v="1"/>
    <x v="0"/>
    <x v="0"/>
    <x v="1"/>
    <x v="1"/>
    <n v="1"/>
    <s v="Acceptable"/>
    <s v="Same Day"/>
    <x v="11"/>
    <s v="Wednesday"/>
    <n v="3"/>
  </r>
  <r>
    <x v="271"/>
    <d v="2024-03-16T00:00:00"/>
    <x v="2"/>
    <x v="2"/>
    <n v="233"/>
    <n v="25"/>
    <n v="5.8"/>
    <x v="1"/>
    <x v="0"/>
    <x v="0"/>
    <x v="2"/>
    <x v="2"/>
    <x v="1"/>
    <x v="1"/>
    <x v="0"/>
    <x v="0"/>
    <n v="0"/>
    <s v="Slow"/>
    <s v="2 Days"/>
    <x v="2"/>
    <s v="Saturday"/>
    <n v="1"/>
  </r>
  <r>
    <x v="272"/>
    <d v="2024-07-22T00:00:00"/>
    <x v="4"/>
    <x v="2"/>
    <n v="156"/>
    <n v="9"/>
    <n v="5.2"/>
    <x v="1"/>
    <x v="1"/>
    <x v="0"/>
    <x v="2"/>
    <x v="2"/>
    <x v="1"/>
    <x v="1"/>
    <x v="0"/>
    <x v="0"/>
    <n v="0"/>
    <s v="Slow"/>
    <s v="1 Day"/>
    <x v="10"/>
    <s v="Monday"/>
    <n v="1"/>
  </r>
  <r>
    <x v="273"/>
    <d v="2024-08-25T00:00:00"/>
    <x v="1"/>
    <x v="2"/>
    <n v="192"/>
    <n v="24"/>
    <n v="5.2"/>
    <x v="1"/>
    <x v="1"/>
    <x v="0"/>
    <x v="2"/>
    <x v="2"/>
    <x v="1"/>
    <x v="1"/>
    <x v="0"/>
    <x v="0"/>
    <n v="0"/>
    <s v="Slow"/>
    <s v="1 Day"/>
    <x v="0"/>
    <s v="Sunday"/>
    <n v="1"/>
  </r>
  <r>
    <x v="274"/>
    <d v="2024-09-30T00:00:00"/>
    <x v="4"/>
    <x v="3"/>
    <n v="97"/>
    <n v="70"/>
    <n v="7.4"/>
    <x v="1"/>
    <x v="2"/>
    <x v="0"/>
    <x v="3"/>
    <x v="3"/>
    <x v="1"/>
    <x v="1"/>
    <x v="0"/>
    <x v="0"/>
    <n v="0"/>
    <s v="Acceptable"/>
    <s v="3 Days"/>
    <x v="5"/>
    <s v="Monday"/>
    <n v="2"/>
  </r>
  <r>
    <x v="275"/>
    <d v="2024-04-20T00:00:00"/>
    <x v="3"/>
    <x v="1"/>
    <n v="62"/>
    <n v="64"/>
    <n v="6.4"/>
    <x v="1"/>
    <x v="0"/>
    <x v="1"/>
    <x v="1"/>
    <x v="1"/>
    <x v="1"/>
    <x v="0"/>
    <x v="0"/>
    <x v="1"/>
    <n v="0"/>
    <s v="Acceptable"/>
    <s v="3 Days"/>
    <x v="3"/>
    <s v="Saturday"/>
    <n v="3"/>
  </r>
  <r>
    <x v="276"/>
    <d v="2024-05-07T00:00:00"/>
    <x v="2"/>
    <x v="1"/>
    <n v="28"/>
    <n v="54"/>
    <n v="2.7"/>
    <x v="0"/>
    <x v="0"/>
    <x v="1"/>
    <x v="1"/>
    <x v="1"/>
    <x v="1"/>
    <x v="0"/>
    <x v="3"/>
    <x v="1"/>
    <n v="1"/>
    <s v="Very Fast"/>
    <s v="3 Days"/>
    <x v="1"/>
    <s v="Tuesday"/>
    <n v="3"/>
  </r>
  <r>
    <x v="277"/>
    <d v="2024-03-30T00:00:00"/>
    <x v="2"/>
    <x v="2"/>
    <n v="64"/>
    <n v="7"/>
    <n v="5.3"/>
    <x v="1"/>
    <x v="1"/>
    <x v="0"/>
    <x v="2"/>
    <x v="2"/>
    <x v="0"/>
    <x v="1"/>
    <x v="0"/>
    <x v="0"/>
    <n v="0"/>
    <s v="Acceptable"/>
    <s v="Same Day"/>
    <x v="2"/>
    <s v="Saturday"/>
    <n v="1"/>
  </r>
  <r>
    <x v="278"/>
    <d v="2024-02-27T00:00:00"/>
    <x v="2"/>
    <x v="2"/>
    <n v="56"/>
    <n v="23"/>
    <n v="9.1"/>
    <x v="1"/>
    <x v="2"/>
    <x v="0"/>
    <x v="2"/>
    <x v="2"/>
    <x v="1"/>
    <x v="1"/>
    <x v="2"/>
    <x v="0"/>
    <n v="0"/>
    <s v="Acceptable"/>
    <s v="1 Day"/>
    <x v="9"/>
    <s v="Tuesday"/>
    <n v="1"/>
  </r>
  <r>
    <x v="279"/>
    <d v="2024-01-27T00:00:00"/>
    <x v="3"/>
    <x v="3"/>
    <n v="162"/>
    <n v="46"/>
    <n v="5.3"/>
    <x v="0"/>
    <x v="1"/>
    <x v="0"/>
    <x v="3"/>
    <x v="3"/>
    <x v="1"/>
    <x v="1"/>
    <x v="0"/>
    <x v="0"/>
    <n v="1"/>
    <s v="Slow"/>
    <s v="2 Days"/>
    <x v="8"/>
    <s v="Saturday"/>
    <n v="2"/>
  </r>
  <r>
    <x v="280"/>
    <d v="2024-07-19T00:00:00"/>
    <x v="0"/>
    <x v="1"/>
    <n v="192"/>
    <n v="18"/>
    <n v="5.3"/>
    <x v="0"/>
    <x v="0"/>
    <x v="0"/>
    <x v="1"/>
    <x v="1"/>
    <x v="0"/>
    <x v="1"/>
    <x v="0"/>
    <x v="0"/>
    <n v="1"/>
    <s v="Slow"/>
    <s v="1 Day"/>
    <x v="10"/>
    <s v="Friday"/>
    <n v="3"/>
  </r>
  <r>
    <x v="281"/>
    <d v="2024-01-25T00:00:00"/>
    <x v="4"/>
    <x v="3"/>
    <n v="40"/>
    <n v="64"/>
    <n v="3.9"/>
    <x v="1"/>
    <x v="2"/>
    <x v="0"/>
    <x v="3"/>
    <x v="3"/>
    <x v="1"/>
    <x v="0"/>
    <x v="3"/>
    <x v="0"/>
    <n v="0"/>
    <s v="Acceptable"/>
    <s v="3 Days"/>
    <x v="8"/>
    <s v="Thursday"/>
    <n v="2"/>
  </r>
  <r>
    <x v="282"/>
    <d v="2024-07-13T00:00:00"/>
    <x v="0"/>
    <x v="1"/>
    <n v="35"/>
    <n v="6"/>
    <n v="5.8"/>
    <x v="0"/>
    <x v="0"/>
    <x v="1"/>
    <x v="1"/>
    <x v="1"/>
    <x v="0"/>
    <x v="0"/>
    <x v="0"/>
    <x v="1"/>
    <n v="1"/>
    <s v="Acceptable"/>
    <s v="Same Day"/>
    <x v="10"/>
    <s v="Saturday"/>
    <n v="3"/>
  </r>
  <r>
    <x v="283"/>
    <d v="2024-08-12T00:00:00"/>
    <x v="4"/>
    <x v="2"/>
    <n v="9"/>
    <n v="16"/>
    <n v="8.6"/>
    <x v="0"/>
    <x v="1"/>
    <x v="1"/>
    <x v="2"/>
    <x v="2"/>
    <x v="1"/>
    <x v="0"/>
    <x v="2"/>
    <x v="1"/>
    <n v="1"/>
    <s v="Very Fast"/>
    <s v="1 Day"/>
    <x v="0"/>
    <s v="Monday"/>
    <n v="1"/>
  </r>
  <r>
    <x v="284"/>
    <d v="2024-01-30T00:00:00"/>
    <x v="0"/>
    <x v="0"/>
    <n v="184"/>
    <n v="35"/>
    <n v="9.4"/>
    <x v="0"/>
    <x v="0"/>
    <x v="0"/>
    <x v="0"/>
    <x v="0"/>
    <x v="0"/>
    <x v="0"/>
    <x v="2"/>
    <x v="0"/>
    <n v="1"/>
    <s v="Slow"/>
    <s v="2 Days"/>
    <x v="8"/>
    <s v="Tuesday"/>
    <n v="4"/>
  </r>
  <r>
    <x v="285"/>
    <d v="2024-09-06T00:00:00"/>
    <x v="3"/>
    <x v="1"/>
    <n v="56"/>
    <n v="26"/>
    <n v="0.6"/>
    <x v="0"/>
    <x v="2"/>
    <x v="0"/>
    <x v="1"/>
    <x v="1"/>
    <x v="0"/>
    <x v="0"/>
    <x v="1"/>
    <x v="0"/>
    <n v="1"/>
    <s v="Acceptable"/>
    <s v="2 Days"/>
    <x v="5"/>
    <s v="Friday"/>
    <n v="3"/>
  </r>
  <r>
    <x v="286"/>
    <d v="2024-01-05T00:00:00"/>
    <x v="4"/>
    <x v="3"/>
    <n v="75"/>
    <n v="9"/>
    <n v="2.7"/>
    <x v="0"/>
    <x v="2"/>
    <x v="0"/>
    <x v="3"/>
    <x v="3"/>
    <x v="0"/>
    <x v="1"/>
    <x v="3"/>
    <x v="0"/>
    <n v="1"/>
    <s v="Acceptable"/>
    <s v="1 Day"/>
    <x v="8"/>
    <s v="Friday"/>
    <n v="2"/>
  </r>
  <r>
    <x v="287"/>
    <d v="2024-02-11T00:00:00"/>
    <x v="2"/>
    <x v="2"/>
    <n v="132"/>
    <n v="49"/>
    <n v="3.6"/>
    <x v="0"/>
    <x v="1"/>
    <x v="0"/>
    <x v="2"/>
    <x v="2"/>
    <x v="1"/>
    <x v="1"/>
    <x v="3"/>
    <x v="0"/>
    <n v="1"/>
    <s v="Slow"/>
    <s v="3 Days"/>
    <x v="9"/>
    <s v="Sunday"/>
    <n v="1"/>
  </r>
  <r>
    <x v="288"/>
    <d v="2024-10-19T00:00:00"/>
    <x v="4"/>
    <x v="2"/>
    <n v="235"/>
    <n v="67"/>
    <n v="7.3"/>
    <x v="1"/>
    <x v="0"/>
    <x v="0"/>
    <x v="2"/>
    <x v="2"/>
    <x v="1"/>
    <x v="1"/>
    <x v="0"/>
    <x v="0"/>
    <n v="0"/>
    <s v="Slow"/>
    <s v="3 Days"/>
    <x v="7"/>
    <s v="Saturday"/>
    <n v="1"/>
  </r>
  <r>
    <x v="289"/>
    <d v="2024-04-19T00:00:00"/>
    <x v="3"/>
    <x v="2"/>
    <n v="116"/>
    <n v="57"/>
    <n v="2.2999999999999998"/>
    <x v="0"/>
    <x v="2"/>
    <x v="0"/>
    <x v="2"/>
    <x v="2"/>
    <x v="1"/>
    <x v="1"/>
    <x v="3"/>
    <x v="0"/>
    <n v="1"/>
    <s v="Acceptable"/>
    <s v="3 Days"/>
    <x v="3"/>
    <s v="Friday"/>
    <n v="1"/>
  </r>
  <r>
    <x v="290"/>
    <d v="2024-06-22T00:00:00"/>
    <x v="3"/>
    <x v="1"/>
    <n v="215"/>
    <n v="14"/>
    <n v="8.1999999999999993"/>
    <x v="1"/>
    <x v="2"/>
    <x v="1"/>
    <x v="1"/>
    <x v="1"/>
    <x v="0"/>
    <x v="1"/>
    <x v="2"/>
    <x v="1"/>
    <n v="0"/>
    <s v="Slow"/>
    <s v="1 Day"/>
    <x v="4"/>
    <s v="Saturday"/>
    <n v="3"/>
  </r>
  <r>
    <x v="291"/>
    <d v="2024-12-17T00:00:00"/>
    <x v="1"/>
    <x v="3"/>
    <n v="23"/>
    <n v="1"/>
    <n v="4.4000000000000004"/>
    <x v="1"/>
    <x v="2"/>
    <x v="2"/>
    <x v="3"/>
    <x v="3"/>
    <x v="0"/>
    <x v="0"/>
    <x v="3"/>
    <x v="2"/>
    <n v="0"/>
    <s v="Very Fast"/>
    <s v="Same Day"/>
    <x v="11"/>
    <s v="Tuesday"/>
    <n v="2"/>
  </r>
  <r>
    <x v="292"/>
    <d v="2024-06-04T00:00:00"/>
    <x v="3"/>
    <x v="1"/>
    <n v="147"/>
    <n v="7"/>
    <n v="8.5"/>
    <x v="0"/>
    <x v="0"/>
    <x v="0"/>
    <x v="1"/>
    <x v="1"/>
    <x v="0"/>
    <x v="1"/>
    <x v="2"/>
    <x v="0"/>
    <n v="1"/>
    <s v="Slow"/>
    <s v="Same Day"/>
    <x v="4"/>
    <s v="Tuesday"/>
    <n v="3"/>
  </r>
  <r>
    <x v="293"/>
    <d v="2024-01-31T00:00:00"/>
    <x v="3"/>
    <x v="2"/>
    <n v="230"/>
    <n v="16"/>
    <n v="4.5999999999999996"/>
    <x v="1"/>
    <x v="1"/>
    <x v="0"/>
    <x v="2"/>
    <x v="2"/>
    <x v="1"/>
    <x v="1"/>
    <x v="3"/>
    <x v="0"/>
    <n v="0"/>
    <s v="Slow"/>
    <s v="1 Day"/>
    <x v="8"/>
    <s v="Wednesday"/>
    <n v="1"/>
  </r>
  <r>
    <x v="294"/>
    <d v="2024-06-08T00:00:00"/>
    <x v="2"/>
    <x v="3"/>
    <n v="106"/>
    <n v="22"/>
    <n v="0.6"/>
    <x v="0"/>
    <x v="0"/>
    <x v="0"/>
    <x v="3"/>
    <x v="3"/>
    <x v="0"/>
    <x v="1"/>
    <x v="1"/>
    <x v="0"/>
    <n v="1"/>
    <s v="Acceptable"/>
    <s v="1 Day"/>
    <x v="4"/>
    <s v="Saturday"/>
    <n v="2"/>
  </r>
  <r>
    <x v="295"/>
    <d v="2024-06-09T00:00:00"/>
    <x v="1"/>
    <x v="0"/>
    <n v="188"/>
    <n v="46"/>
    <n v="1.2"/>
    <x v="1"/>
    <x v="2"/>
    <x v="0"/>
    <x v="0"/>
    <x v="0"/>
    <x v="0"/>
    <x v="0"/>
    <x v="1"/>
    <x v="0"/>
    <n v="0"/>
    <s v="Slow"/>
    <s v="2 Days"/>
    <x v="4"/>
    <s v="Sunday"/>
    <n v="4"/>
  </r>
  <r>
    <x v="296"/>
    <d v="2024-08-21T00:00:00"/>
    <x v="0"/>
    <x v="1"/>
    <n v="229"/>
    <n v="13"/>
    <n v="9.6"/>
    <x v="1"/>
    <x v="2"/>
    <x v="1"/>
    <x v="1"/>
    <x v="1"/>
    <x v="0"/>
    <x v="1"/>
    <x v="2"/>
    <x v="1"/>
    <n v="0"/>
    <s v="Slow"/>
    <s v="1 Day"/>
    <x v="0"/>
    <s v="Wednesday"/>
    <n v="3"/>
  </r>
  <r>
    <x v="297"/>
    <d v="2024-12-23T00:00:00"/>
    <x v="1"/>
    <x v="1"/>
    <n v="106"/>
    <n v="36"/>
    <n v="8.8000000000000007"/>
    <x v="1"/>
    <x v="0"/>
    <x v="1"/>
    <x v="1"/>
    <x v="1"/>
    <x v="0"/>
    <x v="0"/>
    <x v="2"/>
    <x v="1"/>
    <n v="0"/>
    <s v="Acceptable"/>
    <s v="2 Days"/>
    <x v="11"/>
    <s v="Monday"/>
    <n v="3"/>
  </r>
  <r>
    <x v="298"/>
    <d v="2024-02-28T00:00:00"/>
    <x v="2"/>
    <x v="1"/>
    <n v="169"/>
    <n v="37"/>
    <n v="3.5"/>
    <x v="0"/>
    <x v="2"/>
    <x v="0"/>
    <x v="1"/>
    <x v="1"/>
    <x v="0"/>
    <x v="1"/>
    <x v="3"/>
    <x v="0"/>
    <n v="1"/>
    <s v="Slow"/>
    <s v="2 Days"/>
    <x v="9"/>
    <s v="Wednesday"/>
    <n v="3"/>
  </r>
  <r>
    <x v="299"/>
    <d v="2024-02-10T00:00:00"/>
    <x v="0"/>
    <x v="1"/>
    <n v="214"/>
    <n v="23"/>
    <n v="2.7"/>
    <x v="0"/>
    <x v="0"/>
    <x v="0"/>
    <x v="1"/>
    <x v="1"/>
    <x v="0"/>
    <x v="1"/>
    <x v="3"/>
    <x v="0"/>
    <n v="1"/>
    <s v="Slow"/>
    <s v="1 Day"/>
    <x v="9"/>
    <s v="Saturday"/>
    <n v="3"/>
  </r>
  <r>
    <x v="300"/>
    <d v="2024-08-18T00:00:00"/>
    <x v="3"/>
    <x v="2"/>
    <n v="188"/>
    <n v="40"/>
    <n v="5.2"/>
    <x v="1"/>
    <x v="1"/>
    <x v="0"/>
    <x v="2"/>
    <x v="2"/>
    <x v="1"/>
    <x v="1"/>
    <x v="0"/>
    <x v="0"/>
    <n v="0"/>
    <s v="Slow"/>
    <s v="2 Days"/>
    <x v="0"/>
    <s v="Sunday"/>
    <n v="1"/>
  </r>
  <r>
    <x v="301"/>
    <d v="2024-11-24T00:00:00"/>
    <x v="1"/>
    <x v="3"/>
    <n v="40"/>
    <n v="4"/>
    <n v="4.7"/>
    <x v="1"/>
    <x v="2"/>
    <x v="1"/>
    <x v="3"/>
    <x v="3"/>
    <x v="0"/>
    <x v="0"/>
    <x v="3"/>
    <x v="1"/>
    <n v="0"/>
    <s v="Acceptable"/>
    <s v="Same Day"/>
    <x v="6"/>
    <s v="Sunday"/>
    <n v="2"/>
  </r>
  <r>
    <x v="302"/>
    <d v="2024-12-20T00:00:00"/>
    <x v="3"/>
    <x v="2"/>
    <n v="79"/>
    <n v="19"/>
    <n v="3.1"/>
    <x v="0"/>
    <x v="1"/>
    <x v="0"/>
    <x v="2"/>
    <x v="2"/>
    <x v="1"/>
    <x v="1"/>
    <x v="3"/>
    <x v="0"/>
    <n v="1"/>
    <s v="Acceptable"/>
    <s v="1 Day"/>
    <x v="11"/>
    <s v="Friday"/>
    <n v="1"/>
  </r>
  <r>
    <x v="303"/>
    <d v="2024-02-22T00:00:00"/>
    <x v="1"/>
    <x v="1"/>
    <n v="76"/>
    <n v="6"/>
    <n v="4.3"/>
    <x v="0"/>
    <x v="1"/>
    <x v="1"/>
    <x v="1"/>
    <x v="1"/>
    <x v="0"/>
    <x v="0"/>
    <x v="3"/>
    <x v="1"/>
    <n v="1"/>
    <s v="Acceptable"/>
    <s v="Same Day"/>
    <x v="9"/>
    <s v="Thursday"/>
    <n v="3"/>
  </r>
  <r>
    <x v="304"/>
    <d v="2024-11-05T00:00:00"/>
    <x v="2"/>
    <x v="1"/>
    <n v="216"/>
    <n v="72"/>
    <n v="3.8"/>
    <x v="1"/>
    <x v="0"/>
    <x v="0"/>
    <x v="1"/>
    <x v="1"/>
    <x v="1"/>
    <x v="1"/>
    <x v="3"/>
    <x v="0"/>
    <n v="0"/>
    <s v="Slow"/>
    <s v="3 Days"/>
    <x v="6"/>
    <s v="Tuesday"/>
    <n v="3"/>
  </r>
  <r>
    <x v="305"/>
    <d v="2024-08-22T00:00:00"/>
    <x v="2"/>
    <x v="3"/>
    <n v="235"/>
    <n v="32"/>
    <n v="9.5"/>
    <x v="1"/>
    <x v="2"/>
    <x v="0"/>
    <x v="3"/>
    <x v="3"/>
    <x v="1"/>
    <x v="1"/>
    <x v="2"/>
    <x v="0"/>
    <n v="0"/>
    <s v="Slow"/>
    <s v="2 Days"/>
    <x v="0"/>
    <s v="Thursday"/>
    <n v="2"/>
  </r>
  <r>
    <x v="306"/>
    <d v="2024-11-10T00:00:00"/>
    <x v="0"/>
    <x v="3"/>
    <n v="92"/>
    <n v="35"/>
    <n v="2.2000000000000002"/>
    <x v="0"/>
    <x v="0"/>
    <x v="0"/>
    <x v="3"/>
    <x v="3"/>
    <x v="1"/>
    <x v="1"/>
    <x v="3"/>
    <x v="0"/>
    <n v="1"/>
    <s v="Acceptable"/>
    <s v="2 Days"/>
    <x v="6"/>
    <s v="Sunday"/>
    <n v="2"/>
  </r>
  <r>
    <x v="307"/>
    <d v="2024-02-27T00:00:00"/>
    <x v="3"/>
    <x v="0"/>
    <n v="97"/>
    <n v="20"/>
    <n v="3.1"/>
    <x v="0"/>
    <x v="2"/>
    <x v="0"/>
    <x v="0"/>
    <x v="0"/>
    <x v="0"/>
    <x v="0"/>
    <x v="3"/>
    <x v="0"/>
    <n v="1"/>
    <s v="Acceptable"/>
    <s v="1 Day"/>
    <x v="9"/>
    <s v="Tuesday"/>
    <n v="4"/>
  </r>
  <r>
    <x v="308"/>
    <d v="2024-07-05T00:00:00"/>
    <x v="3"/>
    <x v="2"/>
    <n v="148"/>
    <n v="63"/>
    <n v="3.1"/>
    <x v="1"/>
    <x v="1"/>
    <x v="0"/>
    <x v="2"/>
    <x v="2"/>
    <x v="1"/>
    <x v="1"/>
    <x v="3"/>
    <x v="0"/>
    <n v="0"/>
    <s v="Slow"/>
    <s v="3 Days"/>
    <x v="10"/>
    <s v="Friday"/>
    <n v="1"/>
  </r>
  <r>
    <x v="309"/>
    <d v="2024-02-06T00:00:00"/>
    <x v="1"/>
    <x v="2"/>
    <n v="22"/>
    <n v="3"/>
    <n v="9.1"/>
    <x v="1"/>
    <x v="2"/>
    <x v="2"/>
    <x v="2"/>
    <x v="2"/>
    <x v="0"/>
    <x v="0"/>
    <x v="2"/>
    <x v="2"/>
    <n v="0"/>
    <s v="Very Fast"/>
    <s v="Same Day"/>
    <x v="9"/>
    <s v="Tuesday"/>
    <n v="1"/>
  </r>
  <r>
    <x v="310"/>
    <d v="2024-04-03T00:00:00"/>
    <x v="0"/>
    <x v="3"/>
    <n v="225"/>
    <n v="14"/>
    <n v="2.2999999999999998"/>
    <x v="0"/>
    <x v="1"/>
    <x v="0"/>
    <x v="3"/>
    <x v="3"/>
    <x v="0"/>
    <x v="1"/>
    <x v="3"/>
    <x v="0"/>
    <n v="1"/>
    <s v="Slow"/>
    <s v="1 Day"/>
    <x v="3"/>
    <s v="Wednesday"/>
    <n v="2"/>
  </r>
  <r>
    <x v="311"/>
    <d v="2024-05-03T00:00:00"/>
    <x v="1"/>
    <x v="3"/>
    <n v="49"/>
    <n v="42"/>
    <n v="7.9"/>
    <x v="0"/>
    <x v="0"/>
    <x v="0"/>
    <x v="3"/>
    <x v="3"/>
    <x v="1"/>
    <x v="0"/>
    <x v="0"/>
    <x v="0"/>
    <n v="1"/>
    <s v="Acceptable"/>
    <s v="2 Days"/>
    <x v="1"/>
    <s v="Friday"/>
    <n v="2"/>
  </r>
  <r>
    <x v="312"/>
    <d v="2024-10-03T00:00:00"/>
    <x v="4"/>
    <x v="3"/>
    <n v="66"/>
    <n v="68"/>
    <n v="6.5"/>
    <x v="1"/>
    <x v="0"/>
    <x v="0"/>
    <x v="3"/>
    <x v="3"/>
    <x v="1"/>
    <x v="1"/>
    <x v="0"/>
    <x v="0"/>
    <n v="0"/>
    <s v="Acceptable"/>
    <s v="3 Days"/>
    <x v="7"/>
    <s v="Thursday"/>
    <n v="2"/>
  </r>
  <r>
    <x v="313"/>
    <d v="2024-02-23T00:00:00"/>
    <x v="4"/>
    <x v="0"/>
    <n v="98"/>
    <n v="2"/>
    <n v="5.3"/>
    <x v="1"/>
    <x v="2"/>
    <x v="2"/>
    <x v="0"/>
    <x v="0"/>
    <x v="0"/>
    <x v="0"/>
    <x v="0"/>
    <x v="2"/>
    <n v="0"/>
    <s v="Acceptable"/>
    <s v="Same Day"/>
    <x v="9"/>
    <s v="Friday"/>
    <n v="4"/>
  </r>
  <r>
    <x v="314"/>
    <d v="2024-10-07T00:00:00"/>
    <x v="2"/>
    <x v="3"/>
    <n v="109"/>
    <n v="31"/>
    <n v="8.8000000000000007"/>
    <x v="1"/>
    <x v="1"/>
    <x v="0"/>
    <x v="3"/>
    <x v="3"/>
    <x v="1"/>
    <x v="1"/>
    <x v="2"/>
    <x v="0"/>
    <n v="0"/>
    <s v="Acceptable"/>
    <s v="2 Days"/>
    <x v="7"/>
    <s v="Monday"/>
    <n v="2"/>
  </r>
  <r>
    <x v="315"/>
    <d v="2024-08-21T00:00:00"/>
    <x v="4"/>
    <x v="3"/>
    <n v="200"/>
    <n v="55"/>
    <n v="8.1999999999999993"/>
    <x v="1"/>
    <x v="2"/>
    <x v="0"/>
    <x v="3"/>
    <x v="3"/>
    <x v="1"/>
    <x v="1"/>
    <x v="2"/>
    <x v="0"/>
    <n v="0"/>
    <s v="Slow"/>
    <s v="3 Days"/>
    <x v="0"/>
    <s v="Wednesday"/>
    <n v="2"/>
  </r>
  <r>
    <x v="316"/>
    <d v="2024-09-08T00:00:00"/>
    <x v="3"/>
    <x v="1"/>
    <n v="128"/>
    <n v="52"/>
    <n v="5"/>
    <x v="0"/>
    <x v="1"/>
    <x v="0"/>
    <x v="1"/>
    <x v="1"/>
    <x v="1"/>
    <x v="1"/>
    <x v="3"/>
    <x v="0"/>
    <n v="1"/>
    <s v="Slow"/>
    <s v="3 Days"/>
    <x v="5"/>
    <s v="Sunday"/>
    <n v="3"/>
  </r>
  <r>
    <x v="317"/>
    <d v="2024-11-25T00:00:00"/>
    <x v="3"/>
    <x v="2"/>
    <n v="6"/>
    <n v="20"/>
    <n v="2"/>
    <x v="1"/>
    <x v="0"/>
    <x v="1"/>
    <x v="2"/>
    <x v="2"/>
    <x v="1"/>
    <x v="0"/>
    <x v="1"/>
    <x v="1"/>
    <n v="0"/>
    <s v="Very Fast"/>
    <s v="1 Day"/>
    <x v="6"/>
    <s v="Monday"/>
    <n v="1"/>
  </r>
  <r>
    <x v="318"/>
    <d v="2024-08-05T00:00:00"/>
    <x v="4"/>
    <x v="0"/>
    <n v="181"/>
    <n v="70"/>
    <n v="9.1999999999999993"/>
    <x v="1"/>
    <x v="1"/>
    <x v="1"/>
    <x v="0"/>
    <x v="0"/>
    <x v="0"/>
    <x v="0"/>
    <x v="2"/>
    <x v="1"/>
    <n v="0"/>
    <s v="Slow"/>
    <s v="3 Days"/>
    <x v="0"/>
    <s v="Monday"/>
    <n v="4"/>
  </r>
  <r>
    <x v="319"/>
    <d v="2024-01-29T00:00:00"/>
    <x v="4"/>
    <x v="0"/>
    <n v="61"/>
    <n v="43"/>
    <n v="4.5"/>
    <x v="0"/>
    <x v="1"/>
    <x v="0"/>
    <x v="0"/>
    <x v="0"/>
    <x v="0"/>
    <x v="0"/>
    <x v="3"/>
    <x v="0"/>
    <n v="1"/>
    <s v="Acceptable"/>
    <s v="2 Days"/>
    <x v="8"/>
    <s v="Monday"/>
    <n v="4"/>
  </r>
  <r>
    <x v="320"/>
    <d v="2024-06-15T00:00:00"/>
    <x v="3"/>
    <x v="0"/>
    <n v="216"/>
    <n v="53"/>
    <n v="3.8"/>
    <x v="0"/>
    <x v="0"/>
    <x v="0"/>
    <x v="0"/>
    <x v="0"/>
    <x v="0"/>
    <x v="0"/>
    <x v="3"/>
    <x v="0"/>
    <n v="1"/>
    <s v="Slow"/>
    <s v="3 Days"/>
    <x v="4"/>
    <s v="Saturday"/>
    <n v="4"/>
  </r>
  <r>
    <x v="321"/>
    <d v="2024-07-21T00:00:00"/>
    <x v="0"/>
    <x v="3"/>
    <n v="98"/>
    <n v="15"/>
    <n v="8.8000000000000007"/>
    <x v="1"/>
    <x v="2"/>
    <x v="0"/>
    <x v="3"/>
    <x v="3"/>
    <x v="0"/>
    <x v="1"/>
    <x v="2"/>
    <x v="0"/>
    <n v="0"/>
    <s v="Acceptable"/>
    <s v="1 Day"/>
    <x v="10"/>
    <s v="Sunday"/>
    <n v="2"/>
  </r>
  <r>
    <x v="322"/>
    <d v="2024-02-27T00:00:00"/>
    <x v="1"/>
    <x v="2"/>
    <n v="182"/>
    <n v="21"/>
    <n v="7.6"/>
    <x v="0"/>
    <x v="2"/>
    <x v="0"/>
    <x v="2"/>
    <x v="2"/>
    <x v="1"/>
    <x v="1"/>
    <x v="0"/>
    <x v="0"/>
    <n v="1"/>
    <s v="Slow"/>
    <s v="1 Day"/>
    <x v="9"/>
    <s v="Tuesday"/>
    <n v="1"/>
  </r>
  <r>
    <x v="323"/>
    <d v="2024-07-24T00:00:00"/>
    <x v="2"/>
    <x v="2"/>
    <n v="225"/>
    <n v="30"/>
    <n v="1.7"/>
    <x v="1"/>
    <x v="1"/>
    <x v="0"/>
    <x v="2"/>
    <x v="2"/>
    <x v="1"/>
    <x v="1"/>
    <x v="1"/>
    <x v="0"/>
    <n v="0"/>
    <s v="Slow"/>
    <s v="2 Days"/>
    <x v="10"/>
    <s v="Wednesday"/>
    <n v="1"/>
  </r>
  <r>
    <x v="324"/>
    <d v="2024-05-03T00:00:00"/>
    <x v="3"/>
    <x v="0"/>
    <n v="140"/>
    <n v="24"/>
    <n v="3.4"/>
    <x v="0"/>
    <x v="2"/>
    <x v="0"/>
    <x v="0"/>
    <x v="0"/>
    <x v="0"/>
    <x v="0"/>
    <x v="3"/>
    <x v="0"/>
    <n v="1"/>
    <s v="Slow"/>
    <s v="1 Day"/>
    <x v="1"/>
    <s v="Friday"/>
    <n v="4"/>
  </r>
  <r>
    <x v="325"/>
    <d v="2024-08-28T00:00:00"/>
    <x v="4"/>
    <x v="1"/>
    <n v="215"/>
    <n v="62"/>
    <n v="5.7"/>
    <x v="1"/>
    <x v="0"/>
    <x v="1"/>
    <x v="1"/>
    <x v="1"/>
    <x v="1"/>
    <x v="1"/>
    <x v="0"/>
    <x v="1"/>
    <n v="0"/>
    <s v="Slow"/>
    <s v="3 Days"/>
    <x v="0"/>
    <s v="Wednesday"/>
    <n v="3"/>
  </r>
  <r>
    <x v="326"/>
    <d v="2024-05-18T00:00:00"/>
    <x v="3"/>
    <x v="2"/>
    <n v="54"/>
    <n v="1"/>
    <n v="3.2"/>
    <x v="0"/>
    <x v="0"/>
    <x v="0"/>
    <x v="2"/>
    <x v="2"/>
    <x v="0"/>
    <x v="1"/>
    <x v="3"/>
    <x v="0"/>
    <n v="1"/>
    <s v="Acceptable"/>
    <s v="Same Day"/>
    <x v="1"/>
    <s v="Saturday"/>
    <n v="1"/>
  </r>
  <r>
    <x v="327"/>
    <d v="2024-02-11T00:00:00"/>
    <x v="2"/>
    <x v="3"/>
    <n v="132"/>
    <n v="29"/>
    <n v="9"/>
    <x v="0"/>
    <x v="2"/>
    <x v="0"/>
    <x v="3"/>
    <x v="3"/>
    <x v="1"/>
    <x v="1"/>
    <x v="2"/>
    <x v="0"/>
    <n v="1"/>
    <s v="Slow"/>
    <s v="2 Days"/>
    <x v="9"/>
    <s v="Sunday"/>
    <n v="2"/>
  </r>
  <r>
    <x v="328"/>
    <d v="2024-01-01T00:00:00"/>
    <x v="4"/>
    <x v="1"/>
    <n v="153"/>
    <n v="62"/>
    <n v="2.1"/>
    <x v="0"/>
    <x v="2"/>
    <x v="0"/>
    <x v="1"/>
    <x v="1"/>
    <x v="1"/>
    <x v="1"/>
    <x v="3"/>
    <x v="0"/>
    <n v="1"/>
    <s v="Slow"/>
    <s v="3 Days"/>
    <x v="8"/>
    <s v="Monday"/>
    <n v="3"/>
  </r>
  <r>
    <x v="329"/>
    <d v="2024-09-27T00:00:00"/>
    <x v="3"/>
    <x v="2"/>
    <n v="219"/>
    <n v="36"/>
    <n v="1.4"/>
    <x v="0"/>
    <x v="2"/>
    <x v="0"/>
    <x v="2"/>
    <x v="2"/>
    <x v="1"/>
    <x v="1"/>
    <x v="1"/>
    <x v="0"/>
    <n v="1"/>
    <s v="Slow"/>
    <s v="2 Days"/>
    <x v="5"/>
    <s v="Friday"/>
    <n v="1"/>
  </r>
  <r>
    <x v="330"/>
    <d v="2024-10-05T00:00:00"/>
    <x v="3"/>
    <x v="3"/>
    <n v="209"/>
    <n v="26"/>
    <n v="2"/>
    <x v="0"/>
    <x v="2"/>
    <x v="0"/>
    <x v="3"/>
    <x v="3"/>
    <x v="1"/>
    <x v="1"/>
    <x v="1"/>
    <x v="0"/>
    <n v="1"/>
    <s v="Slow"/>
    <s v="2 Days"/>
    <x v="7"/>
    <s v="Saturday"/>
    <n v="2"/>
  </r>
  <r>
    <x v="331"/>
    <d v="2024-07-18T00:00:00"/>
    <x v="1"/>
    <x v="2"/>
    <n v="199"/>
    <n v="64"/>
    <n v="5.0999999999999996"/>
    <x v="0"/>
    <x v="2"/>
    <x v="0"/>
    <x v="2"/>
    <x v="2"/>
    <x v="1"/>
    <x v="1"/>
    <x v="0"/>
    <x v="0"/>
    <n v="1"/>
    <s v="Slow"/>
    <s v="3 Days"/>
    <x v="10"/>
    <s v="Thursday"/>
    <n v="1"/>
  </r>
  <r>
    <x v="332"/>
    <d v="2024-03-16T00:00:00"/>
    <x v="2"/>
    <x v="0"/>
    <n v="39"/>
    <n v="33"/>
    <n v="2.8"/>
    <x v="1"/>
    <x v="1"/>
    <x v="0"/>
    <x v="0"/>
    <x v="0"/>
    <x v="0"/>
    <x v="0"/>
    <x v="3"/>
    <x v="0"/>
    <n v="0"/>
    <s v="Acceptable"/>
    <s v="2 Days"/>
    <x v="2"/>
    <s v="Saturday"/>
    <n v="4"/>
  </r>
  <r>
    <x v="333"/>
    <d v="2024-07-29T00:00:00"/>
    <x v="4"/>
    <x v="0"/>
    <n v="105"/>
    <n v="52"/>
    <n v="6.1"/>
    <x v="0"/>
    <x v="2"/>
    <x v="0"/>
    <x v="0"/>
    <x v="0"/>
    <x v="0"/>
    <x v="0"/>
    <x v="0"/>
    <x v="0"/>
    <n v="1"/>
    <s v="Acceptable"/>
    <s v="3 Days"/>
    <x v="10"/>
    <s v="Monday"/>
    <n v="4"/>
  </r>
  <r>
    <x v="334"/>
    <d v="2024-07-22T00:00:00"/>
    <x v="3"/>
    <x v="2"/>
    <n v="8"/>
    <n v="48"/>
    <n v="4.5"/>
    <x v="0"/>
    <x v="1"/>
    <x v="0"/>
    <x v="2"/>
    <x v="2"/>
    <x v="1"/>
    <x v="0"/>
    <x v="3"/>
    <x v="0"/>
    <n v="1"/>
    <s v="Very Fast"/>
    <s v="2 Days"/>
    <x v="10"/>
    <s v="Monday"/>
    <n v="1"/>
  </r>
  <r>
    <x v="335"/>
    <d v="2024-10-12T00:00:00"/>
    <x v="4"/>
    <x v="3"/>
    <n v="67"/>
    <n v="6"/>
    <n v="2.7"/>
    <x v="0"/>
    <x v="0"/>
    <x v="0"/>
    <x v="3"/>
    <x v="3"/>
    <x v="0"/>
    <x v="1"/>
    <x v="3"/>
    <x v="0"/>
    <n v="1"/>
    <s v="Acceptable"/>
    <s v="Same Day"/>
    <x v="7"/>
    <s v="Saturday"/>
    <n v="2"/>
  </r>
  <r>
    <x v="336"/>
    <d v="2024-06-14T00:00:00"/>
    <x v="2"/>
    <x v="1"/>
    <n v="133"/>
    <n v="27"/>
    <n v="3.6"/>
    <x v="1"/>
    <x v="0"/>
    <x v="0"/>
    <x v="1"/>
    <x v="1"/>
    <x v="0"/>
    <x v="1"/>
    <x v="3"/>
    <x v="0"/>
    <n v="0"/>
    <s v="Slow"/>
    <s v="2 Days"/>
    <x v="4"/>
    <s v="Friday"/>
    <n v="3"/>
  </r>
  <r>
    <x v="337"/>
    <d v="2024-05-15T00:00:00"/>
    <x v="1"/>
    <x v="0"/>
    <n v="204"/>
    <n v="15"/>
    <n v="4.7"/>
    <x v="1"/>
    <x v="2"/>
    <x v="0"/>
    <x v="0"/>
    <x v="0"/>
    <x v="0"/>
    <x v="0"/>
    <x v="3"/>
    <x v="0"/>
    <n v="0"/>
    <s v="Slow"/>
    <s v="1 Day"/>
    <x v="1"/>
    <s v="Wednesday"/>
    <n v="4"/>
  </r>
  <r>
    <x v="338"/>
    <d v="2024-03-16T00:00:00"/>
    <x v="1"/>
    <x v="1"/>
    <n v="116"/>
    <n v="44"/>
    <n v="1.1000000000000001"/>
    <x v="0"/>
    <x v="2"/>
    <x v="0"/>
    <x v="1"/>
    <x v="1"/>
    <x v="0"/>
    <x v="0"/>
    <x v="1"/>
    <x v="0"/>
    <n v="1"/>
    <s v="Acceptable"/>
    <s v="2 Days"/>
    <x v="2"/>
    <s v="Saturday"/>
    <n v="3"/>
  </r>
  <r>
    <x v="339"/>
    <d v="2024-01-29T00:00:00"/>
    <x v="2"/>
    <x v="1"/>
    <n v="133"/>
    <n v="46"/>
    <n v="1.9"/>
    <x v="0"/>
    <x v="0"/>
    <x v="0"/>
    <x v="1"/>
    <x v="1"/>
    <x v="0"/>
    <x v="1"/>
    <x v="1"/>
    <x v="0"/>
    <n v="1"/>
    <s v="Slow"/>
    <s v="2 Days"/>
    <x v="8"/>
    <s v="Monday"/>
    <n v="3"/>
  </r>
  <r>
    <x v="340"/>
    <d v="2024-01-20T00:00:00"/>
    <x v="4"/>
    <x v="0"/>
    <n v="226"/>
    <n v="16"/>
    <n v="5.0999999999999996"/>
    <x v="1"/>
    <x v="2"/>
    <x v="1"/>
    <x v="0"/>
    <x v="0"/>
    <x v="0"/>
    <x v="0"/>
    <x v="0"/>
    <x v="1"/>
    <n v="0"/>
    <s v="Slow"/>
    <s v="1 Day"/>
    <x v="8"/>
    <s v="Saturday"/>
    <n v="4"/>
  </r>
  <r>
    <x v="341"/>
    <d v="2024-03-26T00:00:00"/>
    <x v="2"/>
    <x v="2"/>
    <n v="111"/>
    <n v="22"/>
    <n v="1.8"/>
    <x v="0"/>
    <x v="1"/>
    <x v="0"/>
    <x v="2"/>
    <x v="2"/>
    <x v="1"/>
    <x v="1"/>
    <x v="1"/>
    <x v="0"/>
    <n v="1"/>
    <s v="Acceptable"/>
    <s v="1 Day"/>
    <x v="2"/>
    <s v="Tuesday"/>
    <n v="1"/>
  </r>
  <r>
    <x v="342"/>
    <d v="2024-11-18T00:00:00"/>
    <x v="1"/>
    <x v="3"/>
    <n v="230"/>
    <n v="15"/>
    <n v="7.7"/>
    <x v="1"/>
    <x v="0"/>
    <x v="0"/>
    <x v="3"/>
    <x v="3"/>
    <x v="0"/>
    <x v="1"/>
    <x v="0"/>
    <x v="0"/>
    <n v="0"/>
    <s v="Slow"/>
    <s v="1 Day"/>
    <x v="6"/>
    <s v="Monday"/>
    <n v="2"/>
  </r>
  <r>
    <x v="343"/>
    <d v="2024-11-20T00:00:00"/>
    <x v="4"/>
    <x v="3"/>
    <n v="204"/>
    <n v="17"/>
    <n v="7.3"/>
    <x v="1"/>
    <x v="0"/>
    <x v="0"/>
    <x v="3"/>
    <x v="3"/>
    <x v="0"/>
    <x v="1"/>
    <x v="0"/>
    <x v="0"/>
    <n v="0"/>
    <s v="Slow"/>
    <s v="1 Day"/>
    <x v="6"/>
    <s v="Wednesday"/>
    <n v="2"/>
  </r>
  <r>
    <x v="344"/>
    <d v="2024-11-20T00:00:00"/>
    <x v="2"/>
    <x v="3"/>
    <n v="63"/>
    <n v="55"/>
    <n v="6.4"/>
    <x v="0"/>
    <x v="2"/>
    <x v="0"/>
    <x v="3"/>
    <x v="3"/>
    <x v="1"/>
    <x v="1"/>
    <x v="0"/>
    <x v="0"/>
    <n v="1"/>
    <s v="Acceptable"/>
    <s v="3 Days"/>
    <x v="6"/>
    <s v="Wednesday"/>
    <n v="2"/>
  </r>
  <r>
    <x v="345"/>
    <d v="2024-03-05T00:00:00"/>
    <x v="0"/>
    <x v="3"/>
    <n v="84"/>
    <n v="17"/>
    <n v="4.5999999999999996"/>
    <x v="0"/>
    <x v="1"/>
    <x v="0"/>
    <x v="3"/>
    <x v="3"/>
    <x v="0"/>
    <x v="1"/>
    <x v="3"/>
    <x v="0"/>
    <n v="1"/>
    <s v="Acceptable"/>
    <s v="1 Day"/>
    <x v="2"/>
    <s v="Tuesday"/>
    <n v="2"/>
  </r>
  <r>
    <x v="346"/>
    <d v="2024-10-28T00:00:00"/>
    <x v="0"/>
    <x v="0"/>
    <n v="11"/>
    <n v="6"/>
    <n v="6.7"/>
    <x v="1"/>
    <x v="0"/>
    <x v="2"/>
    <x v="0"/>
    <x v="0"/>
    <x v="0"/>
    <x v="0"/>
    <x v="0"/>
    <x v="2"/>
    <n v="0"/>
    <s v="Very Fast"/>
    <s v="Same Day"/>
    <x v="7"/>
    <s v="Monday"/>
    <n v="4"/>
  </r>
  <r>
    <x v="347"/>
    <d v="2024-01-12T00:00:00"/>
    <x v="1"/>
    <x v="3"/>
    <n v="98"/>
    <n v="42"/>
    <n v="7.2"/>
    <x v="1"/>
    <x v="0"/>
    <x v="0"/>
    <x v="3"/>
    <x v="3"/>
    <x v="1"/>
    <x v="1"/>
    <x v="0"/>
    <x v="0"/>
    <n v="0"/>
    <s v="Acceptable"/>
    <s v="2 Days"/>
    <x v="8"/>
    <s v="Friday"/>
    <n v="2"/>
  </r>
  <r>
    <x v="348"/>
    <d v="2024-11-02T00:00:00"/>
    <x v="4"/>
    <x v="2"/>
    <n v="112"/>
    <n v="26"/>
    <n v="5.0999999999999996"/>
    <x v="0"/>
    <x v="1"/>
    <x v="0"/>
    <x v="2"/>
    <x v="2"/>
    <x v="1"/>
    <x v="1"/>
    <x v="0"/>
    <x v="0"/>
    <n v="1"/>
    <s v="Acceptable"/>
    <s v="2 Days"/>
    <x v="6"/>
    <s v="Saturday"/>
    <n v="1"/>
  </r>
  <r>
    <x v="349"/>
    <d v="2024-02-07T00:00:00"/>
    <x v="3"/>
    <x v="3"/>
    <n v="203"/>
    <n v="29"/>
    <n v="9.1"/>
    <x v="0"/>
    <x v="2"/>
    <x v="0"/>
    <x v="3"/>
    <x v="3"/>
    <x v="1"/>
    <x v="1"/>
    <x v="2"/>
    <x v="0"/>
    <n v="1"/>
    <s v="Slow"/>
    <s v="2 Days"/>
    <x v="9"/>
    <s v="Wednesday"/>
    <n v="2"/>
  </r>
  <r>
    <x v="350"/>
    <d v="2024-01-03T00:00:00"/>
    <x v="2"/>
    <x v="2"/>
    <n v="87"/>
    <n v="44"/>
    <n v="9.1999999999999993"/>
    <x v="1"/>
    <x v="2"/>
    <x v="0"/>
    <x v="2"/>
    <x v="2"/>
    <x v="1"/>
    <x v="1"/>
    <x v="2"/>
    <x v="0"/>
    <n v="0"/>
    <s v="Acceptable"/>
    <s v="2 Days"/>
    <x v="8"/>
    <s v="Wednesday"/>
    <n v="1"/>
  </r>
  <r>
    <x v="351"/>
    <d v="2024-07-07T00:00:00"/>
    <x v="4"/>
    <x v="0"/>
    <n v="173"/>
    <n v="56"/>
    <n v="1.8"/>
    <x v="0"/>
    <x v="2"/>
    <x v="0"/>
    <x v="0"/>
    <x v="0"/>
    <x v="0"/>
    <x v="0"/>
    <x v="1"/>
    <x v="0"/>
    <n v="1"/>
    <s v="Slow"/>
    <s v="3 Days"/>
    <x v="10"/>
    <s v="Sunday"/>
    <n v="4"/>
  </r>
  <r>
    <x v="352"/>
    <d v="2024-04-23T00:00:00"/>
    <x v="4"/>
    <x v="1"/>
    <n v="176"/>
    <n v="25"/>
    <n v="9.9"/>
    <x v="0"/>
    <x v="1"/>
    <x v="0"/>
    <x v="1"/>
    <x v="1"/>
    <x v="0"/>
    <x v="1"/>
    <x v="2"/>
    <x v="0"/>
    <n v="1"/>
    <s v="Slow"/>
    <s v="2 Days"/>
    <x v="3"/>
    <s v="Tuesday"/>
    <n v="3"/>
  </r>
  <r>
    <x v="353"/>
    <d v="2024-12-27T00:00:00"/>
    <x v="0"/>
    <x v="2"/>
    <n v="160"/>
    <n v="5"/>
    <n v="6.3"/>
    <x v="1"/>
    <x v="0"/>
    <x v="1"/>
    <x v="2"/>
    <x v="2"/>
    <x v="0"/>
    <x v="1"/>
    <x v="0"/>
    <x v="1"/>
    <n v="0"/>
    <s v="Slow"/>
    <s v="Same Day"/>
    <x v="11"/>
    <s v="Friday"/>
    <n v="1"/>
  </r>
  <r>
    <x v="354"/>
    <d v="2024-09-29T00:00:00"/>
    <x v="3"/>
    <x v="2"/>
    <n v="77"/>
    <n v="64"/>
    <n v="0.9"/>
    <x v="0"/>
    <x v="1"/>
    <x v="0"/>
    <x v="2"/>
    <x v="2"/>
    <x v="1"/>
    <x v="1"/>
    <x v="1"/>
    <x v="0"/>
    <n v="1"/>
    <s v="Acceptable"/>
    <s v="3 Days"/>
    <x v="5"/>
    <s v="Sunday"/>
    <n v="1"/>
  </r>
  <r>
    <x v="355"/>
    <d v="2024-02-20T00:00:00"/>
    <x v="3"/>
    <x v="1"/>
    <n v="79"/>
    <n v="4"/>
    <n v="0.6"/>
    <x v="1"/>
    <x v="1"/>
    <x v="1"/>
    <x v="1"/>
    <x v="1"/>
    <x v="0"/>
    <x v="0"/>
    <x v="1"/>
    <x v="1"/>
    <n v="0"/>
    <s v="Acceptable"/>
    <s v="Same Day"/>
    <x v="9"/>
    <s v="Tuesday"/>
    <n v="3"/>
  </r>
  <r>
    <x v="356"/>
    <d v="2024-01-17T00:00:00"/>
    <x v="0"/>
    <x v="0"/>
    <n v="199"/>
    <n v="27"/>
    <n v="1.4"/>
    <x v="0"/>
    <x v="2"/>
    <x v="0"/>
    <x v="0"/>
    <x v="0"/>
    <x v="0"/>
    <x v="0"/>
    <x v="1"/>
    <x v="0"/>
    <n v="1"/>
    <s v="Slow"/>
    <s v="2 Days"/>
    <x v="8"/>
    <s v="Wednesday"/>
    <n v="4"/>
  </r>
  <r>
    <x v="357"/>
    <d v="2024-06-01T00:00:00"/>
    <x v="0"/>
    <x v="3"/>
    <n v="81"/>
    <n v="68"/>
    <n v="5.0999999999999996"/>
    <x v="1"/>
    <x v="0"/>
    <x v="0"/>
    <x v="3"/>
    <x v="3"/>
    <x v="1"/>
    <x v="1"/>
    <x v="0"/>
    <x v="0"/>
    <n v="0"/>
    <s v="Acceptable"/>
    <s v="3 Days"/>
    <x v="4"/>
    <s v="Saturday"/>
    <n v="2"/>
  </r>
  <r>
    <x v="358"/>
    <d v="2024-05-12T00:00:00"/>
    <x v="3"/>
    <x v="1"/>
    <n v="52"/>
    <n v="11"/>
    <n v="7.8"/>
    <x v="1"/>
    <x v="0"/>
    <x v="1"/>
    <x v="1"/>
    <x v="1"/>
    <x v="0"/>
    <x v="0"/>
    <x v="0"/>
    <x v="1"/>
    <n v="0"/>
    <s v="Acceptable"/>
    <s v="1 Day"/>
    <x v="1"/>
    <s v="Sunday"/>
    <n v="3"/>
  </r>
  <r>
    <x v="359"/>
    <d v="2024-04-28T00:00:00"/>
    <x v="3"/>
    <x v="0"/>
    <n v="30"/>
    <n v="58"/>
    <n v="5.8"/>
    <x v="0"/>
    <x v="0"/>
    <x v="1"/>
    <x v="0"/>
    <x v="0"/>
    <x v="0"/>
    <x v="0"/>
    <x v="0"/>
    <x v="1"/>
    <n v="1"/>
    <s v="Very Fast"/>
    <s v="3 Days"/>
    <x v="3"/>
    <s v="Sunday"/>
    <n v="4"/>
  </r>
  <r>
    <x v="360"/>
    <d v="2024-12-10T00:00:00"/>
    <x v="4"/>
    <x v="0"/>
    <n v="57"/>
    <n v="41"/>
    <n v="6.9"/>
    <x v="0"/>
    <x v="0"/>
    <x v="0"/>
    <x v="0"/>
    <x v="0"/>
    <x v="0"/>
    <x v="0"/>
    <x v="0"/>
    <x v="0"/>
    <n v="1"/>
    <s v="Acceptable"/>
    <s v="2 Days"/>
    <x v="11"/>
    <s v="Tuesday"/>
    <n v="4"/>
  </r>
  <r>
    <x v="361"/>
    <d v="2024-05-23T00:00:00"/>
    <x v="2"/>
    <x v="1"/>
    <n v="141"/>
    <n v="46"/>
    <n v="2.5"/>
    <x v="1"/>
    <x v="2"/>
    <x v="0"/>
    <x v="1"/>
    <x v="1"/>
    <x v="0"/>
    <x v="1"/>
    <x v="3"/>
    <x v="0"/>
    <n v="0"/>
    <s v="Slow"/>
    <s v="2 Days"/>
    <x v="1"/>
    <s v="Thursday"/>
    <n v="3"/>
  </r>
  <r>
    <x v="362"/>
    <d v="2024-03-15T00:00:00"/>
    <x v="3"/>
    <x v="1"/>
    <n v="190"/>
    <n v="22"/>
    <n v="1.8"/>
    <x v="1"/>
    <x v="2"/>
    <x v="0"/>
    <x v="1"/>
    <x v="1"/>
    <x v="0"/>
    <x v="1"/>
    <x v="1"/>
    <x v="0"/>
    <n v="0"/>
    <s v="Slow"/>
    <s v="1 Day"/>
    <x v="2"/>
    <s v="Friday"/>
    <n v="3"/>
  </r>
  <r>
    <x v="363"/>
    <d v="2024-12-18T00:00:00"/>
    <x v="0"/>
    <x v="0"/>
    <n v="71"/>
    <n v="57"/>
    <n v="7.6"/>
    <x v="0"/>
    <x v="2"/>
    <x v="0"/>
    <x v="0"/>
    <x v="0"/>
    <x v="0"/>
    <x v="0"/>
    <x v="0"/>
    <x v="0"/>
    <n v="1"/>
    <s v="Acceptable"/>
    <s v="3 Days"/>
    <x v="11"/>
    <s v="Wednesday"/>
    <n v="4"/>
  </r>
  <r>
    <x v="364"/>
    <d v="2024-08-27T00:00:00"/>
    <x v="2"/>
    <x v="0"/>
    <n v="39"/>
    <n v="66"/>
    <n v="1"/>
    <x v="1"/>
    <x v="0"/>
    <x v="0"/>
    <x v="0"/>
    <x v="0"/>
    <x v="0"/>
    <x v="0"/>
    <x v="1"/>
    <x v="0"/>
    <n v="0"/>
    <s v="Acceptable"/>
    <s v="3 Days"/>
    <x v="0"/>
    <s v="Tuesday"/>
    <n v="4"/>
  </r>
  <r>
    <x v="365"/>
    <d v="2024-06-02T00:00:00"/>
    <x v="1"/>
    <x v="2"/>
    <n v="31"/>
    <n v="56"/>
    <n v="1.3"/>
    <x v="1"/>
    <x v="0"/>
    <x v="0"/>
    <x v="2"/>
    <x v="2"/>
    <x v="1"/>
    <x v="1"/>
    <x v="1"/>
    <x v="0"/>
    <n v="0"/>
    <s v="Acceptable"/>
    <s v="3 Days"/>
    <x v="4"/>
    <s v="Sunday"/>
    <n v="1"/>
  </r>
  <r>
    <x v="366"/>
    <d v="2024-04-04T00:00:00"/>
    <x v="0"/>
    <x v="2"/>
    <n v="137"/>
    <n v="54"/>
    <n v="5.2"/>
    <x v="1"/>
    <x v="2"/>
    <x v="0"/>
    <x v="2"/>
    <x v="2"/>
    <x v="1"/>
    <x v="1"/>
    <x v="0"/>
    <x v="0"/>
    <n v="0"/>
    <s v="Slow"/>
    <s v="3 Days"/>
    <x v="3"/>
    <s v="Thursday"/>
    <n v="1"/>
  </r>
  <r>
    <x v="367"/>
    <d v="2024-09-05T00:00:00"/>
    <x v="1"/>
    <x v="1"/>
    <n v="177"/>
    <n v="54"/>
    <n v="7.3"/>
    <x v="1"/>
    <x v="0"/>
    <x v="1"/>
    <x v="1"/>
    <x v="1"/>
    <x v="1"/>
    <x v="1"/>
    <x v="0"/>
    <x v="1"/>
    <n v="0"/>
    <s v="Slow"/>
    <s v="3 Days"/>
    <x v="5"/>
    <s v="Thursday"/>
    <n v="3"/>
  </r>
  <r>
    <x v="368"/>
    <d v="2024-01-10T00:00:00"/>
    <x v="0"/>
    <x v="1"/>
    <n v="115"/>
    <n v="47"/>
    <n v="5.4"/>
    <x v="1"/>
    <x v="0"/>
    <x v="1"/>
    <x v="1"/>
    <x v="1"/>
    <x v="0"/>
    <x v="0"/>
    <x v="0"/>
    <x v="1"/>
    <n v="0"/>
    <s v="Acceptable"/>
    <s v="2 Days"/>
    <x v="8"/>
    <s v="Wednesday"/>
    <n v="3"/>
  </r>
  <r>
    <x v="369"/>
    <d v="2024-08-08T00:00:00"/>
    <x v="1"/>
    <x v="1"/>
    <n v="192"/>
    <n v="44"/>
    <n v="2.6"/>
    <x v="0"/>
    <x v="0"/>
    <x v="0"/>
    <x v="1"/>
    <x v="1"/>
    <x v="0"/>
    <x v="1"/>
    <x v="3"/>
    <x v="0"/>
    <n v="1"/>
    <s v="Slow"/>
    <s v="2 Days"/>
    <x v="0"/>
    <s v="Thursday"/>
    <n v="3"/>
  </r>
  <r>
    <x v="370"/>
    <d v="2024-06-16T00:00:00"/>
    <x v="3"/>
    <x v="3"/>
    <n v="47"/>
    <n v="64"/>
    <n v="2.5"/>
    <x v="1"/>
    <x v="1"/>
    <x v="0"/>
    <x v="3"/>
    <x v="3"/>
    <x v="1"/>
    <x v="0"/>
    <x v="3"/>
    <x v="0"/>
    <n v="0"/>
    <s v="Acceptable"/>
    <s v="3 Days"/>
    <x v="4"/>
    <s v="Sunday"/>
    <n v="2"/>
  </r>
  <r>
    <x v="371"/>
    <d v="2024-08-10T00:00:00"/>
    <x v="4"/>
    <x v="0"/>
    <n v="219"/>
    <n v="28"/>
    <n v="8.1"/>
    <x v="0"/>
    <x v="0"/>
    <x v="0"/>
    <x v="0"/>
    <x v="0"/>
    <x v="0"/>
    <x v="0"/>
    <x v="2"/>
    <x v="0"/>
    <n v="1"/>
    <s v="Slow"/>
    <s v="2 Days"/>
    <x v="0"/>
    <s v="Saturday"/>
    <n v="4"/>
  </r>
  <r>
    <x v="372"/>
    <d v="2024-03-27T00:00:00"/>
    <x v="2"/>
    <x v="1"/>
    <n v="223"/>
    <n v="27"/>
    <n v="5.5"/>
    <x v="1"/>
    <x v="1"/>
    <x v="1"/>
    <x v="1"/>
    <x v="1"/>
    <x v="0"/>
    <x v="1"/>
    <x v="0"/>
    <x v="1"/>
    <n v="0"/>
    <s v="Slow"/>
    <s v="2 Days"/>
    <x v="2"/>
    <s v="Wednesday"/>
    <n v="3"/>
  </r>
  <r>
    <x v="373"/>
    <d v="2024-07-07T00:00:00"/>
    <x v="3"/>
    <x v="1"/>
    <n v="10"/>
    <n v="22"/>
    <n v="5.9"/>
    <x v="0"/>
    <x v="1"/>
    <x v="1"/>
    <x v="1"/>
    <x v="1"/>
    <x v="0"/>
    <x v="0"/>
    <x v="0"/>
    <x v="1"/>
    <n v="1"/>
    <s v="Very Fast"/>
    <s v="1 Day"/>
    <x v="10"/>
    <s v="Sunday"/>
    <n v="3"/>
  </r>
  <r>
    <x v="374"/>
    <d v="2024-05-27T00:00:00"/>
    <x v="3"/>
    <x v="3"/>
    <n v="125"/>
    <n v="60"/>
    <n v="5.7"/>
    <x v="1"/>
    <x v="0"/>
    <x v="0"/>
    <x v="3"/>
    <x v="3"/>
    <x v="1"/>
    <x v="1"/>
    <x v="0"/>
    <x v="0"/>
    <n v="0"/>
    <s v="Slow"/>
    <s v="3 Days"/>
    <x v="1"/>
    <s v="Monday"/>
    <n v="2"/>
  </r>
  <r>
    <x v="375"/>
    <d v="2024-10-23T00:00:00"/>
    <x v="3"/>
    <x v="0"/>
    <n v="67"/>
    <n v="33"/>
    <n v="4.7"/>
    <x v="0"/>
    <x v="2"/>
    <x v="0"/>
    <x v="0"/>
    <x v="0"/>
    <x v="0"/>
    <x v="0"/>
    <x v="3"/>
    <x v="0"/>
    <n v="1"/>
    <s v="Acceptable"/>
    <s v="2 Days"/>
    <x v="7"/>
    <s v="Wednesday"/>
    <n v="4"/>
  </r>
  <r>
    <x v="376"/>
    <d v="2024-06-26T00:00:00"/>
    <x v="4"/>
    <x v="0"/>
    <n v="109"/>
    <n v="19"/>
    <n v="9"/>
    <x v="1"/>
    <x v="2"/>
    <x v="1"/>
    <x v="0"/>
    <x v="0"/>
    <x v="0"/>
    <x v="0"/>
    <x v="2"/>
    <x v="1"/>
    <n v="0"/>
    <s v="Acceptable"/>
    <s v="1 Day"/>
    <x v="4"/>
    <s v="Wednesday"/>
    <n v="4"/>
  </r>
  <r>
    <x v="377"/>
    <d v="2024-06-21T00:00:00"/>
    <x v="1"/>
    <x v="3"/>
    <n v="227"/>
    <n v="24"/>
    <n v="8.5"/>
    <x v="0"/>
    <x v="1"/>
    <x v="0"/>
    <x v="3"/>
    <x v="3"/>
    <x v="0"/>
    <x v="1"/>
    <x v="2"/>
    <x v="0"/>
    <n v="1"/>
    <s v="Slow"/>
    <s v="1 Day"/>
    <x v="4"/>
    <s v="Friday"/>
    <n v="2"/>
  </r>
  <r>
    <x v="378"/>
    <d v="2024-03-05T00:00:00"/>
    <x v="3"/>
    <x v="1"/>
    <n v="146"/>
    <n v="54"/>
    <n v="3"/>
    <x v="1"/>
    <x v="1"/>
    <x v="0"/>
    <x v="1"/>
    <x v="1"/>
    <x v="1"/>
    <x v="1"/>
    <x v="3"/>
    <x v="0"/>
    <n v="0"/>
    <s v="Slow"/>
    <s v="3 Days"/>
    <x v="2"/>
    <s v="Tuesday"/>
    <n v="3"/>
  </r>
  <r>
    <x v="379"/>
    <d v="2024-01-19T00:00:00"/>
    <x v="0"/>
    <x v="3"/>
    <n v="166"/>
    <n v="11"/>
    <n v="1.3"/>
    <x v="1"/>
    <x v="0"/>
    <x v="0"/>
    <x v="3"/>
    <x v="3"/>
    <x v="0"/>
    <x v="1"/>
    <x v="1"/>
    <x v="0"/>
    <n v="0"/>
    <s v="Slow"/>
    <s v="1 Day"/>
    <x v="8"/>
    <s v="Friday"/>
    <n v="2"/>
  </r>
  <r>
    <x v="380"/>
    <d v="2024-07-27T00:00:00"/>
    <x v="3"/>
    <x v="3"/>
    <n v="126"/>
    <n v="25"/>
    <n v="4.8"/>
    <x v="1"/>
    <x v="2"/>
    <x v="0"/>
    <x v="3"/>
    <x v="3"/>
    <x v="1"/>
    <x v="1"/>
    <x v="3"/>
    <x v="0"/>
    <n v="0"/>
    <s v="Slow"/>
    <s v="2 Days"/>
    <x v="10"/>
    <s v="Saturday"/>
    <n v="2"/>
  </r>
  <r>
    <x v="381"/>
    <d v="2024-04-29T00:00:00"/>
    <x v="0"/>
    <x v="2"/>
    <n v="53"/>
    <n v="25"/>
    <n v="8.5"/>
    <x v="0"/>
    <x v="1"/>
    <x v="0"/>
    <x v="2"/>
    <x v="2"/>
    <x v="1"/>
    <x v="1"/>
    <x v="2"/>
    <x v="0"/>
    <n v="1"/>
    <s v="Acceptable"/>
    <s v="2 Days"/>
    <x v="3"/>
    <s v="Monday"/>
    <n v="1"/>
  </r>
  <r>
    <x v="382"/>
    <d v="2024-06-20T00:00:00"/>
    <x v="4"/>
    <x v="2"/>
    <n v="112"/>
    <n v="27"/>
    <n v="5"/>
    <x v="0"/>
    <x v="0"/>
    <x v="0"/>
    <x v="2"/>
    <x v="2"/>
    <x v="1"/>
    <x v="1"/>
    <x v="3"/>
    <x v="0"/>
    <n v="1"/>
    <s v="Acceptable"/>
    <s v="2 Days"/>
    <x v="4"/>
    <s v="Thursday"/>
    <n v="1"/>
  </r>
  <r>
    <x v="383"/>
    <d v="2024-12-04T00:00:00"/>
    <x v="3"/>
    <x v="3"/>
    <n v="28"/>
    <n v="1"/>
    <n v="10"/>
    <x v="0"/>
    <x v="0"/>
    <x v="2"/>
    <x v="3"/>
    <x v="3"/>
    <x v="0"/>
    <x v="0"/>
    <x v="2"/>
    <x v="2"/>
    <n v="1"/>
    <s v="Very Fast"/>
    <s v="Same Day"/>
    <x v="11"/>
    <s v="Wednesday"/>
    <n v="2"/>
  </r>
  <r>
    <x v="384"/>
    <d v="2024-10-09T00:00:00"/>
    <x v="2"/>
    <x v="0"/>
    <n v="228"/>
    <n v="6"/>
    <n v="7.9"/>
    <x v="0"/>
    <x v="1"/>
    <x v="1"/>
    <x v="0"/>
    <x v="0"/>
    <x v="0"/>
    <x v="0"/>
    <x v="0"/>
    <x v="1"/>
    <n v="1"/>
    <s v="Slow"/>
    <s v="Same Day"/>
    <x v="7"/>
    <s v="Wednesday"/>
    <n v="4"/>
  </r>
  <r>
    <x v="385"/>
    <d v="2024-08-20T00:00:00"/>
    <x v="3"/>
    <x v="2"/>
    <n v="90"/>
    <n v="47"/>
    <n v="4.2"/>
    <x v="0"/>
    <x v="2"/>
    <x v="0"/>
    <x v="2"/>
    <x v="2"/>
    <x v="1"/>
    <x v="1"/>
    <x v="3"/>
    <x v="0"/>
    <n v="1"/>
    <s v="Acceptable"/>
    <s v="2 Days"/>
    <x v="0"/>
    <s v="Tuesday"/>
    <n v="1"/>
  </r>
  <r>
    <x v="386"/>
    <d v="2024-06-17T00:00:00"/>
    <x v="0"/>
    <x v="1"/>
    <n v="10"/>
    <n v="25"/>
    <n v="0.9"/>
    <x v="0"/>
    <x v="0"/>
    <x v="1"/>
    <x v="1"/>
    <x v="1"/>
    <x v="0"/>
    <x v="0"/>
    <x v="1"/>
    <x v="1"/>
    <n v="1"/>
    <s v="Very Fast"/>
    <s v="2 Days"/>
    <x v="4"/>
    <s v="Monday"/>
    <n v="3"/>
  </r>
  <r>
    <x v="387"/>
    <d v="2024-05-30T00:00:00"/>
    <x v="1"/>
    <x v="1"/>
    <n v="128"/>
    <n v="50"/>
    <n v="0.6"/>
    <x v="0"/>
    <x v="1"/>
    <x v="0"/>
    <x v="1"/>
    <x v="1"/>
    <x v="1"/>
    <x v="1"/>
    <x v="1"/>
    <x v="0"/>
    <n v="1"/>
    <s v="Slow"/>
    <s v="3 Days"/>
    <x v="1"/>
    <s v="Thursday"/>
    <n v="3"/>
  </r>
  <r>
    <x v="388"/>
    <d v="2024-09-02T00:00:00"/>
    <x v="1"/>
    <x v="1"/>
    <n v="107"/>
    <n v="71"/>
    <n v="7.7"/>
    <x v="0"/>
    <x v="1"/>
    <x v="0"/>
    <x v="1"/>
    <x v="1"/>
    <x v="1"/>
    <x v="0"/>
    <x v="0"/>
    <x v="0"/>
    <n v="1"/>
    <s v="Acceptable"/>
    <s v="3 Days"/>
    <x v="5"/>
    <s v="Monday"/>
    <n v="3"/>
  </r>
  <r>
    <x v="389"/>
    <d v="2024-02-12T00:00:00"/>
    <x v="2"/>
    <x v="2"/>
    <n v="83"/>
    <n v="42"/>
    <n v="3"/>
    <x v="1"/>
    <x v="0"/>
    <x v="0"/>
    <x v="2"/>
    <x v="2"/>
    <x v="1"/>
    <x v="1"/>
    <x v="3"/>
    <x v="0"/>
    <n v="0"/>
    <s v="Acceptable"/>
    <s v="2 Days"/>
    <x v="9"/>
    <s v="Monday"/>
    <n v="1"/>
  </r>
  <r>
    <x v="390"/>
    <d v="2024-09-19T00:00:00"/>
    <x v="1"/>
    <x v="3"/>
    <n v="112"/>
    <n v="38"/>
    <n v="4.5"/>
    <x v="1"/>
    <x v="2"/>
    <x v="0"/>
    <x v="3"/>
    <x v="3"/>
    <x v="1"/>
    <x v="1"/>
    <x v="3"/>
    <x v="0"/>
    <n v="0"/>
    <s v="Acceptable"/>
    <s v="2 Days"/>
    <x v="5"/>
    <s v="Thursday"/>
    <n v="2"/>
  </r>
  <r>
    <x v="391"/>
    <d v="2024-07-20T00:00:00"/>
    <x v="2"/>
    <x v="2"/>
    <n v="107"/>
    <n v="7"/>
    <n v="3.5"/>
    <x v="1"/>
    <x v="1"/>
    <x v="0"/>
    <x v="2"/>
    <x v="2"/>
    <x v="0"/>
    <x v="1"/>
    <x v="3"/>
    <x v="0"/>
    <n v="0"/>
    <s v="Acceptable"/>
    <s v="Same Day"/>
    <x v="10"/>
    <s v="Saturday"/>
    <n v="1"/>
  </r>
  <r>
    <x v="392"/>
    <d v="2024-11-09T00:00:00"/>
    <x v="3"/>
    <x v="1"/>
    <n v="28"/>
    <n v="17"/>
    <n v="6.4"/>
    <x v="0"/>
    <x v="2"/>
    <x v="1"/>
    <x v="1"/>
    <x v="1"/>
    <x v="0"/>
    <x v="0"/>
    <x v="0"/>
    <x v="1"/>
    <n v="1"/>
    <s v="Very Fast"/>
    <s v="1 Day"/>
    <x v="6"/>
    <s v="Saturday"/>
    <n v="3"/>
  </r>
  <r>
    <x v="393"/>
    <d v="2024-05-19T00:00:00"/>
    <x v="1"/>
    <x v="2"/>
    <n v="28"/>
    <n v="1"/>
    <n v="2.1"/>
    <x v="1"/>
    <x v="1"/>
    <x v="2"/>
    <x v="2"/>
    <x v="2"/>
    <x v="0"/>
    <x v="0"/>
    <x v="3"/>
    <x v="2"/>
    <n v="0"/>
    <s v="Very Fast"/>
    <s v="Same Day"/>
    <x v="1"/>
    <s v="Sunday"/>
    <n v="1"/>
  </r>
  <r>
    <x v="394"/>
    <d v="2024-08-15T00:00:00"/>
    <x v="2"/>
    <x v="1"/>
    <n v="197"/>
    <n v="47"/>
    <n v="6.1"/>
    <x v="1"/>
    <x v="2"/>
    <x v="1"/>
    <x v="1"/>
    <x v="1"/>
    <x v="0"/>
    <x v="1"/>
    <x v="0"/>
    <x v="1"/>
    <n v="0"/>
    <s v="Slow"/>
    <s v="2 Days"/>
    <x v="0"/>
    <s v="Thursday"/>
    <n v="3"/>
  </r>
  <r>
    <x v="395"/>
    <d v="2024-02-29T00:00:00"/>
    <x v="0"/>
    <x v="0"/>
    <n v="104"/>
    <n v="10"/>
    <n v="4.5999999999999996"/>
    <x v="0"/>
    <x v="1"/>
    <x v="0"/>
    <x v="0"/>
    <x v="0"/>
    <x v="0"/>
    <x v="0"/>
    <x v="3"/>
    <x v="0"/>
    <n v="1"/>
    <s v="Acceptable"/>
    <s v="1 Day"/>
    <x v="9"/>
    <s v="Thursday"/>
    <n v="4"/>
  </r>
  <r>
    <x v="396"/>
    <d v="2024-05-20T00:00:00"/>
    <x v="2"/>
    <x v="0"/>
    <n v="150"/>
    <n v="42"/>
    <n v="4.5999999999999996"/>
    <x v="0"/>
    <x v="1"/>
    <x v="0"/>
    <x v="0"/>
    <x v="0"/>
    <x v="0"/>
    <x v="0"/>
    <x v="3"/>
    <x v="0"/>
    <n v="1"/>
    <s v="Slow"/>
    <s v="2 Days"/>
    <x v="1"/>
    <s v="Monday"/>
    <n v="4"/>
  </r>
  <r>
    <x v="397"/>
    <d v="2024-12-29T00:00:00"/>
    <x v="4"/>
    <x v="0"/>
    <n v="14"/>
    <n v="56"/>
    <n v="7.7"/>
    <x v="1"/>
    <x v="2"/>
    <x v="2"/>
    <x v="0"/>
    <x v="0"/>
    <x v="0"/>
    <x v="0"/>
    <x v="0"/>
    <x v="2"/>
    <n v="0"/>
    <s v="Very Fast"/>
    <s v="3 Days"/>
    <x v="11"/>
    <s v="Sunday"/>
    <n v="4"/>
  </r>
  <r>
    <x v="398"/>
    <d v="2024-04-16T00:00:00"/>
    <x v="4"/>
    <x v="0"/>
    <n v="8"/>
    <n v="30"/>
    <n v="2.2000000000000002"/>
    <x v="1"/>
    <x v="2"/>
    <x v="1"/>
    <x v="0"/>
    <x v="0"/>
    <x v="0"/>
    <x v="0"/>
    <x v="3"/>
    <x v="1"/>
    <n v="0"/>
    <s v="Very Fast"/>
    <s v="2 Days"/>
    <x v="3"/>
    <s v="Tuesday"/>
    <n v="4"/>
  </r>
  <r>
    <x v="399"/>
    <d v="2024-06-11T00:00:00"/>
    <x v="4"/>
    <x v="1"/>
    <n v="31"/>
    <n v="17"/>
    <n v="1"/>
    <x v="1"/>
    <x v="1"/>
    <x v="0"/>
    <x v="1"/>
    <x v="1"/>
    <x v="0"/>
    <x v="0"/>
    <x v="1"/>
    <x v="0"/>
    <n v="0"/>
    <s v="Acceptable"/>
    <s v="1 Day"/>
    <x v="4"/>
    <s v="Tuesday"/>
    <n v="3"/>
  </r>
  <r>
    <x v="400"/>
    <d v="2024-10-29T00:00:00"/>
    <x v="1"/>
    <x v="1"/>
    <n v="157"/>
    <n v="49"/>
    <n v="3.6"/>
    <x v="0"/>
    <x v="2"/>
    <x v="0"/>
    <x v="1"/>
    <x v="1"/>
    <x v="1"/>
    <x v="1"/>
    <x v="3"/>
    <x v="0"/>
    <n v="1"/>
    <s v="Slow"/>
    <s v="3 Days"/>
    <x v="7"/>
    <s v="Tuesday"/>
    <n v="3"/>
  </r>
  <r>
    <x v="401"/>
    <d v="2024-03-06T00:00:00"/>
    <x v="0"/>
    <x v="0"/>
    <n v="157"/>
    <n v="4"/>
    <n v="9.6999999999999993"/>
    <x v="1"/>
    <x v="1"/>
    <x v="2"/>
    <x v="0"/>
    <x v="0"/>
    <x v="0"/>
    <x v="0"/>
    <x v="2"/>
    <x v="2"/>
    <n v="0"/>
    <s v="Slow"/>
    <s v="Same Day"/>
    <x v="2"/>
    <s v="Wednesday"/>
    <n v="4"/>
  </r>
  <r>
    <x v="402"/>
    <d v="2024-12-06T00:00:00"/>
    <x v="2"/>
    <x v="3"/>
    <n v="48"/>
    <n v="21"/>
    <n v="5.8"/>
    <x v="0"/>
    <x v="1"/>
    <x v="0"/>
    <x v="3"/>
    <x v="3"/>
    <x v="0"/>
    <x v="0"/>
    <x v="0"/>
    <x v="0"/>
    <n v="1"/>
    <s v="Acceptable"/>
    <s v="1 Day"/>
    <x v="11"/>
    <s v="Friday"/>
    <n v="2"/>
  </r>
  <r>
    <x v="403"/>
    <d v="2024-08-17T00:00:00"/>
    <x v="3"/>
    <x v="3"/>
    <n v="234"/>
    <n v="43"/>
    <n v="2.5"/>
    <x v="1"/>
    <x v="0"/>
    <x v="0"/>
    <x v="3"/>
    <x v="3"/>
    <x v="1"/>
    <x v="1"/>
    <x v="3"/>
    <x v="0"/>
    <n v="0"/>
    <s v="Slow"/>
    <s v="2 Days"/>
    <x v="0"/>
    <s v="Saturday"/>
    <n v="2"/>
  </r>
  <r>
    <x v="404"/>
    <d v="2024-03-19T00:00:00"/>
    <x v="2"/>
    <x v="1"/>
    <n v="173"/>
    <n v="42"/>
    <n v="1"/>
    <x v="0"/>
    <x v="0"/>
    <x v="0"/>
    <x v="1"/>
    <x v="1"/>
    <x v="0"/>
    <x v="1"/>
    <x v="1"/>
    <x v="0"/>
    <n v="1"/>
    <s v="Slow"/>
    <s v="2 Days"/>
    <x v="2"/>
    <s v="Tuesday"/>
    <n v="3"/>
  </r>
  <r>
    <x v="405"/>
    <d v="2024-12-30T00:00:00"/>
    <x v="2"/>
    <x v="3"/>
    <n v="231"/>
    <n v="17"/>
    <n v="3.4"/>
    <x v="0"/>
    <x v="0"/>
    <x v="0"/>
    <x v="3"/>
    <x v="3"/>
    <x v="0"/>
    <x v="1"/>
    <x v="3"/>
    <x v="0"/>
    <n v="1"/>
    <s v="Slow"/>
    <s v="1 Day"/>
    <x v="11"/>
    <s v="Monday"/>
    <n v="2"/>
  </r>
  <r>
    <x v="406"/>
    <d v="2024-12-27T00:00:00"/>
    <x v="0"/>
    <x v="1"/>
    <n v="150"/>
    <n v="54"/>
    <n v="3.8"/>
    <x v="0"/>
    <x v="2"/>
    <x v="0"/>
    <x v="1"/>
    <x v="1"/>
    <x v="1"/>
    <x v="1"/>
    <x v="3"/>
    <x v="0"/>
    <n v="1"/>
    <s v="Slow"/>
    <s v="3 Days"/>
    <x v="11"/>
    <s v="Friday"/>
    <n v="3"/>
  </r>
  <r>
    <x v="407"/>
    <d v="2024-04-23T00:00:00"/>
    <x v="1"/>
    <x v="2"/>
    <n v="233"/>
    <n v="22"/>
    <n v="5.5"/>
    <x v="1"/>
    <x v="2"/>
    <x v="0"/>
    <x v="2"/>
    <x v="2"/>
    <x v="1"/>
    <x v="1"/>
    <x v="0"/>
    <x v="0"/>
    <n v="0"/>
    <s v="Slow"/>
    <s v="1 Day"/>
    <x v="3"/>
    <s v="Tuesday"/>
    <n v="1"/>
  </r>
  <r>
    <x v="408"/>
    <d v="2024-03-26T00:00:00"/>
    <x v="1"/>
    <x v="1"/>
    <n v="153"/>
    <n v="16"/>
    <n v="5.7"/>
    <x v="0"/>
    <x v="1"/>
    <x v="0"/>
    <x v="1"/>
    <x v="1"/>
    <x v="0"/>
    <x v="1"/>
    <x v="0"/>
    <x v="0"/>
    <n v="1"/>
    <s v="Slow"/>
    <s v="1 Day"/>
    <x v="2"/>
    <s v="Tuesday"/>
    <n v="3"/>
  </r>
  <r>
    <x v="409"/>
    <d v="2024-03-03T00:00:00"/>
    <x v="4"/>
    <x v="3"/>
    <n v="238"/>
    <n v="52"/>
    <n v="7.9"/>
    <x v="1"/>
    <x v="0"/>
    <x v="0"/>
    <x v="3"/>
    <x v="3"/>
    <x v="1"/>
    <x v="1"/>
    <x v="0"/>
    <x v="0"/>
    <n v="0"/>
    <s v="Slow"/>
    <s v="3 Days"/>
    <x v="2"/>
    <s v="Sunday"/>
    <n v="2"/>
  </r>
  <r>
    <x v="410"/>
    <d v="2024-01-19T00:00:00"/>
    <x v="2"/>
    <x v="2"/>
    <n v="214"/>
    <n v="42"/>
    <n v="7.9"/>
    <x v="0"/>
    <x v="2"/>
    <x v="0"/>
    <x v="2"/>
    <x v="2"/>
    <x v="1"/>
    <x v="1"/>
    <x v="0"/>
    <x v="0"/>
    <n v="1"/>
    <s v="Slow"/>
    <s v="2 Days"/>
    <x v="8"/>
    <s v="Friday"/>
    <n v="1"/>
  </r>
  <r>
    <x v="411"/>
    <d v="2024-08-06T00:00:00"/>
    <x v="2"/>
    <x v="2"/>
    <n v="62"/>
    <n v="11"/>
    <n v="9.6999999999999993"/>
    <x v="1"/>
    <x v="2"/>
    <x v="0"/>
    <x v="2"/>
    <x v="2"/>
    <x v="1"/>
    <x v="1"/>
    <x v="2"/>
    <x v="0"/>
    <n v="0"/>
    <s v="Acceptable"/>
    <s v="1 Day"/>
    <x v="0"/>
    <s v="Tuesday"/>
    <n v="1"/>
  </r>
  <r>
    <x v="412"/>
    <d v="2024-11-02T00:00:00"/>
    <x v="1"/>
    <x v="3"/>
    <n v="80"/>
    <n v="1"/>
    <n v="4.9000000000000004"/>
    <x v="1"/>
    <x v="1"/>
    <x v="1"/>
    <x v="3"/>
    <x v="3"/>
    <x v="0"/>
    <x v="1"/>
    <x v="3"/>
    <x v="1"/>
    <n v="0"/>
    <s v="Acceptable"/>
    <s v="Same Day"/>
    <x v="6"/>
    <s v="Saturday"/>
    <n v="2"/>
  </r>
  <r>
    <x v="413"/>
    <d v="2024-02-17T00:00:00"/>
    <x v="1"/>
    <x v="3"/>
    <n v="74"/>
    <n v="47"/>
    <n v="7.5"/>
    <x v="1"/>
    <x v="1"/>
    <x v="0"/>
    <x v="3"/>
    <x v="3"/>
    <x v="1"/>
    <x v="1"/>
    <x v="0"/>
    <x v="0"/>
    <n v="0"/>
    <s v="Acceptable"/>
    <s v="2 Days"/>
    <x v="9"/>
    <s v="Saturday"/>
    <n v="2"/>
  </r>
  <r>
    <x v="414"/>
    <d v="2024-05-24T00:00:00"/>
    <x v="1"/>
    <x v="1"/>
    <n v="28"/>
    <n v="26"/>
    <n v="5.5"/>
    <x v="0"/>
    <x v="0"/>
    <x v="1"/>
    <x v="1"/>
    <x v="1"/>
    <x v="0"/>
    <x v="0"/>
    <x v="0"/>
    <x v="1"/>
    <n v="1"/>
    <s v="Very Fast"/>
    <s v="2 Days"/>
    <x v="1"/>
    <s v="Friday"/>
    <n v="3"/>
  </r>
  <r>
    <x v="415"/>
    <d v="2024-01-03T00:00:00"/>
    <x v="2"/>
    <x v="0"/>
    <n v="208"/>
    <n v="40"/>
    <n v="1.6"/>
    <x v="1"/>
    <x v="0"/>
    <x v="0"/>
    <x v="0"/>
    <x v="0"/>
    <x v="0"/>
    <x v="0"/>
    <x v="1"/>
    <x v="0"/>
    <n v="0"/>
    <s v="Slow"/>
    <s v="2 Days"/>
    <x v="8"/>
    <s v="Wednesday"/>
    <n v="4"/>
  </r>
  <r>
    <x v="416"/>
    <d v="2024-09-11T00:00:00"/>
    <x v="3"/>
    <x v="1"/>
    <n v="23"/>
    <n v="30"/>
    <n v="9.6999999999999993"/>
    <x v="0"/>
    <x v="0"/>
    <x v="1"/>
    <x v="1"/>
    <x v="1"/>
    <x v="0"/>
    <x v="0"/>
    <x v="2"/>
    <x v="1"/>
    <n v="1"/>
    <s v="Very Fast"/>
    <s v="2 Days"/>
    <x v="5"/>
    <s v="Wednesday"/>
    <n v="3"/>
  </r>
  <r>
    <x v="417"/>
    <d v="2024-02-03T00:00:00"/>
    <x v="2"/>
    <x v="1"/>
    <n v="108"/>
    <n v="41"/>
    <n v="5"/>
    <x v="1"/>
    <x v="1"/>
    <x v="1"/>
    <x v="1"/>
    <x v="1"/>
    <x v="0"/>
    <x v="0"/>
    <x v="3"/>
    <x v="1"/>
    <n v="0"/>
    <s v="Acceptable"/>
    <s v="2 Days"/>
    <x v="9"/>
    <s v="Saturday"/>
    <n v="3"/>
  </r>
  <r>
    <x v="418"/>
    <d v="2024-05-10T00:00:00"/>
    <x v="2"/>
    <x v="1"/>
    <n v="232"/>
    <n v="14"/>
    <n v="8.6999999999999993"/>
    <x v="1"/>
    <x v="0"/>
    <x v="1"/>
    <x v="1"/>
    <x v="1"/>
    <x v="0"/>
    <x v="1"/>
    <x v="2"/>
    <x v="1"/>
    <n v="0"/>
    <s v="Slow"/>
    <s v="1 Day"/>
    <x v="1"/>
    <s v="Friday"/>
    <n v="3"/>
  </r>
  <r>
    <x v="419"/>
    <d v="2024-10-03T00:00:00"/>
    <x v="2"/>
    <x v="0"/>
    <n v="121"/>
    <n v="70"/>
    <n v="2.2999999999999998"/>
    <x v="1"/>
    <x v="0"/>
    <x v="0"/>
    <x v="0"/>
    <x v="0"/>
    <x v="0"/>
    <x v="0"/>
    <x v="3"/>
    <x v="0"/>
    <n v="0"/>
    <s v="Slow"/>
    <s v="3 Days"/>
    <x v="7"/>
    <s v="Thursday"/>
    <n v="4"/>
  </r>
  <r>
    <x v="420"/>
    <d v="2024-07-23T00:00:00"/>
    <x v="1"/>
    <x v="0"/>
    <n v="225"/>
    <n v="8"/>
    <n v="2.4"/>
    <x v="1"/>
    <x v="1"/>
    <x v="0"/>
    <x v="0"/>
    <x v="0"/>
    <x v="0"/>
    <x v="0"/>
    <x v="3"/>
    <x v="0"/>
    <n v="0"/>
    <s v="Slow"/>
    <s v="Same Day"/>
    <x v="10"/>
    <s v="Tuesday"/>
    <n v="4"/>
  </r>
  <r>
    <x v="421"/>
    <d v="2024-01-01T00:00:00"/>
    <x v="3"/>
    <x v="2"/>
    <n v="78"/>
    <n v="53"/>
    <n v="7.2"/>
    <x v="1"/>
    <x v="0"/>
    <x v="0"/>
    <x v="2"/>
    <x v="2"/>
    <x v="1"/>
    <x v="1"/>
    <x v="0"/>
    <x v="0"/>
    <n v="0"/>
    <s v="Acceptable"/>
    <s v="3 Days"/>
    <x v="8"/>
    <s v="Monday"/>
    <n v="1"/>
  </r>
  <r>
    <x v="422"/>
    <d v="2024-05-14T00:00:00"/>
    <x v="2"/>
    <x v="3"/>
    <n v="168"/>
    <n v="67"/>
    <n v="7.9"/>
    <x v="1"/>
    <x v="1"/>
    <x v="0"/>
    <x v="3"/>
    <x v="3"/>
    <x v="1"/>
    <x v="1"/>
    <x v="0"/>
    <x v="0"/>
    <n v="0"/>
    <s v="Slow"/>
    <s v="3 Days"/>
    <x v="1"/>
    <s v="Tuesday"/>
    <n v="2"/>
  </r>
  <r>
    <x v="423"/>
    <d v="2024-07-29T00:00:00"/>
    <x v="2"/>
    <x v="2"/>
    <n v="180"/>
    <n v="62"/>
    <n v="8.9"/>
    <x v="1"/>
    <x v="0"/>
    <x v="0"/>
    <x v="2"/>
    <x v="2"/>
    <x v="1"/>
    <x v="1"/>
    <x v="2"/>
    <x v="0"/>
    <n v="0"/>
    <s v="Slow"/>
    <s v="3 Days"/>
    <x v="10"/>
    <s v="Monday"/>
    <n v="1"/>
  </r>
  <r>
    <x v="424"/>
    <d v="2024-05-11T00:00:00"/>
    <x v="4"/>
    <x v="0"/>
    <n v="88"/>
    <n v="45"/>
    <n v="2.9"/>
    <x v="1"/>
    <x v="0"/>
    <x v="0"/>
    <x v="0"/>
    <x v="0"/>
    <x v="0"/>
    <x v="0"/>
    <x v="3"/>
    <x v="0"/>
    <n v="0"/>
    <s v="Acceptable"/>
    <s v="2 Days"/>
    <x v="1"/>
    <s v="Saturday"/>
    <n v="4"/>
  </r>
  <r>
    <x v="425"/>
    <d v="2024-09-21T00:00:00"/>
    <x v="4"/>
    <x v="2"/>
    <n v="15"/>
    <n v="22"/>
    <n v="3.3"/>
    <x v="1"/>
    <x v="0"/>
    <x v="1"/>
    <x v="2"/>
    <x v="2"/>
    <x v="1"/>
    <x v="0"/>
    <x v="3"/>
    <x v="1"/>
    <n v="0"/>
    <s v="Very Fast"/>
    <s v="1 Day"/>
    <x v="5"/>
    <s v="Saturday"/>
    <n v="1"/>
  </r>
  <r>
    <x v="426"/>
    <d v="2024-10-07T00:00:00"/>
    <x v="3"/>
    <x v="3"/>
    <n v="42"/>
    <n v="69"/>
    <n v="7.5"/>
    <x v="1"/>
    <x v="2"/>
    <x v="0"/>
    <x v="3"/>
    <x v="3"/>
    <x v="1"/>
    <x v="0"/>
    <x v="0"/>
    <x v="0"/>
    <n v="0"/>
    <s v="Acceptable"/>
    <s v="3 Days"/>
    <x v="7"/>
    <s v="Monday"/>
    <n v="2"/>
  </r>
  <r>
    <x v="427"/>
    <d v="2024-06-11T00:00:00"/>
    <x v="4"/>
    <x v="1"/>
    <n v="154"/>
    <n v="47"/>
    <n v="7.6"/>
    <x v="1"/>
    <x v="0"/>
    <x v="1"/>
    <x v="1"/>
    <x v="1"/>
    <x v="0"/>
    <x v="1"/>
    <x v="0"/>
    <x v="1"/>
    <n v="0"/>
    <s v="Slow"/>
    <s v="2 Days"/>
    <x v="4"/>
    <s v="Tuesday"/>
    <n v="3"/>
  </r>
  <r>
    <x v="428"/>
    <d v="2024-06-07T00:00:00"/>
    <x v="1"/>
    <x v="2"/>
    <n v="230"/>
    <n v="58"/>
    <n v="5.4"/>
    <x v="1"/>
    <x v="2"/>
    <x v="0"/>
    <x v="2"/>
    <x v="2"/>
    <x v="1"/>
    <x v="1"/>
    <x v="0"/>
    <x v="0"/>
    <n v="0"/>
    <s v="Slow"/>
    <s v="3 Days"/>
    <x v="4"/>
    <s v="Friday"/>
    <n v="1"/>
  </r>
  <r>
    <x v="429"/>
    <d v="2024-04-16T00:00:00"/>
    <x v="1"/>
    <x v="2"/>
    <n v="218"/>
    <n v="33"/>
    <n v="1.3"/>
    <x v="0"/>
    <x v="1"/>
    <x v="0"/>
    <x v="2"/>
    <x v="2"/>
    <x v="1"/>
    <x v="1"/>
    <x v="1"/>
    <x v="0"/>
    <n v="1"/>
    <s v="Slow"/>
    <s v="2 Days"/>
    <x v="3"/>
    <s v="Tuesday"/>
    <n v="1"/>
  </r>
  <r>
    <x v="430"/>
    <d v="2024-10-01T00:00:00"/>
    <x v="3"/>
    <x v="0"/>
    <n v="171"/>
    <n v="37"/>
    <n v="5.0999999999999996"/>
    <x v="0"/>
    <x v="1"/>
    <x v="0"/>
    <x v="0"/>
    <x v="0"/>
    <x v="0"/>
    <x v="0"/>
    <x v="0"/>
    <x v="0"/>
    <n v="1"/>
    <s v="Slow"/>
    <s v="2 Days"/>
    <x v="7"/>
    <s v="Tuesday"/>
    <n v="4"/>
  </r>
  <r>
    <x v="431"/>
    <d v="2024-12-01T00:00:00"/>
    <x v="2"/>
    <x v="3"/>
    <n v="218"/>
    <n v="36"/>
    <n v="4"/>
    <x v="0"/>
    <x v="2"/>
    <x v="0"/>
    <x v="3"/>
    <x v="3"/>
    <x v="1"/>
    <x v="1"/>
    <x v="3"/>
    <x v="0"/>
    <n v="1"/>
    <s v="Slow"/>
    <s v="2 Days"/>
    <x v="11"/>
    <s v="Sunday"/>
    <n v="2"/>
  </r>
  <r>
    <x v="432"/>
    <d v="2024-06-25T00:00:00"/>
    <x v="3"/>
    <x v="3"/>
    <n v="83"/>
    <n v="11"/>
    <n v="3"/>
    <x v="0"/>
    <x v="1"/>
    <x v="0"/>
    <x v="3"/>
    <x v="3"/>
    <x v="0"/>
    <x v="1"/>
    <x v="3"/>
    <x v="0"/>
    <n v="1"/>
    <s v="Acceptable"/>
    <s v="1 Day"/>
    <x v="4"/>
    <s v="Tuesday"/>
    <n v="2"/>
  </r>
  <r>
    <x v="433"/>
    <d v="2024-08-24T00:00:00"/>
    <x v="4"/>
    <x v="2"/>
    <n v="100"/>
    <n v="29"/>
    <n v="5.6"/>
    <x v="1"/>
    <x v="2"/>
    <x v="0"/>
    <x v="2"/>
    <x v="2"/>
    <x v="1"/>
    <x v="1"/>
    <x v="0"/>
    <x v="0"/>
    <n v="0"/>
    <s v="Acceptable"/>
    <s v="2 Days"/>
    <x v="0"/>
    <s v="Saturday"/>
    <n v="1"/>
  </r>
  <r>
    <x v="434"/>
    <d v="2024-06-11T00:00:00"/>
    <x v="4"/>
    <x v="1"/>
    <n v="168"/>
    <n v="52"/>
    <n v="7.8"/>
    <x v="1"/>
    <x v="2"/>
    <x v="1"/>
    <x v="1"/>
    <x v="1"/>
    <x v="1"/>
    <x v="1"/>
    <x v="0"/>
    <x v="1"/>
    <n v="0"/>
    <s v="Slow"/>
    <s v="3 Days"/>
    <x v="4"/>
    <s v="Tuesday"/>
    <n v="3"/>
  </r>
  <r>
    <x v="435"/>
    <d v="2024-12-17T00:00:00"/>
    <x v="0"/>
    <x v="3"/>
    <n v="86"/>
    <n v="11"/>
    <n v="7.4"/>
    <x v="0"/>
    <x v="0"/>
    <x v="0"/>
    <x v="3"/>
    <x v="3"/>
    <x v="0"/>
    <x v="1"/>
    <x v="0"/>
    <x v="0"/>
    <n v="1"/>
    <s v="Acceptable"/>
    <s v="1 Day"/>
    <x v="11"/>
    <s v="Tuesday"/>
    <n v="2"/>
  </r>
  <r>
    <x v="436"/>
    <d v="2024-04-16T00:00:00"/>
    <x v="3"/>
    <x v="0"/>
    <n v="167"/>
    <n v="37"/>
    <n v="3.4"/>
    <x v="1"/>
    <x v="2"/>
    <x v="0"/>
    <x v="0"/>
    <x v="0"/>
    <x v="0"/>
    <x v="0"/>
    <x v="3"/>
    <x v="0"/>
    <n v="0"/>
    <s v="Slow"/>
    <s v="2 Days"/>
    <x v="3"/>
    <s v="Tuesday"/>
    <n v="4"/>
  </r>
  <r>
    <x v="437"/>
    <d v="2024-08-24T00:00:00"/>
    <x v="3"/>
    <x v="2"/>
    <n v="62"/>
    <n v="26"/>
    <n v="7.8"/>
    <x v="0"/>
    <x v="0"/>
    <x v="0"/>
    <x v="2"/>
    <x v="2"/>
    <x v="1"/>
    <x v="1"/>
    <x v="0"/>
    <x v="0"/>
    <n v="1"/>
    <s v="Acceptable"/>
    <s v="2 Days"/>
    <x v="0"/>
    <s v="Saturday"/>
    <n v="1"/>
  </r>
  <r>
    <x v="438"/>
    <d v="2024-04-23T00:00:00"/>
    <x v="0"/>
    <x v="2"/>
    <n v="31"/>
    <n v="61"/>
    <n v="7.2"/>
    <x v="0"/>
    <x v="2"/>
    <x v="0"/>
    <x v="2"/>
    <x v="2"/>
    <x v="1"/>
    <x v="1"/>
    <x v="0"/>
    <x v="0"/>
    <n v="1"/>
    <s v="Acceptable"/>
    <s v="3 Days"/>
    <x v="3"/>
    <s v="Tuesday"/>
    <n v="1"/>
  </r>
  <r>
    <x v="439"/>
    <d v="2024-01-09T00:00:00"/>
    <x v="4"/>
    <x v="2"/>
    <n v="68"/>
    <n v="58"/>
    <n v="4.3"/>
    <x v="1"/>
    <x v="0"/>
    <x v="0"/>
    <x v="2"/>
    <x v="2"/>
    <x v="1"/>
    <x v="1"/>
    <x v="3"/>
    <x v="0"/>
    <n v="0"/>
    <s v="Acceptable"/>
    <s v="3 Days"/>
    <x v="8"/>
    <s v="Tuesday"/>
    <n v="1"/>
  </r>
  <r>
    <x v="440"/>
    <d v="2024-08-29T00:00:00"/>
    <x v="3"/>
    <x v="3"/>
    <n v="219"/>
    <n v="46"/>
    <n v="5.7"/>
    <x v="1"/>
    <x v="1"/>
    <x v="0"/>
    <x v="3"/>
    <x v="3"/>
    <x v="1"/>
    <x v="1"/>
    <x v="0"/>
    <x v="0"/>
    <n v="0"/>
    <s v="Slow"/>
    <s v="2 Days"/>
    <x v="0"/>
    <s v="Thursday"/>
    <n v="2"/>
  </r>
  <r>
    <x v="441"/>
    <d v="2024-12-20T00:00:00"/>
    <x v="2"/>
    <x v="3"/>
    <n v="162"/>
    <n v="18"/>
    <n v="9.9"/>
    <x v="1"/>
    <x v="0"/>
    <x v="0"/>
    <x v="3"/>
    <x v="3"/>
    <x v="0"/>
    <x v="1"/>
    <x v="2"/>
    <x v="0"/>
    <n v="0"/>
    <s v="Slow"/>
    <s v="1 Day"/>
    <x v="11"/>
    <s v="Friday"/>
    <n v="2"/>
  </r>
  <r>
    <x v="442"/>
    <d v="2024-09-16T00:00:00"/>
    <x v="1"/>
    <x v="1"/>
    <n v="29"/>
    <n v="7"/>
    <n v="3.8"/>
    <x v="1"/>
    <x v="2"/>
    <x v="1"/>
    <x v="1"/>
    <x v="1"/>
    <x v="0"/>
    <x v="0"/>
    <x v="3"/>
    <x v="1"/>
    <n v="0"/>
    <s v="Very Fast"/>
    <s v="Same Day"/>
    <x v="5"/>
    <s v="Monday"/>
    <n v="3"/>
  </r>
  <r>
    <x v="443"/>
    <d v="2024-05-31T00:00:00"/>
    <x v="0"/>
    <x v="0"/>
    <n v="84"/>
    <n v="7"/>
    <n v="4"/>
    <x v="1"/>
    <x v="2"/>
    <x v="0"/>
    <x v="0"/>
    <x v="0"/>
    <x v="0"/>
    <x v="0"/>
    <x v="3"/>
    <x v="0"/>
    <n v="0"/>
    <s v="Acceptable"/>
    <s v="Same Day"/>
    <x v="1"/>
    <s v="Friday"/>
    <n v="4"/>
  </r>
  <r>
    <x v="444"/>
    <d v="2024-08-16T00:00:00"/>
    <x v="0"/>
    <x v="1"/>
    <n v="233"/>
    <n v="68"/>
    <n v="9.6"/>
    <x v="0"/>
    <x v="0"/>
    <x v="0"/>
    <x v="1"/>
    <x v="1"/>
    <x v="1"/>
    <x v="1"/>
    <x v="2"/>
    <x v="0"/>
    <n v="1"/>
    <s v="Slow"/>
    <s v="3 Days"/>
    <x v="0"/>
    <s v="Friday"/>
    <n v="3"/>
  </r>
  <r>
    <x v="445"/>
    <d v="2024-01-17T00:00:00"/>
    <x v="3"/>
    <x v="3"/>
    <n v="20"/>
    <n v="9"/>
    <n v="1.4"/>
    <x v="1"/>
    <x v="2"/>
    <x v="1"/>
    <x v="3"/>
    <x v="3"/>
    <x v="0"/>
    <x v="0"/>
    <x v="1"/>
    <x v="1"/>
    <n v="0"/>
    <s v="Very Fast"/>
    <s v="1 Day"/>
    <x v="8"/>
    <s v="Wednesday"/>
    <n v="2"/>
  </r>
  <r>
    <x v="446"/>
    <d v="2024-10-29T00:00:00"/>
    <x v="2"/>
    <x v="1"/>
    <n v="234"/>
    <n v="53"/>
    <n v="6.2"/>
    <x v="1"/>
    <x v="2"/>
    <x v="1"/>
    <x v="1"/>
    <x v="1"/>
    <x v="1"/>
    <x v="1"/>
    <x v="0"/>
    <x v="1"/>
    <n v="0"/>
    <s v="Slow"/>
    <s v="3 Days"/>
    <x v="7"/>
    <s v="Tuesday"/>
    <n v="3"/>
  </r>
  <r>
    <x v="447"/>
    <d v="2024-11-25T00:00:00"/>
    <x v="0"/>
    <x v="1"/>
    <n v="31"/>
    <n v="2"/>
    <n v="9.4"/>
    <x v="0"/>
    <x v="2"/>
    <x v="1"/>
    <x v="1"/>
    <x v="1"/>
    <x v="0"/>
    <x v="0"/>
    <x v="2"/>
    <x v="1"/>
    <n v="1"/>
    <s v="Acceptable"/>
    <s v="Same Day"/>
    <x v="6"/>
    <s v="Monday"/>
    <n v="3"/>
  </r>
  <r>
    <x v="448"/>
    <d v="2024-08-31T00:00:00"/>
    <x v="4"/>
    <x v="2"/>
    <n v="161"/>
    <n v="53"/>
    <n v="9"/>
    <x v="1"/>
    <x v="0"/>
    <x v="0"/>
    <x v="2"/>
    <x v="2"/>
    <x v="1"/>
    <x v="1"/>
    <x v="2"/>
    <x v="0"/>
    <n v="0"/>
    <s v="Slow"/>
    <s v="3 Days"/>
    <x v="0"/>
    <s v="Saturday"/>
    <n v="1"/>
  </r>
  <r>
    <x v="449"/>
    <d v="2024-11-18T00:00:00"/>
    <x v="3"/>
    <x v="3"/>
    <n v="134"/>
    <n v="28"/>
    <n v="2"/>
    <x v="1"/>
    <x v="2"/>
    <x v="0"/>
    <x v="3"/>
    <x v="3"/>
    <x v="1"/>
    <x v="1"/>
    <x v="1"/>
    <x v="0"/>
    <n v="0"/>
    <s v="Slow"/>
    <s v="2 Days"/>
    <x v="6"/>
    <s v="Monday"/>
    <n v="2"/>
  </r>
  <r>
    <x v="450"/>
    <d v="2024-06-14T00:00:00"/>
    <x v="3"/>
    <x v="1"/>
    <n v="36"/>
    <n v="12"/>
    <n v="1.4"/>
    <x v="0"/>
    <x v="2"/>
    <x v="0"/>
    <x v="1"/>
    <x v="1"/>
    <x v="0"/>
    <x v="0"/>
    <x v="1"/>
    <x v="0"/>
    <n v="1"/>
    <s v="Acceptable"/>
    <s v="1 Day"/>
    <x v="4"/>
    <s v="Friday"/>
    <n v="3"/>
  </r>
  <r>
    <x v="451"/>
    <d v="2024-04-05T00:00:00"/>
    <x v="2"/>
    <x v="3"/>
    <n v="85"/>
    <n v="64"/>
    <n v="1.8"/>
    <x v="1"/>
    <x v="1"/>
    <x v="0"/>
    <x v="3"/>
    <x v="3"/>
    <x v="1"/>
    <x v="1"/>
    <x v="1"/>
    <x v="0"/>
    <n v="0"/>
    <s v="Acceptable"/>
    <s v="3 Days"/>
    <x v="3"/>
    <s v="Friday"/>
    <n v="2"/>
  </r>
  <r>
    <x v="452"/>
    <d v="2024-04-06T00:00:00"/>
    <x v="3"/>
    <x v="3"/>
    <n v="17"/>
    <n v="51"/>
    <n v="1.8"/>
    <x v="0"/>
    <x v="0"/>
    <x v="0"/>
    <x v="3"/>
    <x v="3"/>
    <x v="1"/>
    <x v="0"/>
    <x v="1"/>
    <x v="0"/>
    <n v="1"/>
    <s v="Very Fast"/>
    <s v="3 Days"/>
    <x v="3"/>
    <s v="Saturday"/>
    <n v="2"/>
  </r>
  <r>
    <x v="453"/>
    <d v="2024-07-27T00:00:00"/>
    <x v="3"/>
    <x v="1"/>
    <n v="35"/>
    <n v="57"/>
    <n v="5.5"/>
    <x v="1"/>
    <x v="0"/>
    <x v="1"/>
    <x v="1"/>
    <x v="1"/>
    <x v="1"/>
    <x v="0"/>
    <x v="0"/>
    <x v="1"/>
    <n v="0"/>
    <s v="Acceptable"/>
    <s v="3 Days"/>
    <x v="10"/>
    <s v="Saturday"/>
    <n v="3"/>
  </r>
  <r>
    <x v="454"/>
    <d v="2024-10-15T00:00:00"/>
    <x v="4"/>
    <x v="1"/>
    <n v="75"/>
    <n v="16"/>
    <n v="0.9"/>
    <x v="0"/>
    <x v="1"/>
    <x v="0"/>
    <x v="1"/>
    <x v="1"/>
    <x v="0"/>
    <x v="0"/>
    <x v="1"/>
    <x v="0"/>
    <n v="1"/>
    <s v="Acceptable"/>
    <s v="1 Day"/>
    <x v="7"/>
    <s v="Tuesday"/>
    <n v="3"/>
  </r>
  <r>
    <x v="455"/>
    <d v="2024-06-18T00:00:00"/>
    <x v="1"/>
    <x v="2"/>
    <n v="82"/>
    <n v="8"/>
    <n v="4.5"/>
    <x v="1"/>
    <x v="2"/>
    <x v="0"/>
    <x v="2"/>
    <x v="2"/>
    <x v="0"/>
    <x v="1"/>
    <x v="3"/>
    <x v="0"/>
    <n v="0"/>
    <s v="Acceptable"/>
    <s v="Same Day"/>
    <x v="4"/>
    <s v="Tuesday"/>
    <n v="1"/>
  </r>
  <r>
    <x v="456"/>
    <d v="2024-09-22T00:00:00"/>
    <x v="0"/>
    <x v="0"/>
    <n v="119"/>
    <n v="8"/>
    <n v="6.1"/>
    <x v="0"/>
    <x v="0"/>
    <x v="0"/>
    <x v="0"/>
    <x v="0"/>
    <x v="0"/>
    <x v="0"/>
    <x v="0"/>
    <x v="0"/>
    <n v="1"/>
    <s v="Acceptable"/>
    <s v="Same Day"/>
    <x v="5"/>
    <s v="Sunday"/>
    <n v="4"/>
  </r>
  <r>
    <x v="457"/>
    <d v="2024-07-12T00:00:00"/>
    <x v="1"/>
    <x v="3"/>
    <n v="99"/>
    <n v="58"/>
    <n v="5.5"/>
    <x v="1"/>
    <x v="0"/>
    <x v="0"/>
    <x v="3"/>
    <x v="3"/>
    <x v="1"/>
    <x v="1"/>
    <x v="0"/>
    <x v="0"/>
    <n v="0"/>
    <s v="Acceptable"/>
    <s v="3 Days"/>
    <x v="10"/>
    <s v="Friday"/>
    <n v="2"/>
  </r>
  <r>
    <x v="458"/>
    <d v="2024-09-25T00:00:00"/>
    <x v="0"/>
    <x v="2"/>
    <n v="49"/>
    <n v="29"/>
    <n v="4.4000000000000004"/>
    <x v="0"/>
    <x v="1"/>
    <x v="0"/>
    <x v="2"/>
    <x v="2"/>
    <x v="1"/>
    <x v="1"/>
    <x v="3"/>
    <x v="0"/>
    <n v="1"/>
    <s v="Acceptable"/>
    <s v="2 Days"/>
    <x v="5"/>
    <s v="Wednesday"/>
    <n v="1"/>
  </r>
  <r>
    <x v="459"/>
    <d v="2024-01-01T00:00:00"/>
    <x v="0"/>
    <x v="3"/>
    <n v="19"/>
    <n v="7"/>
    <n v="4.0999999999999996"/>
    <x v="0"/>
    <x v="1"/>
    <x v="0"/>
    <x v="3"/>
    <x v="3"/>
    <x v="0"/>
    <x v="0"/>
    <x v="3"/>
    <x v="0"/>
    <n v="1"/>
    <s v="Very Fast"/>
    <s v="Same Day"/>
    <x v="8"/>
    <s v="Monday"/>
    <n v="2"/>
  </r>
  <r>
    <x v="460"/>
    <d v="2024-12-01T00:00:00"/>
    <x v="4"/>
    <x v="1"/>
    <n v="184"/>
    <n v="32"/>
    <n v="8.5"/>
    <x v="0"/>
    <x v="2"/>
    <x v="0"/>
    <x v="1"/>
    <x v="1"/>
    <x v="0"/>
    <x v="1"/>
    <x v="2"/>
    <x v="0"/>
    <n v="1"/>
    <s v="Slow"/>
    <s v="2 Days"/>
    <x v="11"/>
    <s v="Sunday"/>
    <n v="3"/>
  </r>
  <r>
    <x v="461"/>
    <d v="2024-09-08T00:00:00"/>
    <x v="2"/>
    <x v="2"/>
    <n v="119"/>
    <n v="54"/>
    <n v="4.2"/>
    <x v="0"/>
    <x v="0"/>
    <x v="0"/>
    <x v="2"/>
    <x v="2"/>
    <x v="1"/>
    <x v="1"/>
    <x v="3"/>
    <x v="0"/>
    <n v="1"/>
    <s v="Acceptable"/>
    <s v="3 Days"/>
    <x v="5"/>
    <s v="Sunday"/>
    <n v="1"/>
  </r>
  <r>
    <x v="462"/>
    <d v="2024-12-15T00:00:00"/>
    <x v="1"/>
    <x v="3"/>
    <n v="23"/>
    <n v="22"/>
    <n v="1.1000000000000001"/>
    <x v="1"/>
    <x v="2"/>
    <x v="1"/>
    <x v="3"/>
    <x v="3"/>
    <x v="0"/>
    <x v="0"/>
    <x v="1"/>
    <x v="1"/>
    <n v="0"/>
    <s v="Very Fast"/>
    <s v="1 Day"/>
    <x v="11"/>
    <s v="Sunday"/>
    <n v="2"/>
  </r>
  <r>
    <x v="463"/>
    <d v="2024-04-20T00:00:00"/>
    <x v="3"/>
    <x v="2"/>
    <n v="192"/>
    <n v="56"/>
    <n v="3.7"/>
    <x v="1"/>
    <x v="1"/>
    <x v="0"/>
    <x v="2"/>
    <x v="2"/>
    <x v="1"/>
    <x v="1"/>
    <x v="3"/>
    <x v="0"/>
    <n v="0"/>
    <s v="Slow"/>
    <s v="3 Days"/>
    <x v="3"/>
    <s v="Saturday"/>
    <n v="1"/>
  </r>
  <r>
    <x v="464"/>
    <d v="2024-07-26T00:00:00"/>
    <x v="4"/>
    <x v="3"/>
    <n v="127"/>
    <n v="17"/>
    <n v="9.5"/>
    <x v="1"/>
    <x v="2"/>
    <x v="0"/>
    <x v="3"/>
    <x v="3"/>
    <x v="0"/>
    <x v="1"/>
    <x v="2"/>
    <x v="0"/>
    <n v="0"/>
    <s v="Slow"/>
    <s v="1 Day"/>
    <x v="10"/>
    <s v="Friday"/>
    <n v="2"/>
  </r>
  <r>
    <x v="465"/>
    <d v="2024-07-15T00:00:00"/>
    <x v="1"/>
    <x v="2"/>
    <n v="116"/>
    <n v="4"/>
    <n v="8.4"/>
    <x v="1"/>
    <x v="0"/>
    <x v="1"/>
    <x v="2"/>
    <x v="2"/>
    <x v="0"/>
    <x v="1"/>
    <x v="2"/>
    <x v="1"/>
    <n v="0"/>
    <s v="Acceptable"/>
    <s v="Same Day"/>
    <x v="10"/>
    <s v="Monday"/>
    <n v="1"/>
  </r>
  <r>
    <x v="466"/>
    <d v="2024-01-02T00:00:00"/>
    <x v="0"/>
    <x v="3"/>
    <n v="70"/>
    <n v="69"/>
    <n v="3.8"/>
    <x v="1"/>
    <x v="2"/>
    <x v="0"/>
    <x v="3"/>
    <x v="3"/>
    <x v="1"/>
    <x v="1"/>
    <x v="3"/>
    <x v="0"/>
    <n v="0"/>
    <s v="Acceptable"/>
    <s v="3 Days"/>
    <x v="8"/>
    <s v="Tuesday"/>
    <n v="2"/>
  </r>
  <r>
    <x v="467"/>
    <d v="2024-03-25T00:00:00"/>
    <x v="0"/>
    <x v="3"/>
    <n v="23"/>
    <n v="26"/>
    <n v="8.8000000000000007"/>
    <x v="0"/>
    <x v="2"/>
    <x v="1"/>
    <x v="3"/>
    <x v="3"/>
    <x v="1"/>
    <x v="0"/>
    <x v="2"/>
    <x v="1"/>
    <n v="1"/>
    <s v="Very Fast"/>
    <s v="2 Days"/>
    <x v="2"/>
    <s v="Monday"/>
    <n v="2"/>
  </r>
  <r>
    <x v="468"/>
    <d v="2024-06-01T00:00:00"/>
    <x v="4"/>
    <x v="0"/>
    <n v="117"/>
    <n v="13"/>
    <n v="4.9000000000000004"/>
    <x v="0"/>
    <x v="2"/>
    <x v="0"/>
    <x v="0"/>
    <x v="0"/>
    <x v="0"/>
    <x v="0"/>
    <x v="3"/>
    <x v="0"/>
    <n v="1"/>
    <s v="Acceptable"/>
    <s v="1 Day"/>
    <x v="4"/>
    <s v="Saturday"/>
    <n v="4"/>
  </r>
  <r>
    <x v="469"/>
    <d v="2024-01-21T00:00:00"/>
    <x v="4"/>
    <x v="0"/>
    <n v="42"/>
    <n v="45"/>
    <n v="6.6"/>
    <x v="1"/>
    <x v="2"/>
    <x v="1"/>
    <x v="0"/>
    <x v="0"/>
    <x v="0"/>
    <x v="0"/>
    <x v="0"/>
    <x v="1"/>
    <n v="0"/>
    <s v="Acceptable"/>
    <s v="2 Days"/>
    <x v="8"/>
    <s v="Sunday"/>
    <n v="4"/>
  </r>
  <r>
    <x v="470"/>
    <d v="2024-06-06T00:00:00"/>
    <x v="3"/>
    <x v="2"/>
    <n v="148"/>
    <n v="42"/>
    <n v="6.5"/>
    <x v="0"/>
    <x v="2"/>
    <x v="0"/>
    <x v="2"/>
    <x v="2"/>
    <x v="1"/>
    <x v="1"/>
    <x v="0"/>
    <x v="0"/>
    <n v="1"/>
    <s v="Slow"/>
    <s v="2 Days"/>
    <x v="4"/>
    <s v="Thursday"/>
    <n v="1"/>
  </r>
  <r>
    <x v="471"/>
    <d v="2024-05-22T00:00:00"/>
    <x v="0"/>
    <x v="2"/>
    <n v="33"/>
    <n v="46"/>
    <n v="3.1"/>
    <x v="0"/>
    <x v="2"/>
    <x v="0"/>
    <x v="2"/>
    <x v="2"/>
    <x v="1"/>
    <x v="1"/>
    <x v="3"/>
    <x v="0"/>
    <n v="1"/>
    <s v="Acceptable"/>
    <s v="2 Days"/>
    <x v="1"/>
    <s v="Wednesday"/>
    <n v="1"/>
  </r>
  <r>
    <x v="472"/>
    <d v="2024-09-26T00:00:00"/>
    <x v="4"/>
    <x v="1"/>
    <n v="53"/>
    <n v="66"/>
    <n v="5.2"/>
    <x v="0"/>
    <x v="2"/>
    <x v="0"/>
    <x v="1"/>
    <x v="1"/>
    <x v="1"/>
    <x v="0"/>
    <x v="0"/>
    <x v="0"/>
    <n v="1"/>
    <s v="Acceptable"/>
    <s v="3 Days"/>
    <x v="5"/>
    <s v="Thursday"/>
    <n v="3"/>
  </r>
  <r>
    <x v="473"/>
    <d v="2024-09-24T00:00:00"/>
    <x v="3"/>
    <x v="3"/>
    <n v="49"/>
    <n v="35"/>
    <n v="2.6"/>
    <x v="1"/>
    <x v="1"/>
    <x v="0"/>
    <x v="3"/>
    <x v="3"/>
    <x v="1"/>
    <x v="0"/>
    <x v="3"/>
    <x v="0"/>
    <n v="0"/>
    <s v="Acceptable"/>
    <s v="2 Days"/>
    <x v="5"/>
    <s v="Tuesday"/>
    <n v="2"/>
  </r>
  <r>
    <x v="474"/>
    <d v="2024-03-17T00:00:00"/>
    <x v="0"/>
    <x v="2"/>
    <n v="21"/>
    <n v="47"/>
    <n v="4.4000000000000004"/>
    <x v="1"/>
    <x v="1"/>
    <x v="1"/>
    <x v="2"/>
    <x v="2"/>
    <x v="1"/>
    <x v="0"/>
    <x v="3"/>
    <x v="1"/>
    <n v="0"/>
    <s v="Very Fast"/>
    <s v="2 Days"/>
    <x v="2"/>
    <s v="Sunday"/>
    <n v="1"/>
  </r>
  <r>
    <x v="475"/>
    <d v="2024-06-09T00:00:00"/>
    <x v="2"/>
    <x v="3"/>
    <n v="144"/>
    <n v="59"/>
    <n v="8.6999999999999993"/>
    <x v="1"/>
    <x v="0"/>
    <x v="0"/>
    <x v="3"/>
    <x v="3"/>
    <x v="1"/>
    <x v="1"/>
    <x v="2"/>
    <x v="0"/>
    <n v="0"/>
    <s v="Slow"/>
    <s v="3 Days"/>
    <x v="4"/>
    <s v="Sunday"/>
    <n v="2"/>
  </r>
  <r>
    <x v="476"/>
    <d v="2024-03-24T00:00:00"/>
    <x v="2"/>
    <x v="1"/>
    <n v="53"/>
    <n v="54"/>
    <n v="4.0999999999999996"/>
    <x v="1"/>
    <x v="2"/>
    <x v="0"/>
    <x v="1"/>
    <x v="1"/>
    <x v="1"/>
    <x v="0"/>
    <x v="3"/>
    <x v="0"/>
    <n v="0"/>
    <s v="Acceptable"/>
    <s v="3 Days"/>
    <x v="2"/>
    <s v="Sunday"/>
    <n v="3"/>
  </r>
  <r>
    <x v="477"/>
    <d v="2024-11-09T00:00:00"/>
    <x v="1"/>
    <x v="0"/>
    <n v="184"/>
    <n v="45"/>
    <n v="5.9"/>
    <x v="0"/>
    <x v="0"/>
    <x v="0"/>
    <x v="0"/>
    <x v="0"/>
    <x v="0"/>
    <x v="0"/>
    <x v="0"/>
    <x v="0"/>
    <n v="1"/>
    <s v="Slow"/>
    <s v="2 Days"/>
    <x v="6"/>
    <s v="Saturday"/>
    <n v="4"/>
  </r>
  <r>
    <x v="478"/>
    <d v="2024-02-27T00:00:00"/>
    <x v="2"/>
    <x v="2"/>
    <n v="61"/>
    <n v="28"/>
    <n v="1.9"/>
    <x v="0"/>
    <x v="2"/>
    <x v="0"/>
    <x v="2"/>
    <x v="2"/>
    <x v="1"/>
    <x v="1"/>
    <x v="1"/>
    <x v="0"/>
    <n v="1"/>
    <s v="Acceptable"/>
    <s v="2 Days"/>
    <x v="9"/>
    <s v="Tuesday"/>
    <n v="1"/>
  </r>
  <r>
    <x v="479"/>
    <d v="2024-07-15T00:00:00"/>
    <x v="0"/>
    <x v="3"/>
    <n v="129"/>
    <n v="53"/>
    <n v="2.7"/>
    <x v="1"/>
    <x v="0"/>
    <x v="0"/>
    <x v="3"/>
    <x v="3"/>
    <x v="1"/>
    <x v="1"/>
    <x v="3"/>
    <x v="0"/>
    <n v="0"/>
    <s v="Slow"/>
    <s v="3 Days"/>
    <x v="10"/>
    <s v="Monday"/>
    <n v="2"/>
  </r>
  <r>
    <x v="480"/>
    <d v="2024-09-13T00:00:00"/>
    <x v="2"/>
    <x v="3"/>
    <n v="78"/>
    <n v="50"/>
    <n v="6.6"/>
    <x v="1"/>
    <x v="2"/>
    <x v="0"/>
    <x v="3"/>
    <x v="3"/>
    <x v="1"/>
    <x v="1"/>
    <x v="0"/>
    <x v="0"/>
    <n v="0"/>
    <s v="Acceptable"/>
    <s v="3 Days"/>
    <x v="5"/>
    <s v="Friday"/>
    <n v="2"/>
  </r>
  <r>
    <x v="481"/>
    <d v="2024-12-14T00:00:00"/>
    <x v="1"/>
    <x v="1"/>
    <n v="88"/>
    <n v="56"/>
    <n v="3.1"/>
    <x v="0"/>
    <x v="1"/>
    <x v="0"/>
    <x v="1"/>
    <x v="1"/>
    <x v="1"/>
    <x v="0"/>
    <x v="3"/>
    <x v="0"/>
    <n v="1"/>
    <s v="Acceptable"/>
    <s v="3 Days"/>
    <x v="11"/>
    <s v="Saturday"/>
    <n v="3"/>
  </r>
  <r>
    <x v="482"/>
    <d v="2024-01-20T00:00:00"/>
    <x v="2"/>
    <x v="2"/>
    <n v="174"/>
    <n v="72"/>
    <n v="6.2"/>
    <x v="0"/>
    <x v="0"/>
    <x v="0"/>
    <x v="2"/>
    <x v="2"/>
    <x v="1"/>
    <x v="1"/>
    <x v="0"/>
    <x v="0"/>
    <n v="1"/>
    <s v="Slow"/>
    <s v="3 Days"/>
    <x v="8"/>
    <s v="Saturday"/>
    <n v="1"/>
  </r>
  <r>
    <x v="483"/>
    <d v="2024-05-05T00:00:00"/>
    <x v="2"/>
    <x v="0"/>
    <n v="16"/>
    <n v="16"/>
    <n v="3.7"/>
    <x v="1"/>
    <x v="2"/>
    <x v="1"/>
    <x v="0"/>
    <x v="0"/>
    <x v="0"/>
    <x v="0"/>
    <x v="3"/>
    <x v="1"/>
    <n v="0"/>
    <s v="Very Fast"/>
    <s v="1 Day"/>
    <x v="1"/>
    <s v="Sunday"/>
    <n v="4"/>
  </r>
  <r>
    <x v="484"/>
    <d v="2024-01-15T00:00:00"/>
    <x v="2"/>
    <x v="3"/>
    <n v="87"/>
    <n v="51"/>
    <n v="3.7"/>
    <x v="0"/>
    <x v="0"/>
    <x v="0"/>
    <x v="3"/>
    <x v="3"/>
    <x v="1"/>
    <x v="1"/>
    <x v="3"/>
    <x v="0"/>
    <n v="1"/>
    <s v="Acceptable"/>
    <s v="3 Days"/>
    <x v="8"/>
    <s v="Monday"/>
    <n v="2"/>
  </r>
  <r>
    <x v="485"/>
    <d v="2024-07-06T00:00:00"/>
    <x v="0"/>
    <x v="3"/>
    <n v="113"/>
    <n v="50"/>
    <n v="4"/>
    <x v="0"/>
    <x v="2"/>
    <x v="0"/>
    <x v="3"/>
    <x v="3"/>
    <x v="1"/>
    <x v="1"/>
    <x v="3"/>
    <x v="0"/>
    <n v="1"/>
    <s v="Acceptable"/>
    <s v="3 Days"/>
    <x v="10"/>
    <s v="Saturday"/>
    <n v="2"/>
  </r>
  <r>
    <x v="486"/>
    <d v="2024-06-25T00:00:00"/>
    <x v="0"/>
    <x v="0"/>
    <n v="211"/>
    <n v="59"/>
    <n v="9.1999999999999993"/>
    <x v="1"/>
    <x v="1"/>
    <x v="1"/>
    <x v="0"/>
    <x v="0"/>
    <x v="0"/>
    <x v="0"/>
    <x v="2"/>
    <x v="1"/>
    <n v="0"/>
    <s v="Slow"/>
    <s v="3 Days"/>
    <x v="4"/>
    <s v="Tuesday"/>
    <n v="4"/>
  </r>
  <r>
    <x v="487"/>
    <d v="2024-05-16T00:00:00"/>
    <x v="2"/>
    <x v="2"/>
    <n v="229"/>
    <n v="22"/>
    <n v="2.5"/>
    <x v="1"/>
    <x v="0"/>
    <x v="0"/>
    <x v="2"/>
    <x v="2"/>
    <x v="1"/>
    <x v="1"/>
    <x v="3"/>
    <x v="0"/>
    <n v="0"/>
    <s v="Slow"/>
    <s v="1 Day"/>
    <x v="1"/>
    <s v="Thursday"/>
    <n v="1"/>
  </r>
  <r>
    <x v="488"/>
    <d v="2024-03-04T00:00:00"/>
    <x v="1"/>
    <x v="1"/>
    <n v="151"/>
    <n v="62"/>
    <n v="8.1"/>
    <x v="1"/>
    <x v="0"/>
    <x v="1"/>
    <x v="1"/>
    <x v="1"/>
    <x v="1"/>
    <x v="1"/>
    <x v="2"/>
    <x v="1"/>
    <n v="0"/>
    <s v="Slow"/>
    <s v="3 Days"/>
    <x v="2"/>
    <s v="Monday"/>
    <n v="3"/>
  </r>
  <r>
    <x v="489"/>
    <d v="2024-05-17T00:00:00"/>
    <x v="3"/>
    <x v="2"/>
    <n v="65"/>
    <n v="33"/>
    <n v="7.5"/>
    <x v="0"/>
    <x v="0"/>
    <x v="0"/>
    <x v="2"/>
    <x v="2"/>
    <x v="1"/>
    <x v="1"/>
    <x v="0"/>
    <x v="0"/>
    <n v="1"/>
    <s v="Acceptable"/>
    <s v="2 Days"/>
    <x v="1"/>
    <s v="Friday"/>
    <n v="1"/>
  </r>
  <r>
    <x v="490"/>
    <d v="2024-09-29T00:00:00"/>
    <x v="1"/>
    <x v="3"/>
    <n v="70"/>
    <n v="63"/>
    <n v="4.0999999999999996"/>
    <x v="0"/>
    <x v="2"/>
    <x v="0"/>
    <x v="3"/>
    <x v="3"/>
    <x v="1"/>
    <x v="1"/>
    <x v="3"/>
    <x v="0"/>
    <n v="1"/>
    <s v="Acceptable"/>
    <s v="3 Days"/>
    <x v="5"/>
    <s v="Sunday"/>
    <n v="2"/>
  </r>
  <r>
    <x v="491"/>
    <d v="2024-05-26T00:00:00"/>
    <x v="3"/>
    <x v="2"/>
    <n v="45"/>
    <n v="65"/>
    <n v="9.5"/>
    <x v="1"/>
    <x v="2"/>
    <x v="0"/>
    <x v="2"/>
    <x v="2"/>
    <x v="1"/>
    <x v="1"/>
    <x v="2"/>
    <x v="0"/>
    <n v="0"/>
    <s v="Acceptable"/>
    <s v="3 Days"/>
    <x v="1"/>
    <s v="Sunday"/>
    <n v="1"/>
  </r>
  <r>
    <x v="492"/>
    <d v="2024-02-11T00:00:00"/>
    <x v="0"/>
    <x v="3"/>
    <n v="143"/>
    <n v="57"/>
    <n v="8.6999999999999993"/>
    <x v="1"/>
    <x v="2"/>
    <x v="0"/>
    <x v="3"/>
    <x v="3"/>
    <x v="1"/>
    <x v="1"/>
    <x v="2"/>
    <x v="0"/>
    <n v="0"/>
    <s v="Slow"/>
    <s v="3 Days"/>
    <x v="9"/>
    <s v="Sunday"/>
    <n v="2"/>
  </r>
  <r>
    <x v="493"/>
    <d v="2024-11-30T00:00:00"/>
    <x v="3"/>
    <x v="3"/>
    <n v="139"/>
    <n v="63"/>
    <n v="2.5"/>
    <x v="0"/>
    <x v="1"/>
    <x v="0"/>
    <x v="3"/>
    <x v="3"/>
    <x v="1"/>
    <x v="1"/>
    <x v="3"/>
    <x v="0"/>
    <n v="1"/>
    <s v="Slow"/>
    <s v="3 Days"/>
    <x v="6"/>
    <s v="Saturday"/>
    <n v="2"/>
  </r>
  <r>
    <x v="494"/>
    <d v="2024-07-04T00:00:00"/>
    <x v="0"/>
    <x v="0"/>
    <n v="64"/>
    <n v="58"/>
    <n v="3.3"/>
    <x v="0"/>
    <x v="2"/>
    <x v="0"/>
    <x v="0"/>
    <x v="0"/>
    <x v="0"/>
    <x v="0"/>
    <x v="3"/>
    <x v="0"/>
    <n v="1"/>
    <s v="Acceptable"/>
    <s v="3 Days"/>
    <x v="10"/>
    <s v="Thursday"/>
    <n v="4"/>
  </r>
  <r>
    <x v="495"/>
    <d v="2024-11-27T00:00:00"/>
    <x v="2"/>
    <x v="0"/>
    <n v="184"/>
    <n v="29"/>
    <n v="1.7"/>
    <x v="1"/>
    <x v="1"/>
    <x v="0"/>
    <x v="0"/>
    <x v="0"/>
    <x v="0"/>
    <x v="0"/>
    <x v="1"/>
    <x v="0"/>
    <n v="0"/>
    <s v="Slow"/>
    <s v="2 Days"/>
    <x v="6"/>
    <s v="Wednesday"/>
    <n v="4"/>
  </r>
  <r>
    <x v="496"/>
    <d v="2024-05-28T00:00:00"/>
    <x v="0"/>
    <x v="1"/>
    <n v="140"/>
    <n v="38"/>
    <n v="0.9"/>
    <x v="0"/>
    <x v="0"/>
    <x v="0"/>
    <x v="1"/>
    <x v="1"/>
    <x v="0"/>
    <x v="1"/>
    <x v="1"/>
    <x v="0"/>
    <n v="1"/>
    <s v="Slow"/>
    <s v="2 Days"/>
    <x v="1"/>
    <s v="Tuesday"/>
    <n v="3"/>
  </r>
  <r>
    <x v="497"/>
    <d v="2024-09-15T00:00:00"/>
    <x v="2"/>
    <x v="2"/>
    <n v="24"/>
    <n v="52"/>
    <n v="5.6"/>
    <x v="1"/>
    <x v="1"/>
    <x v="1"/>
    <x v="2"/>
    <x v="2"/>
    <x v="1"/>
    <x v="0"/>
    <x v="0"/>
    <x v="1"/>
    <n v="0"/>
    <s v="Very Fast"/>
    <s v="3 Days"/>
    <x v="5"/>
    <s v="Sunday"/>
    <n v="1"/>
  </r>
  <r>
    <x v="498"/>
    <d v="2024-10-06T00:00:00"/>
    <x v="2"/>
    <x v="0"/>
    <n v="165"/>
    <n v="38"/>
    <n v="3.8"/>
    <x v="1"/>
    <x v="0"/>
    <x v="0"/>
    <x v="0"/>
    <x v="0"/>
    <x v="0"/>
    <x v="0"/>
    <x v="3"/>
    <x v="0"/>
    <n v="0"/>
    <s v="Slow"/>
    <s v="2 Days"/>
    <x v="7"/>
    <s v="Sunday"/>
    <n v="4"/>
  </r>
  <r>
    <x v="499"/>
    <d v="2024-05-26T00:00:00"/>
    <x v="3"/>
    <x v="2"/>
    <n v="131"/>
    <n v="25"/>
    <n v="7.7"/>
    <x v="0"/>
    <x v="1"/>
    <x v="0"/>
    <x v="2"/>
    <x v="2"/>
    <x v="1"/>
    <x v="1"/>
    <x v="0"/>
    <x v="0"/>
    <n v="1"/>
    <s v="Slow"/>
    <s v="2 Days"/>
    <x v="1"/>
    <s v="Sunday"/>
    <n v="1"/>
  </r>
  <r>
    <x v="500"/>
    <d v="2024-09-02T00:00:00"/>
    <x v="4"/>
    <x v="1"/>
    <n v="5"/>
    <n v="24"/>
    <n v="5"/>
    <x v="1"/>
    <x v="0"/>
    <x v="2"/>
    <x v="1"/>
    <x v="1"/>
    <x v="0"/>
    <x v="0"/>
    <x v="3"/>
    <x v="2"/>
    <n v="0"/>
    <s v="Very Fast"/>
    <s v="1 Day"/>
    <x v="5"/>
    <s v="Monday"/>
    <n v="3"/>
  </r>
  <r>
    <x v="501"/>
    <d v="2024-07-22T00:00:00"/>
    <x v="2"/>
    <x v="3"/>
    <n v="68"/>
    <n v="29"/>
    <n v="7.7"/>
    <x v="1"/>
    <x v="1"/>
    <x v="0"/>
    <x v="3"/>
    <x v="3"/>
    <x v="1"/>
    <x v="1"/>
    <x v="0"/>
    <x v="0"/>
    <n v="0"/>
    <s v="Acceptable"/>
    <s v="2 Days"/>
    <x v="10"/>
    <s v="Monday"/>
    <n v="2"/>
  </r>
  <r>
    <x v="502"/>
    <d v="2024-10-08T00:00:00"/>
    <x v="2"/>
    <x v="1"/>
    <n v="30"/>
    <n v="29"/>
    <n v="6.5"/>
    <x v="0"/>
    <x v="2"/>
    <x v="1"/>
    <x v="1"/>
    <x v="1"/>
    <x v="0"/>
    <x v="0"/>
    <x v="0"/>
    <x v="1"/>
    <n v="1"/>
    <s v="Very Fast"/>
    <s v="2 Days"/>
    <x v="7"/>
    <s v="Tuesday"/>
    <n v="3"/>
  </r>
  <r>
    <x v="503"/>
    <d v="2024-12-15T00:00:00"/>
    <x v="2"/>
    <x v="3"/>
    <n v="134"/>
    <n v="43"/>
    <n v="2.2000000000000002"/>
    <x v="1"/>
    <x v="1"/>
    <x v="0"/>
    <x v="3"/>
    <x v="3"/>
    <x v="1"/>
    <x v="1"/>
    <x v="3"/>
    <x v="0"/>
    <n v="0"/>
    <s v="Slow"/>
    <s v="2 Days"/>
    <x v="11"/>
    <s v="Sunday"/>
    <n v="2"/>
  </r>
  <r>
    <x v="504"/>
    <d v="2024-01-04T00:00:00"/>
    <x v="1"/>
    <x v="3"/>
    <n v="118"/>
    <n v="56"/>
    <n v="0.7"/>
    <x v="1"/>
    <x v="2"/>
    <x v="0"/>
    <x v="3"/>
    <x v="3"/>
    <x v="1"/>
    <x v="1"/>
    <x v="1"/>
    <x v="0"/>
    <n v="0"/>
    <s v="Acceptable"/>
    <s v="3 Days"/>
    <x v="8"/>
    <s v="Thursday"/>
    <n v="2"/>
  </r>
  <r>
    <x v="505"/>
    <d v="2024-07-31T00:00:00"/>
    <x v="1"/>
    <x v="1"/>
    <n v="111"/>
    <n v="69"/>
    <n v="3.1"/>
    <x v="0"/>
    <x v="1"/>
    <x v="0"/>
    <x v="1"/>
    <x v="1"/>
    <x v="1"/>
    <x v="0"/>
    <x v="3"/>
    <x v="0"/>
    <n v="1"/>
    <s v="Acceptable"/>
    <s v="3 Days"/>
    <x v="10"/>
    <s v="Wednesday"/>
    <n v="3"/>
  </r>
  <r>
    <x v="506"/>
    <d v="2024-01-14T00:00:00"/>
    <x v="0"/>
    <x v="2"/>
    <n v="94"/>
    <n v="5"/>
    <n v="7"/>
    <x v="0"/>
    <x v="0"/>
    <x v="1"/>
    <x v="2"/>
    <x v="2"/>
    <x v="0"/>
    <x v="1"/>
    <x v="0"/>
    <x v="1"/>
    <n v="1"/>
    <s v="Acceptable"/>
    <s v="Same Day"/>
    <x v="8"/>
    <s v="Sunday"/>
    <n v="1"/>
  </r>
  <r>
    <x v="507"/>
    <d v="2024-12-11T00:00:00"/>
    <x v="1"/>
    <x v="2"/>
    <n v="201"/>
    <n v="22"/>
    <n v="9.1999999999999993"/>
    <x v="0"/>
    <x v="2"/>
    <x v="0"/>
    <x v="2"/>
    <x v="2"/>
    <x v="1"/>
    <x v="1"/>
    <x v="2"/>
    <x v="0"/>
    <n v="1"/>
    <s v="Slow"/>
    <s v="1 Day"/>
    <x v="11"/>
    <s v="Wednesday"/>
    <n v="1"/>
  </r>
  <r>
    <x v="508"/>
    <d v="2024-05-19T00:00:00"/>
    <x v="3"/>
    <x v="0"/>
    <n v="200"/>
    <n v="23"/>
    <n v="5.3"/>
    <x v="1"/>
    <x v="0"/>
    <x v="1"/>
    <x v="0"/>
    <x v="0"/>
    <x v="0"/>
    <x v="0"/>
    <x v="0"/>
    <x v="1"/>
    <n v="0"/>
    <s v="Slow"/>
    <s v="1 Day"/>
    <x v="1"/>
    <s v="Sunday"/>
    <n v="4"/>
  </r>
  <r>
    <x v="509"/>
    <d v="2024-05-15T00:00:00"/>
    <x v="3"/>
    <x v="3"/>
    <n v="20"/>
    <n v="25"/>
    <n v="2.2000000000000002"/>
    <x v="1"/>
    <x v="0"/>
    <x v="1"/>
    <x v="3"/>
    <x v="3"/>
    <x v="1"/>
    <x v="0"/>
    <x v="3"/>
    <x v="1"/>
    <n v="0"/>
    <s v="Very Fast"/>
    <s v="2 Days"/>
    <x v="1"/>
    <s v="Wednesday"/>
    <n v="2"/>
  </r>
  <r>
    <x v="510"/>
    <d v="2024-05-07T00:00:00"/>
    <x v="3"/>
    <x v="3"/>
    <n v="7"/>
    <n v="64"/>
    <n v="7.1"/>
    <x v="1"/>
    <x v="1"/>
    <x v="1"/>
    <x v="3"/>
    <x v="3"/>
    <x v="1"/>
    <x v="0"/>
    <x v="0"/>
    <x v="1"/>
    <n v="0"/>
    <s v="Very Fast"/>
    <s v="3 Days"/>
    <x v="1"/>
    <s v="Tuesday"/>
    <n v="2"/>
  </r>
  <r>
    <x v="511"/>
    <d v="2024-09-06T00:00:00"/>
    <x v="3"/>
    <x v="0"/>
    <n v="169"/>
    <n v="6"/>
    <n v="6.1"/>
    <x v="0"/>
    <x v="0"/>
    <x v="1"/>
    <x v="0"/>
    <x v="0"/>
    <x v="0"/>
    <x v="0"/>
    <x v="0"/>
    <x v="1"/>
    <n v="1"/>
    <s v="Slow"/>
    <s v="Same Day"/>
    <x v="5"/>
    <s v="Friday"/>
    <n v="4"/>
  </r>
  <r>
    <x v="512"/>
    <d v="2024-04-12T00:00:00"/>
    <x v="0"/>
    <x v="1"/>
    <n v="189"/>
    <n v="28"/>
    <n v="9.6999999999999993"/>
    <x v="0"/>
    <x v="1"/>
    <x v="0"/>
    <x v="1"/>
    <x v="1"/>
    <x v="0"/>
    <x v="1"/>
    <x v="2"/>
    <x v="0"/>
    <n v="1"/>
    <s v="Slow"/>
    <s v="2 Days"/>
    <x v="3"/>
    <s v="Friday"/>
    <n v="3"/>
  </r>
  <r>
    <x v="513"/>
    <d v="2024-12-28T00:00:00"/>
    <x v="2"/>
    <x v="2"/>
    <n v="154"/>
    <n v="38"/>
    <n v="0.5"/>
    <x v="0"/>
    <x v="0"/>
    <x v="0"/>
    <x v="2"/>
    <x v="2"/>
    <x v="1"/>
    <x v="1"/>
    <x v="1"/>
    <x v="0"/>
    <n v="1"/>
    <s v="Slow"/>
    <s v="2 Days"/>
    <x v="11"/>
    <s v="Saturday"/>
    <n v="1"/>
  </r>
  <r>
    <x v="514"/>
    <d v="2024-03-01T00:00:00"/>
    <x v="4"/>
    <x v="0"/>
    <n v="132"/>
    <n v="41"/>
    <n v="9.1999999999999993"/>
    <x v="0"/>
    <x v="1"/>
    <x v="0"/>
    <x v="0"/>
    <x v="0"/>
    <x v="0"/>
    <x v="0"/>
    <x v="2"/>
    <x v="0"/>
    <n v="1"/>
    <s v="Slow"/>
    <s v="2 Days"/>
    <x v="2"/>
    <s v="Friday"/>
    <n v="4"/>
  </r>
  <r>
    <x v="515"/>
    <d v="2024-01-20T00:00:00"/>
    <x v="4"/>
    <x v="0"/>
    <n v="74"/>
    <n v="36"/>
    <n v="4.3"/>
    <x v="0"/>
    <x v="2"/>
    <x v="0"/>
    <x v="0"/>
    <x v="0"/>
    <x v="0"/>
    <x v="0"/>
    <x v="3"/>
    <x v="0"/>
    <n v="1"/>
    <s v="Acceptable"/>
    <s v="2 Days"/>
    <x v="8"/>
    <s v="Saturday"/>
    <n v="4"/>
  </r>
  <r>
    <x v="516"/>
    <d v="2024-05-30T00:00:00"/>
    <x v="2"/>
    <x v="3"/>
    <n v="160"/>
    <n v="54"/>
    <n v="1.2"/>
    <x v="0"/>
    <x v="1"/>
    <x v="0"/>
    <x v="3"/>
    <x v="3"/>
    <x v="1"/>
    <x v="1"/>
    <x v="1"/>
    <x v="0"/>
    <n v="1"/>
    <s v="Slow"/>
    <s v="3 Days"/>
    <x v="1"/>
    <s v="Thursday"/>
    <n v="2"/>
  </r>
  <r>
    <x v="517"/>
    <d v="2024-02-23T00:00:00"/>
    <x v="4"/>
    <x v="1"/>
    <n v="209"/>
    <n v="35"/>
    <n v="1.9"/>
    <x v="1"/>
    <x v="0"/>
    <x v="0"/>
    <x v="1"/>
    <x v="1"/>
    <x v="0"/>
    <x v="1"/>
    <x v="1"/>
    <x v="0"/>
    <n v="0"/>
    <s v="Slow"/>
    <s v="2 Days"/>
    <x v="9"/>
    <s v="Friday"/>
    <n v="3"/>
  </r>
  <r>
    <x v="518"/>
    <d v="2024-04-02T00:00:00"/>
    <x v="0"/>
    <x v="0"/>
    <n v="62"/>
    <n v="19"/>
    <n v="8.1999999999999993"/>
    <x v="1"/>
    <x v="2"/>
    <x v="1"/>
    <x v="0"/>
    <x v="0"/>
    <x v="0"/>
    <x v="0"/>
    <x v="2"/>
    <x v="1"/>
    <n v="0"/>
    <s v="Acceptable"/>
    <s v="1 Day"/>
    <x v="3"/>
    <s v="Tuesday"/>
    <n v="4"/>
  </r>
  <r>
    <x v="519"/>
    <d v="2024-05-26T00:00:00"/>
    <x v="3"/>
    <x v="1"/>
    <n v="236"/>
    <n v="62"/>
    <n v="1.1000000000000001"/>
    <x v="0"/>
    <x v="1"/>
    <x v="0"/>
    <x v="1"/>
    <x v="1"/>
    <x v="1"/>
    <x v="1"/>
    <x v="1"/>
    <x v="0"/>
    <n v="1"/>
    <s v="Slow"/>
    <s v="3 Days"/>
    <x v="1"/>
    <s v="Sunday"/>
    <n v="3"/>
  </r>
  <r>
    <x v="520"/>
    <d v="2024-01-05T00:00:00"/>
    <x v="2"/>
    <x v="0"/>
    <n v="191"/>
    <n v="28"/>
    <n v="5.4"/>
    <x v="1"/>
    <x v="0"/>
    <x v="1"/>
    <x v="0"/>
    <x v="0"/>
    <x v="0"/>
    <x v="0"/>
    <x v="0"/>
    <x v="1"/>
    <n v="0"/>
    <s v="Slow"/>
    <s v="2 Days"/>
    <x v="8"/>
    <s v="Friday"/>
    <n v="4"/>
  </r>
  <r>
    <x v="521"/>
    <d v="2024-02-18T00:00:00"/>
    <x v="2"/>
    <x v="0"/>
    <n v="205"/>
    <n v="40"/>
    <n v="1.3"/>
    <x v="0"/>
    <x v="1"/>
    <x v="0"/>
    <x v="0"/>
    <x v="0"/>
    <x v="0"/>
    <x v="0"/>
    <x v="1"/>
    <x v="0"/>
    <n v="1"/>
    <s v="Slow"/>
    <s v="2 Days"/>
    <x v="9"/>
    <s v="Sunday"/>
    <n v="4"/>
  </r>
  <r>
    <x v="522"/>
    <d v="2024-03-10T00:00:00"/>
    <x v="0"/>
    <x v="1"/>
    <n v="170"/>
    <n v="30"/>
    <n v="8.6"/>
    <x v="1"/>
    <x v="1"/>
    <x v="1"/>
    <x v="1"/>
    <x v="1"/>
    <x v="0"/>
    <x v="1"/>
    <x v="2"/>
    <x v="1"/>
    <n v="0"/>
    <s v="Slow"/>
    <s v="2 Days"/>
    <x v="2"/>
    <s v="Sunday"/>
    <n v="3"/>
  </r>
  <r>
    <x v="523"/>
    <d v="2024-09-03T00:00:00"/>
    <x v="3"/>
    <x v="0"/>
    <n v="209"/>
    <n v="50"/>
    <n v="1.7"/>
    <x v="0"/>
    <x v="1"/>
    <x v="0"/>
    <x v="0"/>
    <x v="0"/>
    <x v="0"/>
    <x v="0"/>
    <x v="1"/>
    <x v="0"/>
    <n v="1"/>
    <s v="Slow"/>
    <s v="3 Days"/>
    <x v="5"/>
    <s v="Tuesday"/>
    <n v="4"/>
  </r>
  <r>
    <x v="524"/>
    <d v="2024-06-21T00:00:00"/>
    <x v="3"/>
    <x v="3"/>
    <n v="113"/>
    <n v="18"/>
    <n v="5.8"/>
    <x v="1"/>
    <x v="2"/>
    <x v="0"/>
    <x v="3"/>
    <x v="3"/>
    <x v="0"/>
    <x v="1"/>
    <x v="0"/>
    <x v="0"/>
    <n v="0"/>
    <s v="Acceptable"/>
    <s v="1 Day"/>
    <x v="4"/>
    <s v="Friday"/>
    <n v="2"/>
  </r>
  <r>
    <x v="525"/>
    <d v="2024-06-26T00:00:00"/>
    <x v="4"/>
    <x v="1"/>
    <n v="186"/>
    <n v="23"/>
    <n v="3.8"/>
    <x v="0"/>
    <x v="0"/>
    <x v="0"/>
    <x v="1"/>
    <x v="1"/>
    <x v="0"/>
    <x v="1"/>
    <x v="3"/>
    <x v="0"/>
    <n v="1"/>
    <s v="Slow"/>
    <s v="1 Day"/>
    <x v="4"/>
    <s v="Wednesday"/>
    <n v="3"/>
  </r>
  <r>
    <x v="526"/>
    <d v="2024-06-24T00:00:00"/>
    <x v="0"/>
    <x v="3"/>
    <n v="176"/>
    <n v="39"/>
    <n v="2.4"/>
    <x v="1"/>
    <x v="2"/>
    <x v="0"/>
    <x v="3"/>
    <x v="3"/>
    <x v="1"/>
    <x v="1"/>
    <x v="3"/>
    <x v="0"/>
    <n v="0"/>
    <s v="Slow"/>
    <s v="2 Days"/>
    <x v="4"/>
    <s v="Monday"/>
    <n v="2"/>
  </r>
  <r>
    <x v="527"/>
    <d v="2024-03-18T00:00:00"/>
    <x v="1"/>
    <x v="0"/>
    <n v="35"/>
    <n v="37"/>
    <n v="1"/>
    <x v="0"/>
    <x v="1"/>
    <x v="0"/>
    <x v="0"/>
    <x v="0"/>
    <x v="0"/>
    <x v="0"/>
    <x v="1"/>
    <x v="0"/>
    <n v="1"/>
    <s v="Acceptable"/>
    <s v="2 Days"/>
    <x v="2"/>
    <s v="Monday"/>
    <n v="4"/>
  </r>
  <r>
    <x v="528"/>
    <d v="2024-07-24T00:00:00"/>
    <x v="0"/>
    <x v="0"/>
    <n v="98"/>
    <n v="36"/>
    <n v="0.7"/>
    <x v="0"/>
    <x v="2"/>
    <x v="0"/>
    <x v="0"/>
    <x v="0"/>
    <x v="0"/>
    <x v="0"/>
    <x v="1"/>
    <x v="0"/>
    <n v="1"/>
    <s v="Acceptable"/>
    <s v="2 Days"/>
    <x v="10"/>
    <s v="Wednesday"/>
    <n v="4"/>
  </r>
  <r>
    <x v="529"/>
    <d v="2024-01-07T00:00:00"/>
    <x v="3"/>
    <x v="2"/>
    <n v="66"/>
    <n v="53"/>
    <n v="6.6"/>
    <x v="0"/>
    <x v="0"/>
    <x v="0"/>
    <x v="2"/>
    <x v="2"/>
    <x v="1"/>
    <x v="1"/>
    <x v="0"/>
    <x v="0"/>
    <n v="1"/>
    <s v="Acceptable"/>
    <s v="3 Days"/>
    <x v="8"/>
    <s v="Sunday"/>
    <n v="1"/>
  </r>
  <r>
    <x v="530"/>
    <d v="2024-05-24T00:00:00"/>
    <x v="0"/>
    <x v="3"/>
    <n v="176"/>
    <n v="3"/>
    <n v="9.8000000000000007"/>
    <x v="0"/>
    <x v="2"/>
    <x v="1"/>
    <x v="3"/>
    <x v="3"/>
    <x v="0"/>
    <x v="1"/>
    <x v="2"/>
    <x v="1"/>
    <n v="1"/>
    <s v="Slow"/>
    <s v="Same Day"/>
    <x v="1"/>
    <s v="Friday"/>
    <n v="2"/>
  </r>
  <r>
    <x v="531"/>
    <d v="2024-04-08T00:00:00"/>
    <x v="3"/>
    <x v="1"/>
    <n v="65"/>
    <n v="54"/>
    <n v="2.1"/>
    <x v="0"/>
    <x v="1"/>
    <x v="0"/>
    <x v="1"/>
    <x v="1"/>
    <x v="1"/>
    <x v="0"/>
    <x v="3"/>
    <x v="0"/>
    <n v="1"/>
    <s v="Acceptable"/>
    <s v="3 Days"/>
    <x v="3"/>
    <s v="Monday"/>
    <n v="3"/>
  </r>
  <r>
    <x v="532"/>
    <d v="2024-07-27T00:00:00"/>
    <x v="2"/>
    <x v="0"/>
    <n v="198"/>
    <n v="15"/>
    <n v="3"/>
    <x v="1"/>
    <x v="0"/>
    <x v="0"/>
    <x v="0"/>
    <x v="0"/>
    <x v="0"/>
    <x v="0"/>
    <x v="3"/>
    <x v="0"/>
    <n v="0"/>
    <s v="Slow"/>
    <s v="1 Day"/>
    <x v="10"/>
    <s v="Saturday"/>
    <n v="4"/>
  </r>
  <r>
    <x v="533"/>
    <d v="2024-04-10T00:00:00"/>
    <x v="0"/>
    <x v="3"/>
    <n v="103"/>
    <n v="46"/>
    <n v="2.7"/>
    <x v="1"/>
    <x v="2"/>
    <x v="0"/>
    <x v="3"/>
    <x v="3"/>
    <x v="1"/>
    <x v="1"/>
    <x v="3"/>
    <x v="0"/>
    <n v="0"/>
    <s v="Acceptable"/>
    <s v="2 Days"/>
    <x v="3"/>
    <s v="Wednesday"/>
    <n v="2"/>
  </r>
  <r>
    <x v="534"/>
    <d v="2024-10-06T00:00:00"/>
    <x v="2"/>
    <x v="0"/>
    <n v="210"/>
    <n v="71"/>
    <n v="9.3000000000000007"/>
    <x v="1"/>
    <x v="0"/>
    <x v="1"/>
    <x v="0"/>
    <x v="0"/>
    <x v="0"/>
    <x v="0"/>
    <x v="2"/>
    <x v="1"/>
    <n v="0"/>
    <s v="Slow"/>
    <s v="3 Days"/>
    <x v="7"/>
    <s v="Sunday"/>
    <n v="4"/>
  </r>
  <r>
    <x v="535"/>
    <d v="2024-06-30T00:00:00"/>
    <x v="3"/>
    <x v="0"/>
    <n v="159"/>
    <n v="8"/>
    <n v="5"/>
    <x v="1"/>
    <x v="0"/>
    <x v="1"/>
    <x v="0"/>
    <x v="0"/>
    <x v="0"/>
    <x v="0"/>
    <x v="3"/>
    <x v="1"/>
    <n v="0"/>
    <s v="Slow"/>
    <s v="Same Day"/>
    <x v="4"/>
    <s v="Sunday"/>
    <n v="4"/>
  </r>
  <r>
    <x v="536"/>
    <d v="2024-01-11T00:00:00"/>
    <x v="1"/>
    <x v="0"/>
    <n v="13"/>
    <n v="33"/>
    <n v="0.9"/>
    <x v="0"/>
    <x v="2"/>
    <x v="1"/>
    <x v="0"/>
    <x v="0"/>
    <x v="0"/>
    <x v="0"/>
    <x v="1"/>
    <x v="1"/>
    <n v="1"/>
    <s v="Very Fast"/>
    <s v="2 Days"/>
    <x v="8"/>
    <s v="Thursday"/>
    <n v="4"/>
  </r>
  <r>
    <x v="537"/>
    <d v="2024-12-10T00:00:00"/>
    <x v="0"/>
    <x v="3"/>
    <n v="151"/>
    <n v="67"/>
    <n v="9.9"/>
    <x v="1"/>
    <x v="2"/>
    <x v="0"/>
    <x v="3"/>
    <x v="3"/>
    <x v="1"/>
    <x v="1"/>
    <x v="2"/>
    <x v="0"/>
    <n v="0"/>
    <s v="Slow"/>
    <s v="3 Days"/>
    <x v="11"/>
    <s v="Tuesday"/>
    <n v="2"/>
  </r>
  <r>
    <x v="538"/>
    <d v="2024-02-26T00:00:00"/>
    <x v="0"/>
    <x v="3"/>
    <n v="232"/>
    <n v="9"/>
    <n v="8.3000000000000007"/>
    <x v="1"/>
    <x v="0"/>
    <x v="0"/>
    <x v="3"/>
    <x v="3"/>
    <x v="0"/>
    <x v="1"/>
    <x v="2"/>
    <x v="0"/>
    <n v="0"/>
    <s v="Slow"/>
    <s v="1 Day"/>
    <x v="9"/>
    <s v="Monday"/>
    <n v="2"/>
  </r>
  <r>
    <x v="539"/>
    <d v="2024-08-26T00:00:00"/>
    <x v="4"/>
    <x v="1"/>
    <n v="62"/>
    <n v="70"/>
    <n v="3.9"/>
    <x v="1"/>
    <x v="1"/>
    <x v="0"/>
    <x v="1"/>
    <x v="1"/>
    <x v="1"/>
    <x v="0"/>
    <x v="3"/>
    <x v="0"/>
    <n v="0"/>
    <s v="Acceptable"/>
    <s v="3 Days"/>
    <x v="0"/>
    <s v="Monday"/>
    <n v="3"/>
  </r>
  <r>
    <x v="540"/>
    <d v="2024-04-05T00:00:00"/>
    <x v="1"/>
    <x v="1"/>
    <n v="17"/>
    <n v="43"/>
    <n v="2.8"/>
    <x v="0"/>
    <x v="2"/>
    <x v="1"/>
    <x v="1"/>
    <x v="1"/>
    <x v="0"/>
    <x v="0"/>
    <x v="3"/>
    <x v="1"/>
    <n v="1"/>
    <s v="Very Fast"/>
    <s v="2 Days"/>
    <x v="3"/>
    <s v="Friday"/>
    <n v="3"/>
  </r>
  <r>
    <x v="541"/>
    <d v="2024-11-11T00:00:00"/>
    <x v="0"/>
    <x v="2"/>
    <n v="166"/>
    <n v="70"/>
    <n v="7.3"/>
    <x v="0"/>
    <x v="0"/>
    <x v="0"/>
    <x v="2"/>
    <x v="2"/>
    <x v="1"/>
    <x v="1"/>
    <x v="0"/>
    <x v="0"/>
    <n v="1"/>
    <s v="Slow"/>
    <s v="3 Days"/>
    <x v="6"/>
    <s v="Monday"/>
    <n v="1"/>
  </r>
  <r>
    <x v="542"/>
    <d v="2024-02-07T00:00:00"/>
    <x v="0"/>
    <x v="2"/>
    <n v="7"/>
    <n v="33"/>
    <n v="9.9"/>
    <x v="1"/>
    <x v="0"/>
    <x v="1"/>
    <x v="2"/>
    <x v="2"/>
    <x v="1"/>
    <x v="0"/>
    <x v="2"/>
    <x v="1"/>
    <n v="0"/>
    <s v="Very Fast"/>
    <s v="2 Days"/>
    <x v="9"/>
    <s v="Wednesday"/>
    <n v="1"/>
  </r>
  <r>
    <x v="543"/>
    <d v="2024-08-10T00:00:00"/>
    <x v="0"/>
    <x v="2"/>
    <n v="75"/>
    <n v="38"/>
    <n v="8.3000000000000007"/>
    <x v="1"/>
    <x v="2"/>
    <x v="0"/>
    <x v="2"/>
    <x v="2"/>
    <x v="1"/>
    <x v="1"/>
    <x v="2"/>
    <x v="0"/>
    <n v="0"/>
    <s v="Acceptable"/>
    <s v="2 Days"/>
    <x v="0"/>
    <s v="Saturday"/>
    <n v="1"/>
  </r>
  <r>
    <x v="544"/>
    <d v="2024-03-18T00:00:00"/>
    <x v="3"/>
    <x v="1"/>
    <n v="92"/>
    <n v="46"/>
    <n v="5.3"/>
    <x v="0"/>
    <x v="1"/>
    <x v="0"/>
    <x v="1"/>
    <x v="1"/>
    <x v="0"/>
    <x v="0"/>
    <x v="0"/>
    <x v="0"/>
    <n v="1"/>
    <s v="Acceptable"/>
    <s v="2 Days"/>
    <x v="2"/>
    <s v="Monday"/>
    <n v="3"/>
  </r>
  <r>
    <x v="545"/>
    <d v="2024-10-15T00:00:00"/>
    <x v="1"/>
    <x v="3"/>
    <n v="144"/>
    <n v="72"/>
    <n v="1.4"/>
    <x v="0"/>
    <x v="0"/>
    <x v="0"/>
    <x v="3"/>
    <x v="3"/>
    <x v="1"/>
    <x v="1"/>
    <x v="1"/>
    <x v="0"/>
    <n v="1"/>
    <s v="Slow"/>
    <s v="3 Days"/>
    <x v="7"/>
    <s v="Tuesday"/>
    <n v="2"/>
  </r>
  <r>
    <x v="546"/>
    <d v="2024-08-07T00:00:00"/>
    <x v="0"/>
    <x v="3"/>
    <n v="97"/>
    <n v="51"/>
    <n v="6.6"/>
    <x v="1"/>
    <x v="0"/>
    <x v="0"/>
    <x v="3"/>
    <x v="3"/>
    <x v="1"/>
    <x v="1"/>
    <x v="0"/>
    <x v="0"/>
    <n v="0"/>
    <s v="Acceptable"/>
    <s v="3 Days"/>
    <x v="0"/>
    <s v="Wednesday"/>
    <n v="2"/>
  </r>
  <r>
    <x v="547"/>
    <d v="2024-09-07T00:00:00"/>
    <x v="4"/>
    <x v="3"/>
    <n v="121"/>
    <n v="17"/>
    <n v="7.2"/>
    <x v="0"/>
    <x v="1"/>
    <x v="0"/>
    <x v="3"/>
    <x v="3"/>
    <x v="0"/>
    <x v="1"/>
    <x v="0"/>
    <x v="0"/>
    <n v="1"/>
    <s v="Slow"/>
    <s v="1 Day"/>
    <x v="5"/>
    <s v="Saturday"/>
    <n v="2"/>
  </r>
  <r>
    <x v="548"/>
    <d v="2024-04-03T00:00:00"/>
    <x v="1"/>
    <x v="2"/>
    <n v="79"/>
    <n v="39"/>
    <n v="2.5"/>
    <x v="1"/>
    <x v="2"/>
    <x v="0"/>
    <x v="2"/>
    <x v="2"/>
    <x v="1"/>
    <x v="1"/>
    <x v="3"/>
    <x v="0"/>
    <n v="0"/>
    <s v="Acceptable"/>
    <s v="2 Days"/>
    <x v="3"/>
    <s v="Wednesday"/>
    <n v="1"/>
  </r>
  <r>
    <x v="549"/>
    <d v="2024-04-09T00:00:00"/>
    <x v="1"/>
    <x v="1"/>
    <n v="227"/>
    <n v="51"/>
    <n v="7.4"/>
    <x v="1"/>
    <x v="1"/>
    <x v="1"/>
    <x v="1"/>
    <x v="1"/>
    <x v="1"/>
    <x v="1"/>
    <x v="0"/>
    <x v="1"/>
    <n v="0"/>
    <s v="Slow"/>
    <s v="3 Days"/>
    <x v="3"/>
    <s v="Tuesday"/>
    <n v="3"/>
  </r>
  <r>
    <x v="550"/>
    <d v="2024-08-17T00:00:00"/>
    <x v="0"/>
    <x v="3"/>
    <n v="78"/>
    <n v="45"/>
    <n v="6.5"/>
    <x v="0"/>
    <x v="0"/>
    <x v="0"/>
    <x v="3"/>
    <x v="3"/>
    <x v="1"/>
    <x v="1"/>
    <x v="0"/>
    <x v="0"/>
    <n v="1"/>
    <s v="Acceptable"/>
    <s v="2 Days"/>
    <x v="0"/>
    <s v="Saturday"/>
    <n v="2"/>
  </r>
  <r>
    <x v="551"/>
    <d v="2024-06-23T00:00:00"/>
    <x v="3"/>
    <x v="2"/>
    <n v="145"/>
    <n v="72"/>
    <n v="9.4"/>
    <x v="1"/>
    <x v="0"/>
    <x v="0"/>
    <x v="2"/>
    <x v="2"/>
    <x v="1"/>
    <x v="1"/>
    <x v="2"/>
    <x v="0"/>
    <n v="0"/>
    <s v="Slow"/>
    <s v="3 Days"/>
    <x v="4"/>
    <s v="Sunday"/>
    <n v="1"/>
  </r>
  <r>
    <x v="552"/>
    <d v="2024-12-07T00:00:00"/>
    <x v="2"/>
    <x v="3"/>
    <n v="90"/>
    <n v="47"/>
    <n v="6.7"/>
    <x v="1"/>
    <x v="0"/>
    <x v="0"/>
    <x v="3"/>
    <x v="3"/>
    <x v="1"/>
    <x v="1"/>
    <x v="0"/>
    <x v="0"/>
    <n v="0"/>
    <s v="Acceptable"/>
    <s v="2 Days"/>
    <x v="11"/>
    <s v="Saturday"/>
    <n v="2"/>
  </r>
  <r>
    <x v="553"/>
    <d v="2024-08-25T00:00:00"/>
    <x v="1"/>
    <x v="3"/>
    <n v="90"/>
    <n v="38"/>
    <n v="3.3"/>
    <x v="1"/>
    <x v="0"/>
    <x v="0"/>
    <x v="3"/>
    <x v="3"/>
    <x v="1"/>
    <x v="1"/>
    <x v="3"/>
    <x v="0"/>
    <n v="0"/>
    <s v="Acceptable"/>
    <s v="2 Days"/>
    <x v="0"/>
    <s v="Sunday"/>
    <n v="2"/>
  </r>
  <r>
    <x v="554"/>
    <d v="2024-12-26T00:00:00"/>
    <x v="4"/>
    <x v="3"/>
    <n v="192"/>
    <n v="35"/>
    <n v="1.3"/>
    <x v="1"/>
    <x v="1"/>
    <x v="0"/>
    <x v="3"/>
    <x v="3"/>
    <x v="1"/>
    <x v="1"/>
    <x v="1"/>
    <x v="0"/>
    <n v="0"/>
    <s v="Slow"/>
    <s v="2 Days"/>
    <x v="11"/>
    <s v="Thursday"/>
    <n v="2"/>
  </r>
  <r>
    <x v="555"/>
    <d v="2024-05-25T00:00:00"/>
    <x v="3"/>
    <x v="0"/>
    <n v="98"/>
    <n v="13"/>
    <n v="1.1000000000000001"/>
    <x v="1"/>
    <x v="0"/>
    <x v="0"/>
    <x v="0"/>
    <x v="0"/>
    <x v="0"/>
    <x v="0"/>
    <x v="1"/>
    <x v="0"/>
    <n v="0"/>
    <s v="Acceptable"/>
    <s v="1 Day"/>
    <x v="1"/>
    <s v="Saturday"/>
    <n v="4"/>
  </r>
  <r>
    <x v="556"/>
    <d v="2024-07-04T00:00:00"/>
    <x v="0"/>
    <x v="1"/>
    <n v="68"/>
    <n v="49"/>
    <n v="5.0999999999999996"/>
    <x v="1"/>
    <x v="1"/>
    <x v="1"/>
    <x v="1"/>
    <x v="1"/>
    <x v="1"/>
    <x v="0"/>
    <x v="0"/>
    <x v="1"/>
    <n v="0"/>
    <s v="Acceptable"/>
    <s v="3 Days"/>
    <x v="10"/>
    <s v="Thursday"/>
    <n v="3"/>
  </r>
  <r>
    <x v="557"/>
    <d v="2024-09-13T00:00:00"/>
    <x v="4"/>
    <x v="3"/>
    <n v="162"/>
    <n v="33"/>
    <n v="4"/>
    <x v="1"/>
    <x v="1"/>
    <x v="0"/>
    <x v="3"/>
    <x v="3"/>
    <x v="1"/>
    <x v="1"/>
    <x v="3"/>
    <x v="0"/>
    <n v="0"/>
    <s v="Slow"/>
    <s v="2 Days"/>
    <x v="5"/>
    <s v="Friday"/>
    <n v="2"/>
  </r>
  <r>
    <x v="558"/>
    <d v="2024-11-09T00:00:00"/>
    <x v="4"/>
    <x v="3"/>
    <n v="43"/>
    <n v="68"/>
    <n v="6.9"/>
    <x v="1"/>
    <x v="1"/>
    <x v="0"/>
    <x v="3"/>
    <x v="3"/>
    <x v="1"/>
    <x v="0"/>
    <x v="0"/>
    <x v="0"/>
    <n v="0"/>
    <s v="Acceptable"/>
    <s v="3 Days"/>
    <x v="6"/>
    <s v="Saturday"/>
    <n v="2"/>
  </r>
  <r>
    <x v="559"/>
    <d v="2024-09-11T00:00:00"/>
    <x v="1"/>
    <x v="2"/>
    <n v="155"/>
    <n v="31"/>
    <n v="7.9"/>
    <x v="0"/>
    <x v="2"/>
    <x v="0"/>
    <x v="2"/>
    <x v="2"/>
    <x v="1"/>
    <x v="1"/>
    <x v="0"/>
    <x v="0"/>
    <n v="1"/>
    <s v="Slow"/>
    <s v="2 Days"/>
    <x v="5"/>
    <s v="Wednesday"/>
    <n v="1"/>
  </r>
  <r>
    <x v="560"/>
    <d v="2024-04-04T00:00:00"/>
    <x v="4"/>
    <x v="1"/>
    <n v="158"/>
    <n v="4"/>
    <n v="6.1"/>
    <x v="0"/>
    <x v="1"/>
    <x v="1"/>
    <x v="1"/>
    <x v="1"/>
    <x v="0"/>
    <x v="1"/>
    <x v="0"/>
    <x v="1"/>
    <n v="1"/>
    <s v="Slow"/>
    <s v="Same Day"/>
    <x v="3"/>
    <s v="Thursday"/>
    <n v="3"/>
  </r>
  <r>
    <x v="561"/>
    <d v="2024-09-22T00:00:00"/>
    <x v="3"/>
    <x v="3"/>
    <n v="105"/>
    <n v="56"/>
    <n v="0.6"/>
    <x v="1"/>
    <x v="0"/>
    <x v="0"/>
    <x v="3"/>
    <x v="3"/>
    <x v="1"/>
    <x v="1"/>
    <x v="1"/>
    <x v="0"/>
    <n v="0"/>
    <s v="Acceptable"/>
    <s v="3 Days"/>
    <x v="5"/>
    <s v="Sunday"/>
    <n v="2"/>
  </r>
  <r>
    <x v="562"/>
    <d v="2024-06-24T00:00:00"/>
    <x v="2"/>
    <x v="1"/>
    <n v="117"/>
    <n v="29"/>
    <n v="0.6"/>
    <x v="0"/>
    <x v="2"/>
    <x v="0"/>
    <x v="1"/>
    <x v="1"/>
    <x v="0"/>
    <x v="0"/>
    <x v="1"/>
    <x v="0"/>
    <n v="1"/>
    <s v="Acceptable"/>
    <s v="2 Days"/>
    <x v="4"/>
    <s v="Monday"/>
    <n v="3"/>
  </r>
  <r>
    <x v="563"/>
    <d v="2024-07-07T00:00:00"/>
    <x v="2"/>
    <x v="2"/>
    <n v="7"/>
    <n v="20"/>
    <n v="1"/>
    <x v="0"/>
    <x v="1"/>
    <x v="0"/>
    <x v="2"/>
    <x v="2"/>
    <x v="1"/>
    <x v="0"/>
    <x v="1"/>
    <x v="0"/>
    <n v="1"/>
    <s v="Very Fast"/>
    <s v="1 Day"/>
    <x v="10"/>
    <s v="Sunday"/>
    <n v="1"/>
  </r>
  <r>
    <x v="564"/>
    <d v="2024-12-20T00:00:00"/>
    <x v="2"/>
    <x v="1"/>
    <n v="99"/>
    <n v="33"/>
    <n v="2.4"/>
    <x v="0"/>
    <x v="0"/>
    <x v="0"/>
    <x v="1"/>
    <x v="1"/>
    <x v="0"/>
    <x v="0"/>
    <x v="3"/>
    <x v="0"/>
    <n v="1"/>
    <s v="Acceptable"/>
    <s v="2 Days"/>
    <x v="11"/>
    <s v="Friday"/>
    <n v="3"/>
  </r>
  <r>
    <x v="565"/>
    <d v="2024-01-08T00:00:00"/>
    <x v="1"/>
    <x v="2"/>
    <n v="223"/>
    <n v="40"/>
    <n v="3.1"/>
    <x v="1"/>
    <x v="1"/>
    <x v="0"/>
    <x v="2"/>
    <x v="2"/>
    <x v="1"/>
    <x v="1"/>
    <x v="3"/>
    <x v="0"/>
    <n v="0"/>
    <s v="Slow"/>
    <s v="2 Days"/>
    <x v="8"/>
    <s v="Monday"/>
    <n v="1"/>
  </r>
  <r>
    <x v="566"/>
    <d v="2024-07-03T00:00:00"/>
    <x v="4"/>
    <x v="0"/>
    <n v="76"/>
    <n v="48"/>
    <n v="8.6"/>
    <x v="0"/>
    <x v="0"/>
    <x v="0"/>
    <x v="0"/>
    <x v="0"/>
    <x v="0"/>
    <x v="0"/>
    <x v="2"/>
    <x v="0"/>
    <n v="1"/>
    <s v="Acceptable"/>
    <s v="2 Days"/>
    <x v="10"/>
    <s v="Wednesday"/>
    <n v="4"/>
  </r>
  <r>
    <x v="567"/>
    <d v="2024-04-28T00:00:00"/>
    <x v="0"/>
    <x v="3"/>
    <n v="46"/>
    <n v="52"/>
    <n v="7.4"/>
    <x v="0"/>
    <x v="1"/>
    <x v="0"/>
    <x v="3"/>
    <x v="3"/>
    <x v="1"/>
    <x v="0"/>
    <x v="0"/>
    <x v="0"/>
    <n v="1"/>
    <s v="Acceptable"/>
    <s v="3 Days"/>
    <x v="3"/>
    <s v="Sunday"/>
    <n v="2"/>
  </r>
  <r>
    <x v="568"/>
    <d v="2024-12-16T00:00:00"/>
    <x v="0"/>
    <x v="3"/>
    <n v="49"/>
    <n v="8"/>
    <n v="9.6999999999999993"/>
    <x v="1"/>
    <x v="0"/>
    <x v="0"/>
    <x v="3"/>
    <x v="3"/>
    <x v="0"/>
    <x v="0"/>
    <x v="2"/>
    <x v="0"/>
    <n v="0"/>
    <s v="Acceptable"/>
    <s v="Same Day"/>
    <x v="11"/>
    <s v="Monday"/>
    <n v="2"/>
  </r>
  <r>
    <x v="569"/>
    <d v="2024-04-10T00:00:00"/>
    <x v="0"/>
    <x v="0"/>
    <n v="26"/>
    <n v="52"/>
    <n v="5.7"/>
    <x v="1"/>
    <x v="1"/>
    <x v="2"/>
    <x v="0"/>
    <x v="0"/>
    <x v="0"/>
    <x v="0"/>
    <x v="0"/>
    <x v="2"/>
    <n v="0"/>
    <s v="Very Fast"/>
    <s v="3 Days"/>
    <x v="3"/>
    <s v="Wednesday"/>
    <n v="4"/>
  </r>
  <r>
    <x v="570"/>
    <d v="2024-12-04T00:00:00"/>
    <x v="3"/>
    <x v="2"/>
    <n v="106"/>
    <n v="62"/>
    <n v="7.7"/>
    <x v="0"/>
    <x v="2"/>
    <x v="0"/>
    <x v="2"/>
    <x v="2"/>
    <x v="1"/>
    <x v="1"/>
    <x v="0"/>
    <x v="0"/>
    <n v="1"/>
    <s v="Acceptable"/>
    <s v="3 Days"/>
    <x v="11"/>
    <s v="Wednesday"/>
    <n v="1"/>
  </r>
  <r>
    <x v="571"/>
    <d v="2024-12-22T00:00:00"/>
    <x v="2"/>
    <x v="1"/>
    <n v="57"/>
    <n v="14"/>
    <n v="7.3"/>
    <x v="0"/>
    <x v="1"/>
    <x v="0"/>
    <x v="1"/>
    <x v="1"/>
    <x v="0"/>
    <x v="0"/>
    <x v="0"/>
    <x v="0"/>
    <n v="1"/>
    <s v="Acceptable"/>
    <s v="1 Day"/>
    <x v="11"/>
    <s v="Sunday"/>
    <n v="3"/>
  </r>
  <r>
    <x v="572"/>
    <d v="2024-06-20T00:00:00"/>
    <x v="3"/>
    <x v="0"/>
    <n v="226"/>
    <n v="34"/>
    <n v="1.7"/>
    <x v="0"/>
    <x v="0"/>
    <x v="0"/>
    <x v="0"/>
    <x v="0"/>
    <x v="0"/>
    <x v="0"/>
    <x v="1"/>
    <x v="0"/>
    <n v="1"/>
    <s v="Slow"/>
    <s v="2 Days"/>
    <x v="4"/>
    <s v="Thursday"/>
    <n v="4"/>
  </r>
  <r>
    <x v="573"/>
    <d v="2024-10-19T00:00:00"/>
    <x v="4"/>
    <x v="3"/>
    <n v="18"/>
    <n v="40"/>
    <n v="3.5"/>
    <x v="1"/>
    <x v="2"/>
    <x v="1"/>
    <x v="3"/>
    <x v="3"/>
    <x v="1"/>
    <x v="0"/>
    <x v="3"/>
    <x v="1"/>
    <n v="0"/>
    <s v="Very Fast"/>
    <s v="2 Days"/>
    <x v="7"/>
    <s v="Saturday"/>
    <n v="2"/>
  </r>
  <r>
    <x v="574"/>
    <d v="2024-09-22T00:00:00"/>
    <x v="0"/>
    <x v="2"/>
    <n v="84"/>
    <n v="26"/>
    <n v="0.6"/>
    <x v="1"/>
    <x v="1"/>
    <x v="0"/>
    <x v="2"/>
    <x v="2"/>
    <x v="1"/>
    <x v="1"/>
    <x v="1"/>
    <x v="0"/>
    <n v="0"/>
    <s v="Acceptable"/>
    <s v="2 Days"/>
    <x v="5"/>
    <s v="Sunday"/>
    <n v="1"/>
  </r>
  <r>
    <x v="575"/>
    <d v="2024-02-28T00:00:00"/>
    <x v="0"/>
    <x v="0"/>
    <n v="238"/>
    <n v="18"/>
    <n v="9.9"/>
    <x v="1"/>
    <x v="2"/>
    <x v="1"/>
    <x v="0"/>
    <x v="0"/>
    <x v="0"/>
    <x v="0"/>
    <x v="2"/>
    <x v="1"/>
    <n v="0"/>
    <s v="Slow"/>
    <s v="1 Day"/>
    <x v="9"/>
    <s v="Wednesday"/>
    <n v="4"/>
  </r>
  <r>
    <x v="576"/>
    <d v="2024-11-13T00:00:00"/>
    <x v="3"/>
    <x v="1"/>
    <n v="55"/>
    <n v="43"/>
    <n v="8.4"/>
    <x v="0"/>
    <x v="2"/>
    <x v="0"/>
    <x v="1"/>
    <x v="1"/>
    <x v="0"/>
    <x v="0"/>
    <x v="2"/>
    <x v="0"/>
    <n v="1"/>
    <s v="Acceptable"/>
    <s v="2 Days"/>
    <x v="6"/>
    <s v="Wednesday"/>
    <n v="3"/>
  </r>
  <r>
    <x v="577"/>
    <d v="2024-05-16T00:00:00"/>
    <x v="2"/>
    <x v="3"/>
    <n v="171"/>
    <n v="64"/>
    <n v="2.4"/>
    <x v="0"/>
    <x v="1"/>
    <x v="0"/>
    <x v="3"/>
    <x v="3"/>
    <x v="1"/>
    <x v="1"/>
    <x v="3"/>
    <x v="0"/>
    <n v="1"/>
    <s v="Slow"/>
    <s v="3 Days"/>
    <x v="1"/>
    <s v="Thursday"/>
    <n v="2"/>
  </r>
  <r>
    <x v="578"/>
    <d v="2024-02-05T00:00:00"/>
    <x v="1"/>
    <x v="1"/>
    <n v="14"/>
    <n v="29"/>
    <n v="3.3"/>
    <x v="0"/>
    <x v="2"/>
    <x v="1"/>
    <x v="1"/>
    <x v="1"/>
    <x v="0"/>
    <x v="0"/>
    <x v="3"/>
    <x v="1"/>
    <n v="1"/>
    <s v="Very Fast"/>
    <s v="2 Days"/>
    <x v="9"/>
    <s v="Monday"/>
    <n v="3"/>
  </r>
  <r>
    <x v="579"/>
    <d v="2024-04-16T00:00:00"/>
    <x v="4"/>
    <x v="1"/>
    <n v="213"/>
    <n v="6"/>
    <n v="1"/>
    <x v="1"/>
    <x v="2"/>
    <x v="1"/>
    <x v="1"/>
    <x v="1"/>
    <x v="0"/>
    <x v="1"/>
    <x v="1"/>
    <x v="1"/>
    <n v="0"/>
    <s v="Slow"/>
    <s v="Same Day"/>
    <x v="3"/>
    <s v="Tuesday"/>
    <n v="3"/>
  </r>
  <r>
    <x v="580"/>
    <d v="2024-08-31T00:00:00"/>
    <x v="0"/>
    <x v="1"/>
    <n v="126"/>
    <n v="59"/>
    <n v="2.6"/>
    <x v="1"/>
    <x v="0"/>
    <x v="0"/>
    <x v="1"/>
    <x v="1"/>
    <x v="1"/>
    <x v="1"/>
    <x v="3"/>
    <x v="0"/>
    <n v="0"/>
    <s v="Slow"/>
    <s v="3 Days"/>
    <x v="0"/>
    <s v="Saturday"/>
    <n v="3"/>
  </r>
  <r>
    <x v="581"/>
    <d v="2024-04-03T00:00:00"/>
    <x v="4"/>
    <x v="2"/>
    <n v="98"/>
    <n v="55"/>
    <n v="7.4"/>
    <x v="1"/>
    <x v="1"/>
    <x v="0"/>
    <x v="2"/>
    <x v="2"/>
    <x v="1"/>
    <x v="1"/>
    <x v="0"/>
    <x v="0"/>
    <n v="0"/>
    <s v="Acceptable"/>
    <s v="3 Days"/>
    <x v="3"/>
    <s v="Wednesday"/>
    <n v="1"/>
  </r>
  <r>
    <x v="582"/>
    <d v="2024-08-27T00:00:00"/>
    <x v="1"/>
    <x v="3"/>
    <n v="171"/>
    <n v="16"/>
    <n v="4.9000000000000004"/>
    <x v="0"/>
    <x v="2"/>
    <x v="0"/>
    <x v="3"/>
    <x v="3"/>
    <x v="0"/>
    <x v="1"/>
    <x v="3"/>
    <x v="0"/>
    <n v="1"/>
    <s v="Slow"/>
    <s v="1 Day"/>
    <x v="0"/>
    <s v="Tuesday"/>
    <n v="2"/>
  </r>
  <r>
    <x v="583"/>
    <d v="2024-03-22T00:00:00"/>
    <x v="3"/>
    <x v="1"/>
    <n v="8"/>
    <n v="50"/>
    <n v="3.1"/>
    <x v="0"/>
    <x v="1"/>
    <x v="1"/>
    <x v="1"/>
    <x v="1"/>
    <x v="1"/>
    <x v="0"/>
    <x v="3"/>
    <x v="1"/>
    <n v="1"/>
    <s v="Very Fast"/>
    <s v="3 Days"/>
    <x v="2"/>
    <s v="Friday"/>
    <n v="3"/>
  </r>
  <r>
    <x v="584"/>
    <d v="2024-09-28T00:00:00"/>
    <x v="4"/>
    <x v="1"/>
    <n v="169"/>
    <n v="32"/>
    <n v="1.2"/>
    <x v="0"/>
    <x v="0"/>
    <x v="0"/>
    <x v="1"/>
    <x v="1"/>
    <x v="0"/>
    <x v="1"/>
    <x v="1"/>
    <x v="0"/>
    <n v="1"/>
    <s v="Slow"/>
    <s v="2 Days"/>
    <x v="5"/>
    <s v="Saturday"/>
    <n v="3"/>
  </r>
  <r>
    <x v="585"/>
    <d v="2024-10-24T00:00:00"/>
    <x v="3"/>
    <x v="3"/>
    <n v="20"/>
    <n v="10"/>
    <n v="1.6"/>
    <x v="1"/>
    <x v="2"/>
    <x v="1"/>
    <x v="3"/>
    <x v="3"/>
    <x v="0"/>
    <x v="0"/>
    <x v="1"/>
    <x v="1"/>
    <n v="0"/>
    <s v="Very Fast"/>
    <s v="1 Day"/>
    <x v="7"/>
    <s v="Thursday"/>
    <n v="2"/>
  </r>
  <r>
    <x v="586"/>
    <d v="2024-07-17T00:00:00"/>
    <x v="2"/>
    <x v="0"/>
    <n v="157"/>
    <n v="48"/>
    <n v="3.7"/>
    <x v="1"/>
    <x v="0"/>
    <x v="0"/>
    <x v="0"/>
    <x v="0"/>
    <x v="0"/>
    <x v="0"/>
    <x v="3"/>
    <x v="0"/>
    <n v="0"/>
    <s v="Slow"/>
    <s v="2 Days"/>
    <x v="10"/>
    <s v="Wednesday"/>
    <n v="4"/>
  </r>
  <r>
    <x v="587"/>
    <d v="2024-01-28T00:00:00"/>
    <x v="4"/>
    <x v="2"/>
    <n v="111"/>
    <n v="24"/>
    <n v="1.4"/>
    <x v="1"/>
    <x v="2"/>
    <x v="0"/>
    <x v="2"/>
    <x v="2"/>
    <x v="1"/>
    <x v="1"/>
    <x v="1"/>
    <x v="0"/>
    <n v="0"/>
    <s v="Acceptable"/>
    <s v="1 Day"/>
    <x v="8"/>
    <s v="Sunday"/>
    <n v="1"/>
  </r>
  <r>
    <x v="588"/>
    <d v="2024-05-10T00:00:00"/>
    <x v="3"/>
    <x v="1"/>
    <n v="178"/>
    <n v="54"/>
    <n v="4.5999999999999996"/>
    <x v="0"/>
    <x v="2"/>
    <x v="0"/>
    <x v="1"/>
    <x v="1"/>
    <x v="1"/>
    <x v="1"/>
    <x v="3"/>
    <x v="0"/>
    <n v="1"/>
    <s v="Slow"/>
    <s v="3 Days"/>
    <x v="1"/>
    <s v="Friday"/>
    <n v="3"/>
  </r>
  <r>
    <x v="589"/>
    <d v="2024-07-20T00:00:00"/>
    <x v="4"/>
    <x v="0"/>
    <n v="82"/>
    <n v="62"/>
    <n v="5.8"/>
    <x v="0"/>
    <x v="2"/>
    <x v="0"/>
    <x v="0"/>
    <x v="0"/>
    <x v="0"/>
    <x v="0"/>
    <x v="0"/>
    <x v="0"/>
    <n v="1"/>
    <s v="Acceptable"/>
    <s v="3 Days"/>
    <x v="10"/>
    <s v="Saturday"/>
    <n v="4"/>
  </r>
  <r>
    <x v="590"/>
    <d v="2024-09-16T00:00:00"/>
    <x v="1"/>
    <x v="3"/>
    <n v="189"/>
    <n v="40"/>
    <n v="8.5"/>
    <x v="0"/>
    <x v="0"/>
    <x v="0"/>
    <x v="3"/>
    <x v="3"/>
    <x v="1"/>
    <x v="1"/>
    <x v="2"/>
    <x v="0"/>
    <n v="1"/>
    <s v="Slow"/>
    <s v="2 Days"/>
    <x v="5"/>
    <s v="Monday"/>
    <n v="2"/>
  </r>
  <r>
    <x v="591"/>
    <d v="2024-10-21T00:00:00"/>
    <x v="0"/>
    <x v="2"/>
    <n v="37"/>
    <n v="65"/>
    <n v="5.8"/>
    <x v="0"/>
    <x v="0"/>
    <x v="0"/>
    <x v="2"/>
    <x v="2"/>
    <x v="1"/>
    <x v="1"/>
    <x v="0"/>
    <x v="0"/>
    <n v="1"/>
    <s v="Acceptable"/>
    <s v="3 Days"/>
    <x v="7"/>
    <s v="Monday"/>
    <n v="1"/>
  </r>
  <r>
    <x v="592"/>
    <d v="2024-06-25T00:00:00"/>
    <x v="2"/>
    <x v="1"/>
    <n v="100"/>
    <n v="61"/>
    <n v="5.2"/>
    <x v="0"/>
    <x v="2"/>
    <x v="0"/>
    <x v="1"/>
    <x v="1"/>
    <x v="1"/>
    <x v="0"/>
    <x v="0"/>
    <x v="0"/>
    <n v="1"/>
    <s v="Acceptable"/>
    <s v="3 Days"/>
    <x v="4"/>
    <s v="Tuesday"/>
    <n v="3"/>
  </r>
  <r>
    <x v="593"/>
    <d v="2024-06-29T00:00:00"/>
    <x v="3"/>
    <x v="2"/>
    <n v="62"/>
    <n v="60"/>
    <n v="2.5"/>
    <x v="1"/>
    <x v="0"/>
    <x v="0"/>
    <x v="2"/>
    <x v="2"/>
    <x v="1"/>
    <x v="1"/>
    <x v="3"/>
    <x v="0"/>
    <n v="0"/>
    <s v="Acceptable"/>
    <s v="3 Days"/>
    <x v="4"/>
    <s v="Saturday"/>
    <n v="1"/>
  </r>
  <r>
    <x v="594"/>
    <d v="2024-07-04T00:00:00"/>
    <x v="0"/>
    <x v="0"/>
    <n v="192"/>
    <n v="34"/>
    <n v="2.8"/>
    <x v="1"/>
    <x v="2"/>
    <x v="0"/>
    <x v="0"/>
    <x v="0"/>
    <x v="0"/>
    <x v="0"/>
    <x v="3"/>
    <x v="0"/>
    <n v="0"/>
    <s v="Slow"/>
    <s v="2 Days"/>
    <x v="10"/>
    <s v="Thursday"/>
    <n v="4"/>
  </r>
  <r>
    <x v="595"/>
    <d v="2024-04-22T00:00:00"/>
    <x v="0"/>
    <x v="0"/>
    <n v="214"/>
    <n v="28"/>
    <n v="1.2"/>
    <x v="0"/>
    <x v="2"/>
    <x v="0"/>
    <x v="0"/>
    <x v="0"/>
    <x v="0"/>
    <x v="0"/>
    <x v="1"/>
    <x v="0"/>
    <n v="1"/>
    <s v="Slow"/>
    <s v="2 Days"/>
    <x v="3"/>
    <s v="Monday"/>
    <n v="4"/>
  </r>
  <r>
    <x v="596"/>
    <d v="2024-12-05T00:00:00"/>
    <x v="2"/>
    <x v="0"/>
    <n v="161"/>
    <n v="49"/>
    <n v="6.5"/>
    <x v="0"/>
    <x v="0"/>
    <x v="0"/>
    <x v="0"/>
    <x v="0"/>
    <x v="0"/>
    <x v="0"/>
    <x v="0"/>
    <x v="0"/>
    <n v="1"/>
    <s v="Slow"/>
    <s v="3 Days"/>
    <x v="11"/>
    <s v="Thursday"/>
    <n v="4"/>
  </r>
  <r>
    <x v="597"/>
    <d v="2024-08-26T00:00:00"/>
    <x v="0"/>
    <x v="2"/>
    <n v="206"/>
    <n v="20"/>
    <n v="3.1"/>
    <x v="1"/>
    <x v="2"/>
    <x v="0"/>
    <x v="2"/>
    <x v="2"/>
    <x v="1"/>
    <x v="1"/>
    <x v="3"/>
    <x v="0"/>
    <n v="0"/>
    <s v="Slow"/>
    <s v="1 Day"/>
    <x v="0"/>
    <s v="Monday"/>
    <n v="1"/>
  </r>
  <r>
    <x v="598"/>
    <d v="2024-03-03T00:00:00"/>
    <x v="4"/>
    <x v="2"/>
    <n v="188"/>
    <n v="26"/>
    <n v="6.5"/>
    <x v="0"/>
    <x v="0"/>
    <x v="0"/>
    <x v="2"/>
    <x v="2"/>
    <x v="1"/>
    <x v="1"/>
    <x v="0"/>
    <x v="0"/>
    <n v="1"/>
    <s v="Slow"/>
    <s v="2 Days"/>
    <x v="2"/>
    <s v="Sunday"/>
    <n v="1"/>
  </r>
  <r>
    <x v="599"/>
    <d v="2024-02-16T00:00:00"/>
    <x v="0"/>
    <x v="3"/>
    <n v="35"/>
    <n v="5"/>
    <n v="2.2000000000000002"/>
    <x v="0"/>
    <x v="0"/>
    <x v="0"/>
    <x v="3"/>
    <x v="3"/>
    <x v="0"/>
    <x v="0"/>
    <x v="3"/>
    <x v="0"/>
    <n v="1"/>
    <s v="Acceptable"/>
    <s v="Same Day"/>
    <x v="9"/>
    <s v="Friday"/>
    <n v="2"/>
  </r>
  <r>
    <x v="600"/>
    <d v="2024-11-22T00:00:00"/>
    <x v="1"/>
    <x v="3"/>
    <n v="146"/>
    <n v="17"/>
    <n v="5.8"/>
    <x v="0"/>
    <x v="2"/>
    <x v="0"/>
    <x v="3"/>
    <x v="3"/>
    <x v="0"/>
    <x v="1"/>
    <x v="0"/>
    <x v="0"/>
    <n v="1"/>
    <s v="Slow"/>
    <s v="1 Day"/>
    <x v="6"/>
    <s v="Friday"/>
    <n v="2"/>
  </r>
  <r>
    <x v="601"/>
    <d v="2024-02-10T00:00:00"/>
    <x v="1"/>
    <x v="0"/>
    <n v="80"/>
    <n v="6"/>
    <n v="1.3"/>
    <x v="1"/>
    <x v="2"/>
    <x v="1"/>
    <x v="0"/>
    <x v="0"/>
    <x v="0"/>
    <x v="0"/>
    <x v="1"/>
    <x v="1"/>
    <n v="0"/>
    <s v="Acceptable"/>
    <s v="Same Day"/>
    <x v="9"/>
    <s v="Saturday"/>
    <n v="4"/>
  </r>
  <r>
    <x v="602"/>
    <d v="2024-10-07T00:00:00"/>
    <x v="4"/>
    <x v="2"/>
    <n v="200"/>
    <n v="31"/>
    <n v="4"/>
    <x v="0"/>
    <x v="2"/>
    <x v="0"/>
    <x v="2"/>
    <x v="2"/>
    <x v="1"/>
    <x v="1"/>
    <x v="3"/>
    <x v="0"/>
    <n v="1"/>
    <s v="Slow"/>
    <s v="2 Days"/>
    <x v="7"/>
    <s v="Monday"/>
    <n v="1"/>
  </r>
  <r>
    <x v="603"/>
    <d v="2024-04-09T00:00:00"/>
    <x v="1"/>
    <x v="1"/>
    <n v="196"/>
    <n v="19"/>
    <n v="9.4"/>
    <x v="1"/>
    <x v="2"/>
    <x v="1"/>
    <x v="1"/>
    <x v="1"/>
    <x v="0"/>
    <x v="1"/>
    <x v="2"/>
    <x v="1"/>
    <n v="0"/>
    <s v="Slow"/>
    <s v="1 Day"/>
    <x v="3"/>
    <s v="Tuesday"/>
    <n v="3"/>
  </r>
  <r>
    <x v="604"/>
    <d v="2024-12-27T00:00:00"/>
    <x v="3"/>
    <x v="1"/>
    <n v="228"/>
    <n v="25"/>
    <n v="9.9"/>
    <x v="1"/>
    <x v="2"/>
    <x v="1"/>
    <x v="1"/>
    <x v="1"/>
    <x v="0"/>
    <x v="1"/>
    <x v="2"/>
    <x v="1"/>
    <n v="0"/>
    <s v="Slow"/>
    <s v="2 Days"/>
    <x v="11"/>
    <s v="Friday"/>
    <n v="3"/>
  </r>
  <r>
    <x v="605"/>
    <d v="2024-07-16T00:00:00"/>
    <x v="4"/>
    <x v="2"/>
    <n v="89"/>
    <n v="7"/>
    <n v="5"/>
    <x v="0"/>
    <x v="1"/>
    <x v="0"/>
    <x v="2"/>
    <x v="2"/>
    <x v="0"/>
    <x v="1"/>
    <x v="3"/>
    <x v="0"/>
    <n v="1"/>
    <s v="Acceptable"/>
    <s v="Same Day"/>
    <x v="10"/>
    <s v="Tuesday"/>
    <n v="1"/>
  </r>
  <r>
    <x v="606"/>
    <d v="2024-06-10T00:00:00"/>
    <x v="1"/>
    <x v="1"/>
    <n v="38"/>
    <n v="72"/>
    <n v="9.1999999999999993"/>
    <x v="1"/>
    <x v="2"/>
    <x v="1"/>
    <x v="1"/>
    <x v="1"/>
    <x v="1"/>
    <x v="0"/>
    <x v="2"/>
    <x v="1"/>
    <n v="0"/>
    <s v="Acceptable"/>
    <s v="3 Days"/>
    <x v="4"/>
    <s v="Monday"/>
    <n v="3"/>
  </r>
  <r>
    <x v="607"/>
    <d v="2024-02-13T00:00:00"/>
    <x v="4"/>
    <x v="0"/>
    <n v="164"/>
    <n v="60"/>
    <n v="5.0999999999999996"/>
    <x v="1"/>
    <x v="1"/>
    <x v="1"/>
    <x v="0"/>
    <x v="0"/>
    <x v="0"/>
    <x v="0"/>
    <x v="0"/>
    <x v="1"/>
    <n v="0"/>
    <s v="Slow"/>
    <s v="3 Days"/>
    <x v="9"/>
    <s v="Tuesday"/>
    <n v="4"/>
  </r>
  <r>
    <x v="608"/>
    <d v="2024-10-25T00:00:00"/>
    <x v="0"/>
    <x v="0"/>
    <n v="76"/>
    <n v="54"/>
    <n v="5.4"/>
    <x v="0"/>
    <x v="2"/>
    <x v="0"/>
    <x v="0"/>
    <x v="0"/>
    <x v="0"/>
    <x v="0"/>
    <x v="0"/>
    <x v="0"/>
    <n v="1"/>
    <s v="Acceptable"/>
    <s v="3 Days"/>
    <x v="7"/>
    <s v="Friday"/>
    <n v="4"/>
  </r>
  <r>
    <x v="609"/>
    <d v="2024-12-25T00:00:00"/>
    <x v="2"/>
    <x v="0"/>
    <n v="82"/>
    <n v="39"/>
    <n v="3.6"/>
    <x v="0"/>
    <x v="0"/>
    <x v="0"/>
    <x v="0"/>
    <x v="0"/>
    <x v="0"/>
    <x v="0"/>
    <x v="3"/>
    <x v="0"/>
    <n v="1"/>
    <s v="Acceptable"/>
    <s v="2 Days"/>
    <x v="11"/>
    <s v="Wednesday"/>
    <n v="4"/>
  </r>
  <r>
    <x v="610"/>
    <d v="2024-10-07T00:00:00"/>
    <x v="2"/>
    <x v="1"/>
    <n v="129"/>
    <n v="1"/>
    <n v="3.4"/>
    <x v="1"/>
    <x v="1"/>
    <x v="1"/>
    <x v="1"/>
    <x v="1"/>
    <x v="0"/>
    <x v="1"/>
    <x v="3"/>
    <x v="1"/>
    <n v="0"/>
    <s v="Slow"/>
    <s v="Same Day"/>
    <x v="7"/>
    <s v="Monday"/>
    <n v="3"/>
  </r>
  <r>
    <x v="611"/>
    <d v="2024-10-19T00:00:00"/>
    <x v="2"/>
    <x v="3"/>
    <n v="211"/>
    <n v="7"/>
    <n v="9.4"/>
    <x v="1"/>
    <x v="2"/>
    <x v="0"/>
    <x v="3"/>
    <x v="3"/>
    <x v="0"/>
    <x v="1"/>
    <x v="2"/>
    <x v="0"/>
    <n v="0"/>
    <s v="Slow"/>
    <s v="Same Day"/>
    <x v="7"/>
    <s v="Saturday"/>
    <n v="2"/>
  </r>
  <r>
    <x v="612"/>
    <d v="2024-05-08T00:00:00"/>
    <x v="4"/>
    <x v="3"/>
    <n v="163"/>
    <n v="24"/>
    <n v="1.2"/>
    <x v="0"/>
    <x v="2"/>
    <x v="0"/>
    <x v="3"/>
    <x v="3"/>
    <x v="0"/>
    <x v="1"/>
    <x v="1"/>
    <x v="0"/>
    <n v="1"/>
    <s v="Slow"/>
    <s v="1 Day"/>
    <x v="1"/>
    <s v="Wednesday"/>
    <n v="2"/>
  </r>
  <r>
    <x v="613"/>
    <d v="2024-10-09T00:00:00"/>
    <x v="0"/>
    <x v="3"/>
    <n v="200"/>
    <n v="66"/>
    <n v="10"/>
    <x v="1"/>
    <x v="2"/>
    <x v="0"/>
    <x v="3"/>
    <x v="3"/>
    <x v="1"/>
    <x v="1"/>
    <x v="2"/>
    <x v="0"/>
    <n v="0"/>
    <s v="Slow"/>
    <s v="3 Days"/>
    <x v="7"/>
    <s v="Wednesday"/>
    <n v="2"/>
  </r>
  <r>
    <x v="614"/>
    <d v="2024-09-26T00:00:00"/>
    <x v="3"/>
    <x v="0"/>
    <n v="70"/>
    <n v="46"/>
    <n v="8.6"/>
    <x v="1"/>
    <x v="1"/>
    <x v="1"/>
    <x v="0"/>
    <x v="0"/>
    <x v="0"/>
    <x v="0"/>
    <x v="2"/>
    <x v="1"/>
    <n v="0"/>
    <s v="Acceptable"/>
    <s v="2 Days"/>
    <x v="5"/>
    <s v="Thursday"/>
    <n v="4"/>
  </r>
  <r>
    <x v="615"/>
    <d v="2024-02-10T00:00:00"/>
    <x v="4"/>
    <x v="1"/>
    <n v="121"/>
    <n v="37"/>
    <n v="3.4"/>
    <x v="0"/>
    <x v="1"/>
    <x v="0"/>
    <x v="1"/>
    <x v="1"/>
    <x v="0"/>
    <x v="1"/>
    <x v="3"/>
    <x v="0"/>
    <n v="1"/>
    <s v="Slow"/>
    <s v="2 Days"/>
    <x v="9"/>
    <s v="Saturday"/>
    <n v="3"/>
  </r>
  <r>
    <x v="616"/>
    <d v="2024-09-01T00:00:00"/>
    <x v="1"/>
    <x v="2"/>
    <n v="98"/>
    <n v="24"/>
    <n v="8.6999999999999993"/>
    <x v="0"/>
    <x v="0"/>
    <x v="0"/>
    <x v="2"/>
    <x v="2"/>
    <x v="1"/>
    <x v="1"/>
    <x v="2"/>
    <x v="0"/>
    <n v="1"/>
    <s v="Acceptable"/>
    <s v="1 Day"/>
    <x v="5"/>
    <s v="Sunday"/>
    <n v="1"/>
  </r>
  <r>
    <x v="617"/>
    <d v="2024-02-15T00:00:00"/>
    <x v="1"/>
    <x v="0"/>
    <n v="56"/>
    <n v="70"/>
    <n v="5.7"/>
    <x v="1"/>
    <x v="2"/>
    <x v="1"/>
    <x v="0"/>
    <x v="0"/>
    <x v="0"/>
    <x v="0"/>
    <x v="0"/>
    <x v="1"/>
    <n v="0"/>
    <s v="Acceptable"/>
    <s v="3 Days"/>
    <x v="9"/>
    <s v="Thursday"/>
    <n v="4"/>
  </r>
  <r>
    <x v="618"/>
    <d v="2024-06-25T00:00:00"/>
    <x v="3"/>
    <x v="0"/>
    <n v="98"/>
    <n v="65"/>
    <n v="2.6"/>
    <x v="1"/>
    <x v="1"/>
    <x v="0"/>
    <x v="0"/>
    <x v="0"/>
    <x v="0"/>
    <x v="0"/>
    <x v="3"/>
    <x v="0"/>
    <n v="0"/>
    <s v="Acceptable"/>
    <s v="3 Days"/>
    <x v="4"/>
    <s v="Tuesday"/>
    <n v="4"/>
  </r>
  <r>
    <x v="619"/>
    <d v="2024-10-23T00:00:00"/>
    <x v="4"/>
    <x v="1"/>
    <n v="205"/>
    <n v="16"/>
    <n v="4.4000000000000004"/>
    <x v="1"/>
    <x v="1"/>
    <x v="0"/>
    <x v="1"/>
    <x v="1"/>
    <x v="0"/>
    <x v="1"/>
    <x v="3"/>
    <x v="0"/>
    <n v="0"/>
    <s v="Slow"/>
    <s v="1 Day"/>
    <x v="7"/>
    <s v="Wednesday"/>
    <n v="3"/>
  </r>
  <r>
    <x v="620"/>
    <d v="2024-12-21T00:00:00"/>
    <x v="3"/>
    <x v="3"/>
    <n v="24"/>
    <n v="14"/>
    <n v="5.9"/>
    <x v="0"/>
    <x v="0"/>
    <x v="1"/>
    <x v="3"/>
    <x v="3"/>
    <x v="0"/>
    <x v="0"/>
    <x v="0"/>
    <x v="1"/>
    <n v="1"/>
    <s v="Very Fast"/>
    <s v="1 Day"/>
    <x v="11"/>
    <s v="Saturday"/>
    <n v="2"/>
  </r>
  <r>
    <x v="621"/>
    <d v="2024-01-20T00:00:00"/>
    <x v="3"/>
    <x v="0"/>
    <n v="220"/>
    <n v="49"/>
    <n v="3.9"/>
    <x v="1"/>
    <x v="2"/>
    <x v="0"/>
    <x v="0"/>
    <x v="0"/>
    <x v="0"/>
    <x v="0"/>
    <x v="3"/>
    <x v="0"/>
    <n v="0"/>
    <s v="Slow"/>
    <s v="3 Days"/>
    <x v="8"/>
    <s v="Saturday"/>
    <n v="4"/>
  </r>
  <r>
    <x v="622"/>
    <d v="2024-10-02T00:00:00"/>
    <x v="3"/>
    <x v="0"/>
    <n v="134"/>
    <n v="39"/>
    <n v="1.2"/>
    <x v="1"/>
    <x v="0"/>
    <x v="0"/>
    <x v="0"/>
    <x v="0"/>
    <x v="0"/>
    <x v="0"/>
    <x v="1"/>
    <x v="0"/>
    <n v="0"/>
    <s v="Slow"/>
    <s v="2 Days"/>
    <x v="7"/>
    <s v="Wednesday"/>
    <n v="4"/>
  </r>
  <r>
    <x v="623"/>
    <d v="2024-01-03T00:00:00"/>
    <x v="0"/>
    <x v="3"/>
    <n v="92"/>
    <n v="5"/>
    <n v="6.4"/>
    <x v="0"/>
    <x v="1"/>
    <x v="1"/>
    <x v="3"/>
    <x v="3"/>
    <x v="0"/>
    <x v="1"/>
    <x v="0"/>
    <x v="1"/>
    <n v="1"/>
    <s v="Acceptable"/>
    <s v="Same Day"/>
    <x v="8"/>
    <s v="Wednesday"/>
    <n v="2"/>
  </r>
  <r>
    <x v="624"/>
    <d v="2024-03-03T00:00:00"/>
    <x v="1"/>
    <x v="3"/>
    <n v="74"/>
    <n v="35"/>
    <n v="2.6"/>
    <x v="1"/>
    <x v="1"/>
    <x v="0"/>
    <x v="3"/>
    <x v="3"/>
    <x v="1"/>
    <x v="1"/>
    <x v="3"/>
    <x v="0"/>
    <n v="0"/>
    <s v="Acceptable"/>
    <s v="2 Days"/>
    <x v="2"/>
    <s v="Sunday"/>
    <n v="2"/>
  </r>
  <r>
    <x v="625"/>
    <d v="2024-12-31T00:00:00"/>
    <x v="2"/>
    <x v="0"/>
    <n v="190"/>
    <n v="69"/>
    <n v="4.5999999999999996"/>
    <x v="1"/>
    <x v="1"/>
    <x v="0"/>
    <x v="0"/>
    <x v="0"/>
    <x v="0"/>
    <x v="0"/>
    <x v="3"/>
    <x v="0"/>
    <n v="0"/>
    <s v="Slow"/>
    <s v="3 Days"/>
    <x v="11"/>
    <s v="Tuesday"/>
    <n v="4"/>
  </r>
  <r>
    <x v="626"/>
    <d v="2024-11-05T00:00:00"/>
    <x v="4"/>
    <x v="1"/>
    <n v="225"/>
    <n v="21"/>
    <n v="3"/>
    <x v="0"/>
    <x v="2"/>
    <x v="0"/>
    <x v="1"/>
    <x v="1"/>
    <x v="0"/>
    <x v="1"/>
    <x v="3"/>
    <x v="0"/>
    <n v="1"/>
    <s v="Slow"/>
    <s v="1 Day"/>
    <x v="6"/>
    <s v="Tuesday"/>
    <n v="3"/>
  </r>
  <r>
    <x v="627"/>
    <d v="2024-01-14T00:00:00"/>
    <x v="4"/>
    <x v="3"/>
    <n v="131"/>
    <n v="7"/>
    <n v="7.7"/>
    <x v="1"/>
    <x v="0"/>
    <x v="0"/>
    <x v="3"/>
    <x v="3"/>
    <x v="0"/>
    <x v="1"/>
    <x v="0"/>
    <x v="0"/>
    <n v="0"/>
    <s v="Slow"/>
    <s v="Same Day"/>
    <x v="8"/>
    <s v="Sunday"/>
    <n v="2"/>
  </r>
  <r>
    <x v="628"/>
    <d v="2024-03-17T00:00:00"/>
    <x v="1"/>
    <x v="2"/>
    <n v="121"/>
    <n v="33"/>
    <n v="4.3"/>
    <x v="1"/>
    <x v="1"/>
    <x v="0"/>
    <x v="2"/>
    <x v="2"/>
    <x v="1"/>
    <x v="1"/>
    <x v="3"/>
    <x v="0"/>
    <n v="0"/>
    <s v="Slow"/>
    <s v="2 Days"/>
    <x v="2"/>
    <s v="Sunday"/>
    <n v="1"/>
  </r>
  <r>
    <x v="629"/>
    <d v="2024-03-23T00:00:00"/>
    <x v="3"/>
    <x v="3"/>
    <n v="222"/>
    <n v="5"/>
    <n v="9.3000000000000007"/>
    <x v="1"/>
    <x v="1"/>
    <x v="1"/>
    <x v="3"/>
    <x v="3"/>
    <x v="0"/>
    <x v="1"/>
    <x v="2"/>
    <x v="1"/>
    <n v="0"/>
    <s v="Slow"/>
    <s v="Same Day"/>
    <x v="2"/>
    <s v="Saturday"/>
    <n v="2"/>
  </r>
  <r>
    <x v="630"/>
    <d v="2024-06-03T00:00:00"/>
    <x v="2"/>
    <x v="2"/>
    <n v="65"/>
    <n v="45"/>
    <n v="1.5"/>
    <x v="1"/>
    <x v="1"/>
    <x v="0"/>
    <x v="2"/>
    <x v="2"/>
    <x v="1"/>
    <x v="1"/>
    <x v="1"/>
    <x v="0"/>
    <n v="0"/>
    <s v="Acceptable"/>
    <s v="2 Days"/>
    <x v="4"/>
    <s v="Monday"/>
    <n v="1"/>
  </r>
  <r>
    <x v="631"/>
    <d v="2024-03-27T00:00:00"/>
    <x v="0"/>
    <x v="1"/>
    <n v="154"/>
    <n v="7"/>
    <n v="1.8"/>
    <x v="0"/>
    <x v="2"/>
    <x v="0"/>
    <x v="1"/>
    <x v="1"/>
    <x v="0"/>
    <x v="1"/>
    <x v="1"/>
    <x v="0"/>
    <n v="1"/>
    <s v="Slow"/>
    <s v="Same Day"/>
    <x v="2"/>
    <s v="Wednesday"/>
    <n v="3"/>
  </r>
  <r>
    <x v="632"/>
    <d v="2024-10-18T00:00:00"/>
    <x v="3"/>
    <x v="0"/>
    <n v="218"/>
    <n v="56"/>
    <n v="2.1"/>
    <x v="1"/>
    <x v="2"/>
    <x v="0"/>
    <x v="0"/>
    <x v="0"/>
    <x v="0"/>
    <x v="0"/>
    <x v="3"/>
    <x v="0"/>
    <n v="0"/>
    <s v="Slow"/>
    <s v="3 Days"/>
    <x v="7"/>
    <s v="Friday"/>
    <n v="4"/>
  </r>
  <r>
    <x v="633"/>
    <d v="2024-01-29T00:00:00"/>
    <x v="2"/>
    <x v="0"/>
    <n v="134"/>
    <n v="42"/>
    <n v="2.8"/>
    <x v="1"/>
    <x v="0"/>
    <x v="0"/>
    <x v="0"/>
    <x v="0"/>
    <x v="0"/>
    <x v="0"/>
    <x v="3"/>
    <x v="0"/>
    <n v="0"/>
    <s v="Slow"/>
    <s v="2 Days"/>
    <x v="8"/>
    <s v="Monday"/>
    <n v="4"/>
  </r>
  <r>
    <x v="634"/>
    <d v="2024-05-13T00:00:00"/>
    <x v="3"/>
    <x v="2"/>
    <n v="17"/>
    <n v="55"/>
    <n v="8.6999999999999993"/>
    <x v="0"/>
    <x v="1"/>
    <x v="1"/>
    <x v="2"/>
    <x v="2"/>
    <x v="1"/>
    <x v="0"/>
    <x v="2"/>
    <x v="1"/>
    <n v="1"/>
    <s v="Very Fast"/>
    <s v="3 Days"/>
    <x v="1"/>
    <s v="Monday"/>
    <n v="1"/>
  </r>
  <r>
    <x v="635"/>
    <d v="2024-11-15T00:00:00"/>
    <x v="2"/>
    <x v="0"/>
    <n v="104"/>
    <n v="40"/>
    <n v="8"/>
    <x v="1"/>
    <x v="1"/>
    <x v="1"/>
    <x v="0"/>
    <x v="0"/>
    <x v="0"/>
    <x v="0"/>
    <x v="0"/>
    <x v="1"/>
    <n v="0"/>
    <s v="Acceptable"/>
    <s v="2 Days"/>
    <x v="6"/>
    <s v="Friday"/>
    <n v="4"/>
  </r>
  <r>
    <x v="636"/>
    <d v="2024-03-02T00:00:00"/>
    <x v="4"/>
    <x v="3"/>
    <n v="70"/>
    <n v="38"/>
    <n v="3.8"/>
    <x v="0"/>
    <x v="2"/>
    <x v="0"/>
    <x v="3"/>
    <x v="3"/>
    <x v="1"/>
    <x v="1"/>
    <x v="3"/>
    <x v="0"/>
    <n v="1"/>
    <s v="Acceptable"/>
    <s v="2 Days"/>
    <x v="2"/>
    <s v="Saturday"/>
    <n v="2"/>
  </r>
  <r>
    <x v="637"/>
    <d v="2024-03-28T00:00:00"/>
    <x v="3"/>
    <x v="1"/>
    <n v="102"/>
    <n v="58"/>
    <n v="3.1"/>
    <x v="0"/>
    <x v="2"/>
    <x v="0"/>
    <x v="1"/>
    <x v="1"/>
    <x v="1"/>
    <x v="0"/>
    <x v="3"/>
    <x v="0"/>
    <n v="1"/>
    <s v="Acceptable"/>
    <s v="3 Days"/>
    <x v="2"/>
    <s v="Thursday"/>
    <n v="3"/>
  </r>
  <r>
    <x v="638"/>
    <d v="2024-12-08T00:00:00"/>
    <x v="1"/>
    <x v="1"/>
    <n v="94"/>
    <n v="16"/>
    <n v="7.5"/>
    <x v="0"/>
    <x v="0"/>
    <x v="0"/>
    <x v="1"/>
    <x v="1"/>
    <x v="0"/>
    <x v="0"/>
    <x v="0"/>
    <x v="0"/>
    <n v="1"/>
    <s v="Acceptable"/>
    <s v="1 Day"/>
    <x v="11"/>
    <s v="Sunday"/>
    <n v="3"/>
  </r>
  <r>
    <x v="639"/>
    <d v="2024-03-01T00:00:00"/>
    <x v="3"/>
    <x v="3"/>
    <n v="111"/>
    <n v="26"/>
    <n v="9.6999999999999993"/>
    <x v="1"/>
    <x v="0"/>
    <x v="0"/>
    <x v="3"/>
    <x v="3"/>
    <x v="1"/>
    <x v="1"/>
    <x v="2"/>
    <x v="0"/>
    <n v="0"/>
    <s v="Acceptable"/>
    <s v="2 Days"/>
    <x v="2"/>
    <s v="Friday"/>
    <n v="2"/>
  </r>
  <r>
    <x v="640"/>
    <d v="2024-10-26T00:00:00"/>
    <x v="0"/>
    <x v="3"/>
    <n v="28"/>
    <n v="46"/>
    <n v="8.9"/>
    <x v="0"/>
    <x v="1"/>
    <x v="1"/>
    <x v="3"/>
    <x v="3"/>
    <x v="1"/>
    <x v="0"/>
    <x v="2"/>
    <x v="1"/>
    <n v="1"/>
    <s v="Very Fast"/>
    <s v="2 Days"/>
    <x v="7"/>
    <s v="Saturday"/>
    <n v="2"/>
  </r>
  <r>
    <x v="641"/>
    <d v="2024-06-07T00:00:00"/>
    <x v="3"/>
    <x v="1"/>
    <n v="158"/>
    <n v="48"/>
    <n v="0.7"/>
    <x v="1"/>
    <x v="1"/>
    <x v="0"/>
    <x v="1"/>
    <x v="1"/>
    <x v="0"/>
    <x v="1"/>
    <x v="1"/>
    <x v="0"/>
    <n v="0"/>
    <s v="Slow"/>
    <s v="2 Days"/>
    <x v="4"/>
    <s v="Friday"/>
    <n v="3"/>
  </r>
  <r>
    <x v="642"/>
    <d v="2024-12-06T00:00:00"/>
    <x v="1"/>
    <x v="3"/>
    <n v="137"/>
    <n v="9"/>
    <n v="6.1"/>
    <x v="0"/>
    <x v="2"/>
    <x v="0"/>
    <x v="3"/>
    <x v="3"/>
    <x v="0"/>
    <x v="1"/>
    <x v="0"/>
    <x v="0"/>
    <n v="1"/>
    <s v="Slow"/>
    <s v="1 Day"/>
    <x v="11"/>
    <s v="Friday"/>
    <n v="2"/>
  </r>
  <r>
    <x v="643"/>
    <d v="2024-11-18T00:00:00"/>
    <x v="4"/>
    <x v="3"/>
    <n v="136"/>
    <n v="65"/>
    <n v="3.8"/>
    <x v="1"/>
    <x v="0"/>
    <x v="0"/>
    <x v="3"/>
    <x v="3"/>
    <x v="1"/>
    <x v="1"/>
    <x v="3"/>
    <x v="0"/>
    <n v="0"/>
    <s v="Slow"/>
    <s v="3 Days"/>
    <x v="6"/>
    <s v="Monday"/>
    <n v="2"/>
  </r>
  <r>
    <x v="644"/>
    <d v="2024-04-26T00:00:00"/>
    <x v="2"/>
    <x v="2"/>
    <n v="99"/>
    <n v="28"/>
    <n v="1.5"/>
    <x v="1"/>
    <x v="0"/>
    <x v="0"/>
    <x v="2"/>
    <x v="2"/>
    <x v="1"/>
    <x v="1"/>
    <x v="1"/>
    <x v="0"/>
    <n v="0"/>
    <s v="Acceptable"/>
    <s v="2 Days"/>
    <x v="3"/>
    <s v="Friday"/>
    <n v="1"/>
  </r>
  <r>
    <x v="645"/>
    <d v="2024-08-18T00:00:00"/>
    <x v="0"/>
    <x v="2"/>
    <n v="239"/>
    <n v="70"/>
    <n v="4.9000000000000004"/>
    <x v="1"/>
    <x v="0"/>
    <x v="0"/>
    <x v="2"/>
    <x v="2"/>
    <x v="1"/>
    <x v="1"/>
    <x v="3"/>
    <x v="0"/>
    <n v="0"/>
    <s v="Slow"/>
    <s v="3 Days"/>
    <x v="0"/>
    <s v="Sunday"/>
    <n v="1"/>
  </r>
  <r>
    <x v="646"/>
    <d v="2024-05-13T00:00:00"/>
    <x v="1"/>
    <x v="2"/>
    <n v="162"/>
    <n v="37"/>
    <n v="2.2000000000000002"/>
    <x v="1"/>
    <x v="2"/>
    <x v="0"/>
    <x v="2"/>
    <x v="2"/>
    <x v="1"/>
    <x v="1"/>
    <x v="3"/>
    <x v="0"/>
    <n v="0"/>
    <s v="Slow"/>
    <s v="2 Days"/>
    <x v="1"/>
    <s v="Monday"/>
    <n v="1"/>
  </r>
  <r>
    <x v="647"/>
    <d v="2024-09-24T00:00:00"/>
    <x v="2"/>
    <x v="1"/>
    <n v="65"/>
    <n v="10"/>
    <n v="5.6"/>
    <x v="0"/>
    <x v="0"/>
    <x v="0"/>
    <x v="1"/>
    <x v="1"/>
    <x v="0"/>
    <x v="0"/>
    <x v="0"/>
    <x v="0"/>
    <n v="1"/>
    <s v="Acceptable"/>
    <s v="1 Day"/>
    <x v="5"/>
    <s v="Tuesday"/>
    <n v="3"/>
  </r>
  <r>
    <x v="648"/>
    <d v="2024-03-07T00:00:00"/>
    <x v="1"/>
    <x v="1"/>
    <n v="192"/>
    <n v="26"/>
    <n v="7.4"/>
    <x v="0"/>
    <x v="0"/>
    <x v="0"/>
    <x v="1"/>
    <x v="1"/>
    <x v="0"/>
    <x v="1"/>
    <x v="0"/>
    <x v="0"/>
    <n v="1"/>
    <s v="Slow"/>
    <s v="2 Days"/>
    <x v="2"/>
    <s v="Thursday"/>
    <n v="3"/>
  </r>
  <r>
    <x v="649"/>
    <d v="2024-09-22T00:00:00"/>
    <x v="0"/>
    <x v="2"/>
    <n v="213"/>
    <n v="16"/>
    <n v="6.5"/>
    <x v="0"/>
    <x v="1"/>
    <x v="0"/>
    <x v="2"/>
    <x v="2"/>
    <x v="1"/>
    <x v="1"/>
    <x v="0"/>
    <x v="0"/>
    <n v="1"/>
    <s v="Slow"/>
    <s v="1 Day"/>
    <x v="5"/>
    <s v="Sunday"/>
    <n v="1"/>
  </r>
  <r>
    <x v="650"/>
    <d v="2024-08-03T00:00:00"/>
    <x v="3"/>
    <x v="0"/>
    <n v="26"/>
    <n v="16"/>
    <n v="5.9"/>
    <x v="0"/>
    <x v="2"/>
    <x v="1"/>
    <x v="0"/>
    <x v="0"/>
    <x v="0"/>
    <x v="0"/>
    <x v="0"/>
    <x v="1"/>
    <n v="1"/>
    <s v="Very Fast"/>
    <s v="1 Day"/>
    <x v="0"/>
    <s v="Saturday"/>
    <n v="4"/>
  </r>
  <r>
    <x v="651"/>
    <d v="2024-07-01T00:00:00"/>
    <x v="4"/>
    <x v="2"/>
    <n v="64"/>
    <n v="27"/>
    <n v="8"/>
    <x v="0"/>
    <x v="2"/>
    <x v="0"/>
    <x v="2"/>
    <x v="2"/>
    <x v="1"/>
    <x v="1"/>
    <x v="0"/>
    <x v="0"/>
    <n v="1"/>
    <s v="Acceptable"/>
    <s v="2 Days"/>
    <x v="10"/>
    <s v="Monday"/>
    <n v="1"/>
  </r>
  <r>
    <x v="652"/>
    <d v="2024-10-20T00:00:00"/>
    <x v="0"/>
    <x v="3"/>
    <n v="119"/>
    <n v="65"/>
    <n v="1.9"/>
    <x v="0"/>
    <x v="2"/>
    <x v="0"/>
    <x v="3"/>
    <x v="3"/>
    <x v="1"/>
    <x v="1"/>
    <x v="1"/>
    <x v="0"/>
    <n v="1"/>
    <s v="Acceptable"/>
    <s v="3 Days"/>
    <x v="7"/>
    <s v="Sunday"/>
    <n v="2"/>
  </r>
  <r>
    <x v="653"/>
    <d v="2024-07-28T00:00:00"/>
    <x v="4"/>
    <x v="0"/>
    <n v="80"/>
    <n v="35"/>
    <n v="2"/>
    <x v="0"/>
    <x v="1"/>
    <x v="0"/>
    <x v="0"/>
    <x v="0"/>
    <x v="0"/>
    <x v="0"/>
    <x v="1"/>
    <x v="0"/>
    <n v="1"/>
    <s v="Acceptable"/>
    <s v="2 Days"/>
    <x v="10"/>
    <s v="Sunday"/>
    <n v="4"/>
  </r>
  <r>
    <x v="654"/>
    <d v="2024-04-14T00:00:00"/>
    <x v="2"/>
    <x v="3"/>
    <n v="171"/>
    <n v="50"/>
    <n v="9.8000000000000007"/>
    <x v="0"/>
    <x v="2"/>
    <x v="0"/>
    <x v="3"/>
    <x v="3"/>
    <x v="1"/>
    <x v="1"/>
    <x v="2"/>
    <x v="0"/>
    <n v="1"/>
    <s v="Slow"/>
    <s v="3 Days"/>
    <x v="3"/>
    <s v="Sunday"/>
    <n v="2"/>
  </r>
  <r>
    <x v="655"/>
    <d v="2024-10-04T00:00:00"/>
    <x v="2"/>
    <x v="3"/>
    <n v="85"/>
    <n v="20"/>
    <n v="2.9"/>
    <x v="1"/>
    <x v="2"/>
    <x v="0"/>
    <x v="3"/>
    <x v="3"/>
    <x v="0"/>
    <x v="1"/>
    <x v="3"/>
    <x v="0"/>
    <n v="0"/>
    <s v="Acceptable"/>
    <s v="1 Day"/>
    <x v="7"/>
    <s v="Friday"/>
    <n v="2"/>
  </r>
  <r>
    <x v="656"/>
    <d v="2024-05-10T00:00:00"/>
    <x v="0"/>
    <x v="1"/>
    <n v="229"/>
    <n v="59"/>
    <n v="2.2999999999999998"/>
    <x v="1"/>
    <x v="2"/>
    <x v="0"/>
    <x v="1"/>
    <x v="1"/>
    <x v="1"/>
    <x v="1"/>
    <x v="3"/>
    <x v="0"/>
    <n v="0"/>
    <s v="Slow"/>
    <s v="3 Days"/>
    <x v="1"/>
    <s v="Friday"/>
    <n v="3"/>
  </r>
  <r>
    <x v="657"/>
    <d v="2024-01-11T00:00:00"/>
    <x v="2"/>
    <x v="3"/>
    <n v="219"/>
    <n v="12"/>
    <n v="2.1"/>
    <x v="1"/>
    <x v="0"/>
    <x v="0"/>
    <x v="3"/>
    <x v="3"/>
    <x v="0"/>
    <x v="1"/>
    <x v="3"/>
    <x v="0"/>
    <n v="0"/>
    <s v="Slow"/>
    <s v="1 Day"/>
    <x v="8"/>
    <s v="Thursday"/>
    <n v="2"/>
  </r>
  <r>
    <x v="658"/>
    <d v="2024-12-18T00:00:00"/>
    <x v="2"/>
    <x v="0"/>
    <n v="94"/>
    <n v="36"/>
    <n v="8.6999999999999993"/>
    <x v="0"/>
    <x v="1"/>
    <x v="0"/>
    <x v="0"/>
    <x v="0"/>
    <x v="0"/>
    <x v="0"/>
    <x v="2"/>
    <x v="0"/>
    <n v="1"/>
    <s v="Acceptable"/>
    <s v="2 Days"/>
    <x v="11"/>
    <s v="Wednesday"/>
    <n v="4"/>
  </r>
  <r>
    <x v="659"/>
    <d v="2024-01-09T00:00:00"/>
    <x v="0"/>
    <x v="1"/>
    <n v="62"/>
    <n v="7"/>
    <n v="2.9"/>
    <x v="1"/>
    <x v="2"/>
    <x v="0"/>
    <x v="1"/>
    <x v="1"/>
    <x v="0"/>
    <x v="0"/>
    <x v="3"/>
    <x v="0"/>
    <n v="0"/>
    <s v="Acceptable"/>
    <s v="Same Day"/>
    <x v="8"/>
    <s v="Tuesday"/>
    <n v="3"/>
  </r>
  <r>
    <x v="660"/>
    <d v="2024-12-01T00:00:00"/>
    <x v="0"/>
    <x v="1"/>
    <n v="84"/>
    <n v="31"/>
    <n v="7.5"/>
    <x v="0"/>
    <x v="2"/>
    <x v="0"/>
    <x v="1"/>
    <x v="1"/>
    <x v="0"/>
    <x v="0"/>
    <x v="0"/>
    <x v="0"/>
    <n v="1"/>
    <s v="Acceptable"/>
    <s v="2 Days"/>
    <x v="11"/>
    <s v="Sunday"/>
    <n v="3"/>
  </r>
  <r>
    <x v="661"/>
    <d v="2024-07-31T00:00:00"/>
    <x v="0"/>
    <x v="1"/>
    <n v="207"/>
    <n v="14"/>
    <n v="5.9"/>
    <x v="0"/>
    <x v="0"/>
    <x v="0"/>
    <x v="1"/>
    <x v="1"/>
    <x v="0"/>
    <x v="1"/>
    <x v="0"/>
    <x v="0"/>
    <n v="1"/>
    <s v="Slow"/>
    <s v="1 Day"/>
    <x v="10"/>
    <s v="Wednesday"/>
    <n v="3"/>
  </r>
  <r>
    <x v="662"/>
    <d v="2024-10-09T00:00:00"/>
    <x v="3"/>
    <x v="1"/>
    <n v="98"/>
    <n v="3"/>
    <n v="5.5"/>
    <x v="1"/>
    <x v="0"/>
    <x v="2"/>
    <x v="1"/>
    <x v="1"/>
    <x v="0"/>
    <x v="0"/>
    <x v="0"/>
    <x v="2"/>
    <n v="0"/>
    <s v="Acceptable"/>
    <s v="Same Day"/>
    <x v="7"/>
    <s v="Wednesday"/>
    <n v="3"/>
  </r>
  <r>
    <x v="663"/>
    <d v="2024-02-11T00:00:00"/>
    <x v="1"/>
    <x v="3"/>
    <n v="87"/>
    <n v="64"/>
    <n v="7.1"/>
    <x v="0"/>
    <x v="0"/>
    <x v="0"/>
    <x v="3"/>
    <x v="3"/>
    <x v="1"/>
    <x v="1"/>
    <x v="0"/>
    <x v="0"/>
    <n v="1"/>
    <s v="Acceptable"/>
    <s v="3 Days"/>
    <x v="9"/>
    <s v="Sunday"/>
    <n v="2"/>
  </r>
  <r>
    <x v="664"/>
    <d v="2024-12-14T00:00:00"/>
    <x v="2"/>
    <x v="0"/>
    <n v="31"/>
    <n v="36"/>
    <n v="7.3"/>
    <x v="1"/>
    <x v="2"/>
    <x v="1"/>
    <x v="0"/>
    <x v="0"/>
    <x v="0"/>
    <x v="0"/>
    <x v="0"/>
    <x v="1"/>
    <n v="0"/>
    <s v="Acceptable"/>
    <s v="2 Days"/>
    <x v="11"/>
    <s v="Saturday"/>
    <n v="4"/>
  </r>
  <r>
    <x v="665"/>
    <d v="2024-02-29T00:00:00"/>
    <x v="4"/>
    <x v="2"/>
    <n v="179"/>
    <n v="33"/>
    <n v="7.3"/>
    <x v="1"/>
    <x v="2"/>
    <x v="0"/>
    <x v="2"/>
    <x v="2"/>
    <x v="1"/>
    <x v="1"/>
    <x v="0"/>
    <x v="0"/>
    <n v="0"/>
    <s v="Slow"/>
    <s v="2 Days"/>
    <x v="9"/>
    <s v="Thursday"/>
    <n v="1"/>
  </r>
  <r>
    <x v="666"/>
    <d v="2024-09-25T00:00:00"/>
    <x v="2"/>
    <x v="3"/>
    <n v="179"/>
    <n v="50"/>
    <n v="4.3"/>
    <x v="0"/>
    <x v="0"/>
    <x v="0"/>
    <x v="3"/>
    <x v="3"/>
    <x v="1"/>
    <x v="1"/>
    <x v="3"/>
    <x v="0"/>
    <n v="1"/>
    <s v="Slow"/>
    <s v="3 Days"/>
    <x v="5"/>
    <s v="Wednesday"/>
    <n v="2"/>
  </r>
  <r>
    <x v="667"/>
    <d v="2024-06-25T00:00:00"/>
    <x v="3"/>
    <x v="2"/>
    <n v="157"/>
    <n v="14"/>
    <n v="6.2"/>
    <x v="1"/>
    <x v="0"/>
    <x v="0"/>
    <x v="2"/>
    <x v="2"/>
    <x v="1"/>
    <x v="1"/>
    <x v="0"/>
    <x v="0"/>
    <n v="0"/>
    <s v="Slow"/>
    <s v="1 Day"/>
    <x v="4"/>
    <s v="Tuesday"/>
    <n v="1"/>
  </r>
  <r>
    <x v="668"/>
    <d v="2024-03-26T00:00:00"/>
    <x v="2"/>
    <x v="2"/>
    <n v="178"/>
    <n v="50"/>
    <n v="9.1999999999999993"/>
    <x v="0"/>
    <x v="1"/>
    <x v="0"/>
    <x v="2"/>
    <x v="2"/>
    <x v="1"/>
    <x v="1"/>
    <x v="2"/>
    <x v="0"/>
    <n v="1"/>
    <s v="Slow"/>
    <s v="3 Days"/>
    <x v="2"/>
    <s v="Tuesday"/>
    <n v="1"/>
  </r>
  <r>
    <x v="669"/>
    <d v="2024-10-26T00:00:00"/>
    <x v="0"/>
    <x v="2"/>
    <n v="84"/>
    <n v="36"/>
    <n v="3.5"/>
    <x v="0"/>
    <x v="0"/>
    <x v="0"/>
    <x v="2"/>
    <x v="2"/>
    <x v="1"/>
    <x v="1"/>
    <x v="3"/>
    <x v="0"/>
    <n v="1"/>
    <s v="Acceptable"/>
    <s v="2 Days"/>
    <x v="7"/>
    <s v="Saturday"/>
    <n v="1"/>
  </r>
  <r>
    <x v="670"/>
    <d v="2024-08-04T00:00:00"/>
    <x v="0"/>
    <x v="1"/>
    <n v="188"/>
    <n v="61"/>
    <n v="1.1000000000000001"/>
    <x v="0"/>
    <x v="2"/>
    <x v="0"/>
    <x v="1"/>
    <x v="1"/>
    <x v="1"/>
    <x v="1"/>
    <x v="1"/>
    <x v="0"/>
    <n v="1"/>
    <s v="Slow"/>
    <s v="3 Days"/>
    <x v="0"/>
    <s v="Sunday"/>
    <n v="3"/>
  </r>
  <r>
    <x v="671"/>
    <d v="2024-08-23T00:00:00"/>
    <x v="3"/>
    <x v="0"/>
    <n v="194"/>
    <n v="40"/>
    <n v="3.9"/>
    <x v="1"/>
    <x v="1"/>
    <x v="0"/>
    <x v="0"/>
    <x v="0"/>
    <x v="0"/>
    <x v="0"/>
    <x v="3"/>
    <x v="0"/>
    <n v="0"/>
    <s v="Slow"/>
    <s v="2 Days"/>
    <x v="0"/>
    <s v="Friday"/>
    <n v="4"/>
  </r>
  <r>
    <x v="672"/>
    <d v="2024-06-20T00:00:00"/>
    <x v="0"/>
    <x v="0"/>
    <n v="212"/>
    <n v="66"/>
    <n v="5.5"/>
    <x v="0"/>
    <x v="2"/>
    <x v="0"/>
    <x v="0"/>
    <x v="0"/>
    <x v="0"/>
    <x v="0"/>
    <x v="0"/>
    <x v="0"/>
    <n v="1"/>
    <s v="Slow"/>
    <s v="3 Days"/>
    <x v="4"/>
    <s v="Thursday"/>
    <n v="4"/>
  </r>
  <r>
    <x v="673"/>
    <d v="2024-09-26T00:00:00"/>
    <x v="0"/>
    <x v="1"/>
    <n v="66"/>
    <n v="28"/>
    <n v="2.7"/>
    <x v="0"/>
    <x v="1"/>
    <x v="0"/>
    <x v="1"/>
    <x v="1"/>
    <x v="0"/>
    <x v="0"/>
    <x v="3"/>
    <x v="0"/>
    <n v="1"/>
    <s v="Acceptable"/>
    <s v="2 Days"/>
    <x v="5"/>
    <s v="Thursday"/>
    <n v="3"/>
  </r>
  <r>
    <x v="674"/>
    <d v="2024-04-06T00:00:00"/>
    <x v="0"/>
    <x v="2"/>
    <n v="175"/>
    <n v="65"/>
    <n v="8.4"/>
    <x v="1"/>
    <x v="0"/>
    <x v="0"/>
    <x v="2"/>
    <x v="2"/>
    <x v="1"/>
    <x v="1"/>
    <x v="2"/>
    <x v="0"/>
    <n v="0"/>
    <s v="Slow"/>
    <s v="3 Days"/>
    <x v="3"/>
    <s v="Saturday"/>
    <n v="1"/>
  </r>
  <r>
    <x v="675"/>
    <d v="2024-08-09T00:00:00"/>
    <x v="2"/>
    <x v="0"/>
    <n v="149"/>
    <n v="12"/>
    <n v="2"/>
    <x v="1"/>
    <x v="1"/>
    <x v="0"/>
    <x v="0"/>
    <x v="0"/>
    <x v="0"/>
    <x v="0"/>
    <x v="1"/>
    <x v="0"/>
    <n v="0"/>
    <s v="Slow"/>
    <s v="1 Day"/>
    <x v="0"/>
    <s v="Friday"/>
    <n v="4"/>
  </r>
  <r>
    <x v="676"/>
    <d v="2024-03-25T00:00:00"/>
    <x v="3"/>
    <x v="1"/>
    <n v="155"/>
    <n v="28"/>
    <n v="5.0999999999999996"/>
    <x v="1"/>
    <x v="2"/>
    <x v="1"/>
    <x v="1"/>
    <x v="1"/>
    <x v="0"/>
    <x v="1"/>
    <x v="0"/>
    <x v="1"/>
    <n v="0"/>
    <s v="Slow"/>
    <s v="2 Days"/>
    <x v="2"/>
    <s v="Monday"/>
    <n v="3"/>
  </r>
  <r>
    <x v="677"/>
    <d v="2024-03-05T00:00:00"/>
    <x v="0"/>
    <x v="1"/>
    <n v="11"/>
    <n v="43"/>
    <n v="8.9"/>
    <x v="1"/>
    <x v="2"/>
    <x v="2"/>
    <x v="1"/>
    <x v="1"/>
    <x v="0"/>
    <x v="0"/>
    <x v="2"/>
    <x v="2"/>
    <n v="0"/>
    <s v="Very Fast"/>
    <s v="2 Days"/>
    <x v="2"/>
    <s v="Tuesday"/>
    <n v="3"/>
  </r>
  <r>
    <x v="678"/>
    <d v="2024-07-15T00:00:00"/>
    <x v="4"/>
    <x v="0"/>
    <n v="169"/>
    <n v="51"/>
    <n v="0.6"/>
    <x v="0"/>
    <x v="1"/>
    <x v="0"/>
    <x v="0"/>
    <x v="0"/>
    <x v="0"/>
    <x v="0"/>
    <x v="1"/>
    <x v="0"/>
    <n v="1"/>
    <s v="Slow"/>
    <s v="3 Days"/>
    <x v="10"/>
    <s v="Monday"/>
    <n v="4"/>
  </r>
  <r>
    <x v="679"/>
    <d v="2024-03-03T00:00:00"/>
    <x v="4"/>
    <x v="2"/>
    <n v="108"/>
    <n v="70"/>
    <n v="3.8"/>
    <x v="1"/>
    <x v="1"/>
    <x v="0"/>
    <x v="2"/>
    <x v="2"/>
    <x v="1"/>
    <x v="1"/>
    <x v="3"/>
    <x v="0"/>
    <n v="0"/>
    <s v="Acceptable"/>
    <s v="3 Days"/>
    <x v="2"/>
    <s v="Sunday"/>
    <n v="1"/>
  </r>
  <r>
    <x v="680"/>
    <d v="2024-09-29T00:00:00"/>
    <x v="2"/>
    <x v="2"/>
    <n v="221"/>
    <n v="22"/>
    <n v="1.9"/>
    <x v="0"/>
    <x v="2"/>
    <x v="0"/>
    <x v="2"/>
    <x v="2"/>
    <x v="1"/>
    <x v="1"/>
    <x v="1"/>
    <x v="0"/>
    <n v="1"/>
    <s v="Slow"/>
    <s v="1 Day"/>
    <x v="5"/>
    <s v="Sunday"/>
    <n v="1"/>
  </r>
  <r>
    <x v="681"/>
    <d v="2024-03-14T00:00:00"/>
    <x v="1"/>
    <x v="0"/>
    <n v="122"/>
    <n v="66"/>
    <n v="8.8000000000000007"/>
    <x v="0"/>
    <x v="1"/>
    <x v="0"/>
    <x v="0"/>
    <x v="0"/>
    <x v="0"/>
    <x v="0"/>
    <x v="2"/>
    <x v="0"/>
    <n v="1"/>
    <s v="Slow"/>
    <s v="3 Days"/>
    <x v="2"/>
    <s v="Thursday"/>
    <n v="4"/>
  </r>
  <r>
    <x v="682"/>
    <d v="2024-12-21T00:00:00"/>
    <x v="4"/>
    <x v="2"/>
    <n v="224"/>
    <n v="64"/>
    <n v="9.1"/>
    <x v="1"/>
    <x v="1"/>
    <x v="0"/>
    <x v="2"/>
    <x v="2"/>
    <x v="1"/>
    <x v="1"/>
    <x v="2"/>
    <x v="0"/>
    <n v="0"/>
    <s v="Slow"/>
    <s v="3 Days"/>
    <x v="11"/>
    <s v="Saturday"/>
    <n v="1"/>
  </r>
  <r>
    <x v="683"/>
    <d v="2024-03-16T00:00:00"/>
    <x v="2"/>
    <x v="2"/>
    <n v="75"/>
    <n v="70"/>
    <n v="8"/>
    <x v="1"/>
    <x v="2"/>
    <x v="0"/>
    <x v="2"/>
    <x v="2"/>
    <x v="1"/>
    <x v="1"/>
    <x v="0"/>
    <x v="0"/>
    <n v="0"/>
    <s v="Acceptable"/>
    <s v="3 Days"/>
    <x v="2"/>
    <s v="Saturday"/>
    <n v="1"/>
  </r>
  <r>
    <x v="684"/>
    <d v="2024-02-06T00:00:00"/>
    <x v="1"/>
    <x v="3"/>
    <n v="114"/>
    <n v="16"/>
    <n v="6"/>
    <x v="0"/>
    <x v="0"/>
    <x v="0"/>
    <x v="3"/>
    <x v="3"/>
    <x v="0"/>
    <x v="1"/>
    <x v="0"/>
    <x v="0"/>
    <n v="1"/>
    <s v="Acceptable"/>
    <s v="1 Day"/>
    <x v="9"/>
    <s v="Tuesday"/>
    <n v="2"/>
  </r>
  <r>
    <x v="685"/>
    <d v="2024-02-08T00:00:00"/>
    <x v="1"/>
    <x v="3"/>
    <n v="200"/>
    <n v="63"/>
    <n v="2.6"/>
    <x v="0"/>
    <x v="0"/>
    <x v="0"/>
    <x v="3"/>
    <x v="3"/>
    <x v="1"/>
    <x v="1"/>
    <x v="3"/>
    <x v="0"/>
    <n v="1"/>
    <s v="Slow"/>
    <s v="3 Days"/>
    <x v="9"/>
    <s v="Thursday"/>
    <n v="2"/>
  </r>
  <r>
    <x v="686"/>
    <d v="2024-11-07T00:00:00"/>
    <x v="1"/>
    <x v="3"/>
    <n v="178"/>
    <n v="29"/>
    <n v="8.3000000000000007"/>
    <x v="0"/>
    <x v="0"/>
    <x v="0"/>
    <x v="3"/>
    <x v="3"/>
    <x v="1"/>
    <x v="1"/>
    <x v="2"/>
    <x v="0"/>
    <n v="1"/>
    <s v="Slow"/>
    <s v="2 Days"/>
    <x v="6"/>
    <s v="Thursday"/>
    <n v="2"/>
  </r>
  <r>
    <x v="687"/>
    <d v="2024-03-24T00:00:00"/>
    <x v="4"/>
    <x v="1"/>
    <n v="182"/>
    <n v="16"/>
    <n v="6.5"/>
    <x v="1"/>
    <x v="0"/>
    <x v="1"/>
    <x v="1"/>
    <x v="1"/>
    <x v="0"/>
    <x v="1"/>
    <x v="0"/>
    <x v="1"/>
    <n v="0"/>
    <s v="Slow"/>
    <s v="1 Day"/>
    <x v="2"/>
    <s v="Sunday"/>
    <n v="3"/>
  </r>
  <r>
    <x v="688"/>
    <d v="2024-07-30T00:00:00"/>
    <x v="2"/>
    <x v="0"/>
    <n v="30"/>
    <n v="63"/>
    <n v="9.4"/>
    <x v="1"/>
    <x v="1"/>
    <x v="2"/>
    <x v="0"/>
    <x v="0"/>
    <x v="0"/>
    <x v="0"/>
    <x v="2"/>
    <x v="2"/>
    <n v="0"/>
    <s v="Very Fast"/>
    <s v="3 Days"/>
    <x v="10"/>
    <s v="Tuesday"/>
    <n v="4"/>
  </r>
  <r>
    <x v="689"/>
    <d v="2024-11-08T00:00:00"/>
    <x v="0"/>
    <x v="3"/>
    <n v="163"/>
    <n v="14"/>
    <n v="7.2"/>
    <x v="1"/>
    <x v="0"/>
    <x v="0"/>
    <x v="3"/>
    <x v="3"/>
    <x v="0"/>
    <x v="1"/>
    <x v="0"/>
    <x v="0"/>
    <n v="0"/>
    <s v="Slow"/>
    <s v="1 Day"/>
    <x v="6"/>
    <s v="Friday"/>
    <n v="2"/>
  </r>
  <r>
    <x v="690"/>
    <d v="2024-08-03T00:00:00"/>
    <x v="0"/>
    <x v="3"/>
    <n v="38"/>
    <n v="7"/>
    <n v="2.5"/>
    <x v="0"/>
    <x v="2"/>
    <x v="0"/>
    <x v="3"/>
    <x v="3"/>
    <x v="0"/>
    <x v="0"/>
    <x v="3"/>
    <x v="0"/>
    <n v="1"/>
    <s v="Acceptable"/>
    <s v="Same Day"/>
    <x v="0"/>
    <s v="Saturday"/>
    <n v="2"/>
  </r>
  <r>
    <x v="691"/>
    <d v="2024-12-02T00:00:00"/>
    <x v="1"/>
    <x v="3"/>
    <n v="17"/>
    <n v="26"/>
    <n v="3.8"/>
    <x v="1"/>
    <x v="0"/>
    <x v="1"/>
    <x v="3"/>
    <x v="3"/>
    <x v="1"/>
    <x v="0"/>
    <x v="3"/>
    <x v="1"/>
    <n v="0"/>
    <s v="Very Fast"/>
    <s v="2 Days"/>
    <x v="11"/>
    <s v="Monday"/>
    <n v="2"/>
  </r>
  <r>
    <x v="692"/>
    <d v="2024-01-04T00:00:00"/>
    <x v="3"/>
    <x v="3"/>
    <n v="43"/>
    <n v="39"/>
    <n v="5.3"/>
    <x v="0"/>
    <x v="2"/>
    <x v="0"/>
    <x v="3"/>
    <x v="3"/>
    <x v="1"/>
    <x v="0"/>
    <x v="0"/>
    <x v="0"/>
    <n v="1"/>
    <s v="Acceptable"/>
    <s v="2 Days"/>
    <x v="8"/>
    <s v="Thursday"/>
    <n v="2"/>
  </r>
  <r>
    <x v="693"/>
    <d v="2024-01-06T00:00:00"/>
    <x v="1"/>
    <x v="1"/>
    <n v="139"/>
    <n v="48"/>
    <n v="0.5"/>
    <x v="1"/>
    <x v="0"/>
    <x v="0"/>
    <x v="1"/>
    <x v="1"/>
    <x v="0"/>
    <x v="1"/>
    <x v="1"/>
    <x v="0"/>
    <n v="0"/>
    <s v="Slow"/>
    <s v="2 Days"/>
    <x v="8"/>
    <s v="Saturday"/>
    <n v="3"/>
  </r>
  <r>
    <x v="694"/>
    <d v="2024-08-13T00:00:00"/>
    <x v="2"/>
    <x v="3"/>
    <n v="72"/>
    <n v="12"/>
    <n v="1.5"/>
    <x v="0"/>
    <x v="2"/>
    <x v="0"/>
    <x v="3"/>
    <x v="3"/>
    <x v="0"/>
    <x v="1"/>
    <x v="1"/>
    <x v="0"/>
    <n v="1"/>
    <s v="Acceptable"/>
    <s v="1 Day"/>
    <x v="0"/>
    <s v="Tuesday"/>
    <n v="2"/>
  </r>
  <r>
    <x v="695"/>
    <d v="2024-06-09T00:00:00"/>
    <x v="2"/>
    <x v="1"/>
    <n v="52"/>
    <n v="64"/>
    <n v="2.1"/>
    <x v="0"/>
    <x v="1"/>
    <x v="0"/>
    <x v="1"/>
    <x v="1"/>
    <x v="1"/>
    <x v="0"/>
    <x v="3"/>
    <x v="0"/>
    <n v="1"/>
    <s v="Acceptable"/>
    <s v="3 Days"/>
    <x v="4"/>
    <s v="Sunday"/>
    <n v="3"/>
  </r>
  <r>
    <x v="696"/>
    <d v="2024-10-05T00:00:00"/>
    <x v="3"/>
    <x v="2"/>
    <n v="51"/>
    <n v="72"/>
    <n v="7.8"/>
    <x v="0"/>
    <x v="0"/>
    <x v="0"/>
    <x v="2"/>
    <x v="2"/>
    <x v="1"/>
    <x v="1"/>
    <x v="0"/>
    <x v="0"/>
    <n v="1"/>
    <s v="Acceptable"/>
    <s v="3 Days"/>
    <x v="7"/>
    <s v="Saturday"/>
    <n v="1"/>
  </r>
  <r>
    <x v="697"/>
    <d v="2024-10-01T00:00:00"/>
    <x v="1"/>
    <x v="2"/>
    <n v="43"/>
    <n v="32"/>
    <n v="7.6"/>
    <x v="0"/>
    <x v="2"/>
    <x v="0"/>
    <x v="2"/>
    <x v="2"/>
    <x v="1"/>
    <x v="1"/>
    <x v="0"/>
    <x v="0"/>
    <n v="1"/>
    <s v="Acceptable"/>
    <s v="2 Days"/>
    <x v="7"/>
    <s v="Tuesday"/>
    <n v="1"/>
  </r>
  <r>
    <x v="698"/>
    <d v="2024-07-03T00:00:00"/>
    <x v="3"/>
    <x v="3"/>
    <n v="104"/>
    <n v="61"/>
    <n v="5.0999999999999996"/>
    <x v="1"/>
    <x v="2"/>
    <x v="0"/>
    <x v="3"/>
    <x v="3"/>
    <x v="1"/>
    <x v="1"/>
    <x v="0"/>
    <x v="0"/>
    <n v="0"/>
    <s v="Acceptable"/>
    <s v="3 Days"/>
    <x v="10"/>
    <s v="Wednesday"/>
    <n v="2"/>
  </r>
  <r>
    <x v="699"/>
    <d v="2024-03-09T00:00:00"/>
    <x v="0"/>
    <x v="2"/>
    <n v="85"/>
    <n v="47"/>
    <n v="7.3"/>
    <x v="0"/>
    <x v="0"/>
    <x v="0"/>
    <x v="2"/>
    <x v="2"/>
    <x v="1"/>
    <x v="1"/>
    <x v="0"/>
    <x v="0"/>
    <n v="1"/>
    <s v="Acceptable"/>
    <s v="2 Days"/>
    <x v="2"/>
    <s v="Saturday"/>
    <n v="1"/>
  </r>
  <r>
    <x v="700"/>
    <d v="2024-01-08T00:00:00"/>
    <x v="0"/>
    <x v="3"/>
    <n v="217"/>
    <n v="46"/>
    <n v="2.6"/>
    <x v="1"/>
    <x v="0"/>
    <x v="0"/>
    <x v="3"/>
    <x v="3"/>
    <x v="1"/>
    <x v="1"/>
    <x v="3"/>
    <x v="0"/>
    <n v="0"/>
    <s v="Slow"/>
    <s v="2 Days"/>
    <x v="8"/>
    <s v="Monday"/>
    <n v="2"/>
  </r>
  <r>
    <x v="701"/>
    <d v="2024-12-25T00:00:00"/>
    <x v="3"/>
    <x v="1"/>
    <n v="104"/>
    <n v="71"/>
    <n v="9"/>
    <x v="1"/>
    <x v="2"/>
    <x v="1"/>
    <x v="1"/>
    <x v="1"/>
    <x v="1"/>
    <x v="0"/>
    <x v="2"/>
    <x v="1"/>
    <n v="0"/>
    <s v="Acceptable"/>
    <s v="3 Days"/>
    <x v="11"/>
    <s v="Wednesday"/>
    <n v="3"/>
  </r>
  <r>
    <x v="702"/>
    <d v="2024-04-07T00:00:00"/>
    <x v="1"/>
    <x v="2"/>
    <n v="147"/>
    <n v="28"/>
    <n v="4.5"/>
    <x v="0"/>
    <x v="0"/>
    <x v="0"/>
    <x v="2"/>
    <x v="2"/>
    <x v="1"/>
    <x v="1"/>
    <x v="3"/>
    <x v="0"/>
    <n v="1"/>
    <s v="Slow"/>
    <s v="2 Days"/>
    <x v="3"/>
    <s v="Sunday"/>
    <n v="1"/>
  </r>
  <r>
    <x v="703"/>
    <d v="2024-09-29T00:00:00"/>
    <x v="1"/>
    <x v="0"/>
    <n v="65"/>
    <n v="2"/>
    <n v="6.5"/>
    <x v="1"/>
    <x v="1"/>
    <x v="2"/>
    <x v="0"/>
    <x v="0"/>
    <x v="0"/>
    <x v="0"/>
    <x v="0"/>
    <x v="2"/>
    <n v="0"/>
    <s v="Acceptable"/>
    <s v="Same Day"/>
    <x v="5"/>
    <s v="Sunday"/>
    <n v="4"/>
  </r>
  <r>
    <x v="704"/>
    <d v="2024-07-19T00:00:00"/>
    <x v="2"/>
    <x v="3"/>
    <n v="233"/>
    <n v="5"/>
    <n v="7.6"/>
    <x v="1"/>
    <x v="0"/>
    <x v="1"/>
    <x v="3"/>
    <x v="3"/>
    <x v="0"/>
    <x v="1"/>
    <x v="0"/>
    <x v="1"/>
    <n v="0"/>
    <s v="Slow"/>
    <s v="Same Day"/>
    <x v="10"/>
    <s v="Friday"/>
    <n v="2"/>
  </r>
  <r>
    <x v="705"/>
    <d v="2024-10-04T00:00:00"/>
    <x v="3"/>
    <x v="3"/>
    <n v="192"/>
    <n v="9"/>
    <n v="0.6"/>
    <x v="1"/>
    <x v="0"/>
    <x v="0"/>
    <x v="3"/>
    <x v="3"/>
    <x v="0"/>
    <x v="1"/>
    <x v="1"/>
    <x v="0"/>
    <n v="0"/>
    <s v="Slow"/>
    <s v="1 Day"/>
    <x v="7"/>
    <s v="Friday"/>
    <n v="2"/>
  </r>
  <r>
    <x v="706"/>
    <d v="2024-05-29T00:00:00"/>
    <x v="2"/>
    <x v="3"/>
    <n v="18"/>
    <n v="16"/>
    <n v="1.6"/>
    <x v="1"/>
    <x v="1"/>
    <x v="1"/>
    <x v="3"/>
    <x v="3"/>
    <x v="0"/>
    <x v="0"/>
    <x v="1"/>
    <x v="1"/>
    <n v="0"/>
    <s v="Very Fast"/>
    <s v="1 Day"/>
    <x v="1"/>
    <s v="Wednesday"/>
    <n v="2"/>
  </r>
  <r>
    <x v="707"/>
    <d v="2024-06-10T00:00:00"/>
    <x v="2"/>
    <x v="0"/>
    <n v="45"/>
    <n v="9"/>
    <n v="4"/>
    <x v="0"/>
    <x v="1"/>
    <x v="0"/>
    <x v="0"/>
    <x v="0"/>
    <x v="0"/>
    <x v="0"/>
    <x v="3"/>
    <x v="0"/>
    <n v="1"/>
    <s v="Acceptable"/>
    <s v="1 Day"/>
    <x v="4"/>
    <s v="Monday"/>
    <n v="4"/>
  </r>
  <r>
    <x v="708"/>
    <d v="2024-08-21T00:00:00"/>
    <x v="3"/>
    <x v="2"/>
    <n v="21"/>
    <n v="34"/>
    <n v="9.9"/>
    <x v="1"/>
    <x v="1"/>
    <x v="1"/>
    <x v="2"/>
    <x v="2"/>
    <x v="1"/>
    <x v="0"/>
    <x v="2"/>
    <x v="1"/>
    <n v="0"/>
    <s v="Very Fast"/>
    <s v="2 Days"/>
    <x v="0"/>
    <s v="Wednesday"/>
    <n v="1"/>
  </r>
  <r>
    <x v="709"/>
    <d v="2024-11-22T00:00:00"/>
    <x v="2"/>
    <x v="3"/>
    <n v="183"/>
    <n v="9"/>
    <n v="9"/>
    <x v="0"/>
    <x v="2"/>
    <x v="0"/>
    <x v="3"/>
    <x v="3"/>
    <x v="0"/>
    <x v="1"/>
    <x v="2"/>
    <x v="0"/>
    <n v="1"/>
    <s v="Slow"/>
    <s v="1 Day"/>
    <x v="6"/>
    <s v="Friday"/>
    <n v="2"/>
  </r>
  <r>
    <x v="710"/>
    <d v="2024-07-04T00:00:00"/>
    <x v="3"/>
    <x v="3"/>
    <n v="23"/>
    <n v="7"/>
    <n v="6"/>
    <x v="0"/>
    <x v="0"/>
    <x v="1"/>
    <x v="3"/>
    <x v="3"/>
    <x v="0"/>
    <x v="0"/>
    <x v="0"/>
    <x v="1"/>
    <n v="1"/>
    <s v="Very Fast"/>
    <s v="Same Day"/>
    <x v="10"/>
    <s v="Thursday"/>
    <n v="2"/>
  </r>
  <r>
    <x v="711"/>
    <d v="2024-05-01T00:00:00"/>
    <x v="2"/>
    <x v="3"/>
    <n v="143"/>
    <n v="68"/>
    <n v="5"/>
    <x v="0"/>
    <x v="1"/>
    <x v="0"/>
    <x v="3"/>
    <x v="3"/>
    <x v="1"/>
    <x v="1"/>
    <x v="3"/>
    <x v="0"/>
    <n v="1"/>
    <s v="Slow"/>
    <s v="3 Days"/>
    <x v="1"/>
    <s v="Wednesday"/>
    <n v="2"/>
  </r>
  <r>
    <x v="712"/>
    <d v="2024-10-25T00:00:00"/>
    <x v="1"/>
    <x v="3"/>
    <n v="82"/>
    <n v="67"/>
    <n v="9.8000000000000007"/>
    <x v="0"/>
    <x v="2"/>
    <x v="0"/>
    <x v="3"/>
    <x v="3"/>
    <x v="1"/>
    <x v="1"/>
    <x v="2"/>
    <x v="0"/>
    <n v="1"/>
    <s v="Acceptable"/>
    <s v="3 Days"/>
    <x v="7"/>
    <s v="Friday"/>
    <n v="2"/>
  </r>
  <r>
    <x v="713"/>
    <d v="2024-06-12T00:00:00"/>
    <x v="0"/>
    <x v="0"/>
    <n v="172"/>
    <n v="63"/>
    <n v="6.2"/>
    <x v="0"/>
    <x v="2"/>
    <x v="0"/>
    <x v="0"/>
    <x v="0"/>
    <x v="0"/>
    <x v="0"/>
    <x v="0"/>
    <x v="0"/>
    <n v="1"/>
    <s v="Slow"/>
    <s v="3 Days"/>
    <x v="4"/>
    <s v="Wednesday"/>
    <n v="4"/>
  </r>
  <r>
    <x v="714"/>
    <d v="2024-12-22T00:00:00"/>
    <x v="0"/>
    <x v="3"/>
    <n v="199"/>
    <n v="56"/>
    <n v="3.2"/>
    <x v="0"/>
    <x v="0"/>
    <x v="0"/>
    <x v="3"/>
    <x v="3"/>
    <x v="1"/>
    <x v="1"/>
    <x v="3"/>
    <x v="0"/>
    <n v="1"/>
    <s v="Slow"/>
    <s v="3 Days"/>
    <x v="11"/>
    <s v="Sunday"/>
    <n v="2"/>
  </r>
  <r>
    <x v="715"/>
    <d v="2024-10-22T00:00:00"/>
    <x v="1"/>
    <x v="2"/>
    <n v="134"/>
    <n v="34"/>
    <n v="6.8"/>
    <x v="0"/>
    <x v="2"/>
    <x v="0"/>
    <x v="2"/>
    <x v="2"/>
    <x v="1"/>
    <x v="1"/>
    <x v="0"/>
    <x v="0"/>
    <n v="1"/>
    <s v="Slow"/>
    <s v="2 Days"/>
    <x v="7"/>
    <s v="Tuesday"/>
    <n v="1"/>
  </r>
  <r>
    <x v="716"/>
    <d v="2024-10-29T00:00:00"/>
    <x v="1"/>
    <x v="2"/>
    <n v="155"/>
    <n v="28"/>
    <n v="5.7"/>
    <x v="0"/>
    <x v="0"/>
    <x v="0"/>
    <x v="2"/>
    <x v="2"/>
    <x v="1"/>
    <x v="1"/>
    <x v="0"/>
    <x v="0"/>
    <n v="1"/>
    <s v="Slow"/>
    <s v="2 Days"/>
    <x v="7"/>
    <s v="Tuesday"/>
    <n v="1"/>
  </r>
  <r>
    <x v="717"/>
    <d v="2024-03-30T00:00:00"/>
    <x v="1"/>
    <x v="1"/>
    <n v="88"/>
    <n v="69"/>
    <n v="5.8"/>
    <x v="0"/>
    <x v="2"/>
    <x v="0"/>
    <x v="1"/>
    <x v="1"/>
    <x v="1"/>
    <x v="0"/>
    <x v="0"/>
    <x v="0"/>
    <n v="1"/>
    <s v="Acceptable"/>
    <s v="3 Days"/>
    <x v="2"/>
    <s v="Saturday"/>
    <n v="3"/>
  </r>
  <r>
    <x v="718"/>
    <d v="2024-03-27T00:00:00"/>
    <x v="0"/>
    <x v="1"/>
    <n v="26"/>
    <n v="19"/>
    <n v="8.4"/>
    <x v="1"/>
    <x v="1"/>
    <x v="2"/>
    <x v="1"/>
    <x v="1"/>
    <x v="0"/>
    <x v="0"/>
    <x v="2"/>
    <x v="2"/>
    <n v="0"/>
    <s v="Very Fast"/>
    <s v="1 Day"/>
    <x v="2"/>
    <s v="Wednesday"/>
    <n v="3"/>
  </r>
  <r>
    <x v="719"/>
    <d v="2024-07-10T00:00:00"/>
    <x v="1"/>
    <x v="2"/>
    <n v="72"/>
    <n v="31"/>
    <n v="3.2"/>
    <x v="1"/>
    <x v="0"/>
    <x v="0"/>
    <x v="2"/>
    <x v="2"/>
    <x v="1"/>
    <x v="1"/>
    <x v="3"/>
    <x v="0"/>
    <n v="0"/>
    <s v="Acceptable"/>
    <s v="2 Days"/>
    <x v="10"/>
    <s v="Wednesday"/>
    <n v="1"/>
  </r>
  <r>
    <x v="720"/>
    <d v="2024-07-04T00:00:00"/>
    <x v="2"/>
    <x v="0"/>
    <n v="201"/>
    <n v="50"/>
    <n v="1"/>
    <x v="0"/>
    <x v="1"/>
    <x v="0"/>
    <x v="0"/>
    <x v="0"/>
    <x v="0"/>
    <x v="0"/>
    <x v="1"/>
    <x v="0"/>
    <n v="1"/>
    <s v="Slow"/>
    <s v="3 Days"/>
    <x v="10"/>
    <s v="Thursday"/>
    <n v="4"/>
  </r>
  <r>
    <x v="721"/>
    <d v="2024-01-03T00:00:00"/>
    <x v="4"/>
    <x v="1"/>
    <n v="155"/>
    <n v="17"/>
    <n v="8"/>
    <x v="0"/>
    <x v="0"/>
    <x v="0"/>
    <x v="1"/>
    <x v="1"/>
    <x v="0"/>
    <x v="1"/>
    <x v="0"/>
    <x v="0"/>
    <n v="1"/>
    <s v="Slow"/>
    <s v="1 Day"/>
    <x v="8"/>
    <s v="Wednesday"/>
    <n v="3"/>
  </r>
  <r>
    <x v="722"/>
    <d v="2024-07-23T00:00:00"/>
    <x v="4"/>
    <x v="1"/>
    <n v="74"/>
    <n v="61"/>
    <n v="5.4"/>
    <x v="1"/>
    <x v="0"/>
    <x v="1"/>
    <x v="1"/>
    <x v="1"/>
    <x v="1"/>
    <x v="0"/>
    <x v="0"/>
    <x v="1"/>
    <n v="0"/>
    <s v="Acceptable"/>
    <s v="3 Days"/>
    <x v="10"/>
    <s v="Tuesday"/>
    <n v="3"/>
  </r>
  <r>
    <x v="723"/>
    <d v="2024-12-10T00:00:00"/>
    <x v="1"/>
    <x v="0"/>
    <n v="76"/>
    <n v="8"/>
    <n v="6.5"/>
    <x v="0"/>
    <x v="1"/>
    <x v="0"/>
    <x v="0"/>
    <x v="0"/>
    <x v="0"/>
    <x v="0"/>
    <x v="0"/>
    <x v="0"/>
    <n v="1"/>
    <s v="Acceptable"/>
    <s v="Same Day"/>
    <x v="11"/>
    <s v="Tuesday"/>
    <n v="4"/>
  </r>
  <r>
    <x v="724"/>
    <d v="2024-12-09T00:00:00"/>
    <x v="3"/>
    <x v="2"/>
    <n v="31"/>
    <n v="67"/>
    <n v="6.6"/>
    <x v="1"/>
    <x v="0"/>
    <x v="0"/>
    <x v="2"/>
    <x v="2"/>
    <x v="1"/>
    <x v="1"/>
    <x v="0"/>
    <x v="0"/>
    <n v="0"/>
    <s v="Acceptable"/>
    <s v="3 Days"/>
    <x v="11"/>
    <s v="Monday"/>
    <n v="1"/>
  </r>
  <r>
    <x v="725"/>
    <d v="2024-10-29T00:00:00"/>
    <x v="3"/>
    <x v="1"/>
    <n v="97"/>
    <n v="19"/>
    <n v="3.5"/>
    <x v="1"/>
    <x v="1"/>
    <x v="0"/>
    <x v="1"/>
    <x v="1"/>
    <x v="0"/>
    <x v="0"/>
    <x v="3"/>
    <x v="0"/>
    <n v="0"/>
    <s v="Acceptable"/>
    <s v="1 Day"/>
    <x v="7"/>
    <s v="Tuesday"/>
    <n v="3"/>
  </r>
  <r>
    <x v="726"/>
    <d v="2024-02-19T00:00:00"/>
    <x v="4"/>
    <x v="0"/>
    <n v="127"/>
    <n v="48"/>
    <n v="4.5999999999999996"/>
    <x v="1"/>
    <x v="0"/>
    <x v="0"/>
    <x v="0"/>
    <x v="0"/>
    <x v="0"/>
    <x v="0"/>
    <x v="3"/>
    <x v="0"/>
    <n v="0"/>
    <s v="Slow"/>
    <s v="2 Days"/>
    <x v="9"/>
    <s v="Monday"/>
    <n v="4"/>
  </r>
  <r>
    <x v="727"/>
    <d v="2024-03-23T00:00:00"/>
    <x v="1"/>
    <x v="1"/>
    <n v="103"/>
    <n v="44"/>
    <n v="9.3000000000000007"/>
    <x v="0"/>
    <x v="2"/>
    <x v="0"/>
    <x v="1"/>
    <x v="1"/>
    <x v="0"/>
    <x v="0"/>
    <x v="2"/>
    <x v="0"/>
    <n v="1"/>
    <s v="Acceptable"/>
    <s v="2 Days"/>
    <x v="2"/>
    <s v="Saturday"/>
    <n v="3"/>
  </r>
  <r>
    <x v="728"/>
    <d v="2024-11-27T00:00:00"/>
    <x v="0"/>
    <x v="3"/>
    <n v="129"/>
    <n v="30"/>
    <n v="7.4"/>
    <x v="0"/>
    <x v="1"/>
    <x v="0"/>
    <x v="3"/>
    <x v="3"/>
    <x v="1"/>
    <x v="1"/>
    <x v="0"/>
    <x v="0"/>
    <n v="1"/>
    <s v="Slow"/>
    <s v="2 Days"/>
    <x v="6"/>
    <s v="Wednesday"/>
    <n v="2"/>
  </r>
  <r>
    <x v="729"/>
    <d v="2024-09-24T00:00:00"/>
    <x v="2"/>
    <x v="1"/>
    <n v="123"/>
    <n v="8"/>
    <n v="7.5"/>
    <x v="0"/>
    <x v="0"/>
    <x v="0"/>
    <x v="1"/>
    <x v="1"/>
    <x v="0"/>
    <x v="1"/>
    <x v="0"/>
    <x v="0"/>
    <n v="1"/>
    <s v="Slow"/>
    <s v="Same Day"/>
    <x v="5"/>
    <s v="Tuesday"/>
    <n v="3"/>
  </r>
  <r>
    <x v="730"/>
    <d v="2024-02-01T00:00:00"/>
    <x v="3"/>
    <x v="2"/>
    <n v="216"/>
    <n v="48"/>
    <n v="2"/>
    <x v="0"/>
    <x v="1"/>
    <x v="0"/>
    <x v="2"/>
    <x v="2"/>
    <x v="1"/>
    <x v="1"/>
    <x v="1"/>
    <x v="0"/>
    <n v="1"/>
    <s v="Slow"/>
    <s v="2 Days"/>
    <x v="9"/>
    <s v="Thursday"/>
    <n v="1"/>
  </r>
  <r>
    <x v="731"/>
    <d v="2024-05-20T00:00:00"/>
    <x v="3"/>
    <x v="0"/>
    <n v="115"/>
    <n v="8"/>
    <n v="3.1"/>
    <x v="1"/>
    <x v="1"/>
    <x v="0"/>
    <x v="0"/>
    <x v="0"/>
    <x v="0"/>
    <x v="0"/>
    <x v="3"/>
    <x v="0"/>
    <n v="0"/>
    <s v="Acceptable"/>
    <s v="Same Day"/>
    <x v="1"/>
    <s v="Monday"/>
    <n v="4"/>
  </r>
  <r>
    <x v="732"/>
    <d v="2024-05-21T00:00:00"/>
    <x v="1"/>
    <x v="3"/>
    <n v="27"/>
    <n v="72"/>
    <n v="8.8000000000000007"/>
    <x v="0"/>
    <x v="2"/>
    <x v="1"/>
    <x v="3"/>
    <x v="3"/>
    <x v="1"/>
    <x v="0"/>
    <x v="2"/>
    <x v="1"/>
    <n v="1"/>
    <s v="Very Fast"/>
    <s v="3 Days"/>
    <x v="1"/>
    <s v="Tuesday"/>
    <n v="2"/>
  </r>
  <r>
    <x v="733"/>
    <d v="2024-01-22T00:00:00"/>
    <x v="4"/>
    <x v="2"/>
    <n v="98"/>
    <n v="6"/>
    <n v="6.1"/>
    <x v="1"/>
    <x v="2"/>
    <x v="1"/>
    <x v="2"/>
    <x v="2"/>
    <x v="0"/>
    <x v="1"/>
    <x v="0"/>
    <x v="1"/>
    <n v="0"/>
    <s v="Acceptable"/>
    <s v="Same Day"/>
    <x v="8"/>
    <s v="Monday"/>
    <n v="1"/>
  </r>
  <r>
    <x v="734"/>
    <d v="2024-03-06T00:00:00"/>
    <x v="1"/>
    <x v="3"/>
    <n v="133"/>
    <n v="40"/>
    <n v="8"/>
    <x v="1"/>
    <x v="1"/>
    <x v="0"/>
    <x v="3"/>
    <x v="3"/>
    <x v="1"/>
    <x v="1"/>
    <x v="0"/>
    <x v="0"/>
    <n v="0"/>
    <s v="Slow"/>
    <s v="2 Days"/>
    <x v="2"/>
    <s v="Wednesday"/>
    <n v="2"/>
  </r>
  <r>
    <x v="735"/>
    <d v="2024-12-01T00:00:00"/>
    <x v="4"/>
    <x v="3"/>
    <n v="117"/>
    <n v="33"/>
    <n v="3.5"/>
    <x v="1"/>
    <x v="1"/>
    <x v="0"/>
    <x v="3"/>
    <x v="3"/>
    <x v="1"/>
    <x v="1"/>
    <x v="3"/>
    <x v="0"/>
    <n v="0"/>
    <s v="Acceptable"/>
    <s v="2 Days"/>
    <x v="11"/>
    <s v="Sunday"/>
    <n v="2"/>
  </r>
  <r>
    <x v="736"/>
    <d v="2024-02-10T00:00:00"/>
    <x v="1"/>
    <x v="1"/>
    <n v="224"/>
    <n v="30"/>
    <n v="1"/>
    <x v="0"/>
    <x v="1"/>
    <x v="0"/>
    <x v="1"/>
    <x v="1"/>
    <x v="0"/>
    <x v="1"/>
    <x v="1"/>
    <x v="0"/>
    <n v="1"/>
    <s v="Slow"/>
    <s v="2 Days"/>
    <x v="9"/>
    <s v="Saturday"/>
    <n v="3"/>
  </r>
  <r>
    <x v="737"/>
    <d v="2024-10-17T00:00:00"/>
    <x v="1"/>
    <x v="3"/>
    <n v="139"/>
    <n v="44"/>
    <n v="6.2"/>
    <x v="1"/>
    <x v="0"/>
    <x v="0"/>
    <x v="3"/>
    <x v="3"/>
    <x v="1"/>
    <x v="1"/>
    <x v="0"/>
    <x v="0"/>
    <n v="0"/>
    <s v="Slow"/>
    <s v="2 Days"/>
    <x v="7"/>
    <s v="Thursday"/>
    <n v="2"/>
  </r>
  <r>
    <x v="738"/>
    <d v="2024-06-28T00:00:00"/>
    <x v="3"/>
    <x v="3"/>
    <n v="147"/>
    <n v="45"/>
    <n v="4.5"/>
    <x v="1"/>
    <x v="0"/>
    <x v="0"/>
    <x v="3"/>
    <x v="3"/>
    <x v="1"/>
    <x v="1"/>
    <x v="3"/>
    <x v="0"/>
    <n v="0"/>
    <s v="Slow"/>
    <s v="2 Days"/>
    <x v="4"/>
    <s v="Friday"/>
    <n v="2"/>
  </r>
  <r>
    <x v="739"/>
    <d v="2024-04-20T00:00:00"/>
    <x v="1"/>
    <x v="1"/>
    <n v="46"/>
    <n v="55"/>
    <n v="2.8"/>
    <x v="0"/>
    <x v="0"/>
    <x v="0"/>
    <x v="1"/>
    <x v="1"/>
    <x v="1"/>
    <x v="0"/>
    <x v="3"/>
    <x v="0"/>
    <n v="1"/>
    <s v="Acceptable"/>
    <s v="3 Days"/>
    <x v="3"/>
    <s v="Saturday"/>
    <n v="3"/>
  </r>
  <r>
    <x v="740"/>
    <d v="2024-08-18T00:00:00"/>
    <x v="2"/>
    <x v="0"/>
    <n v="235"/>
    <n v="27"/>
    <n v="3.2"/>
    <x v="1"/>
    <x v="1"/>
    <x v="0"/>
    <x v="0"/>
    <x v="0"/>
    <x v="0"/>
    <x v="0"/>
    <x v="3"/>
    <x v="0"/>
    <n v="0"/>
    <s v="Slow"/>
    <s v="2 Days"/>
    <x v="0"/>
    <s v="Sunday"/>
    <n v="4"/>
  </r>
  <r>
    <x v="741"/>
    <d v="2024-01-15T00:00:00"/>
    <x v="3"/>
    <x v="1"/>
    <n v="18"/>
    <n v="39"/>
    <n v="8.8000000000000007"/>
    <x v="1"/>
    <x v="0"/>
    <x v="2"/>
    <x v="1"/>
    <x v="1"/>
    <x v="0"/>
    <x v="0"/>
    <x v="2"/>
    <x v="2"/>
    <n v="0"/>
    <s v="Very Fast"/>
    <s v="2 Days"/>
    <x v="8"/>
    <s v="Monday"/>
    <n v="3"/>
  </r>
  <r>
    <x v="742"/>
    <d v="2024-11-16T00:00:00"/>
    <x v="0"/>
    <x v="3"/>
    <n v="5"/>
    <n v="20"/>
    <n v="0.6"/>
    <x v="0"/>
    <x v="1"/>
    <x v="0"/>
    <x v="3"/>
    <x v="3"/>
    <x v="0"/>
    <x v="0"/>
    <x v="1"/>
    <x v="0"/>
    <n v="1"/>
    <s v="Very Fast"/>
    <s v="1 Day"/>
    <x v="6"/>
    <s v="Saturday"/>
    <n v="2"/>
  </r>
  <r>
    <x v="743"/>
    <d v="2024-05-15T00:00:00"/>
    <x v="1"/>
    <x v="1"/>
    <n v="72"/>
    <n v="66"/>
    <n v="10"/>
    <x v="1"/>
    <x v="1"/>
    <x v="1"/>
    <x v="1"/>
    <x v="1"/>
    <x v="1"/>
    <x v="0"/>
    <x v="2"/>
    <x v="1"/>
    <n v="0"/>
    <s v="Acceptable"/>
    <s v="3 Days"/>
    <x v="1"/>
    <s v="Wednesday"/>
    <n v="3"/>
  </r>
  <r>
    <x v="744"/>
    <d v="2024-10-19T00:00:00"/>
    <x v="4"/>
    <x v="1"/>
    <n v="171"/>
    <n v="55"/>
    <n v="6.3"/>
    <x v="1"/>
    <x v="1"/>
    <x v="1"/>
    <x v="1"/>
    <x v="1"/>
    <x v="1"/>
    <x v="1"/>
    <x v="0"/>
    <x v="1"/>
    <n v="0"/>
    <s v="Slow"/>
    <s v="3 Days"/>
    <x v="7"/>
    <s v="Saturday"/>
    <n v="3"/>
  </r>
  <r>
    <x v="745"/>
    <d v="2024-02-16T00:00:00"/>
    <x v="0"/>
    <x v="3"/>
    <n v="110"/>
    <n v="65"/>
    <n v="5"/>
    <x v="1"/>
    <x v="1"/>
    <x v="0"/>
    <x v="3"/>
    <x v="3"/>
    <x v="1"/>
    <x v="1"/>
    <x v="3"/>
    <x v="0"/>
    <n v="0"/>
    <s v="Acceptable"/>
    <s v="3 Days"/>
    <x v="9"/>
    <s v="Friday"/>
    <n v="2"/>
  </r>
  <r>
    <x v="746"/>
    <d v="2024-12-09T00:00:00"/>
    <x v="0"/>
    <x v="2"/>
    <n v="135"/>
    <n v="24"/>
    <n v="3.1"/>
    <x v="0"/>
    <x v="0"/>
    <x v="0"/>
    <x v="2"/>
    <x v="2"/>
    <x v="1"/>
    <x v="1"/>
    <x v="3"/>
    <x v="0"/>
    <n v="1"/>
    <s v="Slow"/>
    <s v="1 Day"/>
    <x v="11"/>
    <s v="Monday"/>
    <n v="1"/>
  </r>
  <r>
    <x v="747"/>
    <d v="2024-08-23T00:00:00"/>
    <x v="0"/>
    <x v="3"/>
    <n v="30"/>
    <n v="45"/>
    <n v="6.1"/>
    <x v="0"/>
    <x v="0"/>
    <x v="1"/>
    <x v="3"/>
    <x v="3"/>
    <x v="1"/>
    <x v="0"/>
    <x v="0"/>
    <x v="1"/>
    <n v="1"/>
    <s v="Very Fast"/>
    <s v="2 Days"/>
    <x v="0"/>
    <s v="Friday"/>
    <n v="2"/>
  </r>
  <r>
    <x v="748"/>
    <d v="2024-10-27T00:00:00"/>
    <x v="4"/>
    <x v="1"/>
    <n v="145"/>
    <n v="16"/>
    <n v="8.9"/>
    <x v="1"/>
    <x v="0"/>
    <x v="1"/>
    <x v="1"/>
    <x v="1"/>
    <x v="0"/>
    <x v="1"/>
    <x v="2"/>
    <x v="1"/>
    <n v="0"/>
    <s v="Slow"/>
    <s v="1 Day"/>
    <x v="7"/>
    <s v="Sunday"/>
    <n v="3"/>
  </r>
  <r>
    <x v="749"/>
    <d v="2024-08-03T00:00:00"/>
    <x v="3"/>
    <x v="2"/>
    <n v="38"/>
    <n v="71"/>
    <n v="1"/>
    <x v="1"/>
    <x v="1"/>
    <x v="0"/>
    <x v="2"/>
    <x v="2"/>
    <x v="1"/>
    <x v="1"/>
    <x v="1"/>
    <x v="0"/>
    <n v="0"/>
    <s v="Acceptable"/>
    <s v="3 Days"/>
    <x v="0"/>
    <s v="Saturday"/>
    <n v="1"/>
  </r>
  <r>
    <x v="750"/>
    <d v="2024-10-04T00:00:00"/>
    <x v="0"/>
    <x v="1"/>
    <n v="189"/>
    <n v="17"/>
    <n v="2.4"/>
    <x v="0"/>
    <x v="0"/>
    <x v="0"/>
    <x v="1"/>
    <x v="1"/>
    <x v="0"/>
    <x v="1"/>
    <x v="3"/>
    <x v="0"/>
    <n v="1"/>
    <s v="Slow"/>
    <s v="1 Day"/>
    <x v="7"/>
    <s v="Friday"/>
    <n v="3"/>
  </r>
  <r>
    <x v="751"/>
    <d v="2024-08-23T00:00:00"/>
    <x v="4"/>
    <x v="0"/>
    <n v="141"/>
    <n v="27"/>
    <n v="2.5"/>
    <x v="1"/>
    <x v="2"/>
    <x v="0"/>
    <x v="0"/>
    <x v="0"/>
    <x v="0"/>
    <x v="0"/>
    <x v="3"/>
    <x v="0"/>
    <n v="0"/>
    <s v="Slow"/>
    <s v="2 Days"/>
    <x v="0"/>
    <s v="Friday"/>
    <n v="4"/>
  </r>
  <r>
    <x v="752"/>
    <d v="2024-11-19T00:00:00"/>
    <x v="4"/>
    <x v="2"/>
    <n v="47"/>
    <n v="25"/>
    <n v="1.2"/>
    <x v="0"/>
    <x v="1"/>
    <x v="0"/>
    <x v="2"/>
    <x v="2"/>
    <x v="1"/>
    <x v="1"/>
    <x v="1"/>
    <x v="0"/>
    <n v="1"/>
    <s v="Acceptable"/>
    <s v="2 Days"/>
    <x v="6"/>
    <s v="Tuesday"/>
    <n v="1"/>
  </r>
  <r>
    <x v="753"/>
    <d v="2024-04-04T00:00:00"/>
    <x v="4"/>
    <x v="3"/>
    <n v="170"/>
    <n v="50"/>
    <n v="8.1999999999999993"/>
    <x v="0"/>
    <x v="0"/>
    <x v="0"/>
    <x v="3"/>
    <x v="3"/>
    <x v="1"/>
    <x v="1"/>
    <x v="2"/>
    <x v="0"/>
    <n v="1"/>
    <s v="Slow"/>
    <s v="3 Days"/>
    <x v="3"/>
    <s v="Thursday"/>
    <n v="2"/>
  </r>
  <r>
    <x v="754"/>
    <d v="2024-05-04T00:00:00"/>
    <x v="2"/>
    <x v="0"/>
    <n v="106"/>
    <n v="21"/>
    <n v="6.6"/>
    <x v="0"/>
    <x v="1"/>
    <x v="0"/>
    <x v="0"/>
    <x v="0"/>
    <x v="0"/>
    <x v="0"/>
    <x v="0"/>
    <x v="0"/>
    <n v="1"/>
    <s v="Acceptable"/>
    <s v="1 Day"/>
    <x v="1"/>
    <s v="Saturday"/>
    <n v="4"/>
  </r>
  <r>
    <x v="755"/>
    <d v="2024-03-19T00:00:00"/>
    <x v="1"/>
    <x v="0"/>
    <n v="48"/>
    <n v="71"/>
    <n v="4.5"/>
    <x v="0"/>
    <x v="1"/>
    <x v="0"/>
    <x v="0"/>
    <x v="0"/>
    <x v="0"/>
    <x v="0"/>
    <x v="3"/>
    <x v="0"/>
    <n v="1"/>
    <s v="Acceptable"/>
    <s v="3 Days"/>
    <x v="2"/>
    <s v="Tuesday"/>
    <n v="4"/>
  </r>
  <r>
    <x v="756"/>
    <d v="2024-01-21T00:00:00"/>
    <x v="0"/>
    <x v="0"/>
    <n v="167"/>
    <n v="68"/>
    <n v="1.4"/>
    <x v="0"/>
    <x v="2"/>
    <x v="0"/>
    <x v="0"/>
    <x v="0"/>
    <x v="0"/>
    <x v="0"/>
    <x v="1"/>
    <x v="0"/>
    <n v="1"/>
    <s v="Slow"/>
    <s v="3 Days"/>
    <x v="8"/>
    <s v="Sunday"/>
    <n v="4"/>
  </r>
  <r>
    <x v="757"/>
    <d v="2024-04-18T00:00:00"/>
    <x v="1"/>
    <x v="0"/>
    <n v="211"/>
    <n v="61"/>
    <n v="8.3000000000000007"/>
    <x v="0"/>
    <x v="1"/>
    <x v="0"/>
    <x v="0"/>
    <x v="0"/>
    <x v="0"/>
    <x v="0"/>
    <x v="2"/>
    <x v="0"/>
    <n v="1"/>
    <s v="Slow"/>
    <s v="3 Days"/>
    <x v="3"/>
    <s v="Thursday"/>
    <n v="4"/>
  </r>
  <r>
    <x v="758"/>
    <d v="2024-11-21T00:00:00"/>
    <x v="3"/>
    <x v="2"/>
    <n v="37"/>
    <n v="1"/>
    <n v="2.7"/>
    <x v="1"/>
    <x v="0"/>
    <x v="1"/>
    <x v="2"/>
    <x v="2"/>
    <x v="0"/>
    <x v="1"/>
    <x v="3"/>
    <x v="1"/>
    <n v="0"/>
    <s v="Acceptable"/>
    <s v="Same Day"/>
    <x v="6"/>
    <s v="Thursday"/>
    <n v="1"/>
  </r>
  <r>
    <x v="759"/>
    <d v="2024-07-11T00:00:00"/>
    <x v="4"/>
    <x v="1"/>
    <n v="39"/>
    <n v="19"/>
    <n v="3.7"/>
    <x v="1"/>
    <x v="0"/>
    <x v="0"/>
    <x v="1"/>
    <x v="1"/>
    <x v="0"/>
    <x v="0"/>
    <x v="3"/>
    <x v="0"/>
    <n v="0"/>
    <s v="Acceptable"/>
    <s v="1 Day"/>
    <x v="10"/>
    <s v="Thursday"/>
    <n v="3"/>
  </r>
  <r>
    <x v="760"/>
    <d v="2024-02-12T00:00:00"/>
    <x v="0"/>
    <x v="0"/>
    <n v="201"/>
    <n v="59"/>
    <n v="0.6"/>
    <x v="0"/>
    <x v="2"/>
    <x v="0"/>
    <x v="0"/>
    <x v="0"/>
    <x v="0"/>
    <x v="0"/>
    <x v="1"/>
    <x v="0"/>
    <n v="1"/>
    <s v="Slow"/>
    <s v="3 Days"/>
    <x v="9"/>
    <s v="Monday"/>
    <n v="4"/>
  </r>
  <r>
    <x v="761"/>
    <d v="2024-04-22T00:00:00"/>
    <x v="4"/>
    <x v="3"/>
    <n v="222"/>
    <n v="55"/>
    <n v="9.1"/>
    <x v="1"/>
    <x v="1"/>
    <x v="0"/>
    <x v="3"/>
    <x v="3"/>
    <x v="1"/>
    <x v="1"/>
    <x v="2"/>
    <x v="0"/>
    <n v="0"/>
    <s v="Slow"/>
    <s v="3 Days"/>
    <x v="3"/>
    <s v="Monday"/>
    <n v="2"/>
  </r>
  <r>
    <x v="762"/>
    <d v="2024-01-05T00:00:00"/>
    <x v="1"/>
    <x v="2"/>
    <n v="91"/>
    <n v="68"/>
    <n v="2.6"/>
    <x v="0"/>
    <x v="0"/>
    <x v="0"/>
    <x v="2"/>
    <x v="2"/>
    <x v="1"/>
    <x v="1"/>
    <x v="3"/>
    <x v="0"/>
    <n v="1"/>
    <s v="Acceptable"/>
    <s v="3 Days"/>
    <x v="8"/>
    <s v="Friday"/>
    <n v="1"/>
  </r>
  <r>
    <x v="763"/>
    <d v="2024-06-19T00:00:00"/>
    <x v="2"/>
    <x v="0"/>
    <n v="30"/>
    <n v="33"/>
    <n v="3"/>
    <x v="1"/>
    <x v="2"/>
    <x v="1"/>
    <x v="0"/>
    <x v="0"/>
    <x v="0"/>
    <x v="0"/>
    <x v="3"/>
    <x v="1"/>
    <n v="0"/>
    <s v="Very Fast"/>
    <s v="2 Days"/>
    <x v="4"/>
    <s v="Wednesday"/>
    <n v="4"/>
  </r>
  <r>
    <x v="764"/>
    <d v="2024-02-06T00:00:00"/>
    <x v="1"/>
    <x v="1"/>
    <n v="113"/>
    <n v="46"/>
    <n v="3.1"/>
    <x v="1"/>
    <x v="0"/>
    <x v="0"/>
    <x v="1"/>
    <x v="1"/>
    <x v="0"/>
    <x v="0"/>
    <x v="3"/>
    <x v="0"/>
    <n v="0"/>
    <s v="Acceptable"/>
    <s v="2 Days"/>
    <x v="9"/>
    <s v="Tuesday"/>
    <n v="3"/>
  </r>
  <r>
    <x v="765"/>
    <d v="2024-09-13T00:00:00"/>
    <x v="0"/>
    <x v="0"/>
    <n v="139"/>
    <n v="38"/>
    <n v="2.8"/>
    <x v="1"/>
    <x v="0"/>
    <x v="0"/>
    <x v="0"/>
    <x v="0"/>
    <x v="0"/>
    <x v="0"/>
    <x v="3"/>
    <x v="0"/>
    <n v="0"/>
    <s v="Slow"/>
    <s v="2 Days"/>
    <x v="5"/>
    <s v="Friday"/>
    <n v="4"/>
  </r>
  <r>
    <x v="766"/>
    <d v="2024-08-04T00:00:00"/>
    <x v="1"/>
    <x v="3"/>
    <n v="156"/>
    <n v="34"/>
    <n v="5.5"/>
    <x v="0"/>
    <x v="2"/>
    <x v="0"/>
    <x v="3"/>
    <x v="3"/>
    <x v="1"/>
    <x v="1"/>
    <x v="0"/>
    <x v="0"/>
    <n v="1"/>
    <s v="Slow"/>
    <s v="2 Days"/>
    <x v="0"/>
    <s v="Sunday"/>
    <n v="2"/>
  </r>
  <r>
    <x v="767"/>
    <d v="2024-12-13T00:00:00"/>
    <x v="3"/>
    <x v="3"/>
    <n v="63"/>
    <n v="2"/>
    <n v="0.8"/>
    <x v="1"/>
    <x v="2"/>
    <x v="1"/>
    <x v="3"/>
    <x v="3"/>
    <x v="0"/>
    <x v="1"/>
    <x v="1"/>
    <x v="1"/>
    <n v="0"/>
    <s v="Acceptable"/>
    <s v="Same Day"/>
    <x v="11"/>
    <s v="Friday"/>
    <n v="2"/>
  </r>
  <r>
    <x v="768"/>
    <d v="2024-05-28T00:00:00"/>
    <x v="1"/>
    <x v="0"/>
    <n v="196"/>
    <n v="41"/>
    <n v="6.2"/>
    <x v="0"/>
    <x v="0"/>
    <x v="0"/>
    <x v="0"/>
    <x v="0"/>
    <x v="0"/>
    <x v="0"/>
    <x v="0"/>
    <x v="0"/>
    <n v="1"/>
    <s v="Slow"/>
    <s v="2 Days"/>
    <x v="1"/>
    <s v="Tuesday"/>
    <n v="4"/>
  </r>
  <r>
    <x v="769"/>
    <d v="2024-03-07T00:00:00"/>
    <x v="3"/>
    <x v="2"/>
    <n v="220"/>
    <n v="32"/>
    <n v="8"/>
    <x v="1"/>
    <x v="2"/>
    <x v="0"/>
    <x v="2"/>
    <x v="2"/>
    <x v="1"/>
    <x v="1"/>
    <x v="0"/>
    <x v="0"/>
    <n v="0"/>
    <s v="Slow"/>
    <s v="2 Days"/>
    <x v="2"/>
    <s v="Thursday"/>
    <n v="1"/>
  </r>
  <r>
    <x v="770"/>
    <d v="2024-02-03T00:00:00"/>
    <x v="4"/>
    <x v="1"/>
    <n v="205"/>
    <n v="31"/>
    <n v="5.6"/>
    <x v="1"/>
    <x v="2"/>
    <x v="1"/>
    <x v="1"/>
    <x v="1"/>
    <x v="0"/>
    <x v="1"/>
    <x v="0"/>
    <x v="1"/>
    <n v="0"/>
    <s v="Slow"/>
    <s v="2 Days"/>
    <x v="9"/>
    <s v="Saturday"/>
    <n v="3"/>
  </r>
  <r>
    <x v="771"/>
    <d v="2024-03-22T00:00:00"/>
    <x v="1"/>
    <x v="1"/>
    <n v="11"/>
    <n v="68"/>
    <n v="9"/>
    <x v="0"/>
    <x v="1"/>
    <x v="1"/>
    <x v="1"/>
    <x v="1"/>
    <x v="1"/>
    <x v="0"/>
    <x v="2"/>
    <x v="1"/>
    <n v="1"/>
    <s v="Very Fast"/>
    <s v="3 Days"/>
    <x v="2"/>
    <s v="Friday"/>
    <n v="3"/>
  </r>
  <r>
    <x v="772"/>
    <d v="2024-09-12T00:00:00"/>
    <x v="0"/>
    <x v="2"/>
    <n v="110"/>
    <n v="27"/>
    <n v="6.7"/>
    <x v="1"/>
    <x v="2"/>
    <x v="0"/>
    <x v="2"/>
    <x v="2"/>
    <x v="1"/>
    <x v="1"/>
    <x v="0"/>
    <x v="0"/>
    <n v="0"/>
    <s v="Acceptable"/>
    <s v="2 Days"/>
    <x v="5"/>
    <s v="Thursday"/>
    <n v="1"/>
  </r>
  <r>
    <x v="773"/>
    <d v="2024-05-16T00:00:00"/>
    <x v="3"/>
    <x v="1"/>
    <n v="207"/>
    <n v="33"/>
    <n v="1.2"/>
    <x v="0"/>
    <x v="0"/>
    <x v="0"/>
    <x v="1"/>
    <x v="1"/>
    <x v="0"/>
    <x v="1"/>
    <x v="1"/>
    <x v="0"/>
    <n v="1"/>
    <s v="Slow"/>
    <s v="2 Days"/>
    <x v="1"/>
    <s v="Thursday"/>
    <n v="3"/>
  </r>
  <r>
    <x v="774"/>
    <d v="2024-09-30T00:00:00"/>
    <x v="2"/>
    <x v="1"/>
    <n v="13"/>
    <n v="35"/>
    <n v="3.8"/>
    <x v="0"/>
    <x v="1"/>
    <x v="1"/>
    <x v="1"/>
    <x v="1"/>
    <x v="0"/>
    <x v="0"/>
    <x v="3"/>
    <x v="1"/>
    <n v="1"/>
    <s v="Very Fast"/>
    <s v="2 Days"/>
    <x v="5"/>
    <s v="Monday"/>
    <n v="3"/>
  </r>
  <r>
    <x v="775"/>
    <d v="2024-04-07T00:00:00"/>
    <x v="4"/>
    <x v="0"/>
    <n v="87"/>
    <n v="6"/>
    <n v="7.1"/>
    <x v="1"/>
    <x v="0"/>
    <x v="2"/>
    <x v="0"/>
    <x v="0"/>
    <x v="0"/>
    <x v="0"/>
    <x v="0"/>
    <x v="2"/>
    <n v="0"/>
    <s v="Acceptable"/>
    <s v="Same Day"/>
    <x v="3"/>
    <s v="Sunday"/>
    <n v="4"/>
  </r>
  <r>
    <x v="776"/>
    <d v="2024-10-29T00:00:00"/>
    <x v="4"/>
    <x v="3"/>
    <n v="240"/>
    <n v="16"/>
    <n v="0.9"/>
    <x v="0"/>
    <x v="0"/>
    <x v="0"/>
    <x v="3"/>
    <x v="3"/>
    <x v="0"/>
    <x v="1"/>
    <x v="1"/>
    <x v="0"/>
    <n v="1"/>
    <s v="Slow"/>
    <s v="1 Day"/>
    <x v="7"/>
    <s v="Tuesday"/>
    <n v="2"/>
  </r>
  <r>
    <x v="777"/>
    <d v="2024-03-31T00:00:00"/>
    <x v="1"/>
    <x v="2"/>
    <n v="118"/>
    <n v="58"/>
    <n v="6.4"/>
    <x v="1"/>
    <x v="2"/>
    <x v="0"/>
    <x v="2"/>
    <x v="2"/>
    <x v="1"/>
    <x v="1"/>
    <x v="0"/>
    <x v="0"/>
    <n v="0"/>
    <s v="Acceptable"/>
    <s v="3 Days"/>
    <x v="2"/>
    <s v="Sunday"/>
    <n v="1"/>
  </r>
  <r>
    <x v="778"/>
    <d v="2024-12-10T00:00:00"/>
    <x v="3"/>
    <x v="1"/>
    <n v="208"/>
    <n v="55"/>
    <n v="4.9000000000000004"/>
    <x v="0"/>
    <x v="2"/>
    <x v="0"/>
    <x v="1"/>
    <x v="1"/>
    <x v="1"/>
    <x v="1"/>
    <x v="3"/>
    <x v="0"/>
    <n v="1"/>
    <s v="Slow"/>
    <s v="3 Days"/>
    <x v="11"/>
    <s v="Tuesday"/>
    <n v="3"/>
  </r>
  <r>
    <x v="779"/>
    <d v="2024-02-09T00:00:00"/>
    <x v="1"/>
    <x v="0"/>
    <n v="233"/>
    <n v="2"/>
    <n v="9.8000000000000007"/>
    <x v="1"/>
    <x v="0"/>
    <x v="2"/>
    <x v="0"/>
    <x v="0"/>
    <x v="0"/>
    <x v="0"/>
    <x v="2"/>
    <x v="2"/>
    <n v="0"/>
    <s v="Slow"/>
    <s v="Same Day"/>
    <x v="9"/>
    <s v="Friday"/>
    <n v="4"/>
  </r>
  <r>
    <x v="780"/>
    <d v="2024-03-17T00:00:00"/>
    <x v="0"/>
    <x v="1"/>
    <n v="87"/>
    <n v="4"/>
    <n v="8"/>
    <x v="1"/>
    <x v="1"/>
    <x v="2"/>
    <x v="1"/>
    <x v="1"/>
    <x v="0"/>
    <x v="0"/>
    <x v="0"/>
    <x v="2"/>
    <n v="0"/>
    <s v="Acceptable"/>
    <s v="Same Day"/>
    <x v="2"/>
    <s v="Sunday"/>
    <n v="3"/>
  </r>
  <r>
    <x v="781"/>
    <d v="2024-11-07T00:00:00"/>
    <x v="0"/>
    <x v="2"/>
    <n v="228"/>
    <n v="4"/>
    <n v="8"/>
    <x v="0"/>
    <x v="2"/>
    <x v="1"/>
    <x v="2"/>
    <x v="2"/>
    <x v="0"/>
    <x v="1"/>
    <x v="0"/>
    <x v="1"/>
    <n v="1"/>
    <s v="Slow"/>
    <s v="Same Day"/>
    <x v="6"/>
    <s v="Thursday"/>
    <n v="1"/>
  </r>
  <r>
    <x v="782"/>
    <d v="2024-10-13T00:00:00"/>
    <x v="2"/>
    <x v="2"/>
    <n v="69"/>
    <n v="65"/>
    <n v="5.7"/>
    <x v="1"/>
    <x v="0"/>
    <x v="0"/>
    <x v="2"/>
    <x v="2"/>
    <x v="1"/>
    <x v="1"/>
    <x v="0"/>
    <x v="0"/>
    <n v="0"/>
    <s v="Acceptable"/>
    <s v="3 Days"/>
    <x v="7"/>
    <s v="Sunday"/>
    <n v="1"/>
  </r>
  <r>
    <x v="783"/>
    <d v="2024-03-02T00:00:00"/>
    <x v="1"/>
    <x v="3"/>
    <n v="97"/>
    <n v="18"/>
    <n v="5.7"/>
    <x v="1"/>
    <x v="0"/>
    <x v="0"/>
    <x v="3"/>
    <x v="3"/>
    <x v="0"/>
    <x v="1"/>
    <x v="0"/>
    <x v="0"/>
    <n v="0"/>
    <s v="Acceptable"/>
    <s v="1 Day"/>
    <x v="2"/>
    <s v="Saturday"/>
    <n v="2"/>
  </r>
  <r>
    <x v="784"/>
    <d v="2024-10-02T00:00:00"/>
    <x v="4"/>
    <x v="2"/>
    <n v="96"/>
    <n v="2"/>
    <n v="7.1"/>
    <x v="1"/>
    <x v="0"/>
    <x v="1"/>
    <x v="2"/>
    <x v="2"/>
    <x v="0"/>
    <x v="1"/>
    <x v="0"/>
    <x v="1"/>
    <n v="0"/>
    <s v="Acceptable"/>
    <s v="Same Day"/>
    <x v="7"/>
    <s v="Wednesday"/>
    <n v="1"/>
  </r>
  <r>
    <x v="785"/>
    <d v="2024-04-11T00:00:00"/>
    <x v="1"/>
    <x v="1"/>
    <n v="14"/>
    <n v="25"/>
    <n v="5.8"/>
    <x v="1"/>
    <x v="1"/>
    <x v="2"/>
    <x v="1"/>
    <x v="1"/>
    <x v="0"/>
    <x v="0"/>
    <x v="0"/>
    <x v="2"/>
    <n v="0"/>
    <s v="Very Fast"/>
    <s v="2 Days"/>
    <x v="3"/>
    <s v="Thursday"/>
    <n v="3"/>
  </r>
  <r>
    <x v="786"/>
    <d v="2024-08-27T00:00:00"/>
    <x v="3"/>
    <x v="3"/>
    <n v="44"/>
    <n v="71"/>
    <n v="6.8"/>
    <x v="1"/>
    <x v="0"/>
    <x v="0"/>
    <x v="3"/>
    <x v="3"/>
    <x v="1"/>
    <x v="0"/>
    <x v="0"/>
    <x v="0"/>
    <n v="0"/>
    <s v="Acceptable"/>
    <s v="3 Days"/>
    <x v="0"/>
    <s v="Tuesday"/>
    <n v="2"/>
  </r>
  <r>
    <x v="787"/>
    <d v="2024-04-23T00:00:00"/>
    <x v="2"/>
    <x v="1"/>
    <n v="82"/>
    <n v="38"/>
    <n v="2.1"/>
    <x v="0"/>
    <x v="0"/>
    <x v="0"/>
    <x v="1"/>
    <x v="1"/>
    <x v="0"/>
    <x v="0"/>
    <x v="3"/>
    <x v="0"/>
    <n v="1"/>
    <s v="Acceptable"/>
    <s v="2 Days"/>
    <x v="3"/>
    <s v="Tuesday"/>
    <n v="3"/>
  </r>
  <r>
    <x v="788"/>
    <d v="2024-08-18T00:00:00"/>
    <x v="0"/>
    <x v="3"/>
    <n v="52"/>
    <n v="3"/>
    <n v="6.7"/>
    <x v="0"/>
    <x v="1"/>
    <x v="1"/>
    <x v="3"/>
    <x v="3"/>
    <x v="0"/>
    <x v="0"/>
    <x v="0"/>
    <x v="1"/>
    <n v="1"/>
    <s v="Acceptable"/>
    <s v="Same Day"/>
    <x v="0"/>
    <s v="Sunday"/>
    <n v="2"/>
  </r>
  <r>
    <x v="789"/>
    <d v="2024-06-30T00:00:00"/>
    <x v="0"/>
    <x v="3"/>
    <n v="96"/>
    <n v="34"/>
    <n v="0.7"/>
    <x v="0"/>
    <x v="1"/>
    <x v="0"/>
    <x v="3"/>
    <x v="3"/>
    <x v="1"/>
    <x v="1"/>
    <x v="1"/>
    <x v="0"/>
    <n v="1"/>
    <s v="Acceptable"/>
    <s v="2 Days"/>
    <x v="4"/>
    <s v="Sunday"/>
    <n v="2"/>
  </r>
  <r>
    <x v="790"/>
    <d v="2024-01-07T00:00:00"/>
    <x v="0"/>
    <x v="0"/>
    <n v="199"/>
    <n v="29"/>
    <n v="5.4"/>
    <x v="0"/>
    <x v="0"/>
    <x v="0"/>
    <x v="0"/>
    <x v="0"/>
    <x v="0"/>
    <x v="0"/>
    <x v="0"/>
    <x v="0"/>
    <n v="1"/>
    <s v="Slow"/>
    <s v="2 Days"/>
    <x v="8"/>
    <s v="Sunday"/>
    <n v="4"/>
  </r>
  <r>
    <x v="791"/>
    <d v="2024-05-23T00:00:00"/>
    <x v="3"/>
    <x v="1"/>
    <n v="207"/>
    <n v="71"/>
    <n v="3.5"/>
    <x v="0"/>
    <x v="0"/>
    <x v="0"/>
    <x v="1"/>
    <x v="1"/>
    <x v="1"/>
    <x v="1"/>
    <x v="3"/>
    <x v="0"/>
    <n v="1"/>
    <s v="Slow"/>
    <s v="3 Days"/>
    <x v="1"/>
    <s v="Thursday"/>
    <n v="3"/>
  </r>
  <r>
    <x v="792"/>
    <d v="2024-10-26T00:00:00"/>
    <x v="3"/>
    <x v="0"/>
    <n v="9"/>
    <n v="17"/>
    <n v="1.1000000000000001"/>
    <x v="0"/>
    <x v="2"/>
    <x v="1"/>
    <x v="0"/>
    <x v="0"/>
    <x v="0"/>
    <x v="0"/>
    <x v="1"/>
    <x v="1"/>
    <n v="1"/>
    <s v="Very Fast"/>
    <s v="1 Day"/>
    <x v="7"/>
    <s v="Saturday"/>
    <n v="4"/>
  </r>
  <r>
    <x v="793"/>
    <d v="2024-01-09T00:00:00"/>
    <x v="4"/>
    <x v="0"/>
    <n v="140"/>
    <n v="3"/>
    <n v="4.5"/>
    <x v="1"/>
    <x v="2"/>
    <x v="1"/>
    <x v="0"/>
    <x v="0"/>
    <x v="0"/>
    <x v="0"/>
    <x v="3"/>
    <x v="1"/>
    <n v="0"/>
    <s v="Slow"/>
    <s v="Same Day"/>
    <x v="8"/>
    <s v="Tuesday"/>
    <n v="4"/>
  </r>
  <r>
    <x v="794"/>
    <d v="2024-01-17T00:00:00"/>
    <x v="2"/>
    <x v="3"/>
    <n v="48"/>
    <n v="37"/>
    <n v="4.0999999999999996"/>
    <x v="1"/>
    <x v="2"/>
    <x v="0"/>
    <x v="3"/>
    <x v="3"/>
    <x v="1"/>
    <x v="0"/>
    <x v="3"/>
    <x v="0"/>
    <n v="0"/>
    <s v="Acceptable"/>
    <s v="2 Days"/>
    <x v="8"/>
    <s v="Wednesday"/>
    <n v="2"/>
  </r>
  <r>
    <x v="795"/>
    <d v="2024-08-25T00:00:00"/>
    <x v="2"/>
    <x v="1"/>
    <n v="66"/>
    <n v="34"/>
    <n v="5.4"/>
    <x v="0"/>
    <x v="0"/>
    <x v="0"/>
    <x v="1"/>
    <x v="1"/>
    <x v="0"/>
    <x v="0"/>
    <x v="0"/>
    <x v="0"/>
    <n v="1"/>
    <s v="Acceptable"/>
    <s v="2 Days"/>
    <x v="0"/>
    <s v="Sunday"/>
    <n v="3"/>
  </r>
  <r>
    <x v="796"/>
    <d v="2024-03-03T00:00:00"/>
    <x v="1"/>
    <x v="0"/>
    <n v="76"/>
    <n v="13"/>
    <n v="5"/>
    <x v="0"/>
    <x v="0"/>
    <x v="0"/>
    <x v="0"/>
    <x v="0"/>
    <x v="0"/>
    <x v="0"/>
    <x v="3"/>
    <x v="0"/>
    <n v="1"/>
    <s v="Acceptable"/>
    <s v="1 Day"/>
    <x v="2"/>
    <s v="Sunday"/>
    <n v="4"/>
  </r>
  <r>
    <x v="797"/>
    <d v="2024-09-20T00:00:00"/>
    <x v="0"/>
    <x v="1"/>
    <n v="118"/>
    <n v="14"/>
    <n v="3.1"/>
    <x v="0"/>
    <x v="0"/>
    <x v="0"/>
    <x v="1"/>
    <x v="1"/>
    <x v="0"/>
    <x v="0"/>
    <x v="3"/>
    <x v="0"/>
    <n v="1"/>
    <s v="Acceptable"/>
    <s v="1 Day"/>
    <x v="5"/>
    <s v="Friday"/>
    <n v="3"/>
  </r>
  <r>
    <x v="798"/>
    <d v="2024-11-17T00:00:00"/>
    <x v="0"/>
    <x v="0"/>
    <n v="164"/>
    <n v="35"/>
    <n v="1.5"/>
    <x v="1"/>
    <x v="1"/>
    <x v="0"/>
    <x v="0"/>
    <x v="0"/>
    <x v="0"/>
    <x v="0"/>
    <x v="1"/>
    <x v="0"/>
    <n v="0"/>
    <s v="Slow"/>
    <s v="2 Days"/>
    <x v="6"/>
    <s v="Sunday"/>
    <n v="4"/>
  </r>
  <r>
    <x v="799"/>
    <d v="2024-09-06T00:00:00"/>
    <x v="0"/>
    <x v="2"/>
    <n v="203"/>
    <n v="37"/>
    <n v="7.3"/>
    <x v="0"/>
    <x v="2"/>
    <x v="0"/>
    <x v="2"/>
    <x v="2"/>
    <x v="1"/>
    <x v="1"/>
    <x v="0"/>
    <x v="0"/>
    <n v="1"/>
    <s v="Slow"/>
    <s v="2 Days"/>
    <x v="5"/>
    <s v="Friday"/>
    <n v="1"/>
  </r>
  <r>
    <x v="800"/>
    <d v="2024-07-12T00:00:00"/>
    <x v="1"/>
    <x v="1"/>
    <n v="17"/>
    <n v="56"/>
    <n v="5.4"/>
    <x v="1"/>
    <x v="0"/>
    <x v="2"/>
    <x v="1"/>
    <x v="1"/>
    <x v="1"/>
    <x v="0"/>
    <x v="0"/>
    <x v="2"/>
    <n v="0"/>
    <s v="Very Fast"/>
    <s v="3 Days"/>
    <x v="10"/>
    <s v="Friday"/>
    <n v="3"/>
  </r>
  <r>
    <x v="801"/>
    <d v="2024-11-03T00:00:00"/>
    <x v="1"/>
    <x v="0"/>
    <n v="44"/>
    <n v="50"/>
    <n v="8.5"/>
    <x v="1"/>
    <x v="1"/>
    <x v="1"/>
    <x v="0"/>
    <x v="0"/>
    <x v="0"/>
    <x v="0"/>
    <x v="2"/>
    <x v="1"/>
    <n v="0"/>
    <s v="Acceptable"/>
    <s v="3 Days"/>
    <x v="6"/>
    <s v="Sunday"/>
    <n v="4"/>
  </r>
  <r>
    <x v="802"/>
    <d v="2024-02-10T00:00:00"/>
    <x v="4"/>
    <x v="0"/>
    <n v="110"/>
    <n v="53"/>
    <n v="7.7"/>
    <x v="1"/>
    <x v="2"/>
    <x v="1"/>
    <x v="0"/>
    <x v="0"/>
    <x v="0"/>
    <x v="0"/>
    <x v="0"/>
    <x v="1"/>
    <n v="0"/>
    <s v="Acceptable"/>
    <s v="3 Days"/>
    <x v="9"/>
    <s v="Saturday"/>
    <n v="4"/>
  </r>
  <r>
    <x v="803"/>
    <d v="2024-08-23T00:00:00"/>
    <x v="4"/>
    <x v="3"/>
    <n v="119"/>
    <n v="7"/>
    <n v="4.7"/>
    <x v="1"/>
    <x v="0"/>
    <x v="0"/>
    <x v="3"/>
    <x v="3"/>
    <x v="0"/>
    <x v="1"/>
    <x v="3"/>
    <x v="0"/>
    <n v="0"/>
    <s v="Acceptable"/>
    <s v="Same Day"/>
    <x v="0"/>
    <s v="Friday"/>
    <n v="2"/>
  </r>
  <r>
    <x v="804"/>
    <d v="2024-04-20T00:00:00"/>
    <x v="1"/>
    <x v="0"/>
    <n v="195"/>
    <n v="25"/>
    <n v="8.6999999999999993"/>
    <x v="0"/>
    <x v="2"/>
    <x v="0"/>
    <x v="0"/>
    <x v="0"/>
    <x v="0"/>
    <x v="0"/>
    <x v="2"/>
    <x v="0"/>
    <n v="1"/>
    <s v="Slow"/>
    <s v="2 Days"/>
    <x v="3"/>
    <s v="Saturday"/>
    <n v="4"/>
  </r>
  <r>
    <x v="805"/>
    <d v="2024-01-10T00:00:00"/>
    <x v="3"/>
    <x v="3"/>
    <n v="65"/>
    <n v="28"/>
    <n v="6.7"/>
    <x v="1"/>
    <x v="1"/>
    <x v="0"/>
    <x v="3"/>
    <x v="3"/>
    <x v="1"/>
    <x v="1"/>
    <x v="0"/>
    <x v="0"/>
    <n v="0"/>
    <s v="Acceptable"/>
    <s v="2 Days"/>
    <x v="8"/>
    <s v="Wednesday"/>
    <n v="2"/>
  </r>
  <r>
    <x v="806"/>
    <d v="2024-06-14T00:00:00"/>
    <x v="1"/>
    <x v="1"/>
    <n v="118"/>
    <n v="6"/>
    <n v="7.8"/>
    <x v="1"/>
    <x v="0"/>
    <x v="2"/>
    <x v="1"/>
    <x v="1"/>
    <x v="0"/>
    <x v="0"/>
    <x v="0"/>
    <x v="2"/>
    <n v="0"/>
    <s v="Acceptable"/>
    <s v="Same Day"/>
    <x v="4"/>
    <s v="Friday"/>
    <n v="3"/>
  </r>
  <r>
    <x v="807"/>
    <d v="2024-02-10T00:00:00"/>
    <x v="1"/>
    <x v="0"/>
    <n v="115"/>
    <n v="12"/>
    <n v="4.8"/>
    <x v="1"/>
    <x v="1"/>
    <x v="0"/>
    <x v="0"/>
    <x v="0"/>
    <x v="0"/>
    <x v="0"/>
    <x v="3"/>
    <x v="0"/>
    <n v="0"/>
    <s v="Acceptable"/>
    <s v="1 Day"/>
    <x v="9"/>
    <s v="Saturday"/>
    <n v="4"/>
  </r>
  <r>
    <x v="808"/>
    <d v="2024-08-01T00:00:00"/>
    <x v="1"/>
    <x v="3"/>
    <n v="226"/>
    <n v="64"/>
    <n v="6.7"/>
    <x v="1"/>
    <x v="1"/>
    <x v="0"/>
    <x v="3"/>
    <x v="3"/>
    <x v="1"/>
    <x v="1"/>
    <x v="0"/>
    <x v="0"/>
    <n v="0"/>
    <s v="Slow"/>
    <s v="3 Days"/>
    <x v="0"/>
    <s v="Thursday"/>
    <n v="2"/>
  </r>
  <r>
    <x v="809"/>
    <d v="2024-05-14T00:00:00"/>
    <x v="2"/>
    <x v="0"/>
    <n v="155"/>
    <n v="27"/>
    <n v="3.4"/>
    <x v="1"/>
    <x v="2"/>
    <x v="0"/>
    <x v="0"/>
    <x v="0"/>
    <x v="0"/>
    <x v="0"/>
    <x v="3"/>
    <x v="0"/>
    <n v="0"/>
    <s v="Slow"/>
    <s v="2 Days"/>
    <x v="1"/>
    <s v="Tuesday"/>
    <n v="4"/>
  </r>
  <r>
    <x v="810"/>
    <d v="2024-07-04T00:00:00"/>
    <x v="2"/>
    <x v="1"/>
    <n v="51"/>
    <n v="29"/>
    <n v="4.5"/>
    <x v="1"/>
    <x v="0"/>
    <x v="0"/>
    <x v="1"/>
    <x v="1"/>
    <x v="0"/>
    <x v="0"/>
    <x v="3"/>
    <x v="0"/>
    <n v="0"/>
    <s v="Acceptable"/>
    <s v="2 Days"/>
    <x v="10"/>
    <s v="Thursday"/>
    <n v="3"/>
  </r>
  <r>
    <x v="811"/>
    <d v="2024-06-10T00:00:00"/>
    <x v="0"/>
    <x v="2"/>
    <n v="61"/>
    <n v="64"/>
    <n v="5"/>
    <x v="1"/>
    <x v="1"/>
    <x v="0"/>
    <x v="2"/>
    <x v="2"/>
    <x v="1"/>
    <x v="1"/>
    <x v="3"/>
    <x v="0"/>
    <n v="0"/>
    <s v="Acceptable"/>
    <s v="3 Days"/>
    <x v="4"/>
    <s v="Monday"/>
    <n v="1"/>
  </r>
  <r>
    <x v="812"/>
    <d v="2024-04-30T00:00:00"/>
    <x v="1"/>
    <x v="3"/>
    <n v="184"/>
    <n v="13"/>
    <n v="3.8"/>
    <x v="0"/>
    <x v="1"/>
    <x v="0"/>
    <x v="3"/>
    <x v="3"/>
    <x v="0"/>
    <x v="1"/>
    <x v="3"/>
    <x v="0"/>
    <n v="1"/>
    <s v="Slow"/>
    <s v="1 Day"/>
    <x v="3"/>
    <s v="Tuesday"/>
    <n v="2"/>
  </r>
  <r>
    <x v="813"/>
    <d v="2024-04-19T00:00:00"/>
    <x v="4"/>
    <x v="2"/>
    <n v="178"/>
    <n v="10"/>
    <n v="1.8"/>
    <x v="1"/>
    <x v="2"/>
    <x v="0"/>
    <x v="2"/>
    <x v="2"/>
    <x v="1"/>
    <x v="1"/>
    <x v="1"/>
    <x v="0"/>
    <n v="0"/>
    <s v="Slow"/>
    <s v="1 Day"/>
    <x v="3"/>
    <s v="Friday"/>
    <n v="1"/>
  </r>
  <r>
    <x v="814"/>
    <d v="2024-09-15T00:00:00"/>
    <x v="3"/>
    <x v="0"/>
    <n v="209"/>
    <n v="23"/>
    <n v="9.4"/>
    <x v="0"/>
    <x v="2"/>
    <x v="0"/>
    <x v="0"/>
    <x v="0"/>
    <x v="0"/>
    <x v="0"/>
    <x v="2"/>
    <x v="0"/>
    <n v="1"/>
    <s v="Slow"/>
    <s v="1 Day"/>
    <x v="5"/>
    <s v="Sunday"/>
    <n v="4"/>
  </r>
  <r>
    <x v="815"/>
    <d v="2024-05-05T00:00:00"/>
    <x v="1"/>
    <x v="2"/>
    <n v="117"/>
    <n v="62"/>
    <n v="7"/>
    <x v="0"/>
    <x v="2"/>
    <x v="0"/>
    <x v="2"/>
    <x v="2"/>
    <x v="1"/>
    <x v="1"/>
    <x v="0"/>
    <x v="0"/>
    <n v="1"/>
    <s v="Acceptable"/>
    <s v="3 Days"/>
    <x v="1"/>
    <s v="Sunday"/>
    <n v="1"/>
  </r>
  <r>
    <x v="816"/>
    <d v="2024-11-03T00:00:00"/>
    <x v="3"/>
    <x v="2"/>
    <n v="174"/>
    <n v="66"/>
    <n v="2.2000000000000002"/>
    <x v="1"/>
    <x v="2"/>
    <x v="0"/>
    <x v="2"/>
    <x v="2"/>
    <x v="1"/>
    <x v="1"/>
    <x v="3"/>
    <x v="0"/>
    <n v="0"/>
    <s v="Slow"/>
    <s v="3 Days"/>
    <x v="6"/>
    <s v="Sunday"/>
    <n v="1"/>
  </r>
  <r>
    <x v="817"/>
    <d v="2024-12-09T00:00:00"/>
    <x v="2"/>
    <x v="3"/>
    <n v="72"/>
    <n v="22"/>
    <n v="4.7"/>
    <x v="0"/>
    <x v="1"/>
    <x v="0"/>
    <x v="3"/>
    <x v="3"/>
    <x v="0"/>
    <x v="1"/>
    <x v="3"/>
    <x v="0"/>
    <n v="1"/>
    <s v="Acceptable"/>
    <s v="1 Day"/>
    <x v="11"/>
    <s v="Monday"/>
    <n v="2"/>
  </r>
  <r>
    <x v="818"/>
    <d v="2024-03-30T00:00:00"/>
    <x v="0"/>
    <x v="0"/>
    <n v="178"/>
    <n v="51"/>
    <n v="4.3"/>
    <x v="1"/>
    <x v="1"/>
    <x v="0"/>
    <x v="0"/>
    <x v="0"/>
    <x v="0"/>
    <x v="0"/>
    <x v="3"/>
    <x v="0"/>
    <n v="0"/>
    <s v="Slow"/>
    <s v="3 Days"/>
    <x v="2"/>
    <s v="Saturday"/>
    <n v="4"/>
  </r>
  <r>
    <x v="819"/>
    <d v="2024-07-16T00:00:00"/>
    <x v="4"/>
    <x v="3"/>
    <n v="228"/>
    <n v="61"/>
    <n v="7.4"/>
    <x v="0"/>
    <x v="2"/>
    <x v="0"/>
    <x v="3"/>
    <x v="3"/>
    <x v="1"/>
    <x v="1"/>
    <x v="0"/>
    <x v="0"/>
    <n v="1"/>
    <s v="Slow"/>
    <s v="3 Days"/>
    <x v="10"/>
    <s v="Tuesday"/>
    <n v="2"/>
  </r>
  <r>
    <x v="820"/>
    <d v="2024-04-24T00:00:00"/>
    <x v="0"/>
    <x v="0"/>
    <n v="134"/>
    <n v="68"/>
    <n v="1.4"/>
    <x v="1"/>
    <x v="1"/>
    <x v="0"/>
    <x v="0"/>
    <x v="0"/>
    <x v="0"/>
    <x v="0"/>
    <x v="1"/>
    <x v="0"/>
    <n v="0"/>
    <s v="Slow"/>
    <s v="3 Days"/>
    <x v="3"/>
    <s v="Wednesday"/>
    <n v="4"/>
  </r>
  <r>
    <x v="821"/>
    <d v="2024-04-30T00:00:00"/>
    <x v="4"/>
    <x v="2"/>
    <n v="213"/>
    <n v="72"/>
    <n v="4"/>
    <x v="0"/>
    <x v="1"/>
    <x v="0"/>
    <x v="2"/>
    <x v="2"/>
    <x v="1"/>
    <x v="1"/>
    <x v="3"/>
    <x v="0"/>
    <n v="1"/>
    <s v="Slow"/>
    <s v="3 Days"/>
    <x v="3"/>
    <s v="Tuesday"/>
    <n v="1"/>
  </r>
  <r>
    <x v="822"/>
    <d v="2024-11-25T00:00:00"/>
    <x v="3"/>
    <x v="3"/>
    <n v="171"/>
    <n v="60"/>
    <n v="4.8"/>
    <x v="0"/>
    <x v="1"/>
    <x v="0"/>
    <x v="3"/>
    <x v="3"/>
    <x v="1"/>
    <x v="1"/>
    <x v="3"/>
    <x v="0"/>
    <n v="1"/>
    <s v="Slow"/>
    <s v="3 Days"/>
    <x v="6"/>
    <s v="Monday"/>
    <n v="2"/>
  </r>
  <r>
    <x v="823"/>
    <d v="2024-02-05T00:00:00"/>
    <x v="2"/>
    <x v="1"/>
    <n v="85"/>
    <n v="41"/>
    <n v="7.7"/>
    <x v="0"/>
    <x v="0"/>
    <x v="0"/>
    <x v="1"/>
    <x v="1"/>
    <x v="0"/>
    <x v="0"/>
    <x v="0"/>
    <x v="0"/>
    <n v="1"/>
    <s v="Acceptable"/>
    <s v="2 Days"/>
    <x v="9"/>
    <s v="Monday"/>
    <n v="3"/>
  </r>
  <r>
    <x v="824"/>
    <d v="2024-08-31T00:00:00"/>
    <x v="3"/>
    <x v="1"/>
    <n v="161"/>
    <n v="36"/>
    <n v="3.3"/>
    <x v="0"/>
    <x v="0"/>
    <x v="0"/>
    <x v="1"/>
    <x v="1"/>
    <x v="0"/>
    <x v="1"/>
    <x v="3"/>
    <x v="0"/>
    <n v="1"/>
    <s v="Slow"/>
    <s v="2 Days"/>
    <x v="0"/>
    <s v="Saturday"/>
    <n v="3"/>
  </r>
  <r>
    <x v="825"/>
    <d v="2024-03-30T00:00:00"/>
    <x v="1"/>
    <x v="1"/>
    <n v="215"/>
    <n v="2"/>
    <n v="5.7"/>
    <x v="1"/>
    <x v="1"/>
    <x v="2"/>
    <x v="1"/>
    <x v="1"/>
    <x v="0"/>
    <x v="1"/>
    <x v="0"/>
    <x v="2"/>
    <n v="0"/>
    <s v="Slow"/>
    <s v="Same Day"/>
    <x v="2"/>
    <s v="Saturday"/>
    <n v="3"/>
  </r>
  <r>
    <x v="826"/>
    <d v="2024-06-08T00:00:00"/>
    <x v="2"/>
    <x v="1"/>
    <n v="92"/>
    <n v="31"/>
    <n v="4.9000000000000004"/>
    <x v="1"/>
    <x v="1"/>
    <x v="0"/>
    <x v="1"/>
    <x v="1"/>
    <x v="0"/>
    <x v="0"/>
    <x v="3"/>
    <x v="0"/>
    <n v="0"/>
    <s v="Acceptable"/>
    <s v="2 Days"/>
    <x v="4"/>
    <s v="Saturday"/>
    <n v="3"/>
  </r>
  <r>
    <x v="827"/>
    <d v="2024-07-11T00:00:00"/>
    <x v="0"/>
    <x v="2"/>
    <n v="37"/>
    <n v="17"/>
    <n v="5.6"/>
    <x v="1"/>
    <x v="1"/>
    <x v="0"/>
    <x v="2"/>
    <x v="2"/>
    <x v="1"/>
    <x v="1"/>
    <x v="0"/>
    <x v="0"/>
    <n v="0"/>
    <s v="Acceptable"/>
    <s v="1 Day"/>
    <x v="10"/>
    <s v="Thursday"/>
    <n v="1"/>
  </r>
  <r>
    <x v="828"/>
    <d v="2024-02-17T00:00:00"/>
    <x v="0"/>
    <x v="0"/>
    <n v="171"/>
    <n v="56"/>
    <n v="8.1"/>
    <x v="0"/>
    <x v="1"/>
    <x v="0"/>
    <x v="0"/>
    <x v="0"/>
    <x v="0"/>
    <x v="0"/>
    <x v="2"/>
    <x v="0"/>
    <n v="1"/>
    <s v="Slow"/>
    <s v="3 Days"/>
    <x v="9"/>
    <s v="Saturday"/>
    <n v="4"/>
  </r>
  <r>
    <x v="829"/>
    <d v="2024-11-08T00:00:00"/>
    <x v="1"/>
    <x v="3"/>
    <n v="184"/>
    <n v="64"/>
    <n v="5.9"/>
    <x v="0"/>
    <x v="2"/>
    <x v="0"/>
    <x v="3"/>
    <x v="3"/>
    <x v="1"/>
    <x v="1"/>
    <x v="0"/>
    <x v="0"/>
    <n v="1"/>
    <s v="Slow"/>
    <s v="3 Days"/>
    <x v="6"/>
    <s v="Friday"/>
    <n v="2"/>
  </r>
  <r>
    <x v="830"/>
    <d v="2024-01-01T00:00:00"/>
    <x v="2"/>
    <x v="0"/>
    <n v="177"/>
    <n v="68"/>
    <n v="5.6"/>
    <x v="1"/>
    <x v="1"/>
    <x v="1"/>
    <x v="0"/>
    <x v="0"/>
    <x v="0"/>
    <x v="0"/>
    <x v="0"/>
    <x v="1"/>
    <n v="0"/>
    <s v="Slow"/>
    <s v="3 Days"/>
    <x v="8"/>
    <s v="Monday"/>
    <n v="4"/>
  </r>
  <r>
    <x v="831"/>
    <d v="2024-07-20T00:00:00"/>
    <x v="3"/>
    <x v="2"/>
    <n v="192"/>
    <n v="13"/>
    <n v="2.6"/>
    <x v="1"/>
    <x v="0"/>
    <x v="0"/>
    <x v="2"/>
    <x v="2"/>
    <x v="1"/>
    <x v="1"/>
    <x v="3"/>
    <x v="0"/>
    <n v="0"/>
    <s v="Slow"/>
    <s v="1 Day"/>
    <x v="10"/>
    <s v="Saturday"/>
    <n v="1"/>
  </r>
  <r>
    <x v="832"/>
    <d v="2024-08-06T00:00:00"/>
    <x v="3"/>
    <x v="0"/>
    <n v="78"/>
    <n v="16"/>
    <n v="2.4"/>
    <x v="0"/>
    <x v="2"/>
    <x v="0"/>
    <x v="0"/>
    <x v="0"/>
    <x v="0"/>
    <x v="0"/>
    <x v="3"/>
    <x v="0"/>
    <n v="1"/>
    <s v="Acceptable"/>
    <s v="1 Day"/>
    <x v="0"/>
    <s v="Tuesday"/>
    <n v="4"/>
  </r>
  <r>
    <x v="833"/>
    <d v="2024-04-22T00:00:00"/>
    <x v="1"/>
    <x v="3"/>
    <n v="63"/>
    <n v="28"/>
    <n v="4.7"/>
    <x v="1"/>
    <x v="0"/>
    <x v="0"/>
    <x v="3"/>
    <x v="3"/>
    <x v="1"/>
    <x v="1"/>
    <x v="3"/>
    <x v="0"/>
    <n v="0"/>
    <s v="Acceptable"/>
    <s v="2 Days"/>
    <x v="3"/>
    <s v="Monday"/>
    <n v="2"/>
  </r>
  <r>
    <x v="834"/>
    <d v="2024-09-01T00:00:00"/>
    <x v="3"/>
    <x v="1"/>
    <n v="200"/>
    <n v="55"/>
    <n v="7.7"/>
    <x v="0"/>
    <x v="0"/>
    <x v="0"/>
    <x v="1"/>
    <x v="1"/>
    <x v="1"/>
    <x v="1"/>
    <x v="0"/>
    <x v="0"/>
    <n v="1"/>
    <s v="Slow"/>
    <s v="3 Days"/>
    <x v="5"/>
    <s v="Sunday"/>
    <n v="3"/>
  </r>
  <r>
    <x v="835"/>
    <d v="2024-05-14T00:00:00"/>
    <x v="0"/>
    <x v="2"/>
    <n v="236"/>
    <n v="34"/>
    <n v="3.1"/>
    <x v="0"/>
    <x v="0"/>
    <x v="0"/>
    <x v="2"/>
    <x v="2"/>
    <x v="1"/>
    <x v="1"/>
    <x v="3"/>
    <x v="0"/>
    <n v="1"/>
    <s v="Slow"/>
    <s v="2 Days"/>
    <x v="1"/>
    <s v="Tuesday"/>
    <n v="1"/>
  </r>
  <r>
    <x v="836"/>
    <d v="2024-03-23T00:00:00"/>
    <x v="1"/>
    <x v="0"/>
    <n v="146"/>
    <n v="2"/>
    <n v="1.5"/>
    <x v="0"/>
    <x v="0"/>
    <x v="1"/>
    <x v="0"/>
    <x v="0"/>
    <x v="0"/>
    <x v="0"/>
    <x v="1"/>
    <x v="1"/>
    <n v="1"/>
    <s v="Slow"/>
    <s v="Same Day"/>
    <x v="2"/>
    <s v="Saturday"/>
    <n v="4"/>
  </r>
  <r>
    <x v="837"/>
    <d v="2024-01-21T00:00:00"/>
    <x v="3"/>
    <x v="3"/>
    <n v="162"/>
    <n v="5"/>
    <n v="1.5"/>
    <x v="0"/>
    <x v="0"/>
    <x v="0"/>
    <x v="3"/>
    <x v="3"/>
    <x v="0"/>
    <x v="1"/>
    <x v="1"/>
    <x v="0"/>
    <n v="1"/>
    <s v="Slow"/>
    <s v="Same Day"/>
    <x v="8"/>
    <s v="Sunday"/>
    <n v="2"/>
  </r>
  <r>
    <x v="838"/>
    <d v="2024-04-10T00:00:00"/>
    <x v="2"/>
    <x v="0"/>
    <n v="127"/>
    <n v="67"/>
    <n v="5.6"/>
    <x v="0"/>
    <x v="1"/>
    <x v="0"/>
    <x v="0"/>
    <x v="0"/>
    <x v="0"/>
    <x v="0"/>
    <x v="0"/>
    <x v="0"/>
    <n v="1"/>
    <s v="Slow"/>
    <s v="3 Days"/>
    <x v="3"/>
    <s v="Wednesday"/>
    <n v="4"/>
  </r>
  <r>
    <x v="839"/>
    <d v="2024-10-24T00:00:00"/>
    <x v="1"/>
    <x v="1"/>
    <n v="104"/>
    <n v="29"/>
    <n v="5.9"/>
    <x v="0"/>
    <x v="1"/>
    <x v="0"/>
    <x v="1"/>
    <x v="1"/>
    <x v="0"/>
    <x v="0"/>
    <x v="0"/>
    <x v="0"/>
    <n v="1"/>
    <s v="Acceptable"/>
    <s v="2 Days"/>
    <x v="7"/>
    <s v="Thursday"/>
    <n v="3"/>
  </r>
  <r>
    <x v="840"/>
    <d v="2024-01-24T00:00:00"/>
    <x v="0"/>
    <x v="3"/>
    <n v="100"/>
    <n v="62"/>
    <n v="4.5"/>
    <x v="0"/>
    <x v="2"/>
    <x v="0"/>
    <x v="3"/>
    <x v="3"/>
    <x v="1"/>
    <x v="1"/>
    <x v="3"/>
    <x v="0"/>
    <n v="1"/>
    <s v="Acceptable"/>
    <s v="3 Days"/>
    <x v="8"/>
    <s v="Wednesday"/>
    <n v="2"/>
  </r>
  <r>
    <x v="841"/>
    <d v="2024-05-02T00:00:00"/>
    <x v="4"/>
    <x v="3"/>
    <n v="152"/>
    <n v="11"/>
    <n v="5.8"/>
    <x v="1"/>
    <x v="1"/>
    <x v="0"/>
    <x v="3"/>
    <x v="3"/>
    <x v="0"/>
    <x v="1"/>
    <x v="0"/>
    <x v="0"/>
    <n v="0"/>
    <s v="Slow"/>
    <s v="1 Day"/>
    <x v="1"/>
    <s v="Thursday"/>
    <n v="2"/>
  </r>
  <r>
    <x v="842"/>
    <d v="2024-09-28T00:00:00"/>
    <x v="2"/>
    <x v="3"/>
    <n v="89"/>
    <n v="65"/>
    <n v="8.1"/>
    <x v="1"/>
    <x v="1"/>
    <x v="0"/>
    <x v="3"/>
    <x v="3"/>
    <x v="1"/>
    <x v="1"/>
    <x v="2"/>
    <x v="0"/>
    <n v="0"/>
    <s v="Acceptable"/>
    <s v="3 Days"/>
    <x v="5"/>
    <s v="Saturday"/>
    <n v="2"/>
  </r>
  <r>
    <x v="843"/>
    <d v="2024-07-16T00:00:00"/>
    <x v="0"/>
    <x v="1"/>
    <n v="62"/>
    <n v="31"/>
    <n v="1.3"/>
    <x v="1"/>
    <x v="2"/>
    <x v="0"/>
    <x v="1"/>
    <x v="1"/>
    <x v="0"/>
    <x v="0"/>
    <x v="1"/>
    <x v="0"/>
    <n v="0"/>
    <s v="Acceptable"/>
    <s v="2 Days"/>
    <x v="10"/>
    <s v="Tuesday"/>
    <n v="3"/>
  </r>
  <r>
    <x v="844"/>
    <d v="2024-12-09T00:00:00"/>
    <x v="2"/>
    <x v="2"/>
    <n v="5"/>
    <n v="48"/>
    <n v="1.8"/>
    <x v="0"/>
    <x v="1"/>
    <x v="0"/>
    <x v="2"/>
    <x v="2"/>
    <x v="1"/>
    <x v="0"/>
    <x v="1"/>
    <x v="0"/>
    <n v="1"/>
    <s v="Very Fast"/>
    <s v="2 Days"/>
    <x v="11"/>
    <s v="Monday"/>
    <n v="1"/>
  </r>
  <r>
    <x v="845"/>
    <d v="2024-05-16T00:00:00"/>
    <x v="4"/>
    <x v="3"/>
    <n v="42"/>
    <n v="19"/>
    <n v="1.9"/>
    <x v="1"/>
    <x v="1"/>
    <x v="0"/>
    <x v="3"/>
    <x v="3"/>
    <x v="0"/>
    <x v="0"/>
    <x v="1"/>
    <x v="0"/>
    <n v="0"/>
    <s v="Acceptable"/>
    <s v="1 Day"/>
    <x v="1"/>
    <s v="Thursday"/>
    <n v="2"/>
  </r>
  <r>
    <x v="846"/>
    <d v="2024-05-13T00:00:00"/>
    <x v="2"/>
    <x v="3"/>
    <n v="89"/>
    <n v="55"/>
    <n v="2"/>
    <x v="0"/>
    <x v="2"/>
    <x v="0"/>
    <x v="3"/>
    <x v="3"/>
    <x v="1"/>
    <x v="1"/>
    <x v="1"/>
    <x v="0"/>
    <n v="1"/>
    <s v="Acceptable"/>
    <s v="3 Days"/>
    <x v="1"/>
    <s v="Monday"/>
    <n v="2"/>
  </r>
  <r>
    <x v="847"/>
    <d v="2024-06-23T00:00:00"/>
    <x v="3"/>
    <x v="3"/>
    <n v="211"/>
    <n v="11"/>
    <n v="6.6"/>
    <x v="0"/>
    <x v="2"/>
    <x v="0"/>
    <x v="3"/>
    <x v="3"/>
    <x v="0"/>
    <x v="1"/>
    <x v="0"/>
    <x v="0"/>
    <n v="1"/>
    <s v="Slow"/>
    <s v="1 Day"/>
    <x v="4"/>
    <s v="Sunday"/>
    <n v="2"/>
  </r>
  <r>
    <x v="848"/>
    <d v="2024-08-27T00:00:00"/>
    <x v="4"/>
    <x v="3"/>
    <n v="219"/>
    <n v="33"/>
    <n v="5.0999999999999996"/>
    <x v="1"/>
    <x v="2"/>
    <x v="0"/>
    <x v="3"/>
    <x v="3"/>
    <x v="1"/>
    <x v="1"/>
    <x v="0"/>
    <x v="0"/>
    <n v="0"/>
    <s v="Slow"/>
    <s v="2 Days"/>
    <x v="0"/>
    <s v="Tuesday"/>
    <n v="2"/>
  </r>
  <r>
    <x v="849"/>
    <d v="2024-06-19T00:00:00"/>
    <x v="2"/>
    <x v="3"/>
    <n v="81"/>
    <n v="36"/>
    <n v="6.9"/>
    <x v="0"/>
    <x v="0"/>
    <x v="0"/>
    <x v="3"/>
    <x v="3"/>
    <x v="1"/>
    <x v="1"/>
    <x v="0"/>
    <x v="0"/>
    <n v="1"/>
    <s v="Acceptable"/>
    <s v="2 Days"/>
    <x v="4"/>
    <s v="Wednesday"/>
    <n v="2"/>
  </r>
  <r>
    <x v="850"/>
    <d v="2024-08-28T00:00:00"/>
    <x v="0"/>
    <x v="0"/>
    <n v="181"/>
    <n v="71"/>
    <n v="8.1"/>
    <x v="1"/>
    <x v="2"/>
    <x v="1"/>
    <x v="0"/>
    <x v="0"/>
    <x v="0"/>
    <x v="0"/>
    <x v="2"/>
    <x v="1"/>
    <n v="0"/>
    <s v="Slow"/>
    <s v="3 Days"/>
    <x v="0"/>
    <s v="Wednesday"/>
    <n v="4"/>
  </r>
  <r>
    <x v="851"/>
    <d v="2024-05-31T00:00:00"/>
    <x v="3"/>
    <x v="1"/>
    <n v="11"/>
    <n v="58"/>
    <n v="1.2"/>
    <x v="1"/>
    <x v="1"/>
    <x v="1"/>
    <x v="1"/>
    <x v="1"/>
    <x v="1"/>
    <x v="0"/>
    <x v="1"/>
    <x v="1"/>
    <n v="0"/>
    <s v="Very Fast"/>
    <s v="3 Days"/>
    <x v="1"/>
    <s v="Friday"/>
    <n v="3"/>
  </r>
  <r>
    <x v="852"/>
    <d v="2024-11-15T00:00:00"/>
    <x v="4"/>
    <x v="1"/>
    <n v="34"/>
    <n v="16"/>
    <n v="9.1"/>
    <x v="1"/>
    <x v="0"/>
    <x v="1"/>
    <x v="1"/>
    <x v="1"/>
    <x v="0"/>
    <x v="0"/>
    <x v="2"/>
    <x v="1"/>
    <n v="0"/>
    <s v="Acceptable"/>
    <s v="1 Day"/>
    <x v="6"/>
    <s v="Friday"/>
    <n v="3"/>
  </r>
  <r>
    <x v="853"/>
    <d v="2024-05-07T00:00:00"/>
    <x v="4"/>
    <x v="0"/>
    <n v="87"/>
    <n v="21"/>
    <n v="1.7"/>
    <x v="1"/>
    <x v="2"/>
    <x v="0"/>
    <x v="0"/>
    <x v="0"/>
    <x v="0"/>
    <x v="0"/>
    <x v="1"/>
    <x v="0"/>
    <n v="0"/>
    <s v="Acceptable"/>
    <s v="1 Day"/>
    <x v="1"/>
    <s v="Tuesday"/>
    <n v="4"/>
  </r>
  <r>
    <x v="854"/>
    <d v="2024-01-09T00:00:00"/>
    <x v="3"/>
    <x v="2"/>
    <n v="73"/>
    <n v="3"/>
    <n v="4.9000000000000004"/>
    <x v="0"/>
    <x v="2"/>
    <x v="0"/>
    <x v="2"/>
    <x v="2"/>
    <x v="0"/>
    <x v="1"/>
    <x v="3"/>
    <x v="0"/>
    <n v="1"/>
    <s v="Acceptable"/>
    <s v="Same Day"/>
    <x v="8"/>
    <s v="Tuesday"/>
    <n v="1"/>
  </r>
  <r>
    <x v="855"/>
    <d v="2024-02-12T00:00:00"/>
    <x v="1"/>
    <x v="0"/>
    <n v="8"/>
    <n v="5"/>
    <n v="5.2"/>
    <x v="1"/>
    <x v="1"/>
    <x v="2"/>
    <x v="0"/>
    <x v="0"/>
    <x v="0"/>
    <x v="0"/>
    <x v="0"/>
    <x v="2"/>
    <n v="0"/>
    <s v="Very Fast"/>
    <s v="Same Day"/>
    <x v="9"/>
    <s v="Monday"/>
    <n v="4"/>
  </r>
  <r>
    <x v="856"/>
    <d v="2024-09-23T00:00:00"/>
    <x v="0"/>
    <x v="2"/>
    <n v="113"/>
    <n v="6"/>
    <n v="8.1999999999999993"/>
    <x v="1"/>
    <x v="2"/>
    <x v="1"/>
    <x v="2"/>
    <x v="2"/>
    <x v="0"/>
    <x v="1"/>
    <x v="2"/>
    <x v="1"/>
    <n v="0"/>
    <s v="Acceptable"/>
    <s v="Same Day"/>
    <x v="5"/>
    <s v="Monday"/>
    <n v="1"/>
  </r>
  <r>
    <x v="857"/>
    <d v="2024-12-23T00:00:00"/>
    <x v="2"/>
    <x v="3"/>
    <n v="14"/>
    <n v="20"/>
    <n v="7.4"/>
    <x v="1"/>
    <x v="2"/>
    <x v="1"/>
    <x v="3"/>
    <x v="3"/>
    <x v="0"/>
    <x v="0"/>
    <x v="0"/>
    <x v="1"/>
    <n v="0"/>
    <s v="Very Fast"/>
    <s v="1 Day"/>
    <x v="11"/>
    <s v="Monday"/>
    <n v="2"/>
  </r>
  <r>
    <x v="858"/>
    <d v="2024-06-29T00:00:00"/>
    <x v="4"/>
    <x v="2"/>
    <n v="234"/>
    <n v="29"/>
    <n v="3.4"/>
    <x v="1"/>
    <x v="1"/>
    <x v="0"/>
    <x v="2"/>
    <x v="2"/>
    <x v="1"/>
    <x v="1"/>
    <x v="3"/>
    <x v="0"/>
    <n v="0"/>
    <s v="Slow"/>
    <s v="2 Days"/>
    <x v="4"/>
    <s v="Saturday"/>
    <n v="1"/>
  </r>
  <r>
    <x v="859"/>
    <d v="2024-05-18T00:00:00"/>
    <x v="1"/>
    <x v="2"/>
    <n v="155"/>
    <n v="43"/>
    <n v="2.7"/>
    <x v="1"/>
    <x v="2"/>
    <x v="0"/>
    <x v="2"/>
    <x v="2"/>
    <x v="1"/>
    <x v="1"/>
    <x v="3"/>
    <x v="0"/>
    <n v="0"/>
    <s v="Slow"/>
    <s v="2 Days"/>
    <x v="1"/>
    <s v="Saturday"/>
    <n v="1"/>
  </r>
  <r>
    <x v="860"/>
    <d v="2024-12-03T00:00:00"/>
    <x v="0"/>
    <x v="2"/>
    <n v="129"/>
    <n v="72"/>
    <n v="4"/>
    <x v="0"/>
    <x v="1"/>
    <x v="0"/>
    <x v="2"/>
    <x v="2"/>
    <x v="1"/>
    <x v="1"/>
    <x v="3"/>
    <x v="0"/>
    <n v="1"/>
    <s v="Slow"/>
    <s v="3 Days"/>
    <x v="11"/>
    <s v="Tuesday"/>
    <n v="1"/>
  </r>
  <r>
    <x v="861"/>
    <d v="2024-07-26T00:00:00"/>
    <x v="4"/>
    <x v="2"/>
    <n v="210"/>
    <n v="68"/>
    <n v="9"/>
    <x v="0"/>
    <x v="1"/>
    <x v="0"/>
    <x v="2"/>
    <x v="2"/>
    <x v="1"/>
    <x v="1"/>
    <x v="2"/>
    <x v="0"/>
    <n v="1"/>
    <s v="Slow"/>
    <s v="3 Days"/>
    <x v="10"/>
    <s v="Friday"/>
    <n v="1"/>
  </r>
  <r>
    <x v="862"/>
    <d v="2024-08-25T00:00:00"/>
    <x v="0"/>
    <x v="0"/>
    <n v="58"/>
    <n v="66"/>
    <n v="7.9"/>
    <x v="1"/>
    <x v="0"/>
    <x v="1"/>
    <x v="0"/>
    <x v="0"/>
    <x v="0"/>
    <x v="0"/>
    <x v="0"/>
    <x v="1"/>
    <n v="0"/>
    <s v="Acceptable"/>
    <s v="3 Days"/>
    <x v="0"/>
    <s v="Sunday"/>
    <n v="4"/>
  </r>
  <r>
    <x v="863"/>
    <d v="2024-01-27T00:00:00"/>
    <x v="3"/>
    <x v="1"/>
    <n v="183"/>
    <n v="55"/>
    <n v="1.2"/>
    <x v="1"/>
    <x v="2"/>
    <x v="0"/>
    <x v="1"/>
    <x v="1"/>
    <x v="1"/>
    <x v="1"/>
    <x v="1"/>
    <x v="0"/>
    <n v="0"/>
    <s v="Slow"/>
    <s v="3 Days"/>
    <x v="8"/>
    <s v="Saturday"/>
    <n v="3"/>
  </r>
  <r>
    <x v="864"/>
    <d v="2024-04-11T00:00:00"/>
    <x v="2"/>
    <x v="1"/>
    <n v="114"/>
    <n v="54"/>
    <n v="8.1"/>
    <x v="0"/>
    <x v="2"/>
    <x v="0"/>
    <x v="1"/>
    <x v="1"/>
    <x v="1"/>
    <x v="0"/>
    <x v="2"/>
    <x v="0"/>
    <n v="1"/>
    <s v="Acceptable"/>
    <s v="3 Days"/>
    <x v="3"/>
    <s v="Thursday"/>
    <n v="3"/>
  </r>
  <r>
    <x v="865"/>
    <d v="2024-03-27T00:00:00"/>
    <x v="1"/>
    <x v="2"/>
    <n v="145"/>
    <n v="27"/>
    <n v="7.4"/>
    <x v="0"/>
    <x v="0"/>
    <x v="0"/>
    <x v="2"/>
    <x v="2"/>
    <x v="1"/>
    <x v="1"/>
    <x v="0"/>
    <x v="0"/>
    <n v="1"/>
    <s v="Slow"/>
    <s v="2 Days"/>
    <x v="2"/>
    <s v="Wednesday"/>
    <n v="1"/>
  </r>
  <r>
    <x v="866"/>
    <d v="2024-03-22T00:00:00"/>
    <x v="2"/>
    <x v="2"/>
    <n v="79"/>
    <n v="50"/>
    <n v="3.7"/>
    <x v="0"/>
    <x v="0"/>
    <x v="0"/>
    <x v="2"/>
    <x v="2"/>
    <x v="1"/>
    <x v="1"/>
    <x v="3"/>
    <x v="0"/>
    <n v="1"/>
    <s v="Acceptable"/>
    <s v="3 Days"/>
    <x v="2"/>
    <s v="Friday"/>
    <n v="1"/>
  </r>
  <r>
    <x v="867"/>
    <d v="2024-01-10T00:00:00"/>
    <x v="1"/>
    <x v="3"/>
    <n v="100"/>
    <n v="38"/>
    <n v="9.1"/>
    <x v="0"/>
    <x v="2"/>
    <x v="0"/>
    <x v="3"/>
    <x v="3"/>
    <x v="1"/>
    <x v="1"/>
    <x v="2"/>
    <x v="0"/>
    <n v="1"/>
    <s v="Acceptable"/>
    <s v="2 Days"/>
    <x v="8"/>
    <s v="Wednesday"/>
    <n v="2"/>
  </r>
  <r>
    <x v="868"/>
    <d v="2024-09-30T00:00:00"/>
    <x v="1"/>
    <x v="3"/>
    <n v="230"/>
    <n v="45"/>
    <n v="2.9"/>
    <x v="0"/>
    <x v="1"/>
    <x v="0"/>
    <x v="3"/>
    <x v="3"/>
    <x v="1"/>
    <x v="1"/>
    <x v="3"/>
    <x v="0"/>
    <n v="1"/>
    <s v="Slow"/>
    <s v="2 Days"/>
    <x v="5"/>
    <s v="Monday"/>
    <n v="2"/>
  </r>
  <r>
    <x v="869"/>
    <d v="2024-04-28T00:00:00"/>
    <x v="0"/>
    <x v="2"/>
    <n v="192"/>
    <n v="19"/>
    <n v="6.6"/>
    <x v="0"/>
    <x v="1"/>
    <x v="0"/>
    <x v="2"/>
    <x v="2"/>
    <x v="1"/>
    <x v="1"/>
    <x v="0"/>
    <x v="0"/>
    <n v="1"/>
    <s v="Slow"/>
    <s v="1 Day"/>
    <x v="3"/>
    <s v="Sunday"/>
    <n v="1"/>
  </r>
  <r>
    <x v="870"/>
    <d v="2024-12-08T00:00:00"/>
    <x v="1"/>
    <x v="2"/>
    <n v="198"/>
    <n v="54"/>
    <n v="9.3000000000000007"/>
    <x v="0"/>
    <x v="2"/>
    <x v="0"/>
    <x v="2"/>
    <x v="2"/>
    <x v="1"/>
    <x v="1"/>
    <x v="2"/>
    <x v="0"/>
    <n v="1"/>
    <s v="Slow"/>
    <s v="3 Days"/>
    <x v="11"/>
    <s v="Sunday"/>
    <n v="1"/>
  </r>
  <r>
    <x v="871"/>
    <d v="2024-09-02T00:00:00"/>
    <x v="3"/>
    <x v="1"/>
    <n v="33"/>
    <n v="12"/>
    <n v="2.2999999999999998"/>
    <x v="1"/>
    <x v="2"/>
    <x v="0"/>
    <x v="1"/>
    <x v="1"/>
    <x v="0"/>
    <x v="0"/>
    <x v="3"/>
    <x v="0"/>
    <n v="0"/>
    <s v="Acceptable"/>
    <s v="1 Day"/>
    <x v="5"/>
    <s v="Monday"/>
    <n v="3"/>
  </r>
  <r>
    <x v="872"/>
    <d v="2024-04-25T00:00:00"/>
    <x v="4"/>
    <x v="2"/>
    <n v="205"/>
    <n v="38"/>
    <n v="2.5"/>
    <x v="0"/>
    <x v="0"/>
    <x v="0"/>
    <x v="2"/>
    <x v="2"/>
    <x v="1"/>
    <x v="1"/>
    <x v="3"/>
    <x v="0"/>
    <n v="1"/>
    <s v="Slow"/>
    <s v="2 Days"/>
    <x v="3"/>
    <s v="Thursday"/>
    <n v="1"/>
  </r>
  <r>
    <x v="873"/>
    <d v="2024-01-21T00:00:00"/>
    <x v="3"/>
    <x v="3"/>
    <n v="189"/>
    <n v="45"/>
    <n v="8"/>
    <x v="0"/>
    <x v="2"/>
    <x v="0"/>
    <x v="3"/>
    <x v="3"/>
    <x v="1"/>
    <x v="1"/>
    <x v="0"/>
    <x v="0"/>
    <n v="1"/>
    <s v="Slow"/>
    <s v="2 Days"/>
    <x v="8"/>
    <s v="Sunday"/>
    <n v="2"/>
  </r>
  <r>
    <x v="874"/>
    <d v="2024-12-21T00:00:00"/>
    <x v="0"/>
    <x v="3"/>
    <n v="46"/>
    <n v="25"/>
    <n v="9.9"/>
    <x v="1"/>
    <x v="0"/>
    <x v="0"/>
    <x v="3"/>
    <x v="3"/>
    <x v="1"/>
    <x v="0"/>
    <x v="2"/>
    <x v="0"/>
    <n v="0"/>
    <s v="Acceptable"/>
    <s v="2 Days"/>
    <x v="11"/>
    <s v="Saturday"/>
    <n v="2"/>
  </r>
  <r>
    <x v="875"/>
    <d v="2024-02-28T00:00:00"/>
    <x v="4"/>
    <x v="2"/>
    <n v="193"/>
    <n v="21"/>
    <n v="3.2"/>
    <x v="0"/>
    <x v="0"/>
    <x v="0"/>
    <x v="2"/>
    <x v="2"/>
    <x v="1"/>
    <x v="1"/>
    <x v="3"/>
    <x v="0"/>
    <n v="1"/>
    <s v="Slow"/>
    <s v="1 Day"/>
    <x v="9"/>
    <s v="Wednesday"/>
    <n v="1"/>
  </r>
  <r>
    <x v="876"/>
    <d v="2024-08-15T00:00:00"/>
    <x v="0"/>
    <x v="1"/>
    <n v="152"/>
    <n v="7"/>
    <n v="1.2"/>
    <x v="1"/>
    <x v="1"/>
    <x v="0"/>
    <x v="1"/>
    <x v="1"/>
    <x v="0"/>
    <x v="1"/>
    <x v="1"/>
    <x v="0"/>
    <n v="0"/>
    <s v="Slow"/>
    <s v="Same Day"/>
    <x v="0"/>
    <s v="Thursday"/>
    <n v="3"/>
  </r>
  <r>
    <x v="877"/>
    <d v="2024-04-29T00:00:00"/>
    <x v="4"/>
    <x v="1"/>
    <n v="230"/>
    <n v="3"/>
    <n v="7.1"/>
    <x v="1"/>
    <x v="0"/>
    <x v="2"/>
    <x v="1"/>
    <x v="1"/>
    <x v="0"/>
    <x v="1"/>
    <x v="0"/>
    <x v="2"/>
    <n v="0"/>
    <s v="Slow"/>
    <s v="Same Day"/>
    <x v="3"/>
    <s v="Monday"/>
    <n v="3"/>
  </r>
  <r>
    <x v="878"/>
    <d v="2024-05-23T00:00:00"/>
    <x v="4"/>
    <x v="0"/>
    <n v="60"/>
    <n v="6"/>
    <n v="2.2000000000000002"/>
    <x v="0"/>
    <x v="1"/>
    <x v="1"/>
    <x v="0"/>
    <x v="0"/>
    <x v="0"/>
    <x v="0"/>
    <x v="3"/>
    <x v="1"/>
    <n v="1"/>
    <s v="Acceptable"/>
    <s v="Same Day"/>
    <x v="1"/>
    <s v="Thursday"/>
    <n v="4"/>
  </r>
  <r>
    <x v="879"/>
    <d v="2024-05-25T00:00:00"/>
    <x v="1"/>
    <x v="3"/>
    <n v="165"/>
    <n v="60"/>
    <n v="4.8"/>
    <x v="1"/>
    <x v="0"/>
    <x v="0"/>
    <x v="3"/>
    <x v="3"/>
    <x v="1"/>
    <x v="1"/>
    <x v="3"/>
    <x v="0"/>
    <n v="0"/>
    <s v="Slow"/>
    <s v="3 Days"/>
    <x v="1"/>
    <s v="Saturday"/>
    <n v="2"/>
  </r>
  <r>
    <x v="880"/>
    <d v="2024-01-14T00:00:00"/>
    <x v="4"/>
    <x v="0"/>
    <n v="160"/>
    <n v="53"/>
    <n v="6.2"/>
    <x v="1"/>
    <x v="2"/>
    <x v="1"/>
    <x v="0"/>
    <x v="0"/>
    <x v="0"/>
    <x v="0"/>
    <x v="0"/>
    <x v="1"/>
    <n v="0"/>
    <s v="Slow"/>
    <s v="3 Days"/>
    <x v="8"/>
    <s v="Sunday"/>
    <n v="4"/>
  </r>
  <r>
    <x v="881"/>
    <d v="2024-11-30T00:00:00"/>
    <x v="2"/>
    <x v="3"/>
    <n v="157"/>
    <n v="72"/>
    <n v="0.8"/>
    <x v="0"/>
    <x v="1"/>
    <x v="0"/>
    <x v="3"/>
    <x v="3"/>
    <x v="1"/>
    <x v="1"/>
    <x v="1"/>
    <x v="0"/>
    <n v="1"/>
    <s v="Slow"/>
    <s v="3 Days"/>
    <x v="6"/>
    <s v="Saturday"/>
    <n v="2"/>
  </r>
  <r>
    <x v="882"/>
    <d v="2024-05-04T00:00:00"/>
    <x v="3"/>
    <x v="3"/>
    <n v="150"/>
    <n v="47"/>
    <n v="5.5"/>
    <x v="1"/>
    <x v="2"/>
    <x v="0"/>
    <x v="3"/>
    <x v="3"/>
    <x v="1"/>
    <x v="1"/>
    <x v="0"/>
    <x v="0"/>
    <n v="0"/>
    <s v="Slow"/>
    <s v="2 Days"/>
    <x v="1"/>
    <s v="Saturday"/>
    <n v="2"/>
  </r>
  <r>
    <x v="883"/>
    <d v="2024-04-01T00:00:00"/>
    <x v="0"/>
    <x v="3"/>
    <n v="39"/>
    <n v="56"/>
    <n v="0.9"/>
    <x v="1"/>
    <x v="2"/>
    <x v="0"/>
    <x v="3"/>
    <x v="3"/>
    <x v="1"/>
    <x v="0"/>
    <x v="1"/>
    <x v="0"/>
    <n v="0"/>
    <s v="Acceptable"/>
    <s v="3 Days"/>
    <x v="3"/>
    <s v="Monday"/>
    <n v="2"/>
  </r>
  <r>
    <x v="884"/>
    <d v="2024-06-02T00:00:00"/>
    <x v="0"/>
    <x v="3"/>
    <n v="78"/>
    <n v="21"/>
    <n v="8.9"/>
    <x v="1"/>
    <x v="0"/>
    <x v="0"/>
    <x v="3"/>
    <x v="3"/>
    <x v="0"/>
    <x v="1"/>
    <x v="2"/>
    <x v="0"/>
    <n v="0"/>
    <s v="Acceptable"/>
    <s v="1 Day"/>
    <x v="4"/>
    <s v="Sunday"/>
    <n v="2"/>
  </r>
  <r>
    <x v="885"/>
    <d v="2024-03-15T00:00:00"/>
    <x v="2"/>
    <x v="0"/>
    <n v="106"/>
    <n v="37"/>
    <n v="5.6"/>
    <x v="0"/>
    <x v="0"/>
    <x v="0"/>
    <x v="0"/>
    <x v="0"/>
    <x v="0"/>
    <x v="0"/>
    <x v="0"/>
    <x v="0"/>
    <n v="1"/>
    <s v="Acceptable"/>
    <s v="2 Days"/>
    <x v="2"/>
    <s v="Friday"/>
    <n v="4"/>
  </r>
  <r>
    <x v="886"/>
    <d v="2024-06-09T00:00:00"/>
    <x v="0"/>
    <x v="3"/>
    <n v="19"/>
    <n v="8"/>
    <n v="9"/>
    <x v="1"/>
    <x v="1"/>
    <x v="1"/>
    <x v="3"/>
    <x v="3"/>
    <x v="0"/>
    <x v="0"/>
    <x v="2"/>
    <x v="1"/>
    <n v="0"/>
    <s v="Very Fast"/>
    <s v="Same Day"/>
    <x v="4"/>
    <s v="Sunday"/>
    <n v="2"/>
  </r>
  <r>
    <x v="887"/>
    <d v="2024-08-21T00:00:00"/>
    <x v="2"/>
    <x v="1"/>
    <n v="38"/>
    <n v="41"/>
    <n v="9.8000000000000007"/>
    <x v="0"/>
    <x v="0"/>
    <x v="0"/>
    <x v="1"/>
    <x v="1"/>
    <x v="0"/>
    <x v="0"/>
    <x v="2"/>
    <x v="0"/>
    <n v="1"/>
    <s v="Acceptable"/>
    <s v="2 Days"/>
    <x v="0"/>
    <s v="Wednesday"/>
    <n v="3"/>
  </r>
  <r>
    <x v="888"/>
    <d v="2024-03-14T00:00:00"/>
    <x v="4"/>
    <x v="2"/>
    <n v="83"/>
    <n v="38"/>
    <n v="5.0999999999999996"/>
    <x v="0"/>
    <x v="0"/>
    <x v="0"/>
    <x v="2"/>
    <x v="2"/>
    <x v="1"/>
    <x v="1"/>
    <x v="0"/>
    <x v="0"/>
    <n v="1"/>
    <s v="Acceptable"/>
    <s v="2 Days"/>
    <x v="2"/>
    <s v="Thursday"/>
    <n v="1"/>
  </r>
  <r>
    <x v="889"/>
    <d v="2024-12-18T00:00:00"/>
    <x v="3"/>
    <x v="3"/>
    <n v="103"/>
    <n v="37"/>
    <n v="9.5"/>
    <x v="0"/>
    <x v="0"/>
    <x v="0"/>
    <x v="3"/>
    <x v="3"/>
    <x v="1"/>
    <x v="1"/>
    <x v="2"/>
    <x v="0"/>
    <n v="1"/>
    <s v="Acceptable"/>
    <s v="2 Days"/>
    <x v="11"/>
    <s v="Wednesday"/>
    <n v="2"/>
  </r>
  <r>
    <x v="890"/>
    <d v="2024-05-24T00:00:00"/>
    <x v="0"/>
    <x v="3"/>
    <n v="20"/>
    <n v="70"/>
    <n v="2.6"/>
    <x v="0"/>
    <x v="0"/>
    <x v="0"/>
    <x v="3"/>
    <x v="3"/>
    <x v="1"/>
    <x v="0"/>
    <x v="3"/>
    <x v="0"/>
    <n v="1"/>
    <s v="Very Fast"/>
    <s v="3 Days"/>
    <x v="1"/>
    <s v="Friday"/>
    <n v="2"/>
  </r>
  <r>
    <x v="891"/>
    <d v="2024-05-05T00:00:00"/>
    <x v="3"/>
    <x v="0"/>
    <n v="42"/>
    <n v="67"/>
    <n v="5.4"/>
    <x v="0"/>
    <x v="1"/>
    <x v="0"/>
    <x v="0"/>
    <x v="0"/>
    <x v="0"/>
    <x v="0"/>
    <x v="0"/>
    <x v="0"/>
    <n v="1"/>
    <s v="Acceptable"/>
    <s v="3 Days"/>
    <x v="1"/>
    <s v="Sunday"/>
    <n v="4"/>
  </r>
  <r>
    <x v="892"/>
    <d v="2024-03-26T00:00:00"/>
    <x v="3"/>
    <x v="2"/>
    <n v="206"/>
    <n v="25"/>
    <n v="3.8"/>
    <x v="0"/>
    <x v="1"/>
    <x v="0"/>
    <x v="2"/>
    <x v="2"/>
    <x v="1"/>
    <x v="1"/>
    <x v="3"/>
    <x v="0"/>
    <n v="1"/>
    <s v="Slow"/>
    <s v="2 Days"/>
    <x v="2"/>
    <s v="Tuesday"/>
    <n v="1"/>
  </r>
  <r>
    <x v="893"/>
    <d v="2024-02-09T00:00:00"/>
    <x v="1"/>
    <x v="1"/>
    <n v="216"/>
    <n v="46"/>
    <n v="8"/>
    <x v="0"/>
    <x v="2"/>
    <x v="0"/>
    <x v="1"/>
    <x v="1"/>
    <x v="0"/>
    <x v="1"/>
    <x v="0"/>
    <x v="0"/>
    <n v="1"/>
    <s v="Slow"/>
    <s v="2 Days"/>
    <x v="9"/>
    <s v="Friday"/>
    <n v="3"/>
  </r>
  <r>
    <x v="894"/>
    <d v="2024-03-14T00:00:00"/>
    <x v="1"/>
    <x v="0"/>
    <n v="52"/>
    <n v="42"/>
    <n v="1.9"/>
    <x v="1"/>
    <x v="2"/>
    <x v="0"/>
    <x v="0"/>
    <x v="0"/>
    <x v="0"/>
    <x v="0"/>
    <x v="1"/>
    <x v="0"/>
    <n v="0"/>
    <s v="Acceptable"/>
    <s v="2 Days"/>
    <x v="2"/>
    <s v="Thursday"/>
    <n v="4"/>
  </r>
  <r>
    <x v="895"/>
    <d v="2024-08-05T00:00:00"/>
    <x v="0"/>
    <x v="2"/>
    <n v="162"/>
    <n v="62"/>
    <n v="7"/>
    <x v="1"/>
    <x v="0"/>
    <x v="0"/>
    <x v="2"/>
    <x v="2"/>
    <x v="1"/>
    <x v="1"/>
    <x v="0"/>
    <x v="0"/>
    <n v="0"/>
    <s v="Slow"/>
    <s v="3 Days"/>
    <x v="0"/>
    <s v="Monday"/>
    <n v="1"/>
  </r>
  <r>
    <x v="896"/>
    <d v="2024-03-01T00:00:00"/>
    <x v="3"/>
    <x v="1"/>
    <n v="179"/>
    <n v="23"/>
    <n v="6.3"/>
    <x v="1"/>
    <x v="0"/>
    <x v="1"/>
    <x v="1"/>
    <x v="1"/>
    <x v="0"/>
    <x v="1"/>
    <x v="0"/>
    <x v="1"/>
    <n v="0"/>
    <s v="Slow"/>
    <s v="1 Day"/>
    <x v="2"/>
    <s v="Friday"/>
    <n v="3"/>
  </r>
  <r>
    <x v="897"/>
    <d v="2024-06-08T00:00:00"/>
    <x v="0"/>
    <x v="0"/>
    <n v="110"/>
    <n v="13"/>
    <n v="8.1"/>
    <x v="0"/>
    <x v="1"/>
    <x v="0"/>
    <x v="0"/>
    <x v="0"/>
    <x v="0"/>
    <x v="0"/>
    <x v="2"/>
    <x v="0"/>
    <n v="1"/>
    <s v="Acceptable"/>
    <s v="1 Day"/>
    <x v="4"/>
    <s v="Saturday"/>
    <n v="4"/>
  </r>
  <r>
    <x v="898"/>
    <d v="2024-05-23T00:00:00"/>
    <x v="0"/>
    <x v="2"/>
    <n v="220"/>
    <n v="22"/>
    <n v="4"/>
    <x v="1"/>
    <x v="0"/>
    <x v="0"/>
    <x v="2"/>
    <x v="2"/>
    <x v="1"/>
    <x v="1"/>
    <x v="3"/>
    <x v="0"/>
    <n v="0"/>
    <s v="Slow"/>
    <s v="1 Day"/>
    <x v="1"/>
    <s v="Thursday"/>
    <n v="1"/>
  </r>
  <r>
    <x v="899"/>
    <d v="2024-04-12T00:00:00"/>
    <x v="4"/>
    <x v="0"/>
    <n v="32"/>
    <n v="31"/>
    <n v="4.4000000000000004"/>
    <x v="0"/>
    <x v="1"/>
    <x v="0"/>
    <x v="0"/>
    <x v="0"/>
    <x v="0"/>
    <x v="0"/>
    <x v="3"/>
    <x v="0"/>
    <n v="1"/>
    <s v="Acceptable"/>
    <s v="2 Days"/>
    <x v="3"/>
    <s v="Friday"/>
    <n v="4"/>
  </r>
  <r>
    <x v="900"/>
    <d v="2024-04-01T00:00:00"/>
    <x v="3"/>
    <x v="3"/>
    <n v="144"/>
    <n v="22"/>
    <n v="5"/>
    <x v="0"/>
    <x v="2"/>
    <x v="0"/>
    <x v="3"/>
    <x v="3"/>
    <x v="0"/>
    <x v="1"/>
    <x v="3"/>
    <x v="0"/>
    <n v="1"/>
    <s v="Slow"/>
    <s v="1 Day"/>
    <x v="3"/>
    <s v="Monday"/>
    <n v="2"/>
  </r>
  <r>
    <x v="901"/>
    <d v="2024-07-16T00:00:00"/>
    <x v="4"/>
    <x v="3"/>
    <n v="188"/>
    <n v="68"/>
    <n v="2.1"/>
    <x v="1"/>
    <x v="2"/>
    <x v="0"/>
    <x v="3"/>
    <x v="3"/>
    <x v="1"/>
    <x v="1"/>
    <x v="3"/>
    <x v="0"/>
    <n v="0"/>
    <s v="Slow"/>
    <s v="3 Days"/>
    <x v="10"/>
    <s v="Tuesday"/>
    <n v="2"/>
  </r>
  <r>
    <x v="902"/>
    <d v="2024-08-27T00:00:00"/>
    <x v="3"/>
    <x v="1"/>
    <n v="14"/>
    <n v="6"/>
    <n v="3.4"/>
    <x v="1"/>
    <x v="1"/>
    <x v="2"/>
    <x v="1"/>
    <x v="1"/>
    <x v="0"/>
    <x v="0"/>
    <x v="3"/>
    <x v="2"/>
    <n v="0"/>
    <s v="Very Fast"/>
    <s v="Same Day"/>
    <x v="0"/>
    <s v="Tuesday"/>
    <n v="3"/>
  </r>
  <r>
    <x v="903"/>
    <d v="2024-01-01T00:00:00"/>
    <x v="1"/>
    <x v="3"/>
    <n v="171"/>
    <n v="5"/>
    <n v="1.5"/>
    <x v="0"/>
    <x v="0"/>
    <x v="0"/>
    <x v="3"/>
    <x v="3"/>
    <x v="0"/>
    <x v="1"/>
    <x v="1"/>
    <x v="0"/>
    <n v="1"/>
    <s v="Slow"/>
    <s v="Same Day"/>
    <x v="8"/>
    <s v="Monday"/>
    <n v="2"/>
  </r>
  <r>
    <x v="904"/>
    <d v="2024-10-09T00:00:00"/>
    <x v="4"/>
    <x v="2"/>
    <n v="10"/>
    <n v="56"/>
    <n v="8.8000000000000007"/>
    <x v="1"/>
    <x v="2"/>
    <x v="1"/>
    <x v="2"/>
    <x v="2"/>
    <x v="1"/>
    <x v="0"/>
    <x v="2"/>
    <x v="1"/>
    <n v="0"/>
    <s v="Very Fast"/>
    <s v="3 Days"/>
    <x v="7"/>
    <s v="Wednesday"/>
    <n v="1"/>
  </r>
  <r>
    <x v="905"/>
    <d v="2024-09-08T00:00:00"/>
    <x v="1"/>
    <x v="2"/>
    <n v="185"/>
    <n v="66"/>
    <n v="1.2"/>
    <x v="1"/>
    <x v="0"/>
    <x v="0"/>
    <x v="2"/>
    <x v="2"/>
    <x v="1"/>
    <x v="1"/>
    <x v="1"/>
    <x v="0"/>
    <n v="0"/>
    <s v="Slow"/>
    <s v="3 Days"/>
    <x v="5"/>
    <s v="Sunday"/>
    <n v="1"/>
  </r>
  <r>
    <x v="906"/>
    <d v="2024-03-15T00:00:00"/>
    <x v="3"/>
    <x v="1"/>
    <n v="22"/>
    <n v="3"/>
    <n v="2.2999999999999998"/>
    <x v="1"/>
    <x v="0"/>
    <x v="2"/>
    <x v="1"/>
    <x v="1"/>
    <x v="0"/>
    <x v="0"/>
    <x v="3"/>
    <x v="2"/>
    <n v="0"/>
    <s v="Very Fast"/>
    <s v="Same Day"/>
    <x v="2"/>
    <s v="Friday"/>
    <n v="3"/>
  </r>
  <r>
    <x v="907"/>
    <d v="2024-07-24T00:00:00"/>
    <x v="4"/>
    <x v="0"/>
    <n v="198"/>
    <n v="10"/>
    <n v="2.7"/>
    <x v="1"/>
    <x v="2"/>
    <x v="0"/>
    <x v="0"/>
    <x v="0"/>
    <x v="0"/>
    <x v="0"/>
    <x v="3"/>
    <x v="0"/>
    <n v="0"/>
    <s v="Slow"/>
    <s v="1 Day"/>
    <x v="10"/>
    <s v="Wednesday"/>
    <n v="4"/>
  </r>
  <r>
    <x v="908"/>
    <d v="2024-03-12T00:00:00"/>
    <x v="0"/>
    <x v="3"/>
    <n v="24"/>
    <n v="10"/>
    <n v="6.5"/>
    <x v="1"/>
    <x v="0"/>
    <x v="1"/>
    <x v="3"/>
    <x v="3"/>
    <x v="0"/>
    <x v="0"/>
    <x v="0"/>
    <x v="1"/>
    <n v="0"/>
    <s v="Very Fast"/>
    <s v="1 Day"/>
    <x v="2"/>
    <s v="Tuesday"/>
    <n v="2"/>
  </r>
  <r>
    <x v="909"/>
    <d v="2024-12-22T00:00:00"/>
    <x v="0"/>
    <x v="2"/>
    <n v="29"/>
    <n v="64"/>
    <n v="0.5"/>
    <x v="0"/>
    <x v="1"/>
    <x v="0"/>
    <x v="2"/>
    <x v="2"/>
    <x v="1"/>
    <x v="0"/>
    <x v="1"/>
    <x v="0"/>
    <n v="1"/>
    <s v="Very Fast"/>
    <s v="3 Days"/>
    <x v="11"/>
    <s v="Sunday"/>
    <n v="1"/>
  </r>
  <r>
    <x v="910"/>
    <d v="2024-12-27T00:00:00"/>
    <x v="1"/>
    <x v="0"/>
    <n v="157"/>
    <n v="44"/>
    <n v="6.4"/>
    <x v="0"/>
    <x v="0"/>
    <x v="0"/>
    <x v="0"/>
    <x v="0"/>
    <x v="0"/>
    <x v="0"/>
    <x v="0"/>
    <x v="0"/>
    <n v="1"/>
    <s v="Slow"/>
    <s v="2 Days"/>
    <x v="11"/>
    <s v="Friday"/>
    <n v="4"/>
  </r>
  <r>
    <x v="911"/>
    <d v="2024-01-20T00:00:00"/>
    <x v="2"/>
    <x v="3"/>
    <n v="167"/>
    <n v="20"/>
    <n v="7.8"/>
    <x v="0"/>
    <x v="0"/>
    <x v="0"/>
    <x v="3"/>
    <x v="3"/>
    <x v="0"/>
    <x v="1"/>
    <x v="0"/>
    <x v="0"/>
    <n v="1"/>
    <s v="Slow"/>
    <s v="1 Day"/>
    <x v="8"/>
    <s v="Saturday"/>
    <n v="2"/>
  </r>
  <r>
    <x v="912"/>
    <d v="2024-11-25T00:00:00"/>
    <x v="3"/>
    <x v="1"/>
    <n v="186"/>
    <n v="49"/>
    <n v="5.9"/>
    <x v="1"/>
    <x v="1"/>
    <x v="1"/>
    <x v="1"/>
    <x v="1"/>
    <x v="1"/>
    <x v="1"/>
    <x v="0"/>
    <x v="1"/>
    <n v="0"/>
    <s v="Slow"/>
    <s v="3 Days"/>
    <x v="6"/>
    <s v="Monday"/>
    <n v="3"/>
  </r>
  <r>
    <x v="913"/>
    <d v="2024-07-04T00:00:00"/>
    <x v="0"/>
    <x v="2"/>
    <n v="45"/>
    <n v="26"/>
    <n v="1.2"/>
    <x v="0"/>
    <x v="0"/>
    <x v="0"/>
    <x v="2"/>
    <x v="2"/>
    <x v="1"/>
    <x v="1"/>
    <x v="1"/>
    <x v="0"/>
    <n v="1"/>
    <s v="Acceptable"/>
    <s v="2 Days"/>
    <x v="10"/>
    <s v="Thursday"/>
    <n v="1"/>
  </r>
  <r>
    <x v="914"/>
    <d v="2024-02-19T00:00:00"/>
    <x v="4"/>
    <x v="3"/>
    <n v="128"/>
    <n v="6"/>
    <n v="0.9"/>
    <x v="1"/>
    <x v="0"/>
    <x v="1"/>
    <x v="3"/>
    <x v="3"/>
    <x v="0"/>
    <x v="1"/>
    <x v="1"/>
    <x v="1"/>
    <n v="0"/>
    <s v="Slow"/>
    <s v="Same Day"/>
    <x v="9"/>
    <s v="Monday"/>
    <n v="2"/>
  </r>
  <r>
    <x v="915"/>
    <d v="2024-04-14T00:00:00"/>
    <x v="3"/>
    <x v="0"/>
    <n v="54"/>
    <n v="61"/>
    <n v="6.9"/>
    <x v="1"/>
    <x v="0"/>
    <x v="1"/>
    <x v="0"/>
    <x v="0"/>
    <x v="0"/>
    <x v="0"/>
    <x v="0"/>
    <x v="1"/>
    <n v="0"/>
    <s v="Acceptable"/>
    <s v="3 Days"/>
    <x v="3"/>
    <s v="Sunday"/>
    <n v="4"/>
  </r>
  <r>
    <x v="916"/>
    <d v="2024-10-27T00:00:00"/>
    <x v="4"/>
    <x v="2"/>
    <n v="39"/>
    <n v="9"/>
    <n v="0.7"/>
    <x v="1"/>
    <x v="2"/>
    <x v="0"/>
    <x v="2"/>
    <x v="2"/>
    <x v="1"/>
    <x v="1"/>
    <x v="1"/>
    <x v="0"/>
    <n v="0"/>
    <s v="Acceptable"/>
    <s v="1 Day"/>
    <x v="7"/>
    <s v="Sunday"/>
    <n v="1"/>
  </r>
  <r>
    <x v="917"/>
    <d v="2024-06-24T00:00:00"/>
    <x v="0"/>
    <x v="2"/>
    <n v="196"/>
    <n v="32"/>
    <n v="0.8"/>
    <x v="1"/>
    <x v="0"/>
    <x v="0"/>
    <x v="2"/>
    <x v="2"/>
    <x v="1"/>
    <x v="1"/>
    <x v="1"/>
    <x v="0"/>
    <n v="0"/>
    <s v="Slow"/>
    <s v="2 Days"/>
    <x v="4"/>
    <s v="Monday"/>
    <n v="1"/>
  </r>
  <r>
    <x v="918"/>
    <d v="2024-09-09T00:00:00"/>
    <x v="2"/>
    <x v="2"/>
    <n v="89"/>
    <n v="66"/>
    <n v="9.8000000000000007"/>
    <x v="1"/>
    <x v="0"/>
    <x v="0"/>
    <x v="2"/>
    <x v="2"/>
    <x v="1"/>
    <x v="1"/>
    <x v="2"/>
    <x v="0"/>
    <n v="0"/>
    <s v="Acceptable"/>
    <s v="3 Days"/>
    <x v="5"/>
    <s v="Monday"/>
    <n v="1"/>
  </r>
  <r>
    <x v="919"/>
    <d v="2024-11-06T00:00:00"/>
    <x v="1"/>
    <x v="1"/>
    <n v="214"/>
    <n v="67"/>
    <n v="4.5999999999999996"/>
    <x v="0"/>
    <x v="2"/>
    <x v="0"/>
    <x v="1"/>
    <x v="1"/>
    <x v="1"/>
    <x v="1"/>
    <x v="3"/>
    <x v="0"/>
    <n v="1"/>
    <s v="Slow"/>
    <s v="3 Days"/>
    <x v="6"/>
    <s v="Wednesday"/>
    <n v="3"/>
  </r>
  <r>
    <x v="920"/>
    <d v="2024-07-27T00:00:00"/>
    <x v="1"/>
    <x v="0"/>
    <n v="232"/>
    <n v="53"/>
    <n v="3.1"/>
    <x v="0"/>
    <x v="0"/>
    <x v="0"/>
    <x v="0"/>
    <x v="0"/>
    <x v="0"/>
    <x v="0"/>
    <x v="3"/>
    <x v="0"/>
    <n v="1"/>
    <s v="Slow"/>
    <s v="3 Days"/>
    <x v="10"/>
    <s v="Saturday"/>
    <n v="4"/>
  </r>
  <r>
    <x v="921"/>
    <d v="2024-11-06T00:00:00"/>
    <x v="2"/>
    <x v="3"/>
    <n v="114"/>
    <n v="63"/>
    <n v="5.8"/>
    <x v="1"/>
    <x v="0"/>
    <x v="0"/>
    <x v="3"/>
    <x v="3"/>
    <x v="1"/>
    <x v="1"/>
    <x v="0"/>
    <x v="0"/>
    <n v="0"/>
    <s v="Acceptable"/>
    <s v="3 Days"/>
    <x v="6"/>
    <s v="Wednesday"/>
    <n v="2"/>
  </r>
  <r>
    <x v="922"/>
    <d v="2024-10-07T00:00:00"/>
    <x v="4"/>
    <x v="0"/>
    <n v="41"/>
    <n v="66"/>
    <n v="6.4"/>
    <x v="0"/>
    <x v="0"/>
    <x v="0"/>
    <x v="0"/>
    <x v="0"/>
    <x v="0"/>
    <x v="0"/>
    <x v="0"/>
    <x v="0"/>
    <n v="1"/>
    <s v="Acceptable"/>
    <s v="3 Days"/>
    <x v="7"/>
    <s v="Monday"/>
    <n v="4"/>
  </r>
  <r>
    <x v="923"/>
    <d v="2024-07-07T00:00:00"/>
    <x v="1"/>
    <x v="0"/>
    <n v="145"/>
    <n v="31"/>
    <n v="1.2"/>
    <x v="1"/>
    <x v="1"/>
    <x v="0"/>
    <x v="0"/>
    <x v="0"/>
    <x v="0"/>
    <x v="0"/>
    <x v="1"/>
    <x v="0"/>
    <n v="0"/>
    <s v="Slow"/>
    <s v="2 Days"/>
    <x v="10"/>
    <s v="Sunday"/>
    <n v="4"/>
  </r>
  <r>
    <x v="924"/>
    <d v="2024-01-20T00:00:00"/>
    <x v="0"/>
    <x v="0"/>
    <n v="202"/>
    <n v="26"/>
    <n v="5"/>
    <x v="1"/>
    <x v="0"/>
    <x v="1"/>
    <x v="0"/>
    <x v="0"/>
    <x v="0"/>
    <x v="0"/>
    <x v="3"/>
    <x v="1"/>
    <n v="0"/>
    <s v="Slow"/>
    <s v="2 Days"/>
    <x v="8"/>
    <s v="Saturday"/>
    <n v="4"/>
  </r>
  <r>
    <x v="925"/>
    <d v="2024-10-30T00:00:00"/>
    <x v="4"/>
    <x v="1"/>
    <n v="87"/>
    <n v="26"/>
    <n v="0.6"/>
    <x v="1"/>
    <x v="1"/>
    <x v="0"/>
    <x v="1"/>
    <x v="1"/>
    <x v="0"/>
    <x v="0"/>
    <x v="1"/>
    <x v="0"/>
    <n v="0"/>
    <s v="Acceptable"/>
    <s v="2 Days"/>
    <x v="7"/>
    <s v="Wednesday"/>
    <n v="3"/>
  </r>
  <r>
    <x v="926"/>
    <d v="2024-04-05T00:00:00"/>
    <x v="3"/>
    <x v="1"/>
    <n v="104"/>
    <n v="12"/>
    <n v="5.7"/>
    <x v="1"/>
    <x v="1"/>
    <x v="1"/>
    <x v="1"/>
    <x v="1"/>
    <x v="0"/>
    <x v="0"/>
    <x v="0"/>
    <x v="1"/>
    <n v="0"/>
    <s v="Acceptable"/>
    <s v="1 Day"/>
    <x v="3"/>
    <s v="Friday"/>
    <n v="3"/>
  </r>
  <r>
    <x v="927"/>
    <d v="2024-02-26T00:00:00"/>
    <x v="1"/>
    <x v="1"/>
    <n v="92"/>
    <n v="56"/>
    <n v="1.3"/>
    <x v="1"/>
    <x v="2"/>
    <x v="0"/>
    <x v="1"/>
    <x v="1"/>
    <x v="1"/>
    <x v="0"/>
    <x v="1"/>
    <x v="0"/>
    <n v="0"/>
    <s v="Acceptable"/>
    <s v="3 Days"/>
    <x v="9"/>
    <s v="Monday"/>
    <n v="3"/>
  </r>
  <r>
    <x v="928"/>
    <d v="2024-12-23T00:00:00"/>
    <x v="4"/>
    <x v="2"/>
    <n v="186"/>
    <n v="53"/>
    <n v="8.1"/>
    <x v="0"/>
    <x v="0"/>
    <x v="0"/>
    <x v="2"/>
    <x v="2"/>
    <x v="1"/>
    <x v="1"/>
    <x v="2"/>
    <x v="0"/>
    <n v="1"/>
    <s v="Slow"/>
    <s v="3 Days"/>
    <x v="11"/>
    <s v="Monday"/>
    <n v="1"/>
  </r>
  <r>
    <x v="929"/>
    <d v="2024-10-14T00:00:00"/>
    <x v="3"/>
    <x v="2"/>
    <n v="176"/>
    <n v="9"/>
    <n v="2"/>
    <x v="0"/>
    <x v="0"/>
    <x v="0"/>
    <x v="2"/>
    <x v="2"/>
    <x v="1"/>
    <x v="1"/>
    <x v="1"/>
    <x v="0"/>
    <n v="1"/>
    <s v="Slow"/>
    <s v="1 Day"/>
    <x v="7"/>
    <s v="Monday"/>
    <n v="1"/>
  </r>
  <r>
    <x v="930"/>
    <d v="2024-06-27T00:00:00"/>
    <x v="4"/>
    <x v="3"/>
    <n v="55"/>
    <n v="9"/>
    <n v="0.5"/>
    <x v="1"/>
    <x v="0"/>
    <x v="0"/>
    <x v="3"/>
    <x v="3"/>
    <x v="0"/>
    <x v="0"/>
    <x v="1"/>
    <x v="0"/>
    <n v="0"/>
    <s v="Acceptable"/>
    <s v="1 Day"/>
    <x v="4"/>
    <s v="Thursday"/>
    <n v="2"/>
  </r>
  <r>
    <x v="931"/>
    <d v="2024-05-09T00:00:00"/>
    <x v="1"/>
    <x v="0"/>
    <n v="72"/>
    <n v="34"/>
    <n v="0.5"/>
    <x v="0"/>
    <x v="2"/>
    <x v="0"/>
    <x v="0"/>
    <x v="0"/>
    <x v="0"/>
    <x v="0"/>
    <x v="1"/>
    <x v="0"/>
    <n v="1"/>
    <s v="Acceptable"/>
    <s v="2 Days"/>
    <x v="1"/>
    <s v="Thursday"/>
    <n v="4"/>
  </r>
  <r>
    <x v="932"/>
    <d v="2024-09-20T00:00:00"/>
    <x v="3"/>
    <x v="2"/>
    <n v="212"/>
    <n v="25"/>
    <n v="9.6999999999999993"/>
    <x v="1"/>
    <x v="1"/>
    <x v="0"/>
    <x v="2"/>
    <x v="2"/>
    <x v="1"/>
    <x v="1"/>
    <x v="2"/>
    <x v="0"/>
    <n v="0"/>
    <s v="Slow"/>
    <s v="2 Days"/>
    <x v="5"/>
    <s v="Friday"/>
    <n v="1"/>
  </r>
  <r>
    <x v="933"/>
    <d v="2024-12-14T00:00:00"/>
    <x v="2"/>
    <x v="0"/>
    <n v="130"/>
    <n v="32"/>
    <n v="9.3000000000000007"/>
    <x v="1"/>
    <x v="1"/>
    <x v="1"/>
    <x v="0"/>
    <x v="0"/>
    <x v="0"/>
    <x v="0"/>
    <x v="2"/>
    <x v="1"/>
    <n v="0"/>
    <s v="Slow"/>
    <s v="2 Days"/>
    <x v="11"/>
    <s v="Saturday"/>
    <n v="4"/>
  </r>
  <r>
    <x v="934"/>
    <d v="2024-03-15T00:00:00"/>
    <x v="2"/>
    <x v="1"/>
    <n v="111"/>
    <n v="59"/>
    <n v="4.5999999999999996"/>
    <x v="1"/>
    <x v="0"/>
    <x v="0"/>
    <x v="1"/>
    <x v="1"/>
    <x v="1"/>
    <x v="0"/>
    <x v="3"/>
    <x v="0"/>
    <n v="0"/>
    <s v="Acceptable"/>
    <s v="3 Days"/>
    <x v="2"/>
    <s v="Friday"/>
    <n v="3"/>
  </r>
  <r>
    <x v="935"/>
    <d v="2024-04-16T00:00:00"/>
    <x v="0"/>
    <x v="2"/>
    <n v="203"/>
    <n v="47"/>
    <n v="3.2"/>
    <x v="0"/>
    <x v="0"/>
    <x v="0"/>
    <x v="2"/>
    <x v="2"/>
    <x v="1"/>
    <x v="1"/>
    <x v="3"/>
    <x v="0"/>
    <n v="1"/>
    <s v="Slow"/>
    <s v="2 Days"/>
    <x v="3"/>
    <s v="Tuesday"/>
    <n v="1"/>
  </r>
  <r>
    <x v="936"/>
    <d v="2024-12-17T00:00:00"/>
    <x v="4"/>
    <x v="0"/>
    <n v="184"/>
    <n v="62"/>
    <n v="7.1"/>
    <x v="1"/>
    <x v="0"/>
    <x v="1"/>
    <x v="0"/>
    <x v="0"/>
    <x v="0"/>
    <x v="0"/>
    <x v="0"/>
    <x v="1"/>
    <n v="0"/>
    <s v="Slow"/>
    <s v="3 Days"/>
    <x v="11"/>
    <s v="Tuesday"/>
    <n v="4"/>
  </r>
  <r>
    <x v="937"/>
    <d v="2024-03-08T00:00:00"/>
    <x v="1"/>
    <x v="0"/>
    <n v="18"/>
    <n v="41"/>
    <n v="3.1"/>
    <x v="1"/>
    <x v="2"/>
    <x v="1"/>
    <x v="0"/>
    <x v="0"/>
    <x v="0"/>
    <x v="0"/>
    <x v="3"/>
    <x v="1"/>
    <n v="0"/>
    <s v="Very Fast"/>
    <s v="2 Days"/>
    <x v="2"/>
    <s v="Friday"/>
    <n v="4"/>
  </r>
  <r>
    <x v="938"/>
    <d v="2024-06-21T00:00:00"/>
    <x v="0"/>
    <x v="3"/>
    <n v="44"/>
    <n v="16"/>
    <n v="2.6"/>
    <x v="1"/>
    <x v="1"/>
    <x v="0"/>
    <x v="3"/>
    <x v="3"/>
    <x v="0"/>
    <x v="0"/>
    <x v="3"/>
    <x v="0"/>
    <n v="0"/>
    <s v="Acceptable"/>
    <s v="1 Day"/>
    <x v="4"/>
    <s v="Friday"/>
    <n v="2"/>
  </r>
  <r>
    <x v="939"/>
    <d v="2024-02-07T00:00:00"/>
    <x v="2"/>
    <x v="1"/>
    <n v="27"/>
    <n v="35"/>
    <n v="1.7"/>
    <x v="1"/>
    <x v="2"/>
    <x v="1"/>
    <x v="1"/>
    <x v="1"/>
    <x v="0"/>
    <x v="0"/>
    <x v="1"/>
    <x v="1"/>
    <n v="0"/>
    <s v="Very Fast"/>
    <s v="2 Days"/>
    <x v="9"/>
    <s v="Wednesday"/>
    <n v="3"/>
  </r>
  <r>
    <x v="940"/>
    <d v="2024-05-28T00:00:00"/>
    <x v="1"/>
    <x v="2"/>
    <n v="18"/>
    <n v="57"/>
    <n v="2.6"/>
    <x v="1"/>
    <x v="1"/>
    <x v="1"/>
    <x v="2"/>
    <x v="2"/>
    <x v="1"/>
    <x v="0"/>
    <x v="3"/>
    <x v="1"/>
    <n v="0"/>
    <s v="Very Fast"/>
    <s v="3 Days"/>
    <x v="1"/>
    <s v="Tuesday"/>
    <n v="1"/>
  </r>
  <r>
    <x v="941"/>
    <d v="2024-10-22T00:00:00"/>
    <x v="0"/>
    <x v="3"/>
    <n v="13"/>
    <n v="27"/>
    <n v="6.4"/>
    <x v="1"/>
    <x v="0"/>
    <x v="1"/>
    <x v="3"/>
    <x v="3"/>
    <x v="1"/>
    <x v="0"/>
    <x v="0"/>
    <x v="1"/>
    <n v="0"/>
    <s v="Very Fast"/>
    <s v="2 Days"/>
    <x v="7"/>
    <s v="Tuesday"/>
    <n v="2"/>
  </r>
  <r>
    <x v="942"/>
    <d v="2024-03-19T00:00:00"/>
    <x v="3"/>
    <x v="2"/>
    <n v="152"/>
    <n v="28"/>
    <n v="8.6999999999999993"/>
    <x v="1"/>
    <x v="0"/>
    <x v="0"/>
    <x v="2"/>
    <x v="2"/>
    <x v="1"/>
    <x v="1"/>
    <x v="2"/>
    <x v="0"/>
    <n v="0"/>
    <s v="Slow"/>
    <s v="2 Days"/>
    <x v="2"/>
    <s v="Tuesday"/>
    <n v="1"/>
  </r>
  <r>
    <x v="943"/>
    <d v="2024-09-09T00:00:00"/>
    <x v="2"/>
    <x v="1"/>
    <n v="165"/>
    <n v="21"/>
    <n v="4.3"/>
    <x v="1"/>
    <x v="0"/>
    <x v="0"/>
    <x v="1"/>
    <x v="1"/>
    <x v="0"/>
    <x v="1"/>
    <x v="3"/>
    <x v="0"/>
    <n v="0"/>
    <s v="Slow"/>
    <s v="1 Day"/>
    <x v="5"/>
    <s v="Monday"/>
    <n v="3"/>
  </r>
  <r>
    <x v="944"/>
    <d v="2024-11-20T00:00:00"/>
    <x v="3"/>
    <x v="3"/>
    <n v="238"/>
    <n v="68"/>
    <n v="6.6"/>
    <x v="1"/>
    <x v="1"/>
    <x v="0"/>
    <x v="3"/>
    <x v="3"/>
    <x v="1"/>
    <x v="1"/>
    <x v="0"/>
    <x v="0"/>
    <n v="0"/>
    <s v="Slow"/>
    <s v="3 Days"/>
    <x v="6"/>
    <s v="Wednesday"/>
    <n v="2"/>
  </r>
  <r>
    <x v="945"/>
    <d v="2024-05-06T00:00:00"/>
    <x v="4"/>
    <x v="0"/>
    <n v="98"/>
    <n v="19"/>
    <n v="1.8"/>
    <x v="1"/>
    <x v="2"/>
    <x v="0"/>
    <x v="0"/>
    <x v="0"/>
    <x v="0"/>
    <x v="0"/>
    <x v="1"/>
    <x v="0"/>
    <n v="0"/>
    <s v="Acceptable"/>
    <s v="1 Day"/>
    <x v="1"/>
    <s v="Monday"/>
    <n v="4"/>
  </r>
  <r>
    <x v="946"/>
    <d v="2024-05-07T00:00:00"/>
    <x v="1"/>
    <x v="0"/>
    <n v="198"/>
    <n v="3"/>
    <n v="8.1999999999999993"/>
    <x v="1"/>
    <x v="1"/>
    <x v="2"/>
    <x v="0"/>
    <x v="0"/>
    <x v="0"/>
    <x v="0"/>
    <x v="2"/>
    <x v="2"/>
    <n v="0"/>
    <s v="Slow"/>
    <s v="Same Day"/>
    <x v="1"/>
    <s v="Tuesday"/>
    <n v="4"/>
  </r>
  <r>
    <x v="947"/>
    <d v="2024-01-31T00:00:00"/>
    <x v="0"/>
    <x v="1"/>
    <n v="69"/>
    <n v="38"/>
    <n v="2.5"/>
    <x v="1"/>
    <x v="2"/>
    <x v="0"/>
    <x v="1"/>
    <x v="1"/>
    <x v="0"/>
    <x v="0"/>
    <x v="3"/>
    <x v="0"/>
    <n v="0"/>
    <s v="Acceptable"/>
    <s v="2 Days"/>
    <x v="8"/>
    <s v="Wednesday"/>
    <n v="3"/>
  </r>
  <r>
    <x v="948"/>
    <d v="2024-01-03T00:00:00"/>
    <x v="0"/>
    <x v="0"/>
    <n v="38"/>
    <n v="32"/>
    <n v="2"/>
    <x v="1"/>
    <x v="1"/>
    <x v="0"/>
    <x v="0"/>
    <x v="0"/>
    <x v="0"/>
    <x v="0"/>
    <x v="1"/>
    <x v="0"/>
    <n v="0"/>
    <s v="Acceptable"/>
    <s v="2 Days"/>
    <x v="8"/>
    <s v="Wednesday"/>
    <n v="4"/>
  </r>
  <r>
    <x v="949"/>
    <d v="2024-05-22T00:00:00"/>
    <x v="2"/>
    <x v="0"/>
    <n v="19"/>
    <n v="7"/>
    <n v="1.2"/>
    <x v="0"/>
    <x v="0"/>
    <x v="1"/>
    <x v="0"/>
    <x v="0"/>
    <x v="0"/>
    <x v="0"/>
    <x v="1"/>
    <x v="1"/>
    <n v="1"/>
    <s v="Very Fast"/>
    <s v="Same Day"/>
    <x v="1"/>
    <s v="Wednesday"/>
    <n v="4"/>
  </r>
  <r>
    <x v="950"/>
    <d v="2024-07-17T00:00:00"/>
    <x v="3"/>
    <x v="2"/>
    <n v="56"/>
    <n v="36"/>
    <n v="5.5"/>
    <x v="0"/>
    <x v="1"/>
    <x v="0"/>
    <x v="2"/>
    <x v="2"/>
    <x v="1"/>
    <x v="1"/>
    <x v="0"/>
    <x v="0"/>
    <n v="1"/>
    <s v="Acceptable"/>
    <s v="2 Days"/>
    <x v="10"/>
    <s v="Wednesday"/>
    <n v="1"/>
  </r>
  <r>
    <x v="951"/>
    <d v="2024-02-03T00:00:00"/>
    <x v="2"/>
    <x v="3"/>
    <n v="231"/>
    <n v="26"/>
    <n v="8.3000000000000007"/>
    <x v="1"/>
    <x v="0"/>
    <x v="0"/>
    <x v="3"/>
    <x v="3"/>
    <x v="1"/>
    <x v="1"/>
    <x v="2"/>
    <x v="0"/>
    <n v="0"/>
    <s v="Slow"/>
    <s v="2 Days"/>
    <x v="9"/>
    <s v="Saturday"/>
    <n v="2"/>
  </r>
  <r>
    <x v="952"/>
    <d v="2024-12-18T00:00:00"/>
    <x v="2"/>
    <x v="1"/>
    <n v="66"/>
    <n v="4"/>
    <n v="8.8000000000000007"/>
    <x v="0"/>
    <x v="1"/>
    <x v="1"/>
    <x v="1"/>
    <x v="1"/>
    <x v="0"/>
    <x v="0"/>
    <x v="2"/>
    <x v="1"/>
    <n v="1"/>
    <s v="Acceptable"/>
    <s v="Same Day"/>
    <x v="11"/>
    <s v="Wednesday"/>
    <n v="3"/>
  </r>
  <r>
    <x v="953"/>
    <d v="2024-05-03T00:00:00"/>
    <x v="2"/>
    <x v="0"/>
    <n v="55"/>
    <n v="15"/>
    <n v="1.8"/>
    <x v="1"/>
    <x v="0"/>
    <x v="0"/>
    <x v="0"/>
    <x v="0"/>
    <x v="0"/>
    <x v="0"/>
    <x v="1"/>
    <x v="0"/>
    <n v="0"/>
    <s v="Acceptable"/>
    <s v="1 Day"/>
    <x v="1"/>
    <s v="Friday"/>
    <n v="4"/>
  </r>
  <r>
    <x v="954"/>
    <d v="2024-12-24T00:00:00"/>
    <x v="4"/>
    <x v="1"/>
    <n v="99"/>
    <n v="68"/>
    <n v="3.5"/>
    <x v="1"/>
    <x v="1"/>
    <x v="0"/>
    <x v="1"/>
    <x v="1"/>
    <x v="1"/>
    <x v="0"/>
    <x v="3"/>
    <x v="0"/>
    <n v="0"/>
    <s v="Acceptable"/>
    <s v="3 Days"/>
    <x v="11"/>
    <s v="Tuesday"/>
    <n v="3"/>
  </r>
  <r>
    <x v="955"/>
    <d v="2024-11-25T00:00:00"/>
    <x v="3"/>
    <x v="3"/>
    <n v="185"/>
    <n v="53"/>
    <n v="0.8"/>
    <x v="1"/>
    <x v="2"/>
    <x v="0"/>
    <x v="3"/>
    <x v="3"/>
    <x v="1"/>
    <x v="1"/>
    <x v="1"/>
    <x v="0"/>
    <n v="0"/>
    <s v="Slow"/>
    <s v="3 Days"/>
    <x v="6"/>
    <s v="Monday"/>
    <n v="2"/>
  </r>
  <r>
    <x v="956"/>
    <d v="2024-05-15T00:00:00"/>
    <x v="4"/>
    <x v="0"/>
    <n v="98"/>
    <n v="72"/>
    <n v="6.6"/>
    <x v="0"/>
    <x v="1"/>
    <x v="0"/>
    <x v="0"/>
    <x v="0"/>
    <x v="0"/>
    <x v="0"/>
    <x v="0"/>
    <x v="0"/>
    <n v="1"/>
    <s v="Acceptable"/>
    <s v="3 Days"/>
    <x v="1"/>
    <s v="Wednesday"/>
    <n v="4"/>
  </r>
  <r>
    <x v="957"/>
    <d v="2024-08-02T00:00:00"/>
    <x v="3"/>
    <x v="2"/>
    <n v="22"/>
    <n v="59"/>
    <n v="7.5"/>
    <x v="1"/>
    <x v="0"/>
    <x v="1"/>
    <x v="2"/>
    <x v="2"/>
    <x v="1"/>
    <x v="0"/>
    <x v="0"/>
    <x v="1"/>
    <n v="0"/>
    <s v="Very Fast"/>
    <s v="3 Days"/>
    <x v="0"/>
    <s v="Friday"/>
    <n v="1"/>
  </r>
  <r>
    <x v="958"/>
    <d v="2024-03-18T00:00:00"/>
    <x v="1"/>
    <x v="0"/>
    <n v="22"/>
    <n v="50"/>
    <n v="10"/>
    <x v="0"/>
    <x v="1"/>
    <x v="1"/>
    <x v="0"/>
    <x v="0"/>
    <x v="0"/>
    <x v="0"/>
    <x v="2"/>
    <x v="1"/>
    <n v="1"/>
    <s v="Very Fast"/>
    <s v="3 Days"/>
    <x v="2"/>
    <s v="Monday"/>
    <n v="4"/>
  </r>
  <r>
    <x v="959"/>
    <d v="2024-08-10T00:00:00"/>
    <x v="1"/>
    <x v="0"/>
    <n v="110"/>
    <n v="51"/>
    <n v="4.0999999999999996"/>
    <x v="0"/>
    <x v="2"/>
    <x v="0"/>
    <x v="0"/>
    <x v="0"/>
    <x v="0"/>
    <x v="0"/>
    <x v="3"/>
    <x v="0"/>
    <n v="1"/>
    <s v="Acceptable"/>
    <s v="3 Days"/>
    <x v="0"/>
    <s v="Saturday"/>
    <n v="4"/>
  </r>
  <r>
    <x v="960"/>
    <d v="2024-04-07T00:00:00"/>
    <x v="1"/>
    <x v="2"/>
    <n v="85"/>
    <n v="59"/>
    <n v="5.7"/>
    <x v="1"/>
    <x v="2"/>
    <x v="0"/>
    <x v="2"/>
    <x v="2"/>
    <x v="1"/>
    <x v="1"/>
    <x v="0"/>
    <x v="0"/>
    <n v="0"/>
    <s v="Acceptable"/>
    <s v="3 Days"/>
    <x v="3"/>
    <s v="Sunday"/>
    <n v="1"/>
  </r>
  <r>
    <x v="961"/>
    <d v="2024-08-27T00:00:00"/>
    <x v="4"/>
    <x v="0"/>
    <n v="217"/>
    <n v="67"/>
    <n v="5.5"/>
    <x v="0"/>
    <x v="0"/>
    <x v="0"/>
    <x v="0"/>
    <x v="0"/>
    <x v="0"/>
    <x v="0"/>
    <x v="0"/>
    <x v="0"/>
    <n v="1"/>
    <s v="Slow"/>
    <s v="3 Days"/>
    <x v="0"/>
    <s v="Tuesday"/>
    <n v="4"/>
  </r>
  <r>
    <x v="962"/>
    <d v="2024-06-10T00:00:00"/>
    <x v="0"/>
    <x v="0"/>
    <n v="5"/>
    <n v="26"/>
    <n v="1.8"/>
    <x v="0"/>
    <x v="2"/>
    <x v="1"/>
    <x v="0"/>
    <x v="0"/>
    <x v="0"/>
    <x v="0"/>
    <x v="1"/>
    <x v="1"/>
    <n v="1"/>
    <s v="Very Fast"/>
    <s v="2 Days"/>
    <x v="4"/>
    <s v="Monday"/>
    <n v="4"/>
  </r>
  <r>
    <x v="963"/>
    <d v="2024-03-23T00:00:00"/>
    <x v="3"/>
    <x v="0"/>
    <n v="147"/>
    <n v="32"/>
    <n v="6.9"/>
    <x v="1"/>
    <x v="2"/>
    <x v="1"/>
    <x v="0"/>
    <x v="0"/>
    <x v="0"/>
    <x v="0"/>
    <x v="0"/>
    <x v="1"/>
    <n v="0"/>
    <s v="Slow"/>
    <s v="2 Days"/>
    <x v="2"/>
    <s v="Saturday"/>
    <n v="4"/>
  </r>
  <r>
    <x v="964"/>
    <d v="2024-04-27T00:00:00"/>
    <x v="0"/>
    <x v="3"/>
    <n v="170"/>
    <n v="70"/>
    <n v="6"/>
    <x v="0"/>
    <x v="0"/>
    <x v="0"/>
    <x v="3"/>
    <x v="3"/>
    <x v="1"/>
    <x v="1"/>
    <x v="0"/>
    <x v="0"/>
    <n v="1"/>
    <s v="Slow"/>
    <s v="3 Days"/>
    <x v="3"/>
    <s v="Saturday"/>
    <n v="2"/>
  </r>
  <r>
    <x v="965"/>
    <d v="2024-01-12T00:00:00"/>
    <x v="1"/>
    <x v="3"/>
    <n v="16"/>
    <n v="7"/>
    <n v="5.8"/>
    <x v="0"/>
    <x v="2"/>
    <x v="1"/>
    <x v="3"/>
    <x v="3"/>
    <x v="0"/>
    <x v="0"/>
    <x v="0"/>
    <x v="1"/>
    <n v="1"/>
    <s v="Very Fast"/>
    <s v="Same Day"/>
    <x v="8"/>
    <s v="Friday"/>
    <n v="2"/>
  </r>
  <r>
    <x v="966"/>
    <d v="2024-09-17T00:00:00"/>
    <x v="1"/>
    <x v="1"/>
    <n v="101"/>
    <n v="29"/>
    <n v="2.4"/>
    <x v="0"/>
    <x v="1"/>
    <x v="0"/>
    <x v="1"/>
    <x v="1"/>
    <x v="0"/>
    <x v="0"/>
    <x v="3"/>
    <x v="0"/>
    <n v="1"/>
    <s v="Acceptable"/>
    <s v="2 Days"/>
    <x v="5"/>
    <s v="Tuesday"/>
    <n v="3"/>
  </r>
  <r>
    <x v="967"/>
    <d v="2024-03-26T00:00:00"/>
    <x v="3"/>
    <x v="0"/>
    <n v="62"/>
    <n v="37"/>
    <n v="6.6"/>
    <x v="0"/>
    <x v="2"/>
    <x v="0"/>
    <x v="0"/>
    <x v="0"/>
    <x v="0"/>
    <x v="0"/>
    <x v="0"/>
    <x v="0"/>
    <n v="1"/>
    <s v="Acceptable"/>
    <s v="2 Days"/>
    <x v="2"/>
    <s v="Tuesday"/>
    <n v="4"/>
  </r>
  <r>
    <x v="968"/>
    <d v="2024-01-21T00:00:00"/>
    <x v="1"/>
    <x v="3"/>
    <n v="82"/>
    <n v="63"/>
    <n v="7"/>
    <x v="1"/>
    <x v="2"/>
    <x v="0"/>
    <x v="3"/>
    <x v="3"/>
    <x v="1"/>
    <x v="1"/>
    <x v="0"/>
    <x v="0"/>
    <n v="0"/>
    <s v="Acceptable"/>
    <s v="3 Days"/>
    <x v="8"/>
    <s v="Sunday"/>
    <n v="2"/>
  </r>
  <r>
    <x v="969"/>
    <d v="2024-02-24T00:00:00"/>
    <x v="3"/>
    <x v="0"/>
    <n v="226"/>
    <n v="47"/>
    <n v="3.9"/>
    <x v="0"/>
    <x v="1"/>
    <x v="0"/>
    <x v="0"/>
    <x v="0"/>
    <x v="0"/>
    <x v="0"/>
    <x v="3"/>
    <x v="0"/>
    <n v="1"/>
    <s v="Slow"/>
    <s v="2 Days"/>
    <x v="9"/>
    <s v="Saturday"/>
    <n v="4"/>
  </r>
  <r>
    <x v="970"/>
    <d v="2024-02-27T00:00:00"/>
    <x v="0"/>
    <x v="2"/>
    <n v="206"/>
    <n v="44"/>
    <n v="1"/>
    <x v="0"/>
    <x v="0"/>
    <x v="0"/>
    <x v="2"/>
    <x v="2"/>
    <x v="1"/>
    <x v="1"/>
    <x v="1"/>
    <x v="0"/>
    <n v="1"/>
    <s v="Slow"/>
    <s v="2 Days"/>
    <x v="9"/>
    <s v="Tuesday"/>
    <n v="1"/>
  </r>
  <r>
    <x v="971"/>
    <d v="2024-04-21T00:00:00"/>
    <x v="2"/>
    <x v="1"/>
    <n v="189"/>
    <n v="4"/>
    <n v="2.9"/>
    <x v="0"/>
    <x v="0"/>
    <x v="1"/>
    <x v="1"/>
    <x v="1"/>
    <x v="0"/>
    <x v="1"/>
    <x v="3"/>
    <x v="1"/>
    <n v="1"/>
    <s v="Slow"/>
    <s v="Same Day"/>
    <x v="3"/>
    <s v="Sunday"/>
    <n v="3"/>
  </r>
  <r>
    <x v="972"/>
    <d v="2024-06-16T00:00:00"/>
    <x v="4"/>
    <x v="2"/>
    <n v="93"/>
    <n v="46"/>
    <n v="1.7"/>
    <x v="0"/>
    <x v="0"/>
    <x v="0"/>
    <x v="2"/>
    <x v="2"/>
    <x v="1"/>
    <x v="1"/>
    <x v="1"/>
    <x v="0"/>
    <n v="1"/>
    <s v="Acceptable"/>
    <s v="2 Days"/>
    <x v="4"/>
    <s v="Sunday"/>
    <n v="1"/>
  </r>
  <r>
    <x v="973"/>
    <d v="2024-10-05T00:00:00"/>
    <x v="4"/>
    <x v="2"/>
    <n v="26"/>
    <n v="9"/>
    <n v="2.7"/>
    <x v="0"/>
    <x v="1"/>
    <x v="0"/>
    <x v="2"/>
    <x v="2"/>
    <x v="1"/>
    <x v="0"/>
    <x v="3"/>
    <x v="0"/>
    <n v="1"/>
    <s v="Very Fast"/>
    <s v="1 Day"/>
    <x v="7"/>
    <s v="Saturday"/>
    <n v="1"/>
  </r>
  <r>
    <x v="974"/>
    <d v="2024-08-17T00:00:00"/>
    <x v="1"/>
    <x v="3"/>
    <n v="142"/>
    <n v="15"/>
    <n v="3.3"/>
    <x v="0"/>
    <x v="0"/>
    <x v="0"/>
    <x v="3"/>
    <x v="3"/>
    <x v="0"/>
    <x v="1"/>
    <x v="3"/>
    <x v="0"/>
    <n v="1"/>
    <s v="Slow"/>
    <s v="1 Day"/>
    <x v="0"/>
    <s v="Saturday"/>
    <n v="2"/>
  </r>
  <r>
    <x v="975"/>
    <d v="2024-04-10T00:00:00"/>
    <x v="4"/>
    <x v="1"/>
    <n v="147"/>
    <n v="41"/>
    <n v="5.3"/>
    <x v="0"/>
    <x v="2"/>
    <x v="0"/>
    <x v="1"/>
    <x v="1"/>
    <x v="0"/>
    <x v="1"/>
    <x v="0"/>
    <x v="0"/>
    <n v="1"/>
    <s v="Slow"/>
    <s v="2 Days"/>
    <x v="3"/>
    <s v="Wednesday"/>
    <n v="3"/>
  </r>
  <r>
    <x v="976"/>
    <d v="2024-01-07T00:00:00"/>
    <x v="3"/>
    <x v="2"/>
    <n v="230"/>
    <n v="31"/>
    <n v="9"/>
    <x v="0"/>
    <x v="0"/>
    <x v="0"/>
    <x v="2"/>
    <x v="2"/>
    <x v="1"/>
    <x v="1"/>
    <x v="2"/>
    <x v="0"/>
    <n v="1"/>
    <s v="Slow"/>
    <s v="2 Days"/>
    <x v="8"/>
    <s v="Sunday"/>
    <n v="1"/>
  </r>
  <r>
    <x v="977"/>
    <d v="2024-10-04T00:00:00"/>
    <x v="1"/>
    <x v="1"/>
    <n v="139"/>
    <n v="52"/>
    <n v="4.7"/>
    <x v="1"/>
    <x v="1"/>
    <x v="0"/>
    <x v="1"/>
    <x v="1"/>
    <x v="1"/>
    <x v="1"/>
    <x v="3"/>
    <x v="0"/>
    <n v="0"/>
    <s v="Slow"/>
    <s v="3 Days"/>
    <x v="7"/>
    <s v="Friday"/>
    <n v="3"/>
  </r>
  <r>
    <x v="978"/>
    <d v="2024-12-07T00:00:00"/>
    <x v="1"/>
    <x v="0"/>
    <n v="13"/>
    <n v="25"/>
    <n v="1.1000000000000001"/>
    <x v="0"/>
    <x v="2"/>
    <x v="1"/>
    <x v="0"/>
    <x v="0"/>
    <x v="0"/>
    <x v="0"/>
    <x v="1"/>
    <x v="1"/>
    <n v="1"/>
    <s v="Very Fast"/>
    <s v="2 Days"/>
    <x v="11"/>
    <s v="Saturday"/>
    <n v="4"/>
  </r>
  <r>
    <x v="979"/>
    <d v="2024-03-26T00:00:00"/>
    <x v="1"/>
    <x v="3"/>
    <n v="197"/>
    <n v="41"/>
    <n v="4.0999999999999996"/>
    <x v="1"/>
    <x v="0"/>
    <x v="0"/>
    <x v="3"/>
    <x v="3"/>
    <x v="1"/>
    <x v="1"/>
    <x v="3"/>
    <x v="0"/>
    <n v="0"/>
    <s v="Slow"/>
    <s v="2 Days"/>
    <x v="2"/>
    <s v="Tuesday"/>
    <n v="2"/>
  </r>
  <r>
    <x v="980"/>
    <d v="2024-02-11T00:00:00"/>
    <x v="1"/>
    <x v="0"/>
    <n v="36"/>
    <n v="33"/>
    <n v="3.8"/>
    <x v="0"/>
    <x v="2"/>
    <x v="0"/>
    <x v="0"/>
    <x v="0"/>
    <x v="0"/>
    <x v="0"/>
    <x v="3"/>
    <x v="0"/>
    <n v="1"/>
    <s v="Acceptable"/>
    <s v="2 Days"/>
    <x v="9"/>
    <s v="Sunday"/>
    <n v="4"/>
  </r>
  <r>
    <x v="981"/>
    <d v="2024-08-27T00:00:00"/>
    <x v="4"/>
    <x v="2"/>
    <n v="136"/>
    <n v="59"/>
    <n v="7.3"/>
    <x v="0"/>
    <x v="1"/>
    <x v="0"/>
    <x v="2"/>
    <x v="2"/>
    <x v="1"/>
    <x v="1"/>
    <x v="0"/>
    <x v="0"/>
    <n v="1"/>
    <s v="Slow"/>
    <s v="3 Days"/>
    <x v="0"/>
    <s v="Tuesday"/>
    <n v="1"/>
  </r>
  <r>
    <x v="982"/>
    <d v="2024-08-03T00:00:00"/>
    <x v="3"/>
    <x v="3"/>
    <n v="202"/>
    <n v="3"/>
    <n v="4.5"/>
    <x v="1"/>
    <x v="0"/>
    <x v="1"/>
    <x v="3"/>
    <x v="3"/>
    <x v="0"/>
    <x v="1"/>
    <x v="3"/>
    <x v="1"/>
    <n v="0"/>
    <s v="Slow"/>
    <s v="Same Day"/>
    <x v="0"/>
    <s v="Saturday"/>
    <n v="2"/>
  </r>
  <r>
    <x v="983"/>
    <d v="2024-03-17T00:00:00"/>
    <x v="0"/>
    <x v="2"/>
    <n v="92"/>
    <n v="62"/>
    <n v="9.6999999999999993"/>
    <x v="1"/>
    <x v="2"/>
    <x v="0"/>
    <x v="2"/>
    <x v="2"/>
    <x v="1"/>
    <x v="1"/>
    <x v="2"/>
    <x v="0"/>
    <n v="0"/>
    <s v="Acceptable"/>
    <s v="3 Days"/>
    <x v="2"/>
    <s v="Sunday"/>
    <n v="1"/>
  </r>
  <r>
    <x v="984"/>
    <d v="2024-11-14T00:00:00"/>
    <x v="2"/>
    <x v="3"/>
    <n v="20"/>
    <n v="23"/>
    <n v="4.5999999999999996"/>
    <x v="0"/>
    <x v="0"/>
    <x v="0"/>
    <x v="3"/>
    <x v="3"/>
    <x v="0"/>
    <x v="0"/>
    <x v="3"/>
    <x v="0"/>
    <n v="1"/>
    <s v="Very Fast"/>
    <s v="1 Day"/>
    <x v="6"/>
    <s v="Thursday"/>
    <n v="2"/>
  </r>
  <r>
    <x v="985"/>
    <d v="2024-05-15T00:00:00"/>
    <x v="1"/>
    <x v="0"/>
    <n v="226"/>
    <n v="68"/>
    <n v="9.5"/>
    <x v="1"/>
    <x v="1"/>
    <x v="1"/>
    <x v="0"/>
    <x v="0"/>
    <x v="0"/>
    <x v="0"/>
    <x v="2"/>
    <x v="1"/>
    <n v="0"/>
    <s v="Slow"/>
    <s v="3 Days"/>
    <x v="1"/>
    <s v="Wednesday"/>
    <n v="4"/>
  </r>
  <r>
    <x v="986"/>
    <d v="2024-10-03T00:00:00"/>
    <x v="1"/>
    <x v="1"/>
    <n v="152"/>
    <n v="44"/>
    <n v="6.7"/>
    <x v="0"/>
    <x v="2"/>
    <x v="0"/>
    <x v="1"/>
    <x v="1"/>
    <x v="0"/>
    <x v="1"/>
    <x v="0"/>
    <x v="0"/>
    <n v="1"/>
    <s v="Slow"/>
    <s v="2 Days"/>
    <x v="7"/>
    <s v="Thursday"/>
    <n v="3"/>
  </r>
  <r>
    <x v="987"/>
    <d v="2024-12-01T00:00:00"/>
    <x v="1"/>
    <x v="1"/>
    <n v="152"/>
    <n v="70"/>
    <n v="9"/>
    <x v="1"/>
    <x v="0"/>
    <x v="1"/>
    <x v="1"/>
    <x v="1"/>
    <x v="1"/>
    <x v="1"/>
    <x v="2"/>
    <x v="1"/>
    <n v="0"/>
    <s v="Slow"/>
    <s v="3 Days"/>
    <x v="11"/>
    <s v="Sunday"/>
    <n v="3"/>
  </r>
  <r>
    <x v="988"/>
    <d v="2024-12-31T00:00:00"/>
    <x v="2"/>
    <x v="1"/>
    <n v="18"/>
    <n v="46"/>
    <n v="8.6"/>
    <x v="1"/>
    <x v="2"/>
    <x v="2"/>
    <x v="1"/>
    <x v="1"/>
    <x v="0"/>
    <x v="0"/>
    <x v="2"/>
    <x v="2"/>
    <n v="0"/>
    <s v="Very Fast"/>
    <s v="2 Days"/>
    <x v="11"/>
    <s v="Tuesday"/>
    <n v="3"/>
  </r>
  <r>
    <x v="989"/>
    <d v="2024-07-15T00:00:00"/>
    <x v="3"/>
    <x v="0"/>
    <n v="18"/>
    <n v="45"/>
    <n v="8.3000000000000007"/>
    <x v="1"/>
    <x v="1"/>
    <x v="2"/>
    <x v="0"/>
    <x v="0"/>
    <x v="0"/>
    <x v="0"/>
    <x v="2"/>
    <x v="2"/>
    <n v="0"/>
    <s v="Very Fast"/>
    <s v="2 Days"/>
    <x v="10"/>
    <s v="Monday"/>
    <n v="4"/>
  </r>
  <r>
    <x v="990"/>
    <d v="2024-11-04T00:00:00"/>
    <x v="2"/>
    <x v="0"/>
    <n v="199"/>
    <n v="71"/>
    <n v="8.6999999999999993"/>
    <x v="1"/>
    <x v="0"/>
    <x v="1"/>
    <x v="0"/>
    <x v="0"/>
    <x v="0"/>
    <x v="0"/>
    <x v="2"/>
    <x v="1"/>
    <n v="0"/>
    <s v="Slow"/>
    <s v="3 Days"/>
    <x v="6"/>
    <s v="Monday"/>
    <n v="4"/>
  </r>
  <r>
    <x v="991"/>
    <d v="2024-01-28T00:00:00"/>
    <x v="2"/>
    <x v="0"/>
    <n v="51"/>
    <n v="24"/>
    <n v="7"/>
    <x v="0"/>
    <x v="0"/>
    <x v="0"/>
    <x v="0"/>
    <x v="0"/>
    <x v="0"/>
    <x v="0"/>
    <x v="0"/>
    <x v="0"/>
    <n v="1"/>
    <s v="Acceptable"/>
    <s v="1 Day"/>
    <x v="8"/>
    <s v="Sunday"/>
    <n v="4"/>
  </r>
  <r>
    <x v="992"/>
    <d v="2024-03-19T00:00:00"/>
    <x v="0"/>
    <x v="2"/>
    <n v="179"/>
    <n v="11"/>
    <n v="1.7"/>
    <x v="1"/>
    <x v="1"/>
    <x v="0"/>
    <x v="2"/>
    <x v="2"/>
    <x v="1"/>
    <x v="1"/>
    <x v="1"/>
    <x v="0"/>
    <n v="0"/>
    <s v="Slow"/>
    <s v="1 Day"/>
    <x v="2"/>
    <s v="Tuesday"/>
    <n v="1"/>
  </r>
  <r>
    <x v="993"/>
    <d v="2024-08-17T00:00:00"/>
    <x v="2"/>
    <x v="3"/>
    <n v="162"/>
    <n v="2"/>
    <n v="7.9"/>
    <x v="0"/>
    <x v="2"/>
    <x v="1"/>
    <x v="3"/>
    <x v="3"/>
    <x v="0"/>
    <x v="1"/>
    <x v="0"/>
    <x v="1"/>
    <n v="1"/>
    <s v="Slow"/>
    <s v="Same Day"/>
    <x v="0"/>
    <s v="Saturday"/>
    <n v="2"/>
  </r>
  <r>
    <x v="994"/>
    <d v="2024-06-15T00:00:00"/>
    <x v="2"/>
    <x v="2"/>
    <n v="106"/>
    <n v="26"/>
    <n v="5"/>
    <x v="0"/>
    <x v="2"/>
    <x v="0"/>
    <x v="2"/>
    <x v="2"/>
    <x v="1"/>
    <x v="1"/>
    <x v="3"/>
    <x v="0"/>
    <n v="1"/>
    <s v="Acceptable"/>
    <s v="2 Days"/>
    <x v="4"/>
    <s v="Saturday"/>
    <n v="1"/>
  </r>
  <r>
    <x v="995"/>
    <d v="2024-07-27T00:00:00"/>
    <x v="2"/>
    <x v="1"/>
    <n v="174"/>
    <n v="68"/>
    <n v="1.5"/>
    <x v="0"/>
    <x v="0"/>
    <x v="0"/>
    <x v="1"/>
    <x v="1"/>
    <x v="1"/>
    <x v="1"/>
    <x v="1"/>
    <x v="0"/>
    <n v="1"/>
    <s v="Slow"/>
    <s v="3 Days"/>
    <x v="10"/>
    <s v="Saturday"/>
    <n v="3"/>
  </r>
  <r>
    <x v="996"/>
    <d v="2024-03-06T00:00:00"/>
    <x v="2"/>
    <x v="2"/>
    <n v="9"/>
    <n v="48"/>
    <n v="0.5"/>
    <x v="0"/>
    <x v="1"/>
    <x v="0"/>
    <x v="2"/>
    <x v="2"/>
    <x v="1"/>
    <x v="0"/>
    <x v="1"/>
    <x v="0"/>
    <n v="1"/>
    <s v="Very Fast"/>
    <s v="2 Days"/>
    <x v="2"/>
    <s v="Wednesday"/>
    <n v="1"/>
  </r>
  <r>
    <x v="997"/>
    <d v="2024-10-02T00:00:00"/>
    <x v="0"/>
    <x v="0"/>
    <n v="123"/>
    <n v="61"/>
    <n v="3.4"/>
    <x v="1"/>
    <x v="2"/>
    <x v="0"/>
    <x v="0"/>
    <x v="0"/>
    <x v="0"/>
    <x v="0"/>
    <x v="3"/>
    <x v="0"/>
    <n v="0"/>
    <s v="Slow"/>
    <s v="3 Days"/>
    <x v="7"/>
    <s v="Wednesday"/>
    <n v="4"/>
  </r>
  <r>
    <x v="998"/>
    <d v="2024-06-02T00:00:00"/>
    <x v="1"/>
    <x v="3"/>
    <n v="175"/>
    <n v="43"/>
    <n v="8.8000000000000007"/>
    <x v="1"/>
    <x v="1"/>
    <x v="0"/>
    <x v="3"/>
    <x v="3"/>
    <x v="1"/>
    <x v="1"/>
    <x v="2"/>
    <x v="0"/>
    <n v="0"/>
    <s v="Slow"/>
    <s v="2 Days"/>
    <x v="4"/>
    <s v="Sunday"/>
    <n v="2"/>
  </r>
  <r>
    <x v="999"/>
    <d v="2024-03-16T00:00:00"/>
    <x v="3"/>
    <x v="2"/>
    <n v="55"/>
    <n v="51"/>
    <n v="9.5"/>
    <x v="1"/>
    <x v="2"/>
    <x v="0"/>
    <x v="2"/>
    <x v="2"/>
    <x v="1"/>
    <x v="1"/>
    <x v="2"/>
    <x v="0"/>
    <n v="0"/>
    <s v="Acceptable"/>
    <s v="3 Days"/>
    <x v="2"/>
    <s v="Saturday"/>
    <n v="1"/>
  </r>
  <r>
    <x v="1000"/>
    <d v="2024-09-13T00:00:00"/>
    <x v="3"/>
    <x v="2"/>
    <n v="130"/>
    <n v="33"/>
    <n v="1.5"/>
    <x v="0"/>
    <x v="1"/>
    <x v="0"/>
    <x v="2"/>
    <x v="2"/>
    <x v="1"/>
    <x v="1"/>
    <x v="1"/>
    <x v="0"/>
    <n v="1"/>
    <s v="Slow"/>
    <s v="2 Days"/>
    <x v="5"/>
    <s v="Friday"/>
    <n v="1"/>
  </r>
  <r>
    <x v="1001"/>
    <d v="2024-11-12T00:00:00"/>
    <x v="1"/>
    <x v="3"/>
    <n v="100"/>
    <n v="47"/>
    <n v="3.1"/>
    <x v="0"/>
    <x v="2"/>
    <x v="0"/>
    <x v="3"/>
    <x v="3"/>
    <x v="1"/>
    <x v="1"/>
    <x v="3"/>
    <x v="0"/>
    <n v="1"/>
    <s v="Acceptable"/>
    <s v="2 Days"/>
    <x v="6"/>
    <s v="Tuesday"/>
    <n v="2"/>
  </r>
  <r>
    <x v="1002"/>
    <d v="2024-11-14T00:00:00"/>
    <x v="2"/>
    <x v="1"/>
    <n v="33"/>
    <n v="7"/>
    <n v="4.5999999999999996"/>
    <x v="1"/>
    <x v="2"/>
    <x v="0"/>
    <x v="1"/>
    <x v="1"/>
    <x v="0"/>
    <x v="0"/>
    <x v="3"/>
    <x v="0"/>
    <n v="0"/>
    <s v="Acceptable"/>
    <s v="Same Day"/>
    <x v="6"/>
    <s v="Thursday"/>
    <n v="3"/>
  </r>
  <r>
    <x v="1003"/>
    <d v="2024-01-15T00:00:00"/>
    <x v="4"/>
    <x v="3"/>
    <n v="238"/>
    <n v="47"/>
    <n v="3.2"/>
    <x v="1"/>
    <x v="0"/>
    <x v="0"/>
    <x v="3"/>
    <x v="3"/>
    <x v="1"/>
    <x v="1"/>
    <x v="3"/>
    <x v="0"/>
    <n v="0"/>
    <s v="Slow"/>
    <s v="2 Days"/>
    <x v="8"/>
    <s v="Monday"/>
    <n v="2"/>
  </r>
  <r>
    <x v="1004"/>
    <d v="2024-02-25T00:00:00"/>
    <x v="3"/>
    <x v="1"/>
    <n v="8"/>
    <n v="28"/>
    <n v="0.8"/>
    <x v="1"/>
    <x v="2"/>
    <x v="1"/>
    <x v="1"/>
    <x v="1"/>
    <x v="0"/>
    <x v="0"/>
    <x v="1"/>
    <x v="1"/>
    <n v="0"/>
    <s v="Very Fast"/>
    <s v="2 Days"/>
    <x v="9"/>
    <s v="Sunday"/>
    <n v="3"/>
  </r>
  <r>
    <x v="1005"/>
    <d v="2024-02-12T00:00:00"/>
    <x v="1"/>
    <x v="0"/>
    <n v="155"/>
    <n v="45"/>
    <n v="5.4"/>
    <x v="0"/>
    <x v="2"/>
    <x v="0"/>
    <x v="0"/>
    <x v="0"/>
    <x v="0"/>
    <x v="0"/>
    <x v="0"/>
    <x v="0"/>
    <n v="1"/>
    <s v="Slow"/>
    <s v="2 Days"/>
    <x v="9"/>
    <s v="Monday"/>
    <n v="4"/>
  </r>
  <r>
    <x v="1006"/>
    <d v="2024-06-25T00:00:00"/>
    <x v="3"/>
    <x v="1"/>
    <n v="82"/>
    <n v="25"/>
    <n v="3.6"/>
    <x v="0"/>
    <x v="0"/>
    <x v="0"/>
    <x v="1"/>
    <x v="1"/>
    <x v="0"/>
    <x v="0"/>
    <x v="3"/>
    <x v="0"/>
    <n v="1"/>
    <s v="Acceptable"/>
    <s v="2 Days"/>
    <x v="4"/>
    <s v="Tuesday"/>
    <n v="3"/>
  </r>
  <r>
    <x v="1007"/>
    <d v="2024-06-01T00:00:00"/>
    <x v="2"/>
    <x v="0"/>
    <n v="18"/>
    <n v="45"/>
    <n v="3.5"/>
    <x v="1"/>
    <x v="1"/>
    <x v="1"/>
    <x v="0"/>
    <x v="0"/>
    <x v="0"/>
    <x v="0"/>
    <x v="3"/>
    <x v="1"/>
    <n v="0"/>
    <s v="Very Fast"/>
    <s v="2 Days"/>
    <x v="4"/>
    <s v="Saturday"/>
    <n v="4"/>
  </r>
  <r>
    <x v="1008"/>
    <d v="2024-08-17T00:00:00"/>
    <x v="4"/>
    <x v="0"/>
    <n v="174"/>
    <n v="38"/>
    <n v="6.5"/>
    <x v="1"/>
    <x v="2"/>
    <x v="1"/>
    <x v="0"/>
    <x v="0"/>
    <x v="0"/>
    <x v="0"/>
    <x v="0"/>
    <x v="1"/>
    <n v="0"/>
    <s v="Slow"/>
    <s v="2 Days"/>
    <x v="0"/>
    <s v="Saturday"/>
    <n v="4"/>
  </r>
  <r>
    <x v="1009"/>
    <d v="2024-12-13T00:00:00"/>
    <x v="2"/>
    <x v="2"/>
    <n v="29"/>
    <n v="44"/>
    <n v="1.5"/>
    <x v="0"/>
    <x v="0"/>
    <x v="0"/>
    <x v="2"/>
    <x v="2"/>
    <x v="1"/>
    <x v="0"/>
    <x v="1"/>
    <x v="0"/>
    <n v="1"/>
    <s v="Very Fast"/>
    <s v="2 Days"/>
    <x v="11"/>
    <s v="Friday"/>
    <n v="1"/>
  </r>
  <r>
    <x v="1010"/>
    <d v="2024-04-28T00:00:00"/>
    <x v="1"/>
    <x v="3"/>
    <n v="69"/>
    <n v="3"/>
    <n v="7.2"/>
    <x v="1"/>
    <x v="1"/>
    <x v="1"/>
    <x v="3"/>
    <x v="3"/>
    <x v="0"/>
    <x v="1"/>
    <x v="0"/>
    <x v="1"/>
    <n v="0"/>
    <s v="Acceptable"/>
    <s v="Same Day"/>
    <x v="3"/>
    <s v="Sunday"/>
    <n v="2"/>
  </r>
  <r>
    <x v="1011"/>
    <d v="2024-04-06T00:00:00"/>
    <x v="1"/>
    <x v="3"/>
    <n v="47"/>
    <n v="27"/>
    <n v="1.8"/>
    <x v="0"/>
    <x v="0"/>
    <x v="0"/>
    <x v="3"/>
    <x v="3"/>
    <x v="1"/>
    <x v="0"/>
    <x v="1"/>
    <x v="0"/>
    <n v="1"/>
    <s v="Acceptable"/>
    <s v="2 Days"/>
    <x v="3"/>
    <s v="Saturday"/>
    <n v="2"/>
  </r>
  <r>
    <x v="1012"/>
    <d v="2024-05-06T00:00:00"/>
    <x v="0"/>
    <x v="1"/>
    <n v="134"/>
    <n v="72"/>
    <n v="4.4000000000000004"/>
    <x v="1"/>
    <x v="2"/>
    <x v="0"/>
    <x v="1"/>
    <x v="1"/>
    <x v="1"/>
    <x v="1"/>
    <x v="3"/>
    <x v="0"/>
    <n v="0"/>
    <s v="Slow"/>
    <s v="3 Days"/>
    <x v="1"/>
    <s v="Monday"/>
    <n v="3"/>
  </r>
  <r>
    <x v="1013"/>
    <d v="2024-02-19T00:00:00"/>
    <x v="1"/>
    <x v="3"/>
    <n v="92"/>
    <n v="17"/>
    <n v="1.4"/>
    <x v="0"/>
    <x v="1"/>
    <x v="0"/>
    <x v="3"/>
    <x v="3"/>
    <x v="0"/>
    <x v="1"/>
    <x v="1"/>
    <x v="0"/>
    <n v="1"/>
    <s v="Acceptable"/>
    <s v="1 Day"/>
    <x v="9"/>
    <s v="Monday"/>
    <n v="2"/>
  </r>
  <r>
    <x v="1014"/>
    <d v="2024-02-22T00:00:00"/>
    <x v="4"/>
    <x v="2"/>
    <n v="230"/>
    <n v="32"/>
    <n v="2.5"/>
    <x v="1"/>
    <x v="2"/>
    <x v="0"/>
    <x v="2"/>
    <x v="2"/>
    <x v="1"/>
    <x v="1"/>
    <x v="3"/>
    <x v="0"/>
    <n v="0"/>
    <s v="Slow"/>
    <s v="2 Days"/>
    <x v="9"/>
    <s v="Thursday"/>
    <n v="1"/>
  </r>
  <r>
    <x v="1015"/>
    <d v="2024-09-11T00:00:00"/>
    <x v="3"/>
    <x v="2"/>
    <n v="230"/>
    <n v="6"/>
    <n v="9.5"/>
    <x v="0"/>
    <x v="2"/>
    <x v="1"/>
    <x v="2"/>
    <x v="2"/>
    <x v="0"/>
    <x v="1"/>
    <x v="2"/>
    <x v="1"/>
    <n v="1"/>
    <s v="Slow"/>
    <s v="Same Day"/>
    <x v="5"/>
    <s v="Wednesday"/>
    <n v="1"/>
  </r>
  <r>
    <x v="1016"/>
    <d v="2024-06-01T00:00:00"/>
    <x v="1"/>
    <x v="2"/>
    <n v="148"/>
    <n v="65"/>
    <n v="4.8"/>
    <x v="1"/>
    <x v="1"/>
    <x v="0"/>
    <x v="2"/>
    <x v="2"/>
    <x v="1"/>
    <x v="1"/>
    <x v="3"/>
    <x v="0"/>
    <n v="0"/>
    <s v="Slow"/>
    <s v="3 Days"/>
    <x v="4"/>
    <s v="Saturday"/>
    <n v="1"/>
  </r>
  <r>
    <x v="1017"/>
    <d v="2024-11-01T00:00:00"/>
    <x v="1"/>
    <x v="0"/>
    <n v="108"/>
    <n v="6"/>
    <n v="8.1999999999999993"/>
    <x v="1"/>
    <x v="1"/>
    <x v="2"/>
    <x v="0"/>
    <x v="0"/>
    <x v="0"/>
    <x v="0"/>
    <x v="2"/>
    <x v="2"/>
    <n v="0"/>
    <s v="Acceptable"/>
    <s v="Same Day"/>
    <x v="6"/>
    <s v="Friday"/>
    <n v="4"/>
  </r>
  <r>
    <x v="1018"/>
    <d v="2024-08-20T00:00:00"/>
    <x v="0"/>
    <x v="2"/>
    <n v="55"/>
    <n v="4"/>
    <n v="7.3"/>
    <x v="0"/>
    <x v="2"/>
    <x v="1"/>
    <x v="2"/>
    <x v="2"/>
    <x v="0"/>
    <x v="1"/>
    <x v="0"/>
    <x v="1"/>
    <n v="1"/>
    <s v="Acceptable"/>
    <s v="Same Day"/>
    <x v="0"/>
    <s v="Tuesday"/>
    <n v="1"/>
  </r>
  <r>
    <x v="1019"/>
    <d v="2024-03-19T00:00:00"/>
    <x v="0"/>
    <x v="3"/>
    <n v="139"/>
    <n v="59"/>
    <n v="7.7"/>
    <x v="1"/>
    <x v="2"/>
    <x v="0"/>
    <x v="3"/>
    <x v="3"/>
    <x v="1"/>
    <x v="1"/>
    <x v="0"/>
    <x v="0"/>
    <n v="0"/>
    <s v="Slow"/>
    <s v="3 Days"/>
    <x v="2"/>
    <s v="Tuesday"/>
    <n v="2"/>
  </r>
  <r>
    <x v="1020"/>
    <d v="2024-07-30T00:00:00"/>
    <x v="1"/>
    <x v="3"/>
    <n v="236"/>
    <n v="9"/>
    <n v="1.8"/>
    <x v="1"/>
    <x v="2"/>
    <x v="0"/>
    <x v="3"/>
    <x v="3"/>
    <x v="0"/>
    <x v="1"/>
    <x v="1"/>
    <x v="0"/>
    <n v="0"/>
    <s v="Slow"/>
    <s v="1 Day"/>
    <x v="10"/>
    <s v="Tuesday"/>
    <n v="2"/>
  </r>
  <r>
    <x v="1021"/>
    <d v="2024-12-16T00:00:00"/>
    <x v="1"/>
    <x v="0"/>
    <n v="72"/>
    <n v="59"/>
    <n v="9.4"/>
    <x v="0"/>
    <x v="1"/>
    <x v="0"/>
    <x v="0"/>
    <x v="0"/>
    <x v="0"/>
    <x v="0"/>
    <x v="2"/>
    <x v="0"/>
    <n v="1"/>
    <s v="Acceptable"/>
    <s v="3 Days"/>
    <x v="11"/>
    <s v="Monday"/>
    <n v="4"/>
  </r>
  <r>
    <x v="1022"/>
    <d v="2024-08-29T00:00:00"/>
    <x v="4"/>
    <x v="2"/>
    <n v="211"/>
    <n v="67"/>
    <n v="7.9"/>
    <x v="1"/>
    <x v="2"/>
    <x v="0"/>
    <x v="2"/>
    <x v="2"/>
    <x v="1"/>
    <x v="1"/>
    <x v="0"/>
    <x v="0"/>
    <n v="0"/>
    <s v="Slow"/>
    <s v="3 Days"/>
    <x v="0"/>
    <s v="Thursday"/>
    <n v="1"/>
  </r>
  <r>
    <x v="1023"/>
    <d v="2024-10-04T00:00:00"/>
    <x v="1"/>
    <x v="3"/>
    <n v="167"/>
    <n v="60"/>
    <n v="6.4"/>
    <x v="0"/>
    <x v="2"/>
    <x v="0"/>
    <x v="3"/>
    <x v="3"/>
    <x v="1"/>
    <x v="1"/>
    <x v="0"/>
    <x v="0"/>
    <n v="1"/>
    <s v="Slow"/>
    <s v="3 Days"/>
    <x v="7"/>
    <s v="Friday"/>
    <n v="2"/>
  </r>
  <r>
    <x v="1024"/>
    <d v="2024-03-19T00:00:00"/>
    <x v="3"/>
    <x v="0"/>
    <n v="82"/>
    <n v="66"/>
    <n v="0.7"/>
    <x v="0"/>
    <x v="0"/>
    <x v="0"/>
    <x v="0"/>
    <x v="0"/>
    <x v="0"/>
    <x v="0"/>
    <x v="1"/>
    <x v="0"/>
    <n v="1"/>
    <s v="Acceptable"/>
    <s v="3 Days"/>
    <x v="2"/>
    <s v="Tuesday"/>
    <n v="4"/>
  </r>
  <r>
    <x v="1025"/>
    <d v="2024-07-22T00:00:00"/>
    <x v="2"/>
    <x v="1"/>
    <n v="23"/>
    <n v="61"/>
    <n v="8.5"/>
    <x v="0"/>
    <x v="0"/>
    <x v="1"/>
    <x v="1"/>
    <x v="1"/>
    <x v="1"/>
    <x v="0"/>
    <x v="2"/>
    <x v="1"/>
    <n v="1"/>
    <s v="Very Fast"/>
    <s v="3 Days"/>
    <x v="10"/>
    <s v="Monday"/>
    <n v="3"/>
  </r>
  <r>
    <x v="1026"/>
    <d v="2024-04-19T00:00:00"/>
    <x v="1"/>
    <x v="2"/>
    <n v="122"/>
    <n v="29"/>
    <n v="4.0999999999999996"/>
    <x v="0"/>
    <x v="2"/>
    <x v="0"/>
    <x v="2"/>
    <x v="2"/>
    <x v="1"/>
    <x v="1"/>
    <x v="3"/>
    <x v="0"/>
    <n v="1"/>
    <s v="Slow"/>
    <s v="2 Days"/>
    <x v="3"/>
    <s v="Friday"/>
    <n v="1"/>
  </r>
  <r>
    <x v="1027"/>
    <d v="2024-01-06T00:00:00"/>
    <x v="0"/>
    <x v="0"/>
    <n v="6"/>
    <n v="58"/>
    <n v="7.1"/>
    <x v="0"/>
    <x v="0"/>
    <x v="1"/>
    <x v="0"/>
    <x v="0"/>
    <x v="0"/>
    <x v="0"/>
    <x v="0"/>
    <x v="1"/>
    <n v="1"/>
    <s v="Very Fast"/>
    <s v="3 Days"/>
    <x v="8"/>
    <s v="Saturday"/>
    <n v="4"/>
  </r>
  <r>
    <x v="1028"/>
    <d v="2024-06-26T00:00:00"/>
    <x v="2"/>
    <x v="3"/>
    <n v="203"/>
    <n v="41"/>
    <n v="2.7"/>
    <x v="1"/>
    <x v="1"/>
    <x v="0"/>
    <x v="3"/>
    <x v="3"/>
    <x v="1"/>
    <x v="1"/>
    <x v="3"/>
    <x v="0"/>
    <n v="0"/>
    <s v="Slow"/>
    <s v="2 Days"/>
    <x v="4"/>
    <s v="Wednesday"/>
    <n v="2"/>
  </r>
  <r>
    <x v="1029"/>
    <d v="2024-04-11T00:00:00"/>
    <x v="4"/>
    <x v="3"/>
    <n v="19"/>
    <n v="55"/>
    <n v="8.3000000000000007"/>
    <x v="1"/>
    <x v="0"/>
    <x v="1"/>
    <x v="3"/>
    <x v="3"/>
    <x v="1"/>
    <x v="0"/>
    <x v="2"/>
    <x v="1"/>
    <n v="0"/>
    <s v="Very Fast"/>
    <s v="3 Days"/>
    <x v="3"/>
    <s v="Thursday"/>
    <n v="2"/>
  </r>
  <r>
    <x v="1030"/>
    <d v="2024-07-07T00:00:00"/>
    <x v="1"/>
    <x v="2"/>
    <n v="171"/>
    <n v="2"/>
    <n v="8.4"/>
    <x v="1"/>
    <x v="1"/>
    <x v="1"/>
    <x v="2"/>
    <x v="2"/>
    <x v="0"/>
    <x v="1"/>
    <x v="2"/>
    <x v="1"/>
    <n v="0"/>
    <s v="Slow"/>
    <s v="Same Day"/>
    <x v="10"/>
    <s v="Sunday"/>
    <n v="1"/>
  </r>
  <r>
    <x v="1031"/>
    <d v="2024-12-18T00:00:00"/>
    <x v="3"/>
    <x v="0"/>
    <n v="66"/>
    <n v="7"/>
    <n v="5.7"/>
    <x v="1"/>
    <x v="2"/>
    <x v="1"/>
    <x v="0"/>
    <x v="0"/>
    <x v="0"/>
    <x v="0"/>
    <x v="0"/>
    <x v="1"/>
    <n v="0"/>
    <s v="Acceptable"/>
    <s v="Same Day"/>
    <x v="11"/>
    <s v="Wednesday"/>
    <n v="4"/>
  </r>
  <r>
    <x v="1032"/>
    <d v="2024-08-21T00:00:00"/>
    <x v="0"/>
    <x v="3"/>
    <n v="10"/>
    <n v="55"/>
    <n v="6.8"/>
    <x v="0"/>
    <x v="2"/>
    <x v="1"/>
    <x v="3"/>
    <x v="3"/>
    <x v="1"/>
    <x v="0"/>
    <x v="0"/>
    <x v="1"/>
    <n v="1"/>
    <s v="Very Fast"/>
    <s v="3 Days"/>
    <x v="0"/>
    <s v="Wednesday"/>
    <n v="2"/>
  </r>
  <r>
    <x v="1033"/>
    <d v="2024-02-01T00:00:00"/>
    <x v="2"/>
    <x v="2"/>
    <n v="114"/>
    <n v="5"/>
    <n v="6.7"/>
    <x v="0"/>
    <x v="0"/>
    <x v="1"/>
    <x v="2"/>
    <x v="2"/>
    <x v="0"/>
    <x v="1"/>
    <x v="0"/>
    <x v="1"/>
    <n v="1"/>
    <s v="Acceptable"/>
    <s v="Same Day"/>
    <x v="9"/>
    <s v="Thursday"/>
    <n v="1"/>
  </r>
  <r>
    <x v="1034"/>
    <d v="2024-03-20T00:00:00"/>
    <x v="4"/>
    <x v="0"/>
    <n v="7"/>
    <n v="14"/>
    <n v="4.3"/>
    <x v="0"/>
    <x v="1"/>
    <x v="1"/>
    <x v="0"/>
    <x v="0"/>
    <x v="0"/>
    <x v="0"/>
    <x v="3"/>
    <x v="1"/>
    <n v="1"/>
    <s v="Very Fast"/>
    <s v="1 Day"/>
    <x v="2"/>
    <s v="Wednesday"/>
    <n v="4"/>
  </r>
  <r>
    <x v="1035"/>
    <d v="2024-10-20T00:00:00"/>
    <x v="3"/>
    <x v="2"/>
    <n v="235"/>
    <n v="8"/>
    <n v="2"/>
    <x v="1"/>
    <x v="0"/>
    <x v="0"/>
    <x v="2"/>
    <x v="2"/>
    <x v="0"/>
    <x v="1"/>
    <x v="1"/>
    <x v="0"/>
    <n v="0"/>
    <s v="Slow"/>
    <s v="Same Day"/>
    <x v="7"/>
    <s v="Sunday"/>
    <n v="1"/>
  </r>
  <r>
    <x v="1036"/>
    <d v="2024-10-31T00:00:00"/>
    <x v="4"/>
    <x v="0"/>
    <n v="21"/>
    <n v="14"/>
    <n v="5.7"/>
    <x v="0"/>
    <x v="1"/>
    <x v="1"/>
    <x v="0"/>
    <x v="0"/>
    <x v="0"/>
    <x v="0"/>
    <x v="0"/>
    <x v="1"/>
    <n v="1"/>
    <s v="Very Fast"/>
    <s v="1 Day"/>
    <x v="7"/>
    <s v="Thursday"/>
    <n v="4"/>
  </r>
  <r>
    <x v="1037"/>
    <d v="2024-01-15T00:00:00"/>
    <x v="3"/>
    <x v="2"/>
    <n v="173"/>
    <n v="17"/>
    <n v="2.1"/>
    <x v="0"/>
    <x v="2"/>
    <x v="0"/>
    <x v="2"/>
    <x v="2"/>
    <x v="1"/>
    <x v="1"/>
    <x v="3"/>
    <x v="0"/>
    <n v="1"/>
    <s v="Slow"/>
    <s v="1 Day"/>
    <x v="8"/>
    <s v="Monday"/>
    <n v="1"/>
  </r>
  <r>
    <x v="1038"/>
    <d v="2024-07-05T00:00:00"/>
    <x v="4"/>
    <x v="0"/>
    <n v="157"/>
    <n v="2"/>
    <n v="8.1999999999999993"/>
    <x v="1"/>
    <x v="2"/>
    <x v="2"/>
    <x v="0"/>
    <x v="0"/>
    <x v="0"/>
    <x v="0"/>
    <x v="2"/>
    <x v="2"/>
    <n v="0"/>
    <s v="Slow"/>
    <s v="Same Day"/>
    <x v="10"/>
    <s v="Friday"/>
    <n v="4"/>
  </r>
  <r>
    <x v="1039"/>
    <d v="2024-04-18T00:00:00"/>
    <x v="4"/>
    <x v="1"/>
    <n v="161"/>
    <n v="57"/>
    <n v="3.7"/>
    <x v="1"/>
    <x v="0"/>
    <x v="0"/>
    <x v="1"/>
    <x v="1"/>
    <x v="1"/>
    <x v="1"/>
    <x v="3"/>
    <x v="0"/>
    <n v="0"/>
    <s v="Slow"/>
    <s v="3 Days"/>
    <x v="3"/>
    <s v="Thursday"/>
    <n v="3"/>
  </r>
  <r>
    <x v="1040"/>
    <d v="2024-06-07T00:00:00"/>
    <x v="3"/>
    <x v="1"/>
    <n v="73"/>
    <n v="44"/>
    <n v="9"/>
    <x v="0"/>
    <x v="0"/>
    <x v="0"/>
    <x v="1"/>
    <x v="1"/>
    <x v="0"/>
    <x v="0"/>
    <x v="2"/>
    <x v="0"/>
    <n v="1"/>
    <s v="Acceptable"/>
    <s v="2 Days"/>
    <x v="4"/>
    <s v="Friday"/>
    <n v="3"/>
  </r>
  <r>
    <x v="1041"/>
    <d v="2024-12-20T00:00:00"/>
    <x v="0"/>
    <x v="3"/>
    <n v="139"/>
    <n v="46"/>
    <n v="2.2999999999999998"/>
    <x v="1"/>
    <x v="1"/>
    <x v="0"/>
    <x v="3"/>
    <x v="3"/>
    <x v="1"/>
    <x v="1"/>
    <x v="3"/>
    <x v="0"/>
    <n v="0"/>
    <s v="Slow"/>
    <s v="2 Days"/>
    <x v="11"/>
    <s v="Friday"/>
    <n v="2"/>
  </r>
  <r>
    <x v="1042"/>
    <d v="2024-06-09T00:00:00"/>
    <x v="4"/>
    <x v="2"/>
    <n v="19"/>
    <n v="1"/>
    <n v="4.0999999999999996"/>
    <x v="0"/>
    <x v="0"/>
    <x v="1"/>
    <x v="2"/>
    <x v="2"/>
    <x v="0"/>
    <x v="0"/>
    <x v="3"/>
    <x v="1"/>
    <n v="1"/>
    <s v="Very Fast"/>
    <s v="Same Day"/>
    <x v="4"/>
    <s v="Sunday"/>
    <n v="1"/>
  </r>
  <r>
    <x v="1043"/>
    <d v="2024-09-06T00:00:00"/>
    <x v="0"/>
    <x v="1"/>
    <n v="233"/>
    <n v="71"/>
    <n v="3"/>
    <x v="0"/>
    <x v="2"/>
    <x v="0"/>
    <x v="1"/>
    <x v="1"/>
    <x v="1"/>
    <x v="1"/>
    <x v="3"/>
    <x v="0"/>
    <n v="1"/>
    <s v="Slow"/>
    <s v="3 Days"/>
    <x v="5"/>
    <s v="Friday"/>
    <n v="3"/>
  </r>
  <r>
    <x v="1044"/>
    <d v="2024-01-20T00:00:00"/>
    <x v="4"/>
    <x v="3"/>
    <n v="240"/>
    <n v="14"/>
    <n v="6.8"/>
    <x v="0"/>
    <x v="2"/>
    <x v="0"/>
    <x v="3"/>
    <x v="3"/>
    <x v="0"/>
    <x v="1"/>
    <x v="0"/>
    <x v="0"/>
    <n v="1"/>
    <s v="Slow"/>
    <s v="1 Day"/>
    <x v="8"/>
    <s v="Saturday"/>
    <n v="2"/>
  </r>
  <r>
    <x v="1045"/>
    <d v="2024-07-28T00:00:00"/>
    <x v="0"/>
    <x v="3"/>
    <n v="147"/>
    <n v="72"/>
    <n v="1.3"/>
    <x v="0"/>
    <x v="1"/>
    <x v="0"/>
    <x v="3"/>
    <x v="3"/>
    <x v="1"/>
    <x v="1"/>
    <x v="1"/>
    <x v="0"/>
    <n v="1"/>
    <s v="Slow"/>
    <s v="3 Days"/>
    <x v="10"/>
    <s v="Sunday"/>
    <n v="2"/>
  </r>
  <r>
    <x v="1046"/>
    <d v="2024-05-29T00:00:00"/>
    <x v="0"/>
    <x v="3"/>
    <n v="192"/>
    <n v="27"/>
    <n v="6.4"/>
    <x v="0"/>
    <x v="2"/>
    <x v="0"/>
    <x v="3"/>
    <x v="3"/>
    <x v="1"/>
    <x v="1"/>
    <x v="0"/>
    <x v="0"/>
    <n v="1"/>
    <s v="Slow"/>
    <s v="2 Days"/>
    <x v="1"/>
    <s v="Wednesday"/>
    <n v="2"/>
  </r>
  <r>
    <x v="1047"/>
    <d v="2024-06-22T00:00:00"/>
    <x v="3"/>
    <x v="1"/>
    <n v="70"/>
    <n v="60"/>
    <n v="2.8"/>
    <x v="0"/>
    <x v="0"/>
    <x v="0"/>
    <x v="1"/>
    <x v="1"/>
    <x v="1"/>
    <x v="0"/>
    <x v="3"/>
    <x v="0"/>
    <n v="1"/>
    <s v="Acceptable"/>
    <s v="3 Days"/>
    <x v="4"/>
    <s v="Saturday"/>
    <n v="3"/>
  </r>
  <r>
    <x v="1048"/>
    <d v="2024-02-22T00:00:00"/>
    <x v="2"/>
    <x v="3"/>
    <n v="86"/>
    <n v="52"/>
    <n v="8.9"/>
    <x v="0"/>
    <x v="1"/>
    <x v="0"/>
    <x v="3"/>
    <x v="3"/>
    <x v="1"/>
    <x v="1"/>
    <x v="2"/>
    <x v="0"/>
    <n v="1"/>
    <s v="Acceptable"/>
    <s v="3 Days"/>
    <x v="9"/>
    <s v="Thursday"/>
    <n v="2"/>
  </r>
  <r>
    <x v="1049"/>
    <d v="2024-04-13T00:00:00"/>
    <x v="0"/>
    <x v="3"/>
    <n v="107"/>
    <n v="9"/>
    <n v="3.2"/>
    <x v="0"/>
    <x v="1"/>
    <x v="0"/>
    <x v="3"/>
    <x v="3"/>
    <x v="0"/>
    <x v="1"/>
    <x v="3"/>
    <x v="0"/>
    <n v="1"/>
    <s v="Acceptable"/>
    <s v="1 Day"/>
    <x v="3"/>
    <s v="Saturday"/>
    <n v="2"/>
  </r>
  <r>
    <x v="1050"/>
    <d v="2024-01-08T00:00:00"/>
    <x v="1"/>
    <x v="2"/>
    <n v="152"/>
    <n v="58"/>
    <n v="2.2999999999999998"/>
    <x v="0"/>
    <x v="2"/>
    <x v="0"/>
    <x v="2"/>
    <x v="2"/>
    <x v="1"/>
    <x v="1"/>
    <x v="3"/>
    <x v="0"/>
    <n v="1"/>
    <s v="Slow"/>
    <s v="3 Days"/>
    <x v="8"/>
    <s v="Monday"/>
    <n v="1"/>
  </r>
  <r>
    <x v="1051"/>
    <d v="2024-08-04T00:00:00"/>
    <x v="3"/>
    <x v="3"/>
    <n v="135"/>
    <n v="24"/>
    <n v="6.9"/>
    <x v="1"/>
    <x v="1"/>
    <x v="0"/>
    <x v="3"/>
    <x v="3"/>
    <x v="0"/>
    <x v="1"/>
    <x v="0"/>
    <x v="0"/>
    <n v="0"/>
    <s v="Slow"/>
    <s v="1 Day"/>
    <x v="0"/>
    <s v="Sunday"/>
    <n v="2"/>
  </r>
  <r>
    <x v="1052"/>
    <d v="2024-02-02T00:00:00"/>
    <x v="2"/>
    <x v="1"/>
    <n v="215"/>
    <n v="3"/>
    <n v="1.8"/>
    <x v="1"/>
    <x v="1"/>
    <x v="1"/>
    <x v="1"/>
    <x v="1"/>
    <x v="0"/>
    <x v="1"/>
    <x v="1"/>
    <x v="1"/>
    <n v="0"/>
    <s v="Slow"/>
    <s v="Same Day"/>
    <x v="9"/>
    <s v="Friday"/>
    <n v="3"/>
  </r>
  <r>
    <x v="1053"/>
    <d v="2024-02-13T00:00:00"/>
    <x v="0"/>
    <x v="1"/>
    <n v="218"/>
    <n v="26"/>
    <n v="5.5"/>
    <x v="1"/>
    <x v="2"/>
    <x v="1"/>
    <x v="1"/>
    <x v="1"/>
    <x v="0"/>
    <x v="1"/>
    <x v="0"/>
    <x v="1"/>
    <n v="0"/>
    <s v="Slow"/>
    <s v="2 Days"/>
    <x v="9"/>
    <s v="Tuesday"/>
    <n v="3"/>
  </r>
  <r>
    <x v="1054"/>
    <d v="2024-07-23T00:00:00"/>
    <x v="0"/>
    <x v="3"/>
    <n v="97"/>
    <n v="1"/>
    <n v="0.6"/>
    <x v="1"/>
    <x v="2"/>
    <x v="1"/>
    <x v="3"/>
    <x v="3"/>
    <x v="0"/>
    <x v="1"/>
    <x v="1"/>
    <x v="1"/>
    <n v="0"/>
    <s v="Acceptable"/>
    <s v="Same Day"/>
    <x v="10"/>
    <s v="Tuesday"/>
    <n v="2"/>
  </r>
  <r>
    <x v="1055"/>
    <d v="2024-07-28T00:00:00"/>
    <x v="4"/>
    <x v="2"/>
    <n v="108"/>
    <n v="48"/>
    <n v="5.2"/>
    <x v="1"/>
    <x v="0"/>
    <x v="0"/>
    <x v="2"/>
    <x v="2"/>
    <x v="1"/>
    <x v="1"/>
    <x v="0"/>
    <x v="0"/>
    <n v="0"/>
    <s v="Acceptable"/>
    <s v="2 Days"/>
    <x v="10"/>
    <s v="Sunday"/>
    <n v="1"/>
  </r>
  <r>
    <x v="1056"/>
    <d v="2024-01-21T00:00:00"/>
    <x v="2"/>
    <x v="0"/>
    <n v="84"/>
    <n v="41"/>
    <n v="10"/>
    <x v="1"/>
    <x v="1"/>
    <x v="1"/>
    <x v="0"/>
    <x v="0"/>
    <x v="0"/>
    <x v="0"/>
    <x v="2"/>
    <x v="1"/>
    <n v="0"/>
    <s v="Acceptable"/>
    <s v="2 Days"/>
    <x v="8"/>
    <s v="Sunday"/>
    <n v="4"/>
  </r>
  <r>
    <x v="1057"/>
    <d v="2024-04-03T00:00:00"/>
    <x v="1"/>
    <x v="0"/>
    <n v="139"/>
    <n v="47"/>
    <n v="8.6999999999999993"/>
    <x v="0"/>
    <x v="1"/>
    <x v="0"/>
    <x v="0"/>
    <x v="0"/>
    <x v="0"/>
    <x v="0"/>
    <x v="2"/>
    <x v="0"/>
    <n v="1"/>
    <s v="Slow"/>
    <s v="2 Days"/>
    <x v="3"/>
    <s v="Wednesday"/>
    <n v="4"/>
  </r>
  <r>
    <x v="1058"/>
    <d v="2024-09-08T00:00:00"/>
    <x v="4"/>
    <x v="3"/>
    <n v="30"/>
    <n v="49"/>
    <n v="4.5"/>
    <x v="0"/>
    <x v="2"/>
    <x v="0"/>
    <x v="3"/>
    <x v="3"/>
    <x v="1"/>
    <x v="0"/>
    <x v="3"/>
    <x v="0"/>
    <n v="1"/>
    <s v="Very Fast"/>
    <s v="3 Days"/>
    <x v="5"/>
    <s v="Sunday"/>
    <n v="2"/>
  </r>
  <r>
    <x v="1059"/>
    <d v="2024-03-04T00:00:00"/>
    <x v="0"/>
    <x v="2"/>
    <n v="61"/>
    <n v="56"/>
    <n v="8.1999999999999993"/>
    <x v="0"/>
    <x v="0"/>
    <x v="0"/>
    <x v="2"/>
    <x v="2"/>
    <x v="1"/>
    <x v="1"/>
    <x v="2"/>
    <x v="0"/>
    <n v="1"/>
    <s v="Acceptable"/>
    <s v="3 Days"/>
    <x v="2"/>
    <s v="Monday"/>
    <n v="1"/>
  </r>
  <r>
    <x v="1060"/>
    <d v="2024-12-03T00:00:00"/>
    <x v="4"/>
    <x v="0"/>
    <n v="154"/>
    <n v="71"/>
    <n v="2.7"/>
    <x v="0"/>
    <x v="1"/>
    <x v="0"/>
    <x v="0"/>
    <x v="0"/>
    <x v="0"/>
    <x v="0"/>
    <x v="3"/>
    <x v="0"/>
    <n v="1"/>
    <s v="Slow"/>
    <s v="3 Days"/>
    <x v="11"/>
    <s v="Tuesday"/>
    <n v="4"/>
  </r>
  <r>
    <x v="1061"/>
    <d v="2024-05-15T00:00:00"/>
    <x v="3"/>
    <x v="0"/>
    <n v="68"/>
    <n v="39"/>
    <n v="1.7"/>
    <x v="0"/>
    <x v="1"/>
    <x v="0"/>
    <x v="0"/>
    <x v="0"/>
    <x v="0"/>
    <x v="0"/>
    <x v="1"/>
    <x v="0"/>
    <n v="1"/>
    <s v="Acceptable"/>
    <s v="2 Days"/>
    <x v="1"/>
    <s v="Wednesday"/>
    <n v="4"/>
  </r>
  <r>
    <x v="1062"/>
    <d v="2024-09-19T00:00:00"/>
    <x v="3"/>
    <x v="1"/>
    <n v="130"/>
    <n v="64"/>
    <n v="5.2"/>
    <x v="0"/>
    <x v="2"/>
    <x v="0"/>
    <x v="1"/>
    <x v="1"/>
    <x v="1"/>
    <x v="1"/>
    <x v="0"/>
    <x v="0"/>
    <n v="1"/>
    <s v="Slow"/>
    <s v="3 Days"/>
    <x v="5"/>
    <s v="Thursday"/>
    <n v="3"/>
  </r>
  <r>
    <x v="1063"/>
    <d v="2024-12-16T00:00:00"/>
    <x v="4"/>
    <x v="0"/>
    <n v="153"/>
    <n v="18"/>
    <n v="0.9"/>
    <x v="1"/>
    <x v="0"/>
    <x v="0"/>
    <x v="0"/>
    <x v="0"/>
    <x v="0"/>
    <x v="0"/>
    <x v="1"/>
    <x v="0"/>
    <n v="0"/>
    <s v="Slow"/>
    <s v="1 Day"/>
    <x v="11"/>
    <s v="Monday"/>
    <n v="4"/>
  </r>
  <r>
    <x v="1064"/>
    <d v="2024-04-23T00:00:00"/>
    <x v="1"/>
    <x v="0"/>
    <n v="25"/>
    <n v="20"/>
    <n v="1.2"/>
    <x v="0"/>
    <x v="0"/>
    <x v="1"/>
    <x v="0"/>
    <x v="0"/>
    <x v="0"/>
    <x v="0"/>
    <x v="1"/>
    <x v="1"/>
    <n v="1"/>
    <s v="Very Fast"/>
    <s v="1 Day"/>
    <x v="3"/>
    <s v="Tuesday"/>
    <n v="4"/>
  </r>
  <r>
    <x v="1065"/>
    <d v="2024-01-31T00:00:00"/>
    <x v="0"/>
    <x v="3"/>
    <n v="32"/>
    <n v="71"/>
    <n v="2.9"/>
    <x v="1"/>
    <x v="2"/>
    <x v="0"/>
    <x v="3"/>
    <x v="3"/>
    <x v="1"/>
    <x v="0"/>
    <x v="3"/>
    <x v="0"/>
    <n v="0"/>
    <s v="Acceptable"/>
    <s v="3 Days"/>
    <x v="8"/>
    <s v="Wednesday"/>
    <n v="2"/>
  </r>
  <r>
    <x v="1066"/>
    <d v="2024-06-14T00:00:00"/>
    <x v="4"/>
    <x v="0"/>
    <n v="27"/>
    <n v="6"/>
    <n v="8.1"/>
    <x v="0"/>
    <x v="1"/>
    <x v="2"/>
    <x v="0"/>
    <x v="0"/>
    <x v="0"/>
    <x v="0"/>
    <x v="2"/>
    <x v="2"/>
    <n v="1"/>
    <s v="Very Fast"/>
    <s v="Same Day"/>
    <x v="4"/>
    <s v="Friday"/>
    <n v="4"/>
  </r>
  <r>
    <x v="1067"/>
    <d v="2024-08-09T00:00:00"/>
    <x v="4"/>
    <x v="0"/>
    <n v="94"/>
    <n v="64"/>
    <n v="4"/>
    <x v="1"/>
    <x v="1"/>
    <x v="0"/>
    <x v="0"/>
    <x v="0"/>
    <x v="0"/>
    <x v="0"/>
    <x v="3"/>
    <x v="0"/>
    <n v="0"/>
    <s v="Acceptable"/>
    <s v="3 Days"/>
    <x v="0"/>
    <s v="Friday"/>
    <n v="4"/>
  </r>
  <r>
    <x v="1068"/>
    <d v="2024-07-06T00:00:00"/>
    <x v="3"/>
    <x v="0"/>
    <n v="54"/>
    <n v="15"/>
    <n v="8.4"/>
    <x v="1"/>
    <x v="0"/>
    <x v="1"/>
    <x v="0"/>
    <x v="0"/>
    <x v="0"/>
    <x v="0"/>
    <x v="2"/>
    <x v="1"/>
    <n v="0"/>
    <s v="Acceptable"/>
    <s v="1 Day"/>
    <x v="10"/>
    <s v="Saturday"/>
    <n v="4"/>
  </r>
  <r>
    <x v="1069"/>
    <d v="2024-08-17T00:00:00"/>
    <x v="0"/>
    <x v="1"/>
    <n v="170"/>
    <n v="55"/>
    <n v="5.4"/>
    <x v="1"/>
    <x v="2"/>
    <x v="1"/>
    <x v="1"/>
    <x v="1"/>
    <x v="1"/>
    <x v="1"/>
    <x v="0"/>
    <x v="1"/>
    <n v="0"/>
    <s v="Slow"/>
    <s v="3 Days"/>
    <x v="0"/>
    <s v="Saturday"/>
    <n v="3"/>
  </r>
  <r>
    <x v="1070"/>
    <d v="2024-05-13T00:00:00"/>
    <x v="2"/>
    <x v="1"/>
    <n v="115"/>
    <n v="37"/>
    <n v="6"/>
    <x v="0"/>
    <x v="1"/>
    <x v="0"/>
    <x v="1"/>
    <x v="1"/>
    <x v="0"/>
    <x v="0"/>
    <x v="0"/>
    <x v="0"/>
    <n v="1"/>
    <s v="Acceptable"/>
    <s v="2 Days"/>
    <x v="1"/>
    <s v="Monday"/>
    <n v="3"/>
  </r>
  <r>
    <x v="1071"/>
    <d v="2024-03-11T00:00:00"/>
    <x v="0"/>
    <x v="0"/>
    <n v="139"/>
    <n v="18"/>
    <n v="6.2"/>
    <x v="0"/>
    <x v="2"/>
    <x v="0"/>
    <x v="0"/>
    <x v="0"/>
    <x v="0"/>
    <x v="0"/>
    <x v="0"/>
    <x v="0"/>
    <n v="1"/>
    <s v="Slow"/>
    <s v="1 Day"/>
    <x v="2"/>
    <s v="Monday"/>
    <n v="4"/>
  </r>
  <r>
    <x v="1072"/>
    <d v="2024-01-03T00:00:00"/>
    <x v="4"/>
    <x v="3"/>
    <n v="85"/>
    <n v="60"/>
    <n v="4.2"/>
    <x v="0"/>
    <x v="2"/>
    <x v="0"/>
    <x v="3"/>
    <x v="3"/>
    <x v="1"/>
    <x v="1"/>
    <x v="3"/>
    <x v="0"/>
    <n v="1"/>
    <s v="Acceptable"/>
    <s v="3 Days"/>
    <x v="8"/>
    <s v="Wednesday"/>
    <n v="2"/>
  </r>
  <r>
    <x v="1073"/>
    <d v="2024-08-26T00:00:00"/>
    <x v="2"/>
    <x v="3"/>
    <n v="235"/>
    <n v="45"/>
    <n v="5.7"/>
    <x v="0"/>
    <x v="0"/>
    <x v="0"/>
    <x v="3"/>
    <x v="3"/>
    <x v="1"/>
    <x v="1"/>
    <x v="0"/>
    <x v="0"/>
    <n v="1"/>
    <s v="Slow"/>
    <s v="2 Days"/>
    <x v="0"/>
    <s v="Monday"/>
    <n v="2"/>
  </r>
  <r>
    <x v="1074"/>
    <d v="2024-09-30T00:00:00"/>
    <x v="1"/>
    <x v="2"/>
    <n v="206"/>
    <n v="43"/>
    <n v="5.7"/>
    <x v="1"/>
    <x v="2"/>
    <x v="0"/>
    <x v="2"/>
    <x v="2"/>
    <x v="1"/>
    <x v="1"/>
    <x v="0"/>
    <x v="0"/>
    <n v="0"/>
    <s v="Slow"/>
    <s v="2 Days"/>
    <x v="5"/>
    <s v="Monday"/>
    <n v="1"/>
  </r>
  <r>
    <x v="1075"/>
    <d v="2024-08-07T00:00:00"/>
    <x v="3"/>
    <x v="2"/>
    <n v="240"/>
    <n v="54"/>
    <n v="1.7"/>
    <x v="1"/>
    <x v="2"/>
    <x v="0"/>
    <x v="2"/>
    <x v="2"/>
    <x v="1"/>
    <x v="1"/>
    <x v="1"/>
    <x v="0"/>
    <n v="0"/>
    <s v="Slow"/>
    <s v="3 Days"/>
    <x v="0"/>
    <s v="Wednesday"/>
    <n v="1"/>
  </r>
  <r>
    <x v="1076"/>
    <d v="2024-10-10T00:00:00"/>
    <x v="4"/>
    <x v="0"/>
    <n v="200"/>
    <n v="33"/>
    <n v="4.2"/>
    <x v="1"/>
    <x v="0"/>
    <x v="0"/>
    <x v="0"/>
    <x v="0"/>
    <x v="0"/>
    <x v="0"/>
    <x v="3"/>
    <x v="0"/>
    <n v="0"/>
    <s v="Slow"/>
    <s v="2 Days"/>
    <x v="7"/>
    <s v="Thursday"/>
    <n v="4"/>
  </r>
  <r>
    <x v="1077"/>
    <d v="2024-09-05T00:00:00"/>
    <x v="4"/>
    <x v="1"/>
    <n v="75"/>
    <n v="33"/>
    <n v="2.2999999999999998"/>
    <x v="1"/>
    <x v="0"/>
    <x v="0"/>
    <x v="1"/>
    <x v="1"/>
    <x v="0"/>
    <x v="0"/>
    <x v="3"/>
    <x v="0"/>
    <n v="0"/>
    <s v="Acceptable"/>
    <s v="2 Days"/>
    <x v="5"/>
    <s v="Thursday"/>
    <n v="3"/>
  </r>
  <r>
    <x v="1078"/>
    <d v="2024-03-10T00:00:00"/>
    <x v="4"/>
    <x v="0"/>
    <n v="49"/>
    <n v="40"/>
    <n v="2"/>
    <x v="0"/>
    <x v="1"/>
    <x v="0"/>
    <x v="0"/>
    <x v="0"/>
    <x v="0"/>
    <x v="0"/>
    <x v="1"/>
    <x v="0"/>
    <n v="1"/>
    <s v="Acceptable"/>
    <s v="2 Days"/>
    <x v="2"/>
    <s v="Sunday"/>
    <n v="4"/>
  </r>
  <r>
    <x v="1079"/>
    <d v="2024-08-29T00:00:00"/>
    <x v="1"/>
    <x v="0"/>
    <n v="80"/>
    <n v="24"/>
    <n v="6.6"/>
    <x v="1"/>
    <x v="1"/>
    <x v="1"/>
    <x v="0"/>
    <x v="0"/>
    <x v="0"/>
    <x v="0"/>
    <x v="0"/>
    <x v="1"/>
    <n v="0"/>
    <s v="Acceptable"/>
    <s v="1 Day"/>
    <x v="0"/>
    <s v="Thursday"/>
    <n v="4"/>
  </r>
  <r>
    <x v="1080"/>
    <d v="2024-04-03T00:00:00"/>
    <x v="1"/>
    <x v="1"/>
    <n v="131"/>
    <n v="60"/>
    <n v="6.6"/>
    <x v="1"/>
    <x v="1"/>
    <x v="1"/>
    <x v="1"/>
    <x v="1"/>
    <x v="1"/>
    <x v="1"/>
    <x v="0"/>
    <x v="1"/>
    <n v="0"/>
    <s v="Slow"/>
    <s v="3 Days"/>
    <x v="3"/>
    <s v="Wednesday"/>
    <n v="3"/>
  </r>
  <r>
    <x v="1081"/>
    <d v="2024-09-04T00:00:00"/>
    <x v="3"/>
    <x v="1"/>
    <n v="46"/>
    <n v="58"/>
    <n v="1.4"/>
    <x v="0"/>
    <x v="1"/>
    <x v="0"/>
    <x v="1"/>
    <x v="1"/>
    <x v="1"/>
    <x v="0"/>
    <x v="1"/>
    <x v="0"/>
    <n v="1"/>
    <s v="Acceptable"/>
    <s v="3 Days"/>
    <x v="5"/>
    <s v="Wednesday"/>
    <n v="3"/>
  </r>
  <r>
    <x v="1082"/>
    <d v="2024-05-13T00:00:00"/>
    <x v="3"/>
    <x v="2"/>
    <n v="39"/>
    <n v="11"/>
    <n v="8.6999999999999993"/>
    <x v="1"/>
    <x v="2"/>
    <x v="0"/>
    <x v="2"/>
    <x v="2"/>
    <x v="1"/>
    <x v="1"/>
    <x v="2"/>
    <x v="0"/>
    <n v="0"/>
    <s v="Acceptable"/>
    <s v="1 Day"/>
    <x v="1"/>
    <s v="Monday"/>
    <n v="1"/>
  </r>
  <r>
    <x v="1083"/>
    <d v="2024-02-01T00:00:00"/>
    <x v="0"/>
    <x v="0"/>
    <n v="149"/>
    <n v="21"/>
    <n v="8.6"/>
    <x v="1"/>
    <x v="2"/>
    <x v="1"/>
    <x v="0"/>
    <x v="0"/>
    <x v="0"/>
    <x v="0"/>
    <x v="2"/>
    <x v="1"/>
    <n v="0"/>
    <s v="Slow"/>
    <s v="1 Day"/>
    <x v="9"/>
    <s v="Thursday"/>
    <n v="4"/>
  </r>
  <r>
    <x v="1084"/>
    <d v="2024-09-17T00:00:00"/>
    <x v="1"/>
    <x v="2"/>
    <n v="117"/>
    <n v="71"/>
    <n v="6.9"/>
    <x v="0"/>
    <x v="1"/>
    <x v="0"/>
    <x v="2"/>
    <x v="2"/>
    <x v="1"/>
    <x v="1"/>
    <x v="0"/>
    <x v="0"/>
    <n v="1"/>
    <s v="Acceptable"/>
    <s v="3 Days"/>
    <x v="5"/>
    <s v="Tuesday"/>
    <n v="1"/>
  </r>
  <r>
    <x v="1085"/>
    <d v="2024-10-31T00:00:00"/>
    <x v="0"/>
    <x v="1"/>
    <n v="9"/>
    <n v="34"/>
    <n v="7.1"/>
    <x v="0"/>
    <x v="0"/>
    <x v="1"/>
    <x v="1"/>
    <x v="1"/>
    <x v="0"/>
    <x v="0"/>
    <x v="0"/>
    <x v="1"/>
    <n v="1"/>
    <s v="Very Fast"/>
    <s v="2 Days"/>
    <x v="7"/>
    <s v="Thursday"/>
    <n v="3"/>
  </r>
  <r>
    <x v="1086"/>
    <d v="2024-04-01T00:00:00"/>
    <x v="2"/>
    <x v="3"/>
    <n v="79"/>
    <n v="65"/>
    <n v="2"/>
    <x v="0"/>
    <x v="0"/>
    <x v="0"/>
    <x v="3"/>
    <x v="3"/>
    <x v="1"/>
    <x v="1"/>
    <x v="1"/>
    <x v="0"/>
    <n v="1"/>
    <s v="Acceptable"/>
    <s v="3 Days"/>
    <x v="3"/>
    <s v="Monday"/>
    <n v="2"/>
  </r>
  <r>
    <x v="1087"/>
    <d v="2024-04-18T00:00:00"/>
    <x v="1"/>
    <x v="0"/>
    <n v="230"/>
    <n v="20"/>
    <n v="3.8"/>
    <x v="0"/>
    <x v="1"/>
    <x v="0"/>
    <x v="0"/>
    <x v="0"/>
    <x v="0"/>
    <x v="0"/>
    <x v="3"/>
    <x v="0"/>
    <n v="1"/>
    <s v="Slow"/>
    <s v="1 Day"/>
    <x v="3"/>
    <s v="Thursday"/>
    <n v="4"/>
  </r>
  <r>
    <x v="1088"/>
    <d v="2024-02-27T00:00:00"/>
    <x v="4"/>
    <x v="1"/>
    <n v="193"/>
    <n v="12"/>
    <n v="2.2000000000000002"/>
    <x v="1"/>
    <x v="0"/>
    <x v="0"/>
    <x v="1"/>
    <x v="1"/>
    <x v="0"/>
    <x v="1"/>
    <x v="3"/>
    <x v="0"/>
    <n v="0"/>
    <s v="Slow"/>
    <s v="1 Day"/>
    <x v="9"/>
    <s v="Tuesday"/>
    <n v="3"/>
  </r>
  <r>
    <x v="1089"/>
    <d v="2024-03-15T00:00:00"/>
    <x v="3"/>
    <x v="0"/>
    <n v="35"/>
    <n v="25"/>
    <n v="1.1000000000000001"/>
    <x v="0"/>
    <x v="1"/>
    <x v="0"/>
    <x v="0"/>
    <x v="0"/>
    <x v="0"/>
    <x v="0"/>
    <x v="1"/>
    <x v="0"/>
    <n v="1"/>
    <s v="Acceptable"/>
    <s v="2 Days"/>
    <x v="2"/>
    <s v="Friday"/>
    <n v="4"/>
  </r>
  <r>
    <x v="1090"/>
    <d v="2024-03-25T00:00:00"/>
    <x v="2"/>
    <x v="0"/>
    <n v="197"/>
    <n v="38"/>
    <n v="2.4"/>
    <x v="0"/>
    <x v="2"/>
    <x v="0"/>
    <x v="0"/>
    <x v="0"/>
    <x v="0"/>
    <x v="0"/>
    <x v="3"/>
    <x v="0"/>
    <n v="1"/>
    <s v="Slow"/>
    <s v="2 Days"/>
    <x v="2"/>
    <s v="Monday"/>
    <n v="4"/>
  </r>
  <r>
    <x v="1091"/>
    <d v="2024-06-18T00:00:00"/>
    <x v="4"/>
    <x v="0"/>
    <n v="164"/>
    <n v="59"/>
    <n v="6.8"/>
    <x v="0"/>
    <x v="0"/>
    <x v="0"/>
    <x v="0"/>
    <x v="0"/>
    <x v="0"/>
    <x v="0"/>
    <x v="0"/>
    <x v="0"/>
    <n v="1"/>
    <s v="Slow"/>
    <s v="3 Days"/>
    <x v="4"/>
    <s v="Tuesday"/>
    <n v="4"/>
  </r>
  <r>
    <x v="1092"/>
    <d v="2024-07-02T00:00:00"/>
    <x v="3"/>
    <x v="3"/>
    <n v="9"/>
    <n v="55"/>
    <n v="8.6"/>
    <x v="0"/>
    <x v="2"/>
    <x v="1"/>
    <x v="3"/>
    <x v="3"/>
    <x v="1"/>
    <x v="0"/>
    <x v="2"/>
    <x v="1"/>
    <n v="1"/>
    <s v="Very Fast"/>
    <s v="3 Days"/>
    <x v="10"/>
    <s v="Tuesday"/>
    <n v="2"/>
  </r>
  <r>
    <x v="1093"/>
    <d v="2024-11-17T00:00:00"/>
    <x v="2"/>
    <x v="0"/>
    <n v="160"/>
    <n v="56"/>
    <n v="5.5"/>
    <x v="1"/>
    <x v="0"/>
    <x v="1"/>
    <x v="0"/>
    <x v="0"/>
    <x v="0"/>
    <x v="0"/>
    <x v="0"/>
    <x v="1"/>
    <n v="0"/>
    <s v="Slow"/>
    <s v="3 Days"/>
    <x v="6"/>
    <s v="Sunday"/>
    <n v="4"/>
  </r>
  <r>
    <x v="1094"/>
    <d v="2024-08-30T00:00:00"/>
    <x v="2"/>
    <x v="1"/>
    <n v="5"/>
    <n v="25"/>
    <n v="5.6"/>
    <x v="1"/>
    <x v="1"/>
    <x v="2"/>
    <x v="1"/>
    <x v="1"/>
    <x v="0"/>
    <x v="0"/>
    <x v="0"/>
    <x v="2"/>
    <n v="0"/>
    <s v="Very Fast"/>
    <s v="2 Days"/>
    <x v="0"/>
    <s v="Friday"/>
    <n v="3"/>
  </r>
  <r>
    <x v="1095"/>
    <d v="2024-05-24T00:00:00"/>
    <x v="0"/>
    <x v="3"/>
    <n v="215"/>
    <n v="2"/>
    <n v="9.6999999999999993"/>
    <x v="0"/>
    <x v="1"/>
    <x v="1"/>
    <x v="3"/>
    <x v="3"/>
    <x v="0"/>
    <x v="1"/>
    <x v="2"/>
    <x v="1"/>
    <n v="1"/>
    <s v="Slow"/>
    <s v="Same Day"/>
    <x v="1"/>
    <s v="Friday"/>
    <n v="2"/>
  </r>
  <r>
    <x v="1096"/>
    <d v="2024-08-13T00:00:00"/>
    <x v="1"/>
    <x v="0"/>
    <n v="129"/>
    <n v="44"/>
    <n v="2.9"/>
    <x v="1"/>
    <x v="1"/>
    <x v="0"/>
    <x v="0"/>
    <x v="0"/>
    <x v="0"/>
    <x v="0"/>
    <x v="3"/>
    <x v="0"/>
    <n v="0"/>
    <s v="Slow"/>
    <s v="2 Days"/>
    <x v="0"/>
    <s v="Tuesday"/>
    <n v="4"/>
  </r>
  <r>
    <x v="1097"/>
    <d v="2024-10-09T00:00:00"/>
    <x v="0"/>
    <x v="2"/>
    <n v="158"/>
    <n v="6"/>
    <n v="3.8"/>
    <x v="0"/>
    <x v="2"/>
    <x v="0"/>
    <x v="2"/>
    <x v="2"/>
    <x v="0"/>
    <x v="1"/>
    <x v="3"/>
    <x v="0"/>
    <n v="1"/>
    <s v="Slow"/>
    <s v="Same Day"/>
    <x v="7"/>
    <s v="Wednesday"/>
    <n v="1"/>
  </r>
  <r>
    <x v="1098"/>
    <d v="2024-01-27T00:00:00"/>
    <x v="3"/>
    <x v="2"/>
    <n v="140"/>
    <n v="31"/>
    <n v="8"/>
    <x v="1"/>
    <x v="0"/>
    <x v="0"/>
    <x v="2"/>
    <x v="2"/>
    <x v="1"/>
    <x v="1"/>
    <x v="0"/>
    <x v="0"/>
    <n v="0"/>
    <s v="Slow"/>
    <s v="2 Days"/>
    <x v="8"/>
    <s v="Saturday"/>
    <n v="1"/>
  </r>
  <r>
    <x v="1099"/>
    <d v="2024-02-08T00:00:00"/>
    <x v="4"/>
    <x v="0"/>
    <n v="98"/>
    <n v="30"/>
    <n v="6.3"/>
    <x v="1"/>
    <x v="2"/>
    <x v="1"/>
    <x v="0"/>
    <x v="0"/>
    <x v="0"/>
    <x v="0"/>
    <x v="0"/>
    <x v="1"/>
    <n v="0"/>
    <s v="Acceptable"/>
    <s v="2 Days"/>
    <x v="9"/>
    <s v="Thursday"/>
    <n v="4"/>
  </r>
  <r>
    <x v="1100"/>
    <d v="2024-09-28T00:00:00"/>
    <x v="1"/>
    <x v="3"/>
    <n v="233"/>
    <n v="54"/>
    <n v="3"/>
    <x v="1"/>
    <x v="1"/>
    <x v="0"/>
    <x v="3"/>
    <x v="3"/>
    <x v="1"/>
    <x v="1"/>
    <x v="3"/>
    <x v="0"/>
    <n v="0"/>
    <s v="Slow"/>
    <s v="3 Days"/>
    <x v="5"/>
    <s v="Saturday"/>
    <n v="2"/>
  </r>
  <r>
    <x v="1101"/>
    <d v="2024-10-07T00:00:00"/>
    <x v="2"/>
    <x v="3"/>
    <n v="152"/>
    <n v="44"/>
    <n v="4"/>
    <x v="0"/>
    <x v="2"/>
    <x v="0"/>
    <x v="3"/>
    <x v="3"/>
    <x v="1"/>
    <x v="1"/>
    <x v="3"/>
    <x v="0"/>
    <n v="1"/>
    <s v="Slow"/>
    <s v="2 Days"/>
    <x v="7"/>
    <s v="Monday"/>
    <n v="2"/>
  </r>
  <r>
    <x v="1102"/>
    <d v="2024-11-06T00:00:00"/>
    <x v="1"/>
    <x v="1"/>
    <n v="107"/>
    <n v="34"/>
    <n v="2.1"/>
    <x v="1"/>
    <x v="2"/>
    <x v="0"/>
    <x v="1"/>
    <x v="1"/>
    <x v="0"/>
    <x v="0"/>
    <x v="3"/>
    <x v="0"/>
    <n v="0"/>
    <s v="Acceptable"/>
    <s v="2 Days"/>
    <x v="6"/>
    <s v="Wednesday"/>
    <n v="3"/>
  </r>
  <r>
    <x v="1103"/>
    <d v="2024-06-30T00:00:00"/>
    <x v="4"/>
    <x v="2"/>
    <n v="127"/>
    <n v="27"/>
    <n v="5.3"/>
    <x v="1"/>
    <x v="0"/>
    <x v="0"/>
    <x v="2"/>
    <x v="2"/>
    <x v="1"/>
    <x v="1"/>
    <x v="0"/>
    <x v="0"/>
    <n v="0"/>
    <s v="Slow"/>
    <s v="2 Days"/>
    <x v="4"/>
    <s v="Sunday"/>
    <n v="1"/>
  </r>
  <r>
    <x v="1104"/>
    <d v="2024-05-20T00:00:00"/>
    <x v="3"/>
    <x v="3"/>
    <n v="151"/>
    <n v="37"/>
    <n v="6.2"/>
    <x v="1"/>
    <x v="1"/>
    <x v="0"/>
    <x v="3"/>
    <x v="3"/>
    <x v="1"/>
    <x v="1"/>
    <x v="0"/>
    <x v="0"/>
    <n v="0"/>
    <s v="Slow"/>
    <s v="2 Days"/>
    <x v="1"/>
    <s v="Monday"/>
    <n v="2"/>
  </r>
  <r>
    <x v="1105"/>
    <d v="2024-03-02T00:00:00"/>
    <x v="4"/>
    <x v="0"/>
    <n v="110"/>
    <n v="71"/>
    <n v="3.4"/>
    <x v="1"/>
    <x v="1"/>
    <x v="0"/>
    <x v="0"/>
    <x v="0"/>
    <x v="0"/>
    <x v="0"/>
    <x v="3"/>
    <x v="0"/>
    <n v="0"/>
    <s v="Acceptable"/>
    <s v="3 Days"/>
    <x v="2"/>
    <s v="Saturday"/>
    <n v="4"/>
  </r>
  <r>
    <x v="1106"/>
    <d v="2024-03-17T00:00:00"/>
    <x v="0"/>
    <x v="3"/>
    <n v="180"/>
    <n v="70"/>
    <n v="4.5"/>
    <x v="1"/>
    <x v="0"/>
    <x v="0"/>
    <x v="3"/>
    <x v="3"/>
    <x v="1"/>
    <x v="1"/>
    <x v="3"/>
    <x v="0"/>
    <n v="0"/>
    <s v="Slow"/>
    <s v="3 Days"/>
    <x v="2"/>
    <s v="Sunday"/>
    <n v="2"/>
  </r>
  <r>
    <x v="1107"/>
    <d v="2024-06-03T00:00:00"/>
    <x v="0"/>
    <x v="1"/>
    <n v="99"/>
    <n v="61"/>
    <n v="10"/>
    <x v="0"/>
    <x v="1"/>
    <x v="0"/>
    <x v="1"/>
    <x v="1"/>
    <x v="1"/>
    <x v="0"/>
    <x v="2"/>
    <x v="0"/>
    <n v="1"/>
    <s v="Acceptable"/>
    <s v="3 Days"/>
    <x v="4"/>
    <s v="Monday"/>
    <n v="3"/>
  </r>
  <r>
    <x v="1108"/>
    <d v="2024-06-01T00:00:00"/>
    <x v="2"/>
    <x v="3"/>
    <n v="33"/>
    <n v="56"/>
    <n v="9.5"/>
    <x v="0"/>
    <x v="1"/>
    <x v="0"/>
    <x v="3"/>
    <x v="3"/>
    <x v="1"/>
    <x v="0"/>
    <x v="2"/>
    <x v="0"/>
    <n v="1"/>
    <s v="Acceptable"/>
    <s v="3 Days"/>
    <x v="4"/>
    <s v="Saturday"/>
    <n v="2"/>
  </r>
  <r>
    <x v="1109"/>
    <d v="2024-10-04T00:00:00"/>
    <x v="1"/>
    <x v="1"/>
    <n v="133"/>
    <n v="29"/>
    <n v="6"/>
    <x v="0"/>
    <x v="2"/>
    <x v="0"/>
    <x v="1"/>
    <x v="1"/>
    <x v="0"/>
    <x v="1"/>
    <x v="0"/>
    <x v="0"/>
    <n v="1"/>
    <s v="Slow"/>
    <s v="2 Days"/>
    <x v="7"/>
    <s v="Friday"/>
    <n v="3"/>
  </r>
  <r>
    <x v="1110"/>
    <d v="2024-06-16T00:00:00"/>
    <x v="2"/>
    <x v="3"/>
    <n v="237"/>
    <n v="47"/>
    <n v="1.9"/>
    <x v="0"/>
    <x v="2"/>
    <x v="0"/>
    <x v="3"/>
    <x v="3"/>
    <x v="1"/>
    <x v="1"/>
    <x v="1"/>
    <x v="0"/>
    <n v="1"/>
    <s v="Slow"/>
    <s v="2 Days"/>
    <x v="4"/>
    <s v="Sunday"/>
    <n v="2"/>
  </r>
  <r>
    <x v="1111"/>
    <d v="2024-01-21T00:00:00"/>
    <x v="1"/>
    <x v="0"/>
    <n v="149"/>
    <n v="48"/>
    <n v="5.5"/>
    <x v="1"/>
    <x v="0"/>
    <x v="1"/>
    <x v="0"/>
    <x v="0"/>
    <x v="0"/>
    <x v="0"/>
    <x v="0"/>
    <x v="1"/>
    <n v="0"/>
    <s v="Slow"/>
    <s v="2 Days"/>
    <x v="8"/>
    <s v="Sunday"/>
    <n v="4"/>
  </r>
  <r>
    <x v="1112"/>
    <d v="2024-06-24T00:00:00"/>
    <x v="0"/>
    <x v="3"/>
    <n v="171"/>
    <n v="63"/>
    <n v="4.8"/>
    <x v="1"/>
    <x v="0"/>
    <x v="0"/>
    <x v="3"/>
    <x v="3"/>
    <x v="1"/>
    <x v="1"/>
    <x v="3"/>
    <x v="0"/>
    <n v="0"/>
    <s v="Slow"/>
    <s v="3 Days"/>
    <x v="4"/>
    <s v="Monday"/>
    <n v="2"/>
  </r>
  <r>
    <x v="1113"/>
    <d v="2024-06-14T00:00:00"/>
    <x v="0"/>
    <x v="3"/>
    <n v="222"/>
    <n v="3"/>
    <n v="3.2"/>
    <x v="0"/>
    <x v="0"/>
    <x v="0"/>
    <x v="3"/>
    <x v="3"/>
    <x v="0"/>
    <x v="1"/>
    <x v="3"/>
    <x v="0"/>
    <n v="1"/>
    <s v="Slow"/>
    <s v="Same Day"/>
    <x v="4"/>
    <s v="Friday"/>
    <n v="2"/>
  </r>
  <r>
    <x v="1114"/>
    <d v="2024-05-05T00:00:00"/>
    <x v="1"/>
    <x v="3"/>
    <n v="205"/>
    <n v="54"/>
    <n v="9.5"/>
    <x v="0"/>
    <x v="1"/>
    <x v="0"/>
    <x v="3"/>
    <x v="3"/>
    <x v="1"/>
    <x v="1"/>
    <x v="2"/>
    <x v="0"/>
    <n v="1"/>
    <s v="Slow"/>
    <s v="3 Days"/>
    <x v="1"/>
    <s v="Sunday"/>
    <n v="2"/>
  </r>
  <r>
    <x v="1115"/>
    <d v="2024-02-17T00:00:00"/>
    <x v="3"/>
    <x v="3"/>
    <n v="194"/>
    <n v="67"/>
    <n v="8.6999999999999993"/>
    <x v="1"/>
    <x v="1"/>
    <x v="0"/>
    <x v="3"/>
    <x v="3"/>
    <x v="1"/>
    <x v="1"/>
    <x v="2"/>
    <x v="0"/>
    <n v="0"/>
    <s v="Slow"/>
    <s v="3 Days"/>
    <x v="9"/>
    <s v="Saturday"/>
    <n v="2"/>
  </r>
  <r>
    <x v="1116"/>
    <d v="2024-01-25T00:00:00"/>
    <x v="4"/>
    <x v="3"/>
    <n v="38"/>
    <n v="20"/>
    <n v="2.5"/>
    <x v="1"/>
    <x v="0"/>
    <x v="0"/>
    <x v="3"/>
    <x v="3"/>
    <x v="0"/>
    <x v="0"/>
    <x v="3"/>
    <x v="0"/>
    <n v="0"/>
    <s v="Acceptable"/>
    <s v="1 Day"/>
    <x v="8"/>
    <s v="Thursday"/>
    <n v="2"/>
  </r>
  <r>
    <x v="1117"/>
    <d v="2024-06-13T00:00:00"/>
    <x v="1"/>
    <x v="3"/>
    <n v="105"/>
    <n v="30"/>
    <n v="2.1"/>
    <x v="0"/>
    <x v="0"/>
    <x v="0"/>
    <x v="3"/>
    <x v="3"/>
    <x v="1"/>
    <x v="1"/>
    <x v="3"/>
    <x v="0"/>
    <n v="1"/>
    <s v="Acceptable"/>
    <s v="2 Days"/>
    <x v="4"/>
    <s v="Thursday"/>
    <n v="2"/>
  </r>
  <r>
    <x v="1118"/>
    <d v="2024-06-18T00:00:00"/>
    <x v="3"/>
    <x v="0"/>
    <n v="162"/>
    <n v="23"/>
    <n v="9.9"/>
    <x v="1"/>
    <x v="2"/>
    <x v="1"/>
    <x v="0"/>
    <x v="0"/>
    <x v="0"/>
    <x v="0"/>
    <x v="2"/>
    <x v="1"/>
    <n v="0"/>
    <s v="Slow"/>
    <s v="1 Day"/>
    <x v="4"/>
    <s v="Tuesday"/>
    <n v="4"/>
  </r>
  <r>
    <x v="1119"/>
    <d v="2024-10-22T00:00:00"/>
    <x v="1"/>
    <x v="2"/>
    <n v="123"/>
    <n v="8"/>
    <n v="9.6999999999999993"/>
    <x v="1"/>
    <x v="1"/>
    <x v="0"/>
    <x v="2"/>
    <x v="2"/>
    <x v="0"/>
    <x v="1"/>
    <x v="2"/>
    <x v="0"/>
    <n v="0"/>
    <s v="Slow"/>
    <s v="Same Day"/>
    <x v="7"/>
    <s v="Tuesday"/>
    <n v="1"/>
  </r>
  <r>
    <x v="1120"/>
    <d v="2024-04-25T00:00:00"/>
    <x v="1"/>
    <x v="0"/>
    <n v="54"/>
    <n v="58"/>
    <n v="0.8"/>
    <x v="0"/>
    <x v="2"/>
    <x v="0"/>
    <x v="0"/>
    <x v="0"/>
    <x v="0"/>
    <x v="0"/>
    <x v="1"/>
    <x v="0"/>
    <n v="1"/>
    <s v="Acceptable"/>
    <s v="3 Days"/>
    <x v="3"/>
    <s v="Thursday"/>
    <n v="4"/>
  </r>
  <r>
    <x v="1121"/>
    <d v="2024-11-23T00:00:00"/>
    <x v="4"/>
    <x v="3"/>
    <n v="68"/>
    <n v="1"/>
    <n v="8.8000000000000007"/>
    <x v="1"/>
    <x v="0"/>
    <x v="1"/>
    <x v="3"/>
    <x v="3"/>
    <x v="0"/>
    <x v="1"/>
    <x v="2"/>
    <x v="1"/>
    <n v="0"/>
    <s v="Acceptable"/>
    <s v="Same Day"/>
    <x v="6"/>
    <s v="Saturday"/>
    <n v="2"/>
  </r>
  <r>
    <x v="1122"/>
    <d v="2024-03-07T00:00:00"/>
    <x v="1"/>
    <x v="3"/>
    <n v="198"/>
    <n v="57"/>
    <n v="0.8"/>
    <x v="1"/>
    <x v="0"/>
    <x v="0"/>
    <x v="3"/>
    <x v="3"/>
    <x v="1"/>
    <x v="1"/>
    <x v="1"/>
    <x v="0"/>
    <n v="0"/>
    <s v="Slow"/>
    <s v="3 Days"/>
    <x v="2"/>
    <s v="Thursday"/>
    <n v="2"/>
  </r>
  <r>
    <x v="1123"/>
    <d v="2024-12-25T00:00:00"/>
    <x v="4"/>
    <x v="2"/>
    <n v="135"/>
    <n v="3"/>
    <n v="9.9"/>
    <x v="0"/>
    <x v="2"/>
    <x v="1"/>
    <x v="2"/>
    <x v="2"/>
    <x v="0"/>
    <x v="1"/>
    <x v="2"/>
    <x v="1"/>
    <n v="1"/>
    <s v="Slow"/>
    <s v="Same Day"/>
    <x v="11"/>
    <s v="Wednesday"/>
    <n v="1"/>
  </r>
  <r>
    <x v="1124"/>
    <d v="2024-03-01T00:00:00"/>
    <x v="1"/>
    <x v="1"/>
    <n v="223"/>
    <n v="66"/>
    <n v="1.9"/>
    <x v="0"/>
    <x v="2"/>
    <x v="0"/>
    <x v="1"/>
    <x v="1"/>
    <x v="1"/>
    <x v="1"/>
    <x v="1"/>
    <x v="0"/>
    <n v="1"/>
    <s v="Slow"/>
    <s v="3 Days"/>
    <x v="2"/>
    <s v="Friday"/>
    <n v="3"/>
  </r>
  <r>
    <x v="1125"/>
    <d v="2024-03-15T00:00:00"/>
    <x v="1"/>
    <x v="0"/>
    <n v="116"/>
    <n v="11"/>
    <n v="3.9"/>
    <x v="0"/>
    <x v="0"/>
    <x v="0"/>
    <x v="0"/>
    <x v="0"/>
    <x v="0"/>
    <x v="0"/>
    <x v="3"/>
    <x v="0"/>
    <n v="1"/>
    <s v="Acceptable"/>
    <s v="1 Day"/>
    <x v="2"/>
    <s v="Friday"/>
    <n v="4"/>
  </r>
  <r>
    <x v="1126"/>
    <d v="2024-09-23T00:00:00"/>
    <x v="4"/>
    <x v="0"/>
    <n v="191"/>
    <n v="32"/>
    <n v="6.7"/>
    <x v="1"/>
    <x v="2"/>
    <x v="1"/>
    <x v="0"/>
    <x v="0"/>
    <x v="0"/>
    <x v="0"/>
    <x v="0"/>
    <x v="1"/>
    <n v="0"/>
    <s v="Slow"/>
    <s v="2 Days"/>
    <x v="5"/>
    <s v="Monday"/>
    <n v="4"/>
  </r>
  <r>
    <x v="1127"/>
    <d v="2024-11-20T00:00:00"/>
    <x v="3"/>
    <x v="0"/>
    <n v="48"/>
    <n v="70"/>
    <n v="6"/>
    <x v="0"/>
    <x v="2"/>
    <x v="0"/>
    <x v="0"/>
    <x v="0"/>
    <x v="0"/>
    <x v="0"/>
    <x v="0"/>
    <x v="0"/>
    <n v="1"/>
    <s v="Acceptable"/>
    <s v="3 Days"/>
    <x v="6"/>
    <s v="Wednesday"/>
    <n v="4"/>
  </r>
  <r>
    <x v="1128"/>
    <d v="2024-06-04T00:00:00"/>
    <x v="3"/>
    <x v="2"/>
    <n v="171"/>
    <n v="43"/>
    <n v="4"/>
    <x v="1"/>
    <x v="0"/>
    <x v="0"/>
    <x v="2"/>
    <x v="2"/>
    <x v="1"/>
    <x v="1"/>
    <x v="3"/>
    <x v="0"/>
    <n v="0"/>
    <s v="Slow"/>
    <s v="2 Days"/>
    <x v="4"/>
    <s v="Tuesday"/>
    <n v="1"/>
  </r>
  <r>
    <x v="1129"/>
    <d v="2024-03-27T00:00:00"/>
    <x v="2"/>
    <x v="0"/>
    <n v="240"/>
    <n v="20"/>
    <n v="1.7"/>
    <x v="1"/>
    <x v="0"/>
    <x v="0"/>
    <x v="0"/>
    <x v="0"/>
    <x v="0"/>
    <x v="0"/>
    <x v="1"/>
    <x v="0"/>
    <n v="0"/>
    <s v="Slow"/>
    <s v="1 Day"/>
    <x v="2"/>
    <s v="Wednesday"/>
    <n v="4"/>
  </r>
  <r>
    <x v="1130"/>
    <d v="2024-05-01T00:00:00"/>
    <x v="4"/>
    <x v="0"/>
    <n v="150"/>
    <n v="36"/>
    <n v="5"/>
    <x v="1"/>
    <x v="2"/>
    <x v="1"/>
    <x v="0"/>
    <x v="0"/>
    <x v="0"/>
    <x v="0"/>
    <x v="3"/>
    <x v="1"/>
    <n v="0"/>
    <s v="Slow"/>
    <s v="2 Days"/>
    <x v="1"/>
    <s v="Wednesday"/>
    <n v="4"/>
  </r>
  <r>
    <x v="1131"/>
    <d v="2024-04-07T00:00:00"/>
    <x v="4"/>
    <x v="2"/>
    <n v="223"/>
    <n v="6"/>
    <n v="6.1"/>
    <x v="1"/>
    <x v="1"/>
    <x v="1"/>
    <x v="2"/>
    <x v="2"/>
    <x v="0"/>
    <x v="1"/>
    <x v="0"/>
    <x v="1"/>
    <n v="0"/>
    <s v="Slow"/>
    <s v="Same Day"/>
    <x v="3"/>
    <s v="Sunday"/>
    <n v="1"/>
  </r>
  <r>
    <x v="1132"/>
    <d v="2024-05-18T00:00:00"/>
    <x v="2"/>
    <x v="3"/>
    <n v="183"/>
    <n v="27"/>
    <n v="2.8"/>
    <x v="0"/>
    <x v="2"/>
    <x v="0"/>
    <x v="3"/>
    <x v="3"/>
    <x v="1"/>
    <x v="1"/>
    <x v="3"/>
    <x v="0"/>
    <n v="1"/>
    <s v="Slow"/>
    <s v="2 Days"/>
    <x v="1"/>
    <s v="Saturday"/>
    <n v="2"/>
  </r>
  <r>
    <x v="1133"/>
    <d v="2024-02-04T00:00:00"/>
    <x v="3"/>
    <x v="2"/>
    <n v="200"/>
    <n v="44"/>
    <n v="8.4"/>
    <x v="1"/>
    <x v="1"/>
    <x v="0"/>
    <x v="2"/>
    <x v="2"/>
    <x v="1"/>
    <x v="1"/>
    <x v="2"/>
    <x v="0"/>
    <n v="0"/>
    <s v="Slow"/>
    <s v="2 Days"/>
    <x v="9"/>
    <s v="Sunday"/>
    <n v="1"/>
  </r>
  <r>
    <x v="1134"/>
    <d v="2024-06-10T00:00:00"/>
    <x v="2"/>
    <x v="1"/>
    <n v="22"/>
    <n v="4"/>
    <n v="4.7"/>
    <x v="0"/>
    <x v="2"/>
    <x v="2"/>
    <x v="1"/>
    <x v="1"/>
    <x v="0"/>
    <x v="0"/>
    <x v="3"/>
    <x v="2"/>
    <n v="1"/>
    <s v="Very Fast"/>
    <s v="Same Day"/>
    <x v="4"/>
    <s v="Monday"/>
    <n v="3"/>
  </r>
  <r>
    <x v="1135"/>
    <d v="2024-11-14T00:00:00"/>
    <x v="2"/>
    <x v="1"/>
    <n v="88"/>
    <n v="30"/>
    <n v="6.3"/>
    <x v="1"/>
    <x v="1"/>
    <x v="1"/>
    <x v="1"/>
    <x v="1"/>
    <x v="0"/>
    <x v="0"/>
    <x v="0"/>
    <x v="1"/>
    <n v="0"/>
    <s v="Acceptable"/>
    <s v="2 Days"/>
    <x v="6"/>
    <s v="Thursday"/>
    <n v="3"/>
  </r>
  <r>
    <x v="1136"/>
    <d v="2024-04-29T00:00:00"/>
    <x v="0"/>
    <x v="3"/>
    <n v="84"/>
    <n v="46"/>
    <n v="1.8"/>
    <x v="1"/>
    <x v="1"/>
    <x v="0"/>
    <x v="3"/>
    <x v="3"/>
    <x v="1"/>
    <x v="1"/>
    <x v="1"/>
    <x v="0"/>
    <n v="0"/>
    <s v="Acceptable"/>
    <s v="2 Days"/>
    <x v="3"/>
    <s v="Monday"/>
    <n v="2"/>
  </r>
  <r>
    <x v="1137"/>
    <d v="2024-10-14T00:00:00"/>
    <x v="0"/>
    <x v="3"/>
    <n v="183"/>
    <n v="15"/>
    <n v="0.5"/>
    <x v="1"/>
    <x v="0"/>
    <x v="0"/>
    <x v="3"/>
    <x v="3"/>
    <x v="0"/>
    <x v="1"/>
    <x v="1"/>
    <x v="0"/>
    <n v="0"/>
    <s v="Slow"/>
    <s v="1 Day"/>
    <x v="7"/>
    <s v="Monday"/>
    <n v="2"/>
  </r>
  <r>
    <x v="1138"/>
    <d v="2024-03-01T00:00:00"/>
    <x v="2"/>
    <x v="0"/>
    <n v="213"/>
    <n v="57"/>
    <n v="2.2000000000000002"/>
    <x v="0"/>
    <x v="1"/>
    <x v="0"/>
    <x v="0"/>
    <x v="0"/>
    <x v="0"/>
    <x v="0"/>
    <x v="3"/>
    <x v="0"/>
    <n v="1"/>
    <s v="Slow"/>
    <s v="3 Days"/>
    <x v="2"/>
    <s v="Friday"/>
    <n v="4"/>
  </r>
  <r>
    <x v="1139"/>
    <d v="2024-10-21T00:00:00"/>
    <x v="4"/>
    <x v="1"/>
    <n v="112"/>
    <n v="29"/>
    <n v="4.3"/>
    <x v="0"/>
    <x v="2"/>
    <x v="0"/>
    <x v="1"/>
    <x v="1"/>
    <x v="0"/>
    <x v="0"/>
    <x v="3"/>
    <x v="0"/>
    <n v="1"/>
    <s v="Acceptable"/>
    <s v="2 Days"/>
    <x v="7"/>
    <s v="Monday"/>
    <n v="3"/>
  </r>
  <r>
    <x v="1140"/>
    <d v="2024-05-31T00:00:00"/>
    <x v="2"/>
    <x v="1"/>
    <n v="139"/>
    <n v="60"/>
    <n v="10"/>
    <x v="1"/>
    <x v="1"/>
    <x v="1"/>
    <x v="1"/>
    <x v="1"/>
    <x v="1"/>
    <x v="1"/>
    <x v="2"/>
    <x v="1"/>
    <n v="0"/>
    <s v="Slow"/>
    <s v="3 Days"/>
    <x v="1"/>
    <s v="Friday"/>
    <n v="3"/>
  </r>
  <r>
    <x v="1141"/>
    <d v="2024-04-25T00:00:00"/>
    <x v="0"/>
    <x v="1"/>
    <n v="216"/>
    <n v="24"/>
    <n v="9.1999999999999993"/>
    <x v="0"/>
    <x v="1"/>
    <x v="0"/>
    <x v="1"/>
    <x v="1"/>
    <x v="0"/>
    <x v="1"/>
    <x v="2"/>
    <x v="0"/>
    <n v="1"/>
    <s v="Slow"/>
    <s v="1 Day"/>
    <x v="3"/>
    <s v="Thursday"/>
    <n v="3"/>
  </r>
  <r>
    <x v="1142"/>
    <d v="2024-11-26T00:00:00"/>
    <x v="2"/>
    <x v="2"/>
    <n v="219"/>
    <n v="33"/>
    <n v="2"/>
    <x v="1"/>
    <x v="2"/>
    <x v="0"/>
    <x v="2"/>
    <x v="2"/>
    <x v="1"/>
    <x v="1"/>
    <x v="1"/>
    <x v="0"/>
    <n v="0"/>
    <s v="Slow"/>
    <s v="2 Days"/>
    <x v="6"/>
    <s v="Tuesday"/>
    <n v="1"/>
  </r>
  <r>
    <x v="1143"/>
    <d v="2024-08-16T00:00:00"/>
    <x v="0"/>
    <x v="3"/>
    <n v="29"/>
    <n v="26"/>
    <n v="1.8"/>
    <x v="0"/>
    <x v="2"/>
    <x v="0"/>
    <x v="3"/>
    <x v="3"/>
    <x v="1"/>
    <x v="0"/>
    <x v="1"/>
    <x v="0"/>
    <n v="1"/>
    <s v="Very Fast"/>
    <s v="2 Days"/>
    <x v="0"/>
    <s v="Friday"/>
    <n v="2"/>
  </r>
  <r>
    <x v="1144"/>
    <d v="2024-12-11T00:00:00"/>
    <x v="0"/>
    <x v="2"/>
    <n v="98"/>
    <n v="51"/>
    <n v="4.9000000000000004"/>
    <x v="1"/>
    <x v="2"/>
    <x v="0"/>
    <x v="2"/>
    <x v="2"/>
    <x v="1"/>
    <x v="1"/>
    <x v="3"/>
    <x v="0"/>
    <n v="0"/>
    <s v="Acceptable"/>
    <s v="3 Days"/>
    <x v="11"/>
    <s v="Wednesday"/>
    <n v="1"/>
  </r>
  <r>
    <x v="1145"/>
    <d v="2024-03-11T00:00:00"/>
    <x v="1"/>
    <x v="1"/>
    <n v="152"/>
    <n v="9"/>
    <n v="2"/>
    <x v="1"/>
    <x v="0"/>
    <x v="0"/>
    <x v="1"/>
    <x v="1"/>
    <x v="0"/>
    <x v="1"/>
    <x v="1"/>
    <x v="0"/>
    <n v="0"/>
    <s v="Slow"/>
    <s v="1 Day"/>
    <x v="2"/>
    <s v="Monday"/>
    <n v="3"/>
  </r>
  <r>
    <x v="1146"/>
    <d v="2024-02-23T00:00:00"/>
    <x v="3"/>
    <x v="2"/>
    <n v="110"/>
    <n v="26"/>
    <n v="2"/>
    <x v="0"/>
    <x v="2"/>
    <x v="0"/>
    <x v="2"/>
    <x v="2"/>
    <x v="1"/>
    <x v="1"/>
    <x v="1"/>
    <x v="0"/>
    <n v="1"/>
    <s v="Acceptable"/>
    <s v="2 Days"/>
    <x v="9"/>
    <s v="Friday"/>
    <n v="1"/>
  </r>
  <r>
    <x v="1147"/>
    <d v="2024-11-22T00:00:00"/>
    <x v="1"/>
    <x v="0"/>
    <n v="61"/>
    <n v="28"/>
    <n v="9.4"/>
    <x v="0"/>
    <x v="2"/>
    <x v="0"/>
    <x v="0"/>
    <x v="0"/>
    <x v="0"/>
    <x v="0"/>
    <x v="2"/>
    <x v="0"/>
    <n v="1"/>
    <s v="Acceptable"/>
    <s v="2 Days"/>
    <x v="6"/>
    <s v="Friday"/>
    <n v="4"/>
  </r>
  <r>
    <x v="1148"/>
    <d v="2024-04-28T00:00:00"/>
    <x v="4"/>
    <x v="3"/>
    <n v="58"/>
    <n v="38"/>
    <n v="4.3"/>
    <x v="1"/>
    <x v="0"/>
    <x v="0"/>
    <x v="3"/>
    <x v="3"/>
    <x v="1"/>
    <x v="0"/>
    <x v="3"/>
    <x v="0"/>
    <n v="0"/>
    <s v="Acceptable"/>
    <s v="2 Days"/>
    <x v="3"/>
    <s v="Sunday"/>
    <n v="2"/>
  </r>
  <r>
    <x v="1149"/>
    <d v="2024-11-04T00:00:00"/>
    <x v="4"/>
    <x v="2"/>
    <n v="51"/>
    <n v="68"/>
    <n v="0.8"/>
    <x v="1"/>
    <x v="0"/>
    <x v="0"/>
    <x v="2"/>
    <x v="2"/>
    <x v="1"/>
    <x v="1"/>
    <x v="1"/>
    <x v="0"/>
    <n v="0"/>
    <s v="Acceptable"/>
    <s v="3 Days"/>
    <x v="6"/>
    <s v="Monday"/>
    <n v="1"/>
  </r>
  <r>
    <x v="1150"/>
    <d v="2024-04-23T00:00:00"/>
    <x v="1"/>
    <x v="0"/>
    <n v="72"/>
    <n v="41"/>
    <n v="2.5"/>
    <x v="0"/>
    <x v="0"/>
    <x v="0"/>
    <x v="0"/>
    <x v="0"/>
    <x v="0"/>
    <x v="0"/>
    <x v="3"/>
    <x v="0"/>
    <n v="1"/>
    <s v="Acceptable"/>
    <s v="2 Days"/>
    <x v="3"/>
    <s v="Tuesday"/>
    <n v="4"/>
  </r>
  <r>
    <x v="1151"/>
    <d v="2024-02-29T00:00:00"/>
    <x v="0"/>
    <x v="0"/>
    <n v="148"/>
    <n v="47"/>
    <n v="1.3"/>
    <x v="0"/>
    <x v="1"/>
    <x v="0"/>
    <x v="0"/>
    <x v="0"/>
    <x v="0"/>
    <x v="0"/>
    <x v="1"/>
    <x v="0"/>
    <n v="1"/>
    <s v="Slow"/>
    <s v="2 Days"/>
    <x v="9"/>
    <s v="Thursday"/>
    <n v="4"/>
  </r>
  <r>
    <x v="1152"/>
    <d v="2024-09-17T00:00:00"/>
    <x v="0"/>
    <x v="2"/>
    <n v="68"/>
    <n v="65"/>
    <n v="7"/>
    <x v="1"/>
    <x v="2"/>
    <x v="0"/>
    <x v="2"/>
    <x v="2"/>
    <x v="1"/>
    <x v="1"/>
    <x v="0"/>
    <x v="0"/>
    <n v="0"/>
    <s v="Acceptable"/>
    <s v="3 Days"/>
    <x v="5"/>
    <s v="Tuesday"/>
    <n v="1"/>
  </r>
  <r>
    <x v="1153"/>
    <d v="2024-10-04T00:00:00"/>
    <x v="2"/>
    <x v="0"/>
    <n v="178"/>
    <n v="33"/>
    <n v="6.1"/>
    <x v="0"/>
    <x v="0"/>
    <x v="0"/>
    <x v="0"/>
    <x v="0"/>
    <x v="0"/>
    <x v="0"/>
    <x v="0"/>
    <x v="0"/>
    <n v="1"/>
    <s v="Slow"/>
    <s v="2 Days"/>
    <x v="7"/>
    <s v="Friday"/>
    <n v="4"/>
  </r>
  <r>
    <x v="1154"/>
    <d v="2024-03-06T00:00:00"/>
    <x v="0"/>
    <x v="2"/>
    <n v="61"/>
    <n v="33"/>
    <n v="9.9"/>
    <x v="0"/>
    <x v="2"/>
    <x v="0"/>
    <x v="2"/>
    <x v="2"/>
    <x v="1"/>
    <x v="1"/>
    <x v="2"/>
    <x v="0"/>
    <n v="1"/>
    <s v="Acceptable"/>
    <s v="2 Days"/>
    <x v="2"/>
    <s v="Wednesday"/>
    <n v="1"/>
  </r>
  <r>
    <x v="1155"/>
    <d v="2024-07-11T00:00:00"/>
    <x v="2"/>
    <x v="2"/>
    <n v="95"/>
    <n v="47"/>
    <n v="7.1"/>
    <x v="0"/>
    <x v="2"/>
    <x v="0"/>
    <x v="2"/>
    <x v="2"/>
    <x v="1"/>
    <x v="1"/>
    <x v="0"/>
    <x v="0"/>
    <n v="1"/>
    <s v="Acceptable"/>
    <s v="2 Days"/>
    <x v="10"/>
    <s v="Thursday"/>
    <n v="1"/>
  </r>
  <r>
    <x v="1156"/>
    <d v="2024-04-13T00:00:00"/>
    <x v="0"/>
    <x v="3"/>
    <n v="58"/>
    <n v="24"/>
    <n v="8.4"/>
    <x v="1"/>
    <x v="2"/>
    <x v="0"/>
    <x v="3"/>
    <x v="3"/>
    <x v="0"/>
    <x v="0"/>
    <x v="2"/>
    <x v="0"/>
    <n v="0"/>
    <s v="Acceptable"/>
    <s v="1 Day"/>
    <x v="3"/>
    <s v="Saturday"/>
    <n v="2"/>
  </r>
  <r>
    <x v="1157"/>
    <d v="2024-07-01T00:00:00"/>
    <x v="2"/>
    <x v="3"/>
    <n v="144"/>
    <n v="53"/>
    <n v="8.4"/>
    <x v="1"/>
    <x v="1"/>
    <x v="0"/>
    <x v="3"/>
    <x v="3"/>
    <x v="1"/>
    <x v="1"/>
    <x v="2"/>
    <x v="0"/>
    <n v="0"/>
    <s v="Slow"/>
    <s v="3 Days"/>
    <x v="10"/>
    <s v="Monday"/>
    <n v="2"/>
  </r>
  <r>
    <x v="1158"/>
    <d v="2024-11-21T00:00:00"/>
    <x v="0"/>
    <x v="1"/>
    <n v="99"/>
    <n v="16"/>
    <n v="5.4"/>
    <x v="1"/>
    <x v="2"/>
    <x v="1"/>
    <x v="1"/>
    <x v="1"/>
    <x v="0"/>
    <x v="0"/>
    <x v="0"/>
    <x v="1"/>
    <n v="0"/>
    <s v="Acceptable"/>
    <s v="1 Day"/>
    <x v="6"/>
    <s v="Thursday"/>
    <n v="3"/>
  </r>
  <r>
    <x v="1159"/>
    <d v="2024-11-11T00:00:00"/>
    <x v="2"/>
    <x v="3"/>
    <n v="60"/>
    <n v="42"/>
    <n v="7.2"/>
    <x v="0"/>
    <x v="0"/>
    <x v="0"/>
    <x v="3"/>
    <x v="3"/>
    <x v="1"/>
    <x v="0"/>
    <x v="0"/>
    <x v="0"/>
    <n v="1"/>
    <s v="Acceptable"/>
    <s v="2 Days"/>
    <x v="6"/>
    <s v="Monday"/>
    <n v="2"/>
  </r>
  <r>
    <x v="1160"/>
    <d v="2024-08-16T00:00:00"/>
    <x v="4"/>
    <x v="0"/>
    <n v="226"/>
    <n v="15"/>
    <n v="3.7"/>
    <x v="1"/>
    <x v="2"/>
    <x v="0"/>
    <x v="0"/>
    <x v="0"/>
    <x v="0"/>
    <x v="0"/>
    <x v="3"/>
    <x v="0"/>
    <n v="0"/>
    <s v="Slow"/>
    <s v="1 Day"/>
    <x v="0"/>
    <s v="Friday"/>
    <n v="4"/>
  </r>
  <r>
    <x v="1161"/>
    <d v="2024-12-13T00:00:00"/>
    <x v="0"/>
    <x v="3"/>
    <n v="168"/>
    <n v="47"/>
    <n v="2.2999999999999998"/>
    <x v="0"/>
    <x v="1"/>
    <x v="0"/>
    <x v="3"/>
    <x v="3"/>
    <x v="1"/>
    <x v="1"/>
    <x v="3"/>
    <x v="0"/>
    <n v="1"/>
    <s v="Slow"/>
    <s v="2 Days"/>
    <x v="11"/>
    <s v="Friday"/>
    <n v="2"/>
  </r>
  <r>
    <x v="1162"/>
    <d v="2024-03-04T00:00:00"/>
    <x v="4"/>
    <x v="2"/>
    <n v="166"/>
    <n v="56"/>
    <n v="0.8"/>
    <x v="1"/>
    <x v="0"/>
    <x v="0"/>
    <x v="2"/>
    <x v="2"/>
    <x v="1"/>
    <x v="1"/>
    <x v="1"/>
    <x v="0"/>
    <n v="0"/>
    <s v="Slow"/>
    <s v="3 Days"/>
    <x v="2"/>
    <s v="Monday"/>
    <n v="1"/>
  </r>
  <r>
    <x v="1163"/>
    <d v="2024-06-15T00:00:00"/>
    <x v="2"/>
    <x v="0"/>
    <n v="237"/>
    <n v="52"/>
    <n v="8.5"/>
    <x v="1"/>
    <x v="0"/>
    <x v="1"/>
    <x v="0"/>
    <x v="0"/>
    <x v="0"/>
    <x v="0"/>
    <x v="2"/>
    <x v="1"/>
    <n v="0"/>
    <s v="Slow"/>
    <s v="3 Days"/>
    <x v="4"/>
    <s v="Saturday"/>
    <n v="4"/>
  </r>
  <r>
    <x v="1164"/>
    <d v="2024-08-16T00:00:00"/>
    <x v="0"/>
    <x v="0"/>
    <n v="182"/>
    <n v="58"/>
    <n v="7.8"/>
    <x v="0"/>
    <x v="0"/>
    <x v="0"/>
    <x v="0"/>
    <x v="0"/>
    <x v="0"/>
    <x v="0"/>
    <x v="0"/>
    <x v="0"/>
    <n v="1"/>
    <s v="Slow"/>
    <s v="3 Days"/>
    <x v="0"/>
    <s v="Friday"/>
    <n v="4"/>
  </r>
  <r>
    <x v="1165"/>
    <d v="2024-11-20T00:00:00"/>
    <x v="0"/>
    <x v="0"/>
    <n v="154"/>
    <n v="9"/>
    <n v="8"/>
    <x v="0"/>
    <x v="2"/>
    <x v="0"/>
    <x v="0"/>
    <x v="0"/>
    <x v="0"/>
    <x v="0"/>
    <x v="0"/>
    <x v="0"/>
    <n v="1"/>
    <s v="Slow"/>
    <s v="1 Day"/>
    <x v="6"/>
    <s v="Wednesday"/>
    <n v="4"/>
  </r>
  <r>
    <x v="1166"/>
    <d v="2024-06-06T00:00:00"/>
    <x v="3"/>
    <x v="0"/>
    <n v="182"/>
    <n v="19"/>
    <n v="8.1"/>
    <x v="1"/>
    <x v="1"/>
    <x v="1"/>
    <x v="0"/>
    <x v="0"/>
    <x v="0"/>
    <x v="0"/>
    <x v="2"/>
    <x v="1"/>
    <n v="0"/>
    <s v="Slow"/>
    <s v="1 Day"/>
    <x v="4"/>
    <s v="Thursday"/>
    <n v="4"/>
  </r>
  <r>
    <x v="1167"/>
    <d v="2024-12-23T00:00:00"/>
    <x v="3"/>
    <x v="3"/>
    <n v="104"/>
    <n v="47"/>
    <n v="9.3000000000000007"/>
    <x v="1"/>
    <x v="2"/>
    <x v="0"/>
    <x v="3"/>
    <x v="3"/>
    <x v="1"/>
    <x v="1"/>
    <x v="2"/>
    <x v="0"/>
    <n v="0"/>
    <s v="Acceptable"/>
    <s v="2 Days"/>
    <x v="11"/>
    <s v="Monday"/>
    <n v="2"/>
  </r>
  <r>
    <x v="1168"/>
    <d v="2024-05-27T00:00:00"/>
    <x v="1"/>
    <x v="2"/>
    <n v="100"/>
    <n v="28"/>
    <n v="3.1"/>
    <x v="1"/>
    <x v="1"/>
    <x v="0"/>
    <x v="2"/>
    <x v="2"/>
    <x v="1"/>
    <x v="1"/>
    <x v="3"/>
    <x v="0"/>
    <n v="0"/>
    <s v="Acceptable"/>
    <s v="2 Days"/>
    <x v="1"/>
    <s v="Monday"/>
    <n v="1"/>
  </r>
  <r>
    <x v="1169"/>
    <d v="2024-11-24T00:00:00"/>
    <x v="1"/>
    <x v="3"/>
    <n v="12"/>
    <n v="11"/>
    <n v="1.8"/>
    <x v="1"/>
    <x v="0"/>
    <x v="1"/>
    <x v="3"/>
    <x v="3"/>
    <x v="0"/>
    <x v="0"/>
    <x v="1"/>
    <x v="1"/>
    <n v="0"/>
    <s v="Very Fast"/>
    <s v="1 Day"/>
    <x v="6"/>
    <s v="Sunday"/>
    <n v="2"/>
  </r>
  <r>
    <x v="1170"/>
    <d v="2024-06-17T00:00:00"/>
    <x v="1"/>
    <x v="1"/>
    <n v="108"/>
    <n v="69"/>
    <n v="3.2"/>
    <x v="1"/>
    <x v="0"/>
    <x v="0"/>
    <x v="1"/>
    <x v="1"/>
    <x v="1"/>
    <x v="0"/>
    <x v="3"/>
    <x v="0"/>
    <n v="0"/>
    <s v="Acceptable"/>
    <s v="3 Days"/>
    <x v="4"/>
    <s v="Monday"/>
    <n v="3"/>
  </r>
  <r>
    <x v="1171"/>
    <d v="2024-03-11T00:00:00"/>
    <x v="3"/>
    <x v="0"/>
    <n v="169"/>
    <n v="49"/>
    <n v="6.9"/>
    <x v="0"/>
    <x v="0"/>
    <x v="0"/>
    <x v="0"/>
    <x v="0"/>
    <x v="0"/>
    <x v="0"/>
    <x v="0"/>
    <x v="0"/>
    <n v="1"/>
    <s v="Slow"/>
    <s v="3 Days"/>
    <x v="2"/>
    <s v="Monday"/>
    <n v="4"/>
  </r>
  <r>
    <x v="1172"/>
    <d v="2024-10-08T00:00:00"/>
    <x v="1"/>
    <x v="2"/>
    <n v="195"/>
    <n v="28"/>
    <n v="6.5"/>
    <x v="1"/>
    <x v="2"/>
    <x v="0"/>
    <x v="2"/>
    <x v="2"/>
    <x v="1"/>
    <x v="1"/>
    <x v="0"/>
    <x v="0"/>
    <n v="0"/>
    <s v="Slow"/>
    <s v="2 Days"/>
    <x v="7"/>
    <s v="Tuesday"/>
    <n v="1"/>
  </r>
  <r>
    <x v="1173"/>
    <d v="2024-01-31T00:00:00"/>
    <x v="0"/>
    <x v="2"/>
    <n v="159"/>
    <n v="48"/>
    <n v="5"/>
    <x v="1"/>
    <x v="1"/>
    <x v="0"/>
    <x v="2"/>
    <x v="2"/>
    <x v="1"/>
    <x v="1"/>
    <x v="3"/>
    <x v="0"/>
    <n v="0"/>
    <s v="Slow"/>
    <s v="2 Days"/>
    <x v="8"/>
    <s v="Wednesday"/>
    <n v="1"/>
  </r>
  <r>
    <x v="1174"/>
    <d v="2024-05-26T00:00:00"/>
    <x v="4"/>
    <x v="0"/>
    <n v="101"/>
    <n v="14"/>
    <n v="6.3"/>
    <x v="1"/>
    <x v="0"/>
    <x v="1"/>
    <x v="0"/>
    <x v="0"/>
    <x v="0"/>
    <x v="0"/>
    <x v="0"/>
    <x v="1"/>
    <n v="0"/>
    <s v="Acceptable"/>
    <s v="1 Day"/>
    <x v="1"/>
    <s v="Sunday"/>
    <n v="4"/>
  </r>
  <r>
    <x v="1175"/>
    <d v="2024-04-24T00:00:00"/>
    <x v="4"/>
    <x v="0"/>
    <n v="122"/>
    <n v="52"/>
    <n v="8.3000000000000007"/>
    <x v="1"/>
    <x v="1"/>
    <x v="1"/>
    <x v="0"/>
    <x v="0"/>
    <x v="0"/>
    <x v="0"/>
    <x v="2"/>
    <x v="1"/>
    <n v="0"/>
    <s v="Slow"/>
    <s v="3 Days"/>
    <x v="3"/>
    <s v="Wednesday"/>
    <n v="4"/>
  </r>
  <r>
    <x v="1176"/>
    <d v="2024-09-04T00:00:00"/>
    <x v="4"/>
    <x v="2"/>
    <n v="73"/>
    <n v="27"/>
    <n v="9.6"/>
    <x v="1"/>
    <x v="0"/>
    <x v="0"/>
    <x v="2"/>
    <x v="2"/>
    <x v="1"/>
    <x v="1"/>
    <x v="2"/>
    <x v="0"/>
    <n v="0"/>
    <s v="Acceptable"/>
    <s v="2 Days"/>
    <x v="5"/>
    <s v="Wednesday"/>
    <n v="1"/>
  </r>
  <r>
    <x v="1177"/>
    <d v="2024-01-11T00:00:00"/>
    <x v="3"/>
    <x v="2"/>
    <n v="128"/>
    <n v="10"/>
    <n v="2.9"/>
    <x v="0"/>
    <x v="1"/>
    <x v="0"/>
    <x v="2"/>
    <x v="2"/>
    <x v="1"/>
    <x v="1"/>
    <x v="3"/>
    <x v="0"/>
    <n v="1"/>
    <s v="Slow"/>
    <s v="1 Day"/>
    <x v="8"/>
    <s v="Thursday"/>
    <n v="1"/>
  </r>
  <r>
    <x v="1178"/>
    <d v="2024-09-18T00:00:00"/>
    <x v="3"/>
    <x v="1"/>
    <n v="39"/>
    <n v="3"/>
    <n v="4"/>
    <x v="1"/>
    <x v="0"/>
    <x v="1"/>
    <x v="1"/>
    <x v="1"/>
    <x v="0"/>
    <x v="0"/>
    <x v="3"/>
    <x v="1"/>
    <n v="0"/>
    <s v="Acceptable"/>
    <s v="Same Day"/>
    <x v="5"/>
    <s v="Wednesday"/>
    <n v="3"/>
  </r>
  <r>
    <x v="1179"/>
    <d v="2024-07-08T00:00:00"/>
    <x v="4"/>
    <x v="0"/>
    <n v="105"/>
    <n v="5"/>
    <n v="4.4000000000000004"/>
    <x v="1"/>
    <x v="0"/>
    <x v="1"/>
    <x v="0"/>
    <x v="0"/>
    <x v="0"/>
    <x v="0"/>
    <x v="3"/>
    <x v="1"/>
    <n v="0"/>
    <s v="Acceptable"/>
    <s v="Same Day"/>
    <x v="10"/>
    <s v="Monday"/>
    <n v="4"/>
  </r>
  <r>
    <x v="1180"/>
    <d v="2024-02-17T00:00:00"/>
    <x v="0"/>
    <x v="1"/>
    <n v="166"/>
    <n v="54"/>
    <n v="2.7"/>
    <x v="1"/>
    <x v="2"/>
    <x v="0"/>
    <x v="1"/>
    <x v="1"/>
    <x v="1"/>
    <x v="1"/>
    <x v="3"/>
    <x v="0"/>
    <n v="0"/>
    <s v="Slow"/>
    <s v="3 Days"/>
    <x v="9"/>
    <s v="Saturday"/>
    <n v="3"/>
  </r>
  <r>
    <x v="1181"/>
    <d v="2024-02-20T00:00:00"/>
    <x v="3"/>
    <x v="0"/>
    <n v="235"/>
    <n v="56"/>
    <n v="0.6"/>
    <x v="0"/>
    <x v="0"/>
    <x v="0"/>
    <x v="0"/>
    <x v="0"/>
    <x v="0"/>
    <x v="0"/>
    <x v="1"/>
    <x v="0"/>
    <n v="1"/>
    <s v="Slow"/>
    <s v="3 Days"/>
    <x v="9"/>
    <s v="Tuesday"/>
    <n v="4"/>
  </r>
  <r>
    <x v="1182"/>
    <d v="2024-05-06T00:00:00"/>
    <x v="1"/>
    <x v="3"/>
    <n v="197"/>
    <n v="6"/>
    <n v="7"/>
    <x v="0"/>
    <x v="0"/>
    <x v="1"/>
    <x v="3"/>
    <x v="3"/>
    <x v="0"/>
    <x v="1"/>
    <x v="0"/>
    <x v="1"/>
    <n v="1"/>
    <s v="Slow"/>
    <s v="Same Day"/>
    <x v="1"/>
    <s v="Monday"/>
    <n v="2"/>
  </r>
  <r>
    <x v="1183"/>
    <d v="2024-05-19T00:00:00"/>
    <x v="4"/>
    <x v="1"/>
    <n v="85"/>
    <n v="41"/>
    <n v="5.6"/>
    <x v="1"/>
    <x v="0"/>
    <x v="1"/>
    <x v="1"/>
    <x v="1"/>
    <x v="0"/>
    <x v="0"/>
    <x v="0"/>
    <x v="1"/>
    <n v="0"/>
    <s v="Acceptable"/>
    <s v="2 Days"/>
    <x v="1"/>
    <s v="Sunday"/>
    <n v="3"/>
  </r>
  <r>
    <x v="1184"/>
    <d v="2024-12-25T00:00:00"/>
    <x v="2"/>
    <x v="3"/>
    <n v="7"/>
    <n v="48"/>
    <n v="7.1"/>
    <x v="0"/>
    <x v="1"/>
    <x v="1"/>
    <x v="3"/>
    <x v="3"/>
    <x v="1"/>
    <x v="0"/>
    <x v="0"/>
    <x v="1"/>
    <n v="1"/>
    <s v="Very Fast"/>
    <s v="2 Days"/>
    <x v="11"/>
    <s v="Wednesday"/>
    <n v="2"/>
  </r>
  <r>
    <x v="1185"/>
    <d v="2024-11-11T00:00:00"/>
    <x v="4"/>
    <x v="2"/>
    <n v="11"/>
    <n v="43"/>
    <n v="6.7"/>
    <x v="0"/>
    <x v="0"/>
    <x v="1"/>
    <x v="2"/>
    <x v="2"/>
    <x v="1"/>
    <x v="0"/>
    <x v="0"/>
    <x v="1"/>
    <n v="1"/>
    <s v="Very Fast"/>
    <s v="2 Days"/>
    <x v="6"/>
    <s v="Monday"/>
    <n v="1"/>
  </r>
  <r>
    <x v="1186"/>
    <d v="2024-09-28T00:00:00"/>
    <x v="3"/>
    <x v="3"/>
    <n v="66"/>
    <n v="32"/>
    <n v="6.2"/>
    <x v="1"/>
    <x v="1"/>
    <x v="0"/>
    <x v="3"/>
    <x v="3"/>
    <x v="1"/>
    <x v="1"/>
    <x v="0"/>
    <x v="0"/>
    <n v="0"/>
    <s v="Acceptable"/>
    <s v="2 Days"/>
    <x v="5"/>
    <s v="Saturday"/>
    <n v="2"/>
  </r>
  <r>
    <x v="1187"/>
    <d v="2024-12-22T00:00:00"/>
    <x v="0"/>
    <x v="0"/>
    <n v="213"/>
    <n v="72"/>
    <n v="3.3"/>
    <x v="1"/>
    <x v="2"/>
    <x v="0"/>
    <x v="0"/>
    <x v="0"/>
    <x v="0"/>
    <x v="0"/>
    <x v="3"/>
    <x v="0"/>
    <n v="0"/>
    <s v="Slow"/>
    <s v="3 Days"/>
    <x v="11"/>
    <s v="Sunday"/>
    <n v="4"/>
  </r>
  <r>
    <x v="1188"/>
    <d v="2024-07-24T00:00:00"/>
    <x v="1"/>
    <x v="1"/>
    <n v="66"/>
    <n v="27"/>
    <n v="8"/>
    <x v="1"/>
    <x v="2"/>
    <x v="1"/>
    <x v="1"/>
    <x v="1"/>
    <x v="0"/>
    <x v="0"/>
    <x v="0"/>
    <x v="1"/>
    <n v="0"/>
    <s v="Acceptable"/>
    <s v="2 Days"/>
    <x v="10"/>
    <s v="Wednesday"/>
    <n v="3"/>
  </r>
  <r>
    <x v="1189"/>
    <d v="2024-09-14T00:00:00"/>
    <x v="3"/>
    <x v="0"/>
    <n v="156"/>
    <n v="35"/>
    <n v="2"/>
    <x v="0"/>
    <x v="2"/>
    <x v="0"/>
    <x v="0"/>
    <x v="0"/>
    <x v="0"/>
    <x v="0"/>
    <x v="1"/>
    <x v="0"/>
    <n v="1"/>
    <s v="Slow"/>
    <s v="2 Days"/>
    <x v="5"/>
    <s v="Saturday"/>
    <n v="4"/>
  </r>
  <r>
    <x v="1190"/>
    <d v="2024-10-23T00:00:00"/>
    <x v="0"/>
    <x v="1"/>
    <n v="120"/>
    <n v="28"/>
    <n v="7.7"/>
    <x v="0"/>
    <x v="1"/>
    <x v="0"/>
    <x v="1"/>
    <x v="1"/>
    <x v="0"/>
    <x v="0"/>
    <x v="0"/>
    <x v="0"/>
    <n v="1"/>
    <s v="Acceptable"/>
    <s v="2 Days"/>
    <x v="7"/>
    <s v="Wednesday"/>
    <n v="3"/>
  </r>
  <r>
    <x v="1191"/>
    <d v="2024-06-04T00:00:00"/>
    <x v="4"/>
    <x v="2"/>
    <n v="155"/>
    <n v="36"/>
    <n v="5"/>
    <x v="0"/>
    <x v="0"/>
    <x v="0"/>
    <x v="2"/>
    <x v="2"/>
    <x v="1"/>
    <x v="1"/>
    <x v="3"/>
    <x v="0"/>
    <n v="1"/>
    <s v="Slow"/>
    <s v="2 Days"/>
    <x v="4"/>
    <s v="Tuesday"/>
    <n v="1"/>
  </r>
  <r>
    <x v="1192"/>
    <d v="2024-11-05T00:00:00"/>
    <x v="4"/>
    <x v="2"/>
    <n v="82"/>
    <n v="41"/>
    <n v="6.1"/>
    <x v="0"/>
    <x v="2"/>
    <x v="0"/>
    <x v="2"/>
    <x v="2"/>
    <x v="1"/>
    <x v="1"/>
    <x v="0"/>
    <x v="0"/>
    <n v="1"/>
    <s v="Acceptable"/>
    <s v="2 Days"/>
    <x v="6"/>
    <s v="Tuesday"/>
    <n v="1"/>
  </r>
  <r>
    <x v="1193"/>
    <d v="2024-09-18T00:00:00"/>
    <x v="3"/>
    <x v="2"/>
    <n v="65"/>
    <n v="62"/>
    <n v="7.2"/>
    <x v="1"/>
    <x v="1"/>
    <x v="0"/>
    <x v="2"/>
    <x v="2"/>
    <x v="1"/>
    <x v="1"/>
    <x v="0"/>
    <x v="0"/>
    <n v="0"/>
    <s v="Acceptable"/>
    <s v="3 Days"/>
    <x v="5"/>
    <s v="Wednesday"/>
    <n v="1"/>
  </r>
  <r>
    <x v="1194"/>
    <d v="2024-06-20T00:00:00"/>
    <x v="0"/>
    <x v="3"/>
    <n v="36"/>
    <n v="7"/>
    <n v="1.3"/>
    <x v="0"/>
    <x v="1"/>
    <x v="0"/>
    <x v="3"/>
    <x v="3"/>
    <x v="0"/>
    <x v="0"/>
    <x v="1"/>
    <x v="0"/>
    <n v="1"/>
    <s v="Acceptable"/>
    <s v="Same Day"/>
    <x v="4"/>
    <s v="Thursday"/>
    <n v="2"/>
  </r>
  <r>
    <x v="1195"/>
    <d v="2024-09-25T00:00:00"/>
    <x v="2"/>
    <x v="3"/>
    <n v="78"/>
    <n v="1"/>
    <n v="1.3"/>
    <x v="0"/>
    <x v="2"/>
    <x v="0"/>
    <x v="3"/>
    <x v="3"/>
    <x v="0"/>
    <x v="1"/>
    <x v="1"/>
    <x v="0"/>
    <n v="1"/>
    <s v="Acceptable"/>
    <s v="Same Day"/>
    <x v="5"/>
    <s v="Wednesday"/>
    <n v="2"/>
  </r>
  <r>
    <x v="1196"/>
    <d v="2024-10-19T00:00:00"/>
    <x v="3"/>
    <x v="0"/>
    <n v="151"/>
    <n v="61"/>
    <n v="4.5"/>
    <x v="1"/>
    <x v="1"/>
    <x v="0"/>
    <x v="0"/>
    <x v="0"/>
    <x v="0"/>
    <x v="0"/>
    <x v="3"/>
    <x v="0"/>
    <n v="0"/>
    <s v="Slow"/>
    <s v="3 Days"/>
    <x v="7"/>
    <s v="Saturday"/>
    <n v="4"/>
  </r>
  <r>
    <x v="1197"/>
    <d v="2024-01-17T00:00:00"/>
    <x v="1"/>
    <x v="0"/>
    <n v="116"/>
    <n v="71"/>
    <n v="9.6999999999999993"/>
    <x v="0"/>
    <x v="2"/>
    <x v="0"/>
    <x v="0"/>
    <x v="0"/>
    <x v="0"/>
    <x v="0"/>
    <x v="2"/>
    <x v="0"/>
    <n v="1"/>
    <s v="Acceptable"/>
    <s v="3 Days"/>
    <x v="8"/>
    <s v="Wednesday"/>
    <n v="4"/>
  </r>
  <r>
    <x v="1198"/>
    <d v="2024-12-20T00:00:00"/>
    <x v="1"/>
    <x v="1"/>
    <n v="95"/>
    <n v="23"/>
    <n v="3.5"/>
    <x v="1"/>
    <x v="1"/>
    <x v="0"/>
    <x v="1"/>
    <x v="1"/>
    <x v="0"/>
    <x v="0"/>
    <x v="3"/>
    <x v="0"/>
    <n v="0"/>
    <s v="Acceptable"/>
    <s v="1 Day"/>
    <x v="11"/>
    <s v="Friday"/>
    <n v="3"/>
  </r>
  <r>
    <x v="1199"/>
    <d v="2024-06-11T00:00:00"/>
    <x v="1"/>
    <x v="2"/>
    <n v="153"/>
    <n v="72"/>
    <n v="2.5"/>
    <x v="1"/>
    <x v="1"/>
    <x v="0"/>
    <x v="2"/>
    <x v="2"/>
    <x v="1"/>
    <x v="1"/>
    <x v="3"/>
    <x v="0"/>
    <n v="0"/>
    <s v="Slow"/>
    <s v="3 Days"/>
    <x v="4"/>
    <s v="Tuesday"/>
    <n v="1"/>
  </r>
  <r>
    <x v="1200"/>
    <d v="2024-09-06T00:00:00"/>
    <x v="0"/>
    <x v="3"/>
    <n v="229"/>
    <n v="46"/>
    <n v="2.2000000000000002"/>
    <x v="0"/>
    <x v="1"/>
    <x v="0"/>
    <x v="3"/>
    <x v="3"/>
    <x v="1"/>
    <x v="1"/>
    <x v="3"/>
    <x v="0"/>
    <n v="1"/>
    <s v="Slow"/>
    <s v="2 Days"/>
    <x v="5"/>
    <s v="Friday"/>
    <n v="2"/>
  </r>
  <r>
    <x v="1201"/>
    <d v="2024-09-29T00:00:00"/>
    <x v="2"/>
    <x v="2"/>
    <n v="200"/>
    <n v="62"/>
    <n v="2.2999999999999998"/>
    <x v="0"/>
    <x v="2"/>
    <x v="0"/>
    <x v="2"/>
    <x v="2"/>
    <x v="1"/>
    <x v="1"/>
    <x v="3"/>
    <x v="0"/>
    <n v="1"/>
    <s v="Slow"/>
    <s v="3 Days"/>
    <x v="5"/>
    <s v="Sunday"/>
    <n v="1"/>
  </r>
  <r>
    <x v="1202"/>
    <d v="2024-06-07T00:00:00"/>
    <x v="0"/>
    <x v="2"/>
    <n v="124"/>
    <n v="31"/>
    <n v="4.2"/>
    <x v="0"/>
    <x v="2"/>
    <x v="0"/>
    <x v="2"/>
    <x v="2"/>
    <x v="1"/>
    <x v="1"/>
    <x v="3"/>
    <x v="0"/>
    <n v="1"/>
    <s v="Slow"/>
    <s v="2 Days"/>
    <x v="4"/>
    <s v="Friday"/>
    <n v="1"/>
  </r>
  <r>
    <x v="1203"/>
    <d v="2024-08-19T00:00:00"/>
    <x v="1"/>
    <x v="2"/>
    <n v="97"/>
    <n v="68"/>
    <n v="8.4"/>
    <x v="0"/>
    <x v="0"/>
    <x v="0"/>
    <x v="2"/>
    <x v="2"/>
    <x v="1"/>
    <x v="1"/>
    <x v="2"/>
    <x v="0"/>
    <n v="1"/>
    <s v="Acceptable"/>
    <s v="3 Days"/>
    <x v="0"/>
    <s v="Monday"/>
    <n v="1"/>
  </r>
  <r>
    <x v="1204"/>
    <d v="2024-12-30T00:00:00"/>
    <x v="2"/>
    <x v="2"/>
    <n v="43"/>
    <n v="1"/>
    <n v="5.0999999999999996"/>
    <x v="1"/>
    <x v="0"/>
    <x v="1"/>
    <x v="2"/>
    <x v="2"/>
    <x v="0"/>
    <x v="1"/>
    <x v="0"/>
    <x v="1"/>
    <n v="0"/>
    <s v="Acceptable"/>
    <s v="Same Day"/>
    <x v="11"/>
    <s v="Monday"/>
    <n v="1"/>
  </r>
  <r>
    <x v="1205"/>
    <d v="2024-05-10T00:00:00"/>
    <x v="3"/>
    <x v="2"/>
    <n v="165"/>
    <n v="9"/>
    <n v="7.4"/>
    <x v="0"/>
    <x v="2"/>
    <x v="0"/>
    <x v="2"/>
    <x v="2"/>
    <x v="1"/>
    <x v="1"/>
    <x v="0"/>
    <x v="0"/>
    <n v="1"/>
    <s v="Slow"/>
    <s v="1 Day"/>
    <x v="1"/>
    <s v="Friday"/>
    <n v="1"/>
  </r>
  <r>
    <x v="1206"/>
    <d v="2024-12-20T00:00:00"/>
    <x v="4"/>
    <x v="1"/>
    <n v="78"/>
    <n v="54"/>
    <n v="8.6"/>
    <x v="1"/>
    <x v="1"/>
    <x v="1"/>
    <x v="1"/>
    <x v="1"/>
    <x v="1"/>
    <x v="0"/>
    <x v="2"/>
    <x v="1"/>
    <n v="0"/>
    <s v="Acceptable"/>
    <s v="3 Days"/>
    <x v="11"/>
    <s v="Friday"/>
    <n v="3"/>
  </r>
  <r>
    <x v="1207"/>
    <d v="2024-05-27T00:00:00"/>
    <x v="4"/>
    <x v="2"/>
    <n v="124"/>
    <n v="68"/>
    <n v="7.9"/>
    <x v="1"/>
    <x v="0"/>
    <x v="0"/>
    <x v="2"/>
    <x v="2"/>
    <x v="1"/>
    <x v="1"/>
    <x v="0"/>
    <x v="0"/>
    <n v="0"/>
    <s v="Slow"/>
    <s v="3 Days"/>
    <x v="1"/>
    <s v="Monday"/>
    <n v="1"/>
  </r>
  <r>
    <x v="1208"/>
    <d v="2024-01-03T00:00:00"/>
    <x v="2"/>
    <x v="0"/>
    <n v="180"/>
    <n v="72"/>
    <n v="2.2000000000000002"/>
    <x v="1"/>
    <x v="0"/>
    <x v="0"/>
    <x v="0"/>
    <x v="0"/>
    <x v="0"/>
    <x v="0"/>
    <x v="3"/>
    <x v="0"/>
    <n v="0"/>
    <s v="Slow"/>
    <s v="3 Days"/>
    <x v="8"/>
    <s v="Wednesday"/>
    <n v="4"/>
  </r>
  <r>
    <x v="1209"/>
    <d v="2024-02-07T00:00:00"/>
    <x v="4"/>
    <x v="1"/>
    <n v="163"/>
    <n v="35"/>
    <n v="6.9"/>
    <x v="1"/>
    <x v="1"/>
    <x v="1"/>
    <x v="1"/>
    <x v="1"/>
    <x v="0"/>
    <x v="1"/>
    <x v="0"/>
    <x v="1"/>
    <n v="0"/>
    <s v="Slow"/>
    <s v="2 Days"/>
    <x v="9"/>
    <s v="Wednesday"/>
    <n v="3"/>
  </r>
  <r>
    <x v="1210"/>
    <d v="2024-06-06T00:00:00"/>
    <x v="3"/>
    <x v="3"/>
    <n v="187"/>
    <n v="71"/>
    <n v="9"/>
    <x v="1"/>
    <x v="0"/>
    <x v="0"/>
    <x v="3"/>
    <x v="3"/>
    <x v="1"/>
    <x v="1"/>
    <x v="2"/>
    <x v="0"/>
    <n v="0"/>
    <s v="Slow"/>
    <s v="3 Days"/>
    <x v="4"/>
    <s v="Thursday"/>
    <n v="2"/>
  </r>
  <r>
    <x v="1211"/>
    <d v="2024-09-23T00:00:00"/>
    <x v="1"/>
    <x v="0"/>
    <n v="176"/>
    <n v="27"/>
    <n v="5.5"/>
    <x v="0"/>
    <x v="1"/>
    <x v="0"/>
    <x v="0"/>
    <x v="0"/>
    <x v="0"/>
    <x v="0"/>
    <x v="0"/>
    <x v="0"/>
    <n v="1"/>
    <s v="Slow"/>
    <s v="2 Days"/>
    <x v="5"/>
    <s v="Monday"/>
    <n v="4"/>
  </r>
  <r>
    <x v="1212"/>
    <d v="2024-06-18T00:00:00"/>
    <x v="4"/>
    <x v="0"/>
    <n v="202"/>
    <n v="3"/>
    <n v="8.4"/>
    <x v="0"/>
    <x v="1"/>
    <x v="1"/>
    <x v="0"/>
    <x v="0"/>
    <x v="0"/>
    <x v="0"/>
    <x v="2"/>
    <x v="1"/>
    <n v="1"/>
    <s v="Slow"/>
    <s v="Same Day"/>
    <x v="4"/>
    <s v="Tuesday"/>
    <n v="4"/>
  </r>
  <r>
    <x v="1213"/>
    <d v="2024-03-20T00:00:00"/>
    <x v="2"/>
    <x v="3"/>
    <n v="212"/>
    <n v="5"/>
    <n v="9.3000000000000007"/>
    <x v="1"/>
    <x v="2"/>
    <x v="1"/>
    <x v="3"/>
    <x v="3"/>
    <x v="0"/>
    <x v="1"/>
    <x v="2"/>
    <x v="1"/>
    <n v="0"/>
    <s v="Slow"/>
    <s v="Same Day"/>
    <x v="2"/>
    <s v="Wednesday"/>
    <n v="2"/>
  </r>
  <r>
    <x v="1214"/>
    <d v="2024-03-25T00:00:00"/>
    <x v="1"/>
    <x v="2"/>
    <n v="23"/>
    <n v="42"/>
    <n v="3.1"/>
    <x v="0"/>
    <x v="1"/>
    <x v="0"/>
    <x v="2"/>
    <x v="2"/>
    <x v="1"/>
    <x v="0"/>
    <x v="3"/>
    <x v="0"/>
    <n v="1"/>
    <s v="Very Fast"/>
    <s v="2 Days"/>
    <x v="2"/>
    <s v="Monday"/>
    <n v="1"/>
  </r>
  <r>
    <x v="1215"/>
    <d v="2024-05-20T00:00:00"/>
    <x v="4"/>
    <x v="2"/>
    <n v="35"/>
    <n v="45"/>
    <n v="4.5999999999999996"/>
    <x v="0"/>
    <x v="1"/>
    <x v="0"/>
    <x v="2"/>
    <x v="2"/>
    <x v="1"/>
    <x v="1"/>
    <x v="3"/>
    <x v="0"/>
    <n v="1"/>
    <s v="Acceptable"/>
    <s v="2 Days"/>
    <x v="1"/>
    <s v="Monday"/>
    <n v="1"/>
  </r>
  <r>
    <x v="1216"/>
    <d v="2024-12-28T00:00:00"/>
    <x v="1"/>
    <x v="3"/>
    <n v="64"/>
    <n v="48"/>
    <n v="7.8"/>
    <x v="1"/>
    <x v="1"/>
    <x v="0"/>
    <x v="3"/>
    <x v="3"/>
    <x v="1"/>
    <x v="1"/>
    <x v="0"/>
    <x v="0"/>
    <n v="0"/>
    <s v="Acceptable"/>
    <s v="2 Days"/>
    <x v="11"/>
    <s v="Saturday"/>
    <n v="2"/>
  </r>
  <r>
    <x v="1217"/>
    <d v="2024-03-20T00:00:00"/>
    <x v="3"/>
    <x v="1"/>
    <n v="168"/>
    <n v="1"/>
    <n v="1"/>
    <x v="0"/>
    <x v="2"/>
    <x v="1"/>
    <x v="1"/>
    <x v="1"/>
    <x v="0"/>
    <x v="1"/>
    <x v="1"/>
    <x v="1"/>
    <n v="1"/>
    <s v="Slow"/>
    <s v="Same Day"/>
    <x v="2"/>
    <s v="Wednesday"/>
    <n v="3"/>
  </r>
  <r>
    <x v="1218"/>
    <d v="2024-07-06T00:00:00"/>
    <x v="3"/>
    <x v="0"/>
    <n v="142"/>
    <n v="26"/>
    <n v="0.6"/>
    <x v="1"/>
    <x v="2"/>
    <x v="0"/>
    <x v="0"/>
    <x v="0"/>
    <x v="0"/>
    <x v="0"/>
    <x v="1"/>
    <x v="0"/>
    <n v="0"/>
    <s v="Slow"/>
    <s v="2 Days"/>
    <x v="10"/>
    <s v="Saturday"/>
    <n v="4"/>
  </r>
  <r>
    <x v="1219"/>
    <d v="2024-05-27T00:00:00"/>
    <x v="3"/>
    <x v="1"/>
    <n v="209"/>
    <n v="13"/>
    <n v="5.8"/>
    <x v="0"/>
    <x v="1"/>
    <x v="0"/>
    <x v="1"/>
    <x v="1"/>
    <x v="0"/>
    <x v="1"/>
    <x v="0"/>
    <x v="0"/>
    <n v="1"/>
    <s v="Slow"/>
    <s v="1 Day"/>
    <x v="1"/>
    <s v="Monday"/>
    <n v="3"/>
  </r>
  <r>
    <x v="1220"/>
    <d v="2024-08-03T00:00:00"/>
    <x v="2"/>
    <x v="0"/>
    <n v="88"/>
    <n v="9"/>
    <n v="1.8"/>
    <x v="1"/>
    <x v="2"/>
    <x v="0"/>
    <x v="0"/>
    <x v="0"/>
    <x v="0"/>
    <x v="0"/>
    <x v="1"/>
    <x v="0"/>
    <n v="0"/>
    <s v="Acceptable"/>
    <s v="1 Day"/>
    <x v="0"/>
    <s v="Saturday"/>
    <n v="4"/>
  </r>
  <r>
    <x v="1221"/>
    <d v="2024-05-17T00:00:00"/>
    <x v="4"/>
    <x v="1"/>
    <n v="169"/>
    <n v="40"/>
    <n v="6.2"/>
    <x v="1"/>
    <x v="0"/>
    <x v="1"/>
    <x v="1"/>
    <x v="1"/>
    <x v="0"/>
    <x v="1"/>
    <x v="0"/>
    <x v="1"/>
    <n v="0"/>
    <s v="Slow"/>
    <s v="2 Days"/>
    <x v="1"/>
    <s v="Friday"/>
    <n v="3"/>
  </r>
  <r>
    <x v="1222"/>
    <d v="2024-04-01T00:00:00"/>
    <x v="4"/>
    <x v="3"/>
    <n v="151"/>
    <n v="19"/>
    <n v="5.5"/>
    <x v="0"/>
    <x v="0"/>
    <x v="0"/>
    <x v="3"/>
    <x v="3"/>
    <x v="0"/>
    <x v="1"/>
    <x v="0"/>
    <x v="0"/>
    <n v="1"/>
    <s v="Slow"/>
    <s v="1 Day"/>
    <x v="3"/>
    <s v="Monday"/>
    <n v="2"/>
  </r>
  <r>
    <x v="1223"/>
    <d v="2024-06-18T00:00:00"/>
    <x v="2"/>
    <x v="1"/>
    <n v="102"/>
    <n v="53"/>
    <n v="8.3000000000000007"/>
    <x v="0"/>
    <x v="1"/>
    <x v="0"/>
    <x v="1"/>
    <x v="1"/>
    <x v="1"/>
    <x v="0"/>
    <x v="2"/>
    <x v="0"/>
    <n v="1"/>
    <s v="Acceptable"/>
    <s v="3 Days"/>
    <x v="4"/>
    <s v="Tuesday"/>
    <n v="3"/>
  </r>
  <r>
    <x v="1224"/>
    <d v="2024-01-31T00:00:00"/>
    <x v="2"/>
    <x v="3"/>
    <n v="126"/>
    <n v="1"/>
    <n v="2.6"/>
    <x v="1"/>
    <x v="2"/>
    <x v="1"/>
    <x v="3"/>
    <x v="3"/>
    <x v="0"/>
    <x v="1"/>
    <x v="3"/>
    <x v="1"/>
    <n v="0"/>
    <s v="Slow"/>
    <s v="Same Day"/>
    <x v="8"/>
    <s v="Wednesday"/>
    <n v="2"/>
  </r>
  <r>
    <x v="1225"/>
    <d v="2024-08-19T00:00:00"/>
    <x v="2"/>
    <x v="3"/>
    <n v="24"/>
    <n v="47"/>
    <n v="3.9"/>
    <x v="1"/>
    <x v="1"/>
    <x v="1"/>
    <x v="3"/>
    <x v="3"/>
    <x v="1"/>
    <x v="0"/>
    <x v="3"/>
    <x v="1"/>
    <n v="0"/>
    <s v="Very Fast"/>
    <s v="2 Days"/>
    <x v="0"/>
    <s v="Monday"/>
    <n v="2"/>
  </r>
  <r>
    <x v="1226"/>
    <d v="2024-12-05T00:00:00"/>
    <x v="4"/>
    <x v="1"/>
    <n v="48"/>
    <n v="18"/>
    <n v="6"/>
    <x v="0"/>
    <x v="0"/>
    <x v="0"/>
    <x v="1"/>
    <x v="1"/>
    <x v="0"/>
    <x v="0"/>
    <x v="0"/>
    <x v="0"/>
    <n v="1"/>
    <s v="Acceptable"/>
    <s v="1 Day"/>
    <x v="11"/>
    <s v="Thursday"/>
    <n v="3"/>
  </r>
  <r>
    <x v="1227"/>
    <d v="2024-04-13T00:00:00"/>
    <x v="3"/>
    <x v="2"/>
    <n v="83"/>
    <n v="66"/>
    <n v="7.4"/>
    <x v="1"/>
    <x v="2"/>
    <x v="0"/>
    <x v="2"/>
    <x v="2"/>
    <x v="1"/>
    <x v="1"/>
    <x v="0"/>
    <x v="0"/>
    <n v="0"/>
    <s v="Acceptable"/>
    <s v="3 Days"/>
    <x v="3"/>
    <s v="Saturday"/>
    <n v="1"/>
  </r>
  <r>
    <x v="1228"/>
    <d v="2024-10-19T00:00:00"/>
    <x v="3"/>
    <x v="1"/>
    <n v="161"/>
    <n v="11"/>
    <n v="6.9"/>
    <x v="0"/>
    <x v="2"/>
    <x v="0"/>
    <x v="1"/>
    <x v="1"/>
    <x v="0"/>
    <x v="1"/>
    <x v="0"/>
    <x v="0"/>
    <n v="1"/>
    <s v="Slow"/>
    <s v="1 Day"/>
    <x v="7"/>
    <s v="Saturday"/>
    <n v="3"/>
  </r>
  <r>
    <x v="1229"/>
    <d v="2024-06-28T00:00:00"/>
    <x v="3"/>
    <x v="3"/>
    <n v="136"/>
    <n v="55"/>
    <n v="8"/>
    <x v="0"/>
    <x v="0"/>
    <x v="0"/>
    <x v="3"/>
    <x v="3"/>
    <x v="1"/>
    <x v="1"/>
    <x v="0"/>
    <x v="0"/>
    <n v="1"/>
    <s v="Slow"/>
    <s v="3 Days"/>
    <x v="4"/>
    <s v="Friday"/>
    <n v="2"/>
  </r>
  <r>
    <x v="1230"/>
    <d v="2024-06-06T00:00:00"/>
    <x v="1"/>
    <x v="3"/>
    <n v="112"/>
    <n v="39"/>
    <n v="4.5999999999999996"/>
    <x v="1"/>
    <x v="0"/>
    <x v="0"/>
    <x v="3"/>
    <x v="3"/>
    <x v="1"/>
    <x v="1"/>
    <x v="3"/>
    <x v="0"/>
    <n v="0"/>
    <s v="Acceptable"/>
    <s v="2 Days"/>
    <x v="4"/>
    <s v="Thursday"/>
    <n v="2"/>
  </r>
  <r>
    <x v="1231"/>
    <d v="2024-06-22T00:00:00"/>
    <x v="3"/>
    <x v="2"/>
    <n v="125"/>
    <n v="37"/>
    <n v="9.6999999999999993"/>
    <x v="1"/>
    <x v="1"/>
    <x v="0"/>
    <x v="2"/>
    <x v="2"/>
    <x v="1"/>
    <x v="1"/>
    <x v="2"/>
    <x v="0"/>
    <n v="0"/>
    <s v="Slow"/>
    <s v="2 Days"/>
    <x v="4"/>
    <s v="Saturday"/>
    <n v="1"/>
  </r>
  <r>
    <x v="1232"/>
    <d v="2024-09-08T00:00:00"/>
    <x v="2"/>
    <x v="1"/>
    <n v="8"/>
    <n v="72"/>
    <n v="7.8"/>
    <x v="1"/>
    <x v="0"/>
    <x v="2"/>
    <x v="1"/>
    <x v="1"/>
    <x v="1"/>
    <x v="0"/>
    <x v="0"/>
    <x v="2"/>
    <n v="0"/>
    <s v="Very Fast"/>
    <s v="3 Days"/>
    <x v="5"/>
    <s v="Sunday"/>
    <n v="3"/>
  </r>
  <r>
    <x v="1233"/>
    <d v="2024-06-23T00:00:00"/>
    <x v="1"/>
    <x v="1"/>
    <n v="77"/>
    <n v="52"/>
    <n v="6.1"/>
    <x v="1"/>
    <x v="0"/>
    <x v="1"/>
    <x v="1"/>
    <x v="1"/>
    <x v="1"/>
    <x v="0"/>
    <x v="0"/>
    <x v="1"/>
    <n v="0"/>
    <s v="Acceptable"/>
    <s v="3 Days"/>
    <x v="4"/>
    <s v="Sunday"/>
    <n v="3"/>
  </r>
  <r>
    <x v="1234"/>
    <d v="2024-12-08T00:00:00"/>
    <x v="3"/>
    <x v="0"/>
    <n v="98"/>
    <n v="27"/>
    <n v="3.6"/>
    <x v="1"/>
    <x v="1"/>
    <x v="0"/>
    <x v="0"/>
    <x v="0"/>
    <x v="0"/>
    <x v="0"/>
    <x v="3"/>
    <x v="0"/>
    <n v="0"/>
    <s v="Acceptable"/>
    <s v="2 Days"/>
    <x v="11"/>
    <s v="Sunday"/>
    <n v="4"/>
  </r>
  <r>
    <x v="1235"/>
    <d v="2024-01-05T00:00:00"/>
    <x v="4"/>
    <x v="0"/>
    <n v="124"/>
    <n v="63"/>
    <n v="8"/>
    <x v="1"/>
    <x v="0"/>
    <x v="1"/>
    <x v="0"/>
    <x v="0"/>
    <x v="0"/>
    <x v="0"/>
    <x v="0"/>
    <x v="1"/>
    <n v="0"/>
    <s v="Slow"/>
    <s v="3 Days"/>
    <x v="8"/>
    <s v="Friday"/>
    <n v="4"/>
  </r>
  <r>
    <x v="1236"/>
    <d v="2024-07-28T00:00:00"/>
    <x v="4"/>
    <x v="0"/>
    <n v="7"/>
    <n v="9"/>
    <n v="3.7"/>
    <x v="1"/>
    <x v="0"/>
    <x v="1"/>
    <x v="0"/>
    <x v="0"/>
    <x v="0"/>
    <x v="0"/>
    <x v="3"/>
    <x v="1"/>
    <n v="0"/>
    <s v="Very Fast"/>
    <s v="1 Day"/>
    <x v="10"/>
    <s v="Sunday"/>
    <n v="4"/>
  </r>
  <r>
    <x v="1237"/>
    <d v="2024-12-05T00:00:00"/>
    <x v="2"/>
    <x v="2"/>
    <n v="131"/>
    <n v="47"/>
    <n v="4.5999999999999996"/>
    <x v="1"/>
    <x v="0"/>
    <x v="0"/>
    <x v="2"/>
    <x v="2"/>
    <x v="1"/>
    <x v="1"/>
    <x v="3"/>
    <x v="0"/>
    <n v="0"/>
    <s v="Slow"/>
    <s v="2 Days"/>
    <x v="11"/>
    <s v="Thursday"/>
    <n v="1"/>
  </r>
  <r>
    <x v="1238"/>
    <d v="2024-03-05T00:00:00"/>
    <x v="0"/>
    <x v="3"/>
    <n v="136"/>
    <n v="67"/>
    <n v="8.3000000000000007"/>
    <x v="0"/>
    <x v="0"/>
    <x v="0"/>
    <x v="3"/>
    <x v="3"/>
    <x v="1"/>
    <x v="1"/>
    <x v="2"/>
    <x v="0"/>
    <n v="1"/>
    <s v="Slow"/>
    <s v="3 Days"/>
    <x v="2"/>
    <s v="Tuesday"/>
    <n v="2"/>
  </r>
  <r>
    <x v="1239"/>
    <d v="2024-12-14T00:00:00"/>
    <x v="3"/>
    <x v="1"/>
    <n v="239"/>
    <n v="11"/>
    <n v="6.6"/>
    <x v="1"/>
    <x v="2"/>
    <x v="1"/>
    <x v="1"/>
    <x v="1"/>
    <x v="0"/>
    <x v="1"/>
    <x v="0"/>
    <x v="1"/>
    <n v="0"/>
    <s v="Slow"/>
    <s v="1 Day"/>
    <x v="11"/>
    <s v="Saturday"/>
    <n v="3"/>
  </r>
  <r>
    <x v="1240"/>
    <d v="2024-01-06T00:00:00"/>
    <x v="0"/>
    <x v="2"/>
    <n v="184"/>
    <n v="46"/>
    <n v="6"/>
    <x v="0"/>
    <x v="2"/>
    <x v="0"/>
    <x v="2"/>
    <x v="2"/>
    <x v="1"/>
    <x v="1"/>
    <x v="0"/>
    <x v="0"/>
    <n v="1"/>
    <s v="Slow"/>
    <s v="2 Days"/>
    <x v="8"/>
    <s v="Saturday"/>
    <n v="1"/>
  </r>
  <r>
    <x v="1241"/>
    <d v="2024-01-18T00:00:00"/>
    <x v="2"/>
    <x v="0"/>
    <n v="218"/>
    <n v="2"/>
    <n v="3.5"/>
    <x v="0"/>
    <x v="0"/>
    <x v="1"/>
    <x v="0"/>
    <x v="0"/>
    <x v="0"/>
    <x v="0"/>
    <x v="3"/>
    <x v="1"/>
    <n v="1"/>
    <s v="Slow"/>
    <s v="Same Day"/>
    <x v="8"/>
    <s v="Thursday"/>
    <n v="4"/>
  </r>
  <r>
    <x v="1242"/>
    <d v="2024-10-31T00:00:00"/>
    <x v="1"/>
    <x v="0"/>
    <n v="60"/>
    <n v="26"/>
    <n v="3.6"/>
    <x v="0"/>
    <x v="0"/>
    <x v="0"/>
    <x v="0"/>
    <x v="0"/>
    <x v="0"/>
    <x v="0"/>
    <x v="3"/>
    <x v="0"/>
    <n v="1"/>
    <s v="Acceptable"/>
    <s v="2 Days"/>
    <x v="7"/>
    <s v="Thursday"/>
    <n v="4"/>
  </r>
  <r>
    <x v="1243"/>
    <d v="2024-01-16T00:00:00"/>
    <x v="1"/>
    <x v="1"/>
    <n v="69"/>
    <n v="57"/>
    <n v="2.6"/>
    <x v="0"/>
    <x v="1"/>
    <x v="0"/>
    <x v="1"/>
    <x v="1"/>
    <x v="1"/>
    <x v="0"/>
    <x v="3"/>
    <x v="0"/>
    <n v="1"/>
    <s v="Acceptable"/>
    <s v="3 Days"/>
    <x v="8"/>
    <s v="Tuesday"/>
    <n v="3"/>
  </r>
  <r>
    <x v="1244"/>
    <d v="2024-09-14T00:00:00"/>
    <x v="1"/>
    <x v="1"/>
    <n v="188"/>
    <n v="50"/>
    <n v="7.6"/>
    <x v="1"/>
    <x v="0"/>
    <x v="1"/>
    <x v="1"/>
    <x v="1"/>
    <x v="1"/>
    <x v="1"/>
    <x v="0"/>
    <x v="1"/>
    <n v="0"/>
    <s v="Slow"/>
    <s v="3 Days"/>
    <x v="5"/>
    <s v="Saturday"/>
    <n v="3"/>
  </r>
  <r>
    <x v="1245"/>
    <d v="2024-05-19T00:00:00"/>
    <x v="0"/>
    <x v="0"/>
    <n v="86"/>
    <n v="19"/>
    <n v="2.2999999999999998"/>
    <x v="0"/>
    <x v="0"/>
    <x v="0"/>
    <x v="0"/>
    <x v="0"/>
    <x v="0"/>
    <x v="0"/>
    <x v="3"/>
    <x v="0"/>
    <n v="1"/>
    <s v="Acceptable"/>
    <s v="1 Day"/>
    <x v="1"/>
    <s v="Sunday"/>
    <n v="4"/>
  </r>
  <r>
    <x v="1246"/>
    <d v="2024-09-24T00:00:00"/>
    <x v="4"/>
    <x v="3"/>
    <n v="49"/>
    <n v="31"/>
    <n v="4.3"/>
    <x v="1"/>
    <x v="1"/>
    <x v="0"/>
    <x v="3"/>
    <x v="3"/>
    <x v="1"/>
    <x v="0"/>
    <x v="3"/>
    <x v="0"/>
    <n v="0"/>
    <s v="Acceptable"/>
    <s v="2 Days"/>
    <x v="5"/>
    <s v="Tuesday"/>
    <n v="2"/>
  </r>
  <r>
    <x v="1247"/>
    <d v="2024-05-27T00:00:00"/>
    <x v="2"/>
    <x v="2"/>
    <n v="134"/>
    <n v="22"/>
    <n v="4"/>
    <x v="1"/>
    <x v="1"/>
    <x v="0"/>
    <x v="2"/>
    <x v="2"/>
    <x v="1"/>
    <x v="1"/>
    <x v="3"/>
    <x v="0"/>
    <n v="0"/>
    <s v="Slow"/>
    <s v="1 Day"/>
    <x v="1"/>
    <s v="Monday"/>
    <n v="1"/>
  </r>
  <r>
    <x v="1248"/>
    <d v="2024-06-10T00:00:00"/>
    <x v="3"/>
    <x v="1"/>
    <n v="230"/>
    <n v="65"/>
    <n v="5.8"/>
    <x v="0"/>
    <x v="0"/>
    <x v="0"/>
    <x v="1"/>
    <x v="1"/>
    <x v="1"/>
    <x v="1"/>
    <x v="0"/>
    <x v="0"/>
    <n v="1"/>
    <s v="Slow"/>
    <s v="3 Days"/>
    <x v="4"/>
    <s v="Monday"/>
    <n v="3"/>
  </r>
  <r>
    <x v="1249"/>
    <d v="2024-05-03T00:00:00"/>
    <x v="1"/>
    <x v="1"/>
    <n v="132"/>
    <n v="12"/>
    <n v="1.5"/>
    <x v="0"/>
    <x v="2"/>
    <x v="0"/>
    <x v="1"/>
    <x v="1"/>
    <x v="0"/>
    <x v="1"/>
    <x v="1"/>
    <x v="0"/>
    <n v="1"/>
    <s v="Slow"/>
    <s v="1 Day"/>
    <x v="1"/>
    <s v="Friday"/>
    <n v="3"/>
  </r>
  <r>
    <x v="1250"/>
    <d v="2024-11-12T00:00:00"/>
    <x v="3"/>
    <x v="1"/>
    <n v="202"/>
    <n v="37"/>
    <n v="4.5999999999999996"/>
    <x v="0"/>
    <x v="2"/>
    <x v="0"/>
    <x v="1"/>
    <x v="1"/>
    <x v="0"/>
    <x v="1"/>
    <x v="3"/>
    <x v="0"/>
    <n v="1"/>
    <s v="Slow"/>
    <s v="2 Days"/>
    <x v="6"/>
    <s v="Tuesday"/>
    <n v="3"/>
  </r>
  <r>
    <x v="1251"/>
    <d v="2024-01-01T00:00:00"/>
    <x v="3"/>
    <x v="0"/>
    <n v="50"/>
    <n v="67"/>
    <n v="2.2000000000000002"/>
    <x v="0"/>
    <x v="0"/>
    <x v="0"/>
    <x v="0"/>
    <x v="0"/>
    <x v="0"/>
    <x v="0"/>
    <x v="3"/>
    <x v="0"/>
    <n v="1"/>
    <s v="Acceptable"/>
    <s v="3 Days"/>
    <x v="8"/>
    <s v="Monday"/>
    <n v="4"/>
  </r>
  <r>
    <x v="1252"/>
    <d v="2024-05-04T00:00:00"/>
    <x v="2"/>
    <x v="1"/>
    <n v="89"/>
    <n v="18"/>
    <n v="0.9"/>
    <x v="1"/>
    <x v="0"/>
    <x v="0"/>
    <x v="1"/>
    <x v="1"/>
    <x v="0"/>
    <x v="0"/>
    <x v="1"/>
    <x v="0"/>
    <n v="0"/>
    <s v="Acceptable"/>
    <s v="1 Day"/>
    <x v="1"/>
    <s v="Saturday"/>
    <n v="3"/>
  </r>
  <r>
    <x v="1253"/>
    <d v="2024-03-07T00:00:00"/>
    <x v="2"/>
    <x v="3"/>
    <n v="206"/>
    <n v="25"/>
    <n v="4.3"/>
    <x v="0"/>
    <x v="2"/>
    <x v="0"/>
    <x v="3"/>
    <x v="3"/>
    <x v="1"/>
    <x v="1"/>
    <x v="3"/>
    <x v="0"/>
    <n v="1"/>
    <s v="Slow"/>
    <s v="2 Days"/>
    <x v="2"/>
    <s v="Thursday"/>
    <n v="2"/>
  </r>
  <r>
    <x v="1254"/>
    <d v="2024-11-27T00:00:00"/>
    <x v="4"/>
    <x v="2"/>
    <n v="62"/>
    <n v="52"/>
    <n v="4.7"/>
    <x v="1"/>
    <x v="2"/>
    <x v="0"/>
    <x v="2"/>
    <x v="2"/>
    <x v="1"/>
    <x v="1"/>
    <x v="3"/>
    <x v="0"/>
    <n v="0"/>
    <s v="Acceptable"/>
    <s v="3 Days"/>
    <x v="6"/>
    <s v="Wednesday"/>
    <n v="1"/>
  </r>
  <r>
    <x v="1255"/>
    <d v="2024-01-27T00:00:00"/>
    <x v="3"/>
    <x v="0"/>
    <n v="155"/>
    <n v="51"/>
    <n v="1.1000000000000001"/>
    <x v="1"/>
    <x v="2"/>
    <x v="0"/>
    <x v="0"/>
    <x v="0"/>
    <x v="0"/>
    <x v="0"/>
    <x v="1"/>
    <x v="0"/>
    <n v="0"/>
    <s v="Slow"/>
    <s v="3 Days"/>
    <x v="8"/>
    <s v="Saturday"/>
    <n v="4"/>
  </r>
  <r>
    <x v="1256"/>
    <d v="2024-08-30T00:00:00"/>
    <x v="1"/>
    <x v="2"/>
    <n v="215"/>
    <n v="32"/>
    <n v="4.9000000000000004"/>
    <x v="1"/>
    <x v="1"/>
    <x v="0"/>
    <x v="2"/>
    <x v="2"/>
    <x v="1"/>
    <x v="1"/>
    <x v="3"/>
    <x v="0"/>
    <n v="0"/>
    <s v="Slow"/>
    <s v="2 Days"/>
    <x v="0"/>
    <s v="Friday"/>
    <n v="1"/>
  </r>
  <r>
    <x v="1257"/>
    <d v="2024-12-02T00:00:00"/>
    <x v="2"/>
    <x v="2"/>
    <n v="119"/>
    <n v="35"/>
    <n v="9.4"/>
    <x v="1"/>
    <x v="1"/>
    <x v="0"/>
    <x v="2"/>
    <x v="2"/>
    <x v="1"/>
    <x v="1"/>
    <x v="2"/>
    <x v="0"/>
    <n v="0"/>
    <s v="Acceptable"/>
    <s v="2 Days"/>
    <x v="11"/>
    <s v="Monday"/>
    <n v="1"/>
  </r>
  <r>
    <x v="1258"/>
    <d v="2024-09-20T00:00:00"/>
    <x v="0"/>
    <x v="0"/>
    <n v="35"/>
    <n v="72"/>
    <n v="5"/>
    <x v="1"/>
    <x v="2"/>
    <x v="1"/>
    <x v="0"/>
    <x v="0"/>
    <x v="0"/>
    <x v="0"/>
    <x v="3"/>
    <x v="1"/>
    <n v="0"/>
    <s v="Acceptable"/>
    <s v="3 Days"/>
    <x v="5"/>
    <s v="Friday"/>
    <n v="4"/>
  </r>
  <r>
    <x v="1259"/>
    <d v="2024-08-13T00:00:00"/>
    <x v="2"/>
    <x v="1"/>
    <n v="87"/>
    <n v="71"/>
    <n v="6.7"/>
    <x v="0"/>
    <x v="1"/>
    <x v="0"/>
    <x v="1"/>
    <x v="1"/>
    <x v="1"/>
    <x v="0"/>
    <x v="0"/>
    <x v="0"/>
    <n v="1"/>
    <s v="Acceptable"/>
    <s v="3 Days"/>
    <x v="0"/>
    <s v="Tuesday"/>
    <n v="3"/>
  </r>
  <r>
    <x v="1260"/>
    <d v="2024-04-26T00:00:00"/>
    <x v="2"/>
    <x v="1"/>
    <n v="72"/>
    <n v="50"/>
    <n v="6.1"/>
    <x v="1"/>
    <x v="2"/>
    <x v="1"/>
    <x v="1"/>
    <x v="1"/>
    <x v="1"/>
    <x v="0"/>
    <x v="0"/>
    <x v="1"/>
    <n v="0"/>
    <s v="Acceptable"/>
    <s v="3 Days"/>
    <x v="3"/>
    <s v="Friday"/>
    <n v="3"/>
  </r>
  <r>
    <x v="1261"/>
    <d v="2024-06-18T00:00:00"/>
    <x v="2"/>
    <x v="0"/>
    <n v="201"/>
    <n v="66"/>
    <n v="1.3"/>
    <x v="1"/>
    <x v="1"/>
    <x v="0"/>
    <x v="0"/>
    <x v="0"/>
    <x v="0"/>
    <x v="0"/>
    <x v="1"/>
    <x v="0"/>
    <n v="0"/>
    <s v="Slow"/>
    <s v="3 Days"/>
    <x v="4"/>
    <s v="Tuesday"/>
    <n v="4"/>
  </r>
  <r>
    <x v="1262"/>
    <d v="2024-10-10T00:00:00"/>
    <x v="3"/>
    <x v="0"/>
    <n v="42"/>
    <n v="4"/>
    <n v="9.9"/>
    <x v="0"/>
    <x v="0"/>
    <x v="1"/>
    <x v="0"/>
    <x v="0"/>
    <x v="0"/>
    <x v="0"/>
    <x v="2"/>
    <x v="1"/>
    <n v="1"/>
    <s v="Acceptable"/>
    <s v="Same Day"/>
    <x v="7"/>
    <s v="Thursday"/>
    <n v="4"/>
  </r>
  <r>
    <x v="1263"/>
    <d v="2024-03-18T00:00:00"/>
    <x v="2"/>
    <x v="3"/>
    <n v="146"/>
    <n v="57"/>
    <n v="4.5999999999999996"/>
    <x v="0"/>
    <x v="0"/>
    <x v="0"/>
    <x v="3"/>
    <x v="3"/>
    <x v="1"/>
    <x v="1"/>
    <x v="3"/>
    <x v="0"/>
    <n v="1"/>
    <s v="Slow"/>
    <s v="3 Days"/>
    <x v="2"/>
    <s v="Monday"/>
    <n v="2"/>
  </r>
  <r>
    <x v="1264"/>
    <d v="2024-08-02T00:00:00"/>
    <x v="4"/>
    <x v="1"/>
    <n v="189"/>
    <n v="42"/>
    <n v="1.4"/>
    <x v="0"/>
    <x v="1"/>
    <x v="0"/>
    <x v="1"/>
    <x v="1"/>
    <x v="0"/>
    <x v="1"/>
    <x v="1"/>
    <x v="0"/>
    <n v="1"/>
    <s v="Slow"/>
    <s v="2 Days"/>
    <x v="0"/>
    <s v="Friday"/>
    <n v="3"/>
  </r>
  <r>
    <x v="1265"/>
    <d v="2024-09-07T00:00:00"/>
    <x v="4"/>
    <x v="1"/>
    <n v="156"/>
    <n v="47"/>
    <n v="3.8"/>
    <x v="0"/>
    <x v="1"/>
    <x v="0"/>
    <x v="1"/>
    <x v="1"/>
    <x v="0"/>
    <x v="1"/>
    <x v="3"/>
    <x v="0"/>
    <n v="1"/>
    <s v="Slow"/>
    <s v="2 Days"/>
    <x v="5"/>
    <s v="Saturday"/>
    <n v="3"/>
  </r>
  <r>
    <x v="1266"/>
    <d v="2024-10-08T00:00:00"/>
    <x v="1"/>
    <x v="3"/>
    <n v="150"/>
    <n v="39"/>
    <n v="3"/>
    <x v="1"/>
    <x v="0"/>
    <x v="0"/>
    <x v="3"/>
    <x v="3"/>
    <x v="1"/>
    <x v="1"/>
    <x v="3"/>
    <x v="0"/>
    <n v="0"/>
    <s v="Slow"/>
    <s v="2 Days"/>
    <x v="7"/>
    <s v="Tuesday"/>
    <n v="2"/>
  </r>
  <r>
    <x v="1267"/>
    <d v="2024-11-07T00:00:00"/>
    <x v="3"/>
    <x v="2"/>
    <n v="201"/>
    <n v="51"/>
    <n v="0.9"/>
    <x v="0"/>
    <x v="0"/>
    <x v="0"/>
    <x v="2"/>
    <x v="2"/>
    <x v="1"/>
    <x v="1"/>
    <x v="1"/>
    <x v="0"/>
    <n v="1"/>
    <s v="Slow"/>
    <s v="3 Days"/>
    <x v="6"/>
    <s v="Thursday"/>
    <n v="1"/>
  </r>
  <r>
    <x v="1268"/>
    <d v="2024-05-19T00:00:00"/>
    <x v="2"/>
    <x v="0"/>
    <n v="214"/>
    <n v="17"/>
    <n v="3.2"/>
    <x v="1"/>
    <x v="1"/>
    <x v="0"/>
    <x v="0"/>
    <x v="0"/>
    <x v="0"/>
    <x v="0"/>
    <x v="3"/>
    <x v="0"/>
    <n v="0"/>
    <s v="Slow"/>
    <s v="1 Day"/>
    <x v="1"/>
    <s v="Sunday"/>
    <n v="4"/>
  </r>
  <r>
    <x v="1269"/>
    <d v="2024-04-06T00:00:00"/>
    <x v="4"/>
    <x v="3"/>
    <n v="55"/>
    <n v="5"/>
    <n v="2.1"/>
    <x v="0"/>
    <x v="1"/>
    <x v="0"/>
    <x v="3"/>
    <x v="3"/>
    <x v="0"/>
    <x v="0"/>
    <x v="3"/>
    <x v="0"/>
    <n v="1"/>
    <s v="Acceptable"/>
    <s v="Same Day"/>
    <x v="3"/>
    <s v="Saturday"/>
    <n v="2"/>
  </r>
  <r>
    <x v="1270"/>
    <d v="2024-07-19T00:00:00"/>
    <x v="3"/>
    <x v="3"/>
    <n v="112"/>
    <n v="12"/>
    <n v="2.9"/>
    <x v="0"/>
    <x v="2"/>
    <x v="0"/>
    <x v="3"/>
    <x v="3"/>
    <x v="0"/>
    <x v="1"/>
    <x v="3"/>
    <x v="0"/>
    <n v="1"/>
    <s v="Acceptable"/>
    <s v="1 Day"/>
    <x v="10"/>
    <s v="Friday"/>
    <n v="2"/>
  </r>
  <r>
    <x v="1271"/>
    <d v="2024-09-21T00:00:00"/>
    <x v="2"/>
    <x v="1"/>
    <n v="201"/>
    <n v="10"/>
    <n v="4.3"/>
    <x v="1"/>
    <x v="0"/>
    <x v="0"/>
    <x v="1"/>
    <x v="1"/>
    <x v="0"/>
    <x v="1"/>
    <x v="3"/>
    <x v="0"/>
    <n v="0"/>
    <s v="Slow"/>
    <s v="1 Day"/>
    <x v="5"/>
    <s v="Saturday"/>
    <n v="3"/>
  </r>
  <r>
    <x v="1272"/>
    <d v="2024-01-13T00:00:00"/>
    <x v="2"/>
    <x v="3"/>
    <n v="25"/>
    <n v="14"/>
    <n v="4.5999999999999996"/>
    <x v="1"/>
    <x v="1"/>
    <x v="1"/>
    <x v="3"/>
    <x v="3"/>
    <x v="0"/>
    <x v="0"/>
    <x v="3"/>
    <x v="1"/>
    <n v="0"/>
    <s v="Very Fast"/>
    <s v="1 Day"/>
    <x v="8"/>
    <s v="Saturday"/>
    <n v="2"/>
  </r>
  <r>
    <x v="1273"/>
    <d v="2024-08-07T00:00:00"/>
    <x v="4"/>
    <x v="0"/>
    <n v="134"/>
    <n v="33"/>
    <n v="0.7"/>
    <x v="0"/>
    <x v="0"/>
    <x v="0"/>
    <x v="0"/>
    <x v="0"/>
    <x v="0"/>
    <x v="0"/>
    <x v="1"/>
    <x v="0"/>
    <n v="1"/>
    <s v="Slow"/>
    <s v="2 Days"/>
    <x v="0"/>
    <s v="Wednesday"/>
    <n v="4"/>
  </r>
  <r>
    <x v="1274"/>
    <d v="2024-12-13T00:00:00"/>
    <x v="3"/>
    <x v="2"/>
    <n v="80"/>
    <n v="36"/>
    <n v="4.8"/>
    <x v="1"/>
    <x v="2"/>
    <x v="0"/>
    <x v="2"/>
    <x v="2"/>
    <x v="1"/>
    <x v="1"/>
    <x v="3"/>
    <x v="0"/>
    <n v="0"/>
    <s v="Acceptable"/>
    <s v="2 Days"/>
    <x v="11"/>
    <s v="Friday"/>
    <n v="1"/>
  </r>
  <r>
    <x v="1275"/>
    <d v="2024-07-19T00:00:00"/>
    <x v="2"/>
    <x v="2"/>
    <n v="123"/>
    <n v="61"/>
    <n v="0.8"/>
    <x v="0"/>
    <x v="1"/>
    <x v="0"/>
    <x v="2"/>
    <x v="2"/>
    <x v="1"/>
    <x v="1"/>
    <x v="1"/>
    <x v="0"/>
    <n v="1"/>
    <s v="Slow"/>
    <s v="3 Days"/>
    <x v="10"/>
    <s v="Friday"/>
    <n v="1"/>
  </r>
  <r>
    <x v="1276"/>
    <d v="2024-03-02T00:00:00"/>
    <x v="1"/>
    <x v="0"/>
    <n v="174"/>
    <n v="57"/>
    <n v="6.4"/>
    <x v="0"/>
    <x v="0"/>
    <x v="0"/>
    <x v="0"/>
    <x v="0"/>
    <x v="0"/>
    <x v="0"/>
    <x v="0"/>
    <x v="0"/>
    <n v="1"/>
    <s v="Slow"/>
    <s v="3 Days"/>
    <x v="2"/>
    <s v="Saturday"/>
    <n v="4"/>
  </r>
  <r>
    <x v="1277"/>
    <d v="2024-08-03T00:00:00"/>
    <x v="2"/>
    <x v="1"/>
    <n v="93"/>
    <n v="13"/>
    <n v="2.5"/>
    <x v="0"/>
    <x v="0"/>
    <x v="0"/>
    <x v="1"/>
    <x v="1"/>
    <x v="0"/>
    <x v="0"/>
    <x v="3"/>
    <x v="0"/>
    <n v="1"/>
    <s v="Acceptable"/>
    <s v="1 Day"/>
    <x v="0"/>
    <s v="Saturday"/>
    <n v="3"/>
  </r>
  <r>
    <x v="1278"/>
    <d v="2024-12-07T00:00:00"/>
    <x v="1"/>
    <x v="0"/>
    <n v="197"/>
    <n v="63"/>
    <n v="5.8"/>
    <x v="1"/>
    <x v="0"/>
    <x v="1"/>
    <x v="0"/>
    <x v="0"/>
    <x v="0"/>
    <x v="0"/>
    <x v="0"/>
    <x v="1"/>
    <n v="0"/>
    <s v="Slow"/>
    <s v="3 Days"/>
    <x v="11"/>
    <s v="Saturday"/>
    <n v="4"/>
  </r>
  <r>
    <x v="1279"/>
    <d v="2024-02-25T00:00:00"/>
    <x v="3"/>
    <x v="3"/>
    <n v="80"/>
    <n v="61"/>
    <n v="2.4"/>
    <x v="1"/>
    <x v="2"/>
    <x v="0"/>
    <x v="3"/>
    <x v="3"/>
    <x v="1"/>
    <x v="1"/>
    <x v="3"/>
    <x v="0"/>
    <n v="0"/>
    <s v="Acceptable"/>
    <s v="3 Days"/>
    <x v="9"/>
    <s v="Sunday"/>
    <n v="2"/>
  </r>
  <r>
    <x v="1280"/>
    <d v="2024-11-02T00:00:00"/>
    <x v="3"/>
    <x v="0"/>
    <n v="185"/>
    <n v="46"/>
    <n v="0.7"/>
    <x v="0"/>
    <x v="2"/>
    <x v="0"/>
    <x v="0"/>
    <x v="0"/>
    <x v="0"/>
    <x v="0"/>
    <x v="1"/>
    <x v="0"/>
    <n v="1"/>
    <s v="Slow"/>
    <s v="2 Days"/>
    <x v="6"/>
    <s v="Saturday"/>
    <n v="4"/>
  </r>
  <r>
    <x v="1281"/>
    <d v="2024-03-27T00:00:00"/>
    <x v="0"/>
    <x v="0"/>
    <n v="35"/>
    <n v="15"/>
    <n v="2.8"/>
    <x v="0"/>
    <x v="2"/>
    <x v="0"/>
    <x v="0"/>
    <x v="0"/>
    <x v="0"/>
    <x v="0"/>
    <x v="3"/>
    <x v="0"/>
    <n v="1"/>
    <s v="Acceptable"/>
    <s v="1 Day"/>
    <x v="2"/>
    <s v="Wednesday"/>
    <n v="4"/>
  </r>
  <r>
    <x v="1282"/>
    <d v="2024-09-21T00:00:00"/>
    <x v="3"/>
    <x v="2"/>
    <n v="35"/>
    <n v="4"/>
    <n v="4.5999999999999996"/>
    <x v="1"/>
    <x v="1"/>
    <x v="1"/>
    <x v="2"/>
    <x v="2"/>
    <x v="0"/>
    <x v="1"/>
    <x v="3"/>
    <x v="1"/>
    <n v="0"/>
    <s v="Acceptable"/>
    <s v="Same Day"/>
    <x v="5"/>
    <s v="Saturday"/>
    <n v="1"/>
  </r>
  <r>
    <x v="1283"/>
    <d v="2024-07-02T00:00:00"/>
    <x v="1"/>
    <x v="3"/>
    <n v="234"/>
    <n v="39"/>
    <n v="1.9"/>
    <x v="1"/>
    <x v="0"/>
    <x v="0"/>
    <x v="3"/>
    <x v="3"/>
    <x v="1"/>
    <x v="1"/>
    <x v="1"/>
    <x v="0"/>
    <n v="0"/>
    <s v="Slow"/>
    <s v="2 Days"/>
    <x v="10"/>
    <s v="Tuesday"/>
    <n v="2"/>
  </r>
  <r>
    <x v="1284"/>
    <d v="2024-11-12T00:00:00"/>
    <x v="2"/>
    <x v="1"/>
    <n v="201"/>
    <n v="15"/>
    <n v="4.2"/>
    <x v="0"/>
    <x v="2"/>
    <x v="0"/>
    <x v="1"/>
    <x v="1"/>
    <x v="0"/>
    <x v="1"/>
    <x v="3"/>
    <x v="0"/>
    <n v="1"/>
    <s v="Slow"/>
    <s v="1 Day"/>
    <x v="6"/>
    <s v="Tuesday"/>
    <n v="3"/>
  </r>
  <r>
    <x v="1285"/>
    <d v="2024-05-05T00:00:00"/>
    <x v="1"/>
    <x v="0"/>
    <n v="35"/>
    <n v="39"/>
    <n v="4.4000000000000004"/>
    <x v="1"/>
    <x v="1"/>
    <x v="0"/>
    <x v="0"/>
    <x v="0"/>
    <x v="0"/>
    <x v="0"/>
    <x v="3"/>
    <x v="0"/>
    <n v="0"/>
    <s v="Acceptable"/>
    <s v="2 Days"/>
    <x v="1"/>
    <s v="Sunday"/>
    <n v="4"/>
  </r>
  <r>
    <x v="1286"/>
    <d v="2024-08-04T00:00:00"/>
    <x v="4"/>
    <x v="2"/>
    <n v="93"/>
    <n v="35"/>
    <n v="7.2"/>
    <x v="1"/>
    <x v="1"/>
    <x v="0"/>
    <x v="2"/>
    <x v="2"/>
    <x v="1"/>
    <x v="1"/>
    <x v="0"/>
    <x v="0"/>
    <n v="0"/>
    <s v="Acceptable"/>
    <s v="2 Days"/>
    <x v="0"/>
    <s v="Sunday"/>
    <n v="1"/>
  </r>
  <r>
    <x v="1287"/>
    <d v="2024-07-10T00:00:00"/>
    <x v="4"/>
    <x v="2"/>
    <n v="10"/>
    <n v="26"/>
    <n v="3.5"/>
    <x v="1"/>
    <x v="0"/>
    <x v="1"/>
    <x v="2"/>
    <x v="2"/>
    <x v="1"/>
    <x v="0"/>
    <x v="3"/>
    <x v="1"/>
    <n v="0"/>
    <s v="Very Fast"/>
    <s v="2 Days"/>
    <x v="10"/>
    <s v="Wednesday"/>
    <n v="1"/>
  </r>
  <r>
    <x v="1288"/>
    <d v="2024-08-05T00:00:00"/>
    <x v="2"/>
    <x v="0"/>
    <n v="171"/>
    <n v="38"/>
    <n v="6.9"/>
    <x v="1"/>
    <x v="1"/>
    <x v="1"/>
    <x v="0"/>
    <x v="0"/>
    <x v="0"/>
    <x v="0"/>
    <x v="0"/>
    <x v="1"/>
    <n v="0"/>
    <s v="Slow"/>
    <s v="2 Days"/>
    <x v="0"/>
    <s v="Monday"/>
    <n v="4"/>
  </r>
  <r>
    <x v="1289"/>
    <d v="2024-11-13T00:00:00"/>
    <x v="4"/>
    <x v="0"/>
    <n v="171"/>
    <n v="44"/>
    <n v="0.8"/>
    <x v="1"/>
    <x v="0"/>
    <x v="0"/>
    <x v="0"/>
    <x v="0"/>
    <x v="0"/>
    <x v="0"/>
    <x v="1"/>
    <x v="0"/>
    <n v="0"/>
    <s v="Slow"/>
    <s v="2 Days"/>
    <x v="6"/>
    <s v="Wednesday"/>
    <n v="4"/>
  </r>
  <r>
    <x v="1290"/>
    <d v="2024-09-01T00:00:00"/>
    <x v="3"/>
    <x v="2"/>
    <n v="178"/>
    <n v="59"/>
    <n v="8"/>
    <x v="1"/>
    <x v="1"/>
    <x v="0"/>
    <x v="2"/>
    <x v="2"/>
    <x v="1"/>
    <x v="1"/>
    <x v="0"/>
    <x v="0"/>
    <n v="0"/>
    <s v="Slow"/>
    <s v="3 Days"/>
    <x v="5"/>
    <s v="Sunday"/>
    <n v="1"/>
  </r>
  <r>
    <x v="1291"/>
    <d v="2024-10-14T00:00:00"/>
    <x v="1"/>
    <x v="1"/>
    <n v="73"/>
    <n v="51"/>
    <n v="3.2"/>
    <x v="0"/>
    <x v="2"/>
    <x v="0"/>
    <x v="1"/>
    <x v="1"/>
    <x v="1"/>
    <x v="0"/>
    <x v="3"/>
    <x v="0"/>
    <n v="1"/>
    <s v="Acceptable"/>
    <s v="3 Days"/>
    <x v="7"/>
    <s v="Monday"/>
    <n v="3"/>
  </r>
  <r>
    <x v="1292"/>
    <d v="2024-09-21T00:00:00"/>
    <x v="4"/>
    <x v="1"/>
    <n v="115"/>
    <n v="49"/>
    <n v="6.6"/>
    <x v="0"/>
    <x v="0"/>
    <x v="0"/>
    <x v="1"/>
    <x v="1"/>
    <x v="1"/>
    <x v="0"/>
    <x v="0"/>
    <x v="0"/>
    <n v="1"/>
    <s v="Acceptable"/>
    <s v="3 Days"/>
    <x v="5"/>
    <s v="Saturday"/>
    <n v="3"/>
  </r>
  <r>
    <x v="1293"/>
    <d v="2024-11-17T00:00:00"/>
    <x v="0"/>
    <x v="3"/>
    <n v="147"/>
    <n v="23"/>
    <n v="1"/>
    <x v="0"/>
    <x v="1"/>
    <x v="0"/>
    <x v="3"/>
    <x v="3"/>
    <x v="0"/>
    <x v="1"/>
    <x v="1"/>
    <x v="0"/>
    <n v="1"/>
    <s v="Slow"/>
    <s v="1 Day"/>
    <x v="6"/>
    <s v="Sunday"/>
    <n v="2"/>
  </r>
  <r>
    <x v="1294"/>
    <d v="2024-02-13T00:00:00"/>
    <x v="0"/>
    <x v="1"/>
    <n v="26"/>
    <n v="9"/>
    <n v="1.4"/>
    <x v="0"/>
    <x v="0"/>
    <x v="1"/>
    <x v="1"/>
    <x v="1"/>
    <x v="0"/>
    <x v="0"/>
    <x v="1"/>
    <x v="1"/>
    <n v="1"/>
    <s v="Very Fast"/>
    <s v="1 Day"/>
    <x v="9"/>
    <s v="Tuesday"/>
    <n v="3"/>
  </r>
  <r>
    <x v="1295"/>
    <d v="2024-05-21T00:00:00"/>
    <x v="0"/>
    <x v="3"/>
    <n v="82"/>
    <n v="6"/>
    <n v="7.7"/>
    <x v="0"/>
    <x v="1"/>
    <x v="1"/>
    <x v="3"/>
    <x v="3"/>
    <x v="0"/>
    <x v="1"/>
    <x v="0"/>
    <x v="1"/>
    <n v="1"/>
    <s v="Acceptable"/>
    <s v="Same Day"/>
    <x v="1"/>
    <s v="Tuesday"/>
    <n v="2"/>
  </r>
  <r>
    <x v="1296"/>
    <d v="2024-05-23T00:00:00"/>
    <x v="3"/>
    <x v="2"/>
    <n v="112"/>
    <n v="45"/>
    <n v="8"/>
    <x v="0"/>
    <x v="1"/>
    <x v="0"/>
    <x v="2"/>
    <x v="2"/>
    <x v="1"/>
    <x v="1"/>
    <x v="0"/>
    <x v="0"/>
    <n v="1"/>
    <s v="Acceptable"/>
    <s v="2 Days"/>
    <x v="1"/>
    <s v="Thursday"/>
    <n v="1"/>
  </r>
  <r>
    <x v="1297"/>
    <d v="2024-11-16T00:00:00"/>
    <x v="2"/>
    <x v="1"/>
    <n v="36"/>
    <n v="71"/>
    <n v="1.2"/>
    <x v="0"/>
    <x v="2"/>
    <x v="0"/>
    <x v="1"/>
    <x v="1"/>
    <x v="1"/>
    <x v="0"/>
    <x v="1"/>
    <x v="0"/>
    <n v="1"/>
    <s v="Acceptable"/>
    <s v="3 Days"/>
    <x v="6"/>
    <s v="Saturday"/>
    <n v="3"/>
  </r>
  <r>
    <x v="1298"/>
    <d v="2024-01-09T00:00:00"/>
    <x v="3"/>
    <x v="3"/>
    <n v="47"/>
    <n v="3"/>
    <n v="6.4"/>
    <x v="0"/>
    <x v="1"/>
    <x v="1"/>
    <x v="3"/>
    <x v="3"/>
    <x v="0"/>
    <x v="0"/>
    <x v="0"/>
    <x v="1"/>
    <n v="1"/>
    <s v="Acceptable"/>
    <s v="Same Day"/>
    <x v="8"/>
    <s v="Tuesday"/>
    <n v="2"/>
  </r>
  <r>
    <x v="1299"/>
    <d v="2024-09-17T00:00:00"/>
    <x v="0"/>
    <x v="2"/>
    <n v="152"/>
    <n v="50"/>
    <n v="9.6999999999999993"/>
    <x v="0"/>
    <x v="1"/>
    <x v="0"/>
    <x v="2"/>
    <x v="2"/>
    <x v="1"/>
    <x v="1"/>
    <x v="2"/>
    <x v="0"/>
    <n v="1"/>
    <s v="Slow"/>
    <s v="3 Days"/>
    <x v="5"/>
    <s v="Tuesday"/>
    <n v="1"/>
  </r>
  <r>
    <x v="1300"/>
    <d v="2024-03-30T00:00:00"/>
    <x v="2"/>
    <x v="2"/>
    <n v="223"/>
    <n v="60"/>
    <n v="8.8000000000000007"/>
    <x v="1"/>
    <x v="2"/>
    <x v="0"/>
    <x v="2"/>
    <x v="2"/>
    <x v="1"/>
    <x v="1"/>
    <x v="2"/>
    <x v="0"/>
    <n v="0"/>
    <s v="Slow"/>
    <s v="3 Days"/>
    <x v="2"/>
    <s v="Saturday"/>
    <n v="1"/>
  </r>
  <r>
    <x v="1301"/>
    <d v="2024-06-13T00:00:00"/>
    <x v="0"/>
    <x v="0"/>
    <n v="77"/>
    <n v="63"/>
    <n v="1.6"/>
    <x v="1"/>
    <x v="2"/>
    <x v="0"/>
    <x v="0"/>
    <x v="0"/>
    <x v="0"/>
    <x v="0"/>
    <x v="1"/>
    <x v="0"/>
    <n v="0"/>
    <s v="Acceptable"/>
    <s v="3 Days"/>
    <x v="4"/>
    <s v="Thursday"/>
    <n v="4"/>
  </r>
  <r>
    <x v="1302"/>
    <d v="2024-06-03T00:00:00"/>
    <x v="4"/>
    <x v="1"/>
    <n v="218"/>
    <n v="45"/>
    <n v="3"/>
    <x v="0"/>
    <x v="1"/>
    <x v="0"/>
    <x v="1"/>
    <x v="1"/>
    <x v="0"/>
    <x v="1"/>
    <x v="3"/>
    <x v="0"/>
    <n v="1"/>
    <s v="Slow"/>
    <s v="2 Days"/>
    <x v="4"/>
    <s v="Monday"/>
    <n v="3"/>
  </r>
  <r>
    <x v="1303"/>
    <d v="2024-11-17T00:00:00"/>
    <x v="0"/>
    <x v="2"/>
    <n v="83"/>
    <n v="10"/>
    <n v="6.3"/>
    <x v="1"/>
    <x v="1"/>
    <x v="0"/>
    <x v="2"/>
    <x v="2"/>
    <x v="1"/>
    <x v="1"/>
    <x v="0"/>
    <x v="0"/>
    <n v="0"/>
    <s v="Acceptable"/>
    <s v="1 Day"/>
    <x v="6"/>
    <s v="Sunday"/>
    <n v="1"/>
  </r>
  <r>
    <x v="1304"/>
    <d v="2024-03-03T00:00:00"/>
    <x v="4"/>
    <x v="3"/>
    <n v="18"/>
    <n v="57"/>
    <n v="5.7"/>
    <x v="1"/>
    <x v="1"/>
    <x v="1"/>
    <x v="3"/>
    <x v="3"/>
    <x v="1"/>
    <x v="0"/>
    <x v="0"/>
    <x v="1"/>
    <n v="0"/>
    <s v="Very Fast"/>
    <s v="3 Days"/>
    <x v="2"/>
    <s v="Sunday"/>
    <n v="2"/>
  </r>
  <r>
    <x v="1305"/>
    <d v="2024-06-01T00:00:00"/>
    <x v="1"/>
    <x v="3"/>
    <n v="28"/>
    <n v="56"/>
    <n v="7.1"/>
    <x v="1"/>
    <x v="0"/>
    <x v="1"/>
    <x v="3"/>
    <x v="3"/>
    <x v="1"/>
    <x v="0"/>
    <x v="0"/>
    <x v="1"/>
    <n v="0"/>
    <s v="Very Fast"/>
    <s v="3 Days"/>
    <x v="4"/>
    <s v="Saturday"/>
    <n v="2"/>
  </r>
  <r>
    <x v="1306"/>
    <d v="2024-08-27T00:00:00"/>
    <x v="3"/>
    <x v="3"/>
    <n v="149"/>
    <n v="13"/>
    <n v="6.2"/>
    <x v="0"/>
    <x v="2"/>
    <x v="0"/>
    <x v="3"/>
    <x v="3"/>
    <x v="0"/>
    <x v="1"/>
    <x v="0"/>
    <x v="0"/>
    <n v="1"/>
    <s v="Slow"/>
    <s v="1 Day"/>
    <x v="0"/>
    <s v="Tuesday"/>
    <n v="2"/>
  </r>
  <r>
    <x v="1307"/>
    <d v="2024-12-09T00:00:00"/>
    <x v="4"/>
    <x v="0"/>
    <n v="188"/>
    <n v="8"/>
    <n v="4.9000000000000004"/>
    <x v="0"/>
    <x v="0"/>
    <x v="0"/>
    <x v="0"/>
    <x v="0"/>
    <x v="0"/>
    <x v="0"/>
    <x v="3"/>
    <x v="0"/>
    <n v="1"/>
    <s v="Slow"/>
    <s v="Same Day"/>
    <x v="11"/>
    <s v="Monday"/>
    <n v="4"/>
  </r>
  <r>
    <x v="1308"/>
    <d v="2024-10-02T00:00:00"/>
    <x v="4"/>
    <x v="3"/>
    <n v="28"/>
    <n v="4"/>
    <n v="9.5"/>
    <x v="1"/>
    <x v="1"/>
    <x v="2"/>
    <x v="3"/>
    <x v="3"/>
    <x v="0"/>
    <x v="0"/>
    <x v="2"/>
    <x v="2"/>
    <n v="0"/>
    <s v="Very Fast"/>
    <s v="Same Day"/>
    <x v="7"/>
    <s v="Wednesday"/>
    <n v="2"/>
  </r>
  <r>
    <x v="1309"/>
    <d v="2024-09-25T00:00:00"/>
    <x v="4"/>
    <x v="1"/>
    <n v="51"/>
    <n v="59"/>
    <n v="8.1"/>
    <x v="0"/>
    <x v="2"/>
    <x v="0"/>
    <x v="1"/>
    <x v="1"/>
    <x v="1"/>
    <x v="0"/>
    <x v="2"/>
    <x v="0"/>
    <n v="1"/>
    <s v="Acceptable"/>
    <s v="3 Days"/>
    <x v="5"/>
    <s v="Wednesday"/>
    <n v="3"/>
  </r>
  <r>
    <x v="1310"/>
    <d v="2024-10-05T00:00:00"/>
    <x v="2"/>
    <x v="3"/>
    <n v="152"/>
    <n v="17"/>
    <n v="4.2"/>
    <x v="0"/>
    <x v="0"/>
    <x v="0"/>
    <x v="3"/>
    <x v="3"/>
    <x v="0"/>
    <x v="1"/>
    <x v="3"/>
    <x v="0"/>
    <n v="1"/>
    <s v="Slow"/>
    <s v="1 Day"/>
    <x v="7"/>
    <s v="Saturday"/>
    <n v="2"/>
  </r>
  <r>
    <x v="1311"/>
    <d v="2024-12-18T00:00:00"/>
    <x v="1"/>
    <x v="2"/>
    <n v="179"/>
    <n v="17"/>
    <n v="8.5"/>
    <x v="1"/>
    <x v="2"/>
    <x v="0"/>
    <x v="2"/>
    <x v="2"/>
    <x v="1"/>
    <x v="1"/>
    <x v="2"/>
    <x v="0"/>
    <n v="0"/>
    <s v="Slow"/>
    <s v="1 Day"/>
    <x v="11"/>
    <s v="Wednesday"/>
    <n v="1"/>
  </r>
  <r>
    <x v="1312"/>
    <d v="2024-05-29T00:00:00"/>
    <x v="1"/>
    <x v="0"/>
    <n v="131"/>
    <n v="12"/>
    <n v="1.8"/>
    <x v="1"/>
    <x v="0"/>
    <x v="0"/>
    <x v="0"/>
    <x v="0"/>
    <x v="0"/>
    <x v="0"/>
    <x v="1"/>
    <x v="0"/>
    <n v="0"/>
    <s v="Slow"/>
    <s v="1 Day"/>
    <x v="1"/>
    <s v="Wednesday"/>
    <n v="4"/>
  </r>
  <r>
    <x v="1313"/>
    <d v="2024-11-07T00:00:00"/>
    <x v="1"/>
    <x v="2"/>
    <n v="24"/>
    <n v="6"/>
    <n v="1.1000000000000001"/>
    <x v="0"/>
    <x v="0"/>
    <x v="1"/>
    <x v="2"/>
    <x v="2"/>
    <x v="0"/>
    <x v="0"/>
    <x v="1"/>
    <x v="1"/>
    <n v="1"/>
    <s v="Very Fast"/>
    <s v="Same Day"/>
    <x v="6"/>
    <s v="Thursday"/>
    <n v="1"/>
  </r>
  <r>
    <x v="1314"/>
    <d v="2024-11-08T00:00:00"/>
    <x v="0"/>
    <x v="2"/>
    <n v="41"/>
    <n v="18"/>
    <n v="3.9"/>
    <x v="1"/>
    <x v="2"/>
    <x v="0"/>
    <x v="2"/>
    <x v="2"/>
    <x v="1"/>
    <x v="1"/>
    <x v="3"/>
    <x v="0"/>
    <n v="0"/>
    <s v="Acceptable"/>
    <s v="1 Day"/>
    <x v="6"/>
    <s v="Friday"/>
    <n v="1"/>
  </r>
  <r>
    <x v="1315"/>
    <d v="2024-07-29T00:00:00"/>
    <x v="2"/>
    <x v="0"/>
    <n v="227"/>
    <n v="44"/>
    <n v="3.7"/>
    <x v="1"/>
    <x v="0"/>
    <x v="0"/>
    <x v="0"/>
    <x v="0"/>
    <x v="0"/>
    <x v="0"/>
    <x v="3"/>
    <x v="0"/>
    <n v="0"/>
    <s v="Slow"/>
    <s v="2 Days"/>
    <x v="10"/>
    <s v="Monday"/>
    <n v="4"/>
  </r>
  <r>
    <x v="1316"/>
    <d v="2024-07-14T00:00:00"/>
    <x v="3"/>
    <x v="1"/>
    <n v="208"/>
    <n v="50"/>
    <n v="9.1"/>
    <x v="0"/>
    <x v="2"/>
    <x v="0"/>
    <x v="1"/>
    <x v="1"/>
    <x v="1"/>
    <x v="1"/>
    <x v="2"/>
    <x v="0"/>
    <n v="1"/>
    <s v="Slow"/>
    <s v="3 Days"/>
    <x v="10"/>
    <s v="Sunday"/>
    <n v="3"/>
  </r>
  <r>
    <x v="1317"/>
    <d v="2024-08-02T00:00:00"/>
    <x v="1"/>
    <x v="3"/>
    <n v="77"/>
    <n v="26"/>
    <n v="5.2"/>
    <x v="1"/>
    <x v="1"/>
    <x v="0"/>
    <x v="3"/>
    <x v="3"/>
    <x v="1"/>
    <x v="1"/>
    <x v="0"/>
    <x v="0"/>
    <n v="0"/>
    <s v="Acceptable"/>
    <s v="2 Days"/>
    <x v="0"/>
    <s v="Friday"/>
    <n v="2"/>
  </r>
  <r>
    <x v="1318"/>
    <d v="2024-07-27T00:00:00"/>
    <x v="4"/>
    <x v="0"/>
    <n v="233"/>
    <n v="15"/>
    <n v="0.9"/>
    <x v="0"/>
    <x v="2"/>
    <x v="0"/>
    <x v="0"/>
    <x v="0"/>
    <x v="0"/>
    <x v="0"/>
    <x v="1"/>
    <x v="0"/>
    <n v="1"/>
    <s v="Slow"/>
    <s v="1 Day"/>
    <x v="10"/>
    <s v="Saturday"/>
    <n v="4"/>
  </r>
  <r>
    <x v="1319"/>
    <d v="2024-09-26T00:00:00"/>
    <x v="2"/>
    <x v="3"/>
    <n v="60"/>
    <n v="68"/>
    <n v="6.9"/>
    <x v="1"/>
    <x v="1"/>
    <x v="0"/>
    <x v="3"/>
    <x v="3"/>
    <x v="1"/>
    <x v="0"/>
    <x v="0"/>
    <x v="0"/>
    <n v="0"/>
    <s v="Acceptable"/>
    <s v="3 Days"/>
    <x v="5"/>
    <s v="Thursday"/>
    <n v="2"/>
  </r>
  <r>
    <x v="1320"/>
    <d v="2024-02-21T00:00:00"/>
    <x v="1"/>
    <x v="0"/>
    <n v="132"/>
    <n v="27"/>
    <n v="4.2"/>
    <x v="1"/>
    <x v="2"/>
    <x v="0"/>
    <x v="0"/>
    <x v="0"/>
    <x v="0"/>
    <x v="0"/>
    <x v="3"/>
    <x v="0"/>
    <n v="0"/>
    <s v="Slow"/>
    <s v="2 Days"/>
    <x v="9"/>
    <s v="Wednesday"/>
    <n v="4"/>
  </r>
  <r>
    <x v="1321"/>
    <d v="2024-10-15T00:00:00"/>
    <x v="1"/>
    <x v="0"/>
    <n v="193"/>
    <n v="58"/>
    <n v="5.0999999999999996"/>
    <x v="0"/>
    <x v="0"/>
    <x v="0"/>
    <x v="0"/>
    <x v="0"/>
    <x v="0"/>
    <x v="0"/>
    <x v="0"/>
    <x v="0"/>
    <n v="1"/>
    <s v="Slow"/>
    <s v="3 Days"/>
    <x v="7"/>
    <s v="Tuesday"/>
    <n v="4"/>
  </r>
  <r>
    <x v="1322"/>
    <d v="2024-02-05T00:00:00"/>
    <x v="4"/>
    <x v="3"/>
    <n v="119"/>
    <n v="19"/>
    <n v="8.1999999999999993"/>
    <x v="1"/>
    <x v="0"/>
    <x v="0"/>
    <x v="3"/>
    <x v="3"/>
    <x v="0"/>
    <x v="1"/>
    <x v="2"/>
    <x v="0"/>
    <n v="0"/>
    <s v="Acceptable"/>
    <s v="1 Day"/>
    <x v="9"/>
    <s v="Monday"/>
    <n v="2"/>
  </r>
  <r>
    <x v="1323"/>
    <d v="2024-09-03T00:00:00"/>
    <x v="2"/>
    <x v="3"/>
    <n v="48"/>
    <n v="9"/>
    <n v="9.8000000000000007"/>
    <x v="1"/>
    <x v="0"/>
    <x v="0"/>
    <x v="3"/>
    <x v="3"/>
    <x v="0"/>
    <x v="0"/>
    <x v="2"/>
    <x v="0"/>
    <n v="0"/>
    <s v="Acceptable"/>
    <s v="1 Day"/>
    <x v="5"/>
    <s v="Tuesday"/>
    <n v="2"/>
  </r>
  <r>
    <x v="1324"/>
    <d v="2024-06-11T00:00:00"/>
    <x v="4"/>
    <x v="1"/>
    <n v="158"/>
    <n v="10"/>
    <n v="5.7"/>
    <x v="1"/>
    <x v="1"/>
    <x v="1"/>
    <x v="1"/>
    <x v="1"/>
    <x v="0"/>
    <x v="1"/>
    <x v="0"/>
    <x v="1"/>
    <n v="0"/>
    <s v="Slow"/>
    <s v="1 Day"/>
    <x v="4"/>
    <s v="Tuesday"/>
    <n v="3"/>
  </r>
  <r>
    <x v="1325"/>
    <d v="2024-09-18T00:00:00"/>
    <x v="2"/>
    <x v="2"/>
    <n v="72"/>
    <n v="62"/>
    <n v="5.4"/>
    <x v="1"/>
    <x v="2"/>
    <x v="0"/>
    <x v="2"/>
    <x v="2"/>
    <x v="1"/>
    <x v="1"/>
    <x v="0"/>
    <x v="0"/>
    <n v="0"/>
    <s v="Acceptable"/>
    <s v="3 Days"/>
    <x v="5"/>
    <s v="Wednesday"/>
    <n v="1"/>
  </r>
  <r>
    <x v="1326"/>
    <d v="2024-01-07T00:00:00"/>
    <x v="0"/>
    <x v="3"/>
    <n v="117"/>
    <n v="68"/>
    <n v="1.6"/>
    <x v="0"/>
    <x v="2"/>
    <x v="0"/>
    <x v="3"/>
    <x v="3"/>
    <x v="1"/>
    <x v="1"/>
    <x v="1"/>
    <x v="0"/>
    <n v="1"/>
    <s v="Acceptable"/>
    <s v="3 Days"/>
    <x v="8"/>
    <s v="Sunday"/>
    <n v="2"/>
  </r>
  <r>
    <x v="1327"/>
    <d v="2024-07-04T00:00:00"/>
    <x v="4"/>
    <x v="0"/>
    <n v="186"/>
    <n v="7"/>
    <n v="1"/>
    <x v="0"/>
    <x v="0"/>
    <x v="0"/>
    <x v="0"/>
    <x v="0"/>
    <x v="0"/>
    <x v="0"/>
    <x v="1"/>
    <x v="0"/>
    <n v="1"/>
    <s v="Slow"/>
    <s v="Same Day"/>
    <x v="10"/>
    <s v="Thursday"/>
    <n v="4"/>
  </r>
  <r>
    <x v="1328"/>
    <d v="2024-09-03T00:00:00"/>
    <x v="1"/>
    <x v="2"/>
    <n v="94"/>
    <n v="40"/>
    <n v="4.2"/>
    <x v="0"/>
    <x v="2"/>
    <x v="0"/>
    <x v="2"/>
    <x v="2"/>
    <x v="1"/>
    <x v="1"/>
    <x v="3"/>
    <x v="0"/>
    <n v="1"/>
    <s v="Acceptable"/>
    <s v="2 Days"/>
    <x v="5"/>
    <s v="Tuesday"/>
    <n v="1"/>
  </r>
  <r>
    <x v="1329"/>
    <d v="2024-01-06T00:00:00"/>
    <x v="1"/>
    <x v="1"/>
    <n v="166"/>
    <n v="51"/>
    <n v="9.9"/>
    <x v="0"/>
    <x v="0"/>
    <x v="0"/>
    <x v="1"/>
    <x v="1"/>
    <x v="1"/>
    <x v="1"/>
    <x v="2"/>
    <x v="0"/>
    <n v="1"/>
    <s v="Slow"/>
    <s v="3 Days"/>
    <x v="8"/>
    <s v="Saturday"/>
    <n v="3"/>
  </r>
  <r>
    <x v="1330"/>
    <d v="2024-06-24T00:00:00"/>
    <x v="1"/>
    <x v="0"/>
    <n v="146"/>
    <n v="53"/>
    <n v="7.4"/>
    <x v="1"/>
    <x v="2"/>
    <x v="1"/>
    <x v="0"/>
    <x v="0"/>
    <x v="0"/>
    <x v="0"/>
    <x v="0"/>
    <x v="1"/>
    <n v="0"/>
    <s v="Slow"/>
    <s v="3 Days"/>
    <x v="4"/>
    <s v="Monday"/>
    <n v="4"/>
  </r>
  <r>
    <x v="1331"/>
    <d v="2024-12-15T00:00:00"/>
    <x v="4"/>
    <x v="3"/>
    <n v="206"/>
    <n v="51"/>
    <n v="3.9"/>
    <x v="1"/>
    <x v="0"/>
    <x v="0"/>
    <x v="3"/>
    <x v="3"/>
    <x v="1"/>
    <x v="1"/>
    <x v="3"/>
    <x v="0"/>
    <n v="0"/>
    <s v="Slow"/>
    <s v="3 Days"/>
    <x v="11"/>
    <s v="Sunday"/>
    <n v="2"/>
  </r>
  <r>
    <x v="1332"/>
    <d v="2024-09-04T00:00:00"/>
    <x v="2"/>
    <x v="3"/>
    <n v="47"/>
    <n v="4"/>
    <n v="4.4000000000000004"/>
    <x v="1"/>
    <x v="1"/>
    <x v="1"/>
    <x v="3"/>
    <x v="3"/>
    <x v="0"/>
    <x v="0"/>
    <x v="3"/>
    <x v="1"/>
    <n v="0"/>
    <s v="Acceptable"/>
    <s v="Same Day"/>
    <x v="5"/>
    <s v="Wednesday"/>
    <n v="2"/>
  </r>
  <r>
    <x v="1333"/>
    <d v="2024-10-29T00:00:00"/>
    <x v="3"/>
    <x v="3"/>
    <n v="78"/>
    <n v="12"/>
    <n v="5.6"/>
    <x v="0"/>
    <x v="2"/>
    <x v="0"/>
    <x v="3"/>
    <x v="3"/>
    <x v="0"/>
    <x v="1"/>
    <x v="0"/>
    <x v="0"/>
    <n v="1"/>
    <s v="Acceptable"/>
    <s v="1 Day"/>
    <x v="7"/>
    <s v="Tuesday"/>
    <n v="2"/>
  </r>
  <r>
    <x v="1334"/>
    <d v="2024-04-23T00:00:00"/>
    <x v="0"/>
    <x v="0"/>
    <n v="221"/>
    <n v="31"/>
    <n v="6.8"/>
    <x v="0"/>
    <x v="1"/>
    <x v="0"/>
    <x v="0"/>
    <x v="0"/>
    <x v="0"/>
    <x v="0"/>
    <x v="0"/>
    <x v="0"/>
    <n v="1"/>
    <s v="Slow"/>
    <s v="2 Days"/>
    <x v="3"/>
    <s v="Tuesday"/>
    <n v="4"/>
  </r>
  <r>
    <x v="1335"/>
    <d v="2024-11-17T00:00:00"/>
    <x v="3"/>
    <x v="3"/>
    <n v="37"/>
    <n v="2"/>
    <n v="4.5999999999999996"/>
    <x v="1"/>
    <x v="1"/>
    <x v="1"/>
    <x v="3"/>
    <x v="3"/>
    <x v="0"/>
    <x v="0"/>
    <x v="3"/>
    <x v="1"/>
    <n v="0"/>
    <s v="Acceptable"/>
    <s v="Same Day"/>
    <x v="6"/>
    <s v="Sunday"/>
    <n v="2"/>
  </r>
  <r>
    <x v="1336"/>
    <d v="2024-02-01T00:00:00"/>
    <x v="4"/>
    <x v="1"/>
    <n v="148"/>
    <n v="22"/>
    <n v="6.1"/>
    <x v="0"/>
    <x v="0"/>
    <x v="0"/>
    <x v="1"/>
    <x v="1"/>
    <x v="0"/>
    <x v="1"/>
    <x v="0"/>
    <x v="0"/>
    <n v="1"/>
    <s v="Slow"/>
    <s v="1 Day"/>
    <x v="9"/>
    <s v="Thursday"/>
    <n v="3"/>
  </r>
  <r>
    <x v="1337"/>
    <d v="2024-04-10T00:00:00"/>
    <x v="0"/>
    <x v="1"/>
    <n v="19"/>
    <n v="32"/>
    <n v="9"/>
    <x v="1"/>
    <x v="2"/>
    <x v="2"/>
    <x v="1"/>
    <x v="1"/>
    <x v="0"/>
    <x v="0"/>
    <x v="2"/>
    <x v="2"/>
    <n v="0"/>
    <s v="Very Fast"/>
    <s v="2 Days"/>
    <x v="3"/>
    <s v="Wednesday"/>
    <n v="3"/>
  </r>
  <r>
    <x v="1338"/>
    <d v="2024-03-30T00:00:00"/>
    <x v="4"/>
    <x v="0"/>
    <n v="136"/>
    <n v="14"/>
    <n v="6.9"/>
    <x v="1"/>
    <x v="1"/>
    <x v="1"/>
    <x v="0"/>
    <x v="0"/>
    <x v="0"/>
    <x v="0"/>
    <x v="0"/>
    <x v="1"/>
    <n v="0"/>
    <s v="Slow"/>
    <s v="1 Day"/>
    <x v="2"/>
    <s v="Saturday"/>
    <n v="4"/>
  </r>
  <r>
    <x v="1339"/>
    <d v="2024-06-04T00:00:00"/>
    <x v="0"/>
    <x v="1"/>
    <n v="82"/>
    <n v="52"/>
    <n v="4.5999999999999996"/>
    <x v="1"/>
    <x v="0"/>
    <x v="0"/>
    <x v="1"/>
    <x v="1"/>
    <x v="1"/>
    <x v="0"/>
    <x v="3"/>
    <x v="0"/>
    <n v="0"/>
    <s v="Acceptable"/>
    <s v="3 Days"/>
    <x v="4"/>
    <s v="Tuesday"/>
    <n v="3"/>
  </r>
  <r>
    <x v="1340"/>
    <d v="2024-11-12T00:00:00"/>
    <x v="2"/>
    <x v="3"/>
    <n v="133"/>
    <n v="30"/>
    <n v="2.9"/>
    <x v="0"/>
    <x v="1"/>
    <x v="0"/>
    <x v="3"/>
    <x v="3"/>
    <x v="1"/>
    <x v="1"/>
    <x v="3"/>
    <x v="0"/>
    <n v="1"/>
    <s v="Slow"/>
    <s v="2 Days"/>
    <x v="6"/>
    <s v="Tuesday"/>
    <n v="2"/>
  </r>
  <r>
    <x v="1341"/>
    <d v="2024-10-10T00:00:00"/>
    <x v="2"/>
    <x v="2"/>
    <n v="126"/>
    <n v="3"/>
    <n v="1"/>
    <x v="1"/>
    <x v="0"/>
    <x v="1"/>
    <x v="2"/>
    <x v="2"/>
    <x v="0"/>
    <x v="1"/>
    <x v="1"/>
    <x v="1"/>
    <n v="0"/>
    <s v="Slow"/>
    <s v="Same Day"/>
    <x v="7"/>
    <s v="Thursday"/>
    <n v="1"/>
  </r>
  <r>
    <x v="1342"/>
    <d v="2024-12-19T00:00:00"/>
    <x v="3"/>
    <x v="3"/>
    <n v="80"/>
    <n v="34"/>
    <n v="3.5"/>
    <x v="0"/>
    <x v="1"/>
    <x v="0"/>
    <x v="3"/>
    <x v="3"/>
    <x v="1"/>
    <x v="1"/>
    <x v="3"/>
    <x v="0"/>
    <n v="1"/>
    <s v="Acceptable"/>
    <s v="2 Days"/>
    <x v="11"/>
    <s v="Thursday"/>
    <n v="2"/>
  </r>
  <r>
    <x v="1343"/>
    <d v="2024-03-15T00:00:00"/>
    <x v="3"/>
    <x v="0"/>
    <n v="163"/>
    <n v="58"/>
    <n v="5.0999999999999996"/>
    <x v="1"/>
    <x v="1"/>
    <x v="1"/>
    <x v="0"/>
    <x v="0"/>
    <x v="0"/>
    <x v="0"/>
    <x v="0"/>
    <x v="1"/>
    <n v="0"/>
    <s v="Slow"/>
    <s v="3 Days"/>
    <x v="2"/>
    <s v="Friday"/>
    <n v="4"/>
  </r>
  <r>
    <x v="1344"/>
    <d v="2024-12-03T00:00:00"/>
    <x v="4"/>
    <x v="0"/>
    <n v="180"/>
    <n v="32"/>
    <n v="1.8"/>
    <x v="0"/>
    <x v="0"/>
    <x v="0"/>
    <x v="0"/>
    <x v="0"/>
    <x v="0"/>
    <x v="0"/>
    <x v="1"/>
    <x v="0"/>
    <n v="1"/>
    <s v="Slow"/>
    <s v="2 Days"/>
    <x v="11"/>
    <s v="Tuesday"/>
    <n v="4"/>
  </r>
  <r>
    <x v="1345"/>
    <d v="2024-04-11T00:00:00"/>
    <x v="3"/>
    <x v="3"/>
    <n v="153"/>
    <n v="7"/>
    <n v="0.9"/>
    <x v="0"/>
    <x v="1"/>
    <x v="0"/>
    <x v="3"/>
    <x v="3"/>
    <x v="0"/>
    <x v="1"/>
    <x v="1"/>
    <x v="0"/>
    <n v="1"/>
    <s v="Slow"/>
    <s v="Same Day"/>
    <x v="3"/>
    <s v="Thursday"/>
    <n v="2"/>
  </r>
  <r>
    <x v="1346"/>
    <d v="2024-06-14T00:00:00"/>
    <x v="4"/>
    <x v="0"/>
    <n v="62"/>
    <n v="18"/>
    <n v="1.8"/>
    <x v="1"/>
    <x v="2"/>
    <x v="0"/>
    <x v="0"/>
    <x v="0"/>
    <x v="0"/>
    <x v="0"/>
    <x v="1"/>
    <x v="0"/>
    <n v="0"/>
    <s v="Acceptable"/>
    <s v="1 Day"/>
    <x v="4"/>
    <s v="Friday"/>
    <n v="4"/>
  </r>
  <r>
    <x v="1347"/>
    <d v="2024-01-12T00:00:00"/>
    <x v="2"/>
    <x v="2"/>
    <n v="168"/>
    <n v="47"/>
    <n v="3.4"/>
    <x v="0"/>
    <x v="2"/>
    <x v="0"/>
    <x v="2"/>
    <x v="2"/>
    <x v="1"/>
    <x v="1"/>
    <x v="3"/>
    <x v="0"/>
    <n v="1"/>
    <s v="Slow"/>
    <s v="2 Days"/>
    <x v="8"/>
    <s v="Friday"/>
    <n v="1"/>
  </r>
  <r>
    <x v="1348"/>
    <d v="2024-05-05T00:00:00"/>
    <x v="4"/>
    <x v="0"/>
    <n v="164"/>
    <n v="31"/>
    <n v="3.8"/>
    <x v="1"/>
    <x v="2"/>
    <x v="0"/>
    <x v="0"/>
    <x v="0"/>
    <x v="0"/>
    <x v="0"/>
    <x v="3"/>
    <x v="0"/>
    <n v="0"/>
    <s v="Slow"/>
    <s v="2 Days"/>
    <x v="1"/>
    <s v="Sunday"/>
    <n v="4"/>
  </r>
  <r>
    <x v="1349"/>
    <d v="2024-11-20T00:00:00"/>
    <x v="0"/>
    <x v="1"/>
    <n v="231"/>
    <n v="51"/>
    <n v="8.4"/>
    <x v="1"/>
    <x v="1"/>
    <x v="1"/>
    <x v="1"/>
    <x v="1"/>
    <x v="1"/>
    <x v="1"/>
    <x v="2"/>
    <x v="1"/>
    <n v="0"/>
    <s v="Slow"/>
    <s v="3 Days"/>
    <x v="6"/>
    <s v="Wednesday"/>
    <n v="3"/>
  </r>
  <r>
    <x v="1350"/>
    <d v="2024-01-14T00:00:00"/>
    <x v="2"/>
    <x v="3"/>
    <n v="107"/>
    <n v="61"/>
    <n v="2.1"/>
    <x v="1"/>
    <x v="2"/>
    <x v="0"/>
    <x v="3"/>
    <x v="3"/>
    <x v="1"/>
    <x v="1"/>
    <x v="3"/>
    <x v="0"/>
    <n v="0"/>
    <s v="Acceptable"/>
    <s v="3 Days"/>
    <x v="8"/>
    <s v="Sunday"/>
    <n v="2"/>
  </r>
  <r>
    <x v="1351"/>
    <d v="2024-03-30T00:00:00"/>
    <x v="4"/>
    <x v="0"/>
    <n v="64"/>
    <n v="58"/>
    <n v="1"/>
    <x v="0"/>
    <x v="2"/>
    <x v="0"/>
    <x v="0"/>
    <x v="0"/>
    <x v="0"/>
    <x v="0"/>
    <x v="1"/>
    <x v="0"/>
    <n v="1"/>
    <s v="Acceptable"/>
    <s v="3 Days"/>
    <x v="2"/>
    <s v="Saturday"/>
    <n v="4"/>
  </r>
  <r>
    <x v="1352"/>
    <d v="2024-09-09T00:00:00"/>
    <x v="1"/>
    <x v="0"/>
    <n v="51"/>
    <n v="54"/>
    <n v="7"/>
    <x v="0"/>
    <x v="2"/>
    <x v="0"/>
    <x v="0"/>
    <x v="0"/>
    <x v="0"/>
    <x v="0"/>
    <x v="0"/>
    <x v="0"/>
    <n v="1"/>
    <s v="Acceptable"/>
    <s v="3 Days"/>
    <x v="5"/>
    <s v="Monday"/>
    <n v="4"/>
  </r>
  <r>
    <x v="1353"/>
    <d v="2024-03-03T00:00:00"/>
    <x v="3"/>
    <x v="3"/>
    <n v="59"/>
    <n v="62"/>
    <n v="6.7"/>
    <x v="0"/>
    <x v="2"/>
    <x v="0"/>
    <x v="3"/>
    <x v="3"/>
    <x v="1"/>
    <x v="0"/>
    <x v="0"/>
    <x v="0"/>
    <n v="1"/>
    <s v="Acceptable"/>
    <s v="3 Days"/>
    <x v="2"/>
    <s v="Sunday"/>
    <n v="2"/>
  </r>
  <r>
    <x v="1354"/>
    <d v="2024-10-16T00:00:00"/>
    <x v="1"/>
    <x v="0"/>
    <n v="75"/>
    <n v="65"/>
    <n v="9.9"/>
    <x v="1"/>
    <x v="2"/>
    <x v="1"/>
    <x v="0"/>
    <x v="0"/>
    <x v="0"/>
    <x v="0"/>
    <x v="2"/>
    <x v="1"/>
    <n v="0"/>
    <s v="Acceptable"/>
    <s v="3 Days"/>
    <x v="7"/>
    <s v="Wednesday"/>
    <n v="4"/>
  </r>
  <r>
    <x v="1355"/>
    <d v="2024-03-23T00:00:00"/>
    <x v="0"/>
    <x v="0"/>
    <n v="85"/>
    <n v="20"/>
    <n v="1.1000000000000001"/>
    <x v="0"/>
    <x v="2"/>
    <x v="0"/>
    <x v="0"/>
    <x v="0"/>
    <x v="0"/>
    <x v="0"/>
    <x v="1"/>
    <x v="0"/>
    <n v="1"/>
    <s v="Acceptable"/>
    <s v="1 Day"/>
    <x v="2"/>
    <s v="Saturday"/>
    <n v="4"/>
  </r>
  <r>
    <x v="1356"/>
    <d v="2024-05-08T00:00:00"/>
    <x v="1"/>
    <x v="2"/>
    <n v="119"/>
    <n v="63"/>
    <n v="8.4"/>
    <x v="1"/>
    <x v="0"/>
    <x v="0"/>
    <x v="2"/>
    <x v="2"/>
    <x v="1"/>
    <x v="1"/>
    <x v="2"/>
    <x v="0"/>
    <n v="0"/>
    <s v="Acceptable"/>
    <s v="3 Days"/>
    <x v="1"/>
    <s v="Wednesday"/>
    <n v="1"/>
  </r>
  <r>
    <x v="1357"/>
    <d v="2024-01-31T00:00:00"/>
    <x v="4"/>
    <x v="1"/>
    <n v="166"/>
    <n v="26"/>
    <n v="9.1"/>
    <x v="0"/>
    <x v="2"/>
    <x v="0"/>
    <x v="1"/>
    <x v="1"/>
    <x v="0"/>
    <x v="1"/>
    <x v="2"/>
    <x v="0"/>
    <n v="1"/>
    <s v="Slow"/>
    <s v="2 Days"/>
    <x v="8"/>
    <s v="Wednesday"/>
    <n v="3"/>
  </r>
  <r>
    <x v="1358"/>
    <d v="2024-08-10T00:00:00"/>
    <x v="0"/>
    <x v="1"/>
    <n v="196"/>
    <n v="11"/>
    <n v="8.1999999999999993"/>
    <x v="1"/>
    <x v="2"/>
    <x v="1"/>
    <x v="1"/>
    <x v="1"/>
    <x v="0"/>
    <x v="1"/>
    <x v="2"/>
    <x v="1"/>
    <n v="0"/>
    <s v="Slow"/>
    <s v="1 Day"/>
    <x v="0"/>
    <s v="Saturday"/>
    <n v="3"/>
  </r>
  <r>
    <x v="1359"/>
    <d v="2024-07-06T00:00:00"/>
    <x v="1"/>
    <x v="0"/>
    <n v="233"/>
    <n v="51"/>
    <n v="10"/>
    <x v="0"/>
    <x v="2"/>
    <x v="0"/>
    <x v="0"/>
    <x v="0"/>
    <x v="0"/>
    <x v="0"/>
    <x v="2"/>
    <x v="0"/>
    <n v="1"/>
    <s v="Slow"/>
    <s v="3 Days"/>
    <x v="10"/>
    <s v="Saturday"/>
    <n v="4"/>
  </r>
  <r>
    <x v="1360"/>
    <d v="2024-11-30T00:00:00"/>
    <x v="2"/>
    <x v="1"/>
    <n v="237"/>
    <n v="49"/>
    <n v="0.9"/>
    <x v="1"/>
    <x v="1"/>
    <x v="0"/>
    <x v="1"/>
    <x v="1"/>
    <x v="1"/>
    <x v="1"/>
    <x v="1"/>
    <x v="0"/>
    <n v="0"/>
    <s v="Slow"/>
    <s v="3 Days"/>
    <x v="6"/>
    <s v="Saturday"/>
    <n v="3"/>
  </r>
  <r>
    <x v="1361"/>
    <d v="2024-10-18T00:00:00"/>
    <x v="1"/>
    <x v="3"/>
    <n v="14"/>
    <n v="59"/>
    <n v="2.1"/>
    <x v="1"/>
    <x v="0"/>
    <x v="1"/>
    <x v="3"/>
    <x v="3"/>
    <x v="1"/>
    <x v="0"/>
    <x v="3"/>
    <x v="1"/>
    <n v="0"/>
    <s v="Very Fast"/>
    <s v="3 Days"/>
    <x v="7"/>
    <s v="Friday"/>
    <n v="2"/>
  </r>
  <r>
    <x v="1362"/>
    <d v="2024-10-22T00:00:00"/>
    <x v="2"/>
    <x v="3"/>
    <n v="111"/>
    <n v="29"/>
    <n v="4.7"/>
    <x v="0"/>
    <x v="2"/>
    <x v="0"/>
    <x v="3"/>
    <x v="3"/>
    <x v="1"/>
    <x v="1"/>
    <x v="3"/>
    <x v="0"/>
    <n v="1"/>
    <s v="Acceptable"/>
    <s v="2 Days"/>
    <x v="7"/>
    <s v="Tuesday"/>
    <n v="2"/>
  </r>
  <r>
    <x v="1363"/>
    <d v="2024-04-13T00:00:00"/>
    <x v="1"/>
    <x v="0"/>
    <n v="61"/>
    <n v="60"/>
    <n v="6.1"/>
    <x v="0"/>
    <x v="2"/>
    <x v="0"/>
    <x v="0"/>
    <x v="0"/>
    <x v="0"/>
    <x v="0"/>
    <x v="0"/>
    <x v="0"/>
    <n v="1"/>
    <s v="Acceptable"/>
    <s v="3 Days"/>
    <x v="3"/>
    <s v="Saturday"/>
    <n v="4"/>
  </r>
  <r>
    <x v="1364"/>
    <d v="2024-01-08T00:00:00"/>
    <x v="3"/>
    <x v="2"/>
    <n v="204"/>
    <n v="50"/>
    <n v="8.4"/>
    <x v="1"/>
    <x v="0"/>
    <x v="0"/>
    <x v="2"/>
    <x v="2"/>
    <x v="1"/>
    <x v="1"/>
    <x v="2"/>
    <x v="0"/>
    <n v="0"/>
    <s v="Slow"/>
    <s v="3 Days"/>
    <x v="8"/>
    <s v="Monday"/>
    <n v="1"/>
  </r>
  <r>
    <x v="1365"/>
    <d v="2024-04-07T00:00:00"/>
    <x v="2"/>
    <x v="3"/>
    <n v="195"/>
    <n v="4"/>
    <n v="6.6"/>
    <x v="1"/>
    <x v="0"/>
    <x v="1"/>
    <x v="3"/>
    <x v="3"/>
    <x v="0"/>
    <x v="1"/>
    <x v="0"/>
    <x v="1"/>
    <n v="0"/>
    <s v="Slow"/>
    <s v="Same Day"/>
    <x v="3"/>
    <s v="Sunday"/>
    <n v="2"/>
  </r>
  <r>
    <x v="1366"/>
    <d v="2024-05-03T00:00:00"/>
    <x v="1"/>
    <x v="0"/>
    <n v="83"/>
    <n v="6"/>
    <n v="2.4"/>
    <x v="1"/>
    <x v="1"/>
    <x v="1"/>
    <x v="0"/>
    <x v="0"/>
    <x v="0"/>
    <x v="0"/>
    <x v="3"/>
    <x v="1"/>
    <n v="0"/>
    <s v="Acceptable"/>
    <s v="Same Day"/>
    <x v="1"/>
    <s v="Friday"/>
    <n v="4"/>
  </r>
  <r>
    <x v="1367"/>
    <d v="2024-04-18T00:00:00"/>
    <x v="3"/>
    <x v="2"/>
    <n v="186"/>
    <n v="60"/>
    <n v="2.2000000000000002"/>
    <x v="1"/>
    <x v="0"/>
    <x v="0"/>
    <x v="2"/>
    <x v="2"/>
    <x v="1"/>
    <x v="1"/>
    <x v="3"/>
    <x v="0"/>
    <n v="0"/>
    <s v="Slow"/>
    <s v="3 Days"/>
    <x v="3"/>
    <s v="Thursday"/>
    <n v="1"/>
  </r>
  <r>
    <x v="1368"/>
    <d v="2024-08-23T00:00:00"/>
    <x v="2"/>
    <x v="3"/>
    <n v="166"/>
    <n v="18"/>
    <n v="4.2"/>
    <x v="1"/>
    <x v="2"/>
    <x v="0"/>
    <x v="3"/>
    <x v="3"/>
    <x v="0"/>
    <x v="1"/>
    <x v="3"/>
    <x v="0"/>
    <n v="0"/>
    <s v="Slow"/>
    <s v="1 Day"/>
    <x v="0"/>
    <s v="Friday"/>
    <n v="2"/>
  </r>
  <r>
    <x v="1369"/>
    <d v="2024-08-27T00:00:00"/>
    <x v="3"/>
    <x v="1"/>
    <n v="224"/>
    <n v="57"/>
    <n v="5.4"/>
    <x v="1"/>
    <x v="0"/>
    <x v="1"/>
    <x v="1"/>
    <x v="1"/>
    <x v="1"/>
    <x v="1"/>
    <x v="0"/>
    <x v="1"/>
    <n v="0"/>
    <s v="Slow"/>
    <s v="3 Days"/>
    <x v="0"/>
    <s v="Tuesday"/>
    <n v="3"/>
  </r>
  <r>
    <x v="1370"/>
    <d v="2024-11-04T00:00:00"/>
    <x v="4"/>
    <x v="1"/>
    <n v="6"/>
    <n v="57"/>
    <n v="2.1"/>
    <x v="0"/>
    <x v="1"/>
    <x v="1"/>
    <x v="1"/>
    <x v="1"/>
    <x v="1"/>
    <x v="0"/>
    <x v="3"/>
    <x v="1"/>
    <n v="1"/>
    <s v="Very Fast"/>
    <s v="3 Days"/>
    <x v="6"/>
    <s v="Monday"/>
    <n v="3"/>
  </r>
  <r>
    <x v="1371"/>
    <d v="2024-06-29T00:00:00"/>
    <x v="1"/>
    <x v="0"/>
    <n v="125"/>
    <n v="72"/>
    <n v="7.9"/>
    <x v="0"/>
    <x v="0"/>
    <x v="0"/>
    <x v="0"/>
    <x v="0"/>
    <x v="0"/>
    <x v="0"/>
    <x v="0"/>
    <x v="0"/>
    <n v="1"/>
    <s v="Slow"/>
    <s v="3 Days"/>
    <x v="4"/>
    <s v="Saturday"/>
    <n v="4"/>
  </r>
  <r>
    <x v="1372"/>
    <d v="2024-05-30T00:00:00"/>
    <x v="2"/>
    <x v="0"/>
    <n v="101"/>
    <n v="41"/>
    <n v="3.2"/>
    <x v="0"/>
    <x v="2"/>
    <x v="0"/>
    <x v="0"/>
    <x v="0"/>
    <x v="0"/>
    <x v="0"/>
    <x v="3"/>
    <x v="0"/>
    <n v="1"/>
    <s v="Acceptable"/>
    <s v="2 Days"/>
    <x v="1"/>
    <s v="Thursday"/>
    <n v="4"/>
  </r>
  <r>
    <x v="1373"/>
    <d v="2024-11-01T00:00:00"/>
    <x v="1"/>
    <x v="2"/>
    <n v="75"/>
    <n v="40"/>
    <n v="3.9"/>
    <x v="0"/>
    <x v="2"/>
    <x v="0"/>
    <x v="2"/>
    <x v="2"/>
    <x v="1"/>
    <x v="1"/>
    <x v="3"/>
    <x v="0"/>
    <n v="1"/>
    <s v="Acceptable"/>
    <s v="2 Days"/>
    <x v="6"/>
    <s v="Friday"/>
    <n v="1"/>
  </r>
  <r>
    <x v="1374"/>
    <d v="2024-01-16T00:00:00"/>
    <x v="2"/>
    <x v="1"/>
    <n v="203"/>
    <n v="62"/>
    <n v="6.8"/>
    <x v="1"/>
    <x v="2"/>
    <x v="1"/>
    <x v="1"/>
    <x v="1"/>
    <x v="1"/>
    <x v="1"/>
    <x v="0"/>
    <x v="1"/>
    <n v="0"/>
    <s v="Slow"/>
    <s v="3 Days"/>
    <x v="8"/>
    <s v="Tuesday"/>
    <n v="3"/>
  </r>
  <r>
    <x v="1375"/>
    <d v="2024-07-17T00:00:00"/>
    <x v="2"/>
    <x v="1"/>
    <n v="111"/>
    <n v="57"/>
    <n v="4.5"/>
    <x v="0"/>
    <x v="2"/>
    <x v="0"/>
    <x v="1"/>
    <x v="1"/>
    <x v="1"/>
    <x v="0"/>
    <x v="3"/>
    <x v="0"/>
    <n v="1"/>
    <s v="Acceptable"/>
    <s v="3 Days"/>
    <x v="10"/>
    <s v="Wednesday"/>
    <n v="3"/>
  </r>
  <r>
    <x v="1376"/>
    <d v="2024-12-31T00:00:00"/>
    <x v="3"/>
    <x v="1"/>
    <n v="54"/>
    <n v="69"/>
    <n v="2"/>
    <x v="0"/>
    <x v="1"/>
    <x v="0"/>
    <x v="1"/>
    <x v="1"/>
    <x v="1"/>
    <x v="0"/>
    <x v="1"/>
    <x v="0"/>
    <n v="1"/>
    <s v="Acceptable"/>
    <s v="3 Days"/>
    <x v="11"/>
    <s v="Tuesday"/>
    <n v="3"/>
  </r>
  <r>
    <x v="1377"/>
    <d v="2024-09-20T00:00:00"/>
    <x v="1"/>
    <x v="1"/>
    <n v="165"/>
    <n v="54"/>
    <n v="5.0999999999999996"/>
    <x v="1"/>
    <x v="2"/>
    <x v="1"/>
    <x v="1"/>
    <x v="1"/>
    <x v="1"/>
    <x v="1"/>
    <x v="0"/>
    <x v="1"/>
    <n v="0"/>
    <s v="Slow"/>
    <s v="3 Days"/>
    <x v="5"/>
    <s v="Friday"/>
    <n v="3"/>
  </r>
  <r>
    <x v="1378"/>
    <d v="2024-06-13T00:00:00"/>
    <x v="4"/>
    <x v="3"/>
    <n v="65"/>
    <n v="20"/>
    <n v="8.6"/>
    <x v="1"/>
    <x v="2"/>
    <x v="0"/>
    <x v="3"/>
    <x v="3"/>
    <x v="0"/>
    <x v="1"/>
    <x v="2"/>
    <x v="0"/>
    <n v="0"/>
    <s v="Acceptable"/>
    <s v="1 Day"/>
    <x v="4"/>
    <s v="Thursday"/>
    <n v="2"/>
  </r>
  <r>
    <x v="1379"/>
    <d v="2024-07-07T00:00:00"/>
    <x v="4"/>
    <x v="1"/>
    <n v="7"/>
    <n v="19"/>
    <n v="3.3"/>
    <x v="0"/>
    <x v="1"/>
    <x v="1"/>
    <x v="1"/>
    <x v="1"/>
    <x v="0"/>
    <x v="0"/>
    <x v="3"/>
    <x v="1"/>
    <n v="1"/>
    <s v="Very Fast"/>
    <s v="1 Day"/>
    <x v="10"/>
    <s v="Sunday"/>
    <n v="3"/>
  </r>
  <r>
    <x v="1380"/>
    <d v="2024-11-24T00:00:00"/>
    <x v="3"/>
    <x v="3"/>
    <n v="134"/>
    <n v="9"/>
    <n v="2"/>
    <x v="0"/>
    <x v="0"/>
    <x v="0"/>
    <x v="3"/>
    <x v="3"/>
    <x v="0"/>
    <x v="1"/>
    <x v="1"/>
    <x v="0"/>
    <n v="1"/>
    <s v="Slow"/>
    <s v="1 Day"/>
    <x v="6"/>
    <s v="Sunday"/>
    <n v="2"/>
  </r>
  <r>
    <x v="1381"/>
    <d v="2024-12-21T00:00:00"/>
    <x v="3"/>
    <x v="3"/>
    <n v="177"/>
    <n v="59"/>
    <n v="5.2"/>
    <x v="1"/>
    <x v="1"/>
    <x v="0"/>
    <x v="3"/>
    <x v="3"/>
    <x v="1"/>
    <x v="1"/>
    <x v="0"/>
    <x v="0"/>
    <n v="0"/>
    <s v="Slow"/>
    <s v="3 Days"/>
    <x v="11"/>
    <s v="Saturday"/>
    <n v="2"/>
  </r>
  <r>
    <x v="1382"/>
    <d v="2024-12-19T00:00:00"/>
    <x v="4"/>
    <x v="1"/>
    <n v="45"/>
    <n v="25"/>
    <n v="9.6"/>
    <x v="0"/>
    <x v="2"/>
    <x v="0"/>
    <x v="1"/>
    <x v="1"/>
    <x v="0"/>
    <x v="0"/>
    <x v="2"/>
    <x v="0"/>
    <n v="1"/>
    <s v="Acceptable"/>
    <s v="2 Days"/>
    <x v="11"/>
    <s v="Thursday"/>
    <n v="3"/>
  </r>
  <r>
    <x v="1383"/>
    <d v="2024-04-17T00:00:00"/>
    <x v="4"/>
    <x v="3"/>
    <n v="144"/>
    <n v="49"/>
    <n v="9.1"/>
    <x v="0"/>
    <x v="2"/>
    <x v="0"/>
    <x v="3"/>
    <x v="3"/>
    <x v="1"/>
    <x v="1"/>
    <x v="2"/>
    <x v="0"/>
    <n v="1"/>
    <s v="Slow"/>
    <s v="3 Days"/>
    <x v="3"/>
    <s v="Wednesday"/>
    <n v="2"/>
  </r>
  <r>
    <x v="1384"/>
    <d v="2024-06-13T00:00:00"/>
    <x v="4"/>
    <x v="1"/>
    <n v="104"/>
    <n v="1"/>
    <n v="1.3"/>
    <x v="1"/>
    <x v="1"/>
    <x v="1"/>
    <x v="1"/>
    <x v="1"/>
    <x v="0"/>
    <x v="0"/>
    <x v="1"/>
    <x v="1"/>
    <n v="0"/>
    <s v="Acceptable"/>
    <s v="Same Day"/>
    <x v="4"/>
    <s v="Thursday"/>
    <n v="3"/>
  </r>
  <r>
    <x v="1385"/>
    <d v="2024-06-14T00:00:00"/>
    <x v="0"/>
    <x v="1"/>
    <n v="240"/>
    <n v="2"/>
    <n v="2.6"/>
    <x v="0"/>
    <x v="1"/>
    <x v="1"/>
    <x v="1"/>
    <x v="1"/>
    <x v="0"/>
    <x v="1"/>
    <x v="3"/>
    <x v="1"/>
    <n v="1"/>
    <s v="Slow"/>
    <s v="Same Day"/>
    <x v="4"/>
    <s v="Friday"/>
    <n v="3"/>
  </r>
  <r>
    <x v="1386"/>
    <d v="2024-09-17T00:00:00"/>
    <x v="0"/>
    <x v="1"/>
    <n v="197"/>
    <n v="66"/>
    <n v="9.1"/>
    <x v="1"/>
    <x v="1"/>
    <x v="1"/>
    <x v="1"/>
    <x v="1"/>
    <x v="1"/>
    <x v="1"/>
    <x v="2"/>
    <x v="1"/>
    <n v="0"/>
    <s v="Slow"/>
    <s v="3 Days"/>
    <x v="5"/>
    <s v="Tuesday"/>
    <n v="3"/>
  </r>
  <r>
    <x v="1387"/>
    <d v="2024-06-07T00:00:00"/>
    <x v="2"/>
    <x v="3"/>
    <n v="68"/>
    <n v="29"/>
    <n v="7.8"/>
    <x v="0"/>
    <x v="2"/>
    <x v="0"/>
    <x v="3"/>
    <x v="3"/>
    <x v="1"/>
    <x v="1"/>
    <x v="0"/>
    <x v="0"/>
    <n v="1"/>
    <s v="Acceptable"/>
    <s v="2 Days"/>
    <x v="4"/>
    <s v="Friday"/>
    <n v="2"/>
  </r>
  <r>
    <x v="1388"/>
    <d v="2024-01-24T00:00:00"/>
    <x v="4"/>
    <x v="3"/>
    <n v="186"/>
    <n v="14"/>
    <n v="3.1"/>
    <x v="0"/>
    <x v="0"/>
    <x v="0"/>
    <x v="3"/>
    <x v="3"/>
    <x v="0"/>
    <x v="1"/>
    <x v="3"/>
    <x v="0"/>
    <n v="1"/>
    <s v="Slow"/>
    <s v="1 Day"/>
    <x v="8"/>
    <s v="Wednesday"/>
    <n v="2"/>
  </r>
  <r>
    <x v="1389"/>
    <d v="2024-07-29T00:00:00"/>
    <x v="1"/>
    <x v="0"/>
    <n v="7"/>
    <n v="71"/>
    <n v="5.5"/>
    <x v="1"/>
    <x v="0"/>
    <x v="2"/>
    <x v="0"/>
    <x v="0"/>
    <x v="0"/>
    <x v="0"/>
    <x v="0"/>
    <x v="2"/>
    <n v="0"/>
    <s v="Very Fast"/>
    <s v="3 Days"/>
    <x v="10"/>
    <s v="Monday"/>
    <n v="4"/>
  </r>
  <r>
    <x v="1390"/>
    <d v="2024-04-11T00:00:00"/>
    <x v="3"/>
    <x v="0"/>
    <n v="169"/>
    <n v="29"/>
    <n v="9.1"/>
    <x v="1"/>
    <x v="0"/>
    <x v="1"/>
    <x v="0"/>
    <x v="0"/>
    <x v="0"/>
    <x v="0"/>
    <x v="2"/>
    <x v="1"/>
    <n v="0"/>
    <s v="Slow"/>
    <s v="2 Days"/>
    <x v="3"/>
    <s v="Thursday"/>
    <n v="4"/>
  </r>
  <r>
    <x v="1391"/>
    <d v="2024-09-13T00:00:00"/>
    <x v="3"/>
    <x v="1"/>
    <n v="140"/>
    <n v="6"/>
    <n v="2.9"/>
    <x v="1"/>
    <x v="0"/>
    <x v="1"/>
    <x v="1"/>
    <x v="1"/>
    <x v="0"/>
    <x v="1"/>
    <x v="3"/>
    <x v="1"/>
    <n v="0"/>
    <s v="Slow"/>
    <s v="Same Day"/>
    <x v="5"/>
    <s v="Friday"/>
    <n v="3"/>
  </r>
  <r>
    <x v="1392"/>
    <d v="2024-11-15T00:00:00"/>
    <x v="0"/>
    <x v="3"/>
    <n v="132"/>
    <n v="2"/>
    <n v="9.6999999999999993"/>
    <x v="0"/>
    <x v="1"/>
    <x v="1"/>
    <x v="3"/>
    <x v="3"/>
    <x v="0"/>
    <x v="1"/>
    <x v="2"/>
    <x v="1"/>
    <n v="1"/>
    <s v="Slow"/>
    <s v="Same Day"/>
    <x v="6"/>
    <s v="Friday"/>
    <n v="2"/>
  </r>
  <r>
    <x v="1393"/>
    <d v="2024-02-17T00:00:00"/>
    <x v="1"/>
    <x v="1"/>
    <n v="68"/>
    <n v="45"/>
    <n v="7.3"/>
    <x v="1"/>
    <x v="1"/>
    <x v="1"/>
    <x v="1"/>
    <x v="1"/>
    <x v="0"/>
    <x v="0"/>
    <x v="0"/>
    <x v="1"/>
    <n v="0"/>
    <s v="Acceptable"/>
    <s v="2 Days"/>
    <x v="9"/>
    <s v="Saturday"/>
    <n v="3"/>
  </r>
  <r>
    <x v="1394"/>
    <d v="2024-03-16T00:00:00"/>
    <x v="3"/>
    <x v="1"/>
    <n v="201"/>
    <n v="32"/>
    <n v="3.3"/>
    <x v="0"/>
    <x v="2"/>
    <x v="0"/>
    <x v="1"/>
    <x v="1"/>
    <x v="0"/>
    <x v="1"/>
    <x v="3"/>
    <x v="0"/>
    <n v="1"/>
    <s v="Slow"/>
    <s v="2 Days"/>
    <x v="2"/>
    <s v="Saturday"/>
    <n v="3"/>
  </r>
  <r>
    <x v="1395"/>
    <d v="2024-07-28T00:00:00"/>
    <x v="0"/>
    <x v="3"/>
    <n v="9"/>
    <n v="25"/>
    <n v="5.4"/>
    <x v="1"/>
    <x v="2"/>
    <x v="1"/>
    <x v="3"/>
    <x v="3"/>
    <x v="1"/>
    <x v="0"/>
    <x v="0"/>
    <x v="1"/>
    <n v="0"/>
    <s v="Very Fast"/>
    <s v="2 Days"/>
    <x v="10"/>
    <s v="Sunday"/>
    <n v="2"/>
  </r>
  <r>
    <x v="1396"/>
    <d v="2024-02-11T00:00:00"/>
    <x v="4"/>
    <x v="1"/>
    <n v="101"/>
    <n v="37"/>
    <n v="7.3"/>
    <x v="1"/>
    <x v="2"/>
    <x v="1"/>
    <x v="1"/>
    <x v="1"/>
    <x v="0"/>
    <x v="0"/>
    <x v="0"/>
    <x v="1"/>
    <n v="0"/>
    <s v="Acceptable"/>
    <s v="2 Days"/>
    <x v="9"/>
    <s v="Sunday"/>
    <n v="3"/>
  </r>
  <r>
    <x v="1397"/>
    <d v="2024-12-11T00:00:00"/>
    <x v="0"/>
    <x v="1"/>
    <n v="128"/>
    <n v="12"/>
    <n v="9.6"/>
    <x v="1"/>
    <x v="2"/>
    <x v="1"/>
    <x v="1"/>
    <x v="1"/>
    <x v="0"/>
    <x v="1"/>
    <x v="2"/>
    <x v="1"/>
    <n v="0"/>
    <s v="Slow"/>
    <s v="1 Day"/>
    <x v="11"/>
    <s v="Wednesday"/>
    <n v="3"/>
  </r>
  <r>
    <x v="1398"/>
    <d v="2024-08-07T00:00:00"/>
    <x v="2"/>
    <x v="1"/>
    <n v="233"/>
    <n v="37"/>
    <n v="3.6"/>
    <x v="1"/>
    <x v="1"/>
    <x v="0"/>
    <x v="1"/>
    <x v="1"/>
    <x v="0"/>
    <x v="1"/>
    <x v="3"/>
    <x v="0"/>
    <n v="0"/>
    <s v="Slow"/>
    <s v="2 Days"/>
    <x v="0"/>
    <s v="Wednesday"/>
    <n v="3"/>
  </r>
  <r>
    <x v="1399"/>
    <d v="2024-06-14T00:00:00"/>
    <x v="0"/>
    <x v="1"/>
    <n v="116"/>
    <n v="44"/>
    <n v="5.2"/>
    <x v="0"/>
    <x v="1"/>
    <x v="0"/>
    <x v="1"/>
    <x v="1"/>
    <x v="0"/>
    <x v="0"/>
    <x v="0"/>
    <x v="0"/>
    <n v="1"/>
    <s v="Acceptable"/>
    <s v="2 Days"/>
    <x v="4"/>
    <s v="Friday"/>
    <n v="3"/>
  </r>
  <r>
    <x v="1400"/>
    <d v="2024-11-08T00:00:00"/>
    <x v="2"/>
    <x v="2"/>
    <n v="12"/>
    <n v="19"/>
    <n v="4.8"/>
    <x v="1"/>
    <x v="0"/>
    <x v="1"/>
    <x v="2"/>
    <x v="2"/>
    <x v="1"/>
    <x v="0"/>
    <x v="3"/>
    <x v="1"/>
    <n v="0"/>
    <s v="Very Fast"/>
    <s v="1 Day"/>
    <x v="6"/>
    <s v="Friday"/>
    <n v="1"/>
  </r>
  <r>
    <x v="1401"/>
    <d v="2024-11-05T00:00:00"/>
    <x v="1"/>
    <x v="3"/>
    <n v="209"/>
    <n v="7"/>
    <n v="4.0999999999999996"/>
    <x v="1"/>
    <x v="1"/>
    <x v="0"/>
    <x v="3"/>
    <x v="3"/>
    <x v="0"/>
    <x v="1"/>
    <x v="3"/>
    <x v="0"/>
    <n v="0"/>
    <s v="Slow"/>
    <s v="Same Day"/>
    <x v="6"/>
    <s v="Tuesday"/>
    <n v="2"/>
  </r>
  <r>
    <x v="1402"/>
    <d v="2024-12-28T00:00:00"/>
    <x v="2"/>
    <x v="2"/>
    <n v="196"/>
    <n v="8"/>
    <n v="7.8"/>
    <x v="1"/>
    <x v="0"/>
    <x v="0"/>
    <x v="2"/>
    <x v="2"/>
    <x v="0"/>
    <x v="1"/>
    <x v="0"/>
    <x v="0"/>
    <n v="0"/>
    <s v="Slow"/>
    <s v="Same Day"/>
    <x v="11"/>
    <s v="Saturday"/>
    <n v="1"/>
  </r>
  <r>
    <x v="1403"/>
    <d v="2024-04-23T00:00:00"/>
    <x v="1"/>
    <x v="2"/>
    <n v="47"/>
    <n v="52"/>
    <n v="4.9000000000000004"/>
    <x v="1"/>
    <x v="2"/>
    <x v="0"/>
    <x v="2"/>
    <x v="2"/>
    <x v="1"/>
    <x v="1"/>
    <x v="3"/>
    <x v="0"/>
    <n v="0"/>
    <s v="Acceptable"/>
    <s v="3 Days"/>
    <x v="3"/>
    <s v="Tuesday"/>
    <n v="1"/>
  </r>
  <r>
    <x v="1404"/>
    <d v="2024-05-06T00:00:00"/>
    <x v="4"/>
    <x v="0"/>
    <n v="231"/>
    <n v="50"/>
    <n v="4.8"/>
    <x v="1"/>
    <x v="0"/>
    <x v="0"/>
    <x v="0"/>
    <x v="0"/>
    <x v="0"/>
    <x v="0"/>
    <x v="3"/>
    <x v="0"/>
    <n v="0"/>
    <s v="Slow"/>
    <s v="3 Days"/>
    <x v="1"/>
    <s v="Monday"/>
    <n v="4"/>
  </r>
  <r>
    <x v="1405"/>
    <d v="2024-08-16T00:00:00"/>
    <x v="3"/>
    <x v="0"/>
    <n v="233"/>
    <n v="7"/>
    <n v="9.3000000000000007"/>
    <x v="1"/>
    <x v="1"/>
    <x v="1"/>
    <x v="0"/>
    <x v="0"/>
    <x v="0"/>
    <x v="0"/>
    <x v="2"/>
    <x v="1"/>
    <n v="0"/>
    <s v="Slow"/>
    <s v="Same Day"/>
    <x v="0"/>
    <s v="Friday"/>
    <n v="4"/>
  </r>
  <r>
    <x v="1406"/>
    <d v="2024-03-29T00:00:00"/>
    <x v="4"/>
    <x v="2"/>
    <n v="203"/>
    <n v="7"/>
    <n v="3.5"/>
    <x v="1"/>
    <x v="1"/>
    <x v="0"/>
    <x v="2"/>
    <x v="2"/>
    <x v="0"/>
    <x v="1"/>
    <x v="3"/>
    <x v="0"/>
    <n v="0"/>
    <s v="Slow"/>
    <s v="Same Day"/>
    <x v="2"/>
    <s v="Friday"/>
    <n v="1"/>
  </r>
  <r>
    <x v="1407"/>
    <d v="2024-07-19T00:00:00"/>
    <x v="1"/>
    <x v="0"/>
    <n v="127"/>
    <n v="69"/>
    <n v="3.1"/>
    <x v="0"/>
    <x v="1"/>
    <x v="0"/>
    <x v="0"/>
    <x v="0"/>
    <x v="0"/>
    <x v="0"/>
    <x v="3"/>
    <x v="0"/>
    <n v="1"/>
    <s v="Slow"/>
    <s v="3 Days"/>
    <x v="10"/>
    <s v="Friday"/>
    <n v="4"/>
  </r>
  <r>
    <x v="1408"/>
    <d v="2024-07-23T00:00:00"/>
    <x v="3"/>
    <x v="3"/>
    <n v="239"/>
    <n v="17"/>
    <n v="9.6"/>
    <x v="1"/>
    <x v="1"/>
    <x v="0"/>
    <x v="3"/>
    <x v="3"/>
    <x v="0"/>
    <x v="1"/>
    <x v="2"/>
    <x v="0"/>
    <n v="0"/>
    <s v="Slow"/>
    <s v="1 Day"/>
    <x v="10"/>
    <s v="Tuesday"/>
    <n v="2"/>
  </r>
  <r>
    <x v="1409"/>
    <d v="2024-04-08T00:00:00"/>
    <x v="2"/>
    <x v="3"/>
    <n v="159"/>
    <n v="4"/>
    <n v="9.1"/>
    <x v="1"/>
    <x v="0"/>
    <x v="1"/>
    <x v="3"/>
    <x v="3"/>
    <x v="0"/>
    <x v="1"/>
    <x v="2"/>
    <x v="1"/>
    <n v="0"/>
    <s v="Slow"/>
    <s v="Same Day"/>
    <x v="3"/>
    <s v="Monday"/>
    <n v="2"/>
  </r>
  <r>
    <x v="1410"/>
    <d v="2024-07-08T00:00:00"/>
    <x v="2"/>
    <x v="3"/>
    <n v="5"/>
    <n v="58"/>
    <n v="7.2"/>
    <x v="1"/>
    <x v="2"/>
    <x v="1"/>
    <x v="3"/>
    <x v="3"/>
    <x v="1"/>
    <x v="0"/>
    <x v="0"/>
    <x v="1"/>
    <n v="0"/>
    <s v="Very Fast"/>
    <s v="3 Days"/>
    <x v="10"/>
    <s v="Monday"/>
    <n v="2"/>
  </r>
  <r>
    <x v="1411"/>
    <d v="2024-07-30T00:00:00"/>
    <x v="4"/>
    <x v="3"/>
    <n v="153"/>
    <n v="51"/>
    <n v="8"/>
    <x v="0"/>
    <x v="1"/>
    <x v="0"/>
    <x v="3"/>
    <x v="3"/>
    <x v="1"/>
    <x v="1"/>
    <x v="0"/>
    <x v="0"/>
    <n v="1"/>
    <s v="Slow"/>
    <s v="3 Days"/>
    <x v="10"/>
    <s v="Tuesday"/>
    <n v="2"/>
  </r>
  <r>
    <x v="1412"/>
    <d v="2024-06-12T00:00:00"/>
    <x v="0"/>
    <x v="3"/>
    <n v="147"/>
    <n v="43"/>
    <n v="8.5"/>
    <x v="1"/>
    <x v="2"/>
    <x v="0"/>
    <x v="3"/>
    <x v="3"/>
    <x v="1"/>
    <x v="1"/>
    <x v="2"/>
    <x v="0"/>
    <n v="0"/>
    <s v="Slow"/>
    <s v="2 Days"/>
    <x v="4"/>
    <s v="Wednesday"/>
    <n v="2"/>
  </r>
  <r>
    <x v="1413"/>
    <d v="2024-08-27T00:00:00"/>
    <x v="0"/>
    <x v="2"/>
    <n v="128"/>
    <n v="24"/>
    <n v="9.1"/>
    <x v="0"/>
    <x v="1"/>
    <x v="0"/>
    <x v="2"/>
    <x v="2"/>
    <x v="1"/>
    <x v="1"/>
    <x v="2"/>
    <x v="0"/>
    <n v="1"/>
    <s v="Slow"/>
    <s v="1 Day"/>
    <x v="0"/>
    <s v="Tuesday"/>
    <n v="1"/>
  </r>
  <r>
    <x v="1414"/>
    <d v="2024-07-27T00:00:00"/>
    <x v="1"/>
    <x v="1"/>
    <n v="137"/>
    <n v="3"/>
    <n v="6.6"/>
    <x v="0"/>
    <x v="2"/>
    <x v="1"/>
    <x v="1"/>
    <x v="1"/>
    <x v="0"/>
    <x v="1"/>
    <x v="0"/>
    <x v="1"/>
    <n v="1"/>
    <s v="Slow"/>
    <s v="Same Day"/>
    <x v="10"/>
    <s v="Saturday"/>
    <n v="3"/>
  </r>
  <r>
    <x v="1415"/>
    <d v="2024-01-26T00:00:00"/>
    <x v="2"/>
    <x v="2"/>
    <n v="68"/>
    <n v="56"/>
    <n v="7.8"/>
    <x v="1"/>
    <x v="2"/>
    <x v="0"/>
    <x v="2"/>
    <x v="2"/>
    <x v="1"/>
    <x v="1"/>
    <x v="0"/>
    <x v="0"/>
    <n v="0"/>
    <s v="Acceptable"/>
    <s v="3 Days"/>
    <x v="8"/>
    <s v="Friday"/>
    <n v="1"/>
  </r>
  <r>
    <x v="1416"/>
    <d v="2024-09-13T00:00:00"/>
    <x v="1"/>
    <x v="1"/>
    <n v="206"/>
    <n v="10"/>
    <n v="2.9"/>
    <x v="0"/>
    <x v="1"/>
    <x v="0"/>
    <x v="1"/>
    <x v="1"/>
    <x v="0"/>
    <x v="1"/>
    <x v="3"/>
    <x v="0"/>
    <n v="1"/>
    <s v="Slow"/>
    <s v="1 Day"/>
    <x v="5"/>
    <s v="Friday"/>
    <n v="3"/>
  </r>
  <r>
    <x v="1417"/>
    <d v="2024-06-26T00:00:00"/>
    <x v="3"/>
    <x v="3"/>
    <n v="151"/>
    <n v="32"/>
    <n v="2.2000000000000002"/>
    <x v="0"/>
    <x v="2"/>
    <x v="0"/>
    <x v="3"/>
    <x v="3"/>
    <x v="1"/>
    <x v="1"/>
    <x v="3"/>
    <x v="0"/>
    <n v="1"/>
    <s v="Slow"/>
    <s v="2 Days"/>
    <x v="4"/>
    <s v="Wednesday"/>
    <n v="2"/>
  </r>
  <r>
    <x v="1418"/>
    <d v="2024-04-16T00:00:00"/>
    <x v="4"/>
    <x v="2"/>
    <n v="140"/>
    <n v="10"/>
    <n v="6.1"/>
    <x v="0"/>
    <x v="1"/>
    <x v="0"/>
    <x v="2"/>
    <x v="2"/>
    <x v="1"/>
    <x v="1"/>
    <x v="0"/>
    <x v="0"/>
    <n v="1"/>
    <s v="Slow"/>
    <s v="1 Day"/>
    <x v="3"/>
    <s v="Tuesday"/>
    <n v="1"/>
  </r>
  <r>
    <x v="1419"/>
    <d v="2024-06-20T00:00:00"/>
    <x v="1"/>
    <x v="1"/>
    <n v="93"/>
    <n v="32"/>
    <n v="7.1"/>
    <x v="1"/>
    <x v="0"/>
    <x v="1"/>
    <x v="1"/>
    <x v="1"/>
    <x v="0"/>
    <x v="0"/>
    <x v="0"/>
    <x v="1"/>
    <n v="0"/>
    <s v="Acceptable"/>
    <s v="2 Days"/>
    <x v="4"/>
    <s v="Thursday"/>
    <n v="3"/>
  </r>
  <r>
    <x v="1420"/>
    <d v="2024-07-05T00:00:00"/>
    <x v="3"/>
    <x v="0"/>
    <n v="49"/>
    <n v="39"/>
    <n v="6.3"/>
    <x v="1"/>
    <x v="2"/>
    <x v="1"/>
    <x v="0"/>
    <x v="0"/>
    <x v="0"/>
    <x v="0"/>
    <x v="0"/>
    <x v="1"/>
    <n v="0"/>
    <s v="Acceptable"/>
    <s v="2 Days"/>
    <x v="10"/>
    <s v="Friday"/>
    <n v="4"/>
  </r>
  <r>
    <x v="1421"/>
    <d v="2024-06-12T00:00:00"/>
    <x v="4"/>
    <x v="2"/>
    <n v="132"/>
    <n v="12"/>
    <n v="6.5"/>
    <x v="0"/>
    <x v="1"/>
    <x v="0"/>
    <x v="2"/>
    <x v="2"/>
    <x v="1"/>
    <x v="1"/>
    <x v="0"/>
    <x v="0"/>
    <n v="1"/>
    <s v="Slow"/>
    <s v="1 Day"/>
    <x v="4"/>
    <s v="Wednesday"/>
    <n v="1"/>
  </r>
  <r>
    <x v="1422"/>
    <d v="2024-09-19T00:00:00"/>
    <x v="1"/>
    <x v="0"/>
    <n v="186"/>
    <n v="56"/>
    <n v="7"/>
    <x v="0"/>
    <x v="2"/>
    <x v="0"/>
    <x v="0"/>
    <x v="0"/>
    <x v="0"/>
    <x v="0"/>
    <x v="0"/>
    <x v="0"/>
    <n v="1"/>
    <s v="Slow"/>
    <s v="3 Days"/>
    <x v="5"/>
    <s v="Thursday"/>
    <n v="4"/>
  </r>
  <r>
    <x v="1423"/>
    <d v="2024-08-13T00:00:00"/>
    <x v="3"/>
    <x v="3"/>
    <n v="167"/>
    <n v="1"/>
    <n v="3.8"/>
    <x v="0"/>
    <x v="0"/>
    <x v="0"/>
    <x v="3"/>
    <x v="3"/>
    <x v="0"/>
    <x v="1"/>
    <x v="3"/>
    <x v="0"/>
    <n v="1"/>
    <s v="Slow"/>
    <s v="Same Day"/>
    <x v="0"/>
    <s v="Tuesday"/>
    <n v="2"/>
  </r>
  <r>
    <x v="1424"/>
    <d v="2024-04-15T00:00:00"/>
    <x v="2"/>
    <x v="1"/>
    <n v="79"/>
    <n v="70"/>
    <n v="6.1"/>
    <x v="0"/>
    <x v="1"/>
    <x v="0"/>
    <x v="1"/>
    <x v="1"/>
    <x v="1"/>
    <x v="0"/>
    <x v="0"/>
    <x v="0"/>
    <n v="1"/>
    <s v="Acceptable"/>
    <s v="3 Days"/>
    <x v="3"/>
    <s v="Monday"/>
    <n v="3"/>
  </r>
  <r>
    <x v="1425"/>
    <d v="2024-01-20T00:00:00"/>
    <x v="1"/>
    <x v="2"/>
    <n v="229"/>
    <n v="42"/>
    <n v="6.6"/>
    <x v="1"/>
    <x v="2"/>
    <x v="0"/>
    <x v="2"/>
    <x v="2"/>
    <x v="1"/>
    <x v="1"/>
    <x v="0"/>
    <x v="0"/>
    <n v="0"/>
    <s v="Slow"/>
    <s v="2 Days"/>
    <x v="8"/>
    <s v="Saturday"/>
    <n v="1"/>
  </r>
  <r>
    <x v="1426"/>
    <d v="2024-12-27T00:00:00"/>
    <x v="1"/>
    <x v="2"/>
    <n v="213"/>
    <n v="51"/>
    <n v="9.3000000000000007"/>
    <x v="0"/>
    <x v="0"/>
    <x v="0"/>
    <x v="2"/>
    <x v="2"/>
    <x v="1"/>
    <x v="1"/>
    <x v="2"/>
    <x v="0"/>
    <n v="1"/>
    <s v="Slow"/>
    <s v="3 Days"/>
    <x v="11"/>
    <s v="Friday"/>
    <n v="1"/>
  </r>
  <r>
    <x v="1427"/>
    <d v="2024-03-11T00:00:00"/>
    <x v="3"/>
    <x v="0"/>
    <n v="80"/>
    <n v="50"/>
    <n v="7.4"/>
    <x v="0"/>
    <x v="2"/>
    <x v="0"/>
    <x v="0"/>
    <x v="0"/>
    <x v="0"/>
    <x v="0"/>
    <x v="0"/>
    <x v="0"/>
    <n v="1"/>
    <s v="Acceptable"/>
    <s v="3 Days"/>
    <x v="2"/>
    <s v="Monday"/>
    <n v="4"/>
  </r>
  <r>
    <x v="1428"/>
    <d v="2024-01-18T00:00:00"/>
    <x v="0"/>
    <x v="0"/>
    <n v="104"/>
    <n v="12"/>
    <n v="4.8"/>
    <x v="1"/>
    <x v="0"/>
    <x v="0"/>
    <x v="0"/>
    <x v="0"/>
    <x v="0"/>
    <x v="0"/>
    <x v="3"/>
    <x v="0"/>
    <n v="0"/>
    <s v="Acceptable"/>
    <s v="1 Day"/>
    <x v="8"/>
    <s v="Thursday"/>
    <n v="4"/>
  </r>
  <r>
    <x v="1429"/>
    <d v="2024-11-23T00:00:00"/>
    <x v="1"/>
    <x v="0"/>
    <n v="121"/>
    <n v="29"/>
    <n v="7.9"/>
    <x v="0"/>
    <x v="0"/>
    <x v="0"/>
    <x v="0"/>
    <x v="0"/>
    <x v="0"/>
    <x v="0"/>
    <x v="0"/>
    <x v="0"/>
    <n v="1"/>
    <s v="Slow"/>
    <s v="2 Days"/>
    <x v="6"/>
    <s v="Saturday"/>
    <n v="4"/>
  </r>
  <r>
    <x v="1430"/>
    <d v="2024-08-26T00:00:00"/>
    <x v="0"/>
    <x v="0"/>
    <n v="167"/>
    <n v="69"/>
    <n v="9.1999999999999993"/>
    <x v="0"/>
    <x v="0"/>
    <x v="0"/>
    <x v="0"/>
    <x v="0"/>
    <x v="0"/>
    <x v="0"/>
    <x v="2"/>
    <x v="0"/>
    <n v="1"/>
    <s v="Slow"/>
    <s v="3 Days"/>
    <x v="0"/>
    <s v="Monday"/>
    <n v="4"/>
  </r>
  <r>
    <x v="1431"/>
    <d v="2024-08-06T00:00:00"/>
    <x v="3"/>
    <x v="0"/>
    <n v="218"/>
    <n v="13"/>
    <n v="5.6"/>
    <x v="0"/>
    <x v="0"/>
    <x v="0"/>
    <x v="0"/>
    <x v="0"/>
    <x v="0"/>
    <x v="0"/>
    <x v="0"/>
    <x v="0"/>
    <n v="1"/>
    <s v="Slow"/>
    <s v="1 Day"/>
    <x v="0"/>
    <s v="Tuesday"/>
    <n v="4"/>
  </r>
  <r>
    <x v="1432"/>
    <d v="2024-09-01T00:00:00"/>
    <x v="1"/>
    <x v="2"/>
    <n v="144"/>
    <n v="50"/>
    <n v="3"/>
    <x v="1"/>
    <x v="2"/>
    <x v="0"/>
    <x v="2"/>
    <x v="2"/>
    <x v="1"/>
    <x v="1"/>
    <x v="3"/>
    <x v="0"/>
    <n v="0"/>
    <s v="Slow"/>
    <s v="3 Days"/>
    <x v="5"/>
    <s v="Sunday"/>
    <n v="1"/>
  </r>
  <r>
    <x v="1433"/>
    <d v="2024-11-20T00:00:00"/>
    <x v="2"/>
    <x v="3"/>
    <n v="98"/>
    <n v="34"/>
    <n v="3.9"/>
    <x v="0"/>
    <x v="2"/>
    <x v="0"/>
    <x v="3"/>
    <x v="3"/>
    <x v="1"/>
    <x v="1"/>
    <x v="3"/>
    <x v="0"/>
    <n v="1"/>
    <s v="Acceptable"/>
    <s v="2 Days"/>
    <x v="6"/>
    <s v="Wednesday"/>
    <n v="2"/>
  </r>
  <r>
    <x v="1434"/>
    <d v="2024-04-02T00:00:00"/>
    <x v="3"/>
    <x v="2"/>
    <n v="213"/>
    <n v="3"/>
    <n v="6.1"/>
    <x v="1"/>
    <x v="2"/>
    <x v="1"/>
    <x v="2"/>
    <x v="2"/>
    <x v="0"/>
    <x v="1"/>
    <x v="0"/>
    <x v="1"/>
    <n v="0"/>
    <s v="Slow"/>
    <s v="Same Day"/>
    <x v="3"/>
    <s v="Tuesday"/>
    <n v="1"/>
  </r>
  <r>
    <x v="1435"/>
    <d v="2024-09-03T00:00:00"/>
    <x v="2"/>
    <x v="2"/>
    <n v="154"/>
    <n v="53"/>
    <n v="7.9"/>
    <x v="1"/>
    <x v="2"/>
    <x v="0"/>
    <x v="2"/>
    <x v="2"/>
    <x v="1"/>
    <x v="1"/>
    <x v="0"/>
    <x v="0"/>
    <n v="0"/>
    <s v="Slow"/>
    <s v="3 Days"/>
    <x v="5"/>
    <s v="Tuesday"/>
    <n v="1"/>
  </r>
  <r>
    <x v="1436"/>
    <d v="2024-07-19T00:00:00"/>
    <x v="3"/>
    <x v="3"/>
    <n v="115"/>
    <n v="10"/>
    <n v="1.5"/>
    <x v="0"/>
    <x v="2"/>
    <x v="0"/>
    <x v="3"/>
    <x v="3"/>
    <x v="0"/>
    <x v="1"/>
    <x v="1"/>
    <x v="0"/>
    <n v="1"/>
    <s v="Acceptable"/>
    <s v="1 Day"/>
    <x v="10"/>
    <s v="Friday"/>
    <n v="2"/>
  </r>
  <r>
    <x v="1437"/>
    <d v="2024-06-07T00:00:00"/>
    <x v="0"/>
    <x v="3"/>
    <n v="65"/>
    <n v="18"/>
    <n v="1"/>
    <x v="1"/>
    <x v="1"/>
    <x v="0"/>
    <x v="3"/>
    <x v="3"/>
    <x v="0"/>
    <x v="1"/>
    <x v="1"/>
    <x v="0"/>
    <n v="0"/>
    <s v="Acceptable"/>
    <s v="1 Day"/>
    <x v="4"/>
    <s v="Friday"/>
    <n v="2"/>
  </r>
  <r>
    <x v="1438"/>
    <d v="2024-04-07T00:00:00"/>
    <x v="2"/>
    <x v="3"/>
    <n v="16"/>
    <n v="21"/>
    <n v="1.5"/>
    <x v="1"/>
    <x v="2"/>
    <x v="1"/>
    <x v="3"/>
    <x v="3"/>
    <x v="0"/>
    <x v="0"/>
    <x v="1"/>
    <x v="1"/>
    <n v="0"/>
    <s v="Very Fast"/>
    <s v="1 Day"/>
    <x v="3"/>
    <s v="Sunday"/>
    <n v="2"/>
  </r>
  <r>
    <x v="1439"/>
    <d v="2024-09-02T00:00:00"/>
    <x v="4"/>
    <x v="2"/>
    <n v="19"/>
    <n v="25"/>
    <n v="9.5"/>
    <x v="0"/>
    <x v="1"/>
    <x v="1"/>
    <x v="2"/>
    <x v="2"/>
    <x v="1"/>
    <x v="0"/>
    <x v="2"/>
    <x v="1"/>
    <n v="1"/>
    <s v="Very Fast"/>
    <s v="2 Days"/>
    <x v="5"/>
    <s v="Monday"/>
    <n v="1"/>
  </r>
  <r>
    <x v="1440"/>
    <d v="2024-02-10T00:00:00"/>
    <x v="0"/>
    <x v="3"/>
    <n v="90"/>
    <n v="26"/>
    <n v="6.6"/>
    <x v="0"/>
    <x v="0"/>
    <x v="0"/>
    <x v="3"/>
    <x v="3"/>
    <x v="1"/>
    <x v="1"/>
    <x v="0"/>
    <x v="0"/>
    <n v="1"/>
    <s v="Acceptable"/>
    <s v="2 Days"/>
    <x v="9"/>
    <s v="Saturday"/>
    <n v="2"/>
  </r>
  <r>
    <x v="1441"/>
    <d v="2024-11-14T00:00:00"/>
    <x v="1"/>
    <x v="0"/>
    <n v="17"/>
    <n v="68"/>
    <n v="6.9"/>
    <x v="1"/>
    <x v="1"/>
    <x v="2"/>
    <x v="0"/>
    <x v="0"/>
    <x v="0"/>
    <x v="0"/>
    <x v="0"/>
    <x v="2"/>
    <n v="0"/>
    <s v="Very Fast"/>
    <s v="3 Days"/>
    <x v="6"/>
    <s v="Thursday"/>
    <n v="4"/>
  </r>
  <r>
    <x v="1442"/>
    <d v="2024-06-23T00:00:00"/>
    <x v="4"/>
    <x v="2"/>
    <n v="122"/>
    <n v="3"/>
    <n v="5.4"/>
    <x v="0"/>
    <x v="2"/>
    <x v="1"/>
    <x v="2"/>
    <x v="2"/>
    <x v="0"/>
    <x v="1"/>
    <x v="0"/>
    <x v="1"/>
    <n v="1"/>
    <s v="Slow"/>
    <s v="Same Day"/>
    <x v="4"/>
    <s v="Sunday"/>
    <n v="1"/>
  </r>
  <r>
    <x v="1443"/>
    <d v="2024-08-08T00:00:00"/>
    <x v="3"/>
    <x v="3"/>
    <n v="43"/>
    <n v="66"/>
    <n v="4.3"/>
    <x v="0"/>
    <x v="0"/>
    <x v="0"/>
    <x v="3"/>
    <x v="3"/>
    <x v="1"/>
    <x v="0"/>
    <x v="3"/>
    <x v="0"/>
    <n v="1"/>
    <s v="Acceptable"/>
    <s v="3 Days"/>
    <x v="0"/>
    <s v="Thursday"/>
    <n v="2"/>
  </r>
  <r>
    <x v="1444"/>
    <d v="2024-11-22T00:00:00"/>
    <x v="4"/>
    <x v="3"/>
    <n v="109"/>
    <n v="37"/>
    <n v="3.1"/>
    <x v="0"/>
    <x v="2"/>
    <x v="0"/>
    <x v="3"/>
    <x v="3"/>
    <x v="1"/>
    <x v="1"/>
    <x v="3"/>
    <x v="0"/>
    <n v="1"/>
    <s v="Acceptable"/>
    <s v="2 Days"/>
    <x v="6"/>
    <s v="Friday"/>
    <n v="2"/>
  </r>
  <r>
    <x v="1445"/>
    <d v="2024-02-21T00:00:00"/>
    <x v="0"/>
    <x v="0"/>
    <n v="120"/>
    <n v="13"/>
    <n v="9.5"/>
    <x v="0"/>
    <x v="2"/>
    <x v="0"/>
    <x v="0"/>
    <x v="0"/>
    <x v="0"/>
    <x v="0"/>
    <x v="2"/>
    <x v="0"/>
    <n v="1"/>
    <s v="Acceptable"/>
    <s v="1 Day"/>
    <x v="9"/>
    <s v="Wednesday"/>
    <n v="4"/>
  </r>
  <r>
    <x v="1446"/>
    <d v="2024-08-14T00:00:00"/>
    <x v="0"/>
    <x v="1"/>
    <n v="172"/>
    <n v="13"/>
    <n v="6.6"/>
    <x v="0"/>
    <x v="1"/>
    <x v="0"/>
    <x v="1"/>
    <x v="1"/>
    <x v="0"/>
    <x v="1"/>
    <x v="0"/>
    <x v="0"/>
    <n v="1"/>
    <s v="Slow"/>
    <s v="1 Day"/>
    <x v="0"/>
    <s v="Wednesday"/>
    <n v="3"/>
  </r>
  <r>
    <x v="1447"/>
    <d v="2024-10-25T00:00:00"/>
    <x v="2"/>
    <x v="0"/>
    <n v="187"/>
    <n v="13"/>
    <n v="0.8"/>
    <x v="1"/>
    <x v="2"/>
    <x v="0"/>
    <x v="0"/>
    <x v="0"/>
    <x v="0"/>
    <x v="0"/>
    <x v="1"/>
    <x v="0"/>
    <n v="0"/>
    <s v="Slow"/>
    <s v="1 Day"/>
    <x v="7"/>
    <s v="Friday"/>
    <n v="4"/>
  </r>
  <r>
    <x v="1448"/>
    <d v="2024-10-12T00:00:00"/>
    <x v="2"/>
    <x v="3"/>
    <n v="166"/>
    <n v="24"/>
    <n v="8.1999999999999993"/>
    <x v="0"/>
    <x v="1"/>
    <x v="0"/>
    <x v="3"/>
    <x v="3"/>
    <x v="0"/>
    <x v="1"/>
    <x v="2"/>
    <x v="0"/>
    <n v="1"/>
    <s v="Slow"/>
    <s v="1 Day"/>
    <x v="7"/>
    <s v="Saturday"/>
    <n v="2"/>
  </r>
  <r>
    <x v="1449"/>
    <d v="2024-09-19T00:00:00"/>
    <x v="0"/>
    <x v="1"/>
    <n v="8"/>
    <n v="61"/>
    <n v="5"/>
    <x v="0"/>
    <x v="1"/>
    <x v="1"/>
    <x v="1"/>
    <x v="1"/>
    <x v="1"/>
    <x v="0"/>
    <x v="3"/>
    <x v="1"/>
    <n v="1"/>
    <s v="Very Fast"/>
    <s v="3 Days"/>
    <x v="5"/>
    <s v="Thursday"/>
    <n v="3"/>
  </r>
  <r>
    <x v="1450"/>
    <d v="2024-08-13T00:00:00"/>
    <x v="0"/>
    <x v="3"/>
    <n v="116"/>
    <n v="48"/>
    <n v="9.1999999999999993"/>
    <x v="0"/>
    <x v="0"/>
    <x v="0"/>
    <x v="3"/>
    <x v="3"/>
    <x v="1"/>
    <x v="1"/>
    <x v="2"/>
    <x v="0"/>
    <n v="1"/>
    <s v="Acceptable"/>
    <s v="2 Days"/>
    <x v="0"/>
    <s v="Tuesday"/>
    <n v="2"/>
  </r>
  <r>
    <x v="1451"/>
    <d v="2024-12-05T00:00:00"/>
    <x v="2"/>
    <x v="2"/>
    <n v="212"/>
    <n v="32"/>
    <n v="3.7"/>
    <x v="0"/>
    <x v="1"/>
    <x v="0"/>
    <x v="2"/>
    <x v="2"/>
    <x v="1"/>
    <x v="1"/>
    <x v="3"/>
    <x v="0"/>
    <n v="1"/>
    <s v="Slow"/>
    <s v="2 Days"/>
    <x v="11"/>
    <s v="Thursday"/>
    <n v="1"/>
  </r>
  <r>
    <x v="1452"/>
    <d v="2024-03-31T00:00:00"/>
    <x v="4"/>
    <x v="0"/>
    <n v="167"/>
    <n v="63"/>
    <n v="6.1"/>
    <x v="1"/>
    <x v="1"/>
    <x v="1"/>
    <x v="0"/>
    <x v="0"/>
    <x v="0"/>
    <x v="0"/>
    <x v="0"/>
    <x v="1"/>
    <n v="0"/>
    <s v="Slow"/>
    <s v="3 Days"/>
    <x v="2"/>
    <s v="Sunday"/>
    <n v="4"/>
  </r>
  <r>
    <x v="1453"/>
    <d v="2024-04-09T00:00:00"/>
    <x v="3"/>
    <x v="0"/>
    <n v="106"/>
    <n v="65"/>
    <n v="8"/>
    <x v="1"/>
    <x v="1"/>
    <x v="1"/>
    <x v="0"/>
    <x v="0"/>
    <x v="0"/>
    <x v="0"/>
    <x v="0"/>
    <x v="1"/>
    <n v="0"/>
    <s v="Acceptable"/>
    <s v="3 Days"/>
    <x v="3"/>
    <s v="Tuesday"/>
    <n v="4"/>
  </r>
  <r>
    <x v="1454"/>
    <d v="2024-04-16T00:00:00"/>
    <x v="3"/>
    <x v="0"/>
    <n v="149"/>
    <n v="8"/>
    <n v="2.8"/>
    <x v="0"/>
    <x v="2"/>
    <x v="0"/>
    <x v="0"/>
    <x v="0"/>
    <x v="0"/>
    <x v="0"/>
    <x v="3"/>
    <x v="0"/>
    <n v="1"/>
    <s v="Slow"/>
    <s v="Same Day"/>
    <x v="3"/>
    <s v="Tuesday"/>
    <n v="4"/>
  </r>
  <r>
    <x v="1455"/>
    <d v="2024-11-09T00:00:00"/>
    <x v="2"/>
    <x v="3"/>
    <n v="200"/>
    <n v="14"/>
    <n v="6"/>
    <x v="1"/>
    <x v="0"/>
    <x v="0"/>
    <x v="3"/>
    <x v="3"/>
    <x v="0"/>
    <x v="1"/>
    <x v="0"/>
    <x v="0"/>
    <n v="0"/>
    <s v="Slow"/>
    <s v="1 Day"/>
    <x v="6"/>
    <s v="Saturday"/>
    <n v="2"/>
  </r>
  <r>
    <x v="1456"/>
    <d v="2024-02-25T00:00:00"/>
    <x v="4"/>
    <x v="3"/>
    <n v="161"/>
    <n v="67"/>
    <n v="8.6"/>
    <x v="0"/>
    <x v="1"/>
    <x v="0"/>
    <x v="3"/>
    <x v="3"/>
    <x v="1"/>
    <x v="1"/>
    <x v="2"/>
    <x v="0"/>
    <n v="1"/>
    <s v="Slow"/>
    <s v="3 Days"/>
    <x v="9"/>
    <s v="Sunday"/>
    <n v="2"/>
  </r>
  <r>
    <x v="1457"/>
    <d v="2024-09-01T00:00:00"/>
    <x v="2"/>
    <x v="1"/>
    <n v="181"/>
    <n v="37"/>
    <n v="5.3"/>
    <x v="1"/>
    <x v="2"/>
    <x v="1"/>
    <x v="1"/>
    <x v="1"/>
    <x v="0"/>
    <x v="1"/>
    <x v="0"/>
    <x v="1"/>
    <n v="0"/>
    <s v="Slow"/>
    <s v="2 Days"/>
    <x v="5"/>
    <s v="Sunday"/>
    <n v="3"/>
  </r>
  <r>
    <x v="1458"/>
    <d v="2024-04-28T00:00:00"/>
    <x v="2"/>
    <x v="3"/>
    <n v="188"/>
    <n v="23"/>
    <n v="1.4"/>
    <x v="1"/>
    <x v="0"/>
    <x v="0"/>
    <x v="3"/>
    <x v="3"/>
    <x v="0"/>
    <x v="1"/>
    <x v="1"/>
    <x v="0"/>
    <n v="0"/>
    <s v="Slow"/>
    <s v="1 Day"/>
    <x v="3"/>
    <s v="Sunday"/>
    <n v="2"/>
  </r>
  <r>
    <x v="1459"/>
    <d v="2024-06-26T00:00:00"/>
    <x v="1"/>
    <x v="3"/>
    <n v="145"/>
    <n v="9"/>
    <n v="5.4"/>
    <x v="0"/>
    <x v="0"/>
    <x v="0"/>
    <x v="3"/>
    <x v="3"/>
    <x v="0"/>
    <x v="1"/>
    <x v="0"/>
    <x v="0"/>
    <n v="1"/>
    <s v="Slow"/>
    <s v="1 Day"/>
    <x v="4"/>
    <s v="Wednesday"/>
    <n v="2"/>
  </r>
  <r>
    <x v="1460"/>
    <d v="2024-12-30T00:00:00"/>
    <x v="3"/>
    <x v="2"/>
    <n v="188"/>
    <n v="26"/>
    <n v="3.9"/>
    <x v="0"/>
    <x v="2"/>
    <x v="0"/>
    <x v="2"/>
    <x v="2"/>
    <x v="1"/>
    <x v="1"/>
    <x v="3"/>
    <x v="0"/>
    <n v="1"/>
    <s v="Slow"/>
    <s v="2 Days"/>
    <x v="11"/>
    <s v="Monday"/>
    <n v="1"/>
  </r>
  <r>
    <x v="1461"/>
    <d v="2024-12-14T00:00:00"/>
    <x v="0"/>
    <x v="3"/>
    <n v="185"/>
    <n v="44"/>
    <n v="7.2"/>
    <x v="0"/>
    <x v="0"/>
    <x v="0"/>
    <x v="3"/>
    <x v="3"/>
    <x v="1"/>
    <x v="1"/>
    <x v="0"/>
    <x v="0"/>
    <n v="1"/>
    <s v="Slow"/>
    <s v="2 Days"/>
    <x v="11"/>
    <s v="Saturday"/>
    <n v="2"/>
  </r>
  <r>
    <x v="1462"/>
    <d v="2024-08-28T00:00:00"/>
    <x v="3"/>
    <x v="1"/>
    <n v="22"/>
    <n v="45"/>
    <n v="2.7"/>
    <x v="0"/>
    <x v="0"/>
    <x v="1"/>
    <x v="1"/>
    <x v="1"/>
    <x v="0"/>
    <x v="0"/>
    <x v="3"/>
    <x v="1"/>
    <n v="1"/>
    <s v="Very Fast"/>
    <s v="2 Days"/>
    <x v="0"/>
    <s v="Wednesday"/>
    <n v="3"/>
  </r>
  <r>
    <x v="1463"/>
    <d v="2024-08-06T00:00:00"/>
    <x v="2"/>
    <x v="2"/>
    <n v="85"/>
    <n v="28"/>
    <n v="3.2"/>
    <x v="0"/>
    <x v="0"/>
    <x v="0"/>
    <x v="2"/>
    <x v="2"/>
    <x v="1"/>
    <x v="1"/>
    <x v="3"/>
    <x v="0"/>
    <n v="1"/>
    <s v="Acceptable"/>
    <s v="2 Days"/>
    <x v="0"/>
    <s v="Tuesday"/>
    <n v="1"/>
  </r>
  <r>
    <x v="1464"/>
    <d v="2024-01-12T00:00:00"/>
    <x v="2"/>
    <x v="1"/>
    <n v="112"/>
    <n v="19"/>
    <n v="2"/>
    <x v="0"/>
    <x v="1"/>
    <x v="0"/>
    <x v="1"/>
    <x v="1"/>
    <x v="0"/>
    <x v="0"/>
    <x v="1"/>
    <x v="0"/>
    <n v="1"/>
    <s v="Acceptable"/>
    <s v="1 Day"/>
    <x v="8"/>
    <s v="Friday"/>
    <n v="3"/>
  </r>
  <r>
    <x v="1465"/>
    <d v="2024-10-22T00:00:00"/>
    <x v="0"/>
    <x v="1"/>
    <n v="227"/>
    <n v="20"/>
    <n v="1.8"/>
    <x v="1"/>
    <x v="0"/>
    <x v="0"/>
    <x v="1"/>
    <x v="1"/>
    <x v="0"/>
    <x v="1"/>
    <x v="1"/>
    <x v="0"/>
    <n v="0"/>
    <s v="Slow"/>
    <s v="1 Day"/>
    <x v="7"/>
    <s v="Tuesday"/>
    <n v="3"/>
  </r>
  <r>
    <x v="1466"/>
    <d v="2024-05-15T00:00:00"/>
    <x v="4"/>
    <x v="3"/>
    <n v="86"/>
    <n v="16"/>
    <n v="8.4"/>
    <x v="0"/>
    <x v="0"/>
    <x v="0"/>
    <x v="3"/>
    <x v="3"/>
    <x v="0"/>
    <x v="1"/>
    <x v="2"/>
    <x v="0"/>
    <n v="1"/>
    <s v="Acceptable"/>
    <s v="1 Day"/>
    <x v="1"/>
    <s v="Wednesday"/>
    <n v="2"/>
  </r>
  <r>
    <x v="1467"/>
    <d v="2024-11-22T00:00:00"/>
    <x v="0"/>
    <x v="0"/>
    <n v="124"/>
    <n v="12"/>
    <n v="5.6"/>
    <x v="1"/>
    <x v="2"/>
    <x v="1"/>
    <x v="0"/>
    <x v="0"/>
    <x v="0"/>
    <x v="0"/>
    <x v="0"/>
    <x v="1"/>
    <n v="0"/>
    <s v="Slow"/>
    <s v="1 Day"/>
    <x v="6"/>
    <s v="Friday"/>
    <n v="4"/>
  </r>
  <r>
    <x v="1468"/>
    <d v="2024-03-06T00:00:00"/>
    <x v="0"/>
    <x v="2"/>
    <n v="139"/>
    <n v="58"/>
    <n v="9.3000000000000007"/>
    <x v="0"/>
    <x v="2"/>
    <x v="0"/>
    <x v="2"/>
    <x v="2"/>
    <x v="1"/>
    <x v="1"/>
    <x v="2"/>
    <x v="0"/>
    <n v="1"/>
    <s v="Slow"/>
    <s v="3 Days"/>
    <x v="2"/>
    <s v="Wednesday"/>
    <n v="1"/>
  </r>
  <r>
    <x v="1469"/>
    <d v="2024-02-15T00:00:00"/>
    <x v="4"/>
    <x v="3"/>
    <n v="119"/>
    <n v="70"/>
    <n v="2.2999999999999998"/>
    <x v="1"/>
    <x v="0"/>
    <x v="0"/>
    <x v="3"/>
    <x v="3"/>
    <x v="1"/>
    <x v="1"/>
    <x v="3"/>
    <x v="0"/>
    <n v="0"/>
    <s v="Acceptable"/>
    <s v="3 Days"/>
    <x v="9"/>
    <s v="Thursday"/>
    <n v="2"/>
  </r>
  <r>
    <x v="1470"/>
    <d v="2024-07-19T00:00:00"/>
    <x v="2"/>
    <x v="3"/>
    <n v="8"/>
    <n v="53"/>
    <n v="3.7"/>
    <x v="0"/>
    <x v="0"/>
    <x v="0"/>
    <x v="3"/>
    <x v="3"/>
    <x v="1"/>
    <x v="0"/>
    <x v="3"/>
    <x v="0"/>
    <n v="1"/>
    <s v="Very Fast"/>
    <s v="3 Days"/>
    <x v="10"/>
    <s v="Friday"/>
    <n v="2"/>
  </r>
  <r>
    <x v="1471"/>
    <d v="2024-01-05T00:00:00"/>
    <x v="0"/>
    <x v="0"/>
    <n v="190"/>
    <n v="34"/>
    <n v="3.5"/>
    <x v="1"/>
    <x v="2"/>
    <x v="0"/>
    <x v="0"/>
    <x v="0"/>
    <x v="0"/>
    <x v="0"/>
    <x v="3"/>
    <x v="0"/>
    <n v="0"/>
    <s v="Slow"/>
    <s v="2 Days"/>
    <x v="8"/>
    <s v="Friday"/>
    <n v="4"/>
  </r>
  <r>
    <x v="1472"/>
    <d v="2024-01-02T00:00:00"/>
    <x v="3"/>
    <x v="3"/>
    <n v="7"/>
    <n v="6"/>
    <n v="3.1"/>
    <x v="1"/>
    <x v="0"/>
    <x v="2"/>
    <x v="3"/>
    <x v="3"/>
    <x v="0"/>
    <x v="0"/>
    <x v="3"/>
    <x v="2"/>
    <n v="0"/>
    <s v="Very Fast"/>
    <s v="Same Day"/>
    <x v="8"/>
    <s v="Tuesday"/>
    <n v="2"/>
  </r>
  <r>
    <x v="1473"/>
    <d v="2024-06-15T00:00:00"/>
    <x v="1"/>
    <x v="0"/>
    <n v="127"/>
    <n v="37"/>
    <n v="3.5"/>
    <x v="1"/>
    <x v="2"/>
    <x v="0"/>
    <x v="0"/>
    <x v="0"/>
    <x v="0"/>
    <x v="0"/>
    <x v="3"/>
    <x v="0"/>
    <n v="0"/>
    <s v="Slow"/>
    <s v="2 Days"/>
    <x v="4"/>
    <s v="Saturday"/>
    <n v="4"/>
  </r>
  <r>
    <x v="1474"/>
    <d v="2024-08-23T00:00:00"/>
    <x v="2"/>
    <x v="2"/>
    <n v="182"/>
    <n v="38"/>
    <n v="3.1"/>
    <x v="1"/>
    <x v="0"/>
    <x v="0"/>
    <x v="2"/>
    <x v="2"/>
    <x v="1"/>
    <x v="1"/>
    <x v="3"/>
    <x v="0"/>
    <n v="0"/>
    <s v="Slow"/>
    <s v="2 Days"/>
    <x v="0"/>
    <s v="Friday"/>
    <n v="1"/>
  </r>
  <r>
    <x v="1475"/>
    <d v="2024-04-16T00:00:00"/>
    <x v="4"/>
    <x v="2"/>
    <n v="177"/>
    <n v="2"/>
    <n v="4.4000000000000004"/>
    <x v="0"/>
    <x v="1"/>
    <x v="0"/>
    <x v="2"/>
    <x v="2"/>
    <x v="0"/>
    <x v="1"/>
    <x v="3"/>
    <x v="0"/>
    <n v="1"/>
    <s v="Slow"/>
    <s v="Same Day"/>
    <x v="3"/>
    <s v="Tuesday"/>
    <n v="1"/>
  </r>
  <r>
    <x v="1476"/>
    <d v="2024-04-17T00:00:00"/>
    <x v="3"/>
    <x v="0"/>
    <n v="125"/>
    <n v="64"/>
    <n v="8"/>
    <x v="0"/>
    <x v="2"/>
    <x v="0"/>
    <x v="0"/>
    <x v="0"/>
    <x v="0"/>
    <x v="0"/>
    <x v="0"/>
    <x v="0"/>
    <n v="1"/>
    <s v="Slow"/>
    <s v="3 Days"/>
    <x v="3"/>
    <s v="Wednesday"/>
    <n v="4"/>
  </r>
  <r>
    <x v="1477"/>
    <d v="2024-01-11T00:00:00"/>
    <x v="2"/>
    <x v="0"/>
    <n v="159"/>
    <n v="32"/>
    <n v="5"/>
    <x v="1"/>
    <x v="2"/>
    <x v="1"/>
    <x v="0"/>
    <x v="0"/>
    <x v="0"/>
    <x v="0"/>
    <x v="3"/>
    <x v="1"/>
    <n v="0"/>
    <s v="Slow"/>
    <s v="2 Days"/>
    <x v="8"/>
    <s v="Thursday"/>
    <n v="4"/>
  </r>
  <r>
    <x v="1478"/>
    <d v="2024-04-18T00:00:00"/>
    <x v="1"/>
    <x v="2"/>
    <n v="54"/>
    <n v="26"/>
    <n v="3"/>
    <x v="1"/>
    <x v="2"/>
    <x v="0"/>
    <x v="2"/>
    <x v="2"/>
    <x v="1"/>
    <x v="1"/>
    <x v="3"/>
    <x v="0"/>
    <n v="0"/>
    <s v="Acceptable"/>
    <s v="2 Days"/>
    <x v="3"/>
    <s v="Thursday"/>
    <n v="1"/>
  </r>
  <r>
    <x v="1479"/>
    <d v="2024-02-18T00:00:00"/>
    <x v="0"/>
    <x v="1"/>
    <n v="11"/>
    <n v="64"/>
    <n v="9.8000000000000007"/>
    <x v="1"/>
    <x v="1"/>
    <x v="2"/>
    <x v="1"/>
    <x v="1"/>
    <x v="1"/>
    <x v="0"/>
    <x v="2"/>
    <x v="2"/>
    <n v="0"/>
    <s v="Very Fast"/>
    <s v="3 Days"/>
    <x v="9"/>
    <s v="Sunday"/>
    <n v="3"/>
  </r>
  <r>
    <x v="1480"/>
    <d v="2024-03-05T00:00:00"/>
    <x v="4"/>
    <x v="2"/>
    <n v="238"/>
    <n v="8"/>
    <n v="4.5999999999999996"/>
    <x v="0"/>
    <x v="1"/>
    <x v="0"/>
    <x v="2"/>
    <x v="2"/>
    <x v="0"/>
    <x v="1"/>
    <x v="3"/>
    <x v="0"/>
    <n v="1"/>
    <s v="Slow"/>
    <s v="Same Day"/>
    <x v="2"/>
    <s v="Tuesday"/>
    <n v="1"/>
  </r>
  <r>
    <x v="1481"/>
    <d v="2024-11-22T00:00:00"/>
    <x v="2"/>
    <x v="3"/>
    <n v="91"/>
    <n v="17"/>
    <n v="0.8"/>
    <x v="1"/>
    <x v="1"/>
    <x v="0"/>
    <x v="3"/>
    <x v="3"/>
    <x v="0"/>
    <x v="1"/>
    <x v="1"/>
    <x v="0"/>
    <n v="0"/>
    <s v="Acceptable"/>
    <s v="1 Day"/>
    <x v="6"/>
    <s v="Friday"/>
    <n v="2"/>
  </r>
  <r>
    <x v="1482"/>
    <d v="2024-09-09T00:00:00"/>
    <x v="1"/>
    <x v="3"/>
    <n v="68"/>
    <n v="55"/>
    <n v="7.2"/>
    <x v="1"/>
    <x v="0"/>
    <x v="0"/>
    <x v="3"/>
    <x v="3"/>
    <x v="1"/>
    <x v="1"/>
    <x v="0"/>
    <x v="0"/>
    <n v="0"/>
    <s v="Acceptable"/>
    <s v="3 Days"/>
    <x v="5"/>
    <s v="Monday"/>
    <n v="2"/>
  </r>
  <r>
    <x v="1483"/>
    <d v="2024-05-14T00:00:00"/>
    <x v="0"/>
    <x v="1"/>
    <n v="193"/>
    <n v="55"/>
    <n v="5.8"/>
    <x v="0"/>
    <x v="2"/>
    <x v="0"/>
    <x v="1"/>
    <x v="1"/>
    <x v="1"/>
    <x v="1"/>
    <x v="0"/>
    <x v="0"/>
    <n v="1"/>
    <s v="Slow"/>
    <s v="3 Days"/>
    <x v="1"/>
    <s v="Tuesday"/>
    <n v="3"/>
  </r>
  <r>
    <x v="1484"/>
    <d v="2024-08-14T00:00:00"/>
    <x v="2"/>
    <x v="0"/>
    <n v="35"/>
    <n v="34"/>
    <n v="1.1000000000000001"/>
    <x v="1"/>
    <x v="0"/>
    <x v="0"/>
    <x v="0"/>
    <x v="0"/>
    <x v="0"/>
    <x v="0"/>
    <x v="1"/>
    <x v="0"/>
    <n v="0"/>
    <s v="Acceptable"/>
    <s v="2 Days"/>
    <x v="0"/>
    <s v="Wednesday"/>
    <n v="4"/>
  </r>
  <r>
    <x v="1485"/>
    <d v="2024-03-16T00:00:00"/>
    <x v="2"/>
    <x v="2"/>
    <n v="99"/>
    <n v="63"/>
    <n v="6.1"/>
    <x v="0"/>
    <x v="1"/>
    <x v="0"/>
    <x v="2"/>
    <x v="2"/>
    <x v="1"/>
    <x v="1"/>
    <x v="0"/>
    <x v="0"/>
    <n v="1"/>
    <s v="Acceptable"/>
    <s v="3 Days"/>
    <x v="2"/>
    <s v="Saturday"/>
    <n v="1"/>
  </r>
  <r>
    <x v="1486"/>
    <d v="2024-07-19T00:00:00"/>
    <x v="0"/>
    <x v="0"/>
    <n v="72"/>
    <n v="54"/>
    <n v="8.5"/>
    <x v="0"/>
    <x v="1"/>
    <x v="0"/>
    <x v="0"/>
    <x v="0"/>
    <x v="0"/>
    <x v="0"/>
    <x v="2"/>
    <x v="0"/>
    <n v="1"/>
    <s v="Acceptable"/>
    <s v="3 Days"/>
    <x v="10"/>
    <s v="Friday"/>
    <n v="4"/>
  </r>
  <r>
    <x v="1487"/>
    <d v="2024-09-18T00:00:00"/>
    <x v="3"/>
    <x v="1"/>
    <n v="122"/>
    <n v="43"/>
    <n v="5.4"/>
    <x v="1"/>
    <x v="0"/>
    <x v="1"/>
    <x v="1"/>
    <x v="1"/>
    <x v="0"/>
    <x v="1"/>
    <x v="0"/>
    <x v="1"/>
    <n v="0"/>
    <s v="Slow"/>
    <s v="2 Days"/>
    <x v="5"/>
    <s v="Wednesday"/>
    <n v="3"/>
  </r>
  <r>
    <x v="1488"/>
    <d v="2024-10-10T00:00:00"/>
    <x v="2"/>
    <x v="0"/>
    <n v="70"/>
    <n v="43"/>
    <n v="6.8"/>
    <x v="1"/>
    <x v="2"/>
    <x v="1"/>
    <x v="0"/>
    <x v="0"/>
    <x v="0"/>
    <x v="0"/>
    <x v="0"/>
    <x v="1"/>
    <n v="0"/>
    <s v="Acceptable"/>
    <s v="2 Days"/>
    <x v="7"/>
    <s v="Thursday"/>
    <n v="4"/>
  </r>
  <r>
    <x v="1489"/>
    <d v="2024-12-13T00:00:00"/>
    <x v="1"/>
    <x v="2"/>
    <n v="176"/>
    <n v="61"/>
    <n v="7.6"/>
    <x v="1"/>
    <x v="0"/>
    <x v="0"/>
    <x v="2"/>
    <x v="2"/>
    <x v="1"/>
    <x v="1"/>
    <x v="0"/>
    <x v="0"/>
    <n v="0"/>
    <s v="Slow"/>
    <s v="3 Days"/>
    <x v="11"/>
    <s v="Friday"/>
    <n v="1"/>
  </r>
  <r>
    <x v="1490"/>
    <d v="2024-11-09T00:00:00"/>
    <x v="4"/>
    <x v="0"/>
    <n v="164"/>
    <n v="60"/>
    <n v="0.7"/>
    <x v="0"/>
    <x v="0"/>
    <x v="0"/>
    <x v="0"/>
    <x v="0"/>
    <x v="0"/>
    <x v="0"/>
    <x v="1"/>
    <x v="0"/>
    <n v="1"/>
    <s v="Slow"/>
    <s v="3 Days"/>
    <x v="6"/>
    <s v="Saturday"/>
    <n v="4"/>
  </r>
  <r>
    <x v="1491"/>
    <d v="2024-09-09T00:00:00"/>
    <x v="1"/>
    <x v="2"/>
    <n v="188"/>
    <n v="37"/>
    <n v="3.1"/>
    <x v="0"/>
    <x v="0"/>
    <x v="0"/>
    <x v="2"/>
    <x v="2"/>
    <x v="1"/>
    <x v="1"/>
    <x v="3"/>
    <x v="0"/>
    <n v="1"/>
    <s v="Slow"/>
    <s v="2 Days"/>
    <x v="5"/>
    <s v="Monday"/>
    <n v="1"/>
  </r>
  <r>
    <x v="1492"/>
    <d v="2024-02-16T00:00:00"/>
    <x v="3"/>
    <x v="3"/>
    <n v="20"/>
    <n v="67"/>
    <n v="2.9"/>
    <x v="1"/>
    <x v="0"/>
    <x v="1"/>
    <x v="3"/>
    <x v="3"/>
    <x v="1"/>
    <x v="0"/>
    <x v="3"/>
    <x v="1"/>
    <n v="0"/>
    <s v="Very Fast"/>
    <s v="3 Days"/>
    <x v="9"/>
    <s v="Friday"/>
    <n v="2"/>
  </r>
  <r>
    <x v="1493"/>
    <d v="2024-10-19T00:00:00"/>
    <x v="2"/>
    <x v="0"/>
    <n v="8"/>
    <n v="2"/>
    <n v="2.8"/>
    <x v="1"/>
    <x v="0"/>
    <x v="2"/>
    <x v="0"/>
    <x v="0"/>
    <x v="0"/>
    <x v="0"/>
    <x v="3"/>
    <x v="2"/>
    <n v="0"/>
    <s v="Very Fast"/>
    <s v="Same Day"/>
    <x v="7"/>
    <s v="Saturday"/>
    <n v="4"/>
  </r>
  <r>
    <x v="1494"/>
    <d v="2024-08-24T00:00:00"/>
    <x v="4"/>
    <x v="1"/>
    <n v="236"/>
    <n v="68"/>
    <n v="2.8"/>
    <x v="0"/>
    <x v="0"/>
    <x v="0"/>
    <x v="1"/>
    <x v="1"/>
    <x v="1"/>
    <x v="1"/>
    <x v="3"/>
    <x v="0"/>
    <n v="1"/>
    <s v="Slow"/>
    <s v="3 Days"/>
    <x v="0"/>
    <s v="Saturday"/>
    <n v="3"/>
  </r>
  <r>
    <x v="1495"/>
    <d v="2024-01-23T00:00:00"/>
    <x v="4"/>
    <x v="2"/>
    <n v="20"/>
    <n v="13"/>
    <n v="9.6999999999999993"/>
    <x v="1"/>
    <x v="2"/>
    <x v="1"/>
    <x v="2"/>
    <x v="2"/>
    <x v="1"/>
    <x v="0"/>
    <x v="2"/>
    <x v="1"/>
    <n v="0"/>
    <s v="Very Fast"/>
    <s v="1 Day"/>
    <x v="8"/>
    <s v="Tuesday"/>
    <n v="1"/>
  </r>
  <r>
    <x v="1496"/>
    <d v="2024-11-25T00:00:00"/>
    <x v="1"/>
    <x v="1"/>
    <n v="194"/>
    <n v="70"/>
    <n v="2.8"/>
    <x v="1"/>
    <x v="1"/>
    <x v="0"/>
    <x v="1"/>
    <x v="1"/>
    <x v="1"/>
    <x v="1"/>
    <x v="3"/>
    <x v="0"/>
    <n v="0"/>
    <s v="Slow"/>
    <s v="3 Days"/>
    <x v="6"/>
    <s v="Monday"/>
    <n v="3"/>
  </r>
  <r>
    <x v="1497"/>
    <d v="2024-12-17T00:00:00"/>
    <x v="3"/>
    <x v="0"/>
    <n v="46"/>
    <n v="58"/>
    <n v="4.9000000000000004"/>
    <x v="0"/>
    <x v="1"/>
    <x v="0"/>
    <x v="0"/>
    <x v="0"/>
    <x v="0"/>
    <x v="0"/>
    <x v="3"/>
    <x v="0"/>
    <n v="1"/>
    <s v="Acceptable"/>
    <s v="3 Days"/>
    <x v="11"/>
    <s v="Tuesday"/>
    <n v="4"/>
  </r>
  <r>
    <x v="1498"/>
    <d v="2024-02-09T00:00:00"/>
    <x v="4"/>
    <x v="1"/>
    <n v="21"/>
    <n v="27"/>
    <n v="7.5"/>
    <x v="1"/>
    <x v="0"/>
    <x v="2"/>
    <x v="1"/>
    <x v="1"/>
    <x v="0"/>
    <x v="0"/>
    <x v="0"/>
    <x v="2"/>
    <n v="0"/>
    <s v="Very Fast"/>
    <s v="2 Days"/>
    <x v="9"/>
    <s v="Friday"/>
    <n v="3"/>
  </r>
  <r>
    <x v="1499"/>
    <d v="2024-04-01T00:00:00"/>
    <x v="4"/>
    <x v="2"/>
    <n v="76"/>
    <n v="70"/>
    <n v="9"/>
    <x v="0"/>
    <x v="2"/>
    <x v="0"/>
    <x v="2"/>
    <x v="2"/>
    <x v="1"/>
    <x v="1"/>
    <x v="2"/>
    <x v="0"/>
    <n v="1"/>
    <s v="Acceptable"/>
    <s v="3 Days"/>
    <x v="3"/>
    <s v="Monday"/>
    <n v="1"/>
  </r>
  <r>
    <x v="1500"/>
    <d v="2024-02-29T00:00:00"/>
    <x v="1"/>
    <x v="3"/>
    <n v="123"/>
    <n v="32"/>
    <n v="9.3000000000000007"/>
    <x v="0"/>
    <x v="0"/>
    <x v="0"/>
    <x v="3"/>
    <x v="3"/>
    <x v="1"/>
    <x v="1"/>
    <x v="2"/>
    <x v="0"/>
    <n v="1"/>
    <s v="Slow"/>
    <s v="2 Days"/>
    <x v="9"/>
    <s v="Thursday"/>
    <n v="2"/>
  </r>
  <r>
    <x v="1501"/>
    <d v="2024-08-12T00:00:00"/>
    <x v="2"/>
    <x v="1"/>
    <n v="27"/>
    <n v="64"/>
    <n v="2.5"/>
    <x v="0"/>
    <x v="0"/>
    <x v="1"/>
    <x v="1"/>
    <x v="1"/>
    <x v="1"/>
    <x v="0"/>
    <x v="3"/>
    <x v="1"/>
    <n v="1"/>
    <s v="Very Fast"/>
    <s v="3 Days"/>
    <x v="0"/>
    <s v="Monday"/>
    <n v="3"/>
  </r>
  <r>
    <x v="1502"/>
    <d v="2024-06-14T00:00:00"/>
    <x v="4"/>
    <x v="1"/>
    <n v="22"/>
    <n v="42"/>
    <n v="8.1"/>
    <x v="0"/>
    <x v="2"/>
    <x v="1"/>
    <x v="1"/>
    <x v="1"/>
    <x v="0"/>
    <x v="0"/>
    <x v="2"/>
    <x v="1"/>
    <n v="1"/>
    <s v="Very Fast"/>
    <s v="2 Days"/>
    <x v="4"/>
    <s v="Friday"/>
    <n v="3"/>
  </r>
  <r>
    <x v="1503"/>
    <d v="2024-05-18T00:00:00"/>
    <x v="0"/>
    <x v="3"/>
    <n v="81"/>
    <n v="66"/>
    <n v="5.4"/>
    <x v="0"/>
    <x v="0"/>
    <x v="0"/>
    <x v="3"/>
    <x v="3"/>
    <x v="1"/>
    <x v="1"/>
    <x v="0"/>
    <x v="0"/>
    <n v="1"/>
    <s v="Acceptable"/>
    <s v="3 Days"/>
    <x v="1"/>
    <s v="Saturday"/>
    <n v="2"/>
  </r>
  <r>
    <x v="1504"/>
    <d v="2024-09-05T00:00:00"/>
    <x v="3"/>
    <x v="3"/>
    <n v="189"/>
    <n v="13"/>
    <n v="6.1"/>
    <x v="0"/>
    <x v="2"/>
    <x v="0"/>
    <x v="3"/>
    <x v="3"/>
    <x v="0"/>
    <x v="1"/>
    <x v="0"/>
    <x v="0"/>
    <n v="1"/>
    <s v="Slow"/>
    <s v="1 Day"/>
    <x v="5"/>
    <s v="Thursday"/>
    <n v="2"/>
  </r>
  <r>
    <x v="1505"/>
    <d v="2024-05-07T00:00:00"/>
    <x v="4"/>
    <x v="2"/>
    <n v="26"/>
    <n v="25"/>
    <n v="3.1"/>
    <x v="1"/>
    <x v="1"/>
    <x v="1"/>
    <x v="2"/>
    <x v="2"/>
    <x v="1"/>
    <x v="0"/>
    <x v="3"/>
    <x v="1"/>
    <n v="0"/>
    <s v="Very Fast"/>
    <s v="2 Days"/>
    <x v="1"/>
    <s v="Tuesday"/>
    <n v="1"/>
  </r>
  <r>
    <x v="1506"/>
    <d v="2024-07-24T00:00:00"/>
    <x v="4"/>
    <x v="2"/>
    <n v="73"/>
    <n v="30"/>
    <n v="3.4"/>
    <x v="0"/>
    <x v="1"/>
    <x v="0"/>
    <x v="2"/>
    <x v="2"/>
    <x v="1"/>
    <x v="1"/>
    <x v="3"/>
    <x v="0"/>
    <n v="1"/>
    <s v="Acceptable"/>
    <s v="2 Days"/>
    <x v="10"/>
    <s v="Wednesday"/>
    <n v="1"/>
  </r>
  <r>
    <x v="1507"/>
    <d v="2024-01-09T00:00:00"/>
    <x v="3"/>
    <x v="2"/>
    <n v="180"/>
    <n v="10"/>
    <n v="5.2"/>
    <x v="0"/>
    <x v="0"/>
    <x v="0"/>
    <x v="2"/>
    <x v="2"/>
    <x v="1"/>
    <x v="1"/>
    <x v="0"/>
    <x v="0"/>
    <n v="1"/>
    <s v="Slow"/>
    <s v="1 Day"/>
    <x v="8"/>
    <s v="Tuesday"/>
    <n v="1"/>
  </r>
  <r>
    <x v="1508"/>
    <d v="2024-09-19T00:00:00"/>
    <x v="4"/>
    <x v="2"/>
    <n v="49"/>
    <n v="23"/>
    <n v="4.5"/>
    <x v="1"/>
    <x v="2"/>
    <x v="0"/>
    <x v="2"/>
    <x v="2"/>
    <x v="1"/>
    <x v="1"/>
    <x v="3"/>
    <x v="0"/>
    <n v="0"/>
    <s v="Acceptable"/>
    <s v="1 Day"/>
    <x v="5"/>
    <s v="Thursday"/>
    <n v="1"/>
  </r>
  <r>
    <x v="1509"/>
    <d v="2024-11-30T00:00:00"/>
    <x v="4"/>
    <x v="2"/>
    <n v="57"/>
    <n v="44"/>
    <n v="4.9000000000000004"/>
    <x v="1"/>
    <x v="0"/>
    <x v="0"/>
    <x v="2"/>
    <x v="2"/>
    <x v="1"/>
    <x v="1"/>
    <x v="3"/>
    <x v="0"/>
    <n v="0"/>
    <s v="Acceptable"/>
    <s v="2 Days"/>
    <x v="6"/>
    <s v="Saturday"/>
    <n v="1"/>
  </r>
  <r>
    <x v="1510"/>
    <d v="2024-01-24T00:00:00"/>
    <x v="4"/>
    <x v="3"/>
    <n v="25"/>
    <n v="2"/>
    <n v="7.7"/>
    <x v="1"/>
    <x v="1"/>
    <x v="2"/>
    <x v="3"/>
    <x v="3"/>
    <x v="0"/>
    <x v="0"/>
    <x v="0"/>
    <x v="2"/>
    <n v="0"/>
    <s v="Very Fast"/>
    <s v="Same Day"/>
    <x v="8"/>
    <s v="Wednesday"/>
    <n v="2"/>
  </r>
  <r>
    <x v="1511"/>
    <d v="2024-07-29T00:00:00"/>
    <x v="0"/>
    <x v="1"/>
    <n v="93"/>
    <n v="19"/>
    <n v="7.4"/>
    <x v="1"/>
    <x v="0"/>
    <x v="1"/>
    <x v="1"/>
    <x v="1"/>
    <x v="0"/>
    <x v="0"/>
    <x v="0"/>
    <x v="1"/>
    <n v="0"/>
    <s v="Acceptable"/>
    <s v="1 Day"/>
    <x v="10"/>
    <s v="Monday"/>
    <n v="3"/>
  </r>
  <r>
    <x v="1512"/>
    <d v="2024-10-27T00:00:00"/>
    <x v="4"/>
    <x v="1"/>
    <n v="54"/>
    <n v="5"/>
    <n v="2.8"/>
    <x v="0"/>
    <x v="0"/>
    <x v="1"/>
    <x v="1"/>
    <x v="1"/>
    <x v="0"/>
    <x v="0"/>
    <x v="3"/>
    <x v="1"/>
    <n v="1"/>
    <s v="Acceptable"/>
    <s v="Same Day"/>
    <x v="7"/>
    <s v="Sunday"/>
    <n v="3"/>
  </r>
  <r>
    <x v="1513"/>
    <d v="2024-01-19T00:00:00"/>
    <x v="0"/>
    <x v="1"/>
    <n v="50"/>
    <n v="15"/>
    <n v="5.0999999999999996"/>
    <x v="0"/>
    <x v="0"/>
    <x v="0"/>
    <x v="1"/>
    <x v="1"/>
    <x v="0"/>
    <x v="0"/>
    <x v="0"/>
    <x v="0"/>
    <n v="1"/>
    <s v="Acceptable"/>
    <s v="1 Day"/>
    <x v="8"/>
    <s v="Friday"/>
    <n v="3"/>
  </r>
  <r>
    <x v="1514"/>
    <d v="2024-01-23T00:00:00"/>
    <x v="2"/>
    <x v="3"/>
    <n v="53"/>
    <n v="71"/>
    <n v="7.7"/>
    <x v="0"/>
    <x v="1"/>
    <x v="0"/>
    <x v="3"/>
    <x v="3"/>
    <x v="1"/>
    <x v="0"/>
    <x v="0"/>
    <x v="0"/>
    <n v="1"/>
    <s v="Acceptable"/>
    <s v="3 Days"/>
    <x v="8"/>
    <s v="Tuesday"/>
    <n v="2"/>
  </r>
  <r>
    <x v="1515"/>
    <d v="2024-05-19T00:00:00"/>
    <x v="1"/>
    <x v="1"/>
    <n v="115"/>
    <n v="19"/>
    <n v="9.9"/>
    <x v="1"/>
    <x v="1"/>
    <x v="1"/>
    <x v="1"/>
    <x v="1"/>
    <x v="0"/>
    <x v="0"/>
    <x v="2"/>
    <x v="1"/>
    <n v="0"/>
    <s v="Acceptable"/>
    <s v="1 Day"/>
    <x v="1"/>
    <s v="Sunday"/>
    <n v="3"/>
  </r>
  <r>
    <x v="1516"/>
    <d v="2024-09-21T00:00:00"/>
    <x v="1"/>
    <x v="0"/>
    <n v="92"/>
    <n v="9"/>
    <n v="2.2000000000000002"/>
    <x v="1"/>
    <x v="1"/>
    <x v="0"/>
    <x v="0"/>
    <x v="0"/>
    <x v="0"/>
    <x v="0"/>
    <x v="3"/>
    <x v="0"/>
    <n v="0"/>
    <s v="Acceptable"/>
    <s v="1 Day"/>
    <x v="5"/>
    <s v="Saturday"/>
    <n v="4"/>
  </r>
  <r>
    <x v="1517"/>
    <d v="2024-11-05T00:00:00"/>
    <x v="4"/>
    <x v="1"/>
    <n v="92"/>
    <n v="11"/>
    <n v="8.3000000000000007"/>
    <x v="1"/>
    <x v="1"/>
    <x v="1"/>
    <x v="1"/>
    <x v="1"/>
    <x v="0"/>
    <x v="0"/>
    <x v="2"/>
    <x v="1"/>
    <n v="0"/>
    <s v="Acceptable"/>
    <s v="1 Day"/>
    <x v="6"/>
    <s v="Tuesday"/>
    <n v="3"/>
  </r>
  <r>
    <x v="1518"/>
    <d v="2024-07-28T00:00:00"/>
    <x v="0"/>
    <x v="3"/>
    <n v="181"/>
    <n v="25"/>
    <n v="6.9"/>
    <x v="0"/>
    <x v="0"/>
    <x v="0"/>
    <x v="3"/>
    <x v="3"/>
    <x v="1"/>
    <x v="1"/>
    <x v="0"/>
    <x v="0"/>
    <n v="1"/>
    <s v="Slow"/>
    <s v="2 Days"/>
    <x v="10"/>
    <s v="Sunday"/>
    <n v="2"/>
  </r>
  <r>
    <x v="1519"/>
    <d v="2024-06-30T00:00:00"/>
    <x v="1"/>
    <x v="3"/>
    <n v="71"/>
    <n v="9"/>
    <n v="1.9"/>
    <x v="0"/>
    <x v="2"/>
    <x v="0"/>
    <x v="3"/>
    <x v="3"/>
    <x v="0"/>
    <x v="1"/>
    <x v="1"/>
    <x v="0"/>
    <n v="1"/>
    <s v="Acceptable"/>
    <s v="1 Day"/>
    <x v="4"/>
    <s v="Sunday"/>
    <n v="2"/>
  </r>
  <r>
    <x v="1520"/>
    <d v="2024-12-20T00:00:00"/>
    <x v="2"/>
    <x v="3"/>
    <n v="35"/>
    <n v="47"/>
    <n v="7.9"/>
    <x v="1"/>
    <x v="0"/>
    <x v="0"/>
    <x v="3"/>
    <x v="3"/>
    <x v="1"/>
    <x v="0"/>
    <x v="0"/>
    <x v="0"/>
    <n v="0"/>
    <s v="Acceptable"/>
    <s v="2 Days"/>
    <x v="11"/>
    <s v="Friday"/>
    <n v="2"/>
  </r>
  <r>
    <x v="1521"/>
    <d v="2024-01-16T00:00:00"/>
    <x v="1"/>
    <x v="0"/>
    <n v="144"/>
    <n v="57"/>
    <n v="3.7"/>
    <x v="0"/>
    <x v="1"/>
    <x v="0"/>
    <x v="0"/>
    <x v="0"/>
    <x v="0"/>
    <x v="0"/>
    <x v="3"/>
    <x v="0"/>
    <n v="1"/>
    <s v="Slow"/>
    <s v="3 Days"/>
    <x v="8"/>
    <s v="Tuesday"/>
    <n v="4"/>
  </r>
  <r>
    <x v="1522"/>
    <d v="2024-12-12T00:00:00"/>
    <x v="4"/>
    <x v="1"/>
    <n v="104"/>
    <n v="29"/>
    <n v="2.7"/>
    <x v="0"/>
    <x v="0"/>
    <x v="0"/>
    <x v="1"/>
    <x v="1"/>
    <x v="0"/>
    <x v="0"/>
    <x v="3"/>
    <x v="0"/>
    <n v="1"/>
    <s v="Acceptable"/>
    <s v="2 Days"/>
    <x v="11"/>
    <s v="Thursday"/>
    <n v="3"/>
  </r>
  <r>
    <x v="1523"/>
    <d v="2024-05-15T00:00:00"/>
    <x v="1"/>
    <x v="3"/>
    <n v="173"/>
    <n v="50"/>
    <n v="8.6999999999999993"/>
    <x v="1"/>
    <x v="0"/>
    <x v="0"/>
    <x v="3"/>
    <x v="3"/>
    <x v="1"/>
    <x v="1"/>
    <x v="2"/>
    <x v="0"/>
    <n v="0"/>
    <s v="Slow"/>
    <s v="3 Days"/>
    <x v="1"/>
    <s v="Wednesday"/>
    <n v="2"/>
  </r>
  <r>
    <x v="1524"/>
    <d v="2024-11-23T00:00:00"/>
    <x v="0"/>
    <x v="3"/>
    <n v="208"/>
    <n v="33"/>
    <n v="3"/>
    <x v="1"/>
    <x v="1"/>
    <x v="0"/>
    <x v="3"/>
    <x v="3"/>
    <x v="1"/>
    <x v="1"/>
    <x v="3"/>
    <x v="0"/>
    <n v="0"/>
    <s v="Slow"/>
    <s v="2 Days"/>
    <x v="6"/>
    <s v="Saturday"/>
    <n v="2"/>
  </r>
  <r>
    <x v="1525"/>
    <d v="2024-04-07T00:00:00"/>
    <x v="4"/>
    <x v="0"/>
    <n v="119"/>
    <n v="12"/>
    <n v="1"/>
    <x v="0"/>
    <x v="2"/>
    <x v="0"/>
    <x v="0"/>
    <x v="0"/>
    <x v="0"/>
    <x v="0"/>
    <x v="1"/>
    <x v="0"/>
    <n v="1"/>
    <s v="Acceptable"/>
    <s v="1 Day"/>
    <x v="3"/>
    <s v="Sunday"/>
    <n v="4"/>
  </r>
  <r>
    <x v="1526"/>
    <d v="2024-05-27T00:00:00"/>
    <x v="4"/>
    <x v="1"/>
    <n v="143"/>
    <n v="13"/>
    <n v="6.2"/>
    <x v="1"/>
    <x v="1"/>
    <x v="1"/>
    <x v="1"/>
    <x v="1"/>
    <x v="0"/>
    <x v="1"/>
    <x v="0"/>
    <x v="1"/>
    <n v="0"/>
    <s v="Slow"/>
    <s v="1 Day"/>
    <x v="1"/>
    <s v="Monday"/>
    <n v="3"/>
  </r>
  <r>
    <x v="1527"/>
    <d v="2024-01-19T00:00:00"/>
    <x v="2"/>
    <x v="0"/>
    <n v="50"/>
    <n v="40"/>
    <n v="2.7"/>
    <x v="0"/>
    <x v="1"/>
    <x v="0"/>
    <x v="0"/>
    <x v="0"/>
    <x v="0"/>
    <x v="0"/>
    <x v="3"/>
    <x v="0"/>
    <n v="1"/>
    <s v="Acceptable"/>
    <s v="2 Days"/>
    <x v="8"/>
    <s v="Friday"/>
    <n v="4"/>
  </r>
  <r>
    <x v="1528"/>
    <d v="2024-07-17T00:00:00"/>
    <x v="1"/>
    <x v="2"/>
    <n v="66"/>
    <n v="52"/>
    <n v="4.3"/>
    <x v="1"/>
    <x v="2"/>
    <x v="0"/>
    <x v="2"/>
    <x v="2"/>
    <x v="1"/>
    <x v="1"/>
    <x v="3"/>
    <x v="0"/>
    <n v="0"/>
    <s v="Acceptable"/>
    <s v="3 Days"/>
    <x v="10"/>
    <s v="Wednesday"/>
    <n v="1"/>
  </r>
  <r>
    <x v="1529"/>
    <d v="2024-10-20T00:00:00"/>
    <x v="3"/>
    <x v="1"/>
    <n v="229"/>
    <n v="72"/>
    <n v="1.8"/>
    <x v="1"/>
    <x v="1"/>
    <x v="0"/>
    <x v="1"/>
    <x v="1"/>
    <x v="1"/>
    <x v="1"/>
    <x v="1"/>
    <x v="0"/>
    <n v="0"/>
    <s v="Slow"/>
    <s v="3 Days"/>
    <x v="7"/>
    <s v="Sunday"/>
    <n v="3"/>
  </r>
  <r>
    <x v="1530"/>
    <d v="2024-07-15T00:00:00"/>
    <x v="1"/>
    <x v="0"/>
    <n v="229"/>
    <n v="20"/>
    <n v="1.4"/>
    <x v="1"/>
    <x v="0"/>
    <x v="0"/>
    <x v="0"/>
    <x v="0"/>
    <x v="0"/>
    <x v="0"/>
    <x v="1"/>
    <x v="0"/>
    <n v="0"/>
    <s v="Slow"/>
    <s v="1 Day"/>
    <x v="10"/>
    <s v="Monday"/>
    <n v="4"/>
  </r>
  <r>
    <x v="1531"/>
    <d v="2024-05-18T00:00:00"/>
    <x v="3"/>
    <x v="2"/>
    <n v="98"/>
    <n v="31"/>
    <n v="6.9"/>
    <x v="0"/>
    <x v="1"/>
    <x v="0"/>
    <x v="2"/>
    <x v="2"/>
    <x v="1"/>
    <x v="1"/>
    <x v="0"/>
    <x v="0"/>
    <n v="1"/>
    <s v="Acceptable"/>
    <s v="2 Days"/>
    <x v="1"/>
    <s v="Saturday"/>
    <n v="1"/>
  </r>
  <r>
    <x v="1532"/>
    <d v="2024-03-17T00:00:00"/>
    <x v="0"/>
    <x v="3"/>
    <n v="149"/>
    <n v="23"/>
    <n v="5.7"/>
    <x v="1"/>
    <x v="0"/>
    <x v="0"/>
    <x v="3"/>
    <x v="3"/>
    <x v="0"/>
    <x v="1"/>
    <x v="0"/>
    <x v="0"/>
    <n v="0"/>
    <s v="Slow"/>
    <s v="1 Day"/>
    <x v="2"/>
    <s v="Sunday"/>
    <n v="2"/>
  </r>
  <r>
    <x v="1533"/>
    <d v="2024-02-18T00:00:00"/>
    <x v="3"/>
    <x v="0"/>
    <n v="16"/>
    <n v="10"/>
    <n v="7.9"/>
    <x v="0"/>
    <x v="0"/>
    <x v="1"/>
    <x v="0"/>
    <x v="0"/>
    <x v="0"/>
    <x v="0"/>
    <x v="0"/>
    <x v="1"/>
    <n v="1"/>
    <s v="Very Fast"/>
    <s v="1 Day"/>
    <x v="9"/>
    <s v="Sunday"/>
    <n v="4"/>
  </r>
  <r>
    <x v="1534"/>
    <d v="2024-11-17T00:00:00"/>
    <x v="3"/>
    <x v="0"/>
    <n v="118"/>
    <n v="42"/>
    <n v="3.2"/>
    <x v="1"/>
    <x v="2"/>
    <x v="0"/>
    <x v="0"/>
    <x v="0"/>
    <x v="0"/>
    <x v="0"/>
    <x v="3"/>
    <x v="0"/>
    <n v="0"/>
    <s v="Acceptable"/>
    <s v="2 Days"/>
    <x v="6"/>
    <s v="Sunday"/>
    <n v="4"/>
  </r>
  <r>
    <x v="1535"/>
    <d v="2024-10-04T00:00:00"/>
    <x v="1"/>
    <x v="2"/>
    <n v="124"/>
    <n v="21"/>
    <n v="5.6"/>
    <x v="1"/>
    <x v="2"/>
    <x v="0"/>
    <x v="2"/>
    <x v="2"/>
    <x v="1"/>
    <x v="1"/>
    <x v="0"/>
    <x v="0"/>
    <n v="0"/>
    <s v="Slow"/>
    <s v="1 Day"/>
    <x v="7"/>
    <s v="Friday"/>
    <n v="1"/>
  </r>
  <r>
    <x v="1536"/>
    <d v="2024-02-26T00:00:00"/>
    <x v="4"/>
    <x v="2"/>
    <n v="218"/>
    <n v="16"/>
    <n v="4.9000000000000004"/>
    <x v="1"/>
    <x v="2"/>
    <x v="0"/>
    <x v="2"/>
    <x v="2"/>
    <x v="1"/>
    <x v="1"/>
    <x v="3"/>
    <x v="0"/>
    <n v="0"/>
    <s v="Slow"/>
    <s v="1 Day"/>
    <x v="9"/>
    <s v="Monday"/>
    <n v="1"/>
  </r>
  <r>
    <x v="1537"/>
    <d v="2024-02-17T00:00:00"/>
    <x v="3"/>
    <x v="1"/>
    <n v="115"/>
    <n v="28"/>
    <n v="2"/>
    <x v="0"/>
    <x v="1"/>
    <x v="0"/>
    <x v="1"/>
    <x v="1"/>
    <x v="0"/>
    <x v="0"/>
    <x v="1"/>
    <x v="0"/>
    <n v="1"/>
    <s v="Acceptable"/>
    <s v="2 Days"/>
    <x v="9"/>
    <s v="Saturday"/>
    <n v="3"/>
  </r>
  <r>
    <x v="1538"/>
    <d v="2024-02-03T00:00:00"/>
    <x v="4"/>
    <x v="0"/>
    <n v="122"/>
    <n v="24"/>
    <n v="4.0999999999999996"/>
    <x v="1"/>
    <x v="0"/>
    <x v="0"/>
    <x v="0"/>
    <x v="0"/>
    <x v="0"/>
    <x v="0"/>
    <x v="3"/>
    <x v="0"/>
    <n v="0"/>
    <s v="Slow"/>
    <s v="1 Day"/>
    <x v="9"/>
    <s v="Saturday"/>
    <n v="4"/>
  </r>
  <r>
    <x v="1539"/>
    <d v="2024-11-12T00:00:00"/>
    <x v="4"/>
    <x v="3"/>
    <n v="64"/>
    <n v="14"/>
    <n v="4.9000000000000004"/>
    <x v="1"/>
    <x v="2"/>
    <x v="0"/>
    <x v="3"/>
    <x v="3"/>
    <x v="0"/>
    <x v="1"/>
    <x v="3"/>
    <x v="0"/>
    <n v="0"/>
    <s v="Acceptable"/>
    <s v="1 Day"/>
    <x v="6"/>
    <s v="Tuesday"/>
    <n v="2"/>
  </r>
  <r>
    <x v="1540"/>
    <d v="2024-07-19T00:00:00"/>
    <x v="1"/>
    <x v="1"/>
    <n v="173"/>
    <n v="55"/>
    <n v="1.7"/>
    <x v="0"/>
    <x v="1"/>
    <x v="0"/>
    <x v="1"/>
    <x v="1"/>
    <x v="1"/>
    <x v="1"/>
    <x v="1"/>
    <x v="0"/>
    <n v="1"/>
    <s v="Slow"/>
    <s v="3 Days"/>
    <x v="10"/>
    <s v="Friday"/>
    <n v="3"/>
  </r>
  <r>
    <x v="1541"/>
    <d v="2024-03-18T00:00:00"/>
    <x v="1"/>
    <x v="3"/>
    <n v="30"/>
    <n v="29"/>
    <n v="2.1"/>
    <x v="1"/>
    <x v="0"/>
    <x v="1"/>
    <x v="3"/>
    <x v="3"/>
    <x v="1"/>
    <x v="0"/>
    <x v="3"/>
    <x v="1"/>
    <n v="0"/>
    <s v="Very Fast"/>
    <s v="2 Days"/>
    <x v="2"/>
    <s v="Monday"/>
    <n v="2"/>
  </r>
  <r>
    <x v="1542"/>
    <d v="2024-08-22T00:00:00"/>
    <x v="1"/>
    <x v="1"/>
    <n v="186"/>
    <n v="37"/>
    <n v="5.4"/>
    <x v="0"/>
    <x v="1"/>
    <x v="0"/>
    <x v="1"/>
    <x v="1"/>
    <x v="0"/>
    <x v="1"/>
    <x v="0"/>
    <x v="0"/>
    <n v="1"/>
    <s v="Slow"/>
    <s v="2 Days"/>
    <x v="0"/>
    <s v="Thursday"/>
    <n v="3"/>
  </r>
  <r>
    <x v="1543"/>
    <d v="2024-07-18T00:00:00"/>
    <x v="3"/>
    <x v="0"/>
    <n v="45"/>
    <n v="21"/>
    <n v="6.6"/>
    <x v="1"/>
    <x v="2"/>
    <x v="1"/>
    <x v="0"/>
    <x v="0"/>
    <x v="0"/>
    <x v="0"/>
    <x v="0"/>
    <x v="1"/>
    <n v="0"/>
    <s v="Acceptable"/>
    <s v="1 Day"/>
    <x v="10"/>
    <s v="Thursday"/>
    <n v="4"/>
  </r>
  <r>
    <x v="1544"/>
    <d v="2024-09-14T00:00:00"/>
    <x v="0"/>
    <x v="2"/>
    <n v="135"/>
    <n v="57"/>
    <n v="9.4"/>
    <x v="1"/>
    <x v="2"/>
    <x v="0"/>
    <x v="2"/>
    <x v="2"/>
    <x v="1"/>
    <x v="1"/>
    <x v="2"/>
    <x v="0"/>
    <n v="0"/>
    <s v="Slow"/>
    <s v="3 Days"/>
    <x v="5"/>
    <s v="Saturday"/>
    <n v="1"/>
  </r>
  <r>
    <x v="1545"/>
    <d v="2024-12-20T00:00:00"/>
    <x v="0"/>
    <x v="3"/>
    <n v="186"/>
    <n v="61"/>
    <n v="4.7"/>
    <x v="0"/>
    <x v="1"/>
    <x v="0"/>
    <x v="3"/>
    <x v="3"/>
    <x v="1"/>
    <x v="1"/>
    <x v="3"/>
    <x v="0"/>
    <n v="1"/>
    <s v="Slow"/>
    <s v="3 Days"/>
    <x v="11"/>
    <s v="Friday"/>
    <n v="2"/>
  </r>
  <r>
    <x v="1546"/>
    <d v="2024-04-21T00:00:00"/>
    <x v="0"/>
    <x v="3"/>
    <n v="93"/>
    <n v="2"/>
    <n v="6.9"/>
    <x v="1"/>
    <x v="2"/>
    <x v="1"/>
    <x v="3"/>
    <x v="3"/>
    <x v="0"/>
    <x v="1"/>
    <x v="0"/>
    <x v="1"/>
    <n v="0"/>
    <s v="Acceptable"/>
    <s v="Same Day"/>
    <x v="3"/>
    <s v="Sunday"/>
    <n v="2"/>
  </r>
  <r>
    <x v="1547"/>
    <d v="2024-08-15T00:00:00"/>
    <x v="3"/>
    <x v="1"/>
    <n v="93"/>
    <n v="64"/>
    <n v="5.4"/>
    <x v="1"/>
    <x v="2"/>
    <x v="1"/>
    <x v="1"/>
    <x v="1"/>
    <x v="1"/>
    <x v="0"/>
    <x v="0"/>
    <x v="1"/>
    <n v="0"/>
    <s v="Acceptable"/>
    <s v="3 Days"/>
    <x v="0"/>
    <s v="Thursday"/>
    <n v="3"/>
  </r>
  <r>
    <x v="1548"/>
    <d v="2024-07-15T00:00:00"/>
    <x v="3"/>
    <x v="0"/>
    <n v="71"/>
    <n v="14"/>
    <n v="0.9"/>
    <x v="1"/>
    <x v="1"/>
    <x v="0"/>
    <x v="0"/>
    <x v="0"/>
    <x v="0"/>
    <x v="0"/>
    <x v="1"/>
    <x v="0"/>
    <n v="0"/>
    <s v="Acceptable"/>
    <s v="1 Day"/>
    <x v="10"/>
    <s v="Monday"/>
    <n v="4"/>
  </r>
  <r>
    <x v="1549"/>
    <d v="2024-12-20T00:00:00"/>
    <x v="2"/>
    <x v="0"/>
    <n v="210"/>
    <n v="43"/>
    <n v="5"/>
    <x v="1"/>
    <x v="2"/>
    <x v="1"/>
    <x v="0"/>
    <x v="0"/>
    <x v="0"/>
    <x v="0"/>
    <x v="3"/>
    <x v="1"/>
    <n v="0"/>
    <s v="Slow"/>
    <s v="2 Days"/>
    <x v="11"/>
    <s v="Friday"/>
    <n v="4"/>
  </r>
  <r>
    <x v="1550"/>
    <d v="2024-04-06T00:00:00"/>
    <x v="0"/>
    <x v="1"/>
    <n v="142"/>
    <n v="40"/>
    <n v="4.3"/>
    <x v="0"/>
    <x v="2"/>
    <x v="0"/>
    <x v="1"/>
    <x v="1"/>
    <x v="0"/>
    <x v="1"/>
    <x v="3"/>
    <x v="0"/>
    <n v="1"/>
    <s v="Slow"/>
    <s v="2 Days"/>
    <x v="3"/>
    <s v="Saturday"/>
    <n v="3"/>
  </r>
  <r>
    <x v="1551"/>
    <d v="2024-09-17T00:00:00"/>
    <x v="4"/>
    <x v="2"/>
    <n v="157"/>
    <n v="12"/>
    <n v="1.4"/>
    <x v="0"/>
    <x v="1"/>
    <x v="0"/>
    <x v="2"/>
    <x v="2"/>
    <x v="1"/>
    <x v="1"/>
    <x v="1"/>
    <x v="0"/>
    <n v="1"/>
    <s v="Slow"/>
    <s v="1 Day"/>
    <x v="5"/>
    <s v="Tuesday"/>
    <n v="1"/>
  </r>
  <r>
    <x v="1552"/>
    <d v="2024-11-10T00:00:00"/>
    <x v="4"/>
    <x v="3"/>
    <n v="33"/>
    <n v="2"/>
    <n v="4"/>
    <x v="0"/>
    <x v="2"/>
    <x v="0"/>
    <x v="3"/>
    <x v="3"/>
    <x v="0"/>
    <x v="0"/>
    <x v="3"/>
    <x v="0"/>
    <n v="1"/>
    <s v="Acceptable"/>
    <s v="Same Day"/>
    <x v="6"/>
    <s v="Sunday"/>
    <n v="2"/>
  </r>
  <r>
    <x v="1553"/>
    <d v="2024-09-13T00:00:00"/>
    <x v="1"/>
    <x v="3"/>
    <n v="87"/>
    <n v="52"/>
    <n v="5.5"/>
    <x v="0"/>
    <x v="1"/>
    <x v="0"/>
    <x v="3"/>
    <x v="3"/>
    <x v="1"/>
    <x v="1"/>
    <x v="0"/>
    <x v="0"/>
    <n v="1"/>
    <s v="Acceptable"/>
    <s v="3 Days"/>
    <x v="5"/>
    <s v="Friday"/>
    <n v="2"/>
  </r>
  <r>
    <x v="1554"/>
    <d v="2024-01-21T00:00:00"/>
    <x v="0"/>
    <x v="3"/>
    <n v="235"/>
    <n v="38"/>
    <n v="1.1000000000000001"/>
    <x v="1"/>
    <x v="2"/>
    <x v="0"/>
    <x v="3"/>
    <x v="3"/>
    <x v="1"/>
    <x v="1"/>
    <x v="1"/>
    <x v="0"/>
    <n v="0"/>
    <s v="Slow"/>
    <s v="2 Days"/>
    <x v="8"/>
    <s v="Sunday"/>
    <n v="2"/>
  </r>
  <r>
    <x v="1555"/>
    <d v="2024-11-13T00:00:00"/>
    <x v="0"/>
    <x v="0"/>
    <n v="13"/>
    <n v="63"/>
    <n v="3.5"/>
    <x v="1"/>
    <x v="1"/>
    <x v="1"/>
    <x v="0"/>
    <x v="0"/>
    <x v="0"/>
    <x v="0"/>
    <x v="3"/>
    <x v="1"/>
    <n v="0"/>
    <s v="Very Fast"/>
    <s v="3 Days"/>
    <x v="6"/>
    <s v="Wednesday"/>
    <n v="4"/>
  </r>
  <r>
    <x v="1556"/>
    <d v="2024-01-01T00:00:00"/>
    <x v="2"/>
    <x v="2"/>
    <n v="75"/>
    <n v="24"/>
    <n v="7.1"/>
    <x v="1"/>
    <x v="0"/>
    <x v="0"/>
    <x v="2"/>
    <x v="2"/>
    <x v="1"/>
    <x v="1"/>
    <x v="0"/>
    <x v="0"/>
    <n v="0"/>
    <s v="Acceptable"/>
    <s v="1 Day"/>
    <x v="8"/>
    <s v="Monday"/>
    <n v="1"/>
  </r>
  <r>
    <x v="1557"/>
    <d v="2024-06-26T00:00:00"/>
    <x v="0"/>
    <x v="0"/>
    <n v="145"/>
    <n v="19"/>
    <n v="1.7"/>
    <x v="1"/>
    <x v="1"/>
    <x v="0"/>
    <x v="0"/>
    <x v="0"/>
    <x v="0"/>
    <x v="0"/>
    <x v="1"/>
    <x v="0"/>
    <n v="0"/>
    <s v="Slow"/>
    <s v="1 Day"/>
    <x v="4"/>
    <s v="Wednesday"/>
    <n v="4"/>
  </r>
  <r>
    <x v="1558"/>
    <d v="2024-04-02T00:00:00"/>
    <x v="2"/>
    <x v="1"/>
    <n v="173"/>
    <n v="13"/>
    <n v="4.2"/>
    <x v="0"/>
    <x v="1"/>
    <x v="0"/>
    <x v="1"/>
    <x v="1"/>
    <x v="0"/>
    <x v="1"/>
    <x v="3"/>
    <x v="0"/>
    <n v="1"/>
    <s v="Slow"/>
    <s v="1 Day"/>
    <x v="3"/>
    <s v="Tuesday"/>
    <n v="3"/>
  </r>
  <r>
    <x v="1559"/>
    <d v="2024-08-07T00:00:00"/>
    <x v="0"/>
    <x v="2"/>
    <n v="49"/>
    <n v="61"/>
    <n v="4.4000000000000004"/>
    <x v="0"/>
    <x v="0"/>
    <x v="0"/>
    <x v="2"/>
    <x v="2"/>
    <x v="1"/>
    <x v="1"/>
    <x v="3"/>
    <x v="0"/>
    <n v="1"/>
    <s v="Acceptable"/>
    <s v="3 Days"/>
    <x v="0"/>
    <s v="Wednesday"/>
    <n v="1"/>
  </r>
  <r>
    <x v="1560"/>
    <d v="2024-01-06T00:00:00"/>
    <x v="0"/>
    <x v="3"/>
    <n v="146"/>
    <n v="16"/>
    <n v="8.8000000000000007"/>
    <x v="1"/>
    <x v="0"/>
    <x v="0"/>
    <x v="3"/>
    <x v="3"/>
    <x v="0"/>
    <x v="1"/>
    <x v="2"/>
    <x v="0"/>
    <n v="0"/>
    <s v="Slow"/>
    <s v="1 Day"/>
    <x v="8"/>
    <s v="Saturday"/>
    <n v="2"/>
  </r>
  <r>
    <x v="1561"/>
    <d v="2024-02-12T00:00:00"/>
    <x v="4"/>
    <x v="1"/>
    <n v="152"/>
    <n v="13"/>
    <n v="3.5"/>
    <x v="0"/>
    <x v="0"/>
    <x v="0"/>
    <x v="1"/>
    <x v="1"/>
    <x v="0"/>
    <x v="1"/>
    <x v="3"/>
    <x v="0"/>
    <n v="1"/>
    <s v="Slow"/>
    <s v="1 Day"/>
    <x v="9"/>
    <s v="Monday"/>
    <n v="3"/>
  </r>
  <r>
    <x v="1562"/>
    <d v="2024-12-11T00:00:00"/>
    <x v="4"/>
    <x v="3"/>
    <n v="78"/>
    <n v="15"/>
    <n v="9.6"/>
    <x v="1"/>
    <x v="2"/>
    <x v="0"/>
    <x v="3"/>
    <x v="3"/>
    <x v="0"/>
    <x v="1"/>
    <x v="2"/>
    <x v="0"/>
    <n v="0"/>
    <s v="Acceptable"/>
    <s v="1 Day"/>
    <x v="11"/>
    <s v="Wednesday"/>
    <n v="2"/>
  </r>
  <r>
    <x v="1563"/>
    <d v="2024-11-28T00:00:00"/>
    <x v="1"/>
    <x v="3"/>
    <n v="86"/>
    <n v="68"/>
    <n v="4"/>
    <x v="1"/>
    <x v="1"/>
    <x v="0"/>
    <x v="3"/>
    <x v="3"/>
    <x v="1"/>
    <x v="1"/>
    <x v="3"/>
    <x v="0"/>
    <n v="0"/>
    <s v="Acceptable"/>
    <s v="3 Days"/>
    <x v="6"/>
    <s v="Thursday"/>
    <n v="2"/>
  </r>
  <r>
    <x v="1564"/>
    <d v="2024-06-26T00:00:00"/>
    <x v="2"/>
    <x v="0"/>
    <n v="207"/>
    <n v="68"/>
    <n v="8.1"/>
    <x v="0"/>
    <x v="2"/>
    <x v="0"/>
    <x v="0"/>
    <x v="0"/>
    <x v="0"/>
    <x v="0"/>
    <x v="2"/>
    <x v="0"/>
    <n v="1"/>
    <s v="Slow"/>
    <s v="3 Days"/>
    <x v="4"/>
    <s v="Wednesday"/>
    <n v="4"/>
  </r>
  <r>
    <x v="1565"/>
    <d v="2024-01-07T00:00:00"/>
    <x v="2"/>
    <x v="0"/>
    <n v="9"/>
    <n v="33"/>
    <n v="3.2"/>
    <x v="1"/>
    <x v="1"/>
    <x v="1"/>
    <x v="0"/>
    <x v="0"/>
    <x v="0"/>
    <x v="0"/>
    <x v="3"/>
    <x v="1"/>
    <n v="0"/>
    <s v="Very Fast"/>
    <s v="2 Days"/>
    <x v="8"/>
    <s v="Sunday"/>
    <n v="4"/>
  </r>
  <r>
    <x v="1566"/>
    <d v="2024-01-20T00:00:00"/>
    <x v="1"/>
    <x v="0"/>
    <n v="189"/>
    <n v="48"/>
    <n v="9.6999999999999993"/>
    <x v="0"/>
    <x v="0"/>
    <x v="0"/>
    <x v="0"/>
    <x v="0"/>
    <x v="0"/>
    <x v="0"/>
    <x v="2"/>
    <x v="0"/>
    <n v="1"/>
    <s v="Slow"/>
    <s v="2 Days"/>
    <x v="8"/>
    <s v="Saturday"/>
    <n v="4"/>
  </r>
  <r>
    <x v="1567"/>
    <d v="2024-10-13T00:00:00"/>
    <x v="2"/>
    <x v="0"/>
    <n v="153"/>
    <n v="20"/>
    <n v="2.7"/>
    <x v="0"/>
    <x v="1"/>
    <x v="0"/>
    <x v="0"/>
    <x v="0"/>
    <x v="0"/>
    <x v="0"/>
    <x v="3"/>
    <x v="0"/>
    <n v="1"/>
    <s v="Slow"/>
    <s v="1 Day"/>
    <x v="7"/>
    <s v="Sunday"/>
    <n v="4"/>
  </r>
  <r>
    <x v="1568"/>
    <d v="2024-10-05T00:00:00"/>
    <x v="4"/>
    <x v="2"/>
    <n v="150"/>
    <n v="63"/>
    <n v="9.4"/>
    <x v="0"/>
    <x v="0"/>
    <x v="0"/>
    <x v="2"/>
    <x v="2"/>
    <x v="1"/>
    <x v="1"/>
    <x v="2"/>
    <x v="0"/>
    <n v="1"/>
    <s v="Slow"/>
    <s v="3 Days"/>
    <x v="7"/>
    <s v="Saturday"/>
    <n v="1"/>
  </r>
  <r>
    <x v="1569"/>
    <d v="2024-09-26T00:00:00"/>
    <x v="1"/>
    <x v="0"/>
    <n v="104"/>
    <n v="50"/>
    <n v="3"/>
    <x v="1"/>
    <x v="0"/>
    <x v="0"/>
    <x v="0"/>
    <x v="0"/>
    <x v="0"/>
    <x v="0"/>
    <x v="3"/>
    <x v="0"/>
    <n v="0"/>
    <s v="Acceptable"/>
    <s v="3 Days"/>
    <x v="5"/>
    <s v="Thursday"/>
    <n v="4"/>
  </r>
  <r>
    <x v="1570"/>
    <d v="2024-06-01T00:00:00"/>
    <x v="3"/>
    <x v="0"/>
    <n v="183"/>
    <n v="48"/>
    <n v="8.4"/>
    <x v="0"/>
    <x v="0"/>
    <x v="0"/>
    <x v="0"/>
    <x v="0"/>
    <x v="0"/>
    <x v="0"/>
    <x v="2"/>
    <x v="0"/>
    <n v="1"/>
    <s v="Slow"/>
    <s v="2 Days"/>
    <x v="4"/>
    <s v="Saturday"/>
    <n v="4"/>
  </r>
  <r>
    <x v="1571"/>
    <d v="2024-04-27T00:00:00"/>
    <x v="0"/>
    <x v="2"/>
    <n v="162"/>
    <n v="45"/>
    <n v="5.9"/>
    <x v="0"/>
    <x v="0"/>
    <x v="0"/>
    <x v="2"/>
    <x v="2"/>
    <x v="1"/>
    <x v="1"/>
    <x v="0"/>
    <x v="0"/>
    <n v="1"/>
    <s v="Slow"/>
    <s v="2 Days"/>
    <x v="3"/>
    <s v="Saturday"/>
    <n v="1"/>
  </r>
  <r>
    <x v="1572"/>
    <d v="2024-04-02T00:00:00"/>
    <x v="0"/>
    <x v="1"/>
    <n v="233"/>
    <n v="41"/>
    <n v="5.7"/>
    <x v="0"/>
    <x v="0"/>
    <x v="0"/>
    <x v="1"/>
    <x v="1"/>
    <x v="0"/>
    <x v="1"/>
    <x v="0"/>
    <x v="0"/>
    <n v="1"/>
    <s v="Slow"/>
    <s v="2 Days"/>
    <x v="3"/>
    <s v="Tuesday"/>
    <n v="3"/>
  </r>
  <r>
    <x v="1573"/>
    <d v="2024-12-03T00:00:00"/>
    <x v="2"/>
    <x v="0"/>
    <n v="12"/>
    <n v="19"/>
    <n v="8.6999999999999993"/>
    <x v="1"/>
    <x v="0"/>
    <x v="2"/>
    <x v="0"/>
    <x v="0"/>
    <x v="0"/>
    <x v="0"/>
    <x v="2"/>
    <x v="2"/>
    <n v="0"/>
    <s v="Very Fast"/>
    <s v="1 Day"/>
    <x v="11"/>
    <s v="Tuesday"/>
    <n v="4"/>
  </r>
  <r>
    <x v="1574"/>
    <d v="2024-04-15T00:00:00"/>
    <x v="2"/>
    <x v="2"/>
    <n v="66"/>
    <n v="33"/>
    <n v="5.8"/>
    <x v="0"/>
    <x v="2"/>
    <x v="0"/>
    <x v="2"/>
    <x v="2"/>
    <x v="1"/>
    <x v="1"/>
    <x v="0"/>
    <x v="0"/>
    <n v="1"/>
    <s v="Acceptable"/>
    <s v="2 Days"/>
    <x v="3"/>
    <s v="Monday"/>
    <n v="1"/>
  </r>
  <r>
    <x v="1575"/>
    <d v="2024-09-10T00:00:00"/>
    <x v="0"/>
    <x v="1"/>
    <n v="198"/>
    <n v="16"/>
    <n v="9.5"/>
    <x v="1"/>
    <x v="1"/>
    <x v="1"/>
    <x v="1"/>
    <x v="1"/>
    <x v="0"/>
    <x v="1"/>
    <x v="2"/>
    <x v="1"/>
    <n v="0"/>
    <s v="Slow"/>
    <s v="1 Day"/>
    <x v="5"/>
    <s v="Tuesday"/>
    <n v="3"/>
  </r>
  <r>
    <x v="1576"/>
    <d v="2024-03-09T00:00:00"/>
    <x v="1"/>
    <x v="3"/>
    <n v="43"/>
    <n v="27"/>
    <n v="6.8"/>
    <x v="0"/>
    <x v="1"/>
    <x v="0"/>
    <x v="3"/>
    <x v="3"/>
    <x v="1"/>
    <x v="0"/>
    <x v="0"/>
    <x v="0"/>
    <n v="1"/>
    <s v="Acceptable"/>
    <s v="2 Days"/>
    <x v="2"/>
    <s v="Saturday"/>
    <n v="2"/>
  </r>
  <r>
    <x v="1577"/>
    <d v="2024-08-03T00:00:00"/>
    <x v="0"/>
    <x v="2"/>
    <n v="135"/>
    <n v="28"/>
    <n v="2.1"/>
    <x v="1"/>
    <x v="2"/>
    <x v="0"/>
    <x v="2"/>
    <x v="2"/>
    <x v="1"/>
    <x v="1"/>
    <x v="3"/>
    <x v="0"/>
    <n v="0"/>
    <s v="Slow"/>
    <s v="2 Days"/>
    <x v="0"/>
    <s v="Saturday"/>
    <n v="1"/>
  </r>
  <r>
    <x v="1578"/>
    <d v="2024-06-25T00:00:00"/>
    <x v="2"/>
    <x v="1"/>
    <n v="223"/>
    <n v="65"/>
    <n v="4.9000000000000004"/>
    <x v="1"/>
    <x v="1"/>
    <x v="0"/>
    <x v="1"/>
    <x v="1"/>
    <x v="1"/>
    <x v="1"/>
    <x v="3"/>
    <x v="0"/>
    <n v="0"/>
    <s v="Slow"/>
    <s v="3 Days"/>
    <x v="4"/>
    <s v="Tuesday"/>
    <n v="3"/>
  </r>
  <r>
    <x v="1579"/>
    <d v="2024-12-06T00:00:00"/>
    <x v="1"/>
    <x v="2"/>
    <n v="69"/>
    <n v="4"/>
    <n v="7.9"/>
    <x v="0"/>
    <x v="2"/>
    <x v="1"/>
    <x v="2"/>
    <x v="2"/>
    <x v="0"/>
    <x v="1"/>
    <x v="0"/>
    <x v="1"/>
    <n v="1"/>
    <s v="Acceptable"/>
    <s v="Same Day"/>
    <x v="11"/>
    <s v="Friday"/>
    <n v="1"/>
  </r>
  <r>
    <x v="1580"/>
    <d v="2024-10-11T00:00:00"/>
    <x v="2"/>
    <x v="2"/>
    <n v="202"/>
    <n v="20"/>
    <n v="3.2"/>
    <x v="0"/>
    <x v="2"/>
    <x v="0"/>
    <x v="2"/>
    <x v="2"/>
    <x v="1"/>
    <x v="1"/>
    <x v="3"/>
    <x v="0"/>
    <n v="1"/>
    <s v="Slow"/>
    <s v="1 Day"/>
    <x v="7"/>
    <s v="Friday"/>
    <n v="1"/>
  </r>
  <r>
    <x v="1581"/>
    <d v="2024-03-26T00:00:00"/>
    <x v="2"/>
    <x v="2"/>
    <n v="182"/>
    <n v="64"/>
    <n v="9.1"/>
    <x v="0"/>
    <x v="1"/>
    <x v="0"/>
    <x v="2"/>
    <x v="2"/>
    <x v="1"/>
    <x v="1"/>
    <x v="2"/>
    <x v="0"/>
    <n v="1"/>
    <s v="Slow"/>
    <s v="3 Days"/>
    <x v="2"/>
    <s v="Tuesday"/>
    <n v="1"/>
  </r>
  <r>
    <x v="1582"/>
    <d v="2024-10-29T00:00:00"/>
    <x v="0"/>
    <x v="1"/>
    <n v="15"/>
    <n v="71"/>
    <n v="3.2"/>
    <x v="1"/>
    <x v="0"/>
    <x v="1"/>
    <x v="1"/>
    <x v="1"/>
    <x v="1"/>
    <x v="0"/>
    <x v="3"/>
    <x v="1"/>
    <n v="0"/>
    <s v="Very Fast"/>
    <s v="3 Days"/>
    <x v="7"/>
    <s v="Tuesday"/>
    <n v="3"/>
  </r>
  <r>
    <x v="1583"/>
    <d v="2024-01-12T00:00:00"/>
    <x v="0"/>
    <x v="1"/>
    <n v="136"/>
    <n v="29"/>
    <n v="4.5999999999999996"/>
    <x v="1"/>
    <x v="1"/>
    <x v="0"/>
    <x v="1"/>
    <x v="1"/>
    <x v="0"/>
    <x v="1"/>
    <x v="3"/>
    <x v="0"/>
    <n v="0"/>
    <s v="Slow"/>
    <s v="2 Days"/>
    <x v="8"/>
    <s v="Friday"/>
    <n v="3"/>
  </r>
  <r>
    <x v="1584"/>
    <d v="2024-10-18T00:00:00"/>
    <x v="3"/>
    <x v="0"/>
    <n v="150"/>
    <n v="41"/>
    <n v="3.6"/>
    <x v="1"/>
    <x v="0"/>
    <x v="0"/>
    <x v="0"/>
    <x v="0"/>
    <x v="0"/>
    <x v="0"/>
    <x v="3"/>
    <x v="0"/>
    <n v="0"/>
    <s v="Slow"/>
    <s v="2 Days"/>
    <x v="7"/>
    <s v="Friday"/>
    <n v="4"/>
  </r>
  <r>
    <x v="1585"/>
    <d v="2024-06-17T00:00:00"/>
    <x v="3"/>
    <x v="0"/>
    <n v="197"/>
    <n v="47"/>
    <n v="3.8"/>
    <x v="0"/>
    <x v="2"/>
    <x v="0"/>
    <x v="0"/>
    <x v="0"/>
    <x v="0"/>
    <x v="0"/>
    <x v="3"/>
    <x v="0"/>
    <n v="1"/>
    <s v="Slow"/>
    <s v="2 Days"/>
    <x v="4"/>
    <s v="Monday"/>
    <n v="4"/>
  </r>
  <r>
    <x v="1586"/>
    <d v="2024-03-16T00:00:00"/>
    <x v="1"/>
    <x v="2"/>
    <n v="158"/>
    <n v="66"/>
    <n v="8.4"/>
    <x v="0"/>
    <x v="0"/>
    <x v="0"/>
    <x v="2"/>
    <x v="2"/>
    <x v="1"/>
    <x v="1"/>
    <x v="2"/>
    <x v="0"/>
    <n v="1"/>
    <s v="Slow"/>
    <s v="3 Days"/>
    <x v="2"/>
    <s v="Saturday"/>
    <n v="1"/>
  </r>
  <r>
    <x v="1587"/>
    <d v="2024-10-12T00:00:00"/>
    <x v="0"/>
    <x v="3"/>
    <n v="50"/>
    <n v="41"/>
    <n v="4.4000000000000004"/>
    <x v="1"/>
    <x v="0"/>
    <x v="0"/>
    <x v="3"/>
    <x v="3"/>
    <x v="1"/>
    <x v="0"/>
    <x v="3"/>
    <x v="0"/>
    <n v="0"/>
    <s v="Acceptable"/>
    <s v="2 Days"/>
    <x v="7"/>
    <s v="Saturday"/>
    <n v="2"/>
  </r>
  <r>
    <x v="1588"/>
    <d v="2024-01-25T00:00:00"/>
    <x v="1"/>
    <x v="3"/>
    <n v="30"/>
    <n v="16"/>
    <n v="8.6999999999999993"/>
    <x v="1"/>
    <x v="2"/>
    <x v="1"/>
    <x v="3"/>
    <x v="3"/>
    <x v="0"/>
    <x v="0"/>
    <x v="2"/>
    <x v="1"/>
    <n v="0"/>
    <s v="Very Fast"/>
    <s v="1 Day"/>
    <x v="8"/>
    <s v="Thursday"/>
    <n v="2"/>
  </r>
  <r>
    <x v="1589"/>
    <d v="2024-06-02T00:00:00"/>
    <x v="4"/>
    <x v="2"/>
    <n v="156"/>
    <n v="27"/>
    <n v="3"/>
    <x v="0"/>
    <x v="1"/>
    <x v="0"/>
    <x v="2"/>
    <x v="2"/>
    <x v="1"/>
    <x v="1"/>
    <x v="3"/>
    <x v="0"/>
    <n v="1"/>
    <s v="Slow"/>
    <s v="2 Days"/>
    <x v="4"/>
    <s v="Sunday"/>
    <n v="1"/>
  </r>
  <r>
    <x v="1590"/>
    <d v="2024-01-06T00:00:00"/>
    <x v="2"/>
    <x v="1"/>
    <n v="93"/>
    <n v="63"/>
    <n v="7"/>
    <x v="0"/>
    <x v="0"/>
    <x v="0"/>
    <x v="1"/>
    <x v="1"/>
    <x v="1"/>
    <x v="0"/>
    <x v="0"/>
    <x v="0"/>
    <n v="1"/>
    <s v="Acceptable"/>
    <s v="3 Days"/>
    <x v="8"/>
    <s v="Saturday"/>
    <n v="3"/>
  </r>
  <r>
    <x v="1591"/>
    <d v="2024-12-22T00:00:00"/>
    <x v="2"/>
    <x v="2"/>
    <n v="212"/>
    <n v="56"/>
    <n v="2"/>
    <x v="0"/>
    <x v="1"/>
    <x v="0"/>
    <x v="2"/>
    <x v="2"/>
    <x v="1"/>
    <x v="1"/>
    <x v="1"/>
    <x v="0"/>
    <n v="1"/>
    <s v="Slow"/>
    <s v="3 Days"/>
    <x v="11"/>
    <s v="Sunday"/>
    <n v="1"/>
  </r>
  <r>
    <x v="1592"/>
    <d v="2024-09-09T00:00:00"/>
    <x v="3"/>
    <x v="0"/>
    <n v="95"/>
    <n v="55"/>
    <n v="9.3000000000000007"/>
    <x v="1"/>
    <x v="0"/>
    <x v="1"/>
    <x v="0"/>
    <x v="0"/>
    <x v="0"/>
    <x v="0"/>
    <x v="2"/>
    <x v="1"/>
    <n v="0"/>
    <s v="Acceptable"/>
    <s v="3 Days"/>
    <x v="5"/>
    <s v="Monday"/>
    <n v="4"/>
  </r>
  <r>
    <x v="1593"/>
    <d v="2024-05-03T00:00:00"/>
    <x v="3"/>
    <x v="1"/>
    <n v="105"/>
    <n v="33"/>
    <n v="6.5"/>
    <x v="1"/>
    <x v="1"/>
    <x v="1"/>
    <x v="1"/>
    <x v="1"/>
    <x v="0"/>
    <x v="0"/>
    <x v="0"/>
    <x v="1"/>
    <n v="0"/>
    <s v="Acceptable"/>
    <s v="2 Days"/>
    <x v="1"/>
    <s v="Friday"/>
    <n v="3"/>
  </r>
  <r>
    <x v="1594"/>
    <d v="2024-06-22T00:00:00"/>
    <x v="2"/>
    <x v="1"/>
    <n v="188"/>
    <n v="59"/>
    <n v="7"/>
    <x v="0"/>
    <x v="1"/>
    <x v="0"/>
    <x v="1"/>
    <x v="1"/>
    <x v="1"/>
    <x v="1"/>
    <x v="0"/>
    <x v="0"/>
    <n v="1"/>
    <s v="Slow"/>
    <s v="3 Days"/>
    <x v="4"/>
    <s v="Saturday"/>
    <n v="3"/>
  </r>
  <r>
    <x v="1595"/>
    <d v="2024-05-24T00:00:00"/>
    <x v="4"/>
    <x v="0"/>
    <n v="211"/>
    <n v="67"/>
    <n v="8"/>
    <x v="0"/>
    <x v="0"/>
    <x v="0"/>
    <x v="0"/>
    <x v="0"/>
    <x v="0"/>
    <x v="0"/>
    <x v="0"/>
    <x v="0"/>
    <n v="1"/>
    <s v="Slow"/>
    <s v="3 Days"/>
    <x v="1"/>
    <s v="Friday"/>
    <n v="4"/>
  </r>
  <r>
    <x v="1596"/>
    <d v="2024-08-01T00:00:00"/>
    <x v="3"/>
    <x v="3"/>
    <n v="41"/>
    <n v="58"/>
    <n v="8"/>
    <x v="1"/>
    <x v="2"/>
    <x v="0"/>
    <x v="3"/>
    <x v="3"/>
    <x v="1"/>
    <x v="0"/>
    <x v="0"/>
    <x v="0"/>
    <n v="0"/>
    <s v="Acceptable"/>
    <s v="3 Days"/>
    <x v="0"/>
    <s v="Thursday"/>
    <n v="2"/>
  </r>
  <r>
    <x v="1597"/>
    <d v="2024-07-04T00:00:00"/>
    <x v="4"/>
    <x v="0"/>
    <n v="77"/>
    <n v="2"/>
    <n v="8.1"/>
    <x v="1"/>
    <x v="0"/>
    <x v="2"/>
    <x v="0"/>
    <x v="0"/>
    <x v="0"/>
    <x v="0"/>
    <x v="2"/>
    <x v="2"/>
    <n v="0"/>
    <s v="Acceptable"/>
    <s v="Same Day"/>
    <x v="10"/>
    <s v="Thursday"/>
    <n v="4"/>
  </r>
  <r>
    <x v="1598"/>
    <d v="2024-11-07T00:00:00"/>
    <x v="1"/>
    <x v="0"/>
    <n v="222"/>
    <n v="34"/>
    <n v="4"/>
    <x v="0"/>
    <x v="1"/>
    <x v="0"/>
    <x v="0"/>
    <x v="0"/>
    <x v="0"/>
    <x v="0"/>
    <x v="3"/>
    <x v="0"/>
    <n v="1"/>
    <s v="Slow"/>
    <s v="2 Days"/>
    <x v="6"/>
    <s v="Thursday"/>
    <n v="4"/>
  </r>
  <r>
    <x v="1599"/>
    <d v="2024-10-16T00:00:00"/>
    <x v="2"/>
    <x v="3"/>
    <n v="6"/>
    <n v="12"/>
    <n v="3.8"/>
    <x v="1"/>
    <x v="1"/>
    <x v="1"/>
    <x v="3"/>
    <x v="3"/>
    <x v="0"/>
    <x v="0"/>
    <x v="3"/>
    <x v="1"/>
    <n v="0"/>
    <s v="Very Fast"/>
    <s v="1 Day"/>
    <x v="7"/>
    <s v="Wednesday"/>
    <n v="2"/>
  </r>
  <r>
    <x v="1600"/>
    <d v="2024-02-11T00:00:00"/>
    <x v="1"/>
    <x v="2"/>
    <n v="220"/>
    <n v="51"/>
    <n v="1.4"/>
    <x v="0"/>
    <x v="1"/>
    <x v="0"/>
    <x v="2"/>
    <x v="2"/>
    <x v="1"/>
    <x v="1"/>
    <x v="1"/>
    <x v="0"/>
    <n v="1"/>
    <s v="Slow"/>
    <s v="3 Days"/>
    <x v="9"/>
    <s v="Sunday"/>
    <n v="1"/>
  </r>
  <r>
    <x v="1601"/>
    <d v="2024-09-19T00:00:00"/>
    <x v="3"/>
    <x v="1"/>
    <n v="232"/>
    <n v="70"/>
    <n v="3.3"/>
    <x v="0"/>
    <x v="2"/>
    <x v="0"/>
    <x v="1"/>
    <x v="1"/>
    <x v="1"/>
    <x v="1"/>
    <x v="3"/>
    <x v="0"/>
    <n v="1"/>
    <s v="Slow"/>
    <s v="3 Days"/>
    <x v="5"/>
    <s v="Thursday"/>
    <n v="3"/>
  </r>
  <r>
    <x v="1602"/>
    <d v="2024-08-20T00:00:00"/>
    <x v="4"/>
    <x v="1"/>
    <n v="145"/>
    <n v="3"/>
    <n v="0.8"/>
    <x v="1"/>
    <x v="1"/>
    <x v="1"/>
    <x v="1"/>
    <x v="1"/>
    <x v="0"/>
    <x v="1"/>
    <x v="1"/>
    <x v="1"/>
    <n v="0"/>
    <s v="Slow"/>
    <s v="Same Day"/>
    <x v="0"/>
    <s v="Tuesday"/>
    <n v="3"/>
  </r>
  <r>
    <x v="1603"/>
    <d v="2024-12-22T00:00:00"/>
    <x v="4"/>
    <x v="0"/>
    <n v="237"/>
    <n v="21"/>
    <n v="6.9"/>
    <x v="1"/>
    <x v="0"/>
    <x v="1"/>
    <x v="0"/>
    <x v="0"/>
    <x v="0"/>
    <x v="0"/>
    <x v="0"/>
    <x v="1"/>
    <n v="0"/>
    <s v="Slow"/>
    <s v="1 Day"/>
    <x v="11"/>
    <s v="Sunday"/>
    <n v="4"/>
  </r>
  <r>
    <x v="1604"/>
    <d v="2024-08-21T00:00:00"/>
    <x v="2"/>
    <x v="2"/>
    <n v="240"/>
    <n v="70"/>
    <n v="4.3"/>
    <x v="1"/>
    <x v="2"/>
    <x v="0"/>
    <x v="2"/>
    <x v="2"/>
    <x v="1"/>
    <x v="1"/>
    <x v="3"/>
    <x v="0"/>
    <n v="0"/>
    <s v="Slow"/>
    <s v="3 Days"/>
    <x v="0"/>
    <s v="Wednesday"/>
    <n v="1"/>
  </r>
  <r>
    <x v="1605"/>
    <d v="2024-05-04T00:00:00"/>
    <x v="2"/>
    <x v="0"/>
    <n v="94"/>
    <n v="23"/>
    <n v="3.1"/>
    <x v="0"/>
    <x v="0"/>
    <x v="0"/>
    <x v="0"/>
    <x v="0"/>
    <x v="0"/>
    <x v="0"/>
    <x v="3"/>
    <x v="0"/>
    <n v="1"/>
    <s v="Acceptable"/>
    <s v="1 Day"/>
    <x v="1"/>
    <s v="Saturday"/>
    <n v="4"/>
  </r>
  <r>
    <x v="1606"/>
    <d v="2024-06-13T00:00:00"/>
    <x v="4"/>
    <x v="2"/>
    <n v="228"/>
    <n v="71"/>
    <n v="8.9"/>
    <x v="1"/>
    <x v="1"/>
    <x v="0"/>
    <x v="2"/>
    <x v="2"/>
    <x v="1"/>
    <x v="1"/>
    <x v="2"/>
    <x v="0"/>
    <n v="0"/>
    <s v="Slow"/>
    <s v="3 Days"/>
    <x v="4"/>
    <s v="Thursday"/>
    <n v="1"/>
  </r>
  <r>
    <x v="1607"/>
    <d v="2024-09-13T00:00:00"/>
    <x v="0"/>
    <x v="0"/>
    <n v="234"/>
    <n v="19"/>
    <n v="2.9"/>
    <x v="1"/>
    <x v="0"/>
    <x v="0"/>
    <x v="0"/>
    <x v="0"/>
    <x v="0"/>
    <x v="0"/>
    <x v="3"/>
    <x v="0"/>
    <n v="0"/>
    <s v="Slow"/>
    <s v="1 Day"/>
    <x v="5"/>
    <s v="Friday"/>
    <n v="4"/>
  </r>
  <r>
    <x v="1608"/>
    <d v="2024-01-13T00:00:00"/>
    <x v="3"/>
    <x v="3"/>
    <n v="101"/>
    <n v="39"/>
    <n v="3.7"/>
    <x v="1"/>
    <x v="2"/>
    <x v="0"/>
    <x v="3"/>
    <x v="3"/>
    <x v="1"/>
    <x v="1"/>
    <x v="3"/>
    <x v="0"/>
    <n v="0"/>
    <s v="Acceptable"/>
    <s v="2 Days"/>
    <x v="8"/>
    <s v="Saturday"/>
    <n v="2"/>
  </r>
  <r>
    <x v="1609"/>
    <d v="2024-01-07T00:00:00"/>
    <x v="1"/>
    <x v="3"/>
    <n v="77"/>
    <n v="6"/>
    <n v="4.0999999999999996"/>
    <x v="1"/>
    <x v="1"/>
    <x v="1"/>
    <x v="3"/>
    <x v="3"/>
    <x v="0"/>
    <x v="1"/>
    <x v="3"/>
    <x v="1"/>
    <n v="0"/>
    <s v="Acceptable"/>
    <s v="Same Day"/>
    <x v="8"/>
    <s v="Sunday"/>
    <n v="2"/>
  </r>
  <r>
    <x v="1610"/>
    <d v="2024-09-11T00:00:00"/>
    <x v="4"/>
    <x v="3"/>
    <n v="163"/>
    <n v="28"/>
    <n v="4.0999999999999996"/>
    <x v="0"/>
    <x v="1"/>
    <x v="0"/>
    <x v="3"/>
    <x v="3"/>
    <x v="1"/>
    <x v="1"/>
    <x v="3"/>
    <x v="0"/>
    <n v="1"/>
    <s v="Slow"/>
    <s v="2 Days"/>
    <x v="5"/>
    <s v="Wednesday"/>
    <n v="2"/>
  </r>
  <r>
    <x v="1611"/>
    <d v="2024-07-06T00:00:00"/>
    <x v="3"/>
    <x v="1"/>
    <n v="110"/>
    <n v="63"/>
    <n v="7.2"/>
    <x v="0"/>
    <x v="1"/>
    <x v="0"/>
    <x v="1"/>
    <x v="1"/>
    <x v="1"/>
    <x v="0"/>
    <x v="0"/>
    <x v="0"/>
    <n v="1"/>
    <s v="Acceptable"/>
    <s v="3 Days"/>
    <x v="10"/>
    <s v="Saturday"/>
    <n v="3"/>
  </r>
  <r>
    <x v="1612"/>
    <d v="2024-11-14T00:00:00"/>
    <x v="1"/>
    <x v="1"/>
    <n v="32"/>
    <n v="45"/>
    <n v="3.8"/>
    <x v="1"/>
    <x v="2"/>
    <x v="0"/>
    <x v="1"/>
    <x v="1"/>
    <x v="0"/>
    <x v="0"/>
    <x v="3"/>
    <x v="0"/>
    <n v="0"/>
    <s v="Acceptable"/>
    <s v="2 Days"/>
    <x v="6"/>
    <s v="Thursday"/>
    <n v="3"/>
  </r>
  <r>
    <x v="1613"/>
    <d v="2024-10-12T00:00:00"/>
    <x v="0"/>
    <x v="1"/>
    <n v="155"/>
    <n v="71"/>
    <n v="1.9"/>
    <x v="0"/>
    <x v="2"/>
    <x v="0"/>
    <x v="1"/>
    <x v="1"/>
    <x v="1"/>
    <x v="1"/>
    <x v="1"/>
    <x v="0"/>
    <n v="1"/>
    <s v="Slow"/>
    <s v="3 Days"/>
    <x v="7"/>
    <s v="Saturday"/>
    <n v="3"/>
  </r>
  <r>
    <x v="1614"/>
    <d v="2024-07-01T00:00:00"/>
    <x v="2"/>
    <x v="1"/>
    <n v="90"/>
    <n v="41"/>
    <n v="3.5"/>
    <x v="0"/>
    <x v="1"/>
    <x v="0"/>
    <x v="1"/>
    <x v="1"/>
    <x v="0"/>
    <x v="0"/>
    <x v="3"/>
    <x v="0"/>
    <n v="1"/>
    <s v="Acceptable"/>
    <s v="2 Days"/>
    <x v="10"/>
    <s v="Monday"/>
    <n v="3"/>
  </r>
  <r>
    <x v="1615"/>
    <d v="2024-08-23T00:00:00"/>
    <x v="2"/>
    <x v="1"/>
    <n v="210"/>
    <n v="58"/>
    <n v="10"/>
    <x v="1"/>
    <x v="0"/>
    <x v="1"/>
    <x v="1"/>
    <x v="1"/>
    <x v="1"/>
    <x v="1"/>
    <x v="2"/>
    <x v="1"/>
    <n v="0"/>
    <s v="Slow"/>
    <s v="3 Days"/>
    <x v="0"/>
    <s v="Friday"/>
    <n v="3"/>
  </r>
  <r>
    <x v="1616"/>
    <d v="2024-02-24T00:00:00"/>
    <x v="4"/>
    <x v="1"/>
    <n v="57"/>
    <n v="50"/>
    <n v="9.4"/>
    <x v="1"/>
    <x v="0"/>
    <x v="1"/>
    <x v="1"/>
    <x v="1"/>
    <x v="1"/>
    <x v="0"/>
    <x v="2"/>
    <x v="1"/>
    <n v="0"/>
    <s v="Acceptable"/>
    <s v="3 Days"/>
    <x v="9"/>
    <s v="Saturday"/>
    <n v="3"/>
  </r>
  <r>
    <x v="1617"/>
    <d v="2024-08-22T00:00:00"/>
    <x v="0"/>
    <x v="0"/>
    <n v="63"/>
    <n v="10"/>
    <n v="7.6"/>
    <x v="0"/>
    <x v="1"/>
    <x v="0"/>
    <x v="0"/>
    <x v="0"/>
    <x v="0"/>
    <x v="0"/>
    <x v="0"/>
    <x v="0"/>
    <n v="1"/>
    <s v="Acceptable"/>
    <s v="1 Day"/>
    <x v="0"/>
    <s v="Thursday"/>
    <n v="4"/>
  </r>
  <r>
    <x v="1618"/>
    <d v="2024-09-15T00:00:00"/>
    <x v="2"/>
    <x v="1"/>
    <n v="32"/>
    <n v="2"/>
    <n v="2.1"/>
    <x v="1"/>
    <x v="2"/>
    <x v="1"/>
    <x v="1"/>
    <x v="1"/>
    <x v="0"/>
    <x v="0"/>
    <x v="3"/>
    <x v="1"/>
    <n v="0"/>
    <s v="Acceptable"/>
    <s v="Same Day"/>
    <x v="5"/>
    <s v="Sunday"/>
    <n v="3"/>
  </r>
  <r>
    <x v="1619"/>
    <d v="2024-01-12T00:00:00"/>
    <x v="2"/>
    <x v="2"/>
    <n v="235"/>
    <n v="4"/>
    <n v="1.4"/>
    <x v="0"/>
    <x v="0"/>
    <x v="0"/>
    <x v="2"/>
    <x v="2"/>
    <x v="0"/>
    <x v="1"/>
    <x v="1"/>
    <x v="0"/>
    <n v="1"/>
    <s v="Slow"/>
    <s v="Same Day"/>
    <x v="8"/>
    <s v="Friday"/>
    <n v="1"/>
  </r>
  <r>
    <x v="1620"/>
    <d v="2024-06-10T00:00:00"/>
    <x v="0"/>
    <x v="1"/>
    <n v="89"/>
    <n v="37"/>
    <n v="9.9"/>
    <x v="1"/>
    <x v="0"/>
    <x v="1"/>
    <x v="1"/>
    <x v="1"/>
    <x v="0"/>
    <x v="0"/>
    <x v="2"/>
    <x v="1"/>
    <n v="0"/>
    <s v="Acceptable"/>
    <s v="2 Days"/>
    <x v="4"/>
    <s v="Monday"/>
    <n v="3"/>
  </r>
  <r>
    <x v="1621"/>
    <d v="2024-10-30T00:00:00"/>
    <x v="0"/>
    <x v="0"/>
    <n v="131"/>
    <n v="66"/>
    <n v="5.5"/>
    <x v="0"/>
    <x v="1"/>
    <x v="0"/>
    <x v="0"/>
    <x v="0"/>
    <x v="0"/>
    <x v="0"/>
    <x v="0"/>
    <x v="0"/>
    <n v="1"/>
    <s v="Slow"/>
    <s v="3 Days"/>
    <x v="7"/>
    <s v="Wednesday"/>
    <n v="4"/>
  </r>
  <r>
    <x v="1622"/>
    <d v="2024-05-11T00:00:00"/>
    <x v="1"/>
    <x v="1"/>
    <n v="48"/>
    <n v="22"/>
    <n v="3.4"/>
    <x v="1"/>
    <x v="1"/>
    <x v="0"/>
    <x v="1"/>
    <x v="1"/>
    <x v="0"/>
    <x v="0"/>
    <x v="3"/>
    <x v="0"/>
    <n v="0"/>
    <s v="Acceptable"/>
    <s v="1 Day"/>
    <x v="1"/>
    <s v="Saturday"/>
    <n v="3"/>
  </r>
  <r>
    <x v="1623"/>
    <d v="2024-06-13T00:00:00"/>
    <x v="2"/>
    <x v="2"/>
    <n v="121"/>
    <n v="2"/>
    <n v="4.4000000000000004"/>
    <x v="0"/>
    <x v="1"/>
    <x v="0"/>
    <x v="2"/>
    <x v="2"/>
    <x v="0"/>
    <x v="1"/>
    <x v="3"/>
    <x v="0"/>
    <n v="1"/>
    <s v="Slow"/>
    <s v="Same Day"/>
    <x v="4"/>
    <s v="Thursday"/>
    <n v="1"/>
  </r>
  <r>
    <x v="1624"/>
    <d v="2024-07-04T00:00:00"/>
    <x v="3"/>
    <x v="3"/>
    <n v="153"/>
    <n v="36"/>
    <n v="6.4"/>
    <x v="1"/>
    <x v="1"/>
    <x v="0"/>
    <x v="3"/>
    <x v="3"/>
    <x v="1"/>
    <x v="1"/>
    <x v="0"/>
    <x v="0"/>
    <n v="0"/>
    <s v="Slow"/>
    <s v="2 Days"/>
    <x v="10"/>
    <s v="Thursday"/>
    <n v="2"/>
  </r>
  <r>
    <x v="1625"/>
    <d v="2024-10-31T00:00:00"/>
    <x v="0"/>
    <x v="3"/>
    <n v="138"/>
    <n v="63"/>
    <n v="6.1"/>
    <x v="0"/>
    <x v="1"/>
    <x v="0"/>
    <x v="3"/>
    <x v="3"/>
    <x v="1"/>
    <x v="1"/>
    <x v="0"/>
    <x v="0"/>
    <n v="1"/>
    <s v="Slow"/>
    <s v="3 Days"/>
    <x v="7"/>
    <s v="Thursday"/>
    <n v="2"/>
  </r>
  <r>
    <x v="1626"/>
    <d v="2024-03-31T00:00:00"/>
    <x v="0"/>
    <x v="2"/>
    <n v="146"/>
    <n v="8"/>
    <n v="9.6"/>
    <x v="0"/>
    <x v="1"/>
    <x v="0"/>
    <x v="2"/>
    <x v="2"/>
    <x v="0"/>
    <x v="1"/>
    <x v="2"/>
    <x v="0"/>
    <n v="1"/>
    <s v="Slow"/>
    <s v="Same Day"/>
    <x v="2"/>
    <s v="Sunday"/>
    <n v="1"/>
  </r>
  <r>
    <x v="1627"/>
    <d v="2024-08-13T00:00:00"/>
    <x v="3"/>
    <x v="1"/>
    <n v="183"/>
    <n v="44"/>
    <n v="8"/>
    <x v="0"/>
    <x v="1"/>
    <x v="0"/>
    <x v="1"/>
    <x v="1"/>
    <x v="0"/>
    <x v="1"/>
    <x v="0"/>
    <x v="0"/>
    <n v="1"/>
    <s v="Slow"/>
    <s v="2 Days"/>
    <x v="0"/>
    <s v="Tuesday"/>
    <n v="3"/>
  </r>
  <r>
    <x v="1628"/>
    <d v="2024-08-29T00:00:00"/>
    <x v="2"/>
    <x v="0"/>
    <n v="144"/>
    <n v="70"/>
    <n v="5.8"/>
    <x v="1"/>
    <x v="2"/>
    <x v="1"/>
    <x v="0"/>
    <x v="0"/>
    <x v="0"/>
    <x v="0"/>
    <x v="0"/>
    <x v="1"/>
    <n v="0"/>
    <s v="Slow"/>
    <s v="3 Days"/>
    <x v="0"/>
    <s v="Thursday"/>
    <n v="4"/>
  </r>
  <r>
    <x v="1629"/>
    <d v="2024-02-18T00:00:00"/>
    <x v="1"/>
    <x v="0"/>
    <n v="21"/>
    <n v="57"/>
    <n v="6.9"/>
    <x v="0"/>
    <x v="1"/>
    <x v="1"/>
    <x v="0"/>
    <x v="0"/>
    <x v="0"/>
    <x v="0"/>
    <x v="0"/>
    <x v="1"/>
    <n v="1"/>
    <s v="Very Fast"/>
    <s v="3 Days"/>
    <x v="9"/>
    <s v="Sunday"/>
    <n v="4"/>
  </r>
  <r>
    <x v="1630"/>
    <d v="2024-08-07T00:00:00"/>
    <x v="0"/>
    <x v="0"/>
    <n v="227"/>
    <n v="44"/>
    <n v="7.6"/>
    <x v="0"/>
    <x v="1"/>
    <x v="0"/>
    <x v="0"/>
    <x v="0"/>
    <x v="0"/>
    <x v="0"/>
    <x v="0"/>
    <x v="0"/>
    <n v="1"/>
    <s v="Slow"/>
    <s v="2 Days"/>
    <x v="0"/>
    <s v="Wednesday"/>
    <n v="4"/>
  </r>
  <r>
    <x v="1631"/>
    <d v="2024-12-09T00:00:00"/>
    <x v="4"/>
    <x v="0"/>
    <n v="226"/>
    <n v="19"/>
    <n v="5.0999999999999996"/>
    <x v="0"/>
    <x v="0"/>
    <x v="0"/>
    <x v="0"/>
    <x v="0"/>
    <x v="0"/>
    <x v="0"/>
    <x v="0"/>
    <x v="0"/>
    <n v="1"/>
    <s v="Slow"/>
    <s v="1 Day"/>
    <x v="11"/>
    <s v="Monday"/>
    <n v="4"/>
  </r>
  <r>
    <x v="1632"/>
    <d v="2024-05-27T00:00:00"/>
    <x v="3"/>
    <x v="0"/>
    <n v="123"/>
    <n v="70"/>
    <n v="1"/>
    <x v="0"/>
    <x v="0"/>
    <x v="0"/>
    <x v="0"/>
    <x v="0"/>
    <x v="0"/>
    <x v="0"/>
    <x v="1"/>
    <x v="0"/>
    <n v="1"/>
    <s v="Slow"/>
    <s v="3 Days"/>
    <x v="1"/>
    <s v="Monday"/>
    <n v="4"/>
  </r>
  <r>
    <x v="1633"/>
    <d v="2024-04-24T00:00:00"/>
    <x v="0"/>
    <x v="3"/>
    <n v="28"/>
    <n v="29"/>
    <n v="7.3"/>
    <x v="1"/>
    <x v="1"/>
    <x v="1"/>
    <x v="3"/>
    <x v="3"/>
    <x v="1"/>
    <x v="0"/>
    <x v="0"/>
    <x v="1"/>
    <n v="0"/>
    <s v="Very Fast"/>
    <s v="2 Days"/>
    <x v="3"/>
    <s v="Wednesday"/>
    <n v="2"/>
  </r>
  <r>
    <x v="1634"/>
    <d v="2024-08-15T00:00:00"/>
    <x v="3"/>
    <x v="3"/>
    <n v="66"/>
    <n v="26"/>
    <n v="1.9"/>
    <x v="0"/>
    <x v="2"/>
    <x v="0"/>
    <x v="3"/>
    <x v="3"/>
    <x v="1"/>
    <x v="1"/>
    <x v="1"/>
    <x v="0"/>
    <n v="1"/>
    <s v="Acceptable"/>
    <s v="2 Days"/>
    <x v="0"/>
    <s v="Thursday"/>
    <n v="2"/>
  </r>
  <r>
    <x v="1635"/>
    <d v="2024-08-24T00:00:00"/>
    <x v="0"/>
    <x v="0"/>
    <n v="179"/>
    <n v="33"/>
    <n v="8.8000000000000007"/>
    <x v="1"/>
    <x v="1"/>
    <x v="1"/>
    <x v="0"/>
    <x v="0"/>
    <x v="0"/>
    <x v="0"/>
    <x v="2"/>
    <x v="1"/>
    <n v="0"/>
    <s v="Slow"/>
    <s v="2 Days"/>
    <x v="0"/>
    <s v="Saturday"/>
    <n v="4"/>
  </r>
  <r>
    <x v="1636"/>
    <d v="2024-05-06T00:00:00"/>
    <x v="2"/>
    <x v="1"/>
    <n v="200"/>
    <n v="23"/>
    <n v="5.5"/>
    <x v="1"/>
    <x v="0"/>
    <x v="1"/>
    <x v="1"/>
    <x v="1"/>
    <x v="0"/>
    <x v="1"/>
    <x v="0"/>
    <x v="1"/>
    <n v="0"/>
    <s v="Slow"/>
    <s v="1 Day"/>
    <x v="1"/>
    <s v="Monday"/>
    <n v="3"/>
  </r>
  <r>
    <x v="1637"/>
    <d v="2024-06-20T00:00:00"/>
    <x v="0"/>
    <x v="3"/>
    <n v="207"/>
    <n v="30"/>
    <n v="2.8"/>
    <x v="1"/>
    <x v="0"/>
    <x v="0"/>
    <x v="3"/>
    <x v="3"/>
    <x v="1"/>
    <x v="1"/>
    <x v="3"/>
    <x v="0"/>
    <n v="0"/>
    <s v="Slow"/>
    <s v="2 Days"/>
    <x v="4"/>
    <s v="Thursday"/>
    <n v="2"/>
  </r>
  <r>
    <x v="1638"/>
    <d v="2024-02-22T00:00:00"/>
    <x v="3"/>
    <x v="1"/>
    <n v="101"/>
    <n v="39"/>
    <n v="2.4"/>
    <x v="1"/>
    <x v="1"/>
    <x v="0"/>
    <x v="1"/>
    <x v="1"/>
    <x v="0"/>
    <x v="0"/>
    <x v="3"/>
    <x v="0"/>
    <n v="0"/>
    <s v="Acceptable"/>
    <s v="2 Days"/>
    <x v="9"/>
    <s v="Thursday"/>
    <n v="3"/>
  </r>
  <r>
    <x v="1639"/>
    <d v="2024-07-24T00:00:00"/>
    <x v="2"/>
    <x v="2"/>
    <n v="85"/>
    <n v="33"/>
    <n v="5.9"/>
    <x v="0"/>
    <x v="0"/>
    <x v="0"/>
    <x v="2"/>
    <x v="2"/>
    <x v="1"/>
    <x v="1"/>
    <x v="0"/>
    <x v="0"/>
    <n v="1"/>
    <s v="Acceptable"/>
    <s v="2 Days"/>
    <x v="10"/>
    <s v="Wednesday"/>
    <n v="1"/>
  </r>
  <r>
    <x v="1640"/>
    <d v="2024-10-06T00:00:00"/>
    <x v="3"/>
    <x v="2"/>
    <n v="127"/>
    <n v="20"/>
    <n v="2.5"/>
    <x v="1"/>
    <x v="2"/>
    <x v="0"/>
    <x v="2"/>
    <x v="2"/>
    <x v="1"/>
    <x v="1"/>
    <x v="3"/>
    <x v="0"/>
    <n v="0"/>
    <s v="Slow"/>
    <s v="1 Day"/>
    <x v="7"/>
    <s v="Sunday"/>
    <n v="1"/>
  </r>
  <r>
    <x v="1641"/>
    <d v="2024-11-13T00:00:00"/>
    <x v="0"/>
    <x v="0"/>
    <n v="182"/>
    <n v="67"/>
    <n v="8"/>
    <x v="0"/>
    <x v="0"/>
    <x v="0"/>
    <x v="0"/>
    <x v="0"/>
    <x v="0"/>
    <x v="0"/>
    <x v="0"/>
    <x v="0"/>
    <n v="1"/>
    <s v="Slow"/>
    <s v="3 Days"/>
    <x v="6"/>
    <s v="Wednesday"/>
    <n v="4"/>
  </r>
  <r>
    <x v="1642"/>
    <d v="2024-05-29T00:00:00"/>
    <x v="3"/>
    <x v="0"/>
    <n v="38"/>
    <n v="11"/>
    <n v="1.1000000000000001"/>
    <x v="1"/>
    <x v="2"/>
    <x v="0"/>
    <x v="0"/>
    <x v="0"/>
    <x v="0"/>
    <x v="0"/>
    <x v="1"/>
    <x v="0"/>
    <n v="0"/>
    <s v="Acceptable"/>
    <s v="1 Day"/>
    <x v="1"/>
    <s v="Wednesday"/>
    <n v="4"/>
  </r>
  <r>
    <x v="1643"/>
    <d v="2024-08-21T00:00:00"/>
    <x v="3"/>
    <x v="2"/>
    <n v="59"/>
    <n v="43"/>
    <n v="7.7"/>
    <x v="1"/>
    <x v="2"/>
    <x v="0"/>
    <x v="2"/>
    <x v="2"/>
    <x v="1"/>
    <x v="1"/>
    <x v="0"/>
    <x v="0"/>
    <n v="0"/>
    <s v="Acceptable"/>
    <s v="2 Days"/>
    <x v="0"/>
    <s v="Wednesday"/>
    <n v="1"/>
  </r>
  <r>
    <x v="1644"/>
    <d v="2024-07-26T00:00:00"/>
    <x v="0"/>
    <x v="3"/>
    <n v="8"/>
    <n v="26"/>
    <n v="5.0999999999999996"/>
    <x v="1"/>
    <x v="1"/>
    <x v="1"/>
    <x v="3"/>
    <x v="3"/>
    <x v="1"/>
    <x v="0"/>
    <x v="0"/>
    <x v="1"/>
    <n v="0"/>
    <s v="Very Fast"/>
    <s v="2 Days"/>
    <x v="10"/>
    <s v="Friday"/>
    <n v="2"/>
  </r>
  <r>
    <x v="1645"/>
    <d v="2024-10-01T00:00:00"/>
    <x v="3"/>
    <x v="1"/>
    <n v="205"/>
    <n v="31"/>
    <n v="7.7"/>
    <x v="0"/>
    <x v="0"/>
    <x v="0"/>
    <x v="1"/>
    <x v="1"/>
    <x v="0"/>
    <x v="1"/>
    <x v="0"/>
    <x v="0"/>
    <n v="1"/>
    <s v="Slow"/>
    <s v="2 Days"/>
    <x v="7"/>
    <s v="Tuesday"/>
    <n v="3"/>
  </r>
  <r>
    <x v="1646"/>
    <d v="2024-06-19T00:00:00"/>
    <x v="2"/>
    <x v="2"/>
    <n v="30"/>
    <n v="64"/>
    <n v="0.6"/>
    <x v="0"/>
    <x v="1"/>
    <x v="0"/>
    <x v="2"/>
    <x v="2"/>
    <x v="1"/>
    <x v="0"/>
    <x v="1"/>
    <x v="0"/>
    <n v="1"/>
    <s v="Very Fast"/>
    <s v="3 Days"/>
    <x v="4"/>
    <s v="Wednesday"/>
    <n v="1"/>
  </r>
  <r>
    <x v="1647"/>
    <d v="2024-11-16T00:00:00"/>
    <x v="2"/>
    <x v="2"/>
    <n v="43"/>
    <n v="9"/>
    <n v="8.6"/>
    <x v="1"/>
    <x v="1"/>
    <x v="0"/>
    <x v="2"/>
    <x v="2"/>
    <x v="1"/>
    <x v="1"/>
    <x v="2"/>
    <x v="0"/>
    <n v="0"/>
    <s v="Acceptable"/>
    <s v="1 Day"/>
    <x v="6"/>
    <s v="Saturday"/>
    <n v="1"/>
  </r>
  <r>
    <x v="1648"/>
    <d v="2024-03-05T00:00:00"/>
    <x v="4"/>
    <x v="0"/>
    <n v="72"/>
    <n v="62"/>
    <n v="5.7"/>
    <x v="0"/>
    <x v="0"/>
    <x v="0"/>
    <x v="0"/>
    <x v="0"/>
    <x v="0"/>
    <x v="0"/>
    <x v="0"/>
    <x v="0"/>
    <n v="1"/>
    <s v="Acceptable"/>
    <s v="3 Days"/>
    <x v="2"/>
    <s v="Tuesday"/>
    <n v="4"/>
  </r>
  <r>
    <x v="1649"/>
    <d v="2024-01-15T00:00:00"/>
    <x v="2"/>
    <x v="1"/>
    <n v="156"/>
    <n v="7"/>
    <n v="5.6"/>
    <x v="0"/>
    <x v="2"/>
    <x v="0"/>
    <x v="1"/>
    <x v="1"/>
    <x v="0"/>
    <x v="1"/>
    <x v="0"/>
    <x v="0"/>
    <n v="1"/>
    <s v="Slow"/>
    <s v="Same Day"/>
    <x v="8"/>
    <s v="Monday"/>
    <n v="3"/>
  </r>
  <r>
    <x v="1650"/>
    <d v="2024-04-08T00:00:00"/>
    <x v="4"/>
    <x v="0"/>
    <n v="57"/>
    <n v="41"/>
    <n v="7.6"/>
    <x v="0"/>
    <x v="1"/>
    <x v="0"/>
    <x v="0"/>
    <x v="0"/>
    <x v="0"/>
    <x v="0"/>
    <x v="0"/>
    <x v="0"/>
    <n v="1"/>
    <s v="Acceptable"/>
    <s v="2 Days"/>
    <x v="3"/>
    <s v="Monday"/>
    <n v="4"/>
  </r>
  <r>
    <x v="1651"/>
    <d v="2024-07-03T00:00:00"/>
    <x v="3"/>
    <x v="1"/>
    <n v="9"/>
    <n v="51"/>
    <n v="8.9"/>
    <x v="0"/>
    <x v="0"/>
    <x v="1"/>
    <x v="1"/>
    <x v="1"/>
    <x v="1"/>
    <x v="0"/>
    <x v="2"/>
    <x v="1"/>
    <n v="1"/>
    <s v="Very Fast"/>
    <s v="3 Days"/>
    <x v="10"/>
    <s v="Wednesday"/>
    <n v="3"/>
  </r>
  <r>
    <x v="1652"/>
    <d v="2024-03-06T00:00:00"/>
    <x v="3"/>
    <x v="0"/>
    <n v="240"/>
    <n v="38"/>
    <n v="0.6"/>
    <x v="0"/>
    <x v="1"/>
    <x v="0"/>
    <x v="0"/>
    <x v="0"/>
    <x v="0"/>
    <x v="0"/>
    <x v="1"/>
    <x v="0"/>
    <n v="1"/>
    <s v="Slow"/>
    <s v="2 Days"/>
    <x v="2"/>
    <s v="Wednesday"/>
    <n v="4"/>
  </r>
  <r>
    <x v="1653"/>
    <d v="2024-02-08T00:00:00"/>
    <x v="2"/>
    <x v="2"/>
    <n v="19"/>
    <n v="65"/>
    <n v="8.6999999999999993"/>
    <x v="1"/>
    <x v="2"/>
    <x v="1"/>
    <x v="2"/>
    <x v="2"/>
    <x v="1"/>
    <x v="0"/>
    <x v="2"/>
    <x v="1"/>
    <n v="0"/>
    <s v="Very Fast"/>
    <s v="3 Days"/>
    <x v="9"/>
    <s v="Thursday"/>
    <n v="1"/>
  </r>
  <r>
    <x v="1654"/>
    <d v="2024-01-26T00:00:00"/>
    <x v="1"/>
    <x v="2"/>
    <n v="40"/>
    <n v="57"/>
    <n v="8.6"/>
    <x v="1"/>
    <x v="0"/>
    <x v="0"/>
    <x v="2"/>
    <x v="2"/>
    <x v="1"/>
    <x v="1"/>
    <x v="2"/>
    <x v="0"/>
    <n v="0"/>
    <s v="Acceptable"/>
    <s v="3 Days"/>
    <x v="8"/>
    <s v="Friday"/>
    <n v="1"/>
  </r>
  <r>
    <x v="1655"/>
    <d v="2024-10-02T00:00:00"/>
    <x v="2"/>
    <x v="0"/>
    <n v="114"/>
    <n v="60"/>
    <n v="6.1"/>
    <x v="0"/>
    <x v="1"/>
    <x v="0"/>
    <x v="0"/>
    <x v="0"/>
    <x v="0"/>
    <x v="0"/>
    <x v="0"/>
    <x v="0"/>
    <n v="1"/>
    <s v="Acceptable"/>
    <s v="3 Days"/>
    <x v="7"/>
    <s v="Wednesday"/>
    <n v="4"/>
  </r>
  <r>
    <x v="1656"/>
    <d v="2024-11-14T00:00:00"/>
    <x v="3"/>
    <x v="2"/>
    <n v="127"/>
    <n v="18"/>
    <n v="3.1"/>
    <x v="1"/>
    <x v="1"/>
    <x v="0"/>
    <x v="2"/>
    <x v="2"/>
    <x v="1"/>
    <x v="1"/>
    <x v="3"/>
    <x v="0"/>
    <n v="0"/>
    <s v="Slow"/>
    <s v="1 Day"/>
    <x v="6"/>
    <s v="Thursday"/>
    <n v="1"/>
  </r>
  <r>
    <x v="1657"/>
    <d v="2024-08-30T00:00:00"/>
    <x v="1"/>
    <x v="2"/>
    <n v="188"/>
    <n v="8"/>
    <n v="6.9"/>
    <x v="1"/>
    <x v="1"/>
    <x v="0"/>
    <x v="2"/>
    <x v="2"/>
    <x v="0"/>
    <x v="1"/>
    <x v="0"/>
    <x v="0"/>
    <n v="0"/>
    <s v="Slow"/>
    <s v="Same Day"/>
    <x v="0"/>
    <s v="Friday"/>
    <n v="1"/>
  </r>
  <r>
    <x v="1658"/>
    <d v="2024-07-29T00:00:00"/>
    <x v="4"/>
    <x v="3"/>
    <n v="77"/>
    <n v="52"/>
    <n v="5.5"/>
    <x v="1"/>
    <x v="2"/>
    <x v="0"/>
    <x v="3"/>
    <x v="3"/>
    <x v="1"/>
    <x v="1"/>
    <x v="0"/>
    <x v="0"/>
    <n v="0"/>
    <s v="Acceptable"/>
    <s v="3 Days"/>
    <x v="10"/>
    <s v="Monday"/>
    <n v="2"/>
  </r>
  <r>
    <x v="1659"/>
    <d v="2024-06-24T00:00:00"/>
    <x v="0"/>
    <x v="0"/>
    <n v="175"/>
    <n v="36"/>
    <n v="7.5"/>
    <x v="1"/>
    <x v="0"/>
    <x v="1"/>
    <x v="0"/>
    <x v="0"/>
    <x v="0"/>
    <x v="0"/>
    <x v="0"/>
    <x v="1"/>
    <n v="0"/>
    <s v="Slow"/>
    <s v="2 Days"/>
    <x v="4"/>
    <s v="Monday"/>
    <n v="4"/>
  </r>
  <r>
    <x v="1660"/>
    <d v="2024-05-07T00:00:00"/>
    <x v="1"/>
    <x v="3"/>
    <n v="94"/>
    <n v="68"/>
    <n v="3"/>
    <x v="0"/>
    <x v="0"/>
    <x v="0"/>
    <x v="3"/>
    <x v="3"/>
    <x v="1"/>
    <x v="1"/>
    <x v="3"/>
    <x v="0"/>
    <n v="1"/>
    <s v="Acceptable"/>
    <s v="3 Days"/>
    <x v="1"/>
    <s v="Tuesday"/>
    <n v="2"/>
  </r>
  <r>
    <x v="1661"/>
    <d v="2024-09-16T00:00:00"/>
    <x v="1"/>
    <x v="1"/>
    <n v="226"/>
    <n v="51"/>
    <n v="2.2000000000000002"/>
    <x v="0"/>
    <x v="1"/>
    <x v="0"/>
    <x v="1"/>
    <x v="1"/>
    <x v="1"/>
    <x v="1"/>
    <x v="3"/>
    <x v="0"/>
    <n v="1"/>
    <s v="Slow"/>
    <s v="3 Days"/>
    <x v="5"/>
    <s v="Monday"/>
    <n v="3"/>
  </r>
  <r>
    <x v="1662"/>
    <d v="2024-11-09T00:00:00"/>
    <x v="3"/>
    <x v="2"/>
    <n v="16"/>
    <n v="54"/>
    <n v="5.9"/>
    <x v="0"/>
    <x v="2"/>
    <x v="1"/>
    <x v="2"/>
    <x v="2"/>
    <x v="1"/>
    <x v="0"/>
    <x v="0"/>
    <x v="1"/>
    <n v="1"/>
    <s v="Very Fast"/>
    <s v="3 Days"/>
    <x v="6"/>
    <s v="Saturday"/>
    <n v="1"/>
  </r>
  <r>
    <x v="1663"/>
    <d v="2024-07-18T00:00:00"/>
    <x v="0"/>
    <x v="1"/>
    <n v="141"/>
    <n v="24"/>
    <n v="3.6"/>
    <x v="1"/>
    <x v="1"/>
    <x v="0"/>
    <x v="1"/>
    <x v="1"/>
    <x v="0"/>
    <x v="1"/>
    <x v="3"/>
    <x v="0"/>
    <n v="0"/>
    <s v="Slow"/>
    <s v="1 Day"/>
    <x v="10"/>
    <s v="Thursday"/>
    <n v="3"/>
  </r>
  <r>
    <x v="1664"/>
    <d v="2024-09-20T00:00:00"/>
    <x v="2"/>
    <x v="3"/>
    <n v="176"/>
    <n v="25"/>
    <n v="1"/>
    <x v="0"/>
    <x v="2"/>
    <x v="0"/>
    <x v="3"/>
    <x v="3"/>
    <x v="1"/>
    <x v="1"/>
    <x v="1"/>
    <x v="0"/>
    <n v="1"/>
    <s v="Slow"/>
    <s v="2 Days"/>
    <x v="5"/>
    <s v="Friday"/>
    <n v="2"/>
  </r>
  <r>
    <x v="1665"/>
    <d v="2024-06-06T00:00:00"/>
    <x v="3"/>
    <x v="1"/>
    <n v="100"/>
    <n v="37"/>
    <n v="3.3"/>
    <x v="0"/>
    <x v="0"/>
    <x v="0"/>
    <x v="1"/>
    <x v="1"/>
    <x v="0"/>
    <x v="0"/>
    <x v="3"/>
    <x v="0"/>
    <n v="1"/>
    <s v="Acceptable"/>
    <s v="2 Days"/>
    <x v="4"/>
    <s v="Thursday"/>
    <n v="3"/>
  </r>
  <r>
    <x v="1666"/>
    <d v="2024-01-22T00:00:00"/>
    <x v="4"/>
    <x v="0"/>
    <n v="234"/>
    <n v="41"/>
    <n v="3.1"/>
    <x v="0"/>
    <x v="2"/>
    <x v="0"/>
    <x v="0"/>
    <x v="0"/>
    <x v="0"/>
    <x v="0"/>
    <x v="3"/>
    <x v="0"/>
    <n v="1"/>
    <s v="Slow"/>
    <s v="2 Days"/>
    <x v="8"/>
    <s v="Monday"/>
    <n v="4"/>
  </r>
  <r>
    <x v="1667"/>
    <d v="2024-08-01T00:00:00"/>
    <x v="4"/>
    <x v="0"/>
    <n v="238"/>
    <n v="72"/>
    <n v="8.4"/>
    <x v="1"/>
    <x v="2"/>
    <x v="1"/>
    <x v="0"/>
    <x v="0"/>
    <x v="0"/>
    <x v="0"/>
    <x v="2"/>
    <x v="1"/>
    <n v="0"/>
    <s v="Slow"/>
    <s v="3 Days"/>
    <x v="0"/>
    <s v="Thursday"/>
    <n v="4"/>
  </r>
  <r>
    <x v="1668"/>
    <d v="2024-01-17T00:00:00"/>
    <x v="2"/>
    <x v="0"/>
    <n v="211"/>
    <n v="13"/>
    <n v="4.7"/>
    <x v="0"/>
    <x v="1"/>
    <x v="0"/>
    <x v="0"/>
    <x v="0"/>
    <x v="0"/>
    <x v="0"/>
    <x v="3"/>
    <x v="0"/>
    <n v="1"/>
    <s v="Slow"/>
    <s v="1 Day"/>
    <x v="8"/>
    <s v="Wednesday"/>
    <n v="4"/>
  </r>
  <r>
    <x v="1669"/>
    <d v="2024-04-02T00:00:00"/>
    <x v="1"/>
    <x v="2"/>
    <n v="229"/>
    <n v="5"/>
    <n v="6.1"/>
    <x v="1"/>
    <x v="0"/>
    <x v="1"/>
    <x v="2"/>
    <x v="2"/>
    <x v="0"/>
    <x v="1"/>
    <x v="0"/>
    <x v="1"/>
    <n v="0"/>
    <s v="Slow"/>
    <s v="Same Day"/>
    <x v="3"/>
    <s v="Tuesday"/>
    <n v="1"/>
  </r>
  <r>
    <x v="1670"/>
    <d v="2024-06-27T00:00:00"/>
    <x v="4"/>
    <x v="3"/>
    <n v="124"/>
    <n v="38"/>
    <n v="6.4"/>
    <x v="0"/>
    <x v="1"/>
    <x v="0"/>
    <x v="3"/>
    <x v="3"/>
    <x v="1"/>
    <x v="1"/>
    <x v="0"/>
    <x v="0"/>
    <n v="1"/>
    <s v="Slow"/>
    <s v="2 Days"/>
    <x v="4"/>
    <s v="Thursday"/>
    <n v="2"/>
  </r>
  <r>
    <x v="1671"/>
    <d v="2024-09-07T00:00:00"/>
    <x v="1"/>
    <x v="2"/>
    <n v="8"/>
    <n v="67"/>
    <n v="1.3"/>
    <x v="1"/>
    <x v="2"/>
    <x v="1"/>
    <x v="2"/>
    <x v="2"/>
    <x v="1"/>
    <x v="0"/>
    <x v="1"/>
    <x v="1"/>
    <n v="0"/>
    <s v="Very Fast"/>
    <s v="3 Days"/>
    <x v="5"/>
    <s v="Saturday"/>
    <n v="1"/>
  </r>
  <r>
    <x v="1672"/>
    <d v="2024-05-15T00:00:00"/>
    <x v="0"/>
    <x v="2"/>
    <n v="142"/>
    <n v="33"/>
    <n v="7.8"/>
    <x v="1"/>
    <x v="2"/>
    <x v="0"/>
    <x v="2"/>
    <x v="2"/>
    <x v="1"/>
    <x v="1"/>
    <x v="0"/>
    <x v="0"/>
    <n v="0"/>
    <s v="Slow"/>
    <s v="2 Days"/>
    <x v="1"/>
    <s v="Wednesday"/>
    <n v="1"/>
  </r>
  <r>
    <x v="1673"/>
    <d v="2024-01-02T00:00:00"/>
    <x v="4"/>
    <x v="0"/>
    <n v="131"/>
    <n v="57"/>
    <n v="9.9"/>
    <x v="0"/>
    <x v="1"/>
    <x v="0"/>
    <x v="0"/>
    <x v="0"/>
    <x v="0"/>
    <x v="0"/>
    <x v="2"/>
    <x v="0"/>
    <n v="1"/>
    <s v="Slow"/>
    <s v="3 Days"/>
    <x v="8"/>
    <s v="Tuesday"/>
    <n v="4"/>
  </r>
  <r>
    <x v="1674"/>
    <d v="2024-03-01T00:00:00"/>
    <x v="4"/>
    <x v="2"/>
    <n v="157"/>
    <n v="24"/>
    <n v="9.6"/>
    <x v="0"/>
    <x v="1"/>
    <x v="0"/>
    <x v="2"/>
    <x v="2"/>
    <x v="1"/>
    <x v="1"/>
    <x v="2"/>
    <x v="0"/>
    <n v="1"/>
    <s v="Slow"/>
    <s v="1 Day"/>
    <x v="2"/>
    <s v="Friday"/>
    <n v="1"/>
  </r>
  <r>
    <x v="1675"/>
    <d v="2024-08-19T00:00:00"/>
    <x v="0"/>
    <x v="1"/>
    <n v="122"/>
    <n v="33"/>
    <n v="4.8"/>
    <x v="0"/>
    <x v="2"/>
    <x v="0"/>
    <x v="1"/>
    <x v="1"/>
    <x v="0"/>
    <x v="1"/>
    <x v="3"/>
    <x v="0"/>
    <n v="1"/>
    <s v="Slow"/>
    <s v="2 Days"/>
    <x v="0"/>
    <s v="Monday"/>
    <n v="3"/>
  </r>
  <r>
    <x v="1676"/>
    <d v="2024-02-07T00:00:00"/>
    <x v="1"/>
    <x v="0"/>
    <n v="211"/>
    <n v="4"/>
    <n v="6.3"/>
    <x v="1"/>
    <x v="0"/>
    <x v="2"/>
    <x v="0"/>
    <x v="0"/>
    <x v="0"/>
    <x v="0"/>
    <x v="0"/>
    <x v="2"/>
    <n v="0"/>
    <s v="Slow"/>
    <s v="Same Day"/>
    <x v="9"/>
    <s v="Wednesday"/>
    <n v="4"/>
  </r>
  <r>
    <x v="1677"/>
    <d v="2024-05-24T00:00:00"/>
    <x v="0"/>
    <x v="3"/>
    <n v="179"/>
    <n v="34"/>
    <n v="4.2"/>
    <x v="1"/>
    <x v="1"/>
    <x v="0"/>
    <x v="3"/>
    <x v="3"/>
    <x v="1"/>
    <x v="1"/>
    <x v="3"/>
    <x v="0"/>
    <n v="0"/>
    <s v="Slow"/>
    <s v="2 Days"/>
    <x v="1"/>
    <s v="Friday"/>
    <n v="2"/>
  </r>
  <r>
    <x v="1678"/>
    <d v="2024-03-26T00:00:00"/>
    <x v="0"/>
    <x v="2"/>
    <n v="161"/>
    <n v="43"/>
    <n v="7.8"/>
    <x v="1"/>
    <x v="0"/>
    <x v="0"/>
    <x v="2"/>
    <x v="2"/>
    <x v="1"/>
    <x v="1"/>
    <x v="0"/>
    <x v="0"/>
    <n v="0"/>
    <s v="Slow"/>
    <s v="2 Days"/>
    <x v="2"/>
    <s v="Tuesday"/>
    <n v="1"/>
  </r>
  <r>
    <x v="1679"/>
    <d v="2024-07-16T00:00:00"/>
    <x v="4"/>
    <x v="3"/>
    <n v="230"/>
    <n v="44"/>
    <n v="5.4"/>
    <x v="1"/>
    <x v="2"/>
    <x v="0"/>
    <x v="3"/>
    <x v="3"/>
    <x v="1"/>
    <x v="1"/>
    <x v="0"/>
    <x v="0"/>
    <n v="0"/>
    <s v="Slow"/>
    <s v="2 Days"/>
    <x v="10"/>
    <s v="Tuesday"/>
    <n v="2"/>
  </r>
  <r>
    <x v="1680"/>
    <d v="2024-11-04T00:00:00"/>
    <x v="2"/>
    <x v="0"/>
    <n v="159"/>
    <n v="56"/>
    <n v="6.3"/>
    <x v="1"/>
    <x v="1"/>
    <x v="1"/>
    <x v="0"/>
    <x v="0"/>
    <x v="0"/>
    <x v="0"/>
    <x v="0"/>
    <x v="1"/>
    <n v="0"/>
    <s v="Slow"/>
    <s v="3 Days"/>
    <x v="6"/>
    <s v="Monday"/>
    <n v="4"/>
  </r>
  <r>
    <x v="1681"/>
    <d v="2024-01-04T00:00:00"/>
    <x v="2"/>
    <x v="2"/>
    <n v="222"/>
    <n v="40"/>
    <n v="7.1"/>
    <x v="1"/>
    <x v="1"/>
    <x v="0"/>
    <x v="2"/>
    <x v="2"/>
    <x v="1"/>
    <x v="1"/>
    <x v="0"/>
    <x v="0"/>
    <n v="0"/>
    <s v="Slow"/>
    <s v="2 Days"/>
    <x v="8"/>
    <s v="Thursday"/>
    <n v="1"/>
  </r>
  <r>
    <x v="1682"/>
    <d v="2024-03-19T00:00:00"/>
    <x v="0"/>
    <x v="0"/>
    <n v="81"/>
    <n v="16"/>
    <n v="9.9"/>
    <x v="1"/>
    <x v="1"/>
    <x v="1"/>
    <x v="0"/>
    <x v="0"/>
    <x v="0"/>
    <x v="0"/>
    <x v="2"/>
    <x v="1"/>
    <n v="0"/>
    <s v="Acceptable"/>
    <s v="1 Day"/>
    <x v="2"/>
    <s v="Tuesday"/>
    <n v="4"/>
  </r>
  <r>
    <x v="1683"/>
    <d v="2024-02-07T00:00:00"/>
    <x v="4"/>
    <x v="2"/>
    <n v="72"/>
    <n v="51"/>
    <n v="2.9"/>
    <x v="0"/>
    <x v="1"/>
    <x v="0"/>
    <x v="2"/>
    <x v="2"/>
    <x v="1"/>
    <x v="1"/>
    <x v="3"/>
    <x v="0"/>
    <n v="1"/>
    <s v="Acceptable"/>
    <s v="3 Days"/>
    <x v="9"/>
    <s v="Wednesday"/>
    <n v="1"/>
  </r>
  <r>
    <x v="1684"/>
    <d v="2024-04-29T00:00:00"/>
    <x v="3"/>
    <x v="1"/>
    <n v="53"/>
    <n v="69"/>
    <n v="1.2"/>
    <x v="1"/>
    <x v="2"/>
    <x v="0"/>
    <x v="1"/>
    <x v="1"/>
    <x v="1"/>
    <x v="0"/>
    <x v="1"/>
    <x v="0"/>
    <n v="0"/>
    <s v="Acceptable"/>
    <s v="3 Days"/>
    <x v="3"/>
    <s v="Monday"/>
    <n v="3"/>
  </r>
  <r>
    <x v="1685"/>
    <d v="2024-02-29T00:00:00"/>
    <x v="0"/>
    <x v="0"/>
    <n v="57"/>
    <n v="37"/>
    <n v="2.4"/>
    <x v="1"/>
    <x v="0"/>
    <x v="0"/>
    <x v="0"/>
    <x v="0"/>
    <x v="0"/>
    <x v="0"/>
    <x v="3"/>
    <x v="0"/>
    <n v="0"/>
    <s v="Acceptable"/>
    <s v="2 Days"/>
    <x v="9"/>
    <s v="Thursday"/>
    <n v="4"/>
  </r>
  <r>
    <x v="1686"/>
    <d v="2024-12-16T00:00:00"/>
    <x v="1"/>
    <x v="0"/>
    <n v="62"/>
    <n v="60"/>
    <n v="6.3"/>
    <x v="0"/>
    <x v="0"/>
    <x v="0"/>
    <x v="0"/>
    <x v="0"/>
    <x v="0"/>
    <x v="0"/>
    <x v="0"/>
    <x v="0"/>
    <n v="1"/>
    <s v="Acceptable"/>
    <s v="3 Days"/>
    <x v="11"/>
    <s v="Monday"/>
    <n v="4"/>
  </r>
  <r>
    <x v="1687"/>
    <d v="2024-11-26T00:00:00"/>
    <x v="4"/>
    <x v="2"/>
    <n v="59"/>
    <n v="42"/>
    <n v="6.6"/>
    <x v="1"/>
    <x v="0"/>
    <x v="0"/>
    <x v="2"/>
    <x v="2"/>
    <x v="1"/>
    <x v="1"/>
    <x v="0"/>
    <x v="0"/>
    <n v="0"/>
    <s v="Acceptable"/>
    <s v="2 Days"/>
    <x v="6"/>
    <s v="Tuesday"/>
    <n v="1"/>
  </r>
  <r>
    <x v="1688"/>
    <d v="2024-07-28T00:00:00"/>
    <x v="1"/>
    <x v="3"/>
    <n v="202"/>
    <n v="58"/>
    <n v="0.5"/>
    <x v="1"/>
    <x v="2"/>
    <x v="0"/>
    <x v="3"/>
    <x v="3"/>
    <x v="1"/>
    <x v="1"/>
    <x v="1"/>
    <x v="0"/>
    <n v="0"/>
    <s v="Slow"/>
    <s v="3 Days"/>
    <x v="10"/>
    <s v="Sunday"/>
    <n v="2"/>
  </r>
  <r>
    <x v="1689"/>
    <d v="2024-08-19T00:00:00"/>
    <x v="2"/>
    <x v="3"/>
    <n v="63"/>
    <n v="16"/>
    <n v="9.6"/>
    <x v="1"/>
    <x v="2"/>
    <x v="0"/>
    <x v="3"/>
    <x v="3"/>
    <x v="0"/>
    <x v="1"/>
    <x v="2"/>
    <x v="0"/>
    <n v="0"/>
    <s v="Acceptable"/>
    <s v="1 Day"/>
    <x v="0"/>
    <s v="Monday"/>
    <n v="2"/>
  </r>
  <r>
    <x v="1690"/>
    <d v="2024-06-03T00:00:00"/>
    <x v="2"/>
    <x v="1"/>
    <n v="233"/>
    <n v="11"/>
    <n v="7.3"/>
    <x v="1"/>
    <x v="0"/>
    <x v="1"/>
    <x v="1"/>
    <x v="1"/>
    <x v="0"/>
    <x v="1"/>
    <x v="0"/>
    <x v="1"/>
    <n v="0"/>
    <s v="Slow"/>
    <s v="1 Day"/>
    <x v="4"/>
    <s v="Monday"/>
    <n v="3"/>
  </r>
  <r>
    <x v="1691"/>
    <d v="2024-05-24T00:00:00"/>
    <x v="4"/>
    <x v="0"/>
    <n v="24"/>
    <n v="44"/>
    <n v="7.7"/>
    <x v="1"/>
    <x v="1"/>
    <x v="2"/>
    <x v="0"/>
    <x v="0"/>
    <x v="0"/>
    <x v="0"/>
    <x v="0"/>
    <x v="2"/>
    <n v="0"/>
    <s v="Very Fast"/>
    <s v="2 Days"/>
    <x v="1"/>
    <s v="Friday"/>
    <n v="4"/>
  </r>
  <r>
    <x v="1692"/>
    <d v="2024-04-14T00:00:00"/>
    <x v="0"/>
    <x v="0"/>
    <n v="172"/>
    <n v="30"/>
    <n v="3.5"/>
    <x v="0"/>
    <x v="1"/>
    <x v="0"/>
    <x v="0"/>
    <x v="0"/>
    <x v="0"/>
    <x v="0"/>
    <x v="3"/>
    <x v="0"/>
    <n v="1"/>
    <s v="Slow"/>
    <s v="2 Days"/>
    <x v="3"/>
    <s v="Sunday"/>
    <n v="4"/>
  </r>
  <r>
    <x v="1693"/>
    <d v="2024-05-22T00:00:00"/>
    <x v="0"/>
    <x v="3"/>
    <n v="219"/>
    <n v="3"/>
    <n v="8.9"/>
    <x v="1"/>
    <x v="0"/>
    <x v="1"/>
    <x v="3"/>
    <x v="3"/>
    <x v="0"/>
    <x v="1"/>
    <x v="2"/>
    <x v="1"/>
    <n v="0"/>
    <s v="Slow"/>
    <s v="Same Day"/>
    <x v="1"/>
    <s v="Wednesday"/>
    <n v="2"/>
  </r>
  <r>
    <x v="1694"/>
    <d v="2024-06-02T00:00:00"/>
    <x v="3"/>
    <x v="0"/>
    <n v="22"/>
    <n v="33"/>
    <n v="4.9000000000000004"/>
    <x v="1"/>
    <x v="1"/>
    <x v="1"/>
    <x v="0"/>
    <x v="0"/>
    <x v="0"/>
    <x v="0"/>
    <x v="3"/>
    <x v="1"/>
    <n v="0"/>
    <s v="Very Fast"/>
    <s v="2 Days"/>
    <x v="4"/>
    <s v="Sunday"/>
    <n v="4"/>
  </r>
  <r>
    <x v="1695"/>
    <d v="2024-03-18T00:00:00"/>
    <x v="4"/>
    <x v="3"/>
    <n v="146"/>
    <n v="72"/>
    <n v="4.4000000000000004"/>
    <x v="0"/>
    <x v="1"/>
    <x v="0"/>
    <x v="3"/>
    <x v="3"/>
    <x v="1"/>
    <x v="1"/>
    <x v="3"/>
    <x v="0"/>
    <n v="1"/>
    <s v="Slow"/>
    <s v="3 Days"/>
    <x v="2"/>
    <s v="Monday"/>
    <n v="2"/>
  </r>
  <r>
    <x v="1696"/>
    <d v="2024-10-26T00:00:00"/>
    <x v="0"/>
    <x v="0"/>
    <n v="134"/>
    <n v="61"/>
    <n v="5.3"/>
    <x v="0"/>
    <x v="1"/>
    <x v="0"/>
    <x v="0"/>
    <x v="0"/>
    <x v="0"/>
    <x v="0"/>
    <x v="0"/>
    <x v="0"/>
    <n v="1"/>
    <s v="Slow"/>
    <s v="3 Days"/>
    <x v="7"/>
    <s v="Saturday"/>
    <n v="4"/>
  </r>
  <r>
    <x v="1697"/>
    <d v="2024-03-15T00:00:00"/>
    <x v="0"/>
    <x v="0"/>
    <n v="17"/>
    <n v="37"/>
    <n v="4.4000000000000004"/>
    <x v="1"/>
    <x v="2"/>
    <x v="1"/>
    <x v="0"/>
    <x v="0"/>
    <x v="0"/>
    <x v="0"/>
    <x v="3"/>
    <x v="1"/>
    <n v="0"/>
    <s v="Very Fast"/>
    <s v="2 Days"/>
    <x v="2"/>
    <s v="Friday"/>
    <n v="4"/>
  </r>
  <r>
    <x v="1698"/>
    <d v="2024-10-31T00:00:00"/>
    <x v="0"/>
    <x v="2"/>
    <n v="171"/>
    <n v="22"/>
    <n v="6.7"/>
    <x v="1"/>
    <x v="2"/>
    <x v="0"/>
    <x v="2"/>
    <x v="2"/>
    <x v="1"/>
    <x v="1"/>
    <x v="0"/>
    <x v="0"/>
    <n v="0"/>
    <s v="Slow"/>
    <s v="1 Day"/>
    <x v="7"/>
    <s v="Thursday"/>
    <n v="1"/>
  </r>
  <r>
    <x v="1699"/>
    <d v="2024-11-17T00:00:00"/>
    <x v="4"/>
    <x v="1"/>
    <n v="120"/>
    <n v="18"/>
    <n v="6.1"/>
    <x v="1"/>
    <x v="0"/>
    <x v="1"/>
    <x v="1"/>
    <x v="1"/>
    <x v="0"/>
    <x v="0"/>
    <x v="0"/>
    <x v="1"/>
    <n v="0"/>
    <s v="Acceptable"/>
    <s v="1 Day"/>
    <x v="6"/>
    <s v="Sunday"/>
    <n v="3"/>
  </r>
  <r>
    <x v="1700"/>
    <d v="2024-06-07T00:00:00"/>
    <x v="1"/>
    <x v="0"/>
    <n v="45"/>
    <n v="37"/>
    <n v="5.4"/>
    <x v="0"/>
    <x v="2"/>
    <x v="0"/>
    <x v="0"/>
    <x v="0"/>
    <x v="0"/>
    <x v="0"/>
    <x v="0"/>
    <x v="0"/>
    <n v="1"/>
    <s v="Acceptable"/>
    <s v="2 Days"/>
    <x v="4"/>
    <s v="Friday"/>
    <n v="4"/>
  </r>
  <r>
    <x v="1701"/>
    <d v="2024-04-07T00:00:00"/>
    <x v="0"/>
    <x v="0"/>
    <n v="62"/>
    <n v="17"/>
    <n v="9.3000000000000007"/>
    <x v="0"/>
    <x v="2"/>
    <x v="0"/>
    <x v="0"/>
    <x v="0"/>
    <x v="0"/>
    <x v="0"/>
    <x v="2"/>
    <x v="0"/>
    <n v="1"/>
    <s v="Acceptable"/>
    <s v="1 Day"/>
    <x v="3"/>
    <s v="Sunday"/>
    <n v="4"/>
  </r>
  <r>
    <x v="1702"/>
    <d v="2024-05-01T00:00:00"/>
    <x v="1"/>
    <x v="0"/>
    <n v="161"/>
    <n v="70"/>
    <n v="9"/>
    <x v="0"/>
    <x v="1"/>
    <x v="0"/>
    <x v="0"/>
    <x v="0"/>
    <x v="0"/>
    <x v="0"/>
    <x v="2"/>
    <x v="0"/>
    <n v="1"/>
    <s v="Slow"/>
    <s v="3 Days"/>
    <x v="1"/>
    <s v="Wednesday"/>
    <n v="4"/>
  </r>
  <r>
    <x v="1703"/>
    <d v="2024-06-08T00:00:00"/>
    <x v="0"/>
    <x v="2"/>
    <n v="22"/>
    <n v="64"/>
    <n v="0.8"/>
    <x v="0"/>
    <x v="1"/>
    <x v="0"/>
    <x v="2"/>
    <x v="2"/>
    <x v="1"/>
    <x v="0"/>
    <x v="1"/>
    <x v="0"/>
    <n v="1"/>
    <s v="Very Fast"/>
    <s v="3 Days"/>
    <x v="4"/>
    <s v="Saturday"/>
    <n v="1"/>
  </r>
  <r>
    <x v="1704"/>
    <d v="2024-10-19T00:00:00"/>
    <x v="1"/>
    <x v="2"/>
    <n v="95"/>
    <n v="64"/>
    <n v="3.7"/>
    <x v="1"/>
    <x v="0"/>
    <x v="0"/>
    <x v="2"/>
    <x v="2"/>
    <x v="1"/>
    <x v="1"/>
    <x v="3"/>
    <x v="0"/>
    <n v="0"/>
    <s v="Acceptable"/>
    <s v="3 Days"/>
    <x v="7"/>
    <s v="Saturday"/>
    <n v="1"/>
  </r>
  <r>
    <x v="1705"/>
    <d v="2024-05-18T00:00:00"/>
    <x v="4"/>
    <x v="2"/>
    <n v="168"/>
    <n v="22"/>
    <n v="9.9"/>
    <x v="1"/>
    <x v="1"/>
    <x v="0"/>
    <x v="2"/>
    <x v="2"/>
    <x v="1"/>
    <x v="1"/>
    <x v="2"/>
    <x v="0"/>
    <n v="0"/>
    <s v="Slow"/>
    <s v="1 Day"/>
    <x v="1"/>
    <s v="Saturday"/>
    <n v="1"/>
  </r>
  <r>
    <x v="1706"/>
    <d v="2024-04-20T00:00:00"/>
    <x v="4"/>
    <x v="0"/>
    <n v="113"/>
    <n v="29"/>
    <n v="8.1"/>
    <x v="1"/>
    <x v="0"/>
    <x v="1"/>
    <x v="0"/>
    <x v="0"/>
    <x v="0"/>
    <x v="0"/>
    <x v="2"/>
    <x v="1"/>
    <n v="0"/>
    <s v="Acceptable"/>
    <s v="2 Days"/>
    <x v="3"/>
    <s v="Saturday"/>
    <n v="4"/>
  </r>
  <r>
    <x v="1707"/>
    <d v="2024-11-12T00:00:00"/>
    <x v="3"/>
    <x v="3"/>
    <n v="202"/>
    <n v="48"/>
    <n v="6.7"/>
    <x v="1"/>
    <x v="1"/>
    <x v="0"/>
    <x v="3"/>
    <x v="3"/>
    <x v="1"/>
    <x v="1"/>
    <x v="0"/>
    <x v="0"/>
    <n v="0"/>
    <s v="Slow"/>
    <s v="2 Days"/>
    <x v="6"/>
    <s v="Tuesday"/>
    <n v="2"/>
  </r>
  <r>
    <x v="1708"/>
    <d v="2024-10-10T00:00:00"/>
    <x v="2"/>
    <x v="0"/>
    <n v="224"/>
    <n v="66"/>
    <n v="4.5"/>
    <x v="1"/>
    <x v="2"/>
    <x v="0"/>
    <x v="0"/>
    <x v="0"/>
    <x v="0"/>
    <x v="0"/>
    <x v="3"/>
    <x v="0"/>
    <n v="0"/>
    <s v="Slow"/>
    <s v="3 Days"/>
    <x v="7"/>
    <s v="Thursday"/>
    <n v="4"/>
  </r>
  <r>
    <x v="1709"/>
    <d v="2024-09-10T00:00:00"/>
    <x v="3"/>
    <x v="1"/>
    <n v="41"/>
    <n v="42"/>
    <n v="4.5999999999999996"/>
    <x v="0"/>
    <x v="2"/>
    <x v="0"/>
    <x v="1"/>
    <x v="1"/>
    <x v="0"/>
    <x v="0"/>
    <x v="3"/>
    <x v="0"/>
    <n v="1"/>
    <s v="Acceptable"/>
    <s v="2 Days"/>
    <x v="5"/>
    <s v="Tuesday"/>
    <n v="3"/>
  </r>
  <r>
    <x v="1710"/>
    <d v="2024-03-04T00:00:00"/>
    <x v="0"/>
    <x v="1"/>
    <n v="136"/>
    <n v="15"/>
    <n v="1.1000000000000001"/>
    <x v="0"/>
    <x v="1"/>
    <x v="0"/>
    <x v="1"/>
    <x v="1"/>
    <x v="0"/>
    <x v="1"/>
    <x v="1"/>
    <x v="0"/>
    <n v="1"/>
    <s v="Slow"/>
    <s v="1 Day"/>
    <x v="2"/>
    <s v="Monday"/>
    <n v="3"/>
  </r>
  <r>
    <x v="1711"/>
    <d v="2024-12-09T00:00:00"/>
    <x v="0"/>
    <x v="3"/>
    <n v="53"/>
    <n v="36"/>
    <n v="0.9"/>
    <x v="0"/>
    <x v="1"/>
    <x v="0"/>
    <x v="3"/>
    <x v="3"/>
    <x v="1"/>
    <x v="0"/>
    <x v="1"/>
    <x v="0"/>
    <n v="1"/>
    <s v="Acceptable"/>
    <s v="2 Days"/>
    <x v="11"/>
    <s v="Monday"/>
    <n v="2"/>
  </r>
  <r>
    <x v="1712"/>
    <d v="2024-12-10T00:00:00"/>
    <x v="4"/>
    <x v="0"/>
    <n v="80"/>
    <n v="23"/>
    <n v="0.6"/>
    <x v="1"/>
    <x v="1"/>
    <x v="0"/>
    <x v="0"/>
    <x v="0"/>
    <x v="0"/>
    <x v="0"/>
    <x v="1"/>
    <x v="0"/>
    <n v="0"/>
    <s v="Acceptable"/>
    <s v="1 Day"/>
    <x v="11"/>
    <s v="Tuesday"/>
    <n v="4"/>
  </r>
  <r>
    <x v="1713"/>
    <d v="2024-11-01T00:00:00"/>
    <x v="3"/>
    <x v="2"/>
    <n v="210"/>
    <n v="30"/>
    <n v="3.4"/>
    <x v="1"/>
    <x v="1"/>
    <x v="0"/>
    <x v="2"/>
    <x v="2"/>
    <x v="1"/>
    <x v="1"/>
    <x v="3"/>
    <x v="0"/>
    <n v="0"/>
    <s v="Slow"/>
    <s v="2 Days"/>
    <x v="6"/>
    <s v="Friday"/>
    <n v="1"/>
  </r>
  <r>
    <x v="1714"/>
    <d v="2024-11-20T00:00:00"/>
    <x v="4"/>
    <x v="2"/>
    <n v="211"/>
    <n v="22"/>
    <n v="5.8"/>
    <x v="1"/>
    <x v="1"/>
    <x v="0"/>
    <x v="2"/>
    <x v="2"/>
    <x v="1"/>
    <x v="1"/>
    <x v="0"/>
    <x v="0"/>
    <n v="0"/>
    <s v="Slow"/>
    <s v="1 Day"/>
    <x v="6"/>
    <s v="Wednesday"/>
    <n v="1"/>
  </r>
  <r>
    <x v="1715"/>
    <d v="2024-02-06T00:00:00"/>
    <x v="2"/>
    <x v="1"/>
    <n v="69"/>
    <n v="15"/>
    <n v="4.7"/>
    <x v="0"/>
    <x v="2"/>
    <x v="0"/>
    <x v="1"/>
    <x v="1"/>
    <x v="0"/>
    <x v="0"/>
    <x v="3"/>
    <x v="0"/>
    <n v="1"/>
    <s v="Acceptable"/>
    <s v="1 Day"/>
    <x v="9"/>
    <s v="Tuesday"/>
    <n v="3"/>
  </r>
  <r>
    <x v="1716"/>
    <d v="2024-06-12T00:00:00"/>
    <x v="3"/>
    <x v="0"/>
    <n v="198"/>
    <n v="32"/>
    <n v="1.6"/>
    <x v="0"/>
    <x v="0"/>
    <x v="0"/>
    <x v="0"/>
    <x v="0"/>
    <x v="0"/>
    <x v="0"/>
    <x v="1"/>
    <x v="0"/>
    <n v="1"/>
    <s v="Slow"/>
    <s v="2 Days"/>
    <x v="4"/>
    <s v="Wednesday"/>
    <n v="4"/>
  </r>
  <r>
    <x v="1717"/>
    <d v="2024-07-25T00:00:00"/>
    <x v="3"/>
    <x v="1"/>
    <n v="199"/>
    <n v="61"/>
    <n v="3.8"/>
    <x v="0"/>
    <x v="0"/>
    <x v="0"/>
    <x v="1"/>
    <x v="1"/>
    <x v="1"/>
    <x v="1"/>
    <x v="3"/>
    <x v="0"/>
    <n v="1"/>
    <s v="Slow"/>
    <s v="3 Days"/>
    <x v="10"/>
    <s v="Thursday"/>
    <n v="3"/>
  </r>
  <r>
    <x v="1718"/>
    <d v="2024-08-31T00:00:00"/>
    <x v="3"/>
    <x v="1"/>
    <n v="107"/>
    <n v="69"/>
    <n v="9.5"/>
    <x v="0"/>
    <x v="0"/>
    <x v="0"/>
    <x v="1"/>
    <x v="1"/>
    <x v="1"/>
    <x v="0"/>
    <x v="2"/>
    <x v="0"/>
    <n v="1"/>
    <s v="Acceptable"/>
    <s v="3 Days"/>
    <x v="0"/>
    <s v="Saturday"/>
    <n v="3"/>
  </r>
  <r>
    <x v="1719"/>
    <d v="2024-07-29T00:00:00"/>
    <x v="3"/>
    <x v="0"/>
    <n v="153"/>
    <n v="48"/>
    <n v="9.1999999999999993"/>
    <x v="1"/>
    <x v="2"/>
    <x v="1"/>
    <x v="0"/>
    <x v="0"/>
    <x v="0"/>
    <x v="0"/>
    <x v="2"/>
    <x v="1"/>
    <n v="0"/>
    <s v="Slow"/>
    <s v="2 Days"/>
    <x v="10"/>
    <s v="Monday"/>
    <n v="4"/>
  </r>
  <r>
    <x v="1720"/>
    <d v="2024-03-21T00:00:00"/>
    <x v="4"/>
    <x v="3"/>
    <n v="187"/>
    <n v="18"/>
    <n v="1.9"/>
    <x v="0"/>
    <x v="0"/>
    <x v="0"/>
    <x v="3"/>
    <x v="3"/>
    <x v="0"/>
    <x v="1"/>
    <x v="1"/>
    <x v="0"/>
    <n v="1"/>
    <s v="Slow"/>
    <s v="1 Day"/>
    <x v="2"/>
    <s v="Thursday"/>
    <n v="2"/>
  </r>
  <r>
    <x v="1721"/>
    <d v="2024-09-10T00:00:00"/>
    <x v="4"/>
    <x v="1"/>
    <n v="27"/>
    <n v="19"/>
    <n v="1.6"/>
    <x v="0"/>
    <x v="2"/>
    <x v="1"/>
    <x v="1"/>
    <x v="1"/>
    <x v="0"/>
    <x v="0"/>
    <x v="1"/>
    <x v="1"/>
    <n v="1"/>
    <s v="Very Fast"/>
    <s v="1 Day"/>
    <x v="5"/>
    <s v="Tuesday"/>
    <n v="3"/>
  </r>
  <r>
    <x v="1722"/>
    <d v="2024-11-19T00:00:00"/>
    <x v="2"/>
    <x v="2"/>
    <n v="94"/>
    <n v="11"/>
    <n v="4.9000000000000004"/>
    <x v="0"/>
    <x v="0"/>
    <x v="0"/>
    <x v="2"/>
    <x v="2"/>
    <x v="1"/>
    <x v="1"/>
    <x v="3"/>
    <x v="0"/>
    <n v="1"/>
    <s v="Acceptable"/>
    <s v="1 Day"/>
    <x v="6"/>
    <s v="Tuesday"/>
    <n v="1"/>
  </r>
  <r>
    <x v="1723"/>
    <d v="2024-09-27T00:00:00"/>
    <x v="4"/>
    <x v="1"/>
    <n v="75"/>
    <n v="67"/>
    <n v="2.1"/>
    <x v="0"/>
    <x v="1"/>
    <x v="0"/>
    <x v="1"/>
    <x v="1"/>
    <x v="1"/>
    <x v="0"/>
    <x v="3"/>
    <x v="0"/>
    <n v="1"/>
    <s v="Acceptable"/>
    <s v="3 Days"/>
    <x v="5"/>
    <s v="Friday"/>
    <n v="3"/>
  </r>
  <r>
    <x v="1724"/>
    <d v="2024-12-19T00:00:00"/>
    <x v="3"/>
    <x v="1"/>
    <n v="76"/>
    <n v="72"/>
    <n v="8"/>
    <x v="0"/>
    <x v="0"/>
    <x v="0"/>
    <x v="1"/>
    <x v="1"/>
    <x v="1"/>
    <x v="0"/>
    <x v="0"/>
    <x v="0"/>
    <n v="1"/>
    <s v="Acceptable"/>
    <s v="3 Days"/>
    <x v="11"/>
    <s v="Thursday"/>
    <n v="3"/>
  </r>
  <r>
    <x v="1725"/>
    <d v="2024-04-24T00:00:00"/>
    <x v="1"/>
    <x v="1"/>
    <n v="39"/>
    <n v="30"/>
    <n v="3.9"/>
    <x v="0"/>
    <x v="0"/>
    <x v="0"/>
    <x v="1"/>
    <x v="1"/>
    <x v="0"/>
    <x v="0"/>
    <x v="3"/>
    <x v="0"/>
    <n v="1"/>
    <s v="Acceptable"/>
    <s v="2 Days"/>
    <x v="3"/>
    <s v="Wednesday"/>
    <n v="3"/>
  </r>
  <r>
    <x v="1726"/>
    <d v="2024-01-09T00:00:00"/>
    <x v="3"/>
    <x v="0"/>
    <n v="52"/>
    <n v="8"/>
    <n v="8.8000000000000007"/>
    <x v="1"/>
    <x v="2"/>
    <x v="1"/>
    <x v="0"/>
    <x v="0"/>
    <x v="0"/>
    <x v="0"/>
    <x v="2"/>
    <x v="1"/>
    <n v="0"/>
    <s v="Acceptable"/>
    <s v="Same Day"/>
    <x v="8"/>
    <s v="Tuesday"/>
    <n v="4"/>
  </r>
  <r>
    <x v="1727"/>
    <d v="2024-09-12T00:00:00"/>
    <x v="2"/>
    <x v="3"/>
    <n v="93"/>
    <n v="31"/>
    <n v="6.5"/>
    <x v="1"/>
    <x v="2"/>
    <x v="0"/>
    <x v="3"/>
    <x v="3"/>
    <x v="1"/>
    <x v="1"/>
    <x v="0"/>
    <x v="0"/>
    <n v="0"/>
    <s v="Acceptable"/>
    <s v="2 Days"/>
    <x v="5"/>
    <s v="Thursday"/>
    <n v="2"/>
  </r>
  <r>
    <x v="1728"/>
    <d v="2024-01-03T00:00:00"/>
    <x v="0"/>
    <x v="3"/>
    <n v="167"/>
    <n v="5"/>
    <n v="7.8"/>
    <x v="0"/>
    <x v="1"/>
    <x v="1"/>
    <x v="3"/>
    <x v="3"/>
    <x v="0"/>
    <x v="1"/>
    <x v="0"/>
    <x v="1"/>
    <n v="1"/>
    <s v="Slow"/>
    <s v="Same Day"/>
    <x v="8"/>
    <s v="Wednesday"/>
    <n v="2"/>
  </r>
  <r>
    <x v="1729"/>
    <d v="2024-06-10T00:00:00"/>
    <x v="3"/>
    <x v="3"/>
    <n v="23"/>
    <n v="47"/>
    <n v="6.5"/>
    <x v="0"/>
    <x v="2"/>
    <x v="1"/>
    <x v="3"/>
    <x v="3"/>
    <x v="1"/>
    <x v="0"/>
    <x v="0"/>
    <x v="1"/>
    <n v="1"/>
    <s v="Very Fast"/>
    <s v="2 Days"/>
    <x v="4"/>
    <s v="Monday"/>
    <n v="2"/>
  </r>
  <r>
    <x v="1730"/>
    <d v="2024-08-16T00:00:00"/>
    <x v="0"/>
    <x v="2"/>
    <n v="43"/>
    <n v="32"/>
    <n v="5.6"/>
    <x v="0"/>
    <x v="0"/>
    <x v="0"/>
    <x v="2"/>
    <x v="2"/>
    <x v="1"/>
    <x v="1"/>
    <x v="0"/>
    <x v="0"/>
    <n v="1"/>
    <s v="Acceptable"/>
    <s v="2 Days"/>
    <x v="0"/>
    <s v="Friday"/>
    <n v="1"/>
  </r>
  <r>
    <x v="1731"/>
    <d v="2024-01-27T00:00:00"/>
    <x v="2"/>
    <x v="2"/>
    <n v="36"/>
    <n v="61"/>
    <n v="5.0999999999999996"/>
    <x v="1"/>
    <x v="0"/>
    <x v="0"/>
    <x v="2"/>
    <x v="2"/>
    <x v="1"/>
    <x v="1"/>
    <x v="0"/>
    <x v="0"/>
    <n v="0"/>
    <s v="Acceptable"/>
    <s v="3 Days"/>
    <x v="8"/>
    <s v="Saturday"/>
    <n v="1"/>
  </r>
  <r>
    <x v="1732"/>
    <d v="2024-07-04T00:00:00"/>
    <x v="3"/>
    <x v="2"/>
    <n v="159"/>
    <n v="45"/>
    <n v="6.4"/>
    <x v="0"/>
    <x v="0"/>
    <x v="0"/>
    <x v="2"/>
    <x v="2"/>
    <x v="1"/>
    <x v="1"/>
    <x v="0"/>
    <x v="0"/>
    <n v="1"/>
    <s v="Slow"/>
    <s v="2 Days"/>
    <x v="10"/>
    <s v="Thursday"/>
    <n v="1"/>
  </r>
  <r>
    <x v="1733"/>
    <d v="2024-07-24T00:00:00"/>
    <x v="0"/>
    <x v="3"/>
    <n v="123"/>
    <n v="62"/>
    <n v="3.2"/>
    <x v="0"/>
    <x v="0"/>
    <x v="0"/>
    <x v="3"/>
    <x v="3"/>
    <x v="1"/>
    <x v="1"/>
    <x v="3"/>
    <x v="0"/>
    <n v="1"/>
    <s v="Slow"/>
    <s v="3 Days"/>
    <x v="10"/>
    <s v="Wednesday"/>
    <n v="2"/>
  </r>
  <r>
    <x v="1734"/>
    <d v="2024-05-11T00:00:00"/>
    <x v="3"/>
    <x v="2"/>
    <n v="56"/>
    <n v="67"/>
    <n v="7.5"/>
    <x v="1"/>
    <x v="2"/>
    <x v="0"/>
    <x v="2"/>
    <x v="2"/>
    <x v="1"/>
    <x v="1"/>
    <x v="0"/>
    <x v="0"/>
    <n v="0"/>
    <s v="Acceptable"/>
    <s v="3 Days"/>
    <x v="1"/>
    <s v="Saturday"/>
    <n v="1"/>
  </r>
  <r>
    <x v="1735"/>
    <d v="2024-01-16T00:00:00"/>
    <x v="1"/>
    <x v="2"/>
    <n v="148"/>
    <n v="69"/>
    <n v="5"/>
    <x v="0"/>
    <x v="0"/>
    <x v="0"/>
    <x v="2"/>
    <x v="2"/>
    <x v="1"/>
    <x v="1"/>
    <x v="3"/>
    <x v="0"/>
    <n v="1"/>
    <s v="Slow"/>
    <s v="3 Days"/>
    <x v="8"/>
    <s v="Tuesday"/>
    <n v="1"/>
  </r>
  <r>
    <x v="1736"/>
    <d v="2024-09-28T00:00:00"/>
    <x v="1"/>
    <x v="1"/>
    <n v="184"/>
    <n v="72"/>
    <n v="1.5"/>
    <x v="1"/>
    <x v="0"/>
    <x v="0"/>
    <x v="1"/>
    <x v="1"/>
    <x v="1"/>
    <x v="1"/>
    <x v="1"/>
    <x v="0"/>
    <n v="0"/>
    <s v="Slow"/>
    <s v="3 Days"/>
    <x v="5"/>
    <s v="Saturday"/>
    <n v="3"/>
  </r>
  <r>
    <x v="1737"/>
    <d v="2024-08-12T00:00:00"/>
    <x v="1"/>
    <x v="0"/>
    <n v="200"/>
    <n v="43"/>
    <n v="2.8"/>
    <x v="1"/>
    <x v="1"/>
    <x v="0"/>
    <x v="0"/>
    <x v="0"/>
    <x v="0"/>
    <x v="0"/>
    <x v="3"/>
    <x v="0"/>
    <n v="0"/>
    <s v="Slow"/>
    <s v="2 Days"/>
    <x v="0"/>
    <s v="Monday"/>
    <n v="4"/>
  </r>
  <r>
    <x v="1738"/>
    <d v="2024-09-24T00:00:00"/>
    <x v="0"/>
    <x v="3"/>
    <n v="206"/>
    <n v="26"/>
    <n v="0.7"/>
    <x v="1"/>
    <x v="2"/>
    <x v="0"/>
    <x v="3"/>
    <x v="3"/>
    <x v="1"/>
    <x v="1"/>
    <x v="1"/>
    <x v="0"/>
    <n v="0"/>
    <s v="Slow"/>
    <s v="2 Days"/>
    <x v="5"/>
    <s v="Tuesday"/>
    <n v="2"/>
  </r>
  <r>
    <x v="1739"/>
    <d v="2024-01-16T00:00:00"/>
    <x v="3"/>
    <x v="2"/>
    <n v="161"/>
    <n v="39"/>
    <n v="5.0999999999999996"/>
    <x v="1"/>
    <x v="1"/>
    <x v="0"/>
    <x v="2"/>
    <x v="2"/>
    <x v="1"/>
    <x v="1"/>
    <x v="0"/>
    <x v="0"/>
    <n v="0"/>
    <s v="Slow"/>
    <s v="2 Days"/>
    <x v="8"/>
    <s v="Tuesday"/>
    <n v="1"/>
  </r>
  <r>
    <x v="1740"/>
    <d v="2024-03-30T00:00:00"/>
    <x v="0"/>
    <x v="3"/>
    <n v="127"/>
    <n v="35"/>
    <n v="9.1999999999999993"/>
    <x v="0"/>
    <x v="0"/>
    <x v="0"/>
    <x v="3"/>
    <x v="3"/>
    <x v="1"/>
    <x v="1"/>
    <x v="2"/>
    <x v="0"/>
    <n v="1"/>
    <s v="Slow"/>
    <s v="2 Days"/>
    <x v="2"/>
    <s v="Saturday"/>
    <n v="2"/>
  </r>
  <r>
    <x v="1741"/>
    <d v="2024-09-08T00:00:00"/>
    <x v="0"/>
    <x v="3"/>
    <n v="199"/>
    <n v="54"/>
    <n v="8.6999999999999993"/>
    <x v="0"/>
    <x v="2"/>
    <x v="0"/>
    <x v="3"/>
    <x v="3"/>
    <x v="1"/>
    <x v="1"/>
    <x v="2"/>
    <x v="0"/>
    <n v="1"/>
    <s v="Slow"/>
    <s v="3 Days"/>
    <x v="5"/>
    <s v="Sunday"/>
    <n v="2"/>
  </r>
  <r>
    <x v="1742"/>
    <d v="2024-03-26T00:00:00"/>
    <x v="4"/>
    <x v="2"/>
    <n v="14"/>
    <n v="30"/>
    <n v="2.9"/>
    <x v="1"/>
    <x v="1"/>
    <x v="1"/>
    <x v="2"/>
    <x v="2"/>
    <x v="1"/>
    <x v="0"/>
    <x v="3"/>
    <x v="1"/>
    <n v="0"/>
    <s v="Very Fast"/>
    <s v="2 Days"/>
    <x v="2"/>
    <s v="Tuesday"/>
    <n v="1"/>
  </r>
  <r>
    <x v="1743"/>
    <d v="2024-04-13T00:00:00"/>
    <x v="4"/>
    <x v="2"/>
    <n v="239"/>
    <n v="7"/>
    <n v="6.7"/>
    <x v="0"/>
    <x v="2"/>
    <x v="0"/>
    <x v="2"/>
    <x v="2"/>
    <x v="0"/>
    <x v="1"/>
    <x v="0"/>
    <x v="0"/>
    <n v="1"/>
    <s v="Slow"/>
    <s v="Same Day"/>
    <x v="3"/>
    <s v="Saturday"/>
    <n v="1"/>
  </r>
  <r>
    <x v="1744"/>
    <d v="2024-10-21T00:00:00"/>
    <x v="4"/>
    <x v="2"/>
    <n v="181"/>
    <n v="13"/>
    <n v="7.7"/>
    <x v="1"/>
    <x v="1"/>
    <x v="0"/>
    <x v="2"/>
    <x v="2"/>
    <x v="1"/>
    <x v="1"/>
    <x v="0"/>
    <x v="0"/>
    <n v="0"/>
    <s v="Slow"/>
    <s v="1 Day"/>
    <x v="7"/>
    <s v="Monday"/>
    <n v="1"/>
  </r>
  <r>
    <x v="1745"/>
    <d v="2024-01-21T00:00:00"/>
    <x v="3"/>
    <x v="1"/>
    <n v="67"/>
    <n v="40"/>
    <n v="5"/>
    <x v="0"/>
    <x v="1"/>
    <x v="0"/>
    <x v="1"/>
    <x v="1"/>
    <x v="0"/>
    <x v="0"/>
    <x v="3"/>
    <x v="0"/>
    <n v="1"/>
    <s v="Acceptable"/>
    <s v="2 Days"/>
    <x v="8"/>
    <s v="Sunday"/>
    <n v="3"/>
  </r>
  <r>
    <x v="1746"/>
    <d v="2024-07-16T00:00:00"/>
    <x v="4"/>
    <x v="1"/>
    <n v="220"/>
    <n v="21"/>
    <n v="3.1"/>
    <x v="0"/>
    <x v="1"/>
    <x v="0"/>
    <x v="1"/>
    <x v="1"/>
    <x v="0"/>
    <x v="1"/>
    <x v="3"/>
    <x v="0"/>
    <n v="1"/>
    <s v="Slow"/>
    <s v="1 Day"/>
    <x v="10"/>
    <s v="Tuesday"/>
    <n v="3"/>
  </r>
  <r>
    <x v="1747"/>
    <d v="2024-04-08T00:00:00"/>
    <x v="2"/>
    <x v="3"/>
    <n v="229"/>
    <n v="53"/>
    <n v="6.3"/>
    <x v="0"/>
    <x v="2"/>
    <x v="0"/>
    <x v="3"/>
    <x v="3"/>
    <x v="1"/>
    <x v="1"/>
    <x v="0"/>
    <x v="0"/>
    <n v="1"/>
    <s v="Slow"/>
    <s v="3 Days"/>
    <x v="3"/>
    <s v="Monday"/>
    <n v="2"/>
  </r>
  <r>
    <x v="1748"/>
    <d v="2024-08-04T00:00:00"/>
    <x v="4"/>
    <x v="0"/>
    <n v="98"/>
    <n v="49"/>
    <n v="3.7"/>
    <x v="0"/>
    <x v="0"/>
    <x v="0"/>
    <x v="0"/>
    <x v="0"/>
    <x v="0"/>
    <x v="0"/>
    <x v="3"/>
    <x v="0"/>
    <n v="1"/>
    <s v="Acceptable"/>
    <s v="3 Days"/>
    <x v="0"/>
    <s v="Sunday"/>
    <n v="4"/>
  </r>
  <r>
    <x v="1749"/>
    <d v="2024-08-06T00:00:00"/>
    <x v="2"/>
    <x v="3"/>
    <n v="202"/>
    <n v="49"/>
    <n v="3.6"/>
    <x v="0"/>
    <x v="0"/>
    <x v="0"/>
    <x v="3"/>
    <x v="3"/>
    <x v="1"/>
    <x v="1"/>
    <x v="3"/>
    <x v="0"/>
    <n v="1"/>
    <s v="Slow"/>
    <s v="3 Days"/>
    <x v="0"/>
    <s v="Tuesday"/>
    <n v="2"/>
  </r>
  <r>
    <x v="1750"/>
    <d v="2024-11-05T00:00:00"/>
    <x v="1"/>
    <x v="3"/>
    <n v="202"/>
    <n v="36"/>
    <n v="1.4"/>
    <x v="1"/>
    <x v="1"/>
    <x v="0"/>
    <x v="3"/>
    <x v="3"/>
    <x v="1"/>
    <x v="1"/>
    <x v="1"/>
    <x v="0"/>
    <n v="0"/>
    <s v="Slow"/>
    <s v="2 Days"/>
    <x v="6"/>
    <s v="Tuesday"/>
    <n v="2"/>
  </r>
  <r>
    <x v="1751"/>
    <d v="2024-03-11T00:00:00"/>
    <x v="2"/>
    <x v="0"/>
    <n v="205"/>
    <n v="58"/>
    <n v="4.7"/>
    <x v="0"/>
    <x v="2"/>
    <x v="0"/>
    <x v="0"/>
    <x v="0"/>
    <x v="0"/>
    <x v="0"/>
    <x v="3"/>
    <x v="0"/>
    <n v="1"/>
    <s v="Slow"/>
    <s v="3 Days"/>
    <x v="2"/>
    <s v="Monday"/>
    <n v="4"/>
  </r>
  <r>
    <x v="1752"/>
    <d v="2024-09-19T00:00:00"/>
    <x v="1"/>
    <x v="2"/>
    <n v="222"/>
    <n v="45"/>
    <n v="2.7"/>
    <x v="0"/>
    <x v="2"/>
    <x v="0"/>
    <x v="2"/>
    <x v="2"/>
    <x v="1"/>
    <x v="1"/>
    <x v="3"/>
    <x v="0"/>
    <n v="1"/>
    <s v="Slow"/>
    <s v="2 Days"/>
    <x v="5"/>
    <s v="Thursday"/>
    <n v="1"/>
  </r>
  <r>
    <x v="1753"/>
    <d v="2024-08-23T00:00:00"/>
    <x v="0"/>
    <x v="0"/>
    <n v="213"/>
    <n v="13"/>
    <n v="2.9"/>
    <x v="1"/>
    <x v="1"/>
    <x v="0"/>
    <x v="0"/>
    <x v="0"/>
    <x v="0"/>
    <x v="0"/>
    <x v="3"/>
    <x v="0"/>
    <n v="0"/>
    <s v="Slow"/>
    <s v="1 Day"/>
    <x v="0"/>
    <s v="Friday"/>
    <n v="4"/>
  </r>
  <r>
    <x v="1754"/>
    <d v="2024-11-30T00:00:00"/>
    <x v="3"/>
    <x v="3"/>
    <n v="110"/>
    <n v="12"/>
    <n v="6.4"/>
    <x v="0"/>
    <x v="0"/>
    <x v="0"/>
    <x v="3"/>
    <x v="3"/>
    <x v="0"/>
    <x v="1"/>
    <x v="0"/>
    <x v="0"/>
    <n v="1"/>
    <s v="Acceptable"/>
    <s v="1 Day"/>
    <x v="6"/>
    <s v="Saturday"/>
    <n v="2"/>
  </r>
  <r>
    <x v="1755"/>
    <d v="2024-02-04T00:00:00"/>
    <x v="4"/>
    <x v="0"/>
    <n v="164"/>
    <n v="43"/>
    <n v="4.7"/>
    <x v="1"/>
    <x v="1"/>
    <x v="0"/>
    <x v="0"/>
    <x v="0"/>
    <x v="0"/>
    <x v="0"/>
    <x v="3"/>
    <x v="0"/>
    <n v="0"/>
    <s v="Slow"/>
    <s v="2 Days"/>
    <x v="9"/>
    <s v="Sunday"/>
    <n v="4"/>
  </r>
  <r>
    <x v="1756"/>
    <d v="2024-01-04T00:00:00"/>
    <x v="2"/>
    <x v="0"/>
    <n v="235"/>
    <n v="59"/>
    <n v="8.1"/>
    <x v="1"/>
    <x v="1"/>
    <x v="1"/>
    <x v="0"/>
    <x v="0"/>
    <x v="0"/>
    <x v="0"/>
    <x v="2"/>
    <x v="1"/>
    <n v="0"/>
    <s v="Slow"/>
    <s v="3 Days"/>
    <x v="8"/>
    <s v="Thursday"/>
    <n v="4"/>
  </r>
  <r>
    <x v="1757"/>
    <d v="2024-09-17T00:00:00"/>
    <x v="1"/>
    <x v="0"/>
    <n v="150"/>
    <n v="67"/>
    <n v="4.5999999999999996"/>
    <x v="1"/>
    <x v="0"/>
    <x v="0"/>
    <x v="0"/>
    <x v="0"/>
    <x v="0"/>
    <x v="0"/>
    <x v="3"/>
    <x v="0"/>
    <n v="0"/>
    <s v="Slow"/>
    <s v="3 Days"/>
    <x v="5"/>
    <s v="Tuesday"/>
    <n v="4"/>
  </r>
  <r>
    <x v="1758"/>
    <d v="2024-04-29T00:00:00"/>
    <x v="4"/>
    <x v="2"/>
    <n v="219"/>
    <n v="22"/>
    <n v="10"/>
    <x v="0"/>
    <x v="2"/>
    <x v="0"/>
    <x v="2"/>
    <x v="2"/>
    <x v="1"/>
    <x v="1"/>
    <x v="2"/>
    <x v="0"/>
    <n v="1"/>
    <s v="Slow"/>
    <s v="1 Day"/>
    <x v="3"/>
    <s v="Monday"/>
    <n v="1"/>
  </r>
  <r>
    <x v="1759"/>
    <d v="2024-01-09T00:00:00"/>
    <x v="1"/>
    <x v="0"/>
    <n v="157"/>
    <n v="22"/>
    <n v="8.6999999999999993"/>
    <x v="0"/>
    <x v="0"/>
    <x v="0"/>
    <x v="0"/>
    <x v="0"/>
    <x v="0"/>
    <x v="0"/>
    <x v="2"/>
    <x v="0"/>
    <n v="1"/>
    <s v="Slow"/>
    <s v="1 Day"/>
    <x v="8"/>
    <s v="Tuesday"/>
    <n v="4"/>
  </r>
  <r>
    <x v="1760"/>
    <d v="2024-03-27T00:00:00"/>
    <x v="1"/>
    <x v="0"/>
    <n v="101"/>
    <n v="45"/>
    <n v="0.8"/>
    <x v="1"/>
    <x v="0"/>
    <x v="0"/>
    <x v="0"/>
    <x v="0"/>
    <x v="0"/>
    <x v="0"/>
    <x v="1"/>
    <x v="0"/>
    <n v="0"/>
    <s v="Acceptable"/>
    <s v="2 Days"/>
    <x v="2"/>
    <s v="Wednesday"/>
    <n v="4"/>
  </r>
  <r>
    <x v="1761"/>
    <d v="2024-04-11T00:00:00"/>
    <x v="4"/>
    <x v="0"/>
    <n v="126"/>
    <n v="12"/>
    <n v="8.1"/>
    <x v="1"/>
    <x v="2"/>
    <x v="1"/>
    <x v="0"/>
    <x v="0"/>
    <x v="0"/>
    <x v="0"/>
    <x v="2"/>
    <x v="1"/>
    <n v="0"/>
    <s v="Slow"/>
    <s v="1 Day"/>
    <x v="3"/>
    <s v="Thursday"/>
    <n v="4"/>
  </r>
  <r>
    <x v="1762"/>
    <d v="2024-11-16T00:00:00"/>
    <x v="0"/>
    <x v="1"/>
    <n v="136"/>
    <n v="2"/>
    <n v="3"/>
    <x v="1"/>
    <x v="0"/>
    <x v="1"/>
    <x v="1"/>
    <x v="1"/>
    <x v="0"/>
    <x v="1"/>
    <x v="3"/>
    <x v="1"/>
    <n v="0"/>
    <s v="Slow"/>
    <s v="Same Day"/>
    <x v="6"/>
    <s v="Saturday"/>
    <n v="3"/>
  </r>
  <r>
    <x v="1763"/>
    <d v="2024-06-27T00:00:00"/>
    <x v="4"/>
    <x v="3"/>
    <n v="85"/>
    <n v="13"/>
    <n v="1.4"/>
    <x v="1"/>
    <x v="2"/>
    <x v="0"/>
    <x v="3"/>
    <x v="3"/>
    <x v="0"/>
    <x v="1"/>
    <x v="1"/>
    <x v="0"/>
    <n v="0"/>
    <s v="Acceptable"/>
    <s v="1 Day"/>
    <x v="4"/>
    <s v="Thursday"/>
    <n v="2"/>
  </r>
  <r>
    <x v="1764"/>
    <d v="2024-07-11T00:00:00"/>
    <x v="4"/>
    <x v="2"/>
    <n v="42"/>
    <n v="16"/>
    <n v="9.9"/>
    <x v="1"/>
    <x v="1"/>
    <x v="0"/>
    <x v="2"/>
    <x v="2"/>
    <x v="1"/>
    <x v="1"/>
    <x v="2"/>
    <x v="0"/>
    <n v="0"/>
    <s v="Acceptable"/>
    <s v="1 Day"/>
    <x v="10"/>
    <s v="Thursday"/>
    <n v="1"/>
  </r>
  <r>
    <x v="1765"/>
    <d v="2024-05-24T00:00:00"/>
    <x v="1"/>
    <x v="3"/>
    <n v="151"/>
    <n v="14"/>
    <n v="1"/>
    <x v="0"/>
    <x v="2"/>
    <x v="0"/>
    <x v="3"/>
    <x v="3"/>
    <x v="0"/>
    <x v="1"/>
    <x v="1"/>
    <x v="0"/>
    <n v="1"/>
    <s v="Slow"/>
    <s v="1 Day"/>
    <x v="1"/>
    <s v="Friday"/>
    <n v="2"/>
  </r>
  <r>
    <x v="1766"/>
    <d v="2024-09-09T00:00:00"/>
    <x v="3"/>
    <x v="1"/>
    <n v="6"/>
    <n v="14"/>
    <n v="5.5"/>
    <x v="1"/>
    <x v="0"/>
    <x v="2"/>
    <x v="1"/>
    <x v="1"/>
    <x v="0"/>
    <x v="0"/>
    <x v="0"/>
    <x v="2"/>
    <n v="0"/>
    <s v="Very Fast"/>
    <s v="1 Day"/>
    <x v="5"/>
    <s v="Monday"/>
    <n v="3"/>
  </r>
  <r>
    <x v="1767"/>
    <d v="2024-05-02T00:00:00"/>
    <x v="4"/>
    <x v="1"/>
    <n v="135"/>
    <n v="17"/>
    <n v="4.5"/>
    <x v="1"/>
    <x v="1"/>
    <x v="0"/>
    <x v="1"/>
    <x v="1"/>
    <x v="0"/>
    <x v="1"/>
    <x v="3"/>
    <x v="0"/>
    <n v="0"/>
    <s v="Slow"/>
    <s v="1 Day"/>
    <x v="1"/>
    <s v="Thursday"/>
    <n v="3"/>
  </r>
  <r>
    <x v="1768"/>
    <d v="2024-02-11T00:00:00"/>
    <x v="2"/>
    <x v="1"/>
    <n v="170"/>
    <n v="8"/>
    <n v="1.2"/>
    <x v="0"/>
    <x v="0"/>
    <x v="0"/>
    <x v="1"/>
    <x v="1"/>
    <x v="0"/>
    <x v="1"/>
    <x v="1"/>
    <x v="0"/>
    <n v="1"/>
    <s v="Slow"/>
    <s v="Same Day"/>
    <x v="9"/>
    <s v="Sunday"/>
    <n v="3"/>
  </r>
  <r>
    <x v="1769"/>
    <d v="2024-12-10T00:00:00"/>
    <x v="3"/>
    <x v="0"/>
    <n v="154"/>
    <n v="54"/>
    <n v="4.5"/>
    <x v="0"/>
    <x v="1"/>
    <x v="0"/>
    <x v="0"/>
    <x v="0"/>
    <x v="0"/>
    <x v="0"/>
    <x v="3"/>
    <x v="0"/>
    <n v="1"/>
    <s v="Slow"/>
    <s v="3 Days"/>
    <x v="11"/>
    <s v="Tuesday"/>
    <n v="4"/>
  </r>
  <r>
    <x v="1770"/>
    <d v="2024-09-01T00:00:00"/>
    <x v="3"/>
    <x v="0"/>
    <n v="160"/>
    <n v="70"/>
    <n v="6.8"/>
    <x v="0"/>
    <x v="0"/>
    <x v="0"/>
    <x v="0"/>
    <x v="0"/>
    <x v="0"/>
    <x v="0"/>
    <x v="0"/>
    <x v="0"/>
    <n v="1"/>
    <s v="Slow"/>
    <s v="3 Days"/>
    <x v="5"/>
    <s v="Sunday"/>
    <n v="4"/>
  </r>
  <r>
    <x v="1771"/>
    <d v="2024-06-08T00:00:00"/>
    <x v="4"/>
    <x v="2"/>
    <n v="16"/>
    <n v="31"/>
    <n v="3.4"/>
    <x v="1"/>
    <x v="2"/>
    <x v="1"/>
    <x v="2"/>
    <x v="2"/>
    <x v="1"/>
    <x v="0"/>
    <x v="3"/>
    <x v="1"/>
    <n v="0"/>
    <s v="Very Fast"/>
    <s v="2 Days"/>
    <x v="4"/>
    <s v="Saturday"/>
    <n v="1"/>
  </r>
  <r>
    <x v="1772"/>
    <d v="2024-04-24T00:00:00"/>
    <x v="4"/>
    <x v="1"/>
    <n v="153"/>
    <n v="12"/>
    <n v="0.9"/>
    <x v="0"/>
    <x v="1"/>
    <x v="0"/>
    <x v="1"/>
    <x v="1"/>
    <x v="0"/>
    <x v="1"/>
    <x v="1"/>
    <x v="0"/>
    <n v="1"/>
    <s v="Slow"/>
    <s v="1 Day"/>
    <x v="3"/>
    <s v="Wednesday"/>
    <n v="3"/>
  </r>
  <r>
    <x v="1773"/>
    <d v="2024-01-21T00:00:00"/>
    <x v="4"/>
    <x v="1"/>
    <n v="44"/>
    <n v="56"/>
    <n v="1.9"/>
    <x v="0"/>
    <x v="2"/>
    <x v="0"/>
    <x v="1"/>
    <x v="1"/>
    <x v="1"/>
    <x v="0"/>
    <x v="1"/>
    <x v="0"/>
    <n v="1"/>
    <s v="Acceptable"/>
    <s v="3 Days"/>
    <x v="8"/>
    <s v="Sunday"/>
    <n v="3"/>
  </r>
  <r>
    <x v="1774"/>
    <d v="2024-12-26T00:00:00"/>
    <x v="3"/>
    <x v="2"/>
    <n v="124"/>
    <n v="33"/>
    <n v="4.5"/>
    <x v="0"/>
    <x v="1"/>
    <x v="0"/>
    <x v="2"/>
    <x v="2"/>
    <x v="1"/>
    <x v="1"/>
    <x v="3"/>
    <x v="0"/>
    <n v="1"/>
    <s v="Slow"/>
    <s v="2 Days"/>
    <x v="11"/>
    <s v="Thursday"/>
    <n v="1"/>
  </r>
  <r>
    <x v="1775"/>
    <d v="2024-01-23T00:00:00"/>
    <x v="3"/>
    <x v="1"/>
    <n v="158"/>
    <n v="54"/>
    <n v="6.2"/>
    <x v="0"/>
    <x v="1"/>
    <x v="0"/>
    <x v="1"/>
    <x v="1"/>
    <x v="1"/>
    <x v="1"/>
    <x v="0"/>
    <x v="0"/>
    <n v="1"/>
    <s v="Slow"/>
    <s v="3 Days"/>
    <x v="8"/>
    <s v="Tuesday"/>
    <n v="3"/>
  </r>
  <r>
    <x v="1776"/>
    <d v="2024-02-10T00:00:00"/>
    <x v="0"/>
    <x v="3"/>
    <n v="154"/>
    <n v="61"/>
    <n v="5.2"/>
    <x v="0"/>
    <x v="1"/>
    <x v="0"/>
    <x v="3"/>
    <x v="3"/>
    <x v="1"/>
    <x v="1"/>
    <x v="0"/>
    <x v="0"/>
    <n v="1"/>
    <s v="Slow"/>
    <s v="3 Days"/>
    <x v="9"/>
    <s v="Saturday"/>
    <n v="2"/>
  </r>
  <r>
    <x v="1777"/>
    <d v="2024-04-19T00:00:00"/>
    <x v="4"/>
    <x v="1"/>
    <n v="198"/>
    <n v="3"/>
    <n v="5.5"/>
    <x v="1"/>
    <x v="2"/>
    <x v="2"/>
    <x v="1"/>
    <x v="1"/>
    <x v="0"/>
    <x v="1"/>
    <x v="0"/>
    <x v="2"/>
    <n v="0"/>
    <s v="Slow"/>
    <s v="Same Day"/>
    <x v="3"/>
    <s v="Friday"/>
    <n v="3"/>
  </r>
  <r>
    <x v="1778"/>
    <d v="2024-02-07T00:00:00"/>
    <x v="4"/>
    <x v="1"/>
    <n v="173"/>
    <n v="30"/>
    <n v="4.4000000000000004"/>
    <x v="0"/>
    <x v="1"/>
    <x v="0"/>
    <x v="1"/>
    <x v="1"/>
    <x v="0"/>
    <x v="1"/>
    <x v="3"/>
    <x v="0"/>
    <n v="1"/>
    <s v="Slow"/>
    <s v="2 Days"/>
    <x v="9"/>
    <s v="Wednesday"/>
    <n v="3"/>
  </r>
  <r>
    <x v="1779"/>
    <d v="2024-03-20T00:00:00"/>
    <x v="0"/>
    <x v="3"/>
    <n v="24"/>
    <n v="4"/>
    <n v="5.2"/>
    <x v="1"/>
    <x v="1"/>
    <x v="2"/>
    <x v="3"/>
    <x v="3"/>
    <x v="0"/>
    <x v="0"/>
    <x v="0"/>
    <x v="2"/>
    <n v="0"/>
    <s v="Very Fast"/>
    <s v="Same Day"/>
    <x v="2"/>
    <s v="Wednesday"/>
    <n v="2"/>
  </r>
  <r>
    <x v="1780"/>
    <d v="2024-04-05T00:00:00"/>
    <x v="0"/>
    <x v="2"/>
    <n v="105"/>
    <n v="15"/>
    <n v="8"/>
    <x v="1"/>
    <x v="1"/>
    <x v="0"/>
    <x v="2"/>
    <x v="2"/>
    <x v="1"/>
    <x v="1"/>
    <x v="0"/>
    <x v="0"/>
    <n v="0"/>
    <s v="Acceptable"/>
    <s v="1 Day"/>
    <x v="3"/>
    <s v="Friday"/>
    <n v="1"/>
  </r>
  <r>
    <x v="1781"/>
    <d v="2024-12-29T00:00:00"/>
    <x v="2"/>
    <x v="3"/>
    <n v="200"/>
    <n v="72"/>
    <n v="2.2999999999999998"/>
    <x v="1"/>
    <x v="2"/>
    <x v="0"/>
    <x v="3"/>
    <x v="3"/>
    <x v="1"/>
    <x v="1"/>
    <x v="3"/>
    <x v="0"/>
    <n v="0"/>
    <s v="Slow"/>
    <s v="3 Days"/>
    <x v="11"/>
    <s v="Sunday"/>
    <n v="2"/>
  </r>
  <r>
    <x v="1782"/>
    <d v="2024-05-11T00:00:00"/>
    <x v="1"/>
    <x v="1"/>
    <n v="240"/>
    <n v="41"/>
    <n v="1.8"/>
    <x v="0"/>
    <x v="2"/>
    <x v="0"/>
    <x v="1"/>
    <x v="1"/>
    <x v="0"/>
    <x v="1"/>
    <x v="1"/>
    <x v="0"/>
    <n v="1"/>
    <s v="Slow"/>
    <s v="2 Days"/>
    <x v="1"/>
    <s v="Saturday"/>
    <n v="3"/>
  </r>
  <r>
    <x v="1783"/>
    <d v="2024-04-14T00:00:00"/>
    <x v="0"/>
    <x v="1"/>
    <n v="211"/>
    <n v="37"/>
    <n v="2"/>
    <x v="1"/>
    <x v="2"/>
    <x v="0"/>
    <x v="1"/>
    <x v="1"/>
    <x v="0"/>
    <x v="1"/>
    <x v="1"/>
    <x v="0"/>
    <n v="0"/>
    <s v="Slow"/>
    <s v="2 Days"/>
    <x v="3"/>
    <s v="Sunday"/>
    <n v="3"/>
  </r>
  <r>
    <x v="1784"/>
    <d v="2024-08-20T00:00:00"/>
    <x v="4"/>
    <x v="0"/>
    <n v="116"/>
    <n v="13"/>
    <n v="10"/>
    <x v="1"/>
    <x v="1"/>
    <x v="1"/>
    <x v="0"/>
    <x v="0"/>
    <x v="0"/>
    <x v="0"/>
    <x v="2"/>
    <x v="1"/>
    <n v="0"/>
    <s v="Acceptable"/>
    <s v="1 Day"/>
    <x v="0"/>
    <s v="Tuesday"/>
    <n v="4"/>
  </r>
  <r>
    <x v="1785"/>
    <d v="2024-11-05T00:00:00"/>
    <x v="1"/>
    <x v="2"/>
    <n v="61"/>
    <n v="56"/>
    <n v="1.2"/>
    <x v="1"/>
    <x v="1"/>
    <x v="0"/>
    <x v="2"/>
    <x v="2"/>
    <x v="1"/>
    <x v="1"/>
    <x v="1"/>
    <x v="0"/>
    <n v="0"/>
    <s v="Acceptable"/>
    <s v="3 Days"/>
    <x v="6"/>
    <s v="Tuesday"/>
    <n v="1"/>
  </r>
  <r>
    <x v="1786"/>
    <d v="2024-07-30T00:00:00"/>
    <x v="2"/>
    <x v="3"/>
    <n v="153"/>
    <n v="16"/>
    <n v="8.9"/>
    <x v="0"/>
    <x v="2"/>
    <x v="0"/>
    <x v="3"/>
    <x v="3"/>
    <x v="0"/>
    <x v="1"/>
    <x v="2"/>
    <x v="0"/>
    <n v="1"/>
    <s v="Slow"/>
    <s v="1 Day"/>
    <x v="10"/>
    <s v="Tuesday"/>
    <n v="2"/>
  </r>
  <r>
    <x v="1787"/>
    <d v="2024-11-20T00:00:00"/>
    <x v="0"/>
    <x v="0"/>
    <n v="28"/>
    <n v="2"/>
    <n v="1.1000000000000001"/>
    <x v="1"/>
    <x v="2"/>
    <x v="2"/>
    <x v="0"/>
    <x v="0"/>
    <x v="0"/>
    <x v="0"/>
    <x v="1"/>
    <x v="2"/>
    <n v="0"/>
    <s v="Very Fast"/>
    <s v="Same Day"/>
    <x v="6"/>
    <s v="Wednesday"/>
    <n v="4"/>
  </r>
  <r>
    <x v="1788"/>
    <d v="2024-10-19T00:00:00"/>
    <x v="4"/>
    <x v="2"/>
    <n v="197"/>
    <n v="49"/>
    <n v="4"/>
    <x v="0"/>
    <x v="1"/>
    <x v="0"/>
    <x v="2"/>
    <x v="2"/>
    <x v="1"/>
    <x v="1"/>
    <x v="3"/>
    <x v="0"/>
    <n v="1"/>
    <s v="Slow"/>
    <s v="3 Days"/>
    <x v="7"/>
    <s v="Saturday"/>
    <n v="1"/>
  </r>
  <r>
    <x v="1789"/>
    <d v="2024-03-02T00:00:00"/>
    <x v="1"/>
    <x v="1"/>
    <n v="187"/>
    <n v="10"/>
    <n v="0.9"/>
    <x v="0"/>
    <x v="0"/>
    <x v="0"/>
    <x v="1"/>
    <x v="1"/>
    <x v="0"/>
    <x v="1"/>
    <x v="1"/>
    <x v="0"/>
    <n v="1"/>
    <s v="Slow"/>
    <s v="1 Day"/>
    <x v="2"/>
    <s v="Saturday"/>
    <n v="3"/>
  </r>
  <r>
    <x v="1790"/>
    <d v="2024-05-19T00:00:00"/>
    <x v="0"/>
    <x v="1"/>
    <n v="29"/>
    <n v="8"/>
    <n v="7.7"/>
    <x v="1"/>
    <x v="0"/>
    <x v="2"/>
    <x v="1"/>
    <x v="1"/>
    <x v="0"/>
    <x v="0"/>
    <x v="0"/>
    <x v="2"/>
    <n v="0"/>
    <s v="Very Fast"/>
    <s v="Same Day"/>
    <x v="1"/>
    <s v="Sunday"/>
    <n v="3"/>
  </r>
  <r>
    <x v="1791"/>
    <d v="2024-12-15T00:00:00"/>
    <x v="2"/>
    <x v="0"/>
    <n v="95"/>
    <n v="63"/>
    <n v="6"/>
    <x v="0"/>
    <x v="0"/>
    <x v="0"/>
    <x v="0"/>
    <x v="0"/>
    <x v="0"/>
    <x v="0"/>
    <x v="0"/>
    <x v="0"/>
    <n v="1"/>
    <s v="Acceptable"/>
    <s v="3 Days"/>
    <x v="11"/>
    <s v="Sunday"/>
    <n v="4"/>
  </r>
  <r>
    <x v="1792"/>
    <d v="2024-05-15T00:00:00"/>
    <x v="1"/>
    <x v="3"/>
    <n v="86"/>
    <n v="60"/>
    <n v="5.7"/>
    <x v="0"/>
    <x v="2"/>
    <x v="0"/>
    <x v="3"/>
    <x v="3"/>
    <x v="1"/>
    <x v="1"/>
    <x v="0"/>
    <x v="0"/>
    <n v="1"/>
    <s v="Acceptable"/>
    <s v="3 Days"/>
    <x v="1"/>
    <s v="Wednesday"/>
    <n v="2"/>
  </r>
  <r>
    <x v="1793"/>
    <d v="2024-05-30T00:00:00"/>
    <x v="3"/>
    <x v="3"/>
    <n v="213"/>
    <n v="24"/>
    <n v="8"/>
    <x v="1"/>
    <x v="2"/>
    <x v="0"/>
    <x v="3"/>
    <x v="3"/>
    <x v="0"/>
    <x v="1"/>
    <x v="0"/>
    <x v="0"/>
    <n v="0"/>
    <s v="Slow"/>
    <s v="1 Day"/>
    <x v="1"/>
    <s v="Thursday"/>
    <n v="2"/>
  </r>
  <r>
    <x v="1794"/>
    <d v="2024-08-01T00:00:00"/>
    <x v="0"/>
    <x v="2"/>
    <n v="124"/>
    <n v="22"/>
    <n v="6.5"/>
    <x v="0"/>
    <x v="0"/>
    <x v="0"/>
    <x v="2"/>
    <x v="2"/>
    <x v="1"/>
    <x v="1"/>
    <x v="0"/>
    <x v="0"/>
    <n v="1"/>
    <s v="Slow"/>
    <s v="1 Day"/>
    <x v="0"/>
    <s v="Thursday"/>
    <n v="1"/>
  </r>
  <r>
    <x v="1795"/>
    <d v="2024-02-12T00:00:00"/>
    <x v="4"/>
    <x v="2"/>
    <n v="52"/>
    <n v="58"/>
    <n v="2.6"/>
    <x v="1"/>
    <x v="0"/>
    <x v="0"/>
    <x v="2"/>
    <x v="2"/>
    <x v="1"/>
    <x v="1"/>
    <x v="3"/>
    <x v="0"/>
    <n v="0"/>
    <s v="Acceptable"/>
    <s v="3 Days"/>
    <x v="9"/>
    <s v="Monday"/>
    <n v="1"/>
  </r>
  <r>
    <x v="1796"/>
    <d v="2024-06-06T00:00:00"/>
    <x v="3"/>
    <x v="0"/>
    <n v="239"/>
    <n v="6"/>
    <n v="3.7"/>
    <x v="0"/>
    <x v="1"/>
    <x v="1"/>
    <x v="0"/>
    <x v="0"/>
    <x v="0"/>
    <x v="0"/>
    <x v="3"/>
    <x v="1"/>
    <n v="1"/>
    <s v="Slow"/>
    <s v="Same Day"/>
    <x v="4"/>
    <s v="Thursday"/>
    <n v="4"/>
  </r>
  <r>
    <x v="1797"/>
    <d v="2024-09-26T00:00:00"/>
    <x v="0"/>
    <x v="3"/>
    <n v="195"/>
    <n v="22"/>
    <n v="2.2999999999999998"/>
    <x v="0"/>
    <x v="0"/>
    <x v="0"/>
    <x v="3"/>
    <x v="3"/>
    <x v="0"/>
    <x v="1"/>
    <x v="3"/>
    <x v="0"/>
    <n v="1"/>
    <s v="Slow"/>
    <s v="1 Day"/>
    <x v="5"/>
    <s v="Thursday"/>
    <n v="2"/>
  </r>
  <r>
    <x v="1798"/>
    <d v="2024-12-04T00:00:00"/>
    <x v="4"/>
    <x v="0"/>
    <n v="127"/>
    <n v="31"/>
    <n v="2.1"/>
    <x v="0"/>
    <x v="2"/>
    <x v="0"/>
    <x v="0"/>
    <x v="0"/>
    <x v="0"/>
    <x v="0"/>
    <x v="3"/>
    <x v="0"/>
    <n v="1"/>
    <s v="Slow"/>
    <s v="2 Days"/>
    <x v="11"/>
    <s v="Wednesday"/>
    <n v="4"/>
  </r>
  <r>
    <x v="1799"/>
    <d v="2024-12-13T00:00:00"/>
    <x v="0"/>
    <x v="2"/>
    <n v="133"/>
    <n v="39"/>
    <n v="7.3"/>
    <x v="0"/>
    <x v="0"/>
    <x v="0"/>
    <x v="2"/>
    <x v="2"/>
    <x v="1"/>
    <x v="1"/>
    <x v="0"/>
    <x v="0"/>
    <n v="1"/>
    <s v="Slow"/>
    <s v="2 Days"/>
    <x v="11"/>
    <s v="Friday"/>
    <n v="1"/>
  </r>
  <r>
    <x v="1800"/>
    <d v="2024-11-22T00:00:00"/>
    <x v="3"/>
    <x v="3"/>
    <n v="239"/>
    <n v="54"/>
    <n v="2.7"/>
    <x v="1"/>
    <x v="1"/>
    <x v="0"/>
    <x v="3"/>
    <x v="3"/>
    <x v="1"/>
    <x v="1"/>
    <x v="3"/>
    <x v="0"/>
    <n v="0"/>
    <s v="Slow"/>
    <s v="3 Days"/>
    <x v="6"/>
    <s v="Friday"/>
    <n v="2"/>
  </r>
  <r>
    <x v="1801"/>
    <d v="2024-02-24T00:00:00"/>
    <x v="2"/>
    <x v="2"/>
    <n v="191"/>
    <n v="11"/>
    <n v="5.0999999999999996"/>
    <x v="0"/>
    <x v="2"/>
    <x v="0"/>
    <x v="2"/>
    <x v="2"/>
    <x v="1"/>
    <x v="1"/>
    <x v="0"/>
    <x v="0"/>
    <n v="1"/>
    <s v="Slow"/>
    <s v="1 Day"/>
    <x v="9"/>
    <s v="Saturday"/>
    <n v="1"/>
  </r>
  <r>
    <x v="1802"/>
    <d v="2024-01-06T00:00:00"/>
    <x v="4"/>
    <x v="3"/>
    <n v="240"/>
    <n v="48"/>
    <n v="8.8000000000000007"/>
    <x v="0"/>
    <x v="0"/>
    <x v="0"/>
    <x v="3"/>
    <x v="3"/>
    <x v="1"/>
    <x v="1"/>
    <x v="2"/>
    <x v="0"/>
    <n v="1"/>
    <s v="Slow"/>
    <s v="2 Days"/>
    <x v="8"/>
    <s v="Saturday"/>
    <n v="2"/>
  </r>
  <r>
    <x v="1803"/>
    <d v="2024-06-22T00:00:00"/>
    <x v="4"/>
    <x v="0"/>
    <n v="64"/>
    <n v="44"/>
    <n v="1.1000000000000001"/>
    <x v="1"/>
    <x v="1"/>
    <x v="0"/>
    <x v="0"/>
    <x v="0"/>
    <x v="0"/>
    <x v="0"/>
    <x v="1"/>
    <x v="0"/>
    <n v="0"/>
    <s v="Acceptable"/>
    <s v="2 Days"/>
    <x v="4"/>
    <s v="Saturday"/>
    <n v="4"/>
  </r>
  <r>
    <x v="1804"/>
    <d v="2024-11-29T00:00:00"/>
    <x v="0"/>
    <x v="0"/>
    <n v="174"/>
    <n v="50"/>
    <n v="5.7"/>
    <x v="1"/>
    <x v="0"/>
    <x v="1"/>
    <x v="0"/>
    <x v="0"/>
    <x v="0"/>
    <x v="0"/>
    <x v="0"/>
    <x v="1"/>
    <n v="0"/>
    <s v="Slow"/>
    <s v="3 Days"/>
    <x v="6"/>
    <s v="Friday"/>
    <n v="4"/>
  </r>
  <r>
    <x v="1805"/>
    <d v="2024-11-01T00:00:00"/>
    <x v="2"/>
    <x v="1"/>
    <n v="118"/>
    <n v="29"/>
    <n v="1"/>
    <x v="0"/>
    <x v="1"/>
    <x v="0"/>
    <x v="1"/>
    <x v="1"/>
    <x v="0"/>
    <x v="0"/>
    <x v="1"/>
    <x v="0"/>
    <n v="1"/>
    <s v="Acceptable"/>
    <s v="2 Days"/>
    <x v="6"/>
    <s v="Friday"/>
    <n v="3"/>
  </r>
  <r>
    <x v="1806"/>
    <d v="2024-06-15T00:00:00"/>
    <x v="0"/>
    <x v="3"/>
    <n v="233"/>
    <n v="66"/>
    <n v="1.2"/>
    <x v="1"/>
    <x v="0"/>
    <x v="0"/>
    <x v="3"/>
    <x v="3"/>
    <x v="1"/>
    <x v="1"/>
    <x v="1"/>
    <x v="0"/>
    <n v="0"/>
    <s v="Slow"/>
    <s v="3 Days"/>
    <x v="4"/>
    <s v="Saturday"/>
    <n v="2"/>
  </r>
  <r>
    <x v="1807"/>
    <d v="2024-08-22T00:00:00"/>
    <x v="3"/>
    <x v="2"/>
    <n v="110"/>
    <n v="24"/>
    <n v="5.2"/>
    <x v="0"/>
    <x v="1"/>
    <x v="0"/>
    <x v="2"/>
    <x v="2"/>
    <x v="1"/>
    <x v="1"/>
    <x v="0"/>
    <x v="0"/>
    <n v="1"/>
    <s v="Acceptable"/>
    <s v="1 Day"/>
    <x v="0"/>
    <s v="Thursday"/>
    <n v="1"/>
  </r>
  <r>
    <x v="1808"/>
    <d v="2024-04-12T00:00:00"/>
    <x v="3"/>
    <x v="1"/>
    <n v="113"/>
    <n v="42"/>
    <n v="9.1"/>
    <x v="1"/>
    <x v="1"/>
    <x v="1"/>
    <x v="1"/>
    <x v="1"/>
    <x v="0"/>
    <x v="0"/>
    <x v="2"/>
    <x v="1"/>
    <n v="0"/>
    <s v="Acceptable"/>
    <s v="2 Days"/>
    <x v="3"/>
    <s v="Friday"/>
    <n v="3"/>
  </r>
  <r>
    <x v="1809"/>
    <d v="2024-03-09T00:00:00"/>
    <x v="3"/>
    <x v="2"/>
    <n v="106"/>
    <n v="12"/>
    <n v="3.5"/>
    <x v="0"/>
    <x v="2"/>
    <x v="0"/>
    <x v="2"/>
    <x v="2"/>
    <x v="1"/>
    <x v="1"/>
    <x v="3"/>
    <x v="0"/>
    <n v="1"/>
    <s v="Acceptable"/>
    <s v="1 Day"/>
    <x v="2"/>
    <s v="Saturday"/>
    <n v="1"/>
  </r>
  <r>
    <x v="1810"/>
    <d v="2024-10-24T00:00:00"/>
    <x v="0"/>
    <x v="2"/>
    <n v="94"/>
    <n v="6"/>
    <n v="8.9"/>
    <x v="1"/>
    <x v="0"/>
    <x v="1"/>
    <x v="2"/>
    <x v="2"/>
    <x v="0"/>
    <x v="1"/>
    <x v="2"/>
    <x v="1"/>
    <n v="0"/>
    <s v="Acceptable"/>
    <s v="Same Day"/>
    <x v="7"/>
    <s v="Thursday"/>
    <n v="1"/>
  </r>
  <r>
    <x v="1811"/>
    <d v="2024-07-31T00:00:00"/>
    <x v="1"/>
    <x v="0"/>
    <n v="103"/>
    <n v="42"/>
    <n v="9.1"/>
    <x v="1"/>
    <x v="1"/>
    <x v="1"/>
    <x v="0"/>
    <x v="0"/>
    <x v="0"/>
    <x v="0"/>
    <x v="2"/>
    <x v="1"/>
    <n v="0"/>
    <s v="Acceptable"/>
    <s v="2 Days"/>
    <x v="10"/>
    <s v="Wednesday"/>
    <n v="4"/>
  </r>
  <r>
    <x v="1812"/>
    <d v="2024-07-20T00:00:00"/>
    <x v="0"/>
    <x v="3"/>
    <n v="227"/>
    <n v="24"/>
    <n v="9.9"/>
    <x v="1"/>
    <x v="1"/>
    <x v="0"/>
    <x v="3"/>
    <x v="3"/>
    <x v="0"/>
    <x v="1"/>
    <x v="2"/>
    <x v="0"/>
    <n v="0"/>
    <s v="Slow"/>
    <s v="1 Day"/>
    <x v="10"/>
    <s v="Saturday"/>
    <n v="2"/>
  </r>
  <r>
    <x v="1813"/>
    <d v="2024-06-05T00:00:00"/>
    <x v="0"/>
    <x v="0"/>
    <n v="163"/>
    <n v="2"/>
    <n v="3.7"/>
    <x v="1"/>
    <x v="2"/>
    <x v="1"/>
    <x v="0"/>
    <x v="0"/>
    <x v="0"/>
    <x v="0"/>
    <x v="3"/>
    <x v="1"/>
    <n v="0"/>
    <s v="Slow"/>
    <s v="Same Day"/>
    <x v="4"/>
    <s v="Wednesday"/>
    <n v="4"/>
  </r>
  <r>
    <x v="1814"/>
    <d v="2024-11-08T00:00:00"/>
    <x v="2"/>
    <x v="1"/>
    <n v="138"/>
    <n v="43"/>
    <n v="3.2"/>
    <x v="1"/>
    <x v="1"/>
    <x v="0"/>
    <x v="1"/>
    <x v="1"/>
    <x v="0"/>
    <x v="1"/>
    <x v="3"/>
    <x v="0"/>
    <n v="0"/>
    <s v="Slow"/>
    <s v="2 Days"/>
    <x v="6"/>
    <s v="Friday"/>
    <n v="3"/>
  </r>
  <r>
    <x v="1815"/>
    <d v="2024-04-17T00:00:00"/>
    <x v="1"/>
    <x v="3"/>
    <n v="65"/>
    <n v="8"/>
    <n v="6.3"/>
    <x v="0"/>
    <x v="2"/>
    <x v="0"/>
    <x v="3"/>
    <x v="3"/>
    <x v="0"/>
    <x v="1"/>
    <x v="0"/>
    <x v="0"/>
    <n v="1"/>
    <s v="Acceptable"/>
    <s v="Same Day"/>
    <x v="3"/>
    <s v="Wednesday"/>
    <n v="2"/>
  </r>
  <r>
    <x v="1816"/>
    <d v="2024-09-01T00:00:00"/>
    <x v="3"/>
    <x v="2"/>
    <n v="19"/>
    <n v="38"/>
    <n v="2.1"/>
    <x v="0"/>
    <x v="2"/>
    <x v="0"/>
    <x v="2"/>
    <x v="2"/>
    <x v="1"/>
    <x v="0"/>
    <x v="3"/>
    <x v="0"/>
    <n v="1"/>
    <s v="Very Fast"/>
    <s v="2 Days"/>
    <x v="5"/>
    <s v="Sunday"/>
    <n v="1"/>
  </r>
  <r>
    <x v="1817"/>
    <d v="2024-12-23T00:00:00"/>
    <x v="4"/>
    <x v="0"/>
    <n v="67"/>
    <n v="14"/>
    <n v="2.5"/>
    <x v="1"/>
    <x v="2"/>
    <x v="0"/>
    <x v="0"/>
    <x v="0"/>
    <x v="0"/>
    <x v="0"/>
    <x v="3"/>
    <x v="0"/>
    <n v="0"/>
    <s v="Acceptable"/>
    <s v="1 Day"/>
    <x v="11"/>
    <s v="Monday"/>
    <n v="4"/>
  </r>
  <r>
    <x v="1818"/>
    <d v="2024-03-25T00:00:00"/>
    <x v="1"/>
    <x v="1"/>
    <n v="58"/>
    <n v="47"/>
    <n v="8.1999999999999993"/>
    <x v="1"/>
    <x v="2"/>
    <x v="1"/>
    <x v="1"/>
    <x v="1"/>
    <x v="0"/>
    <x v="0"/>
    <x v="2"/>
    <x v="1"/>
    <n v="0"/>
    <s v="Acceptable"/>
    <s v="2 Days"/>
    <x v="2"/>
    <s v="Monday"/>
    <n v="3"/>
  </r>
  <r>
    <x v="1819"/>
    <d v="2024-12-03T00:00:00"/>
    <x v="3"/>
    <x v="2"/>
    <n v="156"/>
    <n v="68"/>
    <n v="3.6"/>
    <x v="1"/>
    <x v="2"/>
    <x v="0"/>
    <x v="2"/>
    <x v="2"/>
    <x v="1"/>
    <x v="1"/>
    <x v="3"/>
    <x v="0"/>
    <n v="0"/>
    <s v="Slow"/>
    <s v="3 Days"/>
    <x v="11"/>
    <s v="Tuesday"/>
    <n v="1"/>
  </r>
  <r>
    <x v="1820"/>
    <d v="2024-03-04T00:00:00"/>
    <x v="2"/>
    <x v="1"/>
    <n v="55"/>
    <n v="46"/>
    <n v="9.1"/>
    <x v="0"/>
    <x v="2"/>
    <x v="0"/>
    <x v="1"/>
    <x v="1"/>
    <x v="0"/>
    <x v="0"/>
    <x v="2"/>
    <x v="0"/>
    <n v="1"/>
    <s v="Acceptable"/>
    <s v="2 Days"/>
    <x v="2"/>
    <s v="Monday"/>
    <n v="3"/>
  </r>
  <r>
    <x v="1821"/>
    <d v="2024-07-09T00:00:00"/>
    <x v="0"/>
    <x v="2"/>
    <n v="175"/>
    <n v="36"/>
    <n v="6.3"/>
    <x v="1"/>
    <x v="2"/>
    <x v="0"/>
    <x v="2"/>
    <x v="2"/>
    <x v="1"/>
    <x v="1"/>
    <x v="0"/>
    <x v="0"/>
    <n v="0"/>
    <s v="Slow"/>
    <s v="2 Days"/>
    <x v="10"/>
    <s v="Tuesday"/>
    <n v="1"/>
  </r>
  <r>
    <x v="1822"/>
    <d v="2024-05-30T00:00:00"/>
    <x v="2"/>
    <x v="2"/>
    <n v="119"/>
    <n v="46"/>
    <n v="2.7"/>
    <x v="0"/>
    <x v="0"/>
    <x v="0"/>
    <x v="2"/>
    <x v="2"/>
    <x v="1"/>
    <x v="1"/>
    <x v="3"/>
    <x v="0"/>
    <n v="1"/>
    <s v="Acceptable"/>
    <s v="2 Days"/>
    <x v="1"/>
    <s v="Thursday"/>
    <n v="1"/>
  </r>
  <r>
    <x v="1823"/>
    <d v="2024-05-08T00:00:00"/>
    <x v="1"/>
    <x v="1"/>
    <n v="156"/>
    <n v="42"/>
    <n v="9.5"/>
    <x v="0"/>
    <x v="1"/>
    <x v="0"/>
    <x v="1"/>
    <x v="1"/>
    <x v="0"/>
    <x v="1"/>
    <x v="2"/>
    <x v="0"/>
    <n v="1"/>
    <s v="Slow"/>
    <s v="2 Days"/>
    <x v="1"/>
    <s v="Wednesday"/>
    <n v="3"/>
  </r>
  <r>
    <x v="1824"/>
    <d v="2024-08-18T00:00:00"/>
    <x v="1"/>
    <x v="2"/>
    <n v="99"/>
    <n v="72"/>
    <n v="2.2999999999999998"/>
    <x v="0"/>
    <x v="0"/>
    <x v="0"/>
    <x v="2"/>
    <x v="2"/>
    <x v="1"/>
    <x v="1"/>
    <x v="3"/>
    <x v="0"/>
    <n v="1"/>
    <s v="Acceptable"/>
    <s v="3 Days"/>
    <x v="0"/>
    <s v="Sunday"/>
    <n v="1"/>
  </r>
  <r>
    <x v="1825"/>
    <d v="2024-05-02T00:00:00"/>
    <x v="0"/>
    <x v="2"/>
    <n v="178"/>
    <n v="9"/>
    <n v="6.4"/>
    <x v="0"/>
    <x v="2"/>
    <x v="0"/>
    <x v="2"/>
    <x v="2"/>
    <x v="1"/>
    <x v="1"/>
    <x v="0"/>
    <x v="0"/>
    <n v="1"/>
    <s v="Slow"/>
    <s v="1 Day"/>
    <x v="1"/>
    <s v="Thursday"/>
    <n v="1"/>
  </r>
  <r>
    <x v="1826"/>
    <d v="2024-03-21T00:00:00"/>
    <x v="0"/>
    <x v="2"/>
    <n v="165"/>
    <n v="44"/>
    <n v="3.9"/>
    <x v="1"/>
    <x v="0"/>
    <x v="0"/>
    <x v="2"/>
    <x v="2"/>
    <x v="1"/>
    <x v="1"/>
    <x v="3"/>
    <x v="0"/>
    <n v="0"/>
    <s v="Slow"/>
    <s v="2 Days"/>
    <x v="2"/>
    <s v="Thursday"/>
    <n v="1"/>
  </r>
  <r>
    <x v="1827"/>
    <d v="2024-07-18T00:00:00"/>
    <x v="3"/>
    <x v="3"/>
    <n v="144"/>
    <n v="45"/>
    <n v="6.3"/>
    <x v="1"/>
    <x v="0"/>
    <x v="0"/>
    <x v="3"/>
    <x v="3"/>
    <x v="1"/>
    <x v="1"/>
    <x v="0"/>
    <x v="0"/>
    <n v="0"/>
    <s v="Slow"/>
    <s v="2 Days"/>
    <x v="10"/>
    <s v="Thursday"/>
    <n v="2"/>
  </r>
  <r>
    <x v="1828"/>
    <d v="2024-12-04T00:00:00"/>
    <x v="1"/>
    <x v="0"/>
    <n v="101"/>
    <n v="7"/>
    <n v="9.3000000000000007"/>
    <x v="1"/>
    <x v="0"/>
    <x v="1"/>
    <x v="0"/>
    <x v="0"/>
    <x v="0"/>
    <x v="0"/>
    <x v="2"/>
    <x v="1"/>
    <n v="0"/>
    <s v="Acceptable"/>
    <s v="Same Day"/>
    <x v="11"/>
    <s v="Wednesday"/>
    <n v="4"/>
  </r>
  <r>
    <x v="1829"/>
    <d v="2024-12-17T00:00:00"/>
    <x v="2"/>
    <x v="0"/>
    <n v="128"/>
    <n v="40"/>
    <n v="0.8"/>
    <x v="1"/>
    <x v="1"/>
    <x v="0"/>
    <x v="0"/>
    <x v="0"/>
    <x v="0"/>
    <x v="0"/>
    <x v="1"/>
    <x v="0"/>
    <n v="0"/>
    <s v="Slow"/>
    <s v="2 Days"/>
    <x v="11"/>
    <s v="Tuesday"/>
    <n v="4"/>
  </r>
  <r>
    <x v="1830"/>
    <d v="2024-04-07T00:00:00"/>
    <x v="3"/>
    <x v="2"/>
    <n v="89"/>
    <n v="51"/>
    <n v="3.9"/>
    <x v="1"/>
    <x v="0"/>
    <x v="0"/>
    <x v="2"/>
    <x v="2"/>
    <x v="1"/>
    <x v="1"/>
    <x v="3"/>
    <x v="0"/>
    <n v="0"/>
    <s v="Acceptable"/>
    <s v="3 Days"/>
    <x v="3"/>
    <s v="Sunday"/>
    <n v="1"/>
  </r>
  <r>
    <x v="1831"/>
    <d v="2024-01-03T00:00:00"/>
    <x v="4"/>
    <x v="3"/>
    <n v="204"/>
    <n v="24"/>
    <n v="4.8"/>
    <x v="0"/>
    <x v="2"/>
    <x v="0"/>
    <x v="3"/>
    <x v="3"/>
    <x v="0"/>
    <x v="1"/>
    <x v="3"/>
    <x v="0"/>
    <n v="1"/>
    <s v="Slow"/>
    <s v="1 Day"/>
    <x v="8"/>
    <s v="Wednesday"/>
    <n v="2"/>
  </r>
  <r>
    <x v="1832"/>
    <d v="2024-02-01T00:00:00"/>
    <x v="0"/>
    <x v="3"/>
    <n v="38"/>
    <n v="63"/>
    <n v="6.3"/>
    <x v="0"/>
    <x v="2"/>
    <x v="0"/>
    <x v="3"/>
    <x v="3"/>
    <x v="1"/>
    <x v="0"/>
    <x v="0"/>
    <x v="0"/>
    <n v="1"/>
    <s v="Acceptable"/>
    <s v="3 Days"/>
    <x v="9"/>
    <s v="Thursday"/>
    <n v="2"/>
  </r>
  <r>
    <x v="1833"/>
    <d v="2024-06-14T00:00:00"/>
    <x v="0"/>
    <x v="3"/>
    <n v="163"/>
    <n v="60"/>
    <n v="9.6999999999999993"/>
    <x v="1"/>
    <x v="0"/>
    <x v="0"/>
    <x v="3"/>
    <x v="3"/>
    <x v="1"/>
    <x v="1"/>
    <x v="2"/>
    <x v="0"/>
    <n v="0"/>
    <s v="Slow"/>
    <s v="3 Days"/>
    <x v="4"/>
    <s v="Friday"/>
    <n v="2"/>
  </r>
  <r>
    <x v="1834"/>
    <d v="2024-08-03T00:00:00"/>
    <x v="3"/>
    <x v="2"/>
    <n v="30"/>
    <n v="51"/>
    <n v="3.6"/>
    <x v="1"/>
    <x v="1"/>
    <x v="1"/>
    <x v="2"/>
    <x v="2"/>
    <x v="1"/>
    <x v="0"/>
    <x v="3"/>
    <x v="1"/>
    <n v="0"/>
    <s v="Very Fast"/>
    <s v="3 Days"/>
    <x v="0"/>
    <s v="Saturday"/>
    <n v="1"/>
  </r>
  <r>
    <x v="1835"/>
    <d v="2024-11-17T00:00:00"/>
    <x v="4"/>
    <x v="2"/>
    <n v="92"/>
    <n v="57"/>
    <n v="3.5"/>
    <x v="0"/>
    <x v="2"/>
    <x v="0"/>
    <x v="2"/>
    <x v="2"/>
    <x v="1"/>
    <x v="1"/>
    <x v="3"/>
    <x v="0"/>
    <n v="1"/>
    <s v="Acceptable"/>
    <s v="3 Days"/>
    <x v="6"/>
    <s v="Sunday"/>
    <n v="1"/>
  </r>
  <r>
    <x v="1836"/>
    <d v="2024-10-12T00:00:00"/>
    <x v="2"/>
    <x v="1"/>
    <n v="105"/>
    <n v="41"/>
    <n v="6.2"/>
    <x v="1"/>
    <x v="1"/>
    <x v="1"/>
    <x v="1"/>
    <x v="1"/>
    <x v="0"/>
    <x v="0"/>
    <x v="0"/>
    <x v="1"/>
    <n v="0"/>
    <s v="Acceptable"/>
    <s v="2 Days"/>
    <x v="7"/>
    <s v="Saturday"/>
    <n v="3"/>
  </r>
  <r>
    <x v="1837"/>
    <d v="2024-12-14T00:00:00"/>
    <x v="4"/>
    <x v="2"/>
    <n v="104"/>
    <n v="34"/>
    <n v="6.1"/>
    <x v="0"/>
    <x v="1"/>
    <x v="0"/>
    <x v="2"/>
    <x v="2"/>
    <x v="1"/>
    <x v="1"/>
    <x v="0"/>
    <x v="0"/>
    <n v="1"/>
    <s v="Acceptable"/>
    <s v="2 Days"/>
    <x v="11"/>
    <s v="Saturday"/>
    <n v="1"/>
  </r>
  <r>
    <x v="1838"/>
    <d v="2024-07-28T00:00:00"/>
    <x v="3"/>
    <x v="3"/>
    <n v="105"/>
    <n v="63"/>
    <n v="0.5"/>
    <x v="0"/>
    <x v="1"/>
    <x v="0"/>
    <x v="3"/>
    <x v="3"/>
    <x v="1"/>
    <x v="1"/>
    <x v="1"/>
    <x v="0"/>
    <n v="1"/>
    <s v="Acceptable"/>
    <s v="3 Days"/>
    <x v="10"/>
    <s v="Sunday"/>
    <n v="2"/>
  </r>
  <r>
    <x v="1839"/>
    <d v="2024-03-03T00:00:00"/>
    <x v="2"/>
    <x v="2"/>
    <n v="154"/>
    <n v="46"/>
    <n v="5.8"/>
    <x v="0"/>
    <x v="1"/>
    <x v="0"/>
    <x v="2"/>
    <x v="2"/>
    <x v="1"/>
    <x v="1"/>
    <x v="0"/>
    <x v="0"/>
    <n v="1"/>
    <s v="Slow"/>
    <s v="2 Days"/>
    <x v="2"/>
    <s v="Sunday"/>
    <n v="1"/>
  </r>
  <r>
    <x v="1840"/>
    <d v="2024-12-14T00:00:00"/>
    <x v="0"/>
    <x v="0"/>
    <n v="55"/>
    <n v="18"/>
    <n v="6.8"/>
    <x v="1"/>
    <x v="0"/>
    <x v="1"/>
    <x v="0"/>
    <x v="0"/>
    <x v="0"/>
    <x v="0"/>
    <x v="0"/>
    <x v="1"/>
    <n v="0"/>
    <s v="Acceptable"/>
    <s v="1 Day"/>
    <x v="11"/>
    <s v="Saturday"/>
    <n v="4"/>
  </r>
  <r>
    <x v="1841"/>
    <d v="2024-03-22T00:00:00"/>
    <x v="3"/>
    <x v="1"/>
    <n v="124"/>
    <n v="14"/>
    <n v="8.1999999999999993"/>
    <x v="1"/>
    <x v="0"/>
    <x v="1"/>
    <x v="1"/>
    <x v="1"/>
    <x v="0"/>
    <x v="1"/>
    <x v="2"/>
    <x v="1"/>
    <n v="0"/>
    <s v="Slow"/>
    <s v="1 Day"/>
    <x v="2"/>
    <s v="Friday"/>
    <n v="3"/>
  </r>
  <r>
    <x v="1842"/>
    <d v="2024-05-12T00:00:00"/>
    <x v="3"/>
    <x v="1"/>
    <n v="50"/>
    <n v="7"/>
    <n v="9.1"/>
    <x v="0"/>
    <x v="1"/>
    <x v="0"/>
    <x v="1"/>
    <x v="1"/>
    <x v="0"/>
    <x v="0"/>
    <x v="2"/>
    <x v="0"/>
    <n v="1"/>
    <s v="Acceptable"/>
    <s v="Same Day"/>
    <x v="1"/>
    <s v="Sunday"/>
    <n v="3"/>
  </r>
  <r>
    <x v="1843"/>
    <d v="2024-12-08T00:00:00"/>
    <x v="2"/>
    <x v="2"/>
    <n v="154"/>
    <n v="70"/>
    <n v="2.5"/>
    <x v="1"/>
    <x v="0"/>
    <x v="0"/>
    <x v="2"/>
    <x v="2"/>
    <x v="1"/>
    <x v="1"/>
    <x v="3"/>
    <x v="0"/>
    <n v="0"/>
    <s v="Slow"/>
    <s v="3 Days"/>
    <x v="11"/>
    <s v="Sunday"/>
    <n v="1"/>
  </r>
  <r>
    <x v="1844"/>
    <d v="2024-05-02T00:00:00"/>
    <x v="1"/>
    <x v="2"/>
    <n v="220"/>
    <n v="54"/>
    <n v="7.9"/>
    <x v="0"/>
    <x v="2"/>
    <x v="0"/>
    <x v="2"/>
    <x v="2"/>
    <x v="1"/>
    <x v="1"/>
    <x v="0"/>
    <x v="0"/>
    <n v="1"/>
    <s v="Slow"/>
    <s v="3 Days"/>
    <x v="1"/>
    <s v="Thursday"/>
    <n v="1"/>
  </r>
  <r>
    <x v="1845"/>
    <d v="2024-01-31T00:00:00"/>
    <x v="1"/>
    <x v="2"/>
    <n v="89"/>
    <n v="18"/>
    <n v="5.6"/>
    <x v="0"/>
    <x v="0"/>
    <x v="0"/>
    <x v="2"/>
    <x v="2"/>
    <x v="1"/>
    <x v="1"/>
    <x v="0"/>
    <x v="0"/>
    <n v="1"/>
    <s v="Acceptable"/>
    <s v="1 Day"/>
    <x v="8"/>
    <s v="Wednesday"/>
    <n v="1"/>
  </r>
  <r>
    <x v="1846"/>
    <d v="2024-03-21T00:00:00"/>
    <x v="4"/>
    <x v="2"/>
    <n v="97"/>
    <n v="14"/>
    <n v="5.2"/>
    <x v="0"/>
    <x v="0"/>
    <x v="0"/>
    <x v="2"/>
    <x v="2"/>
    <x v="1"/>
    <x v="1"/>
    <x v="0"/>
    <x v="0"/>
    <n v="1"/>
    <s v="Acceptable"/>
    <s v="1 Day"/>
    <x v="2"/>
    <s v="Thursday"/>
    <n v="1"/>
  </r>
  <r>
    <x v="1847"/>
    <d v="2024-04-24T00:00:00"/>
    <x v="4"/>
    <x v="0"/>
    <n v="8"/>
    <n v="11"/>
    <n v="2.2999999999999998"/>
    <x v="0"/>
    <x v="0"/>
    <x v="1"/>
    <x v="0"/>
    <x v="0"/>
    <x v="0"/>
    <x v="0"/>
    <x v="3"/>
    <x v="1"/>
    <n v="1"/>
    <s v="Very Fast"/>
    <s v="1 Day"/>
    <x v="3"/>
    <s v="Wednesday"/>
    <n v="4"/>
  </r>
  <r>
    <x v="1848"/>
    <d v="2024-08-10T00:00:00"/>
    <x v="3"/>
    <x v="3"/>
    <n v="178"/>
    <n v="66"/>
    <n v="7.4"/>
    <x v="1"/>
    <x v="2"/>
    <x v="0"/>
    <x v="3"/>
    <x v="3"/>
    <x v="1"/>
    <x v="1"/>
    <x v="0"/>
    <x v="0"/>
    <n v="0"/>
    <s v="Slow"/>
    <s v="3 Days"/>
    <x v="0"/>
    <s v="Saturday"/>
    <n v="2"/>
  </r>
  <r>
    <x v="1849"/>
    <d v="2024-07-24T00:00:00"/>
    <x v="2"/>
    <x v="0"/>
    <n v="27"/>
    <n v="71"/>
    <n v="0.7"/>
    <x v="0"/>
    <x v="0"/>
    <x v="1"/>
    <x v="0"/>
    <x v="0"/>
    <x v="0"/>
    <x v="0"/>
    <x v="1"/>
    <x v="1"/>
    <n v="1"/>
    <s v="Very Fast"/>
    <s v="3 Days"/>
    <x v="10"/>
    <s v="Wednesday"/>
    <n v="4"/>
  </r>
  <r>
    <x v="1850"/>
    <d v="2024-12-01T00:00:00"/>
    <x v="0"/>
    <x v="0"/>
    <n v="213"/>
    <n v="53"/>
    <n v="0.6"/>
    <x v="0"/>
    <x v="1"/>
    <x v="0"/>
    <x v="0"/>
    <x v="0"/>
    <x v="0"/>
    <x v="0"/>
    <x v="1"/>
    <x v="0"/>
    <n v="1"/>
    <s v="Slow"/>
    <s v="3 Days"/>
    <x v="11"/>
    <s v="Sunday"/>
    <n v="4"/>
  </r>
  <r>
    <x v="1851"/>
    <d v="2024-07-23T00:00:00"/>
    <x v="4"/>
    <x v="0"/>
    <n v="229"/>
    <n v="68"/>
    <n v="3.9"/>
    <x v="0"/>
    <x v="2"/>
    <x v="0"/>
    <x v="0"/>
    <x v="0"/>
    <x v="0"/>
    <x v="0"/>
    <x v="3"/>
    <x v="0"/>
    <n v="1"/>
    <s v="Slow"/>
    <s v="3 Days"/>
    <x v="10"/>
    <s v="Tuesday"/>
    <n v="4"/>
  </r>
  <r>
    <x v="1852"/>
    <d v="2024-10-31T00:00:00"/>
    <x v="3"/>
    <x v="0"/>
    <n v="210"/>
    <n v="34"/>
    <n v="0.7"/>
    <x v="0"/>
    <x v="0"/>
    <x v="0"/>
    <x v="0"/>
    <x v="0"/>
    <x v="0"/>
    <x v="0"/>
    <x v="1"/>
    <x v="0"/>
    <n v="1"/>
    <s v="Slow"/>
    <s v="2 Days"/>
    <x v="7"/>
    <s v="Thursday"/>
    <n v="4"/>
  </r>
  <r>
    <x v="1853"/>
    <d v="2024-07-11T00:00:00"/>
    <x v="0"/>
    <x v="1"/>
    <n v="199"/>
    <n v="26"/>
    <n v="7.5"/>
    <x v="0"/>
    <x v="0"/>
    <x v="0"/>
    <x v="1"/>
    <x v="1"/>
    <x v="0"/>
    <x v="1"/>
    <x v="0"/>
    <x v="0"/>
    <n v="1"/>
    <s v="Slow"/>
    <s v="2 Days"/>
    <x v="10"/>
    <s v="Thursday"/>
    <n v="3"/>
  </r>
  <r>
    <x v="1854"/>
    <d v="2024-01-22T00:00:00"/>
    <x v="3"/>
    <x v="2"/>
    <n v="136"/>
    <n v="19"/>
    <n v="5.4"/>
    <x v="0"/>
    <x v="0"/>
    <x v="0"/>
    <x v="2"/>
    <x v="2"/>
    <x v="1"/>
    <x v="1"/>
    <x v="0"/>
    <x v="0"/>
    <n v="1"/>
    <s v="Slow"/>
    <s v="1 Day"/>
    <x v="8"/>
    <s v="Monday"/>
    <n v="1"/>
  </r>
  <r>
    <x v="1855"/>
    <d v="2024-12-26T00:00:00"/>
    <x v="2"/>
    <x v="0"/>
    <n v="67"/>
    <n v="61"/>
    <n v="9.3000000000000007"/>
    <x v="0"/>
    <x v="1"/>
    <x v="0"/>
    <x v="0"/>
    <x v="0"/>
    <x v="0"/>
    <x v="0"/>
    <x v="2"/>
    <x v="0"/>
    <n v="1"/>
    <s v="Acceptable"/>
    <s v="3 Days"/>
    <x v="11"/>
    <s v="Thursday"/>
    <n v="4"/>
  </r>
  <r>
    <x v="1856"/>
    <d v="2024-01-06T00:00:00"/>
    <x v="2"/>
    <x v="0"/>
    <n v="89"/>
    <n v="25"/>
    <n v="3.7"/>
    <x v="0"/>
    <x v="1"/>
    <x v="0"/>
    <x v="0"/>
    <x v="0"/>
    <x v="0"/>
    <x v="0"/>
    <x v="3"/>
    <x v="0"/>
    <n v="1"/>
    <s v="Acceptable"/>
    <s v="2 Days"/>
    <x v="8"/>
    <s v="Saturday"/>
    <n v="4"/>
  </r>
  <r>
    <x v="1857"/>
    <d v="2024-08-26T00:00:00"/>
    <x v="1"/>
    <x v="2"/>
    <n v="188"/>
    <n v="44"/>
    <n v="3.2"/>
    <x v="1"/>
    <x v="1"/>
    <x v="0"/>
    <x v="2"/>
    <x v="2"/>
    <x v="1"/>
    <x v="1"/>
    <x v="3"/>
    <x v="0"/>
    <n v="0"/>
    <s v="Slow"/>
    <s v="2 Days"/>
    <x v="0"/>
    <s v="Monday"/>
    <n v="1"/>
  </r>
  <r>
    <x v="1858"/>
    <d v="2024-01-31T00:00:00"/>
    <x v="0"/>
    <x v="3"/>
    <n v="39"/>
    <n v="16"/>
    <n v="5.4"/>
    <x v="0"/>
    <x v="2"/>
    <x v="0"/>
    <x v="3"/>
    <x v="3"/>
    <x v="0"/>
    <x v="0"/>
    <x v="0"/>
    <x v="0"/>
    <n v="1"/>
    <s v="Acceptable"/>
    <s v="1 Day"/>
    <x v="8"/>
    <s v="Wednesday"/>
    <n v="2"/>
  </r>
  <r>
    <x v="1859"/>
    <d v="2024-01-03T00:00:00"/>
    <x v="4"/>
    <x v="0"/>
    <n v="198"/>
    <n v="18"/>
    <n v="1.8"/>
    <x v="1"/>
    <x v="2"/>
    <x v="0"/>
    <x v="0"/>
    <x v="0"/>
    <x v="0"/>
    <x v="0"/>
    <x v="1"/>
    <x v="0"/>
    <n v="0"/>
    <s v="Slow"/>
    <s v="1 Day"/>
    <x v="8"/>
    <s v="Wednesday"/>
    <n v="4"/>
  </r>
  <r>
    <x v="1860"/>
    <d v="2024-06-11T00:00:00"/>
    <x v="0"/>
    <x v="0"/>
    <n v="203"/>
    <n v="26"/>
    <n v="6.4"/>
    <x v="0"/>
    <x v="1"/>
    <x v="0"/>
    <x v="0"/>
    <x v="0"/>
    <x v="0"/>
    <x v="0"/>
    <x v="0"/>
    <x v="0"/>
    <n v="1"/>
    <s v="Slow"/>
    <s v="2 Days"/>
    <x v="4"/>
    <s v="Tuesday"/>
    <n v="4"/>
  </r>
  <r>
    <x v="1861"/>
    <d v="2024-06-17T00:00:00"/>
    <x v="1"/>
    <x v="3"/>
    <n v="226"/>
    <n v="26"/>
    <n v="9"/>
    <x v="0"/>
    <x v="0"/>
    <x v="0"/>
    <x v="3"/>
    <x v="3"/>
    <x v="1"/>
    <x v="1"/>
    <x v="2"/>
    <x v="0"/>
    <n v="1"/>
    <s v="Slow"/>
    <s v="2 Days"/>
    <x v="4"/>
    <s v="Monday"/>
    <n v="2"/>
  </r>
  <r>
    <x v="1862"/>
    <d v="2024-11-16T00:00:00"/>
    <x v="3"/>
    <x v="0"/>
    <n v="100"/>
    <n v="59"/>
    <n v="0.9"/>
    <x v="1"/>
    <x v="0"/>
    <x v="0"/>
    <x v="0"/>
    <x v="0"/>
    <x v="0"/>
    <x v="0"/>
    <x v="1"/>
    <x v="0"/>
    <n v="0"/>
    <s v="Acceptable"/>
    <s v="3 Days"/>
    <x v="6"/>
    <s v="Saturday"/>
    <n v="4"/>
  </r>
  <r>
    <x v="1863"/>
    <d v="2024-05-16T00:00:00"/>
    <x v="2"/>
    <x v="0"/>
    <n v="227"/>
    <n v="58"/>
    <n v="2"/>
    <x v="1"/>
    <x v="0"/>
    <x v="0"/>
    <x v="0"/>
    <x v="0"/>
    <x v="0"/>
    <x v="0"/>
    <x v="1"/>
    <x v="0"/>
    <n v="0"/>
    <s v="Slow"/>
    <s v="3 Days"/>
    <x v="1"/>
    <s v="Thursday"/>
    <n v="4"/>
  </r>
  <r>
    <x v="1864"/>
    <d v="2024-06-11T00:00:00"/>
    <x v="1"/>
    <x v="2"/>
    <n v="152"/>
    <n v="21"/>
    <n v="2.9"/>
    <x v="1"/>
    <x v="2"/>
    <x v="0"/>
    <x v="2"/>
    <x v="2"/>
    <x v="1"/>
    <x v="1"/>
    <x v="3"/>
    <x v="0"/>
    <n v="0"/>
    <s v="Slow"/>
    <s v="1 Day"/>
    <x v="4"/>
    <s v="Tuesday"/>
    <n v="1"/>
  </r>
  <r>
    <x v="1865"/>
    <d v="2024-08-10T00:00:00"/>
    <x v="0"/>
    <x v="2"/>
    <n v="8"/>
    <n v="44"/>
    <n v="8.3000000000000007"/>
    <x v="0"/>
    <x v="1"/>
    <x v="1"/>
    <x v="2"/>
    <x v="2"/>
    <x v="1"/>
    <x v="0"/>
    <x v="2"/>
    <x v="1"/>
    <n v="1"/>
    <s v="Very Fast"/>
    <s v="2 Days"/>
    <x v="0"/>
    <s v="Saturday"/>
    <n v="1"/>
  </r>
  <r>
    <x v="1866"/>
    <d v="2024-06-19T00:00:00"/>
    <x v="4"/>
    <x v="0"/>
    <n v="72"/>
    <n v="56"/>
    <n v="4.4000000000000004"/>
    <x v="1"/>
    <x v="1"/>
    <x v="0"/>
    <x v="0"/>
    <x v="0"/>
    <x v="0"/>
    <x v="0"/>
    <x v="3"/>
    <x v="0"/>
    <n v="0"/>
    <s v="Acceptable"/>
    <s v="3 Days"/>
    <x v="4"/>
    <s v="Wednesday"/>
    <n v="4"/>
  </r>
  <r>
    <x v="1867"/>
    <d v="2024-04-17T00:00:00"/>
    <x v="3"/>
    <x v="2"/>
    <n v="188"/>
    <n v="63"/>
    <n v="7.7"/>
    <x v="0"/>
    <x v="2"/>
    <x v="0"/>
    <x v="2"/>
    <x v="2"/>
    <x v="1"/>
    <x v="1"/>
    <x v="0"/>
    <x v="0"/>
    <n v="1"/>
    <s v="Slow"/>
    <s v="3 Days"/>
    <x v="3"/>
    <s v="Wednesday"/>
    <n v="1"/>
  </r>
  <r>
    <x v="1868"/>
    <d v="2024-12-27T00:00:00"/>
    <x v="2"/>
    <x v="2"/>
    <n v="158"/>
    <n v="5"/>
    <n v="6.6"/>
    <x v="0"/>
    <x v="2"/>
    <x v="1"/>
    <x v="2"/>
    <x v="2"/>
    <x v="0"/>
    <x v="1"/>
    <x v="0"/>
    <x v="1"/>
    <n v="1"/>
    <s v="Slow"/>
    <s v="Same Day"/>
    <x v="11"/>
    <s v="Friday"/>
    <n v="1"/>
  </r>
  <r>
    <x v="1869"/>
    <d v="2024-01-23T00:00:00"/>
    <x v="3"/>
    <x v="2"/>
    <n v="235"/>
    <n v="36"/>
    <n v="2.5"/>
    <x v="0"/>
    <x v="1"/>
    <x v="0"/>
    <x v="2"/>
    <x v="2"/>
    <x v="1"/>
    <x v="1"/>
    <x v="3"/>
    <x v="0"/>
    <n v="1"/>
    <s v="Slow"/>
    <s v="2 Days"/>
    <x v="8"/>
    <s v="Tuesday"/>
    <n v="1"/>
  </r>
  <r>
    <x v="1870"/>
    <d v="2024-02-06T00:00:00"/>
    <x v="3"/>
    <x v="2"/>
    <n v="195"/>
    <n v="13"/>
    <n v="6"/>
    <x v="1"/>
    <x v="1"/>
    <x v="0"/>
    <x v="2"/>
    <x v="2"/>
    <x v="1"/>
    <x v="1"/>
    <x v="0"/>
    <x v="0"/>
    <n v="0"/>
    <s v="Slow"/>
    <s v="1 Day"/>
    <x v="9"/>
    <s v="Tuesday"/>
    <n v="1"/>
  </r>
  <r>
    <x v="1871"/>
    <d v="2024-02-22T00:00:00"/>
    <x v="4"/>
    <x v="2"/>
    <n v="70"/>
    <n v="59"/>
    <n v="5.4"/>
    <x v="0"/>
    <x v="2"/>
    <x v="0"/>
    <x v="2"/>
    <x v="2"/>
    <x v="1"/>
    <x v="1"/>
    <x v="0"/>
    <x v="0"/>
    <n v="1"/>
    <s v="Acceptable"/>
    <s v="3 Days"/>
    <x v="9"/>
    <s v="Thursday"/>
    <n v="1"/>
  </r>
  <r>
    <x v="1872"/>
    <d v="2024-12-16T00:00:00"/>
    <x v="4"/>
    <x v="3"/>
    <n v="75"/>
    <n v="5"/>
    <n v="5"/>
    <x v="1"/>
    <x v="0"/>
    <x v="1"/>
    <x v="3"/>
    <x v="3"/>
    <x v="0"/>
    <x v="1"/>
    <x v="3"/>
    <x v="1"/>
    <n v="0"/>
    <s v="Acceptable"/>
    <s v="Same Day"/>
    <x v="11"/>
    <s v="Monday"/>
    <n v="2"/>
  </r>
  <r>
    <x v="1873"/>
    <d v="2024-08-01T00:00:00"/>
    <x v="3"/>
    <x v="2"/>
    <n v="226"/>
    <n v="58"/>
    <n v="2.6"/>
    <x v="0"/>
    <x v="0"/>
    <x v="0"/>
    <x v="2"/>
    <x v="2"/>
    <x v="1"/>
    <x v="1"/>
    <x v="3"/>
    <x v="0"/>
    <n v="1"/>
    <s v="Slow"/>
    <s v="3 Days"/>
    <x v="0"/>
    <s v="Thursday"/>
    <n v="1"/>
  </r>
  <r>
    <x v="1874"/>
    <d v="2024-10-31T00:00:00"/>
    <x v="4"/>
    <x v="3"/>
    <n v="223"/>
    <n v="27"/>
    <n v="3.5"/>
    <x v="1"/>
    <x v="0"/>
    <x v="0"/>
    <x v="3"/>
    <x v="3"/>
    <x v="1"/>
    <x v="1"/>
    <x v="3"/>
    <x v="0"/>
    <n v="0"/>
    <s v="Slow"/>
    <s v="2 Days"/>
    <x v="7"/>
    <s v="Thursday"/>
    <n v="2"/>
  </r>
  <r>
    <x v="1875"/>
    <d v="2024-03-29T00:00:00"/>
    <x v="0"/>
    <x v="3"/>
    <n v="203"/>
    <n v="41"/>
    <n v="0.9"/>
    <x v="1"/>
    <x v="1"/>
    <x v="0"/>
    <x v="3"/>
    <x v="3"/>
    <x v="1"/>
    <x v="1"/>
    <x v="1"/>
    <x v="0"/>
    <n v="0"/>
    <s v="Slow"/>
    <s v="2 Days"/>
    <x v="2"/>
    <s v="Friday"/>
    <n v="2"/>
  </r>
  <r>
    <x v="1876"/>
    <d v="2024-09-14T00:00:00"/>
    <x v="3"/>
    <x v="0"/>
    <n v="85"/>
    <n v="11"/>
    <n v="0.6"/>
    <x v="1"/>
    <x v="0"/>
    <x v="0"/>
    <x v="0"/>
    <x v="0"/>
    <x v="0"/>
    <x v="0"/>
    <x v="1"/>
    <x v="0"/>
    <n v="0"/>
    <s v="Acceptable"/>
    <s v="1 Day"/>
    <x v="5"/>
    <s v="Saturday"/>
    <n v="4"/>
  </r>
  <r>
    <x v="1877"/>
    <d v="2024-04-21T00:00:00"/>
    <x v="1"/>
    <x v="0"/>
    <n v="175"/>
    <n v="29"/>
    <n v="2"/>
    <x v="0"/>
    <x v="1"/>
    <x v="0"/>
    <x v="0"/>
    <x v="0"/>
    <x v="0"/>
    <x v="0"/>
    <x v="1"/>
    <x v="0"/>
    <n v="1"/>
    <s v="Slow"/>
    <s v="2 Days"/>
    <x v="3"/>
    <s v="Sunday"/>
    <n v="4"/>
  </r>
  <r>
    <x v="1878"/>
    <d v="2024-12-13T00:00:00"/>
    <x v="4"/>
    <x v="3"/>
    <n v="108"/>
    <n v="11"/>
    <n v="8.6"/>
    <x v="0"/>
    <x v="0"/>
    <x v="0"/>
    <x v="3"/>
    <x v="3"/>
    <x v="0"/>
    <x v="1"/>
    <x v="2"/>
    <x v="0"/>
    <n v="1"/>
    <s v="Acceptable"/>
    <s v="1 Day"/>
    <x v="11"/>
    <s v="Friday"/>
    <n v="2"/>
  </r>
  <r>
    <x v="1879"/>
    <d v="2024-07-04T00:00:00"/>
    <x v="1"/>
    <x v="2"/>
    <n v="128"/>
    <n v="16"/>
    <n v="0.6"/>
    <x v="1"/>
    <x v="2"/>
    <x v="0"/>
    <x v="2"/>
    <x v="2"/>
    <x v="1"/>
    <x v="1"/>
    <x v="1"/>
    <x v="0"/>
    <n v="0"/>
    <s v="Slow"/>
    <s v="1 Day"/>
    <x v="10"/>
    <s v="Thursday"/>
    <n v="1"/>
  </r>
  <r>
    <x v="1880"/>
    <d v="2024-09-28T00:00:00"/>
    <x v="2"/>
    <x v="2"/>
    <n v="21"/>
    <n v="59"/>
    <n v="3"/>
    <x v="0"/>
    <x v="1"/>
    <x v="0"/>
    <x v="2"/>
    <x v="2"/>
    <x v="1"/>
    <x v="0"/>
    <x v="3"/>
    <x v="0"/>
    <n v="1"/>
    <s v="Very Fast"/>
    <s v="3 Days"/>
    <x v="5"/>
    <s v="Saturday"/>
    <n v="1"/>
  </r>
  <r>
    <x v="1881"/>
    <d v="2024-02-21T00:00:00"/>
    <x v="0"/>
    <x v="1"/>
    <n v="234"/>
    <n v="52"/>
    <n v="1"/>
    <x v="0"/>
    <x v="1"/>
    <x v="0"/>
    <x v="1"/>
    <x v="1"/>
    <x v="1"/>
    <x v="1"/>
    <x v="1"/>
    <x v="0"/>
    <n v="1"/>
    <s v="Slow"/>
    <s v="3 Days"/>
    <x v="9"/>
    <s v="Wednesday"/>
    <n v="3"/>
  </r>
  <r>
    <x v="1882"/>
    <d v="2024-04-17T00:00:00"/>
    <x v="2"/>
    <x v="3"/>
    <n v="187"/>
    <n v="27"/>
    <n v="3.7"/>
    <x v="1"/>
    <x v="2"/>
    <x v="0"/>
    <x v="3"/>
    <x v="3"/>
    <x v="1"/>
    <x v="1"/>
    <x v="3"/>
    <x v="0"/>
    <n v="0"/>
    <s v="Slow"/>
    <s v="2 Days"/>
    <x v="3"/>
    <s v="Wednesday"/>
    <n v="2"/>
  </r>
  <r>
    <x v="1883"/>
    <d v="2024-03-26T00:00:00"/>
    <x v="4"/>
    <x v="1"/>
    <n v="83"/>
    <n v="31"/>
    <n v="5.2"/>
    <x v="0"/>
    <x v="2"/>
    <x v="0"/>
    <x v="1"/>
    <x v="1"/>
    <x v="0"/>
    <x v="0"/>
    <x v="0"/>
    <x v="0"/>
    <n v="1"/>
    <s v="Acceptable"/>
    <s v="2 Days"/>
    <x v="2"/>
    <s v="Tuesday"/>
    <n v="3"/>
  </r>
  <r>
    <x v="1884"/>
    <d v="2024-03-12T00:00:00"/>
    <x v="4"/>
    <x v="0"/>
    <n v="154"/>
    <n v="43"/>
    <n v="3"/>
    <x v="1"/>
    <x v="1"/>
    <x v="0"/>
    <x v="0"/>
    <x v="0"/>
    <x v="0"/>
    <x v="0"/>
    <x v="3"/>
    <x v="0"/>
    <n v="0"/>
    <s v="Slow"/>
    <s v="2 Days"/>
    <x v="2"/>
    <s v="Tuesday"/>
    <n v="4"/>
  </r>
  <r>
    <x v="1885"/>
    <d v="2024-11-27T00:00:00"/>
    <x v="2"/>
    <x v="1"/>
    <n v="197"/>
    <n v="50"/>
    <n v="3"/>
    <x v="1"/>
    <x v="1"/>
    <x v="0"/>
    <x v="1"/>
    <x v="1"/>
    <x v="1"/>
    <x v="1"/>
    <x v="3"/>
    <x v="0"/>
    <n v="0"/>
    <s v="Slow"/>
    <s v="3 Days"/>
    <x v="6"/>
    <s v="Wednesday"/>
    <n v="3"/>
  </r>
  <r>
    <x v="1886"/>
    <d v="2024-07-31T00:00:00"/>
    <x v="2"/>
    <x v="1"/>
    <n v="124"/>
    <n v="19"/>
    <n v="1.3"/>
    <x v="1"/>
    <x v="1"/>
    <x v="0"/>
    <x v="1"/>
    <x v="1"/>
    <x v="0"/>
    <x v="1"/>
    <x v="1"/>
    <x v="0"/>
    <n v="0"/>
    <s v="Slow"/>
    <s v="1 Day"/>
    <x v="10"/>
    <s v="Wednesday"/>
    <n v="3"/>
  </r>
  <r>
    <x v="1887"/>
    <d v="2024-04-07T00:00:00"/>
    <x v="0"/>
    <x v="0"/>
    <n v="228"/>
    <n v="60"/>
    <n v="8"/>
    <x v="0"/>
    <x v="2"/>
    <x v="0"/>
    <x v="0"/>
    <x v="0"/>
    <x v="0"/>
    <x v="0"/>
    <x v="0"/>
    <x v="0"/>
    <n v="1"/>
    <s v="Slow"/>
    <s v="3 Days"/>
    <x v="3"/>
    <s v="Sunday"/>
    <n v="4"/>
  </r>
  <r>
    <x v="1888"/>
    <d v="2024-06-11T00:00:00"/>
    <x v="4"/>
    <x v="0"/>
    <n v="183"/>
    <n v="4"/>
    <n v="9.6999999999999993"/>
    <x v="1"/>
    <x v="1"/>
    <x v="2"/>
    <x v="0"/>
    <x v="0"/>
    <x v="0"/>
    <x v="0"/>
    <x v="2"/>
    <x v="2"/>
    <n v="0"/>
    <s v="Slow"/>
    <s v="Same Day"/>
    <x v="4"/>
    <s v="Tuesday"/>
    <n v="4"/>
  </r>
  <r>
    <x v="1889"/>
    <d v="2024-05-02T00:00:00"/>
    <x v="4"/>
    <x v="0"/>
    <n v="65"/>
    <n v="16"/>
    <n v="6.6"/>
    <x v="0"/>
    <x v="0"/>
    <x v="0"/>
    <x v="0"/>
    <x v="0"/>
    <x v="0"/>
    <x v="0"/>
    <x v="0"/>
    <x v="0"/>
    <n v="1"/>
    <s v="Acceptable"/>
    <s v="1 Day"/>
    <x v="1"/>
    <s v="Thursday"/>
    <n v="4"/>
  </r>
  <r>
    <x v="1890"/>
    <d v="2024-07-22T00:00:00"/>
    <x v="2"/>
    <x v="0"/>
    <n v="194"/>
    <n v="68"/>
    <n v="7"/>
    <x v="0"/>
    <x v="0"/>
    <x v="0"/>
    <x v="0"/>
    <x v="0"/>
    <x v="0"/>
    <x v="0"/>
    <x v="0"/>
    <x v="0"/>
    <n v="1"/>
    <s v="Slow"/>
    <s v="3 Days"/>
    <x v="10"/>
    <s v="Monday"/>
    <n v="4"/>
  </r>
  <r>
    <x v="1891"/>
    <d v="2024-02-06T00:00:00"/>
    <x v="1"/>
    <x v="2"/>
    <n v="61"/>
    <n v="29"/>
    <n v="3.1"/>
    <x v="1"/>
    <x v="1"/>
    <x v="0"/>
    <x v="2"/>
    <x v="2"/>
    <x v="1"/>
    <x v="1"/>
    <x v="3"/>
    <x v="0"/>
    <n v="0"/>
    <s v="Acceptable"/>
    <s v="2 Days"/>
    <x v="9"/>
    <s v="Tuesday"/>
    <n v="1"/>
  </r>
  <r>
    <x v="1892"/>
    <d v="2024-01-28T00:00:00"/>
    <x v="2"/>
    <x v="3"/>
    <n v="40"/>
    <n v="39"/>
    <n v="7.2"/>
    <x v="1"/>
    <x v="1"/>
    <x v="0"/>
    <x v="3"/>
    <x v="3"/>
    <x v="1"/>
    <x v="0"/>
    <x v="0"/>
    <x v="0"/>
    <n v="0"/>
    <s v="Acceptable"/>
    <s v="2 Days"/>
    <x v="8"/>
    <s v="Sunday"/>
    <n v="2"/>
  </r>
  <r>
    <x v="1893"/>
    <d v="2024-06-21T00:00:00"/>
    <x v="0"/>
    <x v="3"/>
    <n v="174"/>
    <n v="19"/>
    <n v="6.4"/>
    <x v="0"/>
    <x v="0"/>
    <x v="0"/>
    <x v="3"/>
    <x v="3"/>
    <x v="0"/>
    <x v="1"/>
    <x v="0"/>
    <x v="0"/>
    <n v="1"/>
    <s v="Slow"/>
    <s v="1 Day"/>
    <x v="4"/>
    <s v="Friday"/>
    <n v="2"/>
  </r>
  <r>
    <x v="1894"/>
    <d v="2024-06-30T00:00:00"/>
    <x v="0"/>
    <x v="0"/>
    <n v="175"/>
    <n v="31"/>
    <n v="9.1999999999999993"/>
    <x v="1"/>
    <x v="0"/>
    <x v="1"/>
    <x v="0"/>
    <x v="0"/>
    <x v="0"/>
    <x v="0"/>
    <x v="2"/>
    <x v="1"/>
    <n v="0"/>
    <s v="Slow"/>
    <s v="2 Days"/>
    <x v="4"/>
    <s v="Sunday"/>
    <n v="4"/>
  </r>
  <r>
    <x v="1895"/>
    <d v="2024-08-24T00:00:00"/>
    <x v="4"/>
    <x v="1"/>
    <n v="154"/>
    <n v="17"/>
    <n v="4.8"/>
    <x v="1"/>
    <x v="1"/>
    <x v="0"/>
    <x v="1"/>
    <x v="1"/>
    <x v="0"/>
    <x v="1"/>
    <x v="3"/>
    <x v="0"/>
    <n v="0"/>
    <s v="Slow"/>
    <s v="1 Day"/>
    <x v="0"/>
    <s v="Saturday"/>
    <n v="3"/>
  </r>
  <r>
    <x v="1896"/>
    <d v="2024-09-29T00:00:00"/>
    <x v="2"/>
    <x v="3"/>
    <n v="226"/>
    <n v="29"/>
    <n v="5.5"/>
    <x v="0"/>
    <x v="1"/>
    <x v="0"/>
    <x v="3"/>
    <x v="3"/>
    <x v="1"/>
    <x v="1"/>
    <x v="0"/>
    <x v="0"/>
    <n v="1"/>
    <s v="Slow"/>
    <s v="2 Days"/>
    <x v="5"/>
    <s v="Sunday"/>
    <n v="2"/>
  </r>
  <r>
    <x v="1897"/>
    <d v="2024-06-21T00:00:00"/>
    <x v="3"/>
    <x v="3"/>
    <n v="33"/>
    <n v="71"/>
    <n v="2.5"/>
    <x v="0"/>
    <x v="2"/>
    <x v="0"/>
    <x v="3"/>
    <x v="3"/>
    <x v="1"/>
    <x v="0"/>
    <x v="3"/>
    <x v="0"/>
    <n v="1"/>
    <s v="Acceptable"/>
    <s v="3 Days"/>
    <x v="4"/>
    <s v="Friday"/>
    <n v="2"/>
  </r>
  <r>
    <x v="1898"/>
    <d v="2024-11-14T00:00:00"/>
    <x v="4"/>
    <x v="1"/>
    <n v="19"/>
    <n v="6"/>
    <n v="8.9"/>
    <x v="1"/>
    <x v="1"/>
    <x v="2"/>
    <x v="1"/>
    <x v="1"/>
    <x v="0"/>
    <x v="0"/>
    <x v="2"/>
    <x v="2"/>
    <n v="0"/>
    <s v="Very Fast"/>
    <s v="Same Day"/>
    <x v="6"/>
    <s v="Thursday"/>
    <n v="3"/>
  </r>
  <r>
    <x v="1899"/>
    <d v="2024-06-12T00:00:00"/>
    <x v="4"/>
    <x v="0"/>
    <n v="116"/>
    <n v="47"/>
    <n v="3.6"/>
    <x v="1"/>
    <x v="0"/>
    <x v="0"/>
    <x v="0"/>
    <x v="0"/>
    <x v="0"/>
    <x v="0"/>
    <x v="3"/>
    <x v="0"/>
    <n v="0"/>
    <s v="Acceptable"/>
    <s v="2 Days"/>
    <x v="4"/>
    <s v="Wednesday"/>
    <n v="4"/>
  </r>
  <r>
    <x v="1900"/>
    <d v="2024-02-02T00:00:00"/>
    <x v="3"/>
    <x v="0"/>
    <n v="38"/>
    <n v="55"/>
    <n v="8.6"/>
    <x v="1"/>
    <x v="0"/>
    <x v="1"/>
    <x v="0"/>
    <x v="0"/>
    <x v="0"/>
    <x v="0"/>
    <x v="2"/>
    <x v="1"/>
    <n v="0"/>
    <s v="Acceptable"/>
    <s v="3 Days"/>
    <x v="9"/>
    <s v="Friday"/>
    <n v="4"/>
  </r>
  <r>
    <x v="1901"/>
    <d v="2024-03-29T00:00:00"/>
    <x v="2"/>
    <x v="1"/>
    <n v="45"/>
    <n v="54"/>
    <n v="2.6"/>
    <x v="1"/>
    <x v="1"/>
    <x v="0"/>
    <x v="1"/>
    <x v="1"/>
    <x v="1"/>
    <x v="0"/>
    <x v="3"/>
    <x v="0"/>
    <n v="0"/>
    <s v="Acceptable"/>
    <s v="3 Days"/>
    <x v="2"/>
    <s v="Friday"/>
    <n v="3"/>
  </r>
  <r>
    <x v="1902"/>
    <d v="2024-10-03T00:00:00"/>
    <x v="3"/>
    <x v="0"/>
    <n v="112"/>
    <n v="46"/>
    <n v="1.7"/>
    <x v="0"/>
    <x v="1"/>
    <x v="0"/>
    <x v="0"/>
    <x v="0"/>
    <x v="0"/>
    <x v="0"/>
    <x v="1"/>
    <x v="0"/>
    <n v="1"/>
    <s v="Acceptable"/>
    <s v="2 Days"/>
    <x v="7"/>
    <s v="Thursday"/>
    <n v="4"/>
  </r>
  <r>
    <x v="1903"/>
    <d v="2024-02-04T00:00:00"/>
    <x v="2"/>
    <x v="1"/>
    <n v="7"/>
    <n v="61"/>
    <n v="1.5"/>
    <x v="1"/>
    <x v="2"/>
    <x v="1"/>
    <x v="1"/>
    <x v="1"/>
    <x v="1"/>
    <x v="0"/>
    <x v="1"/>
    <x v="1"/>
    <n v="0"/>
    <s v="Very Fast"/>
    <s v="3 Days"/>
    <x v="9"/>
    <s v="Sunday"/>
    <n v="3"/>
  </r>
  <r>
    <x v="1904"/>
    <d v="2024-10-30T00:00:00"/>
    <x v="3"/>
    <x v="2"/>
    <n v="32"/>
    <n v="50"/>
    <n v="2.2999999999999998"/>
    <x v="0"/>
    <x v="1"/>
    <x v="0"/>
    <x v="2"/>
    <x v="2"/>
    <x v="1"/>
    <x v="1"/>
    <x v="3"/>
    <x v="0"/>
    <n v="1"/>
    <s v="Acceptable"/>
    <s v="3 Days"/>
    <x v="7"/>
    <s v="Wednesday"/>
    <n v="1"/>
  </r>
  <r>
    <x v="1905"/>
    <d v="2024-04-17T00:00:00"/>
    <x v="1"/>
    <x v="0"/>
    <n v="211"/>
    <n v="12"/>
    <n v="0.5"/>
    <x v="0"/>
    <x v="0"/>
    <x v="0"/>
    <x v="0"/>
    <x v="0"/>
    <x v="0"/>
    <x v="0"/>
    <x v="1"/>
    <x v="0"/>
    <n v="1"/>
    <s v="Slow"/>
    <s v="1 Day"/>
    <x v="3"/>
    <s v="Wednesday"/>
    <n v="4"/>
  </r>
  <r>
    <x v="1906"/>
    <d v="2024-02-21T00:00:00"/>
    <x v="0"/>
    <x v="1"/>
    <n v="213"/>
    <n v="64"/>
    <n v="2.6"/>
    <x v="0"/>
    <x v="2"/>
    <x v="0"/>
    <x v="1"/>
    <x v="1"/>
    <x v="1"/>
    <x v="1"/>
    <x v="3"/>
    <x v="0"/>
    <n v="1"/>
    <s v="Slow"/>
    <s v="3 Days"/>
    <x v="9"/>
    <s v="Wednesday"/>
    <n v="3"/>
  </r>
  <r>
    <x v="1907"/>
    <d v="2024-10-10T00:00:00"/>
    <x v="2"/>
    <x v="1"/>
    <n v="152"/>
    <n v="65"/>
    <n v="7.5"/>
    <x v="0"/>
    <x v="2"/>
    <x v="0"/>
    <x v="1"/>
    <x v="1"/>
    <x v="1"/>
    <x v="1"/>
    <x v="0"/>
    <x v="0"/>
    <n v="1"/>
    <s v="Slow"/>
    <s v="3 Days"/>
    <x v="7"/>
    <s v="Thursday"/>
    <n v="3"/>
  </r>
  <r>
    <x v="1908"/>
    <d v="2024-04-07T00:00:00"/>
    <x v="2"/>
    <x v="1"/>
    <n v="205"/>
    <n v="21"/>
    <n v="9.8000000000000007"/>
    <x v="1"/>
    <x v="1"/>
    <x v="1"/>
    <x v="1"/>
    <x v="1"/>
    <x v="0"/>
    <x v="1"/>
    <x v="2"/>
    <x v="1"/>
    <n v="0"/>
    <s v="Slow"/>
    <s v="1 Day"/>
    <x v="3"/>
    <s v="Sunday"/>
    <n v="3"/>
  </r>
  <r>
    <x v="1909"/>
    <d v="2024-03-23T00:00:00"/>
    <x v="3"/>
    <x v="3"/>
    <n v="26"/>
    <n v="56"/>
    <n v="8.6"/>
    <x v="0"/>
    <x v="0"/>
    <x v="1"/>
    <x v="3"/>
    <x v="3"/>
    <x v="1"/>
    <x v="0"/>
    <x v="2"/>
    <x v="1"/>
    <n v="1"/>
    <s v="Very Fast"/>
    <s v="3 Days"/>
    <x v="2"/>
    <s v="Saturday"/>
    <n v="2"/>
  </r>
  <r>
    <x v="1910"/>
    <d v="2024-12-19T00:00:00"/>
    <x v="0"/>
    <x v="3"/>
    <n v="46"/>
    <n v="54"/>
    <n v="9.9"/>
    <x v="0"/>
    <x v="0"/>
    <x v="0"/>
    <x v="3"/>
    <x v="3"/>
    <x v="1"/>
    <x v="0"/>
    <x v="2"/>
    <x v="0"/>
    <n v="1"/>
    <s v="Acceptable"/>
    <s v="3 Days"/>
    <x v="11"/>
    <s v="Thursday"/>
    <n v="2"/>
  </r>
  <r>
    <x v="1911"/>
    <d v="2024-02-16T00:00:00"/>
    <x v="0"/>
    <x v="2"/>
    <n v="216"/>
    <n v="68"/>
    <n v="4"/>
    <x v="0"/>
    <x v="2"/>
    <x v="0"/>
    <x v="2"/>
    <x v="2"/>
    <x v="1"/>
    <x v="1"/>
    <x v="3"/>
    <x v="0"/>
    <n v="1"/>
    <s v="Slow"/>
    <s v="3 Days"/>
    <x v="9"/>
    <s v="Friday"/>
    <n v="1"/>
  </r>
  <r>
    <x v="1912"/>
    <d v="2024-02-25T00:00:00"/>
    <x v="4"/>
    <x v="3"/>
    <n v="130"/>
    <n v="19"/>
    <n v="7.1"/>
    <x v="1"/>
    <x v="0"/>
    <x v="0"/>
    <x v="3"/>
    <x v="3"/>
    <x v="0"/>
    <x v="1"/>
    <x v="0"/>
    <x v="0"/>
    <n v="0"/>
    <s v="Slow"/>
    <s v="1 Day"/>
    <x v="9"/>
    <s v="Sunday"/>
    <n v="2"/>
  </r>
  <r>
    <x v="1913"/>
    <d v="2024-12-07T00:00:00"/>
    <x v="3"/>
    <x v="3"/>
    <n v="237"/>
    <n v="15"/>
    <n v="2.8"/>
    <x v="0"/>
    <x v="1"/>
    <x v="0"/>
    <x v="3"/>
    <x v="3"/>
    <x v="0"/>
    <x v="1"/>
    <x v="3"/>
    <x v="0"/>
    <n v="1"/>
    <s v="Slow"/>
    <s v="1 Day"/>
    <x v="11"/>
    <s v="Saturday"/>
    <n v="2"/>
  </r>
  <r>
    <x v="1914"/>
    <d v="2024-11-26T00:00:00"/>
    <x v="0"/>
    <x v="2"/>
    <n v="115"/>
    <n v="7"/>
    <n v="4.5"/>
    <x v="0"/>
    <x v="2"/>
    <x v="0"/>
    <x v="2"/>
    <x v="2"/>
    <x v="0"/>
    <x v="1"/>
    <x v="3"/>
    <x v="0"/>
    <n v="1"/>
    <s v="Acceptable"/>
    <s v="Same Day"/>
    <x v="6"/>
    <s v="Tuesday"/>
    <n v="1"/>
  </r>
  <r>
    <x v="1915"/>
    <d v="2024-02-25T00:00:00"/>
    <x v="1"/>
    <x v="1"/>
    <n v="232"/>
    <n v="59"/>
    <n v="7.6"/>
    <x v="1"/>
    <x v="2"/>
    <x v="1"/>
    <x v="1"/>
    <x v="1"/>
    <x v="1"/>
    <x v="1"/>
    <x v="0"/>
    <x v="1"/>
    <n v="0"/>
    <s v="Slow"/>
    <s v="3 Days"/>
    <x v="9"/>
    <s v="Sunday"/>
    <n v="3"/>
  </r>
  <r>
    <x v="1916"/>
    <d v="2024-06-25T00:00:00"/>
    <x v="1"/>
    <x v="1"/>
    <n v="175"/>
    <n v="5"/>
    <n v="6.9"/>
    <x v="0"/>
    <x v="1"/>
    <x v="1"/>
    <x v="1"/>
    <x v="1"/>
    <x v="0"/>
    <x v="1"/>
    <x v="0"/>
    <x v="1"/>
    <n v="1"/>
    <s v="Slow"/>
    <s v="Same Day"/>
    <x v="4"/>
    <s v="Tuesday"/>
    <n v="3"/>
  </r>
  <r>
    <x v="1917"/>
    <d v="2024-03-20T00:00:00"/>
    <x v="0"/>
    <x v="1"/>
    <n v="181"/>
    <n v="66"/>
    <n v="5.3"/>
    <x v="1"/>
    <x v="2"/>
    <x v="1"/>
    <x v="1"/>
    <x v="1"/>
    <x v="1"/>
    <x v="1"/>
    <x v="0"/>
    <x v="1"/>
    <n v="0"/>
    <s v="Slow"/>
    <s v="3 Days"/>
    <x v="2"/>
    <s v="Wednesday"/>
    <n v="3"/>
  </r>
  <r>
    <x v="1918"/>
    <d v="2024-05-07T00:00:00"/>
    <x v="0"/>
    <x v="0"/>
    <n v="128"/>
    <n v="20"/>
    <n v="9.1999999999999993"/>
    <x v="1"/>
    <x v="2"/>
    <x v="1"/>
    <x v="0"/>
    <x v="0"/>
    <x v="0"/>
    <x v="0"/>
    <x v="2"/>
    <x v="1"/>
    <n v="0"/>
    <s v="Slow"/>
    <s v="1 Day"/>
    <x v="1"/>
    <s v="Tuesday"/>
    <n v="4"/>
  </r>
  <r>
    <x v="1919"/>
    <d v="2024-06-19T00:00:00"/>
    <x v="4"/>
    <x v="2"/>
    <n v="213"/>
    <n v="59"/>
    <n v="5"/>
    <x v="0"/>
    <x v="1"/>
    <x v="0"/>
    <x v="2"/>
    <x v="2"/>
    <x v="1"/>
    <x v="1"/>
    <x v="3"/>
    <x v="0"/>
    <n v="1"/>
    <s v="Slow"/>
    <s v="3 Days"/>
    <x v="4"/>
    <s v="Wednesday"/>
    <n v="1"/>
  </r>
  <r>
    <x v="1920"/>
    <d v="2024-07-04T00:00:00"/>
    <x v="2"/>
    <x v="3"/>
    <n v="172"/>
    <n v="51"/>
    <n v="8.1"/>
    <x v="1"/>
    <x v="1"/>
    <x v="0"/>
    <x v="3"/>
    <x v="3"/>
    <x v="1"/>
    <x v="1"/>
    <x v="2"/>
    <x v="0"/>
    <n v="0"/>
    <s v="Slow"/>
    <s v="3 Days"/>
    <x v="10"/>
    <s v="Thursday"/>
    <n v="2"/>
  </r>
  <r>
    <x v="1921"/>
    <d v="2024-01-02T00:00:00"/>
    <x v="0"/>
    <x v="3"/>
    <n v="59"/>
    <n v="64"/>
    <n v="4.3"/>
    <x v="0"/>
    <x v="2"/>
    <x v="0"/>
    <x v="3"/>
    <x v="3"/>
    <x v="1"/>
    <x v="0"/>
    <x v="3"/>
    <x v="0"/>
    <n v="1"/>
    <s v="Acceptable"/>
    <s v="3 Days"/>
    <x v="8"/>
    <s v="Tuesday"/>
    <n v="2"/>
  </r>
  <r>
    <x v="1922"/>
    <d v="2024-08-24T00:00:00"/>
    <x v="1"/>
    <x v="1"/>
    <n v="239"/>
    <n v="44"/>
    <n v="6.9"/>
    <x v="1"/>
    <x v="1"/>
    <x v="1"/>
    <x v="1"/>
    <x v="1"/>
    <x v="0"/>
    <x v="1"/>
    <x v="0"/>
    <x v="1"/>
    <n v="0"/>
    <s v="Slow"/>
    <s v="2 Days"/>
    <x v="0"/>
    <s v="Saturday"/>
    <n v="3"/>
  </r>
  <r>
    <x v="1923"/>
    <d v="2024-09-01T00:00:00"/>
    <x v="0"/>
    <x v="2"/>
    <n v="239"/>
    <n v="34"/>
    <n v="2.2000000000000002"/>
    <x v="0"/>
    <x v="2"/>
    <x v="0"/>
    <x v="2"/>
    <x v="2"/>
    <x v="1"/>
    <x v="1"/>
    <x v="3"/>
    <x v="0"/>
    <n v="1"/>
    <s v="Slow"/>
    <s v="2 Days"/>
    <x v="5"/>
    <s v="Sunday"/>
    <n v="1"/>
  </r>
  <r>
    <x v="1924"/>
    <d v="2024-05-22T00:00:00"/>
    <x v="3"/>
    <x v="3"/>
    <n v="236"/>
    <n v="18"/>
    <n v="8.9"/>
    <x v="1"/>
    <x v="2"/>
    <x v="0"/>
    <x v="3"/>
    <x v="3"/>
    <x v="0"/>
    <x v="1"/>
    <x v="2"/>
    <x v="0"/>
    <n v="0"/>
    <s v="Slow"/>
    <s v="1 Day"/>
    <x v="1"/>
    <s v="Wednesday"/>
    <n v="2"/>
  </r>
  <r>
    <x v="1925"/>
    <d v="2024-04-21T00:00:00"/>
    <x v="2"/>
    <x v="0"/>
    <n v="160"/>
    <n v="72"/>
    <n v="8.1999999999999993"/>
    <x v="0"/>
    <x v="0"/>
    <x v="0"/>
    <x v="0"/>
    <x v="0"/>
    <x v="0"/>
    <x v="0"/>
    <x v="2"/>
    <x v="0"/>
    <n v="1"/>
    <s v="Slow"/>
    <s v="3 Days"/>
    <x v="3"/>
    <s v="Sunday"/>
    <n v="4"/>
  </r>
  <r>
    <x v="1926"/>
    <d v="2024-03-13T00:00:00"/>
    <x v="1"/>
    <x v="3"/>
    <n v="223"/>
    <n v="39"/>
    <n v="1.1000000000000001"/>
    <x v="0"/>
    <x v="0"/>
    <x v="0"/>
    <x v="3"/>
    <x v="3"/>
    <x v="1"/>
    <x v="1"/>
    <x v="1"/>
    <x v="0"/>
    <n v="1"/>
    <s v="Slow"/>
    <s v="2 Days"/>
    <x v="2"/>
    <s v="Wednesday"/>
    <n v="2"/>
  </r>
  <r>
    <x v="1927"/>
    <d v="2024-11-03T00:00:00"/>
    <x v="1"/>
    <x v="3"/>
    <n v="159"/>
    <n v="51"/>
    <n v="8.8000000000000007"/>
    <x v="1"/>
    <x v="0"/>
    <x v="0"/>
    <x v="3"/>
    <x v="3"/>
    <x v="1"/>
    <x v="1"/>
    <x v="2"/>
    <x v="0"/>
    <n v="0"/>
    <s v="Slow"/>
    <s v="3 Days"/>
    <x v="6"/>
    <s v="Sunday"/>
    <n v="2"/>
  </r>
  <r>
    <x v="1928"/>
    <d v="2024-02-15T00:00:00"/>
    <x v="0"/>
    <x v="1"/>
    <n v="100"/>
    <n v="36"/>
    <n v="4.4000000000000004"/>
    <x v="1"/>
    <x v="0"/>
    <x v="0"/>
    <x v="1"/>
    <x v="1"/>
    <x v="0"/>
    <x v="0"/>
    <x v="3"/>
    <x v="0"/>
    <n v="0"/>
    <s v="Acceptable"/>
    <s v="2 Days"/>
    <x v="9"/>
    <s v="Thursday"/>
    <n v="3"/>
  </r>
  <r>
    <x v="1929"/>
    <d v="2024-09-10T00:00:00"/>
    <x v="3"/>
    <x v="2"/>
    <n v="99"/>
    <n v="10"/>
    <n v="0.7"/>
    <x v="1"/>
    <x v="0"/>
    <x v="0"/>
    <x v="2"/>
    <x v="2"/>
    <x v="1"/>
    <x v="1"/>
    <x v="1"/>
    <x v="0"/>
    <n v="0"/>
    <s v="Acceptable"/>
    <s v="1 Day"/>
    <x v="5"/>
    <s v="Tuesday"/>
    <n v="1"/>
  </r>
  <r>
    <x v="1930"/>
    <d v="2024-11-13T00:00:00"/>
    <x v="2"/>
    <x v="3"/>
    <n v="162"/>
    <n v="41"/>
    <n v="8.1"/>
    <x v="1"/>
    <x v="0"/>
    <x v="0"/>
    <x v="3"/>
    <x v="3"/>
    <x v="1"/>
    <x v="1"/>
    <x v="2"/>
    <x v="0"/>
    <n v="0"/>
    <s v="Slow"/>
    <s v="2 Days"/>
    <x v="6"/>
    <s v="Wednesday"/>
    <n v="2"/>
  </r>
  <r>
    <x v="1931"/>
    <d v="2024-04-17T00:00:00"/>
    <x v="2"/>
    <x v="2"/>
    <n v="156"/>
    <n v="2"/>
    <n v="4.4000000000000004"/>
    <x v="1"/>
    <x v="0"/>
    <x v="1"/>
    <x v="2"/>
    <x v="2"/>
    <x v="0"/>
    <x v="1"/>
    <x v="3"/>
    <x v="1"/>
    <n v="0"/>
    <s v="Slow"/>
    <s v="Same Day"/>
    <x v="3"/>
    <s v="Wednesday"/>
    <n v="1"/>
  </r>
  <r>
    <x v="1932"/>
    <d v="2024-12-03T00:00:00"/>
    <x v="1"/>
    <x v="1"/>
    <n v="45"/>
    <n v="24"/>
    <n v="3.7"/>
    <x v="1"/>
    <x v="2"/>
    <x v="0"/>
    <x v="1"/>
    <x v="1"/>
    <x v="0"/>
    <x v="0"/>
    <x v="3"/>
    <x v="0"/>
    <n v="0"/>
    <s v="Acceptable"/>
    <s v="1 Day"/>
    <x v="11"/>
    <s v="Tuesday"/>
    <n v="3"/>
  </r>
  <r>
    <x v="1933"/>
    <d v="2024-06-25T00:00:00"/>
    <x v="2"/>
    <x v="3"/>
    <n v="177"/>
    <n v="30"/>
    <n v="5"/>
    <x v="0"/>
    <x v="0"/>
    <x v="0"/>
    <x v="3"/>
    <x v="3"/>
    <x v="1"/>
    <x v="1"/>
    <x v="3"/>
    <x v="0"/>
    <n v="1"/>
    <s v="Slow"/>
    <s v="2 Days"/>
    <x v="4"/>
    <s v="Tuesday"/>
    <n v="2"/>
  </r>
  <r>
    <x v="1934"/>
    <d v="2024-08-07T00:00:00"/>
    <x v="2"/>
    <x v="1"/>
    <n v="62"/>
    <n v="51"/>
    <n v="8.1999999999999993"/>
    <x v="1"/>
    <x v="0"/>
    <x v="1"/>
    <x v="1"/>
    <x v="1"/>
    <x v="1"/>
    <x v="0"/>
    <x v="2"/>
    <x v="1"/>
    <n v="0"/>
    <s v="Acceptable"/>
    <s v="3 Days"/>
    <x v="0"/>
    <s v="Wednesday"/>
    <n v="3"/>
  </r>
  <r>
    <x v="1935"/>
    <d v="2024-05-03T00:00:00"/>
    <x v="2"/>
    <x v="1"/>
    <n v="201"/>
    <n v="50"/>
    <n v="5.9"/>
    <x v="0"/>
    <x v="0"/>
    <x v="0"/>
    <x v="1"/>
    <x v="1"/>
    <x v="1"/>
    <x v="1"/>
    <x v="0"/>
    <x v="0"/>
    <n v="1"/>
    <s v="Slow"/>
    <s v="3 Days"/>
    <x v="1"/>
    <s v="Friday"/>
    <n v="3"/>
  </r>
  <r>
    <x v="1936"/>
    <d v="2024-11-14T00:00:00"/>
    <x v="1"/>
    <x v="2"/>
    <n v="135"/>
    <n v="13"/>
    <n v="0.7"/>
    <x v="0"/>
    <x v="1"/>
    <x v="0"/>
    <x v="2"/>
    <x v="2"/>
    <x v="1"/>
    <x v="1"/>
    <x v="1"/>
    <x v="0"/>
    <n v="1"/>
    <s v="Slow"/>
    <s v="1 Day"/>
    <x v="6"/>
    <s v="Thursday"/>
    <n v="1"/>
  </r>
  <r>
    <x v="1937"/>
    <d v="2024-09-04T00:00:00"/>
    <x v="0"/>
    <x v="3"/>
    <n v="57"/>
    <n v="50"/>
    <n v="1.5"/>
    <x v="1"/>
    <x v="1"/>
    <x v="0"/>
    <x v="3"/>
    <x v="3"/>
    <x v="1"/>
    <x v="0"/>
    <x v="1"/>
    <x v="0"/>
    <n v="0"/>
    <s v="Acceptable"/>
    <s v="3 Days"/>
    <x v="5"/>
    <s v="Wednesday"/>
    <n v="2"/>
  </r>
  <r>
    <x v="1938"/>
    <d v="2024-02-15T00:00:00"/>
    <x v="1"/>
    <x v="3"/>
    <n v="167"/>
    <n v="29"/>
    <n v="0.9"/>
    <x v="1"/>
    <x v="2"/>
    <x v="0"/>
    <x v="3"/>
    <x v="3"/>
    <x v="1"/>
    <x v="1"/>
    <x v="1"/>
    <x v="0"/>
    <n v="0"/>
    <s v="Slow"/>
    <s v="2 Days"/>
    <x v="9"/>
    <s v="Thursday"/>
    <n v="2"/>
  </r>
  <r>
    <x v="1939"/>
    <d v="2024-11-08T00:00:00"/>
    <x v="2"/>
    <x v="3"/>
    <n v="173"/>
    <n v="27"/>
    <n v="2.1"/>
    <x v="1"/>
    <x v="0"/>
    <x v="0"/>
    <x v="3"/>
    <x v="3"/>
    <x v="1"/>
    <x v="1"/>
    <x v="3"/>
    <x v="0"/>
    <n v="0"/>
    <s v="Slow"/>
    <s v="2 Days"/>
    <x v="6"/>
    <s v="Friday"/>
    <n v="2"/>
  </r>
  <r>
    <x v="1940"/>
    <d v="2024-11-07T00:00:00"/>
    <x v="0"/>
    <x v="0"/>
    <n v="58"/>
    <n v="20"/>
    <n v="10"/>
    <x v="1"/>
    <x v="2"/>
    <x v="1"/>
    <x v="0"/>
    <x v="0"/>
    <x v="0"/>
    <x v="0"/>
    <x v="2"/>
    <x v="1"/>
    <n v="0"/>
    <s v="Acceptable"/>
    <s v="1 Day"/>
    <x v="6"/>
    <s v="Thursday"/>
    <n v="4"/>
  </r>
  <r>
    <x v="1941"/>
    <d v="2024-01-05T00:00:00"/>
    <x v="3"/>
    <x v="3"/>
    <n v="212"/>
    <n v="22"/>
    <n v="1.3"/>
    <x v="0"/>
    <x v="1"/>
    <x v="0"/>
    <x v="3"/>
    <x v="3"/>
    <x v="0"/>
    <x v="1"/>
    <x v="1"/>
    <x v="0"/>
    <n v="1"/>
    <s v="Slow"/>
    <s v="1 Day"/>
    <x v="8"/>
    <s v="Friday"/>
    <n v="2"/>
  </r>
  <r>
    <x v="1942"/>
    <d v="2024-05-06T00:00:00"/>
    <x v="4"/>
    <x v="1"/>
    <n v="37"/>
    <n v="41"/>
    <n v="0.9"/>
    <x v="1"/>
    <x v="1"/>
    <x v="0"/>
    <x v="1"/>
    <x v="1"/>
    <x v="0"/>
    <x v="0"/>
    <x v="1"/>
    <x v="0"/>
    <n v="0"/>
    <s v="Acceptable"/>
    <s v="2 Days"/>
    <x v="1"/>
    <s v="Monday"/>
    <n v="3"/>
  </r>
  <r>
    <x v="1943"/>
    <d v="2024-01-11T00:00:00"/>
    <x v="1"/>
    <x v="2"/>
    <n v="48"/>
    <n v="2"/>
    <n v="2.2999999999999998"/>
    <x v="0"/>
    <x v="0"/>
    <x v="0"/>
    <x v="2"/>
    <x v="2"/>
    <x v="0"/>
    <x v="1"/>
    <x v="3"/>
    <x v="0"/>
    <n v="1"/>
    <s v="Acceptable"/>
    <s v="Same Day"/>
    <x v="8"/>
    <s v="Thursday"/>
    <n v="1"/>
  </r>
  <r>
    <x v="1944"/>
    <d v="2024-06-28T00:00:00"/>
    <x v="3"/>
    <x v="2"/>
    <n v="161"/>
    <n v="26"/>
    <n v="0.9"/>
    <x v="0"/>
    <x v="1"/>
    <x v="0"/>
    <x v="2"/>
    <x v="2"/>
    <x v="1"/>
    <x v="1"/>
    <x v="1"/>
    <x v="0"/>
    <n v="1"/>
    <s v="Slow"/>
    <s v="2 Days"/>
    <x v="4"/>
    <s v="Friday"/>
    <n v="1"/>
  </r>
  <r>
    <x v="1945"/>
    <d v="2024-06-09T00:00:00"/>
    <x v="1"/>
    <x v="3"/>
    <n v="96"/>
    <n v="20"/>
    <n v="7"/>
    <x v="1"/>
    <x v="0"/>
    <x v="0"/>
    <x v="3"/>
    <x v="3"/>
    <x v="0"/>
    <x v="1"/>
    <x v="0"/>
    <x v="0"/>
    <n v="0"/>
    <s v="Acceptable"/>
    <s v="1 Day"/>
    <x v="4"/>
    <s v="Sunday"/>
    <n v="2"/>
  </r>
  <r>
    <x v="1946"/>
    <d v="2024-03-14T00:00:00"/>
    <x v="3"/>
    <x v="2"/>
    <n v="222"/>
    <n v="13"/>
    <n v="5.2"/>
    <x v="0"/>
    <x v="0"/>
    <x v="0"/>
    <x v="2"/>
    <x v="2"/>
    <x v="1"/>
    <x v="1"/>
    <x v="0"/>
    <x v="0"/>
    <n v="1"/>
    <s v="Slow"/>
    <s v="1 Day"/>
    <x v="2"/>
    <s v="Thursday"/>
    <n v="1"/>
  </r>
  <r>
    <x v="1947"/>
    <d v="2024-12-10T00:00:00"/>
    <x v="2"/>
    <x v="2"/>
    <n v="126"/>
    <n v="1"/>
    <n v="7.2"/>
    <x v="1"/>
    <x v="0"/>
    <x v="1"/>
    <x v="2"/>
    <x v="2"/>
    <x v="0"/>
    <x v="1"/>
    <x v="0"/>
    <x v="1"/>
    <n v="0"/>
    <s v="Slow"/>
    <s v="Same Day"/>
    <x v="11"/>
    <s v="Tuesday"/>
    <n v="1"/>
  </r>
  <r>
    <x v="1948"/>
    <d v="2024-11-16T00:00:00"/>
    <x v="3"/>
    <x v="2"/>
    <n v="169"/>
    <n v="49"/>
    <n v="2.4"/>
    <x v="1"/>
    <x v="0"/>
    <x v="0"/>
    <x v="2"/>
    <x v="2"/>
    <x v="1"/>
    <x v="1"/>
    <x v="3"/>
    <x v="0"/>
    <n v="0"/>
    <s v="Slow"/>
    <s v="3 Days"/>
    <x v="6"/>
    <s v="Saturday"/>
    <n v="1"/>
  </r>
  <r>
    <x v="1949"/>
    <d v="2024-02-24T00:00:00"/>
    <x v="2"/>
    <x v="2"/>
    <n v="220"/>
    <n v="57"/>
    <n v="5.7"/>
    <x v="1"/>
    <x v="1"/>
    <x v="0"/>
    <x v="2"/>
    <x v="2"/>
    <x v="1"/>
    <x v="1"/>
    <x v="0"/>
    <x v="0"/>
    <n v="0"/>
    <s v="Slow"/>
    <s v="3 Days"/>
    <x v="9"/>
    <s v="Saturday"/>
    <n v="1"/>
  </r>
  <r>
    <x v="1950"/>
    <d v="2024-08-01T00:00:00"/>
    <x v="0"/>
    <x v="3"/>
    <n v="232"/>
    <n v="63"/>
    <n v="9.4"/>
    <x v="0"/>
    <x v="2"/>
    <x v="0"/>
    <x v="3"/>
    <x v="3"/>
    <x v="1"/>
    <x v="1"/>
    <x v="2"/>
    <x v="0"/>
    <n v="1"/>
    <s v="Slow"/>
    <s v="3 Days"/>
    <x v="0"/>
    <s v="Thursday"/>
    <n v="2"/>
  </r>
  <r>
    <x v="1951"/>
    <d v="2024-04-05T00:00:00"/>
    <x v="3"/>
    <x v="1"/>
    <n v="151"/>
    <n v="42"/>
    <n v="4"/>
    <x v="0"/>
    <x v="2"/>
    <x v="0"/>
    <x v="1"/>
    <x v="1"/>
    <x v="0"/>
    <x v="1"/>
    <x v="3"/>
    <x v="0"/>
    <n v="1"/>
    <s v="Slow"/>
    <s v="2 Days"/>
    <x v="3"/>
    <s v="Friday"/>
    <n v="3"/>
  </r>
  <r>
    <x v="1952"/>
    <d v="2024-10-18T00:00:00"/>
    <x v="3"/>
    <x v="3"/>
    <n v="86"/>
    <n v="56"/>
    <n v="1.5"/>
    <x v="1"/>
    <x v="2"/>
    <x v="0"/>
    <x v="3"/>
    <x v="3"/>
    <x v="1"/>
    <x v="1"/>
    <x v="1"/>
    <x v="0"/>
    <n v="0"/>
    <s v="Acceptable"/>
    <s v="3 Days"/>
    <x v="7"/>
    <s v="Friday"/>
    <n v="2"/>
  </r>
  <r>
    <x v="1953"/>
    <d v="2024-01-05T00:00:00"/>
    <x v="3"/>
    <x v="1"/>
    <n v="178"/>
    <n v="17"/>
    <n v="9.5"/>
    <x v="0"/>
    <x v="2"/>
    <x v="0"/>
    <x v="1"/>
    <x v="1"/>
    <x v="0"/>
    <x v="1"/>
    <x v="2"/>
    <x v="0"/>
    <n v="1"/>
    <s v="Slow"/>
    <s v="1 Day"/>
    <x v="8"/>
    <s v="Friday"/>
    <n v="3"/>
  </r>
  <r>
    <x v="1954"/>
    <d v="2024-01-09T00:00:00"/>
    <x v="2"/>
    <x v="1"/>
    <n v="164"/>
    <n v="39"/>
    <n v="4"/>
    <x v="0"/>
    <x v="1"/>
    <x v="0"/>
    <x v="1"/>
    <x v="1"/>
    <x v="0"/>
    <x v="1"/>
    <x v="3"/>
    <x v="0"/>
    <n v="1"/>
    <s v="Slow"/>
    <s v="2 Days"/>
    <x v="8"/>
    <s v="Tuesday"/>
    <n v="3"/>
  </r>
  <r>
    <x v="1955"/>
    <d v="2024-07-16T00:00:00"/>
    <x v="0"/>
    <x v="1"/>
    <n v="176"/>
    <n v="14"/>
    <n v="7.8"/>
    <x v="0"/>
    <x v="0"/>
    <x v="0"/>
    <x v="1"/>
    <x v="1"/>
    <x v="0"/>
    <x v="1"/>
    <x v="0"/>
    <x v="0"/>
    <n v="1"/>
    <s v="Slow"/>
    <s v="1 Day"/>
    <x v="10"/>
    <s v="Tuesday"/>
    <n v="3"/>
  </r>
  <r>
    <x v="1956"/>
    <d v="2024-09-22T00:00:00"/>
    <x v="0"/>
    <x v="3"/>
    <n v="77"/>
    <n v="45"/>
    <n v="3.2"/>
    <x v="0"/>
    <x v="0"/>
    <x v="0"/>
    <x v="3"/>
    <x v="3"/>
    <x v="1"/>
    <x v="1"/>
    <x v="3"/>
    <x v="0"/>
    <n v="1"/>
    <s v="Acceptable"/>
    <s v="2 Days"/>
    <x v="5"/>
    <s v="Sunday"/>
    <n v="2"/>
  </r>
  <r>
    <x v="1957"/>
    <d v="2024-06-06T00:00:00"/>
    <x v="3"/>
    <x v="1"/>
    <n v="65"/>
    <n v="32"/>
    <n v="7.8"/>
    <x v="1"/>
    <x v="2"/>
    <x v="1"/>
    <x v="1"/>
    <x v="1"/>
    <x v="0"/>
    <x v="0"/>
    <x v="0"/>
    <x v="1"/>
    <n v="0"/>
    <s v="Acceptable"/>
    <s v="2 Days"/>
    <x v="4"/>
    <s v="Thursday"/>
    <n v="3"/>
  </r>
  <r>
    <x v="1958"/>
    <d v="2024-09-26T00:00:00"/>
    <x v="1"/>
    <x v="0"/>
    <n v="197"/>
    <n v="12"/>
    <n v="4.5999999999999996"/>
    <x v="1"/>
    <x v="2"/>
    <x v="0"/>
    <x v="0"/>
    <x v="0"/>
    <x v="0"/>
    <x v="0"/>
    <x v="3"/>
    <x v="0"/>
    <n v="0"/>
    <s v="Slow"/>
    <s v="1 Day"/>
    <x v="5"/>
    <s v="Thursday"/>
    <n v="4"/>
  </r>
  <r>
    <x v="1959"/>
    <d v="2024-03-07T00:00:00"/>
    <x v="1"/>
    <x v="2"/>
    <n v="60"/>
    <n v="18"/>
    <n v="2.1"/>
    <x v="1"/>
    <x v="0"/>
    <x v="0"/>
    <x v="2"/>
    <x v="2"/>
    <x v="1"/>
    <x v="1"/>
    <x v="3"/>
    <x v="0"/>
    <n v="0"/>
    <s v="Acceptable"/>
    <s v="1 Day"/>
    <x v="2"/>
    <s v="Thursday"/>
    <n v="1"/>
  </r>
  <r>
    <x v="1960"/>
    <d v="2024-02-13T00:00:00"/>
    <x v="0"/>
    <x v="0"/>
    <n v="222"/>
    <n v="42"/>
    <n v="0.8"/>
    <x v="0"/>
    <x v="2"/>
    <x v="0"/>
    <x v="0"/>
    <x v="0"/>
    <x v="0"/>
    <x v="0"/>
    <x v="1"/>
    <x v="0"/>
    <n v="1"/>
    <s v="Slow"/>
    <s v="2 Days"/>
    <x v="9"/>
    <s v="Tuesday"/>
    <n v="4"/>
  </r>
  <r>
    <x v="1961"/>
    <d v="2024-07-23T00:00:00"/>
    <x v="1"/>
    <x v="0"/>
    <n v="121"/>
    <n v="69"/>
    <n v="5.7"/>
    <x v="1"/>
    <x v="1"/>
    <x v="1"/>
    <x v="0"/>
    <x v="0"/>
    <x v="0"/>
    <x v="0"/>
    <x v="0"/>
    <x v="1"/>
    <n v="0"/>
    <s v="Slow"/>
    <s v="3 Days"/>
    <x v="10"/>
    <s v="Tuesday"/>
    <n v="4"/>
  </r>
  <r>
    <x v="1962"/>
    <d v="2024-05-27T00:00:00"/>
    <x v="1"/>
    <x v="3"/>
    <n v="116"/>
    <n v="50"/>
    <n v="3.4"/>
    <x v="0"/>
    <x v="1"/>
    <x v="0"/>
    <x v="3"/>
    <x v="3"/>
    <x v="1"/>
    <x v="1"/>
    <x v="3"/>
    <x v="0"/>
    <n v="1"/>
    <s v="Acceptable"/>
    <s v="3 Days"/>
    <x v="1"/>
    <s v="Monday"/>
    <n v="2"/>
  </r>
  <r>
    <x v="1963"/>
    <d v="2024-01-14T00:00:00"/>
    <x v="2"/>
    <x v="0"/>
    <n v="11"/>
    <n v="31"/>
    <n v="2.4"/>
    <x v="0"/>
    <x v="2"/>
    <x v="1"/>
    <x v="0"/>
    <x v="0"/>
    <x v="0"/>
    <x v="0"/>
    <x v="3"/>
    <x v="1"/>
    <n v="1"/>
    <s v="Very Fast"/>
    <s v="2 Days"/>
    <x v="8"/>
    <s v="Sunday"/>
    <n v="4"/>
  </r>
  <r>
    <x v="1964"/>
    <d v="2024-10-07T00:00:00"/>
    <x v="3"/>
    <x v="1"/>
    <n v="84"/>
    <n v="4"/>
    <n v="2.6"/>
    <x v="0"/>
    <x v="2"/>
    <x v="1"/>
    <x v="1"/>
    <x v="1"/>
    <x v="0"/>
    <x v="0"/>
    <x v="3"/>
    <x v="1"/>
    <n v="1"/>
    <s v="Acceptable"/>
    <s v="Same Day"/>
    <x v="7"/>
    <s v="Monday"/>
    <n v="3"/>
  </r>
  <r>
    <x v="1965"/>
    <d v="2024-12-13T00:00:00"/>
    <x v="0"/>
    <x v="0"/>
    <n v="178"/>
    <n v="63"/>
    <n v="4.5999999999999996"/>
    <x v="1"/>
    <x v="0"/>
    <x v="0"/>
    <x v="0"/>
    <x v="0"/>
    <x v="0"/>
    <x v="0"/>
    <x v="3"/>
    <x v="0"/>
    <n v="0"/>
    <s v="Slow"/>
    <s v="3 Days"/>
    <x v="11"/>
    <s v="Friday"/>
    <n v="4"/>
  </r>
  <r>
    <x v="1966"/>
    <d v="2024-10-09T00:00:00"/>
    <x v="1"/>
    <x v="0"/>
    <n v="151"/>
    <n v="42"/>
    <n v="4.3"/>
    <x v="0"/>
    <x v="2"/>
    <x v="0"/>
    <x v="0"/>
    <x v="0"/>
    <x v="0"/>
    <x v="0"/>
    <x v="3"/>
    <x v="0"/>
    <n v="1"/>
    <s v="Slow"/>
    <s v="2 Days"/>
    <x v="7"/>
    <s v="Wednesday"/>
    <n v="4"/>
  </r>
  <r>
    <x v="1967"/>
    <d v="2024-08-01T00:00:00"/>
    <x v="3"/>
    <x v="3"/>
    <n v="149"/>
    <n v="15"/>
    <n v="1.5"/>
    <x v="0"/>
    <x v="2"/>
    <x v="0"/>
    <x v="3"/>
    <x v="3"/>
    <x v="0"/>
    <x v="1"/>
    <x v="1"/>
    <x v="0"/>
    <n v="1"/>
    <s v="Slow"/>
    <s v="1 Day"/>
    <x v="0"/>
    <s v="Thursday"/>
    <n v="2"/>
  </r>
  <r>
    <x v="1968"/>
    <d v="2024-07-04T00:00:00"/>
    <x v="1"/>
    <x v="3"/>
    <n v="168"/>
    <n v="16"/>
    <n v="0.9"/>
    <x v="0"/>
    <x v="0"/>
    <x v="0"/>
    <x v="3"/>
    <x v="3"/>
    <x v="0"/>
    <x v="1"/>
    <x v="1"/>
    <x v="0"/>
    <n v="1"/>
    <s v="Slow"/>
    <s v="1 Day"/>
    <x v="10"/>
    <s v="Thursday"/>
    <n v="2"/>
  </r>
  <r>
    <x v="1969"/>
    <d v="2024-07-09T00:00:00"/>
    <x v="3"/>
    <x v="0"/>
    <n v="159"/>
    <n v="39"/>
    <n v="3.8"/>
    <x v="1"/>
    <x v="2"/>
    <x v="0"/>
    <x v="0"/>
    <x v="0"/>
    <x v="0"/>
    <x v="0"/>
    <x v="3"/>
    <x v="0"/>
    <n v="0"/>
    <s v="Slow"/>
    <s v="2 Days"/>
    <x v="10"/>
    <s v="Tuesday"/>
    <n v="4"/>
  </r>
  <r>
    <x v="1970"/>
    <d v="2024-04-21T00:00:00"/>
    <x v="0"/>
    <x v="3"/>
    <n v="80"/>
    <n v="5"/>
    <n v="6"/>
    <x v="1"/>
    <x v="1"/>
    <x v="1"/>
    <x v="3"/>
    <x v="3"/>
    <x v="0"/>
    <x v="1"/>
    <x v="0"/>
    <x v="1"/>
    <n v="0"/>
    <s v="Acceptable"/>
    <s v="Same Day"/>
    <x v="3"/>
    <s v="Sunday"/>
    <n v="2"/>
  </r>
  <r>
    <x v="1971"/>
    <d v="2024-05-16T00:00:00"/>
    <x v="0"/>
    <x v="1"/>
    <n v="106"/>
    <n v="37"/>
    <n v="8.3000000000000007"/>
    <x v="1"/>
    <x v="0"/>
    <x v="1"/>
    <x v="1"/>
    <x v="1"/>
    <x v="0"/>
    <x v="0"/>
    <x v="2"/>
    <x v="1"/>
    <n v="0"/>
    <s v="Acceptable"/>
    <s v="2 Days"/>
    <x v="1"/>
    <s v="Thursday"/>
    <n v="3"/>
  </r>
  <r>
    <x v="1972"/>
    <d v="2024-02-13T00:00:00"/>
    <x v="1"/>
    <x v="3"/>
    <n v="101"/>
    <n v="61"/>
    <n v="3.7"/>
    <x v="1"/>
    <x v="1"/>
    <x v="0"/>
    <x v="3"/>
    <x v="3"/>
    <x v="1"/>
    <x v="1"/>
    <x v="3"/>
    <x v="0"/>
    <n v="0"/>
    <s v="Acceptable"/>
    <s v="3 Days"/>
    <x v="9"/>
    <s v="Tuesday"/>
    <n v="2"/>
  </r>
  <r>
    <x v="1973"/>
    <d v="2024-11-23T00:00:00"/>
    <x v="3"/>
    <x v="1"/>
    <n v="215"/>
    <n v="57"/>
    <n v="5.3"/>
    <x v="1"/>
    <x v="1"/>
    <x v="1"/>
    <x v="1"/>
    <x v="1"/>
    <x v="1"/>
    <x v="1"/>
    <x v="0"/>
    <x v="1"/>
    <n v="0"/>
    <s v="Slow"/>
    <s v="3 Days"/>
    <x v="6"/>
    <s v="Saturday"/>
    <n v="3"/>
  </r>
  <r>
    <x v="1974"/>
    <d v="2024-12-12T00:00:00"/>
    <x v="0"/>
    <x v="0"/>
    <n v="192"/>
    <n v="19"/>
    <n v="4.3"/>
    <x v="0"/>
    <x v="0"/>
    <x v="0"/>
    <x v="0"/>
    <x v="0"/>
    <x v="0"/>
    <x v="0"/>
    <x v="3"/>
    <x v="0"/>
    <n v="1"/>
    <s v="Slow"/>
    <s v="1 Day"/>
    <x v="11"/>
    <s v="Thursday"/>
    <n v="4"/>
  </r>
  <r>
    <x v="1975"/>
    <d v="2024-05-14T00:00:00"/>
    <x v="4"/>
    <x v="3"/>
    <n v="102"/>
    <n v="19"/>
    <n v="2.7"/>
    <x v="0"/>
    <x v="2"/>
    <x v="0"/>
    <x v="3"/>
    <x v="3"/>
    <x v="0"/>
    <x v="1"/>
    <x v="3"/>
    <x v="0"/>
    <n v="1"/>
    <s v="Acceptable"/>
    <s v="1 Day"/>
    <x v="1"/>
    <s v="Tuesday"/>
    <n v="2"/>
  </r>
  <r>
    <x v="1976"/>
    <d v="2024-07-25T00:00:00"/>
    <x v="0"/>
    <x v="1"/>
    <n v="89"/>
    <n v="50"/>
    <n v="6.2"/>
    <x v="0"/>
    <x v="2"/>
    <x v="0"/>
    <x v="1"/>
    <x v="1"/>
    <x v="1"/>
    <x v="0"/>
    <x v="0"/>
    <x v="0"/>
    <n v="1"/>
    <s v="Acceptable"/>
    <s v="3 Days"/>
    <x v="10"/>
    <s v="Thursday"/>
    <n v="3"/>
  </r>
  <r>
    <x v="1977"/>
    <d v="2024-02-28T00:00:00"/>
    <x v="4"/>
    <x v="2"/>
    <n v="42"/>
    <n v="47"/>
    <n v="6.4"/>
    <x v="0"/>
    <x v="2"/>
    <x v="0"/>
    <x v="2"/>
    <x v="2"/>
    <x v="1"/>
    <x v="1"/>
    <x v="0"/>
    <x v="0"/>
    <n v="1"/>
    <s v="Acceptable"/>
    <s v="2 Days"/>
    <x v="9"/>
    <s v="Wednesday"/>
    <n v="1"/>
  </r>
  <r>
    <x v="1978"/>
    <d v="2024-11-17T00:00:00"/>
    <x v="2"/>
    <x v="3"/>
    <n v="229"/>
    <n v="66"/>
    <n v="3.7"/>
    <x v="0"/>
    <x v="2"/>
    <x v="0"/>
    <x v="3"/>
    <x v="3"/>
    <x v="1"/>
    <x v="1"/>
    <x v="3"/>
    <x v="0"/>
    <n v="1"/>
    <s v="Slow"/>
    <s v="3 Days"/>
    <x v="6"/>
    <s v="Sunday"/>
    <n v="2"/>
  </r>
  <r>
    <x v="1979"/>
    <d v="2024-01-05T00:00:00"/>
    <x v="2"/>
    <x v="2"/>
    <n v="82"/>
    <n v="19"/>
    <n v="7.8"/>
    <x v="1"/>
    <x v="0"/>
    <x v="0"/>
    <x v="2"/>
    <x v="2"/>
    <x v="1"/>
    <x v="1"/>
    <x v="0"/>
    <x v="0"/>
    <n v="0"/>
    <s v="Acceptable"/>
    <s v="1 Day"/>
    <x v="8"/>
    <s v="Friday"/>
    <n v="1"/>
  </r>
  <r>
    <x v="1980"/>
    <d v="2024-11-26T00:00:00"/>
    <x v="2"/>
    <x v="3"/>
    <n v="159"/>
    <n v="15"/>
    <n v="9.6"/>
    <x v="0"/>
    <x v="2"/>
    <x v="0"/>
    <x v="3"/>
    <x v="3"/>
    <x v="0"/>
    <x v="1"/>
    <x v="2"/>
    <x v="0"/>
    <n v="1"/>
    <s v="Slow"/>
    <s v="1 Day"/>
    <x v="6"/>
    <s v="Tuesday"/>
    <n v="2"/>
  </r>
  <r>
    <x v="1981"/>
    <d v="2024-08-13T00:00:00"/>
    <x v="0"/>
    <x v="2"/>
    <n v="155"/>
    <n v="35"/>
    <n v="2.4"/>
    <x v="1"/>
    <x v="1"/>
    <x v="0"/>
    <x v="2"/>
    <x v="2"/>
    <x v="1"/>
    <x v="1"/>
    <x v="3"/>
    <x v="0"/>
    <n v="0"/>
    <s v="Slow"/>
    <s v="2 Days"/>
    <x v="0"/>
    <s v="Tuesday"/>
    <n v="1"/>
  </r>
  <r>
    <x v="1982"/>
    <d v="2024-06-19T00:00:00"/>
    <x v="4"/>
    <x v="1"/>
    <n v="160"/>
    <n v="16"/>
    <n v="5.9"/>
    <x v="0"/>
    <x v="2"/>
    <x v="0"/>
    <x v="1"/>
    <x v="1"/>
    <x v="0"/>
    <x v="1"/>
    <x v="0"/>
    <x v="0"/>
    <n v="1"/>
    <s v="Slow"/>
    <s v="1 Day"/>
    <x v="4"/>
    <s v="Wednesday"/>
    <n v="3"/>
  </r>
  <r>
    <x v="1983"/>
    <d v="2024-10-17T00:00:00"/>
    <x v="1"/>
    <x v="0"/>
    <n v="205"/>
    <n v="33"/>
    <n v="4.8"/>
    <x v="0"/>
    <x v="2"/>
    <x v="0"/>
    <x v="0"/>
    <x v="0"/>
    <x v="0"/>
    <x v="0"/>
    <x v="3"/>
    <x v="0"/>
    <n v="1"/>
    <s v="Slow"/>
    <s v="2 Days"/>
    <x v="7"/>
    <s v="Thursday"/>
    <n v="4"/>
  </r>
  <r>
    <x v="1984"/>
    <d v="2024-05-13T00:00:00"/>
    <x v="4"/>
    <x v="3"/>
    <n v="147"/>
    <n v="56"/>
    <n v="0.7"/>
    <x v="0"/>
    <x v="1"/>
    <x v="0"/>
    <x v="3"/>
    <x v="3"/>
    <x v="1"/>
    <x v="1"/>
    <x v="1"/>
    <x v="0"/>
    <n v="1"/>
    <s v="Slow"/>
    <s v="3 Days"/>
    <x v="1"/>
    <s v="Monday"/>
    <n v="2"/>
  </r>
  <r>
    <x v="1985"/>
    <d v="2024-06-26T00:00:00"/>
    <x v="0"/>
    <x v="0"/>
    <n v="169"/>
    <n v="27"/>
    <n v="7"/>
    <x v="1"/>
    <x v="0"/>
    <x v="1"/>
    <x v="0"/>
    <x v="0"/>
    <x v="0"/>
    <x v="0"/>
    <x v="0"/>
    <x v="1"/>
    <n v="0"/>
    <s v="Slow"/>
    <s v="2 Days"/>
    <x v="4"/>
    <s v="Wednesday"/>
    <n v="4"/>
  </r>
  <r>
    <x v="1986"/>
    <d v="2024-10-15T00:00:00"/>
    <x v="2"/>
    <x v="1"/>
    <n v="13"/>
    <n v="22"/>
    <n v="4.5999999999999996"/>
    <x v="0"/>
    <x v="0"/>
    <x v="1"/>
    <x v="1"/>
    <x v="1"/>
    <x v="0"/>
    <x v="0"/>
    <x v="3"/>
    <x v="1"/>
    <n v="1"/>
    <s v="Very Fast"/>
    <s v="1 Day"/>
    <x v="7"/>
    <s v="Tuesday"/>
    <n v="3"/>
  </r>
  <r>
    <x v="1987"/>
    <d v="2024-12-11T00:00:00"/>
    <x v="0"/>
    <x v="3"/>
    <n v="131"/>
    <n v="72"/>
    <n v="8.5"/>
    <x v="1"/>
    <x v="0"/>
    <x v="0"/>
    <x v="3"/>
    <x v="3"/>
    <x v="1"/>
    <x v="1"/>
    <x v="2"/>
    <x v="0"/>
    <n v="0"/>
    <s v="Slow"/>
    <s v="3 Days"/>
    <x v="11"/>
    <s v="Wednesday"/>
    <n v="2"/>
  </r>
  <r>
    <x v="1988"/>
    <d v="2024-12-30T00:00:00"/>
    <x v="4"/>
    <x v="2"/>
    <n v="238"/>
    <n v="38"/>
    <n v="8.9"/>
    <x v="1"/>
    <x v="2"/>
    <x v="0"/>
    <x v="2"/>
    <x v="2"/>
    <x v="1"/>
    <x v="1"/>
    <x v="2"/>
    <x v="0"/>
    <n v="0"/>
    <s v="Slow"/>
    <s v="2 Days"/>
    <x v="11"/>
    <s v="Monday"/>
    <n v="1"/>
  </r>
  <r>
    <x v="1989"/>
    <d v="2024-01-14T00:00:00"/>
    <x v="1"/>
    <x v="1"/>
    <n v="28"/>
    <n v="64"/>
    <n v="9.4"/>
    <x v="0"/>
    <x v="2"/>
    <x v="1"/>
    <x v="1"/>
    <x v="1"/>
    <x v="1"/>
    <x v="0"/>
    <x v="2"/>
    <x v="1"/>
    <n v="1"/>
    <s v="Very Fast"/>
    <s v="3 Days"/>
    <x v="8"/>
    <s v="Sunday"/>
    <n v="3"/>
  </r>
  <r>
    <x v="1990"/>
    <d v="2024-09-27T00:00:00"/>
    <x v="4"/>
    <x v="2"/>
    <n v="32"/>
    <n v="27"/>
    <n v="6"/>
    <x v="1"/>
    <x v="0"/>
    <x v="0"/>
    <x v="2"/>
    <x v="2"/>
    <x v="1"/>
    <x v="1"/>
    <x v="0"/>
    <x v="0"/>
    <n v="0"/>
    <s v="Acceptable"/>
    <s v="2 Days"/>
    <x v="5"/>
    <s v="Friday"/>
    <n v="1"/>
  </r>
  <r>
    <x v="1991"/>
    <d v="2024-04-22T00:00:00"/>
    <x v="1"/>
    <x v="0"/>
    <n v="118"/>
    <n v="8"/>
    <n v="5.3"/>
    <x v="1"/>
    <x v="1"/>
    <x v="1"/>
    <x v="0"/>
    <x v="0"/>
    <x v="0"/>
    <x v="0"/>
    <x v="0"/>
    <x v="1"/>
    <n v="0"/>
    <s v="Acceptable"/>
    <s v="Same Day"/>
    <x v="3"/>
    <s v="Monday"/>
    <n v="4"/>
  </r>
  <r>
    <x v="1992"/>
    <d v="2024-02-04T00:00:00"/>
    <x v="1"/>
    <x v="0"/>
    <n v="64"/>
    <n v="23"/>
    <n v="3.2"/>
    <x v="0"/>
    <x v="2"/>
    <x v="0"/>
    <x v="0"/>
    <x v="0"/>
    <x v="0"/>
    <x v="0"/>
    <x v="3"/>
    <x v="0"/>
    <n v="1"/>
    <s v="Acceptable"/>
    <s v="1 Day"/>
    <x v="9"/>
    <s v="Sunday"/>
    <n v="4"/>
  </r>
  <r>
    <x v="1993"/>
    <d v="2024-08-12T00:00:00"/>
    <x v="3"/>
    <x v="3"/>
    <n v="224"/>
    <n v="9"/>
    <n v="3.9"/>
    <x v="0"/>
    <x v="0"/>
    <x v="0"/>
    <x v="3"/>
    <x v="3"/>
    <x v="0"/>
    <x v="1"/>
    <x v="3"/>
    <x v="0"/>
    <n v="1"/>
    <s v="Slow"/>
    <s v="1 Day"/>
    <x v="0"/>
    <s v="Monday"/>
    <n v="2"/>
  </r>
  <r>
    <x v="1994"/>
    <d v="2024-06-29T00:00:00"/>
    <x v="4"/>
    <x v="0"/>
    <n v="205"/>
    <n v="6"/>
    <n v="8.5"/>
    <x v="0"/>
    <x v="0"/>
    <x v="1"/>
    <x v="0"/>
    <x v="0"/>
    <x v="0"/>
    <x v="0"/>
    <x v="2"/>
    <x v="1"/>
    <n v="1"/>
    <s v="Slow"/>
    <s v="Same Day"/>
    <x v="4"/>
    <s v="Saturday"/>
    <n v="4"/>
  </r>
  <r>
    <x v="1995"/>
    <d v="2024-04-03T00:00:00"/>
    <x v="1"/>
    <x v="1"/>
    <n v="14"/>
    <n v="39"/>
    <n v="7.6"/>
    <x v="0"/>
    <x v="1"/>
    <x v="1"/>
    <x v="1"/>
    <x v="1"/>
    <x v="0"/>
    <x v="0"/>
    <x v="0"/>
    <x v="1"/>
    <n v="1"/>
    <s v="Very Fast"/>
    <s v="2 Days"/>
    <x v="3"/>
    <s v="Wednesday"/>
    <n v="3"/>
  </r>
  <r>
    <x v="1996"/>
    <d v="2024-07-05T00:00:00"/>
    <x v="2"/>
    <x v="1"/>
    <n v="100"/>
    <n v="35"/>
    <n v="7.8"/>
    <x v="0"/>
    <x v="2"/>
    <x v="0"/>
    <x v="1"/>
    <x v="1"/>
    <x v="0"/>
    <x v="0"/>
    <x v="0"/>
    <x v="0"/>
    <n v="1"/>
    <s v="Acceptable"/>
    <s v="2 Days"/>
    <x v="10"/>
    <s v="Friday"/>
    <n v="3"/>
  </r>
  <r>
    <x v="1997"/>
    <d v="2024-06-08T00:00:00"/>
    <x v="2"/>
    <x v="3"/>
    <n v="80"/>
    <n v="63"/>
    <n v="8.4"/>
    <x v="0"/>
    <x v="0"/>
    <x v="0"/>
    <x v="3"/>
    <x v="3"/>
    <x v="1"/>
    <x v="1"/>
    <x v="2"/>
    <x v="0"/>
    <n v="1"/>
    <s v="Acceptable"/>
    <s v="3 Days"/>
    <x v="4"/>
    <s v="Saturday"/>
    <n v="2"/>
  </r>
  <r>
    <x v="1998"/>
    <d v="2024-09-29T00:00:00"/>
    <x v="1"/>
    <x v="3"/>
    <n v="222"/>
    <n v="22"/>
    <n v="9.8000000000000007"/>
    <x v="1"/>
    <x v="1"/>
    <x v="0"/>
    <x v="3"/>
    <x v="3"/>
    <x v="0"/>
    <x v="1"/>
    <x v="2"/>
    <x v="0"/>
    <n v="0"/>
    <s v="Slow"/>
    <s v="1 Day"/>
    <x v="5"/>
    <s v="Sunday"/>
    <n v="2"/>
  </r>
  <r>
    <x v="1999"/>
    <d v="2024-11-19T00:00:00"/>
    <x v="3"/>
    <x v="1"/>
    <n v="143"/>
    <n v="43"/>
    <n v="7.4"/>
    <x v="1"/>
    <x v="2"/>
    <x v="1"/>
    <x v="1"/>
    <x v="1"/>
    <x v="0"/>
    <x v="1"/>
    <x v="0"/>
    <x v="1"/>
    <n v="0"/>
    <s v="Slow"/>
    <s v="2 Days"/>
    <x v="6"/>
    <s v="Tuesday"/>
    <n v="3"/>
  </r>
  <r>
    <x v="2000"/>
    <d v="2024-07-25T00:00:00"/>
    <x v="2"/>
    <x v="2"/>
    <n v="131"/>
    <n v="49"/>
    <n v="6.4"/>
    <x v="1"/>
    <x v="1"/>
    <x v="0"/>
    <x v="2"/>
    <x v="2"/>
    <x v="1"/>
    <x v="1"/>
    <x v="0"/>
    <x v="0"/>
    <n v="0"/>
    <s v="Slow"/>
    <s v="3 Days"/>
    <x v="10"/>
    <s v="Thursday"/>
    <n v="1"/>
  </r>
  <r>
    <x v="2001"/>
    <d v="2024-10-05T00:00:00"/>
    <x v="0"/>
    <x v="0"/>
    <n v="234"/>
    <n v="35"/>
    <n v="1"/>
    <x v="1"/>
    <x v="0"/>
    <x v="0"/>
    <x v="0"/>
    <x v="0"/>
    <x v="0"/>
    <x v="0"/>
    <x v="1"/>
    <x v="0"/>
    <n v="0"/>
    <s v="Slow"/>
    <s v="2 Days"/>
    <x v="7"/>
    <s v="Saturday"/>
    <n v="4"/>
  </r>
  <r>
    <x v="2002"/>
    <d v="2024-11-01T00:00:00"/>
    <x v="1"/>
    <x v="2"/>
    <n v="194"/>
    <n v="19"/>
    <n v="0.6"/>
    <x v="1"/>
    <x v="1"/>
    <x v="0"/>
    <x v="2"/>
    <x v="2"/>
    <x v="1"/>
    <x v="1"/>
    <x v="1"/>
    <x v="0"/>
    <n v="0"/>
    <s v="Slow"/>
    <s v="1 Day"/>
    <x v="6"/>
    <s v="Friday"/>
    <n v="1"/>
  </r>
  <r>
    <x v="2003"/>
    <d v="2024-06-22T00:00:00"/>
    <x v="2"/>
    <x v="3"/>
    <n v="97"/>
    <n v="14"/>
    <n v="2.2999999999999998"/>
    <x v="1"/>
    <x v="1"/>
    <x v="0"/>
    <x v="3"/>
    <x v="3"/>
    <x v="0"/>
    <x v="1"/>
    <x v="3"/>
    <x v="0"/>
    <n v="0"/>
    <s v="Acceptable"/>
    <s v="1 Day"/>
    <x v="4"/>
    <s v="Saturday"/>
    <n v="2"/>
  </r>
  <r>
    <x v="2004"/>
    <d v="2024-05-15T00:00:00"/>
    <x v="0"/>
    <x v="2"/>
    <n v="101"/>
    <n v="48"/>
    <n v="2.6"/>
    <x v="0"/>
    <x v="0"/>
    <x v="0"/>
    <x v="2"/>
    <x v="2"/>
    <x v="1"/>
    <x v="1"/>
    <x v="3"/>
    <x v="0"/>
    <n v="1"/>
    <s v="Acceptable"/>
    <s v="2 Days"/>
    <x v="1"/>
    <s v="Wednesday"/>
    <n v="1"/>
  </r>
  <r>
    <x v="2005"/>
    <d v="2024-04-24T00:00:00"/>
    <x v="0"/>
    <x v="1"/>
    <n v="130"/>
    <n v="50"/>
    <n v="9.9"/>
    <x v="0"/>
    <x v="1"/>
    <x v="0"/>
    <x v="1"/>
    <x v="1"/>
    <x v="1"/>
    <x v="1"/>
    <x v="2"/>
    <x v="0"/>
    <n v="1"/>
    <s v="Slow"/>
    <s v="3 Days"/>
    <x v="3"/>
    <s v="Wednesday"/>
    <n v="3"/>
  </r>
  <r>
    <x v="2006"/>
    <d v="2024-06-05T00:00:00"/>
    <x v="4"/>
    <x v="1"/>
    <n v="140"/>
    <n v="71"/>
    <n v="1.4"/>
    <x v="1"/>
    <x v="1"/>
    <x v="0"/>
    <x v="1"/>
    <x v="1"/>
    <x v="1"/>
    <x v="1"/>
    <x v="1"/>
    <x v="0"/>
    <n v="0"/>
    <s v="Slow"/>
    <s v="3 Days"/>
    <x v="4"/>
    <s v="Wednesday"/>
    <n v="3"/>
  </r>
  <r>
    <x v="2007"/>
    <d v="2024-07-10T00:00:00"/>
    <x v="3"/>
    <x v="1"/>
    <n v="212"/>
    <n v="68"/>
    <n v="3.6"/>
    <x v="0"/>
    <x v="0"/>
    <x v="0"/>
    <x v="1"/>
    <x v="1"/>
    <x v="1"/>
    <x v="1"/>
    <x v="3"/>
    <x v="0"/>
    <n v="1"/>
    <s v="Slow"/>
    <s v="3 Days"/>
    <x v="10"/>
    <s v="Wednesday"/>
    <n v="3"/>
  </r>
  <r>
    <x v="2008"/>
    <d v="2024-12-12T00:00:00"/>
    <x v="3"/>
    <x v="0"/>
    <n v="167"/>
    <n v="38"/>
    <n v="1.8"/>
    <x v="1"/>
    <x v="0"/>
    <x v="0"/>
    <x v="0"/>
    <x v="0"/>
    <x v="0"/>
    <x v="0"/>
    <x v="1"/>
    <x v="0"/>
    <n v="0"/>
    <s v="Slow"/>
    <s v="2 Days"/>
    <x v="11"/>
    <s v="Thursday"/>
    <n v="4"/>
  </r>
  <r>
    <x v="2009"/>
    <d v="2024-04-01T00:00:00"/>
    <x v="2"/>
    <x v="2"/>
    <n v="147"/>
    <n v="7"/>
    <n v="5.8"/>
    <x v="1"/>
    <x v="1"/>
    <x v="0"/>
    <x v="2"/>
    <x v="2"/>
    <x v="0"/>
    <x v="1"/>
    <x v="0"/>
    <x v="0"/>
    <n v="0"/>
    <s v="Slow"/>
    <s v="Same Day"/>
    <x v="3"/>
    <s v="Monday"/>
    <n v="1"/>
  </r>
  <r>
    <x v="2010"/>
    <d v="2024-10-30T00:00:00"/>
    <x v="4"/>
    <x v="2"/>
    <n v="229"/>
    <n v="22"/>
    <n v="2.7"/>
    <x v="1"/>
    <x v="1"/>
    <x v="0"/>
    <x v="2"/>
    <x v="2"/>
    <x v="1"/>
    <x v="1"/>
    <x v="3"/>
    <x v="0"/>
    <n v="0"/>
    <s v="Slow"/>
    <s v="1 Day"/>
    <x v="7"/>
    <s v="Wednesday"/>
    <n v="1"/>
  </r>
  <r>
    <x v="2011"/>
    <d v="2024-01-13T00:00:00"/>
    <x v="2"/>
    <x v="1"/>
    <n v="76"/>
    <n v="26"/>
    <n v="9.5"/>
    <x v="1"/>
    <x v="2"/>
    <x v="1"/>
    <x v="1"/>
    <x v="1"/>
    <x v="0"/>
    <x v="0"/>
    <x v="2"/>
    <x v="1"/>
    <n v="0"/>
    <s v="Acceptable"/>
    <s v="2 Days"/>
    <x v="8"/>
    <s v="Saturday"/>
    <n v="3"/>
  </r>
  <r>
    <x v="2012"/>
    <d v="2024-02-07T00:00:00"/>
    <x v="1"/>
    <x v="3"/>
    <n v="45"/>
    <n v="12"/>
    <n v="9"/>
    <x v="1"/>
    <x v="0"/>
    <x v="0"/>
    <x v="3"/>
    <x v="3"/>
    <x v="0"/>
    <x v="0"/>
    <x v="2"/>
    <x v="0"/>
    <n v="0"/>
    <s v="Acceptable"/>
    <s v="1 Day"/>
    <x v="9"/>
    <s v="Wednesday"/>
    <n v="2"/>
  </r>
  <r>
    <x v="2013"/>
    <d v="2024-07-17T00:00:00"/>
    <x v="4"/>
    <x v="2"/>
    <n v="116"/>
    <n v="15"/>
    <n v="4.0999999999999996"/>
    <x v="1"/>
    <x v="1"/>
    <x v="0"/>
    <x v="2"/>
    <x v="2"/>
    <x v="1"/>
    <x v="1"/>
    <x v="3"/>
    <x v="0"/>
    <n v="0"/>
    <s v="Acceptable"/>
    <s v="1 Day"/>
    <x v="10"/>
    <s v="Wednesday"/>
    <n v="1"/>
  </r>
  <r>
    <x v="2014"/>
    <d v="2024-08-21T00:00:00"/>
    <x v="4"/>
    <x v="2"/>
    <n v="199"/>
    <n v="55"/>
    <n v="1.2"/>
    <x v="0"/>
    <x v="2"/>
    <x v="0"/>
    <x v="2"/>
    <x v="2"/>
    <x v="1"/>
    <x v="1"/>
    <x v="1"/>
    <x v="0"/>
    <n v="1"/>
    <s v="Slow"/>
    <s v="3 Days"/>
    <x v="0"/>
    <s v="Wednesday"/>
    <n v="1"/>
  </r>
  <r>
    <x v="2015"/>
    <d v="2024-09-07T00:00:00"/>
    <x v="0"/>
    <x v="0"/>
    <n v="220"/>
    <n v="54"/>
    <n v="1.3"/>
    <x v="1"/>
    <x v="2"/>
    <x v="0"/>
    <x v="0"/>
    <x v="0"/>
    <x v="0"/>
    <x v="0"/>
    <x v="1"/>
    <x v="0"/>
    <n v="0"/>
    <s v="Slow"/>
    <s v="3 Days"/>
    <x v="5"/>
    <s v="Saturday"/>
    <n v="4"/>
  </r>
  <r>
    <x v="2016"/>
    <d v="2024-07-08T00:00:00"/>
    <x v="0"/>
    <x v="3"/>
    <n v="154"/>
    <n v="37"/>
    <n v="7.6"/>
    <x v="1"/>
    <x v="0"/>
    <x v="0"/>
    <x v="3"/>
    <x v="3"/>
    <x v="1"/>
    <x v="1"/>
    <x v="0"/>
    <x v="0"/>
    <n v="0"/>
    <s v="Slow"/>
    <s v="2 Days"/>
    <x v="10"/>
    <s v="Monday"/>
    <n v="2"/>
  </r>
  <r>
    <x v="2017"/>
    <d v="2024-08-15T00:00:00"/>
    <x v="4"/>
    <x v="2"/>
    <n v="153"/>
    <n v="66"/>
    <n v="9.4"/>
    <x v="1"/>
    <x v="2"/>
    <x v="0"/>
    <x v="2"/>
    <x v="2"/>
    <x v="1"/>
    <x v="1"/>
    <x v="2"/>
    <x v="0"/>
    <n v="0"/>
    <s v="Slow"/>
    <s v="3 Days"/>
    <x v="0"/>
    <s v="Thursday"/>
    <n v="1"/>
  </r>
  <r>
    <x v="2018"/>
    <d v="2024-04-15T00:00:00"/>
    <x v="0"/>
    <x v="3"/>
    <n v="236"/>
    <n v="63"/>
    <n v="6.9"/>
    <x v="0"/>
    <x v="1"/>
    <x v="0"/>
    <x v="3"/>
    <x v="3"/>
    <x v="1"/>
    <x v="1"/>
    <x v="0"/>
    <x v="0"/>
    <n v="1"/>
    <s v="Slow"/>
    <s v="3 Days"/>
    <x v="3"/>
    <s v="Monday"/>
    <n v="2"/>
  </r>
  <r>
    <x v="2019"/>
    <d v="2024-02-02T00:00:00"/>
    <x v="3"/>
    <x v="3"/>
    <n v="112"/>
    <n v="44"/>
    <n v="4.8"/>
    <x v="0"/>
    <x v="0"/>
    <x v="0"/>
    <x v="3"/>
    <x v="3"/>
    <x v="1"/>
    <x v="1"/>
    <x v="3"/>
    <x v="0"/>
    <n v="1"/>
    <s v="Acceptable"/>
    <s v="2 Days"/>
    <x v="9"/>
    <s v="Friday"/>
    <n v="2"/>
  </r>
  <r>
    <x v="2020"/>
    <d v="2024-12-11T00:00:00"/>
    <x v="0"/>
    <x v="1"/>
    <n v="240"/>
    <n v="33"/>
    <n v="2.2000000000000002"/>
    <x v="0"/>
    <x v="2"/>
    <x v="0"/>
    <x v="1"/>
    <x v="1"/>
    <x v="0"/>
    <x v="1"/>
    <x v="3"/>
    <x v="0"/>
    <n v="1"/>
    <s v="Slow"/>
    <s v="2 Days"/>
    <x v="11"/>
    <s v="Wednesday"/>
    <n v="3"/>
  </r>
  <r>
    <x v="2021"/>
    <d v="2024-03-01T00:00:00"/>
    <x v="1"/>
    <x v="1"/>
    <n v="142"/>
    <n v="38"/>
    <n v="4.5"/>
    <x v="1"/>
    <x v="1"/>
    <x v="0"/>
    <x v="1"/>
    <x v="1"/>
    <x v="0"/>
    <x v="1"/>
    <x v="3"/>
    <x v="0"/>
    <n v="0"/>
    <s v="Slow"/>
    <s v="2 Days"/>
    <x v="2"/>
    <s v="Friday"/>
    <n v="3"/>
  </r>
  <r>
    <x v="2022"/>
    <d v="2024-06-29T00:00:00"/>
    <x v="4"/>
    <x v="0"/>
    <n v="67"/>
    <n v="11"/>
    <n v="3"/>
    <x v="0"/>
    <x v="0"/>
    <x v="0"/>
    <x v="0"/>
    <x v="0"/>
    <x v="0"/>
    <x v="0"/>
    <x v="3"/>
    <x v="0"/>
    <n v="1"/>
    <s v="Acceptable"/>
    <s v="1 Day"/>
    <x v="4"/>
    <s v="Saturday"/>
    <n v="4"/>
  </r>
  <r>
    <x v="2023"/>
    <d v="2024-07-18T00:00:00"/>
    <x v="4"/>
    <x v="0"/>
    <n v="178"/>
    <n v="6"/>
    <n v="9.6"/>
    <x v="1"/>
    <x v="1"/>
    <x v="2"/>
    <x v="0"/>
    <x v="0"/>
    <x v="0"/>
    <x v="0"/>
    <x v="2"/>
    <x v="2"/>
    <n v="0"/>
    <s v="Slow"/>
    <s v="Same Day"/>
    <x v="10"/>
    <s v="Thursday"/>
    <n v="4"/>
  </r>
  <r>
    <x v="2024"/>
    <d v="2024-04-14T00:00:00"/>
    <x v="4"/>
    <x v="1"/>
    <n v="52"/>
    <n v="8"/>
    <n v="7.4"/>
    <x v="0"/>
    <x v="2"/>
    <x v="0"/>
    <x v="1"/>
    <x v="1"/>
    <x v="0"/>
    <x v="0"/>
    <x v="0"/>
    <x v="0"/>
    <n v="1"/>
    <s v="Acceptable"/>
    <s v="Same Day"/>
    <x v="3"/>
    <s v="Sunday"/>
    <n v="3"/>
  </r>
  <r>
    <x v="2025"/>
    <d v="2024-12-13T00:00:00"/>
    <x v="4"/>
    <x v="1"/>
    <n v="141"/>
    <n v="12"/>
    <n v="6.7"/>
    <x v="0"/>
    <x v="2"/>
    <x v="0"/>
    <x v="1"/>
    <x v="1"/>
    <x v="0"/>
    <x v="1"/>
    <x v="0"/>
    <x v="0"/>
    <n v="1"/>
    <s v="Slow"/>
    <s v="1 Day"/>
    <x v="11"/>
    <s v="Friday"/>
    <n v="3"/>
  </r>
  <r>
    <x v="2026"/>
    <d v="2024-12-16T00:00:00"/>
    <x v="1"/>
    <x v="3"/>
    <n v="97"/>
    <n v="2"/>
    <n v="6.5"/>
    <x v="1"/>
    <x v="2"/>
    <x v="1"/>
    <x v="3"/>
    <x v="3"/>
    <x v="0"/>
    <x v="1"/>
    <x v="0"/>
    <x v="1"/>
    <n v="0"/>
    <s v="Acceptable"/>
    <s v="Same Day"/>
    <x v="11"/>
    <s v="Monday"/>
    <n v="2"/>
  </r>
  <r>
    <x v="2027"/>
    <d v="2024-06-03T00:00:00"/>
    <x v="4"/>
    <x v="3"/>
    <n v="41"/>
    <n v="11"/>
    <n v="1.4"/>
    <x v="1"/>
    <x v="0"/>
    <x v="0"/>
    <x v="3"/>
    <x v="3"/>
    <x v="0"/>
    <x v="0"/>
    <x v="1"/>
    <x v="0"/>
    <n v="0"/>
    <s v="Acceptable"/>
    <s v="1 Day"/>
    <x v="4"/>
    <s v="Monday"/>
    <n v="2"/>
  </r>
  <r>
    <x v="2028"/>
    <d v="2024-03-08T00:00:00"/>
    <x v="4"/>
    <x v="3"/>
    <n v="8"/>
    <n v="47"/>
    <n v="6.2"/>
    <x v="0"/>
    <x v="1"/>
    <x v="1"/>
    <x v="3"/>
    <x v="3"/>
    <x v="1"/>
    <x v="0"/>
    <x v="0"/>
    <x v="1"/>
    <n v="1"/>
    <s v="Very Fast"/>
    <s v="2 Days"/>
    <x v="2"/>
    <s v="Friday"/>
    <n v="2"/>
  </r>
  <r>
    <x v="2029"/>
    <d v="2024-11-22T00:00:00"/>
    <x v="1"/>
    <x v="3"/>
    <n v="160"/>
    <n v="2"/>
    <n v="1.3"/>
    <x v="1"/>
    <x v="2"/>
    <x v="1"/>
    <x v="3"/>
    <x v="3"/>
    <x v="0"/>
    <x v="1"/>
    <x v="1"/>
    <x v="1"/>
    <n v="0"/>
    <s v="Slow"/>
    <s v="Same Day"/>
    <x v="6"/>
    <s v="Friday"/>
    <n v="2"/>
  </r>
  <r>
    <x v="2030"/>
    <d v="2024-02-14T00:00:00"/>
    <x v="3"/>
    <x v="0"/>
    <n v="17"/>
    <n v="18"/>
    <n v="1.8"/>
    <x v="1"/>
    <x v="1"/>
    <x v="1"/>
    <x v="0"/>
    <x v="0"/>
    <x v="0"/>
    <x v="0"/>
    <x v="1"/>
    <x v="1"/>
    <n v="0"/>
    <s v="Very Fast"/>
    <s v="1 Day"/>
    <x v="9"/>
    <s v="Wednesday"/>
    <n v="4"/>
  </r>
  <r>
    <x v="2031"/>
    <d v="2024-03-11T00:00:00"/>
    <x v="4"/>
    <x v="3"/>
    <n v="223"/>
    <n v="54"/>
    <n v="2.8"/>
    <x v="0"/>
    <x v="2"/>
    <x v="0"/>
    <x v="3"/>
    <x v="3"/>
    <x v="1"/>
    <x v="1"/>
    <x v="3"/>
    <x v="0"/>
    <n v="1"/>
    <s v="Slow"/>
    <s v="3 Days"/>
    <x v="2"/>
    <s v="Monday"/>
    <n v="2"/>
  </r>
  <r>
    <x v="2032"/>
    <d v="2024-06-04T00:00:00"/>
    <x v="2"/>
    <x v="0"/>
    <n v="116"/>
    <n v="22"/>
    <n v="10"/>
    <x v="1"/>
    <x v="1"/>
    <x v="1"/>
    <x v="0"/>
    <x v="0"/>
    <x v="0"/>
    <x v="0"/>
    <x v="2"/>
    <x v="1"/>
    <n v="0"/>
    <s v="Acceptable"/>
    <s v="1 Day"/>
    <x v="4"/>
    <s v="Tuesday"/>
    <n v="4"/>
  </r>
  <r>
    <x v="2033"/>
    <d v="2024-10-15T00:00:00"/>
    <x v="2"/>
    <x v="2"/>
    <n v="43"/>
    <n v="44"/>
    <n v="9.1"/>
    <x v="1"/>
    <x v="1"/>
    <x v="0"/>
    <x v="2"/>
    <x v="2"/>
    <x v="1"/>
    <x v="1"/>
    <x v="2"/>
    <x v="0"/>
    <n v="0"/>
    <s v="Acceptable"/>
    <s v="2 Days"/>
    <x v="7"/>
    <s v="Tuesday"/>
    <n v="1"/>
  </r>
  <r>
    <x v="2034"/>
    <d v="2024-05-01T00:00:00"/>
    <x v="3"/>
    <x v="3"/>
    <n v="54"/>
    <n v="33"/>
    <n v="8.8000000000000007"/>
    <x v="0"/>
    <x v="2"/>
    <x v="0"/>
    <x v="3"/>
    <x v="3"/>
    <x v="1"/>
    <x v="0"/>
    <x v="2"/>
    <x v="0"/>
    <n v="1"/>
    <s v="Acceptable"/>
    <s v="2 Days"/>
    <x v="1"/>
    <s v="Wednesday"/>
    <n v="2"/>
  </r>
  <r>
    <x v="2035"/>
    <d v="2024-09-06T00:00:00"/>
    <x v="0"/>
    <x v="2"/>
    <n v="20"/>
    <n v="37"/>
    <n v="5.2"/>
    <x v="0"/>
    <x v="1"/>
    <x v="1"/>
    <x v="2"/>
    <x v="2"/>
    <x v="1"/>
    <x v="0"/>
    <x v="0"/>
    <x v="1"/>
    <n v="1"/>
    <s v="Very Fast"/>
    <s v="2 Days"/>
    <x v="5"/>
    <s v="Friday"/>
    <n v="1"/>
  </r>
  <r>
    <x v="2036"/>
    <d v="2024-12-05T00:00:00"/>
    <x v="0"/>
    <x v="2"/>
    <n v="119"/>
    <n v="16"/>
    <n v="7.5"/>
    <x v="1"/>
    <x v="0"/>
    <x v="0"/>
    <x v="2"/>
    <x v="2"/>
    <x v="1"/>
    <x v="1"/>
    <x v="0"/>
    <x v="0"/>
    <n v="0"/>
    <s v="Acceptable"/>
    <s v="1 Day"/>
    <x v="11"/>
    <s v="Thursday"/>
    <n v="1"/>
  </r>
  <r>
    <x v="2037"/>
    <d v="2024-10-05T00:00:00"/>
    <x v="1"/>
    <x v="0"/>
    <n v="178"/>
    <n v="25"/>
    <n v="5.7"/>
    <x v="1"/>
    <x v="0"/>
    <x v="1"/>
    <x v="0"/>
    <x v="0"/>
    <x v="0"/>
    <x v="0"/>
    <x v="0"/>
    <x v="1"/>
    <n v="0"/>
    <s v="Slow"/>
    <s v="2 Days"/>
    <x v="7"/>
    <s v="Saturday"/>
    <n v="4"/>
  </r>
  <r>
    <x v="2038"/>
    <d v="2024-09-15T00:00:00"/>
    <x v="0"/>
    <x v="1"/>
    <n v="101"/>
    <n v="22"/>
    <n v="5.5"/>
    <x v="0"/>
    <x v="0"/>
    <x v="0"/>
    <x v="1"/>
    <x v="1"/>
    <x v="0"/>
    <x v="0"/>
    <x v="0"/>
    <x v="0"/>
    <n v="1"/>
    <s v="Acceptable"/>
    <s v="1 Day"/>
    <x v="5"/>
    <s v="Sunday"/>
    <n v="3"/>
  </r>
  <r>
    <x v="2039"/>
    <d v="2024-02-11T00:00:00"/>
    <x v="4"/>
    <x v="3"/>
    <n v="110"/>
    <n v="39"/>
    <n v="9"/>
    <x v="0"/>
    <x v="2"/>
    <x v="0"/>
    <x v="3"/>
    <x v="3"/>
    <x v="1"/>
    <x v="1"/>
    <x v="2"/>
    <x v="0"/>
    <n v="1"/>
    <s v="Acceptable"/>
    <s v="2 Days"/>
    <x v="9"/>
    <s v="Sunday"/>
    <n v="2"/>
  </r>
  <r>
    <x v="2040"/>
    <d v="2024-08-12T00:00:00"/>
    <x v="1"/>
    <x v="0"/>
    <n v="119"/>
    <n v="61"/>
    <n v="5.7"/>
    <x v="1"/>
    <x v="2"/>
    <x v="1"/>
    <x v="0"/>
    <x v="0"/>
    <x v="0"/>
    <x v="0"/>
    <x v="0"/>
    <x v="1"/>
    <n v="0"/>
    <s v="Acceptable"/>
    <s v="3 Days"/>
    <x v="0"/>
    <s v="Monday"/>
    <n v="4"/>
  </r>
  <r>
    <x v="2041"/>
    <d v="2024-05-29T00:00:00"/>
    <x v="0"/>
    <x v="1"/>
    <n v="60"/>
    <n v="51"/>
    <n v="8.4"/>
    <x v="1"/>
    <x v="1"/>
    <x v="1"/>
    <x v="1"/>
    <x v="1"/>
    <x v="1"/>
    <x v="0"/>
    <x v="2"/>
    <x v="1"/>
    <n v="0"/>
    <s v="Acceptable"/>
    <s v="3 Days"/>
    <x v="1"/>
    <s v="Wednesday"/>
    <n v="3"/>
  </r>
  <r>
    <x v="2042"/>
    <d v="2024-05-13T00:00:00"/>
    <x v="4"/>
    <x v="1"/>
    <n v="110"/>
    <n v="23"/>
    <n v="2.1"/>
    <x v="0"/>
    <x v="1"/>
    <x v="0"/>
    <x v="1"/>
    <x v="1"/>
    <x v="0"/>
    <x v="0"/>
    <x v="3"/>
    <x v="0"/>
    <n v="1"/>
    <s v="Acceptable"/>
    <s v="1 Day"/>
    <x v="1"/>
    <s v="Monday"/>
    <n v="3"/>
  </r>
  <r>
    <x v="2043"/>
    <d v="2024-08-27T00:00:00"/>
    <x v="4"/>
    <x v="1"/>
    <n v="11"/>
    <n v="57"/>
    <n v="2.1"/>
    <x v="1"/>
    <x v="1"/>
    <x v="1"/>
    <x v="1"/>
    <x v="1"/>
    <x v="1"/>
    <x v="0"/>
    <x v="3"/>
    <x v="1"/>
    <n v="0"/>
    <s v="Very Fast"/>
    <s v="3 Days"/>
    <x v="0"/>
    <s v="Tuesday"/>
    <n v="3"/>
  </r>
  <r>
    <x v="2044"/>
    <d v="2024-11-12T00:00:00"/>
    <x v="1"/>
    <x v="1"/>
    <n v="35"/>
    <n v="2"/>
    <n v="8.8000000000000007"/>
    <x v="0"/>
    <x v="0"/>
    <x v="1"/>
    <x v="1"/>
    <x v="1"/>
    <x v="0"/>
    <x v="0"/>
    <x v="2"/>
    <x v="1"/>
    <n v="1"/>
    <s v="Acceptable"/>
    <s v="Same Day"/>
    <x v="6"/>
    <s v="Tuesday"/>
    <n v="3"/>
  </r>
  <r>
    <x v="2045"/>
    <d v="2024-01-03T00:00:00"/>
    <x v="3"/>
    <x v="2"/>
    <n v="24"/>
    <n v="62"/>
    <n v="9.8000000000000007"/>
    <x v="0"/>
    <x v="1"/>
    <x v="1"/>
    <x v="2"/>
    <x v="2"/>
    <x v="1"/>
    <x v="0"/>
    <x v="2"/>
    <x v="1"/>
    <n v="1"/>
    <s v="Very Fast"/>
    <s v="3 Days"/>
    <x v="8"/>
    <s v="Wednesday"/>
    <n v="1"/>
  </r>
  <r>
    <x v="2046"/>
    <d v="2024-09-23T00:00:00"/>
    <x v="1"/>
    <x v="3"/>
    <n v="125"/>
    <n v="29"/>
    <n v="7.2"/>
    <x v="1"/>
    <x v="2"/>
    <x v="0"/>
    <x v="3"/>
    <x v="3"/>
    <x v="1"/>
    <x v="1"/>
    <x v="0"/>
    <x v="0"/>
    <n v="0"/>
    <s v="Slow"/>
    <s v="2 Days"/>
    <x v="5"/>
    <s v="Monday"/>
    <n v="2"/>
  </r>
  <r>
    <x v="2047"/>
    <d v="2024-10-16T00:00:00"/>
    <x v="4"/>
    <x v="0"/>
    <n v="100"/>
    <n v="29"/>
    <n v="1.3"/>
    <x v="0"/>
    <x v="2"/>
    <x v="0"/>
    <x v="0"/>
    <x v="0"/>
    <x v="0"/>
    <x v="0"/>
    <x v="1"/>
    <x v="0"/>
    <n v="1"/>
    <s v="Acceptable"/>
    <s v="2 Days"/>
    <x v="7"/>
    <s v="Wednesday"/>
    <n v="4"/>
  </r>
  <r>
    <x v="2048"/>
    <d v="2024-05-22T00:00:00"/>
    <x v="3"/>
    <x v="0"/>
    <n v="219"/>
    <n v="40"/>
    <n v="9.9"/>
    <x v="1"/>
    <x v="0"/>
    <x v="1"/>
    <x v="0"/>
    <x v="0"/>
    <x v="0"/>
    <x v="0"/>
    <x v="2"/>
    <x v="1"/>
    <n v="0"/>
    <s v="Slow"/>
    <s v="2 Days"/>
    <x v="1"/>
    <s v="Wednesday"/>
    <n v="4"/>
  </r>
  <r>
    <x v="2049"/>
    <d v="2024-04-06T00:00:00"/>
    <x v="1"/>
    <x v="3"/>
    <n v="119"/>
    <n v="7"/>
    <n v="3.2"/>
    <x v="1"/>
    <x v="1"/>
    <x v="0"/>
    <x v="3"/>
    <x v="3"/>
    <x v="0"/>
    <x v="1"/>
    <x v="3"/>
    <x v="0"/>
    <n v="0"/>
    <s v="Acceptable"/>
    <s v="Same Day"/>
    <x v="3"/>
    <s v="Saturday"/>
    <n v="2"/>
  </r>
  <r>
    <x v="2050"/>
    <d v="2024-05-18T00:00:00"/>
    <x v="1"/>
    <x v="1"/>
    <n v="9"/>
    <n v="17"/>
    <n v="8.1999999999999993"/>
    <x v="1"/>
    <x v="2"/>
    <x v="2"/>
    <x v="1"/>
    <x v="1"/>
    <x v="0"/>
    <x v="0"/>
    <x v="2"/>
    <x v="2"/>
    <n v="0"/>
    <s v="Very Fast"/>
    <s v="1 Day"/>
    <x v="1"/>
    <s v="Saturday"/>
    <n v="3"/>
  </r>
  <r>
    <x v="2051"/>
    <d v="2024-10-05T00:00:00"/>
    <x v="4"/>
    <x v="0"/>
    <n v="38"/>
    <n v="62"/>
    <n v="6.5"/>
    <x v="1"/>
    <x v="1"/>
    <x v="1"/>
    <x v="0"/>
    <x v="0"/>
    <x v="0"/>
    <x v="0"/>
    <x v="0"/>
    <x v="1"/>
    <n v="0"/>
    <s v="Acceptable"/>
    <s v="3 Days"/>
    <x v="7"/>
    <s v="Saturday"/>
    <n v="4"/>
  </r>
  <r>
    <x v="2052"/>
    <d v="2024-09-08T00:00:00"/>
    <x v="4"/>
    <x v="1"/>
    <n v="143"/>
    <n v="10"/>
    <n v="5.8"/>
    <x v="1"/>
    <x v="1"/>
    <x v="1"/>
    <x v="1"/>
    <x v="1"/>
    <x v="0"/>
    <x v="1"/>
    <x v="0"/>
    <x v="1"/>
    <n v="0"/>
    <s v="Slow"/>
    <s v="1 Day"/>
    <x v="5"/>
    <s v="Sunday"/>
    <n v="3"/>
  </r>
  <r>
    <x v="2053"/>
    <d v="2024-06-13T00:00:00"/>
    <x v="0"/>
    <x v="1"/>
    <n v="72"/>
    <n v="13"/>
    <n v="8.9"/>
    <x v="0"/>
    <x v="1"/>
    <x v="0"/>
    <x v="1"/>
    <x v="1"/>
    <x v="0"/>
    <x v="0"/>
    <x v="2"/>
    <x v="0"/>
    <n v="1"/>
    <s v="Acceptable"/>
    <s v="1 Day"/>
    <x v="4"/>
    <s v="Thursday"/>
    <n v="3"/>
  </r>
  <r>
    <x v="2054"/>
    <d v="2024-01-06T00:00:00"/>
    <x v="1"/>
    <x v="1"/>
    <n v="72"/>
    <n v="41"/>
    <n v="4.2"/>
    <x v="0"/>
    <x v="0"/>
    <x v="0"/>
    <x v="1"/>
    <x v="1"/>
    <x v="0"/>
    <x v="0"/>
    <x v="3"/>
    <x v="0"/>
    <n v="1"/>
    <s v="Acceptable"/>
    <s v="2 Days"/>
    <x v="8"/>
    <s v="Saturday"/>
    <n v="3"/>
  </r>
  <r>
    <x v="2055"/>
    <d v="2024-09-22T00:00:00"/>
    <x v="4"/>
    <x v="0"/>
    <n v="106"/>
    <n v="15"/>
    <n v="1.8"/>
    <x v="1"/>
    <x v="1"/>
    <x v="0"/>
    <x v="0"/>
    <x v="0"/>
    <x v="0"/>
    <x v="0"/>
    <x v="1"/>
    <x v="0"/>
    <n v="0"/>
    <s v="Acceptable"/>
    <s v="1 Day"/>
    <x v="5"/>
    <s v="Sunday"/>
    <n v="4"/>
  </r>
  <r>
    <x v="2056"/>
    <d v="2024-10-14T00:00:00"/>
    <x v="0"/>
    <x v="1"/>
    <n v="113"/>
    <n v="18"/>
    <n v="9.4"/>
    <x v="1"/>
    <x v="0"/>
    <x v="1"/>
    <x v="1"/>
    <x v="1"/>
    <x v="0"/>
    <x v="0"/>
    <x v="2"/>
    <x v="1"/>
    <n v="0"/>
    <s v="Acceptable"/>
    <s v="1 Day"/>
    <x v="7"/>
    <s v="Monday"/>
    <n v="3"/>
  </r>
  <r>
    <x v="2057"/>
    <d v="2024-01-12T00:00:00"/>
    <x v="2"/>
    <x v="0"/>
    <n v="31"/>
    <n v="56"/>
    <n v="7.1"/>
    <x v="0"/>
    <x v="0"/>
    <x v="0"/>
    <x v="0"/>
    <x v="0"/>
    <x v="0"/>
    <x v="0"/>
    <x v="0"/>
    <x v="0"/>
    <n v="1"/>
    <s v="Acceptable"/>
    <s v="3 Days"/>
    <x v="8"/>
    <s v="Friday"/>
    <n v="4"/>
  </r>
  <r>
    <x v="2058"/>
    <d v="2024-03-14T00:00:00"/>
    <x v="2"/>
    <x v="0"/>
    <n v="48"/>
    <n v="47"/>
    <n v="3.2"/>
    <x v="1"/>
    <x v="2"/>
    <x v="0"/>
    <x v="0"/>
    <x v="0"/>
    <x v="0"/>
    <x v="0"/>
    <x v="3"/>
    <x v="0"/>
    <n v="0"/>
    <s v="Acceptable"/>
    <s v="2 Days"/>
    <x v="2"/>
    <s v="Thursday"/>
    <n v="4"/>
  </r>
  <r>
    <x v="2059"/>
    <d v="2024-07-04T00:00:00"/>
    <x v="0"/>
    <x v="1"/>
    <n v="238"/>
    <n v="29"/>
    <n v="5.7"/>
    <x v="0"/>
    <x v="2"/>
    <x v="0"/>
    <x v="1"/>
    <x v="1"/>
    <x v="0"/>
    <x v="1"/>
    <x v="0"/>
    <x v="0"/>
    <n v="1"/>
    <s v="Slow"/>
    <s v="2 Days"/>
    <x v="10"/>
    <s v="Thursday"/>
    <n v="3"/>
  </r>
  <r>
    <x v="2060"/>
    <d v="2024-09-15T00:00:00"/>
    <x v="1"/>
    <x v="2"/>
    <n v="68"/>
    <n v="48"/>
    <n v="6.5"/>
    <x v="1"/>
    <x v="2"/>
    <x v="0"/>
    <x v="2"/>
    <x v="2"/>
    <x v="1"/>
    <x v="1"/>
    <x v="0"/>
    <x v="0"/>
    <n v="0"/>
    <s v="Acceptable"/>
    <s v="2 Days"/>
    <x v="5"/>
    <s v="Sunday"/>
    <n v="1"/>
  </r>
  <r>
    <x v="2061"/>
    <d v="2024-10-21T00:00:00"/>
    <x v="0"/>
    <x v="1"/>
    <n v="88"/>
    <n v="51"/>
    <n v="7"/>
    <x v="0"/>
    <x v="1"/>
    <x v="0"/>
    <x v="1"/>
    <x v="1"/>
    <x v="1"/>
    <x v="0"/>
    <x v="0"/>
    <x v="0"/>
    <n v="1"/>
    <s v="Acceptable"/>
    <s v="3 Days"/>
    <x v="7"/>
    <s v="Monday"/>
    <n v="3"/>
  </r>
  <r>
    <x v="2062"/>
    <d v="2024-10-08T00:00:00"/>
    <x v="1"/>
    <x v="1"/>
    <n v="102"/>
    <n v="10"/>
    <n v="10"/>
    <x v="0"/>
    <x v="0"/>
    <x v="0"/>
    <x v="1"/>
    <x v="1"/>
    <x v="0"/>
    <x v="0"/>
    <x v="2"/>
    <x v="0"/>
    <n v="1"/>
    <s v="Acceptable"/>
    <s v="1 Day"/>
    <x v="7"/>
    <s v="Tuesday"/>
    <n v="3"/>
  </r>
  <r>
    <x v="2063"/>
    <d v="2024-03-31T00:00:00"/>
    <x v="3"/>
    <x v="3"/>
    <n v="131"/>
    <n v="56"/>
    <n v="9.6999999999999993"/>
    <x v="0"/>
    <x v="0"/>
    <x v="0"/>
    <x v="3"/>
    <x v="3"/>
    <x v="1"/>
    <x v="1"/>
    <x v="2"/>
    <x v="0"/>
    <n v="1"/>
    <s v="Slow"/>
    <s v="3 Days"/>
    <x v="2"/>
    <s v="Sunday"/>
    <n v="2"/>
  </r>
  <r>
    <x v="2064"/>
    <d v="2024-10-16T00:00:00"/>
    <x v="4"/>
    <x v="2"/>
    <n v="153"/>
    <n v="1"/>
    <n v="9"/>
    <x v="1"/>
    <x v="0"/>
    <x v="1"/>
    <x v="2"/>
    <x v="2"/>
    <x v="0"/>
    <x v="1"/>
    <x v="2"/>
    <x v="1"/>
    <n v="0"/>
    <s v="Slow"/>
    <s v="Same Day"/>
    <x v="7"/>
    <s v="Wednesday"/>
    <n v="1"/>
  </r>
  <r>
    <x v="2065"/>
    <d v="2024-05-25T00:00:00"/>
    <x v="3"/>
    <x v="2"/>
    <n v="114"/>
    <n v="46"/>
    <n v="7.9"/>
    <x v="1"/>
    <x v="1"/>
    <x v="0"/>
    <x v="2"/>
    <x v="2"/>
    <x v="1"/>
    <x v="1"/>
    <x v="0"/>
    <x v="0"/>
    <n v="0"/>
    <s v="Acceptable"/>
    <s v="2 Days"/>
    <x v="1"/>
    <s v="Saturday"/>
    <n v="1"/>
  </r>
  <r>
    <x v="2066"/>
    <d v="2024-08-11T00:00:00"/>
    <x v="0"/>
    <x v="3"/>
    <n v="183"/>
    <n v="52"/>
    <n v="9.9"/>
    <x v="1"/>
    <x v="0"/>
    <x v="0"/>
    <x v="3"/>
    <x v="3"/>
    <x v="1"/>
    <x v="1"/>
    <x v="2"/>
    <x v="0"/>
    <n v="0"/>
    <s v="Slow"/>
    <s v="3 Days"/>
    <x v="0"/>
    <s v="Sunday"/>
    <n v="2"/>
  </r>
  <r>
    <x v="2067"/>
    <d v="2024-04-01T00:00:00"/>
    <x v="2"/>
    <x v="2"/>
    <n v="16"/>
    <n v="58"/>
    <n v="9.8000000000000007"/>
    <x v="0"/>
    <x v="2"/>
    <x v="1"/>
    <x v="2"/>
    <x v="2"/>
    <x v="1"/>
    <x v="0"/>
    <x v="2"/>
    <x v="1"/>
    <n v="1"/>
    <s v="Very Fast"/>
    <s v="3 Days"/>
    <x v="3"/>
    <s v="Monday"/>
    <n v="1"/>
  </r>
  <r>
    <x v="2068"/>
    <d v="2024-12-31T00:00:00"/>
    <x v="1"/>
    <x v="2"/>
    <n v="160"/>
    <n v="63"/>
    <n v="6.6"/>
    <x v="1"/>
    <x v="1"/>
    <x v="0"/>
    <x v="2"/>
    <x v="2"/>
    <x v="1"/>
    <x v="1"/>
    <x v="0"/>
    <x v="0"/>
    <n v="0"/>
    <s v="Slow"/>
    <s v="3 Days"/>
    <x v="11"/>
    <s v="Tuesday"/>
    <n v="1"/>
  </r>
  <r>
    <x v="2069"/>
    <d v="2024-07-29T00:00:00"/>
    <x v="1"/>
    <x v="3"/>
    <n v="134"/>
    <n v="63"/>
    <n v="4.8"/>
    <x v="0"/>
    <x v="2"/>
    <x v="0"/>
    <x v="3"/>
    <x v="3"/>
    <x v="1"/>
    <x v="1"/>
    <x v="3"/>
    <x v="0"/>
    <n v="1"/>
    <s v="Slow"/>
    <s v="3 Days"/>
    <x v="10"/>
    <s v="Monday"/>
    <n v="2"/>
  </r>
  <r>
    <x v="2070"/>
    <d v="2024-09-23T00:00:00"/>
    <x v="3"/>
    <x v="2"/>
    <n v="175"/>
    <n v="1"/>
    <n v="8.6"/>
    <x v="0"/>
    <x v="0"/>
    <x v="1"/>
    <x v="2"/>
    <x v="2"/>
    <x v="0"/>
    <x v="1"/>
    <x v="2"/>
    <x v="1"/>
    <n v="1"/>
    <s v="Slow"/>
    <s v="Same Day"/>
    <x v="5"/>
    <s v="Monday"/>
    <n v="1"/>
  </r>
  <r>
    <x v="2071"/>
    <d v="2024-04-11T00:00:00"/>
    <x v="4"/>
    <x v="3"/>
    <n v="157"/>
    <n v="39"/>
    <n v="8.8000000000000007"/>
    <x v="1"/>
    <x v="2"/>
    <x v="0"/>
    <x v="3"/>
    <x v="3"/>
    <x v="1"/>
    <x v="1"/>
    <x v="2"/>
    <x v="0"/>
    <n v="0"/>
    <s v="Slow"/>
    <s v="2 Days"/>
    <x v="3"/>
    <s v="Thursday"/>
    <n v="2"/>
  </r>
  <r>
    <x v="2072"/>
    <d v="2024-07-14T00:00:00"/>
    <x v="2"/>
    <x v="0"/>
    <n v="42"/>
    <n v="43"/>
    <n v="2.8"/>
    <x v="0"/>
    <x v="2"/>
    <x v="0"/>
    <x v="0"/>
    <x v="0"/>
    <x v="0"/>
    <x v="0"/>
    <x v="3"/>
    <x v="0"/>
    <n v="1"/>
    <s v="Acceptable"/>
    <s v="2 Days"/>
    <x v="10"/>
    <s v="Sunday"/>
    <n v="4"/>
  </r>
  <r>
    <x v="2073"/>
    <d v="2024-02-28T00:00:00"/>
    <x v="4"/>
    <x v="3"/>
    <n v="67"/>
    <n v="29"/>
    <n v="5.3"/>
    <x v="0"/>
    <x v="0"/>
    <x v="0"/>
    <x v="3"/>
    <x v="3"/>
    <x v="1"/>
    <x v="1"/>
    <x v="0"/>
    <x v="0"/>
    <n v="1"/>
    <s v="Acceptable"/>
    <s v="2 Days"/>
    <x v="9"/>
    <s v="Wednesday"/>
    <n v="2"/>
  </r>
  <r>
    <x v="2074"/>
    <d v="2024-03-09T00:00:00"/>
    <x v="4"/>
    <x v="2"/>
    <n v="15"/>
    <n v="17"/>
    <n v="5.6"/>
    <x v="0"/>
    <x v="0"/>
    <x v="1"/>
    <x v="2"/>
    <x v="2"/>
    <x v="1"/>
    <x v="0"/>
    <x v="0"/>
    <x v="1"/>
    <n v="1"/>
    <s v="Very Fast"/>
    <s v="1 Day"/>
    <x v="2"/>
    <s v="Saturday"/>
    <n v="1"/>
  </r>
  <r>
    <x v="2075"/>
    <d v="2024-07-23T00:00:00"/>
    <x v="0"/>
    <x v="3"/>
    <n v="225"/>
    <n v="2"/>
    <n v="8.4"/>
    <x v="1"/>
    <x v="0"/>
    <x v="1"/>
    <x v="3"/>
    <x v="3"/>
    <x v="0"/>
    <x v="1"/>
    <x v="2"/>
    <x v="1"/>
    <n v="0"/>
    <s v="Slow"/>
    <s v="Same Day"/>
    <x v="10"/>
    <s v="Tuesday"/>
    <n v="2"/>
  </r>
  <r>
    <x v="2076"/>
    <d v="2024-02-11T00:00:00"/>
    <x v="4"/>
    <x v="0"/>
    <n v="19"/>
    <n v="46"/>
    <n v="7"/>
    <x v="0"/>
    <x v="1"/>
    <x v="1"/>
    <x v="0"/>
    <x v="0"/>
    <x v="0"/>
    <x v="0"/>
    <x v="0"/>
    <x v="1"/>
    <n v="1"/>
    <s v="Very Fast"/>
    <s v="2 Days"/>
    <x v="9"/>
    <s v="Sunday"/>
    <n v="4"/>
  </r>
  <r>
    <x v="2077"/>
    <d v="2024-08-23T00:00:00"/>
    <x v="1"/>
    <x v="1"/>
    <n v="160"/>
    <n v="7"/>
    <n v="9.4"/>
    <x v="1"/>
    <x v="2"/>
    <x v="1"/>
    <x v="1"/>
    <x v="1"/>
    <x v="0"/>
    <x v="1"/>
    <x v="2"/>
    <x v="1"/>
    <n v="0"/>
    <s v="Slow"/>
    <s v="Same Day"/>
    <x v="0"/>
    <s v="Friday"/>
    <n v="3"/>
  </r>
  <r>
    <x v="2078"/>
    <d v="2024-03-29T00:00:00"/>
    <x v="1"/>
    <x v="1"/>
    <n v="72"/>
    <n v="60"/>
    <n v="4.2"/>
    <x v="0"/>
    <x v="1"/>
    <x v="0"/>
    <x v="1"/>
    <x v="1"/>
    <x v="1"/>
    <x v="0"/>
    <x v="3"/>
    <x v="0"/>
    <n v="1"/>
    <s v="Acceptable"/>
    <s v="3 Days"/>
    <x v="2"/>
    <s v="Friday"/>
    <n v="3"/>
  </r>
  <r>
    <x v="2079"/>
    <d v="2024-11-18T00:00:00"/>
    <x v="4"/>
    <x v="2"/>
    <n v="91"/>
    <n v="6"/>
    <n v="4.5"/>
    <x v="1"/>
    <x v="0"/>
    <x v="1"/>
    <x v="2"/>
    <x v="2"/>
    <x v="0"/>
    <x v="1"/>
    <x v="3"/>
    <x v="1"/>
    <n v="0"/>
    <s v="Acceptable"/>
    <s v="Same Day"/>
    <x v="6"/>
    <s v="Monday"/>
    <n v="1"/>
  </r>
  <r>
    <x v="2080"/>
    <d v="2024-09-15T00:00:00"/>
    <x v="3"/>
    <x v="0"/>
    <n v="238"/>
    <n v="42"/>
    <n v="3.9"/>
    <x v="1"/>
    <x v="0"/>
    <x v="0"/>
    <x v="0"/>
    <x v="0"/>
    <x v="0"/>
    <x v="0"/>
    <x v="3"/>
    <x v="0"/>
    <n v="0"/>
    <s v="Slow"/>
    <s v="2 Days"/>
    <x v="5"/>
    <s v="Sunday"/>
    <n v="4"/>
  </r>
  <r>
    <x v="2081"/>
    <d v="2024-03-04T00:00:00"/>
    <x v="1"/>
    <x v="2"/>
    <n v="97"/>
    <n v="34"/>
    <n v="8.6999999999999993"/>
    <x v="1"/>
    <x v="0"/>
    <x v="0"/>
    <x v="2"/>
    <x v="2"/>
    <x v="1"/>
    <x v="1"/>
    <x v="2"/>
    <x v="0"/>
    <n v="0"/>
    <s v="Acceptable"/>
    <s v="2 Days"/>
    <x v="2"/>
    <s v="Monday"/>
    <n v="1"/>
  </r>
  <r>
    <x v="2082"/>
    <d v="2024-05-27T00:00:00"/>
    <x v="2"/>
    <x v="0"/>
    <n v="204"/>
    <n v="32"/>
    <n v="5.3"/>
    <x v="1"/>
    <x v="0"/>
    <x v="1"/>
    <x v="0"/>
    <x v="0"/>
    <x v="0"/>
    <x v="0"/>
    <x v="0"/>
    <x v="1"/>
    <n v="0"/>
    <s v="Slow"/>
    <s v="2 Days"/>
    <x v="1"/>
    <s v="Monday"/>
    <n v="4"/>
  </r>
  <r>
    <x v="2083"/>
    <d v="2024-01-16T00:00:00"/>
    <x v="0"/>
    <x v="0"/>
    <n v="68"/>
    <n v="38"/>
    <n v="5.5"/>
    <x v="0"/>
    <x v="2"/>
    <x v="0"/>
    <x v="0"/>
    <x v="0"/>
    <x v="0"/>
    <x v="0"/>
    <x v="0"/>
    <x v="0"/>
    <n v="1"/>
    <s v="Acceptable"/>
    <s v="2 Days"/>
    <x v="8"/>
    <s v="Tuesday"/>
    <n v="4"/>
  </r>
  <r>
    <x v="2084"/>
    <d v="2024-07-13T00:00:00"/>
    <x v="2"/>
    <x v="2"/>
    <n v="71"/>
    <n v="70"/>
    <n v="3.5"/>
    <x v="1"/>
    <x v="1"/>
    <x v="0"/>
    <x v="2"/>
    <x v="2"/>
    <x v="1"/>
    <x v="1"/>
    <x v="3"/>
    <x v="0"/>
    <n v="0"/>
    <s v="Acceptable"/>
    <s v="3 Days"/>
    <x v="10"/>
    <s v="Saturday"/>
    <n v="1"/>
  </r>
  <r>
    <x v="2085"/>
    <d v="2024-09-11T00:00:00"/>
    <x v="4"/>
    <x v="1"/>
    <n v="38"/>
    <n v="61"/>
    <n v="8.9"/>
    <x v="1"/>
    <x v="1"/>
    <x v="1"/>
    <x v="1"/>
    <x v="1"/>
    <x v="1"/>
    <x v="0"/>
    <x v="2"/>
    <x v="1"/>
    <n v="0"/>
    <s v="Acceptable"/>
    <s v="3 Days"/>
    <x v="5"/>
    <s v="Wednesday"/>
    <n v="3"/>
  </r>
  <r>
    <x v="2086"/>
    <d v="2024-04-29T00:00:00"/>
    <x v="4"/>
    <x v="0"/>
    <n v="163"/>
    <n v="34"/>
    <n v="3.1"/>
    <x v="0"/>
    <x v="2"/>
    <x v="0"/>
    <x v="0"/>
    <x v="0"/>
    <x v="0"/>
    <x v="0"/>
    <x v="3"/>
    <x v="0"/>
    <n v="1"/>
    <s v="Slow"/>
    <s v="2 Days"/>
    <x v="3"/>
    <s v="Monday"/>
    <n v="4"/>
  </r>
  <r>
    <x v="2087"/>
    <d v="2024-11-15T00:00:00"/>
    <x v="3"/>
    <x v="3"/>
    <n v="63"/>
    <n v="53"/>
    <n v="7.7"/>
    <x v="0"/>
    <x v="0"/>
    <x v="0"/>
    <x v="3"/>
    <x v="3"/>
    <x v="1"/>
    <x v="1"/>
    <x v="0"/>
    <x v="0"/>
    <n v="1"/>
    <s v="Acceptable"/>
    <s v="3 Days"/>
    <x v="6"/>
    <s v="Friday"/>
    <n v="2"/>
  </r>
  <r>
    <x v="2088"/>
    <d v="2024-06-15T00:00:00"/>
    <x v="0"/>
    <x v="3"/>
    <n v="125"/>
    <n v="66"/>
    <n v="4.7"/>
    <x v="1"/>
    <x v="1"/>
    <x v="0"/>
    <x v="3"/>
    <x v="3"/>
    <x v="1"/>
    <x v="1"/>
    <x v="3"/>
    <x v="0"/>
    <n v="0"/>
    <s v="Slow"/>
    <s v="3 Days"/>
    <x v="4"/>
    <s v="Saturday"/>
    <n v="2"/>
  </r>
  <r>
    <x v="2089"/>
    <d v="2024-07-21T00:00:00"/>
    <x v="0"/>
    <x v="0"/>
    <n v="26"/>
    <n v="61"/>
    <n v="6.5"/>
    <x v="0"/>
    <x v="0"/>
    <x v="1"/>
    <x v="0"/>
    <x v="0"/>
    <x v="0"/>
    <x v="0"/>
    <x v="0"/>
    <x v="1"/>
    <n v="1"/>
    <s v="Very Fast"/>
    <s v="3 Days"/>
    <x v="10"/>
    <s v="Sunday"/>
    <n v="4"/>
  </r>
  <r>
    <x v="2090"/>
    <d v="2024-07-20T00:00:00"/>
    <x v="0"/>
    <x v="0"/>
    <n v="130"/>
    <n v="44"/>
    <n v="9.3000000000000007"/>
    <x v="0"/>
    <x v="2"/>
    <x v="0"/>
    <x v="0"/>
    <x v="0"/>
    <x v="0"/>
    <x v="0"/>
    <x v="2"/>
    <x v="0"/>
    <n v="1"/>
    <s v="Slow"/>
    <s v="2 Days"/>
    <x v="10"/>
    <s v="Saturday"/>
    <n v="4"/>
  </r>
  <r>
    <x v="2091"/>
    <d v="2024-01-19T00:00:00"/>
    <x v="1"/>
    <x v="1"/>
    <n v="35"/>
    <n v="19"/>
    <n v="9.8000000000000007"/>
    <x v="1"/>
    <x v="2"/>
    <x v="1"/>
    <x v="1"/>
    <x v="1"/>
    <x v="0"/>
    <x v="0"/>
    <x v="2"/>
    <x v="1"/>
    <n v="0"/>
    <s v="Acceptable"/>
    <s v="1 Day"/>
    <x v="8"/>
    <s v="Friday"/>
    <n v="3"/>
  </r>
  <r>
    <x v="2092"/>
    <d v="2024-10-25T00:00:00"/>
    <x v="2"/>
    <x v="0"/>
    <n v="174"/>
    <n v="19"/>
    <n v="2.9"/>
    <x v="1"/>
    <x v="1"/>
    <x v="0"/>
    <x v="0"/>
    <x v="0"/>
    <x v="0"/>
    <x v="0"/>
    <x v="3"/>
    <x v="0"/>
    <n v="0"/>
    <s v="Slow"/>
    <s v="1 Day"/>
    <x v="7"/>
    <s v="Friday"/>
    <n v="4"/>
  </r>
  <r>
    <x v="2093"/>
    <d v="2024-10-24T00:00:00"/>
    <x v="1"/>
    <x v="3"/>
    <n v="179"/>
    <n v="34"/>
    <n v="7.4"/>
    <x v="1"/>
    <x v="2"/>
    <x v="0"/>
    <x v="3"/>
    <x v="3"/>
    <x v="1"/>
    <x v="1"/>
    <x v="0"/>
    <x v="0"/>
    <n v="0"/>
    <s v="Slow"/>
    <s v="2 Days"/>
    <x v="7"/>
    <s v="Thursday"/>
    <n v="2"/>
  </r>
  <r>
    <x v="2094"/>
    <d v="2024-05-07T00:00:00"/>
    <x v="0"/>
    <x v="0"/>
    <n v="109"/>
    <n v="26"/>
    <n v="4.3"/>
    <x v="1"/>
    <x v="1"/>
    <x v="0"/>
    <x v="0"/>
    <x v="0"/>
    <x v="0"/>
    <x v="0"/>
    <x v="3"/>
    <x v="0"/>
    <n v="0"/>
    <s v="Acceptable"/>
    <s v="2 Days"/>
    <x v="1"/>
    <s v="Tuesday"/>
    <n v="4"/>
  </r>
  <r>
    <x v="2095"/>
    <d v="2024-03-21T00:00:00"/>
    <x v="0"/>
    <x v="2"/>
    <n v="87"/>
    <n v="16"/>
    <n v="6"/>
    <x v="0"/>
    <x v="2"/>
    <x v="0"/>
    <x v="2"/>
    <x v="2"/>
    <x v="1"/>
    <x v="1"/>
    <x v="0"/>
    <x v="0"/>
    <n v="1"/>
    <s v="Acceptable"/>
    <s v="1 Day"/>
    <x v="2"/>
    <s v="Thursday"/>
    <n v="1"/>
  </r>
  <r>
    <x v="2096"/>
    <d v="2024-12-21T00:00:00"/>
    <x v="4"/>
    <x v="0"/>
    <n v="183"/>
    <n v="72"/>
    <n v="8.6"/>
    <x v="1"/>
    <x v="1"/>
    <x v="1"/>
    <x v="0"/>
    <x v="0"/>
    <x v="0"/>
    <x v="0"/>
    <x v="2"/>
    <x v="1"/>
    <n v="0"/>
    <s v="Slow"/>
    <s v="3 Days"/>
    <x v="11"/>
    <s v="Saturday"/>
    <n v="4"/>
  </r>
  <r>
    <x v="2097"/>
    <d v="2024-08-19T00:00:00"/>
    <x v="0"/>
    <x v="1"/>
    <n v="128"/>
    <n v="3"/>
    <n v="6.4"/>
    <x v="1"/>
    <x v="0"/>
    <x v="2"/>
    <x v="1"/>
    <x v="1"/>
    <x v="0"/>
    <x v="1"/>
    <x v="0"/>
    <x v="2"/>
    <n v="0"/>
    <s v="Slow"/>
    <s v="Same Day"/>
    <x v="0"/>
    <s v="Monday"/>
    <n v="3"/>
  </r>
  <r>
    <x v="2098"/>
    <d v="2024-04-26T00:00:00"/>
    <x v="0"/>
    <x v="1"/>
    <n v="222"/>
    <n v="1"/>
    <n v="7.3"/>
    <x v="1"/>
    <x v="0"/>
    <x v="2"/>
    <x v="1"/>
    <x v="1"/>
    <x v="0"/>
    <x v="1"/>
    <x v="0"/>
    <x v="2"/>
    <n v="0"/>
    <s v="Slow"/>
    <s v="Same Day"/>
    <x v="3"/>
    <s v="Friday"/>
    <n v="3"/>
  </r>
  <r>
    <x v="2099"/>
    <d v="2024-07-06T00:00:00"/>
    <x v="3"/>
    <x v="1"/>
    <n v="163"/>
    <n v="39"/>
    <n v="4.4000000000000004"/>
    <x v="0"/>
    <x v="0"/>
    <x v="0"/>
    <x v="1"/>
    <x v="1"/>
    <x v="0"/>
    <x v="1"/>
    <x v="3"/>
    <x v="0"/>
    <n v="1"/>
    <s v="Slow"/>
    <s v="2 Days"/>
    <x v="10"/>
    <s v="Saturday"/>
    <n v="3"/>
  </r>
  <r>
    <x v="2100"/>
    <d v="2024-07-20T00:00:00"/>
    <x v="4"/>
    <x v="1"/>
    <n v="41"/>
    <n v="51"/>
    <n v="2.7"/>
    <x v="0"/>
    <x v="1"/>
    <x v="0"/>
    <x v="1"/>
    <x v="1"/>
    <x v="1"/>
    <x v="0"/>
    <x v="3"/>
    <x v="0"/>
    <n v="1"/>
    <s v="Acceptable"/>
    <s v="3 Days"/>
    <x v="10"/>
    <s v="Saturday"/>
    <n v="3"/>
  </r>
  <r>
    <x v="2101"/>
    <d v="2024-02-25T00:00:00"/>
    <x v="4"/>
    <x v="0"/>
    <n v="239"/>
    <n v="69"/>
    <n v="3.3"/>
    <x v="1"/>
    <x v="0"/>
    <x v="0"/>
    <x v="0"/>
    <x v="0"/>
    <x v="0"/>
    <x v="0"/>
    <x v="3"/>
    <x v="0"/>
    <n v="0"/>
    <s v="Slow"/>
    <s v="3 Days"/>
    <x v="9"/>
    <s v="Sunday"/>
    <n v="4"/>
  </r>
  <r>
    <x v="2102"/>
    <d v="2024-09-20T00:00:00"/>
    <x v="1"/>
    <x v="2"/>
    <n v="60"/>
    <n v="19"/>
    <n v="0.5"/>
    <x v="0"/>
    <x v="1"/>
    <x v="0"/>
    <x v="2"/>
    <x v="2"/>
    <x v="1"/>
    <x v="1"/>
    <x v="1"/>
    <x v="0"/>
    <n v="1"/>
    <s v="Acceptable"/>
    <s v="1 Day"/>
    <x v="5"/>
    <s v="Friday"/>
    <n v="1"/>
  </r>
  <r>
    <x v="2103"/>
    <d v="2024-11-08T00:00:00"/>
    <x v="1"/>
    <x v="2"/>
    <n v="45"/>
    <n v="72"/>
    <n v="8.5"/>
    <x v="0"/>
    <x v="1"/>
    <x v="0"/>
    <x v="2"/>
    <x v="2"/>
    <x v="1"/>
    <x v="1"/>
    <x v="2"/>
    <x v="0"/>
    <n v="1"/>
    <s v="Acceptable"/>
    <s v="3 Days"/>
    <x v="6"/>
    <s v="Friday"/>
    <n v="1"/>
  </r>
  <r>
    <x v="2104"/>
    <d v="2024-06-12T00:00:00"/>
    <x v="3"/>
    <x v="2"/>
    <n v="89"/>
    <n v="22"/>
    <n v="2.9"/>
    <x v="1"/>
    <x v="1"/>
    <x v="0"/>
    <x v="2"/>
    <x v="2"/>
    <x v="1"/>
    <x v="1"/>
    <x v="3"/>
    <x v="0"/>
    <n v="0"/>
    <s v="Acceptable"/>
    <s v="1 Day"/>
    <x v="4"/>
    <s v="Wednesday"/>
    <n v="1"/>
  </r>
  <r>
    <x v="2105"/>
    <d v="2024-07-12T00:00:00"/>
    <x v="3"/>
    <x v="1"/>
    <n v="47"/>
    <n v="33"/>
    <n v="8.9"/>
    <x v="0"/>
    <x v="0"/>
    <x v="0"/>
    <x v="1"/>
    <x v="1"/>
    <x v="0"/>
    <x v="0"/>
    <x v="2"/>
    <x v="0"/>
    <n v="1"/>
    <s v="Acceptable"/>
    <s v="2 Days"/>
    <x v="10"/>
    <s v="Friday"/>
    <n v="3"/>
  </r>
  <r>
    <x v="2106"/>
    <d v="2024-05-12T00:00:00"/>
    <x v="2"/>
    <x v="3"/>
    <n v="127"/>
    <n v="37"/>
    <n v="4.4000000000000004"/>
    <x v="1"/>
    <x v="1"/>
    <x v="0"/>
    <x v="3"/>
    <x v="3"/>
    <x v="1"/>
    <x v="1"/>
    <x v="3"/>
    <x v="0"/>
    <n v="0"/>
    <s v="Slow"/>
    <s v="2 Days"/>
    <x v="1"/>
    <s v="Sunday"/>
    <n v="2"/>
  </r>
  <r>
    <x v="2107"/>
    <d v="2024-07-21T00:00:00"/>
    <x v="1"/>
    <x v="1"/>
    <n v="113"/>
    <n v="30"/>
    <n v="5.8"/>
    <x v="0"/>
    <x v="2"/>
    <x v="0"/>
    <x v="1"/>
    <x v="1"/>
    <x v="0"/>
    <x v="0"/>
    <x v="0"/>
    <x v="0"/>
    <n v="1"/>
    <s v="Acceptable"/>
    <s v="2 Days"/>
    <x v="10"/>
    <s v="Sunday"/>
    <n v="3"/>
  </r>
  <r>
    <x v="2108"/>
    <d v="2024-05-01T00:00:00"/>
    <x v="4"/>
    <x v="2"/>
    <n v="164"/>
    <n v="63"/>
    <n v="2.8"/>
    <x v="0"/>
    <x v="0"/>
    <x v="0"/>
    <x v="2"/>
    <x v="2"/>
    <x v="1"/>
    <x v="1"/>
    <x v="3"/>
    <x v="0"/>
    <n v="1"/>
    <s v="Slow"/>
    <s v="3 Days"/>
    <x v="1"/>
    <s v="Wednesday"/>
    <n v="1"/>
  </r>
  <r>
    <x v="2109"/>
    <d v="2024-07-11T00:00:00"/>
    <x v="4"/>
    <x v="3"/>
    <n v="94"/>
    <n v="30"/>
    <n v="6.7"/>
    <x v="0"/>
    <x v="2"/>
    <x v="0"/>
    <x v="3"/>
    <x v="3"/>
    <x v="1"/>
    <x v="1"/>
    <x v="0"/>
    <x v="0"/>
    <n v="1"/>
    <s v="Acceptable"/>
    <s v="2 Days"/>
    <x v="10"/>
    <s v="Thursday"/>
    <n v="2"/>
  </r>
  <r>
    <x v="2110"/>
    <d v="2024-10-04T00:00:00"/>
    <x v="2"/>
    <x v="3"/>
    <n v="102"/>
    <n v="46"/>
    <n v="9.6999999999999993"/>
    <x v="1"/>
    <x v="1"/>
    <x v="0"/>
    <x v="3"/>
    <x v="3"/>
    <x v="1"/>
    <x v="1"/>
    <x v="2"/>
    <x v="0"/>
    <n v="0"/>
    <s v="Acceptable"/>
    <s v="2 Days"/>
    <x v="7"/>
    <s v="Friday"/>
    <n v="2"/>
  </r>
  <r>
    <x v="2111"/>
    <d v="2024-07-02T00:00:00"/>
    <x v="3"/>
    <x v="0"/>
    <n v="147"/>
    <n v="65"/>
    <n v="5.2"/>
    <x v="1"/>
    <x v="0"/>
    <x v="1"/>
    <x v="0"/>
    <x v="0"/>
    <x v="0"/>
    <x v="0"/>
    <x v="0"/>
    <x v="1"/>
    <n v="0"/>
    <s v="Slow"/>
    <s v="3 Days"/>
    <x v="10"/>
    <s v="Tuesday"/>
    <n v="4"/>
  </r>
  <r>
    <x v="2112"/>
    <d v="2024-06-19T00:00:00"/>
    <x v="1"/>
    <x v="3"/>
    <n v="128"/>
    <n v="15"/>
    <n v="2"/>
    <x v="1"/>
    <x v="2"/>
    <x v="0"/>
    <x v="3"/>
    <x v="3"/>
    <x v="0"/>
    <x v="1"/>
    <x v="1"/>
    <x v="0"/>
    <n v="0"/>
    <s v="Slow"/>
    <s v="1 Day"/>
    <x v="4"/>
    <s v="Wednesday"/>
    <n v="2"/>
  </r>
  <r>
    <x v="2113"/>
    <d v="2024-10-19T00:00:00"/>
    <x v="2"/>
    <x v="2"/>
    <n v="95"/>
    <n v="63"/>
    <n v="6.8"/>
    <x v="0"/>
    <x v="1"/>
    <x v="0"/>
    <x v="2"/>
    <x v="2"/>
    <x v="1"/>
    <x v="1"/>
    <x v="0"/>
    <x v="0"/>
    <n v="1"/>
    <s v="Acceptable"/>
    <s v="3 Days"/>
    <x v="7"/>
    <s v="Saturday"/>
    <n v="1"/>
  </r>
  <r>
    <x v="2114"/>
    <d v="2024-11-23T00:00:00"/>
    <x v="2"/>
    <x v="2"/>
    <n v="7"/>
    <n v="67"/>
    <n v="4.3"/>
    <x v="0"/>
    <x v="2"/>
    <x v="0"/>
    <x v="2"/>
    <x v="2"/>
    <x v="1"/>
    <x v="0"/>
    <x v="3"/>
    <x v="0"/>
    <n v="1"/>
    <s v="Very Fast"/>
    <s v="3 Days"/>
    <x v="6"/>
    <s v="Saturday"/>
    <n v="1"/>
  </r>
  <r>
    <x v="2115"/>
    <d v="2024-02-18T00:00:00"/>
    <x v="2"/>
    <x v="3"/>
    <n v="87"/>
    <n v="10"/>
    <n v="3.8"/>
    <x v="0"/>
    <x v="1"/>
    <x v="0"/>
    <x v="3"/>
    <x v="3"/>
    <x v="0"/>
    <x v="1"/>
    <x v="3"/>
    <x v="0"/>
    <n v="1"/>
    <s v="Acceptable"/>
    <s v="1 Day"/>
    <x v="9"/>
    <s v="Sunday"/>
    <n v="2"/>
  </r>
  <r>
    <x v="2116"/>
    <d v="2024-05-16T00:00:00"/>
    <x v="0"/>
    <x v="1"/>
    <n v="225"/>
    <n v="28"/>
    <n v="2.6"/>
    <x v="1"/>
    <x v="2"/>
    <x v="0"/>
    <x v="1"/>
    <x v="1"/>
    <x v="0"/>
    <x v="1"/>
    <x v="3"/>
    <x v="0"/>
    <n v="0"/>
    <s v="Slow"/>
    <s v="2 Days"/>
    <x v="1"/>
    <s v="Thursday"/>
    <n v="3"/>
  </r>
  <r>
    <x v="2117"/>
    <d v="2024-08-10T00:00:00"/>
    <x v="0"/>
    <x v="3"/>
    <n v="115"/>
    <n v="16"/>
    <n v="7.7"/>
    <x v="1"/>
    <x v="1"/>
    <x v="0"/>
    <x v="3"/>
    <x v="3"/>
    <x v="0"/>
    <x v="1"/>
    <x v="0"/>
    <x v="0"/>
    <n v="0"/>
    <s v="Acceptable"/>
    <s v="1 Day"/>
    <x v="0"/>
    <s v="Saturday"/>
    <n v="2"/>
  </r>
  <r>
    <x v="2118"/>
    <d v="2024-08-25T00:00:00"/>
    <x v="0"/>
    <x v="2"/>
    <n v="126"/>
    <n v="10"/>
    <n v="9.9"/>
    <x v="1"/>
    <x v="0"/>
    <x v="0"/>
    <x v="2"/>
    <x v="2"/>
    <x v="1"/>
    <x v="1"/>
    <x v="2"/>
    <x v="0"/>
    <n v="0"/>
    <s v="Slow"/>
    <s v="1 Day"/>
    <x v="0"/>
    <s v="Sunday"/>
    <n v="1"/>
  </r>
  <r>
    <x v="2119"/>
    <d v="2024-10-09T00:00:00"/>
    <x v="0"/>
    <x v="2"/>
    <n v="5"/>
    <n v="1"/>
    <n v="0.7"/>
    <x v="0"/>
    <x v="0"/>
    <x v="1"/>
    <x v="2"/>
    <x v="2"/>
    <x v="0"/>
    <x v="0"/>
    <x v="1"/>
    <x v="1"/>
    <n v="1"/>
    <s v="Very Fast"/>
    <s v="Same Day"/>
    <x v="7"/>
    <s v="Wednesday"/>
    <n v="1"/>
  </r>
  <r>
    <x v="2120"/>
    <d v="2024-07-30T00:00:00"/>
    <x v="3"/>
    <x v="2"/>
    <n v="165"/>
    <n v="4"/>
    <n v="4"/>
    <x v="0"/>
    <x v="1"/>
    <x v="0"/>
    <x v="2"/>
    <x v="2"/>
    <x v="0"/>
    <x v="1"/>
    <x v="3"/>
    <x v="0"/>
    <n v="1"/>
    <s v="Slow"/>
    <s v="Same Day"/>
    <x v="10"/>
    <s v="Tuesday"/>
    <n v="1"/>
  </r>
  <r>
    <x v="2121"/>
    <d v="2024-02-25T00:00:00"/>
    <x v="0"/>
    <x v="0"/>
    <n v="6"/>
    <n v="2"/>
    <n v="5"/>
    <x v="0"/>
    <x v="2"/>
    <x v="2"/>
    <x v="0"/>
    <x v="0"/>
    <x v="0"/>
    <x v="0"/>
    <x v="3"/>
    <x v="2"/>
    <n v="1"/>
    <s v="Very Fast"/>
    <s v="Same Day"/>
    <x v="9"/>
    <s v="Sunday"/>
    <n v="4"/>
  </r>
  <r>
    <x v="2122"/>
    <d v="2024-05-05T00:00:00"/>
    <x v="1"/>
    <x v="1"/>
    <n v="80"/>
    <n v="31"/>
    <n v="0.6"/>
    <x v="0"/>
    <x v="2"/>
    <x v="0"/>
    <x v="1"/>
    <x v="1"/>
    <x v="0"/>
    <x v="0"/>
    <x v="1"/>
    <x v="0"/>
    <n v="1"/>
    <s v="Acceptable"/>
    <s v="2 Days"/>
    <x v="1"/>
    <s v="Sunday"/>
    <n v="3"/>
  </r>
  <r>
    <x v="2123"/>
    <d v="2024-06-03T00:00:00"/>
    <x v="0"/>
    <x v="0"/>
    <n v="160"/>
    <n v="54"/>
    <n v="4.5999999999999996"/>
    <x v="0"/>
    <x v="0"/>
    <x v="0"/>
    <x v="0"/>
    <x v="0"/>
    <x v="0"/>
    <x v="0"/>
    <x v="3"/>
    <x v="0"/>
    <n v="1"/>
    <s v="Slow"/>
    <s v="3 Days"/>
    <x v="4"/>
    <s v="Monday"/>
    <n v="4"/>
  </r>
  <r>
    <x v="2124"/>
    <d v="2024-05-09T00:00:00"/>
    <x v="3"/>
    <x v="3"/>
    <n v="130"/>
    <n v="40"/>
    <n v="7.5"/>
    <x v="0"/>
    <x v="1"/>
    <x v="0"/>
    <x v="3"/>
    <x v="3"/>
    <x v="1"/>
    <x v="1"/>
    <x v="0"/>
    <x v="0"/>
    <n v="1"/>
    <s v="Slow"/>
    <s v="2 Days"/>
    <x v="1"/>
    <s v="Thursday"/>
    <n v="2"/>
  </r>
  <r>
    <x v="2125"/>
    <d v="2024-12-29T00:00:00"/>
    <x v="4"/>
    <x v="0"/>
    <n v="86"/>
    <n v="16"/>
    <n v="2.2999999999999998"/>
    <x v="0"/>
    <x v="2"/>
    <x v="0"/>
    <x v="0"/>
    <x v="0"/>
    <x v="0"/>
    <x v="0"/>
    <x v="3"/>
    <x v="0"/>
    <n v="1"/>
    <s v="Acceptable"/>
    <s v="1 Day"/>
    <x v="11"/>
    <s v="Sunday"/>
    <n v="4"/>
  </r>
  <r>
    <x v="2126"/>
    <d v="2024-03-29T00:00:00"/>
    <x v="1"/>
    <x v="1"/>
    <n v="179"/>
    <n v="16"/>
    <n v="7.4"/>
    <x v="1"/>
    <x v="2"/>
    <x v="1"/>
    <x v="1"/>
    <x v="1"/>
    <x v="0"/>
    <x v="1"/>
    <x v="0"/>
    <x v="1"/>
    <n v="0"/>
    <s v="Slow"/>
    <s v="1 Day"/>
    <x v="2"/>
    <s v="Friday"/>
    <n v="3"/>
  </r>
  <r>
    <x v="2127"/>
    <d v="2024-04-26T00:00:00"/>
    <x v="0"/>
    <x v="1"/>
    <n v="83"/>
    <n v="42"/>
    <n v="1.3"/>
    <x v="1"/>
    <x v="0"/>
    <x v="0"/>
    <x v="1"/>
    <x v="1"/>
    <x v="0"/>
    <x v="0"/>
    <x v="1"/>
    <x v="0"/>
    <n v="0"/>
    <s v="Acceptable"/>
    <s v="2 Days"/>
    <x v="3"/>
    <s v="Friday"/>
    <n v="3"/>
  </r>
  <r>
    <x v="2128"/>
    <d v="2024-06-14T00:00:00"/>
    <x v="1"/>
    <x v="1"/>
    <n v="189"/>
    <n v="62"/>
    <n v="4.5999999999999996"/>
    <x v="1"/>
    <x v="0"/>
    <x v="0"/>
    <x v="1"/>
    <x v="1"/>
    <x v="1"/>
    <x v="1"/>
    <x v="3"/>
    <x v="0"/>
    <n v="0"/>
    <s v="Slow"/>
    <s v="3 Days"/>
    <x v="4"/>
    <s v="Friday"/>
    <n v="3"/>
  </r>
  <r>
    <x v="2129"/>
    <d v="2024-02-06T00:00:00"/>
    <x v="3"/>
    <x v="2"/>
    <n v="190"/>
    <n v="68"/>
    <n v="8.3000000000000007"/>
    <x v="1"/>
    <x v="0"/>
    <x v="0"/>
    <x v="2"/>
    <x v="2"/>
    <x v="1"/>
    <x v="1"/>
    <x v="2"/>
    <x v="0"/>
    <n v="0"/>
    <s v="Slow"/>
    <s v="3 Days"/>
    <x v="9"/>
    <s v="Tuesday"/>
    <n v="1"/>
  </r>
  <r>
    <x v="2130"/>
    <d v="2024-06-01T00:00:00"/>
    <x v="1"/>
    <x v="1"/>
    <n v="149"/>
    <n v="19"/>
    <n v="4.7"/>
    <x v="0"/>
    <x v="2"/>
    <x v="0"/>
    <x v="1"/>
    <x v="1"/>
    <x v="0"/>
    <x v="1"/>
    <x v="3"/>
    <x v="0"/>
    <n v="1"/>
    <s v="Slow"/>
    <s v="1 Day"/>
    <x v="4"/>
    <s v="Saturday"/>
    <n v="3"/>
  </r>
  <r>
    <x v="2131"/>
    <d v="2024-02-20T00:00:00"/>
    <x v="2"/>
    <x v="2"/>
    <n v="209"/>
    <n v="2"/>
    <n v="2.2000000000000002"/>
    <x v="0"/>
    <x v="1"/>
    <x v="0"/>
    <x v="2"/>
    <x v="2"/>
    <x v="0"/>
    <x v="1"/>
    <x v="3"/>
    <x v="0"/>
    <n v="1"/>
    <s v="Slow"/>
    <s v="Same Day"/>
    <x v="9"/>
    <s v="Tuesday"/>
    <n v="1"/>
  </r>
  <r>
    <x v="2132"/>
    <d v="2024-04-06T00:00:00"/>
    <x v="3"/>
    <x v="0"/>
    <n v="95"/>
    <n v="2"/>
    <n v="4.2"/>
    <x v="1"/>
    <x v="2"/>
    <x v="1"/>
    <x v="0"/>
    <x v="0"/>
    <x v="0"/>
    <x v="0"/>
    <x v="3"/>
    <x v="1"/>
    <n v="0"/>
    <s v="Acceptable"/>
    <s v="Same Day"/>
    <x v="3"/>
    <s v="Saturday"/>
    <n v="4"/>
  </r>
  <r>
    <x v="2133"/>
    <d v="2024-07-10T00:00:00"/>
    <x v="3"/>
    <x v="0"/>
    <n v="36"/>
    <n v="31"/>
    <n v="9.3000000000000007"/>
    <x v="1"/>
    <x v="2"/>
    <x v="1"/>
    <x v="0"/>
    <x v="0"/>
    <x v="0"/>
    <x v="0"/>
    <x v="2"/>
    <x v="1"/>
    <n v="0"/>
    <s v="Acceptable"/>
    <s v="2 Days"/>
    <x v="10"/>
    <s v="Wednesday"/>
    <n v="4"/>
  </r>
  <r>
    <x v="2134"/>
    <d v="2024-07-29T00:00:00"/>
    <x v="2"/>
    <x v="2"/>
    <n v="181"/>
    <n v="13"/>
    <n v="6"/>
    <x v="1"/>
    <x v="0"/>
    <x v="0"/>
    <x v="2"/>
    <x v="2"/>
    <x v="1"/>
    <x v="1"/>
    <x v="0"/>
    <x v="0"/>
    <n v="0"/>
    <s v="Slow"/>
    <s v="1 Day"/>
    <x v="10"/>
    <s v="Monday"/>
    <n v="1"/>
  </r>
  <r>
    <x v="2135"/>
    <d v="2024-06-20T00:00:00"/>
    <x v="1"/>
    <x v="0"/>
    <n v="173"/>
    <n v="8"/>
    <n v="9.6"/>
    <x v="0"/>
    <x v="1"/>
    <x v="0"/>
    <x v="0"/>
    <x v="0"/>
    <x v="0"/>
    <x v="0"/>
    <x v="2"/>
    <x v="0"/>
    <n v="1"/>
    <s v="Slow"/>
    <s v="Same Day"/>
    <x v="4"/>
    <s v="Thursday"/>
    <n v="4"/>
  </r>
  <r>
    <x v="2136"/>
    <d v="2024-02-18T00:00:00"/>
    <x v="0"/>
    <x v="3"/>
    <n v="25"/>
    <n v="27"/>
    <n v="6.4"/>
    <x v="0"/>
    <x v="1"/>
    <x v="1"/>
    <x v="3"/>
    <x v="3"/>
    <x v="1"/>
    <x v="0"/>
    <x v="0"/>
    <x v="1"/>
    <n v="1"/>
    <s v="Very Fast"/>
    <s v="2 Days"/>
    <x v="9"/>
    <s v="Sunday"/>
    <n v="2"/>
  </r>
  <r>
    <x v="2137"/>
    <d v="2024-10-15T00:00:00"/>
    <x v="0"/>
    <x v="0"/>
    <n v="116"/>
    <n v="29"/>
    <n v="6.2"/>
    <x v="0"/>
    <x v="0"/>
    <x v="0"/>
    <x v="0"/>
    <x v="0"/>
    <x v="0"/>
    <x v="0"/>
    <x v="0"/>
    <x v="0"/>
    <n v="1"/>
    <s v="Acceptable"/>
    <s v="2 Days"/>
    <x v="7"/>
    <s v="Tuesday"/>
    <n v="4"/>
  </r>
  <r>
    <x v="2138"/>
    <d v="2024-08-09T00:00:00"/>
    <x v="2"/>
    <x v="3"/>
    <n v="46"/>
    <n v="3"/>
    <n v="4.0999999999999996"/>
    <x v="1"/>
    <x v="0"/>
    <x v="1"/>
    <x v="3"/>
    <x v="3"/>
    <x v="0"/>
    <x v="0"/>
    <x v="3"/>
    <x v="1"/>
    <n v="0"/>
    <s v="Acceptable"/>
    <s v="Same Day"/>
    <x v="0"/>
    <s v="Friday"/>
    <n v="2"/>
  </r>
  <r>
    <x v="2139"/>
    <d v="2024-07-29T00:00:00"/>
    <x v="1"/>
    <x v="2"/>
    <n v="87"/>
    <n v="4"/>
    <n v="9.6999999999999993"/>
    <x v="1"/>
    <x v="1"/>
    <x v="1"/>
    <x v="2"/>
    <x v="2"/>
    <x v="0"/>
    <x v="1"/>
    <x v="2"/>
    <x v="1"/>
    <n v="0"/>
    <s v="Acceptable"/>
    <s v="Same Day"/>
    <x v="10"/>
    <s v="Monday"/>
    <n v="1"/>
  </r>
  <r>
    <x v="2140"/>
    <d v="2024-07-12T00:00:00"/>
    <x v="1"/>
    <x v="1"/>
    <n v="207"/>
    <n v="31"/>
    <n v="5.7"/>
    <x v="0"/>
    <x v="2"/>
    <x v="0"/>
    <x v="1"/>
    <x v="1"/>
    <x v="0"/>
    <x v="1"/>
    <x v="0"/>
    <x v="0"/>
    <n v="1"/>
    <s v="Slow"/>
    <s v="2 Days"/>
    <x v="10"/>
    <s v="Friday"/>
    <n v="3"/>
  </r>
  <r>
    <x v="2141"/>
    <d v="2024-10-05T00:00:00"/>
    <x v="4"/>
    <x v="2"/>
    <n v="233"/>
    <n v="44"/>
    <n v="1.2"/>
    <x v="1"/>
    <x v="1"/>
    <x v="0"/>
    <x v="2"/>
    <x v="2"/>
    <x v="1"/>
    <x v="1"/>
    <x v="1"/>
    <x v="0"/>
    <n v="0"/>
    <s v="Slow"/>
    <s v="2 Days"/>
    <x v="7"/>
    <s v="Saturday"/>
    <n v="1"/>
  </r>
  <r>
    <x v="2142"/>
    <d v="2024-04-05T00:00:00"/>
    <x v="1"/>
    <x v="3"/>
    <n v="224"/>
    <n v="8"/>
    <n v="0.7"/>
    <x v="0"/>
    <x v="2"/>
    <x v="0"/>
    <x v="3"/>
    <x v="3"/>
    <x v="0"/>
    <x v="1"/>
    <x v="1"/>
    <x v="0"/>
    <n v="1"/>
    <s v="Slow"/>
    <s v="Same Day"/>
    <x v="3"/>
    <s v="Friday"/>
    <n v="2"/>
  </r>
  <r>
    <x v="2143"/>
    <d v="2024-12-27T00:00:00"/>
    <x v="4"/>
    <x v="2"/>
    <n v="160"/>
    <n v="69"/>
    <n v="4.9000000000000004"/>
    <x v="0"/>
    <x v="2"/>
    <x v="0"/>
    <x v="2"/>
    <x v="2"/>
    <x v="1"/>
    <x v="1"/>
    <x v="3"/>
    <x v="0"/>
    <n v="1"/>
    <s v="Slow"/>
    <s v="3 Days"/>
    <x v="11"/>
    <s v="Friday"/>
    <n v="1"/>
  </r>
  <r>
    <x v="2144"/>
    <d v="2024-07-02T00:00:00"/>
    <x v="0"/>
    <x v="0"/>
    <n v="138"/>
    <n v="58"/>
    <n v="8.1"/>
    <x v="1"/>
    <x v="0"/>
    <x v="1"/>
    <x v="0"/>
    <x v="0"/>
    <x v="0"/>
    <x v="0"/>
    <x v="2"/>
    <x v="1"/>
    <n v="0"/>
    <s v="Slow"/>
    <s v="3 Days"/>
    <x v="10"/>
    <s v="Tuesday"/>
    <n v="4"/>
  </r>
  <r>
    <x v="2145"/>
    <d v="2024-06-09T00:00:00"/>
    <x v="3"/>
    <x v="2"/>
    <n v="214"/>
    <n v="62"/>
    <n v="3.8"/>
    <x v="1"/>
    <x v="0"/>
    <x v="0"/>
    <x v="2"/>
    <x v="2"/>
    <x v="1"/>
    <x v="1"/>
    <x v="3"/>
    <x v="0"/>
    <n v="0"/>
    <s v="Slow"/>
    <s v="3 Days"/>
    <x v="4"/>
    <s v="Sunday"/>
    <n v="1"/>
  </r>
  <r>
    <x v="2146"/>
    <d v="2024-05-25T00:00:00"/>
    <x v="1"/>
    <x v="0"/>
    <n v="51"/>
    <n v="56"/>
    <n v="4.5999999999999996"/>
    <x v="1"/>
    <x v="0"/>
    <x v="0"/>
    <x v="0"/>
    <x v="0"/>
    <x v="0"/>
    <x v="0"/>
    <x v="3"/>
    <x v="0"/>
    <n v="0"/>
    <s v="Acceptable"/>
    <s v="3 Days"/>
    <x v="1"/>
    <s v="Saturday"/>
    <n v="4"/>
  </r>
  <r>
    <x v="2147"/>
    <d v="2024-02-24T00:00:00"/>
    <x v="3"/>
    <x v="2"/>
    <n v="194"/>
    <n v="72"/>
    <n v="6.3"/>
    <x v="1"/>
    <x v="1"/>
    <x v="0"/>
    <x v="2"/>
    <x v="2"/>
    <x v="1"/>
    <x v="1"/>
    <x v="0"/>
    <x v="0"/>
    <n v="0"/>
    <s v="Slow"/>
    <s v="3 Days"/>
    <x v="9"/>
    <s v="Saturday"/>
    <n v="1"/>
  </r>
  <r>
    <x v="2148"/>
    <d v="2024-01-06T00:00:00"/>
    <x v="0"/>
    <x v="0"/>
    <n v="116"/>
    <n v="51"/>
    <n v="8.6"/>
    <x v="0"/>
    <x v="1"/>
    <x v="0"/>
    <x v="0"/>
    <x v="0"/>
    <x v="0"/>
    <x v="0"/>
    <x v="2"/>
    <x v="0"/>
    <n v="1"/>
    <s v="Acceptable"/>
    <s v="3 Days"/>
    <x v="8"/>
    <s v="Saturday"/>
    <n v="4"/>
  </r>
  <r>
    <x v="2149"/>
    <d v="2024-02-12T00:00:00"/>
    <x v="1"/>
    <x v="3"/>
    <n v="51"/>
    <n v="51"/>
    <n v="5.0999999999999996"/>
    <x v="0"/>
    <x v="2"/>
    <x v="0"/>
    <x v="3"/>
    <x v="3"/>
    <x v="1"/>
    <x v="0"/>
    <x v="0"/>
    <x v="0"/>
    <n v="1"/>
    <s v="Acceptable"/>
    <s v="3 Days"/>
    <x v="9"/>
    <s v="Monday"/>
    <n v="2"/>
  </r>
  <r>
    <x v="2150"/>
    <d v="2024-09-25T00:00:00"/>
    <x v="3"/>
    <x v="3"/>
    <n v="101"/>
    <n v="25"/>
    <n v="7.4"/>
    <x v="0"/>
    <x v="0"/>
    <x v="0"/>
    <x v="3"/>
    <x v="3"/>
    <x v="1"/>
    <x v="1"/>
    <x v="0"/>
    <x v="0"/>
    <n v="1"/>
    <s v="Acceptable"/>
    <s v="2 Days"/>
    <x v="5"/>
    <s v="Wednesday"/>
    <n v="2"/>
  </r>
  <r>
    <x v="2151"/>
    <d v="2024-11-29T00:00:00"/>
    <x v="0"/>
    <x v="3"/>
    <n v="136"/>
    <n v="18"/>
    <n v="9.9"/>
    <x v="1"/>
    <x v="1"/>
    <x v="0"/>
    <x v="3"/>
    <x v="3"/>
    <x v="0"/>
    <x v="1"/>
    <x v="2"/>
    <x v="0"/>
    <n v="0"/>
    <s v="Slow"/>
    <s v="1 Day"/>
    <x v="6"/>
    <s v="Friday"/>
    <n v="2"/>
  </r>
  <r>
    <x v="2152"/>
    <d v="2024-04-22T00:00:00"/>
    <x v="1"/>
    <x v="1"/>
    <n v="110"/>
    <n v="65"/>
    <n v="5.8"/>
    <x v="1"/>
    <x v="1"/>
    <x v="1"/>
    <x v="1"/>
    <x v="1"/>
    <x v="1"/>
    <x v="0"/>
    <x v="0"/>
    <x v="1"/>
    <n v="0"/>
    <s v="Acceptable"/>
    <s v="3 Days"/>
    <x v="3"/>
    <s v="Monday"/>
    <n v="3"/>
  </r>
  <r>
    <x v="2153"/>
    <d v="2024-07-21T00:00:00"/>
    <x v="3"/>
    <x v="2"/>
    <n v="22"/>
    <n v="60"/>
    <n v="1.9"/>
    <x v="0"/>
    <x v="0"/>
    <x v="0"/>
    <x v="2"/>
    <x v="2"/>
    <x v="1"/>
    <x v="0"/>
    <x v="1"/>
    <x v="0"/>
    <n v="1"/>
    <s v="Very Fast"/>
    <s v="3 Days"/>
    <x v="10"/>
    <s v="Sunday"/>
    <n v="1"/>
  </r>
  <r>
    <x v="2154"/>
    <d v="2024-12-29T00:00:00"/>
    <x v="4"/>
    <x v="2"/>
    <n v="63"/>
    <n v="38"/>
    <n v="6.2"/>
    <x v="0"/>
    <x v="1"/>
    <x v="0"/>
    <x v="2"/>
    <x v="2"/>
    <x v="1"/>
    <x v="1"/>
    <x v="0"/>
    <x v="0"/>
    <n v="1"/>
    <s v="Acceptable"/>
    <s v="2 Days"/>
    <x v="11"/>
    <s v="Sunday"/>
    <n v="1"/>
  </r>
  <r>
    <x v="2155"/>
    <d v="2024-03-25T00:00:00"/>
    <x v="2"/>
    <x v="2"/>
    <n v="45"/>
    <n v="70"/>
    <n v="3.3"/>
    <x v="0"/>
    <x v="0"/>
    <x v="0"/>
    <x v="2"/>
    <x v="2"/>
    <x v="1"/>
    <x v="1"/>
    <x v="3"/>
    <x v="0"/>
    <n v="1"/>
    <s v="Acceptable"/>
    <s v="3 Days"/>
    <x v="2"/>
    <s v="Monday"/>
    <n v="1"/>
  </r>
  <r>
    <x v="2156"/>
    <d v="2024-03-09T00:00:00"/>
    <x v="4"/>
    <x v="1"/>
    <n v="172"/>
    <n v="39"/>
    <n v="2.9"/>
    <x v="0"/>
    <x v="2"/>
    <x v="0"/>
    <x v="1"/>
    <x v="1"/>
    <x v="0"/>
    <x v="1"/>
    <x v="3"/>
    <x v="0"/>
    <n v="1"/>
    <s v="Slow"/>
    <s v="2 Days"/>
    <x v="2"/>
    <s v="Saturday"/>
    <n v="3"/>
  </r>
  <r>
    <x v="2157"/>
    <d v="2024-12-22T00:00:00"/>
    <x v="1"/>
    <x v="1"/>
    <n v="92"/>
    <n v="1"/>
    <n v="4.9000000000000004"/>
    <x v="1"/>
    <x v="1"/>
    <x v="1"/>
    <x v="1"/>
    <x v="1"/>
    <x v="0"/>
    <x v="0"/>
    <x v="3"/>
    <x v="1"/>
    <n v="0"/>
    <s v="Acceptable"/>
    <s v="Same Day"/>
    <x v="11"/>
    <s v="Sunday"/>
    <n v="3"/>
  </r>
  <r>
    <x v="2158"/>
    <d v="2024-08-20T00:00:00"/>
    <x v="2"/>
    <x v="3"/>
    <n v="60"/>
    <n v="66"/>
    <n v="0.9"/>
    <x v="0"/>
    <x v="2"/>
    <x v="0"/>
    <x v="3"/>
    <x v="3"/>
    <x v="1"/>
    <x v="0"/>
    <x v="1"/>
    <x v="0"/>
    <n v="1"/>
    <s v="Acceptable"/>
    <s v="3 Days"/>
    <x v="0"/>
    <s v="Tuesday"/>
    <n v="2"/>
  </r>
  <r>
    <x v="2159"/>
    <d v="2024-08-01T00:00:00"/>
    <x v="4"/>
    <x v="3"/>
    <n v="207"/>
    <n v="37"/>
    <n v="6.3"/>
    <x v="0"/>
    <x v="0"/>
    <x v="0"/>
    <x v="3"/>
    <x v="3"/>
    <x v="1"/>
    <x v="1"/>
    <x v="0"/>
    <x v="0"/>
    <n v="1"/>
    <s v="Slow"/>
    <s v="2 Days"/>
    <x v="0"/>
    <s v="Thursday"/>
    <n v="2"/>
  </r>
  <r>
    <x v="2160"/>
    <d v="2024-10-29T00:00:00"/>
    <x v="1"/>
    <x v="2"/>
    <n v="62"/>
    <n v="31"/>
    <n v="2.7"/>
    <x v="1"/>
    <x v="1"/>
    <x v="0"/>
    <x v="2"/>
    <x v="2"/>
    <x v="1"/>
    <x v="1"/>
    <x v="3"/>
    <x v="0"/>
    <n v="0"/>
    <s v="Acceptable"/>
    <s v="2 Days"/>
    <x v="7"/>
    <s v="Tuesday"/>
    <n v="1"/>
  </r>
  <r>
    <x v="2161"/>
    <d v="2024-12-16T00:00:00"/>
    <x v="0"/>
    <x v="3"/>
    <n v="22"/>
    <n v="42"/>
    <n v="0.7"/>
    <x v="0"/>
    <x v="2"/>
    <x v="0"/>
    <x v="3"/>
    <x v="3"/>
    <x v="1"/>
    <x v="0"/>
    <x v="1"/>
    <x v="0"/>
    <n v="1"/>
    <s v="Very Fast"/>
    <s v="2 Days"/>
    <x v="11"/>
    <s v="Monday"/>
    <n v="2"/>
  </r>
  <r>
    <x v="2162"/>
    <d v="2024-12-01T00:00:00"/>
    <x v="2"/>
    <x v="2"/>
    <n v="178"/>
    <n v="34"/>
    <n v="8.9"/>
    <x v="1"/>
    <x v="0"/>
    <x v="0"/>
    <x v="2"/>
    <x v="2"/>
    <x v="1"/>
    <x v="1"/>
    <x v="2"/>
    <x v="0"/>
    <n v="0"/>
    <s v="Slow"/>
    <s v="2 Days"/>
    <x v="11"/>
    <s v="Sunday"/>
    <n v="1"/>
  </r>
  <r>
    <x v="2163"/>
    <d v="2024-01-06T00:00:00"/>
    <x v="3"/>
    <x v="3"/>
    <n v="113"/>
    <n v="49"/>
    <n v="4.2"/>
    <x v="0"/>
    <x v="2"/>
    <x v="0"/>
    <x v="3"/>
    <x v="3"/>
    <x v="1"/>
    <x v="1"/>
    <x v="3"/>
    <x v="0"/>
    <n v="1"/>
    <s v="Acceptable"/>
    <s v="3 Days"/>
    <x v="8"/>
    <s v="Saturday"/>
    <n v="2"/>
  </r>
  <r>
    <x v="2164"/>
    <d v="2024-09-26T00:00:00"/>
    <x v="0"/>
    <x v="0"/>
    <n v="212"/>
    <n v="32"/>
    <n v="9.3000000000000007"/>
    <x v="1"/>
    <x v="0"/>
    <x v="1"/>
    <x v="0"/>
    <x v="0"/>
    <x v="0"/>
    <x v="0"/>
    <x v="2"/>
    <x v="1"/>
    <n v="0"/>
    <s v="Slow"/>
    <s v="2 Days"/>
    <x v="5"/>
    <s v="Thursday"/>
    <n v="4"/>
  </r>
  <r>
    <x v="2165"/>
    <d v="2024-05-14T00:00:00"/>
    <x v="4"/>
    <x v="1"/>
    <n v="50"/>
    <n v="17"/>
    <n v="8.4"/>
    <x v="0"/>
    <x v="1"/>
    <x v="0"/>
    <x v="1"/>
    <x v="1"/>
    <x v="0"/>
    <x v="0"/>
    <x v="2"/>
    <x v="0"/>
    <n v="1"/>
    <s v="Acceptable"/>
    <s v="1 Day"/>
    <x v="1"/>
    <s v="Tuesday"/>
    <n v="3"/>
  </r>
  <r>
    <x v="2166"/>
    <d v="2024-11-08T00:00:00"/>
    <x v="2"/>
    <x v="2"/>
    <n v="161"/>
    <n v="6"/>
    <n v="7.5"/>
    <x v="1"/>
    <x v="2"/>
    <x v="1"/>
    <x v="2"/>
    <x v="2"/>
    <x v="0"/>
    <x v="1"/>
    <x v="0"/>
    <x v="1"/>
    <n v="0"/>
    <s v="Slow"/>
    <s v="Same Day"/>
    <x v="6"/>
    <s v="Friday"/>
    <n v="1"/>
  </r>
  <r>
    <x v="2167"/>
    <d v="2024-03-18T00:00:00"/>
    <x v="1"/>
    <x v="2"/>
    <n v="7"/>
    <n v="25"/>
    <n v="9.5"/>
    <x v="1"/>
    <x v="1"/>
    <x v="1"/>
    <x v="2"/>
    <x v="2"/>
    <x v="1"/>
    <x v="0"/>
    <x v="2"/>
    <x v="1"/>
    <n v="0"/>
    <s v="Very Fast"/>
    <s v="2 Days"/>
    <x v="2"/>
    <s v="Monday"/>
    <n v="1"/>
  </r>
  <r>
    <x v="2168"/>
    <d v="2024-08-21T00:00:00"/>
    <x v="4"/>
    <x v="2"/>
    <n v="58"/>
    <n v="42"/>
    <n v="2"/>
    <x v="0"/>
    <x v="1"/>
    <x v="0"/>
    <x v="2"/>
    <x v="2"/>
    <x v="1"/>
    <x v="1"/>
    <x v="1"/>
    <x v="0"/>
    <n v="1"/>
    <s v="Acceptable"/>
    <s v="2 Days"/>
    <x v="0"/>
    <s v="Wednesday"/>
    <n v="1"/>
  </r>
  <r>
    <x v="2169"/>
    <d v="2024-07-27T00:00:00"/>
    <x v="2"/>
    <x v="3"/>
    <n v="206"/>
    <n v="43"/>
    <n v="2"/>
    <x v="0"/>
    <x v="2"/>
    <x v="0"/>
    <x v="3"/>
    <x v="3"/>
    <x v="1"/>
    <x v="1"/>
    <x v="1"/>
    <x v="0"/>
    <n v="1"/>
    <s v="Slow"/>
    <s v="2 Days"/>
    <x v="10"/>
    <s v="Saturday"/>
    <n v="2"/>
  </r>
  <r>
    <x v="2170"/>
    <d v="2024-02-02T00:00:00"/>
    <x v="4"/>
    <x v="3"/>
    <n v="128"/>
    <n v="42"/>
    <n v="2.1"/>
    <x v="0"/>
    <x v="0"/>
    <x v="0"/>
    <x v="3"/>
    <x v="3"/>
    <x v="1"/>
    <x v="1"/>
    <x v="3"/>
    <x v="0"/>
    <n v="1"/>
    <s v="Slow"/>
    <s v="2 Days"/>
    <x v="9"/>
    <s v="Friday"/>
    <n v="2"/>
  </r>
  <r>
    <x v="2171"/>
    <d v="2024-06-23T00:00:00"/>
    <x v="0"/>
    <x v="1"/>
    <n v="226"/>
    <n v="50"/>
    <n v="1.7"/>
    <x v="0"/>
    <x v="2"/>
    <x v="0"/>
    <x v="1"/>
    <x v="1"/>
    <x v="1"/>
    <x v="1"/>
    <x v="1"/>
    <x v="0"/>
    <n v="1"/>
    <s v="Slow"/>
    <s v="3 Days"/>
    <x v="4"/>
    <s v="Sunday"/>
    <n v="3"/>
  </r>
  <r>
    <x v="2172"/>
    <d v="2024-10-09T00:00:00"/>
    <x v="4"/>
    <x v="0"/>
    <n v="224"/>
    <n v="58"/>
    <n v="5.0999999999999996"/>
    <x v="1"/>
    <x v="1"/>
    <x v="1"/>
    <x v="0"/>
    <x v="0"/>
    <x v="0"/>
    <x v="0"/>
    <x v="0"/>
    <x v="1"/>
    <n v="0"/>
    <s v="Slow"/>
    <s v="3 Days"/>
    <x v="7"/>
    <s v="Wednesday"/>
    <n v="4"/>
  </r>
  <r>
    <x v="2173"/>
    <d v="2024-05-16T00:00:00"/>
    <x v="3"/>
    <x v="3"/>
    <n v="177"/>
    <n v="65"/>
    <n v="8.3000000000000007"/>
    <x v="0"/>
    <x v="1"/>
    <x v="0"/>
    <x v="3"/>
    <x v="3"/>
    <x v="1"/>
    <x v="1"/>
    <x v="2"/>
    <x v="0"/>
    <n v="1"/>
    <s v="Slow"/>
    <s v="3 Days"/>
    <x v="1"/>
    <s v="Thursday"/>
    <n v="2"/>
  </r>
  <r>
    <x v="2174"/>
    <d v="2024-01-24T00:00:00"/>
    <x v="0"/>
    <x v="0"/>
    <n v="102"/>
    <n v="54"/>
    <n v="2.2000000000000002"/>
    <x v="0"/>
    <x v="0"/>
    <x v="0"/>
    <x v="0"/>
    <x v="0"/>
    <x v="0"/>
    <x v="0"/>
    <x v="3"/>
    <x v="0"/>
    <n v="1"/>
    <s v="Acceptable"/>
    <s v="3 Days"/>
    <x v="8"/>
    <s v="Wednesday"/>
    <n v="4"/>
  </r>
  <r>
    <x v="2175"/>
    <d v="2024-08-20T00:00:00"/>
    <x v="3"/>
    <x v="3"/>
    <n v="146"/>
    <n v="27"/>
    <n v="4.4000000000000004"/>
    <x v="0"/>
    <x v="2"/>
    <x v="0"/>
    <x v="3"/>
    <x v="3"/>
    <x v="1"/>
    <x v="1"/>
    <x v="3"/>
    <x v="0"/>
    <n v="1"/>
    <s v="Slow"/>
    <s v="2 Days"/>
    <x v="0"/>
    <s v="Tuesday"/>
    <n v="2"/>
  </r>
  <r>
    <x v="2176"/>
    <d v="2024-07-23T00:00:00"/>
    <x v="1"/>
    <x v="3"/>
    <n v="151"/>
    <n v="47"/>
    <n v="5"/>
    <x v="1"/>
    <x v="0"/>
    <x v="0"/>
    <x v="3"/>
    <x v="3"/>
    <x v="1"/>
    <x v="1"/>
    <x v="3"/>
    <x v="0"/>
    <n v="0"/>
    <s v="Slow"/>
    <s v="2 Days"/>
    <x v="10"/>
    <s v="Tuesday"/>
    <n v="2"/>
  </r>
  <r>
    <x v="2177"/>
    <d v="2024-10-19T00:00:00"/>
    <x v="1"/>
    <x v="3"/>
    <n v="172"/>
    <n v="71"/>
    <n v="9.1999999999999993"/>
    <x v="0"/>
    <x v="0"/>
    <x v="0"/>
    <x v="3"/>
    <x v="3"/>
    <x v="1"/>
    <x v="1"/>
    <x v="2"/>
    <x v="0"/>
    <n v="1"/>
    <s v="Slow"/>
    <s v="3 Days"/>
    <x v="7"/>
    <s v="Saturday"/>
    <n v="2"/>
  </r>
  <r>
    <x v="2178"/>
    <d v="2024-12-25T00:00:00"/>
    <x v="3"/>
    <x v="3"/>
    <n v="97"/>
    <n v="56"/>
    <n v="8.3000000000000007"/>
    <x v="0"/>
    <x v="2"/>
    <x v="0"/>
    <x v="3"/>
    <x v="3"/>
    <x v="1"/>
    <x v="1"/>
    <x v="2"/>
    <x v="0"/>
    <n v="1"/>
    <s v="Acceptable"/>
    <s v="3 Days"/>
    <x v="11"/>
    <s v="Wednesday"/>
    <n v="2"/>
  </r>
  <r>
    <x v="2179"/>
    <d v="2024-02-06T00:00:00"/>
    <x v="3"/>
    <x v="3"/>
    <n v="210"/>
    <n v="18"/>
    <n v="2.6"/>
    <x v="1"/>
    <x v="2"/>
    <x v="0"/>
    <x v="3"/>
    <x v="3"/>
    <x v="0"/>
    <x v="1"/>
    <x v="3"/>
    <x v="0"/>
    <n v="0"/>
    <s v="Slow"/>
    <s v="1 Day"/>
    <x v="9"/>
    <s v="Tuesday"/>
    <n v="2"/>
  </r>
  <r>
    <x v="2180"/>
    <d v="2024-08-03T00:00:00"/>
    <x v="3"/>
    <x v="1"/>
    <n v="18"/>
    <n v="71"/>
    <n v="4.5"/>
    <x v="0"/>
    <x v="0"/>
    <x v="1"/>
    <x v="1"/>
    <x v="1"/>
    <x v="1"/>
    <x v="0"/>
    <x v="3"/>
    <x v="1"/>
    <n v="1"/>
    <s v="Very Fast"/>
    <s v="3 Days"/>
    <x v="0"/>
    <s v="Saturday"/>
    <n v="3"/>
  </r>
  <r>
    <x v="2181"/>
    <d v="2024-08-24T00:00:00"/>
    <x v="2"/>
    <x v="3"/>
    <n v="108"/>
    <n v="46"/>
    <n v="6.7"/>
    <x v="1"/>
    <x v="1"/>
    <x v="0"/>
    <x v="3"/>
    <x v="3"/>
    <x v="1"/>
    <x v="1"/>
    <x v="0"/>
    <x v="0"/>
    <n v="0"/>
    <s v="Acceptable"/>
    <s v="2 Days"/>
    <x v="0"/>
    <s v="Saturday"/>
    <n v="2"/>
  </r>
  <r>
    <x v="2182"/>
    <d v="2024-03-30T00:00:00"/>
    <x v="4"/>
    <x v="3"/>
    <n v="98"/>
    <n v="55"/>
    <n v="5.6"/>
    <x v="0"/>
    <x v="1"/>
    <x v="0"/>
    <x v="3"/>
    <x v="3"/>
    <x v="1"/>
    <x v="1"/>
    <x v="0"/>
    <x v="0"/>
    <n v="1"/>
    <s v="Acceptable"/>
    <s v="3 Days"/>
    <x v="2"/>
    <s v="Saturday"/>
    <n v="2"/>
  </r>
  <r>
    <x v="2183"/>
    <d v="2024-09-29T00:00:00"/>
    <x v="4"/>
    <x v="2"/>
    <n v="159"/>
    <n v="29"/>
    <n v="9.6999999999999993"/>
    <x v="1"/>
    <x v="0"/>
    <x v="0"/>
    <x v="2"/>
    <x v="2"/>
    <x v="1"/>
    <x v="1"/>
    <x v="2"/>
    <x v="0"/>
    <n v="0"/>
    <s v="Slow"/>
    <s v="2 Days"/>
    <x v="5"/>
    <s v="Sunday"/>
    <n v="1"/>
  </r>
  <r>
    <x v="2184"/>
    <d v="2024-02-23T00:00:00"/>
    <x v="1"/>
    <x v="1"/>
    <n v="216"/>
    <n v="72"/>
    <n v="3.7"/>
    <x v="1"/>
    <x v="1"/>
    <x v="0"/>
    <x v="1"/>
    <x v="1"/>
    <x v="1"/>
    <x v="1"/>
    <x v="3"/>
    <x v="0"/>
    <n v="0"/>
    <s v="Slow"/>
    <s v="3 Days"/>
    <x v="9"/>
    <s v="Friday"/>
    <n v="3"/>
  </r>
  <r>
    <x v="2185"/>
    <d v="2024-02-29T00:00:00"/>
    <x v="3"/>
    <x v="3"/>
    <n v="182"/>
    <n v="30"/>
    <n v="10"/>
    <x v="1"/>
    <x v="0"/>
    <x v="0"/>
    <x v="3"/>
    <x v="3"/>
    <x v="1"/>
    <x v="1"/>
    <x v="2"/>
    <x v="0"/>
    <n v="0"/>
    <s v="Slow"/>
    <s v="2 Days"/>
    <x v="9"/>
    <s v="Thursday"/>
    <n v="2"/>
  </r>
  <r>
    <x v="2186"/>
    <d v="2024-08-10T00:00:00"/>
    <x v="0"/>
    <x v="2"/>
    <n v="207"/>
    <n v="48"/>
    <n v="8.4"/>
    <x v="1"/>
    <x v="0"/>
    <x v="0"/>
    <x v="2"/>
    <x v="2"/>
    <x v="1"/>
    <x v="1"/>
    <x v="2"/>
    <x v="0"/>
    <n v="0"/>
    <s v="Slow"/>
    <s v="2 Days"/>
    <x v="0"/>
    <s v="Saturday"/>
    <n v="1"/>
  </r>
  <r>
    <x v="2187"/>
    <d v="2024-08-31T00:00:00"/>
    <x v="2"/>
    <x v="3"/>
    <n v="140"/>
    <n v="4"/>
    <n v="8.3000000000000007"/>
    <x v="0"/>
    <x v="2"/>
    <x v="1"/>
    <x v="3"/>
    <x v="3"/>
    <x v="0"/>
    <x v="1"/>
    <x v="2"/>
    <x v="1"/>
    <n v="1"/>
    <s v="Slow"/>
    <s v="Same Day"/>
    <x v="0"/>
    <s v="Saturday"/>
    <n v="2"/>
  </r>
  <r>
    <x v="2188"/>
    <d v="2024-01-03T00:00:00"/>
    <x v="3"/>
    <x v="1"/>
    <n v="195"/>
    <n v="57"/>
    <n v="2.4"/>
    <x v="0"/>
    <x v="1"/>
    <x v="0"/>
    <x v="1"/>
    <x v="1"/>
    <x v="1"/>
    <x v="1"/>
    <x v="3"/>
    <x v="0"/>
    <n v="1"/>
    <s v="Slow"/>
    <s v="3 Days"/>
    <x v="8"/>
    <s v="Wednesday"/>
    <n v="3"/>
  </r>
  <r>
    <x v="2189"/>
    <d v="2024-03-22T00:00:00"/>
    <x v="2"/>
    <x v="0"/>
    <n v="73"/>
    <n v="54"/>
    <n v="8.8000000000000007"/>
    <x v="1"/>
    <x v="1"/>
    <x v="1"/>
    <x v="0"/>
    <x v="0"/>
    <x v="0"/>
    <x v="0"/>
    <x v="2"/>
    <x v="1"/>
    <n v="0"/>
    <s v="Acceptable"/>
    <s v="3 Days"/>
    <x v="2"/>
    <s v="Friday"/>
    <n v="4"/>
  </r>
  <r>
    <x v="2190"/>
    <d v="2024-11-03T00:00:00"/>
    <x v="0"/>
    <x v="3"/>
    <n v="34"/>
    <n v="40"/>
    <n v="9"/>
    <x v="0"/>
    <x v="1"/>
    <x v="0"/>
    <x v="3"/>
    <x v="3"/>
    <x v="1"/>
    <x v="0"/>
    <x v="2"/>
    <x v="0"/>
    <n v="1"/>
    <s v="Acceptable"/>
    <s v="2 Days"/>
    <x v="6"/>
    <s v="Sunday"/>
    <n v="2"/>
  </r>
  <r>
    <x v="2191"/>
    <d v="2024-03-09T00:00:00"/>
    <x v="3"/>
    <x v="0"/>
    <n v="105"/>
    <n v="30"/>
    <n v="9.1999999999999993"/>
    <x v="0"/>
    <x v="1"/>
    <x v="0"/>
    <x v="0"/>
    <x v="0"/>
    <x v="0"/>
    <x v="0"/>
    <x v="2"/>
    <x v="0"/>
    <n v="1"/>
    <s v="Acceptable"/>
    <s v="2 Days"/>
    <x v="2"/>
    <s v="Saturday"/>
    <n v="4"/>
  </r>
  <r>
    <x v="2192"/>
    <d v="2024-07-11T00:00:00"/>
    <x v="4"/>
    <x v="0"/>
    <n v="24"/>
    <n v="49"/>
    <n v="0.8"/>
    <x v="0"/>
    <x v="1"/>
    <x v="1"/>
    <x v="0"/>
    <x v="0"/>
    <x v="0"/>
    <x v="0"/>
    <x v="1"/>
    <x v="1"/>
    <n v="1"/>
    <s v="Very Fast"/>
    <s v="3 Days"/>
    <x v="10"/>
    <s v="Thursday"/>
    <n v="4"/>
  </r>
  <r>
    <x v="2193"/>
    <d v="2024-06-23T00:00:00"/>
    <x v="1"/>
    <x v="0"/>
    <n v="69"/>
    <n v="43"/>
    <n v="6.3"/>
    <x v="1"/>
    <x v="1"/>
    <x v="1"/>
    <x v="0"/>
    <x v="0"/>
    <x v="0"/>
    <x v="0"/>
    <x v="0"/>
    <x v="1"/>
    <n v="0"/>
    <s v="Acceptable"/>
    <s v="2 Days"/>
    <x v="4"/>
    <s v="Sunday"/>
    <n v="4"/>
  </r>
  <r>
    <x v="2194"/>
    <d v="2024-12-22T00:00:00"/>
    <x v="1"/>
    <x v="2"/>
    <n v="212"/>
    <n v="62"/>
    <n v="1.3"/>
    <x v="1"/>
    <x v="2"/>
    <x v="0"/>
    <x v="2"/>
    <x v="2"/>
    <x v="1"/>
    <x v="1"/>
    <x v="1"/>
    <x v="0"/>
    <n v="0"/>
    <s v="Slow"/>
    <s v="3 Days"/>
    <x v="11"/>
    <s v="Sunday"/>
    <n v="1"/>
  </r>
  <r>
    <x v="2195"/>
    <d v="2024-03-05T00:00:00"/>
    <x v="0"/>
    <x v="1"/>
    <n v="26"/>
    <n v="49"/>
    <n v="7.5"/>
    <x v="1"/>
    <x v="2"/>
    <x v="2"/>
    <x v="1"/>
    <x v="1"/>
    <x v="1"/>
    <x v="0"/>
    <x v="0"/>
    <x v="2"/>
    <n v="0"/>
    <s v="Very Fast"/>
    <s v="3 Days"/>
    <x v="2"/>
    <s v="Tuesday"/>
    <n v="3"/>
  </r>
  <r>
    <x v="2196"/>
    <d v="2024-12-27T00:00:00"/>
    <x v="2"/>
    <x v="0"/>
    <n v="74"/>
    <n v="36"/>
    <n v="6.5"/>
    <x v="0"/>
    <x v="2"/>
    <x v="0"/>
    <x v="0"/>
    <x v="0"/>
    <x v="0"/>
    <x v="0"/>
    <x v="0"/>
    <x v="0"/>
    <n v="1"/>
    <s v="Acceptable"/>
    <s v="2 Days"/>
    <x v="11"/>
    <s v="Friday"/>
    <n v="4"/>
  </r>
  <r>
    <x v="2197"/>
    <d v="2024-01-10T00:00:00"/>
    <x v="2"/>
    <x v="1"/>
    <n v="233"/>
    <n v="38"/>
    <n v="6.8"/>
    <x v="0"/>
    <x v="2"/>
    <x v="0"/>
    <x v="1"/>
    <x v="1"/>
    <x v="0"/>
    <x v="1"/>
    <x v="0"/>
    <x v="0"/>
    <n v="1"/>
    <s v="Slow"/>
    <s v="2 Days"/>
    <x v="8"/>
    <s v="Wednesday"/>
    <n v="3"/>
  </r>
  <r>
    <x v="2198"/>
    <d v="2024-08-23T00:00:00"/>
    <x v="2"/>
    <x v="3"/>
    <n v="118"/>
    <n v="2"/>
    <n v="5.9"/>
    <x v="0"/>
    <x v="1"/>
    <x v="1"/>
    <x v="3"/>
    <x v="3"/>
    <x v="0"/>
    <x v="1"/>
    <x v="0"/>
    <x v="1"/>
    <n v="1"/>
    <s v="Acceptable"/>
    <s v="Same Day"/>
    <x v="0"/>
    <s v="Friday"/>
    <n v="2"/>
  </r>
  <r>
    <x v="2199"/>
    <d v="2024-01-05T00:00:00"/>
    <x v="0"/>
    <x v="1"/>
    <n v="229"/>
    <n v="60"/>
    <n v="1.2"/>
    <x v="1"/>
    <x v="2"/>
    <x v="0"/>
    <x v="1"/>
    <x v="1"/>
    <x v="1"/>
    <x v="1"/>
    <x v="1"/>
    <x v="0"/>
    <n v="0"/>
    <s v="Slow"/>
    <s v="3 Days"/>
    <x v="8"/>
    <s v="Friday"/>
    <n v="3"/>
  </r>
  <r>
    <x v="2200"/>
    <d v="2024-04-05T00:00:00"/>
    <x v="0"/>
    <x v="1"/>
    <n v="153"/>
    <n v="35"/>
    <n v="2.7"/>
    <x v="0"/>
    <x v="1"/>
    <x v="0"/>
    <x v="1"/>
    <x v="1"/>
    <x v="0"/>
    <x v="1"/>
    <x v="3"/>
    <x v="0"/>
    <n v="1"/>
    <s v="Slow"/>
    <s v="2 Days"/>
    <x v="3"/>
    <s v="Friday"/>
    <n v="3"/>
  </r>
  <r>
    <x v="2201"/>
    <d v="2024-02-12T00:00:00"/>
    <x v="0"/>
    <x v="0"/>
    <n v="21"/>
    <n v="55"/>
    <n v="3.3"/>
    <x v="0"/>
    <x v="1"/>
    <x v="1"/>
    <x v="0"/>
    <x v="0"/>
    <x v="0"/>
    <x v="0"/>
    <x v="3"/>
    <x v="1"/>
    <n v="1"/>
    <s v="Very Fast"/>
    <s v="3 Days"/>
    <x v="9"/>
    <s v="Monday"/>
    <n v="4"/>
  </r>
  <r>
    <x v="2202"/>
    <d v="2024-05-17T00:00:00"/>
    <x v="4"/>
    <x v="0"/>
    <n v="91"/>
    <n v="33"/>
    <n v="7.2"/>
    <x v="1"/>
    <x v="2"/>
    <x v="1"/>
    <x v="0"/>
    <x v="0"/>
    <x v="0"/>
    <x v="0"/>
    <x v="0"/>
    <x v="1"/>
    <n v="0"/>
    <s v="Acceptable"/>
    <s v="2 Days"/>
    <x v="1"/>
    <s v="Friday"/>
    <n v="4"/>
  </r>
  <r>
    <x v="2203"/>
    <d v="2024-09-23T00:00:00"/>
    <x v="2"/>
    <x v="2"/>
    <n v="135"/>
    <n v="69"/>
    <n v="1.8"/>
    <x v="0"/>
    <x v="2"/>
    <x v="0"/>
    <x v="2"/>
    <x v="2"/>
    <x v="1"/>
    <x v="1"/>
    <x v="1"/>
    <x v="0"/>
    <n v="1"/>
    <s v="Slow"/>
    <s v="3 Days"/>
    <x v="5"/>
    <s v="Monday"/>
    <n v="1"/>
  </r>
  <r>
    <x v="2204"/>
    <d v="2024-09-15T00:00:00"/>
    <x v="4"/>
    <x v="1"/>
    <n v="151"/>
    <n v="71"/>
    <n v="3.6"/>
    <x v="1"/>
    <x v="1"/>
    <x v="0"/>
    <x v="1"/>
    <x v="1"/>
    <x v="1"/>
    <x v="1"/>
    <x v="3"/>
    <x v="0"/>
    <n v="0"/>
    <s v="Slow"/>
    <s v="3 Days"/>
    <x v="5"/>
    <s v="Sunday"/>
    <n v="3"/>
  </r>
  <r>
    <x v="2205"/>
    <d v="2024-04-15T00:00:00"/>
    <x v="2"/>
    <x v="1"/>
    <n v="79"/>
    <n v="70"/>
    <n v="7.7"/>
    <x v="1"/>
    <x v="2"/>
    <x v="1"/>
    <x v="1"/>
    <x v="1"/>
    <x v="1"/>
    <x v="0"/>
    <x v="0"/>
    <x v="1"/>
    <n v="0"/>
    <s v="Acceptable"/>
    <s v="3 Days"/>
    <x v="3"/>
    <s v="Monday"/>
    <n v="3"/>
  </r>
  <r>
    <x v="2206"/>
    <d v="2024-08-10T00:00:00"/>
    <x v="3"/>
    <x v="1"/>
    <n v="179"/>
    <n v="67"/>
    <n v="1.9"/>
    <x v="1"/>
    <x v="0"/>
    <x v="0"/>
    <x v="1"/>
    <x v="1"/>
    <x v="1"/>
    <x v="1"/>
    <x v="1"/>
    <x v="0"/>
    <n v="0"/>
    <s v="Slow"/>
    <s v="3 Days"/>
    <x v="0"/>
    <s v="Saturday"/>
    <n v="3"/>
  </r>
  <r>
    <x v="2207"/>
    <d v="2024-01-30T00:00:00"/>
    <x v="3"/>
    <x v="2"/>
    <n v="145"/>
    <n v="49"/>
    <n v="4.5999999999999996"/>
    <x v="0"/>
    <x v="0"/>
    <x v="0"/>
    <x v="2"/>
    <x v="2"/>
    <x v="1"/>
    <x v="1"/>
    <x v="3"/>
    <x v="0"/>
    <n v="1"/>
    <s v="Slow"/>
    <s v="3 Days"/>
    <x v="8"/>
    <s v="Tuesday"/>
    <n v="1"/>
  </r>
  <r>
    <x v="2208"/>
    <d v="2024-02-28T00:00:00"/>
    <x v="0"/>
    <x v="3"/>
    <n v="182"/>
    <n v="48"/>
    <n v="2.8"/>
    <x v="0"/>
    <x v="0"/>
    <x v="0"/>
    <x v="3"/>
    <x v="3"/>
    <x v="1"/>
    <x v="1"/>
    <x v="3"/>
    <x v="0"/>
    <n v="1"/>
    <s v="Slow"/>
    <s v="2 Days"/>
    <x v="9"/>
    <s v="Wednesday"/>
    <n v="2"/>
  </r>
  <r>
    <x v="2209"/>
    <d v="2024-02-06T00:00:00"/>
    <x v="4"/>
    <x v="1"/>
    <n v="24"/>
    <n v="52"/>
    <n v="4.3"/>
    <x v="0"/>
    <x v="0"/>
    <x v="1"/>
    <x v="1"/>
    <x v="1"/>
    <x v="1"/>
    <x v="0"/>
    <x v="3"/>
    <x v="1"/>
    <n v="1"/>
    <s v="Very Fast"/>
    <s v="3 Days"/>
    <x v="9"/>
    <s v="Tuesday"/>
    <n v="3"/>
  </r>
  <r>
    <x v="2210"/>
    <d v="2024-01-23T00:00:00"/>
    <x v="4"/>
    <x v="0"/>
    <n v="160"/>
    <n v="19"/>
    <n v="7.1"/>
    <x v="1"/>
    <x v="2"/>
    <x v="1"/>
    <x v="0"/>
    <x v="0"/>
    <x v="0"/>
    <x v="0"/>
    <x v="0"/>
    <x v="1"/>
    <n v="0"/>
    <s v="Slow"/>
    <s v="1 Day"/>
    <x v="8"/>
    <s v="Tuesday"/>
    <n v="4"/>
  </r>
  <r>
    <x v="2211"/>
    <d v="2024-03-19T00:00:00"/>
    <x v="3"/>
    <x v="0"/>
    <n v="156"/>
    <n v="9"/>
    <n v="5.7"/>
    <x v="1"/>
    <x v="1"/>
    <x v="1"/>
    <x v="0"/>
    <x v="0"/>
    <x v="0"/>
    <x v="0"/>
    <x v="0"/>
    <x v="1"/>
    <n v="0"/>
    <s v="Slow"/>
    <s v="1 Day"/>
    <x v="2"/>
    <s v="Tuesday"/>
    <n v="4"/>
  </r>
  <r>
    <x v="2212"/>
    <d v="2024-10-06T00:00:00"/>
    <x v="3"/>
    <x v="2"/>
    <n v="181"/>
    <n v="63"/>
    <n v="2.4"/>
    <x v="0"/>
    <x v="1"/>
    <x v="0"/>
    <x v="2"/>
    <x v="2"/>
    <x v="1"/>
    <x v="1"/>
    <x v="3"/>
    <x v="0"/>
    <n v="1"/>
    <s v="Slow"/>
    <s v="3 Days"/>
    <x v="7"/>
    <s v="Sunday"/>
    <n v="1"/>
  </r>
  <r>
    <x v="2213"/>
    <d v="2024-04-28T00:00:00"/>
    <x v="1"/>
    <x v="2"/>
    <n v="57"/>
    <n v="72"/>
    <n v="5.6"/>
    <x v="1"/>
    <x v="2"/>
    <x v="0"/>
    <x v="2"/>
    <x v="2"/>
    <x v="1"/>
    <x v="1"/>
    <x v="0"/>
    <x v="0"/>
    <n v="0"/>
    <s v="Acceptable"/>
    <s v="3 Days"/>
    <x v="3"/>
    <s v="Sunday"/>
    <n v="1"/>
  </r>
  <r>
    <x v="2214"/>
    <d v="2024-03-19T00:00:00"/>
    <x v="4"/>
    <x v="0"/>
    <n v="238"/>
    <n v="42"/>
    <n v="2"/>
    <x v="1"/>
    <x v="1"/>
    <x v="0"/>
    <x v="0"/>
    <x v="0"/>
    <x v="0"/>
    <x v="0"/>
    <x v="1"/>
    <x v="0"/>
    <n v="0"/>
    <s v="Slow"/>
    <s v="2 Days"/>
    <x v="2"/>
    <s v="Tuesday"/>
    <n v="4"/>
  </r>
  <r>
    <x v="2215"/>
    <d v="2024-10-19T00:00:00"/>
    <x v="1"/>
    <x v="3"/>
    <n v="55"/>
    <n v="51"/>
    <n v="7.9"/>
    <x v="1"/>
    <x v="1"/>
    <x v="0"/>
    <x v="3"/>
    <x v="3"/>
    <x v="1"/>
    <x v="0"/>
    <x v="0"/>
    <x v="0"/>
    <n v="0"/>
    <s v="Acceptable"/>
    <s v="3 Days"/>
    <x v="7"/>
    <s v="Saturday"/>
    <n v="2"/>
  </r>
  <r>
    <x v="2216"/>
    <d v="2024-06-01T00:00:00"/>
    <x v="2"/>
    <x v="3"/>
    <n v="57"/>
    <n v="43"/>
    <n v="1.9"/>
    <x v="1"/>
    <x v="1"/>
    <x v="0"/>
    <x v="3"/>
    <x v="3"/>
    <x v="1"/>
    <x v="0"/>
    <x v="1"/>
    <x v="0"/>
    <n v="0"/>
    <s v="Acceptable"/>
    <s v="2 Days"/>
    <x v="4"/>
    <s v="Saturday"/>
    <n v="2"/>
  </r>
  <r>
    <x v="2217"/>
    <d v="2024-02-23T00:00:00"/>
    <x v="2"/>
    <x v="0"/>
    <n v="163"/>
    <n v="57"/>
    <n v="1"/>
    <x v="1"/>
    <x v="2"/>
    <x v="0"/>
    <x v="0"/>
    <x v="0"/>
    <x v="0"/>
    <x v="0"/>
    <x v="1"/>
    <x v="0"/>
    <n v="0"/>
    <s v="Slow"/>
    <s v="3 Days"/>
    <x v="9"/>
    <s v="Friday"/>
    <n v="4"/>
  </r>
  <r>
    <x v="2218"/>
    <d v="2024-03-12T00:00:00"/>
    <x v="3"/>
    <x v="3"/>
    <n v="221"/>
    <n v="33"/>
    <n v="3"/>
    <x v="0"/>
    <x v="1"/>
    <x v="0"/>
    <x v="3"/>
    <x v="3"/>
    <x v="1"/>
    <x v="1"/>
    <x v="3"/>
    <x v="0"/>
    <n v="1"/>
    <s v="Slow"/>
    <s v="2 Days"/>
    <x v="2"/>
    <s v="Tuesday"/>
    <n v="2"/>
  </r>
  <r>
    <x v="2219"/>
    <d v="2024-01-03T00:00:00"/>
    <x v="3"/>
    <x v="3"/>
    <n v="53"/>
    <n v="63"/>
    <n v="0.6"/>
    <x v="0"/>
    <x v="0"/>
    <x v="0"/>
    <x v="3"/>
    <x v="3"/>
    <x v="1"/>
    <x v="0"/>
    <x v="1"/>
    <x v="0"/>
    <n v="1"/>
    <s v="Acceptable"/>
    <s v="3 Days"/>
    <x v="8"/>
    <s v="Wednesday"/>
    <n v="2"/>
  </r>
  <r>
    <x v="2220"/>
    <d v="2024-04-29T00:00:00"/>
    <x v="2"/>
    <x v="2"/>
    <n v="53"/>
    <n v="4"/>
    <n v="0.8"/>
    <x v="1"/>
    <x v="1"/>
    <x v="1"/>
    <x v="2"/>
    <x v="2"/>
    <x v="0"/>
    <x v="1"/>
    <x v="1"/>
    <x v="1"/>
    <n v="0"/>
    <s v="Acceptable"/>
    <s v="Same Day"/>
    <x v="3"/>
    <s v="Monday"/>
    <n v="1"/>
  </r>
  <r>
    <x v="2221"/>
    <d v="2024-12-09T00:00:00"/>
    <x v="4"/>
    <x v="3"/>
    <n v="39"/>
    <n v="22"/>
    <n v="7.3"/>
    <x v="1"/>
    <x v="0"/>
    <x v="0"/>
    <x v="3"/>
    <x v="3"/>
    <x v="0"/>
    <x v="0"/>
    <x v="0"/>
    <x v="0"/>
    <n v="0"/>
    <s v="Acceptable"/>
    <s v="1 Day"/>
    <x v="11"/>
    <s v="Monday"/>
    <n v="2"/>
  </r>
  <r>
    <x v="2222"/>
    <d v="2024-05-10T00:00:00"/>
    <x v="2"/>
    <x v="2"/>
    <n v="75"/>
    <n v="4"/>
    <n v="7.1"/>
    <x v="0"/>
    <x v="1"/>
    <x v="1"/>
    <x v="2"/>
    <x v="2"/>
    <x v="0"/>
    <x v="1"/>
    <x v="0"/>
    <x v="1"/>
    <n v="1"/>
    <s v="Acceptable"/>
    <s v="Same Day"/>
    <x v="1"/>
    <s v="Friday"/>
    <n v="1"/>
  </r>
  <r>
    <x v="2223"/>
    <d v="2024-03-27T00:00:00"/>
    <x v="0"/>
    <x v="1"/>
    <n v="219"/>
    <n v="24"/>
    <n v="2.8"/>
    <x v="1"/>
    <x v="1"/>
    <x v="0"/>
    <x v="1"/>
    <x v="1"/>
    <x v="0"/>
    <x v="1"/>
    <x v="3"/>
    <x v="0"/>
    <n v="0"/>
    <s v="Slow"/>
    <s v="1 Day"/>
    <x v="2"/>
    <s v="Wednesday"/>
    <n v="3"/>
  </r>
  <r>
    <x v="2224"/>
    <d v="2024-08-17T00:00:00"/>
    <x v="3"/>
    <x v="3"/>
    <n v="136"/>
    <n v="64"/>
    <n v="5.0999999999999996"/>
    <x v="0"/>
    <x v="2"/>
    <x v="0"/>
    <x v="3"/>
    <x v="3"/>
    <x v="1"/>
    <x v="1"/>
    <x v="0"/>
    <x v="0"/>
    <n v="1"/>
    <s v="Slow"/>
    <s v="3 Days"/>
    <x v="0"/>
    <s v="Saturday"/>
    <n v="2"/>
  </r>
  <r>
    <x v="2225"/>
    <d v="2024-10-13T00:00:00"/>
    <x v="2"/>
    <x v="1"/>
    <n v="50"/>
    <n v="57"/>
    <n v="7.2"/>
    <x v="1"/>
    <x v="2"/>
    <x v="1"/>
    <x v="1"/>
    <x v="1"/>
    <x v="1"/>
    <x v="0"/>
    <x v="0"/>
    <x v="1"/>
    <n v="0"/>
    <s v="Acceptable"/>
    <s v="3 Days"/>
    <x v="7"/>
    <s v="Sunday"/>
    <n v="3"/>
  </r>
  <r>
    <x v="2226"/>
    <d v="2024-12-04T00:00:00"/>
    <x v="3"/>
    <x v="0"/>
    <n v="108"/>
    <n v="37"/>
    <n v="3.4"/>
    <x v="1"/>
    <x v="1"/>
    <x v="0"/>
    <x v="0"/>
    <x v="0"/>
    <x v="0"/>
    <x v="0"/>
    <x v="3"/>
    <x v="0"/>
    <n v="0"/>
    <s v="Acceptable"/>
    <s v="2 Days"/>
    <x v="11"/>
    <s v="Wednesday"/>
    <n v="4"/>
  </r>
  <r>
    <x v="2227"/>
    <d v="2024-01-21T00:00:00"/>
    <x v="1"/>
    <x v="3"/>
    <n v="117"/>
    <n v="59"/>
    <n v="8.9"/>
    <x v="1"/>
    <x v="2"/>
    <x v="0"/>
    <x v="3"/>
    <x v="3"/>
    <x v="1"/>
    <x v="1"/>
    <x v="2"/>
    <x v="0"/>
    <n v="0"/>
    <s v="Acceptable"/>
    <s v="3 Days"/>
    <x v="8"/>
    <s v="Sunday"/>
    <n v="2"/>
  </r>
  <r>
    <x v="2228"/>
    <d v="2024-06-28T00:00:00"/>
    <x v="1"/>
    <x v="1"/>
    <n v="204"/>
    <n v="40"/>
    <n v="4.8"/>
    <x v="0"/>
    <x v="1"/>
    <x v="0"/>
    <x v="1"/>
    <x v="1"/>
    <x v="0"/>
    <x v="1"/>
    <x v="3"/>
    <x v="0"/>
    <n v="1"/>
    <s v="Slow"/>
    <s v="2 Days"/>
    <x v="4"/>
    <s v="Friday"/>
    <n v="3"/>
  </r>
  <r>
    <x v="2229"/>
    <d v="2024-03-25T00:00:00"/>
    <x v="3"/>
    <x v="3"/>
    <n v="101"/>
    <n v="21"/>
    <n v="3.9"/>
    <x v="0"/>
    <x v="0"/>
    <x v="0"/>
    <x v="3"/>
    <x v="3"/>
    <x v="0"/>
    <x v="1"/>
    <x v="3"/>
    <x v="0"/>
    <n v="1"/>
    <s v="Acceptable"/>
    <s v="1 Day"/>
    <x v="2"/>
    <s v="Monday"/>
    <n v="2"/>
  </r>
  <r>
    <x v="2230"/>
    <d v="2024-08-02T00:00:00"/>
    <x v="0"/>
    <x v="3"/>
    <n v="184"/>
    <n v="16"/>
    <n v="6.2"/>
    <x v="1"/>
    <x v="1"/>
    <x v="0"/>
    <x v="3"/>
    <x v="3"/>
    <x v="0"/>
    <x v="1"/>
    <x v="0"/>
    <x v="0"/>
    <n v="0"/>
    <s v="Slow"/>
    <s v="1 Day"/>
    <x v="0"/>
    <s v="Friday"/>
    <n v="2"/>
  </r>
  <r>
    <x v="2231"/>
    <d v="2024-01-31T00:00:00"/>
    <x v="4"/>
    <x v="3"/>
    <n v="83"/>
    <n v="31"/>
    <n v="2.4"/>
    <x v="0"/>
    <x v="1"/>
    <x v="0"/>
    <x v="3"/>
    <x v="3"/>
    <x v="1"/>
    <x v="1"/>
    <x v="3"/>
    <x v="0"/>
    <n v="1"/>
    <s v="Acceptable"/>
    <s v="2 Days"/>
    <x v="8"/>
    <s v="Wednesday"/>
    <n v="2"/>
  </r>
  <r>
    <x v="2232"/>
    <d v="2024-02-20T00:00:00"/>
    <x v="2"/>
    <x v="0"/>
    <n v="151"/>
    <n v="46"/>
    <n v="2.2999999999999998"/>
    <x v="0"/>
    <x v="1"/>
    <x v="0"/>
    <x v="0"/>
    <x v="0"/>
    <x v="0"/>
    <x v="0"/>
    <x v="3"/>
    <x v="0"/>
    <n v="1"/>
    <s v="Slow"/>
    <s v="2 Days"/>
    <x v="9"/>
    <s v="Tuesday"/>
    <n v="4"/>
  </r>
  <r>
    <x v="2233"/>
    <d v="2024-04-09T00:00:00"/>
    <x v="1"/>
    <x v="2"/>
    <n v="191"/>
    <n v="17"/>
    <n v="0.7"/>
    <x v="1"/>
    <x v="0"/>
    <x v="0"/>
    <x v="2"/>
    <x v="2"/>
    <x v="1"/>
    <x v="1"/>
    <x v="1"/>
    <x v="0"/>
    <n v="0"/>
    <s v="Slow"/>
    <s v="1 Day"/>
    <x v="3"/>
    <s v="Tuesday"/>
    <n v="1"/>
  </r>
  <r>
    <x v="2234"/>
    <d v="2024-04-28T00:00:00"/>
    <x v="1"/>
    <x v="3"/>
    <n v="201"/>
    <n v="68"/>
    <n v="1.6"/>
    <x v="0"/>
    <x v="0"/>
    <x v="0"/>
    <x v="3"/>
    <x v="3"/>
    <x v="1"/>
    <x v="1"/>
    <x v="1"/>
    <x v="0"/>
    <n v="1"/>
    <s v="Slow"/>
    <s v="3 Days"/>
    <x v="3"/>
    <s v="Sunday"/>
    <n v="2"/>
  </r>
  <r>
    <x v="2235"/>
    <d v="2024-04-25T00:00:00"/>
    <x v="4"/>
    <x v="2"/>
    <n v="115"/>
    <n v="48"/>
    <n v="4.4000000000000004"/>
    <x v="0"/>
    <x v="2"/>
    <x v="0"/>
    <x v="2"/>
    <x v="2"/>
    <x v="1"/>
    <x v="1"/>
    <x v="3"/>
    <x v="0"/>
    <n v="1"/>
    <s v="Acceptable"/>
    <s v="2 Days"/>
    <x v="3"/>
    <s v="Thursday"/>
    <n v="1"/>
  </r>
  <r>
    <x v="2236"/>
    <d v="2024-09-16T00:00:00"/>
    <x v="1"/>
    <x v="1"/>
    <n v="127"/>
    <n v="24"/>
    <n v="9.6"/>
    <x v="0"/>
    <x v="0"/>
    <x v="0"/>
    <x v="1"/>
    <x v="1"/>
    <x v="0"/>
    <x v="1"/>
    <x v="2"/>
    <x v="0"/>
    <n v="1"/>
    <s v="Slow"/>
    <s v="1 Day"/>
    <x v="5"/>
    <s v="Monday"/>
    <n v="3"/>
  </r>
  <r>
    <x v="2237"/>
    <d v="2024-09-29T00:00:00"/>
    <x v="3"/>
    <x v="0"/>
    <n v="226"/>
    <n v="12"/>
    <n v="5"/>
    <x v="1"/>
    <x v="1"/>
    <x v="1"/>
    <x v="0"/>
    <x v="0"/>
    <x v="0"/>
    <x v="0"/>
    <x v="3"/>
    <x v="1"/>
    <n v="0"/>
    <s v="Slow"/>
    <s v="1 Day"/>
    <x v="5"/>
    <s v="Sunday"/>
    <n v="4"/>
  </r>
  <r>
    <x v="2238"/>
    <d v="2024-12-18T00:00:00"/>
    <x v="2"/>
    <x v="0"/>
    <n v="143"/>
    <n v="63"/>
    <n v="7.4"/>
    <x v="0"/>
    <x v="1"/>
    <x v="0"/>
    <x v="0"/>
    <x v="0"/>
    <x v="0"/>
    <x v="0"/>
    <x v="0"/>
    <x v="0"/>
    <n v="1"/>
    <s v="Slow"/>
    <s v="3 Days"/>
    <x v="11"/>
    <s v="Wednesday"/>
    <n v="4"/>
  </r>
  <r>
    <x v="2239"/>
    <d v="2024-02-07T00:00:00"/>
    <x v="3"/>
    <x v="0"/>
    <n v="54"/>
    <n v="34"/>
    <n v="3.2"/>
    <x v="0"/>
    <x v="0"/>
    <x v="0"/>
    <x v="0"/>
    <x v="0"/>
    <x v="0"/>
    <x v="0"/>
    <x v="3"/>
    <x v="0"/>
    <n v="1"/>
    <s v="Acceptable"/>
    <s v="2 Days"/>
    <x v="9"/>
    <s v="Wednesday"/>
    <n v="4"/>
  </r>
  <r>
    <x v="2240"/>
    <d v="2024-04-10T00:00:00"/>
    <x v="1"/>
    <x v="2"/>
    <n v="193"/>
    <n v="18"/>
    <n v="4.7"/>
    <x v="1"/>
    <x v="0"/>
    <x v="0"/>
    <x v="2"/>
    <x v="2"/>
    <x v="1"/>
    <x v="1"/>
    <x v="3"/>
    <x v="0"/>
    <n v="0"/>
    <s v="Slow"/>
    <s v="1 Day"/>
    <x v="3"/>
    <s v="Wednesday"/>
    <n v="1"/>
  </r>
  <r>
    <x v="2241"/>
    <d v="2024-08-18T00:00:00"/>
    <x v="0"/>
    <x v="1"/>
    <n v="18"/>
    <n v="60"/>
    <n v="5.8"/>
    <x v="1"/>
    <x v="0"/>
    <x v="2"/>
    <x v="1"/>
    <x v="1"/>
    <x v="1"/>
    <x v="0"/>
    <x v="0"/>
    <x v="2"/>
    <n v="0"/>
    <s v="Very Fast"/>
    <s v="3 Days"/>
    <x v="0"/>
    <s v="Sunday"/>
    <n v="3"/>
  </r>
  <r>
    <x v="2242"/>
    <d v="2024-04-08T00:00:00"/>
    <x v="3"/>
    <x v="3"/>
    <n v="192"/>
    <n v="30"/>
    <n v="9.1999999999999993"/>
    <x v="0"/>
    <x v="0"/>
    <x v="0"/>
    <x v="3"/>
    <x v="3"/>
    <x v="1"/>
    <x v="1"/>
    <x v="2"/>
    <x v="0"/>
    <n v="1"/>
    <s v="Slow"/>
    <s v="2 Days"/>
    <x v="3"/>
    <s v="Monday"/>
    <n v="2"/>
  </r>
  <r>
    <x v="2243"/>
    <d v="2024-10-23T00:00:00"/>
    <x v="1"/>
    <x v="2"/>
    <n v="211"/>
    <n v="36"/>
    <n v="5.8"/>
    <x v="1"/>
    <x v="2"/>
    <x v="0"/>
    <x v="2"/>
    <x v="2"/>
    <x v="1"/>
    <x v="1"/>
    <x v="0"/>
    <x v="0"/>
    <n v="0"/>
    <s v="Slow"/>
    <s v="2 Days"/>
    <x v="7"/>
    <s v="Wednesday"/>
    <n v="1"/>
  </r>
  <r>
    <x v="2244"/>
    <d v="2024-03-05T00:00:00"/>
    <x v="4"/>
    <x v="3"/>
    <n v="73"/>
    <n v="49"/>
    <n v="4"/>
    <x v="0"/>
    <x v="0"/>
    <x v="0"/>
    <x v="3"/>
    <x v="3"/>
    <x v="1"/>
    <x v="1"/>
    <x v="3"/>
    <x v="0"/>
    <n v="1"/>
    <s v="Acceptable"/>
    <s v="3 Days"/>
    <x v="2"/>
    <s v="Tuesday"/>
    <n v="2"/>
  </r>
  <r>
    <x v="2245"/>
    <d v="2024-12-05T00:00:00"/>
    <x v="4"/>
    <x v="0"/>
    <n v="170"/>
    <n v="62"/>
    <n v="2.6"/>
    <x v="0"/>
    <x v="2"/>
    <x v="0"/>
    <x v="0"/>
    <x v="0"/>
    <x v="0"/>
    <x v="0"/>
    <x v="3"/>
    <x v="0"/>
    <n v="1"/>
    <s v="Slow"/>
    <s v="3 Days"/>
    <x v="11"/>
    <s v="Thursday"/>
    <n v="4"/>
  </r>
  <r>
    <x v="2246"/>
    <d v="2024-09-10T00:00:00"/>
    <x v="1"/>
    <x v="0"/>
    <n v="11"/>
    <n v="4"/>
    <n v="3.8"/>
    <x v="1"/>
    <x v="0"/>
    <x v="2"/>
    <x v="0"/>
    <x v="0"/>
    <x v="0"/>
    <x v="0"/>
    <x v="3"/>
    <x v="2"/>
    <n v="0"/>
    <s v="Very Fast"/>
    <s v="Same Day"/>
    <x v="5"/>
    <s v="Tuesday"/>
    <n v="4"/>
  </r>
  <r>
    <x v="2247"/>
    <d v="2024-01-05T00:00:00"/>
    <x v="1"/>
    <x v="3"/>
    <n v="14"/>
    <n v="54"/>
    <n v="4.5"/>
    <x v="1"/>
    <x v="2"/>
    <x v="1"/>
    <x v="3"/>
    <x v="3"/>
    <x v="1"/>
    <x v="0"/>
    <x v="3"/>
    <x v="1"/>
    <n v="0"/>
    <s v="Very Fast"/>
    <s v="3 Days"/>
    <x v="8"/>
    <s v="Friday"/>
    <n v="2"/>
  </r>
  <r>
    <x v="2248"/>
    <d v="2024-08-04T00:00:00"/>
    <x v="3"/>
    <x v="3"/>
    <n v="41"/>
    <n v="51"/>
    <n v="3.4"/>
    <x v="1"/>
    <x v="2"/>
    <x v="0"/>
    <x v="3"/>
    <x v="3"/>
    <x v="1"/>
    <x v="0"/>
    <x v="3"/>
    <x v="0"/>
    <n v="0"/>
    <s v="Acceptable"/>
    <s v="3 Days"/>
    <x v="0"/>
    <s v="Sunday"/>
    <n v="2"/>
  </r>
  <r>
    <x v="2249"/>
    <d v="2024-06-01T00:00:00"/>
    <x v="0"/>
    <x v="2"/>
    <n v="151"/>
    <n v="64"/>
    <n v="3.3"/>
    <x v="1"/>
    <x v="0"/>
    <x v="0"/>
    <x v="2"/>
    <x v="2"/>
    <x v="1"/>
    <x v="1"/>
    <x v="3"/>
    <x v="0"/>
    <n v="0"/>
    <s v="Slow"/>
    <s v="3 Days"/>
    <x v="4"/>
    <s v="Saturday"/>
    <n v="1"/>
  </r>
  <r>
    <x v="2250"/>
    <d v="2024-08-07T00:00:00"/>
    <x v="3"/>
    <x v="3"/>
    <n v="194"/>
    <n v="3"/>
    <n v="2.6"/>
    <x v="1"/>
    <x v="1"/>
    <x v="1"/>
    <x v="3"/>
    <x v="3"/>
    <x v="0"/>
    <x v="1"/>
    <x v="3"/>
    <x v="1"/>
    <n v="0"/>
    <s v="Slow"/>
    <s v="Same Day"/>
    <x v="0"/>
    <s v="Wednesday"/>
    <n v="2"/>
  </r>
  <r>
    <x v="2251"/>
    <d v="2024-06-10T00:00:00"/>
    <x v="0"/>
    <x v="0"/>
    <n v="36"/>
    <n v="23"/>
    <n v="6.8"/>
    <x v="0"/>
    <x v="0"/>
    <x v="0"/>
    <x v="0"/>
    <x v="0"/>
    <x v="0"/>
    <x v="0"/>
    <x v="0"/>
    <x v="0"/>
    <n v="1"/>
    <s v="Acceptable"/>
    <s v="1 Day"/>
    <x v="4"/>
    <s v="Monday"/>
    <n v="4"/>
  </r>
  <r>
    <x v="2252"/>
    <d v="2024-02-03T00:00:00"/>
    <x v="1"/>
    <x v="3"/>
    <n v="221"/>
    <n v="64"/>
    <n v="3.7"/>
    <x v="1"/>
    <x v="1"/>
    <x v="0"/>
    <x v="3"/>
    <x v="3"/>
    <x v="1"/>
    <x v="1"/>
    <x v="3"/>
    <x v="0"/>
    <n v="0"/>
    <s v="Slow"/>
    <s v="3 Days"/>
    <x v="9"/>
    <s v="Saturday"/>
    <n v="2"/>
  </r>
  <r>
    <x v="2253"/>
    <d v="2024-10-29T00:00:00"/>
    <x v="1"/>
    <x v="2"/>
    <n v="180"/>
    <n v="51"/>
    <n v="0.8"/>
    <x v="0"/>
    <x v="1"/>
    <x v="0"/>
    <x v="2"/>
    <x v="2"/>
    <x v="1"/>
    <x v="1"/>
    <x v="1"/>
    <x v="0"/>
    <n v="1"/>
    <s v="Slow"/>
    <s v="3 Days"/>
    <x v="7"/>
    <s v="Tuesday"/>
    <n v="1"/>
  </r>
  <r>
    <x v="2254"/>
    <d v="2024-02-04T00:00:00"/>
    <x v="4"/>
    <x v="0"/>
    <n v="90"/>
    <n v="22"/>
    <n v="7.4"/>
    <x v="0"/>
    <x v="0"/>
    <x v="0"/>
    <x v="0"/>
    <x v="0"/>
    <x v="0"/>
    <x v="0"/>
    <x v="0"/>
    <x v="0"/>
    <n v="1"/>
    <s v="Acceptable"/>
    <s v="1 Day"/>
    <x v="9"/>
    <s v="Sunday"/>
    <n v="4"/>
  </r>
  <r>
    <x v="2255"/>
    <d v="2024-09-21T00:00:00"/>
    <x v="2"/>
    <x v="2"/>
    <n v="31"/>
    <n v="7"/>
    <n v="2.5"/>
    <x v="0"/>
    <x v="2"/>
    <x v="0"/>
    <x v="2"/>
    <x v="2"/>
    <x v="0"/>
    <x v="1"/>
    <x v="3"/>
    <x v="0"/>
    <n v="1"/>
    <s v="Acceptable"/>
    <s v="Same Day"/>
    <x v="5"/>
    <s v="Saturday"/>
    <n v="1"/>
  </r>
  <r>
    <x v="2256"/>
    <d v="2024-11-12T00:00:00"/>
    <x v="1"/>
    <x v="2"/>
    <n v="112"/>
    <n v="51"/>
    <n v="4.0999999999999996"/>
    <x v="1"/>
    <x v="2"/>
    <x v="0"/>
    <x v="2"/>
    <x v="2"/>
    <x v="1"/>
    <x v="1"/>
    <x v="3"/>
    <x v="0"/>
    <n v="0"/>
    <s v="Acceptable"/>
    <s v="3 Days"/>
    <x v="6"/>
    <s v="Tuesday"/>
    <n v="1"/>
  </r>
  <r>
    <x v="2257"/>
    <d v="2024-01-27T00:00:00"/>
    <x v="4"/>
    <x v="3"/>
    <n v="187"/>
    <n v="23"/>
    <n v="3.1"/>
    <x v="1"/>
    <x v="0"/>
    <x v="0"/>
    <x v="3"/>
    <x v="3"/>
    <x v="0"/>
    <x v="1"/>
    <x v="3"/>
    <x v="0"/>
    <n v="0"/>
    <s v="Slow"/>
    <s v="1 Day"/>
    <x v="8"/>
    <s v="Saturday"/>
    <n v="2"/>
  </r>
  <r>
    <x v="2258"/>
    <d v="2024-05-08T00:00:00"/>
    <x v="3"/>
    <x v="1"/>
    <n v="169"/>
    <n v="21"/>
    <n v="8.9"/>
    <x v="0"/>
    <x v="0"/>
    <x v="0"/>
    <x v="1"/>
    <x v="1"/>
    <x v="0"/>
    <x v="1"/>
    <x v="2"/>
    <x v="0"/>
    <n v="1"/>
    <s v="Slow"/>
    <s v="1 Day"/>
    <x v="1"/>
    <s v="Wednesday"/>
    <n v="3"/>
  </r>
  <r>
    <x v="2259"/>
    <d v="2024-03-16T00:00:00"/>
    <x v="2"/>
    <x v="0"/>
    <n v="90"/>
    <n v="29"/>
    <n v="0.7"/>
    <x v="0"/>
    <x v="1"/>
    <x v="0"/>
    <x v="0"/>
    <x v="0"/>
    <x v="0"/>
    <x v="0"/>
    <x v="1"/>
    <x v="0"/>
    <n v="1"/>
    <s v="Acceptable"/>
    <s v="2 Days"/>
    <x v="2"/>
    <s v="Saturday"/>
    <n v="4"/>
  </r>
  <r>
    <x v="2260"/>
    <d v="2024-07-02T00:00:00"/>
    <x v="1"/>
    <x v="2"/>
    <n v="96"/>
    <n v="7"/>
    <n v="2.7"/>
    <x v="0"/>
    <x v="1"/>
    <x v="0"/>
    <x v="2"/>
    <x v="2"/>
    <x v="0"/>
    <x v="1"/>
    <x v="3"/>
    <x v="0"/>
    <n v="1"/>
    <s v="Acceptable"/>
    <s v="Same Day"/>
    <x v="10"/>
    <s v="Tuesday"/>
    <n v="1"/>
  </r>
  <r>
    <x v="2261"/>
    <d v="2024-07-06T00:00:00"/>
    <x v="4"/>
    <x v="2"/>
    <n v="42"/>
    <n v="58"/>
    <n v="8.6"/>
    <x v="0"/>
    <x v="0"/>
    <x v="0"/>
    <x v="2"/>
    <x v="2"/>
    <x v="1"/>
    <x v="1"/>
    <x v="2"/>
    <x v="0"/>
    <n v="1"/>
    <s v="Acceptable"/>
    <s v="3 Days"/>
    <x v="10"/>
    <s v="Saturday"/>
    <n v="1"/>
  </r>
  <r>
    <x v="2262"/>
    <d v="2024-12-24T00:00:00"/>
    <x v="1"/>
    <x v="1"/>
    <n v="108"/>
    <n v="39"/>
    <n v="3"/>
    <x v="0"/>
    <x v="1"/>
    <x v="0"/>
    <x v="1"/>
    <x v="1"/>
    <x v="0"/>
    <x v="0"/>
    <x v="3"/>
    <x v="0"/>
    <n v="1"/>
    <s v="Acceptable"/>
    <s v="2 Days"/>
    <x v="11"/>
    <s v="Tuesday"/>
    <n v="3"/>
  </r>
  <r>
    <x v="2263"/>
    <d v="2024-10-09T00:00:00"/>
    <x v="1"/>
    <x v="2"/>
    <n v="75"/>
    <n v="67"/>
    <n v="2.4"/>
    <x v="1"/>
    <x v="1"/>
    <x v="0"/>
    <x v="2"/>
    <x v="2"/>
    <x v="1"/>
    <x v="1"/>
    <x v="3"/>
    <x v="0"/>
    <n v="0"/>
    <s v="Acceptable"/>
    <s v="3 Days"/>
    <x v="7"/>
    <s v="Wednesday"/>
    <n v="1"/>
  </r>
  <r>
    <x v="2264"/>
    <d v="2024-07-03T00:00:00"/>
    <x v="2"/>
    <x v="3"/>
    <n v="84"/>
    <n v="1"/>
    <n v="9.6"/>
    <x v="0"/>
    <x v="1"/>
    <x v="1"/>
    <x v="3"/>
    <x v="3"/>
    <x v="0"/>
    <x v="1"/>
    <x v="2"/>
    <x v="1"/>
    <n v="1"/>
    <s v="Acceptable"/>
    <s v="Same Day"/>
    <x v="10"/>
    <s v="Wednesday"/>
    <n v="2"/>
  </r>
  <r>
    <x v="2265"/>
    <d v="2024-03-24T00:00:00"/>
    <x v="0"/>
    <x v="3"/>
    <n v="234"/>
    <n v="41"/>
    <n v="3.5"/>
    <x v="0"/>
    <x v="2"/>
    <x v="0"/>
    <x v="3"/>
    <x v="3"/>
    <x v="1"/>
    <x v="1"/>
    <x v="3"/>
    <x v="0"/>
    <n v="1"/>
    <s v="Slow"/>
    <s v="2 Days"/>
    <x v="2"/>
    <s v="Sunday"/>
    <n v="2"/>
  </r>
  <r>
    <x v="2266"/>
    <d v="2024-04-18T00:00:00"/>
    <x v="1"/>
    <x v="1"/>
    <n v="121"/>
    <n v="40"/>
    <n v="6.2"/>
    <x v="0"/>
    <x v="0"/>
    <x v="0"/>
    <x v="1"/>
    <x v="1"/>
    <x v="0"/>
    <x v="1"/>
    <x v="0"/>
    <x v="0"/>
    <n v="1"/>
    <s v="Slow"/>
    <s v="2 Days"/>
    <x v="3"/>
    <s v="Thursday"/>
    <n v="3"/>
  </r>
  <r>
    <x v="2267"/>
    <d v="2024-08-19T00:00:00"/>
    <x v="1"/>
    <x v="1"/>
    <n v="37"/>
    <n v="63"/>
    <n v="6.6"/>
    <x v="0"/>
    <x v="0"/>
    <x v="0"/>
    <x v="1"/>
    <x v="1"/>
    <x v="1"/>
    <x v="0"/>
    <x v="0"/>
    <x v="0"/>
    <n v="1"/>
    <s v="Acceptable"/>
    <s v="3 Days"/>
    <x v="0"/>
    <s v="Monday"/>
    <n v="3"/>
  </r>
  <r>
    <x v="2268"/>
    <d v="2024-05-12T00:00:00"/>
    <x v="2"/>
    <x v="0"/>
    <n v="121"/>
    <n v="13"/>
    <n v="4.5"/>
    <x v="0"/>
    <x v="2"/>
    <x v="0"/>
    <x v="0"/>
    <x v="0"/>
    <x v="0"/>
    <x v="0"/>
    <x v="3"/>
    <x v="0"/>
    <n v="1"/>
    <s v="Slow"/>
    <s v="1 Day"/>
    <x v="1"/>
    <s v="Sunday"/>
    <n v="4"/>
  </r>
  <r>
    <x v="2269"/>
    <d v="2024-09-10T00:00:00"/>
    <x v="4"/>
    <x v="0"/>
    <n v="62"/>
    <n v="7"/>
    <n v="1.6"/>
    <x v="0"/>
    <x v="2"/>
    <x v="0"/>
    <x v="0"/>
    <x v="0"/>
    <x v="0"/>
    <x v="0"/>
    <x v="1"/>
    <x v="0"/>
    <n v="1"/>
    <s v="Acceptable"/>
    <s v="Same Day"/>
    <x v="5"/>
    <s v="Tuesday"/>
    <n v="4"/>
  </r>
  <r>
    <x v="2270"/>
    <d v="2024-05-23T00:00:00"/>
    <x v="0"/>
    <x v="3"/>
    <n v="163"/>
    <n v="53"/>
    <n v="4.0999999999999996"/>
    <x v="1"/>
    <x v="2"/>
    <x v="0"/>
    <x v="3"/>
    <x v="3"/>
    <x v="1"/>
    <x v="1"/>
    <x v="3"/>
    <x v="0"/>
    <n v="0"/>
    <s v="Slow"/>
    <s v="3 Days"/>
    <x v="1"/>
    <s v="Thursday"/>
    <n v="2"/>
  </r>
  <r>
    <x v="2271"/>
    <d v="2024-04-22T00:00:00"/>
    <x v="3"/>
    <x v="1"/>
    <n v="106"/>
    <n v="65"/>
    <n v="0.5"/>
    <x v="1"/>
    <x v="1"/>
    <x v="0"/>
    <x v="1"/>
    <x v="1"/>
    <x v="1"/>
    <x v="0"/>
    <x v="1"/>
    <x v="0"/>
    <n v="0"/>
    <s v="Acceptable"/>
    <s v="3 Days"/>
    <x v="3"/>
    <s v="Monday"/>
    <n v="3"/>
  </r>
  <r>
    <x v="2272"/>
    <d v="2024-08-22T00:00:00"/>
    <x v="2"/>
    <x v="2"/>
    <n v="147"/>
    <n v="60"/>
    <n v="1.9"/>
    <x v="0"/>
    <x v="1"/>
    <x v="0"/>
    <x v="2"/>
    <x v="2"/>
    <x v="1"/>
    <x v="1"/>
    <x v="1"/>
    <x v="0"/>
    <n v="1"/>
    <s v="Slow"/>
    <s v="3 Days"/>
    <x v="0"/>
    <s v="Thursday"/>
    <n v="1"/>
  </r>
  <r>
    <x v="2273"/>
    <d v="2024-11-29T00:00:00"/>
    <x v="4"/>
    <x v="3"/>
    <n v="228"/>
    <n v="65"/>
    <n v="5.3"/>
    <x v="1"/>
    <x v="0"/>
    <x v="0"/>
    <x v="3"/>
    <x v="3"/>
    <x v="1"/>
    <x v="1"/>
    <x v="0"/>
    <x v="0"/>
    <n v="0"/>
    <s v="Slow"/>
    <s v="3 Days"/>
    <x v="6"/>
    <s v="Friday"/>
    <n v="2"/>
  </r>
  <r>
    <x v="2274"/>
    <d v="2024-11-13T00:00:00"/>
    <x v="1"/>
    <x v="1"/>
    <n v="22"/>
    <n v="19"/>
    <n v="3.4"/>
    <x v="0"/>
    <x v="0"/>
    <x v="1"/>
    <x v="1"/>
    <x v="1"/>
    <x v="0"/>
    <x v="0"/>
    <x v="3"/>
    <x v="1"/>
    <n v="1"/>
    <s v="Very Fast"/>
    <s v="1 Day"/>
    <x v="6"/>
    <s v="Wednesday"/>
    <n v="3"/>
  </r>
  <r>
    <x v="2275"/>
    <d v="2024-01-05T00:00:00"/>
    <x v="3"/>
    <x v="0"/>
    <n v="44"/>
    <n v="46"/>
    <n v="4.5999999999999996"/>
    <x v="0"/>
    <x v="1"/>
    <x v="0"/>
    <x v="0"/>
    <x v="0"/>
    <x v="0"/>
    <x v="0"/>
    <x v="3"/>
    <x v="0"/>
    <n v="1"/>
    <s v="Acceptable"/>
    <s v="2 Days"/>
    <x v="8"/>
    <s v="Friday"/>
    <n v="4"/>
  </r>
  <r>
    <x v="2276"/>
    <d v="2024-10-29T00:00:00"/>
    <x v="3"/>
    <x v="0"/>
    <n v="232"/>
    <n v="52"/>
    <n v="6.8"/>
    <x v="1"/>
    <x v="1"/>
    <x v="1"/>
    <x v="0"/>
    <x v="0"/>
    <x v="0"/>
    <x v="0"/>
    <x v="0"/>
    <x v="1"/>
    <n v="0"/>
    <s v="Slow"/>
    <s v="3 Days"/>
    <x v="7"/>
    <s v="Tuesday"/>
    <n v="4"/>
  </r>
  <r>
    <x v="2277"/>
    <d v="2024-10-29T00:00:00"/>
    <x v="0"/>
    <x v="0"/>
    <n v="142"/>
    <n v="22"/>
    <n v="6.7"/>
    <x v="0"/>
    <x v="0"/>
    <x v="0"/>
    <x v="0"/>
    <x v="0"/>
    <x v="0"/>
    <x v="0"/>
    <x v="0"/>
    <x v="0"/>
    <n v="1"/>
    <s v="Slow"/>
    <s v="1 Day"/>
    <x v="7"/>
    <s v="Tuesday"/>
    <n v="4"/>
  </r>
  <r>
    <x v="2278"/>
    <d v="2024-11-29T00:00:00"/>
    <x v="4"/>
    <x v="2"/>
    <n v="142"/>
    <n v="39"/>
    <n v="6"/>
    <x v="0"/>
    <x v="2"/>
    <x v="0"/>
    <x v="2"/>
    <x v="2"/>
    <x v="1"/>
    <x v="1"/>
    <x v="0"/>
    <x v="0"/>
    <n v="1"/>
    <s v="Slow"/>
    <s v="2 Days"/>
    <x v="6"/>
    <s v="Friday"/>
    <n v="1"/>
  </r>
  <r>
    <x v="2279"/>
    <d v="2024-05-03T00:00:00"/>
    <x v="4"/>
    <x v="0"/>
    <n v="121"/>
    <n v="20"/>
    <n v="2.2999999999999998"/>
    <x v="0"/>
    <x v="1"/>
    <x v="0"/>
    <x v="0"/>
    <x v="0"/>
    <x v="0"/>
    <x v="0"/>
    <x v="3"/>
    <x v="0"/>
    <n v="1"/>
    <s v="Slow"/>
    <s v="1 Day"/>
    <x v="1"/>
    <s v="Friday"/>
    <n v="4"/>
  </r>
  <r>
    <x v="2280"/>
    <d v="2024-06-25T00:00:00"/>
    <x v="4"/>
    <x v="0"/>
    <n v="74"/>
    <n v="55"/>
    <n v="2.6"/>
    <x v="0"/>
    <x v="2"/>
    <x v="0"/>
    <x v="0"/>
    <x v="0"/>
    <x v="0"/>
    <x v="0"/>
    <x v="3"/>
    <x v="0"/>
    <n v="1"/>
    <s v="Acceptable"/>
    <s v="3 Days"/>
    <x v="4"/>
    <s v="Tuesday"/>
    <n v="4"/>
  </r>
  <r>
    <x v="2281"/>
    <d v="2024-04-09T00:00:00"/>
    <x v="2"/>
    <x v="2"/>
    <n v="190"/>
    <n v="61"/>
    <n v="6.6"/>
    <x v="0"/>
    <x v="2"/>
    <x v="0"/>
    <x v="2"/>
    <x v="2"/>
    <x v="1"/>
    <x v="1"/>
    <x v="0"/>
    <x v="0"/>
    <n v="1"/>
    <s v="Slow"/>
    <s v="3 Days"/>
    <x v="3"/>
    <s v="Tuesday"/>
    <n v="1"/>
  </r>
  <r>
    <x v="2282"/>
    <d v="2024-09-12T00:00:00"/>
    <x v="4"/>
    <x v="1"/>
    <n v="134"/>
    <n v="18"/>
    <n v="7.9"/>
    <x v="0"/>
    <x v="2"/>
    <x v="0"/>
    <x v="1"/>
    <x v="1"/>
    <x v="0"/>
    <x v="1"/>
    <x v="0"/>
    <x v="0"/>
    <n v="1"/>
    <s v="Slow"/>
    <s v="1 Day"/>
    <x v="5"/>
    <s v="Thursday"/>
    <n v="3"/>
  </r>
  <r>
    <x v="2283"/>
    <d v="2024-01-30T00:00:00"/>
    <x v="1"/>
    <x v="2"/>
    <n v="146"/>
    <n v="67"/>
    <n v="1.2"/>
    <x v="0"/>
    <x v="0"/>
    <x v="0"/>
    <x v="2"/>
    <x v="2"/>
    <x v="1"/>
    <x v="1"/>
    <x v="1"/>
    <x v="0"/>
    <n v="1"/>
    <s v="Slow"/>
    <s v="3 Days"/>
    <x v="8"/>
    <s v="Tuesday"/>
    <n v="1"/>
  </r>
  <r>
    <x v="2284"/>
    <d v="2024-06-04T00:00:00"/>
    <x v="0"/>
    <x v="0"/>
    <n v="142"/>
    <n v="7"/>
    <n v="9.9"/>
    <x v="1"/>
    <x v="1"/>
    <x v="1"/>
    <x v="0"/>
    <x v="0"/>
    <x v="0"/>
    <x v="0"/>
    <x v="2"/>
    <x v="1"/>
    <n v="0"/>
    <s v="Slow"/>
    <s v="Same Day"/>
    <x v="4"/>
    <s v="Tuesday"/>
    <n v="4"/>
  </r>
  <r>
    <x v="2285"/>
    <d v="2024-05-23T00:00:00"/>
    <x v="3"/>
    <x v="3"/>
    <n v="139"/>
    <n v="21"/>
    <n v="8.4"/>
    <x v="0"/>
    <x v="1"/>
    <x v="0"/>
    <x v="3"/>
    <x v="3"/>
    <x v="0"/>
    <x v="1"/>
    <x v="2"/>
    <x v="0"/>
    <n v="1"/>
    <s v="Slow"/>
    <s v="1 Day"/>
    <x v="1"/>
    <s v="Thursday"/>
    <n v="2"/>
  </r>
  <r>
    <x v="2286"/>
    <d v="2024-01-23T00:00:00"/>
    <x v="3"/>
    <x v="3"/>
    <n v="108"/>
    <n v="13"/>
    <n v="8.1"/>
    <x v="1"/>
    <x v="1"/>
    <x v="0"/>
    <x v="3"/>
    <x v="3"/>
    <x v="0"/>
    <x v="1"/>
    <x v="2"/>
    <x v="0"/>
    <n v="0"/>
    <s v="Acceptable"/>
    <s v="1 Day"/>
    <x v="8"/>
    <s v="Tuesday"/>
    <n v="2"/>
  </r>
  <r>
    <x v="2287"/>
    <d v="2024-08-28T00:00:00"/>
    <x v="0"/>
    <x v="0"/>
    <n v="86"/>
    <n v="37"/>
    <n v="6.1"/>
    <x v="0"/>
    <x v="1"/>
    <x v="0"/>
    <x v="0"/>
    <x v="0"/>
    <x v="0"/>
    <x v="0"/>
    <x v="0"/>
    <x v="0"/>
    <n v="1"/>
    <s v="Acceptable"/>
    <s v="2 Days"/>
    <x v="0"/>
    <s v="Wednesday"/>
    <n v="4"/>
  </r>
  <r>
    <x v="2288"/>
    <d v="2024-11-04T00:00:00"/>
    <x v="0"/>
    <x v="2"/>
    <n v="161"/>
    <n v="28"/>
    <n v="4"/>
    <x v="1"/>
    <x v="1"/>
    <x v="0"/>
    <x v="2"/>
    <x v="2"/>
    <x v="1"/>
    <x v="1"/>
    <x v="3"/>
    <x v="0"/>
    <n v="0"/>
    <s v="Slow"/>
    <s v="2 Days"/>
    <x v="6"/>
    <s v="Monday"/>
    <n v="1"/>
  </r>
  <r>
    <x v="2289"/>
    <d v="2024-08-01T00:00:00"/>
    <x v="4"/>
    <x v="3"/>
    <n v="159"/>
    <n v="36"/>
    <n v="1.7"/>
    <x v="1"/>
    <x v="0"/>
    <x v="0"/>
    <x v="3"/>
    <x v="3"/>
    <x v="1"/>
    <x v="1"/>
    <x v="1"/>
    <x v="0"/>
    <n v="0"/>
    <s v="Slow"/>
    <s v="2 Days"/>
    <x v="0"/>
    <s v="Thursday"/>
    <n v="2"/>
  </r>
  <r>
    <x v="2290"/>
    <d v="2024-08-05T00:00:00"/>
    <x v="3"/>
    <x v="0"/>
    <n v="173"/>
    <n v="44"/>
    <n v="3.3"/>
    <x v="1"/>
    <x v="1"/>
    <x v="0"/>
    <x v="0"/>
    <x v="0"/>
    <x v="0"/>
    <x v="0"/>
    <x v="3"/>
    <x v="0"/>
    <n v="0"/>
    <s v="Slow"/>
    <s v="2 Days"/>
    <x v="0"/>
    <s v="Monday"/>
    <n v="4"/>
  </r>
  <r>
    <x v="2291"/>
    <d v="2024-06-24T00:00:00"/>
    <x v="0"/>
    <x v="0"/>
    <n v="123"/>
    <n v="32"/>
    <n v="1.3"/>
    <x v="0"/>
    <x v="2"/>
    <x v="0"/>
    <x v="0"/>
    <x v="0"/>
    <x v="0"/>
    <x v="0"/>
    <x v="1"/>
    <x v="0"/>
    <n v="1"/>
    <s v="Slow"/>
    <s v="2 Days"/>
    <x v="4"/>
    <s v="Monday"/>
    <n v="4"/>
  </r>
  <r>
    <x v="2292"/>
    <d v="2024-09-02T00:00:00"/>
    <x v="2"/>
    <x v="0"/>
    <n v="103"/>
    <n v="34"/>
    <n v="5.3"/>
    <x v="1"/>
    <x v="1"/>
    <x v="1"/>
    <x v="0"/>
    <x v="0"/>
    <x v="0"/>
    <x v="0"/>
    <x v="0"/>
    <x v="1"/>
    <n v="0"/>
    <s v="Acceptable"/>
    <s v="2 Days"/>
    <x v="5"/>
    <s v="Monday"/>
    <n v="4"/>
  </r>
  <r>
    <x v="2293"/>
    <d v="2024-08-07T00:00:00"/>
    <x v="1"/>
    <x v="2"/>
    <n v="72"/>
    <n v="13"/>
    <n v="3.1"/>
    <x v="1"/>
    <x v="2"/>
    <x v="0"/>
    <x v="2"/>
    <x v="2"/>
    <x v="1"/>
    <x v="1"/>
    <x v="3"/>
    <x v="0"/>
    <n v="0"/>
    <s v="Acceptable"/>
    <s v="1 Day"/>
    <x v="0"/>
    <s v="Wednesday"/>
    <n v="1"/>
  </r>
  <r>
    <x v="2294"/>
    <d v="2024-06-28T00:00:00"/>
    <x v="3"/>
    <x v="2"/>
    <n v="139"/>
    <n v="49"/>
    <n v="9.1999999999999993"/>
    <x v="0"/>
    <x v="0"/>
    <x v="0"/>
    <x v="2"/>
    <x v="2"/>
    <x v="1"/>
    <x v="1"/>
    <x v="2"/>
    <x v="0"/>
    <n v="1"/>
    <s v="Slow"/>
    <s v="3 Days"/>
    <x v="4"/>
    <s v="Friday"/>
    <n v="1"/>
  </r>
  <r>
    <x v="2295"/>
    <d v="2024-01-04T00:00:00"/>
    <x v="1"/>
    <x v="3"/>
    <n v="120"/>
    <n v="25"/>
    <n v="2.8"/>
    <x v="1"/>
    <x v="1"/>
    <x v="0"/>
    <x v="3"/>
    <x v="3"/>
    <x v="1"/>
    <x v="1"/>
    <x v="3"/>
    <x v="0"/>
    <n v="0"/>
    <s v="Acceptable"/>
    <s v="2 Days"/>
    <x v="8"/>
    <s v="Thursday"/>
    <n v="2"/>
  </r>
  <r>
    <x v="2296"/>
    <d v="2024-09-27T00:00:00"/>
    <x v="1"/>
    <x v="2"/>
    <n v="106"/>
    <n v="67"/>
    <n v="1.2"/>
    <x v="1"/>
    <x v="2"/>
    <x v="0"/>
    <x v="2"/>
    <x v="2"/>
    <x v="1"/>
    <x v="1"/>
    <x v="1"/>
    <x v="0"/>
    <n v="0"/>
    <s v="Acceptable"/>
    <s v="3 Days"/>
    <x v="5"/>
    <s v="Friday"/>
    <n v="1"/>
  </r>
  <r>
    <x v="2297"/>
    <d v="2024-02-26T00:00:00"/>
    <x v="4"/>
    <x v="0"/>
    <n v="6"/>
    <n v="45"/>
    <n v="8.1"/>
    <x v="0"/>
    <x v="0"/>
    <x v="1"/>
    <x v="0"/>
    <x v="0"/>
    <x v="0"/>
    <x v="0"/>
    <x v="2"/>
    <x v="1"/>
    <n v="1"/>
    <s v="Very Fast"/>
    <s v="2 Days"/>
    <x v="9"/>
    <s v="Monday"/>
    <n v="4"/>
  </r>
  <r>
    <x v="2298"/>
    <d v="2024-11-24T00:00:00"/>
    <x v="3"/>
    <x v="3"/>
    <n v="144"/>
    <n v="36"/>
    <n v="6.4"/>
    <x v="1"/>
    <x v="1"/>
    <x v="0"/>
    <x v="3"/>
    <x v="3"/>
    <x v="1"/>
    <x v="1"/>
    <x v="0"/>
    <x v="0"/>
    <n v="0"/>
    <s v="Slow"/>
    <s v="2 Days"/>
    <x v="6"/>
    <s v="Sunday"/>
    <n v="2"/>
  </r>
  <r>
    <x v="2299"/>
    <d v="2024-07-10T00:00:00"/>
    <x v="4"/>
    <x v="1"/>
    <n v="117"/>
    <n v="62"/>
    <n v="7.7"/>
    <x v="1"/>
    <x v="2"/>
    <x v="1"/>
    <x v="1"/>
    <x v="1"/>
    <x v="1"/>
    <x v="0"/>
    <x v="0"/>
    <x v="1"/>
    <n v="0"/>
    <s v="Acceptable"/>
    <s v="3 Days"/>
    <x v="10"/>
    <s v="Wednesday"/>
    <n v="3"/>
  </r>
  <r>
    <x v="2300"/>
    <d v="2024-02-06T00:00:00"/>
    <x v="2"/>
    <x v="2"/>
    <n v="148"/>
    <n v="13"/>
    <n v="5.7"/>
    <x v="1"/>
    <x v="2"/>
    <x v="0"/>
    <x v="2"/>
    <x v="2"/>
    <x v="1"/>
    <x v="1"/>
    <x v="0"/>
    <x v="0"/>
    <n v="0"/>
    <s v="Slow"/>
    <s v="1 Day"/>
    <x v="9"/>
    <s v="Tuesday"/>
    <n v="1"/>
  </r>
  <r>
    <x v="2301"/>
    <d v="2024-07-30T00:00:00"/>
    <x v="3"/>
    <x v="0"/>
    <n v="148"/>
    <n v="67"/>
    <n v="7.1"/>
    <x v="0"/>
    <x v="0"/>
    <x v="0"/>
    <x v="0"/>
    <x v="0"/>
    <x v="0"/>
    <x v="0"/>
    <x v="0"/>
    <x v="0"/>
    <n v="1"/>
    <s v="Slow"/>
    <s v="3 Days"/>
    <x v="10"/>
    <s v="Tuesday"/>
    <n v="4"/>
  </r>
  <r>
    <x v="2302"/>
    <d v="2024-11-30T00:00:00"/>
    <x v="4"/>
    <x v="0"/>
    <n v="213"/>
    <n v="36"/>
    <n v="7.6"/>
    <x v="0"/>
    <x v="0"/>
    <x v="0"/>
    <x v="0"/>
    <x v="0"/>
    <x v="0"/>
    <x v="0"/>
    <x v="0"/>
    <x v="0"/>
    <n v="1"/>
    <s v="Slow"/>
    <s v="2 Days"/>
    <x v="6"/>
    <s v="Saturday"/>
    <n v="4"/>
  </r>
  <r>
    <x v="2303"/>
    <d v="2024-11-02T00:00:00"/>
    <x v="1"/>
    <x v="0"/>
    <n v="228"/>
    <n v="70"/>
    <n v="6.1"/>
    <x v="0"/>
    <x v="1"/>
    <x v="0"/>
    <x v="0"/>
    <x v="0"/>
    <x v="0"/>
    <x v="0"/>
    <x v="0"/>
    <x v="0"/>
    <n v="1"/>
    <s v="Slow"/>
    <s v="3 Days"/>
    <x v="6"/>
    <s v="Saturday"/>
    <n v="4"/>
  </r>
  <r>
    <x v="2304"/>
    <d v="2024-06-19T00:00:00"/>
    <x v="4"/>
    <x v="2"/>
    <n v="54"/>
    <n v="43"/>
    <n v="6.6"/>
    <x v="0"/>
    <x v="1"/>
    <x v="0"/>
    <x v="2"/>
    <x v="2"/>
    <x v="1"/>
    <x v="1"/>
    <x v="0"/>
    <x v="0"/>
    <n v="1"/>
    <s v="Acceptable"/>
    <s v="2 Days"/>
    <x v="4"/>
    <s v="Wednesday"/>
    <n v="1"/>
  </r>
  <r>
    <x v="2305"/>
    <d v="2024-12-23T00:00:00"/>
    <x v="3"/>
    <x v="1"/>
    <n v="29"/>
    <n v="55"/>
    <n v="2"/>
    <x v="0"/>
    <x v="1"/>
    <x v="1"/>
    <x v="1"/>
    <x v="1"/>
    <x v="1"/>
    <x v="0"/>
    <x v="1"/>
    <x v="1"/>
    <n v="1"/>
    <s v="Very Fast"/>
    <s v="3 Days"/>
    <x v="11"/>
    <s v="Monday"/>
    <n v="3"/>
  </r>
  <r>
    <x v="2306"/>
    <d v="2024-11-05T00:00:00"/>
    <x v="1"/>
    <x v="2"/>
    <n v="174"/>
    <n v="37"/>
    <n v="0.8"/>
    <x v="1"/>
    <x v="2"/>
    <x v="0"/>
    <x v="2"/>
    <x v="2"/>
    <x v="1"/>
    <x v="1"/>
    <x v="1"/>
    <x v="0"/>
    <n v="0"/>
    <s v="Slow"/>
    <s v="2 Days"/>
    <x v="6"/>
    <s v="Tuesday"/>
    <n v="1"/>
  </r>
  <r>
    <x v="2307"/>
    <d v="2024-01-16T00:00:00"/>
    <x v="1"/>
    <x v="0"/>
    <n v="22"/>
    <n v="17"/>
    <n v="4.9000000000000004"/>
    <x v="1"/>
    <x v="0"/>
    <x v="1"/>
    <x v="0"/>
    <x v="0"/>
    <x v="0"/>
    <x v="0"/>
    <x v="3"/>
    <x v="1"/>
    <n v="0"/>
    <s v="Very Fast"/>
    <s v="1 Day"/>
    <x v="8"/>
    <s v="Tuesday"/>
    <n v="4"/>
  </r>
  <r>
    <x v="2308"/>
    <d v="2024-07-29T00:00:00"/>
    <x v="3"/>
    <x v="3"/>
    <n v="42"/>
    <n v="45"/>
    <n v="2"/>
    <x v="1"/>
    <x v="2"/>
    <x v="0"/>
    <x v="3"/>
    <x v="3"/>
    <x v="1"/>
    <x v="0"/>
    <x v="1"/>
    <x v="0"/>
    <n v="0"/>
    <s v="Acceptable"/>
    <s v="2 Days"/>
    <x v="10"/>
    <s v="Monday"/>
    <n v="2"/>
  </r>
  <r>
    <x v="2309"/>
    <d v="2024-08-17T00:00:00"/>
    <x v="2"/>
    <x v="2"/>
    <n v="36"/>
    <n v="47"/>
    <n v="0.8"/>
    <x v="0"/>
    <x v="2"/>
    <x v="0"/>
    <x v="2"/>
    <x v="2"/>
    <x v="1"/>
    <x v="1"/>
    <x v="1"/>
    <x v="0"/>
    <n v="1"/>
    <s v="Acceptable"/>
    <s v="2 Days"/>
    <x v="0"/>
    <s v="Saturday"/>
    <n v="1"/>
  </r>
  <r>
    <x v="2310"/>
    <d v="2024-06-16T00:00:00"/>
    <x v="4"/>
    <x v="3"/>
    <n v="200"/>
    <n v="42"/>
    <n v="6.7"/>
    <x v="0"/>
    <x v="0"/>
    <x v="0"/>
    <x v="3"/>
    <x v="3"/>
    <x v="1"/>
    <x v="1"/>
    <x v="0"/>
    <x v="0"/>
    <n v="1"/>
    <s v="Slow"/>
    <s v="2 Days"/>
    <x v="4"/>
    <s v="Sunday"/>
    <n v="2"/>
  </r>
  <r>
    <x v="2311"/>
    <d v="2024-05-02T00:00:00"/>
    <x v="1"/>
    <x v="3"/>
    <n v="160"/>
    <n v="56"/>
    <n v="3.3"/>
    <x v="1"/>
    <x v="1"/>
    <x v="0"/>
    <x v="3"/>
    <x v="3"/>
    <x v="1"/>
    <x v="1"/>
    <x v="3"/>
    <x v="0"/>
    <n v="0"/>
    <s v="Slow"/>
    <s v="3 Days"/>
    <x v="1"/>
    <s v="Thursday"/>
    <n v="2"/>
  </r>
  <r>
    <x v="2312"/>
    <d v="2024-11-07T00:00:00"/>
    <x v="1"/>
    <x v="1"/>
    <n v="121"/>
    <n v="59"/>
    <n v="9.8000000000000007"/>
    <x v="1"/>
    <x v="0"/>
    <x v="1"/>
    <x v="1"/>
    <x v="1"/>
    <x v="1"/>
    <x v="1"/>
    <x v="2"/>
    <x v="1"/>
    <n v="0"/>
    <s v="Slow"/>
    <s v="3 Days"/>
    <x v="6"/>
    <s v="Thursday"/>
    <n v="3"/>
  </r>
  <r>
    <x v="2313"/>
    <d v="2024-11-12T00:00:00"/>
    <x v="4"/>
    <x v="0"/>
    <n v="150"/>
    <n v="44"/>
    <n v="3.1"/>
    <x v="0"/>
    <x v="2"/>
    <x v="0"/>
    <x v="0"/>
    <x v="0"/>
    <x v="0"/>
    <x v="0"/>
    <x v="3"/>
    <x v="0"/>
    <n v="1"/>
    <s v="Slow"/>
    <s v="2 Days"/>
    <x v="6"/>
    <s v="Tuesday"/>
    <n v="4"/>
  </r>
  <r>
    <x v="2314"/>
    <d v="2024-04-14T00:00:00"/>
    <x v="1"/>
    <x v="1"/>
    <n v="39"/>
    <n v="4"/>
    <n v="2.1"/>
    <x v="1"/>
    <x v="1"/>
    <x v="1"/>
    <x v="1"/>
    <x v="1"/>
    <x v="0"/>
    <x v="0"/>
    <x v="3"/>
    <x v="1"/>
    <n v="0"/>
    <s v="Acceptable"/>
    <s v="Same Day"/>
    <x v="3"/>
    <s v="Sunday"/>
    <n v="3"/>
  </r>
  <r>
    <x v="2315"/>
    <d v="2024-01-08T00:00:00"/>
    <x v="1"/>
    <x v="2"/>
    <n v="6"/>
    <n v="38"/>
    <n v="9.6"/>
    <x v="0"/>
    <x v="0"/>
    <x v="1"/>
    <x v="2"/>
    <x v="2"/>
    <x v="1"/>
    <x v="0"/>
    <x v="2"/>
    <x v="1"/>
    <n v="1"/>
    <s v="Very Fast"/>
    <s v="2 Days"/>
    <x v="8"/>
    <s v="Monday"/>
    <n v="1"/>
  </r>
  <r>
    <x v="2316"/>
    <d v="2024-04-19T00:00:00"/>
    <x v="2"/>
    <x v="3"/>
    <n v="47"/>
    <n v="28"/>
    <n v="1.8"/>
    <x v="0"/>
    <x v="1"/>
    <x v="0"/>
    <x v="3"/>
    <x v="3"/>
    <x v="1"/>
    <x v="0"/>
    <x v="1"/>
    <x v="0"/>
    <n v="1"/>
    <s v="Acceptable"/>
    <s v="2 Days"/>
    <x v="3"/>
    <s v="Friday"/>
    <n v="2"/>
  </r>
  <r>
    <x v="2317"/>
    <d v="2024-06-27T00:00:00"/>
    <x v="0"/>
    <x v="3"/>
    <n v="54"/>
    <n v="34"/>
    <n v="7.7"/>
    <x v="1"/>
    <x v="2"/>
    <x v="0"/>
    <x v="3"/>
    <x v="3"/>
    <x v="1"/>
    <x v="0"/>
    <x v="0"/>
    <x v="0"/>
    <n v="0"/>
    <s v="Acceptable"/>
    <s v="2 Days"/>
    <x v="4"/>
    <s v="Thursday"/>
    <n v="2"/>
  </r>
  <r>
    <x v="2318"/>
    <d v="2024-05-04T00:00:00"/>
    <x v="4"/>
    <x v="0"/>
    <n v="235"/>
    <n v="60"/>
    <n v="8.3000000000000007"/>
    <x v="0"/>
    <x v="2"/>
    <x v="0"/>
    <x v="0"/>
    <x v="0"/>
    <x v="0"/>
    <x v="0"/>
    <x v="2"/>
    <x v="0"/>
    <n v="1"/>
    <s v="Slow"/>
    <s v="3 Days"/>
    <x v="1"/>
    <s v="Saturday"/>
    <n v="4"/>
  </r>
  <r>
    <x v="2319"/>
    <d v="2024-01-18T00:00:00"/>
    <x v="0"/>
    <x v="1"/>
    <n v="212"/>
    <n v="57"/>
    <n v="1.3"/>
    <x v="1"/>
    <x v="2"/>
    <x v="0"/>
    <x v="1"/>
    <x v="1"/>
    <x v="1"/>
    <x v="1"/>
    <x v="1"/>
    <x v="0"/>
    <n v="0"/>
    <s v="Slow"/>
    <s v="3 Days"/>
    <x v="8"/>
    <s v="Thursday"/>
    <n v="3"/>
  </r>
  <r>
    <x v="2320"/>
    <d v="2024-02-01T00:00:00"/>
    <x v="3"/>
    <x v="3"/>
    <n v="226"/>
    <n v="44"/>
    <n v="4.0999999999999996"/>
    <x v="0"/>
    <x v="1"/>
    <x v="0"/>
    <x v="3"/>
    <x v="3"/>
    <x v="1"/>
    <x v="1"/>
    <x v="3"/>
    <x v="0"/>
    <n v="1"/>
    <s v="Slow"/>
    <s v="2 Days"/>
    <x v="9"/>
    <s v="Thursday"/>
    <n v="2"/>
  </r>
  <r>
    <x v="2321"/>
    <d v="2024-02-26T00:00:00"/>
    <x v="4"/>
    <x v="1"/>
    <n v="178"/>
    <n v="65"/>
    <n v="9.4"/>
    <x v="0"/>
    <x v="2"/>
    <x v="0"/>
    <x v="1"/>
    <x v="1"/>
    <x v="1"/>
    <x v="1"/>
    <x v="2"/>
    <x v="0"/>
    <n v="1"/>
    <s v="Slow"/>
    <s v="3 Days"/>
    <x v="9"/>
    <s v="Monday"/>
    <n v="3"/>
  </r>
  <r>
    <x v="2322"/>
    <d v="2024-01-31T00:00:00"/>
    <x v="2"/>
    <x v="1"/>
    <n v="91"/>
    <n v="32"/>
    <n v="6.8"/>
    <x v="0"/>
    <x v="2"/>
    <x v="0"/>
    <x v="1"/>
    <x v="1"/>
    <x v="0"/>
    <x v="0"/>
    <x v="0"/>
    <x v="0"/>
    <n v="1"/>
    <s v="Acceptable"/>
    <s v="2 Days"/>
    <x v="8"/>
    <s v="Wednesday"/>
    <n v="3"/>
  </r>
  <r>
    <x v="2323"/>
    <d v="2024-02-12T00:00:00"/>
    <x v="0"/>
    <x v="1"/>
    <n v="210"/>
    <n v="2"/>
    <n v="6.6"/>
    <x v="1"/>
    <x v="0"/>
    <x v="2"/>
    <x v="1"/>
    <x v="1"/>
    <x v="0"/>
    <x v="1"/>
    <x v="0"/>
    <x v="2"/>
    <n v="0"/>
    <s v="Slow"/>
    <s v="Same Day"/>
    <x v="9"/>
    <s v="Monday"/>
    <n v="3"/>
  </r>
  <r>
    <x v="2324"/>
    <d v="2024-01-05T00:00:00"/>
    <x v="1"/>
    <x v="1"/>
    <n v="128"/>
    <n v="22"/>
    <n v="3.7"/>
    <x v="1"/>
    <x v="0"/>
    <x v="0"/>
    <x v="1"/>
    <x v="1"/>
    <x v="0"/>
    <x v="1"/>
    <x v="3"/>
    <x v="0"/>
    <n v="0"/>
    <s v="Slow"/>
    <s v="1 Day"/>
    <x v="8"/>
    <s v="Friday"/>
    <n v="3"/>
  </r>
  <r>
    <x v="2325"/>
    <d v="2024-09-13T00:00:00"/>
    <x v="1"/>
    <x v="3"/>
    <n v="147"/>
    <n v="4"/>
    <n v="2.4"/>
    <x v="1"/>
    <x v="1"/>
    <x v="1"/>
    <x v="3"/>
    <x v="3"/>
    <x v="0"/>
    <x v="1"/>
    <x v="3"/>
    <x v="1"/>
    <n v="0"/>
    <s v="Slow"/>
    <s v="Same Day"/>
    <x v="5"/>
    <s v="Friday"/>
    <n v="2"/>
  </r>
  <r>
    <x v="2326"/>
    <d v="2024-09-14T00:00:00"/>
    <x v="0"/>
    <x v="3"/>
    <n v="161"/>
    <n v="2"/>
    <n v="1.8"/>
    <x v="1"/>
    <x v="1"/>
    <x v="1"/>
    <x v="3"/>
    <x v="3"/>
    <x v="0"/>
    <x v="1"/>
    <x v="1"/>
    <x v="1"/>
    <n v="0"/>
    <s v="Slow"/>
    <s v="Same Day"/>
    <x v="5"/>
    <s v="Saturday"/>
    <n v="2"/>
  </r>
  <r>
    <x v="2327"/>
    <d v="2024-01-13T00:00:00"/>
    <x v="0"/>
    <x v="1"/>
    <n v="7"/>
    <n v="36"/>
    <n v="1.8"/>
    <x v="1"/>
    <x v="0"/>
    <x v="1"/>
    <x v="1"/>
    <x v="1"/>
    <x v="0"/>
    <x v="0"/>
    <x v="1"/>
    <x v="1"/>
    <n v="0"/>
    <s v="Very Fast"/>
    <s v="2 Days"/>
    <x v="8"/>
    <s v="Saturday"/>
    <n v="3"/>
  </r>
  <r>
    <x v="2328"/>
    <d v="2024-12-04T00:00:00"/>
    <x v="0"/>
    <x v="2"/>
    <n v="38"/>
    <n v="46"/>
    <n v="8"/>
    <x v="1"/>
    <x v="2"/>
    <x v="0"/>
    <x v="2"/>
    <x v="2"/>
    <x v="1"/>
    <x v="1"/>
    <x v="0"/>
    <x v="0"/>
    <n v="0"/>
    <s v="Acceptable"/>
    <s v="2 Days"/>
    <x v="11"/>
    <s v="Wednesday"/>
    <n v="1"/>
  </r>
  <r>
    <x v="2329"/>
    <d v="2024-05-24T00:00:00"/>
    <x v="1"/>
    <x v="2"/>
    <n v="153"/>
    <n v="45"/>
    <n v="9.8000000000000007"/>
    <x v="1"/>
    <x v="2"/>
    <x v="0"/>
    <x v="2"/>
    <x v="2"/>
    <x v="1"/>
    <x v="1"/>
    <x v="2"/>
    <x v="0"/>
    <n v="0"/>
    <s v="Slow"/>
    <s v="2 Days"/>
    <x v="1"/>
    <s v="Friday"/>
    <n v="1"/>
  </r>
  <r>
    <x v="2330"/>
    <d v="2024-05-01T00:00:00"/>
    <x v="1"/>
    <x v="1"/>
    <n v="238"/>
    <n v="18"/>
    <n v="8.4"/>
    <x v="0"/>
    <x v="1"/>
    <x v="0"/>
    <x v="1"/>
    <x v="1"/>
    <x v="0"/>
    <x v="1"/>
    <x v="2"/>
    <x v="0"/>
    <n v="1"/>
    <s v="Slow"/>
    <s v="1 Day"/>
    <x v="1"/>
    <s v="Wednesday"/>
    <n v="3"/>
  </r>
  <r>
    <x v="2331"/>
    <d v="2024-03-15T00:00:00"/>
    <x v="2"/>
    <x v="0"/>
    <n v="176"/>
    <n v="52"/>
    <n v="6.9"/>
    <x v="0"/>
    <x v="2"/>
    <x v="0"/>
    <x v="0"/>
    <x v="0"/>
    <x v="0"/>
    <x v="0"/>
    <x v="0"/>
    <x v="0"/>
    <n v="1"/>
    <s v="Slow"/>
    <s v="3 Days"/>
    <x v="2"/>
    <s v="Friday"/>
    <n v="4"/>
  </r>
  <r>
    <x v="2332"/>
    <d v="2024-04-13T00:00:00"/>
    <x v="3"/>
    <x v="2"/>
    <n v="198"/>
    <n v="61"/>
    <n v="3.2"/>
    <x v="1"/>
    <x v="1"/>
    <x v="0"/>
    <x v="2"/>
    <x v="2"/>
    <x v="1"/>
    <x v="1"/>
    <x v="3"/>
    <x v="0"/>
    <n v="0"/>
    <s v="Slow"/>
    <s v="3 Days"/>
    <x v="3"/>
    <s v="Saturday"/>
    <n v="1"/>
  </r>
  <r>
    <x v="2333"/>
    <d v="2024-06-01T00:00:00"/>
    <x v="4"/>
    <x v="2"/>
    <n v="57"/>
    <n v="63"/>
    <n v="8.1"/>
    <x v="0"/>
    <x v="2"/>
    <x v="0"/>
    <x v="2"/>
    <x v="2"/>
    <x v="1"/>
    <x v="1"/>
    <x v="2"/>
    <x v="0"/>
    <n v="1"/>
    <s v="Acceptable"/>
    <s v="3 Days"/>
    <x v="4"/>
    <s v="Saturday"/>
    <n v="1"/>
  </r>
  <r>
    <x v="2334"/>
    <d v="2024-12-01T00:00:00"/>
    <x v="4"/>
    <x v="1"/>
    <n v="69"/>
    <n v="46"/>
    <n v="8.4"/>
    <x v="1"/>
    <x v="2"/>
    <x v="1"/>
    <x v="1"/>
    <x v="1"/>
    <x v="0"/>
    <x v="0"/>
    <x v="2"/>
    <x v="1"/>
    <n v="0"/>
    <s v="Acceptable"/>
    <s v="2 Days"/>
    <x v="11"/>
    <s v="Sunday"/>
    <n v="3"/>
  </r>
  <r>
    <x v="2335"/>
    <d v="2024-11-29T00:00:00"/>
    <x v="4"/>
    <x v="0"/>
    <n v="85"/>
    <n v="41"/>
    <n v="0.6"/>
    <x v="1"/>
    <x v="0"/>
    <x v="0"/>
    <x v="0"/>
    <x v="0"/>
    <x v="0"/>
    <x v="0"/>
    <x v="1"/>
    <x v="0"/>
    <n v="0"/>
    <s v="Acceptable"/>
    <s v="2 Days"/>
    <x v="6"/>
    <s v="Friday"/>
    <n v="4"/>
  </r>
  <r>
    <x v="2336"/>
    <d v="2024-11-15T00:00:00"/>
    <x v="1"/>
    <x v="2"/>
    <n v="215"/>
    <n v="27"/>
    <n v="2.8"/>
    <x v="0"/>
    <x v="1"/>
    <x v="0"/>
    <x v="2"/>
    <x v="2"/>
    <x v="1"/>
    <x v="1"/>
    <x v="3"/>
    <x v="0"/>
    <n v="1"/>
    <s v="Slow"/>
    <s v="2 Days"/>
    <x v="6"/>
    <s v="Friday"/>
    <n v="1"/>
  </r>
  <r>
    <x v="2337"/>
    <d v="2024-09-18T00:00:00"/>
    <x v="4"/>
    <x v="0"/>
    <n v="130"/>
    <n v="37"/>
    <n v="6.7"/>
    <x v="1"/>
    <x v="2"/>
    <x v="1"/>
    <x v="0"/>
    <x v="0"/>
    <x v="0"/>
    <x v="0"/>
    <x v="0"/>
    <x v="1"/>
    <n v="0"/>
    <s v="Slow"/>
    <s v="2 Days"/>
    <x v="5"/>
    <s v="Wednesday"/>
    <n v="4"/>
  </r>
  <r>
    <x v="2338"/>
    <d v="2024-04-11T00:00:00"/>
    <x v="3"/>
    <x v="3"/>
    <n v="33"/>
    <n v="15"/>
    <n v="6"/>
    <x v="0"/>
    <x v="1"/>
    <x v="0"/>
    <x v="3"/>
    <x v="3"/>
    <x v="0"/>
    <x v="0"/>
    <x v="0"/>
    <x v="0"/>
    <n v="1"/>
    <s v="Acceptable"/>
    <s v="1 Day"/>
    <x v="3"/>
    <s v="Thursday"/>
    <n v="2"/>
  </r>
  <r>
    <x v="2339"/>
    <d v="2024-02-03T00:00:00"/>
    <x v="1"/>
    <x v="0"/>
    <n v="16"/>
    <n v="59"/>
    <n v="8.6999999999999993"/>
    <x v="1"/>
    <x v="1"/>
    <x v="2"/>
    <x v="0"/>
    <x v="0"/>
    <x v="0"/>
    <x v="0"/>
    <x v="2"/>
    <x v="2"/>
    <n v="0"/>
    <s v="Very Fast"/>
    <s v="3 Days"/>
    <x v="9"/>
    <s v="Saturday"/>
    <n v="4"/>
  </r>
  <r>
    <x v="2340"/>
    <d v="2024-06-27T00:00:00"/>
    <x v="2"/>
    <x v="0"/>
    <n v="148"/>
    <n v="60"/>
    <n v="5"/>
    <x v="0"/>
    <x v="0"/>
    <x v="0"/>
    <x v="0"/>
    <x v="0"/>
    <x v="0"/>
    <x v="0"/>
    <x v="3"/>
    <x v="0"/>
    <n v="1"/>
    <s v="Slow"/>
    <s v="3 Days"/>
    <x v="4"/>
    <s v="Thursday"/>
    <n v="4"/>
  </r>
  <r>
    <x v="2341"/>
    <d v="2024-10-01T00:00:00"/>
    <x v="2"/>
    <x v="1"/>
    <n v="8"/>
    <n v="6"/>
    <n v="6.7"/>
    <x v="0"/>
    <x v="2"/>
    <x v="2"/>
    <x v="1"/>
    <x v="1"/>
    <x v="0"/>
    <x v="0"/>
    <x v="0"/>
    <x v="2"/>
    <n v="1"/>
    <s v="Very Fast"/>
    <s v="Same Day"/>
    <x v="7"/>
    <s v="Tuesday"/>
    <n v="3"/>
  </r>
  <r>
    <x v="2342"/>
    <d v="2024-12-17T00:00:00"/>
    <x v="0"/>
    <x v="2"/>
    <n v="175"/>
    <n v="32"/>
    <n v="3.3"/>
    <x v="0"/>
    <x v="1"/>
    <x v="0"/>
    <x v="2"/>
    <x v="2"/>
    <x v="1"/>
    <x v="1"/>
    <x v="3"/>
    <x v="0"/>
    <n v="1"/>
    <s v="Slow"/>
    <s v="2 Days"/>
    <x v="11"/>
    <s v="Tuesday"/>
    <n v="1"/>
  </r>
  <r>
    <x v="2343"/>
    <d v="2024-07-04T00:00:00"/>
    <x v="2"/>
    <x v="2"/>
    <n v="180"/>
    <n v="55"/>
    <n v="4.9000000000000004"/>
    <x v="1"/>
    <x v="2"/>
    <x v="0"/>
    <x v="2"/>
    <x v="2"/>
    <x v="1"/>
    <x v="1"/>
    <x v="3"/>
    <x v="0"/>
    <n v="0"/>
    <s v="Slow"/>
    <s v="3 Days"/>
    <x v="10"/>
    <s v="Thursday"/>
    <n v="1"/>
  </r>
  <r>
    <x v="2344"/>
    <d v="2024-04-11T00:00:00"/>
    <x v="0"/>
    <x v="2"/>
    <n v="127"/>
    <n v="50"/>
    <n v="1.3"/>
    <x v="1"/>
    <x v="0"/>
    <x v="0"/>
    <x v="2"/>
    <x v="2"/>
    <x v="1"/>
    <x v="1"/>
    <x v="1"/>
    <x v="0"/>
    <n v="0"/>
    <s v="Slow"/>
    <s v="3 Days"/>
    <x v="3"/>
    <s v="Thursday"/>
    <n v="1"/>
  </r>
  <r>
    <x v="2345"/>
    <d v="2024-09-01T00:00:00"/>
    <x v="4"/>
    <x v="0"/>
    <n v="26"/>
    <n v="56"/>
    <n v="2.2999999999999998"/>
    <x v="0"/>
    <x v="0"/>
    <x v="1"/>
    <x v="0"/>
    <x v="0"/>
    <x v="0"/>
    <x v="0"/>
    <x v="3"/>
    <x v="1"/>
    <n v="1"/>
    <s v="Very Fast"/>
    <s v="3 Days"/>
    <x v="5"/>
    <s v="Sunday"/>
    <n v="4"/>
  </r>
  <r>
    <x v="2346"/>
    <d v="2024-04-26T00:00:00"/>
    <x v="0"/>
    <x v="3"/>
    <n v="10"/>
    <n v="5"/>
    <n v="4.5"/>
    <x v="1"/>
    <x v="2"/>
    <x v="2"/>
    <x v="3"/>
    <x v="3"/>
    <x v="0"/>
    <x v="0"/>
    <x v="3"/>
    <x v="2"/>
    <n v="0"/>
    <s v="Very Fast"/>
    <s v="Same Day"/>
    <x v="3"/>
    <s v="Friday"/>
    <n v="2"/>
  </r>
  <r>
    <x v="2347"/>
    <d v="2024-04-09T00:00:00"/>
    <x v="1"/>
    <x v="1"/>
    <n v="165"/>
    <n v="34"/>
    <n v="8.1"/>
    <x v="0"/>
    <x v="0"/>
    <x v="0"/>
    <x v="1"/>
    <x v="1"/>
    <x v="0"/>
    <x v="1"/>
    <x v="2"/>
    <x v="0"/>
    <n v="1"/>
    <s v="Slow"/>
    <s v="2 Days"/>
    <x v="3"/>
    <s v="Tuesday"/>
    <n v="3"/>
  </r>
  <r>
    <x v="2348"/>
    <d v="2024-05-13T00:00:00"/>
    <x v="0"/>
    <x v="1"/>
    <n v="132"/>
    <n v="40"/>
    <n v="8.9"/>
    <x v="1"/>
    <x v="2"/>
    <x v="1"/>
    <x v="1"/>
    <x v="1"/>
    <x v="0"/>
    <x v="1"/>
    <x v="2"/>
    <x v="1"/>
    <n v="0"/>
    <s v="Slow"/>
    <s v="2 Days"/>
    <x v="1"/>
    <s v="Monday"/>
    <n v="3"/>
  </r>
  <r>
    <x v="2349"/>
    <d v="2024-09-28T00:00:00"/>
    <x v="4"/>
    <x v="1"/>
    <n v="137"/>
    <n v="10"/>
    <n v="5.0999999999999996"/>
    <x v="0"/>
    <x v="1"/>
    <x v="0"/>
    <x v="1"/>
    <x v="1"/>
    <x v="0"/>
    <x v="1"/>
    <x v="0"/>
    <x v="0"/>
    <n v="1"/>
    <s v="Slow"/>
    <s v="1 Day"/>
    <x v="5"/>
    <s v="Saturday"/>
    <n v="3"/>
  </r>
  <r>
    <x v="2350"/>
    <d v="2024-09-13T00:00:00"/>
    <x v="0"/>
    <x v="3"/>
    <n v="209"/>
    <n v="50"/>
    <n v="9.3000000000000007"/>
    <x v="1"/>
    <x v="1"/>
    <x v="0"/>
    <x v="3"/>
    <x v="3"/>
    <x v="1"/>
    <x v="1"/>
    <x v="2"/>
    <x v="0"/>
    <n v="0"/>
    <s v="Slow"/>
    <s v="3 Days"/>
    <x v="5"/>
    <s v="Friday"/>
    <n v="2"/>
  </r>
  <r>
    <x v="2351"/>
    <d v="2024-03-29T00:00:00"/>
    <x v="3"/>
    <x v="3"/>
    <n v="5"/>
    <n v="65"/>
    <n v="9.4"/>
    <x v="1"/>
    <x v="1"/>
    <x v="1"/>
    <x v="3"/>
    <x v="3"/>
    <x v="1"/>
    <x v="0"/>
    <x v="2"/>
    <x v="1"/>
    <n v="0"/>
    <s v="Very Fast"/>
    <s v="3 Days"/>
    <x v="2"/>
    <s v="Friday"/>
    <n v="2"/>
  </r>
  <r>
    <x v="2352"/>
    <d v="2024-11-12T00:00:00"/>
    <x v="3"/>
    <x v="2"/>
    <n v="38"/>
    <n v="16"/>
    <n v="5.9"/>
    <x v="0"/>
    <x v="1"/>
    <x v="0"/>
    <x v="2"/>
    <x v="2"/>
    <x v="1"/>
    <x v="1"/>
    <x v="0"/>
    <x v="0"/>
    <n v="1"/>
    <s v="Acceptable"/>
    <s v="1 Day"/>
    <x v="6"/>
    <s v="Tuesday"/>
    <n v="1"/>
  </r>
  <r>
    <x v="2353"/>
    <d v="2024-08-05T00:00:00"/>
    <x v="4"/>
    <x v="2"/>
    <n v="197"/>
    <n v="19"/>
    <n v="8.6999999999999993"/>
    <x v="0"/>
    <x v="1"/>
    <x v="0"/>
    <x v="2"/>
    <x v="2"/>
    <x v="1"/>
    <x v="1"/>
    <x v="2"/>
    <x v="0"/>
    <n v="1"/>
    <s v="Slow"/>
    <s v="1 Day"/>
    <x v="0"/>
    <s v="Monday"/>
    <n v="1"/>
  </r>
  <r>
    <x v="2354"/>
    <d v="2024-10-31T00:00:00"/>
    <x v="1"/>
    <x v="0"/>
    <n v="90"/>
    <n v="67"/>
    <n v="4.7"/>
    <x v="0"/>
    <x v="1"/>
    <x v="0"/>
    <x v="0"/>
    <x v="0"/>
    <x v="0"/>
    <x v="0"/>
    <x v="3"/>
    <x v="0"/>
    <n v="1"/>
    <s v="Acceptable"/>
    <s v="3 Days"/>
    <x v="7"/>
    <s v="Thursday"/>
    <n v="4"/>
  </r>
  <r>
    <x v="2355"/>
    <d v="2024-11-27T00:00:00"/>
    <x v="0"/>
    <x v="1"/>
    <n v="196"/>
    <n v="35"/>
    <n v="1.3"/>
    <x v="1"/>
    <x v="1"/>
    <x v="0"/>
    <x v="1"/>
    <x v="1"/>
    <x v="0"/>
    <x v="1"/>
    <x v="1"/>
    <x v="0"/>
    <n v="0"/>
    <s v="Slow"/>
    <s v="2 Days"/>
    <x v="6"/>
    <s v="Wednesday"/>
    <n v="3"/>
  </r>
  <r>
    <x v="2356"/>
    <d v="2024-07-23T00:00:00"/>
    <x v="2"/>
    <x v="3"/>
    <n v="21"/>
    <n v="15"/>
    <n v="6.6"/>
    <x v="1"/>
    <x v="2"/>
    <x v="1"/>
    <x v="3"/>
    <x v="3"/>
    <x v="0"/>
    <x v="0"/>
    <x v="0"/>
    <x v="1"/>
    <n v="0"/>
    <s v="Very Fast"/>
    <s v="1 Day"/>
    <x v="10"/>
    <s v="Tuesday"/>
    <n v="2"/>
  </r>
  <r>
    <x v="2357"/>
    <d v="2024-05-06T00:00:00"/>
    <x v="2"/>
    <x v="1"/>
    <n v="175"/>
    <n v="67"/>
    <n v="0.7"/>
    <x v="1"/>
    <x v="1"/>
    <x v="0"/>
    <x v="1"/>
    <x v="1"/>
    <x v="1"/>
    <x v="1"/>
    <x v="1"/>
    <x v="0"/>
    <n v="0"/>
    <s v="Slow"/>
    <s v="3 Days"/>
    <x v="1"/>
    <s v="Monday"/>
    <n v="3"/>
  </r>
  <r>
    <x v="2358"/>
    <d v="2024-01-06T00:00:00"/>
    <x v="2"/>
    <x v="1"/>
    <n v="45"/>
    <n v="48"/>
    <n v="6.7"/>
    <x v="0"/>
    <x v="2"/>
    <x v="0"/>
    <x v="1"/>
    <x v="1"/>
    <x v="0"/>
    <x v="0"/>
    <x v="0"/>
    <x v="0"/>
    <n v="1"/>
    <s v="Acceptable"/>
    <s v="2 Days"/>
    <x v="8"/>
    <s v="Saturday"/>
    <n v="3"/>
  </r>
  <r>
    <x v="2359"/>
    <d v="2024-03-29T00:00:00"/>
    <x v="1"/>
    <x v="0"/>
    <n v="6"/>
    <n v="30"/>
    <n v="6.2"/>
    <x v="1"/>
    <x v="2"/>
    <x v="2"/>
    <x v="0"/>
    <x v="0"/>
    <x v="0"/>
    <x v="0"/>
    <x v="0"/>
    <x v="2"/>
    <n v="0"/>
    <s v="Very Fast"/>
    <s v="2 Days"/>
    <x v="2"/>
    <s v="Friday"/>
    <n v="4"/>
  </r>
  <r>
    <x v="2360"/>
    <d v="2024-08-22T00:00:00"/>
    <x v="1"/>
    <x v="3"/>
    <n v="185"/>
    <n v="42"/>
    <n v="6.2"/>
    <x v="0"/>
    <x v="1"/>
    <x v="0"/>
    <x v="3"/>
    <x v="3"/>
    <x v="1"/>
    <x v="1"/>
    <x v="0"/>
    <x v="0"/>
    <n v="1"/>
    <s v="Slow"/>
    <s v="2 Days"/>
    <x v="0"/>
    <s v="Thursday"/>
    <n v="2"/>
  </r>
  <r>
    <x v="2361"/>
    <d v="2024-09-23T00:00:00"/>
    <x v="0"/>
    <x v="1"/>
    <n v="197"/>
    <n v="8"/>
    <n v="3.2"/>
    <x v="0"/>
    <x v="1"/>
    <x v="0"/>
    <x v="1"/>
    <x v="1"/>
    <x v="0"/>
    <x v="1"/>
    <x v="3"/>
    <x v="0"/>
    <n v="1"/>
    <s v="Slow"/>
    <s v="Same Day"/>
    <x v="5"/>
    <s v="Monday"/>
    <n v="3"/>
  </r>
  <r>
    <x v="2362"/>
    <d v="2024-01-22T00:00:00"/>
    <x v="0"/>
    <x v="2"/>
    <n v="224"/>
    <n v="46"/>
    <n v="3.9"/>
    <x v="1"/>
    <x v="1"/>
    <x v="0"/>
    <x v="2"/>
    <x v="2"/>
    <x v="1"/>
    <x v="1"/>
    <x v="3"/>
    <x v="0"/>
    <n v="0"/>
    <s v="Slow"/>
    <s v="2 Days"/>
    <x v="8"/>
    <s v="Monday"/>
    <n v="1"/>
  </r>
  <r>
    <x v="2363"/>
    <d v="2024-01-26T00:00:00"/>
    <x v="2"/>
    <x v="1"/>
    <n v="173"/>
    <n v="5"/>
    <n v="1.6"/>
    <x v="0"/>
    <x v="1"/>
    <x v="1"/>
    <x v="1"/>
    <x v="1"/>
    <x v="0"/>
    <x v="1"/>
    <x v="1"/>
    <x v="1"/>
    <n v="1"/>
    <s v="Slow"/>
    <s v="Same Day"/>
    <x v="8"/>
    <s v="Friday"/>
    <n v="3"/>
  </r>
  <r>
    <x v="2364"/>
    <d v="2024-05-29T00:00:00"/>
    <x v="3"/>
    <x v="2"/>
    <n v="6"/>
    <n v="47"/>
    <n v="6.5"/>
    <x v="0"/>
    <x v="2"/>
    <x v="1"/>
    <x v="2"/>
    <x v="2"/>
    <x v="1"/>
    <x v="0"/>
    <x v="0"/>
    <x v="1"/>
    <n v="1"/>
    <s v="Very Fast"/>
    <s v="2 Days"/>
    <x v="1"/>
    <s v="Wednesday"/>
    <n v="1"/>
  </r>
  <r>
    <x v="2365"/>
    <d v="2024-05-01T00:00:00"/>
    <x v="0"/>
    <x v="1"/>
    <n v="61"/>
    <n v="66"/>
    <n v="1.8"/>
    <x v="0"/>
    <x v="0"/>
    <x v="0"/>
    <x v="1"/>
    <x v="1"/>
    <x v="1"/>
    <x v="0"/>
    <x v="1"/>
    <x v="0"/>
    <n v="1"/>
    <s v="Acceptable"/>
    <s v="3 Days"/>
    <x v="1"/>
    <s v="Wednesday"/>
    <n v="3"/>
  </r>
  <r>
    <x v="2366"/>
    <d v="2024-02-18T00:00:00"/>
    <x v="3"/>
    <x v="3"/>
    <n v="127"/>
    <n v="59"/>
    <n v="9.5"/>
    <x v="0"/>
    <x v="1"/>
    <x v="0"/>
    <x v="3"/>
    <x v="3"/>
    <x v="1"/>
    <x v="1"/>
    <x v="2"/>
    <x v="0"/>
    <n v="1"/>
    <s v="Slow"/>
    <s v="3 Days"/>
    <x v="9"/>
    <s v="Sunday"/>
    <n v="2"/>
  </r>
  <r>
    <x v="2367"/>
    <d v="2024-02-13T00:00:00"/>
    <x v="4"/>
    <x v="2"/>
    <n v="47"/>
    <n v="11"/>
    <n v="5.0999999999999996"/>
    <x v="1"/>
    <x v="0"/>
    <x v="0"/>
    <x v="2"/>
    <x v="2"/>
    <x v="1"/>
    <x v="1"/>
    <x v="0"/>
    <x v="0"/>
    <n v="0"/>
    <s v="Acceptable"/>
    <s v="1 Day"/>
    <x v="9"/>
    <s v="Tuesday"/>
    <n v="1"/>
  </r>
  <r>
    <x v="2368"/>
    <d v="2024-12-26T00:00:00"/>
    <x v="0"/>
    <x v="1"/>
    <n v="177"/>
    <n v="36"/>
    <n v="4.3"/>
    <x v="1"/>
    <x v="0"/>
    <x v="0"/>
    <x v="1"/>
    <x v="1"/>
    <x v="0"/>
    <x v="1"/>
    <x v="3"/>
    <x v="0"/>
    <n v="0"/>
    <s v="Slow"/>
    <s v="2 Days"/>
    <x v="11"/>
    <s v="Thursday"/>
    <n v="3"/>
  </r>
  <r>
    <x v="2369"/>
    <d v="2024-07-11T00:00:00"/>
    <x v="2"/>
    <x v="1"/>
    <n v="45"/>
    <n v="24"/>
    <n v="6.9"/>
    <x v="1"/>
    <x v="1"/>
    <x v="1"/>
    <x v="1"/>
    <x v="1"/>
    <x v="0"/>
    <x v="0"/>
    <x v="0"/>
    <x v="1"/>
    <n v="0"/>
    <s v="Acceptable"/>
    <s v="1 Day"/>
    <x v="10"/>
    <s v="Thursday"/>
    <n v="3"/>
  </r>
  <r>
    <x v="2370"/>
    <d v="2024-08-09T00:00:00"/>
    <x v="1"/>
    <x v="0"/>
    <n v="230"/>
    <n v="59"/>
    <n v="2.4"/>
    <x v="1"/>
    <x v="2"/>
    <x v="0"/>
    <x v="0"/>
    <x v="0"/>
    <x v="0"/>
    <x v="0"/>
    <x v="3"/>
    <x v="0"/>
    <n v="0"/>
    <s v="Slow"/>
    <s v="3 Days"/>
    <x v="0"/>
    <s v="Friday"/>
    <n v="4"/>
  </r>
  <r>
    <x v="2371"/>
    <d v="2024-02-08T00:00:00"/>
    <x v="1"/>
    <x v="0"/>
    <n v="177"/>
    <n v="53"/>
    <n v="1.2"/>
    <x v="0"/>
    <x v="1"/>
    <x v="0"/>
    <x v="0"/>
    <x v="0"/>
    <x v="0"/>
    <x v="0"/>
    <x v="1"/>
    <x v="0"/>
    <n v="1"/>
    <s v="Slow"/>
    <s v="3 Days"/>
    <x v="9"/>
    <s v="Thursday"/>
    <n v="4"/>
  </r>
  <r>
    <x v="2372"/>
    <d v="2024-12-25T00:00:00"/>
    <x v="1"/>
    <x v="0"/>
    <n v="95"/>
    <n v="14"/>
    <n v="7.4"/>
    <x v="1"/>
    <x v="1"/>
    <x v="1"/>
    <x v="0"/>
    <x v="0"/>
    <x v="0"/>
    <x v="0"/>
    <x v="0"/>
    <x v="1"/>
    <n v="0"/>
    <s v="Acceptable"/>
    <s v="1 Day"/>
    <x v="11"/>
    <s v="Wednesday"/>
    <n v="4"/>
  </r>
  <r>
    <x v="2373"/>
    <d v="2024-10-14T00:00:00"/>
    <x v="0"/>
    <x v="1"/>
    <n v="18"/>
    <n v="69"/>
    <n v="2.9"/>
    <x v="0"/>
    <x v="2"/>
    <x v="1"/>
    <x v="1"/>
    <x v="1"/>
    <x v="1"/>
    <x v="0"/>
    <x v="3"/>
    <x v="1"/>
    <n v="1"/>
    <s v="Very Fast"/>
    <s v="3 Days"/>
    <x v="7"/>
    <s v="Monday"/>
    <n v="3"/>
  </r>
  <r>
    <x v="2374"/>
    <d v="2024-09-14T00:00:00"/>
    <x v="0"/>
    <x v="1"/>
    <n v="110"/>
    <n v="1"/>
    <n v="8.6999999999999993"/>
    <x v="1"/>
    <x v="0"/>
    <x v="2"/>
    <x v="1"/>
    <x v="1"/>
    <x v="0"/>
    <x v="0"/>
    <x v="2"/>
    <x v="2"/>
    <n v="0"/>
    <s v="Acceptable"/>
    <s v="Same Day"/>
    <x v="5"/>
    <s v="Saturday"/>
    <n v="3"/>
  </r>
  <r>
    <x v="2375"/>
    <d v="2024-07-16T00:00:00"/>
    <x v="1"/>
    <x v="0"/>
    <n v="141"/>
    <n v="61"/>
    <n v="6.3"/>
    <x v="1"/>
    <x v="0"/>
    <x v="1"/>
    <x v="0"/>
    <x v="0"/>
    <x v="0"/>
    <x v="0"/>
    <x v="0"/>
    <x v="1"/>
    <n v="0"/>
    <s v="Slow"/>
    <s v="3 Days"/>
    <x v="10"/>
    <s v="Tuesday"/>
    <n v="4"/>
  </r>
  <r>
    <x v="2376"/>
    <d v="2024-07-21T00:00:00"/>
    <x v="3"/>
    <x v="1"/>
    <n v="46"/>
    <n v="44"/>
    <n v="3.9"/>
    <x v="1"/>
    <x v="0"/>
    <x v="0"/>
    <x v="1"/>
    <x v="1"/>
    <x v="0"/>
    <x v="0"/>
    <x v="3"/>
    <x v="0"/>
    <n v="0"/>
    <s v="Acceptable"/>
    <s v="2 Days"/>
    <x v="10"/>
    <s v="Sunday"/>
    <n v="3"/>
  </r>
  <r>
    <x v="2377"/>
    <d v="2024-06-02T00:00:00"/>
    <x v="4"/>
    <x v="1"/>
    <n v="181"/>
    <n v="63"/>
    <n v="3.3"/>
    <x v="1"/>
    <x v="0"/>
    <x v="0"/>
    <x v="1"/>
    <x v="1"/>
    <x v="1"/>
    <x v="1"/>
    <x v="3"/>
    <x v="0"/>
    <n v="0"/>
    <s v="Slow"/>
    <s v="3 Days"/>
    <x v="4"/>
    <s v="Sunday"/>
    <n v="3"/>
  </r>
  <r>
    <x v="2378"/>
    <d v="2024-11-10T00:00:00"/>
    <x v="2"/>
    <x v="0"/>
    <n v="12"/>
    <n v="18"/>
    <n v="0.7"/>
    <x v="1"/>
    <x v="0"/>
    <x v="1"/>
    <x v="0"/>
    <x v="0"/>
    <x v="0"/>
    <x v="0"/>
    <x v="1"/>
    <x v="1"/>
    <n v="0"/>
    <s v="Very Fast"/>
    <s v="1 Day"/>
    <x v="6"/>
    <s v="Sunday"/>
    <n v="4"/>
  </r>
  <r>
    <x v="2379"/>
    <d v="2024-06-24T00:00:00"/>
    <x v="2"/>
    <x v="3"/>
    <n v="81"/>
    <n v="37"/>
    <n v="6.1"/>
    <x v="1"/>
    <x v="1"/>
    <x v="0"/>
    <x v="3"/>
    <x v="3"/>
    <x v="1"/>
    <x v="1"/>
    <x v="0"/>
    <x v="0"/>
    <n v="0"/>
    <s v="Acceptable"/>
    <s v="2 Days"/>
    <x v="4"/>
    <s v="Monday"/>
    <n v="2"/>
  </r>
  <r>
    <x v="2380"/>
    <d v="2024-11-11T00:00:00"/>
    <x v="2"/>
    <x v="3"/>
    <n v="93"/>
    <n v="71"/>
    <n v="1.9"/>
    <x v="1"/>
    <x v="2"/>
    <x v="0"/>
    <x v="3"/>
    <x v="3"/>
    <x v="1"/>
    <x v="1"/>
    <x v="1"/>
    <x v="0"/>
    <n v="0"/>
    <s v="Acceptable"/>
    <s v="3 Days"/>
    <x v="6"/>
    <s v="Monday"/>
    <n v="2"/>
  </r>
  <r>
    <x v="2381"/>
    <d v="2024-03-13T00:00:00"/>
    <x v="0"/>
    <x v="3"/>
    <n v="106"/>
    <n v="24"/>
    <n v="6"/>
    <x v="1"/>
    <x v="0"/>
    <x v="0"/>
    <x v="3"/>
    <x v="3"/>
    <x v="0"/>
    <x v="1"/>
    <x v="0"/>
    <x v="0"/>
    <n v="0"/>
    <s v="Acceptable"/>
    <s v="1 Day"/>
    <x v="2"/>
    <s v="Wednesday"/>
    <n v="2"/>
  </r>
  <r>
    <x v="2382"/>
    <d v="2024-01-17T00:00:00"/>
    <x v="3"/>
    <x v="2"/>
    <n v="141"/>
    <n v="31"/>
    <n v="4.5999999999999996"/>
    <x v="0"/>
    <x v="1"/>
    <x v="0"/>
    <x v="2"/>
    <x v="2"/>
    <x v="1"/>
    <x v="1"/>
    <x v="3"/>
    <x v="0"/>
    <n v="1"/>
    <s v="Slow"/>
    <s v="2 Days"/>
    <x v="8"/>
    <s v="Wednesday"/>
    <n v="1"/>
  </r>
  <r>
    <x v="2383"/>
    <d v="2024-11-25T00:00:00"/>
    <x v="0"/>
    <x v="3"/>
    <n v="187"/>
    <n v="48"/>
    <n v="3.3"/>
    <x v="1"/>
    <x v="0"/>
    <x v="0"/>
    <x v="3"/>
    <x v="3"/>
    <x v="1"/>
    <x v="1"/>
    <x v="3"/>
    <x v="0"/>
    <n v="0"/>
    <s v="Slow"/>
    <s v="2 Days"/>
    <x v="6"/>
    <s v="Monday"/>
    <n v="2"/>
  </r>
  <r>
    <x v="2384"/>
    <d v="2024-01-04T00:00:00"/>
    <x v="1"/>
    <x v="2"/>
    <n v="179"/>
    <n v="71"/>
    <n v="0.6"/>
    <x v="1"/>
    <x v="1"/>
    <x v="0"/>
    <x v="2"/>
    <x v="2"/>
    <x v="1"/>
    <x v="1"/>
    <x v="1"/>
    <x v="0"/>
    <n v="0"/>
    <s v="Slow"/>
    <s v="3 Days"/>
    <x v="8"/>
    <s v="Thursday"/>
    <n v="1"/>
  </r>
  <r>
    <x v="2385"/>
    <d v="2024-10-14T00:00:00"/>
    <x v="0"/>
    <x v="0"/>
    <n v="211"/>
    <n v="14"/>
    <n v="4.7"/>
    <x v="1"/>
    <x v="0"/>
    <x v="0"/>
    <x v="0"/>
    <x v="0"/>
    <x v="0"/>
    <x v="0"/>
    <x v="3"/>
    <x v="0"/>
    <n v="0"/>
    <s v="Slow"/>
    <s v="1 Day"/>
    <x v="7"/>
    <s v="Monday"/>
    <n v="4"/>
  </r>
  <r>
    <x v="2386"/>
    <d v="2024-06-11T00:00:00"/>
    <x v="2"/>
    <x v="2"/>
    <n v="45"/>
    <n v="1"/>
    <n v="6.9"/>
    <x v="0"/>
    <x v="2"/>
    <x v="1"/>
    <x v="2"/>
    <x v="2"/>
    <x v="0"/>
    <x v="1"/>
    <x v="0"/>
    <x v="1"/>
    <n v="1"/>
    <s v="Acceptable"/>
    <s v="Same Day"/>
    <x v="4"/>
    <s v="Tuesday"/>
    <n v="1"/>
  </r>
  <r>
    <x v="2387"/>
    <d v="2024-08-18T00:00:00"/>
    <x v="0"/>
    <x v="1"/>
    <n v="11"/>
    <n v="18"/>
    <n v="3.6"/>
    <x v="1"/>
    <x v="1"/>
    <x v="1"/>
    <x v="1"/>
    <x v="1"/>
    <x v="0"/>
    <x v="0"/>
    <x v="3"/>
    <x v="1"/>
    <n v="0"/>
    <s v="Very Fast"/>
    <s v="1 Day"/>
    <x v="0"/>
    <s v="Sunday"/>
    <n v="3"/>
  </r>
  <r>
    <x v="2388"/>
    <d v="2024-11-10T00:00:00"/>
    <x v="2"/>
    <x v="1"/>
    <n v="15"/>
    <n v="67"/>
    <n v="9.6999999999999993"/>
    <x v="1"/>
    <x v="1"/>
    <x v="2"/>
    <x v="1"/>
    <x v="1"/>
    <x v="1"/>
    <x v="0"/>
    <x v="2"/>
    <x v="2"/>
    <n v="0"/>
    <s v="Very Fast"/>
    <s v="3 Days"/>
    <x v="6"/>
    <s v="Sunday"/>
    <n v="3"/>
  </r>
  <r>
    <x v="2389"/>
    <d v="2024-09-25T00:00:00"/>
    <x v="1"/>
    <x v="2"/>
    <n v="157"/>
    <n v="15"/>
    <n v="6.5"/>
    <x v="0"/>
    <x v="1"/>
    <x v="0"/>
    <x v="2"/>
    <x v="2"/>
    <x v="1"/>
    <x v="1"/>
    <x v="0"/>
    <x v="0"/>
    <n v="1"/>
    <s v="Slow"/>
    <s v="1 Day"/>
    <x v="5"/>
    <s v="Wednesday"/>
    <n v="1"/>
  </r>
  <r>
    <x v="2390"/>
    <d v="2024-02-11T00:00:00"/>
    <x v="2"/>
    <x v="3"/>
    <n v="19"/>
    <n v="10"/>
    <n v="5.4"/>
    <x v="1"/>
    <x v="1"/>
    <x v="1"/>
    <x v="3"/>
    <x v="3"/>
    <x v="0"/>
    <x v="0"/>
    <x v="0"/>
    <x v="1"/>
    <n v="0"/>
    <s v="Very Fast"/>
    <s v="1 Day"/>
    <x v="9"/>
    <s v="Sunday"/>
    <n v="2"/>
  </r>
  <r>
    <x v="2391"/>
    <d v="2024-06-22T00:00:00"/>
    <x v="4"/>
    <x v="2"/>
    <n v="33"/>
    <n v="71"/>
    <n v="3.3"/>
    <x v="1"/>
    <x v="2"/>
    <x v="0"/>
    <x v="2"/>
    <x v="2"/>
    <x v="1"/>
    <x v="1"/>
    <x v="3"/>
    <x v="0"/>
    <n v="0"/>
    <s v="Acceptable"/>
    <s v="3 Days"/>
    <x v="4"/>
    <s v="Saturday"/>
    <n v="1"/>
  </r>
  <r>
    <x v="2392"/>
    <d v="2024-02-24T00:00:00"/>
    <x v="0"/>
    <x v="3"/>
    <n v="148"/>
    <n v="39"/>
    <n v="0.5"/>
    <x v="1"/>
    <x v="2"/>
    <x v="0"/>
    <x v="3"/>
    <x v="3"/>
    <x v="1"/>
    <x v="1"/>
    <x v="1"/>
    <x v="0"/>
    <n v="0"/>
    <s v="Slow"/>
    <s v="2 Days"/>
    <x v="9"/>
    <s v="Saturday"/>
    <n v="2"/>
  </r>
  <r>
    <x v="2393"/>
    <d v="2024-08-22T00:00:00"/>
    <x v="1"/>
    <x v="1"/>
    <n v="14"/>
    <n v="27"/>
    <n v="9.8000000000000007"/>
    <x v="1"/>
    <x v="2"/>
    <x v="2"/>
    <x v="1"/>
    <x v="1"/>
    <x v="0"/>
    <x v="0"/>
    <x v="2"/>
    <x v="2"/>
    <n v="0"/>
    <s v="Very Fast"/>
    <s v="2 Days"/>
    <x v="0"/>
    <s v="Thursday"/>
    <n v="3"/>
  </r>
  <r>
    <x v="2394"/>
    <d v="2024-10-28T00:00:00"/>
    <x v="1"/>
    <x v="2"/>
    <n v="172"/>
    <n v="15"/>
    <n v="9.5"/>
    <x v="1"/>
    <x v="2"/>
    <x v="0"/>
    <x v="2"/>
    <x v="2"/>
    <x v="1"/>
    <x v="1"/>
    <x v="2"/>
    <x v="0"/>
    <n v="0"/>
    <s v="Slow"/>
    <s v="1 Day"/>
    <x v="7"/>
    <s v="Monday"/>
    <n v="1"/>
  </r>
  <r>
    <x v="2395"/>
    <d v="2024-05-31T00:00:00"/>
    <x v="1"/>
    <x v="2"/>
    <n v="150"/>
    <n v="65"/>
    <n v="6.7"/>
    <x v="0"/>
    <x v="1"/>
    <x v="0"/>
    <x v="2"/>
    <x v="2"/>
    <x v="1"/>
    <x v="1"/>
    <x v="0"/>
    <x v="0"/>
    <n v="1"/>
    <s v="Slow"/>
    <s v="3 Days"/>
    <x v="1"/>
    <s v="Friday"/>
    <n v="1"/>
  </r>
  <r>
    <x v="2396"/>
    <d v="2024-08-07T00:00:00"/>
    <x v="1"/>
    <x v="3"/>
    <n v="74"/>
    <n v="15"/>
    <n v="6.9"/>
    <x v="0"/>
    <x v="1"/>
    <x v="0"/>
    <x v="3"/>
    <x v="3"/>
    <x v="0"/>
    <x v="1"/>
    <x v="0"/>
    <x v="0"/>
    <n v="1"/>
    <s v="Acceptable"/>
    <s v="1 Day"/>
    <x v="0"/>
    <s v="Wednesday"/>
    <n v="2"/>
  </r>
  <r>
    <x v="2397"/>
    <d v="2024-01-10T00:00:00"/>
    <x v="3"/>
    <x v="0"/>
    <n v="112"/>
    <n v="55"/>
    <n v="4.8"/>
    <x v="1"/>
    <x v="1"/>
    <x v="0"/>
    <x v="0"/>
    <x v="0"/>
    <x v="0"/>
    <x v="0"/>
    <x v="3"/>
    <x v="0"/>
    <n v="0"/>
    <s v="Acceptable"/>
    <s v="3 Days"/>
    <x v="8"/>
    <s v="Wednesday"/>
    <n v="4"/>
  </r>
  <r>
    <x v="2398"/>
    <d v="2024-01-17T00:00:00"/>
    <x v="4"/>
    <x v="0"/>
    <n v="230"/>
    <n v="34"/>
    <n v="2.9"/>
    <x v="0"/>
    <x v="0"/>
    <x v="0"/>
    <x v="0"/>
    <x v="0"/>
    <x v="0"/>
    <x v="0"/>
    <x v="3"/>
    <x v="0"/>
    <n v="1"/>
    <s v="Slow"/>
    <s v="2 Days"/>
    <x v="8"/>
    <s v="Wednesday"/>
    <n v="4"/>
  </r>
  <r>
    <x v="2399"/>
    <d v="2024-04-26T00:00:00"/>
    <x v="0"/>
    <x v="0"/>
    <n v="33"/>
    <n v="55"/>
    <n v="1.2"/>
    <x v="0"/>
    <x v="1"/>
    <x v="0"/>
    <x v="0"/>
    <x v="0"/>
    <x v="0"/>
    <x v="0"/>
    <x v="1"/>
    <x v="0"/>
    <n v="1"/>
    <s v="Acceptable"/>
    <s v="3 Days"/>
    <x v="3"/>
    <s v="Friday"/>
    <n v="4"/>
  </r>
  <r>
    <x v="2400"/>
    <d v="2024-06-08T00:00:00"/>
    <x v="2"/>
    <x v="1"/>
    <n v="178"/>
    <n v="32"/>
    <n v="1.2"/>
    <x v="0"/>
    <x v="2"/>
    <x v="0"/>
    <x v="1"/>
    <x v="1"/>
    <x v="0"/>
    <x v="1"/>
    <x v="1"/>
    <x v="0"/>
    <n v="1"/>
    <s v="Slow"/>
    <s v="2 Days"/>
    <x v="4"/>
    <s v="Saturday"/>
    <n v="3"/>
  </r>
  <r>
    <x v="2401"/>
    <d v="2024-10-02T00:00:00"/>
    <x v="3"/>
    <x v="3"/>
    <n v="43"/>
    <n v="30"/>
    <n v="9.5"/>
    <x v="0"/>
    <x v="2"/>
    <x v="0"/>
    <x v="3"/>
    <x v="3"/>
    <x v="1"/>
    <x v="0"/>
    <x v="2"/>
    <x v="0"/>
    <n v="1"/>
    <s v="Acceptable"/>
    <s v="2 Days"/>
    <x v="7"/>
    <s v="Wednesday"/>
    <n v="2"/>
  </r>
  <r>
    <x v="2402"/>
    <d v="2024-08-21T00:00:00"/>
    <x v="2"/>
    <x v="3"/>
    <n v="129"/>
    <n v="21"/>
    <n v="2.9"/>
    <x v="0"/>
    <x v="2"/>
    <x v="0"/>
    <x v="3"/>
    <x v="3"/>
    <x v="0"/>
    <x v="1"/>
    <x v="3"/>
    <x v="0"/>
    <n v="1"/>
    <s v="Slow"/>
    <s v="1 Day"/>
    <x v="0"/>
    <s v="Wednesday"/>
    <n v="2"/>
  </r>
  <r>
    <x v="2403"/>
    <d v="2024-05-18T00:00:00"/>
    <x v="3"/>
    <x v="2"/>
    <n v="190"/>
    <n v="51"/>
    <n v="1.1000000000000001"/>
    <x v="1"/>
    <x v="2"/>
    <x v="0"/>
    <x v="2"/>
    <x v="2"/>
    <x v="1"/>
    <x v="1"/>
    <x v="1"/>
    <x v="0"/>
    <n v="0"/>
    <s v="Slow"/>
    <s v="3 Days"/>
    <x v="1"/>
    <s v="Saturday"/>
    <n v="1"/>
  </r>
  <r>
    <x v="2404"/>
    <d v="2024-04-12T00:00:00"/>
    <x v="2"/>
    <x v="2"/>
    <n v="120"/>
    <n v="59"/>
    <n v="2.2999999999999998"/>
    <x v="0"/>
    <x v="2"/>
    <x v="0"/>
    <x v="2"/>
    <x v="2"/>
    <x v="1"/>
    <x v="1"/>
    <x v="3"/>
    <x v="0"/>
    <n v="1"/>
    <s v="Acceptable"/>
    <s v="3 Days"/>
    <x v="3"/>
    <s v="Friday"/>
    <n v="1"/>
  </r>
  <r>
    <x v="2405"/>
    <d v="2024-02-04T00:00:00"/>
    <x v="3"/>
    <x v="1"/>
    <n v="54"/>
    <n v="14"/>
    <n v="5.6"/>
    <x v="0"/>
    <x v="0"/>
    <x v="0"/>
    <x v="1"/>
    <x v="1"/>
    <x v="0"/>
    <x v="0"/>
    <x v="0"/>
    <x v="0"/>
    <n v="1"/>
    <s v="Acceptable"/>
    <s v="1 Day"/>
    <x v="9"/>
    <s v="Sunday"/>
    <n v="3"/>
  </r>
  <r>
    <x v="2406"/>
    <d v="2024-02-27T00:00:00"/>
    <x v="2"/>
    <x v="3"/>
    <n v="68"/>
    <n v="1"/>
    <n v="6.3"/>
    <x v="1"/>
    <x v="1"/>
    <x v="1"/>
    <x v="3"/>
    <x v="3"/>
    <x v="0"/>
    <x v="1"/>
    <x v="0"/>
    <x v="1"/>
    <n v="0"/>
    <s v="Acceptable"/>
    <s v="Same Day"/>
    <x v="9"/>
    <s v="Tuesday"/>
    <n v="2"/>
  </r>
  <r>
    <x v="2407"/>
    <d v="2024-04-26T00:00:00"/>
    <x v="1"/>
    <x v="3"/>
    <n v="41"/>
    <n v="68"/>
    <n v="3.4"/>
    <x v="1"/>
    <x v="0"/>
    <x v="0"/>
    <x v="3"/>
    <x v="3"/>
    <x v="1"/>
    <x v="0"/>
    <x v="3"/>
    <x v="0"/>
    <n v="0"/>
    <s v="Acceptable"/>
    <s v="3 Days"/>
    <x v="3"/>
    <s v="Friday"/>
    <n v="2"/>
  </r>
  <r>
    <x v="2408"/>
    <d v="2024-03-01T00:00:00"/>
    <x v="1"/>
    <x v="3"/>
    <n v="159"/>
    <n v="29"/>
    <n v="4"/>
    <x v="0"/>
    <x v="0"/>
    <x v="0"/>
    <x v="3"/>
    <x v="3"/>
    <x v="1"/>
    <x v="1"/>
    <x v="3"/>
    <x v="0"/>
    <n v="1"/>
    <s v="Slow"/>
    <s v="2 Days"/>
    <x v="2"/>
    <s v="Friday"/>
    <n v="2"/>
  </r>
  <r>
    <x v="2409"/>
    <d v="2024-09-29T00:00:00"/>
    <x v="4"/>
    <x v="3"/>
    <n v="217"/>
    <n v="12"/>
    <n v="3.6"/>
    <x v="1"/>
    <x v="1"/>
    <x v="0"/>
    <x v="3"/>
    <x v="3"/>
    <x v="0"/>
    <x v="1"/>
    <x v="3"/>
    <x v="0"/>
    <n v="0"/>
    <s v="Slow"/>
    <s v="1 Day"/>
    <x v="5"/>
    <s v="Sunday"/>
    <n v="2"/>
  </r>
  <r>
    <x v="2410"/>
    <d v="2024-05-09T00:00:00"/>
    <x v="4"/>
    <x v="3"/>
    <n v="72"/>
    <n v="57"/>
    <n v="0.7"/>
    <x v="1"/>
    <x v="2"/>
    <x v="0"/>
    <x v="3"/>
    <x v="3"/>
    <x v="1"/>
    <x v="1"/>
    <x v="1"/>
    <x v="0"/>
    <n v="0"/>
    <s v="Acceptable"/>
    <s v="3 Days"/>
    <x v="1"/>
    <s v="Thursday"/>
    <n v="2"/>
  </r>
  <r>
    <x v="2411"/>
    <d v="2024-07-24T00:00:00"/>
    <x v="1"/>
    <x v="2"/>
    <n v="200"/>
    <n v="69"/>
    <n v="7.3"/>
    <x v="1"/>
    <x v="2"/>
    <x v="0"/>
    <x v="2"/>
    <x v="2"/>
    <x v="1"/>
    <x v="1"/>
    <x v="0"/>
    <x v="0"/>
    <n v="0"/>
    <s v="Slow"/>
    <s v="3 Days"/>
    <x v="10"/>
    <s v="Wednesday"/>
    <n v="1"/>
  </r>
  <r>
    <x v="2412"/>
    <d v="2024-12-26T00:00:00"/>
    <x v="1"/>
    <x v="0"/>
    <n v="30"/>
    <n v="54"/>
    <n v="1.7"/>
    <x v="1"/>
    <x v="0"/>
    <x v="1"/>
    <x v="0"/>
    <x v="0"/>
    <x v="0"/>
    <x v="0"/>
    <x v="1"/>
    <x v="1"/>
    <n v="0"/>
    <s v="Very Fast"/>
    <s v="3 Days"/>
    <x v="11"/>
    <s v="Thursday"/>
    <n v="4"/>
  </r>
  <r>
    <x v="2413"/>
    <d v="2024-01-22T00:00:00"/>
    <x v="0"/>
    <x v="2"/>
    <n v="139"/>
    <n v="20"/>
    <n v="4.9000000000000004"/>
    <x v="1"/>
    <x v="1"/>
    <x v="0"/>
    <x v="2"/>
    <x v="2"/>
    <x v="1"/>
    <x v="1"/>
    <x v="3"/>
    <x v="0"/>
    <n v="0"/>
    <s v="Slow"/>
    <s v="1 Day"/>
    <x v="8"/>
    <s v="Monday"/>
    <n v="1"/>
  </r>
  <r>
    <x v="2414"/>
    <d v="2024-06-26T00:00:00"/>
    <x v="4"/>
    <x v="3"/>
    <n v="149"/>
    <n v="2"/>
    <n v="8.8000000000000007"/>
    <x v="1"/>
    <x v="2"/>
    <x v="1"/>
    <x v="3"/>
    <x v="3"/>
    <x v="0"/>
    <x v="1"/>
    <x v="2"/>
    <x v="1"/>
    <n v="0"/>
    <s v="Slow"/>
    <s v="Same Day"/>
    <x v="4"/>
    <s v="Wednesday"/>
    <n v="2"/>
  </r>
  <r>
    <x v="2415"/>
    <d v="2024-12-24T00:00:00"/>
    <x v="0"/>
    <x v="1"/>
    <n v="163"/>
    <n v="37"/>
    <n v="4.8"/>
    <x v="0"/>
    <x v="1"/>
    <x v="0"/>
    <x v="1"/>
    <x v="1"/>
    <x v="0"/>
    <x v="1"/>
    <x v="3"/>
    <x v="0"/>
    <n v="1"/>
    <s v="Slow"/>
    <s v="2 Days"/>
    <x v="11"/>
    <s v="Tuesday"/>
    <n v="3"/>
  </r>
  <r>
    <x v="2416"/>
    <d v="2024-10-28T00:00:00"/>
    <x v="3"/>
    <x v="3"/>
    <n v="96"/>
    <n v="70"/>
    <n v="4.5"/>
    <x v="0"/>
    <x v="0"/>
    <x v="0"/>
    <x v="3"/>
    <x v="3"/>
    <x v="1"/>
    <x v="1"/>
    <x v="3"/>
    <x v="0"/>
    <n v="1"/>
    <s v="Acceptable"/>
    <s v="3 Days"/>
    <x v="7"/>
    <s v="Monday"/>
    <n v="2"/>
  </r>
  <r>
    <x v="2417"/>
    <d v="2024-02-19T00:00:00"/>
    <x v="1"/>
    <x v="2"/>
    <n v="193"/>
    <n v="4"/>
    <n v="6.1"/>
    <x v="0"/>
    <x v="0"/>
    <x v="1"/>
    <x v="2"/>
    <x v="2"/>
    <x v="0"/>
    <x v="1"/>
    <x v="0"/>
    <x v="1"/>
    <n v="1"/>
    <s v="Slow"/>
    <s v="Same Day"/>
    <x v="9"/>
    <s v="Monday"/>
    <n v="1"/>
  </r>
  <r>
    <x v="2418"/>
    <d v="2024-11-02T00:00:00"/>
    <x v="3"/>
    <x v="2"/>
    <n v="153"/>
    <n v="4"/>
    <n v="3.4"/>
    <x v="0"/>
    <x v="0"/>
    <x v="0"/>
    <x v="2"/>
    <x v="2"/>
    <x v="0"/>
    <x v="1"/>
    <x v="3"/>
    <x v="0"/>
    <n v="1"/>
    <s v="Slow"/>
    <s v="Same Day"/>
    <x v="6"/>
    <s v="Saturday"/>
    <n v="1"/>
  </r>
  <r>
    <x v="2419"/>
    <d v="2024-10-04T00:00:00"/>
    <x v="3"/>
    <x v="1"/>
    <n v="198"/>
    <n v="34"/>
    <n v="7.6"/>
    <x v="0"/>
    <x v="0"/>
    <x v="0"/>
    <x v="1"/>
    <x v="1"/>
    <x v="0"/>
    <x v="1"/>
    <x v="0"/>
    <x v="0"/>
    <n v="1"/>
    <s v="Slow"/>
    <s v="2 Days"/>
    <x v="7"/>
    <s v="Friday"/>
    <n v="3"/>
  </r>
  <r>
    <x v="2420"/>
    <d v="2024-11-12T00:00:00"/>
    <x v="3"/>
    <x v="3"/>
    <n v="142"/>
    <n v="13"/>
    <n v="6.8"/>
    <x v="0"/>
    <x v="0"/>
    <x v="0"/>
    <x v="3"/>
    <x v="3"/>
    <x v="0"/>
    <x v="1"/>
    <x v="0"/>
    <x v="0"/>
    <n v="1"/>
    <s v="Slow"/>
    <s v="1 Day"/>
    <x v="6"/>
    <s v="Tuesday"/>
    <n v="2"/>
  </r>
  <r>
    <x v="2421"/>
    <d v="2024-08-22T00:00:00"/>
    <x v="1"/>
    <x v="2"/>
    <n v="214"/>
    <n v="48"/>
    <n v="4.0999999999999996"/>
    <x v="1"/>
    <x v="0"/>
    <x v="0"/>
    <x v="2"/>
    <x v="2"/>
    <x v="1"/>
    <x v="1"/>
    <x v="3"/>
    <x v="0"/>
    <n v="0"/>
    <s v="Slow"/>
    <s v="2 Days"/>
    <x v="0"/>
    <s v="Thursday"/>
    <n v="1"/>
  </r>
  <r>
    <x v="2422"/>
    <d v="2024-03-14T00:00:00"/>
    <x v="2"/>
    <x v="1"/>
    <n v="184"/>
    <n v="55"/>
    <n v="8"/>
    <x v="0"/>
    <x v="0"/>
    <x v="0"/>
    <x v="1"/>
    <x v="1"/>
    <x v="1"/>
    <x v="1"/>
    <x v="0"/>
    <x v="0"/>
    <n v="1"/>
    <s v="Slow"/>
    <s v="3 Days"/>
    <x v="2"/>
    <s v="Thursday"/>
    <n v="3"/>
  </r>
  <r>
    <x v="2423"/>
    <d v="2024-04-30T00:00:00"/>
    <x v="3"/>
    <x v="0"/>
    <n v="206"/>
    <n v="23"/>
    <n v="1.8"/>
    <x v="0"/>
    <x v="2"/>
    <x v="0"/>
    <x v="0"/>
    <x v="0"/>
    <x v="0"/>
    <x v="0"/>
    <x v="1"/>
    <x v="0"/>
    <n v="1"/>
    <s v="Slow"/>
    <s v="1 Day"/>
    <x v="3"/>
    <s v="Tuesday"/>
    <n v="4"/>
  </r>
  <r>
    <x v="2424"/>
    <d v="2024-11-16T00:00:00"/>
    <x v="4"/>
    <x v="3"/>
    <n v="224"/>
    <n v="66"/>
    <n v="2.4"/>
    <x v="0"/>
    <x v="2"/>
    <x v="0"/>
    <x v="3"/>
    <x v="3"/>
    <x v="1"/>
    <x v="1"/>
    <x v="3"/>
    <x v="0"/>
    <n v="1"/>
    <s v="Slow"/>
    <s v="3 Days"/>
    <x v="6"/>
    <s v="Saturday"/>
    <n v="2"/>
  </r>
  <r>
    <x v="2425"/>
    <d v="2024-10-26T00:00:00"/>
    <x v="2"/>
    <x v="1"/>
    <n v="188"/>
    <n v="5"/>
    <n v="3.5"/>
    <x v="0"/>
    <x v="2"/>
    <x v="1"/>
    <x v="1"/>
    <x v="1"/>
    <x v="0"/>
    <x v="1"/>
    <x v="3"/>
    <x v="1"/>
    <n v="1"/>
    <s v="Slow"/>
    <s v="Same Day"/>
    <x v="7"/>
    <s v="Saturday"/>
    <n v="3"/>
  </r>
  <r>
    <x v="2426"/>
    <d v="2024-08-21T00:00:00"/>
    <x v="4"/>
    <x v="3"/>
    <n v="240"/>
    <n v="36"/>
    <n v="2.5"/>
    <x v="1"/>
    <x v="1"/>
    <x v="0"/>
    <x v="3"/>
    <x v="3"/>
    <x v="1"/>
    <x v="1"/>
    <x v="3"/>
    <x v="0"/>
    <n v="0"/>
    <s v="Slow"/>
    <s v="2 Days"/>
    <x v="0"/>
    <s v="Wednesday"/>
    <n v="2"/>
  </r>
  <r>
    <x v="2427"/>
    <d v="2024-07-05T00:00:00"/>
    <x v="2"/>
    <x v="2"/>
    <n v="219"/>
    <n v="20"/>
    <n v="6.5"/>
    <x v="1"/>
    <x v="2"/>
    <x v="0"/>
    <x v="2"/>
    <x v="2"/>
    <x v="1"/>
    <x v="1"/>
    <x v="0"/>
    <x v="0"/>
    <n v="0"/>
    <s v="Slow"/>
    <s v="1 Day"/>
    <x v="10"/>
    <s v="Friday"/>
    <n v="1"/>
  </r>
  <r>
    <x v="2428"/>
    <d v="2024-07-29T00:00:00"/>
    <x v="4"/>
    <x v="2"/>
    <n v="47"/>
    <n v="22"/>
    <n v="0.8"/>
    <x v="1"/>
    <x v="0"/>
    <x v="0"/>
    <x v="2"/>
    <x v="2"/>
    <x v="1"/>
    <x v="1"/>
    <x v="1"/>
    <x v="0"/>
    <n v="0"/>
    <s v="Acceptable"/>
    <s v="1 Day"/>
    <x v="10"/>
    <s v="Monday"/>
    <n v="1"/>
  </r>
  <r>
    <x v="2429"/>
    <d v="2024-01-30T00:00:00"/>
    <x v="4"/>
    <x v="1"/>
    <n v="46"/>
    <n v="32"/>
    <n v="6.3"/>
    <x v="1"/>
    <x v="0"/>
    <x v="1"/>
    <x v="1"/>
    <x v="1"/>
    <x v="0"/>
    <x v="0"/>
    <x v="0"/>
    <x v="1"/>
    <n v="0"/>
    <s v="Acceptable"/>
    <s v="2 Days"/>
    <x v="8"/>
    <s v="Tuesday"/>
    <n v="3"/>
  </r>
  <r>
    <x v="2430"/>
    <d v="2024-04-25T00:00:00"/>
    <x v="2"/>
    <x v="0"/>
    <n v="147"/>
    <n v="37"/>
    <n v="4.2"/>
    <x v="1"/>
    <x v="1"/>
    <x v="0"/>
    <x v="0"/>
    <x v="0"/>
    <x v="0"/>
    <x v="0"/>
    <x v="3"/>
    <x v="0"/>
    <n v="0"/>
    <s v="Slow"/>
    <s v="2 Days"/>
    <x v="3"/>
    <s v="Thursday"/>
    <n v="4"/>
  </r>
  <r>
    <x v="2431"/>
    <d v="2024-12-05T00:00:00"/>
    <x v="4"/>
    <x v="0"/>
    <n v="185"/>
    <n v="8"/>
    <n v="4.2"/>
    <x v="1"/>
    <x v="0"/>
    <x v="0"/>
    <x v="0"/>
    <x v="0"/>
    <x v="0"/>
    <x v="0"/>
    <x v="3"/>
    <x v="0"/>
    <n v="0"/>
    <s v="Slow"/>
    <s v="Same Day"/>
    <x v="11"/>
    <s v="Thursday"/>
    <n v="4"/>
  </r>
  <r>
    <x v="2432"/>
    <d v="2024-01-25T00:00:00"/>
    <x v="0"/>
    <x v="1"/>
    <n v="136"/>
    <n v="5"/>
    <n v="6.9"/>
    <x v="1"/>
    <x v="1"/>
    <x v="2"/>
    <x v="1"/>
    <x v="1"/>
    <x v="0"/>
    <x v="1"/>
    <x v="0"/>
    <x v="2"/>
    <n v="0"/>
    <s v="Slow"/>
    <s v="Same Day"/>
    <x v="8"/>
    <s v="Thursday"/>
    <n v="3"/>
  </r>
  <r>
    <x v="2433"/>
    <d v="2024-09-07T00:00:00"/>
    <x v="2"/>
    <x v="1"/>
    <n v="155"/>
    <n v="47"/>
    <n v="7.9"/>
    <x v="1"/>
    <x v="2"/>
    <x v="1"/>
    <x v="1"/>
    <x v="1"/>
    <x v="0"/>
    <x v="1"/>
    <x v="0"/>
    <x v="1"/>
    <n v="0"/>
    <s v="Slow"/>
    <s v="2 Days"/>
    <x v="5"/>
    <s v="Saturday"/>
    <n v="3"/>
  </r>
  <r>
    <x v="2434"/>
    <d v="2024-03-13T00:00:00"/>
    <x v="2"/>
    <x v="3"/>
    <n v="55"/>
    <n v="1"/>
    <n v="4.5"/>
    <x v="1"/>
    <x v="1"/>
    <x v="1"/>
    <x v="3"/>
    <x v="3"/>
    <x v="0"/>
    <x v="0"/>
    <x v="3"/>
    <x v="1"/>
    <n v="0"/>
    <s v="Acceptable"/>
    <s v="Same Day"/>
    <x v="2"/>
    <s v="Wednesday"/>
    <n v="2"/>
  </r>
  <r>
    <x v="2435"/>
    <d v="2024-03-08T00:00:00"/>
    <x v="4"/>
    <x v="3"/>
    <n v="6"/>
    <n v="53"/>
    <n v="4.9000000000000004"/>
    <x v="1"/>
    <x v="1"/>
    <x v="1"/>
    <x v="3"/>
    <x v="3"/>
    <x v="1"/>
    <x v="0"/>
    <x v="3"/>
    <x v="1"/>
    <n v="0"/>
    <s v="Very Fast"/>
    <s v="3 Days"/>
    <x v="2"/>
    <s v="Friday"/>
    <n v="2"/>
  </r>
  <r>
    <x v="2436"/>
    <d v="2024-03-12T00:00:00"/>
    <x v="2"/>
    <x v="1"/>
    <n v="188"/>
    <n v="47"/>
    <n v="2.1"/>
    <x v="1"/>
    <x v="1"/>
    <x v="0"/>
    <x v="1"/>
    <x v="1"/>
    <x v="0"/>
    <x v="1"/>
    <x v="3"/>
    <x v="0"/>
    <n v="0"/>
    <s v="Slow"/>
    <s v="2 Days"/>
    <x v="2"/>
    <s v="Tuesday"/>
    <n v="3"/>
  </r>
  <r>
    <x v="2437"/>
    <d v="2024-04-30T00:00:00"/>
    <x v="0"/>
    <x v="3"/>
    <n v="14"/>
    <n v="51"/>
    <n v="4.9000000000000004"/>
    <x v="0"/>
    <x v="0"/>
    <x v="0"/>
    <x v="3"/>
    <x v="3"/>
    <x v="1"/>
    <x v="0"/>
    <x v="3"/>
    <x v="0"/>
    <n v="1"/>
    <s v="Very Fast"/>
    <s v="3 Days"/>
    <x v="3"/>
    <s v="Tuesday"/>
    <n v="2"/>
  </r>
  <r>
    <x v="2438"/>
    <d v="2024-03-10T00:00:00"/>
    <x v="2"/>
    <x v="2"/>
    <n v="220"/>
    <n v="1"/>
    <n v="8.8000000000000007"/>
    <x v="0"/>
    <x v="0"/>
    <x v="1"/>
    <x v="2"/>
    <x v="2"/>
    <x v="0"/>
    <x v="1"/>
    <x v="2"/>
    <x v="1"/>
    <n v="1"/>
    <s v="Slow"/>
    <s v="Same Day"/>
    <x v="2"/>
    <s v="Sunday"/>
    <n v="1"/>
  </r>
  <r>
    <x v="2439"/>
    <d v="2024-02-15T00:00:00"/>
    <x v="2"/>
    <x v="0"/>
    <n v="113"/>
    <n v="44"/>
    <n v="0.5"/>
    <x v="0"/>
    <x v="2"/>
    <x v="0"/>
    <x v="0"/>
    <x v="0"/>
    <x v="0"/>
    <x v="0"/>
    <x v="1"/>
    <x v="0"/>
    <n v="1"/>
    <s v="Acceptable"/>
    <s v="2 Days"/>
    <x v="9"/>
    <s v="Thursday"/>
    <n v="4"/>
  </r>
  <r>
    <x v="2440"/>
    <d v="2024-10-20T00:00:00"/>
    <x v="0"/>
    <x v="0"/>
    <n v="222"/>
    <n v="48"/>
    <n v="4.4000000000000004"/>
    <x v="1"/>
    <x v="1"/>
    <x v="0"/>
    <x v="0"/>
    <x v="0"/>
    <x v="0"/>
    <x v="0"/>
    <x v="3"/>
    <x v="0"/>
    <n v="0"/>
    <s v="Slow"/>
    <s v="2 Days"/>
    <x v="7"/>
    <s v="Sunday"/>
    <n v="4"/>
  </r>
  <r>
    <x v="2441"/>
    <d v="2024-03-01T00:00:00"/>
    <x v="2"/>
    <x v="3"/>
    <n v="81"/>
    <n v="31"/>
    <n v="8"/>
    <x v="0"/>
    <x v="1"/>
    <x v="0"/>
    <x v="3"/>
    <x v="3"/>
    <x v="1"/>
    <x v="1"/>
    <x v="0"/>
    <x v="0"/>
    <n v="1"/>
    <s v="Acceptable"/>
    <s v="2 Days"/>
    <x v="2"/>
    <s v="Friday"/>
    <n v="2"/>
  </r>
  <r>
    <x v="2442"/>
    <d v="2024-04-16T00:00:00"/>
    <x v="4"/>
    <x v="3"/>
    <n v="164"/>
    <n v="29"/>
    <n v="4.8"/>
    <x v="1"/>
    <x v="1"/>
    <x v="0"/>
    <x v="3"/>
    <x v="3"/>
    <x v="1"/>
    <x v="1"/>
    <x v="3"/>
    <x v="0"/>
    <n v="0"/>
    <s v="Slow"/>
    <s v="2 Days"/>
    <x v="3"/>
    <s v="Tuesday"/>
    <n v="2"/>
  </r>
  <r>
    <x v="2443"/>
    <d v="2024-09-05T00:00:00"/>
    <x v="1"/>
    <x v="0"/>
    <n v="103"/>
    <n v="28"/>
    <n v="6.3"/>
    <x v="1"/>
    <x v="1"/>
    <x v="1"/>
    <x v="0"/>
    <x v="0"/>
    <x v="0"/>
    <x v="0"/>
    <x v="0"/>
    <x v="1"/>
    <n v="0"/>
    <s v="Acceptable"/>
    <s v="2 Days"/>
    <x v="5"/>
    <s v="Thursday"/>
    <n v="4"/>
  </r>
  <r>
    <x v="2444"/>
    <d v="2024-05-14T00:00:00"/>
    <x v="0"/>
    <x v="1"/>
    <n v="64"/>
    <n v="66"/>
    <n v="8.5"/>
    <x v="0"/>
    <x v="1"/>
    <x v="0"/>
    <x v="1"/>
    <x v="1"/>
    <x v="1"/>
    <x v="0"/>
    <x v="2"/>
    <x v="0"/>
    <n v="1"/>
    <s v="Acceptable"/>
    <s v="3 Days"/>
    <x v="1"/>
    <s v="Tuesday"/>
    <n v="3"/>
  </r>
  <r>
    <x v="2445"/>
    <d v="2024-12-05T00:00:00"/>
    <x v="0"/>
    <x v="1"/>
    <n v="129"/>
    <n v="20"/>
    <n v="8.1"/>
    <x v="0"/>
    <x v="1"/>
    <x v="0"/>
    <x v="1"/>
    <x v="1"/>
    <x v="0"/>
    <x v="1"/>
    <x v="2"/>
    <x v="0"/>
    <n v="1"/>
    <s v="Slow"/>
    <s v="1 Day"/>
    <x v="11"/>
    <s v="Thursday"/>
    <n v="3"/>
  </r>
  <r>
    <x v="2446"/>
    <d v="2024-08-25T00:00:00"/>
    <x v="0"/>
    <x v="3"/>
    <n v="162"/>
    <n v="70"/>
    <n v="1.3"/>
    <x v="0"/>
    <x v="0"/>
    <x v="0"/>
    <x v="3"/>
    <x v="3"/>
    <x v="1"/>
    <x v="1"/>
    <x v="1"/>
    <x v="0"/>
    <n v="1"/>
    <s v="Slow"/>
    <s v="3 Days"/>
    <x v="0"/>
    <s v="Sunday"/>
    <n v="2"/>
  </r>
  <r>
    <x v="2447"/>
    <d v="2024-06-21T00:00:00"/>
    <x v="4"/>
    <x v="3"/>
    <n v="24"/>
    <n v="70"/>
    <n v="6.8"/>
    <x v="0"/>
    <x v="0"/>
    <x v="1"/>
    <x v="3"/>
    <x v="3"/>
    <x v="1"/>
    <x v="0"/>
    <x v="0"/>
    <x v="1"/>
    <n v="1"/>
    <s v="Very Fast"/>
    <s v="3 Days"/>
    <x v="4"/>
    <s v="Friday"/>
    <n v="2"/>
  </r>
  <r>
    <x v="2448"/>
    <d v="2024-07-25T00:00:00"/>
    <x v="0"/>
    <x v="0"/>
    <n v="13"/>
    <n v="48"/>
    <n v="2.7"/>
    <x v="1"/>
    <x v="1"/>
    <x v="1"/>
    <x v="0"/>
    <x v="0"/>
    <x v="0"/>
    <x v="0"/>
    <x v="3"/>
    <x v="1"/>
    <n v="0"/>
    <s v="Very Fast"/>
    <s v="2 Days"/>
    <x v="10"/>
    <s v="Thursday"/>
    <n v="4"/>
  </r>
  <r>
    <x v="2449"/>
    <d v="2024-02-26T00:00:00"/>
    <x v="2"/>
    <x v="3"/>
    <n v="188"/>
    <n v="7"/>
    <n v="6"/>
    <x v="0"/>
    <x v="1"/>
    <x v="0"/>
    <x v="3"/>
    <x v="3"/>
    <x v="0"/>
    <x v="1"/>
    <x v="0"/>
    <x v="0"/>
    <n v="1"/>
    <s v="Slow"/>
    <s v="Same Day"/>
    <x v="9"/>
    <s v="Monday"/>
    <n v="2"/>
  </r>
  <r>
    <x v="2450"/>
    <d v="2024-09-02T00:00:00"/>
    <x v="3"/>
    <x v="3"/>
    <n v="229"/>
    <n v="59"/>
    <n v="8"/>
    <x v="1"/>
    <x v="0"/>
    <x v="0"/>
    <x v="3"/>
    <x v="3"/>
    <x v="1"/>
    <x v="1"/>
    <x v="0"/>
    <x v="0"/>
    <n v="0"/>
    <s v="Slow"/>
    <s v="3 Days"/>
    <x v="5"/>
    <s v="Monday"/>
    <n v="2"/>
  </r>
  <r>
    <x v="2451"/>
    <d v="2024-06-30T00:00:00"/>
    <x v="1"/>
    <x v="2"/>
    <n v="71"/>
    <n v="52"/>
    <n v="9.5"/>
    <x v="1"/>
    <x v="2"/>
    <x v="0"/>
    <x v="2"/>
    <x v="2"/>
    <x v="1"/>
    <x v="1"/>
    <x v="2"/>
    <x v="0"/>
    <n v="0"/>
    <s v="Acceptable"/>
    <s v="3 Days"/>
    <x v="4"/>
    <s v="Sunday"/>
    <n v="1"/>
  </r>
  <r>
    <x v="2452"/>
    <d v="2024-04-30T00:00:00"/>
    <x v="2"/>
    <x v="3"/>
    <n v="100"/>
    <n v="43"/>
    <n v="7.9"/>
    <x v="1"/>
    <x v="0"/>
    <x v="0"/>
    <x v="3"/>
    <x v="3"/>
    <x v="1"/>
    <x v="1"/>
    <x v="0"/>
    <x v="0"/>
    <n v="0"/>
    <s v="Acceptable"/>
    <s v="2 Days"/>
    <x v="3"/>
    <s v="Tuesday"/>
    <n v="2"/>
  </r>
  <r>
    <x v="2453"/>
    <d v="2024-08-22T00:00:00"/>
    <x v="3"/>
    <x v="2"/>
    <n v="190"/>
    <n v="33"/>
    <n v="7"/>
    <x v="1"/>
    <x v="2"/>
    <x v="0"/>
    <x v="2"/>
    <x v="2"/>
    <x v="1"/>
    <x v="1"/>
    <x v="0"/>
    <x v="0"/>
    <n v="0"/>
    <s v="Slow"/>
    <s v="2 Days"/>
    <x v="0"/>
    <s v="Thursday"/>
    <n v="1"/>
  </r>
  <r>
    <x v="2454"/>
    <d v="2024-08-25T00:00:00"/>
    <x v="0"/>
    <x v="0"/>
    <n v="110"/>
    <n v="37"/>
    <n v="6.9"/>
    <x v="0"/>
    <x v="1"/>
    <x v="0"/>
    <x v="0"/>
    <x v="0"/>
    <x v="0"/>
    <x v="0"/>
    <x v="0"/>
    <x v="0"/>
    <n v="1"/>
    <s v="Acceptable"/>
    <s v="2 Days"/>
    <x v="0"/>
    <s v="Sunday"/>
    <n v="4"/>
  </r>
  <r>
    <x v="2455"/>
    <d v="2024-03-31T00:00:00"/>
    <x v="1"/>
    <x v="3"/>
    <n v="213"/>
    <n v="39"/>
    <n v="6.7"/>
    <x v="0"/>
    <x v="0"/>
    <x v="0"/>
    <x v="3"/>
    <x v="3"/>
    <x v="1"/>
    <x v="1"/>
    <x v="0"/>
    <x v="0"/>
    <n v="1"/>
    <s v="Slow"/>
    <s v="2 Days"/>
    <x v="2"/>
    <s v="Sunday"/>
    <n v="2"/>
  </r>
  <r>
    <x v="2456"/>
    <d v="2024-02-07T00:00:00"/>
    <x v="0"/>
    <x v="1"/>
    <n v="144"/>
    <n v="24"/>
    <n v="1.2"/>
    <x v="1"/>
    <x v="0"/>
    <x v="0"/>
    <x v="1"/>
    <x v="1"/>
    <x v="0"/>
    <x v="1"/>
    <x v="1"/>
    <x v="0"/>
    <n v="0"/>
    <s v="Slow"/>
    <s v="1 Day"/>
    <x v="9"/>
    <s v="Wednesday"/>
    <n v="3"/>
  </r>
  <r>
    <x v="2457"/>
    <d v="2024-08-23T00:00:00"/>
    <x v="1"/>
    <x v="1"/>
    <n v="43"/>
    <n v="5"/>
    <n v="4.5"/>
    <x v="0"/>
    <x v="2"/>
    <x v="1"/>
    <x v="1"/>
    <x v="1"/>
    <x v="0"/>
    <x v="0"/>
    <x v="3"/>
    <x v="1"/>
    <n v="1"/>
    <s v="Acceptable"/>
    <s v="Same Day"/>
    <x v="0"/>
    <s v="Friday"/>
    <n v="3"/>
  </r>
  <r>
    <x v="2458"/>
    <d v="2024-08-05T00:00:00"/>
    <x v="3"/>
    <x v="0"/>
    <n v="96"/>
    <n v="26"/>
    <n v="3"/>
    <x v="0"/>
    <x v="0"/>
    <x v="0"/>
    <x v="0"/>
    <x v="0"/>
    <x v="0"/>
    <x v="0"/>
    <x v="3"/>
    <x v="0"/>
    <n v="1"/>
    <s v="Acceptable"/>
    <s v="2 Days"/>
    <x v="0"/>
    <s v="Monday"/>
    <n v="4"/>
  </r>
  <r>
    <x v="2459"/>
    <d v="2024-06-01T00:00:00"/>
    <x v="1"/>
    <x v="2"/>
    <n v="218"/>
    <n v="72"/>
    <n v="8.3000000000000007"/>
    <x v="0"/>
    <x v="1"/>
    <x v="0"/>
    <x v="2"/>
    <x v="2"/>
    <x v="1"/>
    <x v="1"/>
    <x v="2"/>
    <x v="0"/>
    <n v="1"/>
    <s v="Slow"/>
    <s v="3 Days"/>
    <x v="4"/>
    <s v="Saturday"/>
    <n v="1"/>
  </r>
  <r>
    <x v="2460"/>
    <d v="2024-03-07T00:00:00"/>
    <x v="1"/>
    <x v="1"/>
    <n v="152"/>
    <n v="6"/>
    <n v="6.7"/>
    <x v="1"/>
    <x v="1"/>
    <x v="2"/>
    <x v="1"/>
    <x v="1"/>
    <x v="0"/>
    <x v="1"/>
    <x v="0"/>
    <x v="2"/>
    <n v="0"/>
    <s v="Slow"/>
    <s v="Same Day"/>
    <x v="2"/>
    <s v="Thursday"/>
    <n v="3"/>
  </r>
  <r>
    <x v="2461"/>
    <d v="2024-10-18T00:00:00"/>
    <x v="4"/>
    <x v="3"/>
    <n v="176"/>
    <n v="17"/>
    <n v="6.8"/>
    <x v="1"/>
    <x v="0"/>
    <x v="0"/>
    <x v="3"/>
    <x v="3"/>
    <x v="0"/>
    <x v="1"/>
    <x v="0"/>
    <x v="0"/>
    <n v="0"/>
    <s v="Slow"/>
    <s v="1 Day"/>
    <x v="7"/>
    <s v="Friday"/>
    <n v="2"/>
  </r>
  <r>
    <x v="2462"/>
    <d v="2024-10-06T00:00:00"/>
    <x v="0"/>
    <x v="3"/>
    <n v="198"/>
    <n v="37"/>
    <n v="8.1"/>
    <x v="1"/>
    <x v="0"/>
    <x v="0"/>
    <x v="3"/>
    <x v="3"/>
    <x v="1"/>
    <x v="1"/>
    <x v="2"/>
    <x v="0"/>
    <n v="0"/>
    <s v="Slow"/>
    <s v="2 Days"/>
    <x v="7"/>
    <s v="Sunday"/>
    <n v="2"/>
  </r>
  <r>
    <x v="2463"/>
    <d v="2024-02-01T00:00:00"/>
    <x v="0"/>
    <x v="2"/>
    <n v="74"/>
    <n v="66"/>
    <n v="4.0999999999999996"/>
    <x v="1"/>
    <x v="1"/>
    <x v="0"/>
    <x v="2"/>
    <x v="2"/>
    <x v="1"/>
    <x v="1"/>
    <x v="3"/>
    <x v="0"/>
    <n v="0"/>
    <s v="Acceptable"/>
    <s v="3 Days"/>
    <x v="9"/>
    <s v="Thursday"/>
    <n v="1"/>
  </r>
  <r>
    <x v="2464"/>
    <d v="2024-06-06T00:00:00"/>
    <x v="1"/>
    <x v="2"/>
    <n v="224"/>
    <n v="52"/>
    <n v="8"/>
    <x v="0"/>
    <x v="1"/>
    <x v="0"/>
    <x v="2"/>
    <x v="2"/>
    <x v="1"/>
    <x v="1"/>
    <x v="0"/>
    <x v="0"/>
    <n v="1"/>
    <s v="Slow"/>
    <s v="3 Days"/>
    <x v="4"/>
    <s v="Thursday"/>
    <n v="1"/>
  </r>
  <r>
    <x v="2465"/>
    <d v="2024-04-13T00:00:00"/>
    <x v="1"/>
    <x v="1"/>
    <n v="107"/>
    <n v="10"/>
    <n v="8.5"/>
    <x v="1"/>
    <x v="2"/>
    <x v="1"/>
    <x v="1"/>
    <x v="1"/>
    <x v="0"/>
    <x v="0"/>
    <x v="2"/>
    <x v="1"/>
    <n v="0"/>
    <s v="Acceptable"/>
    <s v="1 Day"/>
    <x v="3"/>
    <s v="Saturday"/>
    <n v="3"/>
  </r>
  <r>
    <x v="2466"/>
    <d v="2024-10-22T00:00:00"/>
    <x v="1"/>
    <x v="0"/>
    <n v="199"/>
    <n v="65"/>
    <n v="7.6"/>
    <x v="0"/>
    <x v="0"/>
    <x v="0"/>
    <x v="0"/>
    <x v="0"/>
    <x v="0"/>
    <x v="0"/>
    <x v="0"/>
    <x v="0"/>
    <n v="1"/>
    <s v="Slow"/>
    <s v="3 Days"/>
    <x v="7"/>
    <s v="Tuesday"/>
    <n v="4"/>
  </r>
  <r>
    <x v="2467"/>
    <d v="2024-02-27T00:00:00"/>
    <x v="0"/>
    <x v="3"/>
    <n v="220"/>
    <n v="8"/>
    <n v="0.7"/>
    <x v="1"/>
    <x v="1"/>
    <x v="0"/>
    <x v="3"/>
    <x v="3"/>
    <x v="0"/>
    <x v="1"/>
    <x v="1"/>
    <x v="0"/>
    <n v="0"/>
    <s v="Slow"/>
    <s v="Same Day"/>
    <x v="9"/>
    <s v="Tuesday"/>
    <n v="2"/>
  </r>
  <r>
    <x v="2468"/>
    <d v="2024-01-09T00:00:00"/>
    <x v="2"/>
    <x v="3"/>
    <n v="78"/>
    <n v="60"/>
    <n v="3.2"/>
    <x v="1"/>
    <x v="2"/>
    <x v="0"/>
    <x v="3"/>
    <x v="3"/>
    <x v="1"/>
    <x v="1"/>
    <x v="3"/>
    <x v="0"/>
    <n v="0"/>
    <s v="Acceptable"/>
    <s v="3 Days"/>
    <x v="8"/>
    <s v="Tuesday"/>
    <n v="2"/>
  </r>
  <r>
    <x v="2469"/>
    <d v="2024-10-05T00:00:00"/>
    <x v="4"/>
    <x v="0"/>
    <n v="31"/>
    <n v="62"/>
    <n v="8.3000000000000007"/>
    <x v="0"/>
    <x v="1"/>
    <x v="0"/>
    <x v="0"/>
    <x v="0"/>
    <x v="0"/>
    <x v="0"/>
    <x v="2"/>
    <x v="0"/>
    <n v="1"/>
    <s v="Acceptable"/>
    <s v="3 Days"/>
    <x v="7"/>
    <s v="Saturday"/>
    <n v="4"/>
  </r>
  <r>
    <x v="2470"/>
    <d v="2024-04-27T00:00:00"/>
    <x v="0"/>
    <x v="1"/>
    <n v="107"/>
    <n v="53"/>
    <n v="8.3000000000000007"/>
    <x v="1"/>
    <x v="2"/>
    <x v="1"/>
    <x v="1"/>
    <x v="1"/>
    <x v="1"/>
    <x v="0"/>
    <x v="2"/>
    <x v="1"/>
    <n v="0"/>
    <s v="Acceptable"/>
    <s v="3 Days"/>
    <x v="3"/>
    <s v="Saturday"/>
    <n v="3"/>
  </r>
  <r>
    <x v="2471"/>
    <d v="2024-11-24T00:00:00"/>
    <x v="0"/>
    <x v="0"/>
    <n v="158"/>
    <n v="66"/>
    <n v="3.1"/>
    <x v="0"/>
    <x v="2"/>
    <x v="0"/>
    <x v="0"/>
    <x v="0"/>
    <x v="0"/>
    <x v="0"/>
    <x v="3"/>
    <x v="0"/>
    <n v="1"/>
    <s v="Slow"/>
    <s v="3 Days"/>
    <x v="6"/>
    <s v="Sunday"/>
    <n v="4"/>
  </r>
  <r>
    <x v="2472"/>
    <d v="2024-12-31T00:00:00"/>
    <x v="0"/>
    <x v="2"/>
    <n v="160"/>
    <n v="10"/>
    <n v="9.1"/>
    <x v="1"/>
    <x v="0"/>
    <x v="0"/>
    <x v="2"/>
    <x v="2"/>
    <x v="1"/>
    <x v="1"/>
    <x v="2"/>
    <x v="0"/>
    <n v="0"/>
    <s v="Slow"/>
    <s v="1 Day"/>
    <x v="11"/>
    <s v="Tuesday"/>
    <n v="1"/>
  </r>
  <r>
    <x v="2473"/>
    <d v="2024-01-29T00:00:00"/>
    <x v="1"/>
    <x v="3"/>
    <n v="225"/>
    <n v="44"/>
    <n v="7.6"/>
    <x v="1"/>
    <x v="0"/>
    <x v="0"/>
    <x v="3"/>
    <x v="3"/>
    <x v="1"/>
    <x v="1"/>
    <x v="0"/>
    <x v="0"/>
    <n v="0"/>
    <s v="Slow"/>
    <s v="2 Days"/>
    <x v="8"/>
    <s v="Monday"/>
    <n v="2"/>
  </r>
  <r>
    <x v="2474"/>
    <d v="2024-05-23T00:00:00"/>
    <x v="3"/>
    <x v="1"/>
    <n v="109"/>
    <n v="7"/>
    <n v="8.6"/>
    <x v="1"/>
    <x v="0"/>
    <x v="1"/>
    <x v="1"/>
    <x v="1"/>
    <x v="0"/>
    <x v="0"/>
    <x v="2"/>
    <x v="1"/>
    <n v="0"/>
    <s v="Acceptable"/>
    <s v="Same Day"/>
    <x v="1"/>
    <s v="Thursday"/>
    <n v="3"/>
  </r>
  <r>
    <x v="2475"/>
    <d v="2024-10-09T00:00:00"/>
    <x v="3"/>
    <x v="1"/>
    <n v="136"/>
    <n v="33"/>
    <n v="8.3000000000000007"/>
    <x v="0"/>
    <x v="1"/>
    <x v="0"/>
    <x v="1"/>
    <x v="1"/>
    <x v="0"/>
    <x v="1"/>
    <x v="2"/>
    <x v="0"/>
    <n v="1"/>
    <s v="Slow"/>
    <s v="2 Days"/>
    <x v="7"/>
    <s v="Wednesday"/>
    <n v="3"/>
  </r>
  <r>
    <x v="2476"/>
    <d v="2024-10-10T00:00:00"/>
    <x v="0"/>
    <x v="2"/>
    <n v="208"/>
    <n v="52"/>
    <n v="6.1"/>
    <x v="0"/>
    <x v="1"/>
    <x v="0"/>
    <x v="2"/>
    <x v="2"/>
    <x v="1"/>
    <x v="1"/>
    <x v="0"/>
    <x v="0"/>
    <n v="1"/>
    <s v="Slow"/>
    <s v="3 Days"/>
    <x v="7"/>
    <s v="Thursday"/>
    <n v="1"/>
  </r>
  <r>
    <x v="2477"/>
    <d v="2024-09-09T00:00:00"/>
    <x v="0"/>
    <x v="2"/>
    <n v="44"/>
    <n v="11"/>
    <n v="7.9"/>
    <x v="1"/>
    <x v="1"/>
    <x v="0"/>
    <x v="2"/>
    <x v="2"/>
    <x v="1"/>
    <x v="1"/>
    <x v="0"/>
    <x v="0"/>
    <n v="0"/>
    <s v="Acceptable"/>
    <s v="1 Day"/>
    <x v="5"/>
    <s v="Monday"/>
    <n v="1"/>
  </r>
  <r>
    <x v="2478"/>
    <d v="2024-10-05T00:00:00"/>
    <x v="4"/>
    <x v="0"/>
    <n v="112"/>
    <n v="19"/>
    <n v="8.6"/>
    <x v="0"/>
    <x v="0"/>
    <x v="0"/>
    <x v="0"/>
    <x v="0"/>
    <x v="0"/>
    <x v="0"/>
    <x v="2"/>
    <x v="0"/>
    <n v="1"/>
    <s v="Acceptable"/>
    <s v="1 Day"/>
    <x v="7"/>
    <s v="Saturday"/>
    <n v="4"/>
  </r>
  <r>
    <x v="2479"/>
    <d v="2024-06-27T00:00:00"/>
    <x v="0"/>
    <x v="0"/>
    <n v="181"/>
    <n v="36"/>
    <n v="2.8"/>
    <x v="0"/>
    <x v="0"/>
    <x v="0"/>
    <x v="0"/>
    <x v="0"/>
    <x v="0"/>
    <x v="0"/>
    <x v="3"/>
    <x v="0"/>
    <n v="1"/>
    <s v="Slow"/>
    <s v="2 Days"/>
    <x v="4"/>
    <s v="Thursday"/>
    <n v="4"/>
  </r>
  <r>
    <x v="2480"/>
    <d v="2024-12-21T00:00:00"/>
    <x v="1"/>
    <x v="0"/>
    <n v="160"/>
    <n v="45"/>
    <n v="4.7"/>
    <x v="1"/>
    <x v="1"/>
    <x v="0"/>
    <x v="0"/>
    <x v="0"/>
    <x v="0"/>
    <x v="0"/>
    <x v="3"/>
    <x v="0"/>
    <n v="0"/>
    <s v="Slow"/>
    <s v="2 Days"/>
    <x v="11"/>
    <s v="Saturday"/>
    <n v="4"/>
  </r>
  <r>
    <x v="2481"/>
    <d v="2024-01-25T00:00:00"/>
    <x v="3"/>
    <x v="0"/>
    <n v="162"/>
    <n v="14"/>
    <n v="0.5"/>
    <x v="1"/>
    <x v="1"/>
    <x v="0"/>
    <x v="0"/>
    <x v="0"/>
    <x v="0"/>
    <x v="0"/>
    <x v="1"/>
    <x v="0"/>
    <n v="0"/>
    <s v="Slow"/>
    <s v="1 Day"/>
    <x v="8"/>
    <s v="Thursday"/>
    <n v="4"/>
  </r>
  <r>
    <x v="2482"/>
    <d v="2024-10-22T00:00:00"/>
    <x v="2"/>
    <x v="2"/>
    <n v="99"/>
    <n v="18"/>
    <n v="1.5"/>
    <x v="0"/>
    <x v="2"/>
    <x v="0"/>
    <x v="2"/>
    <x v="2"/>
    <x v="1"/>
    <x v="1"/>
    <x v="1"/>
    <x v="0"/>
    <n v="1"/>
    <s v="Acceptable"/>
    <s v="1 Day"/>
    <x v="7"/>
    <s v="Tuesday"/>
    <n v="1"/>
  </r>
  <r>
    <x v="2483"/>
    <d v="2024-09-29T00:00:00"/>
    <x v="2"/>
    <x v="3"/>
    <n v="196"/>
    <n v="70"/>
    <n v="3.1"/>
    <x v="1"/>
    <x v="2"/>
    <x v="0"/>
    <x v="3"/>
    <x v="3"/>
    <x v="1"/>
    <x v="1"/>
    <x v="3"/>
    <x v="0"/>
    <n v="0"/>
    <s v="Slow"/>
    <s v="3 Days"/>
    <x v="5"/>
    <s v="Sunday"/>
    <n v="2"/>
  </r>
  <r>
    <x v="2484"/>
    <d v="2024-12-12T00:00:00"/>
    <x v="4"/>
    <x v="2"/>
    <n v="49"/>
    <n v="59"/>
    <n v="9.1999999999999993"/>
    <x v="1"/>
    <x v="1"/>
    <x v="0"/>
    <x v="2"/>
    <x v="2"/>
    <x v="1"/>
    <x v="1"/>
    <x v="2"/>
    <x v="0"/>
    <n v="0"/>
    <s v="Acceptable"/>
    <s v="3 Days"/>
    <x v="11"/>
    <s v="Thursday"/>
    <n v="1"/>
  </r>
  <r>
    <x v="2485"/>
    <d v="2024-03-17T00:00:00"/>
    <x v="2"/>
    <x v="3"/>
    <n v="190"/>
    <n v="72"/>
    <n v="5.9"/>
    <x v="0"/>
    <x v="1"/>
    <x v="0"/>
    <x v="3"/>
    <x v="3"/>
    <x v="1"/>
    <x v="1"/>
    <x v="0"/>
    <x v="0"/>
    <n v="1"/>
    <s v="Slow"/>
    <s v="3 Days"/>
    <x v="2"/>
    <s v="Sunday"/>
    <n v="2"/>
  </r>
  <r>
    <x v="2486"/>
    <d v="2024-06-17T00:00:00"/>
    <x v="2"/>
    <x v="2"/>
    <n v="133"/>
    <n v="29"/>
    <n v="8.1999999999999993"/>
    <x v="0"/>
    <x v="0"/>
    <x v="0"/>
    <x v="2"/>
    <x v="2"/>
    <x v="1"/>
    <x v="1"/>
    <x v="2"/>
    <x v="0"/>
    <n v="1"/>
    <s v="Slow"/>
    <s v="2 Days"/>
    <x v="4"/>
    <s v="Monday"/>
    <n v="1"/>
  </r>
  <r>
    <x v="2487"/>
    <d v="2024-07-08T00:00:00"/>
    <x v="2"/>
    <x v="2"/>
    <n v="123"/>
    <n v="56"/>
    <n v="8.5"/>
    <x v="0"/>
    <x v="0"/>
    <x v="0"/>
    <x v="2"/>
    <x v="2"/>
    <x v="1"/>
    <x v="1"/>
    <x v="2"/>
    <x v="0"/>
    <n v="1"/>
    <s v="Slow"/>
    <s v="3 Days"/>
    <x v="10"/>
    <s v="Monday"/>
    <n v="1"/>
  </r>
  <r>
    <x v="2488"/>
    <d v="2024-03-01T00:00:00"/>
    <x v="2"/>
    <x v="2"/>
    <n v="142"/>
    <n v="17"/>
    <n v="2.4"/>
    <x v="1"/>
    <x v="2"/>
    <x v="0"/>
    <x v="2"/>
    <x v="2"/>
    <x v="1"/>
    <x v="1"/>
    <x v="3"/>
    <x v="0"/>
    <n v="0"/>
    <s v="Slow"/>
    <s v="1 Day"/>
    <x v="2"/>
    <s v="Friday"/>
    <n v="1"/>
  </r>
  <r>
    <x v="2489"/>
    <d v="2024-05-07T00:00:00"/>
    <x v="3"/>
    <x v="1"/>
    <n v="95"/>
    <n v="38"/>
    <n v="4.8"/>
    <x v="0"/>
    <x v="2"/>
    <x v="0"/>
    <x v="1"/>
    <x v="1"/>
    <x v="0"/>
    <x v="0"/>
    <x v="3"/>
    <x v="0"/>
    <n v="1"/>
    <s v="Acceptable"/>
    <s v="2 Days"/>
    <x v="1"/>
    <s v="Tuesday"/>
    <n v="3"/>
  </r>
  <r>
    <x v="2490"/>
    <d v="2024-04-09T00:00:00"/>
    <x v="3"/>
    <x v="3"/>
    <n v="46"/>
    <n v="8"/>
    <n v="4.9000000000000004"/>
    <x v="1"/>
    <x v="1"/>
    <x v="0"/>
    <x v="3"/>
    <x v="3"/>
    <x v="0"/>
    <x v="0"/>
    <x v="3"/>
    <x v="0"/>
    <n v="0"/>
    <s v="Acceptable"/>
    <s v="Same Day"/>
    <x v="3"/>
    <s v="Tuesday"/>
    <n v="2"/>
  </r>
  <r>
    <x v="2491"/>
    <d v="2024-12-10T00:00:00"/>
    <x v="0"/>
    <x v="2"/>
    <n v="73"/>
    <n v="54"/>
    <n v="1.5"/>
    <x v="0"/>
    <x v="1"/>
    <x v="0"/>
    <x v="2"/>
    <x v="2"/>
    <x v="1"/>
    <x v="1"/>
    <x v="1"/>
    <x v="0"/>
    <n v="1"/>
    <s v="Acceptable"/>
    <s v="3 Days"/>
    <x v="11"/>
    <s v="Tuesday"/>
    <n v="1"/>
  </r>
  <r>
    <x v="2492"/>
    <d v="2024-03-11T00:00:00"/>
    <x v="0"/>
    <x v="3"/>
    <n v="10"/>
    <n v="39"/>
    <n v="8.1999999999999993"/>
    <x v="0"/>
    <x v="1"/>
    <x v="1"/>
    <x v="3"/>
    <x v="3"/>
    <x v="1"/>
    <x v="0"/>
    <x v="2"/>
    <x v="1"/>
    <n v="1"/>
    <s v="Very Fast"/>
    <s v="2 Days"/>
    <x v="2"/>
    <s v="Monday"/>
    <n v="2"/>
  </r>
  <r>
    <x v="2493"/>
    <d v="2024-04-05T00:00:00"/>
    <x v="0"/>
    <x v="3"/>
    <n v="63"/>
    <n v="35"/>
    <n v="7.4"/>
    <x v="1"/>
    <x v="1"/>
    <x v="0"/>
    <x v="3"/>
    <x v="3"/>
    <x v="1"/>
    <x v="1"/>
    <x v="0"/>
    <x v="0"/>
    <n v="0"/>
    <s v="Acceptable"/>
    <s v="2 Days"/>
    <x v="3"/>
    <s v="Friday"/>
    <n v="2"/>
  </r>
  <r>
    <x v="2494"/>
    <d v="2024-03-12T00:00:00"/>
    <x v="1"/>
    <x v="1"/>
    <n v="198"/>
    <n v="39"/>
    <n v="1.2"/>
    <x v="0"/>
    <x v="2"/>
    <x v="0"/>
    <x v="1"/>
    <x v="1"/>
    <x v="0"/>
    <x v="1"/>
    <x v="1"/>
    <x v="0"/>
    <n v="1"/>
    <s v="Slow"/>
    <s v="2 Days"/>
    <x v="2"/>
    <s v="Tuesday"/>
    <n v="3"/>
  </r>
  <r>
    <x v="2495"/>
    <d v="2024-04-08T00:00:00"/>
    <x v="0"/>
    <x v="1"/>
    <n v="234"/>
    <n v="36"/>
    <n v="1.4"/>
    <x v="0"/>
    <x v="1"/>
    <x v="0"/>
    <x v="1"/>
    <x v="1"/>
    <x v="0"/>
    <x v="1"/>
    <x v="1"/>
    <x v="0"/>
    <n v="1"/>
    <s v="Slow"/>
    <s v="2 Days"/>
    <x v="3"/>
    <s v="Monday"/>
    <n v="3"/>
  </r>
  <r>
    <x v="2496"/>
    <d v="2024-10-28T00:00:00"/>
    <x v="3"/>
    <x v="2"/>
    <n v="157"/>
    <n v="29"/>
    <n v="8.4"/>
    <x v="1"/>
    <x v="0"/>
    <x v="0"/>
    <x v="2"/>
    <x v="2"/>
    <x v="1"/>
    <x v="1"/>
    <x v="2"/>
    <x v="0"/>
    <n v="0"/>
    <s v="Slow"/>
    <s v="2 Days"/>
    <x v="7"/>
    <s v="Monday"/>
    <n v="1"/>
  </r>
  <r>
    <x v="2497"/>
    <d v="2024-02-29T00:00:00"/>
    <x v="4"/>
    <x v="2"/>
    <n v="89"/>
    <n v="11"/>
    <n v="7"/>
    <x v="0"/>
    <x v="1"/>
    <x v="0"/>
    <x v="2"/>
    <x v="2"/>
    <x v="1"/>
    <x v="1"/>
    <x v="0"/>
    <x v="0"/>
    <n v="1"/>
    <s v="Acceptable"/>
    <s v="1 Day"/>
    <x v="9"/>
    <s v="Thursday"/>
    <n v="1"/>
  </r>
  <r>
    <x v="2498"/>
    <d v="2024-08-27T00:00:00"/>
    <x v="1"/>
    <x v="0"/>
    <n v="96"/>
    <n v="64"/>
    <n v="4.4000000000000004"/>
    <x v="1"/>
    <x v="2"/>
    <x v="0"/>
    <x v="0"/>
    <x v="0"/>
    <x v="0"/>
    <x v="0"/>
    <x v="3"/>
    <x v="0"/>
    <n v="0"/>
    <s v="Acceptable"/>
    <s v="3 Days"/>
    <x v="0"/>
    <s v="Tuesday"/>
    <n v="4"/>
  </r>
  <r>
    <x v="2499"/>
    <d v="2024-09-12T00:00:00"/>
    <x v="3"/>
    <x v="3"/>
    <n v="131"/>
    <n v="70"/>
    <n v="2.1"/>
    <x v="1"/>
    <x v="0"/>
    <x v="0"/>
    <x v="3"/>
    <x v="3"/>
    <x v="1"/>
    <x v="1"/>
    <x v="3"/>
    <x v="0"/>
    <n v="0"/>
    <s v="Slow"/>
    <s v="3 Days"/>
    <x v="5"/>
    <s v="Thursday"/>
    <n v="2"/>
  </r>
  <r>
    <x v="2500"/>
    <d v="2024-11-19T00:00:00"/>
    <x v="1"/>
    <x v="3"/>
    <n v="113"/>
    <n v="15"/>
    <n v="7.1"/>
    <x v="1"/>
    <x v="2"/>
    <x v="0"/>
    <x v="3"/>
    <x v="3"/>
    <x v="0"/>
    <x v="1"/>
    <x v="0"/>
    <x v="0"/>
    <n v="0"/>
    <s v="Acceptable"/>
    <s v="1 Day"/>
    <x v="6"/>
    <s v="Tuesday"/>
    <n v="2"/>
  </r>
  <r>
    <x v="2501"/>
    <d v="2024-01-18T00:00:00"/>
    <x v="4"/>
    <x v="2"/>
    <n v="61"/>
    <n v="23"/>
    <n v="1.1000000000000001"/>
    <x v="0"/>
    <x v="0"/>
    <x v="0"/>
    <x v="2"/>
    <x v="2"/>
    <x v="1"/>
    <x v="1"/>
    <x v="1"/>
    <x v="0"/>
    <n v="1"/>
    <s v="Acceptable"/>
    <s v="1 Day"/>
    <x v="8"/>
    <s v="Thursday"/>
    <n v="1"/>
  </r>
  <r>
    <x v="2502"/>
    <d v="2024-07-31T00:00:00"/>
    <x v="1"/>
    <x v="2"/>
    <n v="17"/>
    <n v="19"/>
    <n v="4.2"/>
    <x v="0"/>
    <x v="0"/>
    <x v="0"/>
    <x v="2"/>
    <x v="2"/>
    <x v="1"/>
    <x v="0"/>
    <x v="3"/>
    <x v="0"/>
    <n v="1"/>
    <s v="Very Fast"/>
    <s v="1 Day"/>
    <x v="10"/>
    <s v="Wednesday"/>
    <n v="1"/>
  </r>
  <r>
    <x v="2503"/>
    <d v="2024-11-09T00:00:00"/>
    <x v="1"/>
    <x v="3"/>
    <n v="189"/>
    <n v="63"/>
    <n v="2.5"/>
    <x v="0"/>
    <x v="0"/>
    <x v="0"/>
    <x v="3"/>
    <x v="3"/>
    <x v="1"/>
    <x v="1"/>
    <x v="3"/>
    <x v="0"/>
    <n v="1"/>
    <s v="Slow"/>
    <s v="3 Days"/>
    <x v="6"/>
    <s v="Saturday"/>
    <n v="2"/>
  </r>
  <r>
    <x v="2504"/>
    <d v="2024-06-02T00:00:00"/>
    <x v="4"/>
    <x v="2"/>
    <n v="56"/>
    <n v="55"/>
    <n v="3.9"/>
    <x v="1"/>
    <x v="2"/>
    <x v="0"/>
    <x v="2"/>
    <x v="2"/>
    <x v="1"/>
    <x v="1"/>
    <x v="3"/>
    <x v="0"/>
    <n v="0"/>
    <s v="Acceptable"/>
    <s v="3 Days"/>
    <x v="4"/>
    <s v="Sunday"/>
    <n v="1"/>
  </r>
  <r>
    <x v="2505"/>
    <d v="2024-11-24T00:00:00"/>
    <x v="2"/>
    <x v="2"/>
    <n v="174"/>
    <n v="67"/>
    <n v="1.5"/>
    <x v="0"/>
    <x v="1"/>
    <x v="0"/>
    <x v="2"/>
    <x v="2"/>
    <x v="1"/>
    <x v="1"/>
    <x v="1"/>
    <x v="0"/>
    <n v="1"/>
    <s v="Slow"/>
    <s v="3 Days"/>
    <x v="6"/>
    <s v="Sunday"/>
    <n v="1"/>
  </r>
  <r>
    <x v="2506"/>
    <d v="2024-01-06T00:00:00"/>
    <x v="3"/>
    <x v="1"/>
    <n v="239"/>
    <n v="11"/>
    <n v="9.6999999999999993"/>
    <x v="0"/>
    <x v="2"/>
    <x v="0"/>
    <x v="1"/>
    <x v="1"/>
    <x v="0"/>
    <x v="1"/>
    <x v="2"/>
    <x v="0"/>
    <n v="1"/>
    <s v="Slow"/>
    <s v="1 Day"/>
    <x v="8"/>
    <s v="Saturday"/>
    <n v="3"/>
  </r>
  <r>
    <x v="2507"/>
    <d v="2024-05-27T00:00:00"/>
    <x v="0"/>
    <x v="0"/>
    <n v="186"/>
    <n v="16"/>
    <n v="8.6999999999999993"/>
    <x v="0"/>
    <x v="1"/>
    <x v="0"/>
    <x v="0"/>
    <x v="0"/>
    <x v="0"/>
    <x v="0"/>
    <x v="2"/>
    <x v="0"/>
    <n v="1"/>
    <s v="Slow"/>
    <s v="1 Day"/>
    <x v="1"/>
    <s v="Monday"/>
    <n v="4"/>
  </r>
  <r>
    <x v="2508"/>
    <d v="2024-11-25T00:00:00"/>
    <x v="3"/>
    <x v="2"/>
    <n v="102"/>
    <n v="46"/>
    <n v="3.4"/>
    <x v="1"/>
    <x v="0"/>
    <x v="0"/>
    <x v="2"/>
    <x v="2"/>
    <x v="1"/>
    <x v="1"/>
    <x v="3"/>
    <x v="0"/>
    <n v="0"/>
    <s v="Acceptable"/>
    <s v="2 Days"/>
    <x v="6"/>
    <s v="Monday"/>
    <n v="1"/>
  </r>
  <r>
    <x v="2509"/>
    <d v="2024-03-19T00:00:00"/>
    <x v="4"/>
    <x v="0"/>
    <n v="191"/>
    <n v="23"/>
    <n v="6.2"/>
    <x v="0"/>
    <x v="1"/>
    <x v="0"/>
    <x v="0"/>
    <x v="0"/>
    <x v="0"/>
    <x v="0"/>
    <x v="0"/>
    <x v="0"/>
    <n v="1"/>
    <s v="Slow"/>
    <s v="1 Day"/>
    <x v="2"/>
    <s v="Tuesday"/>
    <n v="4"/>
  </r>
  <r>
    <x v="2510"/>
    <d v="2024-04-29T00:00:00"/>
    <x v="1"/>
    <x v="0"/>
    <n v="37"/>
    <n v="30"/>
    <n v="6.2"/>
    <x v="0"/>
    <x v="2"/>
    <x v="0"/>
    <x v="0"/>
    <x v="0"/>
    <x v="0"/>
    <x v="0"/>
    <x v="0"/>
    <x v="0"/>
    <n v="1"/>
    <s v="Acceptable"/>
    <s v="2 Days"/>
    <x v="3"/>
    <s v="Monday"/>
    <n v="4"/>
  </r>
  <r>
    <x v="2511"/>
    <d v="2024-01-10T00:00:00"/>
    <x v="1"/>
    <x v="2"/>
    <n v="168"/>
    <n v="2"/>
    <n v="2.5"/>
    <x v="1"/>
    <x v="2"/>
    <x v="1"/>
    <x v="2"/>
    <x v="2"/>
    <x v="0"/>
    <x v="1"/>
    <x v="3"/>
    <x v="1"/>
    <n v="0"/>
    <s v="Slow"/>
    <s v="Same Day"/>
    <x v="8"/>
    <s v="Wednesday"/>
    <n v="1"/>
  </r>
  <r>
    <x v="2512"/>
    <d v="2024-08-14T00:00:00"/>
    <x v="1"/>
    <x v="0"/>
    <n v="127"/>
    <n v="46"/>
    <n v="6.7"/>
    <x v="0"/>
    <x v="2"/>
    <x v="0"/>
    <x v="0"/>
    <x v="0"/>
    <x v="0"/>
    <x v="0"/>
    <x v="0"/>
    <x v="0"/>
    <n v="1"/>
    <s v="Slow"/>
    <s v="2 Days"/>
    <x v="0"/>
    <s v="Wednesday"/>
    <n v="4"/>
  </r>
  <r>
    <x v="2513"/>
    <d v="2024-02-18T00:00:00"/>
    <x v="3"/>
    <x v="1"/>
    <n v="54"/>
    <n v="68"/>
    <n v="5.6"/>
    <x v="0"/>
    <x v="0"/>
    <x v="0"/>
    <x v="1"/>
    <x v="1"/>
    <x v="1"/>
    <x v="0"/>
    <x v="0"/>
    <x v="0"/>
    <n v="1"/>
    <s v="Acceptable"/>
    <s v="3 Days"/>
    <x v="9"/>
    <s v="Sunday"/>
    <n v="3"/>
  </r>
  <r>
    <x v="2514"/>
    <d v="2024-08-27T00:00:00"/>
    <x v="0"/>
    <x v="3"/>
    <n v="26"/>
    <n v="67"/>
    <n v="9.6999999999999993"/>
    <x v="0"/>
    <x v="0"/>
    <x v="1"/>
    <x v="3"/>
    <x v="3"/>
    <x v="1"/>
    <x v="0"/>
    <x v="2"/>
    <x v="1"/>
    <n v="1"/>
    <s v="Very Fast"/>
    <s v="3 Days"/>
    <x v="0"/>
    <s v="Tuesday"/>
    <n v="2"/>
  </r>
  <r>
    <x v="2515"/>
    <d v="2024-01-03T00:00:00"/>
    <x v="3"/>
    <x v="1"/>
    <n v="222"/>
    <n v="23"/>
    <n v="6.6"/>
    <x v="0"/>
    <x v="1"/>
    <x v="0"/>
    <x v="1"/>
    <x v="1"/>
    <x v="0"/>
    <x v="1"/>
    <x v="0"/>
    <x v="0"/>
    <n v="1"/>
    <s v="Slow"/>
    <s v="1 Day"/>
    <x v="8"/>
    <s v="Wednesday"/>
    <n v="3"/>
  </r>
  <r>
    <x v="2516"/>
    <d v="2024-08-09T00:00:00"/>
    <x v="4"/>
    <x v="3"/>
    <n v="170"/>
    <n v="8"/>
    <n v="8.4"/>
    <x v="1"/>
    <x v="1"/>
    <x v="0"/>
    <x v="3"/>
    <x v="3"/>
    <x v="0"/>
    <x v="1"/>
    <x v="2"/>
    <x v="0"/>
    <n v="0"/>
    <s v="Slow"/>
    <s v="Same Day"/>
    <x v="0"/>
    <s v="Friday"/>
    <n v="2"/>
  </r>
  <r>
    <x v="2517"/>
    <d v="2024-02-03T00:00:00"/>
    <x v="2"/>
    <x v="1"/>
    <n v="230"/>
    <n v="62"/>
    <n v="9"/>
    <x v="1"/>
    <x v="1"/>
    <x v="1"/>
    <x v="1"/>
    <x v="1"/>
    <x v="1"/>
    <x v="1"/>
    <x v="2"/>
    <x v="1"/>
    <n v="0"/>
    <s v="Slow"/>
    <s v="3 Days"/>
    <x v="9"/>
    <s v="Saturday"/>
    <n v="3"/>
  </r>
  <r>
    <x v="2518"/>
    <d v="2024-04-23T00:00:00"/>
    <x v="3"/>
    <x v="1"/>
    <n v="228"/>
    <n v="44"/>
    <n v="6.8"/>
    <x v="1"/>
    <x v="1"/>
    <x v="1"/>
    <x v="1"/>
    <x v="1"/>
    <x v="0"/>
    <x v="1"/>
    <x v="0"/>
    <x v="1"/>
    <n v="0"/>
    <s v="Slow"/>
    <s v="2 Days"/>
    <x v="3"/>
    <s v="Tuesday"/>
    <n v="3"/>
  </r>
  <r>
    <x v="2519"/>
    <d v="2024-04-13T00:00:00"/>
    <x v="2"/>
    <x v="2"/>
    <n v="106"/>
    <n v="53"/>
    <n v="3.4"/>
    <x v="1"/>
    <x v="0"/>
    <x v="0"/>
    <x v="2"/>
    <x v="2"/>
    <x v="1"/>
    <x v="1"/>
    <x v="3"/>
    <x v="0"/>
    <n v="0"/>
    <s v="Acceptable"/>
    <s v="3 Days"/>
    <x v="3"/>
    <s v="Saturday"/>
    <n v="1"/>
  </r>
  <r>
    <x v="2520"/>
    <d v="2024-11-09T00:00:00"/>
    <x v="3"/>
    <x v="1"/>
    <n v="129"/>
    <n v="25"/>
    <n v="1.7"/>
    <x v="0"/>
    <x v="1"/>
    <x v="0"/>
    <x v="1"/>
    <x v="1"/>
    <x v="0"/>
    <x v="1"/>
    <x v="1"/>
    <x v="0"/>
    <n v="1"/>
    <s v="Slow"/>
    <s v="2 Days"/>
    <x v="6"/>
    <s v="Saturday"/>
    <n v="3"/>
  </r>
  <r>
    <x v="2521"/>
    <d v="2024-02-27T00:00:00"/>
    <x v="3"/>
    <x v="1"/>
    <n v="13"/>
    <n v="45"/>
    <n v="4.9000000000000004"/>
    <x v="0"/>
    <x v="2"/>
    <x v="1"/>
    <x v="1"/>
    <x v="1"/>
    <x v="0"/>
    <x v="0"/>
    <x v="3"/>
    <x v="1"/>
    <n v="1"/>
    <s v="Very Fast"/>
    <s v="2 Days"/>
    <x v="9"/>
    <s v="Tuesday"/>
    <n v="3"/>
  </r>
  <r>
    <x v="2522"/>
    <d v="2024-04-21T00:00:00"/>
    <x v="1"/>
    <x v="3"/>
    <n v="186"/>
    <n v="3"/>
    <n v="1.7"/>
    <x v="1"/>
    <x v="0"/>
    <x v="1"/>
    <x v="3"/>
    <x v="3"/>
    <x v="0"/>
    <x v="1"/>
    <x v="1"/>
    <x v="1"/>
    <n v="0"/>
    <s v="Slow"/>
    <s v="Same Day"/>
    <x v="3"/>
    <s v="Sunday"/>
    <n v="2"/>
  </r>
  <r>
    <x v="2523"/>
    <d v="2024-09-13T00:00:00"/>
    <x v="1"/>
    <x v="3"/>
    <n v="179"/>
    <n v="25"/>
    <n v="7.2"/>
    <x v="1"/>
    <x v="0"/>
    <x v="0"/>
    <x v="3"/>
    <x v="3"/>
    <x v="1"/>
    <x v="1"/>
    <x v="0"/>
    <x v="0"/>
    <n v="0"/>
    <s v="Slow"/>
    <s v="2 Days"/>
    <x v="5"/>
    <s v="Friday"/>
    <n v="2"/>
  </r>
  <r>
    <x v="2524"/>
    <d v="2024-03-13T00:00:00"/>
    <x v="2"/>
    <x v="0"/>
    <n v="196"/>
    <n v="63"/>
    <n v="3.6"/>
    <x v="0"/>
    <x v="2"/>
    <x v="0"/>
    <x v="0"/>
    <x v="0"/>
    <x v="0"/>
    <x v="0"/>
    <x v="3"/>
    <x v="0"/>
    <n v="1"/>
    <s v="Slow"/>
    <s v="3 Days"/>
    <x v="2"/>
    <s v="Wednesday"/>
    <n v="4"/>
  </r>
  <r>
    <x v="2525"/>
    <d v="2024-03-21T00:00:00"/>
    <x v="3"/>
    <x v="2"/>
    <n v="161"/>
    <n v="31"/>
    <n v="1.4"/>
    <x v="1"/>
    <x v="2"/>
    <x v="0"/>
    <x v="2"/>
    <x v="2"/>
    <x v="1"/>
    <x v="1"/>
    <x v="1"/>
    <x v="0"/>
    <n v="0"/>
    <s v="Slow"/>
    <s v="2 Days"/>
    <x v="2"/>
    <s v="Thursday"/>
    <n v="1"/>
  </r>
  <r>
    <x v="2526"/>
    <d v="2024-07-01T00:00:00"/>
    <x v="4"/>
    <x v="0"/>
    <n v="112"/>
    <n v="36"/>
    <n v="3.4"/>
    <x v="0"/>
    <x v="1"/>
    <x v="0"/>
    <x v="0"/>
    <x v="0"/>
    <x v="0"/>
    <x v="0"/>
    <x v="3"/>
    <x v="0"/>
    <n v="1"/>
    <s v="Acceptable"/>
    <s v="2 Days"/>
    <x v="10"/>
    <s v="Monday"/>
    <n v="4"/>
  </r>
  <r>
    <x v="2527"/>
    <d v="2024-07-14T00:00:00"/>
    <x v="4"/>
    <x v="2"/>
    <n v="48"/>
    <n v="9"/>
    <n v="6.6"/>
    <x v="1"/>
    <x v="1"/>
    <x v="0"/>
    <x v="2"/>
    <x v="2"/>
    <x v="1"/>
    <x v="1"/>
    <x v="0"/>
    <x v="0"/>
    <n v="0"/>
    <s v="Acceptable"/>
    <s v="1 Day"/>
    <x v="10"/>
    <s v="Sunday"/>
    <n v="1"/>
  </r>
  <r>
    <x v="2528"/>
    <d v="2024-11-19T00:00:00"/>
    <x v="1"/>
    <x v="2"/>
    <n v="166"/>
    <n v="43"/>
    <n v="0.8"/>
    <x v="1"/>
    <x v="2"/>
    <x v="0"/>
    <x v="2"/>
    <x v="2"/>
    <x v="1"/>
    <x v="1"/>
    <x v="1"/>
    <x v="0"/>
    <n v="0"/>
    <s v="Slow"/>
    <s v="2 Days"/>
    <x v="6"/>
    <s v="Tuesday"/>
    <n v="1"/>
  </r>
  <r>
    <x v="2529"/>
    <d v="2024-02-10T00:00:00"/>
    <x v="3"/>
    <x v="2"/>
    <n v="162"/>
    <n v="33"/>
    <n v="5.2"/>
    <x v="0"/>
    <x v="0"/>
    <x v="0"/>
    <x v="2"/>
    <x v="2"/>
    <x v="1"/>
    <x v="1"/>
    <x v="0"/>
    <x v="0"/>
    <n v="1"/>
    <s v="Slow"/>
    <s v="2 Days"/>
    <x v="9"/>
    <s v="Saturday"/>
    <n v="1"/>
  </r>
  <r>
    <x v="2530"/>
    <d v="2024-03-02T00:00:00"/>
    <x v="2"/>
    <x v="2"/>
    <n v="77"/>
    <n v="33"/>
    <n v="5"/>
    <x v="0"/>
    <x v="1"/>
    <x v="0"/>
    <x v="2"/>
    <x v="2"/>
    <x v="1"/>
    <x v="1"/>
    <x v="3"/>
    <x v="0"/>
    <n v="1"/>
    <s v="Acceptable"/>
    <s v="2 Days"/>
    <x v="2"/>
    <s v="Saturday"/>
    <n v="1"/>
  </r>
  <r>
    <x v="2531"/>
    <d v="2024-05-02T00:00:00"/>
    <x v="4"/>
    <x v="1"/>
    <n v="160"/>
    <n v="69"/>
    <n v="4.5999999999999996"/>
    <x v="1"/>
    <x v="1"/>
    <x v="0"/>
    <x v="1"/>
    <x v="1"/>
    <x v="1"/>
    <x v="1"/>
    <x v="3"/>
    <x v="0"/>
    <n v="0"/>
    <s v="Slow"/>
    <s v="3 Days"/>
    <x v="1"/>
    <s v="Thursday"/>
    <n v="3"/>
  </r>
  <r>
    <x v="2532"/>
    <d v="2024-10-24T00:00:00"/>
    <x v="0"/>
    <x v="2"/>
    <n v="73"/>
    <n v="23"/>
    <n v="1.8"/>
    <x v="0"/>
    <x v="2"/>
    <x v="0"/>
    <x v="2"/>
    <x v="2"/>
    <x v="1"/>
    <x v="1"/>
    <x v="1"/>
    <x v="0"/>
    <n v="1"/>
    <s v="Acceptable"/>
    <s v="1 Day"/>
    <x v="7"/>
    <s v="Thursday"/>
    <n v="1"/>
  </r>
  <r>
    <x v="2533"/>
    <d v="2024-03-21T00:00:00"/>
    <x v="3"/>
    <x v="1"/>
    <n v="163"/>
    <n v="2"/>
    <n v="8.1999999999999993"/>
    <x v="1"/>
    <x v="2"/>
    <x v="2"/>
    <x v="1"/>
    <x v="1"/>
    <x v="0"/>
    <x v="1"/>
    <x v="2"/>
    <x v="2"/>
    <n v="0"/>
    <s v="Slow"/>
    <s v="Same Day"/>
    <x v="2"/>
    <s v="Thursday"/>
    <n v="3"/>
  </r>
  <r>
    <x v="2534"/>
    <d v="2024-10-16T00:00:00"/>
    <x v="4"/>
    <x v="2"/>
    <n v="45"/>
    <n v="50"/>
    <n v="6.8"/>
    <x v="0"/>
    <x v="2"/>
    <x v="0"/>
    <x v="2"/>
    <x v="2"/>
    <x v="1"/>
    <x v="1"/>
    <x v="0"/>
    <x v="0"/>
    <n v="1"/>
    <s v="Acceptable"/>
    <s v="3 Days"/>
    <x v="7"/>
    <s v="Wednesday"/>
    <n v="1"/>
  </r>
  <r>
    <x v="2535"/>
    <d v="2024-08-29T00:00:00"/>
    <x v="2"/>
    <x v="0"/>
    <n v="218"/>
    <n v="32"/>
    <n v="5"/>
    <x v="0"/>
    <x v="2"/>
    <x v="0"/>
    <x v="0"/>
    <x v="0"/>
    <x v="0"/>
    <x v="0"/>
    <x v="3"/>
    <x v="0"/>
    <n v="1"/>
    <s v="Slow"/>
    <s v="2 Days"/>
    <x v="0"/>
    <s v="Thursday"/>
    <n v="4"/>
  </r>
  <r>
    <x v="2536"/>
    <d v="2024-01-04T00:00:00"/>
    <x v="0"/>
    <x v="3"/>
    <n v="31"/>
    <n v="16"/>
    <n v="1.2"/>
    <x v="1"/>
    <x v="0"/>
    <x v="0"/>
    <x v="3"/>
    <x v="3"/>
    <x v="0"/>
    <x v="0"/>
    <x v="1"/>
    <x v="0"/>
    <n v="0"/>
    <s v="Acceptable"/>
    <s v="1 Day"/>
    <x v="8"/>
    <s v="Thursday"/>
    <n v="2"/>
  </r>
  <r>
    <x v="2537"/>
    <d v="2024-02-06T00:00:00"/>
    <x v="3"/>
    <x v="2"/>
    <n v="43"/>
    <n v="21"/>
    <n v="8.1999999999999993"/>
    <x v="0"/>
    <x v="2"/>
    <x v="0"/>
    <x v="2"/>
    <x v="2"/>
    <x v="1"/>
    <x v="1"/>
    <x v="2"/>
    <x v="0"/>
    <n v="1"/>
    <s v="Acceptable"/>
    <s v="1 Day"/>
    <x v="9"/>
    <s v="Tuesday"/>
    <n v="1"/>
  </r>
  <r>
    <x v="2538"/>
    <d v="2024-11-13T00:00:00"/>
    <x v="3"/>
    <x v="2"/>
    <n v="151"/>
    <n v="3"/>
    <n v="6.5"/>
    <x v="1"/>
    <x v="1"/>
    <x v="1"/>
    <x v="2"/>
    <x v="2"/>
    <x v="0"/>
    <x v="1"/>
    <x v="0"/>
    <x v="1"/>
    <n v="0"/>
    <s v="Slow"/>
    <s v="Same Day"/>
    <x v="6"/>
    <s v="Wednesday"/>
    <n v="1"/>
  </r>
  <r>
    <x v="2539"/>
    <d v="2024-03-18T00:00:00"/>
    <x v="3"/>
    <x v="3"/>
    <n v="61"/>
    <n v="68"/>
    <n v="4.0999999999999996"/>
    <x v="1"/>
    <x v="2"/>
    <x v="0"/>
    <x v="3"/>
    <x v="3"/>
    <x v="1"/>
    <x v="1"/>
    <x v="3"/>
    <x v="0"/>
    <n v="0"/>
    <s v="Acceptable"/>
    <s v="3 Days"/>
    <x v="2"/>
    <s v="Monday"/>
    <n v="2"/>
  </r>
  <r>
    <x v="2540"/>
    <d v="2024-12-31T00:00:00"/>
    <x v="1"/>
    <x v="3"/>
    <n v="228"/>
    <n v="67"/>
    <n v="7.9"/>
    <x v="1"/>
    <x v="1"/>
    <x v="0"/>
    <x v="3"/>
    <x v="3"/>
    <x v="1"/>
    <x v="1"/>
    <x v="0"/>
    <x v="0"/>
    <n v="0"/>
    <s v="Slow"/>
    <s v="3 Days"/>
    <x v="11"/>
    <s v="Tuesday"/>
    <n v="2"/>
  </r>
  <r>
    <x v="2541"/>
    <d v="2024-12-05T00:00:00"/>
    <x v="4"/>
    <x v="2"/>
    <n v="85"/>
    <n v="56"/>
    <n v="8.9"/>
    <x v="0"/>
    <x v="2"/>
    <x v="0"/>
    <x v="2"/>
    <x v="2"/>
    <x v="1"/>
    <x v="1"/>
    <x v="2"/>
    <x v="0"/>
    <n v="1"/>
    <s v="Acceptable"/>
    <s v="3 Days"/>
    <x v="11"/>
    <s v="Thursday"/>
    <n v="1"/>
  </r>
  <r>
    <x v="2542"/>
    <d v="2024-12-05T00:00:00"/>
    <x v="4"/>
    <x v="2"/>
    <n v="122"/>
    <n v="49"/>
    <n v="9.5"/>
    <x v="0"/>
    <x v="0"/>
    <x v="0"/>
    <x v="2"/>
    <x v="2"/>
    <x v="1"/>
    <x v="1"/>
    <x v="2"/>
    <x v="0"/>
    <n v="1"/>
    <s v="Slow"/>
    <s v="3 Days"/>
    <x v="11"/>
    <s v="Thursday"/>
    <n v="1"/>
  </r>
  <r>
    <x v="2543"/>
    <d v="2024-07-15T00:00:00"/>
    <x v="0"/>
    <x v="2"/>
    <n v="50"/>
    <n v="72"/>
    <n v="2.2999999999999998"/>
    <x v="0"/>
    <x v="1"/>
    <x v="0"/>
    <x v="2"/>
    <x v="2"/>
    <x v="1"/>
    <x v="1"/>
    <x v="3"/>
    <x v="0"/>
    <n v="1"/>
    <s v="Acceptable"/>
    <s v="3 Days"/>
    <x v="10"/>
    <s v="Monday"/>
    <n v="1"/>
  </r>
  <r>
    <x v="2544"/>
    <d v="2024-04-01T00:00:00"/>
    <x v="2"/>
    <x v="3"/>
    <n v="226"/>
    <n v="1"/>
    <n v="6.3"/>
    <x v="0"/>
    <x v="1"/>
    <x v="1"/>
    <x v="3"/>
    <x v="3"/>
    <x v="0"/>
    <x v="1"/>
    <x v="0"/>
    <x v="1"/>
    <n v="1"/>
    <s v="Slow"/>
    <s v="Same Day"/>
    <x v="3"/>
    <s v="Monday"/>
    <n v="2"/>
  </r>
  <r>
    <x v="2545"/>
    <d v="2024-11-16T00:00:00"/>
    <x v="0"/>
    <x v="1"/>
    <n v="40"/>
    <n v="40"/>
    <n v="2.2999999999999998"/>
    <x v="1"/>
    <x v="2"/>
    <x v="0"/>
    <x v="1"/>
    <x v="1"/>
    <x v="0"/>
    <x v="0"/>
    <x v="3"/>
    <x v="0"/>
    <n v="0"/>
    <s v="Acceptable"/>
    <s v="2 Days"/>
    <x v="6"/>
    <s v="Saturday"/>
    <n v="3"/>
  </r>
  <r>
    <x v="2546"/>
    <d v="2024-10-16T00:00:00"/>
    <x v="2"/>
    <x v="0"/>
    <n v="163"/>
    <n v="10"/>
    <n v="1.5"/>
    <x v="0"/>
    <x v="1"/>
    <x v="0"/>
    <x v="0"/>
    <x v="0"/>
    <x v="0"/>
    <x v="0"/>
    <x v="1"/>
    <x v="0"/>
    <n v="1"/>
    <s v="Slow"/>
    <s v="1 Day"/>
    <x v="7"/>
    <s v="Wednesday"/>
    <n v="4"/>
  </r>
  <r>
    <x v="2547"/>
    <d v="2024-12-03T00:00:00"/>
    <x v="2"/>
    <x v="3"/>
    <n v="18"/>
    <n v="56"/>
    <n v="5.4"/>
    <x v="0"/>
    <x v="2"/>
    <x v="1"/>
    <x v="3"/>
    <x v="3"/>
    <x v="1"/>
    <x v="0"/>
    <x v="0"/>
    <x v="1"/>
    <n v="1"/>
    <s v="Very Fast"/>
    <s v="3 Days"/>
    <x v="11"/>
    <s v="Tuesday"/>
    <n v="2"/>
  </r>
  <r>
    <x v="2548"/>
    <d v="2024-05-19T00:00:00"/>
    <x v="3"/>
    <x v="3"/>
    <n v="163"/>
    <n v="49"/>
    <n v="8.5"/>
    <x v="1"/>
    <x v="1"/>
    <x v="0"/>
    <x v="3"/>
    <x v="3"/>
    <x v="1"/>
    <x v="1"/>
    <x v="2"/>
    <x v="0"/>
    <n v="0"/>
    <s v="Slow"/>
    <s v="3 Days"/>
    <x v="1"/>
    <s v="Sunday"/>
    <n v="2"/>
  </r>
  <r>
    <x v="2549"/>
    <d v="2024-10-04T00:00:00"/>
    <x v="4"/>
    <x v="2"/>
    <n v="12"/>
    <n v="48"/>
    <n v="4.0999999999999996"/>
    <x v="1"/>
    <x v="2"/>
    <x v="1"/>
    <x v="2"/>
    <x v="2"/>
    <x v="1"/>
    <x v="0"/>
    <x v="3"/>
    <x v="1"/>
    <n v="0"/>
    <s v="Very Fast"/>
    <s v="2 Days"/>
    <x v="7"/>
    <s v="Friday"/>
    <n v="1"/>
  </r>
  <r>
    <x v="2550"/>
    <d v="2024-06-30T00:00:00"/>
    <x v="1"/>
    <x v="0"/>
    <n v="239"/>
    <n v="19"/>
    <n v="2.7"/>
    <x v="1"/>
    <x v="0"/>
    <x v="0"/>
    <x v="0"/>
    <x v="0"/>
    <x v="0"/>
    <x v="0"/>
    <x v="3"/>
    <x v="0"/>
    <n v="0"/>
    <s v="Slow"/>
    <s v="1 Day"/>
    <x v="4"/>
    <s v="Sunday"/>
    <n v="4"/>
  </r>
  <r>
    <x v="2551"/>
    <d v="2024-04-01T00:00:00"/>
    <x v="1"/>
    <x v="0"/>
    <n v="151"/>
    <n v="43"/>
    <n v="5.6"/>
    <x v="1"/>
    <x v="2"/>
    <x v="1"/>
    <x v="0"/>
    <x v="0"/>
    <x v="0"/>
    <x v="0"/>
    <x v="0"/>
    <x v="1"/>
    <n v="0"/>
    <s v="Slow"/>
    <s v="2 Days"/>
    <x v="3"/>
    <s v="Monday"/>
    <n v="4"/>
  </r>
  <r>
    <x v="2552"/>
    <d v="2024-10-02T00:00:00"/>
    <x v="4"/>
    <x v="0"/>
    <n v="192"/>
    <n v="21"/>
    <n v="4.2"/>
    <x v="0"/>
    <x v="1"/>
    <x v="0"/>
    <x v="0"/>
    <x v="0"/>
    <x v="0"/>
    <x v="0"/>
    <x v="3"/>
    <x v="0"/>
    <n v="1"/>
    <s v="Slow"/>
    <s v="1 Day"/>
    <x v="7"/>
    <s v="Wednesday"/>
    <n v="4"/>
  </r>
  <r>
    <x v="2553"/>
    <d v="2024-08-08T00:00:00"/>
    <x v="1"/>
    <x v="0"/>
    <n v="75"/>
    <n v="65"/>
    <n v="9.6"/>
    <x v="0"/>
    <x v="1"/>
    <x v="0"/>
    <x v="0"/>
    <x v="0"/>
    <x v="0"/>
    <x v="0"/>
    <x v="2"/>
    <x v="0"/>
    <n v="1"/>
    <s v="Acceptable"/>
    <s v="3 Days"/>
    <x v="0"/>
    <s v="Thursday"/>
    <n v="4"/>
  </r>
  <r>
    <x v="2554"/>
    <d v="2024-09-29T00:00:00"/>
    <x v="1"/>
    <x v="3"/>
    <n v="136"/>
    <n v="40"/>
    <n v="7.9"/>
    <x v="0"/>
    <x v="1"/>
    <x v="0"/>
    <x v="3"/>
    <x v="3"/>
    <x v="1"/>
    <x v="1"/>
    <x v="0"/>
    <x v="0"/>
    <n v="1"/>
    <s v="Slow"/>
    <s v="2 Days"/>
    <x v="5"/>
    <s v="Sunday"/>
    <n v="2"/>
  </r>
  <r>
    <x v="2555"/>
    <d v="2024-01-19T00:00:00"/>
    <x v="1"/>
    <x v="2"/>
    <n v="195"/>
    <n v="38"/>
    <n v="8"/>
    <x v="1"/>
    <x v="2"/>
    <x v="0"/>
    <x v="2"/>
    <x v="2"/>
    <x v="1"/>
    <x v="1"/>
    <x v="0"/>
    <x v="0"/>
    <n v="0"/>
    <s v="Slow"/>
    <s v="2 Days"/>
    <x v="8"/>
    <s v="Friday"/>
    <n v="1"/>
  </r>
  <r>
    <x v="2556"/>
    <d v="2024-03-17T00:00:00"/>
    <x v="4"/>
    <x v="2"/>
    <n v="75"/>
    <n v="23"/>
    <n v="0.7"/>
    <x v="1"/>
    <x v="2"/>
    <x v="0"/>
    <x v="2"/>
    <x v="2"/>
    <x v="1"/>
    <x v="1"/>
    <x v="1"/>
    <x v="0"/>
    <n v="0"/>
    <s v="Acceptable"/>
    <s v="1 Day"/>
    <x v="2"/>
    <s v="Sunday"/>
    <n v="1"/>
  </r>
  <r>
    <x v="2557"/>
    <d v="2024-08-19T00:00:00"/>
    <x v="3"/>
    <x v="2"/>
    <n v="150"/>
    <n v="58"/>
    <n v="3.5"/>
    <x v="1"/>
    <x v="2"/>
    <x v="0"/>
    <x v="2"/>
    <x v="2"/>
    <x v="1"/>
    <x v="1"/>
    <x v="3"/>
    <x v="0"/>
    <n v="0"/>
    <s v="Slow"/>
    <s v="3 Days"/>
    <x v="0"/>
    <s v="Monday"/>
    <n v="1"/>
  </r>
  <r>
    <x v="2558"/>
    <d v="2024-10-27T00:00:00"/>
    <x v="2"/>
    <x v="2"/>
    <n v="238"/>
    <n v="35"/>
    <n v="3.1"/>
    <x v="1"/>
    <x v="1"/>
    <x v="0"/>
    <x v="2"/>
    <x v="2"/>
    <x v="1"/>
    <x v="1"/>
    <x v="3"/>
    <x v="0"/>
    <n v="0"/>
    <s v="Slow"/>
    <s v="2 Days"/>
    <x v="7"/>
    <s v="Sunday"/>
    <n v="1"/>
  </r>
  <r>
    <x v="2559"/>
    <d v="2024-11-19T00:00:00"/>
    <x v="2"/>
    <x v="1"/>
    <n v="100"/>
    <n v="71"/>
    <n v="2.1"/>
    <x v="0"/>
    <x v="0"/>
    <x v="0"/>
    <x v="1"/>
    <x v="1"/>
    <x v="1"/>
    <x v="0"/>
    <x v="3"/>
    <x v="0"/>
    <n v="1"/>
    <s v="Acceptable"/>
    <s v="3 Days"/>
    <x v="6"/>
    <s v="Tuesday"/>
    <n v="3"/>
  </r>
  <r>
    <x v="2560"/>
    <d v="2024-12-19T00:00:00"/>
    <x v="2"/>
    <x v="1"/>
    <n v="126"/>
    <n v="28"/>
    <n v="1.4"/>
    <x v="1"/>
    <x v="2"/>
    <x v="0"/>
    <x v="1"/>
    <x v="1"/>
    <x v="0"/>
    <x v="1"/>
    <x v="1"/>
    <x v="0"/>
    <n v="0"/>
    <s v="Slow"/>
    <s v="2 Days"/>
    <x v="11"/>
    <s v="Thursday"/>
    <n v="3"/>
  </r>
  <r>
    <x v="2561"/>
    <d v="2024-05-05T00:00:00"/>
    <x v="2"/>
    <x v="1"/>
    <n v="147"/>
    <n v="65"/>
    <n v="9.5"/>
    <x v="1"/>
    <x v="0"/>
    <x v="1"/>
    <x v="1"/>
    <x v="1"/>
    <x v="1"/>
    <x v="1"/>
    <x v="2"/>
    <x v="1"/>
    <n v="0"/>
    <s v="Slow"/>
    <s v="3 Days"/>
    <x v="1"/>
    <s v="Sunday"/>
    <n v="3"/>
  </r>
  <r>
    <x v="2562"/>
    <d v="2024-11-16T00:00:00"/>
    <x v="1"/>
    <x v="0"/>
    <n v="6"/>
    <n v="54"/>
    <n v="5.3"/>
    <x v="0"/>
    <x v="0"/>
    <x v="1"/>
    <x v="0"/>
    <x v="0"/>
    <x v="0"/>
    <x v="0"/>
    <x v="0"/>
    <x v="1"/>
    <n v="1"/>
    <s v="Very Fast"/>
    <s v="3 Days"/>
    <x v="6"/>
    <s v="Saturday"/>
    <n v="4"/>
  </r>
  <r>
    <x v="2563"/>
    <d v="2024-11-26T00:00:00"/>
    <x v="2"/>
    <x v="3"/>
    <n v="193"/>
    <n v="22"/>
    <n v="7.8"/>
    <x v="0"/>
    <x v="1"/>
    <x v="0"/>
    <x v="3"/>
    <x v="3"/>
    <x v="0"/>
    <x v="1"/>
    <x v="0"/>
    <x v="0"/>
    <n v="1"/>
    <s v="Slow"/>
    <s v="1 Day"/>
    <x v="6"/>
    <s v="Tuesday"/>
    <n v="2"/>
  </r>
  <r>
    <x v="2564"/>
    <d v="2024-05-23T00:00:00"/>
    <x v="1"/>
    <x v="0"/>
    <n v="102"/>
    <n v="63"/>
    <n v="2.9"/>
    <x v="0"/>
    <x v="2"/>
    <x v="0"/>
    <x v="0"/>
    <x v="0"/>
    <x v="0"/>
    <x v="0"/>
    <x v="3"/>
    <x v="0"/>
    <n v="1"/>
    <s v="Acceptable"/>
    <s v="3 Days"/>
    <x v="1"/>
    <s v="Thursday"/>
    <n v="4"/>
  </r>
  <r>
    <x v="2565"/>
    <d v="2024-07-28T00:00:00"/>
    <x v="4"/>
    <x v="3"/>
    <n v="130"/>
    <n v="29"/>
    <n v="3.6"/>
    <x v="1"/>
    <x v="0"/>
    <x v="0"/>
    <x v="3"/>
    <x v="3"/>
    <x v="1"/>
    <x v="1"/>
    <x v="3"/>
    <x v="0"/>
    <n v="0"/>
    <s v="Slow"/>
    <s v="2 Days"/>
    <x v="10"/>
    <s v="Sunday"/>
    <n v="2"/>
  </r>
  <r>
    <x v="2566"/>
    <d v="2024-03-21T00:00:00"/>
    <x v="1"/>
    <x v="1"/>
    <n v="140"/>
    <n v="24"/>
    <n v="2.1"/>
    <x v="1"/>
    <x v="2"/>
    <x v="0"/>
    <x v="1"/>
    <x v="1"/>
    <x v="0"/>
    <x v="1"/>
    <x v="3"/>
    <x v="0"/>
    <n v="0"/>
    <s v="Slow"/>
    <s v="1 Day"/>
    <x v="2"/>
    <s v="Thursday"/>
    <n v="3"/>
  </r>
  <r>
    <x v="2567"/>
    <d v="2024-07-19T00:00:00"/>
    <x v="4"/>
    <x v="0"/>
    <n v="65"/>
    <n v="12"/>
    <n v="4.5999999999999996"/>
    <x v="1"/>
    <x v="1"/>
    <x v="0"/>
    <x v="0"/>
    <x v="0"/>
    <x v="0"/>
    <x v="0"/>
    <x v="3"/>
    <x v="0"/>
    <n v="0"/>
    <s v="Acceptable"/>
    <s v="1 Day"/>
    <x v="10"/>
    <s v="Friday"/>
    <n v="4"/>
  </r>
  <r>
    <x v="2568"/>
    <d v="2024-10-07T00:00:00"/>
    <x v="2"/>
    <x v="0"/>
    <n v="50"/>
    <n v="52"/>
    <n v="4"/>
    <x v="1"/>
    <x v="1"/>
    <x v="0"/>
    <x v="0"/>
    <x v="0"/>
    <x v="0"/>
    <x v="0"/>
    <x v="3"/>
    <x v="0"/>
    <n v="0"/>
    <s v="Acceptable"/>
    <s v="3 Days"/>
    <x v="7"/>
    <s v="Monday"/>
    <n v="4"/>
  </r>
  <r>
    <x v="2569"/>
    <d v="2024-05-23T00:00:00"/>
    <x v="2"/>
    <x v="1"/>
    <n v="118"/>
    <n v="12"/>
    <n v="8.6"/>
    <x v="1"/>
    <x v="1"/>
    <x v="1"/>
    <x v="1"/>
    <x v="1"/>
    <x v="0"/>
    <x v="0"/>
    <x v="2"/>
    <x v="1"/>
    <n v="0"/>
    <s v="Acceptable"/>
    <s v="1 Day"/>
    <x v="1"/>
    <s v="Thursday"/>
    <n v="3"/>
  </r>
  <r>
    <x v="2570"/>
    <d v="2024-01-28T00:00:00"/>
    <x v="0"/>
    <x v="2"/>
    <n v="19"/>
    <n v="70"/>
    <n v="5"/>
    <x v="0"/>
    <x v="2"/>
    <x v="1"/>
    <x v="2"/>
    <x v="2"/>
    <x v="1"/>
    <x v="0"/>
    <x v="3"/>
    <x v="1"/>
    <n v="1"/>
    <s v="Very Fast"/>
    <s v="3 Days"/>
    <x v="8"/>
    <s v="Sunday"/>
    <n v="1"/>
  </r>
  <r>
    <x v="2571"/>
    <d v="2024-10-17T00:00:00"/>
    <x v="0"/>
    <x v="3"/>
    <n v="10"/>
    <n v="72"/>
    <n v="3"/>
    <x v="1"/>
    <x v="1"/>
    <x v="1"/>
    <x v="3"/>
    <x v="3"/>
    <x v="1"/>
    <x v="0"/>
    <x v="3"/>
    <x v="1"/>
    <n v="0"/>
    <s v="Very Fast"/>
    <s v="3 Days"/>
    <x v="7"/>
    <s v="Thursday"/>
    <n v="2"/>
  </r>
  <r>
    <x v="2572"/>
    <d v="2024-02-08T00:00:00"/>
    <x v="0"/>
    <x v="2"/>
    <n v="50"/>
    <n v="50"/>
    <n v="6.4"/>
    <x v="0"/>
    <x v="2"/>
    <x v="0"/>
    <x v="2"/>
    <x v="2"/>
    <x v="1"/>
    <x v="1"/>
    <x v="0"/>
    <x v="0"/>
    <n v="1"/>
    <s v="Acceptable"/>
    <s v="3 Days"/>
    <x v="9"/>
    <s v="Thursday"/>
    <n v="1"/>
  </r>
  <r>
    <x v="2573"/>
    <d v="2024-02-09T00:00:00"/>
    <x v="1"/>
    <x v="1"/>
    <n v="78"/>
    <n v="17"/>
    <n v="2.1"/>
    <x v="1"/>
    <x v="0"/>
    <x v="0"/>
    <x v="1"/>
    <x v="1"/>
    <x v="0"/>
    <x v="0"/>
    <x v="3"/>
    <x v="0"/>
    <n v="0"/>
    <s v="Acceptable"/>
    <s v="1 Day"/>
    <x v="9"/>
    <s v="Friday"/>
    <n v="3"/>
  </r>
  <r>
    <x v="2574"/>
    <d v="2024-04-14T00:00:00"/>
    <x v="2"/>
    <x v="1"/>
    <n v="149"/>
    <n v="17"/>
    <n v="6.6"/>
    <x v="0"/>
    <x v="2"/>
    <x v="0"/>
    <x v="1"/>
    <x v="1"/>
    <x v="0"/>
    <x v="1"/>
    <x v="0"/>
    <x v="0"/>
    <n v="1"/>
    <s v="Slow"/>
    <s v="1 Day"/>
    <x v="3"/>
    <s v="Sunday"/>
    <n v="3"/>
  </r>
  <r>
    <x v="2575"/>
    <d v="2024-08-13T00:00:00"/>
    <x v="4"/>
    <x v="3"/>
    <n v="72"/>
    <n v="4"/>
    <n v="4.8"/>
    <x v="1"/>
    <x v="0"/>
    <x v="1"/>
    <x v="3"/>
    <x v="3"/>
    <x v="0"/>
    <x v="1"/>
    <x v="3"/>
    <x v="1"/>
    <n v="0"/>
    <s v="Acceptable"/>
    <s v="Same Day"/>
    <x v="0"/>
    <s v="Tuesday"/>
    <n v="2"/>
  </r>
  <r>
    <x v="2576"/>
    <d v="2024-02-07T00:00:00"/>
    <x v="0"/>
    <x v="3"/>
    <n v="26"/>
    <n v="20"/>
    <n v="6.3"/>
    <x v="0"/>
    <x v="2"/>
    <x v="1"/>
    <x v="3"/>
    <x v="3"/>
    <x v="0"/>
    <x v="0"/>
    <x v="0"/>
    <x v="1"/>
    <n v="1"/>
    <s v="Very Fast"/>
    <s v="1 Day"/>
    <x v="9"/>
    <s v="Wednesday"/>
    <n v="2"/>
  </r>
  <r>
    <x v="2577"/>
    <d v="2024-04-24T00:00:00"/>
    <x v="1"/>
    <x v="3"/>
    <n v="209"/>
    <n v="61"/>
    <n v="8.3000000000000007"/>
    <x v="1"/>
    <x v="0"/>
    <x v="0"/>
    <x v="3"/>
    <x v="3"/>
    <x v="1"/>
    <x v="1"/>
    <x v="2"/>
    <x v="0"/>
    <n v="0"/>
    <s v="Slow"/>
    <s v="3 Days"/>
    <x v="3"/>
    <s v="Wednesday"/>
    <n v="2"/>
  </r>
  <r>
    <x v="2578"/>
    <d v="2024-11-04T00:00:00"/>
    <x v="0"/>
    <x v="0"/>
    <n v="198"/>
    <n v="26"/>
    <n v="6.5"/>
    <x v="0"/>
    <x v="0"/>
    <x v="0"/>
    <x v="0"/>
    <x v="0"/>
    <x v="0"/>
    <x v="0"/>
    <x v="0"/>
    <x v="0"/>
    <n v="1"/>
    <s v="Slow"/>
    <s v="2 Days"/>
    <x v="6"/>
    <s v="Monday"/>
    <n v="4"/>
  </r>
  <r>
    <x v="2579"/>
    <d v="2024-07-06T00:00:00"/>
    <x v="3"/>
    <x v="0"/>
    <n v="119"/>
    <n v="20"/>
    <n v="9.5"/>
    <x v="1"/>
    <x v="1"/>
    <x v="1"/>
    <x v="0"/>
    <x v="0"/>
    <x v="0"/>
    <x v="0"/>
    <x v="2"/>
    <x v="1"/>
    <n v="0"/>
    <s v="Acceptable"/>
    <s v="1 Day"/>
    <x v="10"/>
    <s v="Saturday"/>
    <n v="4"/>
  </r>
  <r>
    <x v="2580"/>
    <d v="2024-03-03T00:00:00"/>
    <x v="2"/>
    <x v="0"/>
    <n v="22"/>
    <n v="16"/>
    <n v="9.8000000000000007"/>
    <x v="0"/>
    <x v="2"/>
    <x v="1"/>
    <x v="0"/>
    <x v="0"/>
    <x v="0"/>
    <x v="0"/>
    <x v="2"/>
    <x v="1"/>
    <n v="1"/>
    <s v="Very Fast"/>
    <s v="1 Day"/>
    <x v="2"/>
    <s v="Sunday"/>
    <n v="4"/>
  </r>
  <r>
    <x v="2581"/>
    <d v="2024-06-04T00:00:00"/>
    <x v="3"/>
    <x v="3"/>
    <n v="12"/>
    <n v="68"/>
    <n v="10"/>
    <x v="1"/>
    <x v="2"/>
    <x v="1"/>
    <x v="3"/>
    <x v="3"/>
    <x v="1"/>
    <x v="0"/>
    <x v="2"/>
    <x v="1"/>
    <n v="0"/>
    <s v="Very Fast"/>
    <s v="3 Days"/>
    <x v="4"/>
    <s v="Tuesday"/>
    <n v="2"/>
  </r>
  <r>
    <x v="2582"/>
    <d v="2024-10-03T00:00:00"/>
    <x v="4"/>
    <x v="0"/>
    <n v="190"/>
    <n v="31"/>
    <n v="3.3"/>
    <x v="1"/>
    <x v="1"/>
    <x v="0"/>
    <x v="0"/>
    <x v="0"/>
    <x v="0"/>
    <x v="0"/>
    <x v="3"/>
    <x v="0"/>
    <n v="0"/>
    <s v="Slow"/>
    <s v="2 Days"/>
    <x v="7"/>
    <s v="Thursday"/>
    <n v="4"/>
  </r>
  <r>
    <x v="2583"/>
    <d v="2024-06-13T00:00:00"/>
    <x v="4"/>
    <x v="2"/>
    <n v="208"/>
    <n v="48"/>
    <n v="5.5"/>
    <x v="1"/>
    <x v="2"/>
    <x v="0"/>
    <x v="2"/>
    <x v="2"/>
    <x v="1"/>
    <x v="1"/>
    <x v="0"/>
    <x v="0"/>
    <n v="0"/>
    <s v="Slow"/>
    <s v="2 Days"/>
    <x v="4"/>
    <s v="Thursday"/>
    <n v="1"/>
  </r>
  <r>
    <x v="2584"/>
    <d v="2024-10-26T00:00:00"/>
    <x v="4"/>
    <x v="3"/>
    <n v="91"/>
    <n v="58"/>
    <n v="9.1999999999999993"/>
    <x v="0"/>
    <x v="1"/>
    <x v="0"/>
    <x v="3"/>
    <x v="3"/>
    <x v="1"/>
    <x v="1"/>
    <x v="2"/>
    <x v="0"/>
    <n v="1"/>
    <s v="Acceptable"/>
    <s v="3 Days"/>
    <x v="7"/>
    <s v="Saturday"/>
    <n v="2"/>
  </r>
  <r>
    <x v="2585"/>
    <d v="2024-03-10T00:00:00"/>
    <x v="1"/>
    <x v="1"/>
    <n v="140"/>
    <n v="12"/>
    <n v="1.3"/>
    <x v="0"/>
    <x v="0"/>
    <x v="0"/>
    <x v="1"/>
    <x v="1"/>
    <x v="0"/>
    <x v="1"/>
    <x v="1"/>
    <x v="0"/>
    <n v="1"/>
    <s v="Slow"/>
    <s v="1 Day"/>
    <x v="2"/>
    <s v="Sunday"/>
    <n v="3"/>
  </r>
  <r>
    <x v="2586"/>
    <d v="2024-06-25T00:00:00"/>
    <x v="0"/>
    <x v="3"/>
    <n v="140"/>
    <n v="56"/>
    <n v="2.2999999999999998"/>
    <x v="0"/>
    <x v="0"/>
    <x v="0"/>
    <x v="3"/>
    <x v="3"/>
    <x v="1"/>
    <x v="1"/>
    <x v="3"/>
    <x v="0"/>
    <n v="1"/>
    <s v="Slow"/>
    <s v="3 Days"/>
    <x v="4"/>
    <s v="Tuesday"/>
    <n v="2"/>
  </r>
  <r>
    <x v="2587"/>
    <d v="2024-09-07T00:00:00"/>
    <x v="1"/>
    <x v="2"/>
    <n v="156"/>
    <n v="40"/>
    <n v="4.2"/>
    <x v="0"/>
    <x v="2"/>
    <x v="0"/>
    <x v="2"/>
    <x v="2"/>
    <x v="1"/>
    <x v="1"/>
    <x v="3"/>
    <x v="0"/>
    <n v="1"/>
    <s v="Slow"/>
    <s v="2 Days"/>
    <x v="5"/>
    <s v="Saturday"/>
    <n v="1"/>
  </r>
  <r>
    <x v="2588"/>
    <d v="2024-05-30T00:00:00"/>
    <x v="3"/>
    <x v="0"/>
    <n v="21"/>
    <n v="17"/>
    <n v="7.5"/>
    <x v="1"/>
    <x v="0"/>
    <x v="2"/>
    <x v="0"/>
    <x v="0"/>
    <x v="0"/>
    <x v="0"/>
    <x v="0"/>
    <x v="2"/>
    <n v="0"/>
    <s v="Very Fast"/>
    <s v="1 Day"/>
    <x v="1"/>
    <s v="Thursday"/>
    <n v="4"/>
  </r>
  <r>
    <x v="2589"/>
    <d v="2024-10-30T00:00:00"/>
    <x v="4"/>
    <x v="3"/>
    <n v="35"/>
    <n v="34"/>
    <n v="7.6"/>
    <x v="1"/>
    <x v="0"/>
    <x v="0"/>
    <x v="3"/>
    <x v="3"/>
    <x v="1"/>
    <x v="0"/>
    <x v="0"/>
    <x v="0"/>
    <n v="0"/>
    <s v="Acceptable"/>
    <s v="2 Days"/>
    <x v="7"/>
    <s v="Wednesday"/>
    <n v="2"/>
  </r>
  <r>
    <x v="2590"/>
    <d v="2024-02-06T00:00:00"/>
    <x v="4"/>
    <x v="2"/>
    <n v="109"/>
    <n v="59"/>
    <n v="6.1"/>
    <x v="0"/>
    <x v="2"/>
    <x v="0"/>
    <x v="2"/>
    <x v="2"/>
    <x v="1"/>
    <x v="1"/>
    <x v="0"/>
    <x v="0"/>
    <n v="1"/>
    <s v="Acceptable"/>
    <s v="3 Days"/>
    <x v="9"/>
    <s v="Tuesday"/>
    <n v="1"/>
  </r>
  <r>
    <x v="2591"/>
    <d v="2024-07-06T00:00:00"/>
    <x v="2"/>
    <x v="0"/>
    <n v="62"/>
    <n v="19"/>
    <n v="9.4"/>
    <x v="1"/>
    <x v="0"/>
    <x v="1"/>
    <x v="0"/>
    <x v="0"/>
    <x v="0"/>
    <x v="0"/>
    <x v="2"/>
    <x v="1"/>
    <n v="0"/>
    <s v="Acceptable"/>
    <s v="1 Day"/>
    <x v="10"/>
    <s v="Saturday"/>
    <n v="4"/>
  </r>
  <r>
    <x v="2592"/>
    <d v="2024-04-25T00:00:00"/>
    <x v="2"/>
    <x v="3"/>
    <n v="231"/>
    <n v="7"/>
    <n v="7.5"/>
    <x v="1"/>
    <x v="1"/>
    <x v="0"/>
    <x v="3"/>
    <x v="3"/>
    <x v="0"/>
    <x v="1"/>
    <x v="0"/>
    <x v="0"/>
    <n v="0"/>
    <s v="Slow"/>
    <s v="Same Day"/>
    <x v="3"/>
    <s v="Thursday"/>
    <n v="2"/>
  </r>
  <r>
    <x v="2593"/>
    <d v="2024-12-21T00:00:00"/>
    <x v="0"/>
    <x v="3"/>
    <n v="9"/>
    <n v="23"/>
    <n v="8.6999999999999993"/>
    <x v="0"/>
    <x v="1"/>
    <x v="1"/>
    <x v="3"/>
    <x v="3"/>
    <x v="0"/>
    <x v="0"/>
    <x v="2"/>
    <x v="1"/>
    <n v="1"/>
    <s v="Very Fast"/>
    <s v="1 Day"/>
    <x v="11"/>
    <s v="Saturday"/>
    <n v="2"/>
  </r>
  <r>
    <x v="2594"/>
    <d v="2024-04-19T00:00:00"/>
    <x v="2"/>
    <x v="1"/>
    <n v="155"/>
    <n v="72"/>
    <n v="1.8"/>
    <x v="1"/>
    <x v="2"/>
    <x v="0"/>
    <x v="1"/>
    <x v="1"/>
    <x v="1"/>
    <x v="1"/>
    <x v="1"/>
    <x v="0"/>
    <n v="0"/>
    <s v="Slow"/>
    <s v="3 Days"/>
    <x v="3"/>
    <s v="Friday"/>
    <n v="3"/>
  </r>
  <r>
    <x v="2595"/>
    <d v="2024-11-03T00:00:00"/>
    <x v="1"/>
    <x v="1"/>
    <n v="45"/>
    <n v="45"/>
    <n v="7.6"/>
    <x v="1"/>
    <x v="2"/>
    <x v="1"/>
    <x v="1"/>
    <x v="1"/>
    <x v="0"/>
    <x v="0"/>
    <x v="0"/>
    <x v="1"/>
    <n v="0"/>
    <s v="Acceptable"/>
    <s v="2 Days"/>
    <x v="6"/>
    <s v="Sunday"/>
    <n v="3"/>
  </r>
  <r>
    <x v="2596"/>
    <d v="2024-01-13T00:00:00"/>
    <x v="0"/>
    <x v="1"/>
    <n v="9"/>
    <n v="13"/>
    <n v="3"/>
    <x v="0"/>
    <x v="2"/>
    <x v="1"/>
    <x v="1"/>
    <x v="1"/>
    <x v="0"/>
    <x v="0"/>
    <x v="3"/>
    <x v="1"/>
    <n v="1"/>
    <s v="Very Fast"/>
    <s v="1 Day"/>
    <x v="8"/>
    <s v="Saturday"/>
    <n v="3"/>
  </r>
  <r>
    <x v="2597"/>
    <d v="2024-12-26T00:00:00"/>
    <x v="0"/>
    <x v="3"/>
    <n v="161"/>
    <n v="26"/>
    <n v="1.2"/>
    <x v="1"/>
    <x v="0"/>
    <x v="0"/>
    <x v="3"/>
    <x v="3"/>
    <x v="1"/>
    <x v="1"/>
    <x v="1"/>
    <x v="0"/>
    <n v="0"/>
    <s v="Slow"/>
    <s v="2 Days"/>
    <x v="11"/>
    <s v="Thursday"/>
    <n v="2"/>
  </r>
  <r>
    <x v="2598"/>
    <d v="2024-03-22T00:00:00"/>
    <x v="3"/>
    <x v="2"/>
    <n v="130"/>
    <n v="70"/>
    <n v="1"/>
    <x v="1"/>
    <x v="0"/>
    <x v="0"/>
    <x v="2"/>
    <x v="2"/>
    <x v="1"/>
    <x v="1"/>
    <x v="1"/>
    <x v="0"/>
    <n v="0"/>
    <s v="Slow"/>
    <s v="3 Days"/>
    <x v="2"/>
    <s v="Friday"/>
    <n v="1"/>
  </r>
  <r>
    <x v="2599"/>
    <d v="2024-02-03T00:00:00"/>
    <x v="2"/>
    <x v="1"/>
    <n v="123"/>
    <n v="55"/>
    <n v="1.5"/>
    <x v="1"/>
    <x v="2"/>
    <x v="0"/>
    <x v="1"/>
    <x v="1"/>
    <x v="1"/>
    <x v="1"/>
    <x v="1"/>
    <x v="0"/>
    <n v="0"/>
    <s v="Slow"/>
    <s v="3 Days"/>
    <x v="9"/>
    <s v="Saturday"/>
    <n v="3"/>
  </r>
  <r>
    <x v="2600"/>
    <d v="2024-02-12T00:00:00"/>
    <x v="2"/>
    <x v="0"/>
    <n v="224"/>
    <n v="56"/>
    <n v="5.0999999999999996"/>
    <x v="1"/>
    <x v="2"/>
    <x v="1"/>
    <x v="0"/>
    <x v="0"/>
    <x v="0"/>
    <x v="0"/>
    <x v="0"/>
    <x v="1"/>
    <n v="0"/>
    <s v="Slow"/>
    <s v="3 Days"/>
    <x v="9"/>
    <s v="Monday"/>
    <n v="4"/>
  </r>
  <r>
    <x v="2601"/>
    <d v="2024-02-18T00:00:00"/>
    <x v="3"/>
    <x v="3"/>
    <n v="5"/>
    <n v="35"/>
    <n v="5.2"/>
    <x v="0"/>
    <x v="1"/>
    <x v="1"/>
    <x v="3"/>
    <x v="3"/>
    <x v="1"/>
    <x v="0"/>
    <x v="0"/>
    <x v="1"/>
    <n v="1"/>
    <s v="Very Fast"/>
    <s v="2 Days"/>
    <x v="9"/>
    <s v="Sunday"/>
    <n v="2"/>
  </r>
  <r>
    <x v="2602"/>
    <d v="2024-12-25T00:00:00"/>
    <x v="3"/>
    <x v="0"/>
    <n v="79"/>
    <n v="30"/>
    <n v="4.2"/>
    <x v="0"/>
    <x v="0"/>
    <x v="0"/>
    <x v="0"/>
    <x v="0"/>
    <x v="0"/>
    <x v="0"/>
    <x v="3"/>
    <x v="0"/>
    <n v="1"/>
    <s v="Acceptable"/>
    <s v="2 Days"/>
    <x v="11"/>
    <s v="Wednesday"/>
    <n v="4"/>
  </r>
  <r>
    <x v="2603"/>
    <d v="2024-09-10T00:00:00"/>
    <x v="1"/>
    <x v="2"/>
    <n v="220"/>
    <n v="8"/>
    <n v="2.7"/>
    <x v="1"/>
    <x v="2"/>
    <x v="0"/>
    <x v="2"/>
    <x v="2"/>
    <x v="0"/>
    <x v="1"/>
    <x v="3"/>
    <x v="0"/>
    <n v="0"/>
    <s v="Slow"/>
    <s v="Same Day"/>
    <x v="5"/>
    <s v="Tuesday"/>
    <n v="1"/>
  </r>
  <r>
    <x v="2604"/>
    <d v="2024-10-12T00:00:00"/>
    <x v="2"/>
    <x v="2"/>
    <n v="92"/>
    <n v="29"/>
    <n v="3"/>
    <x v="1"/>
    <x v="1"/>
    <x v="0"/>
    <x v="2"/>
    <x v="2"/>
    <x v="1"/>
    <x v="1"/>
    <x v="3"/>
    <x v="0"/>
    <n v="0"/>
    <s v="Acceptable"/>
    <s v="2 Days"/>
    <x v="7"/>
    <s v="Saturday"/>
    <n v="1"/>
  </r>
  <r>
    <x v="2605"/>
    <d v="2024-01-20T00:00:00"/>
    <x v="2"/>
    <x v="1"/>
    <n v="153"/>
    <n v="37"/>
    <n v="6.6"/>
    <x v="1"/>
    <x v="0"/>
    <x v="1"/>
    <x v="1"/>
    <x v="1"/>
    <x v="0"/>
    <x v="1"/>
    <x v="0"/>
    <x v="1"/>
    <n v="0"/>
    <s v="Slow"/>
    <s v="2 Days"/>
    <x v="8"/>
    <s v="Saturday"/>
    <n v="3"/>
  </r>
  <r>
    <x v="2606"/>
    <d v="2024-04-23T00:00:00"/>
    <x v="0"/>
    <x v="2"/>
    <n v="58"/>
    <n v="71"/>
    <n v="0.9"/>
    <x v="1"/>
    <x v="1"/>
    <x v="0"/>
    <x v="2"/>
    <x v="2"/>
    <x v="1"/>
    <x v="1"/>
    <x v="1"/>
    <x v="0"/>
    <n v="0"/>
    <s v="Acceptable"/>
    <s v="3 Days"/>
    <x v="3"/>
    <s v="Tuesday"/>
    <n v="1"/>
  </r>
  <r>
    <x v="2607"/>
    <d v="2024-05-21T00:00:00"/>
    <x v="4"/>
    <x v="1"/>
    <n v="154"/>
    <n v="23"/>
    <n v="7.9"/>
    <x v="0"/>
    <x v="0"/>
    <x v="0"/>
    <x v="1"/>
    <x v="1"/>
    <x v="0"/>
    <x v="1"/>
    <x v="0"/>
    <x v="0"/>
    <n v="1"/>
    <s v="Slow"/>
    <s v="1 Day"/>
    <x v="1"/>
    <s v="Tuesday"/>
    <n v="3"/>
  </r>
  <r>
    <x v="2608"/>
    <d v="2024-04-20T00:00:00"/>
    <x v="4"/>
    <x v="2"/>
    <n v="15"/>
    <n v="63"/>
    <n v="8.1"/>
    <x v="0"/>
    <x v="0"/>
    <x v="1"/>
    <x v="2"/>
    <x v="2"/>
    <x v="1"/>
    <x v="0"/>
    <x v="2"/>
    <x v="1"/>
    <n v="1"/>
    <s v="Very Fast"/>
    <s v="3 Days"/>
    <x v="3"/>
    <s v="Saturday"/>
    <n v="1"/>
  </r>
  <r>
    <x v="2609"/>
    <d v="2024-01-05T00:00:00"/>
    <x v="3"/>
    <x v="0"/>
    <n v="203"/>
    <n v="53"/>
    <n v="8.3000000000000007"/>
    <x v="0"/>
    <x v="1"/>
    <x v="0"/>
    <x v="0"/>
    <x v="0"/>
    <x v="0"/>
    <x v="0"/>
    <x v="2"/>
    <x v="0"/>
    <n v="1"/>
    <s v="Slow"/>
    <s v="3 Days"/>
    <x v="8"/>
    <s v="Friday"/>
    <n v="4"/>
  </r>
  <r>
    <x v="2610"/>
    <d v="2024-07-05T00:00:00"/>
    <x v="1"/>
    <x v="2"/>
    <n v="157"/>
    <n v="12"/>
    <n v="4.2"/>
    <x v="1"/>
    <x v="1"/>
    <x v="0"/>
    <x v="2"/>
    <x v="2"/>
    <x v="1"/>
    <x v="1"/>
    <x v="3"/>
    <x v="0"/>
    <n v="0"/>
    <s v="Slow"/>
    <s v="1 Day"/>
    <x v="10"/>
    <s v="Friday"/>
    <n v="1"/>
  </r>
  <r>
    <x v="2611"/>
    <d v="2024-03-14T00:00:00"/>
    <x v="3"/>
    <x v="3"/>
    <n v="42"/>
    <n v="64"/>
    <n v="9.5"/>
    <x v="1"/>
    <x v="1"/>
    <x v="0"/>
    <x v="3"/>
    <x v="3"/>
    <x v="1"/>
    <x v="0"/>
    <x v="2"/>
    <x v="0"/>
    <n v="0"/>
    <s v="Acceptable"/>
    <s v="3 Days"/>
    <x v="2"/>
    <s v="Thursday"/>
    <n v="2"/>
  </r>
  <r>
    <x v="2612"/>
    <d v="2024-12-18T00:00:00"/>
    <x v="2"/>
    <x v="3"/>
    <n v="89"/>
    <n v="57"/>
    <n v="9.3000000000000007"/>
    <x v="0"/>
    <x v="2"/>
    <x v="0"/>
    <x v="3"/>
    <x v="3"/>
    <x v="1"/>
    <x v="1"/>
    <x v="2"/>
    <x v="0"/>
    <n v="1"/>
    <s v="Acceptable"/>
    <s v="3 Days"/>
    <x v="11"/>
    <s v="Wednesday"/>
    <n v="2"/>
  </r>
  <r>
    <x v="2613"/>
    <d v="2024-02-10T00:00:00"/>
    <x v="3"/>
    <x v="2"/>
    <n v="205"/>
    <n v="67"/>
    <n v="8.6"/>
    <x v="1"/>
    <x v="0"/>
    <x v="0"/>
    <x v="2"/>
    <x v="2"/>
    <x v="1"/>
    <x v="1"/>
    <x v="2"/>
    <x v="0"/>
    <n v="0"/>
    <s v="Slow"/>
    <s v="3 Days"/>
    <x v="9"/>
    <s v="Saturday"/>
    <n v="1"/>
  </r>
  <r>
    <x v="2614"/>
    <d v="2024-08-25T00:00:00"/>
    <x v="0"/>
    <x v="1"/>
    <n v="97"/>
    <n v="26"/>
    <n v="2.6"/>
    <x v="0"/>
    <x v="0"/>
    <x v="0"/>
    <x v="1"/>
    <x v="1"/>
    <x v="0"/>
    <x v="0"/>
    <x v="3"/>
    <x v="0"/>
    <n v="1"/>
    <s v="Acceptable"/>
    <s v="2 Days"/>
    <x v="0"/>
    <s v="Sunday"/>
    <n v="3"/>
  </r>
  <r>
    <x v="2615"/>
    <d v="2024-05-20T00:00:00"/>
    <x v="0"/>
    <x v="2"/>
    <n v="185"/>
    <n v="55"/>
    <n v="5.5"/>
    <x v="1"/>
    <x v="2"/>
    <x v="0"/>
    <x v="2"/>
    <x v="2"/>
    <x v="1"/>
    <x v="1"/>
    <x v="0"/>
    <x v="0"/>
    <n v="0"/>
    <s v="Slow"/>
    <s v="3 Days"/>
    <x v="1"/>
    <s v="Monday"/>
    <n v="1"/>
  </r>
  <r>
    <x v="2616"/>
    <d v="2024-06-01T00:00:00"/>
    <x v="4"/>
    <x v="3"/>
    <n v="87"/>
    <n v="50"/>
    <n v="2.5"/>
    <x v="0"/>
    <x v="2"/>
    <x v="0"/>
    <x v="3"/>
    <x v="3"/>
    <x v="1"/>
    <x v="1"/>
    <x v="3"/>
    <x v="0"/>
    <n v="1"/>
    <s v="Acceptable"/>
    <s v="3 Days"/>
    <x v="4"/>
    <s v="Saturday"/>
    <n v="2"/>
  </r>
  <r>
    <x v="2617"/>
    <d v="2024-07-10T00:00:00"/>
    <x v="1"/>
    <x v="3"/>
    <n v="22"/>
    <n v="15"/>
    <n v="7.4"/>
    <x v="1"/>
    <x v="2"/>
    <x v="1"/>
    <x v="3"/>
    <x v="3"/>
    <x v="0"/>
    <x v="0"/>
    <x v="0"/>
    <x v="1"/>
    <n v="0"/>
    <s v="Very Fast"/>
    <s v="1 Day"/>
    <x v="10"/>
    <s v="Wednesday"/>
    <n v="2"/>
  </r>
  <r>
    <x v="2618"/>
    <d v="2024-02-19T00:00:00"/>
    <x v="4"/>
    <x v="3"/>
    <n v="224"/>
    <n v="63"/>
    <n v="1.9"/>
    <x v="0"/>
    <x v="1"/>
    <x v="0"/>
    <x v="3"/>
    <x v="3"/>
    <x v="1"/>
    <x v="1"/>
    <x v="1"/>
    <x v="0"/>
    <n v="1"/>
    <s v="Slow"/>
    <s v="3 Days"/>
    <x v="9"/>
    <s v="Monday"/>
    <n v="2"/>
  </r>
  <r>
    <x v="2619"/>
    <d v="2024-12-26T00:00:00"/>
    <x v="2"/>
    <x v="0"/>
    <n v="108"/>
    <n v="27"/>
    <n v="4"/>
    <x v="0"/>
    <x v="2"/>
    <x v="0"/>
    <x v="0"/>
    <x v="0"/>
    <x v="0"/>
    <x v="0"/>
    <x v="3"/>
    <x v="0"/>
    <n v="1"/>
    <s v="Acceptable"/>
    <s v="2 Days"/>
    <x v="11"/>
    <s v="Thursday"/>
    <n v="4"/>
  </r>
  <r>
    <x v="2620"/>
    <d v="2024-11-16T00:00:00"/>
    <x v="1"/>
    <x v="2"/>
    <n v="51"/>
    <n v="25"/>
    <n v="3.7"/>
    <x v="0"/>
    <x v="2"/>
    <x v="0"/>
    <x v="2"/>
    <x v="2"/>
    <x v="1"/>
    <x v="1"/>
    <x v="3"/>
    <x v="0"/>
    <n v="1"/>
    <s v="Acceptable"/>
    <s v="2 Days"/>
    <x v="6"/>
    <s v="Saturday"/>
    <n v="1"/>
  </r>
  <r>
    <x v="2621"/>
    <d v="2024-02-24T00:00:00"/>
    <x v="3"/>
    <x v="0"/>
    <n v="171"/>
    <n v="15"/>
    <n v="1.7"/>
    <x v="1"/>
    <x v="0"/>
    <x v="0"/>
    <x v="0"/>
    <x v="0"/>
    <x v="0"/>
    <x v="0"/>
    <x v="1"/>
    <x v="0"/>
    <n v="0"/>
    <s v="Slow"/>
    <s v="1 Day"/>
    <x v="9"/>
    <s v="Saturday"/>
    <n v="4"/>
  </r>
  <r>
    <x v="2622"/>
    <d v="2024-12-18T00:00:00"/>
    <x v="1"/>
    <x v="3"/>
    <n v="46"/>
    <n v="25"/>
    <n v="8.8000000000000007"/>
    <x v="0"/>
    <x v="1"/>
    <x v="0"/>
    <x v="3"/>
    <x v="3"/>
    <x v="1"/>
    <x v="0"/>
    <x v="2"/>
    <x v="0"/>
    <n v="1"/>
    <s v="Acceptable"/>
    <s v="2 Days"/>
    <x v="11"/>
    <s v="Wednesday"/>
    <n v="2"/>
  </r>
  <r>
    <x v="2623"/>
    <d v="2024-12-16T00:00:00"/>
    <x v="4"/>
    <x v="0"/>
    <n v="52"/>
    <n v="27"/>
    <n v="4.0999999999999996"/>
    <x v="0"/>
    <x v="2"/>
    <x v="0"/>
    <x v="0"/>
    <x v="0"/>
    <x v="0"/>
    <x v="0"/>
    <x v="3"/>
    <x v="0"/>
    <n v="1"/>
    <s v="Acceptable"/>
    <s v="2 Days"/>
    <x v="11"/>
    <s v="Monday"/>
    <n v="4"/>
  </r>
  <r>
    <x v="2624"/>
    <d v="2024-09-23T00:00:00"/>
    <x v="4"/>
    <x v="0"/>
    <n v="227"/>
    <n v="55"/>
    <n v="2.7"/>
    <x v="0"/>
    <x v="1"/>
    <x v="0"/>
    <x v="0"/>
    <x v="0"/>
    <x v="0"/>
    <x v="0"/>
    <x v="3"/>
    <x v="0"/>
    <n v="1"/>
    <s v="Slow"/>
    <s v="3 Days"/>
    <x v="5"/>
    <s v="Monday"/>
    <n v="4"/>
  </r>
  <r>
    <x v="2625"/>
    <d v="2024-12-11T00:00:00"/>
    <x v="4"/>
    <x v="2"/>
    <n v="73"/>
    <n v="40"/>
    <n v="4.0999999999999996"/>
    <x v="1"/>
    <x v="1"/>
    <x v="0"/>
    <x v="2"/>
    <x v="2"/>
    <x v="1"/>
    <x v="1"/>
    <x v="3"/>
    <x v="0"/>
    <n v="0"/>
    <s v="Acceptable"/>
    <s v="2 Days"/>
    <x v="11"/>
    <s v="Wednesday"/>
    <n v="1"/>
  </r>
  <r>
    <x v="2626"/>
    <d v="2024-10-27T00:00:00"/>
    <x v="2"/>
    <x v="0"/>
    <n v="15"/>
    <n v="44"/>
    <n v="3"/>
    <x v="0"/>
    <x v="1"/>
    <x v="1"/>
    <x v="0"/>
    <x v="0"/>
    <x v="0"/>
    <x v="0"/>
    <x v="3"/>
    <x v="1"/>
    <n v="1"/>
    <s v="Very Fast"/>
    <s v="2 Days"/>
    <x v="7"/>
    <s v="Sunday"/>
    <n v="4"/>
  </r>
  <r>
    <x v="2627"/>
    <d v="2024-08-24T00:00:00"/>
    <x v="2"/>
    <x v="2"/>
    <n v="175"/>
    <n v="12"/>
    <n v="9.9"/>
    <x v="0"/>
    <x v="1"/>
    <x v="0"/>
    <x v="2"/>
    <x v="2"/>
    <x v="1"/>
    <x v="1"/>
    <x v="2"/>
    <x v="0"/>
    <n v="1"/>
    <s v="Slow"/>
    <s v="1 Day"/>
    <x v="0"/>
    <s v="Saturday"/>
    <n v="1"/>
  </r>
  <r>
    <x v="2628"/>
    <d v="2024-12-29T00:00:00"/>
    <x v="0"/>
    <x v="1"/>
    <n v="80"/>
    <n v="68"/>
    <n v="4.4000000000000004"/>
    <x v="0"/>
    <x v="1"/>
    <x v="0"/>
    <x v="1"/>
    <x v="1"/>
    <x v="1"/>
    <x v="0"/>
    <x v="3"/>
    <x v="0"/>
    <n v="1"/>
    <s v="Acceptable"/>
    <s v="3 Days"/>
    <x v="11"/>
    <s v="Sunday"/>
    <n v="3"/>
  </r>
  <r>
    <x v="2629"/>
    <d v="2024-09-25T00:00:00"/>
    <x v="2"/>
    <x v="0"/>
    <n v="54"/>
    <n v="47"/>
    <n v="2.1"/>
    <x v="0"/>
    <x v="2"/>
    <x v="0"/>
    <x v="0"/>
    <x v="0"/>
    <x v="0"/>
    <x v="0"/>
    <x v="3"/>
    <x v="0"/>
    <n v="1"/>
    <s v="Acceptable"/>
    <s v="2 Days"/>
    <x v="5"/>
    <s v="Wednesday"/>
    <n v="4"/>
  </r>
  <r>
    <x v="2630"/>
    <d v="2024-02-05T00:00:00"/>
    <x v="1"/>
    <x v="0"/>
    <n v="205"/>
    <n v="25"/>
    <n v="9.9"/>
    <x v="0"/>
    <x v="0"/>
    <x v="0"/>
    <x v="0"/>
    <x v="0"/>
    <x v="0"/>
    <x v="0"/>
    <x v="2"/>
    <x v="0"/>
    <n v="1"/>
    <s v="Slow"/>
    <s v="2 Days"/>
    <x v="9"/>
    <s v="Monday"/>
    <n v="4"/>
  </r>
  <r>
    <x v="2631"/>
    <d v="2024-04-23T00:00:00"/>
    <x v="3"/>
    <x v="0"/>
    <n v="117"/>
    <n v="34"/>
    <n v="4.9000000000000004"/>
    <x v="0"/>
    <x v="2"/>
    <x v="0"/>
    <x v="0"/>
    <x v="0"/>
    <x v="0"/>
    <x v="0"/>
    <x v="3"/>
    <x v="0"/>
    <n v="1"/>
    <s v="Acceptable"/>
    <s v="2 Days"/>
    <x v="3"/>
    <s v="Tuesday"/>
    <n v="4"/>
  </r>
  <r>
    <x v="2632"/>
    <d v="2024-05-05T00:00:00"/>
    <x v="0"/>
    <x v="3"/>
    <n v="29"/>
    <n v="50"/>
    <n v="3.4"/>
    <x v="0"/>
    <x v="0"/>
    <x v="0"/>
    <x v="3"/>
    <x v="3"/>
    <x v="1"/>
    <x v="0"/>
    <x v="3"/>
    <x v="0"/>
    <n v="1"/>
    <s v="Very Fast"/>
    <s v="3 Days"/>
    <x v="1"/>
    <s v="Sunday"/>
    <n v="2"/>
  </r>
  <r>
    <x v="2633"/>
    <d v="2024-11-09T00:00:00"/>
    <x v="4"/>
    <x v="1"/>
    <n v="108"/>
    <n v="35"/>
    <n v="4.0999999999999996"/>
    <x v="1"/>
    <x v="1"/>
    <x v="0"/>
    <x v="1"/>
    <x v="1"/>
    <x v="0"/>
    <x v="0"/>
    <x v="3"/>
    <x v="0"/>
    <n v="0"/>
    <s v="Acceptable"/>
    <s v="2 Days"/>
    <x v="6"/>
    <s v="Saturday"/>
    <n v="3"/>
  </r>
  <r>
    <x v="2634"/>
    <d v="2024-04-25T00:00:00"/>
    <x v="4"/>
    <x v="0"/>
    <n v="65"/>
    <n v="44"/>
    <n v="4.2"/>
    <x v="1"/>
    <x v="2"/>
    <x v="0"/>
    <x v="0"/>
    <x v="0"/>
    <x v="0"/>
    <x v="0"/>
    <x v="3"/>
    <x v="0"/>
    <n v="0"/>
    <s v="Acceptable"/>
    <s v="2 Days"/>
    <x v="3"/>
    <s v="Thursday"/>
    <n v="4"/>
  </r>
  <r>
    <x v="2635"/>
    <d v="2024-02-17T00:00:00"/>
    <x v="2"/>
    <x v="0"/>
    <n v="201"/>
    <n v="12"/>
    <n v="5.6"/>
    <x v="0"/>
    <x v="1"/>
    <x v="0"/>
    <x v="0"/>
    <x v="0"/>
    <x v="0"/>
    <x v="0"/>
    <x v="0"/>
    <x v="0"/>
    <n v="1"/>
    <s v="Slow"/>
    <s v="1 Day"/>
    <x v="9"/>
    <s v="Saturday"/>
    <n v="4"/>
  </r>
  <r>
    <x v="2636"/>
    <d v="2024-11-13T00:00:00"/>
    <x v="4"/>
    <x v="1"/>
    <n v="110"/>
    <n v="11"/>
    <n v="7.3"/>
    <x v="0"/>
    <x v="1"/>
    <x v="0"/>
    <x v="1"/>
    <x v="1"/>
    <x v="0"/>
    <x v="0"/>
    <x v="0"/>
    <x v="0"/>
    <n v="1"/>
    <s v="Acceptable"/>
    <s v="1 Day"/>
    <x v="6"/>
    <s v="Wednesday"/>
    <n v="3"/>
  </r>
  <r>
    <x v="2637"/>
    <d v="2024-07-30T00:00:00"/>
    <x v="2"/>
    <x v="2"/>
    <n v="75"/>
    <n v="67"/>
    <n v="8.4"/>
    <x v="1"/>
    <x v="0"/>
    <x v="0"/>
    <x v="2"/>
    <x v="2"/>
    <x v="1"/>
    <x v="1"/>
    <x v="2"/>
    <x v="0"/>
    <n v="0"/>
    <s v="Acceptable"/>
    <s v="3 Days"/>
    <x v="10"/>
    <s v="Tuesday"/>
    <n v="1"/>
  </r>
  <r>
    <x v="2638"/>
    <d v="2024-07-15T00:00:00"/>
    <x v="2"/>
    <x v="0"/>
    <n v="13"/>
    <n v="3"/>
    <n v="9.3000000000000007"/>
    <x v="0"/>
    <x v="1"/>
    <x v="2"/>
    <x v="0"/>
    <x v="0"/>
    <x v="0"/>
    <x v="0"/>
    <x v="2"/>
    <x v="2"/>
    <n v="1"/>
    <s v="Very Fast"/>
    <s v="Same Day"/>
    <x v="10"/>
    <s v="Monday"/>
    <n v="4"/>
  </r>
  <r>
    <x v="2639"/>
    <d v="2024-05-19T00:00:00"/>
    <x v="1"/>
    <x v="2"/>
    <n v="56"/>
    <n v="19"/>
    <n v="1.9"/>
    <x v="0"/>
    <x v="1"/>
    <x v="0"/>
    <x v="2"/>
    <x v="2"/>
    <x v="1"/>
    <x v="1"/>
    <x v="1"/>
    <x v="0"/>
    <n v="1"/>
    <s v="Acceptable"/>
    <s v="1 Day"/>
    <x v="1"/>
    <s v="Sunday"/>
    <n v="1"/>
  </r>
  <r>
    <x v="2640"/>
    <d v="2024-09-17T00:00:00"/>
    <x v="1"/>
    <x v="3"/>
    <n v="66"/>
    <n v="50"/>
    <n v="1.4"/>
    <x v="0"/>
    <x v="2"/>
    <x v="0"/>
    <x v="3"/>
    <x v="3"/>
    <x v="1"/>
    <x v="1"/>
    <x v="1"/>
    <x v="0"/>
    <n v="1"/>
    <s v="Acceptable"/>
    <s v="3 Days"/>
    <x v="5"/>
    <s v="Tuesday"/>
    <n v="2"/>
  </r>
  <r>
    <x v="2641"/>
    <d v="2024-01-16T00:00:00"/>
    <x v="4"/>
    <x v="2"/>
    <n v="156"/>
    <n v="48"/>
    <n v="7.1"/>
    <x v="0"/>
    <x v="0"/>
    <x v="0"/>
    <x v="2"/>
    <x v="2"/>
    <x v="1"/>
    <x v="1"/>
    <x v="0"/>
    <x v="0"/>
    <n v="1"/>
    <s v="Slow"/>
    <s v="2 Days"/>
    <x v="8"/>
    <s v="Tuesday"/>
    <n v="1"/>
  </r>
  <r>
    <x v="2642"/>
    <d v="2024-02-19T00:00:00"/>
    <x v="4"/>
    <x v="3"/>
    <n v="56"/>
    <n v="2"/>
    <n v="9.1999999999999993"/>
    <x v="0"/>
    <x v="0"/>
    <x v="1"/>
    <x v="3"/>
    <x v="3"/>
    <x v="0"/>
    <x v="0"/>
    <x v="2"/>
    <x v="1"/>
    <n v="1"/>
    <s v="Acceptable"/>
    <s v="Same Day"/>
    <x v="9"/>
    <s v="Monday"/>
    <n v="2"/>
  </r>
  <r>
    <x v="2643"/>
    <d v="2024-02-20T00:00:00"/>
    <x v="3"/>
    <x v="3"/>
    <n v="205"/>
    <n v="11"/>
    <n v="3.3"/>
    <x v="1"/>
    <x v="1"/>
    <x v="0"/>
    <x v="3"/>
    <x v="3"/>
    <x v="0"/>
    <x v="1"/>
    <x v="3"/>
    <x v="0"/>
    <n v="0"/>
    <s v="Slow"/>
    <s v="1 Day"/>
    <x v="9"/>
    <s v="Tuesday"/>
    <n v="2"/>
  </r>
  <r>
    <x v="2644"/>
    <d v="2024-09-16T00:00:00"/>
    <x v="1"/>
    <x v="1"/>
    <n v="86"/>
    <n v="37"/>
    <n v="9.8000000000000007"/>
    <x v="0"/>
    <x v="0"/>
    <x v="0"/>
    <x v="1"/>
    <x v="1"/>
    <x v="0"/>
    <x v="0"/>
    <x v="2"/>
    <x v="0"/>
    <n v="1"/>
    <s v="Acceptable"/>
    <s v="2 Days"/>
    <x v="5"/>
    <s v="Monday"/>
    <n v="3"/>
  </r>
  <r>
    <x v="2645"/>
    <d v="2024-09-21T00:00:00"/>
    <x v="0"/>
    <x v="2"/>
    <n v="121"/>
    <n v="30"/>
    <n v="7.5"/>
    <x v="1"/>
    <x v="1"/>
    <x v="0"/>
    <x v="2"/>
    <x v="2"/>
    <x v="1"/>
    <x v="1"/>
    <x v="0"/>
    <x v="0"/>
    <n v="0"/>
    <s v="Slow"/>
    <s v="2 Days"/>
    <x v="5"/>
    <s v="Saturday"/>
    <n v="1"/>
  </r>
  <r>
    <x v="2646"/>
    <d v="2024-01-10T00:00:00"/>
    <x v="2"/>
    <x v="3"/>
    <n v="48"/>
    <n v="55"/>
    <n v="9.3000000000000007"/>
    <x v="1"/>
    <x v="0"/>
    <x v="0"/>
    <x v="3"/>
    <x v="3"/>
    <x v="1"/>
    <x v="0"/>
    <x v="2"/>
    <x v="0"/>
    <n v="0"/>
    <s v="Acceptable"/>
    <s v="3 Days"/>
    <x v="8"/>
    <s v="Wednesday"/>
    <n v="2"/>
  </r>
  <r>
    <x v="2647"/>
    <d v="2024-05-05T00:00:00"/>
    <x v="3"/>
    <x v="0"/>
    <n v="158"/>
    <n v="8"/>
    <n v="6.8"/>
    <x v="1"/>
    <x v="0"/>
    <x v="1"/>
    <x v="0"/>
    <x v="0"/>
    <x v="0"/>
    <x v="0"/>
    <x v="0"/>
    <x v="1"/>
    <n v="0"/>
    <s v="Slow"/>
    <s v="Same Day"/>
    <x v="1"/>
    <s v="Sunday"/>
    <n v="4"/>
  </r>
  <r>
    <x v="2648"/>
    <d v="2024-08-27T00:00:00"/>
    <x v="1"/>
    <x v="1"/>
    <n v="152"/>
    <n v="51"/>
    <n v="1.5"/>
    <x v="1"/>
    <x v="1"/>
    <x v="0"/>
    <x v="1"/>
    <x v="1"/>
    <x v="1"/>
    <x v="1"/>
    <x v="1"/>
    <x v="0"/>
    <n v="0"/>
    <s v="Slow"/>
    <s v="3 Days"/>
    <x v="0"/>
    <s v="Tuesday"/>
    <n v="3"/>
  </r>
  <r>
    <x v="2649"/>
    <d v="2024-11-25T00:00:00"/>
    <x v="0"/>
    <x v="3"/>
    <n v="93"/>
    <n v="51"/>
    <n v="8.9"/>
    <x v="1"/>
    <x v="0"/>
    <x v="0"/>
    <x v="3"/>
    <x v="3"/>
    <x v="1"/>
    <x v="1"/>
    <x v="2"/>
    <x v="0"/>
    <n v="0"/>
    <s v="Acceptable"/>
    <s v="3 Days"/>
    <x v="6"/>
    <s v="Monday"/>
    <n v="2"/>
  </r>
  <r>
    <x v="2650"/>
    <d v="2024-10-03T00:00:00"/>
    <x v="1"/>
    <x v="1"/>
    <n v="137"/>
    <n v="30"/>
    <n v="2"/>
    <x v="1"/>
    <x v="0"/>
    <x v="0"/>
    <x v="1"/>
    <x v="1"/>
    <x v="0"/>
    <x v="1"/>
    <x v="1"/>
    <x v="0"/>
    <n v="0"/>
    <s v="Slow"/>
    <s v="2 Days"/>
    <x v="7"/>
    <s v="Thursday"/>
    <n v="3"/>
  </r>
  <r>
    <x v="2651"/>
    <d v="2024-06-03T00:00:00"/>
    <x v="3"/>
    <x v="1"/>
    <n v="69"/>
    <n v="10"/>
    <n v="9.1999999999999993"/>
    <x v="0"/>
    <x v="1"/>
    <x v="0"/>
    <x v="1"/>
    <x v="1"/>
    <x v="0"/>
    <x v="0"/>
    <x v="2"/>
    <x v="0"/>
    <n v="1"/>
    <s v="Acceptable"/>
    <s v="1 Day"/>
    <x v="4"/>
    <s v="Monday"/>
    <n v="3"/>
  </r>
  <r>
    <x v="2652"/>
    <d v="2024-10-24T00:00:00"/>
    <x v="2"/>
    <x v="3"/>
    <n v="7"/>
    <n v="49"/>
    <n v="1.6"/>
    <x v="1"/>
    <x v="2"/>
    <x v="1"/>
    <x v="3"/>
    <x v="3"/>
    <x v="1"/>
    <x v="0"/>
    <x v="1"/>
    <x v="1"/>
    <n v="0"/>
    <s v="Very Fast"/>
    <s v="3 Days"/>
    <x v="7"/>
    <s v="Thursday"/>
    <n v="2"/>
  </r>
  <r>
    <x v="2653"/>
    <d v="2024-05-04T00:00:00"/>
    <x v="1"/>
    <x v="0"/>
    <n v="129"/>
    <n v="45"/>
    <n v="7.1"/>
    <x v="1"/>
    <x v="2"/>
    <x v="1"/>
    <x v="0"/>
    <x v="0"/>
    <x v="0"/>
    <x v="0"/>
    <x v="0"/>
    <x v="1"/>
    <n v="0"/>
    <s v="Slow"/>
    <s v="2 Days"/>
    <x v="1"/>
    <s v="Saturday"/>
    <n v="4"/>
  </r>
  <r>
    <x v="2654"/>
    <d v="2024-11-17T00:00:00"/>
    <x v="0"/>
    <x v="0"/>
    <n v="41"/>
    <n v="9"/>
    <n v="3.2"/>
    <x v="0"/>
    <x v="0"/>
    <x v="0"/>
    <x v="0"/>
    <x v="0"/>
    <x v="0"/>
    <x v="0"/>
    <x v="3"/>
    <x v="0"/>
    <n v="1"/>
    <s v="Acceptable"/>
    <s v="1 Day"/>
    <x v="6"/>
    <s v="Sunday"/>
    <n v="4"/>
  </r>
  <r>
    <x v="2655"/>
    <d v="2024-04-17T00:00:00"/>
    <x v="1"/>
    <x v="0"/>
    <n v="152"/>
    <n v="14"/>
    <n v="4.5"/>
    <x v="0"/>
    <x v="1"/>
    <x v="0"/>
    <x v="0"/>
    <x v="0"/>
    <x v="0"/>
    <x v="0"/>
    <x v="3"/>
    <x v="0"/>
    <n v="1"/>
    <s v="Slow"/>
    <s v="1 Day"/>
    <x v="3"/>
    <s v="Wednesday"/>
    <n v="4"/>
  </r>
  <r>
    <x v="2656"/>
    <d v="2024-01-31T00:00:00"/>
    <x v="4"/>
    <x v="1"/>
    <n v="208"/>
    <n v="57"/>
    <n v="9.6"/>
    <x v="0"/>
    <x v="1"/>
    <x v="0"/>
    <x v="1"/>
    <x v="1"/>
    <x v="1"/>
    <x v="1"/>
    <x v="2"/>
    <x v="0"/>
    <n v="1"/>
    <s v="Slow"/>
    <s v="3 Days"/>
    <x v="8"/>
    <s v="Wednesday"/>
    <n v="3"/>
  </r>
  <r>
    <x v="2657"/>
    <d v="2024-02-26T00:00:00"/>
    <x v="4"/>
    <x v="1"/>
    <n v="54"/>
    <n v="55"/>
    <n v="3.2"/>
    <x v="0"/>
    <x v="1"/>
    <x v="0"/>
    <x v="1"/>
    <x v="1"/>
    <x v="1"/>
    <x v="0"/>
    <x v="3"/>
    <x v="0"/>
    <n v="1"/>
    <s v="Acceptable"/>
    <s v="3 Days"/>
    <x v="9"/>
    <s v="Monday"/>
    <n v="3"/>
  </r>
  <r>
    <x v="2658"/>
    <d v="2024-04-29T00:00:00"/>
    <x v="2"/>
    <x v="1"/>
    <n v="59"/>
    <n v="58"/>
    <n v="4.3"/>
    <x v="1"/>
    <x v="1"/>
    <x v="0"/>
    <x v="1"/>
    <x v="1"/>
    <x v="1"/>
    <x v="0"/>
    <x v="3"/>
    <x v="0"/>
    <n v="0"/>
    <s v="Acceptable"/>
    <s v="3 Days"/>
    <x v="3"/>
    <s v="Monday"/>
    <n v="3"/>
  </r>
  <r>
    <x v="2659"/>
    <d v="2024-03-12T00:00:00"/>
    <x v="3"/>
    <x v="0"/>
    <n v="240"/>
    <n v="71"/>
    <n v="10"/>
    <x v="0"/>
    <x v="1"/>
    <x v="0"/>
    <x v="0"/>
    <x v="0"/>
    <x v="0"/>
    <x v="0"/>
    <x v="2"/>
    <x v="0"/>
    <n v="1"/>
    <s v="Slow"/>
    <s v="3 Days"/>
    <x v="2"/>
    <s v="Tuesday"/>
    <n v="4"/>
  </r>
  <r>
    <x v="2660"/>
    <d v="2024-10-07T00:00:00"/>
    <x v="0"/>
    <x v="1"/>
    <n v="84"/>
    <n v="49"/>
    <n v="7.4"/>
    <x v="1"/>
    <x v="2"/>
    <x v="1"/>
    <x v="1"/>
    <x v="1"/>
    <x v="1"/>
    <x v="0"/>
    <x v="0"/>
    <x v="1"/>
    <n v="0"/>
    <s v="Acceptable"/>
    <s v="3 Days"/>
    <x v="7"/>
    <s v="Monday"/>
    <n v="3"/>
  </r>
  <r>
    <x v="2661"/>
    <d v="2024-01-14T00:00:00"/>
    <x v="0"/>
    <x v="2"/>
    <n v="225"/>
    <n v="15"/>
    <n v="8.6"/>
    <x v="0"/>
    <x v="1"/>
    <x v="0"/>
    <x v="2"/>
    <x v="2"/>
    <x v="1"/>
    <x v="1"/>
    <x v="2"/>
    <x v="0"/>
    <n v="1"/>
    <s v="Slow"/>
    <s v="1 Day"/>
    <x v="8"/>
    <s v="Sunday"/>
    <n v="1"/>
  </r>
  <r>
    <x v="2662"/>
    <d v="2024-06-11T00:00:00"/>
    <x v="1"/>
    <x v="0"/>
    <n v="137"/>
    <n v="6"/>
    <n v="9.6999999999999993"/>
    <x v="1"/>
    <x v="0"/>
    <x v="2"/>
    <x v="0"/>
    <x v="0"/>
    <x v="0"/>
    <x v="0"/>
    <x v="2"/>
    <x v="2"/>
    <n v="0"/>
    <s v="Slow"/>
    <s v="Same Day"/>
    <x v="4"/>
    <s v="Tuesday"/>
    <n v="4"/>
  </r>
  <r>
    <x v="2663"/>
    <d v="2024-05-26T00:00:00"/>
    <x v="2"/>
    <x v="3"/>
    <n v="168"/>
    <n v="18"/>
    <n v="9.8000000000000007"/>
    <x v="0"/>
    <x v="0"/>
    <x v="0"/>
    <x v="3"/>
    <x v="3"/>
    <x v="0"/>
    <x v="1"/>
    <x v="2"/>
    <x v="0"/>
    <n v="1"/>
    <s v="Slow"/>
    <s v="1 Day"/>
    <x v="1"/>
    <s v="Sunday"/>
    <n v="2"/>
  </r>
  <r>
    <x v="2664"/>
    <d v="2024-06-07T00:00:00"/>
    <x v="2"/>
    <x v="3"/>
    <n v="161"/>
    <n v="30"/>
    <n v="1.6"/>
    <x v="0"/>
    <x v="0"/>
    <x v="0"/>
    <x v="3"/>
    <x v="3"/>
    <x v="1"/>
    <x v="1"/>
    <x v="1"/>
    <x v="0"/>
    <n v="1"/>
    <s v="Slow"/>
    <s v="2 Days"/>
    <x v="4"/>
    <s v="Friday"/>
    <n v="2"/>
  </r>
  <r>
    <x v="2665"/>
    <d v="2024-04-17T00:00:00"/>
    <x v="2"/>
    <x v="1"/>
    <n v="150"/>
    <n v="63"/>
    <n v="1.3"/>
    <x v="0"/>
    <x v="2"/>
    <x v="0"/>
    <x v="1"/>
    <x v="1"/>
    <x v="1"/>
    <x v="1"/>
    <x v="1"/>
    <x v="0"/>
    <n v="1"/>
    <s v="Slow"/>
    <s v="3 Days"/>
    <x v="3"/>
    <s v="Wednesday"/>
    <n v="3"/>
  </r>
  <r>
    <x v="2666"/>
    <d v="2024-07-13T00:00:00"/>
    <x v="4"/>
    <x v="1"/>
    <n v="209"/>
    <n v="8"/>
    <n v="2.2000000000000002"/>
    <x v="0"/>
    <x v="1"/>
    <x v="0"/>
    <x v="1"/>
    <x v="1"/>
    <x v="0"/>
    <x v="1"/>
    <x v="3"/>
    <x v="0"/>
    <n v="1"/>
    <s v="Slow"/>
    <s v="Same Day"/>
    <x v="10"/>
    <s v="Saturday"/>
    <n v="3"/>
  </r>
  <r>
    <x v="2667"/>
    <d v="2024-08-01T00:00:00"/>
    <x v="0"/>
    <x v="0"/>
    <n v="122"/>
    <n v="1"/>
    <n v="9.1999999999999993"/>
    <x v="0"/>
    <x v="1"/>
    <x v="1"/>
    <x v="0"/>
    <x v="0"/>
    <x v="0"/>
    <x v="0"/>
    <x v="2"/>
    <x v="1"/>
    <n v="1"/>
    <s v="Slow"/>
    <s v="Same Day"/>
    <x v="0"/>
    <s v="Thursday"/>
    <n v="4"/>
  </r>
  <r>
    <x v="2668"/>
    <d v="2024-12-12T00:00:00"/>
    <x v="3"/>
    <x v="0"/>
    <n v="10"/>
    <n v="19"/>
    <n v="4.7"/>
    <x v="0"/>
    <x v="0"/>
    <x v="1"/>
    <x v="0"/>
    <x v="0"/>
    <x v="0"/>
    <x v="0"/>
    <x v="3"/>
    <x v="1"/>
    <n v="1"/>
    <s v="Very Fast"/>
    <s v="1 Day"/>
    <x v="11"/>
    <s v="Thursday"/>
    <n v="4"/>
  </r>
  <r>
    <x v="2669"/>
    <d v="2024-11-11T00:00:00"/>
    <x v="1"/>
    <x v="2"/>
    <n v="18"/>
    <n v="66"/>
    <n v="4.5999999999999996"/>
    <x v="1"/>
    <x v="0"/>
    <x v="1"/>
    <x v="2"/>
    <x v="2"/>
    <x v="1"/>
    <x v="0"/>
    <x v="3"/>
    <x v="1"/>
    <n v="0"/>
    <s v="Very Fast"/>
    <s v="3 Days"/>
    <x v="6"/>
    <s v="Monday"/>
    <n v="1"/>
  </r>
  <r>
    <x v="2670"/>
    <d v="2024-12-13T00:00:00"/>
    <x v="3"/>
    <x v="1"/>
    <n v="134"/>
    <n v="21"/>
    <n v="3.2"/>
    <x v="0"/>
    <x v="0"/>
    <x v="0"/>
    <x v="1"/>
    <x v="1"/>
    <x v="0"/>
    <x v="1"/>
    <x v="3"/>
    <x v="0"/>
    <n v="1"/>
    <s v="Slow"/>
    <s v="1 Day"/>
    <x v="11"/>
    <s v="Friday"/>
    <n v="3"/>
  </r>
  <r>
    <x v="2671"/>
    <d v="2024-04-18T00:00:00"/>
    <x v="3"/>
    <x v="0"/>
    <n v="160"/>
    <n v="37"/>
    <n v="3.3"/>
    <x v="0"/>
    <x v="0"/>
    <x v="0"/>
    <x v="0"/>
    <x v="0"/>
    <x v="0"/>
    <x v="0"/>
    <x v="3"/>
    <x v="0"/>
    <n v="1"/>
    <s v="Slow"/>
    <s v="2 Days"/>
    <x v="3"/>
    <s v="Thursday"/>
    <n v="4"/>
  </r>
  <r>
    <x v="2672"/>
    <d v="2024-06-22T00:00:00"/>
    <x v="1"/>
    <x v="0"/>
    <n v="133"/>
    <n v="9"/>
    <n v="10"/>
    <x v="0"/>
    <x v="2"/>
    <x v="0"/>
    <x v="0"/>
    <x v="0"/>
    <x v="0"/>
    <x v="0"/>
    <x v="2"/>
    <x v="0"/>
    <n v="1"/>
    <s v="Slow"/>
    <s v="1 Day"/>
    <x v="4"/>
    <s v="Saturday"/>
    <n v="4"/>
  </r>
  <r>
    <x v="2673"/>
    <d v="2024-06-27T00:00:00"/>
    <x v="4"/>
    <x v="3"/>
    <n v="51"/>
    <n v="43"/>
    <n v="6.4"/>
    <x v="0"/>
    <x v="1"/>
    <x v="0"/>
    <x v="3"/>
    <x v="3"/>
    <x v="1"/>
    <x v="0"/>
    <x v="0"/>
    <x v="0"/>
    <n v="1"/>
    <s v="Acceptable"/>
    <s v="2 Days"/>
    <x v="4"/>
    <s v="Thursday"/>
    <n v="2"/>
  </r>
  <r>
    <x v="2674"/>
    <d v="2024-11-14T00:00:00"/>
    <x v="0"/>
    <x v="1"/>
    <n v="127"/>
    <n v="38"/>
    <n v="1.2"/>
    <x v="1"/>
    <x v="0"/>
    <x v="0"/>
    <x v="1"/>
    <x v="1"/>
    <x v="0"/>
    <x v="1"/>
    <x v="1"/>
    <x v="0"/>
    <n v="0"/>
    <s v="Slow"/>
    <s v="2 Days"/>
    <x v="6"/>
    <s v="Thursday"/>
    <n v="3"/>
  </r>
  <r>
    <x v="2675"/>
    <d v="2024-08-13T00:00:00"/>
    <x v="2"/>
    <x v="2"/>
    <n v="98"/>
    <n v="12"/>
    <n v="4.5"/>
    <x v="1"/>
    <x v="1"/>
    <x v="0"/>
    <x v="2"/>
    <x v="2"/>
    <x v="1"/>
    <x v="1"/>
    <x v="3"/>
    <x v="0"/>
    <n v="0"/>
    <s v="Acceptable"/>
    <s v="1 Day"/>
    <x v="0"/>
    <s v="Tuesday"/>
    <n v="1"/>
  </r>
  <r>
    <x v="2676"/>
    <d v="2024-12-02T00:00:00"/>
    <x v="3"/>
    <x v="0"/>
    <n v="82"/>
    <n v="39"/>
    <n v="7.7"/>
    <x v="1"/>
    <x v="0"/>
    <x v="1"/>
    <x v="0"/>
    <x v="0"/>
    <x v="0"/>
    <x v="0"/>
    <x v="0"/>
    <x v="1"/>
    <n v="0"/>
    <s v="Acceptable"/>
    <s v="2 Days"/>
    <x v="11"/>
    <s v="Monday"/>
    <n v="4"/>
  </r>
  <r>
    <x v="2677"/>
    <d v="2024-01-15T00:00:00"/>
    <x v="4"/>
    <x v="2"/>
    <n v="72"/>
    <n v="6"/>
    <n v="8.6"/>
    <x v="1"/>
    <x v="2"/>
    <x v="1"/>
    <x v="2"/>
    <x v="2"/>
    <x v="0"/>
    <x v="1"/>
    <x v="2"/>
    <x v="1"/>
    <n v="0"/>
    <s v="Acceptable"/>
    <s v="Same Day"/>
    <x v="8"/>
    <s v="Monday"/>
    <n v="1"/>
  </r>
  <r>
    <x v="2678"/>
    <d v="2024-07-09T00:00:00"/>
    <x v="0"/>
    <x v="2"/>
    <n v="186"/>
    <n v="3"/>
    <n v="1.2"/>
    <x v="1"/>
    <x v="0"/>
    <x v="1"/>
    <x v="2"/>
    <x v="2"/>
    <x v="0"/>
    <x v="1"/>
    <x v="1"/>
    <x v="1"/>
    <n v="0"/>
    <s v="Slow"/>
    <s v="Same Day"/>
    <x v="10"/>
    <s v="Tuesday"/>
    <n v="1"/>
  </r>
  <r>
    <x v="2679"/>
    <d v="2024-02-21T00:00:00"/>
    <x v="3"/>
    <x v="1"/>
    <n v="90"/>
    <n v="63"/>
    <n v="1.7"/>
    <x v="0"/>
    <x v="1"/>
    <x v="0"/>
    <x v="1"/>
    <x v="1"/>
    <x v="1"/>
    <x v="0"/>
    <x v="1"/>
    <x v="0"/>
    <n v="1"/>
    <s v="Acceptable"/>
    <s v="3 Days"/>
    <x v="9"/>
    <s v="Wednesday"/>
    <n v="3"/>
  </r>
  <r>
    <x v="2680"/>
    <d v="2024-11-05T00:00:00"/>
    <x v="0"/>
    <x v="1"/>
    <n v="27"/>
    <n v="24"/>
    <n v="8"/>
    <x v="0"/>
    <x v="0"/>
    <x v="1"/>
    <x v="1"/>
    <x v="1"/>
    <x v="0"/>
    <x v="0"/>
    <x v="0"/>
    <x v="1"/>
    <n v="1"/>
    <s v="Very Fast"/>
    <s v="1 Day"/>
    <x v="6"/>
    <s v="Tuesday"/>
    <n v="3"/>
  </r>
  <r>
    <x v="2681"/>
    <d v="2024-03-02T00:00:00"/>
    <x v="1"/>
    <x v="3"/>
    <n v="10"/>
    <n v="20"/>
    <n v="1.3"/>
    <x v="0"/>
    <x v="0"/>
    <x v="0"/>
    <x v="3"/>
    <x v="3"/>
    <x v="0"/>
    <x v="0"/>
    <x v="1"/>
    <x v="0"/>
    <n v="1"/>
    <s v="Very Fast"/>
    <s v="1 Day"/>
    <x v="2"/>
    <s v="Saturday"/>
    <n v="2"/>
  </r>
  <r>
    <x v="2682"/>
    <d v="2024-05-15T00:00:00"/>
    <x v="4"/>
    <x v="0"/>
    <n v="113"/>
    <n v="60"/>
    <n v="1.4"/>
    <x v="1"/>
    <x v="2"/>
    <x v="0"/>
    <x v="0"/>
    <x v="0"/>
    <x v="0"/>
    <x v="0"/>
    <x v="1"/>
    <x v="0"/>
    <n v="0"/>
    <s v="Acceptable"/>
    <s v="3 Days"/>
    <x v="1"/>
    <s v="Wednesday"/>
    <n v="4"/>
  </r>
  <r>
    <x v="2683"/>
    <d v="2024-09-16T00:00:00"/>
    <x v="1"/>
    <x v="3"/>
    <n v="95"/>
    <n v="43"/>
    <n v="2.9"/>
    <x v="0"/>
    <x v="1"/>
    <x v="0"/>
    <x v="3"/>
    <x v="3"/>
    <x v="1"/>
    <x v="1"/>
    <x v="3"/>
    <x v="0"/>
    <n v="1"/>
    <s v="Acceptable"/>
    <s v="2 Days"/>
    <x v="5"/>
    <s v="Monday"/>
    <n v="2"/>
  </r>
  <r>
    <x v="2684"/>
    <d v="2024-06-07T00:00:00"/>
    <x v="4"/>
    <x v="3"/>
    <n v="63"/>
    <n v="25"/>
    <n v="6.8"/>
    <x v="0"/>
    <x v="0"/>
    <x v="0"/>
    <x v="3"/>
    <x v="3"/>
    <x v="1"/>
    <x v="1"/>
    <x v="0"/>
    <x v="0"/>
    <n v="1"/>
    <s v="Acceptable"/>
    <s v="2 Days"/>
    <x v="4"/>
    <s v="Friday"/>
    <n v="2"/>
  </r>
  <r>
    <x v="2685"/>
    <d v="2024-07-13T00:00:00"/>
    <x v="0"/>
    <x v="2"/>
    <n v="54"/>
    <n v="49"/>
    <n v="5"/>
    <x v="1"/>
    <x v="0"/>
    <x v="0"/>
    <x v="2"/>
    <x v="2"/>
    <x v="1"/>
    <x v="1"/>
    <x v="3"/>
    <x v="0"/>
    <n v="0"/>
    <s v="Acceptable"/>
    <s v="3 Days"/>
    <x v="10"/>
    <s v="Saturday"/>
    <n v="1"/>
  </r>
  <r>
    <x v="2686"/>
    <d v="2024-12-08T00:00:00"/>
    <x v="3"/>
    <x v="1"/>
    <n v="25"/>
    <n v="29"/>
    <n v="7.3"/>
    <x v="1"/>
    <x v="2"/>
    <x v="2"/>
    <x v="1"/>
    <x v="1"/>
    <x v="0"/>
    <x v="0"/>
    <x v="0"/>
    <x v="2"/>
    <n v="0"/>
    <s v="Very Fast"/>
    <s v="2 Days"/>
    <x v="11"/>
    <s v="Sunday"/>
    <n v="3"/>
  </r>
  <r>
    <x v="2687"/>
    <d v="2024-03-19T00:00:00"/>
    <x v="1"/>
    <x v="2"/>
    <n v="19"/>
    <n v="31"/>
    <n v="3.8"/>
    <x v="1"/>
    <x v="0"/>
    <x v="1"/>
    <x v="2"/>
    <x v="2"/>
    <x v="1"/>
    <x v="0"/>
    <x v="3"/>
    <x v="1"/>
    <n v="0"/>
    <s v="Very Fast"/>
    <s v="2 Days"/>
    <x v="2"/>
    <s v="Tuesday"/>
    <n v="1"/>
  </r>
  <r>
    <x v="2688"/>
    <d v="2024-11-11T00:00:00"/>
    <x v="0"/>
    <x v="3"/>
    <n v="131"/>
    <n v="48"/>
    <n v="1.6"/>
    <x v="1"/>
    <x v="2"/>
    <x v="0"/>
    <x v="3"/>
    <x v="3"/>
    <x v="1"/>
    <x v="1"/>
    <x v="1"/>
    <x v="0"/>
    <n v="0"/>
    <s v="Slow"/>
    <s v="2 Days"/>
    <x v="6"/>
    <s v="Monday"/>
    <n v="2"/>
  </r>
  <r>
    <x v="2689"/>
    <d v="2024-12-18T00:00:00"/>
    <x v="4"/>
    <x v="3"/>
    <n v="51"/>
    <n v="49"/>
    <n v="2.2999999999999998"/>
    <x v="0"/>
    <x v="1"/>
    <x v="0"/>
    <x v="3"/>
    <x v="3"/>
    <x v="1"/>
    <x v="0"/>
    <x v="3"/>
    <x v="0"/>
    <n v="1"/>
    <s v="Acceptable"/>
    <s v="3 Days"/>
    <x v="11"/>
    <s v="Wednesday"/>
    <n v="2"/>
  </r>
  <r>
    <x v="2690"/>
    <d v="2024-03-22T00:00:00"/>
    <x v="1"/>
    <x v="0"/>
    <n v="8"/>
    <n v="60"/>
    <n v="6.7"/>
    <x v="1"/>
    <x v="0"/>
    <x v="2"/>
    <x v="0"/>
    <x v="0"/>
    <x v="0"/>
    <x v="0"/>
    <x v="0"/>
    <x v="2"/>
    <n v="0"/>
    <s v="Very Fast"/>
    <s v="3 Days"/>
    <x v="2"/>
    <s v="Friday"/>
    <n v="4"/>
  </r>
  <r>
    <x v="2691"/>
    <d v="2024-03-07T00:00:00"/>
    <x v="4"/>
    <x v="3"/>
    <n v="141"/>
    <n v="65"/>
    <n v="6"/>
    <x v="1"/>
    <x v="2"/>
    <x v="0"/>
    <x v="3"/>
    <x v="3"/>
    <x v="1"/>
    <x v="1"/>
    <x v="0"/>
    <x v="0"/>
    <n v="0"/>
    <s v="Slow"/>
    <s v="3 Days"/>
    <x v="2"/>
    <s v="Thursday"/>
    <n v="2"/>
  </r>
  <r>
    <x v="2692"/>
    <d v="2024-05-02T00:00:00"/>
    <x v="4"/>
    <x v="2"/>
    <n v="48"/>
    <n v="1"/>
    <n v="1.9"/>
    <x v="1"/>
    <x v="2"/>
    <x v="1"/>
    <x v="2"/>
    <x v="2"/>
    <x v="0"/>
    <x v="1"/>
    <x v="1"/>
    <x v="1"/>
    <n v="0"/>
    <s v="Acceptable"/>
    <s v="Same Day"/>
    <x v="1"/>
    <s v="Thursday"/>
    <n v="1"/>
  </r>
  <r>
    <x v="2693"/>
    <d v="2024-05-13T00:00:00"/>
    <x v="1"/>
    <x v="0"/>
    <n v="196"/>
    <n v="31"/>
    <n v="9.5"/>
    <x v="1"/>
    <x v="2"/>
    <x v="1"/>
    <x v="0"/>
    <x v="0"/>
    <x v="0"/>
    <x v="0"/>
    <x v="2"/>
    <x v="1"/>
    <n v="0"/>
    <s v="Slow"/>
    <s v="2 Days"/>
    <x v="1"/>
    <s v="Monday"/>
    <n v="4"/>
  </r>
  <r>
    <x v="2694"/>
    <d v="2024-12-25T00:00:00"/>
    <x v="3"/>
    <x v="0"/>
    <n v="148"/>
    <n v="17"/>
    <n v="9.8000000000000007"/>
    <x v="0"/>
    <x v="1"/>
    <x v="0"/>
    <x v="0"/>
    <x v="0"/>
    <x v="0"/>
    <x v="0"/>
    <x v="2"/>
    <x v="0"/>
    <n v="1"/>
    <s v="Slow"/>
    <s v="1 Day"/>
    <x v="11"/>
    <s v="Wednesday"/>
    <n v="4"/>
  </r>
  <r>
    <x v="2695"/>
    <d v="2024-06-09T00:00:00"/>
    <x v="0"/>
    <x v="1"/>
    <n v="66"/>
    <n v="48"/>
    <n v="6.5"/>
    <x v="0"/>
    <x v="2"/>
    <x v="0"/>
    <x v="1"/>
    <x v="1"/>
    <x v="0"/>
    <x v="0"/>
    <x v="0"/>
    <x v="0"/>
    <n v="1"/>
    <s v="Acceptable"/>
    <s v="2 Days"/>
    <x v="4"/>
    <s v="Sunday"/>
    <n v="3"/>
  </r>
  <r>
    <x v="2696"/>
    <d v="2024-05-22T00:00:00"/>
    <x v="0"/>
    <x v="3"/>
    <n v="8"/>
    <n v="51"/>
    <n v="5.8"/>
    <x v="0"/>
    <x v="1"/>
    <x v="1"/>
    <x v="3"/>
    <x v="3"/>
    <x v="1"/>
    <x v="0"/>
    <x v="0"/>
    <x v="1"/>
    <n v="1"/>
    <s v="Very Fast"/>
    <s v="3 Days"/>
    <x v="1"/>
    <s v="Wednesday"/>
    <n v="2"/>
  </r>
  <r>
    <x v="2697"/>
    <d v="2024-10-31T00:00:00"/>
    <x v="1"/>
    <x v="3"/>
    <n v="159"/>
    <n v="21"/>
    <n v="0.5"/>
    <x v="0"/>
    <x v="1"/>
    <x v="0"/>
    <x v="3"/>
    <x v="3"/>
    <x v="0"/>
    <x v="1"/>
    <x v="1"/>
    <x v="0"/>
    <n v="1"/>
    <s v="Slow"/>
    <s v="1 Day"/>
    <x v="7"/>
    <s v="Thursday"/>
    <n v="2"/>
  </r>
  <r>
    <x v="2698"/>
    <d v="2024-05-15T00:00:00"/>
    <x v="1"/>
    <x v="1"/>
    <n v="40"/>
    <n v="14"/>
    <n v="1.6"/>
    <x v="0"/>
    <x v="0"/>
    <x v="0"/>
    <x v="1"/>
    <x v="1"/>
    <x v="0"/>
    <x v="0"/>
    <x v="1"/>
    <x v="0"/>
    <n v="1"/>
    <s v="Acceptable"/>
    <s v="1 Day"/>
    <x v="1"/>
    <s v="Wednesday"/>
    <n v="3"/>
  </r>
  <r>
    <x v="2699"/>
    <d v="2024-11-10T00:00:00"/>
    <x v="4"/>
    <x v="0"/>
    <n v="157"/>
    <n v="59"/>
    <n v="3.1"/>
    <x v="1"/>
    <x v="2"/>
    <x v="0"/>
    <x v="0"/>
    <x v="0"/>
    <x v="0"/>
    <x v="0"/>
    <x v="3"/>
    <x v="0"/>
    <n v="0"/>
    <s v="Slow"/>
    <s v="3 Days"/>
    <x v="6"/>
    <s v="Sunday"/>
    <n v="4"/>
  </r>
  <r>
    <x v="2700"/>
    <d v="2024-08-18T00:00:00"/>
    <x v="4"/>
    <x v="1"/>
    <n v="72"/>
    <n v="9"/>
    <n v="4.4000000000000004"/>
    <x v="0"/>
    <x v="0"/>
    <x v="0"/>
    <x v="1"/>
    <x v="1"/>
    <x v="0"/>
    <x v="0"/>
    <x v="3"/>
    <x v="0"/>
    <n v="1"/>
    <s v="Acceptable"/>
    <s v="1 Day"/>
    <x v="0"/>
    <s v="Sunday"/>
    <n v="3"/>
  </r>
  <r>
    <x v="2701"/>
    <d v="2024-09-09T00:00:00"/>
    <x v="4"/>
    <x v="0"/>
    <n v="14"/>
    <n v="22"/>
    <n v="5.6"/>
    <x v="1"/>
    <x v="1"/>
    <x v="2"/>
    <x v="0"/>
    <x v="0"/>
    <x v="0"/>
    <x v="0"/>
    <x v="0"/>
    <x v="2"/>
    <n v="0"/>
    <s v="Very Fast"/>
    <s v="1 Day"/>
    <x v="5"/>
    <s v="Monday"/>
    <n v="4"/>
  </r>
  <r>
    <x v="2702"/>
    <d v="2024-11-25T00:00:00"/>
    <x v="1"/>
    <x v="0"/>
    <n v="35"/>
    <n v="70"/>
    <n v="0.5"/>
    <x v="1"/>
    <x v="2"/>
    <x v="0"/>
    <x v="0"/>
    <x v="0"/>
    <x v="0"/>
    <x v="0"/>
    <x v="1"/>
    <x v="0"/>
    <n v="0"/>
    <s v="Acceptable"/>
    <s v="3 Days"/>
    <x v="6"/>
    <s v="Monday"/>
    <n v="4"/>
  </r>
  <r>
    <x v="2703"/>
    <d v="2024-02-09T00:00:00"/>
    <x v="0"/>
    <x v="2"/>
    <n v="102"/>
    <n v="42"/>
    <n v="4.0999999999999996"/>
    <x v="0"/>
    <x v="0"/>
    <x v="0"/>
    <x v="2"/>
    <x v="2"/>
    <x v="1"/>
    <x v="1"/>
    <x v="3"/>
    <x v="0"/>
    <n v="1"/>
    <s v="Acceptable"/>
    <s v="2 Days"/>
    <x v="9"/>
    <s v="Friday"/>
    <n v="1"/>
  </r>
  <r>
    <x v="2704"/>
    <d v="2024-05-05T00:00:00"/>
    <x v="2"/>
    <x v="1"/>
    <n v="63"/>
    <n v="51"/>
    <n v="1.9"/>
    <x v="1"/>
    <x v="0"/>
    <x v="0"/>
    <x v="1"/>
    <x v="1"/>
    <x v="1"/>
    <x v="0"/>
    <x v="1"/>
    <x v="0"/>
    <n v="0"/>
    <s v="Acceptable"/>
    <s v="3 Days"/>
    <x v="1"/>
    <s v="Sunday"/>
    <n v="3"/>
  </r>
  <r>
    <x v="2705"/>
    <d v="2024-10-15T00:00:00"/>
    <x v="4"/>
    <x v="0"/>
    <n v="178"/>
    <n v="65"/>
    <n v="7.7"/>
    <x v="1"/>
    <x v="0"/>
    <x v="1"/>
    <x v="0"/>
    <x v="0"/>
    <x v="0"/>
    <x v="0"/>
    <x v="0"/>
    <x v="1"/>
    <n v="0"/>
    <s v="Slow"/>
    <s v="3 Days"/>
    <x v="7"/>
    <s v="Tuesday"/>
    <n v="4"/>
  </r>
  <r>
    <x v="2706"/>
    <d v="2024-09-26T00:00:00"/>
    <x v="3"/>
    <x v="0"/>
    <n v="73"/>
    <n v="35"/>
    <n v="8.3000000000000007"/>
    <x v="0"/>
    <x v="1"/>
    <x v="0"/>
    <x v="0"/>
    <x v="0"/>
    <x v="0"/>
    <x v="0"/>
    <x v="2"/>
    <x v="0"/>
    <n v="1"/>
    <s v="Acceptable"/>
    <s v="2 Days"/>
    <x v="5"/>
    <s v="Thursday"/>
    <n v="4"/>
  </r>
  <r>
    <x v="2707"/>
    <d v="2024-06-17T00:00:00"/>
    <x v="1"/>
    <x v="2"/>
    <n v="160"/>
    <n v="32"/>
    <n v="5.2"/>
    <x v="1"/>
    <x v="2"/>
    <x v="0"/>
    <x v="2"/>
    <x v="2"/>
    <x v="1"/>
    <x v="1"/>
    <x v="0"/>
    <x v="0"/>
    <n v="0"/>
    <s v="Slow"/>
    <s v="2 Days"/>
    <x v="4"/>
    <s v="Monday"/>
    <n v="1"/>
  </r>
  <r>
    <x v="2708"/>
    <d v="2024-06-20T00:00:00"/>
    <x v="0"/>
    <x v="0"/>
    <n v="92"/>
    <n v="29"/>
    <n v="0.8"/>
    <x v="1"/>
    <x v="0"/>
    <x v="0"/>
    <x v="0"/>
    <x v="0"/>
    <x v="0"/>
    <x v="0"/>
    <x v="1"/>
    <x v="0"/>
    <n v="0"/>
    <s v="Acceptable"/>
    <s v="2 Days"/>
    <x v="4"/>
    <s v="Thursday"/>
    <n v="4"/>
  </r>
  <r>
    <x v="2709"/>
    <d v="2024-05-07T00:00:00"/>
    <x v="1"/>
    <x v="1"/>
    <n v="157"/>
    <n v="44"/>
    <n v="2"/>
    <x v="0"/>
    <x v="0"/>
    <x v="0"/>
    <x v="1"/>
    <x v="1"/>
    <x v="0"/>
    <x v="1"/>
    <x v="1"/>
    <x v="0"/>
    <n v="1"/>
    <s v="Slow"/>
    <s v="2 Days"/>
    <x v="1"/>
    <s v="Tuesday"/>
    <n v="3"/>
  </r>
  <r>
    <x v="2710"/>
    <d v="2024-04-25T00:00:00"/>
    <x v="0"/>
    <x v="0"/>
    <n v="231"/>
    <n v="8"/>
    <n v="3.3"/>
    <x v="1"/>
    <x v="0"/>
    <x v="0"/>
    <x v="0"/>
    <x v="0"/>
    <x v="0"/>
    <x v="0"/>
    <x v="3"/>
    <x v="0"/>
    <n v="0"/>
    <s v="Slow"/>
    <s v="Same Day"/>
    <x v="3"/>
    <s v="Thursday"/>
    <n v="4"/>
  </r>
  <r>
    <x v="2711"/>
    <d v="2024-07-02T00:00:00"/>
    <x v="1"/>
    <x v="2"/>
    <n v="51"/>
    <n v="49"/>
    <n v="5.0999999999999996"/>
    <x v="0"/>
    <x v="2"/>
    <x v="0"/>
    <x v="2"/>
    <x v="2"/>
    <x v="1"/>
    <x v="1"/>
    <x v="0"/>
    <x v="0"/>
    <n v="1"/>
    <s v="Acceptable"/>
    <s v="3 Days"/>
    <x v="10"/>
    <s v="Tuesday"/>
    <n v="1"/>
  </r>
  <r>
    <x v="2712"/>
    <d v="2024-06-22T00:00:00"/>
    <x v="2"/>
    <x v="3"/>
    <n v="133"/>
    <n v="42"/>
    <n v="6.7"/>
    <x v="1"/>
    <x v="2"/>
    <x v="0"/>
    <x v="3"/>
    <x v="3"/>
    <x v="1"/>
    <x v="1"/>
    <x v="0"/>
    <x v="0"/>
    <n v="0"/>
    <s v="Slow"/>
    <s v="2 Days"/>
    <x v="4"/>
    <s v="Saturday"/>
    <n v="2"/>
  </r>
  <r>
    <x v="2713"/>
    <d v="2024-09-06T00:00:00"/>
    <x v="2"/>
    <x v="2"/>
    <n v="205"/>
    <n v="45"/>
    <n v="3.6"/>
    <x v="1"/>
    <x v="2"/>
    <x v="0"/>
    <x v="2"/>
    <x v="2"/>
    <x v="1"/>
    <x v="1"/>
    <x v="3"/>
    <x v="0"/>
    <n v="0"/>
    <s v="Slow"/>
    <s v="2 Days"/>
    <x v="5"/>
    <s v="Friday"/>
    <n v="1"/>
  </r>
  <r>
    <x v="2714"/>
    <d v="2024-08-26T00:00:00"/>
    <x v="1"/>
    <x v="3"/>
    <n v="10"/>
    <n v="14"/>
    <n v="4.4000000000000004"/>
    <x v="0"/>
    <x v="0"/>
    <x v="0"/>
    <x v="3"/>
    <x v="3"/>
    <x v="0"/>
    <x v="0"/>
    <x v="3"/>
    <x v="0"/>
    <n v="1"/>
    <s v="Very Fast"/>
    <s v="1 Day"/>
    <x v="0"/>
    <s v="Monday"/>
    <n v="2"/>
  </r>
  <r>
    <x v="2715"/>
    <d v="2024-11-12T00:00:00"/>
    <x v="1"/>
    <x v="1"/>
    <n v="97"/>
    <n v="71"/>
    <n v="6.1"/>
    <x v="1"/>
    <x v="0"/>
    <x v="1"/>
    <x v="1"/>
    <x v="1"/>
    <x v="1"/>
    <x v="0"/>
    <x v="0"/>
    <x v="1"/>
    <n v="0"/>
    <s v="Acceptable"/>
    <s v="3 Days"/>
    <x v="6"/>
    <s v="Tuesday"/>
    <n v="3"/>
  </r>
  <r>
    <x v="2716"/>
    <d v="2024-12-14T00:00:00"/>
    <x v="2"/>
    <x v="3"/>
    <n v="218"/>
    <n v="27"/>
    <n v="1.1000000000000001"/>
    <x v="1"/>
    <x v="0"/>
    <x v="0"/>
    <x v="3"/>
    <x v="3"/>
    <x v="1"/>
    <x v="1"/>
    <x v="1"/>
    <x v="0"/>
    <n v="0"/>
    <s v="Slow"/>
    <s v="2 Days"/>
    <x v="11"/>
    <s v="Saturday"/>
    <n v="2"/>
  </r>
  <r>
    <x v="2717"/>
    <d v="2024-08-18T00:00:00"/>
    <x v="1"/>
    <x v="0"/>
    <n v="198"/>
    <n v="19"/>
    <n v="9.6999999999999993"/>
    <x v="1"/>
    <x v="2"/>
    <x v="1"/>
    <x v="0"/>
    <x v="0"/>
    <x v="0"/>
    <x v="0"/>
    <x v="2"/>
    <x v="1"/>
    <n v="0"/>
    <s v="Slow"/>
    <s v="1 Day"/>
    <x v="0"/>
    <s v="Sunday"/>
    <n v="4"/>
  </r>
  <r>
    <x v="2718"/>
    <d v="2024-05-23T00:00:00"/>
    <x v="1"/>
    <x v="1"/>
    <n v="230"/>
    <n v="72"/>
    <n v="8.6999999999999993"/>
    <x v="1"/>
    <x v="0"/>
    <x v="1"/>
    <x v="1"/>
    <x v="1"/>
    <x v="1"/>
    <x v="1"/>
    <x v="2"/>
    <x v="1"/>
    <n v="0"/>
    <s v="Slow"/>
    <s v="3 Days"/>
    <x v="1"/>
    <s v="Thursday"/>
    <n v="3"/>
  </r>
  <r>
    <x v="2719"/>
    <d v="2024-11-10T00:00:00"/>
    <x v="4"/>
    <x v="1"/>
    <n v="206"/>
    <n v="40"/>
    <n v="9"/>
    <x v="1"/>
    <x v="2"/>
    <x v="1"/>
    <x v="1"/>
    <x v="1"/>
    <x v="0"/>
    <x v="1"/>
    <x v="2"/>
    <x v="1"/>
    <n v="0"/>
    <s v="Slow"/>
    <s v="2 Days"/>
    <x v="6"/>
    <s v="Sunday"/>
    <n v="3"/>
  </r>
  <r>
    <x v="2720"/>
    <d v="2024-04-12T00:00:00"/>
    <x v="4"/>
    <x v="2"/>
    <n v="72"/>
    <n v="31"/>
    <n v="9.1"/>
    <x v="0"/>
    <x v="2"/>
    <x v="0"/>
    <x v="2"/>
    <x v="2"/>
    <x v="1"/>
    <x v="1"/>
    <x v="2"/>
    <x v="0"/>
    <n v="1"/>
    <s v="Acceptable"/>
    <s v="2 Days"/>
    <x v="3"/>
    <s v="Friday"/>
    <n v="1"/>
  </r>
  <r>
    <x v="2721"/>
    <d v="2024-11-25T00:00:00"/>
    <x v="4"/>
    <x v="2"/>
    <n v="203"/>
    <n v="33"/>
    <n v="0.8"/>
    <x v="1"/>
    <x v="0"/>
    <x v="0"/>
    <x v="2"/>
    <x v="2"/>
    <x v="1"/>
    <x v="1"/>
    <x v="1"/>
    <x v="0"/>
    <n v="0"/>
    <s v="Slow"/>
    <s v="2 Days"/>
    <x v="6"/>
    <s v="Monday"/>
    <n v="1"/>
  </r>
  <r>
    <x v="2722"/>
    <d v="2024-04-14T00:00:00"/>
    <x v="3"/>
    <x v="3"/>
    <n v="221"/>
    <n v="47"/>
    <n v="8.8000000000000007"/>
    <x v="0"/>
    <x v="2"/>
    <x v="0"/>
    <x v="3"/>
    <x v="3"/>
    <x v="1"/>
    <x v="1"/>
    <x v="2"/>
    <x v="0"/>
    <n v="1"/>
    <s v="Slow"/>
    <s v="2 Days"/>
    <x v="3"/>
    <s v="Sunday"/>
    <n v="2"/>
  </r>
  <r>
    <x v="2723"/>
    <d v="2024-12-17T00:00:00"/>
    <x v="2"/>
    <x v="0"/>
    <n v="192"/>
    <n v="4"/>
    <n v="9.8000000000000007"/>
    <x v="0"/>
    <x v="2"/>
    <x v="1"/>
    <x v="0"/>
    <x v="0"/>
    <x v="0"/>
    <x v="0"/>
    <x v="2"/>
    <x v="1"/>
    <n v="1"/>
    <s v="Slow"/>
    <s v="Same Day"/>
    <x v="11"/>
    <s v="Tuesday"/>
    <n v="4"/>
  </r>
  <r>
    <x v="2724"/>
    <d v="2024-07-21T00:00:00"/>
    <x v="4"/>
    <x v="1"/>
    <n v="166"/>
    <n v="45"/>
    <n v="7.5"/>
    <x v="1"/>
    <x v="0"/>
    <x v="1"/>
    <x v="1"/>
    <x v="1"/>
    <x v="0"/>
    <x v="1"/>
    <x v="0"/>
    <x v="1"/>
    <n v="0"/>
    <s v="Slow"/>
    <s v="2 Days"/>
    <x v="10"/>
    <s v="Sunday"/>
    <n v="3"/>
  </r>
  <r>
    <x v="2725"/>
    <d v="2024-11-25T00:00:00"/>
    <x v="4"/>
    <x v="3"/>
    <n v="38"/>
    <n v="6"/>
    <n v="8.1"/>
    <x v="0"/>
    <x v="2"/>
    <x v="1"/>
    <x v="3"/>
    <x v="3"/>
    <x v="0"/>
    <x v="0"/>
    <x v="2"/>
    <x v="1"/>
    <n v="1"/>
    <s v="Acceptable"/>
    <s v="Same Day"/>
    <x v="6"/>
    <s v="Monday"/>
    <n v="2"/>
  </r>
  <r>
    <x v="2726"/>
    <d v="2024-02-17T00:00:00"/>
    <x v="0"/>
    <x v="0"/>
    <n v="92"/>
    <n v="51"/>
    <n v="9.4"/>
    <x v="1"/>
    <x v="1"/>
    <x v="1"/>
    <x v="0"/>
    <x v="0"/>
    <x v="0"/>
    <x v="0"/>
    <x v="2"/>
    <x v="1"/>
    <n v="0"/>
    <s v="Acceptable"/>
    <s v="3 Days"/>
    <x v="9"/>
    <s v="Saturday"/>
    <n v="4"/>
  </r>
  <r>
    <x v="2727"/>
    <d v="2024-02-06T00:00:00"/>
    <x v="2"/>
    <x v="1"/>
    <n v="9"/>
    <n v="4"/>
    <n v="6.7"/>
    <x v="0"/>
    <x v="2"/>
    <x v="2"/>
    <x v="1"/>
    <x v="1"/>
    <x v="0"/>
    <x v="0"/>
    <x v="0"/>
    <x v="2"/>
    <n v="1"/>
    <s v="Very Fast"/>
    <s v="Same Day"/>
    <x v="9"/>
    <s v="Tuesday"/>
    <n v="3"/>
  </r>
  <r>
    <x v="2728"/>
    <d v="2024-04-29T00:00:00"/>
    <x v="3"/>
    <x v="1"/>
    <n v="219"/>
    <n v="2"/>
    <n v="6.6"/>
    <x v="1"/>
    <x v="0"/>
    <x v="2"/>
    <x v="1"/>
    <x v="1"/>
    <x v="0"/>
    <x v="1"/>
    <x v="0"/>
    <x v="2"/>
    <n v="0"/>
    <s v="Slow"/>
    <s v="Same Day"/>
    <x v="3"/>
    <s v="Monday"/>
    <n v="3"/>
  </r>
  <r>
    <x v="2729"/>
    <d v="2024-08-12T00:00:00"/>
    <x v="4"/>
    <x v="0"/>
    <n v="50"/>
    <n v="50"/>
    <n v="5"/>
    <x v="1"/>
    <x v="1"/>
    <x v="1"/>
    <x v="0"/>
    <x v="0"/>
    <x v="0"/>
    <x v="0"/>
    <x v="3"/>
    <x v="1"/>
    <n v="0"/>
    <s v="Acceptable"/>
    <s v="3 Days"/>
    <x v="0"/>
    <s v="Monday"/>
    <n v="4"/>
  </r>
  <r>
    <x v="2730"/>
    <d v="2024-04-04T00:00:00"/>
    <x v="4"/>
    <x v="2"/>
    <n v="10"/>
    <n v="34"/>
    <n v="6.4"/>
    <x v="0"/>
    <x v="2"/>
    <x v="1"/>
    <x v="2"/>
    <x v="2"/>
    <x v="1"/>
    <x v="0"/>
    <x v="0"/>
    <x v="1"/>
    <n v="1"/>
    <s v="Very Fast"/>
    <s v="2 Days"/>
    <x v="3"/>
    <s v="Thursday"/>
    <n v="1"/>
  </r>
  <r>
    <x v="2731"/>
    <d v="2024-06-16T00:00:00"/>
    <x v="4"/>
    <x v="3"/>
    <n v="221"/>
    <n v="10"/>
    <n v="5.8"/>
    <x v="1"/>
    <x v="2"/>
    <x v="0"/>
    <x v="3"/>
    <x v="3"/>
    <x v="0"/>
    <x v="1"/>
    <x v="0"/>
    <x v="0"/>
    <n v="0"/>
    <s v="Slow"/>
    <s v="1 Day"/>
    <x v="4"/>
    <s v="Sunday"/>
    <n v="2"/>
  </r>
  <r>
    <x v="2732"/>
    <d v="2024-01-20T00:00:00"/>
    <x v="0"/>
    <x v="0"/>
    <n v="124"/>
    <n v="57"/>
    <n v="4.9000000000000004"/>
    <x v="0"/>
    <x v="0"/>
    <x v="0"/>
    <x v="0"/>
    <x v="0"/>
    <x v="0"/>
    <x v="0"/>
    <x v="3"/>
    <x v="0"/>
    <n v="1"/>
    <s v="Slow"/>
    <s v="3 Days"/>
    <x v="8"/>
    <s v="Saturday"/>
    <n v="4"/>
  </r>
  <r>
    <x v="2733"/>
    <d v="2024-10-25T00:00:00"/>
    <x v="3"/>
    <x v="3"/>
    <n v="104"/>
    <n v="72"/>
    <n v="8.9"/>
    <x v="1"/>
    <x v="1"/>
    <x v="0"/>
    <x v="3"/>
    <x v="3"/>
    <x v="1"/>
    <x v="1"/>
    <x v="2"/>
    <x v="0"/>
    <n v="0"/>
    <s v="Acceptable"/>
    <s v="3 Days"/>
    <x v="7"/>
    <s v="Friday"/>
    <n v="2"/>
  </r>
  <r>
    <x v="2734"/>
    <d v="2024-04-15T00:00:00"/>
    <x v="4"/>
    <x v="0"/>
    <n v="40"/>
    <n v="57"/>
    <n v="0.7"/>
    <x v="1"/>
    <x v="2"/>
    <x v="0"/>
    <x v="0"/>
    <x v="0"/>
    <x v="0"/>
    <x v="0"/>
    <x v="1"/>
    <x v="0"/>
    <n v="0"/>
    <s v="Acceptable"/>
    <s v="3 Days"/>
    <x v="3"/>
    <s v="Monday"/>
    <n v="4"/>
  </r>
  <r>
    <x v="2735"/>
    <d v="2024-04-27T00:00:00"/>
    <x v="1"/>
    <x v="2"/>
    <n v="121"/>
    <n v="12"/>
    <n v="1.8"/>
    <x v="0"/>
    <x v="0"/>
    <x v="0"/>
    <x v="2"/>
    <x v="2"/>
    <x v="1"/>
    <x v="1"/>
    <x v="1"/>
    <x v="0"/>
    <n v="1"/>
    <s v="Slow"/>
    <s v="1 Day"/>
    <x v="3"/>
    <s v="Saturday"/>
    <n v="1"/>
  </r>
  <r>
    <x v="2736"/>
    <d v="2024-03-10T00:00:00"/>
    <x v="1"/>
    <x v="1"/>
    <n v="28"/>
    <n v="63"/>
    <n v="9.6"/>
    <x v="1"/>
    <x v="1"/>
    <x v="2"/>
    <x v="1"/>
    <x v="1"/>
    <x v="1"/>
    <x v="0"/>
    <x v="2"/>
    <x v="2"/>
    <n v="0"/>
    <s v="Very Fast"/>
    <s v="3 Days"/>
    <x v="2"/>
    <s v="Sunday"/>
    <n v="3"/>
  </r>
  <r>
    <x v="2737"/>
    <d v="2024-10-19T00:00:00"/>
    <x v="2"/>
    <x v="2"/>
    <n v="36"/>
    <n v="57"/>
    <n v="4.3"/>
    <x v="1"/>
    <x v="0"/>
    <x v="0"/>
    <x v="2"/>
    <x v="2"/>
    <x v="1"/>
    <x v="1"/>
    <x v="3"/>
    <x v="0"/>
    <n v="0"/>
    <s v="Acceptable"/>
    <s v="3 Days"/>
    <x v="7"/>
    <s v="Saturday"/>
    <n v="1"/>
  </r>
  <r>
    <x v="2738"/>
    <d v="2024-01-07T00:00:00"/>
    <x v="4"/>
    <x v="0"/>
    <n v="218"/>
    <n v="11"/>
    <n v="6.3"/>
    <x v="1"/>
    <x v="1"/>
    <x v="1"/>
    <x v="0"/>
    <x v="0"/>
    <x v="0"/>
    <x v="0"/>
    <x v="0"/>
    <x v="1"/>
    <n v="0"/>
    <s v="Slow"/>
    <s v="1 Day"/>
    <x v="8"/>
    <s v="Sunday"/>
    <n v="4"/>
  </r>
  <r>
    <x v="2739"/>
    <d v="2024-08-01T00:00:00"/>
    <x v="3"/>
    <x v="3"/>
    <n v="178"/>
    <n v="57"/>
    <n v="2.8"/>
    <x v="0"/>
    <x v="2"/>
    <x v="0"/>
    <x v="3"/>
    <x v="3"/>
    <x v="1"/>
    <x v="1"/>
    <x v="3"/>
    <x v="0"/>
    <n v="1"/>
    <s v="Slow"/>
    <s v="3 Days"/>
    <x v="0"/>
    <s v="Thursday"/>
    <n v="2"/>
  </r>
  <r>
    <x v="2740"/>
    <d v="2024-09-03T00:00:00"/>
    <x v="3"/>
    <x v="0"/>
    <n v="54"/>
    <n v="71"/>
    <n v="2.7"/>
    <x v="0"/>
    <x v="0"/>
    <x v="0"/>
    <x v="0"/>
    <x v="0"/>
    <x v="0"/>
    <x v="0"/>
    <x v="3"/>
    <x v="0"/>
    <n v="1"/>
    <s v="Acceptable"/>
    <s v="3 Days"/>
    <x v="5"/>
    <s v="Tuesday"/>
    <n v="4"/>
  </r>
  <r>
    <x v="2741"/>
    <d v="2024-08-20T00:00:00"/>
    <x v="2"/>
    <x v="0"/>
    <n v="11"/>
    <n v="39"/>
    <n v="8"/>
    <x v="1"/>
    <x v="2"/>
    <x v="2"/>
    <x v="0"/>
    <x v="0"/>
    <x v="0"/>
    <x v="0"/>
    <x v="0"/>
    <x v="2"/>
    <n v="0"/>
    <s v="Very Fast"/>
    <s v="2 Days"/>
    <x v="0"/>
    <s v="Tuesday"/>
    <n v="4"/>
  </r>
  <r>
    <x v="2742"/>
    <d v="2024-05-22T00:00:00"/>
    <x v="4"/>
    <x v="1"/>
    <n v="179"/>
    <n v="57"/>
    <n v="9.4"/>
    <x v="0"/>
    <x v="1"/>
    <x v="0"/>
    <x v="1"/>
    <x v="1"/>
    <x v="1"/>
    <x v="1"/>
    <x v="2"/>
    <x v="0"/>
    <n v="1"/>
    <s v="Slow"/>
    <s v="3 Days"/>
    <x v="1"/>
    <s v="Wednesday"/>
    <n v="3"/>
  </r>
  <r>
    <x v="2743"/>
    <d v="2024-01-06T00:00:00"/>
    <x v="2"/>
    <x v="0"/>
    <n v="23"/>
    <n v="36"/>
    <n v="1.7"/>
    <x v="0"/>
    <x v="1"/>
    <x v="1"/>
    <x v="0"/>
    <x v="0"/>
    <x v="0"/>
    <x v="0"/>
    <x v="1"/>
    <x v="1"/>
    <n v="1"/>
    <s v="Very Fast"/>
    <s v="2 Days"/>
    <x v="8"/>
    <s v="Saturday"/>
    <n v="4"/>
  </r>
  <r>
    <x v="2744"/>
    <d v="2024-12-24T00:00:00"/>
    <x v="2"/>
    <x v="2"/>
    <n v="212"/>
    <n v="4"/>
    <n v="2.7"/>
    <x v="0"/>
    <x v="2"/>
    <x v="0"/>
    <x v="2"/>
    <x v="2"/>
    <x v="0"/>
    <x v="1"/>
    <x v="3"/>
    <x v="0"/>
    <n v="1"/>
    <s v="Slow"/>
    <s v="Same Day"/>
    <x v="11"/>
    <s v="Tuesday"/>
    <n v="1"/>
  </r>
  <r>
    <x v="2745"/>
    <d v="2024-05-08T00:00:00"/>
    <x v="3"/>
    <x v="0"/>
    <n v="110"/>
    <n v="12"/>
    <n v="5.0999999999999996"/>
    <x v="1"/>
    <x v="0"/>
    <x v="1"/>
    <x v="0"/>
    <x v="0"/>
    <x v="0"/>
    <x v="0"/>
    <x v="0"/>
    <x v="1"/>
    <n v="0"/>
    <s v="Acceptable"/>
    <s v="1 Day"/>
    <x v="1"/>
    <s v="Wednesday"/>
    <n v="4"/>
  </r>
  <r>
    <x v="2746"/>
    <d v="2024-11-30T00:00:00"/>
    <x v="2"/>
    <x v="0"/>
    <n v="183"/>
    <n v="48"/>
    <n v="7.2"/>
    <x v="1"/>
    <x v="2"/>
    <x v="1"/>
    <x v="0"/>
    <x v="0"/>
    <x v="0"/>
    <x v="0"/>
    <x v="0"/>
    <x v="1"/>
    <n v="0"/>
    <s v="Slow"/>
    <s v="2 Days"/>
    <x v="6"/>
    <s v="Saturday"/>
    <n v="4"/>
  </r>
  <r>
    <x v="2747"/>
    <d v="2024-03-16T00:00:00"/>
    <x v="2"/>
    <x v="1"/>
    <n v="44"/>
    <n v="56"/>
    <n v="0.8"/>
    <x v="0"/>
    <x v="1"/>
    <x v="0"/>
    <x v="1"/>
    <x v="1"/>
    <x v="1"/>
    <x v="0"/>
    <x v="1"/>
    <x v="0"/>
    <n v="1"/>
    <s v="Acceptable"/>
    <s v="3 Days"/>
    <x v="2"/>
    <s v="Saturday"/>
    <n v="3"/>
  </r>
  <r>
    <x v="2748"/>
    <d v="2024-10-19T00:00:00"/>
    <x v="2"/>
    <x v="1"/>
    <n v="110"/>
    <n v="4"/>
    <n v="6.4"/>
    <x v="1"/>
    <x v="1"/>
    <x v="2"/>
    <x v="1"/>
    <x v="1"/>
    <x v="0"/>
    <x v="0"/>
    <x v="0"/>
    <x v="2"/>
    <n v="0"/>
    <s v="Acceptable"/>
    <s v="Same Day"/>
    <x v="7"/>
    <s v="Saturday"/>
    <n v="3"/>
  </r>
  <r>
    <x v="2749"/>
    <d v="2024-08-01T00:00:00"/>
    <x v="3"/>
    <x v="0"/>
    <n v="164"/>
    <n v="11"/>
    <n v="1.5"/>
    <x v="0"/>
    <x v="2"/>
    <x v="0"/>
    <x v="0"/>
    <x v="0"/>
    <x v="0"/>
    <x v="0"/>
    <x v="1"/>
    <x v="0"/>
    <n v="1"/>
    <s v="Slow"/>
    <s v="1 Day"/>
    <x v="0"/>
    <s v="Thursday"/>
    <n v="4"/>
  </r>
  <r>
    <x v="2750"/>
    <d v="2024-02-01T00:00:00"/>
    <x v="4"/>
    <x v="2"/>
    <n v="198"/>
    <n v="71"/>
    <n v="4.4000000000000004"/>
    <x v="1"/>
    <x v="1"/>
    <x v="0"/>
    <x v="2"/>
    <x v="2"/>
    <x v="1"/>
    <x v="1"/>
    <x v="3"/>
    <x v="0"/>
    <n v="0"/>
    <s v="Slow"/>
    <s v="3 Days"/>
    <x v="9"/>
    <s v="Thursday"/>
    <n v="1"/>
  </r>
  <r>
    <x v="2751"/>
    <d v="2024-08-07T00:00:00"/>
    <x v="4"/>
    <x v="2"/>
    <n v="213"/>
    <n v="67"/>
    <n v="4.8"/>
    <x v="0"/>
    <x v="1"/>
    <x v="0"/>
    <x v="2"/>
    <x v="2"/>
    <x v="1"/>
    <x v="1"/>
    <x v="3"/>
    <x v="0"/>
    <n v="1"/>
    <s v="Slow"/>
    <s v="3 Days"/>
    <x v="0"/>
    <s v="Wednesday"/>
    <n v="1"/>
  </r>
  <r>
    <x v="2752"/>
    <d v="2024-11-15T00:00:00"/>
    <x v="1"/>
    <x v="3"/>
    <n v="161"/>
    <n v="52"/>
    <n v="7.4"/>
    <x v="0"/>
    <x v="1"/>
    <x v="0"/>
    <x v="3"/>
    <x v="3"/>
    <x v="1"/>
    <x v="1"/>
    <x v="0"/>
    <x v="0"/>
    <n v="1"/>
    <s v="Slow"/>
    <s v="3 Days"/>
    <x v="6"/>
    <s v="Friday"/>
    <n v="2"/>
  </r>
  <r>
    <x v="2753"/>
    <d v="2024-09-05T00:00:00"/>
    <x v="4"/>
    <x v="0"/>
    <n v="153"/>
    <n v="10"/>
    <n v="3.2"/>
    <x v="0"/>
    <x v="2"/>
    <x v="0"/>
    <x v="0"/>
    <x v="0"/>
    <x v="0"/>
    <x v="0"/>
    <x v="3"/>
    <x v="0"/>
    <n v="1"/>
    <s v="Slow"/>
    <s v="1 Day"/>
    <x v="5"/>
    <s v="Thursday"/>
    <n v="4"/>
  </r>
  <r>
    <x v="2754"/>
    <d v="2024-08-08T00:00:00"/>
    <x v="0"/>
    <x v="3"/>
    <n v="129"/>
    <n v="13"/>
    <n v="2.8"/>
    <x v="0"/>
    <x v="1"/>
    <x v="0"/>
    <x v="3"/>
    <x v="3"/>
    <x v="0"/>
    <x v="1"/>
    <x v="3"/>
    <x v="0"/>
    <n v="1"/>
    <s v="Slow"/>
    <s v="1 Day"/>
    <x v="0"/>
    <s v="Thursday"/>
    <n v="2"/>
  </r>
  <r>
    <x v="2755"/>
    <d v="2024-08-10T00:00:00"/>
    <x v="3"/>
    <x v="0"/>
    <n v="46"/>
    <n v="37"/>
    <n v="4.0999999999999996"/>
    <x v="0"/>
    <x v="1"/>
    <x v="0"/>
    <x v="0"/>
    <x v="0"/>
    <x v="0"/>
    <x v="0"/>
    <x v="3"/>
    <x v="0"/>
    <n v="1"/>
    <s v="Acceptable"/>
    <s v="2 Days"/>
    <x v="0"/>
    <s v="Saturday"/>
    <n v="4"/>
  </r>
  <r>
    <x v="2756"/>
    <d v="2024-02-20T00:00:00"/>
    <x v="1"/>
    <x v="1"/>
    <n v="18"/>
    <n v="14"/>
    <n v="6.3"/>
    <x v="0"/>
    <x v="1"/>
    <x v="1"/>
    <x v="1"/>
    <x v="1"/>
    <x v="0"/>
    <x v="0"/>
    <x v="0"/>
    <x v="1"/>
    <n v="1"/>
    <s v="Very Fast"/>
    <s v="1 Day"/>
    <x v="9"/>
    <s v="Tuesday"/>
    <n v="3"/>
  </r>
  <r>
    <x v="2757"/>
    <d v="2024-10-08T00:00:00"/>
    <x v="3"/>
    <x v="3"/>
    <n v="213"/>
    <n v="43"/>
    <n v="1.8"/>
    <x v="0"/>
    <x v="2"/>
    <x v="0"/>
    <x v="3"/>
    <x v="3"/>
    <x v="1"/>
    <x v="1"/>
    <x v="1"/>
    <x v="0"/>
    <n v="1"/>
    <s v="Slow"/>
    <s v="2 Days"/>
    <x v="7"/>
    <s v="Tuesday"/>
    <n v="2"/>
  </r>
  <r>
    <x v="2758"/>
    <d v="2024-12-30T00:00:00"/>
    <x v="2"/>
    <x v="2"/>
    <n v="132"/>
    <n v="5"/>
    <n v="9.5"/>
    <x v="1"/>
    <x v="2"/>
    <x v="1"/>
    <x v="2"/>
    <x v="2"/>
    <x v="0"/>
    <x v="1"/>
    <x v="2"/>
    <x v="1"/>
    <n v="0"/>
    <s v="Slow"/>
    <s v="Same Day"/>
    <x v="11"/>
    <s v="Monday"/>
    <n v="1"/>
  </r>
  <r>
    <x v="2759"/>
    <d v="2024-04-29T00:00:00"/>
    <x v="1"/>
    <x v="1"/>
    <n v="42"/>
    <n v="22"/>
    <n v="6"/>
    <x v="0"/>
    <x v="2"/>
    <x v="0"/>
    <x v="1"/>
    <x v="1"/>
    <x v="0"/>
    <x v="0"/>
    <x v="0"/>
    <x v="0"/>
    <n v="1"/>
    <s v="Acceptable"/>
    <s v="1 Day"/>
    <x v="3"/>
    <s v="Monday"/>
    <n v="3"/>
  </r>
  <r>
    <x v="2760"/>
    <d v="2024-04-30T00:00:00"/>
    <x v="4"/>
    <x v="0"/>
    <n v="10"/>
    <n v="48"/>
    <n v="4.9000000000000004"/>
    <x v="1"/>
    <x v="0"/>
    <x v="1"/>
    <x v="0"/>
    <x v="0"/>
    <x v="0"/>
    <x v="0"/>
    <x v="3"/>
    <x v="1"/>
    <n v="0"/>
    <s v="Very Fast"/>
    <s v="2 Days"/>
    <x v="3"/>
    <s v="Tuesday"/>
    <n v="4"/>
  </r>
  <r>
    <x v="2761"/>
    <d v="2024-10-05T00:00:00"/>
    <x v="3"/>
    <x v="1"/>
    <n v="90"/>
    <n v="47"/>
    <n v="8.1"/>
    <x v="0"/>
    <x v="0"/>
    <x v="0"/>
    <x v="1"/>
    <x v="1"/>
    <x v="0"/>
    <x v="0"/>
    <x v="2"/>
    <x v="0"/>
    <n v="1"/>
    <s v="Acceptable"/>
    <s v="2 Days"/>
    <x v="7"/>
    <s v="Saturday"/>
    <n v="3"/>
  </r>
  <r>
    <x v="2762"/>
    <d v="2024-06-03T00:00:00"/>
    <x v="1"/>
    <x v="3"/>
    <n v="220"/>
    <n v="66"/>
    <n v="6.4"/>
    <x v="1"/>
    <x v="2"/>
    <x v="0"/>
    <x v="3"/>
    <x v="3"/>
    <x v="1"/>
    <x v="1"/>
    <x v="0"/>
    <x v="0"/>
    <n v="0"/>
    <s v="Slow"/>
    <s v="3 Days"/>
    <x v="4"/>
    <s v="Monday"/>
    <n v="2"/>
  </r>
  <r>
    <x v="2763"/>
    <d v="2024-10-04T00:00:00"/>
    <x v="2"/>
    <x v="1"/>
    <n v="153"/>
    <n v="61"/>
    <n v="3.6"/>
    <x v="0"/>
    <x v="1"/>
    <x v="0"/>
    <x v="1"/>
    <x v="1"/>
    <x v="1"/>
    <x v="1"/>
    <x v="3"/>
    <x v="0"/>
    <n v="1"/>
    <s v="Slow"/>
    <s v="3 Days"/>
    <x v="7"/>
    <s v="Friday"/>
    <n v="3"/>
  </r>
  <r>
    <x v="2764"/>
    <d v="2024-07-07T00:00:00"/>
    <x v="0"/>
    <x v="3"/>
    <n v="151"/>
    <n v="11"/>
    <n v="1.7"/>
    <x v="1"/>
    <x v="0"/>
    <x v="0"/>
    <x v="3"/>
    <x v="3"/>
    <x v="0"/>
    <x v="1"/>
    <x v="1"/>
    <x v="0"/>
    <n v="0"/>
    <s v="Slow"/>
    <s v="1 Day"/>
    <x v="10"/>
    <s v="Sunday"/>
    <n v="2"/>
  </r>
  <r>
    <x v="2765"/>
    <d v="2024-03-17T00:00:00"/>
    <x v="3"/>
    <x v="2"/>
    <n v="240"/>
    <n v="18"/>
    <n v="3.7"/>
    <x v="1"/>
    <x v="0"/>
    <x v="0"/>
    <x v="2"/>
    <x v="2"/>
    <x v="1"/>
    <x v="1"/>
    <x v="3"/>
    <x v="0"/>
    <n v="0"/>
    <s v="Slow"/>
    <s v="1 Day"/>
    <x v="2"/>
    <s v="Sunday"/>
    <n v="1"/>
  </r>
  <r>
    <x v="2766"/>
    <d v="2024-06-20T00:00:00"/>
    <x v="0"/>
    <x v="2"/>
    <n v="144"/>
    <n v="55"/>
    <n v="4.2"/>
    <x v="0"/>
    <x v="2"/>
    <x v="0"/>
    <x v="2"/>
    <x v="2"/>
    <x v="1"/>
    <x v="1"/>
    <x v="3"/>
    <x v="0"/>
    <n v="1"/>
    <s v="Slow"/>
    <s v="3 Days"/>
    <x v="4"/>
    <s v="Thursday"/>
    <n v="1"/>
  </r>
  <r>
    <x v="2767"/>
    <d v="2024-06-29T00:00:00"/>
    <x v="0"/>
    <x v="0"/>
    <n v="110"/>
    <n v="20"/>
    <n v="3.1"/>
    <x v="0"/>
    <x v="2"/>
    <x v="0"/>
    <x v="0"/>
    <x v="0"/>
    <x v="0"/>
    <x v="0"/>
    <x v="3"/>
    <x v="0"/>
    <n v="1"/>
    <s v="Acceptable"/>
    <s v="1 Day"/>
    <x v="4"/>
    <s v="Saturday"/>
    <n v="4"/>
  </r>
  <r>
    <x v="2768"/>
    <d v="2024-03-28T00:00:00"/>
    <x v="2"/>
    <x v="0"/>
    <n v="47"/>
    <n v="61"/>
    <n v="8.8000000000000007"/>
    <x v="1"/>
    <x v="0"/>
    <x v="1"/>
    <x v="0"/>
    <x v="0"/>
    <x v="0"/>
    <x v="0"/>
    <x v="2"/>
    <x v="1"/>
    <n v="0"/>
    <s v="Acceptable"/>
    <s v="3 Days"/>
    <x v="2"/>
    <s v="Thursday"/>
    <n v="4"/>
  </r>
  <r>
    <x v="2769"/>
    <d v="2024-05-04T00:00:00"/>
    <x v="1"/>
    <x v="2"/>
    <n v="46"/>
    <n v="37"/>
    <n v="6.6"/>
    <x v="0"/>
    <x v="0"/>
    <x v="0"/>
    <x v="2"/>
    <x v="2"/>
    <x v="1"/>
    <x v="1"/>
    <x v="0"/>
    <x v="0"/>
    <n v="1"/>
    <s v="Acceptable"/>
    <s v="2 Days"/>
    <x v="1"/>
    <s v="Saturday"/>
    <n v="1"/>
  </r>
  <r>
    <x v="2770"/>
    <d v="2024-10-10T00:00:00"/>
    <x v="2"/>
    <x v="1"/>
    <n v="182"/>
    <n v="10"/>
    <n v="8.6"/>
    <x v="0"/>
    <x v="1"/>
    <x v="0"/>
    <x v="1"/>
    <x v="1"/>
    <x v="0"/>
    <x v="1"/>
    <x v="2"/>
    <x v="0"/>
    <n v="1"/>
    <s v="Slow"/>
    <s v="1 Day"/>
    <x v="7"/>
    <s v="Thursday"/>
    <n v="3"/>
  </r>
  <r>
    <x v="2771"/>
    <d v="2024-01-12T00:00:00"/>
    <x v="4"/>
    <x v="1"/>
    <n v="195"/>
    <n v="39"/>
    <n v="9.1999999999999993"/>
    <x v="0"/>
    <x v="2"/>
    <x v="0"/>
    <x v="1"/>
    <x v="1"/>
    <x v="0"/>
    <x v="1"/>
    <x v="2"/>
    <x v="0"/>
    <n v="1"/>
    <s v="Slow"/>
    <s v="2 Days"/>
    <x v="8"/>
    <s v="Friday"/>
    <n v="3"/>
  </r>
  <r>
    <x v="2772"/>
    <d v="2024-09-03T00:00:00"/>
    <x v="3"/>
    <x v="3"/>
    <n v="18"/>
    <n v="38"/>
    <n v="3.7"/>
    <x v="1"/>
    <x v="2"/>
    <x v="1"/>
    <x v="3"/>
    <x v="3"/>
    <x v="1"/>
    <x v="0"/>
    <x v="3"/>
    <x v="1"/>
    <n v="0"/>
    <s v="Very Fast"/>
    <s v="2 Days"/>
    <x v="5"/>
    <s v="Tuesday"/>
    <n v="2"/>
  </r>
  <r>
    <x v="2773"/>
    <d v="2024-03-18T00:00:00"/>
    <x v="1"/>
    <x v="0"/>
    <n v="137"/>
    <n v="11"/>
    <n v="7.2"/>
    <x v="1"/>
    <x v="1"/>
    <x v="1"/>
    <x v="0"/>
    <x v="0"/>
    <x v="0"/>
    <x v="0"/>
    <x v="0"/>
    <x v="1"/>
    <n v="0"/>
    <s v="Slow"/>
    <s v="1 Day"/>
    <x v="2"/>
    <s v="Monday"/>
    <n v="4"/>
  </r>
  <r>
    <x v="2774"/>
    <d v="2024-02-19T00:00:00"/>
    <x v="1"/>
    <x v="2"/>
    <n v="233"/>
    <n v="58"/>
    <n v="9.5"/>
    <x v="0"/>
    <x v="1"/>
    <x v="0"/>
    <x v="2"/>
    <x v="2"/>
    <x v="1"/>
    <x v="1"/>
    <x v="2"/>
    <x v="0"/>
    <n v="1"/>
    <s v="Slow"/>
    <s v="3 Days"/>
    <x v="9"/>
    <s v="Monday"/>
    <n v="1"/>
  </r>
  <r>
    <x v="2775"/>
    <d v="2024-10-23T00:00:00"/>
    <x v="1"/>
    <x v="0"/>
    <n v="75"/>
    <n v="51"/>
    <n v="1.1000000000000001"/>
    <x v="1"/>
    <x v="0"/>
    <x v="0"/>
    <x v="0"/>
    <x v="0"/>
    <x v="0"/>
    <x v="0"/>
    <x v="1"/>
    <x v="0"/>
    <n v="0"/>
    <s v="Acceptable"/>
    <s v="3 Days"/>
    <x v="7"/>
    <s v="Wednesday"/>
    <n v="4"/>
  </r>
  <r>
    <x v="2776"/>
    <d v="2024-07-27T00:00:00"/>
    <x v="1"/>
    <x v="3"/>
    <n v="189"/>
    <n v="35"/>
    <n v="7.7"/>
    <x v="0"/>
    <x v="0"/>
    <x v="0"/>
    <x v="3"/>
    <x v="3"/>
    <x v="1"/>
    <x v="1"/>
    <x v="0"/>
    <x v="0"/>
    <n v="1"/>
    <s v="Slow"/>
    <s v="2 Days"/>
    <x v="10"/>
    <s v="Saturday"/>
    <n v="2"/>
  </r>
  <r>
    <x v="2777"/>
    <d v="2024-03-20T00:00:00"/>
    <x v="2"/>
    <x v="1"/>
    <n v="195"/>
    <n v="29"/>
    <n v="4.2"/>
    <x v="0"/>
    <x v="2"/>
    <x v="0"/>
    <x v="1"/>
    <x v="1"/>
    <x v="0"/>
    <x v="1"/>
    <x v="3"/>
    <x v="0"/>
    <n v="1"/>
    <s v="Slow"/>
    <s v="2 Days"/>
    <x v="2"/>
    <s v="Wednesday"/>
    <n v="3"/>
  </r>
  <r>
    <x v="2778"/>
    <d v="2024-04-09T00:00:00"/>
    <x v="4"/>
    <x v="2"/>
    <n v="227"/>
    <n v="49"/>
    <n v="8.8000000000000007"/>
    <x v="1"/>
    <x v="0"/>
    <x v="0"/>
    <x v="2"/>
    <x v="2"/>
    <x v="1"/>
    <x v="1"/>
    <x v="2"/>
    <x v="0"/>
    <n v="0"/>
    <s v="Slow"/>
    <s v="3 Days"/>
    <x v="3"/>
    <s v="Tuesday"/>
    <n v="1"/>
  </r>
  <r>
    <x v="2779"/>
    <d v="2024-06-26T00:00:00"/>
    <x v="0"/>
    <x v="3"/>
    <n v="105"/>
    <n v="42"/>
    <n v="6.6"/>
    <x v="1"/>
    <x v="2"/>
    <x v="0"/>
    <x v="3"/>
    <x v="3"/>
    <x v="1"/>
    <x v="1"/>
    <x v="0"/>
    <x v="0"/>
    <n v="0"/>
    <s v="Acceptable"/>
    <s v="2 Days"/>
    <x v="4"/>
    <s v="Wednesday"/>
    <n v="2"/>
  </r>
  <r>
    <x v="2780"/>
    <d v="2024-11-06T00:00:00"/>
    <x v="3"/>
    <x v="0"/>
    <n v="191"/>
    <n v="31"/>
    <n v="2.5"/>
    <x v="1"/>
    <x v="0"/>
    <x v="0"/>
    <x v="0"/>
    <x v="0"/>
    <x v="0"/>
    <x v="0"/>
    <x v="3"/>
    <x v="0"/>
    <n v="0"/>
    <s v="Slow"/>
    <s v="2 Days"/>
    <x v="6"/>
    <s v="Wednesday"/>
    <n v="4"/>
  </r>
  <r>
    <x v="2781"/>
    <d v="2024-03-05T00:00:00"/>
    <x v="1"/>
    <x v="2"/>
    <n v="110"/>
    <n v="51"/>
    <n v="3.5"/>
    <x v="1"/>
    <x v="0"/>
    <x v="0"/>
    <x v="2"/>
    <x v="2"/>
    <x v="1"/>
    <x v="1"/>
    <x v="3"/>
    <x v="0"/>
    <n v="0"/>
    <s v="Acceptable"/>
    <s v="3 Days"/>
    <x v="2"/>
    <s v="Tuesday"/>
    <n v="1"/>
  </r>
  <r>
    <x v="2782"/>
    <d v="2024-04-10T00:00:00"/>
    <x v="1"/>
    <x v="0"/>
    <n v="85"/>
    <n v="65"/>
    <n v="8.8000000000000007"/>
    <x v="1"/>
    <x v="2"/>
    <x v="1"/>
    <x v="0"/>
    <x v="0"/>
    <x v="0"/>
    <x v="0"/>
    <x v="2"/>
    <x v="1"/>
    <n v="0"/>
    <s v="Acceptable"/>
    <s v="3 Days"/>
    <x v="3"/>
    <s v="Wednesday"/>
    <n v="4"/>
  </r>
  <r>
    <x v="2783"/>
    <d v="2024-06-01T00:00:00"/>
    <x v="3"/>
    <x v="0"/>
    <n v="180"/>
    <n v="22"/>
    <n v="1.3"/>
    <x v="1"/>
    <x v="2"/>
    <x v="0"/>
    <x v="0"/>
    <x v="0"/>
    <x v="0"/>
    <x v="0"/>
    <x v="1"/>
    <x v="0"/>
    <n v="0"/>
    <s v="Slow"/>
    <s v="1 Day"/>
    <x v="4"/>
    <s v="Saturday"/>
    <n v="4"/>
  </r>
  <r>
    <x v="2784"/>
    <d v="2024-01-10T00:00:00"/>
    <x v="3"/>
    <x v="0"/>
    <n v="141"/>
    <n v="41"/>
    <n v="6.1"/>
    <x v="0"/>
    <x v="2"/>
    <x v="0"/>
    <x v="0"/>
    <x v="0"/>
    <x v="0"/>
    <x v="0"/>
    <x v="0"/>
    <x v="0"/>
    <n v="1"/>
    <s v="Slow"/>
    <s v="2 Days"/>
    <x v="8"/>
    <s v="Wednesday"/>
    <n v="4"/>
  </r>
  <r>
    <x v="2785"/>
    <d v="2024-12-15T00:00:00"/>
    <x v="1"/>
    <x v="2"/>
    <n v="110"/>
    <n v="29"/>
    <n v="2.4"/>
    <x v="1"/>
    <x v="1"/>
    <x v="0"/>
    <x v="2"/>
    <x v="2"/>
    <x v="1"/>
    <x v="1"/>
    <x v="3"/>
    <x v="0"/>
    <n v="0"/>
    <s v="Acceptable"/>
    <s v="2 Days"/>
    <x v="11"/>
    <s v="Sunday"/>
    <n v="1"/>
  </r>
  <r>
    <x v="2786"/>
    <d v="2024-05-25T00:00:00"/>
    <x v="4"/>
    <x v="1"/>
    <n v="44"/>
    <n v="41"/>
    <n v="2.4"/>
    <x v="1"/>
    <x v="0"/>
    <x v="0"/>
    <x v="1"/>
    <x v="1"/>
    <x v="0"/>
    <x v="0"/>
    <x v="3"/>
    <x v="0"/>
    <n v="0"/>
    <s v="Acceptable"/>
    <s v="2 Days"/>
    <x v="1"/>
    <s v="Saturday"/>
    <n v="3"/>
  </r>
  <r>
    <x v="2787"/>
    <d v="2024-12-15T00:00:00"/>
    <x v="3"/>
    <x v="1"/>
    <n v="177"/>
    <n v="70"/>
    <n v="8.1"/>
    <x v="1"/>
    <x v="2"/>
    <x v="1"/>
    <x v="1"/>
    <x v="1"/>
    <x v="1"/>
    <x v="1"/>
    <x v="2"/>
    <x v="1"/>
    <n v="0"/>
    <s v="Slow"/>
    <s v="3 Days"/>
    <x v="11"/>
    <s v="Sunday"/>
    <n v="3"/>
  </r>
  <r>
    <x v="2788"/>
    <d v="2024-12-21T00:00:00"/>
    <x v="3"/>
    <x v="2"/>
    <n v="54"/>
    <n v="9"/>
    <n v="6.6"/>
    <x v="0"/>
    <x v="0"/>
    <x v="0"/>
    <x v="2"/>
    <x v="2"/>
    <x v="1"/>
    <x v="1"/>
    <x v="0"/>
    <x v="0"/>
    <n v="1"/>
    <s v="Acceptable"/>
    <s v="1 Day"/>
    <x v="11"/>
    <s v="Saturday"/>
    <n v="1"/>
  </r>
  <r>
    <x v="2789"/>
    <d v="2024-04-27T00:00:00"/>
    <x v="0"/>
    <x v="2"/>
    <n v="182"/>
    <n v="50"/>
    <n v="4.7"/>
    <x v="1"/>
    <x v="2"/>
    <x v="0"/>
    <x v="2"/>
    <x v="2"/>
    <x v="1"/>
    <x v="1"/>
    <x v="3"/>
    <x v="0"/>
    <n v="0"/>
    <s v="Slow"/>
    <s v="3 Days"/>
    <x v="3"/>
    <s v="Saturday"/>
    <n v="1"/>
  </r>
  <r>
    <x v="2790"/>
    <d v="2024-02-23T00:00:00"/>
    <x v="0"/>
    <x v="2"/>
    <n v="198"/>
    <n v="61"/>
    <n v="6"/>
    <x v="0"/>
    <x v="2"/>
    <x v="0"/>
    <x v="2"/>
    <x v="2"/>
    <x v="1"/>
    <x v="1"/>
    <x v="0"/>
    <x v="0"/>
    <n v="1"/>
    <s v="Slow"/>
    <s v="3 Days"/>
    <x v="9"/>
    <s v="Friday"/>
    <n v="1"/>
  </r>
  <r>
    <x v="2791"/>
    <d v="2024-12-27T00:00:00"/>
    <x v="2"/>
    <x v="2"/>
    <n v="187"/>
    <n v="19"/>
    <n v="7.2"/>
    <x v="1"/>
    <x v="0"/>
    <x v="0"/>
    <x v="2"/>
    <x v="2"/>
    <x v="1"/>
    <x v="1"/>
    <x v="0"/>
    <x v="0"/>
    <n v="0"/>
    <s v="Slow"/>
    <s v="1 Day"/>
    <x v="11"/>
    <s v="Friday"/>
    <n v="1"/>
  </r>
  <r>
    <x v="2792"/>
    <d v="2024-11-17T00:00:00"/>
    <x v="3"/>
    <x v="1"/>
    <n v="62"/>
    <n v="12"/>
    <n v="7.6"/>
    <x v="1"/>
    <x v="1"/>
    <x v="1"/>
    <x v="1"/>
    <x v="1"/>
    <x v="0"/>
    <x v="0"/>
    <x v="0"/>
    <x v="1"/>
    <n v="0"/>
    <s v="Acceptable"/>
    <s v="1 Day"/>
    <x v="6"/>
    <s v="Sunday"/>
    <n v="3"/>
  </r>
  <r>
    <x v="2793"/>
    <d v="2024-12-14T00:00:00"/>
    <x v="2"/>
    <x v="2"/>
    <n v="210"/>
    <n v="31"/>
    <n v="8.6"/>
    <x v="1"/>
    <x v="2"/>
    <x v="0"/>
    <x v="2"/>
    <x v="2"/>
    <x v="1"/>
    <x v="1"/>
    <x v="2"/>
    <x v="0"/>
    <n v="0"/>
    <s v="Slow"/>
    <s v="2 Days"/>
    <x v="11"/>
    <s v="Saturday"/>
    <n v="1"/>
  </r>
  <r>
    <x v="2794"/>
    <d v="2024-03-02T00:00:00"/>
    <x v="2"/>
    <x v="1"/>
    <n v="130"/>
    <n v="60"/>
    <n v="1.6"/>
    <x v="0"/>
    <x v="1"/>
    <x v="0"/>
    <x v="1"/>
    <x v="1"/>
    <x v="1"/>
    <x v="1"/>
    <x v="1"/>
    <x v="0"/>
    <n v="1"/>
    <s v="Slow"/>
    <s v="3 Days"/>
    <x v="2"/>
    <s v="Saturday"/>
    <n v="3"/>
  </r>
  <r>
    <x v="2795"/>
    <d v="2024-09-19T00:00:00"/>
    <x v="3"/>
    <x v="1"/>
    <n v="200"/>
    <n v="17"/>
    <n v="7.4"/>
    <x v="1"/>
    <x v="0"/>
    <x v="1"/>
    <x v="1"/>
    <x v="1"/>
    <x v="0"/>
    <x v="1"/>
    <x v="0"/>
    <x v="1"/>
    <n v="0"/>
    <s v="Slow"/>
    <s v="1 Day"/>
    <x v="5"/>
    <s v="Thursday"/>
    <n v="3"/>
  </r>
  <r>
    <x v="2796"/>
    <d v="2024-09-07T00:00:00"/>
    <x v="4"/>
    <x v="0"/>
    <n v="213"/>
    <n v="16"/>
    <n v="8.3000000000000007"/>
    <x v="1"/>
    <x v="2"/>
    <x v="1"/>
    <x v="0"/>
    <x v="0"/>
    <x v="0"/>
    <x v="0"/>
    <x v="2"/>
    <x v="1"/>
    <n v="0"/>
    <s v="Slow"/>
    <s v="1 Day"/>
    <x v="5"/>
    <s v="Saturday"/>
    <n v="4"/>
  </r>
  <r>
    <x v="2797"/>
    <d v="2024-12-19T00:00:00"/>
    <x v="2"/>
    <x v="3"/>
    <n v="15"/>
    <n v="31"/>
    <n v="3.4"/>
    <x v="1"/>
    <x v="1"/>
    <x v="1"/>
    <x v="3"/>
    <x v="3"/>
    <x v="1"/>
    <x v="0"/>
    <x v="3"/>
    <x v="1"/>
    <n v="0"/>
    <s v="Very Fast"/>
    <s v="2 Days"/>
    <x v="11"/>
    <s v="Thursday"/>
    <n v="2"/>
  </r>
  <r>
    <x v="2798"/>
    <d v="2024-02-04T00:00:00"/>
    <x v="4"/>
    <x v="2"/>
    <n v="178"/>
    <n v="9"/>
    <n v="9.1999999999999993"/>
    <x v="0"/>
    <x v="1"/>
    <x v="0"/>
    <x v="2"/>
    <x v="2"/>
    <x v="1"/>
    <x v="1"/>
    <x v="2"/>
    <x v="0"/>
    <n v="1"/>
    <s v="Slow"/>
    <s v="1 Day"/>
    <x v="9"/>
    <s v="Sunday"/>
    <n v="1"/>
  </r>
  <r>
    <x v="2799"/>
    <d v="2024-01-28T00:00:00"/>
    <x v="0"/>
    <x v="2"/>
    <n v="68"/>
    <n v="20"/>
    <n v="2.7"/>
    <x v="0"/>
    <x v="2"/>
    <x v="0"/>
    <x v="2"/>
    <x v="2"/>
    <x v="1"/>
    <x v="1"/>
    <x v="3"/>
    <x v="0"/>
    <n v="1"/>
    <s v="Acceptable"/>
    <s v="1 Day"/>
    <x v="8"/>
    <s v="Sunday"/>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A6F1783-5805-4488-A08C-69F7AB5D1591}" name="Reopened Tickets vs Customer Satisfac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44:E48" firstHeaderRow="1" firstDataRow="2" firstDataCol="1"/>
  <pivotFields count="22">
    <pivotField dataField="1" showAll="0"/>
    <pivotField numFmtId="14" showAll="0"/>
    <pivotField showAll="0">
      <items count="6">
        <item x="1"/>
        <item x="4"/>
        <item x="0"/>
        <item x="3"/>
        <item x="2"/>
        <item t="default"/>
      </items>
    </pivotField>
    <pivotField showAll="0">
      <items count="5">
        <item h="1" x="3"/>
        <item x="0"/>
        <item x="1"/>
        <item x="2"/>
        <item t="default"/>
      </items>
    </pivotField>
    <pivotField showAll="0"/>
    <pivotField showAll="0"/>
    <pivotField showAll="0"/>
    <pivotField axis="axisRow" showAll="0">
      <items count="3">
        <item x="1"/>
        <item x="0"/>
        <item t="default"/>
      </items>
    </pivotField>
    <pivotField showAll="0">
      <items count="4">
        <item x="0"/>
        <item x="1"/>
        <item x="2"/>
        <item t="default"/>
      </items>
    </pivotField>
    <pivotField axis="axisCol"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7"/>
  </rowFields>
  <rowItems count="3">
    <i>
      <x/>
    </i>
    <i>
      <x v="1"/>
    </i>
    <i t="grand">
      <x/>
    </i>
  </rowItems>
  <colFields count="1">
    <field x="9"/>
  </colFields>
  <colItems count="4">
    <i>
      <x/>
    </i>
    <i>
      <x v="1"/>
    </i>
    <i>
      <x v="2"/>
    </i>
    <i t="grand">
      <x/>
    </i>
  </colItems>
  <dataFields count="1">
    <dataField name="Count of ticket_id" fld="0" subtotal="count" showDataAs="percentOfRow" baseField="7" baseItem="0" numFmtId="10"/>
  </dataFields>
  <chartFormats count="3">
    <chartFormat chart="3" format="6" series="1">
      <pivotArea type="data" outline="0" fieldPosition="0">
        <references count="2">
          <reference field="4294967294" count="1" selected="0">
            <x v="0"/>
          </reference>
          <reference field="9" count="1" selected="0">
            <x v="0"/>
          </reference>
        </references>
      </pivotArea>
    </chartFormat>
    <chartFormat chart="3" format="7" series="1">
      <pivotArea type="data" outline="0" fieldPosition="0">
        <references count="2">
          <reference field="4294967294" count="1" selected="0">
            <x v="0"/>
          </reference>
          <reference field="9" count="1" selected="0">
            <x v="1"/>
          </reference>
        </references>
      </pivotArea>
    </chartFormat>
    <chartFormat chart="3" format="8" series="1">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FFF1634-884E-4B68-8465-F05510E59D10}" name="Overall First Response SLA Breach Rat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First Respnse SLA Minutes">
  <location ref="C1:D4" firstHeaderRow="1" firstDataRow="1" firstDataCol="1"/>
  <pivotFields count="22">
    <pivotField dataField="1" showAll="0"/>
    <pivotField numFmtId="14" showAll="0"/>
    <pivotField showAll="0">
      <items count="6">
        <item x="1"/>
        <item x="4"/>
        <item x="0"/>
        <item x="3"/>
        <item x="2"/>
        <item t="default"/>
      </items>
    </pivotField>
    <pivotField showAll="0">
      <items count="5">
        <item h="1" x="3"/>
        <item x="0"/>
        <item x="1"/>
        <item x="2"/>
        <item t="default"/>
      </items>
    </pivotField>
    <pivotField showAll="0"/>
    <pivotField showAll="0"/>
    <pivotField showAll="0"/>
    <pivotField showAll="0">
      <items count="3">
        <item x="1"/>
        <item x="0"/>
        <item t="default"/>
      </items>
    </pivotField>
    <pivotField showAll="0">
      <items count="4">
        <item x="0"/>
        <item x="1"/>
        <item x="2"/>
        <item t="default"/>
      </items>
    </pivotField>
    <pivotField showAll="0">
      <items count="4">
        <item x="2"/>
        <item x="0"/>
        <item x="1"/>
        <item t="default"/>
      </items>
    </pivotField>
    <pivotField showAll="0"/>
    <pivotField showAll="0">
      <items count="5">
        <item x="2"/>
        <item x="3"/>
        <item x="1"/>
        <item x="0"/>
        <item t="default"/>
      </items>
    </pivotField>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s>
  <rowFields count="1">
    <field x="13"/>
  </rowFields>
  <rowItems count="3">
    <i>
      <x/>
    </i>
    <i>
      <x v="1"/>
    </i>
    <i t="grand">
      <x/>
    </i>
  </rowItems>
  <colItems count="1">
    <i/>
  </colItems>
  <dataFields count="1">
    <dataField name="Overall Percentage" fld="0" showDataAs="percentOfTotal" baseField="11"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DCB74DD-76F5-462B-BECB-0E67A79EB65C}" name="Average First Response Time by Channel" cacheId="0" applyNumberFormats="0" applyBorderFormats="0" applyFontFormats="0" applyPatternFormats="0" applyAlignmentFormats="0" applyWidthHeightFormats="1" dataCaption="Values" grandTotalCaption="Overall Average" updatedVersion="8" minRefreshableVersion="3" useAutoFormatting="1" itemPrintTitles="1" createdVersion="8" indent="0" outline="1" outlineData="1" multipleFieldFilters="0" rowHeaderCaption="Channels">
  <location ref="A37:B41" firstHeaderRow="1" firstDataRow="1" firstDataCol="1"/>
  <pivotFields count="22">
    <pivotField showAll="0"/>
    <pivotField numFmtId="14" showAll="0"/>
    <pivotField showAll="0">
      <items count="6">
        <item x="1"/>
        <item x="4"/>
        <item x="0"/>
        <item x="3"/>
        <item x="2"/>
        <item t="default"/>
      </items>
    </pivotField>
    <pivotField showAll="0">
      <items count="5">
        <item h="1" x="3"/>
        <item x="0"/>
        <item x="1"/>
        <item x="2"/>
        <item t="default"/>
      </items>
    </pivotField>
    <pivotField dataField="1" showAll="0"/>
    <pivotField showAll="0"/>
    <pivotField showAll="0"/>
    <pivotField showAll="0">
      <items count="3">
        <item x="1"/>
        <item x="0"/>
        <item t="default"/>
      </items>
    </pivotField>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4">
    <i>
      <x v="2"/>
    </i>
    <i>
      <x v="1"/>
    </i>
    <i>
      <x/>
    </i>
    <i t="grand">
      <x/>
    </i>
  </rowItems>
  <colItems count="1">
    <i/>
  </colItems>
  <dataFields count="1">
    <dataField name="Average of first_response_minutes" fld="4" subtotal="average" baseField="8"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6A6D839-7D59-4AF3-9500-2C48C0F927DB}" name="Overall Resolution SLA Breach Rat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solution SLA Status">
  <location ref="A1:B4" firstHeaderRow="1" firstDataRow="1" firstDataCol="1"/>
  <pivotFields count="22">
    <pivotField dataField="1" showAll="0">
      <items count="28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t="default"/>
      </items>
    </pivotField>
    <pivotField numFmtId="14" showAll="0"/>
    <pivotField showAll="0">
      <items count="6">
        <item x="1"/>
        <item x="4"/>
        <item x="0"/>
        <item x="3"/>
        <item x="2"/>
        <item t="default"/>
      </items>
    </pivotField>
    <pivotField showAll="0">
      <items count="5">
        <item h="1" x="3"/>
        <item x="0"/>
        <item x="1"/>
        <item x="2"/>
        <item t="default"/>
      </items>
    </pivotField>
    <pivotField showAll="0"/>
    <pivotField showAll="0"/>
    <pivotField showAll="0"/>
    <pivotField showAll="0">
      <items count="3">
        <item x="1"/>
        <item x="0"/>
        <item t="default"/>
      </items>
    </pivotField>
    <pivotField showAll="0">
      <items count="4">
        <item x="0"/>
        <item x="1"/>
        <item x="2"/>
        <item t="default"/>
      </items>
    </pivotField>
    <pivotField showAll="0">
      <items count="4">
        <item x="2"/>
        <item x="0"/>
        <item x="1"/>
        <item t="default"/>
      </items>
    </pivotField>
    <pivotField showAll="0">
      <items count="5">
        <item x="2"/>
        <item x="3"/>
        <item x="1"/>
        <item x="0"/>
        <item t="default"/>
      </items>
    </pivotField>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s>
  <rowFields count="1">
    <field x="12"/>
  </rowFields>
  <rowItems count="3">
    <i>
      <x/>
    </i>
    <i>
      <x v="1"/>
    </i>
    <i t="grand">
      <x/>
    </i>
  </rowItems>
  <colItems count="1">
    <i/>
  </colItems>
  <dataFields count="1">
    <dataField name="Count of ticket_id" fld="0" subtotal="count" showDataAs="percentOfTotal" baseField="1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D51B6A4-631D-4441-A0F1-899C3ABB347D}" name="Average Resolution Time by Issue Category" cacheId="0" applyNumberFormats="0" applyBorderFormats="0" applyFontFormats="0" applyPatternFormats="0" applyAlignmentFormats="0" applyWidthHeightFormats="1" dataCaption="Values" grandTotalCaption="Overall Average" updatedVersion="8" minRefreshableVersion="3" useAutoFormatting="1" itemPrintTitles="1" createdVersion="8" indent="0" outline="1" outlineData="1" multipleFieldFilters="0" chartFormat="8" rowHeaderCaption="Issues Category" fieldListSortAscending="1">
  <location ref="A28:B34" firstHeaderRow="1" firstDataRow="1" firstDataCol="1"/>
  <pivotFields count="22">
    <pivotField showAll="0"/>
    <pivotField numFmtId="14" showAll="0"/>
    <pivotField axis="axisRow" showAll="0" sortType="descending">
      <items count="6">
        <item x="1"/>
        <item x="4"/>
        <item x="0"/>
        <item x="3"/>
        <item x="2"/>
        <item t="default"/>
      </items>
      <autoSortScope>
        <pivotArea dataOnly="0" outline="0" fieldPosition="0">
          <references count="1">
            <reference field="4294967294" count="1" selected="0">
              <x v="0"/>
            </reference>
          </references>
        </pivotArea>
      </autoSortScope>
    </pivotField>
    <pivotField showAll="0">
      <items count="5">
        <item h="1" x="3"/>
        <item x="0"/>
        <item x="1"/>
        <item x="2"/>
        <item t="default"/>
      </items>
    </pivotField>
    <pivotField showAll="0"/>
    <pivotField dataField="1" showAll="0"/>
    <pivotField showAll="0"/>
    <pivotField showAll="0">
      <items count="3">
        <item x="1"/>
        <item x="0"/>
        <item t="default"/>
      </items>
    </pivotField>
    <pivotField showAll="0">
      <items count="4">
        <item x="0"/>
        <item x="1"/>
        <item x="2"/>
        <item t="default"/>
      </items>
    </pivotField>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4"/>
    </i>
    <i>
      <x v="3"/>
    </i>
    <i>
      <x v="2"/>
    </i>
    <i>
      <x v="1"/>
    </i>
    <i t="grand">
      <x/>
    </i>
  </rowItems>
  <colItems count="1">
    <i/>
  </colItems>
  <dataFields count="1">
    <dataField name="Average of resolution_time_hours" fld="5" subtotal="average" baseField="2" baseItem="0" numFmtId="1"/>
  </dataFields>
  <chartFormats count="1">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36FB455-C9E0-479E-9A36-8E3E4C85DF45}" name="Monthly Ticket Volume Tren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1:B64" firstHeaderRow="1" firstDataRow="1" firstDataCol="1"/>
  <pivotFields count="22">
    <pivotField dataField="1" showAll="0"/>
    <pivotField numFmtId="14" showAll="0"/>
    <pivotField showAll="0">
      <items count="6">
        <item x="1"/>
        <item x="4"/>
        <item x="0"/>
        <item x="3"/>
        <item x="2"/>
        <item t="default"/>
      </items>
    </pivotField>
    <pivotField showAll="0">
      <items count="5">
        <item h="1" x="3"/>
        <item x="0"/>
        <item x="1"/>
        <item x="2"/>
        <item t="default"/>
      </items>
    </pivotField>
    <pivotField showAll="0"/>
    <pivotField showAll="0"/>
    <pivotField showAll="0"/>
    <pivotField showAll="0">
      <items count="3">
        <item x="1"/>
        <item x="0"/>
        <item t="default"/>
      </items>
    </pivotField>
    <pivotField showAll="0">
      <items count="4">
        <item x="0"/>
        <item x="1"/>
        <item x="2"/>
        <item t="default"/>
      </items>
    </pivotField>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axis="axisRow" showAll="0">
      <items count="13">
        <item x="3"/>
        <item x="0"/>
        <item x="11"/>
        <item x="9"/>
        <item x="8"/>
        <item x="10"/>
        <item x="4"/>
        <item x="2"/>
        <item x="1"/>
        <item x="6"/>
        <item x="7"/>
        <item x="5"/>
        <item t="default"/>
      </items>
    </pivotField>
    <pivotField showAll="0"/>
    <pivotField showAll="0"/>
  </pivotFields>
  <rowFields count="1">
    <field x="19"/>
  </rowFields>
  <rowItems count="13">
    <i>
      <x/>
    </i>
    <i>
      <x v="1"/>
    </i>
    <i>
      <x v="2"/>
    </i>
    <i>
      <x v="3"/>
    </i>
    <i>
      <x v="4"/>
    </i>
    <i>
      <x v="5"/>
    </i>
    <i>
      <x v="6"/>
    </i>
    <i>
      <x v="7"/>
    </i>
    <i>
      <x v="8"/>
    </i>
    <i>
      <x v="9"/>
    </i>
    <i>
      <x v="10"/>
    </i>
    <i>
      <x v="11"/>
    </i>
    <i t="grand">
      <x/>
    </i>
  </rowItems>
  <colItems count="1">
    <i/>
  </colItems>
  <dataFields count="1">
    <dataField name="Count of ticket_id" fld="0" subtotal="count" baseField="19"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4EE772E-2CCE-4DF0-8BF7-D9CC693EDE39}" name="Issue Category vs Average Satisfac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Issue Cartegory">
  <location ref="A74:B80" firstHeaderRow="1" firstDataRow="1" firstDataCol="1"/>
  <pivotFields count="22">
    <pivotField showAll="0"/>
    <pivotField numFmtId="14" showAll="0"/>
    <pivotField axis="axisRow" showAll="0" sortType="descending">
      <items count="6">
        <item x="1"/>
        <item x="4"/>
        <item x="0"/>
        <item x="3"/>
        <item x="2"/>
        <item t="default"/>
      </items>
      <autoSortScope>
        <pivotArea dataOnly="0" outline="0" fieldPosition="0">
          <references count="1">
            <reference field="4294967294" count="1" selected="0">
              <x v="0"/>
            </reference>
          </references>
        </pivotArea>
      </autoSortScope>
    </pivotField>
    <pivotField showAll="0">
      <items count="5">
        <item h="1" x="3"/>
        <item x="0"/>
        <item x="1"/>
        <item x="2"/>
        <item t="default"/>
      </items>
    </pivotField>
    <pivotField showAll="0"/>
    <pivotField showAll="0"/>
    <pivotField showAll="0"/>
    <pivotField showAll="0">
      <items count="3">
        <item x="1"/>
        <item x="0"/>
        <item t="default"/>
      </items>
    </pivotField>
    <pivotField showAll="0">
      <items count="4">
        <item x="0"/>
        <item x="1"/>
        <item x="2"/>
        <item t="default"/>
      </items>
    </pivotField>
    <pivotField showAll="0">
      <items count="4">
        <item x="2"/>
        <item x="0"/>
        <item x="1"/>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s>
  <rowFields count="1">
    <field x="2"/>
  </rowFields>
  <rowItems count="6">
    <i>
      <x/>
    </i>
    <i>
      <x v="2"/>
    </i>
    <i>
      <x v="4"/>
    </i>
    <i>
      <x v="1"/>
    </i>
    <i>
      <x v="3"/>
    </i>
    <i t="grand">
      <x/>
    </i>
  </rowItems>
  <colItems count="1">
    <i/>
  </colItems>
  <dataFields count="1">
    <dataField name="Average of Satisfaction Score" fld="15" subtotal="average"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A0F75A8-5B9D-4863-BEBB-4E0D14CC15EB}" name="First Response SLA Breach Rate by Priorit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iority" colHeaderCaption="First Response SLA Status">
  <location ref="A20:D25" firstHeaderRow="1" firstDataRow="2" firstDataCol="1"/>
  <pivotFields count="22">
    <pivotField dataField="1" showAll="0"/>
    <pivotField numFmtId="14" showAll="0"/>
    <pivotField showAll="0">
      <items count="6">
        <item x="1"/>
        <item x="4"/>
        <item x="0"/>
        <item x="3"/>
        <item x="2"/>
        <item t="default"/>
      </items>
    </pivotField>
    <pivotField axis="axisRow" showAll="0">
      <items count="5">
        <item h="1" x="3"/>
        <item x="0"/>
        <item x="1"/>
        <item x="2"/>
        <item t="default"/>
      </items>
    </pivotField>
    <pivotField showAll="0"/>
    <pivotField showAll="0"/>
    <pivotField showAll="0"/>
    <pivotField showAll="0">
      <items count="3">
        <item x="1"/>
        <item x="0"/>
        <item t="default"/>
      </items>
    </pivotField>
    <pivotField showAll="0">
      <items count="4">
        <item x="0"/>
        <item x="1"/>
        <item x="2"/>
        <item t="default"/>
      </items>
    </pivotField>
    <pivotField showAll="0">
      <items count="4">
        <item x="2"/>
        <item x="0"/>
        <item x="1"/>
        <item t="default"/>
      </items>
    </pivotField>
    <pivotField showAll="0"/>
    <pivotField showAll="0"/>
    <pivotField showAll="0"/>
    <pivotField axis="axisCol" showAll="0">
      <items count="3">
        <item x="1"/>
        <item x="0"/>
        <item t="default"/>
      </items>
    </pivotField>
    <pivotField showAll="0"/>
    <pivotField showAll="0"/>
    <pivotField showAll="0"/>
    <pivotField showAll="0"/>
    <pivotField showAll="0"/>
    <pivotField showAll="0"/>
    <pivotField showAll="0"/>
    <pivotField showAll="0"/>
  </pivotFields>
  <rowFields count="1">
    <field x="3"/>
  </rowFields>
  <rowItems count="4">
    <i>
      <x v="1"/>
    </i>
    <i>
      <x v="2"/>
    </i>
    <i>
      <x v="3"/>
    </i>
    <i t="grand">
      <x/>
    </i>
  </rowItems>
  <colFields count="1">
    <field x="13"/>
  </colFields>
  <colItems count="3">
    <i>
      <x/>
    </i>
    <i>
      <x v="1"/>
    </i>
    <i t="grand">
      <x/>
    </i>
  </colItems>
  <dataFields count="1">
    <dataField name="Count of ticket_id" fld="0" subtotal="count" showDataAs="percentOfRow" baseField="3" baseItem="0" numFmtId="10"/>
  </dataFields>
  <formats count="2">
    <format dxfId="1">
      <pivotArea collapsedLevelsAreSubtotals="1" fieldPosition="0">
        <references count="1">
          <reference field="3" count="1">
            <x v="3"/>
          </reference>
        </references>
      </pivotArea>
    </format>
    <format dxfId="0">
      <pivotArea dataOnly="0" labelOnly="1" fieldPosition="0">
        <references count="1">
          <reference field="3" count="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DCA51EA-68E7-4987-94DA-E052811E47DC}" name="Agent Experience Band vs Resolution Tim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6:C71" firstHeaderRow="0" firstDataRow="1" firstDataCol="1"/>
  <pivotFields count="22">
    <pivotField showAll="0"/>
    <pivotField numFmtId="14" showAll="0"/>
    <pivotField showAll="0">
      <items count="6">
        <item x="1"/>
        <item x="4"/>
        <item x="0"/>
        <item x="3"/>
        <item x="2"/>
        <item t="default"/>
      </items>
    </pivotField>
    <pivotField showAll="0">
      <items count="5">
        <item h="1" x="3"/>
        <item x="0"/>
        <item x="1"/>
        <item x="2"/>
        <item t="default"/>
      </items>
    </pivotField>
    <pivotField showAll="0"/>
    <pivotField dataField="1" showAll="0"/>
    <pivotField showAll="0"/>
    <pivotField showAll="0">
      <items count="3">
        <item x="1"/>
        <item x="0"/>
        <item t="default"/>
      </items>
    </pivotField>
    <pivotField showAll="0">
      <items count="4">
        <item x="0"/>
        <item x="1"/>
        <item x="2"/>
        <item t="default"/>
      </items>
    </pivotField>
    <pivotField showAll="0">
      <items count="4">
        <item x="2"/>
        <item x="0"/>
        <item x="1"/>
        <item t="default"/>
      </items>
    </pivotField>
    <pivotField showAll="0"/>
    <pivotField showAll="0"/>
    <pivotField showAll="0"/>
    <pivotField showAll="0"/>
    <pivotField axis="axisRow" showAll="0">
      <items count="5">
        <item x="2"/>
        <item x="1"/>
        <item x="3"/>
        <item x="0"/>
        <item t="default"/>
      </items>
    </pivotField>
    <pivotField dataField="1" showAll="0"/>
    <pivotField showAll="0"/>
    <pivotField showAll="0"/>
    <pivotField showAll="0"/>
    <pivotField showAll="0"/>
    <pivotField showAll="0"/>
    <pivotField showAll="0"/>
  </pivotFields>
  <rowFields count="1">
    <field x="14"/>
  </rowFields>
  <rowItems count="5">
    <i>
      <x/>
    </i>
    <i>
      <x v="1"/>
    </i>
    <i>
      <x v="2"/>
    </i>
    <i>
      <x v="3"/>
    </i>
    <i t="grand">
      <x/>
    </i>
  </rowItems>
  <colFields count="1">
    <field x="-2"/>
  </colFields>
  <colItems count="2">
    <i>
      <x/>
    </i>
    <i i="1">
      <x v="1"/>
    </i>
  </colItems>
  <dataFields count="2">
    <dataField name="Average of resolution_time_hours" fld="5" subtotal="average" baseField="14" baseItem="0"/>
    <dataField name="Average of Satisfaction Score" fld="15" subtotal="average" baseField="1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C739A9F-B47B-4F04-B3AA-375ECD48694F}" name="Overall First Response SLA Statu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First Response SLA Status">
  <location ref="A6:B9" firstHeaderRow="1" firstDataRow="1" firstDataCol="1"/>
  <pivotFields count="22">
    <pivotField dataField="1" showAll="0"/>
    <pivotField numFmtId="14" showAll="0"/>
    <pivotField showAll="0">
      <items count="6">
        <item x="1"/>
        <item x="4"/>
        <item x="0"/>
        <item x="3"/>
        <item x="2"/>
        <item t="default"/>
      </items>
    </pivotField>
    <pivotField showAll="0">
      <items count="5">
        <item h="1" x="3"/>
        <item x="0"/>
        <item x="1"/>
        <item x="2"/>
        <item t="default"/>
      </items>
    </pivotField>
    <pivotField showAll="0"/>
    <pivotField showAll="0"/>
    <pivotField showAll="0"/>
    <pivotField showAll="0">
      <items count="3">
        <item x="1"/>
        <item x="0"/>
        <item t="default"/>
      </items>
    </pivotField>
    <pivotField showAll="0">
      <items count="4">
        <item x="0"/>
        <item x="1"/>
        <item x="2"/>
        <item t="default"/>
      </items>
    </pivotField>
    <pivotField showAll="0">
      <items count="4">
        <item x="2"/>
        <item x="0"/>
        <item x="1"/>
        <item t="default"/>
      </items>
    </pivotField>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s>
  <rowFields count="1">
    <field x="13"/>
  </rowFields>
  <rowItems count="3">
    <i>
      <x/>
    </i>
    <i>
      <x v="1"/>
    </i>
    <i t="grand">
      <x/>
    </i>
  </rowItems>
  <colItems count="1">
    <i/>
  </colItems>
  <dataFields count="1">
    <dataField name="Count of ticket_id" fld="0" subtotal="count" showDataAs="percentOfTotal" baseField="13" baseItem="0" numFmtId="10"/>
  </dataFields>
  <chartFormats count="3">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13" count="1" selected="0">
            <x v="0"/>
          </reference>
        </references>
      </pivotArea>
    </chartFormat>
    <chartFormat chart="10" format="6">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DCD574E-6E1E-45C6-B09C-541B97818CE1}" name="Resolution SLA Breach Rate by Priorit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Priority" colHeaderCaption="Resolution SLA Status">
  <location ref="A11:D16" firstHeaderRow="1" firstDataRow="2" firstDataCol="1"/>
  <pivotFields count="22">
    <pivotField dataField="1" showAll="0"/>
    <pivotField numFmtId="14" showAll="0"/>
    <pivotField showAll="0">
      <items count="6">
        <item x="1"/>
        <item x="4"/>
        <item x="0"/>
        <item x="3"/>
        <item x="2"/>
        <item t="default"/>
      </items>
    </pivotField>
    <pivotField axis="axisRow" showAll="0">
      <items count="5">
        <item h="1" x="3"/>
        <item x="0"/>
        <item x="1"/>
        <item x="2"/>
        <item t="default"/>
      </items>
    </pivotField>
    <pivotField showAll="0"/>
    <pivotField showAll="0"/>
    <pivotField showAll="0"/>
    <pivotField showAll="0">
      <items count="3">
        <item x="1"/>
        <item x="0"/>
        <item t="default"/>
      </items>
    </pivotField>
    <pivotField showAll="0">
      <items count="4">
        <item x="0"/>
        <item x="1"/>
        <item x="2"/>
        <item t="default"/>
      </items>
    </pivotField>
    <pivotField showAll="0">
      <items count="4">
        <item x="2"/>
        <item x="0"/>
        <item x="1"/>
        <item t="default"/>
      </items>
    </pivotField>
    <pivotField showAll="0"/>
    <pivotField showAll="0"/>
    <pivotField axis="axisCol" showAll="0">
      <items count="3">
        <item x="1"/>
        <item x="0"/>
        <item t="default"/>
      </items>
    </pivotField>
    <pivotField showAll="0"/>
    <pivotField showAll="0"/>
    <pivotField showAll="0"/>
    <pivotField showAll="0"/>
    <pivotField showAll="0"/>
    <pivotField showAll="0"/>
    <pivotField showAll="0"/>
    <pivotField showAll="0"/>
    <pivotField showAll="0"/>
  </pivotFields>
  <rowFields count="1">
    <field x="3"/>
  </rowFields>
  <rowItems count="4">
    <i>
      <x v="1"/>
    </i>
    <i>
      <x v="2"/>
    </i>
    <i>
      <x v="3"/>
    </i>
    <i t="grand">
      <x/>
    </i>
  </rowItems>
  <colFields count="1">
    <field x="12"/>
  </colFields>
  <colItems count="3">
    <i>
      <x/>
    </i>
    <i>
      <x v="1"/>
    </i>
    <i t="grand">
      <x/>
    </i>
  </colItems>
  <dataFields count="1">
    <dataField name="Count of ticket_id" fld="0" subtotal="count" showDataAs="percentOfRow" baseField="3" baseItem="0" numFmtId="10"/>
  </dataFields>
  <formats count="2">
    <format dxfId="3">
      <pivotArea collapsedLevelsAreSubtotals="1" fieldPosition="0">
        <references count="1">
          <reference field="3" count="1">
            <x v="2"/>
          </reference>
        </references>
      </pivotArea>
    </format>
    <format dxfId="2">
      <pivotArea dataOnly="0" labelOnly="1" fieldPosition="0">
        <references count="1">
          <reference field="3" count="1">
            <x v="2"/>
          </reference>
        </references>
      </pivotArea>
    </format>
  </formats>
  <chartFormats count="2">
    <chartFormat chart="3" format="4" series="1">
      <pivotArea type="data" outline="0" fieldPosition="0">
        <references count="2">
          <reference field="4294967294" count="1" selected="0">
            <x v="0"/>
          </reference>
          <reference field="12" count="1" selected="0">
            <x v="0"/>
          </reference>
        </references>
      </pivotArea>
    </chartFormat>
    <chartFormat chart="3" format="5"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ssue_category" xr10:uid="{309D6A9C-18AE-4961-B9BD-AECCDC0358E6}" sourceName="issue_category">
  <pivotTables>
    <pivotTable tabId="11" name="Resolution SLA Breach Rate by Priority"/>
    <pivotTable tabId="11" name="Agent Experience Band vs Resolution Time"/>
    <pivotTable tabId="11" name="Average First Response Time by Channel"/>
    <pivotTable tabId="11" name="Average Resolution Time by Issue Category"/>
    <pivotTable tabId="11" name="First Response SLA Breach Rate by Priority"/>
    <pivotTable tabId="11" name="Issue Category vs Average Satisfaction"/>
    <pivotTable tabId="11" name="Monthly Ticket Volume Trend"/>
    <pivotTable tabId="11" name="Overall First Response SLA Breach Rate"/>
    <pivotTable tabId="11" name="Overall First Response SLA Status"/>
    <pivotTable tabId="11" name="Overall Resolution SLA Breach Rate"/>
    <pivotTable tabId="11" name="Reopened Tickets vs Customer Satisfaction"/>
  </pivotTables>
  <data>
    <tabular pivotCacheId="31201877">
      <items count="5">
        <i x="1" s="1"/>
        <i x="4" s="1"/>
        <i x="0"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ority" xr10:uid="{4F835AC8-E4F1-4560-8FA0-02D3BCA5C904}" sourceName="priority">
  <pivotTables>
    <pivotTable tabId="11" name="Resolution SLA Breach Rate by Priority"/>
    <pivotTable tabId="11" name="Agent Experience Band vs Resolution Time"/>
    <pivotTable tabId="11" name="Average First Response Time by Channel"/>
    <pivotTable tabId="11" name="Average Resolution Time by Issue Category"/>
    <pivotTable tabId="11" name="First Response SLA Breach Rate by Priority"/>
    <pivotTable tabId="11" name="Issue Category vs Average Satisfaction"/>
    <pivotTable tabId="11" name="Monthly Ticket Volume Trend"/>
    <pivotTable tabId="11" name="Overall First Response SLA Breach Rate"/>
    <pivotTable tabId="11" name="Overall First Response SLA Status"/>
    <pivotTable tabId="11" name="Overall Resolution SLA Breach Rate"/>
    <pivotTable tabId="11" name="Reopened Tickets vs Customer Satisfaction"/>
  </pivotTables>
  <data>
    <tabular pivotCacheId="31201877">
      <items count="4">
        <i x="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opened" xr10:uid="{BF63B98D-BBAB-47A8-A5DD-C6991347AF79}" sourceName="reopened">
  <pivotTables>
    <pivotTable tabId="11" name="Resolution SLA Breach Rate by Priority"/>
    <pivotTable tabId="11" name="Agent Experience Band vs Resolution Time"/>
    <pivotTable tabId="11" name="Average First Response Time by Channel"/>
    <pivotTable tabId="11" name="Average Resolution Time by Issue Category"/>
    <pivotTable tabId="11" name="First Response SLA Breach Rate by Priority"/>
    <pivotTable tabId="11" name="Issue Category vs Average Satisfaction"/>
    <pivotTable tabId="11" name="Monthly Ticket Volume Trend"/>
    <pivotTable tabId="11" name="Overall First Response SLA Breach Rate"/>
    <pivotTable tabId="11" name="Overall First Response SLA Status"/>
    <pivotTable tabId="11" name="Overall Resolution SLA Breach Rate"/>
    <pivotTable tabId="11" name="Reopened Tickets vs Customer Satisfaction"/>
  </pivotTables>
  <data>
    <tabular pivotCacheId="31201877">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7CF508A0-F6C3-4787-A174-B308FF50E020}" sourceName="channel">
  <pivotTables>
    <pivotTable tabId="11" name="Resolution SLA Breach Rate by Priority"/>
    <pivotTable tabId="11" name="Agent Experience Band vs Resolution Time"/>
    <pivotTable tabId="11" name="Average First Response Time by Channel"/>
    <pivotTable tabId="11" name="Average Resolution Time by Issue Category"/>
    <pivotTable tabId="11" name="First Response SLA Breach Rate by Priority"/>
    <pivotTable tabId="11" name="Issue Category vs Average Satisfaction"/>
    <pivotTable tabId="11" name="Monthly Ticket Volume Trend"/>
    <pivotTable tabId="11" name="Overall First Response SLA Breach Rate"/>
    <pivotTable tabId="11" name="Overall First Response SLA Status"/>
    <pivotTable tabId="11" name="Overall Resolution SLA Breach Rate"/>
    <pivotTable tabId="11" name="Reopened Tickets vs Customer Satisfaction"/>
  </pivotTables>
  <data>
    <tabular pivotCacheId="31201877">
      <items count="3">
        <i x="0" s="1"/>
        <i x="1"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atisfaction" xr10:uid="{6703E489-8F45-4BC6-831D-C3CC99C788C2}" sourceName="customer_satisfaction">
  <pivotTables>
    <pivotTable tabId="11" name="Resolution SLA Breach Rate by Priority"/>
    <pivotTable tabId="11" name="Agent Experience Band vs Resolution Time"/>
    <pivotTable tabId="11" name="Average First Response Time by Channel"/>
    <pivotTable tabId="11" name="Average Resolution Time by Issue Category"/>
    <pivotTable tabId="11" name="First Response SLA Breach Rate by Priority"/>
    <pivotTable tabId="11" name="Issue Category vs Average Satisfaction"/>
    <pivotTable tabId="11" name="Monthly Ticket Volume Trend"/>
    <pivotTable tabId="11" name="Overall First Response SLA Breach Rate"/>
    <pivotTable tabId="11" name="Overall First Response SLA Status"/>
    <pivotTable tabId="11" name="Overall Resolution SLA Breach Rate"/>
    <pivotTable tabId="11" name="Reopened Tickets vs Customer Satisfaction"/>
  </pivotTables>
  <data>
    <tabular pivotCacheId="31201877">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ssue_category" xr10:uid="{D22A494F-254E-4054-8B54-D7DE69C26659}" cache="Slicer_issue_category" caption="issue_category" style="SlicerStyleDark4" rowHeight="257175"/>
  <slicer name="priority" xr10:uid="{15C1E18D-8443-4599-9BDF-904DD2B7268F}" cache="Slicer_priority" caption="priority" rowHeight="257175"/>
  <slicer name="reopened" xr10:uid="{033319D7-6C72-4F7E-9343-25F0FD80291A}" cache="Slicer_reopened" caption="reopened" rowHeight="257175"/>
  <slicer name="channel" xr10:uid="{ECECB8F6-6381-40D4-9173-D345B1B3BC70}" cache="Slicer_channel" caption="channel" rowHeight="257175"/>
  <slicer name="customer_satisfaction" xr10:uid="{006D62D0-1CB3-4167-B8F7-A2EB1E7DA89B}" cache="Slicer_customer_satisfaction" caption="customer_satisfaction"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8A78F50-AB0F-4CC6-9F26-32A1B3372D05}" name="tbl_raw_tickets" displayName="tbl_raw_tickets" ref="A1:J2801" totalsRowShown="0">
  <autoFilter ref="A1:J2801" xr:uid="{98A78F50-AB0F-4CC6-9F26-32A1B3372D05}"/>
  <tableColumns count="10">
    <tableColumn id="1" xr3:uid="{C330A1F6-0368-4406-AEAE-EB8A3434E406}" name="ticket_id"/>
    <tableColumn id="2" xr3:uid="{6715F04A-477E-477D-8B84-951017A89D42}" name="created_date" dataDxfId="24"/>
    <tableColumn id="3" xr3:uid="{DB81F899-8CC1-471A-A991-156BC09E3A98}" name="issue_category"/>
    <tableColumn id="4" xr3:uid="{B5FF7423-FA49-4A58-B968-330376B63290}" name="priority"/>
    <tableColumn id="5" xr3:uid="{68E6794A-DC18-4013-870B-746640591E10}" name="first_response_minutes"/>
    <tableColumn id="6" xr3:uid="{DFE7CBE5-2938-4E12-A8E9-AB1F54634AFA}" name="resolution_time_hours"/>
    <tableColumn id="7" xr3:uid="{4E6720DA-E0B8-4733-B451-A8D36EBF308B}" name="agent_experience_years"/>
    <tableColumn id="8" xr3:uid="{CFEE55F7-5D9B-4827-A702-83F6C1DEAD07}" name="reopened"/>
    <tableColumn id="9" xr3:uid="{6A16E4FB-5496-417C-9DB8-FA76A9D5A506}" name="channel"/>
    <tableColumn id="10" xr3:uid="{ED847036-712D-4AAC-8EF0-D69014EB5158}" name="customer_satisfactio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47E4AA0-0735-4C00-9D01-B3789FDAD5F6}" name="Data_Validation" displayName="Data_Validation" ref="A1:B14" totalsRowShown="0" headerRowDxfId="23" dataDxfId="22">
  <autoFilter ref="A1:B14" xr:uid="{047E4AA0-0735-4C00-9D01-B3789FDAD5F6}"/>
  <tableColumns count="2">
    <tableColumn id="1" xr3:uid="{82D13100-2EFD-4936-9E15-B485B5510F85}" name="Validated columns" dataDxfId="21"/>
    <tableColumn id="2" xr3:uid="{ACD6F402-8611-429C-B965-024C279214E4}" name="Values" dataDxfId="20"/>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258F1BC-8E0F-4130-ABDC-04C4953B1B7D}" name="tbl_sla" displayName="tbl_sla" ref="A1:C5" totalsRowShown="0">
  <autoFilter ref="A1:C5" xr:uid="{1258F1BC-8E0F-4130-ABDC-04C4953B1B7D}"/>
  <tableColumns count="3">
    <tableColumn id="1" xr3:uid="{57FB4D38-C99D-4A43-85C5-79DFBFA33149}" name="priority" dataDxfId="19"/>
    <tableColumn id="2" xr3:uid="{2E63D954-B360-4852-818E-A6EA19B4DF67}" name="Resolution SLA Hours" dataDxfId="18"/>
    <tableColumn id="3" xr3:uid="{E1792C9B-E0A1-4BA6-91A9-FFEC5C2D627B}" name="First Response SLA Minutes" dataDxfId="17"/>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28B004D-32D8-4697-80D5-3FEA4240BC67}" name="tbl_analysis_tickets" displayName="tbl_analysis_tickets" ref="A1:V2801" totalsRowShown="0">
  <autoFilter ref="A1:V2801" xr:uid="{B28B004D-32D8-4697-80D5-3FEA4240BC67}"/>
  <tableColumns count="22">
    <tableColumn id="1" xr3:uid="{6C76BA79-CD44-43FE-A2A5-909E925B1BB6}" name="ticket_id"/>
    <tableColumn id="2" xr3:uid="{7676140D-7968-4EAF-B413-F0DFA85BC322}" name="created_date" dataDxfId="16"/>
    <tableColumn id="3" xr3:uid="{EB2EEB7D-3CFA-4E81-A766-26C293A69222}" name="issue_category"/>
    <tableColumn id="4" xr3:uid="{103C34B4-906B-4FCB-9495-D449042C118C}" name="priority"/>
    <tableColumn id="5" xr3:uid="{968D19CA-67C8-4D40-98C8-39A4D7C3DB84}" name="first_response_minutes"/>
    <tableColumn id="6" xr3:uid="{737DEFF2-7DFA-454C-88E3-443969A64D87}" name="resolution_time_hours"/>
    <tableColumn id="7" xr3:uid="{C7838E76-0DA6-4F72-A767-DEC78B185A42}" name="agent_experience_years"/>
    <tableColumn id="8" xr3:uid="{59920170-EE6A-4D6B-9514-F1DA445EF4E7}" name="reopened"/>
    <tableColumn id="9" xr3:uid="{7A3F2403-D52A-420F-9405-D9CD62EA5177}" name="channel"/>
    <tableColumn id="10" xr3:uid="{3120AFAC-F865-437A-92AA-00051D925D2F}" name="customer_satisfaction"/>
    <tableColumn id="11" xr3:uid="{4A513F4F-341A-454E-BA17-97FB3A78C4D0}" name="Resolution SLA Hours" dataDxfId="15">
      <calculatedColumnFormula>_xlfn.XLOOKUP(tbl_analysis_tickets[[#This Row],[priority]],tbl_sla[priority],tbl_sla[Resolution SLA Hours])</calculatedColumnFormula>
    </tableColumn>
    <tableColumn id="12" xr3:uid="{E730E685-208A-492A-98F3-3190FC116E62}" name="First Response SLA Minutes" dataDxfId="14">
      <calculatedColumnFormula>_xlfn.XLOOKUP(tbl_analysis_tickets[[#This Row],[priority]],tbl_sla[priority],tbl_sla[First Response SLA Minutes])</calculatedColumnFormula>
    </tableColumn>
    <tableColumn id="13" xr3:uid="{F63003E5-2483-4B0B-AF93-EBCE5B916A08}" name="Resolution SLA Status" dataDxfId="13">
      <calculatedColumnFormula>IF(tbl_analysis_tickets[[#This Row],[resolution_time_hours]]&gt;tbl_analysis_tickets[[#This Row],[Resolution SLA Hours]],"Breached","Within SLA")</calculatedColumnFormula>
    </tableColumn>
    <tableColumn id="14" xr3:uid="{9D055321-4D8D-4595-A11A-C79E9C5D8310}" name="First Response SLA Status" dataDxfId="12">
      <calculatedColumnFormula>IF(tbl_analysis_tickets[[#This Row],[first_response_minutes]]&gt;tbl_analysis_tickets[[#This Row],[First Response SLA Minutes]],"Breached","Within SLA")</calculatedColumnFormula>
    </tableColumn>
    <tableColumn id="15" xr3:uid="{3608C5E8-03BB-4C83-83F3-BD5660F42FFA}" name="Agent Experience Band" dataDxfId="11">
      <calculatedColumnFormula array="1">_xlfn.IFS(
tbl_analysis_tickets[[#This Row],[agent_experience_years]]&lt;=2,"Junior",
tbl_analysis_tickets[[#This Row],[agent_experience_years]]&lt;=5,"Mid-Level",
tbl_analysis_tickets[[#This Row],[agent_experience_years]]&lt;=8,"Senior",
tbl_analysis_tickets[[#This Row],[agent_experience_years]]&gt;8,"Expert"
)</calculatedColumnFormula>
    </tableColumn>
    <tableColumn id="16" xr3:uid="{641ECC8F-007A-442F-AC4F-AC0F66738FFF}" name="Satisfaction Score" dataDxfId="10">
      <calculatedColumnFormula array="1">_xlfn.SWITCH(tbl_analysis_tickets[[#This Row],[customer_satisfaction]],
"Low",1,
"Medium",2,
"High",3
)</calculatedColumnFormula>
    </tableColumn>
    <tableColumn id="17" xr3:uid="{C8FE658F-B77B-4DEF-827F-1AC7E3C8C9F8}" name="Reopened Score" dataDxfId="9">
      <calculatedColumnFormula>IF(tbl_analysis_tickets[[#This Row],[reopened]]="Yes",1,0)</calculatedColumnFormula>
    </tableColumn>
    <tableColumn id="18" xr3:uid="{A2317B4C-CC1E-4F47-A986-3802D21C43D2}" name="Response Speed Category" dataDxfId="8">
      <calculatedColumnFormula array="1">_xlfn.IFS(
tbl_analysis_tickets[[#This Row],[first_response_minutes]]&lt;=30,"Very Fast",
tbl_analysis_tickets[[#This Row],[first_response_minutes]]&lt;=120,"Acceptable",
tbl_analysis_tickets[[#This Row],[first_response_minutes]]&lt;=240,"Slow",
tbl_analysis_tickets[[#This Row],[first_response_minutes]]&gt;240,"Very Slow"
)</calculatedColumnFormula>
    </tableColumn>
    <tableColumn id="19" xr3:uid="{E3A02EAC-72EA-4991-80A5-4C9C98B666C4}" name="Resolution Time Category" dataDxfId="7">
      <calculatedColumnFormula array="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calculatedColumnFormula>
    </tableColumn>
    <tableColumn id="20" xr3:uid="{EDE56834-E571-4536-884F-BFD33344C4B1}" name="Ticket Month" dataDxfId="6">
      <calculatedColumnFormula>TEXT(tbl_analysis_tickets[[#This Row],[created_date]],"mmm-yyyy")</calculatedColumnFormula>
    </tableColumn>
    <tableColumn id="21" xr3:uid="{DF011BD9-6469-451B-AD7D-534C2D0988ED}" name="Ticket Weekday" dataDxfId="5">
      <calculatedColumnFormula>TEXT(tbl_analysis_tickets[[#This Row],[created_date]],"dddd")</calculatedColumnFormula>
    </tableColumn>
    <tableColumn id="22" xr3:uid="{2339F0E3-5054-40FE-B6C7-CE1AB185E891}" name="Priority Rank" dataDxfId="4">
      <calculatedColumnFormula array="1">_xlfn.SWITCH(tbl_analysis_tickets[[#This Row],[priority]],
"Urgent",1,
"High",2,
"Medium",3,
"Low",4
)</calculatedColumnFormula>
    </tableColumn>
  </tableColumns>
  <tableStyleInfo name="TableStyleLight2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2D621C7-6ECB-4F3A-8EF3-6D96672CB614}" name="Table5" displayName="Table5" ref="L42:N50" totalsRowShown="0" dataDxfId="28">
  <autoFilter ref="L42:N50" xr:uid="{72D621C7-6ECB-4F3A-8EF3-6D96672CB614}"/>
  <tableColumns count="3">
    <tableColumn id="1" xr3:uid="{6040D4FE-7705-4974-9C91-AC2E0EC4D9AE}" name="Key Insight" dataDxfId="27"/>
    <tableColumn id="2" xr3:uid="{1056CC3B-3D23-49CC-BA46-78488DFA3804}" name="Evidence from Dashboard" dataDxfId="26"/>
    <tableColumn id="3" xr3:uid="{E07D9F4A-6969-47B2-86CA-281B3012F62F}" name="Business Meaning" dataDxfId="25"/>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B58641B-05F9-4C25-8A27-F090A137A955}" name="Table9" displayName="Table9" ref="A10:C18" totalsRowShown="0">
  <autoFilter ref="A10:C18" xr:uid="{4B58641B-05F9-4C25-8A27-F090A137A955}"/>
  <tableColumns count="3">
    <tableColumn id="1" xr3:uid="{A7B25954-13B5-4426-B2F8-7810E254A770}" name="Finding"/>
    <tableColumn id="2" xr3:uid="{145BA9B8-4F77-4B68-A518-FEAE470DC4FD}" name="Business Impact"/>
    <tableColumn id="3" xr3:uid="{7FD853AB-14C0-43E2-B0ED-119481C70AA5}" name="Recommendation"/>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9/04/relationships/namedSheetView" Target="../namedSheetViews/namedSheetView1.xml"/><Relationship Id="rId4" Type="http://schemas.microsoft.com/office/2007/relationships/slicer" Target="../slicers/slicer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E2E585-727D-4100-8198-37911E7E6303}">
  <dimension ref="A1:J2801"/>
  <sheetViews>
    <sheetView topLeftCell="A2781" workbookViewId="0">
      <selection sqref="A1:J2801"/>
    </sheetView>
  </sheetViews>
  <sheetFormatPr defaultRowHeight="15" x14ac:dyDescent="0.25"/>
  <cols>
    <col min="1" max="1" width="10.85546875" customWidth="1"/>
    <col min="2" max="2" width="14.85546875" customWidth="1"/>
    <col min="3" max="3" width="16.5703125" customWidth="1"/>
    <col min="4" max="4" width="9.7109375" customWidth="1"/>
    <col min="5" max="5" width="24.42578125" customWidth="1"/>
    <col min="6" max="6" width="23.42578125" customWidth="1"/>
    <col min="7" max="7" width="24.85546875" customWidth="1"/>
    <col min="8" max="8" width="11.85546875" customWidth="1"/>
    <col min="9" max="9" width="10.28515625" customWidth="1"/>
    <col min="10" max="10" width="23.140625" customWidth="1"/>
  </cols>
  <sheetData>
    <row r="1" spans="1:10" x14ac:dyDescent="0.25">
      <c r="A1" t="s">
        <v>0</v>
      </c>
      <c r="B1" t="s">
        <v>1</v>
      </c>
      <c r="C1" t="s">
        <v>2</v>
      </c>
      <c r="D1" t="s">
        <v>3</v>
      </c>
      <c r="E1" t="s">
        <v>4</v>
      </c>
      <c r="F1" t="s">
        <v>5</v>
      </c>
      <c r="G1" t="s">
        <v>6</v>
      </c>
      <c r="H1" t="s">
        <v>7</v>
      </c>
      <c r="I1" t="s">
        <v>8</v>
      </c>
      <c r="J1" t="s">
        <v>9</v>
      </c>
    </row>
    <row r="2" spans="1:10" x14ac:dyDescent="0.25">
      <c r="A2">
        <v>1</v>
      </c>
      <c r="B2" s="1">
        <v>45528</v>
      </c>
      <c r="C2" t="s">
        <v>10</v>
      </c>
      <c r="D2" t="s">
        <v>11</v>
      </c>
      <c r="E2">
        <v>114</v>
      </c>
      <c r="F2">
        <v>62</v>
      </c>
      <c r="G2">
        <v>6</v>
      </c>
      <c r="H2" t="s">
        <v>12</v>
      </c>
      <c r="I2" t="s">
        <v>13</v>
      </c>
      <c r="J2" t="s">
        <v>11</v>
      </c>
    </row>
    <row r="3" spans="1:10" x14ac:dyDescent="0.25">
      <c r="A3">
        <v>2</v>
      </c>
      <c r="B3" s="1">
        <v>45419</v>
      </c>
      <c r="C3" t="s">
        <v>14</v>
      </c>
      <c r="D3" t="s">
        <v>15</v>
      </c>
      <c r="E3">
        <v>13</v>
      </c>
      <c r="F3">
        <v>67</v>
      </c>
      <c r="G3">
        <v>5.2</v>
      </c>
      <c r="H3" t="s">
        <v>12</v>
      </c>
      <c r="I3" t="s">
        <v>16</v>
      </c>
      <c r="J3" t="s">
        <v>15</v>
      </c>
    </row>
    <row r="4" spans="1:10" x14ac:dyDescent="0.25">
      <c r="A4">
        <v>3</v>
      </c>
      <c r="B4" s="1">
        <v>45507</v>
      </c>
      <c r="C4" t="s">
        <v>14</v>
      </c>
      <c r="D4" t="s">
        <v>17</v>
      </c>
      <c r="E4">
        <v>225</v>
      </c>
      <c r="F4">
        <v>18</v>
      </c>
      <c r="G4">
        <v>6.2</v>
      </c>
      <c r="H4" t="s">
        <v>18</v>
      </c>
      <c r="I4" t="s">
        <v>19</v>
      </c>
      <c r="J4" t="s">
        <v>11</v>
      </c>
    </row>
    <row r="5" spans="1:10" x14ac:dyDescent="0.25">
      <c r="A5">
        <v>4</v>
      </c>
      <c r="B5" s="1">
        <v>45360</v>
      </c>
      <c r="C5" t="s">
        <v>10</v>
      </c>
      <c r="D5" t="s">
        <v>20</v>
      </c>
      <c r="E5">
        <v>121</v>
      </c>
      <c r="F5">
        <v>23</v>
      </c>
      <c r="G5">
        <v>7</v>
      </c>
      <c r="H5" t="s">
        <v>18</v>
      </c>
      <c r="I5" t="s">
        <v>16</v>
      </c>
      <c r="J5" t="s">
        <v>11</v>
      </c>
    </row>
    <row r="6" spans="1:10" x14ac:dyDescent="0.25">
      <c r="A6">
        <v>5</v>
      </c>
      <c r="B6" s="1">
        <v>45412</v>
      </c>
      <c r="C6" t="s">
        <v>21</v>
      </c>
      <c r="D6" t="s">
        <v>17</v>
      </c>
      <c r="E6">
        <v>162</v>
      </c>
      <c r="F6">
        <v>49</v>
      </c>
      <c r="G6">
        <v>0.9</v>
      </c>
      <c r="H6" t="s">
        <v>12</v>
      </c>
      <c r="I6" t="s">
        <v>16</v>
      </c>
      <c r="J6" t="s">
        <v>11</v>
      </c>
    </row>
    <row r="7" spans="1:10" x14ac:dyDescent="0.25">
      <c r="A7">
        <v>6</v>
      </c>
      <c r="B7" s="1">
        <v>45452</v>
      </c>
      <c r="C7" t="s">
        <v>22</v>
      </c>
      <c r="D7" t="s">
        <v>20</v>
      </c>
      <c r="E7">
        <v>142</v>
      </c>
      <c r="F7">
        <v>47</v>
      </c>
      <c r="G7">
        <v>7.8</v>
      </c>
      <c r="H7" t="s">
        <v>12</v>
      </c>
      <c r="I7" t="s">
        <v>13</v>
      </c>
      <c r="J7" t="s">
        <v>11</v>
      </c>
    </row>
    <row r="8" spans="1:10" x14ac:dyDescent="0.25">
      <c r="A8">
        <v>7</v>
      </c>
      <c r="B8" s="1">
        <v>45548</v>
      </c>
      <c r="C8" t="s">
        <v>21</v>
      </c>
      <c r="D8" t="s">
        <v>17</v>
      </c>
      <c r="E8">
        <v>125</v>
      </c>
      <c r="F8">
        <v>9</v>
      </c>
      <c r="G8">
        <v>6.7</v>
      </c>
      <c r="H8" t="s">
        <v>18</v>
      </c>
      <c r="I8" t="s">
        <v>16</v>
      </c>
      <c r="J8" t="s">
        <v>11</v>
      </c>
    </row>
    <row r="9" spans="1:10" x14ac:dyDescent="0.25">
      <c r="A9">
        <v>8</v>
      </c>
      <c r="B9" s="1">
        <v>45602</v>
      </c>
      <c r="C9" t="s">
        <v>23</v>
      </c>
      <c r="D9" t="s">
        <v>17</v>
      </c>
      <c r="E9">
        <v>66</v>
      </c>
      <c r="F9">
        <v>5</v>
      </c>
      <c r="G9">
        <v>0.8</v>
      </c>
      <c r="H9" t="s">
        <v>18</v>
      </c>
      <c r="I9" t="s">
        <v>19</v>
      </c>
      <c r="J9" t="s">
        <v>15</v>
      </c>
    </row>
    <row r="10" spans="1:10" x14ac:dyDescent="0.25">
      <c r="A10">
        <v>9</v>
      </c>
      <c r="B10" s="1">
        <v>45599</v>
      </c>
      <c r="C10" t="s">
        <v>21</v>
      </c>
      <c r="D10" t="s">
        <v>11</v>
      </c>
      <c r="E10">
        <v>43</v>
      </c>
      <c r="F10">
        <v>50</v>
      </c>
      <c r="G10">
        <v>5.9</v>
      </c>
      <c r="H10" t="s">
        <v>18</v>
      </c>
      <c r="I10" t="s">
        <v>16</v>
      </c>
      <c r="J10" t="s">
        <v>15</v>
      </c>
    </row>
    <row r="11" spans="1:10" x14ac:dyDescent="0.25">
      <c r="A11">
        <v>10</v>
      </c>
      <c r="B11" s="1">
        <v>45470</v>
      </c>
      <c r="C11" t="s">
        <v>10</v>
      </c>
      <c r="D11" t="s">
        <v>11</v>
      </c>
      <c r="E11">
        <v>118</v>
      </c>
      <c r="F11">
        <v>22</v>
      </c>
      <c r="G11">
        <v>9.8000000000000007</v>
      </c>
      <c r="H11" t="s">
        <v>12</v>
      </c>
      <c r="I11" t="s">
        <v>13</v>
      </c>
      <c r="J11" t="s">
        <v>11</v>
      </c>
    </row>
    <row r="12" spans="1:10" x14ac:dyDescent="0.25">
      <c r="A12">
        <v>11</v>
      </c>
      <c r="B12" s="1">
        <v>45353</v>
      </c>
      <c r="C12" t="s">
        <v>14</v>
      </c>
      <c r="D12" t="s">
        <v>17</v>
      </c>
      <c r="E12">
        <v>67</v>
      </c>
      <c r="F12">
        <v>36</v>
      </c>
      <c r="G12">
        <v>1.9</v>
      </c>
      <c r="H12" t="s">
        <v>12</v>
      </c>
      <c r="I12" t="s">
        <v>13</v>
      </c>
      <c r="J12" t="s">
        <v>11</v>
      </c>
    </row>
    <row r="13" spans="1:10" x14ac:dyDescent="0.25">
      <c r="A13">
        <v>12</v>
      </c>
      <c r="B13" s="1">
        <v>45469</v>
      </c>
      <c r="C13" t="s">
        <v>14</v>
      </c>
      <c r="D13" t="s">
        <v>20</v>
      </c>
      <c r="E13">
        <v>47</v>
      </c>
      <c r="F13">
        <v>23</v>
      </c>
      <c r="G13">
        <v>7.9</v>
      </c>
      <c r="H13" t="s">
        <v>18</v>
      </c>
      <c r="I13" t="s">
        <v>13</v>
      </c>
      <c r="J13" t="s">
        <v>11</v>
      </c>
    </row>
    <row r="14" spans="1:10" x14ac:dyDescent="0.25">
      <c r="A14">
        <v>13</v>
      </c>
      <c r="B14" s="1">
        <v>45455</v>
      </c>
      <c r="C14" t="s">
        <v>21</v>
      </c>
      <c r="D14" t="s">
        <v>15</v>
      </c>
      <c r="E14">
        <v>6</v>
      </c>
      <c r="F14">
        <v>70</v>
      </c>
      <c r="G14">
        <v>7.3</v>
      </c>
      <c r="H14" t="s">
        <v>18</v>
      </c>
      <c r="I14" t="s">
        <v>16</v>
      </c>
      <c r="J14" t="s">
        <v>20</v>
      </c>
    </row>
    <row r="15" spans="1:10" x14ac:dyDescent="0.25">
      <c r="A15">
        <v>14</v>
      </c>
      <c r="B15" s="1">
        <v>45545</v>
      </c>
      <c r="C15" t="s">
        <v>21</v>
      </c>
      <c r="D15" t="s">
        <v>20</v>
      </c>
      <c r="E15">
        <v>119</v>
      </c>
      <c r="F15">
        <v>52</v>
      </c>
      <c r="G15">
        <v>6</v>
      </c>
      <c r="H15" t="s">
        <v>18</v>
      </c>
      <c r="I15" t="s">
        <v>19</v>
      </c>
      <c r="J15" t="s">
        <v>11</v>
      </c>
    </row>
    <row r="16" spans="1:10" x14ac:dyDescent="0.25">
      <c r="A16">
        <v>15</v>
      </c>
      <c r="B16" s="1">
        <v>45377</v>
      </c>
      <c r="C16" t="s">
        <v>10</v>
      </c>
      <c r="D16" t="s">
        <v>20</v>
      </c>
      <c r="E16">
        <v>138</v>
      </c>
      <c r="F16">
        <v>62</v>
      </c>
      <c r="G16">
        <v>6.2</v>
      </c>
      <c r="H16" t="s">
        <v>12</v>
      </c>
      <c r="I16" t="s">
        <v>19</v>
      </c>
      <c r="J16" t="s">
        <v>11</v>
      </c>
    </row>
    <row r="17" spans="1:10" x14ac:dyDescent="0.25">
      <c r="A17">
        <v>16</v>
      </c>
      <c r="B17" s="1">
        <v>45567</v>
      </c>
      <c r="C17" t="s">
        <v>10</v>
      </c>
      <c r="D17" t="s">
        <v>17</v>
      </c>
      <c r="E17">
        <v>234</v>
      </c>
      <c r="F17">
        <v>52</v>
      </c>
      <c r="G17">
        <v>1.8</v>
      </c>
      <c r="H17" t="s">
        <v>18</v>
      </c>
      <c r="I17" t="s">
        <v>13</v>
      </c>
      <c r="J17" t="s">
        <v>11</v>
      </c>
    </row>
    <row r="18" spans="1:10" x14ac:dyDescent="0.25">
      <c r="A18">
        <v>17</v>
      </c>
      <c r="B18" s="1">
        <v>45310</v>
      </c>
      <c r="C18" t="s">
        <v>23</v>
      </c>
      <c r="D18" t="s">
        <v>15</v>
      </c>
      <c r="E18">
        <v>148</v>
      </c>
      <c r="F18">
        <v>57</v>
      </c>
      <c r="G18">
        <v>1.4</v>
      </c>
      <c r="H18" t="s">
        <v>18</v>
      </c>
      <c r="I18" t="s">
        <v>13</v>
      </c>
      <c r="J18" t="s">
        <v>11</v>
      </c>
    </row>
    <row r="19" spans="1:10" x14ac:dyDescent="0.25">
      <c r="A19">
        <v>18</v>
      </c>
      <c r="B19" s="1">
        <v>45603</v>
      </c>
      <c r="C19" t="s">
        <v>10</v>
      </c>
      <c r="D19" t="s">
        <v>11</v>
      </c>
      <c r="E19">
        <v>17</v>
      </c>
      <c r="F19">
        <v>45</v>
      </c>
      <c r="G19">
        <v>1.4</v>
      </c>
      <c r="H19" t="s">
        <v>12</v>
      </c>
      <c r="I19" t="s">
        <v>13</v>
      </c>
      <c r="J19" t="s">
        <v>15</v>
      </c>
    </row>
    <row r="20" spans="1:10" x14ac:dyDescent="0.25">
      <c r="A20">
        <v>19</v>
      </c>
      <c r="B20" s="1">
        <v>45467</v>
      </c>
      <c r="C20" t="s">
        <v>14</v>
      </c>
      <c r="D20" t="s">
        <v>15</v>
      </c>
      <c r="E20">
        <v>122</v>
      </c>
      <c r="F20">
        <v>56</v>
      </c>
      <c r="G20">
        <v>7.9</v>
      </c>
      <c r="H20" t="s">
        <v>18</v>
      </c>
      <c r="I20" t="s">
        <v>19</v>
      </c>
      <c r="J20" t="s">
        <v>15</v>
      </c>
    </row>
    <row r="21" spans="1:10" x14ac:dyDescent="0.25">
      <c r="A21">
        <v>20</v>
      </c>
      <c r="B21" s="1">
        <v>45413</v>
      </c>
      <c r="C21" t="s">
        <v>14</v>
      </c>
      <c r="D21" t="s">
        <v>17</v>
      </c>
      <c r="E21">
        <v>113</v>
      </c>
      <c r="F21">
        <v>43</v>
      </c>
      <c r="G21">
        <v>6.7</v>
      </c>
      <c r="H21" t="s">
        <v>12</v>
      </c>
      <c r="I21" t="s">
        <v>19</v>
      </c>
      <c r="J21" t="s">
        <v>11</v>
      </c>
    </row>
    <row r="22" spans="1:10" x14ac:dyDescent="0.25">
      <c r="A22">
        <v>21</v>
      </c>
      <c r="B22" s="1">
        <v>45304</v>
      </c>
      <c r="C22" t="s">
        <v>23</v>
      </c>
      <c r="D22" t="s">
        <v>11</v>
      </c>
      <c r="E22">
        <v>180</v>
      </c>
      <c r="F22">
        <v>26</v>
      </c>
      <c r="G22">
        <v>6.6</v>
      </c>
      <c r="H22" t="s">
        <v>18</v>
      </c>
      <c r="I22" t="s">
        <v>13</v>
      </c>
      <c r="J22" t="s">
        <v>15</v>
      </c>
    </row>
    <row r="23" spans="1:10" x14ac:dyDescent="0.25">
      <c r="A23">
        <v>22</v>
      </c>
      <c r="B23" s="1">
        <v>45315</v>
      </c>
      <c r="C23" t="s">
        <v>22</v>
      </c>
      <c r="D23" t="s">
        <v>17</v>
      </c>
      <c r="E23">
        <v>222</v>
      </c>
      <c r="F23">
        <v>32</v>
      </c>
      <c r="G23">
        <v>7.3</v>
      </c>
      <c r="H23" t="s">
        <v>12</v>
      </c>
      <c r="I23" t="s">
        <v>19</v>
      </c>
      <c r="J23" t="s">
        <v>11</v>
      </c>
    </row>
    <row r="24" spans="1:10" x14ac:dyDescent="0.25">
      <c r="A24">
        <v>23</v>
      </c>
      <c r="B24" s="1">
        <v>45364</v>
      </c>
      <c r="C24" t="s">
        <v>14</v>
      </c>
      <c r="D24" t="s">
        <v>11</v>
      </c>
      <c r="E24">
        <v>214</v>
      </c>
      <c r="F24">
        <v>37</v>
      </c>
      <c r="G24">
        <v>2</v>
      </c>
      <c r="H24" t="s">
        <v>18</v>
      </c>
      <c r="I24" t="s">
        <v>19</v>
      </c>
      <c r="J24" t="s">
        <v>11</v>
      </c>
    </row>
    <row r="25" spans="1:10" x14ac:dyDescent="0.25">
      <c r="A25">
        <v>24</v>
      </c>
      <c r="B25" s="1">
        <v>45332</v>
      </c>
      <c r="C25" t="s">
        <v>22</v>
      </c>
      <c r="D25" t="s">
        <v>17</v>
      </c>
      <c r="E25">
        <v>240</v>
      </c>
      <c r="F25">
        <v>25</v>
      </c>
      <c r="G25">
        <v>9.9</v>
      </c>
      <c r="H25" t="s">
        <v>12</v>
      </c>
      <c r="I25" t="s">
        <v>16</v>
      </c>
      <c r="J25" t="s">
        <v>11</v>
      </c>
    </row>
    <row r="26" spans="1:10" x14ac:dyDescent="0.25">
      <c r="A26">
        <v>25</v>
      </c>
      <c r="B26" s="1">
        <v>45529</v>
      </c>
      <c r="C26" t="s">
        <v>22</v>
      </c>
      <c r="D26" t="s">
        <v>17</v>
      </c>
      <c r="E26">
        <v>58</v>
      </c>
      <c r="F26">
        <v>13</v>
      </c>
      <c r="G26">
        <v>7</v>
      </c>
      <c r="H26" t="s">
        <v>18</v>
      </c>
      <c r="I26" t="s">
        <v>19</v>
      </c>
      <c r="J26" t="s">
        <v>11</v>
      </c>
    </row>
    <row r="27" spans="1:10" x14ac:dyDescent="0.25">
      <c r="A27">
        <v>26</v>
      </c>
      <c r="B27" s="1">
        <v>45351</v>
      </c>
      <c r="C27" t="s">
        <v>23</v>
      </c>
      <c r="D27" t="s">
        <v>17</v>
      </c>
      <c r="E27">
        <v>119</v>
      </c>
      <c r="F27">
        <v>72</v>
      </c>
      <c r="G27">
        <v>2.5</v>
      </c>
      <c r="H27" t="s">
        <v>18</v>
      </c>
      <c r="I27" t="s">
        <v>16</v>
      </c>
      <c r="J27" t="s">
        <v>11</v>
      </c>
    </row>
    <row r="28" spans="1:10" x14ac:dyDescent="0.25">
      <c r="A28">
        <v>27</v>
      </c>
      <c r="B28" s="1">
        <v>45327</v>
      </c>
      <c r="C28" t="s">
        <v>10</v>
      </c>
      <c r="D28" t="s">
        <v>17</v>
      </c>
      <c r="E28">
        <v>161</v>
      </c>
      <c r="F28">
        <v>53</v>
      </c>
      <c r="G28">
        <v>8.8000000000000007</v>
      </c>
      <c r="H28" t="s">
        <v>12</v>
      </c>
      <c r="I28" t="s">
        <v>16</v>
      </c>
      <c r="J28" t="s">
        <v>11</v>
      </c>
    </row>
    <row r="29" spans="1:10" x14ac:dyDescent="0.25">
      <c r="A29">
        <v>28</v>
      </c>
      <c r="B29" s="1">
        <v>45391</v>
      </c>
      <c r="C29" t="s">
        <v>14</v>
      </c>
      <c r="D29" t="s">
        <v>11</v>
      </c>
      <c r="E29">
        <v>94</v>
      </c>
      <c r="F29">
        <v>33</v>
      </c>
      <c r="G29">
        <v>3.9</v>
      </c>
      <c r="H29" t="s">
        <v>18</v>
      </c>
      <c r="I29" t="s">
        <v>13</v>
      </c>
      <c r="J29" t="s">
        <v>11</v>
      </c>
    </row>
    <row r="30" spans="1:10" x14ac:dyDescent="0.25">
      <c r="A30">
        <v>29</v>
      </c>
      <c r="B30" s="1">
        <v>45499</v>
      </c>
      <c r="C30" t="s">
        <v>10</v>
      </c>
      <c r="D30" t="s">
        <v>20</v>
      </c>
      <c r="E30">
        <v>134</v>
      </c>
      <c r="F30">
        <v>64</v>
      </c>
      <c r="G30">
        <v>5.3</v>
      </c>
      <c r="H30" t="s">
        <v>18</v>
      </c>
      <c r="I30" t="s">
        <v>19</v>
      </c>
      <c r="J30" t="s">
        <v>11</v>
      </c>
    </row>
    <row r="31" spans="1:10" x14ac:dyDescent="0.25">
      <c r="A31">
        <v>30</v>
      </c>
      <c r="B31" s="1">
        <v>45536</v>
      </c>
      <c r="C31" t="s">
        <v>22</v>
      </c>
      <c r="D31" t="s">
        <v>20</v>
      </c>
      <c r="E31">
        <v>94</v>
      </c>
      <c r="F31">
        <v>36</v>
      </c>
      <c r="G31">
        <v>5.0999999999999996</v>
      </c>
      <c r="H31" t="s">
        <v>18</v>
      </c>
      <c r="I31" t="s">
        <v>13</v>
      </c>
      <c r="J31" t="s">
        <v>11</v>
      </c>
    </row>
    <row r="32" spans="1:10" x14ac:dyDescent="0.25">
      <c r="A32">
        <v>31</v>
      </c>
      <c r="B32" s="1">
        <v>45378</v>
      </c>
      <c r="C32" t="s">
        <v>22</v>
      </c>
      <c r="D32" t="s">
        <v>11</v>
      </c>
      <c r="E32">
        <v>181</v>
      </c>
      <c r="F32">
        <v>70</v>
      </c>
      <c r="G32">
        <v>7.3</v>
      </c>
      <c r="H32" t="s">
        <v>18</v>
      </c>
      <c r="I32" t="s">
        <v>13</v>
      </c>
      <c r="J32" t="s">
        <v>15</v>
      </c>
    </row>
    <row r="33" spans="1:10" x14ac:dyDescent="0.25">
      <c r="A33">
        <v>32</v>
      </c>
      <c r="B33" s="1">
        <v>45625</v>
      </c>
      <c r="C33" t="s">
        <v>14</v>
      </c>
      <c r="D33" t="s">
        <v>11</v>
      </c>
      <c r="E33">
        <v>157</v>
      </c>
      <c r="F33">
        <v>40</v>
      </c>
      <c r="G33">
        <v>0.7</v>
      </c>
      <c r="H33" t="s">
        <v>18</v>
      </c>
      <c r="I33" t="s">
        <v>16</v>
      </c>
      <c r="J33" t="s">
        <v>11</v>
      </c>
    </row>
    <row r="34" spans="1:10" x14ac:dyDescent="0.25">
      <c r="A34">
        <v>33</v>
      </c>
      <c r="B34" s="1">
        <v>45415</v>
      </c>
      <c r="C34" t="s">
        <v>21</v>
      </c>
      <c r="D34" t="s">
        <v>17</v>
      </c>
      <c r="E34">
        <v>161</v>
      </c>
      <c r="F34">
        <v>48</v>
      </c>
      <c r="G34">
        <v>3.2</v>
      </c>
      <c r="H34" t="s">
        <v>12</v>
      </c>
      <c r="I34" t="s">
        <v>13</v>
      </c>
      <c r="J34" t="s">
        <v>11</v>
      </c>
    </row>
    <row r="35" spans="1:10" x14ac:dyDescent="0.25">
      <c r="A35">
        <v>34</v>
      </c>
      <c r="B35" s="1">
        <v>45507</v>
      </c>
      <c r="C35" t="s">
        <v>21</v>
      </c>
      <c r="D35" t="s">
        <v>11</v>
      </c>
      <c r="E35">
        <v>147</v>
      </c>
      <c r="F35">
        <v>7</v>
      </c>
      <c r="G35">
        <v>2.6</v>
      </c>
      <c r="H35" t="s">
        <v>12</v>
      </c>
      <c r="I35" t="s">
        <v>19</v>
      </c>
      <c r="J35" t="s">
        <v>11</v>
      </c>
    </row>
    <row r="36" spans="1:10" x14ac:dyDescent="0.25">
      <c r="A36">
        <v>35</v>
      </c>
      <c r="B36" s="1">
        <v>45586</v>
      </c>
      <c r="C36" t="s">
        <v>21</v>
      </c>
      <c r="D36" t="s">
        <v>17</v>
      </c>
      <c r="E36">
        <v>239</v>
      </c>
      <c r="F36">
        <v>3</v>
      </c>
      <c r="G36">
        <v>4.2</v>
      </c>
      <c r="H36" t="s">
        <v>18</v>
      </c>
      <c r="I36" t="s">
        <v>19</v>
      </c>
      <c r="J36" t="s">
        <v>15</v>
      </c>
    </row>
    <row r="37" spans="1:10" x14ac:dyDescent="0.25">
      <c r="A37">
        <v>36</v>
      </c>
      <c r="B37" s="1">
        <v>45310</v>
      </c>
      <c r="C37" t="s">
        <v>22</v>
      </c>
      <c r="D37" t="s">
        <v>20</v>
      </c>
      <c r="E37">
        <v>227</v>
      </c>
      <c r="F37">
        <v>7</v>
      </c>
      <c r="G37">
        <v>6.7</v>
      </c>
      <c r="H37" t="s">
        <v>12</v>
      </c>
      <c r="I37" t="s">
        <v>13</v>
      </c>
      <c r="J37" t="s">
        <v>11</v>
      </c>
    </row>
    <row r="38" spans="1:10" x14ac:dyDescent="0.25">
      <c r="A38">
        <v>37</v>
      </c>
      <c r="B38" s="1">
        <v>45602</v>
      </c>
      <c r="C38" t="s">
        <v>14</v>
      </c>
      <c r="D38" t="s">
        <v>17</v>
      </c>
      <c r="E38">
        <v>88</v>
      </c>
      <c r="F38">
        <v>22</v>
      </c>
      <c r="G38">
        <v>7.8</v>
      </c>
      <c r="H38" t="s">
        <v>12</v>
      </c>
      <c r="I38" t="s">
        <v>16</v>
      </c>
      <c r="J38" t="s">
        <v>11</v>
      </c>
    </row>
    <row r="39" spans="1:10" x14ac:dyDescent="0.25">
      <c r="A39">
        <v>38</v>
      </c>
      <c r="B39" s="1">
        <v>45337</v>
      </c>
      <c r="C39" t="s">
        <v>10</v>
      </c>
      <c r="D39" t="s">
        <v>11</v>
      </c>
      <c r="E39">
        <v>190</v>
      </c>
      <c r="F39">
        <v>69</v>
      </c>
      <c r="G39">
        <v>5.4</v>
      </c>
      <c r="H39" t="s">
        <v>18</v>
      </c>
      <c r="I39" t="s">
        <v>13</v>
      </c>
      <c r="J39" t="s">
        <v>15</v>
      </c>
    </row>
    <row r="40" spans="1:10" x14ac:dyDescent="0.25">
      <c r="A40">
        <v>39</v>
      </c>
      <c r="B40" s="1">
        <v>45653</v>
      </c>
      <c r="C40" t="s">
        <v>10</v>
      </c>
      <c r="D40" t="s">
        <v>20</v>
      </c>
      <c r="E40">
        <v>20</v>
      </c>
      <c r="F40">
        <v>19</v>
      </c>
      <c r="G40">
        <v>9.3000000000000007</v>
      </c>
      <c r="H40" t="s">
        <v>18</v>
      </c>
      <c r="I40" t="s">
        <v>19</v>
      </c>
      <c r="J40" t="s">
        <v>15</v>
      </c>
    </row>
    <row r="41" spans="1:10" x14ac:dyDescent="0.25">
      <c r="A41">
        <v>40</v>
      </c>
      <c r="B41" s="1">
        <v>45473</v>
      </c>
      <c r="C41" t="s">
        <v>10</v>
      </c>
      <c r="D41" t="s">
        <v>17</v>
      </c>
      <c r="E41">
        <v>189</v>
      </c>
      <c r="F41">
        <v>57</v>
      </c>
      <c r="G41">
        <v>9.9</v>
      </c>
      <c r="H41" t="s">
        <v>12</v>
      </c>
      <c r="I41" t="s">
        <v>13</v>
      </c>
      <c r="J41" t="s">
        <v>11</v>
      </c>
    </row>
    <row r="42" spans="1:10" x14ac:dyDescent="0.25">
      <c r="A42">
        <v>41</v>
      </c>
      <c r="B42" s="1">
        <v>45313</v>
      </c>
      <c r="C42" t="s">
        <v>21</v>
      </c>
      <c r="D42" t="s">
        <v>17</v>
      </c>
      <c r="E42">
        <v>104</v>
      </c>
      <c r="F42">
        <v>25</v>
      </c>
      <c r="G42">
        <v>1.4</v>
      </c>
      <c r="H42" t="s">
        <v>12</v>
      </c>
      <c r="I42" t="s">
        <v>19</v>
      </c>
      <c r="J42" t="s">
        <v>11</v>
      </c>
    </row>
    <row r="43" spans="1:10" x14ac:dyDescent="0.25">
      <c r="A43">
        <v>42</v>
      </c>
      <c r="B43" s="1">
        <v>45578</v>
      </c>
      <c r="C43" t="s">
        <v>10</v>
      </c>
      <c r="D43" t="s">
        <v>15</v>
      </c>
      <c r="E43">
        <v>150</v>
      </c>
      <c r="F43">
        <v>55</v>
      </c>
      <c r="G43">
        <v>9.8000000000000007</v>
      </c>
      <c r="H43" t="s">
        <v>18</v>
      </c>
      <c r="I43" t="s">
        <v>16</v>
      </c>
      <c r="J43" t="s">
        <v>15</v>
      </c>
    </row>
    <row r="44" spans="1:10" x14ac:dyDescent="0.25">
      <c r="A44">
        <v>43</v>
      </c>
      <c r="B44" s="1">
        <v>45317</v>
      </c>
      <c r="C44" t="s">
        <v>22</v>
      </c>
      <c r="D44" t="s">
        <v>11</v>
      </c>
      <c r="E44">
        <v>47</v>
      </c>
      <c r="F44">
        <v>40</v>
      </c>
      <c r="G44">
        <v>9.6</v>
      </c>
      <c r="H44" t="s">
        <v>12</v>
      </c>
      <c r="I44" t="s">
        <v>16</v>
      </c>
      <c r="J44" t="s">
        <v>11</v>
      </c>
    </row>
    <row r="45" spans="1:10" x14ac:dyDescent="0.25">
      <c r="A45">
        <v>44</v>
      </c>
      <c r="B45" s="1">
        <v>45313</v>
      </c>
      <c r="C45" t="s">
        <v>10</v>
      </c>
      <c r="D45" t="s">
        <v>11</v>
      </c>
      <c r="E45">
        <v>167</v>
      </c>
      <c r="F45">
        <v>47</v>
      </c>
      <c r="G45">
        <v>8.4</v>
      </c>
      <c r="H45" t="s">
        <v>18</v>
      </c>
      <c r="I45" t="s">
        <v>19</v>
      </c>
      <c r="J45" t="s">
        <v>15</v>
      </c>
    </row>
    <row r="46" spans="1:10" x14ac:dyDescent="0.25">
      <c r="A46">
        <v>45</v>
      </c>
      <c r="B46" s="1">
        <v>45375</v>
      </c>
      <c r="C46" t="s">
        <v>21</v>
      </c>
      <c r="D46" t="s">
        <v>17</v>
      </c>
      <c r="E46">
        <v>24</v>
      </c>
      <c r="F46">
        <v>45</v>
      </c>
      <c r="G46">
        <v>7.7</v>
      </c>
      <c r="H46" t="s">
        <v>18</v>
      </c>
      <c r="I46" t="s">
        <v>13</v>
      </c>
      <c r="J46" t="s">
        <v>15</v>
      </c>
    </row>
    <row r="47" spans="1:10" x14ac:dyDescent="0.25">
      <c r="A47">
        <v>46</v>
      </c>
      <c r="B47" s="1">
        <v>45382</v>
      </c>
      <c r="C47" t="s">
        <v>22</v>
      </c>
      <c r="D47" t="s">
        <v>17</v>
      </c>
      <c r="E47">
        <v>203</v>
      </c>
      <c r="F47">
        <v>43</v>
      </c>
      <c r="G47">
        <v>8.8000000000000007</v>
      </c>
      <c r="H47" t="s">
        <v>12</v>
      </c>
      <c r="I47" t="s">
        <v>19</v>
      </c>
      <c r="J47" t="s">
        <v>11</v>
      </c>
    </row>
    <row r="48" spans="1:10" x14ac:dyDescent="0.25">
      <c r="A48">
        <v>47</v>
      </c>
      <c r="B48" s="1">
        <v>45340</v>
      </c>
      <c r="C48" t="s">
        <v>10</v>
      </c>
      <c r="D48" t="s">
        <v>17</v>
      </c>
      <c r="E48">
        <v>44</v>
      </c>
      <c r="F48">
        <v>66</v>
      </c>
      <c r="G48">
        <v>6.6</v>
      </c>
      <c r="H48" t="s">
        <v>18</v>
      </c>
      <c r="I48" t="s">
        <v>16</v>
      </c>
      <c r="J48" t="s">
        <v>11</v>
      </c>
    </row>
    <row r="49" spans="1:10" x14ac:dyDescent="0.25">
      <c r="A49">
        <v>48</v>
      </c>
      <c r="B49" s="1">
        <v>45440</v>
      </c>
      <c r="C49" t="s">
        <v>22</v>
      </c>
      <c r="D49" t="s">
        <v>15</v>
      </c>
      <c r="E49">
        <v>32</v>
      </c>
      <c r="F49">
        <v>55</v>
      </c>
      <c r="G49">
        <v>7.4</v>
      </c>
      <c r="H49" t="s">
        <v>18</v>
      </c>
      <c r="I49" t="s">
        <v>19</v>
      </c>
      <c r="J49" t="s">
        <v>15</v>
      </c>
    </row>
    <row r="50" spans="1:10" x14ac:dyDescent="0.25">
      <c r="A50">
        <v>49</v>
      </c>
      <c r="B50" s="1">
        <v>45564</v>
      </c>
      <c r="C50" t="s">
        <v>14</v>
      </c>
      <c r="D50" t="s">
        <v>11</v>
      </c>
      <c r="E50">
        <v>93</v>
      </c>
      <c r="F50">
        <v>67</v>
      </c>
      <c r="G50">
        <v>6.4</v>
      </c>
      <c r="H50" t="s">
        <v>12</v>
      </c>
      <c r="I50" t="s">
        <v>16</v>
      </c>
      <c r="J50" t="s">
        <v>11</v>
      </c>
    </row>
    <row r="51" spans="1:10" x14ac:dyDescent="0.25">
      <c r="A51">
        <v>50</v>
      </c>
      <c r="B51" s="1">
        <v>45553</v>
      </c>
      <c r="C51" t="s">
        <v>10</v>
      </c>
      <c r="D51" t="s">
        <v>15</v>
      </c>
      <c r="E51">
        <v>178</v>
      </c>
      <c r="F51">
        <v>50</v>
      </c>
      <c r="G51">
        <v>7.1</v>
      </c>
      <c r="H51" t="s">
        <v>12</v>
      </c>
      <c r="I51" t="s">
        <v>16</v>
      </c>
      <c r="J51" t="s">
        <v>11</v>
      </c>
    </row>
    <row r="52" spans="1:10" x14ac:dyDescent="0.25">
      <c r="A52">
        <v>51</v>
      </c>
      <c r="B52" s="1">
        <v>45388</v>
      </c>
      <c r="C52" t="s">
        <v>22</v>
      </c>
      <c r="D52" t="s">
        <v>17</v>
      </c>
      <c r="E52">
        <v>154</v>
      </c>
      <c r="F52">
        <v>28</v>
      </c>
      <c r="G52">
        <v>3.2</v>
      </c>
      <c r="H52" t="s">
        <v>12</v>
      </c>
      <c r="I52" t="s">
        <v>19</v>
      </c>
      <c r="J52" t="s">
        <v>11</v>
      </c>
    </row>
    <row r="53" spans="1:10" x14ac:dyDescent="0.25">
      <c r="A53">
        <v>52</v>
      </c>
      <c r="B53" s="1">
        <v>45626</v>
      </c>
      <c r="C53" t="s">
        <v>10</v>
      </c>
      <c r="D53" t="s">
        <v>11</v>
      </c>
      <c r="E53">
        <v>24</v>
      </c>
      <c r="F53">
        <v>52</v>
      </c>
      <c r="G53">
        <v>8.1999999999999993</v>
      </c>
      <c r="H53" t="s">
        <v>12</v>
      </c>
      <c r="I53" t="s">
        <v>13</v>
      </c>
      <c r="J53" t="s">
        <v>15</v>
      </c>
    </row>
    <row r="54" spans="1:10" x14ac:dyDescent="0.25">
      <c r="A54">
        <v>53</v>
      </c>
      <c r="B54" s="1">
        <v>45379</v>
      </c>
      <c r="C54" t="s">
        <v>23</v>
      </c>
      <c r="D54" t="s">
        <v>15</v>
      </c>
      <c r="E54">
        <v>191</v>
      </c>
      <c r="F54">
        <v>7</v>
      </c>
      <c r="G54">
        <v>3.9</v>
      </c>
      <c r="H54" t="s">
        <v>18</v>
      </c>
      <c r="I54" t="s">
        <v>16</v>
      </c>
      <c r="J54" t="s">
        <v>11</v>
      </c>
    </row>
    <row r="55" spans="1:10" x14ac:dyDescent="0.25">
      <c r="A55">
        <v>54</v>
      </c>
      <c r="B55" s="1">
        <v>45489</v>
      </c>
      <c r="C55" t="s">
        <v>22</v>
      </c>
      <c r="D55" t="s">
        <v>15</v>
      </c>
      <c r="E55">
        <v>79</v>
      </c>
      <c r="F55">
        <v>26</v>
      </c>
      <c r="G55">
        <v>2.8</v>
      </c>
      <c r="H55" t="s">
        <v>12</v>
      </c>
      <c r="I55" t="s">
        <v>19</v>
      </c>
      <c r="J55" t="s">
        <v>11</v>
      </c>
    </row>
    <row r="56" spans="1:10" x14ac:dyDescent="0.25">
      <c r="A56">
        <v>55</v>
      </c>
      <c r="B56" s="1">
        <v>45294</v>
      </c>
      <c r="C56" t="s">
        <v>23</v>
      </c>
      <c r="D56" t="s">
        <v>17</v>
      </c>
      <c r="E56">
        <v>228</v>
      </c>
      <c r="F56">
        <v>71</v>
      </c>
      <c r="G56">
        <v>7.7</v>
      </c>
      <c r="H56" t="s">
        <v>12</v>
      </c>
      <c r="I56" t="s">
        <v>16</v>
      </c>
      <c r="J56" t="s">
        <v>11</v>
      </c>
    </row>
    <row r="57" spans="1:10" x14ac:dyDescent="0.25">
      <c r="A57">
        <v>56</v>
      </c>
      <c r="B57" s="1">
        <v>45326</v>
      </c>
      <c r="C57" t="s">
        <v>23</v>
      </c>
      <c r="D57" t="s">
        <v>11</v>
      </c>
      <c r="E57">
        <v>180</v>
      </c>
      <c r="F57">
        <v>23</v>
      </c>
      <c r="G57">
        <v>1.7</v>
      </c>
      <c r="H57" t="s">
        <v>18</v>
      </c>
      <c r="I57" t="s">
        <v>19</v>
      </c>
      <c r="J57" t="s">
        <v>11</v>
      </c>
    </row>
    <row r="58" spans="1:10" x14ac:dyDescent="0.25">
      <c r="A58">
        <v>57</v>
      </c>
      <c r="B58" s="1">
        <v>45574</v>
      </c>
      <c r="C58" t="s">
        <v>21</v>
      </c>
      <c r="D58" t="s">
        <v>17</v>
      </c>
      <c r="E58">
        <v>194</v>
      </c>
      <c r="F58">
        <v>24</v>
      </c>
      <c r="G58">
        <v>6.4</v>
      </c>
      <c r="H58" t="s">
        <v>12</v>
      </c>
      <c r="I58" t="s">
        <v>16</v>
      </c>
      <c r="J58" t="s">
        <v>11</v>
      </c>
    </row>
    <row r="59" spans="1:10" x14ac:dyDescent="0.25">
      <c r="A59">
        <v>58</v>
      </c>
      <c r="B59" s="1">
        <v>45309</v>
      </c>
      <c r="C59" t="s">
        <v>10</v>
      </c>
      <c r="D59" t="s">
        <v>17</v>
      </c>
      <c r="E59">
        <v>153</v>
      </c>
      <c r="F59">
        <v>59</v>
      </c>
      <c r="G59">
        <v>4.8</v>
      </c>
      <c r="H59" t="s">
        <v>12</v>
      </c>
      <c r="I59" t="s">
        <v>19</v>
      </c>
      <c r="J59" t="s">
        <v>11</v>
      </c>
    </row>
    <row r="60" spans="1:10" x14ac:dyDescent="0.25">
      <c r="A60">
        <v>59</v>
      </c>
      <c r="B60" s="1">
        <v>45427</v>
      </c>
      <c r="C60" t="s">
        <v>14</v>
      </c>
      <c r="D60" t="s">
        <v>17</v>
      </c>
      <c r="E60">
        <v>130</v>
      </c>
      <c r="F60">
        <v>47</v>
      </c>
      <c r="G60">
        <v>6.8</v>
      </c>
      <c r="H60" t="s">
        <v>12</v>
      </c>
      <c r="I60" t="s">
        <v>16</v>
      </c>
      <c r="J60" t="s">
        <v>11</v>
      </c>
    </row>
    <row r="61" spans="1:10" x14ac:dyDescent="0.25">
      <c r="A61">
        <v>60</v>
      </c>
      <c r="B61" s="1">
        <v>45560</v>
      </c>
      <c r="C61" t="s">
        <v>14</v>
      </c>
      <c r="D61" t="s">
        <v>11</v>
      </c>
      <c r="E61">
        <v>122</v>
      </c>
      <c r="F61">
        <v>2</v>
      </c>
      <c r="G61">
        <v>2</v>
      </c>
      <c r="H61" t="s">
        <v>12</v>
      </c>
      <c r="I61" t="s">
        <v>16</v>
      </c>
      <c r="J61" t="s">
        <v>15</v>
      </c>
    </row>
    <row r="62" spans="1:10" x14ac:dyDescent="0.25">
      <c r="A62">
        <v>61</v>
      </c>
      <c r="B62" s="1">
        <v>45293</v>
      </c>
      <c r="C62" t="s">
        <v>22</v>
      </c>
      <c r="D62" t="s">
        <v>11</v>
      </c>
      <c r="E62">
        <v>142</v>
      </c>
      <c r="F62">
        <v>16</v>
      </c>
      <c r="G62">
        <v>3.2</v>
      </c>
      <c r="H62" t="s">
        <v>18</v>
      </c>
      <c r="I62" t="s">
        <v>13</v>
      </c>
      <c r="J62" t="s">
        <v>11</v>
      </c>
    </row>
    <row r="63" spans="1:10" x14ac:dyDescent="0.25">
      <c r="A63">
        <v>62</v>
      </c>
      <c r="B63" s="1">
        <v>45616</v>
      </c>
      <c r="C63" t="s">
        <v>23</v>
      </c>
      <c r="D63" t="s">
        <v>17</v>
      </c>
      <c r="E63">
        <v>229</v>
      </c>
      <c r="F63">
        <v>66</v>
      </c>
      <c r="G63">
        <v>1.9</v>
      </c>
      <c r="H63" t="s">
        <v>12</v>
      </c>
      <c r="I63" t="s">
        <v>19</v>
      </c>
      <c r="J63" t="s">
        <v>11</v>
      </c>
    </row>
    <row r="64" spans="1:10" x14ac:dyDescent="0.25">
      <c r="A64">
        <v>63</v>
      </c>
      <c r="B64" s="1">
        <v>45367</v>
      </c>
      <c r="C64" t="s">
        <v>14</v>
      </c>
      <c r="D64" t="s">
        <v>11</v>
      </c>
      <c r="E64">
        <v>170</v>
      </c>
      <c r="F64">
        <v>28</v>
      </c>
      <c r="G64">
        <v>5.6</v>
      </c>
      <c r="H64" t="s">
        <v>12</v>
      </c>
      <c r="I64" t="s">
        <v>19</v>
      </c>
      <c r="J64" t="s">
        <v>11</v>
      </c>
    </row>
    <row r="65" spans="1:10" x14ac:dyDescent="0.25">
      <c r="A65">
        <v>64</v>
      </c>
      <c r="B65" s="1">
        <v>45536</v>
      </c>
      <c r="C65" t="s">
        <v>14</v>
      </c>
      <c r="D65" t="s">
        <v>17</v>
      </c>
      <c r="E65">
        <v>43</v>
      </c>
      <c r="F65">
        <v>4</v>
      </c>
      <c r="G65">
        <v>4.0999999999999996</v>
      </c>
      <c r="H65" t="s">
        <v>12</v>
      </c>
      <c r="I65" t="s">
        <v>13</v>
      </c>
      <c r="J65" t="s">
        <v>11</v>
      </c>
    </row>
    <row r="66" spans="1:10" x14ac:dyDescent="0.25">
      <c r="A66">
        <v>65</v>
      </c>
      <c r="B66" s="1">
        <v>45523</v>
      </c>
      <c r="C66" t="s">
        <v>21</v>
      </c>
      <c r="D66" t="s">
        <v>17</v>
      </c>
      <c r="E66">
        <v>49</v>
      </c>
      <c r="F66">
        <v>19</v>
      </c>
      <c r="G66">
        <v>0.8</v>
      </c>
      <c r="H66" t="s">
        <v>12</v>
      </c>
      <c r="I66" t="s">
        <v>13</v>
      </c>
      <c r="J66" t="s">
        <v>11</v>
      </c>
    </row>
    <row r="67" spans="1:10" x14ac:dyDescent="0.25">
      <c r="A67">
        <v>66</v>
      </c>
      <c r="B67" s="1">
        <v>45377</v>
      </c>
      <c r="C67" t="s">
        <v>10</v>
      </c>
      <c r="D67" t="s">
        <v>17</v>
      </c>
      <c r="E67">
        <v>44</v>
      </c>
      <c r="F67">
        <v>6</v>
      </c>
      <c r="G67">
        <v>5.2</v>
      </c>
      <c r="H67" t="s">
        <v>18</v>
      </c>
      <c r="I67" t="s">
        <v>19</v>
      </c>
      <c r="J67" t="s">
        <v>15</v>
      </c>
    </row>
    <row r="68" spans="1:10" x14ac:dyDescent="0.25">
      <c r="A68">
        <v>67</v>
      </c>
      <c r="B68" s="1">
        <v>45368</v>
      </c>
      <c r="C68" t="s">
        <v>14</v>
      </c>
      <c r="D68" t="s">
        <v>20</v>
      </c>
      <c r="E68">
        <v>59</v>
      </c>
      <c r="F68">
        <v>64</v>
      </c>
      <c r="G68">
        <v>5.4</v>
      </c>
      <c r="H68" t="s">
        <v>18</v>
      </c>
      <c r="I68" t="s">
        <v>19</v>
      </c>
      <c r="J68" t="s">
        <v>11</v>
      </c>
    </row>
    <row r="69" spans="1:10" x14ac:dyDescent="0.25">
      <c r="A69">
        <v>68</v>
      </c>
      <c r="B69" s="1">
        <v>45562</v>
      </c>
      <c r="C69" t="s">
        <v>22</v>
      </c>
      <c r="D69" t="s">
        <v>20</v>
      </c>
      <c r="E69">
        <v>38</v>
      </c>
      <c r="F69">
        <v>8</v>
      </c>
      <c r="G69">
        <v>4.8</v>
      </c>
      <c r="H69" t="s">
        <v>18</v>
      </c>
      <c r="I69" t="s">
        <v>16</v>
      </c>
      <c r="J69" t="s">
        <v>11</v>
      </c>
    </row>
    <row r="70" spans="1:10" x14ac:dyDescent="0.25">
      <c r="A70">
        <v>69</v>
      </c>
      <c r="B70" s="1">
        <v>45357</v>
      </c>
      <c r="C70" t="s">
        <v>23</v>
      </c>
      <c r="D70" t="s">
        <v>17</v>
      </c>
      <c r="E70">
        <v>161</v>
      </c>
      <c r="F70">
        <v>11</v>
      </c>
      <c r="G70">
        <v>9.1999999999999993</v>
      </c>
      <c r="H70" t="s">
        <v>12</v>
      </c>
      <c r="I70" t="s">
        <v>16</v>
      </c>
      <c r="J70" t="s">
        <v>11</v>
      </c>
    </row>
    <row r="71" spans="1:10" x14ac:dyDescent="0.25">
      <c r="A71">
        <v>70</v>
      </c>
      <c r="B71" s="1">
        <v>45344</v>
      </c>
      <c r="C71" t="s">
        <v>23</v>
      </c>
      <c r="D71" t="s">
        <v>20</v>
      </c>
      <c r="E71">
        <v>116</v>
      </c>
      <c r="F71">
        <v>29</v>
      </c>
      <c r="G71">
        <v>6.8</v>
      </c>
      <c r="H71" t="s">
        <v>12</v>
      </c>
      <c r="I71" t="s">
        <v>13</v>
      </c>
      <c r="J71" t="s">
        <v>11</v>
      </c>
    </row>
    <row r="72" spans="1:10" x14ac:dyDescent="0.25">
      <c r="A72">
        <v>71</v>
      </c>
      <c r="B72" s="1">
        <v>45614</v>
      </c>
      <c r="C72" t="s">
        <v>10</v>
      </c>
      <c r="D72" t="s">
        <v>17</v>
      </c>
      <c r="E72">
        <v>114</v>
      </c>
      <c r="F72">
        <v>40</v>
      </c>
      <c r="G72">
        <v>2.2000000000000002</v>
      </c>
      <c r="H72" t="s">
        <v>12</v>
      </c>
      <c r="I72" t="s">
        <v>19</v>
      </c>
      <c r="J72" t="s">
        <v>11</v>
      </c>
    </row>
    <row r="73" spans="1:10" x14ac:dyDescent="0.25">
      <c r="A73">
        <v>72</v>
      </c>
      <c r="B73" s="1">
        <v>45403</v>
      </c>
      <c r="C73" t="s">
        <v>22</v>
      </c>
      <c r="D73" t="s">
        <v>15</v>
      </c>
      <c r="E73">
        <v>179</v>
      </c>
      <c r="F73">
        <v>31</v>
      </c>
      <c r="G73">
        <v>7.3</v>
      </c>
      <c r="H73" t="s">
        <v>18</v>
      </c>
      <c r="I73" t="s">
        <v>19</v>
      </c>
      <c r="J73" t="s">
        <v>15</v>
      </c>
    </row>
    <row r="74" spans="1:10" x14ac:dyDescent="0.25">
      <c r="A74">
        <v>73</v>
      </c>
      <c r="B74" s="1">
        <v>45326</v>
      </c>
      <c r="C74" t="s">
        <v>22</v>
      </c>
      <c r="D74" t="s">
        <v>17</v>
      </c>
      <c r="E74">
        <v>180</v>
      </c>
      <c r="F74">
        <v>50</v>
      </c>
      <c r="G74">
        <v>8</v>
      </c>
      <c r="H74" t="s">
        <v>12</v>
      </c>
      <c r="I74" t="s">
        <v>19</v>
      </c>
      <c r="J74" t="s">
        <v>11</v>
      </c>
    </row>
    <row r="75" spans="1:10" x14ac:dyDescent="0.25">
      <c r="A75">
        <v>74</v>
      </c>
      <c r="B75" s="1">
        <v>45525</v>
      </c>
      <c r="C75" t="s">
        <v>23</v>
      </c>
      <c r="D75" t="s">
        <v>15</v>
      </c>
      <c r="E75">
        <v>223</v>
      </c>
      <c r="F75">
        <v>69</v>
      </c>
      <c r="G75">
        <v>1.7</v>
      </c>
      <c r="H75" t="s">
        <v>18</v>
      </c>
      <c r="I75" t="s">
        <v>16</v>
      </c>
      <c r="J75" t="s">
        <v>11</v>
      </c>
    </row>
    <row r="76" spans="1:10" x14ac:dyDescent="0.25">
      <c r="A76">
        <v>75</v>
      </c>
      <c r="B76" s="1">
        <v>45488</v>
      </c>
      <c r="C76" t="s">
        <v>21</v>
      </c>
      <c r="D76" t="s">
        <v>11</v>
      </c>
      <c r="E76">
        <v>121</v>
      </c>
      <c r="F76">
        <v>23</v>
      </c>
      <c r="G76">
        <v>6.8</v>
      </c>
      <c r="H76" t="s">
        <v>18</v>
      </c>
      <c r="I76" t="s">
        <v>16</v>
      </c>
      <c r="J76" t="s">
        <v>15</v>
      </c>
    </row>
    <row r="77" spans="1:10" x14ac:dyDescent="0.25">
      <c r="A77">
        <v>76</v>
      </c>
      <c r="B77" s="1">
        <v>45505</v>
      </c>
      <c r="C77" t="s">
        <v>14</v>
      </c>
      <c r="D77" t="s">
        <v>20</v>
      </c>
      <c r="E77">
        <v>81</v>
      </c>
      <c r="F77">
        <v>34</v>
      </c>
      <c r="G77">
        <v>2</v>
      </c>
      <c r="H77" t="s">
        <v>18</v>
      </c>
      <c r="I77" t="s">
        <v>13</v>
      </c>
      <c r="J77" t="s">
        <v>11</v>
      </c>
    </row>
    <row r="78" spans="1:10" x14ac:dyDescent="0.25">
      <c r="A78">
        <v>77</v>
      </c>
      <c r="B78" s="1">
        <v>45500</v>
      </c>
      <c r="C78" t="s">
        <v>14</v>
      </c>
      <c r="D78" t="s">
        <v>11</v>
      </c>
      <c r="E78">
        <v>88</v>
      </c>
      <c r="F78">
        <v>38</v>
      </c>
      <c r="G78">
        <v>5.3</v>
      </c>
      <c r="H78" t="s">
        <v>12</v>
      </c>
      <c r="I78" t="s">
        <v>13</v>
      </c>
      <c r="J78" t="s">
        <v>11</v>
      </c>
    </row>
    <row r="79" spans="1:10" x14ac:dyDescent="0.25">
      <c r="A79">
        <v>78</v>
      </c>
      <c r="B79" s="1">
        <v>45511</v>
      </c>
      <c r="C79" t="s">
        <v>23</v>
      </c>
      <c r="D79" t="s">
        <v>15</v>
      </c>
      <c r="E79">
        <v>228</v>
      </c>
      <c r="F79">
        <v>15</v>
      </c>
      <c r="G79">
        <v>9</v>
      </c>
      <c r="H79" t="s">
        <v>18</v>
      </c>
      <c r="I79" t="s">
        <v>16</v>
      </c>
      <c r="J79" t="s">
        <v>15</v>
      </c>
    </row>
    <row r="80" spans="1:10" x14ac:dyDescent="0.25">
      <c r="A80">
        <v>79</v>
      </c>
      <c r="B80" s="1">
        <v>45295</v>
      </c>
      <c r="C80" t="s">
        <v>22</v>
      </c>
      <c r="D80" t="s">
        <v>17</v>
      </c>
      <c r="E80">
        <v>46</v>
      </c>
      <c r="F80">
        <v>10</v>
      </c>
      <c r="G80">
        <v>8.3000000000000007</v>
      </c>
      <c r="H80" t="s">
        <v>12</v>
      </c>
      <c r="I80" t="s">
        <v>19</v>
      </c>
      <c r="J80" t="s">
        <v>11</v>
      </c>
    </row>
    <row r="81" spans="1:10" x14ac:dyDescent="0.25">
      <c r="A81">
        <v>80</v>
      </c>
      <c r="B81" s="1">
        <v>45507</v>
      </c>
      <c r="C81" t="s">
        <v>23</v>
      </c>
      <c r="D81" t="s">
        <v>20</v>
      </c>
      <c r="E81">
        <v>151</v>
      </c>
      <c r="F81">
        <v>62</v>
      </c>
      <c r="G81">
        <v>9</v>
      </c>
      <c r="H81" t="s">
        <v>12</v>
      </c>
      <c r="I81" t="s">
        <v>13</v>
      </c>
      <c r="J81" t="s">
        <v>11</v>
      </c>
    </row>
    <row r="82" spans="1:10" x14ac:dyDescent="0.25">
      <c r="A82">
        <v>81</v>
      </c>
      <c r="B82" s="1">
        <v>45519</v>
      </c>
      <c r="C82" t="s">
        <v>10</v>
      </c>
      <c r="D82" t="s">
        <v>17</v>
      </c>
      <c r="E82">
        <v>213</v>
      </c>
      <c r="F82">
        <v>29</v>
      </c>
      <c r="G82">
        <v>4.2</v>
      </c>
      <c r="H82" t="s">
        <v>12</v>
      </c>
      <c r="I82" t="s">
        <v>19</v>
      </c>
      <c r="J82" t="s">
        <v>11</v>
      </c>
    </row>
    <row r="83" spans="1:10" x14ac:dyDescent="0.25">
      <c r="A83">
        <v>82</v>
      </c>
      <c r="B83" s="1">
        <v>45522</v>
      </c>
      <c r="C83" t="s">
        <v>21</v>
      </c>
      <c r="D83" t="s">
        <v>17</v>
      </c>
      <c r="E83">
        <v>183</v>
      </c>
      <c r="F83">
        <v>54</v>
      </c>
      <c r="G83">
        <v>3.3</v>
      </c>
      <c r="H83" t="s">
        <v>12</v>
      </c>
      <c r="I83" t="s">
        <v>16</v>
      </c>
      <c r="J83" t="s">
        <v>11</v>
      </c>
    </row>
    <row r="84" spans="1:10" x14ac:dyDescent="0.25">
      <c r="A84">
        <v>83</v>
      </c>
      <c r="B84" s="1">
        <v>45598</v>
      </c>
      <c r="C84" t="s">
        <v>23</v>
      </c>
      <c r="D84" t="s">
        <v>17</v>
      </c>
      <c r="E84">
        <v>132</v>
      </c>
      <c r="F84">
        <v>60</v>
      </c>
      <c r="G84">
        <v>4.3</v>
      </c>
      <c r="H84" t="s">
        <v>18</v>
      </c>
      <c r="I84" t="s">
        <v>19</v>
      </c>
      <c r="J84" t="s">
        <v>11</v>
      </c>
    </row>
    <row r="85" spans="1:10" x14ac:dyDescent="0.25">
      <c r="A85">
        <v>84</v>
      </c>
      <c r="B85" s="1">
        <v>45406</v>
      </c>
      <c r="C85" t="s">
        <v>14</v>
      </c>
      <c r="D85" t="s">
        <v>20</v>
      </c>
      <c r="E85">
        <v>166</v>
      </c>
      <c r="F85">
        <v>60</v>
      </c>
      <c r="G85">
        <v>3.4</v>
      </c>
      <c r="H85" t="s">
        <v>12</v>
      </c>
      <c r="I85" t="s">
        <v>19</v>
      </c>
      <c r="J85" t="s">
        <v>11</v>
      </c>
    </row>
    <row r="86" spans="1:10" x14ac:dyDescent="0.25">
      <c r="A86">
        <v>85</v>
      </c>
      <c r="B86" s="1">
        <v>45321</v>
      </c>
      <c r="C86" t="s">
        <v>21</v>
      </c>
      <c r="D86" t="s">
        <v>15</v>
      </c>
      <c r="E86">
        <v>140</v>
      </c>
      <c r="F86">
        <v>4</v>
      </c>
      <c r="G86">
        <v>5.6</v>
      </c>
      <c r="H86" t="s">
        <v>12</v>
      </c>
      <c r="I86" t="s">
        <v>13</v>
      </c>
      <c r="J86" t="s">
        <v>15</v>
      </c>
    </row>
    <row r="87" spans="1:10" x14ac:dyDescent="0.25">
      <c r="A87">
        <v>86</v>
      </c>
      <c r="B87" s="1">
        <v>45452</v>
      </c>
      <c r="C87" t="s">
        <v>23</v>
      </c>
      <c r="D87" t="s">
        <v>20</v>
      </c>
      <c r="E87">
        <v>47</v>
      </c>
      <c r="F87">
        <v>26</v>
      </c>
      <c r="G87">
        <v>0.8</v>
      </c>
      <c r="H87" t="s">
        <v>18</v>
      </c>
      <c r="I87" t="s">
        <v>19</v>
      </c>
      <c r="J87" t="s">
        <v>11</v>
      </c>
    </row>
    <row r="88" spans="1:10" x14ac:dyDescent="0.25">
      <c r="A88">
        <v>87</v>
      </c>
      <c r="B88" s="1">
        <v>45524</v>
      </c>
      <c r="C88" t="s">
        <v>14</v>
      </c>
      <c r="D88" t="s">
        <v>15</v>
      </c>
      <c r="E88">
        <v>14</v>
      </c>
      <c r="F88">
        <v>3</v>
      </c>
      <c r="G88">
        <v>1.8</v>
      </c>
      <c r="H88" t="s">
        <v>18</v>
      </c>
      <c r="I88" t="s">
        <v>16</v>
      </c>
      <c r="J88" t="s">
        <v>20</v>
      </c>
    </row>
    <row r="89" spans="1:10" x14ac:dyDescent="0.25">
      <c r="A89">
        <v>88</v>
      </c>
      <c r="B89" s="1">
        <v>45422</v>
      </c>
      <c r="C89" t="s">
        <v>23</v>
      </c>
      <c r="D89" t="s">
        <v>17</v>
      </c>
      <c r="E89">
        <v>166</v>
      </c>
      <c r="F89">
        <v>46</v>
      </c>
      <c r="G89">
        <v>3</v>
      </c>
      <c r="H89" t="s">
        <v>12</v>
      </c>
      <c r="I89" t="s">
        <v>16</v>
      </c>
      <c r="J89" t="s">
        <v>11</v>
      </c>
    </row>
    <row r="90" spans="1:10" x14ac:dyDescent="0.25">
      <c r="A90">
        <v>89</v>
      </c>
      <c r="B90" s="1">
        <v>45443</v>
      </c>
      <c r="C90" t="s">
        <v>14</v>
      </c>
      <c r="D90" t="s">
        <v>15</v>
      </c>
      <c r="E90">
        <v>34</v>
      </c>
      <c r="F90">
        <v>66</v>
      </c>
      <c r="G90">
        <v>7.3</v>
      </c>
      <c r="H90" t="s">
        <v>18</v>
      </c>
      <c r="I90" t="s">
        <v>13</v>
      </c>
      <c r="J90" t="s">
        <v>15</v>
      </c>
    </row>
    <row r="91" spans="1:10" x14ac:dyDescent="0.25">
      <c r="A91">
        <v>90</v>
      </c>
      <c r="B91" s="1">
        <v>45511</v>
      </c>
      <c r="C91" t="s">
        <v>23</v>
      </c>
      <c r="D91" t="s">
        <v>17</v>
      </c>
      <c r="E91">
        <v>204</v>
      </c>
      <c r="F91">
        <v>43</v>
      </c>
      <c r="G91">
        <v>6.2</v>
      </c>
      <c r="H91" t="s">
        <v>18</v>
      </c>
      <c r="I91" t="s">
        <v>16</v>
      </c>
      <c r="J91" t="s">
        <v>11</v>
      </c>
    </row>
    <row r="92" spans="1:10" x14ac:dyDescent="0.25">
      <c r="A92">
        <v>91</v>
      </c>
      <c r="B92" s="1">
        <v>45533</v>
      </c>
      <c r="C92" t="s">
        <v>14</v>
      </c>
      <c r="D92" t="s">
        <v>17</v>
      </c>
      <c r="E92">
        <v>175</v>
      </c>
      <c r="F92">
        <v>47</v>
      </c>
      <c r="G92">
        <v>5.0999999999999996</v>
      </c>
      <c r="H92" t="s">
        <v>18</v>
      </c>
      <c r="I92" t="s">
        <v>16</v>
      </c>
      <c r="J92" t="s">
        <v>11</v>
      </c>
    </row>
    <row r="93" spans="1:10" x14ac:dyDescent="0.25">
      <c r="A93">
        <v>92</v>
      </c>
      <c r="B93" s="1">
        <v>45439</v>
      </c>
      <c r="C93" t="s">
        <v>21</v>
      </c>
      <c r="D93" t="s">
        <v>15</v>
      </c>
      <c r="E93">
        <v>153</v>
      </c>
      <c r="F93">
        <v>25</v>
      </c>
      <c r="G93">
        <v>5.7</v>
      </c>
      <c r="H93" t="s">
        <v>18</v>
      </c>
      <c r="I93" t="s">
        <v>16</v>
      </c>
      <c r="J93" t="s">
        <v>15</v>
      </c>
    </row>
    <row r="94" spans="1:10" x14ac:dyDescent="0.25">
      <c r="A94">
        <v>93</v>
      </c>
      <c r="B94" s="1">
        <v>45374</v>
      </c>
      <c r="C94" t="s">
        <v>10</v>
      </c>
      <c r="D94" t="s">
        <v>17</v>
      </c>
      <c r="E94">
        <v>190</v>
      </c>
      <c r="F94">
        <v>6</v>
      </c>
      <c r="G94">
        <v>7.7</v>
      </c>
      <c r="H94" t="s">
        <v>12</v>
      </c>
      <c r="I94" t="s">
        <v>13</v>
      </c>
      <c r="J94" t="s">
        <v>15</v>
      </c>
    </row>
    <row r="95" spans="1:10" x14ac:dyDescent="0.25">
      <c r="A95">
        <v>94</v>
      </c>
      <c r="B95" s="1">
        <v>45586</v>
      </c>
      <c r="C95" t="s">
        <v>23</v>
      </c>
      <c r="D95" t="s">
        <v>17</v>
      </c>
      <c r="E95">
        <v>35</v>
      </c>
      <c r="F95">
        <v>50</v>
      </c>
      <c r="G95">
        <v>2.9</v>
      </c>
      <c r="H95" t="s">
        <v>12</v>
      </c>
      <c r="I95" t="s">
        <v>13</v>
      </c>
      <c r="J95" t="s">
        <v>11</v>
      </c>
    </row>
    <row r="96" spans="1:10" x14ac:dyDescent="0.25">
      <c r="A96">
        <v>95</v>
      </c>
      <c r="B96" s="1">
        <v>45417</v>
      </c>
      <c r="C96" t="s">
        <v>21</v>
      </c>
      <c r="D96" t="s">
        <v>11</v>
      </c>
      <c r="E96">
        <v>145</v>
      </c>
      <c r="F96">
        <v>33</v>
      </c>
      <c r="G96">
        <v>5.0999999999999996</v>
      </c>
      <c r="H96" t="s">
        <v>12</v>
      </c>
      <c r="I96" t="s">
        <v>16</v>
      </c>
      <c r="J96" t="s">
        <v>11</v>
      </c>
    </row>
    <row r="97" spans="1:10" x14ac:dyDescent="0.25">
      <c r="A97">
        <v>96</v>
      </c>
      <c r="B97" s="1">
        <v>45650</v>
      </c>
      <c r="C97" t="s">
        <v>21</v>
      </c>
      <c r="D97" t="s">
        <v>17</v>
      </c>
      <c r="E97">
        <v>108</v>
      </c>
      <c r="F97">
        <v>72</v>
      </c>
      <c r="G97">
        <v>2.2999999999999998</v>
      </c>
      <c r="H97" t="s">
        <v>18</v>
      </c>
      <c r="I97" t="s">
        <v>13</v>
      </c>
      <c r="J97" t="s">
        <v>11</v>
      </c>
    </row>
    <row r="98" spans="1:10" x14ac:dyDescent="0.25">
      <c r="A98">
        <v>97</v>
      </c>
      <c r="B98" s="1">
        <v>45538</v>
      </c>
      <c r="C98" t="s">
        <v>21</v>
      </c>
      <c r="D98" t="s">
        <v>17</v>
      </c>
      <c r="E98">
        <v>53</v>
      </c>
      <c r="F98">
        <v>30</v>
      </c>
      <c r="G98">
        <v>7.4</v>
      </c>
      <c r="H98" t="s">
        <v>18</v>
      </c>
      <c r="I98" t="s">
        <v>16</v>
      </c>
      <c r="J98" t="s">
        <v>11</v>
      </c>
    </row>
    <row r="99" spans="1:10" x14ac:dyDescent="0.25">
      <c r="A99">
        <v>98</v>
      </c>
      <c r="B99" s="1">
        <v>45388</v>
      </c>
      <c r="C99" t="s">
        <v>23</v>
      </c>
      <c r="D99" t="s">
        <v>11</v>
      </c>
      <c r="E99">
        <v>191</v>
      </c>
      <c r="F99">
        <v>67</v>
      </c>
      <c r="G99">
        <v>7.2</v>
      </c>
      <c r="H99" t="s">
        <v>12</v>
      </c>
      <c r="I99" t="s">
        <v>19</v>
      </c>
      <c r="J99" t="s">
        <v>11</v>
      </c>
    </row>
    <row r="100" spans="1:10" x14ac:dyDescent="0.25">
      <c r="A100">
        <v>99</v>
      </c>
      <c r="B100" s="1">
        <v>45645</v>
      </c>
      <c r="C100" t="s">
        <v>22</v>
      </c>
      <c r="D100" t="s">
        <v>17</v>
      </c>
      <c r="E100">
        <v>168</v>
      </c>
      <c r="F100">
        <v>70</v>
      </c>
      <c r="G100">
        <v>0.5</v>
      </c>
      <c r="H100" t="s">
        <v>12</v>
      </c>
      <c r="I100" t="s">
        <v>13</v>
      </c>
      <c r="J100" t="s">
        <v>11</v>
      </c>
    </row>
    <row r="101" spans="1:10" x14ac:dyDescent="0.25">
      <c r="A101">
        <v>100</v>
      </c>
      <c r="B101" s="1">
        <v>45532</v>
      </c>
      <c r="C101" t="s">
        <v>21</v>
      </c>
      <c r="D101" t="s">
        <v>20</v>
      </c>
      <c r="E101">
        <v>225</v>
      </c>
      <c r="F101">
        <v>63</v>
      </c>
      <c r="G101">
        <v>8.9</v>
      </c>
      <c r="H101" t="s">
        <v>12</v>
      </c>
      <c r="I101" t="s">
        <v>13</v>
      </c>
      <c r="J101" t="s">
        <v>11</v>
      </c>
    </row>
    <row r="102" spans="1:10" x14ac:dyDescent="0.25">
      <c r="A102">
        <v>101</v>
      </c>
      <c r="B102" s="1">
        <v>45418</v>
      </c>
      <c r="C102" t="s">
        <v>23</v>
      </c>
      <c r="D102" t="s">
        <v>17</v>
      </c>
      <c r="E102">
        <v>123</v>
      </c>
      <c r="F102">
        <v>66</v>
      </c>
      <c r="G102">
        <v>1.5</v>
      </c>
      <c r="H102" t="s">
        <v>12</v>
      </c>
      <c r="I102" t="s">
        <v>16</v>
      </c>
      <c r="J102" t="s">
        <v>11</v>
      </c>
    </row>
    <row r="103" spans="1:10" x14ac:dyDescent="0.25">
      <c r="A103">
        <v>102</v>
      </c>
      <c r="B103" s="1">
        <v>45438</v>
      </c>
      <c r="C103" t="s">
        <v>22</v>
      </c>
      <c r="D103" t="s">
        <v>11</v>
      </c>
      <c r="E103">
        <v>74</v>
      </c>
      <c r="F103">
        <v>32</v>
      </c>
      <c r="G103">
        <v>3.1</v>
      </c>
      <c r="H103" t="s">
        <v>18</v>
      </c>
      <c r="I103" t="s">
        <v>13</v>
      </c>
      <c r="J103" t="s">
        <v>11</v>
      </c>
    </row>
    <row r="104" spans="1:10" x14ac:dyDescent="0.25">
      <c r="A104">
        <v>103</v>
      </c>
      <c r="B104" s="1">
        <v>45522</v>
      </c>
      <c r="C104" t="s">
        <v>23</v>
      </c>
      <c r="D104" t="s">
        <v>15</v>
      </c>
      <c r="E104">
        <v>94</v>
      </c>
      <c r="F104">
        <v>17</v>
      </c>
      <c r="G104">
        <v>7.2</v>
      </c>
      <c r="H104" t="s">
        <v>12</v>
      </c>
      <c r="I104" t="s">
        <v>13</v>
      </c>
      <c r="J104" t="s">
        <v>11</v>
      </c>
    </row>
    <row r="105" spans="1:10" x14ac:dyDescent="0.25">
      <c r="A105">
        <v>104</v>
      </c>
      <c r="B105" s="1">
        <v>45528</v>
      </c>
      <c r="C105" t="s">
        <v>23</v>
      </c>
      <c r="D105" t="s">
        <v>11</v>
      </c>
      <c r="E105">
        <v>46</v>
      </c>
      <c r="F105">
        <v>18</v>
      </c>
      <c r="G105">
        <v>4.4000000000000004</v>
      </c>
      <c r="H105" t="s">
        <v>18</v>
      </c>
      <c r="I105" t="s">
        <v>16</v>
      </c>
      <c r="J105" t="s">
        <v>11</v>
      </c>
    </row>
    <row r="106" spans="1:10" x14ac:dyDescent="0.25">
      <c r="A106">
        <v>105</v>
      </c>
      <c r="B106" s="1">
        <v>45518</v>
      </c>
      <c r="C106" t="s">
        <v>22</v>
      </c>
      <c r="D106" t="s">
        <v>11</v>
      </c>
      <c r="E106">
        <v>92</v>
      </c>
      <c r="F106">
        <v>35</v>
      </c>
      <c r="G106">
        <v>7.8</v>
      </c>
      <c r="H106" t="s">
        <v>12</v>
      </c>
      <c r="I106" t="s">
        <v>16</v>
      </c>
      <c r="J106" t="s">
        <v>11</v>
      </c>
    </row>
    <row r="107" spans="1:10" x14ac:dyDescent="0.25">
      <c r="A107">
        <v>106</v>
      </c>
      <c r="B107" s="1">
        <v>45573</v>
      </c>
      <c r="C107" t="s">
        <v>22</v>
      </c>
      <c r="D107" t="s">
        <v>11</v>
      </c>
      <c r="E107">
        <v>13</v>
      </c>
      <c r="F107">
        <v>57</v>
      </c>
      <c r="G107">
        <v>8.9</v>
      </c>
      <c r="H107" t="s">
        <v>18</v>
      </c>
      <c r="I107" t="s">
        <v>13</v>
      </c>
      <c r="J107" t="s">
        <v>20</v>
      </c>
    </row>
    <row r="108" spans="1:10" x14ac:dyDescent="0.25">
      <c r="A108">
        <v>107</v>
      </c>
      <c r="B108" s="1">
        <v>45474</v>
      </c>
      <c r="C108" t="s">
        <v>23</v>
      </c>
      <c r="D108" t="s">
        <v>20</v>
      </c>
      <c r="E108">
        <v>79</v>
      </c>
      <c r="F108">
        <v>18</v>
      </c>
      <c r="G108">
        <v>4.9000000000000004</v>
      </c>
      <c r="H108" t="s">
        <v>18</v>
      </c>
      <c r="I108" t="s">
        <v>13</v>
      </c>
      <c r="J108" t="s">
        <v>11</v>
      </c>
    </row>
    <row r="109" spans="1:10" x14ac:dyDescent="0.25">
      <c r="A109">
        <v>108</v>
      </c>
      <c r="B109" s="1">
        <v>45421</v>
      </c>
      <c r="C109" t="s">
        <v>10</v>
      </c>
      <c r="D109" t="s">
        <v>20</v>
      </c>
      <c r="E109">
        <v>172</v>
      </c>
      <c r="F109">
        <v>45</v>
      </c>
      <c r="G109">
        <v>7.2</v>
      </c>
      <c r="H109" t="s">
        <v>12</v>
      </c>
      <c r="I109" t="s">
        <v>13</v>
      </c>
      <c r="J109" t="s">
        <v>11</v>
      </c>
    </row>
    <row r="110" spans="1:10" x14ac:dyDescent="0.25">
      <c r="A110">
        <v>109</v>
      </c>
      <c r="B110" s="1">
        <v>45368</v>
      </c>
      <c r="C110" t="s">
        <v>22</v>
      </c>
      <c r="D110" t="s">
        <v>17</v>
      </c>
      <c r="E110">
        <v>114</v>
      </c>
      <c r="F110">
        <v>52</v>
      </c>
      <c r="G110">
        <v>2.1</v>
      </c>
      <c r="H110" t="s">
        <v>12</v>
      </c>
      <c r="I110" t="s">
        <v>19</v>
      </c>
      <c r="J110" t="s">
        <v>11</v>
      </c>
    </row>
    <row r="111" spans="1:10" x14ac:dyDescent="0.25">
      <c r="A111">
        <v>110</v>
      </c>
      <c r="B111" s="1">
        <v>45512</v>
      </c>
      <c r="C111" t="s">
        <v>14</v>
      </c>
      <c r="D111" t="s">
        <v>15</v>
      </c>
      <c r="E111">
        <v>221</v>
      </c>
      <c r="F111">
        <v>1</v>
      </c>
      <c r="G111">
        <v>4.7</v>
      </c>
      <c r="H111" t="s">
        <v>18</v>
      </c>
      <c r="I111" t="s">
        <v>16</v>
      </c>
      <c r="J111" t="s">
        <v>15</v>
      </c>
    </row>
    <row r="112" spans="1:10" x14ac:dyDescent="0.25">
      <c r="A112">
        <v>111</v>
      </c>
      <c r="B112" s="1">
        <v>45317</v>
      </c>
      <c r="C112" t="s">
        <v>23</v>
      </c>
      <c r="D112" t="s">
        <v>20</v>
      </c>
      <c r="E112">
        <v>235</v>
      </c>
      <c r="F112">
        <v>25</v>
      </c>
      <c r="G112">
        <v>7</v>
      </c>
      <c r="H112" t="s">
        <v>12</v>
      </c>
      <c r="I112" t="s">
        <v>19</v>
      </c>
      <c r="J112" t="s">
        <v>11</v>
      </c>
    </row>
    <row r="113" spans="1:10" x14ac:dyDescent="0.25">
      <c r="A113">
        <v>112</v>
      </c>
      <c r="B113" s="1">
        <v>45322</v>
      </c>
      <c r="C113" t="s">
        <v>22</v>
      </c>
      <c r="D113" t="s">
        <v>15</v>
      </c>
      <c r="E113">
        <v>149</v>
      </c>
      <c r="F113">
        <v>69</v>
      </c>
      <c r="G113">
        <v>9.4</v>
      </c>
      <c r="H113" t="s">
        <v>12</v>
      </c>
      <c r="I113" t="s">
        <v>13</v>
      </c>
      <c r="J113" t="s">
        <v>11</v>
      </c>
    </row>
    <row r="114" spans="1:10" x14ac:dyDescent="0.25">
      <c r="A114">
        <v>113</v>
      </c>
      <c r="B114" s="1">
        <v>45423</v>
      </c>
      <c r="C114" t="s">
        <v>23</v>
      </c>
      <c r="D114" t="s">
        <v>20</v>
      </c>
      <c r="E114">
        <v>240</v>
      </c>
      <c r="F114">
        <v>60</v>
      </c>
      <c r="G114">
        <v>7.7</v>
      </c>
      <c r="H114" t="s">
        <v>18</v>
      </c>
      <c r="I114" t="s">
        <v>16</v>
      </c>
      <c r="J114" t="s">
        <v>11</v>
      </c>
    </row>
    <row r="115" spans="1:10" x14ac:dyDescent="0.25">
      <c r="A115">
        <v>114</v>
      </c>
      <c r="B115" s="1">
        <v>45518</v>
      </c>
      <c r="C115" t="s">
        <v>22</v>
      </c>
      <c r="D115" t="s">
        <v>20</v>
      </c>
      <c r="E115">
        <v>221</v>
      </c>
      <c r="F115">
        <v>9</v>
      </c>
      <c r="G115">
        <v>6.6</v>
      </c>
      <c r="H115" t="s">
        <v>12</v>
      </c>
      <c r="I115" t="s">
        <v>19</v>
      </c>
      <c r="J115" t="s">
        <v>11</v>
      </c>
    </row>
    <row r="116" spans="1:10" x14ac:dyDescent="0.25">
      <c r="A116">
        <v>115</v>
      </c>
      <c r="B116" s="1">
        <v>45317</v>
      </c>
      <c r="C116" t="s">
        <v>22</v>
      </c>
      <c r="D116" t="s">
        <v>15</v>
      </c>
      <c r="E116">
        <v>151</v>
      </c>
      <c r="F116">
        <v>35</v>
      </c>
      <c r="G116">
        <v>5.8</v>
      </c>
      <c r="H116" t="s">
        <v>18</v>
      </c>
      <c r="I116" t="s">
        <v>13</v>
      </c>
      <c r="J116" t="s">
        <v>15</v>
      </c>
    </row>
    <row r="117" spans="1:10" x14ac:dyDescent="0.25">
      <c r="A117">
        <v>116</v>
      </c>
      <c r="B117" s="1">
        <v>45543</v>
      </c>
      <c r="C117" t="s">
        <v>14</v>
      </c>
      <c r="D117" t="s">
        <v>20</v>
      </c>
      <c r="E117">
        <v>124</v>
      </c>
      <c r="F117">
        <v>8</v>
      </c>
      <c r="G117">
        <v>4.0999999999999996</v>
      </c>
      <c r="H117" t="s">
        <v>18</v>
      </c>
      <c r="I117" t="s">
        <v>19</v>
      </c>
      <c r="J117" t="s">
        <v>11</v>
      </c>
    </row>
    <row r="118" spans="1:10" x14ac:dyDescent="0.25">
      <c r="A118">
        <v>117</v>
      </c>
      <c r="B118" s="1">
        <v>45385</v>
      </c>
      <c r="C118" t="s">
        <v>21</v>
      </c>
      <c r="D118" t="s">
        <v>17</v>
      </c>
      <c r="E118">
        <v>5</v>
      </c>
      <c r="F118">
        <v>48</v>
      </c>
      <c r="G118">
        <v>2.9</v>
      </c>
      <c r="H118" t="s">
        <v>18</v>
      </c>
      <c r="I118" t="s">
        <v>13</v>
      </c>
      <c r="J118" t="s">
        <v>15</v>
      </c>
    </row>
    <row r="119" spans="1:10" x14ac:dyDescent="0.25">
      <c r="A119">
        <v>118</v>
      </c>
      <c r="B119" s="1">
        <v>45338</v>
      </c>
      <c r="C119" t="s">
        <v>23</v>
      </c>
      <c r="D119" t="s">
        <v>17</v>
      </c>
      <c r="E119">
        <v>87</v>
      </c>
      <c r="F119">
        <v>36</v>
      </c>
      <c r="G119">
        <v>1.5</v>
      </c>
      <c r="H119" t="s">
        <v>12</v>
      </c>
      <c r="I119" t="s">
        <v>13</v>
      </c>
      <c r="J119" t="s">
        <v>11</v>
      </c>
    </row>
    <row r="120" spans="1:10" x14ac:dyDescent="0.25">
      <c r="A120">
        <v>119</v>
      </c>
      <c r="B120" s="1">
        <v>45294</v>
      </c>
      <c r="C120" t="s">
        <v>22</v>
      </c>
      <c r="D120" t="s">
        <v>17</v>
      </c>
      <c r="E120">
        <v>65</v>
      </c>
      <c r="F120">
        <v>23</v>
      </c>
      <c r="G120">
        <v>5.7</v>
      </c>
      <c r="H120" t="s">
        <v>12</v>
      </c>
      <c r="I120" t="s">
        <v>19</v>
      </c>
      <c r="J120" t="s">
        <v>11</v>
      </c>
    </row>
    <row r="121" spans="1:10" x14ac:dyDescent="0.25">
      <c r="A121">
        <v>120</v>
      </c>
      <c r="B121" s="1">
        <v>45595</v>
      </c>
      <c r="C121" t="s">
        <v>23</v>
      </c>
      <c r="D121" t="s">
        <v>20</v>
      </c>
      <c r="E121">
        <v>168</v>
      </c>
      <c r="F121">
        <v>21</v>
      </c>
      <c r="G121">
        <v>3.8</v>
      </c>
      <c r="H121" t="s">
        <v>12</v>
      </c>
      <c r="I121" t="s">
        <v>16</v>
      </c>
      <c r="J121" t="s">
        <v>11</v>
      </c>
    </row>
    <row r="122" spans="1:10" x14ac:dyDescent="0.25">
      <c r="A122">
        <v>121</v>
      </c>
      <c r="B122" s="1">
        <v>45521</v>
      </c>
      <c r="C122" t="s">
        <v>23</v>
      </c>
      <c r="D122" t="s">
        <v>20</v>
      </c>
      <c r="E122">
        <v>7</v>
      </c>
      <c r="F122">
        <v>44</v>
      </c>
      <c r="G122">
        <v>9.1</v>
      </c>
      <c r="H122" t="s">
        <v>12</v>
      </c>
      <c r="I122" t="s">
        <v>19</v>
      </c>
      <c r="J122" t="s">
        <v>15</v>
      </c>
    </row>
    <row r="123" spans="1:10" x14ac:dyDescent="0.25">
      <c r="A123">
        <v>122</v>
      </c>
      <c r="B123" s="1">
        <v>45552</v>
      </c>
      <c r="C123" t="s">
        <v>21</v>
      </c>
      <c r="D123" t="s">
        <v>17</v>
      </c>
      <c r="E123">
        <v>150</v>
      </c>
      <c r="F123">
        <v>18</v>
      </c>
      <c r="G123">
        <v>0.7</v>
      </c>
      <c r="H123" t="s">
        <v>18</v>
      </c>
      <c r="I123" t="s">
        <v>19</v>
      </c>
      <c r="J123" t="s">
        <v>11</v>
      </c>
    </row>
    <row r="124" spans="1:10" x14ac:dyDescent="0.25">
      <c r="A124">
        <v>123</v>
      </c>
      <c r="B124" s="1">
        <v>45587</v>
      </c>
      <c r="C124" t="s">
        <v>14</v>
      </c>
      <c r="D124" t="s">
        <v>11</v>
      </c>
      <c r="E124">
        <v>43</v>
      </c>
      <c r="F124">
        <v>64</v>
      </c>
      <c r="G124">
        <v>6.4</v>
      </c>
      <c r="H124" t="s">
        <v>18</v>
      </c>
      <c r="I124" t="s">
        <v>16</v>
      </c>
      <c r="J124" t="s">
        <v>15</v>
      </c>
    </row>
    <row r="125" spans="1:10" x14ac:dyDescent="0.25">
      <c r="A125">
        <v>124</v>
      </c>
      <c r="B125" s="1">
        <v>45537</v>
      </c>
      <c r="C125" t="s">
        <v>10</v>
      </c>
      <c r="D125" t="s">
        <v>17</v>
      </c>
      <c r="E125">
        <v>47</v>
      </c>
      <c r="F125">
        <v>19</v>
      </c>
      <c r="G125">
        <v>4.0999999999999996</v>
      </c>
      <c r="H125" t="s">
        <v>12</v>
      </c>
      <c r="I125" t="s">
        <v>13</v>
      </c>
      <c r="J125" t="s">
        <v>11</v>
      </c>
    </row>
    <row r="126" spans="1:10" x14ac:dyDescent="0.25">
      <c r="A126">
        <v>125</v>
      </c>
      <c r="B126" s="1">
        <v>45499</v>
      </c>
      <c r="C126" t="s">
        <v>21</v>
      </c>
      <c r="D126" t="s">
        <v>11</v>
      </c>
      <c r="E126">
        <v>12</v>
      </c>
      <c r="F126">
        <v>22</v>
      </c>
      <c r="G126">
        <v>9.6999999999999993</v>
      </c>
      <c r="H126" t="s">
        <v>18</v>
      </c>
      <c r="I126" t="s">
        <v>19</v>
      </c>
      <c r="J126" t="s">
        <v>20</v>
      </c>
    </row>
    <row r="127" spans="1:10" x14ac:dyDescent="0.25">
      <c r="A127">
        <v>126</v>
      </c>
      <c r="B127" s="1">
        <v>45476</v>
      </c>
      <c r="C127" t="s">
        <v>22</v>
      </c>
      <c r="D127" t="s">
        <v>17</v>
      </c>
      <c r="E127">
        <v>102</v>
      </c>
      <c r="F127">
        <v>31</v>
      </c>
      <c r="G127">
        <v>3.7</v>
      </c>
      <c r="H127" t="s">
        <v>12</v>
      </c>
      <c r="I127" t="s">
        <v>19</v>
      </c>
      <c r="J127" t="s">
        <v>11</v>
      </c>
    </row>
    <row r="128" spans="1:10" x14ac:dyDescent="0.25">
      <c r="A128">
        <v>127</v>
      </c>
      <c r="B128" s="1">
        <v>45359</v>
      </c>
      <c r="C128" t="s">
        <v>21</v>
      </c>
      <c r="D128" t="s">
        <v>11</v>
      </c>
      <c r="E128">
        <v>227</v>
      </c>
      <c r="F128">
        <v>2</v>
      </c>
      <c r="G128">
        <v>8.1</v>
      </c>
      <c r="H128" t="s">
        <v>12</v>
      </c>
      <c r="I128" t="s">
        <v>13</v>
      </c>
      <c r="J128" t="s">
        <v>15</v>
      </c>
    </row>
    <row r="129" spans="1:10" x14ac:dyDescent="0.25">
      <c r="A129">
        <v>128</v>
      </c>
      <c r="B129" s="1">
        <v>45523</v>
      </c>
      <c r="C129" t="s">
        <v>14</v>
      </c>
      <c r="D129" t="s">
        <v>15</v>
      </c>
      <c r="E129">
        <v>195</v>
      </c>
      <c r="F129">
        <v>10</v>
      </c>
      <c r="G129">
        <v>5.0999999999999996</v>
      </c>
      <c r="H129" t="s">
        <v>12</v>
      </c>
      <c r="I129" t="s">
        <v>19</v>
      </c>
      <c r="J129" t="s">
        <v>11</v>
      </c>
    </row>
    <row r="130" spans="1:10" x14ac:dyDescent="0.25">
      <c r="A130">
        <v>129</v>
      </c>
      <c r="B130" s="1">
        <v>45646</v>
      </c>
      <c r="C130" t="s">
        <v>14</v>
      </c>
      <c r="D130" t="s">
        <v>11</v>
      </c>
      <c r="E130">
        <v>165</v>
      </c>
      <c r="F130">
        <v>28</v>
      </c>
      <c r="G130">
        <v>2.2000000000000002</v>
      </c>
      <c r="H130" t="s">
        <v>12</v>
      </c>
      <c r="I130" t="s">
        <v>16</v>
      </c>
      <c r="J130" t="s">
        <v>11</v>
      </c>
    </row>
    <row r="131" spans="1:10" x14ac:dyDescent="0.25">
      <c r="A131">
        <v>130</v>
      </c>
      <c r="B131" s="1">
        <v>45488</v>
      </c>
      <c r="C131" t="s">
        <v>23</v>
      </c>
      <c r="D131" t="s">
        <v>20</v>
      </c>
      <c r="E131">
        <v>44</v>
      </c>
      <c r="F131">
        <v>67</v>
      </c>
      <c r="G131">
        <v>8</v>
      </c>
      <c r="H131" t="s">
        <v>18</v>
      </c>
      <c r="I131" t="s">
        <v>16</v>
      </c>
      <c r="J131" t="s">
        <v>11</v>
      </c>
    </row>
    <row r="132" spans="1:10" x14ac:dyDescent="0.25">
      <c r="A132">
        <v>131</v>
      </c>
      <c r="B132" s="1">
        <v>45545</v>
      </c>
      <c r="C132" t="s">
        <v>10</v>
      </c>
      <c r="D132" t="s">
        <v>17</v>
      </c>
      <c r="E132">
        <v>24</v>
      </c>
      <c r="F132">
        <v>39</v>
      </c>
      <c r="G132">
        <v>6.8</v>
      </c>
      <c r="H132" t="s">
        <v>12</v>
      </c>
      <c r="I132" t="s">
        <v>13</v>
      </c>
      <c r="J132" t="s">
        <v>15</v>
      </c>
    </row>
    <row r="133" spans="1:10" x14ac:dyDescent="0.25">
      <c r="A133">
        <v>132</v>
      </c>
      <c r="B133" s="1">
        <v>45332</v>
      </c>
      <c r="C133" t="s">
        <v>14</v>
      </c>
      <c r="D133" t="s">
        <v>11</v>
      </c>
      <c r="E133">
        <v>127</v>
      </c>
      <c r="F133">
        <v>38</v>
      </c>
      <c r="G133">
        <v>0.9</v>
      </c>
      <c r="H133" t="s">
        <v>12</v>
      </c>
      <c r="I133" t="s">
        <v>19</v>
      </c>
      <c r="J133" t="s">
        <v>11</v>
      </c>
    </row>
    <row r="134" spans="1:10" x14ac:dyDescent="0.25">
      <c r="A134">
        <v>133</v>
      </c>
      <c r="B134" s="1">
        <v>45357</v>
      </c>
      <c r="C134" t="s">
        <v>23</v>
      </c>
      <c r="D134" t="s">
        <v>17</v>
      </c>
      <c r="E134">
        <v>14</v>
      </c>
      <c r="F134">
        <v>15</v>
      </c>
      <c r="G134">
        <v>9.5</v>
      </c>
      <c r="H134" t="s">
        <v>12</v>
      </c>
      <c r="I134" t="s">
        <v>16</v>
      </c>
      <c r="J134" t="s">
        <v>15</v>
      </c>
    </row>
    <row r="135" spans="1:10" x14ac:dyDescent="0.25">
      <c r="A135">
        <v>134</v>
      </c>
      <c r="B135" s="1">
        <v>45315</v>
      </c>
      <c r="C135" t="s">
        <v>10</v>
      </c>
      <c r="D135" t="s">
        <v>17</v>
      </c>
      <c r="E135">
        <v>231</v>
      </c>
      <c r="F135">
        <v>7</v>
      </c>
      <c r="G135">
        <v>1.2</v>
      </c>
      <c r="H135" t="s">
        <v>18</v>
      </c>
      <c r="I135" t="s">
        <v>13</v>
      </c>
      <c r="J135" t="s">
        <v>11</v>
      </c>
    </row>
    <row r="136" spans="1:10" x14ac:dyDescent="0.25">
      <c r="A136">
        <v>135</v>
      </c>
      <c r="B136" s="1">
        <v>45299</v>
      </c>
      <c r="C136" t="s">
        <v>22</v>
      </c>
      <c r="D136" t="s">
        <v>20</v>
      </c>
      <c r="E136">
        <v>136</v>
      </c>
      <c r="F136">
        <v>38</v>
      </c>
      <c r="G136">
        <v>4.2</v>
      </c>
      <c r="H136" t="s">
        <v>18</v>
      </c>
      <c r="I136" t="s">
        <v>19</v>
      </c>
      <c r="J136" t="s">
        <v>11</v>
      </c>
    </row>
    <row r="137" spans="1:10" x14ac:dyDescent="0.25">
      <c r="A137">
        <v>136</v>
      </c>
      <c r="B137" s="1">
        <v>45568</v>
      </c>
      <c r="C137" t="s">
        <v>14</v>
      </c>
      <c r="D137" t="s">
        <v>11</v>
      </c>
      <c r="E137">
        <v>124</v>
      </c>
      <c r="F137">
        <v>30</v>
      </c>
      <c r="G137">
        <v>5.8</v>
      </c>
      <c r="H137" t="s">
        <v>18</v>
      </c>
      <c r="I137" t="s">
        <v>13</v>
      </c>
      <c r="J137" t="s">
        <v>15</v>
      </c>
    </row>
    <row r="138" spans="1:10" x14ac:dyDescent="0.25">
      <c r="A138">
        <v>137</v>
      </c>
      <c r="B138" s="1">
        <v>45451</v>
      </c>
      <c r="C138" t="s">
        <v>14</v>
      </c>
      <c r="D138" t="s">
        <v>11</v>
      </c>
      <c r="E138">
        <v>17</v>
      </c>
      <c r="F138">
        <v>42</v>
      </c>
      <c r="G138">
        <v>6</v>
      </c>
      <c r="H138" t="s">
        <v>18</v>
      </c>
      <c r="I138" t="s">
        <v>16</v>
      </c>
      <c r="J138" t="s">
        <v>20</v>
      </c>
    </row>
    <row r="139" spans="1:10" x14ac:dyDescent="0.25">
      <c r="A139">
        <v>138</v>
      </c>
      <c r="B139" s="1">
        <v>45405</v>
      </c>
      <c r="C139" t="s">
        <v>14</v>
      </c>
      <c r="D139" t="s">
        <v>15</v>
      </c>
      <c r="E139">
        <v>93</v>
      </c>
      <c r="F139">
        <v>64</v>
      </c>
      <c r="G139">
        <v>1.4</v>
      </c>
      <c r="H139" t="s">
        <v>18</v>
      </c>
      <c r="I139" t="s">
        <v>16</v>
      </c>
      <c r="J139" t="s">
        <v>11</v>
      </c>
    </row>
    <row r="140" spans="1:10" x14ac:dyDescent="0.25">
      <c r="A140">
        <v>139</v>
      </c>
      <c r="B140" s="1">
        <v>45349</v>
      </c>
      <c r="C140" t="s">
        <v>14</v>
      </c>
      <c r="D140" t="s">
        <v>20</v>
      </c>
      <c r="E140">
        <v>238</v>
      </c>
      <c r="F140">
        <v>1</v>
      </c>
      <c r="G140">
        <v>9.6999999999999993</v>
      </c>
      <c r="H140" t="s">
        <v>18</v>
      </c>
      <c r="I140" t="s">
        <v>16</v>
      </c>
      <c r="J140" t="s">
        <v>15</v>
      </c>
    </row>
    <row r="141" spans="1:10" x14ac:dyDescent="0.25">
      <c r="A141">
        <v>140</v>
      </c>
      <c r="B141" s="1">
        <v>45566</v>
      </c>
      <c r="C141" t="s">
        <v>23</v>
      </c>
      <c r="D141" t="s">
        <v>15</v>
      </c>
      <c r="E141">
        <v>151</v>
      </c>
      <c r="F141">
        <v>4</v>
      </c>
      <c r="G141">
        <v>3.1</v>
      </c>
      <c r="H141" t="s">
        <v>18</v>
      </c>
      <c r="I141" t="s">
        <v>19</v>
      </c>
      <c r="J141" t="s">
        <v>15</v>
      </c>
    </row>
    <row r="142" spans="1:10" x14ac:dyDescent="0.25">
      <c r="A142">
        <v>141</v>
      </c>
      <c r="B142" s="1">
        <v>45611</v>
      </c>
      <c r="C142" t="s">
        <v>10</v>
      </c>
      <c r="D142" t="s">
        <v>20</v>
      </c>
      <c r="E142">
        <v>144</v>
      </c>
      <c r="F142">
        <v>49</v>
      </c>
      <c r="G142">
        <v>9.3000000000000007</v>
      </c>
      <c r="H142" t="s">
        <v>18</v>
      </c>
      <c r="I142" t="s">
        <v>13</v>
      </c>
      <c r="J142" t="s">
        <v>11</v>
      </c>
    </row>
    <row r="143" spans="1:10" x14ac:dyDescent="0.25">
      <c r="A143">
        <v>142</v>
      </c>
      <c r="B143" s="1">
        <v>45472</v>
      </c>
      <c r="C143" t="s">
        <v>14</v>
      </c>
      <c r="D143" t="s">
        <v>11</v>
      </c>
      <c r="E143">
        <v>239</v>
      </c>
      <c r="F143">
        <v>17</v>
      </c>
      <c r="G143">
        <v>3.3</v>
      </c>
      <c r="H143" t="s">
        <v>12</v>
      </c>
      <c r="I143" t="s">
        <v>19</v>
      </c>
      <c r="J143" t="s">
        <v>11</v>
      </c>
    </row>
    <row r="144" spans="1:10" x14ac:dyDescent="0.25">
      <c r="A144">
        <v>143</v>
      </c>
      <c r="B144" s="1">
        <v>45487</v>
      </c>
      <c r="C144" t="s">
        <v>22</v>
      </c>
      <c r="D144" t="s">
        <v>20</v>
      </c>
      <c r="E144">
        <v>111</v>
      </c>
      <c r="F144">
        <v>13</v>
      </c>
      <c r="G144">
        <v>4.8</v>
      </c>
      <c r="H144" t="s">
        <v>12</v>
      </c>
      <c r="I144" t="s">
        <v>13</v>
      </c>
      <c r="J144" t="s">
        <v>11</v>
      </c>
    </row>
    <row r="145" spans="1:10" x14ac:dyDescent="0.25">
      <c r="A145">
        <v>144</v>
      </c>
      <c r="B145" s="1">
        <v>45409</v>
      </c>
      <c r="C145" t="s">
        <v>10</v>
      </c>
      <c r="D145" t="s">
        <v>20</v>
      </c>
      <c r="E145">
        <v>68</v>
      </c>
      <c r="F145">
        <v>56</v>
      </c>
      <c r="G145">
        <v>9.6</v>
      </c>
      <c r="H145" t="s">
        <v>12</v>
      </c>
      <c r="I145" t="s">
        <v>19</v>
      </c>
      <c r="J145" t="s">
        <v>11</v>
      </c>
    </row>
    <row r="146" spans="1:10" x14ac:dyDescent="0.25">
      <c r="A146">
        <v>145</v>
      </c>
      <c r="B146" s="1">
        <v>45482</v>
      </c>
      <c r="C146" t="s">
        <v>23</v>
      </c>
      <c r="D146" t="s">
        <v>15</v>
      </c>
      <c r="E146">
        <v>45</v>
      </c>
      <c r="F146">
        <v>7</v>
      </c>
      <c r="G146">
        <v>9.6</v>
      </c>
      <c r="H146" t="s">
        <v>18</v>
      </c>
      <c r="I146" t="s">
        <v>19</v>
      </c>
      <c r="J146" t="s">
        <v>15</v>
      </c>
    </row>
    <row r="147" spans="1:10" x14ac:dyDescent="0.25">
      <c r="A147">
        <v>146</v>
      </c>
      <c r="B147" s="1">
        <v>45303</v>
      </c>
      <c r="C147" t="s">
        <v>10</v>
      </c>
      <c r="D147" t="s">
        <v>15</v>
      </c>
      <c r="E147">
        <v>194</v>
      </c>
      <c r="F147">
        <v>8</v>
      </c>
      <c r="G147">
        <v>9.6</v>
      </c>
      <c r="H147" t="s">
        <v>12</v>
      </c>
      <c r="I147" t="s">
        <v>16</v>
      </c>
      <c r="J147" t="s">
        <v>11</v>
      </c>
    </row>
    <row r="148" spans="1:10" x14ac:dyDescent="0.25">
      <c r="A148">
        <v>147</v>
      </c>
      <c r="B148" s="1">
        <v>45349</v>
      </c>
      <c r="C148" t="s">
        <v>23</v>
      </c>
      <c r="D148" t="s">
        <v>11</v>
      </c>
      <c r="E148">
        <v>147</v>
      </c>
      <c r="F148">
        <v>56</v>
      </c>
      <c r="G148">
        <v>8.3000000000000007</v>
      </c>
      <c r="H148" t="s">
        <v>18</v>
      </c>
      <c r="I148" t="s">
        <v>19</v>
      </c>
      <c r="J148" t="s">
        <v>15</v>
      </c>
    </row>
    <row r="149" spans="1:10" x14ac:dyDescent="0.25">
      <c r="A149">
        <v>148</v>
      </c>
      <c r="B149" s="1">
        <v>45485</v>
      </c>
      <c r="C149" t="s">
        <v>14</v>
      </c>
      <c r="D149" t="s">
        <v>11</v>
      </c>
      <c r="E149">
        <v>222</v>
      </c>
      <c r="F149">
        <v>26</v>
      </c>
      <c r="G149">
        <v>5.9</v>
      </c>
      <c r="H149" t="s">
        <v>12</v>
      </c>
      <c r="I149" t="s">
        <v>16</v>
      </c>
      <c r="J149" t="s">
        <v>11</v>
      </c>
    </row>
    <row r="150" spans="1:10" x14ac:dyDescent="0.25">
      <c r="A150">
        <v>149</v>
      </c>
      <c r="B150" s="1">
        <v>45415</v>
      </c>
      <c r="C150" t="s">
        <v>10</v>
      </c>
      <c r="D150" t="s">
        <v>20</v>
      </c>
      <c r="E150">
        <v>159</v>
      </c>
      <c r="F150">
        <v>15</v>
      </c>
      <c r="G150">
        <v>3.3</v>
      </c>
      <c r="H150" t="s">
        <v>12</v>
      </c>
      <c r="I150" t="s">
        <v>16</v>
      </c>
      <c r="J150" t="s">
        <v>11</v>
      </c>
    </row>
    <row r="151" spans="1:10" x14ac:dyDescent="0.25">
      <c r="A151">
        <v>150</v>
      </c>
      <c r="B151" s="1">
        <v>45513</v>
      </c>
      <c r="C151" t="s">
        <v>23</v>
      </c>
      <c r="D151" t="s">
        <v>17</v>
      </c>
      <c r="E151">
        <v>173</v>
      </c>
      <c r="F151">
        <v>42</v>
      </c>
      <c r="G151">
        <v>7.7</v>
      </c>
      <c r="H151" t="s">
        <v>12</v>
      </c>
      <c r="I151" t="s">
        <v>13</v>
      </c>
      <c r="J151" t="s">
        <v>11</v>
      </c>
    </row>
    <row r="152" spans="1:10" x14ac:dyDescent="0.25">
      <c r="A152">
        <v>151</v>
      </c>
      <c r="B152" s="1">
        <v>45364</v>
      </c>
      <c r="C152" t="s">
        <v>22</v>
      </c>
      <c r="D152" t="s">
        <v>15</v>
      </c>
      <c r="E152">
        <v>116</v>
      </c>
      <c r="F152">
        <v>33</v>
      </c>
      <c r="G152">
        <v>1.9</v>
      </c>
      <c r="H152" t="s">
        <v>18</v>
      </c>
      <c r="I152" t="s">
        <v>19</v>
      </c>
      <c r="J152" t="s">
        <v>11</v>
      </c>
    </row>
    <row r="153" spans="1:10" x14ac:dyDescent="0.25">
      <c r="A153">
        <v>152</v>
      </c>
      <c r="B153" s="1">
        <v>45543</v>
      </c>
      <c r="C153" t="s">
        <v>10</v>
      </c>
      <c r="D153" t="s">
        <v>20</v>
      </c>
      <c r="E153">
        <v>175</v>
      </c>
      <c r="F153">
        <v>66</v>
      </c>
      <c r="G153">
        <v>5.8</v>
      </c>
      <c r="H153" t="s">
        <v>12</v>
      </c>
      <c r="I153" t="s">
        <v>19</v>
      </c>
      <c r="J153" t="s">
        <v>11</v>
      </c>
    </row>
    <row r="154" spans="1:10" x14ac:dyDescent="0.25">
      <c r="A154">
        <v>153</v>
      </c>
      <c r="B154" s="1">
        <v>45365</v>
      </c>
      <c r="C154" t="s">
        <v>22</v>
      </c>
      <c r="D154" t="s">
        <v>11</v>
      </c>
      <c r="E154">
        <v>71</v>
      </c>
      <c r="F154">
        <v>7</v>
      </c>
      <c r="G154">
        <v>2</v>
      </c>
      <c r="H154" t="s">
        <v>12</v>
      </c>
      <c r="I154" t="s">
        <v>19</v>
      </c>
      <c r="J154" t="s">
        <v>11</v>
      </c>
    </row>
    <row r="155" spans="1:10" x14ac:dyDescent="0.25">
      <c r="A155">
        <v>154</v>
      </c>
      <c r="B155" s="1">
        <v>45647</v>
      </c>
      <c r="C155" t="s">
        <v>10</v>
      </c>
      <c r="D155" t="s">
        <v>15</v>
      </c>
      <c r="E155">
        <v>75</v>
      </c>
      <c r="F155">
        <v>29</v>
      </c>
      <c r="G155">
        <v>1.6</v>
      </c>
      <c r="H155" t="s">
        <v>12</v>
      </c>
      <c r="I155" t="s">
        <v>13</v>
      </c>
      <c r="J155" t="s">
        <v>11</v>
      </c>
    </row>
    <row r="156" spans="1:10" x14ac:dyDescent="0.25">
      <c r="A156">
        <v>155</v>
      </c>
      <c r="B156" s="1">
        <v>45448</v>
      </c>
      <c r="C156" t="s">
        <v>23</v>
      </c>
      <c r="D156" t="s">
        <v>11</v>
      </c>
      <c r="E156">
        <v>201</v>
      </c>
      <c r="F156">
        <v>13</v>
      </c>
      <c r="G156">
        <v>9.1999999999999993</v>
      </c>
      <c r="H156" t="s">
        <v>18</v>
      </c>
      <c r="I156" t="s">
        <v>16</v>
      </c>
      <c r="J156" t="s">
        <v>15</v>
      </c>
    </row>
    <row r="157" spans="1:10" x14ac:dyDescent="0.25">
      <c r="A157">
        <v>156</v>
      </c>
      <c r="B157" s="1">
        <v>45302</v>
      </c>
      <c r="C157" t="s">
        <v>22</v>
      </c>
      <c r="D157" t="s">
        <v>17</v>
      </c>
      <c r="E157">
        <v>85</v>
      </c>
      <c r="F157">
        <v>37</v>
      </c>
      <c r="G157">
        <v>4.7</v>
      </c>
      <c r="H157" t="s">
        <v>18</v>
      </c>
      <c r="I157" t="s">
        <v>16</v>
      </c>
      <c r="J157" t="s">
        <v>11</v>
      </c>
    </row>
    <row r="158" spans="1:10" x14ac:dyDescent="0.25">
      <c r="A158">
        <v>157</v>
      </c>
      <c r="B158" s="1">
        <v>45603</v>
      </c>
      <c r="C158" t="s">
        <v>14</v>
      </c>
      <c r="D158" t="s">
        <v>15</v>
      </c>
      <c r="E158">
        <v>175</v>
      </c>
      <c r="F158">
        <v>27</v>
      </c>
      <c r="G158">
        <v>1.2</v>
      </c>
      <c r="H158" t="s">
        <v>12</v>
      </c>
      <c r="I158" t="s">
        <v>13</v>
      </c>
      <c r="J158" t="s">
        <v>11</v>
      </c>
    </row>
    <row r="159" spans="1:10" x14ac:dyDescent="0.25">
      <c r="A159">
        <v>158</v>
      </c>
      <c r="B159" s="1">
        <v>45638</v>
      </c>
      <c r="C159" t="s">
        <v>22</v>
      </c>
      <c r="D159" t="s">
        <v>20</v>
      </c>
      <c r="E159">
        <v>139</v>
      </c>
      <c r="F159">
        <v>45</v>
      </c>
      <c r="G159">
        <v>6.7</v>
      </c>
      <c r="H159" t="s">
        <v>12</v>
      </c>
      <c r="I159" t="s">
        <v>16</v>
      </c>
      <c r="J159" t="s">
        <v>11</v>
      </c>
    </row>
    <row r="160" spans="1:10" x14ac:dyDescent="0.25">
      <c r="A160">
        <v>159</v>
      </c>
      <c r="B160" s="1">
        <v>45637</v>
      </c>
      <c r="C160" t="s">
        <v>10</v>
      </c>
      <c r="D160" t="s">
        <v>15</v>
      </c>
      <c r="E160">
        <v>106</v>
      </c>
      <c r="F160">
        <v>33</v>
      </c>
      <c r="G160">
        <v>5.0999999999999996</v>
      </c>
      <c r="H160" t="s">
        <v>18</v>
      </c>
      <c r="I160" t="s">
        <v>13</v>
      </c>
      <c r="J160" t="s">
        <v>15</v>
      </c>
    </row>
    <row r="161" spans="1:10" x14ac:dyDescent="0.25">
      <c r="A161">
        <v>160</v>
      </c>
      <c r="B161" s="1">
        <v>45567</v>
      </c>
      <c r="C161" t="s">
        <v>10</v>
      </c>
      <c r="D161" t="s">
        <v>17</v>
      </c>
      <c r="E161">
        <v>87</v>
      </c>
      <c r="F161">
        <v>72</v>
      </c>
      <c r="G161">
        <v>8.4</v>
      </c>
      <c r="H161" t="s">
        <v>18</v>
      </c>
      <c r="I161" t="s">
        <v>16</v>
      </c>
      <c r="J161" t="s">
        <v>11</v>
      </c>
    </row>
    <row r="162" spans="1:10" x14ac:dyDescent="0.25">
      <c r="A162">
        <v>161</v>
      </c>
      <c r="B162" s="1">
        <v>45521</v>
      </c>
      <c r="C162" t="s">
        <v>21</v>
      </c>
      <c r="D162" t="s">
        <v>11</v>
      </c>
      <c r="E162">
        <v>198</v>
      </c>
      <c r="F162">
        <v>63</v>
      </c>
      <c r="G162">
        <v>4.9000000000000004</v>
      </c>
      <c r="H162" t="s">
        <v>12</v>
      </c>
      <c r="I162" t="s">
        <v>16</v>
      </c>
      <c r="J162" t="s">
        <v>11</v>
      </c>
    </row>
    <row r="163" spans="1:10" x14ac:dyDescent="0.25">
      <c r="A163">
        <v>162</v>
      </c>
      <c r="B163" s="1">
        <v>45569</v>
      </c>
      <c r="C163" t="s">
        <v>21</v>
      </c>
      <c r="D163" t="s">
        <v>17</v>
      </c>
      <c r="E163">
        <v>156</v>
      </c>
      <c r="F163">
        <v>22</v>
      </c>
      <c r="G163">
        <v>1.2</v>
      </c>
      <c r="H163" t="s">
        <v>12</v>
      </c>
      <c r="I163" t="s">
        <v>19</v>
      </c>
      <c r="J163" t="s">
        <v>11</v>
      </c>
    </row>
    <row r="164" spans="1:10" x14ac:dyDescent="0.25">
      <c r="A164">
        <v>163</v>
      </c>
      <c r="B164" s="1">
        <v>45656</v>
      </c>
      <c r="C164" t="s">
        <v>23</v>
      </c>
      <c r="D164" t="s">
        <v>15</v>
      </c>
      <c r="E164">
        <v>160</v>
      </c>
      <c r="F164">
        <v>48</v>
      </c>
      <c r="G164">
        <v>6.3</v>
      </c>
      <c r="H164" t="s">
        <v>12</v>
      </c>
      <c r="I164" t="s">
        <v>19</v>
      </c>
      <c r="J164" t="s">
        <v>11</v>
      </c>
    </row>
    <row r="165" spans="1:10" x14ac:dyDescent="0.25">
      <c r="A165">
        <v>164</v>
      </c>
      <c r="B165" s="1">
        <v>45620</v>
      </c>
      <c r="C165" t="s">
        <v>23</v>
      </c>
      <c r="D165" t="s">
        <v>17</v>
      </c>
      <c r="E165">
        <v>66</v>
      </c>
      <c r="F165">
        <v>19</v>
      </c>
      <c r="G165">
        <v>7.2</v>
      </c>
      <c r="H165" t="s">
        <v>18</v>
      </c>
      <c r="I165" t="s">
        <v>19</v>
      </c>
      <c r="J165" t="s">
        <v>11</v>
      </c>
    </row>
    <row r="166" spans="1:10" x14ac:dyDescent="0.25">
      <c r="A166">
        <v>165</v>
      </c>
      <c r="B166" s="1">
        <v>45360</v>
      </c>
      <c r="C166" t="s">
        <v>22</v>
      </c>
      <c r="D166" t="s">
        <v>15</v>
      </c>
      <c r="E166">
        <v>131</v>
      </c>
      <c r="F166">
        <v>13</v>
      </c>
      <c r="G166">
        <v>1</v>
      </c>
      <c r="H166" t="s">
        <v>12</v>
      </c>
      <c r="I166" t="s">
        <v>16</v>
      </c>
      <c r="J166" t="s">
        <v>11</v>
      </c>
    </row>
    <row r="167" spans="1:10" x14ac:dyDescent="0.25">
      <c r="A167">
        <v>166</v>
      </c>
      <c r="B167" s="1">
        <v>45329</v>
      </c>
      <c r="C167" t="s">
        <v>23</v>
      </c>
      <c r="D167" t="s">
        <v>11</v>
      </c>
      <c r="E167">
        <v>123</v>
      </c>
      <c r="F167">
        <v>6</v>
      </c>
      <c r="G167">
        <v>1.6</v>
      </c>
      <c r="H167" t="s">
        <v>12</v>
      </c>
      <c r="I167" t="s">
        <v>16</v>
      </c>
      <c r="J167" t="s">
        <v>15</v>
      </c>
    </row>
    <row r="168" spans="1:10" x14ac:dyDescent="0.25">
      <c r="A168">
        <v>167</v>
      </c>
      <c r="B168" s="1">
        <v>45346</v>
      </c>
      <c r="C168" t="s">
        <v>21</v>
      </c>
      <c r="D168" t="s">
        <v>17</v>
      </c>
      <c r="E168">
        <v>218</v>
      </c>
      <c r="F168">
        <v>57</v>
      </c>
      <c r="G168">
        <v>1.2</v>
      </c>
      <c r="H168" t="s">
        <v>12</v>
      </c>
      <c r="I168" t="s">
        <v>16</v>
      </c>
      <c r="J168" t="s">
        <v>11</v>
      </c>
    </row>
    <row r="169" spans="1:10" x14ac:dyDescent="0.25">
      <c r="A169">
        <v>168</v>
      </c>
      <c r="B169" s="1">
        <v>45548</v>
      </c>
      <c r="C169" t="s">
        <v>22</v>
      </c>
      <c r="D169" t="s">
        <v>20</v>
      </c>
      <c r="E169">
        <v>47</v>
      </c>
      <c r="F169">
        <v>68</v>
      </c>
      <c r="G169">
        <v>3.1</v>
      </c>
      <c r="H169" t="s">
        <v>12</v>
      </c>
      <c r="I169" t="s">
        <v>16</v>
      </c>
      <c r="J169" t="s">
        <v>11</v>
      </c>
    </row>
    <row r="170" spans="1:10" x14ac:dyDescent="0.25">
      <c r="A170">
        <v>169</v>
      </c>
      <c r="B170" s="1">
        <v>45590</v>
      </c>
      <c r="C170" t="s">
        <v>22</v>
      </c>
      <c r="D170" t="s">
        <v>17</v>
      </c>
      <c r="E170">
        <v>56</v>
      </c>
      <c r="F170">
        <v>69</v>
      </c>
      <c r="G170">
        <v>4.7</v>
      </c>
      <c r="H170" t="s">
        <v>18</v>
      </c>
      <c r="I170" t="s">
        <v>19</v>
      </c>
      <c r="J170" t="s">
        <v>11</v>
      </c>
    </row>
    <row r="171" spans="1:10" x14ac:dyDescent="0.25">
      <c r="A171">
        <v>170</v>
      </c>
      <c r="B171" s="1">
        <v>45293</v>
      </c>
      <c r="C171" t="s">
        <v>14</v>
      </c>
      <c r="D171" t="s">
        <v>20</v>
      </c>
      <c r="E171">
        <v>173</v>
      </c>
      <c r="F171">
        <v>58</v>
      </c>
      <c r="G171">
        <v>7.8</v>
      </c>
      <c r="H171" t="s">
        <v>18</v>
      </c>
      <c r="I171" t="s">
        <v>19</v>
      </c>
      <c r="J171" t="s">
        <v>11</v>
      </c>
    </row>
    <row r="172" spans="1:10" x14ac:dyDescent="0.25">
      <c r="A172">
        <v>171</v>
      </c>
      <c r="B172" s="1">
        <v>45331</v>
      </c>
      <c r="C172" t="s">
        <v>14</v>
      </c>
      <c r="D172" t="s">
        <v>20</v>
      </c>
      <c r="E172">
        <v>31</v>
      </c>
      <c r="F172">
        <v>53</v>
      </c>
      <c r="G172">
        <v>4.4000000000000004</v>
      </c>
      <c r="H172" t="s">
        <v>18</v>
      </c>
      <c r="I172" t="s">
        <v>16</v>
      </c>
      <c r="J172" t="s">
        <v>11</v>
      </c>
    </row>
    <row r="173" spans="1:10" x14ac:dyDescent="0.25">
      <c r="A173">
        <v>172</v>
      </c>
      <c r="B173" s="1">
        <v>45386</v>
      </c>
      <c r="C173" t="s">
        <v>21</v>
      </c>
      <c r="D173" t="s">
        <v>20</v>
      </c>
      <c r="E173">
        <v>41</v>
      </c>
      <c r="F173">
        <v>15</v>
      </c>
      <c r="G173">
        <v>1.1000000000000001</v>
      </c>
      <c r="H173" t="s">
        <v>18</v>
      </c>
      <c r="I173" t="s">
        <v>16</v>
      </c>
      <c r="J173" t="s">
        <v>11</v>
      </c>
    </row>
    <row r="174" spans="1:10" x14ac:dyDescent="0.25">
      <c r="A174">
        <v>173</v>
      </c>
      <c r="B174" s="1">
        <v>45557</v>
      </c>
      <c r="C174" t="s">
        <v>23</v>
      </c>
      <c r="D174" t="s">
        <v>20</v>
      </c>
      <c r="E174">
        <v>218</v>
      </c>
      <c r="F174">
        <v>33</v>
      </c>
      <c r="G174">
        <v>7.8</v>
      </c>
      <c r="H174" t="s">
        <v>18</v>
      </c>
      <c r="I174" t="s">
        <v>19</v>
      </c>
      <c r="J174" t="s">
        <v>11</v>
      </c>
    </row>
    <row r="175" spans="1:10" x14ac:dyDescent="0.25">
      <c r="A175">
        <v>174</v>
      </c>
      <c r="B175" s="1">
        <v>45419</v>
      </c>
      <c r="C175" t="s">
        <v>23</v>
      </c>
      <c r="D175" t="s">
        <v>20</v>
      </c>
      <c r="E175">
        <v>190</v>
      </c>
      <c r="F175">
        <v>44</v>
      </c>
      <c r="G175">
        <v>8.3000000000000007</v>
      </c>
      <c r="H175" t="s">
        <v>18</v>
      </c>
      <c r="I175" t="s">
        <v>19</v>
      </c>
      <c r="J175" t="s">
        <v>11</v>
      </c>
    </row>
    <row r="176" spans="1:10" x14ac:dyDescent="0.25">
      <c r="A176">
        <v>175</v>
      </c>
      <c r="B176" s="1">
        <v>45301</v>
      </c>
      <c r="C176" t="s">
        <v>21</v>
      </c>
      <c r="D176" t="s">
        <v>20</v>
      </c>
      <c r="E176">
        <v>226</v>
      </c>
      <c r="F176">
        <v>30</v>
      </c>
      <c r="G176">
        <v>8.6</v>
      </c>
      <c r="H176" t="s">
        <v>12</v>
      </c>
      <c r="I176" t="s">
        <v>16</v>
      </c>
      <c r="J176" t="s">
        <v>11</v>
      </c>
    </row>
    <row r="177" spans="1:10" x14ac:dyDescent="0.25">
      <c r="A177">
        <v>176</v>
      </c>
      <c r="B177" s="1">
        <v>45349</v>
      </c>
      <c r="C177" t="s">
        <v>14</v>
      </c>
      <c r="D177" t="s">
        <v>15</v>
      </c>
      <c r="E177">
        <v>7</v>
      </c>
      <c r="F177">
        <v>16</v>
      </c>
      <c r="G177">
        <v>3</v>
      </c>
      <c r="H177" t="s">
        <v>18</v>
      </c>
      <c r="I177" t="s">
        <v>16</v>
      </c>
      <c r="J177" t="s">
        <v>15</v>
      </c>
    </row>
    <row r="178" spans="1:10" x14ac:dyDescent="0.25">
      <c r="A178">
        <v>177</v>
      </c>
      <c r="B178" s="1">
        <v>45509</v>
      </c>
      <c r="C178" t="s">
        <v>10</v>
      </c>
      <c r="D178" t="s">
        <v>17</v>
      </c>
      <c r="E178">
        <v>180</v>
      </c>
      <c r="F178">
        <v>42</v>
      </c>
      <c r="G178">
        <v>1.5</v>
      </c>
      <c r="H178" t="s">
        <v>18</v>
      </c>
      <c r="I178" t="s">
        <v>19</v>
      </c>
      <c r="J178" t="s">
        <v>11</v>
      </c>
    </row>
    <row r="179" spans="1:10" x14ac:dyDescent="0.25">
      <c r="A179">
        <v>178</v>
      </c>
      <c r="B179" s="1">
        <v>45514</v>
      </c>
      <c r="C179" t="s">
        <v>22</v>
      </c>
      <c r="D179" t="s">
        <v>11</v>
      </c>
      <c r="E179">
        <v>191</v>
      </c>
      <c r="F179">
        <v>46</v>
      </c>
      <c r="G179">
        <v>3.7</v>
      </c>
      <c r="H179" t="s">
        <v>12</v>
      </c>
      <c r="I179" t="s">
        <v>19</v>
      </c>
      <c r="J179" t="s">
        <v>11</v>
      </c>
    </row>
    <row r="180" spans="1:10" x14ac:dyDescent="0.25">
      <c r="A180">
        <v>179</v>
      </c>
      <c r="B180" s="1">
        <v>45490</v>
      </c>
      <c r="C180" t="s">
        <v>23</v>
      </c>
      <c r="D180" t="s">
        <v>11</v>
      </c>
      <c r="E180">
        <v>159</v>
      </c>
      <c r="F180">
        <v>56</v>
      </c>
      <c r="G180">
        <v>1.6</v>
      </c>
      <c r="H180" t="s">
        <v>12</v>
      </c>
      <c r="I180" t="s">
        <v>13</v>
      </c>
      <c r="J180" t="s">
        <v>11</v>
      </c>
    </row>
    <row r="181" spans="1:10" x14ac:dyDescent="0.25">
      <c r="A181">
        <v>180</v>
      </c>
      <c r="B181" s="1">
        <v>45601</v>
      </c>
      <c r="C181" t="s">
        <v>22</v>
      </c>
      <c r="D181" t="s">
        <v>11</v>
      </c>
      <c r="E181">
        <v>40</v>
      </c>
      <c r="F181">
        <v>35</v>
      </c>
      <c r="G181">
        <v>3.8</v>
      </c>
      <c r="H181" t="s">
        <v>18</v>
      </c>
      <c r="I181" t="s">
        <v>16</v>
      </c>
      <c r="J181" t="s">
        <v>11</v>
      </c>
    </row>
    <row r="182" spans="1:10" x14ac:dyDescent="0.25">
      <c r="A182">
        <v>181</v>
      </c>
      <c r="B182" s="1">
        <v>45486</v>
      </c>
      <c r="C182" t="s">
        <v>23</v>
      </c>
      <c r="D182" t="s">
        <v>11</v>
      </c>
      <c r="E182">
        <v>115</v>
      </c>
      <c r="F182">
        <v>55</v>
      </c>
      <c r="G182">
        <v>8.9</v>
      </c>
      <c r="H182" t="s">
        <v>12</v>
      </c>
      <c r="I182" t="s">
        <v>19</v>
      </c>
      <c r="J182" t="s">
        <v>11</v>
      </c>
    </row>
    <row r="183" spans="1:10" x14ac:dyDescent="0.25">
      <c r="A183">
        <v>182</v>
      </c>
      <c r="B183" s="1">
        <v>45463</v>
      </c>
      <c r="C183" t="s">
        <v>21</v>
      </c>
      <c r="D183" t="s">
        <v>17</v>
      </c>
      <c r="E183">
        <v>35</v>
      </c>
      <c r="F183">
        <v>16</v>
      </c>
      <c r="G183">
        <v>4.9000000000000004</v>
      </c>
      <c r="H183" t="s">
        <v>18</v>
      </c>
      <c r="I183" t="s">
        <v>19</v>
      </c>
      <c r="J183" t="s">
        <v>11</v>
      </c>
    </row>
    <row r="184" spans="1:10" x14ac:dyDescent="0.25">
      <c r="A184">
        <v>183</v>
      </c>
      <c r="B184" s="1">
        <v>45515</v>
      </c>
      <c r="C184" t="s">
        <v>14</v>
      </c>
      <c r="D184" t="s">
        <v>11</v>
      </c>
      <c r="E184">
        <v>9</v>
      </c>
      <c r="F184">
        <v>68</v>
      </c>
      <c r="G184">
        <v>7.1</v>
      </c>
      <c r="H184" t="s">
        <v>18</v>
      </c>
      <c r="I184" t="s">
        <v>16</v>
      </c>
      <c r="J184" t="s">
        <v>20</v>
      </c>
    </row>
    <row r="185" spans="1:10" x14ac:dyDescent="0.25">
      <c r="A185">
        <v>184</v>
      </c>
      <c r="B185" s="1">
        <v>45584</v>
      </c>
      <c r="C185" t="s">
        <v>14</v>
      </c>
      <c r="D185" t="s">
        <v>15</v>
      </c>
      <c r="E185">
        <v>105</v>
      </c>
      <c r="F185">
        <v>39</v>
      </c>
      <c r="G185">
        <v>9.6999999999999993</v>
      </c>
      <c r="H185" t="s">
        <v>12</v>
      </c>
      <c r="I185" t="s">
        <v>19</v>
      </c>
      <c r="J185" t="s">
        <v>11</v>
      </c>
    </row>
    <row r="186" spans="1:10" x14ac:dyDescent="0.25">
      <c r="A186">
        <v>185</v>
      </c>
      <c r="B186" s="1">
        <v>45370</v>
      </c>
      <c r="C186" t="s">
        <v>22</v>
      </c>
      <c r="D186" t="s">
        <v>17</v>
      </c>
      <c r="E186">
        <v>144</v>
      </c>
      <c r="F186">
        <v>48</v>
      </c>
      <c r="G186">
        <v>5</v>
      </c>
      <c r="H186" t="s">
        <v>18</v>
      </c>
      <c r="I186" t="s">
        <v>19</v>
      </c>
      <c r="J186" t="s">
        <v>11</v>
      </c>
    </row>
    <row r="187" spans="1:10" x14ac:dyDescent="0.25">
      <c r="A187">
        <v>186</v>
      </c>
      <c r="B187" s="1">
        <v>45329</v>
      </c>
      <c r="C187" t="s">
        <v>21</v>
      </c>
      <c r="D187" t="s">
        <v>20</v>
      </c>
      <c r="E187">
        <v>49</v>
      </c>
      <c r="F187">
        <v>27</v>
      </c>
      <c r="G187">
        <v>5.3</v>
      </c>
      <c r="H187" t="s">
        <v>12</v>
      </c>
      <c r="I187" t="s">
        <v>16</v>
      </c>
      <c r="J187" t="s">
        <v>11</v>
      </c>
    </row>
    <row r="188" spans="1:10" x14ac:dyDescent="0.25">
      <c r="A188">
        <v>187</v>
      </c>
      <c r="B188" s="1">
        <v>45354</v>
      </c>
      <c r="C188" t="s">
        <v>14</v>
      </c>
      <c r="D188" t="s">
        <v>17</v>
      </c>
      <c r="E188">
        <v>89</v>
      </c>
      <c r="F188">
        <v>42</v>
      </c>
      <c r="G188">
        <v>7.7</v>
      </c>
      <c r="H188" t="s">
        <v>18</v>
      </c>
      <c r="I188" t="s">
        <v>19</v>
      </c>
      <c r="J188" t="s">
        <v>11</v>
      </c>
    </row>
    <row r="189" spans="1:10" x14ac:dyDescent="0.25">
      <c r="A189">
        <v>188</v>
      </c>
      <c r="B189" s="1">
        <v>45559</v>
      </c>
      <c r="C189" t="s">
        <v>22</v>
      </c>
      <c r="D189" t="s">
        <v>15</v>
      </c>
      <c r="E189">
        <v>188</v>
      </c>
      <c r="F189">
        <v>13</v>
      </c>
      <c r="G189">
        <v>7</v>
      </c>
      <c r="H189" t="s">
        <v>12</v>
      </c>
      <c r="I189" t="s">
        <v>13</v>
      </c>
      <c r="J189" t="s">
        <v>11</v>
      </c>
    </row>
    <row r="190" spans="1:10" x14ac:dyDescent="0.25">
      <c r="A190">
        <v>189</v>
      </c>
      <c r="B190" s="1">
        <v>45526</v>
      </c>
      <c r="C190" t="s">
        <v>23</v>
      </c>
      <c r="D190" t="s">
        <v>11</v>
      </c>
      <c r="E190">
        <v>98</v>
      </c>
      <c r="F190">
        <v>40</v>
      </c>
      <c r="G190">
        <v>5.9</v>
      </c>
      <c r="H190" t="s">
        <v>12</v>
      </c>
      <c r="I190" t="s">
        <v>19</v>
      </c>
      <c r="J190" t="s">
        <v>11</v>
      </c>
    </row>
    <row r="191" spans="1:10" x14ac:dyDescent="0.25">
      <c r="A191">
        <v>190</v>
      </c>
      <c r="B191" s="1">
        <v>45325</v>
      </c>
      <c r="C191" t="s">
        <v>23</v>
      </c>
      <c r="D191" t="s">
        <v>20</v>
      </c>
      <c r="E191">
        <v>190</v>
      </c>
      <c r="F191">
        <v>34</v>
      </c>
      <c r="G191">
        <v>4.9000000000000004</v>
      </c>
      <c r="H191" t="s">
        <v>18</v>
      </c>
      <c r="I191" t="s">
        <v>19</v>
      </c>
      <c r="J191" t="s">
        <v>11</v>
      </c>
    </row>
    <row r="192" spans="1:10" x14ac:dyDescent="0.25">
      <c r="A192">
        <v>191</v>
      </c>
      <c r="B192" s="1">
        <v>45482</v>
      </c>
      <c r="C192" t="s">
        <v>22</v>
      </c>
      <c r="D192" t="s">
        <v>20</v>
      </c>
      <c r="E192">
        <v>130</v>
      </c>
      <c r="F192">
        <v>57</v>
      </c>
      <c r="G192">
        <v>3.9</v>
      </c>
      <c r="H192" t="s">
        <v>12</v>
      </c>
      <c r="I192" t="s">
        <v>16</v>
      </c>
      <c r="J192" t="s">
        <v>11</v>
      </c>
    </row>
    <row r="193" spans="1:10" x14ac:dyDescent="0.25">
      <c r="A193">
        <v>192</v>
      </c>
      <c r="B193" s="1">
        <v>45580</v>
      </c>
      <c r="C193" t="s">
        <v>23</v>
      </c>
      <c r="D193" t="s">
        <v>11</v>
      </c>
      <c r="E193">
        <v>213</v>
      </c>
      <c r="F193">
        <v>28</v>
      </c>
      <c r="G193">
        <v>9.8000000000000007</v>
      </c>
      <c r="H193" t="s">
        <v>12</v>
      </c>
      <c r="I193" t="s">
        <v>16</v>
      </c>
      <c r="J193" t="s">
        <v>11</v>
      </c>
    </row>
    <row r="194" spans="1:10" x14ac:dyDescent="0.25">
      <c r="A194">
        <v>193</v>
      </c>
      <c r="B194" s="1">
        <v>45527</v>
      </c>
      <c r="C194" t="s">
        <v>10</v>
      </c>
      <c r="D194" t="s">
        <v>15</v>
      </c>
      <c r="E194">
        <v>239</v>
      </c>
      <c r="F194">
        <v>44</v>
      </c>
      <c r="G194">
        <v>5.2</v>
      </c>
      <c r="H194" t="s">
        <v>12</v>
      </c>
      <c r="I194" t="s">
        <v>16</v>
      </c>
      <c r="J194" t="s">
        <v>11</v>
      </c>
    </row>
    <row r="195" spans="1:10" x14ac:dyDescent="0.25">
      <c r="A195">
        <v>194</v>
      </c>
      <c r="B195" s="1">
        <v>45408</v>
      </c>
      <c r="C195" t="s">
        <v>10</v>
      </c>
      <c r="D195" t="s">
        <v>11</v>
      </c>
      <c r="E195">
        <v>197</v>
      </c>
      <c r="F195">
        <v>36</v>
      </c>
      <c r="G195">
        <v>9.3000000000000007</v>
      </c>
      <c r="H195" t="s">
        <v>12</v>
      </c>
      <c r="I195" t="s">
        <v>13</v>
      </c>
      <c r="J195" t="s">
        <v>11</v>
      </c>
    </row>
    <row r="196" spans="1:10" x14ac:dyDescent="0.25">
      <c r="A196">
        <v>195</v>
      </c>
      <c r="B196" s="1">
        <v>45467</v>
      </c>
      <c r="C196" t="s">
        <v>10</v>
      </c>
      <c r="D196" t="s">
        <v>15</v>
      </c>
      <c r="E196">
        <v>138</v>
      </c>
      <c r="F196">
        <v>5</v>
      </c>
      <c r="G196">
        <v>7.1</v>
      </c>
      <c r="H196" t="s">
        <v>12</v>
      </c>
      <c r="I196" t="s">
        <v>19</v>
      </c>
      <c r="J196" t="s">
        <v>15</v>
      </c>
    </row>
    <row r="197" spans="1:10" x14ac:dyDescent="0.25">
      <c r="A197">
        <v>196</v>
      </c>
      <c r="B197" s="1">
        <v>45337</v>
      </c>
      <c r="C197" t="s">
        <v>23</v>
      </c>
      <c r="D197" t="s">
        <v>17</v>
      </c>
      <c r="E197">
        <v>170</v>
      </c>
      <c r="F197">
        <v>70</v>
      </c>
      <c r="G197">
        <v>5</v>
      </c>
      <c r="H197" t="s">
        <v>12</v>
      </c>
      <c r="I197" t="s">
        <v>16</v>
      </c>
      <c r="J197" t="s">
        <v>11</v>
      </c>
    </row>
    <row r="198" spans="1:10" x14ac:dyDescent="0.25">
      <c r="A198">
        <v>197</v>
      </c>
      <c r="B198" s="1">
        <v>45502</v>
      </c>
      <c r="C198" t="s">
        <v>14</v>
      </c>
      <c r="D198" t="s">
        <v>15</v>
      </c>
      <c r="E198">
        <v>220</v>
      </c>
      <c r="F198">
        <v>1</v>
      </c>
      <c r="G198">
        <v>8.6</v>
      </c>
      <c r="H198" t="s">
        <v>12</v>
      </c>
      <c r="I198" t="s">
        <v>19</v>
      </c>
      <c r="J198" t="s">
        <v>15</v>
      </c>
    </row>
    <row r="199" spans="1:10" x14ac:dyDescent="0.25">
      <c r="A199">
        <v>198</v>
      </c>
      <c r="B199" s="1">
        <v>45585</v>
      </c>
      <c r="C199" t="s">
        <v>23</v>
      </c>
      <c r="D199" t="s">
        <v>20</v>
      </c>
      <c r="E199">
        <v>179</v>
      </c>
      <c r="F199">
        <v>59</v>
      </c>
      <c r="G199">
        <v>9.1999999999999993</v>
      </c>
      <c r="H199" t="s">
        <v>18</v>
      </c>
      <c r="I199" t="s">
        <v>19</v>
      </c>
      <c r="J199" t="s">
        <v>11</v>
      </c>
    </row>
    <row r="200" spans="1:10" x14ac:dyDescent="0.25">
      <c r="A200">
        <v>199</v>
      </c>
      <c r="B200" s="1">
        <v>45523</v>
      </c>
      <c r="C200" t="s">
        <v>10</v>
      </c>
      <c r="D200" t="s">
        <v>15</v>
      </c>
      <c r="E200">
        <v>86</v>
      </c>
      <c r="F200">
        <v>62</v>
      </c>
      <c r="G200">
        <v>9.9</v>
      </c>
      <c r="H200" t="s">
        <v>18</v>
      </c>
      <c r="I200" t="s">
        <v>13</v>
      </c>
      <c r="J200" t="s">
        <v>15</v>
      </c>
    </row>
    <row r="201" spans="1:10" x14ac:dyDescent="0.25">
      <c r="A201">
        <v>200</v>
      </c>
      <c r="B201" s="1">
        <v>45363</v>
      </c>
      <c r="C201" t="s">
        <v>21</v>
      </c>
      <c r="D201" t="s">
        <v>17</v>
      </c>
      <c r="E201">
        <v>65</v>
      </c>
      <c r="F201">
        <v>60</v>
      </c>
      <c r="G201">
        <v>7</v>
      </c>
      <c r="H201" t="s">
        <v>12</v>
      </c>
      <c r="I201" t="s">
        <v>16</v>
      </c>
      <c r="J201" t="s">
        <v>11</v>
      </c>
    </row>
    <row r="202" spans="1:10" x14ac:dyDescent="0.25">
      <c r="A202">
        <v>201</v>
      </c>
      <c r="B202" s="1">
        <v>45610</v>
      </c>
      <c r="C202" t="s">
        <v>23</v>
      </c>
      <c r="D202" t="s">
        <v>20</v>
      </c>
      <c r="E202">
        <v>67</v>
      </c>
      <c r="F202">
        <v>6</v>
      </c>
      <c r="G202">
        <v>0.6</v>
      </c>
      <c r="H202" t="s">
        <v>12</v>
      </c>
      <c r="I202" t="s">
        <v>19</v>
      </c>
      <c r="J202" t="s">
        <v>11</v>
      </c>
    </row>
    <row r="203" spans="1:10" x14ac:dyDescent="0.25">
      <c r="A203">
        <v>202</v>
      </c>
      <c r="B203" s="1">
        <v>45601</v>
      </c>
      <c r="C203" t="s">
        <v>10</v>
      </c>
      <c r="D203" t="s">
        <v>17</v>
      </c>
      <c r="E203">
        <v>32</v>
      </c>
      <c r="F203">
        <v>58</v>
      </c>
      <c r="G203">
        <v>2.1</v>
      </c>
      <c r="H203" t="s">
        <v>12</v>
      </c>
      <c r="I203" t="s">
        <v>16</v>
      </c>
      <c r="J203" t="s">
        <v>11</v>
      </c>
    </row>
    <row r="204" spans="1:10" x14ac:dyDescent="0.25">
      <c r="A204">
        <v>203</v>
      </c>
      <c r="B204" s="1">
        <v>45417</v>
      </c>
      <c r="C204" t="s">
        <v>10</v>
      </c>
      <c r="D204" t="s">
        <v>11</v>
      </c>
      <c r="E204">
        <v>19</v>
      </c>
      <c r="F204">
        <v>70</v>
      </c>
      <c r="G204">
        <v>7.9</v>
      </c>
      <c r="H204" t="s">
        <v>12</v>
      </c>
      <c r="I204" t="s">
        <v>13</v>
      </c>
      <c r="J204" t="s">
        <v>15</v>
      </c>
    </row>
    <row r="205" spans="1:10" x14ac:dyDescent="0.25">
      <c r="A205">
        <v>204</v>
      </c>
      <c r="B205" s="1">
        <v>45645</v>
      </c>
      <c r="C205" t="s">
        <v>10</v>
      </c>
      <c r="D205" t="s">
        <v>11</v>
      </c>
      <c r="E205">
        <v>193</v>
      </c>
      <c r="F205">
        <v>70</v>
      </c>
      <c r="G205">
        <v>4.5</v>
      </c>
      <c r="H205" t="s">
        <v>12</v>
      </c>
      <c r="I205" t="s">
        <v>13</v>
      </c>
      <c r="J205" t="s">
        <v>11</v>
      </c>
    </row>
    <row r="206" spans="1:10" x14ac:dyDescent="0.25">
      <c r="A206">
        <v>205</v>
      </c>
      <c r="B206" s="1">
        <v>45594</v>
      </c>
      <c r="C206" t="s">
        <v>22</v>
      </c>
      <c r="D206" t="s">
        <v>20</v>
      </c>
      <c r="E206">
        <v>123</v>
      </c>
      <c r="F206">
        <v>66</v>
      </c>
      <c r="G206">
        <v>8.8000000000000007</v>
      </c>
      <c r="H206" t="s">
        <v>18</v>
      </c>
      <c r="I206" t="s">
        <v>13</v>
      </c>
      <c r="J206" t="s">
        <v>11</v>
      </c>
    </row>
    <row r="207" spans="1:10" x14ac:dyDescent="0.25">
      <c r="A207">
        <v>206</v>
      </c>
      <c r="B207" s="1">
        <v>45571</v>
      </c>
      <c r="C207" t="s">
        <v>23</v>
      </c>
      <c r="D207" t="s">
        <v>17</v>
      </c>
      <c r="E207">
        <v>222</v>
      </c>
      <c r="F207">
        <v>43</v>
      </c>
      <c r="G207">
        <v>3.7</v>
      </c>
      <c r="H207" t="s">
        <v>18</v>
      </c>
      <c r="I207" t="s">
        <v>16</v>
      </c>
      <c r="J207" t="s">
        <v>11</v>
      </c>
    </row>
    <row r="208" spans="1:10" x14ac:dyDescent="0.25">
      <c r="A208">
        <v>207</v>
      </c>
      <c r="B208" s="1">
        <v>45331</v>
      </c>
      <c r="C208" t="s">
        <v>14</v>
      </c>
      <c r="D208" t="s">
        <v>15</v>
      </c>
      <c r="E208">
        <v>215</v>
      </c>
      <c r="F208">
        <v>38</v>
      </c>
      <c r="G208">
        <v>9.3000000000000007</v>
      </c>
      <c r="H208" t="s">
        <v>12</v>
      </c>
      <c r="I208" t="s">
        <v>13</v>
      </c>
      <c r="J208" t="s">
        <v>11</v>
      </c>
    </row>
    <row r="209" spans="1:10" x14ac:dyDescent="0.25">
      <c r="A209">
        <v>208</v>
      </c>
      <c r="B209" s="1">
        <v>45486</v>
      </c>
      <c r="C209" t="s">
        <v>22</v>
      </c>
      <c r="D209" t="s">
        <v>11</v>
      </c>
      <c r="E209">
        <v>116</v>
      </c>
      <c r="F209">
        <v>18</v>
      </c>
      <c r="G209">
        <v>9</v>
      </c>
      <c r="H209" t="s">
        <v>18</v>
      </c>
      <c r="I209" t="s">
        <v>19</v>
      </c>
      <c r="J209" t="s">
        <v>15</v>
      </c>
    </row>
    <row r="210" spans="1:10" x14ac:dyDescent="0.25">
      <c r="A210">
        <v>209</v>
      </c>
      <c r="B210" s="1">
        <v>45570</v>
      </c>
      <c r="C210" t="s">
        <v>23</v>
      </c>
      <c r="D210" t="s">
        <v>11</v>
      </c>
      <c r="E210">
        <v>111</v>
      </c>
      <c r="F210">
        <v>63</v>
      </c>
      <c r="G210">
        <v>9.4</v>
      </c>
      <c r="H210" t="s">
        <v>12</v>
      </c>
      <c r="I210" t="s">
        <v>19</v>
      </c>
      <c r="J210" t="s">
        <v>11</v>
      </c>
    </row>
    <row r="211" spans="1:10" x14ac:dyDescent="0.25">
      <c r="A211">
        <v>210</v>
      </c>
      <c r="B211" s="1">
        <v>45494</v>
      </c>
      <c r="C211" t="s">
        <v>14</v>
      </c>
      <c r="D211" t="s">
        <v>15</v>
      </c>
      <c r="E211">
        <v>65</v>
      </c>
      <c r="F211">
        <v>54</v>
      </c>
      <c r="G211">
        <v>6.9</v>
      </c>
      <c r="H211" t="s">
        <v>18</v>
      </c>
      <c r="I211" t="s">
        <v>16</v>
      </c>
      <c r="J211" t="s">
        <v>15</v>
      </c>
    </row>
    <row r="212" spans="1:10" x14ac:dyDescent="0.25">
      <c r="A212">
        <v>211</v>
      </c>
      <c r="B212" s="1">
        <v>45492</v>
      </c>
      <c r="C212" t="s">
        <v>23</v>
      </c>
      <c r="D212" t="s">
        <v>17</v>
      </c>
      <c r="E212">
        <v>83</v>
      </c>
      <c r="F212">
        <v>58</v>
      </c>
      <c r="G212">
        <v>4.4000000000000004</v>
      </c>
      <c r="H212" t="s">
        <v>12</v>
      </c>
      <c r="I212" t="s">
        <v>13</v>
      </c>
      <c r="J212" t="s">
        <v>11</v>
      </c>
    </row>
    <row r="213" spans="1:10" x14ac:dyDescent="0.25">
      <c r="A213">
        <v>212</v>
      </c>
      <c r="B213" s="1">
        <v>45572</v>
      </c>
      <c r="C213" t="s">
        <v>23</v>
      </c>
      <c r="D213" t="s">
        <v>11</v>
      </c>
      <c r="E213">
        <v>209</v>
      </c>
      <c r="F213">
        <v>12</v>
      </c>
      <c r="G213">
        <v>0.7</v>
      </c>
      <c r="H213" t="s">
        <v>18</v>
      </c>
      <c r="I213" t="s">
        <v>16</v>
      </c>
      <c r="J213" t="s">
        <v>11</v>
      </c>
    </row>
    <row r="214" spans="1:10" x14ac:dyDescent="0.25">
      <c r="A214">
        <v>213</v>
      </c>
      <c r="B214" s="1">
        <v>45366</v>
      </c>
      <c r="C214" t="s">
        <v>14</v>
      </c>
      <c r="D214" t="s">
        <v>17</v>
      </c>
      <c r="E214">
        <v>10</v>
      </c>
      <c r="F214">
        <v>50</v>
      </c>
      <c r="G214">
        <v>5.4</v>
      </c>
      <c r="H214" t="s">
        <v>18</v>
      </c>
      <c r="I214" t="s">
        <v>13</v>
      </c>
      <c r="J214" t="s">
        <v>15</v>
      </c>
    </row>
    <row r="215" spans="1:10" x14ac:dyDescent="0.25">
      <c r="A215">
        <v>214</v>
      </c>
      <c r="B215" s="1">
        <v>45480</v>
      </c>
      <c r="C215" t="s">
        <v>10</v>
      </c>
      <c r="D215" t="s">
        <v>11</v>
      </c>
      <c r="E215">
        <v>128</v>
      </c>
      <c r="F215">
        <v>4</v>
      </c>
      <c r="G215">
        <v>6.7</v>
      </c>
      <c r="H215" t="s">
        <v>18</v>
      </c>
      <c r="I215" t="s">
        <v>19</v>
      </c>
      <c r="J215" t="s">
        <v>20</v>
      </c>
    </row>
    <row r="216" spans="1:10" x14ac:dyDescent="0.25">
      <c r="A216">
        <v>215</v>
      </c>
      <c r="B216" s="1">
        <v>45519</v>
      </c>
      <c r="C216" t="s">
        <v>21</v>
      </c>
      <c r="D216" t="s">
        <v>17</v>
      </c>
      <c r="E216">
        <v>121</v>
      </c>
      <c r="F216">
        <v>6</v>
      </c>
      <c r="G216">
        <v>2.8</v>
      </c>
      <c r="H216" t="s">
        <v>12</v>
      </c>
      <c r="I216" t="s">
        <v>19</v>
      </c>
      <c r="J216" t="s">
        <v>11</v>
      </c>
    </row>
    <row r="217" spans="1:10" x14ac:dyDescent="0.25">
      <c r="A217">
        <v>216</v>
      </c>
      <c r="B217" s="1">
        <v>45449</v>
      </c>
      <c r="C217" t="s">
        <v>10</v>
      </c>
      <c r="D217" t="s">
        <v>15</v>
      </c>
      <c r="E217">
        <v>125</v>
      </c>
      <c r="F217">
        <v>58</v>
      </c>
      <c r="G217">
        <v>2.2000000000000002</v>
      </c>
      <c r="H217" t="s">
        <v>18</v>
      </c>
      <c r="I217" t="s">
        <v>13</v>
      </c>
      <c r="J217" t="s">
        <v>11</v>
      </c>
    </row>
    <row r="218" spans="1:10" x14ac:dyDescent="0.25">
      <c r="A218">
        <v>217</v>
      </c>
      <c r="B218" s="1">
        <v>45506</v>
      </c>
      <c r="C218" t="s">
        <v>14</v>
      </c>
      <c r="D218" t="s">
        <v>17</v>
      </c>
      <c r="E218">
        <v>84</v>
      </c>
      <c r="F218">
        <v>22</v>
      </c>
      <c r="G218">
        <v>8.4</v>
      </c>
      <c r="H218" t="s">
        <v>12</v>
      </c>
      <c r="I218" t="s">
        <v>16</v>
      </c>
      <c r="J218" t="s">
        <v>11</v>
      </c>
    </row>
    <row r="219" spans="1:10" x14ac:dyDescent="0.25">
      <c r="A219">
        <v>218</v>
      </c>
      <c r="B219" s="1">
        <v>45468</v>
      </c>
      <c r="C219" t="s">
        <v>21</v>
      </c>
      <c r="D219" t="s">
        <v>20</v>
      </c>
      <c r="E219">
        <v>111</v>
      </c>
      <c r="F219">
        <v>15</v>
      </c>
      <c r="G219">
        <v>4.7</v>
      </c>
      <c r="H219" t="s">
        <v>12</v>
      </c>
      <c r="I219" t="s">
        <v>19</v>
      </c>
      <c r="J219" t="s">
        <v>11</v>
      </c>
    </row>
    <row r="220" spans="1:10" x14ac:dyDescent="0.25">
      <c r="A220">
        <v>219</v>
      </c>
      <c r="B220" s="1">
        <v>45640</v>
      </c>
      <c r="C220" t="s">
        <v>14</v>
      </c>
      <c r="D220" t="s">
        <v>11</v>
      </c>
      <c r="E220">
        <v>148</v>
      </c>
      <c r="F220">
        <v>71</v>
      </c>
      <c r="G220">
        <v>4.8</v>
      </c>
      <c r="H220" t="s">
        <v>12</v>
      </c>
      <c r="I220" t="s">
        <v>16</v>
      </c>
      <c r="J220" t="s">
        <v>11</v>
      </c>
    </row>
    <row r="221" spans="1:10" x14ac:dyDescent="0.25">
      <c r="A221">
        <v>220</v>
      </c>
      <c r="B221" s="1">
        <v>45390</v>
      </c>
      <c r="C221" t="s">
        <v>14</v>
      </c>
      <c r="D221" t="s">
        <v>20</v>
      </c>
      <c r="E221">
        <v>37</v>
      </c>
      <c r="F221">
        <v>72</v>
      </c>
      <c r="G221">
        <v>8.1999999999999993</v>
      </c>
      <c r="H221" t="s">
        <v>12</v>
      </c>
      <c r="I221" t="s">
        <v>13</v>
      </c>
      <c r="J221" t="s">
        <v>11</v>
      </c>
    </row>
    <row r="222" spans="1:10" x14ac:dyDescent="0.25">
      <c r="A222">
        <v>221</v>
      </c>
      <c r="B222" s="1">
        <v>45492</v>
      </c>
      <c r="C222" t="s">
        <v>23</v>
      </c>
      <c r="D222" t="s">
        <v>17</v>
      </c>
      <c r="E222">
        <v>57</v>
      </c>
      <c r="F222">
        <v>39</v>
      </c>
      <c r="G222">
        <v>0.9</v>
      </c>
      <c r="H222" t="s">
        <v>12</v>
      </c>
      <c r="I222" t="s">
        <v>19</v>
      </c>
      <c r="J222" t="s">
        <v>11</v>
      </c>
    </row>
    <row r="223" spans="1:10" x14ac:dyDescent="0.25">
      <c r="A223">
        <v>222</v>
      </c>
      <c r="B223" s="1">
        <v>45339</v>
      </c>
      <c r="C223" t="s">
        <v>22</v>
      </c>
      <c r="D223" t="s">
        <v>11</v>
      </c>
      <c r="E223">
        <v>52</v>
      </c>
      <c r="F223">
        <v>43</v>
      </c>
      <c r="G223">
        <v>3.1</v>
      </c>
      <c r="H223" t="s">
        <v>12</v>
      </c>
      <c r="I223" t="s">
        <v>16</v>
      </c>
      <c r="J223" t="s">
        <v>11</v>
      </c>
    </row>
    <row r="224" spans="1:10" x14ac:dyDescent="0.25">
      <c r="A224">
        <v>223</v>
      </c>
      <c r="B224" s="1">
        <v>45334</v>
      </c>
      <c r="C224" t="s">
        <v>23</v>
      </c>
      <c r="D224" t="s">
        <v>17</v>
      </c>
      <c r="E224">
        <v>106</v>
      </c>
      <c r="F224">
        <v>4</v>
      </c>
      <c r="G224">
        <v>0.9</v>
      </c>
      <c r="H224" t="s">
        <v>12</v>
      </c>
      <c r="I224" t="s">
        <v>13</v>
      </c>
      <c r="J224" t="s">
        <v>11</v>
      </c>
    </row>
    <row r="225" spans="1:10" x14ac:dyDescent="0.25">
      <c r="A225">
        <v>224</v>
      </c>
      <c r="B225" s="1">
        <v>45429</v>
      </c>
      <c r="C225" t="s">
        <v>10</v>
      </c>
      <c r="D225" t="s">
        <v>20</v>
      </c>
      <c r="E225">
        <v>125</v>
      </c>
      <c r="F225">
        <v>69</v>
      </c>
      <c r="G225">
        <v>5.9</v>
      </c>
      <c r="H225" t="s">
        <v>12</v>
      </c>
      <c r="I225" t="s">
        <v>13</v>
      </c>
      <c r="J225" t="s">
        <v>11</v>
      </c>
    </row>
    <row r="226" spans="1:10" x14ac:dyDescent="0.25">
      <c r="A226">
        <v>225</v>
      </c>
      <c r="B226" s="1">
        <v>45647</v>
      </c>
      <c r="C226" t="s">
        <v>22</v>
      </c>
      <c r="D226" t="s">
        <v>11</v>
      </c>
      <c r="E226">
        <v>206</v>
      </c>
      <c r="F226">
        <v>69</v>
      </c>
      <c r="G226">
        <v>5.6</v>
      </c>
      <c r="H226" t="s">
        <v>12</v>
      </c>
      <c r="I226" t="s">
        <v>16</v>
      </c>
      <c r="J226" t="s">
        <v>11</v>
      </c>
    </row>
    <row r="227" spans="1:10" x14ac:dyDescent="0.25">
      <c r="A227">
        <v>226</v>
      </c>
      <c r="B227" s="1">
        <v>45347</v>
      </c>
      <c r="C227" t="s">
        <v>10</v>
      </c>
      <c r="D227" t="s">
        <v>15</v>
      </c>
      <c r="E227">
        <v>150</v>
      </c>
      <c r="F227">
        <v>17</v>
      </c>
      <c r="G227">
        <v>9.8000000000000007</v>
      </c>
      <c r="H227" t="s">
        <v>18</v>
      </c>
      <c r="I227" t="s">
        <v>13</v>
      </c>
      <c r="J227" t="s">
        <v>15</v>
      </c>
    </row>
    <row r="228" spans="1:10" x14ac:dyDescent="0.25">
      <c r="A228">
        <v>227</v>
      </c>
      <c r="B228" s="1">
        <v>45479</v>
      </c>
      <c r="C228" t="s">
        <v>14</v>
      </c>
      <c r="D228" t="s">
        <v>20</v>
      </c>
      <c r="E228">
        <v>28</v>
      </c>
      <c r="F228">
        <v>49</v>
      </c>
      <c r="G228">
        <v>6.4</v>
      </c>
      <c r="H228" t="s">
        <v>12</v>
      </c>
      <c r="I228" t="s">
        <v>19</v>
      </c>
      <c r="J228" t="s">
        <v>15</v>
      </c>
    </row>
    <row r="229" spans="1:10" x14ac:dyDescent="0.25">
      <c r="A229">
        <v>228</v>
      </c>
      <c r="B229" s="1">
        <v>45550</v>
      </c>
      <c r="C229" t="s">
        <v>10</v>
      </c>
      <c r="D229" t="s">
        <v>11</v>
      </c>
      <c r="E229">
        <v>67</v>
      </c>
      <c r="F229">
        <v>16</v>
      </c>
      <c r="G229">
        <v>9.4</v>
      </c>
      <c r="H229" t="s">
        <v>18</v>
      </c>
      <c r="I229" t="s">
        <v>16</v>
      </c>
      <c r="J229" t="s">
        <v>15</v>
      </c>
    </row>
    <row r="230" spans="1:10" x14ac:dyDescent="0.25">
      <c r="A230">
        <v>229</v>
      </c>
      <c r="B230" s="1">
        <v>45511</v>
      </c>
      <c r="C230" t="s">
        <v>22</v>
      </c>
      <c r="D230" t="s">
        <v>17</v>
      </c>
      <c r="E230">
        <v>184</v>
      </c>
      <c r="F230">
        <v>31</v>
      </c>
      <c r="G230">
        <v>6.9</v>
      </c>
      <c r="H230" t="s">
        <v>12</v>
      </c>
      <c r="I230" t="s">
        <v>13</v>
      </c>
      <c r="J230" t="s">
        <v>11</v>
      </c>
    </row>
    <row r="231" spans="1:10" x14ac:dyDescent="0.25">
      <c r="A231">
        <v>230</v>
      </c>
      <c r="B231" s="1">
        <v>45526</v>
      </c>
      <c r="C231" t="s">
        <v>23</v>
      </c>
      <c r="D231" t="s">
        <v>15</v>
      </c>
      <c r="E231">
        <v>103</v>
      </c>
      <c r="F231">
        <v>66</v>
      </c>
      <c r="G231">
        <v>2.2999999999999998</v>
      </c>
      <c r="H231" t="s">
        <v>18</v>
      </c>
      <c r="I231" t="s">
        <v>19</v>
      </c>
      <c r="J231" t="s">
        <v>11</v>
      </c>
    </row>
    <row r="232" spans="1:10" x14ac:dyDescent="0.25">
      <c r="A232">
        <v>231</v>
      </c>
      <c r="B232" s="1">
        <v>45429</v>
      </c>
      <c r="C232" t="s">
        <v>23</v>
      </c>
      <c r="D232" t="s">
        <v>17</v>
      </c>
      <c r="E232">
        <v>149</v>
      </c>
      <c r="F232">
        <v>60</v>
      </c>
      <c r="G232">
        <v>6</v>
      </c>
      <c r="H232" t="s">
        <v>18</v>
      </c>
      <c r="I232" t="s">
        <v>19</v>
      </c>
      <c r="J232" t="s">
        <v>11</v>
      </c>
    </row>
    <row r="233" spans="1:10" x14ac:dyDescent="0.25">
      <c r="A233">
        <v>232</v>
      </c>
      <c r="B233" s="1">
        <v>45538</v>
      </c>
      <c r="C233" t="s">
        <v>10</v>
      </c>
      <c r="D233" t="s">
        <v>20</v>
      </c>
      <c r="E233">
        <v>196</v>
      </c>
      <c r="F233">
        <v>49</v>
      </c>
      <c r="G233">
        <v>4.5999999999999996</v>
      </c>
      <c r="H233" t="s">
        <v>18</v>
      </c>
      <c r="I233" t="s">
        <v>19</v>
      </c>
      <c r="J233" t="s">
        <v>11</v>
      </c>
    </row>
    <row r="234" spans="1:10" x14ac:dyDescent="0.25">
      <c r="A234">
        <v>233</v>
      </c>
      <c r="B234" s="1">
        <v>45639</v>
      </c>
      <c r="C234" t="s">
        <v>21</v>
      </c>
      <c r="D234" t="s">
        <v>17</v>
      </c>
      <c r="E234">
        <v>11</v>
      </c>
      <c r="F234">
        <v>32</v>
      </c>
      <c r="G234">
        <v>3.1</v>
      </c>
      <c r="H234" t="s">
        <v>12</v>
      </c>
      <c r="I234" t="s">
        <v>13</v>
      </c>
      <c r="J234" t="s">
        <v>11</v>
      </c>
    </row>
    <row r="235" spans="1:10" x14ac:dyDescent="0.25">
      <c r="A235">
        <v>234</v>
      </c>
      <c r="B235" s="1">
        <v>45467</v>
      </c>
      <c r="C235" t="s">
        <v>14</v>
      </c>
      <c r="D235" t="s">
        <v>11</v>
      </c>
      <c r="E235">
        <v>109</v>
      </c>
      <c r="F235">
        <v>67</v>
      </c>
      <c r="G235">
        <v>8.1</v>
      </c>
      <c r="H235" t="s">
        <v>18</v>
      </c>
      <c r="I235" t="s">
        <v>13</v>
      </c>
      <c r="J235" t="s">
        <v>15</v>
      </c>
    </row>
    <row r="236" spans="1:10" x14ac:dyDescent="0.25">
      <c r="A236">
        <v>235</v>
      </c>
      <c r="B236" s="1">
        <v>45441</v>
      </c>
      <c r="C236" t="s">
        <v>22</v>
      </c>
      <c r="D236" t="s">
        <v>11</v>
      </c>
      <c r="E236">
        <v>84</v>
      </c>
      <c r="F236">
        <v>15</v>
      </c>
      <c r="G236">
        <v>4.3</v>
      </c>
      <c r="H236" t="s">
        <v>12</v>
      </c>
      <c r="I236" t="s">
        <v>16</v>
      </c>
      <c r="J236" t="s">
        <v>11</v>
      </c>
    </row>
    <row r="237" spans="1:10" x14ac:dyDescent="0.25">
      <c r="A237">
        <v>236</v>
      </c>
      <c r="B237" s="1">
        <v>45428</v>
      </c>
      <c r="C237" t="s">
        <v>22</v>
      </c>
      <c r="D237" t="s">
        <v>17</v>
      </c>
      <c r="E237">
        <v>56</v>
      </c>
      <c r="F237">
        <v>45</v>
      </c>
      <c r="G237">
        <v>2.1</v>
      </c>
      <c r="H237" t="s">
        <v>12</v>
      </c>
      <c r="I237" t="s">
        <v>16</v>
      </c>
      <c r="J237" t="s">
        <v>11</v>
      </c>
    </row>
    <row r="238" spans="1:10" x14ac:dyDescent="0.25">
      <c r="A238">
        <v>237</v>
      </c>
      <c r="B238" s="1">
        <v>45621</v>
      </c>
      <c r="C238" t="s">
        <v>14</v>
      </c>
      <c r="D238" t="s">
        <v>15</v>
      </c>
      <c r="E238">
        <v>207</v>
      </c>
      <c r="F238">
        <v>59</v>
      </c>
      <c r="G238">
        <v>3.5</v>
      </c>
      <c r="H238" t="s">
        <v>18</v>
      </c>
      <c r="I238" t="s">
        <v>13</v>
      </c>
      <c r="J238" t="s">
        <v>11</v>
      </c>
    </row>
    <row r="239" spans="1:10" x14ac:dyDescent="0.25">
      <c r="A239">
        <v>238</v>
      </c>
      <c r="B239" s="1">
        <v>45457</v>
      </c>
      <c r="C239" t="s">
        <v>14</v>
      </c>
      <c r="D239" t="s">
        <v>11</v>
      </c>
      <c r="E239">
        <v>7</v>
      </c>
      <c r="F239">
        <v>42</v>
      </c>
      <c r="G239">
        <v>3.1</v>
      </c>
      <c r="H239" t="s">
        <v>18</v>
      </c>
      <c r="I239" t="s">
        <v>13</v>
      </c>
      <c r="J239" t="s">
        <v>15</v>
      </c>
    </row>
    <row r="240" spans="1:10" x14ac:dyDescent="0.25">
      <c r="A240">
        <v>239</v>
      </c>
      <c r="B240" s="1">
        <v>45450</v>
      </c>
      <c r="C240" t="s">
        <v>14</v>
      </c>
      <c r="D240" t="s">
        <v>11</v>
      </c>
      <c r="E240">
        <v>107</v>
      </c>
      <c r="F240">
        <v>46</v>
      </c>
      <c r="G240">
        <v>4.9000000000000004</v>
      </c>
      <c r="H240" t="s">
        <v>12</v>
      </c>
      <c r="I240" t="s">
        <v>13</v>
      </c>
      <c r="J240" t="s">
        <v>11</v>
      </c>
    </row>
    <row r="241" spans="1:10" x14ac:dyDescent="0.25">
      <c r="A241">
        <v>240</v>
      </c>
      <c r="B241" s="1">
        <v>45558</v>
      </c>
      <c r="C241" t="s">
        <v>23</v>
      </c>
      <c r="D241" t="s">
        <v>11</v>
      </c>
      <c r="E241">
        <v>200</v>
      </c>
      <c r="F241">
        <v>38</v>
      </c>
      <c r="G241">
        <v>3.4</v>
      </c>
      <c r="H241" t="s">
        <v>18</v>
      </c>
      <c r="I241" t="s">
        <v>13</v>
      </c>
      <c r="J241" t="s">
        <v>11</v>
      </c>
    </row>
    <row r="242" spans="1:10" x14ac:dyDescent="0.25">
      <c r="A242">
        <v>241</v>
      </c>
      <c r="B242" s="1">
        <v>45476</v>
      </c>
      <c r="C242" t="s">
        <v>23</v>
      </c>
      <c r="D242" t="s">
        <v>20</v>
      </c>
      <c r="E242">
        <v>198</v>
      </c>
      <c r="F242">
        <v>50</v>
      </c>
      <c r="G242">
        <v>8.3000000000000007</v>
      </c>
      <c r="H242" t="s">
        <v>18</v>
      </c>
      <c r="I242" t="s">
        <v>16</v>
      </c>
      <c r="J242" t="s">
        <v>11</v>
      </c>
    </row>
    <row r="243" spans="1:10" x14ac:dyDescent="0.25">
      <c r="A243">
        <v>242</v>
      </c>
      <c r="B243" s="1">
        <v>45374</v>
      </c>
      <c r="C243" t="s">
        <v>21</v>
      </c>
      <c r="D243" t="s">
        <v>17</v>
      </c>
      <c r="E243">
        <v>182</v>
      </c>
      <c r="F243">
        <v>58</v>
      </c>
      <c r="G243">
        <v>5.6</v>
      </c>
      <c r="H243" t="s">
        <v>12</v>
      </c>
      <c r="I243" t="s">
        <v>19</v>
      </c>
      <c r="J243" t="s">
        <v>11</v>
      </c>
    </row>
    <row r="244" spans="1:10" x14ac:dyDescent="0.25">
      <c r="A244">
        <v>243</v>
      </c>
      <c r="B244" s="1">
        <v>45516</v>
      </c>
      <c r="C244" t="s">
        <v>21</v>
      </c>
      <c r="D244" t="s">
        <v>15</v>
      </c>
      <c r="E244">
        <v>125</v>
      </c>
      <c r="F244">
        <v>19</v>
      </c>
      <c r="G244">
        <v>6.1</v>
      </c>
      <c r="H244" t="s">
        <v>18</v>
      </c>
      <c r="I244" t="s">
        <v>13</v>
      </c>
      <c r="J244" t="s">
        <v>15</v>
      </c>
    </row>
    <row r="245" spans="1:10" x14ac:dyDescent="0.25">
      <c r="A245">
        <v>244</v>
      </c>
      <c r="B245" s="1">
        <v>45393</v>
      </c>
      <c r="C245" t="s">
        <v>14</v>
      </c>
      <c r="D245" t="s">
        <v>11</v>
      </c>
      <c r="E245">
        <v>26</v>
      </c>
      <c r="F245">
        <v>72</v>
      </c>
      <c r="G245">
        <v>9.1999999999999993</v>
      </c>
      <c r="H245" t="s">
        <v>18</v>
      </c>
      <c r="I245" t="s">
        <v>19</v>
      </c>
      <c r="J245" t="s">
        <v>20</v>
      </c>
    </row>
    <row r="246" spans="1:10" x14ac:dyDescent="0.25">
      <c r="A246">
        <v>245</v>
      </c>
      <c r="B246" s="1">
        <v>45502</v>
      </c>
      <c r="C246" t="s">
        <v>10</v>
      </c>
      <c r="D246" t="s">
        <v>17</v>
      </c>
      <c r="E246">
        <v>125</v>
      </c>
      <c r="F246">
        <v>12</v>
      </c>
      <c r="G246">
        <v>9.6</v>
      </c>
      <c r="H246" t="s">
        <v>12</v>
      </c>
      <c r="I246" t="s">
        <v>13</v>
      </c>
      <c r="J246" t="s">
        <v>11</v>
      </c>
    </row>
    <row r="247" spans="1:10" x14ac:dyDescent="0.25">
      <c r="A247">
        <v>246</v>
      </c>
      <c r="B247" s="1">
        <v>45345</v>
      </c>
      <c r="C247" t="s">
        <v>22</v>
      </c>
      <c r="D247" t="s">
        <v>20</v>
      </c>
      <c r="E247">
        <v>52</v>
      </c>
      <c r="F247">
        <v>47</v>
      </c>
      <c r="G247">
        <v>7.8</v>
      </c>
      <c r="H247" t="s">
        <v>18</v>
      </c>
      <c r="I247" t="s">
        <v>16</v>
      </c>
      <c r="J247" t="s">
        <v>11</v>
      </c>
    </row>
    <row r="248" spans="1:10" x14ac:dyDescent="0.25">
      <c r="A248">
        <v>247</v>
      </c>
      <c r="B248" s="1">
        <v>45474</v>
      </c>
      <c r="C248" t="s">
        <v>21</v>
      </c>
      <c r="D248" t="s">
        <v>17</v>
      </c>
      <c r="E248">
        <v>235</v>
      </c>
      <c r="F248">
        <v>38</v>
      </c>
      <c r="G248">
        <v>3.4</v>
      </c>
      <c r="H248" t="s">
        <v>12</v>
      </c>
      <c r="I248" t="s">
        <v>16</v>
      </c>
      <c r="J248" t="s">
        <v>11</v>
      </c>
    </row>
    <row r="249" spans="1:10" x14ac:dyDescent="0.25">
      <c r="A249">
        <v>248</v>
      </c>
      <c r="B249" s="1">
        <v>45552</v>
      </c>
      <c r="C249" t="s">
        <v>22</v>
      </c>
      <c r="D249" t="s">
        <v>17</v>
      </c>
      <c r="E249">
        <v>17</v>
      </c>
      <c r="F249">
        <v>57</v>
      </c>
      <c r="G249">
        <v>5.3</v>
      </c>
      <c r="H249" t="s">
        <v>12</v>
      </c>
      <c r="I249" t="s">
        <v>16</v>
      </c>
      <c r="J249" t="s">
        <v>15</v>
      </c>
    </row>
    <row r="250" spans="1:10" x14ac:dyDescent="0.25">
      <c r="A250">
        <v>249</v>
      </c>
      <c r="B250" s="1">
        <v>45381</v>
      </c>
      <c r="C250" t="s">
        <v>10</v>
      </c>
      <c r="D250" t="s">
        <v>20</v>
      </c>
      <c r="E250">
        <v>80</v>
      </c>
      <c r="F250">
        <v>4</v>
      </c>
      <c r="G250">
        <v>4.2</v>
      </c>
      <c r="H250" t="s">
        <v>18</v>
      </c>
      <c r="I250" t="s">
        <v>13</v>
      </c>
      <c r="J250" t="s">
        <v>15</v>
      </c>
    </row>
    <row r="251" spans="1:10" x14ac:dyDescent="0.25">
      <c r="A251">
        <v>250</v>
      </c>
      <c r="B251" s="1">
        <v>45618</v>
      </c>
      <c r="C251" t="s">
        <v>22</v>
      </c>
      <c r="D251" t="s">
        <v>20</v>
      </c>
      <c r="E251">
        <v>37</v>
      </c>
      <c r="F251">
        <v>38</v>
      </c>
      <c r="G251">
        <v>1.1000000000000001</v>
      </c>
      <c r="H251" t="s">
        <v>12</v>
      </c>
      <c r="I251" t="s">
        <v>13</v>
      </c>
      <c r="J251" t="s">
        <v>11</v>
      </c>
    </row>
    <row r="252" spans="1:10" x14ac:dyDescent="0.25">
      <c r="A252">
        <v>251</v>
      </c>
      <c r="B252" s="1">
        <v>45314</v>
      </c>
      <c r="C252" t="s">
        <v>23</v>
      </c>
      <c r="D252" t="s">
        <v>15</v>
      </c>
      <c r="E252">
        <v>190</v>
      </c>
      <c r="F252">
        <v>35</v>
      </c>
      <c r="G252">
        <v>9.1</v>
      </c>
      <c r="H252" t="s">
        <v>18</v>
      </c>
      <c r="I252" t="s">
        <v>13</v>
      </c>
      <c r="J252" t="s">
        <v>15</v>
      </c>
    </row>
    <row r="253" spans="1:10" x14ac:dyDescent="0.25">
      <c r="A253">
        <v>252</v>
      </c>
      <c r="B253" s="1">
        <v>45387</v>
      </c>
      <c r="C253" t="s">
        <v>22</v>
      </c>
      <c r="D253" t="s">
        <v>20</v>
      </c>
      <c r="E253">
        <v>205</v>
      </c>
      <c r="F253">
        <v>54</v>
      </c>
      <c r="G253">
        <v>7.8</v>
      </c>
      <c r="H253" t="s">
        <v>18</v>
      </c>
      <c r="I253" t="s">
        <v>16</v>
      </c>
      <c r="J253" t="s">
        <v>11</v>
      </c>
    </row>
    <row r="254" spans="1:10" x14ac:dyDescent="0.25">
      <c r="A254">
        <v>253</v>
      </c>
      <c r="B254" s="1">
        <v>45649</v>
      </c>
      <c r="C254" t="s">
        <v>10</v>
      </c>
      <c r="D254" t="s">
        <v>20</v>
      </c>
      <c r="E254">
        <v>88</v>
      </c>
      <c r="F254">
        <v>30</v>
      </c>
      <c r="G254">
        <v>6.2</v>
      </c>
      <c r="H254" t="s">
        <v>18</v>
      </c>
      <c r="I254" t="s">
        <v>16</v>
      </c>
      <c r="J254" t="s">
        <v>11</v>
      </c>
    </row>
    <row r="255" spans="1:10" x14ac:dyDescent="0.25">
      <c r="A255">
        <v>254</v>
      </c>
      <c r="B255" s="1">
        <v>45300</v>
      </c>
      <c r="C255" t="s">
        <v>10</v>
      </c>
      <c r="D255" t="s">
        <v>15</v>
      </c>
      <c r="E255">
        <v>93</v>
      </c>
      <c r="F255">
        <v>37</v>
      </c>
      <c r="G255">
        <v>5.2</v>
      </c>
      <c r="H255" t="s">
        <v>18</v>
      </c>
      <c r="I255" t="s">
        <v>13</v>
      </c>
      <c r="J255" t="s">
        <v>15</v>
      </c>
    </row>
    <row r="256" spans="1:10" x14ac:dyDescent="0.25">
      <c r="A256">
        <v>255</v>
      </c>
      <c r="B256" s="1">
        <v>45590</v>
      </c>
      <c r="C256" t="s">
        <v>10</v>
      </c>
      <c r="D256" t="s">
        <v>17</v>
      </c>
      <c r="E256">
        <v>206</v>
      </c>
      <c r="F256">
        <v>44</v>
      </c>
      <c r="G256">
        <v>7.9</v>
      </c>
      <c r="H256" t="s">
        <v>12</v>
      </c>
      <c r="I256" t="s">
        <v>13</v>
      </c>
      <c r="J256" t="s">
        <v>11</v>
      </c>
    </row>
    <row r="257" spans="1:10" x14ac:dyDescent="0.25">
      <c r="A257">
        <v>256</v>
      </c>
      <c r="B257" s="1">
        <v>45458</v>
      </c>
      <c r="C257" t="s">
        <v>22</v>
      </c>
      <c r="D257" t="s">
        <v>15</v>
      </c>
      <c r="E257">
        <v>187</v>
      </c>
      <c r="F257">
        <v>7</v>
      </c>
      <c r="G257">
        <v>2.2999999999999998</v>
      </c>
      <c r="H257" t="s">
        <v>12</v>
      </c>
      <c r="I257" t="s">
        <v>13</v>
      </c>
      <c r="J257" t="s">
        <v>11</v>
      </c>
    </row>
    <row r="258" spans="1:10" x14ac:dyDescent="0.25">
      <c r="A258">
        <v>257</v>
      </c>
      <c r="B258" s="1">
        <v>45330</v>
      </c>
      <c r="C258" t="s">
        <v>23</v>
      </c>
      <c r="D258" t="s">
        <v>17</v>
      </c>
      <c r="E258">
        <v>231</v>
      </c>
      <c r="F258">
        <v>47</v>
      </c>
      <c r="G258">
        <v>4.7</v>
      </c>
      <c r="H258" t="s">
        <v>12</v>
      </c>
      <c r="I258" t="s">
        <v>19</v>
      </c>
      <c r="J258" t="s">
        <v>11</v>
      </c>
    </row>
    <row r="259" spans="1:10" x14ac:dyDescent="0.25">
      <c r="A259">
        <v>258</v>
      </c>
      <c r="B259" s="1">
        <v>45381</v>
      </c>
      <c r="C259" t="s">
        <v>21</v>
      </c>
      <c r="D259" t="s">
        <v>20</v>
      </c>
      <c r="E259">
        <v>216</v>
      </c>
      <c r="F259">
        <v>25</v>
      </c>
      <c r="G259">
        <v>6.7</v>
      </c>
      <c r="H259" t="s">
        <v>12</v>
      </c>
      <c r="I259" t="s">
        <v>19</v>
      </c>
      <c r="J259" t="s">
        <v>11</v>
      </c>
    </row>
    <row r="260" spans="1:10" x14ac:dyDescent="0.25">
      <c r="A260">
        <v>259</v>
      </c>
      <c r="B260" s="1">
        <v>45345</v>
      </c>
      <c r="C260" t="s">
        <v>10</v>
      </c>
      <c r="D260" t="s">
        <v>20</v>
      </c>
      <c r="E260">
        <v>113</v>
      </c>
      <c r="F260">
        <v>38</v>
      </c>
      <c r="G260">
        <v>4.4000000000000004</v>
      </c>
      <c r="H260" t="s">
        <v>18</v>
      </c>
      <c r="I260" t="s">
        <v>16</v>
      </c>
      <c r="J260" t="s">
        <v>11</v>
      </c>
    </row>
    <row r="261" spans="1:10" x14ac:dyDescent="0.25">
      <c r="A261">
        <v>260</v>
      </c>
      <c r="B261" s="1">
        <v>45426</v>
      </c>
      <c r="C261" t="s">
        <v>14</v>
      </c>
      <c r="D261" t="s">
        <v>20</v>
      </c>
      <c r="E261">
        <v>30</v>
      </c>
      <c r="F261">
        <v>46</v>
      </c>
      <c r="G261">
        <v>7.2</v>
      </c>
      <c r="H261" t="s">
        <v>18</v>
      </c>
      <c r="I261" t="s">
        <v>19</v>
      </c>
      <c r="J261" t="s">
        <v>15</v>
      </c>
    </row>
    <row r="262" spans="1:10" x14ac:dyDescent="0.25">
      <c r="A262">
        <v>261</v>
      </c>
      <c r="B262" s="1">
        <v>45419</v>
      </c>
      <c r="C262" t="s">
        <v>23</v>
      </c>
      <c r="D262" t="s">
        <v>15</v>
      </c>
      <c r="E262">
        <v>238</v>
      </c>
      <c r="F262">
        <v>2</v>
      </c>
      <c r="G262">
        <v>4.5999999999999996</v>
      </c>
      <c r="H262" t="s">
        <v>12</v>
      </c>
      <c r="I262" t="s">
        <v>13</v>
      </c>
      <c r="J262" t="s">
        <v>15</v>
      </c>
    </row>
    <row r="263" spans="1:10" x14ac:dyDescent="0.25">
      <c r="A263">
        <v>262</v>
      </c>
      <c r="B263" s="1">
        <v>45649</v>
      </c>
      <c r="C263" t="s">
        <v>10</v>
      </c>
      <c r="D263" t="s">
        <v>17</v>
      </c>
      <c r="E263">
        <v>201</v>
      </c>
      <c r="F263">
        <v>55</v>
      </c>
      <c r="G263">
        <v>0.7</v>
      </c>
      <c r="H263" t="s">
        <v>18</v>
      </c>
      <c r="I263" t="s">
        <v>19</v>
      </c>
      <c r="J263" t="s">
        <v>11</v>
      </c>
    </row>
    <row r="264" spans="1:10" x14ac:dyDescent="0.25">
      <c r="A264">
        <v>263</v>
      </c>
      <c r="B264" s="1">
        <v>45400</v>
      </c>
      <c r="C264" t="s">
        <v>10</v>
      </c>
      <c r="D264" t="s">
        <v>20</v>
      </c>
      <c r="E264">
        <v>140</v>
      </c>
      <c r="F264">
        <v>72</v>
      </c>
      <c r="G264">
        <v>5.4</v>
      </c>
      <c r="H264" t="s">
        <v>18</v>
      </c>
      <c r="I264" t="s">
        <v>19</v>
      </c>
      <c r="J264" t="s">
        <v>11</v>
      </c>
    </row>
    <row r="265" spans="1:10" x14ac:dyDescent="0.25">
      <c r="A265">
        <v>264</v>
      </c>
      <c r="B265" s="1">
        <v>45369</v>
      </c>
      <c r="C265" t="s">
        <v>10</v>
      </c>
      <c r="D265" t="s">
        <v>11</v>
      </c>
      <c r="E265">
        <v>23</v>
      </c>
      <c r="F265">
        <v>27</v>
      </c>
      <c r="G265">
        <v>0.8</v>
      </c>
      <c r="H265" t="s">
        <v>12</v>
      </c>
      <c r="I265" t="s">
        <v>19</v>
      </c>
      <c r="J265" t="s">
        <v>15</v>
      </c>
    </row>
    <row r="266" spans="1:10" x14ac:dyDescent="0.25">
      <c r="A266">
        <v>265</v>
      </c>
      <c r="B266" s="1">
        <v>45380</v>
      </c>
      <c r="C266" t="s">
        <v>22</v>
      </c>
      <c r="D266" t="s">
        <v>11</v>
      </c>
      <c r="E266">
        <v>28</v>
      </c>
      <c r="F266">
        <v>37</v>
      </c>
      <c r="G266">
        <v>4.9000000000000004</v>
      </c>
      <c r="H266" t="s">
        <v>18</v>
      </c>
      <c r="I266" t="s">
        <v>16</v>
      </c>
      <c r="J266" t="s">
        <v>15</v>
      </c>
    </row>
    <row r="267" spans="1:10" x14ac:dyDescent="0.25">
      <c r="A267">
        <v>266</v>
      </c>
      <c r="B267" s="1">
        <v>45559</v>
      </c>
      <c r="C267" t="s">
        <v>14</v>
      </c>
      <c r="D267" t="s">
        <v>15</v>
      </c>
      <c r="E267">
        <v>6</v>
      </c>
      <c r="F267">
        <v>29</v>
      </c>
      <c r="G267">
        <v>2.7</v>
      </c>
      <c r="H267" t="s">
        <v>18</v>
      </c>
      <c r="I267" t="s">
        <v>19</v>
      </c>
      <c r="J267" t="s">
        <v>15</v>
      </c>
    </row>
    <row r="268" spans="1:10" x14ac:dyDescent="0.25">
      <c r="A268">
        <v>267</v>
      </c>
      <c r="B268" s="1">
        <v>45351</v>
      </c>
      <c r="C268" t="s">
        <v>14</v>
      </c>
      <c r="D268" t="s">
        <v>11</v>
      </c>
      <c r="E268">
        <v>183</v>
      </c>
      <c r="F268">
        <v>9</v>
      </c>
      <c r="G268">
        <v>8</v>
      </c>
      <c r="H268" t="s">
        <v>12</v>
      </c>
      <c r="I268" t="s">
        <v>16</v>
      </c>
      <c r="J268" t="s">
        <v>11</v>
      </c>
    </row>
    <row r="269" spans="1:10" x14ac:dyDescent="0.25">
      <c r="A269">
        <v>268</v>
      </c>
      <c r="B269" s="1">
        <v>45615</v>
      </c>
      <c r="C269" t="s">
        <v>23</v>
      </c>
      <c r="D269" t="s">
        <v>15</v>
      </c>
      <c r="E269">
        <v>186</v>
      </c>
      <c r="F269">
        <v>59</v>
      </c>
      <c r="G269">
        <v>7.8</v>
      </c>
      <c r="H269" t="s">
        <v>12</v>
      </c>
      <c r="I269" t="s">
        <v>16</v>
      </c>
      <c r="J269" t="s">
        <v>11</v>
      </c>
    </row>
    <row r="270" spans="1:10" x14ac:dyDescent="0.25">
      <c r="A270">
        <v>269</v>
      </c>
      <c r="B270" s="1">
        <v>45328</v>
      </c>
      <c r="C270" t="s">
        <v>22</v>
      </c>
      <c r="D270" t="s">
        <v>20</v>
      </c>
      <c r="E270">
        <v>200</v>
      </c>
      <c r="F270">
        <v>41</v>
      </c>
      <c r="G270">
        <v>5.5</v>
      </c>
      <c r="H270" t="s">
        <v>12</v>
      </c>
      <c r="I270" t="s">
        <v>13</v>
      </c>
      <c r="J270" t="s">
        <v>11</v>
      </c>
    </row>
    <row r="271" spans="1:10" x14ac:dyDescent="0.25">
      <c r="A271">
        <v>270</v>
      </c>
      <c r="B271" s="1">
        <v>45558</v>
      </c>
      <c r="C271" t="s">
        <v>10</v>
      </c>
      <c r="D271" t="s">
        <v>17</v>
      </c>
      <c r="E271">
        <v>123</v>
      </c>
      <c r="F271">
        <v>29</v>
      </c>
      <c r="G271">
        <v>3.2</v>
      </c>
      <c r="H271" t="s">
        <v>18</v>
      </c>
      <c r="I271" t="s">
        <v>16</v>
      </c>
      <c r="J271" t="s">
        <v>11</v>
      </c>
    </row>
    <row r="272" spans="1:10" x14ac:dyDescent="0.25">
      <c r="A272">
        <v>271</v>
      </c>
      <c r="B272" s="1">
        <v>45630</v>
      </c>
      <c r="C272" t="s">
        <v>14</v>
      </c>
      <c r="D272" t="s">
        <v>15</v>
      </c>
      <c r="E272">
        <v>71</v>
      </c>
      <c r="F272">
        <v>6</v>
      </c>
      <c r="G272">
        <v>0.8</v>
      </c>
      <c r="H272" t="s">
        <v>12</v>
      </c>
      <c r="I272" t="s">
        <v>13</v>
      </c>
      <c r="J272" t="s">
        <v>15</v>
      </c>
    </row>
    <row r="273" spans="1:10" x14ac:dyDescent="0.25">
      <c r="A273">
        <v>272</v>
      </c>
      <c r="B273" s="1">
        <v>45367</v>
      </c>
      <c r="C273" t="s">
        <v>21</v>
      </c>
      <c r="D273" t="s">
        <v>17</v>
      </c>
      <c r="E273">
        <v>233</v>
      </c>
      <c r="F273">
        <v>25</v>
      </c>
      <c r="G273">
        <v>5.8</v>
      </c>
      <c r="H273" t="s">
        <v>18</v>
      </c>
      <c r="I273" t="s">
        <v>13</v>
      </c>
      <c r="J273" t="s">
        <v>11</v>
      </c>
    </row>
    <row r="274" spans="1:10" x14ac:dyDescent="0.25">
      <c r="A274">
        <v>273</v>
      </c>
      <c r="B274" s="1">
        <v>45495</v>
      </c>
      <c r="C274" t="s">
        <v>23</v>
      </c>
      <c r="D274" t="s">
        <v>17</v>
      </c>
      <c r="E274">
        <v>156</v>
      </c>
      <c r="F274">
        <v>9</v>
      </c>
      <c r="G274">
        <v>5.2</v>
      </c>
      <c r="H274" t="s">
        <v>18</v>
      </c>
      <c r="I274" t="s">
        <v>16</v>
      </c>
      <c r="J274" t="s">
        <v>11</v>
      </c>
    </row>
    <row r="275" spans="1:10" x14ac:dyDescent="0.25">
      <c r="A275">
        <v>274</v>
      </c>
      <c r="B275" s="1">
        <v>45529</v>
      </c>
      <c r="C275" t="s">
        <v>14</v>
      </c>
      <c r="D275" t="s">
        <v>17</v>
      </c>
      <c r="E275">
        <v>192</v>
      </c>
      <c r="F275">
        <v>24</v>
      </c>
      <c r="G275">
        <v>5.2</v>
      </c>
      <c r="H275" t="s">
        <v>18</v>
      </c>
      <c r="I275" t="s">
        <v>16</v>
      </c>
      <c r="J275" t="s">
        <v>11</v>
      </c>
    </row>
    <row r="276" spans="1:10" x14ac:dyDescent="0.25">
      <c r="A276">
        <v>275</v>
      </c>
      <c r="B276" s="1">
        <v>45565</v>
      </c>
      <c r="C276" t="s">
        <v>23</v>
      </c>
      <c r="D276" t="s">
        <v>20</v>
      </c>
      <c r="E276">
        <v>97</v>
      </c>
      <c r="F276">
        <v>70</v>
      </c>
      <c r="G276">
        <v>7.4</v>
      </c>
      <c r="H276" t="s">
        <v>18</v>
      </c>
      <c r="I276" t="s">
        <v>19</v>
      </c>
      <c r="J276" t="s">
        <v>11</v>
      </c>
    </row>
    <row r="277" spans="1:10" x14ac:dyDescent="0.25">
      <c r="A277">
        <v>276</v>
      </c>
      <c r="B277" s="1">
        <v>45402</v>
      </c>
      <c r="C277" t="s">
        <v>22</v>
      </c>
      <c r="D277" t="s">
        <v>15</v>
      </c>
      <c r="E277">
        <v>62</v>
      </c>
      <c r="F277">
        <v>64</v>
      </c>
      <c r="G277">
        <v>6.4</v>
      </c>
      <c r="H277" t="s">
        <v>18</v>
      </c>
      <c r="I277" t="s">
        <v>13</v>
      </c>
      <c r="J277" t="s">
        <v>15</v>
      </c>
    </row>
    <row r="278" spans="1:10" x14ac:dyDescent="0.25">
      <c r="A278">
        <v>277</v>
      </c>
      <c r="B278" s="1">
        <v>45419</v>
      </c>
      <c r="C278" t="s">
        <v>21</v>
      </c>
      <c r="D278" t="s">
        <v>15</v>
      </c>
      <c r="E278">
        <v>28</v>
      </c>
      <c r="F278">
        <v>54</v>
      </c>
      <c r="G278">
        <v>2.7</v>
      </c>
      <c r="H278" t="s">
        <v>12</v>
      </c>
      <c r="I278" t="s">
        <v>13</v>
      </c>
      <c r="J278" t="s">
        <v>15</v>
      </c>
    </row>
    <row r="279" spans="1:10" x14ac:dyDescent="0.25">
      <c r="A279">
        <v>278</v>
      </c>
      <c r="B279" s="1">
        <v>45381</v>
      </c>
      <c r="C279" t="s">
        <v>21</v>
      </c>
      <c r="D279" t="s">
        <v>17</v>
      </c>
      <c r="E279">
        <v>64</v>
      </c>
      <c r="F279">
        <v>7</v>
      </c>
      <c r="G279">
        <v>5.3</v>
      </c>
      <c r="H279" t="s">
        <v>18</v>
      </c>
      <c r="I279" t="s">
        <v>16</v>
      </c>
      <c r="J279" t="s">
        <v>11</v>
      </c>
    </row>
    <row r="280" spans="1:10" x14ac:dyDescent="0.25">
      <c r="A280">
        <v>279</v>
      </c>
      <c r="B280" s="1">
        <v>45349</v>
      </c>
      <c r="C280" t="s">
        <v>21</v>
      </c>
      <c r="D280" t="s">
        <v>17</v>
      </c>
      <c r="E280">
        <v>56</v>
      </c>
      <c r="F280">
        <v>23</v>
      </c>
      <c r="G280">
        <v>9.1</v>
      </c>
      <c r="H280" t="s">
        <v>18</v>
      </c>
      <c r="I280" t="s">
        <v>19</v>
      </c>
      <c r="J280" t="s">
        <v>11</v>
      </c>
    </row>
    <row r="281" spans="1:10" x14ac:dyDescent="0.25">
      <c r="A281">
        <v>280</v>
      </c>
      <c r="B281" s="1">
        <v>45318</v>
      </c>
      <c r="C281" t="s">
        <v>22</v>
      </c>
      <c r="D281" t="s">
        <v>20</v>
      </c>
      <c r="E281">
        <v>162</v>
      </c>
      <c r="F281">
        <v>46</v>
      </c>
      <c r="G281">
        <v>5.3</v>
      </c>
      <c r="H281" t="s">
        <v>12</v>
      </c>
      <c r="I281" t="s">
        <v>16</v>
      </c>
      <c r="J281" t="s">
        <v>11</v>
      </c>
    </row>
    <row r="282" spans="1:10" x14ac:dyDescent="0.25">
      <c r="A282">
        <v>281</v>
      </c>
      <c r="B282" s="1">
        <v>45492</v>
      </c>
      <c r="C282" t="s">
        <v>10</v>
      </c>
      <c r="D282" t="s">
        <v>15</v>
      </c>
      <c r="E282">
        <v>192</v>
      </c>
      <c r="F282">
        <v>18</v>
      </c>
      <c r="G282">
        <v>5.3</v>
      </c>
      <c r="H282" t="s">
        <v>12</v>
      </c>
      <c r="I282" t="s">
        <v>13</v>
      </c>
      <c r="J282" t="s">
        <v>11</v>
      </c>
    </row>
    <row r="283" spans="1:10" x14ac:dyDescent="0.25">
      <c r="A283">
        <v>282</v>
      </c>
      <c r="B283" s="1">
        <v>45316</v>
      </c>
      <c r="C283" t="s">
        <v>23</v>
      </c>
      <c r="D283" t="s">
        <v>20</v>
      </c>
      <c r="E283">
        <v>40</v>
      </c>
      <c r="F283">
        <v>64</v>
      </c>
      <c r="G283">
        <v>3.9</v>
      </c>
      <c r="H283" t="s">
        <v>18</v>
      </c>
      <c r="I283" t="s">
        <v>19</v>
      </c>
      <c r="J283" t="s">
        <v>11</v>
      </c>
    </row>
    <row r="284" spans="1:10" x14ac:dyDescent="0.25">
      <c r="A284">
        <v>283</v>
      </c>
      <c r="B284" s="1">
        <v>45486</v>
      </c>
      <c r="C284" t="s">
        <v>10</v>
      </c>
      <c r="D284" t="s">
        <v>15</v>
      </c>
      <c r="E284">
        <v>35</v>
      </c>
      <c r="F284">
        <v>6</v>
      </c>
      <c r="G284">
        <v>5.8</v>
      </c>
      <c r="H284" t="s">
        <v>12</v>
      </c>
      <c r="I284" t="s">
        <v>13</v>
      </c>
      <c r="J284" t="s">
        <v>15</v>
      </c>
    </row>
    <row r="285" spans="1:10" x14ac:dyDescent="0.25">
      <c r="A285">
        <v>284</v>
      </c>
      <c r="B285" s="1">
        <v>45516</v>
      </c>
      <c r="C285" t="s">
        <v>23</v>
      </c>
      <c r="D285" t="s">
        <v>17</v>
      </c>
      <c r="E285">
        <v>9</v>
      </c>
      <c r="F285">
        <v>16</v>
      </c>
      <c r="G285">
        <v>8.6</v>
      </c>
      <c r="H285" t="s">
        <v>12</v>
      </c>
      <c r="I285" t="s">
        <v>16</v>
      </c>
      <c r="J285" t="s">
        <v>15</v>
      </c>
    </row>
    <row r="286" spans="1:10" x14ac:dyDescent="0.25">
      <c r="A286">
        <v>285</v>
      </c>
      <c r="B286" s="1">
        <v>45321</v>
      </c>
      <c r="C286" t="s">
        <v>10</v>
      </c>
      <c r="D286" t="s">
        <v>11</v>
      </c>
      <c r="E286">
        <v>184</v>
      </c>
      <c r="F286">
        <v>35</v>
      </c>
      <c r="G286">
        <v>9.4</v>
      </c>
      <c r="H286" t="s">
        <v>12</v>
      </c>
      <c r="I286" t="s">
        <v>13</v>
      </c>
      <c r="J286" t="s">
        <v>11</v>
      </c>
    </row>
    <row r="287" spans="1:10" x14ac:dyDescent="0.25">
      <c r="A287">
        <v>286</v>
      </c>
      <c r="B287" s="1">
        <v>45541</v>
      </c>
      <c r="C287" t="s">
        <v>22</v>
      </c>
      <c r="D287" t="s">
        <v>15</v>
      </c>
      <c r="E287">
        <v>56</v>
      </c>
      <c r="F287">
        <v>26</v>
      </c>
      <c r="G287">
        <v>0.6</v>
      </c>
      <c r="H287" t="s">
        <v>12</v>
      </c>
      <c r="I287" t="s">
        <v>19</v>
      </c>
      <c r="J287" t="s">
        <v>11</v>
      </c>
    </row>
    <row r="288" spans="1:10" x14ac:dyDescent="0.25">
      <c r="A288">
        <v>287</v>
      </c>
      <c r="B288" s="1">
        <v>45296</v>
      </c>
      <c r="C288" t="s">
        <v>23</v>
      </c>
      <c r="D288" t="s">
        <v>20</v>
      </c>
      <c r="E288">
        <v>75</v>
      </c>
      <c r="F288">
        <v>9</v>
      </c>
      <c r="G288">
        <v>2.7</v>
      </c>
      <c r="H288" t="s">
        <v>12</v>
      </c>
      <c r="I288" t="s">
        <v>19</v>
      </c>
      <c r="J288" t="s">
        <v>11</v>
      </c>
    </row>
    <row r="289" spans="1:10" x14ac:dyDescent="0.25">
      <c r="A289">
        <v>288</v>
      </c>
      <c r="B289" s="1">
        <v>45333</v>
      </c>
      <c r="C289" t="s">
        <v>21</v>
      </c>
      <c r="D289" t="s">
        <v>17</v>
      </c>
      <c r="E289">
        <v>132</v>
      </c>
      <c r="F289">
        <v>49</v>
      </c>
      <c r="G289">
        <v>3.6</v>
      </c>
      <c r="H289" t="s">
        <v>12</v>
      </c>
      <c r="I289" t="s">
        <v>16</v>
      </c>
      <c r="J289" t="s">
        <v>11</v>
      </c>
    </row>
    <row r="290" spans="1:10" x14ac:dyDescent="0.25">
      <c r="A290">
        <v>289</v>
      </c>
      <c r="B290" s="1">
        <v>45584</v>
      </c>
      <c r="C290" t="s">
        <v>23</v>
      </c>
      <c r="D290" t="s">
        <v>17</v>
      </c>
      <c r="E290">
        <v>235</v>
      </c>
      <c r="F290">
        <v>67</v>
      </c>
      <c r="G290">
        <v>7.3</v>
      </c>
      <c r="H290" t="s">
        <v>18</v>
      </c>
      <c r="I290" t="s">
        <v>13</v>
      </c>
      <c r="J290" t="s">
        <v>11</v>
      </c>
    </row>
    <row r="291" spans="1:10" x14ac:dyDescent="0.25">
      <c r="A291">
        <v>290</v>
      </c>
      <c r="B291" s="1">
        <v>45401</v>
      </c>
      <c r="C291" t="s">
        <v>22</v>
      </c>
      <c r="D291" t="s">
        <v>17</v>
      </c>
      <c r="E291">
        <v>116</v>
      </c>
      <c r="F291">
        <v>57</v>
      </c>
      <c r="G291">
        <v>2.2999999999999998</v>
      </c>
      <c r="H291" t="s">
        <v>12</v>
      </c>
      <c r="I291" t="s">
        <v>19</v>
      </c>
      <c r="J291" t="s">
        <v>11</v>
      </c>
    </row>
    <row r="292" spans="1:10" x14ac:dyDescent="0.25">
      <c r="A292">
        <v>291</v>
      </c>
      <c r="B292" s="1">
        <v>45465</v>
      </c>
      <c r="C292" t="s">
        <v>22</v>
      </c>
      <c r="D292" t="s">
        <v>15</v>
      </c>
      <c r="E292">
        <v>215</v>
      </c>
      <c r="F292">
        <v>14</v>
      </c>
      <c r="G292">
        <v>8.1999999999999993</v>
      </c>
      <c r="H292" t="s">
        <v>18</v>
      </c>
      <c r="I292" t="s">
        <v>19</v>
      </c>
      <c r="J292" t="s">
        <v>15</v>
      </c>
    </row>
    <row r="293" spans="1:10" x14ac:dyDescent="0.25">
      <c r="A293">
        <v>292</v>
      </c>
      <c r="B293" s="1">
        <v>45643</v>
      </c>
      <c r="C293" t="s">
        <v>14</v>
      </c>
      <c r="D293" t="s">
        <v>20</v>
      </c>
      <c r="E293">
        <v>23</v>
      </c>
      <c r="F293">
        <v>1</v>
      </c>
      <c r="G293">
        <v>4.4000000000000004</v>
      </c>
      <c r="H293" t="s">
        <v>18</v>
      </c>
      <c r="I293" t="s">
        <v>19</v>
      </c>
      <c r="J293" t="s">
        <v>20</v>
      </c>
    </row>
    <row r="294" spans="1:10" x14ac:dyDescent="0.25">
      <c r="A294">
        <v>293</v>
      </c>
      <c r="B294" s="1">
        <v>45447</v>
      </c>
      <c r="C294" t="s">
        <v>22</v>
      </c>
      <c r="D294" t="s">
        <v>15</v>
      </c>
      <c r="E294">
        <v>147</v>
      </c>
      <c r="F294">
        <v>7</v>
      </c>
      <c r="G294">
        <v>8.5</v>
      </c>
      <c r="H294" t="s">
        <v>12</v>
      </c>
      <c r="I294" t="s">
        <v>13</v>
      </c>
      <c r="J294" t="s">
        <v>11</v>
      </c>
    </row>
    <row r="295" spans="1:10" x14ac:dyDescent="0.25">
      <c r="A295">
        <v>294</v>
      </c>
      <c r="B295" s="1">
        <v>45322</v>
      </c>
      <c r="C295" t="s">
        <v>22</v>
      </c>
      <c r="D295" t="s">
        <v>17</v>
      </c>
      <c r="E295">
        <v>230</v>
      </c>
      <c r="F295">
        <v>16</v>
      </c>
      <c r="G295">
        <v>4.5999999999999996</v>
      </c>
      <c r="H295" t="s">
        <v>18</v>
      </c>
      <c r="I295" t="s">
        <v>16</v>
      </c>
      <c r="J295" t="s">
        <v>11</v>
      </c>
    </row>
    <row r="296" spans="1:10" x14ac:dyDescent="0.25">
      <c r="A296">
        <v>295</v>
      </c>
      <c r="B296" s="1">
        <v>45451</v>
      </c>
      <c r="C296" t="s">
        <v>21</v>
      </c>
      <c r="D296" t="s">
        <v>20</v>
      </c>
      <c r="E296">
        <v>106</v>
      </c>
      <c r="F296">
        <v>22</v>
      </c>
      <c r="G296">
        <v>0.6</v>
      </c>
      <c r="H296" t="s">
        <v>12</v>
      </c>
      <c r="I296" t="s">
        <v>13</v>
      </c>
      <c r="J296" t="s">
        <v>11</v>
      </c>
    </row>
    <row r="297" spans="1:10" x14ac:dyDescent="0.25">
      <c r="A297">
        <v>296</v>
      </c>
      <c r="B297" s="1">
        <v>45452</v>
      </c>
      <c r="C297" t="s">
        <v>14</v>
      </c>
      <c r="D297" t="s">
        <v>11</v>
      </c>
      <c r="E297">
        <v>188</v>
      </c>
      <c r="F297">
        <v>46</v>
      </c>
      <c r="G297">
        <v>1.2</v>
      </c>
      <c r="H297" t="s">
        <v>18</v>
      </c>
      <c r="I297" t="s">
        <v>19</v>
      </c>
      <c r="J297" t="s">
        <v>11</v>
      </c>
    </row>
    <row r="298" spans="1:10" x14ac:dyDescent="0.25">
      <c r="A298">
        <v>297</v>
      </c>
      <c r="B298" s="1">
        <v>45525</v>
      </c>
      <c r="C298" t="s">
        <v>10</v>
      </c>
      <c r="D298" t="s">
        <v>15</v>
      </c>
      <c r="E298">
        <v>229</v>
      </c>
      <c r="F298">
        <v>13</v>
      </c>
      <c r="G298">
        <v>9.6</v>
      </c>
      <c r="H298" t="s">
        <v>18</v>
      </c>
      <c r="I298" t="s">
        <v>19</v>
      </c>
      <c r="J298" t="s">
        <v>15</v>
      </c>
    </row>
    <row r="299" spans="1:10" x14ac:dyDescent="0.25">
      <c r="A299">
        <v>298</v>
      </c>
      <c r="B299" s="1">
        <v>45649</v>
      </c>
      <c r="C299" t="s">
        <v>14</v>
      </c>
      <c r="D299" t="s">
        <v>15</v>
      </c>
      <c r="E299">
        <v>106</v>
      </c>
      <c r="F299">
        <v>36</v>
      </c>
      <c r="G299">
        <v>8.8000000000000007</v>
      </c>
      <c r="H299" t="s">
        <v>18</v>
      </c>
      <c r="I299" t="s">
        <v>13</v>
      </c>
      <c r="J299" t="s">
        <v>15</v>
      </c>
    </row>
    <row r="300" spans="1:10" x14ac:dyDescent="0.25">
      <c r="A300">
        <v>299</v>
      </c>
      <c r="B300" s="1">
        <v>45350</v>
      </c>
      <c r="C300" t="s">
        <v>21</v>
      </c>
      <c r="D300" t="s">
        <v>15</v>
      </c>
      <c r="E300">
        <v>169</v>
      </c>
      <c r="F300">
        <v>37</v>
      </c>
      <c r="G300">
        <v>3.5</v>
      </c>
      <c r="H300" t="s">
        <v>12</v>
      </c>
      <c r="I300" t="s">
        <v>19</v>
      </c>
      <c r="J300" t="s">
        <v>11</v>
      </c>
    </row>
    <row r="301" spans="1:10" x14ac:dyDescent="0.25">
      <c r="A301">
        <v>300</v>
      </c>
      <c r="B301" s="1">
        <v>45332</v>
      </c>
      <c r="C301" t="s">
        <v>10</v>
      </c>
      <c r="D301" t="s">
        <v>15</v>
      </c>
      <c r="E301">
        <v>214</v>
      </c>
      <c r="F301">
        <v>23</v>
      </c>
      <c r="G301">
        <v>2.7</v>
      </c>
      <c r="H301" t="s">
        <v>12</v>
      </c>
      <c r="I301" t="s">
        <v>13</v>
      </c>
      <c r="J301" t="s">
        <v>11</v>
      </c>
    </row>
    <row r="302" spans="1:10" x14ac:dyDescent="0.25">
      <c r="A302">
        <v>301</v>
      </c>
      <c r="B302" s="1">
        <v>45522</v>
      </c>
      <c r="C302" t="s">
        <v>22</v>
      </c>
      <c r="D302" t="s">
        <v>17</v>
      </c>
      <c r="E302">
        <v>188</v>
      </c>
      <c r="F302">
        <v>40</v>
      </c>
      <c r="G302">
        <v>5.2</v>
      </c>
      <c r="H302" t="s">
        <v>18</v>
      </c>
      <c r="I302" t="s">
        <v>16</v>
      </c>
      <c r="J302" t="s">
        <v>11</v>
      </c>
    </row>
    <row r="303" spans="1:10" x14ac:dyDescent="0.25">
      <c r="A303">
        <v>302</v>
      </c>
      <c r="B303" s="1">
        <v>45620</v>
      </c>
      <c r="C303" t="s">
        <v>14</v>
      </c>
      <c r="D303" t="s">
        <v>20</v>
      </c>
      <c r="E303">
        <v>40</v>
      </c>
      <c r="F303">
        <v>4</v>
      </c>
      <c r="G303">
        <v>4.7</v>
      </c>
      <c r="H303" t="s">
        <v>18</v>
      </c>
      <c r="I303" t="s">
        <v>19</v>
      </c>
      <c r="J303" t="s">
        <v>15</v>
      </c>
    </row>
    <row r="304" spans="1:10" x14ac:dyDescent="0.25">
      <c r="A304">
        <v>303</v>
      </c>
      <c r="B304" s="1">
        <v>45646</v>
      </c>
      <c r="C304" t="s">
        <v>22</v>
      </c>
      <c r="D304" t="s">
        <v>17</v>
      </c>
      <c r="E304">
        <v>79</v>
      </c>
      <c r="F304">
        <v>19</v>
      </c>
      <c r="G304">
        <v>3.1</v>
      </c>
      <c r="H304" t="s">
        <v>12</v>
      </c>
      <c r="I304" t="s">
        <v>16</v>
      </c>
      <c r="J304" t="s">
        <v>11</v>
      </c>
    </row>
    <row r="305" spans="1:10" x14ac:dyDescent="0.25">
      <c r="A305">
        <v>304</v>
      </c>
      <c r="B305" s="1">
        <v>45344</v>
      </c>
      <c r="C305" t="s">
        <v>14</v>
      </c>
      <c r="D305" t="s">
        <v>15</v>
      </c>
      <c r="E305">
        <v>76</v>
      </c>
      <c r="F305">
        <v>6</v>
      </c>
      <c r="G305">
        <v>4.3</v>
      </c>
      <c r="H305" t="s">
        <v>12</v>
      </c>
      <c r="I305" t="s">
        <v>16</v>
      </c>
      <c r="J305" t="s">
        <v>15</v>
      </c>
    </row>
    <row r="306" spans="1:10" x14ac:dyDescent="0.25">
      <c r="A306">
        <v>305</v>
      </c>
      <c r="B306" s="1">
        <v>45601</v>
      </c>
      <c r="C306" t="s">
        <v>21</v>
      </c>
      <c r="D306" t="s">
        <v>15</v>
      </c>
      <c r="E306">
        <v>216</v>
      </c>
      <c r="F306">
        <v>72</v>
      </c>
      <c r="G306">
        <v>3.8</v>
      </c>
      <c r="H306" t="s">
        <v>18</v>
      </c>
      <c r="I306" t="s">
        <v>13</v>
      </c>
      <c r="J306" t="s">
        <v>11</v>
      </c>
    </row>
    <row r="307" spans="1:10" x14ac:dyDescent="0.25">
      <c r="A307">
        <v>306</v>
      </c>
      <c r="B307" s="1">
        <v>45526</v>
      </c>
      <c r="C307" t="s">
        <v>21</v>
      </c>
      <c r="D307" t="s">
        <v>20</v>
      </c>
      <c r="E307">
        <v>235</v>
      </c>
      <c r="F307">
        <v>32</v>
      </c>
      <c r="G307">
        <v>9.5</v>
      </c>
      <c r="H307" t="s">
        <v>18</v>
      </c>
      <c r="I307" t="s">
        <v>19</v>
      </c>
      <c r="J307" t="s">
        <v>11</v>
      </c>
    </row>
    <row r="308" spans="1:10" x14ac:dyDescent="0.25">
      <c r="A308">
        <v>307</v>
      </c>
      <c r="B308" s="1">
        <v>45606</v>
      </c>
      <c r="C308" t="s">
        <v>10</v>
      </c>
      <c r="D308" t="s">
        <v>20</v>
      </c>
      <c r="E308">
        <v>92</v>
      </c>
      <c r="F308">
        <v>35</v>
      </c>
      <c r="G308">
        <v>2.2000000000000002</v>
      </c>
      <c r="H308" t="s">
        <v>12</v>
      </c>
      <c r="I308" t="s">
        <v>13</v>
      </c>
      <c r="J308" t="s">
        <v>11</v>
      </c>
    </row>
    <row r="309" spans="1:10" x14ac:dyDescent="0.25">
      <c r="A309">
        <v>308</v>
      </c>
      <c r="B309" s="1">
        <v>45349</v>
      </c>
      <c r="C309" t="s">
        <v>22</v>
      </c>
      <c r="D309" t="s">
        <v>11</v>
      </c>
      <c r="E309">
        <v>97</v>
      </c>
      <c r="F309">
        <v>20</v>
      </c>
      <c r="G309">
        <v>3.1</v>
      </c>
      <c r="H309" t="s">
        <v>12</v>
      </c>
      <c r="I309" t="s">
        <v>19</v>
      </c>
      <c r="J309" t="s">
        <v>11</v>
      </c>
    </row>
    <row r="310" spans="1:10" x14ac:dyDescent="0.25">
      <c r="A310">
        <v>309</v>
      </c>
      <c r="B310" s="1">
        <v>45478</v>
      </c>
      <c r="C310" t="s">
        <v>22</v>
      </c>
      <c r="D310" t="s">
        <v>17</v>
      </c>
      <c r="E310">
        <v>148</v>
      </c>
      <c r="F310">
        <v>63</v>
      </c>
      <c r="G310">
        <v>3.1</v>
      </c>
      <c r="H310" t="s">
        <v>18</v>
      </c>
      <c r="I310" t="s">
        <v>16</v>
      </c>
      <c r="J310" t="s">
        <v>11</v>
      </c>
    </row>
    <row r="311" spans="1:10" x14ac:dyDescent="0.25">
      <c r="A311">
        <v>310</v>
      </c>
      <c r="B311" s="1">
        <v>45328</v>
      </c>
      <c r="C311" t="s">
        <v>14</v>
      </c>
      <c r="D311" t="s">
        <v>17</v>
      </c>
      <c r="E311">
        <v>22</v>
      </c>
      <c r="F311">
        <v>3</v>
      </c>
      <c r="G311">
        <v>9.1</v>
      </c>
      <c r="H311" t="s">
        <v>18</v>
      </c>
      <c r="I311" t="s">
        <v>19</v>
      </c>
      <c r="J311" t="s">
        <v>20</v>
      </c>
    </row>
    <row r="312" spans="1:10" x14ac:dyDescent="0.25">
      <c r="A312">
        <v>311</v>
      </c>
      <c r="B312" s="1">
        <v>45385</v>
      </c>
      <c r="C312" t="s">
        <v>10</v>
      </c>
      <c r="D312" t="s">
        <v>20</v>
      </c>
      <c r="E312">
        <v>225</v>
      </c>
      <c r="F312">
        <v>14</v>
      </c>
      <c r="G312">
        <v>2.2999999999999998</v>
      </c>
      <c r="H312" t="s">
        <v>12</v>
      </c>
      <c r="I312" t="s">
        <v>16</v>
      </c>
      <c r="J312" t="s">
        <v>11</v>
      </c>
    </row>
    <row r="313" spans="1:10" x14ac:dyDescent="0.25">
      <c r="A313">
        <v>312</v>
      </c>
      <c r="B313" s="1">
        <v>45415</v>
      </c>
      <c r="C313" t="s">
        <v>14</v>
      </c>
      <c r="D313" t="s">
        <v>20</v>
      </c>
      <c r="E313">
        <v>49</v>
      </c>
      <c r="F313">
        <v>42</v>
      </c>
      <c r="G313">
        <v>7.9</v>
      </c>
      <c r="H313" t="s">
        <v>12</v>
      </c>
      <c r="I313" t="s">
        <v>13</v>
      </c>
      <c r="J313" t="s">
        <v>11</v>
      </c>
    </row>
    <row r="314" spans="1:10" x14ac:dyDescent="0.25">
      <c r="A314">
        <v>313</v>
      </c>
      <c r="B314" s="1">
        <v>45568</v>
      </c>
      <c r="C314" t="s">
        <v>23</v>
      </c>
      <c r="D314" t="s">
        <v>20</v>
      </c>
      <c r="E314">
        <v>66</v>
      </c>
      <c r="F314">
        <v>68</v>
      </c>
      <c r="G314">
        <v>6.5</v>
      </c>
      <c r="H314" t="s">
        <v>18</v>
      </c>
      <c r="I314" t="s">
        <v>13</v>
      </c>
      <c r="J314" t="s">
        <v>11</v>
      </c>
    </row>
    <row r="315" spans="1:10" x14ac:dyDescent="0.25">
      <c r="A315">
        <v>314</v>
      </c>
      <c r="B315" s="1">
        <v>45345</v>
      </c>
      <c r="C315" t="s">
        <v>23</v>
      </c>
      <c r="D315" t="s">
        <v>11</v>
      </c>
      <c r="E315">
        <v>98</v>
      </c>
      <c r="F315">
        <v>2</v>
      </c>
      <c r="G315">
        <v>5.3</v>
      </c>
      <c r="H315" t="s">
        <v>18</v>
      </c>
      <c r="I315" t="s">
        <v>19</v>
      </c>
      <c r="J315" t="s">
        <v>20</v>
      </c>
    </row>
    <row r="316" spans="1:10" x14ac:dyDescent="0.25">
      <c r="A316">
        <v>315</v>
      </c>
      <c r="B316" s="1">
        <v>45572</v>
      </c>
      <c r="C316" t="s">
        <v>21</v>
      </c>
      <c r="D316" t="s">
        <v>20</v>
      </c>
      <c r="E316">
        <v>109</v>
      </c>
      <c r="F316">
        <v>31</v>
      </c>
      <c r="G316">
        <v>8.8000000000000007</v>
      </c>
      <c r="H316" t="s">
        <v>18</v>
      </c>
      <c r="I316" t="s">
        <v>16</v>
      </c>
      <c r="J316" t="s">
        <v>11</v>
      </c>
    </row>
    <row r="317" spans="1:10" x14ac:dyDescent="0.25">
      <c r="A317">
        <v>316</v>
      </c>
      <c r="B317" s="1">
        <v>45525</v>
      </c>
      <c r="C317" t="s">
        <v>23</v>
      </c>
      <c r="D317" t="s">
        <v>20</v>
      </c>
      <c r="E317">
        <v>200</v>
      </c>
      <c r="F317">
        <v>55</v>
      </c>
      <c r="G317">
        <v>8.1999999999999993</v>
      </c>
      <c r="H317" t="s">
        <v>18</v>
      </c>
      <c r="I317" t="s">
        <v>19</v>
      </c>
      <c r="J317" t="s">
        <v>11</v>
      </c>
    </row>
    <row r="318" spans="1:10" x14ac:dyDescent="0.25">
      <c r="A318">
        <v>317</v>
      </c>
      <c r="B318" s="1">
        <v>45543</v>
      </c>
      <c r="C318" t="s">
        <v>22</v>
      </c>
      <c r="D318" t="s">
        <v>15</v>
      </c>
      <c r="E318">
        <v>128</v>
      </c>
      <c r="F318">
        <v>52</v>
      </c>
      <c r="G318">
        <v>5</v>
      </c>
      <c r="H318" t="s">
        <v>12</v>
      </c>
      <c r="I318" t="s">
        <v>16</v>
      </c>
      <c r="J318" t="s">
        <v>11</v>
      </c>
    </row>
    <row r="319" spans="1:10" x14ac:dyDescent="0.25">
      <c r="A319">
        <v>318</v>
      </c>
      <c r="B319" s="1">
        <v>45621</v>
      </c>
      <c r="C319" t="s">
        <v>22</v>
      </c>
      <c r="D319" t="s">
        <v>17</v>
      </c>
      <c r="E319">
        <v>6</v>
      </c>
      <c r="F319">
        <v>20</v>
      </c>
      <c r="G319">
        <v>2</v>
      </c>
      <c r="H319" t="s">
        <v>18</v>
      </c>
      <c r="I319" t="s">
        <v>13</v>
      </c>
      <c r="J319" t="s">
        <v>15</v>
      </c>
    </row>
    <row r="320" spans="1:10" x14ac:dyDescent="0.25">
      <c r="A320">
        <v>319</v>
      </c>
      <c r="B320" s="1">
        <v>45509</v>
      </c>
      <c r="C320" t="s">
        <v>23</v>
      </c>
      <c r="D320" t="s">
        <v>11</v>
      </c>
      <c r="E320">
        <v>181</v>
      </c>
      <c r="F320">
        <v>70</v>
      </c>
      <c r="G320">
        <v>9.1999999999999993</v>
      </c>
      <c r="H320" t="s">
        <v>18</v>
      </c>
      <c r="I320" t="s">
        <v>16</v>
      </c>
      <c r="J320" t="s">
        <v>15</v>
      </c>
    </row>
    <row r="321" spans="1:10" x14ac:dyDescent="0.25">
      <c r="A321">
        <v>320</v>
      </c>
      <c r="B321" s="1">
        <v>45320</v>
      </c>
      <c r="C321" t="s">
        <v>23</v>
      </c>
      <c r="D321" t="s">
        <v>11</v>
      </c>
      <c r="E321">
        <v>61</v>
      </c>
      <c r="F321">
        <v>43</v>
      </c>
      <c r="G321">
        <v>4.5</v>
      </c>
      <c r="H321" t="s">
        <v>12</v>
      </c>
      <c r="I321" t="s">
        <v>16</v>
      </c>
      <c r="J321" t="s">
        <v>11</v>
      </c>
    </row>
    <row r="322" spans="1:10" x14ac:dyDescent="0.25">
      <c r="A322">
        <v>321</v>
      </c>
      <c r="B322" s="1">
        <v>45458</v>
      </c>
      <c r="C322" t="s">
        <v>22</v>
      </c>
      <c r="D322" t="s">
        <v>11</v>
      </c>
      <c r="E322">
        <v>216</v>
      </c>
      <c r="F322">
        <v>53</v>
      </c>
      <c r="G322">
        <v>3.8</v>
      </c>
      <c r="H322" t="s">
        <v>12</v>
      </c>
      <c r="I322" t="s">
        <v>13</v>
      </c>
      <c r="J322" t="s">
        <v>11</v>
      </c>
    </row>
    <row r="323" spans="1:10" x14ac:dyDescent="0.25">
      <c r="A323">
        <v>322</v>
      </c>
      <c r="B323" s="1">
        <v>45494</v>
      </c>
      <c r="C323" t="s">
        <v>10</v>
      </c>
      <c r="D323" t="s">
        <v>20</v>
      </c>
      <c r="E323">
        <v>98</v>
      </c>
      <c r="F323">
        <v>15</v>
      </c>
      <c r="G323">
        <v>8.8000000000000007</v>
      </c>
      <c r="H323" t="s">
        <v>18</v>
      </c>
      <c r="I323" t="s">
        <v>19</v>
      </c>
      <c r="J323" t="s">
        <v>11</v>
      </c>
    </row>
    <row r="324" spans="1:10" x14ac:dyDescent="0.25">
      <c r="A324">
        <v>323</v>
      </c>
      <c r="B324" s="1">
        <v>45349</v>
      </c>
      <c r="C324" t="s">
        <v>14</v>
      </c>
      <c r="D324" t="s">
        <v>17</v>
      </c>
      <c r="E324">
        <v>182</v>
      </c>
      <c r="F324">
        <v>21</v>
      </c>
      <c r="G324">
        <v>7.6</v>
      </c>
      <c r="H324" t="s">
        <v>12</v>
      </c>
      <c r="I324" t="s">
        <v>19</v>
      </c>
      <c r="J324" t="s">
        <v>11</v>
      </c>
    </row>
    <row r="325" spans="1:10" x14ac:dyDescent="0.25">
      <c r="A325">
        <v>324</v>
      </c>
      <c r="B325" s="1">
        <v>45497</v>
      </c>
      <c r="C325" t="s">
        <v>21</v>
      </c>
      <c r="D325" t="s">
        <v>17</v>
      </c>
      <c r="E325">
        <v>225</v>
      </c>
      <c r="F325">
        <v>30</v>
      </c>
      <c r="G325">
        <v>1.7</v>
      </c>
      <c r="H325" t="s">
        <v>18</v>
      </c>
      <c r="I325" t="s">
        <v>16</v>
      </c>
      <c r="J325" t="s">
        <v>11</v>
      </c>
    </row>
    <row r="326" spans="1:10" x14ac:dyDescent="0.25">
      <c r="A326">
        <v>325</v>
      </c>
      <c r="B326" s="1">
        <v>45415</v>
      </c>
      <c r="C326" t="s">
        <v>22</v>
      </c>
      <c r="D326" t="s">
        <v>11</v>
      </c>
      <c r="E326">
        <v>140</v>
      </c>
      <c r="F326">
        <v>24</v>
      </c>
      <c r="G326">
        <v>3.4</v>
      </c>
      <c r="H326" t="s">
        <v>12</v>
      </c>
      <c r="I326" t="s">
        <v>19</v>
      </c>
      <c r="J326" t="s">
        <v>11</v>
      </c>
    </row>
    <row r="327" spans="1:10" x14ac:dyDescent="0.25">
      <c r="A327">
        <v>326</v>
      </c>
      <c r="B327" s="1">
        <v>45532</v>
      </c>
      <c r="C327" t="s">
        <v>23</v>
      </c>
      <c r="D327" t="s">
        <v>15</v>
      </c>
      <c r="E327">
        <v>215</v>
      </c>
      <c r="F327">
        <v>62</v>
      </c>
      <c r="G327">
        <v>5.7</v>
      </c>
      <c r="H327" t="s">
        <v>18</v>
      </c>
      <c r="I327" t="s">
        <v>13</v>
      </c>
      <c r="J327" t="s">
        <v>15</v>
      </c>
    </row>
    <row r="328" spans="1:10" x14ac:dyDescent="0.25">
      <c r="A328">
        <v>327</v>
      </c>
      <c r="B328" s="1">
        <v>45430</v>
      </c>
      <c r="C328" t="s">
        <v>22</v>
      </c>
      <c r="D328" t="s">
        <v>17</v>
      </c>
      <c r="E328">
        <v>54</v>
      </c>
      <c r="F328">
        <v>1</v>
      </c>
      <c r="G328">
        <v>3.2</v>
      </c>
      <c r="H328" t="s">
        <v>12</v>
      </c>
      <c r="I328" t="s">
        <v>13</v>
      </c>
      <c r="J328" t="s">
        <v>11</v>
      </c>
    </row>
    <row r="329" spans="1:10" x14ac:dyDescent="0.25">
      <c r="A329">
        <v>328</v>
      </c>
      <c r="B329" s="1">
        <v>45333</v>
      </c>
      <c r="C329" t="s">
        <v>21</v>
      </c>
      <c r="D329" t="s">
        <v>20</v>
      </c>
      <c r="E329">
        <v>132</v>
      </c>
      <c r="F329">
        <v>29</v>
      </c>
      <c r="G329">
        <v>9</v>
      </c>
      <c r="H329" t="s">
        <v>12</v>
      </c>
      <c r="I329" t="s">
        <v>19</v>
      </c>
      <c r="J329" t="s">
        <v>11</v>
      </c>
    </row>
    <row r="330" spans="1:10" x14ac:dyDescent="0.25">
      <c r="A330">
        <v>329</v>
      </c>
      <c r="B330" s="1">
        <v>45292</v>
      </c>
      <c r="C330" t="s">
        <v>23</v>
      </c>
      <c r="D330" t="s">
        <v>15</v>
      </c>
      <c r="E330">
        <v>153</v>
      </c>
      <c r="F330">
        <v>62</v>
      </c>
      <c r="G330">
        <v>2.1</v>
      </c>
      <c r="H330" t="s">
        <v>12</v>
      </c>
      <c r="I330" t="s">
        <v>19</v>
      </c>
      <c r="J330" t="s">
        <v>11</v>
      </c>
    </row>
    <row r="331" spans="1:10" x14ac:dyDescent="0.25">
      <c r="A331">
        <v>330</v>
      </c>
      <c r="B331" s="1">
        <v>45562</v>
      </c>
      <c r="C331" t="s">
        <v>22</v>
      </c>
      <c r="D331" t="s">
        <v>17</v>
      </c>
      <c r="E331">
        <v>219</v>
      </c>
      <c r="F331">
        <v>36</v>
      </c>
      <c r="G331">
        <v>1.4</v>
      </c>
      <c r="H331" t="s">
        <v>12</v>
      </c>
      <c r="I331" t="s">
        <v>19</v>
      </c>
      <c r="J331" t="s">
        <v>11</v>
      </c>
    </row>
    <row r="332" spans="1:10" x14ac:dyDescent="0.25">
      <c r="A332">
        <v>331</v>
      </c>
      <c r="B332" s="1">
        <v>45570</v>
      </c>
      <c r="C332" t="s">
        <v>22</v>
      </c>
      <c r="D332" t="s">
        <v>20</v>
      </c>
      <c r="E332">
        <v>209</v>
      </c>
      <c r="F332">
        <v>26</v>
      </c>
      <c r="G332">
        <v>2</v>
      </c>
      <c r="H332" t="s">
        <v>12</v>
      </c>
      <c r="I332" t="s">
        <v>19</v>
      </c>
      <c r="J332" t="s">
        <v>11</v>
      </c>
    </row>
    <row r="333" spans="1:10" x14ac:dyDescent="0.25">
      <c r="A333">
        <v>332</v>
      </c>
      <c r="B333" s="1">
        <v>45491</v>
      </c>
      <c r="C333" t="s">
        <v>14</v>
      </c>
      <c r="D333" t="s">
        <v>17</v>
      </c>
      <c r="E333">
        <v>199</v>
      </c>
      <c r="F333">
        <v>64</v>
      </c>
      <c r="G333">
        <v>5.0999999999999996</v>
      </c>
      <c r="H333" t="s">
        <v>12</v>
      </c>
      <c r="I333" t="s">
        <v>19</v>
      </c>
      <c r="J333" t="s">
        <v>11</v>
      </c>
    </row>
    <row r="334" spans="1:10" x14ac:dyDescent="0.25">
      <c r="A334">
        <v>333</v>
      </c>
      <c r="B334" s="1">
        <v>45367</v>
      </c>
      <c r="C334" t="s">
        <v>21</v>
      </c>
      <c r="D334" t="s">
        <v>11</v>
      </c>
      <c r="E334">
        <v>39</v>
      </c>
      <c r="F334">
        <v>33</v>
      </c>
      <c r="G334">
        <v>2.8</v>
      </c>
      <c r="H334" t="s">
        <v>18</v>
      </c>
      <c r="I334" t="s">
        <v>16</v>
      </c>
      <c r="J334" t="s">
        <v>11</v>
      </c>
    </row>
    <row r="335" spans="1:10" x14ac:dyDescent="0.25">
      <c r="A335">
        <v>334</v>
      </c>
      <c r="B335" s="1">
        <v>45502</v>
      </c>
      <c r="C335" t="s">
        <v>23</v>
      </c>
      <c r="D335" t="s">
        <v>11</v>
      </c>
      <c r="E335">
        <v>105</v>
      </c>
      <c r="F335">
        <v>52</v>
      </c>
      <c r="G335">
        <v>6.1</v>
      </c>
      <c r="H335" t="s">
        <v>12</v>
      </c>
      <c r="I335" t="s">
        <v>19</v>
      </c>
      <c r="J335" t="s">
        <v>11</v>
      </c>
    </row>
    <row r="336" spans="1:10" x14ac:dyDescent="0.25">
      <c r="A336">
        <v>335</v>
      </c>
      <c r="B336" s="1">
        <v>45495</v>
      </c>
      <c r="C336" t="s">
        <v>22</v>
      </c>
      <c r="D336" t="s">
        <v>17</v>
      </c>
      <c r="E336">
        <v>8</v>
      </c>
      <c r="F336">
        <v>48</v>
      </c>
      <c r="G336">
        <v>4.5</v>
      </c>
      <c r="H336" t="s">
        <v>12</v>
      </c>
      <c r="I336" t="s">
        <v>16</v>
      </c>
      <c r="J336" t="s">
        <v>11</v>
      </c>
    </row>
    <row r="337" spans="1:10" x14ac:dyDescent="0.25">
      <c r="A337">
        <v>336</v>
      </c>
      <c r="B337" s="1">
        <v>45577</v>
      </c>
      <c r="C337" t="s">
        <v>23</v>
      </c>
      <c r="D337" t="s">
        <v>20</v>
      </c>
      <c r="E337">
        <v>67</v>
      </c>
      <c r="F337">
        <v>6</v>
      </c>
      <c r="G337">
        <v>2.7</v>
      </c>
      <c r="H337" t="s">
        <v>12</v>
      </c>
      <c r="I337" t="s">
        <v>13</v>
      </c>
      <c r="J337" t="s">
        <v>11</v>
      </c>
    </row>
    <row r="338" spans="1:10" x14ac:dyDescent="0.25">
      <c r="A338">
        <v>337</v>
      </c>
      <c r="B338" s="1">
        <v>45457</v>
      </c>
      <c r="C338" t="s">
        <v>21</v>
      </c>
      <c r="D338" t="s">
        <v>15</v>
      </c>
      <c r="E338">
        <v>133</v>
      </c>
      <c r="F338">
        <v>27</v>
      </c>
      <c r="G338">
        <v>3.6</v>
      </c>
      <c r="H338" t="s">
        <v>18</v>
      </c>
      <c r="I338" t="s">
        <v>13</v>
      </c>
      <c r="J338" t="s">
        <v>11</v>
      </c>
    </row>
    <row r="339" spans="1:10" x14ac:dyDescent="0.25">
      <c r="A339">
        <v>338</v>
      </c>
      <c r="B339" s="1">
        <v>45427</v>
      </c>
      <c r="C339" t="s">
        <v>14</v>
      </c>
      <c r="D339" t="s">
        <v>11</v>
      </c>
      <c r="E339">
        <v>204</v>
      </c>
      <c r="F339">
        <v>15</v>
      </c>
      <c r="G339">
        <v>4.7</v>
      </c>
      <c r="H339" t="s">
        <v>18</v>
      </c>
      <c r="I339" t="s">
        <v>19</v>
      </c>
      <c r="J339" t="s">
        <v>11</v>
      </c>
    </row>
    <row r="340" spans="1:10" x14ac:dyDescent="0.25">
      <c r="A340">
        <v>339</v>
      </c>
      <c r="B340" s="1">
        <v>45367</v>
      </c>
      <c r="C340" t="s">
        <v>14</v>
      </c>
      <c r="D340" t="s">
        <v>15</v>
      </c>
      <c r="E340">
        <v>116</v>
      </c>
      <c r="F340">
        <v>44</v>
      </c>
      <c r="G340">
        <v>1.1000000000000001</v>
      </c>
      <c r="H340" t="s">
        <v>12</v>
      </c>
      <c r="I340" t="s">
        <v>19</v>
      </c>
      <c r="J340" t="s">
        <v>11</v>
      </c>
    </row>
    <row r="341" spans="1:10" x14ac:dyDescent="0.25">
      <c r="A341">
        <v>340</v>
      </c>
      <c r="B341" s="1">
        <v>45320</v>
      </c>
      <c r="C341" t="s">
        <v>21</v>
      </c>
      <c r="D341" t="s">
        <v>15</v>
      </c>
      <c r="E341">
        <v>133</v>
      </c>
      <c r="F341">
        <v>46</v>
      </c>
      <c r="G341">
        <v>1.9</v>
      </c>
      <c r="H341" t="s">
        <v>12</v>
      </c>
      <c r="I341" t="s">
        <v>13</v>
      </c>
      <c r="J341" t="s">
        <v>11</v>
      </c>
    </row>
    <row r="342" spans="1:10" x14ac:dyDescent="0.25">
      <c r="A342">
        <v>341</v>
      </c>
      <c r="B342" s="1">
        <v>45311</v>
      </c>
      <c r="C342" t="s">
        <v>23</v>
      </c>
      <c r="D342" t="s">
        <v>11</v>
      </c>
      <c r="E342">
        <v>226</v>
      </c>
      <c r="F342">
        <v>16</v>
      </c>
      <c r="G342">
        <v>5.0999999999999996</v>
      </c>
      <c r="H342" t="s">
        <v>18</v>
      </c>
      <c r="I342" t="s">
        <v>19</v>
      </c>
      <c r="J342" t="s">
        <v>15</v>
      </c>
    </row>
    <row r="343" spans="1:10" x14ac:dyDescent="0.25">
      <c r="A343">
        <v>342</v>
      </c>
      <c r="B343" s="1">
        <v>45377</v>
      </c>
      <c r="C343" t="s">
        <v>21</v>
      </c>
      <c r="D343" t="s">
        <v>17</v>
      </c>
      <c r="E343">
        <v>111</v>
      </c>
      <c r="F343">
        <v>22</v>
      </c>
      <c r="G343">
        <v>1.8</v>
      </c>
      <c r="H343" t="s">
        <v>12</v>
      </c>
      <c r="I343" t="s">
        <v>16</v>
      </c>
      <c r="J343" t="s">
        <v>11</v>
      </c>
    </row>
    <row r="344" spans="1:10" x14ac:dyDescent="0.25">
      <c r="A344">
        <v>343</v>
      </c>
      <c r="B344" s="1">
        <v>45614</v>
      </c>
      <c r="C344" t="s">
        <v>14</v>
      </c>
      <c r="D344" t="s">
        <v>20</v>
      </c>
      <c r="E344">
        <v>230</v>
      </c>
      <c r="F344">
        <v>15</v>
      </c>
      <c r="G344">
        <v>7.7</v>
      </c>
      <c r="H344" t="s">
        <v>18</v>
      </c>
      <c r="I344" t="s">
        <v>13</v>
      </c>
      <c r="J344" t="s">
        <v>11</v>
      </c>
    </row>
    <row r="345" spans="1:10" x14ac:dyDescent="0.25">
      <c r="A345">
        <v>344</v>
      </c>
      <c r="B345" s="1">
        <v>45616</v>
      </c>
      <c r="C345" t="s">
        <v>23</v>
      </c>
      <c r="D345" t="s">
        <v>20</v>
      </c>
      <c r="E345">
        <v>204</v>
      </c>
      <c r="F345">
        <v>17</v>
      </c>
      <c r="G345">
        <v>7.3</v>
      </c>
      <c r="H345" t="s">
        <v>18</v>
      </c>
      <c r="I345" t="s">
        <v>13</v>
      </c>
      <c r="J345" t="s">
        <v>11</v>
      </c>
    </row>
    <row r="346" spans="1:10" x14ac:dyDescent="0.25">
      <c r="A346">
        <v>345</v>
      </c>
      <c r="B346" s="1">
        <v>45616</v>
      </c>
      <c r="C346" t="s">
        <v>21</v>
      </c>
      <c r="D346" t="s">
        <v>20</v>
      </c>
      <c r="E346">
        <v>63</v>
      </c>
      <c r="F346">
        <v>55</v>
      </c>
      <c r="G346">
        <v>6.4</v>
      </c>
      <c r="H346" t="s">
        <v>12</v>
      </c>
      <c r="I346" t="s">
        <v>19</v>
      </c>
      <c r="J346" t="s">
        <v>11</v>
      </c>
    </row>
    <row r="347" spans="1:10" x14ac:dyDescent="0.25">
      <c r="A347">
        <v>346</v>
      </c>
      <c r="B347" s="1">
        <v>45356</v>
      </c>
      <c r="C347" t="s">
        <v>10</v>
      </c>
      <c r="D347" t="s">
        <v>20</v>
      </c>
      <c r="E347">
        <v>84</v>
      </c>
      <c r="F347">
        <v>17</v>
      </c>
      <c r="G347">
        <v>4.5999999999999996</v>
      </c>
      <c r="H347" t="s">
        <v>12</v>
      </c>
      <c r="I347" t="s">
        <v>16</v>
      </c>
      <c r="J347" t="s">
        <v>11</v>
      </c>
    </row>
    <row r="348" spans="1:10" x14ac:dyDescent="0.25">
      <c r="A348">
        <v>347</v>
      </c>
      <c r="B348" s="1">
        <v>45593</v>
      </c>
      <c r="C348" t="s">
        <v>10</v>
      </c>
      <c r="D348" t="s">
        <v>11</v>
      </c>
      <c r="E348">
        <v>11</v>
      </c>
      <c r="F348">
        <v>6</v>
      </c>
      <c r="G348">
        <v>6.7</v>
      </c>
      <c r="H348" t="s">
        <v>18</v>
      </c>
      <c r="I348" t="s">
        <v>13</v>
      </c>
      <c r="J348" t="s">
        <v>20</v>
      </c>
    </row>
    <row r="349" spans="1:10" x14ac:dyDescent="0.25">
      <c r="A349">
        <v>348</v>
      </c>
      <c r="B349" s="1">
        <v>45303</v>
      </c>
      <c r="C349" t="s">
        <v>14</v>
      </c>
      <c r="D349" t="s">
        <v>20</v>
      </c>
      <c r="E349">
        <v>98</v>
      </c>
      <c r="F349">
        <v>42</v>
      </c>
      <c r="G349">
        <v>7.2</v>
      </c>
      <c r="H349" t="s">
        <v>18</v>
      </c>
      <c r="I349" t="s">
        <v>13</v>
      </c>
      <c r="J349" t="s">
        <v>11</v>
      </c>
    </row>
    <row r="350" spans="1:10" x14ac:dyDescent="0.25">
      <c r="A350">
        <v>349</v>
      </c>
      <c r="B350" s="1">
        <v>45598</v>
      </c>
      <c r="C350" t="s">
        <v>23</v>
      </c>
      <c r="D350" t="s">
        <v>17</v>
      </c>
      <c r="E350">
        <v>112</v>
      </c>
      <c r="F350">
        <v>26</v>
      </c>
      <c r="G350">
        <v>5.0999999999999996</v>
      </c>
      <c r="H350" t="s">
        <v>12</v>
      </c>
      <c r="I350" t="s">
        <v>16</v>
      </c>
      <c r="J350" t="s">
        <v>11</v>
      </c>
    </row>
    <row r="351" spans="1:10" x14ac:dyDescent="0.25">
      <c r="A351">
        <v>350</v>
      </c>
      <c r="B351" s="1">
        <v>45329</v>
      </c>
      <c r="C351" t="s">
        <v>22</v>
      </c>
      <c r="D351" t="s">
        <v>20</v>
      </c>
      <c r="E351">
        <v>203</v>
      </c>
      <c r="F351">
        <v>29</v>
      </c>
      <c r="G351">
        <v>9.1</v>
      </c>
      <c r="H351" t="s">
        <v>12</v>
      </c>
      <c r="I351" t="s">
        <v>19</v>
      </c>
      <c r="J351" t="s">
        <v>11</v>
      </c>
    </row>
    <row r="352" spans="1:10" x14ac:dyDescent="0.25">
      <c r="A352">
        <v>351</v>
      </c>
      <c r="B352" s="1">
        <v>45294</v>
      </c>
      <c r="C352" t="s">
        <v>21</v>
      </c>
      <c r="D352" t="s">
        <v>17</v>
      </c>
      <c r="E352">
        <v>87</v>
      </c>
      <c r="F352">
        <v>44</v>
      </c>
      <c r="G352">
        <v>9.1999999999999993</v>
      </c>
      <c r="H352" t="s">
        <v>18</v>
      </c>
      <c r="I352" t="s">
        <v>19</v>
      </c>
      <c r="J352" t="s">
        <v>11</v>
      </c>
    </row>
    <row r="353" spans="1:10" x14ac:dyDescent="0.25">
      <c r="A353">
        <v>352</v>
      </c>
      <c r="B353" s="1">
        <v>45480</v>
      </c>
      <c r="C353" t="s">
        <v>23</v>
      </c>
      <c r="D353" t="s">
        <v>11</v>
      </c>
      <c r="E353">
        <v>173</v>
      </c>
      <c r="F353">
        <v>56</v>
      </c>
      <c r="G353">
        <v>1.8</v>
      </c>
      <c r="H353" t="s">
        <v>12</v>
      </c>
      <c r="I353" t="s">
        <v>19</v>
      </c>
      <c r="J353" t="s">
        <v>11</v>
      </c>
    </row>
    <row r="354" spans="1:10" x14ac:dyDescent="0.25">
      <c r="A354">
        <v>353</v>
      </c>
      <c r="B354" s="1">
        <v>45405</v>
      </c>
      <c r="C354" t="s">
        <v>23</v>
      </c>
      <c r="D354" t="s">
        <v>15</v>
      </c>
      <c r="E354">
        <v>176</v>
      </c>
      <c r="F354">
        <v>25</v>
      </c>
      <c r="G354">
        <v>9.9</v>
      </c>
      <c r="H354" t="s">
        <v>12</v>
      </c>
      <c r="I354" t="s">
        <v>16</v>
      </c>
      <c r="J354" t="s">
        <v>11</v>
      </c>
    </row>
    <row r="355" spans="1:10" x14ac:dyDescent="0.25">
      <c r="A355">
        <v>354</v>
      </c>
      <c r="B355" s="1">
        <v>45653</v>
      </c>
      <c r="C355" t="s">
        <v>10</v>
      </c>
      <c r="D355" t="s">
        <v>17</v>
      </c>
      <c r="E355">
        <v>160</v>
      </c>
      <c r="F355">
        <v>5</v>
      </c>
      <c r="G355">
        <v>6.3</v>
      </c>
      <c r="H355" t="s">
        <v>18</v>
      </c>
      <c r="I355" t="s">
        <v>13</v>
      </c>
      <c r="J355" t="s">
        <v>15</v>
      </c>
    </row>
    <row r="356" spans="1:10" x14ac:dyDescent="0.25">
      <c r="A356">
        <v>355</v>
      </c>
      <c r="B356" s="1">
        <v>45564</v>
      </c>
      <c r="C356" t="s">
        <v>22</v>
      </c>
      <c r="D356" t="s">
        <v>17</v>
      </c>
      <c r="E356">
        <v>77</v>
      </c>
      <c r="F356">
        <v>64</v>
      </c>
      <c r="G356">
        <v>0.9</v>
      </c>
      <c r="H356" t="s">
        <v>12</v>
      </c>
      <c r="I356" t="s">
        <v>16</v>
      </c>
      <c r="J356" t="s">
        <v>11</v>
      </c>
    </row>
    <row r="357" spans="1:10" x14ac:dyDescent="0.25">
      <c r="A357">
        <v>356</v>
      </c>
      <c r="B357" s="1">
        <v>45342</v>
      </c>
      <c r="C357" t="s">
        <v>22</v>
      </c>
      <c r="D357" t="s">
        <v>15</v>
      </c>
      <c r="E357">
        <v>79</v>
      </c>
      <c r="F357">
        <v>4</v>
      </c>
      <c r="G357">
        <v>0.6</v>
      </c>
      <c r="H357" t="s">
        <v>18</v>
      </c>
      <c r="I357" t="s">
        <v>16</v>
      </c>
      <c r="J357" t="s">
        <v>15</v>
      </c>
    </row>
    <row r="358" spans="1:10" x14ac:dyDescent="0.25">
      <c r="A358">
        <v>357</v>
      </c>
      <c r="B358" s="1">
        <v>45308</v>
      </c>
      <c r="C358" t="s">
        <v>10</v>
      </c>
      <c r="D358" t="s">
        <v>11</v>
      </c>
      <c r="E358">
        <v>199</v>
      </c>
      <c r="F358">
        <v>27</v>
      </c>
      <c r="G358">
        <v>1.4</v>
      </c>
      <c r="H358" t="s">
        <v>12</v>
      </c>
      <c r="I358" t="s">
        <v>19</v>
      </c>
      <c r="J358" t="s">
        <v>11</v>
      </c>
    </row>
    <row r="359" spans="1:10" x14ac:dyDescent="0.25">
      <c r="A359">
        <v>358</v>
      </c>
      <c r="B359" s="1">
        <v>45444</v>
      </c>
      <c r="C359" t="s">
        <v>10</v>
      </c>
      <c r="D359" t="s">
        <v>20</v>
      </c>
      <c r="E359">
        <v>81</v>
      </c>
      <c r="F359">
        <v>68</v>
      </c>
      <c r="G359">
        <v>5.0999999999999996</v>
      </c>
      <c r="H359" t="s">
        <v>18</v>
      </c>
      <c r="I359" t="s">
        <v>13</v>
      </c>
      <c r="J359" t="s">
        <v>11</v>
      </c>
    </row>
    <row r="360" spans="1:10" x14ac:dyDescent="0.25">
      <c r="A360">
        <v>359</v>
      </c>
      <c r="B360" s="1">
        <v>45424</v>
      </c>
      <c r="C360" t="s">
        <v>22</v>
      </c>
      <c r="D360" t="s">
        <v>15</v>
      </c>
      <c r="E360">
        <v>52</v>
      </c>
      <c r="F360">
        <v>11</v>
      </c>
      <c r="G360">
        <v>7.8</v>
      </c>
      <c r="H360" t="s">
        <v>18</v>
      </c>
      <c r="I360" t="s">
        <v>13</v>
      </c>
      <c r="J360" t="s">
        <v>15</v>
      </c>
    </row>
    <row r="361" spans="1:10" x14ac:dyDescent="0.25">
      <c r="A361">
        <v>360</v>
      </c>
      <c r="B361" s="1">
        <v>45410</v>
      </c>
      <c r="C361" t="s">
        <v>22</v>
      </c>
      <c r="D361" t="s">
        <v>11</v>
      </c>
      <c r="E361">
        <v>30</v>
      </c>
      <c r="F361">
        <v>58</v>
      </c>
      <c r="G361">
        <v>5.8</v>
      </c>
      <c r="H361" t="s">
        <v>12</v>
      </c>
      <c r="I361" t="s">
        <v>13</v>
      </c>
      <c r="J361" t="s">
        <v>15</v>
      </c>
    </row>
    <row r="362" spans="1:10" x14ac:dyDescent="0.25">
      <c r="A362">
        <v>361</v>
      </c>
      <c r="B362" s="1">
        <v>45636</v>
      </c>
      <c r="C362" t="s">
        <v>23</v>
      </c>
      <c r="D362" t="s">
        <v>11</v>
      </c>
      <c r="E362">
        <v>57</v>
      </c>
      <c r="F362">
        <v>41</v>
      </c>
      <c r="G362">
        <v>6.9</v>
      </c>
      <c r="H362" t="s">
        <v>12</v>
      </c>
      <c r="I362" t="s">
        <v>13</v>
      </c>
      <c r="J362" t="s">
        <v>11</v>
      </c>
    </row>
    <row r="363" spans="1:10" x14ac:dyDescent="0.25">
      <c r="A363">
        <v>362</v>
      </c>
      <c r="B363" s="1">
        <v>45435</v>
      </c>
      <c r="C363" t="s">
        <v>21</v>
      </c>
      <c r="D363" t="s">
        <v>15</v>
      </c>
      <c r="E363">
        <v>141</v>
      </c>
      <c r="F363">
        <v>46</v>
      </c>
      <c r="G363">
        <v>2.5</v>
      </c>
      <c r="H363" t="s">
        <v>18</v>
      </c>
      <c r="I363" t="s">
        <v>19</v>
      </c>
      <c r="J363" t="s">
        <v>11</v>
      </c>
    </row>
    <row r="364" spans="1:10" x14ac:dyDescent="0.25">
      <c r="A364">
        <v>363</v>
      </c>
      <c r="B364" s="1">
        <v>45366</v>
      </c>
      <c r="C364" t="s">
        <v>22</v>
      </c>
      <c r="D364" t="s">
        <v>15</v>
      </c>
      <c r="E364">
        <v>190</v>
      </c>
      <c r="F364">
        <v>22</v>
      </c>
      <c r="G364">
        <v>1.8</v>
      </c>
      <c r="H364" t="s">
        <v>18</v>
      </c>
      <c r="I364" t="s">
        <v>19</v>
      </c>
      <c r="J364" t="s">
        <v>11</v>
      </c>
    </row>
    <row r="365" spans="1:10" x14ac:dyDescent="0.25">
      <c r="A365">
        <v>364</v>
      </c>
      <c r="B365" s="1">
        <v>45644</v>
      </c>
      <c r="C365" t="s">
        <v>10</v>
      </c>
      <c r="D365" t="s">
        <v>11</v>
      </c>
      <c r="E365">
        <v>71</v>
      </c>
      <c r="F365">
        <v>57</v>
      </c>
      <c r="G365">
        <v>7.6</v>
      </c>
      <c r="H365" t="s">
        <v>12</v>
      </c>
      <c r="I365" t="s">
        <v>19</v>
      </c>
      <c r="J365" t="s">
        <v>11</v>
      </c>
    </row>
    <row r="366" spans="1:10" x14ac:dyDescent="0.25">
      <c r="A366">
        <v>365</v>
      </c>
      <c r="B366" s="1">
        <v>45531</v>
      </c>
      <c r="C366" t="s">
        <v>21</v>
      </c>
      <c r="D366" t="s">
        <v>11</v>
      </c>
      <c r="E366">
        <v>39</v>
      </c>
      <c r="F366">
        <v>66</v>
      </c>
      <c r="G366">
        <v>1</v>
      </c>
      <c r="H366" t="s">
        <v>18</v>
      </c>
      <c r="I366" t="s">
        <v>13</v>
      </c>
      <c r="J366" t="s">
        <v>11</v>
      </c>
    </row>
    <row r="367" spans="1:10" x14ac:dyDescent="0.25">
      <c r="A367">
        <v>366</v>
      </c>
      <c r="B367" s="1">
        <v>45445</v>
      </c>
      <c r="C367" t="s">
        <v>14</v>
      </c>
      <c r="D367" t="s">
        <v>17</v>
      </c>
      <c r="E367">
        <v>31</v>
      </c>
      <c r="F367">
        <v>56</v>
      </c>
      <c r="G367">
        <v>1.3</v>
      </c>
      <c r="H367" t="s">
        <v>18</v>
      </c>
      <c r="I367" t="s">
        <v>13</v>
      </c>
      <c r="J367" t="s">
        <v>11</v>
      </c>
    </row>
    <row r="368" spans="1:10" x14ac:dyDescent="0.25">
      <c r="A368">
        <v>367</v>
      </c>
      <c r="B368" s="1">
        <v>45386</v>
      </c>
      <c r="C368" t="s">
        <v>10</v>
      </c>
      <c r="D368" t="s">
        <v>17</v>
      </c>
      <c r="E368">
        <v>137</v>
      </c>
      <c r="F368">
        <v>54</v>
      </c>
      <c r="G368">
        <v>5.2</v>
      </c>
      <c r="H368" t="s">
        <v>18</v>
      </c>
      <c r="I368" t="s">
        <v>19</v>
      </c>
      <c r="J368" t="s">
        <v>11</v>
      </c>
    </row>
    <row r="369" spans="1:10" x14ac:dyDescent="0.25">
      <c r="A369">
        <v>368</v>
      </c>
      <c r="B369" s="1">
        <v>45540</v>
      </c>
      <c r="C369" t="s">
        <v>14</v>
      </c>
      <c r="D369" t="s">
        <v>15</v>
      </c>
      <c r="E369">
        <v>177</v>
      </c>
      <c r="F369">
        <v>54</v>
      </c>
      <c r="G369">
        <v>7.3</v>
      </c>
      <c r="H369" t="s">
        <v>18</v>
      </c>
      <c r="I369" t="s">
        <v>13</v>
      </c>
      <c r="J369" t="s">
        <v>15</v>
      </c>
    </row>
    <row r="370" spans="1:10" x14ac:dyDescent="0.25">
      <c r="A370">
        <v>369</v>
      </c>
      <c r="B370" s="1">
        <v>45301</v>
      </c>
      <c r="C370" t="s">
        <v>10</v>
      </c>
      <c r="D370" t="s">
        <v>15</v>
      </c>
      <c r="E370">
        <v>115</v>
      </c>
      <c r="F370">
        <v>47</v>
      </c>
      <c r="G370">
        <v>5.4</v>
      </c>
      <c r="H370" t="s">
        <v>18</v>
      </c>
      <c r="I370" t="s">
        <v>13</v>
      </c>
      <c r="J370" t="s">
        <v>15</v>
      </c>
    </row>
    <row r="371" spans="1:10" x14ac:dyDescent="0.25">
      <c r="A371">
        <v>370</v>
      </c>
      <c r="B371" s="1">
        <v>45512</v>
      </c>
      <c r="C371" t="s">
        <v>14</v>
      </c>
      <c r="D371" t="s">
        <v>15</v>
      </c>
      <c r="E371">
        <v>192</v>
      </c>
      <c r="F371">
        <v>44</v>
      </c>
      <c r="G371">
        <v>2.6</v>
      </c>
      <c r="H371" t="s">
        <v>12</v>
      </c>
      <c r="I371" t="s">
        <v>13</v>
      </c>
      <c r="J371" t="s">
        <v>11</v>
      </c>
    </row>
    <row r="372" spans="1:10" x14ac:dyDescent="0.25">
      <c r="A372">
        <v>371</v>
      </c>
      <c r="B372" s="1">
        <v>45459</v>
      </c>
      <c r="C372" t="s">
        <v>22</v>
      </c>
      <c r="D372" t="s">
        <v>20</v>
      </c>
      <c r="E372">
        <v>47</v>
      </c>
      <c r="F372">
        <v>64</v>
      </c>
      <c r="G372">
        <v>2.5</v>
      </c>
      <c r="H372" t="s">
        <v>18</v>
      </c>
      <c r="I372" t="s">
        <v>16</v>
      </c>
      <c r="J372" t="s">
        <v>11</v>
      </c>
    </row>
    <row r="373" spans="1:10" x14ac:dyDescent="0.25">
      <c r="A373">
        <v>372</v>
      </c>
      <c r="B373" s="1">
        <v>45514</v>
      </c>
      <c r="C373" t="s">
        <v>23</v>
      </c>
      <c r="D373" t="s">
        <v>11</v>
      </c>
      <c r="E373">
        <v>219</v>
      </c>
      <c r="F373">
        <v>28</v>
      </c>
      <c r="G373">
        <v>8.1</v>
      </c>
      <c r="H373" t="s">
        <v>12</v>
      </c>
      <c r="I373" t="s">
        <v>13</v>
      </c>
      <c r="J373" t="s">
        <v>11</v>
      </c>
    </row>
    <row r="374" spans="1:10" x14ac:dyDescent="0.25">
      <c r="A374">
        <v>373</v>
      </c>
      <c r="B374" s="1">
        <v>45378</v>
      </c>
      <c r="C374" t="s">
        <v>21</v>
      </c>
      <c r="D374" t="s">
        <v>15</v>
      </c>
      <c r="E374">
        <v>223</v>
      </c>
      <c r="F374">
        <v>27</v>
      </c>
      <c r="G374">
        <v>5.5</v>
      </c>
      <c r="H374" t="s">
        <v>18</v>
      </c>
      <c r="I374" t="s">
        <v>16</v>
      </c>
      <c r="J374" t="s">
        <v>15</v>
      </c>
    </row>
    <row r="375" spans="1:10" x14ac:dyDescent="0.25">
      <c r="A375">
        <v>374</v>
      </c>
      <c r="B375" s="1">
        <v>45480</v>
      </c>
      <c r="C375" t="s">
        <v>22</v>
      </c>
      <c r="D375" t="s">
        <v>15</v>
      </c>
      <c r="E375">
        <v>10</v>
      </c>
      <c r="F375">
        <v>22</v>
      </c>
      <c r="G375">
        <v>5.9</v>
      </c>
      <c r="H375" t="s">
        <v>12</v>
      </c>
      <c r="I375" t="s">
        <v>16</v>
      </c>
      <c r="J375" t="s">
        <v>15</v>
      </c>
    </row>
    <row r="376" spans="1:10" x14ac:dyDescent="0.25">
      <c r="A376">
        <v>375</v>
      </c>
      <c r="B376" s="1">
        <v>45439</v>
      </c>
      <c r="C376" t="s">
        <v>22</v>
      </c>
      <c r="D376" t="s">
        <v>20</v>
      </c>
      <c r="E376">
        <v>125</v>
      </c>
      <c r="F376">
        <v>60</v>
      </c>
      <c r="G376">
        <v>5.7</v>
      </c>
      <c r="H376" t="s">
        <v>18</v>
      </c>
      <c r="I376" t="s">
        <v>13</v>
      </c>
      <c r="J376" t="s">
        <v>11</v>
      </c>
    </row>
    <row r="377" spans="1:10" x14ac:dyDescent="0.25">
      <c r="A377">
        <v>376</v>
      </c>
      <c r="B377" s="1">
        <v>45588</v>
      </c>
      <c r="C377" t="s">
        <v>22</v>
      </c>
      <c r="D377" t="s">
        <v>11</v>
      </c>
      <c r="E377">
        <v>67</v>
      </c>
      <c r="F377">
        <v>33</v>
      </c>
      <c r="G377">
        <v>4.7</v>
      </c>
      <c r="H377" t="s">
        <v>12</v>
      </c>
      <c r="I377" t="s">
        <v>19</v>
      </c>
      <c r="J377" t="s">
        <v>11</v>
      </c>
    </row>
    <row r="378" spans="1:10" x14ac:dyDescent="0.25">
      <c r="A378">
        <v>377</v>
      </c>
      <c r="B378" s="1">
        <v>45469</v>
      </c>
      <c r="C378" t="s">
        <v>23</v>
      </c>
      <c r="D378" t="s">
        <v>11</v>
      </c>
      <c r="E378">
        <v>109</v>
      </c>
      <c r="F378">
        <v>19</v>
      </c>
      <c r="G378">
        <v>9</v>
      </c>
      <c r="H378" t="s">
        <v>18</v>
      </c>
      <c r="I378" t="s">
        <v>19</v>
      </c>
      <c r="J378" t="s">
        <v>15</v>
      </c>
    </row>
    <row r="379" spans="1:10" x14ac:dyDescent="0.25">
      <c r="A379">
        <v>378</v>
      </c>
      <c r="B379" s="1">
        <v>45464</v>
      </c>
      <c r="C379" t="s">
        <v>14</v>
      </c>
      <c r="D379" t="s">
        <v>20</v>
      </c>
      <c r="E379">
        <v>227</v>
      </c>
      <c r="F379">
        <v>24</v>
      </c>
      <c r="G379">
        <v>8.5</v>
      </c>
      <c r="H379" t="s">
        <v>12</v>
      </c>
      <c r="I379" t="s">
        <v>16</v>
      </c>
      <c r="J379" t="s">
        <v>11</v>
      </c>
    </row>
    <row r="380" spans="1:10" x14ac:dyDescent="0.25">
      <c r="A380">
        <v>379</v>
      </c>
      <c r="B380" s="1">
        <v>45356</v>
      </c>
      <c r="C380" t="s">
        <v>22</v>
      </c>
      <c r="D380" t="s">
        <v>15</v>
      </c>
      <c r="E380">
        <v>146</v>
      </c>
      <c r="F380">
        <v>54</v>
      </c>
      <c r="G380">
        <v>3</v>
      </c>
      <c r="H380" t="s">
        <v>18</v>
      </c>
      <c r="I380" t="s">
        <v>16</v>
      </c>
      <c r="J380" t="s">
        <v>11</v>
      </c>
    </row>
    <row r="381" spans="1:10" x14ac:dyDescent="0.25">
      <c r="A381">
        <v>380</v>
      </c>
      <c r="B381" s="1">
        <v>45310</v>
      </c>
      <c r="C381" t="s">
        <v>10</v>
      </c>
      <c r="D381" t="s">
        <v>20</v>
      </c>
      <c r="E381">
        <v>166</v>
      </c>
      <c r="F381">
        <v>11</v>
      </c>
      <c r="G381">
        <v>1.3</v>
      </c>
      <c r="H381" t="s">
        <v>18</v>
      </c>
      <c r="I381" t="s">
        <v>13</v>
      </c>
      <c r="J381" t="s">
        <v>11</v>
      </c>
    </row>
    <row r="382" spans="1:10" x14ac:dyDescent="0.25">
      <c r="A382">
        <v>381</v>
      </c>
      <c r="B382" s="1">
        <v>45500</v>
      </c>
      <c r="C382" t="s">
        <v>22</v>
      </c>
      <c r="D382" t="s">
        <v>20</v>
      </c>
      <c r="E382">
        <v>126</v>
      </c>
      <c r="F382">
        <v>25</v>
      </c>
      <c r="G382">
        <v>4.8</v>
      </c>
      <c r="H382" t="s">
        <v>18</v>
      </c>
      <c r="I382" t="s">
        <v>19</v>
      </c>
      <c r="J382" t="s">
        <v>11</v>
      </c>
    </row>
    <row r="383" spans="1:10" x14ac:dyDescent="0.25">
      <c r="A383">
        <v>382</v>
      </c>
      <c r="B383" s="1">
        <v>45411</v>
      </c>
      <c r="C383" t="s">
        <v>10</v>
      </c>
      <c r="D383" t="s">
        <v>17</v>
      </c>
      <c r="E383">
        <v>53</v>
      </c>
      <c r="F383">
        <v>25</v>
      </c>
      <c r="G383">
        <v>8.5</v>
      </c>
      <c r="H383" t="s">
        <v>12</v>
      </c>
      <c r="I383" t="s">
        <v>16</v>
      </c>
      <c r="J383" t="s">
        <v>11</v>
      </c>
    </row>
    <row r="384" spans="1:10" x14ac:dyDescent="0.25">
      <c r="A384">
        <v>383</v>
      </c>
      <c r="B384" s="1">
        <v>45463</v>
      </c>
      <c r="C384" t="s">
        <v>23</v>
      </c>
      <c r="D384" t="s">
        <v>17</v>
      </c>
      <c r="E384">
        <v>112</v>
      </c>
      <c r="F384">
        <v>27</v>
      </c>
      <c r="G384">
        <v>5</v>
      </c>
      <c r="H384" t="s">
        <v>12</v>
      </c>
      <c r="I384" t="s">
        <v>13</v>
      </c>
      <c r="J384" t="s">
        <v>11</v>
      </c>
    </row>
    <row r="385" spans="1:10" x14ac:dyDescent="0.25">
      <c r="A385">
        <v>384</v>
      </c>
      <c r="B385" s="1">
        <v>45630</v>
      </c>
      <c r="C385" t="s">
        <v>22</v>
      </c>
      <c r="D385" t="s">
        <v>20</v>
      </c>
      <c r="E385">
        <v>28</v>
      </c>
      <c r="F385">
        <v>1</v>
      </c>
      <c r="G385">
        <v>10</v>
      </c>
      <c r="H385" t="s">
        <v>12</v>
      </c>
      <c r="I385" t="s">
        <v>13</v>
      </c>
      <c r="J385" t="s">
        <v>20</v>
      </c>
    </row>
    <row r="386" spans="1:10" x14ac:dyDescent="0.25">
      <c r="A386">
        <v>385</v>
      </c>
      <c r="B386" s="1">
        <v>45574</v>
      </c>
      <c r="C386" t="s">
        <v>21</v>
      </c>
      <c r="D386" t="s">
        <v>11</v>
      </c>
      <c r="E386">
        <v>228</v>
      </c>
      <c r="F386">
        <v>6</v>
      </c>
      <c r="G386">
        <v>7.9</v>
      </c>
      <c r="H386" t="s">
        <v>12</v>
      </c>
      <c r="I386" t="s">
        <v>16</v>
      </c>
      <c r="J386" t="s">
        <v>15</v>
      </c>
    </row>
    <row r="387" spans="1:10" x14ac:dyDescent="0.25">
      <c r="A387">
        <v>386</v>
      </c>
      <c r="B387" s="1">
        <v>45524</v>
      </c>
      <c r="C387" t="s">
        <v>22</v>
      </c>
      <c r="D387" t="s">
        <v>17</v>
      </c>
      <c r="E387">
        <v>90</v>
      </c>
      <c r="F387">
        <v>47</v>
      </c>
      <c r="G387">
        <v>4.2</v>
      </c>
      <c r="H387" t="s">
        <v>12</v>
      </c>
      <c r="I387" t="s">
        <v>19</v>
      </c>
      <c r="J387" t="s">
        <v>11</v>
      </c>
    </row>
    <row r="388" spans="1:10" x14ac:dyDescent="0.25">
      <c r="A388">
        <v>387</v>
      </c>
      <c r="B388" s="1">
        <v>45460</v>
      </c>
      <c r="C388" t="s">
        <v>10</v>
      </c>
      <c r="D388" t="s">
        <v>15</v>
      </c>
      <c r="E388">
        <v>10</v>
      </c>
      <c r="F388">
        <v>25</v>
      </c>
      <c r="G388">
        <v>0.9</v>
      </c>
      <c r="H388" t="s">
        <v>12</v>
      </c>
      <c r="I388" t="s">
        <v>13</v>
      </c>
      <c r="J388" t="s">
        <v>15</v>
      </c>
    </row>
    <row r="389" spans="1:10" x14ac:dyDescent="0.25">
      <c r="A389">
        <v>388</v>
      </c>
      <c r="B389" s="1">
        <v>45442</v>
      </c>
      <c r="C389" t="s">
        <v>14</v>
      </c>
      <c r="D389" t="s">
        <v>15</v>
      </c>
      <c r="E389">
        <v>128</v>
      </c>
      <c r="F389">
        <v>50</v>
      </c>
      <c r="G389">
        <v>0.6</v>
      </c>
      <c r="H389" t="s">
        <v>12</v>
      </c>
      <c r="I389" t="s">
        <v>16</v>
      </c>
      <c r="J389" t="s">
        <v>11</v>
      </c>
    </row>
    <row r="390" spans="1:10" x14ac:dyDescent="0.25">
      <c r="A390">
        <v>389</v>
      </c>
      <c r="B390" s="1">
        <v>45537</v>
      </c>
      <c r="C390" t="s">
        <v>14</v>
      </c>
      <c r="D390" t="s">
        <v>15</v>
      </c>
      <c r="E390">
        <v>107</v>
      </c>
      <c r="F390">
        <v>71</v>
      </c>
      <c r="G390">
        <v>7.7</v>
      </c>
      <c r="H390" t="s">
        <v>12</v>
      </c>
      <c r="I390" t="s">
        <v>16</v>
      </c>
      <c r="J390" t="s">
        <v>11</v>
      </c>
    </row>
    <row r="391" spans="1:10" x14ac:dyDescent="0.25">
      <c r="A391">
        <v>390</v>
      </c>
      <c r="B391" s="1">
        <v>45334</v>
      </c>
      <c r="C391" t="s">
        <v>21</v>
      </c>
      <c r="D391" t="s">
        <v>17</v>
      </c>
      <c r="E391">
        <v>83</v>
      </c>
      <c r="F391">
        <v>42</v>
      </c>
      <c r="G391">
        <v>3</v>
      </c>
      <c r="H391" t="s">
        <v>18</v>
      </c>
      <c r="I391" t="s">
        <v>13</v>
      </c>
      <c r="J391" t="s">
        <v>11</v>
      </c>
    </row>
    <row r="392" spans="1:10" x14ac:dyDescent="0.25">
      <c r="A392">
        <v>391</v>
      </c>
      <c r="B392" s="1">
        <v>45554</v>
      </c>
      <c r="C392" t="s">
        <v>14</v>
      </c>
      <c r="D392" t="s">
        <v>20</v>
      </c>
      <c r="E392">
        <v>112</v>
      </c>
      <c r="F392">
        <v>38</v>
      </c>
      <c r="G392">
        <v>4.5</v>
      </c>
      <c r="H392" t="s">
        <v>18</v>
      </c>
      <c r="I392" t="s">
        <v>19</v>
      </c>
      <c r="J392" t="s">
        <v>11</v>
      </c>
    </row>
    <row r="393" spans="1:10" x14ac:dyDescent="0.25">
      <c r="A393">
        <v>392</v>
      </c>
      <c r="B393" s="1">
        <v>45493</v>
      </c>
      <c r="C393" t="s">
        <v>21</v>
      </c>
      <c r="D393" t="s">
        <v>17</v>
      </c>
      <c r="E393">
        <v>107</v>
      </c>
      <c r="F393">
        <v>7</v>
      </c>
      <c r="G393">
        <v>3.5</v>
      </c>
      <c r="H393" t="s">
        <v>18</v>
      </c>
      <c r="I393" t="s">
        <v>16</v>
      </c>
      <c r="J393" t="s">
        <v>11</v>
      </c>
    </row>
    <row r="394" spans="1:10" x14ac:dyDescent="0.25">
      <c r="A394">
        <v>393</v>
      </c>
      <c r="B394" s="1">
        <v>45605</v>
      </c>
      <c r="C394" t="s">
        <v>22</v>
      </c>
      <c r="D394" t="s">
        <v>15</v>
      </c>
      <c r="E394">
        <v>28</v>
      </c>
      <c r="F394">
        <v>17</v>
      </c>
      <c r="G394">
        <v>6.4</v>
      </c>
      <c r="H394" t="s">
        <v>12</v>
      </c>
      <c r="I394" t="s">
        <v>19</v>
      </c>
      <c r="J394" t="s">
        <v>15</v>
      </c>
    </row>
    <row r="395" spans="1:10" x14ac:dyDescent="0.25">
      <c r="A395">
        <v>394</v>
      </c>
      <c r="B395" s="1">
        <v>45431</v>
      </c>
      <c r="C395" t="s">
        <v>14</v>
      </c>
      <c r="D395" t="s">
        <v>17</v>
      </c>
      <c r="E395">
        <v>28</v>
      </c>
      <c r="F395">
        <v>1</v>
      </c>
      <c r="G395">
        <v>2.1</v>
      </c>
      <c r="H395" t="s">
        <v>18</v>
      </c>
      <c r="I395" t="s">
        <v>16</v>
      </c>
      <c r="J395" t="s">
        <v>20</v>
      </c>
    </row>
    <row r="396" spans="1:10" x14ac:dyDescent="0.25">
      <c r="A396">
        <v>395</v>
      </c>
      <c r="B396" s="1">
        <v>45519</v>
      </c>
      <c r="C396" t="s">
        <v>21</v>
      </c>
      <c r="D396" t="s">
        <v>15</v>
      </c>
      <c r="E396">
        <v>197</v>
      </c>
      <c r="F396">
        <v>47</v>
      </c>
      <c r="G396">
        <v>6.1</v>
      </c>
      <c r="H396" t="s">
        <v>18</v>
      </c>
      <c r="I396" t="s">
        <v>19</v>
      </c>
      <c r="J396" t="s">
        <v>15</v>
      </c>
    </row>
    <row r="397" spans="1:10" x14ac:dyDescent="0.25">
      <c r="A397">
        <v>396</v>
      </c>
      <c r="B397" s="1">
        <v>45351</v>
      </c>
      <c r="C397" t="s">
        <v>10</v>
      </c>
      <c r="D397" t="s">
        <v>11</v>
      </c>
      <c r="E397">
        <v>104</v>
      </c>
      <c r="F397">
        <v>10</v>
      </c>
      <c r="G397">
        <v>4.5999999999999996</v>
      </c>
      <c r="H397" t="s">
        <v>12</v>
      </c>
      <c r="I397" t="s">
        <v>16</v>
      </c>
      <c r="J397" t="s">
        <v>11</v>
      </c>
    </row>
    <row r="398" spans="1:10" x14ac:dyDescent="0.25">
      <c r="A398">
        <v>397</v>
      </c>
      <c r="B398" s="1">
        <v>45432</v>
      </c>
      <c r="C398" t="s">
        <v>21</v>
      </c>
      <c r="D398" t="s">
        <v>11</v>
      </c>
      <c r="E398">
        <v>150</v>
      </c>
      <c r="F398">
        <v>42</v>
      </c>
      <c r="G398">
        <v>4.5999999999999996</v>
      </c>
      <c r="H398" t="s">
        <v>12</v>
      </c>
      <c r="I398" t="s">
        <v>16</v>
      </c>
      <c r="J398" t="s">
        <v>11</v>
      </c>
    </row>
    <row r="399" spans="1:10" x14ac:dyDescent="0.25">
      <c r="A399">
        <v>398</v>
      </c>
      <c r="B399" s="1">
        <v>45655</v>
      </c>
      <c r="C399" t="s">
        <v>23</v>
      </c>
      <c r="D399" t="s">
        <v>11</v>
      </c>
      <c r="E399">
        <v>14</v>
      </c>
      <c r="F399">
        <v>56</v>
      </c>
      <c r="G399">
        <v>7.7</v>
      </c>
      <c r="H399" t="s">
        <v>18</v>
      </c>
      <c r="I399" t="s">
        <v>19</v>
      </c>
      <c r="J399" t="s">
        <v>20</v>
      </c>
    </row>
    <row r="400" spans="1:10" x14ac:dyDescent="0.25">
      <c r="A400">
        <v>399</v>
      </c>
      <c r="B400" s="1">
        <v>45398</v>
      </c>
      <c r="C400" t="s">
        <v>23</v>
      </c>
      <c r="D400" t="s">
        <v>11</v>
      </c>
      <c r="E400">
        <v>8</v>
      </c>
      <c r="F400">
        <v>30</v>
      </c>
      <c r="G400">
        <v>2.2000000000000002</v>
      </c>
      <c r="H400" t="s">
        <v>18</v>
      </c>
      <c r="I400" t="s">
        <v>19</v>
      </c>
      <c r="J400" t="s">
        <v>15</v>
      </c>
    </row>
    <row r="401" spans="1:10" x14ac:dyDescent="0.25">
      <c r="A401">
        <v>400</v>
      </c>
      <c r="B401" s="1">
        <v>45454</v>
      </c>
      <c r="C401" t="s">
        <v>23</v>
      </c>
      <c r="D401" t="s">
        <v>15</v>
      </c>
      <c r="E401">
        <v>31</v>
      </c>
      <c r="F401">
        <v>17</v>
      </c>
      <c r="G401">
        <v>1</v>
      </c>
      <c r="H401" t="s">
        <v>18</v>
      </c>
      <c r="I401" t="s">
        <v>16</v>
      </c>
      <c r="J401" t="s">
        <v>11</v>
      </c>
    </row>
    <row r="402" spans="1:10" x14ac:dyDescent="0.25">
      <c r="A402">
        <v>401</v>
      </c>
      <c r="B402" s="1">
        <v>45594</v>
      </c>
      <c r="C402" t="s">
        <v>14</v>
      </c>
      <c r="D402" t="s">
        <v>15</v>
      </c>
      <c r="E402">
        <v>157</v>
      </c>
      <c r="F402">
        <v>49</v>
      </c>
      <c r="G402">
        <v>3.6</v>
      </c>
      <c r="H402" t="s">
        <v>12</v>
      </c>
      <c r="I402" t="s">
        <v>19</v>
      </c>
      <c r="J402" t="s">
        <v>11</v>
      </c>
    </row>
    <row r="403" spans="1:10" x14ac:dyDescent="0.25">
      <c r="A403">
        <v>402</v>
      </c>
      <c r="B403" s="1">
        <v>45357</v>
      </c>
      <c r="C403" t="s">
        <v>10</v>
      </c>
      <c r="D403" t="s">
        <v>11</v>
      </c>
      <c r="E403">
        <v>157</v>
      </c>
      <c r="F403">
        <v>4</v>
      </c>
      <c r="G403">
        <v>9.6999999999999993</v>
      </c>
      <c r="H403" t="s">
        <v>18</v>
      </c>
      <c r="I403" t="s">
        <v>16</v>
      </c>
      <c r="J403" t="s">
        <v>20</v>
      </c>
    </row>
    <row r="404" spans="1:10" x14ac:dyDescent="0.25">
      <c r="A404">
        <v>403</v>
      </c>
      <c r="B404" s="1">
        <v>45632</v>
      </c>
      <c r="C404" t="s">
        <v>21</v>
      </c>
      <c r="D404" t="s">
        <v>20</v>
      </c>
      <c r="E404">
        <v>48</v>
      </c>
      <c r="F404">
        <v>21</v>
      </c>
      <c r="G404">
        <v>5.8</v>
      </c>
      <c r="H404" t="s">
        <v>12</v>
      </c>
      <c r="I404" t="s">
        <v>16</v>
      </c>
      <c r="J404" t="s">
        <v>11</v>
      </c>
    </row>
    <row r="405" spans="1:10" x14ac:dyDescent="0.25">
      <c r="A405">
        <v>404</v>
      </c>
      <c r="B405" s="1">
        <v>45521</v>
      </c>
      <c r="C405" t="s">
        <v>22</v>
      </c>
      <c r="D405" t="s">
        <v>20</v>
      </c>
      <c r="E405">
        <v>234</v>
      </c>
      <c r="F405">
        <v>43</v>
      </c>
      <c r="G405">
        <v>2.5</v>
      </c>
      <c r="H405" t="s">
        <v>18</v>
      </c>
      <c r="I405" t="s">
        <v>13</v>
      </c>
      <c r="J405" t="s">
        <v>11</v>
      </c>
    </row>
    <row r="406" spans="1:10" x14ac:dyDescent="0.25">
      <c r="A406">
        <v>405</v>
      </c>
      <c r="B406" s="1">
        <v>45370</v>
      </c>
      <c r="C406" t="s">
        <v>21</v>
      </c>
      <c r="D406" t="s">
        <v>15</v>
      </c>
      <c r="E406">
        <v>173</v>
      </c>
      <c r="F406">
        <v>42</v>
      </c>
      <c r="G406">
        <v>1</v>
      </c>
      <c r="H406" t="s">
        <v>12</v>
      </c>
      <c r="I406" t="s">
        <v>13</v>
      </c>
      <c r="J406" t="s">
        <v>11</v>
      </c>
    </row>
    <row r="407" spans="1:10" x14ac:dyDescent="0.25">
      <c r="A407">
        <v>406</v>
      </c>
      <c r="B407" s="1">
        <v>45656</v>
      </c>
      <c r="C407" t="s">
        <v>21</v>
      </c>
      <c r="D407" t="s">
        <v>20</v>
      </c>
      <c r="E407">
        <v>231</v>
      </c>
      <c r="F407">
        <v>17</v>
      </c>
      <c r="G407">
        <v>3.4</v>
      </c>
      <c r="H407" t="s">
        <v>12</v>
      </c>
      <c r="I407" t="s">
        <v>13</v>
      </c>
      <c r="J407" t="s">
        <v>11</v>
      </c>
    </row>
    <row r="408" spans="1:10" x14ac:dyDescent="0.25">
      <c r="A408">
        <v>407</v>
      </c>
      <c r="B408" s="1">
        <v>45653</v>
      </c>
      <c r="C408" t="s">
        <v>10</v>
      </c>
      <c r="D408" t="s">
        <v>15</v>
      </c>
      <c r="E408">
        <v>150</v>
      </c>
      <c r="F408">
        <v>54</v>
      </c>
      <c r="G408">
        <v>3.8</v>
      </c>
      <c r="H408" t="s">
        <v>12</v>
      </c>
      <c r="I408" t="s">
        <v>19</v>
      </c>
      <c r="J408" t="s">
        <v>11</v>
      </c>
    </row>
    <row r="409" spans="1:10" x14ac:dyDescent="0.25">
      <c r="A409">
        <v>408</v>
      </c>
      <c r="B409" s="1">
        <v>45405</v>
      </c>
      <c r="C409" t="s">
        <v>14</v>
      </c>
      <c r="D409" t="s">
        <v>17</v>
      </c>
      <c r="E409">
        <v>233</v>
      </c>
      <c r="F409">
        <v>22</v>
      </c>
      <c r="G409">
        <v>5.5</v>
      </c>
      <c r="H409" t="s">
        <v>18</v>
      </c>
      <c r="I409" t="s">
        <v>19</v>
      </c>
      <c r="J409" t="s">
        <v>11</v>
      </c>
    </row>
    <row r="410" spans="1:10" x14ac:dyDescent="0.25">
      <c r="A410">
        <v>409</v>
      </c>
      <c r="B410" s="1">
        <v>45377</v>
      </c>
      <c r="C410" t="s">
        <v>14</v>
      </c>
      <c r="D410" t="s">
        <v>15</v>
      </c>
      <c r="E410">
        <v>153</v>
      </c>
      <c r="F410">
        <v>16</v>
      </c>
      <c r="G410">
        <v>5.7</v>
      </c>
      <c r="H410" t="s">
        <v>12</v>
      </c>
      <c r="I410" t="s">
        <v>16</v>
      </c>
      <c r="J410" t="s">
        <v>11</v>
      </c>
    </row>
    <row r="411" spans="1:10" x14ac:dyDescent="0.25">
      <c r="A411">
        <v>410</v>
      </c>
      <c r="B411" s="1">
        <v>45354</v>
      </c>
      <c r="C411" t="s">
        <v>23</v>
      </c>
      <c r="D411" t="s">
        <v>20</v>
      </c>
      <c r="E411">
        <v>238</v>
      </c>
      <c r="F411">
        <v>52</v>
      </c>
      <c r="G411">
        <v>7.9</v>
      </c>
      <c r="H411" t="s">
        <v>18</v>
      </c>
      <c r="I411" t="s">
        <v>13</v>
      </c>
      <c r="J411" t="s">
        <v>11</v>
      </c>
    </row>
    <row r="412" spans="1:10" x14ac:dyDescent="0.25">
      <c r="A412">
        <v>411</v>
      </c>
      <c r="B412" s="1">
        <v>45310</v>
      </c>
      <c r="C412" t="s">
        <v>21</v>
      </c>
      <c r="D412" t="s">
        <v>17</v>
      </c>
      <c r="E412">
        <v>214</v>
      </c>
      <c r="F412">
        <v>42</v>
      </c>
      <c r="G412">
        <v>7.9</v>
      </c>
      <c r="H412" t="s">
        <v>12</v>
      </c>
      <c r="I412" t="s">
        <v>19</v>
      </c>
      <c r="J412" t="s">
        <v>11</v>
      </c>
    </row>
    <row r="413" spans="1:10" x14ac:dyDescent="0.25">
      <c r="A413">
        <v>412</v>
      </c>
      <c r="B413" s="1">
        <v>45510</v>
      </c>
      <c r="C413" t="s">
        <v>21</v>
      </c>
      <c r="D413" t="s">
        <v>17</v>
      </c>
      <c r="E413">
        <v>62</v>
      </c>
      <c r="F413">
        <v>11</v>
      </c>
      <c r="G413">
        <v>9.6999999999999993</v>
      </c>
      <c r="H413" t="s">
        <v>18</v>
      </c>
      <c r="I413" t="s">
        <v>19</v>
      </c>
      <c r="J413" t="s">
        <v>11</v>
      </c>
    </row>
    <row r="414" spans="1:10" x14ac:dyDescent="0.25">
      <c r="A414">
        <v>413</v>
      </c>
      <c r="B414" s="1">
        <v>45598</v>
      </c>
      <c r="C414" t="s">
        <v>14</v>
      </c>
      <c r="D414" t="s">
        <v>20</v>
      </c>
      <c r="E414">
        <v>80</v>
      </c>
      <c r="F414">
        <v>1</v>
      </c>
      <c r="G414">
        <v>4.9000000000000004</v>
      </c>
      <c r="H414" t="s">
        <v>18</v>
      </c>
      <c r="I414" t="s">
        <v>16</v>
      </c>
      <c r="J414" t="s">
        <v>15</v>
      </c>
    </row>
    <row r="415" spans="1:10" x14ac:dyDescent="0.25">
      <c r="A415">
        <v>414</v>
      </c>
      <c r="B415" s="1">
        <v>45339</v>
      </c>
      <c r="C415" t="s">
        <v>14</v>
      </c>
      <c r="D415" t="s">
        <v>20</v>
      </c>
      <c r="E415">
        <v>74</v>
      </c>
      <c r="F415">
        <v>47</v>
      </c>
      <c r="G415">
        <v>7.5</v>
      </c>
      <c r="H415" t="s">
        <v>18</v>
      </c>
      <c r="I415" t="s">
        <v>16</v>
      </c>
      <c r="J415" t="s">
        <v>11</v>
      </c>
    </row>
    <row r="416" spans="1:10" x14ac:dyDescent="0.25">
      <c r="A416">
        <v>415</v>
      </c>
      <c r="B416" s="1">
        <v>45436</v>
      </c>
      <c r="C416" t="s">
        <v>14</v>
      </c>
      <c r="D416" t="s">
        <v>15</v>
      </c>
      <c r="E416">
        <v>28</v>
      </c>
      <c r="F416">
        <v>26</v>
      </c>
      <c r="G416">
        <v>5.5</v>
      </c>
      <c r="H416" t="s">
        <v>12</v>
      </c>
      <c r="I416" t="s">
        <v>13</v>
      </c>
      <c r="J416" t="s">
        <v>15</v>
      </c>
    </row>
    <row r="417" spans="1:10" x14ac:dyDescent="0.25">
      <c r="A417">
        <v>416</v>
      </c>
      <c r="B417" s="1">
        <v>45294</v>
      </c>
      <c r="C417" t="s">
        <v>21</v>
      </c>
      <c r="D417" t="s">
        <v>11</v>
      </c>
      <c r="E417">
        <v>208</v>
      </c>
      <c r="F417">
        <v>40</v>
      </c>
      <c r="G417">
        <v>1.6</v>
      </c>
      <c r="H417" t="s">
        <v>18</v>
      </c>
      <c r="I417" t="s">
        <v>13</v>
      </c>
      <c r="J417" t="s">
        <v>11</v>
      </c>
    </row>
    <row r="418" spans="1:10" x14ac:dyDescent="0.25">
      <c r="A418">
        <v>417</v>
      </c>
      <c r="B418" s="1">
        <v>45546</v>
      </c>
      <c r="C418" t="s">
        <v>22</v>
      </c>
      <c r="D418" t="s">
        <v>15</v>
      </c>
      <c r="E418">
        <v>23</v>
      </c>
      <c r="F418">
        <v>30</v>
      </c>
      <c r="G418">
        <v>9.6999999999999993</v>
      </c>
      <c r="H418" t="s">
        <v>12</v>
      </c>
      <c r="I418" t="s">
        <v>13</v>
      </c>
      <c r="J418" t="s">
        <v>15</v>
      </c>
    </row>
    <row r="419" spans="1:10" x14ac:dyDescent="0.25">
      <c r="A419">
        <v>418</v>
      </c>
      <c r="B419" s="1">
        <v>45325</v>
      </c>
      <c r="C419" t="s">
        <v>21</v>
      </c>
      <c r="D419" t="s">
        <v>15</v>
      </c>
      <c r="E419">
        <v>108</v>
      </c>
      <c r="F419">
        <v>41</v>
      </c>
      <c r="G419">
        <v>5</v>
      </c>
      <c r="H419" t="s">
        <v>18</v>
      </c>
      <c r="I419" t="s">
        <v>16</v>
      </c>
      <c r="J419" t="s">
        <v>15</v>
      </c>
    </row>
    <row r="420" spans="1:10" x14ac:dyDescent="0.25">
      <c r="A420">
        <v>419</v>
      </c>
      <c r="B420" s="1">
        <v>45422</v>
      </c>
      <c r="C420" t="s">
        <v>21</v>
      </c>
      <c r="D420" t="s">
        <v>15</v>
      </c>
      <c r="E420">
        <v>232</v>
      </c>
      <c r="F420">
        <v>14</v>
      </c>
      <c r="G420">
        <v>8.6999999999999993</v>
      </c>
      <c r="H420" t="s">
        <v>18</v>
      </c>
      <c r="I420" t="s">
        <v>13</v>
      </c>
      <c r="J420" t="s">
        <v>15</v>
      </c>
    </row>
    <row r="421" spans="1:10" x14ac:dyDescent="0.25">
      <c r="A421">
        <v>420</v>
      </c>
      <c r="B421" s="1">
        <v>45568</v>
      </c>
      <c r="C421" t="s">
        <v>21</v>
      </c>
      <c r="D421" t="s">
        <v>11</v>
      </c>
      <c r="E421">
        <v>121</v>
      </c>
      <c r="F421">
        <v>70</v>
      </c>
      <c r="G421">
        <v>2.2999999999999998</v>
      </c>
      <c r="H421" t="s">
        <v>18</v>
      </c>
      <c r="I421" t="s">
        <v>13</v>
      </c>
      <c r="J421" t="s">
        <v>11</v>
      </c>
    </row>
    <row r="422" spans="1:10" x14ac:dyDescent="0.25">
      <c r="A422">
        <v>421</v>
      </c>
      <c r="B422" s="1">
        <v>45496</v>
      </c>
      <c r="C422" t="s">
        <v>14</v>
      </c>
      <c r="D422" t="s">
        <v>11</v>
      </c>
      <c r="E422">
        <v>225</v>
      </c>
      <c r="F422">
        <v>8</v>
      </c>
      <c r="G422">
        <v>2.4</v>
      </c>
      <c r="H422" t="s">
        <v>18</v>
      </c>
      <c r="I422" t="s">
        <v>16</v>
      </c>
      <c r="J422" t="s">
        <v>11</v>
      </c>
    </row>
    <row r="423" spans="1:10" x14ac:dyDescent="0.25">
      <c r="A423">
        <v>422</v>
      </c>
      <c r="B423" s="1">
        <v>45292</v>
      </c>
      <c r="C423" t="s">
        <v>22</v>
      </c>
      <c r="D423" t="s">
        <v>17</v>
      </c>
      <c r="E423">
        <v>78</v>
      </c>
      <c r="F423">
        <v>53</v>
      </c>
      <c r="G423">
        <v>7.2</v>
      </c>
      <c r="H423" t="s">
        <v>18</v>
      </c>
      <c r="I423" t="s">
        <v>13</v>
      </c>
      <c r="J423" t="s">
        <v>11</v>
      </c>
    </row>
    <row r="424" spans="1:10" x14ac:dyDescent="0.25">
      <c r="A424">
        <v>423</v>
      </c>
      <c r="B424" s="1">
        <v>45426</v>
      </c>
      <c r="C424" t="s">
        <v>21</v>
      </c>
      <c r="D424" t="s">
        <v>20</v>
      </c>
      <c r="E424">
        <v>168</v>
      </c>
      <c r="F424">
        <v>67</v>
      </c>
      <c r="G424">
        <v>7.9</v>
      </c>
      <c r="H424" t="s">
        <v>18</v>
      </c>
      <c r="I424" t="s">
        <v>16</v>
      </c>
      <c r="J424" t="s">
        <v>11</v>
      </c>
    </row>
    <row r="425" spans="1:10" x14ac:dyDescent="0.25">
      <c r="A425">
        <v>424</v>
      </c>
      <c r="B425" s="1">
        <v>45502</v>
      </c>
      <c r="C425" t="s">
        <v>21</v>
      </c>
      <c r="D425" t="s">
        <v>17</v>
      </c>
      <c r="E425">
        <v>180</v>
      </c>
      <c r="F425">
        <v>62</v>
      </c>
      <c r="G425">
        <v>8.9</v>
      </c>
      <c r="H425" t="s">
        <v>18</v>
      </c>
      <c r="I425" t="s">
        <v>13</v>
      </c>
      <c r="J425" t="s">
        <v>11</v>
      </c>
    </row>
    <row r="426" spans="1:10" x14ac:dyDescent="0.25">
      <c r="A426">
        <v>425</v>
      </c>
      <c r="B426" s="1">
        <v>45423</v>
      </c>
      <c r="C426" t="s">
        <v>23</v>
      </c>
      <c r="D426" t="s">
        <v>11</v>
      </c>
      <c r="E426">
        <v>88</v>
      </c>
      <c r="F426">
        <v>45</v>
      </c>
      <c r="G426">
        <v>2.9</v>
      </c>
      <c r="H426" t="s">
        <v>18</v>
      </c>
      <c r="I426" t="s">
        <v>13</v>
      </c>
      <c r="J426" t="s">
        <v>11</v>
      </c>
    </row>
    <row r="427" spans="1:10" x14ac:dyDescent="0.25">
      <c r="A427">
        <v>426</v>
      </c>
      <c r="B427" s="1">
        <v>45556</v>
      </c>
      <c r="C427" t="s">
        <v>23</v>
      </c>
      <c r="D427" t="s">
        <v>17</v>
      </c>
      <c r="E427">
        <v>15</v>
      </c>
      <c r="F427">
        <v>22</v>
      </c>
      <c r="G427">
        <v>3.3</v>
      </c>
      <c r="H427" t="s">
        <v>18</v>
      </c>
      <c r="I427" t="s">
        <v>13</v>
      </c>
      <c r="J427" t="s">
        <v>15</v>
      </c>
    </row>
    <row r="428" spans="1:10" x14ac:dyDescent="0.25">
      <c r="A428">
        <v>427</v>
      </c>
      <c r="B428" s="1">
        <v>45572</v>
      </c>
      <c r="C428" t="s">
        <v>22</v>
      </c>
      <c r="D428" t="s">
        <v>20</v>
      </c>
      <c r="E428">
        <v>42</v>
      </c>
      <c r="F428">
        <v>69</v>
      </c>
      <c r="G428">
        <v>7.5</v>
      </c>
      <c r="H428" t="s">
        <v>18</v>
      </c>
      <c r="I428" t="s">
        <v>19</v>
      </c>
      <c r="J428" t="s">
        <v>11</v>
      </c>
    </row>
    <row r="429" spans="1:10" x14ac:dyDescent="0.25">
      <c r="A429">
        <v>428</v>
      </c>
      <c r="B429" s="1">
        <v>45454</v>
      </c>
      <c r="C429" t="s">
        <v>23</v>
      </c>
      <c r="D429" t="s">
        <v>15</v>
      </c>
      <c r="E429">
        <v>154</v>
      </c>
      <c r="F429">
        <v>47</v>
      </c>
      <c r="G429">
        <v>7.6</v>
      </c>
      <c r="H429" t="s">
        <v>18</v>
      </c>
      <c r="I429" t="s">
        <v>13</v>
      </c>
      <c r="J429" t="s">
        <v>15</v>
      </c>
    </row>
    <row r="430" spans="1:10" x14ac:dyDescent="0.25">
      <c r="A430">
        <v>429</v>
      </c>
      <c r="B430" s="1">
        <v>45450</v>
      </c>
      <c r="C430" t="s">
        <v>14</v>
      </c>
      <c r="D430" t="s">
        <v>17</v>
      </c>
      <c r="E430">
        <v>230</v>
      </c>
      <c r="F430">
        <v>58</v>
      </c>
      <c r="G430">
        <v>5.4</v>
      </c>
      <c r="H430" t="s">
        <v>18</v>
      </c>
      <c r="I430" t="s">
        <v>19</v>
      </c>
      <c r="J430" t="s">
        <v>11</v>
      </c>
    </row>
    <row r="431" spans="1:10" x14ac:dyDescent="0.25">
      <c r="A431">
        <v>430</v>
      </c>
      <c r="B431" s="1">
        <v>45398</v>
      </c>
      <c r="C431" t="s">
        <v>14</v>
      </c>
      <c r="D431" t="s">
        <v>17</v>
      </c>
      <c r="E431">
        <v>218</v>
      </c>
      <c r="F431">
        <v>33</v>
      </c>
      <c r="G431">
        <v>1.3</v>
      </c>
      <c r="H431" t="s">
        <v>12</v>
      </c>
      <c r="I431" t="s">
        <v>16</v>
      </c>
      <c r="J431" t="s">
        <v>11</v>
      </c>
    </row>
    <row r="432" spans="1:10" x14ac:dyDescent="0.25">
      <c r="A432">
        <v>431</v>
      </c>
      <c r="B432" s="1">
        <v>45566</v>
      </c>
      <c r="C432" t="s">
        <v>22</v>
      </c>
      <c r="D432" t="s">
        <v>11</v>
      </c>
      <c r="E432">
        <v>171</v>
      </c>
      <c r="F432">
        <v>37</v>
      </c>
      <c r="G432">
        <v>5.0999999999999996</v>
      </c>
      <c r="H432" t="s">
        <v>12</v>
      </c>
      <c r="I432" t="s">
        <v>16</v>
      </c>
      <c r="J432" t="s">
        <v>11</v>
      </c>
    </row>
    <row r="433" spans="1:10" x14ac:dyDescent="0.25">
      <c r="A433">
        <v>432</v>
      </c>
      <c r="B433" s="1">
        <v>45627</v>
      </c>
      <c r="C433" t="s">
        <v>21</v>
      </c>
      <c r="D433" t="s">
        <v>20</v>
      </c>
      <c r="E433">
        <v>218</v>
      </c>
      <c r="F433">
        <v>36</v>
      </c>
      <c r="G433">
        <v>4</v>
      </c>
      <c r="H433" t="s">
        <v>12</v>
      </c>
      <c r="I433" t="s">
        <v>19</v>
      </c>
      <c r="J433" t="s">
        <v>11</v>
      </c>
    </row>
    <row r="434" spans="1:10" x14ac:dyDescent="0.25">
      <c r="A434">
        <v>433</v>
      </c>
      <c r="B434" s="1">
        <v>45468</v>
      </c>
      <c r="C434" t="s">
        <v>22</v>
      </c>
      <c r="D434" t="s">
        <v>20</v>
      </c>
      <c r="E434">
        <v>83</v>
      </c>
      <c r="F434">
        <v>11</v>
      </c>
      <c r="G434">
        <v>3</v>
      </c>
      <c r="H434" t="s">
        <v>12</v>
      </c>
      <c r="I434" t="s">
        <v>16</v>
      </c>
      <c r="J434" t="s">
        <v>11</v>
      </c>
    </row>
    <row r="435" spans="1:10" x14ac:dyDescent="0.25">
      <c r="A435">
        <v>434</v>
      </c>
      <c r="B435" s="1">
        <v>45528</v>
      </c>
      <c r="C435" t="s">
        <v>23</v>
      </c>
      <c r="D435" t="s">
        <v>17</v>
      </c>
      <c r="E435">
        <v>100</v>
      </c>
      <c r="F435">
        <v>29</v>
      </c>
      <c r="G435">
        <v>5.6</v>
      </c>
      <c r="H435" t="s">
        <v>18</v>
      </c>
      <c r="I435" t="s">
        <v>19</v>
      </c>
      <c r="J435" t="s">
        <v>11</v>
      </c>
    </row>
    <row r="436" spans="1:10" x14ac:dyDescent="0.25">
      <c r="A436">
        <v>435</v>
      </c>
      <c r="B436" s="1">
        <v>45454</v>
      </c>
      <c r="C436" t="s">
        <v>23</v>
      </c>
      <c r="D436" t="s">
        <v>15</v>
      </c>
      <c r="E436">
        <v>168</v>
      </c>
      <c r="F436">
        <v>52</v>
      </c>
      <c r="G436">
        <v>7.8</v>
      </c>
      <c r="H436" t="s">
        <v>18</v>
      </c>
      <c r="I436" t="s">
        <v>19</v>
      </c>
      <c r="J436" t="s">
        <v>15</v>
      </c>
    </row>
    <row r="437" spans="1:10" x14ac:dyDescent="0.25">
      <c r="A437">
        <v>436</v>
      </c>
      <c r="B437" s="1">
        <v>45643</v>
      </c>
      <c r="C437" t="s">
        <v>10</v>
      </c>
      <c r="D437" t="s">
        <v>20</v>
      </c>
      <c r="E437">
        <v>86</v>
      </c>
      <c r="F437">
        <v>11</v>
      </c>
      <c r="G437">
        <v>7.4</v>
      </c>
      <c r="H437" t="s">
        <v>12</v>
      </c>
      <c r="I437" t="s">
        <v>13</v>
      </c>
      <c r="J437" t="s">
        <v>11</v>
      </c>
    </row>
    <row r="438" spans="1:10" x14ac:dyDescent="0.25">
      <c r="A438">
        <v>437</v>
      </c>
      <c r="B438" s="1">
        <v>45398</v>
      </c>
      <c r="C438" t="s">
        <v>22</v>
      </c>
      <c r="D438" t="s">
        <v>11</v>
      </c>
      <c r="E438">
        <v>167</v>
      </c>
      <c r="F438">
        <v>37</v>
      </c>
      <c r="G438">
        <v>3.4</v>
      </c>
      <c r="H438" t="s">
        <v>18</v>
      </c>
      <c r="I438" t="s">
        <v>19</v>
      </c>
      <c r="J438" t="s">
        <v>11</v>
      </c>
    </row>
    <row r="439" spans="1:10" x14ac:dyDescent="0.25">
      <c r="A439">
        <v>438</v>
      </c>
      <c r="B439" s="1">
        <v>45528</v>
      </c>
      <c r="C439" t="s">
        <v>22</v>
      </c>
      <c r="D439" t="s">
        <v>17</v>
      </c>
      <c r="E439">
        <v>62</v>
      </c>
      <c r="F439">
        <v>26</v>
      </c>
      <c r="G439">
        <v>7.8</v>
      </c>
      <c r="H439" t="s">
        <v>12</v>
      </c>
      <c r="I439" t="s">
        <v>13</v>
      </c>
      <c r="J439" t="s">
        <v>11</v>
      </c>
    </row>
    <row r="440" spans="1:10" x14ac:dyDescent="0.25">
      <c r="A440">
        <v>439</v>
      </c>
      <c r="B440" s="1">
        <v>45405</v>
      </c>
      <c r="C440" t="s">
        <v>10</v>
      </c>
      <c r="D440" t="s">
        <v>17</v>
      </c>
      <c r="E440">
        <v>31</v>
      </c>
      <c r="F440">
        <v>61</v>
      </c>
      <c r="G440">
        <v>7.2</v>
      </c>
      <c r="H440" t="s">
        <v>12</v>
      </c>
      <c r="I440" t="s">
        <v>19</v>
      </c>
      <c r="J440" t="s">
        <v>11</v>
      </c>
    </row>
    <row r="441" spans="1:10" x14ac:dyDescent="0.25">
      <c r="A441">
        <v>440</v>
      </c>
      <c r="B441" s="1">
        <v>45300</v>
      </c>
      <c r="C441" t="s">
        <v>23</v>
      </c>
      <c r="D441" t="s">
        <v>17</v>
      </c>
      <c r="E441">
        <v>68</v>
      </c>
      <c r="F441">
        <v>58</v>
      </c>
      <c r="G441">
        <v>4.3</v>
      </c>
      <c r="H441" t="s">
        <v>18</v>
      </c>
      <c r="I441" t="s">
        <v>13</v>
      </c>
      <c r="J441" t="s">
        <v>11</v>
      </c>
    </row>
    <row r="442" spans="1:10" x14ac:dyDescent="0.25">
      <c r="A442">
        <v>441</v>
      </c>
      <c r="B442" s="1">
        <v>45533</v>
      </c>
      <c r="C442" t="s">
        <v>22</v>
      </c>
      <c r="D442" t="s">
        <v>20</v>
      </c>
      <c r="E442">
        <v>219</v>
      </c>
      <c r="F442">
        <v>46</v>
      </c>
      <c r="G442">
        <v>5.7</v>
      </c>
      <c r="H442" t="s">
        <v>18</v>
      </c>
      <c r="I442" t="s">
        <v>16</v>
      </c>
      <c r="J442" t="s">
        <v>11</v>
      </c>
    </row>
    <row r="443" spans="1:10" x14ac:dyDescent="0.25">
      <c r="A443">
        <v>442</v>
      </c>
      <c r="B443" s="1">
        <v>45646</v>
      </c>
      <c r="C443" t="s">
        <v>21</v>
      </c>
      <c r="D443" t="s">
        <v>20</v>
      </c>
      <c r="E443">
        <v>162</v>
      </c>
      <c r="F443">
        <v>18</v>
      </c>
      <c r="G443">
        <v>9.9</v>
      </c>
      <c r="H443" t="s">
        <v>18</v>
      </c>
      <c r="I443" t="s">
        <v>13</v>
      </c>
      <c r="J443" t="s">
        <v>11</v>
      </c>
    </row>
    <row r="444" spans="1:10" x14ac:dyDescent="0.25">
      <c r="A444">
        <v>443</v>
      </c>
      <c r="B444" s="1">
        <v>45551</v>
      </c>
      <c r="C444" t="s">
        <v>14</v>
      </c>
      <c r="D444" t="s">
        <v>15</v>
      </c>
      <c r="E444">
        <v>29</v>
      </c>
      <c r="F444">
        <v>7</v>
      </c>
      <c r="G444">
        <v>3.8</v>
      </c>
      <c r="H444" t="s">
        <v>18</v>
      </c>
      <c r="I444" t="s">
        <v>19</v>
      </c>
      <c r="J444" t="s">
        <v>15</v>
      </c>
    </row>
    <row r="445" spans="1:10" x14ac:dyDescent="0.25">
      <c r="A445">
        <v>444</v>
      </c>
      <c r="B445" s="1">
        <v>45443</v>
      </c>
      <c r="C445" t="s">
        <v>10</v>
      </c>
      <c r="D445" t="s">
        <v>11</v>
      </c>
      <c r="E445">
        <v>84</v>
      </c>
      <c r="F445">
        <v>7</v>
      </c>
      <c r="G445">
        <v>4</v>
      </c>
      <c r="H445" t="s">
        <v>18</v>
      </c>
      <c r="I445" t="s">
        <v>19</v>
      </c>
      <c r="J445" t="s">
        <v>11</v>
      </c>
    </row>
    <row r="446" spans="1:10" x14ac:dyDescent="0.25">
      <c r="A446">
        <v>445</v>
      </c>
      <c r="B446" s="1">
        <v>45520</v>
      </c>
      <c r="C446" t="s">
        <v>10</v>
      </c>
      <c r="D446" t="s">
        <v>15</v>
      </c>
      <c r="E446">
        <v>233</v>
      </c>
      <c r="F446">
        <v>68</v>
      </c>
      <c r="G446">
        <v>9.6</v>
      </c>
      <c r="H446" t="s">
        <v>12</v>
      </c>
      <c r="I446" t="s">
        <v>13</v>
      </c>
      <c r="J446" t="s">
        <v>11</v>
      </c>
    </row>
    <row r="447" spans="1:10" x14ac:dyDescent="0.25">
      <c r="A447">
        <v>446</v>
      </c>
      <c r="B447" s="1">
        <v>45308</v>
      </c>
      <c r="C447" t="s">
        <v>22</v>
      </c>
      <c r="D447" t="s">
        <v>20</v>
      </c>
      <c r="E447">
        <v>20</v>
      </c>
      <c r="F447">
        <v>9</v>
      </c>
      <c r="G447">
        <v>1.4</v>
      </c>
      <c r="H447" t="s">
        <v>18</v>
      </c>
      <c r="I447" t="s">
        <v>19</v>
      </c>
      <c r="J447" t="s">
        <v>15</v>
      </c>
    </row>
    <row r="448" spans="1:10" x14ac:dyDescent="0.25">
      <c r="A448">
        <v>447</v>
      </c>
      <c r="B448" s="1">
        <v>45594</v>
      </c>
      <c r="C448" t="s">
        <v>21</v>
      </c>
      <c r="D448" t="s">
        <v>15</v>
      </c>
      <c r="E448">
        <v>234</v>
      </c>
      <c r="F448">
        <v>53</v>
      </c>
      <c r="G448">
        <v>6.2</v>
      </c>
      <c r="H448" t="s">
        <v>18</v>
      </c>
      <c r="I448" t="s">
        <v>19</v>
      </c>
      <c r="J448" t="s">
        <v>15</v>
      </c>
    </row>
    <row r="449" spans="1:10" x14ac:dyDescent="0.25">
      <c r="A449">
        <v>448</v>
      </c>
      <c r="B449" s="1">
        <v>45621</v>
      </c>
      <c r="C449" t="s">
        <v>10</v>
      </c>
      <c r="D449" t="s">
        <v>15</v>
      </c>
      <c r="E449">
        <v>31</v>
      </c>
      <c r="F449">
        <v>2</v>
      </c>
      <c r="G449">
        <v>9.4</v>
      </c>
      <c r="H449" t="s">
        <v>12</v>
      </c>
      <c r="I449" t="s">
        <v>19</v>
      </c>
      <c r="J449" t="s">
        <v>15</v>
      </c>
    </row>
    <row r="450" spans="1:10" x14ac:dyDescent="0.25">
      <c r="A450">
        <v>449</v>
      </c>
      <c r="B450" s="1">
        <v>45535</v>
      </c>
      <c r="C450" t="s">
        <v>23</v>
      </c>
      <c r="D450" t="s">
        <v>17</v>
      </c>
      <c r="E450">
        <v>161</v>
      </c>
      <c r="F450">
        <v>53</v>
      </c>
      <c r="G450">
        <v>9</v>
      </c>
      <c r="H450" t="s">
        <v>18</v>
      </c>
      <c r="I450" t="s">
        <v>13</v>
      </c>
      <c r="J450" t="s">
        <v>11</v>
      </c>
    </row>
    <row r="451" spans="1:10" x14ac:dyDescent="0.25">
      <c r="A451">
        <v>450</v>
      </c>
      <c r="B451" s="1">
        <v>45614</v>
      </c>
      <c r="C451" t="s">
        <v>22</v>
      </c>
      <c r="D451" t="s">
        <v>20</v>
      </c>
      <c r="E451">
        <v>134</v>
      </c>
      <c r="F451">
        <v>28</v>
      </c>
      <c r="G451">
        <v>2</v>
      </c>
      <c r="H451" t="s">
        <v>18</v>
      </c>
      <c r="I451" t="s">
        <v>19</v>
      </c>
      <c r="J451" t="s">
        <v>11</v>
      </c>
    </row>
    <row r="452" spans="1:10" x14ac:dyDescent="0.25">
      <c r="A452">
        <v>451</v>
      </c>
      <c r="B452" s="1">
        <v>45457</v>
      </c>
      <c r="C452" t="s">
        <v>22</v>
      </c>
      <c r="D452" t="s">
        <v>15</v>
      </c>
      <c r="E452">
        <v>36</v>
      </c>
      <c r="F452">
        <v>12</v>
      </c>
      <c r="G452">
        <v>1.4</v>
      </c>
      <c r="H452" t="s">
        <v>12</v>
      </c>
      <c r="I452" t="s">
        <v>19</v>
      </c>
      <c r="J452" t="s">
        <v>11</v>
      </c>
    </row>
    <row r="453" spans="1:10" x14ac:dyDescent="0.25">
      <c r="A453">
        <v>452</v>
      </c>
      <c r="B453" s="1">
        <v>45387</v>
      </c>
      <c r="C453" t="s">
        <v>21</v>
      </c>
      <c r="D453" t="s">
        <v>20</v>
      </c>
      <c r="E453">
        <v>85</v>
      </c>
      <c r="F453">
        <v>64</v>
      </c>
      <c r="G453">
        <v>1.8</v>
      </c>
      <c r="H453" t="s">
        <v>18</v>
      </c>
      <c r="I453" t="s">
        <v>16</v>
      </c>
      <c r="J453" t="s">
        <v>11</v>
      </c>
    </row>
    <row r="454" spans="1:10" x14ac:dyDescent="0.25">
      <c r="A454">
        <v>453</v>
      </c>
      <c r="B454" s="1">
        <v>45388</v>
      </c>
      <c r="C454" t="s">
        <v>22</v>
      </c>
      <c r="D454" t="s">
        <v>20</v>
      </c>
      <c r="E454">
        <v>17</v>
      </c>
      <c r="F454">
        <v>51</v>
      </c>
      <c r="G454">
        <v>1.8</v>
      </c>
      <c r="H454" t="s">
        <v>12</v>
      </c>
      <c r="I454" t="s">
        <v>13</v>
      </c>
      <c r="J454" t="s">
        <v>11</v>
      </c>
    </row>
    <row r="455" spans="1:10" x14ac:dyDescent="0.25">
      <c r="A455">
        <v>454</v>
      </c>
      <c r="B455" s="1">
        <v>45500</v>
      </c>
      <c r="C455" t="s">
        <v>22</v>
      </c>
      <c r="D455" t="s">
        <v>15</v>
      </c>
      <c r="E455">
        <v>35</v>
      </c>
      <c r="F455">
        <v>57</v>
      </c>
      <c r="G455">
        <v>5.5</v>
      </c>
      <c r="H455" t="s">
        <v>18</v>
      </c>
      <c r="I455" t="s">
        <v>13</v>
      </c>
      <c r="J455" t="s">
        <v>15</v>
      </c>
    </row>
    <row r="456" spans="1:10" x14ac:dyDescent="0.25">
      <c r="A456">
        <v>455</v>
      </c>
      <c r="B456" s="1">
        <v>45580</v>
      </c>
      <c r="C456" t="s">
        <v>23</v>
      </c>
      <c r="D456" t="s">
        <v>15</v>
      </c>
      <c r="E456">
        <v>75</v>
      </c>
      <c r="F456">
        <v>16</v>
      </c>
      <c r="G456">
        <v>0.9</v>
      </c>
      <c r="H456" t="s">
        <v>12</v>
      </c>
      <c r="I456" t="s">
        <v>16</v>
      </c>
      <c r="J456" t="s">
        <v>11</v>
      </c>
    </row>
    <row r="457" spans="1:10" x14ac:dyDescent="0.25">
      <c r="A457">
        <v>456</v>
      </c>
      <c r="B457" s="1">
        <v>45461</v>
      </c>
      <c r="C457" t="s">
        <v>14</v>
      </c>
      <c r="D457" t="s">
        <v>17</v>
      </c>
      <c r="E457">
        <v>82</v>
      </c>
      <c r="F457">
        <v>8</v>
      </c>
      <c r="G457">
        <v>4.5</v>
      </c>
      <c r="H457" t="s">
        <v>18</v>
      </c>
      <c r="I457" t="s">
        <v>19</v>
      </c>
      <c r="J457" t="s">
        <v>11</v>
      </c>
    </row>
    <row r="458" spans="1:10" x14ac:dyDescent="0.25">
      <c r="A458">
        <v>457</v>
      </c>
      <c r="B458" s="1">
        <v>45557</v>
      </c>
      <c r="C458" t="s">
        <v>10</v>
      </c>
      <c r="D458" t="s">
        <v>11</v>
      </c>
      <c r="E458">
        <v>119</v>
      </c>
      <c r="F458">
        <v>8</v>
      </c>
      <c r="G458">
        <v>6.1</v>
      </c>
      <c r="H458" t="s">
        <v>12</v>
      </c>
      <c r="I458" t="s">
        <v>13</v>
      </c>
      <c r="J458" t="s">
        <v>11</v>
      </c>
    </row>
    <row r="459" spans="1:10" x14ac:dyDescent="0.25">
      <c r="A459">
        <v>458</v>
      </c>
      <c r="B459" s="1">
        <v>45485</v>
      </c>
      <c r="C459" t="s">
        <v>14</v>
      </c>
      <c r="D459" t="s">
        <v>20</v>
      </c>
      <c r="E459">
        <v>99</v>
      </c>
      <c r="F459">
        <v>58</v>
      </c>
      <c r="G459">
        <v>5.5</v>
      </c>
      <c r="H459" t="s">
        <v>18</v>
      </c>
      <c r="I459" t="s">
        <v>13</v>
      </c>
      <c r="J459" t="s">
        <v>11</v>
      </c>
    </row>
    <row r="460" spans="1:10" x14ac:dyDescent="0.25">
      <c r="A460">
        <v>459</v>
      </c>
      <c r="B460" s="1">
        <v>45560</v>
      </c>
      <c r="C460" t="s">
        <v>10</v>
      </c>
      <c r="D460" t="s">
        <v>17</v>
      </c>
      <c r="E460">
        <v>49</v>
      </c>
      <c r="F460">
        <v>29</v>
      </c>
      <c r="G460">
        <v>4.4000000000000004</v>
      </c>
      <c r="H460" t="s">
        <v>12</v>
      </c>
      <c r="I460" t="s">
        <v>16</v>
      </c>
      <c r="J460" t="s">
        <v>11</v>
      </c>
    </row>
    <row r="461" spans="1:10" x14ac:dyDescent="0.25">
      <c r="A461">
        <v>460</v>
      </c>
      <c r="B461" s="1">
        <v>45292</v>
      </c>
      <c r="C461" t="s">
        <v>10</v>
      </c>
      <c r="D461" t="s">
        <v>20</v>
      </c>
      <c r="E461">
        <v>19</v>
      </c>
      <c r="F461">
        <v>7</v>
      </c>
      <c r="G461">
        <v>4.0999999999999996</v>
      </c>
      <c r="H461" t="s">
        <v>12</v>
      </c>
      <c r="I461" t="s">
        <v>16</v>
      </c>
      <c r="J461" t="s">
        <v>11</v>
      </c>
    </row>
    <row r="462" spans="1:10" x14ac:dyDescent="0.25">
      <c r="A462">
        <v>461</v>
      </c>
      <c r="B462" s="1">
        <v>45627</v>
      </c>
      <c r="C462" t="s">
        <v>23</v>
      </c>
      <c r="D462" t="s">
        <v>15</v>
      </c>
      <c r="E462">
        <v>184</v>
      </c>
      <c r="F462">
        <v>32</v>
      </c>
      <c r="G462">
        <v>8.5</v>
      </c>
      <c r="H462" t="s">
        <v>12</v>
      </c>
      <c r="I462" t="s">
        <v>19</v>
      </c>
      <c r="J462" t="s">
        <v>11</v>
      </c>
    </row>
    <row r="463" spans="1:10" x14ac:dyDescent="0.25">
      <c r="A463">
        <v>462</v>
      </c>
      <c r="B463" s="1">
        <v>45543</v>
      </c>
      <c r="C463" t="s">
        <v>21</v>
      </c>
      <c r="D463" t="s">
        <v>17</v>
      </c>
      <c r="E463">
        <v>119</v>
      </c>
      <c r="F463">
        <v>54</v>
      </c>
      <c r="G463">
        <v>4.2</v>
      </c>
      <c r="H463" t="s">
        <v>12</v>
      </c>
      <c r="I463" t="s">
        <v>13</v>
      </c>
      <c r="J463" t="s">
        <v>11</v>
      </c>
    </row>
    <row r="464" spans="1:10" x14ac:dyDescent="0.25">
      <c r="A464">
        <v>463</v>
      </c>
      <c r="B464" s="1">
        <v>45641</v>
      </c>
      <c r="C464" t="s">
        <v>14</v>
      </c>
      <c r="D464" t="s">
        <v>20</v>
      </c>
      <c r="E464">
        <v>23</v>
      </c>
      <c r="F464">
        <v>22</v>
      </c>
      <c r="G464">
        <v>1.1000000000000001</v>
      </c>
      <c r="H464" t="s">
        <v>18</v>
      </c>
      <c r="I464" t="s">
        <v>19</v>
      </c>
      <c r="J464" t="s">
        <v>15</v>
      </c>
    </row>
    <row r="465" spans="1:10" x14ac:dyDescent="0.25">
      <c r="A465">
        <v>464</v>
      </c>
      <c r="B465" s="1">
        <v>45402</v>
      </c>
      <c r="C465" t="s">
        <v>22</v>
      </c>
      <c r="D465" t="s">
        <v>17</v>
      </c>
      <c r="E465">
        <v>192</v>
      </c>
      <c r="F465">
        <v>56</v>
      </c>
      <c r="G465">
        <v>3.7</v>
      </c>
      <c r="H465" t="s">
        <v>18</v>
      </c>
      <c r="I465" t="s">
        <v>16</v>
      </c>
      <c r="J465" t="s">
        <v>11</v>
      </c>
    </row>
    <row r="466" spans="1:10" x14ac:dyDescent="0.25">
      <c r="A466">
        <v>465</v>
      </c>
      <c r="B466" s="1">
        <v>45499</v>
      </c>
      <c r="C466" t="s">
        <v>23</v>
      </c>
      <c r="D466" t="s">
        <v>20</v>
      </c>
      <c r="E466">
        <v>127</v>
      </c>
      <c r="F466">
        <v>17</v>
      </c>
      <c r="G466">
        <v>9.5</v>
      </c>
      <c r="H466" t="s">
        <v>18</v>
      </c>
      <c r="I466" t="s">
        <v>19</v>
      </c>
      <c r="J466" t="s">
        <v>11</v>
      </c>
    </row>
    <row r="467" spans="1:10" x14ac:dyDescent="0.25">
      <c r="A467">
        <v>466</v>
      </c>
      <c r="B467" s="1">
        <v>45488</v>
      </c>
      <c r="C467" t="s">
        <v>14</v>
      </c>
      <c r="D467" t="s">
        <v>17</v>
      </c>
      <c r="E467">
        <v>116</v>
      </c>
      <c r="F467">
        <v>4</v>
      </c>
      <c r="G467">
        <v>8.4</v>
      </c>
      <c r="H467" t="s">
        <v>18</v>
      </c>
      <c r="I467" t="s">
        <v>13</v>
      </c>
      <c r="J467" t="s">
        <v>15</v>
      </c>
    </row>
    <row r="468" spans="1:10" x14ac:dyDescent="0.25">
      <c r="A468">
        <v>467</v>
      </c>
      <c r="B468" s="1">
        <v>45293</v>
      </c>
      <c r="C468" t="s">
        <v>10</v>
      </c>
      <c r="D468" t="s">
        <v>20</v>
      </c>
      <c r="E468">
        <v>70</v>
      </c>
      <c r="F468">
        <v>69</v>
      </c>
      <c r="G468">
        <v>3.8</v>
      </c>
      <c r="H468" t="s">
        <v>18</v>
      </c>
      <c r="I468" t="s">
        <v>19</v>
      </c>
      <c r="J468" t="s">
        <v>11</v>
      </c>
    </row>
    <row r="469" spans="1:10" x14ac:dyDescent="0.25">
      <c r="A469">
        <v>468</v>
      </c>
      <c r="B469" s="1">
        <v>45376</v>
      </c>
      <c r="C469" t="s">
        <v>10</v>
      </c>
      <c r="D469" t="s">
        <v>20</v>
      </c>
      <c r="E469">
        <v>23</v>
      </c>
      <c r="F469">
        <v>26</v>
      </c>
      <c r="G469">
        <v>8.8000000000000007</v>
      </c>
      <c r="H469" t="s">
        <v>12</v>
      </c>
      <c r="I469" t="s">
        <v>19</v>
      </c>
      <c r="J469" t="s">
        <v>15</v>
      </c>
    </row>
    <row r="470" spans="1:10" x14ac:dyDescent="0.25">
      <c r="A470">
        <v>469</v>
      </c>
      <c r="B470" s="1">
        <v>45444</v>
      </c>
      <c r="C470" t="s">
        <v>23</v>
      </c>
      <c r="D470" t="s">
        <v>11</v>
      </c>
      <c r="E470">
        <v>117</v>
      </c>
      <c r="F470">
        <v>13</v>
      </c>
      <c r="G470">
        <v>4.9000000000000004</v>
      </c>
      <c r="H470" t="s">
        <v>12</v>
      </c>
      <c r="I470" t="s">
        <v>19</v>
      </c>
      <c r="J470" t="s">
        <v>11</v>
      </c>
    </row>
    <row r="471" spans="1:10" x14ac:dyDescent="0.25">
      <c r="A471">
        <v>470</v>
      </c>
      <c r="B471" s="1">
        <v>45312</v>
      </c>
      <c r="C471" t="s">
        <v>23</v>
      </c>
      <c r="D471" t="s">
        <v>11</v>
      </c>
      <c r="E471">
        <v>42</v>
      </c>
      <c r="F471">
        <v>45</v>
      </c>
      <c r="G471">
        <v>6.6</v>
      </c>
      <c r="H471" t="s">
        <v>18</v>
      </c>
      <c r="I471" t="s">
        <v>19</v>
      </c>
      <c r="J471" t="s">
        <v>15</v>
      </c>
    </row>
    <row r="472" spans="1:10" x14ac:dyDescent="0.25">
      <c r="A472">
        <v>471</v>
      </c>
      <c r="B472" s="1">
        <v>45449</v>
      </c>
      <c r="C472" t="s">
        <v>22</v>
      </c>
      <c r="D472" t="s">
        <v>17</v>
      </c>
      <c r="E472">
        <v>148</v>
      </c>
      <c r="F472">
        <v>42</v>
      </c>
      <c r="G472">
        <v>6.5</v>
      </c>
      <c r="H472" t="s">
        <v>12</v>
      </c>
      <c r="I472" t="s">
        <v>19</v>
      </c>
      <c r="J472" t="s">
        <v>11</v>
      </c>
    </row>
    <row r="473" spans="1:10" x14ac:dyDescent="0.25">
      <c r="A473">
        <v>472</v>
      </c>
      <c r="B473" s="1">
        <v>45434</v>
      </c>
      <c r="C473" t="s">
        <v>10</v>
      </c>
      <c r="D473" t="s">
        <v>17</v>
      </c>
      <c r="E473">
        <v>33</v>
      </c>
      <c r="F473">
        <v>46</v>
      </c>
      <c r="G473">
        <v>3.1</v>
      </c>
      <c r="H473" t="s">
        <v>12</v>
      </c>
      <c r="I473" t="s">
        <v>19</v>
      </c>
      <c r="J473" t="s">
        <v>11</v>
      </c>
    </row>
    <row r="474" spans="1:10" x14ac:dyDescent="0.25">
      <c r="A474">
        <v>473</v>
      </c>
      <c r="B474" s="1">
        <v>45561</v>
      </c>
      <c r="C474" t="s">
        <v>23</v>
      </c>
      <c r="D474" t="s">
        <v>15</v>
      </c>
      <c r="E474">
        <v>53</v>
      </c>
      <c r="F474">
        <v>66</v>
      </c>
      <c r="G474">
        <v>5.2</v>
      </c>
      <c r="H474" t="s">
        <v>12</v>
      </c>
      <c r="I474" t="s">
        <v>19</v>
      </c>
      <c r="J474" t="s">
        <v>11</v>
      </c>
    </row>
    <row r="475" spans="1:10" x14ac:dyDescent="0.25">
      <c r="A475">
        <v>474</v>
      </c>
      <c r="B475" s="1">
        <v>45559</v>
      </c>
      <c r="C475" t="s">
        <v>22</v>
      </c>
      <c r="D475" t="s">
        <v>20</v>
      </c>
      <c r="E475">
        <v>49</v>
      </c>
      <c r="F475">
        <v>35</v>
      </c>
      <c r="G475">
        <v>2.6</v>
      </c>
      <c r="H475" t="s">
        <v>18</v>
      </c>
      <c r="I475" t="s">
        <v>16</v>
      </c>
      <c r="J475" t="s">
        <v>11</v>
      </c>
    </row>
    <row r="476" spans="1:10" x14ac:dyDescent="0.25">
      <c r="A476">
        <v>475</v>
      </c>
      <c r="B476" s="1">
        <v>45368</v>
      </c>
      <c r="C476" t="s">
        <v>10</v>
      </c>
      <c r="D476" t="s">
        <v>17</v>
      </c>
      <c r="E476">
        <v>21</v>
      </c>
      <c r="F476">
        <v>47</v>
      </c>
      <c r="G476">
        <v>4.4000000000000004</v>
      </c>
      <c r="H476" t="s">
        <v>18</v>
      </c>
      <c r="I476" t="s">
        <v>16</v>
      </c>
      <c r="J476" t="s">
        <v>15</v>
      </c>
    </row>
    <row r="477" spans="1:10" x14ac:dyDescent="0.25">
      <c r="A477">
        <v>476</v>
      </c>
      <c r="B477" s="1">
        <v>45452</v>
      </c>
      <c r="C477" t="s">
        <v>21</v>
      </c>
      <c r="D477" t="s">
        <v>20</v>
      </c>
      <c r="E477">
        <v>144</v>
      </c>
      <c r="F477">
        <v>59</v>
      </c>
      <c r="G477">
        <v>8.6999999999999993</v>
      </c>
      <c r="H477" t="s">
        <v>18</v>
      </c>
      <c r="I477" t="s">
        <v>13</v>
      </c>
      <c r="J477" t="s">
        <v>11</v>
      </c>
    </row>
    <row r="478" spans="1:10" x14ac:dyDescent="0.25">
      <c r="A478">
        <v>477</v>
      </c>
      <c r="B478" s="1">
        <v>45375</v>
      </c>
      <c r="C478" t="s">
        <v>21</v>
      </c>
      <c r="D478" t="s">
        <v>15</v>
      </c>
      <c r="E478">
        <v>53</v>
      </c>
      <c r="F478">
        <v>54</v>
      </c>
      <c r="G478">
        <v>4.0999999999999996</v>
      </c>
      <c r="H478" t="s">
        <v>18</v>
      </c>
      <c r="I478" t="s">
        <v>19</v>
      </c>
      <c r="J478" t="s">
        <v>11</v>
      </c>
    </row>
    <row r="479" spans="1:10" x14ac:dyDescent="0.25">
      <c r="A479">
        <v>478</v>
      </c>
      <c r="B479" s="1">
        <v>45605</v>
      </c>
      <c r="C479" t="s">
        <v>14</v>
      </c>
      <c r="D479" t="s">
        <v>11</v>
      </c>
      <c r="E479">
        <v>184</v>
      </c>
      <c r="F479">
        <v>45</v>
      </c>
      <c r="G479">
        <v>5.9</v>
      </c>
      <c r="H479" t="s">
        <v>12</v>
      </c>
      <c r="I479" t="s">
        <v>13</v>
      </c>
      <c r="J479" t="s">
        <v>11</v>
      </c>
    </row>
    <row r="480" spans="1:10" x14ac:dyDescent="0.25">
      <c r="A480">
        <v>479</v>
      </c>
      <c r="B480" s="1">
        <v>45349</v>
      </c>
      <c r="C480" t="s">
        <v>21</v>
      </c>
      <c r="D480" t="s">
        <v>17</v>
      </c>
      <c r="E480">
        <v>61</v>
      </c>
      <c r="F480">
        <v>28</v>
      </c>
      <c r="G480">
        <v>1.9</v>
      </c>
      <c r="H480" t="s">
        <v>12</v>
      </c>
      <c r="I480" t="s">
        <v>19</v>
      </c>
      <c r="J480" t="s">
        <v>11</v>
      </c>
    </row>
    <row r="481" spans="1:10" x14ac:dyDescent="0.25">
      <c r="A481">
        <v>480</v>
      </c>
      <c r="B481" s="1">
        <v>45488</v>
      </c>
      <c r="C481" t="s">
        <v>10</v>
      </c>
      <c r="D481" t="s">
        <v>20</v>
      </c>
      <c r="E481">
        <v>129</v>
      </c>
      <c r="F481">
        <v>53</v>
      </c>
      <c r="G481">
        <v>2.7</v>
      </c>
      <c r="H481" t="s">
        <v>18</v>
      </c>
      <c r="I481" t="s">
        <v>13</v>
      </c>
      <c r="J481" t="s">
        <v>11</v>
      </c>
    </row>
    <row r="482" spans="1:10" x14ac:dyDescent="0.25">
      <c r="A482">
        <v>481</v>
      </c>
      <c r="B482" s="1">
        <v>45548</v>
      </c>
      <c r="C482" t="s">
        <v>21</v>
      </c>
      <c r="D482" t="s">
        <v>20</v>
      </c>
      <c r="E482">
        <v>78</v>
      </c>
      <c r="F482">
        <v>50</v>
      </c>
      <c r="G482">
        <v>6.6</v>
      </c>
      <c r="H482" t="s">
        <v>18</v>
      </c>
      <c r="I482" t="s">
        <v>19</v>
      </c>
      <c r="J482" t="s">
        <v>11</v>
      </c>
    </row>
    <row r="483" spans="1:10" x14ac:dyDescent="0.25">
      <c r="A483">
        <v>482</v>
      </c>
      <c r="B483" s="1">
        <v>45640</v>
      </c>
      <c r="C483" t="s">
        <v>14</v>
      </c>
      <c r="D483" t="s">
        <v>15</v>
      </c>
      <c r="E483">
        <v>88</v>
      </c>
      <c r="F483">
        <v>56</v>
      </c>
      <c r="G483">
        <v>3.1</v>
      </c>
      <c r="H483" t="s">
        <v>12</v>
      </c>
      <c r="I483" t="s">
        <v>16</v>
      </c>
      <c r="J483" t="s">
        <v>11</v>
      </c>
    </row>
    <row r="484" spans="1:10" x14ac:dyDescent="0.25">
      <c r="A484">
        <v>483</v>
      </c>
      <c r="B484" s="1">
        <v>45311</v>
      </c>
      <c r="C484" t="s">
        <v>21</v>
      </c>
      <c r="D484" t="s">
        <v>17</v>
      </c>
      <c r="E484">
        <v>174</v>
      </c>
      <c r="F484">
        <v>72</v>
      </c>
      <c r="G484">
        <v>6.2</v>
      </c>
      <c r="H484" t="s">
        <v>12</v>
      </c>
      <c r="I484" t="s">
        <v>13</v>
      </c>
      <c r="J484" t="s">
        <v>11</v>
      </c>
    </row>
    <row r="485" spans="1:10" x14ac:dyDescent="0.25">
      <c r="A485">
        <v>484</v>
      </c>
      <c r="B485" s="1">
        <v>45417</v>
      </c>
      <c r="C485" t="s">
        <v>21</v>
      </c>
      <c r="D485" t="s">
        <v>11</v>
      </c>
      <c r="E485">
        <v>16</v>
      </c>
      <c r="F485">
        <v>16</v>
      </c>
      <c r="G485">
        <v>3.7</v>
      </c>
      <c r="H485" t="s">
        <v>18</v>
      </c>
      <c r="I485" t="s">
        <v>19</v>
      </c>
      <c r="J485" t="s">
        <v>15</v>
      </c>
    </row>
    <row r="486" spans="1:10" x14ac:dyDescent="0.25">
      <c r="A486">
        <v>485</v>
      </c>
      <c r="B486" s="1">
        <v>45306</v>
      </c>
      <c r="C486" t="s">
        <v>21</v>
      </c>
      <c r="D486" t="s">
        <v>20</v>
      </c>
      <c r="E486">
        <v>87</v>
      </c>
      <c r="F486">
        <v>51</v>
      </c>
      <c r="G486">
        <v>3.7</v>
      </c>
      <c r="H486" t="s">
        <v>12</v>
      </c>
      <c r="I486" t="s">
        <v>13</v>
      </c>
      <c r="J486" t="s">
        <v>11</v>
      </c>
    </row>
    <row r="487" spans="1:10" x14ac:dyDescent="0.25">
      <c r="A487">
        <v>486</v>
      </c>
      <c r="B487" s="1">
        <v>45479</v>
      </c>
      <c r="C487" t="s">
        <v>10</v>
      </c>
      <c r="D487" t="s">
        <v>20</v>
      </c>
      <c r="E487">
        <v>113</v>
      </c>
      <c r="F487">
        <v>50</v>
      </c>
      <c r="G487">
        <v>4</v>
      </c>
      <c r="H487" t="s">
        <v>12</v>
      </c>
      <c r="I487" t="s">
        <v>19</v>
      </c>
      <c r="J487" t="s">
        <v>11</v>
      </c>
    </row>
    <row r="488" spans="1:10" x14ac:dyDescent="0.25">
      <c r="A488">
        <v>487</v>
      </c>
      <c r="B488" s="1">
        <v>45468</v>
      </c>
      <c r="C488" t="s">
        <v>10</v>
      </c>
      <c r="D488" t="s">
        <v>11</v>
      </c>
      <c r="E488">
        <v>211</v>
      </c>
      <c r="F488">
        <v>59</v>
      </c>
      <c r="G488">
        <v>9.1999999999999993</v>
      </c>
      <c r="H488" t="s">
        <v>18</v>
      </c>
      <c r="I488" t="s">
        <v>16</v>
      </c>
      <c r="J488" t="s">
        <v>15</v>
      </c>
    </row>
    <row r="489" spans="1:10" x14ac:dyDescent="0.25">
      <c r="A489">
        <v>488</v>
      </c>
      <c r="B489" s="1">
        <v>45428</v>
      </c>
      <c r="C489" t="s">
        <v>21</v>
      </c>
      <c r="D489" t="s">
        <v>17</v>
      </c>
      <c r="E489">
        <v>229</v>
      </c>
      <c r="F489">
        <v>22</v>
      </c>
      <c r="G489">
        <v>2.5</v>
      </c>
      <c r="H489" t="s">
        <v>18</v>
      </c>
      <c r="I489" t="s">
        <v>13</v>
      </c>
      <c r="J489" t="s">
        <v>11</v>
      </c>
    </row>
    <row r="490" spans="1:10" x14ac:dyDescent="0.25">
      <c r="A490">
        <v>489</v>
      </c>
      <c r="B490" s="1">
        <v>45355</v>
      </c>
      <c r="C490" t="s">
        <v>14</v>
      </c>
      <c r="D490" t="s">
        <v>15</v>
      </c>
      <c r="E490">
        <v>151</v>
      </c>
      <c r="F490">
        <v>62</v>
      </c>
      <c r="G490">
        <v>8.1</v>
      </c>
      <c r="H490" t="s">
        <v>18</v>
      </c>
      <c r="I490" t="s">
        <v>13</v>
      </c>
      <c r="J490" t="s">
        <v>15</v>
      </c>
    </row>
    <row r="491" spans="1:10" x14ac:dyDescent="0.25">
      <c r="A491">
        <v>490</v>
      </c>
      <c r="B491" s="1">
        <v>45429</v>
      </c>
      <c r="C491" t="s">
        <v>22</v>
      </c>
      <c r="D491" t="s">
        <v>17</v>
      </c>
      <c r="E491">
        <v>65</v>
      </c>
      <c r="F491">
        <v>33</v>
      </c>
      <c r="G491">
        <v>7.5</v>
      </c>
      <c r="H491" t="s">
        <v>12</v>
      </c>
      <c r="I491" t="s">
        <v>13</v>
      </c>
      <c r="J491" t="s">
        <v>11</v>
      </c>
    </row>
    <row r="492" spans="1:10" x14ac:dyDescent="0.25">
      <c r="A492">
        <v>491</v>
      </c>
      <c r="B492" s="1">
        <v>45564</v>
      </c>
      <c r="C492" t="s">
        <v>14</v>
      </c>
      <c r="D492" t="s">
        <v>20</v>
      </c>
      <c r="E492">
        <v>70</v>
      </c>
      <c r="F492">
        <v>63</v>
      </c>
      <c r="G492">
        <v>4.0999999999999996</v>
      </c>
      <c r="H492" t="s">
        <v>12</v>
      </c>
      <c r="I492" t="s">
        <v>19</v>
      </c>
      <c r="J492" t="s">
        <v>11</v>
      </c>
    </row>
    <row r="493" spans="1:10" x14ac:dyDescent="0.25">
      <c r="A493">
        <v>492</v>
      </c>
      <c r="B493" s="1">
        <v>45438</v>
      </c>
      <c r="C493" t="s">
        <v>22</v>
      </c>
      <c r="D493" t="s">
        <v>17</v>
      </c>
      <c r="E493">
        <v>45</v>
      </c>
      <c r="F493">
        <v>65</v>
      </c>
      <c r="G493">
        <v>9.5</v>
      </c>
      <c r="H493" t="s">
        <v>18</v>
      </c>
      <c r="I493" t="s">
        <v>19</v>
      </c>
      <c r="J493" t="s">
        <v>11</v>
      </c>
    </row>
    <row r="494" spans="1:10" x14ac:dyDescent="0.25">
      <c r="A494">
        <v>493</v>
      </c>
      <c r="B494" s="1">
        <v>45333</v>
      </c>
      <c r="C494" t="s">
        <v>10</v>
      </c>
      <c r="D494" t="s">
        <v>20</v>
      </c>
      <c r="E494">
        <v>143</v>
      </c>
      <c r="F494">
        <v>57</v>
      </c>
      <c r="G494">
        <v>8.6999999999999993</v>
      </c>
      <c r="H494" t="s">
        <v>18</v>
      </c>
      <c r="I494" t="s">
        <v>19</v>
      </c>
      <c r="J494" t="s">
        <v>11</v>
      </c>
    </row>
    <row r="495" spans="1:10" x14ac:dyDescent="0.25">
      <c r="A495">
        <v>494</v>
      </c>
      <c r="B495" s="1">
        <v>45626</v>
      </c>
      <c r="C495" t="s">
        <v>22</v>
      </c>
      <c r="D495" t="s">
        <v>20</v>
      </c>
      <c r="E495">
        <v>139</v>
      </c>
      <c r="F495">
        <v>63</v>
      </c>
      <c r="G495">
        <v>2.5</v>
      </c>
      <c r="H495" t="s">
        <v>12</v>
      </c>
      <c r="I495" t="s">
        <v>16</v>
      </c>
      <c r="J495" t="s">
        <v>11</v>
      </c>
    </row>
    <row r="496" spans="1:10" x14ac:dyDescent="0.25">
      <c r="A496">
        <v>495</v>
      </c>
      <c r="B496" s="1">
        <v>45477</v>
      </c>
      <c r="C496" t="s">
        <v>10</v>
      </c>
      <c r="D496" t="s">
        <v>11</v>
      </c>
      <c r="E496">
        <v>64</v>
      </c>
      <c r="F496">
        <v>58</v>
      </c>
      <c r="G496">
        <v>3.3</v>
      </c>
      <c r="H496" t="s">
        <v>12</v>
      </c>
      <c r="I496" t="s">
        <v>19</v>
      </c>
      <c r="J496" t="s">
        <v>11</v>
      </c>
    </row>
    <row r="497" spans="1:10" x14ac:dyDescent="0.25">
      <c r="A497">
        <v>496</v>
      </c>
      <c r="B497" s="1">
        <v>45623</v>
      </c>
      <c r="C497" t="s">
        <v>21</v>
      </c>
      <c r="D497" t="s">
        <v>11</v>
      </c>
      <c r="E497">
        <v>184</v>
      </c>
      <c r="F497">
        <v>29</v>
      </c>
      <c r="G497">
        <v>1.7</v>
      </c>
      <c r="H497" t="s">
        <v>18</v>
      </c>
      <c r="I497" t="s">
        <v>16</v>
      </c>
      <c r="J497" t="s">
        <v>11</v>
      </c>
    </row>
    <row r="498" spans="1:10" x14ac:dyDescent="0.25">
      <c r="A498">
        <v>497</v>
      </c>
      <c r="B498" s="1">
        <v>45440</v>
      </c>
      <c r="C498" t="s">
        <v>10</v>
      </c>
      <c r="D498" t="s">
        <v>15</v>
      </c>
      <c r="E498">
        <v>140</v>
      </c>
      <c r="F498">
        <v>38</v>
      </c>
      <c r="G498">
        <v>0.9</v>
      </c>
      <c r="H498" t="s">
        <v>12</v>
      </c>
      <c r="I498" t="s">
        <v>13</v>
      </c>
      <c r="J498" t="s">
        <v>11</v>
      </c>
    </row>
    <row r="499" spans="1:10" x14ac:dyDescent="0.25">
      <c r="A499">
        <v>498</v>
      </c>
      <c r="B499" s="1">
        <v>45550</v>
      </c>
      <c r="C499" t="s">
        <v>21</v>
      </c>
      <c r="D499" t="s">
        <v>17</v>
      </c>
      <c r="E499">
        <v>24</v>
      </c>
      <c r="F499">
        <v>52</v>
      </c>
      <c r="G499">
        <v>5.6</v>
      </c>
      <c r="H499" t="s">
        <v>18</v>
      </c>
      <c r="I499" t="s">
        <v>16</v>
      </c>
      <c r="J499" t="s">
        <v>15</v>
      </c>
    </row>
    <row r="500" spans="1:10" x14ac:dyDescent="0.25">
      <c r="A500">
        <v>499</v>
      </c>
      <c r="B500" s="1">
        <v>45571</v>
      </c>
      <c r="C500" t="s">
        <v>21</v>
      </c>
      <c r="D500" t="s">
        <v>11</v>
      </c>
      <c r="E500">
        <v>165</v>
      </c>
      <c r="F500">
        <v>38</v>
      </c>
      <c r="G500">
        <v>3.8</v>
      </c>
      <c r="H500" t="s">
        <v>18</v>
      </c>
      <c r="I500" t="s">
        <v>13</v>
      </c>
      <c r="J500" t="s">
        <v>11</v>
      </c>
    </row>
    <row r="501" spans="1:10" x14ac:dyDescent="0.25">
      <c r="A501">
        <v>500</v>
      </c>
      <c r="B501" s="1">
        <v>45438</v>
      </c>
      <c r="C501" t="s">
        <v>22</v>
      </c>
      <c r="D501" t="s">
        <v>17</v>
      </c>
      <c r="E501">
        <v>131</v>
      </c>
      <c r="F501">
        <v>25</v>
      </c>
      <c r="G501">
        <v>7.7</v>
      </c>
      <c r="H501" t="s">
        <v>12</v>
      </c>
      <c r="I501" t="s">
        <v>16</v>
      </c>
      <c r="J501" t="s">
        <v>11</v>
      </c>
    </row>
    <row r="502" spans="1:10" x14ac:dyDescent="0.25">
      <c r="A502">
        <v>501</v>
      </c>
      <c r="B502" s="1">
        <v>45537</v>
      </c>
      <c r="C502" t="s">
        <v>23</v>
      </c>
      <c r="D502" t="s">
        <v>15</v>
      </c>
      <c r="E502">
        <v>5</v>
      </c>
      <c r="F502">
        <v>24</v>
      </c>
      <c r="G502">
        <v>5</v>
      </c>
      <c r="H502" t="s">
        <v>18</v>
      </c>
      <c r="I502" t="s">
        <v>13</v>
      </c>
      <c r="J502" t="s">
        <v>20</v>
      </c>
    </row>
    <row r="503" spans="1:10" x14ac:dyDescent="0.25">
      <c r="A503">
        <v>502</v>
      </c>
      <c r="B503" s="1">
        <v>45495</v>
      </c>
      <c r="C503" t="s">
        <v>21</v>
      </c>
      <c r="D503" t="s">
        <v>20</v>
      </c>
      <c r="E503">
        <v>68</v>
      </c>
      <c r="F503">
        <v>29</v>
      </c>
      <c r="G503">
        <v>7.7</v>
      </c>
      <c r="H503" t="s">
        <v>18</v>
      </c>
      <c r="I503" t="s">
        <v>16</v>
      </c>
      <c r="J503" t="s">
        <v>11</v>
      </c>
    </row>
    <row r="504" spans="1:10" x14ac:dyDescent="0.25">
      <c r="A504">
        <v>503</v>
      </c>
      <c r="B504" s="1">
        <v>45573</v>
      </c>
      <c r="C504" t="s">
        <v>21</v>
      </c>
      <c r="D504" t="s">
        <v>15</v>
      </c>
      <c r="E504">
        <v>30</v>
      </c>
      <c r="F504">
        <v>29</v>
      </c>
      <c r="G504">
        <v>6.5</v>
      </c>
      <c r="H504" t="s">
        <v>12</v>
      </c>
      <c r="I504" t="s">
        <v>19</v>
      </c>
      <c r="J504" t="s">
        <v>15</v>
      </c>
    </row>
    <row r="505" spans="1:10" x14ac:dyDescent="0.25">
      <c r="A505">
        <v>504</v>
      </c>
      <c r="B505" s="1">
        <v>45641</v>
      </c>
      <c r="C505" t="s">
        <v>21</v>
      </c>
      <c r="D505" t="s">
        <v>20</v>
      </c>
      <c r="E505">
        <v>134</v>
      </c>
      <c r="F505">
        <v>43</v>
      </c>
      <c r="G505">
        <v>2.2000000000000002</v>
      </c>
      <c r="H505" t="s">
        <v>18</v>
      </c>
      <c r="I505" t="s">
        <v>16</v>
      </c>
      <c r="J505" t="s">
        <v>11</v>
      </c>
    </row>
    <row r="506" spans="1:10" x14ac:dyDescent="0.25">
      <c r="A506">
        <v>505</v>
      </c>
      <c r="B506" s="1">
        <v>45295</v>
      </c>
      <c r="C506" t="s">
        <v>14</v>
      </c>
      <c r="D506" t="s">
        <v>20</v>
      </c>
      <c r="E506">
        <v>118</v>
      </c>
      <c r="F506">
        <v>56</v>
      </c>
      <c r="G506">
        <v>0.7</v>
      </c>
      <c r="H506" t="s">
        <v>18</v>
      </c>
      <c r="I506" t="s">
        <v>19</v>
      </c>
      <c r="J506" t="s">
        <v>11</v>
      </c>
    </row>
    <row r="507" spans="1:10" x14ac:dyDescent="0.25">
      <c r="A507">
        <v>506</v>
      </c>
      <c r="B507" s="1">
        <v>45504</v>
      </c>
      <c r="C507" t="s">
        <v>14</v>
      </c>
      <c r="D507" t="s">
        <v>15</v>
      </c>
      <c r="E507">
        <v>111</v>
      </c>
      <c r="F507">
        <v>69</v>
      </c>
      <c r="G507">
        <v>3.1</v>
      </c>
      <c r="H507" t="s">
        <v>12</v>
      </c>
      <c r="I507" t="s">
        <v>16</v>
      </c>
      <c r="J507" t="s">
        <v>11</v>
      </c>
    </row>
    <row r="508" spans="1:10" x14ac:dyDescent="0.25">
      <c r="A508">
        <v>507</v>
      </c>
      <c r="B508" s="1">
        <v>45305</v>
      </c>
      <c r="C508" t="s">
        <v>10</v>
      </c>
      <c r="D508" t="s">
        <v>17</v>
      </c>
      <c r="E508">
        <v>94</v>
      </c>
      <c r="F508">
        <v>5</v>
      </c>
      <c r="G508">
        <v>7</v>
      </c>
      <c r="H508" t="s">
        <v>12</v>
      </c>
      <c r="I508" t="s">
        <v>13</v>
      </c>
      <c r="J508" t="s">
        <v>15</v>
      </c>
    </row>
    <row r="509" spans="1:10" x14ac:dyDescent="0.25">
      <c r="A509">
        <v>508</v>
      </c>
      <c r="B509" s="1">
        <v>45637</v>
      </c>
      <c r="C509" t="s">
        <v>14</v>
      </c>
      <c r="D509" t="s">
        <v>17</v>
      </c>
      <c r="E509">
        <v>201</v>
      </c>
      <c r="F509">
        <v>22</v>
      </c>
      <c r="G509">
        <v>9.1999999999999993</v>
      </c>
      <c r="H509" t="s">
        <v>12</v>
      </c>
      <c r="I509" t="s">
        <v>19</v>
      </c>
      <c r="J509" t="s">
        <v>11</v>
      </c>
    </row>
    <row r="510" spans="1:10" x14ac:dyDescent="0.25">
      <c r="A510">
        <v>509</v>
      </c>
      <c r="B510" s="1">
        <v>45431</v>
      </c>
      <c r="C510" t="s">
        <v>22</v>
      </c>
      <c r="D510" t="s">
        <v>11</v>
      </c>
      <c r="E510">
        <v>200</v>
      </c>
      <c r="F510">
        <v>23</v>
      </c>
      <c r="G510">
        <v>5.3</v>
      </c>
      <c r="H510" t="s">
        <v>18</v>
      </c>
      <c r="I510" t="s">
        <v>13</v>
      </c>
      <c r="J510" t="s">
        <v>15</v>
      </c>
    </row>
    <row r="511" spans="1:10" x14ac:dyDescent="0.25">
      <c r="A511">
        <v>510</v>
      </c>
      <c r="B511" s="1">
        <v>45427</v>
      </c>
      <c r="C511" t="s">
        <v>22</v>
      </c>
      <c r="D511" t="s">
        <v>20</v>
      </c>
      <c r="E511">
        <v>20</v>
      </c>
      <c r="F511">
        <v>25</v>
      </c>
      <c r="G511">
        <v>2.2000000000000002</v>
      </c>
      <c r="H511" t="s">
        <v>18</v>
      </c>
      <c r="I511" t="s">
        <v>13</v>
      </c>
      <c r="J511" t="s">
        <v>15</v>
      </c>
    </row>
    <row r="512" spans="1:10" x14ac:dyDescent="0.25">
      <c r="A512">
        <v>511</v>
      </c>
      <c r="B512" s="1">
        <v>45419</v>
      </c>
      <c r="C512" t="s">
        <v>22</v>
      </c>
      <c r="D512" t="s">
        <v>20</v>
      </c>
      <c r="E512">
        <v>7</v>
      </c>
      <c r="F512">
        <v>64</v>
      </c>
      <c r="G512">
        <v>7.1</v>
      </c>
      <c r="H512" t="s">
        <v>18</v>
      </c>
      <c r="I512" t="s">
        <v>16</v>
      </c>
      <c r="J512" t="s">
        <v>15</v>
      </c>
    </row>
    <row r="513" spans="1:10" x14ac:dyDescent="0.25">
      <c r="A513">
        <v>512</v>
      </c>
      <c r="B513" s="1">
        <v>45541</v>
      </c>
      <c r="C513" t="s">
        <v>22</v>
      </c>
      <c r="D513" t="s">
        <v>11</v>
      </c>
      <c r="E513">
        <v>169</v>
      </c>
      <c r="F513">
        <v>6</v>
      </c>
      <c r="G513">
        <v>6.1</v>
      </c>
      <c r="H513" t="s">
        <v>12</v>
      </c>
      <c r="I513" t="s">
        <v>13</v>
      </c>
      <c r="J513" t="s">
        <v>15</v>
      </c>
    </row>
    <row r="514" spans="1:10" x14ac:dyDescent="0.25">
      <c r="A514">
        <v>513</v>
      </c>
      <c r="B514" s="1">
        <v>45394</v>
      </c>
      <c r="C514" t="s">
        <v>10</v>
      </c>
      <c r="D514" t="s">
        <v>15</v>
      </c>
      <c r="E514">
        <v>189</v>
      </c>
      <c r="F514">
        <v>28</v>
      </c>
      <c r="G514">
        <v>9.6999999999999993</v>
      </c>
      <c r="H514" t="s">
        <v>12</v>
      </c>
      <c r="I514" t="s">
        <v>16</v>
      </c>
      <c r="J514" t="s">
        <v>11</v>
      </c>
    </row>
    <row r="515" spans="1:10" x14ac:dyDescent="0.25">
      <c r="A515">
        <v>514</v>
      </c>
      <c r="B515" s="1">
        <v>45654</v>
      </c>
      <c r="C515" t="s">
        <v>21</v>
      </c>
      <c r="D515" t="s">
        <v>17</v>
      </c>
      <c r="E515">
        <v>154</v>
      </c>
      <c r="F515">
        <v>38</v>
      </c>
      <c r="G515">
        <v>0.5</v>
      </c>
      <c r="H515" t="s">
        <v>12</v>
      </c>
      <c r="I515" t="s">
        <v>13</v>
      </c>
      <c r="J515" t="s">
        <v>11</v>
      </c>
    </row>
    <row r="516" spans="1:10" x14ac:dyDescent="0.25">
      <c r="A516">
        <v>515</v>
      </c>
      <c r="B516" s="1">
        <v>45352</v>
      </c>
      <c r="C516" t="s">
        <v>23</v>
      </c>
      <c r="D516" t="s">
        <v>11</v>
      </c>
      <c r="E516">
        <v>132</v>
      </c>
      <c r="F516">
        <v>41</v>
      </c>
      <c r="G516">
        <v>9.1999999999999993</v>
      </c>
      <c r="H516" t="s">
        <v>12</v>
      </c>
      <c r="I516" t="s">
        <v>16</v>
      </c>
      <c r="J516" t="s">
        <v>11</v>
      </c>
    </row>
    <row r="517" spans="1:10" x14ac:dyDescent="0.25">
      <c r="A517">
        <v>516</v>
      </c>
      <c r="B517" s="1">
        <v>45311</v>
      </c>
      <c r="C517" t="s">
        <v>23</v>
      </c>
      <c r="D517" t="s">
        <v>11</v>
      </c>
      <c r="E517">
        <v>74</v>
      </c>
      <c r="F517">
        <v>36</v>
      </c>
      <c r="G517">
        <v>4.3</v>
      </c>
      <c r="H517" t="s">
        <v>12</v>
      </c>
      <c r="I517" t="s">
        <v>19</v>
      </c>
      <c r="J517" t="s">
        <v>11</v>
      </c>
    </row>
    <row r="518" spans="1:10" x14ac:dyDescent="0.25">
      <c r="A518">
        <v>517</v>
      </c>
      <c r="B518" s="1">
        <v>45442</v>
      </c>
      <c r="C518" t="s">
        <v>21</v>
      </c>
      <c r="D518" t="s">
        <v>20</v>
      </c>
      <c r="E518">
        <v>160</v>
      </c>
      <c r="F518">
        <v>54</v>
      </c>
      <c r="G518">
        <v>1.2</v>
      </c>
      <c r="H518" t="s">
        <v>12</v>
      </c>
      <c r="I518" t="s">
        <v>16</v>
      </c>
      <c r="J518" t="s">
        <v>11</v>
      </c>
    </row>
    <row r="519" spans="1:10" x14ac:dyDescent="0.25">
      <c r="A519">
        <v>518</v>
      </c>
      <c r="B519" s="1">
        <v>45345</v>
      </c>
      <c r="C519" t="s">
        <v>23</v>
      </c>
      <c r="D519" t="s">
        <v>15</v>
      </c>
      <c r="E519">
        <v>209</v>
      </c>
      <c r="F519">
        <v>35</v>
      </c>
      <c r="G519">
        <v>1.9</v>
      </c>
      <c r="H519" t="s">
        <v>18</v>
      </c>
      <c r="I519" t="s">
        <v>13</v>
      </c>
      <c r="J519" t="s">
        <v>11</v>
      </c>
    </row>
    <row r="520" spans="1:10" x14ac:dyDescent="0.25">
      <c r="A520">
        <v>519</v>
      </c>
      <c r="B520" s="1">
        <v>45384</v>
      </c>
      <c r="C520" t="s">
        <v>10</v>
      </c>
      <c r="D520" t="s">
        <v>11</v>
      </c>
      <c r="E520">
        <v>62</v>
      </c>
      <c r="F520">
        <v>19</v>
      </c>
      <c r="G520">
        <v>8.1999999999999993</v>
      </c>
      <c r="H520" t="s">
        <v>18</v>
      </c>
      <c r="I520" t="s">
        <v>19</v>
      </c>
      <c r="J520" t="s">
        <v>15</v>
      </c>
    </row>
    <row r="521" spans="1:10" x14ac:dyDescent="0.25">
      <c r="A521">
        <v>520</v>
      </c>
      <c r="B521" s="1">
        <v>45438</v>
      </c>
      <c r="C521" t="s">
        <v>22</v>
      </c>
      <c r="D521" t="s">
        <v>15</v>
      </c>
      <c r="E521">
        <v>236</v>
      </c>
      <c r="F521">
        <v>62</v>
      </c>
      <c r="G521">
        <v>1.1000000000000001</v>
      </c>
      <c r="H521" t="s">
        <v>12</v>
      </c>
      <c r="I521" t="s">
        <v>16</v>
      </c>
      <c r="J521" t="s">
        <v>11</v>
      </c>
    </row>
    <row r="522" spans="1:10" x14ac:dyDescent="0.25">
      <c r="A522">
        <v>521</v>
      </c>
      <c r="B522" s="1">
        <v>45296</v>
      </c>
      <c r="C522" t="s">
        <v>21</v>
      </c>
      <c r="D522" t="s">
        <v>11</v>
      </c>
      <c r="E522">
        <v>191</v>
      </c>
      <c r="F522">
        <v>28</v>
      </c>
      <c r="G522">
        <v>5.4</v>
      </c>
      <c r="H522" t="s">
        <v>18</v>
      </c>
      <c r="I522" t="s">
        <v>13</v>
      </c>
      <c r="J522" t="s">
        <v>15</v>
      </c>
    </row>
    <row r="523" spans="1:10" x14ac:dyDescent="0.25">
      <c r="A523">
        <v>522</v>
      </c>
      <c r="B523" s="1">
        <v>45340</v>
      </c>
      <c r="C523" t="s">
        <v>21</v>
      </c>
      <c r="D523" t="s">
        <v>11</v>
      </c>
      <c r="E523">
        <v>205</v>
      </c>
      <c r="F523">
        <v>40</v>
      </c>
      <c r="G523">
        <v>1.3</v>
      </c>
      <c r="H523" t="s">
        <v>12</v>
      </c>
      <c r="I523" t="s">
        <v>16</v>
      </c>
      <c r="J523" t="s">
        <v>11</v>
      </c>
    </row>
    <row r="524" spans="1:10" x14ac:dyDescent="0.25">
      <c r="A524">
        <v>523</v>
      </c>
      <c r="B524" s="1">
        <v>45361</v>
      </c>
      <c r="C524" t="s">
        <v>10</v>
      </c>
      <c r="D524" t="s">
        <v>15</v>
      </c>
      <c r="E524">
        <v>170</v>
      </c>
      <c r="F524">
        <v>30</v>
      </c>
      <c r="G524">
        <v>8.6</v>
      </c>
      <c r="H524" t="s">
        <v>18</v>
      </c>
      <c r="I524" t="s">
        <v>16</v>
      </c>
      <c r="J524" t="s">
        <v>15</v>
      </c>
    </row>
    <row r="525" spans="1:10" x14ac:dyDescent="0.25">
      <c r="A525">
        <v>524</v>
      </c>
      <c r="B525" s="1">
        <v>45538</v>
      </c>
      <c r="C525" t="s">
        <v>22</v>
      </c>
      <c r="D525" t="s">
        <v>11</v>
      </c>
      <c r="E525">
        <v>209</v>
      </c>
      <c r="F525">
        <v>50</v>
      </c>
      <c r="G525">
        <v>1.7</v>
      </c>
      <c r="H525" t="s">
        <v>12</v>
      </c>
      <c r="I525" t="s">
        <v>16</v>
      </c>
      <c r="J525" t="s">
        <v>11</v>
      </c>
    </row>
    <row r="526" spans="1:10" x14ac:dyDescent="0.25">
      <c r="A526">
        <v>525</v>
      </c>
      <c r="B526" s="1">
        <v>45464</v>
      </c>
      <c r="C526" t="s">
        <v>22</v>
      </c>
      <c r="D526" t="s">
        <v>20</v>
      </c>
      <c r="E526">
        <v>113</v>
      </c>
      <c r="F526">
        <v>18</v>
      </c>
      <c r="G526">
        <v>5.8</v>
      </c>
      <c r="H526" t="s">
        <v>18</v>
      </c>
      <c r="I526" t="s">
        <v>19</v>
      </c>
      <c r="J526" t="s">
        <v>11</v>
      </c>
    </row>
    <row r="527" spans="1:10" x14ac:dyDescent="0.25">
      <c r="A527">
        <v>526</v>
      </c>
      <c r="B527" s="1">
        <v>45469</v>
      </c>
      <c r="C527" t="s">
        <v>23</v>
      </c>
      <c r="D527" t="s">
        <v>15</v>
      </c>
      <c r="E527">
        <v>186</v>
      </c>
      <c r="F527">
        <v>23</v>
      </c>
      <c r="G527">
        <v>3.8</v>
      </c>
      <c r="H527" t="s">
        <v>12</v>
      </c>
      <c r="I527" t="s">
        <v>13</v>
      </c>
      <c r="J527" t="s">
        <v>11</v>
      </c>
    </row>
    <row r="528" spans="1:10" x14ac:dyDescent="0.25">
      <c r="A528">
        <v>527</v>
      </c>
      <c r="B528" s="1">
        <v>45467</v>
      </c>
      <c r="C528" t="s">
        <v>10</v>
      </c>
      <c r="D528" t="s">
        <v>20</v>
      </c>
      <c r="E528">
        <v>176</v>
      </c>
      <c r="F528">
        <v>39</v>
      </c>
      <c r="G528">
        <v>2.4</v>
      </c>
      <c r="H528" t="s">
        <v>18</v>
      </c>
      <c r="I528" t="s">
        <v>19</v>
      </c>
      <c r="J528" t="s">
        <v>11</v>
      </c>
    </row>
    <row r="529" spans="1:10" x14ac:dyDescent="0.25">
      <c r="A529">
        <v>528</v>
      </c>
      <c r="B529" s="1">
        <v>45369</v>
      </c>
      <c r="C529" t="s">
        <v>14</v>
      </c>
      <c r="D529" t="s">
        <v>11</v>
      </c>
      <c r="E529">
        <v>35</v>
      </c>
      <c r="F529">
        <v>37</v>
      </c>
      <c r="G529">
        <v>1</v>
      </c>
      <c r="H529" t="s">
        <v>12</v>
      </c>
      <c r="I529" t="s">
        <v>16</v>
      </c>
      <c r="J529" t="s">
        <v>11</v>
      </c>
    </row>
    <row r="530" spans="1:10" x14ac:dyDescent="0.25">
      <c r="A530">
        <v>529</v>
      </c>
      <c r="B530" s="1">
        <v>45497</v>
      </c>
      <c r="C530" t="s">
        <v>10</v>
      </c>
      <c r="D530" t="s">
        <v>11</v>
      </c>
      <c r="E530">
        <v>98</v>
      </c>
      <c r="F530">
        <v>36</v>
      </c>
      <c r="G530">
        <v>0.7</v>
      </c>
      <c r="H530" t="s">
        <v>12</v>
      </c>
      <c r="I530" t="s">
        <v>19</v>
      </c>
      <c r="J530" t="s">
        <v>11</v>
      </c>
    </row>
    <row r="531" spans="1:10" x14ac:dyDescent="0.25">
      <c r="A531">
        <v>530</v>
      </c>
      <c r="B531" s="1">
        <v>45298</v>
      </c>
      <c r="C531" t="s">
        <v>22</v>
      </c>
      <c r="D531" t="s">
        <v>17</v>
      </c>
      <c r="E531">
        <v>66</v>
      </c>
      <c r="F531">
        <v>53</v>
      </c>
      <c r="G531">
        <v>6.6</v>
      </c>
      <c r="H531" t="s">
        <v>12</v>
      </c>
      <c r="I531" t="s">
        <v>13</v>
      </c>
      <c r="J531" t="s">
        <v>11</v>
      </c>
    </row>
    <row r="532" spans="1:10" x14ac:dyDescent="0.25">
      <c r="A532">
        <v>531</v>
      </c>
      <c r="B532" s="1">
        <v>45436</v>
      </c>
      <c r="C532" t="s">
        <v>10</v>
      </c>
      <c r="D532" t="s">
        <v>20</v>
      </c>
      <c r="E532">
        <v>176</v>
      </c>
      <c r="F532">
        <v>3</v>
      </c>
      <c r="G532">
        <v>9.8000000000000007</v>
      </c>
      <c r="H532" t="s">
        <v>12</v>
      </c>
      <c r="I532" t="s">
        <v>19</v>
      </c>
      <c r="J532" t="s">
        <v>15</v>
      </c>
    </row>
    <row r="533" spans="1:10" x14ac:dyDescent="0.25">
      <c r="A533">
        <v>532</v>
      </c>
      <c r="B533" s="1">
        <v>45390</v>
      </c>
      <c r="C533" t="s">
        <v>22</v>
      </c>
      <c r="D533" t="s">
        <v>15</v>
      </c>
      <c r="E533">
        <v>65</v>
      </c>
      <c r="F533">
        <v>54</v>
      </c>
      <c r="G533">
        <v>2.1</v>
      </c>
      <c r="H533" t="s">
        <v>12</v>
      </c>
      <c r="I533" t="s">
        <v>16</v>
      </c>
      <c r="J533" t="s">
        <v>11</v>
      </c>
    </row>
    <row r="534" spans="1:10" x14ac:dyDescent="0.25">
      <c r="A534">
        <v>533</v>
      </c>
      <c r="B534" s="1">
        <v>45500</v>
      </c>
      <c r="C534" t="s">
        <v>21</v>
      </c>
      <c r="D534" t="s">
        <v>11</v>
      </c>
      <c r="E534">
        <v>198</v>
      </c>
      <c r="F534">
        <v>15</v>
      </c>
      <c r="G534">
        <v>3</v>
      </c>
      <c r="H534" t="s">
        <v>18</v>
      </c>
      <c r="I534" t="s">
        <v>13</v>
      </c>
      <c r="J534" t="s">
        <v>11</v>
      </c>
    </row>
    <row r="535" spans="1:10" x14ac:dyDescent="0.25">
      <c r="A535">
        <v>534</v>
      </c>
      <c r="B535" s="1">
        <v>45392</v>
      </c>
      <c r="C535" t="s">
        <v>10</v>
      </c>
      <c r="D535" t="s">
        <v>20</v>
      </c>
      <c r="E535">
        <v>103</v>
      </c>
      <c r="F535">
        <v>46</v>
      </c>
      <c r="G535">
        <v>2.7</v>
      </c>
      <c r="H535" t="s">
        <v>18</v>
      </c>
      <c r="I535" t="s">
        <v>19</v>
      </c>
      <c r="J535" t="s">
        <v>11</v>
      </c>
    </row>
    <row r="536" spans="1:10" x14ac:dyDescent="0.25">
      <c r="A536">
        <v>535</v>
      </c>
      <c r="B536" s="1">
        <v>45571</v>
      </c>
      <c r="C536" t="s">
        <v>21</v>
      </c>
      <c r="D536" t="s">
        <v>11</v>
      </c>
      <c r="E536">
        <v>210</v>
      </c>
      <c r="F536">
        <v>71</v>
      </c>
      <c r="G536">
        <v>9.3000000000000007</v>
      </c>
      <c r="H536" t="s">
        <v>18</v>
      </c>
      <c r="I536" t="s">
        <v>13</v>
      </c>
      <c r="J536" t="s">
        <v>15</v>
      </c>
    </row>
    <row r="537" spans="1:10" x14ac:dyDescent="0.25">
      <c r="A537">
        <v>536</v>
      </c>
      <c r="B537" s="1">
        <v>45473</v>
      </c>
      <c r="C537" t="s">
        <v>22</v>
      </c>
      <c r="D537" t="s">
        <v>11</v>
      </c>
      <c r="E537">
        <v>159</v>
      </c>
      <c r="F537">
        <v>8</v>
      </c>
      <c r="G537">
        <v>5</v>
      </c>
      <c r="H537" t="s">
        <v>18</v>
      </c>
      <c r="I537" t="s">
        <v>13</v>
      </c>
      <c r="J537" t="s">
        <v>15</v>
      </c>
    </row>
    <row r="538" spans="1:10" x14ac:dyDescent="0.25">
      <c r="A538">
        <v>537</v>
      </c>
      <c r="B538" s="1">
        <v>45302</v>
      </c>
      <c r="C538" t="s">
        <v>14</v>
      </c>
      <c r="D538" t="s">
        <v>11</v>
      </c>
      <c r="E538">
        <v>13</v>
      </c>
      <c r="F538">
        <v>33</v>
      </c>
      <c r="G538">
        <v>0.9</v>
      </c>
      <c r="H538" t="s">
        <v>12</v>
      </c>
      <c r="I538" t="s">
        <v>19</v>
      </c>
      <c r="J538" t="s">
        <v>15</v>
      </c>
    </row>
    <row r="539" spans="1:10" x14ac:dyDescent="0.25">
      <c r="A539">
        <v>538</v>
      </c>
      <c r="B539" s="1">
        <v>45636</v>
      </c>
      <c r="C539" t="s">
        <v>10</v>
      </c>
      <c r="D539" t="s">
        <v>20</v>
      </c>
      <c r="E539">
        <v>151</v>
      </c>
      <c r="F539">
        <v>67</v>
      </c>
      <c r="G539">
        <v>9.9</v>
      </c>
      <c r="H539" t="s">
        <v>18</v>
      </c>
      <c r="I539" t="s">
        <v>19</v>
      </c>
      <c r="J539" t="s">
        <v>11</v>
      </c>
    </row>
    <row r="540" spans="1:10" x14ac:dyDescent="0.25">
      <c r="A540">
        <v>539</v>
      </c>
      <c r="B540" s="1">
        <v>45348</v>
      </c>
      <c r="C540" t="s">
        <v>10</v>
      </c>
      <c r="D540" t="s">
        <v>20</v>
      </c>
      <c r="E540">
        <v>232</v>
      </c>
      <c r="F540">
        <v>9</v>
      </c>
      <c r="G540">
        <v>8.3000000000000007</v>
      </c>
      <c r="H540" t="s">
        <v>18</v>
      </c>
      <c r="I540" t="s">
        <v>13</v>
      </c>
      <c r="J540" t="s">
        <v>11</v>
      </c>
    </row>
    <row r="541" spans="1:10" x14ac:dyDescent="0.25">
      <c r="A541">
        <v>540</v>
      </c>
      <c r="B541" s="1">
        <v>45530</v>
      </c>
      <c r="C541" t="s">
        <v>23</v>
      </c>
      <c r="D541" t="s">
        <v>15</v>
      </c>
      <c r="E541">
        <v>62</v>
      </c>
      <c r="F541">
        <v>70</v>
      </c>
      <c r="G541">
        <v>3.9</v>
      </c>
      <c r="H541" t="s">
        <v>18</v>
      </c>
      <c r="I541" t="s">
        <v>16</v>
      </c>
      <c r="J541" t="s">
        <v>11</v>
      </c>
    </row>
    <row r="542" spans="1:10" x14ac:dyDescent="0.25">
      <c r="A542">
        <v>541</v>
      </c>
      <c r="B542" s="1">
        <v>45387</v>
      </c>
      <c r="C542" t="s">
        <v>14</v>
      </c>
      <c r="D542" t="s">
        <v>15</v>
      </c>
      <c r="E542">
        <v>17</v>
      </c>
      <c r="F542">
        <v>43</v>
      </c>
      <c r="G542">
        <v>2.8</v>
      </c>
      <c r="H542" t="s">
        <v>12</v>
      </c>
      <c r="I542" t="s">
        <v>19</v>
      </c>
      <c r="J542" t="s">
        <v>15</v>
      </c>
    </row>
    <row r="543" spans="1:10" x14ac:dyDescent="0.25">
      <c r="A543">
        <v>542</v>
      </c>
      <c r="B543" s="1">
        <v>45607</v>
      </c>
      <c r="C543" t="s">
        <v>10</v>
      </c>
      <c r="D543" t="s">
        <v>17</v>
      </c>
      <c r="E543">
        <v>166</v>
      </c>
      <c r="F543">
        <v>70</v>
      </c>
      <c r="G543">
        <v>7.3</v>
      </c>
      <c r="H543" t="s">
        <v>12</v>
      </c>
      <c r="I543" t="s">
        <v>13</v>
      </c>
      <c r="J543" t="s">
        <v>11</v>
      </c>
    </row>
    <row r="544" spans="1:10" x14ac:dyDescent="0.25">
      <c r="A544">
        <v>543</v>
      </c>
      <c r="B544" s="1">
        <v>45329</v>
      </c>
      <c r="C544" t="s">
        <v>10</v>
      </c>
      <c r="D544" t="s">
        <v>17</v>
      </c>
      <c r="E544">
        <v>7</v>
      </c>
      <c r="F544">
        <v>33</v>
      </c>
      <c r="G544">
        <v>9.9</v>
      </c>
      <c r="H544" t="s">
        <v>18</v>
      </c>
      <c r="I544" t="s">
        <v>13</v>
      </c>
      <c r="J544" t="s">
        <v>15</v>
      </c>
    </row>
    <row r="545" spans="1:10" x14ac:dyDescent="0.25">
      <c r="A545">
        <v>544</v>
      </c>
      <c r="B545" s="1">
        <v>45514</v>
      </c>
      <c r="C545" t="s">
        <v>10</v>
      </c>
      <c r="D545" t="s">
        <v>17</v>
      </c>
      <c r="E545">
        <v>75</v>
      </c>
      <c r="F545">
        <v>38</v>
      </c>
      <c r="G545">
        <v>8.3000000000000007</v>
      </c>
      <c r="H545" t="s">
        <v>18</v>
      </c>
      <c r="I545" t="s">
        <v>19</v>
      </c>
      <c r="J545" t="s">
        <v>11</v>
      </c>
    </row>
    <row r="546" spans="1:10" x14ac:dyDescent="0.25">
      <c r="A546">
        <v>545</v>
      </c>
      <c r="B546" s="1">
        <v>45369</v>
      </c>
      <c r="C546" t="s">
        <v>22</v>
      </c>
      <c r="D546" t="s">
        <v>15</v>
      </c>
      <c r="E546">
        <v>92</v>
      </c>
      <c r="F546">
        <v>46</v>
      </c>
      <c r="G546">
        <v>5.3</v>
      </c>
      <c r="H546" t="s">
        <v>12</v>
      </c>
      <c r="I546" t="s">
        <v>16</v>
      </c>
      <c r="J546" t="s">
        <v>11</v>
      </c>
    </row>
    <row r="547" spans="1:10" x14ac:dyDescent="0.25">
      <c r="A547">
        <v>546</v>
      </c>
      <c r="B547" s="1">
        <v>45580</v>
      </c>
      <c r="C547" t="s">
        <v>14</v>
      </c>
      <c r="D547" t="s">
        <v>20</v>
      </c>
      <c r="E547">
        <v>144</v>
      </c>
      <c r="F547">
        <v>72</v>
      </c>
      <c r="G547">
        <v>1.4</v>
      </c>
      <c r="H547" t="s">
        <v>12</v>
      </c>
      <c r="I547" t="s">
        <v>13</v>
      </c>
      <c r="J547" t="s">
        <v>11</v>
      </c>
    </row>
    <row r="548" spans="1:10" x14ac:dyDescent="0.25">
      <c r="A548">
        <v>547</v>
      </c>
      <c r="B548" s="1">
        <v>45511</v>
      </c>
      <c r="C548" t="s">
        <v>10</v>
      </c>
      <c r="D548" t="s">
        <v>20</v>
      </c>
      <c r="E548">
        <v>97</v>
      </c>
      <c r="F548">
        <v>51</v>
      </c>
      <c r="G548">
        <v>6.6</v>
      </c>
      <c r="H548" t="s">
        <v>18</v>
      </c>
      <c r="I548" t="s">
        <v>13</v>
      </c>
      <c r="J548" t="s">
        <v>11</v>
      </c>
    </row>
    <row r="549" spans="1:10" x14ac:dyDescent="0.25">
      <c r="A549">
        <v>548</v>
      </c>
      <c r="B549" s="1">
        <v>45542</v>
      </c>
      <c r="C549" t="s">
        <v>23</v>
      </c>
      <c r="D549" t="s">
        <v>20</v>
      </c>
      <c r="E549">
        <v>121</v>
      </c>
      <c r="F549">
        <v>17</v>
      </c>
      <c r="G549">
        <v>7.2</v>
      </c>
      <c r="H549" t="s">
        <v>12</v>
      </c>
      <c r="I549" t="s">
        <v>16</v>
      </c>
      <c r="J549" t="s">
        <v>11</v>
      </c>
    </row>
    <row r="550" spans="1:10" x14ac:dyDescent="0.25">
      <c r="A550">
        <v>549</v>
      </c>
      <c r="B550" s="1">
        <v>45385</v>
      </c>
      <c r="C550" t="s">
        <v>14</v>
      </c>
      <c r="D550" t="s">
        <v>17</v>
      </c>
      <c r="E550">
        <v>79</v>
      </c>
      <c r="F550">
        <v>39</v>
      </c>
      <c r="G550">
        <v>2.5</v>
      </c>
      <c r="H550" t="s">
        <v>18</v>
      </c>
      <c r="I550" t="s">
        <v>19</v>
      </c>
      <c r="J550" t="s">
        <v>11</v>
      </c>
    </row>
    <row r="551" spans="1:10" x14ac:dyDescent="0.25">
      <c r="A551">
        <v>550</v>
      </c>
      <c r="B551" s="1">
        <v>45391</v>
      </c>
      <c r="C551" t="s">
        <v>14</v>
      </c>
      <c r="D551" t="s">
        <v>15</v>
      </c>
      <c r="E551">
        <v>227</v>
      </c>
      <c r="F551">
        <v>51</v>
      </c>
      <c r="G551">
        <v>7.4</v>
      </c>
      <c r="H551" t="s">
        <v>18</v>
      </c>
      <c r="I551" t="s">
        <v>16</v>
      </c>
      <c r="J551" t="s">
        <v>15</v>
      </c>
    </row>
    <row r="552" spans="1:10" x14ac:dyDescent="0.25">
      <c r="A552">
        <v>551</v>
      </c>
      <c r="B552" s="1">
        <v>45521</v>
      </c>
      <c r="C552" t="s">
        <v>10</v>
      </c>
      <c r="D552" t="s">
        <v>20</v>
      </c>
      <c r="E552">
        <v>78</v>
      </c>
      <c r="F552">
        <v>45</v>
      </c>
      <c r="G552">
        <v>6.5</v>
      </c>
      <c r="H552" t="s">
        <v>12</v>
      </c>
      <c r="I552" t="s">
        <v>13</v>
      </c>
      <c r="J552" t="s">
        <v>11</v>
      </c>
    </row>
    <row r="553" spans="1:10" x14ac:dyDescent="0.25">
      <c r="A553">
        <v>552</v>
      </c>
      <c r="B553" s="1">
        <v>45466</v>
      </c>
      <c r="C553" t="s">
        <v>22</v>
      </c>
      <c r="D553" t="s">
        <v>17</v>
      </c>
      <c r="E553">
        <v>145</v>
      </c>
      <c r="F553">
        <v>72</v>
      </c>
      <c r="G553">
        <v>9.4</v>
      </c>
      <c r="H553" t="s">
        <v>18</v>
      </c>
      <c r="I553" t="s">
        <v>13</v>
      </c>
      <c r="J553" t="s">
        <v>11</v>
      </c>
    </row>
    <row r="554" spans="1:10" x14ac:dyDescent="0.25">
      <c r="A554">
        <v>553</v>
      </c>
      <c r="B554" s="1">
        <v>45633</v>
      </c>
      <c r="C554" t="s">
        <v>21</v>
      </c>
      <c r="D554" t="s">
        <v>20</v>
      </c>
      <c r="E554">
        <v>90</v>
      </c>
      <c r="F554">
        <v>47</v>
      </c>
      <c r="G554">
        <v>6.7</v>
      </c>
      <c r="H554" t="s">
        <v>18</v>
      </c>
      <c r="I554" t="s">
        <v>13</v>
      </c>
      <c r="J554" t="s">
        <v>11</v>
      </c>
    </row>
    <row r="555" spans="1:10" x14ac:dyDescent="0.25">
      <c r="A555">
        <v>554</v>
      </c>
      <c r="B555" s="1">
        <v>45529</v>
      </c>
      <c r="C555" t="s">
        <v>14</v>
      </c>
      <c r="D555" t="s">
        <v>20</v>
      </c>
      <c r="E555">
        <v>90</v>
      </c>
      <c r="F555">
        <v>38</v>
      </c>
      <c r="G555">
        <v>3.3</v>
      </c>
      <c r="H555" t="s">
        <v>18</v>
      </c>
      <c r="I555" t="s">
        <v>13</v>
      </c>
      <c r="J555" t="s">
        <v>11</v>
      </c>
    </row>
    <row r="556" spans="1:10" x14ac:dyDescent="0.25">
      <c r="A556">
        <v>555</v>
      </c>
      <c r="B556" s="1">
        <v>45652</v>
      </c>
      <c r="C556" t="s">
        <v>23</v>
      </c>
      <c r="D556" t="s">
        <v>20</v>
      </c>
      <c r="E556">
        <v>192</v>
      </c>
      <c r="F556">
        <v>35</v>
      </c>
      <c r="G556">
        <v>1.3</v>
      </c>
      <c r="H556" t="s">
        <v>18</v>
      </c>
      <c r="I556" t="s">
        <v>16</v>
      </c>
      <c r="J556" t="s">
        <v>11</v>
      </c>
    </row>
    <row r="557" spans="1:10" x14ac:dyDescent="0.25">
      <c r="A557">
        <v>556</v>
      </c>
      <c r="B557" s="1">
        <v>45437</v>
      </c>
      <c r="C557" t="s">
        <v>22</v>
      </c>
      <c r="D557" t="s">
        <v>11</v>
      </c>
      <c r="E557">
        <v>98</v>
      </c>
      <c r="F557">
        <v>13</v>
      </c>
      <c r="G557">
        <v>1.1000000000000001</v>
      </c>
      <c r="H557" t="s">
        <v>18</v>
      </c>
      <c r="I557" t="s">
        <v>13</v>
      </c>
      <c r="J557" t="s">
        <v>11</v>
      </c>
    </row>
    <row r="558" spans="1:10" x14ac:dyDescent="0.25">
      <c r="A558">
        <v>557</v>
      </c>
      <c r="B558" s="1">
        <v>45477</v>
      </c>
      <c r="C558" t="s">
        <v>10</v>
      </c>
      <c r="D558" t="s">
        <v>15</v>
      </c>
      <c r="E558">
        <v>68</v>
      </c>
      <c r="F558">
        <v>49</v>
      </c>
      <c r="G558">
        <v>5.0999999999999996</v>
      </c>
      <c r="H558" t="s">
        <v>18</v>
      </c>
      <c r="I558" t="s">
        <v>16</v>
      </c>
      <c r="J558" t="s">
        <v>15</v>
      </c>
    </row>
    <row r="559" spans="1:10" x14ac:dyDescent="0.25">
      <c r="A559">
        <v>558</v>
      </c>
      <c r="B559" s="1">
        <v>45548</v>
      </c>
      <c r="C559" t="s">
        <v>23</v>
      </c>
      <c r="D559" t="s">
        <v>20</v>
      </c>
      <c r="E559">
        <v>162</v>
      </c>
      <c r="F559">
        <v>33</v>
      </c>
      <c r="G559">
        <v>4</v>
      </c>
      <c r="H559" t="s">
        <v>18</v>
      </c>
      <c r="I559" t="s">
        <v>16</v>
      </c>
      <c r="J559" t="s">
        <v>11</v>
      </c>
    </row>
    <row r="560" spans="1:10" x14ac:dyDescent="0.25">
      <c r="A560">
        <v>559</v>
      </c>
      <c r="B560" s="1">
        <v>45605</v>
      </c>
      <c r="C560" t="s">
        <v>23</v>
      </c>
      <c r="D560" t="s">
        <v>20</v>
      </c>
      <c r="E560">
        <v>43</v>
      </c>
      <c r="F560">
        <v>68</v>
      </c>
      <c r="G560">
        <v>6.9</v>
      </c>
      <c r="H560" t="s">
        <v>18</v>
      </c>
      <c r="I560" t="s">
        <v>16</v>
      </c>
      <c r="J560" t="s">
        <v>11</v>
      </c>
    </row>
    <row r="561" spans="1:10" x14ac:dyDescent="0.25">
      <c r="A561">
        <v>560</v>
      </c>
      <c r="B561" s="1">
        <v>45546</v>
      </c>
      <c r="C561" t="s">
        <v>14</v>
      </c>
      <c r="D561" t="s">
        <v>17</v>
      </c>
      <c r="E561">
        <v>155</v>
      </c>
      <c r="F561">
        <v>31</v>
      </c>
      <c r="G561">
        <v>7.9</v>
      </c>
      <c r="H561" t="s">
        <v>12</v>
      </c>
      <c r="I561" t="s">
        <v>19</v>
      </c>
      <c r="J561" t="s">
        <v>11</v>
      </c>
    </row>
    <row r="562" spans="1:10" x14ac:dyDescent="0.25">
      <c r="A562">
        <v>561</v>
      </c>
      <c r="B562" s="1">
        <v>45386</v>
      </c>
      <c r="C562" t="s">
        <v>23</v>
      </c>
      <c r="D562" t="s">
        <v>15</v>
      </c>
      <c r="E562">
        <v>158</v>
      </c>
      <c r="F562">
        <v>4</v>
      </c>
      <c r="G562">
        <v>6.1</v>
      </c>
      <c r="H562" t="s">
        <v>12</v>
      </c>
      <c r="I562" t="s">
        <v>16</v>
      </c>
      <c r="J562" t="s">
        <v>15</v>
      </c>
    </row>
    <row r="563" spans="1:10" x14ac:dyDescent="0.25">
      <c r="A563">
        <v>562</v>
      </c>
      <c r="B563" s="1">
        <v>45557</v>
      </c>
      <c r="C563" t="s">
        <v>22</v>
      </c>
      <c r="D563" t="s">
        <v>20</v>
      </c>
      <c r="E563">
        <v>105</v>
      </c>
      <c r="F563">
        <v>56</v>
      </c>
      <c r="G563">
        <v>0.6</v>
      </c>
      <c r="H563" t="s">
        <v>18</v>
      </c>
      <c r="I563" t="s">
        <v>13</v>
      </c>
      <c r="J563" t="s">
        <v>11</v>
      </c>
    </row>
    <row r="564" spans="1:10" x14ac:dyDescent="0.25">
      <c r="A564">
        <v>563</v>
      </c>
      <c r="B564" s="1">
        <v>45467</v>
      </c>
      <c r="C564" t="s">
        <v>21</v>
      </c>
      <c r="D564" t="s">
        <v>15</v>
      </c>
      <c r="E564">
        <v>117</v>
      </c>
      <c r="F564">
        <v>29</v>
      </c>
      <c r="G564">
        <v>0.6</v>
      </c>
      <c r="H564" t="s">
        <v>12</v>
      </c>
      <c r="I564" t="s">
        <v>19</v>
      </c>
      <c r="J564" t="s">
        <v>11</v>
      </c>
    </row>
    <row r="565" spans="1:10" x14ac:dyDescent="0.25">
      <c r="A565">
        <v>564</v>
      </c>
      <c r="B565" s="1">
        <v>45480</v>
      </c>
      <c r="C565" t="s">
        <v>21</v>
      </c>
      <c r="D565" t="s">
        <v>17</v>
      </c>
      <c r="E565">
        <v>7</v>
      </c>
      <c r="F565">
        <v>20</v>
      </c>
      <c r="G565">
        <v>1</v>
      </c>
      <c r="H565" t="s">
        <v>12</v>
      </c>
      <c r="I565" t="s">
        <v>16</v>
      </c>
      <c r="J565" t="s">
        <v>11</v>
      </c>
    </row>
    <row r="566" spans="1:10" x14ac:dyDescent="0.25">
      <c r="A566">
        <v>565</v>
      </c>
      <c r="B566" s="1">
        <v>45646</v>
      </c>
      <c r="C566" t="s">
        <v>21</v>
      </c>
      <c r="D566" t="s">
        <v>15</v>
      </c>
      <c r="E566">
        <v>99</v>
      </c>
      <c r="F566">
        <v>33</v>
      </c>
      <c r="G566">
        <v>2.4</v>
      </c>
      <c r="H566" t="s">
        <v>12</v>
      </c>
      <c r="I566" t="s">
        <v>13</v>
      </c>
      <c r="J566" t="s">
        <v>11</v>
      </c>
    </row>
    <row r="567" spans="1:10" x14ac:dyDescent="0.25">
      <c r="A567">
        <v>566</v>
      </c>
      <c r="B567" s="1">
        <v>45299</v>
      </c>
      <c r="C567" t="s">
        <v>14</v>
      </c>
      <c r="D567" t="s">
        <v>17</v>
      </c>
      <c r="E567">
        <v>223</v>
      </c>
      <c r="F567">
        <v>40</v>
      </c>
      <c r="G567">
        <v>3.1</v>
      </c>
      <c r="H567" t="s">
        <v>18</v>
      </c>
      <c r="I567" t="s">
        <v>16</v>
      </c>
      <c r="J567" t="s">
        <v>11</v>
      </c>
    </row>
    <row r="568" spans="1:10" x14ac:dyDescent="0.25">
      <c r="A568">
        <v>567</v>
      </c>
      <c r="B568" s="1">
        <v>45476</v>
      </c>
      <c r="C568" t="s">
        <v>23</v>
      </c>
      <c r="D568" t="s">
        <v>11</v>
      </c>
      <c r="E568">
        <v>76</v>
      </c>
      <c r="F568">
        <v>48</v>
      </c>
      <c r="G568">
        <v>8.6</v>
      </c>
      <c r="H568" t="s">
        <v>12</v>
      </c>
      <c r="I568" t="s">
        <v>13</v>
      </c>
      <c r="J568" t="s">
        <v>11</v>
      </c>
    </row>
    <row r="569" spans="1:10" x14ac:dyDescent="0.25">
      <c r="A569">
        <v>568</v>
      </c>
      <c r="B569" s="1">
        <v>45410</v>
      </c>
      <c r="C569" t="s">
        <v>10</v>
      </c>
      <c r="D569" t="s">
        <v>20</v>
      </c>
      <c r="E569">
        <v>46</v>
      </c>
      <c r="F569">
        <v>52</v>
      </c>
      <c r="G569">
        <v>7.4</v>
      </c>
      <c r="H569" t="s">
        <v>12</v>
      </c>
      <c r="I569" t="s">
        <v>16</v>
      </c>
      <c r="J569" t="s">
        <v>11</v>
      </c>
    </row>
    <row r="570" spans="1:10" x14ac:dyDescent="0.25">
      <c r="A570">
        <v>569</v>
      </c>
      <c r="B570" s="1">
        <v>45642</v>
      </c>
      <c r="C570" t="s">
        <v>10</v>
      </c>
      <c r="D570" t="s">
        <v>20</v>
      </c>
      <c r="E570">
        <v>49</v>
      </c>
      <c r="F570">
        <v>8</v>
      </c>
      <c r="G570">
        <v>9.6999999999999993</v>
      </c>
      <c r="H570" t="s">
        <v>18</v>
      </c>
      <c r="I570" t="s">
        <v>13</v>
      </c>
      <c r="J570" t="s">
        <v>11</v>
      </c>
    </row>
    <row r="571" spans="1:10" x14ac:dyDescent="0.25">
      <c r="A571">
        <v>570</v>
      </c>
      <c r="B571" s="1">
        <v>45392</v>
      </c>
      <c r="C571" t="s">
        <v>10</v>
      </c>
      <c r="D571" t="s">
        <v>11</v>
      </c>
      <c r="E571">
        <v>26</v>
      </c>
      <c r="F571">
        <v>52</v>
      </c>
      <c r="G571">
        <v>5.7</v>
      </c>
      <c r="H571" t="s">
        <v>18</v>
      </c>
      <c r="I571" t="s">
        <v>16</v>
      </c>
      <c r="J571" t="s">
        <v>20</v>
      </c>
    </row>
    <row r="572" spans="1:10" x14ac:dyDescent="0.25">
      <c r="A572">
        <v>571</v>
      </c>
      <c r="B572" s="1">
        <v>45630</v>
      </c>
      <c r="C572" t="s">
        <v>22</v>
      </c>
      <c r="D572" t="s">
        <v>17</v>
      </c>
      <c r="E572">
        <v>106</v>
      </c>
      <c r="F572">
        <v>62</v>
      </c>
      <c r="G572">
        <v>7.7</v>
      </c>
      <c r="H572" t="s">
        <v>12</v>
      </c>
      <c r="I572" t="s">
        <v>19</v>
      </c>
      <c r="J572" t="s">
        <v>11</v>
      </c>
    </row>
    <row r="573" spans="1:10" x14ac:dyDescent="0.25">
      <c r="A573">
        <v>572</v>
      </c>
      <c r="B573" s="1">
        <v>45648</v>
      </c>
      <c r="C573" t="s">
        <v>21</v>
      </c>
      <c r="D573" t="s">
        <v>15</v>
      </c>
      <c r="E573">
        <v>57</v>
      </c>
      <c r="F573">
        <v>14</v>
      </c>
      <c r="G573">
        <v>7.3</v>
      </c>
      <c r="H573" t="s">
        <v>12</v>
      </c>
      <c r="I573" t="s">
        <v>16</v>
      </c>
      <c r="J573" t="s">
        <v>11</v>
      </c>
    </row>
    <row r="574" spans="1:10" x14ac:dyDescent="0.25">
      <c r="A574">
        <v>573</v>
      </c>
      <c r="B574" s="1">
        <v>45463</v>
      </c>
      <c r="C574" t="s">
        <v>22</v>
      </c>
      <c r="D574" t="s">
        <v>11</v>
      </c>
      <c r="E574">
        <v>226</v>
      </c>
      <c r="F574">
        <v>34</v>
      </c>
      <c r="G574">
        <v>1.7</v>
      </c>
      <c r="H574" t="s">
        <v>12</v>
      </c>
      <c r="I574" t="s">
        <v>13</v>
      </c>
      <c r="J574" t="s">
        <v>11</v>
      </c>
    </row>
    <row r="575" spans="1:10" x14ac:dyDescent="0.25">
      <c r="A575">
        <v>574</v>
      </c>
      <c r="B575" s="1">
        <v>45584</v>
      </c>
      <c r="C575" t="s">
        <v>23</v>
      </c>
      <c r="D575" t="s">
        <v>20</v>
      </c>
      <c r="E575">
        <v>18</v>
      </c>
      <c r="F575">
        <v>40</v>
      </c>
      <c r="G575">
        <v>3.5</v>
      </c>
      <c r="H575" t="s">
        <v>18</v>
      </c>
      <c r="I575" t="s">
        <v>19</v>
      </c>
      <c r="J575" t="s">
        <v>15</v>
      </c>
    </row>
    <row r="576" spans="1:10" x14ac:dyDescent="0.25">
      <c r="A576">
        <v>575</v>
      </c>
      <c r="B576" s="1">
        <v>45557</v>
      </c>
      <c r="C576" t="s">
        <v>10</v>
      </c>
      <c r="D576" t="s">
        <v>17</v>
      </c>
      <c r="E576">
        <v>84</v>
      </c>
      <c r="F576">
        <v>26</v>
      </c>
      <c r="G576">
        <v>0.6</v>
      </c>
      <c r="H576" t="s">
        <v>18</v>
      </c>
      <c r="I576" t="s">
        <v>16</v>
      </c>
      <c r="J576" t="s">
        <v>11</v>
      </c>
    </row>
    <row r="577" spans="1:10" x14ac:dyDescent="0.25">
      <c r="A577">
        <v>576</v>
      </c>
      <c r="B577" s="1">
        <v>45350</v>
      </c>
      <c r="C577" t="s">
        <v>10</v>
      </c>
      <c r="D577" t="s">
        <v>11</v>
      </c>
      <c r="E577">
        <v>238</v>
      </c>
      <c r="F577">
        <v>18</v>
      </c>
      <c r="G577">
        <v>9.9</v>
      </c>
      <c r="H577" t="s">
        <v>18</v>
      </c>
      <c r="I577" t="s">
        <v>19</v>
      </c>
      <c r="J577" t="s">
        <v>15</v>
      </c>
    </row>
    <row r="578" spans="1:10" x14ac:dyDescent="0.25">
      <c r="A578">
        <v>577</v>
      </c>
      <c r="B578" s="1">
        <v>45609</v>
      </c>
      <c r="C578" t="s">
        <v>22</v>
      </c>
      <c r="D578" t="s">
        <v>15</v>
      </c>
      <c r="E578">
        <v>55</v>
      </c>
      <c r="F578">
        <v>43</v>
      </c>
      <c r="G578">
        <v>8.4</v>
      </c>
      <c r="H578" t="s">
        <v>12</v>
      </c>
      <c r="I578" t="s">
        <v>19</v>
      </c>
      <c r="J578" t="s">
        <v>11</v>
      </c>
    </row>
    <row r="579" spans="1:10" x14ac:dyDescent="0.25">
      <c r="A579">
        <v>578</v>
      </c>
      <c r="B579" s="1">
        <v>45428</v>
      </c>
      <c r="C579" t="s">
        <v>21</v>
      </c>
      <c r="D579" t="s">
        <v>20</v>
      </c>
      <c r="E579">
        <v>171</v>
      </c>
      <c r="F579">
        <v>64</v>
      </c>
      <c r="G579">
        <v>2.4</v>
      </c>
      <c r="H579" t="s">
        <v>12</v>
      </c>
      <c r="I579" t="s">
        <v>16</v>
      </c>
      <c r="J579" t="s">
        <v>11</v>
      </c>
    </row>
    <row r="580" spans="1:10" x14ac:dyDescent="0.25">
      <c r="A580">
        <v>579</v>
      </c>
      <c r="B580" s="1">
        <v>45327</v>
      </c>
      <c r="C580" t="s">
        <v>14</v>
      </c>
      <c r="D580" t="s">
        <v>15</v>
      </c>
      <c r="E580">
        <v>14</v>
      </c>
      <c r="F580">
        <v>29</v>
      </c>
      <c r="G580">
        <v>3.3</v>
      </c>
      <c r="H580" t="s">
        <v>12</v>
      </c>
      <c r="I580" t="s">
        <v>19</v>
      </c>
      <c r="J580" t="s">
        <v>15</v>
      </c>
    </row>
    <row r="581" spans="1:10" x14ac:dyDescent="0.25">
      <c r="A581">
        <v>580</v>
      </c>
      <c r="B581" s="1">
        <v>45398</v>
      </c>
      <c r="C581" t="s">
        <v>23</v>
      </c>
      <c r="D581" t="s">
        <v>15</v>
      </c>
      <c r="E581">
        <v>213</v>
      </c>
      <c r="F581">
        <v>6</v>
      </c>
      <c r="G581">
        <v>1</v>
      </c>
      <c r="H581" t="s">
        <v>18</v>
      </c>
      <c r="I581" t="s">
        <v>19</v>
      </c>
      <c r="J581" t="s">
        <v>15</v>
      </c>
    </row>
    <row r="582" spans="1:10" x14ac:dyDescent="0.25">
      <c r="A582">
        <v>581</v>
      </c>
      <c r="B582" s="1">
        <v>45535</v>
      </c>
      <c r="C582" t="s">
        <v>10</v>
      </c>
      <c r="D582" t="s">
        <v>15</v>
      </c>
      <c r="E582">
        <v>126</v>
      </c>
      <c r="F582">
        <v>59</v>
      </c>
      <c r="G582">
        <v>2.6</v>
      </c>
      <c r="H582" t="s">
        <v>18</v>
      </c>
      <c r="I582" t="s">
        <v>13</v>
      </c>
      <c r="J582" t="s">
        <v>11</v>
      </c>
    </row>
    <row r="583" spans="1:10" x14ac:dyDescent="0.25">
      <c r="A583">
        <v>582</v>
      </c>
      <c r="B583" s="1">
        <v>45385</v>
      </c>
      <c r="C583" t="s">
        <v>23</v>
      </c>
      <c r="D583" t="s">
        <v>17</v>
      </c>
      <c r="E583">
        <v>98</v>
      </c>
      <c r="F583">
        <v>55</v>
      </c>
      <c r="G583">
        <v>7.4</v>
      </c>
      <c r="H583" t="s">
        <v>18</v>
      </c>
      <c r="I583" t="s">
        <v>16</v>
      </c>
      <c r="J583" t="s">
        <v>11</v>
      </c>
    </row>
    <row r="584" spans="1:10" x14ac:dyDescent="0.25">
      <c r="A584">
        <v>583</v>
      </c>
      <c r="B584" s="1">
        <v>45531</v>
      </c>
      <c r="C584" t="s">
        <v>14</v>
      </c>
      <c r="D584" t="s">
        <v>20</v>
      </c>
      <c r="E584">
        <v>171</v>
      </c>
      <c r="F584">
        <v>16</v>
      </c>
      <c r="G584">
        <v>4.9000000000000004</v>
      </c>
      <c r="H584" t="s">
        <v>12</v>
      </c>
      <c r="I584" t="s">
        <v>19</v>
      </c>
      <c r="J584" t="s">
        <v>11</v>
      </c>
    </row>
    <row r="585" spans="1:10" x14ac:dyDescent="0.25">
      <c r="A585">
        <v>584</v>
      </c>
      <c r="B585" s="1">
        <v>45373</v>
      </c>
      <c r="C585" t="s">
        <v>22</v>
      </c>
      <c r="D585" t="s">
        <v>15</v>
      </c>
      <c r="E585">
        <v>8</v>
      </c>
      <c r="F585">
        <v>50</v>
      </c>
      <c r="G585">
        <v>3.1</v>
      </c>
      <c r="H585" t="s">
        <v>12</v>
      </c>
      <c r="I585" t="s">
        <v>16</v>
      </c>
      <c r="J585" t="s">
        <v>15</v>
      </c>
    </row>
    <row r="586" spans="1:10" x14ac:dyDescent="0.25">
      <c r="A586">
        <v>585</v>
      </c>
      <c r="B586" s="1">
        <v>45563</v>
      </c>
      <c r="C586" t="s">
        <v>23</v>
      </c>
      <c r="D586" t="s">
        <v>15</v>
      </c>
      <c r="E586">
        <v>169</v>
      </c>
      <c r="F586">
        <v>32</v>
      </c>
      <c r="G586">
        <v>1.2</v>
      </c>
      <c r="H586" t="s">
        <v>12</v>
      </c>
      <c r="I586" t="s">
        <v>13</v>
      </c>
      <c r="J586" t="s">
        <v>11</v>
      </c>
    </row>
    <row r="587" spans="1:10" x14ac:dyDescent="0.25">
      <c r="A587">
        <v>586</v>
      </c>
      <c r="B587" s="1">
        <v>45589</v>
      </c>
      <c r="C587" t="s">
        <v>22</v>
      </c>
      <c r="D587" t="s">
        <v>20</v>
      </c>
      <c r="E587">
        <v>20</v>
      </c>
      <c r="F587">
        <v>10</v>
      </c>
      <c r="G587">
        <v>1.6</v>
      </c>
      <c r="H587" t="s">
        <v>18</v>
      </c>
      <c r="I587" t="s">
        <v>19</v>
      </c>
      <c r="J587" t="s">
        <v>15</v>
      </c>
    </row>
    <row r="588" spans="1:10" x14ac:dyDescent="0.25">
      <c r="A588">
        <v>587</v>
      </c>
      <c r="B588" s="1">
        <v>45490</v>
      </c>
      <c r="C588" t="s">
        <v>21</v>
      </c>
      <c r="D588" t="s">
        <v>11</v>
      </c>
      <c r="E588">
        <v>157</v>
      </c>
      <c r="F588">
        <v>48</v>
      </c>
      <c r="G588">
        <v>3.7</v>
      </c>
      <c r="H588" t="s">
        <v>18</v>
      </c>
      <c r="I588" t="s">
        <v>13</v>
      </c>
      <c r="J588" t="s">
        <v>11</v>
      </c>
    </row>
    <row r="589" spans="1:10" x14ac:dyDescent="0.25">
      <c r="A589">
        <v>588</v>
      </c>
      <c r="B589" s="1">
        <v>45319</v>
      </c>
      <c r="C589" t="s">
        <v>23</v>
      </c>
      <c r="D589" t="s">
        <v>17</v>
      </c>
      <c r="E589">
        <v>111</v>
      </c>
      <c r="F589">
        <v>24</v>
      </c>
      <c r="G589">
        <v>1.4</v>
      </c>
      <c r="H589" t="s">
        <v>18</v>
      </c>
      <c r="I589" t="s">
        <v>19</v>
      </c>
      <c r="J589" t="s">
        <v>11</v>
      </c>
    </row>
    <row r="590" spans="1:10" x14ac:dyDescent="0.25">
      <c r="A590">
        <v>589</v>
      </c>
      <c r="B590" s="1">
        <v>45422</v>
      </c>
      <c r="C590" t="s">
        <v>22</v>
      </c>
      <c r="D590" t="s">
        <v>15</v>
      </c>
      <c r="E590">
        <v>178</v>
      </c>
      <c r="F590">
        <v>54</v>
      </c>
      <c r="G590">
        <v>4.5999999999999996</v>
      </c>
      <c r="H590" t="s">
        <v>12</v>
      </c>
      <c r="I590" t="s">
        <v>19</v>
      </c>
      <c r="J590" t="s">
        <v>11</v>
      </c>
    </row>
    <row r="591" spans="1:10" x14ac:dyDescent="0.25">
      <c r="A591">
        <v>590</v>
      </c>
      <c r="B591" s="1">
        <v>45493</v>
      </c>
      <c r="C591" t="s">
        <v>23</v>
      </c>
      <c r="D591" t="s">
        <v>11</v>
      </c>
      <c r="E591">
        <v>82</v>
      </c>
      <c r="F591">
        <v>62</v>
      </c>
      <c r="G591">
        <v>5.8</v>
      </c>
      <c r="H591" t="s">
        <v>12</v>
      </c>
      <c r="I591" t="s">
        <v>19</v>
      </c>
      <c r="J591" t="s">
        <v>11</v>
      </c>
    </row>
    <row r="592" spans="1:10" x14ac:dyDescent="0.25">
      <c r="A592">
        <v>591</v>
      </c>
      <c r="B592" s="1">
        <v>45551</v>
      </c>
      <c r="C592" t="s">
        <v>14</v>
      </c>
      <c r="D592" t="s">
        <v>20</v>
      </c>
      <c r="E592">
        <v>189</v>
      </c>
      <c r="F592">
        <v>40</v>
      </c>
      <c r="G592">
        <v>8.5</v>
      </c>
      <c r="H592" t="s">
        <v>12</v>
      </c>
      <c r="I592" t="s">
        <v>13</v>
      </c>
      <c r="J592" t="s">
        <v>11</v>
      </c>
    </row>
    <row r="593" spans="1:10" x14ac:dyDescent="0.25">
      <c r="A593">
        <v>592</v>
      </c>
      <c r="B593" s="1">
        <v>45586</v>
      </c>
      <c r="C593" t="s">
        <v>10</v>
      </c>
      <c r="D593" t="s">
        <v>17</v>
      </c>
      <c r="E593">
        <v>37</v>
      </c>
      <c r="F593">
        <v>65</v>
      </c>
      <c r="G593">
        <v>5.8</v>
      </c>
      <c r="H593" t="s">
        <v>12</v>
      </c>
      <c r="I593" t="s">
        <v>13</v>
      </c>
      <c r="J593" t="s">
        <v>11</v>
      </c>
    </row>
    <row r="594" spans="1:10" x14ac:dyDescent="0.25">
      <c r="A594">
        <v>593</v>
      </c>
      <c r="B594" s="1">
        <v>45468</v>
      </c>
      <c r="C594" t="s">
        <v>21</v>
      </c>
      <c r="D594" t="s">
        <v>15</v>
      </c>
      <c r="E594">
        <v>100</v>
      </c>
      <c r="F594">
        <v>61</v>
      </c>
      <c r="G594">
        <v>5.2</v>
      </c>
      <c r="H594" t="s">
        <v>12</v>
      </c>
      <c r="I594" t="s">
        <v>19</v>
      </c>
      <c r="J594" t="s">
        <v>11</v>
      </c>
    </row>
    <row r="595" spans="1:10" x14ac:dyDescent="0.25">
      <c r="A595">
        <v>594</v>
      </c>
      <c r="B595" s="1">
        <v>45472</v>
      </c>
      <c r="C595" t="s">
        <v>22</v>
      </c>
      <c r="D595" t="s">
        <v>17</v>
      </c>
      <c r="E595">
        <v>62</v>
      </c>
      <c r="F595">
        <v>60</v>
      </c>
      <c r="G595">
        <v>2.5</v>
      </c>
      <c r="H595" t="s">
        <v>18</v>
      </c>
      <c r="I595" t="s">
        <v>13</v>
      </c>
      <c r="J595" t="s">
        <v>11</v>
      </c>
    </row>
    <row r="596" spans="1:10" x14ac:dyDescent="0.25">
      <c r="A596">
        <v>595</v>
      </c>
      <c r="B596" s="1">
        <v>45477</v>
      </c>
      <c r="C596" t="s">
        <v>10</v>
      </c>
      <c r="D596" t="s">
        <v>11</v>
      </c>
      <c r="E596">
        <v>192</v>
      </c>
      <c r="F596">
        <v>34</v>
      </c>
      <c r="G596">
        <v>2.8</v>
      </c>
      <c r="H596" t="s">
        <v>18</v>
      </c>
      <c r="I596" t="s">
        <v>19</v>
      </c>
      <c r="J596" t="s">
        <v>11</v>
      </c>
    </row>
    <row r="597" spans="1:10" x14ac:dyDescent="0.25">
      <c r="A597">
        <v>596</v>
      </c>
      <c r="B597" s="1">
        <v>45404</v>
      </c>
      <c r="C597" t="s">
        <v>10</v>
      </c>
      <c r="D597" t="s">
        <v>11</v>
      </c>
      <c r="E597">
        <v>214</v>
      </c>
      <c r="F597">
        <v>28</v>
      </c>
      <c r="G597">
        <v>1.2</v>
      </c>
      <c r="H597" t="s">
        <v>12</v>
      </c>
      <c r="I597" t="s">
        <v>19</v>
      </c>
      <c r="J597" t="s">
        <v>11</v>
      </c>
    </row>
    <row r="598" spans="1:10" x14ac:dyDescent="0.25">
      <c r="A598">
        <v>597</v>
      </c>
      <c r="B598" s="1">
        <v>45631</v>
      </c>
      <c r="C598" t="s">
        <v>21</v>
      </c>
      <c r="D598" t="s">
        <v>11</v>
      </c>
      <c r="E598">
        <v>161</v>
      </c>
      <c r="F598">
        <v>49</v>
      </c>
      <c r="G598">
        <v>6.5</v>
      </c>
      <c r="H598" t="s">
        <v>12</v>
      </c>
      <c r="I598" t="s">
        <v>13</v>
      </c>
      <c r="J598" t="s">
        <v>11</v>
      </c>
    </row>
    <row r="599" spans="1:10" x14ac:dyDescent="0.25">
      <c r="A599">
        <v>598</v>
      </c>
      <c r="B599" s="1">
        <v>45530</v>
      </c>
      <c r="C599" t="s">
        <v>10</v>
      </c>
      <c r="D599" t="s">
        <v>17</v>
      </c>
      <c r="E599">
        <v>206</v>
      </c>
      <c r="F599">
        <v>20</v>
      </c>
      <c r="G599">
        <v>3.1</v>
      </c>
      <c r="H599" t="s">
        <v>18</v>
      </c>
      <c r="I599" t="s">
        <v>19</v>
      </c>
      <c r="J599" t="s">
        <v>11</v>
      </c>
    </row>
    <row r="600" spans="1:10" x14ac:dyDescent="0.25">
      <c r="A600">
        <v>599</v>
      </c>
      <c r="B600" s="1">
        <v>45354</v>
      </c>
      <c r="C600" t="s">
        <v>23</v>
      </c>
      <c r="D600" t="s">
        <v>17</v>
      </c>
      <c r="E600">
        <v>188</v>
      </c>
      <c r="F600">
        <v>26</v>
      </c>
      <c r="G600">
        <v>6.5</v>
      </c>
      <c r="H600" t="s">
        <v>12</v>
      </c>
      <c r="I600" t="s">
        <v>13</v>
      </c>
      <c r="J600" t="s">
        <v>11</v>
      </c>
    </row>
    <row r="601" spans="1:10" x14ac:dyDescent="0.25">
      <c r="A601">
        <v>600</v>
      </c>
      <c r="B601" s="1">
        <v>45338</v>
      </c>
      <c r="C601" t="s">
        <v>10</v>
      </c>
      <c r="D601" t="s">
        <v>20</v>
      </c>
      <c r="E601">
        <v>35</v>
      </c>
      <c r="F601">
        <v>5</v>
      </c>
      <c r="G601">
        <v>2.2000000000000002</v>
      </c>
      <c r="H601" t="s">
        <v>12</v>
      </c>
      <c r="I601" t="s">
        <v>13</v>
      </c>
      <c r="J601" t="s">
        <v>11</v>
      </c>
    </row>
    <row r="602" spans="1:10" x14ac:dyDescent="0.25">
      <c r="A602">
        <v>601</v>
      </c>
      <c r="B602" s="1">
        <v>45618</v>
      </c>
      <c r="C602" t="s">
        <v>14</v>
      </c>
      <c r="D602" t="s">
        <v>20</v>
      </c>
      <c r="E602">
        <v>146</v>
      </c>
      <c r="F602">
        <v>17</v>
      </c>
      <c r="G602">
        <v>5.8</v>
      </c>
      <c r="H602" t="s">
        <v>12</v>
      </c>
      <c r="I602" t="s">
        <v>19</v>
      </c>
      <c r="J602" t="s">
        <v>11</v>
      </c>
    </row>
    <row r="603" spans="1:10" x14ac:dyDescent="0.25">
      <c r="A603">
        <v>602</v>
      </c>
      <c r="B603" s="1">
        <v>45332</v>
      </c>
      <c r="C603" t="s">
        <v>14</v>
      </c>
      <c r="D603" t="s">
        <v>11</v>
      </c>
      <c r="E603">
        <v>80</v>
      </c>
      <c r="F603">
        <v>6</v>
      </c>
      <c r="G603">
        <v>1.3</v>
      </c>
      <c r="H603" t="s">
        <v>18</v>
      </c>
      <c r="I603" t="s">
        <v>19</v>
      </c>
      <c r="J603" t="s">
        <v>15</v>
      </c>
    </row>
    <row r="604" spans="1:10" x14ac:dyDescent="0.25">
      <c r="A604">
        <v>603</v>
      </c>
      <c r="B604" s="1">
        <v>45572</v>
      </c>
      <c r="C604" t="s">
        <v>23</v>
      </c>
      <c r="D604" t="s">
        <v>17</v>
      </c>
      <c r="E604">
        <v>200</v>
      </c>
      <c r="F604">
        <v>31</v>
      </c>
      <c r="G604">
        <v>4</v>
      </c>
      <c r="H604" t="s">
        <v>12</v>
      </c>
      <c r="I604" t="s">
        <v>19</v>
      </c>
      <c r="J604" t="s">
        <v>11</v>
      </c>
    </row>
    <row r="605" spans="1:10" x14ac:dyDescent="0.25">
      <c r="A605">
        <v>604</v>
      </c>
      <c r="B605" s="1">
        <v>45391</v>
      </c>
      <c r="C605" t="s">
        <v>14</v>
      </c>
      <c r="D605" t="s">
        <v>15</v>
      </c>
      <c r="E605">
        <v>196</v>
      </c>
      <c r="F605">
        <v>19</v>
      </c>
      <c r="G605">
        <v>9.4</v>
      </c>
      <c r="H605" t="s">
        <v>18</v>
      </c>
      <c r="I605" t="s">
        <v>19</v>
      </c>
      <c r="J605" t="s">
        <v>15</v>
      </c>
    </row>
    <row r="606" spans="1:10" x14ac:dyDescent="0.25">
      <c r="A606">
        <v>605</v>
      </c>
      <c r="B606" s="1">
        <v>45653</v>
      </c>
      <c r="C606" t="s">
        <v>22</v>
      </c>
      <c r="D606" t="s">
        <v>15</v>
      </c>
      <c r="E606">
        <v>228</v>
      </c>
      <c r="F606">
        <v>25</v>
      </c>
      <c r="G606">
        <v>9.9</v>
      </c>
      <c r="H606" t="s">
        <v>18</v>
      </c>
      <c r="I606" t="s">
        <v>19</v>
      </c>
      <c r="J606" t="s">
        <v>15</v>
      </c>
    </row>
    <row r="607" spans="1:10" x14ac:dyDescent="0.25">
      <c r="A607">
        <v>606</v>
      </c>
      <c r="B607" s="1">
        <v>45489</v>
      </c>
      <c r="C607" t="s">
        <v>23</v>
      </c>
      <c r="D607" t="s">
        <v>17</v>
      </c>
      <c r="E607">
        <v>89</v>
      </c>
      <c r="F607">
        <v>7</v>
      </c>
      <c r="G607">
        <v>5</v>
      </c>
      <c r="H607" t="s">
        <v>12</v>
      </c>
      <c r="I607" t="s">
        <v>16</v>
      </c>
      <c r="J607" t="s">
        <v>11</v>
      </c>
    </row>
    <row r="608" spans="1:10" x14ac:dyDescent="0.25">
      <c r="A608">
        <v>607</v>
      </c>
      <c r="B608" s="1">
        <v>45453</v>
      </c>
      <c r="C608" t="s">
        <v>14</v>
      </c>
      <c r="D608" t="s">
        <v>15</v>
      </c>
      <c r="E608">
        <v>38</v>
      </c>
      <c r="F608">
        <v>72</v>
      </c>
      <c r="G608">
        <v>9.1999999999999993</v>
      </c>
      <c r="H608" t="s">
        <v>18</v>
      </c>
      <c r="I608" t="s">
        <v>19</v>
      </c>
      <c r="J608" t="s">
        <v>15</v>
      </c>
    </row>
    <row r="609" spans="1:10" x14ac:dyDescent="0.25">
      <c r="A609">
        <v>608</v>
      </c>
      <c r="B609" s="1">
        <v>45335</v>
      </c>
      <c r="C609" t="s">
        <v>23</v>
      </c>
      <c r="D609" t="s">
        <v>11</v>
      </c>
      <c r="E609">
        <v>164</v>
      </c>
      <c r="F609">
        <v>60</v>
      </c>
      <c r="G609">
        <v>5.0999999999999996</v>
      </c>
      <c r="H609" t="s">
        <v>18</v>
      </c>
      <c r="I609" t="s">
        <v>16</v>
      </c>
      <c r="J609" t="s">
        <v>15</v>
      </c>
    </row>
    <row r="610" spans="1:10" x14ac:dyDescent="0.25">
      <c r="A610">
        <v>609</v>
      </c>
      <c r="B610" s="1">
        <v>45590</v>
      </c>
      <c r="C610" t="s">
        <v>10</v>
      </c>
      <c r="D610" t="s">
        <v>11</v>
      </c>
      <c r="E610">
        <v>76</v>
      </c>
      <c r="F610">
        <v>54</v>
      </c>
      <c r="G610">
        <v>5.4</v>
      </c>
      <c r="H610" t="s">
        <v>12</v>
      </c>
      <c r="I610" t="s">
        <v>19</v>
      </c>
      <c r="J610" t="s">
        <v>11</v>
      </c>
    </row>
    <row r="611" spans="1:10" x14ac:dyDescent="0.25">
      <c r="A611">
        <v>610</v>
      </c>
      <c r="B611" s="1">
        <v>45651</v>
      </c>
      <c r="C611" t="s">
        <v>21</v>
      </c>
      <c r="D611" t="s">
        <v>11</v>
      </c>
      <c r="E611">
        <v>82</v>
      </c>
      <c r="F611">
        <v>39</v>
      </c>
      <c r="G611">
        <v>3.6</v>
      </c>
      <c r="H611" t="s">
        <v>12</v>
      </c>
      <c r="I611" t="s">
        <v>13</v>
      </c>
      <c r="J611" t="s">
        <v>11</v>
      </c>
    </row>
    <row r="612" spans="1:10" x14ac:dyDescent="0.25">
      <c r="A612">
        <v>611</v>
      </c>
      <c r="B612" s="1">
        <v>45572</v>
      </c>
      <c r="C612" t="s">
        <v>21</v>
      </c>
      <c r="D612" t="s">
        <v>15</v>
      </c>
      <c r="E612">
        <v>129</v>
      </c>
      <c r="F612">
        <v>1</v>
      </c>
      <c r="G612">
        <v>3.4</v>
      </c>
      <c r="H612" t="s">
        <v>18</v>
      </c>
      <c r="I612" t="s">
        <v>16</v>
      </c>
      <c r="J612" t="s">
        <v>15</v>
      </c>
    </row>
    <row r="613" spans="1:10" x14ac:dyDescent="0.25">
      <c r="A613">
        <v>612</v>
      </c>
      <c r="B613" s="1">
        <v>45584</v>
      </c>
      <c r="C613" t="s">
        <v>21</v>
      </c>
      <c r="D613" t="s">
        <v>20</v>
      </c>
      <c r="E613">
        <v>211</v>
      </c>
      <c r="F613">
        <v>7</v>
      </c>
      <c r="G613">
        <v>9.4</v>
      </c>
      <c r="H613" t="s">
        <v>18</v>
      </c>
      <c r="I613" t="s">
        <v>19</v>
      </c>
      <c r="J613" t="s">
        <v>11</v>
      </c>
    </row>
    <row r="614" spans="1:10" x14ac:dyDescent="0.25">
      <c r="A614">
        <v>613</v>
      </c>
      <c r="B614" s="1">
        <v>45420</v>
      </c>
      <c r="C614" t="s">
        <v>23</v>
      </c>
      <c r="D614" t="s">
        <v>20</v>
      </c>
      <c r="E614">
        <v>163</v>
      </c>
      <c r="F614">
        <v>24</v>
      </c>
      <c r="G614">
        <v>1.2</v>
      </c>
      <c r="H614" t="s">
        <v>12</v>
      </c>
      <c r="I614" t="s">
        <v>19</v>
      </c>
      <c r="J614" t="s">
        <v>11</v>
      </c>
    </row>
    <row r="615" spans="1:10" x14ac:dyDescent="0.25">
      <c r="A615">
        <v>614</v>
      </c>
      <c r="B615" s="1">
        <v>45574</v>
      </c>
      <c r="C615" t="s">
        <v>10</v>
      </c>
      <c r="D615" t="s">
        <v>20</v>
      </c>
      <c r="E615">
        <v>200</v>
      </c>
      <c r="F615">
        <v>66</v>
      </c>
      <c r="G615">
        <v>10</v>
      </c>
      <c r="H615" t="s">
        <v>18</v>
      </c>
      <c r="I615" t="s">
        <v>19</v>
      </c>
      <c r="J615" t="s">
        <v>11</v>
      </c>
    </row>
    <row r="616" spans="1:10" x14ac:dyDescent="0.25">
      <c r="A616">
        <v>615</v>
      </c>
      <c r="B616" s="1">
        <v>45561</v>
      </c>
      <c r="C616" t="s">
        <v>22</v>
      </c>
      <c r="D616" t="s">
        <v>11</v>
      </c>
      <c r="E616">
        <v>70</v>
      </c>
      <c r="F616">
        <v>46</v>
      </c>
      <c r="G616">
        <v>8.6</v>
      </c>
      <c r="H616" t="s">
        <v>18</v>
      </c>
      <c r="I616" t="s">
        <v>16</v>
      </c>
      <c r="J616" t="s">
        <v>15</v>
      </c>
    </row>
    <row r="617" spans="1:10" x14ac:dyDescent="0.25">
      <c r="A617">
        <v>616</v>
      </c>
      <c r="B617" s="1">
        <v>45332</v>
      </c>
      <c r="C617" t="s">
        <v>23</v>
      </c>
      <c r="D617" t="s">
        <v>15</v>
      </c>
      <c r="E617">
        <v>121</v>
      </c>
      <c r="F617">
        <v>37</v>
      </c>
      <c r="G617">
        <v>3.4</v>
      </c>
      <c r="H617" t="s">
        <v>12</v>
      </c>
      <c r="I617" t="s">
        <v>16</v>
      </c>
      <c r="J617" t="s">
        <v>11</v>
      </c>
    </row>
    <row r="618" spans="1:10" x14ac:dyDescent="0.25">
      <c r="A618">
        <v>617</v>
      </c>
      <c r="B618" s="1">
        <v>45536</v>
      </c>
      <c r="C618" t="s">
        <v>14</v>
      </c>
      <c r="D618" t="s">
        <v>17</v>
      </c>
      <c r="E618">
        <v>98</v>
      </c>
      <c r="F618">
        <v>24</v>
      </c>
      <c r="G618">
        <v>8.6999999999999993</v>
      </c>
      <c r="H618" t="s">
        <v>12</v>
      </c>
      <c r="I618" t="s">
        <v>13</v>
      </c>
      <c r="J618" t="s">
        <v>11</v>
      </c>
    </row>
    <row r="619" spans="1:10" x14ac:dyDescent="0.25">
      <c r="A619">
        <v>618</v>
      </c>
      <c r="B619" s="1">
        <v>45337</v>
      </c>
      <c r="C619" t="s">
        <v>14</v>
      </c>
      <c r="D619" t="s">
        <v>11</v>
      </c>
      <c r="E619">
        <v>56</v>
      </c>
      <c r="F619">
        <v>70</v>
      </c>
      <c r="G619">
        <v>5.7</v>
      </c>
      <c r="H619" t="s">
        <v>18</v>
      </c>
      <c r="I619" t="s">
        <v>19</v>
      </c>
      <c r="J619" t="s">
        <v>15</v>
      </c>
    </row>
    <row r="620" spans="1:10" x14ac:dyDescent="0.25">
      <c r="A620">
        <v>619</v>
      </c>
      <c r="B620" s="1">
        <v>45468</v>
      </c>
      <c r="C620" t="s">
        <v>22</v>
      </c>
      <c r="D620" t="s">
        <v>11</v>
      </c>
      <c r="E620">
        <v>98</v>
      </c>
      <c r="F620">
        <v>65</v>
      </c>
      <c r="G620">
        <v>2.6</v>
      </c>
      <c r="H620" t="s">
        <v>18</v>
      </c>
      <c r="I620" t="s">
        <v>16</v>
      </c>
      <c r="J620" t="s">
        <v>11</v>
      </c>
    </row>
    <row r="621" spans="1:10" x14ac:dyDescent="0.25">
      <c r="A621">
        <v>620</v>
      </c>
      <c r="B621" s="1">
        <v>45588</v>
      </c>
      <c r="C621" t="s">
        <v>23</v>
      </c>
      <c r="D621" t="s">
        <v>15</v>
      </c>
      <c r="E621">
        <v>205</v>
      </c>
      <c r="F621">
        <v>16</v>
      </c>
      <c r="G621">
        <v>4.4000000000000004</v>
      </c>
      <c r="H621" t="s">
        <v>18</v>
      </c>
      <c r="I621" t="s">
        <v>16</v>
      </c>
      <c r="J621" t="s">
        <v>11</v>
      </c>
    </row>
    <row r="622" spans="1:10" x14ac:dyDescent="0.25">
      <c r="A622">
        <v>621</v>
      </c>
      <c r="B622" s="1">
        <v>45647</v>
      </c>
      <c r="C622" t="s">
        <v>22</v>
      </c>
      <c r="D622" t="s">
        <v>20</v>
      </c>
      <c r="E622">
        <v>24</v>
      </c>
      <c r="F622">
        <v>14</v>
      </c>
      <c r="G622">
        <v>5.9</v>
      </c>
      <c r="H622" t="s">
        <v>12</v>
      </c>
      <c r="I622" t="s">
        <v>13</v>
      </c>
      <c r="J622" t="s">
        <v>15</v>
      </c>
    </row>
    <row r="623" spans="1:10" x14ac:dyDescent="0.25">
      <c r="A623">
        <v>622</v>
      </c>
      <c r="B623" s="1">
        <v>45311</v>
      </c>
      <c r="C623" t="s">
        <v>22</v>
      </c>
      <c r="D623" t="s">
        <v>11</v>
      </c>
      <c r="E623">
        <v>220</v>
      </c>
      <c r="F623">
        <v>49</v>
      </c>
      <c r="G623">
        <v>3.9</v>
      </c>
      <c r="H623" t="s">
        <v>18</v>
      </c>
      <c r="I623" t="s">
        <v>19</v>
      </c>
      <c r="J623" t="s">
        <v>11</v>
      </c>
    </row>
    <row r="624" spans="1:10" x14ac:dyDescent="0.25">
      <c r="A624">
        <v>623</v>
      </c>
      <c r="B624" s="1">
        <v>45567</v>
      </c>
      <c r="C624" t="s">
        <v>22</v>
      </c>
      <c r="D624" t="s">
        <v>11</v>
      </c>
      <c r="E624">
        <v>134</v>
      </c>
      <c r="F624">
        <v>39</v>
      </c>
      <c r="G624">
        <v>1.2</v>
      </c>
      <c r="H624" t="s">
        <v>18</v>
      </c>
      <c r="I624" t="s">
        <v>13</v>
      </c>
      <c r="J624" t="s">
        <v>11</v>
      </c>
    </row>
    <row r="625" spans="1:10" x14ac:dyDescent="0.25">
      <c r="A625">
        <v>624</v>
      </c>
      <c r="B625" s="1">
        <v>45294</v>
      </c>
      <c r="C625" t="s">
        <v>10</v>
      </c>
      <c r="D625" t="s">
        <v>20</v>
      </c>
      <c r="E625">
        <v>92</v>
      </c>
      <c r="F625">
        <v>5</v>
      </c>
      <c r="G625">
        <v>6.4</v>
      </c>
      <c r="H625" t="s">
        <v>12</v>
      </c>
      <c r="I625" t="s">
        <v>16</v>
      </c>
      <c r="J625" t="s">
        <v>15</v>
      </c>
    </row>
    <row r="626" spans="1:10" x14ac:dyDescent="0.25">
      <c r="A626">
        <v>625</v>
      </c>
      <c r="B626" s="1">
        <v>45354</v>
      </c>
      <c r="C626" t="s">
        <v>14</v>
      </c>
      <c r="D626" t="s">
        <v>20</v>
      </c>
      <c r="E626">
        <v>74</v>
      </c>
      <c r="F626">
        <v>35</v>
      </c>
      <c r="G626">
        <v>2.6</v>
      </c>
      <c r="H626" t="s">
        <v>18</v>
      </c>
      <c r="I626" t="s">
        <v>16</v>
      </c>
      <c r="J626" t="s">
        <v>11</v>
      </c>
    </row>
    <row r="627" spans="1:10" x14ac:dyDescent="0.25">
      <c r="A627">
        <v>626</v>
      </c>
      <c r="B627" s="1">
        <v>45657</v>
      </c>
      <c r="C627" t="s">
        <v>21</v>
      </c>
      <c r="D627" t="s">
        <v>11</v>
      </c>
      <c r="E627">
        <v>190</v>
      </c>
      <c r="F627">
        <v>69</v>
      </c>
      <c r="G627">
        <v>4.5999999999999996</v>
      </c>
      <c r="H627" t="s">
        <v>18</v>
      </c>
      <c r="I627" t="s">
        <v>16</v>
      </c>
      <c r="J627" t="s">
        <v>11</v>
      </c>
    </row>
    <row r="628" spans="1:10" x14ac:dyDescent="0.25">
      <c r="A628">
        <v>627</v>
      </c>
      <c r="B628" s="1">
        <v>45601</v>
      </c>
      <c r="C628" t="s">
        <v>23</v>
      </c>
      <c r="D628" t="s">
        <v>15</v>
      </c>
      <c r="E628">
        <v>225</v>
      </c>
      <c r="F628">
        <v>21</v>
      </c>
      <c r="G628">
        <v>3</v>
      </c>
      <c r="H628" t="s">
        <v>12</v>
      </c>
      <c r="I628" t="s">
        <v>19</v>
      </c>
      <c r="J628" t="s">
        <v>11</v>
      </c>
    </row>
    <row r="629" spans="1:10" x14ac:dyDescent="0.25">
      <c r="A629">
        <v>628</v>
      </c>
      <c r="B629" s="1">
        <v>45305</v>
      </c>
      <c r="C629" t="s">
        <v>23</v>
      </c>
      <c r="D629" t="s">
        <v>20</v>
      </c>
      <c r="E629">
        <v>131</v>
      </c>
      <c r="F629">
        <v>7</v>
      </c>
      <c r="G629">
        <v>7.7</v>
      </c>
      <c r="H629" t="s">
        <v>18</v>
      </c>
      <c r="I629" t="s">
        <v>13</v>
      </c>
      <c r="J629" t="s">
        <v>11</v>
      </c>
    </row>
    <row r="630" spans="1:10" x14ac:dyDescent="0.25">
      <c r="A630">
        <v>629</v>
      </c>
      <c r="B630" s="1">
        <v>45368</v>
      </c>
      <c r="C630" t="s">
        <v>14</v>
      </c>
      <c r="D630" t="s">
        <v>17</v>
      </c>
      <c r="E630">
        <v>121</v>
      </c>
      <c r="F630">
        <v>33</v>
      </c>
      <c r="G630">
        <v>4.3</v>
      </c>
      <c r="H630" t="s">
        <v>18</v>
      </c>
      <c r="I630" t="s">
        <v>16</v>
      </c>
      <c r="J630" t="s">
        <v>11</v>
      </c>
    </row>
    <row r="631" spans="1:10" x14ac:dyDescent="0.25">
      <c r="A631">
        <v>630</v>
      </c>
      <c r="B631" s="1">
        <v>45374</v>
      </c>
      <c r="C631" t="s">
        <v>22</v>
      </c>
      <c r="D631" t="s">
        <v>20</v>
      </c>
      <c r="E631">
        <v>222</v>
      </c>
      <c r="F631">
        <v>5</v>
      </c>
      <c r="G631">
        <v>9.3000000000000007</v>
      </c>
      <c r="H631" t="s">
        <v>18</v>
      </c>
      <c r="I631" t="s">
        <v>16</v>
      </c>
      <c r="J631" t="s">
        <v>15</v>
      </c>
    </row>
    <row r="632" spans="1:10" x14ac:dyDescent="0.25">
      <c r="A632">
        <v>631</v>
      </c>
      <c r="B632" s="1">
        <v>45446</v>
      </c>
      <c r="C632" t="s">
        <v>21</v>
      </c>
      <c r="D632" t="s">
        <v>17</v>
      </c>
      <c r="E632">
        <v>65</v>
      </c>
      <c r="F632">
        <v>45</v>
      </c>
      <c r="G632">
        <v>1.5</v>
      </c>
      <c r="H632" t="s">
        <v>18</v>
      </c>
      <c r="I632" t="s">
        <v>16</v>
      </c>
      <c r="J632" t="s">
        <v>11</v>
      </c>
    </row>
    <row r="633" spans="1:10" x14ac:dyDescent="0.25">
      <c r="A633">
        <v>632</v>
      </c>
      <c r="B633" s="1">
        <v>45378</v>
      </c>
      <c r="C633" t="s">
        <v>10</v>
      </c>
      <c r="D633" t="s">
        <v>15</v>
      </c>
      <c r="E633">
        <v>154</v>
      </c>
      <c r="F633">
        <v>7</v>
      </c>
      <c r="G633">
        <v>1.8</v>
      </c>
      <c r="H633" t="s">
        <v>12</v>
      </c>
      <c r="I633" t="s">
        <v>19</v>
      </c>
      <c r="J633" t="s">
        <v>11</v>
      </c>
    </row>
    <row r="634" spans="1:10" x14ac:dyDescent="0.25">
      <c r="A634">
        <v>633</v>
      </c>
      <c r="B634" s="1">
        <v>45583</v>
      </c>
      <c r="C634" t="s">
        <v>22</v>
      </c>
      <c r="D634" t="s">
        <v>11</v>
      </c>
      <c r="E634">
        <v>218</v>
      </c>
      <c r="F634">
        <v>56</v>
      </c>
      <c r="G634">
        <v>2.1</v>
      </c>
      <c r="H634" t="s">
        <v>18</v>
      </c>
      <c r="I634" t="s">
        <v>19</v>
      </c>
      <c r="J634" t="s">
        <v>11</v>
      </c>
    </row>
    <row r="635" spans="1:10" x14ac:dyDescent="0.25">
      <c r="A635">
        <v>634</v>
      </c>
      <c r="B635" s="1">
        <v>45320</v>
      </c>
      <c r="C635" t="s">
        <v>21</v>
      </c>
      <c r="D635" t="s">
        <v>11</v>
      </c>
      <c r="E635">
        <v>134</v>
      </c>
      <c r="F635">
        <v>42</v>
      </c>
      <c r="G635">
        <v>2.8</v>
      </c>
      <c r="H635" t="s">
        <v>18</v>
      </c>
      <c r="I635" t="s">
        <v>13</v>
      </c>
      <c r="J635" t="s">
        <v>11</v>
      </c>
    </row>
    <row r="636" spans="1:10" x14ac:dyDescent="0.25">
      <c r="A636">
        <v>635</v>
      </c>
      <c r="B636" s="1">
        <v>45425</v>
      </c>
      <c r="C636" t="s">
        <v>22</v>
      </c>
      <c r="D636" t="s">
        <v>17</v>
      </c>
      <c r="E636">
        <v>17</v>
      </c>
      <c r="F636">
        <v>55</v>
      </c>
      <c r="G636">
        <v>8.6999999999999993</v>
      </c>
      <c r="H636" t="s">
        <v>12</v>
      </c>
      <c r="I636" t="s">
        <v>16</v>
      </c>
      <c r="J636" t="s">
        <v>15</v>
      </c>
    </row>
    <row r="637" spans="1:10" x14ac:dyDescent="0.25">
      <c r="A637">
        <v>636</v>
      </c>
      <c r="B637" s="1">
        <v>45611</v>
      </c>
      <c r="C637" t="s">
        <v>21</v>
      </c>
      <c r="D637" t="s">
        <v>11</v>
      </c>
      <c r="E637">
        <v>104</v>
      </c>
      <c r="F637">
        <v>40</v>
      </c>
      <c r="G637">
        <v>8</v>
      </c>
      <c r="H637" t="s">
        <v>18</v>
      </c>
      <c r="I637" t="s">
        <v>16</v>
      </c>
      <c r="J637" t="s">
        <v>15</v>
      </c>
    </row>
    <row r="638" spans="1:10" x14ac:dyDescent="0.25">
      <c r="A638">
        <v>637</v>
      </c>
      <c r="B638" s="1">
        <v>45353</v>
      </c>
      <c r="C638" t="s">
        <v>23</v>
      </c>
      <c r="D638" t="s">
        <v>20</v>
      </c>
      <c r="E638">
        <v>70</v>
      </c>
      <c r="F638">
        <v>38</v>
      </c>
      <c r="G638">
        <v>3.8</v>
      </c>
      <c r="H638" t="s">
        <v>12</v>
      </c>
      <c r="I638" t="s">
        <v>19</v>
      </c>
      <c r="J638" t="s">
        <v>11</v>
      </c>
    </row>
    <row r="639" spans="1:10" x14ac:dyDescent="0.25">
      <c r="A639">
        <v>638</v>
      </c>
      <c r="B639" s="1">
        <v>45379</v>
      </c>
      <c r="C639" t="s">
        <v>22</v>
      </c>
      <c r="D639" t="s">
        <v>15</v>
      </c>
      <c r="E639">
        <v>102</v>
      </c>
      <c r="F639">
        <v>58</v>
      </c>
      <c r="G639">
        <v>3.1</v>
      </c>
      <c r="H639" t="s">
        <v>12</v>
      </c>
      <c r="I639" t="s">
        <v>19</v>
      </c>
      <c r="J639" t="s">
        <v>11</v>
      </c>
    </row>
    <row r="640" spans="1:10" x14ac:dyDescent="0.25">
      <c r="A640">
        <v>639</v>
      </c>
      <c r="B640" s="1">
        <v>45634</v>
      </c>
      <c r="C640" t="s">
        <v>14</v>
      </c>
      <c r="D640" t="s">
        <v>15</v>
      </c>
      <c r="E640">
        <v>94</v>
      </c>
      <c r="F640">
        <v>16</v>
      </c>
      <c r="G640">
        <v>7.5</v>
      </c>
      <c r="H640" t="s">
        <v>12</v>
      </c>
      <c r="I640" t="s">
        <v>13</v>
      </c>
      <c r="J640" t="s">
        <v>11</v>
      </c>
    </row>
    <row r="641" spans="1:10" x14ac:dyDescent="0.25">
      <c r="A641">
        <v>640</v>
      </c>
      <c r="B641" s="1">
        <v>45352</v>
      </c>
      <c r="C641" t="s">
        <v>22</v>
      </c>
      <c r="D641" t="s">
        <v>20</v>
      </c>
      <c r="E641">
        <v>111</v>
      </c>
      <c r="F641">
        <v>26</v>
      </c>
      <c r="G641">
        <v>9.6999999999999993</v>
      </c>
      <c r="H641" t="s">
        <v>18</v>
      </c>
      <c r="I641" t="s">
        <v>13</v>
      </c>
      <c r="J641" t="s">
        <v>11</v>
      </c>
    </row>
    <row r="642" spans="1:10" x14ac:dyDescent="0.25">
      <c r="A642">
        <v>641</v>
      </c>
      <c r="B642" s="1">
        <v>45591</v>
      </c>
      <c r="C642" t="s">
        <v>10</v>
      </c>
      <c r="D642" t="s">
        <v>20</v>
      </c>
      <c r="E642">
        <v>28</v>
      </c>
      <c r="F642">
        <v>46</v>
      </c>
      <c r="G642">
        <v>8.9</v>
      </c>
      <c r="H642" t="s">
        <v>12</v>
      </c>
      <c r="I642" t="s">
        <v>16</v>
      </c>
      <c r="J642" t="s">
        <v>15</v>
      </c>
    </row>
    <row r="643" spans="1:10" x14ac:dyDescent="0.25">
      <c r="A643">
        <v>642</v>
      </c>
      <c r="B643" s="1">
        <v>45450</v>
      </c>
      <c r="C643" t="s">
        <v>22</v>
      </c>
      <c r="D643" t="s">
        <v>15</v>
      </c>
      <c r="E643">
        <v>158</v>
      </c>
      <c r="F643">
        <v>48</v>
      </c>
      <c r="G643">
        <v>0.7</v>
      </c>
      <c r="H643" t="s">
        <v>18</v>
      </c>
      <c r="I643" t="s">
        <v>16</v>
      </c>
      <c r="J643" t="s">
        <v>11</v>
      </c>
    </row>
    <row r="644" spans="1:10" x14ac:dyDescent="0.25">
      <c r="A644">
        <v>643</v>
      </c>
      <c r="B644" s="1">
        <v>45632</v>
      </c>
      <c r="C644" t="s">
        <v>14</v>
      </c>
      <c r="D644" t="s">
        <v>20</v>
      </c>
      <c r="E644">
        <v>137</v>
      </c>
      <c r="F644">
        <v>9</v>
      </c>
      <c r="G644">
        <v>6.1</v>
      </c>
      <c r="H644" t="s">
        <v>12</v>
      </c>
      <c r="I644" t="s">
        <v>19</v>
      </c>
      <c r="J644" t="s">
        <v>11</v>
      </c>
    </row>
    <row r="645" spans="1:10" x14ac:dyDescent="0.25">
      <c r="A645">
        <v>644</v>
      </c>
      <c r="B645" s="1">
        <v>45614</v>
      </c>
      <c r="C645" t="s">
        <v>23</v>
      </c>
      <c r="D645" t="s">
        <v>20</v>
      </c>
      <c r="E645">
        <v>136</v>
      </c>
      <c r="F645">
        <v>65</v>
      </c>
      <c r="G645">
        <v>3.8</v>
      </c>
      <c r="H645" t="s">
        <v>18</v>
      </c>
      <c r="I645" t="s">
        <v>13</v>
      </c>
      <c r="J645" t="s">
        <v>11</v>
      </c>
    </row>
    <row r="646" spans="1:10" x14ac:dyDescent="0.25">
      <c r="A646">
        <v>645</v>
      </c>
      <c r="B646" s="1">
        <v>45408</v>
      </c>
      <c r="C646" t="s">
        <v>21</v>
      </c>
      <c r="D646" t="s">
        <v>17</v>
      </c>
      <c r="E646">
        <v>99</v>
      </c>
      <c r="F646">
        <v>28</v>
      </c>
      <c r="G646">
        <v>1.5</v>
      </c>
      <c r="H646" t="s">
        <v>18</v>
      </c>
      <c r="I646" t="s">
        <v>13</v>
      </c>
      <c r="J646" t="s">
        <v>11</v>
      </c>
    </row>
    <row r="647" spans="1:10" x14ac:dyDescent="0.25">
      <c r="A647">
        <v>646</v>
      </c>
      <c r="B647" s="1">
        <v>45522</v>
      </c>
      <c r="C647" t="s">
        <v>10</v>
      </c>
      <c r="D647" t="s">
        <v>17</v>
      </c>
      <c r="E647">
        <v>239</v>
      </c>
      <c r="F647">
        <v>70</v>
      </c>
      <c r="G647">
        <v>4.9000000000000004</v>
      </c>
      <c r="H647" t="s">
        <v>18</v>
      </c>
      <c r="I647" t="s">
        <v>13</v>
      </c>
      <c r="J647" t="s">
        <v>11</v>
      </c>
    </row>
    <row r="648" spans="1:10" x14ac:dyDescent="0.25">
      <c r="A648">
        <v>647</v>
      </c>
      <c r="B648" s="1">
        <v>45425</v>
      </c>
      <c r="C648" t="s">
        <v>14</v>
      </c>
      <c r="D648" t="s">
        <v>17</v>
      </c>
      <c r="E648">
        <v>162</v>
      </c>
      <c r="F648">
        <v>37</v>
      </c>
      <c r="G648">
        <v>2.2000000000000002</v>
      </c>
      <c r="H648" t="s">
        <v>18</v>
      </c>
      <c r="I648" t="s">
        <v>19</v>
      </c>
      <c r="J648" t="s">
        <v>11</v>
      </c>
    </row>
    <row r="649" spans="1:10" x14ac:dyDescent="0.25">
      <c r="A649">
        <v>648</v>
      </c>
      <c r="B649" s="1">
        <v>45559</v>
      </c>
      <c r="C649" t="s">
        <v>21</v>
      </c>
      <c r="D649" t="s">
        <v>15</v>
      </c>
      <c r="E649">
        <v>65</v>
      </c>
      <c r="F649">
        <v>10</v>
      </c>
      <c r="G649">
        <v>5.6</v>
      </c>
      <c r="H649" t="s">
        <v>12</v>
      </c>
      <c r="I649" t="s">
        <v>13</v>
      </c>
      <c r="J649" t="s">
        <v>11</v>
      </c>
    </row>
    <row r="650" spans="1:10" x14ac:dyDescent="0.25">
      <c r="A650">
        <v>649</v>
      </c>
      <c r="B650" s="1">
        <v>45358</v>
      </c>
      <c r="C650" t="s">
        <v>14</v>
      </c>
      <c r="D650" t="s">
        <v>15</v>
      </c>
      <c r="E650">
        <v>192</v>
      </c>
      <c r="F650">
        <v>26</v>
      </c>
      <c r="G650">
        <v>7.4</v>
      </c>
      <c r="H650" t="s">
        <v>12</v>
      </c>
      <c r="I650" t="s">
        <v>13</v>
      </c>
      <c r="J650" t="s">
        <v>11</v>
      </c>
    </row>
    <row r="651" spans="1:10" x14ac:dyDescent="0.25">
      <c r="A651">
        <v>650</v>
      </c>
      <c r="B651" s="1">
        <v>45557</v>
      </c>
      <c r="C651" t="s">
        <v>10</v>
      </c>
      <c r="D651" t="s">
        <v>17</v>
      </c>
      <c r="E651">
        <v>213</v>
      </c>
      <c r="F651">
        <v>16</v>
      </c>
      <c r="G651">
        <v>6.5</v>
      </c>
      <c r="H651" t="s">
        <v>12</v>
      </c>
      <c r="I651" t="s">
        <v>16</v>
      </c>
      <c r="J651" t="s">
        <v>11</v>
      </c>
    </row>
    <row r="652" spans="1:10" x14ac:dyDescent="0.25">
      <c r="A652">
        <v>651</v>
      </c>
      <c r="B652" s="1">
        <v>45507</v>
      </c>
      <c r="C652" t="s">
        <v>22</v>
      </c>
      <c r="D652" t="s">
        <v>11</v>
      </c>
      <c r="E652">
        <v>26</v>
      </c>
      <c r="F652">
        <v>16</v>
      </c>
      <c r="G652">
        <v>5.9</v>
      </c>
      <c r="H652" t="s">
        <v>12</v>
      </c>
      <c r="I652" t="s">
        <v>19</v>
      </c>
      <c r="J652" t="s">
        <v>15</v>
      </c>
    </row>
    <row r="653" spans="1:10" x14ac:dyDescent="0.25">
      <c r="A653">
        <v>652</v>
      </c>
      <c r="B653" s="1">
        <v>45474</v>
      </c>
      <c r="C653" t="s">
        <v>23</v>
      </c>
      <c r="D653" t="s">
        <v>17</v>
      </c>
      <c r="E653">
        <v>64</v>
      </c>
      <c r="F653">
        <v>27</v>
      </c>
      <c r="G653">
        <v>8</v>
      </c>
      <c r="H653" t="s">
        <v>12</v>
      </c>
      <c r="I653" t="s">
        <v>19</v>
      </c>
      <c r="J653" t="s">
        <v>11</v>
      </c>
    </row>
    <row r="654" spans="1:10" x14ac:dyDescent="0.25">
      <c r="A654">
        <v>653</v>
      </c>
      <c r="B654" s="1">
        <v>45585</v>
      </c>
      <c r="C654" t="s">
        <v>10</v>
      </c>
      <c r="D654" t="s">
        <v>20</v>
      </c>
      <c r="E654">
        <v>119</v>
      </c>
      <c r="F654">
        <v>65</v>
      </c>
      <c r="G654">
        <v>1.9</v>
      </c>
      <c r="H654" t="s">
        <v>12</v>
      </c>
      <c r="I654" t="s">
        <v>19</v>
      </c>
      <c r="J654" t="s">
        <v>11</v>
      </c>
    </row>
    <row r="655" spans="1:10" x14ac:dyDescent="0.25">
      <c r="A655">
        <v>654</v>
      </c>
      <c r="B655" s="1">
        <v>45501</v>
      </c>
      <c r="C655" t="s">
        <v>23</v>
      </c>
      <c r="D655" t="s">
        <v>11</v>
      </c>
      <c r="E655">
        <v>80</v>
      </c>
      <c r="F655">
        <v>35</v>
      </c>
      <c r="G655">
        <v>2</v>
      </c>
      <c r="H655" t="s">
        <v>12</v>
      </c>
      <c r="I655" t="s">
        <v>16</v>
      </c>
      <c r="J655" t="s">
        <v>11</v>
      </c>
    </row>
    <row r="656" spans="1:10" x14ac:dyDescent="0.25">
      <c r="A656">
        <v>655</v>
      </c>
      <c r="B656" s="1">
        <v>45396</v>
      </c>
      <c r="C656" t="s">
        <v>21</v>
      </c>
      <c r="D656" t="s">
        <v>20</v>
      </c>
      <c r="E656">
        <v>171</v>
      </c>
      <c r="F656">
        <v>50</v>
      </c>
      <c r="G656">
        <v>9.8000000000000007</v>
      </c>
      <c r="H656" t="s">
        <v>12</v>
      </c>
      <c r="I656" t="s">
        <v>19</v>
      </c>
      <c r="J656" t="s">
        <v>11</v>
      </c>
    </row>
    <row r="657" spans="1:10" x14ac:dyDescent="0.25">
      <c r="A657">
        <v>656</v>
      </c>
      <c r="B657" s="1">
        <v>45569</v>
      </c>
      <c r="C657" t="s">
        <v>21</v>
      </c>
      <c r="D657" t="s">
        <v>20</v>
      </c>
      <c r="E657">
        <v>85</v>
      </c>
      <c r="F657">
        <v>20</v>
      </c>
      <c r="G657">
        <v>2.9</v>
      </c>
      <c r="H657" t="s">
        <v>18</v>
      </c>
      <c r="I657" t="s">
        <v>19</v>
      </c>
      <c r="J657" t="s">
        <v>11</v>
      </c>
    </row>
    <row r="658" spans="1:10" x14ac:dyDescent="0.25">
      <c r="A658">
        <v>657</v>
      </c>
      <c r="B658" s="1">
        <v>45422</v>
      </c>
      <c r="C658" t="s">
        <v>10</v>
      </c>
      <c r="D658" t="s">
        <v>15</v>
      </c>
      <c r="E658">
        <v>229</v>
      </c>
      <c r="F658">
        <v>59</v>
      </c>
      <c r="G658">
        <v>2.2999999999999998</v>
      </c>
      <c r="H658" t="s">
        <v>18</v>
      </c>
      <c r="I658" t="s">
        <v>19</v>
      </c>
      <c r="J658" t="s">
        <v>11</v>
      </c>
    </row>
    <row r="659" spans="1:10" x14ac:dyDescent="0.25">
      <c r="A659">
        <v>658</v>
      </c>
      <c r="B659" s="1">
        <v>45302</v>
      </c>
      <c r="C659" t="s">
        <v>21</v>
      </c>
      <c r="D659" t="s">
        <v>20</v>
      </c>
      <c r="E659">
        <v>219</v>
      </c>
      <c r="F659">
        <v>12</v>
      </c>
      <c r="G659">
        <v>2.1</v>
      </c>
      <c r="H659" t="s">
        <v>18</v>
      </c>
      <c r="I659" t="s">
        <v>13</v>
      </c>
      <c r="J659" t="s">
        <v>11</v>
      </c>
    </row>
    <row r="660" spans="1:10" x14ac:dyDescent="0.25">
      <c r="A660">
        <v>659</v>
      </c>
      <c r="B660" s="1">
        <v>45644</v>
      </c>
      <c r="C660" t="s">
        <v>21</v>
      </c>
      <c r="D660" t="s">
        <v>11</v>
      </c>
      <c r="E660">
        <v>94</v>
      </c>
      <c r="F660">
        <v>36</v>
      </c>
      <c r="G660">
        <v>8.6999999999999993</v>
      </c>
      <c r="H660" t="s">
        <v>12</v>
      </c>
      <c r="I660" t="s">
        <v>16</v>
      </c>
      <c r="J660" t="s">
        <v>11</v>
      </c>
    </row>
    <row r="661" spans="1:10" x14ac:dyDescent="0.25">
      <c r="A661">
        <v>660</v>
      </c>
      <c r="B661" s="1">
        <v>45300</v>
      </c>
      <c r="C661" t="s">
        <v>10</v>
      </c>
      <c r="D661" t="s">
        <v>15</v>
      </c>
      <c r="E661">
        <v>62</v>
      </c>
      <c r="F661">
        <v>7</v>
      </c>
      <c r="G661">
        <v>2.9</v>
      </c>
      <c r="H661" t="s">
        <v>18</v>
      </c>
      <c r="I661" t="s">
        <v>19</v>
      </c>
      <c r="J661" t="s">
        <v>11</v>
      </c>
    </row>
    <row r="662" spans="1:10" x14ac:dyDescent="0.25">
      <c r="A662">
        <v>661</v>
      </c>
      <c r="B662" s="1">
        <v>45627</v>
      </c>
      <c r="C662" t="s">
        <v>10</v>
      </c>
      <c r="D662" t="s">
        <v>15</v>
      </c>
      <c r="E662">
        <v>84</v>
      </c>
      <c r="F662">
        <v>31</v>
      </c>
      <c r="G662">
        <v>7.5</v>
      </c>
      <c r="H662" t="s">
        <v>12</v>
      </c>
      <c r="I662" t="s">
        <v>19</v>
      </c>
      <c r="J662" t="s">
        <v>11</v>
      </c>
    </row>
    <row r="663" spans="1:10" x14ac:dyDescent="0.25">
      <c r="A663">
        <v>662</v>
      </c>
      <c r="B663" s="1">
        <v>45504</v>
      </c>
      <c r="C663" t="s">
        <v>10</v>
      </c>
      <c r="D663" t="s">
        <v>15</v>
      </c>
      <c r="E663">
        <v>207</v>
      </c>
      <c r="F663">
        <v>14</v>
      </c>
      <c r="G663">
        <v>5.9</v>
      </c>
      <c r="H663" t="s">
        <v>12</v>
      </c>
      <c r="I663" t="s">
        <v>13</v>
      </c>
      <c r="J663" t="s">
        <v>11</v>
      </c>
    </row>
    <row r="664" spans="1:10" x14ac:dyDescent="0.25">
      <c r="A664">
        <v>663</v>
      </c>
      <c r="B664" s="1">
        <v>45574</v>
      </c>
      <c r="C664" t="s">
        <v>22</v>
      </c>
      <c r="D664" t="s">
        <v>15</v>
      </c>
      <c r="E664">
        <v>98</v>
      </c>
      <c r="F664">
        <v>3</v>
      </c>
      <c r="G664">
        <v>5.5</v>
      </c>
      <c r="H664" t="s">
        <v>18</v>
      </c>
      <c r="I664" t="s">
        <v>13</v>
      </c>
      <c r="J664" t="s">
        <v>20</v>
      </c>
    </row>
    <row r="665" spans="1:10" x14ac:dyDescent="0.25">
      <c r="A665">
        <v>664</v>
      </c>
      <c r="B665" s="1">
        <v>45333</v>
      </c>
      <c r="C665" t="s">
        <v>14</v>
      </c>
      <c r="D665" t="s">
        <v>20</v>
      </c>
      <c r="E665">
        <v>87</v>
      </c>
      <c r="F665">
        <v>64</v>
      </c>
      <c r="G665">
        <v>7.1</v>
      </c>
      <c r="H665" t="s">
        <v>12</v>
      </c>
      <c r="I665" t="s">
        <v>13</v>
      </c>
      <c r="J665" t="s">
        <v>11</v>
      </c>
    </row>
    <row r="666" spans="1:10" x14ac:dyDescent="0.25">
      <c r="A666">
        <v>665</v>
      </c>
      <c r="B666" s="1">
        <v>45640</v>
      </c>
      <c r="C666" t="s">
        <v>21</v>
      </c>
      <c r="D666" t="s">
        <v>11</v>
      </c>
      <c r="E666">
        <v>31</v>
      </c>
      <c r="F666">
        <v>36</v>
      </c>
      <c r="G666">
        <v>7.3</v>
      </c>
      <c r="H666" t="s">
        <v>18</v>
      </c>
      <c r="I666" t="s">
        <v>19</v>
      </c>
      <c r="J666" t="s">
        <v>15</v>
      </c>
    </row>
    <row r="667" spans="1:10" x14ac:dyDescent="0.25">
      <c r="A667">
        <v>666</v>
      </c>
      <c r="B667" s="1">
        <v>45351</v>
      </c>
      <c r="C667" t="s">
        <v>23</v>
      </c>
      <c r="D667" t="s">
        <v>17</v>
      </c>
      <c r="E667">
        <v>179</v>
      </c>
      <c r="F667">
        <v>33</v>
      </c>
      <c r="G667">
        <v>7.3</v>
      </c>
      <c r="H667" t="s">
        <v>18</v>
      </c>
      <c r="I667" t="s">
        <v>19</v>
      </c>
      <c r="J667" t="s">
        <v>11</v>
      </c>
    </row>
    <row r="668" spans="1:10" x14ac:dyDescent="0.25">
      <c r="A668">
        <v>667</v>
      </c>
      <c r="B668" s="1">
        <v>45560</v>
      </c>
      <c r="C668" t="s">
        <v>21</v>
      </c>
      <c r="D668" t="s">
        <v>20</v>
      </c>
      <c r="E668">
        <v>179</v>
      </c>
      <c r="F668">
        <v>50</v>
      </c>
      <c r="G668">
        <v>4.3</v>
      </c>
      <c r="H668" t="s">
        <v>12</v>
      </c>
      <c r="I668" t="s">
        <v>13</v>
      </c>
      <c r="J668" t="s">
        <v>11</v>
      </c>
    </row>
    <row r="669" spans="1:10" x14ac:dyDescent="0.25">
      <c r="A669">
        <v>668</v>
      </c>
      <c r="B669" s="1">
        <v>45468</v>
      </c>
      <c r="C669" t="s">
        <v>22</v>
      </c>
      <c r="D669" t="s">
        <v>17</v>
      </c>
      <c r="E669">
        <v>157</v>
      </c>
      <c r="F669">
        <v>14</v>
      </c>
      <c r="G669">
        <v>6.2</v>
      </c>
      <c r="H669" t="s">
        <v>18</v>
      </c>
      <c r="I669" t="s">
        <v>13</v>
      </c>
      <c r="J669" t="s">
        <v>11</v>
      </c>
    </row>
    <row r="670" spans="1:10" x14ac:dyDescent="0.25">
      <c r="A670">
        <v>669</v>
      </c>
      <c r="B670" s="1">
        <v>45377</v>
      </c>
      <c r="C670" t="s">
        <v>21</v>
      </c>
      <c r="D670" t="s">
        <v>17</v>
      </c>
      <c r="E670">
        <v>178</v>
      </c>
      <c r="F670">
        <v>50</v>
      </c>
      <c r="G670">
        <v>9.1999999999999993</v>
      </c>
      <c r="H670" t="s">
        <v>12</v>
      </c>
      <c r="I670" t="s">
        <v>16</v>
      </c>
      <c r="J670" t="s">
        <v>11</v>
      </c>
    </row>
    <row r="671" spans="1:10" x14ac:dyDescent="0.25">
      <c r="A671">
        <v>670</v>
      </c>
      <c r="B671" s="1">
        <v>45591</v>
      </c>
      <c r="C671" t="s">
        <v>10</v>
      </c>
      <c r="D671" t="s">
        <v>17</v>
      </c>
      <c r="E671">
        <v>84</v>
      </c>
      <c r="F671">
        <v>36</v>
      </c>
      <c r="G671">
        <v>3.5</v>
      </c>
      <c r="H671" t="s">
        <v>12</v>
      </c>
      <c r="I671" t="s">
        <v>13</v>
      </c>
      <c r="J671" t="s">
        <v>11</v>
      </c>
    </row>
    <row r="672" spans="1:10" x14ac:dyDescent="0.25">
      <c r="A672">
        <v>671</v>
      </c>
      <c r="B672" s="1">
        <v>45508</v>
      </c>
      <c r="C672" t="s">
        <v>10</v>
      </c>
      <c r="D672" t="s">
        <v>15</v>
      </c>
      <c r="E672">
        <v>188</v>
      </c>
      <c r="F672">
        <v>61</v>
      </c>
      <c r="G672">
        <v>1.1000000000000001</v>
      </c>
      <c r="H672" t="s">
        <v>12</v>
      </c>
      <c r="I672" t="s">
        <v>19</v>
      </c>
      <c r="J672" t="s">
        <v>11</v>
      </c>
    </row>
    <row r="673" spans="1:10" x14ac:dyDescent="0.25">
      <c r="A673">
        <v>672</v>
      </c>
      <c r="B673" s="1">
        <v>45527</v>
      </c>
      <c r="C673" t="s">
        <v>22</v>
      </c>
      <c r="D673" t="s">
        <v>11</v>
      </c>
      <c r="E673">
        <v>194</v>
      </c>
      <c r="F673">
        <v>40</v>
      </c>
      <c r="G673">
        <v>3.9</v>
      </c>
      <c r="H673" t="s">
        <v>18</v>
      </c>
      <c r="I673" t="s">
        <v>16</v>
      </c>
      <c r="J673" t="s">
        <v>11</v>
      </c>
    </row>
    <row r="674" spans="1:10" x14ac:dyDescent="0.25">
      <c r="A674">
        <v>673</v>
      </c>
      <c r="B674" s="1">
        <v>45463</v>
      </c>
      <c r="C674" t="s">
        <v>10</v>
      </c>
      <c r="D674" t="s">
        <v>11</v>
      </c>
      <c r="E674">
        <v>212</v>
      </c>
      <c r="F674">
        <v>66</v>
      </c>
      <c r="G674">
        <v>5.5</v>
      </c>
      <c r="H674" t="s">
        <v>12</v>
      </c>
      <c r="I674" t="s">
        <v>19</v>
      </c>
      <c r="J674" t="s">
        <v>11</v>
      </c>
    </row>
    <row r="675" spans="1:10" x14ac:dyDescent="0.25">
      <c r="A675">
        <v>674</v>
      </c>
      <c r="B675" s="1">
        <v>45561</v>
      </c>
      <c r="C675" t="s">
        <v>10</v>
      </c>
      <c r="D675" t="s">
        <v>15</v>
      </c>
      <c r="E675">
        <v>66</v>
      </c>
      <c r="F675">
        <v>28</v>
      </c>
      <c r="G675">
        <v>2.7</v>
      </c>
      <c r="H675" t="s">
        <v>12</v>
      </c>
      <c r="I675" t="s">
        <v>16</v>
      </c>
      <c r="J675" t="s">
        <v>11</v>
      </c>
    </row>
    <row r="676" spans="1:10" x14ac:dyDescent="0.25">
      <c r="A676">
        <v>675</v>
      </c>
      <c r="B676" s="1">
        <v>45388</v>
      </c>
      <c r="C676" t="s">
        <v>10</v>
      </c>
      <c r="D676" t="s">
        <v>17</v>
      </c>
      <c r="E676">
        <v>175</v>
      </c>
      <c r="F676">
        <v>65</v>
      </c>
      <c r="G676">
        <v>8.4</v>
      </c>
      <c r="H676" t="s">
        <v>18</v>
      </c>
      <c r="I676" t="s">
        <v>13</v>
      </c>
      <c r="J676" t="s">
        <v>11</v>
      </c>
    </row>
    <row r="677" spans="1:10" x14ac:dyDescent="0.25">
      <c r="A677">
        <v>676</v>
      </c>
      <c r="B677" s="1">
        <v>45513</v>
      </c>
      <c r="C677" t="s">
        <v>21</v>
      </c>
      <c r="D677" t="s">
        <v>11</v>
      </c>
      <c r="E677">
        <v>149</v>
      </c>
      <c r="F677">
        <v>12</v>
      </c>
      <c r="G677">
        <v>2</v>
      </c>
      <c r="H677" t="s">
        <v>18</v>
      </c>
      <c r="I677" t="s">
        <v>16</v>
      </c>
      <c r="J677" t="s">
        <v>11</v>
      </c>
    </row>
    <row r="678" spans="1:10" x14ac:dyDescent="0.25">
      <c r="A678">
        <v>677</v>
      </c>
      <c r="B678" s="1">
        <v>45376</v>
      </c>
      <c r="C678" t="s">
        <v>22</v>
      </c>
      <c r="D678" t="s">
        <v>15</v>
      </c>
      <c r="E678">
        <v>155</v>
      </c>
      <c r="F678">
        <v>28</v>
      </c>
      <c r="G678">
        <v>5.0999999999999996</v>
      </c>
      <c r="H678" t="s">
        <v>18</v>
      </c>
      <c r="I678" t="s">
        <v>19</v>
      </c>
      <c r="J678" t="s">
        <v>15</v>
      </c>
    </row>
    <row r="679" spans="1:10" x14ac:dyDescent="0.25">
      <c r="A679">
        <v>678</v>
      </c>
      <c r="B679" s="1">
        <v>45356</v>
      </c>
      <c r="C679" t="s">
        <v>10</v>
      </c>
      <c r="D679" t="s">
        <v>15</v>
      </c>
      <c r="E679">
        <v>11</v>
      </c>
      <c r="F679">
        <v>43</v>
      </c>
      <c r="G679">
        <v>8.9</v>
      </c>
      <c r="H679" t="s">
        <v>18</v>
      </c>
      <c r="I679" t="s">
        <v>19</v>
      </c>
      <c r="J679" t="s">
        <v>20</v>
      </c>
    </row>
    <row r="680" spans="1:10" x14ac:dyDescent="0.25">
      <c r="A680">
        <v>679</v>
      </c>
      <c r="B680" s="1">
        <v>45488</v>
      </c>
      <c r="C680" t="s">
        <v>23</v>
      </c>
      <c r="D680" t="s">
        <v>11</v>
      </c>
      <c r="E680">
        <v>169</v>
      </c>
      <c r="F680">
        <v>51</v>
      </c>
      <c r="G680">
        <v>0.6</v>
      </c>
      <c r="H680" t="s">
        <v>12</v>
      </c>
      <c r="I680" t="s">
        <v>16</v>
      </c>
      <c r="J680" t="s">
        <v>11</v>
      </c>
    </row>
    <row r="681" spans="1:10" x14ac:dyDescent="0.25">
      <c r="A681">
        <v>680</v>
      </c>
      <c r="B681" s="1">
        <v>45354</v>
      </c>
      <c r="C681" t="s">
        <v>23</v>
      </c>
      <c r="D681" t="s">
        <v>17</v>
      </c>
      <c r="E681">
        <v>108</v>
      </c>
      <c r="F681">
        <v>70</v>
      </c>
      <c r="G681">
        <v>3.8</v>
      </c>
      <c r="H681" t="s">
        <v>18</v>
      </c>
      <c r="I681" t="s">
        <v>16</v>
      </c>
      <c r="J681" t="s">
        <v>11</v>
      </c>
    </row>
    <row r="682" spans="1:10" x14ac:dyDescent="0.25">
      <c r="A682">
        <v>681</v>
      </c>
      <c r="B682" s="1">
        <v>45564</v>
      </c>
      <c r="C682" t="s">
        <v>21</v>
      </c>
      <c r="D682" t="s">
        <v>17</v>
      </c>
      <c r="E682">
        <v>221</v>
      </c>
      <c r="F682">
        <v>22</v>
      </c>
      <c r="G682">
        <v>1.9</v>
      </c>
      <c r="H682" t="s">
        <v>12</v>
      </c>
      <c r="I682" t="s">
        <v>19</v>
      </c>
      <c r="J682" t="s">
        <v>11</v>
      </c>
    </row>
    <row r="683" spans="1:10" x14ac:dyDescent="0.25">
      <c r="A683">
        <v>682</v>
      </c>
      <c r="B683" s="1">
        <v>45365</v>
      </c>
      <c r="C683" t="s">
        <v>14</v>
      </c>
      <c r="D683" t="s">
        <v>11</v>
      </c>
      <c r="E683">
        <v>122</v>
      </c>
      <c r="F683">
        <v>66</v>
      </c>
      <c r="G683">
        <v>8.8000000000000007</v>
      </c>
      <c r="H683" t="s">
        <v>12</v>
      </c>
      <c r="I683" t="s">
        <v>16</v>
      </c>
      <c r="J683" t="s">
        <v>11</v>
      </c>
    </row>
    <row r="684" spans="1:10" x14ac:dyDescent="0.25">
      <c r="A684">
        <v>683</v>
      </c>
      <c r="B684" s="1">
        <v>45647</v>
      </c>
      <c r="C684" t="s">
        <v>23</v>
      </c>
      <c r="D684" t="s">
        <v>17</v>
      </c>
      <c r="E684">
        <v>224</v>
      </c>
      <c r="F684">
        <v>64</v>
      </c>
      <c r="G684">
        <v>9.1</v>
      </c>
      <c r="H684" t="s">
        <v>18</v>
      </c>
      <c r="I684" t="s">
        <v>16</v>
      </c>
      <c r="J684" t="s">
        <v>11</v>
      </c>
    </row>
    <row r="685" spans="1:10" x14ac:dyDescent="0.25">
      <c r="A685">
        <v>684</v>
      </c>
      <c r="B685" s="1">
        <v>45367</v>
      </c>
      <c r="C685" t="s">
        <v>21</v>
      </c>
      <c r="D685" t="s">
        <v>17</v>
      </c>
      <c r="E685">
        <v>75</v>
      </c>
      <c r="F685">
        <v>70</v>
      </c>
      <c r="G685">
        <v>8</v>
      </c>
      <c r="H685" t="s">
        <v>18</v>
      </c>
      <c r="I685" t="s">
        <v>19</v>
      </c>
      <c r="J685" t="s">
        <v>11</v>
      </c>
    </row>
    <row r="686" spans="1:10" x14ac:dyDescent="0.25">
      <c r="A686">
        <v>685</v>
      </c>
      <c r="B686" s="1">
        <v>45328</v>
      </c>
      <c r="C686" t="s">
        <v>14</v>
      </c>
      <c r="D686" t="s">
        <v>20</v>
      </c>
      <c r="E686">
        <v>114</v>
      </c>
      <c r="F686">
        <v>16</v>
      </c>
      <c r="G686">
        <v>6</v>
      </c>
      <c r="H686" t="s">
        <v>12</v>
      </c>
      <c r="I686" t="s">
        <v>13</v>
      </c>
      <c r="J686" t="s">
        <v>11</v>
      </c>
    </row>
    <row r="687" spans="1:10" x14ac:dyDescent="0.25">
      <c r="A687">
        <v>686</v>
      </c>
      <c r="B687" s="1">
        <v>45330</v>
      </c>
      <c r="C687" t="s">
        <v>14</v>
      </c>
      <c r="D687" t="s">
        <v>20</v>
      </c>
      <c r="E687">
        <v>200</v>
      </c>
      <c r="F687">
        <v>63</v>
      </c>
      <c r="G687">
        <v>2.6</v>
      </c>
      <c r="H687" t="s">
        <v>12</v>
      </c>
      <c r="I687" t="s">
        <v>13</v>
      </c>
      <c r="J687" t="s">
        <v>11</v>
      </c>
    </row>
    <row r="688" spans="1:10" x14ac:dyDescent="0.25">
      <c r="A688">
        <v>687</v>
      </c>
      <c r="B688" s="1">
        <v>45603</v>
      </c>
      <c r="C688" t="s">
        <v>14</v>
      </c>
      <c r="D688" t="s">
        <v>20</v>
      </c>
      <c r="E688">
        <v>178</v>
      </c>
      <c r="F688">
        <v>29</v>
      </c>
      <c r="G688">
        <v>8.3000000000000007</v>
      </c>
      <c r="H688" t="s">
        <v>12</v>
      </c>
      <c r="I688" t="s">
        <v>13</v>
      </c>
      <c r="J688" t="s">
        <v>11</v>
      </c>
    </row>
    <row r="689" spans="1:10" x14ac:dyDescent="0.25">
      <c r="A689">
        <v>688</v>
      </c>
      <c r="B689" s="1">
        <v>45375</v>
      </c>
      <c r="C689" t="s">
        <v>23</v>
      </c>
      <c r="D689" t="s">
        <v>15</v>
      </c>
      <c r="E689">
        <v>182</v>
      </c>
      <c r="F689">
        <v>16</v>
      </c>
      <c r="G689">
        <v>6.5</v>
      </c>
      <c r="H689" t="s">
        <v>18</v>
      </c>
      <c r="I689" t="s">
        <v>13</v>
      </c>
      <c r="J689" t="s">
        <v>15</v>
      </c>
    </row>
    <row r="690" spans="1:10" x14ac:dyDescent="0.25">
      <c r="A690">
        <v>689</v>
      </c>
      <c r="B690" s="1">
        <v>45503</v>
      </c>
      <c r="C690" t="s">
        <v>21</v>
      </c>
      <c r="D690" t="s">
        <v>11</v>
      </c>
      <c r="E690">
        <v>30</v>
      </c>
      <c r="F690">
        <v>63</v>
      </c>
      <c r="G690">
        <v>9.4</v>
      </c>
      <c r="H690" t="s">
        <v>18</v>
      </c>
      <c r="I690" t="s">
        <v>16</v>
      </c>
      <c r="J690" t="s">
        <v>20</v>
      </c>
    </row>
    <row r="691" spans="1:10" x14ac:dyDescent="0.25">
      <c r="A691">
        <v>690</v>
      </c>
      <c r="B691" s="1">
        <v>45604</v>
      </c>
      <c r="C691" t="s">
        <v>10</v>
      </c>
      <c r="D691" t="s">
        <v>20</v>
      </c>
      <c r="E691">
        <v>163</v>
      </c>
      <c r="F691">
        <v>14</v>
      </c>
      <c r="G691">
        <v>7.2</v>
      </c>
      <c r="H691" t="s">
        <v>18</v>
      </c>
      <c r="I691" t="s">
        <v>13</v>
      </c>
      <c r="J691" t="s">
        <v>11</v>
      </c>
    </row>
    <row r="692" spans="1:10" x14ac:dyDescent="0.25">
      <c r="A692">
        <v>691</v>
      </c>
      <c r="B692" s="1">
        <v>45507</v>
      </c>
      <c r="C692" t="s">
        <v>10</v>
      </c>
      <c r="D692" t="s">
        <v>20</v>
      </c>
      <c r="E692">
        <v>38</v>
      </c>
      <c r="F692">
        <v>7</v>
      </c>
      <c r="G692">
        <v>2.5</v>
      </c>
      <c r="H692" t="s">
        <v>12</v>
      </c>
      <c r="I692" t="s">
        <v>19</v>
      </c>
      <c r="J692" t="s">
        <v>11</v>
      </c>
    </row>
    <row r="693" spans="1:10" x14ac:dyDescent="0.25">
      <c r="A693">
        <v>692</v>
      </c>
      <c r="B693" s="1">
        <v>45628</v>
      </c>
      <c r="C693" t="s">
        <v>14</v>
      </c>
      <c r="D693" t="s">
        <v>20</v>
      </c>
      <c r="E693">
        <v>17</v>
      </c>
      <c r="F693">
        <v>26</v>
      </c>
      <c r="G693">
        <v>3.8</v>
      </c>
      <c r="H693" t="s">
        <v>18</v>
      </c>
      <c r="I693" t="s">
        <v>13</v>
      </c>
      <c r="J693" t="s">
        <v>15</v>
      </c>
    </row>
    <row r="694" spans="1:10" x14ac:dyDescent="0.25">
      <c r="A694">
        <v>693</v>
      </c>
      <c r="B694" s="1">
        <v>45295</v>
      </c>
      <c r="C694" t="s">
        <v>22</v>
      </c>
      <c r="D694" t="s">
        <v>20</v>
      </c>
      <c r="E694">
        <v>43</v>
      </c>
      <c r="F694">
        <v>39</v>
      </c>
      <c r="G694">
        <v>5.3</v>
      </c>
      <c r="H694" t="s">
        <v>12</v>
      </c>
      <c r="I694" t="s">
        <v>19</v>
      </c>
      <c r="J694" t="s">
        <v>11</v>
      </c>
    </row>
    <row r="695" spans="1:10" x14ac:dyDescent="0.25">
      <c r="A695">
        <v>694</v>
      </c>
      <c r="B695" s="1">
        <v>45297</v>
      </c>
      <c r="C695" t="s">
        <v>14</v>
      </c>
      <c r="D695" t="s">
        <v>15</v>
      </c>
      <c r="E695">
        <v>139</v>
      </c>
      <c r="F695">
        <v>48</v>
      </c>
      <c r="G695">
        <v>0.5</v>
      </c>
      <c r="H695" t="s">
        <v>18</v>
      </c>
      <c r="I695" t="s">
        <v>13</v>
      </c>
      <c r="J695" t="s">
        <v>11</v>
      </c>
    </row>
    <row r="696" spans="1:10" x14ac:dyDescent="0.25">
      <c r="A696">
        <v>695</v>
      </c>
      <c r="B696" s="1">
        <v>45517</v>
      </c>
      <c r="C696" t="s">
        <v>21</v>
      </c>
      <c r="D696" t="s">
        <v>20</v>
      </c>
      <c r="E696">
        <v>72</v>
      </c>
      <c r="F696">
        <v>12</v>
      </c>
      <c r="G696">
        <v>1.5</v>
      </c>
      <c r="H696" t="s">
        <v>12</v>
      </c>
      <c r="I696" t="s">
        <v>19</v>
      </c>
      <c r="J696" t="s">
        <v>11</v>
      </c>
    </row>
    <row r="697" spans="1:10" x14ac:dyDescent="0.25">
      <c r="A697">
        <v>696</v>
      </c>
      <c r="B697" s="1">
        <v>45452</v>
      </c>
      <c r="C697" t="s">
        <v>21</v>
      </c>
      <c r="D697" t="s">
        <v>15</v>
      </c>
      <c r="E697">
        <v>52</v>
      </c>
      <c r="F697">
        <v>64</v>
      </c>
      <c r="G697">
        <v>2.1</v>
      </c>
      <c r="H697" t="s">
        <v>12</v>
      </c>
      <c r="I697" t="s">
        <v>16</v>
      </c>
      <c r="J697" t="s">
        <v>11</v>
      </c>
    </row>
    <row r="698" spans="1:10" x14ac:dyDescent="0.25">
      <c r="A698">
        <v>697</v>
      </c>
      <c r="B698" s="1">
        <v>45570</v>
      </c>
      <c r="C698" t="s">
        <v>22</v>
      </c>
      <c r="D698" t="s">
        <v>17</v>
      </c>
      <c r="E698">
        <v>51</v>
      </c>
      <c r="F698">
        <v>72</v>
      </c>
      <c r="G698">
        <v>7.8</v>
      </c>
      <c r="H698" t="s">
        <v>12</v>
      </c>
      <c r="I698" t="s">
        <v>13</v>
      </c>
      <c r="J698" t="s">
        <v>11</v>
      </c>
    </row>
    <row r="699" spans="1:10" x14ac:dyDescent="0.25">
      <c r="A699">
        <v>698</v>
      </c>
      <c r="B699" s="1">
        <v>45566</v>
      </c>
      <c r="C699" t="s">
        <v>14</v>
      </c>
      <c r="D699" t="s">
        <v>17</v>
      </c>
      <c r="E699">
        <v>43</v>
      </c>
      <c r="F699">
        <v>32</v>
      </c>
      <c r="G699">
        <v>7.6</v>
      </c>
      <c r="H699" t="s">
        <v>12</v>
      </c>
      <c r="I699" t="s">
        <v>19</v>
      </c>
      <c r="J699" t="s">
        <v>11</v>
      </c>
    </row>
    <row r="700" spans="1:10" x14ac:dyDescent="0.25">
      <c r="A700">
        <v>699</v>
      </c>
      <c r="B700" s="1">
        <v>45476</v>
      </c>
      <c r="C700" t="s">
        <v>22</v>
      </c>
      <c r="D700" t="s">
        <v>20</v>
      </c>
      <c r="E700">
        <v>104</v>
      </c>
      <c r="F700">
        <v>61</v>
      </c>
      <c r="G700">
        <v>5.0999999999999996</v>
      </c>
      <c r="H700" t="s">
        <v>18</v>
      </c>
      <c r="I700" t="s">
        <v>19</v>
      </c>
      <c r="J700" t="s">
        <v>11</v>
      </c>
    </row>
    <row r="701" spans="1:10" x14ac:dyDescent="0.25">
      <c r="A701">
        <v>700</v>
      </c>
      <c r="B701" s="1">
        <v>45360</v>
      </c>
      <c r="C701" t="s">
        <v>10</v>
      </c>
      <c r="D701" t="s">
        <v>17</v>
      </c>
      <c r="E701">
        <v>85</v>
      </c>
      <c r="F701">
        <v>47</v>
      </c>
      <c r="G701">
        <v>7.3</v>
      </c>
      <c r="H701" t="s">
        <v>12</v>
      </c>
      <c r="I701" t="s">
        <v>13</v>
      </c>
      <c r="J701" t="s">
        <v>11</v>
      </c>
    </row>
    <row r="702" spans="1:10" x14ac:dyDescent="0.25">
      <c r="A702">
        <v>701</v>
      </c>
      <c r="B702" s="1">
        <v>45299</v>
      </c>
      <c r="C702" t="s">
        <v>10</v>
      </c>
      <c r="D702" t="s">
        <v>20</v>
      </c>
      <c r="E702">
        <v>217</v>
      </c>
      <c r="F702">
        <v>46</v>
      </c>
      <c r="G702">
        <v>2.6</v>
      </c>
      <c r="H702" t="s">
        <v>18</v>
      </c>
      <c r="I702" t="s">
        <v>13</v>
      </c>
      <c r="J702" t="s">
        <v>11</v>
      </c>
    </row>
    <row r="703" spans="1:10" x14ac:dyDescent="0.25">
      <c r="A703">
        <v>702</v>
      </c>
      <c r="B703" s="1">
        <v>45651</v>
      </c>
      <c r="C703" t="s">
        <v>22</v>
      </c>
      <c r="D703" t="s">
        <v>15</v>
      </c>
      <c r="E703">
        <v>104</v>
      </c>
      <c r="F703">
        <v>71</v>
      </c>
      <c r="G703">
        <v>9</v>
      </c>
      <c r="H703" t="s">
        <v>18</v>
      </c>
      <c r="I703" t="s">
        <v>19</v>
      </c>
      <c r="J703" t="s">
        <v>15</v>
      </c>
    </row>
    <row r="704" spans="1:10" x14ac:dyDescent="0.25">
      <c r="A704">
        <v>703</v>
      </c>
      <c r="B704" s="1">
        <v>45389</v>
      </c>
      <c r="C704" t="s">
        <v>14</v>
      </c>
      <c r="D704" t="s">
        <v>17</v>
      </c>
      <c r="E704">
        <v>147</v>
      </c>
      <c r="F704">
        <v>28</v>
      </c>
      <c r="G704">
        <v>4.5</v>
      </c>
      <c r="H704" t="s">
        <v>12</v>
      </c>
      <c r="I704" t="s">
        <v>13</v>
      </c>
      <c r="J704" t="s">
        <v>11</v>
      </c>
    </row>
    <row r="705" spans="1:10" x14ac:dyDescent="0.25">
      <c r="A705">
        <v>704</v>
      </c>
      <c r="B705" s="1">
        <v>45564</v>
      </c>
      <c r="C705" t="s">
        <v>14</v>
      </c>
      <c r="D705" t="s">
        <v>11</v>
      </c>
      <c r="E705">
        <v>65</v>
      </c>
      <c r="F705">
        <v>2</v>
      </c>
      <c r="G705">
        <v>6.5</v>
      </c>
      <c r="H705" t="s">
        <v>18</v>
      </c>
      <c r="I705" t="s">
        <v>16</v>
      </c>
      <c r="J705" t="s">
        <v>20</v>
      </c>
    </row>
    <row r="706" spans="1:10" x14ac:dyDescent="0.25">
      <c r="A706">
        <v>705</v>
      </c>
      <c r="B706" s="1">
        <v>45492</v>
      </c>
      <c r="C706" t="s">
        <v>21</v>
      </c>
      <c r="D706" t="s">
        <v>20</v>
      </c>
      <c r="E706">
        <v>233</v>
      </c>
      <c r="F706">
        <v>5</v>
      </c>
      <c r="G706">
        <v>7.6</v>
      </c>
      <c r="H706" t="s">
        <v>18</v>
      </c>
      <c r="I706" t="s">
        <v>13</v>
      </c>
      <c r="J706" t="s">
        <v>15</v>
      </c>
    </row>
    <row r="707" spans="1:10" x14ac:dyDescent="0.25">
      <c r="A707">
        <v>706</v>
      </c>
      <c r="B707" s="1">
        <v>45569</v>
      </c>
      <c r="C707" t="s">
        <v>22</v>
      </c>
      <c r="D707" t="s">
        <v>20</v>
      </c>
      <c r="E707">
        <v>192</v>
      </c>
      <c r="F707">
        <v>9</v>
      </c>
      <c r="G707">
        <v>0.6</v>
      </c>
      <c r="H707" t="s">
        <v>18</v>
      </c>
      <c r="I707" t="s">
        <v>13</v>
      </c>
      <c r="J707" t="s">
        <v>11</v>
      </c>
    </row>
    <row r="708" spans="1:10" x14ac:dyDescent="0.25">
      <c r="A708">
        <v>707</v>
      </c>
      <c r="B708" s="1">
        <v>45441</v>
      </c>
      <c r="C708" t="s">
        <v>21</v>
      </c>
      <c r="D708" t="s">
        <v>20</v>
      </c>
      <c r="E708">
        <v>18</v>
      </c>
      <c r="F708">
        <v>16</v>
      </c>
      <c r="G708">
        <v>1.6</v>
      </c>
      <c r="H708" t="s">
        <v>18</v>
      </c>
      <c r="I708" t="s">
        <v>16</v>
      </c>
      <c r="J708" t="s">
        <v>15</v>
      </c>
    </row>
    <row r="709" spans="1:10" x14ac:dyDescent="0.25">
      <c r="A709">
        <v>708</v>
      </c>
      <c r="B709" s="1">
        <v>45453</v>
      </c>
      <c r="C709" t="s">
        <v>21</v>
      </c>
      <c r="D709" t="s">
        <v>11</v>
      </c>
      <c r="E709">
        <v>45</v>
      </c>
      <c r="F709">
        <v>9</v>
      </c>
      <c r="G709">
        <v>4</v>
      </c>
      <c r="H709" t="s">
        <v>12</v>
      </c>
      <c r="I709" t="s">
        <v>16</v>
      </c>
      <c r="J709" t="s">
        <v>11</v>
      </c>
    </row>
    <row r="710" spans="1:10" x14ac:dyDescent="0.25">
      <c r="A710">
        <v>709</v>
      </c>
      <c r="B710" s="1">
        <v>45525</v>
      </c>
      <c r="C710" t="s">
        <v>22</v>
      </c>
      <c r="D710" t="s">
        <v>17</v>
      </c>
      <c r="E710">
        <v>21</v>
      </c>
      <c r="F710">
        <v>34</v>
      </c>
      <c r="G710">
        <v>9.9</v>
      </c>
      <c r="H710" t="s">
        <v>18</v>
      </c>
      <c r="I710" t="s">
        <v>16</v>
      </c>
      <c r="J710" t="s">
        <v>15</v>
      </c>
    </row>
    <row r="711" spans="1:10" x14ac:dyDescent="0.25">
      <c r="A711">
        <v>710</v>
      </c>
      <c r="B711" s="1">
        <v>45618</v>
      </c>
      <c r="C711" t="s">
        <v>21</v>
      </c>
      <c r="D711" t="s">
        <v>20</v>
      </c>
      <c r="E711">
        <v>183</v>
      </c>
      <c r="F711">
        <v>9</v>
      </c>
      <c r="G711">
        <v>9</v>
      </c>
      <c r="H711" t="s">
        <v>12</v>
      </c>
      <c r="I711" t="s">
        <v>19</v>
      </c>
      <c r="J711" t="s">
        <v>11</v>
      </c>
    </row>
    <row r="712" spans="1:10" x14ac:dyDescent="0.25">
      <c r="A712">
        <v>711</v>
      </c>
      <c r="B712" s="1">
        <v>45477</v>
      </c>
      <c r="C712" t="s">
        <v>22</v>
      </c>
      <c r="D712" t="s">
        <v>20</v>
      </c>
      <c r="E712">
        <v>23</v>
      </c>
      <c r="F712">
        <v>7</v>
      </c>
      <c r="G712">
        <v>6</v>
      </c>
      <c r="H712" t="s">
        <v>12</v>
      </c>
      <c r="I712" t="s">
        <v>13</v>
      </c>
      <c r="J712" t="s">
        <v>15</v>
      </c>
    </row>
    <row r="713" spans="1:10" x14ac:dyDescent="0.25">
      <c r="A713">
        <v>712</v>
      </c>
      <c r="B713" s="1">
        <v>45413</v>
      </c>
      <c r="C713" t="s">
        <v>21</v>
      </c>
      <c r="D713" t="s">
        <v>20</v>
      </c>
      <c r="E713">
        <v>143</v>
      </c>
      <c r="F713">
        <v>68</v>
      </c>
      <c r="G713">
        <v>5</v>
      </c>
      <c r="H713" t="s">
        <v>12</v>
      </c>
      <c r="I713" t="s">
        <v>16</v>
      </c>
      <c r="J713" t="s">
        <v>11</v>
      </c>
    </row>
    <row r="714" spans="1:10" x14ac:dyDescent="0.25">
      <c r="A714">
        <v>713</v>
      </c>
      <c r="B714" s="1">
        <v>45590</v>
      </c>
      <c r="C714" t="s">
        <v>14</v>
      </c>
      <c r="D714" t="s">
        <v>20</v>
      </c>
      <c r="E714">
        <v>82</v>
      </c>
      <c r="F714">
        <v>67</v>
      </c>
      <c r="G714">
        <v>9.8000000000000007</v>
      </c>
      <c r="H714" t="s">
        <v>12</v>
      </c>
      <c r="I714" t="s">
        <v>19</v>
      </c>
      <c r="J714" t="s">
        <v>11</v>
      </c>
    </row>
    <row r="715" spans="1:10" x14ac:dyDescent="0.25">
      <c r="A715">
        <v>714</v>
      </c>
      <c r="B715" s="1">
        <v>45455</v>
      </c>
      <c r="C715" t="s">
        <v>10</v>
      </c>
      <c r="D715" t="s">
        <v>11</v>
      </c>
      <c r="E715">
        <v>172</v>
      </c>
      <c r="F715">
        <v>63</v>
      </c>
      <c r="G715">
        <v>6.2</v>
      </c>
      <c r="H715" t="s">
        <v>12</v>
      </c>
      <c r="I715" t="s">
        <v>19</v>
      </c>
      <c r="J715" t="s">
        <v>11</v>
      </c>
    </row>
    <row r="716" spans="1:10" x14ac:dyDescent="0.25">
      <c r="A716">
        <v>715</v>
      </c>
      <c r="B716" s="1">
        <v>45648</v>
      </c>
      <c r="C716" t="s">
        <v>10</v>
      </c>
      <c r="D716" t="s">
        <v>20</v>
      </c>
      <c r="E716">
        <v>199</v>
      </c>
      <c r="F716">
        <v>56</v>
      </c>
      <c r="G716">
        <v>3.2</v>
      </c>
      <c r="H716" t="s">
        <v>12</v>
      </c>
      <c r="I716" t="s">
        <v>13</v>
      </c>
      <c r="J716" t="s">
        <v>11</v>
      </c>
    </row>
    <row r="717" spans="1:10" x14ac:dyDescent="0.25">
      <c r="A717">
        <v>716</v>
      </c>
      <c r="B717" s="1">
        <v>45587</v>
      </c>
      <c r="C717" t="s">
        <v>14</v>
      </c>
      <c r="D717" t="s">
        <v>17</v>
      </c>
      <c r="E717">
        <v>134</v>
      </c>
      <c r="F717">
        <v>34</v>
      </c>
      <c r="G717">
        <v>6.8</v>
      </c>
      <c r="H717" t="s">
        <v>12</v>
      </c>
      <c r="I717" t="s">
        <v>19</v>
      </c>
      <c r="J717" t="s">
        <v>11</v>
      </c>
    </row>
    <row r="718" spans="1:10" x14ac:dyDescent="0.25">
      <c r="A718">
        <v>717</v>
      </c>
      <c r="B718" s="1">
        <v>45594</v>
      </c>
      <c r="C718" t="s">
        <v>14</v>
      </c>
      <c r="D718" t="s">
        <v>17</v>
      </c>
      <c r="E718">
        <v>155</v>
      </c>
      <c r="F718">
        <v>28</v>
      </c>
      <c r="G718">
        <v>5.7</v>
      </c>
      <c r="H718" t="s">
        <v>12</v>
      </c>
      <c r="I718" t="s">
        <v>13</v>
      </c>
      <c r="J718" t="s">
        <v>11</v>
      </c>
    </row>
    <row r="719" spans="1:10" x14ac:dyDescent="0.25">
      <c r="A719">
        <v>718</v>
      </c>
      <c r="B719" s="1">
        <v>45381</v>
      </c>
      <c r="C719" t="s">
        <v>14</v>
      </c>
      <c r="D719" t="s">
        <v>15</v>
      </c>
      <c r="E719">
        <v>88</v>
      </c>
      <c r="F719">
        <v>69</v>
      </c>
      <c r="G719">
        <v>5.8</v>
      </c>
      <c r="H719" t="s">
        <v>12</v>
      </c>
      <c r="I719" t="s">
        <v>19</v>
      </c>
      <c r="J719" t="s">
        <v>11</v>
      </c>
    </row>
    <row r="720" spans="1:10" x14ac:dyDescent="0.25">
      <c r="A720">
        <v>719</v>
      </c>
      <c r="B720" s="1">
        <v>45378</v>
      </c>
      <c r="C720" t="s">
        <v>10</v>
      </c>
      <c r="D720" t="s">
        <v>15</v>
      </c>
      <c r="E720">
        <v>26</v>
      </c>
      <c r="F720">
        <v>19</v>
      </c>
      <c r="G720">
        <v>8.4</v>
      </c>
      <c r="H720" t="s">
        <v>18</v>
      </c>
      <c r="I720" t="s">
        <v>16</v>
      </c>
      <c r="J720" t="s">
        <v>20</v>
      </c>
    </row>
    <row r="721" spans="1:10" x14ac:dyDescent="0.25">
      <c r="A721">
        <v>720</v>
      </c>
      <c r="B721" s="1">
        <v>45483</v>
      </c>
      <c r="C721" t="s">
        <v>14</v>
      </c>
      <c r="D721" t="s">
        <v>17</v>
      </c>
      <c r="E721">
        <v>72</v>
      </c>
      <c r="F721">
        <v>31</v>
      </c>
      <c r="G721">
        <v>3.2</v>
      </c>
      <c r="H721" t="s">
        <v>18</v>
      </c>
      <c r="I721" t="s">
        <v>13</v>
      </c>
      <c r="J721" t="s">
        <v>11</v>
      </c>
    </row>
    <row r="722" spans="1:10" x14ac:dyDescent="0.25">
      <c r="A722">
        <v>721</v>
      </c>
      <c r="B722" s="1">
        <v>45477</v>
      </c>
      <c r="C722" t="s">
        <v>21</v>
      </c>
      <c r="D722" t="s">
        <v>11</v>
      </c>
      <c r="E722">
        <v>201</v>
      </c>
      <c r="F722">
        <v>50</v>
      </c>
      <c r="G722">
        <v>1</v>
      </c>
      <c r="H722" t="s">
        <v>12</v>
      </c>
      <c r="I722" t="s">
        <v>16</v>
      </c>
      <c r="J722" t="s">
        <v>11</v>
      </c>
    </row>
    <row r="723" spans="1:10" x14ac:dyDescent="0.25">
      <c r="A723">
        <v>722</v>
      </c>
      <c r="B723" s="1">
        <v>45294</v>
      </c>
      <c r="C723" t="s">
        <v>23</v>
      </c>
      <c r="D723" t="s">
        <v>15</v>
      </c>
      <c r="E723">
        <v>155</v>
      </c>
      <c r="F723">
        <v>17</v>
      </c>
      <c r="G723">
        <v>8</v>
      </c>
      <c r="H723" t="s">
        <v>12</v>
      </c>
      <c r="I723" t="s">
        <v>13</v>
      </c>
      <c r="J723" t="s">
        <v>11</v>
      </c>
    </row>
    <row r="724" spans="1:10" x14ac:dyDescent="0.25">
      <c r="A724">
        <v>723</v>
      </c>
      <c r="B724" s="1">
        <v>45496</v>
      </c>
      <c r="C724" t="s">
        <v>23</v>
      </c>
      <c r="D724" t="s">
        <v>15</v>
      </c>
      <c r="E724">
        <v>74</v>
      </c>
      <c r="F724">
        <v>61</v>
      </c>
      <c r="G724">
        <v>5.4</v>
      </c>
      <c r="H724" t="s">
        <v>18</v>
      </c>
      <c r="I724" t="s">
        <v>13</v>
      </c>
      <c r="J724" t="s">
        <v>15</v>
      </c>
    </row>
    <row r="725" spans="1:10" x14ac:dyDescent="0.25">
      <c r="A725">
        <v>724</v>
      </c>
      <c r="B725" s="1">
        <v>45636</v>
      </c>
      <c r="C725" t="s">
        <v>14</v>
      </c>
      <c r="D725" t="s">
        <v>11</v>
      </c>
      <c r="E725">
        <v>76</v>
      </c>
      <c r="F725">
        <v>8</v>
      </c>
      <c r="G725">
        <v>6.5</v>
      </c>
      <c r="H725" t="s">
        <v>12</v>
      </c>
      <c r="I725" t="s">
        <v>16</v>
      </c>
      <c r="J725" t="s">
        <v>11</v>
      </c>
    </row>
    <row r="726" spans="1:10" x14ac:dyDescent="0.25">
      <c r="A726">
        <v>725</v>
      </c>
      <c r="B726" s="1">
        <v>45635</v>
      </c>
      <c r="C726" t="s">
        <v>22</v>
      </c>
      <c r="D726" t="s">
        <v>17</v>
      </c>
      <c r="E726">
        <v>31</v>
      </c>
      <c r="F726">
        <v>67</v>
      </c>
      <c r="G726">
        <v>6.6</v>
      </c>
      <c r="H726" t="s">
        <v>18</v>
      </c>
      <c r="I726" t="s">
        <v>13</v>
      </c>
      <c r="J726" t="s">
        <v>11</v>
      </c>
    </row>
    <row r="727" spans="1:10" x14ac:dyDescent="0.25">
      <c r="A727">
        <v>726</v>
      </c>
      <c r="B727" s="1">
        <v>45594</v>
      </c>
      <c r="C727" t="s">
        <v>22</v>
      </c>
      <c r="D727" t="s">
        <v>15</v>
      </c>
      <c r="E727">
        <v>97</v>
      </c>
      <c r="F727">
        <v>19</v>
      </c>
      <c r="G727">
        <v>3.5</v>
      </c>
      <c r="H727" t="s">
        <v>18</v>
      </c>
      <c r="I727" t="s">
        <v>16</v>
      </c>
      <c r="J727" t="s">
        <v>11</v>
      </c>
    </row>
    <row r="728" spans="1:10" x14ac:dyDescent="0.25">
      <c r="A728">
        <v>727</v>
      </c>
      <c r="B728" s="1">
        <v>45341</v>
      </c>
      <c r="C728" t="s">
        <v>23</v>
      </c>
      <c r="D728" t="s">
        <v>11</v>
      </c>
      <c r="E728">
        <v>127</v>
      </c>
      <c r="F728">
        <v>48</v>
      </c>
      <c r="G728">
        <v>4.5999999999999996</v>
      </c>
      <c r="H728" t="s">
        <v>18</v>
      </c>
      <c r="I728" t="s">
        <v>13</v>
      </c>
      <c r="J728" t="s">
        <v>11</v>
      </c>
    </row>
    <row r="729" spans="1:10" x14ac:dyDescent="0.25">
      <c r="A729">
        <v>728</v>
      </c>
      <c r="B729" s="1">
        <v>45374</v>
      </c>
      <c r="C729" t="s">
        <v>14</v>
      </c>
      <c r="D729" t="s">
        <v>15</v>
      </c>
      <c r="E729">
        <v>103</v>
      </c>
      <c r="F729">
        <v>44</v>
      </c>
      <c r="G729">
        <v>9.3000000000000007</v>
      </c>
      <c r="H729" t="s">
        <v>12</v>
      </c>
      <c r="I729" t="s">
        <v>19</v>
      </c>
      <c r="J729" t="s">
        <v>11</v>
      </c>
    </row>
    <row r="730" spans="1:10" x14ac:dyDescent="0.25">
      <c r="A730">
        <v>729</v>
      </c>
      <c r="B730" s="1">
        <v>45623</v>
      </c>
      <c r="C730" t="s">
        <v>10</v>
      </c>
      <c r="D730" t="s">
        <v>20</v>
      </c>
      <c r="E730">
        <v>129</v>
      </c>
      <c r="F730">
        <v>30</v>
      </c>
      <c r="G730">
        <v>7.4</v>
      </c>
      <c r="H730" t="s">
        <v>12</v>
      </c>
      <c r="I730" t="s">
        <v>16</v>
      </c>
      <c r="J730" t="s">
        <v>11</v>
      </c>
    </row>
    <row r="731" spans="1:10" x14ac:dyDescent="0.25">
      <c r="A731">
        <v>730</v>
      </c>
      <c r="B731" s="1">
        <v>45559</v>
      </c>
      <c r="C731" t="s">
        <v>21</v>
      </c>
      <c r="D731" t="s">
        <v>15</v>
      </c>
      <c r="E731">
        <v>123</v>
      </c>
      <c r="F731">
        <v>8</v>
      </c>
      <c r="G731">
        <v>7.5</v>
      </c>
      <c r="H731" t="s">
        <v>12</v>
      </c>
      <c r="I731" t="s">
        <v>13</v>
      </c>
      <c r="J731" t="s">
        <v>11</v>
      </c>
    </row>
    <row r="732" spans="1:10" x14ac:dyDescent="0.25">
      <c r="A732">
        <v>731</v>
      </c>
      <c r="B732" s="1">
        <v>45323</v>
      </c>
      <c r="C732" t="s">
        <v>22</v>
      </c>
      <c r="D732" t="s">
        <v>17</v>
      </c>
      <c r="E732">
        <v>216</v>
      </c>
      <c r="F732">
        <v>48</v>
      </c>
      <c r="G732">
        <v>2</v>
      </c>
      <c r="H732" t="s">
        <v>12</v>
      </c>
      <c r="I732" t="s">
        <v>16</v>
      </c>
      <c r="J732" t="s">
        <v>11</v>
      </c>
    </row>
    <row r="733" spans="1:10" x14ac:dyDescent="0.25">
      <c r="A733">
        <v>732</v>
      </c>
      <c r="B733" s="1">
        <v>45432</v>
      </c>
      <c r="C733" t="s">
        <v>22</v>
      </c>
      <c r="D733" t="s">
        <v>11</v>
      </c>
      <c r="E733">
        <v>115</v>
      </c>
      <c r="F733">
        <v>8</v>
      </c>
      <c r="G733">
        <v>3.1</v>
      </c>
      <c r="H733" t="s">
        <v>18</v>
      </c>
      <c r="I733" t="s">
        <v>16</v>
      </c>
      <c r="J733" t="s">
        <v>11</v>
      </c>
    </row>
    <row r="734" spans="1:10" x14ac:dyDescent="0.25">
      <c r="A734">
        <v>733</v>
      </c>
      <c r="B734" s="1">
        <v>45433</v>
      </c>
      <c r="C734" t="s">
        <v>14</v>
      </c>
      <c r="D734" t="s">
        <v>20</v>
      </c>
      <c r="E734">
        <v>27</v>
      </c>
      <c r="F734">
        <v>72</v>
      </c>
      <c r="G734">
        <v>8.8000000000000007</v>
      </c>
      <c r="H734" t="s">
        <v>12</v>
      </c>
      <c r="I734" t="s">
        <v>19</v>
      </c>
      <c r="J734" t="s">
        <v>15</v>
      </c>
    </row>
    <row r="735" spans="1:10" x14ac:dyDescent="0.25">
      <c r="A735">
        <v>734</v>
      </c>
      <c r="B735" s="1">
        <v>45313</v>
      </c>
      <c r="C735" t="s">
        <v>23</v>
      </c>
      <c r="D735" t="s">
        <v>17</v>
      </c>
      <c r="E735">
        <v>98</v>
      </c>
      <c r="F735">
        <v>6</v>
      </c>
      <c r="G735">
        <v>6.1</v>
      </c>
      <c r="H735" t="s">
        <v>18</v>
      </c>
      <c r="I735" t="s">
        <v>19</v>
      </c>
      <c r="J735" t="s">
        <v>15</v>
      </c>
    </row>
    <row r="736" spans="1:10" x14ac:dyDescent="0.25">
      <c r="A736">
        <v>735</v>
      </c>
      <c r="B736" s="1">
        <v>45357</v>
      </c>
      <c r="C736" t="s">
        <v>14</v>
      </c>
      <c r="D736" t="s">
        <v>20</v>
      </c>
      <c r="E736">
        <v>133</v>
      </c>
      <c r="F736">
        <v>40</v>
      </c>
      <c r="G736">
        <v>8</v>
      </c>
      <c r="H736" t="s">
        <v>18</v>
      </c>
      <c r="I736" t="s">
        <v>16</v>
      </c>
      <c r="J736" t="s">
        <v>11</v>
      </c>
    </row>
    <row r="737" spans="1:10" x14ac:dyDescent="0.25">
      <c r="A737">
        <v>736</v>
      </c>
      <c r="B737" s="1">
        <v>45627</v>
      </c>
      <c r="C737" t="s">
        <v>23</v>
      </c>
      <c r="D737" t="s">
        <v>20</v>
      </c>
      <c r="E737">
        <v>117</v>
      </c>
      <c r="F737">
        <v>33</v>
      </c>
      <c r="G737">
        <v>3.5</v>
      </c>
      <c r="H737" t="s">
        <v>18</v>
      </c>
      <c r="I737" t="s">
        <v>16</v>
      </c>
      <c r="J737" t="s">
        <v>11</v>
      </c>
    </row>
    <row r="738" spans="1:10" x14ac:dyDescent="0.25">
      <c r="A738">
        <v>737</v>
      </c>
      <c r="B738" s="1">
        <v>45332</v>
      </c>
      <c r="C738" t="s">
        <v>14</v>
      </c>
      <c r="D738" t="s">
        <v>15</v>
      </c>
      <c r="E738">
        <v>224</v>
      </c>
      <c r="F738">
        <v>30</v>
      </c>
      <c r="G738">
        <v>1</v>
      </c>
      <c r="H738" t="s">
        <v>12</v>
      </c>
      <c r="I738" t="s">
        <v>16</v>
      </c>
      <c r="J738" t="s">
        <v>11</v>
      </c>
    </row>
    <row r="739" spans="1:10" x14ac:dyDescent="0.25">
      <c r="A739">
        <v>738</v>
      </c>
      <c r="B739" s="1">
        <v>45582</v>
      </c>
      <c r="C739" t="s">
        <v>14</v>
      </c>
      <c r="D739" t="s">
        <v>20</v>
      </c>
      <c r="E739">
        <v>139</v>
      </c>
      <c r="F739">
        <v>44</v>
      </c>
      <c r="G739">
        <v>6.2</v>
      </c>
      <c r="H739" t="s">
        <v>18</v>
      </c>
      <c r="I739" t="s">
        <v>13</v>
      </c>
      <c r="J739" t="s">
        <v>11</v>
      </c>
    </row>
    <row r="740" spans="1:10" x14ac:dyDescent="0.25">
      <c r="A740">
        <v>739</v>
      </c>
      <c r="B740" s="1">
        <v>45471</v>
      </c>
      <c r="C740" t="s">
        <v>22</v>
      </c>
      <c r="D740" t="s">
        <v>20</v>
      </c>
      <c r="E740">
        <v>147</v>
      </c>
      <c r="F740">
        <v>45</v>
      </c>
      <c r="G740">
        <v>4.5</v>
      </c>
      <c r="H740" t="s">
        <v>18</v>
      </c>
      <c r="I740" t="s">
        <v>13</v>
      </c>
      <c r="J740" t="s">
        <v>11</v>
      </c>
    </row>
    <row r="741" spans="1:10" x14ac:dyDescent="0.25">
      <c r="A741">
        <v>740</v>
      </c>
      <c r="B741" s="1">
        <v>45402</v>
      </c>
      <c r="C741" t="s">
        <v>14</v>
      </c>
      <c r="D741" t="s">
        <v>15</v>
      </c>
      <c r="E741">
        <v>46</v>
      </c>
      <c r="F741">
        <v>55</v>
      </c>
      <c r="G741">
        <v>2.8</v>
      </c>
      <c r="H741" t="s">
        <v>12</v>
      </c>
      <c r="I741" t="s">
        <v>13</v>
      </c>
      <c r="J741" t="s">
        <v>11</v>
      </c>
    </row>
    <row r="742" spans="1:10" x14ac:dyDescent="0.25">
      <c r="A742">
        <v>741</v>
      </c>
      <c r="B742" s="1">
        <v>45522</v>
      </c>
      <c r="C742" t="s">
        <v>21</v>
      </c>
      <c r="D742" t="s">
        <v>11</v>
      </c>
      <c r="E742">
        <v>235</v>
      </c>
      <c r="F742">
        <v>27</v>
      </c>
      <c r="G742">
        <v>3.2</v>
      </c>
      <c r="H742" t="s">
        <v>18</v>
      </c>
      <c r="I742" t="s">
        <v>16</v>
      </c>
      <c r="J742" t="s">
        <v>11</v>
      </c>
    </row>
    <row r="743" spans="1:10" x14ac:dyDescent="0.25">
      <c r="A743">
        <v>742</v>
      </c>
      <c r="B743" s="1">
        <v>45306</v>
      </c>
      <c r="C743" t="s">
        <v>22</v>
      </c>
      <c r="D743" t="s">
        <v>15</v>
      </c>
      <c r="E743">
        <v>18</v>
      </c>
      <c r="F743">
        <v>39</v>
      </c>
      <c r="G743">
        <v>8.8000000000000007</v>
      </c>
      <c r="H743" t="s">
        <v>18</v>
      </c>
      <c r="I743" t="s">
        <v>13</v>
      </c>
      <c r="J743" t="s">
        <v>20</v>
      </c>
    </row>
    <row r="744" spans="1:10" x14ac:dyDescent="0.25">
      <c r="A744">
        <v>743</v>
      </c>
      <c r="B744" s="1">
        <v>45612</v>
      </c>
      <c r="C744" t="s">
        <v>10</v>
      </c>
      <c r="D744" t="s">
        <v>20</v>
      </c>
      <c r="E744">
        <v>5</v>
      </c>
      <c r="F744">
        <v>20</v>
      </c>
      <c r="G744">
        <v>0.6</v>
      </c>
      <c r="H744" t="s">
        <v>12</v>
      </c>
      <c r="I744" t="s">
        <v>16</v>
      </c>
      <c r="J744" t="s">
        <v>11</v>
      </c>
    </row>
    <row r="745" spans="1:10" x14ac:dyDescent="0.25">
      <c r="A745">
        <v>744</v>
      </c>
      <c r="B745" s="1">
        <v>45427</v>
      </c>
      <c r="C745" t="s">
        <v>14</v>
      </c>
      <c r="D745" t="s">
        <v>15</v>
      </c>
      <c r="E745">
        <v>72</v>
      </c>
      <c r="F745">
        <v>66</v>
      </c>
      <c r="G745">
        <v>10</v>
      </c>
      <c r="H745" t="s">
        <v>18</v>
      </c>
      <c r="I745" t="s">
        <v>16</v>
      </c>
      <c r="J745" t="s">
        <v>15</v>
      </c>
    </row>
    <row r="746" spans="1:10" x14ac:dyDescent="0.25">
      <c r="A746">
        <v>745</v>
      </c>
      <c r="B746" s="1">
        <v>45584</v>
      </c>
      <c r="C746" t="s">
        <v>23</v>
      </c>
      <c r="D746" t="s">
        <v>15</v>
      </c>
      <c r="E746">
        <v>171</v>
      </c>
      <c r="F746">
        <v>55</v>
      </c>
      <c r="G746">
        <v>6.3</v>
      </c>
      <c r="H746" t="s">
        <v>18</v>
      </c>
      <c r="I746" t="s">
        <v>16</v>
      </c>
      <c r="J746" t="s">
        <v>15</v>
      </c>
    </row>
    <row r="747" spans="1:10" x14ac:dyDescent="0.25">
      <c r="A747">
        <v>746</v>
      </c>
      <c r="B747" s="1">
        <v>45338</v>
      </c>
      <c r="C747" t="s">
        <v>10</v>
      </c>
      <c r="D747" t="s">
        <v>20</v>
      </c>
      <c r="E747">
        <v>110</v>
      </c>
      <c r="F747">
        <v>65</v>
      </c>
      <c r="G747">
        <v>5</v>
      </c>
      <c r="H747" t="s">
        <v>18</v>
      </c>
      <c r="I747" t="s">
        <v>16</v>
      </c>
      <c r="J747" t="s">
        <v>11</v>
      </c>
    </row>
    <row r="748" spans="1:10" x14ac:dyDescent="0.25">
      <c r="A748">
        <v>747</v>
      </c>
      <c r="B748" s="1">
        <v>45635</v>
      </c>
      <c r="C748" t="s">
        <v>10</v>
      </c>
      <c r="D748" t="s">
        <v>17</v>
      </c>
      <c r="E748">
        <v>135</v>
      </c>
      <c r="F748">
        <v>24</v>
      </c>
      <c r="G748">
        <v>3.1</v>
      </c>
      <c r="H748" t="s">
        <v>12</v>
      </c>
      <c r="I748" t="s">
        <v>13</v>
      </c>
      <c r="J748" t="s">
        <v>11</v>
      </c>
    </row>
    <row r="749" spans="1:10" x14ac:dyDescent="0.25">
      <c r="A749">
        <v>748</v>
      </c>
      <c r="B749" s="1">
        <v>45527</v>
      </c>
      <c r="C749" t="s">
        <v>10</v>
      </c>
      <c r="D749" t="s">
        <v>20</v>
      </c>
      <c r="E749">
        <v>30</v>
      </c>
      <c r="F749">
        <v>45</v>
      </c>
      <c r="G749">
        <v>6.1</v>
      </c>
      <c r="H749" t="s">
        <v>12</v>
      </c>
      <c r="I749" t="s">
        <v>13</v>
      </c>
      <c r="J749" t="s">
        <v>15</v>
      </c>
    </row>
    <row r="750" spans="1:10" x14ac:dyDescent="0.25">
      <c r="A750">
        <v>749</v>
      </c>
      <c r="B750" s="1">
        <v>45592</v>
      </c>
      <c r="C750" t="s">
        <v>23</v>
      </c>
      <c r="D750" t="s">
        <v>15</v>
      </c>
      <c r="E750">
        <v>145</v>
      </c>
      <c r="F750">
        <v>16</v>
      </c>
      <c r="G750">
        <v>8.9</v>
      </c>
      <c r="H750" t="s">
        <v>18</v>
      </c>
      <c r="I750" t="s">
        <v>13</v>
      </c>
      <c r="J750" t="s">
        <v>15</v>
      </c>
    </row>
    <row r="751" spans="1:10" x14ac:dyDescent="0.25">
      <c r="A751">
        <v>750</v>
      </c>
      <c r="B751" s="1">
        <v>45507</v>
      </c>
      <c r="C751" t="s">
        <v>22</v>
      </c>
      <c r="D751" t="s">
        <v>17</v>
      </c>
      <c r="E751">
        <v>38</v>
      </c>
      <c r="F751">
        <v>71</v>
      </c>
      <c r="G751">
        <v>1</v>
      </c>
      <c r="H751" t="s">
        <v>18</v>
      </c>
      <c r="I751" t="s">
        <v>16</v>
      </c>
      <c r="J751" t="s">
        <v>11</v>
      </c>
    </row>
    <row r="752" spans="1:10" x14ac:dyDescent="0.25">
      <c r="A752">
        <v>751</v>
      </c>
      <c r="B752" s="1">
        <v>45569</v>
      </c>
      <c r="C752" t="s">
        <v>10</v>
      </c>
      <c r="D752" t="s">
        <v>15</v>
      </c>
      <c r="E752">
        <v>189</v>
      </c>
      <c r="F752">
        <v>17</v>
      </c>
      <c r="G752">
        <v>2.4</v>
      </c>
      <c r="H752" t="s">
        <v>12</v>
      </c>
      <c r="I752" t="s">
        <v>13</v>
      </c>
      <c r="J752" t="s">
        <v>11</v>
      </c>
    </row>
    <row r="753" spans="1:10" x14ac:dyDescent="0.25">
      <c r="A753">
        <v>752</v>
      </c>
      <c r="B753" s="1">
        <v>45527</v>
      </c>
      <c r="C753" t="s">
        <v>23</v>
      </c>
      <c r="D753" t="s">
        <v>11</v>
      </c>
      <c r="E753">
        <v>141</v>
      </c>
      <c r="F753">
        <v>27</v>
      </c>
      <c r="G753">
        <v>2.5</v>
      </c>
      <c r="H753" t="s">
        <v>18</v>
      </c>
      <c r="I753" t="s">
        <v>19</v>
      </c>
      <c r="J753" t="s">
        <v>11</v>
      </c>
    </row>
    <row r="754" spans="1:10" x14ac:dyDescent="0.25">
      <c r="A754">
        <v>753</v>
      </c>
      <c r="B754" s="1">
        <v>45615</v>
      </c>
      <c r="C754" t="s">
        <v>23</v>
      </c>
      <c r="D754" t="s">
        <v>17</v>
      </c>
      <c r="E754">
        <v>47</v>
      </c>
      <c r="F754">
        <v>25</v>
      </c>
      <c r="G754">
        <v>1.2</v>
      </c>
      <c r="H754" t="s">
        <v>12</v>
      </c>
      <c r="I754" t="s">
        <v>16</v>
      </c>
      <c r="J754" t="s">
        <v>11</v>
      </c>
    </row>
    <row r="755" spans="1:10" x14ac:dyDescent="0.25">
      <c r="A755">
        <v>754</v>
      </c>
      <c r="B755" s="1">
        <v>45386</v>
      </c>
      <c r="C755" t="s">
        <v>23</v>
      </c>
      <c r="D755" t="s">
        <v>20</v>
      </c>
      <c r="E755">
        <v>170</v>
      </c>
      <c r="F755">
        <v>50</v>
      </c>
      <c r="G755">
        <v>8.1999999999999993</v>
      </c>
      <c r="H755" t="s">
        <v>12</v>
      </c>
      <c r="I755" t="s">
        <v>13</v>
      </c>
      <c r="J755" t="s">
        <v>11</v>
      </c>
    </row>
    <row r="756" spans="1:10" x14ac:dyDescent="0.25">
      <c r="A756">
        <v>755</v>
      </c>
      <c r="B756" s="1">
        <v>45416</v>
      </c>
      <c r="C756" t="s">
        <v>21</v>
      </c>
      <c r="D756" t="s">
        <v>11</v>
      </c>
      <c r="E756">
        <v>106</v>
      </c>
      <c r="F756">
        <v>21</v>
      </c>
      <c r="G756">
        <v>6.6</v>
      </c>
      <c r="H756" t="s">
        <v>12</v>
      </c>
      <c r="I756" t="s">
        <v>16</v>
      </c>
      <c r="J756" t="s">
        <v>11</v>
      </c>
    </row>
    <row r="757" spans="1:10" x14ac:dyDescent="0.25">
      <c r="A757">
        <v>756</v>
      </c>
      <c r="B757" s="1">
        <v>45370</v>
      </c>
      <c r="C757" t="s">
        <v>14</v>
      </c>
      <c r="D757" t="s">
        <v>11</v>
      </c>
      <c r="E757">
        <v>48</v>
      </c>
      <c r="F757">
        <v>71</v>
      </c>
      <c r="G757">
        <v>4.5</v>
      </c>
      <c r="H757" t="s">
        <v>12</v>
      </c>
      <c r="I757" t="s">
        <v>16</v>
      </c>
      <c r="J757" t="s">
        <v>11</v>
      </c>
    </row>
    <row r="758" spans="1:10" x14ac:dyDescent="0.25">
      <c r="A758">
        <v>757</v>
      </c>
      <c r="B758" s="1">
        <v>45312</v>
      </c>
      <c r="C758" t="s">
        <v>10</v>
      </c>
      <c r="D758" t="s">
        <v>11</v>
      </c>
      <c r="E758">
        <v>167</v>
      </c>
      <c r="F758">
        <v>68</v>
      </c>
      <c r="G758">
        <v>1.4</v>
      </c>
      <c r="H758" t="s">
        <v>12</v>
      </c>
      <c r="I758" t="s">
        <v>19</v>
      </c>
      <c r="J758" t="s">
        <v>11</v>
      </c>
    </row>
    <row r="759" spans="1:10" x14ac:dyDescent="0.25">
      <c r="A759">
        <v>758</v>
      </c>
      <c r="B759" s="1">
        <v>45400</v>
      </c>
      <c r="C759" t="s">
        <v>14</v>
      </c>
      <c r="D759" t="s">
        <v>11</v>
      </c>
      <c r="E759">
        <v>211</v>
      </c>
      <c r="F759">
        <v>61</v>
      </c>
      <c r="G759">
        <v>8.3000000000000007</v>
      </c>
      <c r="H759" t="s">
        <v>12</v>
      </c>
      <c r="I759" t="s">
        <v>16</v>
      </c>
      <c r="J759" t="s">
        <v>11</v>
      </c>
    </row>
    <row r="760" spans="1:10" x14ac:dyDescent="0.25">
      <c r="A760">
        <v>759</v>
      </c>
      <c r="B760" s="1">
        <v>45617</v>
      </c>
      <c r="C760" t="s">
        <v>22</v>
      </c>
      <c r="D760" t="s">
        <v>17</v>
      </c>
      <c r="E760">
        <v>37</v>
      </c>
      <c r="F760">
        <v>1</v>
      </c>
      <c r="G760">
        <v>2.7</v>
      </c>
      <c r="H760" t="s">
        <v>18</v>
      </c>
      <c r="I760" t="s">
        <v>13</v>
      </c>
      <c r="J760" t="s">
        <v>15</v>
      </c>
    </row>
    <row r="761" spans="1:10" x14ac:dyDescent="0.25">
      <c r="A761">
        <v>760</v>
      </c>
      <c r="B761" s="1">
        <v>45484</v>
      </c>
      <c r="C761" t="s">
        <v>23</v>
      </c>
      <c r="D761" t="s">
        <v>15</v>
      </c>
      <c r="E761">
        <v>39</v>
      </c>
      <c r="F761">
        <v>19</v>
      </c>
      <c r="G761">
        <v>3.7</v>
      </c>
      <c r="H761" t="s">
        <v>18</v>
      </c>
      <c r="I761" t="s">
        <v>13</v>
      </c>
      <c r="J761" t="s">
        <v>11</v>
      </c>
    </row>
    <row r="762" spans="1:10" x14ac:dyDescent="0.25">
      <c r="A762">
        <v>761</v>
      </c>
      <c r="B762" s="1">
        <v>45334</v>
      </c>
      <c r="C762" t="s">
        <v>10</v>
      </c>
      <c r="D762" t="s">
        <v>11</v>
      </c>
      <c r="E762">
        <v>201</v>
      </c>
      <c r="F762">
        <v>59</v>
      </c>
      <c r="G762">
        <v>0.6</v>
      </c>
      <c r="H762" t="s">
        <v>12</v>
      </c>
      <c r="I762" t="s">
        <v>19</v>
      </c>
      <c r="J762" t="s">
        <v>11</v>
      </c>
    </row>
    <row r="763" spans="1:10" x14ac:dyDescent="0.25">
      <c r="A763">
        <v>762</v>
      </c>
      <c r="B763" s="1">
        <v>45404</v>
      </c>
      <c r="C763" t="s">
        <v>23</v>
      </c>
      <c r="D763" t="s">
        <v>20</v>
      </c>
      <c r="E763">
        <v>222</v>
      </c>
      <c r="F763">
        <v>55</v>
      </c>
      <c r="G763">
        <v>9.1</v>
      </c>
      <c r="H763" t="s">
        <v>18</v>
      </c>
      <c r="I763" t="s">
        <v>16</v>
      </c>
      <c r="J763" t="s">
        <v>11</v>
      </c>
    </row>
    <row r="764" spans="1:10" x14ac:dyDescent="0.25">
      <c r="A764">
        <v>763</v>
      </c>
      <c r="B764" s="1">
        <v>45296</v>
      </c>
      <c r="C764" t="s">
        <v>14</v>
      </c>
      <c r="D764" t="s">
        <v>17</v>
      </c>
      <c r="E764">
        <v>91</v>
      </c>
      <c r="F764">
        <v>68</v>
      </c>
      <c r="G764">
        <v>2.6</v>
      </c>
      <c r="H764" t="s">
        <v>12</v>
      </c>
      <c r="I764" t="s">
        <v>13</v>
      </c>
      <c r="J764" t="s">
        <v>11</v>
      </c>
    </row>
    <row r="765" spans="1:10" x14ac:dyDescent="0.25">
      <c r="A765">
        <v>764</v>
      </c>
      <c r="B765" s="1">
        <v>45462</v>
      </c>
      <c r="C765" t="s">
        <v>21</v>
      </c>
      <c r="D765" t="s">
        <v>11</v>
      </c>
      <c r="E765">
        <v>30</v>
      </c>
      <c r="F765">
        <v>33</v>
      </c>
      <c r="G765">
        <v>3</v>
      </c>
      <c r="H765" t="s">
        <v>18</v>
      </c>
      <c r="I765" t="s">
        <v>19</v>
      </c>
      <c r="J765" t="s">
        <v>15</v>
      </c>
    </row>
    <row r="766" spans="1:10" x14ac:dyDescent="0.25">
      <c r="A766">
        <v>765</v>
      </c>
      <c r="B766" s="1">
        <v>45328</v>
      </c>
      <c r="C766" t="s">
        <v>14</v>
      </c>
      <c r="D766" t="s">
        <v>15</v>
      </c>
      <c r="E766">
        <v>113</v>
      </c>
      <c r="F766">
        <v>46</v>
      </c>
      <c r="G766">
        <v>3.1</v>
      </c>
      <c r="H766" t="s">
        <v>18</v>
      </c>
      <c r="I766" t="s">
        <v>13</v>
      </c>
      <c r="J766" t="s">
        <v>11</v>
      </c>
    </row>
    <row r="767" spans="1:10" x14ac:dyDescent="0.25">
      <c r="A767">
        <v>766</v>
      </c>
      <c r="B767" s="1">
        <v>45548</v>
      </c>
      <c r="C767" t="s">
        <v>10</v>
      </c>
      <c r="D767" t="s">
        <v>11</v>
      </c>
      <c r="E767">
        <v>139</v>
      </c>
      <c r="F767">
        <v>38</v>
      </c>
      <c r="G767">
        <v>2.8</v>
      </c>
      <c r="H767" t="s">
        <v>18</v>
      </c>
      <c r="I767" t="s">
        <v>13</v>
      </c>
      <c r="J767" t="s">
        <v>11</v>
      </c>
    </row>
    <row r="768" spans="1:10" x14ac:dyDescent="0.25">
      <c r="A768">
        <v>767</v>
      </c>
      <c r="B768" s="1">
        <v>45508</v>
      </c>
      <c r="C768" t="s">
        <v>14</v>
      </c>
      <c r="D768" t="s">
        <v>20</v>
      </c>
      <c r="E768">
        <v>156</v>
      </c>
      <c r="F768">
        <v>34</v>
      </c>
      <c r="G768">
        <v>5.5</v>
      </c>
      <c r="H768" t="s">
        <v>12</v>
      </c>
      <c r="I768" t="s">
        <v>19</v>
      </c>
      <c r="J768" t="s">
        <v>11</v>
      </c>
    </row>
    <row r="769" spans="1:10" x14ac:dyDescent="0.25">
      <c r="A769">
        <v>768</v>
      </c>
      <c r="B769" s="1">
        <v>45639</v>
      </c>
      <c r="C769" t="s">
        <v>22</v>
      </c>
      <c r="D769" t="s">
        <v>20</v>
      </c>
      <c r="E769">
        <v>63</v>
      </c>
      <c r="F769">
        <v>2</v>
      </c>
      <c r="G769">
        <v>0.8</v>
      </c>
      <c r="H769" t="s">
        <v>18</v>
      </c>
      <c r="I769" t="s">
        <v>19</v>
      </c>
      <c r="J769" t="s">
        <v>15</v>
      </c>
    </row>
    <row r="770" spans="1:10" x14ac:dyDescent="0.25">
      <c r="A770">
        <v>769</v>
      </c>
      <c r="B770" s="1">
        <v>45440</v>
      </c>
      <c r="C770" t="s">
        <v>14</v>
      </c>
      <c r="D770" t="s">
        <v>11</v>
      </c>
      <c r="E770">
        <v>196</v>
      </c>
      <c r="F770">
        <v>41</v>
      </c>
      <c r="G770">
        <v>6.2</v>
      </c>
      <c r="H770" t="s">
        <v>12</v>
      </c>
      <c r="I770" t="s">
        <v>13</v>
      </c>
      <c r="J770" t="s">
        <v>11</v>
      </c>
    </row>
    <row r="771" spans="1:10" x14ac:dyDescent="0.25">
      <c r="A771">
        <v>770</v>
      </c>
      <c r="B771" s="1">
        <v>45358</v>
      </c>
      <c r="C771" t="s">
        <v>22</v>
      </c>
      <c r="D771" t="s">
        <v>17</v>
      </c>
      <c r="E771">
        <v>220</v>
      </c>
      <c r="F771">
        <v>32</v>
      </c>
      <c r="G771">
        <v>8</v>
      </c>
      <c r="H771" t="s">
        <v>18</v>
      </c>
      <c r="I771" t="s">
        <v>19</v>
      </c>
      <c r="J771" t="s">
        <v>11</v>
      </c>
    </row>
    <row r="772" spans="1:10" x14ac:dyDescent="0.25">
      <c r="A772">
        <v>771</v>
      </c>
      <c r="B772" s="1">
        <v>45325</v>
      </c>
      <c r="C772" t="s">
        <v>23</v>
      </c>
      <c r="D772" t="s">
        <v>15</v>
      </c>
      <c r="E772">
        <v>205</v>
      </c>
      <c r="F772">
        <v>31</v>
      </c>
      <c r="G772">
        <v>5.6</v>
      </c>
      <c r="H772" t="s">
        <v>18</v>
      </c>
      <c r="I772" t="s">
        <v>19</v>
      </c>
      <c r="J772" t="s">
        <v>15</v>
      </c>
    </row>
    <row r="773" spans="1:10" x14ac:dyDescent="0.25">
      <c r="A773">
        <v>772</v>
      </c>
      <c r="B773" s="1">
        <v>45373</v>
      </c>
      <c r="C773" t="s">
        <v>14</v>
      </c>
      <c r="D773" t="s">
        <v>15</v>
      </c>
      <c r="E773">
        <v>11</v>
      </c>
      <c r="F773">
        <v>68</v>
      </c>
      <c r="G773">
        <v>9</v>
      </c>
      <c r="H773" t="s">
        <v>12</v>
      </c>
      <c r="I773" t="s">
        <v>16</v>
      </c>
      <c r="J773" t="s">
        <v>15</v>
      </c>
    </row>
    <row r="774" spans="1:10" x14ac:dyDescent="0.25">
      <c r="A774">
        <v>773</v>
      </c>
      <c r="B774" s="1">
        <v>45547</v>
      </c>
      <c r="C774" t="s">
        <v>10</v>
      </c>
      <c r="D774" t="s">
        <v>17</v>
      </c>
      <c r="E774">
        <v>110</v>
      </c>
      <c r="F774">
        <v>27</v>
      </c>
      <c r="G774">
        <v>6.7</v>
      </c>
      <c r="H774" t="s">
        <v>18</v>
      </c>
      <c r="I774" t="s">
        <v>19</v>
      </c>
      <c r="J774" t="s">
        <v>11</v>
      </c>
    </row>
    <row r="775" spans="1:10" x14ac:dyDescent="0.25">
      <c r="A775">
        <v>774</v>
      </c>
      <c r="B775" s="1">
        <v>45428</v>
      </c>
      <c r="C775" t="s">
        <v>22</v>
      </c>
      <c r="D775" t="s">
        <v>15</v>
      </c>
      <c r="E775">
        <v>207</v>
      </c>
      <c r="F775">
        <v>33</v>
      </c>
      <c r="G775">
        <v>1.2</v>
      </c>
      <c r="H775" t="s">
        <v>12</v>
      </c>
      <c r="I775" t="s">
        <v>13</v>
      </c>
      <c r="J775" t="s">
        <v>11</v>
      </c>
    </row>
    <row r="776" spans="1:10" x14ac:dyDescent="0.25">
      <c r="A776">
        <v>775</v>
      </c>
      <c r="B776" s="1">
        <v>45565</v>
      </c>
      <c r="C776" t="s">
        <v>21</v>
      </c>
      <c r="D776" t="s">
        <v>15</v>
      </c>
      <c r="E776">
        <v>13</v>
      </c>
      <c r="F776">
        <v>35</v>
      </c>
      <c r="G776">
        <v>3.8</v>
      </c>
      <c r="H776" t="s">
        <v>12</v>
      </c>
      <c r="I776" t="s">
        <v>16</v>
      </c>
      <c r="J776" t="s">
        <v>15</v>
      </c>
    </row>
    <row r="777" spans="1:10" x14ac:dyDescent="0.25">
      <c r="A777">
        <v>776</v>
      </c>
      <c r="B777" s="1">
        <v>45389</v>
      </c>
      <c r="C777" t="s">
        <v>23</v>
      </c>
      <c r="D777" t="s">
        <v>11</v>
      </c>
      <c r="E777">
        <v>87</v>
      </c>
      <c r="F777">
        <v>6</v>
      </c>
      <c r="G777">
        <v>7.1</v>
      </c>
      <c r="H777" t="s">
        <v>18</v>
      </c>
      <c r="I777" t="s">
        <v>13</v>
      </c>
      <c r="J777" t="s">
        <v>20</v>
      </c>
    </row>
    <row r="778" spans="1:10" x14ac:dyDescent="0.25">
      <c r="A778">
        <v>777</v>
      </c>
      <c r="B778" s="1">
        <v>45594</v>
      </c>
      <c r="C778" t="s">
        <v>23</v>
      </c>
      <c r="D778" t="s">
        <v>20</v>
      </c>
      <c r="E778">
        <v>240</v>
      </c>
      <c r="F778">
        <v>16</v>
      </c>
      <c r="G778">
        <v>0.9</v>
      </c>
      <c r="H778" t="s">
        <v>12</v>
      </c>
      <c r="I778" t="s">
        <v>13</v>
      </c>
      <c r="J778" t="s">
        <v>11</v>
      </c>
    </row>
    <row r="779" spans="1:10" x14ac:dyDescent="0.25">
      <c r="A779">
        <v>778</v>
      </c>
      <c r="B779" s="1">
        <v>45382</v>
      </c>
      <c r="C779" t="s">
        <v>14</v>
      </c>
      <c r="D779" t="s">
        <v>17</v>
      </c>
      <c r="E779">
        <v>118</v>
      </c>
      <c r="F779">
        <v>58</v>
      </c>
      <c r="G779">
        <v>6.4</v>
      </c>
      <c r="H779" t="s">
        <v>18</v>
      </c>
      <c r="I779" t="s">
        <v>19</v>
      </c>
      <c r="J779" t="s">
        <v>11</v>
      </c>
    </row>
    <row r="780" spans="1:10" x14ac:dyDescent="0.25">
      <c r="A780">
        <v>779</v>
      </c>
      <c r="B780" s="1">
        <v>45636</v>
      </c>
      <c r="C780" t="s">
        <v>22</v>
      </c>
      <c r="D780" t="s">
        <v>15</v>
      </c>
      <c r="E780">
        <v>208</v>
      </c>
      <c r="F780">
        <v>55</v>
      </c>
      <c r="G780">
        <v>4.9000000000000004</v>
      </c>
      <c r="H780" t="s">
        <v>12</v>
      </c>
      <c r="I780" t="s">
        <v>19</v>
      </c>
      <c r="J780" t="s">
        <v>11</v>
      </c>
    </row>
    <row r="781" spans="1:10" x14ac:dyDescent="0.25">
      <c r="A781">
        <v>780</v>
      </c>
      <c r="B781" s="1">
        <v>45331</v>
      </c>
      <c r="C781" t="s">
        <v>14</v>
      </c>
      <c r="D781" t="s">
        <v>11</v>
      </c>
      <c r="E781">
        <v>233</v>
      </c>
      <c r="F781">
        <v>2</v>
      </c>
      <c r="G781">
        <v>9.8000000000000007</v>
      </c>
      <c r="H781" t="s">
        <v>18</v>
      </c>
      <c r="I781" t="s">
        <v>13</v>
      </c>
      <c r="J781" t="s">
        <v>20</v>
      </c>
    </row>
    <row r="782" spans="1:10" x14ac:dyDescent="0.25">
      <c r="A782">
        <v>781</v>
      </c>
      <c r="B782" s="1">
        <v>45368</v>
      </c>
      <c r="C782" t="s">
        <v>10</v>
      </c>
      <c r="D782" t="s">
        <v>15</v>
      </c>
      <c r="E782">
        <v>87</v>
      </c>
      <c r="F782">
        <v>4</v>
      </c>
      <c r="G782">
        <v>8</v>
      </c>
      <c r="H782" t="s">
        <v>18</v>
      </c>
      <c r="I782" t="s">
        <v>16</v>
      </c>
      <c r="J782" t="s">
        <v>20</v>
      </c>
    </row>
    <row r="783" spans="1:10" x14ac:dyDescent="0.25">
      <c r="A783">
        <v>782</v>
      </c>
      <c r="B783" s="1">
        <v>45603</v>
      </c>
      <c r="C783" t="s">
        <v>10</v>
      </c>
      <c r="D783" t="s">
        <v>17</v>
      </c>
      <c r="E783">
        <v>228</v>
      </c>
      <c r="F783">
        <v>4</v>
      </c>
      <c r="G783">
        <v>8</v>
      </c>
      <c r="H783" t="s">
        <v>12</v>
      </c>
      <c r="I783" t="s">
        <v>19</v>
      </c>
      <c r="J783" t="s">
        <v>15</v>
      </c>
    </row>
    <row r="784" spans="1:10" x14ac:dyDescent="0.25">
      <c r="A784">
        <v>783</v>
      </c>
      <c r="B784" s="1">
        <v>45578</v>
      </c>
      <c r="C784" t="s">
        <v>21</v>
      </c>
      <c r="D784" t="s">
        <v>17</v>
      </c>
      <c r="E784">
        <v>69</v>
      </c>
      <c r="F784">
        <v>65</v>
      </c>
      <c r="G784">
        <v>5.7</v>
      </c>
      <c r="H784" t="s">
        <v>18</v>
      </c>
      <c r="I784" t="s">
        <v>13</v>
      </c>
      <c r="J784" t="s">
        <v>11</v>
      </c>
    </row>
    <row r="785" spans="1:10" x14ac:dyDescent="0.25">
      <c r="A785">
        <v>784</v>
      </c>
      <c r="B785" s="1">
        <v>45353</v>
      </c>
      <c r="C785" t="s">
        <v>14</v>
      </c>
      <c r="D785" t="s">
        <v>20</v>
      </c>
      <c r="E785">
        <v>97</v>
      </c>
      <c r="F785">
        <v>18</v>
      </c>
      <c r="G785">
        <v>5.7</v>
      </c>
      <c r="H785" t="s">
        <v>18</v>
      </c>
      <c r="I785" t="s">
        <v>13</v>
      </c>
      <c r="J785" t="s">
        <v>11</v>
      </c>
    </row>
    <row r="786" spans="1:10" x14ac:dyDescent="0.25">
      <c r="A786">
        <v>785</v>
      </c>
      <c r="B786" s="1">
        <v>45567</v>
      </c>
      <c r="C786" t="s">
        <v>23</v>
      </c>
      <c r="D786" t="s">
        <v>17</v>
      </c>
      <c r="E786">
        <v>96</v>
      </c>
      <c r="F786">
        <v>2</v>
      </c>
      <c r="G786">
        <v>7.1</v>
      </c>
      <c r="H786" t="s">
        <v>18</v>
      </c>
      <c r="I786" t="s">
        <v>13</v>
      </c>
      <c r="J786" t="s">
        <v>15</v>
      </c>
    </row>
    <row r="787" spans="1:10" x14ac:dyDescent="0.25">
      <c r="A787">
        <v>786</v>
      </c>
      <c r="B787" s="1">
        <v>45393</v>
      </c>
      <c r="C787" t="s">
        <v>14</v>
      </c>
      <c r="D787" t="s">
        <v>15</v>
      </c>
      <c r="E787">
        <v>14</v>
      </c>
      <c r="F787">
        <v>25</v>
      </c>
      <c r="G787">
        <v>5.8</v>
      </c>
      <c r="H787" t="s">
        <v>18</v>
      </c>
      <c r="I787" t="s">
        <v>16</v>
      </c>
      <c r="J787" t="s">
        <v>20</v>
      </c>
    </row>
    <row r="788" spans="1:10" x14ac:dyDescent="0.25">
      <c r="A788">
        <v>787</v>
      </c>
      <c r="B788" s="1">
        <v>45531</v>
      </c>
      <c r="C788" t="s">
        <v>22</v>
      </c>
      <c r="D788" t="s">
        <v>20</v>
      </c>
      <c r="E788">
        <v>44</v>
      </c>
      <c r="F788">
        <v>71</v>
      </c>
      <c r="G788">
        <v>6.8</v>
      </c>
      <c r="H788" t="s">
        <v>18</v>
      </c>
      <c r="I788" t="s">
        <v>13</v>
      </c>
      <c r="J788" t="s">
        <v>11</v>
      </c>
    </row>
    <row r="789" spans="1:10" x14ac:dyDescent="0.25">
      <c r="A789">
        <v>788</v>
      </c>
      <c r="B789" s="1">
        <v>45405</v>
      </c>
      <c r="C789" t="s">
        <v>21</v>
      </c>
      <c r="D789" t="s">
        <v>15</v>
      </c>
      <c r="E789">
        <v>82</v>
      </c>
      <c r="F789">
        <v>38</v>
      </c>
      <c r="G789">
        <v>2.1</v>
      </c>
      <c r="H789" t="s">
        <v>12</v>
      </c>
      <c r="I789" t="s">
        <v>13</v>
      </c>
      <c r="J789" t="s">
        <v>11</v>
      </c>
    </row>
    <row r="790" spans="1:10" x14ac:dyDescent="0.25">
      <c r="A790">
        <v>789</v>
      </c>
      <c r="B790" s="1">
        <v>45522</v>
      </c>
      <c r="C790" t="s">
        <v>10</v>
      </c>
      <c r="D790" t="s">
        <v>20</v>
      </c>
      <c r="E790">
        <v>52</v>
      </c>
      <c r="F790">
        <v>3</v>
      </c>
      <c r="G790">
        <v>6.7</v>
      </c>
      <c r="H790" t="s">
        <v>12</v>
      </c>
      <c r="I790" t="s">
        <v>16</v>
      </c>
      <c r="J790" t="s">
        <v>15</v>
      </c>
    </row>
    <row r="791" spans="1:10" x14ac:dyDescent="0.25">
      <c r="A791">
        <v>790</v>
      </c>
      <c r="B791" s="1">
        <v>45473</v>
      </c>
      <c r="C791" t="s">
        <v>10</v>
      </c>
      <c r="D791" t="s">
        <v>20</v>
      </c>
      <c r="E791">
        <v>96</v>
      </c>
      <c r="F791">
        <v>34</v>
      </c>
      <c r="G791">
        <v>0.7</v>
      </c>
      <c r="H791" t="s">
        <v>12</v>
      </c>
      <c r="I791" t="s">
        <v>16</v>
      </c>
      <c r="J791" t="s">
        <v>11</v>
      </c>
    </row>
    <row r="792" spans="1:10" x14ac:dyDescent="0.25">
      <c r="A792">
        <v>791</v>
      </c>
      <c r="B792" s="1">
        <v>45298</v>
      </c>
      <c r="C792" t="s">
        <v>10</v>
      </c>
      <c r="D792" t="s">
        <v>11</v>
      </c>
      <c r="E792">
        <v>199</v>
      </c>
      <c r="F792">
        <v>29</v>
      </c>
      <c r="G792">
        <v>5.4</v>
      </c>
      <c r="H792" t="s">
        <v>12</v>
      </c>
      <c r="I792" t="s">
        <v>13</v>
      </c>
      <c r="J792" t="s">
        <v>11</v>
      </c>
    </row>
    <row r="793" spans="1:10" x14ac:dyDescent="0.25">
      <c r="A793">
        <v>792</v>
      </c>
      <c r="B793" s="1">
        <v>45435</v>
      </c>
      <c r="C793" t="s">
        <v>22</v>
      </c>
      <c r="D793" t="s">
        <v>15</v>
      </c>
      <c r="E793">
        <v>207</v>
      </c>
      <c r="F793">
        <v>71</v>
      </c>
      <c r="G793">
        <v>3.5</v>
      </c>
      <c r="H793" t="s">
        <v>12</v>
      </c>
      <c r="I793" t="s">
        <v>13</v>
      </c>
      <c r="J793" t="s">
        <v>11</v>
      </c>
    </row>
    <row r="794" spans="1:10" x14ac:dyDescent="0.25">
      <c r="A794">
        <v>793</v>
      </c>
      <c r="B794" s="1">
        <v>45591</v>
      </c>
      <c r="C794" t="s">
        <v>22</v>
      </c>
      <c r="D794" t="s">
        <v>11</v>
      </c>
      <c r="E794">
        <v>9</v>
      </c>
      <c r="F794">
        <v>17</v>
      </c>
      <c r="G794">
        <v>1.1000000000000001</v>
      </c>
      <c r="H794" t="s">
        <v>12</v>
      </c>
      <c r="I794" t="s">
        <v>19</v>
      </c>
      <c r="J794" t="s">
        <v>15</v>
      </c>
    </row>
    <row r="795" spans="1:10" x14ac:dyDescent="0.25">
      <c r="A795">
        <v>794</v>
      </c>
      <c r="B795" s="1">
        <v>45300</v>
      </c>
      <c r="C795" t="s">
        <v>23</v>
      </c>
      <c r="D795" t="s">
        <v>11</v>
      </c>
      <c r="E795">
        <v>140</v>
      </c>
      <c r="F795">
        <v>3</v>
      </c>
      <c r="G795">
        <v>4.5</v>
      </c>
      <c r="H795" t="s">
        <v>18</v>
      </c>
      <c r="I795" t="s">
        <v>19</v>
      </c>
      <c r="J795" t="s">
        <v>15</v>
      </c>
    </row>
    <row r="796" spans="1:10" x14ac:dyDescent="0.25">
      <c r="A796">
        <v>795</v>
      </c>
      <c r="B796" s="1">
        <v>45308</v>
      </c>
      <c r="C796" t="s">
        <v>21</v>
      </c>
      <c r="D796" t="s">
        <v>20</v>
      </c>
      <c r="E796">
        <v>48</v>
      </c>
      <c r="F796">
        <v>37</v>
      </c>
      <c r="G796">
        <v>4.0999999999999996</v>
      </c>
      <c r="H796" t="s">
        <v>18</v>
      </c>
      <c r="I796" t="s">
        <v>19</v>
      </c>
      <c r="J796" t="s">
        <v>11</v>
      </c>
    </row>
    <row r="797" spans="1:10" x14ac:dyDescent="0.25">
      <c r="A797">
        <v>796</v>
      </c>
      <c r="B797" s="1">
        <v>45529</v>
      </c>
      <c r="C797" t="s">
        <v>21</v>
      </c>
      <c r="D797" t="s">
        <v>15</v>
      </c>
      <c r="E797">
        <v>66</v>
      </c>
      <c r="F797">
        <v>34</v>
      </c>
      <c r="G797">
        <v>5.4</v>
      </c>
      <c r="H797" t="s">
        <v>12</v>
      </c>
      <c r="I797" t="s">
        <v>13</v>
      </c>
      <c r="J797" t="s">
        <v>11</v>
      </c>
    </row>
    <row r="798" spans="1:10" x14ac:dyDescent="0.25">
      <c r="A798">
        <v>797</v>
      </c>
      <c r="B798" s="1">
        <v>45354</v>
      </c>
      <c r="C798" t="s">
        <v>14</v>
      </c>
      <c r="D798" t="s">
        <v>11</v>
      </c>
      <c r="E798">
        <v>76</v>
      </c>
      <c r="F798">
        <v>13</v>
      </c>
      <c r="G798">
        <v>5</v>
      </c>
      <c r="H798" t="s">
        <v>12</v>
      </c>
      <c r="I798" t="s">
        <v>13</v>
      </c>
      <c r="J798" t="s">
        <v>11</v>
      </c>
    </row>
    <row r="799" spans="1:10" x14ac:dyDescent="0.25">
      <c r="A799">
        <v>798</v>
      </c>
      <c r="B799" s="1">
        <v>45555</v>
      </c>
      <c r="C799" t="s">
        <v>10</v>
      </c>
      <c r="D799" t="s">
        <v>15</v>
      </c>
      <c r="E799">
        <v>118</v>
      </c>
      <c r="F799">
        <v>14</v>
      </c>
      <c r="G799">
        <v>3.1</v>
      </c>
      <c r="H799" t="s">
        <v>12</v>
      </c>
      <c r="I799" t="s">
        <v>13</v>
      </c>
      <c r="J799" t="s">
        <v>11</v>
      </c>
    </row>
    <row r="800" spans="1:10" x14ac:dyDescent="0.25">
      <c r="A800">
        <v>799</v>
      </c>
      <c r="B800" s="1">
        <v>45613</v>
      </c>
      <c r="C800" t="s">
        <v>10</v>
      </c>
      <c r="D800" t="s">
        <v>11</v>
      </c>
      <c r="E800">
        <v>164</v>
      </c>
      <c r="F800">
        <v>35</v>
      </c>
      <c r="G800">
        <v>1.5</v>
      </c>
      <c r="H800" t="s">
        <v>18</v>
      </c>
      <c r="I800" t="s">
        <v>16</v>
      </c>
      <c r="J800" t="s">
        <v>11</v>
      </c>
    </row>
    <row r="801" spans="1:10" x14ac:dyDescent="0.25">
      <c r="A801">
        <v>800</v>
      </c>
      <c r="B801" s="1">
        <v>45541</v>
      </c>
      <c r="C801" t="s">
        <v>10</v>
      </c>
      <c r="D801" t="s">
        <v>17</v>
      </c>
      <c r="E801">
        <v>203</v>
      </c>
      <c r="F801">
        <v>37</v>
      </c>
      <c r="G801">
        <v>7.3</v>
      </c>
      <c r="H801" t="s">
        <v>12</v>
      </c>
      <c r="I801" t="s">
        <v>19</v>
      </c>
      <c r="J801" t="s">
        <v>11</v>
      </c>
    </row>
    <row r="802" spans="1:10" x14ac:dyDescent="0.25">
      <c r="A802">
        <v>801</v>
      </c>
      <c r="B802" s="1">
        <v>45485</v>
      </c>
      <c r="C802" t="s">
        <v>14</v>
      </c>
      <c r="D802" t="s">
        <v>15</v>
      </c>
      <c r="E802">
        <v>17</v>
      </c>
      <c r="F802">
        <v>56</v>
      </c>
      <c r="G802">
        <v>5.4</v>
      </c>
      <c r="H802" t="s">
        <v>18</v>
      </c>
      <c r="I802" t="s">
        <v>13</v>
      </c>
      <c r="J802" t="s">
        <v>20</v>
      </c>
    </row>
    <row r="803" spans="1:10" x14ac:dyDescent="0.25">
      <c r="A803">
        <v>802</v>
      </c>
      <c r="B803" s="1">
        <v>45599</v>
      </c>
      <c r="C803" t="s">
        <v>14</v>
      </c>
      <c r="D803" t="s">
        <v>11</v>
      </c>
      <c r="E803">
        <v>44</v>
      </c>
      <c r="F803">
        <v>50</v>
      </c>
      <c r="G803">
        <v>8.5</v>
      </c>
      <c r="H803" t="s">
        <v>18</v>
      </c>
      <c r="I803" t="s">
        <v>16</v>
      </c>
      <c r="J803" t="s">
        <v>15</v>
      </c>
    </row>
    <row r="804" spans="1:10" x14ac:dyDescent="0.25">
      <c r="A804">
        <v>803</v>
      </c>
      <c r="B804" s="1">
        <v>45332</v>
      </c>
      <c r="C804" t="s">
        <v>23</v>
      </c>
      <c r="D804" t="s">
        <v>11</v>
      </c>
      <c r="E804">
        <v>110</v>
      </c>
      <c r="F804">
        <v>53</v>
      </c>
      <c r="G804">
        <v>7.7</v>
      </c>
      <c r="H804" t="s">
        <v>18</v>
      </c>
      <c r="I804" t="s">
        <v>19</v>
      </c>
      <c r="J804" t="s">
        <v>15</v>
      </c>
    </row>
    <row r="805" spans="1:10" x14ac:dyDescent="0.25">
      <c r="A805">
        <v>804</v>
      </c>
      <c r="B805" s="1">
        <v>45527</v>
      </c>
      <c r="C805" t="s">
        <v>23</v>
      </c>
      <c r="D805" t="s">
        <v>20</v>
      </c>
      <c r="E805">
        <v>119</v>
      </c>
      <c r="F805">
        <v>7</v>
      </c>
      <c r="G805">
        <v>4.7</v>
      </c>
      <c r="H805" t="s">
        <v>18</v>
      </c>
      <c r="I805" t="s">
        <v>13</v>
      </c>
      <c r="J805" t="s">
        <v>11</v>
      </c>
    </row>
    <row r="806" spans="1:10" x14ac:dyDescent="0.25">
      <c r="A806">
        <v>805</v>
      </c>
      <c r="B806" s="1">
        <v>45402</v>
      </c>
      <c r="C806" t="s">
        <v>14</v>
      </c>
      <c r="D806" t="s">
        <v>11</v>
      </c>
      <c r="E806">
        <v>195</v>
      </c>
      <c r="F806">
        <v>25</v>
      </c>
      <c r="G806">
        <v>8.6999999999999993</v>
      </c>
      <c r="H806" t="s">
        <v>12</v>
      </c>
      <c r="I806" t="s">
        <v>19</v>
      </c>
      <c r="J806" t="s">
        <v>11</v>
      </c>
    </row>
    <row r="807" spans="1:10" x14ac:dyDescent="0.25">
      <c r="A807">
        <v>806</v>
      </c>
      <c r="B807" s="1">
        <v>45301</v>
      </c>
      <c r="C807" t="s">
        <v>22</v>
      </c>
      <c r="D807" t="s">
        <v>20</v>
      </c>
      <c r="E807">
        <v>65</v>
      </c>
      <c r="F807">
        <v>28</v>
      </c>
      <c r="G807">
        <v>6.7</v>
      </c>
      <c r="H807" t="s">
        <v>18</v>
      </c>
      <c r="I807" t="s">
        <v>16</v>
      </c>
      <c r="J807" t="s">
        <v>11</v>
      </c>
    </row>
    <row r="808" spans="1:10" x14ac:dyDescent="0.25">
      <c r="A808">
        <v>807</v>
      </c>
      <c r="B808" s="1">
        <v>45457</v>
      </c>
      <c r="C808" t="s">
        <v>14</v>
      </c>
      <c r="D808" t="s">
        <v>15</v>
      </c>
      <c r="E808">
        <v>118</v>
      </c>
      <c r="F808">
        <v>6</v>
      </c>
      <c r="G808">
        <v>7.8</v>
      </c>
      <c r="H808" t="s">
        <v>18</v>
      </c>
      <c r="I808" t="s">
        <v>13</v>
      </c>
      <c r="J808" t="s">
        <v>20</v>
      </c>
    </row>
    <row r="809" spans="1:10" x14ac:dyDescent="0.25">
      <c r="A809">
        <v>808</v>
      </c>
      <c r="B809" s="1">
        <v>45332</v>
      </c>
      <c r="C809" t="s">
        <v>14</v>
      </c>
      <c r="D809" t="s">
        <v>11</v>
      </c>
      <c r="E809">
        <v>115</v>
      </c>
      <c r="F809">
        <v>12</v>
      </c>
      <c r="G809">
        <v>4.8</v>
      </c>
      <c r="H809" t="s">
        <v>18</v>
      </c>
      <c r="I809" t="s">
        <v>16</v>
      </c>
      <c r="J809" t="s">
        <v>11</v>
      </c>
    </row>
    <row r="810" spans="1:10" x14ac:dyDescent="0.25">
      <c r="A810">
        <v>809</v>
      </c>
      <c r="B810" s="1">
        <v>45505</v>
      </c>
      <c r="C810" t="s">
        <v>14</v>
      </c>
      <c r="D810" t="s">
        <v>20</v>
      </c>
      <c r="E810">
        <v>226</v>
      </c>
      <c r="F810">
        <v>64</v>
      </c>
      <c r="G810">
        <v>6.7</v>
      </c>
      <c r="H810" t="s">
        <v>18</v>
      </c>
      <c r="I810" t="s">
        <v>16</v>
      </c>
      <c r="J810" t="s">
        <v>11</v>
      </c>
    </row>
    <row r="811" spans="1:10" x14ac:dyDescent="0.25">
      <c r="A811">
        <v>810</v>
      </c>
      <c r="B811" s="1">
        <v>45426</v>
      </c>
      <c r="C811" t="s">
        <v>21</v>
      </c>
      <c r="D811" t="s">
        <v>11</v>
      </c>
      <c r="E811">
        <v>155</v>
      </c>
      <c r="F811">
        <v>27</v>
      </c>
      <c r="G811">
        <v>3.4</v>
      </c>
      <c r="H811" t="s">
        <v>18</v>
      </c>
      <c r="I811" t="s">
        <v>19</v>
      </c>
      <c r="J811" t="s">
        <v>11</v>
      </c>
    </row>
    <row r="812" spans="1:10" x14ac:dyDescent="0.25">
      <c r="A812">
        <v>811</v>
      </c>
      <c r="B812" s="1">
        <v>45477</v>
      </c>
      <c r="C812" t="s">
        <v>21</v>
      </c>
      <c r="D812" t="s">
        <v>15</v>
      </c>
      <c r="E812">
        <v>51</v>
      </c>
      <c r="F812">
        <v>29</v>
      </c>
      <c r="G812">
        <v>4.5</v>
      </c>
      <c r="H812" t="s">
        <v>18</v>
      </c>
      <c r="I812" t="s">
        <v>13</v>
      </c>
      <c r="J812" t="s">
        <v>11</v>
      </c>
    </row>
    <row r="813" spans="1:10" x14ac:dyDescent="0.25">
      <c r="A813">
        <v>812</v>
      </c>
      <c r="B813" s="1">
        <v>45453</v>
      </c>
      <c r="C813" t="s">
        <v>10</v>
      </c>
      <c r="D813" t="s">
        <v>17</v>
      </c>
      <c r="E813">
        <v>61</v>
      </c>
      <c r="F813">
        <v>64</v>
      </c>
      <c r="G813">
        <v>5</v>
      </c>
      <c r="H813" t="s">
        <v>18</v>
      </c>
      <c r="I813" t="s">
        <v>16</v>
      </c>
      <c r="J813" t="s">
        <v>11</v>
      </c>
    </row>
    <row r="814" spans="1:10" x14ac:dyDescent="0.25">
      <c r="A814">
        <v>813</v>
      </c>
      <c r="B814" s="1">
        <v>45412</v>
      </c>
      <c r="C814" t="s">
        <v>14</v>
      </c>
      <c r="D814" t="s">
        <v>20</v>
      </c>
      <c r="E814">
        <v>184</v>
      </c>
      <c r="F814">
        <v>13</v>
      </c>
      <c r="G814">
        <v>3.8</v>
      </c>
      <c r="H814" t="s">
        <v>12</v>
      </c>
      <c r="I814" t="s">
        <v>16</v>
      </c>
      <c r="J814" t="s">
        <v>11</v>
      </c>
    </row>
    <row r="815" spans="1:10" x14ac:dyDescent="0.25">
      <c r="A815">
        <v>814</v>
      </c>
      <c r="B815" s="1">
        <v>45401</v>
      </c>
      <c r="C815" t="s">
        <v>23</v>
      </c>
      <c r="D815" t="s">
        <v>17</v>
      </c>
      <c r="E815">
        <v>178</v>
      </c>
      <c r="F815">
        <v>10</v>
      </c>
      <c r="G815">
        <v>1.8</v>
      </c>
      <c r="H815" t="s">
        <v>18</v>
      </c>
      <c r="I815" t="s">
        <v>19</v>
      </c>
      <c r="J815" t="s">
        <v>11</v>
      </c>
    </row>
    <row r="816" spans="1:10" x14ac:dyDescent="0.25">
      <c r="A816">
        <v>815</v>
      </c>
      <c r="B816" s="1">
        <v>45550</v>
      </c>
      <c r="C816" t="s">
        <v>22</v>
      </c>
      <c r="D816" t="s">
        <v>11</v>
      </c>
      <c r="E816">
        <v>209</v>
      </c>
      <c r="F816">
        <v>23</v>
      </c>
      <c r="G816">
        <v>9.4</v>
      </c>
      <c r="H816" t="s">
        <v>12</v>
      </c>
      <c r="I816" t="s">
        <v>19</v>
      </c>
      <c r="J816" t="s">
        <v>11</v>
      </c>
    </row>
    <row r="817" spans="1:10" x14ac:dyDescent="0.25">
      <c r="A817">
        <v>816</v>
      </c>
      <c r="B817" s="1">
        <v>45417</v>
      </c>
      <c r="C817" t="s">
        <v>14</v>
      </c>
      <c r="D817" t="s">
        <v>17</v>
      </c>
      <c r="E817">
        <v>117</v>
      </c>
      <c r="F817">
        <v>62</v>
      </c>
      <c r="G817">
        <v>7</v>
      </c>
      <c r="H817" t="s">
        <v>12</v>
      </c>
      <c r="I817" t="s">
        <v>19</v>
      </c>
      <c r="J817" t="s">
        <v>11</v>
      </c>
    </row>
    <row r="818" spans="1:10" x14ac:dyDescent="0.25">
      <c r="A818">
        <v>817</v>
      </c>
      <c r="B818" s="1">
        <v>45599</v>
      </c>
      <c r="C818" t="s">
        <v>22</v>
      </c>
      <c r="D818" t="s">
        <v>17</v>
      </c>
      <c r="E818">
        <v>174</v>
      </c>
      <c r="F818">
        <v>66</v>
      </c>
      <c r="G818">
        <v>2.2000000000000002</v>
      </c>
      <c r="H818" t="s">
        <v>18</v>
      </c>
      <c r="I818" t="s">
        <v>19</v>
      </c>
      <c r="J818" t="s">
        <v>11</v>
      </c>
    </row>
    <row r="819" spans="1:10" x14ac:dyDescent="0.25">
      <c r="A819">
        <v>818</v>
      </c>
      <c r="B819" s="1">
        <v>45635</v>
      </c>
      <c r="C819" t="s">
        <v>21</v>
      </c>
      <c r="D819" t="s">
        <v>20</v>
      </c>
      <c r="E819">
        <v>72</v>
      </c>
      <c r="F819">
        <v>22</v>
      </c>
      <c r="G819">
        <v>4.7</v>
      </c>
      <c r="H819" t="s">
        <v>12</v>
      </c>
      <c r="I819" t="s">
        <v>16</v>
      </c>
      <c r="J819" t="s">
        <v>11</v>
      </c>
    </row>
    <row r="820" spans="1:10" x14ac:dyDescent="0.25">
      <c r="A820">
        <v>819</v>
      </c>
      <c r="B820" s="1">
        <v>45381</v>
      </c>
      <c r="C820" t="s">
        <v>10</v>
      </c>
      <c r="D820" t="s">
        <v>11</v>
      </c>
      <c r="E820">
        <v>178</v>
      </c>
      <c r="F820">
        <v>51</v>
      </c>
      <c r="G820">
        <v>4.3</v>
      </c>
      <c r="H820" t="s">
        <v>18</v>
      </c>
      <c r="I820" t="s">
        <v>16</v>
      </c>
      <c r="J820" t="s">
        <v>11</v>
      </c>
    </row>
    <row r="821" spans="1:10" x14ac:dyDescent="0.25">
      <c r="A821">
        <v>820</v>
      </c>
      <c r="B821" s="1">
        <v>45489</v>
      </c>
      <c r="C821" t="s">
        <v>23</v>
      </c>
      <c r="D821" t="s">
        <v>20</v>
      </c>
      <c r="E821">
        <v>228</v>
      </c>
      <c r="F821">
        <v>61</v>
      </c>
      <c r="G821">
        <v>7.4</v>
      </c>
      <c r="H821" t="s">
        <v>12</v>
      </c>
      <c r="I821" t="s">
        <v>19</v>
      </c>
      <c r="J821" t="s">
        <v>11</v>
      </c>
    </row>
    <row r="822" spans="1:10" x14ac:dyDescent="0.25">
      <c r="A822">
        <v>821</v>
      </c>
      <c r="B822" s="1">
        <v>45406</v>
      </c>
      <c r="C822" t="s">
        <v>10</v>
      </c>
      <c r="D822" t="s">
        <v>11</v>
      </c>
      <c r="E822">
        <v>134</v>
      </c>
      <c r="F822">
        <v>68</v>
      </c>
      <c r="G822">
        <v>1.4</v>
      </c>
      <c r="H822" t="s">
        <v>18</v>
      </c>
      <c r="I822" t="s">
        <v>16</v>
      </c>
      <c r="J822" t="s">
        <v>11</v>
      </c>
    </row>
    <row r="823" spans="1:10" x14ac:dyDescent="0.25">
      <c r="A823">
        <v>822</v>
      </c>
      <c r="B823" s="1">
        <v>45412</v>
      </c>
      <c r="C823" t="s">
        <v>23</v>
      </c>
      <c r="D823" t="s">
        <v>17</v>
      </c>
      <c r="E823">
        <v>213</v>
      </c>
      <c r="F823">
        <v>72</v>
      </c>
      <c r="G823">
        <v>4</v>
      </c>
      <c r="H823" t="s">
        <v>12</v>
      </c>
      <c r="I823" t="s">
        <v>16</v>
      </c>
      <c r="J823" t="s">
        <v>11</v>
      </c>
    </row>
    <row r="824" spans="1:10" x14ac:dyDescent="0.25">
      <c r="A824">
        <v>823</v>
      </c>
      <c r="B824" s="1">
        <v>45621</v>
      </c>
      <c r="C824" t="s">
        <v>22</v>
      </c>
      <c r="D824" t="s">
        <v>20</v>
      </c>
      <c r="E824">
        <v>171</v>
      </c>
      <c r="F824">
        <v>60</v>
      </c>
      <c r="G824">
        <v>4.8</v>
      </c>
      <c r="H824" t="s">
        <v>12</v>
      </c>
      <c r="I824" t="s">
        <v>16</v>
      </c>
      <c r="J824" t="s">
        <v>11</v>
      </c>
    </row>
    <row r="825" spans="1:10" x14ac:dyDescent="0.25">
      <c r="A825">
        <v>824</v>
      </c>
      <c r="B825" s="1">
        <v>45327</v>
      </c>
      <c r="C825" t="s">
        <v>21</v>
      </c>
      <c r="D825" t="s">
        <v>15</v>
      </c>
      <c r="E825">
        <v>85</v>
      </c>
      <c r="F825">
        <v>41</v>
      </c>
      <c r="G825">
        <v>7.7</v>
      </c>
      <c r="H825" t="s">
        <v>12</v>
      </c>
      <c r="I825" t="s">
        <v>13</v>
      </c>
      <c r="J825" t="s">
        <v>11</v>
      </c>
    </row>
    <row r="826" spans="1:10" x14ac:dyDescent="0.25">
      <c r="A826">
        <v>825</v>
      </c>
      <c r="B826" s="1">
        <v>45535</v>
      </c>
      <c r="C826" t="s">
        <v>22</v>
      </c>
      <c r="D826" t="s">
        <v>15</v>
      </c>
      <c r="E826">
        <v>161</v>
      </c>
      <c r="F826">
        <v>36</v>
      </c>
      <c r="G826">
        <v>3.3</v>
      </c>
      <c r="H826" t="s">
        <v>12</v>
      </c>
      <c r="I826" t="s">
        <v>13</v>
      </c>
      <c r="J826" t="s">
        <v>11</v>
      </c>
    </row>
    <row r="827" spans="1:10" x14ac:dyDescent="0.25">
      <c r="A827">
        <v>826</v>
      </c>
      <c r="B827" s="1">
        <v>45381</v>
      </c>
      <c r="C827" t="s">
        <v>14</v>
      </c>
      <c r="D827" t="s">
        <v>15</v>
      </c>
      <c r="E827">
        <v>215</v>
      </c>
      <c r="F827">
        <v>2</v>
      </c>
      <c r="G827">
        <v>5.7</v>
      </c>
      <c r="H827" t="s">
        <v>18</v>
      </c>
      <c r="I827" t="s">
        <v>16</v>
      </c>
      <c r="J827" t="s">
        <v>20</v>
      </c>
    </row>
    <row r="828" spans="1:10" x14ac:dyDescent="0.25">
      <c r="A828">
        <v>827</v>
      </c>
      <c r="B828" s="1">
        <v>45451</v>
      </c>
      <c r="C828" t="s">
        <v>21</v>
      </c>
      <c r="D828" t="s">
        <v>15</v>
      </c>
      <c r="E828">
        <v>92</v>
      </c>
      <c r="F828">
        <v>31</v>
      </c>
      <c r="G828">
        <v>4.9000000000000004</v>
      </c>
      <c r="H828" t="s">
        <v>18</v>
      </c>
      <c r="I828" t="s">
        <v>16</v>
      </c>
      <c r="J828" t="s">
        <v>11</v>
      </c>
    </row>
    <row r="829" spans="1:10" x14ac:dyDescent="0.25">
      <c r="A829">
        <v>828</v>
      </c>
      <c r="B829" s="1">
        <v>45484</v>
      </c>
      <c r="C829" t="s">
        <v>10</v>
      </c>
      <c r="D829" t="s">
        <v>17</v>
      </c>
      <c r="E829">
        <v>37</v>
      </c>
      <c r="F829">
        <v>17</v>
      </c>
      <c r="G829">
        <v>5.6</v>
      </c>
      <c r="H829" t="s">
        <v>18</v>
      </c>
      <c r="I829" t="s">
        <v>16</v>
      </c>
      <c r="J829" t="s">
        <v>11</v>
      </c>
    </row>
    <row r="830" spans="1:10" x14ac:dyDescent="0.25">
      <c r="A830">
        <v>829</v>
      </c>
      <c r="B830" s="1">
        <v>45339</v>
      </c>
      <c r="C830" t="s">
        <v>10</v>
      </c>
      <c r="D830" t="s">
        <v>11</v>
      </c>
      <c r="E830">
        <v>171</v>
      </c>
      <c r="F830">
        <v>56</v>
      </c>
      <c r="G830">
        <v>8.1</v>
      </c>
      <c r="H830" t="s">
        <v>12</v>
      </c>
      <c r="I830" t="s">
        <v>16</v>
      </c>
      <c r="J830" t="s">
        <v>11</v>
      </c>
    </row>
    <row r="831" spans="1:10" x14ac:dyDescent="0.25">
      <c r="A831">
        <v>830</v>
      </c>
      <c r="B831" s="1">
        <v>45604</v>
      </c>
      <c r="C831" t="s">
        <v>14</v>
      </c>
      <c r="D831" t="s">
        <v>20</v>
      </c>
      <c r="E831">
        <v>184</v>
      </c>
      <c r="F831">
        <v>64</v>
      </c>
      <c r="G831">
        <v>5.9</v>
      </c>
      <c r="H831" t="s">
        <v>12</v>
      </c>
      <c r="I831" t="s">
        <v>19</v>
      </c>
      <c r="J831" t="s">
        <v>11</v>
      </c>
    </row>
    <row r="832" spans="1:10" x14ac:dyDescent="0.25">
      <c r="A832">
        <v>831</v>
      </c>
      <c r="B832" s="1">
        <v>45292</v>
      </c>
      <c r="C832" t="s">
        <v>21</v>
      </c>
      <c r="D832" t="s">
        <v>11</v>
      </c>
      <c r="E832">
        <v>177</v>
      </c>
      <c r="F832">
        <v>68</v>
      </c>
      <c r="G832">
        <v>5.6</v>
      </c>
      <c r="H832" t="s">
        <v>18</v>
      </c>
      <c r="I832" t="s">
        <v>16</v>
      </c>
      <c r="J832" t="s">
        <v>15</v>
      </c>
    </row>
    <row r="833" spans="1:10" x14ac:dyDescent="0.25">
      <c r="A833">
        <v>832</v>
      </c>
      <c r="B833" s="1">
        <v>45493</v>
      </c>
      <c r="C833" t="s">
        <v>22</v>
      </c>
      <c r="D833" t="s">
        <v>17</v>
      </c>
      <c r="E833">
        <v>192</v>
      </c>
      <c r="F833">
        <v>13</v>
      </c>
      <c r="G833">
        <v>2.6</v>
      </c>
      <c r="H833" t="s">
        <v>18</v>
      </c>
      <c r="I833" t="s">
        <v>13</v>
      </c>
      <c r="J833" t="s">
        <v>11</v>
      </c>
    </row>
    <row r="834" spans="1:10" x14ac:dyDescent="0.25">
      <c r="A834">
        <v>833</v>
      </c>
      <c r="B834" s="1">
        <v>45510</v>
      </c>
      <c r="C834" t="s">
        <v>22</v>
      </c>
      <c r="D834" t="s">
        <v>11</v>
      </c>
      <c r="E834">
        <v>78</v>
      </c>
      <c r="F834">
        <v>16</v>
      </c>
      <c r="G834">
        <v>2.4</v>
      </c>
      <c r="H834" t="s">
        <v>12</v>
      </c>
      <c r="I834" t="s">
        <v>19</v>
      </c>
      <c r="J834" t="s">
        <v>11</v>
      </c>
    </row>
    <row r="835" spans="1:10" x14ac:dyDescent="0.25">
      <c r="A835">
        <v>834</v>
      </c>
      <c r="B835" s="1">
        <v>45404</v>
      </c>
      <c r="C835" t="s">
        <v>14</v>
      </c>
      <c r="D835" t="s">
        <v>20</v>
      </c>
      <c r="E835">
        <v>63</v>
      </c>
      <c r="F835">
        <v>28</v>
      </c>
      <c r="G835">
        <v>4.7</v>
      </c>
      <c r="H835" t="s">
        <v>18</v>
      </c>
      <c r="I835" t="s">
        <v>13</v>
      </c>
      <c r="J835" t="s">
        <v>11</v>
      </c>
    </row>
    <row r="836" spans="1:10" x14ac:dyDescent="0.25">
      <c r="A836">
        <v>835</v>
      </c>
      <c r="B836" s="1">
        <v>45536</v>
      </c>
      <c r="C836" t="s">
        <v>22</v>
      </c>
      <c r="D836" t="s">
        <v>15</v>
      </c>
      <c r="E836">
        <v>200</v>
      </c>
      <c r="F836">
        <v>55</v>
      </c>
      <c r="G836">
        <v>7.7</v>
      </c>
      <c r="H836" t="s">
        <v>12</v>
      </c>
      <c r="I836" t="s">
        <v>13</v>
      </c>
      <c r="J836" t="s">
        <v>11</v>
      </c>
    </row>
    <row r="837" spans="1:10" x14ac:dyDescent="0.25">
      <c r="A837">
        <v>836</v>
      </c>
      <c r="B837" s="1">
        <v>45426</v>
      </c>
      <c r="C837" t="s">
        <v>10</v>
      </c>
      <c r="D837" t="s">
        <v>17</v>
      </c>
      <c r="E837">
        <v>236</v>
      </c>
      <c r="F837">
        <v>34</v>
      </c>
      <c r="G837">
        <v>3.1</v>
      </c>
      <c r="H837" t="s">
        <v>12</v>
      </c>
      <c r="I837" t="s">
        <v>13</v>
      </c>
      <c r="J837" t="s">
        <v>11</v>
      </c>
    </row>
    <row r="838" spans="1:10" x14ac:dyDescent="0.25">
      <c r="A838">
        <v>837</v>
      </c>
      <c r="B838" s="1">
        <v>45374</v>
      </c>
      <c r="C838" t="s">
        <v>14</v>
      </c>
      <c r="D838" t="s">
        <v>11</v>
      </c>
      <c r="E838">
        <v>146</v>
      </c>
      <c r="F838">
        <v>2</v>
      </c>
      <c r="G838">
        <v>1.5</v>
      </c>
      <c r="H838" t="s">
        <v>12</v>
      </c>
      <c r="I838" t="s">
        <v>13</v>
      </c>
      <c r="J838" t="s">
        <v>15</v>
      </c>
    </row>
    <row r="839" spans="1:10" x14ac:dyDescent="0.25">
      <c r="A839">
        <v>838</v>
      </c>
      <c r="B839" s="1">
        <v>45312</v>
      </c>
      <c r="C839" t="s">
        <v>22</v>
      </c>
      <c r="D839" t="s">
        <v>20</v>
      </c>
      <c r="E839">
        <v>162</v>
      </c>
      <c r="F839">
        <v>5</v>
      </c>
      <c r="G839">
        <v>1.5</v>
      </c>
      <c r="H839" t="s">
        <v>12</v>
      </c>
      <c r="I839" t="s">
        <v>13</v>
      </c>
      <c r="J839" t="s">
        <v>11</v>
      </c>
    </row>
    <row r="840" spans="1:10" x14ac:dyDescent="0.25">
      <c r="A840">
        <v>839</v>
      </c>
      <c r="B840" s="1">
        <v>45392</v>
      </c>
      <c r="C840" t="s">
        <v>21</v>
      </c>
      <c r="D840" t="s">
        <v>11</v>
      </c>
      <c r="E840">
        <v>127</v>
      </c>
      <c r="F840">
        <v>67</v>
      </c>
      <c r="G840">
        <v>5.6</v>
      </c>
      <c r="H840" t="s">
        <v>12</v>
      </c>
      <c r="I840" t="s">
        <v>16</v>
      </c>
      <c r="J840" t="s">
        <v>11</v>
      </c>
    </row>
    <row r="841" spans="1:10" x14ac:dyDescent="0.25">
      <c r="A841">
        <v>840</v>
      </c>
      <c r="B841" s="1">
        <v>45589</v>
      </c>
      <c r="C841" t="s">
        <v>14</v>
      </c>
      <c r="D841" t="s">
        <v>15</v>
      </c>
      <c r="E841">
        <v>104</v>
      </c>
      <c r="F841">
        <v>29</v>
      </c>
      <c r="G841">
        <v>5.9</v>
      </c>
      <c r="H841" t="s">
        <v>12</v>
      </c>
      <c r="I841" t="s">
        <v>16</v>
      </c>
      <c r="J841" t="s">
        <v>11</v>
      </c>
    </row>
    <row r="842" spans="1:10" x14ac:dyDescent="0.25">
      <c r="A842">
        <v>841</v>
      </c>
      <c r="B842" s="1">
        <v>45315</v>
      </c>
      <c r="C842" t="s">
        <v>10</v>
      </c>
      <c r="D842" t="s">
        <v>20</v>
      </c>
      <c r="E842">
        <v>100</v>
      </c>
      <c r="F842">
        <v>62</v>
      </c>
      <c r="G842">
        <v>4.5</v>
      </c>
      <c r="H842" t="s">
        <v>12</v>
      </c>
      <c r="I842" t="s">
        <v>19</v>
      </c>
      <c r="J842" t="s">
        <v>11</v>
      </c>
    </row>
    <row r="843" spans="1:10" x14ac:dyDescent="0.25">
      <c r="A843">
        <v>842</v>
      </c>
      <c r="B843" s="1">
        <v>45414</v>
      </c>
      <c r="C843" t="s">
        <v>23</v>
      </c>
      <c r="D843" t="s">
        <v>20</v>
      </c>
      <c r="E843">
        <v>152</v>
      </c>
      <c r="F843">
        <v>11</v>
      </c>
      <c r="G843">
        <v>5.8</v>
      </c>
      <c r="H843" t="s">
        <v>18</v>
      </c>
      <c r="I843" t="s">
        <v>16</v>
      </c>
      <c r="J843" t="s">
        <v>11</v>
      </c>
    </row>
    <row r="844" spans="1:10" x14ac:dyDescent="0.25">
      <c r="A844">
        <v>843</v>
      </c>
      <c r="B844" s="1">
        <v>45563</v>
      </c>
      <c r="C844" t="s">
        <v>21</v>
      </c>
      <c r="D844" t="s">
        <v>20</v>
      </c>
      <c r="E844">
        <v>89</v>
      </c>
      <c r="F844">
        <v>65</v>
      </c>
      <c r="G844">
        <v>8.1</v>
      </c>
      <c r="H844" t="s">
        <v>18</v>
      </c>
      <c r="I844" t="s">
        <v>16</v>
      </c>
      <c r="J844" t="s">
        <v>11</v>
      </c>
    </row>
    <row r="845" spans="1:10" x14ac:dyDescent="0.25">
      <c r="A845">
        <v>844</v>
      </c>
      <c r="B845" s="1">
        <v>45489</v>
      </c>
      <c r="C845" t="s">
        <v>10</v>
      </c>
      <c r="D845" t="s">
        <v>15</v>
      </c>
      <c r="E845">
        <v>62</v>
      </c>
      <c r="F845">
        <v>31</v>
      </c>
      <c r="G845">
        <v>1.3</v>
      </c>
      <c r="H845" t="s">
        <v>18</v>
      </c>
      <c r="I845" t="s">
        <v>19</v>
      </c>
      <c r="J845" t="s">
        <v>11</v>
      </c>
    </row>
    <row r="846" spans="1:10" x14ac:dyDescent="0.25">
      <c r="A846">
        <v>845</v>
      </c>
      <c r="B846" s="1">
        <v>45635</v>
      </c>
      <c r="C846" t="s">
        <v>21</v>
      </c>
      <c r="D846" t="s">
        <v>17</v>
      </c>
      <c r="E846">
        <v>5</v>
      </c>
      <c r="F846">
        <v>48</v>
      </c>
      <c r="G846">
        <v>1.8</v>
      </c>
      <c r="H846" t="s">
        <v>12</v>
      </c>
      <c r="I846" t="s">
        <v>16</v>
      </c>
      <c r="J846" t="s">
        <v>11</v>
      </c>
    </row>
    <row r="847" spans="1:10" x14ac:dyDescent="0.25">
      <c r="A847">
        <v>846</v>
      </c>
      <c r="B847" s="1">
        <v>45428</v>
      </c>
      <c r="C847" t="s">
        <v>23</v>
      </c>
      <c r="D847" t="s">
        <v>20</v>
      </c>
      <c r="E847">
        <v>42</v>
      </c>
      <c r="F847">
        <v>19</v>
      </c>
      <c r="G847">
        <v>1.9</v>
      </c>
      <c r="H847" t="s">
        <v>18</v>
      </c>
      <c r="I847" t="s">
        <v>16</v>
      </c>
      <c r="J847" t="s">
        <v>11</v>
      </c>
    </row>
    <row r="848" spans="1:10" x14ac:dyDescent="0.25">
      <c r="A848">
        <v>847</v>
      </c>
      <c r="B848" s="1">
        <v>45425</v>
      </c>
      <c r="C848" t="s">
        <v>21</v>
      </c>
      <c r="D848" t="s">
        <v>20</v>
      </c>
      <c r="E848">
        <v>89</v>
      </c>
      <c r="F848">
        <v>55</v>
      </c>
      <c r="G848">
        <v>2</v>
      </c>
      <c r="H848" t="s">
        <v>12</v>
      </c>
      <c r="I848" t="s">
        <v>19</v>
      </c>
      <c r="J848" t="s">
        <v>11</v>
      </c>
    </row>
    <row r="849" spans="1:10" x14ac:dyDescent="0.25">
      <c r="A849">
        <v>848</v>
      </c>
      <c r="B849" s="1">
        <v>45466</v>
      </c>
      <c r="C849" t="s">
        <v>22</v>
      </c>
      <c r="D849" t="s">
        <v>20</v>
      </c>
      <c r="E849">
        <v>211</v>
      </c>
      <c r="F849">
        <v>11</v>
      </c>
      <c r="G849">
        <v>6.6</v>
      </c>
      <c r="H849" t="s">
        <v>12</v>
      </c>
      <c r="I849" t="s">
        <v>19</v>
      </c>
      <c r="J849" t="s">
        <v>11</v>
      </c>
    </row>
    <row r="850" spans="1:10" x14ac:dyDescent="0.25">
      <c r="A850">
        <v>849</v>
      </c>
      <c r="B850" s="1">
        <v>45531</v>
      </c>
      <c r="C850" t="s">
        <v>23</v>
      </c>
      <c r="D850" t="s">
        <v>20</v>
      </c>
      <c r="E850">
        <v>219</v>
      </c>
      <c r="F850">
        <v>33</v>
      </c>
      <c r="G850">
        <v>5.0999999999999996</v>
      </c>
      <c r="H850" t="s">
        <v>18</v>
      </c>
      <c r="I850" t="s">
        <v>19</v>
      </c>
      <c r="J850" t="s">
        <v>11</v>
      </c>
    </row>
    <row r="851" spans="1:10" x14ac:dyDescent="0.25">
      <c r="A851">
        <v>850</v>
      </c>
      <c r="B851" s="1">
        <v>45462</v>
      </c>
      <c r="C851" t="s">
        <v>21</v>
      </c>
      <c r="D851" t="s">
        <v>20</v>
      </c>
      <c r="E851">
        <v>81</v>
      </c>
      <c r="F851">
        <v>36</v>
      </c>
      <c r="G851">
        <v>6.9</v>
      </c>
      <c r="H851" t="s">
        <v>12</v>
      </c>
      <c r="I851" t="s">
        <v>13</v>
      </c>
      <c r="J851" t="s">
        <v>11</v>
      </c>
    </row>
    <row r="852" spans="1:10" x14ac:dyDescent="0.25">
      <c r="A852">
        <v>851</v>
      </c>
      <c r="B852" s="1">
        <v>45532</v>
      </c>
      <c r="C852" t="s">
        <v>10</v>
      </c>
      <c r="D852" t="s">
        <v>11</v>
      </c>
      <c r="E852">
        <v>181</v>
      </c>
      <c r="F852">
        <v>71</v>
      </c>
      <c r="G852">
        <v>8.1</v>
      </c>
      <c r="H852" t="s">
        <v>18</v>
      </c>
      <c r="I852" t="s">
        <v>19</v>
      </c>
      <c r="J852" t="s">
        <v>15</v>
      </c>
    </row>
    <row r="853" spans="1:10" x14ac:dyDescent="0.25">
      <c r="A853">
        <v>852</v>
      </c>
      <c r="B853" s="1">
        <v>45443</v>
      </c>
      <c r="C853" t="s">
        <v>22</v>
      </c>
      <c r="D853" t="s">
        <v>15</v>
      </c>
      <c r="E853">
        <v>11</v>
      </c>
      <c r="F853">
        <v>58</v>
      </c>
      <c r="G853">
        <v>1.2</v>
      </c>
      <c r="H853" t="s">
        <v>18</v>
      </c>
      <c r="I853" t="s">
        <v>16</v>
      </c>
      <c r="J853" t="s">
        <v>15</v>
      </c>
    </row>
    <row r="854" spans="1:10" x14ac:dyDescent="0.25">
      <c r="A854">
        <v>853</v>
      </c>
      <c r="B854" s="1">
        <v>45611</v>
      </c>
      <c r="C854" t="s">
        <v>23</v>
      </c>
      <c r="D854" t="s">
        <v>15</v>
      </c>
      <c r="E854">
        <v>34</v>
      </c>
      <c r="F854">
        <v>16</v>
      </c>
      <c r="G854">
        <v>9.1</v>
      </c>
      <c r="H854" t="s">
        <v>18</v>
      </c>
      <c r="I854" t="s">
        <v>13</v>
      </c>
      <c r="J854" t="s">
        <v>15</v>
      </c>
    </row>
    <row r="855" spans="1:10" x14ac:dyDescent="0.25">
      <c r="A855">
        <v>854</v>
      </c>
      <c r="B855" s="1">
        <v>45419</v>
      </c>
      <c r="C855" t="s">
        <v>23</v>
      </c>
      <c r="D855" t="s">
        <v>11</v>
      </c>
      <c r="E855">
        <v>87</v>
      </c>
      <c r="F855">
        <v>21</v>
      </c>
      <c r="G855">
        <v>1.7</v>
      </c>
      <c r="H855" t="s">
        <v>18</v>
      </c>
      <c r="I855" t="s">
        <v>19</v>
      </c>
      <c r="J855" t="s">
        <v>11</v>
      </c>
    </row>
    <row r="856" spans="1:10" x14ac:dyDescent="0.25">
      <c r="A856">
        <v>855</v>
      </c>
      <c r="B856" s="1">
        <v>45300</v>
      </c>
      <c r="C856" t="s">
        <v>22</v>
      </c>
      <c r="D856" t="s">
        <v>17</v>
      </c>
      <c r="E856">
        <v>73</v>
      </c>
      <c r="F856">
        <v>3</v>
      </c>
      <c r="G856">
        <v>4.9000000000000004</v>
      </c>
      <c r="H856" t="s">
        <v>12</v>
      </c>
      <c r="I856" t="s">
        <v>19</v>
      </c>
      <c r="J856" t="s">
        <v>11</v>
      </c>
    </row>
    <row r="857" spans="1:10" x14ac:dyDescent="0.25">
      <c r="A857">
        <v>856</v>
      </c>
      <c r="B857" s="1">
        <v>45334</v>
      </c>
      <c r="C857" t="s">
        <v>14</v>
      </c>
      <c r="D857" t="s">
        <v>11</v>
      </c>
      <c r="E857">
        <v>8</v>
      </c>
      <c r="F857">
        <v>5</v>
      </c>
      <c r="G857">
        <v>5.2</v>
      </c>
      <c r="H857" t="s">
        <v>18</v>
      </c>
      <c r="I857" t="s">
        <v>16</v>
      </c>
      <c r="J857" t="s">
        <v>20</v>
      </c>
    </row>
    <row r="858" spans="1:10" x14ac:dyDescent="0.25">
      <c r="A858">
        <v>857</v>
      </c>
      <c r="B858" s="1">
        <v>45558</v>
      </c>
      <c r="C858" t="s">
        <v>10</v>
      </c>
      <c r="D858" t="s">
        <v>17</v>
      </c>
      <c r="E858">
        <v>113</v>
      </c>
      <c r="F858">
        <v>6</v>
      </c>
      <c r="G858">
        <v>8.1999999999999993</v>
      </c>
      <c r="H858" t="s">
        <v>18</v>
      </c>
      <c r="I858" t="s">
        <v>19</v>
      </c>
      <c r="J858" t="s">
        <v>15</v>
      </c>
    </row>
    <row r="859" spans="1:10" x14ac:dyDescent="0.25">
      <c r="A859">
        <v>858</v>
      </c>
      <c r="B859" s="1">
        <v>45649</v>
      </c>
      <c r="C859" t="s">
        <v>21</v>
      </c>
      <c r="D859" t="s">
        <v>20</v>
      </c>
      <c r="E859">
        <v>14</v>
      </c>
      <c r="F859">
        <v>20</v>
      </c>
      <c r="G859">
        <v>7.4</v>
      </c>
      <c r="H859" t="s">
        <v>18</v>
      </c>
      <c r="I859" t="s">
        <v>19</v>
      </c>
      <c r="J859" t="s">
        <v>15</v>
      </c>
    </row>
    <row r="860" spans="1:10" x14ac:dyDescent="0.25">
      <c r="A860">
        <v>859</v>
      </c>
      <c r="B860" s="1">
        <v>45472</v>
      </c>
      <c r="C860" t="s">
        <v>23</v>
      </c>
      <c r="D860" t="s">
        <v>17</v>
      </c>
      <c r="E860">
        <v>234</v>
      </c>
      <c r="F860">
        <v>29</v>
      </c>
      <c r="G860">
        <v>3.4</v>
      </c>
      <c r="H860" t="s">
        <v>18</v>
      </c>
      <c r="I860" t="s">
        <v>16</v>
      </c>
      <c r="J860" t="s">
        <v>11</v>
      </c>
    </row>
    <row r="861" spans="1:10" x14ac:dyDescent="0.25">
      <c r="A861">
        <v>860</v>
      </c>
      <c r="B861" s="1">
        <v>45430</v>
      </c>
      <c r="C861" t="s">
        <v>14</v>
      </c>
      <c r="D861" t="s">
        <v>17</v>
      </c>
      <c r="E861">
        <v>155</v>
      </c>
      <c r="F861">
        <v>43</v>
      </c>
      <c r="G861">
        <v>2.7</v>
      </c>
      <c r="H861" t="s">
        <v>18</v>
      </c>
      <c r="I861" t="s">
        <v>19</v>
      </c>
      <c r="J861" t="s">
        <v>11</v>
      </c>
    </row>
    <row r="862" spans="1:10" x14ac:dyDescent="0.25">
      <c r="A862">
        <v>861</v>
      </c>
      <c r="B862" s="1">
        <v>45629</v>
      </c>
      <c r="C862" t="s">
        <v>10</v>
      </c>
      <c r="D862" t="s">
        <v>17</v>
      </c>
      <c r="E862">
        <v>129</v>
      </c>
      <c r="F862">
        <v>72</v>
      </c>
      <c r="G862">
        <v>4</v>
      </c>
      <c r="H862" t="s">
        <v>12</v>
      </c>
      <c r="I862" t="s">
        <v>16</v>
      </c>
      <c r="J862" t="s">
        <v>11</v>
      </c>
    </row>
    <row r="863" spans="1:10" x14ac:dyDescent="0.25">
      <c r="A863">
        <v>862</v>
      </c>
      <c r="B863" s="1">
        <v>45499</v>
      </c>
      <c r="C863" t="s">
        <v>23</v>
      </c>
      <c r="D863" t="s">
        <v>17</v>
      </c>
      <c r="E863">
        <v>210</v>
      </c>
      <c r="F863">
        <v>68</v>
      </c>
      <c r="G863">
        <v>9</v>
      </c>
      <c r="H863" t="s">
        <v>12</v>
      </c>
      <c r="I863" t="s">
        <v>16</v>
      </c>
      <c r="J863" t="s">
        <v>11</v>
      </c>
    </row>
    <row r="864" spans="1:10" x14ac:dyDescent="0.25">
      <c r="A864">
        <v>863</v>
      </c>
      <c r="B864" s="1">
        <v>45529</v>
      </c>
      <c r="C864" t="s">
        <v>10</v>
      </c>
      <c r="D864" t="s">
        <v>11</v>
      </c>
      <c r="E864">
        <v>58</v>
      </c>
      <c r="F864">
        <v>66</v>
      </c>
      <c r="G864">
        <v>7.9</v>
      </c>
      <c r="H864" t="s">
        <v>18</v>
      </c>
      <c r="I864" t="s">
        <v>13</v>
      </c>
      <c r="J864" t="s">
        <v>15</v>
      </c>
    </row>
    <row r="865" spans="1:10" x14ac:dyDescent="0.25">
      <c r="A865">
        <v>864</v>
      </c>
      <c r="B865" s="1">
        <v>45318</v>
      </c>
      <c r="C865" t="s">
        <v>22</v>
      </c>
      <c r="D865" t="s">
        <v>15</v>
      </c>
      <c r="E865">
        <v>183</v>
      </c>
      <c r="F865">
        <v>55</v>
      </c>
      <c r="G865">
        <v>1.2</v>
      </c>
      <c r="H865" t="s">
        <v>18</v>
      </c>
      <c r="I865" t="s">
        <v>19</v>
      </c>
      <c r="J865" t="s">
        <v>11</v>
      </c>
    </row>
    <row r="866" spans="1:10" x14ac:dyDescent="0.25">
      <c r="A866">
        <v>865</v>
      </c>
      <c r="B866" s="1">
        <v>45393</v>
      </c>
      <c r="C866" t="s">
        <v>21</v>
      </c>
      <c r="D866" t="s">
        <v>15</v>
      </c>
      <c r="E866">
        <v>114</v>
      </c>
      <c r="F866">
        <v>54</v>
      </c>
      <c r="G866">
        <v>8.1</v>
      </c>
      <c r="H866" t="s">
        <v>12</v>
      </c>
      <c r="I866" t="s">
        <v>19</v>
      </c>
      <c r="J866" t="s">
        <v>11</v>
      </c>
    </row>
    <row r="867" spans="1:10" x14ac:dyDescent="0.25">
      <c r="A867">
        <v>866</v>
      </c>
      <c r="B867" s="1">
        <v>45378</v>
      </c>
      <c r="C867" t="s">
        <v>14</v>
      </c>
      <c r="D867" t="s">
        <v>17</v>
      </c>
      <c r="E867">
        <v>145</v>
      </c>
      <c r="F867">
        <v>27</v>
      </c>
      <c r="G867">
        <v>7.4</v>
      </c>
      <c r="H867" t="s">
        <v>12</v>
      </c>
      <c r="I867" t="s">
        <v>13</v>
      </c>
      <c r="J867" t="s">
        <v>11</v>
      </c>
    </row>
    <row r="868" spans="1:10" x14ac:dyDescent="0.25">
      <c r="A868">
        <v>867</v>
      </c>
      <c r="B868" s="1">
        <v>45373</v>
      </c>
      <c r="C868" t="s">
        <v>21</v>
      </c>
      <c r="D868" t="s">
        <v>17</v>
      </c>
      <c r="E868">
        <v>79</v>
      </c>
      <c r="F868">
        <v>50</v>
      </c>
      <c r="G868">
        <v>3.7</v>
      </c>
      <c r="H868" t="s">
        <v>12</v>
      </c>
      <c r="I868" t="s">
        <v>13</v>
      </c>
      <c r="J868" t="s">
        <v>11</v>
      </c>
    </row>
    <row r="869" spans="1:10" x14ac:dyDescent="0.25">
      <c r="A869">
        <v>868</v>
      </c>
      <c r="B869" s="1">
        <v>45301</v>
      </c>
      <c r="C869" t="s">
        <v>14</v>
      </c>
      <c r="D869" t="s">
        <v>20</v>
      </c>
      <c r="E869">
        <v>100</v>
      </c>
      <c r="F869">
        <v>38</v>
      </c>
      <c r="G869">
        <v>9.1</v>
      </c>
      <c r="H869" t="s">
        <v>12</v>
      </c>
      <c r="I869" t="s">
        <v>19</v>
      </c>
      <c r="J869" t="s">
        <v>11</v>
      </c>
    </row>
    <row r="870" spans="1:10" x14ac:dyDescent="0.25">
      <c r="A870">
        <v>869</v>
      </c>
      <c r="B870" s="1">
        <v>45565</v>
      </c>
      <c r="C870" t="s">
        <v>14</v>
      </c>
      <c r="D870" t="s">
        <v>20</v>
      </c>
      <c r="E870">
        <v>230</v>
      </c>
      <c r="F870">
        <v>45</v>
      </c>
      <c r="G870">
        <v>2.9</v>
      </c>
      <c r="H870" t="s">
        <v>12</v>
      </c>
      <c r="I870" t="s">
        <v>16</v>
      </c>
      <c r="J870" t="s">
        <v>11</v>
      </c>
    </row>
    <row r="871" spans="1:10" x14ac:dyDescent="0.25">
      <c r="A871">
        <v>870</v>
      </c>
      <c r="B871" s="1">
        <v>45410</v>
      </c>
      <c r="C871" t="s">
        <v>10</v>
      </c>
      <c r="D871" t="s">
        <v>17</v>
      </c>
      <c r="E871">
        <v>192</v>
      </c>
      <c r="F871">
        <v>19</v>
      </c>
      <c r="G871">
        <v>6.6</v>
      </c>
      <c r="H871" t="s">
        <v>12</v>
      </c>
      <c r="I871" t="s">
        <v>16</v>
      </c>
      <c r="J871" t="s">
        <v>11</v>
      </c>
    </row>
    <row r="872" spans="1:10" x14ac:dyDescent="0.25">
      <c r="A872">
        <v>871</v>
      </c>
      <c r="B872" s="1">
        <v>45634</v>
      </c>
      <c r="C872" t="s">
        <v>14</v>
      </c>
      <c r="D872" t="s">
        <v>17</v>
      </c>
      <c r="E872">
        <v>198</v>
      </c>
      <c r="F872">
        <v>54</v>
      </c>
      <c r="G872">
        <v>9.3000000000000007</v>
      </c>
      <c r="H872" t="s">
        <v>12</v>
      </c>
      <c r="I872" t="s">
        <v>19</v>
      </c>
      <c r="J872" t="s">
        <v>11</v>
      </c>
    </row>
    <row r="873" spans="1:10" x14ac:dyDescent="0.25">
      <c r="A873">
        <v>872</v>
      </c>
      <c r="B873" s="1">
        <v>45537</v>
      </c>
      <c r="C873" t="s">
        <v>22</v>
      </c>
      <c r="D873" t="s">
        <v>15</v>
      </c>
      <c r="E873">
        <v>33</v>
      </c>
      <c r="F873">
        <v>12</v>
      </c>
      <c r="G873">
        <v>2.2999999999999998</v>
      </c>
      <c r="H873" t="s">
        <v>18</v>
      </c>
      <c r="I873" t="s">
        <v>19</v>
      </c>
      <c r="J873" t="s">
        <v>11</v>
      </c>
    </row>
    <row r="874" spans="1:10" x14ac:dyDescent="0.25">
      <c r="A874">
        <v>873</v>
      </c>
      <c r="B874" s="1">
        <v>45407</v>
      </c>
      <c r="C874" t="s">
        <v>23</v>
      </c>
      <c r="D874" t="s">
        <v>17</v>
      </c>
      <c r="E874">
        <v>205</v>
      </c>
      <c r="F874">
        <v>38</v>
      </c>
      <c r="G874">
        <v>2.5</v>
      </c>
      <c r="H874" t="s">
        <v>12</v>
      </c>
      <c r="I874" t="s">
        <v>13</v>
      </c>
      <c r="J874" t="s">
        <v>11</v>
      </c>
    </row>
    <row r="875" spans="1:10" x14ac:dyDescent="0.25">
      <c r="A875">
        <v>874</v>
      </c>
      <c r="B875" s="1">
        <v>45312</v>
      </c>
      <c r="C875" t="s">
        <v>22</v>
      </c>
      <c r="D875" t="s">
        <v>20</v>
      </c>
      <c r="E875">
        <v>189</v>
      </c>
      <c r="F875">
        <v>45</v>
      </c>
      <c r="G875">
        <v>8</v>
      </c>
      <c r="H875" t="s">
        <v>12</v>
      </c>
      <c r="I875" t="s">
        <v>19</v>
      </c>
      <c r="J875" t="s">
        <v>11</v>
      </c>
    </row>
    <row r="876" spans="1:10" x14ac:dyDescent="0.25">
      <c r="A876">
        <v>875</v>
      </c>
      <c r="B876" s="1">
        <v>45647</v>
      </c>
      <c r="C876" t="s">
        <v>10</v>
      </c>
      <c r="D876" t="s">
        <v>20</v>
      </c>
      <c r="E876">
        <v>46</v>
      </c>
      <c r="F876">
        <v>25</v>
      </c>
      <c r="G876">
        <v>9.9</v>
      </c>
      <c r="H876" t="s">
        <v>18</v>
      </c>
      <c r="I876" t="s">
        <v>13</v>
      </c>
      <c r="J876" t="s">
        <v>11</v>
      </c>
    </row>
    <row r="877" spans="1:10" x14ac:dyDescent="0.25">
      <c r="A877">
        <v>876</v>
      </c>
      <c r="B877" s="1">
        <v>45350</v>
      </c>
      <c r="C877" t="s">
        <v>23</v>
      </c>
      <c r="D877" t="s">
        <v>17</v>
      </c>
      <c r="E877">
        <v>193</v>
      </c>
      <c r="F877">
        <v>21</v>
      </c>
      <c r="G877">
        <v>3.2</v>
      </c>
      <c r="H877" t="s">
        <v>12</v>
      </c>
      <c r="I877" t="s">
        <v>13</v>
      </c>
      <c r="J877" t="s">
        <v>11</v>
      </c>
    </row>
    <row r="878" spans="1:10" x14ac:dyDescent="0.25">
      <c r="A878">
        <v>877</v>
      </c>
      <c r="B878" s="1">
        <v>45519</v>
      </c>
      <c r="C878" t="s">
        <v>10</v>
      </c>
      <c r="D878" t="s">
        <v>15</v>
      </c>
      <c r="E878">
        <v>152</v>
      </c>
      <c r="F878">
        <v>7</v>
      </c>
      <c r="G878">
        <v>1.2</v>
      </c>
      <c r="H878" t="s">
        <v>18</v>
      </c>
      <c r="I878" t="s">
        <v>16</v>
      </c>
      <c r="J878" t="s">
        <v>11</v>
      </c>
    </row>
    <row r="879" spans="1:10" x14ac:dyDescent="0.25">
      <c r="A879">
        <v>878</v>
      </c>
      <c r="B879" s="1">
        <v>45411</v>
      </c>
      <c r="C879" t="s">
        <v>23</v>
      </c>
      <c r="D879" t="s">
        <v>15</v>
      </c>
      <c r="E879">
        <v>230</v>
      </c>
      <c r="F879">
        <v>3</v>
      </c>
      <c r="G879">
        <v>7.1</v>
      </c>
      <c r="H879" t="s">
        <v>18</v>
      </c>
      <c r="I879" t="s">
        <v>13</v>
      </c>
      <c r="J879" t="s">
        <v>20</v>
      </c>
    </row>
    <row r="880" spans="1:10" x14ac:dyDescent="0.25">
      <c r="A880">
        <v>879</v>
      </c>
      <c r="B880" s="1">
        <v>45435</v>
      </c>
      <c r="C880" t="s">
        <v>23</v>
      </c>
      <c r="D880" t="s">
        <v>11</v>
      </c>
      <c r="E880">
        <v>60</v>
      </c>
      <c r="F880">
        <v>6</v>
      </c>
      <c r="G880">
        <v>2.2000000000000002</v>
      </c>
      <c r="H880" t="s">
        <v>12</v>
      </c>
      <c r="I880" t="s">
        <v>16</v>
      </c>
      <c r="J880" t="s">
        <v>15</v>
      </c>
    </row>
    <row r="881" spans="1:10" x14ac:dyDescent="0.25">
      <c r="A881">
        <v>880</v>
      </c>
      <c r="B881" s="1">
        <v>45437</v>
      </c>
      <c r="C881" t="s">
        <v>14</v>
      </c>
      <c r="D881" t="s">
        <v>20</v>
      </c>
      <c r="E881">
        <v>165</v>
      </c>
      <c r="F881">
        <v>60</v>
      </c>
      <c r="G881">
        <v>4.8</v>
      </c>
      <c r="H881" t="s">
        <v>18</v>
      </c>
      <c r="I881" t="s">
        <v>13</v>
      </c>
      <c r="J881" t="s">
        <v>11</v>
      </c>
    </row>
    <row r="882" spans="1:10" x14ac:dyDescent="0.25">
      <c r="A882">
        <v>881</v>
      </c>
      <c r="B882" s="1">
        <v>45305</v>
      </c>
      <c r="C882" t="s">
        <v>23</v>
      </c>
      <c r="D882" t="s">
        <v>11</v>
      </c>
      <c r="E882">
        <v>160</v>
      </c>
      <c r="F882">
        <v>53</v>
      </c>
      <c r="G882">
        <v>6.2</v>
      </c>
      <c r="H882" t="s">
        <v>18</v>
      </c>
      <c r="I882" t="s">
        <v>19</v>
      </c>
      <c r="J882" t="s">
        <v>15</v>
      </c>
    </row>
    <row r="883" spans="1:10" x14ac:dyDescent="0.25">
      <c r="A883">
        <v>882</v>
      </c>
      <c r="B883" s="1">
        <v>45626</v>
      </c>
      <c r="C883" t="s">
        <v>21</v>
      </c>
      <c r="D883" t="s">
        <v>20</v>
      </c>
      <c r="E883">
        <v>157</v>
      </c>
      <c r="F883">
        <v>72</v>
      </c>
      <c r="G883">
        <v>0.8</v>
      </c>
      <c r="H883" t="s">
        <v>12</v>
      </c>
      <c r="I883" t="s">
        <v>16</v>
      </c>
      <c r="J883" t="s">
        <v>11</v>
      </c>
    </row>
    <row r="884" spans="1:10" x14ac:dyDescent="0.25">
      <c r="A884">
        <v>883</v>
      </c>
      <c r="B884" s="1">
        <v>45416</v>
      </c>
      <c r="C884" t="s">
        <v>22</v>
      </c>
      <c r="D884" t="s">
        <v>20</v>
      </c>
      <c r="E884">
        <v>150</v>
      </c>
      <c r="F884">
        <v>47</v>
      </c>
      <c r="G884">
        <v>5.5</v>
      </c>
      <c r="H884" t="s">
        <v>18</v>
      </c>
      <c r="I884" t="s">
        <v>19</v>
      </c>
      <c r="J884" t="s">
        <v>11</v>
      </c>
    </row>
    <row r="885" spans="1:10" x14ac:dyDescent="0.25">
      <c r="A885">
        <v>884</v>
      </c>
      <c r="B885" s="1">
        <v>45383</v>
      </c>
      <c r="C885" t="s">
        <v>10</v>
      </c>
      <c r="D885" t="s">
        <v>20</v>
      </c>
      <c r="E885">
        <v>39</v>
      </c>
      <c r="F885">
        <v>56</v>
      </c>
      <c r="G885">
        <v>0.9</v>
      </c>
      <c r="H885" t="s">
        <v>18</v>
      </c>
      <c r="I885" t="s">
        <v>19</v>
      </c>
      <c r="J885" t="s">
        <v>11</v>
      </c>
    </row>
    <row r="886" spans="1:10" x14ac:dyDescent="0.25">
      <c r="A886">
        <v>885</v>
      </c>
      <c r="B886" s="1">
        <v>45445</v>
      </c>
      <c r="C886" t="s">
        <v>10</v>
      </c>
      <c r="D886" t="s">
        <v>20</v>
      </c>
      <c r="E886">
        <v>78</v>
      </c>
      <c r="F886">
        <v>21</v>
      </c>
      <c r="G886">
        <v>8.9</v>
      </c>
      <c r="H886" t="s">
        <v>18</v>
      </c>
      <c r="I886" t="s">
        <v>13</v>
      </c>
      <c r="J886" t="s">
        <v>11</v>
      </c>
    </row>
    <row r="887" spans="1:10" x14ac:dyDescent="0.25">
      <c r="A887">
        <v>886</v>
      </c>
      <c r="B887" s="1">
        <v>45366</v>
      </c>
      <c r="C887" t="s">
        <v>21</v>
      </c>
      <c r="D887" t="s">
        <v>11</v>
      </c>
      <c r="E887">
        <v>106</v>
      </c>
      <c r="F887">
        <v>37</v>
      </c>
      <c r="G887">
        <v>5.6</v>
      </c>
      <c r="H887" t="s">
        <v>12</v>
      </c>
      <c r="I887" t="s">
        <v>13</v>
      </c>
      <c r="J887" t="s">
        <v>11</v>
      </c>
    </row>
    <row r="888" spans="1:10" x14ac:dyDescent="0.25">
      <c r="A888">
        <v>887</v>
      </c>
      <c r="B888" s="1">
        <v>45452</v>
      </c>
      <c r="C888" t="s">
        <v>10</v>
      </c>
      <c r="D888" t="s">
        <v>20</v>
      </c>
      <c r="E888">
        <v>19</v>
      </c>
      <c r="F888">
        <v>8</v>
      </c>
      <c r="G888">
        <v>9</v>
      </c>
      <c r="H888" t="s">
        <v>18</v>
      </c>
      <c r="I888" t="s">
        <v>16</v>
      </c>
      <c r="J888" t="s">
        <v>15</v>
      </c>
    </row>
    <row r="889" spans="1:10" x14ac:dyDescent="0.25">
      <c r="A889">
        <v>888</v>
      </c>
      <c r="B889" s="1">
        <v>45525</v>
      </c>
      <c r="C889" t="s">
        <v>21</v>
      </c>
      <c r="D889" t="s">
        <v>15</v>
      </c>
      <c r="E889">
        <v>38</v>
      </c>
      <c r="F889">
        <v>41</v>
      </c>
      <c r="G889">
        <v>9.8000000000000007</v>
      </c>
      <c r="H889" t="s">
        <v>12</v>
      </c>
      <c r="I889" t="s">
        <v>13</v>
      </c>
      <c r="J889" t="s">
        <v>11</v>
      </c>
    </row>
    <row r="890" spans="1:10" x14ac:dyDescent="0.25">
      <c r="A890">
        <v>889</v>
      </c>
      <c r="B890" s="1">
        <v>45365</v>
      </c>
      <c r="C890" t="s">
        <v>23</v>
      </c>
      <c r="D890" t="s">
        <v>17</v>
      </c>
      <c r="E890">
        <v>83</v>
      </c>
      <c r="F890">
        <v>38</v>
      </c>
      <c r="G890">
        <v>5.0999999999999996</v>
      </c>
      <c r="H890" t="s">
        <v>12</v>
      </c>
      <c r="I890" t="s">
        <v>13</v>
      </c>
      <c r="J890" t="s">
        <v>11</v>
      </c>
    </row>
    <row r="891" spans="1:10" x14ac:dyDescent="0.25">
      <c r="A891">
        <v>890</v>
      </c>
      <c r="B891" s="1">
        <v>45644</v>
      </c>
      <c r="C891" t="s">
        <v>22</v>
      </c>
      <c r="D891" t="s">
        <v>20</v>
      </c>
      <c r="E891">
        <v>103</v>
      </c>
      <c r="F891">
        <v>37</v>
      </c>
      <c r="G891">
        <v>9.5</v>
      </c>
      <c r="H891" t="s">
        <v>12</v>
      </c>
      <c r="I891" t="s">
        <v>13</v>
      </c>
      <c r="J891" t="s">
        <v>11</v>
      </c>
    </row>
    <row r="892" spans="1:10" x14ac:dyDescent="0.25">
      <c r="A892">
        <v>891</v>
      </c>
      <c r="B892" s="1">
        <v>45436</v>
      </c>
      <c r="C892" t="s">
        <v>10</v>
      </c>
      <c r="D892" t="s">
        <v>20</v>
      </c>
      <c r="E892">
        <v>20</v>
      </c>
      <c r="F892">
        <v>70</v>
      </c>
      <c r="G892">
        <v>2.6</v>
      </c>
      <c r="H892" t="s">
        <v>12</v>
      </c>
      <c r="I892" t="s">
        <v>13</v>
      </c>
      <c r="J892" t="s">
        <v>11</v>
      </c>
    </row>
    <row r="893" spans="1:10" x14ac:dyDescent="0.25">
      <c r="A893">
        <v>892</v>
      </c>
      <c r="B893" s="1">
        <v>45417</v>
      </c>
      <c r="C893" t="s">
        <v>22</v>
      </c>
      <c r="D893" t="s">
        <v>11</v>
      </c>
      <c r="E893">
        <v>42</v>
      </c>
      <c r="F893">
        <v>67</v>
      </c>
      <c r="G893">
        <v>5.4</v>
      </c>
      <c r="H893" t="s">
        <v>12</v>
      </c>
      <c r="I893" t="s">
        <v>16</v>
      </c>
      <c r="J893" t="s">
        <v>11</v>
      </c>
    </row>
    <row r="894" spans="1:10" x14ac:dyDescent="0.25">
      <c r="A894">
        <v>893</v>
      </c>
      <c r="B894" s="1">
        <v>45377</v>
      </c>
      <c r="C894" t="s">
        <v>22</v>
      </c>
      <c r="D894" t="s">
        <v>17</v>
      </c>
      <c r="E894">
        <v>206</v>
      </c>
      <c r="F894">
        <v>25</v>
      </c>
      <c r="G894">
        <v>3.8</v>
      </c>
      <c r="H894" t="s">
        <v>12</v>
      </c>
      <c r="I894" t="s">
        <v>16</v>
      </c>
      <c r="J894" t="s">
        <v>11</v>
      </c>
    </row>
    <row r="895" spans="1:10" x14ac:dyDescent="0.25">
      <c r="A895">
        <v>894</v>
      </c>
      <c r="B895" s="1">
        <v>45331</v>
      </c>
      <c r="C895" t="s">
        <v>14</v>
      </c>
      <c r="D895" t="s">
        <v>15</v>
      </c>
      <c r="E895">
        <v>216</v>
      </c>
      <c r="F895">
        <v>46</v>
      </c>
      <c r="G895">
        <v>8</v>
      </c>
      <c r="H895" t="s">
        <v>12</v>
      </c>
      <c r="I895" t="s">
        <v>19</v>
      </c>
      <c r="J895" t="s">
        <v>11</v>
      </c>
    </row>
    <row r="896" spans="1:10" x14ac:dyDescent="0.25">
      <c r="A896">
        <v>895</v>
      </c>
      <c r="B896" s="1">
        <v>45365</v>
      </c>
      <c r="C896" t="s">
        <v>14</v>
      </c>
      <c r="D896" t="s">
        <v>11</v>
      </c>
      <c r="E896">
        <v>52</v>
      </c>
      <c r="F896">
        <v>42</v>
      </c>
      <c r="G896">
        <v>1.9</v>
      </c>
      <c r="H896" t="s">
        <v>18</v>
      </c>
      <c r="I896" t="s">
        <v>19</v>
      </c>
      <c r="J896" t="s">
        <v>11</v>
      </c>
    </row>
    <row r="897" spans="1:10" x14ac:dyDescent="0.25">
      <c r="A897">
        <v>896</v>
      </c>
      <c r="B897" s="1">
        <v>45509</v>
      </c>
      <c r="C897" t="s">
        <v>10</v>
      </c>
      <c r="D897" t="s">
        <v>17</v>
      </c>
      <c r="E897">
        <v>162</v>
      </c>
      <c r="F897">
        <v>62</v>
      </c>
      <c r="G897">
        <v>7</v>
      </c>
      <c r="H897" t="s">
        <v>18</v>
      </c>
      <c r="I897" t="s">
        <v>13</v>
      </c>
      <c r="J897" t="s">
        <v>11</v>
      </c>
    </row>
    <row r="898" spans="1:10" x14ac:dyDescent="0.25">
      <c r="A898">
        <v>897</v>
      </c>
      <c r="B898" s="1">
        <v>45352</v>
      </c>
      <c r="C898" t="s">
        <v>22</v>
      </c>
      <c r="D898" t="s">
        <v>15</v>
      </c>
      <c r="E898">
        <v>179</v>
      </c>
      <c r="F898">
        <v>23</v>
      </c>
      <c r="G898">
        <v>6.3</v>
      </c>
      <c r="H898" t="s">
        <v>18</v>
      </c>
      <c r="I898" t="s">
        <v>13</v>
      </c>
      <c r="J898" t="s">
        <v>15</v>
      </c>
    </row>
    <row r="899" spans="1:10" x14ac:dyDescent="0.25">
      <c r="A899">
        <v>898</v>
      </c>
      <c r="B899" s="1">
        <v>45451</v>
      </c>
      <c r="C899" t="s">
        <v>10</v>
      </c>
      <c r="D899" t="s">
        <v>11</v>
      </c>
      <c r="E899">
        <v>110</v>
      </c>
      <c r="F899">
        <v>13</v>
      </c>
      <c r="G899">
        <v>8.1</v>
      </c>
      <c r="H899" t="s">
        <v>12</v>
      </c>
      <c r="I899" t="s">
        <v>16</v>
      </c>
      <c r="J899" t="s">
        <v>11</v>
      </c>
    </row>
    <row r="900" spans="1:10" x14ac:dyDescent="0.25">
      <c r="A900">
        <v>899</v>
      </c>
      <c r="B900" s="1">
        <v>45435</v>
      </c>
      <c r="C900" t="s">
        <v>10</v>
      </c>
      <c r="D900" t="s">
        <v>17</v>
      </c>
      <c r="E900">
        <v>220</v>
      </c>
      <c r="F900">
        <v>22</v>
      </c>
      <c r="G900">
        <v>4</v>
      </c>
      <c r="H900" t="s">
        <v>18</v>
      </c>
      <c r="I900" t="s">
        <v>13</v>
      </c>
      <c r="J900" t="s">
        <v>11</v>
      </c>
    </row>
    <row r="901" spans="1:10" x14ac:dyDescent="0.25">
      <c r="A901">
        <v>900</v>
      </c>
      <c r="B901" s="1">
        <v>45394</v>
      </c>
      <c r="C901" t="s">
        <v>23</v>
      </c>
      <c r="D901" t="s">
        <v>11</v>
      </c>
      <c r="E901">
        <v>32</v>
      </c>
      <c r="F901">
        <v>31</v>
      </c>
      <c r="G901">
        <v>4.4000000000000004</v>
      </c>
      <c r="H901" t="s">
        <v>12</v>
      </c>
      <c r="I901" t="s">
        <v>16</v>
      </c>
      <c r="J901" t="s">
        <v>11</v>
      </c>
    </row>
    <row r="902" spans="1:10" x14ac:dyDescent="0.25">
      <c r="A902">
        <v>901</v>
      </c>
      <c r="B902" s="1">
        <v>45383</v>
      </c>
      <c r="C902" t="s">
        <v>22</v>
      </c>
      <c r="D902" t="s">
        <v>20</v>
      </c>
      <c r="E902">
        <v>144</v>
      </c>
      <c r="F902">
        <v>22</v>
      </c>
      <c r="G902">
        <v>5</v>
      </c>
      <c r="H902" t="s">
        <v>12</v>
      </c>
      <c r="I902" t="s">
        <v>19</v>
      </c>
      <c r="J902" t="s">
        <v>11</v>
      </c>
    </row>
    <row r="903" spans="1:10" x14ac:dyDescent="0.25">
      <c r="A903">
        <v>902</v>
      </c>
      <c r="B903" s="1">
        <v>45489</v>
      </c>
      <c r="C903" t="s">
        <v>23</v>
      </c>
      <c r="D903" t="s">
        <v>20</v>
      </c>
      <c r="E903">
        <v>188</v>
      </c>
      <c r="F903">
        <v>68</v>
      </c>
      <c r="G903">
        <v>2.1</v>
      </c>
      <c r="H903" t="s">
        <v>18</v>
      </c>
      <c r="I903" t="s">
        <v>19</v>
      </c>
      <c r="J903" t="s">
        <v>11</v>
      </c>
    </row>
    <row r="904" spans="1:10" x14ac:dyDescent="0.25">
      <c r="A904">
        <v>903</v>
      </c>
      <c r="B904" s="1">
        <v>45531</v>
      </c>
      <c r="C904" t="s">
        <v>22</v>
      </c>
      <c r="D904" t="s">
        <v>15</v>
      </c>
      <c r="E904">
        <v>14</v>
      </c>
      <c r="F904">
        <v>6</v>
      </c>
      <c r="G904">
        <v>3.4</v>
      </c>
      <c r="H904" t="s">
        <v>18</v>
      </c>
      <c r="I904" t="s">
        <v>16</v>
      </c>
      <c r="J904" t="s">
        <v>20</v>
      </c>
    </row>
    <row r="905" spans="1:10" x14ac:dyDescent="0.25">
      <c r="A905">
        <v>904</v>
      </c>
      <c r="B905" s="1">
        <v>45292</v>
      </c>
      <c r="C905" t="s">
        <v>14</v>
      </c>
      <c r="D905" t="s">
        <v>20</v>
      </c>
      <c r="E905">
        <v>171</v>
      </c>
      <c r="F905">
        <v>5</v>
      </c>
      <c r="G905">
        <v>1.5</v>
      </c>
      <c r="H905" t="s">
        <v>12</v>
      </c>
      <c r="I905" t="s">
        <v>13</v>
      </c>
      <c r="J905" t="s">
        <v>11</v>
      </c>
    </row>
    <row r="906" spans="1:10" x14ac:dyDescent="0.25">
      <c r="A906">
        <v>905</v>
      </c>
      <c r="B906" s="1">
        <v>45574</v>
      </c>
      <c r="C906" t="s">
        <v>23</v>
      </c>
      <c r="D906" t="s">
        <v>17</v>
      </c>
      <c r="E906">
        <v>10</v>
      </c>
      <c r="F906">
        <v>56</v>
      </c>
      <c r="G906">
        <v>8.8000000000000007</v>
      </c>
      <c r="H906" t="s">
        <v>18</v>
      </c>
      <c r="I906" t="s">
        <v>19</v>
      </c>
      <c r="J906" t="s">
        <v>15</v>
      </c>
    </row>
    <row r="907" spans="1:10" x14ac:dyDescent="0.25">
      <c r="A907">
        <v>906</v>
      </c>
      <c r="B907" s="1">
        <v>45543</v>
      </c>
      <c r="C907" t="s">
        <v>14</v>
      </c>
      <c r="D907" t="s">
        <v>17</v>
      </c>
      <c r="E907">
        <v>185</v>
      </c>
      <c r="F907">
        <v>66</v>
      </c>
      <c r="G907">
        <v>1.2</v>
      </c>
      <c r="H907" t="s">
        <v>18</v>
      </c>
      <c r="I907" t="s">
        <v>13</v>
      </c>
      <c r="J907" t="s">
        <v>11</v>
      </c>
    </row>
    <row r="908" spans="1:10" x14ac:dyDescent="0.25">
      <c r="A908">
        <v>907</v>
      </c>
      <c r="B908" s="1">
        <v>45366</v>
      </c>
      <c r="C908" t="s">
        <v>22</v>
      </c>
      <c r="D908" t="s">
        <v>15</v>
      </c>
      <c r="E908">
        <v>22</v>
      </c>
      <c r="F908">
        <v>3</v>
      </c>
      <c r="G908">
        <v>2.2999999999999998</v>
      </c>
      <c r="H908" t="s">
        <v>18</v>
      </c>
      <c r="I908" t="s">
        <v>13</v>
      </c>
      <c r="J908" t="s">
        <v>20</v>
      </c>
    </row>
    <row r="909" spans="1:10" x14ac:dyDescent="0.25">
      <c r="A909">
        <v>908</v>
      </c>
      <c r="B909" s="1">
        <v>45497</v>
      </c>
      <c r="C909" t="s">
        <v>23</v>
      </c>
      <c r="D909" t="s">
        <v>11</v>
      </c>
      <c r="E909">
        <v>198</v>
      </c>
      <c r="F909">
        <v>10</v>
      </c>
      <c r="G909">
        <v>2.7</v>
      </c>
      <c r="H909" t="s">
        <v>18</v>
      </c>
      <c r="I909" t="s">
        <v>19</v>
      </c>
      <c r="J909" t="s">
        <v>11</v>
      </c>
    </row>
    <row r="910" spans="1:10" x14ac:dyDescent="0.25">
      <c r="A910">
        <v>909</v>
      </c>
      <c r="B910" s="1">
        <v>45363</v>
      </c>
      <c r="C910" t="s">
        <v>10</v>
      </c>
      <c r="D910" t="s">
        <v>20</v>
      </c>
      <c r="E910">
        <v>24</v>
      </c>
      <c r="F910">
        <v>10</v>
      </c>
      <c r="G910">
        <v>6.5</v>
      </c>
      <c r="H910" t="s">
        <v>18</v>
      </c>
      <c r="I910" t="s">
        <v>13</v>
      </c>
      <c r="J910" t="s">
        <v>15</v>
      </c>
    </row>
    <row r="911" spans="1:10" x14ac:dyDescent="0.25">
      <c r="A911">
        <v>910</v>
      </c>
      <c r="B911" s="1">
        <v>45648</v>
      </c>
      <c r="C911" t="s">
        <v>10</v>
      </c>
      <c r="D911" t="s">
        <v>17</v>
      </c>
      <c r="E911">
        <v>29</v>
      </c>
      <c r="F911">
        <v>64</v>
      </c>
      <c r="G911">
        <v>0.5</v>
      </c>
      <c r="H911" t="s">
        <v>12</v>
      </c>
      <c r="I911" t="s">
        <v>16</v>
      </c>
      <c r="J911" t="s">
        <v>11</v>
      </c>
    </row>
    <row r="912" spans="1:10" x14ac:dyDescent="0.25">
      <c r="A912">
        <v>911</v>
      </c>
      <c r="B912" s="1">
        <v>45653</v>
      </c>
      <c r="C912" t="s">
        <v>14</v>
      </c>
      <c r="D912" t="s">
        <v>11</v>
      </c>
      <c r="E912">
        <v>157</v>
      </c>
      <c r="F912">
        <v>44</v>
      </c>
      <c r="G912">
        <v>6.4</v>
      </c>
      <c r="H912" t="s">
        <v>12</v>
      </c>
      <c r="I912" t="s">
        <v>13</v>
      </c>
      <c r="J912" t="s">
        <v>11</v>
      </c>
    </row>
    <row r="913" spans="1:10" x14ac:dyDescent="0.25">
      <c r="A913">
        <v>912</v>
      </c>
      <c r="B913" s="1">
        <v>45311</v>
      </c>
      <c r="C913" t="s">
        <v>21</v>
      </c>
      <c r="D913" t="s">
        <v>20</v>
      </c>
      <c r="E913">
        <v>167</v>
      </c>
      <c r="F913">
        <v>20</v>
      </c>
      <c r="G913">
        <v>7.8</v>
      </c>
      <c r="H913" t="s">
        <v>12</v>
      </c>
      <c r="I913" t="s">
        <v>13</v>
      </c>
      <c r="J913" t="s">
        <v>11</v>
      </c>
    </row>
    <row r="914" spans="1:10" x14ac:dyDescent="0.25">
      <c r="A914">
        <v>913</v>
      </c>
      <c r="B914" s="1">
        <v>45621</v>
      </c>
      <c r="C914" t="s">
        <v>22</v>
      </c>
      <c r="D914" t="s">
        <v>15</v>
      </c>
      <c r="E914">
        <v>186</v>
      </c>
      <c r="F914">
        <v>49</v>
      </c>
      <c r="G914">
        <v>5.9</v>
      </c>
      <c r="H914" t="s">
        <v>18</v>
      </c>
      <c r="I914" t="s">
        <v>16</v>
      </c>
      <c r="J914" t="s">
        <v>15</v>
      </c>
    </row>
    <row r="915" spans="1:10" x14ac:dyDescent="0.25">
      <c r="A915">
        <v>914</v>
      </c>
      <c r="B915" s="1">
        <v>45477</v>
      </c>
      <c r="C915" t="s">
        <v>10</v>
      </c>
      <c r="D915" t="s">
        <v>17</v>
      </c>
      <c r="E915">
        <v>45</v>
      </c>
      <c r="F915">
        <v>26</v>
      </c>
      <c r="G915">
        <v>1.2</v>
      </c>
      <c r="H915" t="s">
        <v>12</v>
      </c>
      <c r="I915" t="s">
        <v>13</v>
      </c>
      <c r="J915" t="s">
        <v>11</v>
      </c>
    </row>
    <row r="916" spans="1:10" x14ac:dyDescent="0.25">
      <c r="A916">
        <v>915</v>
      </c>
      <c r="B916" s="1">
        <v>45341</v>
      </c>
      <c r="C916" t="s">
        <v>23</v>
      </c>
      <c r="D916" t="s">
        <v>20</v>
      </c>
      <c r="E916">
        <v>128</v>
      </c>
      <c r="F916">
        <v>6</v>
      </c>
      <c r="G916">
        <v>0.9</v>
      </c>
      <c r="H916" t="s">
        <v>18</v>
      </c>
      <c r="I916" t="s">
        <v>13</v>
      </c>
      <c r="J916" t="s">
        <v>15</v>
      </c>
    </row>
    <row r="917" spans="1:10" x14ac:dyDescent="0.25">
      <c r="A917">
        <v>916</v>
      </c>
      <c r="B917" s="1">
        <v>45396</v>
      </c>
      <c r="C917" t="s">
        <v>22</v>
      </c>
      <c r="D917" t="s">
        <v>11</v>
      </c>
      <c r="E917">
        <v>54</v>
      </c>
      <c r="F917">
        <v>61</v>
      </c>
      <c r="G917">
        <v>6.9</v>
      </c>
      <c r="H917" t="s">
        <v>18</v>
      </c>
      <c r="I917" t="s">
        <v>13</v>
      </c>
      <c r="J917" t="s">
        <v>15</v>
      </c>
    </row>
    <row r="918" spans="1:10" x14ac:dyDescent="0.25">
      <c r="A918">
        <v>917</v>
      </c>
      <c r="B918" s="1">
        <v>45592</v>
      </c>
      <c r="C918" t="s">
        <v>23</v>
      </c>
      <c r="D918" t="s">
        <v>17</v>
      </c>
      <c r="E918">
        <v>39</v>
      </c>
      <c r="F918">
        <v>9</v>
      </c>
      <c r="G918">
        <v>0.7</v>
      </c>
      <c r="H918" t="s">
        <v>18</v>
      </c>
      <c r="I918" t="s">
        <v>19</v>
      </c>
      <c r="J918" t="s">
        <v>11</v>
      </c>
    </row>
    <row r="919" spans="1:10" x14ac:dyDescent="0.25">
      <c r="A919">
        <v>918</v>
      </c>
      <c r="B919" s="1">
        <v>45467</v>
      </c>
      <c r="C919" t="s">
        <v>10</v>
      </c>
      <c r="D919" t="s">
        <v>17</v>
      </c>
      <c r="E919">
        <v>196</v>
      </c>
      <c r="F919">
        <v>32</v>
      </c>
      <c r="G919">
        <v>0.8</v>
      </c>
      <c r="H919" t="s">
        <v>18</v>
      </c>
      <c r="I919" t="s">
        <v>13</v>
      </c>
      <c r="J919" t="s">
        <v>11</v>
      </c>
    </row>
    <row r="920" spans="1:10" x14ac:dyDescent="0.25">
      <c r="A920">
        <v>919</v>
      </c>
      <c r="B920" s="1">
        <v>45544</v>
      </c>
      <c r="C920" t="s">
        <v>21</v>
      </c>
      <c r="D920" t="s">
        <v>17</v>
      </c>
      <c r="E920">
        <v>89</v>
      </c>
      <c r="F920">
        <v>66</v>
      </c>
      <c r="G920">
        <v>9.8000000000000007</v>
      </c>
      <c r="H920" t="s">
        <v>18</v>
      </c>
      <c r="I920" t="s">
        <v>13</v>
      </c>
      <c r="J920" t="s">
        <v>11</v>
      </c>
    </row>
    <row r="921" spans="1:10" x14ac:dyDescent="0.25">
      <c r="A921">
        <v>920</v>
      </c>
      <c r="B921" s="1">
        <v>45602</v>
      </c>
      <c r="C921" t="s">
        <v>14</v>
      </c>
      <c r="D921" t="s">
        <v>15</v>
      </c>
      <c r="E921">
        <v>214</v>
      </c>
      <c r="F921">
        <v>67</v>
      </c>
      <c r="G921">
        <v>4.5999999999999996</v>
      </c>
      <c r="H921" t="s">
        <v>12</v>
      </c>
      <c r="I921" t="s">
        <v>19</v>
      </c>
      <c r="J921" t="s">
        <v>11</v>
      </c>
    </row>
    <row r="922" spans="1:10" x14ac:dyDescent="0.25">
      <c r="A922">
        <v>921</v>
      </c>
      <c r="B922" s="1">
        <v>45500</v>
      </c>
      <c r="C922" t="s">
        <v>14</v>
      </c>
      <c r="D922" t="s">
        <v>11</v>
      </c>
      <c r="E922">
        <v>232</v>
      </c>
      <c r="F922">
        <v>53</v>
      </c>
      <c r="G922">
        <v>3.1</v>
      </c>
      <c r="H922" t="s">
        <v>12</v>
      </c>
      <c r="I922" t="s">
        <v>13</v>
      </c>
      <c r="J922" t="s">
        <v>11</v>
      </c>
    </row>
    <row r="923" spans="1:10" x14ac:dyDescent="0.25">
      <c r="A923">
        <v>922</v>
      </c>
      <c r="B923" s="1">
        <v>45602</v>
      </c>
      <c r="C923" t="s">
        <v>21</v>
      </c>
      <c r="D923" t="s">
        <v>20</v>
      </c>
      <c r="E923">
        <v>114</v>
      </c>
      <c r="F923">
        <v>63</v>
      </c>
      <c r="G923">
        <v>5.8</v>
      </c>
      <c r="H923" t="s">
        <v>18</v>
      </c>
      <c r="I923" t="s">
        <v>13</v>
      </c>
      <c r="J923" t="s">
        <v>11</v>
      </c>
    </row>
    <row r="924" spans="1:10" x14ac:dyDescent="0.25">
      <c r="A924">
        <v>923</v>
      </c>
      <c r="B924" s="1">
        <v>45572</v>
      </c>
      <c r="C924" t="s">
        <v>23</v>
      </c>
      <c r="D924" t="s">
        <v>11</v>
      </c>
      <c r="E924">
        <v>41</v>
      </c>
      <c r="F924">
        <v>66</v>
      </c>
      <c r="G924">
        <v>6.4</v>
      </c>
      <c r="H924" t="s">
        <v>12</v>
      </c>
      <c r="I924" t="s">
        <v>13</v>
      </c>
      <c r="J924" t="s">
        <v>11</v>
      </c>
    </row>
    <row r="925" spans="1:10" x14ac:dyDescent="0.25">
      <c r="A925">
        <v>924</v>
      </c>
      <c r="B925" s="1">
        <v>45480</v>
      </c>
      <c r="C925" t="s">
        <v>14</v>
      </c>
      <c r="D925" t="s">
        <v>11</v>
      </c>
      <c r="E925">
        <v>145</v>
      </c>
      <c r="F925">
        <v>31</v>
      </c>
      <c r="G925">
        <v>1.2</v>
      </c>
      <c r="H925" t="s">
        <v>18</v>
      </c>
      <c r="I925" t="s">
        <v>16</v>
      </c>
      <c r="J925" t="s">
        <v>11</v>
      </c>
    </row>
    <row r="926" spans="1:10" x14ac:dyDescent="0.25">
      <c r="A926">
        <v>925</v>
      </c>
      <c r="B926" s="1">
        <v>45311</v>
      </c>
      <c r="C926" t="s">
        <v>10</v>
      </c>
      <c r="D926" t="s">
        <v>11</v>
      </c>
      <c r="E926">
        <v>202</v>
      </c>
      <c r="F926">
        <v>26</v>
      </c>
      <c r="G926">
        <v>5</v>
      </c>
      <c r="H926" t="s">
        <v>18</v>
      </c>
      <c r="I926" t="s">
        <v>13</v>
      </c>
      <c r="J926" t="s">
        <v>15</v>
      </c>
    </row>
    <row r="927" spans="1:10" x14ac:dyDescent="0.25">
      <c r="A927">
        <v>926</v>
      </c>
      <c r="B927" s="1">
        <v>45595</v>
      </c>
      <c r="C927" t="s">
        <v>23</v>
      </c>
      <c r="D927" t="s">
        <v>15</v>
      </c>
      <c r="E927">
        <v>87</v>
      </c>
      <c r="F927">
        <v>26</v>
      </c>
      <c r="G927">
        <v>0.6</v>
      </c>
      <c r="H927" t="s">
        <v>18</v>
      </c>
      <c r="I927" t="s">
        <v>16</v>
      </c>
      <c r="J927" t="s">
        <v>11</v>
      </c>
    </row>
    <row r="928" spans="1:10" x14ac:dyDescent="0.25">
      <c r="A928">
        <v>927</v>
      </c>
      <c r="B928" s="1">
        <v>45387</v>
      </c>
      <c r="C928" t="s">
        <v>22</v>
      </c>
      <c r="D928" t="s">
        <v>15</v>
      </c>
      <c r="E928">
        <v>104</v>
      </c>
      <c r="F928">
        <v>12</v>
      </c>
      <c r="G928">
        <v>5.7</v>
      </c>
      <c r="H928" t="s">
        <v>18</v>
      </c>
      <c r="I928" t="s">
        <v>16</v>
      </c>
      <c r="J928" t="s">
        <v>15</v>
      </c>
    </row>
    <row r="929" spans="1:10" x14ac:dyDescent="0.25">
      <c r="A929">
        <v>928</v>
      </c>
      <c r="B929" s="1">
        <v>45348</v>
      </c>
      <c r="C929" t="s">
        <v>14</v>
      </c>
      <c r="D929" t="s">
        <v>15</v>
      </c>
      <c r="E929">
        <v>92</v>
      </c>
      <c r="F929">
        <v>56</v>
      </c>
      <c r="G929">
        <v>1.3</v>
      </c>
      <c r="H929" t="s">
        <v>18</v>
      </c>
      <c r="I929" t="s">
        <v>19</v>
      </c>
      <c r="J929" t="s">
        <v>11</v>
      </c>
    </row>
    <row r="930" spans="1:10" x14ac:dyDescent="0.25">
      <c r="A930">
        <v>929</v>
      </c>
      <c r="B930" s="1">
        <v>45649</v>
      </c>
      <c r="C930" t="s">
        <v>23</v>
      </c>
      <c r="D930" t="s">
        <v>17</v>
      </c>
      <c r="E930">
        <v>186</v>
      </c>
      <c r="F930">
        <v>53</v>
      </c>
      <c r="G930">
        <v>8.1</v>
      </c>
      <c r="H930" t="s">
        <v>12</v>
      </c>
      <c r="I930" t="s">
        <v>13</v>
      </c>
      <c r="J930" t="s">
        <v>11</v>
      </c>
    </row>
    <row r="931" spans="1:10" x14ac:dyDescent="0.25">
      <c r="A931">
        <v>930</v>
      </c>
      <c r="B931" s="1">
        <v>45579</v>
      </c>
      <c r="C931" t="s">
        <v>22</v>
      </c>
      <c r="D931" t="s">
        <v>17</v>
      </c>
      <c r="E931">
        <v>176</v>
      </c>
      <c r="F931">
        <v>9</v>
      </c>
      <c r="G931">
        <v>2</v>
      </c>
      <c r="H931" t="s">
        <v>12</v>
      </c>
      <c r="I931" t="s">
        <v>13</v>
      </c>
      <c r="J931" t="s">
        <v>11</v>
      </c>
    </row>
    <row r="932" spans="1:10" x14ac:dyDescent="0.25">
      <c r="A932">
        <v>931</v>
      </c>
      <c r="B932" s="1">
        <v>45470</v>
      </c>
      <c r="C932" t="s">
        <v>23</v>
      </c>
      <c r="D932" t="s">
        <v>20</v>
      </c>
      <c r="E932">
        <v>55</v>
      </c>
      <c r="F932">
        <v>9</v>
      </c>
      <c r="G932">
        <v>0.5</v>
      </c>
      <c r="H932" t="s">
        <v>18</v>
      </c>
      <c r="I932" t="s">
        <v>13</v>
      </c>
      <c r="J932" t="s">
        <v>11</v>
      </c>
    </row>
    <row r="933" spans="1:10" x14ac:dyDescent="0.25">
      <c r="A933">
        <v>932</v>
      </c>
      <c r="B933" s="1">
        <v>45421</v>
      </c>
      <c r="C933" t="s">
        <v>14</v>
      </c>
      <c r="D933" t="s">
        <v>11</v>
      </c>
      <c r="E933">
        <v>72</v>
      </c>
      <c r="F933">
        <v>34</v>
      </c>
      <c r="G933">
        <v>0.5</v>
      </c>
      <c r="H933" t="s">
        <v>12</v>
      </c>
      <c r="I933" t="s">
        <v>19</v>
      </c>
      <c r="J933" t="s">
        <v>11</v>
      </c>
    </row>
    <row r="934" spans="1:10" x14ac:dyDescent="0.25">
      <c r="A934">
        <v>933</v>
      </c>
      <c r="B934" s="1">
        <v>45555</v>
      </c>
      <c r="C934" t="s">
        <v>22</v>
      </c>
      <c r="D934" t="s">
        <v>17</v>
      </c>
      <c r="E934">
        <v>212</v>
      </c>
      <c r="F934">
        <v>25</v>
      </c>
      <c r="G934">
        <v>9.6999999999999993</v>
      </c>
      <c r="H934" t="s">
        <v>18</v>
      </c>
      <c r="I934" t="s">
        <v>16</v>
      </c>
      <c r="J934" t="s">
        <v>11</v>
      </c>
    </row>
    <row r="935" spans="1:10" x14ac:dyDescent="0.25">
      <c r="A935">
        <v>934</v>
      </c>
      <c r="B935" s="1">
        <v>45640</v>
      </c>
      <c r="C935" t="s">
        <v>21</v>
      </c>
      <c r="D935" t="s">
        <v>11</v>
      </c>
      <c r="E935">
        <v>130</v>
      </c>
      <c r="F935">
        <v>32</v>
      </c>
      <c r="G935">
        <v>9.3000000000000007</v>
      </c>
      <c r="H935" t="s">
        <v>18</v>
      </c>
      <c r="I935" t="s">
        <v>16</v>
      </c>
      <c r="J935" t="s">
        <v>15</v>
      </c>
    </row>
    <row r="936" spans="1:10" x14ac:dyDescent="0.25">
      <c r="A936">
        <v>935</v>
      </c>
      <c r="B936" s="1">
        <v>45366</v>
      </c>
      <c r="C936" t="s">
        <v>21</v>
      </c>
      <c r="D936" t="s">
        <v>15</v>
      </c>
      <c r="E936">
        <v>111</v>
      </c>
      <c r="F936">
        <v>59</v>
      </c>
      <c r="G936">
        <v>4.5999999999999996</v>
      </c>
      <c r="H936" t="s">
        <v>18</v>
      </c>
      <c r="I936" t="s">
        <v>13</v>
      </c>
      <c r="J936" t="s">
        <v>11</v>
      </c>
    </row>
    <row r="937" spans="1:10" x14ac:dyDescent="0.25">
      <c r="A937">
        <v>936</v>
      </c>
      <c r="B937" s="1">
        <v>45398</v>
      </c>
      <c r="C937" t="s">
        <v>10</v>
      </c>
      <c r="D937" t="s">
        <v>17</v>
      </c>
      <c r="E937">
        <v>203</v>
      </c>
      <c r="F937">
        <v>47</v>
      </c>
      <c r="G937">
        <v>3.2</v>
      </c>
      <c r="H937" t="s">
        <v>12</v>
      </c>
      <c r="I937" t="s">
        <v>13</v>
      </c>
      <c r="J937" t="s">
        <v>11</v>
      </c>
    </row>
    <row r="938" spans="1:10" x14ac:dyDescent="0.25">
      <c r="A938">
        <v>937</v>
      </c>
      <c r="B938" s="1">
        <v>45643</v>
      </c>
      <c r="C938" t="s">
        <v>23</v>
      </c>
      <c r="D938" t="s">
        <v>11</v>
      </c>
      <c r="E938">
        <v>184</v>
      </c>
      <c r="F938">
        <v>62</v>
      </c>
      <c r="G938">
        <v>7.1</v>
      </c>
      <c r="H938" t="s">
        <v>18</v>
      </c>
      <c r="I938" t="s">
        <v>13</v>
      </c>
      <c r="J938" t="s">
        <v>15</v>
      </c>
    </row>
    <row r="939" spans="1:10" x14ac:dyDescent="0.25">
      <c r="A939">
        <v>938</v>
      </c>
      <c r="B939" s="1">
        <v>45359</v>
      </c>
      <c r="C939" t="s">
        <v>14</v>
      </c>
      <c r="D939" t="s">
        <v>11</v>
      </c>
      <c r="E939">
        <v>18</v>
      </c>
      <c r="F939">
        <v>41</v>
      </c>
      <c r="G939">
        <v>3.1</v>
      </c>
      <c r="H939" t="s">
        <v>18</v>
      </c>
      <c r="I939" t="s">
        <v>19</v>
      </c>
      <c r="J939" t="s">
        <v>15</v>
      </c>
    </row>
    <row r="940" spans="1:10" x14ac:dyDescent="0.25">
      <c r="A940">
        <v>939</v>
      </c>
      <c r="B940" s="1">
        <v>45464</v>
      </c>
      <c r="C940" t="s">
        <v>10</v>
      </c>
      <c r="D940" t="s">
        <v>20</v>
      </c>
      <c r="E940">
        <v>44</v>
      </c>
      <c r="F940">
        <v>16</v>
      </c>
      <c r="G940">
        <v>2.6</v>
      </c>
      <c r="H940" t="s">
        <v>18</v>
      </c>
      <c r="I940" t="s">
        <v>16</v>
      </c>
      <c r="J940" t="s">
        <v>11</v>
      </c>
    </row>
    <row r="941" spans="1:10" x14ac:dyDescent="0.25">
      <c r="A941">
        <v>940</v>
      </c>
      <c r="B941" s="1">
        <v>45329</v>
      </c>
      <c r="C941" t="s">
        <v>21</v>
      </c>
      <c r="D941" t="s">
        <v>15</v>
      </c>
      <c r="E941">
        <v>27</v>
      </c>
      <c r="F941">
        <v>35</v>
      </c>
      <c r="G941">
        <v>1.7</v>
      </c>
      <c r="H941" t="s">
        <v>18</v>
      </c>
      <c r="I941" t="s">
        <v>19</v>
      </c>
      <c r="J941" t="s">
        <v>15</v>
      </c>
    </row>
    <row r="942" spans="1:10" x14ac:dyDescent="0.25">
      <c r="A942">
        <v>941</v>
      </c>
      <c r="B942" s="1">
        <v>45440</v>
      </c>
      <c r="C942" t="s">
        <v>14</v>
      </c>
      <c r="D942" t="s">
        <v>17</v>
      </c>
      <c r="E942">
        <v>18</v>
      </c>
      <c r="F942">
        <v>57</v>
      </c>
      <c r="G942">
        <v>2.6</v>
      </c>
      <c r="H942" t="s">
        <v>18</v>
      </c>
      <c r="I942" t="s">
        <v>16</v>
      </c>
      <c r="J942" t="s">
        <v>15</v>
      </c>
    </row>
    <row r="943" spans="1:10" x14ac:dyDescent="0.25">
      <c r="A943">
        <v>942</v>
      </c>
      <c r="B943" s="1">
        <v>45587</v>
      </c>
      <c r="C943" t="s">
        <v>10</v>
      </c>
      <c r="D943" t="s">
        <v>20</v>
      </c>
      <c r="E943">
        <v>13</v>
      </c>
      <c r="F943">
        <v>27</v>
      </c>
      <c r="G943">
        <v>6.4</v>
      </c>
      <c r="H943" t="s">
        <v>18</v>
      </c>
      <c r="I943" t="s">
        <v>13</v>
      </c>
      <c r="J943" t="s">
        <v>15</v>
      </c>
    </row>
    <row r="944" spans="1:10" x14ac:dyDescent="0.25">
      <c r="A944">
        <v>943</v>
      </c>
      <c r="B944" s="1">
        <v>45370</v>
      </c>
      <c r="C944" t="s">
        <v>22</v>
      </c>
      <c r="D944" t="s">
        <v>17</v>
      </c>
      <c r="E944">
        <v>152</v>
      </c>
      <c r="F944">
        <v>28</v>
      </c>
      <c r="G944">
        <v>8.6999999999999993</v>
      </c>
      <c r="H944" t="s">
        <v>18</v>
      </c>
      <c r="I944" t="s">
        <v>13</v>
      </c>
      <c r="J944" t="s">
        <v>11</v>
      </c>
    </row>
    <row r="945" spans="1:10" x14ac:dyDescent="0.25">
      <c r="A945">
        <v>944</v>
      </c>
      <c r="B945" s="1">
        <v>45544</v>
      </c>
      <c r="C945" t="s">
        <v>21</v>
      </c>
      <c r="D945" t="s">
        <v>15</v>
      </c>
      <c r="E945">
        <v>165</v>
      </c>
      <c r="F945">
        <v>21</v>
      </c>
      <c r="G945">
        <v>4.3</v>
      </c>
      <c r="H945" t="s">
        <v>18</v>
      </c>
      <c r="I945" t="s">
        <v>13</v>
      </c>
      <c r="J945" t="s">
        <v>11</v>
      </c>
    </row>
    <row r="946" spans="1:10" x14ac:dyDescent="0.25">
      <c r="A946">
        <v>945</v>
      </c>
      <c r="B946" s="1">
        <v>45616</v>
      </c>
      <c r="C946" t="s">
        <v>22</v>
      </c>
      <c r="D946" t="s">
        <v>20</v>
      </c>
      <c r="E946">
        <v>238</v>
      </c>
      <c r="F946">
        <v>68</v>
      </c>
      <c r="G946">
        <v>6.6</v>
      </c>
      <c r="H946" t="s">
        <v>18</v>
      </c>
      <c r="I946" t="s">
        <v>16</v>
      </c>
      <c r="J946" t="s">
        <v>11</v>
      </c>
    </row>
    <row r="947" spans="1:10" x14ac:dyDescent="0.25">
      <c r="A947">
        <v>946</v>
      </c>
      <c r="B947" s="1">
        <v>45418</v>
      </c>
      <c r="C947" t="s">
        <v>23</v>
      </c>
      <c r="D947" t="s">
        <v>11</v>
      </c>
      <c r="E947">
        <v>98</v>
      </c>
      <c r="F947">
        <v>19</v>
      </c>
      <c r="G947">
        <v>1.8</v>
      </c>
      <c r="H947" t="s">
        <v>18</v>
      </c>
      <c r="I947" t="s">
        <v>19</v>
      </c>
      <c r="J947" t="s">
        <v>11</v>
      </c>
    </row>
    <row r="948" spans="1:10" x14ac:dyDescent="0.25">
      <c r="A948">
        <v>947</v>
      </c>
      <c r="B948" s="1">
        <v>45419</v>
      </c>
      <c r="C948" t="s">
        <v>14</v>
      </c>
      <c r="D948" t="s">
        <v>11</v>
      </c>
      <c r="E948">
        <v>198</v>
      </c>
      <c r="F948">
        <v>3</v>
      </c>
      <c r="G948">
        <v>8.1999999999999993</v>
      </c>
      <c r="H948" t="s">
        <v>18</v>
      </c>
      <c r="I948" t="s">
        <v>16</v>
      </c>
      <c r="J948" t="s">
        <v>20</v>
      </c>
    </row>
    <row r="949" spans="1:10" x14ac:dyDescent="0.25">
      <c r="A949">
        <v>948</v>
      </c>
      <c r="B949" s="1">
        <v>45322</v>
      </c>
      <c r="C949" t="s">
        <v>10</v>
      </c>
      <c r="D949" t="s">
        <v>15</v>
      </c>
      <c r="E949">
        <v>69</v>
      </c>
      <c r="F949">
        <v>38</v>
      </c>
      <c r="G949">
        <v>2.5</v>
      </c>
      <c r="H949" t="s">
        <v>18</v>
      </c>
      <c r="I949" t="s">
        <v>19</v>
      </c>
      <c r="J949" t="s">
        <v>11</v>
      </c>
    </row>
    <row r="950" spans="1:10" x14ac:dyDescent="0.25">
      <c r="A950">
        <v>949</v>
      </c>
      <c r="B950" s="1">
        <v>45294</v>
      </c>
      <c r="C950" t="s">
        <v>10</v>
      </c>
      <c r="D950" t="s">
        <v>11</v>
      </c>
      <c r="E950">
        <v>38</v>
      </c>
      <c r="F950">
        <v>32</v>
      </c>
      <c r="G950">
        <v>2</v>
      </c>
      <c r="H950" t="s">
        <v>18</v>
      </c>
      <c r="I950" t="s">
        <v>16</v>
      </c>
      <c r="J950" t="s">
        <v>11</v>
      </c>
    </row>
    <row r="951" spans="1:10" x14ac:dyDescent="0.25">
      <c r="A951">
        <v>950</v>
      </c>
      <c r="B951" s="1">
        <v>45434</v>
      </c>
      <c r="C951" t="s">
        <v>21</v>
      </c>
      <c r="D951" t="s">
        <v>11</v>
      </c>
      <c r="E951">
        <v>19</v>
      </c>
      <c r="F951">
        <v>7</v>
      </c>
      <c r="G951">
        <v>1.2</v>
      </c>
      <c r="H951" t="s">
        <v>12</v>
      </c>
      <c r="I951" t="s">
        <v>13</v>
      </c>
      <c r="J951" t="s">
        <v>15</v>
      </c>
    </row>
    <row r="952" spans="1:10" x14ac:dyDescent="0.25">
      <c r="A952">
        <v>951</v>
      </c>
      <c r="B952" s="1">
        <v>45490</v>
      </c>
      <c r="C952" t="s">
        <v>22</v>
      </c>
      <c r="D952" t="s">
        <v>17</v>
      </c>
      <c r="E952">
        <v>56</v>
      </c>
      <c r="F952">
        <v>36</v>
      </c>
      <c r="G952">
        <v>5.5</v>
      </c>
      <c r="H952" t="s">
        <v>12</v>
      </c>
      <c r="I952" t="s">
        <v>16</v>
      </c>
      <c r="J952" t="s">
        <v>11</v>
      </c>
    </row>
    <row r="953" spans="1:10" x14ac:dyDescent="0.25">
      <c r="A953">
        <v>952</v>
      </c>
      <c r="B953" s="1">
        <v>45325</v>
      </c>
      <c r="C953" t="s">
        <v>21</v>
      </c>
      <c r="D953" t="s">
        <v>20</v>
      </c>
      <c r="E953">
        <v>231</v>
      </c>
      <c r="F953">
        <v>26</v>
      </c>
      <c r="G953">
        <v>8.3000000000000007</v>
      </c>
      <c r="H953" t="s">
        <v>18</v>
      </c>
      <c r="I953" t="s">
        <v>13</v>
      </c>
      <c r="J953" t="s">
        <v>11</v>
      </c>
    </row>
    <row r="954" spans="1:10" x14ac:dyDescent="0.25">
      <c r="A954">
        <v>953</v>
      </c>
      <c r="B954" s="1">
        <v>45644</v>
      </c>
      <c r="C954" t="s">
        <v>21</v>
      </c>
      <c r="D954" t="s">
        <v>15</v>
      </c>
      <c r="E954">
        <v>66</v>
      </c>
      <c r="F954">
        <v>4</v>
      </c>
      <c r="G954">
        <v>8.8000000000000007</v>
      </c>
      <c r="H954" t="s">
        <v>12</v>
      </c>
      <c r="I954" t="s">
        <v>16</v>
      </c>
      <c r="J954" t="s">
        <v>15</v>
      </c>
    </row>
    <row r="955" spans="1:10" x14ac:dyDescent="0.25">
      <c r="A955">
        <v>954</v>
      </c>
      <c r="B955" s="1">
        <v>45415</v>
      </c>
      <c r="C955" t="s">
        <v>21</v>
      </c>
      <c r="D955" t="s">
        <v>11</v>
      </c>
      <c r="E955">
        <v>55</v>
      </c>
      <c r="F955">
        <v>15</v>
      </c>
      <c r="G955">
        <v>1.8</v>
      </c>
      <c r="H955" t="s">
        <v>18</v>
      </c>
      <c r="I955" t="s">
        <v>13</v>
      </c>
      <c r="J955" t="s">
        <v>11</v>
      </c>
    </row>
    <row r="956" spans="1:10" x14ac:dyDescent="0.25">
      <c r="A956">
        <v>955</v>
      </c>
      <c r="B956" s="1">
        <v>45650</v>
      </c>
      <c r="C956" t="s">
        <v>23</v>
      </c>
      <c r="D956" t="s">
        <v>15</v>
      </c>
      <c r="E956">
        <v>99</v>
      </c>
      <c r="F956">
        <v>68</v>
      </c>
      <c r="G956">
        <v>3.5</v>
      </c>
      <c r="H956" t="s">
        <v>18</v>
      </c>
      <c r="I956" t="s">
        <v>16</v>
      </c>
      <c r="J956" t="s">
        <v>11</v>
      </c>
    </row>
    <row r="957" spans="1:10" x14ac:dyDescent="0.25">
      <c r="A957">
        <v>956</v>
      </c>
      <c r="B957" s="1">
        <v>45621</v>
      </c>
      <c r="C957" t="s">
        <v>22</v>
      </c>
      <c r="D957" t="s">
        <v>20</v>
      </c>
      <c r="E957">
        <v>185</v>
      </c>
      <c r="F957">
        <v>53</v>
      </c>
      <c r="G957">
        <v>0.8</v>
      </c>
      <c r="H957" t="s">
        <v>18</v>
      </c>
      <c r="I957" t="s">
        <v>19</v>
      </c>
      <c r="J957" t="s">
        <v>11</v>
      </c>
    </row>
    <row r="958" spans="1:10" x14ac:dyDescent="0.25">
      <c r="A958">
        <v>957</v>
      </c>
      <c r="B958" s="1">
        <v>45427</v>
      </c>
      <c r="C958" t="s">
        <v>23</v>
      </c>
      <c r="D958" t="s">
        <v>11</v>
      </c>
      <c r="E958">
        <v>98</v>
      </c>
      <c r="F958">
        <v>72</v>
      </c>
      <c r="G958">
        <v>6.6</v>
      </c>
      <c r="H958" t="s">
        <v>12</v>
      </c>
      <c r="I958" t="s">
        <v>16</v>
      </c>
      <c r="J958" t="s">
        <v>11</v>
      </c>
    </row>
    <row r="959" spans="1:10" x14ac:dyDescent="0.25">
      <c r="A959">
        <v>958</v>
      </c>
      <c r="B959" s="1">
        <v>45506</v>
      </c>
      <c r="C959" t="s">
        <v>22</v>
      </c>
      <c r="D959" t="s">
        <v>17</v>
      </c>
      <c r="E959">
        <v>22</v>
      </c>
      <c r="F959">
        <v>59</v>
      </c>
      <c r="G959">
        <v>7.5</v>
      </c>
      <c r="H959" t="s">
        <v>18</v>
      </c>
      <c r="I959" t="s">
        <v>13</v>
      </c>
      <c r="J959" t="s">
        <v>15</v>
      </c>
    </row>
    <row r="960" spans="1:10" x14ac:dyDescent="0.25">
      <c r="A960">
        <v>959</v>
      </c>
      <c r="B960" s="1">
        <v>45369</v>
      </c>
      <c r="C960" t="s">
        <v>14</v>
      </c>
      <c r="D960" t="s">
        <v>11</v>
      </c>
      <c r="E960">
        <v>22</v>
      </c>
      <c r="F960">
        <v>50</v>
      </c>
      <c r="G960">
        <v>10</v>
      </c>
      <c r="H960" t="s">
        <v>12</v>
      </c>
      <c r="I960" t="s">
        <v>16</v>
      </c>
      <c r="J960" t="s">
        <v>15</v>
      </c>
    </row>
    <row r="961" spans="1:10" x14ac:dyDescent="0.25">
      <c r="A961">
        <v>960</v>
      </c>
      <c r="B961" s="1">
        <v>45514</v>
      </c>
      <c r="C961" t="s">
        <v>14</v>
      </c>
      <c r="D961" t="s">
        <v>11</v>
      </c>
      <c r="E961">
        <v>110</v>
      </c>
      <c r="F961">
        <v>51</v>
      </c>
      <c r="G961">
        <v>4.0999999999999996</v>
      </c>
      <c r="H961" t="s">
        <v>12</v>
      </c>
      <c r="I961" t="s">
        <v>19</v>
      </c>
      <c r="J961" t="s">
        <v>11</v>
      </c>
    </row>
    <row r="962" spans="1:10" x14ac:dyDescent="0.25">
      <c r="A962">
        <v>961</v>
      </c>
      <c r="B962" s="1">
        <v>45389</v>
      </c>
      <c r="C962" t="s">
        <v>14</v>
      </c>
      <c r="D962" t="s">
        <v>17</v>
      </c>
      <c r="E962">
        <v>85</v>
      </c>
      <c r="F962">
        <v>59</v>
      </c>
      <c r="G962">
        <v>5.7</v>
      </c>
      <c r="H962" t="s">
        <v>18</v>
      </c>
      <c r="I962" t="s">
        <v>19</v>
      </c>
      <c r="J962" t="s">
        <v>11</v>
      </c>
    </row>
    <row r="963" spans="1:10" x14ac:dyDescent="0.25">
      <c r="A963">
        <v>962</v>
      </c>
      <c r="B963" s="1">
        <v>45531</v>
      </c>
      <c r="C963" t="s">
        <v>23</v>
      </c>
      <c r="D963" t="s">
        <v>11</v>
      </c>
      <c r="E963">
        <v>217</v>
      </c>
      <c r="F963">
        <v>67</v>
      </c>
      <c r="G963">
        <v>5.5</v>
      </c>
      <c r="H963" t="s">
        <v>12</v>
      </c>
      <c r="I963" t="s">
        <v>13</v>
      </c>
      <c r="J963" t="s">
        <v>11</v>
      </c>
    </row>
    <row r="964" spans="1:10" x14ac:dyDescent="0.25">
      <c r="A964">
        <v>963</v>
      </c>
      <c r="B964" s="1">
        <v>45453</v>
      </c>
      <c r="C964" t="s">
        <v>10</v>
      </c>
      <c r="D964" t="s">
        <v>11</v>
      </c>
      <c r="E964">
        <v>5</v>
      </c>
      <c r="F964">
        <v>26</v>
      </c>
      <c r="G964">
        <v>1.8</v>
      </c>
      <c r="H964" t="s">
        <v>12</v>
      </c>
      <c r="I964" t="s">
        <v>19</v>
      </c>
      <c r="J964" t="s">
        <v>15</v>
      </c>
    </row>
    <row r="965" spans="1:10" x14ac:dyDescent="0.25">
      <c r="A965">
        <v>964</v>
      </c>
      <c r="B965" s="1">
        <v>45374</v>
      </c>
      <c r="C965" t="s">
        <v>22</v>
      </c>
      <c r="D965" t="s">
        <v>11</v>
      </c>
      <c r="E965">
        <v>147</v>
      </c>
      <c r="F965">
        <v>32</v>
      </c>
      <c r="G965">
        <v>6.9</v>
      </c>
      <c r="H965" t="s">
        <v>18</v>
      </c>
      <c r="I965" t="s">
        <v>19</v>
      </c>
      <c r="J965" t="s">
        <v>15</v>
      </c>
    </row>
    <row r="966" spans="1:10" x14ac:dyDescent="0.25">
      <c r="A966">
        <v>965</v>
      </c>
      <c r="B966" s="1">
        <v>45409</v>
      </c>
      <c r="C966" t="s">
        <v>10</v>
      </c>
      <c r="D966" t="s">
        <v>20</v>
      </c>
      <c r="E966">
        <v>170</v>
      </c>
      <c r="F966">
        <v>70</v>
      </c>
      <c r="G966">
        <v>6</v>
      </c>
      <c r="H966" t="s">
        <v>12</v>
      </c>
      <c r="I966" t="s">
        <v>13</v>
      </c>
      <c r="J966" t="s">
        <v>11</v>
      </c>
    </row>
    <row r="967" spans="1:10" x14ac:dyDescent="0.25">
      <c r="A967">
        <v>966</v>
      </c>
      <c r="B967" s="1">
        <v>45303</v>
      </c>
      <c r="C967" t="s">
        <v>14</v>
      </c>
      <c r="D967" t="s">
        <v>20</v>
      </c>
      <c r="E967">
        <v>16</v>
      </c>
      <c r="F967">
        <v>7</v>
      </c>
      <c r="G967">
        <v>5.8</v>
      </c>
      <c r="H967" t="s">
        <v>12</v>
      </c>
      <c r="I967" t="s">
        <v>19</v>
      </c>
      <c r="J967" t="s">
        <v>15</v>
      </c>
    </row>
    <row r="968" spans="1:10" x14ac:dyDescent="0.25">
      <c r="A968">
        <v>967</v>
      </c>
      <c r="B968" s="1">
        <v>45552</v>
      </c>
      <c r="C968" t="s">
        <v>14</v>
      </c>
      <c r="D968" t="s">
        <v>15</v>
      </c>
      <c r="E968">
        <v>101</v>
      </c>
      <c r="F968">
        <v>29</v>
      </c>
      <c r="G968">
        <v>2.4</v>
      </c>
      <c r="H968" t="s">
        <v>12</v>
      </c>
      <c r="I968" t="s">
        <v>16</v>
      </c>
      <c r="J968" t="s">
        <v>11</v>
      </c>
    </row>
    <row r="969" spans="1:10" x14ac:dyDescent="0.25">
      <c r="A969">
        <v>968</v>
      </c>
      <c r="B969" s="1">
        <v>45377</v>
      </c>
      <c r="C969" t="s">
        <v>22</v>
      </c>
      <c r="D969" t="s">
        <v>11</v>
      </c>
      <c r="E969">
        <v>62</v>
      </c>
      <c r="F969">
        <v>37</v>
      </c>
      <c r="G969">
        <v>6.6</v>
      </c>
      <c r="H969" t="s">
        <v>12</v>
      </c>
      <c r="I969" t="s">
        <v>19</v>
      </c>
      <c r="J969" t="s">
        <v>11</v>
      </c>
    </row>
    <row r="970" spans="1:10" x14ac:dyDescent="0.25">
      <c r="A970">
        <v>969</v>
      </c>
      <c r="B970" s="1">
        <v>45312</v>
      </c>
      <c r="C970" t="s">
        <v>14</v>
      </c>
      <c r="D970" t="s">
        <v>20</v>
      </c>
      <c r="E970">
        <v>82</v>
      </c>
      <c r="F970">
        <v>63</v>
      </c>
      <c r="G970">
        <v>7</v>
      </c>
      <c r="H970" t="s">
        <v>18</v>
      </c>
      <c r="I970" t="s">
        <v>19</v>
      </c>
      <c r="J970" t="s">
        <v>11</v>
      </c>
    </row>
    <row r="971" spans="1:10" x14ac:dyDescent="0.25">
      <c r="A971">
        <v>970</v>
      </c>
      <c r="B971" s="1">
        <v>45346</v>
      </c>
      <c r="C971" t="s">
        <v>22</v>
      </c>
      <c r="D971" t="s">
        <v>11</v>
      </c>
      <c r="E971">
        <v>226</v>
      </c>
      <c r="F971">
        <v>47</v>
      </c>
      <c r="G971">
        <v>3.9</v>
      </c>
      <c r="H971" t="s">
        <v>12</v>
      </c>
      <c r="I971" t="s">
        <v>16</v>
      </c>
      <c r="J971" t="s">
        <v>11</v>
      </c>
    </row>
    <row r="972" spans="1:10" x14ac:dyDescent="0.25">
      <c r="A972">
        <v>971</v>
      </c>
      <c r="B972" s="1">
        <v>45349</v>
      </c>
      <c r="C972" t="s">
        <v>10</v>
      </c>
      <c r="D972" t="s">
        <v>17</v>
      </c>
      <c r="E972">
        <v>206</v>
      </c>
      <c r="F972">
        <v>44</v>
      </c>
      <c r="G972">
        <v>1</v>
      </c>
      <c r="H972" t="s">
        <v>12</v>
      </c>
      <c r="I972" t="s">
        <v>13</v>
      </c>
      <c r="J972" t="s">
        <v>11</v>
      </c>
    </row>
    <row r="973" spans="1:10" x14ac:dyDescent="0.25">
      <c r="A973">
        <v>972</v>
      </c>
      <c r="B973" s="1">
        <v>45403</v>
      </c>
      <c r="C973" t="s">
        <v>21</v>
      </c>
      <c r="D973" t="s">
        <v>15</v>
      </c>
      <c r="E973">
        <v>189</v>
      </c>
      <c r="F973">
        <v>4</v>
      </c>
      <c r="G973">
        <v>2.9</v>
      </c>
      <c r="H973" t="s">
        <v>12</v>
      </c>
      <c r="I973" t="s">
        <v>13</v>
      </c>
      <c r="J973" t="s">
        <v>15</v>
      </c>
    </row>
    <row r="974" spans="1:10" x14ac:dyDescent="0.25">
      <c r="A974">
        <v>973</v>
      </c>
      <c r="B974" s="1">
        <v>45459</v>
      </c>
      <c r="C974" t="s">
        <v>23</v>
      </c>
      <c r="D974" t="s">
        <v>17</v>
      </c>
      <c r="E974">
        <v>93</v>
      </c>
      <c r="F974">
        <v>46</v>
      </c>
      <c r="G974">
        <v>1.7</v>
      </c>
      <c r="H974" t="s">
        <v>12</v>
      </c>
      <c r="I974" t="s">
        <v>13</v>
      </c>
      <c r="J974" t="s">
        <v>11</v>
      </c>
    </row>
    <row r="975" spans="1:10" x14ac:dyDescent="0.25">
      <c r="A975">
        <v>974</v>
      </c>
      <c r="B975" s="1">
        <v>45570</v>
      </c>
      <c r="C975" t="s">
        <v>23</v>
      </c>
      <c r="D975" t="s">
        <v>17</v>
      </c>
      <c r="E975">
        <v>26</v>
      </c>
      <c r="F975">
        <v>9</v>
      </c>
      <c r="G975">
        <v>2.7</v>
      </c>
      <c r="H975" t="s">
        <v>12</v>
      </c>
      <c r="I975" t="s">
        <v>16</v>
      </c>
      <c r="J975" t="s">
        <v>11</v>
      </c>
    </row>
    <row r="976" spans="1:10" x14ac:dyDescent="0.25">
      <c r="A976">
        <v>975</v>
      </c>
      <c r="B976" s="1">
        <v>45521</v>
      </c>
      <c r="C976" t="s">
        <v>14</v>
      </c>
      <c r="D976" t="s">
        <v>20</v>
      </c>
      <c r="E976">
        <v>142</v>
      </c>
      <c r="F976">
        <v>15</v>
      </c>
      <c r="G976">
        <v>3.3</v>
      </c>
      <c r="H976" t="s">
        <v>12</v>
      </c>
      <c r="I976" t="s">
        <v>13</v>
      </c>
      <c r="J976" t="s">
        <v>11</v>
      </c>
    </row>
    <row r="977" spans="1:10" x14ac:dyDescent="0.25">
      <c r="A977">
        <v>976</v>
      </c>
      <c r="B977" s="1">
        <v>45392</v>
      </c>
      <c r="C977" t="s">
        <v>23</v>
      </c>
      <c r="D977" t="s">
        <v>15</v>
      </c>
      <c r="E977">
        <v>147</v>
      </c>
      <c r="F977">
        <v>41</v>
      </c>
      <c r="G977">
        <v>5.3</v>
      </c>
      <c r="H977" t="s">
        <v>12</v>
      </c>
      <c r="I977" t="s">
        <v>19</v>
      </c>
      <c r="J977" t="s">
        <v>11</v>
      </c>
    </row>
    <row r="978" spans="1:10" x14ac:dyDescent="0.25">
      <c r="A978">
        <v>977</v>
      </c>
      <c r="B978" s="1">
        <v>45298</v>
      </c>
      <c r="C978" t="s">
        <v>22</v>
      </c>
      <c r="D978" t="s">
        <v>17</v>
      </c>
      <c r="E978">
        <v>230</v>
      </c>
      <c r="F978">
        <v>31</v>
      </c>
      <c r="G978">
        <v>9</v>
      </c>
      <c r="H978" t="s">
        <v>12</v>
      </c>
      <c r="I978" t="s">
        <v>13</v>
      </c>
      <c r="J978" t="s">
        <v>11</v>
      </c>
    </row>
    <row r="979" spans="1:10" x14ac:dyDescent="0.25">
      <c r="A979">
        <v>978</v>
      </c>
      <c r="B979" s="1">
        <v>45569</v>
      </c>
      <c r="C979" t="s">
        <v>14</v>
      </c>
      <c r="D979" t="s">
        <v>15</v>
      </c>
      <c r="E979">
        <v>139</v>
      </c>
      <c r="F979">
        <v>52</v>
      </c>
      <c r="G979">
        <v>4.7</v>
      </c>
      <c r="H979" t="s">
        <v>18</v>
      </c>
      <c r="I979" t="s">
        <v>16</v>
      </c>
      <c r="J979" t="s">
        <v>11</v>
      </c>
    </row>
    <row r="980" spans="1:10" x14ac:dyDescent="0.25">
      <c r="A980">
        <v>979</v>
      </c>
      <c r="B980" s="1">
        <v>45633</v>
      </c>
      <c r="C980" t="s">
        <v>14</v>
      </c>
      <c r="D980" t="s">
        <v>11</v>
      </c>
      <c r="E980">
        <v>13</v>
      </c>
      <c r="F980">
        <v>25</v>
      </c>
      <c r="G980">
        <v>1.1000000000000001</v>
      </c>
      <c r="H980" t="s">
        <v>12</v>
      </c>
      <c r="I980" t="s">
        <v>19</v>
      </c>
      <c r="J980" t="s">
        <v>15</v>
      </c>
    </row>
    <row r="981" spans="1:10" x14ac:dyDescent="0.25">
      <c r="A981">
        <v>980</v>
      </c>
      <c r="B981" s="1">
        <v>45377</v>
      </c>
      <c r="C981" t="s">
        <v>14</v>
      </c>
      <c r="D981" t="s">
        <v>20</v>
      </c>
      <c r="E981">
        <v>197</v>
      </c>
      <c r="F981">
        <v>41</v>
      </c>
      <c r="G981">
        <v>4.0999999999999996</v>
      </c>
      <c r="H981" t="s">
        <v>18</v>
      </c>
      <c r="I981" t="s">
        <v>13</v>
      </c>
      <c r="J981" t="s">
        <v>11</v>
      </c>
    </row>
    <row r="982" spans="1:10" x14ac:dyDescent="0.25">
      <c r="A982">
        <v>981</v>
      </c>
      <c r="B982" s="1">
        <v>45333</v>
      </c>
      <c r="C982" t="s">
        <v>14</v>
      </c>
      <c r="D982" t="s">
        <v>11</v>
      </c>
      <c r="E982">
        <v>36</v>
      </c>
      <c r="F982">
        <v>33</v>
      </c>
      <c r="G982">
        <v>3.8</v>
      </c>
      <c r="H982" t="s">
        <v>12</v>
      </c>
      <c r="I982" t="s">
        <v>19</v>
      </c>
      <c r="J982" t="s">
        <v>11</v>
      </c>
    </row>
    <row r="983" spans="1:10" x14ac:dyDescent="0.25">
      <c r="A983">
        <v>982</v>
      </c>
      <c r="B983" s="1">
        <v>45531</v>
      </c>
      <c r="C983" t="s">
        <v>23</v>
      </c>
      <c r="D983" t="s">
        <v>17</v>
      </c>
      <c r="E983">
        <v>136</v>
      </c>
      <c r="F983">
        <v>59</v>
      </c>
      <c r="G983">
        <v>7.3</v>
      </c>
      <c r="H983" t="s">
        <v>12</v>
      </c>
      <c r="I983" t="s">
        <v>16</v>
      </c>
      <c r="J983" t="s">
        <v>11</v>
      </c>
    </row>
    <row r="984" spans="1:10" x14ac:dyDescent="0.25">
      <c r="A984">
        <v>983</v>
      </c>
      <c r="B984" s="1">
        <v>45507</v>
      </c>
      <c r="C984" t="s">
        <v>22</v>
      </c>
      <c r="D984" t="s">
        <v>20</v>
      </c>
      <c r="E984">
        <v>202</v>
      </c>
      <c r="F984">
        <v>3</v>
      </c>
      <c r="G984">
        <v>4.5</v>
      </c>
      <c r="H984" t="s">
        <v>18</v>
      </c>
      <c r="I984" t="s">
        <v>13</v>
      </c>
      <c r="J984" t="s">
        <v>15</v>
      </c>
    </row>
    <row r="985" spans="1:10" x14ac:dyDescent="0.25">
      <c r="A985">
        <v>984</v>
      </c>
      <c r="B985" s="1">
        <v>45368</v>
      </c>
      <c r="C985" t="s">
        <v>10</v>
      </c>
      <c r="D985" t="s">
        <v>17</v>
      </c>
      <c r="E985">
        <v>92</v>
      </c>
      <c r="F985">
        <v>62</v>
      </c>
      <c r="G985">
        <v>9.6999999999999993</v>
      </c>
      <c r="H985" t="s">
        <v>18</v>
      </c>
      <c r="I985" t="s">
        <v>19</v>
      </c>
      <c r="J985" t="s">
        <v>11</v>
      </c>
    </row>
    <row r="986" spans="1:10" x14ac:dyDescent="0.25">
      <c r="A986">
        <v>985</v>
      </c>
      <c r="B986" s="1">
        <v>45610</v>
      </c>
      <c r="C986" t="s">
        <v>21</v>
      </c>
      <c r="D986" t="s">
        <v>20</v>
      </c>
      <c r="E986">
        <v>20</v>
      </c>
      <c r="F986">
        <v>23</v>
      </c>
      <c r="G986">
        <v>4.5999999999999996</v>
      </c>
      <c r="H986" t="s">
        <v>12</v>
      </c>
      <c r="I986" t="s">
        <v>13</v>
      </c>
      <c r="J986" t="s">
        <v>11</v>
      </c>
    </row>
    <row r="987" spans="1:10" x14ac:dyDescent="0.25">
      <c r="A987">
        <v>986</v>
      </c>
      <c r="B987" s="1">
        <v>45427</v>
      </c>
      <c r="C987" t="s">
        <v>14</v>
      </c>
      <c r="D987" t="s">
        <v>11</v>
      </c>
      <c r="E987">
        <v>226</v>
      </c>
      <c r="F987">
        <v>68</v>
      </c>
      <c r="G987">
        <v>9.5</v>
      </c>
      <c r="H987" t="s">
        <v>18</v>
      </c>
      <c r="I987" t="s">
        <v>16</v>
      </c>
      <c r="J987" t="s">
        <v>15</v>
      </c>
    </row>
    <row r="988" spans="1:10" x14ac:dyDescent="0.25">
      <c r="A988">
        <v>987</v>
      </c>
      <c r="B988" s="1">
        <v>45568</v>
      </c>
      <c r="C988" t="s">
        <v>14</v>
      </c>
      <c r="D988" t="s">
        <v>15</v>
      </c>
      <c r="E988">
        <v>152</v>
      </c>
      <c r="F988">
        <v>44</v>
      </c>
      <c r="G988">
        <v>6.7</v>
      </c>
      <c r="H988" t="s">
        <v>12</v>
      </c>
      <c r="I988" t="s">
        <v>19</v>
      </c>
      <c r="J988" t="s">
        <v>11</v>
      </c>
    </row>
    <row r="989" spans="1:10" x14ac:dyDescent="0.25">
      <c r="A989">
        <v>988</v>
      </c>
      <c r="B989" s="1">
        <v>45627</v>
      </c>
      <c r="C989" t="s">
        <v>14</v>
      </c>
      <c r="D989" t="s">
        <v>15</v>
      </c>
      <c r="E989">
        <v>152</v>
      </c>
      <c r="F989">
        <v>70</v>
      </c>
      <c r="G989">
        <v>9</v>
      </c>
      <c r="H989" t="s">
        <v>18</v>
      </c>
      <c r="I989" t="s">
        <v>13</v>
      </c>
      <c r="J989" t="s">
        <v>15</v>
      </c>
    </row>
    <row r="990" spans="1:10" x14ac:dyDescent="0.25">
      <c r="A990">
        <v>989</v>
      </c>
      <c r="B990" s="1">
        <v>45657</v>
      </c>
      <c r="C990" t="s">
        <v>21</v>
      </c>
      <c r="D990" t="s">
        <v>15</v>
      </c>
      <c r="E990">
        <v>18</v>
      </c>
      <c r="F990">
        <v>46</v>
      </c>
      <c r="G990">
        <v>8.6</v>
      </c>
      <c r="H990" t="s">
        <v>18</v>
      </c>
      <c r="I990" t="s">
        <v>19</v>
      </c>
      <c r="J990" t="s">
        <v>20</v>
      </c>
    </row>
    <row r="991" spans="1:10" x14ac:dyDescent="0.25">
      <c r="A991">
        <v>990</v>
      </c>
      <c r="B991" s="1">
        <v>45488</v>
      </c>
      <c r="C991" t="s">
        <v>22</v>
      </c>
      <c r="D991" t="s">
        <v>11</v>
      </c>
      <c r="E991">
        <v>18</v>
      </c>
      <c r="F991">
        <v>45</v>
      </c>
      <c r="G991">
        <v>8.3000000000000007</v>
      </c>
      <c r="H991" t="s">
        <v>18</v>
      </c>
      <c r="I991" t="s">
        <v>16</v>
      </c>
      <c r="J991" t="s">
        <v>20</v>
      </c>
    </row>
    <row r="992" spans="1:10" x14ac:dyDescent="0.25">
      <c r="A992">
        <v>991</v>
      </c>
      <c r="B992" s="1">
        <v>45600</v>
      </c>
      <c r="C992" t="s">
        <v>21</v>
      </c>
      <c r="D992" t="s">
        <v>11</v>
      </c>
      <c r="E992">
        <v>199</v>
      </c>
      <c r="F992">
        <v>71</v>
      </c>
      <c r="G992">
        <v>8.6999999999999993</v>
      </c>
      <c r="H992" t="s">
        <v>18</v>
      </c>
      <c r="I992" t="s">
        <v>13</v>
      </c>
      <c r="J992" t="s">
        <v>15</v>
      </c>
    </row>
    <row r="993" spans="1:10" x14ac:dyDescent="0.25">
      <c r="A993">
        <v>992</v>
      </c>
      <c r="B993" s="1">
        <v>45319</v>
      </c>
      <c r="C993" t="s">
        <v>21</v>
      </c>
      <c r="D993" t="s">
        <v>11</v>
      </c>
      <c r="E993">
        <v>51</v>
      </c>
      <c r="F993">
        <v>24</v>
      </c>
      <c r="G993">
        <v>7</v>
      </c>
      <c r="H993" t="s">
        <v>12</v>
      </c>
      <c r="I993" t="s">
        <v>13</v>
      </c>
      <c r="J993" t="s">
        <v>11</v>
      </c>
    </row>
    <row r="994" spans="1:10" x14ac:dyDescent="0.25">
      <c r="A994">
        <v>993</v>
      </c>
      <c r="B994" s="1">
        <v>45370</v>
      </c>
      <c r="C994" t="s">
        <v>10</v>
      </c>
      <c r="D994" t="s">
        <v>17</v>
      </c>
      <c r="E994">
        <v>179</v>
      </c>
      <c r="F994">
        <v>11</v>
      </c>
      <c r="G994">
        <v>1.7</v>
      </c>
      <c r="H994" t="s">
        <v>18</v>
      </c>
      <c r="I994" t="s">
        <v>16</v>
      </c>
      <c r="J994" t="s">
        <v>11</v>
      </c>
    </row>
    <row r="995" spans="1:10" x14ac:dyDescent="0.25">
      <c r="A995">
        <v>994</v>
      </c>
      <c r="B995" s="1">
        <v>45521</v>
      </c>
      <c r="C995" t="s">
        <v>21</v>
      </c>
      <c r="D995" t="s">
        <v>20</v>
      </c>
      <c r="E995">
        <v>162</v>
      </c>
      <c r="F995">
        <v>2</v>
      </c>
      <c r="G995">
        <v>7.9</v>
      </c>
      <c r="H995" t="s">
        <v>12</v>
      </c>
      <c r="I995" t="s">
        <v>19</v>
      </c>
      <c r="J995" t="s">
        <v>15</v>
      </c>
    </row>
    <row r="996" spans="1:10" x14ac:dyDescent="0.25">
      <c r="A996">
        <v>995</v>
      </c>
      <c r="B996" s="1">
        <v>45458</v>
      </c>
      <c r="C996" t="s">
        <v>21</v>
      </c>
      <c r="D996" t="s">
        <v>17</v>
      </c>
      <c r="E996">
        <v>106</v>
      </c>
      <c r="F996">
        <v>26</v>
      </c>
      <c r="G996">
        <v>5</v>
      </c>
      <c r="H996" t="s">
        <v>12</v>
      </c>
      <c r="I996" t="s">
        <v>19</v>
      </c>
      <c r="J996" t="s">
        <v>11</v>
      </c>
    </row>
    <row r="997" spans="1:10" x14ac:dyDescent="0.25">
      <c r="A997">
        <v>996</v>
      </c>
      <c r="B997" s="1">
        <v>45500</v>
      </c>
      <c r="C997" t="s">
        <v>21</v>
      </c>
      <c r="D997" t="s">
        <v>15</v>
      </c>
      <c r="E997">
        <v>174</v>
      </c>
      <c r="F997">
        <v>68</v>
      </c>
      <c r="G997">
        <v>1.5</v>
      </c>
      <c r="H997" t="s">
        <v>12</v>
      </c>
      <c r="I997" t="s">
        <v>13</v>
      </c>
      <c r="J997" t="s">
        <v>11</v>
      </c>
    </row>
    <row r="998" spans="1:10" x14ac:dyDescent="0.25">
      <c r="A998">
        <v>997</v>
      </c>
      <c r="B998" s="1">
        <v>45357</v>
      </c>
      <c r="C998" t="s">
        <v>21</v>
      </c>
      <c r="D998" t="s">
        <v>17</v>
      </c>
      <c r="E998">
        <v>9</v>
      </c>
      <c r="F998">
        <v>48</v>
      </c>
      <c r="G998">
        <v>0.5</v>
      </c>
      <c r="H998" t="s">
        <v>12</v>
      </c>
      <c r="I998" t="s">
        <v>16</v>
      </c>
      <c r="J998" t="s">
        <v>11</v>
      </c>
    </row>
    <row r="999" spans="1:10" x14ac:dyDescent="0.25">
      <c r="A999">
        <v>998</v>
      </c>
      <c r="B999" s="1">
        <v>45567</v>
      </c>
      <c r="C999" t="s">
        <v>10</v>
      </c>
      <c r="D999" t="s">
        <v>11</v>
      </c>
      <c r="E999">
        <v>123</v>
      </c>
      <c r="F999">
        <v>61</v>
      </c>
      <c r="G999">
        <v>3.4</v>
      </c>
      <c r="H999" t="s">
        <v>18</v>
      </c>
      <c r="I999" t="s">
        <v>19</v>
      </c>
      <c r="J999" t="s">
        <v>11</v>
      </c>
    </row>
    <row r="1000" spans="1:10" x14ac:dyDescent="0.25">
      <c r="A1000">
        <v>999</v>
      </c>
      <c r="B1000" s="1">
        <v>45445</v>
      </c>
      <c r="C1000" t="s">
        <v>14</v>
      </c>
      <c r="D1000" t="s">
        <v>20</v>
      </c>
      <c r="E1000">
        <v>175</v>
      </c>
      <c r="F1000">
        <v>43</v>
      </c>
      <c r="G1000">
        <v>8.8000000000000007</v>
      </c>
      <c r="H1000" t="s">
        <v>18</v>
      </c>
      <c r="I1000" t="s">
        <v>16</v>
      </c>
      <c r="J1000" t="s">
        <v>11</v>
      </c>
    </row>
    <row r="1001" spans="1:10" x14ac:dyDescent="0.25">
      <c r="A1001">
        <v>1000</v>
      </c>
      <c r="B1001" s="1">
        <v>45367</v>
      </c>
      <c r="C1001" t="s">
        <v>22</v>
      </c>
      <c r="D1001" t="s">
        <v>17</v>
      </c>
      <c r="E1001">
        <v>55</v>
      </c>
      <c r="F1001">
        <v>51</v>
      </c>
      <c r="G1001">
        <v>9.5</v>
      </c>
      <c r="H1001" t="s">
        <v>18</v>
      </c>
      <c r="I1001" t="s">
        <v>19</v>
      </c>
      <c r="J1001" t="s">
        <v>11</v>
      </c>
    </row>
    <row r="1002" spans="1:10" x14ac:dyDescent="0.25">
      <c r="A1002">
        <v>1001</v>
      </c>
      <c r="B1002" s="1">
        <v>45548</v>
      </c>
      <c r="C1002" t="s">
        <v>22</v>
      </c>
      <c r="D1002" t="s">
        <v>17</v>
      </c>
      <c r="E1002">
        <v>130</v>
      </c>
      <c r="F1002">
        <v>33</v>
      </c>
      <c r="G1002">
        <v>1.5</v>
      </c>
      <c r="H1002" t="s">
        <v>12</v>
      </c>
      <c r="I1002" t="s">
        <v>16</v>
      </c>
      <c r="J1002" t="s">
        <v>11</v>
      </c>
    </row>
    <row r="1003" spans="1:10" x14ac:dyDescent="0.25">
      <c r="A1003">
        <v>1002</v>
      </c>
      <c r="B1003" s="1">
        <v>45608</v>
      </c>
      <c r="C1003" t="s">
        <v>14</v>
      </c>
      <c r="D1003" t="s">
        <v>20</v>
      </c>
      <c r="E1003">
        <v>100</v>
      </c>
      <c r="F1003">
        <v>47</v>
      </c>
      <c r="G1003">
        <v>3.1</v>
      </c>
      <c r="H1003" t="s">
        <v>12</v>
      </c>
      <c r="I1003" t="s">
        <v>19</v>
      </c>
      <c r="J1003" t="s">
        <v>11</v>
      </c>
    </row>
    <row r="1004" spans="1:10" x14ac:dyDescent="0.25">
      <c r="A1004">
        <v>1003</v>
      </c>
      <c r="B1004" s="1">
        <v>45610</v>
      </c>
      <c r="C1004" t="s">
        <v>21</v>
      </c>
      <c r="D1004" t="s">
        <v>15</v>
      </c>
      <c r="E1004">
        <v>33</v>
      </c>
      <c r="F1004">
        <v>7</v>
      </c>
      <c r="G1004">
        <v>4.5999999999999996</v>
      </c>
      <c r="H1004" t="s">
        <v>18</v>
      </c>
      <c r="I1004" t="s">
        <v>19</v>
      </c>
      <c r="J1004" t="s">
        <v>11</v>
      </c>
    </row>
    <row r="1005" spans="1:10" x14ac:dyDescent="0.25">
      <c r="A1005">
        <v>1004</v>
      </c>
      <c r="B1005" s="1">
        <v>45306</v>
      </c>
      <c r="C1005" t="s">
        <v>23</v>
      </c>
      <c r="D1005" t="s">
        <v>20</v>
      </c>
      <c r="E1005">
        <v>238</v>
      </c>
      <c r="F1005">
        <v>47</v>
      </c>
      <c r="G1005">
        <v>3.2</v>
      </c>
      <c r="H1005" t="s">
        <v>18</v>
      </c>
      <c r="I1005" t="s">
        <v>13</v>
      </c>
      <c r="J1005" t="s">
        <v>11</v>
      </c>
    </row>
    <row r="1006" spans="1:10" x14ac:dyDescent="0.25">
      <c r="A1006">
        <v>1005</v>
      </c>
      <c r="B1006" s="1">
        <v>45347</v>
      </c>
      <c r="C1006" t="s">
        <v>22</v>
      </c>
      <c r="D1006" t="s">
        <v>15</v>
      </c>
      <c r="E1006">
        <v>8</v>
      </c>
      <c r="F1006">
        <v>28</v>
      </c>
      <c r="G1006">
        <v>0.8</v>
      </c>
      <c r="H1006" t="s">
        <v>18</v>
      </c>
      <c r="I1006" t="s">
        <v>19</v>
      </c>
      <c r="J1006" t="s">
        <v>15</v>
      </c>
    </row>
    <row r="1007" spans="1:10" x14ac:dyDescent="0.25">
      <c r="A1007">
        <v>1006</v>
      </c>
      <c r="B1007" s="1">
        <v>45334</v>
      </c>
      <c r="C1007" t="s">
        <v>14</v>
      </c>
      <c r="D1007" t="s">
        <v>11</v>
      </c>
      <c r="E1007">
        <v>155</v>
      </c>
      <c r="F1007">
        <v>45</v>
      </c>
      <c r="G1007">
        <v>5.4</v>
      </c>
      <c r="H1007" t="s">
        <v>12</v>
      </c>
      <c r="I1007" t="s">
        <v>19</v>
      </c>
      <c r="J1007" t="s">
        <v>11</v>
      </c>
    </row>
    <row r="1008" spans="1:10" x14ac:dyDescent="0.25">
      <c r="A1008">
        <v>1007</v>
      </c>
      <c r="B1008" s="1">
        <v>45468</v>
      </c>
      <c r="C1008" t="s">
        <v>22</v>
      </c>
      <c r="D1008" t="s">
        <v>15</v>
      </c>
      <c r="E1008">
        <v>82</v>
      </c>
      <c r="F1008">
        <v>25</v>
      </c>
      <c r="G1008">
        <v>3.6</v>
      </c>
      <c r="H1008" t="s">
        <v>12</v>
      </c>
      <c r="I1008" t="s">
        <v>13</v>
      </c>
      <c r="J1008" t="s">
        <v>11</v>
      </c>
    </row>
    <row r="1009" spans="1:10" x14ac:dyDescent="0.25">
      <c r="A1009">
        <v>1008</v>
      </c>
      <c r="B1009" s="1">
        <v>45444</v>
      </c>
      <c r="C1009" t="s">
        <v>21</v>
      </c>
      <c r="D1009" t="s">
        <v>11</v>
      </c>
      <c r="E1009">
        <v>18</v>
      </c>
      <c r="F1009">
        <v>45</v>
      </c>
      <c r="G1009">
        <v>3.5</v>
      </c>
      <c r="H1009" t="s">
        <v>18</v>
      </c>
      <c r="I1009" t="s">
        <v>16</v>
      </c>
      <c r="J1009" t="s">
        <v>15</v>
      </c>
    </row>
    <row r="1010" spans="1:10" x14ac:dyDescent="0.25">
      <c r="A1010">
        <v>1009</v>
      </c>
      <c r="B1010" s="1">
        <v>45521</v>
      </c>
      <c r="C1010" t="s">
        <v>23</v>
      </c>
      <c r="D1010" t="s">
        <v>11</v>
      </c>
      <c r="E1010">
        <v>174</v>
      </c>
      <c r="F1010">
        <v>38</v>
      </c>
      <c r="G1010">
        <v>6.5</v>
      </c>
      <c r="H1010" t="s">
        <v>18</v>
      </c>
      <c r="I1010" t="s">
        <v>19</v>
      </c>
      <c r="J1010" t="s">
        <v>15</v>
      </c>
    </row>
    <row r="1011" spans="1:10" x14ac:dyDescent="0.25">
      <c r="A1011">
        <v>1010</v>
      </c>
      <c r="B1011" s="1">
        <v>45639</v>
      </c>
      <c r="C1011" t="s">
        <v>21</v>
      </c>
      <c r="D1011" t="s">
        <v>17</v>
      </c>
      <c r="E1011">
        <v>29</v>
      </c>
      <c r="F1011">
        <v>44</v>
      </c>
      <c r="G1011">
        <v>1.5</v>
      </c>
      <c r="H1011" t="s">
        <v>12</v>
      </c>
      <c r="I1011" t="s">
        <v>13</v>
      </c>
      <c r="J1011" t="s">
        <v>11</v>
      </c>
    </row>
    <row r="1012" spans="1:10" x14ac:dyDescent="0.25">
      <c r="A1012">
        <v>1011</v>
      </c>
      <c r="B1012" s="1">
        <v>45410</v>
      </c>
      <c r="C1012" t="s">
        <v>14</v>
      </c>
      <c r="D1012" t="s">
        <v>20</v>
      </c>
      <c r="E1012">
        <v>69</v>
      </c>
      <c r="F1012">
        <v>3</v>
      </c>
      <c r="G1012">
        <v>7.2</v>
      </c>
      <c r="H1012" t="s">
        <v>18</v>
      </c>
      <c r="I1012" t="s">
        <v>16</v>
      </c>
      <c r="J1012" t="s">
        <v>15</v>
      </c>
    </row>
    <row r="1013" spans="1:10" x14ac:dyDescent="0.25">
      <c r="A1013">
        <v>1012</v>
      </c>
      <c r="B1013" s="1">
        <v>45388</v>
      </c>
      <c r="C1013" t="s">
        <v>14</v>
      </c>
      <c r="D1013" t="s">
        <v>20</v>
      </c>
      <c r="E1013">
        <v>47</v>
      </c>
      <c r="F1013">
        <v>27</v>
      </c>
      <c r="G1013">
        <v>1.8</v>
      </c>
      <c r="H1013" t="s">
        <v>12</v>
      </c>
      <c r="I1013" t="s">
        <v>13</v>
      </c>
      <c r="J1013" t="s">
        <v>11</v>
      </c>
    </row>
    <row r="1014" spans="1:10" x14ac:dyDescent="0.25">
      <c r="A1014">
        <v>1013</v>
      </c>
      <c r="B1014" s="1">
        <v>45418</v>
      </c>
      <c r="C1014" t="s">
        <v>10</v>
      </c>
      <c r="D1014" t="s">
        <v>15</v>
      </c>
      <c r="E1014">
        <v>134</v>
      </c>
      <c r="F1014">
        <v>72</v>
      </c>
      <c r="G1014">
        <v>4.4000000000000004</v>
      </c>
      <c r="H1014" t="s">
        <v>18</v>
      </c>
      <c r="I1014" t="s">
        <v>19</v>
      </c>
      <c r="J1014" t="s">
        <v>11</v>
      </c>
    </row>
    <row r="1015" spans="1:10" x14ac:dyDescent="0.25">
      <c r="A1015">
        <v>1014</v>
      </c>
      <c r="B1015" s="1">
        <v>45341</v>
      </c>
      <c r="C1015" t="s">
        <v>14</v>
      </c>
      <c r="D1015" t="s">
        <v>20</v>
      </c>
      <c r="E1015">
        <v>92</v>
      </c>
      <c r="F1015">
        <v>17</v>
      </c>
      <c r="G1015">
        <v>1.4</v>
      </c>
      <c r="H1015" t="s">
        <v>12</v>
      </c>
      <c r="I1015" t="s">
        <v>16</v>
      </c>
      <c r="J1015" t="s">
        <v>11</v>
      </c>
    </row>
    <row r="1016" spans="1:10" x14ac:dyDescent="0.25">
      <c r="A1016">
        <v>1015</v>
      </c>
      <c r="B1016" s="1">
        <v>45344</v>
      </c>
      <c r="C1016" t="s">
        <v>23</v>
      </c>
      <c r="D1016" t="s">
        <v>17</v>
      </c>
      <c r="E1016">
        <v>230</v>
      </c>
      <c r="F1016">
        <v>32</v>
      </c>
      <c r="G1016">
        <v>2.5</v>
      </c>
      <c r="H1016" t="s">
        <v>18</v>
      </c>
      <c r="I1016" t="s">
        <v>19</v>
      </c>
      <c r="J1016" t="s">
        <v>11</v>
      </c>
    </row>
    <row r="1017" spans="1:10" x14ac:dyDescent="0.25">
      <c r="A1017">
        <v>1016</v>
      </c>
      <c r="B1017" s="1">
        <v>45546</v>
      </c>
      <c r="C1017" t="s">
        <v>22</v>
      </c>
      <c r="D1017" t="s">
        <v>17</v>
      </c>
      <c r="E1017">
        <v>230</v>
      </c>
      <c r="F1017">
        <v>6</v>
      </c>
      <c r="G1017">
        <v>9.5</v>
      </c>
      <c r="H1017" t="s">
        <v>12</v>
      </c>
      <c r="I1017" t="s">
        <v>19</v>
      </c>
      <c r="J1017" t="s">
        <v>15</v>
      </c>
    </row>
    <row r="1018" spans="1:10" x14ac:dyDescent="0.25">
      <c r="A1018">
        <v>1017</v>
      </c>
      <c r="B1018" s="1">
        <v>45444</v>
      </c>
      <c r="C1018" t="s">
        <v>14</v>
      </c>
      <c r="D1018" t="s">
        <v>17</v>
      </c>
      <c r="E1018">
        <v>148</v>
      </c>
      <c r="F1018">
        <v>65</v>
      </c>
      <c r="G1018">
        <v>4.8</v>
      </c>
      <c r="H1018" t="s">
        <v>18</v>
      </c>
      <c r="I1018" t="s">
        <v>16</v>
      </c>
      <c r="J1018" t="s">
        <v>11</v>
      </c>
    </row>
    <row r="1019" spans="1:10" x14ac:dyDescent="0.25">
      <c r="A1019">
        <v>1018</v>
      </c>
      <c r="B1019" s="1">
        <v>45597</v>
      </c>
      <c r="C1019" t="s">
        <v>14</v>
      </c>
      <c r="D1019" t="s">
        <v>11</v>
      </c>
      <c r="E1019">
        <v>108</v>
      </c>
      <c r="F1019">
        <v>6</v>
      </c>
      <c r="G1019">
        <v>8.1999999999999993</v>
      </c>
      <c r="H1019" t="s">
        <v>18</v>
      </c>
      <c r="I1019" t="s">
        <v>16</v>
      </c>
      <c r="J1019" t="s">
        <v>20</v>
      </c>
    </row>
    <row r="1020" spans="1:10" x14ac:dyDescent="0.25">
      <c r="A1020">
        <v>1019</v>
      </c>
      <c r="B1020" s="1">
        <v>45524</v>
      </c>
      <c r="C1020" t="s">
        <v>10</v>
      </c>
      <c r="D1020" t="s">
        <v>17</v>
      </c>
      <c r="E1020">
        <v>55</v>
      </c>
      <c r="F1020">
        <v>4</v>
      </c>
      <c r="G1020">
        <v>7.3</v>
      </c>
      <c r="H1020" t="s">
        <v>12</v>
      </c>
      <c r="I1020" t="s">
        <v>19</v>
      </c>
      <c r="J1020" t="s">
        <v>15</v>
      </c>
    </row>
    <row r="1021" spans="1:10" x14ac:dyDescent="0.25">
      <c r="A1021">
        <v>1020</v>
      </c>
      <c r="B1021" s="1">
        <v>45370</v>
      </c>
      <c r="C1021" t="s">
        <v>10</v>
      </c>
      <c r="D1021" t="s">
        <v>20</v>
      </c>
      <c r="E1021">
        <v>139</v>
      </c>
      <c r="F1021">
        <v>59</v>
      </c>
      <c r="G1021">
        <v>7.7</v>
      </c>
      <c r="H1021" t="s">
        <v>18</v>
      </c>
      <c r="I1021" t="s">
        <v>19</v>
      </c>
      <c r="J1021" t="s">
        <v>11</v>
      </c>
    </row>
    <row r="1022" spans="1:10" x14ac:dyDescent="0.25">
      <c r="A1022">
        <v>1021</v>
      </c>
      <c r="B1022" s="1">
        <v>45503</v>
      </c>
      <c r="C1022" t="s">
        <v>14</v>
      </c>
      <c r="D1022" t="s">
        <v>20</v>
      </c>
      <c r="E1022">
        <v>236</v>
      </c>
      <c r="F1022">
        <v>9</v>
      </c>
      <c r="G1022">
        <v>1.8</v>
      </c>
      <c r="H1022" t="s">
        <v>18</v>
      </c>
      <c r="I1022" t="s">
        <v>19</v>
      </c>
      <c r="J1022" t="s">
        <v>11</v>
      </c>
    </row>
    <row r="1023" spans="1:10" x14ac:dyDescent="0.25">
      <c r="A1023">
        <v>1022</v>
      </c>
      <c r="B1023" s="1">
        <v>45642</v>
      </c>
      <c r="C1023" t="s">
        <v>14</v>
      </c>
      <c r="D1023" t="s">
        <v>11</v>
      </c>
      <c r="E1023">
        <v>72</v>
      </c>
      <c r="F1023">
        <v>59</v>
      </c>
      <c r="G1023">
        <v>9.4</v>
      </c>
      <c r="H1023" t="s">
        <v>12</v>
      </c>
      <c r="I1023" t="s">
        <v>16</v>
      </c>
      <c r="J1023" t="s">
        <v>11</v>
      </c>
    </row>
    <row r="1024" spans="1:10" x14ac:dyDescent="0.25">
      <c r="A1024">
        <v>1023</v>
      </c>
      <c r="B1024" s="1">
        <v>45533</v>
      </c>
      <c r="C1024" t="s">
        <v>23</v>
      </c>
      <c r="D1024" t="s">
        <v>17</v>
      </c>
      <c r="E1024">
        <v>211</v>
      </c>
      <c r="F1024">
        <v>67</v>
      </c>
      <c r="G1024">
        <v>7.9</v>
      </c>
      <c r="H1024" t="s">
        <v>18</v>
      </c>
      <c r="I1024" t="s">
        <v>19</v>
      </c>
      <c r="J1024" t="s">
        <v>11</v>
      </c>
    </row>
    <row r="1025" spans="1:10" x14ac:dyDescent="0.25">
      <c r="A1025">
        <v>1024</v>
      </c>
      <c r="B1025" s="1">
        <v>45569</v>
      </c>
      <c r="C1025" t="s">
        <v>14</v>
      </c>
      <c r="D1025" t="s">
        <v>20</v>
      </c>
      <c r="E1025">
        <v>167</v>
      </c>
      <c r="F1025">
        <v>60</v>
      </c>
      <c r="G1025">
        <v>6.4</v>
      </c>
      <c r="H1025" t="s">
        <v>12</v>
      </c>
      <c r="I1025" t="s">
        <v>19</v>
      </c>
      <c r="J1025" t="s">
        <v>11</v>
      </c>
    </row>
    <row r="1026" spans="1:10" x14ac:dyDescent="0.25">
      <c r="A1026">
        <v>1025</v>
      </c>
      <c r="B1026" s="1">
        <v>45370</v>
      </c>
      <c r="C1026" t="s">
        <v>22</v>
      </c>
      <c r="D1026" t="s">
        <v>11</v>
      </c>
      <c r="E1026">
        <v>82</v>
      </c>
      <c r="F1026">
        <v>66</v>
      </c>
      <c r="G1026">
        <v>0.7</v>
      </c>
      <c r="H1026" t="s">
        <v>12</v>
      </c>
      <c r="I1026" t="s">
        <v>13</v>
      </c>
      <c r="J1026" t="s">
        <v>11</v>
      </c>
    </row>
    <row r="1027" spans="1:10" x14ac:dyDescent="0.25">
      <c r="A1027">
        <v>1026</v>
      </c>
      <c r="B1027" s="1">
        <v>45495</v>
      </c>
      <c r="C1027" t="s">
        <v>21</v>
      </c>
      <c r="D1027" t="s">
        <v>15</v>
      </c>
      <c r="E1027">
        <v>23</v>
      </c>
      <c r="F1027">
        <v>61</v>
      </c>
      <c r="G1027">
        <v>8.5</v>
      </c>
      <c r="H1027" t="s">
        <v>12</v>
      </c>
      <c r="I1027" t="s">
        <v>13</v>
      </c>
      <c r="J1027" t="s">
        <v>15</v>
      </c>
    </row>
    <row r="1028" spans="1:10" x14ac:dyDescent="0.25">
      <c r="A1028">
        <v>1027</v>
      </c>
      <c r="B1028" s="1">
        <v>45401</v>
      </c>
      <c r="C1028" t="s">
        <v>14</v>
      </c>
      <c r="D1028" t="s">
        <v>17</v>
      </c>
      <c r="E1028">
        <v>122</v>
      </c>
      <c r="F1028">
        <v>29</v>
      </c>
      <c r="G1028">
        <v>4.0999999999999996</v>
      </c>
      <c r="H1028" t="s">
        <v>12</v>
      </c>
      <c r="I1028" t="s">
        <v>19</v>
      </c>
      <c r="J1028" t="s">
        <v>11</v>
      </c>
    </row>
    <row r="1029" spans="1:10" x14ac:dyDescent="0.25">
      <c r="A1029">
        <v>1028</v>
      </c>
      <c r="B1029" s="1">
        <v>45297</v>
      </c>
      <c r="C1029" t="s">
        <v>10</v>
      </c>
      <c r="D1029" t="s">
        <v>11</v>
      </c>
      <c r="E1029">
        <v>6</v>
      </c>
      <c r="F1029">
        <v>58</v>
      </c>
      <c r="G1029">
        <v>7.1</v>
      </c>
      <c r="H1029" t="s">
        <v>12</v>
      </c>
      <c r="I1029" t="s">
        <v>13</v>
      </c>
      <c r="J1029" t="s">
        <v>15</v>
      </c>
    </row>
    <row r="1030" spans="1:10" x14ac:dyDescent="0.25">
      <c r="A1030">
        <v>1029</v>
      </c>
      <c r="B1030" s="1">
        <v>45469</v>
      </c>
      <c r="C1030" t="s">
        <v>21</v>
      </c>
      <c r="D1030" t="s">
        <v>20</v>
      </c>
      <c r="E1030">
        <v>203</v>
      </c>
      <c r="F1030">
        <v>41</v>
      </c>
      <c r="G1030">
        <v>2.7</v>
      </c>
      <c r="H1030" t="s">
        <v>18</v>
      </c>
      <c r="I1030" t="s">
        <v>16</v>
      </c>
      <c r="J1030" t="s">
        <v>11</v>
      </c>
    </row>
    <row r="1031" spans="1:10" x14ac:dyDescent="0.25">
      <c r="A1031">
        <v>1030</v>
      </c>
      <c r="B1031" s="1">
        <v>45393</v>
      </c>
      <c r="C1031" t="s">
        <v>23</v>
      </c>
      <c r="D1031" t="s">
        <v>20</v>
      </c>
      <c r="E1031">
        <v>19</v>
      </c>
      <c r="F1031">
        <v>55</v>
      </c>
      <c r="G1031">
        <v>8.3000000000000007</v>
      </c>
      <c r="H1031" t="s">
        <v>18</v>
      </c>
      <c r="I1031" t="s">
        <v>13</v>
      </c>
      <c r="J1031" t="s">
        <v>15</v>
      </c>
    </row>
    <row r="1032" spans="1:10" x14ac:dyDescent="0.25">
      <c r="A1032">
        <v>1031</v>
      </c>
      <c r="B1032" s="1">
        <v>45480</v>
      </c>
      <c r="C1032" t="s">
        <v>14</v>
      </c>
      <c r="D1032" t="s">
        <v>17</v>
      </c>
      <c r="E1032">
        <v>171</v>
      </c>
      <c r="F1032">
        <v>2</v>
      </c>
      <c r="G1032">
        <v>8.4</v>
      </c>
      <c r="H1032" t="s">
        <v>18</v>
      </c>
      <c r="I1032" t="s">
        <v>16</v>
      </c>
      <c r="J1032" t="s">
        <v>15</v>
      </c>
    </row>
    <row r="1033" spans="1:10" x14ac:dyDescent="0.25">
      <c r="A1033">
        <v>1032</v>
      </c>
      <c r="B1033" s="1">
        <v>45644</v>
      </c>
      <c r="C1033" t="s">
        <v>22</v>
      </c>
      <c r="D1033" t="s">
        <v>11</v>
      </c>
      <c r="E1033">
        <v>66</v>
      </c>
      <c r="F1033">
        <v>7</v>
      </c>
      <c r="G1033">
        <v>5.7</v>
      </c>
      <c r="H1033" t="s">
        <v>18</v>
      </c>
      <c r="I1033" t="s">
        <v>19</v>
      </c>
      <c r="J1033" t="s">
        <v>15</v>
      </c>
    </row>
    <row r="1034" spans="1:10" x14ac:dyDescent="0.25">
      <c r="A1034">
        <v>1033</v>
      </c>
      <c r="B1034" s="1">
        <v>45525</v>
      </c>
      <c r="C1034" t="s">
        <v>10</v>
      </c>
      <c r="D1034" t="s">
        <v>20</v>
      </c>
      <c r="E1034">
        <v>10</v>
      </c>
      <c r="F1034">
        <v>55</v>
      </c>
      <c r="G1034">
        <v>6.8</v>
      </c>
      <c r="H1034" t="s">
        <v>12</v>
      </c>
      <c r="I1034" t="s">
        <v>19</v>
      </c>
      <c r="J1034" t="s">
        <v>15</v>
      </c>
    </row>
    <row r="1035" spans="1:10" x14ac:dyDescent="0.25">
      <c r="A1035">
        <v>1034</v>
      </c>
      <c r="B1035" s="1">
        <v>45323</v>
      </c>
      <c r="C1035" t="s">
        <v>21</v>
      </c>
      <c r="D1035" t="s">
        <v>17</v>
      </c>
      <c r="E1035">
        <v>114</v>
      </c>
      <c r="F1035">
        <v>5</v>
      </c>
      <c r="G1035">
        <v>6.7</v>
      </c>
      <c r="H1035" t="s">
        <v>12</v>
      </c>
      <c r="I1035" t="s">
        <v>13</v>
      </c>
      <c r="J1035" t="s">
        <v>15</v>
      </c>
    </row>
    <row r="1036" spans="1:10" x14ac:dyDescent="0.25">
      <c r="A1036">
        <v>1035</v>
      </c>
      <c r="B1036" s="1">
        <v>45371</v>
      </c>
      <c r="C1036" t="s">
        <v>23</v>
      </c>
      <c r="D1036" t="s">
        <v>11</v>
      </c>
      <c r="E1036">
        <v>7</v>
      </c>
      <c r="F1036">
        <v>14</v>
      </c>
      <c r="G1036">
        <v>4.3</v>
      </c>
      <c r="H1036" t="s">
        <v>12</v>
      </c>
      <c r="I1036" t="s">
        <v>16</v>
      </c>
      <c r="J1036" t="s">
        <v>15</v>
      </c>
    </row>
    <row r="1037" spans="1:10" x14ac:dyDescent="0.25">
      <c r="A1037">
        <v>1036</v>
      </c>
      <c r="B1037" s="1">
        <v>45585</v>
      </c>
      <c r="C1037" t="s">
        <v>22</v>
      </c>
      <c r="D1037" t="s">
        <v>17</v>
      </c>
      <c r="E1037">
        <v>235</v>
      </c>
      <c r="F1037">
        <v>8</v>
      </c>
      <c r="G1037">
        <v>2</v>
      </c>
      <c r="H1037" t="s">
        <v>18</v>
      </c>
      <c r="I1037" t="s">
        <v>13</v>
      </c>
      <c r="J1037" t="s">
        <v>11</v>
      </c>
    </row>
    <row r="1038" spans="1:10" x14ac:dyDescent="0.25">
      <c r="A1038">
        <v>1037</v>
      </c>
      <c r="B1038" s="1">
        <v>45596</v>
      </c>
      <c r="C1038" t="s">
        <v>23</v>
      </c>
      <c r="D1038" t="s">
        <v>11</v>
      </c>
      <c r="E1038">
        <v>21</v>
      </c>
      <c r="F1038">
        <v>14</v>
      </c>
      <c r="G1038">
        <v>5.7</v>
      </c>
      <c r="H1038" t="s">
        <v>12</v>
      </c>
      <c r="I1038" t="s">
        <v>16</v>
      </c>
      <c r="J1038" t="s">
        <v>15</v>
      </c>
    </row>
    <row r="1039" spans="1:10" x14ac:dyDescent="0.25">
      <c r="A1039">
        <v>1038</v>
      </c>
      <c r="B1039" s="1">
        <v>45306</v>
      </c>
      <c r="C1039" t="s">
        <v>22</v>
      </c>
      <c r="D1039" t="s">
        <v>17</v>
      </c>
      <c r="E1039">
        <v>173</v>
      </c>
      <c r="F1039">
        <v>17</v>
      </c>
      <c r="G1039">
        <v>2.1</v>
      </c>
      <c r="H1039" t="s">
        <v>12</v>
      </c>
      <c r="I1039" t="s">
        <v>19</v>
      </c>
      <c r="J1039" t="s">
        <v>11</v>
      </c>
    </row>
    <row r="1040" spans="1:10" x14ac:dyDescent="0.25">
      <c r="A1040">
        <v>1039</v>
      </c>
      <c r="B1040" s="1">
        <v>45478</v>
      </c>
      <c r="C1040" t="s">
        <v>23</v>
      </c>
      <c r="D1040" t="s">
        <v>11</v>
      </c>
      <c r="E1040">
        <v>157</v>
      </c>
      <c r="F1040">
        <v>2</v>
      </c>
      <c r="G1040">
        <v>8.1999999999999993</v>
      </c>
      <c r="H1040" t="s">
        <v>18</v>
      </c>
      <c r="I1040" t="s">
        <v>19</v>
      </c>
      <c r="J1040" t="s">
        <v>20</v>
      </c>
    </row>
    <row r="1041" spans="1:10" x14ac:dyDescent="0.25">
      <c r="A1041">
        <v>1040</v>
      </c>
      <c r="B1041" s="1">
        <v>45400</v>
      </c>
      <c r="C1041" t="s">
        <v>23</v>
      </c>
      <c r="D1041" t="s">
        <v>15</v>
      </c>
      <c r="E1041">
        <v>161</v>
      </c>
      <c r="F1041">
        <v>57</v>
      </c>
      <c r="G1041">
        <v>3.7</v>
      </c>
      <c r="H1041" t="s">
        <v>18</v>
      </c>
      <c r="I1041" t="s">
        <v>13</v>
      </c>
      <c r="J1041" t="s">
        <v>11</v>
      </c>
    </row>
    <row r="1042" spans="1:10" x14ac:dyDescent="0.25">
      <c r="A1042">
        <v>1041</v>
      </c>
      <c r="B1042" s="1">
        <v>45450</v>
      </c>
      <c r="C1042" t="s">
        <v>22</v>
      </c>
      <c r="D1042" t="s">
        <v>15</v>
      </c>
      <c r="E1042">
        <v>73</v>
      </c>
      <c r="F1042">
        <v>44</v>
      </c>
      <c r="G1042">
        <v>9</v>
      </c>
      <c r="H1042" t="s">
        <v>12</v>
      </c>
      <c r="I1042" t="s">
        <v>13</v>
      </c>
      <c r="J1042" t="s">
        <v>11</v>
      </c>
    </row>
    <row r="1043" spans="1:10" x14ac:dyDescent="0.25">
      <c r="A1043">
        <v>1042</v>
      </c>
      <c r="B1043" s="1">
        <v>45646</v>
      </c>
      <c r="C1043" t="s">
        <v>10</v>
      </c>
      <c r="D1043" t="s">
        <v>20</v>
      </c>
      <c r="E1043">
        <v>139</v>
      </c>
      <c r="F1043">
        <v>46</v>
      </c>
      <c r="G1043">
        <v>2.2999999999999998</v>
      </c>
      <c r="H1043" t="s">
        <v>18</v>
      </c>
      <c r="I1043" t="s">
        <v>16</v>
      </c>
      <c r="J1043" t="s">
        <v>11</v>
      </c>
    </row>
    <row r="1044" spans="1:10" x14ac:dyDescent="0.25">
      <c r="A1044">
        <v>1043</v>
      </c>
      <c r="B1044" s="1">
        <v>45452</v>
      </c>
      <c r="C1044" t="s">
        <v>23</v>
      </c>
      <c r="D1044" t="s">
        <v>17</v>
      </c>
      <c r="E1044">
        <v>19</v>
      </c>
      <c r="F1044">
        <v>1</v>
      </c>
      <c r="G1044">
        <v>4.0999999999999996</v>
      </c>
      <c r="H1044" t="s">
        <v>12</v>
      </c>
      <c r="I1044" t="s">
        <v>13</v>
      </c>
      <c r="J1044" t="s">
        <v>15</v>
      </c>
    </row>
    <row r="1045" spans="1:10" x14ac:dyDescent="0.25">
      <c r="A1045">
        <v>1044</v>
      </c>
      <c r="B1045" s="1">
        <v>45541</v>
      </c>
      <c r="C1045" t="s">
        <v>10</v>
      </c>
      <c r="D1045" t="s">
        <v>15</v>
      </c>
      <c r="E1045">
        <v>233</v>
      </c>
      <c r="F1045">
        <v>71</v>
      </c>
      <c r="G1045">
        <v>3</v>
      </c>
      <c r="H1045" t="s">
        <v>12</v>
      </c>
      <c r="I1045" t="s">
        <v>19</v>
      </c>
      <c r="J1045" t="s">
        <v>11</v>
      </c>
    </row>
    <row r="1046" spans="1:10" x14ac:dyDescent="0.25">
      <c r="A1046">
        <v>1045</v>
      </c>
      <c r="B1046" s="1">
        <v>45311</v>
      </c>
      <c r="C1046" t="s">
        <v>23</v>
      </c>
      <c r="D1046" t="s">
        <v>20</v>
      </c>
      <c r="E1046">
        <v>240</v>
      </c>
      <c r="F1046">
        <v>14</v>
      </c>
      <c r="G1046">
        <v>6.8</v>
      </c>
      <c r="H1046" t="s">
        <v>12</v>
      </c>
      <c r="I1046" t="s">
        <v>19</v>
      </c>
      <c r="J1046" t="s">
        <v>11</v>
      </c>
    </row>
    <row r="1047" spans="1:10" x14ac:dyDescent="0.25">
      <c r="A1047">
        <v>1046</v>
      </c>
      <c r="B1047" s="1">
        <v>45501</v>
      </c>
      <c r="C1047" t="s">
        <v>10</v>
      </c>
      <c r="D1047" t="s">
        <v>20</v>
      </c>
      <c r="E1047">
        <v>147</v>
      </c>
      <c r="F1047">
        <v>72</v>
      </c>
      <c r="G1047">
        <v>1.3</v>
      </c>
      <c r="H1047" t="s">
        <v>12</v>
      </c>
      <c r="I1047" t="s">
        <v>16</v>
      </c>
      <c r="J1047" t="s">
        <v>11</v>
      </c>
    </row>
    <row r="1048" spans="1:10" x14ac:dyDescent="0.25">
      <c r="A1048">
        <v>1047</v>
      </c>
      <c r="B1048" s="1">
        <v>45441</v>
      </c>
      <c r="C1048" t="s">
        <v>10</v>
      </c>
      <c r="D1048" t="s">
        <v>20</v>
      </c>
      <c r="E1048">
        <v>192</v>
      </c>
      <c r="F1048">
        <v>27</v>
      </c>
      <c r="G1048">
        <v>6.4</v>
      </c>
      <c r="H1048" t="s">
        <v>12</v>
      </c>
      <c r="I1048" t="s">
        <v>19</v>
      </c>
      <c r="J1048" t="s">
        <v>11</v>
      </c>
    </row>
    <row r="1049" spans="1:10" x14ac:dyDescent="0.25">
      <c r="A1049">
        <v>1048</v>
      </c>
      <c r="B1049" s="1">
        <v>45465</v>
      </c>
      <c r="C1049" t="s">
        <v>22</v>
      </c>
      <c r="D1049" t="s">
        <v>15</v>
      </c>
      <c r="E1049">
        <v>70</v>
      </c>
      <c r="F1049">
        <v>60</v>
      </c>
      <c r="G1049">
        <v>2.8</v>
      </c>
      <c r="H1049" t="s">
        <v>12</v>
      </c>
      <c r="I1049" t="s">
        <v>13</v>
      </c>
      <c r="J1049" t="s">
        <v>11</v>
      </c>
    </row>
    <row r="1050" spans="1:10" x14ac:dyDescent="0.25">
      <c r="A1050">
        <v>1049</v>
      </c>
      <c r="B1050" s="1">
        <v>45344</v>
      </c>
      <c r="C1050" t="s">
        <v>21</v>
      </c>
      <c r="D1050" t="s">
        <v>20</v>
      </c>
      <c r="E1050">
        <v>86</v>
      </c>
      <c r="F1050">
        <v>52</v>
      </c>
      <c r="G1050">
        <v>8.9</v>
      </c>
      <c r="H1050" t="s">
        <v>12</v>
      </c>
      <c r="I1050" t="s">
        <v>16</v>
      </c>
      <c r="J1050" t="s">
        <v>11</v>
      </c>
    </row>
    <row r="1051" spans="1:10" x14ac:dyDescent="0.25">
      <c r="A1051">
        <v>1050</v>
      </c>
      <c r="B1051" s="1">
        <v>45395</v>
      </c>
      <c r="C1051" t="s">
        <v>10</v>
      </c>
      <c r="D1051" t="s">
        <v>20</v>
      </c>
      <c r="E1051">
        <v>107</v>
      </c>
      <c r="F1051">
        <v>9</v>
      </c>
      <c r="G1051">
        <v>3.2</v>
      </c>
      <c r="H1051" t="s">
        <v>12</v>
      </c>
      <c r="I1051" t="s">
        <v>16</v>
      </c>
      <c r="J1051" t="s">
        <v>11</v>
      </c>
    </row>
    <row r="1052" spans="1:10" x14ac:dyDescent="0.25">
      <c r="A1052">
        <v>1051</v>
      </c>
      <c r="B1052" s="1">
        <v>45299</v>
      </c>
      <c r="C1052" t="s">
        <v>14</v>
      </c>
      <c r="D1052" t="s">
        <v>17</v>
      </c>
      <c r="E1052">
        <v>152</v>
      </c>
      <c r="F1052">
        <v>58</v>
      </c>
      <c r="G1052">
        <v>2.2999999999999998</v>
      </c>
      <c r="H1052" t="s">
        <v>12</v>
      </c>
      <c r="I1052" t="s">
        <v>19</v>
      </c>
      <c r="J1052" t="s">
        <v>11</v>
      </c>
    </row>
    <row r="1053" spans="1:10" x14ac:dyDescent="0.25">
      <c r="A1053">
        <v>1052</v>
      </c>
      <c r="B1053" s="1">
        <v>45508</v>
      </c>
      <c r="C1053" t="s">
        <v>22</v>
      </c>
      <c r="D1053" t="s">
        <v>20</v>
      </c>
      <c r="E1053">
        <v>135</v>
      </c>
      <c r="F1053">
        <v>24</v>
      </c>
      <c r="G1053">
        <v>6.9</v>
      </c>
      <c r="H1053" t="s">
        <v>18</v>
      </c>
      <c r="I1053" t="s">
        <v>16</v>
      </c>
      <c r="J1053" t="s">
        <v>11</v>
      </c>
    </row>
    <row r="1054" spans="1:10" x14ac:dyDescent="0.25">
      <c r="A1054">
        <v>1053</v>
      </c>
      <c r="B1054" s="1">
        <v>45324</v>
      </c>
      <c r="C1054" t="s">
        <v>21</v>
      </c>
      <c r="D1054" t="s">
        <v>15</v>
      </c>
      <c r="E1054">
        <v>215</v>
      </c>
      <c r="F1054">
        <v>3</v>
      </c>
      <c r="G1054">
        <v>1.8</v>
      </c>
      <c r="H1054" t="s">
        <v>18</v>
      </c>
      <c r="I1054" t="s">
        <v>16</v>
      </c>
      <c r="J1054" t="s">
        <v>15</v>
      </c>
    </row>
    <row r="1055" spans="1:10" x14ac:dyDescent="0.25">
      <c r="A1055">
        <v>1054</v>
      </c>
      <c r="B1055" s="1">
        <v>45335</v>
      </c>
      <c r="C1055" t="s">
        <v>10</v>
      </c>
      <c r="D1055" t="s">
        <v>15</v>
      </c>
      <c r="E1055">
        <v>218</v>
      </c>
      <c r="F1055">
        <v>26</v>
      </c>
      <c r="G1055">
        <v>5.5</v>
      </c>
      <c r="H1055" t="s">
        <v>18</v>
      </c>
      <c r="I1055" t="s">
        <v>19</v>
      </c>
      <c r="J1055" t="s">
        <v>15</v>
      </c>
    </row>
    <row r="1056" spans="1:10" x14ac:dyDescent="0.25">
      <c r="A1056">
        <v>1055</v>
      </c>
      <c r="B1056" s="1">
        <v>45496</v>
      </c>
      <c r="C1056" t="s">
        <v>10</v>
      </c>
      <c r="D1056" t="s">
        <v>20</v>
      </c>
      <c r="E1056">
        <v>97</v>
      </c>
      <c r="F1056">
        <v>1</v>
      </c>
      <c r="G1056">
        <v>0.6</v>
      </c>
      <c r="H1056" t="s">
        <v>18</v>
      </c>
      <c r="I1056" t="s">
        <v>19</v>
      </c>
      <c r="J1056" t="s">
        <v>15</v>
      </c>
    </row>
    <row r="1057" spans="1:10" x14ac:dyDescent="0.25">
      <c r="A1057">
        <v>1056</v>
      </c>
      <c r="B1057" s="1">
        <v>45501</v>
      </c>
      <c r="C1057" t="s">
        <v>23</v>
      </c>
      <c r="D1057" t="s">
        <v>17</v>
      </c>
      <c r="E1057">
        <v>108</v>
      </c>
      <c r="F1057">
        <v>48</v>
      </c>
      <c r="G1057">
        <v>5.2</v>
      </c>
      <c r="H1057" t="s">
        <v>18</v>
      </c>
      <c r="I1057" t="s">
        <v>13</v>
      </c>
      <c r="J1057" t="s">
        <v>11</v>
      </c>
    </row>
    <row r="1058" spans="1:10" x14ac:dyDescent="0.25">
      <c r="A1058">
        <v>1057</v>
      </c>
      <c r="B1058" s="1">
        <v>45312</v>
      </c>
      <c r="C1058" t="s">
        <v>21</v>
      </c>
      <c r="D1058" t="s">
        <v>11</v>
      </c>
      <c r="E1058">
        <v>84</v>
      </c>
      <c r="F1058">
        <v>41</v>
      </c>
      <c r="G1058">
        <v>10</v>
      </c>
      <c r="H1058" t="s">
        <v>18</v>
      </c>
      <c r="I1058" t="s">
        <v>16</v>
      </c>
      <c r="J1058" t="s">
        <v>15</v>
      </c>
    </row>
    <row r="1059" spans="1:10" x14ac:dyDescent="0.25">
      <c r="A1059">
        <v>1058</v>
      </c>
      <c r="B1059" s="1">
        <v>45385</v>
      </c>
      <c r="C1059" t="s">
        <v>14</v>
      </c>
      <c r="D1059" t="s">
        <v>11</v>
      </c>
      <c r="E1059">
        <v>139</v>
      </c>
      <c r="F1059">
        <v>47</v>
      </c>
      <c r="G1059">
        <v>8.6999999999999993</v>
      </c>
      <c r="H1059" t="s">
        <v>12</v>
      </c>
      <c r="I1059" t="s">
        <v>16</v>
      </c>
      <c r="J1059" t="s">
        <v>11</v>
      </c>
    </row>
    <row r="1060" spans="1:10" x14ac:dyDescent="0.25">
      <c r="A1060">
        <v>1059</v>
      </c>
      <c r="B1060" s="1">
        <v>45543</v>
      </c>
      <c r="C1060" t="s">
        <v>23</v>
      </c>
      <c r="D1060" t="s">
        <v>20</v>
      </c>
      <c r="E1060">
        <v>30</v>
      </c>
      <c r="F1060">
        <v>49</v>
      </c>
      <c r="G1060">
        <v>4.5</v>
      </c>
      <c r="H1060" t="s">
        <v>12</v>
      </c>
      <c r="I1060" t="s">
        <v>19</v>
      </c>
      <c r="J1060" t="s">
        <v>11</v>
      </c>
    </row>
    <row r="1061" spans="1:10" x14ac:dyDescent="0.25">
      <c r="A1061">
        <v>1060</v>
      </c>
      <c r="B1061" s="1">
        <v>45355</v>
      </c>
      <c r="C1061" t="s">
        <v>10</v>
      </c>
      <c r="D1061" t="s">
        <v>17</v>
      </c>
      <c r="E1061">
        <v>61</v>
      </c>
      <c r="F1061">
        <v>56</v>
      </c>
      <c r="G1061">
        <v>8.1999999999999993</v>
      </c>
      <c r="H1061" t="s">
        <v>12</v>
      </c>
      <c r="I1061" t="s">
        <v>13</v>
      </c>
      <c r="J1061" t="s">
        <v>11</v>
      </c>
    </row>
    <row r="1062" spans="1:10" x14ac:dyDescent="0.25">
      <c r="A1062">
        <v>1061</v>
      </c>
      <c r="B1062" s="1">
        <v>45629</v>
      </c>
      <c r="C1062" t="s">
        <v>23</v>
      </c>
      <c r="D1062" t="s">
        <v>11</v>
      </c>
      <c r="E1062">
        <v>154</v>
      </c>
      <c r="F1062">
        <v>71</v>
      </c>
      <c r="G1062">
        <v>2.7</v>
      </c>
      <c r="H1062" t="s">
        <v>12</v>
      </c>
      <c r="I1062" t="s">
        <v>16</v>
      </c>
      <c r="J1062" t="s">
        <v>11</v>
      </c>
    </row>
    <row r="1063" spans="1:10" x14ac:dyDescent="0.25">
      <c r="A1063">
        <v>1062</v>
      </c>
      <c r="B1063" s="1">
        <v>45427</v>
      </c>
      <c r="C1063" t="s">
        <v>22</v>
      </c>
      <c r="D1063" t="s">
        <v>11</v>
      </c>
      <c r="E1063">
        <v>68</v>
      </c>
      <c r="F1063">
        <v>39</v>
      </c>
      <c r="G1063">
        <v>1.7</v>
      </c>
      <c r="H1063" t="s">
        <v>12</v>
      </c>
      <c r="I1063" t="s">
        <v>16</v>
      </c>
      <c r="J1063" t="s">
        <v>11</v>
      </c>
    </row>
    <row r="1064" spans="1:10" x14ac:dyDescent="0.25">
      <c r="A1064">
        <v>1063</v>
      </c>
      <c r="B1064" s="1">
        <v>45554</v>
      </c>
      <c r="C1064" t="s">
        <v>22</v>
      </c>
      <c r="D1064" t="s">
        <v>15</v>
      </c>
      <c r="E1064">
        <v>130</v>
      </c>
      <c r="F1064">
        <v>64</v>
      </c>
      <c r="G1064">
        <v>5.2</v>
      </c>
      <c r="H1064" t="s">
        <v>12</v>
      </c>
      <c r="I1064" t="s">
        <v>19</v>
      </c>
      <c r="J1064" t="s">
        <v>11</v>
      </c>
    </row>
    <row r="1065" spans="1:10" x14ac:dyDescent="0.25">
      <c r="A1065">
        <v>1064</v>
      </c>
      <c r="B1065" s="1">
        <v>45642</v>
      </c>
      <c r="C1065" t="s">
        <v>23</v>
      </c>
      <c r="D1065" t="s">
        <v>11</v>
      </c>
      <c r="E1065">
        <v>153</v>
      </c>
      <c r="F1065">
        <v>18</v>
      </c>
      <c r="G1065">
        <v>0.9</v>
      </c>
      <c r="H1065" t="s">
        <v>18</v>
      </c>
      <c r="I1065" t="s">
        <v>13</v>
      </c>
      <c r="J1065" t="s">
        <v>11</v>
      </c>
    </row>
    <row r="1066" spans="1:10" x14ac:dyDescent="0.25">
      <c r="A1066">
        <v>1065</v>
      </c>
      <c r="B1066" s="1">
        <v>45405</v>
      </c>
      <c r="C1066" t="s">
        <v>14</v>
      </c>
      <c r="D1066" t="s">
        <v>11</v>
      </c>
      <c r="E1066">
        <v>25</v>
      </c>
      <c r="F1066">
        <v>20</v>
      </c>
      <c r="G1066">
        <v>1.2</v>
      </c>
      <c r="H1066" t="s">
        <v>12</v>
      </c>
      <c r="I1066" t="s">
        <v>13</v>
      </c>
      <c r="J1066" t="s">
        <v>15</v>
      </c>
    </row>
    <row r="1067" spans="1:10" x14ac:dyDescent="0.25">
      <c r="A1067">
        <v>1066</v>
      </c>
      <c r="B1067" s="1">
        <v>45322</v>
      </c>
      <c r="C1067" t="s">
        <v>10</v>
      </c>
      <c r="D1067" t="s">
        <v>20</v>
      </c>
      <c r="E1067">
        <v>32</v>
      </c>
      <c r="F1067">
        <v>71</v>
      </c>
      <c r="G1067">
        <v>2.9</v>
      </c>
      <c r="H1067" t="s">
        <v>18</v>
      </c>
      <c r="I1067" t="s">
        <v>19</v>
      </c>
      <c r="J1067" t="s">
        <v>11</v>
      </c>
    </row>
    <row r="1068" spans="1:10" x14ac:dyDescent="0.25">
      <c r="A1068">
        <v>1067</v>
      </c>
      <c r="B1068" s="1">
        <v>45457</v>
      </c>
      <c r="C1068" t="s">
        <v>23</v>
      </c>
      <c r="D1068" t="s">
        <v>11</v>
      </c>
      <c r="E1068">
        <v>27</v>
      </c>
      <c r="F1068">
        <v>6</v>
      </c>
      <c r="G1068">
        <v>8.1</v>
      </c>
      <c r="H1068" t="s">
        <v>12</v>
      </c>
      <c r="I1068" t="s">
        <v>16</v>
      </c>
      <c r="J1068" t="s">
        <v>20</v>
      </c>
    </row>
    <row r="1069" spans="1:10" x14ac:dyDescent="0.25">
      <c r="A1069">
        <v>1068</v>
      </c>
      <c r="B1069" s="1">
        <v>45513</v>
      </c>
      <c r="C1069" t="s">
        <v>23</v>
      </c>
      <c r="D1069" t="s">
        <v>11</v>
      </c>
      <c r="E1069">
        <v>94</v>
      </c>
      <c r="F1069">
        <v>64</v>
      </c>
      <c r="G1069">
        <v>4</v>
      </c>
      <c r="H1069" t="s">
        <v>18</v>
      </c>
      <c r="I1069" t="s">
        <v>16</v>
      </c>
      <c r="J1069" t="s">
        <v>11</v>
      </c>
    </row>
    <row r="1070" spans="1:10" x14ac:dyDescent="0.25">
      <c r="A1070">
        <v>1069</v>
      </c>
      <c r="B1070" s="1">
        <v>45479</v>
      </c>
      <c r="C1070" t="s">
        <v>22</v>
      </c>
      <c r="D1070" t="s">
        <v>11</v>
      </c>
      <c r="E1070">
        <v>54</v>
      </c>
      <c r="F1070">
        <v>15</v>
      </c>
      <c r="G1070">
        <v>8.4</v>
      </c>
      <c r="H1070" t="s">
        <v>18</v>
      </c>
      <c r="I1070" t="s">
        <v>13</v>
      </c>
      <c r="J1070" t="s">
        <v>15</v>
      </c>
    </row>
    <row r="1071" spans="1:10" x14ac:dyDescent="0.25">
      <c r="A1071">
        <v>1070</v>
      </c>
      <c r="B1071" s="1">
        <v>45521</v>
      </c>
      <c r="C1071" t="s">
        <v>10</v>
      </c>
      <c r="D1071" t="s">
        <v>15</v>
      </c>
      <c r="E1071">
        <v>170</v>
      </c>
      <c r="F1071">
        <v>55</v>
      </c>
      <c r="G1071">
        <v>5.4</v>
      </c>
      <c r="H1071" t="s">
        <v>18</v>
      </c>
      <c r="I1071" t="s">
        <v>19</v>
      </c>
      <c r="J1071" t="s">
        <v>15</v>
      </c>
    </row>
    <row r="1072" spans="1:10" x14ac:dyDescent="0.25">
      <c r="A1072">
        <v>1071</v>
      </c>
      <c r="B1072" s="1">
        <v>45425</v>
      </c>
      <c r="C1072" t="s">
        <v>21</v>
      </c>
      <c r="D1072" t="s">
        <v>15</v>
      </c>
      <c r="E1072">
        <v>115</v>
      </c>
      <c r="F1072">
        <v>37</v>
      </c>
      <c r="G1072">
        <v>6</v>
      </c>
      <c r="H1072" t="s">
        <v>12</v>
      </c>
      <c r="I1072" t="s">
        <v>16</v>
      </c>
      <c r="J1072" t="s">
        <v>11</v>
      </c>
    </row>
    <row r="1073" spans="1:10" x14ac:dyDescent="0.25">
      <c r="A1073">
        <v>1072</v>
      </c>
      <c r="B1073" s="1">
        <v>45362</v>
      </c>
      <c r="C1073" t="s">
        <v>10</v>
      </c>
      <c r="D1073" t="s">
        <v>11</v>
      </c>
      <c r="E1073">
        <v>139</v>
      </c>
      <c r="F1073">
        <v>18</v>
      </c>
      <c r="G1073">
        <v>6.2</v>
      </c>
      <c r="H1073" t="s">
        <v>12</v>
      </c>
      <c r="I1073" t="s">
        <v>19</v>
      </c>
      <c r="J1073" t="s">
        <v>11</v>
      </c>
    </row>
    <row r="1074" spans="1:10" x14ac:dyDescent="0.25">
      <c r="A1074">
        <v>1073</v>
      </c>
      <c r="B1074" s="1">
        <v>45294</v>
      </c>
      <c r="C1074" t="s">
        <v>23</v>
      </c>
      <c r="D1074" t="s">
        <v>20</v>
      </c>
      <c r="E1074">
        <v>85</v>
      </c>
      <c r="F1074">
        <v>60</v>
      </c>
      <c r="G1074">
        <v>4.2</v>
      </c>
      <c r="H1074" t="s">
        <v>12</v>
      </c>
      <c r="I1074" t="s">
        <v>19</v>
      </c>
      <c r="J1074" t="s">
        <v>11</v>
      </c>
    </row>
    <row r="1075" spans="1:10" x14ac:dyDescent="0.25">
      <c r="A1075">
        <v>1074</v>
      </c>
      <c r="B1075" s="1">
        <v>45530</v>
      </c>
      <c r="C1075" t="s">
        <v>21</v>
      </c>
      <c r="D1075" t="s">
        <v>20</v>
      </c>
      <c r="E1075">
        <v>235</v>
      </c>
      <c r="F1075">
        <v>45</v>
      </c>
      <c r="G1075">
        <v>5.7</v>
      </c>
      <c r="H1075" t="s">
        <v>12</v>
      </c>
      <c r="I1075" t="s">
        <v>13</v>
      </c>
      <c r="J1075" t="s">
        <v>11</v>
      </c>
    </row>
    <row r="1076" spans="1:10" x14ac:dyDescent="0.25">
      <c r="A1076">
        <v>1075</v>
      </c>
      <c r="B1076" s="1">
        <v>45565</v>
      </c>
      <c r="C1076" t="s">
        <v>14</v>
      </c>
      <c r="D1076" t="s">
        <v>17</v>
      </c>
      <c r="E1076">
        <v>206</v>
      </c>
      <c r="F1076">
        <v>43</v>
      </c>
      <c r="G1076">
        <v>5.7</v>
      </c>
      <c r="H1076" t="s">
        <v>18</v>
      </c>
      <c r="I1076" t="s">
        <v>19</v>
      </c>
      <c r="J1076" t="s">
        <v>11</v>
      </c>
    </row>
    <row r="1077" spans="1:10" x14ac:dyDescent="0.25">
      <c r="A1077">
        <v>1076</v>
      </c>
      <c r="B1077" s="1">
        <v>45511</v>
      </c>
      <c r="C1077" t="s">
        <v>22</v>
      </c>
      <c r="D1077" t="s">
        <v>17</v>
      </c>
      <c r="E1077">
        <v>240</v>
      </c>
      <c r="F1077">
        <v>54</v>
      </c>
      <c r="G1077">
        <v>1.7</v>
      </c>
      <c r="H1077" t="s">
        <v>18</v>
      </c>
      <c r="I1077" t="s">
        <v>19</v>
      </c>
      <c r="J1077" t="s">
        <v>11</v>
      </c>
    </row>
    <row r="1078" spans="1:10" x14ac:dyDescent="0.25">
      <c r="A1078">
        <v>1077</v>
      </c>
      <c r="B1078" s="1">
        <v>45575</v>
      </c>
      <c r="C1078" t="s">
        <v>23</v>
      </c>
      <c r="D1078" t="s">
        <v>11</v>
      </c>
      <c r="E1078">
        <v>200</v>
      </c>
      <c r="F1078">
        <v>33</v>
      </c>
      <c r="G1078">
        <v>4.2</v>
      </c>
      <c r="H1078" t="s">
        <v>18</v>
      </c>
      <c r="I1078" t="s">
        <v>13</v>
      </c>
      <c r="J1078" t="s">
        <v>11</v>
      </c>
    </row>
    <row r="1079" spans="1:10" x14ac:dyDescent="0.25">
      <c r="A1079">
        <v>1078</v>
      </c>
      <c r="B1079" s="1">
        <v>45540</v>
      </c>
      <c r="C1079" t="s">
        <v>23</v>
      </c>
      <c r="D1079" t="s">
        <v>15</v>
      </c>
      <c r="E1079">
        <v>75</v>
      </c>
      <c r="F1079">
        <v>33</v>
      </c>
      <c r="G1079">
        <v>2.2999999999999998</v>
      </c>
      <c r="H1079" t="s">
        <v>18</v>
      </c>
      <c r="I1079" t="s">
        <v>13</v>
      </c>
      <c r="J1079" t="s">
        <v>11</v>
      </c>
    </row>
    <row r="1080" spans="1:10" x14ac:dyDescent="0.25">
      <c r="A1080">
        <v>1079</v>
      </c>
      <c r="B1080" s="1">
        <v>45361</v>
      </c>
      <c r="C1080" t="s">
        <v>23</v>
      </c>
      <c r="D1080" t="s">
        <v>11</v>
      </c>
      <c r="E1080">
        <v>49</v>
      </c>
      <c r="F1080">
        <v>40</v>
      </c>
      <c r="G1080">
        <v>2</v>
      </c>
      <c r="H1080" t="s">
        <v>12</v>
      </c>
      <c r="I1080" t="s">
        <v>16</v>
      </c>
      <c r="J1080" t="s">
        <v>11</v>
      </c>
    </row>
    <row r="1081" spans="1:10" x14ac:dyDescent="0.25">
      <c r="A1081">
        <v>1080</v>
      </c>
      <c r="B1081" s="1">
        <v>45533</v>
      </c>
      <c r="C1081" t="s">
        <v>14</v>
      </c>
      <c r="D1081" t="s">
        <v>11</v>
      </c>
      <c r="E1081">
        <v>80</v>
      </c>
      <c r="F1081">
        <v>24</v>
      </c>
      <c r="G1081">
        <v>6.6</v>
      </c>
      <c r="H1081" t="s">
        <v>18</v>
      </c>
      <c r="I1081" t="s">
        <v>16</v>
      </c>
      <c r="J1081" t="s">
        <v>15</v>
      </c>
    </row>
    <row r="1082" spans="1:10" x14ac:dyDescent="0.25">
      <c r="A1082">
        <v>1081</v>
      </c>
      <c r="B1082" s="1">
        <v>45385</v>
      </c>
      <c r="C1082" t="s">
        <v>14</v>
      </c>
      <c r="D1082" t="s">
        <v>15</v>
      </c>
      <c r="E1082">
        <v>131</v>
      </c>
      <c r="F1082">
        <v>60</v>
      </c>
      <c r="G1082">
        <v>6.6</v>
      </c>
      <c r="H1082" t="s">
        <v>18</v>
      </c>
      <c r="I1082" t="s">
        <v>16</v>
      </c>
      <c r="J1082" t="s">
        <v>15</v>
      </c>
    </row>
    <row r="1083" spans="1:10" x14ac:dyDescent="0.25">
      <c r="A1083">
        <v>1082</v>
      </c>
      <c r="B1083" s="1">
        <v>45539</v>
      </c>
      <c r="C1083" t="s">
        <v>22</v>
      </c>
      <c r="D1083" t="s">
        <v>15</v>
      </c>
      <c r="E1083">
        <v>46</v>
      </c>
      <c r="F1083">
        <v>58</v>
      </c>
      <c r="G1083">
        <v>1.4</v>
      </c>
      <c r="H1083" t="s">
        <v>12</v>
      </c>
      <c r="I1083" t="s">
        <v>16</v>
      </c>
      <c r="J1083" t="s">
        <v>11</v>
      </c>
    </row>
    <row r="1084" spans="1:10" x14ac:dyDescent="0.25">
      <c r="A1084">
        <v>1083</v>
      </c>
      <c r="B1084" s="1">
        <v>45425</v>
      </c>
      <c r="C1084" t="s">
        <v>22</v>
      </c>
      <c r="D1084" t="s">
        <v>17</v>
      </c>
      <c r="E1084">
        <v>39</v>
      </c>
      <c r="F1084">
        <v>11</v>
      </c>
      <c r="G1084">
        <v>8.6999999999999993</v>
      </c>
      <c r="H1084" t="s">
        <v>18</v>
      </c>
      <c r="I1084" t="s">
        <v>19</v>
      </c>
      <c r="J1084" t="s">
        <v>11</v>
      </c>
    </row>
    <row r="1085" spans="1:10" x14ac:dyDescent="0.25">
      <c r="A1085">
        <v>1084</v>
      </c>
      <c r="B1085" s="1">
        <v>45323</v>
      </c>
      <c r="C1085" t="s">
        <v>10</v>
      </c>
      <c r="D1085" t="s">
        <v>11</v>
      </c>
      <c r="E1085">
        <v>149</v>
      </c>
      <c r="F1085">
        <v>21</v>
      </c>
      <c r="G1085">
        <v>8.6</v>
      </c>
      <c r="H1085" t="s">
        <v>18</v>
      </c>
      <c r="I1085" t="s">
        <v>19</v>
      </c>
      <c r="J1085" t="s">
        <v>15</v>
      </c>
    </row>
    <row r="1086" spans="1:10" x14ac:dyDescent="0.25">
      <c r="A1086">
        <v>1085</v>
      </c>
      <c r="B1086" s="1">
        <v>45552</v>
      </c>
      <c r="C1086" t="s">
        <v>14</v>
      </c>
      <c r="D1086" t="s">
        <v>17</v>
      </c>
      <c r="E1086">
        <v>117</v>
      </c>
      <c r="F1086">
        <v>71</v>
      </c>
      <c r="G1086">
        <v>6.9</v>
      </c>
      <c r="H1086" t="s">
        <v>12</v>
      </c>
      <c r="I1086" t="s">
        <v>16</v>
      </c>
      <c r="J1086" t="s">
        <v>11</v>
      </c>
    </row>
    <row r="1087" spans="1:10" x14ac:dyDescent="0.25">
      <c r="A1087">
        <v>1086</v>
      </c>
      <c r="B1087" s="1">
        <v>45596</v>
      </c>
      <c r="C1087" t="s">
        <v>10</v>
      </c>
      <c r="D1087" t="s">
        <v>15</v>
      </c>
      <c r="E1087">
        <v>9</v>
      </c>
      <c r="F1087">
        <v>34</v>
      </c>
      <c r="G1087">
        <v>7.1</v>
      </c>
      <c r="H1087" t="s">
        <v>12</v>
      </c>
      <c r="I1087" t="s">
        <v>13</v>
      </c>
      <c r="J1087" t="s">
        <v>15</v>
      </c>
    </row>
    <row r="1088" spans="1:10" x14ac:dyDescent="0.25">
      <c r="A1088">
        <v>1087</v>
      </c>
      <c r="B1088" s="1">
        <v>45383</v>
      </c>
      <c r="C1088" t="s">
        <v>21</v>
      </c>
      <c r="D1088" t="s">
        <v>20</v>
      </c>
      <c r="E1088">
        <v>79</v>
      </c>
      <c r="F1088">
        <v>65</v>
      </c>
      <c r="G1088">
        <v>2</v>
      </c>
      <c r="H1088" t="s">
        <v>12</v>
      </c>
      <c r="I1088" t="s">
        <v>13</v>
      </c>
      <c r="J1088" t="s">
        <v>11</v>
      </c>
    </row>
    <row r="1089" spans="1:10" x14ac:dyDescent="0.25">
      <c r="A1089">
        <v>1088</v>
      </c>
      <c r="B1089" s="1">
        <v>45400</v>
      </c>
      <c r="C1089" t="s">
        <v>14</v>
      </c>
      <c r="D1089" t="s">
        <v>11</v>
      </c>
      <c r="E1089">
        <v>230</v>
      </c>
      <c r="F1089">
        <v>20</v>
      </c>
      <c r="G1089">
        <v>3.8</v>
      </c>
      <c r="H1089" t="s">
        <v>12</v>
      </c>
      <c r="I1089" t="s">
        <v>16</v>
      </c>
      <c r="J1089" t="s">
        <v>11</v>
      </c>
    </row>
    <row r="1090" spans="1:10" x14ac:dyDescent="0.25">
      <c r="A1090">
        <v>1089</v>
      </c>
      <c r="B1090" s="1">
        <v>45349</v>
      </c>
      <c r="C1090" t="s">
        <v>23</v>
      </c>
      <c r="D1090" t="s">
        <v>15</v>
      </c>
      <c r="E1090">
        <v>193</v>
      </c>
      <c r="F1090">
        <v>12</v>
      </c>
      <c r="G1090">
        <v>2.2000000000000002</v>
      </c>
      <c r="H1090" t="s">
        <v>18</v>
      </c>
      <c r="I1090" t="s">
        <v>13</v>
      </c>
      <c r="J1090" t="s">
        <v>11</v>
      </c>
    </row>
    <row r="1091" spans="1:10" x14ac:dyDescent="0.25">
      <c r="A1091">
        <v>1090</v>
      </c>
      <c r="B1091" s="1">
        <v>45366</v>
      </c>
      <c r="C1091" t="s">
        <v>22</v>
      </c>
      <c r="D1091" t="s">
        <v>11</v>
      </c>
      <c r="E1091">
        <v>35</v>
      </c>
      <c r="F1091">
        <v>25</v>
      </c>
      <c r="G1091">
        <v>1.1000000000000001</v>
      </c>
      <c r="H1091" t="s">
        <v>12</v>
      </c>
      <c r="I1091" t="s">
        <v>16</v>
      </c>
      <c r="J1091" t="s">
        <v>11</v>
      </c>
    </row>
    <row r="1092" spans="1:10" x14ac:dyDescent="0.25">
      <c r="A1092">
        <v>1091</v>
      </c>
      <c r="B1092" s="1">
        <v>45376</v>
      </c>
      <c r="C1092" t="s">
        <v>21</v>
      </c>
      <c r="D1092" t="s">
        <v>11</v>
      </c>
      <c r="E1092">
        <v>197</v>
      </c>
      <c r="F1092">
        <v>38</v>
      </c>
      <c r="G1092">
        <v>2.4</v>
      </c>
      <c r="H1092" t="s">
        <v>12</v>
      </c>
      <c r="I1092" t="s">
        <v>19</v>
      </c>
      <c r="J1092" t="s">
        <v>11</v>
      </c>
    </row>
    <row r="1093" spans="1:10" x14ac:dyDescent="0.25">
      <c r="A1093">
        <v>1092</v>
      </c>
      <c r="B1093" s="1">
        <v>45461</v>
      </c>
      <c r="C1093" t="s">
        <v>23</v>
      </c>
      <c r="D1093" t="s">
        <v>11</v>
      </c>
      <c r="E1093">
        <v>164</v>
      </c>
      <c r="F1093">
        <v>59</v>
      </c>
      <c r="G1093">
        <v>6.8</v>
      </c>
      <c r="H1093" t="s">
        <v>12</v>
      </c>
      <c r="I1093" t="s">
        <v>13</v>
      </c>
      <c r="J1093" t="s">
        <v>11</v>
      </c>
    </row>
    <row r="1094" spans="1:10" x14ac:dyDescent="0.25">
      <c r="A1094">
        <v>1093</v>
      </c>
      <c r="B1094" s="1">
        <v>45475</v>
      </c>
      <c r="C1094" t="s">
        <v>22</v>
      </c>
      <c r="D1094" t="s">
        <v>20</v>
      </c>
      <c r="E1094">
        <v>9</v>
      </c>
      <c r="F1094">
        <v>55</v>
      </c>
      <c r="G1094">
        <v>8.6</v>
      </c>
      <c r="H1094" t="s">
        <v>12</v>
      </c>
      <c r="I1094" t="s">
        <v>19</v>
      </c>
      <c r="J1094" t="s">
        <v>15</v>
      </c>
    </row>
    <row r="1095" spans="1:10" x14ac:dyDescent="0.25">
      <c r="A1095">
        <v>1094</v>
      </c>
      <c r="B1095" s="1">
        <v>45613</v>
      </c>
      <c r="C1095" t="s">
        <v>21</v>
      </c>
      <c r="D1095" t="s">
        <v>11</v>
      </c>
      <c r="E1095">
        <v>160</v>
      </c>
      <c r="F1095">
        <v>56</v>
      </c>
      <c r="G1095">
        <v>5.5</v>
      </c>
      <c r="H1095" t="s">
        <v>18</v>
      </c>
      <c r="I1095" t="s">
        <v>13</v>
      </c>
      <c r="J1095" t="s">
        <v>15</v>
      </c>
    </row>
    <row r="1096" spans="1:10" x14ac:dyDescent="0.25">
      <c r="A1096">
        <v>1095</v>
      </c>
      <c r="B1096" s="1">
        <v>45534</v>
      </c>
      <c r="C1096" t="s">
        <v>21</v>
      </c>
      <c r="D1096" t="s">
        <v>15</v>
      </c>
      <c r="E1096">
        <v>5</v>
      </c>
      <c r="F1096">
        <v>25</v>
      </c>
      <c r="G1096">
        <v>5.6</v>
      </c>
      <c r="H1096" t="s">
        <v>18</v>
      </c>
      <c r="I1096" t="s">
        <v>16</v>
      </c>
      <c r="J1096" t="s">
        <v>20</v>
      </c>
    </row>
    <row r="1097" spans="1:10" x14ac:dyDescent="0.25">
      <c r="A1097">
        <v>1096</v>
      </c>
      <c r="B1097" s="1">
        <v>45436</v>
      </c>
      <c r="C1097" t="s">
        <v>10</v>
      </c>
      <c r="D1097" t="s">
        <v>20</v>
      </c>
      <c r="E1097">
        <v>215</v>
      </c>
      <c r="F1097">
        <v>2</v>
      </c>
      <c r="G1097">
        <v>9.6999999999999993</v>
      </c>
      <c r="H1097" t="s">
        <v>12</v>
      </c>
      <c r="I1097" t="s">
        <v>16</v>
      </c>
      <c r="J1097" t="s">
        <v>15</v>
      </c>
    </row>
    <row r="1098" spans="1:10" x14ac:dyDescent="0.25">
      <c r="A1098">
        <v>1097</v>
      </c>
      <c r="B1098" s="1">
        <v>45517</v>
      </c>
      <c r="C1098" t="s">
        <v>14</v>
      </c>
      <c r="D1098" t="s">
        <v>11</v>
      </c>
      <c r="E1098">
        <v>129</v>
      </c>
      <c r="F1098">
        <v>44</v>
      </c>
      <c r="G1098">
        <v>2.9</v>
      </c>
      <c r="H1098" t="s">
        <v>18</v>
      </c>
      <c r="I1098" t="s">
        <v>16</v>
      </c>
      <c r="J1098" t="s">
        <v>11</v>
      </c>
    </row>
    <row r="1099" spans="1:10" x14ac:dyDescent="0.25">
      <c r="A1099">
        <v>1098</v>
      </c>
      <c r="B1099" s="1">
        <v>45574</v>
      </c>
      <c r="C1099" t="s">
        <v>10</v>
      </c>
      <c r="D1099" t="s">
        <v>17</v>
      </c>
      <c r="E1099">
        <v>158</v>
      </c>
      <c r="F1099">
        <v>6</v>
      </c>
      <c r="G1099">
        <v>3.8</v>
      </c>
      <c r="H1099" t="s">
        <v>12</v>
      </c>
      <c r="I1099" t="s">
        <v>19</v>
      </c>
      <c r="J1099" t="s">
        <v>11</v>
      </c>
    </row>
    <row r="1100" spans="1:10" x14ac:dyDescent="0.25">
      <c r="A1100">
        <v>1099</v>
      </c>
      <c r="B1100" s="1">
        <v>45318</v>
      </c>
      <c r="C1100" t="s">
        <v>22</v>
      </c>
      <c r="D1100" t="s">
        <v>17</v>
      </c>
      <c r="E1100">
        <v>140</v>
      </c>
      <c r="F1100">
        <v>31</v>
      </c>
      <c r="G1100">
        <v>8</v>
      </c>
      <c r="H1100" t="s">
        <v>18</v>
      </c>
      <c r="I1100" t="s">
        <v>13</v>
      </c>
      <c r="J1100" t="s">
        <v>11</v>
      </c>
    </row>
    <row r="1101" spans="1:10" x14ac:dyDescent="0.25">
      <c r="A1101">
        <v>1100</v>
      </c>
      <c r="B1101" s="1">
        <v>45330</v>
      </c>
      <c r="C1101" t="s">
        <v>23</v>
      </c>
      <c r="D1101" t="s">
        <v>11</v>
      </c>
      <c r="E1101">
        <v>98</v>
      </c>
      <c r="F1101">
        <v>30</v>
      </c>
      <c r="G1101">
        <v>6.3</v>
      </c>
      <c r="H1101" t="s">
        <v>18</v>
      </c>
      <c r="I1101" t="s">
        <v>19</v>
      </c>
      <c r="J1101" t="s">
        <v>15</v>
      </c>
    </row>
    <row r="1102" spans="1:10" x14ac:dyDescent="0.25">
      <c r="A1102">
        <v>1101</v>
      </c>
      <c r="B1102" s="1">
        <v>45563</v>
      </c>
      <c r="C1102" t="s">
        <v>14</v>
      </c>
      <c r="D1102" t="s">
        <v>20</v>
      </c>
      <c r="E1102">
        <v>233</v>
      </c>
      <c r="F1102">
        <v>54</v>
      </c>
      <c r="G1102">
        <v>3</v>
      </c>
      <c r="H1102" t="s">
        <v>18</v>
      </c>
      <c r="I1102" t="s">
        <v>16</v>
      </c>
      <c r="J1102" t="s">
        <v>11</v>
      </c>
    </row>
    <row r="1103" spans="1:10" x14ac:dyDescent="0.25">
      <c r="A1103">
        <v>1102</v>
      </c>
      <c r="B1103" s="1">
        <v>45572</v>
      </c>
      <c r="C1103" t="s">
        <v>21</v>
      </c>
      <c r="D1103" t="s">
        <v>20</v>
      </c>
      <c r="E1103">
        <v>152</v>
      </c>
      <c r="F1103">
        <v>44</v>
      </c>
      <c r="G1103">
        <v>4</v>
      </c>
      <c r="H1103" t="s">
        <v>12</v>
      </c>
      <c r="I1103" t="s">
        <v>19</v>
      </c>
      <c r="J1103" t="s">
        <v>11</v>
      </c>
    </row>
    <row r="1104" spans="1:10" x14ac:dyDescent="0.25">
      <c r="A1104">
        <v>1103</v>
      </c>
      <c r="B1104" s="1">
        <v>45602</v>
      </c>
      <c r="C1104" t="s">
        <v>14</v>
      </c>
      <c r="D1104" t="s">
        <v>15</v>
      </c>
      <c r="E1104">
        <v>107</v>
      </c>
      <c r="F1104">
        <v>34</v>
      </c>
      <c r="G1104">
        <v>2.1</v>
      </c>
      <c r="H1104" t="s">
        <v>18</v>
      </c>
      <c r="I1104" t="s">
        <v>19</v>
      </c>
      <c r="J1104" t="s">
        <v>11</v>
      </c>
    </row>
    <row r="1105" spans="1:10" x14ac:dyDescent="0.25">
      <c r="A1105">
        <v>1104</v>
      </c>
      <c r="B1105" s="1">
        <v>45473</v>
      </c>
      <c r="C1105" t="s">
        <v>23</v>
      </c>
      <c r="D1105" t="s">
        <v>17</v>
      </c>
      <c r="E1105">
        <v>127</v>
      </c>
      <c r="F1105">
        <v>27</v>
      </c>
      <c r="G1105">
        <v>5.3</v>
      </c>
      <c r="H1105" t="s">
        <v>18</v>
      </c>
      <c r="I1105" t="s">
        <v>13</v>
      </c>
      <c r="J1105" t="s">
        <v>11</v>
      </c>
    </row>
    <row r="1106" spans="1:10" x14ac:dyDescent="0.25">
      <c r="A1106">
        <v>1105</v>
      </c>
      <c r="B1106" s="1">
        <v>45432</v>
      </c>
      <c r="C1106" t="s">
        <v>22</v>
      </c>
      <c r="D1106" t="s">
        <v>20</v>
      </c>
      <c r="E1106">
        <v>151</v>
      </c>
      <c r="F1106">
        <v>37</v>
      </c>
      <c r="G1106">
        <v>6.2</v>
      </c>
      <c r="H1106" t="s">
        <v>18</v>
      </c>
      <c r="I1106" t="s">
        <v>16</v>
      </c>
      <c r="J1106" t="s">
        <v>11</v>
      </c>
    </row>
    <row r="1107" spans="1:10" x14ac:dyDescent="0.25">
      <c r="A1107">
        <v>1106</v>
      </c>
      <c r="B1107" s="1">
        <v>45353</v>
      </c>
      <c r="C1107" t="s">
        <v>23</v>
      </c>
      <c r="D1107" t="s">
        <v>11</v>
      </c>
      <c r="E1107">
        <v>110</v>
      </c>
      <c r="F1107">
        <v>71</v>
      </c>
      <c r="G1107">
        <v>3.4</v>
      </c>
      <c r="H1107" t="s">
        <v>18</v>
      </c>
      <c r="I1107" t="s">
        <v>16</v>
      </c>
      <c r="J1107" t="s">
        <v>11</v>
      </c>
    </row>
    <row r="1108" spans="1:10" x14ac:dyDescent="0.25">
      <c r="A1108">
        <v>1107</v>
      </c>
      <c r="B1108" s="1">
        <v>45368</v>
      </c>
      <c r="C1108" t="s">
        <v>10</v>
      </c>
      <c r="D1108" t="s">
        <v>20</v>
      </c>
      <c r="E1108">
        <v>180</v>
      </c>
      <c r="F1108">
        <v>70</v>
      </c>
      <c r="G1108">
        <v>4.5</v>
      </c>
      <c r="H1108" t="s">
        <v>18</v>
      </c>
      <c r="I1108" t="s">
        <v>13</v>
      </c>
      <c r="J1108" t="s">
        <v>11</v>
      </c>
    </row>
    <row r="1109" spans="1:10" x14ac:dyDescent="0.25">
      <c r="A1109">
        <v>1108</v>
      </c>
      <c r="B1109" s="1">
        <v>45446</v>
      </c>
      <c r="C1109" t="s">
        <v>10</v>
      </c>
      <c r="D1109" t="s">
        <v>15</v>
      </c>
      <c r="E1109">
        <v>99</v>
      </c>
      <c r="F1109">
        <v>61</v>
      </c>
      <c r="G1109">
        <v>10</v>
      </c>
      <c r="H1109" t="s">
        <v>12</v>
      </c>
      <c r="I1109" t="s">
        <v>16</v>
      </c>
      <c r="J1109" t="s">
        <v>11</v>
      </c>
    </row>
    <row r="1110" spans="1:10" x14ac:dyDescent="0.25">
      <c r="A1110">
        <v>1109</v>
      </c>
      <c r="B1110" s="1">
        <v>45444</v>
      </c>
      <c r="C1110" t="s">
        <v>21</v>
      </c>
      <c r="D1110" t="s">
        <v>20</v>
      </c>
      <c r="E1110">
        <v>33</v>
      </c>
      <c r="F1110">
        <v>56</v>
      </c>
      <c r="G1110">
        <v>9.5</v>
      </c>
      <c r="H1110" t="s">
        <v>12</v>
      </c>
      <c r="I1110" t="s">
        <v>16</v>
      </c>
      <c r="J1110" t="s">
        <v>11</v>
      </c>
    </row>
    <row r="1111" spans="1:10" x14ac:dyDescent="0.25">
      <c r="A1111">
        <v>1110</v>
      </c>
      <c r="B1111" s="1">
        <v>45569</v>
      </c>
      <c r="C1111" t="s">
        <v>14</v>
      </c>
      <c r="D1111" t="s">
        <v>15</v>
      </c>
      <c r="E1111">
        <v>133</v>
      </c>
      <c r="F1111">
        <v>29</v>
      </c>
      <c r="G1111">
        <v>6</v>
      </c>
      <c r="H1111" t="s">
        <v>12</v>
      </c>
      <c r="I1111" t="s">
        <v>19</v>
      </c>
      <c r="J1111" t="s">
        <v>11</v>
      </c>
    </row>
    <row r="1112" spans="1:10" x14ac:dyDescent="0.25">
      <c r="A1112">
        <v>1111</v>
      </c>
      <c r="B1112" s="1">
        <v>45459</v>
      </c>
      <c r="C1112" t="s">
        <v>21</v>
      </c>
      <c r="D1112" t="s">
        <v>20</v>
      </c>
      <c r="E1112">
        <v>237</v>
      </c>
      <c r="F1112">
        <v>47</v>
      </c>
      <c r="G1112">
        <v>1.9</v>
      </c>
      <c r="H1112" t="s">
        <v>12</v>
      </c>
      <c r="I1112" t="s">
        <v>19</v>
      </c>
      <c r="J1112" t="s">
        <v>11</v>
      </c>
    </row>
    <row r="1113" spans="1:10" x14ac:dyDescent="0.25">
      <c r="A1113">
        <v>1112</v>
      </c>
      <c r="B1113" s="1">
        <v>45312</v>
      </c>
      <c r="C1113" t="s">
        <v>14</v>
      </c>
      <c r="D1113" t="s">
        <v>11</v>
      </c>
      <c r="E1113">
        <v>149</v>
      </c>
      <c r="F1113">
        <v>48</v>
      </c>
      <c r="G1113">
        <v>5.5</v>
      </c>
      <c r="H1113" t="s">
        <v>18</v>
      </c>
      <c r="I1113" t="s">
        <v>13</v>
      </c>
      <c r="J1113" t="s">
        <v>15</v>
      </c>
    </row>
    <row r="1114" spans="1:10" x14ac:dyDescent="0.25">
      <c r="A1114">
        <v>1113</v>
      </c>
      <c r="B1114" s="1">
        <v>45467</v>
      </c>
      <c r="C1114" t="s">
        <v>10</v>
      </c>
      <c r="D1114" t="s">
        <v>20</v>
      </c>
      <c r="E1114">
        <v>171</v>
      </c>
      <c r="F1114">
        <v>63</v>
      </c>
      <c r="G1114">
        <v>4.8</v>
      </c>
      <c r="H1114" t="s">
        <v>18</v>
      </c>
      <c r="I1114" t="s">
        <v>13</v>
      </c>
      <c r="J1114" t="s">
        <v>11</v>
      </c>
    </row>
    <row r="1115" spans="1:10" x14ac:dyDescent="0.25">
      <c r="A1115">
        <v>1114</v>
      </c>
      <c r="B1115" s="1">
        <v>45457</v>
      </c>
      <c r="C1115" t="s">
        <v>10</v>
      </c>
      <c r="D1115" t="s">
        <v>20</v>
      </c>
      <c r="E1115">
        <v>222</v>
      </c>
      <c r="F1115">
        <v>3</v>
      </c>
      <c r="G1115">
        <v>3.2</v>
      </c>
      <c r="H1115" t="s">
        <v>12</v>
      </c>
      <c r="I1115" t="s">
        <v>13</v>
      </c>
      <c r="J1115" t="s">
        <v>11</v>
      </c>
    </row>
    <row r="1116" spans="1:10" x14ac:dyDescent="0.25">
      <c r="A1116">
        <v>1115</v>
      </c>
      <c r="B1116" s="1">
        <v>45417</v>
      </c>
      <c r="C1116" t="s">
        <v>14</v>
      </c>
      <c r="D1116" t="s">
        <v>20</v>
      </c>
      <c r="E1116">
        <v>205</v>
      </c>
      <c r="F1116">
        <v>54</v>
      </c>
      <c r="G1116">
        <v>9.5</v>
      </c>
      <c r="H1116" t="s">
        <v>12</v>
      </c>
      <c r="I1116" t="s">
        <v>16</v>
      </c>
      <c r="J1116" t="s">
        <v>11</v>
      </c>
    </row>
    <row r="1117" spans="1:10" x14ac:dyDescent="0.25">
      <c r="A1117">
        <v>1116</v>
      </c>
      <c r="B1117" s="1">
        <v>45339</v>
      </c>
      <c r="C1117" t="s">
        <v>22</v>
      </c>
      <c r="D1117" t="s">
        <v>20</v>
      </c>
      <c r="E1117">
        <v>194</v>
      </c>
      <c r="F1117">
        <v>67</v>
      </c>
      <c r="G1117">
        <v>8.6999999999999993</v>
      </c>
      <c r="H1117" t="s">
        <v>18</v>
      </c>
      <c r="I1117" t="s">
        <v>16</v>
      </c>
      <c r="J1117" t="s">
        <v>11</v>
      </c>
    </row>
    <row r="1118" spans="1:10" x14ac:dyDescent="0.25">
      <c r="A1118">
        <v>1117</v>
      </c>
      <c r="B1118" s="1">
        <v>45316</v>
      </c>
      <c r="C1118" t="s">
        <v>23</v>
      </c>
      <c r="D1118" t="s">
        <v>20</v>
      </c>
      <c r="E1118">
        <v>38</v>
      </c>
      <c r="F1118">
        <v>20</v>
      </c>
      <c r="G1118">
        <v>2.5</v>
      </c>
      <c r="H1118" t="s">
        <v>18</v>
      </c>
      <c r="I1118" t="s">
        <v>13</v>
      </c>
      <c r="J1118" t="s">
        <v>11</v>
      </c>
    </row>
    <row r="1119" spans="1:10" x14ac:dyDescent="0.25">
      <c r="A1119">
        <v>1118</v>
      </c>
      <c r="B1119" s="1">
        <v>45456</v>
      </c>
      <c r="C1119" t="s">
        <v>14</v>
      </c>
      <c r="D1119" t="s">
        <v>20</v>
      </c>
      <c r="E1119">
        <v>105</v>
      </c>
      <c r="F1119">
        <v>30</v>
      </c>
      <c r="G1119">
        <v>2.1</v>
      </c>
      <c r="H1119" t="s">
        <v>12</v>
      </c>
      <c r="I1119" t="s">
        <v>13</v>
      </c>
      <c r="J1119" t="s">
        <v>11</v>
      </c>
    </row>
    <row r="1120" spans="1:10" x14ac:dyDescent="0.25">
      <c r="A1120">
        <v>1119</v>
      </c>
      <c r="B1120" s="1">
        <v>45461</v>
      </c>
      <c r="C1120" t="s">
        <v>22</v>
      </c>
      <c r="D1120" t="s">
        <v>11</v>
      </c>
      <c r="E1120">
        <v>162</v>
      </c>
      <c r="F1120">
        <v>23</v>
      </c>
      <c r="G1120">
        <v>9.9</v>
      </c>
      <c r="H1120" t="s">
        <v>18</v>
      </c>
      <c r="I1120" t="s">
        <v>19</v>
      </c>
      <c r="J1120" t="s">
        <v>15</v>
      </c>
    </row>
    <row r="1121" spans="1:10" x14ac:dyDescent="0.25">
      <c r="A1121">
        <v>1120</v>
      </c>
      <c r="B1121" s="1">
        <v>45587</v>
      </c>
      <c r="C1121" t="s">
        <v>14</v>
      </c>
      <c r="D1121" t="s">
        <v>17</v>
      </c>
      <c r="E1121">
        <v>123</v>
      </c>
      <c r="F1121">
        <v>8</v>
      </c>
      <c r="G1121">
        <v>9.6999999999999993</v>
      </c>
      <c r="H1121" t="s">
        <v>18</v>
      </c>
      <c r="I1121" t="s">
        <v>16</v>
      </c>
      <c r="J1121" t="s">
        <v>11</v>
      </c>
    </row>
    <row r="1122" spans="1:10" x14ac:dyDescent="0.25">
      <c r="A1122">
        <v>1121</v>
      </c>
      <c r="B1122" s="1">
        <v>45407</v>
      </c>
      <c r="C1122" t="s">
        <v>14</v>
      </c>
      <c r="D1122" t="s">
        <v>11</v>
      </c>
      <c r="E1122">
        <v>54</v>
      </c>
      <c r="F1122">
        <v>58</v>
      </c>
      <c r="G1122">
        <v>0.8</v>
      </c>
      <c r="H1122" t="s">
        <v>12</v>
      </c>
      <c r="I1122" t="s">
        <v>19</v>
      </c>
      <c r="J1122" t="s">
        <v>11</v>
      </c>
    </row>
    <row r="1123" spans="1:10" x14ac:dyDescent="0.25">
      <c r="A1123">
        <v>1122</v>
      </c>
      <c r="B1123" s="1">
        <v>45619</v>
      </c>
      <c r="C1123" t="s">
        <v>23</v>
      </c>
      <c r="D1123" t="s">
        <v>20</v>
      </c>
      <c r="E1123">
        <v>68</v>
      </c>
      <c r="F1123">
        <v>1</v>
      </c>
      <c r="G1123">
        <v>8.8000000000000007</v>
      </c>
      <c r="H1123" t="s">
        <v>18</v>
      </c>
      <c r="I1123" t="s">
        <v>13</v>
      </c>
      <c r="J1123" t="s">
        <v>15</v>
      </c>
    </row>
    <row r="1124" spans="1:10" x14ac:dyDescent="0.25">
      <c r="A1124">
        <v>1123</v>
      </c>
      <c r="B1124" s="1">
        <v>45358</v>
      </c>
      <c r="C1124" t="s">
        <v>14</v>
      </c>
      <c r="D1124" t="s">
        <v>20</v>
      </c>
      <c r="E1124">
        <v>198</v>
      </c>
      <c r="F1124">
        <v>57</v>
      </c>
      <c r="G1124">
        <v>0.8</v>
      </c>
      <c r="H1124" t="s">
        <v>18</v>
      </c>
      <c r="I1124" t="s">
        <v>13</v>
      </c>
      <c r="J1124" t="s">
        <v>11</v>
      </c>
    </row>
    <row r="1125" spans="1:10" x14ac:dyDescent="0.25">
      <c r="A1125">
        <v>1124</v>
      </c>
      <c r="B1125" s="1">
        <v>45651</v>
      </c>
      <c r="C1125" t="s">
        <v>23</v>
      </c>
      <c r="D1125" t="s">
        <v>17</v>
      </c>
      <c r="E1125">
        <v>135</v>
      </c>
      <c r="F1125">
        <v>3</v>
      </c>
      <c r="G1125">
        <v>9.9</v>
      </c>
      <c r="H1125" t="s">
        <v>12</v>
      </c>
      <c r="I1125" t="s">
        <v>19</v>
      </c>
      <c r="J1125" t="s">
        <v>15</v>
      </c>
    </row>
    <row r="1126" spans="1:10" x14ac:dyDescent="0.25">
      <c r="A1126">
        <v>1125</v>
      </c>
      <c r="B1126" s="1">
        <v>45352</v>
      </c>
      <c r="C1126" t="s">
        <v>14</v>
      </c>
      <c r="D1126" t="s">
        <v>15</v>
      </c>
      <c r="E1126">
        <v>223</v>
      </c>
      <c r="F1126">
        <v>66</v>
      </c>
      <c r="G1126">
        <v>1.9</v>
      </c>
      <c r="H1126" t="s">
        <v>12</v>
      </c>
      <c r="I1126" t="s">
        <v>19</v>
      </c>
      <c r="J1126" t="s">
        <v>11</v>
      </c>
    </row>
    <row r="1127" spans="1:10" x14ac:dyDescent="0.25">
      <c r="A1127">
        <v>1126</v>
      </c>
      <c r="B1127" s="1">
        <v>45366</v>
      </c>
      <c r="C1127" t="s">
        <v>14</v>
      </c>
      <c r="D1127" t="s">
        <v>11</v>
      </c>
      <c r="E1127">
        <v>116</v>
      </c>
      <c r="F1127">
        <v>11</v>
      </c>
      <c r="G1127">
        <v>3.9</v>
      </c>
      <c r="H1127" t="s">
        <v>12</v>
      </c>
      <c r="I1127" t="s">
        <v>13</v>
      </c>
      <c r="J1127" t="s">
        <v>11</v>
      </c>
    </row>
    <row r="1128" spans="1:10" x14ac:dyDescent="0.25">
      <c r="A1128">
        <v>1127</v>
      </c>
      <c r="B1128" s="1">
        <v>45558</v>
      </c>
      <c r="C1128" t="s">
        <v>23</v>
      </c>
      <c r="D1128" t="s">
        <v>11</v>
      </c>
      <c r="E1128">
        <v>191</v>
      </c>
      <c r="F1128">
        <v>32</v>
      </c>
      <c r="G1128">
        <v>6.7</v>
      </c>
      <c r="H1128" t="s">
        <v>18</v>
      </c>
      <c r="I1128" t="s">
        <v>19</v>
      </c>
      <c r="J1128" t="s">
        <v>15</v>
      </c>
    </row>
    <row r="1129" spans="1:10" x14ac:dyDescent="0.25">
      <c r="A1129">
        <v>1128</v>
      </c>
      <c r="B1129" s="1">
        <v>45616</v>
      </c>
      <c r="C1129" t="s">
        <v>22</v>
      </c>
      <c r="D1129" t="s">
        <v>11</v>
      </c>
      <c r="E1129">
        <v>48</v>
      </c>
      <c r="F1129">
        <v>70</v>
      </c>
      <c r="G1129">
        <v>6</v>
      </c>
      <c r="H1129" t="s">
        <v>12</v>
      </c>
      <c r="I1129" t="s">
        <v>19</v>
      </c>
      <c r="J1129" t="s">
        <v>11</v>
      </c>
    </row>
    <row r="1130" spans="1:10" x14ac:dyDescent="0.25">
      <c r="A1130">
        <v>1129</v>
      </c>
      <c r="B1130" s="1">
        <v>45447</v>
      </c>
      <c r="C1130" t="s">
        <v>22</v>
      </c>
      <c r="D1130" t="s">
        <v>17</v>
      </c>
      <c r="E1130">
        <v>171</v>
      </c>
      <c r="F1130">
        <v>43</v>
      </c>
      <c r="G1130">
        <v>4</v>
      </c>
      <c r="H1130" t="s">
        <v>18</v>
      </c>
      <c r="I1130" t="s">
        <v>13</v>
      </c>
      <c r="J1130" t="s">
        <v>11</v>
      </c>
    </row>
    <row r="1131" spans="1:10" x14ac:dyDescent="0.25">
      <c r="A1131">
        <v>1130</v>
      </c>
      <c r="B1131" s="1">
        <v>45378</v>
      </c>
      <c r="C1131" t="s">
        <v>21</v>
      </c>
      <c r="D1131" t="s">
        <v>11</v>
      </c>
      <c r="E1131">
        <v>240</v>
      </c>
      <c r="F1131">
        <v>20</v>
      </c>
      <c r="G1131">
        <v>1.7</v>
      </c>
      <c r="H1131" t="s">
        <v>18</v>
      </c>
      <c r="I1131" t="s">
        <v>13</v>
      </c>
      <c r="J1131" t="s">
        <v>11</v>
      </c>
    </row>
    <row r="1132" spans="1:10" x14ac:dyDescent="0.25">
      <c r="A1132">
        <v>1131</v>
      </c>
      <c r="B1132" s="1">
        <v>45413</v>
      </c>
      <c r="C1132" t="s">
        <v>23</v>
      </c>
      <c r="D1132" t="s">
        <v>11</v>
      </c>
      <c r="E1132">
        <v>150</v>
      </c>
      <c r="F1132">
        <v>36</v>
      </c>
      <c r="G1132">
        <v>5</v>
      </c>
      <c r="H1132" t="s">
        <v>18</v>
      </c>
      <c r="I1132" t="s">
        <v>19</v>
      </c>
      <c r="J1132" t="s">
        <v>15</v>
      </c>
    </row>
    <row r="1133" spans="1:10" x14ac:dyDescent="0.25">
      <c r="A1133">
        <v>1132</v>
      </c>
      <c r="B1133" s="1">
        <v>45389</v>
      </c>
      <c r="C1133" t="s">
        <v>23</v>
      </c>
      <c r="D1133" t="s">
        <v>17</v>
      </c>
      <c r="E1133">
        <v>223</v>
      </c>
      <c r="F1133">
        <v>6</v>
      </c>
      <c r="G1133">
        <v>6.1</v>
      </c>
      <c r="H1133" t="s">
        <v>18</v>
      </c>
      <c r="I1133" t="s">
        <v>16</v>
      </c>
      <c r="J1133" t="s">
        <v>15</v>
      </c>
    </row>
    <row r="1134" spans="1:10" x14ac:dyDescent="0.25">
      <c r="A1134">
        <v>1133</v>
      </c>
      <c r="B1134" s="1">
        <v>45430</v>
      </c>
      <c r="C1134" t="s">
        <v>21</v>
      </c>
      <c r="D1134" t="s">
        <v>20</v>
      </c>
      <c r="E1134">
        <v>183</v>
      </c>
      <c r="F1134">
        <v>27</v>
      </c>
      <c r="G1134">
        <v>2.8</v>
      </c>
      <c r="H1134" t="s">
        <v>12</v>
      </c>
      <c r="I1134" t="s">
        <v>19</v>
      </c>
      <c r="J1134" t="s">
        <v>11</v>
      </c>
    </row>
    <row r="1135" spans="1:10" x14ac:dyDescent="0.25">
      <c r="A1135">
        <v>1134</v>
      </c>
      <c r="B1135" s="1">
        <v>45326</v>
      </c>
      <c r="C1135" t="s">
        <v>22</v>
      </c>
      <c r="D1135" t="s">
        <v>17</v>
      </c>
      <c r="E1135">
        <v>200</v>
      </c>
      <c r="F1135">
        <v>44</v>
      </c>
      <c r="G1135">
        <v>8.4</v>
      </c>
      <c r="H1135" t="s">
        <v>18</v>
      </c>
      <c r="I1135" t="s">
        <v>16</v>
      </c>
      <c r="J1135" t="s">
        <v>11</v>
      </c>
    </row>
    <row r="1136" spans="1:10" x14ac:dyDescent="0.25">
      <c r="A1136">
        <v>1135</v>
      </c>
      <c r="B1136" s="1">
        <v>45453</v>
      </c>
      <c r="C1136" t="s">
        <v>21</v>
      </c>
      <c r="D1136" t="s">
        <v>15</v>
      </c>
      <c r="E1136">
        <v>22</v>
      </c>
      <c r="F1136">
        <v>4</v>
      </c>
      <c r="G1136">
        <v>4.7</v>
      </c>
      <c r="H1136" t="s">
        <v>12</v>
      </c>
      <c r="I1136" t="s">
        <v>19</v>
      </c>
      <c r="J1136" t="s">
        <v>20</v>
      </c>
    </row>
    <row r="1137" spans="1:10" x14ac:dyDescent="0.25">
      <c r="A1137">
        <v>1136</v>
      </c>
      <c r="B1137" s="1">
        <v>45610</v>
      </c>
      <c r="C1137" t="s">
        <v>21</v>
      </c>
      <c r="D1137" t="s">
        <v>15</v>
      </c>
      <c r="E1137">
        <v>88</v>
      </c>
      <c r="F1137">
        <v>30</v>
      </c>
      <c r="G1137">
        <v>6.3</v>
      </c>
      <c r="H1137" t="s">
        <v>18</v>
      </c>
      <c r="I1137" t="s">
        <v>16</v>
      </c>
      <c r="J1137" t="s">
        <v>15</v>
      </c>
    </row>
    <row r="1138" spans="1:10" x14ac:dyDescent="0.25">
      <c r="A1138">
        <v>1137</v>
      </c>
      <c r="B1138" s="1">
        <v>45411</v>
      </c>
      <c r="C1138" t="s">
        <v>10</v>
      </c>
      <c r="D1138" t="s">
        <v>20</v>
      </c>
      <c r="E1138">
        <v>84</v>
      </c>
      <c r="F1138">
        <v>46</v>
      </c>
      <c r="G1138">
        <v>1.8</v>
      </c>
      <c r="H1138" t="s">
        <v>18</v>
      </c>
      <c r="I1138" t="s">
        <v>16</v>
      </c>
      <c r="J1138" t="s">
        <v>11</v>
      </c>
    </row>
    <row r="1139" spans="1:10" x14ac:dyDescent="0.25">
      <c r="A1139">
        <v>1138</v>
      </c>
      <c r="B1139" s="1">
        <v>45579</v>
      </c>
      <c r="C1139" t="s">
        <v>10</v>
      </c>
      <c r="D1139" t="s">
        <v>20</v>
      </c>
      <c r="E1139">
        <v>183</v>
      </c>
      <c r="F1139">
        <v>15</v>
      </c>
      <c r="G1139">
        <v>0.5</v>
      </c>
      <c r="H1139" t="s">
        <v>18</v>
      </c>
      <c r="I1139" t="s">
        <v>13</v>
      </c>
      <c r="J1139" t="s">
        <v>11</v>
      </c>
    </row>
    <row r="1140" spans="1:10" x14ac:dyDescent="0.25">
      <c r="A1140">
        <v>1139</v>
      </c>
      <c r="B1140" s="1">
        <v>45352</v>
      </c>
      <c r="C1140" t="s">
        <v>21</v>
      </c>
      <c r="D1140" t="s">
        <v>11</v>
      </c>
      <c r="E1140">
        <v>213</v>
      </c>
      <c r="F1140">
        <v>57</v>
      </c>
      <c r="G1140">
        <v>2.2000000000000002</v>
      </c>
      <c r="H1140" t="s">
        <v>12</v>
      </c>
      <c r="I1140" t="s">
        <v>16</v>
      </c>
      <c r="J1140" t="s">
        <v>11</v>
      </c>
    </row>
    <row r="1141" spans="1:10" x14ac:dyDescent="0.25">
      <c r="A1141">
        <v>1140</v>
      </c>
      <c r="B1141" s="1">
        <v>45586</v>
      </c>
      <c r="C1141" t="s">
        <v>23</v>
      </c>
      <c r="D1141" t="s">
        <v>15</v>
      </c>
      <c r="E1141">
        <v>112</v>
      </c>
      <c r="F1141">
        <v>29</v>
      </c>
      <c r="G1141">
        <v>4.3</v>
      </c>
      <c r="H1141" t="s">
        <v>12</v>
      </c>
      <c r="I1141" t="s">
        <v>19</v>
      </c>
      <c r="J1141" t="s">
        <v>11</v>
      </c>
    </row>
    <row r="1142" spans="1:10" x14ac:dyDescent="0.25">
      <c r="A1142">
        <v>1141</v>
      </c>
      <c r="B1142" s="1">
        <v>45443</v>
      </c>
      <c r="C1142" t="s">
        <v>21</v>
      </c>
      <c r="D1142" t="s">
        <v>15</v>
      </c>
      <c r="E1142">
        <v>139</v>
      </c>
      <c r="F1142">
        <v>60</v>
      </c>
      <c r="G1142">
        <v>10</v>
      </c>
      <c r="H1142" t="s">
        <v>18</v>
      </c>
      <c r="I1142" t="s">
        <v>16</v>
      </c>
      <c r="J1142" t="s">
        <v>15</v>
      </c>
    </row>
    <row r="1143" spans="1:10" x14ac:dyDescent="0.25">
      <c r="A1143">
        <v>1142</v>
      </c>
      <c r="B1143" s="1">
        <v>45407</v>
      </c>
      <c r="C1143" t="s">
        <v>10</v>
      </c>
      <c r="D1143" t="s">
        <v>15</v>
      </c>
      <c r="E1143">
        <v>216</v>
      </c>
      <c r="F1143">
        <v>24</v>
      </c>
      <c r="G1143">
        <v>9.1999999999999993</v>
      </c>
      <c r="H1143" t="s">
        <v>12</v>
      </c>
      <c r="I1143" t="s">
        <v>16</v>
      </c>
      <c r="J1143" t="s">
        <v>11</v>
      </c>
    </row>
    <row r="1144" spans="1:10" x14ac:dyDescent="0.25">
      <c r="A1144">
        <v>1143</v>
      </c>
      <c r="B1144" s="1">
        <v>45622</v>
      </c>
      <c r="C1144" t="s">
        <v>21</v>
      </c>
      <c r="D1144" t="s">
        <v>17</v>
      </c>
      <c r="E1144">
        <v>219</v>
      </c>
      <c r="F1144">
        <v>33</v>
      </c>
      <c r="G1144">
        <v>2</v>
      </c>
      <c r="H1144" t="s">
        <v>18</v>
      </c>
      <c r="I1144" t="s">
        <v>19</v>
      </c>
      <c r="J1144" t="s">
        <v>11</v>
      </c>
    </row>
    <row r="1145" spans="1:10" x14ac:dyDescent="0.25">
      <c r="A1145">
        <v>1144</v>
      </c>
      <c r="B1145" s="1">
        <v>45520</v>
      </c>
      <c r="C1145" t="s">
        <v>10</v>
      </c>
      <c r="D1145" t="s">
        <v>20</v>
      </c>
      <c r="E1145">
        <v>29</v>
      </c>
      <c r="F1145">
        <v>26</v>
      </c>
      <c r="G1145">
        <v>1.8</v>
      </c>
      <c r="H1145" t="s">
        <v>12</v>
      </c>
      <c r="I1145" t="s">
        <v>19</v>
      </c>
      <c r="J1145" t="s">
        <v>11</v>
      </c>
    </row>
    <row r="1146" spans="1:10" x14ac:dyDescent="0.25">
      <c r="A1146">
        <v>1145</v>
      </c>
      <c r="B1146" s="1">
        <v>45637</v>
      </c>
      <c r="C1146" t="s">
        <v>10</v>
      </c>
      <c r="D1146" t="s">
        <v>17</v>
      </c>
      <c r="E1146">
        <v>98</v>
      </c>
      <c r="F1146">
        <v>51</v>
      </c>
      <c r="G1146">
        <v>4.9000000000000004</v>
      </c>
      <c r="H1146" t="s">
        <v>18</v>
      </c>
      <c r="I1146" t="s">
        <v>19</v>
      </c>
      <c r="J1146" t="s">
        <v>11</v>
      </c>
    </row>
    <row r="1147" spans="1:10" x14ac:dyDescent="0.25">
      <c r="A1147">
        <v>1146</v>
      </c>
      <c r="B1147" s="1">
        <v>45362</v>
      </c>
      <c r="C1147" t="s">
        <v>14</v>
      </c>
      <c r="D1147" t="s">
        <v>15</v>
      </c>
      <c r="E1147">
        <v>152</v>
      </c>
      <c r="F1147">
        <v>9</v>
      </c>
      <c r="G1147">
        <v>2</v>
      </c>
      <c r="H1147" t="s">
        <v>18</v>
      </c>
      <c r="I1147" t="s">
        <v>13</v>
      </c>
      <c r="J1147" t="s">
        <v>11</v>
      </c>
    </row>
    <row r="1148" spans="1:10" x14ac:dyDescent="0.25">
      <c r="A1148">
        <v>1147</v>
      </c>
      <c r="B1148" s="1">
        <v>45345</v>
      </c>
      <c r="C1148" t="s">
        <v>22</v>
      </c>
      <c r="D1148" t="s">
        <v>17</v>
      </c>
      <c r="E1148">
        <v>110</v>
      </c>
      <c r="F1148">
        <v>26</v>
      </c>
      <c r="G1148">
        <v>2</v>
      </c>
      <c r="H1148" t="s">
        <v>12</v>
      </c>
      <c r="I1148" t="s">
        <v>19</v>
      </c>
      <c r="J1148" t="s">
        <v>11</v>
      </c>
    </row>
    <row r="1149" spans="1:10" x14ac:dyDescent="0.25">
      <c r="A1149">
        <v>1148</v>
      </c>
      <c r="B1149" s="1">
        <v>45618</v>
      </c>
      <c r="C1149" t="s">
        <v>14</v>
      </c>
      <c r="D1149" t="s">
        <v>11</v>
      </c>
      <c r="E1149">
        <v>61</v>
      </c>
      <c r="F1149">
        <v>28</v>
      </c>
      <c r="G1149">
        <v>9.4</v>
      </c>
      <c r="H1149" t="s">
        <v>12</v>
      </c>
      <c r="I1149" t="s">
        <v>19</v>
      </c>
      <c r="J1149" t="s">
        <v>11</v>
      </c>
    </row>
    <row r="1150" spans="1:10" x14ac:dyDescent="0.25">
      <c r="A1150">
        <v>1149</v>
      </c>
      <c r="B1150" s="1">
        <v>45410</v>
      </c>
      <c r="C1150" t="s">
        <v>23</v>
      </c>
      <c r="D1150" t="s">
        <v>20</v>
      </c>
      <c r="E1150">
        <v>58</v>
      </c>
      <c r="F1150">
        <v>38</v>
      </c>
      <c r="G1150">
        <v>4.3</v>
      </c>
      <c r="H1150" t="s">
        <v>18</v>
      </c>
      <c r="I1150" t="s">
        <v>13</v>
      </c>
      <c r="J1150" t="s">
        <v>11</v>
      </c>
    </row>
    <row r="1151" spans="1:10" x14ac:dyDescent="0.25">
      <c r="A1151">
        <v>1150</v>
      </c>
      <c r="B1151" s="1">
        <v>45600</v>
      </c>
      <c r="C1151" t="s">
        <v>23</v>
      </c>
      <c r="D1151" t="s">
        <v>17</v>
      </c>
      <c r="E1151">
        <v>51</v>
      </c>
      <c r="F1151">
        <v>68</v>
      </c>
      <c r="G1151">
        <v>0.8</v>
      </c>
      <c r="H1151" t="s">
        <v>18</v>
      </c>
      <c r="I1151" t="s">
        <v>13</v>
      </c>
      <c r="J1151" t="s">
        <v>11</v>
      </c>
    </row>
    <row r="1152" spans="1:10" x14ac:dyDescent="0.25">
      <c r="A1152">
        <v>1151</v>
      </c>
      <c r="B1152" s="1">
        <v>45405</v>
      </c>
      <c r="C1152" t="s">
        <v>14</v>
      </c>
      <c r="D1152" t="s">
        <v>11</v>
      </c>
      <c r="E1152">
        <v>72</v>
      </c>
      <c r="F1152">
        <v>41</v>
      </c>
      <c r="G1152">
        <v>2.5</v>
      </c>
      <c r="H1152" t="s">
        <v>12</v>
      </c>
      <c r="I1152" t="s">
        <v>13</v>
      </c>
      <c r="J1152" t="s">
        <v>11</v>
      </c>
    </row>
    <row r="1153" spans="1:10" x14ac:dyDescent="0.25">
      <c r="A1153">
        <v>1152</v>
      </c>
      <c r="B1153" s="1">
        <v>45351</v>
      </c>
      <c r="C1153" t="s">
        <v>10</v>
      </c>
      <c r="D1153" t="s">
        <v>11</v>
      </c>
      <c r="E1153">
        <v>148</v>
      </c>
      <c r="F1153">
        <v>47</v>
      </c>
      <c r="G1153">
        <v>1.3</v>
      </c>
      <c r="H1153" t="s">
        <v>12</v>
      </c>
      <c r="I1153" t="s">
        <v>16</v>
      </c>
      <c r="J1153" t="s">
        <v>11</v>
      </c>
    </row>
    <row r="1154" spans="1:10" x14ac:dyDescent="0.25">
      <c r="A1154">
        <v>1153</v>
      </c>
      <c r="B1154" s="1">
        <v>45552</v>
      </c>
      <c r="C1154" t="s">
        <v>10</v>
      </c>
      <c r="D1154" t="s">
        <v>17</v>
      </c>
      <c r="E1154">
        <v>68</v>
      </c>
      <c r="F1154">
        <v>65</v>
      </c>
      <c r="G1154">
        <v>7</v>
      </c>
      <c r="H1154" t="s">
        <v>18</v>
      </c>
      <c r="I1154" t="s">
        <v>19</v>
      </c>
      <c r="J1154" t="s">
        <v>11</v>
      </c>
    </row>
    <row r="1155" spans="1:10" x14ac:dyDescent="0.25">
      <c r="A1155">
        <v>1154</v>
      </c>
      <c r="B1155" s="1">
        <v>45569</v>
      </c>
      <c r="C1155" t="s">
        <v>21</v>
      </c>
      <c r="D1155" t="s">
        <v>11</v>
      </c>
      <c r="E1155">
        <v>178</v>
      </c>
      <c r="F1155">
        <v>33</v>
      </c>
      <c r="G1155">
        <v>6.1</v>
      </c>
      <c r="H1155" t="s">
        <v>12</v>
      </c>
      <c r="I1155" t="s">
        <v>13</v>
      </c>
      <c r="J1155" t="s">
        <v>11</v>
      </c>
    </row>
    <row r="1156" spans="1:10" x14ac:dyDescent="0.25">
      <c r="A1156">
        <v>1155</v>
      </c>
      <c r="B1156" s="1">
        <v>45357</v>
      </c>
      <c r="C1156" t="s">
        <v>10</v>
      </c>
      <c r="D1156" t="s">
        <v>17</v>
      </c>
      <c r="E1156">
        <v>61</v>
      </c>
      <c r="F1156">
        <v>33</v>
      </c>
      <c r="G1156">
        <v>9.9</v>
      </c>
      <c r="H1156" t="s">
        <v>12</v>
      </c>
      <c r="I1156" t="s">
        <v>19</v>
      </c>
      <c r="J1156" t="s">
        <v>11</v>
      </c>
    </row>
    <row r="1157" spans="1:10" x14ac:dyDescent="0.25">
      <c r="A1157">
        <v>1156</v>
      </c>
      <c r="B1157" s="1">
        <v>45484</v>
      </c>
      <c r="C1157" t="s">
        <v>21</v>
      </c>
      <c r="D1157" t="s">
        <v>17</v>
      </c>
      <c r="E1157">
        <v>95</v>
      </c>
      <c r="F1157">
        <v>47</v>
      </c>
      <c r="G1157">
        <v>7.1</v>
      </c>
      <c r="H1157" t="s">
        <v>12</v>
      </c>
      <c r="I1157" t="s">
        <v>19</v>
      </c>
      <c r="J1157" t="s">
        <v>11</v>
      </c>
    </row>
    <row r="1158" spans="1:10" x14ac:dyDescent="0.25">
      <c r="A1158">
        <v>1157</v>
      </c>
      <c r="B1158" s="1">
        <v>45395</v>
      </c>
      <c r="C1158" t="s">
        <v>10</v>
      </c>
      <c r="D1158" t="s">
        <v>20</v>
      </c>
      <c r="E1158">
        <v>58</v>
      </c>
      <c r="F1158">
        <v>24</v>
      </c>
      <c r="G1158">
        <v>8.4</v>
      </c>
      <c r="H1158" t="s">
        <v>18</v>
      </c>
      <c r="I1158" t="s">
        <v>19</v>
      </c>
      <c r="J1158" t="s">
        <v>11</v>
      </c>
    </row>
    <row r="1159" spans="1:10" x14ac:dyDescent="0.25">
      <c r="A1159">
        <v>1158</v>
      </c>
      <c r="B1159" s="1">
        <v>45474</v>
      </c>
      <c r="C1159" t="s">
        <v>21</v>
      </c>
      <c r="D1159" t="s">
        <v>20</v>
      </c>
      <c r="E1159">
        <v>144</v>
      </c>
      <c r="F1159">
        <v>53</v>
      </c>
      <c r="G1159">
        <v>8.4</v>
      </c>
      <c r="H1159" t="s">
        <v>18</v>
      </c>
      <c r="I1159" t="s">
        <v>16</v>
      </c>
      <c r="J1159" t="s">
        <v>11</v>
      </c>
    </row>
    <row r="1160" spans="1:10" x14ac:dyDescent="0.25">
      <c r="A1160">
        <v>1159</v>
      </c>
      <c r="B1160" s="1">
        <v>45617</v>
      </c>
      <c r="C1160" t="s">
        <v>10</v>
      </c>
      <c r="D1160" t="s">
        <v>15</v>
      </c>
      <c r="E1160">
        <v>99</v>
      </c>
      <c r="F1160">
        <v>16</v>
      </c>
      <c r="G1160">
        <v>5.4</v>
      </c>
      <c r="H1160" t="s">
        <v>18</v>
      </c>
      <c r="I1160" t="s">
        <v>19</v>
      </c>
      <c r="J1160" t="s">
        <v>15</v>
      </c>
    </row>
    <row r="1161" spans="1:10" x14ac:dyDescent="0.25">
      <c r="A1161">
        <v>1160</v>
      </c>
      <c r="B1161" s="1">
        <v>45607</v>
      </c>
      <c r="C1161" t="s">
        <v>21</v>
      </c>
      <c r="D1161" t="s">
        <v>20</v>
      </c>
      <c r="E1161">
        <v>60</v>
      </c>
      <c r="F1161">
        <v>42</v>
      </c>
      <c r="G1161">
        <v>7.2</v>
      </c>
      <c r="H1161" t="s">
        <v>12</v>
      </c>
      <c r="I1161" t="s">
        <v>13</v>
      </c>
      <c r="J1161" t="s">
        <v>11</v>
      </c>
    </row>
    <row r="1162" spans="1:10" x14ac:dyDescent="0.25">
      <c r="A1162">
        <v>1161</v>
      </c>
      <c r="B1162" s="1">
        <v>45520</v>
      </c>
      <c r="C1162" t="s">
        <v>23</v>
      </c>
      <c r="D1162" t="s">
        <v>11</v>
      </c>
      <c r="E1162">
        <v>226</v>
      </c>
      <c r="F1162">
        <v>15</v>
      </c>
      <c r="G1162">
        <v>3.7</v>
      </c>
      <c r="H1162" t="s">
        <v>18</v>
      </c>
      <c r="I1162" t="s">
        <v>19</v>
      </c>
      <c r="J1162" t="s">
        <v>11</v>
      </c>
    </row>
    <row r="1163" spans="1:10" x14ac:dyDescent="0.25">
      <c r="A1163">
        <v>1162</v>
      </c>
      <c r="B1163" s="1">
        <v>45639</v>
      </c>
      <c r="C1163" t="s">
        <v>10</v>
      </c>
      <c r="D1163" t="s">
        <v>20</v>
      </c>
      <c r="E1163">
        <v>168</v>
      </c>
      <c r="F1163">
        <v>47</v>
      </c>
      <c r="G1163">
        <v>2.2999999999999998</v>
      </c>
      <c r="H1163" t="s">
        <v>12</v>
      </c>
      <c r="I1163" t="s">
        <v>16</v>
      </c>
      <c r="J1163" t="s">
        <v>11</v>
      </c>
    </row>
    <row r="1164" spans="1:10" x14ac:dyDescent="0.25">
      <c r="A1164">
        <v>1163</v>
      </c>
      <c r="B1164" s="1">
        <v>45355</v>
      </c>
      <c r="C1164" t="s">
        <v>23</v>
      </c>
      <c r="D1164" t="s">
        <v>17</v>
      </c>
      <c r="E1164">
        <v>166</v>
      </c>
      <c r="F1164">
        <v>56</v>
      </c>
      <c r="G1164">
        <v>0.8</v>
      </c>
      <c r="H1164" t="s">
        <v>18</v>
      </c>
      <c r="I1164" t="s">
        <v>13</v>
      </c>
      <c r="J1164" t="s">
        <v>11</v>
      </c>
    </row>
    <row r="1165" spans="1:10" x14ac:dyDescent="0.25">
      <c r="A1165">
        <v>1164</v>
      </c>
      <c r="B1165" s="1">
        <v>45458</v>
      </c>
      <c r="C1165" t="s">
        <v>21</v>
      </c>
      <c r="D1165" t="s">
        <v>11</v>
      </c>
      <c r="E1165">
        <v>237</v>
      </c>
      <c r="F1165">
        <v>52</v>
      </c>
      <c r="G1165">
        <v>8.5</v>
      </c>
      <c r="H1165" t="s">
        <v>18</v>
      </c>
      <c r="I1165" t="s">
        <v>13</v>
      </c>
      <c r="J1165" t="s">
        <v>15</v>
      </c>
    </row>
    <row r="1166" spans="1:10" x14ac:dyDescent="0.25">
      <c r="A1166">
        <v>1165</v>
      </c>
      <c r="B1166" s="1">
        <v>45520</v>
      </c>
      <c r="C1166" t="s">
        <v>10</v>
      </c>
      <c r="D1166" t="s">
        <v>11</v>
      </c>
      <c r="E1166">
        <v>182</v>
      </c>
      <c r="F1166">
        <v>58</v>
      </c>
      <c r="G1166">
        <v>7.8</v>
      </c>
      <c r="H1166" t="s">
        <v>12</v>
      </c>
      <c r="I1166" t="s">
        <v>13</v>
      </c>
      <c r="J1166" t="s">
        <v>11</v>
      </c>
    </row>
    <row r="1167" spans="1:10" x14ac:dyDescent="0.25">
      <c r="A1167">
        <v>1166</v>
      </c>
      <c r="B1167" s="1">
        <v>45616</v>
      </c>
      <c r="C1167" t="s">
        <v>10</v>
      </c>
      <c r="D1167" t="s">
        <v>11</v>
      </c>
      <c r="E1167">
        <v>154</v>
      </c>
      <c r="F1167">
        <v>9</v>
      </c>
      <c r="G1167">
        <v>8</v>
      </c>
      <c r="H1167" t="s">
        <v>12</v>
      </c>
      <c r="I1167" t="s">
        <v>19</v>
      </c>
      <c r="J1167" t="s">
        <v>11</v>
      </c>
    </row>
    <row r="1168" spans="1:10" x14ac:dyDescent="0.25">
      <c r="A1168">
        <v>1167</v>
      </c>
      <c r="B1168" s="1">
        <v>45449</v>
      </c>
      <c r="C1168" t="s">
        <v>22</v>
      </c>
      <c r="D1168" t="s">
        <v>11</v>
      </c>
      <c r="E1168">
        <v>182</v>
      </c>
      <c r="F1168">
        <v>19</v>
      </c>
      <c r="G1168">
        <v>8.1</v>
      </c>
      <c r="H1168" t="s">
        <v>18</v>
      </c>
      <c r="I1168" t="s">
        <v>16</v>
      </c>
      <c r="J1168" t="s">
        <v>15</v>
      </c>
    </row>
    <row r="1169" spans="1:10" x14ac:dyDescent="0.25">
      <c r="A1169">
        <v>1168</v>
      </c>
      <c r="B1169" s="1">
        <v>45649</v>
      </c>
      <c r="C1169" t="s">
        <v>22</v>
      </c>
      <c r="D1169" t="s">
        <v>20</v>
      </c>
      <c r="E1169">
        <v>104</v>
      </c>
      <c r="F1169">
        <v>47</v>
      </c>
      <c r="G1169">
        <v>9.3000000000000007</v>
      </c>
      <c r="H1169" t="s">
        <v>18</v>
      </c>
      <c r="I1169" t="s">
        <v>19</v>
      </c>
      <c r="J1169" t="s">
        <v>11</v>
      </c>
    </row>
    <row r="1170" spans="1:10" x14ac:dyDescent="0.25">
      <c r="A1170">
        <v>1169</v>
      </c>
      <c r="B1170" s="1">
        <v>45439</v>
      </c>
      <c r="C1170" t="s">
        <v>14</v>
      </c>
      <c r="D1170" t="s">
        <v>17</v>
      </c>
      <c r="E1170">
        <v>100</v>
      </c>
      <c r="F1170">
        <v>28</v>
      </c>
      <c r="G1170">
        <v>3.1</v>
      </c>
      <c r="H1170" t="s">
        <v>18</v>
      </c>
      <c r="I1170" t="s">
        <v>16</v>
      </c>
      <c r="J1170" t="s">
        <v>11</v>
      </c>
    </row>
    <row r="1171" spans="1:10" x14ac:dyDescent="0.25">
      <c r="A1171">
        <v>1170</v>
      </c>
      <c r="B1171" s="1">
        <v>45620</v>
      </c>
      <c r="C1171" t="s">
        <v>14</v>
      </c>
      <c r="D1171" t="s">
        <v>20</v>
      </c>
      <c r="E1171">
        <v>12</v>
      </c>
      <c r="F1171">
        <v>11</v>
      </c>
      <c r="G1171">
        <v>1.8</v>
      </c>
      <c r="H1171" t="s">
        <v>18</v>
      </c>
      <c r="I1171" t="s">
        <v>13</v>
      </c>
      <c r="J1171" t="s">
        <v>15</v>
      </c>
    </row>
    <row r="1172" spans="1:10" x14ac:dyDescent="0.25">
      <c r="A1172">
        <v>1171</v>
      </c>
      <c r="B1172" s="1">
        <v>45460</v>
      </c>
      <c r="C1172" t="s">
        <v>14</v>
      </c>
      <c r="D1172" t="s">
        <v>15</v>
      </c>
      <c r="E1172">
        <v>108</v>
      </c>
      <c r="F1172">
        <v>69</v>
      </c>
      <c r="G1172">
        <v>3.2</v>
      </c>
      <c r="H1172" t="s">
        <v>18</v>
      </c>
      <c r="I1172" t="s">
        <v>13</v>
      </c>
      <c r="J1172" t="s">
        <v>11</v>
      </c>
    </row>
    <row r="1173" spans="1:10" x14ac:dyDescent="0.25">
      <c r="A1173">
        <v>1172</v>
      </c>
      <c r="B1173" s="1">
        <v>45362</v>
      </c>
      <c r="C1173" t="s">
        <v>22</v>
      </c>
      <c r="D1173" t="s">
        <v>11</v>
      </c>
      <c r="E1173">
        <v>169</v>
      </c>
      <c r="F1173">
        <v>49</v>
      </c>
      <c r="G1173">
        <v>6.9</v>
      </c>
      <c r="H1173" t="s">
        <v>12</v>
      </c>
      <c r="I1173" t="s">
        <v>13</v>
      </c>
      <c r="J1173" t="s">
        <v>11</v>
      </c>
    </row>
    <row r="1174" spans="1:10" x14ac:dyDescent="0.25">
      <c r="A1174">
        <v>1173</v>
      </c>
      <c r="B1174" s="1">
        <v>45573</v>
      </c>
      <c r="C1174" t="s">
        <v>14</v>
      </c>
      <c r="D1174" t="s">
        <v>17</v>
      </c>
      <c r="E1174">
        <v>195</v>
      </c>
      <c r="F1174">
        <v>28</v>
      </c>
      <c r="G1174">
        <v>6.5</v>
      </c>
      <c r="H1174" t="s">
        <v>18</v>
      </c>
      <c r="I1174" t="s">
        <v>19</v>
      </c>
      <c r="J1174" t="s">
        <v>11</v>
      </c>
    </row>
    <row r="1175" spans="1:10" x14ac:dyDescent="0.25">
      <c r="A1175">
        <v>1174</v>
      </c>
      <c r="B1175" s="1">
        <v>45322</v>
      </c>
      <c r="C1175" t="s">
        <v>10</v>
      </c>
      <c r="D1175" t="s">
        <v>17</v>
      </c>
      <c r="E1175">
        <v>159</v>
      </c>
      <c r="F1175">
        <v>48</v>
      </c>
      <c r="G1175">
        <v>5</v>
      </c>
      <c r="H1175" t="s">
        <v>18</v>
      </c>
      <c r="I1175" t="s">
        <v>16</v>
      </c>
      <c r="J1175" t="s">
        <v>11</v>
      </c>
    </row>
    <row r="1176" spans="1:10" x14ac:dyDescent="0.25">
      <c r="A1176">
        <v>1175</v>
      </c>
      <c r="B1176" s="1">
        <v>45438</v>
      </c>
      <c r="C1176" t="s">
        <v>23</v>
      </c>
      <c r="D1176" t="s">
        <v>11</v>
      </c>
      <c r="E1176">
        <v>101</v>
      </c>
      <c r="F1176">
        <v>14</v>
      </c>
      <c r="G1176">
        <v>6.3</v>
      </c>
      <c r="H1176" t="s">
        <v>18</v>
      </c>
      <c r="I1176" t="s">
        <v>13</v>
      </c>
      <c r="J1176" t="s">
        <v>15</v>
      </c>
    </row>
    <row r="1177" spans="1:10" x14ac:dyDescent="0.25">
      <c r="A1177">
        <v>1176</v>
      </c>
      <c r="B1177" s="1">
        <v>45406</v>
      </c>
      <c r="C1177" t="s">
        <v>23</v>
      </c>
      <c r="D1177" t="s">
        <v>11</v>
      </c>
      <c r="E1177">
        <v>122</v>
      </c>
      <c r="F1177">
        <v>52</v>
      </c>
      <c r="G1177">
        <v>8.3000000000000007</v>
      </c>
      <c r="H1177" t="s">
        <v>18</v>
      </c>
      <c r="I1177" t="s">
        <v>16</v>
      </c>
      <c r="J1177" t="s">
        <v>15</v>
      </c>
    </row>
    <row r="1178" spans="1:10" x14ac:dyDescent="0.25">
      <c r="A1178">
        <v>1177</v>
      </c>
      <c r="B1178" s="1">
        <v>45539</v>
      </c>
      <c r="C1178" t="s">
        <v>23</v>
      </c>
      <c r="D1178" t="s">
        <v>17</v>
      </c>
      <c r="E1178">
        <v>73</v>
      </c>
      <c r="F1178">
        <v>27</v>
      </c>
      <c r="G1178">
        <v>9.6</v>
      </c>
      <c r="H1178" t="s">
        <v>18</v>
      </c>
      <c r="I1178" t="s">
        <v>13</v>
      </c>
      <c r="J1178" t="s">
        <v>11</v>
      </c>
    </row>
    <row r="1179" spans="1:10" x14ac:dyDescent="0.25">
      <c r="A1179">
        <v>1178</v>
      </c>
      <c r="B1179" s="1">
        <v>45302</v>
      </c>
      <c r="C1179" t="s">
        <v>22</v>
      </c>
      <c r="D1179" t="s">
        <v>17</v>
      </c>
      <c r="E1179">
        <v>128</v>
      </c>
      <c r="F1179">
        <v>10</v>
      </c>
      <c r="G1179">
        <v>2.9</v>
      </c>
      <c r="H1179" t="s">
        <v>12</v>
      </c>
      <c r="I1179" t="s">
        <v>16</v>
      </c>
      <c r="J1179" t="s">
        <v>11</v>
      </c>
    </row>
    <row r="1180" spans="1:10" x14ac:dyDescent="0.25">
      <c r="A1180">
        <v>1179</v>
      </c>
      <c r="B1180" s="1">
        <v>45553</v>
      </c>
      <c r="C1180" t="s">
        <v>22</v>
      </c>
      <c r="D1180" t="s">
        <v>15</v>
      </c>
      <c r="E1180">
        <v>39</v>
      </c>
      <c r="F1180">
        <v>3</v>
      </c>
      <c r="G1180">
        <v>4</v>
      </c>
      <c r="H1180" t="s">
        <v>18</v>
      </c>
      <c r="I1180" t="s">
        <v>13</v>
      </c>
      <c r="J1180" t="s">
        <v>15</v>
      </c>
    </row>
    <row r="1181" spans="1:10" x14ac:dyDescent="0.25">
      <c r="A1181">
        <v>1180</v>
      </c>
      <c r="B1181" s="1">
        <v>45481</v>
      </c>
      <c r="C1181" t="s">
        <v>23</v>
      </c>
      <c r="D1181" t="s">
        <v>11</v>
      </c>
      <c r="E1181">
        <v>105</v>
      </c>
      <c r="F1181">
        <v>5</v>
      </c>
      <c r="G1181">
        <v>4.4000000000000004</v>
      </c>
      <c r="H1181" t="s">
        <v>18</v>
      </c>
      <c r="I1181" t="s">
        <v>13</v>
      </c>
      <c r="J1181" t="s">
        <v>15</v>
      </c>
    </row>
    <row r="1182" spans="1:10" x14ac:dyDescent="0.25">
      <c r="A1182">
        <v>1181</v>
      </c>
      <c r="B1182" s="1">
        <v>45339</v>
      </c>
      <c r="C1182" t="s">
        <v>10</v>
      </c>
      <c r="D1182" t="s">
        <v>15</v>
      </c>
      <c r="E1182">
        <v>166</v>
      </c>
      <c r="F1182">
        <v>54</v>
      </c>
      <c r="G1182">
        <v>2.7</v>
      </c>
      <c r="H1182" t="s">
        <v>18</v>
      </c>
      <c r="I1182" t="s">
        <v>19</v>
      </c>
      <c r="J1182" t="s">
        <v>11</v>
      </c>
    </row>
    <row r="1183" spans="1:10" x14ac:dyDescent="0.25">
      <c r="A1183">
        <v>1182</v>
      </c>
      <c r="B1183" s="1">
        <v>45342</v>
      </c>
      <c r="C1183" t="s">
        <v>22</v>
      </c>
      <c r="D1183" t="s">
        <v>11</v>
      </c>
      <c r="E1183">
        <v>235</v>
      </c>
      <c r="F1183">
        <v>56</v>
      </c>
      <c r="G1183">
        <v>0.6</v>
      </c>
      <c r="H1183" t="s">
        <v>12</v>
      </c>
      <c r="I1183" t="s">
        <v>13</v>
      </c>
      <c r="J1183" t="s">
        <v>11</v>
      </c>
    </row>
    <row r="1184" spans="1:10" x14ac:dyDescent="0.25">
      <c r="A1184">
        <v>1183</v>
      </c>
      <c r="B1184" s="1">
        <v>45418</v>
      </c>
      <c r="C1184" t="s">
        <v>14</v>
      </c>
      <c r="D1184" t="s">
        <v>20</v>
      </c>
      <c r="E1184">
        <v>197</v>
      </c>
      <c r="F1184">
        <v>6</v>
      </c>
      <c r="G1184">
        <v>7</v>
      </c>
      <c r="H1184" t="s">
        <v>12</v>
      </c>
      <c r="I1184" t="s">
        <v>13</v>
      </c>
      <c r="J1184" t="s">
        <v>15</v>
      </c>
    </row>
    <row r="1185" spans="1:10" x14ac:dyDescent="0.25">
      <c r="A1185">
        <v>1184</v>
      </c>
      <c r="B1185" s="1">
        <v>45431</v>
      </c>
      <c r="C1185" t="s">
        <v>23</v>
      </c>
      <c r="D1185" t="s">
        <v>15</v>
      </c>
      <c r="E1185">
        <v>85</v>
      </c>
      <c r="F1185">
        <v>41</v>
      </c>
      <c r="G1185">
        <v>5.6</v>
      </c>
      <c r="H1185" t="s">
        <v>18</v>
      </c>
      <c r="I1185" t="s">
        <v>13</v>
      </c>
      <c r="J1185" t="s">
        <v>15</v>
      </c>
    </row>
    <row r="1186" spans="1:10" x14ac:dyDescent="0.25">
      <c r="A1186">
        <v>1185</v>
      </c>
      <c r="B1186" s="1">
        <v>45651</v>
      </c>
      <c r="C1186" t="s">
        <v>21</v>
      </c>
      <c r="D1186" t="s">
        <v>20</v>
      </c>
      <c r="E1186">
        <v>7</v>
      </c>
      <c r="F1186">
        <v>48</v>
      </c>
      <c r="G1186">
        <v>7.1</v>
      </c>
      <c r="H1186" t="s">
        <v>12</v>
      </c>
      <c r="I1186" t="s">
        <v>16</v>
      </c>
      <c r="J1186" t="s">
        <v>15</v>
      </c>
    </row>
    <row r="1187" spans="1:10" x14ac:dyDescent="0.25">
      <c r="A1187">
        <v>1186</v>
      </c>
      <c r="B1187" s="1">
        <v>45607</v>
      </c>
      <c r="C1187" t="s">
        <v>23</v>
      </c>
      <c r="D1187" t="s">
        <v>17</v>
      </c>
      <c r="E1187">
        <v>11</v>
      </c>
      <c r="F1187">
        <v>43</v>
      </c>
      <c r="G1187">
        <v>6.7</v>
      </c>
      <c r="H1187" t="s">
        <v>12</v>
      </c>
      <c r="I1187" t="s">
        <v>13</v>
      </c>
      <c r="J1187" t="s">
        <v>15</v>
      </c>
    </row>
    <row r="1188" spans="1:10" x14ac:dyDescent="0.25">
      <c r="A1188">
        <v>1187</v>
      </c>
      <c r="B1188" s="1">
        <v>45563</v>
      </c>
      <c r="C1188" t="s">
        <v>22</v>
      </c>
      <c r="D1188" t="s">
        <v>20</v>
      </c>
      <c r="E1188">
        <v>66</v>
      </c>
      <c r="F1188">
        <v>32</v>
      </c>
      <c r="G1188">
        <v>6.2</v>
      </c>
      <c r="H1188" t="s">
        <v>18</v>
      </c>
      <c r="I1188" t="s">
        <v>16</v>
      </c>
      <c r="J1188" t="s">
        <v>11</v>
      </c>
    </row>
    <row r="1189" spans="1:10" x14ac:dyDescent="0.25">
      <c r="A1189">
        <v>1188</v>
      </c>
      <c r="B1189" s="1">
        <v>45648</v>
      </c>
      <c r="C1189" t="s">
        <v>10</v>
      </c>
      <c r="D1189" t="s">
        <v>11</v>
      </c>
      <c r="E1189">
        <v>213</v>
      </c>
      <c r="F1189">
        <v>72</v>
      </c>
      <c r="G1189">
        <v>3.3</v>
      </c>
      <c r="H1189" t="s">
        <v>18</v>
      </c>
      <c r="I1189" t="s">
        <v>19</v>
      </c>
      <c r="J1189" t="s">
        <v>11</v>
      </c>
    </row>
    <row r="1190" spans="1:10" x14ac:dyDescent="0.25">
      <c r="A1190">
        <v>1189</v>
      </c>
      <c r="B1190" s="1">
        <v>45497</v>
      </c>
      <c r="C1190" t="s">
        <v>14</v>
      </c>
      <c r="D1190" t="s">
        <v>15</v>
      </c>
      <c r="E1190">
        <v>66</v>
      </c>
      <c r="F1190">
        <v>27</v>
      </c>
      <c r="G1190">
        <v>8</v>
      </c>
      <c r="H1190" t="s">
        <v>18</v>
      </c>
      <c r="I1190" t="s">
        <v>19</v>
      </c>
      <c r="J1190" t="s">
        <v>15</v>
      </c>
    </row>
    <row r="1191" spans="1:10" x14ac:dyDescent="0.25">
      <c r="A1191">
        <v>1190</v>
      </c>
      <c r="B1191" s="1">
        <v>45549</v>
      </c>
      <c r="C1191" t="s">
        <v>22</v>
      </c>
      <c r="D1191" t="s">
        <v>11</v>
      </c>
      <c r="E1191">
        <v>156</v>
      </c>
      <c r="F1191">
        <v>35</v>
      </c>
      <c r="G1191">
        <v>2</v>
      </c>
      <c r="H1191" t="s">
        <v>12</v>
      </c>
      <c r="I1191" t="s">
        <v>19</v>
      </c>
      <c r="J1191" t="s">
        <v>11</v>
      </c>
    </row>
    <row r="1192" spans="1:10" x14ac:dyDescent="0.25">
      <c r="A1192">
        <v>1191</v>
      </c>
      <c r="B1192" s="1">
        <v>45588</v>
      </c>
      <c r="C1192" t="s">
        <v>10</v>
      </c>
      <c r="D1192" t="s">
        <v>15</v>
      </c>
      <c r="E1192">
        <v>120</v>
      </c>
      <c r="F1192">
        <v>28</v>
      </c>
      <c r="G1192">
        <v>7.7</v>
      </c>
      <c r="H1192" t="s">
        <v>12</v>
      </c>
      <c r="I1192" t="s">
        <v>16</v>
      </c>
      <c r="J1192" t="s">
        <v>11</v>
      </c>
    </row>
    <row r="1193" spans="1:10" x14ac:dyDescent="0.25">
      <c r="A1193">
        <v>1192</v>
      </c>
      <c r="B1193" s="1">
        <v>45447</v>
      </c>
      <c r="C1193" t="s">
        <v>23</v>
      </c>
      <c r="D1193" t="s">
        <v>17</v>
      </c>
      <c r="E1193">
        <v>155</v>
      </c>
      <c r="F1193">
        <v>36</v>
      </c>
      <c r="G1193">
        <v>5</v>
      </c>
      <c r="H1193" t="s">
        <v>12</v>
      </c>
      <c r="I1193" t="s">
        <v>13</v>
      </c>
      <c r="J1193" t="s">
        <v>11</v>
      </c>
    </row>
    <row r="1194" spans="1:10" x14ac:dyDescent="0.25">
      <c r="A1194">
        <v>1193</v>
      </c>
      <c r="B1194" s="1">
        <v>45601</v>
      </c>
      <c r="C1194" t="s">
        <v>23</v>
      </c>
      <c r="D1194" t="s">
        <v>17</v>
      </c>
      <c r="E1194">
        <v>82</v>
      </c>
      <c r="F1194">
        <v>41</v>
      </c>
      <c r="G1194">
        <v>6.1</v>
      </c>
      <c r="H1194" t="s">
        <v>12</v>
      </c>
      <c r="I1194" t="s">
        <v>19</v>
      </c>
      <c r="J1194" t="s">
        <v>11</v>
      </c>
    </row>
    <row r="1195" spans="1:10" x14ac:dyDescent="0.25">
      <c r="A1195">
        <v>1194</v>
      </c>
      <c r="B1195" s="1">
        <v>45553</v>
      </c>
      <c r="C1195" t="s">
        <v>22</v>
      </c>
      <c r="D1195" t="s">
        <v>17</v>
      </c>
      <c r="E1195">
        <v>65</v>
      </c>
      <c r="F1195">
        <v>62</v>
      </c>
      <c r="G1195">
        <v>7.2</v>
      </c>
      <c r="H1195" t="s">
        <v>18</v>
      </c>
      <c r="I1195" t="s">
        <v>16</v>
      </c>
      <c r="J1195" t="s">
        <v>11</v>
      </c>
    </row>
    <row r="1196" spans="1:10" x14ac:dyDescent="0.25">
      <c r="A1196">
        <v>1195</v>
      </c>
      <c r="B1196" s="1">
        <v>45463</v>
      </c>
      <c r="C1196" t="s">
        <v>10</v>
      </c>
      <c r="D1196" t="s">
        <v>20</v>
      </c>
      <c r="E1196">
        <v>36</v>
      </c>
      <c r="F1196">
        <v>7</v>
      </c>
      <c r="G1196">
        <v>1.3</v>
      </c>
      <c r="H1196" t="s">
        <v>12</v>
      </c>
      <c r="I1196" t="s">
        <v>16</v>
      </c>
      <c r="J1196" t="s">
        <v>11</v>
      </c>
    </row>
    <row r="1197" spans="1:10" x14ac:dyDescent="0.25">
      <c r="A1197">
        <v>1196</v>
      </c>
      <c r="B1197" s="1">
        <v>45560</v>
      </c>
      <c r="C1197" t="s">
        <v>21</v>
      </c>
      <c r="D1197" t="s">
        <v>20</v>
      </c>
      <c r="E1197">
        <v>78</v>
      </c>
      <c r="F1197">
        <v>1</v>
      </c>
      <c r="G1197">
        <v>1.3</v>
      </c>
      <c r="H1197" t="s">
        <v>12</v>
      </c>
      <c r="I1197" t="s">
        <v>19</v>
      </c>
      <c r="J1197" t="s">
        <v>11</v>
      </c>
    </row>
    <row r="1198" spans="1:10" x14ac:dyDescent="0.25">
      <c r="A1198">
        <v>1197</v>
      </c>
      <c r="B1198" s="1">
        <v>45584</v>
      </c>
      <c r="C1198" t="s">
        <v>22</v>
      </c>
      <c r="D1198" t="s">
        <v>11</v>
      </c>
      <c r="E1198">
        <v>151</v>
      </c>
      <c r="F1198">
        <v>61</v>
      </c>
      <c r="G1198">
        <v>4.5</v>
      </c>
      <c r="H1198" t="s">
        <v>18</v>
      </c>
      <c r="I1198" t="s">
        <v>16</v>
      </c>
      <c r="J1198" t="s">
        <v>11</v>
      </c>
    </row>
    <row r="1199" spans="1:10" x14ac:dyDescent="0.25">
      <c r="A1199">
        <v>1198</v>
      </c>
      <c r="B1199" s="1">
        <v>45308</v>
      </c>
      <c r="C1199" t="s">
        <v>14</v>
      </c>
      <c r="D1199" t="s">
        <v>11</v>
      </c>
      <c r="E1199">
        <v>116</v>
      </c>
      <c r="F1199">
        <v>71</v>
      </c>
      <c r="G1199">
        <v>9.6999999999999993</v>
      </c>
      <c r="H1199" t="s">
        <v>12</v>
      </c>
      <c r="I1199" t="s">
        <v>19</v>
      </c>
      <c r="J1199" t="s">
        <v>11</v>
      </c>
    </row>
    <row r="1200" spans="1:10" x14ac:dyDescent="0.25">
      <c r="A1200">
        <v>1199</v>
      </c>
      <c r="B1200" s="1">
        <v>45646</v>
      </c>
      <c r="C1200" t="s">
        <v>14</v>
      </c>
      <c r="D1200" t="s">
        <v>15</v>
      </c>
      <c r="E1200">
        <v>95</v>
      </c>
      <c r="F1200">
        <v>23</v>
      </c>
      <c r="G1200">
        <v>3.5</v>
      </c>
      <c r="H1200" t="s">
        <v>18</v>
      </c>
      <c r="I1200" t="s">
        <v>16</v>
      </c>
      <c r="J1200" t="s">
        <v>11</v>
      </c>
    </row>
    <row r="1201" spans="1:10" x14ac:dyDescent="0.25">
      <c r="A1201">
        <v>1200</v>
      </c>
      <c r="B1201" s="1">
        <v>45454</v>
      </c>
      <c r="C1201" t="s">
        <v>14</v>
      </c>
      <c r="D1201" t="s">
        <v>17</v>
      </c>
      <c r="E1201">
        <v>153</v>
      </c>
      <c r="F1201">
        <v>72</v>
      </c>
      <c r="G1201">
        <v>2.5</v>
      </c>
      <c r="H1201" t="s">
        <v>18</v>
      </c>
      <c r="I1201" t="s">
        <v>16</v>
      </c>
      <c r="J1201" t="s">
        <v>11</v>
      </c>
    </row>
    <row r="1202" spans="1:10" x14ac:dyDescent="0.25">
      <c r="A1202">
        <v>1201</v>
      </c>
      <c r="B1202" s="1">
        <v>45541</v>
      </c>
      <c r="C1202" t="s">
        <v>10</v>
      </c>
      <c r="D1202" t="s">
        <v>20</v>
      </c>
      <c r="E1202">
        <v>229</v>
      </c>
      <c r="F1202">
        <v>46</v>
      </c>
      <c r="G1202">
        <v>2.2000000000000002</v>
      </c>
      <c r="H1202" t="s">
        <v>12</v>
      </c>
      <c r="I1202" t="s">
        <v>16</v>
      </c>
      <c r="J1202" t="s">
        <v>11</v>
      </c>
    </row>
    <row r="1203" spans="1:10" x14ac:dyDescent="0.25">
      <c r="A1203">
        <v>1202</v>
      </c>
      <c r="B1203" s="1">
        <v>45564</v>
      </c>
      <c r="C1203" t="s">
        <v>21</v>
      </c>
      <c r="D1203" t="s">
        <v>17</v>
      </c>
      <c r="E1203">
        <v>200</v>
      </c>
      <c r="F1203">
        <v>62</v>
      </c>
      <c r="G1203">
        <v>2.2999999999999998</v>
      </c>
      <c r="H1203" t="s">
        <v>12</v>
      </c>
      <c r="I1203" t="s">
        <v>19</v>
      </c>
      <c r="J1203" t="s">
        <v>11</v>
      </c>
    </row>
    <row r="1204" spans="1:10" x14ac:dyDescent="0.25">
      <c r="A1204">
        <v>1203</v>
      </c>
      <c r="B1204" s="1">
        <v>45450</v>
      </c>
      <c r="C1204" t="s">
        <v>10</v>
      </c>
      <c r="D1204" t="s">
        <v>17</v>
      </c>
      <c r="E1204">
        <v>124</v>
      </c>
      <c r="F1204">
        <v>31</v>
      </c>
      <c r="G1204">
        <v>4.2</v>
      </c>
      <c r="H1204" t="s">
        <v>12</v>
      </c>
      <c r="I1204" t="s">
        <v>19</v>
      </c>
      <c r="J1204" t="s">
        <v>11</v>
      </c>
    </row>
    <row r="1205" spans="1:10" x14ac:dyDescent="0.25">
      <c r="A1205">
        <v>1204</v>
      </c>
      <c r="B1205" s="1">
        <v>45523</v>
      </c>
      <c r="C1205" t="s">
        <v>14</v>
      </c>
      <c r="D1205" t="s">
        <v>17</v>
      </c>
      <c r="E1205">
        <v>97</v>
      </c>
      <c r="F1205">
        <v>68</v>
      </c>
      <c r="G1205">
        <v>8.4</v>
      </c>
      <c r="H1205" t="s">
        <v>12</v>
      </c>
      <c r="I1205" t="s">
        <v>13</v>
      </c>
      <c r="J1205" t="s">
        <v>11</v>
      </c>
    </row>
    <row r="1206" spans="1:10" x14ac:dyDescent="0.25">
      <c r="A1206">
        <v>1205</v>
      </c>
      <c r="B1206" s="1">
        <v>45656</v>
      </c>
      <c r="C1206" t="s">
        <v>21</v>
      </c>
      <c r="D1206" t="s">
        <v>17</v>
      </c>
      <c r="E1206">
        <v>43</v>
      </c>
      <c r="F1206">
        <v>1</v>
      </c>
      <c r="G1206">
        <v>5.0999999999999996</v>
      </c>
      <c r="H1206" t="s">
        <v>18</v>
      </c>
      <c r="I1206" t="s">
        <v>13</v>
      </c>
      <c r="J1206" t="s">
        <v>15</v>
      </c>
    </row>
    <row r="1207" spans="1:10" x14ac:dyDescent="0.25">
      <c r="A1207">
        <v>1206</v>
      </c>
      <c r="B1207" s="1">
        <v>45422</v>
      </c>
      <c r="C1207" t="s">
        <v>22</v>
      </c>
      <c r="D1207" t="s">
        <v>17</v>
      </c>
      <c r="E1207">
        <v>165</v>
      </c>
      <c r="F1207">
        <v>9</v>
      </c>
      <c r="G1207">
        <v>7.4</v>
      </c>
      <c r="H1207" t="s">
        <v>12</v>
      </c>
      <c r="I1207" t="s">
        <v>19</v>
      </c>
      <c r="J1207" t="s">
        <v>11</v>
      </c>
    </row>
    <row r="1208" spans="1:10" x14ac:dyDescent="0.25">
      <c r="A1208">
        <v>1207</v>
      </c>
      <c r="B1208" s="1">
        <v>45646</v>
      </c>
      <c r="C1208" t="s">
        <v>23</v>
      </c>
      <c r="D1208" t="s">
        <v>15</v>
      </c>
      <c r="E1208">
        <v>78</v>
      </c>
      <c r="F1208">
        <v>54</v>
      </c>
      <c r="G1208">
        <v>8.6</v>
      </c>
      <c r="H1208" t="s">
        <v>18</v>
      </c>
      <c r="I1208" t="s">
        <v>16</v>
      </c>
      <c r="J1208" t="s">
        <v>15</v>
      </c>
    </row>
    <row r="1209" spans="1:10" x14ac:dyDescent="0.25">
      <c r="A1209">
        <v>1208</v>
      </c>
      <c r="B1209" s="1">
        <v>45439</v>
      </c>
      <c r="C1209" t="s">
        <v>23</v>
      </c>
      <c r="D1209" t="s">
        <v>17</v>
      </c>
      <c r="E1209">
        <v>124</v>
      </c>
      <c r="F1209">
        <v>68</v>
      </c>
      <c r="G1209">
        <v>7.9</v>
      </c>
      <c r="H1209" t="s">
        <v>18</v>
      </c>
      <c r="I1209" t="s">
        <v>13</v>
      </c>
      <c r="J1209" t="s">
        <v>11</v>
      </c>
    </row>
    <row r="1210" spans="1:10" x14ac:dyDescent="0.25">
      <c r="A1210">
        <v>1209</v>
      </c>
      <c r="B1210" s="1">
        <v>45294</v>
      </c>
      <c r="C1210" t="s">
        <v>21</v>
      </c>
      <c r="D1210" t="s">
        <v>11</v>
      </c>
      <c r="E1210">
        <v>180</v>
      </c>
      <c r="F1210">
        <v>72</v>
      </c>
      <c r="G1210">
        <v>2.2000000000000002</v>
      </c>
      <c r="H1210" t="s">
        <v>18</v>
      </c>
      <c r="I1210" t="s">
        <v>13</v>
      </c>
      <c r="J1210" t="s">
        <v>11</v>
      </c>
    </row>
    <row r="1211" spans="1:10" x14ac:dyDescent="0.25">
      <c r="A1211">
        <v>1210</v>
      </c>
      <c r="B1211" s="1">
        <v>45329</v>
      </c>
      <c r="C1211" t="s">
        <v>23</v>
      </c>
      <c r="D1211" t="s">
        <v>15</v>
      </c>
      <c r="E1211">
        <v>163</v>
      </c>
      <c r="F1211">
        <v>35</v>
      </c>
      <c r="G1211">
        <v>6.9</v>
      </c>
      <c r="H1211" t="s">
        <v>18</v>
      </c>
      <c r="I1211" t="s">
        <v>16</v>
      </c>
      <c r="J1211" t="s">
        <v>15</v>
      </c>
    </row>
    <row r="1212" spans="1:10" x14ac:dyDescent="0.25">
      <c r="A1212">
        <v>1211</v>
      </c>
      <c r="B1212" s="1">
        <v>45449</v>
      </c>
      <c r="C1212" t="s">
        <v>22</v>
      </c>
      <c r="D1212" t="s">
        <v>20</v>
      </c>
      <c r="E1212">
        <v>187</v>
      </c>
      <c r="F1212">
        <v>71</v>
      </c>
      <c r="G1212">
        <v>9</v>
      </c>
      <c r="H1212" t="s">
        <v>18</v>
      </c>
      <c r="I1212" t="s">
        <v>13</v>
      </c>
      <c r="J1212" t="s">
        <v>11</v>
      </c>
    </row>
    <row r="1213" spans="1:10" x14ac:dyDescent="0.25">
      <c r="A1213">
        <v>1212</v>
      </c>
      <c r="B1213" s="1">
        <v>45558</v>
      </c>
      <c r="C1213" t="s">
        <v>14</v>
      </c>
      <c r="D1213" t="s">
        <v>11</v>
      </c>
      <c r="E1213">
        <v>176</v>
      </c>
      <c r="F1213">
        <v>27</v>
      </c>
      <c r="G1213">
        <v>5.5</v>
      </c>
      <c r="H1213" t="s">
        <v>12</v>
      </c>
      <c r="I1213" t="s">
        <v>16</v>
      </c>
      <c r="J1213" t="s">
        <v>11</v>
      </c>
    </row>
    <row r="1214" spans="1:10" x14ac:dyDescent="0.25">
      <c r="A1214">
        <v>1213</v>
      </c>
      <c r="B1214" s="1">
        <v>45461</v>
      </c>
      <c r="C1214" t="s">
        <v>23</v>
      </c>
      <c r="D1214" t="s">
        <v>11</v>
      </c>
      <c r="E1214">
        <v>202</v>
      </c>
      <c r="F1214">
        <v>3</v>
      </c>
      <c r="G1214">
        <v>8.4</v>
      </c>
      <c r="H1214" t="s">
        <v>12</v>
      </c>
      <c r="I1214" t="s">
        <v>16</v>
      </c>
      <c r="J1214" t="s">
        <v>15</v>
      </c>
    </row>
    <row r="1215" spans="1:10" x14ac:dyDescent="0.25">
      <c r="A1215">
        <v>1214</v>
      </c>
      <c r="B1215" s="1">
        <v>45371</v>
      </c>
      <c r="C1215" t="s">
        <v>21</v>
      </c>
      <c r="D1215" t="s">
        <v>20</v>
      </c>
      <c r="E1215">
        <v>212</v>
      </c>
      <c r="F1215">
        <v>5</v>
      </c>
      <c r="G1215">
        <v>9.3000000000000007</v>
      </c>
      <c r="H1215" t="s">
        <v>18</v>
      </c>
      <c r="I1215" t="s">
        <v>19</v>
      </c>
      <c r="J1215" t="s">
        <v>15</v>
      </c>
    </row>
    <row r="1216" spans="1:10" x14ac:dyDescent="0.25">
      <c r="A1216">
        <v>1215</v>
      </c>
      <c r="B1216" s="1">
        <v>45376</v>
      </c>
      <c r="C1216" t="s">
        <v>14</v>
      </c>
      <c r="D1216" t="s">
        <v>17</v>
      </c>
      <c r="E1216">
        <v>23</v>
      </c>
      <c r="F1216">
        <v>42</v>
      </c>
      <c r="G1216">
        <v>3.1</v>
      </c>
      <c r="H1216" t="s">
        <v>12</v>
      </c>
      <c r="I1216" t="s">
        <v>16</v>
      </c>
      <c r="J1216" t="s">
        <v>11</v>
      </c>
    </row>
    <row r="1217" spans="1:10" x14ac:dyDescent="0.25">
      <c r="A1217">
        <v>1216</v>
      </c>
      <c r="B1217" s="1">
        <v>45432</v>
      </c>
      <c r="C1217" t="s">
        <v>23</v>
      </c>
      <c r="D1217" t="s">
        <v>17</v>
      </c>
      <c r="E1217">
        <v>35</v>
      </c>
      <c r="F1217">
        <v>45</v>
      </c>
      <c r="G1217">
        <v>4.5999999999999996</v>
      </c>
      <c r="H1217" t="s">
        <v>12</v>
      </c>
      <c r="I1217" t="s">
        <v>16</v>
      </c>
      <c r="J1217" t="s">
        <v>11</v>
      </c>
    </row>
    <row r="1218" spans="1:10" x14ac:dyDescent="0.25">
      <c r="A1218">
        <v>1217</v>
      </c>
      <c r="B1218" s="1">
        <v>45654</v>
      </c>
      <c r="C1218" t="s">
        <v>14</v>
      </c>
      <c r="D1218" t="s">
        <v>20</v>
      </c>
      <c r="E1218">
        <v>64</v>
      </c>
      <c r="F1218">
        <v>48</v>
      </c>
      <c r="G1218">
        <v>7.8</v>
      </c>
      <c r="H1218" t="s">
        <v>18</v>
      </c>
      <c r="I1218" t="s">
        <v>16</v>
      </c>
      <c r="J1218" t="s">
        <v>11</v>
      </c>
    </row>
    <row r="1219" spans="1:10" x14ac:dyDescent="0.25">
      <c r="A1219">
        <v>1218</v>
      </c>
      <c r="B1219" s="1">
        <v>45371</v>
      </c>
      <c r="C1219" t="s">
        <v>22</v>
      </c>
      <c r="D1219" t="s">
        <v>15</v>
      </c>
      <c r="E1219">
        <v>168</v>
      </c>
      <c r="F1219">
        <v>1</v>
      </c>
      <c r="G1219">
        <v>1</v>
      </c>
      <c r="H1219" t="s">
        <v>12</v>
      </c>
      <c r="I1219" t="s">
        <v>19</v>
      </c>
      <c r="J1219" t="s">
        <v>15</v>
      </c>
    </row>
    <row r="1220" spans="1:10" x14ac:dyDescent="0.25">
      <c r="A1220">
        <v>1219</v>
      </c>
      <c r="B1220" s="1">
        <v>45479</v>
      </c>
      <c r="C1220" t="s">
        <v>22</v>
      </c>
      <c r="D1220" t="s">
        <v>11</v>
      </c>
      <c r="E1220">
        <v>142</v>
      </c>
      <c r="F1220">
        <v>26</v>
      </c>
      <c r="G1220">
        <v>0.6</v>
      </c>
      <c r="H1220" t="s">
        <v>18</v>
      </c>
      <c r="I1220" t="s">
        <v>19</v>
      </c>
      <c r="J1220" t="s">
        <v>11</v>
      </c>
    </row>
    <row r="1221" spans="1:10" x14ac:dyDescent="0.25">
      <c r="A1221">
        <v>1220</v>
      </c>
      <c r="B1221" s="1">
        <v>45439</v>
      </c>
      <c r="C1221" t="s">
        <v>22</v>
      </c>
      <c r="D1221" t="s">
        <v>15</v>
      </c>
      <c r="E1221">
        <v>209</v>
      </c>
      <c r="F1221">
        <v>13</v>
      </c>
      <c r="G1221">
        <v>5.8</v>
      </c>
      <c r="H1221" t="s">
        <v>12</v>
      </c>
      <c r="I1221" t="s">
        <v>16</v>
      </c>
      <c r="J1221" t="s">
        <v>11</v>
      </c>
    </row>
    <row r="1222" spans="1:10" x14ac:dyDescent="0.25">
      <c r="A1222">
        <v>1221</v>
      </c>
      <c r="B1222" s="1">
        <v>45507</v>
      </c>
      <c r="C1222" t="s">
        <v>21</v>
      </c>
      <c r="D1222" t="s">
        <v>11</v>
      </c>
      <c r="E1222">
        <v>88</v>
      </c>
      <c r="F1222">
        <v>9</v>
      </c>
      <c r="G1222">
        <v>1.8</v>
      </c>
      <c r="H1222" t="s">
        <v>18</v>
      </c>
      <c r="I1222" t="s">
        <v>19</v>
      </c>
      <c r="J1222" t="s">
        <v>11</v>
      </c>
    </row>
    <row r="1223" spans="1:10" x14ac:dyDescent="0.25">
      <c r="A1223">
        <v>1222</v>
      </c>
      <c r="B1223" s="1">
        <v>45429</v>
      </c>
      <c r="C1223" t="s">
        <v>23</v>
      </c>
      <c r="D1223" t="s">
        <v>15</v>
      </c>
      <c r="E1223">
        <v>169</v>
      </c>
      <c r="F1223">
        <v>40</v>
      </c>
      <c r="G1223">
        <v>6.2</v>
      </c>
      <c r="H1223" t="s">
        <v>18</v>
      </c>
      <c r="I1223" t="s">
        <v>13</v>
      </c>
      <c r="J1223" t="s">
        <v>15</v>
      </c>
    </row>
    <row r="1224" spans="1:10" x14ac:dyDescent="0.25">
      <c r="A1224">
        <v>1223</v>
      </c>
      <c r="B1224" s="1">
        <v>45383</v>
      </c>
      <c r="C1224" t="s">
        <v>23</v>
      </c>
      <c r="D1224" t="s">
        <v>20</v>
      </c>
      <c r="E1224">
        <v>151</v>
      </c>
      <c r="F1224">
        <v>19</v>
      </c>
      <c r="G1224">
        <v>5.5</v>
      </c>
      <c r="H1224" t="s">
        <v>12</v>
      </c>
      <c r="I1224" t="s">
        <v>13</v>
      </c>
      <c r="J1224" t="s">
        <v>11</v>
      </c>
    </row>
    <row r="1225" spans="1:10" x14ac:dyDescent="0.25">
      <c r="A1225">
        <v>1224</v>
      </c>
      <c r="B1225" s="1">
        <v>45461</v>
      </c>
      <c r="C1225" t="s">
        <v>21</v>
      </c>
      <c r="D1225" t="s">
        <v>15</v>
      </c>
      <c r="E1225">
        <v>102</v>
      </c>
      <c r="F1225">
        <v>53</v>
      </c>
      <c r="G1225">
        <v>8.3000000000000007</v>
      </c>
      <c r="H1225" t="s">
        <v>12</v>
      </c>
      <c r="I1225" t="s">
        <v>16</v>
      </c>
      <c r="J1225" t="s">
        <v>11</v>
      </c>
    </row>
    <row r="1226" spans="1:10" x14ac:dyDescent="0.25">
      <c r="A1226">
        <v>1225</v>
      </c>
      <c r="B1226" s="1">
        <v>45322</v>
      </c>
      <c r="C1226" t="s">
        <v>21</v>
      </c>
      <c r="D1226" t="s">
        <v>20</v>
      </c>
      <c r="E1226">
        <v>126</v>
      </c>
      <c r="F1226">
        <v>1</v>
      </c>
      <c r="G1226">
        <v>2.6</v>
      </c>
      <c r="H1226" t="s">
        <v>18</v>
      </c>
      <c r="I1226" t="s">
        <v>19</v>
      </c>
      <c r="J1226" t="s">
        <v>15</v>
      </c>
    </row>
    <row r="1227" spans="1:10" x14ac:dyDescent="0.25">
      <c r="A1227">
        <v>1226</v>
      </c>
      <c r="B1227" s="1">
        <v>45523</v>
      </c>
      <c r="C1227" t="s">
        <v>21</v>
      </c>
      <c r="D1227" t="s">
        <v>20</v>
      </c>
      <c r="E1227">
        <v>24</v>
      </c>
      <c r="F1227">
        <v>47</v>
      </c>
      <c r="G1227">
        <v>3.9</v>
      </c>
      <c r="H1227" t="s">
        <v>18</v>
      </c>
      <c r="I1227" t="s">
        <v>16</v>
      </c>
      <c r="J1227" t="s">
        <v>15</v>
      </c>
    </row>
    <row r="1228" spans="1:10" x14ac:dyDescent="0.25">
      <c r="A1228">
        <v>1227</v>
      </c>
      <c r="B1228" s="1">
        <v>45631</v>
      </c>
      <c r="C1228" t="s">
        <v>23</v>
      </c>
      <c r="D1228" t="s">
        <v>15</v>
      </c>
      <c r="E1228">
        <v>48</v>
      </c>
      <c r="F1228">
        <v>18</v>
      </c>
      <c r="G1228">
        <v>6</v>
      </c>
      <c r="H1228" t="s">
        <v>12</v>
      </c>
      <c r="I1228" t="s">
        <v>13</v>
      </c>
      <c r="J1228" t="s">
        <v>11</v>
      </c>
    </row>
    <row r="1229" spans="1:10" x14ac:dyDescent="0.25">
      <c r="A1229">
        <v>1228</v>
      </c>
      <c r="B1229" s="1">
        <v>45395</v>
      </c>
      <c r="C1229" t="s">
        <v>22</v>
      </c>
      <c r="D1229" t="s">
        <v>17</v>
      </c>
      <c r="E1229">
        <v>83</v>
      </c>
      <c r="F1229">
        <v>66</v>
      </c>
      <c r="G1229">
        <v>7.4</v>
      </c>
      <c r="H1229" t="s">
        <v>18</v>
      </c>
      <c r="I1229" t="s">
        <v>19</v>
      </c>
      <c r="J1229" t="s">
        <v>11</v>
      </c>
    </row>
    <row r="1230" spans="1:10" x14ac:dyDescent="0.25">
      <c r="A1230">
        <v>1229</v>
      </c>
      <c r="B1230" s="1">
        <v>45584</v>
      </c>
      <c r="C1230" t="s">
        <v>22</v>
      </c>
      <c r="D1230" t="s">
        <v>15</v>
      </c>
      <c r="E1230">
        <v>161</v>
      </c>
      <c r="F1230">
        <v>11</v>
      </c>
      <c r="G1230">
        <v>6.9</v>
      </c>
      <c r="H1230" t="s">
        <v>12</v>
      </c>
      <c r="I1230" t="s">
        <v>19</v>
      </c>
      <c r="J1230" t="s">
        <v>11</v>
      </c>
    </row>
    <row r="1231" spans="1:10" x14ac:dyDescent="0.25">
      <c r="A1231">
        <v>1230</v>
      </c>
      <c r="B1231" s="1">
        <v>45471</v>
      </c>
      <c r="C1231" t="s">
        <v>22</v>
      </c>
      <c r="D1231" t="s">
        <v>20</v>
      </c>
      <c r="E1231">
        <v>136</v>
      </c>
      <c r="F1231">
        <v>55</v>
      </c>
      <c r="G1231">
        <v>8</v>
      </c>
      <c r="H1231" t="s">
        <v>12</v>
      </c>
      <c r="I1231" t="s">
        <v>13</v>
      </c>
      <c r="J1231" t="s">
        <v>11</v>
      </c>
    </row>
    <row r="1232" spans="1:10" x14ac:dyDescent="0.25">
      <c r="A1232">
        <v>1231</v>
      </c>
      <c r="B1232" s="1">
        <v>45449</v>
      </c>
      <c r="C1232" t="s">
        <v>14</v>
      </c>
      <c r="D1232" t="s">
        <v>20</v>
      </c>
      <c r="E1232">
        <v>112</v>
      </c>
      <c r="F1232">
        <v>39</v>
      </c>
      <c r="G1232">
        <v>4.5999999999999996</v>
      </c>
      <c r="H1232" t="s">
        <v>18</v>
      </c>
      <c r="I1232" t="s">
        <v>13</v>
      </c>
      <c r="J1232" t="s">
        <v>11</v>
      </c>
    </row>
    <row r="1233" spans="1:10" x14ac:dyDescent="0.25">
      <c r="A1233">
        <v>1232</v>
      </c>
      <c r="B1233" s="1">
        <v>45465</v>
      </c>
      <c r="C1233" t="s">
        <v>22</v>
      </c>
      <c r="D1233" t="s">
        <v>17</v>
      </c>
      <c r="E1233">
        <v>125</v>
      </c>
      <c r="F1233">
        <v>37</v>
      </c>
      <c r="G1233">
        <v>9.6999999999999993</v>
      </c>
      <c r="H1233" t="s">
        <v>18</v>
      </c>
      <c r="I1233" t="s">
        <v>16</v>
      </c>
      <c r="J1233" t="s">
        <v>11</v>
      </c>
    </row>
    <row r="1234" spans="1:10" x14ac:dyDescent="0.25">
      <c r="A1234">
        <v>1233</v>
      </c>
      <c r="B1234" s="1">
        <v>45543</v>
      </c>
      <c r="C1234" t="s">
        <v>21</v>
      </c>
      <c r="D1234" t="s">
        <v>15</v>
      </c>
      <c r="E1234">
        <v>8</v>
      </c>
      <c r="F1234">
        <v>72</v>
      </c>
      <c r="G1234">
        <v>7.8</v>
      </c>
      <c r="H1234" t="s">
        <v>18</v>
      </c>
      <c r="I1234" t="s">
        <v>13</v>
      </c>
      <c r="J1234" t="s">
        <v>20</v>
      </c>
    </row>
    <row r="1235" spans="1:10" x14ac:dyDescent="0.25">
      <c r="A1235">
        <v>1234</v>
      </c>
      <c r="B1235" s="1">
        <v>45466</v>
      </c>
      <c r="C1235" t="s">
        <v>14</v>
      </c>
      <c r="D1235" t="s">
        <v>15</v>
      </c>
      <c r="E1235">
        <v>77</v>
      </c>
      <c r="F1235">
        <v>52</v>
      </c>
      <c r="G1235">
        <v>6.1</v>
      </c>
      <c r="H1235" t="s">
        <v>18</v>
      </c>
      <c r="I1235" t="s">
        <v>13</v>
      </c>
      <c r="J1235" t="s">
        <v>15</v>
      </c>
    </row>
    <row r="1236" spans="1:10" x14ac:dyDescent="0.25">
      <c r="A1236">
        <v>1235</v>
      </c>
      <c r="B1236" s="1">
        <v>45634</v>
      </c>
      <c r="C1236" t="s">
        <v>22</v>
      </c>
      <c r="D1236" t="s">
        <v>11</v>
      </c>
      <c r="E1236">
        <v>98</v>
      </c>
      <c r="F1236">
        <v>27</v>
      </c>
      <c r="G1236">
        <v>3.6</v>
      </c>
      <c r="H1236" t="s">
        <v>18</v>
      </c>
      <c r="I1236" t="s">
        <v>16</v>
      </c>
      <c r="J1236" t="s">
        <v>11</v>
      </c>
    </row>
    <row r="1237" spans="1:10" x14ac:dyDescent="0.25">
      <c r="A1237">
        <v>1236</v>
      </c>
      <c r="B1237" s="1">
        <v>45296</v>
      </c>
      <c r="C1237" t="s">
        <v>23</v>
      </c>
      <c r="D1237" t="s">
        <v>11</v>
      </c>
      <c r="E1237">
        <v>124</v>
      </c>
      <c r="F1237">
        <v>63</v>
      </c>
      <c r="G1237">
        <v>8</v>
      </c>
      <c r="H1237" t="s">
        <v>18</v>
      </c>
      <c r="I1237" t="s">
        <v>13</v>
      </c>
      <c r="J1237" t="s">
        <v>15</v>
      </c>
    </row>
    <row r="1238" spans="1:10" x14ac:dyDescent="0.25">
      <c r="A1238">
        <v>1237</v>
      </c>
      <c r="B1238" s="1">
        <v>45501</v>
      </c>
      <c r="C1238" t="s">
        <v>23</v>
      </c>
      <c r="D1238" t="s">
        <v>11</v>
      </c>
      <c r="E1238">
        <v>7</v>
      </c>
      <c r="F1238">
        <v>9</v>
      </c>
      <c r="G1238">
        <v>3.7</v>
      </c>
      <c r="H1238" t="s">
        <v>18</v>
      </c>
      <c r="I1238" t="s">
        <v>13</v>
      </c>
      <c r="J1238" t="s">
        <v>15</v>
      </c>
    </row>
    <row r="1239" spans="1:10" x14ac:dyDescent="0.25">
      <c r="A1239">
        <v>1238</v>
      </c>
      <c r="B1239" s="1">
        <v>45631</v>
      </c>
      <c r="C1239" t="s">
        <v>21</v>
      </c>
      <c r="D1239" t="s">
        <v>17</v>
      </c>
      <c r="E1239">
        <v>131</v>
      </c>
      <c r="F1239">
        <v>47</v>
      </c>
      <c r="G1239">
        <v>4.5999999999999996</v>
      </c>
      <c r="H1239" t="s">
        <v>18</v>
      </c>
      <c r="I1239" t="s">
        <v>13</v>
      </c>
      <c r="J1239" t="s">
        <v>11</v>
      </c>
    </row>
    <row r="1240" spans="1:10" x14ac:dyDescent="0.25">
      <c r="A1240">
        <v>1239</v>
      </c>
      <c r="B1240" s="1">
        <v>45356</v>
      </c>
      <c r="C1240" t="s">
        <v>10</v>
      </c>
      <c r="D1240" t="s">
        <v>20</v>
      </c>
      <c r="E1240">
        <v>136</v>
      </c>
      <c r="F1240">
        <v>67</v>
      </c>
      <c r="G1240">
        <v>8.3000000000000007</v>
      </c>
      <c r="H1240" t="s">
        <v>12</v>
      </c>
      <c r="I1240" t="s">
        <v>13</v>
      </c>
      <c r="J1240" t="s">
        <v>11</v>
      </c>
    </row>
    <row r="1241" spans="1:10" x14ac:dyDescent="0.25">
      <c r="A1241">
        <v>1240</v>
      </c>
      <c r="B1241" s="1">
        <v>45640</v>
      </c>
      <c r="C1241" t="s">
        <v>22</v>
      </c>
      <c r="D1241" t="s">
        <v>15</v>
      </c>
      <c r="E1241">
        <v>239</v>
      </c>
      <c r="F1241">
        <v>11</v>
      </c>
      <c r="G1241">
        <v>6.6</v>
      </c>
      <c r="H1241" t="s">
        <v>18</v>
      </c>
      <c r="I1241" t="s">
        <v>19</v>
      </c>
      <c r="J1241" t="s">
        <v>15</v>
      </c>
    </row>
    <row r="1242" spans="1:10" x14ac:dyDescent="0.25">
      <c r="A1242">
        <v>1241</v>
      </c>
      <c r="B1242" s="1">
        <v>45297</v>
      </c>
      <c r="C1242" t="s">
        <v>10</v>
      </c>
      <c r="D1242" t="s">
        <v>17</v>
      </c>
      <c r="E1242">
        <v>184</v>
      </c>
      <c r="F1242">
        <v>46</v>
      </c>
      <c r="G1242">
        <v>6</v>
      </c>
      <c r="H1242" t="s">
        <v>12</v>
      </c>
      <c r="I1242" t="s">
        <v>19</v>
      </c>
      <c r="J1242" t="s">
        <v>11</v>
      </c>
    </row>
    <row r="1243" spans="1:10" x14ac:dyDescent="0.25">
      <c r="A1243">
        <v>1242</v>
      </c>
      <c r="B1243" s="1">
        <v>45309</v>
      </c>
      <c r="C1243" t="s">
        <v>21</v>
      </c>
      <c r="D1243" t="s">
        <v>11</v>
      </c>
      <c r="E1243">
        <v>218</v>
      </c>
      <c r="F1243">
        <v>2</v>
      </c>
      <c r="G1243">
        <v>3.5</v>
      </c>
      <c r="H1243" t="s">
        <v>12</v>
      </c>
      <c r="I1243" t="s">
        <v>13</v>
      </c>
      <c r="J1243" t="s">
        <v>15</v>
      </c>
    </row>
    <row r="1244" spans="1:10" x14ac:dyDescent="0.25">
      <c r="A1244">
        <v>1243</v>
      </c>
      <c r="B1244" s="1">
        <v>45596</v>
      </c>
      <c r="C1244" t="s">
        <v>14</v>
      </c>
      <c r="D1244" t="s">
        <v>11</v>
      </c>
      <c r="E1244">
        <v>60</v>
      </c>
      <c r="F1244">
        <v>26</v>
      </c>
      <c r="G1244">
        <v>3.6</v>
      </c>
      <c r="H1244" t="s">
        <v>12</v>
      </c>
      <c r="I1244" t="s">
        <v>13</v>
      </c>
      <c r="J1244" t="s">
        <v>11</v>
      </c>
    </row>
    <row r="1245" spans="1:10" x14ac:dyDescent="0.25">
      <c r="A1245">
        <v>1244</v>
      </c>
      <c r="B1245" s="1">
        <v>45307</v>
      </c>
      <c r="C1245" t="s">
        <v>14</v>
      </c>
      <c r="D1245" t="s">
        <v>15</v>
      </c>
      <c r="E1245">
        <v>69</v>
      </c>
      <c r="F1245">
        <v>57</v>
      </c>
      <c r="G1245">
        <v>2.6</v>
      </c>
      <c r="H1245" t="s">
        <v>12</v>
      </c>
      <c r="I1245" t="s">
        <v>16</v>
      </c>
      <c r="J1245" t="s">
        <v>11</v>
      </c>
    </row>
    <row r="1246" spans="1:10" x14ac:dyDescent="0.25">
      <c r="A1246">
        <v>1245</v>
      </c>
      <c r="B1246" s="1">
        <v>45549</v>
      </c>
      <c r="C1246" t="s">
        <v>14</v>
      </c>
      <c r="D1246" t="s">
        <v>15</v>
      </c>
      <c r="E1246">
        <v>188</v>
      </c>
      <c r="F1246">
        <v>50</v>
      </c>
      <c r="G1246">
        <v>7.6</v>
      </c>
      <c r="H1246" t="s">
        <v>18</v>
      </c>
      <c r="I1246" t="s">
        <v>13</v>
      </c>
      <c r="J1246" t="s">
        <v>15</v>
      </c>
    </row>
    <row r="1247" spans="1:10" x14ac:dyDescent="0.25">
      <c r="A1247">
        <v>1246</v>
      </c>
      <c r="B1247" s="1">
        <v>45431</v>
      </c>
      <c r="C1247" t="s">
        <v>10</v>
      </c>
      <c r="D1247" t="s">
        <v>11</v>
      </c>
      <c r="E1247">
        <v>86</v>
      </c>
      <c r="F1247">
        <v>19</v>
      </c>
      <c r="G1247">
        <v>2.2999999999999998</v>
      </c>
      <c r="H1247" t="s">
        <v>12</v>
      </c>
      <c r="I1247" t="s">
        <v>13</v>
      </c>
      <c r="J1247" t="s">
        <v>11</v>
      </c>
    </row>
    <row r="1248" spans="1:10" x14ac:dyDescent="0.25">
      <c r="A1248">
        <v>1247</v>
      </c>
      <c r="B1248" s="1">
        <v>45559</v>
      </c>
      <c r="C1248" t="s">
        <v>23</v>
      </c>
      <c r="D1248" t="s">
        <v>20</v>
      </c>
      <c r="E1248">
        <v>49</v>
      </c>
      <c r="F1248">
        <v>31</v>
      </c>
      <c r="G1248">
        <v>4.3</v>
      </c>
      <c r="H1248" t="s">
        <v>18</v>
      </c>
      <c r="I1248" t="s">
        <v>16</v>
      </c>
      <c r="J1248" t="s">
        <v>11</v>
      </c>
    </row>
    <row r="1249" spans="1:10" x14ac:dyDescent="0.25">
      <c r="A1249">
        <v>1248</v>
      </c>
      <c r="B1249" s="1">
        <v>45439</v>
      </c>
      <c r="C1249" t="s">
        <v>21</v>
      </c>
      <c r="D1249" t="s">
        <v>17</v>
      </c>
      <c r="E1249">
        <v>134</v>
      </c>
      <c r="F1249">
        <v>22</v>
      </c>
      <c r="G1249">
        <v>4</v>
      </c>
      <c r="H1249" t="s">
        <v>18</v>
      </c>
      <c r="I1249" t="s">
        <v>16</v>
      </c>
      <c r="J1249" t="s">
        <v>11</v>
      </c>
    </row>
    <row r="1250" spans="1:10" x14ac:dyDescent="0.25">
      <c r="A1250">
        <v>1249</v>
      </c>
      <c r="B1250" s="1">
        <v>45453</v>
      </c>
      <c r="C1250" t="s">
        <v>22</v>
      </c>
      <c r="D1250" t="s">
        <v>15</v>
      </c>
      <c r="E1250">
        <v>230</v>
      </c>
      <c r="F1250">
        <v>65</v>
      </c>
      <c r="G1250">
        <v>5.8</v>
      </c>
      <c r="H1250" t="s">
        <v>12</v>
      </c>
      <c r="I1250" t="s">
        <v>13</v>
      </c>
      <c r="J1250" t="s">
        <v>11</v>
      </c>
    </row>
    <row r="1251" spans="1:10" x14ac:dyDescent="0.25">
      <c r="A1251">
        <v>1250</v>
      </c>
      <c r="B1251" s="1">
        <v>45415</v>
      </c>
      <c r="C1251" t="s">
        <v>14</v>
      </c>
      <c r="D1251" t="s">
        <v>15</v>
      </c>
      <c r="E1251">
        <v>132</v>
      </c>
      <c r="F1251">
        <v>12</v>
      </c>
      <c r="G1251">
        <v>1.5</v>
      </c>
      <c r="H1251" t="s">
        <v>12</v>
      </c>
      <c r="I1251" t="s">
        <v>19</v>
      </c>
      <c r="J1251" t="s">
        <v>11</v>
      </c>
    </row>
    <row r="1252" spans="1:10" x14ac:dyDescent="0.25">
      <c r="A1252">
        <v>1251</v>
      </c>
      <c r="B1252" s="1">
        <v>45608</v>
      </c>
      <c r="C1252" t="s">
        <v>22</v>
      </c>
      <c r="D1252" t="s">
        <v>15</v>
      </c>
      <c r="E1252">
        <v>202</v>
      </c>
      <c r="F1252">
        <v>37</v>
      </c>
      <c r="G1252">
        <v>4.5999999999999996</v>
      </c>
      <c r="H1252" t="s">
        <v>12</v>
      </c>
      <c r="I1252" t="s">
        <v>19</v>
      </c>
      <c r="J1252" t="s">
        <v>11</v>
      </c>
    </row>
    <row r="1253" spans="1:10" x14ac:dyDescent="0.25">
      <c r="A1253">
        <v>1252</v>
      </c>
      <c r="B1253" s="1">
        <v>45292</v>
      </c>
      <c r="C1253" t="s">
        <v>22</v>
      </c>
      <c r="D1253" t="s">
        <v>11</v>
      </c>
      <c r="E1253">
        <v>50</v>
      </c>
      <c r="F1253">
        <v>67</v>
      </c>
      <c r="G1253">
        <v>2.2000000000000002</v>
      </c>
      <c r="H1253" t="s">
        <v>12</v>
      </c>
      <c r="I1253" t="s">
        <v>13</v>
      </c>
      <c r="J1253" t="s">
        <v>11</v>
      </c>
    </row>
    <row r="1254" spans="1:10" x14ac:dyDescent="0.25">
      <c r="A1254">
        <v>1253</v>
      </c>
      <c r="B1254" s="1">
        <v>45416</v>
      </c>
      <c r="C1254" t="s">
        <v>21</v>
      </c>
      <c r="D1254" t="s">
        <v>15</v>
      </c>
      <c r="E1254">
        <v>89</v>
      </c>
      <c r="F1254">
        <v>18</v>
      </c>
      <c r="G1254">
        <v>0.9</v>
      </c>
      <c r="H1254" t="s">
        <v>18</v>
      </c>
      <c r="I1254" t="s">
        <v>13</v>
      </c>
      <c r="J1254" t="s">
        <v>11</v>
      </c>
    </row>
    <row r="1255" spans="1:10" x14ac:dyDescent="0.25">
      <c r="A1255">
        <v>1254</v>
      </c>
      <c r="B1255" s="1">
        <v>45358</v>
      </c>
      <c r="C1255" t="s">
        <v>21</v>
      </c>
      <c r="D1255" t="s">
        <v>20</v>
      </c>
      <c r="E1255">
        <v>206</v>
      </c>
      <c r="F1255">
        <v>25</v>
      </c>
      <c r="G1255">
        <v>4.3</v>
      </c>
      <c r="H1255" t="s">
        <v>12</v>
      </c>
      <c r="I1255" t="s">
        <v>19</v>
      </c>
      <c r="J1255" t="s">
        <v>11</v>
      </c>
    </row>
    <row r="1256" spans="1:10" x14ac:dyDescent="0.25">
      <c r="A1256">
        <v>1255</v>
      </c>
      <c r="B1256" s="1">
        <v>45623</v>
      </c>
      <c r="C1256" t="s">
        <v>23</v>
      </c>
      <c r="D1256" t="s">
        <v>17</v>
      </c>
      <c r="E1256">
        <v>62</v>
      </c>
      <c r="F1256">
        <v>52</v>
      </c>
      <c r="G1256">
        <v>4.7</v>
      </c>
      <c r="H1256" t="s">
        <v>18</v>
      </c>
      <c r="I1256" t="s">
        <v>19</v>
      </c>
      <c r="J1256" t="s">
        <v>11</v>
      </c>
    </row>
    <row r="1257" spans="1:10" x14ac:dyDescent="0.25">
      <c r="A1257">
        <v>1256</v>
      </c>
      <c r="B1257" s="1">
        <v>45318</v>
      </c>
      <c r="C1257" t="s">
        <v>22</v>
      </c>
      <c r="D1257" t="s">
        <v>11</v>
      </c>
      <c r="E1257">
        <v>155</v>
      </c>
      <c r="F1257">
        <v>51</v>
      </c>
      <c r="G1257">
        <v>1.1000000000000001</v>
      </c>
      <c r="H1257" t="s">
        <v>18</v>
      </c>
      <c r="I1257" t="s">
        <v>19</v>
      </c>
      <c r="J1257" t="s">
        <v>11</v>
      </c>
    </row>
    <row r="1258" spans="1:10" x14ac:dyDescent="0.25">
      <c r="A1258">
        <v>1257</v>
      </c>
      <c r="B1258" s="1">
        <v>45534</v>
      </c>
      <c r="C1258" t="s">
        <v>14</v>
      </c>
      <c r="D1258" t="s">
        <v>17</v>
      </c>
      <c r="E1258">
        <v>215</v>
      </c>
      <c r="F1258">
        <v>32</v>
      </c>
      <c r="G1258">
        <v>4.9000000000000004</v>
      </c>
      <c r="H1258" t="s">
        <v>18</v>
      </c>
      <c r="I1258" t="s">
        <v>16</v>
      </c>
      <c r="J1258" t="s">
        <v>11</v>
      </c>
    </row>
    <row r="1259" spans="1:10" x14ac:dyDescent="0.25">
      <c r="A1259">
        <v>1258</v>
      </c>
      <c r="B1259" s="1">
        <v>45628</v>
      </c>
      <c r="C1259" t="s">
        <v>21</v>
      </c>
      <c r="D1259" t="s">
        <v>17</v>
      </c>
      <c r="E1259">
        <v>119</v>
      </c>
      <c r="F1259">
        <v>35</v>
      </c>
      <c r="G1259">
        <v>9.4</v>
      </c>
      <c r="H1259" t="s">
        <v>18</v>
      </c>
      <c r="I1259" t="s">
        <v>16</v>
      </c>
      <c r="J1259" t="s">
        <v>11</v>
      </c>
    </row>
    <row r="1260" spans="1:10" x14ac:dyDescent="0.25">
      <c r="A1260">
        <v>1259</v>
      </c>
      <c r="B1260" s="1">
        <v>45555</v>
      </c>
      <c r="C1260" t="s">
        <v>10</v>
      </c>
      <c r="D1260" t="s">
        <v>11</v>
      </c>
      <c r="E1260">
        <v>35</v>
      </c>
      <c r="F1260">
        <v>72</v>
      </c>
      <c r="G1260">
        <v>5</v>
      </c>
      <c r="H1260" t="s">
        <v>18</v>
      </c>
      <c r="I1260" t="s">
        <v>19</v>
      </c>
      <c r="J1260" t="s">
        <v>15</v>
      </c>
    </row>
    <row r="1261" spans="1:10" x14ac:dyDescent="0.25">
      <c r="A1261">
        <v>1260</v>
      </c>
      <c r="B1261" s="1">
        <v>45517</v>
      </c>
      <c r="C1261" t="s">
        <v>21</v>
      </c>
      <c r="D1261" t="s">
        <v>15</v>
      </c>
      <c r="E1261">
        <v>87</v>
      </c>
      <c r="F1261">
        <v>71</v>
      </c>
      <c r="G1261">
        <v>6.7</v>
      </c>
      <c r="H1261" t="s">
        <v>12</v>
      </c>
      <c r="I1261" t="s">
        <v>16</v>
      </c>
      <c r="J1261" t="s">
        <v>11</v>
      </c>
    </row>
    <row r="1262" spans="1:10" x14ac:dyDescent="0.25">
      <c r="A1262">
        <v>1261</v>
      </c>
      <c r="B1262" s="1">
        <v>45408</v>
      </c>
      <c r="C1262" t="s">
        <v>21</v>
      </c>
      <c r="D1262" t="s">
        <v>15</v>
      </c>
      <c r="E1262">
        <v>72</v>
      </c>
      <c r="F1262">
        <v>50</v>
      </c>
      <c r="G1262">
        <v>6.1</v>
      </c>
      <c r="H1262" t="s">
        <v>18</v>
      </c>
      <c r="I1262" t="s">
        <v>19</v>
      </c>
      <c r="J1262" t="s">
        <v>15</v>
      </c>
    </row>
    <row r="1263" spans="1:10" x14ac:dyDescent="0.25">
      <c r="A1263">
        <v>1262</v>
      </c>
      <c r="B1263" s="1">
        <v>45461</v>
      </c>
      <c r="C1263" t="s">
        <v>21</v>
      </c>
      <c r="D1263" t="s">
        <v>11</v>
      </c>
      <c r="E1263">
        <v>201</v>
      </c>
      <c r="F1263">
        <v>66</v>
      </c>
      <c r="G1263">
        <v>1.3</v>
      </c>
      <c r="H1263" t="s">
        <v>18</v>
      </c>
      <c r="I1263" t="s">
        <v>16</v>
      </c>
      <c r="J1263" t="s">
        <v>11</v>
      </c>
    </row>
    <row r="1264" spans="1:10" x14ac:dyDescent="0.25">
      <c r="A1264">
        <v>1263</v>
      </c>
      <c r="B1264" s="1">
        <v>45575</v>
      </c>
      <c r="C1264" t="s">
        <v>22</v>
      </c>
      <c r="D1264" t="s">
        <v>11</v>
      </c>
      <c r="E1264">
        <v>42</v>
      </c>
      <c r="F1264">
        <v>4</v>
      </c>
      <c r="G1264">
        <v>9.9</v>
      </c>
      <c r="H1264" t="s">
        <v>12</v>
      </c>
      <c r="I1264" t="s">
        <v>13</v>
      </c>
      <c r="J1264" t="s">
        <v>15</v>
      </c>
    </row>
    <row r="1265" spans="1:10" x14ac:dyDescent="0.25">
      <c r="A1265">
        <v>1264</v>
      </c>
      <c r="B1265" s="1">
        <v>45369</v>
      </c>
      <c r="C1265" t="s">
        <v>21</v>
      </c>
      <c r="D1265" t="s">
        <v>20</v>
      </c>
      <c r="E1265">
        <v>146</v>
      </c>
      <c r="F1265">
        <v>57</v>
      </c>
      <c r="G1265">
        <v>4.5999999999999996</v>
      </c>
      <c r="H1265" t="s">
        <v>12</v>
      </c>
      <c r="I1265" t="s">
        <v>13</v>
      </c>
      <c r="J1265" t="s">
        <v>11</v>
      </c>
    </row>
    <row r="1266" spans="1:10" x14ac:dyDescent="0.25">
      <c r="A1266">
        <v>1265</v>
      </c>
      <c r="B1266" s="1">
        <v>45506</v>
      </c>
      <c r="C1266" t="s">
        <v>23</v>
      </c>
      <c r="D1266" t="s">
        <v>15</v>
      </c>
      <c r="E1266">
        <v>189</v>
      </c>
      <c r="F1266">
        <v>42</v>
      </c>
      <c r="G1266">
        <v>1.4</v>
      </c>
      <c r="H1266" t="s">
        <v>12</v>
      </c>
      <c r="I1266" t="s">
        <v>16</v>
      </c>
      <c r="J1266" t="s">
        <v>11</v>
      </c>
    </row>
    <row r="1267" spans="1:10" x14ac:dyDescent="0.25">
      <c r="A1267">
        <v>1266</v>
      </c>
      <c r="B1267" s="1">
        <v>45542</v>
      </c>
      <c r="C1267" t="s">
        <v>23</v>
      </c>
      <c r="D1267" t="s">
        <v>15</v>
      </c>
      <c r="E1267">
        <v>156</v>
      </c>
      <c r="F1267">
        <v>47</v>
      </c>
      <c r="G1267">
        <v>3.8</v>
      </c>
      <c r="H1267" t="s">
        <v>12</v>
      </c>
      <c r="I1267" t="s">
        <v>16</v>
      </c>
      <c r="J1267" t="s">
        <v>11</v>
      </c>
    </row>
    <row r="1268" spans="1:10" x14ac:dyDescent="0.25">
      <c r="A1268">
        <v>1267</v>
      </c>
      <c r="B1268" s="1">
        <v>45573</v>
      </c>
      <c r="C1268" t="s">
        <v>14</v>
      </c>
      <c r="D1268" t="s">
        <v>20</v>
      </c>
      <c r="E1268">
        <v>150</v>
      </c>
      <c r="F1268">
        <v>39</v>
      </c>
      <c r="G1268">
        <v>3</v>
      </c>
      <c r="H1268" t="s">
        <v>18</v>
      </c>
      <c r="I1268" t="s">
        <v>13</v>
      </c>
      <c r="J1268" t="s">
        <v>11</v>
      </c>
    </row>
    <row r="1269" spans="1:10" x14ac:dyDescent="0.25">
      <c r="A1269">
        <v>1268</v>
      </c>
      <c r="B1269" s="1">
        <v>45603</v>
      </c>
      <c r="C1269" t="s">
        <v>22</v>
      </c>
      <c r="D1269" t="s">
        <v>17</v>
      </c>
      <c r="E1269">
        <v>201</v>
      </c>
      <c r="F1269">
        <v>51</v>
      </c>
      <c r="G1269">
        <v>0.9</v>
      </c>
      <c r="H1269" t="s">
        <v>12</v>
      </c>
      <c r="I1269" t="s">
        <v>13</v>
      </c>
      <c r="J1269" t="s">
        <v>11</v>
      </c>
    </row>
    <row r="1270" spans="1:10" x14ac:dyDescent="0.25">
      <c r="A1270">
        <v>1269</v>
      </c>
      <c r="B1270" s="1">
        <v>45431</v>
      </c>
      <c r="C1270" t="s">
        <v>21</v>
      </c>
      <c r="D1270" t="s">
        <v>11</v>
      </c>
      <c r="E1270">
        <v>214</v>
      </c>
      <c r="F1270">
        <v>17</v>
      </c>
      <c r="G1270">
        <v>3.2</v>
      </c>
      <c r="H1270" t="s">
        <v>18</v>
      </c>
      <c r="I1270" t="s">
        <v>16</v>
      </c>
      <c r="J1270" t="s">
        <v>11</v>
      </c>
    </row>
    <row r="1271" spans="1:10" x14ac:dyDescent="0.25">
      <c r="A1271">
        <v>1270</v>
      </c>
      <c r="B1271" s="1">
        <v>45388</v>
      </c>
      <c r="C1271" t="s">
        <v>23</v>
      </c>
      <c r="D1271" t="s">
        <v>20</v>
      </c>
      <c r="E1271">
        <v>55</v>
      </c>
      <c r="F1271">
        <v>5</v>
      </c>
      <c r="G1271">
        <v>2.1</v>
      </c>
      <c r="H1271" t="s">
        <v>12</v>
      </c>
      <c r="I1271" t="s">
        <v>16</v>
      </c>
      <c r="J1271" t="s">
        <v>11</v>
      </c>
    </row>
    <row r="1272" spans="1:10" x14ac:dyDescent="0.25">
      <c r="A1272">
        <v>1271</v>
      </c>
      <c r="B1272" s="1">
        <v>45492</v>
      </c>
      <c r="C1272" t="s">
        <v>22</v>
      </c>
      <c r="D1272" t="s">
        <v>20</v>
      </c>
      <c r="E1272">
        <v>112</v>
      </c>
      <c r="F1272">
        <v>12</v>
      </c>
      <c r="G1272">
        <v>2.9</v>
      </c>
      <c r="H1272" t="s">
        <v>12</v>
      </c>
      <c r="I1272" t="s">
        <v>19</v>
      </c>
      <c r="J1272" t="s">
        <v>11</v>
      </c>
    </row>
    <row r="1273" spans="1:10" x14ac:dyDescent="0.25">
      <c r="A1273">
        <v>1272</v>
      </c>
      <c r="B1273" s="1">
        <v>45556</v>
      </c>
      <c r="C1273" t="s">
        <v>21</v>
      </c>
      <c r="D1273" t="s">
        <v>15</v>
      </c>
      <c r="E1273">
        <v>201</v>
      </c>
      <c r="F1273">
        <v>10</v>
      </c>
      <c r="G1273">
        <v>4.3</v>
      </c>
      <c r="H1273" t="s">
        <v>18</v>
      </c>
      <c r="I1273" t="s">
        <v>13</v>
      </c>
      <c r="J1273" t="s">
        <v>11</v>
      </c>
    </row>
    <row r="1274" spans="1:10" x14ac:dyDescent="0.25">
      <c r="A1274">
        <v>1273</v>
      </c>
      <c r="B1274" s="1">
        <v>45304</v>
      </c>
      <c r="C1274" t="s">
        <v>21</v>
      </c>
      <c r="D1274" t="s">
        <v>20</v>
      </c>
      <c r="E1274">
        <v>25</v>
      </c>
      <c r="F1274">
        <v>14</v>
      </c>
      <c r="G1274">
        <v>4.5999999999999996</v>
      </c>
      <c r="H1274" t="s">
        <v>18</v>
      </c>
      <c r="I1274" t="s">
        <v>16</v>
      </c>
      <c r="J1274" t="s">
        <v>15</v>
      </c>
    </row>
    <row r="1275" spans="1:10" x14ac:dyDescent="0.25">
      <c r="A1275">
        <v>1274</v>
      </c>
      <c r="B1275" s="1">
        <v>45511</v>
      </c>
      <c r="C1275" t="s">
        <v>23</v>
      </c>
      <c r="D1275" t="s">
        <v>11</v>
      </c>
      <c r="E1275">
        <v>134</v>
      </c>
      <c r="F1275">
        <v>33</v>
      </c>
      <c r="G1275">
        <v>0.7</v>
      </c>
      <c r="H1275" t="s">
        <v>12</v>
      </c>
      <c r="I1275" t="s">
        <v>13</v>
      </c>
      <c r="J1275" t="s">
        <v>11</v>
      </c>
    </row>
    <row r="1276" spans="1:10" x14ac:dyDescent="0.25">
      <c r="A1276">
        <v>1275</v>
      </c>
      <c r="B1276" s="1">
        <v>45639</v>
      </c>
      <c r="C1276" t="s">
        <v>22</v>
      </c>
      <c r="D1276" t="s">
        <v>17</v>
      </c>
      <c r="E1276">
        <v>80</v>
      </c>
      <c r="F1276">
        <v>36</v>
      </c>
      <c r="G1276">
        <v>4.8</v>
      </c>
      <c r="H1276" t="s">
        <v>18</v>
      </c>
      <c r="I1276" t="s">
        <v>19</v>
      </c>
      <c r="J1276" t="s">
        <v>11</v>
      </c>
    </row>
    <row r="1277" spans="1:10" x14ac:dyDescent="0.25">
      <c r="A1277">
        <v>1276</v>
      </c>
      <c r="B1277" s="1">
        <v>45492</v>
      </c>
      <c r="C1277" t="s">
        <v>21</v>
      </c>
      <c r="D1277" t="s">
        <v>17</v>
      </c>
      <c r="E1277">
        <v>123</v>
      </c>
      <c r="F1277">
        <v>61</v>
      </c>
      <c r="G1277">
        <v>0.8</v>
      </c>
      <c r="H1277" t="s">
        <v>12</v>
      </c>
      <c r="I1277" t="s">
        <v>16</v>
      </c>
      <c r="J1277" t="s">
        <v>11</v>
      </c>
    </row>
    <row r="1278" spans="1:10" x14ac:dyDescent="0.25">
      <c r="A1278">
        <v>1277</v>
      </c>
      <c r="B1278" s="1">
        <v>45353</v>
      </c>
      <c r="C1278" t="s">
        <v>14</v>
      </c>
      <c r="D1278" t="s">
        <v>11</v>
      </c>
      <c r="E1278">
        <v>174</v>
      </c>
      <c r="F1278">
        <v>57</v>
      </c>
      <c r="G1278">
        <v>6.4</v>
      </c>
      <c r="H1278" t="s">
        <v>12</v>
      </c>
      <c r="I1278" t="s">
        <v>13</v>
      </c>
      <c r="J1278" t="s">
        <v>11</v>
      </c>
    </row>
    <row r="1279" spans="1:10" x14ac:dyDescent="0.25">
      <c r="A1279">
        <v>1278</v>
      </c>
      <c r="B1279" s="1">
        <v>45507</v>
      </c>
      <c r="C1279" t="s">
        <v>21</v>
      </c>
      <c r="D1279" t="s">
        <v>15</v>
      </c>
      <c r="E1279">
        <v>93</v>
      </c>
      <c r="F1279">
        <v>13</v>
      </c>
      <c r="G1279">
        <v>2.5</v>
      </c>
      <c r="H1279" t="s">
        <v>12</v>
      </c>
      <c r="I1279" t="s">
        <v>13</v>
      </c>
      <c r="J1279" t="s">
        <v>11</v>
      </c>
    </row>
    <row r="1280" spans="1:10" x14ac:dyDescent="0.25">
      <c r="A1280">
        <v>1279</v>
      </c>
      <c r="B1280" s="1">
        <v>45633</v>
      </c>
      <c r="C1280" t="s">
        <v>14</v>
      </c>
      <c r="D1280" t="s">
        <v>11</v>
      </c>
      <c r="E1280">
        <v>197</v>
      </c>
      <c r="F1280">
        <v>63</v>
      </c>
      <c r="G1280">
        <v>5.8</v>
      </c>
      <c r="H1280" t="s">
        <v>18</v>
      </c>
      <c r="I1280" t="s">
        <v>13</v>
      </c>
      <c r="J1280" t="s">
        <v>15</v>
      </c>
    </row>
    <row r="1281" spans="1:10" x14ac:dyDescent="0.25">
      <c r="A1281">
        <v>1280</v>
      </c>
      <c r="B1281" s="1">
        <v>45347</v>
      </c>
      <c r="C1281" t="s">
        <v>22</v>
      </c>
      <c r="D1281" t="s">
        <v>20</v>
      </c>
      <c r="E1281">
        <v>80</v>
      </c>
      <c r="F1281">
        <v>61</v>
      </c>
      <c r="G1281">
        <v>2.4</v>
      </c>
      <c r="H1281" t="s">
        <v>18</v>
      </c>
      <c r="I1281" t="s">
        <v>19</v>
      </c>
      <c r="J1281" t="s">
        <v>11</v>
      </c>
    </row>
    <row r="1282" spans="1:10" x14ac:dyDescent="0.25">
      <c r="A1282">
        <v>1281</v>
      </c>
      <c r="B1282" s="1">
        <v>45598</v>
      </c>
      <c r="C1282" t="s">
        <v>22</v>
      </c>
      <c r="D1282" t="s">
        <v>11</v>
      </c>
      <c r="E1282">
        <v>185</v>
      </c>
      <c r="F1282">
        <v>46</v>
      </c>
      <c r="G1282">
        <v>0.7</v>
      </c>
      <c r="H1282" t="s">
        <v>12</v>
      </c>
      <c r="I1282" t="s">
        <v>19</v>
      </c>
      <c r="J1282" t="s">
        <v>11</v>
      </c>
    </row>
    <row r="1283" spans="1:10" x14ac:dyDescent="0.25">
      <c r="A1283">
        <v>1282</v>
      </c>
      <c r="B1283" s="1">
        <v>45378</v>
      </c>
      <c r="C1283" t="s">
        <v>10</v>
      </c>
      <c r="D1283" t="s">
        <v>11</v>
      </c>
      <c r="E1283">
        <v>35</v>
      </c>
      <c r="F1283">
        <v>15</v>
      </c>
      <c r="G1283">
        <v>2.8</v>
      </c>
      <c r="H1283" t="s">
        <v>12</v>
      </c>
      <c r="I1283" t="s">
        <v>19</v>
      </c>
      <c r="J1283" t="s">
        <v>11</v>
      </c>
    </row>
    <row r="1284" spans="1:10" x14ac:dyDescent="0.25">
      <c r="A1284">
        <v>1283</v>
      </c>
      <c r="B1284" s="1">
        <v>45556</v>
      </c>
      <c r="C1284" t="s">
        <v>22</v>
      </c>
      <c r="D1284" t="s">
        <v>17</v>
      </c>
      <c r="E1284">
        <v>35</v>
      </c>
      <c r="F1284">
        <v>4</v>
      </c>
      <c r="G1284">
        <v>4.5999999999999996</v>
      </c>
      <c r="H1284" t="s">
        <v>18</v>
      </c>
      <c r="I1284" t="s">
        <v>16</v>
      </c>
      <c r="J1284" t="s">
        <v>15</v>
      </c>
    </row>
    <row r="1285" spans="1:10" x14ac:dyDescent="0.25">
      <c r="A1285">
        <v>1284</v>
      </c>
      <c r="B1285" s="1">
        <v>45475</v>
      </c>
      <c r="C1285" t="s">
        <v>14</v>
      </c>
      <c r="D1285" t="s">
        <v>20</v>
      </c>
      <c r="E1285">
        <v>234</v>
      </c>
      <c r="F1285">
        <v>39</v>
      </c>
      <c r="G1285">
        <v>1.9</v>
      </c>
      <c r="H1285" t="s">
        <v>18</v>
      </c>
      <c r="I1285" t="s">
        <v>13</v>
      </c>
      <c r="J1285" t="s">
        <v>11</v>
      </c>
    </row>
    <row r="1286" spans="1:10" x14ac:dyDescent="0.25">
      <c r="A1286">
        <v>1285</v>
      </c>
      <c r="B1286" s="1">
        <v>45608</v>
      </c>
      <c r="C1286" t="s">
        <v>21</v>
      </c>
      <c r="D1286" t="s">
        <v>15</v>
      </c>
      <c r="E1286">
        <v>201</v>
      </c>
      <c r="F1286">
        <v>15</v>
      </c>
      <c r="G1286">
        <v>4.2</v>
      </c>
      <c r="H1286" t="s">
        <v>12</v>
      </c>
      <c r="I1286" t="s">
        <v>19</v>
      </c>
      <c r="J1286" t="s">
        <v>11</v>
      </c>
    </row>
    <row r="1287" spans="1:10" x14ac:dyDescent="0.25">
      <c r="A1287">
        <v>1286</v>
      </c>
      <c r="B1287" s="1">
        <v>45417</v>
      </c>
      <c r="C1287" t="s">
        <v>14</v>
      </c>
      <c r="D1287" t="s">
        <v>11</v>
      </c>
      <c r="E1287">
        <v>35</v>
      </c>
      <c r="F1287">
        <v>39</v>
      </c>
      <c r="G1287">
        <v>4.4000000000000004</v>
      </c>
      <c r="H1287" t="s">
        <v>18</v>
      </c>
      <c r="I1287" t="s">
        <v>16</v>
      </c>
      <c r="J1287" t="s">
        <v>11</v>
      </c>
    </row>
    <row r="1288" spans="1:10" x14ac:dyDescent="0.25">
      <c r="A1288">
        <v>1287</v>
      </c>
      <c r="B1288" s="1">
        <v>45508</v>
      </c>
      <c r="C1288" t="s">
        <v>23</v>
      </c>
      <c r="D1288" t="s">
        <v>17</v>
      </c>
      <c r="E1288">
        <v>93</v>
      </c>
      <c r="F1288">
        <v>35</v>
      </c>
      <c r="G1288">
        <v>7.2</v>
      </c>
      <c r="H1288" t="s">
        <v>18</v>
      </c>
      <c r="I1288" t="s">
        <v>16</v>
      </c>
      <c r="J1288" t="s">
        <v>11</v>
      </c>
    </row>
    <row r="1289" spans="1:10" x14ac:dyDescent="0.25">
      <c r="A1289">
        <v>1288</v>
      </c>
      <c r="B1289" s="1">
        <v>45483</v>
      </c>
      <c r="C1289" t="s">
        <v>23</v>
      </c>
      <c r="D1289" t="s">
        <v>17</v>
      </c>
      <c r="E1289">
        <v>10</v>
      </c>
      <c r="F1289">
        <v>26</v>
      </c>
      <c r="G1289">
        <v>3.5</v>
      </c>
      <c r="H1289" t="s">
        <v>18</v>
      </c>
      <c r="I1289" t="s">
        <v>13</v>
      </c>
      <c r="J1289" t="s">
        <v>15</v>
      </c>
    </row>
    <row r="1290" spans="1:10" x14ac:dyDescent="0.25">
      <c r="A1290">
        <v>1289</v>
      </c>
      <c r="B1290" s="1">
        <v>45509</v>
      </c>
      <c r="C1290" t="s">
        <v>21</v>
      </c>
      <c r="D1290" t="s">
        <v>11</v>
      </c>
      <c r="E1290">
        <v>171</v>
      </c>
      <c r="F1290">
        <v>38</v>
      </c>
      <c r="G1290">
        <v>6.9</v>
      </c>
      <c r="H1290" t="s">
        <v>18</v>
      </c>
      <c r="I1290" t="s">
        <v>16</v>
      </c>
      <c r="J1290" t="s">
        <v>15</v>
      </c>
    </row>
    <row r="1291" spans="1:10" x14ac:dyDescent="0.25">
      <c r="A1291">
        <v>1290</v>
      </c>
      <c r="B1291" s="1">
        <v>45609</v>
      </c>
      <c r="C1291" t="s">
        <v>23</v>
      </c>
      <c r="D1291" t="s">
        <v>11</v>
      </c>
      <c r="E1291">
        <v>171</v>
      </c>
      <c r="F1291">
        <v>44</v>
      </c>
      <c r="G1291">
        <v>0.8</v>
      </c>
      <c r="H1291" t="s">
        <v>18</v>
      </c>
      <c r="I1291" t="s">
        <v>13</v>
      </c>
      <c r="J1291" t="s">
        <v>11</v>
      </c>
    </row>
    <row r="1292" spans="1:10" x14ac:dyDescent="0.25">
      <c r="A1292">
        <v>1291</v>
      </c>
      <c r="B1292" s="1">
        <v>45536</v>
      </c>
      <c r="C1292" t="s">
        <v>22</v>
      </c>
      <c r="D1292" t="s">
        <v>17</v>
      </c>
      <c r="E1292">
        <v>178</v>
      </c>
      <c r="F1292">
        <v>59</v>
      </c>
      <c r="G1292">
        <v>8</v>
      </c>
      <c r="H1292" t="s">
        <v>18</v>
      </c>
      <c r="I1292" t="s">
        <v>16</v>
      </c>
      <c r="J1292" t="s">
        <v>11</v>
      </c>
    </row>
    <row r="1293" spans="1:10" x14ac:dyDescent="0.25">
      <c r="A1293">
        <v>1292</v>
      </c>
      <c r="B1293" s="1">
        <v>45579</v>
      </c>
      <c r="C1293" t="s">
        <v>14</v>
      </c>
      <c r="D1293" t="s">
        <v>15</v>
      </c>
      <c r="E1293">
        <v>73</v>
      </c>
      <c r="F1293">
        <v>51</v>
      </c>
      <c r="G1293">
        <v>3.2</v>
      </c>
      <c r="H1293" t="s">
        <v>12</v>
      </c>
      <c r="I1293" t="s">
        <v>19</v>
      </c>
      <c r="J1293" t="s">
        <v>11</v>
      </c>
    </row>
    <row r="1294" spans="1:10" x14ac:dyDescent="0.25">
      <c r="A1294">
        <v>1293</v>
      </c>
      <c r="B1294" s="1">
        <v>45556</v>
      </c>
      <c r="C1294" t="s">
        <v>23</v>
      </c>
      <c r="D1294" t="s">
        <v>15</v>
      </c>
      <c r="E1294">
        <v>115</v>
      </c>
      <c r="F1294">
        <v>49</v>
      </c>
      <c r="G1294">
        <v>6.6</v>
      </c>
      <c r="H1294" t="s">
        <v>12</v>
      </c>
      <c r="I1294" t="s">
        <v>13</v>
      </c>
      <c r="J1294" t="s">
        <v>11</v>
      </c>
    </row>
    <row r="1295" spans="1:10" x14ac:dyDescent="0.25">
      <c r="A1295">
        <v>1294</v>
      </c>
      <c r="B1295" s="1">
        <v>45613</v>
      </c>
      <c r="C1295" t="s">
        <v>10</v>
      </c>
      <c r="D1295" t="s">
        <v>20</v>
      </c>
      <c r="E1295">
        <v>147</v>
      </c>
      <c r="F1295">
        <v>23</v>
      </c>
      <c r="G1295">
        <v>1</v>
      </c>
      <c r="H1295" t="s">
        <v>12</v>
      </c>
      <c r="I1295" t="s">
        <v>16</v>
      </c>
      <c r="J1295" t="s">
        <v>11</v>
      </c>
    </row>
    <row r="1296" spans="1:10" x14ac:dyDescent="0.25">
      <c r="A1296">
        <v>1295</v>
      </c>
      <c r="B1296" s="1">
        <v>45335</v>
      </c>
      <c r="C1296" t="s">
        <v>10</v>
      </c>
      <c r="D1296" t="s">
        <v>15</v>
      </c>
      <c r="E1296">
        <v>26</v>
      </c>
      <c r="F1296">
        <v>9</v>
      </c>
      <c r="G1296">
        <v>1.4</v>
      </c>
      <c r="H1296" t="s">
        <v>12</v>
      </c>
      <c r="I1296" t="s">
        <v>13</v>
      </c>
      <c r="J1296" t="s">
        <v>15</v>
      </c>
    </row>
    <row r="1297" spans="1:10" x14ac:dyDescent="0.25">
      <c r="A1297">
        <v>1296</v>
      </c>
      <c r="B1297" s="1">
        <v>45433</v>
      </c>
      <c r="C1297" t="s">
        <v>10</v>
      </c>
      <c r="D1297" t="s">
        <v>20</v>
      </c>
      <c r="E1297">
        <v>82</v>
      </c>
      <c r="F1297">
        <v>6</v>
      </c>
      <c r="G1297">
        <v>7.7</v>
      </c>
      <c r="H1297" t="s">
        <v>12</v>
      </c>
      <c r="I1297" t="s">
        <v>16</v>
      </c>
      <c r="J1297" t="s">
        <v>15</v>
      </c>
    </row>
    <row r="1298" spans="1:10" x14ac:dyDescent="0.25">
      <c r="A1298">
        <v>1297</v>
      </c>
      <c r="B1298" s="1">
        <v>45435</v>
      </c>
      <c r="C1298" t="s">
        <v>22</v>
      </c>
      <c r="D1298" t="s">
        <v>17</v>
      </c>
      <c r="E1298">
        <v>112</v>
      </c>
      <c r="F1298">
        <v>45</v>
      </c>
      <c r="G1298">
        <v>8</v>
      </c>
      <c r="H1298" t="s">
        <v>12</v>
      </c>
      <c r="I1298" t="s">
        <v>16</v>
      </c>
      <c r="J1298" t="s">
        <v>11</v>
      </c>
    </row>
    <row r="1299" spans="1:10" x14ac:dyDescent="0.25">
      <c r="A1299">
        <v>1298</v>
      </c>
      <c r="B1299" s="1">
        <v>45612</v>
      </c>
      <c r="C1299" t="s">
        <v>21</v>
      </c>
      <c r="D1299" t="s">
        <v>15</v>
      </c>
      <c r="E1299">
        <v>36</v>
      </c>
      <c r="F1299">
        <v>71</v>
      </c>
      <c r="G1299">
        <v>1.2</v>
      </c>
      <c r="H1299" t="s">
        <v>12</v>
      </c>
      <c r="I1299" t="s">
        <v>19</v>
      </c>
      <c r="J1299" t="s">
        <v>11</v>
      </c>
    </row>
    <row r="1300" spans="1:10" x14ac:dyDescent="0.25">
      <c r="A1300">
        <v>1299</v>
      </c>
      <c r="B1300" s="1">
        <v>45300</v>
      </c>
      <c r="C1300" t="s">
        <v>22</v>
      </c>
      <c r="D1300" t="s">
        <v>20</v>
      </c>
      <c r="E1300">
        <v>47</v>
      </c>
      <c r="F1300">
        <v>3</v>
      </c>
      <c r="G1300">
        <v>6.4</v>
      </c>
      <c r="H1300" t="s">
        <v>12</v>
      </c>
      <c r="I1300" t="s">
        <v>16</v>
      </c>
      <c r="J1300" t="s">
        <v>15</v>
      </c>
    </row>
    <row r="1301" spans="1:10" x14ac:dyDescent="0.25">
      <c r="A1301">
        <v>1300</v>
      </c>
      <c r="B1301" s="1">
        <v>45552</v>
      </c>
      <c r="C1301" t="s">
        <v>10</v>
      </c>
      <c r="D1301" t="s">
        <v>17</v>
      </c>
      <c r="E1301">
        <v>152</v>
      </c>
      <c r="F1301">
        <v>50</v>
      </c>
      <c r="G1301">
        <v>9.6999999999999993</v>
      </c>
      <c r="H1301" t="s">
        <v>12</v>
      </c>
      <c r="I1301" t="s">
        <v>16</v>
      </c>
      <c r="J1301" t="s">
        <v>11</v>
      </c>
    </row>
    <row r="1302" spans="1:10" x14ac:dyDescent="0.25">
      <c r="A1302">
        <v>1301</v>
      </c>
      <c r="B1302" s="1">
        <v>45381</v>
      </c>
      <c r="C1302" t="s">
        <v>21</v>
      </c>
      <c r="D1302" t="s">
        <v>17</v>
      </c>
      <c r="E1302">
        <v>223</v>
      </c>
      <c r="F1302">
        <v>60</v>
      </c>
      <c r="G1302">
        <v>8.8000000000000007</v>
      </c>
      <c r="H1302" t="s">
        <v>18</v>
      </c>
      <c r="I1302" t="s">
        <v>19</v>
      </c>
      <c r="J1302" t="s">
        <v>11</v>
      </c>
    </row>
    <row r="1303" spans="1:10" x14ac:dyDescent="0.25">
      <c r="A1303">
        <v>1302</v>
      </c>
      <c r="B1303" s="1">
        <v>45456</v>
      </c>
      <c r="C1303" t="s">
        <v>10</v>
      </c>
      <c r="D1303" t="s">
        <v>11</v>
      </c>
      <c r="E1303">
        <v>77</v>
      </c>
      <c r="F1303">
        <v>63</v>
      </c>
      <c r="G1303">
        <v>1.6</v>
      </c>
      <c r="H1303" t="s">
        <v>18</v>
      </c>
      <c r="I1303" t="s">
        <v>19</v>
      </c>
      <c r="J1303" t="s">
        <v>11</v>
      </c>
    </row>
    <row r="1304" spans="1:10" x14ac:dyDescent="0.25">
      <c r="A1304">
        <v>1303</v>
      </c>
      <c r="B1304" s="1">
        <v>45446</v>
      </c>
      <c r="C1304" t="s">
        <v>23</v>
      </c>
      <c r="D1304" t="s">
        <v>15</v>
      </c>
      <c r="E1304">
        <v>218</v>
      </c>
      <c r="F1304">
        <v>45</v>
      </c>
      <c r="G1304">
        <v>3</v>
      </c>
      <c r="H1304" t="s">
        <v>12</v>
      </c>
      <c r="I1304" t="s">
        <v>16</v>
      </c>
      <c r="J1304" t="s">
        <v>11</v>
      </c>
    </row>
    <row r="1305" spans="1:10" x14ac:dyDescent="0.25">
      <c r="A1305">
        <v>1304</v>
      </c>
      <c r="B1305" s="1">
        <v>45613</v>
      </c>
      <c r="C1305" t="s">
        <v>10</v>
      </c>
      <c r="D1305" t="s">
        <v>17</v>
      </c>
      <c r="E1305">
        <v>83</v>
      </c>
      <c r="F1305">
        <v>10</v>
      </c>
      <c r="G1305">
        <v>6.3</v>
      </c>
      <c r="H1305" t="s">
        <v>18</v>
      </c>
      <c r="I1305" t="s">
        <v>16</v>
      </c>
      <c r="J1305" t="s">
        <v>11</v>
      </c>
    </row>
    <row r="1306" spans="1:10" x14ac:dyDescent="0.25">
      <c r="A1306">
        <v>1305</v>
      </c>
      <c r="B1306" s="1">
        <v>45354</v>
      </c>
      <c r="C1306" t="s">
        <v>23</v>
      </c>
      <c r="D1306" t="s">
        <v>20</v>
      </c>
      <c r="E1306">
        <v>18</v>
      </c>
      <c r="F1306">
        <v>57</v>
      </c>
      <c r="G1306">
        <v>5.7</v>
      </c>
      <c r="H1306" t="s">
        <v>18</v>
      </c>
      <c r="I1306" t="s">
        <v>16</v>
      </c>
      <c r="J1306" t="s">
        <v>15</v>
      </c>
    </row>
    <row r="1307" spans="1:10" x14ac:dyDescent="0.25">
      <c r="A1307">
        <v>1306</v>
      </c>
      <c r="B1307" s="1">
        <v>45444</v>
      </c>
      <c r="C1307" t="s">
        <v>14</v>
      </c>
      <c r="D1307" t="s">
        <v>20</v>
      </c>
      <c r="E1307">
        <v>28</v>
      </c>
      <c r="F1307">
        <v>56</v>
      </c>
      <c r="G1307">
        <v>7.1</v>
      </c>
      <c r="H1307" t="s">
        <v>18</v>
      </c>
      <c r="I1307" t="s">
        <v>13</v>
      </c>
      <c r="J1307" t="s">
        <v>15</v>
      </c>
    </row>
    <row r="1308" spans="1:10" x14ac:dyDescent="0.25">
      <c r="A1308">
        <v>1307</v>
      </c>
      <c r="B1308" s="1">
        <v>45531</v>
      </c>
      <c r="C1308" t="s">
        <v>22</v>
      </c>
      <c r="D1308" t="s">
        <v>20</v>
      </c>
      <c r="E1308">
        <v>149</v>
      </c>
      <c r="F1308">
        <v>13</v>
      </c>
      <c r="G1308">
        <v>6.2</v>
      </c>
      <c r="H1308" t="s">
        <v>12</v>
      </c>
      <c r="I1308" t="s">
        <v>19</v>
      </c>
      <c r="J1308" t="s">
        <v>11</v>
      </c>
    </row>
    <row r="1309" spans="1:10" x14ac:dyDescent="0.25">
      <c r="A1309">
        <v>1308</v>
      </c>
      <c r="B1309" s="1">
        <v>45635</v>
      </c>
      <c r="C1309" t="s">
        <v>23</v>
      </c>
      <c r="D1309" t="s">
        <v>11</v>
      </c>
      <c r="E1309">
        <v>188</v>
      </c>
      <c r="F1309">
        <v>8</v>
      </c>
      <c r="G1309">
        <v>4.9000000000000004</v>
      </c>
      <c r="H1309" t="s">
        <v>12</v>
      </c>
      <c r="I1309" t="s">
        <v>13</v>
      </c>
      <c r="J1309" t="s">
        <v>11</v>
      </c>
    </row>
    <row r="1310" spans="1:10" x14ac:dyDescent="0.25">
      <c r="A1310">
        <v>1309</v>
      </c>
      <c r="B1310" s="1">
        <v>45567</v>
      </c>
      <c r="C1310" t="s">
        <v>23</v>
      </c>
      <c r="D1310" t="s">
        <v>20</v>
      </c>
      <c r="E1310">
        <v>28</v>
      </c>
      <c r="F1310">
        <v>4</v>
      </c>
      <c r="G1310">
        <v>9.5</v>
      </c>
      <c r="H1310" t="s">
        <v>18</v>
      </c>
      <c r="I1310" t="s">
        <v>16</v>
      </c>
      <c r="J1310" t="s">
        <v>20</v>
      </c>
    </row>
    <row r="1311" spans="1:10" x14ac:dyDescent="0.25">
      <c r="A1311">
        <v>1310</v>
      </c>
      <c r="B1311" s="1">
        <v>45560</v>
      </c>
      <c r="C1311" t="s">
        <v>23</v>
      </c>
      <c r="D1311" t="s">
        <v>15</v>
      </c>
      <c r="E1311">
        <v>51</v>
      </c>
      <c r="F1311">
        <v>59</v>
      </c>
      <c r="G1311">
        <v>8.1</v>
      </c>
      <c r="H1311" t="s">
        <v>12</v>
      </c>
      <c r="I1311" t="s">
        <v>19</v>
      </c>
      <c r="J1311" t="s">
        <v>11</v>
      </c>
    </row>
    <row r="1312" spans="1:10" x14ac:dyDescent="0.25">
      <c r="A1312">
        <v>1311</v>
      </c>
      <c r="B1312" s="1">
        <v>45570</v>
      </c>
      <c r="C1312" t="s">
        <v>21</v>
      </c>
      <c r="D1312" t="s">
        <v>20</v>
      </c>
      <c r="E1312">
        <v>152</v>
      </c>
      <c r="F1312">
        <v>17</v>
      </c>
      <c r="G1312">
        <v>4.2</v>
      </c>
      <c r="H1312" t="s">
        <v>12</v>
      </c>
      <c r="I1312" t="s">
        <v>13</v>
      </c>
      <c r="J1312" t="s">
        <v>11</v>
      </c>
    </row>
    <row r="1313" spans="1:10" x14ac:dyDescent="0.25">
      <c r="A1313">
        <v>1312</v>
      </c>
      <c r="B1313" s="1">
        <v>45644</v>
      </c>
      <c r="C1313" t="s">
        <v>14</v>
      </c>
      <c r="D1313" t="s">
        <v>17</v>
      </c>
      <c r="E1313">
        <v>179</v>
      </c>
      <c r="F1313">
        <v>17</v>
      </c>
      <c r="G1313">
        <v>8.5</v>
      </c>
      <c r="H1313" t="s">
        <v>18</v>
      </c>
      <c r="I1313" t="s">
        <v>19</v>
      </c>
      <c r="J1313" t="s">
        <v>11</v>
      </c>
    </row>
    <row r="1314" spans="1:10" x14ac:dyDescent="0.25">
      <c r="A1314">
        <v>1313</v>
      </c>
      <c r="B1314" s="1">
        <v>45441</v>
      </c>
      <c r="C1314" t="s">
        <v>14</v>
      </c>
      <c r="D1314" t="s">
        <v>11</v>
      </c>
      <c r="E1314">
        <v>131</v>
      </c>
      <c r="F1314">
        <v>12</v>
      </c>
      <c r="G1314">
        <v>1.8</v>
      </c>
      <c r="H1314" t="s">
        <v>18</v>
      </c>
      <c r="I1314" t="s">
        <v>13</v>
      </c>
      <c r="J1314" t="s">
        <v>11</v>
      </c>
    </row>
    <row r="1315" spans="1:10" x14ac:dyDescent="0.25">
      <c r="A1315">
        <v>1314</v>
      </c>
      <c r="B1315" s="1">
        <v>45603</v>
      </c>
      <c r="C1315" t="s">
        <v>14</v>
      </c>
      <c r="D1315" t="s">
        <v>17</v>
      </c>
      <c r="E1315">
        <v>24</v>
      </c>
      <c r="F1315">
        <v>6</v>
      </c>
      <c r="G1315">
        <v>1.1000000000000001</v>
      </c>
      <c r="H1315" t="s">
        <v>12</v>
      </c>
      <c r="I1315" t="s">
        <v>13</v>
      </c>
      <c r="J1315" t="s">
        <v>15</v>
      </c>
    </row>
    <row r="1316" spans="1:10" x14ac:dyDescent="0.25">
      <c r="A1316">
        <v>1315</v>
      </c>
      <c r="B1316" s="1">
        <v>45604</v>
      </c>
      <c r="C1316" t="s">
        <v>10</v>
      </c>
      <c r="D1316" t="s">
        <v>17</v>
      </c>
      <c r="E1316">
        <v>41</v>
      </c>
      <c r="F1316">
        <v>18</v>
      </c>
      <c r="G1316">
        <v>3.9</v>
      </c>
      <c r="H1316" t="s">
        <v>18</v>
      </c>
      <c r="I1316" t="s">
        <v>19</v>
      </c>
      <c r="J1316" t="s">
        <v>11</v>
      </c>
    </row>
    <row r="1317" spans="1:10" x14ac:dyDescent="0.25">
      <c r="A1317">
        <v>1316</v>
      </c>
      <c r="B1317" s="1">
        <v>45502</v>
      </c>
      <c r="C1317" t="s">
        <v>21</v>
      </c>
      <c r="D1317" t="s">
        <v>11</v>
      </c>
      <c r="E1317">
        <v>227</v>
      </c>
      <c r="F1317">
        <v>44</v>
      </c>
      <c r="G1317">
        <v>3.7</v>
      </c>
      <c r="H1317" t="s">
        <v>18</v>
      </c>
      <c r="I1317" t="s">
        <v>13</v>
      </c>
      <c r="J1317" t="s">
        <v>11</v>
      </c>
    </row>
    <row r="1318" spans="1:10" x14ac:dyDescent="0.25">
      <c r="A1318">
        <v>1317</v>
      </c>
      <c r="B1318" s="1">
        <v>45487</v>
      </c>
      <c r="C1318" t="s">
        <v>22</v>
      </c>
      <c r="D1318" t="s">
        <v>15</v>
      </c>
      <c r="E1318">
        <v>208</v>
      </c>
      <c r="F1318">
        <v>50</v>
      </c>
      <c r="G1318">
        <v>9.1</v>
      </c>
      <c r="H1318" t="s">
        <v>12</v>
      </c>
      <c r="I1318" t="s">
        <v>19</v>
      </c>
      <c r="J1318" t="s">
        <v>11</v>
      </c>
    </row>
    <row r="1319" spans="1:10" x14ac:dyDescent="0.25">
      <c r="A1319">
        <v>1318</v>
      </c>
      <c r="B1319" s="1">
        <v>45506</v>
      </c>
      <c r="C1319" t="s">
        <v>14</v>
      </c>
      <c r="D1319" t="s">
        <v>20</v>
      </c>
      <c r="E1319">
        <v>77</v>
      </c>
      <c r="F1319">
        <v>26</v>
      </c>
      <c r="G1319">
        <v>5.2</v>
      </c>
      <c r="H1319" t="s">
        <v>18</v>
      </c>
      <c r="I1319" t="s">
        <v>16</v>
      </c>
      <c r="J1319" t="s">
        <v>11</v>
      </c>
    </row>
    <row r="1320" spans="1:10" x14ac:dyDescent="0.25">
      <c r="A1320">
        <v>1319</v>
      </c>
      <c r="B1320" s="1">
        <v>45500</v>
      </c>
      <c r="C1320" t="s">
        <v>23</v>
      </c>
      <c r="D1320" t="s">
        <v>11</v>
      </c>
      <c r="E1320">
        <v>233</v>
      </c>
      <c r="F1320">
        <v>15</v>
      </c>
      <c r="G1320">
        <v>0.9</v>
      </c>
      <c r="H1320" t="s">
        <v>12</v>
      </c>
      <c r="I1320" t="s">
        <v>19</v>
      </c>
      <c r="J1320" t="s">
        <v>11</v>
      </c>
    </row>
    <row r="1321" spans="1:10" x14ac:dyDescent="0.25">
      <c r="A1321">
        <v>1320</v>
      </c>
      <c r="B1321" s="1">
        <v>45561</v>
      </c>
      <c r="C1321" t="s">
        <v>21</v>
      </c>
      <c r="D1321" t="s">
        <v>20</v>
      </c>
      <c r="E1321">
        <v>60</v>
      </c>
      <c r="F1321">
        <v>68</v>
      </c>
      <c r="G1321">
        <v>6.9</v>
      </c>
      <c r="H1321" t="s">
        <v>18</v>
      </c>
      <c r="I1321" t="s">
        <v>16</v>
      </c>
      <c r="J1321" t="s">
        <v>11</v>
      </c>
    </row>
    <row r="1322" spans="1:10" x14ac:dyDescent="0.25">
      <c r="A1322">
        <v>1321</v>
      </c>
      <c r="B1322" s="1">
        <v>45343</v>
      </c>
      <c r="C1322" t="s">
        <v>14</v>
      </c>
      <c r="D1322" t="s">
        <v>11</v>
      </c>
      <c r="E1322">
        <v>132</v>
      </c>
      <c r="F1322">
        <v>27</v>
      </c>
      <c r="G1322">
        <v>4.2</v>
      </c>
      <c r="H1322" t="s">
        <v>18</v>
      </c>
      <c r="I1322" t="s">
        <v>19</v>
      </c>
      <c r="J1322" t="s">
        <v>11</v>
      </c>
    </row>
    <row r="1323" spans="1:10" x14ac:dyDescent="0.25">
      <c r="A1323">
        <v>1322</v>
      </c>
      <c r="B1323" s="1">
        <v>45580</v>
      </c>
      <c r="C1323" t="s">
        <v>14</v>
      </c>
      <c r="D1323" t="s">
        <v>11</v>
      </c>
      <c r="E1323">
        <v>193</v>
      </c>
      <c r="F1323">
        <v>58</v>
      </c>
      <c r="G1323">
        <v>5.0999999999999996</v>
      </c>
      <c r="H1323" t="s">
        <v>12</v>
      </c>
      <c r="I1323" t="s">
        <v>13</v>
      </c>
      <c r="J1323" t="s">
        <v>11</v>
      </c>
    </row>
    <row r="1324" spans="1:10" x14ac:dyDescent="0.25">
      <c r="A1324">
        <v>1323</v>
      </c>
      <c r="B1324" s="1">
        <v>45327</v>
      </c>
      <c r="C1324" t="s">
        <v>23</v>
      </c>
      <c r="D1324" t="s">
        <v>20</v>
      </c>
      <c r="E1324">
        <v>119</v>
      </c>
      <c r="F1324">
        <v>19</v>
      </c>
      <c r="G1324">
        <v>8.1999999999999993</v>
      </c>
      <c r="H1324" t="s">
        <v>18</v>
      </c>
      <c r="I1324" t="s">
        <v>13</v>
      </c>
      <c r="J1324" t="s">
        <v>11</v>
      </c>
    </row>
    <row r="1325" spans="1:10" x14ac:dyDescent="0.25">
      <c r="A1325">
        <v>1324</v>
      </c>
      <c r="B1325" s="1">
        <v>45538</v>
      </c>
      <c r="C1325" t="s">
        <v>21</v>
      </c>
      <c r="D1325" t="s">
        <v>20</v>
      </c>
      <c r="E1325">
        <v>48</v>
      </c>
      <c r="F1325">
        <v>9</v>
      </c>
      <c r="G1325">
        <v>9.8000000000000007</v>
      </c>
      <c r="H1325" t="s">
        <v>18</v>
      </c>
      <c r="I1325" t="s">
        <v>13</v>
      </c>
      <c r="J1325" t="s">
        <v>11</v>
      </c>
    </row>
    <row r="1326" spans="1:10" x14ac:dyDescent="0.25">
      <c r="A1326">
        <v>1325</v>
      </c>
      <c r="B1326" s="1">
        <v>45454</v>
      </c>
      <c r="C1326" t="s">
        <v>23</v>
      </c>
      <c r="D1326" t="s">
        <v>15</v>
      </c>
      <c r="E1326">
        <v>158</v>
      </c>
      <c r="F1326">
        <v>10</v>
      </c>
      <c r="G1326">
        <v>5.7</v>
      </c>
      <c r="H1326" t="s">
        <v>18</v>
      </c>
      <c r="I1326" t="s">
        <v>16</v>
      </c>
      <c r="J1326" t="s">
        <v>15</v>
      </c>
    </row>
    <row r="1327" spans="1:10" x14ac:dyDescent="0.25">
      <c r="A1327">
        <v>1326</v>
      </c>
      <c r="B1327" s="1">
        <v>45553</v>
      </c>
      <c r="C1327" t="s">
        <v>21</v>
      </c>
      <c r="D1327" t="s">
        <v>17</v>
      </c>
      <c r="E1327">
        <v>72</v>
      </c>
      <c r="F1327">
        <v>62</v>
      </c>
      <c r="G1327">
        <v>5.4</v>
      </c>
      <c r="H1327" t="s">
        <v>18</v>
      </c>
      <c r="I1327" t="s">
        <v>19</v>
      </c>
      <c r="J1327" t="s">
        <v>11</v>
      </c>
    </row>
    <row r="1328" spans="1:10" x14ac:dyDescent="0.25">
      <c r="A1328">
        <v>1327</v>
      </c>
      <c r="B1328" s="1">
        <v>45298</v>
      </c>
      <c r="C1328" t="s">
        <v>10</v>
      </c>
      <c r="D1328" t="s">
        <v>20</v>
      </c>
      <c r="E1328">
        <v>117</v>
      </c>
      <c r="F1328">
        <v>68</v>
      </c>
      <c r="G1328">
        <v>1.6</v>
      </c>
      <c r="H1328" t="s">
        <v>12</v>
      </c>
      <c r="I1328" t="s">
        <v>19</v>
      </c>
      <c r="J1328" t="s">
        <v>11</v>
      </c>
    </row>
    <row r="1329" spans="1:10" x14ac:dyDescent="0.25">
      <c r="A1329">
        <v>1328</v>
      </c>
      <c r="B1329" s="1">
        <v>45477</v>
      </c>
      <c r="C1329" t="s">
        <v>23</v>
      </c>
      <c r="D1329" t="s">
        <v>11</v>
      </c>
      <c r="E1329">
        <v>186</v>
      </c>
      <c r="F1329">
        <v>7</v>
      </c>
      <c r="G1329">
        <v>1</v>
      </c>
      <c r="H1329" t="s">
        <v>12</v>
      </c>
      <c r="I1329" t="s">
        <v>13</v>
      </c>
      <c r="J1329" t="s">
        <v>11</v>
      </c>
    </row>
    <row r="1330" spans="1:10" x14ac:dyDescent="0.25">
      <c r="A1330">
        <v>1329</v>
      </c>
      <c r="B1330" s="1">
        <v>45538</v>
      </c>
      <c r="C1330" t="s">
        <v>14</v>
      </c>
      <c r="D1330" t="s">
        <v>17</v>
      </c>
      <c r="E1330">
        <v>94</v>
      </c>
      <c r="F1330">
        <v>40</v>
      </c>
      <c r="G1330">
        <v>4.2</v>
      </c>
      <c r="H1330" t="s">
        <v>12</v>
      </c>
      <c r="I1330" t="s">
        <v>19</v>
      </c>
      <c r="J1330" t="s">
        <v>11</v>
      </c>
    </row>
    <row r="1331" spans="1:10" x14ac:dyDescent="0.25">
      <c r="A1331">
        <v>1330</v>
      </c>
      <c r="B1331" s="1">
        <v>45297</v>
      </c>
      <c r="C1331" t="s">
        <v>14</v>
      </c>
      <c r="D1331" t="s">
        <v>15</v>
      </c>
      <c r="E1331">
        <v>166</v>
      </c>
      <c r="F1331">
        <v>51</v>
      </c>
      <c r="G1331">
        <v>9.9</v>
      </c>
      <c r="H1331" t="s">
        <v>12</v>
      </c>
      <c r="I1331" t="s">
        <v>13</v>
      </c>
      <c r="J1331" t="s">
        <v>11</v>
      </c>
    </row>
    <row r="1332" spans="1:10" x14ac:dyDescent="0.25">
      <c r="A1332">
        <v>1331</v>
      </c>
      <c r="B1332" s="1">
        <v>45467</v>
      </c>
      <c r="C1332" t="s">
        <v>14</v>
      </c>
      <c r="D1332" t="s">
        <v>11</v>
      </c>
      <c r="E1332">
        <v>146</v>
      </c>
      <c r="F1332">
        <v>53</v>
      </c>
      <c r="G1332">
        <v>7.4</v>
      </c>
      <c r="H1332" t="s">
        <v>18</v>
      </c>
      <c r="I1332" t="s">
        <v>19</v>
      </c>
      <c r="J1332" t="s">
        <v>15</v>
      </c>
    </row>
    <row r="1333" spans="1:10" x14ac:dyDescent="0.25">
      <c r="A1333">
        <v>1332</v>
      </c>
      <c r="B1333" s="1">
        <v>45641</v>
      </c>
      <c r="C1333" t="s">
        <v>23</v>
      </c>
      <c r="D1333" t="s">
        <v>20</v>
      </c>
      <c r="E1333">
        <v>206</v>
      </c>
      <c r="F1333">
        <v>51</v>
      </c>
      <c r="G1333">
        <v>3.9</v>
      </c>
      <c r="H1333" t="s">
        <v>18</v>
      </c>
      <c r="I1333" t="s">
        <v>13</v>
      </c>
      <c r="J1333" t="s">
        <v>11</v>
      </c>
    </row>
    <row r="1334" spans="1:10" x14ac:dyDescent="0.25">
      <c r="A1334">
        <v>1333</v>
      </c>
      <c r="B1334" s="1">
        <v>45539</v>
      </c>
      <c r="C1334" t="s">
        <v>21</v>
      </c>
      <c r="D1334" t="s">
        <v>20</v>
      </c>
      <c r="E1334">
        <v>47</v>
      </c>
      <c r="F1334">
        <v>4</v>
      </c>
      <c r="G1334">
        <v>4.4000000000000004</v>
      </c>
      <c r="H1334" t="s">
        <v>18</v>
      </c>
      <c r="I1334" t="s">
        <v>16</v>
      </c>
      <c r="J1334" t="s">
        <v>15</v>
      </c>
    </row>
    <row r="1335" spans="1:10" x14ac:dyDescent="0.25">
      <c r="A1335">
        <v>1334</v>
      </c>
      <c r="B1335" s="1">
        <v>45594</v>
      </c>
      <c r="C1335" t="s">
        <v>22</v>
      </c>
      <c r="D1335" t="s">
        <v>20</v>
      </c>
      <c r="E1335">
        <v>78</v>
      </c>
      <c r="F1335">
        <v>12</v>
      </c>
      <c r="G1335">
        <v>5.6</v>
      </c>
      <c r="H1335" t="s">
        <v>12</v>
      </c>
      <c r="I1335" t="s">
        <v>19</v>
      </c>
      <c r="J1335" t="s">
        <v>11</v>
      </c>
    </row>
    <row r="1336" spans="1:10" x14ac:dyDescent="0.25">
      <c r="A1336">
        <v>1335</v>
      </c>
      <c r="B1336" s="1">
        <v>45405</v>
      </c>
      <c r="C1336" t="s">
        <v>10</v>
      </c>
      <c r="D1336" t="s">
        <v>11</v>
      </c>
      <c r="E1336">
        <v>221</v>
      </c>
      <c r="F1336">
        <v>31</v>
      </c>
      <c r="G1336">
        <v>6.8</v>
      </c>
      <c r="H1336" t="s">
        <v>12</v>
      </c>
      <c r="I1336" t="s">
        <v>16</v>
      </c>
      <c r="J1336" t="s">
        <v>11</v>
      </c>
    </row>
    <row r="1337" spans="1:10" x14ac:dyDescent="0.25">
      <c r="A1337">
        <v>1336</v>
      </c>
      <c r="B1337" s="1">
        <v>45613</v>
      </c>
      <c r="C1337" t="s">
        <v>22</v>
      </c>
      <c r="D1337" t="s">
        <v>20</v>
      </c>
      <c r="E1337">
        <v>37</v>
      </c>
      <c r="F1337">
        <v>2</v>
      </c>
      <c r="G1337">
        <v>4.5999999999999996</v>
      </c>
      <c r="H1337" t="s">
        <v>18</v>
      </c>
      <c r="I1337" t="s">
        <v>16</v>
      </c>
      <c r="J1337" t="s">
        <v>15</v>
      </c>
    </row>
    <row r="1338" spans="1:10" x14ac:dyDescent="0.25">
      <c r="A1338">
        <v>1337</v>
      </c>
      <c r="B1338" s="1">
        <v>45323</v>
      </c>
      <c r="C1338" t="s">
        <v>23</v>
      </c>
      <c r="D1338" t="s">
        <v>15</v>
      </c>
      <c r="E1338">
        <v>148</v>
      </c>
      <c r="F1338">
        <v>22</v>
      </c>
      <c r="G1338">
        <v>6.1</v>
      </c>
      <c r="H1338" t="s">
        <v>12</v>
      </c>
      <c r="I1338" t="s">
        <v>13</v>
      </c>
      <c r="J1338" t="s">
        <v>11</v>
      </c>
    </row>
    <row r="1339" spans="1:10" x14ac:dyDescent="0.25">
      <c r="A1339">
        <v>1338</v>
      </c>
      <c r="B1339" s="1">
        <v>45392</v>
      </c>
      <c r="C1339" t="s">
        <v>10</v>
      </c>
      <c r="D1339" t="s">
        <v>15</v>
      </c>
      <c r="E1339">
        <v>19</v>
      </c>
      <c r="F1339">
        <v>32</v>
      </c>
      <c r="G1339">
        <v>9</v>
      </c>
      <c r="H1339" t="s">
        <v>18</v>
      </c>
      <c r="I1339" t="s">
        <v>19</v>
      </c>
      <c r="J1339" t="s">
        <v>20</v>
      </c>
    </row>
    <row r="1340" spans="1:10" x14ac:dyDescent="0.25">
      <c r="A1340">
        <v>1339</v>
      </c>
      <c r="B1340" s="1">
        <v>45381</v>
      </c>
      <c r="C1340" t="s">
        <v>23</v>
      </c>
      <c r="D1340" t="s">
        <v>11</v>
      </c>
      <c r="E1340">
        <v>136</v>
      </c>
      <c r="F1340">
        <v>14</v>
      </c>
      <c r="G1340">
        <v>6.9</v>
      </c>
      <c r="H1340" t="s">
        <v>18</v>
      </c>
      <c r="I1340" t="s">
        <v>16</v>
      </c>
      <c r="J1340" t="s">
        <v>15</v>
      </c>
    </row>
    <row r="1341" spans="1:10" x14ac:dyDescent="0.25">
      <c r="A1341">
        <v>1340</v>
      </c>
      <c r="B1341" s="1">
        <v>45447</v>
      </c>
      <c r="C1341" t="s">
        <v>10</v>
      </c>
      <c r="D1341" t="s">
        <v>15</v>
      </c>
      <c r="E1341">
        <v>82</v>
      </c>
      <c r="F1341">
        <v>52</v>
      </c>
      <c r="G1341">
        <v>4.5999999999999996</v>
      </c>
      <c r="H1341" t="s">
        <v>18</v>
      </c>
      <c r="I1341" t="s">
        <v>13</v>
      </c>
      <c r="J1341" t="s">
        <v>11</v>
      </c>
    </row>
    <row r="1342" spans="1:10" x14ac:dyDescent="0.25">
      <c r="A1342">
        <v>1341</v>
      </c>
      <c r="B1342" s="1">
        <v>45608</v>
      </c>
      <c r="C1342" t="s">
        <v>21</v>
      </c>
      <c r="D1342" t="s">
        <v>20</v>
      </c>
      <c r="E1342">
        <v>133</v>
      </c>
      <c r="F1342">
        <v>30</v>
      </c>
      <c r="G1342">
        <v>2.9</v>
      </c>
      <c r="H1342" t="s">
        <v>12</v>
      </c>
      <c r="I1342" t="s">
        <v>16</v>
      </c>
      <c r="J1342" t="s">
        <v>11</v>
      </c>
    </row>
    <row r="1343" spans="1:10" x14ac:dyDescent="0.25">
      <c r="A1343">
        <v>1342</v>
      </c>
      <c r="B1343" s="1">
        <v>45575</v>
      </c>
      <c r="C1343" t="s">
        <v>21</v>
      </c>
      <c r="D1343" t="s">
        <v>17</v>
      </c>
      <c r="E1343">
        <v>126</v>
      </c>
      <c r="F1343">
        <v>3</v>
      </c>
      <c r="G1343">
        <v>1</v>
      </c>
      <c r="H1343" t="s">
        <v>18</v>
      </c>
      <c r="I1343" t="s">
        <v>13</v>
      </c>
      <c r="J1343" t="s">
        <v>15</v>
      </c>
    </row>
    <row r="1344" spans="1:10" x14ac:dyDescent="0.25">
      <c r="A1344">
        <v>1343</v>
      </c>
      <c r="B1344" s="1">
        <v>45645</v>
      </c>
      <c r="C1344" t="s">
        <v>22</v>
      </c>
      <c r="D1344" t="s">
        <v>20</v>
      </c>
      <c r="E1344">
        <v>80</v>
      </c>
      <c r="F1344">
        <v>34</v>
      </c>
      <c r="G1344">
        <v>3.5</v>
      </c>
      <c r="H1344" t="s">
        <v>12</v>
      </c>
      <c r="I1344" t="s">
        <v>16</v>
      </c>
      <c r="J1344" t="s">
        <v>11</v>
      </c>
    </row>
    <row r="1345" spans="1:10" x14ac:dyDescent="0.25">
      <c r="A1345">
        <v>1344</v>
      </c>
      <c r="B1345" s="1">
        <v>45366</v>
      </c>
      <c r="C1345" t="s">
        <v>22</v>
      </c>
      <c r="D1345" t="s">
        <v>11</v>
      </c>
      <c r="E1345">
        <v>163</v>
      </c>
      <c r="F1345">
        <v>58</v>
      </c>
      <c r="G1345">
        <v>5.0999999999999996</v>
      </c>
      <c r="H1345" t="s">
        <v>18</v>
      </c>
      <c r="I1345" t="s">
        <v>16</v>
      </c>
      <c r="J1345" t="s">
        <v>15</v>
      </c>
    </row>
    <row r="1346" spans="1:10" x14ac:dyDescent="0.25">
      <c r="A1346">
        <v>1345</v>
      </c>
      <c r="B1346" s="1">
        <v>45629</v>
      </c>
      <c r="C1346" t="s">
        <v>23</v>
      </c>
      <c r="D1346" t="s">
        <v>11</v>
      </c>
      <c r="E1346">
        <v>180</v>
      </c>
      <c r="F1346">
        <v>32</v>
      </c>
      <c r="G1346">
        <v>1.8</v>
      </c>
      <c r="H1346" t="s">
        <v>12</v>
      </c>
      <c r="I1346" t="s">
        <v>13</v>
      </c>
      <c r="J1346" t="s">
        <v>11</v>
      </c>
    </row>
    <row r="1347" spans="1:10" x14ac:dyDescent="0.25">
      <c r="A1347">
        <v>1346</v>
      </c>
      <c r="B1347" s="1">
        <v>45393</v>
      </c>
      <c r="C1347" t="s">
        <v>22</v>
      </c>
      <c r="D1347" t="s">
        <v>20</v>
      </c>
      <c r="E1347">
        <v>153</v>
      </c>
      <c r="F1347">
        <v>7</v>
      </c>
      <c r="G1347">
        <v>0.9</v>
      </c>
      <c r="H1347" t="s">
        <v>12</v>
      </c>
      <c r="I1347" t="s">
        <v>16</v>
      </c>
      <c r="J1347" t="s">
        <v>11</v>
      </c>
    </row>
    <row r="1348" spans="1:10" x14ac:dyDescent="0.25">
      <c r="A1348">
        <v>1347</v>
      </c>
      <c r="B1348" s="1">
        <v>45457</v>
      </c>
      <c r="C1348" t="s">
        <v>23</v>
      </c>
      <c r="D1348" t="s">
        <v>11</v>
      </c>
      <c r="E1348">
        <v>62</v>
      </c>
      <c r="F1348">
        <v>18</v>
      </c>
      <c r="G1348">
        <v>1.8</v>
      </c>
      <c r="H1348" t="s">
        <v>18</v>
      </c>
      <c r="I1348" t="s">
        <v>19</v>
      </c>
      <c r="J1348" t="s">
        <v>11</v>
      </c>
    </row>
    <row r="1349" spans="1:10" x14ac:dyDescent="0.25">
      <c r="A1349">
        <v>1348</v>
      </c>
      <c r="B1349" s="1">
        <v>45303</v>
      </c>
      <c r="C1349" t="s">
        <v>21</v>
      </c>
      <c r="D1349" t="s">
        <v>17</v>
      </c>
      <c r="E1349">
        <v>168</v>
      </c>
      <c r="F1349">
        <v>47</v>
      </c>
      <c r="G1349">
        <v>3.4</v>
      </c>
      <c r="H1349" t="s">
        <v>12</v>
      </c>
      <c r="I1349" t="s">
        <v>19</v>
      </c>
      <c r="J1349" t="s">
        <v>11</v>
      </c>
    </row>
    <row r="1350" spans="1:10" x14ac:dyDescent="0.25">
      <c r="A1350">
        <v>1349</v>
      </c>
      <c r="B1350" s="1">
        <v>45417</v>
      </c>
      <c r="C1350" t="s">
        <v>23</v>
      </c>
      <c r="D1350" t="s">
        <v>11</v>
      </c>
      <c r="E1350">
        <v>164</v>
      </c>
      <c r="F1350">
        <v>31</v>
      </c>
      <c r="G1350">
        <v>3.8</v>
      </c>
      <c r="H1350" t="s">
        <v>18</v>
      </c>
      <c r="I1350" t="s">
        <v>19</v>
      </c>
      <c r="J1350" t="s">
        <v>11</v>
      </c>
    </row>
    <row r="1351" spans="1:10" x14ac:dyDescent="0.25">
      <c r="A1351">
        <v>1350</v>
      </c>
      <c r="B1351" s="1">
        <v>45616</v>
      </c>
      <c r="C1351" t="s">
        <v>10</v>
      </c>
      <c r="D1351" t="s">
        <v>15</v>
      </c>
      <c r="E1351">
        <v>231</v>
      </c>
      <c r="F1351">
        <v>51</v>
      </c>
      <c r="G1351">
        <v>8.4</v>
      </c>
      <c r="H1351" t="s">
        <v>18</v>
      </c>
      <c r="I1351" t="s">
        <v>16</v>
      </c>
      <c r="J1351" t="s">
        <v>15</v>
      </c>
    </row>
    <row r="1352" spans="1:10" x14ac:dyDescent="0.25">
      <c r="A1352">
        <v>1351</v>
      </c>
      <c r="B1352" s="1">
        <v>45305</v>
      </c>
      <c r="C1352" t="s">
        <v>21</v>
      </c>
      <c r="D1352" t="s">
        <v>20</v>
      </c>
      <c r="E1352">
        <v>107</v>
      </c>
      <c r="F1352">
        <v>61</v>
      </c>
      <c r="G1352">
        <v>2.1</v>
      </c>
      <c r="H1352" t="s">
        <v>18</v>
      </c>
      <c r="I1352" t="s">
        <v>19</v>
      </c>
      <c r="J1352" t="s">
        <v>11</v>
      </c>
    </row>
    <row r="1353" spans="1:10" x14ac:dyDescent="0.25">
      <c r="A1353">
        <v>1352</v>
      </c>
      <c r="B1353" s="1">
        <v>45381</v>
      </c>
      <c r="C1353" t="s">
        <v>23</v>
      </c>
      <c r="D1353" t="s">
        <v>11</v>
      </c>
      <c r="E1353">
        <v>64</v>
      </c>
      <c r="F1353">
        <v>58</v>
      </c>
      <c r="G1353">
        <v>1</v>
      </c>
      <c r="H1353" t="s">
        <v>12</v>
      </c>
      <c r="I1353" t="s">
        <v>19</v>
      </c>
      <c r="J1353" t="s">
        <v>11</v>
      </c>
    </row>
    <row r="1354" spans="1:10" x14ac:dyDescent="0.25">
      <c r="A1354">
        <v>1353</v>
      </c>
      <c r="B1354" s="1">
        <v>45544</v>
      </c>
      <c r="C1354" t="s">
        <v>14</v>
      </c>
      <c r="D1354" t="s">
        <v>11</v>
      </c>
      <c r="E1354">
        <v>51</v>
      </c>
      <c r="F1354">
        <v>54</v>
      </c>
      <c r="G1354">
        <v>7</v>
      </c>
      <c r="H1354" t="s">
        <v>12</v>
      </c>
      <c r="I1354" t="s">
        <v>19</v>
      </c>
      <c r="J1354" t="s">
        <v>11</v>
      </c>
    </row>
    <row r="1355" spans="1:10" x14ac:dyDescent="0.25">
      <c r="A1355">
        <v>1354</v>
      </c>
      <c r="B1355" s="1">
        <v>45354</v>
      </c>
      <c r="C1355" t="s">
        <v>22</v>
      </c>
      <c r="D1355" t="s">
        <v>20</v>
      </c>
      <c r="E1355">
        <v>59</v>
      </c>
      <c r="F1355">
        <v>62</v>
      </c>
      <c r="G1355">
        <v>6.7</v>
      </c>
      <c r="H1355" t="s">
        <v>12</v>
      </c>
      <c r="I1355" t="s">
        <v>19</v>
      </c>
      <c r="J1355" t="s">
        <v>11</v>
      </c>
    </row>
    <row r="1356" spans="1:10" x14ac:dyDescent="0.25">
      <c r="A1356">
        <v>1355</v>
      </c>
      <c r="B1356" s="1">
        <v>45581</v>
      </c>
      <c r="C1356" t="s">
        <v>14</v>
      </c>
      <c r="D1356" t="s">
        <v>11</v>
      </c>
      <c r="E1356">
        <v>75</v>
      </c>
      <c r="F1356">
        <v>65</v>
      </c>
      <c r="G1356">
        <v>9.9</v>
      </c>
      <c r="H1356" t="s">
        <v>18</v>
      </c>
      <c r="I1356" t="s">
        <v>19</v>
      </c>
      <c r="J1356" t="s">
        <v>15</v>
      </c>
    </row>
    <row r="1357" spans="1:10" x14ac:dyDescent="0.25">
      <c r="A1357">
        <v>1356</v>
      </c>
      <c r="B1357" s="1">
        <v>45374</v>
      </c>
      <c r="C1357" t="s">
        <v>10</v>
      </c>
      <c r="D1357" t="s">
        <v>11</v>
      </c>
      <c r="E1357">
        <v>85</v>
      </c>
      <c r="F1357">
        <v>20</v>
      </c>
      <c r="G1357">
        <v>1.1000000000000001</v>
      </c>
      <c r="H1357" t="s">
        <v>12</v>
      </c>
      <c r="I1357" t="s">
        <v>19</v>
      </c>
      <c r="J1357" t="s">
        <v>11</v>
      </c>
    </row>
    <row r="1358" spans="1:10" x14ac:dyDescent="0.25">
      <c r="A1358">
        <v>1357</v>
      </c>
      <c r="B1358" s="1">
        <v>45420</v>
      </c>
      <c r="C1358" t="s">
        <v>14</v>
      </c>
      <c r="D1358" t="s">
        <v>17</v>
      </c>
      <c r="E1358">
        <v>119</v>
      </c>
      <c r="F1358">
        <v>63</v>
      </c>
      <c r="G1358">
        <v>8.4</v>
      </c>
      <c r="H1358" t="s">
        <v>18</v>
      </c>
      <c r="I1358" t="s">
        <v>13</v>
      </c>
      <c r="J1358" t="s">
        <v>11</v>
      </c>
    </row>
    <row r="1359" spans="1:10" x14ac:dyDescent="0.25">
      <c r="A1359">
        <v>1358</v>
      </c>
      <c r="B1359" s="1">
        <v>45322</v>
      </c>
      <c r="C1359" t="s">
        <v>23</v>
      </c>
      <c r="D1359" t="s">
        <v>15</v>
      </c>
      <c r="E1359">
        <v>166</v>
      </c>
      <c r="F1359">
        <v>26</v>
      </c>
      <c r="G1359">
        <v>9.1</v>
      </c>
      <c r="H1359" t="s">
        <v>12</v>
      </c>
      <c r="I1359" t="s">
        <v>19</v>
      </c>
      <c r="J1359" t="s">
        <v>11</v>
      </c>
    </row>
    <row r="1360" spans="1:10" x14ac:dyDescent="0.25">
      <c r="A1360">
        <v>1359</v>
      </c>
      <c r="B1360" s="1">
        <v>45514</v>
      </c>
      <c r="C1360" t="s">
        <v>10</v>
      </c>
      <c r="D1360" t="s">
        <v>15</v>
      </c>
      <c r="E1360">
        <v>196</v>
      </c>
      <c r="F1360">
        <v>11</v>
      </c>
      <c r="G1360">
        <v>8.1999999999999993</v>
      </c>
      <c r="H1360" t="s">
        <v>18</v>
      </c>
      <c r="I1360" t="s">
        <v>19</v>
      </c>
      <c r="J1360" t="s">
        <v>15</v>
      </c>
    </row>
    <row r="1361" spans="1:10" x14ac:dyDescent="0.25">
      <c r="A1361">
        <v>1360</v>
      </c>
      <c r="B1361" s="1">
        <v>45479</v>
      </c>
      <c r="C1361" t="s">
        <v>14</v>
      </c>
      <c r="D1361" t="s">
        <v>11</v>
      </c>
      <c r="E1361">
        <v>233</v>
      </c>
      <c r="F1361">
        <v>51</v>
      </c>
      <c r="G1361">
        <v>10</v>
      </c>
      <c r="H1361" t="s">
        <v>12</v>
      </c>
      <c r="I1361" t="s">
        <v>19</v>
      </c>
      <c r="J1361" t="s">
        <v>11</v>
      </c>
    </row>
    <row r="1362" spans="1:10" x14ac:dyDescent="0.25">
      <c r="A1362">
        <v>1361</v>
      </c>
      <c r="B1362" s="1">
        <v>45626</v>
      </c>
      <c r="C1362" t="s">
        <v>21</v>
      </c>
      <c r="D1362" t="s">
        <v>15</v>
      </c>
      <c r="E1362">
        <v>237</v>
      </c>
      <c r="F1362">
        <v>49</v>
      </c>
      <c r="G1362">
        <v>0.9</v>
      </c>
      <c r="H1362" t="s">
        <v>18</v>
      </c>
      <c r="I1362" t="s">
        <v>16</v>
      </c>
      <c r="J1362" t="s">
        <v>11</v>
      </c>
    </row>
    <row r="1363" spans="1:10" x14ac:dyDescent="0.25">
      <c r="A1363">
        <v>1362</v>
      </c>
      <c r="B1363" s="1">
        <v>45583</v>
      </c>
      <c r="C1363" t="s">
        <v>14</v>
      </c>
      <c r="D1363" t="s">
        <v>20</v>
      </c>
      <c r="E1363">
        <v>14</v>
      </c>
      <c r="F1363">
        <v>59</v>
      </c>
      <c r="G1363">
        <v>2.1</v>
      </c>
      <c r="H1363" t="s">
        <v>18</v>
      </c>
      <c r="I1363" t="s">
        <v>13</v>
      </c>
      <c r="J1363" t="s">
        <v>15</v>
      </c>
    </row>
    <row r="1364" spans="1:10" x14ac:dyDescent="0.25">
      <c r="A1364">
        <v>1363</v>
      </c>
      <c r="B1364" s="1">
        <v>45587</v>
      </c>
      <c r="C1364" t="s">
        <v>21</v>
      </c>
      <c r="D1364" t="s">
        <v>20</v>
      </c>
      <c r="E1364">
        <v>111</v>
      </c>
      <c r="F1364">
        <v>29</v>
      </c>
      <c r="G1364">
        <v>4.7</v>
      </c>
      <c r="H1364" t="s">
        <v>12</v>
      </c>
      <c r="I1364" t="s">
        <v>19</v>
      </c>
      <c r="J1364" t="s">
        <v>11</v>
      </c>
    </row>
    <row r="1365" spans="1:10" x14ac:dyDescent="0.25">
      <c r="A1365">
        <v>1364</v>
      </c>
      <c r="B1365" s="1">
        <v>45395</v>
      </c>
      <c r="C1365" t="s">
        <v>14</v>
      </c>
      <c r="D1365" t="s">
        <v>11</v>
      </c>
      <c r="E1365">
        <v>61</v>
      </c>
      <c r="F1365">
        <v>60</v>
      </c>
      <c r="G1365">
        <v>6.1</v>
      </c>
      <c r="H1365" t="s">
        <v>12</v>
      </c>
      <c r="I1365" t="s">
        <v>19</v>
      </c>
      <c r="J1365" t="s">
        <v>11</v>
      </c>
    </row>
    <row r="1366" spans="1:10" x14ac:dyDescent="0.25">
      <c r="A1366">
        <v>1365</v>
      </c>
      <c r="B1366" s="1">
        <v>45299</v>
      </c>
      <c r="C1366" t="s">
        <v>22</v>
      </c>
      <c r="D1366" t="s">
        <v>17</v>
      </c>
      <c r="E1366">
        <v>204</v>
      </c>
      <c r="F1366">
        <v>50</v>
      </c>
      <c r="G1366">
        <v>8.4</v>
      </c>
      <c r="H1366" t="s">
        <v>18</v>
      </c>
      <c r="I1366" t="s">
        <v>13</v>
      </c>
      <c r="J1366" t="s">
        <v>11</v>
      </c>
    </row>
    <row r="1367" spans="1:10" x14ac:dyDescent="0.25">
      <c r="A1367">
        <v>1366</v>
      </c>
      <c r="B1367" s="1">
        <v>45389</v>
      </c>
      <c r="C1367" t="s">
        <v>21</v>
      </c>
      <c r="D1367" t="s">
        <v>20</v>
      </c>
      <c r="E1367">
        <v>195</v>
      </c>
      <c r="F1367">
        <v>4</v>
      </c>
      <c r="G1367">
        <v>6.6</v>
      </c>
      <c r="H1367" t="s">
        <v>18</v>
      </c>
      <c r="I1367" t="s">
        <v>13</v>
      </c>
      <c r="J1367" t="s">
        <v>15</v>
      </c>
    </row>
    <row r="1368" spans="1:10" x14ac:dyDescent="0.25">
      <c r="A1368">
        <v>1367</v>
      </c>
      <c r="B1368" s="1">
        <v>45415</v>
      </c>
      <c r="C1368" t="s">
        <v>14</v>
      </c>
      <c r="D1368" t="s">
        <v>11</v>
      </c>
      <c r="E1368">
        <v>83</v>
      </c>
      <c r="F1368">
        <v>6</v>
      </c>
      <c r="G1368">
        <v>2.4</v>
      </c>
      <c r="H1368" t="s">
        <v>18</v>
      </c>
      <c r="I1368" t="s">
        <v>16</v>
      </c>
      <c r="J1368" t="s">
        <v>15</v>
      </c>
    </row>
    <row r="1369" spans="1:10" x14ac:dyDescent="0.25">
      <c r="A1369">
        <v>1368</v>
      </c>
      <c r="B1369" s="1">
        <v>45400</v>
      </c>
      <c r="C1369" t="s">
        <v>22</v>
      </c>
      <c r="D1369" t="s">
        <v>17</v>
      </c>
      <c r="E1369">
        <v>186</v>
      </c>
      <c r="F1369">
        <v>60</v>
      </c>
      <c r="G1369">
        <v>2.2000000000000002</v>
      </c>
      <c r="H1369" t="s">
        <v>18</v>
      </c>
      <c r="I1369" t="s">
        <v>13</v>
      </c>
      <c r="J1369" t="s">
        <v>11</v>
      </c>
    </row>
    <row r="1370" spans="1:10" x14ac:dyDescent="0.25">
      <c r="A1370">
        <v>1369</v>
      </c>
      <c r="B1370" s="1">
        <v>45527</v>
      </c>
      <c r="C1370" t="s">
        <v>21</v>
      </c>
      <c r="D1370" t="s">
        <v>20</v>
      </c>
      <c r="E1370">
        <v>166</v>
      </c>
      <c r="F1370">
        <v>18</v>
      </c>
      <c r="G1370">
        <v>4.2</v>
      </c>
      <c r="H1370" t="s">
        <v>18</v>
      </c>
      <c r="I1370" t="s">
        <v>19</v>
      </c>
      <c r="J1370" t="s">
        <v>11</v>
      </c>
    </row>
    <row r="1371" spans="1:10" x14ac:dyDescent="0.25">
      <c r="A1371">
        <v>1370</v>
      </c>
      <c r="B1371" s="1">
        <v>45531</v>
      </c>
      <c r="C1371" t="s">
        <v>22</v>
      </c>
      <c r="D1371" t="s">
        <v>15</v>
      </c>
      <c r="E1371">
        <v>224</v>
      </c>
      <c r="F1371">
        <v>57</v>
      </c>
      <c r="G1371">
        <v>5.4</v>
      </c>
      <c r="H1371" t="s">
        <v>18</v>
      </c>
      <c r="I1371" t="s">
        <v>13</v>
      </c>
      <c r="J1371" t="s">
        <v>15</v>
      </c>
    </row>
    <row r="1372" spans="1:10" x14ac:dyDescent="0.25">
      <c r="A1372">
        <v>1371</v>
      </c>
      <c r="B1372" s="1">
        <v>45600</v>
      </c>
      <c r="C1372" t="s">
        <v>23</v>
      </c>
      <c r="D1372" t="s">
        <v>15</v>
      </c>
      <c r="E1372">
        <v>6</v>
      </c>
      <c r="F1372">
        <v>57</v>
      </c>
      <c r="G1372">
        <v>2.1</v>
      </c>
      <c r="H1372" t="s">
        <v>12</v>
      </c>
      <c r="I1372" t="s">
        <v>16</v>
      </c>
      <c r="J1372" t="s">
        <v>15</v>
      </c>
    </row>
    <row r="1373" spans="1:10" x14ac:dyDescent="0.25">
      <c r="A1373">
        <v>1372</v>
      </c>
      <c r="B1373" s="1">
        <v>45472</v>
      </c>
      <c r="C1373" t="s">
        <v>14</v>
      </c>
      <c r="D1373" t="s">
        <v>11</v>
      </c>
      <c r="E1373">
        <v>125</v>
      </c>
      <c r="F1373">
        <v>72</v>
      </c>
      <c r="G1373">
        <v>7.9</v>
      </c>
      <c r="H1373" t="s">
        <v>12</v>
      </c>
      <c r="I1373" t="s">
        <v>13</v>
      </c>
      <c r="J1373" t="s">
        <v>11</v>
      </c>
    </row>
    <row r="1374" spans="1:10" x14ac:dyDescent="0.25">
      <c r="A1374">
        <v>1373</v>
      </c>
      <c r="B1374" s="1">
        <v>45442</v>
      </c>
      <c r="C1374" t="s">
        <v>21</v>
      </c>
      <c r="D1374" t="s">
        <v>11</v>
      </c>
      <c r="E1374">
        <v>101</v>
      </c>
      <c r="F1374">
        <v>41</v>
      </c>
      <c r="G1374">
        <v>3.2</v>
      </c>
      <c r="H1374" t="s">
        <v>12</v>
      </c>
      <c r="I1374" t="s">
        <v>19</v>
      </c>
      <c r="J1374" t="s">
        <v>11</v>
      </c>
    </row>
    <row r="1375" spans="1:10" x14ac:dyDescent="0.25">
      <c r="A1375">
        <v>1374</v>
      </c>
      <c r="B1375" s="1">
        <v>45597</v>
      </c>
      <c r="C1375" t="s">
        <v>14</v>
      </c>
      <c r="D1375" t="s">
        <v>17</v>
      </c>
      <c r="E1375">
        <v>75</v>
      </c>
      <c r="F1375">
        <v>40</v>
      </c>
      <c r="G1375">
        <v>3.9</v>
      </c>
      <c r="H1375" t="s">
        <v>12</v>
      </c>
      <c r="I1375" t="s">
        <v>19</v>
      </c>
      <c r="J1375" t="s">
        <v>11</v>
      </c>
    </row>
    <row r="1376" spans="1:10" x14ac:dyDescent="0.25">
      <c r="A1376">
        <v>1375</v>
      </c>
      <c r="B1376" s="1">
        <v>45307</v>
      </c>
      <c r="C1376" t="s">
        <v>21</v>
      </c>
      <c r="D1376" t="s">
        <v>15</v>
      </c>
      <c r="E1376">
        <v>203</v>
      </c>
      <c r="F1376">
        <v>62</v>
      </c>
      <c r="G1376">
        <v>6.8</v>
      </c>
      <c r="H1376" t="s">
        <v>18</v>
      </c>
      <c r="I1376" t="s">
        <v>19</v>
      </c>
      <c r="J1376" t="s">
        <v>15</v>
      </c>
    </row>
    <row r="1377" spans="1:10" x14ac:dyDescent="0.25">
      <c r="A1377">
        <v>1376</v>
      </c>
      <c r="B1377" s="1">
        <v>45490</v>
      </c>
      <c r="C1377" t="s">
        <v>21</v>
      </c>
      <c r="D1377" t="s">
        <v>15</v>
      </c>
      <c r="E1377">
        <v>111</v>
      </c>
      <c r="F1377">
        <v>57</v>
      </c>
      <c r="G1377">
        <v>4.5</v>
      </c>
      <c r="H1377" t="s">
        <v>12</v>
      </c>
      <c r="I1377" t="s">
        <v>19</v>
      </c>
      <c r="J1377" t="s">
        <v>11</v>
      </c>
    </row>
    <row r="1378" spans="1:10" x14ac:dyDescent="0.25">
      <c r="A1378">
        <v>1377</v>
      </c>
      <c r="B1378" s="1">
        <v>45657</v>
      </c>
      <c r="C1378" t="s">
        <v>22</v>
      </c>
      <c r="D1378" t="s">
        <v>15</v>
      </c>
      <c r="E1378">
        <v>54</v>
      </c>
      <c r="F1378">
        <v>69</v>
      </c>
      <c r="G1378">
        <v>2</v>
      </c>
      <c r="H1378" t="s">
        <v>12</v>
      </c>
      <c r="I1378" t="s">
        <v>16</v>
      </c>
      <c r="J1378" t="s">
        <v>11</v>
      </c>
    </row>
    <row r="1379" spans="1:10" x14ac:dyDescent="0.25">
      <c r="A1379">
        <v>1378</v>
      </c>
      <c r="B1379" s="1">
        <v>45555</v>
      </c>
      <c r="C1379" t="s">
        <v>14</v>
      </c>
      <c r="D1379" t="s">
        <v>15</v>
      </c>
      <c r="E1379">
        <v>165</v>
      </c>
      <c r="F1379">
        <v>54</v>
      </c>
      <c r="G1379">
        <v>5.0999999999999996</v>
      </c>
      <c r="H1379" t="s">
        <v>18</v>
      </c>
      <c r="I1379" t="s">
        <v>19</v>
      </c>
      <c r="J1379" t="s">
        <v>15</v>
      </c>
    </row>
    <row r="1380" spans="1:10" x14ac:dyDescent="0.25">
      <c r="A1380">
        <v>1379</v>
      </c>
      <c r="B1380" s="1">
        <v>45456</v>
      </c>
      <c r="C1380" t="s">
        <v>23</v>
      </c>
      <c r="D1380" t="s">
        <v>20</v>
      </c>
      <c r="E1380">
        <v>65</v>
      </c>
      <c r="F1380">
        <v>20</v>
      </c>
      <c r="G1380">
        <v>8.6</v>
      </c>
      <c r="H1380" t="s">
        <v>18</v>
      </c>
      <c r="I1380" t="s">
        <v>19</v>
      </c>
      <c r="J1380" t="s">
        <v>11</v>
      </c>
    </row>
    <row r="1381" spans="1:10" x14ac:dyDescent="0.25">
      <c r="A1381">
        <v>1380</v>
      </c>
      <c r="B1381" s="1">
        <v>45480</v>
      </c>
      <c r="C1381" t="s">
        <v>23</v>
      </c>
      <c r="D1381" t="s">
        <v>15</v>
      </c>
      <c r="E1381">
        <v>7</v>
      </c>
      <c r="F1381">
        <v>19</v>
      </c>
      <c r="G1381">
        <v>3.3</v>
      </c>
      <c r="H1381" t="s">
        <v>12</v>
      </c>
      <c r="I1381" t="s">
        <v>16</v>
      </c>
      <c r="J1381" t="s">
        <v>15</v>
      </c>
    </row>
    <row r="1382" spans="1:10" x14ac:dyDescent="0.25">
      <c r="A1382">
        <v>1381</v>
      </c>
      <c r="B1382" s="1">
        <v>45620</v>
      </c>
      <c r="C1382" t="s">
        <v>22</v>
      </c>
      <c r="D1382" t="s">
        <v>20</v>
      </c>
      <c r="E1382">
        <v>134</v>
      </c>
      <c r="F1382">
        <v>9</v>
      </c>
      <c r="G1382">
        <v>2</v>
      </c>
      <c r="H1382" t="s">
        <v>12</v>
      </c>
      <c r="I1382" t="s">
        <v>13</v>
      </c>
      <c r="J1382" t="s">
        <v>11</v>
      </c>
    </row>
    <row r="1383" spans="1:10" x14ac:dyDescent="0.25">
      <c r="A1383">
        <v>1382</v>
      </c>
      <c r="B1383" s="1">
        <v>45647</v>
      </c>
      <c r="C1383" t="s">
        <v>22</v>
      </c>
      <c r="D1383" t="s">
        <v>20</v>
      </c>
      <c r="E1383">
        <v>177</v>
      </c>
      <c r="F1383">
        <v>59</v>
      </c>
      <c r="G1383">
        <v>5.2</v>
      </c>
      <c r="H1383" t="s">
        <v>18</v>
      </c>
      <c r="I1383" t="s">
        <v>16</v>
      </c>
      <c r="J1383" t="s">
        <v>11</v>
      </c>
    </row>
    <row r="1384" spans="1:10" x14ac:dyDescent="0.25">
      <c r="A1384">
        <v>1383</v>
      </c>
      <c r="B1384" s="1">
        <v>45645</v>
      </c>
      <c r="C1384" t="s">
        <v>23</v>
      </c>
      <c r="D1384" t="s">
        <v>15</v>
      </c>
      <c r="E1384">
        <v>45</v>
      </c>
      <c r="F1384">
        <v>25</v>
      </c>
      <c r="G1384">
        <v>9.6</v>
      </c>
      <c r="H1384" t="s">
        <v>12</v>
      </c>
      <c r="I1384" t="s">
        <v>19</v>
      </c>
      <c r="J1384" t="s">
        <v>11</v>
      </c>
    </row>
    <row r="1385" spans="1:10" x14ac:dyDescent="0.25">
      <c r="A1385">
        <v>1384</v>
      </c>
      <c r="B1385" s="1">
        <v>45399</v>
      </c>
      <c r="C1385" t="s">
        <v>23</v>
      </c>
      <c r="D1385" t="s">
        <v>20</v>
      </c>
      <c r="E1385">
        <v>144</v>
      </c>
      <c r="F1385">
        <v>49</v>
      </c>
      <c r="G1385">
        <v>9.1</v>
      </c>
      <c r="H1385" t="s">
        <v>12</v>
      </c>
      <c r="I1385" t="s">
        <v>19</v>
      </c>
      <c r="J1385" t="s">
        <v>11</v>
      </c>
    </row>
    <row r="1386" spans="1:10" x14ac:dyDescent="0.25">
      <c r="A1386">
        <v>1385</v>
      </c>
      <c r="B1386" s="1">
        <v>45456</v>
      </c>
      <c r="C1386" t="s">
        <v>23</v>
      </c>
      <c r="D1386" t="s">
        <v>15</v>
      </c>
      <c r="E1386">
        <v>104</v>
      </c>
      <c r="F1386">
        <v>1</v>
      </c>
      <c r="G1386">
        <v>1.3</v>
      </c>
      <c r="H1386" t="s">
        <v>18</v>
      </c>
      <c r="I1386" t="s">
        <v>16</v>
      </c>
      <c r="J1386" t="s">
        <v>15</v>
      </c>
    </row>
    <row r="1387" spans="1:10" x14ac:dyDescent="0.25">
      <c r="A1387">
        <v>1386</v>
      </c>
      <c r="B1387" s="1">
        <v>45457</v>
      </c>
      <c r="C1387" t="s">
        <v>10</v>
      </c>
      <c r="D1387" t="s">
        <v>15</v>
      </c>
      <c r="E1387">
        <v>240</v>
      </c>
      <c r="F1387">
        <v>2</v>
      </c>
      <c r="G1387">
        <v>2.6</v>
      </c>
      <c r="H1387" t="s">
        <v>12</v>
      </c>
      <c r="I1387" t="s">
        <v>16</v>
      </c>
      <c r="J1387" t="s">
        <v>15</v>
      </c>
    </row>
    <row r="1388" spans="1:10" x14ac:dyDescent="0.25">
      <c r="A1388">
        <v>1387</v>
      </c>
      <c r="B1388" s="1">
        <v>45552</v>
      </c>
      <c r="C1388" t="s">
        <v>10</v>
      </c>
      <c r="D1388" t="s">
        <v>15</v>
      </c>
      <c r="E1388">
        <v>197</v>
      </c>
      <c r="F1388">
        <v>66</v>
      </c>
      <c r="G1388">
        <v>9.1</v>
      </c>
      <c r="H1388" t="s">
        <v>18</v>
      </c>
      <c r="I1388" t="s">
        <v>16</v>
      </c>
      <c r="J1388" t="s">
        <v>15</v>
      </c>
    </row>
    <row r="1389" spans="1:10" x14ac:dyDescent="0.25">
      <c r="A1389">
        <v>1388</v>
      </c>
      <c r="B1389" s="1">
        <v>45450</v>
      </c>
      <c r="C1389" t="s">
        <v>21</v>
      </c>
      <c r="D1389" t="s">
        <v>20</v>
      </c>
      <c r="E1389">
        <v>68</v>
      </c>
      <c r="F1389">
        <v>29</v>
      </c>
      <c r="G1389">
        <v>7.8</v>
      </c>
      <c r="H1389" t="s">
        <v>12</v>
      </c>
      <c r="I1389" t="s">
        <v>19</v>
      </c>
      <c r="J1389" t="s">
        <v>11</v>
      </c>
    </row>
    <row r="1390" spans="1:10" x14ac:dyDescent="0.25">
      <c r="A1390">
        <v>1389</v>
      </c>
      <c r="B1390" s="1">
        <v>45315</v>
      </c>
      <c r="C1390" t="s">
        <v>23</v>
      </c>
      <c r="D1390" t="s">
        <v>20</v>
      </c>
      <c r="E1390">
        <v>186</v>
      </c>
      <c r="F1390">
        <v>14</v>
      </c>
      <c r="G1390">
        <v>3.1</v>
      </c>
      <c r="H1390" t="s">
        <v>12</v>
      </c>
      <c r="I1390" t="s">
        <v>13</v>
      </c>
      <c r="J1390" t="s">
        <v>11</v>
      </c>
    </row>
    <row r="1391" spans="1:10" x14ac:dyDescent="0.25">
      <c r="A1391">
        <v>1390</v>
      </c>
      <c r="B1391" s="1">
        <v>45502</v>
      </c>
      <c r="C1391" t="s">
        <v>14</v>
      </c>
      <c r="D1391" t="s">
        <v>11</v>
      </c>
      <c r="E1391">
        <v>7</v>
      </c>
      <c r="F1391">
        <v>71</v>
      </c>
      <c r="G1391">
        <v>5.5</v>
      </c>
      <c r="H1391" t="s">
        <v>18</v>
      </c>
      <c r="I1391" t="s">
        <v>13</v>
      </c>
      <c r="J1391" t="s">
        <v>20</v>
      </c>
    </row>
    <row r="1392" spans="1:10" x14ac:dyDescent="0.25">
      <c r="A1392">
        <v>1391</v>
      </c>
      <c r="B1392" s="1">
        <v>45393</v>
      </c>
      <c r="C1392" t="s">
        <v>22</v>
      </c>
      <c r="D1392" t="s">
        <v>11</v>
      </c>
      <c r="E1392">
        <v>169</v>
      </c>
      <c r="F1392">
        <v>29</v>
      </c>
      <c r="G1392">
        <v>9.1</v>
      </c>
      <c r="H1392" t="s">
        <v>18</v>
      </c>
      <c r="I1392" t="s">
        <v>13</v>
      </c>
      <c r="J1392" t="s">
        <v>15</v>
      </c>
    </row>
    <row r="1393" spans="1:10" x14ac:dyDescent="0.25">
      <c r="A1393">
        <v>1392</v>
      </c>
      <c r="B1393" s="1">
        <v>45548</v>
      </c>
      <c r="C1393" t="s">
        <v>22</v>
      </c>
      <c r="D1393" t="s">
        <v>15</v>
      </c>
      <c r="E1393">
        <v>140</v>
      </c>
      <c r="F1393">
        <v>6</v>
      </c>
      <c r="G1393">
        <v>2.9</v>
      </c>
      <c r="H1393" t="s">
        <v>18</v>
      </c>
      <c r="I1393" t="s">
        <v>13</v>
      </c>
      <c r="J1393" t="s">
        <v>15</v>
      </c>
    </row>
    <row r="1394" spans="1:10" x14ac:dyDescent="0.25">
      <c r="A1394">
        <v>1393</v>
      </c>
      <c r="B1394" s="1">
        <v>45611</v>
      </c>
      <c r="C1394" t="s">
        <v>10</v>
      </c>
      <c r="D1394" t="s">
        <v>20</v>
      </c>
      <c r="E1394">
        <v>132</v>
      </c>
      <c r="F1394">
        <v>2</v>
      </c>
      <c r="G1394">
        <v>9.6999999999999993</v>
      </c>
      <c r="H1394" t="s">
        <v>12</v>
      </c>
      <c r="I1394" t="s">
        <v>16</v>
      </c>
      <c r="J1394" t="s">
        <v>15</v>
      </c>
    </row>
    <row r="1395" spans="1:10" x14ac:dyDescent="0.25">
      <c r="A1395">
        <v>1394</v>
      </c>
      <c r="B1395" s="1">
        <v>45339</v>
      </c>
      <c r="C1395" t="s">
        <v>14</v>
      </c>
      <c r="D1395" t="s">
        <v>15</v>
      </c>
      <c r="E1395">
        <v>68</v>
      </c>
      <c r="F1395">
        <v>45</v>
      </c>
      <c r="G1395">
        <v>7.3</v>
      </c>
      <c r="H1395" t="s">
        <v>18</v>
      </c>
      <c r="I1395" t="s">
        <v>16</v>
      </c>
      <c r="J1395" t="s">
        <v>15</v>
      </c>
    </row>
    <row r="1396" spans="1:10" x14ac:dyDescent="0.25">
      <c r="A1396">
        <v>1395</v>
      </c>
      <c r="B1396" s="1">
        <v>45367</v>
      </c>
      <c r="C1396" t="s">
        <v>22</v>
      </c>
      <c r="D1396" t="s">
        <v>15</v>
      </c>
      <c r="E1396">
        <v>201</v>
      </c>
      <c r="F1396">
        <v>32</v>
      </c>
      <c r="G1396">
        <v>3.3</v>
      </c>
      <c r="H1396" t="s">
        <v>12</v>
      </c>
      <c r="I1396" t="s">
        <v>19</v>
      </c>
      <c r="J1396" t="s">
        <v>11</v>
      </c>
    </row>
    <row r="1397" spans="1:10" x14ac:dyDescent="0.25">
      <c r="A1397">
        <v>1396</v>
      </c>
      <c r="B1397" s="1">
        <v>45501</v>
      </c>
      <c r="C1397" t="s">
        <v>10</v>
      </c>
      <c r="D1397" t="s">
        <v>20</v>
      </c>
      <c r="E1397">
        <v>9</v>
      </c>
      <c r="F1397">
        <v>25</v>
      </c>
      <c r="G1397">
        <v>5.4</v>
      </c>
      <c r="H1397" t="s">
        <v>18</v>
      </c>
      <c r="I1397" t="s">
        <v>19</v>
      </c>
      <c r="J1397" t="s">
        <v>15</v>
      </c>
    </row>
    <row r="1398" spans="1:10" x14ac:dyDescent="0.25">
      <c r="A1398">
        <v>1397</v>
      </c>
      <c r="B1398" s="1">
        <v>45333</v>
      </c>
      <c r="C1398" t="s">
        <v>23</v>
      </c>
      <c r="D1398" t="s">
        <v>15</v>
      </c>
      <c r="E1398">
        <v>101</v>
      </c>
      <c r="F1398">
        <v>37</v>
      </c>
      <c r="G1398">
        <v>7.3</v>
      </c>
      <c r="H1398" t="s">
        <v>18</v>
      </c>
      <c r="I1398" t="s">
        <v>19</v>
      </c>
      <c r="J1398" t="s">
        <v>15</v>
      </c>
    </row>
    <row r="1399" spans="1:10" x14ac:dyDescent="0.25">
      <c r="A1399">
        <v>1398</v>
      </c>
      <c r="B1399" s="1">
        <v>45637</v>
      </c>
      <c r="C1399" t="s">
        <v>10</v>
      </c>
      <c r="D1399" t="s">
        <v>15</v>
      </c>
      <c r="E1399">
        <v>128</v>
      </c>
      <c r="F1399">
        <v>12</v>
      </c>
      <c r="G1399">
        <v>9.6</v>
      </c>
      <c r="H1399" t="s">
        <v>18</v>
      </c>
      <c r="I1399" t="s">
        <v>19</v>
      </c>
      <c r="J1399" t="s">
        <v>15</v>
      </c>
    </row>
    <row r="1400" spans="1:10" x14ac:dyDescent="0.25">
      <c r="A1400">
        <v>1399</v>
      </c>
      <c r="B1400" s="1">
        <v>45511</v>
      </c>
      <c r="C1400" t="s">
        <v>21</v>
      </c>
      <c r="D1400" t="s">
        <v>15</v>
      </c>
      <c r="E1400">
        <v>233</v>
      </c>
      <c r="F1400">
        <v>37</v>
      </c>
      <c r="G1400">
        <v>3.6</v>
      </c>
      <c r="H1400" t="s">
        <v>18</v>
      </c>
      <c r="I1400" t="s">
        <v>16</v>
      </c>
      <c r="J1400" t="s">
        <v>11</v>
      </c>
    </row>
    <row r="1401" spans="1:10" x14ac:dyDescent="0.25">
      <c r="A1401">
        <v>1400</v>
      </c>
      <c r="B1401" s="1">
        <v>45457</v>
      </c>
      <c r="C1401" t="s">
        <v>10</v>
      </c>
      <c r="D1401" t="s">
        <v>15</v>
      </c>
      <c r="E1401">
        <v>116</v>
      </c>
      <c r="F1401">
        <v>44</v>
      </c>
      <c r="G1401">
        <v>5.2</v>
      </c>
      <c r="H1401" t="s">
        <v>12</v>
      </c>
      <c r="I1401" t="s">
        <v>16</v>
      </c>
      <c r="J1401" t="s">
        <v>11</v>
      </c>
    </row>
    <row r="1402" spans="1:10" x14ac:dyDescent="0.25">
      <c r="A1402">
        <v>1401</v>
      </c>
      <c r="B1402" s="1">
        <v>45604</v>
      </c>
      <c r="C1402" t="s">
        <v>21</v>
      </c>
      <c r="D1402" t="s">
        <v>17</v>
      </c>
      <c r="E1402">
        <v>12</v>
      </c>
      <c r="F1402">
        <v>19</v>
      </c>
      <c r="G1402">
        <v>4.8</v>
      </c>
      <c r="H1402" t="s">
        <v>18</v>
      </c>
      <c r="I1402" t="s">
        <v>13</v>
      </c>
      <c r="J1402" t="s">
        <v>15</v>
      </c>
    </row>
    <row r="1403" spans="1:10" x14ac:dyDescent="0.25">
      <c r="A1403">
        <v>1402</v>
      </c>
      <c r="B1403" s="1">
        <v>45601</v>
      </c>
      <c r="C1403" t="s">
        <v>14</v>
      </c>
      <c r="D1403" t="s">
        <v>20</v>
      </c>
      <c r="E1403">
        <v>209</v>
      </c>
      <c r="F1403">
        <v>7</v>
      </c>
      <c r="G1403">
        <v>4.0999999999999996</v>
      </c>
      <c r="H1403" t="s">
        <v>18</v>
      </c>
      <c r="I1403" t="s">
        <v>16</v>
      </c>
      <c r="J1403" t="s">
        <v>11</v>
      </c>
    </row>
    <row r="1404" spans="1:10" x14ac:dyDescent="0.25">
      <c r="A1404">
        <v>1403</v>
      </c>
      <c r="B1404" s="1">
        <v>45654</v>
      </c>
      <c r="C1404" t="s">
        <v>21</v>
      </c>
      <c r="D1404" t="s">
        <v>17</v>
      </c>
      <c r="E1404">
        <v>196</v>
      </c>
      <c r="F1404">
        <v>8</v>
      </c>
      <c r="G1404">
        <v>7.8</v>
      </c>
      <c r="H1404" t="s">
        <v>18</v>
      </c>
      <c r="I1404" t="s">
        <v>13</v>
      </c>
      <c r="J1404" t="s">
        <v>11</v>
      </c>
    </row>
    <row r="1405" spans="1:10" x14ac:dyDescent="0.25">
      <c r="A1405">
        <v>1404</v>
      </c>
      <c r="B1405" s="1">
        <v>45405</v>
      </c>
      <c r="C1405" t="s">
        <v>14</v>
      </c>
      <c r="D1405" t="s">
        <v>17</v>
      </c>
      <c r="E1405">
        <v>47</v>
      </c>
      <c r="F1405">
        <v>52</v>
      </c>
      <c r="G1405">
        <v>4.9000000000000004</v>
      </c>
      <c r="H1405" t="s">
        <v>18</v>
      </c>
      <c r="I1405" t="s">
        <v>19</v>
      </c>
      <c r="J1405" t="s">
        <v>11</v>
      </c>
    </row>
    <row r="1406" spans="1:10" x14ac:dyDescent="0.25">
      <c r="A1406">
        <v>1405</v>
      </c>
      <c r="B1406" s="1">
        <v>45418</v>
      </c>
      <c r="C1406" t="s">
        <v>23</v>
      </c>
      <c r="D1406" t="s">
        <v>11</v>
      </c>
      <c r="E1406">
        <v>231</v>
      </c>
      <c r="F1406">
        <v>50</v>
      </c>
      <c r="G1406">
        <v>4.8</v>
      </c>
      <c r="H1406" t="s">
        <v>18</v>
      </c>
      <c r="I1406" t="s">
        <v>13</v>
      </c>
      <c r="J1406" t="s">
        <v>11</v>
      </c>
    </row>
    <row r="1407" spans="1:10" x14ac:dyDescent="0.25">
      <c r="A1407">
        <v>1406</v>
      </c>
      <c r="B1407" s="1">
        <v>45520</v>
      </c>
      <c r="C1407" t="s">
        <v>22</v>
      </c>
      <c r="D1407" t="s">
        <v>11</v>
      </c>
      <c r="E1407">
        <v>233</v>
      </c>
      <c r="F1407">
        <v>7</v>
      </c>
      <c r="G1407">
        <v>9.3000000000000007</v>
      </c>
      <c r="H1407" t="s">
        <v>18</v>
      </c>
      <c r="I1407" t="s">
        <v>16</v>
      </c>
      <c r="J1407" t="s">
        <v>15</v>
      </c>
    </row>
    <row r="1408" spans="1:10" x14ac:dyDescent="0.25">
      <c r="A1408">
        <v>1407</v>
      </c>
      <c r="B1408" s="1">
        <v>45380</v>
      </c>
      <c r="C1408" t="s">
        <v>23</v>
      </c>
      <c r="D1408" t="s">
        <v>17</v>
      </c>
      <c r="E1408">
        <v>203</v>
      </c>
      <c r="F1408">
        <v>7</v>
      </c>
      <c r="G1408">
        <v>3.5</v>
      </c>
      <c r="H1408" t="s">
        <v>18</v>
      </c>
      <c r="I1408" t="s">
        <v>16</v>
      </c>
      <c r="J1408" t="s">
        <v>11</v>
      </c>
    </row>
    <row r="1409" spans="1:10" x14ac:dyDescent="0.25">
      <c r="A1409">
        <v>1408</v>
      </c>
      <c r="B1409" s="1">
        <v>45492</v>
      </c>
      <c r="C1409" t="s">
        <v>14</v>
      </c>
      <c r="D1409" t="s">
        <v>11</v>
      </c>
      <c r="E1409">
        <v>127</v>
      </c>
      <c r="F1409">
        <v>69</v>
      </c>
      <c r="G1409">
        <v>3.1</v>
      </c>
      <c r="H1409" t="s">
        <v>12</v>
      </c>
      <c r="I1409" t="s">
        <v>16</v>
      </c>
      <c r="J1409" t="s">
        <v>11</v>
      </c>
    </row>
    <row r="1410" spans="1:10" x14ac:dyDescent="0.25">
      <c r="A1410">
        <v>1409</v>
      </c>
      <c r="B1410" s="1">
        <v>45496</v>
      </c>
      <c r="C1410" t="s">
        <v>22</v>
      </c>
      <c r="D1410" t="s">
        <v>20</v>
      </c>
      <c r="E1410">
        <v>239</v>
      </c>
      <c r="F1410">
        <v>17</v>
      </c>
      <c r="G1410">
        <v>9.6</v>
      </c>
      <c r="H1410" t="s">
        <v>18</v>
      </c>
      <c r="I1410" t="s">
        <v>16</v>
      </c>
      <c r="J1410" t="s">
        <v>11</v>
      </c>
    </row>
    <row r="1411" spans="1:10" x14ac:dyDescent="0.25">
      <c r="A1411">
        <v>1410</v>
      </c>
      <c r="B1411" s="1">
        <v>45390</v>
      </c>
      <c r="C1411" t="s">
        <v>21</v>
      </c>
      <c r="D1411" t="s">
        <v>20</v>
      </c>
      <c r="E1411">
        <v>159</v>
      </c>
      <c r="F1411">
        <v>4</v>
      </c>
      <c r="G1411">
        <v>9.1</v>
      </c>
      <c r="H1411" t="s">
        <v>18</v>
      </c>
      <c r="I1411" t="s">
        <v>13</v>
      </c>
      <c r="J1411" t="s">
        <v>15</v>
      </c>
    </row>
    <row r="1412" spans="1:10" x14ac:dyDescent="0.25">
      <c r="A1412">
        <v>1411</v>
      </c>
      <c r="B1412" s="1">
        <v>45481</v>
      </c>
      <c r="C1412" t="s">
        <v>21</v>
      </c>
      <c r="D1412" t="s">
        <v>20</v>
      </c>
      <c r="E1412">
        <v>5</v>
      </c>
      <c r="F1412">
        <v>58</v>
      </c>
      <c r="G1412">
        <v>7.2</v>
      </c>
      <c r="H1412" t="s">
        <v>18</v>
      </c>
      <c r="I1412" t="s">
        <v>19</v>
      </c>
      <c r="J1412" t="s">
        <v>15</v>
      </c>
    </row>
    <row r="1413" spans="1:10" x14ac:dyDescent="0.25">
      <c r="A1413">
        <v>1412</v>
      </c>
      <c r="B1413" s="1">
        <v>45503</v>
      </c>
      <c r="C1413" t="s">
        <v>23</v>
      </c>
      <c r="D1413" t="s">
        <v>20</v>
      </c>
      <c r="E1413">
        <v>153</v>
      </c>
      <c r="F1413">
        <v>51</v>
      </c>
      <c r="G1413">
        <v>8</v>
      </c>
      <c r="H1413" t="s">
        <v>12</v>
      </c>
      <c r="I1413" t="s">
        <v>16</v>
      </c>
      <c r="J1413" t="s">
        <v>11</v>
      </c>
    </row>
    <row r="1414" spans="1:10" x14ac:dyDescent="0.25">
      <c r="A1414">
        <v>1413</v>
      </c>
      <c r="B1414" s="1">
        <v>45455</v>
      </c>
      <c r="C1414" t="s">
        <v>10</v>
      </c>
      <c r="D1414" t="s">
        <v>20</v>
      </c>
      <c r="E1414">
        <v>147</v>
      </c>
      <c r="F1414">
        <v>43</v>
      </c>
      <c r="G1414">
        <v>8.5</v>
      </c>
      <c r="H1414" t="s">
        <v>18</v>
      </c>
      <c r="I1414" t="s">
        <v>19</v>
      </c>
      <c r="J1414" t="s">
        <v>11</v>
      </c>
    </row>
    <row r="1415" spans="1:10" x14ac:dyDescent="0.25">
      <c r="A1415">
        <v>1414</v>
      </c>
      <c r="B1415" s="1">
        <v>45531</v>
      </c>
      <c r="C1415" t="s">
        <v>10</v>
      </c>
      <c r="D1415" t="s">
        <v>17</v>
      </c>
      <c r="E1415">
        <v>128</v>
      </c>
      <c r="F1415">
        <v>24</v>
      </c>
      <c r="G1415">
        <v>9.1</v>
      </c>
      <c r="H1415" t="s">
        <v>12</v>
      </c>
      <c r="I1415" t="s">
        <v>16</v>
      </c>
      <c r="J1415" t="s">
        <v>11</v>
      </c>
    </row>
    <row r="1416" spans="1:10" x14ac:dyDescent="0.25">
      <c r="A1416">
        <v>1415</v>
      </c>
      <c r="B1416" s="1">
        <v>45500</v>
      </c>
      <c r="C1416" t="s">
        <v>14</v>
      </c>
      <c r="D1416" t="s">
        <v>15</v>
      </c>
      <c r="E1416">
        <v>137</v>
      </c>
      <c r="F1416">
        <v>3</v>
      </c>
      <c r="G1416">
        <v>6.6</v>
      </c>
      <c r="H1416" t="s">
        <v>12</v>
      </c>
      <c r="I1416" t="s">
        <v>19</v>
      </c>
      <c r="J1416" t="s">
        <v>15</v>
      </c>
    </row>
    <row r="1417" spans="1:10" x14ac:dyDescent="0.25">
      <c r="A1417">
        <v>1416</v>
      </c>
      <c r="B1417" s="1">
        <v>45317</v>
      </c>
      <c r="C1417" t="s">
        <v>21</v>
      </c>
      <c r="D1417" t="s">
        <v>17</v>
      </c>
      <c r="E1417">
        <v>68</v>
      </c>
      <c r="F1417">
        <v>56</v>
      </c>
      <c r="G1417">
        <v>7.8</v>
      </c>
      <c r="H1417" t="s">
        <v>18</v>
      </c>
      <c r="I1417" t="s">
        <v>19</v>
      </c>
      <c r="J1417" t="s">
        <v>11</v>
      </c>
    </row>
    <row r="1418" spans="1:10" x14ac:dyDescent="0.25">
      <c r="A1418">
        <v>1417</v>
      </c>
      <c r="B1418" s="1">
        <v>45548</v>
      </c>
      <c r="C1418" t="s">
        <v>14</v>
      </c>
      <c r="D1418" t="s">
        <v>15</v>
      </c>
      <c r="E1418">
        <v>206</v>
      </c>
      <c r="F1418">
        <v>10</v>
      </c>
      <c r="G1418">
        <v>2.9</v>
      </c>
      <c r="H1418" t="s">
        <v>12</v>
      </c>
      <c r="I1418" t="s">
        <v>16</v>
      </c>
      <c r="J1418" t="s">
        <v>11</v>
      </c>
    </row>
    <row r="1419" spans="1:10" x14ac:dyDescent="0.25">
      <c r="A1419">
        <v>1418</v>
      </c>
      <c r="B1419" s="1">
        <v>45469</v>
      </c>
      <c r="C1419" t="s">
        <v>22</v>
      </c>
      <c r="D1419" t="s">
        <v>20</v>
      </c>
      <c r="E1419">
        <v>151</v>
      </c>
      <c r="F1419">
        <v>32</v>
      </c>
      <c r="G1419">
        <v>2.2000000000000002</v>
      </c>
      <c r="H1419" t="s">
        <v>12</v>
      </c>
      <c r="I1419" t="s">
        <v>19</v>
      </c>
      <c r="J1419" t="s">
        <v>11</v>
      </c>
    </row>
    <row r="1420" spans="1:10" x14ac:dyDescent="0.25">
      <c r="A1420">
        <v>1419</v>
      </c>
      <c r="B1420" s="1">
        <v>45398</v>
      </c>
      <c r="C1420" t="s">
        <v>23</v>
      </c>
      <c r="D1420" t="s">
        <v>17</v>
      </c>
      <c r="E1420">
        <v>140</v>
      </c>
      <c r="F1420">
        <v>10</v>
      </c>
      <c r="G1420">
        <v>6.1</v>
      </c>
      <c r="H1420" t="s">
        <v>12</v>
      </c>
      <c r="I1420" t="s">
        <v>16</v>
      </c>
      <c r="J1420" t="s">
        <v>11</v>
      </c>
    </row>
    <row r="1421" spans="1:10" x14ac:dyDescent="0.25">
      <c r="A1421">
        <v>1420</v>
      </c>
      <c r="B1421" s="1">
        <v>45463</v>
      </c>
      <c r="C1421" t="s">
        <v>14</v>
      </c>
      <c r="D1421" t="s">
        <v>15</v>
      </c>
      <c r="E1421">
        <v>93</v>
      </c>
      <c r="F1421">
        <v>32</v>
      </c>
      <c r="G1421">
        <v>7.1</v>
      </c>
      <c r="H1421" t="s">
        <v>18</v>
      </c>
      <c r="I1421" t="s">
        <v>13</v>
      </c>
      <c r="J1421" t="s">
        <v>15</v>
      </c>
    </row>
    <row r="1422" spans="1:10" x14ac:dyDescent="0.25">
      <c r="A1422">
        <v>1421</v>
      </c>
      <c r="B1422" s="1">
        <v>45478</v>
      </c>
      <c r="C1422" t="s">
        <v>22</v>
      </c>
      <c r="D1422" t="s">
        <v>11</v>
      </c>
      <c r="E1422">
        <v>49</v>
      </c>
      <c r="F1422">
        <v>39</v>
      </c>
      <c r="G1422">
        <v>6.3</v>
      </c>
      <c r="H1422" t="s">
        <v>18</v>
      </c>
      <c r="I1422" t="s">
        <v>19</v>
      </c>
      <c r="J1422" t="s">
        <v>15</v>
      </c>
    </row>
    <row r="1423" spans="1:10" x14ac:dyDescent="0.25">
      <c r="A1423">
        <v>1422</v>
      </c>
      <c r="B1423" s="1">
        <v>45455</v>
      </c>
      <c r="C1423" t="s">
        <v>23</v>
      </c>
      <c r="D1423" t="s">
        <v>17</v>
      </c>
      <c r="E1423">
        <v>132</v>
      </c>
      <c r="F1423">
        <v>12</v>
      </c>
      <c r="G1423">
        <v>6.5</v>
      </c>
      <c r="H1423" t="s">
        <v>12</v>
      </c>
      <c r="I1423" t="s">
        <v>16</v>
      </c>
      <c r="J1423" t="s">
        <v>11</v>
      </c>
    </row>
    <row r="1424" spans="1:10" x14ac:dyDescent="0.25">
      <c r="A1424">
        <v>1423</v>
      </c>
      <c r="B1424" s="1">
        <v>45554</v>
      </c>
      <c r="C1424" t="s">
        <v>14</v>
      </c>
      <c r="D1424" t="s">
        <v>11</v>
      </c>
      <c r="E1424">
        <v>186</v>
      </c>
      <c r="F1424">
        <v>56</v>
      </c>
      <c r="G1424">
        <v>7</v>
      </c>
      <c r="H1424" t="s">
        <v>12</v>
      </c>
      <c r="I1424" t="s">
        <v>19</v>
      </c>
      <c r="J1424" t="s">
        <v>11</v>
      </c>
    </row>
    <row r="1425" spans="1:10" x14ac:dyDescent="0.25">
      <c r="A1425">
        <v>1424</v>
      </c>
      <c r="B1425" s="1">
        <v>45517</v>
      </c>
      <c r="C1425" t="s">
        <v>22</v>
      </c>
      <c r="D1425" t="s">
        <v>20</v>
      </c>
      <c r="E1425">
        <v>167</v>
      </c>
      <c r="F1425">
        <v>1</v>
      </c>
      <c r="G1425">
        <v>3.8</v>
      </c>
      <c r="H1425" t="s">
        <v>12</v>
      </c>
      <c r="I1425" t="s">
        <v>13</v>
      </c>
      <c r="J1425" t="s">
        <v>11</v>
      </c>
    </row>
    <row r="1426" spans="1:10" x14ac:dyDescent="0.25">
      <c r="A1426">
        <v>1425</v>
      </c>
      <c r="B1426" s="1">
        <v>45397</v>
      </c>
      <c r="C1426" t="s">
        <v>21</v>
      </c>
      <c r="D1426" t="s">
        <v>15</v>
      </c>
      <c r="E1426">
        <v>79</v>
      </c>
      <c r="F1426">
        <v>70</v>
      </c>
      <c r="G1426">
        <v>6.1</v>
      </c>
      <c r="H1426" t="s">
        <v>12</v>
      </c>
      <c r="I1426" t="s">
        <v>16</v>
      </c>
      <c r="J1426" t="s">
        <v>11</v>
      </c>
    </row>
    <row r="1427" spans="1:10" x14ac:dyDescent="0.25">
      <c r="A1427">
        <v>1426</v>
      </c>
      <c r="B1427" s="1">
        <v>45311</v>
      </c>
      <c r="C1427" t="s">
        <v>14</v>
      </c>
      <c r="D1427" t="s">
        <v>17</v>
      </c>
      <c r="E1427">
        <v>229</v>
      </c>
      <c r="F1427">
        <v>42</v>
      </c>
      <c r="G1427">
        <v>6.6</v>
      </c>
      <c r="H1427" t="s">
        <v>18</v>
      </c>
      <c r="I1427" t="s">
        <v>19</v>
      </c>
      <c r="J1427" t="s">
        <v>11</v>
      </c>
    </row>
    <row r="1428" spans="1:10" x14ac:dyDescent="0.25">
      <c r="A1428">
        <v>1427</v>
      </c>
      <c r="B1428" s="1">
        <v>45653</v>
      </c>
      <c r="C1428" t="s">
        <v>14</v>
      </c>
      <c r="D1428" t="s">
        <v>17</v>
      </c>
      <c r="E1428">
        <v>213</v>
      </c>
      <c r="F1428">
        <v>51</v>
      </c>
      <c r="G1428">
        <v>9.3000000000000007</v>
      </c>
      <c r="H1428" t="s">
        <v>12</v>
      </c>
      <c r="I1428" t="s">
        <v>13</v>
      </c>
      <c r="J1428" t="s">
        <v>11</v>
      </c>
    </row>
    <row r="1429" spans="1:10" x14ac:dyDescent="0.25">
      <c r="A1429">
        <v>1428</v>
      </c>
      <c r="B1429" s="1">
        <v>45362</v>
      </c>
      <c r="C1429" t="s">
        <v>22</v>
      </c>
      <c r="D1429" t="s">
        <v>11</v>
      </c>
      <c r="E1429">
        <v>80</v>
      </c>
      <c r="F1429">
        <v>50</v>
      </c>
      <c r="G1429">
        <v>7.4</v>
      </c>
      <c r="H1429" t="s">
        <v>12</v>
      </c>
      <c r="I1429" t="s">
        <v>19</v>
      </c>
      <c r="J1429" t="s">
        <v>11</v>
      </c>
    </row>
    <row r="1430" spans="1:10" x14ac:dyDescent="0.25">
      <c r="A1430">
        <v>1429</v>
      </c>
      <c r="B1430" s="1">
        <v>45309</v>
      </c>
      <c r="C1430" t="s">
        <v>10</v>
      </c>
      <c r="D1430" t="s">
        <v>11</v>
      </c>
      <c r="E1430">
        <v>104</v>
      </c>
      <c r="F1430">
        <v>12</v>
      </c>
      <c r="G1430">
        <v>4.8</v>
      </c>
      <c r="H1430" t="s">
        <v>18</v>
      </c>
      <c r="I1430" t="s">
        <v>13</v>
      </c>
      <c r="J1430" t="s">
        <v>11</v>
      </c>
    </row>
    <row r="1431" spans="1:10" x14ac:dyDescent="0.25">
      <c r="A1431">
        <v>1430</v>
      </c>
      <c r="B1431" s="1">
        <v>45619</v>
      </c>
      <c r="C1431" t="s">
        <v>14</v>
      </c>
      <c r="D1431" t="s">
        <v>11</v>
      </c>
      <c r="E1431">
        <v>121</v>
      </c>
      <c r="F1431">
        <v>29</v>
      </c>
      <c r="G1431">
        <v>7.9</v>
      </c>
      <c r="H1431" t="s">
        <v>12</v>
      </c>
      <c r="I1431" t="s">
        <v>13</v>
      </c>
      <c r="J1431" t="s">
        <v>11</v>
      </c>
    </row>
    <row r="1432" spans="1:10" x14ac:dyDescent="0.25">
      <c r="A1432">
        <v>1431</v>
      </c>
      <c r="B1432" s="1">
        <v>45530</v>
      </c>
      <c r="C1432" t="s">
        <v>10</v>
      </c>
      <c r="D1432" t="s">
        <v>11</v>
      </c>
      <c r="E1432">
        <v>167</v>
      </c>
      <c r="F1432">
        <v>69</v>
      </c>
      <c r="G1432">
        <v>9.1999999999999993</v>
      </c>
      <c r="H1432" t="s">
        <v>12</v>
      </c>
      <c r="I1432" t="s">
        <v>13</v>
      </c>
      <c r="J1432" t="s">
        <v>11</v>
      </c>
    </row>
    <row r="1433" spans="1:10" x14ac:dyDescent="0.25">
      <c r="A1433">
        <v>1432</v>
      </c>
      <c r="B1433" s="1">
        <v>45510</v>
      </c>
      <c r="C1433" t="s">
        <v>22</v>
      </c>
      <c r="D1433" t="s">
        <v>11</v>
      </c>
      <c r="E1433">
        <v>218</v>
      </c>
      <c r="F1433">
        <v>13</v>
      </c>
      <c r="G1433">
        <v>5.6</v>
      </c>
      <c r="H1433" t="s">
        <v>12</v>
      </c>
      <c r="I1433" t="s">
        <v>13</v>
      </c>
      <c r="J1433" t="s">
        <v>11</v>
      </c>
    </row>
    <row r="1434" spans="1:10" x14ac:dyDescent="0.25">
      <c r="A1434">
        <v>1433</v>
      </c>
      <c r="B1434" s="1">
        <v>45536</v>
      </c>
      <c r="C1434" t="s">
        <v>14</v>
      </c>
      <c r="D1434" t="s">
        <v>17</v>
      </c>
      <c r="E1434">
        <v>144</v>
      </c>
      <c r="F1434">
        <v>50</v>
      </c>
      <c r="G1434">
        <v>3</v>
      </c>
      <c r="H1434" t="s">
        <v>18</v>
      </c>
      <c r="I1434" t="s">
        <v>19</v>
      </c>
      <c r="J1434" t="s">
        <v>11</v>
      </c>
    </row>
    <row r="1435" spans="1:10" x14ac:dyDescent="0.25">
      <c r="A1435">
        <v>1434</v>
      </c>
      <c r="B1435" s="1">
        <v>45616</v>
      </c>
      <c r="C1435" t="s">
        <v>21</v>
      </c>
      <c r="D1435" t="s">
        <v>20</v>
      </c>
      <c r="E1435">
        <v>98</v>
      </c>
      <c r="F1435">
        <v>34</v>
      </c>
      <c r="G1435">
        <v>3.9</v>
      </c>
      <c r="H1435" t="s">
        <v>12</v>
      </c>
      <c r="I1435" t="s">
        <v>19</v>
      </c>
      <c r="J1435" t="s">
        <v>11</v>
      </c>
    </row>
    <row r="1436" spans="1:10" x14ac:dyDescent="0.25">
      <c r="A1436">
        <v>1435</v>
      </c>
      <c r="B1436" s="1">
        <v>45384</v>
      </c>
      <c r="C1436" t="s">
        <v>22</v>
      </c>
      <c r="D1436" t="s">
        <v>17</v>
      </c>
      <c r="E1436">
        <v>213</v>
      </c>
      <c r="F1436">
        <v>3</v>
      </c>
      <c r="G1436">
        <v>6.1</v>
      </c>
      <c r="H1436" t="s">
        <v>18</v>
      </c>
      <c r="I1436" t="s">
        <v>19</v>
      </c>
      <c r="J1436" t="s">
        <v>15</v>
      </c>
    </row>
    <row r="1437" spans="1:10" x14ac:dyDescent="0.25">
      <c r="A1437">
        <v>1436</v>
      </c>
      <c r="B1437" s="1">
        <v>45538</v>
      </c>
      <c r="C1437" t="s">
        <v>21</v>
      </c>
      <c r="D1437" t="s">
        <v>17</v>
      </c>
      <c r="E1437">
        <v>154</v>
      </c>
      <c r="F1437">
        <v>53</v>
      </c>
      <c r="G1437">
        <v>7.9</v>
      </c>
      <c r="H1437" t="s">
        <v>18</v>
      </c>
      <c r="I1437" t="s">
        <v>19</v>
      </c>
      <c r="J1437" t="s">
        <v>11</v>
      </c>
    </row>
    <row r="1438" spans="1:10" x14ac:dyDescent="0.25">
      <c r="A1438">
        <v>1437</v>
      </c>
      <c r="B1438" s="1">
        <v>45492</v>
      </c>
      <c r="C1438" t="s">
        <v>22</v>
      </c>
      <c r="D1438" t="s">
        <v>20</v>
      </c>
      <c r="E1438">
        <v>115</v>
      </c>
      <c r="F1438">
        <v>10</v>
      </c>
      <c r="G1438">
        <v>1.5</v>
      </c>
      <c r="H1438" t="s">
        <v>12</v>
      </c>
      <c r="I1438" t="s">
        <v>19</v>
      </c>
      <c r="J1438" t="s">
        <v>11</v>
      </c>
    </row>
    <row r="1439" spans="1:10" x14ac:dyDescent="0.25">
      <c r="A1439">
        <v>1438</v>
      </c>
      <c r="B1439" s="1">
        <v>45450</v>
      </c>
      <c r="C1439" t="s">
        <v>10</v>
      </c>
      <c r="D1439" t="s">
        <v>20</v>
      </c>
      <c r="E1439">
        <v>65</v>
      </c>
      <c r="F1439">
        <v>18</v>
      </c>
      <c r="G1439">
        <v>1</v>
      </c>
      <c r="H1439" t="s">
        <v>18</v>
      </c>
      <c r="I1439" t="s">
        <v>16</v>
      </c>
      <c r="J1439" t="s">
        <v>11</v>
      </c>
    </row>
    <row r="1440" spans="1:10" x14ac:dyDescent="0.25">
      <c r="A1440">
        <v>1439</v>
      </c>
      <c r="B1440" s="1">
        <v>45389</v>
      </c>
      <c r="C1440" t="s">
        <v>21</v>
      </c>
      <c r="D1440" t="s">
        <v>20</v>
      </c>
      <c r="E1440">
        <v>16</v>
      </c>
      <c r="F1440">
        <v>21</v>
      </c>
      <c r="G1440">
        <v>1.5</v>
      </c>
      <c r="H1440" t="s">
        <v>18</v>
      </c>
      <c r="I1440" t="s">
        <v>19</v>
      </c>
      <c r="J1440" t="s">
        <v>15</v>
      </c>
    </row>
    <row r="1441" spans="1:10" x14ac:dyDescent="0.25">
      <c r="A1441">
        <v>1440</v>
      </c>
      <c r="B1441" s="1">
        <v>45537</v>
      </c>
      <c r="C1441" t="s">
        <v>23</v>
      </c>
      <c r="D1441" t="s">
        <v>17</v>
      </c>
      <c r="E1441">
        <v>19</v>
      </c>
      <c r="F1441">
        <v>25</v>
      </c>
      <c r="G1441">
        <v>9.5</v>
      </c>
      <c r="H1441" t="s">
        <v>12</v>
      </c>
      <c r="I1441" t="s">
        <v>16</v>
      </c>
      <c r="J1441" t="s">
        <v>15</v>
      </c>
    </row>
    <row r="1442" spans="1:10" x14ac:dyDescent="0.25">
      <c r="A1442">
        <v>1441</v>
      </c>
      <c r="B1442" s="1">
        <v>45332</v>
      </c>
      <c r="C1442" t="s">
        <v>10</v>
      </c>
      <c r="D1442" t="s">
        <v>20</v>
      </c>
      <c r="E1442">
        <v>90</v>
      </c>
      <c r="F1442">
        <v>26</v>
      </c>
      <c r="G1442">
        <v>6.6</v>
      </c>
      <c r="H1442" t="s">
        <v>12</v>
      </c>
      <c r="I1442" t="s">
        <v>13</v>
      </c>
      <c r="J1442" t="s">
        <v>11</v>
      </c>
    </row>
    <row r="1443" spans="1:10" x14ac:dyDescent="0.25">
      <c r="A1443">
        <v>1442</v>
      </c>
      <c r="B1443" s="1">
        <v>45610</v>
      </c>
      <c r="C1443" t="s">
        <v>14</v>
      </c>
      <c r="D1443" t="s">
        <v>11</v>
      </c>
      <c r="E1443">
        <v>17</v>
      </c>
      <c r="F1443">
        <v>68</v>
      </c>
      <c r="G1443">
        <v>6.9</v>
      </c>
      <c r="H1443" t="s">
        <v>18</v>
      </c>
      <c r="I1443" t="s">
        <v>16</v>
      </c>
      <c r="J1443" t="s">
        <v>20</v>
      </c>
    </row>
    <row r="1444" spans="1:10" x14ac:dyDescent="0.25">
      <c r="A1444">
        <v>1443</v>
      </c>
      <c r="B1444" s="1">
        <v>45466</v>
      </c>
      <c r="C1444" t="s">
        <v>23</v>
      </c>
      <c r="D1444" t="s">
        <v>17</v>
      </c>
      <c r="E1444">
        <v>122</v>
      </c>
      <c r="F1444">
        <v>3</v>
      </c>
      <c r="G1444">
        <v>5.4</v>
      </c>
      <c r="H1444" t="s">
        <v>12</v>
      </c>
      <c r="I1444" t="s">
        <v>19</v>
      </c>
      <c r="J1444" t="s">
        <v>15</v>
      </c>
    </row>
    <row r="1445" spans="1:10" x14ac:dyDescent="0.25">
      <c r="A1445">
        <v>1444</v>
      </c>
      <c r="B1445" s="1">
        <v>45512</v>
      </c>
      <c r="C1445" t="s">
        <v>22</v>
      </c>
      <c r="D1445" t="s">
        <v>20</v>
      </c>
      <c r="E1445">
        <v>43</v>
      </c>
      <c r="F1445">
        <v>66</v>
      </c>
      <c r="G1445">
        <v>4.3</v>
      </c>
      <c r="H1445" t="s">
        <v>12</v>
      </c>
      <c r="I1445" t="s">
        <v>13</v>
      </c>
      <c r="J1445" t="s">
        <v>11</v>
      </c>
    </row>
    <row r="1446" spans="1:10" x14ac:dyDescent="0.25">
      <c r="A1446">
        <v>1445</v>
      </c>
      <c r="B1446" s="1">
        <v>45618</v>
      </c>
      <c r="C1446" t="s">
        <v>23</v>
      </c>
      <c r="D1446" t="s">
        <v>20</v>
      </c>
      <c r="E1446">
        <v>109</v>
      </c>
      <c r="F1446">
        <v>37</v>
      </c>
      <c r="G1446">
        <v>3.1</v>
      </c>
      <c r="H1446" t="s">
        <v>12</v>
      </c>
      <c r="I1446" t="s">
        <v>19</v>
      </c>
      <c r="J1446" t="s">
        <v>11</v>
      </c>
    </row>
    <row r="1447" spans="1:10" x14ac:dyDescent="0.25">
      <c r="A1447">
        <v>1446</v>
      </c>
      <c r="B1447" s="1">
        <v>45343</v>
      </c>
      <c r="C1447" t="s">
        <v>10</v>
      </c>
      <c r="D1447" t="s">
        <v>11</v>
      </c>
      <c r="E1447">
        <v>120</v>
      </c>
      <c r="F1447">
        <v>13</v>
      </c>
      <c r="G1447">
        <v>9.5</v>
      </c>
      <c r="H1447" t="s">
        <v>12</v>
      </c>
      <c r="I1447" t="s">
        <v>19</v>
      </c>
      <c r="J1447" t="s">
        <v>11</v>
      </c>
    </row>
    <row r="1448" spans="1:10" x14ac:dyDescent="0.25">
      <c r="A1448">
        <v>1447</v>
      </c>
      <c r="B1448" s="1">
        <v>45518</v>
      </c>
      <c r="C1448" t="s">
        <v>10</v>
      </c>
      <c r="D1448" t="s">
        <v>15</v>
      </c>
      <c r="E1448">
        <v>172</v>
      </c>
      <c r="F1448">
        <v>13</v>
      </c>
      <c r="G1448">
        <v>6.6</v>
      </c>
      <c r="H1448" t="s">
        <v>12</v>
      </c>
      <c r="I1448" t="s">
        <v>16</v>
      </c>
      <c r="J1448" t="s">
        <v>11</v>
      </c>
    </row>
    <row r="1449" spans="1:10" x14ac:dyDescent="0.25">
      <c r="A1449">
        <v>1448</v>
      </c>
      <c r="B1449" s="1">
        <v>45590</v>
      </c>
      <c r="C1449" t="s">
        <v>21</v>
      </c>
      <c r="D1449" t="s">
        <v>11</v>
      </c>
      <c r="E1449">
        <v>187</v>
      </c>
      <c r="F1449">
        <v>13</v>
      </c>
      <c r="G1449">
        <v>0.8</v>
      </c>
      <c r="H1449" t="s">
        <v>18</v>
      </c>
      <c r="I1449" t="s">
        <v>19</v>
      </c>
      <c r="J1449" t="s">
        <v>11</v>
      </c>
    </row>
    <row r="1450" spans="1:10" x14ac:dyDescent="0.25">
      <c r="A1450">
        <v>1449</v>
      </c>
      <c r="B1450" s="1">
        <v>45577</v>
      </c>
      <c r="C1450" t="s">
        <v>21</v>
      </c>
      <c r="D1450" t="s">
        <v>20</v>
      </c>
      <c r="E1450">
        <v>166</v>
      </c>
      <c r="F1450">
        <v>24</v>
      </c>
      <c r="G1450">
        <v>8.1999999999999993</v>
      </c>
      <c r="H1450" t="s">
        <v>12</v>
      </c>
      <c r="I1450" t="s">
        <v>16</v>
      </c>
      <c r="J1450" t="s">
        <v>11</v>
      </c>
    </row>
    <row r="1451" spans="1:10" x14ac:dyDescent="0.25">
      <c r="A1451">
        <v>1450</v>
      </c>
      <c r="B1451" s="1">
        <v>45554</v>
      </c>
      <c r="C1451" t="s">
        <v>10</v>
      </c>
      <c r="D1451" t="s">
        <v>15</v>
      </c>
      <c r="E1451">
        <v>8</v>
      </c>
      <c r="F1451">
        <v>61</v>
      </c>
      <c r="G1451">
        <v>5</v>
      </c>
      <c r="H1451" t="s">
        <v>12</v>
      </c>
      <c r="I1451" t="s">
        <v>16</v>
      </c>
      <c r="J1451" t="s">
        <v>15</v>
      </c>
    </row>
    <row r="1452" spans="1:10" x14ac:dyDescent="0.25">
      <c r="A1452">
        <v>1451</v>
      </c>
      <c r="B1452" s="1">
        <v>45517</v>
      </c>
      <c r="C1452" t="s">
        <v>10</v>
      </c>
      <c r="D1452" t="s">
        <v>20</v>
      </c>
      <c r="E1452">
        <v>116</v>
      </c>
      <c r="F1452">
        <v>48</v>
      </c>
      <c r="G1452">
        <v>9.1999999999999993</v>
      </c>
      <c r="H1452" t="s">
        <v>12</v>
      </c>
      <c r="I1452" t="s">
        <v>13</v>
      </c>
      <c r="J1452" t="s">
        <v>11</v>
      </c>
    </row>
    <row r="1453" spans="1:10" x14ac:dyDescent="0.25">
      <c r="A1453">
        <v>1452</v>
      </c>
      <c r="B1453" s="1">
        <v>45631</v>
      </c>
      <c r="C1453" t="s">
        <v>21</v>
      </c>
      <c r="D1453" t="s">
        <v>17</v>
      </c>
      <c r="E1453">
        <v>212</v>
      </c>
      <c r="F1453">
        <v>32</v>
      </c>
      <c r="G1453">
        <v>3.7</v>
      </c>
      <c r="H1453" t="s">
        <v>12</v>
      </c>
      <c r="I1453" t="s">
        <v>16</v>
      </c>
      <c r="J1453" t="s">
        <v>11</v>
      </c>
    </row>
    <row r="1454" spans="1:10" x14ac:dyDescent="0.25">
      <c r="A1454">
        <v>1453</v>
      </c>
      <c r="B1454" s="1">
        <v>45382</v>
      </c>
      <c r="C1454" t="s">
        <v>23</v>
      </c>
      <c r="D1454" t="s">
        <v>11</v>
      </c>
      <c r="E1454">
        <v>167</v>
      </c>
      <c r="F1454">
        <v>63</v>
      </c>
      <c r="G1454">
        <v>6.1</v>
      </c>
      <c r="H1454" t="s">
        <v>18</v>
      </c>
      <c r="I1454" t="s">
        <v>16</v>
      </c>
      <c r="J1454" t="s">
        <v>15</v>
      </c>
    </row>
    <row r="1455" spans="1:10" x14ac:dyDescent="0.25">
      <c r="A1455">
        <v>1454</v>
      </c>
      <c r="B1455" s="1">
        <v>45391</v>
      </c>
      <c r="C1455" t="s">
        <v>22</v>
      </c>
      <c r="D1455" t="s">
        <v>11</v>
      </c>
      <c r="E1455">
        <v>106</v>
      </c>
      <c r="F1455">
        <v>65</v>
      </c>
      <c r="G1455">
        <v>8</v>
      </c>
      <c r="H1455" t="s">
        <v>18</v>
      </c>
      <c r="I1455" t="s">
        <v>16</v>
      </c>
      <c r="J1455" t="s">
        <v>15</v>
      </c>
    </row>
    <row r="1456" spans="1:10" x14ac:dyDescent="0.25">
      <c r="A1456">
        <v>1455</v>
      </c>
      <c r="B1456" s="1">
        <v>45398</v>
      </c>
      <c r="C1456" t="s">
        <v>22</v>
      </c>
      <c r="D1456" t="s">
        <v>11</v>
      </c>
      <c r="E1456">
        <v>149</v>
      </c>
      <c r="F1456">
        <v>8</v>
      </c>
      <c r="G1456">
        <v>2.8</v>
      </c>
      <c r="H1456" t="s">
        <v>12</v>
      </c>
      <c r="I1456" t="s">
        <v>19</v>
      </c>
      <c r="J1456" t="s">
        <v>11</v>
      </c>
    </row>
    <row r="1457" spans="1:10" x14ac:dyDescent="0.25">
      <c r="A1457">
        <v>1456</v>
      </c>
      <c r="B1457" s="1">
        <v>45605</v>
      </c>
      <c r="C1457" t="s">
        <v>21</v>
      </c>
      <c r="D1457" t="s">
        <v>20</v>
      </c>
      <c r="E1457">
        <v>200</v>
      </c>
      <c r="F1457">
        <v>14</v>
      </c>
      <c r="G1457">
        <v>6</v>
      </c>
      <c r="H1457" t="s">
        <v>18</v>
      </c>
      <c r="I1457" t="s">
        <v>13</v>
      </c>
      <c r="J1457" t="s">
        <v>11</v>
      </c>
    </row>
    <row r="1458" spans="1:10" x14ac:dyDescent="0.25">
      <c r="A1458">
        <v>1457</v>
      </c>
      <c r="B1458" s="1">
        <v>45347</v>
      </c>
      <c r="C1458" t="s">
        <v>23</v>
      </c>
      <c r="D1458" t="s">
        <v>20</v>
      </c>
      <c r="E1458">
        <v>161</v>
      </c>
      <c r="F1458">
        <v>67</v>
      </c>
      <c r="G1458">
        <v>8.6</v>
      </c>
      <c r="H1458" t="s">
        <v>12</v>
      </c>
      <c r="I1458" t="s">
        <v>16</v>
      </c>
      <c r="J1458" t="s">
        <v>11</v>
      </c>
    </row>
    <row r="1459" spans="1:10" x14ac:dyDescent="0.25">
      <c r="A1459">
        <v>1458</v>
      </c>
      <c r="B1459" s="1">
        <v>45536</v>
      </c>
      <c r="C1459" t="s">
        <v>21</v>
      </c>
      <c r="D1459" t="s">
        <v>15</v>
      </c>
      <c r="E1459">
        <v>181</v>
      </c>
      <c r="F1459">
        <v>37</v>
      </c>
      <c r="G1459">
        <v>5.3</v>
      </c>
      <c r="H1459" t="s">
        <v>18</v>
      </c>
      <c r="I1459" t="s">
        <v>19</v>
      </c>
      <c r="J1459" t="s">
        <v>15</v>
      </c>
    </row>
    <row r="1460" spans="1:10" x14ac:dyDescent="0.25">
      <c r="A1460">
        <v>1459</v>
      </c>
      <c r="B1460" s="1">
        <v>45410</v>
      </c>
      <c r="C1460" t="s">
        <v>21</v>
      </c>
      <c r="D1460" t="s">
        <v>20</v>
      </c>
      <c r="E1460">
        <v>188</v>
      </c>
      <c r="F1460">
        <v>23</v>
      </c>
      <c r="G1460">
        <v>1.4</v>
      </c>
      <c r="H1460" t="s">
        <v>18</v>
      </c>
      <c r="I1460" t="s">
        <v>13</v>
      </c>
      <c r="J1460" t="s">
        <v>11</v>
      </c>
    </row>
    <row r="1461" spans="1:10" x14ac:dyDescent="0.25">
      <c r="A1461">
        <v>1460</v>
      </c>
      <c r="B1461" s="1">
        <v>45469</v>
      </c>
      <c r="C1461" t="s">
        <v>14</v>
      </c>
      <c r="D1461" t="s">
        <v>20</v>
      </c>
      <c r="E1461">
        <v>145</v>
      </c>
      <c r="F1461">
        <v>9</v>
      </c>
      <c r="G1461">
        <v>5.4</v>
      </c>
      <c r="H1461" t="s">
        <v>12</v>
      </c>
      <c r="I1461" t="s">
        <v>13</v>
      </c>
      <c r="J1461" t="s">
        <v>11</v>
      </c>
    </row>
    <row r="1462" spans="1:10" x14ac:dyDescent="0.25">
      <c r="A1462">
        <v>1461</v>
      </c>
      <c r="B1462" s="1">
        <v>45656</v>
      </c>
      <c r="C1462" t="s">
        <v>22</v>
      </c>
      <c r="D1462" t="s">
        <v>17</v>
      </c>
      <c r="E1462">
        <v>188</v>
      </c>
      <c r="F1462">
        <v>26</v>
      </c>
      <c r="G1462">
        <v>3.9</v>
      </c>
      <c r="H1462" t="s">
        <v>12</v>
      </c>
      <c r="I1462" t="s">
        <v>19</v>
      </c>
      <c r="J1462" t="s">
        <v>11</v>
      </c>
    </row>
    <row r="1463" spans="1:10" x14ac:dyDescent="0.25">
      <c r="A1463">
        <v>1462</v>
      </c>
      <c r="B1463" s="1">
        <v>45640</v>
      </c>
      <c r="C1463" t="s">
        <v>10</v>
      </c>
      <c r="D1463" t="s">
        <v>20</v>
      </c>
      <c r="E1463">
        <v>185</v>
      </c>
      <c r="F1463">
        <v>44</v>
      </c>
      <c r="G1463">
        <v>7.2</v>
      </c>
      <c r="H1463" t="s">
        <v>12</v>
      </c>
      <c r="I1463" t="s">
        <v>13</v>
      </c>
      <c r="J1463" t="s">
        <v>11</v>
      </c>
    </row>
    <row r="1464" spans="1:10" x14ac:dyDescent="0.25">
      <c r="A1464">
        <v>1463</v>
      </c>
      <c r="B1464" s="1">
        <v>45532</v>
      </c>
      <c r="C1464" t="s">
        <v>22</v>
      </c>
      <c r="D1464" t="s">
        <v>15</v>
      </c>
      <c r="E1464">
        <v>22</v>
      </c>
      <c r="F1464">
        <v>45</v>
      </c>
      <c r="G1464">
        <v>2.7</v>
      </c>
      <c r="H1464" t="s">
        <v>12</v>
      </c>
      <c r="I1464" t="s">
        <v>13</v>
      </c>
      <c r="J1464" t="s">
        <v>15</v>
      </c>
    </row>
    <row r="1465" spans="1:10" x14ac:dyDescent="0.25">
      <c r="A1465">
        <v>1464</v>
      </c>
      <c r="B1465" s="1">
        <v>45510</v>
      </c>
      <c r="C1465" t="s">
        <v>21</v>
      </c>
      <c r="D1465" t="s">
        <v>17</v>
      </c>
      <c r="E1465">
        <v>85</v>
      </c>
      <c r="F1465">
        <v>28</v>
      </c>
      <c r="G1465">
        <v>3.2</v>
      </c>
      <c r="H1465" t="s">
        <v>12</v>
      </c>
      <c r="I1465" t="s">
        <v>13</v>
      </c>
      <c r="J1465" t="s">
        <v>11</v>
      </c>
    </row>
    <row r="1466" spans="1:10" x14ac:dyDescent="0.25">
      <c r="A1466">
        <v>1465</v>
      </c>
      <c r="B1466" s="1">
        <v>45303</v>
      </c>
      <c r="C1466" t="s">
        <v>21</v>
      </c>
      <c r="D1466" t="s">
        <v>15</v>
      </c>
      <c r="E1466">
        <v>112</v>
      </c>
      <c r="F1466">
        <v>19</v>
      </c>
      <c r="G1466">
        <v>2</v>
      </c>
      <c r="H1466" t="s">
        <v>12</v>
      </c>
      <c r="I1466" t="s">
        <v>16</v>
      </c>
      <c r="J1466" t="s">
        <v>11</v>
      </c>
    </row>
    <row r="1467" spans="1:10" x14ac:dyDescent="0.25">
      <c r="A1467">
        <v>1466</v>
      </c>
      <c r="B1467" s="1">
        <v>45587</v>
      </c>
      <c r="C1467" t="s">
        <v>10</v>
      </c>
      <c r="D1467" t="s">
        <v>15</v>
      </c>
      <c r="E1467">
        <v>227</v>
      </c>
      <c r="F1467">
        <v>20</v>
      </c>
      <c r="G1467">
        <v>1.8</v>
      </c>
      <c r="H1467" t="s">
        <v>18</v>
      </c>
      <c r="I1467" t="s">
        <v>13</v>
      </c>
      <c r="J1467" t="s">
        <v>11</v>
      </c>
    </row>
    <row r="1468" spans="1:10" x14ac:dyDescent="0.25">
      <c r="A1468">
        <v>1467</v>
      </c>
      <c r="B1468" s="1">
        <v>45427</v>
      </c>
      <c r="C1468" t="s">
        <v>23</v>
      </c>
      <c r="D1468" t="s">
        <v>20</v>
      </c>
      <c r="E1468">
        <v>86</v>
      </c>
      <c r="F1468">
        <v>16</v>
      </c>
      <c r="G1468">
        <v>8.4</v>
      </c>
      <c r="H1468" t="s">
        <v>12</v>
      </c>
      <c r="I1468" t="s">
        <v>13</v>
      </c>
      <c r="J1468" t="s">
        <v>11</v>
      </c>
    </row>
    <row r="1469" spans="1:10" x14ac:dyDescent="0.25">
      <c r="A1469">
        <v>1468</v>
      </c>
      <c r="B1469" s="1">
        <v>45618</v>
      </c>
      <c r="C1469" t="s">
        <v>10</v>
      </c>
      <c r="D1469" t="s">
        <v>11</v>
      </c>
      <c r="E1469">
        <v>124</v>
      </c>
      <c r="F1469">
        <v>12</v>
      </c>
      <c r="G1469">
        <v>5.6</v>
      </c>
      <c r="H1469" t="s">
        <v>18</v>
      </c>
      <c r="I1469" t="s">
        <v>19</v>
      </c>
      <c r="J1469" t="s">
        <v>15</v>
      </c>
    </row>
    <row r="1470" spans="1:10" x14ac:dyDescent="0.25">
      <c r="A1470">
        <v>1469</v>
      </c>
      <c r="B1470" s="1">
        <v>45357</v>
      </c>
      <c r="C1470" t="s">
        <v>10</v>
      </c>
      <c r="D1470" t="s">
        <v>17</v>
      </c>
      <c r="E1470">
        <v>139</v>
      </c>
      <c r="F1470">
        <v>58</v>
      </c>
      <c r="G1470">
        <v>9.3000000000000007</v>
      </c>
      <c r="H1470" t="s">
        <v>12</v>
      </c>
      <c r="I1470" t="s">
        <v>19</v>
      </c>
      <c r="J1470" t="s">
        <v>11</v>
      </c>
    </row>
    <row r="1471" spans="1:10" x14ac:dyDescent="0.25">
      <c r="A1471">
        <v>1470</v>
      </c>
      <c r="B1471" s="1">
        <v>45337</v>
      </c>
      <c r="C1471" t="s">
        <v>23</v>
      </c>
      <c r="D1471" t="s">
        <v>20</v>
      </c>
      <c r="E1471">
        <v>119</v>
      </c>
      <c r="F1471">
        <v>70</v>
      </c>
      <c r="G1471">
        <v>2.2999999999999998</v>
      </c>
      <c r="H1471" t="s">
        <v>18</v>
      </c>
      <c r="I1471" t="s">
        <v>13</v>
      </c>
      <c r="J1471" t="s">
        <v>11</v>
      </c>
    </row>
    <row r="1472" spans="1:10" x14ac:dyDescent="0.25">
      <c r="A1472">
        <v>1471</v>
      </c>
      <c r="B1472" s="1">
        <v>45492</v>
      </c>
      <c r="C1472" t="s">
        <v>21</v>
      </c>
      <c r="D1472" t="s">
        <v>20</v>
      </c>
      <c r="E1472">
        <v>8</v>
      </c>
      <c r="F1472">
        <v>53</v>
      </c>
      <c r="G1472">
        <v>3.7</v>
      </c>
      <c r="H1472" t="s">
        <v>12</v>
      </c>
      <c r="I1472" t="s">
        <v>13</v>
      </c>
      <c r="J1472" t="s">
        <v>11</v>
      </c>
    </row>
    <row r="1473" spans="1:10" x14ac:dyDescent="0.25">
      <c r="A1473">
        <v>1472</v>
      </c>
      <c r="B1473" s="1">
        <v>45296</v>
      </c>
      <c r="C1473" t="s">
        <v>10</v>
      </c>
      <c r="D1473" t="s">
        <v>11</v>
      </c>
      <c r="E1473">
        <v>190</v>
      </c>
      <c r="F1473">
        <v>34</v>
      </c>
      <c r="G1473">
        <v>3.5</v>
      </c>
      <c r="H1473" t="s">
        <v>18</v>
      </c>
      <c r="I1473" t="s">
        <v>19</v>
      </c>
      <c r="J1473" t="s">
        <v>11</v>
      </c>
    </row>
    <row r="1474" spans="1:10" x14ac:dyDescent="0.25">
      <c r="A1474">
        <v>1473</v>
      </c>
      <c r="B1474" s="1">
        <v>45293</v>
      </c>
      <c r="C1474" t="s">
        <v>22</v>
      </c>
      <c r="D1474" t="s">
        <v>20</v>
      </c>
      <c r="E1474">
        <v>7</v>
      </c>
      <c r="F1474">
        <v>6</v>
      </c>
      <c r="G1474">
        <v>3.1</v>
      </c>
      <c r="H1474" t="s">
        <v>18</v>
      </c>
      <c r="I1474" t="s">
        <v>13</v>
      </c>
      <c r="J1474" t="s">
        <v>20</v>
      </c>
    </row>
    <row r="1475" spans="1:10" x14ac:dyDescent="0.25">
      <c r="A1475">
        <v>1474</v>
      </c>
      <c r="B1475" s="1">
        <v>45458</v>
      </c>
      <c r="C1475" t="s">
        <v>14</v>
      </c>
      <c r="D1475" t="s">
        <v>11</v>
      </c>
      <c r="E1475">
        <v>127</v>
      </c>
      <c r="F1475">
        <v>37</v>
      </c>
      <c r="G1475">
        <v>3.5</v>
      </c>
      <c r="H1475" t="s">
        <v>18</v>
      </c>
      <c r="I1475" t="s">
        <v>19</v>
      </c>
      <c r="J1475" t="s">
        <v>11</v>
      </c>
    </row>
    <row r="1476" spans="1:10" x14ac:dyDescent="0.25">
      <c r="A1476">
        <v>1475</v>
      </c>
      <c r="B1476" s="1">
        <v>45527</v>
      </c>
      <c r="C1476" t="s">
        <v>21</v>
      </c>
      <c r="D1476" t="s">
        <v>17</v>
      </c>
      <c r="E1476">
        <v>182</v>
      </c>
      <c r="F1476">
        <v>38</v>
      </c>
      <c r="G1476">
        <v>3.1</v>
      </c>
      <c r="H1476" t="s">
        <v>18</v>
      </c>
      <c r="I1476" t="s">
        <v>13</v>
      </c>
      <c r="J1476" t="s">
        <v>11</v>
      </c>
    </row>
    <row r="1477" spans="1:10" x14ac:dyDescent="0.25">
      <c r="A1477">
        <v>1476</v>
      </c>
      <c r="B1477" s="1">
        <v>45398</v>
      </c>
      <c r="C1477" t="s">
        <v>23</v>
      </c>
      <c r="D1477" t="s">
        <v>17</v>
      </c>
      <c r="E1477">
        <v>177</v>
      </c>
      <c r="F1477">
        <v>2</v>
      </c>
      <c r="G1477">
        <v>4.4000000000000004</v>
      </c>
      <c r="H1477" t="s">
        <v>12</v>
      </c>
      <c r="I1477" t="s">
        <v>16</v>
      </c>
      <c r="J1477" t="s">
        <v>11</v>
      </c>
    </row>
    <row r="1478" spans="1:10" x14ac:dyDescent="0.25">
      <c r="A1478">
        <v>1477</v>
      </c>
      <c r="B1478" s="1">
        <v>45399</v>
      </c>
      <c r="C1478" t="s">
        <v>22</v>
      </c>
      <c r="D1478" t="s">
        <v>11</v>
      </c>
      <c r="E1478">
        <v>125</v>
      </c>
      <c r="F1478">
        <v>64</v>
      </c>
      <c r="G1478">
        <v>8</v>
      </c>
      <c r="H1478" t="s">
        <v>12</v>
      </c>
      <c r="I1478" t="s">
        <v>19</v>
      </c>
      <c r="J1478" t="s">
        <v>11</v>
      </c>
    </row>
    <row r="1479" spans="1:10" x14ac:dyDescent="0.25">
      <c r="A1479">
        <v>1478</v>
      </c>
      <c r="B1479" s="1">
        <v>45302</v>
      </c>
      <c r="C1479" t="s">
        <v>21</v>
      </c>
      <c r="D1479" t="s">
        <v>11</v>
      </c>
      <c r="E1479">
        <v>159</v>
      </c>
      <c r="F1479">
        <v>32</v>
      </c>
      <c r="G1479">
        <v>5</v>
      </c>
      <c r="H1479" t="s">
        <v>18</v>
      </c>
      <c r="I1479" t="s">
        <v>19</v>
      </c>
      <c r="J1479" t="s">
        <v>15</v>
      </c>
    </row>
    <row r="1480" spans="1:10" x14ac:dyDescent="0.25">
      <c r="A1480">
        <v>1479</v>
      </c>
      <c r="B1480" s="1">
        <v>45400</v>
      </c>
      <c r="C1480" t="s">
        <v>14</v>
      </c>
      <c r="D1480" t="s">
        <v>17</v>
      </c>
      <c r="E1480">
        <v>54</v>
      </c>
      <c r="F1480">
        <v>26</v>
      </c>
      <c r="G1480">
        <v>3</v>
      </c>
      <c r="H1480" t="s">
        <v>18</v>
      </c>
      <c r="I1480" t="s">
        <v>19</v>
      </c>
      <c r="J1480" t="s">
        <v>11</v>
      </c>
    </row>
    <row r="1481" spans="1:10" x14ac:dyDescent="0.25">
      <c r="A1481">
        <v>1480</v>
      </c>
      <c r="B1481" s="1">
        <v>45340</v>
      </c>
      <c r="C1481" t="s">
        <v>10</v>
      </c>
      <c r="D1481" t="s">
        <v>15</v>
      </c>
      <c r="E1481">
        <v>11</v>
      </c>
      <c r="F1481">
        <v>64</v>
      </c>
      <c r="G1481">
        <v>9.8000000000000007</v>
      </c>
      <c r="H1481" t="s">
        <v>18</v>
      </c>
      <c r="I1481" t="s">
        <v>16</v>
      </c>
      <c r="J1481" t="s">
        <v>20</v>
      </c>
    </row>
    <row r="1482" spans="1:10" x14ac:dyDescent="0.25">
      <c r="A1482">
        <v>1481</v>
      </c>
      <c r="B1482" s="1">
        <v>45356</v>
      </c>
      <c r="C1482" t="s">
        <v>23</v>
      </c>
      <c r="D1482" t="s">
        <v>17</v>
      </c>
      <c r="E1482">
        <v>238</v>
      </c>
      <c r="F1482">
        <v>8</v>
      </c>
      <c r="G1482">
        <v>4.5999999999999996</v>
      </c>
      <c r="H1482" t="s">
        <v>12</v>
      </c>
      <c r="I1482" t="s">
        <v>16</v>
      </c>
      <c r="J1482" t="s">
        <v>11</v>
      </c>
    </row>
    <row r="1483" spans="1:10" x14ac:dyDescent="0.25">
      <c r="A1483">
        <v>1482</v>
      </c>
      <c r="B1483" s="1">
        <v>45618</v>
      </c>
      <c r="C1483" t="s">
        <v>21</v>
      </c>
      <c r="D1483" t="s">
        <v>20</v>
      </c>
      <c r="E1483">
        <v>91</v>
      </c>
      <c r="F1483">
        <v>17</v>
      </c>
      <c r="G1483">
        <v>0.8</v>
      </c>
      <c r="H1483" t="s">
        <v>18</v>
      </c>
      <c r="I1483" t="s">
        <v>16</v>
      </c>
      <c r="J1483" t="s">
        <v>11</v>
      </c>
    </row>
    <row r="1484" spans="1:10" x14ac:dyDescent="0.25">
      <c r="A1484">
        <v>1483</v>
      </c>
      <c r="B1484" s="1">
        <v>45544</v>
      </c>
      <c r="C1484" t="s">
        <v>14</v>
      </c>
      <c r="D1484" t="s">
        <v>20</v>
      </c>
      <c r="E1484">
        <v>68</v>
      </c>
      <c r="F1484">
        <v>55</v>
      </c>
      <c r="G1484">
        <v>7.2</v>
      </c>
      <c r="H1484" t="s">
        <v>18</v>
      </c>
      <c r="I1484" t="s">
        <v>13</v>
      </c>
      <c r="J1484" t="s">
        <v>11</v>
      </c>
    </row>
    <row r="1485" spans="1:10" x14ac:dyDescent="0.25">
      <c r="A1485">
        <v>1484</v>
      </c>
      <c r="B1485" s="1">
        <v>45426</v>
      </c>
      <c r="C1485" t="s">
        <v>10</v>
      </c>
      <c r="D1485" t="s">
        <v>15</v>
      </c>
      <c r="E1485">
        <v>193</v>
      </c>
      <c r="F1485">
        <v>55</v>
      </c>
      <c r="G1485">
        <v>5.8</v>
      </c>
      <c r="H1485" t="s">
        <v>12</v>
      </c>
      <c r="I1485" t="s">
        <v>19</v>
      </c>
      <c r="J1485" t="s">
        <v>11</v>
      </c>
    </row>
    <row r="1486" spans="1:10" x14ac:dyDescent="0.25">
      <c r="A1486">
        <v>1485</v>
      </c>
      <c r="B1486" s="1">
        <v>45518</v>
      </c>
      <c r="C1486" t="s">
        <v>21</v>
      </c>
      <c r="D1486" t="s">
        <v>11</v>
      </c>
      <c r="E1486">
        <v>35</v>
      </c>
      <c r="F1486">
        <v>34</v>
      </c>
      <c r="G1486">
        <v>1.1000000000000001</v>
      </c>
      <c r="H1486" t="s">
        <v>18</v>
      </c>
      <c r="I1486" t="s">
        <v>13</v>
      </c>
      <c r="J1486" t="s">
        <v>11</v>
      </c>
    </row>
    <row r="1487" spans="1:10" x14ac:dyDescent="0.25">
      <c r="A1487">
        <v>1486</v>
      </c>
      <c r="B1487" s="1">
        <v>45367</v>
      </c>
      <c r="C1487" t="s">
        <v>21</v>
      </c>
      <c r="D1487" t="s">
        <v>17</v>
      </c>
      <c r="E1487">
        <v>99</v>
      </c>
      <c r="F1487">
        <v>63</v>
      </c>
      <c r="G1487">
        <v>6.1</v>
      </c>
      <c r="H1487" t="s">
        <v>12</v>
      </c>
      <c r="I1487" t="s">
        <v>16</v>
      </c>
      <c r="J1487" t="s">
        <v>11</v>
      </c>
    </row>
    <row r="1488" spans="1:10" x14ac:dyDescent="0.25">
      <c r="A1488">
        <v>1487</v>
      </c>
      <c r="B1488" s="1">
        <v>45492</v>
      </c>
      <c r="C1488" t="s">
        <v>10</v>
      </c>
      <c r="D1488" t="s">
        <v>11</v>
      </c>
      <c r="E1488">
        <v>72</v>
      </c>
      <c r="F1488">
        <v>54</v>
      </c>
      <c r="G1488">
        <v>8.5</v>
      </c>
      <c r="H1488" t="s">
        <v>12</v>
      </c>
      <c r="I1488" t="s">
        <v>16</v>
      </c>
      <c r="J1488" t="s">
        <v>11</v>
      </c>
    </row>
    <row r="1489" spans="1:10" x14ac:dyDescent="0.25">
      <c r="A1489">
        <v>1488</v>
      </c>
      <c r="B1489" s="1">
        <v>45553</v>
      </c>
      <c r="C1489" t="s">
        <v>22</v>
      </c>
      <c r="D1489" t="s">
        <v>15</v>
      </c>
      <c r="E1489">
        <v>122</v>
      </c>
      <c r="F1489">
        <v>43</v>
      </c>
      <c r="G1489">
        <v>5.4</v>
      </c>
      <c r="H1489" t="s">
        <v>18</v>
      </c>
      <c r="I1489" t="s">
        <v>13</v>
      </c>
      <c r="J1489" t="s">
        <v>15</v>
      </c>
    </row>
    <row r="1490" spans="1:10" x14ac:dyDescent="0.25">
      <c r="A1490">
        <v>1489</v>
      </c>
      <c r="B1490" s="1">
        <v>45575</v>
      </c>
      <c r="C1490" t="s">
        <v>21</v>
      </c>
      <c r="D1490" t="s">
        <v>11</v>
      </c>
      <c r="E1490">
        <v>70</v>
      </c>
      <c r="F1490">
        <v>43</v>
      </c>
      <c r="G1490">
        <v>6.8</v>
      </c>
      <c r="H1490" t="s">
        <v>18</v>
      </c>
      <c r="I1490" t="s">
        <v>19</v>
      </c>
      <c r="J1490" t="s">
        <v>15</v>
      </c>
    </row>
    <row r="1491" spans="1:10" x14ac:dyDescent="0.25">
      <c r="A1491">
        <v>1490</v>
      </c>
      <c r="B1491" s="1">
        <v>45639</v>
      </c>
      <c r="C1491" t="s">
        <v>14</v>
      </c>
      <c r="D1491" t="s">
        <v>17</v>
      </c>
      <c r="E1491">
        <v>176</v>
      </c>
      <c r="F1491">
        <v>61</v>
      </c>
      <c r="G1491">
        <v>7.6</v>
      </c>
      <c r="H1491" t="s">
        <v>18</v>
      </c>
      <c r="I1491" t="s">
        <v>13</v>
      </c>
      <c r="J1491" t="s">
        <v>11</v>
      </c>
    </row>
    <row r="1492" spans="1:10" x14ac:dyDescent="0.25">
      <c r="A1492">
        <v>1491</v>
      </c>
      <c r="B1492" s="1">
        <v>45605</v>
      </c>
      <c r="C1492" t="s">
        <v>23</v>
      </c>
      <c r="D1492" t="s">
        <v>11</v>
      </c>
      <c r="E1492">
        <v>164</v>
      </c>
      <c r="F1492">
        <v>60</v>
      </c>
      <c r="G1492">
        <v>0.7</v>
      </c>
      <c r="H1492" t="s">
        <v>12</v>
      </c>
      <c r="I1492" t="s">
        <v>13</v>
      </c>
      <c r="J1492" t="s">
        <v>11</v>
      </c>
    </row>
    <row r="1493" spans="1:10" x14ac:dyDescent="0.25">
      <c r="A1493">
        <v>1492</v>
      </c>
      <c r="B1493" s="1">
        <v>45544</v>
      </c>
      <c r="C1493" t="s">
        <v>14</v>
      </c>
      <c r="D1493" t="s">
        <v>17</v>
      </c>
      <c r="E1493">
        <v>188</v>
      </c>
      <c r="F1493">
        <v>37</v>
      </c>
      <c r="G1493">
        <v>3.1</v>
      </c>
      <c r="H1493" t="s">
        <v>12</v>
      </c>
      <c r="I1493" t="s">
        <v>13</v>
      </c>
      <c r="J1493" t="s">
        <v>11</v>
      </c>
    </row>
    <row r="1494" spans="1:10" x14ac:dyDescent="0.25">
      <c r="A1494">
        <v>1493</v>
      </c>
      <c r="B1494" s="1">
        <v>45338</v>
      </c>
      <c r="C1494" t="s">
        <v>22</v>
      </c>
      <c r="D1494" t="s">
        <v>20</v>
      </c>
      <c r="E1494">
        <v>20</v>
      </c>
      <c r="F1494">
        <v>67</v>
      </c>
      <c r="G1494">
        <v>2.9</v>
      </c>
      <c r="H1494" t="s">
        <v>18</v>
      </c>
      <c r="I1494" t="s">
        <v>13</v>
      </c>
      <c r="J1494" t="s">
        <v>15</v>
      </c>
    </row>
    <row r="1495" spans="1:10" x14ac:dyDescent="0.25">
      <c r="A1495">
        <v>1494</v>
      </c>
      <c r="B1495" s="1">
        <v>45584</v>
      </c>
      <c r="C1495" t="s">
        <v>21</v>
      </c>
      <c r="D1495" t="s">
        <v>11</v>
      </c>
      <c r="E1495">
        <v>8</v>
      </c>
      <c r="F1495">
        <v>2</v>
      </c>
      <c r="G1495">
        <v>2.8</v>
      </c>
      <c r="H1495" t="s">
        <v>18</v>
      </c>
      <c r="I1495" t="s">
        <v>13</v>
      </c>
      <c r="J1495" t="s">
        <v>20</v>
      </c>
    </row>
    <row r="1496" spans="1:10" x14ac:dyDescent="0.25">
      <c r="A1496">
        <v>1495</v>
      </c>
      <c r="B1496" s="1">
        <v>45528</v>
      </c>
      <c r="C1496" t="s">
        <v>23</v>
      </c>
      <c r="D1496" t="s">
        <v>15</v>
      </c>
      <c r="E1496">
        <v>236</v>
      </c>
      <c r="F1496">
        <v>68</v>
      </c>
      <c r="G1496">
        <v>2.8</v>
      </c>
      <c r="H1496" t="s">
        <v>12</v>
      </c>
      <c r="I1496" t="s">
        <v>13</v>
      </c>
      <c r="J1496" t="s">
        <v>11</v>
      </c>
    </row>
    <row r="1497" spans="1:10" x14ac:dyDescent="0.25">
      <c r="A1497">
        <v>1496</v>
      </c>
      <c r="B1497" s="1">
        <v>45314</v>
      </c>
      <c r="C1497" t="s">
        <v>23</v>
      </c>
      <c r="D1497" t="s">
        <v>17</v>
      </c>
      <c r="E1497">
        <v>20</v>
      </c>
      <c r="F1497">
        <v>13</v>
      </c>
      <c r="G1497">
        <v>9.6999999999999993</v>
      </c>
      <c r="H1497" t="s">
        <v>18</v>
      </c>
      <c r="I1497" t="s">
        <v>19</v>
      </c>
      <c r="J1497" t="s">
        <v>15</v>
      </c>
    </row>
    <row r="1498" spans="1:10" x14ac:dyDescent="0.25">
      <c r="A1498">
        <v>1497</v>
      </c>
      <c r="B1498" s="1">
        <v>45621</v>
      </c>
      <c r="C1498" t="s">
        <v>14</v>
      </c>
      <c r="D1498" t="s">
        <v>15</v>
      </c>
      <c r="E1498">
        <v>194</v>
      </c>
      <c r="F1498">
        <v>70</v>
      </c>
      <c r="G1498">
        <v>2.8</v>
      </c>
      <c r="H1498" t="s">
        <v>18</v>
      </c>
      <c r="I1498" t="s">
        <v>16</v>
      </c>
      <c r="J1498" t="s">
        <v>11</v>
      </c>
    </row>
    <row r="1499" spans="1:10" x14ac:dyDescent="0.25">
      <c r="A1499">
        <v>1498</v>
      </c>
      <c r="B1499" s="1">
        <v>45643</v>
      </c>
      <c r="C1499" t="s">
        <v>22</v>
      </c>
      <c r="D1499" t="s">
        <v>11</v>
      </c>
      <c r="E1499">
        <v>46</v>
      </c>
      <c r="F1499">
        <v>58</v>
      </c>
      <c r="G1499">
        <v>4.9000000000000004</v>
      </c>
      <c r="H1499" t="s">
        <v>12</v>
      </c>
      <c r="I1499" t="s">
        <v>16</v>
      </c>
      <c r="J1499" t="s">
        <v>11</v>
      </c>
    </row>
    <row r="1500" spans="1:10" x14ac:dyDescent="0.25">
      <c r="A1500">
        <v>1499</v>
      </c>
      <c r="B1500" s="1">
        <v>45331</v>
      </c>
      <c r="C1500" t="s">
        <v>23</v>
      </c>
      <c r="D1500" t="s">
        <v>15</v>
      </c>
      <c r="E1500">
        <v>21</v>
      </c>
      <c r="F1500">
        <v>27</v>
      </c>
      <c r="G1500">
        <v>7.5</v>
      </c>
      <c r="H1500" t="s">
        <v>18</v>
      </c>
      <c r="I1500" t="s">
        <v>13</v>
      </c>
      <c r="J1500" t="s">
        <v>20</v>
      </c>
    </row>
    <row r="1501" spans="1:10" x14ac:dyDescent="0.25">
      <c r="A1501">
        <v>1500</v>
      </c>
      <c r="B1501" s="1">
        <v>45383</v>
      </c>
      <c r="C1501" t="s">
        <v>23</v>
      </c>
      <c r="D1501" t="s">
        <v>17</v>
      </c>
      <c r="E1501">
        <v>76</v>
      </c>
      <c r="F1501">
        <v>70</v>
      </c>
      <c r="G1501">
        <v>9</v>
      </c>
      <c r="H1501" t="s">
        <v>12</v>
      </c>
      <c r="I1501" t="s">
        <v>19</v>
      </c>
      <c r="J1501" t="s">
        <v>11</v>
      </c>
    </row>
    <row r="1502" spans="1:10" x14ac:dyDescent="0.25">
      <c r="A1502">
        <v>1501</v>
      </c>
      <c r="B1502" s="1">
        <v>45351</v>
      </c>
      <c r="C1502" t="s">
        <v>14</v>
      </c>
      <c r="D1502" t="s">
        <v>20</v>
      </c>
      <c r="E1502">
        <v>123</v>
      </c>
      <c r="F1502">
        <v>32</v>
      </c>
      <c r="G1502">
        <v>9.3000000000000007</v>
      </c>
      <c r="H1502" t="s">
        <v>12</v>
      </c>
      <c r="I1502" t="s">
        <v>13</v>
      </c>
      <c r="J1502" t="s">
        <v>11</v>
      </c>
    </row>
    <row r="1503" spans="1:10" x14ac:dyDescent="0.25">
      <c r="A1503">
        <v>1502</v>
      </c>
      <c r="B1503" s="1">
        <v>45516</v>
      </c>
      <c r="C1503" t="s">
        <v>21</v>
      </c>
      <c r="D1503" t="s">
        <v>15</v>
      </c>
      <c r="E1503">
        <v>27</v>
      </c>
      <c r="F1503">
        <v>64</v>
      </c>
      <c r="G1503">
        <v>2.5</v>
      </c>
      <c r="H1503" t="s">
        <v>12</v>
      </c>
      <c r="I1503" t="s">
        <v>13</v>
      </c>
      <c r="J1503" t="s">
        <v>15</v>
      </c>
    </row>
    <row r="1504" spans="1:10" x14ac:dyDescent="0.25">
      <c r="A1504">
        <v>1503</v>
      </c>
      <c r="B1504" s="1">
        <v>45457</v>
      </c>
      <c r="C1504" t="s">
        <v>23</v>
      </c>
      <c r="D1504" t="s">
        <v>15</v>
      </c>
      <c r="E1504">
        <v>22</v>
      </c>
      <c r="F1504">
        <v>42</v>
      </c>
      <c r="G1504">
        <v>8.1</v>
      </c>
      <c r="H1504" t="s">
        <v>12</v>
      </c>
      <c r="I1504" t="s">
        <v>19</v>
      </c>
      <c r="J1504" t="s">
        <v>15</v>
      </c>
    </row>
    <row r="1505" spans="1:10" x14ac:dyDescent="0.25">
      <c r="A1505">
        <v>1504</v>
      </c>
      <c r="B1505" s="1">
        <v>45430</v>
      </c>
      <c r="C1505" t="s">
        <v>10</v>
      </c>
      <c r="D1505" t="s">
        <v>20</v>
      </c>
      <c r="E1505">
        <v>81</v>
      </c>
      <c r="F1505">
        <v>66</v>
      </c>
      <c r="G1505">
        <v>5.4</v>
      </c>
      <c r="H1505" t="s">
        <v>12</v>
      </c>
      <c r="I1505" t="s">
        <v>13</v>
      </c>
      <c r="J1505" t="s">
        <v>11</v>
      </c>
    </row>
    <row r="1506" spans="1:10" x14ac:dyDescent="0.25">
      <c r="A1506">
        <v>1505</v>
      </c>
      <c r="B1506" s="1">
        <v>45540</v>
      </c>
      <c r="C1506" t="s">
        <v>22</v>
      </c>
      <c r="D1506" t="s">
        <v>20</v>
      </c>
      <c r="E1506">
        <v>189</v>
      </c>
      <c r="F1506">
        <v>13</v>
      </c>
      <c r="G1506">
        <v>6.1</v>
      </c>
      <c r="H1506" t="s">
        <v>12</v>
      </c>
      <c r="I1506" t="s">
        <v>19</v>
      </c>
      <c r="J1506" t="s">
        <v>11</v>
      </c>
    </row>
    <row r="1507" spans="1:10" x14ac:dyDescent="0.25">
      <c r="A1507">
        <v>1506</v>
      </c>
      <c r="B1507" s="1">
        <v>45419</v>
      </c>
      <c r="C1507" t="s">
        <v>23</v>
      </c>
      <c r="D1507" t="s">
        <v>17</v>
      </c>
      <c r="E1507">
        <v>26</v>
      </c>
      <c r="F1507">
        <v>25</v>
      </c>
      <c r="G1507">
        <v>3.1</v>
      </c>
      <c r="H1507" t="s">
        <v>18</v>
      </c>
      <c r="I1507" t="s">
        <v>16</v>
      </c>
      <c r="J1507" t="s">
        <v>15</v>
      </c>
    </row>
    <row r="1508" spans="1:10" x14ac:dyDescent="0.25">
      <c r="A1508">
        <v>1507</v>
      </c>
      <c r="B1508" s="1">
        <v>45497</v>
      </c>
      <c r="C1508" t="s">
        <v>23</v>
      </c>
      <c r="D1508" t="s">
        <v>17</v>
      </c>
      <c r="E1508">
        <v>73</v>
      </c>
      <c r="F1508">
        <v>30</v>
      </c>
      <c r="G1508">
        <v>3.4</v>
      </c>
      <c r="H1508" t="s">
        <v>12</v>
      </c>
      <c r="I1508" t="s">
        <v>16</v>
      </c>
      <c r="J1508" t="s">
        <v>11</v>
      </c>
    </row>
    <row r="1509" spans="1:10" x14ac:dyDescent="0.25">
      <c r="A1509">
        <v>1508</v>
      </c>
      <c r="B1509" s="1">
        <v>45300</v>
      </c>
      <c r="C1509" t="s">
        <v>22</v>
      </c>
      <c r="D1509" t="s">
        <v>17</v>
      </c>
      <c r="E1509">
        <v>180</v>
      </c>
      <c r="F1509">
        <v>10</v>
      </c>
      <c r="G1509">
        <v>5.2</v>
      </c>
      <c r="H1509" t="s">
        <v>12</v>
      </c>
      <c r="I1509" t="s">
        <v>13</v>
      </c>
      <c r="J1509" t="s">
        <v>11</v>
      </c>
    </row>
    <row r="1510" spans="1:10" x14ac:dyDescent="0.25">
      <c r="A1510">
        <v>1509</v>
      </c>
      <c r="B1510" s="1">
        <v>45554</v>
      </c>
      <c r="C1510" t="s">
        <v>23</v>
      </c>
      <c r="D1510" t="s">
        <v>17</v>
      </c>
      <c r="E1510">
        <v>49</v>
      </c>
      <c r="F1510">
        <v>23</v>
      </c>
      <c r="G1510">
        <v>4.5</v>
      </c>
      <c r="H1510" t="s">
        <v>18</v>
      </c>
      <c r="I1510" t="s">
        <v>19</v>
      </c>
      <c r="J1510" t="s">
        <v>11</v>
      </c>
    </row>
    <row r="1511" spans="1:10" x14ac:dyDescent="0.25">
      <c r="A1511">
        <v>1510</v>
      </c>
      <c r="B1511" s="1">
        <v>45626</v>
      </c>
      <c r="C1511" t="s">
        <v>23</v>
      </c>
      <c r="D1511" t="s">
        <v>17</v>
      </c>
      <c r="E1511">
        <v>57</v>
      </c>
      <c r="F1511">
        <v>44</v>
      </c>
      <c r="G1511">
        <v>4.9000000000000004</v>
      </c>
      <c r="H1511" t="s">
        <v>18</v>
      </c>
      <c r="I1511" t="s">
        <v>13</v>
      </c>
      <c r="J1511" t="s">
        <v>11</v>
      </c>
    </row>
    <row r="1512" spans="1:10" x14ac:dyDescent="0.25">
      <c r="A1512">
        <v>1511</v>
      </c>
      <c r="B1512" s="1">
        <v>45315</v>
      </c>
      <c r="C1512" t="s">
        <v>23</v>
      </c>
      <c r="D1512" t="s">
        <v>20</v>
      </c>
      <c r="E1512">
        <v>25</v>
      </c>
      <c r="F1512">
        <v>2</v>
      </c>
      <c r="G1512">
        <v>7.7</v>
      </c>
      <c r="H1512" t="s">
        <v>18</v>
      </c>
      <c r="I1512" t="s">
        <v>16</v>
      </c>
      <c r="J1512" t="s">
        <v>20</v>
      </c>
    </row>
    <row r="1513" spans="1:10" x14ac:dyDescent="0.25">
      <c r="A1513">
        <v>1512</v>
      </c>
      <c r="B1513" s="1">
        <v>45502</v>
      </c>
      <c r="C1513" t="s">
        <v>10</v>
      </c>
      <c r="D1513" t="s">
        <v>15</v>
      </c>
      <c r="E1513">
        <v>93</v>
      </c>
      <c r="F1513">
        <v>19</v>
      </c>
      <c r="G1513">
        <v>7.4</v>
      </c>
      <c r="H1513" t="s">
        <v>18</v>
      </c>
      <c r="I1513" t="s">
        <v>13</v>
      </c>
      <c r="J1513" t="s">
        <v>15</v>
      </c>
    </row>
    <row r="1514" spans="1:10" x14ac:dyDescent="0.25">
      <c r="A1514">
        <v>1513</v>
      </c>
      <c r="B1514" s="1">
        <v>45592</v>
      </c>
      <c r="C1514" t="s">
        <v>23</v>
      </c>
      <c r="D1514" t="s">
        <v>15</v>
      </c>
      <c r="E1514">
        <v>54</v>
      </c>
      <c r="F1514">
        <v>5</v>
      </c>
      <c r="G1514">
        <v>2.8</v>
      </c>
      <c r="H1514" t="s">
        <v>12</v>
      </c>
      <c r="I1514" t="s">
        <v>13</v>
      </c>
      <c r="J1514" t="s">
        <v>15</v>
      </c>
    </row>
    <row r="1515" spans="1:10" x14ac:dyDescent="0.25">
      <c r="A1515">
        <v>1514</v>
      </c>
      <c r="B1515" s="1">
        <v>45310</v>
      </c>
      <c r="C1515" t="s">
        <v>10</v>
      </c>
      <c r="D1515" t="s">
        <v>15</v>
      </c>
      <c r="E1515">
        <v>50</v>
      </c>
      <c r="F1515">
        <v>15</v>
      </c>
      <c r="G1515">
        <v>5.0999999999999996</v>
      </c>
      <c r="H1515" t="s">
        <v>12</v>
      </c>
      <c r="I1515" t="s">
        <v>13</v>
      </c>
      <c r="J1515" t="s">
        <v>11</v>
      </c>
    </row>
    <row r="1516" spans="1:10" x14ac:dyDescent="0.25">
      <c r="A1516">
        <v>1515</v>
      </c>
      <c r="B1516" s="1">
        <v>45314</v>
      </c>
      <c r="C1516" t="s">
        <v>21</v>
      </c>
      <c r="D1516" t="s">
        <v>20</v>
      </c>
      <c r="E1516">
        <v>53</v>
      </c>
      <c r="F1516">
        <v>71</v>
      </c>
      <c r="G1516">
        <v>7.7</v>
      </c>
      <c r="H1516" t="s">
        <v>12</v>
      </c>
      <c r="I1516" t="s">
        <v>16</v>
      </c>
      <c r="J1516" t="s">
        <v>11</v>
      </c>
    </row>
    <row r="1517" spans="1:10" x14ac:dyDescent="0.25">
      <c r="A1517">
        <v>1516</v>
      </c>
      <c r="B1517" s="1">
        <v>45431</v>
      </c>
      <c r="C1517" t="s">
        <v>14</v>
      </c>
      <c r="D1517" t="s">
        <v>15</v>
      </c>
      <c r="E1517">
        <v>115</v>
      </c>
      <c r="F1517">
        <v>19</v>
      </c>
      <c r="G1517">
        <v>9.9</v>
      </c>
      <c r="H1517" t="s">
        <v>18</v>
      </c>
      <c r="I1517" t="s">
        <v>16</v>
      </c>
      <c r="J1517" t="s">
        <v>15</v>
      </c>
    </row>
    <row r="1518" spans="1:10" x14ac:dyDescent="0.25">
      <c r="A1518">
        <v>1517</v>
      </c>
      <c r="B1518" s="1">
        <v>45556</v>
      </c>
      <c r="C1518" t="s">
        <v>14</v>
      </c>
      <c r="D1518" t="s">
        <v>11</v>
      </c>
      <c r="E1518">
        <v>92</v>
      </c>
      <c r="F1518">
        <v>9</v>
      </c>
      <c r="G1518">
        <v>2.2000000000000002</v>
      </c>
      <c r="H1518" t="s">
        <v>18</v>
      </c>
      <c r="I1518" t="s">
        <v>16</v>
      </c>
      <c r="J1518" t="s">
        <v>11</v>
      </c>
    </row>
    <row r="1519" spans="1:10" x14ac:dyDescent="0.25">
      <c r="A1519">
        <v>1518</v>
      </c>
      <c r="B1519" s="1">
        <v>45601</v>
      </c>
      <c r="C1519" t="s">
        <v>23</v>
      </c>
      <c r="D1519" t="s">
        <v>15</v>
      </c>
      <c r="E1519">
        <v>92</v>
      </c>
      <c r="F1519">
        <v>11</v>
      </c>
      <c r="G1519">
        <v>8.3000000000000007</v>
      </c>
      <c r="H1519" t="s">
        <v>18</v>
      </c>
      <c r="I1519" t="s">
        <v>16</v>
      </c>
      <c r="J1519" t="s">
        <v>15</v>
      </c>
    </row>
    <row r="1520" spans="1:10" x14ac:dyDescent="0.25">
      <c r="A1520">
        <v>1519</v>
      </c>
      <c r="B1520" s="1">
        <v>45501</v>
      </c>
      <c r="C1520" t="s">
        <v>10</v>
      </c>
      <c r="D1520" t="s">
        <v>20</v>
      </c>
      <c r="E1520">
        <v>181</v>
      </c>
      <c r="F1520">
        <v>25</v>
      </c>
      <c r="G1520">
        <v>6.9</v>
      </c>
      <c r="H1520" t="s">
        <v>12</v>
      </c>
      <c r="I1520" t="s">
        <v>13</v>
      </c>
      <c r="J1520" t="s">
        <v>11</v>
      </c>
    </row>
    <row r="1521" spans="1:10" x14ac:dyDescent="0.25">
      <c r="A1521">
        <v>1520</v>
      </c>
      <c r="B1521" s="1">
        <v>45473</v>
      </c>
      <c r="C1521" t="s">
        <v>14</v>
      </c>
      <c r="D1521" t="s">
        <v>20</v>
      </c>
      <c r="E1521">
        <v>71</v>
      </c>
      <c r="F1521">
        <v>9</v>
      </c>
      <c r="G1521">
        <v>1.9</v>
      </c>
      <c r="H1521" t="s">
        <v>12</v>
      </c>
      <c r="I1521" t="s">
        <v>19</v>
      </c>
      <c r="J1521" t="s">
        <v>11</v>
      </c>
    </row>
    <row r="1522" spans="1:10" x14ac:dyDescent="0.25">
      <c r="A1522">
        <v>1521</v>
      </c>
      <c r="B1522" s="1">
        <v>45646</v>
      </c>
      <c r="C1522" t="s">
        <v>21</v>
      </c>
      <c r="D1522" t="s">
        <v>20</v>
      </c>
      <c r="E1522">
        <v>35</v>
      </c>
      <c r="F1522">
        <v>47</v>
      </c>
      <c r="G1522">
        <v>7.9</v>
      </c>
      <c r="H1522" t="s">
        <v>18</v>
      </c>
      <c r="I1522" t="s">
        <v>13</v>
      </c>
      <c r="J1522" t="s">
        <v>11</v>
      </c>
    </row>
    <row r="1523" spans="1:10" x14ac:dyDescent="0.25">
      <c r="A1523">
        <v>1522</v>
      </c>
      <c r="B1523" s="1">
        <v>45307</v>
      </c>
      <c r="C1523" t="s">
        <v>14</v>
      </c>
      <c r="D1523" t="s">
        <v>11</v>
      </c>
      <c r="E1523">
        <v>144</v>
      </c>
      <c r="F1523">
        <v>57</v>
      </c>
      <c r="G1523">
        <v>3.7</v>
      </c>
      <c r="H1523" t="s">
        <v>12</v>
      </c>
      <c r="I1523" t="s">
        <v>16</v>
      </c>
      <c r="J1523" t="s">
        <v>11</v>
      </c>
    </row>
    <row r="1524" spans="1:10" x14ac:dyDescent="0.25">
      <c r="A1524">
        <v>1523</v>
      </c>
      <c r="B1524" s="1">
        <v>45638</v>
      </c>
      <c r="C1524" t="s">
        <v>23</v>
      </c>
      <c r="D1524" t="s">
        <v>15</v>
      </c>
      <c r="E1524">
        <v>104</v>
      </c>
      <c r="F1524">
        <v>29</v>
      </c>
      <c r="G1524">
        <v>2.7</v>
      </c>
      <c r="H1524" t="s">
        <v>12</v>
      </c>
      <c r="I1524" t="s">
        <v>13</v>
      </c>
      <c r="J1524" t="s">
        <v>11</v>
      </c>
    </row>
    <row r="1525" spans="1:10" x14ac:dyDescent="0.25">
      <c r="A1525">
        <v>1524</v>
      </c>
      <c r="B1525" s="1">
        <v>45427</v>
      </c>
      <c r="C1525" t="s">
        <v>14</v>
      </c>
      <c r="D1525" t="s">
        <v>20</v>
      </c>
      <c r="E1525">
        <v>173</v>
      </c>
      <c r="F1525">
        <v>50</v>
      </c>
      <c r="G1525">
        <v>8.6999999999999993</v>
      </c>
      <c r="H1525" t="s">
        <v>18</v>
      </c>
      <c r="I1525" t="s">
        <v>13</v>
      </c>
      <c r="J1525" t="s">
        <v>11</v>
      </c>
    </row>
    <row r="1526" spans="1:10" x14ac:dyDescent="0.25">
      <c r="A1526">
        <v>1525</v>
      </c>
      <c r="B1526" s="1">
        <v>45619</v>
      </c>
      <c r="C1526" t="s">
        <v>10</v>
      </c>
      <c r="D1526" t="s">
        <v>20</v>
      </c>
      <c r="E1526">
        <v>208</v>
      </c>
      <c r="F1526">
        <v>33</v>
      </c>
      <c r="G1526">
        <v>3</v>
      </c>
      <c r="H1526" t="s">
        <v>18</v>
      </c>
      <c r="I1526" t="s">
        <v>16</v>
      </c>
      <c r="J1526" t="s">
        <v>11</v>
      </c>
    </row>
    <row r="1527" spans="1:10" x14ac:dyDescent="0.25">
      <c r="A1527">
        <v>1526</v>
      </c>
      <c r="B1527" s="1">
        <v>45389</v>
      </c>
      <c r="C1527" t="s">
        <v>23</v>
      </c>
      <c r="D1527" t="s">
        <v>11</v>
      </c>
      <c r="E1527">
        <v>119</v>
      </c>
      <c r="F1527">
        <v>12</v>
      </c>
      <c r="G1527">
        <v>1</v>
      </c>
      <c r="H1527" t="s">
        <v>12</v>
      </c>
      <c r="I1527" t="s">
        <v>19</v>
      </c>
      <c r="J1527" t="s">
        <v>11</v>
      </c>
    </row>
    <row r="1528" spans="1:10" x14ac:dyDescent="0.25">
      <c r="A1528">
        <v>1527</v>
      </c>
      <c r="B1528" s="1">
        <v>45439</v>
      </c>
      <c r="C1528" t="s">
        <v>23</v>
      </c>
      <c r="D1528" t="s">
        <v>15</v>
      </c>
      <c r="E1528">
        <v>143</v>
      </c>
      <c r="F1528">
        <v>13</v>
      </c>
      <c r="G1528">
        <v>6.2</v>
      </c>
      <c r="H1528" t="s">
        <v>18</v>
      </c>
      <c r="I1528" t="s">
        <v>16</v>
      </c>
      <c r="J1528" t="s">
        <v>15</v>
      </c>
    </row>
    <row r="1529" spans="1:10" x14ac:dyDescent="0.25">
      <c r="A1529">
        <v>1528</v>
      </c>
      <c r="B1529" s="1">
        <v>45310</v>
      </c>
      <c r="C1529" t="s">
        <v>21</v>
      </c>
      <c r="D1529" t="s">
        <v>11</v>
      </c>
      <c r="E1529">
        <v>50</v>
      </c>
      <c r="F1529">
        <v>40</v>
      </c>
      <c r="G1529">
        <v>2.7</v>
      </c>
      <c r="H1529" t="s">
        <v>12</v>
      </c>
      <c r="I1529" t="s">
        <v>16</v>
      </c>
      <c r="J1529" t="s">
        <v>11</v>
      </c>
    </row>
    <row r="1530" spans="1:10" x14ac:dyDescent="0.25">
      <c r="A1530">
        <v>1529</v>
      </c>
      <c r="B1530" s="1">
        <v>45490</v>
      </c>
      <c r="C1530" t="s">
        <v>14</v>
      </c>
      <c r="D1530" t="s">
        <v>17</v>
      </c>
      <c r="E1530">
        <v>66</v>
      </c>
      <c r="F1530">
        <v>52</v>
      </c>
      <c r="G1530">
        <v>4.3</v>
      </c>
      <c r="H1530" t="s">
        <v>18</v>
      </c>
      <c r="I1530" t="s">
        <v>19</v>
      </c>
      <c r="J1530" t="s">
        <v>11</v>
      </c>
    </row>
    <row r="1531" spans="1:10" x14ac:dyDescent="0.25">
      <c r="A1531">
        <v>1530</v>
      </c>
      <c r="B1531" s="1">
        <v>45585</v>
      </c>
      <c r="C1531" t="s">
        <v>22</v>
      </c>
      <c r="D1531" t="s">
        <v>15</v>
      </c>
      <c r="E1531">
        <v>229</v>
      </c>
      <c r="F1531">
        <v>72</v>
      </c>
      <c r="G1531">
        <v>1.8</v>
      </c>
      <c r="H1531" t="s">
        <v>18</v>
      </c>
      <c r="I1531" t="s">
        <v>16</v>
      </c>
      <c r="J1531" t="s">
        <v>11</v>
      </c>
    </row>
    <row r="1532" spans="1:10" x14ac:dyDescent="0.25">
      <c r="A1532">
        <v>1531</v>
      </c>
      <c r="B1532" s="1">
        <v>45488</v>
      </c>
      <c r="C1532" t="s">
        <v>14</v>
      </c>
      <c r="D1532" t="s">
        <v>11</v>
      </c>
      <c r="E1532">
        <v>229</v>
      </c>
      <c r="F1532">
        <v>20</v>
      </c>
      <c r="G1532">
        <v>1.4</v>
      </c>
      <c r="H1532" t="s">
        <v>18</v>
      </c>
      <c r="I1532" t="s">
        <v>13</v>
      </c>
      <c r="J1532" t="s">
        <v>11</v>
      </c>
    </row>
    <row r="1533" spans="1:10" x14ac:dyDescent="0.25">
      <c r="A1533">
        <v>1532</v>
      </c>
      <c r="B1533" s="1">
        <v>45430</v>
      </c>
      <c r="C1533" t="s">
        <v>22</v>
      </c>
      <c r="D1533" t="s">
        <v>17</v>
      </c>
      <c r="E1533">
        <v>98</v>
      </c>
      <c r="F1533">
        <v>31</v>
      </c>
      <c r="G1533">
        <v>6.9</v>
      </c>
      <c r="H1533" t="s">
        <v>12</v>
      </c>
      <c r="I1533" t="s">
        <v>16</v>
      </c>
      <c r="J1533" t="s">
        <v>11</v>
      </c>
    </row>
    <row r="1534" spans="1:10" x14ac:dyDescent="0.25">
      <c r="A1534">
        <v>1533</v>
      </c>
      <c r="B1534" s="1">
        <v>45368</v>
      </c>
      <c r="C1534" t="s">
        <v>10</v>
      </c>
      <c r="D1534" t="s">
        <v>20</v>
      </c>
      <c r="E1534">
        <v>149</v>
      </c>
      <c r="F1534">
        <v>23</v>
      </c>
      <c r="G1534">
        <v>5.7</v>
      </c>
      <c r="H1534" t="s">
        <v>18</v>
      </c>
      <c r="I1534" t="s">
        <v>13</v>
      </c>
      <c r="J1534" t="s">
        <v>11</v>
      </c>
    </row>
    <row r="1535" spans="1:10" x14ac:dyDescent="0.25">
      <c r="A1535">
        <v>1534</v>
      </c>
      <c r="B1535" s="1">
        <v>45340</v>
      </c>
      <c r="C1535" t="s">
        <v>22</v>
      </c>
      <c r="D1535" t="s">
        <v>11</v>
      </c>
      <c r="E1535">
        <v>16</v>
      </c>
      <c r="F1535">
        <v>10</v>
      </c>
      <c r="G1535">
        <v>7.9</v>
      </c>
      <c r="H1535" t="s">
        <v>12</v>
      </c>
      <c r="I1535" t="s">
        <v>13</v>
      </c>
      <c r="J1535" t="s">
        <v>15</v>
      </c>
    </row>
    <row r="1536" spans="1:10" x14ac:dyDescent="0.25">
      <c r="A1536">
        <v>1535</v>
      </c>
      <c r="B1536" s="1">
        <v>45613</v>
      </c>
      <c r="C1536" t="s">
        <v>22</v>
      </c>
      <c r="D1536" t="s">
        <v>11</v>
      </c>
      <c r="E1536">
        <v>118</v>
      </c>
      <c r="F1536">
        <v>42</v>
      </c>
      <c r="G1536">
        <v>3.2</v>
      </c>
      <c r="H1536" t="s">
        <v>18</v>
      </c>
      <c r="I1536" t="s">
        <v>19</v>
      </c>
      <c r="J1536" t="s">
        <v>11</v>
      </c>
    </row>
    <row r="1537" spans="1:10" x14ac:dyDescent="0.25">
      <c r="A1537">
        <v>1536</v>
      </c>
      <c r="B1537" s="1">
        <v>45569</v>
      </c>
      <c r="C1537" t="s">
        <v>14</v>
      </c>
      <c r="D1537" t="s">
        <v>17</v>
      </c>
      <c r="E1537">
        <v>124</v>
      </c>
      <c r="F1537">
        <v>21</v>
      </c>
      <c r="G1537">
        <v>5.6</v>
      </c>
      <c r="H1537" t="s">
        <v>18</v>
      </c>
      <c r="I1537" t="s">
        <v>19</v>
      </c>
      <c r="J1537" t="s">
        <v>11</v>
      </c>
    </row>
    <row r="1538" spans="1:10" x14ac:dyDescent="0.25">
      <c r="A1538">
        <v>1537</v>
      </c>
      <c r="B1538" s="1">
        <v>45348</v>
      </c>
      <c r="C1538" t="s">
        <v>23</v>
      </c>
      <c r="D1538" t="s">
        <v>17</v>
      </c>
      <c r="E1538">
        <v>218</v>
      </c>
      <c r="F1538">
        <v>16</v>
      </c>
      <c r="G1538">
        <v>4.9000000000000004</v>
      </c>
      <c r="H1538" t="s">
        <v>18</v>
      </c>
      <c r="I1538" t="s">
        <v>19</v>
      </c>
      <c r="J1538" t="s">
        <v>11</v>
      </c>
    </row>
    <row r="1539" spans="1:10" x14ac:dyDescent="0.25">
      <c r="A1539">
        <v>1538</v>
      </c>
      <c r="B1539" s="1">
        <v>45339</v>
      </c>
      <c r="C1539" t="s">
        <v>22</v>
      </c>
      <c r="D1539" t="s">
        <v>15</v>
      </c>
      <c r="E1539">
        <v>115</v>
      </c>
      <c r="F1539">
        <v>28</v>
      </c>
      <c r="G1539">
        <v>2</v>
      </c>
      <c r="H1539" t="s">
        <v>12</v>
      </c>
      <c r="I1539" t="s">
        <v>16</v>
      </c>
      <c r="J1539" t="s">
        <v>11</v>
      </c>
    </row>
    <row r="1540" spans="1:10" x14ac:dyDescent="0.25">
      <c r="A1540">
        <v>1539</v>
      </c>
      <c r="B1540" s="1">
        <v>45325</v>
      </c>
      <c r="C1540" t="s">
        <v>23</v>
      </c>
      <c r="D1540" t="s">
        <v>11</v>
      </c>
      <c r="E1540">
        <v>122</v>
      </c>
      <c r="F1540">
        <v>24</v>
      </c>
      <c r="G1540">
        <v>4.0999999999999996</v>
      </c>
      <c r="H1540" t="s">
        <v>18</v>
      </c>
      <c r="I1540" t="s">
        <v>13</v>
      </c>
      <c r="J1540" t="s">
        <v>11</v>
      </c>
    </row>
    <row r="1541" spans="1:10" x14ac:dyDescent="0.25">
      <c r="A1541">
        <v>1540</v>
      </c>
      <c r="B1541" s="1">
        <v>45608</v>
      </c>
      <c r="C1541" t="s">
        <v>23</v>
      </c>
      <c r="D1541" t="s">
        <v>20</v>
      </c>
      <c r="E1541">
        <v>64</v>
      </c>
      <c r="F1541">
        <v>14</v>
      </c>
      <c r="G1541">
        <v>4.9000000000000004</v>
      </c>
      <c r="H1541" t="s">
        <v>18</v>
      </c>
      <c r="I1541" t="s">
        <v>19</v>
      </c>
      <c r="J1541" t="s">
        <v>11</v>
      </c>
    </row>
    <row r="1542" spans="1:10" x14ac:dyDescent="0.25">
      <c r="A1542">
        <v>1541</v>
      </c>
      <c r="B1542" s="1">
        <v>45492</v>
      </c>
      <c r="C1542" t="s">
        <v>14</v>
      </c>
      <c r="D1542" t="s">
        <v>15</v>
      </c>
      <c r="E1542">
        <v>173</v>
      </c>
      <c r="F1542">
        <v>55</v>
      </c>
      <c r="G1542">
        <v>1.7</v>
      </c>
      <c r="H1542" t="s">
        <v>12</v>
      </c>
      <c r="I1542" t="s">
        <v>16</v>
      </c>
      <c r="J1542" t="s">
        <v>11</v>
      </c>
    </row>
    <row r="1543" spans="1:10" x14ac:dyDescent="0.25">
      <c r="A1543">
        <v>1542</v>
      </c>
      <c r="B1543" s="1">
        <v>45369</v>
      </c>
      <c r="C1543" t="s">
        <v>14</v>
      </c>
      <c r="D1543" t="s">
        <v>20</v>
      </c>
      <c r="E1543">
        <v>30</v>
      </c>
      <c r="F1543">
        <v>29</v>
      </c>
      <c r="G1543">
        <v>2.1</v>
      </c>
      <c r="H1543" t="s">
        <v>18</v>
      </c>
      <c r="I1543" t="s">
        <v>13</v>
      </c>
      <c r="J1543" t="s">
        <v>15</v>
      </c>
    </row>
    <row r="1544" spans="1:10" x14ac:dyDescent="0.25">
      <c r="A1544">
        <v>1543</v>
      </c>
      <c r="B1544" s="1">
        <v>45526</v>
      </c>
      <c r="C1544" t="s">
        <v>14</v>
      </c>
      <c r="D1544" t="s">
        <v>15</v>
      </c>
      <c r="E1544">
        <v>186</v>
      </c>
      <c r="F1544">
        <v>37</v>
      </c>
      <c r="G1544">
        <v>5.4</v>
      </c>
      <c r="H1544" t="s">
        <v>12</v>
      </c>
      <c r="I1544" t="s">
        <v>16</v>
      </c>
      <c r="J1544" t="s">
        <v>11</v>
      </c>
    </row>
    <row r="1545" spans="1:10" x14ac:dyDescent="0.25">
      <c r="A1545">
        <v>1544</v>
      </c>
      <c r="B1545" s="1">
        <v>45491</v>
      </c>
      <c r="C1545" t="s">
        <v>22</v>
      </c>
      <c r="D1545" t="s">
        <v>11</v>
      </c>
      <c r="E1545">
        <v>45</v>
      </c>
      <c r="F1545">
        <v>21</v>
      </c>
      <c r="G1545">
        <v>6.6</v>
      </c>
      <c r="H1545" t="s">
        <v>18</v>
      </c>
      <c r="I1545" t="s">
        <v>19</v>
      </c>
      <c r="J1545" t="s">
        <v>15</v>
      </c>
    </row>
    <row r="1546" spans="1:10" x14ac:dyDescent="0.25">
      <c r="A1546">
        <v>1545</v>
      </c>
      <c r="B1546" s="1">
        <v>45549</v>
      </c>
      <c r="C1546" t="s">
        <v>10</v>
      </c>
      <c r="D1546" t="s">
        <v>17</v>
      </c>
      <c r="E1546">
        <v>135</v>
      </c>
      <c r="F1546">
        <v>57</v>
      </c>
      <c r="G1546">
        <v>9.4</v>
      </c>
      <c r="H1546" t="s">
        <v>18</v>
      </c>
      <c r="I1546" t="s">
        <v>19</v>
      </c>
      <c r="J1546" t="s">
        <v>11</v>
      </c>
    </row>
    <row r="1547" spans="1:10" x14ac:dyDescent="0.25">
      <c r="A1547">
        <v>1546</v>
      </c>
      <c r="B1547" s="1">
        <v>45646</v>
      </c>
      <c r="C1547" t="s">
        <v>10</v>
      </c>
      <c r="D1547" t="s">
        <v>20</v>
      </c>
      <c r="E1547">
        <v>186</v>
      </c>
      <c r="F1547">
        <v>61</v>
      </c>
      <c r="G1547">
        <v>4.7</v>
      </c>
      <c r="H1547" t="s">
        <v>12</v>
      </c>
      <c r="I1547" t="s">
        <v>16</v>
      </c>
      <c r="J1547" t="s">
        <v>11</v>
      </c>
    </row>
    <row r="1548" spans="1:10" x14ac:dyDescent="0.25">
      <c r="A1548">
        <v>1547</v>
      </c>
      <c r="B1548" s="1">
        <v>45403</v>
      </c>
      <c r="C1548" t="s">
        <v>10</v>
      </c>
      <c r="D1548" t="s">
        <v>20</v>
      </c>
      <c r="E1548">
        <v>93</v>
      </c>
      <c r="F1548">
        <v>2</v>
      </c>
      <c r="G1548">
        <v>6.9</v>
      </c>
      <c r="H1548" t="s">
        <v>18</v>
      </c>
      <c r="I1548" t="s">
        <v>19</v>
      </c>
      <c r="J1548" t="s">
        <v>15</v>
      </c>
    </row>
    <row r="1549" spans="1:10" x14ac:dyDescent="0.25">
      <c r="A1549">
        <v>1548</v>
      </c>
      <c r="B1549" s="1">
        <v>45519</v>
      </c>
      <c r="C1549" t="s">
        <v>22</v>
      </c>
      <c r="D1549" t="s">
        <v>15</v>
      </c>
      <c r="E1549">
        <v>93</v>
      </c>
      <c r="F1549">
        <v>64</v>
      </c>
      <c r="G1549">
        <v>5.4</v>
      </c>
      <c r="H1549" t="s">
        <v>18</v>
      </c>
      <c r="I1549" t="s">
        <v>19</v>
      </c>
      <c r="J1549" t="s">
        <v>15</v>
      </c>
    </row>
    <row r="1550" spans="1:10" x14ac:dyDescent="0.25">
      <c r="A1550">
        <v>1549</v>
      </c>
      <c r="B1550" s="1">
        <v>45488</v>
      </c>
      <c r="C1550" t="s">
        <v>22</v>
      </c>
      <c r="D1550" t="s">
        <v>11</v>
      </c>
      <c r="E1550">
        <v>71</v>
      </c>
      <c r="F1550">
        <v>14</v>
      </c>
      <c r="G1550">
        <v>0.9</v>
      </c>
      <c r="H1550" t="s">
        <v>18</v>
      </c>
      <c r="I1550" t="s">
        <v>16</v>
      </c>
      <c r="J1550" t="s">
        <v>11</v>
      </c>
    </row>
    <row r="1551" spans="1:10" x14ac:dyDescent="0.25">
      <c r="A1551">
        <v>1550</v>
      </c>
      <c r="B1551" s="1">
        <v>45646</v>
      </c>
      <c r="C1551" t="s">
        <v>21</v>
      </c>
      <c r="D1551" t="s">
        <v>11</v>
      </c>
      <c r="E1551">
        <v>210</v>
      </c>
      <c r="F1551">
        <v>43</v>
      </c>
      <c r="G1551">
        <v>5</v>
      </c>
      <c r="H1551" t="s">
        <v>18</v>
      </c>
      <c r="I1551" t="s">
        <v>19</v>
      </c>
      <c r="J1551" t="s">
        <v>15</v>
      </c>
    </row>
    <row r="1552" spans="1:10" x14ac:dyDescent="0.25">
      <c r="A1552">
        <v>1551</v>
      </c>
      <c r="B1552" s="1">
        <v>45388</v>
      </c>
      <c r="C1552" t="s">
        <v>10</v>
      </c>
      <c r="D1552" t="s">
        <v>15</v>
      </c>
      <c r="E1552">
        <v>142</v>
      </c>
      <c r="F1552">
        <v>40</v>
      </c>
      <c r="G1552">
        <v>4.3</v>
      </c>
      <c r="H1552" t="s">
        <v>12</v>
      </c>
      <c r="I1552" t="s">
        <v>19</v>
      </c>
      <c r="J1552" t="s">
        <v>11</v>
      </c>
    </row>
    <row r="1553" spans="1:10" x14ac:dyDescent="0.25">
      <c r="A1553">
        <v>1552</v>
      </c>
      <c r="B1553" s="1">
        <v>45552</v>
      </c>
      <c r="C1553" t="s">
        <v>23</v>
      </c>
      <c r="D1553" t="s">
        <v>17</v>
      </c>
      <c r="E1553">
        <v>157</v>
      </c>
      <c r="F1553">
        <v>12</v>
      </c>
      <c r="G1553">
        <v>1.4</v>
      </c>
      <c r="H1553" t="s">
        <v>12</v>
      </c>
      <c r="I1553" t="s">
        <v>16</v>
      </c>
      <c r="J1553" t="s">
        <v>11</v>
      </c>
    </row>
    <row r="1554" spans="1:10" x14ac:dyDescent="0.25">
      <c r="A1554">
        <v>1553</v>
      </c>
      <c r="B1554" s="1">
        <v>45606</v>
      </c>
      <c r="C1554" t="s">
        <v>23</v>
      </c>
      <c r="D1554" t="s">
        <v>20</v>
      </c>
      <c r="E1554">
        <v>33</v>
      </c>
      <c r="F1554">
        <v>2</v>
      </c>
      <c r="G1554">
        <v>4</v>
      </c>
      <c r="H1554" t="s">
        <v>12</v>
      </c>
      <c r="I1554" t="s">
        <v>19</v>
      </c>
      <c r="J1554" t="s">
        <v>11</v>
      </c>
    </row>
    <row r="1555" spans="1:10" x14ac:dyDescent="0.25">
      <c r="A1555">
        <v>1554</v>
      </c>
      <c r="B1555" s="1">
        <v>45548</v>
      </c>
      <c r="C1555" t="s">
        <v>14</v>
      </c>
      <c r="D1555" t="s">
        <v>20</v>
      </c>
      <c r="E1555">
        <v>87</v>
      </c>
      <c r="F1555">
        <v>52</v>
      </c>
      <c r="G1555">
        <v>5.5</v>
      </c>
      <c r="H1555" t="s">
        <v>12</v>
      </c>
      <c r="I1555" t="s">
        <v>16</v>
      </c>
      <c r="J1555" t="s">
        <v>11</v>
      </c>
    </row>
    <row r="1556" spans="1:10" x14ac:dyDescent="0.25">
      <c r="A1556">
        <v>1555</v>
      </c>
      <c r="B1556" s="1">
        <v>45312</v>
      </c>
      <c r="C1556" t="s">
        <v>10</v>
      </c>
      <c r="D1556" t="s">
        <v>20</v>
      </c>
      <c r="E1556">
        <v>235</v>
      </c>
      <c r="F1556">
        <v>38</v>
      </c>
      <c r="G1556">
        <v>1.1000000000000001</v>
      </c>
      <c r="H1556" t="s">
        <v>18</v>
      </c>
      <c r="I1556" t="s">
        <v>19</v>
      </c>
      <c r="J1556" t="s">
        <v>11</v>
      </c>
    </row>
    <row r="1557" spans="1:10" x14ac:dyDescent="0.25">
      <c r="A1557">
        <v>1556</v>
      </c>
      <c r="B1557" s="1">
        <v>45609</v>
      </c>
      <c r="C1557" t="s">
        <v>10</v>
      </c>
      <c r="D1557" t="s">
        <v>11</v>
      </c>
      <c r="E1557">
        <v>13</v>
      </c>
      <c r="F1557">
        <v>63</v>
      </c>
      <c r="G1557">
        <v>3.5</v>
      </c>
      <c r="H1557" t="s">
        <v>18</v>
      </c>
      <c r="I1557" t="s">
        <v>16</v>
      </c>
      <c r="J1557" t="s">
        <v>15</v>
      </c>
    </row>
    <row r="1558" spans="1:10" x14ac:dyDescent="0.25">
      <c r="A1558">
        <v>1557</v>
      </c>
      <c r="B1558" s="1">
        <v>45292</v>
      </c>
      <c r="C1558" t="s">
        <v>21</v>
      </c>
      <c r="D1558" t="s">
        <v>17</v>
      </c>
      <c r="E1558">
        <v>75</v>
      </c>
      <c r="F1558">
        <v>24</v>
      </c>
      <c r="G1558">
        <v>7.1</v>
      </c>
      <c r="H1558" t="s">
        <v>18</v>
      </c>
      <c r="I1558" t="s">
        <v>13</v>
      </c>
      <c r="J1558" t="s">
        <v>11</v>
      </c>
    </row>
    <row r="1559" spans="1:10" x14ac:dyDescent="0.25">
      <c r="A1559">
        <v>1558</v>
      </c>
      <c r="B1559" s="1">
        <v>45469</v>
      </c>
      <c r="C1559" t="s">
        <v>10</v>
      </c>
      <c r="D1559" t="s">
        <v>11</v>
      </c>
      <c r="E1559">
        <v>145</v>
      </c>
      <c r="F1559">
        <v>19</v>
      </c>
      <c r="G1559">
        <v>1.7</v>
      </c>
      <c r="H1559" t="s">
        <v>18</v>
      </c>
      <c r="I1559" t="s">
        <v>16</v>
      </c>
      <c r="J1559" t="s">
        <v>11</v>
      </c>
    </row>
    <row r="1560" spans="1:10" x14ac:dyDescent="0.25">
      <c r="A1560">
        <v>1559</v>
      </c>
      <c r="B1560" s="1">
        <v>45384</v>
      </c>
      <c r="C1560" t="s">
        <v>21</v>
      </c>
      <c r="D1560" t="s">
        <v>15</v>
      </c>
      <c r="E1560">
        <v>173</v>
      </c>
      <c r="F1560">
        <v>13</v>
      </c>
      <c r="G1560">
        <v>4.2</v>
      </c>
      <c r="H1560" t="s">
        <v>12</v>
      </c>
      <c r="I1560" t="s">
        <v>16</v>
      </c>
      <c r="J1560" t="s">
        <v>11</v>
      </c>
    </row>
    <row r="1561" spans="1:10" x14ac:dyDescent="0.25">
      <c r="A1561">
        <v>1560</v>
      </c>
      <c r="B1561" s="1">
        <v>45511</v>
      </c>
      <c r="C1561" t="s">
        <v>10</v>
      </c>
      <c r="D1561" t="s">
        <v>17</v>
      </c>
      <c r="E1561">
        <v>49</v>
      </c>
      <c r="F1561">
        <v>61</v>
      </c>
      <c r="G1561">
        <v>4.4000000000000004</v>
      </c>
      <c r="H1561" t="s">
        <v>12</v>
      </c>
      <c r="I1561" t="s">
        <v>13</v>
      </c>
      <c r="J1561" t="s">
        <v>11</v>
      </c>
    </row>
    <row r="1562" spans="1:10" x14ac:dyDescent="0.25">
      <c r="A1562">
        <v>1561</v>
      </c>
      <c r="B1562" s="1">
        <v>45297</v>
      </c>
      <c r="C1562" t="s">
        <v>10</v>
      </c>
      <c r="D1562" t="s">
        <v>20</v>
      </c>
      <c r="E1562">
        <v>146</v>
      </c>
      <c r="F1562">
        <v>16</v>
      </c>
      <c r="G1562">
        <v>8.8000000000000007</v>
      </c>
      <c r="H1562" t="s">
        <v>18</v>
      </c>
      <c r="I1562" t="s">
        <v>13</v>
      </c>
      <c r="J1562" t="s">
        <v>11</v>
      </c>
    </row>
    <row r="1563" spans="1:10" x14ac:dyDescent="0.25">
      <c r="A1563">
        <v>1562</v>
      </c>
      <c r="B1563" s="1">
        <v>45334</v>
      </c>
      <c r="C1563" t="s">
        <v>23</v>
      </c>
      <c r="D1563" t="s">
        <v>15</v>
      </c>
      <c r="E1563">
        <v>152</v>
      </c>
      <c r="F1563">
        <v>13</v>
      </c>
      <c r="G1563">
        <v>3.5</v>
      </c>
      <c r="H1563" t="s">
        <v>12</v>
      </c>
      <c r="I1563" t="s">
        <v>13</v>
      </c>
      <c r="J1563" t="s">
        <v>11</v>
      </c>
    </row>
    <row r="1564" spans="1:10" x14ac:dyDescent="0.25">
      <c r="A1564">
        <v>1563</v>
      </c>
      <c r="B1564" s="1">
        <v>45637</v>
      </c>
      <c r="C1564" t="s">
        <v>23</v>
      </c>
      <c r="D1564" t="s">
        <v>20</v>
      </c>
      <c r="E1564">
        <v>78</v>
      </c>
      <c r="F1564">
        <v>15</v>
      </c>
      <c r="G1564">
        <v>9.6</v>
      </c>
      <c r="H1564" t="s">
        <v>18</v>
      </c>
      <c r="I1564" t="s">
        <v>19</v>
      </c>
      <c r="J1564" t="s">
        <v>11</v>
      </c>
    </row>
    <row r="1565" spans="1:10" x14ac:dyDescent="0.25">
      <c r="A1565">
        <v>1564</v>
      </c>
      <c r="B1565" s="1">
        <v>45624</v>
      </c>
      <c r="C1565" t="s">
        <v>14</v>
      </c>
      <c r="D1565" t="s">
        <v>20</v>
      </c>
      <c r="E1565">
        <v>86</v>
      </c>
      <c r="F1565">
        <v>68</v>
      </c>
      <c r="G1565">
        <v>4</v>
      </c>
      <c r="H1565" t="s">
        <v>18</v>
      </c>
      <c r="I1565" t="s">
        <v>16</v>
      </c>
      <c r="J1565" t="s">
        <v>11</v>
      </c>
    </row>
    <row r="1566" spans="1:10" x14ac:dyDescent="0.25">
      <c r="A1566">
        <v>1565</v>
      </c>
      <c r="B1566" s="1">
        <v>45469</v>
      </c>
      <c r="C1566" t="s">
        <v>21</v>
      </c>
      <c r="D1566" t="s">
        <v>11</v>
      </c>
      <c r="E1566">
        <v>207</v>
      </c>
      <c r="F1566">
        <v>68</v>
      </c>
      <c r="G1566">
        <v>8.1</v>
      </c>
      <c r="H1566" t="s">
        <v>12</v>
      </c>
      <c r="I1566" t="s">
        <v>19</v>
      </c>
      <c r="J1566" t="s">
        <v>11</v>
      </c>
    </row>
    <row r="1567" spans="1:10" x14ac:dyDescent="0.25">
      <c r="A1567">
        <v>1566</v>
      </c>
      <c r="B1567" s="1">
        <v>45298</v>
      </c>
      <c r="C1567" t="s">
        <v>21</v>
      </c>
      <c r="D1567" t="s">
        <v>11</v>
      </c>
      <c r="E1567">
        <v>9</v>
      </c>
      <c r="F1567">
        <v>33</v>
      </c>
      <c r="G1567">
        <v>3.2</v>
      </c>
      <c r="H1567" t="s">
        <v>18</v>
      </c>
      <c r="I1567" t="s">
        <v>16</v>
      </c>
      <c r="J1567" t="s">
        <v>15</v>
      </c>
    </row>
    <row r="1568" spans="1:10" x14ac:dyDescent="0.25">
      <c r="A1568">
        <v>1567</v>
      </c>
      <c r="B1568" s="1">
        <v>45311</v>
      </c>
      <c r="C1568" t="s">
        <v>14</v>
      </c>
      <c r="D1568" t="s">
        <v>11</v>
      </c>
      <c r="E1568">
        <v>189</v>
      </c>
      <c r="F1568">
        <v>48</v>
      </c>
      <c r="G1568">
        <v>9.6999999999999993</v>
      </c>
      <c r="H1568" t="s">
        <v>12</v>
      </c>
      <c r="I1568" t="s">
        <v>13</v>
      </c>
      <c r="J1568" t="s">
        <v>11</v>
      </c>
    </row>
    <row r="1569" spans="1:10" x14ac:dyDescent="0.25">
      <c r="A1569">
        <v>1568</v>
      </c>
      <c r="B1569" s="1">
        <v>45578</v>
      </c>
      <c r="C1569" t="s">
        <v>21</v>
      </c>
      <c r="D1569" t="s">
        <v>11</v>
      </c>
      <c r="E1569">
        <v>153</v>
      </c>
      <c r="F1569">
        <v>20</v>
      </c>
      <c r="G1569">
        <v>2.7</v>
      </c>
      <c r="H1569" t="s">
        <v>12</v>
      </c>
      <c r="I1569" t="s">
        <v>16</v>
      </c>
      <c r="J1569" t="s">
        <v>11</v>
      </c>
    </row>
    <row r="1570" spans="1:10" x14ac:dyDescent="0.25">
      <c r="A1570">
        <v>1569</v>
      </c>
      <c r="B1570" s="1">
        <v>45570</v>
      </c>
      <c r="C1570" t="s">
        <v>23</v>
      </c>
      <c r="D1570" t="s">
        <v>17</v>
      </c>
      <c r="E1570">
        <v>150</v>
      </c>
      <c r="F1570">
        <v>63</v>
      </c>
      <c r="G1570">
        <v>9.4</v>
      </c>
      <c r="H1570" t="s">
        <v>12</v>
      </c>
      <c r="I1570" t="s">
        <v>13</v>
      </c>
      <c r="J1570" t="s">
        <v>11</v>
      </c>
    </row>
    <row r="1571" spans="1:10" x14ac:dyDescent="0.25">
      <c r="A1571">
        <v>1570</v>
      </c>
      <c r="B1571" s="1">
        <v>45561</v>
      </c>
      <c r="C1571" t="s">
        <v>14</v>
      </c>
      <c r="D1571" t="s">
        <v>11</v>
      </c>
      <c r="E1571">
        <v>104</v>
      </c>
      <c r="F1571">
        <v>50</v>
      </c>
      <c r="G1571">
        <v>3</v>
      </c>
      <c r="H1571" t="s">
        <v>18</v>
      </c>
      <c r="I1571" t="s">
        <v>13</v>
      </c>
      <c r="J1571" t="s">
        <v>11</v>
      </c>
    </row>
    <row r="1572" spans="1:10" x14ac:dyDescent="0.25">
      <c r="A1572">
        <v>1571</v>
      </c>
      <c r="B1572" s="1">
        <v>45444</v>
      </c>
      <c r="C1572" t="s">
        <v>22</v>
      </c>
      <c r="D1572" t="s">
        <v>11</v>
      </c>
      <c r="E1572">
        <v>183</v>
      </c>
      <c r="F1572">
        <v>48</v>
      </c>
      <c r="G1572">
        <v>8.4</v>
      </c>
      <c r="H1572" t="s">
        <v>12</v>
      </c>
      <c r="I1572" t="s">
        <v>13</v>
      </c>
      <c r="J1572" t="s">
        <v>11</v>
      </c>
    </row>
    <row r="1573" spans="1:10" x14ac:dyDescent="0.25">
      <c r="A1573">
        <v>1572</v>
      </c>
      <c r="B1573" s="1">
        <v>45409</v>
      </c>
      <c r="C1573" t="s">
        <v>10</v>
      </c>
      <c r="D1573" t="s">
        <v>17</v>
      </c>
      <c r="E1573">
        <v>162</v>
      </c>
      <c r="F1573">
        <v>45</v>
      </c>
      <c r="G1573">
        <v>5.9</v>
      </c>
      <c r="H1573" t="s">
        <v>12</v>
      </c>
      <c r="I1573" t="s">
        <v>13</v>
      </c>
      <c r="J1573" t="s">
        <v>11</v>
      </c>
    </row>
    <row r="1574" spans="1:10" x14ac:dyDescent="0.25">
      <c r="A1574">
        <v>1573</v>
      </c>
      <c r="B1574" s="1">
        <v>45384</v>
      </c>
      <c r="C1574" t="s">
        <v>10</v>
      </c>
      <c r="D1574" t="s">
        <v>15</v>
      </c>
      <c r="E1574">
        <v>233</v>
      </c>
      <c r="F1574">
        <v>41</v>
      </c>
      <c r="G1574">
        <v>5.7</v>
      </c>
      <c r="H1574" t="s">
        <v>12</v>
      </c>
      <c r="I1574" t="s">
        <v>13</v>
      </c>
      <c r="J1574" t="s">
        <v>11</v>
      </c>
    </row>
    <row r="1575" spans="1:10" x14ac:dyDescent="0.25">
      <c r="A1575">
        <v>1574</v>
      </c>
      <c r="B1575" s="1">
        <v>45629</v>
      </c>
      <c r="C1575" t="s">
        <v>21</v>
      </c>
      <c r="D1575" t="s">
        <v>11</v>
      </c>
      <c r="E1575">
        <v>12</v>
      </c>
      <c r="F1575">
        <v>19</v>
      </c>
      <c r="G1575">
        <v>8.6999999999999993</v>
      </c>
      <c r="H1575" t="s">
        <v>18</v>
      </c>
      <c r="I1575" t="s">
        <v>13</v>
      </c>
      <c r="J1575" t="s">
        <v>20</v>
      </c>
    </row>
    <row r="1576" spans="1:10" x14ac:dyDescent="0.25">
      <c r="A1576">
        <v>1575</v>
      </c>
      <c r="B1576" s="1">
        <v>45397</v>
      </c>
      <c r="C1576" t="s">
        <v>21</v>
      </c>
      <c r="D1576" t="s">
        <v>17</v>
      </c>
      <c r="E1576">
        <v>66</v>
      </c>
      <c r="F1576">
        <v>33</v>
      </c>
      <c r="G1576">
        <v>5.8</v>
      </c>
      <c r="H1576" t="s">
        <v>12</v>
      </c>
      <c r="I1576" t="s">
        <v>19</v>
      </c>
      <c r="J1576" t="s">
        <v>11</v>
      </c>
    </row>
    <row r="1577" spans="1:10" x14ac:dyDescent="0.25">
      <c r="A1577">
        <v>1576</v>
      </c>
      <c r="B1577" s="1">
        <v>45545</v>
      </c>
      <c r="C1577" t="s">
        <v>10</v>
      </c>
      <c r="D1577" t="s">
        <v>15</v>
      </c>
      <c r="E1577">
        <v>198</v>
      </c>
      <c r="F1577">
        <v>16</v>
      </c>
      <c r="G1577">
        <v>9.5</v>
      </c>
      <c r="H1577" t="s">
        <v>18</v>
      </c>
      <c r="I1577" t="s">
        <v>16</v>
      </c>
      <c r="J1577" t="s">
        <v>15</v>
      </c>
    </row>
    <row r="1578" spans="1:10" x14ac:dyDescent="0.25">
      <c r="A1578">
        <v>1577</v>
      </c>
      <c r="B1578" s="1">
        <v>45360</v>
      </c>
      <c r="C1578" t="s">
        <v>14</v>
      </c>
      <c r="D1578" t="s">
        <v>20</v>
      </c>
      <c r="E1578">
        <v>43</v>
      </c>
      <c r="F1578">
        <v>27</v>
      </c>
      <c r="G1578">
        <v>6.8</v>
      </c>
      <c r="H1578" t="s">
        <v>12</v>
      </c>
      <c r="I1578" t="s">
        <v>16</v>
      </c>
      <c r="J1578" t="s">
        <v>11</v>
      </c>
    </row>
    <row r="1579" spans="1:10" x14ac:dyDescent="0.25">
      <c r="A1579">
        <v>1578</v>
      </c>
      <c r="B1579" s="1">
        <v>45507</v>
      </c>
      <c r="C1579" t="s">
        <v>10</v>
      </c>
      <c r="D1579" t="s">
        <v>17</v>
      </c>
      <c r="E1579">
        <v>135</v>
      </c>
      <c r="F1579">
        <v>28</v>
      </c>
      <c r="G1579">
        <v>2.1</v>
      </c>
      <c r="H1579" t="s">
        <v>18</v>
      </c>
      <c r="I1579" t="s">
        <v>19</v>
      </c>
      <c r="J1579" t="s">
        <v>11</v>
      </c>
    </row>
    <row r="1580" spans="1:10" x14ac:dyDescent="0.25">
      <c r="A1580">
        <v>1579</v>
      </c>
      <c r="B1580" s="1">
        <v>45468</v>
      </c>
      <c r="C1580" t="s">
        <v>21</v>
      </c>
      <c r="D1580" t="s">
        <v>15</v>
      </c>
      <c r="E1580">
        <v>223</v>
      </c>
      <c r="F1580">
        <v>65</v>
      </c>
      <c r="G1580">
        <v>4.9000000000000004</v>
      </c>
      <c r="H1580" t="s">
        <v>18</v>
      </c>
      <c r="I1580" t="s">
        <v>16</v>
      </c>
      <c r="J1580" t="s">
        <v>11</v>
      </c>
    </row>
    <row r="1581" spans="1:10" x14ac:dyDescent="0.25">
      <c r="A1581">
        <v>1580</v>
      </c>
      <c r="B1581" s="1">
        <v>45632</v>
      </c>
      <c r="C1581" t="s">
        <v>14</v>
      </c>
      <c r="D1581" t="s">
        <v>17</v>
      </c>
      <c r="E1581">
        <v>69</v>
      </c>
      <c r="F1581">
        <v>4</v>
      </c>
      <c r="G1581">
        <v>7.9</v>
      </c>
      <c r="H1581" t="s">
        <v>12</v>
      </c>
      <c r="I1581" t="s">
        <v>19</v>
      </c>
      <c r="J1581" t="s">
        <v>15</v>
      </c>
    </row>
    <row r="1582" spans="1:10" x14ac:dyDescent="0.25">
      <c r="A1582">
        <v>1581</v>
      </c>
      <c r="B1582" s="1">
        <v>45576</v>
      </c>
      <c r="C1582" t="s">
        <v>21</v>
      </c>
      <c r="D1582" t="s">
        <v>17</v>
      </c>
      <c r="E1582">
        <v>202</v>
      </c>
      <c r="F1582">
        <v>20</v>
      </c>
      <c r="G1582">
        <v>3.2</v>
      </c>
      <c r="H1582" t="s">
        <v>12</v>
      </c>
      <c r="I1582" t="s">
        <v>19</v>
      </c>
      <c r="J1582" t="s">
        <v>11</v>
      </c>
    </row>
    <row r="1583" spans="1:10" x14ac:dyDescent="0.25">
      <c r="A1583">
        <v>1582</v>
      </c>
      <c r="B1583" s="1">
        <v>45377</v>
      </c>
      <c r="C1583" t="s">
        <v>21</v>
      </c>
      <c r="D1583" t="s">
        <v>17</v>
      </c>
      <c r="E1583">
        <v>182</v>
      </c>
      <c r="F1583">
        <v>64</v>
      </c>
      <c r="G1583">
        <v>9.1</v>
      </c>
      <c r="H1583" t="s">
        <v>12</v>
      </c>
      <c r="I1583" t="s">
        <v>16</v>
      </c>
      <c r="J1583" t="s">
        <v>11</v>
      </c>
    </row>
    <row r="1584" spans="1:10" x14ac:dyDescent="0.25">
      <c r="A1584">
        <v>1583</v>
      </c>
      <c r="B1584" s="1">
        <v>45594</v>
      </c>
      <c r="C1584" t="s">
        <v>10</v>
      </c>
      <c r="D1584" t="s">
        <v>15</v>
      </c>
      <c r="E1584">
        <v>15</v>
      </c>
      <c r="F1584">
        <v>71</v>
      </c>
      <c r="G1584">
        <v>3.2</v>
      </c>
      <c r="H1584" t="s">
        <v>18</v>
      </c>
      <c r="I1584" t="s">
        <v>13</v>
      </c>
      <c r="J1584" t="s">
        <v>15</v>
      </c>
    </row>
    <row r="1585" spans="1:10" x14ac:dyDescent="0.25">
      <c r="A1585">
        <v>1584</v>
      </c>
      <c r="B1585" s="1">
        <v>45303</v>
      </c>
      <c r="C1585" t="s">
        <v>10</v>
      </c>
      <c r="D1585" t="s">
        <v>15</v>
      </c>
      <c r="E1585">
        <v>136</v>
      </c>
      <c r="F1585">
        <v>29</v>
      </c>
      <c r="G1585">
        <v>4.5999999999999996</v>
      </c>
      <c r="H1585" t="s">
        <v>18</v>
      </c>
      <c r="I1585" t="s">
        <v>16</v>
      </c>
      <c r="J1585" t="s">
        <v>11</v>
      </c>
    </row>
    <row r="1586" spans="1:10" x14ac:dyDescent="0.25">
      <c r="A1586">
        <v>1585</v>
      </c>
      <c r="B1586" s="1">
        <v>45583</v>
      </c>
      <c r="C1586" t="s">
        <v>22</v>
      </c>
      <c r="D1586" t="s">
        <v>11</v>
      </c>
      <c r="E1586">
        <v>150</v>
      </c>
      <c r="F1586">
        <v>41</v>
      </c>
      <c r="G1586">
        <v>3.6</v>
      </c>
      <c r="H1586" t="s">
        <v>18</v>
      </c>
      <c r="I1586" t="s">
        <v>13</v>
      </c>
      <c r="J1586" t="s">
        <v>11</v>
      </c>
    </row>
    <row r="1587" spans="1:10" x14ac:dyDescent="0.25">
      <c r="A1587">
        <v>1586</v>
      </c>
      <c r="B1587" s="1">
        <v>45460</v>
      </c>
      <c r="C1587" t="s">
        <v>22</v>
      </c>
      <c r="D1587" t="s">
        <v>11</v>
      </c>
      <c r="E1587">
        <v>197</v>
      </c>
      <c r="F1587">
        <v>47</v>
      </c>
      <c r="G1587">
        <v>3.8</v>
      </c>
      <c r="H1587" t="s">
        <v>12</v>
      </c>
      <c r="I1587" t="s">
        <v>19</v>
      </c>
      <c r="J1587" t="s">
        <v>11</v>
      </c>
    </row>
    <row r="1588" spans="1:10" x14ac:dyDescent="0.25">
      <c r="A1588">
        <v>1587</v>
      </c>
      <c r="B1588" s="1">
        <v>45367</v>
      </c>
      <c r="C1588" t="s">
        <v>14</v>
      </c>
      <c r="D1588" t="s">
        <v>17</v>
      </c>
      <c r="E1588">
        <v>158</v>
      </c>
      <c r="F1588">
        <v>66</v>
      </c>
      <c r="G1588">
        <v>8.4</v>
      </c>
      <c r="H1588" t="s">
        <v>12</v>
      </c>
      <c r="I1588" t="s">
        <v>13</v>
      </c>
      <c r="J1588" t="s">
        <v>11</v>
      </c>
    </row>
    <row r="1589" spans="1:10" x14ac:dyDescent="0.25">
      <c r="A1589">
        <v>1588</v>
      </c>
      <c r="B1589" s="1">
        <v>45577</v>
      </c>
      <c r="C1589" t="s">
        <v>10</v>
      </c>
      <c r="D1589" t="s">
        <v>20</v>
      </c>
      <c r="E1589">
        <v>50</v>
      </c>
      <c r="F1589">
        <v>41</v>
      </c>
      <c r="G1589">
        <v>4.4000000000000004</v>
      </c>
      <c r="H1589" t="s">
        <v>18</v>
      </c>
      <c r="I1589" t="s">
        <v>13</v>
      </c>
      <c r="J1589" t="s">
        <v>11</v>
      </c>
    </row>
    <row r="1590" spans="1:10" x14ac:dyDescent="0.25">
      <c r="A1590">
        <v>1589</v>
      </c>
      <c r="B1590" s="1">
        <v>45316</v>
      </c>
      <c r="C1590" t="s">
        <v>14</v>
      </c>
      <c r="D1590" t="s">
        <v>20</v>
      </c>
      <c r="E1590">
        <v>30</v>
      </c>
      <c r="F1590">
        <v>16</v>
      </c>
      <c r="G1590">
        <v>8.6999999999999993</v>
      </c>
      <c r="H1590" t="s">
        <v>18</v>
      </c>
      <c r="I1590" t="s">
        <v>19</v>
      </c>
      <c r="J1590" t="s">
        <v>15</v>
      </c>
    </row>
    <row r="1591" spans="1:10" x14ac:dyDescent="0.25">
      <c r="A1591">
        <v>1590</v>
      </c>
      <c r="B1591" s="1">
        <v>45445</v>
      </c>
      <c r="C1591" t="s">
        <v>23</v>
      </c>
      <c r="D1591" t="s">
        <v>17</v>
      </c>
      <c r="E1591">
        <v>156</v>
      </c>
      <c r="F1591">
        <v>27</v>
      </c>
      <c r="G1591">
        <v>3</v>
      </c>
      <c r="H1591" t="s">
        <v>12</v>
      </c>
      <c r="I1591" t="s">
        <v>16</v>
      </c>
      <c r="J1591" t="s">
        <v>11</v>
      </c>
    </row>
    <row r="1592" spans="1:10" x14ac:dyDescent="0.25">
      <c r="A1592">
        <v>1591</v>
      </c>
      <c r="B1592" s="1">
        <v>45297</v>
      </c>
      <c r="C1592" t="s">
        <v>21</v>
      </c>
      <c r="D1592" t="s">
        <v>15</v>
      </c>
      <c r="E1592">
        <v>93</v>
      </c>
      <c r="F1592">
        <v>63</v>
      </c>
      <c r="G1592">
        <v>7</v>
      </c>
      <c r="H1592" t="s">
        <v>12</v>
      </c>
      <c r="I1592" t="s">
        <v>13</v>
      </c>
      <c r="J1592" t="s">
        <v>11</v>
      </c>
    </row>
    <row r="1593" spans="1:10" x14ac:dyDescent="0.25">
      <c r="A1593">
        <v>1592</v>
      </c>
      <c r="B1593" s="1">
        <v>45648</v>
      </c>
      <c r="C1593" t="s">
        <v>21</v>
      </c>
      <c r="D1593" t="s">
        <v>17</v>
      </c>
      <c r="E1593">
        <v>212</v>
      </c>
      <c r="F1593">
        <v>56</v>
      </c>
      <c r="G1593">
        <v>2</v>
      </c>
      <c r="H1593" t="s">
        <v>12</v>
      </c>
      <c r="I1593" t="s">
        <v>16</v>
      </c>
      <c r="J1593" t="s">
        <v>11</v>
      </c>
    </row>
    <row r="1594" spans="1:10" x14ac:dyDescent="0.25">
      <c r="A1594">
        <v>1593</v>
      </c>
      <c r="B1594" s="1">
        <v>45544</v>
      </c>
      <c r="C1594" t="s">
        <v>22</v>
      </c>
      <c r="D1594" t="s">
        <v>11</v>
      </c>
      <c r="E1594">
        <v>95</v>
      </c>
      <c r="F1594">
        <v>55</v>
      </c>
      <c r="G1594">
        <v>9.3000000000000007</v>
      </c>
      <c r="H1594" t="s">
        <v>18</v>
      </c>
      <c r="I1594" t="s">
        <v>13</v>
      </c>
      <c r="J1594" t="s">
        <v>15</v>
      </c>
    </row>
    <row r="1595" spans="1:10" x14ac:dyDescent="0.25">
      <c r="A1595">
        <v>1594</v>
      </c>
      <c r="B1595" s="1">
        <v>45415</v>
      </c>
      <c r="C1595" t="s">
        <v>22</v>
      </c>
      <c r="D1595" t="s">
        <v>15</v>
      </c>
      <c r="E1595">
        <v>105</v>
      </c>
      <c r="F1595">
        <v>33</v>
      </c>
      <c r="G1595">
        <v>6.5</v>
      </c>
      <c r="H1595" t="s">
        <v>18</v>
      </c>
      <c r="I1595" t="s">
        <v>16</v>
      </c>
      <c r="J1595" t="s">
        <v>15</v>
      </c>
    </row>
    <row r="1596" spans="1:10" x14ac:dyDescent="0.25">
      <c r="A1596">
        <v>1595</v>
      </c>
      <c r="B1596" s="1">
        <v>45465</v>
      </c>
      <c r="C1596" t="s">
        <v>21</v>
      </c>
      <c r="D1596" t="s">
        <v>15</v>
      </c>
      <c r="E1596">
        <v>188</v>
      </c>
      <c r="F1596">
        <v>59</v>
      </c>
      <c r="G1596">
        <v>7</v>
      </c>
      <c r="H1596" t="s">
        <v>12</v>
      </c>
      <c r="I1596" t="s">
        <v>16</v>
      </c>
      <c r="J1596" t="s">
        <v>11</v>
      </c>
    </row>
    <row r="1597" spans="1:10" x14ac:dyDescent="0.25">
      <c r="A1597">
        <v>1596</v>
      </c>
      <c r="B1597" s="1">
        <v>45436</v>
      </c>
      <c r="C1597" t="s">
        <v>23</v>
      </c>
      <c r="D1597" t="s">
        <v>11</v>
      </c>
      <c r="E1597">
        <v>211</v>
      </c>
      <c r="F1597">
        <v>67</v>
      </c>
      <c r="G1597">
        <v>8</v>
      </c>
      <c r="H1597" t="s">
        <v>12</v>
      </c>
      <c r="I1597" t="s">
        <v>13</v>
      </c>
      <c r="J1597" t="s">
        <v>11</v>
      </c>
    </row>
    <row r="1598" spans="1:10" x14ac:dyDescent="0.25">
      <c r="A1598">
        <v>1597</v>
      </c>
      <c r="B1598" s="1">
        <v>45505</v>
      </c>
      <c r="C1598" t="s">
        <v>22</v>
      </c>
      <c r="D1598" t="s">
        <v>20</v>
      </c>
      <c r="E1598">
        <v>41</v>
      </c>
      <c r="F1598">
        <v>58</v>
      </c>
      <c r="G1598">
        <v>8</v>
      </c>
      <c r="H1598" t="s">
        <v>18</v>
      </c>
      <c r="I1598" t="s">
        <v>19</v>
      </c>
      <c r="J1598" t="s">
        <v>11</v>
      </c>
    </row>
    <row r="1599" spans="1:10" x14ac:dyDescent="0.25">
      <c r="A1599">
        <v>1598</v>
      </c>
      <c r="B1599" s="1">
        <v>45477</v>
      </c>
      <c r="C1599" t="s">
        <v>23</v>
      </c>
      <c r="D1599" t="s">
        <v>11</v>
      </c>
      <c r="E1599">
        <v>77</v>
      </c>
      <c r="F1599">
        <v>2</v>
      </c>
      <c r="G1599">
        <v>8.1</v>
      </c>
      <c r="H1599" t="s">
        <v>18</v>
      </c>
      <c r="I1599" t="s">
        <v>13</v>
      </c>
      <c r="J1599" t="s">
        <v>20</v>
      </c>
    </row>
    <row r="1600" spans="1:10" x14ac:dyDescent="0.25">
      <c r="A1600">
        <v>1599</v>
      </c>
      <c r="B1600" s="1">
        <v>45603</v>
      </c>
      <c r="C1600" t="s">
        <v>14</v>
      </c>
      <c r="D1600" t="s">
        <v>11</v>
      </c>
      <c r="E1600">
        <v>222</v>
      </c>
      <c r="F1600">
        <v>34</v>
      </c>
      <c r="G1600">
        <v>4</v>
      </c>
      <c r="H1600" t="s">
        <v>12</v>
      </c>
      <c r="I1600" t="s">
        <v>16</v>
      </c>
      <c r="J1600" t="s">
        <v>11</v>
      </c>
    </row>
    <row r="1601" spans="1:10" x14ac:dyDescent="0.25">
      <c r="A1601">
        <v>1600</v>
      </c>
      <c r="B1601" s="1">
        <v>45581</v>
      </c>
      <c r="C1601" t="s">
        <v>21</v>
      </c>
      <c r="D1601" t="s">
        <v>20</v>
      </c>
      <c r="E1601">
        <v>6</v>
      </c>
      <c r="F1601">
        <v>12</v>
      </c>
      <c r="G1601">
        <v>3.8</v>
      </c>
      <c r="H1601" t="s">
        <v>18</v>
      </c>
      <c r="I1601" t="s">
        <v>16</v>
      </c>
      <c r="J1601" t="s">
        <v>15</v>
      </c>
    </row>
    <row r="1602" spans="1:10" x14ac:dyDescent="0.25">
      <c r="A1602">
        <v>1601</v>
      </c>
      <c r="B1602" s="1">
        <v>45333</v>
      </c>
      <c r="C1602" t="s">
        <v>14</v>
      </c>
      <c r="D1602" t="s">
        <v>17</v>
      </c>
      <c r="E1602">
        <v>220</v>
      </c>
      <c r="F1602">
        <v>51</v>
      </c>
      <c r="G1602">
        <v>1.4</v>
      </c>
      <c r="H1602" t="s">
        <v>12</v>
      </c>
      <c r="I1602" t="s">
        <v>16</v>
      </c>
      <c r="J1602" t="s">
        <v>11</v>
      </c>
    </row>
    <row r="1603" spans="1:10" x14ac:dyDescent="0.25">
      <c r="A1603">
        <v>1602</v>
      </c>
      <c r="B1603" s="1">
        <v>45554</v>
      </c>
      <c r="C1603" t="s">
        <v>22</v>
      </c>
      <c r="D1603" t="s">
        <v>15</v>
      </c>
      <c r="E1603">
        <v>232</v>
      </c>
      <c r="F1603">
        <v>70</v>
      </c>
      <c r="G1603">
        <v>3.3</v>
      </c>
      <c r="H1603" t="s">
        <v>12</v>
      </c>
      <c r="I1603" t="s">
        <v>19</v>
      </c>
      <c r="J1603" t="s">
        <v>11</v>
      </c>
    </row>
    <row r="1604" spans="1:10" x14ac:dyDescent="0.25">
      <c r="A1604">
        <v>1603</v>
      </c>
      <c r="B1604" s="1">
        <v>45524</v>
      </c>
      <c r="C1604" t="s">
        <v>23</v>
      </c>
      <c r="D1604" t="s">
        <v>15</v>
      </c>
      <c r="E1604">
        <v>145</v>
      </c>
      <c r="F1604">
        <v>3</v>
      </c>
      <c r="G1604">
        <v>0.8</v>
      </c>
      <c r="H1604" t="s">
        <v>18</v>
      </c>
      <c r="I1604" t="s">
        <v>16</v>
      </c>
      <c r="J1604" t="s">
        <v>15</v>
      </c>
    </row>
    <row r="1605" spans="1:10" x14ac:dyDescent="0.25">
      <c r="A1605">
        <v>1604</v>
      </c>
      <c r="B1605" s="1">
        <v>45648</v>
      </c>
      <c r="C1605" t="s">
        <v>23</v>
      </c>
      <c r="D1605" t="s">
        <v>11</v>
      </c>
      <c r="E1605">
        <v>237</v>
      </c>
      <c r="F1605">
        <v>21</v>
      </c>
      <c r="G1605">
        <v>6.9</v>
      </c>
      <c r="H1605" t="s">
        <v>18</v>
      </c>
      <c r="I1605" t="s">
        <v>13</v>
      </c>
      <c r="J1605" t="s">
        <v>15</v>
      </c>
    </row>
    <row r="1606" spans="1:10" x14ac:dyDescent="0.25">
      <c r="A1606">
        <v>1605</v>
      </c>
      <c r="B1606" s="1">
        <v>45525</v>
      </c>
      <c r="C1606" t="s">
        <v>21</v>
      </c>
      <c r="D1606" t="s">
        <v>17</v>
      </c>
      <c r="E1606">
        <v>240</v>
      </c>
      <c r="F1606">
        <v>70</v>
      </c>
      <c r="G1606">
        <v>4.3</v>
      </c>
      <c r="H1606" t="s">
        <v>18</v>
      </c>
      <c r="I1606" t="s">
        <v>19</v>
      </c>
      <c r="J1606" t="s">
        <v>11</v>
      </c>
    </row>
    <row r="1607" spans="1:10" x14ac:dyDescent="0.25">
      <c r="A1607">
        <v>1606</v>
      </c>
      <c r="B1607" s="1">
        <v>45416</v>
      </c>
      <c r="C1607" t="s">
        <v>21</v>
      </c>
      <c r="D1607" t="s">
        <v>11</v>
      </c>
      <c r="E1607">
        <v>94</v>
      </c>
      <c r="F1607">
        <v>23</v>
      </c>
      <c r="G1607">
        <v>3.1</v>
      </c>
      <c r="H1607" t="s">
        <v>12</v>
      </c>
      <c r="I1607" t="s">
        <v>13</v>
      </c>
      <c r="J1607" t="s">
        <v>11</v>
      </c>
    </row>
    <row r="1608" spans="1:10" x14ac:dyDescent="0.25">
      <c r="A1608">
        <v>1607</v>
      </c>
      <c r="B1608" s="1">
        <v>45456</v>
      </c>
      <c r="C1608" t="s">
        <v>23</v>
      </c>
      <c r="D1608" t="s">
        <v>17</v>
      </c>
      <c r="E1608">
        <v>228</v>
      </c>
      <c r="F1608">
        <v>71</v>
      </c>
      <c r="G1608">
        <v>8.9</v>
      </c>
      <c r="H1608" t="s">
        <v>18</v>
      </c>
      <c r="I1608" t="s">
        <v>16</v>
      </c>
      <c r="J1608" t="s">
        <v>11</v>
      </c>
    </row>
    <row r="1609" spans="1:10" x14ac:dyDescent="0.25">
      <c r="A1609">
        <v>1608</v>
      </c>
      <c r="B1609" s="1">
        <v>45548</v>
      </c>
      <c r="C1609" t="s">
        <v>10</v>
      </c>
      <c r="D1609" t="s">
        <v>11</v>
      </c>
      <c r="E1609">
        <v>234</v>
      </c>
      <c r="F1609">
        <v>19</v>
      </c>
      <c r="G1609">
        <v>2.9</v>
      </c>
      <c r="H1609" t="s">
        <v>18</v>
      </c>
      <c r="I1609" t="s">
        <v>13</v>
      </c>
      <c r="J1609" t="s">
        <v>11</v>
      </c>
    </row>
    <row r="1610" spans="1:10" x14ac:dyDescent="0.25">
      <c r="A1610">
        <v>1609</v>
      </c>
      <c r="B1610" s="1">
        <v>45304</v>
      </c>
      <c r="C1610" t="s">
        <v>22</v>
      </c>
      <c r="D1610" t="s">
        <v>20</v>
      </c>
      <c r="E1610">
        <v>101</v>
      </c>
      <c r="F1610">
        <v>39</v>
      </c>
      <c r="G1610">
        <v>3.7</v>
      </c>
      <c r="H1610" t="s">
        <v>18</v>
      </c>
      <c r="I1610" t="s">
        <v>19</v>
      </c>
      <c r="J1610" t="s">
        <v>11</v>
      </c>
    </row>
    <row r="1611" spans="1:10" x14ac:dyDescent="0.25">
      <c r="A1611">
        <v>1610</v>
      </c>
      <c r="B1611" s="1">
        <v>45298</v>
      </c>
      <c r="C1611" t="s">
        <v>14</v>
      </c>
      <c r="D1611" t="s">
        <v>20</v>
      </c>
      <c r="E1611">
        <v>77</v>
      </c>
      <c r="F1611">
        <v>6</v>
      </c>
      <c r="G1611">
        <v>4.0999999999999996</v>
      </c>
      <c r="H1611" t="s">
        <v>18</v>
      </c>
      <c r="I1611" t="s">
        <v>16</v>
      </c>
      <c r="J1611" t="s">
        <v>15</v>
      </c>
    </row>
    <row r="1612" spans="1:10" x14ac:dyDescent="0.25">
      <c r="A1612">
        <v>1611</v>
      </c>
      <c r="B1612" s="1">
        <v>45546</v>
      </c>
      <c r="C1612" t="s">
        <v>23</v>
      </c>
      <c r="D1612" t="s">
        <v>20</v>
      </c>
      <c r="E1612">
        <v>163</v>
      </c>
      <c r="F1612">
        <v>28</v>
      </c>
      <c r="G1612">
        <v>4.0999999999999996</v>
      </c>
      <c r="H1612" t="s">
        <v>12</v>
      </c>
      <c r="I1612" t="s">
        <v>16</v>
      </c>
      <c r="J1612" t="s">
        <v>11</v>
      </c>
    </row>
    <row r="1613" spans="1:10" x14ac:dyDescent="0.25">
      <c r="A1613">
        <v>1612</v>
      </c>
      <c r="B1613" s="1">
        <v>45479</v>
      </c>
      <c r="C1613" t="s">
        <v>22</v>
      </c>
      <c r="D1613" t="s">
        <v>15</v>
      </c>
      <c r="E1613">
        <v>110</v>
      </c>
      <c r="F1613">
        <v>63</v>
      </c>
      <c r="G1613">
        <v>7.2</v>
      </c>
      <c r="H1613" t="s">
        <v>12</v>
      </c>
      <c r="I1613" t="s">
        <v>16</v>
      </c>
      <c r="J1613" t="s">
        <v>11</v>
      </c>
    </row>
    <row r="1614" spans="1:10" x14ac:dyDescent="0.25">
      <c r="A1614">
        <v>1613</v>
      </c>
      <c r="B1614" s="1">
        <v>45610</v>
      </c>
      <c r="C1614" t="s">
        <v>14</v>
      </c>
      <c r="D1614" t="s">
        <v>15</v>
      </c>
      <c r="E1614">
        <v>32</v>
      </c>
      <c r="F1614">
        <v>45</v>
      </c>
      <c r="G1614">
        <v>3.8</v>
      </c>
      <c r="H1614" t="s">
        <v>18</v>
      </c>
      <c r="I1614" t="s">
        <v>19</v>
      </c>
      <c r="J1614" t="s">
        <v>11</v>
      </c>
    </row>
    <row r="1615" spans="1:10" x14ac:dyDescent="0.25">
      <c r="A1615">
        <v>1614</v>
      </c>
      <c r="B1615" s="1">
        <v>45577</v>
      </c>
      <c r="C1615" t="s">
        <v>10</v>
      </c>
      <c r="D1615" t="s">
        <v>15</v>
      </c>
      <c r="E1615">
        <v>155</v>
      </c>
      <c r="F1615">
        <v>71</v>
      </c>
      <c r="G1615">
        <v>1.9</v>
      </c>
      <c r="H1615" t="s">
        <v>12</v>
      </c>
      <c r="I1615" t="s">
        <v>19</v>
      </c>
      <c r="J1615" t="s">
        <v>11</v>
      </c>
    </row>
    <row r="1616" spans="1:10" x14ac:dyDescent="0.25">
      <c r="A1616">
        <v>1615</v>
      </c>
      <c r="B1616" s="1">
        <v>45474</v>
      </c>
      <c r="C1616" t="s">
        <v>21</v>
      </c>
      <c r="D1616" t="s">
        <v>15</v>
      </c>
      <c r="E1616">
        <v>90</v>
      </c>
      <c r="F1616">
        <v>41</v>
      </c>
      <c r="G1616">
        <v>3.5</v>
      </c>
      <c r="H1616" t="s">
        <v>12</v>
      </c>
      <c r="I1616" t="s">
        <v>16</v>
      </c>
      <c r="J1616" t="s">
        <v>11</v>
      </c>
    </row>
    <row r="1617" spans="1:10" x14ac:dyDescent="0.25">
      <c r="A1617">
        <v>1616</v>
      </c>
      <c r="B1617" s="1">
        <v>45527</v>
      </c>
      <c r="C1617" t="s">
        <v>21</v>
      </c>
      <c r="D1617" t="s">
        <v>15</v>
      </c>
      <c r="E1617">
        <v>210</v>
      </c>
      <c r="F1617">
        <v>58</v>
      </c>
      <c r="G1617">
        <v>10</v>
      </c>
      <c r="H1617" t="s">
        <v>18</v>
      </c>
      <c r="I1617" t="s">
        <v>13</v>
      </c>
      <c r="J1617" t="s">
        <v>15</v>
      </c>
    </row>
    <row r="1618" spans="1:10" x14ac:dyDescent="0.25">
      <c r="A1618">
        <v>1617</v>
      </c>
      <c r="B1618" s="1">
        <v>45346</v>
      </c>
      <c r="C1618" t="s">
        <v>23</v>
      </c>
      <c r="D1618" t="s">
        <v>15</v>
      </c>
      <c r="E1618">
        <v>57</v>
      </c>
      <c r="F1618">
        <v>50</v>
      </c>
      <c r="G1618">
        <v>9.4</v>
      </c>
      <c r="H1618" t="s">
        <v>18</v>
      </c>
      <c r="I1618" t="s">
        <v>13</v>
      </c>
      <c r="J1618" t="s">
        <v>15</v>
      </c>
    </row>
    <row r="1619" spans="1:10" x14ac:dyDescent="0.25">
      <c r="A1619">
        <v>1618</v>
      </c>
      <c r="B1619" s="1">
        <v>45526</v>
      </c>
      <c r="C1619" t="s">
        <v>10</v>
      </c>
      <c r="D1619" t="s">
        <v>11</v>
      </c>
      <c r="E1619">
        <v>63</v>
      </c>
      <c r="F1619">
        <v>10</v>
      </c>
      <c r="G1619">
        <v>7.6</v>
      </c>
      <c r="H1619" t="s">
        <v>12</v>
      </c>
      <c r="I1619" t="s">
        <v>16</v>
      </c>
      <c r="J1619" t="s">
        <v>11</v>
      </c>
    </row>
    <row r="1620" spans="1:10" x14ac:dyDescent="0.25">
      <c r="A1620">
        <v>1619</v>
      </c>
      <c r="B1620" s="1">
        <v>45550</v>
      </c>
      <c r="C1620" t="s">
        <v>21</v>
      </c>
      <c r="D1620" t="s">
        <v>15</v>
      </c>
      <c r="E1620">
        <v>32</v>
      </c>
      <c r="F1620">
        <v>2</v>
      </c>
      <c r="G1620">
        <v>2.1</v>
      </c>
      <c r="H1620" t="s">
        <v>18</v>
      </c>
      <c r="I1620" t="s">
        <v>19</v>
      </c>
      <c r="J1620" t="s">
        <v>15</v>
      </c>
    </row>
    <row r="1621" spans="1:10" x14ac:dyDescent="0.25">
      <c r="A1621">
        <v>1620</v>
      </c>
      <c r="B1621" s="1">
        <v>45303</v>
      </c>
      <c r="C1621" t="s">
        <v>21</v>
      </c>
      <c r="D1621" t="s">
        <v>17</v>
      </c>
      <c r="E1621">
        <v>235</v>
      </c>
      <c r="F1621">
        <v>4</v>
      </c>
      <c r="G1621">
        <v>1.4</v>
      </c>
      <c r="H1621" t="s">
        <v>12</v>
      </c>
      <c r="I1621" t="s">
        <v>13</v>
      </c>
      <c r="J1621" t="s">
        <v>11</v>
      </c>
    </row>
    <row r="1622" spans="1:10" x14ac:dyDescent="0.25">
      <c r="A1622">
        <v>1621</v>
      </c>
      <c r="B1622" s="1">
        <v>45453</v>
      </c>
      <c r="C1622" t="s">
        <v>10</v>
      </c>
      <c r="D1622" t="s">
        <v>15</v>
      </c>
      <c r="E1622">
        <v>89</v>
      </c>
      <c r="F1622">
        <v>37</v>
      </c>
      <c r="G1622">
        <v>9.9</v>
      </c>
      <c r="H1622" t="s">
        <v>18</v>
      </c>
      <c r="I1622" t="s">
        <v>13</v>
      </c>
      <c r="J1622" t="s">
        <v>15</v>
      </c>
    </row>
    <row r="1623" spans="1:10" x14ac:dyDescent="0.25">
      <c r="A1623">
        <v>1622</v>
      </c>
      <c r="B1623" s="1">
        <v>45595</v>
      </c>
      <c r="C1623" t="s">
        <v>10</v>
      </c>
      <c r="D1623" t="s">
        <v>11</v>
      </c>
      <c r="E1623">
        <v>131</v>
      </c>
      <c r="F1623">
        <v>66</v>
      </c>
      <c r="G1623">
        <v>5.5</v>
      </c>
      <c r="H1623" t="s">
        <v>12</v>
      </c>
      <c r="I1623" t="s">
        <v>16</v>
      </c>
      <c r="J1623" t="s">
        <v>11</v>
      </c>
    </row>
    <row r="1624" spans="1:10" x14ac:dyDescent="0.25">
      <c r="A1624">
        <v>1623</v>
      </c>
      <c r="B1624" s="1">
        <v>45423</v>
      </c>
      <c r="C1624" t="s">
        <v>14</v>
      </c>
      <c r="D1624" t="s">
        <v>15</v>
      </c>
      <c r="E1624">
        <v>48</v>
      </c>
      <c r="F1624">
        <v>22</v>
      </c>
      <c r="G1624">
        <v>3.4</v>
      </c>
      <c r="H1624" t="s">
        <v>18</v>
      </c>
      <c r="I1624" t="s">
        <v>16</v>
      </c>
      <c r="J1624" t="s">
        <v>11</v>
      </c>
    </row>
    <row r="1625" spans="1:10" x14ac:dyDescent="0.25">
      <c r="A1625">
        <v>1624</v>
      </c>
      <c r="B1625" s="1">
        <v>45456</v>
      </c>
      <c r="C1625" t="s">
        <v>21</v>
      </c>
      <c r="D1625" t="s">
        <v>17</v>
      </c>
      <c r="E1625">
        <v>121</v>
      </c>
      <c r="F1625">
        <v>2</v>
      </c>
      <c r="G1625">
        <v>4.4000000000000004</v>
      </c>
      <c r="H1625" t="s">
        <v>12</v>
      </c>
      <c r="I1625" t="s">
        <v>16</v>
      </c>
      <c r="J1625" t="s">
        <v>11</v>
      </c>
    </row>
    <row r="1626" spans="1:10" x14ac:dyDescent="0.25">
      <c r="A1626">
        <v>1625</v>
      </c>
      <c r="B1626" s="1">
        <v>45477</v>
      </c>
      <c r="C1626" t="s">
        <v>22</v>
      </c>
      <c r="D1626" t="s">
        <v>20</v>
      </c>
      <c r="E1626">
        <v>153</v>
      </c>
      <c r="F1626">
        <v>36</v>
      </c>
      <c r="G1626">
        <v>6.4</v>
      </c>
      <c r="H1626" t="s">
        <v>18</v>
      </c>
      <c r="I1626" t="s">
        <v>16</v>
      </c>
      <c r="J1626" t="s">
        <v>11</v>
      </c>
    </row>
    <row r="1627" spans="1:10" x14ac:dyDescent="0.25">
      <c r="A1627">
        <v>1626</v>
      </c>
      <c r="B1627" s="1">
        <v>45596</v>
      </c>
      <c r="C1627" t="s">
        <v>10</v>
      </c>
      <c r="D1627" t="s">
        <v>20</v>
      </c>
      <c r="E1627">
        <v>138</v>
      </c>
      <c r="F1627">
        <v>63</v>
      </c>
      <c r="G1627">
        <v>6.1</v>
      </c>
      <c r="H1627" t="s">
        <v>12</v>
      </c>
      <c r="I1627" t="s">
        <v>16</v>
      </c>
      <c r="J1627" t="s">
        <v>11</v>
      </c>
    </row>
    <row r="1628" spans="1:10" x14ac:dyDescent="0.25">
      <c r="A1628">
        <v>1627</v>
      </c>
      <c r="B1628" s="1">
        <v>45382</v>
      </c>
      <c r="C1628" t="s">
        <v>10</v>
      </c>
      <c r="D1628" t="s">
        <v>17</v>
      </c>
      <c r="E1628">
        <v>146</v>
      </c>
      <c r="F1628">
        <v>8</v>
      </c>
      <c r="G1628">
        <v>9.6</v>
      </c>
      <c r="H1628" t="s">
        <v>12</v>
      </c>
      <c r="I1628" t="s">
        <v>16</v>
      </c>
      <c r="J1628" t="s">
        <v>11</v>
      </c>
    </row>
    <row r="1629" spans="1:10" x14ac:dyDescent="0.25">
      <c r="A1629">
        <v>1628</v>
      </c>
      <c r="B1629" s="1">
        <v>45517</v>
      </c>
      <c r="C1629" t="s">
        <v>22</v>
      </c>
      <c r="D1629" t="s">
        <v>15</v>
      </c>
      <c r="E1629">
        <v>183</v>
      </c>
      <c r="F1629">
        <v>44</v>
      </c>
      <c r="G1629">
        <v>8</v>
      </c>
      <c r="H1629" t="s">
        <v>12</v>
      </c>
      <c r="I1629" t="s">
        <v>16</v>
      </c>
      <c r="J1629" t="s">
        <v>11</v>
      </c>
    </row>
    <row r="1630" spans="1:10" x14ac:dyDescent="0.25">
      <c r="A1630">
        <v>1629</v>
      </c>
      <c r="B1630" s="1">
        <v>45533</v>
      </c>
      <c r="C1630" t="s">
        <v>21</v>
      </c>
      <c r="D1630" t="s">
        <v>11</v>
      </c>
      <c r="E1630">
        <v>144</v>
      </c>
      <c r="F1630">
        <v>70</v>
      </c>
      <c r="G1630">
        <v>5.8</v>
      </c>
      <c r="H1630" t="s">
        <v>18</v>
      </c>
      <c r="I1630" t="s">
        <v>19</v>
      </c>
      <c r="J1630" t="s">
        <v>15</v>
      </c>
    </row>
    <row r="1631" spans="1:10" x14ac:dyDescent="0.25">
      <c r="A1631">
        <v>1630</v>
      </c>
      <c r="B1631" s="1">
        <v>45340</v>
      </c>
      <c r="C1631" t="s">
        <v>14</v>
      </c>
      <c r="D1631" t="s">
        <v>11</v>
      </c>
      <c r="E1631">
        <v>21</v>
      </c>
      <c r="F1631">
        <v>57</v>
      </c>
      <c r="G1631">
        <v>6.9</v>
      </c>
      <c r="H1631" t="s">
        <v>12</v>
      </c>
      <c r="I1631" t="s">
        <v>16</v>
      </c>
      <c r="J1631" t="s">
        <v>15</v>
      </c>
    </row>
    <row r="1632" spans="1:10" x14ac:dyDescent="0.25">
      <c r="A1632">
        <v>1631</v>
      </c>
      <c r="B1632" s="1">
        <v>45511</v>
      </c>
      <c r="C1632" t="s">
        <v>10</v>
      </c>
      <c r="D1632" t="s">
        <v>11</v>
      </c>
      <c r="E1632">
        <v>227</v>
      </c>
      <c r="F1632">
        <v>44</v>
      </c>
      <c r="G1632">
        <v>7.6</v>
      </c>
      <c r="H1632" t="s">
        <v>12</v>
      </c>
      <c r="I1632" t="s">
        <v>16</v>
      </c>
      <c r="J1632" t="s">
        <v>11</v>
      </c>
    </row>
    <row r="1633" spans="1:10" x14ac:dyDescent="0.25">
      <c r="A1633">
        <v>1632</v>
      </c>
      <c r="B1633" s="1">
        <v>45635</v>
      </c>
      <c r="C1633" t="s">
        <v>23</v>
      </c>
      <c r="D1633" t="s">
        <v>11</v>
      </c>
      <c r="E1633">
        <v>226</v>
      </c>
      <c r="F1633">
        <v>19</v>
      </c>
      <c r="G1633">
        <v>5.0999999999999996</v>
      </c>
      <c r="H1633" t="s">
        <v>12</v>
      </c>
      <c r="I1633" t="s">
        <v>13</v>
      </c>
      <c r="J1633" t="s">
        <v>11</v>
      </c>
    </row>
    <row r="1634" spans="1:10" x14ac:dyDescent="0.25">
      <c r="A1634">
        <v>1633</v>
      </c>
      <c r="B1634" s="1">
        <v>45439</v>
      </c>
      <c r="C1634" t="s">
        <v>22</v>
      </c>
      <c r="D1634" t="s">
        <v>11</v>
      </c>
      <c r="E1634">
        <v>123</v>
      </c>
      <c r="F1634">
        <v>70</v>
      </c>
      <c r="G1634">
        <v>1</v>
      </c>
      <c r="H1634" t="s">
        <v>12</v>
      </c>
      <c r="I1634" t="s">
        <v>13</v>
      </c>
      <c r="J1634" t="s">
        <v>11</v>
      </c>
    </row>
    <row r="1635" spans="1:10" x14ac:dyDescent="0.25">
      <c r="A1635">
        <v>1634</v>
      </c>
      <c r="B1635" s="1">
        <v>45406</v>
      </c>
      <c r="C1635" t="s">
        <v>10</v>
      </c>
      <c r="D1635" t="s">
        <v>20</v>
      </c>
      <c r="E1635">
        <v>28</v>
      </c>
      <c r="F1635">
        <v>29</v>
      </c>
      <c r="G1635">
        <v>7.3</v>
      </c>
      <c r="H1635" t="s">
        <v>18</v>
      </c>
      <c r="I1635" t="s">
        <v>16</v>
      </c>
      <c r="J1635" t="s">
        <v>15</v>
      </c>
    </row>
    <row r="1636" spans="1:10" x14ac:dyDescent="0.25">
      <c r="A1636">
        <v>1635</v>
      </c>
      <c r="B1636" s="1">
        <v>45519</v>
      </c>
      <c r="C1636" t="s">
        <v>22</v>
      </c>
      <c r="D1636" t="s">
        <v>20</v>
      </c>
      <c r="E1636">
        <v>66</v>
      </c>
      <c r="F1636">
        <v>26</v>
      </c>
      <c r="G1636">
        <v>1.9</v>
      </c>
      <c r="H1636" t="s">
        <v>12</v>
      </c>
      <c r="I1636" t="s">
        <v>19</v>
      </c>
      <c r="J1636" t="s">
        <v>11</v>
      </c>
    </row>
    <row r="1637" spans="1:10" x14ac:dyDescent="0.25">
      <c r="A1637">
        <v>1636</v>
      </c>
      <c r="B1637" s="1">
        <v>45528</v>
      </c>
      <c r="C1637" t="s">
        <v>10</v>
      </c>
      <c r="D1637" t="s">
        <v>11</v>
      </c>
      <c r="E1637">
        <v>179</v>
      </c>
      <c r="F1637">
        <v>33</v>
      </c>
      <c r="G1637">
        <v>8.8000000000000007</v>
      </c>
      <c r="H1637" t="s">
        <v>18</v>
      </c>
      <c r="I1637" t="s">
        <v>16</v>
      </c>
      <c r="J1637" t="s">
        <v>15</v>
      </c>
    </row>
    <row r="1638" spans="1:10" x14ac:dyDescent="0.25">
      <c r="A1638">
        <v>1637</v>
      </c>
      <c r="B1638" s="1">
        <v>45418</v>
      </c>
      <c r="C1638" t="s">
        <v>21</v>
      </c>
      <c r="D1638" t="s">
        <v>15</v>
      </c>
      <c r="E1638">
        <v>200</v>
      </c>
      <c r="F1638">
        <v>23</v>
      </c>
      <c r="G1638">
        <v>5.5</v>
      </c>
      <c r="H1638" t="s">
        <v>18</v>
      </c>
      <c r="I1638" t="s">
        <v>13</v>
      </c>
      <c r="J1638" t="s">
        <v>15</v>
      </c>
    </row>
    <row r="1639" spans="1:10" x14ac:dyDescent="0.25">
      <c r="A1639">
        <v>1638</v>
      </c>
      <c r="B1639" s="1">
        <v>45463</v>
      </c>
      <c r="C1639" t="s">
        <v>10</v>
      </c>
      <c r="D1639" t="s">
        <v>20</v>
      </c>
      <c r="E1639">
        <v>207</v>
      </c>
      <c r="F1639">
        <v>30</v>
      </c>
      <c r="G1639">
        <v>2.8</v>
      </c>
      <c r="H1639" t="s">
        <v>18</v>
      </c>
      <c r="I1639" t="s">
        <v>13</v>
      </c>
      <c r="J1639" t="s">
        <v>11</v>
      </c>
    </row>
    <row r="1640" spans="1:10" x14ac:dyDescent="0.25">
      <c r="A1640">
        <v>1639</v>
      </c>
      <c r="B1640" s="1">
        <v>45344</v>
      </c>
      <c r="C1640" t="s">
        <v>22</v>
      </c>
      <c r="D1640" t="s">
        <v>15</v>
      </c>
      <c r="E1640">
        <v>101</v>
      </c>
      <c r="F1640">
        <v>39</v>
      </c>
      <c r="G1640">
        <v>2.4</v>
      </c>
      <c r="H1640" t="s">
        <v>18</v>
      </c>
      <c r="I1640" t="s">
        <v>16</v>
      </c>
      <c r="J1640" t="s">
        <v>11</v>
      </c>
    </row>
    <row r="1641" spans="1:10" x14ac:dyDescent="0.25">
      <c r="A1641">
        <v>1640</v>
      </c>
      <c r="B1641" s="1">
        <v>45497</v>
      </c>
      <c r="C1641" t="s">
        <v>21</v>
      </c>
      <c r="D1641" t="s">
        <v>17</v>
      </c>
      <c r="E1641">
        <v>85</v>
      </c>
      <c r="F1641">
        <v>33</v>
      </c>
      <c r="G1641">
        <v>5.9</v>
      </c>
      <c r="H1641" t="s">
        <v>12</v>
      </c>
      <c r="I1641" t="s">
        <v>13</v>
      </c>
      <c r="J1641" t="s">
        <v>11</v>
      </c>
    </row>
    <row r="1642" spans="1:10" x14ac:dyDescent="0.25">
      <c r="A1642">
        <v>1641</v>
      </c>
      <c r="B1642" s="1">
        <v>45571</v>
      </c>
      <c r="C1642" t="s">
        <v>22</v>
      </c>
      <c r="D1642" t="s">
        <v>17</v>
      </c>
      <c r="E1642">
        <v>127</v>
      </c>
      <c r="F1642">
        <v>20</v>
      </c>
      <c r="G1642">
        <v>2.5</v>
      </c>
      <c r="H1642" t="s">
        <v>18</v>
      </c>
      <c r="I1642" t="s">
        <v>19</v>
      </c>
      <c r="J1642" t="s">
        <v>11</v>
      </c>
    </row>
    <row r="1643" spans="1:10" x14ac:dyDescent="0.25">
      <c r="A1643">
        <v>1642</v>
      </c>
      <c r="B1643" s="1">
        <v>45609</v>
      </c>
      <c r="C1643" t="s">
        <v>10</v>
      </c>
      <c r="D1643" t="s">
        <v>11</v>
      </c>
      <c r="E1643">
        <v>182</v>
      </c>
      <c r="F1643">
        <v>67</v>
      </c>
      <c r="G1643">
        <v>8</v>
      </c>
      <c r="H1643" t="s">
        <v>12</v>
      </c>
      <c r="I1643" t="s">
        <v>13</v>
      </c>
      <c r="J1643" t="s">
        <v>11</v>
      </c>
    </row>
    <row r="1644" spans="1:10" x14ac:dyDescent="0.25">
      <c r="A1644">
        <v>1643</v>
      </c>
      <c r="B1644" s="1">
        <v>45441</v>
      </c>
      <c r="C1644" t="s">
        <v>22</v>
      </c>
      <c r="D1644" t="s">
        <v>11</v>
      </c>
      <c r="E1644">
        <v>38</v>
      </c>
      <c r="F1644">
        <v>11</v>
      </c>
      <c r="G1644">
        <v>1.1000000000000001</v>
      </c>
      <c r="H1644" t="s">
        <v>18</v>
      </c>
      <c r="I1644" t="s">
        <v>19</v>
      </c>
      <c r="J1644" t="s">
        <v>11</v>
      </c>
    </row>
    <row r="1645" spans="1:10" x14ac:dyDescent="0.25">
      <c r="A1645">
        <v>1644</v>
      </c>
      <c r="B1645" s="1">
        <v>45525</v>
      </c>
      <c r="C1645" t="s">
        <v>22</v>
      </c>
      <c r="D1645" t="s">
        <v>17</v>
      </c>
      <c r="E1645">
        <v>59</v>
      </c>
      <c r="F1645">
        <v>43</v>
      </c>
      <c r="G1645">
        <v>7.7</v>
      </c>
      <c r="H1645" t="s">
        <v>18</v>
      </c>
      <c r="I1645" t="s">
        <v>19</v>
      </c>
      <c r="J1645" t="s">
        <v>11</v>
      </c>
    </row>
    <row r="1646" spans="1:10" x14ac:dyDescent="0.25">
      <c r="A1646">
        <v>1645</v>
      </c>
      <c r="B1646" s="1">
        <v>45499</v>
      </c>
      <c r="C1646" t="s">
        <v>10</v>
      </c>
      <c r="D1646" t="s">
        <v>20</v>
      </c>
      <c r="E1646">
        <v>8</v>
      </c>
      <c r="F1646">
        <v>26</v>
      </c>
      <c r="G1646">
        <v>5.0999999999999996</v>
      </c>
      <c r="H1646" t="s">
        <v>18</v>
      </c>
      <c r="I1646" t="s">
        <v>16</v>
      </c>
      <c r="J1646" t="s">
        <v>15</v>
      </c>
    </row>
    <row r="1647" spans="1:10" x14ac:dyDescent="0.25">
      <c r="A1647">
        <v>1646</v>
      </c>
      <c r="B1647" s="1">
        <v>45566</v>
      </c>
      <c r="C1647" t="s">
        <v>22</v>
      </c>
      <c r="D1647" t="s">
        <v>15</v>
      </c>
      <c r="E1647">
        <v>205</v>
      </c>
      <c r="F1647">
        <v>31</v>
      </c>
      <c r="G1647">
        <v>7.7</v>
      </c>
      <c r="H1647" t="s">
        <v>12</v>
      </c>
      <c r="I1647" t="s">
        <v>13</v>
      </c>
      <c r="J1647" t="s">
        <v>11</v>
      </c>
    </row>
    <row r="1648" spans="1:10" x14ac:dyDescent="0.25">
      <c r="A1648">
        <v>1647</v>
      </c>
      <c r="B1648" s="1">
        <v>45462</v>
      </c>
      <c r="C1648" t="s">
        <v>21</v>
      </c>
      <c r="D1648" t="s">
        <v>17</v>
      </c>
      <c r="E1648">
        <v>30</v>
      </c>
      <c r="F1648">
        <v>64</v>
      </c>
      <c r="G1648">
        <v>0.6</v>
      </c>
      <c r="H1648" t="s">
        <v>12</v>
      </c>
      <c r="I1648" t="s">
        <v>16</v>
      </c>
      <c r="J1648" t="s">
        <v>11</v>
      </c>
    </row>
    <row r="1649" spans="1:10" x14ac:dyDescent="0.25">
      <c r="A1649">
        <v>1648</v>
      </c>
      <c r="B1649" s="1">
        <v>45612</v>
      </c>
      <c r="C1649" t="s">
        <v>21</v>
      </c>
      <c r="D1649" t="s">
        <v>17</v>
      </c>
      <c r="E1649">
        <v>43</v>
      </c>
      <c r="F1649">
        <v>9</v>
      </c>
      <c r="G1649">
        <v>8.6</v>
      </c>
      <c r="H1649" t="s">
        <v>18</v>
      </c>
      <c r="I1649" t="s">
        <v>16</v>
      </c>
      <c r="J1649" t="s">
        <v>11</v>
      </c>
    </row>
    <row r="1650" spans="1:10" x14ac:dyDescent="0.25">
      <c r="A1650">
        <v>1649</v>
      </c>
      <c r="B1650" s="1">
        <v>45356</v>
      </c>
      <c r="C1650" t="s">
        <v>23</v>
      </c>
      <c r="D1650" t="s">
        <v>11</v>
      </c>
      <c r="E1650">
        <v>72</v>
      </c>
      <c r="F1650">
        <v>62</v>
      </c>
      <c r="G1650">
        <v>5.7</v>
      </c>
      <c r="H1650" t="s">
        <v>12</v>
      </c>
      <c r="I1650" t="s">
        <v>13</v>
      </c>
      <c r="J1650" t="s">
        <v>11</v>
      </c>
    </row>
    <row r="1651" spans="1:10" x14ac:dyDescent="0.25">
      <c r="A1651">
        <v>1650</v>
      </c>
      <c r="B1651" s="1">
        <v>45306</v>
      </c>
      <c r="C1651" t="s">
        <v>21</v>
      </c>
      <c r="D1651" t="s">
        <v>15</v>
      </c>
      <c r="E1651">
        <v>156</v>
      </c>
      <c r="F1651">
        <v>7</v>
      </c>
      <c r="G1651">
        <v>5.6</v>
      </c>
      <c r="H1651" t="s">
        <v>12</v>
      </c>
      <c r="I1651" t="s">
        <v>19</v>
      </c>
      <c r="J1651" t="s">
        <v>11</v>
      </c>
    </row>
    <row r="1652" spans="1:10" x14ac:dyDescent="0.25">
      <c r="A1652">
        <v>1651</v>
      </c>
      <c r="B1652" s="1">
        <v>45390</v>
      </c>
      <c r="C1652" t="s">
        <v>23</v>
      </c>
      <c r="D1652" t="s">
        <v>11</v>
      </c>
      <c r="E1652">
        <v>57</v>
      </c>
      <c r="F1652">
        <v>41</v>
      </c>
      <c r="G1652">
        <v>7.6</v>
      </c>
      <c r="H1652" t="s">
        <v>12</v>
      </c>
      <c r="I1652" t="s">
        <v>16</v>
      </c>
      <c r="J1652" t="s">
        <v>11</v>
      </c>
    </row>
    <row r="1653" spans="1:10" x14ac:dyDescent="0.25">
      <c r="A1653">
        <v>1652</v>
      </c>
      <c r="B1653" s="1">
        <v>45476</v>
      </c>
      <c r="C1653" t="s">
        <v>22</v>
      </c>
      <c r="D1653" t="s">
        <v>15</v>
      </c>
      <c r="E1653">
        <v>9</v>
      </c>
      <c r="F1653">
        <v>51</v>
      </c>
      <c r="G1653">
        <v>8.9</v>
      </c>
      <c r="H1653" t="s">
        <v>12</v>
      </c>
      <c r="I1653" t="s">
        <v>13</v>
      </c>
      <c r="J1653" t="s">
        <v>15</v>
      </c>
    </row>
    <row r="1654" spans="1:10" x14ac:dyDescent="0.25">
      <c r="A1654">
        <v>1653</v>
      </c>
      <c r="B1654" s="1">
        <v>45357</v>
      </c>
      <c r="C1654" t="s">
        <v>22</v>
      </c>
      <c r="D1654" t="s">
        <v>11</v>
      </c>
      <c r="E1654">
        <v>240</v>
      </c>
      <c r="F1654">
        <v>38</v>
      </c>
      <c r="G1654">
        <v>0.6</v>
      </c>
      <c r="H1654" t="s">
        <v>12</v>
      </c>
      <c r="I1654" t="s">
        <v>16</v>
      </c>
      <c r="J1654" t="s">
        <v>11</v>
      </c>
    </row>
    <row r="1655" spans="1:10" x14ac:dyDescent="0.25">
      <c r="A1655">
        <v>1654</v>
      </c>
      <c r="B1655" s="1">
        <v>45330</v>
      </c>
      <c r="C1655" t="s">
        <v>21</v>
      </c>
      <c r="D1655" t="s">
        <v>17</v>
      </c>
      <c r="E1655">
        <v>19</v>
      </c>
      <c r="F1655">
        <v>65</v>
      </c>
      <c r="G1655">
        <v>8.6999999999999993</v>
      </c>
      <c r="H1655" t="s">
        <v>18</v>
      </c>
      <c r="I1655" t="s">
        <v>19</v>
      </c>
      <c r="J1655" t="s">
        <v>15</v>
      </c>
    </row>
    <row r="1656" spans="1:10" x14ac:dyDescent="0.25">
      <c r="A1656">
        <v>1655</v>
      </c>
      <c r="B1656" s="1">
        <v>45317</v>
      </c>
      <c r="C1656" t="s">
        <v>14</v>
      </c>
      <c r="D1656" t="s">
        <v>17</v>
      </c>
      <c r="E1656">
        <v>40</v>
      </c>
      <c r="F1656">
        <v>57</v>
      </c>
      <c r="G1656">
        <v>8.6</v>
      </c>
      <c r="H1656" t="s">
        <v>18</v>
      </c>
      <c r="I1656" t="s">
        <v>13</v>
      </c>
      <c r="J1656" t="s">
        <v>11</v>
      </c>
    </row>
    <row r="1657" spans="1:10" x14ac:dyDescent="0.25">
      <c r="A1657">
        <v>1656</v>
      </c>
      <c r="B1657" s="1">
        <v>45567</v>
      </c>
      <c r="C1657" t="s">
        <v>21</v>
      </c>
      <c r="D1657" t="s">
        <v>11</v>
      </c>
      <c r="E1657">
        <v>114</v>
      </c>
      <c r="F1657">
        <v>60</v>
      </c>
      <c r="G1657">
        <v>6.1</v>
      </c>
      <c r="H1657" t="s">
        <v>12</v>
      </c>
      <c r="I1657" t="s">
        <v>16</v>
      </c>
      <c r="J1657" t="s">
        <v>11</v>
      </c>
    </row>
    <row r="1658" spans="1:10" x14ac:dyDescent="0.25">
      <c r="A1658">
        <v>1657</v>
      </c>
      <c r="B1658" s="1">
        <v>45610</v>
      </c>
      <c r="C1658" t="s">
        <v>22</v>
      </c>
      <c r="D1658" t="s">
        <v>17</v>
      </c>
      <c r="E1658">
        <v>127</v>
      </c>
      <c r="F1658">
        <v>18</v>
      </c>
      <c r="G1658">
        <v>3.1</v>
      </c>
      <c r="H1658" t="s">
        <v>18</v>
      </c>
      <c r="I1658" t="s">
        <v>16</v>
      </c>
      <c r="J1658" t="s">
        <v>11</v>
      </c>
    </row>
    <row r="1659" spans="1:10" x14ac:dyDescent="0.25">
      <c r="A1659">
        <v>1658</v>
      </c>
      <c r="B1659" s="1">
        <v>45534</v>
      </c>
      <c r="C1659" t="s">
        <v>14</v>
      </c>
      <c r="D1659" t="s">
        <v>17</v>
      </c>
      <c r="E1659">
        <v>188</v>
      </c>
      <c r="F1659">
        <v>8</v>
      </c>
      <c r="G1659">
        <v>6.9</v>
      </c>
      <c r="H1659" t="s">
        <v>18</v>
      </c>
      <c r="I1659" t="s">
        <v>16</v>
      </c>
      <c r="J1659" t="s">
        <v>11</v>
      </c>
    </row>
    <row r="1660" spans="1:10" x14ac:dyDescent="0.25">
      <c r="A1660">
        <v>1659</v>
      </c>
      <c r="B1660" s="1">
        <v>45502</v>
      </c>
      <c r="C1660" t="s">
        <v>23</v>
      </c>
      <c r="D1660" t="s">
        <v>20</v>
      </c>
      <c r="E1660">
        <v>77</v>
      </c>
      <c r="F1660">
        <v>52</v>
      </c>
      <c r="G1660">
        <v>5.5</v>
      </c>
      <c r="H1660" t="s">
        <v>18</v>
      </c>
      <c r="I1660" t="s">
        <v>19</v>
      </c>
      <c r="J1660" t="s">
        <v>11</v>
      </c>
    </row>
    <row r="1661" spans="1:10" x14ac:dyDescent="0.25">
      <c r="A1661">
        <v>1660</v>
      </c>
      <c r="B1661" s="1">
        <v>45467</v>
      </c>
      <c r="C1661" t="s">
        <v>10</v>
      </c>
      <c r="D1661" t="s">
        <v>11</v>
      </c>
      <c r="E1661">
        <v>175</v>
      </c>
      <c r="F1661">
        <v>36</v>
      </c>
      <c r="G1661">
        <v>7.5</v>
      </c>
      <c r="H1661" t="s">
        <v>18</v>
      </c>
      <c r="I1661" t="s">
        <v>13</v>
      </c>
      <c r="J1661" t="s">
        <v>15</v>
      </c>
    </row>
    <row r="1662" spans="1:10" x14ac:dyDescent="0.25">
      <c r="A1662">
        <v>1661</v>
      </c>
      <c r="B1662" s="1">
        <v>45419</v>
      </c>
      <c r="C1662" t="s">
        <v>14</v>
      </c>
      <c r="D1662" t="s">
        <v>20</v>
      </c>
      <c r="E1662">
        <v>94</v>
      </c>
      <c r="F1662">
        <v>68</v>
      </c>
      <c r="G1662">
        <v>3</v>
      </c>
      <c r="H1662" t="s">
        <v>12</v>
      </c>
      <c r="I1662" t="s">
        <v>13</v>
      </c>
      <c r="J1662" t="s">
        <v>11</v>
      </c>
    </row>
    <row r="1663" spans="1:10" x14ac:dyDescent="0.25">
      <c r="A1663">
        <v>1662</v>
      </c>
      <c r="B1663" s="1">
        <v>45551</v>
      </c>
      <c r="C1663" t="s">
        <v>14</v>
      </c>
      <c r="D1663" t="s">
        <v>15</v>
      </c>
      <c r="E1663">
        <v>226</v>
      </c>
      <c r="F1663">
        <v>51</v>
      </c>
      <c r="G1663">
        <v>2.2000000000000002</v>
      </c>
      <c r="H1663" t="s">
        <v>12</v>
      </c>
      <c r="I1663" t="s">
        <v>16</v>
      </c>
      <c r="J1663" t="s">
        <v>11</v>
      </c>
    </row>
    <row r="1664" spans="1:10" x14ac:dyDescent="0.25">
      <c r="A1664">
        <v>1663</v>
      </c>
      <c r="B1664" s="1">
        <v>45605</v>
      </c>
      <c r="C1664" t="s">
        <v>22</v>
      </c>
      <c r="D1664" t="s">
        <v>17</v>
      </c>
      <c r="E1664">
        <v>16</v>
      </c>
      <c r="F1664">
        <v>54</v>
      </c>
      <c r="G1664">
        <v>5.9</v>
      </c>
      <c r="H1664" t="s">
        <v>12</v>
      </c>
      <c r="I1664" t="s">
        <v>19</v>
      </c>
      <c r="J1664" t="s">
        <v>15</v>
      </c>
    </row>
    <row r="1665" spans="1:10" x14ac:dyDescent="0.25">
      <c r="A1665">
        <v>1664</v>
      </c>
      <c r="B1665" s="1">
        <v>45491</v>
      </c>
      <c r="C1665" t="s">
        <v>10</v>
      </c>
      <c r="D1665" t="s">
        <v>15</v>
      </c>
      <c r="E1665">
        <v>141</v>
      </c>
      <c r="F1665">
        <v>24</v>
      </c>
      <c r="G1665">
        <v>3.6</v>
      </c>
      <c r="H1665" t="s">
        <v>18</v>
      </c>
      <c r="I1665" t="s">
        <v>16</v>
      </c>
      <c r="J1665" t="s">
        <v>11</v>
      </c>
    </row>
    <row r="1666" spans="1:10" x14ac:dyDescent="0.25">
      <c r="A1666">
        <v>1665</v>
      </c>
      <c r="B1666" s="1">
        <v>45555</v>
      </c>
      <c r="C1666" t="s">
        <v>21</v>
      </c>
      <c r="D1666" t="s">
        <v>20</v>
      </c>
      <c r="E1666">
        <v>176</v>
      </c>
      <c r="F1666">
        <v>25</v>
      </c>
      <c r="G1666">
        <v>1</v>
      </c>
      <c r="H1666" t="s">
        <v>12</v>
      </c>
      <c r="I1666" t="s">
        <v>19</v>
      </c>
      <c r="J1666" t="s">
        <v>11</v>
      </c>
    </row>
    <row r="1667" spans="1:10" x14ac:dyDescent="0.25">
      <c r="A1667">
        <v>1666</v>
      </c>
      <c r="B1667" s="1">
        <v>45449</v>
      </c>
      <c r="C1667" t="s">
        <v>22</v>
      </c>
      <c r="D1667" t="s">
        <v>15</v>
      </c>
      <c r="E1667">
        <v>100</v>
      </c>
      <c r="F1667">
        <v>37</v>
      </c>
      <c r="G1667">
        <v>3.3</v>
      </c>
      <c r="H1667" t="s">
        <v>12</v>
      </c>
      <c r="I1667" t="s">
        <v>13</v>
      </c>
      <c r="J1667" t="s">
        <v>11</v>
      </c>
    </row>
    <row r="1668" spans="1:10" x14ac:dyDescent="0.25">
      <c r="A1668">
        <v>1667</v>
      </c>
      <c r="B1668" s="1">
        <v>45313</v>
      </c>
      <c r="C1668" t="s">
        <v>23</v>
      </c>
      <c r="D1668" t="s">
        <v>11</v>
      </c>
      <c r="E1668">
        <v>234</v>
      </c>
      <c r="F1668">
        <v>41</v>
      </c>
      <c r="G1668">
        <v>3.1</v>
      </c>
      <c r="H1668" t="s">
        <v>12</v>
      </c>
      <c r="I1668" t="s">
        <v>19</v>
      </c>
      <c r="J1668" t="s">
        <v>11</v>
      </c>
    </row>
    <row r="1669" spans="1:10" x14ac:dyDescent="0.25">
      <c r="A1669">
        <v>1668</v>
      </c>
      <c r="B1669" s="1">
        <v>45505</v>
      </c>
      <c r="C1669" t="s">
        <v>23</v>
      </c>
      <c r="D1669" t="s">
        <v>11</v>
      </c>
      <c r="E1669">
        <v>238</v>
      </c>
      <c r="F1669">
        <v>72</v>
      </c>
      <c r="G1669">
        <v>8.4</v>
      </c>
      <c r="H1669" t="s">
        <v>18</v>
      </c>
      <c r="I1669" t="s">
        <v>19</v>
      </c>
      <c r="J1669" t="s">
        <v>15</v>
      </c>
    </row>
    <row r="1670" spans="1:10" x14ac:dyDescent="0.25">
      <c r="A1670">
        <v>1669</v>
      </c>
      <c r="B1670" s="1">
        <v>45308</v>
      </c>
      <c r="C1670" t="s">
        <v>21</v>
      </c>
      <c r="D1670" t="s">
        <v>11</v>
      </c>
      <c r="E1670">
        <v>211</v>
      </c>
      <c r="F1670">
        <v>13</v>
      </c>
      <c r="G1670">
        <v>4.7</v>
      </c>
      <c r="H1670" t="s">
        <v>12</v>
      </c>
      <c r="I1670" t="s">
        <v>16</v>
      </c>
      <c r="J1670" t="s">
        <v>11</v>
      </c>
    </row>
    <row r="1671" spans="1:10" x14ac:dyDescent="0.25">
      <c r="A1671">
        <v>1670</v>
      </c>
      <c r="B1671" s="1">
        <v>45384</v>
      </c>
      <c r="C1671" t="s">
        <v>14</v>
      </c>
      <c r="D1671" t="s">
        <v>17</v>
      </c>
      <c r="E1671">
        <v>229</v>
      </c>
      <c r="F1671">
        <v>5</v>
      </c>
      <c r="G1671">
        <v>6.1</v>
      </c>
      <c r="H1671" t="s">
        <v>18</v>
      </c>
      <c r="I1671" t="s">
        <v>13</v>
      </c>
      <c r="J1671" t="s">
        <v>15</v>
      </c>
    </row>
    <row r="1672" spans="1:10" x14ac:dyDescent="0.25">
      <c r="A1672">
        <v>1671</v>
      </c>
      <c r="B1672" s="1">
        <v>45470</v>
      </c>
      <c r="C1672" t="s">
        <v>23</v>
      </c>
      <c r="D1672" t="s">
        <v>20</v>
      </c>
      <c r="E1672">
        <v>124</v>
      </c>
      <c r="F1672">
        <v>38</v>
      </c>
      <c r="G1672">
        <v>6.4</v>
      </c>
      <c r="H1672" t="s">
        <v>12</v>
      </c>
      <c r="I1672" t="s">
        <v>16</v>
      </c>
      <c r="J1672" t="s">
        <v>11</v>
      </c>
    </row>
    <row r="1673" spans="1:10" x14ac:dyDescent="0.25">
      <c r="A1673">
        <v>1672</v>
      </c>
      <c r="B1673" s="1">
        <v>45542</v>
      </c>
      <c r="C1673" t="s">
        <v>14</v>
      </c>
      <c r="D1673" t="s">
        <v>17</v>
      </c>
      <c r="E1673">
        <v>8</v>
      </c>
      <c r="F1673">
        <v>67</v>
      </c>
      <c r="G1673">
        <v>1.3</v>
      </c>
      <c r="H1673" t="s">
        <v>18</v>
      </c>
      <c r="I1673" t="s">
        <v>19</v>
      </c>
      <c r="J1673" t="s">
        <v>15</v>
      </c>
    </row>
    <row r="1674" spans="1:10" x14ac:dyDescent="0.25">
      <c r="A1674">
        <v>1673</v>
      </c>
      <c r="B1674" s="1">
        <v>45427</v>
      </c>
      <c r="C1674" t="s">
        <v>10</v>
      </c>
      <c r="D1674" t="s">
        <v>17</v>
      </c>
      <c r="E1674">
        <v>142</v>
      </c>
      <c r="F1674">
        <v>33</v>
      </c>
      <c r="G1674">
        <v>7.8</v>
      </c>
      <c r="H1674" t="s">
        <v>18</v>
      </c>
      <c r="I1674" t="s">
        <v>19</v>
      </c>
      <c r="J1674" t="s">
        <v>11</v>
      </c>
    </row>
    <row r="1675" spans="1:10" x14ac:dyDescent="0.25">
      <c r="A1675">
        <v>1674</v>
      </c>
      <c r="B1675" s="1">
        <v>45293</v>
      </c>
      <c r="C1675" t="s">
        <v>23</v>
      </c>
      <c r="D1675" t="s">
        <v>11</v>
      </c>
      <c r="E1675">
        <v>131</v>
      </c>
      <c r="F1675">
        <v>57</v>
      </c>
      <c r="G1675">
        <v>9.9</v>
      </c>
      <c r="H1675" t="s">
        <v>12</v>
      </c>
      <c r="I1675" t="s">
        <v>16</v>
      </c>
      <c r="J1675" t="s">
        <v>11</v>
      </c>
    </row>
    <row r="1676" spans="1:10" x14ac:dyDescent="0.25">
      <c r="A1676">
        <v>1675</v>
      </c>
      <c r="B1676" s="1">
        <v>45352</v>
      </c>
      <c r="C1676" t="s">
        <v>23</v>
      </c>
      <c r="D1676" t="s">
        <v>17</v>
      </c>
      <c r="E1676">
        <v>157</v>
      </c>
      <c r="F1676">
        <v>24</v>
      </c>
      <c r="G1676">
        <v>9.6</v>
      </c>
      <c r="H1676" t="s">
        <v>12</v>
      </c>
      <c r="I1676" t="s">
        <v>16</v>
      </c>
      <c r="J1676" t="s">
        <v>11</v>
      </c>
    </row>
    <row r="1677" spans="1:10" x14ac:dyDescent="0.25">
      <c r="A1677">
        <v>1676</v>
      </c>
      <c r="B1677" s="1">
        <v>45523</v>
      </c>
      <c r="C1677" t="s">
        <v>10</v>
      </c>
      <c r="D1677" t="s">
        <v>15</v>
      </c>
      <c r="E1677">
        <v>122</v>
      </c>
      <c r="F1677">
        <v>33</v>
      </c>
      <c r="G1677">
        <v>4.8</v>
      </c>
      <c r="H1677" t="s">
        <v>12</v>
      </c>
      <c r="I1677" t="s">
        <v>19</v>
      </c>
      <c r="J1677" t="s">
        <v>11</v>
      </c>
    </row>
    <row r="1678" spans="1:10" x14ac:dyDescent="0.25">
      <c r="A1678">
        <v>1677</v>
      </c>
      <c r="B1678" s="1">
        <v>45329</v>
      </c>
      <c r="C1678" t="s">
        <v>14</v>
      </c>
      <c r="D1678" t="s">
        <v>11</v>
      </c>
      <c r="E1678">
        <v>211</v>
      </c>
      <c r="F1678">
        <v>4</v>
      </c>
      <c r="G1678">
        <v>6.3</v>
      </c>
      <c r="H1678" t="s">
        <v>18</v>
      </c>
      <c r="I1678" t="s">
        <v>13</v>
      </c>
      <c r="J1678" t="s">
        <v>20</v>
      </c>
    </row>
    <row r="1679" spans="1:10" x14ac:dyDescent="0.25">
      <c r="A1679">
        <v>1678</v>
      </c>
      <c r="B1679" s="1">
        <v>45436</v>
      </c>
      <c r="C1679" t="s">
        <v>10</v>
      </c>
      <c r="D1679" t="s">
        <v>20</v>
      </c>
      <c r="E1679">
        <v>179</v>
      </c>
      <c r="F1679">
        <v>34</v>
      </c>
      <c r="G1679">
        <v>4.2</v>
      </c>
      <c r="H1679" t="s">
        <v>18</v>
      </c>
      <c r="I1679" t="s">
        <v>16</v>
      </c>
      <c r="J1679" t="s">
        <v>11</v>
      </c>
    </row>
    <row r="1680" spans="1:10" x14ac:dyDescent="0.25">
      <c r="A1680">
        <v>1679</v>
      </c>
      <c r="B1680" s="1">
        <v>45377</v>
      </c>
      <c r="C1680" t="s">
        <v>10</v>
      </c>
      <c r="D1680" t="s">
        <v>17</v>
      </c>
      <c r="E1680">
        <v>161</v>
      </c>
      <c r="F1680">
        <v>43</v>
      </c>
      <c r="G1680">
        <v>7.8</v>
      </c>
      <c r="H1680" t="s">
        <v>18</v>
      </c>
      <c r="I1680" t="s">
        <v>13</v>
      </c>
      <c r="J1680" t="s">
        <v>11</v>
      </c>
    </row>
    <row r="1681" spans="1:10" x14ac:dyDescent="0.25">
      <c r="A1681">
        <v>1680</v>
      </c>
      <c r="B1681" s="1">
        <v>45489</v>
      </c>
      <c r="C1681" t="s">
        <v>23</v>
      </c>
      <c r="D1681" t="s">
        <v>20</v>
      </c>
      <c r="E1681">
        <v>230</v>
      </c>
      <c r="F1681">
        <v>44</v>
      </c>
      <c r="G1681">
        <v>5.4</v>
      </c>
      <c r="H1681" t="s">
        <v>18</v>
      </c>
      <c r="I1681" t="s">
        <v>19</v>
      </c>
      <c r="J1681" t="s">
        <v>11</v>
      </c>
    </row>
    <row r="1682" spans="1:10" x14ac:dyDescent="0.25">
      <c r="A1682">
        <v>1681</v>
      </c>
      <c r="B1682" s="1">
        <v>45600</v>
      </c>
      <c r="C1682" t="s">
        <v>21</v>
      </c>
      <c r="D1682" t="s">
        <v>11</v>
      </c>
      <c r="E1682">
        <v>159</v>
      </c>
      <c r="F1682">
        <v>56</v>
      </c>
      <c r="G1682">
        <v>6.3</v>
      </c>
      <c r="H1682" t="s">
        <v>18</v>
      </c>
      <c r="I1682" t="s">
        <v>16</v>
      </c>
      <c r="J1682" t="s">
        <v>15</v>
      </c>
    </row>
    <row r="1683" spans="1:10" x14ac:dyDescent="0.25">
      <c r="A1683">
        <v>1682</v>
      </c>
      <c r="B1683" s="1">
        <v>45295</v>
      </c>
      <c r="C1683" t="s">
        <v>21</v>
      </c>
      <c r="D1683" t="s">
        <v>17</v>
      </c>
      <c r="E1683">
        <v>222</v>
      </c>
      <c r="F1683">
        <v>40</v>
      </c>
      <c r="G1683">
        <v>7.1</v>
      </c>
      <c r="H1683" t="s">
        <v>18</v>
      </c>
      <c r="I1683" t="s">
        <v>16</v>
      </c>
      <c r="J1683" t="s">
        <v>11</v>
      </c>
    </row>
    <row r="1684" spans="1:10" x14ac:dyDescent="0.25">
      <c r="A1684">
        <v>1683</v>
      </c>
      <c r="B1684" s="1">
        <v>45370</v>
      </c>
      <c r="C1684" t="s">
        <v>10</v>
      </c>
      <c r="D1684" t="s">
        <v>11</v>
      </c>
      <c r="E1684">
        <v>81</v>
      </c>
      <c r="F1684">
        <v>16</v>
      </c>
      <c r="G1684">
        <v>9.9</v>
      </c>
      <c r="H1684" t="s">
        <v>18</v>
      </c>
      <c r="I1684" t="s">
        <v>16</v>
      </c>
      <c r="J1684" t="s">
        <v>15</v>
      </c>
    </row>
    <row r="1685" spans="1:10" x14ac:dyDescent="0.25">
      <c r="A1685">
        <v>1684</v>
      </c>
      <c r="B1685" s="1">
        <v>45329</v>
      </c>
      <c r="C1685" t="s">
        <v>23</v>
      </c>
      <c r="D1685" t="s">
        <v>17</v>
      </c>
      <c r="E1685">
        <v>72</v>
      </c>
      <c r="F1685">
        <v>51</v>
      </c>
      <c r="G1685">
        <v>2.9</v>
      </c>
      <c r="H1685" t="s">
        <v>12</v>
      </c>
      <c r="I1685" t="s">
        <v>16</v>
      </c>
      <c r="J1685" t="s">
        <v>11</v>
      </c>
    </row>
    <row r="1686" spans="1:10" x14ac:dyDescent="0.25">
      <c r="A1686">
        <v>1685</v>
      </c>
      <c r="B1686" s="1">
        <v>45411</v>
      </c>
      <c r="C1686" t="s">
        <v>22</v>
      </c>
      <c r="D1686" t="s">
        <v>15</v>
      </c>
      <c r="E1686">
        <v>53</v>
      </c>
      <c r="F1686">
        <v>69</v>
      </c>
      <c r="G1686">
        <v>1.2</v>
      </c>
      <c r="H1686" t="s">
        <v>18</v>
      </c>
      <c r="I1686" t="s">
        <v>19</v>
      </c>
      <c r="J1686" t="s">
        <v>11</v>
      </c>
    </row>
    <row r="1687" spans="1:10" x14ac:dyDescent="0.25">
      <c r="A1687">
        <v>1686</v>
      </c>
      <c r="B1687" s="1">
        <v>45351</v>
      </c>
      <c r="C1687" t="s">
        <v>10</v>
      </c>
      <c r="D1687" t="s">
        <v>11</v>
      </c>
      <c r="E1687">
        <v>57</v>
      </c>
      <c r="F1687">
        <v>37</v>
      </c>
      <c r="G1687">
        <v>2.4</v>
      </c>
      <c r="H1687" t="s">
        <v>18</v>
      </c>
      <c r="I1687" t="s">
        <v>13</v>
      </c>
      <c r="J1687" t="s">
        <v>11</v>
      </c>
    </row>
    <row r="1688" spans="1:10" x14ac:dyDescent="0.25">
      <c r="A1688">
        <v>1687</v>
      </c>
      <c r="B1688" s="1">
        <v>45642</v>
      </c>
      <c r="C1688" t="s">
        <v>14</v>
      </c>
      <c r="D1688" t="s">
        <v>11</v>
      </c>
      <c r="E1688">
        <v>62</v>
      </c>
      <c r="F1688">
        <v>60</v>
      </c>
      <c r="G1688">
        <v>6.3</v>
      </c>
      <c r="H1688" t="s">
        <v>12</v>
      </c>
      <c r="I1688" t="s">
        <v>13</v>
      </c>
      <c r="J1688" t="s">
        <v>11</v>
      </c>
    </row>
    <row r="1689" spans="1:10" x14ac:dyDescent="0.25">
      <c r="A1689">
        <v>1688</v>
      </c>
      <c r="B1689" s="1">
        <v>45622</v>
      </c>
      <c r="C1689" t="s">
        <v>23</v>
      </c>
      <c r="D1689" t="s">
        <v>17</v>
      </c>
      <c r="E1689">
        <v>59</v>
      </c>
      <c r="F1689">
        <v>42</v>
      </c>
      <c r="G1689">
        <v>6.6</v>
      </c>
      <c r="H1689" t="s">
        <v>18</v>
      </c>
      <c r="I1689" t="s">
        <v>13</v>
      </c>
      <c r="J1689" t="s">
        <v>11</v>
      </c>
    </row>
    <row r="1690" spans="1:10" x14ac:dyDescent="0.25">
      <c r="A1690">
        <v>1689</v>
      </c>
      <c r="B1690" s="1">
        <v>45501</v>
      </c>
      <c r="C1690" t="s">
        <v>14</v>
      </c>
      <c r="D1690" t="s">
        <v>20</v>
      </c>
      <c r="E1690">
        <v>202</v>
      </c>
      <c r="F1690">
        <v>58</v>
      </c>
      <c r="G1690">
        <v>0.5</v>
      </c>
      <c r="H1690" t="s">
        <v>18</v>
      </c>
      <c r="I1690" t="s">
        <v>19</v>
      </c>
      <c r="J1690" t="s">
        <v>11</v>
      </c>
    </row>
    <row r="1691" spans="1:10" x14ac:dyDescent="0.25">
      <c r="A1691">
        <v>1690</v>
      </c>
      <c r="B1691" s="1">
        <v>45523</v>
      </c>
      <c r="C1691" t="s">
        <v>21</v>
      </c>
      <c r="D1691" t="s">
        <v>20</v>
      </c>
      <c r="E1691">
        <v>63</v>
      </c>
      <c r="F1691">
        <v>16</v>
      </c>
      <c r="G1691">
        <v>9.6</v>
      </c>
      <c r="H1691" t="s">
        <v>18</v>
      </c>
      <c r="I1691" t="s">
        <v>19</v>
      </c>
      <c r="J1691" t="s">
        <v>11</v>
      </c>
    </row>
    <row r="1692" spans="1:10" x14ac:dyDescent="0.25">
      <c r="A1692">
        <v>1691</v>
      </c>
      <c r="B1692" s="1">
        <v>45446</v>
      </c>
      <c r="C1692" t="s">
        <v>21</v>
      </c>
      <c r="D1692" t="s">
        <v>15</v>
      </c>
      <c r="E1692">
        <v>233</v>
      </c>
      <c r="F1692">
        <v>11</v>
      </c>
      <c r="G1692">
        <v>7.3</v>
      </c>
      <c r="H1692" t="s">
        <v>18</v>
      </c>
      <c r="I1692" t="s">
        <v>13</v>
      </c>
      <c r="J1692" t="s">
        <v>15</v>
      </c>
    </row>
    <row r="1693" spans="1:10" x14ac:dyDescent="0.25">
      <c r="A1693">
        <v>1692</v>
      </c>
      <c r="B1693" s="1">
        <v>45436</v>
      </c>
      <c r="C1693" t="s">
        <v>23</v>
      </c>
      <c r="D1693" t="s">
        <v>11</v>
      </c>
      <c r="E1693">
        <v>24</v>
      </c>
      <c r="F1693">
        <v>44</v>
      </c>
      <c r="G1693">
        <v>7.7</v>
      </c>
      <c r="H1693" t="s">
        <v>18</v>
      </c>
      <c r="I1693" t="s">
        <v>16</v>
      </c>
      <c r="J1693" t="s">
        <v>20</v>
      </c>
    </row>
    <row r="1694" spans="1:10" x14ac:dyDescent="0.25">
      <c r="A1694">
        <v>1693</v>
      </c>
      <c r="B1694" s="1">
        <v>45396</v>
      </c>
      <c r="C1694" t="s">
        <v>10</v>
      </c>
      <c r="D1694" t="s">
        <v>11</v>
      </c>
      <c r="E1694">
        <v>172</v>
      </c>
      <c r="F1694">
        <v>30</v>
      </c>
      <c r="G1694">
        <v>3.5</v>
      </c>
      <c r="H1694" t="s">
        <v>12</v>
      </c>
      <c r="I1694" t="s">
        <v>16</v>
      </c>
      <c r="J1694" t="s">
        <v>11</v>
      </c>
    </row>
    <row r="1695" spans="1:10" x14ac:dyDescent="0.25">
      <c r="A1695">
        <v>1694</v>
      </c>
      <c r="B1695" s="1">
        <v>45434</v>
      </c>
      <c r="C1695" t="s">
        <v>10</v>
      </c>
      <c r="D1695" t="s">
        <v>20</v>
      </c>
      <c r="E1695">
        <v>219</v>
      </c>
      <c r="F1695">
        <v>3</v>
      </c>
      <c r="G1695">
        <v>8.9</v>
      </c>
      <c r="H1695" t="s">
        <v>18</v>
      </c>
      <c r="I1695" t="s">
        <v>13</v>
      </c>
      <c r="J1695" t="s">
        <v>15</v>
      </c>
    </row>
    <row r="1696" spans="1:10" x14ac:dyDescent="0.25">
      <c r="A1696">
        <v>1695</v>
      </c>
      <c r="B1696" s="1">
        <v>45445</v>
      </c>
      <c r="C1696" t="s">
        <v>22</v>
      </c>
      <c r="D1696" t="s">
        <v>11</v>
      </c>
      <c r="E1696">
        <v>22</v>
      </c>
      <c r="F1696">
        <v>33</v>
      </c>
      <c r="G1696">
        <v>4.9000000000000004</v>
      </c>
      <c r="H1696" t="s">
        <v>18</v>
      </c>
      <c r="I1696" t="s">
        <v>16</v>
      </c>
      <c r="J1696" t="s">
        <v>15</v>
      </c>
    </row>
    <row r="1697" spans="1:10" x14ac:dyDescent="0.25">
      <c r="A1697">
        <v>1696</v>
      </c>
      <c r="B1697" s="1">
        <v>45369</v>
      </c>
      <c r="C1697" t="s">
        <v>23</v>
      </c>
      <c r="D1697" t="s">
        <v>20</v>
      </c>
      <c r="E1697">
        <v>146</v>
      </c>
      <c r="F1697">
        <v>72</v>
      </c>
      <c r="G1697">
        <v>4.4000000000000004</v>
      </c>
      <c r="H1697" t="s">
        <v>12</v>
      </c>
      <c r="I1697" t="s">
        <v>16</v>
      </c>
      <c r="J1697" t="s">
        <v>11</v>
      </c>
    </row>
    <row r="1698" spans="1:10" x14ac:dyDescent="0.25">
      <c r="A1698">
        <v>1697</v>
      </c>
      <c r="B1698" s="1">
        <v>45591</v>
      </c>
      <c r="C1698" t="s">
        <v>10</v>
      </c>
      <c r="D1698" t="s">
        <v>11</v>
      </c>
      <c r="E1698">
        <v>134</v>
      </c>
      <c r="F1698">
        <v>61</v>
      </c>
      <c r="G1698">
        <v>5.3</v>
      </c>
      <c r="H1698" t="s">
        <v>12</v>
      </c>
      <c r="I1698" t="s">
        <v>16</v>
      </c>
      <c r="J1698" t="s">
        <v>11</v>
      </c>
    </row>
    <row r="1699" spans="1:10" x14ac:dyDescent="0.25">
      <c r="A1699">
        <v>1698</v>
      </c>
      <c r="B1699" s="1">
        <v>45366</v>
      </c>
      <c r="C1699" t="s">
        <v>10</v>
      </c>
      <c r="D1699" t="s">
        <v>11</v>
      </c>
      <c r="E1699">
        <v>17</v>
      </c>
      <c r="F1699">
        <v>37</v>
      </c>
      <c r="G1699">
        <v>4.4000000000000004</v>
      </c>
      <c r="H1699" t="s">
        <v>18</v>
      </c>
      <c r="I1699" t="s">
        <v>19</v>
      </c>
      <c r="J1699" t="s">
        <v>15</v>
      </c>
    </row>
    <row r="1700" spans="1:10" x14ac:dyDescent="0.25">
      <c r="A1700">
        <v>1699</v>
      </c>
      <c r="B1700" s="1">
        <v>45596</v>
      </c>
      <c r="C1700" t="s">
        <v>10</v>
      </c>
      <c r="D1700" t="s">
        <v>17</v>
      </c>
      <c r="E1700">
        <v>171</v>
      </c>
      <c r="F1700">
        <v>22</v>
      </c>
      <c r="G1700">
        <v>6.7</v>
      </c>
      <c r="H1700" t="s">
        <v>18</v>
      </c>
      <c r="I1700" t="s">
        <v>19</v>
      </c>
      <c r="J1700" t="s">
        <v>11</v>
      </c>
    </row>
    <row r="1701" spans="1:10" x14ac:dyDescent="0.25">
      <c r="A1701">
        <v>1700</v>
      </c>
      <c r="B1701" s="1">
        <v>45613</v>
      </c>
      <c r="C1701" t="s">
        <v>23</v>
      </c>
      <c r="D1701" t="s">
        <v>15</v>
      </c>
      <c r="E1701">
        <v>120</v>
      </c>
      <c r="F1701">
        <v>18</v>
      </c>
      <c r="G1701">
        <v>6.1</v>
      </c>
      <c r="H1701" t="s">
        <v>18</v>
      </c>
      <c r="I1701" t="s">
        <v>13</v>
      </c>
      <c r="J1701" t="s">
        <v>15</v>
      </c>
    </row>
    <row r="1702" spans="1:10" x14ac:dyDescent="0.25">
      <c r="A1702">
        <v>1701</v>
      </c>
      <c r="B1702" s="1">
        <v>45450</v>
      </c>
      <c r="C1702" t="s">
        <v>14</v>
      </c>
      <c r="D1702" t="s">
        <v>11</v>
      </c>
      <c r="E1702">
        <v>45</v>
      </c>
      <c r="F1702">
        <v>37</v>
      </c>
      <c r="G1702">
        <v>5.4</v>
      </c>
      <c r="H1702" t="s">
        <v>12</v>
      </c>
      <c r="I1702" t="s">
        <v>19</v>
      </c>
      <c r="J1702" t="s">
        <v>11</v>
      </c>
    </row>
    <row r="1703" spans="1:10" x14ac:dyDescent="0.25">
      <c r="A1703">
        <v>1702</v>
      </c>
      <c r="B1703" s="1">
        <v>45389</v>
      </c>
      <c r="C1703" t="s">
        <v>10</v>
      </c>
      <c r="D1703" t="s">
        <v>11</v>
      </c>
      <c r="E1703">
        <v>62</v>
      </c>
      <c r="F1703">
        <v>17</v>
      </c>
      <c r="G1703">
        <v>9.3000000000000007</v>
      </c>
      <c r="H1703" t="s">
        <v>12</v>
      </c>
      <c r="I1703" t="s">
        <v>19</v>
      </c>
      <c r="J1703" t="s">
        <v>11</v>
      </c>
    </row>
    <row r="1704" spans="1:10" x14ac:dyDescent="0.25">
      <c r="A1704">
        <v>1703</v>
      </c>
      <c r="B1704" s="1">
        <v>45413</v>
      </c>
      <c r="C1704" t="s">
        <v>14</v>
      </c>
      <c r="D1704" t="s">
        <v>11</v>
      </c>
      <c r="E1704">
        <v>161</v>
      </c>
      <c r="F1704">
        <v>70</v>
      </c>
      <c r="G1704">
        <v>9</v>
      </c>
      <c r="H1704" t="s">
        <v>12</v>
      </c>
      <c r="I1704" t="s">
        <v>16</v>
      </c>
      <c r="J1704" t="s">
        <v>11</v>
      </c>
    </row>
    <row r="1705" spans="1:10" x14ac:dyDescent="0.25">
      <c r="A1705">
        <v>1704</v>
      </c>
      <c r="B1705" s="1">
        <v>45451</v>
      </c>
      <c r="C1705" t="s">
        <v>10</v>
      </c>
      <c r="D1705" t="s">
        <v>17</v>
      </c>
      <c r="E1705">
        <v>22</v>
      </c>
      <c r="F1705">
        <v>64</v>
      </c>
      <c r="G1705">
        <v>0.8</v>
      </c>
      <c r="H1705" t="s">
        <v>12</v>
      </c>
      <c r="I1705" t="s">
        <v>16</v>
      </c>
      <c r="J1705" t="s">
        <v>11</v>
      </c>
    </row>
    <row r="1706" spans="1:10" x14ac:dyDescent="0.25">
      <c r="A1706">
        <v>1705</v>
      </c>
      <c r="B1706" s="1">
        <v>45584</v>
      </c>
      <c r="C1706" t="s">
        <v>14</v>
      </c>
      <c r="D1706" t="s">
        <v>17</v>
      </c>
      <c r="E1706">
        <v>95</v>
      </c>
      <c r="F1706">
        <v>64</v>
      </c>
      <c r="G1706">
        <v>3.7</v>
      </c>
      <c r="H1706" t="s">
        <v>18</v>
      </c>
      <c r="I1706" t="s">
        <v>13</v>
      </c>
      <c r="J1706" t="s">
        <v>11</v>
      </c>
    </row>
    <row r="1707" spans="1:10" x14ac:dyDescent="0.25">
      <c r="A1707">
        <v>1706</v>
      </c>
      <c r="B1707" s="1">
        <v>45430</v>
      </c>
      <c r="C1707" t="s">
        <v>23</v>
      </c>
      <c r="D1707" t="s">
        <v>17</v>
      </c>
      <c r="E1707">
        <v>168</v>
      </c>
      <c r="F1707">
        <v>22</v>
      </c>
      <c r="G1707">
        <v>9.9</v>
      </c>
      <c r="H1707" t="s">
        <v>18</v>
      </c>
      <c r="I1707" t="s">
        <v>16</v>
      </c>
      <c r="J1707" t="s">
        <v>11</v>
      </c>
    </row>
    <row r="1708" spans="1:10" x14ac:dyDescent="0.25">
      <c r="A1708">
        <v>1707</v>
      </c>
      <c r="B1708" s="1">
        <v>45402</v>
      </c>
      <c r="C1708" t="s">
        <v>23</v>
      </c>
      <c r="D1708" t="s">
        <v>11</v>
      </c>
      <c r="E1708">
        <v>113</v>
      </c>
      <c r="F1708">
        <v>29</v>
      </c>
      <c r="G1708">
        <v>8.1</v>
      </c>
      <c r="H1708" t="s">
        <v>18</v>
      </c>
      <c r="I1708" t="s">
        <v>13</v>
      </c>
      <c r="J1708" t="s">
        <v>15</v>
      </c>
    </row>
    <row r="1709" spans="1:10" x14ac:dyDescent="0.25">
      <c r="A1709">
        <v>1708</v>
      </c>
      <c r="B1709" s="1">
        <v>45608</v>
      </c>
      <c r="C1709" t="s">
        <v>22</v>
      </c>
      <c r="D1709" t="s">
        <v>20</v>
      </c>
      <c r="E1709">
        <v>202</v>
      </c>
      <c r="F1709">
        <v>48</v>
      </c>
      <c r="G1709">
        <v>6.7</v>
      </c>
      <c r="H1709" t="s">
        <v>18</v>
      </c>
      <c r="I1709" t="s">
        <v>16</v>
      </c>
      <c r="J1709" t="s">
        <v>11</v>
      </c>
    </row>
    <row r="1710" spans="1:10" x14ac:dyDescent="0.25">
      <c r="A1710">
        <v>1709</v>
      </c>
      <c r="B1710" s="1">
        <v>45575</v>
      </c>
      <c r="C1710" t="s">
        <v>21</v>
      </c>
      <c r="D1710" t="s">
        <v>11</v>
      </c>
      <c r="E1710">
        <v>224</v>
      </c>
      <c r="F1710">
        <v>66</v>
      </c>
      <c r="G1710">
        <v>4.5</v>
      </c>
      <c r="H1710" t="s">
        <v>18</v>
      </c>
      <c r="I1710" t="s">
        <v>19</v>
      </c>
      <c r="J1710" t="s">
        <v>11</v>
      </c>
    </row>
    <row r="1711" spans="1:10" x14ac:dyDescent="0.25">
      <c r="A1711">
        <v>1710</v>
      </c>
      <c r="B1711" s="1">
        <v>45545</v>
      </c>
      <c r="C1711" t="s">
        <v>22</v>
      </c>
      <c r="D1711" t="s">
        <v>15</v>
      </c>
      <c r="E1711">
        <v>41</v>
      </c>
      <c r="F1711">
        <v>42</v>
      </c>
      <c r="G1711">
        <v>4.5999999999999996</v>
      </c>
      <c r="H1711" t="s">
        <v>12</v>
      </c>
      <c r="I1711" t="s">
        <v>19</v>
      </c>
      <c r="J1711" t="s">
        <v>11</v>
      </c>
    </row>
    <row r="1712" spans="1:10" x14ac:dyDescent="0.25">
      <c r="A1712">
        <v>1711</v>
      </c>
      <c r="B1712" s="1">
        <v>45355</v>
      </c>
      <c r="C1712" t="s">
        <v>10</v>
      </c>
      <c r="D1712" t="s">
        <v>15</v>
      </c>
      <c r="E1712">
        <v>136</v>
      </c>
      <c r="F1712">
        <v>15</v>
      </c>
      <c r="G1712">
        <v>1.1000000000000001</v>
      </c>
      <c r="H1712" t="s">
        <v>12</v>
      </c>
      <c r="I1712" t="s">
        <v>16</v>
      </c>
      <c r="J1712" t="s">
        <v>11</v>
      </c>
    </row>
    <row r="1713" spans="1:10" x14ac:dyDescent="0.25">
      <c r="A1713">
        <v>1712</v>
      </c>
      <c r="B1713" s="1">
        <v>45635</v>
      </c>
      <c r="C1713" t="s">
        <v>10</v>
      </c>
      <c r="D1713" t="s">
        <v>20</v>
      </c>
      <c r="E1713">
        <v>53</v>
      </c>
      <c r="F1713">
        <v>36</v>
      </c>
      <c r="G1713">
        <v>0.9</v>
      </c>
      <c r="H1713" t="s">
        <v>12</v>
      </c>
      <c r="I1713" t="s">
        <v>16</v>
      </c>
      <c r="J1713" t="s">
        <v>11</v>
      </c>
    </row>
    <row r="1714" spans="1:10" x14ac:dyDescent="0.25">
      <c r="A1714">
        <v>1713</v>
      </c>
      <c r="B1714" s="1">
        <v>45636</v>
      </c>
      <c r="C1714" t="s">
        <v>23</v>
      </c>
      <c r="D1714" t="s">
        <v>11</v>
      </c>
      <c r="E1714">
        <v>80</v>
      </c>
      <c r="F1714">
        <v>23</v>
      </c>
      <c r="G1714">
        <v>0.6</v>
      </c>
      <c r="H1714" t="s">
        <v>18</v>
      </c>
      <c r="I1714" t="s">
        <v>16</v>
      </c>
      <c r="J1714" t="s">
        <v>11</v>
      </c>
    </row>
    <row r="1715" spans="1:10" x14ac:dyDescent="0.25">
      <c r="A1715">
        <v>1714</v>
      </c>
      <c r="B1715" s="1">
        <v>45597</v>
      </c>
      <c r="C1715" t="s">
        <v>22</v>
      </c>
      <c r="D1715" t="s">
        <v>17</v>
      </c>
      <c r="E1715">
        <v>210</v>
      </c>
      <c r="F1715">
        <v>30</v>
      </c>
      <c r="G1715">
        <v>3.4</v>
      </c>
      <c r="H1715" t="s">
        <v>18</v>
      </c>
      <c r="I1715" t="s">
        <v>16</v>
      </c>
      <c r="J1715" t="s">
        <v>11</v>
      </c>
    </row>
    <row r="1716" spans="1:10" x14ac:dyDescent="0.25">
      <c r="A1716">
        <v>1715</v>
      </c>
      <c r="B1716" s="1">
        <v>45616</v>
      </c>
      <c r="C1716" t="s">
        <v>23</v>
      </c>
      <c r="D1716" t="s">
        <v>17</v>
      </c>
      <c r="E1716">
        <v>211</v>
      </c>
      <c r="F1716">
        <v>22</v>
      </c>
      <c r="G1716">
        <v>5.8</v>
      </c>
      <c r="H1716" t="s">
        <v>18</v>
      </c>
      <c r="I1716" t="s">
        <v>16</v>
      </c>
      <c r="J1716" t="s">
        <v>11</v>
      </c>
    </row>
    <row r="1717" spans="1:10" x14ac:dyDescent="0.25">
      <c r="A1717">
        <v>1716</v>
      </c>
      <c r="B1717" s="1">
        <v>45328</v>
      </c>
      <c r="C1717" t="s">
        <v>21</v>
      </c>
      <c r="D1717" t="s">
        <v>15</v>
      </c>
      <c r="E1717">
        <v>69</v>
      </c>
      <c r="F1717">
        <v>15</v>
      </c>
      <c r="G1717">
        <v>4.7</v>
      </c>
      <c r="H1717" t="s">
        <v>12</v>
      </c>
      <c r="I1717" t="s">
        <v>19</v>
      </c>
      <c r="J1717" t="s">
        <v>11</v>
      </c>
    </row>
    <row r="1718" spans="1:10" x14ac:dyDescent="0.25">
      <c r="A1718">
        <v>1717</v>
      </c>
      <c r="B1718" s="1">
        <v>45455</v>
      </c>
      <c r="C1718" t="s">
        <v>22</v>
      </c>
      <c r="D1718" t="s">
        <v>11</v>
      </c>
      <c r="E1718">
        <v>198</v>
      </c>
      <c r="F1718">
        <v>32</v>
      </c>
      <c r="G1718">
        <v>1.6</v>
      </c>
      <c r="H1718" t="s">
        <v>12</v>
      </c>
      <c r="I1718" t="s">
        <v>13</v>
      </c>
      <c r="J1718" t="s">
        <v>11</v>
      </c>
    </row>
    <row r="1719" spans="1:10" x14ac:dyDescent="0.25">
      <c r="A1719">
        <v>1718</v>
      </c>
      <c r="B1719" s="1">
        <v>45498</v>
      </c>
      <c r="C1719" t="s">
        <v>22</v>
      </c>
      <c r="D1719" t="s">
        <v>15</v>
      </c>
      <c r="E1719">
        <v>199</v>
      </c>
      <c r="F1719">
        <v>61</v>
      </c>
      <c r="G1719">
        <v>3.8</v>
      </c>
      <c r="H1719" t="s">
        <v>12</v>
      </c>
      <c r="I1719" t="s">
        <v>13</v>
      </c>
      <c r="J1719" t="s">
        <v>11</v>
      </c>
    </row>
    <row r="1720" spans="1:10" x14ac:dyDescent="0.25">
      <c r="A1720">
        <v>1719</v>
      </c>
      <c r="B1720" s="1">
        <v>45535</v>
      </c>
      <c r="C1720" t="s">
        <v>22</v>
      </c>
      <c r="D1720" t="s">
        <v>15</v>
      </c>
      <c r="E1720">
        <v>107</v>
      </c>
      <c r="F1720">
        <v>69</v>
      </c>
      <c r="G1720">
        <v>9.5</v>
      </c>
      <c r="H1720" t="s">
        <v>12</v>
      </c>
      <c r="I1720" t="s">
        <v>13</v>
      </c>
      <c r="J1720" t="s">
        <v>11</v>
      </c>
    </row>
    <row r="1721" spans="1:10" x14ac:dyDescent="0.25">
      <c r="A1721">
        <v>1720</v>
      </c>
      <c r="B1721" s="1">
        <v>45502</v>
      </c>
      <c r="C1721" t="s">
        <v>22</v>
      </c>
      <c r="D1721" t="s">
        <v>11</v>
      </c>
      <c r="E1721">
        <v>153</v>
      </c>
      <c r="F1721">
        <v>48</v>
      </c>
      <c r="G1721">
        <v>9.1999999999999993</v>
      </c>
      <c r="H1721" t="s">
        <v>18</v>
      </c>
      <c r="I1721" t="s">
        <v>19</v>
      </c>
      <c r="J1721" t="s">
        <v>15</v>
      </c>
    </row>
    <row r="1722" spans="1:10" x14ac:dyDescent="0.25">
      <c r="A1722">
        <v>1721</v>
      </c>
      <c r="B1722" s="1">
        <v>45372</v>
      </c>
      <c r="C1722" t="s">
        <v>23</v>
      </c>
      <c r="D1722" t="s">
        <v>20</v>
      </c>
      <c r="E1722">
        <v>187</v>
      </c>
      <c r="F1722">
        <v>18</v>
      </c>
      <c r="G1722">
        <v>1.9</v>
      </c>
      <c r="H1722" t="s">
        <v>12</v>
      </c>
      <c r="I1722" t="s">
        <v>13</v>
      </c>
      <c r="J1722" t="s">
        <v>11</v>
      </c>
    </row>
    <row r="1723" spans="1:10" x14ac:dyDescent="0.25">
      <c r="A1723">
        <v>1722</v>
      </c>
      <c r="B1723" s="1">
        <v>45545</v>
      </c>
      <c r="C1723" t="s">
        <v>23</v>
      </c>
      <c r="D1723" t="s">
        <v>15</v>
      </c>
      <c r="E1723">
        <v>27</v>
      </c>
      <c r="F1723">
        <v>19</v>
      </c>
      <c r="G1723">
        <v>1.6</v>
      </c>
      <c r="H1723" t="s">
        <v>12</v>
      </c>
      <c r="I1723" t="s">
        <v>19</v>
      </c>
      <c r="J1723" t="s">
        <v>15</v>
      </c>
    </row>
    <row r="1724" spans="1:10" x14ac:dyDescent="0.25">
      <c r="A1724">
        <v>1723</v>
      </c>
      <c r="B1724" s="1">
        <v>45615</v>
      </c>
      <c r="C1724" t="s">
        <v>21</v>
      </c>
      <c r="D1724" t="s">
        <v>17</v>
      </c>
      <c r="E1724">
        <v>94</v>
      </c>
      <c r="F1724">
        <v>11</v>
      </c>
      <c r="G1724">
        <v>4.9000000000000004</v>
      </c>
      <c r="H1724" t="s">
        <v>12</v>
      </c>
      <c r="I1724" t="s">
        <v>13</v>
      </c>
      <c r="J1724" t="s">
        <v>11</v>
      </c>
    </row>
    <row r="1725" spans="1:10" x14ac:dyDescent="0.25">
      <c r="A1725">
        <v>1724</v>
      </c>
      <c r="B1725" s="1">
        <v>45562</v>
      </c>
      <c r="C1725" t="s">
        <v>23</v>
      </c>
      <c r="D1725" t="s">
        <v>15</v>
      </c>
      <c r="E1725">
        <v>75</v>
      </c>
      <c r="F1725">
        <v>67</v>
      </c>
      <c r="G1725">
        <v>2.1</v>
      </c>
      <c r="H1725" t="s">
        <v>12</v>
      </c>
      <c r="I1725" t="s">
        <v>16</v>
      </c>
      <c r="J1725" t="s">
        <v>11</v>
      </c>
    </row>
    <row r="1726" spans="1:10" x14ac:dyDescent="0.25">
      <c r="A1726">
        <v>1725</v>
      </c>
      <c r="B1726" s="1">
        <v>45645</v>
      </c>
      <c r="C1726" t="s">
        <v>22</v>
      </c>
      <c r="D1726" t="s">
        <v>15</v>
      </c>
      <c r="E1726">
        <v>76</v>
      </c>
      <c r="F1726">
        <v>72</v>
      </c>
      <c r="G1726">
        <v>8</v>
      </c>
      <c r="H1726" t="s">
        <v>12</v>
      </c>
      <c r="I1726" t="s">
        <v>13</v>
      </c>
      <c r="J1726" t="s">
        <v>11</v>
      </c>
    </row>
    <row r="1727" spans="1:10" x14ac:dyDescent="0.25">
      <c r="A1727">
        <v>1726</v>
      </c>
      <c r="B1727" s="1">
        <v>45406</v>
      </c>
      <c r="C1727" t="s">
        <v>14</v>
      </c>
      <c r="D1727" t="s">
        <v>15</v>
      </c>
      <c r="E1727">
        <v>39</v>
      </c>
      <c r="F1727">
        <v>30</v>
      </c>
      <c r="G1727">
        <v>3.9</v>
      </c>
      <c r="H1727" t="s">
        <v>12</v>
      </c>
      <c r="I1727" t="s">
        <v>13</v>
      </c>
      <c r="J1727" t="s">
        <v>11</v>
      </c>
    </row>
    <row r="1728" spans="1:10" x14ac:dyDescent="0.25">
      <c r="A1728">
        <v>1727</v>
      </c>
      <c r="B1728" s="1">
        <v>45300</v>
      </c>
      <c r="C1728" t="s">
        <v>22</v>
      </c>
      <c r="D1728" t="s">
        <v>11</v>
      </c>
      <c r="E1728">
        <v>52</v>
      </c>
      <c r="F1728">
        <v>8</v>
      </c>
      <c r="G1728">
        <v>8.8000000000000007</v>
      </c>
      <c r="H1728" t="s">
        <v>18</v>
      </c>
      <c r="I1728" t="s">
        <v>19</v>
      </c>
      <c r="J1728" t="s">
        <v>15</v>
      </c>
    </row>
    <row r="1729" spans="1:10" x14ac:dyDescent="0.25">
      <c r="A1729">
        <v>1728</v>
      </c>
      <c r="B1729" s="1">
        <v>45547</v>
      </c>
      <c r="C1729" t="s">
        <v>21</v>
      </c>
      <c r="D1729" t="s">
        <v>20</v>
      </c>
      <c r="E1729">
        <v>93</v>
      </c>
      <c r="F1729">
        <v>31</v>
      </c>
      <c r="G1729">
        <v>6.5</v>
      </c>
      <c r="H1729" t="s">
        <v>18</v>
      </c>
      <c r="I1729" t="s">
        <v>19</v>
      </c>
      <c r="J1729" t="s">
        <v>11</v>
      </c>
    </row>
    <row r="1730" spans="1:10" x14ac:dyDescent="0.25">
      <c r="A1730">
        <v>1729</v>
      </c>
      <c r="B1730" s="1">
        <v>45294</v>
      </c>
      <c r="C1730" t="s">
        <v>10</v>
      </c>
      <c r="D1730" t="s">
        <v>20</v>
      </c>
      <c r="E1730">
        <v>167</v>
      </c>
      <c r="F1730">
        <v>5</v>
      </c>
      <c r="G1730">
        <v>7.8</v>
      </c>
      <c r="H1730" t="s">
        <v>12</v>
      </c>
      <c r="I1730" t="s">
        <v>16</v>
      </c>
      <c r="J1730" t="s">
        <v>15</v>
      </c>
    </row>
    <row r="1731" spans="1:10" x14ac:dyDescent="0.25">
      <c r="A1731">
        <v>1730</v>
      </c>
      <c r="B1731" s="1">
        <v>45453</v>
      </c>
      <c r="C1731" t="s">
        <v>22</v>
      </c>
      <c r="D1731" t="s">
        <v>20</v>
      </c>
      <c r="E1731">
        <v>23</v>
      </c>
      <c r="F1731">
        <v>47</v>
      </c>
      <c r="G1731">
        <v>6.5</v>
      </c>
      <c r="H1731" t="s">
        <v>12</v>
      </c>
      <c r="I1731" t="s">
        <v>19</v>
      </c>
      <c r="J1731" t="s">
        <v>15</v>
      </c>
    </row>
    <row r="1732" spans="1:10" x14ac:dyDescent="0.25">
      <c r="A1732">
        <v>1731</v>
      </c>
      <c r="B1732" s="1">
        <v>45520</v>
      </c>
      <c r="C1732" t="s">
        <v>10</v>
      </c>
      <c r="D1732" t="s">
        <v>17</v>
      </c>
      <c r="E1732">
        <v>43</v>
      </c>
      <c r="F1732">
        <v>32</v>
      </c>
      <c r="G1732">
        <v>5.6</v>
      </c>
      <c r="H1732" t="s">
        <v>12</v>
      </c>
      <c r="I1732" t="s">
        <v>13</v>
      </c>
      <c r="J1732" t="s">
        <v>11</v>
      </c>
    </row>
    <row r="1733" spans="1:10" x14ac:dyDescent="0.25">
      <c r="A1733">
        <v>1732</v>
      </c>
      <c r="B1733" s="1">
        <v>45318</v>
      </c>
      <c r="C1733" t="s">
        <v>21</v>
      </c>
      <c r="D1733" t="s">
        <v>17</v>
      </c>
      <c r="E1733">
        <v>36</v>
      </c>
      <c r="F1733">
        <v>61</v>
      </c>
      <c r="G1733">
        <v>5.0999999999999996</v>
      </c>
      <c r="H1733" t="s">
        <v>18</v>
      </c>
      <c r="I1733" t="s">
        <v>13</v>
      </c>
      <c r="J1733" t="s">
        <v>11</v>
      </c>
    </row>
    <row r="1734" spans="1:10" x14ac:dyDescent="0.25">
      <c r="A1734">
        <v>1733</v>
      </c>
      <c r="B1734" s="1">
        <v>45477</v>
      </c>
      <c r="C1734" t="s">
        <v>22</v>
      </c>
      <c r="D1734" t="s">
        <v>17</v>
      </c>
      <c r="E1734">
        <v>159</v>
      </c>
      <c r="F1734">
        <v>45</v>
      </c>
      <c r="G1734">
        <v>6.4</v>
      </c>
      <c r="H1734" t="s">
        <v>12</v>
      </c>
      <c r="I1734" t="s">
        <v>13</v>
      </c>
      <c r="J1734" t="s">
        <v>11</v>
      </c>
    </row>
    <row r="1735" spans="1:10" x14ac:dyDescent="0.25">
      <c r="A1735">
        <v>1734</v>
      </c>
      <c r="B1735" s="1">
        <v>45497</v>
      </c>
      <c r="C1735" t="s">
        <v>10</v>
      </c>
      <c r="D1735" t="s">
        <v>20</v>
      </c>
      <c r="E1735">
        <v>123</v>
      </c>
      <c r="F1735">
        <v>62</v>
      </c>
      <c r="G1735">
        <v>3.2</v>
      </c>
      <c r="H1735" t="s">
        <v>12</v>
      </c>
      <c r="I1735" t="s">
        <v>13</v>
      </c>
      <c r="J1735" t="s">
        <v>11</v>
      </c>
    </row>
    <row r="1736" spans="1:10" x14ac:dyDescent="0.25">
      <c r="A1736">
        <v>1735</v>
      </c>
      <c r="B1736" s="1">
        <v>45423</v>
      </c>
      <c r="C1736" t="s">
        <v>22</v>
      </c>
      <c r="D1736" t="s">
        <v>17</v>
      </c>
      <c r="E1736">
        <v>56</v>
      </c>
      <c r="F1736">
        <v>67</v>
      </c>
      <c r="G1736">
        <v>7.5</v>
      </c>
      <c r="H1736" t="s">
        <v>18</v>
      </c>
      <c r="I1736" t="s">
        <v>19</v>
      </c>
      <c r="J1736" t="s">
        <v>11</v>
      </c>
    </row>
    <row r="1737" spans="1:10" x14ac:dyDescent="0.25">
      <c r="A1737">
        <v>1736</v>
      </c>
      <c r="B1737" s="1">
        <v>45307</v>
      </c>
      <c r="C1737" t="s">
        <v>14</v>
      </c>
      <c r="D1737" t="s">
        <v>17</v>
      </c>
      <c r="E1737">
        <v>148</v>
      </c>
      <c r="F1737">
        <v>69</v>
      </c>
      <c r="G1737">
        <v>5</v>
      </c>
      <c r="H1737" t="s">
        <v>12</v>
      </c>
      <c r="I1737" t="s">
        <v>13</v>
      </c>
      <c r="J1737" t="s">
        <v>11</v>
      </c>
    </row>
    <row r="1738" spans="1:10" x14ac:dyDescent="0.25">
      <c r="A1738">
        <v>1737</v>
      </c>
      <c r="B1738" s="1">
        <v>45563</v>
      </c>
      <c r="C1738" t="s">
        <v>14</v>
      </c>
      <c r="D1738" t="s">
        <v>15</v>
      </c>
      <c r="E1738">
        <v>184</v>
      </c>
      <c r="F1738">
        <v>72</v>
      </c>
      <c r="G1738">
        <v>1.5</v>
      </c>
      <c r="H1738" t="s">
        <v>18</v>
      </c>
      <c r="I1738" t="s">
        <v>13</v>
      </c>
      <c r="J1738" t="s">
        <v>11</v>
      </c>
    </row>
    <row r="1739" spans="1:10" x14ac:dyDescent="0.25">
      <c r="A1739">
        <v>1738</v>
      </c>
      <c r="B1739" s="1">
        <v>45516</v>
      </c>
      <c r="C1739" t="s">
        <v>14</v>
      </c>
      <c r="D1739" t="s">
        <v>11</v>
      </c>
      <c r="E1739">
        <v>200</v>
      </c>
      <c r="F1739">
        <v>43</v>
      </c>
      <c r="G1739">
        <v>2.8</v>
      </c>
      <c r="H1739" t="s">
        <v>18</v>
      </c>
      <c r="I1739" t="s">
        <v>16</v>
      </c>
      <c r="J1739" t="s">
        <v>11</v>
      </c>
    </row>
    <row r="1740" spans="1:10" x14ac:dyDescent="0.25">
      <c r="A1740">
        <v>1739</v>
      </c>
      <c r="B1740" s="1">
        <v>45559</v>
      </c>
      <c r="C1740" t="s">
        <v>10</v>
      </c>
      <c r="D1740" t="s">
        <v>20</v>
      </c>
      <c r="E1740">
        <v>206</v>
      </c>
      <c r="F1740">
        <v>26</v>
      </c>
      <c r="G1740">
        <v>0.7</v>
      </c>
      <c r="H1740" t="s">
        <v>18</v>
      </c>
      <c r="I1740" t="s">
        <v>19</v>
      </c>
      <c r="J1740" t="s">
        <v>11</v>
      </c>
    </row>
    <row r="1741" spans="1:10" x14ac:dyDescent="0.25">
      <c r="A1741">
        <v>1740</v>
      </c>
      <c r="B1741" s="1">
        <v>45307</v>
      </c>
      <c r="C1741" t="s">
        <v>22</v>
      </c>
      <c r="D1741" t="s">
        <v>17</v>
      </c>
      <c r="E1741">
        <v>161</v>
      </c>
      <c r="F1741">
        <v>39</v>
      </c>
      <c r="G1741">
        <v>5.0999999999999996</v>
      </c>
      <c r="H1741" t="s">
        <v>18</v>
      </c>
      <c r="I1741" t="s">
        <v>16</v>
      </c>
      <c r="J1741" t="s">
        <v>11</v>
      </c>
    </row>
    <row r="1742" spans="1:10" x14ac:dyDescent="0.25">
      <c r="A1742">
        <v>1741</v>
      </c>
      <c r="B1742" s="1">
        <v>45381</v>
      </c>
      <c r="C1742" t="s">
        <v>10</v>
      </c>
      <c r="D1742" t="s">
        <v>20</v>
      </c>
      <c r="E1742">
        <v>127</v>
      </c>
      <c r="F1742">
        <v>35</v>
      </c>
      <c r="G1742">
        <v>9.1999999999999993</v>
      </c>
      <c r="H1742" t="s">
        <v>12</v>
      </c>
      <c r="I1742" t="s">
        <v>13</v>
      </c>
      <c r="J1742" t="s">
        <v>11</v>
      </c>
    </row>
    <row r="1743" spans="1:10" x14ac:dyDescent="0.25">
      <c r="A1743">
        <v>1742</v>
      </c>
      <c r="B1743" s="1">
        <v>45543</v>
      </c>
      <c r="C1743" t="s">
        <v>10</v>
      </c>
      <c r="D1743" t="s">
        <v>20</v>
      </c>
      <c r="E1743">
        <v>199</v>
      </c>
      <c r="F1743">
        <v>54</v>
      </c>
      <c r="G1743">
        <v>8.6999999999999993</v>
      </c>
      <c r="H1743" t="s">
        <v>12</v>
      </c>
      <c r="I1743" t="s">
        <v>19</v>
      </c>
      <c r="J1743" t="s">
        <v>11</v>
      </c>
    </row>
    <row r="1744" spans="1:10" x14ac:dyDescent="0.25">
      <c r="A1744">
        <v>1743</v>
      </c>
      <c r="B1744" s="1">
        <v>45377</v>
      </c>
      <c r="C1744" t="s">
        <v>23</v>
      </c>
      <c r="D1744" t="s">
        <v>17</v>
      </c>
      <c r="E1744">
        <v>14</v>
      </c>
      <c r="F1744">
        <v>30</v>
      </c>
      <c r="G1744">
        <v>2.9</v>
      </c>
      <c r="H1744" t="s">
        <v>18</v>
      </c>
      <c r="I1744" t="s">
        <v>16</v>
      </c>
      <c r="J1744" t="s">
        <v>15</v>
      </c>
    </row>
    <row r="1745" spans="1:10" x14ac:dyDescent="0.25">
      <c r="A1745">
        <v>1744</v>
      </c>
      <c r="B1745" s="1">
        <v>45395</v>
      </c>
      <c r="C1745" t="s">
        <v>23</v>
      </c>
      <c r="D1745" t="s">
        <v>17</v>
      </c>
      <c r="E1745">
        <v>239</v>
      </c>
      <c r="F1745">
        <v>7</v>
      </c>
      <c r="G1745">
        <v>6.7</v>
      </c>
      <c r="H1745" t="s">
        <v>12</v>
      </c>
      <c r="I1745" t="s">
        <v>19</v>
      </c>
      <c r="J1745" t="s">
        <v>11</v>
      </c>
    </row>
    <row r="1746" spans="1:10" x14ac:dyDescent="0.25">
      <c r="A1746">
        <v>1745</v>
      </c>
      <c r="B1746" s="1">
        <v>45586</v>
      </c>
      <c r="C1746" t="s">
        <v>23</v>
      </c>
      <c r="D1746" t="s">
        <v>17</v>
      </c>
      <c r="E1746">
        <v>181</v>
      </c>
      <c r="F1746">
        <v>13</v>
      </c>
      <c r="G1746">
        <v>7.7</v>
      </c>
      <c r="H1746" t="s">
        <v>18</v>
      </c>
      <c r="I1746" t="s">
        <v>16</v>
      </c>
      <c r="J1746" t="s">
        <v>11</v>
      </c>
    </row>
    <row r="1747" spans="1:10" x14ac:dyDescent="0.25">
      <c r="A1747">
        <v>1746</v>
      </c>
      <c r="B1747" s="1">
        <v>45312</v>
      </c>
      <c r="C1747" t="s">
        <v>22</v>
      </c>
      <c r="D1747" t="s">
        <v>15</v>
      </c>
      <c r="E1747">
        <v>67</v>
      </c>
      <c r="F1747">
        <v>40</v>
      </c>
      <c r="G1747">
        <v>5</v>
      </c>
      <c r="H1747" t="s">
        <v>12</v>
      </c>
      <c r="I1747" t="s">
        <v>16</v>
      </c>
      <c r="J1747" t="s">
        <v>11</v>
      </c>
    </row>
    <row r="1748" spans="1:10" x14ac:dyDescent="0.25">
      <c r="A1748">
        <v>1747</v>
      </c>
      <c r="B1748" s="1">
        <v>45489</v>
      </c>
      <c r="C1748" t="s">
        <v>23</v>
      </c>
      <c r="D1748" t="s">
        <v>15</v>
      </c>
      <c r="E1748">
        <v>220</v>
      </c>
      <c r="F1748">
        <v>21</v>
      </c>
      <c r="G1748">
        <v>3.1</v>
      </c>
      <c r="H1748" t="s">
        <v>12</v>
      </c>
      <c r="I1748" t="s">
        <v>16</v>
      </c>
      <c r="J1748" t="s">
        <v>11</v>
      </c>
    </row>
    <row r="1749" spans="1:10" x14ac:dyDescent="0.25">
      <c r="A1749">
        <v>1748</v>
      </c>
      <c r="B1749" s="1">
        <v>45390</v>
      </c>
      <c r="C1749" t="s">
        <v>21</v>
      </c>
      <c r="D1749" t="s">
        <v>20</v>
      </c>
      <c r="E1749">
        <v>229</v>
      </c>
      <c r="F1749">
        <v>53</v>
      </c>
      <c r="G1749">
        <v>6.3</v>
      </c>
      <c r="H1749" t="s">
        <v>12</v>
      </c>
      <c r="I1749" t="s">
        <v>19</v>
      </c>
      <c r="J1749" t="s">
        <v>11</v>
      </c>
    </row>
    <row r="1750" spans="1:10" x14ac:dyDescent="0.25">
      <c r="A1750">
        <v>1749</v>
      </c>
      <c r="B1750" s="1">
        <v>45508</v>
      </c>
      <c r="C1750" t="s">
        <v>23</v>
      </c>
      <c r="D1750" t="s">
        <v>11</v>
      </c>
      <c r="E1750">
        <v>98</v>
      </c>
      <c r="F1750">
        <v>49</v>
      </c>
      <c r="G1750">
        <v>3.7</v>
      </c>
      <c r="H1750" t="s">
        <v>12</v>
      </c>
      <c r="I1750" t="s">
        <v>13</v>
      </c>
      <c r="J1750" t="s">
        <v>11</v>
      </c>
    </row>
    <row r="1751" spans="1:10" x14ac:dyDescent="0.25">
      <c r="A1751">
        <v>1750</v>
      </c>
      <c r="B1751" s="1">
        <v>45510</v>
      </c>
      <c r="C1751" t="s">
        <v>21</v>
      </c>
      <c r="D1751" t="s">
        <v>20</v>
      </c>
      <c r="E1751">
        <v>202</v>
      </c>
      <c r="F1751">
        <v>49</v>
      </c>
      <c r="G1751">
        <v>3.6</v>
      </c>
      <c r="H1751" t="s">
        <v>12</v>
      </c>
      <c r="I1751" t="s">
        <v>13</v>
      </c>
      <c r="J1751" t="s">
        <v>11</v>
      </c>
    </row>
    <row r="1752" spans="1:10" x14ac:dyDescent="0.25">
      <c r="A1752">
        <v>1751</v>
      </c>
      <c r="B1752" s="1">
        <v>45601</v>
      </c>
      <c r="C1752" t="s">
        <v>14</v>
      </c>
      <c r="D1752" t="s">
        <v>20</v>
      </c>
      <c r="E1752">
        <v>202</v>
      </c>
      <c r="F1752">
        <v>36</v>
      </c>
      <c r="G1752">
        <v>1.4</v>
      </c>
      <c r="H1752" t="s">
        <v>18</v>
      </c>
      <c r="I1752" t="s">
        <v>16</v>
      </c>
      <c r="J1752" t="s">
        <v>11</v>
      </c>
    </row>
    <row r="1753" spans="1:10" x14ac:dyDescent="0.25">
      <c r="A1753">
        <v>1752</v>
      </c>
      <c r="B1753" s="1">
        <v>45362</v>
      </c>
      <c r="C1753" t="s">
        <v>21</v>
      </c>
      <c r="D1753" t="s">
        <v>11</v>
      </c>
      <c r="E1753">
        <v>205</v>
      </c>
      <c r="F1753">
        <v>58</v>
      </c>
      <c r="G1753">
        <v>4.7</v>
      </c>
      <c r="H1753" t="s">
        <v>12</v>
      </c>
      <c r="I1753" t="s">
        <v>19</v>
      </c>
      <c r="J1753" t="s">
        <v>11</v>
      </c>
    </row>
    <row r="1754" spans="1:10" x14ac:dyDescent="0.25">
      <c r="A1754">
        <v>1753</v>
      </c>
      <c r="B1754" s="1">
        <v>45554</v>
      </c>
      <c r="C1754" t="s">
        <v>14</v>
      </c>
      <c r="D1754" t="s">
        <v>17</v>
      </c>
      <c r="E1754">
        <v>222</v>
      </c>
      <c r="F1754">
        <v>45</v>
      </c>
      <c r="G1754">
        <v>2.7</v>
      </c>
      <c r="H1754" t="s">
        <v>12</v>
      </c>
      <c r="I1754" t="s">
        <v>19</v>
      </c>
      <c r="J1754" t="s">
        <v>11</v>
      </c>
    </row>
    <row r="1755" spans="1:10" x14ac:dyDescent="0.25">
      <c r="A1755">
        <v>1754</v>
      </c>
      <c r="B1755" s="1">
        <v>45527</v>
      </c>
      <c r="C1755" t="s">
        <v>10</v>
      </c>
      <c r="D1755" t="s">
        <v>11</v>
      </c>
      <c r="E1755">
        <v>213</v>
      </c>
      <c r="F1755">
        <v>13</v>
      </c>
      <c r="G1755">
        <v>2.9</v>
      </c>
      <c r="H1755" t="s">
        <v>18</v>
      </c>
      <c r="I1755" t="s">
        <v>16</v>
      </c>
      <c r="J1755" t="s">
        <v>11</v>
      </c>
    </row>
    <row r="1756" spans="1:10" x14ac:dyDescent="0.25">
      <c r="A1756">
        <v>1755</v>
      </c>
      <c r="B1756" s="1">
        <v>45626</v>
      </c>
      <c r="C1756" t="s">
        <v>22</v>
      </c>
      <c r="D1756" t="s">
        <v>20</v>
      </c>
      <c r="E1756">
        <v>110</v>
      </c>
      <c r="F1756">
        <v>12</v>
      </c>
      <c r="G1756">
        <v>6.4</v>
      </c>
      <c r="H1756" t="s">
        <v>12</v>
      </c>
      <c r="I1756" t="s">
        <v>13</v>
      </c>
      <c r="J1756" t="s">
        <v>11</v>
      </c>
    </row>
    <row r="1757" spans="1:10" x14ac:dyDescent="0.25">
      <c r="A1757">
        <v>1756</v>
      </c>
      <c r="B1757" s="1">
        <v>45326</v>
      </c>
      <c r="C1757" t="s">
        <v>23</v>
      </c>
      <c r="D1757" t="s">
        <v>11</v>
      </c>
      <c r="E1757">
        <v>164</v>
      </c>
      <c r="F1757">
        <v>43</v>
      </c>
      <c r="G1757">
        <v>4.7</v>
      </c>
      <c r="H1757" t="s">
        <v>18</v>
      </c>
      <c r="I1757" t="s">
        <v>16</v>
      </c>
      <c r="J1757" t="s">
        <v>11</v>
      </c>
    </row>
    <row r="1758" spans="1:10" x14ac:dyDescent="0.25">
      <c r="A1758">
        <v>1757</v>
      </c>
      <c r="B1758" s="1">
        <v>45295</v>
      </c>
      <c r="C1758" t="s">
        <v>21</v>
      </c>
      <c r="D1758" t="s">
        <v>11</v>
      </c>
      <c r="E1758">
        <v>235</v>
      </c>
      <c r="F1758">
        <v>59</v>
      </c>
      <c r="G1758">
        <v>8.1</v>
      </c>
      <c r="H1758" t="s">
        <v>18</v>
      </c>
      <c r="I1758" t="s">
        <v>16</v>
      </c>
      <c r="J1758" t="s">
        <v>15</v>
      </c>
    </row>
    <row r="1759" spans="1:10" x14ac:dyDescent="0.25">
      <c r="A1759">
        <v>1758</v>
      </c>
      <c r="B1759" s="1">
        <v>45552</v>
      </c>
      <c r="C1759" t="s">
        <v>14</v>
      </c>
      <c r="D1759" t="s">
        <v>11</v>
      </c>
      <c r="E1759">
        <v>150</v>
      </c>
      <c r="F1759">
        <v>67</v>
      </c>
      <c r="G1759">
        <v>4.5999999999999996</v>
      </c>
      <c r="H1759" t="s">
        <v>18</v>
      </c>
      <c r="I1759" t="s">
        <v>13</v>
      </c>
      <c r="J1759" t="s">
        <v>11</v>
      </c>
    </row>
    <row r="1760" spans="1:10" x14ac:dyDescent="0.25">
      <c r="A1760">
        <v>1759</v>
      </c>
      <c r="B1760" s="1">
        <v>45411</v>
      </c>
      <c r="C1760" t="s">
        <v>23</v>
      </c>
      <c r="D1760" t="s">
        <v>17</v>
      </c>
      <c r="E1760">
        <v>219</v>
      </c>
      <c r="F1760">
        <v>22</v>
      </c>
      <c r="G1760">
        <v>10</v>
      </c>
      <c r="H1760" t="s">
        <v>12</v>
      </c>
      <c r="I1760" t="s">
        <v>19</v>
      </c>
      <c r="J1760" t="s">
        <v>11</v>
      </c>
    </row>
    <row r="1761" spans="1:10" x14ac:dyDescent="0.25">
      <c r="A1761">
        <v>1760</v>
      </c>
      <c r="B1761" s="1">
        <v>45300</v>
      </c>
      <c r="C1761" t="s">
        <v>14</v>
      </c>
      <c r="D1761" t="s">
        <v>11</v>
      </c>
      <c r="E1761">
        <v>157</v>
      </c>
      <c r="F1761">
        <v>22</v>
      </c>
      <c r="G1761">
        <v>8.6999999999999993</v>
      </c>
      <c r="H1761" t="s">
        <v>12</v>
      </c>
      <c r="I1761" t="s">
        <v>13</v>
      </c>
      <c r="J1761" t="s">
        <v>11</v>
      </c>
    </row>
    <row r="1762" spans="1:10" x14ac:dyDescent="0.25">
      <c r="A1762">
        <v>1761</v>
      </c>
      <c r="B1762" s="1">
        <v>45378</v>
      </c>
      <c r="C1762" t="s">
        <v>14</v>
      </c>
      <c r="D1762" t="s">
        <v>11</v>
      </c>
      <c r="E1762">
        <v>101</v>
      </c>
      <c r="F1762">
        <v>45</v>
      </c>
      <c r="G1762">
        <v>0.8</v>
      </c>
      <c r="H1762" t="s">
        <v>18</v>
      </c>
      <c r="I1762" t="s">
        <v>13</v>
      </c>
      <c r="J1762" t="s">
        <v>11</v>
      </c>
    </row>
    <row r="1763" spans="1:10" x14ac:dyDescent="0.25">
      <c r="A1763">
        <v>1762</v>
      </c>
      <c r="B1763" s="1">
        <v>45393</v>
      </c>
      <c r="C1763" t="s">
        <v>23</v>
      </c>
      <c r="D1763" t="s">
        <v>11</v>
      </c>
      <c r="E1763">
        <v>126</v>
      </c>
      <c r="F1763">
        <v>12</v>
      </c>
      <c r="G1763">
        <v>8.1</v>
      </c>
      <c r="H1763" t="s">
        <v>18</v>
      </c>
      <c r="I1763" t="s">
        <v>19</v>
      </c>
      <c r="J1763" t="s">
        <v>15</v>
      </c>
    </row>
    <row r="1764" spans="1:10" x14ac:dyDescent="0.25">
      <c r="A1764">
        <v>1763</v>
      </c>
      <c r="B1764" s="1">
        <v>45612</v>
      </c>
      <c r="C1764" t="s">
        <v>10</v>
      </c>
      <c r="D1764" t="s">
        <v>15</v>
      </c>
      <c r="E1764">
        <v>136</v>
      </c>
      <c r="F1764">
        <v>2</v>
      </c>
      <c r="G1764">
        <v>3</v>
      </c>
      <c r="H1764" t="s">
        <v>18</v>
      </c>
      <c r="I1764" t="s">
        <v>13</v>
      </c>
      <c r="J1764" t="s">
        <v>15</v>
      </c>
    </row>
    <row r="1765" spans="1:10" x14ac:dyDescent="0.25">
      <c r="A1765">
        <v>1764</v>
      </c>
      <c r="B1765" s="1">
        <v>45470</v>
      </c>
      <c r="C1765" t="s">
        <v>23</v>
      </c>
      <c r="D1765" t="s">
        <v>20</v>
      </c>
      <c r="E1765">
        <v>85</v>
      </c>
      <c r="F1765">
        <v>13</v>
      </c>
      <c r="G1765">
        <v>1.4</v>
      </c>
      <c r="H1765" t="s">
        <v>18</v>
      </c>
      <c r="I1765" t="s">
        <v>19</v>
      </c>
      <c r="J1765" t="s">
        <v>11</v>
      </c>
    </row>
    <row r="1766" spans="1:10" x14ac:dyDescent="0.25">
      <c r="A1766">
        <v>1765</v>
      </c>
      <c r="B1766" s="1">
        <v>45484</v>
      </c>
      <c r="C1766" t="s">
        <v>23</v>
      </c>
      <c r="D1766" t="s">
        <v>17</v>
      </c>
      <c r="E1766">
        <v>42</v>
      </c>
      <c r="F1766">
        <v>16</v>
      </c>
      <c r="G1766">
        <v>9.9</v>
      </c>
      <c r="H1766" t="s">
        <v>18</v>
      </c>
      <c r="I1766" t="s">
        <v>16</v>
      </c>
      <c r="J1766" t="s">
        <v>11</v>
      </c>
    </row>
    <row r="1767" spans="1:10" x14ac:dyDescent="0.25">
      <c r="A1767">
        <v>1766</v>
      </c>
      <c r="B1767" s="1">
        <v>45436</v>
      </c>
      <c r="C1767" t="s">
        <v>14</v>
      </c>
      <c r="D1767" t="s">
        <v>20</v>
      </c>
      <c r="E1767">
        <v>151</v>
      </c>
      <c r="F1767">
        <v>14</v>
      </c>
      <c r="G1767">
        <v>1</v>
      </c>
      <c r="H1767" t="s">
        <v>12</v>
      </c>
      <c r="I1767" t="s">
        <v>19</v>
      </c>
      <c r="J1767" t="s">
        <v>11</v>
      </c>
    </row>
    <row r="1768" spans="1:10" x14ac:dyDescent="0.25">
      <c r="A1768">
        <v>1767</v>
      </c>
      <c r="B1768" s="1">
        <v>45544</v>
      </c>
      <c r="C1768" t="s">
        <v>22</v>
      </c>
      <c r="D1768" t="s">
        <v>15</v>
      </c>
      <c r="E1768">
        <v>6</v>
      </c>
      <c r="F1768">
        <v>14</v>
      </c>
      <c r="G1768">
        <v>5.5</v>
      </c>
      <c r="H1768" t="s">
        <v>18</v>
      </c>
      <c r="I1768" t="s">
        <v>13</v>
      </c>
      <c r="J1768" t="s">
        <v>20</v>
      </c>
    </row>
    <row r="1769" spans="1:10" x14ac:dyDescent="0.25">
      <c r="A1769">
        <v>1768</v>
      </c>
      <c r="B1769" s="1">
        <v>45414</v>
      </c>
      <c r="C1769" t="s">
        <v>23</v>
      </c>
      <c r="D1769" t="s">
        <v>15</v>
      </c>
      <c r="E1769">
        <v>135</v>
      </c>
      <c r="F1769">
        <v>17</v>
      </c>
      <c r="G1769">
        <v>4.5</v>
      </c>
      <c r="H1769" t="s">
        <v>18</v>
      </c>
      <c r="I1769" t="s">
        <v>16</v>
      </c>
      <c r="J1769" t="s">
        <v>11</v>
      </c>
    </row>
    <row r="1770" spans="1:10" x14ac:dyDescent="0.25">
      <c r="A1770">
        <v>1769</v>
      </c>
      <c r="B1770" s="1">
        <v>45333</v>
      </c>
      <c r="C1770" t="s">
        <v>21</v>
      </c>
      <c r="D1770" t="s">
        <v>15</v>
      </c>
      <c r="E1770">
        <v>170</v>
      </c>
      <c r="F1770">
        <v>8</v>
      </c>
      <c r="G1770">
        <v>1.2</v>
      </c>
      <c r="H1770" t="s">
        <v>12</v>
      </c>
      <c r="I1770" t="s">
        <v>13</v>
      </c>
      <c r="J1770" t="s">
        <v>11</v>
      </c>
    </row>
    <row r="1771" spans="1:10" x14ac:dyDescent="0.25">
      <c r="A1771">
        <v>1770</v>
      </c>
      <c r="B1771" s="1">
        <v>45636</v>
      </c>
      <c r="C1771" t="s">
        <v>22</v>
      </c>
      <c r="D1771" t="s">
        <v>11</v>
      </c>
      <c r="E1771">
        <v>154</v>
      </c>
      <c r="F1771">
        <v>54</v>
      </c>
      <c r="G1771">
        <v>4.5</v>
      </c>
      <c r="H1771" t="s">
        <v>12</v>
      </c>
      <c r="I1771" t="s">
        <v>16</v>
      </c>
      <c r="J1771" t="s">
        <v>11</v>
      </c>
    </row>
    <row r="1772" spans="1:10" x14ac:dyDescent="0.25">
      <c r="A1772">
        <v>1771</v>
      </c>
      <c r="B1772" s="1">
        <v>45536</v>
      </c>
      <c r="C1772" t="s">
        <v>22</v>
      </c>
      <c r="D1772" t="s">
        <v>11</v>
      </c>
      <c r="E1772">
        <v>160</v>
      </c>
      <c r="F1772">
        <v>70</v>
      </c>
      <c r="G1772">
        <v>6.8</v>
      </c>
      <c r="H1772" t="s">
        <v>12</v>
      </c>
      <c r="I1772" t="s">
        <v>13</v>
      </c>
      <c r="J1772" t="s">
        <v>11</v>
      </c>
    </row>
    <row r="1773" spans="1:10" x14ac:dyDescent="0.25">
      <c r="A1773">
        <v>1772</v>
      </c>
      <c r="B1773" s="1">
        <v>45451</v>
      </c>
      <c r="C1773" t="s">
        <v>23</v>
      </c>
      <c r="D1773" t="s">
        <v>17</v>
      </c>
      <c r="E1773">
        <v>16</v>
      </c>
      <c r="F1773">
        <v>31</v>
      </c>
      <c r="G1773">
        <v>3.4</v>
      </c>
      <c r="H1773" t="s">
        <v>18</v>
      </c>
      <c r="I1773" t="s">
        <v>19</v>
      </c>
      <c r="J1773" t="s">
        <v>15</v>
      </c>
    </row>
    <row r="1774" spans="1:10" x14ac:dyDescent="0.25">
      <c r="A1774">
        <v>1773</v>
      </c>
      <c r="B1774" s="1">
        <v>45406</v>
      </c>
      <c r="C1774" t="s">
        <v>23</v>
      </c>
      <c r="D1774" t="s">
        <v>15</v>
      </c>
      <c r="E1774">
        <v>153</v>
      </c>
      <c r="F1774">
        <v>12</v>
      </c>
      <c r="G1774">
        <v>0.9</v>
      </c>
      <c r="H1774" t="s">
        <v>12</v>
      </c>
      <c r="I1774" t="s">
        <v>16</v>
      </c>
      <c r="J1774" t="s">
        <v>11</v>
      </c>
    </row>
    <row r="1775" spans="1:10" x14ac:dyDescent="0.25">
      <c r="A1775">
        <v>1774</v>
      </c>
      <c r="B1775" s="1">
        <v>45312</v>
      </c>
      <c r="C1775" t="s">
        <v>23</v>
      </c>
      <c r="D1775" t="s">
        <v>15</v>
      </c>
      <c r="E1775">
        <v>44</v>
      </c>
      <c r="F1775">
        <v>56</v>
      </c>
      <c r="G1775">
        <v>1.9</v>
      </c>
      <c r="H1775" t="s">
        <v>12</v>
      </c>
      <c r="I1775" t="s">
        <v>19</v>
      </c>
      <c r="J1775" t="s">
        <v>11</v>
      </c>
    </row>
    <row r="1776" spans="1:10" x14ac:dyDescent="0.25">
      <c r="A1776">
        <v>1775</v>
      </c>
      <c r="B1776" s="1">
        <v>45652</v>
      </c>
      <c r="C1776" t="s">
        <v>22</v>
      </c>
      <c r="D1776" t="s">
        <v>17</v>
      </c>
      <c r="E1776">
        <v>124</v>
      </c>
      <c r="F1776">
        <v>33</v>
      </c>
      <c r="G1776">
        <v>4.5</v>
      </c>
      <c r="H1776" t="s">
        <v>12</v>
      </c>
      <c r="I1776" t="s">
        <v>16</v>
      </c>
      <c r="J1776" t="s">
        <v>11</v>
      </c>
    </row>
    <row r="1777" spans="1:10" x14ac:dyDescent="0.25">
      <c r="A1777">
        <v>1776</v>
      </c>
      <c r="B1777" s="1">
        <v>45314</v>
      </c>
      <c r="C1777" t="s">
        <v>22</v>
      </c>
      <c r="D1777" t="s">
        <v>15</v>
      </c>
      <c r="E1777">
        <v>158</v>
      </c>
      <c r="F1777">
        <v>54</v>
      </c>
      <c r="G1777">
        <v>6.2</v>
      </c>
      <c r="H1777" t="s">
        <v>12</v>
      </c>
      <c r="I1777" t="s">
        <v>16</v>
      </c>
      <c r="J1777" t="s">
        <v>11</v>
      </c>
    </row>
    <row r="1778" spans="1:10" x14ac:dyDescent="0.25">
      <c r="A1778">
        <v>1777</v>
      </c>
      <c r="B1778" s="1">
        <v>45332</v>
      </c>
      <c r="C1778" t="s">
        <v>10</v>
      </c>
      <c r="D1778" t="s">
        <v>20</v>
      </c>
      <c r="E1778">
        <v>154</v>
      </c>
      <c r="F1778">
        <v>61</v>
      </c>
      <c r="G1778">
        <v>5.2</v>
      </c>
      <c r="H1778" t="s">
        <v>12</v>
      </c>
      <c r="I1778" t="s">
        <v>16</v>
      </c>
      <c r="J1778" t="s">
        <v>11</v>
      </c>
    </row>
    <row r="1779" spans="1:10" x14ac:dyDescent="0.25">
      <c r="A1779">
        <v>1778</v>
      </c>
      <c r="B1779" s="1">
        <v>45401</v>
      </c>
      <c r="C1779" t="s">
        <v>23</v>
      </c>
      <c r="D1779" t="s">
        <v>15</v>
      </c>
      <c r="E1779">
        <v>198</v>
      </c>
      <c r="F1779">
        <v>3</v>
      </c>
      <c r="G1779">
        <v>5.5</v>
      </c>
      <c r="H1779" t="s">
        <v>18</v>
      </c>
      <c r="I1779" t="s">
        <v>19</v>
      </c>
      <c r="J1779" t="s">
        <v>20</v>
      </c>
    </row>
    <row r="1780" spans="1:10" x14ac:dyDescent="0.25">
      <c r="A1780">
        <v>1779</v>
      </c>
      <c r="B1780" s="1">
        <v>45329</v>
      </c>
      <c r="C1780" t="s">
        <v>23</v>
      </c>
      <c r="D1780" t="s">
        <v>15</v>
      </c>
      <c r="E1780">
        <v>173</v>
      </c>
      <c r="F1780">
        <v>30</v>
      </c>
      <c r="G1780">
        <v>4.4000000000000004</v>
      </c>
      <c r="H1780" t="s">
        <v>12</v>
      </c>
      <c r="I1780" t="s">
        <v>16</v>
      </c>
      <c r="J1780" t="s">
        <v>11</v>
      </c>
    </row>
    <row r="1781" spans="1:10" x14ac:dyDescent="0.25">
      <c r="A1781">
        <v>1780</v>
      </c>
      <c r="B1781" s="1">
        <v>45371</v>
      </c>
      <c r="C1781" t="s">
        <v>10</v>
      </c>
      <c r="D1781" t="s">
        <v>20</v>
      </c>
      <c r="E1781">
        <v>24</v>
      </c>
      <c r="F1781">
        <v>4</v>
      </c>
      <c r="G1781">
        <v>5.2</v>
      </c>
      <c r="H1781" t="s">
        <v>18</v>
      </c>
      <c r="I1781" t="s">
        <v>16</v>
      </c>
      <c r="J1781" t="s">
        <v>20</v>
      </c>
    </row>
    <row r="1782" spans="1:10" x14ac:dyDescent="0.25">
      <c r="A1782">
        <v>1781</v>
      </c>
      <c r="B1782" s="1">
        <v>45387</v>
      </c>
      <c r="C1782" t="s">
        <v>10</v>
      </c>
      <c r="D1782" t="s">
        <v>17</v>
      </c>
      <c r="E1782">
        <v>105</v>
      </c>
      <c r="F1782">
        <v>15</v>
      </c>
      <c r="G1782">
        <v>8</v>
      </c>
      <c r="H1782" t="s">
        <v>18</v>
      </c>
      <c r="I1782" t="s">
        <v>16</v>
      </c>
      <c r="J1782" t="s">
        <v>11</v>
      </c>
    </row>
    <row r="1783" spans="1:10" x14ac:dyDescent="0.25">
      <c r="A1783">
        <v>1782</v>
      </c>
      <c r="B1783" s="1">
        <v>45655</v>
      </c>
      <c r="C1783" t="s">
        <v>21</v>
      </c>
      <c r="D1783" t="s">
        <v>20</v>
      </c>
      <c r="E1783">
        <v>200</v>
      </c>
      <c r="F1783">
        <v>72</v>
      </c>
      <c r="G1783">
        <v>2.2999999999999998</v>
      </c>
      <c r="H1783" t="s">
        <v>18</v>
      </c>
      <c r="I1783" t="s">
        <v>19</v>
      </c>
      <c r="J1783" t="s">
        <v>11</v>
      </c>
    </row>
    <row r="1784" spans="1:10" x14ac:dyDescent="0.25">
      <c r="A1784">
        <v>1783</v>
      </c>
      <c r="B1784" s="1">
        <v>45423</v>
      </c>
      <c r="C1784" t="s">
        <v>14</v>
      </c>
      <c r="D1784" t="s">
        <v>15</v>
      </c>
      <c r="E1784">
        <v>240</v>
      </c>
      <c r="F1784">
        <v>41</v>
      </c>
      <c r="G1784">
        <v>1.8</v>
      </c>
      <c r="H1784" t="s">
        <v>12</v>
      </c>
      <c r="I1784" t="s">
        <v>19</v>
      </c>
      <c r="J1784" t="s">
        <v>11</v>
      </c>
    </row>
    <row r="1785" spans="1:10" x14ac:dyDescent="0.25">
      <c r="A1785">
        <v>1784</v>
      </c>
      <c r="B1785" s="1">
        <v>45396</v>
      </c>
      <c r="C1785" t="s">
        <v>10</v>
      </c>
      <c r="D1785" t="s">
        <v>15</v>
      </c>
      <c r="E1785">
        <v>211</v>
      </c>
      <c r="F1785">
        <v>37</v>
      </c>
      <c r="G1785">
        <v>2</v>
      </c>
      <c r="H1785" t="s">
        <v>18</v>
      </c>
      <c r="I1785" t="s">
        <v>19</v>
      </c>
      <c r="J1785" t="s">
        <v>11</v>
      </c>
    </row>
    <row r="1786" spans="1:10" x14ac:dyDescent="0.25">
      <c r="A1786">
        <v>1785</v>
      </c>
      <c r="B1786" s="1">
        <v>45524</v>
      </c>
      <c r="C1786" t="s">
        <v>23</v>
      </c>
      <c r="D1786" t="s">
        <v>11</v>
      </c>
      <c r="E1786">
        <v>116</v>
      </c>
      <c r="F1786">
        <v>13</v>
      </c>
      <c r="G1786">
        <v>10</v>
      </c>
      <c r="H1786" t="s">
        <v>18</v>
      </c>
      <c r="I1786" t="s">
        <v>16</v>
      </c>
      <c r="J1786" t="s">
        <v>15</v>
      </c>
    </row>
    <row r="1787" spans="1:10" x14ac:dyDescent="0.25">
      <c r="A1787">
        <v>1786</v>
      </c>
      <c r="B1787" s="1">
        <v>45601</v>
      </c>
      <c r="C1787" t="s">
        <v>14</v>
      </c>
      <c r="D1787" t="s">
        <v>17</v>
      </c>
      <c r="E1787">
        <v>61</v>
      </c>
      <c r="F1787">
        <v>56</v>
      </c>
      <c r="G1787">
        <v>1.2</v>
      </c>
      <c r="H1787" t="s">
        <v>18</v>
      </c>
      <c r="I1787" t="s">
        <v>16</v>
      </c>
      <c r="J1787" t="s">
        <v>11</v>
      </c>
    </row>
    <row r="1788" spans="1:10" x14ac:dyDescent="0.25">
      <c r="A1788">
        <v>1787</v>
      </c>
      <c r="B1788" s="1">
        <v>45503</v>
      </c>
      <c r="C1788" t="s">
        <v>21</v>
      </c>
      <c r="D1788" t="s">
        <v>20</v>
      </c>
      <c r="E1788">
        <v>153</v>
      </c>
      <c r="F1788">
        <v>16</v>
      </c>
      <c r="G1788">
        <v>8.9</v>
      </c>
      <c r="H1788" t="s">
        <v>12</v>
      </c>
      <c r="I1788" t="s">
        <v>19</v>
      </c>
      <c r="J1788" t="s">
        <v>11</v>
      </c>
    </row>
    <row r="1789" spans="1:10" x14ac:dyDescent="0.25">
      <c r="A1789">
        <v>1788</v>
      </c>
      <c r="B1789" s="1">
        <v>45616</v>
      </c>
      <c r="C1789" t="s">
        <v>10</v>
      </c>
      <c r="D1789" t="s">
        <v>11</v>
      </c>
      <c r="E1789">
        <v>28</v>
      </c>
      <c r="F1789">
        <v>2</v>
      </c>
      <c r="G1789">
        <v>1.1000000000000001</v>
      </c>
      <c r="H1789" t="s">
        <v>18</v>
      </c>
      <c r="I1789" t="s">
        <v>19</v>
      </c>
      <c r="J1789" t="s">
        <v>20</v>
      </c>
    </row>
    <row r="1790" spans="1:10" x14ac:dyDescent="0.25">
      <c r="A1790">
        <v>1789</v>
      </c>
      <c r="B1790" s="1">
        <v>45584</v>
      </c>
      <c r="C1790" t="s">
        <v>23</v>
      </c>
      <c r="D1790" t="s">
        <v>17</v>
      </c>
      <c r="E1790">
        <v>197</v>
      </c>
      <c r="F1790">
        <v>49</v>
      </c>
      <c r="G1790">
        <v>4</v>
      </c>
      <c r="H1790" t="s">
        <v>12</v>
      </c>
      <c r="I1790" t="s">
        <v>16</v>
      </c>
      <c r="J1790" t="s">
        <v>11</v>
      </c>
    </row>
    <row r="1791" spans="1:10" x14ac:dyDescent="0.25">
      <c r="A1791">
        <v>1790</v>
      </c>
      <c r="B1791" s="1">
        <v>45353</v>
      </c>
      <c r="C1791" t="s">
        <v>14</v>
      </c>
      <c r="D1791" t="s">
        <v>15</v>
      </c>
      <c r="E1791">
        <v>187</v>
      </c>
      <c r="F1791">
        <v>10</v>
      </c>
      <c r="G1791">
        <v>0.9</v>
      </c>
      <c r="H1791" t="s">
        <v>12</v>
      </c>
      <c r="I1791" t="s">
        <v>13</v>
      </c>
      <c r="J1791" t="s">
        <v>11</v>
      </c>
    </row>
    <row r="1792" spans="1:10" x14ac:dyDescent="0.25">
      <c r="A1792">
        <v>1791</v>
      </c>
      <c r="B1792" s="1">
        <v>45431</v>
      </c>
      <c r="C1792" t="s">
        <v>10</v>
      </c>
      <c r="D1792" t="s">
        <v>15</v>
      </c>
      <c r="E1792">
        <v>29</v>
      </c>
      <c r="F1792">
        <v>8</v>
      </c>
      <c r="G1792">
        <v>7.7</v>
      </c>
      <c r="H1792" t="s">
        <v>18</v>
      </c>
      <c r="I1792" t="s">
        <v>13</v>
      </c>
      <c r="J1792" t="s">
        <v>20</v>
      </c>
    </row>
    <row r="1793" spans="1:10" x14ac:dyDescent="0.25">
      <c r="A1793">
        <v>1792</v>
      </c>
      <c r="B1793" s="1">
        <v>45641</v>
      </c>
      <c r="C1793" t="s">
        <v>21</v>
      </c>
      <c r="D1793" t="s">
        <v>11</v>
      </c>
      <c r="E1793">
        <v>95</v>
      </c>
      <c r="F1793">
        <v>63</v>
      </c>
      <c r="G1793">
        <v>6</v>
      </c>
      <c r="H1793" t="s">
        <v>12</v>
      </c>
      <c r="I1793" t="s">
        <v>13</v>
      </c>
      <c r="J1793" t="s">
        <v>11</v>
      </c>
    </row>
    <row r="1794" spans="1:10" x14ac:dyDescent="0.25">
      <c r="A1794">
        <v>1793</v>
      </c>
      <c r="B1794" s="1">
        <v>45427</v>
      </c>
      <c r="C1794" t="s">
        <v>14</v>
      </c>
      <c r="D1794" t="s">
        <v>20</v>
      </c>
      <c r="E1794">
        <v>86</v>
      </c>
      <c r="F1794">
        <v>60</v>
      </c>
      <c r="G1794">
        <v>5.7</v>
      </c>
      <c r="H1794" t="s">
        <v>12</v>
      </c>
      <c r="I1794" t="s">
        <v>19</v>
      </c>
      <c r="J1794" t="s">
        <v>11</v>
      </c>
    </row>
    <row r="1795" spans="1:10" x14ac:dyDescent="0.25">
      <c r="A1795">
        <v>1794</v>
      </c>
      <c r="B1795" s="1">
        <v>45442</v>
      </c>
      <c r="C1795" t="s">
        <v>22</v>
      </c>
      <c r="D1795" t="s">
        <v>20</v>
      </c>
      <c r="E1795">
        <v>213</v>
      </c>
      <c r="F1795">
        <v>24</v>
      </c>
      <c r="G1795">
        <v>8</v>
      </c>
      <c r="H1795" t="s">
        <v>18</v>
      </c>
      <c r="I1795" t="s">
        <v>19</v>
      </c>
      <c r="J1795" t="s">
        <v>11</v>
      </c>
    </row>
    <row r="1796" spans="1:10" x14ac:dyDescent="0.25">
      <c r="A1796">
        <v>1795</v>
      </c>
      <c r="B1796" s="1">
        <v>45505</v>
      </c>
      <c r="C1796" t="s">
        <v>10</v>
      </c>
      <c r="D1796" t="s">
        <v>17</v>
      </c>
      <c r="E1796">
        <v>124</v>
      </c>
      <c r="F1796">
        <v>22</v>
      </c>
      <c r="G1796">
        <v>6.5</v>
      </c>
      <c r="H1796" t="s">
        <v>12</v>
      </c>
      <c r="I1796" t="s">
        <v>13</v>
      </c>
      <c r="J1796" t="s">
        <v>11</v>
      </c>
    </row>
    <row r="1797" spans="1:10" x14ac:dyDescent="0.25">
      <c r="A1797">
        <v>1796</v>
      </c>
      <c r="B1797" s="1">
        <v>45334</v>
      </c>
      <c r="C1797" t="s">
        <v>23</v>
      </c>
      <c r="D1797" t="s">
        <v>17</v>
      </c>
      <c r="E1797">
        <v>52</v>
      </c>
      <c r="F1797">
        <v>58</v>
      </c>
      <c r="G1797">
        <v>2.6</v>
      </c>
      <c r="H1797" t="s">
        <v>18</v>
      </c>
      <c r="I1797" t="s">
        <v>13</v>
      </c>
      <c r="J1797" t="s">
        <v>11</v>
      </c>
    </row>
    <row r="1798" spans="1:10" x14ac:dyDescent="0.25">
      <c r="A1798">
        <v>1797</v>
      </c>
      <c r="B1798" s="1">
        <v>45449</v>
      </c>
      <c r="C1798" t="s">
        <v>22</v>
      </c>
      <c r="D1798" t="s">
        <v>11</v>
      </c>
      <c r="E1798">
        <v>239</v>
      </c>
      <c r="F1798">
        <v>6</v>
      </c>
      <c r="G1798">
        <v>3.7</v>
      </c>
      <c r="H1798" t="s">
        <v>12</v>
      </c>
      <c r="I1798" t="s">
        <v>16</v>
      </c>
      <c r="J1798" t="s">
        <v>15</v>
      </c>
    </row>
    <row r="1799" spans="1:10" x14ac:dyDescent="0.25">
      <c r="A1799">
        <v>1798</v>
      </c>
      <c r="B1799" s="1">
        <v>45561</v>
      </c>
      <c r="C1799" t="s">
        <v>10</v>
      </c>
      <c r="D1799" t="s">
        <v>20</v>
      </c>
      <c r="E1799">
        <v>195</v>
      </c>
      <c r="F1799">
        <v>22</v>
      </c>
      <c r="G1799">
        <v>2.2999999999999998</v>
      </c>
      <c r="H1799" t="s">
        <v>12</v>
      </c>
      <c r="I1799" t="s">
        <v>13</v>
      </c>
      <c r="J1799" t="s">
        <v>11</v>
      </c>
    </row>
    <row r="1800" spans="1:10" x14ac:dyDescent="0.25">
      <c r="A1800">
        <v>1799</v>
      </c>
      <c r="B1800" s="1">
        <v>45630</v>
      </c>
      <c r="C1800" t="s">
        <v>23</v>
      </c>
      <c r="D1800" t="s">
        <v>11</v>
      </c>
      <c r="E1800">
        <v>127</v>
      </c>
      <c r="F1800">
        <v>31</v>
      </c>
      <c r="G1800">
        <v>2.1</v>
      </c>
      <c r="H1800" t="s">
        <v>12</v>
      </c>
      <c r="I1800" t="s">
        <v>19</v>
      </c>
      <c r="J1800" t="s">
        <v>11</v>
      </c>
    </row>
    <row r="1801" spans="1:10" x14ac:dyDescent="0.25">
      <c r="A1801">
        <v>1800</v>
      </c>
      <c r="B1801" s="1">
        <v>45639</v>
      </c>
      <c r="C1801" t="s">
        <v>10</v>
      </c>
      <c r="D1801" t="s">
        <v>17</v>
      </c>
      <c r="E1801">
        <v>133</v>
      </c>
      <c r="F1801">
        <v>39</v>
      </c>
      <c r="G1801">
        <v>7.3</v>
      </c>
      <c r="H1801" t="s">
        <v>12</v>
      </c>
      <c r="I1801" t="s">
        <v>13</v>
      </c>
      <c r="J1801" t="s">
        <v>11</v>
      </c>
    </row>
    <row r="1802" spans="1:10" x14ac:dyDescent="0.25">
      <c r="A1802">
        <v>1801</v>
      </c>
      <c r="B1802" s="1">
        <v>45618</v>
      </c>
      <c r="C1802" t="s">
        <v>22</v>
      </c>
      <c r="D1802" t="s">
        <v>20</v>
      </c>
      <c r="E1802">
        <v>239</v>
      </c>
      <c r="F1802">
        <v>54</v>
      </c>
      <c r="G1802">
        <v>2.7</v>
      </c>
      <c r="H1802" t="s">
        <v>18</v>
      </c>
      <c r="I1802" t="s">
        <v>16</v>
      </c>
      <c r="J1802" t="s">
        <v>11</v>
      </c>
    </row>
    <row r="1803" spans="1:10" x14ac:dyDescent="0.25">
      <c r="A1803">
        <v>1802</v>
      </c>
      <c r="B1803" s="1">
        <v>45346</v>
      </c>
      <c r="C1803" t="s">
        <v>21</v>
      </c>
      <c r="D1803" t="s">
        <v>17</v>
      </c>
      <c r="E1803">
        <v>191</v>
      </c>
      <c r="F1803">
        <v>11</v>
      </c>
      <c r="G1803">
        <v>5.0999999999999996</v>
      </c>
      <c r="H1803" t="s">
        <v>12</v>
      </c>
      <c r="I1803" t="s">
        <v>19</v>
      </c>
      <c r="J1803" t="s">
        <v>11</v>
      </c>
    </row>
    <row r="1804" spans="1:10" x14ac:dyDescent="0.25">
      <c r="A1804">
        <v>1803</v>
      </c>
      <c r="B1804" s="1">
        <v>45297</v>
      </c>
      <c r="C1804" t="s">
        <v>23</v>
      </c>
      <c r="D1804" t="s">
        <v>20</v>
      </c>
      <c r="E1804">
        <v>240</v>
      </c>
      <c r="F1804">
        <v>48</v>
      </c>
      <c r="G1804">
        <v>8.8000000000000007</v>
      </c>
      <c r="H1804" t="s">
        <v>12</v>
      </c>
      <c r="I1804" t="s">
        <v>13</v>
      </c>
      <c r="J1804" t="s">
        <v>11</v>
      </c>
    </row>
    <row r="1805" spans="1:10" x14ac:dyDescent="0.25">
      <c r="A1805">
        <v>1804</v>
      </c>
      <c r="B1805" s="1">
        <v>45465</v>
      </c>
      <c r="C1805" t="s">
        <v>23</v>
      </c>
      <c r="D1805" t="s">
        <v>11</v>
      </c>
      <c r="E1805">
        <v>64</v>
      </c>
      <c r="F1805">
        <v>44</v>
      </c>
      <c r="G1805">
        <v>1.1000000000000001</v>
      </c>
      <c r="H1805" t="s">
        <v>18</v>
      </c>
      <c r="I1805" t="s">
        <v>16</v>
      </c>
      <c r="J1805" t="s">
        <v>11</v>
      </c>
    </row>
    <row r="1806" spans="1:10" x14ac:dyDescent="0.25">
      <c r="A1806">
        <v>1805</v>
      </c>
      <c r="B1806" s="1">
        <v>45625</v>
      </c>
      <c r="C1806" t="s">
        <v>10</v>
      </c>
      <c r="D1806" t="s">
        <v>11</v>
      </c>
      <c r="E1806">
        <v>174</v>
      </c>
      <c r="F1806">
        <v>50</v>
      </c>
      <c r="G1806">
        <v>5.7</v>
      </c>
      <c r="H1806" t="s">
        <v>18</v>
      </c>
      <c r="I1806" t="s">
        <v>13</v>
      </c>
      <c r="J1806" t="s">
        <v>15</v>
      </c>
    </row>
    <row r="1807" spans="1:10" x14ac:dyDescent="0.25">
      <c r="A1807">
        <v>1806</v>
      </c>
      <c r="B1807" s="1">
        <v>45597</v>
      </c>
      <c r="C1807" t="s">
        <v>21</v>
      </c>
      <c r="D1807" t="s">
        <v>15</v>
      </c>
      <c r="E1807">
        <v>118</v>
      </c>
      <c r="F1807">
        <v>29</v>
      </c>
      <c r="G1807">
        <v>1</v>
      </c>
      <c r="H1807" t="s">
        <v>12</v>
      </c>
      <c r="I1807" t="s">
        <v>16</v>
      </c>
      <c r="J1807" t="s">
        <v>11</v>
      </c>
    </row>
    <row r="1808" spans="1:10" x14ac:dyDescent="0.25">
      <c r="A1808">
        <v>1807</v>
      </c>
      <c r="B1808" s="1">
        <v>45458</v>
      </c>
      <c r="C1808" t="s">
        <v>10</v>
      </c>
      <c r="D1808" t="s">
        <v>20</v>
      </c>
      <c r="E1808">
        <v>233</v>
      </c>
      <c r="F1808">
        <v>66</v>
      </c>
      <c r="G1808">
        <v>1.2</v>
      </c>
      <c r="H1808" t="s">
        <v>18</v>
      </c>
      <c r="I1808" t="s">
        <v>13</v>
      </c>
      <c r="J1808" t="s">
        <v>11</v>
      </c>
    </row>
    <row r="1809" spans="1:10" x14ac:dyDescent="0.25">
      <c r="A1809">
        <v>1808</v>
      </c>
      <c r="B1809" s="1">
        <v>45526</v>
      </c>
      <c r="C1809" t="s">
        <v>22</v>
      </c>
      <c r="D1809" t="s">
        <v>17</v>
      </c>
      <c r="E1809">
        <v>110</v>
      </c>
      <c r="F1809">
        <v>24</v>
      </c>
      <c r="G1809">
        <v>5.2</v>
      </c>
      <c r="H1809" t="s">
        <v>12</v>
      </c>
      <c r="I1809" t="s">
        <v>16</v>
      </c>
      <c r="J1809" t="s">
        <v>11</v>
      </c>
    </row>
    <row r="1810" spans="1:10" x14ac:dyDescent="0.25">
      <c r="A1810">
        <v>1809</v>
      </c>
      <c r="B1810" s="1">
        <v>45394</v>
      </c>
      <c r="C1810" t="s">
        <v>22</v>
      </c>
      <c r="D1810" t="s">
        <v>15</v>
      </c>
      <c r="E1810">
        <v>113</v>
      </c>
      <c r="F1810">
        <v>42</v>
      </c>
      <c r="G1810">
        <v>9.1</v>
      </c>
      <c r="H1810" t="s">
        <v>18</v>
      </c>
      <c r="I1810" t="s">
        <v>16</v>
      </c>
      <c r="J1810" t="s">
        <v>15</v>
      </c>
    </row>
    <row r="1811" spans="1:10" x14ac:dyDescent="0.25">
      <c r="A1811">
        <v>1810</v>
      </c>
      <c r="B1811" s="1">
        <v>45360</v>
      </c>
      <c r="C1811" t="s">
        <v>22</v>
      </c>
      <c r="D1811" t="s">
        <v>17</v>
      </c>
      <c r="E1811">
        <v>106</v>
      </c>
      <c r="F1811">
        <v>12</v>
      </c>
      <c r="G1811">
        <v>3.5</v>
      </c>
      <c r="H1811" t="s">
        <v>12</v>
      </c>
      <c r="I1811" t="s">
        <v>19</v>
      </c>
      <c r="J1811" t="s">
        <v>11</v>
      </c>
    </row>
    <row r="1812" spans="1:10" x14ac:dyDescent="0.25">
      <c r="A1812">
        <v>1811</v>
      </c>
      <c r="B1812" s="1">
        <v>45589</v>
      </c>
      <c r="C1812" t="s">
        <v>10</v>
      </c>
      <c r="D1812" t="s">
        <v>17</v>
      </c>
      <c r="E1812">
        <v>94</v>
      </c>
      <c r="F1812">
        <v>6</v>
      </c>
      <c r="G1812">
        <v>8.9</v>
      </c>
      <c r="H1812" t="s">
        <v>18</v>
      </c>
      <c r="I1812" t="s">
        <v>13</v>
      </c>
      <c r="J1812" t="s">
        <v>15</v>
      </c>
    </row>
    <row r="1813" spans="1:10" x14ac:dyDescent="0.25">
      <c r="A1813">
        <v>1812</v>
      </c>
      <c r="B1813" s="1">
        <v>45504</v>
      </c>
      <c r="C1813" t="s">
        <v>14</v>
      </c>
      <c r="D1813" t="s">
        <v>11</v>
      </c>
      <c r="E1813">
        <v>103</v>
      </c>
      <c r="F1813">
        <v>42</v>
      </c>
      <c r="G1813">
        <v>9.1</v>
      </c>
      <c r="H1813" t="s">
        <v>18</v>
      </c>
      <c r="I1813" t="s">
        <v>16</v>
      </c>
      <c r="J1813" t="s">
        <v>15</v>
      </c>
    </row>
    <row r="1814" spans="1:10" x14ac:dyDescent="0.25">
      <c r="A1814">
        <v>1813</v>
      </c>
      <c r="B1814" s="1">
        <v>45493</v>
      </c>
      <c r="C1814" t="s">
        <v>10</v>
      </c>
      <c r="D1814" t="s">
        <v>20</v>
      </c>
      <c r="E1814">
        <v>227</v>
      </c>
      <c r="F1814">
        <v>24</v>
      </c>
      <c r="G1814">
        <v>9.9</v>
      </c>
      <c r="H1814" t="s">
        <v>18</v>
      </c>
      <c r="I1814" t="s">
        <v>16</v>
      </c>
      <c r="J1814" t="s">
        <v>11</v>
      </c>
    </row>
    <row r="1815" spans="1:10" x14ac:dyDescent="0.25">
      <c r="A1815">
        <v>1814</v>
      </c>
      <c r="B1815" s="1">
        <v>45448</v>
      </c>
      <c r="C1815" t="s">
        <v>10</v>
      </c>
      <c r="D1815" t="s">
        <v>11</v>
      </c>
      <c r="E1815">
        <v>163</v>
      </c>
      <c r="F1815">
        <v>2</v>
      </c>
      <c r="G1815">
        <v>3.7</v>
      </c>
      <c r="H1815" t="s">
        <v>18</v>
      </c>
      <c r="I1815" t="s">
        <v>19</v>
      </c>
      <c r="J1815" t="s">
        <v>15</v>
      </c>
    </row>
    <row r="1816" spans="1:10" x14ac:dyDescent="0.25">
      <c r="A1816">
        <v>1815</v>
      </c>
      <c r="B1816" s="1">
        <v>45604</v>
      </c>
      <c r="C1816" t="s">
        <v>21</v>
      </c>
      <c r="D1816" t="s">
        <v>15</v>
      </c>
      <c r="E1816">
        <v>138</v>
      </c>
      <c r="F1816">
        <v>43</v>
      </c>
      <c r="G1816">
        <v>3.2</v>
      </c>
      <c r="H1816" t="s">
        <v>18</v>
      </c>
      <c r="I1816" t="s">
        <v>16</v>
      </c>
      <c r="J1816" t="s">
        <v>11</v>
      </c>
    </row>
    <row r="1817" spans="1:10" x14ac:dyDescent="0.25">
      <c r="A1817">
        <v>1816</v>
      </c>
      <c r="B1817" s="1">
        <v>45399</v>
      </c>
      <c r="C1817" t="s">
        <v>14</v>
      </c>
      <c r="D1817" t="s">
        <v>20</v>
      </c>
      <c r="E1817">
        <v>65</v>
      </c>
      <c r="F1817">
        <v>8</v>
      </c>
      <c r="G1817">
        <v>6.3</v>
      </c>
      <c r="H1817" t="s">
        <v>12</v>
      </c>
      <c r="I1817" t="s">
        <v>19</v>
      </c>
      <c r="J1817" t="s">
        <v>11</v>
      </c>
    </row>
    <row r="1818" spans="1:10" x14ac:dyDescent="0.25">
      <c r="A1818">
        <v>1817</v>
      </c>
      <c r="B1818" s="1">
        <v>45536</v>
      </c>
      <c r="C1818" t="s">
        <v>22</v>
      </c>
      <c r="D1818" t="s">
        <v>17</v>
      </c>
      <c r="E1818">
        <v>19</v>
      </c>
      <c r="F1818">
        <v>38</v>
      </c>
      <c r="G1818">
        <v>2.1</v>
      </c>
      <c r="H1818" t="s">
        <v>12</v>
      </c>
      <c r="I1818" t="s">
        <v>19</v>
      </c>
      <c r="J1818" t="s">
        <v>11</v>
      </c>
    </row>
    <row r="1819" spans="1:10" x14ac:dyDescent="0.25">
      <c r="A1819">
        <v>1818</v>
      </c>
      <c r="B1819" s="1">
        <v>45649</v>
      </c>
      <c r="C1819" t="s">
        <v>23</v>
      </c>
      <c r="D1819" t="s">
        <v>11</v>
      </c>
      <c r="E1819">
        <v>67</v>
      </c>
      <c r="F1819">
        <v>14</v>
      </c>
      <c r="G1819">
        <v>2.5</v>
      </c>
      <c r="H1819" t="s">
        <v>18</v>
      </c>
      <c r="I1819" t="s">
        <v>19</v>
      </c>
      <c r="J1819" t="s">
        <v>11</v>
      </c>
    </row>
    <row r="1820" spans="1:10" x14ac:dyDescent="0.25">
      <c r="A1820">
        <v>1819</v>
      </c>
      <c r="B1820" s="1">
        <v>45376</v>
      </c>
      <c r="C1820" t="s">
        <v>14</v>
      </c>
      <c r="D1820" t="s">
        <v>15</v>
      </c>
      <c r="E1820">
        <v>58</v>
      </c>
      <c r="F1820">
        <v>47</v>
      </c>
      <c r="G1820">
        <v>8.1999999999999993</v>
      </c>
      <c r="H1820" t="s">
        <v>18</v>
      </c>
      <c r="I1820" t="s">
        <v>19</v>
      </c>
      <c r="J1820" t="s">
        <v>15</v>
      </c>
    </row>
    <row r="1821" spans="1:10" x14ac:dyDescent="0.25">
      <c r="A1821">
        <v>1820</v>
      </c>
      <c r="B1821" s="1">
        <v>45629</v>
      </c>
      <c r="C1821" t="s">
        <v>22</v>
      </c>
      <c r="D1821" t="s">
        <v>17</v>
      </c>
      <c r="E1821">
        <v>156</v>
      </c>
      <c r="F1821">
        <v>68</v>
      </c>
      <c r="G1821">
        <v>3.6</v>
      </c>
      <c r="H1821" t="s">
        <v>18</v>
      </c>
      <c r="I1821" t="s">
        <v>19</v>
      </c>
      <c r="J1821" t="s">
        <v>11</v>
      </c>
    </row>
    <row r="1822" spans="1:10" x14ac:dyDescent="0.25">
      <c r="A1822">
        <v>1821</v>
      </c>
      <c r="B1822" s="1">
        <v>45355</v>
      </c>
      <c r="C1822" t="s">
        <v>21</v>
      </c>
      <c r="D1822" t="s">
        <v>15</v>
      </c>
      <c r="E1822">
        <v>55</v>
      </c>
      <c r="F1822">
        <v>46</v>
      </c>
      <c r="G1822">
        <v>9.1</v>
      </c>
      <c r="H1822" t="s">
        <v>12</v>
      </c>
      <c r="I1822" t="s">
        <v>19</v>
      </c>
      <c r="J1822" t="s">
        <v>11</v>
      </c>
    </row>
    <row r="1823" spans="1:10" x14ac:dyDescent="0.25">
      <c r="A1823">
        <v>1822</v>
      </c>
      <c r="B1823" s="1">
        <v>45482</v>
      </c>
      <c r="C1823" t="s">
        <v>10</v>
      </c>
      <c r="D1823" t="s">
        <v>17</v>
      </c>
      <c r="E1823">
        <v>175</v>
      </c>
      <c r="F1823">
        <v>36</v>
      </c>
      <c r="G1823">
        <v>6.3</v>
      </c>
      <c r="H1823" t="s">
        <v>18</v>
      </c>
      <c r="I1823" t="s">
        <v>19</v>
      </c>
      <c r="J1823" t="s">
        <v>11</v>
      </c>
    </row>
    <row r="1824" spans="1:10" x14ac:dyDescent="0.25">
      <c r="A1824">
        <v>1823</v>
      </c>
      <c r="B1824" s="1">
        <v>45442</v>
      </c>
      <c r="C1824" t="s">
        <v>21</v>
      </c>
      <c r="D1824" t="s">
        <v>17</v>
      </c>
      <c r="E1824">
        <v>119</v>
      </c>
      <c r="F1824">
        <v>46</v>
      </c>
      <c r="G1824">
        <v>2.7</v>
      </c>
      <c r="H1824" t="s">
        <v>12</v>
      </c>
      <c r="I1824" t="s">
        <v>13</v>
      </c>
      <c r="J1824" t="s">
        <v>11</v>
      </c>
    </row>
    <row r="1825" spans="1:10" x14ac:dyDescent="0.25">
      <c r="A1825">
        <v>1824</v>
      </c>
      <c r="B1825" s="1">
        <v>45420</v>
      </c>
      <c r="C1825" t="s">
        <v>14</v>
      </c>
      <c r="D1825" t="s">
        <v>15</v>
      </c>
      <c r="E1825">
        <v>156</v>
      </c>
      <c r="F1825">
        <v>42</v>
      </c>
      <c r="G1825">
        <v>9.5</v>
      </c>
      <c r="H1825" t="s">
        <v>12</v>
      </c>
      <c r="I1825" t="s">
        <v>16</v>
      </c>
      <c r="J1825" t="s">
        <v>11</v>
      </c>
    </row>
    <row r="1826" spans="1:10" x14ac:dyDescent="0.25">
      <c r="A1826">
        <v>1825</v>
      </c>
      <c r="B1826" s="1">
        <v>45522</v>
      </c>
      <c r="C1826" t="s">
        <v>14</v>
      </c>
      <c r="D1826" t="s">
        <v>17</v>
      </c>
      <c r="E1826">
        <v>99</v>
      </c>
      <c r="F1826">
        <v>72</v>
      </c>
      <c r="G1826">
        <v>2.2999999999999998</v>
      </c>
      <c r="H1826" t="s">
        <v>12</v>
      </c>
      <c r="I1826" t="s">
        <v>13</v>
      </c>
      <c r="J1826" t="s">
        <v>11</v>
      </c>
    </row>
    <row r="1827" spans="1:10" x14ac:dyDescent="0.25">
      <c r="A1827">
        <v>1826</v>
      </c>
      <c r="B1827" s="1">
        <v>45414</v>
      </c>
      <c r="C1827" t="s">
        <v>10</v>
      </c>
      <c r="D1827" t="s">
        <v>17</v>
      </c>
      <c r="E1827">
        <v>178</v>
      </c>
      <c r="F1827">
        <v>9</v>
      </c>
      <c r="G1827">
        <v>6.4</v>
      </c>
      <c r="H1827" t="s">
        <v>12</v>
      </c>
      <c r="I1827" t="s">
        <v>19</v>
      </c>
      <c r="J1827" t="s">
        <v>11</v>
      </c>
    </row>
    <row r="1828" spans="1:10" x14ac:dyDescent="0.25">
      <c r="A1828">
        <v>1827</v>
      </c>
      <c r="B1828" s="1">
        <v>45372</v>
      </c>
      <c r="C1828" t="s">
        <v>10</v>
      </c>
      <c r="D1828" t="s">
        <v>17</v>
      </c>
      <c r="E1828">
        <v>165</v>
      </c>
      <c r="F1828">
        <v>44</v>
      </c>
      <c r="G1828">
        <v>3.9</v>
      </c>
      <c r="H1828" t="s">
        <v>18</v>
      </c>
      <c r="I1828" t="s">
        <v>13</v>
      </c>
      <c r="J1828" t="s">
        <v>11</v>
      </c>
    </row>
    <row r="1829" spans="1:10" x14ac:dyDescent="0.25">
      <c r="A1829">
        <v>1828</v>
      </c>
      <c r="B1829" s="1">
        <v>45491</v>
      </c>
      <c r="C1829" t="s">
        <v>22</v>
      </c>
      <c r="D1829" t="s">
        <v>20</v>
      </c>
      <c r="E1829">
        <v>144</v>
      </c>
      <c r="F1829">
        <v>45</v>
      </c>
      <c r="G1829">
        <v>6.3</v>
      </c>
      <c r="H1829" t="s">
        <v>18</v>
      </c>
      <c r="I1829" t="s">
        <v>13</v>
      </c>
      <c r="J1829" t="s">
        <v>11</v>
      </c>
    </row>
    <row r="1830" spans="1:10" x14ac:dyDescent="0.25">
      <c r="A1830">
        <v>1829</v>
      </c>
      <c r="B1830" s="1">
        <v>45630</v>
      </c>
      <c r="C1830" t="s">
        <v>14</v>
      </c>
      <c r="D1830" t="s">
        <v>11</v>
      </c>
      <c r="E1830">
        <v>101</v>
      </c>
      <c r="F1830">
        <v>7</v>
      </c>
      <c r="G1830">
        <v>9.3000000000000007</v>
      </c>
      <c r="H1830" t="s">
        <v>18</v>
      </c>
      <c r="I1830" t="s">
        <v>13</v>
      </c>
      <c r="J1830" t="s">
        <v>15</v>
      </c>
    </row>
    <row r="1831" spans="1:10" x14ac:dyDescent="0.25">
      <c r="A1831">
        <v>1830</v>
      </c>
      <c r="B1831" s="1">
        <v>45643</v>
      </c>
      <c r="C1831" t="s">
        <v>21</v>
      </c>
      <c r="D1831" t="s">
        <v>11</v>
      </c>
      <c r="E1831">
        <v>128</v>
      </c>
      <c r="F1831">
        <v>40</v>
      </c>
      <c r="G1831">
        <v>0.8</v>
      </c>
      <c r="H1831" t="s">
        <v>18</v>
      </c>
      <c r="I1831" t="s">
        <v>16</v>
      </c>
      <c r="J1831" t="s">
        <v>11</v>
      </c>
    </row>
    <row r="1832" spans="1:10" x14ac:dyDescent="0.25">
      <c r="A1832">
        <v>1831</v>
      </c>
      <c r="B1832" s="1">
        <v>45389</v>
      </c>
      <c r="C1832" t="s">
        <v>22</v>
      </c>
      <c r="D1832" t="s">
        <v>17</v>
      </c>
      <c r="E1832">
        <v>89</v>
      </c>
      <c r="F1832">
        <v>51</v>
      </c>
      <c r="G1832">
        <v>3.9</v>
      </c>
      <c r="H1832" t="s">
        <v>18</v>
      </c>
      <c r="I1832" t="s">
        <v>13</v>
      </c>
      <c r="J1832" t="s">
        <v>11</v>
      </c>
    </row>
    <row r="1833" spans="1:10" x14ac:dyDescent="0.25">
      <c r="A1833">
        <v>1832</v>
      </c>
      <c r="B1833" s="1">
        <v>45294</v>
      </c>
      <c r="C1833" t="s">
        <v>23</v>
      </c>
      <c r="D1833" t="s">
        <v>20</v>
      </c>
      <c r="E1833">
        <v>204</v>
      </c>
      <c r="F1833">
        <v>24</v>
      </c>
      <c r="G1833">
        <v>4.8</v>
      </c>
      <c r="H1833" t="s">
        <v>12</v>
      </c>
      <c r="I1833" t="s">
        <v>19</v>
      </c>
      <c r="J1833" t="s">
        <v>11</v>
      </c>
    </row>
    <row r="1834" spans="1:10" x14ac:dyDescent="0.25">
      <c r="A1834">
        <v>1833</v>
      </c>
      <c r="B1834" s="1">
        <v>45323</v>
      </c>
      <c r="C1834" t="s">
        <v>10</v>
      </c>
      <c r="D1834" t="s">
        <v>20</v>
      </c>
      <c r="E1834">
        <v>38</v>
      </c>
      <c r="F1834">
        <v>63</v>
      </c>
      <c r="G1834">
        <v>6.3</v>
      </c>
      <c r="H1834" t="s">
        <v>12</v>
      </c>
      <c r="I1834" t="s">
        <v>19</v>
      </c>
      <c r="J1834" t="s">
        <v>11</v>
      </c>
    </row>
    <row r="1835" spans="1:10" x14ac:dyDescent="0.25">
      <c r="A1835">
        <v>1834</v>
      </c>
      <c r="B1835" s="1">
        <v>45457</v>
      </c>
      <c r="C1835" t="s">
        <v>10</v>
      </c>
      <c r="D1835" t="s">
        <v>20</v>
      </c>
      <c r="E1835">
        <v>163</v>
      </c>
      <c r="F1835">
        <v>60</v>
      </c>
      <c r="G1835">
        <v>9.6999999999999993</v>
      </c>
      <c r="H1835" t="s">
        <v>18</v>
      </c>
      <c r="I1835" t="s">
        <v>13</v>
      </c>
      <c r="J1835" t="s">
        <v>11</v>
      </c>
    </row>
    <row r="1836" spans="1:10" x14ac:dyDescent="0.25">
      <c r="A1836">
        <v>1835</v>
      </c>
      <c r="B1836" s="1">
        <v>45507</v>
      </c>
      <c r="C1836" t="s">
        <v>22</v>
      </c>
      <c r="D1836" t="s">
        <v>17</v>
      </c>
      <c r="E1836">
        <v>30</v>
      </c>
      <c r="F1836">
        <v>51</v>
      </c>
      <c r="G1836">
        <v>3.6</v>
      </c>
      <c r="H1836" t="s">
        <v>18</v>
      </c>
      <c r="I1836" t="s">
        <v>16</v>
      </c>
      <c r="J1836" t="s">
        <v>15</v>
      </c>
    </row>
    <row r="1837" spans="1:10" x14ac:dyDescent="0.25">
      <c r="A1837">
        <v>1836</v>
      </c>
      <c r="B1837" s="1">
        <v>45613</v>
      </c>
      <c r="C1837" t="s">
        <v>23</v>
      </c>
      <c r="D1837" t="s">
        <v>17</v>
      </c>
      <c r="E1837">
        <v>92</v>
      </c>
      <c r="F1837">
        <v>57</v>
      </c>
      <c r="G1837">
        <v>3.5</v>
      </c>
      <c r="H1837" t="s">
        <v>12</v>
      </c>
      <c r="I1837" t="s">
        <v>19</v>
      </c>
      <c r="J1837" t="s">
        <v>11</v>
      </c>
    </row>
    <row r="1838" spans="1:10" x14ac:dyDescent="0.25">
      <c r="A1838">
        <v>1837</v>
      </c>
      <c r="B1838" s="1">
        <v>45577</v>
      </c>
      <c r="C1838" t="s">
        <v>21</v>
      </c>
      <c r="D1838" t="s">
        <v>15</v>
      </c>
      <c r="E1838">
        <v>105</v>
      </c>
      <c r="F1838">
        <v>41</v>
      </c>
      <c r="G1838">
        <v>6.2</v>
      </c>
      <c r="H1838" t="s">
        <v>18</v>
      </c>
      <c r="I1838" t="s">
        <v>16</v>
      </c>
      <c r="J1838" t="s">
        <v>15</v>
      </c>
    </row>
    <row r="1839" spans="1:10" x14ac:dyDescent="0.25">
      <c r="A1839">
        <v>1838</v>
      </c>
      <c r="B1839" s="1">
        <v>45640</v>
      </c>
      <c r="C1839" t="s">
        <v>23</v>
      </c>
      <c r="D1839" t="s">
        <v>17</v>
      </c>
      <c r="E1839">
        <v>104</v>
      </c>
      <c r="F1839">
        <v>34</v>
      </c>
      <c r="G1839">
        <v>6.1</v>
      </c>
      <c r="H1839" t="s">
        <v>12</v>
      </c>
      <c r="I1839" t="s">
        <v>16</v>
      </c>
      <c r="J1839" t="s">
        <v>11</v>
      </c>
    </row>
    <row r="1840" spans="1:10" x14ac:dyDescent="0.25">
      <c r="A1840">
        <v>1839</v>
      </c>
      <c r="B1840" s="1">
        <v>45501</v>
      </c>
      <c r="C1840" t="s">
        <v>22</v>
      </c>
      <c r="D1840" t="s">
        <v>20</v>
      </c>
      <c r="E1840">
        <v>105</v>
      </c>
      <c r="F1840">
        <v>63</v>
      </c>
      <c r="G1840">
        <v>0.5</v>
      </c>
      <c r="H1840" t="s">
        <v>12</v>
      </c>
      <c r="I1840" t="s">
        <v>16</v>
      </c>
      <c r="J1840" t="s">
        <v>11</v>
      </c>
    </row>
    <row r="1841" spans="1:10" x14ac:dyDescent="0.25">
      <c r="A1841">
        <v>1840</v>
      </c>
      <c r="B1841" s="1">
        <v>45354</v>
      </c>
      <c r="C1841" t="s">
        <v>21</v>
      </c>
      <c r="D1841" t="s">
        <v>17</v>
      </c>
      <c r="E1841">
        <v>154</v>
      </c>
      <c r="F1841">
        <v>46</v>
      </c>
      <c r="G1841">
        <v>5.8</v>
      </c>
      <c r="H1841" t="s">
        <v>12</v>
      </c>
      <c r="I1841" t="s">
        <v>16</v>
      </c>
      <c r="J1841" t="s">
        <v>11</v>
      </c>
    </row>
    <row r="1842" spans="1:10" x14ac:dyDescent="0.25">
      <c r="A1842">
        <v>1841</v>
      </c>
      <c r="B1842" s="1">
        <v>45640</v>
      </c>
      <c r="C1842" t="s">
        <v>10</v>
      </c>
      <c r="D1842" t="s">
        <v>11</v>
      </c>
      <c r="E1842">
        <v>55</v>
      </c>
      <c r="F1842">
        <v>18</v>
      </c>
      <c r="G1842">
        <v>6.8</v>
      </c>
      <c r="H1842" t="s">
        <v>18</v>
      </c>
      <c r="I1842" t="s">
        <v>13</v>
      </c>
      <c r="J1842" t="s">
        <v>15</v>
      </c>
    </row>
    <row r="1843" spans="1:10" x14ac:dyDescent="0.25">
      <c r="A1843">
        <v>1842</v>
      </c>
      <c r="B1843" s="1">
        <v>45373</v>
      </c>
      <c r="C1843" t="s">
        <v>22</v>
      </c>
      <c r="D1843" t="s">
        <v>15</v>
      </c>
      <c r="E1843">
        <v>124</v>
      </c>
      <c r="F1843">
        <v>14</v>
      </c>
      <c r="G1843">
        <v>8.1999999999999993</v>
      </c>
      <c r="H1843" t="s">
        <v>18</v>
      </c>
      <c r="I1843" t="s">
        <v>13</v>
      </c>
      <c r="J1843" t="s">
        <v>15</v>
      </c>
    </row>
    <row r="1844" spans="1:10" x14ac:dyDescent="0.25">
      <c r="A1844">
        <v>1843</v>
      </c>
      <c r="B1844" s="1">
        <v>45424</v>
      </c>
      <c r="C1844" t="s">
        <v>22</v>
      </c>
      <c r="D1844" t="s">
        <v>15</v>
      </c>
      <c r="E1844">
        <v>50</v>
      </c>
      <c r="F1844">
        <v>7</v>
      </c>
      <c r="G1844">
        <v>9.1</v>
      </c>
      <c r="H1844" t="s">
        <v>12</v>
      </c>
      <c r="I1844" t="s">
        <v>16</v>
      </c>
      <c r="J1844" t="s">
        <v>11</v>
      </c>
    </row>
    <row r="1845" spans="1:10" x14ac:dyDescent="0.25">
      <c r="A1845">
        <v>1844</v>
      </c>
      <c r="B1845" s="1">
        <v>45634</v>
      </c>
      <c r="C1845" t="s">
        <v>21</v>
      </c>
      <c r="D1845" t="s">
        <v>17</v>
      </c>
      <c r="E1845">
        <v>154</v>
      </c>
      <c r="F1845">
        <v>70</v>
      </c>
      <c r="G1845">
        <v>2.5</v>
      </c>
      <c r="H1845" t="s">
        <v>18</v>
      </c>
      <c r="I1845" t="s">
        <v>13</v>
      </c>
      <c r="J1845" t="s">
        <v>11</v>
      </c>
    </row>
    <row r="1846" spans="1:10" x14ac:dyDescent="0.25">
      <c r="A1846">
        <v>1845</v>
      </c>
      <c r="B1846" s="1">
        <v>45414</v>
      </c>
      <c r="C1846" t="s">
        <v>14</v>
      </c>
      <c r="D1846" t="s">
        <v>17</v>
      </c>
      <c r="E1846">
        <v>220</v>
      </c>
      <c r="F1846">
        <v>54</v>
      </c>
      <c r="G1846">
        <v>7.9</v>
      </c>
      <c r="H1846" t="s">
        <v>12</v>
      </c>
      <c r="I1846" t="s">
        <v>19</v>
      </c>
      <c r="J1846" t="s">
        <v>11</v>
      </c>
    </row>
    <row r="1847" spans="1:10" x14ac:dyDescent="0.25">
      <c r="A1847">
        <v>1846</v>
      </c>
      <c r="B1847" s="1">
        <v>45322</v>
      </c>
      <c r="C1847" t="s">
        <v>14</v>
      </c>
      <c r="D1847" t="s">
        <v>17</v>
      </c>
      <c r="E1847">
        <v>89</v>
      </c>
      <c r="F1847">
        <v>18</v>
      </c>
      <c r="G1847">
        <v>5.6</v>
      </c>
      <c r="H1847" t="s">
        <v>12</v>
      </c>
      <c r="I1847" t="s">
        <v>13</v>
      </c>
      <c r="J1847" t="s">
        <v>11</v>
      </c>
    </row>
    <row r="1848" spans="1:10" x14ac:dyDescent="0.25">
      <c r="A1848">
        <v>1847</v>
      </c>
      <c r="B1848" s="1">
        <v>45372</v>
      </c>
      <c r="C1848" t="s">
        <v>23</v>
      </c>
      <c r="D1848" t="s">
        <v>17</v>
      </c>
      <c r="E1848">
        <v>97</v>
      </c>
      <c r="F1848">
        <v>14</v>
      </c>
      <c r="G1848">
        <v>5.2</v>
      </c>
      <c r="H1848" t="s">
        <v>12</v>
      </c>
      <c r="I1848" t="s">
        <v>13</v>
      </c>
      <c r="J1848" t="s">
        <v>11</v>
      </c>
    </row>
    <row r="1849" spans="1:10" x14ac:dyDescent="0.25">
      <c r="A1849">
        <v>1848</v>
      </c>
      <c r="B1849" s="1">
        <v>45406</v>
      </c>
      <c r="C1849" t="s">
        <v>23</v>
      </c>
      <c r="D1849" t="s">
        <v>11</v>
      </c>
      <c r="E1849">
        <v>8</v>
      </c>
      <c r="F1849">
        <v>11</v>
      </c>
      <c r="G1849">
        <v>2.2999999999999998</v>
      </c>
      <c r="H1849" t="s">
        <v>12</v>
      </c>
      <c r="I1849" t="s">
        <v>13</v>
      </c>
      <c r="J1849" t="s">
        <v>15</v>
      </c>
    </row>
    <row r="1850" spans="1:10" x14ac:dyDescent="0.25">
      <c r="A1850">
        <v>1849</v>
      </c>
      <c r="B1850" s="1">
        <v>45514</v>
      </c>
      <c r="C1850" t="s">
        <v>22</v>
      </c>
      <c r="D1850" t="s">
        <v>20</v>
      </c>
      <c r="E1850">
        <v>178</v>
      </c>
      <c r="F1850">
        <v>66</v>
      </c>
      <c r="G1850">
        <v>7.4</v>
      </c>
      <c r="H1850" t="s">
        <v>18</v>
      </c>
      <c r="I1850" t="s">
        <v>19</v>
      </c>
      <c r="J1850" t="s">
        <v>11</v>
      </c>
    </row>
    <row r="1851" spans="1:10" x14ac:dyDescent="0.25">
      <c r="A1851">
        <v>1850</v>
      </c>
      <c r="B1851" s="1">
        <v>45497</v>
      </c>
      <c r="C1851" t="s">
        <v>21</v>
      </c>
      <c r="D1851" t="s">
        <v>11</v>
      </c>
      <c r="E1851">
        <v>27</v>
      </c>
      <c r="F1851">
        <v>71</v>
      </c>
      <c r="G1851">
        <v>0.7</v>
      </c>
      <c r="H1851" t="s">
        <v>12</v>
      </c>
      <c r="I1851" t="s">
        <v>13</v>
      </c>
      <c r="J1851" t="s">
        <v>15</v>
      </c>
    </row>
    <row r="1852" spans="1:10" x14ac:dyDescent="0.25">
      <c r="A1852">
        <v>1851</v>
      </c>
      <c r="B1852" s="1">
        <v>45627</v>
      </c>
      <c r="C1852" t="s">
        <v>10</v>
      </c>
      <c r="D1852" t="s">
        <v>11</v>
      </c>
      <c r="E1852">
        <v>213</v>
      </c>
      <c r="F1852">
        <v>53</v>
      </c>
      <c r="G1852">
        <v>0.6</v>
      </c>
      <c r="H1852" t="s">
        <v>12</v>
      </c>
      <c r="I1852" t="s">
        <v>16</v>
      </c>
      <c r="J1852" t="s">
        <v>11</v>
      </c>
    </row>
    <row r="1853" spans="1:10" x14ac:dyDescent="0.25">
      <c r="A1853">
        <v>1852</v>
      </c>
      <c r="B1853" s="1">
        <v>45496</v>
      </c>
      <c r="C1853" t="s">
        <v>23</v>
      </c>
      <c r="D1853" t="s">
        <v>11</v>
      </c>
      <c r="E1853">
        <v>229</v>
      </c>
      <c r="F1853">
        <v>68</v>
      </c>
      <c r="G1853">
        <v>3.9</v>
      </c>
      <c r="H1853" t="s">
        <v>12</v>
      </c>
      <c r="I1853" t="s">
        <v>19</v>
      </c>
      <c r="J1853" t="s">
        <v>11</v>
      </c>
    </row>
    <row r="1854" spans="1:10" x14ac:dyDescent="0.25">
      <c r="A1854">
        <v>1853</v>
      </c>
      <c r="B1854" s="1">
        <v>45596</v>
      </c>
      <c r="C1854" t="s">
        <v>22</v>
      </c>
      <c r="D1854" t="s">
        <v>11</v>
      </c>
      <c r="E1854">
        <v>210</v>
      </c>
      <c r="F1854">
        <v>34</v>
      </c>
      <c r="G1854">
        <v>0.7</v>
      </c>
      <c r="H1854" t="s">
        <v>12</v>
      </c>
      <c r="I1854" t="s">
        <v>13</v>
      </c>
      <c r="J1854" t="s">
        <v>11</v>
      </c>
    </row>
    <row r="1855" spans="1:10" x14ac:dyDescent="0.25">
      <c r="A1855">
        <v>1854</v>
      </c>
      <c r="B1855" s="1">
        <v>45484</v>
      </c>
      <c r="C1855" t="s">
        <v>10</v>
      </c>
      <c r="D1855" t="s">
        <v>15</v>
      </c>
      <c r="E1855">
        <v>199</v>
      </c>
      <c r="F1855">
        <v>26</v>
      </c>
      <c r="G1855">
        <v>7.5</v>
      </c>
      <c r="H1855" t="s">
        <v>12</v>
      </c>
      <c r="I1855" t="s">
        <v>13</v>
      </c>
      <c r="J1855" t="s">
        <v>11</v>
      </c>
    </row>
    <row r="1856" spans="1:10" x14ac:dyDescent="0.25">
      <c r="A1856">
        <v>1855</v>
      </c>
      <c r="B1856" s="1">
        <v>45313</v>
      </c>
      <c r="C1856" t="s">
        <v>22</v>
      </c>
      <c r="D1856" t="s">
        <v>17</v>
      </c>
      <c r="E1856">
        <v>136</v>
      </c>
      <c r="F1856">
        <v>19</v>
      </c>
      <c r="G1856">
        <v>5.4</v>
      </c>
      <c r="H1856" t="s">
        <v>12</v>
      </c>
      <c r="I1856" t="s">
        <v>13</v>
      </c>
      <c r="J1856" t="s">
        <v>11</v>
      </c>
    </row>
    <row r="1857" spans="1:10" x14ac:dyDescent="0.25">
      <c r="A1857">
        <v>1856</v>
      </c>
      <c r="B1857" s="1">
        <v>45652</v>
      </c>
      <c r="C1857" t="s">
        <v>21</v>
      </c>
      <c r="D1857" t="s">
        <v>11</v>
      </c>
      <c r="E1857">
        <v>67</v>
      </c>
      <c r="F1857">
        <v>61</v>
      </c>
      <c r="G1857">
        <v>9.3000000000000007</v>
      </c>
      <c r="H1857" t="s">
        <v>12</v>
      </c>
      <c r="I1857" t="s">
        <v>16</v>
      </c>
      <c r="J1857" t="s">
        <v>11</v>
      </c>
    </row>
    <row r="1858" spans="1:10" x14ac:dyDescent="0.25">
      <c r="A1858">
        <v>1857</v>
      </c>
      <c r="B1858" s="1">
        <v>45297</v>
      </c>
      <c r="C1858" t="s">
        <v>21</v>
      </c>
      <c r="D1858" t="s">
        <v>11</v>
      </c>
      <c r="E1858">
        <v>89</v>
      </c>
      <c r="F1858">
        <v>25</v>
      </c>
      <c r="G1858">
        <v>3.7</v>
      </c>
      <c r="H1858" t="s">
        <v>12</v>
      </c>
      <c r="I1858" t="s">
        <v>16</v>
      </c>
      <c r="J1858" t="s">
        <v>11</v>
      </c>
    </row>
    <row r="1859" spans="1:10" x14ac:dyDescent="0.25">
      <c r="A1859">
        <v>1858</v>
      </c>
      <c r="B1859" s="1">
        <v>45530</v>
      </c>
      <c r="C1859" t="s">
        <v>14</v>
      </c>
      <c r="D1859" t="s">
        <v>17</v>
      </c>
      <c r="E1859">
        <v>188</v>
      </c>
      <c r="F1859">
        <v>44</v>
      </c>
      <c r="G1859">
        <v>3.2</v>
      </c>
      <c r="H1859" t="s">
        <v>18</v>
      </c>
      <c r="I1859" t="s">
        <v>16</v>
      </c>
      <c r="J1859" t="s">
        <v>11</v>
      </c>
    </row>
    <row r="1860" spans="1:10" x14ac:dyDescent="0.25">
      <c r="A1860">
        <v>1859</v>
      </c>
      <c r="B1860" s="1">
        <v>45322</v>
      </c>
      <c r="C1860" t="s">
        <v>10</v>
      </c>
      <c r="D1860" t="s">
        <v>20</v>
      </c>
      <c r="E1860">
        <v>39</v>
      </c>
      <c r="F1860">
        <v>16</v>
      </c>
      <c r="G1860">
        <v>5.4</v>
      </c>
      <c r="H1860" t="s">
        <v>12</v>
      </c>
      <c r="I1860" t="s">
        <v>19</v>
      </c>
      <c r="J1860" t="s">
        <v>11</v>
      </c>
    </row>
    <row r="1861" spans="1:10" x14ac:dyDescent="0.25">
      <c r="A1861">
        <v>1860</v>
      </c>
      <c r="B1861" s="1">
        <v>45294</v>
      </c>
      <c r="C1861" t="s">
        <v>23</v>
      </c>
      <c r="D1861" t="s">
        <v>11</v>
      </c>
      <c r="E1861">
        <v>198</v>
      </c>
      <c r="F1861">
        <v>18</v>
      </c>
      <c r="G1861">
        <v>1.8</v>
      </c>
      <c r="H1861" t="s">
        <v>18</v>
      </c>
      <c r="I1861" t="s">
        <v>19</v>
      </c>
      <c r="J1861" t="s">
        <v>11</v>
      </c>
    </row>
    <row r="1862" spans="1:10" x14ac:dyDescent="0.25">
      <c r="A1862">
        <v>1861</v>
      </c>
      <c r="B1862" s="1">
        <v>45454</v>
      </c>
      <c r="C1862" t="s">
        <v>10</v>
      </c>
      <c r="D1862" t="s">
        <v>11</v>
      </c>
      <c r="E1862">
        <v>203</v>
      </c>
      <c r="F1862">
        <v>26</v>
      </c>
      <c r="G1862">
        <v>6.4</v>
      </c>
      <c r="H1862" t="s">
        <v>12</v>
      </c>
      <c r="I1862" t="s">
        <v>16</v>
      </c>
      <c r="J1862" t="s">
        <v>11</v>
      </c>
    </row>
    <row r="1863" spans="1:10" x14ac:dyDescent="0.25">
      <c r="A1863">
        <v>1862</v>
      </c>
      <c r="B1863" s="1">
        <v>45460</v>
      </c>
      <c r="C1863" t="s">
        <v>14</v>
      </c>
      <c r="D1863" t="s">
        <v>20</v>
      </c>
      <c r="E1863">
        <v>226</v>
      </c>
      <c r="F1863">
        <v>26</v>
      </c>
      <c r="G1863">
        <v>9</v>
      </c>
      <c r="H1863" t="s">
        <v>12</v>
      </c>
      <c r="I1863" t="s">
        <v>13</v>
      </c>
      <c r="J1863" t="s">
        <v>11</v>
      </c>
    </row>
    <row r="1864" spans="1:10" x14ac:dyDescent="0.25">
      <c r="A1864">
        <v>1863</v>
      </c>
      <c r="B1864" s="1">
        <v>45612</v>
      </c>
      <c r="C1864" t="s">
        <v>22</v>
      </c>
      <c r="D1864" t="s">
        <v>11</v>
      </c>
      <c r="E1864">
        <v>100</v>
      </c>
      <c r="F1864">
        <v>59</v>
      </c>
      <c r="G1864">
        <v>0.9</v>
      </c>
      <c r="H1864" t="s">
        <v>18</v>
      </c>
      <c r="I1864" t="s">
        <v>13</v>
      </c>
      <c r="J1864" t="s">
        <v>11</v>
      </c>
    </row>
    <row r="1865" spans="1:10" x14ac:dyDescent="0.25">
      <c r="A1865">
        <v>1864</v>
      </c>
      <c r="B1865" s="1">
        <v>45428</v>
      </c>
      <c r="C1865" t="s">
        <v>21</v>
      </c>
      <c r="D1865" t="s">
        <v>11</v>
      </c>
      <c r="E1865">
        <v>227</v>
      </c>
      <c r="F1865">
        <v>58</v>
      </c>
      <c r="G1865">
        <v>2</v>
      </c>
      <c r="H1865" t="s">
        <v>18</v>
      </c>
      <c r="I1865" t="s">
        <v>13</v>
      </c>
      <c r="J1865" t="s">
        <v>11</v>
      </c>
    </row>
    <row r="1866" spans="1:10" x14ac:dyDescent="0.25">
      <c r="A1866">
        <v>1865</v>
      </c>
      <c r="B1866" s="1">
        <v>45454</v>
      </c>
      <c r="C1866" t="s">
        <v>14</v>
      </c>
      <c r="D1866" t="s">
        <v>17</v>
      </c>
      <c r="E1866">
        <v>152</v>
      </c>
      <c r="F1866">
        <v>21</v>
      </c>
      <c r="G1866">
        <v>2.9</v>
      </c>
      <c r="H1866" t="s">
        <v>18</v>
      </c>
      <c r="I1866" t="s">
        <v>19</v>
      </c>
      <c r="J1866" t="s">
        <v>11</v>
      </c>
    </row>
    <row r="1867" spans="1:10" x14ac:dyDescent="0.25">
      <c r="A1867">
        <v>1866</v>
      </c>
      <c r="B1867" s="1">
        <v>45514</v>
      </c>
      <c r="C1867" t="s">
        <v>10</v>
      </c>
      <c r="D1867" t="s">
        <v>17</v>
      </c>
      <c r="E1867">
        <v>8</v>
      </c>
      <c r="F1867">
        <v>44</v>
      </c>
      <c r="G1867">
        <v>8.3000000000000007</v>
      </c>
      <c r="H1867" t="s">
        <v>12</v>
      </c>
      <c r="I1867" t="s">
        <v>16</v>
      </c>
      <c r="J1867" t="s">
        <v>15</v>
      </c>
    </row>
    <row r="1868" spans="1:10" x14ac:dyDescent="0.25">
      <c r="A1868">
        <v>1867</v>
      </c>
      <c r="B1868" s="1">
        <v>45462</v>
      </c>
      <c r="C1868" t="s">
        <v>23</v>
      </c>
      <c r="D1868" t="s">
        <v>11</v>
      </c>
      <c r="E1868">
        <v>72</v>
      </c>
      <c r="F1868">
        <v>56</v>
      </c>
      <c r="G1868">
        <v>4.4000000000000004</v>
      </c>
      <c r="H1868" t="s">
        <v>18</v>
      </c>
      <c r="I1868" t="s">
        <v>16</v>
      </c>
      <c r="J1868" t="s">
        <v>11</v>
      </c>
    </row>
    <row r="1869" spans="1:10" x14ac:dyDescent="0.25">
      <c r="A1869">
        <v>1868</v>
      </c>
      <c r="B1869" s="1">
        <v>45399</v>
      </c>
      <c r="C1869" t="s">
        <v>22</v>
      </c>
      <c r="D1869" t="s">
        <v>17</v>
      </c>
      <c r="E1869">
        <v>188</v>
      </c>
      <c r="F1869">
        <v>63</v>
      </c>
      <c r="G1869">
        <v>7.7</v>
      </c>
      <c r="H1869" t="s">
        <v>12</v>
      </c>
      <c r="I1869" t="s">
        <v>19</v>
      </c>
      <c r="J1869" t="s">
        <v>11</v>
      </c>
    </row>
    <row r="1870" spans="1:10" x14ac:dyDescent="0.25">
      <c r="A1870">
        <v>1869</v>
      </c>
      <c r="B1870" s="1">
        <v>45653</v>
      </c>
      <c r="C1870" t="s">
        <v>21</v>
      </c>
      <c r="D1870" t="s">
        <v>17</v>
      </c>
      <c r="E1870">
        <v>158</v>
      </c>
      <c r="F1870">
        <v>5</v>
      </c>
      <c r="G1870">
        <v>6.6</v>
      </c>
      <c r="H1870" t="s">
        <v>12</v>
      </c>
      <c r="I1870" t="s">
        <v>19</v>
      </c>
      <c r="J1870" t="s">
        <v>15</v>
      </c>
    </row>
    <row r="1871" spans="1:10" x14ac:dyDescent="0.25">
      <c r="A1871">
        <v>1870</v>
      </c>
      <c r="B1871" s="1">
        <v>45314</v>
      </c>
      <c r="C1871" t="s">
        <v>22</v>
      </c>
      <c r="D1871" t="s">
        <v>17</v>
      </c>
      <c r="E1871">
        <v>235</v>
      </c>
      <c r="F1871">
        <v>36</v>
      </c>
      <c r="G1871">
        <v>2.5</v>
      </c>
      <c r="H1871" t="s">
        <v>12</v>
      </c>
      <c r="I1871" t="s">
        <v>16</v>
      </c>
      <c r="J1871" t="s">
        <v>11</v>
      </c>
    </row>
    <row r="1872" spans="1:10" x14ac:dyDescent="0.25">
      <c r="A1872">
        <v>1871</v>
      </c>
      <c r="B1872" s="1">
        <v>45328</v>
      </c>
      <c r="C1872" t="s">
        <v>22</v>
      </c>
      <c r="D1872" t="s">
        <v>17</v>
      </c>
      <c r="E1872">
        <v>195</v>
      </c>
      <c r="F1872">
        <v>13</v>
      </c>
      <c r="G1872">
        <v>6</v>
      </c>
      <c r="H1872" t="s">
        <v>18</v>
      </c>
      <c r="I1872" t="s">
        <v>16</v>
      </c>
      <c r="J1872" t="s">
        <v>11</v>
      </c>
    </row>
    <row r="1873" spans="1:10" x14ac:dyDescent="0.25">
      <c r="A1873">
        <v>1872</v>
      </c>
      <c r="B1873" s="1">
        <v>45344</v>
      </c>
      <c r="C1873" t="s">
        <v>23</v>
      </c>
      <c r="D1873" t="s">
        <v>17</v>
      </c>
      <c r="E1873">
        <v>70</v>
      </c>
      <c r="F1873">
        <v>59</v>
      </c>
      <c r="G1873">
        <v>5.4</v>
      </c>
      <c r="H1873" t="s">
        <v>12</v>
      </c>
      <c r="I1873" t="s">
        <v>19</v>
      </c>
      <c r="J1873" t="s">
        <v>11</v>
      </c>
    </row>
    <row r="1874" spans="1:10" x14ac:dyDescent="0.25">
      <c r="A1874">
        <v>1873</v>
      </c>
      <c r="B1874" s="1">
        <v>45642</v>
      </c>
      <c r="C1874" t="s">
        <v>23</v>
      </c>
      <c r="D1874" t="s">
        <v>20</v>
      </c>
      <c r="E1874">
        <v>75</v>
      </c>
      <c r="F1874">
        <v>5</v>
      </c>
      <c r="G1874">
        <v>5</v>
      </c>
      <c r="H1874" t="s">
        <v>18</v>
      </c>
      <c r="I1874" t="s">
        <v>13</v>
      </c>
      <c r="J1874" t="s">
        <v>15</v>
      </c>
    </row>
    <row r="1875" spans="1:10" x14ac:dyDescent="0.25">
      <c r="A1875">
        <v>1874</v>
      </c>
      <c r="B1875" s="1">
        <v>45505</v>
      </c>
      <c r="C1875" t="s">
        <v>22</v>
      </c>
      <c r="D1875" t="s">
        <v>17</v>
      </c>
      <c r="E1875">
        <v>226</v>
      </c>
      <c r="F1875">
        <v>58</v>
      </c>
      <c r="G1875">
        <v>2.6</v>
      </c>
      <c r="H1875" t="s">
        <v>12</v>
      </c>
      <c r="I1875" t="s">
        <v>13</v>
      </c>
      <c r="J1875" t="s">
        <v>11</v>
      </c>
    </row>
    <row r="1876" spans="1:10" x14ac:dyDescent="0.25">
      <c r="A1876">
        <v>1875</v>
      </c>
      <c r="B1876" s="1">
        <v>45596</v>
      </c>
      <c r="C1876" t="s">
        <v>23</v>
      </c>
      <c r="D1876" t="s">
        <v>20</v>
      </c>
      <c r="E1876">
        <v>223</v>
      </c>
      <c r="F1876">
        <v>27</v>
      </c>
      <c r="G1876">
        <v>3.5</v>
      </c>
      <c r="H1876" t="s">
        <v>18</v>
      </c>
      <c r="I1876" t="s">
        <v>13</v>
      </c>
      <c r="J1876" t="s">
        <v>11</v>
      </c>
    </row>
    <row r="1877" spans="1:10" x14ac:dyDescent="0.25">
      <c r="A1877">
        <v>1876</v>
      </c>
      <c r="B1877" s="1">
        <v>45380</v>
      </c>
      <c r="C1877" t="s">
        <v>10</v>
      </c>
      <c r="D1877" t="s">
        <v>20</v>
      </c>
      <c r="E1877">
        <v>203</v>
      </c>
      <c r="F1877">
        <v>41</v>
      </c>
      <c r="G1877">
        <v>0.9</v>
      </c>
      <c r="H1877" t="s">
        <v>18</v>
      </c>
      <c r="I1877" t="s">
        <v>16</v>
      </c>
      <c r="J1877" t="s">
        <v>11</v>
      </c>
    </row>
    <row r="1878" spans="1:10" x14ac:dyDescent="0.25">
      <c r="A1878">
        <v>1877</v>
      </c>
      <c r="B1878" s="1">
        <v>45549</v>
      </c>
      <c r="C1878" t="s">
        <v>22</v>
      </c>
      <c r="D1878" t="s">
        <v>11</v>
      </c>
      <c r="E1878">
        <v>85</v>
      </c>
      <c r="F1878">
        <v>11</v>
      </c>
      <c r="G1878">
        <v>0.6</v>
      </c>
      <c r="H1878" t="s">
        <v>18</v>
      </c>
      <c r="I1878" t="s">
        <v>13</v>
      </c>
      <c r="J1878" t="s">
        <v>11</v>
      </c>
    </row>
    <row r="1879" spans="1:10" x14ac:dyDescent="0.25">
      <c r="A1879">
        <v>1878</v>
      </c>
      <c r="B1879" s="1">
        <v>45403</v>
      </c>
      <c r="C1879" t="s">
        <v>14</v>
      </c>
      <c r="D1879" t="s">
        <v>11</v>
      </c>
      <c r="E1879">
        <v>175</v>
      </c>
      <c r="F1879">
        <v>29</v>
      </c>
      <c r="G1879">
        <v>2</v>
      </c>
      <c r="H1879" t="s">
        <v>12</v>
      </c>
      <c r="I1879" t="s">
        <v>16</v>
      </c>
      <c r="J1879" t="s">
        <v>11</v>
      </c>
    </row>
    <row r="1880" spans="1:10" x14ac:dyDescent="0.25">
      <c r="A1880">
        <v>1879</v>
      </c>
      <c r="B1880" s="1">
        <v>45639</v>
      </c>
      <c r="C1880" t="s">
        <v>23</v>
      </c>
      <c r="D1880" t="s">
        <v>20</v>
      </c>
      <c r="E1880">
        <v>108</v>
      </c>
      <c r="F1880">
        <v>11</v>
      </c>
      <c r="G1880">
        <v>8.6</v>
      </c>
      <c r="H1880" t="s">
        <v>12</v>
      </c>
      <c r="I1880" t="s">
        <v>13</v>
      </c>
      <c r="J1880" t="s">
        <v>11</v>
      </c>
    </row>
    <row r="1881" spans="1:10" x14ac:dyDescent="0.25">
      <c r="A1881">
        <v>1880</v>
      </c>
      <c r="B1881" s="1">
        <v>45477</v>
      </c>
      <c r="C1881" t="s">
        <v>14</v>
      </c>
      <c r="D1881" t="s">
        <v>17</v>
      </c>
      <c r="E1881">
        <v>128</v>
      </c>
      <c r="F1881">
        <v>16</v>
      </c>
      <c r="G1881">
        <v>0.6</v>
      </c>
      <c r="H1881" t="s">
        <v>18</v>
      </c>
      <c r="I1881" t="s">
        <v>19</v>
      </c>
      <c r="J1881" t="s">
        <v>11</v>
      </c>
    </row>
    <row r="1882" spans="1:10" x14ac:dyDescent="0.25">
      <c r="A1882">
        <v>1881</v>
      </c>
      <c r="B1882" s="1">
        <v>45563</v>
      </c>
      <c r="C1882" t="s">
        <v>21</v>
      </c>
      <c r="D1882" t="s">
        <v>17</v>
      </c>
      <c r="E1882">
        <v>21</v>
      </c>
      <c r="F1882">
        <v>59</v>
      </c>
      <c r="G1882">
        <v>3</v>
      </c>
      <c r="H1882" t="s">
        <v>12</v>
      </c>
      <c r="I1882" t="s">
        <v>16</v>
      </c>
      <c r="J1882" t="s">
        <v>11</v>
      </c>
    </row>
    <row r="1883" spans="1:10" x14ac:dyDescent="0.25">
      <c r="A1883">
        <v>1882</v>
      </c>
      <c r="B1883" s="1">
        <v>45343</v>
      </c>
      <c r="C1883" t="s">
        <v>10</v>
      </c>
      <c r="D1883" t="s">
        <v>15</v>
      </c>
      <c r="E1883">
        <v>234</v>
      </c>
      <c r="F1883">
        <v>52</v>
      </c>
      <c r="G1883">
        <v>1</v>
      </c>
      <c r="H1883" t="s">
        <v>12</v>
      </c>
      <c r="I1883" t="s">
        <v>16</v>
      </c>
      <c r="J1883" t="s">
        <v>11</v>
      </c>
    </row>
    <row r="1884" spans="1:10" x14ac:dyDescent="0.25">
      <c r="A1884">
        <v>1883</v>
      </c>
      <c r="B1884" s="1">
        <v>45399</v>
      </c>
      <c r="C1884" t="s">
        <v>21</v>
      </c>
      <c r="D1884" t="s">
        <v>20</v>
      </c>
      <c r="E1884">
        <v>187</v>
      </c>
      <c r="F1884">
        <v>27</v>
      </c>
      <c r="G1884">
        <v>3.7</v>
      </c>
      <c r="H1884" t="s">
        <v>18</v>
      </c>
      <c r="I1884" t="s">
        <v>19</v>
      </c>
      <c r="J1884" t="s">
        <v>11</v>
      </c>
    </row>
    <row r="1885" spans="1:10" x14ac:dyDescent="0.25">
      <c r="A1885">
        <v>1884</v>
      </c>
      <c r="B1885" s="1">
        <v>45377</v>
      </c>
      <c r="C1885" t="s">
        <v>23</v>
      </c>
      <c r="D1885" t="s">
        <v>15</v>
      </c>
      <c r="E1885">
        <v>83</v>
      </c>
      <c r="F1885">
        <v>31</v>
      </c>
      <c r="G1885">
        <v>5.2</v>
      </c>
      <c r="H1885" t="s">
        <v>12</v>
      </c>
      <c r="I1885" t="s">
        <v>19</v>
      </c>
      <c r="J1885" t="s">
        <v>11</v>
      </c>
    </row>
    <row r="1886" spans="1:10" x14ac:dyDescent="0.25">
      <c r="A1886">
        <v>1885</v>
      </c>
      <c r="B1886" s="1">
        <v>45363</v>
      </c>
      <c r="C1886" t="s">
        <v>23</v>
      </c>
      <c r="D1886" t="s">
        <v>11</v>
      </c>
      <c r="E1886">
        <v>154</v>
      </c>
      <c r="F1886">
        <v>43</v>
      </c>
      <c r="G1886">
        <v>3</v>
      </c>
      <c r="H1886" t="s">
        <v>18</v>
      </c>
      <c r="I1886" t="s">
        <v>16</v>
      </c>
      <c r="J1886" t="s">
        <v>11</v>
      </c>
    </row>
    <row r="1887" spans="1:10" x14ac:dyDescent="0.25">
      <c r="A1887">
        <v>1886</v>
      </c>
      <c r="B1887" s="1">
        <v>45623</v>
      </c>
      <c r="C1887" t="s">
        <v>21</v>
      </c>
      <c r="D1887" t="s">
        <v>15</v>
      </c>
      <c r="E1887">
        <v>197</v>
      </c>
      <c r="F1887">
        <v>50</v>
      </c>
      <c r="G1887">
        <v>3</v>
      </c>
      <c r="H1887" t="s">
        <v>18</v>
      </c>
      <c r="I1887" t="s">
        <v>16</v>
      </c>
      <c r="J1887" t="s">
        <v>11</v>
      </c>
    </row>
    <row r="1888" spans="1:10" x14ac:dyDescent="0.25">
      <c r="A1888">
        <v>1887</v>
      </c>
      <c r="B1888" s="1">
        <v>45504</v>
      </c>
      <c r="C1888" t="s">
        <v>21</v>
      </c>
      <c r="D1888" t="s">
        <v>15</v>
      </c>
      <c r="E1888">
        <v>124</v>
      </c>
      <c r="F1888">
        <v>19</v>
      </c>
      <c r="G1888">
        <v>1.3</v>
      </c>
      <c r="H1888" t="s">
        <v>18</v>
      </c>
      <c r="I1888" t="s">
        <v>16</v>
      </c>
      <c r="J1888" t="s">
        <v>11</v>
      </c>
    </row>
    <row r="1889" spans="1:10" x14ac:dyDescent="0.25">
      <c r="A1889">
        <v>1888</v>
      </c>
      <c r="B1889" s="1">
        <v>45389</v>
      </c>
      <c r="C1889" t="s">
        <v>10</v>
      </c>
      <c r="D1889" t="s">
        <v>11</v>
      </c>
      <c r="E1889">
        <v>228</v>
      </c>
      <c r="F1889">
        <v>60</v>
      </c>
      <c r="G1889">
        <v>8</v>
      </c>
      <c r="H1889" t="s">
        <v>12</v>
      </c>
      <c r="I1889" t="s">
        <v>19</v>
      </c>
      <c r="J1889" t="s">
        <v>11</v>
      </c>
    </row>
    <row r="1890" spans="1:10" x14ac:dyDescent="0.25">
      <c r="A1890">
        <v>1889</v>
      </c>
      <c r="B1890" s="1">
        <v>45454</v>
      </c>
      <c r="C1890" t="s">
        <v>23</v>
      </c>
      <c r="D1890" t="s">
        <v>11</v>
      </c>
      <c r="E1890">
        <v>183</v>
      </c>
      <c r="F1890">
        <v>4</v>
      </c>
      <c r="G1890">
        <v>9.6999999999999993</v>
      </c>
      <c r="H1890" t="s">
        <v>18</v>
      </c>
      <c r="I1890" t="s">
        <v>16</v>
      </c>
      <c r="J1890" t="s">
        <v>20</v>
      </c>
    </row>
    <row r="1891" spans="1:10" x14ac:dyDescent="0.25">
      <c r="A1891">
        <v>1890</v>
      </c>
      <c r="B1891" s="1">
        <v>45414</v>
      </c>
      <c r="C1891" t="s">
        <v>23</v>
      </c>
      <c r="D1891" t="s">
        <v>11</v>
      </c>
      <c r="E1891">
        <v>65</v>
      </c>
      <c r="F1891">
        <v>16</v>
      </c>
      <c r="G1891">
        <v>6.6</v>
      </c>
      <c r="H1891" t="s">
        <v>12</v>
      </c>
      <c r="I1891" t="s">
        <v>13</v>
      </c>
      <c r="J1891" t="s">
        <v>11</v>
      </c>
    </row>
    <row r="1892" spans="1:10" x14ac:dyDescent="0.25">
      <c r="A1892">
        <v>1891</v>
      </c>
      <c r="B1892" s="1">
        <v>45495</v>
      </c>
      <c r="C1892" t="s">
        <v>21</v>
      </c>
      <c r="D1892" t="s">
        <v>11</v>
      </c>
      <c r="E1892">
        <v>194</v>
      </c>
      <c r="F1892">
        <v>68</v>
      </c>
      <c r="G1892">
        <v>7</v>
      </c>
      <c r="H1892" t="s">
        <v>12</v>
      </c>
      <c r="I1892" t="s">
        <v>13</v>
      </c>
      <c r="J1892" t="s">
        <v>11</v>
      </c>
    </row>
    <row r="1893" spans="1:10" x14ac:dyDescent="0.25">
      <c r="A1893">
        <v>1892</v>
      </c>
      <c r="B1893" s="1">
        <v>45328</v>
      </c>
      <c r="C1893" t="s">
        <v>14</v>
      </c>
      <c r="D1893" t="s">
        <v>17</v>
      </c>
      <c r="E1893">
        <v>61</v>
      </c>
      <c r="F1893">
        <v>29</v>
      </c>
      <c r="G1893">
        <v>3.1</v>
      </c>
      <c r="H1893" t="s">
        <v>18</v>
      </c>
      <c r="I1893" t="s">
        <v>16</v>
      </c>
      <c r="J1893" t="s">
        <v>11</v>
      </c>
    </row>
    <row r="1894" spans="1:10" x14ac:dyDescent="0.25">
      <c r="A1894">
        <v>1893</v>
      </c>
      <c r="B1894" s="1">
        <v>45319</v>
      </c>
      <c r="C1894" t="s">
        <v>21</v>
      </c>
      <c r="D1894" t="s">
        <v>20</v>
      </c>
      <c r="E1894">
        <v>40</v>
      </c>
      <c r="F1894">
        <v>39</v>
      </c>
      <c r="G1894">
        <v>7.2</v>
      </c>
      <c r="H1894" t="s">
        <v>18</v>
      </c>
      <c r="I1894" t="s">
        <v>16</v>
      </c>
      <c r="J1894" t="s">
        <v>11</v>
      </c>
    </row>
    <row r="1895" spans="1:10" x14ac:dyDescent="0.25">
      <c r="A1895">
        <v>1894</v>
      </c>
      <c r="B1895" s="1">
        <v>45464</v>
      </c>
      <c r="C1895" t="s">
        <v>10</v>
      </c>
      <c r="D1895" t="s">
        <v>20</v>
      </c>
      <c r="E1895">
        <v>174</v>
      </c>
      <c r="F1895">
        <v>19</v>
      </c>
      <c r="G1895">
        <v>6.4</v>
      </c>
      <c r="H1895" t="s">
        <v>12</v>
      </c>
      <c r="I1895" t="s">
        <v>13</v>
      </c>
      <c r="J1895" t="s">
        <v>11</v>
      </c>
    </row>
    <row r="1896" spans="1:10" x14ac:dyDescent="0.25">
      <c r="A1896">
        <v>1895</v>
      </c>
      <c r="B1896" s="1">
        <v>45473</v>
      </c>
      <c r="C1896" t="s">
        <v>10</v>
      </c>
      <c r="D1896" t="s">
        <v>11</v>
      </c>
      <c r="E1896">
        <v>175</v>
      </c>
      <c r="F1896">
        <v>31</v>
      </c>
      <c r="G1896">
        <v>9.1999999999999993</v>
      </c>
      <c r="H1896" t="s">
        <v>18</v>
      </c>
      <c r="I1896" t="s">
        <v>13</v>
      </c>
      <c r="J1896" t="s">
        <v>15</v>
      </c>
    </row>
    <row r="1897" spans="1:10" x14ac:dyDescent="0.25">
      <c r="A1897">
        <v>1896</v>
      </c>
      <c r="B1897" s="1">
        <v>45528</v>
      </c>
      <c r="C1897" t="s">
        <v>23</v>
      </c>
      <c r="D1897" t="s">
        <v>15</v>
      </c>
      <c r="E1897">
        <v>154</v>
      </c>
      <c r="F1897">
        <v>17</v>
      </c>
      <c r="G1897">
        <v>4.8</v>
      </c>
      <c r="H1897" t="s">
        <v>18</v>
      </c>
      <c r="I1897" t="s">
        <v>16</v>
      </c>
      <c r="J1897" t="s">
        <v>11</v>
      </c>
    </row>
    <row r="1898" spans="1:10" x14ac:dyDescent="0.25">
      <c r="A1898">
        <v>1897</v>
      </c>
      <c r="B1898" s="1">
        <v>45564</v>
      </c>
      <c r="C1898" t="s">
        <v>21</v>
      </c>
      <c r="D1898" t="s">
        <v>20</v>
      </c>
      <c r="E1898">
        <v>226</v>
      </c>
      <c r="F1898">
        <v>29</v>
      </c>
      <c r="G1898">
        <v>5.5</v>
      </c>
      <c r="H1898" t="s">
        <v>12</v>
      </c>
      <c r="I1898" t="s">
        <v>16</v>
      </c>
      <c r="J1898" t="s">
        <v>11</v>
      </c>
    </row>
    <row r="1899" spans="1:10" x14ac:dyDescent="0.25">
      <c r="A1899">
        <v>1898</v>
      </c>
      <c r="B1899" s="1">
        <v>45464</v>
      </c>
      <c r="C1899" t="s">
        <v>22</v>
      </c>
      <c r="D1899" t="s">
        <v>20</v>
      </c>
      <c r="E1899">
        <v>33</v>
      </c>
      <c r="F1899">
        <v>71</v>
      </c>
      <c r="G1899">
        <v>2.5</v>
      </c>
      <c r="H1899" t="s">
        <v>12</v>
      </c>
      <c r="I1899" t="s">
        <v>19</v>
      </c>
      <c r="J1899" t="s">
        <v>11</v>
      </c>
    </row>
    <row r="1900" spans="1:10" x14ac:dyDescent="0.25">
      <c r="A1900">
        <v>1899</v>
      </c>
      <c r="B1900" s="1">
        <v>45610</v>
      </c>
      <c r="C1900" t="s">
        <v>23</v>
      </c>
      <c r="D1900" t="s">
        <v>15</v>
      </c>
      <c r="E1900">
        <v>19</v>
      </c>
      <c r="F1900">
        <v>6</v>
      </c>
      <c r="G1900">
        <v>8.9</v>
      </c>
      <c r="H1900" t="s">
        <v>18</v>
      </c>
      <c r="I1900" t="s">
        <v>16</v>
      </c>
      <c r="J1900" t="s">
        <v>20</v>
      </c>
    </row>
    <row r="1901" spans="1:10" x14ac:dyDescent="0.25">
      <c r="A1901">
        <v>1900</v>
      </c>
      <c r="B1901" s="1">
        <v>45455</v>
      </c>
      <c r="C1901" t="s">
        <v>23</v>
      </c>
      <c r="D1901" t="s">
        <v>11</v>
      </c>
      <c r="E1901">
        <v>116</v>
      </c>
      <c r="F1901">
        <v>47</v>
      </c>
      <c r="G1901">
        <v>3.6</v>
      </c>
      <c r="H1901" t="s">
        <v>18</v>
      </c>
      <c r="I1901" t="s">
        <v>13</v>
      </c>
      <c r="J1901" t="s">
        <v>11</v>
      </c>
    </row>
    <row r="1902" spans="1:10" x14ac:dyDescent="0.25">
      <c r="A1902">
        <v>1901</v>
      </c>
      <c r="B1902" s="1">
        <v>45324</v>
      </c>
      <c r="C1902" t="s">
        <v>22</v>
      </c>
      <c r="D1902" t="s">
        <v>11</v>
      </c>
      <c r="E1902">
        <v>38</v>
      </c>
      <c r="F1902">
        <v>55</v>
      </c>
      <c r="G1902">
        <v>8.6</v>
      </c>
      <c r="H1902" t="s">
        <v>18</v>
      </c>
      <c r="I1902" t="s">
        <v>13</v>
      </c>
      <c r="J1902" t="s">
        <v>15</v>
      </c>
    </row>
    <row r="1903" spans="1:10" x14ac:dyDescent="0.25">
      <c r="A1903">
        <v>1902</v>
      </c>
      <c r="B1903" s="1">
        <v>45380</v>
      </c>
      <c r="C1903" t="s">
        <v>21</v>
      </c>
      <c r="D1903" t="s">
        <v>15</v>
      </c>
      <c r="E1903">
        <v>45</v>
      </c>
      <c r="F1903">
        <v>54</v>
      </c>
      <c r="G1903">
        <v>2.6</v>
      </c>
      <c r="H1903" t="s">
        <v>18</v>
      </c>
      <c r="I1903" t="s">
        <v>16</v>
      </c>
      <c r="J1903" t="s">
        <v>11</v>
      </c>
    </row>
    <row r="1904" spans="1:10" x14ac:dyDescent="0.25">
      <c r="A1904">
        <v>1903</v>
      </c>
      <c r="B1904" s="1">
        <v>45568</v>
      </c>
      <c r="C1904" t="s">
        <v>22</v>
      </c>
      <c r="D1904" t="s">
        <v>11</v>
      </c>
      <c r="E1904">
        <v>112</v>
      </c>
      <c r="F1904">
        <v>46</v>
      </c>
      <c r="G1904">
        <v>1.7</v>
      </c>
      <c r="H1904" t="s">
        <v>12</v>
      </c>
      <c r="I1904" t="s">
        <v>16</v>
      </c>
      <c r="J1904" t="s">
        <v>11</v>
      </c>
    </row>
    <row r="1905" spans="1:10" x14ac:dyDescent="0.25">
      <c r="A1905">
        <v>1904</v>
      </c>
      <c r="B1905" s="1">
        <v>45326</v>
      </c>
      <c r="C1905" t="s">
        <v>21</v>
      </c>
      <c r="D1905" t="s">
        <v>15</v>
      </c>
      <c r="E1905">
        <v>7</v>
      </c>
      <c r="F1905">
        <v>61</v>
      </c>
      <c r="G1905">
        <v>1.5</v>
      </c>
      <c r="H1905" t="s">
        <v>18</v>
      </c>
      <c r="I1905" t="s">
        <v>19</v>
      </c>
      <c r="J1905" t="s">
        <v>15</v>
      </c>
    </row>
    <row r="1906" spans="1:10" x14ac:dyDescent="0.25">
      <c r="A1906">
        <v>1905</v>
      </c>
      <c r="B1906" s="1">
        <v>45595</v>
      </c>
      <c r="C1906" t="s">
        <v>22</v>
      </c>
      <c r="D1906" t="s">
        <v>17</v>
      </c>
      <c r="E1906">
        <v>32</v>
      </c>
      <c r="F1906">
        <v>50</v>
      </c>
      <c r="G1906">
        <v>2.2999999999999998</v>
      </c>
      <c r="H1906" t="s">
        <v>12</v>
      </c>
      <c r="I1906" t="s">
        <v>16</v>
      </c>
      <c r="J1906" t="s">
        <v>11</v>
      </c>
    </row>
    <row r="1907" spans="1:10" x14ac:dyDescent="0.25">
      <c r="A1907">
        <v>1906</v>
      </c>
      <c r="B1907" s="1">
        <v>45399</v>
      </c>
      <c r="C1907" t="s">
        <v>14</v>
      </c>
      <c r="D1907" t="s">
        <v>11</v>
      </c>
      <c r="E1907">
        <v>211</v>
      </c>
      <c r="F1907">
        <v>12</v>
      </c>
      <c r="G1907">
        <v>0.5</v>
      </c>
      <c r="H1907" t="s">
        <v>12</v>
      </c>
      <c r="I1907" t="s">
        <v>13</v>
      </c>
      <c r="J1907" t="s">
        <v>11</v>
      </c>
    </row>
    <row r="1908" spans="1:10" x14ac:dyDescent="0.25">
      <c r="A1908">
        <v>1907</v>
      </c>
      <c r="B1908" s="1">
        <v>45343</v>
      </c>
      <c r="C1908" t="s">
        <v>10</v>
      </c>
      <c r="D1908" t="s">
        <v>15</v>
      </c>
      <c r="E1908">
        <v>213</v>
      </c>
      <c r="F1908">
        <v>64</v>
      </c>
      <c r="G1908">
        <v>2.6</v>
      </c>
      <c r="H1908" t="s">
        <v>12</v>
      </c>
      <c r="I1908" t="s">
        <v>19</v>
      </c>
      <c r="J1908" t="s">
        <v>11</v>
      </c>
    </row>
    <row r="1909" spans="1:10" x14ac:dyDescent="0.25">
      <c r="A1909">
        <v>1908</v>
      </c>
      <c r="B1909" s="1">
        <v>45575</v>
      </c>
      <c r="C1909" t="s">
        <v>21</v>
      </c>
      <c r="D1909" t="s">
        <v>15</v>
      </c>
      <c r="E1909">
        <v>152</v>
      </c>
      <c r="F1909">
        <v>65</v>
      </c>
      <c r="G1909">
        <v>7.5</v>
      </c>
      <c r="H1909" t="s">
        <v>12</v>
      </c>
      <c r="I1909" t="s">
        <v>19</v>
      </c>
      <c r="J1909" t="s">
        <v>11</v>
      </c>
    </row>
    <row r="1910" spans="1:10" x14ac:dyDescent="0.25">
      <c r="A1910">
        <v>1909</v>
      </c>
      <c r="B1910" s="1">
        <v>45389</v>
      </c>
      <c r="C1910" t="s">
        <v>21</v>
      </c>
      <c r="D1910" t="s">
        <v>15</v>
      </c>
      <c r="E1910">
        <v>205</v>
      </c>
      <c r="F1910">
        <v>21</v>
      </c>
      <c r="G1910">
        <v>9.8000000000000007</v>
      </c>
      <c r="H1910" t="s">
        <v>18</v>
      </c>
      <c r="I1910" t="s">
        <v>16</v>
      </c>
      <c r="J1910" t="s">
        <v>15</v>
      </c>
    </row>
    <row r="1911" spans="1:10" x14ac:dyDescent="0.25">
      <c r="A1911">
        <v>1910</v>
      </c>
      <c r="B1911" s="1">
        <v>45374</v>
      </c>
      <c r="C1911" t="s">
        <v>22</v>
      </c>
      <c r="D1911" t="s">
        <v>20</v>
      </c>
      <c r="E1911">
        <v>26</v>
      </c>
      <c r="F1911">
        <v>56</v>
      </c>
      <c r="G1911">
        <v>8.6</v>
      </c>
      <c r="H1911" t="s">
        <v>12</v>
      </c>
      <c r="I1911" t="s">
        <v>13</v>
      </c>
      <c r="J1911" t="s">
        <v>15</v>
      </c>
    </row>
    <row r="1912" spans="1:10" x14ac:dyDescent="0.25">
      <c r="A1912">
        <v>1911</v>
      </c>
      <c r="B1912" s="1">
        <v>45645</v>
      </c>
      <c r="C1912" t="s">
        <v>10</v>
      </c>
      <c r="D1912" t="s">
        <v>20</v>
      </c>
      <c r="E1912">
        <v>46</v>
      </c>
      <c r="F1912">
        <v>54</v>
      </c>
      <c r="G1912">
        <v>9.9</v>
      </c>
      <c r="H1912" t="s">
        <v>12</v>
      </c>
      <c r="I1912" t="s">
        <v>13</v>
      </c>
      <c r="J1912" t="s">
        <v>11</v>
      </c>
    </row>
    <row r="1913" spans="1:10" x14ac:dyDescent="0.25">
      <c r="A1913">
        <v>1912</v>
      </c>
      <c r="B1913" s="1">
        <v>45338</v>
      </c>
      <c r="C1913" t="s">
        <v>10</v>
      </c>
      <c r="D1913" t="s">
        <v>17</v>
      </c>
      <c r="E1913">
        <v>216</v>
      </c>
      <c r="F1913">
        <v>68</v>
      </c>
      <c r="G1913">
        <v>4</v>
      </c>
      <c r="H1913" t="s">
        <v>12</v>
      </c>
      <c r="I1913" t="s">
        <v>19</v>
      </c>
      <c r="J1913" t="s">
        <v>11</v>
      </c>
    </row>
    <row r="1914" spans="1:10" x14ac:dyDescent="0.25">
      <c r="A1914">
        <v>1913</v>
      </c>
      <c r="B1914" s="1">
        <v>45347</v>
      </c>
      <c r="C1914" t="s">
        <v>23</v>
      </c>
      <c r="D1914" t="s">
        <v>20</v>
      </c>
      <c r="E1914">
        <v>130</v>
      </c>
      <c r="F1914">
        <v>19</v>
      </c>
      <c r="G1914">
        <v>7.1</v>
      </c>
      <c r="H1914" t="s">
        <v>18</v>
      </c>
      <c r="I1914" t="s">
        <v>13</v>
      </c>
      <c r="J1914" t="s">
        <v>11</v>
      </c>
    </row>
    <row r="1915" spans="1:10" x14ac:dyDescent="0.25">
      <c r="A1915">
        <v>1914</v>
      </c>
      <c r="B1915" s="1">
        <v>45633</v>
      </c>
      <c r="C1915" t="s">
        <v>22</v>
      </c>
      <c r="D1915" t="s">
        <v>20</v>
      </c>
      <c r="E1915">
        <v>237</v>
      </c>
      <c r="F1915">
        <v>15</v>
      </c>
      <c r="G1915">
        <v>2.8</v>
      </c>
      <c r="H1915" t="s">
        <v>12</v>
      </c>
      <c r="I1915" t="s">
        <v>16</v>
      </c>
      <c r="J1915" t="s">
        <v>11</v>
      </c>
    </row>
    <row r="1916" spans="1:10" x14ac:dyDescent="0.25">
      <c r="A1916">
        <v>1915</v>
      </c>
      <c r="B1916" s="1">
        <v>45622</v>
      </c>
      <c r="C1916" t="s">
        <v>10</v>
      </c>
      <c r="D1916" t="s">
        <v>17</v>
      </c>
      <c r="E1916">
        <v>115</v>
      </c>
      <c r="F1916">
        <v>7</v>
      </c>
      <c r="G1916">
        <v>4.5</v>
      </c>
      <c r="H1916" t="s">
        <v>12</v>
      </c>
      <c r="I1916" t="s">
        <v>19</v>
      </c>
      <c r="J1916" t="s">
        <v>11</v>
      </c>
    </row>
    <row r="1917" spans="1:10" x14ac:dyDescent="0.25">
      <c r="A1917">
        <v>1916</v>
      </c>
      <c r="B1917" s="1">
        <v>45347</v>
      </c>
      <c r="C1917" t="s">
        <v>14</v>
      </c>
      <c r="D1917" t="s">
        <v>15</v>
      </c>
      <c r="E1917">
        <v>232</v>
      </c>
      <c r="F1917">
        <v>59</v>
      </c>
      <c r="G1917">
        <v>7.6</v>
      </c>
      <c r="H1917" t="s">
        <v>18</v>
      </c>
      <c r="I1917" t="s">
        <v>19</v>
      </c>
      <c r="J1917" t="s">
        <v>15</v>
      </c>
    </row>
    <row r="1918" spans="1:10" x14ac:dyDescent="0.25">
      <c r="A1918">
        <v>1917</v>
      </c>
      <c r="B1918" s="1">
        <v>45468</v>
      </c>
      <c r="C1918" t="s">
        <v>14</v>
      </c>
      <c r="D1918" t="s">
        <v>15</v>
      </c>
      <c r="E1918">
        <v>175</v>
      </c>
      <c r="F1918">
        <v>5</v>
      </c>
      <c r="G1918">
        <v>6.9</v>
      </c>
      <c r="H1918" t="s">
        <v>12</v>
      </c>
      <c r="I1918" t="s">
        <v>16</v>
      </c>
      <c r="J1918" t="s">
        <v>15</v>
      </c>
    </row>
    <row r="1919" spans="1:10" x14ac:dyDescent="0.25">
      <c r="A1919">
        <v>1918</v>
      </c>
      <c r="B1919" s="1">
        <v>45371</v>
      </c>
      <c r="C1919" t="s">
        <v>10</v>
      </c>
      <c r="D1919" t="s">
        <v>15</v>
      </c>
      <c r="E1919">
        <v>181</v>
      </c>
      <c r="F1919">
        <v>66</v>
      </c>
      <c r="G1919">
        <v>5.3</v>
      </c>
      <c r="H1919" t="s">
        <v>18</v>
      </c>
      <c r="I1919" t="s">
        <v>19</v>
      </c>
      <c r="J1919" t="s">
        <v>15</v>
      </c>
    </row>
    <row r="1920" spans="1:10" x14ac:dyDescent="0.25">
      <c r="A1920">
        <v>1919</v>
      </c>
      <c r="B1920" s="1">
        <v>45419</v>
      </c>
      <c r="C1920" t="s">
        <v>10</v>
      </c>
      <c r="D1920" t="s">
        <v>11</v>
      </c>
      <c r="E1920">
        <v>128</v>
      </c>
      <c r="F1920">
        <v>20</v>
      </c>
      <c r="G1920">
        <v>9.1999999999999993</v>
      </c>
      <c r="H1920" t="s">
        <v>18</v>
      </c>
      <c r="I1920" t="s">
        <v>19</v>
      </c>
      <c r="J1920" t="s">
        <v>15</v>
      </c>
    </row>
    <row r="1921" spans="1:10" x14ac:dyDescent="0.25">
      <c r="A1921">
        <v>1920</v>
      </c>
      <c r="B1921" s="1">
        <v>45462</v>
      </c>
      <c r="C1921" t="s">
        <v>23</v>
      </c>
      <c r="D1921" t="s">
        <v>17</v>
      </c>
      <c r="E1921">
        <v>213</v>
      </c>
      <c r="F1921">
        <v>59</v>
      </c>
      <c r="G1921">
        <v>5</v>
      </c>
      <c r="H1921" t="s">
        <v>12</v>
      </c>
      <c r="I1921" t="s">
        <v>16</v>
      </c>
      <c r="J1921" t="s">
        <v>11</v>
      </c>
    </row>
    <row r="1922" spans="1:10" x14ac:dyDescent="0.25">
      <c r="A1922">
        <v>1921</v>
      </c>
      <c r="B1922" s="1">
        <v>45477</v>
      </c>
      <c r="C1922" t="s">
        <v>21</v>
      </c>
      <c r="D1922" t="s">
        <v>20</v>
      </c>
      <c r="E1922">
        <v>172</v>
      </c>
      <c r="F1922">
        <v>51</v>
      </c>
      <c r="G1922">
        <v>8.1</v>
      </c>
      <c r="H1922" t="s">
        <v>18</v>
      </c>
      <c r="I1922" t="s">
        <v>16</v>
      </c>
      <c r="J1922" t="s">
        <v>11</v>
      </c>
    </row>
    <row r="1923" spans="1:10" x14ac:dyDescent="0.25">
      <c r="A1923">
        <v>1922</v>
      </c>
      <c r="B1923" s="1">
        <v>45293</v>
      </c>
      <c r="C1923" t="s">
        <v>10</v>
      </c>
      <c r="D1923" t="s">
        <v>20</v>
      </c>
      <c r="E1923">
        <v>59</v>
      </c>
      <c r="F1923">
        <v>64</v>
      </c>
      <c r="G1923">
        <v>4.3</v>
      </c>
      <c r="H1923" t="s">
        <v>12</v>
      </c>
      <c r="I1923" t="s">
        <v>19</v>
      </c>
      <c r="J1923" t="s">
        <v>11</v>
      </c>
    </row>
    <row r="1924" spans="1:10" x14ac:dyDescent="0.25">
      <c r="A1924">
        <v>1923</v>
      </c>
      <c r="B1924" s="1">
        <v>45528</v>
      </c>
      <c r="C1924" t="s">
        <v>14</v>
      </c>
      <c r="D1924" t="s">
        <v>15</v>
      </c>
      <c r="E1924">
        <v>239</v>
      </c>
      <c r="F1924">
        <v>44</v>
      </c>
      <c r="G1924">
        <v>6.9</v>
      </c>
      <c r="H1924" t="s">
        <v>18</v>
      </c>
      <c r="I1924" t="s">
        <v>16</v>
      </c>
      <c r="J1924" t="s">
        <v>15</v>
      </c>
    </row>
    <row r="1925" spans="1:10" x14ac:dyDescent="0.25">
      <c r="A1925">
        <v>1924</v>
      </c>
      <c r="B1925" s="1">
        <v>45536</v>
      </c>
      <c r="C1925" t="s">
        <v>10</v>
      </c>
      <c r="D1925" t="s">
        <v>17</v>
      </c>
      <c r="E1925">
        <v>239</v>
      </c>
      <c r="F1925">
        <v>34</v>
      </c>
      <c r="G1925">
        <v>2.2000000000000002</v>
      </c>
      <c r="H1925" t="s">
        <v>12</v>
      </c>
      <c r="I1925" t="s">
        <v>19</v>
      </c>
      <c r="J1925" t="s">
        <v>11</v>
      </c>
    </row>
    <row r="1926" spans="1:10" x14ac:dyDescent="0.25">
      <c r="A1926">
        <v>1925</v>
      </c>
      <c r="B1926" s="1">
        <v>45434</v>
      </c>
      <c r="C1926" t="s">
        <v>22</v>
      </c>
      <c r="D1926" t="s">
        <v>20</v>
      </c>
      <c r="E1926">
        <v>236</v>
      </c>
      <c r="F1926">
        <v>18</v>
      </c>
      <c r="G1926">
        <v>8.9</v>
      </c>
      <c r="H1926" t="s">
        <v>18</v>
      </c>
      <c r="I1926" t="s">
        <v>19</v>
      </c>
      <c r="J1926" t="s">
        <v>11</v>
      </c>
    </row>
    <row r="1927" spans="1:10" x14ac:dyDescent="0.25">
      <c r="A1927">
        <v>1926</v>
      </c>
      <c r="B1927" s="1">
        <v>45403</v>
      </c>
      <c r="C1927" t="s">
        <v>21</v>
      </c>
      <c r="D1927" t="s">
        <v>11</v>
      </c>
      <c r="E1927">
        <v>160</v>
      </c>
      <c r="F1927">
        <v>72</v>
      </c>
      <c r="G1927">
        <v>8.1999999999999993</v>
      </c>
      <c r="H1927" t="s">
        <v>12</v>
      </c>
      <c r="I1927" t="s">
        <v>13</v>
      </c>
      <c r="J1927" t="s">
        <v>11</v>
      </c>
    </row>
    <row r="1928" spans="1:10" x14ac:dyDescent="0.25">
      <c r="A1928">
        <v>1927</v>
      </c>
      <c r="B1928" s="1">
        <v>45364</v>
      </c>
      <c r="C1928" t="s">
        <v>14</v>
      </c>
      <c r="D1928" t="s">
        <v>20</v>
      </c>
      <c r="E1928">
        <v>223</v>
      </c>
      <c r="F1928">
        <v>39</v>
      </c>
      <c r="G1928">
        <v>1.1000000000000001</v>
      </c>
      <c r="H1928" t="s">
        <v>12</v>
      </c>
      <c r="I1928" t="s">
        <v>13</v>
      </c>
      <c r="J1928" t="s">
        <v>11</v>
      </c>
    </row>
    <row r="1929" spans="1:10" x14ac:dyDescent="0.25">
      <c r="A1929">
        <v>1928</v>
      </c>
      <c r="B1929" s="1">
        <v>45599</v>
      </c>
      <c r="C1929" t="s">
        <v>14</v>
      </c>
      <c r="D1929" t="s">
        <v>20</v>
      </c>
      <c r="E1929">
        <v>159</v>
      </c>
      <c r="F1929">
        <v>51</v>
      </c>
      <c r="G1929">
        <v>8.8000000000000007</v>
      </c>
      <c r="H1929" t="s">
        <v>18</v>
      </c>
      <c r="I1929" t="s">
        <v>13</v>
      </c>
      <c r="J1929" t="s">
        <v>11</v>
      </c>
    </row>
    <row r="1930" spans="1:10" x14ac:dyDescent="0.25">
      <c r="A1930">
        <v>1929</v>
      </c>
      <c r="B1930" s="1">
        <v>45337</v>
      </c>
      <c r="C1930" t="s">
        <v>10</v>
      </c>
      <c r="D1930" t="s">
        <v>15</v>
      </c>
      <c r="E1930">
        <v>100</v>
      </c>
      <c r="F1930">
        <v>36</v>
      </c>
      <c r="G1930">
        <v>4.4000000000000004</v>
      </c>
      <c r="H1930" t="s">
        <v>18</v>
      </c>
      <c r="I1930" t="s">
        <v>13</v>
      </c>
      <c r="J1930" t="s">
        <v>11</v>
      </c>
    </row>
    <row r="1931" spans="1:10" x14ac:dyDescent="0.25">
      <c r="A1931">
        <v>1930</v>
      </c>
      <c r="B1931" s="1">
        <v>45545</v>
      </c>
      <c r="C1931" t="s">
        <v>22</v>
      </c>
      <c r="D1931" t="s">
        <v>17</v>
      </c>
      <c r="E1931">
        <v>99</v>
      </c>
      <c r="F1931">
        <v>10</v>
      </c>
      <c r="G1931">
        <v>0.7</v>
      </c>
      <c r="H1931" t="s">
        <v>18</v>
      </c>
      <c r="I1931" t="s">
        <v>13</v>
      </c>
      <c r="J1931" t="s">
        <v>11</v>
      </c>
    </row>
    <row r="1932" spans="1:10" x14ac:dyDescent="0.25">
      <c r="A1932">
        <v>1931</v>
      </c>
      <c r="B1932" s="1">
        <v>45609</v>
      </c>
      <c r="C1932" t="s">
        <v>21</v>
      </c>
      <c r="D1932" t="s">
        <v>20</v>
      </c>
      <c r="E1932">
        <v>162</v>
      </c>
      <c r="F1932">
        <v>41</v>
      </c>
      <c r="G1932">
        <v>8.1</v>
      </c>
      <c r="H1932" t="s">
        <v>18</v>
      </c>
      <c r="I1932" t="s">
        <v>13</v>
      </c>
      <c r="J1932" t="s">
        <v>11</v>
      </c>
    </row>
    <row r="1933" spans="1:10" x14ac:dyDescent="0.25">
      <c r="A1933">
        <v>1932</v>
      </c>
      <c r="B1933" s="1">
        <v>45399</v>
      </c>
      <c r="C1933" t="s">
        <v>21</v>
      </c>
      <c r="D1933" t="s">
        <v>17</v>
      </c>
      <c r="E1933">
        <v>156</v>
      </c>
      <c r="F1933">
        <v>2</v>
      </c>
      <c r="G1933">
        <v>4.4000000000000004</v>
      </c>
      <c r="H1933" t="s">
        <v>18</v>
      </c>
      <c r="I1933" t="s">
        <v>13</v>
      </c>
      <c r="J1933" t="s">
        <v>15</v>
      </c>
    </row>
    <row r="1934" spans="1:10" x14ac:dyDescent="0.25">
      <c r="A1934">
        <v>1933</v>
      </c>
      <c r="B1934" s="1">
        <v>45629</v>
      </c>
      <c r="C1934" t="s">
        <v>14</v>
      </c>
      <c r="D1934" t="s">
        <v>15</v>
      </c>
      <c r="E1934">
        <v>45</v>
      </c>
      <c r="F1934">
        <v>24</v>
      </c>
      <c r="G1934">
        <v>3.7</v>
      </c>
      <c r="H1934" t="s">
        <v>18</v>
      </c>
      <c r="I1934" t="s">
        <v>19</v>
      </c>
      <c r="J1934" t="s">
        <v>11</v>
      </c>
    </row>
    <row r="1935" spans="1:10" x14ac:dyDescent="0.25">
      <c r="A1935">
        <v>1934</v>
      </c>
      <c r="B1935" s="1">
        <v>45468</v>
      </c>
      <c r="C1935" t="s">
        <v>21</v>
      </c>
      <c r="D1935" t="s">
        <v>20</v>
      </c>
      <c r="E1935">
        <v>177</v>
      </c>
      <c r="F1935">
        <v>30</v>
      </c>
      <c r="G1935">
        <v>5</v>
      </c>
      <c r="H1935" t="s">
        <v>12</v>
      </c>
      <c r="I1935" t="s">
        <v>13</v>
      </c>
      <c r="J1935" t="s">
        <v>11</v>
      </c>
    </row>
    <row r="1936" spans="1:10" x14ac:dyDescent="0.25">
      <c r="A1936">
        <v>1935</v>
      </c>
      <c r="B1936" s="1">
        <v>45511</v>
      </c>
      <c r="C1936" t="s">
        <v>21</v>
      </c>
      <c r="D1936" t="s">
        <v>15</v>
      </c>
      <c r="E1936">
        <v>62</v>
      </c>
      <c r="F1936">
        <v>51</v>
      </c>
      <c r="G1936">
        <v>8.1999999999999993</v>
      </c>
      <c r="H1936" t="s">
        <v>18</v>
      </c>
      <c r="I1936" t="s">
        <v>13</v>
      </c>
      <c r="J1936" t="s">
        <v>15</v>
      </c>
    </row>
    <row r="1937" spans="1:10" x14ac:dyDescent="0.25">
      <c r="A1937">
        <v>1936</v>
      </c>
      <c r="B1937" s="1">
        <v>45415</v>
      </c>
      <c r="C1937" t="s">
        <v>21</v>
      </c>
      <c r="D1937" t="s">
        <v>15</v>
      </c>
      <c r="E1937">
        <v>201</v>
      </c>
      <c r="F1937">
        <v>50</v>
      </c>
      <c r="G1937">
        <v>5.9</v>
      </c>
      <c r="H1937" t="s">
        <v>12</v>
      </c>
      <c r="I1937" t="s">
        <v>13</v>
      </c>
      <c r="J1937" t="s">
        <v>11</v>
      </c>
    </row>
    <row r="1938" spans="1:10" x14ac:dyDescent="0.25">
      <c r="A1938">
        <v>1937</v>
      </c>
      <c r="B1938" s="1">
        <v>45610</v>
      </c>
      <c r="C1938" t="s">
        <v>14</v>
      </c>
      <c r="D1938" t="s">
        <v>17</v>
      </c>
      <c r="E1938">
        <v>135</v>
      </c>
      <c r="F1938">
        <v>13</v>
      </c>
      <c r="G1938">
        <v>0.7</v>
      </c>
      <c r="H1938" t="s">
        <v>12</v>
      </c>
      <c r="I1938" t="s">
        <v>16</v>
      </c>
      <c r="J1938" t="s">
        <v>11</v>
      </c>
    </row>
    <row r="1939" spans="1:10" x14ac:dyDescent="0.25">
      <c r="A1939">
        <v>1938</v>
      </c>
      <c r="B1939" s="1">
        <v>45539</v>
      </c>
      <c r="C1939" t="s">
        <v>10</v>
      </c>
      <c r="D1939" t="s">
        <v>20</v>
      </c>
      <c r="E1939">
        <v>57</v>
      </c>
      <c r="F1939">
        <v>50</v>
      </c>
      <c r="G1939">
        <v>1.5</v>
      </c>
      <c r="H1939" t="s">
        <v>18</v>
      </c>
      <c r="I1939" t="s">
        <v>16</v>
      </c>
      <c r="J1939" t="s">
        <v>11</v>
      </c>
    </row>
    <row r="1940" spans="1:10" x14ac:dyDescent="0.25">
      <c r="A1940">
        <v>1939</v>
      </c>
      <c r="B1940" s="1">
        <v>45337</v>
      </c>
      <c r="C1940" t="s">
        <v>14</v>
      </c>
      <c r="D1940" t="s">
        <v>20</v>
      </c>
      <c r="E1940">
        <v>167</v>
      </c>
      <c r="F1940">
        <v>29</v>
      </c>
      <c r="G1940">
        <v>0.9</v>
      </c>
      <c r="H1940" t="s">
        <v>18</v>
      </c>
      <c r="I1940" t="s">
        <v>19</v>
      </c>
      <c r="J1940" t="s">
        <v>11</v>
      </c>
    </row>
    <row r="1941" spans="1:10" x14ac:dyDescent="0.25">
      <c r="A1941">
        <v>1940</v>
      </c>
      <c r="B1941" s="1">
        <v>45604</v>
      </c>
      <c r="C1941" t="s">
        <v>21</v>
      </c>
      <c r="D1941" t="s">
        <v>20</v>
      </c>
      <c r="E1941">
        <v>173</v>
      </c>
      <c r="F1941">
        <v>27</v>
      </c>
      <c r="G1941">
        <v>2.1</v>
      </c>
      <c r="H1941" t="s">
        <v>18</v>
      </c>
      <c r="I1941" t="s">
        <v>13</v>
      </c>
      <c r="J1941" t="s">
        <v>11</v>
      </c>
    </row>
    <row r="1942" spans="1:10" x14ac:dyDescent="0.25">
      <c r="A1942">
        <v>1941</v>
      </c>
      <c r="B1942" s="1">
        <v>45603</v>
      </c>
      <c r="C1942" t="s">
        <v>10</v>
      </c>
      <c r="D1942" t="s">
        <v>11</v>
      </c>
      <c r="E1942">
        <v>58</v>
      </c>
      <c r="F1942">
        <v>20</v>
      </c>
      <c r="G1942">
        <v>10</v>
      </c>
      <c r="H1942" t="s">
        <v>18</v>
      </c>
      <c r="I1942" t="s">
        <v>19</v>
      </c>
      <c r="J1942" t="s">
        <v>15</v>
      </c>
    </row>
    <row r="1943" spans="1:10" x14ac:dyDescent="0.25">
      <c r="A1943">
        <v>1942</v>
      </c>
      <c r="B1943" s="1">
        <v>45296</v>
      </c>
      <c r="C1943" t="s">
        <v>22</v>
      </c>
      <c r="D1943" t="s">
        <v>20</v>
      </c>
      <c r="E1943">
        <v>212</v>
      </c>
      <c r="F1943">
        <v>22</v>
      </c>
      <c r="G1943">
        <v>1.3</v>
      </c>
      <c r="H1943" t="s">
        <v>12</v>
      </c>
      <c r="I1943" t="s">
        <v>16</v>
      </c>
      <c r="J1943" t="s">
        <v>11</v>
      </c>
    </row>
    <row r="1944" spans="1:10" x14ac:dyDescent="0.25">
      <c r="A1944">
        <v>1943</v>
      </c>
      <c r="B1944" s="1">
        <v>45418</v>
      </c>
      <c r="C1944" t="s">
        <v>23</v>
      </c>
      <c r="D1944" t="s">
        <v>15</v>
      </c>
      <c r="E1944">
        <v>37</v>
      </c>
      <c r="F1944">
        <v>41</v>
      </c>
      <c r="G1944">
        <v>0.9</v>
      </c>
      <c r="H1944" t="s">
        <v>18</v>
      </c>
      <c r="I1944" t="s">
        <v>16</v>
      </c>
      <c r="J1944" t="s">
        <v>11</v>
      </c>
    </row>
    <row r="1945" spans="1:10" x14ac:dyDescent="0.25">
      <c r="A1945">
        <v>1944</v>
      </c>
      <c r="B1945" s="1">
        <v>45302</v>
      </c>
      <c r="C1945" t="s">
        <v>14</v>
      </c>
      <c r="D1945" t="s">
        <v>17</v>
      </c>
      <c r="E1945">
        <v>48</v>
      </c>
      <c r="F1945">
        <v>2</v>
      </c>
      <c r="G1945">
        <v>2.2999999999999998</v>
      </c>
      <c r="H1945" t="s">
        <v>12</v>
      </c>
      <c r="I1945" t="s">
        <v>13</v>
      </c>
      <c r="J1945" t="s">
        <v>11</v>
      </c>
    </row>
    <row r="1946" spans="1:10" x14ac:dyDescent="0.25">
      <c r="A1946">
        <v>1945</v>
      </c>
      <c r="B1946" s="1">
        <v>45471</v>
      </c>
      <c r="C1946" t="s">
        <v>22</v>
      </c>
      <c r="D1946" t="s">
        <v>17</v>
      </c>
      <c r="E1946">
        <v>161</v>
      </c>
      <c r="F1946">
        <v>26</v>
      </c>
      <c r="G1946">
        <v>0.9</v>
      </c>
      <c r="H1946" t="s">
        <v>12</v>
      </c>
      <c r="I1946" t="s">
        <v>16</v>
      </c>
      <c r="J1946" t="s">
        <v>11</v>
      </c>
    </row>
    <row r="1947" spans="1:10" x14ac:dyDescent="0.25">
      <c r="A1947">
        <v>1946</v>
      </c>
      <c r="B1947" s="1">
        <v>45452</v>
      </c>
      <c r="C1947" t="s">
        <v>14</v>
      </c>
      <c r="D1947" t="s">
        <v>20</v>
      </c>
      <c r="E1947">
        <v>96</v>
      </c>
      <c r="F1947">
        <v>20</v>
      </c>
      <c r="G1947">
        <v>7</v>
      </c>
      <c r="H1947" t="s">
        <v>18</v>
      </c>
      <c r="I1947" t="s">
        <v>13</v>
      </c>
      <c r="J1947" t="s">
        <v>11</v>
      </c>
    </row>
    <row r="1948" spans="1:10" x14ac:dyDescent="0.25">
      <c r="A1948">
        <v>1947</v>
      </c>
      <c r="B1948" s="1">
        <v>45365</v>
      </c>
      <c r="C1948" t="s">
        <v>22</v>
      </c>
      <c r="D1948" t="s">
        <v>17</v>
      </c>
      <c r="E1948">
        <v>222</v>
      </c>
      <c r="F1948">
        <v>13</v>
      </c>
      <c r="G1948">
        <v>5.2</v>
      </c>
      <c r="H1948" t="s">
        <v>12</v>
      </c>
      <c r="I1948" t="s">
        <v>13</v>
      </c>
      <c r="J1948" t="s">
        <v>11</v>
      </c>
    </row>
    <row r="1949" spans="1:10" x14ac:dyDescent="0.25">
      <c r="A1949">
        <v>1948</v>
      </c>
      <c r="B1949" s="1">
        <v>45636</v>
      </c>
      <c r="C1949" t="s">
        <v>21</v>
      </c>
      <c r="D1949" t="s">
        <v>17</v>
      </c>
      <c r="E1949">
        <v>126</v>
      </c>
      <c r="F1949">
        <v>1</v>
      </c>
      <c r="G1949">
        <v>7.2</v>
      </c>
      <c r="H1949" t="s">
        <v>18</v>
      </c>
      <c r="I1949" t="s">
        <v>13</v>
      </c>
      <c r="J1949" t="s">
        <v>15</v>
      </c>
    </row>
    <row r="1950" spans="1:10" x14ac:dyDescent="0.25">
      <c r="A1950">
        <v>1949</v>
      </c>
      <c r="B1950" s="1">
        <v>45612</v>
      </c>
      <c r="C1950" t="s">
        <v>22</v>
      </c>
      <c r="D1950" t="s">
        <v>17</v>
      </c>
      <c r="E1950">
        <v>169</v>
      </c>
      <c r="F1950">
        <v>49</v>
      </c>
      <c r="G1950">
        <v>2.4</v>
      </c>
      <c r="H1950" t="s">
        <v>18</v>
      </c>
      <c r="I1950" t="s">
        <v>13</v>
      </c>
      <c r="J1950" t="s">
        <v>11</v>
      </c>
    </row>
    <row r="1951" spans="1:10" x14ac:dyDescent="0.25">
      <c r="A1951">
        <v>1950</v>
      </c>
      <c r="B1951" s="1">
        <v>45346</v>
      </c>
      <c r="C1951" t="s">
        <v>21</v>
      </c>
      <c r="D1951" t="s">
        <v>17</v>
      </c>
      <c r="E1951">
        <v>220</v>
      </c>
      <c r="F1951">
        <v>57</v>
      </c>
      <c r="G1951">
        <v>5.7</v>
      </c>
      <c r="H1951" t="s">
        <v>18</v>
      </c>
      <c r="I1951" t="s">
        <v>16</v>
      </c>
      <c r="J1951" t="s">
        <v>11</v>
      </c>
    </row>
    <row r="1952" spans="1:10" x14ac:dyDescent="0.25">
      <c r="A1952">
        <v>1951</v>
      </c>
      <c r="B1952" s="1">
        <v>45505</v>
      </c>
      <c r="C1952" t="s">
        <v>10</v>
      </c>
      <c r="D1952" t="s">
        <v>20</v>
      </c>
      <c r="E1952">
        <v>232</v>
      </c>
      <c r="F1952">
        <v>63</v>
      </c>
      <c r="G1952">
        <v>9.4</v>
      </c>
      <c r="H1952" t="s">
        <v>12</v>
      </c>
      <c r="I1952" t="s">
        <v>19</v>
      </c>
      <c r="J1952" t="s">
        <v>11</v>
      </c>
    </row>
    <row r="1953" spans="1:10" x14ac:dyDescent="0.25">
      <c r="A1953">
        <v>1952</v>
      </c>
      <c r="B1953" s="1">
        <v>45387</v>
      </c>
      <c r="C1953" t="s">
        <v>22</v>
      </c>
      <c r="D1953" t="s">
        <v>15</v>
      </c>
      <c r="E1953">
        <v>151</v>
      </c>
      <c r="F1953">
        <v>42</v>
      </c>
      <c r="G1953">
        <v>4</v>
      </c>
      <c r="H1953" t="s">
        <v>12</v>
      </c>
      <c r="I1953" t="s">
        <v>19</v>
      </c>
      <c r="J1953" t="s">
        <v>11</v>
      </c>
    </row>
    <row r="1954" spans="1:10" x14ac:dyDescent="0.25">
      <c r="A1954">
        <v>1953</v>
      </c>
      <c r="B1954" s="1">
        <v>45583</v>
      </c>
      <c r="C1954" t="s">
        <v>22</v>
      </c>
      <c r="D1954" t="s">
        <v>20</v>
      </c>
      <c r="E1954">
        <v>86</v>
      </c>
      <c r="F1954">
        <v>56</v>
      </c>
      <c r="G1954">
        <v>1.5</v>
      </c>
      <c r="H1954" t="s">
        <v>18</v>
      </c>
      <c r="I1954" t="s">
        <v>19</v>
      </c>
      <c r="J1954" t="s">
        <v>11</v>
      </c>
    </row>
    <row r="1955" spans="1:10" x14ac:dyDescent="0.25">
      <c r="A1955">
        <v>1954</v>
      </c>
      <c r="B1955" s="1">
        <v>45296</v>
      </c>
      <c r="C1955" t="s">
        <v>22</v>
      </c>
      <c r="D1955" t="s">
        <v>15</v>
      </c>
      <c r="E1955">
        <v>178</v>
      </c>
      <c r="F1955">
        <v>17</v>
      </c>
      <c r="G1955">
        <v>9.5</v>
      </c>
      <c r="H1955" t="s">
        <v>12</v>
      </c>
      <c r="I1955" t="s">
        <v>19</v>
      </c>
      <c r="J1955" t="s">
        <v>11</v>
      </c>
    </row>
    <row r="1956" spans="1:10" x14ac:dyDescent="0.25">
      <c r="A1956">
        <v>1955</v>
      </c>
      <c r="B1956" s="1">
        <v>45300</v>
      </c>
      <c r="C1956" t="s">
        <v>21</v>
      </c>
      <c r="D1956" t="s">
        <v>15</v>
      </c>
      <c r="E1956">
        <v>164</v>
      </c>
      <c r="F1956">
        <v>39</v>
      </c>
      <c r="G1956">
        <v>4</v>
      </c>
      <c r="H1956" t="s">
        <v>12</v>
      </c>
      <c r="I1956" t="s">
        <v>16</v>
      </c>
      <c r="J1956" t="s">
        <v>11</v>
      </c>
    </row>
    <row r="1957" spans="1:10" x14ac:dyDescent="0.25">
      <c r="A1957">
        <v>1956</v>
      </c>
      <c r="B1957" s="1">
        <v>45489</v>
      </c>
      <c r="C1957" t="s">
        <v>10</v>
      </c>
      <c r="D1957" t="s">
        <v>15</v>
      </c>
      <c r="E1957">
        <v>176</v>
      </c>
      <c r="F1957">
        <v>14</v>
      </c>
      <c r="G1957">
        <v>7.8</v>
      </c>
      <c r="H1957" t="s">
        <v>12</v>
      </c>
      <c r="I1957" t="s">
        <v>13</v>
      </c>
      <c r="J1957" t="s">
        <v>11</v>
      </c>
    </row>
    <row r="1958" spans="1:10" x14ac:dyDescent="0.25">
      <c r="A1958">
        <v>1957</v>
      </c>
      <c r="B1958" s="1">
        <v>45557</v>
      </c>
      <c r="C1958" t="s">
        <v>10</v>
      </c>
      <c r="D1958" t="s">
        <v>20</v>
      </c>
      <c r="E1958">
        <v>77</v>
      </c>
      <c r="F1958">
        <v>45</v>
      </c>
      <c r="G1958">
        <v>3.2</v>
      </c>
      <c r="H1958" t="s">
        <v>12</v>
      </c>
      <c r="I1958" t="s">
        <v>13</v>
      </c>
      <c r="J1958" t="s">
        <v>11</v>
      </c>
    </row>
    <row r="1959" spans="1:10" x14ac:dyDescent="0.25">
      <c r="A1959">
        <v>1958</v>
      </c>
      <c r="B1959" s="1">
        <v>45449</v>
      </c>
      <c r="C1959" t="s">
        <v>22</v>
      </c>
      <c r="D1959" t="s">
        <v>15</v>
      </c>
      <c r="E1959">
        <v>65</v>
      </c>
      <c r="F1959">
        <v>32</v>
      </c>
      <c r="G1959">
        <v>7.8</v>
      </c>
      <c r="H1959" t="s">
        <v>18</v>
      </c>
      <c r="I1959" t="s">
        <v>19</v>
      </c>
      <c r="J1959" t="s">
        <v>15</v>
      </c>
    </row>
    <row r="1960" spans="1:10" x14ac:dyDescent="0.25">
      <c r="A1960">
        <v>1959</v>
      </c>
      <c r="B1960" s="1">
        <v>45561</v>
      </c>
      <c r="C1960" t="s">
        <v>14</v>
      </c>
      <c r="D1960" t="s">
        <v>11</v>
      </c>
      <c r="E1960">
        <v>197</v>
      </c>
      <c r="F1960">
        <v>12</v>
      </c>
      <c r="G1960">
        <v>4.5999999999999996</v>
      </c>
      <c r="H1960" t="s">
        <v>18</v>
      </c>
      <c r="I1960" t="s">
        <v>19</v>
      </c>
      <c r="J1960" t="s">
        <v>11</v>
      </c>
    </row>
    <row r="1961" spans="1:10" x14ac:dyDescent="0.25">
      <c r="A1961">
        <v>1960</v>
      </c>
      <c r="B1961" s="1">
        <v>45358</v>
      </c>
      <c r="C1961" t="s">
        <v>14</v>
      </c>
      <c r="D1961" t="s">
        <v>17</v>
      </c>
      <c r="E1961">
        <v>60</v>
      </c>
      <c r="F1961">
        <v>18</v>
      </c>
      <c r="G1961">
        <v>2.1</v>
      </c>
      <c r="H1961" t="s">
        <v>18</v>
      </c>
      <c r="I1961" t="s">
        <v>13</v>
      </c>
      <c r="J1961" t="s">
        <v>11</v>
      </c>
    </row>
    <row r="1962" spans="1:10" x14ac:dyDescent="0.25">
      <c r="A1962">
        <v>1961</v>
      </c>
      <c r="B1962" s="1">
        <v>45335</v>
      </c>
      <c r="C1962" t="s">
        <v>10</v>
      </c>
      <c r="D1962" t="s">
        <v>11</v>
      </c>
      <c r="E1962">
        <v>222</v>
      </c>
      <c r="F1962">
        <v>42</v>
      </c>
      <c r="G1962">
        <v>0.8</v>
      </c>
      <c r="H1962" t="s">
        <v>12</v>
      </c>
      <c r="I1962" t="s">
        <v>19</v>
      </c>
      <c r="J1962" t="s">
        <v>11</v>
      </c>
    </row>
    <row r="1963" spans="1:10" x14ac:dyDescent="0.25">
      <c r="A1963">
        <v>1962</v>
      </c>
      <c r="B1963" s="1">
        <v>45496</v>
      </c>
      <c r="C1963" t="s">
        <v>14</v>
      </c>
      <c r="D1963" t="s">
        <v>11</v>
      </c>
      <c r="E1963">
        <v>121</v>
      </c>
      <c r="F1963">
        <v>69</v>
      </c>
      <c r="G1963">
        <v>5.7</v>
      </c>
      <c r="H1963" t="s">
        <v>18</v>
      </c>
      <c r="I1963" t="s">
        <v>16</v>
      </c>
      <c r="J1963" t="s">
        <v>15</v>
      </c>
    </row>
    <row r="1964" spans="1:10" x14ac:dyDescent="0.25">
      <c r="A1964">
        <v>1963</v>
      </c>
      <c r="B1964" s="1">
        <v>45439</v>
      </c>
      <c r="C1964" t="s">
        <v>14</v>
      </c>
      <c r="D1964" t="s">
        <v>20</v>
      </c>
      <c r="E1964">
        <v>116</v>
      </c>
      <c r="F1964">
        <v>50</v>
      </c>
      <c r="G1964">
        <v>3.4</v>
      </c>
      <c r="H1964" t="s">
        <v>12</v>
      </c>
      <c r="I1964" t="s">
        <v>16</v>
      </c>
      <c r="J1964" t="s">
        <v>11</v>
      </c>
    </row>
    <row r="1965" spans="1:10" x14ac:dyDescent="0.25">
      <c r="A1965">
        <v>1964</v>
      </c>
      <c r="B1965" s="1">
        <v>45305</v>
      </c>
      <c r="C1965" t="s">
        <v>21</v>
      </c>
      <c r="D1965" t="s">
        <v>11</v>
      </c>
      <c r="E1965">
        <v>11</v>
      </c>
      <c r="F1965">
        <v>31</v>
      </c>
      <c r="G1965">
        <v>2.4</v>
      </c>
      <c r="H1965" t="s">
        <v>12</v>
      </c>
      <c r="I1965" t="s">
        <v>19</v>
      </c>
      <c r="J1965" t="s">
        <v>15</v>
      </c>
    </row>
    <row r="1966" spans="1:10" x14ac:dyDescent="0.25">
      <c r="A1966">
        <v>1965</v>
      </c>
      <c r="B1966" s="1">
        <v>45572</v>
      </c>
      <c r="C1966" t="s">
        <v>22</v>
      </c>
      <c r="D1966" t="s">
        <v>15</v>
      </c>
      <c r="E1966">
        <v>84</v>
      </c>
      <c r="F1966">
        <v>4</v>
      </c>
      <c r="G1966">
        <v>2.6</v>
      </c>
      <c r="H1966" t="s">
        <v>12</v>
      </c>
      <c r="I1966" t="s">
        <v>19</v>
      </c>
      <c r="J1966" t="s">
        <v>15</v>
      </c>
    </row>
    <row r="1967" spans="1:10" x14ac:dyDescent="0.25">
      <c r="A1967">
        <v>1966</v>
      </c>
      <c r="B1967" s="1">
        <v>45639</v>
      </c>
      <c r="C1967" t="s">
        <v>10</v>
      </c>
      <c r="D1967" t="s">
        <v>11</v>
      </c>
      <c r="E1967">
        <v>178</v>
      </c>
      <c r="F1967">
        <v>63</v>
      </c>
      <c r="G1967">
        <v>4.5999999999999996</v>
      </c>
      <c r="H1967" t="s">
        <v>18</v>
      </c>
      <c r="I1967" t="s">
        <v>13</v>
      </c>
      <c r="J1967" t="s">
        <v>11</v>
      </c>
    </row>
    <row r="1968" spans="1:10" x14ac:dyDescent="0.25">
      <c r="A1968">
        <v>1967</v>
      </c>
      <c r="B1968" s="1">
        <v>45574</v>
      </c>
      <c r="C1968" t="s">
        <v>14</v>
      </c>
      <c r="D1968" t="s">
        <v>11</v>
      </c>
      <c r="E1968">
        <v>151</v>
      </c>
      <c r="F1968">
        <v>42</v>
      </c>
      <c r="G1968">
        <v>4.3</v>
      </c>
      <c r="H1968" t="s">
        <v>12</v>
      </c>
      <c r="I1968" t="s">
        <v>19</v>
      </c>
      <c r="J1968" t="s">
        <v>11</v>
      </c>
    </row>
    <row r="1969" spans="1:10" x14ac:dyDescent="0.25">
      <c r="A1969">
        <v>1968</v>
      </c>
      <c r="B1969" s="1">
        <v>45505</v>
      </c>
      <c r="C1969" t="s">
        <v>22</v>
      </c>
      <c r="D1969" t="s">
        <v>20</v>
      </c>
      <c r="E1969">
        <v>149</v>
      </c>
      <c r="F1969">
        <v>15</v>
      </c>
      <c r="G1969">
        <v>1.5</v>
      </c>
      <c r="H1969" t="s">
        <v>12</v>
      </c>
      <c r="I1969" t="s">
        <v>19</v>
      </c>
      <c r="J1969" t="s">
        <v>11</v>
      </c>
    </row>
    <row r="1970" spans="1:10" x14ac:dyDescent="0.25">
      <c r="A1970">
        <v>1969</v>
      </c>
      <c r="B1970" s="1">
        <v>45477</v>
      </c>
      <c r="C1970" t="s">
        <v>14</v>
      </c>
      <c r="D1970" t="s">
        <v>20</v>
      </c>
      <c r="E1970">
        <v>168</v>
      </c>
      <c r="F1970">
        <v>16</v>
      </c>
      <c r="G1970">
        <v>0.9</v>
      </c>
      <c r="H1970" t="s">
        <v>12</v>
      </c>
      <c r="I1970" t="s">
        <v>13</v>
      </c>
      <c r="J1970" t="s">
        <v>11</v>
      </c>
    </row>
    <row r="1971" spans="1:10" x14ac:dyDescent="0.25">
      <c r="A1971">
        <v>1970</v>
      </c>
      <c r="B1971" s="1">
        <v>45482</v>
      </c>
      <c r="C1971" t="s">
        <v>22</v>
      </c>
      <c r="D1971" t="s">
        <v>11</v>
      </c>
      <c r="E1971">
        <v>159</v>
      </c>
      <c r="F1971">
        <v>39</v>
      </c>
      <c r="G1971">
        <v>3.8</v>
      </c>
      <c r="H1971" t="s">
        <v>18</v>
      </c>
      <c r="I1971" t="s">
        <v>19</v>
      </c>
      <c r="J1971" t="s">
        <v>11</v>
      </c>
    </row>
    <row r="1972" spans="1:10" x14ac:dyDescent="0.25">
      <c r="A1972">
        <v>1971</v>
      </c>
      <c r="B1972" s="1">
        <v>45403</v>
      </c>
      <c r="C1972" t="s">
        <v>10</v>
      </c>
      <c r="D1972" t="s">
        <v>20</v>
      </c>
      <c r="E1972">
        <v>80</v>
      </c>
      <c r="F1972">
        <v>5</v>
      </c>
      <c r="G1972">
        <v>6</v>
      </c>
      <c r="H1972" t="s">
        <v>18</v>
      </c>
      <c r="I1972" t="s">
        <v>16</v>
      </c>
      <c r="J1972" t="s">
        <v>15</v>
      </c>
    </row>
    <row r="1973" spans="1:10" x14ac:dyDescent="0.25">
      <c r="A1973">
        <v>1972</v>
      </c>
      <c r="B1973" s="1">
        <v>45428</v>
      </c>
      <c r="C1973" t="s">
        <v>10</v>
      </c>
      <c r="D1973" t="s">
        <v>15</v>
      </c>
      <c r="E1973">
        <v>106</v>
      </c>
      <c r="F1973">
        <v>37</v>
      </c>
      <c r="G1973">
        <v>8.3000000000000007</v>
      </c>
      <c r="H1973" t="s">
        <v>18</v>
      </c>
      <c r="I1973" t="s">
        <v>13</v>
      </c>
      <c r="J1973" t="s">
        <v>15</v>
      </c>
    </row>
    <row r="1974" spans="1:10" x14ac:dyDescent="0.25">
      <c r="A1974">
        <v>1973</v>
      </c>
      <c r="B1974" s="1">
        <v>45335</v>
      </c>
      <c r="C1974" t="s">
        <v>14</v>
      </c>
      <c r="D1974" t="s">
        <v>20</v>
      </c>
      <c r="E1974">
        <v>101</v>
      </c>
      <c r="F1974">
        <v>61</v>
      </c>
      <c r="G1974">
        <v>3.7</v>
      </c>
      <c r="H1974" t="s">
        <v>18</v>
      </c>
      <c r="I1974" t="s">
        <v>16</v>
      </c>
      <c r="J1974" t="s">
        <v>11</v>
      </c>
    </row>
    <row r="1975" spans="1:10" x14ac:dyDescent="0.25">
      <c r="A1975">
        <v>1974</v>
      </c>
      <c r="B1975" s="1">
        <v>45619</v>
      </c>
      <c r="C1975" t="s">
        <v>22</v>
      </c>
      <c r="D1975" t="s">
        <v>15</v>
      </c>
      <c r="E1975">
        <v>215</v>
      </c>
      <c r="F1975">
        <v>57</v>
      </c>
      <c r="G1975">
        <v>5.3</v>
      </c>
      <c r="H1975" t="s">
        <v>18</v>
      </c>
      <c r="I1975" t="s">
        <v>16</v>
      </c>
      <c r="J1975" t="s">
        <v>15</v>
      </c>
    </row>
    <row r="1976" spans="1:10" x14ac:dyDescent="0.25">
      <c r="A1976">
        <v>1975</v>
      </c>
      <c r="B1976" s="1">
        <v>45638</v>
      </c>
      <c r="C1976" t="s">
        <v>10</v>
      </c>
      <c r="D1976" t="s">
        <v>11</v>
      </c>
      <c r="E1976">
        <v>192</v>
      </c>
      <c r="F1976">
        <v>19</v>
      </c>
      <c r="G1976">
        <v>4.3</v>
      </c>
      <c r="H1976" t="s">
        <v>12</v>
      </c>
      <c r="I1976" t="s">
        <v>13</v>
      </c>
      <c r="J1976" t="s">
        <v>11</v>
      </c>
    </row>
    <row r="1977" spans="1:10" x14ac:dyDescent="0.25">
      <c r="A1977">
        <v>1976</v>
      </c>
      <c r="B1977" s="1">
        <v>45426</v>
      </c>
      <c r="C1977" t="s">
        <v>23</v>
      </c>
      <c r="D1977" t="s">
        <v>20</v>
      </c>
      <c r="E1977">
        <v>102</v>
      </c>
      <c r="F1977">
        <v>19</v>
      </c>
      <c r="G1977">
        <v>2.7</v>
      </c>
      <c r="H1977" t="s">
        <v>12</v>
      </c>
      <c r="I1977" t="s">
        <v>19</v>
      </c>
      <c r="J1977" t="s">
        <v>11</v>
      </c>
    </row>
    <row r="1978" spans="1:10" x14ac:dyDescent="0.25">
      <c r="A1978">
        <v>1977</v>
      </c>
      <c r="B1978" s="1">
        <v>45498</v>
      </c>
      <c r="C1978" t="s">
        <v>10</v>
      </c>
      <c r="D1978" t="s">
        <v>15</v>
      </c>
      <c r="E1978">
        <v>89</v>
      </c>
      <c r="F1978">
        <v>50</v>
      </c>
      <c r="G1978">
        <v>6.2</v>
      </c>
      <c r="H1978" t="s">
        <v>12</v>
      </c>
      <c r="I1978" t="s">
        <v>19</v>
      </c>
      <c r="J1978" t="s">
        <v>11</v>
      </c>
    </row>
    <row r="1979" spans="1:10" x14ac:dyDescent="0.25">
      <c r="A1979">
        <v>1978</v>
      </c>
      <c r="B1979" s="1">
        <v>45350</v>
      </c>
      <c r="C1979" t="s">
        <v>23</v>
      </c>
      <c r="D1979" t="s">
        <v>17</v>
      </c>
      <c r="E1979">
        <v>42</v>
      </c>
      <c r="F1979">
        <v>47</v>
      </c>
      <c r="G1979">
        <v>6.4</v>
      </c>
      <c r="H1979" t="s">
        <v>12</v>
      </c>
      <c r="I1979" t="s">
        <v>19</v>
      </c>
      <c r="J1979" t="s">
        <v>11</v>
      </c>
    </row>
    <row r="1980" spans="1:10" x14ac:dyDescent="0.25">
      <c r="A1980">
        <v>1979</v>
      </c>
      <c r="B1980" s="1">
        <v>45613</v>
      </c>
      <c r="C1980" t="s">
        <v>21</v>
      </c>
      <c r="D1980" t="s">
        <v>20</v>
      </c>
      <c r="E1980">
        <v>229</v>
      </c>
      <c r="F1980">
        <v>66</v>
      </c>
      <c r="G1980">
        <v>3.7</v>
      </c>
      <c r="H1980" t="s">
        <v>12</v>
      </c>
      <c r="I1980" t="s">
        <v>19</v>
      </c>
      <c r="J1980" t="s">
        <v>11</v>
      </c>
    </row>
    <row r="1981" spans="1:10" x14ac:dyDescent="0.25">
      <c r="A1981">
        <v>1980</v>
      </c>
      <c r="B1981" s="1">
        <v>45296</v>
      </c>
      <c r="C1981" t="s">
        <v>21</v>
      </c>
      <c r="D1981" t="s">
        <v>17</v>
      </c>
      <c r="E1981">
        <v>82</v>
      </c>
      <c r="F1981">
        <v>19</v>
      </c>
      <c r="G1981">
        <v>7.8</v>
      </c>
      <c r="H1981" t="s">
        <v>18</v>
      </c>
      <c r="I1981" t="s">
        <v>13</v>
      </c>
      <c r="J1981" t="s">
        <v>11</v>
      </c>
    </row>
    <row r="1982" spans="1:10" x14ac:dyDescent="0.25">
      <c r="A1982">
        <v>1981</v>
      </c>
      <c r="B1982" s="1">
        <v>45622</v>
      </c>
      <c r="C1982" t="s">
        <v>21</v>
      </c>
      <c r="D1982" t="s">
        <v>20</v>
      </c>
      <c r="E1982">
        <v>159</v>
      </c>
      <c r="F1982">
        <v>15</v>
      </c>
      <c r="G1982">
        <v>9.6</v>
      </c>
      <c r="H1982" t="s">
        <v>12</v>
      </c>
      <c r="I1982" t="s">
        <v>19</v>
      </c>
      <c r="J1982" t="s">
        <v>11</v>
      </c>
    </row>
    <row r="1983" spans="1:10" x14ac:dyDescent="0.25">
      <c r="A1983">
        <v>1982</v>
      </c>
      <c r="B1983" s="1">
        <v>45517</v>
      </c>
      <c r="C1983" t="s">
        <v>10</v>
      </c>
      <c r="D1983" t="s">
        <v>17</v>
      </c>
      <c r="E1983">
        <v>155</v>
      </c>
      <c r="F1983">
        <v>35</v>
      </c>
      <c r="G1983">
        <v>2.4</v>
      </c>
      <c r="H1983" t="s">
        <v>18</v>
      </c>
      <c r="I1983" t="s">
        <v>16</v>
      </c>
      <c r="J1983" t="s">
        <v>11</v>
      </c>
    </row>
    <row r="1984" spans="1:10" x14ac:dyDescent="0.25">
      <c r="A1984">
        <v>1983</v>
      </c>
      <c r="B1984" s="1">
        <v>45462</v>
      </c>
      <c r="C1984" t="s">
        <v>23</v>
      </c>
      <c r="D1984" t="s">
        <v>15</v>
      </c>
      <c r="E1984">
        <v>160</v>
      </c>
      <c r="F1984">
        <v>16</v>
      </c>
      <c r="G1984">
        <v>5.9</v>
      </c>
      <c r="H1984" t="s">
        <v>12</v>
      </c>
      <c r="I1984" t="s">
        <v>19</v>
      </c>
      <c r="J1984" t="s">
        <v>11</v>
      </c>
    </row>
    <row r="1985" spans="1:10" x14ac:dyDescent="0.25">
      <c r="A1985">
        <v>1984</v>
      </c>
      <c r="B1985" s="1">
        <v>45582</v>
      </c>
      <c r="C1985" t="s">
        <v>14</v>
      </c>
      <c r="D1985" t="s">
        <v>11</v>
      </c>
      <c r="E1985">
        <v>205</v>
      </c>
      <c r="F1985">
        <v>33</v>
      </c>
      <c r="G1985">
        <v>4.8</v>
      </c>
      <c r="H1985" t="s">
        <v>12</v>
      </c>
      <c r="I1985" t="s">
        <v>19</v>
      </c>
      <c r="J1985" t="s">
        <v>11</v>
      </c>
    </row>
    <row r="1986" spans="1:10" x14ac:dyDescent="0.25">
      <c r="A1986">
        <v>1985</v>
      </c>
      <c r="B1986" s="1">
        <v>45425</v>
      </c>
      <c r="C1986" t="s">
        <v>23</v>
      </c>
      <c r="D1986" t="s">
        <v>20</v>
      </c>
      <c r="E1986">
        <v>147</v>
      </c>
      <c r="F1986">
        <v>56</v>
      </c>
      <c r="G1986">
        <v>0.7</v>
      </c>
      <c r="H1986" t="s">
        <v>12</v>
      </c>
      <c r="I1986" t="s">
        <v>16</v>
      </c>
      <c r="J1986" t="s">
        <v>11</v>
      </c>
    </row>
    <row r="1987" spans="1:10" x14ac:dyDescent="0.25">
      <c r="A1987">
        <v>1986</v>
      </c>
      <c r="B1987" s="1">
        <v>45469</v>
      </c>
      <c r="C1987" t="s">
        <v>10</v>
      </c>
      <c r="D1987" t="s">
        <v>11</v>
      </c>
      <c r="E1987">
        <v>169</v>
      </c>
      <c r="F1987">
        <v>27</v>
      </c>
      <c r="G1987">
        <v>7</v>
      </c>
      <c r="H1987" t="s">
        <v>18</v>
      </c>
      <c r="I1987" t="s">
        <v>13</v>
      </c>
      <c r="J1987" t="s">
        <v>15</v>
      </c>
    </row>
    <row r="1988" spans="1:10" x14ac:dyDescent="0.25">
      <c r="A1988">
        <v>1987</v>
      </c>
      <c r="B1988" s="1">
        <v>45580</v>
      </c>
      <c r="C1988" t="s">
        <v>21</v>
      </c>
      <c r="D1988" t="s">
        <v>15</v>
      </c>
      <c r="E1988">
        <v>13</v>
      </c>
      <c r="F1988">
        <v>22</v>
      </c>
      <c r="G1988">
        <v>4.5999999999999996</v>
      </c>
      <c r="H1988" t="s">
        <v>12</v>
      </c>
      <c r="I1988" t="s">
        <v>13</v>
      </c>
      <c r="J1988" t="s">
        <v>15</v>
      </c>
    </row>
    <row r="1989" spans="1:10" x14ac:dyDescent="0.25">
      <c r="A1989">
        <v>1988</v>
      </c>
      <c r="B1989" s="1">
        <v>45637</v>
      </c>
      <c r="C1989" t="s">
        <v>10</v>
      </c>
      <c r="D1989" t="s">
        <v>20</v>
      </c>
      <c r="E1989">
        <v>131</v>
      </c>
      <c r="F1989">
        <v>72</v>
      </c>
      <c r="G1989">
        <v>8.5</v>
      </c>
      <c r="H1989" t="s">
        <v>18</v>
      </c>
      <c r="I1989" t="s">
        <v>13</v>
      </c>
      <c r="J1989" t="s">
        <v>11</v>
      </c>
    </row>
    <row r="1990" spans="1:10" x14ac:dyDescent="0.25">
      <c r="A1990">
        <v>1989</v>
      </c>
      <c r="B1990" s="1">
        <v>45656</v>
      </c>
      <c r="C1990" t="s">
        <v>23</v>
      </c>
      <c r="D1990" t="s">
        <v>17</v>
      </c>
      <c r="E1990">
        <v>238</v>
      </c>
      <c r="F1990">
        <v>38</v>
      </c>
      <c r="G1990">
        <v>8.9</v>
      </c>
      <c r="H1990" t="s">
        <v>18</v>
      </c>
      <c r="I1990" t="s">
        <v>19</v>
      </c>
      <c r="J1990" t="s">
        <v>11</v>
      </c>
    </row>
    <row r="1991" spans="1:10" x14ac:dyDescent="0.25">
      <c r="A1991">
        <v>1990</v>
      </c>
      <c r="B1991" s="1">
        <v>45305</v>
      </c>
      <c r="C1991" t="s">
        <v>14</v>
      </c>
      <c r="D1991" t="s">
        <v>15</v>
      </c>
      <c r="E1991">
        <v>28</v>
      </c>
      <c r="F1991">
        <v>64</v>
      </c>
      <c r="G1991">
        <v>9.4</v>
      </c>
      <c r="H1991" t="s">
        <v>12</v>
      </c>
      <c r="I1991" t="s">
        <v>19</v>
      </c>
      <c r="J1991" t="s">
        <v>15</v>
      </c>
    </row>
    <row r="1992" spans="1:10" x14ac:dyDescent="0.25">
      <c r="A1992">
        <v>1991</v>
      </c>
      <c r="B1992" s="1">
        <v>45562</v>
      </c>
      <c r="C1992" t="s">
        <v>23</v>
      </c>
      <c r="D1992" t="s">
        <v>17</v>
      </c>
      <c r="E1992">
        <v>32</v>
      </c>
      <c r="F1992">
        <v>27</v>
      </c>
      <c r="G1992">
        <v>6</v>
      </c>
      <c r="H1992" t="s">
        <v>18</v>
      </c>
      <c r="I1992" t="s">
        <v>13</v>
      </c>
      <c r="J1992" t="s">
        <v>11</v>
      </c>
    </row>
    <row r="1993" spans="1:10" x14ac:dyDescent="0.25">
      <c r="A1993">
        <v>1992</v>
      </c>
      <c r="B1993" s="1">
        <v>45404</v>
      </c>
      <c r="C1993" t="s">
        <v>14</v>
      </c>
      <c r="D1993" t="s">
        <v>11</v>
      </c>
      <c r="E1993">
        <v>118</v>
      </c>
      <c r="F1993">
        <v>8</v>
      </c>
      <c r="G1993">
        <v>5.3</v>
      </c>
      <c r="H1993" t="s">
        <v>18</v>
      </c>
      <c r="I1993" t="s">
        <v>16</v>
      </c>
      <c r="J1993" t="s">
        <v>15</v>
      </c>
    </row>
    <row r="1994" spans="1:10" x14ac:dyDescent="0.25">
      <c r="A1994">
        <v>1993</v>
      </c>
      <c r="B1994" s="1">
        <v>45326</v>
      </c>
      <c r="C1994" t="s">
        <v>14</v>
      </c>
      <c r="D1994" t="s">
        <v>11</v>
      </c>
      <c r="E1994">
        <v>64</v>
      </c>
      <c r="F1994">
        <v>23</v>
      </c>
      <c r="G1994">
        <v>3.2</v>
      </c>
      <c r="H1994" t="s">
        <v>12</v>
      </c>
      <c r="I1994" t="s">
        <v>19</v>
      </c>
      <c r="J1994" t="s">
        <v>11</v>
      </c>
    </row>
    <row r="1995" spans="1:10" x14ac:dyDescent="0.25">
      <c r="A1995">
        <v>1994</v>
      </c>
      <c r="B1995" s="1">
        <v>45516</v>
      </c>
      <c r="C1995" t="s">
        <v>22</v>
      </c>
      <c r="D1995" t="s">
        <v>20</v>
      </c>
      <c r="E1995">
        <v>224</v>
      </c>
      <c r="F1995">
        <v>9</v>
      </c>
      <c r="G1995">
        <v>3.9</v>
      </c>
      <c r="H1995" t="s">
        <v>12</v>
      </c>
      <c r="I1995" t="s">
        <v>13</v>
      </c>
      <c r="J1995" t="s">
        <v>11</v>
      </c>
    </row>
    <row r="1996" spans="1:10" x14ac:dyDescent="0.25">
      <c r="A1996">
        <v>1995</v>
      </c>
      <c r="B1996" s="1">
        <v>45472</v>
      </c>
      <c r="C1996" t="s">
        <v>23</v>
      </c>
      <c r="D1996" t="s">
        <v>11</v>
      </c>
      <c r="E1996">
        <v>205</v>
      </c>
      <c r="F1996">
        <v>6</v>
      </c>
      <c r="G1996">
        <v>8.5</v>
      </c>
      <c r="H1996" t="s">
        <v>12</v>
      </c>
      <c r="I1996" t="s">
        <v>13</v>
      </c>
      <c r="J1996" t="s">
        <v>15</v>
      </c>
    </row>
    <row r="1997" spans="1:10" x14ac:dyDescent="0.25">
      <c r="A1997">
        <v>1996</v>
      </c>
      <c r="B1997" s="1">
        <v>45385</v>
      </c>
      <c r="C1997" t="s">
        <v>14</v>
      </c>
      <c r="D1997" t="s">
        <v>15</v>
      </c>
      <c r="E1997">
        <v>14</v>
      </c>
      <c r="F1997">
        <v>39</v>
      </c>
      <c r="G1997">
        <v>7.6</v>
      </c>
      <c r="H1997" t="s">
        <v>12</v>
      </c>
      <c r="I1997" t="s">
        <v>16</v>
      </c>
      <c r="J1997" t="s">
        <v>15</v>
      </c>
    </row>
    <row r="1998" spans="1:10" x14ac:dyDescent="0.25">
      <c r="A1998">
        <v>1997</v>
      </c>
      <c r="B1998" s="1">
        <v>45478</v>
      </c>
      <c r="C1998" t="s">
        <v>21</v>
      </c>
      <c r="D1998" t="s">
        <v>15</v>
      </c>
      <c r="E1998">
        <v>100</v>
      </c>
      <c r="F1998">
        <v>35</v>
      </c>
      <c r="G1998">
        <v>7.8</v>
      </c>
      <c r="H1998" t="s">
        <v>12</v>
      </c>
      <c r="I1998" t="s">
        <v>19</v>
      </c>
      <c r="J1998" t="s">
        <v>11</v>
      </c>
    </row>
    <row r="1999" spans="1:10" x14ac:dyDescent="0.25">
      <c r="A1999">
        <v>1998</v>
      </c>
      <c r="B1999" s="1">
        <v>45451</v>
      </c>
      <c r="C1999" t="s">
        <v>21</v>
      </c>
      <c r="D1999" t="s">
        <v>20</v>
      </c>
      <c r="E1999">
        <v>80</v>
      </c>
      <c r="F1999">
        <v>63</v>
      </c>
      <c r="G1999">
        <v>8.4</v>
      </c>
      <c r="H1999" t="s">
        <v>12</v>
      </c>
      <c r="I1999" t="s">
        <v>13</v>
      </c>
      <c r="J1999" t="s">
        <v>11</v>
      </c>
    </row>
    <row r="2000" spans="1:10" x14ac:dyDescent="0.25">
      <c r="A2000">
        <v>1999</v>
      </c>
      <c r="B2000" s="1">
        <v>45564</v>
      </c>
      <c r="C2000" t="s">
        <v>14</v>
      </c>
      <c r="D2000" t="s">
        <v>20</v>
      </c>
      <c r="E2000">
        <v>222</v>
      </c>
      <c r="F2000">
        <v>22</v>
      </c>
      <c r="G2000">
        <v>9.8000000000000007</v>
      </c>
      <c r="H2000" t="s">
        <v>18</v>
      </c>
      <c r="I2000" t="s">
        <v>16</v>
      </c>
      <c r="J2000" t="s">
        <v>11</v>
      </c>
    </row>
    <row r="2001" spans="1:10" x14ac:dyDescent="0.25">
      <c r="A2001">
        <v>2000</v>
      </c>
      <c r="B2001" s="1">
        <v>45615</v>
      </c>
      <c r="C2001" t="s">
        <v>22</v>
      </c>
      <c r="D2001" t="s">
        <v>15</v>
      </c>
      <c r="E2001">
        <v>143</v>
      </c>
      <c r="F2001">
        <v>43</v>
      </c>
      <c r="G2001">
        <v>7.4</v>
      </c>
      <c r="H2001" t="s">
        <v>18</v>
      </c>
      <c r="I2001" t="s">
        <v>19</v>
      </c>
      <c r="J2001" t="s">
        <v>15</v>
      </c>
    </row>
    <row r="2002" spans="1:10" x14ac:dyDescent="0.25">
      <c r="A2002">
        <v>2001</v>
      </c>
      <c r="B2002" s="1">
        <v>45498</v>
      </c>
      <c r="C2002" t="s">
        <v>21</v>
      </c>
      <c r="D2002" t="s">
        <v>17</v>
      </c>
      <c r="E2002">
        <v>131</v>
      </c>
      <c r="F2002">
        <v>49</v>
      </c>
      <c r="G2002">
        <v>6.4</v>
      </c>
      <c r="H2002" t="s">
        <v>18</v>
      </c>
      <c r="I2002" t="s">
        <v>16</v>
      </c>
      <c r="J2002" t="s">
        <v>11</v>
      </c>
    </row>
    <row r="2003" spans="1:10" x14ac:dyDescent="0.25">
      <c r="A2003">
        <v>2002</v>
      </c>
      <c r="B2003" s="1">
        <v>45570</v>
      </c>
      <c r="C2003" t="s">
        <v>10</v>
      </c>
      <c r="D2003" t="s">
        <v>11</v>
      </c>
      <c r="E2003">
        <v>234</v>
      </c>
      <c r="F2003">
        <v>35</v>
      </c>
      <c r="G2003">
        <v>1</v>
      </c>
      <c r="H2003" t="s">
        <v>18</v>
      </c>
      <c r="I2003" t="s">
        <v>13</v>
      </c>
      <c r="J2003" t="s">
        <v>11</v>
      </c>
    </row>
    <row r="2004" spans="1:10" x14ac:dyDescent="0.25">
      <c r="A2004">
        <v>2003</v>
      </c>
      <c r="B2004" s="1">
        <v>45597</v>
      </c>
      <c r="C2004" t="s">
        <v>14</v>
      </c>
      <c r="D2004" t="s">
        <v>17</v>
      </c>
      <c r="E2004">
        <v>194</v>
      </c>
      <c r="F2004">
        <v>19</v>
      </c>
      <c r="G2004">
        <v>0.6</v>
      </c>
      <c r="H2004" t="s">
        <v>18</v>
      </c>
      <c r="I2004" t="s">
        <v>16</v>
      </c>
      <c r="J2004" t="s">
        <v>11</v>
      </c>
    </row>
    <row r="2005" spans="1:10" x14ac:dyDescent="0.25">
      <c r="A2005">
        <v>2004</v>
      </c>
      <c r="B2005" s="1">
        <v>45465</v>
      </c>
      <c r="C2005" t="s">
        <v>21</v>
      </c>
      <c r="D2005" t="s">
        <v>20</v>
      </c>
      <c r="E2005">
        <v>97</v>
      </c>
      <c r="F2005">
        <v>14</v>
      </c>
      <c r="G2005">
        <v>2.2999999999999998</v>
      </c>
      <c r="H2005" t="s">
        <v>18</v>
      </c>
      <c r="I2005" t="s">
        <v>16</v>
      </c>
      <c r="J2005" t="s">
        <v>11</v>
      </c>
    </row>
    <row r="2006" spans="1:10" x14ac:dyDescent="0.25">
      <c r="A2006">
        <v>2005</v>
      </c>
      <c r="B2006" s="1">
        <v>45427</v>
      </c>
      <c r="C2006" t="s">
        <v>10</v>
      </c>
      <c r="D2006" t="s">
        <v>17</v>
      </c>
      <c r="E2006">
        <v>101</v>
      </c>
      <c r="F2006">
        <v>48</v>
      </c>
      <c r="G2006">
        <v>2.6</v>
      </c>
      <c r="H2006" t="s">
        <v>12</v>
      </c>
      <c r="I2006" t="s">
        <v>13</v>
      </c>
      <c r="J2006" t="s">
        <v>11</v>
      </c>
    </row>
    <row r="2007" spans="1:10" x14ac:dyDescent="0.25">
      <c r="A2007">
        <v>2006</v>
      </c>
      <c r="B2007" s="1">
        <v>45406</v>
      </c>
      <c r="C2007" t="s">
        <v>10</v>
      </c>
      <c r="D2007" t="s">
        <v>15</v>
      </c>
      <c r="E2007">
        <v>130</v>
      </c>
      <c r="F2007">
        <v>50</v>
      </c>
      <c r="G2007">
        <v>9.9</v>
      </c>
      <c r="H2007" t="s">
        <v>12</v>
      </c>
      <c r="I2007" t="s">
        <v>16</v>
      </c>
      <c r="J2007" t="s">
        <v>11</v>
      </c>
    </row>
    <row r="2008" spans="1:10" x14ac:dyDescent="0.25">
      <c r="A2008">
        <v>2007</v>
      </c>
      <c r="B2008" s="1">
        <v>45448</v>
      </c>
      <c r="C2008" t="s">
        <v>23</v>
      </c>
      <c r="D2008" t="s">
        <v>15</v>
      </c>
      <c r="E2008">
        <v>140</v>
      </c>
      <c r="F2008">
        <v>71</v>
      </c>
      <c r="G2008">
        <v>1.4</v>
      </c>
      <c r="H2008" t="s">
        <v>18</v>
      </c>
      <c r="I2008" t="s">
        <v>16</v>
      </c>
      <c r="J2008" t="s">
        <v>11</v>
      </c>
    </row>
    <row r="2009" spans="1:10" x14ac:dyDescent="0.25">
      <c r="A2009">
        <v>2008</v>
      </c>
      <c r="B2009" s="1">
        <v>45483</v>
      </c>
      <c r="C2009" t="s">
        <v>22</v>
      </c>
      <c r="D2009" t="s">
        <v>15</v>
      </c>
      <c r="E2009">
        <v>212</v>
      </c>
      <c r="F2009">
        <v>68</v>
      </c>
      <c r="G2009">
        <v>3.6</v>
      </c>
      <c r="H2009" t="s">
        <v>12</v>
      </c>
      <c r="I2009" t="s">
        <v>13</v>
      </c>
      <c r="J2009" t="s">
        <v>11</v>
      </c>
    </row>
    <row r="2010" spans="1:10" x14ac:dyDescent="0.25">
      <c r="A2010">
        <v>2009</v>
      </c>
      <c r="B2010" s="1">
        <v>45638</v>
      </c>
      <c r="C2010" t="s">
        <v>22</v>
      </c>
      <c r="D2010" t="s">
        <v>11</v>
      </c>
      <c r="E2010">
        <v>167</v>
      </c>
      <c r="F2010">
        <v>38</v>
      </c>
      <c r="G2010">
        <v>1.8</v>
      </c>
      <c r="H2010" t="s">
        <v>18</v>
      </c>
      <c r="I2010" t="s">
        <v>13</v>
      </c>
      <c r="J2010" t="s">
        <v>11</v>
      </c>
    </row>
    <row r="2011" spans="1:10" x14ac:dyDescent="0.25">
      <c r="A2011">
        <v>2010</v>
      </c>
      <c r="B2011" s="1">
        <v>45383</v>
      </c>
      <c r="C2011" t="s">
        <v>21</v>
      </c>
      <c r="D2011" t="s">
        <v>17</v>
      </c>
      <c r="E2011">
        <v>147</v>
      </c>
      <c r="F2011">
        <v>7</v>
      </c>
      <c r="G2011">
        <v>5.8</v>
      </c>
      <c r="H2011" t="s">
        <v>18</v>
      </c>
      <c r="I2011" t="s">
        <v>16</v>
      </c>
      <c r="J2011" t="s">
        <v>11</v>
      </c>
    </row>
    <row r="2012" spans="1:10" x14ac:dyDescent="0.25">
      <c r="A2012">
        <v>2011</v>
      </c>
      <c r="B2012" s="1">
        <v>45595</v>
      </c>
      <c r="C2012" t="s">
        <v>23</v>
      </c>
      <c r="D2012" t="s">
        <v>17</v>
      </c>
      <c r="E2012">
        <v>229</v>
      </c>
      <c r="F2012">
        <v>22</v>
      </c>
      <c r="G2012">
        <v>2.7</v>
      </c>
      <c r="H2012" t="s">
        <v>18</v>
      </c>
      <c r="I2012" t="s">
        <v>16</v>
      </c>
      <c r="J2012" t="s">
        <v>11</v>
      </c>
    </row>
    <row r="2013" spans="1:10" x14ac:dyDescent="0.25">
      <c r="A2013">
        <v>2012</v>
      </c>
      <c r="B2013" s="1">
        <v>45304</v>
      </c>
      <c r="C2013" t="s">
        <v>21</v>
      </c>
      <c r="D2013" t="s">
        <v>15</v>
      </c>
      <c r="E2013">
        <v>76</v>
      </c>
      <c r="F2013">
        <v>26</v>
      </c>
      <c r="G2013">
        <v>9.5</v>
      </c>
      <c r="H2013" t="s">
        <v>18</v>
      </c>
      <c r="I2013" t="s">
        <v>19</v>
      </c>
      <c r="J2013" t="s">
        <v>15</v>
      </c>
    </row>
    <row r="2014" spans="1:10" x14ac:dyDescent="0.25">
      <c r="A2014">
        <v>2013</v>
      </c>
      <c r="B2014" s="1">
        <v>45329</v>
      </c>
      <c r="C2014" t="s">
        <v>14</v>
      </c>
      <c r="D2014" t="s">
        <v>20</v>
      </c>
      <c r="E2014">
        <v>45</v>
      </c>
      <c r="F2014">
        <v>12</v>
      </c>
      <c r="G2014">
        <v>9</v>
      </c>
      <c r="H2014" t="s">
        <v>18</v>
      </c>
      <c r="I2014" t="s">
        <v>13</v>
      </c>
      <c r="J2014" t="s">
        <v>11</v>
      </c>
    </row>
    <row r="2015" spans="1:10" x14ac:dyDescent="0.25">
      <c r="A2015">
        <v>2014</v>
      </c>
      <c r="B2015" s="1">
        <v>45490</v>
      </c>
      <c r="C2015" t="s">
        <v>23</v>
      </c>
      <c r="D2015" t="s">
        <v>17</v>
      </c>
      <c r="E2015">
        <v>116</v>
      </c>
      <c r="F2015">
        <v>15</v>
      </c>
      <c r="G2015">
        <v>4.0999999999999996</v>
      </c>
      <c r="H2015" t="s">
        <v>18</v>
      </c>
      <c r="I2015" t="s">
        <v>16</v>
      </c>
      <c r="J2015" t="s">
        <v>11</v>
      </c>
    </row>
    <row r="2016" spans="1:10" x14ac:dyDescent="0.25">
      <c r="A2016">
        <v>2015</v>
      </c>
      <c r="B2016" s="1">
        <v>45525</v>
      </c>
      <c r="C2016" t="s">
        <v>23</v>
      </c>
      <c r="D2016" t="s">
        <v>17</v>
      </c>
      <c r="E2016">
        <v>199</v>
      </c>
      <c r="F2016">
        <v>55</v>
      </c>
      <c r="G2016">
        <v>1.2</v>
      </c>
      <c r="H2016" t="s">
        <v>12</v>
      </c>
      <c r="I2016" t="s">
        <v>19</v>
      </c>
      <c r="J2016" t="s">
        <v>11</v>
      </c>
    </row>
    <row r="2017" spans="1:10" x14ac:dyDescent="0.25">
      <c r="A2017">
        <v>2016</v>
      </c>
      <c r="B2017" s="1">
        <v>45542</v>
      </c>
      <c r="C2017" t="s">
        <v>10</v>
      </c>
      <c r="D2017" t="s">
        <v>11</v>
      </c>
      <c r="E2017">
        <v>220</v>
      </c>
      <c r="F2017">
        <v>54</v>
      </c>
      <c r="G2017">
        <v>1.3</v>
      </c>
      <c r="H2017" t="s">
        <v>18</v>
      </c>
      <c r="I2017" t="s">
        <v>19</v>
      </c>
      <c r="J2017" t="s">
        <v>11</v>
      </c>
    </row>
    <row r="2018" spans="1:10" x14ac:dyDescent="0.25">
      <c r="A2018">
        <v>2017</v>
      </c>
      <c r="B2018" s="1">
        <v>45481</v>
      </c>
      <c r="C2018" t="s">
        <v>10</v>
      </c>
      <c r="D2018" t="s">
        <v>20</v>
      </c>
      <c r="E2018">
        <v>154</v>
      </c>
      <c r="F2018">
        <v>37</v>
      </c>
      <c r="G2018">
        <v>7.6</v>
      </c>
      <c r="H2018" t="s">
        <v>18</v>
      </c>
      <c r="I2018" t="s">
        <v>13</v>
      </c>
      <c r="J2018" t="s">
        <v>11</v>
      </c>
    </row>
    <row r="2019" spans="1:10" x14ac:dyDescent="0.25">
      <c r="A2019">
        <v>2018</v>
      </c>
      <c r="B2019" s="1">
        <v>45519</v>
      </c>
      <c r="C2019" t="s">
        <v>23</v>
      </c>
      <c r="D2019" t="s">
        <v>17</v>
      </c>
      <c r="E2019">
        <v>153</v>
      </c>
      <c r="F2019">
        <v>66</v>
      </c>
      <c r="G2019">
        <v>9.4</v>
      </c>
      <c r="H2019" t="s">
        <v>18</v>
      </c>
      <c r="I2019" t="s">
        <v>19</v>
      </c>
      <c r="J2019" t="s">
        <v>11</v>
      </c>
    </row>
    <row r="2020" spans="1:10" x14ac:dyDescent="0.25">
      <c r="A2020">
        <v>2019</v>
      </c>
      <c r="B2020" s="1">
        <v>45397</v>
      </c>
      <c r="C2020" t="s">
        <v>10</v>
      </c>
      <c r="D2020" t="s">
        <v>20</v>
      </c>
      <c r="E2020">
        <v>236</v>
      </c>
      <c r="F2020">
        <v>63</v>
      </c>
      <c r="G2020">
        <v>6.9</v>
      </c>
      <c r="H2020" t="s">
        <v>12</v>
      </c>
      <c r="I2020" t="s">
        <v>16</v>
      </c>
      <c r="J2020" t="s">
        <v>11</v>
      </c>
    </row>
    <row r="2021" spans="1:10" x14ac:dyDescent="0.25">
      <c r="A2021">
        <v>2020</v>
      </c>
      <c r="B2021" s="1">
        <v>45324</v>
      </c>
      <c r="C2021" t="s">
        <v>22</v>
      </c>
      <c r="D2021" t="s">
        <v>20</v>
      </c>
      <c r="E2021">
        <v>112</v>
      </c>
      <c r="F2021">
        <v>44</v>
      </c>
      <c r="G2021">
        <v>4.8</v>
      </c>
      <c r="H2021" t="s">
        <v>12</v>
      </c>
      <c r="I2021" t="s">
        <v>13</v>
      </c>
      <c r="J2021" t="s">
        <v>11</v>
      </c>
    </row>
    <row r="2022" spans="1:10" x14ac:dyDescent="0.25">
      <c r="A2022">
        <v>2021</v>
      </c>
      <c r="B2022" s="1">
        <v>45637</v>
      </c>
      <c r="C2022" t="s">
        <v>10</v>
      </c>
      <c r="D2022" t="s">
        <v>15</v>
      </c>
      <c r="E2022">
        <v>240</v>
      </c>
      <c r="F2022">
        <v>33</v>
      </c>
      <c r="G2022">
        <v>2.2000000000000002</v>
      </c>
      <c r="H2022" t="s">
        <v>12</v>
      </c>
      <c r="I2022" t="s">
        <v>19</v>
      </c>
      <c r="J2022" t="s">
        <v>11</v>
      </c>
    </row>
    <row r="2023" spans="1:10" x14ac:dyDescent="0.25">
      <c r="A2023">
        <v>2022</v>
      </c>
      <c r="B2023" s="1">
        <v>45352</v>
      </c>
      <c r="C2023" t="s">
        <v>14</v>
      </c>
      <c r="D2023" t="s">
        <v>15</v>
      </c>
      <c r="E2023">
        <v>142</v>
      </c>
      <c r="F2023">
        <v>38</v>
      </c>
      <c r="G2023">
        <v>4.5</v>
      </c>
      <c r="H2023" t="s">
        <v>18</v>
      </c>
      <c r="I2023" t="s">
        <v>16</v>
      </c>
      <c r="J2023" t="s">
        <v>11</v>
      </c>
    </row>
    <row r="2024" spans="1:10" x14ac:dyDescent="0.25">
      <c r="A2024">
        <v>2023</v>
      </c>
      <c r="B2024" s="1">
        <v>45472</v>
      </c>
      <c r="C2024" t="s">
        <v>23</v>
      </c>
      <c r="D2024" t="s">
        <v>11</v>
      </c>
      <c r="E2024">
        <v>67</v>
      </c>
      <c r="F2024">
        <v>11</v>
      </c>
      <c r="G2024">
        <v>3</v>
      </c>
      <c r="H2024" t="s">
        <v>12</v>
      </c>
      <c r="I2024" t="s">
        <v>13</v>
      </c>
      <c r="J2024" t="s">
        <v>11</v>
      </c>
    </row>
    <row r="2025" spans="1:10" x14ac:dyDescent="0.25">
      <c r="A2025">
        <v>2024</v>
      </c>
      <c r="B2025" s="1">
        <v>45491</v>
      </c>
      <c r="C2025" t="s">
        <v>23</v>
      </c>
      <c r="D2025" t="s">
        <v>11</v>
      </c>
      <c r="E2025">
        <v>178</v>
      </c>
      <c r="F2025">
        <v>6</v>
      </c>
      <c r="G2025">
        <v>9.6</v>
      </c>
      <c r="H2025" t="s">
        <v>18</v>
      </c>
      <c r="I2025" t="s">
        <v>16</v>
      </c>
      <c r="J2025" t="s">
        <v>20</v>
      </c>
    </row>
    <row r="2026" spans="1:10" x14ac:dyDescent="0.25">
      <c r="A2026">
        <v>2025</v>
      </c>
      <c r="B2026" s="1">
        <v>45396</v>
      </c>
      <c r="C2026" t="s">
        <v>23</v>
      </c>
      <c r="D2026" t="s">
        <v>15</v>
      </c>
      <c r="E2026">
        <v>52</v>
      </c>
      <c r="F2026">
        <v>8</v>
      </c>
      <c r="G2026">
        <v>7.4</v>
      </c>
      <c r="H2026" t="s">
        <v>12</v>
      </c>
      <c r="I2026" t="s">
        <v>19</v>
      </c>
      <c r="J2026" t="s">
        <v>11</v>
      </c>
    </row>
    <row r="2027" spans="1:10" x14ac:dyDescent="0.25">
      <c r="A2027">
        <v>2026</v>
      </c>
      <c r="B2027" s="1">
        <v>45639</v>
      </c>
      <c r="C2027" t="s">
        <v>23</v>
      </c>
      <c r="D2027" t="s">
        <v>15</v>
      </c>
      <c r="E2027">
        <v>141</v>
      </c>
      <c r="F2027">
        <v>12</v>
      </c>
      <c r="G2027">
        <v>6.7</v>
      </c>
      <c r="H2027" t="s">
        <v>12</v>
      </c>
      <c r="I2027" t="s">
        <v>19</v>
      </c>
      <c r="J2027" t="s">
        <v>11</v>
      </c>
    </row>
    <row r="2028" spans="1:10" x14ac:dyDescent="0.25">
      <c r="A2028">
        <v>2027</v>
      </c>
      <c r="B2028" s="1">
        <v>45642</v>
      </c>
      <c r="C2028" t="s">
        <v>14</v>
      </c>
      <c r="D2028" t="s">
        <v>20</v>
      </c>
      <c r="E2028">
        <v>97</v>
      </c>
      <c r="F2028">
        <v>2</v>
      </c>
      <c r="G2028">
        <v>6.5</v>
      </c>
      <c r="H2028" t="s">
        <v>18</v>
      </c>
      <c r="I2028" t="s">
        <v>19</v>
      </c>
      <c r="J2028" t="s">
        <v>15</v>
      </c>
    </row>
    <row r="2029" spans="1:10" x14ac:dyDescent="0.25">
      <c r="A2029">
        <v>2028</v>
      </c>
      <c r="B2029" s="1">
        <v>45446</v>
      </c>
      <c r="C2029" t="s">
        <v>23</v>
      </c>
      <c r="D2029" t="s">
        <v>20</v>
      </c>
      <c r="E2029">
        <v>41</v>
      </c>
      <c r="F2029">
        <v>11</v>
      </c>
      <c r="G2029">
        <v>1.4</v>
      </c>
      <c r="H2029" t="s">
        <v>18</v>
      </c>
      <c r="I2029" t="s">
        <v>13</v>
      </c>
      <c r="J2029" t="s">
        <v>11</v>
      </c>
    </row>
    <row r="2030" spans="1:10" x14ac:dyDescent="0.25">
      <c r="A2030">
        <v>2029</v>
      </c>
      <c r="B2030" s="1">
        <v>45359</v>
      </c>
      <c r="C2030" t="s">
        <v>23</v>
      </c>
      <c r="D2030" t="s">
        <v>20</v>
      </c>
      <c r="E2030">
        <v>8</v>
      </c>
      <c r="F2030">
        <v>47</v>
      </c>
      <c r="G2030">
        <v>6.2</v>
      </c>
      <c r="H2030" t="s">
        <v>12</v>
      </c>
      <c r="I2030" t="s">
        <v>16</v>
      </c>
      <c r="J2030" t="s">
        <v>15</v>
      </c>
    </row>
    <row r="2031" spans="1:10" x14ac:dyDescent="0.25">
      <c r="A2031">
        <v>2030</v>
      </c>
      <c r="B2031" s="1">
        <v>45618</v>
      </c>
      <c r="C2031" t="s">
        <v>14</v>
      </c>
      <c r="D2031" t="s">
        <v>20</v>
      </c>
      <c r="E2031">
        <v>160</v>
      </c>
      <c r="F2031">
        <v>2</v>
      </c>
      <c r="G2031">
        <v>1.3</v>
      </c>
      <c r="H2031" t="s">
        <v>18</v>
      </c>
      <c r="I2031" t="s">
        <v>19</v>
      </c>
      <c r="J2031" t="s">
        <v>15</v>
      </c>
    </row>
    <row r="2032" spans="1:10" x14ac:dyDescent="0.25">
      <c r="A2032">
        <v>2031</v>
      </c>
      <c r="B2032" s="1">
        <v>45336</v>
      </c>
      <c r="C2032" t="s">
        <v>22</v>
      </c>
      <c r="D2032" t="s">
        <v>11</v>
      </c>
      <c r="E2032">
        <v>17</v>
      </c>
      <c r="F2032">
        <v>18</v>
      </c>
      <c r="G2032">
        <v>1.8</v>
      </c>
      <c r="H2032" t="s">
        <v>18</v>
      </c>
      <c r="I2032" t="s">
        <v>16</v>
      </c>
      <c r="J2032" t="s">
        <v>15</v>
      </c>
    </row>
    <row r="2033" spans="1:10" x14ac:dyDescent="0.25">
      <c r="A2033">
        <v>2032</v>
      </c>
      <c r="B2033" s="1">
        <v>45362</v>
      </c>
      <c r="C2033" t="s">
        <v>23</v>
      </c>
      <c r="D2033" t="s">
        <v>20</v>
      </c>
      <c r="E2033">
        <v>223</v>
      </c>
      <c r="F2033">
        <v>54</v>
      </c>
      <c r="G2033">
        <v>2.8</v>
      </c>
      <c r="H2033" t="s">
        <v>12</v>
      </c>
      <c r="I2033" t="s">
        <v>19</v>
      </c>
      <c r="J2033" t="s">
        <v>11</v>
      </c>
    </row>
    <row r="2034" spans="1:10" x14ac:dyDescent="0.25">
      <c r="A2034">
        <v>2033</v>
      </c>
      <c r="B2034" s="1">
        <v>45447</v>
      </c>
      <c r="C2034" t="s">
        <v>21</v>
      </c>
      <c r="D2034" t="s">
        <v>11</v>
      </c>
      <c r="E2034">
        <v>116</v>
      </c>
      <c r="F2034">
        <v>22</v>
      </c>
      <c r="G2034">
        <v>10</v>
      </c>
      <c r="H2034" t="s">
        <v>18</v>
      </c>
      <c r="I2034" t="s">
        <v>16</v>
      </c>
      <c r="J2034" t="s">
        <v>15</v>
      </c>
    </row>
    <row r="2035" spans="1:10" x14ac:dyDescent="0.25">
      <c r="A2035">
        <v>2034</v>
      </c>
      <c r="B2035" s="1">
        <v>45580</v>
      </c>
      <c r="C2035" t="s">
        <v>21</v>
      </c>
      <c r="D2035" t="s">
        <v>17</v>
      </c>
      <c r="E2035">
        <v>43</v>
      </c>
      <c r="F2035">
        <v>44</v>
      </c>
      <c r="G2035">
        <v>9.1</v>
      </c>
      <c r="H2035" t="s">
        <v>18</v>
      </c>
      <c r="I2035" t="s">
        <v>16</v>
      </c>
      <c r="J2035" t="s">
        <v>11</v>
      </c>
    </row>
    <row r="2036" spans="1:10" x14ac:dyDescent="0.25">
      <c r="A2036">
        <v>2035</v>
      </c>
      <c r="B2036" s="1">
        <v>45413</v>
      </c>
      <c r="C2036" t="s">
        <v>22</v>
      </c>
      <c r="D2036" t="s">
        <v>20</v>
      </c>
      <c r="E2036">
        <v>54</v>
      </c>
      <c r="F2036">
        <v>33</v>
      </c>
      <c r="G2036">
        <v>8.8000000000000007</v>
      </c>
      <c r="H2036" t="s">
        <v>12</v>
      </c>
      <c r="I2036" t="s">
        <v>19</v>
      </c>
      <c r="J2036" t="s">
        <v>11</v>
      </c>
    </row>
    <row r="2037" spans="1:10" x14ac:dyDescent="0.25">
      <c r="A2037">
        <v>2036</v>
      </c>
      <c r="B2037" s="1">
        <v>45541</v>
      </c>
      <c r="C2037" t="s">
        <v>10</v>
      </c>
      <c r="D2037" t="s">
        <v>17</v>
      </c>
      <c r="E2037">
        <v>20</v>
      </c>
      <c r="F2037">
        <v>37</v>
      </c>
      <c r="G2037">
        <v>5.2</v>
      </c>
      <c r="H2037" t="s">
        <v>12</v>
      </c>
      <c r="I2037" t="s">
        <v>16</v>
      </c>
      <c r="J2037" t="s">
        <v>15</v>
      </c>
    </row>
    <row r="2038" spans="1:10" x14ac:dyDescent="0.25">
      <c r="A2038">
        <v>2037</v>
      </c>
      <c r="B2038" s="1">
        <v>45631</v>
      </c>
      <c r="C2038" t="s">
        <v>10</v>
      </c>
      <c r="D2038" t="s">
        <v>17</v>
      </c>
      <c r="E2038">
        <v>119</v>
      </c>
      <c r="F2038">
        <v>16</v>
      </c>
      <c r="G2038">
        <v>7.5</v>
      </c>
      <c r="H2038" t="s">
        <v>18</v>
      </c>
      <c r="I2038" t="s">
        <v>13</v>
      </c>
      <c r="J2038" t="s">
        <v>11</v>
      </c>
    </row>
    <row r="2039" spans="1:10" x14ac:dyDescent="0.25">
      <c r="A2039">
        <v>2038</v>
      </c>
      <c r="B2039" s="1">
        <v>45570</v>
      </c>
      <c r="C2039" t="s">
        <v>14</v>
      </c>
      <c r="D2039" t="s">
        <v>11</v>
      </c>
      <c r="E2039">
        <v>178</v>
      </c>
      <c r="F2039">
        <v>25</v>
      </c>
      <c r="G2039">
        <v>5.7</v>
      </c>
      <c r="H2039" t="s">
        <v>18</v>
      </c>
      <c r="I2039" t="s">
        <v>13</v>
      </c>
      <c r="J2039" t="s">
        <v>15</v>
      </c>
    </row>
    <row r="2040" spans="1:10" x14ac:dyDescent="0.25">
      <c r="A2040">
        <v>2039</v>
      </c>
      <c r="B2040" s="1">
        <v>45550</v>
      </c>
      <c r="C2040" t="s">
        <v>10</v>
      </c>
      <c r="D2040" t="s">
        <v>15</v>
      </c>
      <c r="E2040">
        <v>101</v>
      </c>
      <c r="F2040">
        <v>22</v>
      </c>
      <c r="G2040">
        <v>5.5</v>
      </c>
      <c r="H2040" t="s">
        <v>12</v>
      </c>
      <c r="I2040" t="s">
        <v>13</v>
      </c>
      <c r="J2040" t="s">
        <v>11</v>
      </c>
    </row>
    <row r="2041" spans="1:10" x14ac:dyDescent="0.25">
      <c r="A2041">
        <v>2040</v>
      </c>
      <c r="B2041" s="1">
        <v>45333</v>
      </c>
      <c r="C2041" t="s">
        <v>23</v>
      </c>
      <c r="D2041" t="s">
        <v>20</v>
      </c>
      <c r="E2041">
        <v>110</v>
      </c>
      <c r="F2041">
        <v>39</v>
      </c>
      <c r="G2041">
        <v>9</v>
      </c>
      <c r="H2041" t="s">
        <v>12</v>
      </c>
      <c r="I2041" t="s">
        <v>19</v>
      </c>
      <c r="J2041" t="s">
        <v>11</v>
      </c>
    </row>
    <row r="2042" spans="1:10" x14ac:dyDescent="0.25">
      <c r="A2042">
        <v>2041</v>
      </c>
      <c r="B2042" s="1">
        <v>45516</v>
      </c>
      <c r="C2042" t="s">
        <v>14</v>
      </c>
      <c r="D2042" t="s">
        <v>11</v>
      </c>
      <c r="E2042">
        <v>119</v>
      </c>
      <c r="F2042">
        <v>61</v>
      </c>
      <c r="G2042">
        <v>5.7</v>
      </c>
      <c r="H2042" t="s">
        <v>18</v>
      </c>
      <c r="I2042" t="s">
        <v>19</v>
      </c>
      <c r="J2042" t="s">
        <v>15</v>
      </c>
    </row>
    <row r="2043" spans="1:10" x14ac:dyDescent="0.25">
      <c r="A2043">
        <v>2042</v>
      </c>
      <c r="B2043" s="1">
        <v>45441</v>
      </c>
      <c r="C2043" t="s">
        <v>10</v>
      </c>
      <c r="D2043" t="s">
        <v>15</v>
      </c>
      <c r="E2043">
        <v>60</v>
      </c>
      <c r="F2043">
        <v>51</v>
      </c>
      <c r="G2043">
        <v>8.4</v>
      </c>
      <c r="H2043" t="s">
        <v>18</v>
      </c>
      <c r="I2043" t="s">
        <v>16</v>
      </c>
      <c r="J2043" t="s">
        <v>15</v>
      </c>
    </row>
    <row r="2044" spans="1:10" x14ac:dyDescent="0.25">
      <c r="A2044">
        <v>2043</v>
      </c>
      <c r="B2044" s="1">
        <v>45425</v>
      </c>
      <c r="C2044" t="s">
        <v>23</v>
      </c>
      <c r="D2044" t="s">
        <v>15</v>
      </c>
      <c r="E2044">
        <v>110</v>
      </c>
      <c r="F2044">
        <v>23</v>
      </c>
      <c r="G2044">
        <v>2.1</v>
      </c>
      <c r="H2044" t="s">
        <v>12</v>
      </c>
      <c r="I2044" t="s">
        <v>16</v>
      </c>
      <c r="J2044" t="s">
        <v>11</v>
      </c>
    </row>
    <row r="2045" spans="1:10" x14ac:dyDescent="0.25">
      <c r="A2045">
        <v>2044</v>
      </c>
      <c r="B2045" s="1">
        <v>45531</v>
      </c>
      <c r="C2045" t="s">
        <v>23</v>
      </c>
      <c r="D2045" t="s">
        <v>15</v>
      </c>
      <c r="E2045">
        <v>11</v>
      </c>
      <c r="F2045">
        <v>57</v>
      </c>
      <c r="G2045">
        <v>2.1</v>
      </c>
      <c r="H2045" t="s">
        <v>18</v>
      </c>
      <c r="I2045" t="s">
        <v>16</v>
      </c>
      <c r="J2045" t="s">
        <v>15</v>
      </c>
    </row>
    <row r="2046" spans="1:10" x14ac:dyDescent="0.25">
      <c r="A2046">
        <v>2045</v>
      </c>
      <c r="B2046" s="1">
        <v>45608</v>
      </c>
      <c r="C2046" t="s">
        <v>14</v>
      </c>
      <c r="D2046" t="s">
        <v>15</v>
      </c>
      <c r="E2046">
        <v>35</v>
      </c>
      <c r="F2046">
        <v>2</v>
      </c>
      <c r="G2046">
        <v>8.8000000000000007</v>
      </c>
      <c r="H2046" t="s">
        <v>12</v>
      </c>
      <c r="I2046" t="s">
        <v>13</v>
      </c>
      <c r="J2046" t="s">
        <v>15</v>
      </c>
    </row>
    <row r="2047" spans="1:10" x14ac:dyDescent="0.25">
      <c r="A2047">
        <v>2046</v>
      </c>
      <c r="B2047" s="1">
        <v>45294</v>
      </c>
      <c r="C2047" t="s">
        <v>22</v>
      </c>
      <c r="D2047" t="s">
        <v>17</v>
      </c>
      <c r="E2047">
        <v>24</v>
      </c>
      <c r="F2047">
        <v>62</v>
      </c>
      <c r="G2047">
        <v>9.8000000000000007</v>
      </c>
      <c r="H2047" t="s">
        <v>12</v>
      </c>
      <c r="I2047" t="s">
        <v>16</v>
      </c>
      <c r="J2047" t="s">
        <v>15</v>
      </c>
    </row>
    <row r="2048" spans="1:10" x14ac:dyDescent="0.25">
      <c r="A2048">
        <v>2047</v>
      </c>
      <c r="B2048" s="1">
        <v>45558</v>
      </c>
      <c r="C2048" t="s">
        <v>14</v>
      </c>
      <c r="D2048" t="s">
        <v>20</v>
      </c>
      <c r="E2048">
        <v>125</v>
      </c>
      <c r="F2048">
        <v>29</v>
      </c>
      <c r="G2048">
        <v>7.2</v>
      </c>
      <c r="H2048" t="s">
        <v>18</v>
      </c>
      <c r="I2048" t="s">
        <v>19</v>
      </c>
      <c r="J2048" t="s">
        <v>11</v>
      </c>
    </row>
    <row r="2049" spans="1:10" x14ac:dyDescent="0.25">
      <c r="A2049">
        <v>2048</v>
      </c>
      <c r="B2049" s="1">
        <v>45581</v>
      </c>
      <c r="C2049" t="s">
        <v>23</v>
      </c>
      <c r="D2049" t="s">
        <v>11</v>
      </c>
      <c r="E2049">
        <v>100</v>
      </c>
      <c r="F2049">
        <v>29</v>
      </c>
      <c r="G2049">
        <v>1.3</v>
      </c>
      <c r="H2049" t="s">
        <v>12</v>
      </c>
      <c r="I2049" t="s">
        <v>19</v>
      </c>
      <c r="J2049" t="s">
        <v>11</v>
      </c>
    </row>
    <row r="2050" spans="1:10" x14ac:dyDescent="0.25">
      <c r="A2050">
        <v>2049</v>
      </c>
      <c r="B2050" s="1">
        <v>45434</v>
      </c>
      <c r="C2050" t="s">
        <v>22</v>
      </c>
      <c r="D2050" t="s">
        <v>11</v>
      </c>
      <c r="E2050">
        <v>219</v>
      </c>
      <c r="F2050">
        <v>40</v>
      </c>
      <c r="G2050">
        <v>9.9</v>
      </c>
      <c r="H2050" t="s">
        <v>18</v>
      </c>
      <c r="I2050" t="s">
        <v>13</v>
      </c>
      <c r="J2050" t="s">
        <v>15</v>
      </c>
    </row>
    <row r="2051" spans="1:10" x14ac:dyDescent="0.25">
      <c r="A2051">
        <v>2050</v>
      </c>
      <c r="B2051" s="1">
        <v>45388</v>
      </c>
      <c r="C2051" t="s">
        <v>14</v>
      </c>
      <c r="D2051" t="s">
        <v>20</v>
      </c>
      <c r="E2051">
        <v>119</v>
      </c>
      <c r="F2051">
        <v>7</v>
      </c>
      <c r="G2051">
        <v>3.2</v>
      </c>
      <c r="H2051" t="s">
        <v>18</v>
      </c>
      <c r="I2051" t="s">
        <v>16</v>
      </c>
      <c r="J2051" t="s">
        <v>11</v>
      </c>
    </row>
    <row r="2052" spans="1:10" x14ac:dyDescent="0.25">
      <c r="A2052">
        <v>2051</v>
      </c>
      <c r="B2052" s="1">
        <v>45430</v>
      </c>
      <c r="C2052" t="s">
        <v>14</v>
      </c>
      <c r="D2052" t="s">
        <v>15</v>
      </c>
      <c r="E2052">
        <v>9</v>
      </c>
      <c r="F2052">
        <v>17</v>
      </c>
      <c r="G2052">
        <v>8.1999999999999993</v>
      </c>
      <c r="H2052" t="s">
        <v>18</v>
      </c>
      <c r="I2052" t="s">
        <v>19</v>
      </c>
      <c r="J2052" t="s">
        <v>20</v>
      </c>
    </row>
    <row r="2053" spans="1:10" x14ac:dyDescent="0.25">
      <c r="A2053">
        <v>2052</v>
      </c>
      <c r="B2053" s="1">
        <v>45570</v>
      </c>
      <c r="C2053" t="s">
        <v>23</v>
      </c>
      <c r="D2053" t="s">
        <v>11</v>
      </c>
      <c r="E2053">
        <v>38</v>
      </c>
      <c r="F2053">
        <v>62</v>
      </c>
      <c r="G2053">
        <v>6.5</v>
      </c>
      <c r="H2053" t="s">
        <v>18</v>
      </c>
      <c r="I2053" t="s">
        <v>16</v>
      </c>
      <c r="J2053" t="s">
        <v>15</v>
      </c>
    </row>
    <row r="2054" spans="1:10" x14ac:dyDescent="0.25">
      <c r="A2054">
        <v>2053</v>
      </c>
      <c r="B2054" s="1">
        <v>45543</v>
      </c>
      <c r="C2054" t="s">
        <v>23</v>
      </c>
      <c r="D2054" t="s">
        <v>15</v>
      </c>
      <c r="E2054">
        <v>143</v>
      </c>
      <c r="F2054">
        <v>10</v>
      </c>
      <c r="G2054">
        <v>5.8</v>
      </c>
      <c r="H2054" t="s">
        <v>18</v>
      </c>
      <c r="I2054" t="s">
        <v>16</v>
      </c>
      <c r="J2054" t="s">
        <v>15</v>
      </c>
    </row>
    <row r="2055" spans="1:10" x14ac:dyDescent="0.25">
      <c r="A2055">
        <v>2054</v>
      </c>
      <c r="B2055" s="1">
        <v>45456</v>
      </c>
      <c r="C2055" t="s">
        <v>10</v>
      </c>
      <c r="D2055" t="s">
        <v>15</v>
      </c>
      <c r="E2055">
        <v>72</v>
      </c>
      <c r="F2055">
        <v>13</v>
      </c>
      <c r="G2055">
        <v>8.9</v>
      </c>
      <c r="H2055" t="s">
        <v>12</v>
      </c>
      <c r="I2055" t="s">
        <v>16</v>
      </c>
      <c r="J2055" t="s">
        <v>11</v>
      </c>
    </row>
    <row r="2056" spans="1:10" x14ac:dyDescent="0.25">
      <c r="A2056">
        <v>2055</v>
      </c>
      <c r="B2056" s="1">
        <v>45297</v>
      </c>
      <c r="C2056" t="s">
        <v>14</v>
      </c>
      <c r="D2056" t="s">
        <v>15</v>
      </c>
      <c r="E2056">
        <v>72</v>
      </c>
      <c r="F2056">
        <v>41</v>
      </c>
      <c r="G2056">
        <v>4.2</v>
      </c>
      <c r="H2056" t="s">
        <v>12</v>
      </c>
      <c r="I2056" t="s">
        <v>13</v>
      </c>
      <c r="J2056" t="s">
        <v>11</v>
      </c>
    </row>
    <row r="2057" spans="1:10" x14ac:dyDescent="0.25">
      <c r="A2057">
        <v>2056</v>
      </c>
      <c r="B2057" s="1">
        <v>45557</v>
      </c>
      <c r="C2057" t="s">
        <v>23</v>
      </c>
      <c r="D2057" t="s">
        <v>11</v>
      </c>
      <c r="E2057">
        <v>106</v>
      </c>
      <c r="F2057">
        <v>15</v>
      </c>
      <c r="G2057">
        <v>1.8</v>
      </c>
      <c r="H2057" t="s">
        <v>18</v>
      </c>
      <c r="I2057" t="s">
        <v>16</v>
      </c>
      <c r="J2057" t="s">
        <v>11</v>
      </c>
    </row>
    <row r="2058" spans="1:10" x14ac:dyDescent="0.25">
      <c r="A2058">
        <v>2057</v>
      </c>
      <c r="B2058" s="1">
        <v>45579</v>
      </c>
      <c r="C2058" t="s">
        <v>10</v>
      </c>
      <c r="D2058" t="s">
        <v>15</v>
      </c>
      <c r="E2058">
        <v>113</v>
      </c>
      <c r="F2058">
        <v>18</v>
      </c>
      <c r="G2058">
        <v>9.4</v>
      </c>
      <c r="H2058" t="s">
        <v>18</v>
      </c>
      <c r="I2058" t="s">
        <v>13</v>
      </c>
      <c r="J2058" t="s">
        <v>15</v>
      </c>
    </row>
    <row r="2059" spans="1:10" x14ac:dyDescent="0.25">
      <c r="A2059">
        <v>2058</v>
      </c>
      <c r="B2059" s="1">
        <v>45303</v>
      </c>
      <c r="C2059" t="s">
        <v>21</v>
      </c>
      <c r="D2059" t="s">
        <v>11</v>
      </c>
      <c r="E2059">
        <v>31</v>
      </c>
      <c r="F2059">
        <v>56</v>
      </c>
      <c r="G2059">
        <v>7.1</v>
      </c>
      <c r="H2059" t="s">
        <v>12</v>
      </c>
      <c r="I2059" t="s">
        <v>13</v>
      </c>
      <c r="J2059" t="s">
        <v>11</v>
      </c>
    </row>
    <row r="2060" spans="1:10" x14ac:dyDescent="0.25">
      <c r="A2060">
        <v>2059</v>
      </c>
      <c r="B2060" s="1">
        <v>45365</v>
      </c>
      <c r="C2060" t="s">
        <v>21</v>
      </c>
      <c r="D2060" t="s">
        <v>11</v>
      </c>
      <c r="E2060">
        <v>48</v>
      </c>
      <c r="F2060">
        <v>47</v>
      </c>
      <c r="G2060">
        <v>3.2</v>
      </c>
      <c r="H2060" t="s">
        <v>18</v>
      </c>
      <c r="I2060" t="s">
        <v>19</v>
      </c>
      <c r="J2060" t="s">
        <v>11</v>
      </c>
    </row>
    <row r="2061" spans="1:10" x14ac:dyDescent="0.25">
      <c r="A2061">
        <v>2060</v>
      </c>
      <c r="B2061" s="1">
        <v>45477</v>
      </c>
      <c r="C2061" t="s">
        <v>10</v>
      </c>
      <c r="D2061" t="s">
        <v>15</v>
      </c>
      <c r="E2061">
        <v>238</v>
      </c>
      <c r="F2061">
        <v>29</v>
      </c>
      <c r="G2061">
        <v>5.7</v>
      </c>
      <c r="H2061" t="s">
        <v>12</v>
      </c>
      <c r="I2061" t="s">
        <v>19</v>
      </c>
      <c r="J2061" t="s">
        <v>11</v>
      </c>
    </row>
    <row r="2062" spans="1:10" x14ac:dyDescent="0.25">
      <c r="A2062">
        <v>2061</v>
      </c>
      <c r="B2062" s="1">
        <v>45550</v>
      </c>
      <c r="C2062" t="s">
        <v>14</v>
      </c>
      <c r="D2062" t="s">
        <v>17</v>
      </c>
      <c r="E2062">
        <v>68</v>
      </c>
      <c r="F2062">
        <v>48</v>
      </c>
      <c r="G2062">
        <v>6.5</v>
      </c>
      <c r="H2062" t="s">
        <v>18</v>
      </c>
      <c r="I2062" t="s">
        <v>19</v>
      </c>
      <c r="J2062" t="s">
        <v>11</v>
      </c>
    </row>
    <row r="2063" spans="1:10" x14ac:dyDescent="0.25">
      <c r="A2063">
        <v>2062</v>
      </c>
      <c r="B2063" s="1">
        <v>45586</v>
      </c>
      <c r="C2063" t="s">
        <v>10</v>
      </c>
      <c r="D2063" t="s">
        <v>15</v>
      </c>
      <c r="E2063">
        <v>88</v>
      </c>
      <c r="F2063">
        <v>51</v>
      </c>
      <c r="G2063">
        <v>7</v>
      </c>
      <c r="H2063" t="s">
        <v>12</v>
      </c>
      <c r="I2063" t="s">
        <v>16</v>
      </c>
      <c r="J2063" t="s">
        <v>11</v>
      </c>
    </row>
    <row r="2064" spans="1:10" x14ac:dyDescent="0.25">
      <c r="A2064">
        <v>2063</v>
      </c>
      <c r="B2064" s="1">
        <v>45573</v>
      </c>
      <c r="C2064" t="s">
        <v>14</v>
      </c>
      <c r="D2064" t="s">
        <v>15</v>
      </c>
      <c r="E2064">
        <v>102</v>
      </c>
      <c r="F2064">
        <v>10</v>
      </c>
      <c r="G2064">
        <v>10</v>
      </c>
      <c r="H2064" t="s">
        <v>12</v>
      </c>
      <c r="I2064" t="s">
        <v>13</v>
      </c>
      <c r="J2064" t="s">
        <v>11</v>
      </c>
    </row>
    <row r="2065" spans="1:10" x14ac:dyDescent="0.25">
      <c r="A2065">
        <v>2064</v>
      </c>
      <c r="B2065" s="1">
        <v>45382</v>
      </c>
      <c r="C2065" t="s">
        <v>22</v>
      </c>
      <c r="D2065" t="s">
        <v>20</v>
      </c>
      <c r="E2065">
        <v>131</v>
      </c>
      <c r="F2065">
        <v>56</v>
      </c>
      <c r="G2065">
        <v>9.6999999999999993</v>
      </c>
      <c r="H2065" t="s">
        <v>12</v>
      </c>
      <c r="I2065" t="s">
        <v>13</v>
      </c>
      <c r="J2065" t="s">
        <v>11</v>
      </c>
    </row>
    <row r="2066" spans="1:10" x14ac:dyDescent="0.25">
      <c r="A2066">
        <v>2065</v>
      </c>
      <c r="B2066" s="1">
        <v>45581</v>
      </c>
      <c r="C2066" t="s">
        <v>23</v>
      </c>
      <c r="D2066" t="s">
        <v>17</v>
      </c>
      <c r="E2066">
        <v>153</v>
      </c>
      <c r="F2066">
        <v>1</v>
      </c>
      <c r="G2066">
        <v>9</v>
      </c>
      <c r="H2066" t="s">
        <v>18</v>
      </c>
      <c r="I2066" t="s">
        <v>13</v>
      </c>
      <c r="J2066" t="s">
        <v>15</v>
      </c>
    </row>
    <row r="2067" spans="1:10" x14ac:dyDescent="0.25">
      <c r="A2067">
        <v>2066</v>
      </c>
      <c r="B2067" s="1">
        <v>45437</v>
      </c>
      <c r="C2067" t="s">
        <v>22</v>
      </c>
      <c r="D2067" t="s">
        <v>17</v>
      </c>
      <c r="E2067">
        <v>114</v>
      </c>
      <c r="F2067">
        <v>46</v>
      </c>
      <c r="G2067">
        <v>7.9</v>
      </c>
      <c r="H2067" t="s">
        <v>18</v>
      </c>
      <c r="I2067" t="s">
        <v>16</v>
      </c>
      <c r="J2067" t="s">
        <v>11</v>
      </c>
    </row>
    <row r="2068" spans="1:10" x14ac:dyDescent="0.25">
      <c r="A2068">
        <v>2067</v>
      </c>
      <c r="B2068" s="1">
        <v>45515</v>
      </c>
      <c r="C2068" t="s">
        <v>10</v>
      </c>
      <c r="D2068" t="s">
        <v>20</v>
      </c>
      <c r="E2068">
        <v>183</v>
      </c>
      <c r="F2068">
        <v>52</v>
      </c>
      <c r="G2068">
        <v>9.9</v>
      </c>
      <c r="H2068" t="s">
        <v>18</v>
      </c>
      <c r="I2068" t="s">
        <v>13</v>
      </c>
      <c r="J2068" t="s">
        <v>11</v>
      </c>
    </row>
    <row r="2069" spans="1:10" x14ac:dyDescent="0.25">
      <c r="A2069">
        <v>2068</v>
      </c>
      <c r="B2069" s="1">
        <v>45383</v>
      </c>
      <c r="C2069" t="s">
        <v>21</v>
      </c>
      <c r="D2069" t="s">
        <v>17</v>
      </c>
      <c r="E2069">
        <v>16</v>
      </c>
      <c r="F2069">
        <v>58</v>
      </c>
      <c r="G2069">
        <v>9.8000000000000007</v>
      </c>
      <c r="H2069" t="s">
        <v>12</v>
      </c>
      <c r="I2069" t="s">
        <v>19</v>
      </c>
      <c r="J2069" t="s">
        <v>15</v>
      </c>
    </row>
    <row r="2070" spans="1:10" x14ac:dyDescent="0.25">
      <c r="A2070">
        <v>2069</v>
      </c>
      <c r="B2070" s="1">
        <v>45657</v>
      </c>
      <c r="C2070" t="s">
        <v>14</v>
      </c>
      <c r="D2070" t="s">
        <v>17</v>
      </c>
      <c r="E2070">
        <v>160</v>
      </c>
      <c r="F2070">
        <v>63</v>
      </c>
      <c r="G2070">
        <v>6.6</v>
      </c>
      <c r="H2070" t="s">
        <v>18</v>
      </c>
      <c r="I2070" t="s">
        <v>16</v>
      </c>
      <c r="J2070" t="s">
        <v>11</v>
      </c>
    </row>
    <row r="2071" spans="1:10" x14ac:dyDescent="0.25">
      <c r="A2071">
        <v>2070</v>
      </c>
      <c r="B2071" s="1">
        <v>45502</v>
      </c>
      <c r="C2071" t="s">
        <v>14</v>
      </c>
      <c r="D2071" t="s">
        <v>20</v>
      </c>
      <c r="E2071">
        <v>134</v>
      </c>
      <c r="F2071">
        <v>63</v>
      </c>
      <c r="G2071">
        <v>4.8</v>
      </c>
      <c r="H2071" t="s">
        <v>12</v>
      </c>
      <c r="I2071" t="s">
        <v>19</v>
      </c>
      <c r="J2071" t="s">
        <v>11</v>
      </c>
    </row>
    <row r="2072" spans="1:10" x14ac:dyDescent="0.25">
      <c r="A2072">
        <v>2071</v>
      </c>
      <c r="B2072" s="1">
        <v>45558</v>
      </c>
      <c r="C2072" t="s">
        <v>22</v>
      </c>
      <c r="D2072" t="s">
        <v>17</v>
      </c>
      <c r="E2072">
        <v>175</v>
      </c>
      <c r="F2072">
        <v>1</v>
      </c>
      <c r="G2072">
        <v>8.6</v>
      </c>
      <c r="H2072" t="s">
        <v>12</v>
      </c>
      <c r="I2072" t="s">
        <v>13</v>
      </c>
      <c r="J2072" t="s">
        <v>15</v>
      </c>
    </row>
    <row r="2073" spans="1:10" x14ac:dyDescent="0.25">
      <c r="A2073">
        <v>2072</v>
      </c>
      <c r="B2073" s="1">
        <v>45393</v>
      </c>
      <c r="C2073" t="s">
        <v>23</v>
      </c>
      <c r="D2073" t="s">
        <v>20</v>
      </c>
      <c r="E2073">
        <v>157</v>
      </c>
      <c r="F2073">
        <v>39</v>
      </c>
      <c r="G2073">
        <v>8.8000000000000007</v>
      </c>
      <c r="H2073" t="s">
        <v>18</v>
      </c>
      <c r="I2073" t="s">
        <v>19</v>
      </c>
      <c r="J2073" t="s">
        <v>11</v>
      </c>
    </row>
    <row r="2074" spans="1:10" x14ac:dyDescent="0.25">
      <c r="A2074">
        <v>2073</v>
      </c>
      <c r="B2074" s="1">
        <v>45487</v>
      </c>
      <c r="C2074" t="s">
        <v>21</v>
      </c>
      <c r="D2074" t="s">
        <v>11</v>
      </c>
      <c r="E2074">
        <v>42</v>
      </c>
      <c r="F2074">
        <v>43</v>
      </c>
      <c r="G2074">
        <v>2.8</v>
      </c>
      <c r="H2074" t="s">
        <v>12</v>
      </c>
      <c r="I2074" t="s">
        <v>19</v>
      </c>
      <c r="J2074" t="s">
        <v>11</v>
      </c>
    </row>
    <row r="2075" spans="1:10" x14ac:dyDescent="0.25">
      <c r="A2075">
        <v>2074</v>
      </c>
      <c r="B2075" s="1">
        <v>45350</v>
      </c>
      <c r="C2075" t="s">
        <v>23</v>
      </c>
      <c r="D2075" t="s">
        <v>20</v>
      </c>
      <c r="E2075">
        <v>67</v>
      </c>
      <c r="F2075">
        <v>29</v>
      </c>
      <c r="G2075">
        <v>5.3</v>
      </c>
      <c r="H2075" t="s">
        <v>12</v>
      </c>
      <c r="I2075" t="s">
        <v>13</v>
      </c>
      <c r="J2075" t="s">
        <v>11</v>
      </c>
    </row>
    <row r="2076" spans="1:10" x14ac:dyDescent="0.25">
      <c r="A2076">
        <v>2075</v>
      </c>
      <c r="B2076" s="1">
        <v>45360</v>
      </c>
      <c r="C2076" t="s">
        <v>23</v>
      </c>
      <c r="D2076" t="s">
        <v>17</v>
      </c>
      <c r="E2076">
        <v>15</v>
      </c>
      <c r="F2076">
        <v>17</v>
      </c>
      <c r="G2076">
        <v>5.6</v>
      </c>
      <c r="H2076" t="s">
        <v>12</v>
      </c>
      <c r="I2076" t="s">
        <v>13</v>
      </c>
      <c r="J2076" t="s">
        <v>15</v>
      </c>
    </row>
    <row r="2077" spans="1:10" x14ac:dyDescent="0.25">
      <c r="A2077">
        <v>2076</v>
      </c>
      <c r="B2077" s="1">
        <v>45496</v>
      </c>
      <c r="C2077" t="s">
        <v>10</v>
      </c>
      <c r="D2077" t="s">
        <v>20</v>
      </c>
      <c r="E2077">
        <v>225</v>
      </c>
      <c r="F2077">
        <v>2</v>
      </c>
      <c r="G2077">
        <v>8.4</v>
      </c>
      <c r="H2077" t="s">
        <v>18</v>
      </c>
      <c r="I2077" t="s">
        <v>13</v>
      </c>
      <c r="J2077" t="s">
        <v>15</v>
      </c>
    </row>
    <row r="2078" spans="1:10" x14ac:dyDescent="0.25">
      <c r="A2078">
        <v>2077</v>
      </c>
      <c r="B2078" s="1">
        <v>45333</v>
      </c>
      <c r="C2078" t="s">
        <v>23</v>
      </c>
      <c r="D2078" t="s">
        <v>11</v>
      </c>
      <c r="E2078">
        <v>19</v>
      </c>
      <c r="F2078">
        <v>46</v>
      </c>
      <c r="G2078">
        <v>7</v>
      </c>
      <c r="H2078" t="s">
        <v>12</v>
      </c>
      <c r="I2078" t="s">
        <v>16</v>
      </c>
      <c r="J2078" t="s">
        <v>15</v>
      </c>
    </row>
    <row r="2079" spans="1:10" x14ac:dyDescent="0.25">
      <c r="A2079">
        <v>2078</v>
      </c>
      <c r="B2079" s="1">
        <v>45527</v>
      </c>
      <c r="C2079" t="s">
        <v>14</v>
      </c>
      <c r="D2079" t="s">
        <v>15</v>
      </c>
      <c r="E2079">
        <v>160</v>
      </c>
      <c r="F2079">
        <v>7</v>
      </c>
      <c r="G2079">
        <v>9.4</v>
      </c>
      <c r="H2079" t="s">
        <v>18</v>
      </c>
      <c r="I2079" t="s">
        <v>19</v>
      </c>
      <c r="J2079" t="s">
        <v>15</v>
      </c>
    </row>
    <row r="2080" spans="1:10" x14ac:dyDescent="0.25">
      <c r="A2080">
        <v>2079</v>
      </c>
      <c r="B2080" s="1">
        <v>45380</v>
      </c>
      <c r="C2080" t="s">
        <v>14</v>
      </c>
      <c r="D2080" t="s">
        <v>15</v>
      </c>
      <c r="E2080">
        <v>72</v>
      </c>
      <c r="F2080">
        <v>60</v>
      </c>
      <c r="G2080">
        <v>4.2</v>
      </c>
      <c r="H2080" t="s">
        <v>12</v>
      </c>
      <c r="I2080" t="s">
        <v>16</v>
      </c>
      <c r="J2080" t="s">
        <v>11</v>
      </c>
    </row>
    <row r="2081" spans="1:10" x14ac:dyDescent="0.25">
      <c r="A2081">
        <v>2080</v>
      </c>
      <c r="B2081" s="1">
        <v>45614</v>
      </c>
      <c r="C2081" t="s">
        <v>23</v>
      </c>
      <c r="D2081" t="s">
        <v>17</v>
      </c>
      <c r="E2081">
        <v>91</v>
      </c>
      <c r="F2081">
        <v>6</v>
      </c>
      <c r="G2081">
        <v>4.5</v>
      </c>
      <c r="H2081" t="s">
        <v>18</v>
      </c>
      <c r="I2081" t="s">
        <v>13</v>
      </c>
      <c r="J2081" t="s">
        <v>15</v>
      </c>
    </row>
    <row r="2082" spans="1:10" x14ac:dyDescent="0.25">
      <c r="A2082">
        <v>2081</v>
      </c>
      <c r="B2082" s="1">
        <v>45550</v>
      </c>
      <c r="C2082" t="s">
        <v>22</v>
      </c>
      <c r="D2082" t="s">
        <v>11</v>
      </c>
      <c r="E2082">
        <v>238</v>
      </c>
      <c r="F2082">
        <v>42</v>
      </c>
      <c r="G2082">
        <v>3.9</v>
      </c>
      <c r="H2082" t="s">
        <v>18</v>
      </c>
      <c r="I2082" t="s">
        <v>13</v>
      </c>
      <c r="J2082" t="s">
        <v>11</v>
      </c>
    </row>
    <row r="2083" spans="1:10" x14ac:dyDescent="0.25">
      <c r="A2083">
        <v>2082</v>
      </c>
      <c r="B2083" s="1">
        <v>45355</v>
      </c>
      <c r="C2083" t="s">
        <v>14</v>
      </c>
      <c r="D2083" t="s">
        <v>17</v>
      </c>
      <c r="E2083">
        <v>97</v>
      </c>
      <c r="F2083">
        <v>34</v>
      </c>
      <c r="G2083">
        <v>8.6999999999999993</v>
      </c>
      <c r="H2083" t="s">
        <v>18</v>
      </c>
      <c r="I2083" t="s">
        <v>13</v>
      </c>
      <c r="J2083" t="s">
        <v>11</v>
      </c>
    </row>
    <row r="2084" spans="1:10" x14ac:dyDescent="0.25">
      <c r="A2084">
        <v>2083</v>
      </c>
      <c r="B2084" s="1">
        <v>45439</v>
      </c>
      <c r="C2084" t="s">
        <v>21</v>
      </c>
      <c r="D2084" t="s">
        <v>11</v>
      </c>
      <c r="E2084">
        <v>204</v>
      </c>
      <c r="F2084">
        <v>32</v>
      </c>
      <c r="G2084">
        <v>5.3</v>
      </c>
      <c r="H2084" t="s">
        <v>18</v>
      </c>
      <c r="I2084" t="s">
        <v>13</v>
      </c>
      <c r="J2084" t="s">
        <v>15</v>
      </c>
    </row>
    <row r="2085" spans="1:10" x14ac:dyDescent="0.25">
      <c r="A2085">
        <v>2084</v>
      </c>
      <c r="B2085" s="1">
        <v>45307</v>
      </c>
      <c r="C2085" t="s">
        <v>10</v>
      </c>
      <c r="D2085" t="s">
        <v>11</v>
      </c>
      <c r="E2085">
        <v>68</v>
      </c>
      <c r="F2085">
        <v>38</v>
      </c>
      <c r="G2085">
        <v>5.5</v>
      </c>
      <c r="H2085" t="s">
        <v>12</v>
      </c>
      <c r="I2085" t="s">
        <v>19</v>
      </c>
      <c r="J2085" t="s">
        <v>11</v>
      </c>
    </row>
    <row r="2086" spans="1:10" x14ac:dyDescent="0.25">
      <c r="A2086">
        <v>2085</v>
      </c>
      <c r="B2086" s="1">
        <v>45486</v>
      </c>
      <c r="C2086" t="s">
        <v>21</v>
      </c>
      <c r="D2086" t="s">
        <v>17</v>
      </c>
      <c r="E2086">
        <v>71</v>
      </c>
      <c r="F2086">
        <v>70</v>
      </c>
      <c r="G2086">
        <v>3.5</v>
      </c>
      <c r="H2086" t="s">
        <v>18</v>
      </c>
      <c r="I2086" t="s">
        <v>16</v>
      </c>
      <c r="J2086" t="s">
        <v>11</v>
      </c>
    </row>
    <row r="2087" spans="1:10" x14ac:dyDescent="0.25">
      <c r="A2087">
        <v>2086</v>
      </c>
      <c r="B2087" s="1">
        <v>45546</v>
      </c>
      <c r="C2087" t="s">
        <v>23</v>
      </c>
      <c r="D2087" t="s">
        <v>15</v>
      </c>
      <c r="E2087">
        <v>38</v>
      </c>
      <c r="F2087">
        <v>61</v>
      </c>
      <c r="G2087">
        <v>8.9</v>
      </c>
      <c r="H2087" t="s">
        <v>18</v>
      </c>
      <c r="I2087" t="s">
        <v>16</v>
      </c>
      <c r="J2087" t="s">
        <v>15</v>
      </c>
    </row>
    <row r="2088" spans="1:10" x14ac:dyDescent="0.25">
      <c r="A2088">
        <v>2087</v>
      </c>
      <c r="B2088" s="1">
        <v>45411</v>
      </c>
      <c r="C2088" t="s">
        <v>23</v>
      </c>
      <c r="D2088" t="s">
        <v>11</v>
      </c>
      <c r="E2088">
        <v>163</v>
      </c>
      <c r="F2088">
        <v>34</v>
      </c>
      <c r="G2088">
        <v>3.1</v>
      </c>
      <c r="H2088" t="s">
        <v>12</v>
      </c>
      <c r="I2088" t="s">
        <v>19</v>
      </c>
      <c r="J2088" t="s">
        <v>11</v>
      </c>
    </row>
    <row r="2089" spans="1:10" x14ac:dyDescent="0.25">
      <c r="A2089">
        <v>2088</v>
      </c>
      <c r="B2089" s="1">
        <v>45611</v>
      </c>
      <c r="C2089" t="s">
        <v>22</v>
      </c>
      <c r="D2089" t="s">
        <v>20</v>
      </c>
      <c r="E2089">
        <v>63</v>
      </c>
      <c r="F2089">
        <v>53</v>
      </c>
      <c r="G2089">
        <v>7.7</v>
      </c>
      <c r="H2089" t="s">
        <v>12</v>
      </c>
      <c r="I2089" t="s">
        <v>13</v>
      </c>
      <c r="J2089" t="s">
        <v>11</v>
      </c>
    </row>
    <row r="2090" spans="1:10" x14ac:dyDescent="0.25">
      <c r="A2090">
        <v>2089</v>
      </c>
      <c r="B2090" s="1">
        <v>45458</v>
      </c>
      <c r="C2090" t="s">
        <v>10</v>
      </c>
      <c r="D2090" t="s">
        <v>20</v>
      </c>
      <c r="E2090">
        <v>125</v>
      </c>
      <c r="F2090">
        <v>66</v>
      </c>
      <c r="G2090">
        <v>4.7</v>
      </c>
      <c r="H2090" t="s">
        <v>18</v>
      </c>
      <c r="I2090" t="s">
        <v>16</v>
      </c>
      <c r="J2090" t="s">
        <v>11</v>
      </c>
    </row>
    <row r="2091" spans="1:10" x14ac:dyDescent="0.25">
      <c r="A2091">
        <v>2090</v>
      </c>
      <c r="B2091" s="1">
        <v>45494</v>
      </c>
      <c r="C2091" t="s">
        <v>10</v>
      </c>
      <c r="D2091" t="s">
        <v>11</v>
      </c>
      <c r="E2091">
        <v>26</v>
      </c>
      <c r="F2091">
        <v>61</v>
      </c>
      <c r="G2091">
        <v>6.5</v>
      </c>
      <c r="H2091" t="s">
        <v>12</v>
      </c>
      <c r="I2091" t="s">
        <v>13</v>
      </c>
      <c r="J2091" t="s">
        <v>15</v>
      </c>
    </row>
    <row r="2092" spans="1:10" x14ac:dyDescent="0.25">
      <c r="A2092">
        <v>2091</v>
      </c>
      <c r="B2092" s="1">
        <v>45493</v>
      </c>
      <c r="C2092" t="s">
        <v>10</v>
      </c>
      <c r="D2092" t="s">
        <v>11</v>
      </c>
      <c r="E2092">
        <v>130</v>
      </c>
      <c r="F2092">
        <v>44</v>
      </c>
      <c r="G2092">
        <v>9.3000000000000007</v>
      </c>
      <c r="H2092" t="s">
        <v>12</v>
      </c>
      <c r="I2092" t="s">
        <v>19</v>
      </c>
      <c r="J2092" t="s">
        <v>11</v>
      </c>
    </row>
    <row r="2093" spans="1:10" x14ac:dyDescent="0.25">
      <c r="A2093">
        <v>2092</v>
      </c>
      <c r="B2093" s="1">
        <v>45310</v>
      </c>
      <c r="C2093" t="s">
        <v>14</v>
      </c>
      <c r="D2093" t="s">
        <v>15</v>
      </c>
      <c r="E2093">
        <v>35</v>
      </c>
      <c r="F2093">
        <v>19</v>
      </c>
      <c r="G2093">
        <v>9.8000000000000007</v>
      </c>
      <c r="H2093" t="s">
        <v>18</v>
      </c>
      <c r="I2093" t="s">
        <v>19</v>
      </c>
      <c r="J2093" t="s">
        <v>15</v>
      </c>
    </row>
    <row r="2094" spans="1:10" x14ac:dyDescent="0.25">
      <c r="A2094">
        <v>2093</v>
      </c>
      <c r="B2094" s="1">
        <v>45590</v>
      </c>
      <c r="C2094" t="s">
        <v>21</v>
      </c>
      <c r="D2094" t="s">
        <v>11</v>
      </c>
      <c r="E2094">
        <v>174</v>
      </c>
      <c r="F2094">
        <v>19</v>
      </c>
      <c r="G2094">
        <v>2.9</v>
      </c>
      <c r="H2094" t="s">
        <v>18</v>
      </c>
      <c r="I2094" t="s">
        <v>16</v>
      </c>
      <c r="J2094" t="s">
        <v>11</v>
      </c>
    </row>
    <row r="2095" spans="1:10" x14ac:dyDescent="0.25">
      <c r="A2095">
        <v>2094</v>
      </c>
      <c r="B2095" s="1">
        <v>45589</v>
      </c>
      <c r="C2095" t="s">
        <v>14</v>
      </c>
      <c r="D2095" t="s">
        <v>20</v>
      </c>
      <c r="E2095">
        <v>179</v>
      </c>
      <c r="F2095">
        <v>34</v>
      </c>
      <c r="G2095">
        <v>7.4</v>
      </c>
      <c r="H2095" t="s">
        <v>18</v>
      </c>
      <c r="I2095" t="s">
        <v>19</v>
      </c>
      <c r="J2095" t="s">
        <v>11</v>
      </c>
    </row>
    <row r="2096" spans="1:10" x14ac:dyDescent="0.25">
      <c r="A2096">
        <v>2095</v>
      </c>
      <c r="B2096" s="1">
        <v>45419</v>
      </c>
      <c r="C2096" t="s">
        <v>10</v>
      </c>
      <c r="D2096" t="s">
        <v>11</v>
      </c>
      <c r="E2096">
        <v>109</v>
      </c>
      <c r="F2096">
        <v>26</v>
      </c>
      <c r="G2096">
        <v>4.3</v>
      </c>
      <c r="H2096" t="s">
        <v>18</v>
      </c>
      <c r="I2096" t="s">
        <v>16</v>
      </c>
      <c r="J2096" t="s">
        <v>11</v>
      </c>
    </row>
    <row r="2097" spans="1:10" x14ac:dyDescent="0.25">
      <c r="A2097">
        <v>2096</v>
      </c>
      <c r="B2097" s="1">
        <v>45372</v>
      </c>
      <c r="C2097" t="s">
        <v>10</v>
      </c>
      <c r="D2097" t="s">
        <v>17</v>
      </c>
      <c r="E2097">
        <v>87</v>
      </c>
      <c r="F2097">
        <v>16</v>
      </c>
      <c r="G2097">
        <v>6</v>
      </c>
      <c r="H2097" t="s">
        <v>12</v>
      </c>
      <c r="I2097" t="s">
        <v>19</v>
      </c>
      <c r="J2097" t="s">
        <v>11</v>
      </c>
    </row>
    <row r="2098" spans="1:10" x14ac:dyDescent="0.25">
      <c r="A2098">
        <v>2097</v>
      </c>
      <c r="B2098" s="1">
        <v>45647</v>
      </c>
      <c r="C2098" t="s">
        <v>23</v>
      </c>
      <c r="D2098" t="s">
        <v>11</v>
      </c>
      <c r="E2098">
        <v>183</v>
      </c>
      <c r="F2098">
        <v>72</v>
      </c>
      <c r="G2098">
        <v>8.6</v>
      </c>
      <c r="H2098" t="s">
        <v>18</v>
      </c>
      <c r="I2098" t="s">
        <v>16</v>
      </c>
      <c r="J2098" t="s">
        <v>15</v>
      </c>
    </row>
    <row r="2099" spans="1:10" x14ac:dyDescent="0.25">
      <c r="A2099">
        <v>2098</v>
      </c>
      <c r="B2099" s="1">
        <v>45523</v>
      </c>
      <c r="C2099" t="s">
        <v>10</v>
      </c>
      <c r="D2099" t="s">
        <v>15</v>
      </c>
      <c r="E2099">
        <v>128</v>
      </c>
      <c r="F2099">
        <v>3</v>
      </c>
      <c r="G2099">
        <v>6.4</v>
      </c>
      <c r="H2099" t="s">
        <v>18</v>
      </c>
      <c r="I2099" t="s">
        <v>13</v>
      </c>
      <c r="J2099" t="s">
        <v>20</v>
      </c>
    </row>
    <row r="2100" spans="1:10" x14ac:dyDescent="0.25">
      <c r="A2100">
        <v>2099</v>
      </c>
      <c r="B2100" s="1">
        <v>45408</v>
      </c>
      <c r="C2100" t="s">
        <v>10</v>
      </c>
      <c r="D2100" t="s">
        <v>15</v>
      </c>
      <c r="E2100">
        <v>222</v>
      </c>
      <c r="F2100">
        <v>1</v>
      </c>
      <c r="G2100">
        <v>7.3</v>
      </c>
      <c r="H2100" t="s">
        <v>18</v>
      </c>
      <c r="I2100" t="s">
        <v>13</v>
      </c>
      <c r="J2100" t="s">
        <v>20</v>
      </c>
    </row>
    <row r="2101" spans="1:10" x14ac:dyDescent="0.25">
      <c r="A2101">
        <v>2100</v>
      </c>
      <c r="B2101" s="1">
        <v>45479</v>
      </c>
      <c r="C2101" t="s">
        <v>22</v>
      </c>
      <c r="D2101" t="s">
        <v>15</v>
      </c>
      <c r="E2101">
        <v>163</v>
      </c>
      <c r="F2101">
        <v>39</v>
      </c>
      <c r="G2101">
        <v>4.4000000000000004</v>
      </c>
      <c r="H2101" t="s">
        <v>12</v>
      </c>
      <c r="I2101" t="s">
        <v>13</v>
      </c>
      <c r="J2101" t="s">
        <v>11</v>
      </c>
    </row>
    <row r="2102" spans="1:10" x14ac:dyDescent="0.25">
      <c r="A2102">
        <v>2101</v>
      </c>
      <c r="B2102" s="1">
        <v>45493</v>
      </c>
      <c r="C2102" t="s">
        <v>23</v>
      </c>
      <c r="D2102" t="s">
        <v>15</v>
      </c>
      <c r="E2102">
        <v>41</v>
      </c>
      <c r="F2102">
        <v>51</v>
      </c>
      <c r="G2102">
        <v>2.7</v>
      </c>
      <c r="H2102" t="s">
        <v>12</v>
      </c>
      <c r="I2102" t="s">
        <v>16</v>
      </c>
      <c r="J2102" t="s">
        <v>11</v>
      </c>
    </row>
    <row r="2103" spans="1:10" x14ac:dyDescent="0.25">
      <c r="A2103">
        <v>2102</v>
      </c>
      <c r="B2103" s="1">
        <v>45347</v>
      </c>
      <c r="C2103" t="s">
        <v>23</v>
      </c>
      <c r="D2103" t="s">
        <v>11</v>
      </c>
      <c r="E2103">
        <v>239</v>
      </c>
      <c r="F2103">
        <v>69</v>
      </c>
      <c r="G2103">
        <v>3.3</v>
      </c>
      <c r="H2103" t="s">
        <v>18</v>
      </c>
      <c r="I2103" t="s">
        <v>13</v>
      </c>
      <c r="J2103" t="s">
        <v>11</v>
      </c>
    </row>
    <row r="2104" spans="1:10" x14ac:dyDescent="0.25">
      <c r="A2104">
        <v>2103</v>
      </c>
      <c r="B2104" s="1">
        <v>45555</v>
      </c>
      <c r="C2104" t="s">
        <v>14</v>
      </c>
      <c r="D2104" t="s">
        <v>17</v>
      </c>
      <c r="E2104">
        <v>60</v>
      </c>
      <c r="F2104">
        <v>19</v>
      </c>
      <c r="G2104">
        <v>0.5</v>
      </c>
      <c r="H2104" t="s">
        <v>12</v>
      </c>
      <c r="I2104" t="s">
        <v>16</v>
      </c>
      <c r="J2104" t="s">
        <v>11</v>
      </c>
    </row>
    <row r="2105" spans="1:10" x14ac:dyDescent="0.25">
      <c r="A2105">
        <v>2104</v>
      </c>
      <c r="B2105" s="1">
        <v>45604</v>
      </c>
      <c r="C2105" t="s">
        <v>14</v>
      </c>
      <c r="D2105" t="s">
        <v>17</v>
      </c>
      <c r="E2105">
        <v>45</v>
      </c>
      <c r="F2105">
        <v>72</v>
      </c>
      <c r="G2105">
        <v>8.5</v>
      </c>
      <c r="H2105" t="s">
        <v>12</v>
      </c>
      <c r="I2105" t="s">
        <v>16</v>
      </c>
      <c r="J2105" t="s">
        <v>11</v>
      </c>
    </row>
    <row r="2106" spans="1:10" x14ac:dyDescent="0.25">
      <c r="A2106">
        <v>2105</v>
      </c>
      <c r="B2106" s="1">
        <v>45455</v>
      </c>
      <c r="C2106" t="s">
        <v>22</v>
      </c>
      <c r="D2106" t="s">
        <v>17</v>
      </c>
      <c r="E2106">
        <v>89</v>
      </c>
      <c r="F2106">
        <v>22</v>
      </c>
      <c r="G2106">
        <v>2.9</v>
      </c>
      <c r="H2106" t="s">
        <v>18</v>
      </c>
      <c r="I2106" t="s">
        <v>16</v>
      </c>
      <c r="J2106" t="s">
        <v>11</v>
      </c>
    </row>
    <row r="2107" spans="1:10" x14ac:dyDescent="0.25">
      <c r="A2107">
        <v>2106</v>
      </c>
      <c r="B2107" s="1">
        <v>45485</v>
      </c>
      <c r="C2107" t="s">
        <v>22</v>
      </c>
      <c r="D2107" t="s">
        <v>15</v>
      </c>
      <c r="E2107">
        <v>47</v>
      </c>
      <c r="F2107">
        <v>33</v>
      </c>
      <c r="G2107">
        <v>8.9</v>
      </c>
      <c r="H2107" t="s">
        <v>12</v>
      </c>
      <c r="I2107" t="s">
        <v>13</v>
      </c>
      <c r="J2107" t="s">
        <v>11</v>
      </c>
    </row>
    <row r="2108" spans="1:10" x14ac:dyDescent="0.25">
      <c r="A2108">
        <v>2107</v>
      </c>
      <c r="B2108" s="1">
        <v>45424</v>
      </c>
      <c r="C2108" t="s">
        <v>21</v>
      </c>
      <c r="D2108" t="s">
        <v>20</v>
      </c>
      <c r="E2108">
        <v>127</v>
      </c>
      <c r="F2108">
        <v>37</v>
      </c>
      <c r="G2108">
        <v>4.4000000000000004</v>
      </c>
      <c r="H2108" t="s">
        <v>18</v>
      </c>
      <c r="I2108" t="s">
        <v>16</v>
      </c>
      <c r="J2108" t="s">
        <v>11</v>
      </c>
    </row>
    <row r="2109" spans="1:10" x14ac:dyDescent="0.25">
      <c r="A2109">
        <v>2108</v>
      </c>
      <c r="B2109" s="1">
        <v>45494</v>
      </c>
      <c r="C2109" t="s">
        <v>14</v>
      </c>
      <c r="D2109" t="s">
        <v>15</v>
      </c>
      <c r="E2109">
        <v>113</v>
      </c>
      <c r="F2109">
        <v>30</v>
      </c>
      <c r="G2109">
        <v>5.8</v>
      </c>
      <c r="H2109" t="s">
        <v>12</v>
      </c>
      <c r="I2109" t="s">
        <v>19</v>
      </c>
      <c r="J2109" t="s">
        <v>11</v>
      </c>
    </row>
    <row r="2110" spans="1:10" x14ac:dyDescent="0.25">
      <c r="A2110">
        <v>2109</v>
      </c>
      <c r="B2110" s="1">
        <v>45413</v>
      </c>
      <c r="C2110" t="s">
        <v>23</v>
      </c>
      <c r="D2110" t="s">
        <v>17</v>
      </c>
      <c r="E2110">
        <v>164</v>
      </c>
      <c r="F2110">
        <v>63</v>
      </c>
      <c r="G2110">
        <v>2.8</v>
      </c>
      <c r="H2110" t="s">
        <v>12</v>
      </c>
      <c r="I2110" t="s">
        <v>13</v>
      </c>
      <c r="J2110" t="s">
        <v>11</v>
      </c>
    </row>
    <row r="2111" spans="1:10" x14ac:dyDescent="0.25">
      <c r="A2111">
        <v>2110</v>
      </c>
      <c r="B2111" s="1">
        <v>45484</v>
      </c>
      <c r="C2111" t="s">
        <v>23</v>
      </c>
      <c r="D2111" t="s">
        <v>20</v>
      </c>
      <c r="E2111">
        <v>94</v>
      </c>
      <c r="F2111">
        <v>30</v>
      </c>
      <c r="G2111">
        <v>6.7</v>
      </c>
      <c r="H2111" t="s">
        <v>12</v>
      </c>
      <c r="I2111" t="s">
        <v>19</v>
      </c>
      <c r="J2111" t="s">
        <v>11</v>
      </c>
    </row>
    <row r="2112" spans="1:10" x14ac:dyDescent="0.25">
      <c r="A2112">
        <v>2111</v>
      </c>
      <c r="B2112" s="1">
        <v>45569</v>
      </c>
      <c r="C2112" t="s">
        <v>21</v>
      </c>
      <c r="D2112" t="s">
        <v>20</v>
      </c>
      <c r="E2112">
        <v>102</v>
      </c>
      <c r="F2112">
        <v>46</v>
      </c>
      <c r="G2112">
        <v>9.6999999999999993</v>
      </c>
      <c r="H2112" t="s">
        <v>18</v>
      </c>
      <c r="I2112" t="s">
        <v>16</v>
      </c>
      <c r="J2112" t="s">
        <v>11</v>
      </c>
    </row>
    <row r="2113" spans="1:10" x14ac:dyDescent="0.25">
      <c r="A2113">
        <v>2112</v>
      </c>
      <c r="B2113" s="1">
        <v>45475</v>
      </c>
      <c r="C2113" t="s">
        <v>22</v>
      </c>
      <c r="D2113" t="s">
        <v>11</v>
      </c>
      <c r="E2113">
        <v>147</v>
      </c>
      <c r="F2113">
        <v>65</v>
      </c>
      <c r="G2113">
        <v>5.2</v>
      </c>
      <c r="H2113" t="s">
        <v>18</v>
      </c>
      <c r="I2113" t="s">
        <v>13</v>
      </c>
      <c r="J2113" t="s">
        <v>15</v>
      </c>
    </row>
    <row r="2114" spans="1:10" x14ac:dyDescent="0.25">
      <c r="A2114">
        <v>2113</v>
      </c>
      <c r="B2114" s="1">
        <v>45462</v>
      </c>
      <c r="C2114" t="s">
        <v>14</v>
      </c>
      <c r="D2114" t="s">
        <v>20</v>
      </c>
      <c r="E2114">
        <v>128</v>
      </c>
      <c r="F2114">
        <v>15</v>
      </c>
      <c r="G2114">
        <v>2</v>
      </c>
      <c r="H2114" t="s">
        <v>18</v>
      </c>
      <c r="I2114" t="s">
        <v>19</v>
      </c>
      <c r="J2114" t="s">
        <v>11</v>
      </c>
    </row>
    <row r="2115" spans="1:10" x14ac:dyDescent="0.25">
      <c r="A2115">
        <v>2114</v>
      </c>
      <c r="B2115" s="1">
        <v>45584</v>
      </c>
      <c r="C2115" t="s">
        <v>21</v>
      </c>
      <c r="D2115" t="s">
        <v>17</v>
      </c>
      <c r="E2115">
        <v>95</v>
      </c>
      <c r="F2115">
        <v>63</v>
      </c>
      <c r="G2115">
        <v>6.8</v>
      </c>
      <c r="H2115" t="s">
        <v>12</v>
      </c>
      <c r="I2115" t="s">
        <v>16</v>
      </c>
      <c r="J2115" t="s">
        <v>11</v>
      </c>
    </row>
    <row r="2116" spans="1:10" x14ac:dyDescent="0.25">
      <c r="A2116">
        <v>2115</v>
      </c>
      <c r="B2116" s="1">
        <v>45619</v>
      </c>
      <c r="C2116" t="s">
        <v>21</v>
      </c>
      <c r="D2116" t="s">
        <v>17</v>
      </c>
      <c r="E2116">
        <v>7</v>
      </c>
      <c r="F2116">
        <v>67</v>
      </c>
      <c r="G2116">
        <v>4.3</v>
      </c>
      <c r="H2116" t="s">
        <v>12</v>
      </c>
      <c r="I2116" t="s">
        <v>19</v>
      </c>
      <c r="J2116" t="s">
        <v>11</v>
      </c>
    </row>
    <row r="2117" spans="1:10" x14ac:dyDescent="0.25">
      <c r="A2117">
        <v>2116</v>
      </c>
      <c r="B2117" s="1">
        <v>45340</v>
      </c>
      <c r="C2117" t="s">
        <v>21</v>
      </c>
      <c r="D2117" t="s">
        <v>20</v>
      </c>
      <c r="E2117">
        <v>87</v>
      </c>
      <c r="F2117">
        <v>10</v>
      </c>
      <c r="G2117">
        <v>3.8</v>
      </c>
      <c r="H2117" t="s">
        <v>12</v>
      </c>
      <c r="I2117" t="s">
        <v>16</v>
      </c>
      <c r="J2117" t="s">
        <v>11</v>
      </c>
    </row>
    <row r="2118" spans="1:10" x14ac:dyDescent="0.25">
      <c r="A2118">
        <v>2117</v>
      </c>
      <c r="B2118" s="1">
        <v>45428</v>
      </c>
      <c r="C2118" t="s">
        <v>10</v>
      </c>
      <c r="D2118" t="s">
        <v>15</v>
      </c>
      <c r="E2118">
        <v>225</v>
      </c>
      <c r="F2118">
        <v>28</v>
      </c>
      <c r="G2118">
        <v>2.6</v>
      </c>
      <c r="H2118" t="s">
        <v>18</v>
      </c>
      <c r="I2118" t="s">
        <v>19</v>
      </c>
      <c r="J2118" t="s">
        <v>11</v>
      </c>
    </row>
    <row r="2119" spans="1:10" x14ac:dyDescent="0.25">
      <c r="A2119">
        <v>2118</v>
      </c>
      <c r="B2119" s="1">
        <v>45514</v>
      </c>
      <c r="C2119" t="s">
        <v>10</v>
      </c>
      <c r="D2119" t="s">
        <v>20</v>
      </c>
      <c r="E2119">
        <v>115</v>
      </c>
      <c r="F2119">
        <v>16</v>
      </c>
      <c r="G2119">
        <v>7.7</v>
      </c>
      <c r="H2119" t="s">
        <v>18</v>
      </c>
      <c r="I2119" t="s">
        <v>16</v>
      </c>
      <c r="J2119" t="s">
        <v>11</v>
      </c>
    </row>
    <row r="2120" spans="1:10" x14ac:dyDescent="0.25">
      <c r="A2120">
        <v>2119</v>
      </c>
      <c r="B2120" s="1">
        <v>45529</v>
      </c>
      <c r="C2120" t="s">
        <v>10</v>
      </c>
      <c r="D2120" t="s">
        <v>17</v>
      </c>
      <c r="E2120">
        <v>126</v>
      </c>
      <c r="F2120">
        <v>10</v>
      </c>
      <c r="G2120">
        <v>9.9</v>
      </c>
      <c r="H2120" t="s">
        <v>18</v>
      </c>
      <c r="I2120" t="s">
        <v>13</v>
      </c>
      <c r="J2120" t="s">
        <v>11</v>
      </c>
    </row>
    <row r="2121" spans="1:10" x14ac:dyDescent="0.25">
      <c r="A2121">
        <v>2120</v>
      </c>
      <c r="B2121" s="1">
        <v>45574</v>
      </c>
      <c r="C2121" t="s">
        <v>10</v>
      </c>
      <c r="D2121" t="s">
        <v>17</v>
      </c>
      <c r="E2121">
        <v>5</v>
      </c>
      <c r="F2121">
        <v>1</v>
      </c>
      <c r="G2121">
        <v>0.7</v>
      </c>
      <c r="H2121" t="s">
        <v>12</v>
      </c>
      <c r="I2121" t="s">
        <v>13</v>
      </c>
      <c r="J2121" t="s">
        <v>15</v>
      </c>
    </row>
    <row r="2122" spans="1:10" x14ac:dyDescent="0.25">
      <c r="A2122">
        <v>2121</v>
      </c>
      <c r="B2122" s="1">
        <v>45503</v>
      </c>
      <c r="C2122" t="s">
        <v>22</v>
      </c>
      <c r="D2122" t="s">
        <v>17</v>
      </c>
      <c r="E2122">
        <v>165</v>
      </c>
      <c r="F2122">
        <v>4</v>
      </c>
      <c r="G2122">
        <v>4</v>
      </c>
      <c r="H2122" t="s">
        <v>12</v>
      </c>
      <c r="I2122" t="s">
        <v>16</v>
      </c>
      <c r="J2122" t="s">
        <v>11</v>
      </c>
    </row>
    <row r="2123" spans="1:10" x14ac:dyDescent="0.25">
      <c r="A2123">
        <v>2122</v>
      </c>
      <c r="B2123" s="1">
        <v>45347</v>
      </c>
      <c r="C2123" t="s">
        <v>10</v>
      </c>
      <c r="D2123" t="s">
        <v>11</v>
      </c>
      <c r="E2123">
        <v>6</v>
      </c>
      <c r="F2123">
        <v>2</v>
      </c>
      <c r="G2123">
        <v>5</v>
      </c>
      <c r="H2123" t="s">
        <v>12</v>
      </c>
      <c r="I2123" t="s">
        <v>19</v>
      </c>
      <c r="J2123" t="s">
        <v>20</v>
      </c>
    </row>
    <row r="2124" spans="1:10" x14ac:dyDescent="0.25">
      <c r="A2124">
        <v>2123</v>
      </c>
      <c r="B2124" s="1">
        <v>45417</v>
      </c>
      <c r="C2124" t="s">
        <v>14</v>
      </c>
      <c r="D2124" t="s">
        <v>15</v>
      </c>
      <c r="E2124">
        <v>80</v>
      </c>
      <c r="F2124">
        <v>31</v>
      </c>
      <c r="G2124">
        <v>0.6</v>
      </c>
      <c r="H2124" t="s">
        <v>12</v>
      </c>
      <c r="I2124" t="s">
        <v>19</v>
      </c>
      <c r="J2124" t="s">
        <v>11</v>
      </c>
    </row>
    <row r="2125" spans="1:10" x14ac:dyDescent="0.25">
      <c r="A2125">
        <v>2124</v>
      </c>
      <c r="B2125" s="1">
        <v>45446</v>
      </c>
      <c r="C2125" t="s">
        <v>10</v>
      </c>
      <c r="D2125" t="s">
        <v>11</v>
      </c>
      <c r="E2125">
        <v>160</v>
      </c>
      <c r="F2125">
        <v>54</v>
      </c>
      <c r="G2125">
        <v>4.5999999999999996</v>
      </c>
      <c r="H2125" t="s">
        <v>12</v>
      </c>
      <c r="I2125" t="s">
        <v>13</v>
      </c>
      <c r="J2125" t="s">
        <v>11</v>
      </c>
    </row>
    <row r="2126" spans="1:10" x14ac:dyDescent="0.25">
      <c r="A2126">
        <v>2125</v>
      </c>
      <c r="B2126" s="1">
        <v>45421</v>
      </c>
      <c r="C2126" t="s">
        <v>22</v>
      </c>
      <c r="D2126" t="s">
        <v>20</v>
      </c>
      <c r="E2126">
        <v>130</v>
      </c>
      <c r="F2126">
        <v>40</v>
      </c>
      <c r="G2126">
        <v>7.5</v>
      </c>
      <c r="H2126" t="s">
        <v>12</v>
      </c>
      <c r="I2126" t="s">
        <v>16</v>
      </c>
      <c r="J2126" t="s">
        <v>11</v>
      </c>
    </row>
    <row r="2127" spans="1:10" x14ac:dyDescent="0.25">
      <c r="A2127">
        <v>2126</v>
      </c>
      <c r="B2127" s="1">
        <v>45655</v>
      </c>
      <c r="C2127" t="s">
        <v>23</v>
      </c>
      <c r="D2127" t="s">
        <v>11</v>
      </c>
      <c r="E2127">
        <v>86</v>
      </c>
      <c r="F2127">
        <v>16</v>
      </c>
      <c r="G2127">
        <v>2.2999999999999998</v>
      </c>
      <c r="H2127" t="s">
        <v>12</v>
      </c>
      <c r="I2127" t="s">
        <v>19</v>
      </c>
      <c r="J2127" t="s">
        <v>11</v>
      </c>
    </row>
    <row r="2128" spans="1:10" x14ac:dyDescent="0.25">
      <c r="A2128">
        <v>2127</v>
      </c>
      <c r="B2128" s="1">
        <v>45380</v>
      </c>
      <c r="C2128" t="s">
        <v>14</v>
      </c>
      <c r="D2128" t="s">
        <v>15</v>
      </c>
      <c r="E2128">
        <v>179</v>
      </c>
      <c r="F2128">
        <v>16</v>
      </c>
      <c r="G2128">
        <v>7.4</v>
      </c>
      <c r="H2128" t="s">
        <v>18</v>
      </c>
      <c r="I2128" t="s">
        <v>19</v>
      </c>
      <c r="J2128" t="s">
        <v>15</v>
      </c>
    </row>
    <row r="2129" spans="1:10" x14ac:dyDescent="0.25">
      <c r="A2129">
        <v>2128</v>
      </c>
      <c r="B2129" s="1">
        <v>45408</v>
      </c>
      <c r="C2129" t="s">
        <v>10</v>
      </c>
      <c r="D2129" t="s">
        <v>15</v>
      </c>
      <c r="E2129">
        <v>83</v>
      </c>
      <c r="F2129">
        <v>42</v>
      </c>
      <c r="G2129">
        <v>1.3</v>
      </c>
      <c r="H2129" t="s">
        <v>18</v>
      </c>
      <c r="I2129" t="s">
        <v>13</v>
      </c>
      <c r="J2129" t="s">
        <v>11</v>
      </c>
    </row>
    <row r="2130" spans="1:10" x14ac:dyDescent="0.25">
      <c r="A2130">
        <v>2129</v>
      </c>
      <c r="B2130" s="1">
        <v>45457</v>
      </c>
      <c r="C2130" t="s">
        <v>14</v>
      </c>
      <c r="D2130" t="s">
        <v>15</v>
      </c>
      <c r="E2130">
        <v>189</v>
      </c>
      <c r="F2130">
        <v>62</v>
      </c>
      <c r="G2130">
        <v>4.5999999999999996</v>
      </c>
      <c r="H2130" t="s">
        <v>18</v>
      </c>
      <c r="I2130" t="s">
        <v>13</v>
      </c>
      <c r="J2130" t="s">
        <v>11</v>
      </c>
    </row>
    <row r="2131" spans="1:10" x14ac:dyDescent="0.25">
      <c r="A2131">
        <v>2130</v>
      </c>
      <c r="B2131" s="1">
        <v>45328</v>
      </c>
      <c r="C2131" t="s">
        <v>22</v>
      </c>
      <c r="D2131" t="s">
        <v>17</v>
      </c>
      <c r="E2131">
        <v>190</v>
      </c>
      <c r="F2131">
        <v>68</v>
      </c>
      <c r="G2131">
        <v>8.3000000000000007</v>
      </c>
      <c r="H2131" t="s">
        <v>18</v>
      </c>
      <c r="I2131" t="s">
        <v>13</v>
      </c>
      <c r="J2131" t="s">
        <v>11</v>
      </c>
    </row>
    <row r="2132" spans="1:10" x14ac:dyDescent="0.25">
      <c r="A2132">
        <v>2131</v>
      </c>
      <c r="B2132" s="1">
        <v>45444</v>
      </c>
      <c r="C2132" t="s">
        <v>14</v>
      </c>
      <c r="D2132" t="s">
        <v>15</v>
      </c>
      <c r="E2132">
        <v>149</v>
      </c>
      <c r="F2132">
        <v>19</v>
      </c>
      <c r="G2132">
        <v>4.7</v>
      </c>
      <c r="H2132" t="s">
        <v>12</v>
      </c>
      <c r="I2132" t="s">
        <v>19</v>
      </c>
      <c r="J2132" t="s">
        <v>11</v>
      </c>
    </row>
    <row r="2133" spans="1:10" x14ac:dyDescent="0.25">
      <c r="A2133">
        <v>2132</v>
      </c>
      <c r="B2133" s="1">
        <v>45342</v>
      </c>
      <c r="C2133" t="s">
        <v>21</v>
      </c>
      <c r="D2133" t="s">
        <v>17</v>
      </c>
      <c r="E2133">
        <v>209</v>
      </c>
      <c r="F2133">
        <v>2</v>
      </c>
      <c r="G2133">
        <v>2.2000000000000002</v>
      </c>
      <c r="H2133" t="s">
        <v>12</v>
      </c>
      <c r="I2133" t="s">
        <v>16</v>
      </c>
      <c r="J2133" t="s">
        <v>11</v>
      </c>
    </row>
    <row r="2134" spans="1:10" x14ac:dyDescent="0.25">
      <c r="A2134">
        <v>2133</v>
      </c>
      <c r="B2134" s="1">
        <v>45388</v>
      </c>
      <c r="C2134" t="s">
        <v>22</v>
      </c>
      <c r="D2134" t="s">
        <v>11</v>
      </c>
      <c r="E2134">
        <v>95</v>
      </c>
      <c r="F2134">
        <v>2</v>
      </c>
      <c r="G2134">
        <v>4.2</v>
      </c>
      <c r="H2134" t="s">
        <v>18</v>
      </c>
      <c r="I2134" t="s">
        <v>19</v>
      </c>
      <c r="J2134" t="s">
        <v>15</v>
      </c>
    </row>
    <row r="2135" spans="1:10" x14ac:dyDescent="0.25">
      <c r="A2135">
        <v>2134</v>
      </c>
      <c r="B2135" s="1">
        <v>45483</v>
      </c>
      <c r="C2135" t="s">
        <v>22</v>
      </c>
      <c r="D2135" t="s">
        <v>11</v>
      </c>
      <c r="E2135">
        <v>36</v>
      </c>
      <c r="F2135">
        <v>31</v>
      </c>
      <c r="G2135">
        <v>9.3000000000000007</v>
      </c>
      <c r="H2135" t="s">
        <v>18</v>
      </c>
      <c r="I2135" t="s">
        <v>19</v>
      </c>
      <c r="J2135" t="s">
        <v>15</v>
      </c>
    </row>
    <row r="2136" spans="1:10" x14ac:dyDescent="0.25">
      <c r="A2136">
        <v>2135</v>
      </c>
      <c r="B2136" s="1">
        <v>45502</v>
      </c>
      <c r="C2136" t="s">
        <v>21</v>
      </c>
      <c r="D2136" t="s">
        <v>17</v>
      </c>
      <c r="E2136">
        <v>181</v>
      </c>
      <c r="F2136">
        <v>13</v>
      </c>
      <c r="G2136">
        <v>6</v>
      </c>
      <c r="H2136" t="s">
        <v>18</v>
      </c>
      <c r="I2136" t="s">
        <v>13</v>
      </c>
      <c r="J2136" t="s">
        <v>11</v>
      </c>
    </row>
    <row r="2137" spans="1:10" x14ac:dyDescent="0.25">
      <c r="A2137">
        <v>2136</v>
      </c>
      <c r="B2137" s="1">
        <v>45463</v>
      </c>
      <c r="C2137" t="s">
        <v>14</v>
      </c>
      <c r="D2137" t="s">
        <v>11</v>
      </c>
      <c r="E2137">
        <v>173</v>
      </c>
      <c r="F2137">
        <v>8</v>
      </c>
      <c r="G2137">
        <v>9.6</v>
      </c>
      <c r="H2137" t="s">
        <v>12</v>
      </c>
      <c r="I2137" t="s">
        <v>16</v>
      </c>
      <c r="J2137" t="s">
        <v>11</v>
      </c>
    </row>
    <row r="2138" spans="1:10" x14ac:dyDescent="0.25">
      <c r="A2138">
        <v>2137</v>
      </c>
      <c r="B2138" s="1">
        <v>45340</v>
      </c>
      <c r="C2138" t="s">
        <v>10</v>
      </c>
      <c r="D2138" t="s">
        <v>20</v>
      </c>
      <c r="E2138">
        <v>25</v>
      </c>
      <c r="F2138">
        <v>27</v>
      </c>
      <c r="G2138">
        <v>6.4</v>
      </c>
      <c r="H2138" t="s">
        <v>12</v>
      </c>
      <c r="I2138" t="s">
        <v>16</v>
      </c>
      <c r="J2138" t="s">
        <v>15</v>
      </c>
    </row>
    <row r="2139" spans="1:10" x14ac:dyDescent="0.25">
      <c r="A2139">
        <v>2138</v>
      </c>
      <c r="B2139" s="1">
        <v>45580</v>
      </c>
      <c r="C2139" t="s">
        <v>10</v>
      </c>
      <c r="D2139" t="s">
        <v>11</v>
      </c>
      <c r="E2139">
        <v>116</v>
      </c>
      <c r="F2139">
        <v>29</v>
      </c>
      <c r="G2139">
        <v>6.2</v>
      </c>
      <c r="H2139" t="s">
        <v>12</v>
      </c>
      <c r="I2139" t="s">
        <v>13</v>
      </c>
      <c r="J2139" t="s">
        <v>11</v>
      </c>
    </row>
    <row r="2140" spans="1:10" x14ac:dyDescent="0.25">
      <c r="A2140">
        <v>2139</v>
      </c>
      <c r="B2140" s="1">
        <v>45513</v>
      </c>
      <c r="C2140" t="s">
        <v>21</v>
      </c>
      <c r="D2140" t="s">
        <v>20</v>
      </c>
      <c r="E2140">
        <v>46</v>
      </c>
      <c r="F2140">
        <v>3</v>
      </c>
      <c r="G2140">
        <v>4.0999999999999996</v>
      </c>
      <c r="H2140" t="s">
        <v>18</v>
      </c>
      <c r="I2140" t="s">
        <v>13</v>
      </c>
      <c r="J2140" t="s">
        <v>15</v>
      </c>
    </row>
    <row r="2141" spans="1:10" x14ac:dyDescent="0.25">
      <c r="A2141">
        <v>2140</v>
      </c>
      <c r="B2141" s="1">
        <v>45502</v>
      </c>
      <c r="C2141" t="s">
        <v>14</v>
      </c>
      <c r="D2141" t="s">
        <v>17</v>
      </c>
      <c r="E2141">
        <v>87</v>
      </c>
      <c r="F2141">
        <v>4</v>
      </c>
      <c r="G2141">
        <v>9.6999999999999993</v>
      </c>
      <c r="H2141" t="s">
        <v>18</v>
      </c>
      <c r="I2141" t="s">
        <v>16</v>
      </c>
      <c r="J2141" t="s">
        <v>15</v>
      </c>
    </row>
    <row r="2142" spans="1:10" x14ac:dyDescent="0.25">
      <c r="A2142">
        <v>2141</v>
      </c>
      <c r="B2142" s="1">
        <v>45485</v>
      </c>
      <c r="C2142" t="s">
        <v>14</v>
      </c>
      <c r="D2142" t="s">
        <v>15</v>
      </c>
      <c r="E2142">
        <v>207</v>
      </c>
      <c r="F2142">
        <v>31</v>
      </c>
      <c r="G2142">
        <v>5.7</v>
      </c>
      <c r="H2142" t="s">
        <v>12</v>
      </c>
      <c r="I2142" t="s">
        <v>19</v>
      </c>
      <c r="J2142" t="s">
        <v>11</v>
      </c>
    </row>
    <row r="2143" spans="1:10" x14ac:dyDescent="0.25">
      <c r="A2143">
        <v>2142</v>
      </c>
      <c r="B2143" s="1">
        <v>45570</v>
      </c>
      <c r="C2143" t="s">
        <v>23</v>
      </c>
      <c r="D2143" t="s">
        <v>17</v>
      </c>
      <c r="E2143">
        <v>233</v>
      </c>
      <c r="F2143">
        <v>44</v>
      </c>
      <c r="G2143">
        <v>1.2</v>
      </c>
      <c r="H2143" t="s">
        <v>18</v>
      </c>
      <c r="I2143" t="s">
        <v>16</v>
      </c>
      <c r="J2143" t="s">
        <v>11</v>
      </c>
    </row>
    <row r="2144" spans="1:10" x14ac:dyDescent="0.25">
      <c r="A2144">
        <v>2143</v>
      </c>
      <c r="B2144" s="1">
        <v>45387</v>
      </c>
      <c r="C2144" t="s">
        <v>14</v>
      </c>
      <c r="D2144" t="s">
        <v>20</v>
      </c>
      <c r="E2144">
        <v>224</v>
      </c>
      <c r="F2144">
        <v>8</v>
      </c>
      <c r="G2144">
        <v>0.7</v>
      </c>
      <c r="H2144" t="s">
        <v>12</v>
      </c>
      <c r="I2144" t="s">
        <v>19</v>
      </c>
      <c r="J2144" t="s">
        <v>11</v>
      </c>
    </row>
    <row r="2145" spans="1:10" x14ac:dyDescent="0.25">
      <c r="A2145">
        <v>2144</v>
      </c>
      <c r="B2145" s="1">
        <v>45653</v>
      </c>
      <c r="C2145" t="s">
        <v>23</v>
      </c>
      <c r="D2145" t="s">
        <v>17</v>
      </c>
      <c r="E2145">
        <v>160</v>
      </c>
      <c r="F2145">
        <v>69</v>
      </c>
      <c r="G2145">
        <v>4.9000000000000004</v>
      </c>
      <c r="H2145" t="s">
        <v>12</v>
      </c>
      <c r="I2145" t="s">
        <v>19</v>
      </c>
      <c r="J2145" t="s">
        <v>11</v>
      </c>
    </row>
    <row r="2146" spans="1:10" x14ac:dyDescent="0.25">
      <c r="A2146">
        <v>2145</v>
      </c>
      <c r="B2146" s="1">
        <v>45475</v>
      </c>
      <c r="C2146" t="s">
        <v>10</v>
      </c>
      <c r="D2146" t="s">
        <v>11</v>
      </c>
      <c r="E2146">
        <v>138</v>
      </c>
      <c r="F2146">
        <v>58</v>
      </c>
      <c r="G2146">
        <v>8.1</v>
      </c>
      <c r="H2146" t="s">
        <v>18</v>
      </c>
      <c r="I2146" t="s">
        <v>13</v>
      </c>
      <c r="J2146" t="s">
        <v>15</v>
      </c>
    </row>
    <row r="2147" spans="1:10" x14ac:dyDescent="0.25">
      <c r="A2147">
        <v>2146</v>
      </c>
      <c r="B2147" s="1">
        <v>45452</v>
      </c>
      <c r="C2147" t="s">
        <v>22</v>
      </c>
      <c r="D2147" t="s">
        <v>17</v>
      </c>
      <c r="E2147">
        <v>214</v>
      </c>
      <c r="F2147">
        <v>62</v>
      </c>
      <c r="G2147">
        <v>3.8</v>
      </c>
      <c r="H2147" t="s">
        <v>18</v>
      </c>
      <c r="I2147" t="s">
        <v>13</v>
      </c>
      <c r="J2147" t="s">
        <v>11</v>
      </c>
    </row>
    <row r="2148" spans="1:10" x14ac:dyDescent="0.25">
      <c r="A2148">
        <v>2147</v>
      </c>
      <c r="B2148" s="1">
        <v>45437</v>
      </c>
      <c r="C2148" t="s">
        <v>14</v>
      </c>
      <c r="D2148" t="s">
        <v>11</v>
      </c>
      <c r="E2148">
        <v>51</v>
      </c>
      <c r="F2148">
        <v>56</v>
      </c>
      <c r="G2148">
        <v>4.5999999999999996</v>
      </c>
      <c r="H2148" t="s">
        <v>18</v>
      </c>
      <c r="I2148" t="s">
        <v>13</v>
      </c>
      <c r="J2148" t="s">
        <v>11</v>
      </c>
    </row>
    <row r="2149" spans="1:10" x14ac:dyDescent="0.25">
      <c r="A2149">
        <v>2148</v>
      </c>
      <c r="B2149" s="1">
        <v>45346</v>
      </c>
      <c r="C2149" t="s">
        <v>22</v>
      </c>
      <c r="D2149" t="s">
        <v>17</v>
      </c>
      <c r="E2149">
        <v>194</v>
      </c>
      <c r="F2149">
        <v>72</v>
      </c>
      <c r="G2149">
        <v>6.3</v>
      </c>
      <c r="H2149" t="s">
        <v>18</v>
      </c>
      <c r="I2149" t="s">
        <v>16</v>
      </c>
      <c r="J2149" t="s">
        <v>11</v>
      </c>
    </row>
    <row r="2150" spans="1:10" x14ac:dyDescent="0.25">
      <c r="A2150">
        <v>2149</v>
      </c>
      <c r="B2150" s="1">
        <v>45297</v>
      </c>
      <c r="C2150" t="s">
        <v>10</v>
      </c>
      <c r="D2150" t="s">
        <v>11</v>
      </c>
      <c r="E2150">
        <v>116</v>
      </c>
      <c r="F2150">
        <v>51</v>
      </c>
      <c r="G2150">
        <v>8.6</v>
      </c>
      <c r="H2150" t="s">
        <v>12</v>
      </c>
      <c r="I2150" t="s">
        <v>16</v>
      </c>
      <c r="J2150" t="s">
        <v>11</v>
      </c>
    </row>
    <row r="2151" spans="1:10" x14ac:dyDescent="0.25">
      <c r="A2151">
        <v>2150</v>
      </c>
      <c r="B2151" s="1">
        <v>45334</v>
      </c>
      <c r="C2151" t="s">
        <v>14</v>
      </c>
      <c r="D2151" t="s">
        <v>20</v>
      </c>
      <c r="E2151">
        <v>51</v>
      </c>
      <c r="F2151">
        <v>51</v>
      </c>
      <c r="G2151">
        <v>5.0999999999999996</v>
      </c>
      <c r="H2151" t="s">
        <v>12</v>
      </c>
      <c r="I2151" t="s">
        <v>19</v>
      </c>
      <c r="J2151" t="s">
        <v>11</v>
      </c>
    </row>
    <row r="2152" spans="1:10" x14ac:dyDescent="0.25">
      <c r="A2152">
        <v>2151</v>
      </c>
      <c r="B2152" s="1">
        <v>45560</v>
      </c>
      <c r="C2152" t="s">
        <v>22</v>
      </c>
      <c r="D2152" t="s">
        <v>20</v>
      </c>
      <c r="E2152">
        <v>101</v>
      </c>
      <c r="F2152">
        <v>25</v>
      </c>
      <c r="G2152">
        <v>7.4</v>
      </c>
      <c r="H2152" t="s">
        <v>12</v>
      </c>
      <c r="I2152" t="s">
        <v>13</v>
      </c>
      <c r="J2152" t="s">
        <v>11</v>
      </c>
    </row>
    <row r="2153" spans="1:10" x14ac:dyDescent="0.25">
      <c r="A2153">
        <v>2152</v>
      </c>
      <c r="B2153" s="1">
        <v>45625</v>
      </c>
      <c r="C2153" t="s">
        <v>10</v>
      </c>
      <c r="D2153" t="s">
        <v>20</v>
      </c>
      <c r="E2153">
        <v>136</v>
      </c>
      <c r="F2153">
        <v>18</v>
      </c>
      <c r="G2153">
        <v>9.9</v>
      </c>
      <c r="H2153" t="s">
        <v>18</v>
      </c>
      <c r="I2153" t="s">
        <v>16</v>
      </c>
      <c r="J2153" t="s">
        <v>11</v>
      </c>
    </row>
    <row r="2154" spans="1:10" x14ac:dyDescent="0.25">
      <c r="A2154">
        <v>2153</v>
      </c>
      <c r="B2154" s="1">
        <v>45404</v>
      </c>
      <c r="C2154" t="s">
        <v>14</v>
      </c>
      <c r="D2154" t="s">
        <v>15</v>
      </c>
      <c r="E2154">
        <v>110</v>
      </c>
      <c r="F2154">
        <v>65</v>
      </c>
      <c r="G2154">
        <v>5.8</v>
      </c>
      <c r="H2154" t="s">
        <v>18</v>
      </c>
      <c r="I2154" t="s">
        <v>16</v>
      </c>
      <c r="J2154" t="s">
        <v>15</v>
      </c>
    </row>
    <row r="2155" spans="1:10" x14ac:dyDescent="0.25">
      <c r="A2155">
        <v>2154</v>
      </c>
      <c r="B2155" s="1">
        <v>45494</v>
      </c>
      <c r="C2155" t="s">
        <v>22</v>
      </c>
      <c r="D2155" t="s">
        <v>17</v>
      </c>
      <c r="E2155">
        <v>22</v>
      </c>
      <c r="F2155">
        <v>60</v>
      </c>
      <c r="G2155">
        <v>1.9</v>
      </c>
      <c r="H2155" t="s">
        <v>12</v>
      </c>
      <c r="I2155" t="s">
        <v>13</v>
      </c>
      <c r="J2155" t="s">
        <v>11</v>
      </c>
    </row>
    <row r="2156" spans="1:10" x14ac:dyDescent="0.25">
      <c r="A2156">
        <v>2155</v>
      </c>
      <c r="B2156" s="1">
        <v>45655</v>
      </c>
      <c r="C2156" t="s">
        <v>23</v>
      </c>
      <c r="D2156" t="s">
        <v>17</v>
      </c>
      <c r="E2156">
        <v>63</v>
      </c>
      <c r="F2156">
        <v>38</v>
      </c>
      <c r="G2156">
        <v>6.2</v>
      </c>
      <c r="H2156" t="s">
        <v>12</v>
      </c>
      <c r="I2156" t="s">
        <v>16</v>
      </c>
      <c r="J2156" t="s">
        <v>11</v>
      </c>
    </row>
    <row r="2157" spans="1:10" x14ac:dyDescent="0.25">
      <c r="A2157">
        <v>2156</v>
      </c>
      <c r="B2157" s="1">
        <v>45376</v>
      </c>
      <c r="C2157" t="s">
        <v>21</v>
      </c>
      <c r="D2157" t="s">
        <v>17</v>
      </c>
      <c r="E2157">
        <v>45</v>
      </c>
      <c r="F2157">
        <v>70</v>
      </c>
      <c r="G2157">
        <v>3.3</v>
      </c>
      <c r="H2157" t="s">
        <v>12</v>
      </c>
      <c r="I2157" t="s">
        <v>13</v>
      </c>
      <c r="J2157" t="s">
        <v>11</v>
      </c>
    </row>
    <row r="2158" spans="1:10" x14ac:dyDescent="0.25">
      <c r="A2158">
        <v>2157</v>
      </c>
      <c r="B2158" s="1">
        <v>45360</v>
      </c>
      <c r="C2158" t="s">
        <v>23</v>
      </c>
      <c r="D2158" t="s">
        <v>15</v>
      </c>
      <c r="E2158">
        <v>172</v>
      </c>
      <c r="F2158">
        <v>39</v>
      </c>
      <c r="G2158">
        <v>2.9</v>
      </c>
      <c r="H2158" t="s">
        <v>12</v>
      </c>
      <c r="I2158" t="s">
        <v>19</v>
      </c>
      <c r="J2158" t="s">
        <v>11</v>
      </c>
    </row>
    <row r="2159" spans="1:10" x14ac:dyDescent="0.25">
      <c r="A2159">
        <v>2158</v>
      </c>
      <c r="B2159" s="1">
        <v>45648</v>
      </c>
      <c r="C2159" t="s">
        <v>14</v>
      </c>
      <c r="D2159" t="s">
        <v>15</v>
      </c>
      <c r="E2159">
        <v>92</v>
      </c>
      <c r="F2159">
        <v>1</v>
      </c>
      <c r="G2159">
        <v>4.9000000000000004</v>
      </c>
      <c r="H2159" t="s">
        <v>18</v>
      </c>
      <c r="I2159" t="s">
        <v>16</v>
      </c>
      <c r="J2159" t="s">
        <v>15</v>
      </c>
    </row>
    <row r="2160" spans="1:10" x14ac:dyDescent="0.25">
      <c r="A2160">
        <v>2159</v>
      </c>
      <c r="B2160" s="1">
        <v>45524</v>
      </c>
      <c r="C2160" t="s">
        <v>21</v>
      </c>
      <c r="D2160" t="s">
        <v>20</v>
      </c>
      <c r="E2160">
        <v>60</v>
      </c>
      <c r="F2160">
        <v>66</v>
      </c>
      <c r="G2160">
        <v>0.9</v>
      </c>
      <c r="H2160" t="s">
        <v>12</v>
      </c>
      <c r="I2160" t="s">
        <v>19</v>
      </c>
      <c r="J2160" t="s">
        <v>11</v>
      </c>
    </row>
    <row r="2161" spans="1:10" x14ac:dyDescent="0.25">
      <c r="A2161">
        <v>2160</v>
      </c>
      <c r="B2161" s="1">
        <v>45505</v>
      </c>
      <c r="C2161" t="s">
        <v>23</v>
      </c>
      <c r="D2161" t="s">
        <v>20</v>
      </c>
      <c r="E2161">
        <v>207</v>
      </c>
      <c r="F2161">
        <v>37</v>
      </c>
      <c r="G2161">
        <v>6.3</v>
      </c>
      <c r="H2161" t="s">
        <v>12</v>
      </c>
      <c r="I2161" t="s">
        <v>13</v>
      </c>
      <c r="J2161" t="s">
        <v>11</v>
      </c>
    </row>
    <row r="2162" spans="1:10" x14ac:dyDescent="0.25">
      <c r="A2162">
        <v>2161</v>
      </c>
      <c r="B2162" s="1">
        <v>45594</v>
      </c>
      <c r="C2162" t="s">
        <v>14</v>
      </c>
      <c r="D2162" t="s">
        <v>17</v>
      </c>
      <c r="E2162">
        <v>62</v>
      </c>
      <c r="F2162">
        <v>31</v>
      </c>
      <c r="G2162">
        <v>2.7</v>
      </c>
      <c r="H2162" t="s">
        <v>18</v>
      </c>
      <c r="I2162" t="s">
        <v>16</v>
      </c>
      <c r="J2162" t="s">
        <v>11</v>
      </c>
    </row>
    <row r="2163" spans="1:10" x14ac:dyDescent="0.25">
      <c r="A2163">
        <v>2162</v>
      </c>
      <c r="B2163" s="1">
        <v>45642</v>
      </c>
      <c r="C2163" t="s">
        <v>10</v>
      </c>
      <c r="D2163" t="s">
        <v>20</v>
      </c>
      <c r="E2163">
        <v>22</v>
      </c>
      <c r="F2163">
        <v>42</v>
      </c>
      <c r="G2163">
        <v>0.7</v>
      </c>
      <c r="H2163" t="s">
        <v>12</v>
      </c>
      <c r="I2163" t="s">
        <v>19</v>
      </c>
      <c r="J2163" t="s">
        <v>11</v>
      </c>
    </row>
    <row r="2164" spans="1:10" x14ac:dyDescent="0.25">
      <c r="A2164">
        <v>2163</v>
      </c>
      <c r="B2164" s="1">
        <v>45627</v>
      </c>
      <c r="C2164" t="s">
        <v>21</v>
      </c>
      <c r="D2164" t="s">
        <v>17</v>
      </c>
      <c r="E2164">
        <v>178</v>
      </c>
      <c r="F2164">
        <v>34</v>
      </c>
      <c r="G2164">
        <v>8.9</v>
      </c>
      <c r="H2164" t="s">
        <v>18</v>
      </c>
      <c r="I2164" t="s">
        <v>13</v>
      </c>
      <c r="J2164" t="s">
        <v>11</v>
      </c>
    </row>
    <row r="2165" spans="1:10" x14ac:dyDescent="0.25">
      <c r="A2165">
        <v>2164</v>
      </c>
      <c r="B2165" s="1">
        <v>45297</v>
      </c>
      <c r="C2165" t="s">
        <v>22</v>
      </c>
      <c r="D2165" t="s">
        <v>20</v>
      </c>
      <c r="E2165">
        <v>113</v>
      </c>
      <c r="F2165">
        <v>49</v>
      </c>
      <c r="G2165">
        <v>4.2</v>
      </c>
      <c r="H2165" t="s">
        <v>12</v>
      </c>
      <c r="I2165" t="s">
        <v>19</v>
      </c>
      <c r="J2165" t="s">
        <v>11</v>
      </c>
    </row>
    <row r="2166" spans="1:10" x14ac:dyDescent="0.25">
      <c r="A2166">
        <v>2165</v>
      </c>
      <c r="B2166" s="1">
        <v>45561</v>
      </c>
      <c r="C2166" t="s">
        <v>10</v>
      </c>
      <c r="D2166" t="s">
        <v>11</v>
      </c>
      <c r="E2166">
        <v>212</v>
      </c>
      <c r="F2166">
        <v>32</v>
      </c>
      <c r="G2166">
        <v>9.3000000000000007</v>
      </c>
      <c r="H2166" t="s">
        <v>18</v>
      </c>
      <c r="I2166" t="s">
        <v>13</v>
      </c>
      <c r="J2166" t="s">
        <v>15</v>
      </c>
    </row>
    <row r="2167" spans="1:10" x14ac:dyDescent="0.25">
      <c r="A2167">
        <v>2166</v>
      </c>
      <c r="B2167" s="1">
        <v>45426</v>
      </c>
      <c r="C2167" t="s">
        <v>23</v>
      </c>
      <c r="D2167" t="s">
        <v>15</v>
      </c>
      <c r="E2167">
        <v>50</v>
      </c>
      <c r="F2167">
        <v>17</v>
      </c>
      <c r="G2167">
        <v>8.4</v>
      </c>
      <c r="H2167" t="s">
        <v>12</v>
      </c>
      <c r="I2167" t="s">
        <v>16</v>
      </c>
      <c r="J2167" t="s">
        <v>11</v>
      </c>
    </row>
    <row r="2168" spans="1:10" x14ac:dyDescent="0.25">
      <c r="A2168">
        <v>2167</v>
      </c>
      <c r="B2168" s="1">
        <v>45604</v>
      </c>
      <c r="C2168" t="s">
        <v>21</v>
      </c>
      <c r="D2168" t="s">
        <v>17</v>
      </c>
      <c r="E2168">
        <v>161</v>
      </c>
      <c r="F2168">
        <v>6</v>
      </c>
      <c r="G2168">
        <v>7.5</v>
      </c>
      <c r="H2168" t="s">
        <v>18</v>
      </c>
      <c r="I2168" t="s">
        <v>19</v>
      </c>
      <c r="J2168" t="s">
        <v>15</v>
      </c>
    </row>
    <row r="2169" spans="1:10" x14ac:dyDescent="0.25">
      <c r="A2169">
        <v>2168</v>
      </c>
      <c r="B2169" s="1">
        <v>45369</v>
      </c>
      <c r="C2169" t="s">
        <v>14</v>
      </c>
      <c r="D2169" t="s">
        <v>17</v>
      </c>
      <c r="E2169">
        <v>7</v>
      </c>
      <c r="F2169">
        <v>25</v>
      </c>
      <c r="G2169">
        <v>9.5</v>
      </c>
      <c r="H2169" t="s">
        <v>18</v>
      </c>
      <c r="I2169" t="s">
        <v>16</v>
      </c>
      <c r="J2169" t="s">
        <v>15</v>
      </c>
    </row>
    <row r="2170" spans="1:10" x14ac:dyDescent="0.25">
      <c r="A2170">
        <v>2169</v>
      </c>
      <c r="B2170" s="1">
        <v>45525</v>
      </c>
      <c r="C2170" t="s">
        <v>23</v>
      </c>
      <c r="D2170" t="s">
        <v>17</v>
      </c>
      <c r="E2170">
        <v>58</v>
      </c>
      <c r="F2170">
        <v>42</v>
      </c>
      <c r="G2170">
        <v>2</v>
      </c>
      <c r="H2170" t="s">
        <v>12</v>
      </c>
      <c r="I2170" t="s">
        <v>16</v>
      </c>
      <c r="J2170" t="s">
        <v>11</v>
      </c>
    </row>
    <row r="2171" spans="1:10" x14ac:dyDescent="0.25">
      <c r="A2171">
        <v>2170</v>
      </c>
      <c r="B2171" s="1">
        <v>45500</v>
      </c>
      <c r="C2171" t="s">
        <v>21</v>
      </c>
      <c r="D2171" t="s">
        <v>20</v>
      </c>
      <c r="E2171">
        <v>206</v>
      </c>
      <c r="F2171">
        <v>43</v>
      </c>
      <c r="G2171">
        <v>2</v>
      </c>
      <c r="H2171" t="s">
        <v>12</v>
      </c>
      <c r="I2171" t="s">
        <v>19</v>
      </c>
      <c r="J2171" t="s">
        <v>11</v>
      </c>
    </row>
    <row r="2172" spans="1:10" x14ac:dyDescent="0.25">
      <c r="A2172">
        <v>2171</v>
      </c>
      <c r="B2172" s="1">
        <v>45324</v>
      </c>
      <c r="C2172" t="s">
        <v>23</v>
      </c>
      <c r="D2172" t="s">
        <v>20</v>
      </c>
      <c r="E2172">
        <v>128</v>
      </c>
      <c r="F2172">
        <v>42</v>
      </c>
      <c r="G2172">
        <v>2.1</v>
      </c>
      <c r="H2172" t="s">
        <v>12</v>
      </c>
      <c r="I2172" t="s">
        <v>13</v>
      </c>
      <c r="J2172" t="s">
        <v>11</v>
      </c>
    </row>
    <row r="2173" spans="1:10" x14ac:dyDescent="0.25">
      <c r="A2173">
        <v>2172</v>
      </c>
      <c r="B2173" s="1">
        <v>45466</v>
      </c>
      <c r="C2173" t="s">
        <v>10</v>
      </c>
      <c r="D2173" t="s">
        <v>15</v>
      </c>
      <c r="E2173">
        <v>226</v>
      </c>
      <c r="F2173">
        <v>50</v>
      </c>
      <c r="G2173">
        <v>1.7</v>
      </c>
      <c r="H2173" t="s">
        <v>12</v>
      </c>
      <c r="I2173" t="s">
        <v>19</v>
      </c>
      <c r="J2173" t="s">
        <v>11</v>
      </c>
    </row>
    <row r="2174" spans="1:10" x14ac:dyDescent="0.25">
      <c r="A2174">
        <v>2173</v>
      </c>
      <c r="B2174" s="1">
        <v>45574</v>
      </c>
      <c r="C2174" t="s">
        <v>23</v>
      </c>
      <c r="D2174" t="s">
        <v>11</v>
      </c>
      <c r="E2174">
        <v>224</v>
      </c>
      <c r="F2174">
        <v>58</v>
      </c>
      <c r="G2174">
        <v>5.0999999999999996</v>
      </c>
      <c r="H2174" t="s">
        <v>18</v>
      </c>
      <c r="I2174" t="s">
        <v>16</v>
      </c>
      <c r="J2174" t="s">
        <v>15</v>
      </c>
    </row>
    <row r="2175" spans="1:10" x14ac:dyDescent="0.25">
      <c r="A2175">
        <v>2174</v>
      </c>
      <c r="B2175" s="1">
        <v>45428</v>
      </c>
      <c r="C2175" t="s">
        <v>22</v>
      </c>
      <c r="D2175" t="s">
        <v>20</v>
      </c>
      <c r="E2175">
        <v>177</v>
      </c>
      <c r="F2175">
        <v>65</v>
      </c>
      <c r="G2175">
        <v>8.3000000000000007</v>
      </c>
      <c r="H2175" t="s">
        <v>12</v>
      </c>
      <c r="I2175" t="s">
        <v>16</v>
      </c>
      <c r="J2175" t="s">
        <v>11</v>
      </c>
    </row>
    <row r="2176" spans="1:10" x14ac:dyDescent="0.25">
      <c r="A2176">
        <v>2175</v>
      </c>
      <c r="B2176" s="1">
        <v>45315</v>
      </c>
      <c r="C2176" t="s">
        <v>10</v>
      </c>
      <c r="D2176" t="s">
        <v>11</v>
      </c>
      <c r="E2176">
        <v>102</v>
      </c>
      <c r="F2176">
        <v>54</v>
      </c>
      <c r="G2176">
        <v>2.2000000000000002</v>
      </c>
      <c r="H2176" t="s">
        <v>12</v>
      </c>
      <c r="I2176" t="s">
        <v>13</v>
      </c>
      <c r="J2176" t="s">
        <v>11</v>
      </c>
    </row>
    <row r="2177" spans="1:10" x14ac:dyDescent="0.25">
      <c r="A2177">
        <v>2176</v>
      </c>
      <c r="B2177" s="1">
        <v>45524</v>
      </c>
      <c r="C2177" t="s">
        <v>22</v>
      </c>
      <c r="D2177" t="s">
        <v>20</v>
      </c>
      <c r="E2177">
        <v>146</v>
      </c>
      <c r="F2177">
        <v>27</v>
      </c>
      <c r="G2177">
        <v>4.4000000000000004</v>
      </c>
      <c r="H2177" t="s">
        <v>12</v>
      </c>
      <c r="I2177" t="s">
        <v>19</v>
      </c>
      <c r="J2177" t="s">
        <v>11</v>
      </c>
    </row>
    <row r="2178" spans="1:10" x14ac:dyDescent="0.25">
      <c r="A2178">
        <v>2177</v>
      </c>
      <c r="B2178" s="1">
        <v>45496</v>
      </c>
      <c r="C2178" t="s">
        <v>14</v>
      </c>
      <c r="D2178" t="s">
        <v>20</v>
      </c>
      <c r="E2178">
        <v>151</v>
      </c>
      <c r="F2178">
        <v>47</v>
      </c>
      <c r="G2178">
        <v>5</v>
      </c>
      <c r="H2178" t="s">
        <v>18</v>
      </c>
      <c r="I2178" t="s">
        <v>13</v>
      </c>
      <c r="J2178" t="s">
        <v>11</v>
      </c>
    </row>
    <row r="2179" spans="1:10" x14ac:dyDescent="0.25">
      <c r="A2179">
        <v>2178</v>
      </c>
      <c r="B2179" s="1">
        <v>45584</v>
      </c>
      <c r="C2179" t="s">
        <v>14</v>
      </c>
      <c r="D2179" t="s">
        <v>20</v>
      </c>
      <c r="E2179">
        <v>172</v>
      </c>
      <c r="F2179">
        <v>71</v>
      </c>
      <c r="G2179">
        <v>9.1999999999999993</v>
      </c>
      <c r="H2179" t="s">
        <v>12</v>
      </c>
      <c r="I2179" t="s">
        <v>13</v>
      </c>
      <c r="J2179" t="s">
        <v>11</v>
      </c>
    </row>
    <row r="2180" spans="1:10" x14ac:dyDescent="0.25">
      <c r="A2180">
        <v>2179</v>
      </c>
      <c r="B2180" s="1">
        <v>45651</v>
      </c>
      <c r="C2180" t="s">
        <v>22</v>
      </c>
      <c r="D2180" t="s">
        <v>20</v>
      </c>
      <c r="E2180">
        <v>97</v>
      </c>
      <c r="F2180">
        <v>56</v>
      </c>
      <c r="G2180">
        <v>8.3000000000000007</v>
      </c>
      <c r="H2180" t="s">
        <v>12</v>
      </c>
      <c r="I2180" t="s">
        <v>19</v>
      </c>
      <c r="J2180" t="s">
        <v>11</v>
      </c>
    </row>
    <row r="2181" spans="1:10" x14ac:dyDescent="0.25">
      <c r="A2181">
        <v>2180</v>
      </c>
      <c r="B2181" s="1">
        <v>45328</v>
      </c>
      <c r="C2181" t="s">
        <v>22</v>
      </c>
      <c r="D2181" t="s">
        <v>20</v>
      </c>
      <c r="E2181">
        <v>210</v>
      </c>
      <c r="F2181">
        <v>18</v>
      </c>
      <c r="G2181">
        <v>2.6</v>
      </c>
      <c r="H2181" t="s">
        <v>18</v>
      </c>
      <c r="I2181" t="s">
        <v>19</v>
      </c>
      <c r="J2181" t="s">
        <v>11</v>
      </c>
    </row>
    <row r="2182" spans="1:10" x14ac:dyDescent="0.25">
      <c r="A2182">
        <v>2181</v>
      </c>
      <c r="B2182" s="1">
        <v>45507</v>
      </c>
      <c r="C2182" t="s">
        <v>22</v>
      </c>
      <c r="D2182" t="s">
        <v>15</v>
      </c>
      <c r="E2182">
        <v>18</v>
      </c>
      <c r="F2182">
        <v>71</v>
      </c>
      <c r="G2182">
        <v>4.5</v>
      </c>
      <c r="H2182" t="s">
        <v>12</v>
      </c>
      <c r="I2182" t="s">
        <v>13</v>
      </c>
      <c r="J2182" t="s">
        <v>15</v>
      </c>
    </row>
    <row r="2183" spans="1:10" x14ac:dyDescent="0.25">
      <c r="A2183">
        <v>2182</v>
      </c>
      <c r="B2183" s="1">
        <v>45528</v>
      </c>
      <c r="C2183" t="s">
        <v>21</v>
      </c>
      <c r="D2183" t="s">
        <v>20</v>
      </c>
      <c r="E2183">
        <v>108</v>
      </c>
      <c r="F2183">
        <v>46</v>
      </c>
      <c r="G2183">
        <v>6.7</v>
      </c>
      <c r="H2183" t="s">
        <v>18</v>
      </c>
      <c r="I2183" t="s">
        <v>16</v>
      </c>
      <c r="J2183" t="s">
        <v>11</v>
      </c>
    </row>
    <row r="2184" spans="1:10" x14ac:dyDescent="0.25">
      <c r="A2184">
        <v>2183</v>
      </c>
      <c r="B2184" s="1">
        <v>45381</v>
      </c>
      <c r="C2184" t="s">
        <v>23</v>
      </c>
      <c r="D2184" t="s">
        <v>20</v>
      </c>
      <c r="E2184">
        <v>98</v>
      </c>
      <c r="F2184">
        <v>55</v>
      </c>
      <c r="G2184">
        <v>5.6</v>
      </c>
      <c r="H2184" t="s">
        <v>12</v>
      </c>
      <c r="I2184" t="s">
        <v>16</v>
      </c>
      <c r="J2184" t="s">
        <v>11</v>
      </c>
    </row>
    <row r="2185" spans="1:10" x14ac:dyDescent="0.25">
      <c r="A2185">
        <v>2184</v>
      </c>
      <c r="B2185" s="1">
        <v>45564</v>
      </c>
      <c r="C2185" t="s">
        <v>23</v>
      </c>
      <c r="D2185" t="s">
        <v>17</v>
      </c>
      <c r="E2185">
        <v>159</v>
      </c>
      <c r="F2185">
        <v>29</v>
      </c>
      <c r="G2185">
        <v>9.6999999999999993</v>
      </c>
      <c r="H2185" t="s">
        <v>18</v>
      </c>
      <c r="I2185" t="s">
        <v>13</v>
      </c>
      <c r="J2185" t="s">
        <v>11</v>
      </c>
    </row>
    <row r="2186" spans="1:10" x14ac:dyDescent="0.25">
      <c r="A2186">
        <v>2185</v>
      </c>
      <c r="B2186" s="1">
        <v>45345</v>
      </c>
      <c r="C2186" t="s">
        <v>14</v>
      </c>
      <c r="D2186" t="s">
        <v>15</v>
      </c>
      <c r="E2186">
        <v>216</v>
      </c>
      <c r="F2186">
        <v>72</v>
      </c>
      <c r="G2186">
        <v>3.7</v>
      </c>
      <c r="H2186" t="s">
        <v>18</v>
      </c>
      <c r="I2186" t="s">
        <v>16</v>
      </c>
      <c r="J2186" t="s">
        <v>11</v>
      </c>
    </row>
    <row r="2187" spans="1:10" x14ac:dyDescent="0.25">
      <c r="A2187">
        <v>2186</v>
      </c>
      <c r="B2187" s="1">
        <v>45351</v>
      </c>
      <c r="C2187" t="s">
        <v>22</v>
      </c>
      <c r="D2187" t="s">
        <v>20</v>
      </c>
      <c r="E2187">
        <v>182</v>
      </c>
      <c r="F2187">
        <v>30</v>
      </c>
      <c r="G2187">
        <v>10</v>
      </c>
      <c r="H2187" t="s">
        <v>18</v>
      </c>
      <c r="I2187" t="s">
        <v>13</v>
      </c>
      <c r="J2187" t="s">
        <v>11</v>
      </c>
    </row>
    <row r="2188" spans="1:10" x14ac:dyDescent="0.25">
      <c r="A2188">
        <v>2187</v>
      </c>
      <c r="B2188" s="1">
        <v>45514</v>
      </c>
      <c r="C2188" t="s">
        <v>10</v>
      </c>
      <c r="D2188" t="s">
        <v>17</v>
      </c>
      <c r="E2188">
        <v>207</v>
      </c>
      <c r="F2188">
        <v>48</v>
      </c>
      <c r="G2188">
        <v>8.4</v>
      </c>
      <c r="H2188" t="s">
        <v>18</v>
      </c>
      <c r="I2188" t="s">
        <v>13</v>
      </c>
      <c r="J2188" t="s">
        <v>11</v>
      </c>
    </row>
    <row r="2189" spans="1:10" x14ac:dyDescent="0.25">
      <c r="A2189">
        <v>2188</v>
      </c>
      <c r="B2189" s="1">
        <v>45535</v>
      </c>
      <c r="C2189" t="s">
        <v>21</v>
      </c>
      <c r="D2189" t="s">
        <v>20</v>
      </c>
      <c r="E2189">
        <v>140</v>
      </c>
      <c r="F2189">
        <v>4</v>
      </c>
      <c r="G2189">
        <v>8.3000000000000007</v>
      </c>
      <c r="H2189" t="s">
        <v>12</v>
      </c>
      <c r="I2189" t="s">
        <v>19</v>
      </c>
      <c r="J2189" t="s">
        <v>15</v>
      </c>
    </row>
    <row r="2190" spans="1:10" x14ac:dyDescent="0.25">
      <c r="A2190">
        <v>2189</v>
      </c>
      <c r="B2190" s="1">
        <v>45294</v>
      </c>
      <c r="C2190" t="s">
        <v>22</v>
      </c>
      <c r="D2190" t="s">
        <v>15</v>
      </c>
      <c r="E2190">
        <v>195</v>
      </c>
      <c r="F2190">
        <v>57</v>
      </c>
      <c r="G2190">
        <v>2.4</v>
      </c>
      <c r="H2190" t="s">
        <v>12</v>
      </c>
      <c r="I2190" t="s">
        <v>16</v>
      </c>
      <c r="J2190" t="s">
        <v>11</v>
      </c>
    </row>
    <row r="2191" spans="1:10" x14ac:dyDescent="0.25">
      <c r="A2191">
        <v>2190</v>
      </c>
      <c r="B2191" s="1">
        <v>45373</v>
      </c>
      <c r="C2191" t="s">
        <v>21</v>
      </c>
      <c r="D2191" t="s">
        <v>11</v>
      </c>
      <c r="E2191">
        <v>73</v>
      </c>
      <c r="F2191">
        <v>54</v>
      </c>
      <c r="G2191">
        <v>8.8000000000000007</v>
      </c>
      <c r="H2191" t="s">
        <v>18</v>
      </c>
      <c r="I2191" t="s">
        <v>16</v>
      </c>
      <c r="J2191" t="s">
        <v>15</v>
      </c>
    </row>
    <row r="2192" spans="1:10" x14ac:dyDescent="0.25">
      <c r="A2192">
        <v>2191</v>
      </c>
      <c r="B2192" s="1">
        <v>45599</v>
      </c>
      <c r="C2192" t="s">
        <v>10</v>
      </c>
      <c r="D2192" t="s">
        <v>20</v>
      </c>
      <c r="E2192">
        <v>34</v>
      </c>
      <c r="F2192">
        <v>40</v>
      </c>
      <c r="G2192">
        <v>9</v>
      </c>
      <c r="H2192" t="s">
        <v>12</v>
      </c>
      <c r="I2192" t="s">
        <v>16</v>
      </c>
      <c r="J2192" t="s">
        <v>11</v>
      </c>
    </row>
    <row r="2193" spans="1:10" x14ac:dyDescent="0.25">
      <c r="A2193">
        <v>2192</v>
      </c>
      <c r="B2193" s="1">
        <v>45360</v>
      </c>
      <c r="C2193" t="s">
        <v>22</v>
      </c>
      <c r="D2193" t="s">
        <v>11</v>
      </c>
      <c r="E2193">
        <v>105</v>
      </c>
      <c r="F2193">
        <v>30</v>
      </c>
      <c r="G2193">
        <v>9.1999999999999993</v>
      </c>
      <c r="H2193" t="s">
        <v>12</v>
      </c>
      <c r="I2193" t="s">
        <v>16</v>
      </c>
      <c r="J2193" t="s">
        <v>11</v>
      </c>
    </row>
    <row r="2194" spans="1:10" x14ac:dyDescent="0.25">
      <c r="A2194">
        <v>2193</v>
      </c>
      <c r="B2194" s="1">
        <v>45484</v>
      </c>
      <c r="C2194" t="s">
        <v>23</v>
      </c>
      <c r="D2194" t="s">
        <v>11</v>
      </c>
      <c r="E2194">
        <v>24</v>
      </c>
      <c r="F2194">
        <v>49</v>
      </c>
      <c r="G2194">
        <v>0.8</v>
      </c>
      <c r="H2194" t="s">
        <v>12</v>
      </c>
      <c r="I2194" t="s">
        <v>16</v>
      </c>
      <c r="J2194" t="s">
        <v>15</v>
      </c>
    </row>
    <row r="2195" spans="1:10" x14ac:dyDescent="0.25">
      <c r="A2195">
        <v>2194</v>
      </c>
      <c r="B2195" s="1">
        <v>45466</v>
      </c>
      <c r="C2195" t="s">
        <v>14</v>
      </c>
      <c r="D2195" t="s">
        <v>11</v>
      </c>
      <c r="E2195">
        <v>69</v>
      </c>
      <c r="F2195">
        <v>43</v>
      </c>
      <c r="G2195">
        <v>6.3</v>
      </c>
      <c r="H2195" t="s">
        <v>18</v>
      </c>
      <c r="I2195" t="s">
        <v>16</v>
      </c>
      <c r="J2195" t="s">
        <v>15</v>
      </c>
    </row>
    <row r="2196" spans="1:10" x14ac:dyDescent="0.25">
      <c r="A2196">
        <v>2195</v>
      </c>
      <c r="B2196" s="1">
        <v>45648</v>
      </c>
      <c r="C2196" t="s">
        <v>14</v>
      </c>
      <c r="D2196" t="s">
        <v>17</v>
      </c>
      <c r="E2196">
        <v>212</v>
      </c>
      <c r="F2196">
        <v>62</v>
      </c>
      <c r="G2196">
        <v>1.3</v>
      </c>
      <c r="H2196" t="s">
        <v>18</v>
      </c>
      <c r="I2196" t="s">
        <v>19</v>
      </c>
      <c r="J2196" t="s">
        <v>11</v>
      </c>
    </row>
    <row r="2197" spans="1:10" x14ac:dyDescent="0.25">
      <c r="A2197">
        <v>2196</v>
      </c>
      <c r="B2197" s="1">
        <v>45356</v>
      </c>
      <c r="C2197" t="s">
        <v>10</v>
      </c>
      <c r="D2197" t="s">
        <v>15</v>
      </c>
      <c r="E2197">
        <v>26</v>
      </c>
      <c r="F2197">
        <v>49</v>
      </c>
      <c r="G2197">
        <v>7.5</v>
      </c>
      <c r="H2197" t="s">
        <v>18</v>
      </c>
      <c r="I2197" t="s">
        <v>19</v>
      </c>
      <c r="J2197" t="s">
        <v>20</v>
      </c>
    </row>
    <row r="2198" spans="1:10" x14ac:dyDescent="0.25">
      <c r="A2198">
        <v>2197</v>
      </c>
      <c r="B2198" s="1">
        <v>45653</v>
      </c>
      <c r="C2198" t="s">
        <v>21</v>
      </c>
      <c r="D2198" t="s">
        <v>11</v>
      </c>
      <c r="E2198">
        <v>74</v>
      </c>
      <c r="F2198">
        <v>36</v>
      </c>
      <c r="G2198">
        <v>6.5</v>
      </c>
      <c r="H2198" t="s">
        <v>12</v>
      </c>
      <c r="I2198" t="s">
        <v>19</v>
      </c>
      <c r="J2198" t="s">
        <v>11</v>
      </c>
    </row>
    <row r="2199" spans="1:10" x14ac:dyDescent="0.25">
      <c r="A2199">
        <v>2198</v>
      </c>
      <c r="B2199" s="1">
        <v>45301</v>
      </c>
      <c r="C2199" t="s">
        <v>21</v>
      </c>
      <c r="D2199" t="s">
        <v>15</v>
      </c>
      <c r="E2199">
        <v>233</v>
      </c>
      <c r="F2199">
        <v>38</v>
      </c>
      <c r="G2199">
        <v>6.8</v>
      </c>
      <c r="H2199" t="s">
        <v>12</v>
      </c>
      <c r="I2199" t="s">
        <v>19</v>
      </c>
      <c r="J2199" t="s">
        <v>11</v>
      </c>
    </row>
    <row r="2200" spans="1:10" x14ac:dyDescent="0.25">
      <c r="A2200">
        <v>2199</v>
      </c>
      <c r="B2200" s="1">
        <v>45527</v>
      </c>
      <c r="C2200" t="s">
        <v>21</v>
      </c>
      <c r="D2200" t="s">
        <v>20</v>
      </c>
      <c r="E2200">
        <v>118</v>
      </c>
      <c r="F2200">
        <v>2</v>
      </c>
      <c r="G2200">
        <v>5.9</v>
      </c>
      <c r="H2200" t="s">
        <v>12</v>
      </c>
      <c r="I2200" t="s">
        <v>16</v>
      </c>
      <c r="J2200" t="s">
        <v>15</v>
      </c>
    </row>
    <row r="2201" spans="1:10" x14ac:dyDescent="0.25">
      <c r="A2201">
        <v>2200</v>
      </c>
      <c r="B2201" s="1">
        <v>45296</v>
      </c>
      <c r="C2201" t="s">
        <v>10</v>
      </c>
      <c r="D2201" t="s">
        <v>15</v>
      </c>
      <c r="E2201">
        <v>229</v>
      </c>
      <c r="F2201">
        <v>60</v>
      </c>
      <c r="G2201">
        <v>1.2</v>
      </c>
      <c r="H2201" t="s">
        <v>18</v>
      </c>
      <c r="I2201" t="s">
        <v>19</v>
      </c>
      <c r="J2201" t="s">
        <v>11</v>
      </c>
    </row>
    <row r="2202" spans="1:10" x14ac:dyDescent="0.25">
      <c r="A2202">
        <v>2201</v>
      </c>
      <c r="B2202" s="1">
        <v>45387</v>
      </c>
      <c r="C2202" t="s">
        <v>10</v>
      </c>
      <c r="D2202" t="s">
        <v>15</v>
      </c>
      <c r="E2202">
        <v>153</v>
      </c>
      <c r="F2202">
        <v>35</v>
      </c>
      <c r="G2202">
        <v>2.7</v>
      </c>
      <c r="H2202" t="s">
        <v>12</v>
      </c>
      <c r="I2202" t="s">
        <v>16</v>
      </c>
      <c r="J2202" t="s">
        <v>11</v>
      </c>
    </row>
    <row r="2203" spans="1:10" x14ac:dyDescent="0.25">
      <c r="A2203">
        <v>2202</v>
      </c>
      <c r="B2203" s="1">
        <v>45334</v>
      </c>
      <c r="C2203" t="s">
        <v>10</v>
      </c>
      <c r="D2203" t="s">
        <v>11</v>
      </c>
      <c r="E2203">
        <v>21</v>
      </c>
      <c r="F2203">
        <v>55</v>
      </c>
      <c r="G2203">
        <v>3.3</v>
      </c>
      <c r="H2203" t="s">
        <v>12</v>
      </c>
      <c r="I2203" t="s">
        <v>16</v>
      </c>
      <c r="J2203" t="s">
        <v>15</v>
      </c>
    </row>
    <row r="2204" spans="1:10" x14ac:dyDescent="0.25">
      <c r="A2204">
        <v>2203</v>
      </c>
      <c r="B2204" s="1">
        <v>45429</v>
      </c>
      <c r="C2204" t="s">
        <v>23</v>
      </c>
      <c r="D2204" t="s">
        <v>11</v>
      </c>
      <c r="E2204">
        <v>91</v>
      </c>
      <c r="F2204">
        <v>33</v>
      </c>
      <c r="G2204">
        <v>7.2</v>
      </c>
      <c r="H2204" t="s">
        <v>18</v>
      </c>
      <c r="I2204" t="s">
        <v>19</v>
      </c>
      <c r="J2204" t="s">
        <v>15</v>
      </c>
    </row>
    <row r="2205" spans="1:10" x14ac:dyDescent="0.25">
      <c r="A2205">
        <v>2204</v>
      </c>
      <c r="B2205" s="1">
        <v>45558</v>
      </c>
      <c r="C2205" t="s">
        <v>21</v>
      </c>
      <c r="D2205" t="s">
        <v>17</v>
      </c>
      <c r="E2205">
        <v>135</v>
      </c>
      <c r="F2205">
        <v>69</v>
      </c>
      <c r="G2205">
        <v>1.8</v>
      </c>
      <c r="H2205" t="s">
        <v>12</v>
      </c>
      <c r="I2205" t="s">
        <v>19</v>
      </c>
      <c r="J2205" t="s">
        <v>11</v>
      </c>
    </row>
    <row r="2206" spans="1:10" x14ac:dyDescent="0.25">
      <c r="A2206">
        <v>2205</v>
      </c>
      <c r="B2206" s="1">
        <v>45550</v>
      </c>
      <c r="C2206" t="s">
        <v>23</v>
      </c>
      <c r="D2206" t="s">
        <v>15</v>
      </c>
      <c r="E2206">
        <v>151</v>
      </c>
      <c r="F2206">
        <v>71</v>
      </c>
      <c r="G2206">
        <v>3.6</v>
      </c>
      <c r="H2206" t="s">
        <v>18</v>
      </c>
      <c r="I2206" t="s">
        <v>16</v>
      </c>
      <c r="J2206" t="s">
        <v>11</v>
      </c>
    </row>
    <row r="2207" spans="1:10" x14ac:dyDescent="0.25">
      <c r="A2207">
        <v>2206</v>
      </c>
      <c r="B2207" s="1">
        <v>45397</v>
      </c>
      <c r="C2207" t="s">
        <v>21</v>
      </c>
      <c r="D2207" t="s">
        <v>15</v>
      </c>
      <c r="E2207">
        <v>79</v>
      </c>
      <c r="F2207">
        <v>70</v>
      </c>
      <c r="G2207">
        <v>7.7</v>
      </c>
      <c r="H2207" t="s">
        <v>18</v>
      </c>
      <c r="I2207" t="s">
        <v>19</v>
      </c>
      <c r="J2207" t="s">
        <v>15</v>
      </c>
    </row>
    <row r="2208" spans="1:10" x14ac:dyDescent="0.25">
      <c r="A2208">
        <v>2207</v>
      </c>
      <c r="B2208" s="1">
        <v>45514</v>
      </c>
      <c r="C2208" t="s">
        <v>22</v>
      </c>
      <c r="D2208" t="s">
        <v>15</v>
      </c>
      <c r="E2208">
        <v>179</v>
      </c>
      <c r="F2208">
        <v>67</v>
      </c>
      <c r="G2208">
        <v>1.9</v>
      </c>
      <c r="H2208" t="s">
        <v>18</v>
      </c>
      <c r="I2208" t="s">
        <v>13</v>
      </c>
      <c r="J2208" t="s">
        <v>11</v>
      </c>
    </row>
    <row r="2209" spans="1:10" x14ac:dyDescent="0.25">
      <c r="A2209">
        <v>2208</v>
      </c>
      <c r="B2209" s="1">
        <v>45321</v>
      </c>
      <c r="C2209" t="s">
        <v>22</v>
      </c>
      <c r="D2209" t="s">
        <v>17</v>
      </c>
      <c r="E2209">
        <v>145</v>
      </c>
      <c r="F2209">
        <v>49</v>
      </c>
      <c r="G2209">
        <v>4.5999999999999996</v>
      </c>
      <c r="H2209" t="s">
        <v>12</v>
      </c>
      <c r="I2209" t="s">
        <v>13</v>
      </c>
      <c r="J2209" t="s">
        <v>11</v>
      </c>
    </row>
    <row r="2210" spans="1:10" x14ac:dyDescent="0.25">
      <c r="A2210">
        <v>2209</v>
      </c>
      <c r="B2210" s="1">
        <v>45350</v>
      </c>
      <c r="C2210" t="s">
        <v>10</v>
      </c>
      <c r="D2210" t="s">
        <v>20</v>
      </c>
      <c r="E2210">
        <v>182</v>
      </c>
      <c r="F2210">
        <v>48</v>
      </c>
      <c r="G2210">
        <v>2.8</v>
      </c>
      <c r="H2210" t="s">
        <v>12</v>
      </c>
      <c r="I2210" t="s">
        <v>13</v>
      </c>
      <c r="J2210" t="s">
        <v>11</v>
      </c>
    </row>
    <row r="2211" spans="1:10" x14ac:dyDescent="0.25">
      <c r="A2211">
        <v>2210</v>
      </c>
      <c r="B2211" s="1">
        <v>45328</v>
      </c>
      <c r="C2211" t="s">
        <v>23</v>
      </c>
      <c r="D2211" t="s">
        <v>15</v>
      </c>
      <c r="E2211">
        <v>24</v>
      </c>
      <c r="F2211">
        <v>52</v>
      </c>
      <c r="G2211">
        <v>4.3</v>
      </c>
      <c r="H2211" t="s">
        <v>12</v>
      </c>
      <c r="I2211" t="s">
        <v>13</v>
      </c>
      <c r="J2211" t="s">
        <v>15</v>
      </c>
    </row>
    <row r="2212" spans="1:10" x14ac:dyDescent="0.25">
      <c r="A2212">
        <v>2211</v>
      </c>
      <c r="B2212" s="1">
        <v>45314</v>
      </c>
      <c r="C2212" t="s">
        <v>23</v>
      </c>
      <c r="D2212" t="s">
        <v>11</v>
      </c>
      <c r="E2212">
        <v>160</v>
      </c>
      <c r="F2212">
        <v>19</v>
      </c>
      <c r="G2212">
        <v>7.1</v>
      </c>
      <c r="H2212" t="s">
        <v>18</v>
      </c>
      <c r="I2212" t="s">
        <v>19</v>
      </c>
      <c r="J2212" t="s">
        <v>15</v>
      </c>
    </row>
    <row r="2213" spans="1:10" x14ac:dyDescent="0.25">
      <c r="A2213">
        <v>2212</v>
      </c>
      <c r="B2213" s="1">
        <v>45370</v>
      </c>
      <c r="C2213" t="s">
        <v>22</v>
      </c>
      <c r="D2213" t="s">
        <v>11</v>
      </c>
      <c r="E2213">
        <v>156</v>
      </c>
      <c r="F2213">
        <v>9</v>
      </c>
      <c r="G2213">
        <v>5.7</v>
      </c>
      <c r="H2213" t="s">
        <v>18</v>
      </c>
      <c r="I2213" t="s">
        <v>16</v>
      </c>
      <c r="J2213" t="s">
        <v>15</v>
      </c>
    </row>
    <row r="2214" spans="1:10" x14ac:dyDescent="0.25">
      <c r="A2214">
        <v>2213</v>
      </c>
      <c r="B2214" s="1">
        <v>45571</v>
      </c>
      <c r="C2214" t="s">
        <v>22</v>
      </c>
      <c r="D2214" t="s">
        <v>17</v>
      </c>
      <c r="E2214">
        <v>181</v>
      </c>
      <c r="F2214">
        <v>63</v>
      </c>
      <c r="G2214">
        <v>2.4</v>
      </c>
      <c r="H2214" t="s">
        <v>12</v>
      </c>
      <c r="I2214" t="s">
        <v>16</v>
      </c>
      <c r="J2214" t="s">
        <v>11</v>
      </c>
    </row>
    <row r="2215" spans="1:10" x14ac:dyDescent="0.25">
      <c r="A2215">
        <v>2214</v>
      </c>
      <c r="B2215" s="1">
        <v>45410</v>
      </c>
      <c r="C2215" t="s">
        <v>14</v>
      </c>
      <c r="D2215" t="s">
        <v>17</v>
      </c>
      <c r="E2215">
        <v>57</v>
      </c>
      <c r="F2215">
        <v>72</v>
      </c>
      <c r="G2215">
        <v>5.6</v>
      </c>
      <c r="H2215" t="s">
        <v>18</v>
      </c>
      <c r="I2215" t="s">
        <v>19</v>
      </c>
      <c r="J2215" t="s">
        <v>11</v>
      </c>
    </row>
    <row r="2216" spans="1:10" x14ac:dyDescent="0.25">
      <c r="A2216">
        <v>2215</v>
      </c>
      <c r="B2216" s="1">
        <v>45370</v>
      </c>
      <c r="C2216" t="s">
        <v>23</v>
      </c>
      <c r="D2216" t="s">
        <v>11</v>
      </c>
      <c r="E2216">
        <v>238</v>
      </c>
      <c r="F2216">
        <v>42</v>
      </c>
      <c r="G2216">
        <v>2</v>
      </c>
      <c r="H2216" t="s">
        <v>18</v>
      </c>
      <c r="I2216" t="s">
        <v>16</v>
      </c>
      <c r="J2216" t="s">
        <v>11</v>
      </c>
    </row>
    <row r="2217" spans="1:10" x14ac:dyDescent="0.25">
      <c r="A2217">
        <v>2216</v>
      </c>
      <c r="B2217" s="1">
        <v>45584</v>
      </c>
      <c r="C2217" t="s">
        <v>14</v>
      </c>
      <c r="D2217" t="s">
        <v>20</v>
      </c>
      <c r="E2217">
        <v>55</v>
      </c>
      <c r="F2217">
        <v>51</v>
      </c>
      <c r="G2217">
        <v>7.9</v>
      </c>
      <c r="H2217" t="s">
        <v>18</v>
      </c>
      <c r="I2217" t="s">
        <v>16</v>
      </c>
      <c r="J2217" t="s">
        <v>11</v>
      </c>
    </row>
    <row r="2218" spans="1:10" x14ac:dyDescent="0.25">
      <c r="A2218">
        <v>2217</v>
      </c>
      <c r="B2218" s="1">
        <v>45444</v>
      </c>
      <c r="C2218" t="s">
        <v>21</v>
      </c>
      <c r="D2218" t="s">
        <v>20</v>
      </c>
      <c r="E2218">
        <v>57</v>
      </c>
      <c r="F2218">
        <v>43</v>
      </c>
      <c r="G2218">
        <v>1.9</v>
      </c>
      <c r="H2218" t="s">
        <v>18</v>
      </c>
      <c r="I2218" t="s">
        <v>16</v>
      </c>
      <c r="J2218" t="s">
        <v>11</v>
      </c>
    </row>
    <row r="2219" spans="1:10" x14ac:dyDescent="0.25">
      <c r="A2219">
        <v>2218</v>
      </c>
      <c r="B2219" s="1">
        <v>45345</v>
      </c>
      <c r="C2219" t="s">
        <v>21</v>
      </c>
      <c r="D2219" t="s">
        <v>11</v>
      </c>
      <c r="E2219">
        <v>163</v>
      </c>
      <c r="F2219">
        <v>57</v>
      </c>
      <c r="G2219">
        <v>1</v>
      </c>
      <c r="H2219" t="s">
        <v>18</v>
      </c>
      <c r="I2219" t="s">
        <v>19</v>
      </c>
      <c r="J2219" t="s">
        <v>11</v>
      </c>
    </row>
    <row r="2220" spans="1:10" x14ac:dyDescent="0.25">
      <c r="A2220">
        <v>2219</v>
      </c>
      <c r="B2220" s="1">
        <v>45363</v>
      </c>
      <c r="C2220" t="s">
        <v>22</v>
      </c>
      <c r="D2220" t="s">
        <v>20</v>
      </c>
      <c r="E2220">
        <v>221</v>
      </c>
      <c r="F2220">
        <v>33</v>
      </c>
      <c r="G2220">
        <v>3</v>
      </c>
      <c r="H2220" t="s">
        <v>12</v>
      </c>
      <c r="I2220" t="s">
        <v>16</v>
      </c>
      <c r="J2220" t="s">
        <v>11</v>
      </c>
    </row>
    <row r="2221" spans="1:10" x14ac:dyDescent="0.25">
      <c r="A2221">
        <v>2220</v>
      </c>
      <c r="B2221" s="1">
        <v>45294</v>
      </c>
      <c r="C2221" t="s">
        <v>22</v>
      </c>
      <c r="D2221" t="s">
        <v>20</v>
      </c>
      <c r="E2221">
        <v>53</v>
      </c>
      <c r="F2221">
        <v>63</v>
      </c>
      <c r="G2221">
        <v>0.6</v>
      </c>
      <c r="H2221" t="s">
        <v>12</v>
      </c>
      <c r="I2221" t="s">
        <v>13</v>
      </c>
      <c r="J2221" t="s">
        <v>11</v>
      </c>
    </row>
    <row r="2222" spans="1:10" x14ac:dyDescent="0.25">
      <c r="A2222">
        <v>2221</v>
      </c>
      <c r="B2222" s="1">
        <v>45411</v>
      </c>
      <c r="C2222" t="s">
        <v>21</v>
      </c>
      <c r="D2222" t="s">
        <v>17</v>
      </c>
      <c r="E2222">
        <v>53</v>
      </c>
      <c r="F2222">
        <v>4</v>
      </c>
      <c r="G2222">
        <v>0.8</v>
      </c>
      <c r="H2222" t="s">
        <v>18</v>
      </c>
      <c r="I2222" t="s">
        <v>16</v>
      </c>
      <c r="J2222" t="s">
        <v>15</v>
      </c>
    </row>
    <row r="2223" spans="1:10" x14ac:dyDescent="0.25">
      <c r="A2223">
        <v>2222</v>
      </c>
      <c r="B2223" s="1">
        <v>45635</v>
      </c>
      <c r="C2223" t="s">
        <v>23</v>
      </c>
      <c r="D2223" t="s">
        <v>20</v>
      </c>
      <c r="E2223">
        <v>39</v>
      </c>
      <c r="F2223">
        <v>22</v>
      </c>
      <c r="G2223">
        <v>7.3</v>
      </c>
      <c r="H2223" t="s">
        <v>18</v>
      </c>
      <c r="I2223" t="s">
        <v>13</v>
      </c>
      <c r="J2223" t="s">
        <v>11</v>
      </c>
    </row>
    <row r="2224" spans="1:10" x14ac:dyDescent="0.25">
      <c r="A2224">
        <v>2223</v>
      </c>
      <c r="B2224" s="1">
        <v>45422</v>
      </c>
      <c r="C2224" t="s">
        <v>21</v>
      </c>
      <c r="D2224" t="s">
        <v>17</v>
      </c>
      <c r="E2224">
        <v>75</v>
      </c>
      <c r="F2224">
        <v>4</v>
      </c>
      <c r="G2224">
        <v>7.1</v>
      </c>
      <c r="H2224" t="s">
        <v>12</v>
      </c>
      <c r="I2224" t="s">
        <v>16</v>
      </c>
      <c r="J2224" t="s">
        <v>15</v>
      </c>
    </row>
    <row r="2225" spans="1:10" x14ac:dyDescent="0.25">
      <c r="A2225">
        <v>2224</v>
      </c>
      <c r="B2225" s="1">
        <v>45378</v>
      </c>
      <c r="C2225" t="s">
        <v>10</v>
      </c>
      <c r="D2225" t="s">
        <v>15</v>
      </c>
      <c r="E2225">
        <v>219</v>
      </c>
      <c r="F2225">
        <v>24</v>
      </c>
      <c r="G2225">
        <v>2.8</v>
      </c>
      <c r="H2225" t="s">
        <v>18</v>
      </c>
      <c r="I2225" t="s">
        <v>16</v>
      </c>
      <c r="J2225" t="s">
        <v>11</v>
      </c>
    </row>
    <row r="2226" spans="1:10" x14ac:dyDescent="0.25">
      <c r="A2226">
        <v>2225</v>
      </c>
      <c r="B2226" s="1">
        <v>45521</v>
      </c>
      <c r="C2226" t="s">
        <v>22</v>
      </c>
      <c r="D2226" t="s">
        <v>20</v>
      </c>
      <c r="E2226">
        <v>136</v>
      </c>
      <c r="F2226">
        <v>64</v>
      </c>
      <c r="G2226">
        <v>5.0999999999999996</v>
      </c>
      <c r="H2226" t="s">
        <v>12</v>
      </c>
      <c r="I2226" t="s">
        <v>19</v>
      </c>
      <c r="J2226" t="s">
        <v>11</v>
      </c>
    </row>
    <row r="2227" spans="1:10" x14ac:dyDescent="0.25">
      <c r="A2227">
        <v>2226</v>
      </c>
      <c r="B2227" s="1">
        <v>45578</v>
      </c>
      <c r="C2227" t="s">
        <v>21</v>
      </c>
      <c r="D2227" t="s">
        <v>15</v>
      </c>
      <c r="E2227">
        <v>50</v>
      </c>
      <c r="F2227">
        <v>57</v>
      </c>
      <c r="G2227">
        <v>7.2</v>
      </c>
      <c r="H2227" t="s">
        <v>18</v>
      </c>
      <c r="I2227" t="s">
        <v>19</v>
      </c>
      <c r="J2227" t="s">
        <v>15</v>
      </c>
    </row>
    <row r="2228" spans="1:10" x14ac:dyDescent="0.25">
      <c r="A2228">
        <v>2227</v>
      </c>
      <c r="B2228" s="1">
        <v>45630</v>
      </c>
      <c r="C2228" t="s">
        <v>22</v>
      </c>
      <c r="D2228" t="s">
        <v>11</v>
      </c>
      <c r="E2228">
        <v>108</v>
      </c>
      <c r="F2228">
        <v>37</v>
      </c>
      <c r="G2228">
        <v>3.4</v>
      </c>
      <c r="H2228" t="s">
        <v>18</v>
      </c>
      <c r="I2228" t="s">
        <v>16</v>
      </c>
      <c r="J2228" t="s">
        <v>11</v>
      </c>
    </row>
    <row r="2229" spans="1:10" x14ac:dyDescent="0.25">
      <c r="A2229">
        <v>2228</v>
      </c>
      <c r="B2229" s="1">
        <v>45312</v>
      </c>
      <c r="C2229" t="s">
        <v>14</v>
      </c>
      <c r="D2229" t="s">
        <v>20</v>
      </c>
      <c r="E2229">
        <v>117</v>
      </c>
      <c r="F2229">
        <v>59</v>
      </c>
      <c r="G2229">
        <v>8.9</v>
      </c>
      <c r="H2229" t="s">
        <v>18</v>
      </c>
      <c r="I2229" t="s">
        <v>19</v>
      </c>
      <c r="J2229" t="s">
        <v>11</v>
      </c>
    </row>
    <row r="2230" spans="1:10" x14ac:dyDescent="0.25">
      <c r="A2230">
        <v>2229</v>
      </c>
      <c r="B2230" s="1">
        <v>45471</v>
      </c>
      <c r="C2230" t="s">
        <v>14</v>
      </c>
      <c r="D2230" t="s">
        <v>15</v>
      </c>
      <c r="E2230">
        <v>204</v>
      </c>
      <c r="F2230">
        <v>40</v>
      </c>
      <c r="G2230">
        <v>4.8</v>
      </c>
      <c r="H2230" t="s">
        <v>12</v>
      </c>
      <c r="I2230" t="s">
        <v>16</v>
      </c>
      <c r="J2230" t="s">
        <v>11</v>
      </c>
    </row>
    <row r="2231" spans="1:10" x14ac:dyDescent="0.25">
      <c r="A2231">
        <v>2230</v>
      </c>
      <c r="B2231" s="1">
        <v>45376</v>
      </c>
      <c r="C2231" t="s">
        <v>22</v>
      </c>
      <c r="D2231" t="s">
        <v>20</v>
      </c>
      <c r="E2231">
        <v>101</v>
      </c>
      <c r="F2231">
        <v>21</v>
      </c>
      <c r="G2231">
        <v>3.9</v>
      </c>
      <c r="H2231" t="s">
        <v>12</v>
      </c>
      <c r="I2231" t="s">
        <v>13</v>
      </c>
      <c r="J2231" t="s">
        <v>11</v>
      </c>
    </row>
    <row r="2232" spans="1:10" x14ac:dyDescent="0.25">
      <c r="A2232">
        <v>2231</v>
      </c>
      <c r="B2232" s="1">
        <v>45506</v>
      </c>
      <c r="C2232" t="s">
        <v>10</v>
      </c>
      <c r="D2232" t="s">
        <v>20</v>
      </c>
      <c r="E2232">
        <v>184</v>
      </c>
      <c r="F2232">
        <v>16</v>
      </c>
      <c r="G2232">
        <v>6.2</v>
      </c>
      <c r="H2232" t="s">
        <v>18</v>
      </c>
      <c r="I2232" t="s">
        <v>16</v>
      </c>
      <c r="J2232" t="s">
        <v>11</v>
      </c>
    </row>
    <row r="2233" spans="1:10" x14ac:dyDescent="0.25">
      <c r="A2233">
        <v>2232</v>
      </c>
      <c r="B2233" s="1">
        <v>45322</v>
      </c>
      <c r="C2233" t="s">
        <v>23</v>
      </c>
      <c r="D2233" t="s">
        <v>20</v>
      </c>
      <c r="E2233">
        <v>83</v>
      </c>
      <c r="F2233">
        <v>31</v>
      </c>
      <c r="G2233">
        <v>2.4</v>
      </c>
      <c r="H2233" t="s">
        <v>12</v>
      </c>
      <c r="I2233" t="s">
        <v>16</v>
      </c>
      <c r="J2233" t="s">
        <v>11</v>
      </c>
    </row>
    <row r="2234" spans="1:10" x14ac:dyDescent="0.25">
      <c r="A2234">
        <v>2233</v>
      </c>
      <c r="B2234" s="1">
        <v>45342</v>
      </c>
      <c r="C2234" t="s">
        <v>21</v>
      </c>
      <c r="D2234" t="s">
        <v>11</v>
      </c>
      <c r="E2234">
        <v>151</v>
      </c>
      <c r="F2234">
        <v>46</v>
      </c>
      <c r="G2234">
        <v>2.2999999999999998</v>
      </c>
      <c r="H2234" t="s">
        <v>12</v>
      </c>
      <c r="I2234" t="s">
        <v>16</v>
      </c>
      <c r="J2234" t="s">
        <v>11</v>
      </c>
    </row>
    <row r="2235" spans="1:10" x14ac:dyDescent="0.25">
      <c r="A2235">
        <v>2234</v>
      </c>
      <c r="B2235" s="1">
        <v>45391</v>
      </c>
      <c r="C2235" t="s">
        <v>14</v>
      </c>
      <c r="D2235" t="s">
        <v>17</v>
      </c>
      <c r="E2235">
        <v>191</v>
      </c>
      <c r="F2235">
        <v>17</v>
      </c>
      <c r="G2235">
        <v>0.7</v>
      </c>
      <c r="H2235" t="s">
        <v>18</v>
      </c>
      <c r="I2235" t="s">
        <v>13</v>
      </c>
      <c r="J2235" t="s">
        <v>11</v>
      </c>
    </row>
    <row r="2236" spans="1:10" x14ac:dyDescent="0.25">
      <c r="A2236">
        <v>2235</v>
      </c>
      <c r="B2236" s="1">
        <v>45410</v>
      </c>
      <c r="C2236" t="s">
        <v>14</v>
      </c>
      <c r="D2236" t="s">
        <v>20</v>
      </c>
      <c r="E2236">
        <v>201</v>
      </c>
      <c r="F2236">
        <v>68</v>
      </c>
      <c r="G2236">
        <v>1.6</v>
      </c>
      <c r="H2236" t="s">
        <v>12</v>
      </c>
      <c r="I2236" t="s">
        <v>13</v>
      </c>
      <c r="J2236" t="s">
        <v>11</v>
      </c>
    </row>
    <row r="2237" spans="1:10" x14ac:dyDescent="0.25">
      <c r="A2237">
        <v>2236</v>
      </c>
      <c r="B2237" s="1">
        <v>45407</v>
      </c>
      <c r="C2237" t="s">
        <v>23</v>
      </c>
      <c r="D2237" t="s">
        <v>17</v>
      </c>
      <c r="E2237">
        <v>115</v>
      </c>
      <c r="F2237">
        <v>48</v>
      </c>
      <c r="G2237">
        <v>4.4000000000000004</v>
      </c>
      <c r="H2237" t="s">
        <v>12</v>
      </c>
      <c r="I2237" t="s">
        <v>19</v>
      </c>
      <c r="J2237" t="s">
        <v>11</v>
      </c>
    </row>
    <row r="2238" spans="1:10" x14ac:dyDescent="0.25">
      <c r="A2238">
        <v>2237</v>
      </c>
      <c r="B2238" s="1">
        <v>45551</v>
      </c>
      <c r="C2238" t="s">
        <v>14</v>
      </c>
      <c r="D2238" t="s">
        <v>15</v>
      </c>
      <c r="E2238">
        <v>127</v>
      </c>
      <c r="F2238">
        <v>24</v>
      </c>
      <c r="G2238">
        <v>9.6</v>
      </c>
      <c r="H2238" t="s">
        <v>12</v>
      </c>
      <c r="I2238" t="s">
        <v>13</v>
      </c>
      <c r="J2238" t="s">
        <v>11</v>
      </c>
    </row>
    <row r="2239" spans="1:10" x14ac:dyDescent="0.25">
      <c r="A2239">
        <v>2238</v>
      </c>
      <c r="B2239" s="1">
        <v>45564</v>
      </c>
      <c r="C2239" t="s">
        <v>22</v>
      </c>
      <c r="D2239" t="s">
        <v>11</v>
      </c>
      <c r="E2239">
        <v>226</v>
      </c>
      <c r="F2239">
        <v>12</v>
      </c>
      <c r="G2239">
        <v>5</v>
      </c>
      <c r="H2239" t="s">
        <v>18</v>
      </c>
      <c r="I2239" t="s">
        <v>16</v>
      </c>
      <c r="J2239" t="s">
        <v>15</v>
      </c>
    </row>
    <row r="2240" spans="1:10" x14ac:dyDescent="0.25">
      <c r="A2240">
        <v>2239</v>
      </c>
      <c r="B2240" s="1">
        <v>45644</v>
      </c>
      <c r="C2240" t="s">
        <v>21</v>
      </c>
      <c r="D2240" t="s">
        <v>11</v>
      </c>
      <c r="E2240">
        <v>143</v>
      </c>
      <c r="F2240">
        <v>63</v>
      </c>
      <c r="G2240">
        <v>7.4</v>
      </c>
      <c r="H2240" t="s">
        <v>12</v>
      </c>
      <c r="I2240" t="s">
        <v>16</v>
      </c>
      <c r="J2240" t="s">
        <v>11</v>
      </c>
    </row>
    <row r="2241" spans="1:10" x14ac:dyDescent="0.25">
      <c r="A2241">
        <v>2240</v>
      </c>
      <c r="B2241" s="1">
        <v>45329</v>
      </c>
      <c r="C2241" t="s">
        <v>22</v>
      </c>
      <c r="D2241" t="s">
        <v>11</v>
      </c>
      <c r="E2241">
        <v>54</v>
      </c>
      <c r="F2241">
        <v>34</v>
      </c>
      <c r="G2241">
        <v>3.2</v>
      </c>
      <c r="H2241" t="s">
        <v>12</v>
      </c>
      <c r="I2241" t="s">
        <v>13</v>
      </c>
      <c r="J2241" t="s">
        <v>11</v>
      </c>
    </row>
    <row r="2242" spans="1:10" x14ac:dyDescent="0.25">
      <c r="A2242">
        <v>2241</v>
      </c>
      <c r="B2242" s="1">
        <v>45392</v>
      </c>
      <c r="C2242" t="s">
        <v>14</v>
      </c>
      <c r="D2242" t="s">
        <v>17</v>
      </c>
      <c r="E2242">
        <v>193</v>
      </c>
      <c r="F2242">
        <v>18</v>
      </c>
      <c r="G2242">
        <v>4.7</v>
      </c>
      <c r="H2242" t="s">
        <v>18</v>
      </c>
      <c r="I2242" t="s">
        <v>13</v>
      </c>
      <c r="J2242" t="s">
        <v>11</v>
      </c>
    </row>
    <row r="2243" spans="1:10" x14ac:dyDescent="0.25">
      <c r="A2243">
        <v>2242</v>
      </c>
      <c r="B2243" s="1">
        <v>45522</v>
      </c>
      <c r="C2243" t="s">
        <v>10</v>
      </c>
      <c r="D2243" t="s">
        <v>15</v>
      </c>
      <c r="E2243">
        <v>18</v>
      </c>
      <c r="F2243">
        <v>60</v>
      </c>
      <c r="G2243">
        <v>5.8</v>
      </c>
      <c r="H2243" t="s">
        <v>18</v>
      </c>
      <c r="I2243" t="s">
        <v>13</v>
      </c>
      <c r="J2243" t="s">
        <v>20</v>
      </c>
    </row>
    <row r="2244" spans="1:10" x14ac:dyDescent="0.25">
      <c r="A2244">
        <v>2243</v>
      </c>
      <c r="B2244" s="1">
        <v>45390</v>
      </c>
      <c r="C2244" t="s">
        <v>22</v>
      </c>
      <c r="D2244" t="s">
        <v>20</v>
      </c>
      <c r="E2244">
        <v>192</v>
      </c>
      <c r="F2244">
        <v>30</v>
      </c>
      <c r="G2244">
        <v>9.1999999999999993</v>
      </c>
      <c r="H2244" t="s">
        <v>12</v>
      </c>
      <c r="I2244" t="s">
        <v>13</v>
      </c>
      <c r="J2244" t="s">
        <v>11</v>
      </c>
    </row>
    <row r="2245" spans="1:10" x14ac:dyDescent="0.25">
      <c r="A2245">
        <v>2244</v>
      </c>
      <c r="B2245" s="1">
        <v>45588</v>
      </c>
      <c r="C2245" t="s">
        <v>14</v>
      </c>
      <c r="D2245" t="s">
        <v>17</v>
      </c>
      <c r="E2245">
        <v>211</v>
      </c>
      <c r="F2245">
        <v>36</v>
      </c>
      <c r="G2245">
        <v>5.8</v>
      </c>
      <c r="H2245" t="s">
        <v>18</v>
      </c>
      <c r="I2245" t="s">
        <v>19</v>
      </c>
      <c r="J2245" t="s">
        <v>11</v>
      </c>
    </row>
    <row r="2246" spans="1:10" x14ac:dyDescent="0.25">
      <c r="A2246">
        <v>2245</v>
      </c>
      <c r="B2246" s="1">
        <v>45356</v>
      </c>
      <c r="C2246" t="s">
        <v>23</v>
      </c>
      <c r="D2246" t="s">
        <v>20</v>
      </c>
      <c r="E2246">
        <v>73</v>
      </c>
      <c r="F2246">
        <v>49</v>
      </c>
      <c r="G2246">
        <v>4</v>
      </c>
      <c r="H2246" t="s">
        <v>12</v>
      </c>
      <c r="I2246" t="s">
        <v>13</v>
      </c>
      <c r="J2246" t="s">
        <v>11</v>
      </c>
    </row>
    <row r="2247" spans="1:10" x14ac:dyDescent="0.25">
      <c r="A2247">
        <v>2246</v>
      </c>
      <c r="B2247" s="1">
        <v>45631</v>
      </c>
      <c r="C2247" t="s">
        <v>23</v>
      </c>
      <c r="D2247" t="s">
        <v>11</v>
      </c>
      <c r="E2247">
        <v>170</v>
      </c>
      <c r="F2247">
        <v>62</v>
      </c>
      <c r="G2247">
        <v>2.6</v>
      </c>
      <c r="H2247" t="s">
        <v>12</v>
      </c>
      <c r="I2247" t="s">
        <v>19</v>
      </c>
      <c r="J2247" t="s">
        <v>11</v>
      </c>
    </row>
    <row r="2248" spans="1:10" x14ac:dyDescent="0.25">
      <c r="A2248">
        <v>2247</v>
      </c>
      <c r="B2248" s="1">
        <v>45545</v>
      </c>
      <c r="C2248" t="s">
        <v>14</v>
      </c>
      <c r="D2248" t="s">
        <v>11</v>
      </c>
      <c r="E2248">
        <v>11</v>
      </c>
      <c r="F2248">
        <v>4</v>
      </c>
      <c r="G2248">
        <v>3.8</v>
      </c>
      <c r="H2248" t="s">
        <v>18</v>
      </c>
      <c r="I2248" t="s">
        <v>13</v>
      </c>
      <c r="J2248" t="s">
        <v>20</v>
      </c>
    </row>
    <row r="2249" spans="1:10" x14ac:dyDescent="0.25">
      <c r="A2249">
        <v>2248</v>
      </c>
      <c r="B2249" s="1">
        <v>45296</v>
      </c>
      <c r="C2249" t="s">
        <v>14</v>
      </c>
      <c r="D2249" t="s">
        <v>20</v>
      </c>
      <c r="E2249">
        <v>14</v>
      </c>
      <c r="F2249">
        <v>54</v>
      </c>
      <c r="G2249">
        <v>4.5</v>
      </c>
      <c r="H2249" t="s">
        <v>18</v>
      </c>
      <c r="I2249" t="s">
        <v>19</v>
      </c>
      <c r="J2249" t="s">
        <v>15</v>
      </c>
    </row>
    <row r="2250" spans="1:10" x14ac:dyDescent="0.25">
      <c r="A2250">
        <v>2249</v>
      </c>
      <c r="B2250" s="1">
        <v>45508</v>
      </c>
      <c r="C2250" t="s">
        <v>22</v>
      </c>
      <c r="D2250" t="s">
        <v>20</v>
      </c>
      <c r="E2250">
        <v>41</v>
      </c>
      <c r="F2250">
        <v>51</v>
      </c>
      <c r="G2250">
        <v>3.4</v>
      </c>
      <c r="H2250" t="s">
        <v>18</v>
      </c>
      <c r="I2250" t="s">
        <v>19</v>
      </c>
      <c r="J2250" t="s">
        <v>11</v>
      </c>
    </row>
    <row r="2251" spans="1:10" x14ac:dyDescent="0.25">
      <c r="A2251">
        <v>2250</v>
      </c>
      <c r="B2251" s="1">
        <v>45444</v>
      </c>
      <c r="C2251" t="s">
        <v>10</v>
      </c>
      <c r="D2251" t="s">
        <v>17</v>
      </c>
      <c r="E2251">
        <v>151</v>
      </c>
      <c r="F2251">
        <v>64</v>
      </c>
      <c r="G2251">
        <v>3.3</v>
      </c>
      <c r="H2251" t="s">
        <v>18</v>
      </c>
      <c r="I2251" t="s">
        <v>13</v>
      </c>
      <c r="J2251" t="s">
        <v>11</v>
      </c>
    </row>
    <row r="2252" spans="1:10" x14ac:dyDescent="0.25">
      <c r="A2252">
        <v>2251</v>
      </c>
      <c r="B2252" s="1">
        <v>45511</v>
      </c>
      <c r="C2252" t="s">
        <v>22</v>
      </c>
      <c r="D2252" t="s">
        <v>20</v>
      </c>
      <c r="E2252">
        <v>194</v>
      </c>
      <c r="F2252">
        <v>3</v>
      </c>
      <c r="G2252">
        <v>2.6</v>
      </c>
      <c r="H2252" t="s">
        <v>18</v>
      </c>
      <c r="I2252" t="s">
        <v>16</v>
      </c>
      <c r="J2252" t="s">
        <v>15</v>
      </c>
    </row>
    <row r="2253" spans="1:10" x14ac:dyDescent="0.25">
      <c r="A2253">
        <v>2252</v>
      </c>
      <c r="B2253" s="1">
        <v>45453</v>
      </c>
      <c r="C2253" t="s">
        <v>10</v>
      </c>
      <c r="D2253" t="s">
        <v>11</v>
      </c>
      <c r="E2253">
        <v>36</v>
      </c>
      <c r="F2253">
        <v>23</v>
      </c>
      <c r="G2253">
        <v>6.8</v>
      </c>
      <c r="H2253" t="s">
        <v>12</v>
      </c>
      <c r="I2253" t="s">
        <v>13</v>
      </c>
      <c r="J2253" t="s">
        <v>11</v>
      </c>
    </row>
    <row r="2254" spans="1:10" x14ac:dyDescent="0.25">
      <c r="A2254">
        <v>2253</v>
      </c>
      <c r="B2254" s="1">
        <v>45325</v>
      </c>
      <c r="C2254" t="s">
        <v>14</v>
      </c>
      <c r="D2254" t="s">
        <v>20</v>
      </c>
      <c r="E2254">
        <v>221</v>
      </c>
      <c r="F2254">
        <v>64</v>
      </c>
      <c r="G2254">
        <v>3.7</v>
      </c>
      <c r="H2254" t="s">
        <v>18</v>
      </c>
      <c r="I2254" t="s">
        <v>16</v>
      </c>
      <c r="J2254" t="s">
        <v>11</v>
      </c>
    </row>
    <row r="2255" spans="1:10" x14ac:dyDescent="0.25">
      <c r="A2255">
        <v>2254</v>
      </c>
      <c r="B2255" s="1">
        <v>45594</v>
      </c>
      <c r="C2255" t="s">
        <v>14</v>
      </c>
      <c r="D2255" t="s">
        <v>17</v>
      </c>
      <c r="E2255">
        <v>180</v>
      </c>
      <c r="F2255">
        <v>51</v>
      </c>
      <c r="G2255">
        <v>0.8</v>
      </c>
      <c r="H2255" t="s">
        <v>12</v>
      </c>
      <c r="I2255" t="s">
        <v>16</v>
      </c>
      <c r="J2255" t="s">
        <v>11</v>
      </c>
    </row>
    <row r="2256" spans="1:10" x14ac:dyDescent="0.25">
      <c r="A2256">
        <v>2255</v>
      </c>
      <c r="B2256" s="1">
        <v>45326</v>
      </c>
      <c r="C2256" t="s">
        <v>23</v>
      </c>
      <c r="D2256" t="s">
        <v>11</v>
      </c>
      <c r="E2256">
        <v>90</v>
      </c>
      <c r="F2256">
        <v>22</v>
      </c>
      <c r="G2256">
        <v>7.4</v>
      </c>
      <c r="H2256" t="s">
        <v>12</v>
      </c>
      <c r="I2256" t="s">
        <v>13</v>
      </c>
      <c r="J2256" t="s">
        <v>11</v>
      </c>
    </row>
    <row r="2257" spans="1:10" x14ac:dyDescent="0.25">
      <c r="A2257">
        <v>2256</v>
      </c>
      <c r="B2257" s="1">
        <v>45556</v>
      </c>
      <c r="C2257" t="s">
        <v>21</v>
      </c>
      <c r="D2257" t="s">
        <v>17</v>
      </c>
      <c r="E2257">
        <v>31</v>
      </c>
      <c r="F2257">
        <v>7</v>
      </c>
      <c r="G2257">
        <v>2.5</v>
      </c>
      <c r="H2257" t="s">
        <v>12</v>
      </c>
      <c r="I2257" t="s">
        <v>19</v>
      </c>
      <c r="J2257" t="s">
        <v>11</v>
      </c>
    </row>
    <row r="2258" spans="1:10" x14ac:dyDescent="0.25">
      <c r="A2258">
        <v>2257</v>
      </c>
      <c r="B2258" s="1">
        <v>45608</v>
      </c>
      <c r="C2258" t="s">
        <v>14</v>
      </c>
      <c r="D2258" t="s">
        <v>17</v>
      </c>
      <c r="E2258">
        <v>112</v>
      </c>
      <c r="F2258">
        <v>51</v>
      </c>
      <c r="G2258">
        <v>4.0999999999999996</v>
      </c>
      <c r="H2258" t="s">
        <v>18</v>
      </c>
      <c r="I2258" t="s">
        <v>19</v>
      </c>
      <c r="J2258" t="s">
        <v>11</v>
      </c>
    </row>
    <row r="2259" spans="1:10" x14ac:dyDescent="0.25">
      <c r="A2259">
        <v>2258</v>
      </c>
      <c r="B2259" s="1">
        <v>45318</v>
      </c>
      <c r="C2259" t="s">
        <v>23</v>
      </c>
      <c r="D2259" t="s">
        <v>20</v>
      </c>
      <c r="E2259">
        <v>187</v>
      </c>
      <c r="F2259">
        <v>23</v>
      </c>
      <c r="G2259">
        <v>3.1</v>
      </c>
      <c r="H2259" t="s">
        <v>18</v>
      </c>
      <c r="I2259" t="s">
        <v>13</v>
      </c>
      <c r="J2259" t="s">
        <v>11</v>
      </c>
    </row>
    <row r="2260" spans="1:10" x14ac:dyDescent="0.25">
      <c r="A2260">
        <v>2259</v>
      </c>
      <c r="B2260" s="1">
        <v>45420</v>
      </c>
      <c r="C2260" t="s">
        <v>22</v>
      </c>
      <c r="D2260" t="s">
        <v>15</v>
      </c>
      <c r="E2260">
        <v>169</v>
      </c>
      <c r="F2260">
        <v>21</v>
      </c>
      <c r="G2260">
        <v>8.9</v>
      </c>
      <c r="H2260" t="s">
        <v>12</v>
      </c>
      <c r="I2260" t="s">
        <v>13</v>
      </c>
      <c r="J2260" t="s">
        <v>11</v>
      </c>
    </row>
    <row r="2261" spans="1:10" x14ac:dyDescent="0.25">
      <c r="A2261">
        <v>2260</v>
      </c>
      <c r="B2261" s="1">
        <v>45367</v>
      </c>
      <c r="C2261" t="s">
        <v>21</v>
      </c>
      <c r="D2261" t="s">
        <v>11</v>
      </c>
      <c r="E2261">
        <v>90</v>
      </c>
      <c r="F2261">
        <v>29</v>
      </c>
      <c r="G2261">
        <v>0.7</v>
      </c>
      <c r="H2261" t="s">
        <v>12</v>
      </c>
      <c r="I2261" t="s">
        <v>16</v>
      </c>
      <c r="J2261" t="s">
        <v>11</v>
      </c>
    </row>
    <row r="2262" spans="1:10" x14ac:dyDescent="0.25">
      <c r="A2262">
        <v>2261</v>
      </c>
      <c r="B2262" s="1">
        <v>45475</v>
      </c>
      <c r="C2262" t="s">
        <v>14</v>
      </c>
      <c r="D2262" t="s">
        <v>17</v>
      </c>
      <c r="E2262">
        <v>96</v>
      </c>
      <c r="F2262">
        <v>7</v>
      </c>
      <c r="G2262">
        <v>2.7</v>
      </c>
      <c r="H2262" t="s">
        <v>12</v>
      </c>
      <c r="I2262" t="s">
        <v>16</v>
      </c>
      <c r="J2262" t="s">
        <v>11</v>
      </c>
    </row>
    <row r="2263" spans="1:10" x14ac:dyDescent="0.25">
      <c r="A2263">
        <v>2262</v>
      </c>
      <c r="B2263" s="1">
        <v>45479</v>
      </c>
      <c r="C2263" t="s">
        <v>23</v>
      </c>
      <c r="D2263" t="s">
        <v>17</v>
      </c>
      <c r="E2263">
        <v>42</v>
      </c>
      <c r="F2263">
        <v>58</v>
      </c>
      <c r="G2263">
        <v>8.6</v>
      </c>
      <c r="H2263" t="s">
        <v>12</v>
      </c>
      <c r="I2263" t="s">
        <v>13</v>
      </c>
      <c r="J2263" t="s">
        <v>11</v>
      </c>
    </row>
    <row r="2264" spans="1:10" x14ac:dyDescent="0.25">
      <c r="A2264">
        <v>2263</v>
      </c>
      <c r="B2264" s="1">
        <v>45650</v>
      </c>
      <c r="C2264" t="s">
        <v>14</v>
      </c>
      <c r="D2264" t="s">
        <v>15</v>
      </c>
      <c r="E2264">
        <v>108</v>
      </c>
      <c r="F2264">
        <v>39</v>
      </c>
      <c r="G2264">
        <v>3</v>
      </c>
      <c r="H2264" t="s">
        <v>12</v>
      </c>
      <c r="I2264" t="s">
        <v>16</v>
      </c>
      <c r="J2264" t="s">
        <v>11</v>
      </c>
    </row>
    <row r="2265" spans="1:10" x14ac:dyDescent="0.25">
      <c r="A2265">
        <v>2264</v>
      </c>
      <c r="B2265" s="1">
        <v>45574</v>
      </c>
      <c r="C2265" t="s">
        <v>14</v>
      </c>
      <c r="D2265" t="s">
        <v>17</v>
      </c>
      <c r="E2265">
        <v>75</v>
      </c>
      <c r="F2265">
        <v>67</v>
      </c>
      <c r="G2265">
        <v>2.4</v>
      </c>
      <c r="H2265" t="s">
        <v>18</v>
      </c>
      <c r="I2265" t="s">
        <v>16</v>
      </c>
      <c r="J2265" t="s">
        <v>11</v>
      </c>
    </row>
    <row r="2266" spans="1:10" x14ac:dyDescent="0.25">
      <c r="A2266">
        <v>2265</v>
      </c>
      <c r="B2266" s="1">
        <v>45476</v>
      </c>
      <c r="C2266" t="s">
        <v>21</v>
      </c>
      <c r="D2266" t="s">
        <v>20</v>
      </c>
      <c r="E2266">
        <v>84</v>
      </c>
      <c r="F2266">
        <v>1</v>
      </c>
      <c r="G2266">
        <v>9.6</v>
      </c>
      <c r="H2266" t="s">
        <v>12</v>
      </c>
      <c r="I2266" t="s">
        <v>16</v>
      </c>
      <c r="J2266" t="s">
        <v>15</v>
      </c>
    </row>
    <row r="2267" spans="1:10" x14ac:dyDescent="0.25">
      <c r="A2267">
        <v>2266</v>
      </c>
      <c r="B2267" s="1">
        <v>45375</v>
      </c>
      <c r="C2267" t="s">
        <v>10</v>
      </c>
      <c r="D2267" t="s">
        <v>20</v>
      </c>
      <c r="E2267">
        <v>234</v>
      </c>
      <c r="F2267">
        <v>41</v>
      </c>
      <c r="G2267">
        <v>3.5</v>
      </c>
      <c r="H2267" t="s">
        <v>12</v>
      </c>
      <c r="I2267" t="s">
        <v>19</v>
      </c>
      <c r="J2267" t="s">
        <v>11</v>
      </c>
    </row>
    <row r="2268" spans="1:10" x14ac:dyDescent="0.25">
      <c r="A2268">
        <v>2267</v>
      </c>
      <c r="B2268" s="1">
        <v>45400</v>
      </c>
      <c r="C2268" t="s">
        <v>14</v>
      </c>
      <c r="D2268" t="s">
        <v>15</v>
      </c>
      <c r="E2268">
        <v>121</v>
      </c>
      <c r="F2268">
        <v>40</v>
      </c>
      <c r="G2268">
        <v>6.2</v>
      </c>
      <c r="H2268" t="s">
        <v>12</v>
      </c>
      <c r="I2268" t="s">
        <v>13</v>
      </c>
      <c r="J2268" t="s">
        <v>11</v>
      </c>
    </row>
    <row r="2269" spans="1:10" x14ac:dyDescent="0.25">
      <c r="A2269">
        <v>2268</v>
      </c>
      <c r="B2269" s="1">
        <v>45523</v>
      </c>
      <c r="C2269" t="s">
        <v>14</v>
      </c>
      <c r="D2269" t="s">
        <v>15</v>
      </c>
      <c r="E2269">
        <v>37</v>
      </c>
      <c r="F2269">
        <v>63</v>
      </c>
      <c r="G2269">
        <v>6.6</v>
      </c>
      <c r="H2269" t="s">
        <v>12</v>
      </c>
      <c r="I2269" t="s">
        <v>13</v>
      </c>
      <c r="J2269" t="s">
        <v>11</v>
      </c>
    </row>
    <row r="2270" spans="1:10" x14ac:dyDescent="0.25">
      <c r="A2270">
        <v>2269</v>
      </c>
      <c r="B2270" s="1">
        <v>45424</v>
      </c>
      <c r="C2270" t="s">
        <v>21</v>
      </c>
      <c r="D2270" t="s">
        <v>11</v>
      </c>
      <c r="E2270">
        <v>121</v>
      </c>
      <c r="F2270">
        <v>13</v>
      </c>
      <c r="G2270">
        <v>4.5</v>
      </c>
      <c r="H2270" t="s">
        <v>12</v>
      </c>
      <c r="I2270" t="s">
        <v>19</v>
      </c>
      <c r="J2270" t="s">
        <v>11</v>
      </c>
    </row>
    <row r="2271" spans="1:10" x14ac:dyDescent="0.25">
      <c r="A2271">
        <v>2270</v>
      </c>
      <c r="B2271" s="1">
        <v>45545</v>
      </c>
      <c r="C2271" t="s">
        <v>23</v>
      </c>
      <c r="D2271" t="s">
        <v>11</v>
      </c>
      <c r="E2271">
        <v>62</v>
      </c>
      <c r="F2271">
        <v>7</v>
      </c>
      <c r="G2271">
        <v>1.6</v>
      </c>
      <c r="H2271" t="s">
        <v>12</v>
      </c>
      <c r="I2271" t="s">
        <v>19</v>
      </c>
      <c r="J2271" t="s">
        <v>11</v>
      </c>
    </row>
    <row r="2272" spans="1:10" x14ac:dyDescent="0.25">
      <c r="A2272">
        <v>2271</v>
      </c>
      <c r="B2272" s="1">
        <v>45435</v>
      </c>
      <c r="C2272" t="s">
        <v>10</v>
      </c>
      <c r="D2272" t="s">
        <v>20</v>
      </c>
      <c r="E2272">
        <v>163</v>
      </c>
      <c r="F2272">
        <v>53</v>
      </c>
      <c r="G2272">
        <v>4.0999999999999996</v>
      </c>
      <c r="H2272" t="s">
        <v>18</v>
      </c>
      <c r="I2272" t="s">
        <v>19</v>
      </c>
      <c r="J2272" t="s">
        <v>11</v>
      </c>
    </row>
    <row r="2273" spans="1:10" x14ac:dyDescent="0.25">
      <c r="A2273">
        <v>2272</v>
      </c>
      <c r="B2273" s="1">
        <v>45404</v>
      </c>
      <c r="C2273" t="s">
        <v>22</v>
      </c>
      <c r="D2273" t="s">
        <v>15</v>
      </c>
      <c r="E2273">
        <v>106</v>
      </c>
      <c r="F2273">
        <v>65</v>
      </c>
      <c r="G2273">
        <v>0.5</v>
      </c>
      <c r="H2273" t="s">
        <v>18</v>
      </c>
      <c r="I2273" t="s">
        <v>16</v>
      </c>
      <c r="J2273" t="s">
        <v>11</v>
      </c>
    </row>
    <row r="2274" spans="1:10" x14ac:dyDescent="0.25">
      <c r="A2274">
        <v>2273</v>
      </c>
      <c r="B2274" s="1">
        <v>45526</v>
      </c>
      <c r="C2274" t="s">
        <v>21</v>
      </c>
      <c r="D2274" t="s">
        <v>17</v>
      </c>
      <c r="E2274">
        <v>147</v>
      </c>
      <c r="F2274">
        <v>60</v>
      </c>
      <c r="G2274">
        <v>1.9</v>
      </c>
      <c r="H2274" t="s">
        <v>12</v>
      </c>
      <c r="I2274" t="s">
        <v>16</v>
      </c>
      <c r="J2274" t="s">
        <v>11</v>
      </c>
    </row>
    <row r="2275" spans="1:10" x14ac:dyDescent="0.25">
      <c r="A2275">
        <v>2274</v>
      </c>
      <c r="B2275" s="1">
        <v>45625</v>
      </c>
      <c r="C2275" t="s">
        <v>23</v>
      </c>
      <c r="D2275" t="s">
        <v>20</v>
      </c>
      <c r="E2275">
        <v>228</v>
      </c>
      <c r="F2275">
        <v>65</v>
      </c>
      <c r="G2275">
        <v>5.3</v>
      </c>
      <c r="H2275" t="s">
        <v>18</v>
      </c>
      <c r="I2275" t="s">
        <v>13</v>
      </c>
      <c r="J2275" t="s">
        <v>11</v>
      </c>
    </row>
    <row r="2276" spans="1:10" x14ac:dyDescent="0.25">
      <c r="A2276">
        <v>2275</v>
      </c>
      <c r="B2276" s="1">
        <v>45609</v>
      </c>
      <c r="C2276" t="s">
        <v>14</v>
      </c>
      <c r="D2276" t="s">
        <v>15</v>
      </c>
      <c r="E2276">
        <v>22</v>
      </c>
      <c r="F2276">
        <v>19</v>
      </c>
      <c r="G2276">
        <v>3.4</v>
      </c>
      <c r="H2276" t="s">
        <v>12</v>
      </c>
      <c r="I2276" t="s">
        <v>13</v>
      </c>
      <c r="J2276" t="s">
        <v>15</v>
      </c>
    </row>
    <row r="2277" spans="1:10" x14ac:dyDescent="0.25">
      <c r="A2277">
        <v>2276</v>
      </c>
      <c r="B2277" s="1">
        <v>45296</v>
      </c>
      <c r="C2277" t="s">
        <v>22</v>
      </c>
      <c r="D2277" t="s">
        <v>11</v>
      </c>
      <c r="E2277">
        <v>44</v>
      </c>
      <c r="F2277">
        <v>46</v>
      </c>
      <c r="G2277">
        <v>4.5999999999999996</v>
      </c>
      <c r="H2277" t="s">
        <v>12</v>
      </c>
      <c r="I2277" t="s">
        <v>16</v>
      </c>
      <c r="J2277" t="s">
        <v>11</v>
      </c>
    </row>
    <row r="2278" spans="1:10" x14ac:dyDescent="0.25">
      <c r="A2278">
        <v>2277</v>
      </c>
      <c r="B2278" s="1">
        <v>45594</v>
      </c>
      <c r="C2278" t="s">
        <v>22</v>
      </c>
      <c r="D2278" t="s">
        <v>11</v>
      </c>
      <c r="E2278">
        <v>232</v>
      </c>
      <c r="F2278">
        <v>52</v>
      </c>
      <c r="G2278">
        <v>6.8</v>
      </c>
      <c r="H2278" t="s">
        <v>18</v>
      </c>
      <c r="I2278" t="s">
        <v>16</v>
      </c>
      <c r="J2278" t="s">
        <v>15</v>
      </c>
    </row>
    <row r="2279" spans="1:10" x14ac:dyDescent="0.25">
      <c r="A2279">
        <v>2278</v>
      </c>
      <c r="B2279" s="1">
        <v>45594</v>
      </c>
      <c r="C2279" t="s">
        <v>10</v>
      </c>
      <c r="D2279" t="s">
        <v>11</v>
      </c>
      <c r="E2279">
        <v>142</v>
      </c>
      <c r="F2279">
        <v>22</v>
      </c>
      <c r="G2279">
        <v>6.7</v>
      </c>
      <c r="H2279" t="s">
        <v>12</v>
      </c>
      <c r="I2279" t="s">
        <v>13</v>
      </c>
      <c r="J2279" t="s">
        <v>11</v>
      </c>
    </row>
    <row r="2280" spans="1:10" x14ac:dyDescent="0.25">
      <c r="A2280">
        <v>2279</v>
      </c>
      <c r="B2280" s="1">
        <v>45625</v>
      </c>
      <c r="C2280" t="s">
        <v>23</v>
      </c>
      <c r="D2280" t="s">
        <v>17</v>
      </c>
      <c r="E2280">
        <v>142</v>
      </c>
      <c r="F2280">
        <v>39</v>
      </c>
      <c r="G2280">
        <v>6</v>
      </c>
      <c r="H2280" t="s">
        <v>12</v>
      </c>
      <c r="I2280" t="s">
        <v>19</v>
      </c>
      <c r="J2280" t="s">
        <v>11</v>
      </c>
    </row>
    <row r="2281" spans="1:10" x14ac:dyDescent="0.25">
      <c r="A2281">
        <v>2280</v>
      </c>
      <c r="B2281" s="1">
        <v>45415</v>
      </c>
      <c r="C2281" t="s">
        <v>23</v>
      </c>
      <c r="D2281" t="s">
        <v>11</v>
      </c>
      <c r="E2281">
        <v>121</v>
      </c>
      <c r="F2281">
        <v>20</v>
      </c>
      <c r="G2281">
        <v>2.2999999999999998</v>
      </c>
      <c r="H2281" t="s">
        <v>12</v>
      </c>
      <c r="I2281" t="s">
        <v>16</v>
      </c>
      <c r="J2281" t="s">
        <v>11</v>
      </c>
    </row>
    <row r="2282" spans="1:10" x14ac:dyDescent="0.25">
      <c r="A2282">
        <v>2281</v>
      </c>
      <c r="B2282" s="1">
        <v>45468</v>
      </c>
      <c r="C2282" t="s">
        <v>23</v>
      </c>
      <c r="D2282" t="s">
        <v>11</v>
      </c>
      <c r="E2282">
        <v>74</v>
      </c>
      <c r="F2282">
        <v>55</v>
      </c>
      <c r="G2282">
        <v>2.6</v>
      </c>
      <c r="H2282" t="s">
        <v>12</v>
      </c>
      <c r="I2282" t="s">
        <v>19</v>
      </c>
      <c r="J2282" t="s">
        <v>11</v>
      </c>
    </row>
    <row r="2283" spans="1:10" x14ac:dyDescent="0.25">
      <c r="A2283">
        <v>2282</v>
      </c>
      <c r="B2283" s="1">
        <v>45391</v>
      </c>
      <c r="C2283" t="s">
        <v>21</v>
      </c>
      <c r="D2283" t="s">
        <v>17</v>
      </c>
      <c r="E2283">
        <v>190</v>
      </c>
      <c r="F2283">
        <v>61</v>
      </c>
      <c r="G2283">
        <v>6.6</v>
      </c>
      <c r="H2283" t="s">
        <v>12</v>
      </c>
      <c r="I2283" t="s">
        <v>19</v>
      </c>
      <c r="J2283" t="s">
        <v>11</v>
      </c>
    </row>
    <row r="2284" spans="1:10" x14ac:dyDescent="0.25">
      <c r="A2284">
        <v>2283</v>
      </c>
      <c r="B2284" s="1">
        <v>45547</v>
      </c>
      <c r="C2284" t="s">
        <v>23</v>
      </c>
      <c r="D2284" t="s">
        <v>15</v>
      </c>
      <c r="E2284">
        <v>134</v>
      </c>
      <c r="F2284">
        <v>18</v>
      </c>
      <c r="G2284">
        <v>7.9</v>
      </c>
      <c r="H2284" t="s">
        <v>12</v>
      </c>
      <c r="I2284" t="s">
        <v>19</v>
      </c>
      <c r="J2284" t="s">
        <v>11</v>
      </c>
    </row>
    <row r="2285" spans="1:10" x14ac:dyDescent="0.25">
      <c r="A2285">
        <v>2284</v>
      </c>
      <c r="B2285" s="1">
        <v>45321</v>
      </c>
      <c r="C2285" t="s">
        <v>14</v>
      </c>
      <c r="D2285" t="s">
        <v>17</v>
      </c>
      <c r="E2285">
        <v>146</v>
      </c>
      <c r="F2285">
        <v>67</v>
      </c>
      <c r="G2285">
        <v>1.2</v>
      </c>
      <c r="H2285" t="s">
        <v>12</v>
      </c>
      <c r="I2285" t="s">
        <v>13</v>
      </c>
      <c r="J2285" t="s">
        <v>11</v>
      </c>
    </row>
    <row r="2286" spans="1:10" x14ac:dyDescent="0.25">
      <c r="A2286">
        <v>2285</v>
      </c>
      <c r="B2286" s="1">
        <v>45447</v>
      </c>
      <c r="C2286" t="s">
        <v>10</v>
      </c>
      <c r="D2286" t="s">
        <v>11</v>
      </c>
      <c r="E2286">
        <v>142</v>
      </c>
      <c r="F2286">
        <v>7</v>
      </c>
      <c r="G2286">
        <v>9.9</v>
      </c>
      <c r="H2286" t="s">
        <v>18</v>
      </c>
      <c r="I2286" t="s">
        <v>16</v>
      </c>
      <c r="J2286" t="s">
        <v>15</v>
      </c>
    </row>
    <row r="2287" spans="1:10" x14ac:dyDescent="0.25">
      <c r="A2287">
        <v>2286</v>
      </c>
      <c r="B2287" s="1">
        <v>45435</v>
      </c>
      <c r="C2287" t="s">
        <v>22</v>
      </c>
      <c r="D2287" t="s">
        <v>20</v>
      </c>
      <c r="E2287">
        <v>139</v>
      </c>
      <c r="F2287">
        <v>21</v>
      </c>
      <c r="G2287">
        <v>8.4</v>
      </c>
      <c r="H2287" t="s">
        <v>12</v>
      </c>
      <c r="I2287" t="s">
        <v>16</v>
      </c>
      <c r="J2287" t="s">
        <v>11</v>
      </c>
    </row>
    <row r="2288" spans="1:10" x14ac:dyDescent="0.25">
      <c r="A2288">
        <v>2287</v>
      </c>
      <c r="B2288" s="1">
        <v>45314</v>
      </c>
      <c r="C2288" t="s">
        <v>22</v>
      </c>
      <c r="D2288" t="s">
        <v>20</v>
      </c>
      <c r="E2288">
        <v>108</v>
      </c>
      <c r="F2288">
        <v>13</v>
      </c>
      <c r="G2288">
        <v>8.1</v>
      </c>
      <c r="H2288" t="s">
        <v>18</v>
      </c>
      <c r="I2288" t="s">
        <v>16</v>
      </c>
      <c r="J2288" t="s">
        <v>11</v>
      </c>
    </row>
    <row r="2289" spans="1:10" x14ac:dyDescent="0.25">
      <c r="A2289">
        <v>2288</v>
      </c>
      <c r="B2289" s="1">
        <v>45532</v>
      </c>
      <c r="C2289" t="s">
        <v>10</v>
      </c>
      <c r="D2289" t="s">
        <v>11</v>
      </c>
      <c r="E2289">
        <v>86</v>
      </c>
      <c r="F2289">
        <v>37</v>
      </c>
      <c r="G2289">
        <v>6.1</v>
      </c>
      <c r="H2289" t="s">
        <v>12</v>
      </c>
      <c r="I2289" t="s">
        <v>16</v>
      </c>
      <c r="J2289" t="s">
        <v>11</v>
      </c>
    </row>
    <row r="2290" spans="1:10" x14ac:dyDescent="0.25">
      <c r="A2290">
        <v>2289</v>
      </c>
      <c r="B2290" s="1">
        <v>45600</v>
      </c>
      <c r="C2290" t="s">
        <v>10</v>
      </c>
      <c r="D2290" t="s">
        <v>17</v>
      </c>
      <c r="E2290">
        <v>161</v>
      </c>
      <c r="F2290">
        <v>28</v>
      </c>
      <c r="G2290">
        <v>4</v>
      </c>
      <c r="H2290" t="s">
        <v>18</v>
      </c>
      <c r="I2290" t="s">
        <v>16</v>
      </c>
      <c r="J2290" t="s">
        <v>11</v>
      </c>
    </row>
    <row r="2291" spans="1:10" x14ac:dyDescent="0.25">
      <c r="A2291">
        <v>2290</v>
      </c>
      <c r="B2291" s="1">
        <v>45505</v>
      </c>
      <c r="C2291" t="s">
        <v>23</v>
      </c>
      <c r="D2291" t="s">
        <v>20</v>
      </c>
      <c r="E2291">
        <v>159</v>
      </c>
      <c r="F2291">
        <v>36</v>
      </c>
      <c r="G2291">
        <v>1.7</v>
      </c>
      <c r="H2291" t="s">
        <v>18</v>
      </c>
      <c r="I2291" t="s">
        <v>13</v>
      </c>
      <c r="J2291" t="s">
        <v>11</v>
      </c>
    </row>
    <row r="2292" spans="1:10" x14ac:dyDescent="0.25">
      <c r="A2292">
        <v>2291</v>
      </c>
      <c r="B2292" s="1">
        <v>45509</v>
      </c>
      <c r="C2292" t="s">
        <v>22</v>
      </c>
      <c r="D2292" t="s">
        <v>11</v>
      </c>
      <c r="E2292">
        <v>173</v>
      </c>
      <c r="F2292">
        <v>44</v>
      </c>
      <c r="G2292">
        <v>3.3</v>
      </c>
      <c r="H2292" t="s">
        <v>18</v>
      </c>
      <c r="I2292" t="s">
        <v>16</v>
      </c>
      <c r="J2292" t="s">
        <v>11</v>
      </c>
    </row>
    <row r="2293" spans="1:10" x14ac:dyDescent="0.25">
      <c r="A2293">
        <v>2292</v>
      </c>
      <c r="B2293" s="1">
        <v>45467</v>
      </c>
      <c r="C2293" t="s">
        <v>10</v>
      </c>
      <c r="D2293" t="s">
        <v>11</v>
      </c>
      <c r="E2293">
        <v>123</v>
      </c>
      <c r="F2293">
        <v>32</v>
      </c>
      <c r="G2293">
        <v>1.3</v>
      </c>
      <c r="H2293" t="s">
        <v>12</v>
      </c>
      <c r="I2293" t="s">
        <v>19</v>
      </c>
      <c r="J2293" t="s">
        <v>11</v>
      </c>
    </row>
    <row r="2294" spans="1:10" x14ac:dyDescent="0.25">
      <c r="A2294">
        <v>2293</v>
      </c>
      <c r="B2294" s="1">
        <v>45537</v>
      </c>
      <c r="C2294" t="s">
        <v>21</v>
      </c>
      <c r="D2294" t="s">
        <v>11</v>
      </c>
      <c r="E2294">
        <v>103</v>
      </c>
      <c r="F2294">
        <v>34</v>
      </c>
      <c r="G2294">
        <v>5.3</v>
      </c>
      <c r="H2294" t="s">
        <v>18</v>
      </c>
      <c r="I2294" t="s">
        <v>16</v>
      </c>
      <c r="J2294" t="s">
        <v>15</v>
      </c>
    </row>
    <row r="2295" spans="1:10" x14ac:dyDescent="0.25">
      <c r="A2295">
        <v>2294</v>
      </c>
      <c r="B2295" s="1">
        <v>45511</v>
      </c>
      <c r="C2295" t="s">
        <v>14</v>
      </c>
      <c r="D2295" t="s">
        <v>17</v>
      </c>
      <c r="E2295">
        <v>72</v>
      </c>
      <c r="F2295">
        <v>13</v>
      </c>
      <c r="G2295">
        <v>3.1</v>
      </c>
      <c r="H2295" t="s">
        <v>18</v>
      </c>
      <c r="I2295" t="s">
        <v>19</v>
      </c>
      <c r="J2295" t="s">
        <v>11</v>
      </c>
    </row>
    <row r="2296" spans="1:10" x14ac:dyDescent="0.25">
      <c r="A2296">
        <v>2295</v>
      </c>
      <c r="B2296" s="1">
        <v>45471</v>
      </c>
      <c r="C2296" t="s">
        <v>22</v>
      </c>
      <c r="D2296" t="s">
        <v>17</v>
      </c>
      <c r="E2296">
        <v>139</v>
      </c>
      <c r="F2296">
        <v>49</v>
      </c>
      <c r="G2296">
        <v>9.1999999999999993</v>
      </c>
      <c r="H2296" t="s">
        <v>12</v>
      </c>
      <c r="I2296" t="s">
        <v>13</v>
      </c>
      <c r="J2296" t="s">
        <v>11</v>
      </c>
    </row>
    <row r="2297" spans="1:10" x14ac:dyDescent="0.25">
      <c r="A2297">
        <v>2296</v>
      </c>
      <c r="B2297" s="1">
        <v>45295</v>
      </c>
      <c r="C2297" t="s">
        <v>14</v>
      </c>
      <c r="D2297" t="s">
        <v>20</v>
      </c>
      <c r="E2297">
        <v>120</v>
      </c>
      <c r="F2297">
        <v>25</v>
      </c>
      <c r="G2297">
        <v>2.8</v>
      </c>
      <c r="H2297" t="s">
        <v>18</v>
      </c>
      <c r="I2297" t="s">
        <v>16</v>
      </c>
      <c r="J2297" t="s">
        <v>11</v>
      </c>
    </row>
    <row r="2298" spans="1:10" x14ac:dyDescent="0.25">
      <c r="A2298">
        <v>2297</v>
      </c>
      <c r="B2298" s="1">
        <v>45562</v>
      </c>
      <c r="C2298" t="s">
        <v>14</v>
      </c>
      <c r="D2298" t="s">
        <v>17</v>
      </c>
      <c r="E2298">
        <v>106</v>
      </c>
      <c r="F2298">
        <v>67</v>
      </c>
      <c r="G2298">
        <v>1.2</v>
      </c>
      <c r="H2298" t="s">
        <v>18</v>
      </c>
      <c r="I2298" t="s">
        <v>19</v>
      </c>
      <c r="J2298" t="s">
        <v>11</v>
      </c>
    </row>
    <row r="2299" spans="1:10" x14ac:dyDescent="0.25">
      <c r="A2299">
        <v>2298</v>
      </c>
      <c r="B2299" s="1">
        <v>45348</v>
      </c>
      <c r="C2299" t="s">
        <v>23</v>
      </c>
      <c r="D2299" t="s">
        <v>11</v>
      </c>
      <c r="E2299">
        <v>6</v>
      </c>
      <c r="F2299">
        <v>45</v>
      </c>
      <c r="G2299">
        <v>8.1</v>
      </c>
      <c r="H2299" t="s">
        <v>12</v>
      </c>
      <c r="I2299" t="s">
        <v>13</v>
      </c>
      <c r="J2299" t="s">
        <v>15</v>
      </c>
    </row>
    <row r="2300" spans="1:10" x14ac:dyDescent="0.25">
      <c r="A2300">
        <v>2299</v>
      </c>
      <c r="B2300" s="1">
        <v>45620</v>
      </c>
      <c r="C2300" t="s">
        <v>22</v>
      </c>
      <c r="D2300" t="s">
        <v>20</v>
      </c>
      <c r="E2300">
        <v>144</v>
      </c>
      <c r="F2300">
        <v>36</v>
      </c>
      <c r="G2300">
        <v>6.4</v>
      </c>
      <c r="H2300" t="s">
        <v>18</v>
      </c>
      <c r="I2300" t="s">
        <v>16</v>
      </c>
      <c r="J2300" t="s">
        <v>11</v>
      </c>
    </row>
    <row r="2301" spans="1:10" x14ac:dyDescent="0.25">
      <c r="A2301">
        <v>2300</v>
      </c>
      <c r="B2301" s="1">
        <v>45483</v>
      </c>
      <c r="C2301" t="s">
        <v>23</v>
      </c>
      <c r="D2301" t="s">
        <v>15</v>
      </c>
      <c r="E2301">
        <v>117</v>
      </c>
      <c r="F2301">
        <v>62</v>
      </c>
      <c r="G2301">
        <v>7.7</v>
      </c>
      <c r="H2301" t="s">
        <v>18</v>
      </c>
      <c r="I2301" t="s">
        <v>19</v>
      </c>
      <c r="J2301" t="s">
        <v>15</v>
      </c>
    </row>
    <row r="2302" spans="1:10" x14ac:dyDescent="0.25">
      <c r="A2302">
        <v>2301</v>
      </c>
      <c r="B2302" s="1">
        <v>45328</v>
      </c>
      <c r="C2302" t="s">
        <v>21</v>
      </c>
      <c r="D2302" t="s">
        <v>17</v>
      </c>
      <c r="E2302">
        <v>148</v>
      </c>
      <c r="F2302">
        <v>13</v>
      </c>
      <c r="G2302">
        <v>5.7</v>
      </c>
      <c r="H2302" t="s">
        <v>18</v>
      </c>
      <c r="I2302" t="s">
        <v>19</v>
      </c>
      <c r="J2302" t="s">
        <v>11</v>
      </c>
    </row>
    <row r="2303" spans="1:10" x14ac:dyDescent="0.25">
      <c r="A2303">
        <v>2302</v>
      </c>
      <c r="B2303" s="1">
        <v>45503</v>
      </c>
      <c r="C2303" t="s">
        <v>22</v>
      </c>
      <c r="D2303" t="s">
        <v>11</v>
      </c>
      <c r="E2303">
        <v>148</v>
      </c>
      <c r="F2303">
        <v>67</v>
      </c>
      <c r="G2303">
        <v>7.1</v>
      </c>
      <c r="H2303" t="s">
        <v>12</v>
      </c>
      <c r="I2303" t="s">
        <v>13</v>
      </c>
      <c r="J2303" t="s">
        <v>11</v>
      </c>
    </row>
    <row r="2304" spans="1:10" x14ac:dyDescent="0.25">
      <c r="A2304">
        <v>2303</v>
      </c>
      <c r="B2304" s="1">
        <v>45626</v>
      </c>
      <c r="C2304" t="s">
        <v>23</v>
      </c>
      <c r="D2304" t="s">
        <v>11</v>
      </c>
      <c r="E2304">
        <v>213</v>
      </c>
      <c r="F2304">
        <v>36</v>
      </c>
      <c r="G2304">
        <v>7.6</v>
      </c>
      <c r="H2304" t="s">
        <v>12</v>
      </c>
      <c r="I2304" t="s">
        <v>13</v>
      </c>
      <c r="J2304" t="s">
        <v>11</v>
      </c>
    </row>
    <row r="2305" spans="1:10" x14ac:dyDescent="0.25">
      <c r="A2305">
        <v>2304</v>
      </c>
      <c r="B2305" s="1">
        <v>45598</v>
      </c>
      <c r="C2305" t="s">
        <v>14</v>
      </c>
      <c r="D2305" t="s">
        <v>11</v>
      </c>
      <c r="E2305">
        <v>228</v>
      </c>
      <c r="F2305">
        <v>70</v>
      </c>
      <c r="G2305">
        <v>6.1</v>
      </c>
      <c r="H2305" t="s">
        <v>12</v>
      </c>
      <c r="I2305" t="s">
        <v>16</v>
      </c>
      <c r="J2305" t="s">
        <v>11</v>
      </c>
    </row>
    <row r="2306" spans="1:10" x14ac:dyDescent="0.25">
      <c r="A2306">
        <v>2305</v>
      </c>
      <c r="B2306" s="1">
        <v>45462</v>
      </c>
      <c r="C2306" t="s">
        <v>23</v>
      </c>
      <c r="D2306" t="s">
        <v>17</v>
      </c>
      <c r="E2306">
        <v>54</v>
      </c>
      <c r="F2306">
        <v>43</v>
      </c>
      <c r="G2306">
        <v>6.6</v>
      </c>
      <c r="H2306" t="s">
        <v>12</v>
      </c>
      <c r="I2306" t="s">
        <v>16</v>
      </c>
      <c r="J2306" t="s">
        <v>11</v>
      </c>
    </row>
    <row r="2307" spans="1:10" x14ac:dyDescent="0.25">
      <c r="A2307">
        <v>2306</v>
      </c>
      <c r="B2307" s="1">
        <v>45649</v>
      </c>
      <c r="C2307" t="s">
        <v>22</v>
      </c>
      <c r="D2307" t="s">
        <v>15</v>
      </c>
      <c r="E2307">
        <v>29</v>
      </c>
      <c r="F2307">
        <v>55</v>
      </c>
      <c r="G2307">
        <v>2</v>
      </c>
      <c r="H2307" t="s">
        <v>12</v>
      </c>
      <c r="I2307" t="s">
        <v>16</v>
      </c>
      <c r="J2307" t="s">
        <v>15</v>
      </c>
    </row>
    <row r="2308" spans="1:10" x14ac:dyDescent="0.25">
      <c r="A2308">
        <v>2307</v>
      </c>
      <c r="B2308" s="1">
        <v>45601</v>
      </c>
      <c r="C2308" t="s">
        <v>14</v>
      </c>
      <c r="D2308" t="s">
        <v>17</v>
      </c>
      <c r="E2308">
        <v>174</v>
      </c>
      <c r="F2308">
        <v>37</v>
      </c>
      <c r="G2308">
        <v>0.8</v>
      </c>
      <c r="H2308" t="s">
        <v>18</v>
      </c>
      <c r="I2308" t="s">
        <v>19</v>
      </c>
      <c r="J2308" t="s">
        <v>11</v>
      </c>
    </row>
    <row r="2309" spans="1:10" x14ac:dyDescent="0.25">
      <c r="A2309">
        <v>2308</v>
      </c>
      <c r="B2309" s="1">
        <v>45307</v>
      </c>
      <c r="C2309" t="s">
        <v>14</v>
      </c>
      <c r="D2309" t="s">
        <v>11</v>
      </c>
      <c r="E2309">
        <v>22</v>
      </c>
      <c r="F2309">
        <v>17</v>
      </c>
      <c r="G2309">
        <v>4.9000000000000004</v>
      </c>
      <c r="H2309" t="s">
        <v>18</v>
      </c>
      <c r="I2309" t="s">
        <v>13</v>
      </c>
      <c r="J2309" t="s">
        <v>15</v>
      </c>
    </row>
    <row r="2310" spans="1:10" x14ac:dyDescent="0.25">
      <c r="A2310">
        <v>2309</v>
      </c>
      <c r="B2310" s="1">
        <v>45502</v>
      </c>
      <c r="C2310" t="s">
        <v>22</v>
      </c>
      <c r="D2310" t="s">
        <v>20</v>
      </c>
      <c r="E2310">
        <v>42</v>
      </c>
      <c r="F2310">
        <v>45</v>
      </c>
      <c r="G2310">
        <v>2</v>
      </c>
      <c r="H2310" t="s">
        <v>18</v>
      </c>
      <c r="I2310" t="s">
        <v>19</v>
      </c>
      <c r="J2310" t="s">
        <v>11</v>
      </c>
    </row>
    <row r="2311" spans="1:10" x14ac:dyDescent="0.25">
      <c r="A2311">
        <v>2310</v>
      </c>
      <c r="B2311" s="1">
        <v>45521</v>
      </c>
      <c r="C2311" t="s">
        <v>21</v>
      </c>
      <c r="D2311" t="s">
        <v>17</v>
      </c>
      <c r="E2311">
        <v>36</v>
      </c>
      <c r="F2311">
        <v>47</v>
      </c>
      <c r="G2311">
        <v>0.8</v>
      </c>
      <c r="H2311" t="s">
        <v>12</v>
      </c>
      <c r="I2311" t="s">
        <v>19</v>
      </c>
      <c r="J2311" t="s">
        <v>11</v>
      </c>
    </row>
    <row r="2312" spans="1:10" x14ac:dyDescent="0.25">
      <c r="A2312">
        <v>2311</v>
      </c>
      <c r="B2312" s="1">
        <v>45459</v>
      </c>
      <c r="C2312" t="s">
        <v>23</v>
      </c>
      <c r="D2312" t="s">
        <v>20</v>
      </c>
      <c r="E2312">
        <v>200</v>
      </c>
      <c r="F2312">
        <v>42</v>
      </c>
      <c r="G2312">
        <v>6.7</v>
      </c>
      <c r="H2312" t="s">
        <v>12</v>
      </c>
      <c r="I2312" t="s">
        <v>13</v>
      </c>
      <c r="J2312" t="s">
        <v>11</v>
      </c>
    </row>
    <row r="2313" spans="1:10" x14ac:dyDescent="0.25">
      <c r="A2313">
        <v>2312</v>
      </c>
      <c r="B2313" s="1">
        <v>45414</v>
      </c>
      <c r="C2313" t="s">
        <v>14</v>
      </c>
      <c r="D2313" t="s">
        <v>20</v>
      </c>
      <c r="E2313">
        <v>160</v>
      </c>
      <c r="F2313">
        <v>56</v>
      </c>
      <c r="G2313">
        <v>3.3</v>
      </c>
      <c r="H2313" t="s">
        <v>18</v>
      </c>
      <c r="I2313" t="s">
        <v>16</v>
      </c>
      <c r="J2313" t="s">
        <v>11</v>
      </c>
    </row>
    <row r="2314" spans="1:10" x14ac:dyDescent="0.25">
      <c r="A2314">
        <v>2313</v>
      </c>
      <c r="B2314" s="1">
        <v>45603</v>
      </c>
      <c r="C2314" t="s">
        <v>14</v>
      </c>
      <c r="D2314" t="s">
        <v>15</v>
      </c>
      <c r="E2314">
        <v>121</v>
      </c>
      <c r="F2314">
        <v>59</v>
      </c>
      <c r="G2314">
        <v>9.8000000000000007</v>
      </c>
      <c r="H2314" t="s">
        <v>18</v>
      </c>
      <c r="I2314" t="s">
        <v>13</v>
      </c>
      <c r="J2314" t="s">
        <v>15</v>
      </c>
    </row>
    <row r="2315" spans="1:10" x14ac:dyDescent="0.25">
      <c r="A2315">
        <v>2314</v>
      </c>
      <c r="B2315" s="1">
        <v>45608</v>
      </c>
      <c r="C2315" t="s">
        <v>23</v>
      </c>
      <c r="D2315" t="s">
        <v>11</v>
      </c>
      <c r="E2315">
        <v>150</v>
      </c>
      <c r="F2315">
        <v>44</v>
      </c>
      <c r="G2315">
        <v>3.1</v>
      </c>
      <c r="H2315" t="s">
        <v>12</v>
      </c>
      <c r="I2315" t="s">
        <v>19</v>
      </c>
      <c r="J2315" t="s">
        <v>11</v>
      </c>
    </row>
    <row r="2316" spans="1:10" x14ac:dyDescent="0.25">
      <c r="A2316">
        <v>2315</v>
      </c>
      <c r="B2316" s="1">
        <v>45396</v>
      </c>
      <c r="C2316" t="s">
        <v>14</v>
      </c>
      <c r="D2316" t="s">
        <v>15</v>
      </c>
      <c r="E2316">
        <v>39</v>
      </c>
      <c r="F2316">
        <v>4</v>
      </c>
      <c r="G2316">
        <v>2.1</v>
      </c>
      <c r="H2316" t="s">
        <v>18</v>
      </c>
      <c r="I2316" t="s">
        <v>16</v>
      </c>
      <c r="J2316" t="s">
        <v>15</v>
      </c>
    </row>
    <row r="2317" spans="1:10" x14ac:dyDescent="0.25">
      <c r="A2317">
        <v>2316</v>
      </c>
      <c r="B2317" s="1">
        <v>45299</v>
      </c>
      <c r="C2317" t="s">
        <v>14</v>
      </c>
      <c r="D2317" t="s">
        <v>17</v>
      </c>
      <c r="E2317">
        <v>6</v>
      </c>
      <c r="F2317">
        <v>38</v>
      </c>
      <c r="G2317">
        <v>9.6</v>
      </c>
      <c r="H2317" t="s">
        <v>12</v>
      </c>
      <c r="I2317" t="s">
        <v>13</v>
      </c>
      <c r="J2317" t="s">
        <v>15</v>
      </c>
    </row>
    <row r="2318" spans="1:10" x14ac:dyDescent="0.25">
      <c r="A2318">
        <v>2317</v>
      </c>
      <c r="B2318" s="1">
        <v>45401</v>
      </c>
      <c r="C2318" t="s">
        <v>21</v>
      </c>
      <c r="D2318" t="s">
        <v>20</v>
      </c>
      <c r="E2318">
        <v>47</v>
      </c>
      <c r="F2318">
        <v>28</v>
      </c>
      <c r="G2318">
        <v>1.8</v>
      </c>
      <c r="H2318" t="s">
        <v>12</v>
      </c>
      <c r="I2318" t="s">
        <v>16</v>
      </c>
      <c r="J2318" t="s">
        <v>11</v>
      </c>
    </row>
    <row r="2319" spans="1:10" x14ac:dyDescent="0.25">
      <c r="A2319">
        <v>2318</v>
      </c>
      <c r="B2319" s="1">
        <v>45470</v>
      </c>
      <c r="C2319" t="s">
        <v>10</v>
      </c>
      <c r="D2319" t="s">
        <v>20</v>
      </c>
      <c r="E2319">
        <v>54</v>
      </c>
      <c r="F2319">
        <v>34</v>
      </c>
      <c r="G2319">
        <v>7.7</v>
      </c>
      <c r="H2319" t="s">
        <v>18</v>
      </c>
      <c r="I2319" t="s">
        <v>19</v>
      </c>
      <c r="J2319" t="s">
        <v>11</v>
      </c>
    </row>
    <row r="2320" spans="1:10" x14ac:dyDescent="0.25">
      <c r="A2320">
        <v>2319</v>
      </c>
      <c r="B2320" s="1">
        <v>45416</v>
      </c>
      <c r="C2320" t="s">
        <v>23</v>
      </c>
      <c r="D2320" t="s">
        <v>11</v>
      </c>
      <c r="E2320">
        <v>235</v>
      </c>
      <c r="F2320">
        <v>60</v>
      </c>
      <c r="G2320">
        <v>8.3000000000000007</v>
      </c>
      <c r="H2320" t="s">
        <v>12</v>
      </c>
      <c r="I2320" t="s">
        <v>19</v>
      </c>
      <c r="J2320" t="s">
        <v>11</v>
      </c>
    </row>
    <row r="2321" spans="1:10" x14ac:dyDescent="0.25">
      <c r="A2321">
        <v>2320</v>
      </c>
      <c r="B2321" s="1">
        <v>45309</v>
      </c>
      <c r="C2321" t="s">
        <v>10</v>
      </c>
      <c r="D2321" t="s">
        <v>15</v>
      </c>
      <c r="E2321">
        <v>212</v>
      </c>
      <c r="F2321">
        <v>57</v>
      </c>
      <c r="G2321">
        <v>1.3</v>
      </c>
      <c r="H2321" t="s">
        <v>18</v>
      </c>
      <c r="I2321" t="s">
        <v>19</v>
      </c>
      <c r="J2321" t="s">
        <v>11</v>
      </c>
    </row>
    <row r="2322" spans="1:10" x14ac:dyDescent="0.25">
      <c r="A2322">
        <v>2321</v>
      </c>
      <c r="B2322" s="1">
        <v>45323</v>
      </c>
      <c r="C2322" t="s">
        <v>22</v>
      </c>
      <c r="D2322" t="s">
        <v>20</v>
      </c>
      <c r="E2322">
        <v>226</v>
      </c>
      <c r="F2322">
        <v>44</v>
      </c>
      <c r="G2322">
        <v>4.0999999999999996</v>
      </c>
      <c r="H2322" t="s">
        <v>12</v>
      </c>
      <c r="I2322" t="s">
        <v>16</v>
      </c>
      <c r="J2322" t="s">
        <v>11</v>
      </c>
    </row>
    <row r="2323" spans="1:10" x14ac:dyDescent="0.25">
      <c r="A2323">
        <v>2322</v>
      </c>
      <c r="B2323" s="1">
        <v>45348</v>
      </c>
      <c r="C2323" t="s">
        <v>23</v>
      </c>
      <c r="D2323" t="s">
        <v>15</v>
      </c>
      <c r="E2323">
        <v>178</v>
      </c>
      <c r="F2323">
        <v>65</v>
      </c>
      <c r="G2323">
        <v>9.4</v>
      </c>
      <c r="H2323" t="s">
        <v>12</v>
      </c>
      <c r="I2323" t="s">
        <v>19</v>
      </c>
      <c r="J2323" t="s">
        <v>11</v>
      </c>
    </row>
    <row r="2324" spans="1:10" x14ac:dyDescent="0.25">
      <c r="A2324">
        <v>2323</v>
      </c>
      <c r="B2324" s="1">
        <v>45322</v>
      </c>
      <c r="C2324" t="s">
        <v>21</v>
      </c>
      <c r="D2324" t="s">
        <v>15</v>
      </c>
      <c r="E2324">
        <v>91</v>
      </c>
      <c r="F2324">
        <v>32</v>
      </c>
      <c r="G2324">
        <v>6.8</v>
      </c>
      <c r="H2324" t="s">
        <v>12</v>
      </c>
      <c r="I2324" t="s">
        <v>19</v>
      </c>
      <c r="J2324" t="s">
        <v>11</v>
      </c>
    </row>
    <row r="2325" spans="1:10" x14ac:dyDescent="0.25">
      <c r="A2325">
        <v>2324</v>
      </c>
      <c r="B2325" s="1">
        <v>45334</v>
      </c>
      <c r="C2325" t="s">
        <v>10</v>
      </c>
      <c r="D2325" t="s">
        <v>15</v>
      </c>
      <c r="E2325">
        <v>210</v>
      </c>
      <c r="F2325">
        <v>2</v>
      </c>
      <c r="G2325">
        <v>6.6</v>
      </c>
      <c r="H2325" t="s">
        <v>18</v>
      </c>
      <c r="I2325" t="s">
        <v>13</v>
      </c>
      <c r="J2325" t="s">
        <v>20</v>
      </c>
    </row>
    <row r="2326" spans="1:10" x14ac:dyDescent="0.25">
      <c r="A2326">
        <v>2325</v>
      </c>
      <c r="B2326" s="1">
        <v>45296</v>
      </c>
      <c r="C2326" t="s">
        <v>14</v>
      </c>
      <c r="D2326" t="s">
        <v>15</v>
      </c>
      <c r="E2326">
        <v>128</v>
      </c>
      <c r="F2326">
        <v>22</v>
      </c>
      <c r="G2326">
        <v>3.7</v>
      </c>
      <c r="H2326" t="s">
        <v>18</v>
      </c>
      <c r="I2326" t="s">
        <v>13</v>
      </c>
      <c r="J2326" t="s">
        <v>11</v>
      </c>
    </row>
    <row r="2327" spans="1:10" x14ac:dyDescent="0.25">
      <c r="A2327">
        <v>2326</v>
      </c>
      <c r="B2327" s="1">
        <v>45548</v>
      </c>
      <c r="C2327" t="s">
        <v>14</v>
      </c>
      <c r="D2327" t="s">
        <v>20</v>
      </c>
      <c r="E2327">
        <v>147</v>
      </c>
      <c r="F2327">
        <v>4</v>
      </c>
      <c r="G2327">
        <v>2.4</v>
      </c>
      <c r="H2327" t="s">
        <v>18</v>
      </c>
      <c r="I2327" t="s">
        <v>16</v>
      </c>
      <c r="J2327" t="s">
        <v>15</v>
      </c>
    </row>
    <row r="2328" spans="1:10" x14ac:dyDescent="0.25">
      <c r="A2328">
        <v>2327</v>
      </c>
      <c r="B2328" s="1">
        <v>45549</v>
      </c>
      <c r="C2328" t="s">
        <v>10</v>
      </c>
      <c r="D2328" t="s">
        <v>20</v>
      </c>
      <c r="E2328">
        <v>161</v>
      </c>
      <c r="F2328">
        <v>2</v>
      </c>
      <c r="G2328">
        <v>1.8</v>
      </c>
      <c r="H2328" t="s">
        <v>18</v>
      </c>
      <c r="I2328" t="s">
        <v>16</v>
      </c>
      <c r="J2328" t="s">
        <v>15</v>
      </c>
    </row>
    <row r="2329" spans="1:10" x14ac:dyDescent="0.25">
      <c r="A2329">
        <v>2328</v>
      </c>
      <c r="B2329" s="1">
        <v>45304</v>
      </c>
      <c r="C2329" t="s">
        <v>10</v>
      </c>
      <c r="D2329" t="s">
        <v>15</v>
      </c>
      <c r="E2329">
        <v>7</v>
      </c>
      <c r="F2329">
        <v>36</v>
      </c>
      <c r="G2329">
        <v>1.8</v>
      </c>
      <c r="H2329" t="s">
        <v>18</v>
      </c>
      <c r="I2329" t="s">
        <v>13</v>
      </c>
      <c r="J2329" t="s">
        <v>15</v>
      </c>
    </row>
    <row r="2330" spans="1:10" x14ac:dyDescent="0.25">
      <c r="A2330">
        <v>2329</v>
      </c>
      <c r="B2330" s="1">
        <v>45630</v>
      </c>
      <c r="C2330" t="s">
        <v>10</v>
      </c>
      <c r="D2330" t="s">
        <v>17</v>
      </c>
      <c r="E2330">
        <v>38</v>
      </c>
      <c r="F2330">
        <v>46</v>
      </c>
      <c r="G2330">
        <v>8</v>
      </c>
      <c r="H2330" t="s">
        <v>18</v>
      </c>
      <c r="I2330" t="s">
        <v>19</v>
      </c>
      <c r="J2330" t="s">
        <v>11</v>
      </c>
    </row>
    <row r="2331" spans="1:10" x14ac:dyDescent="0.25">
      <c r="A2331">
        <v>2330</v>
      </c>
      <c r="B2331" s="1">
        <v>45436</v>
      </c>
      <c r="C2331" t="s">
        <v>14</v>
      </c>
      <c r="D2331" t="s">
        <v>17</v>
      </c>
      <c r="E2331">
        <v>153</v>
      </c>
      <c r="F2331">
        <v>45</v>
      </c>
      <c r="G2331">
        <v>9.8000000000000007</v>
      </c>
      <c r="H2331" t="s">
        <v>18</v>
      </c>
      <c r="I2331" t="s">
        <v>19</v>
      </c>
      <c r="J2331" t="s">
        <v>11</v>
      </c>
    </row>
    <row r="2332" spans="1:10" x14ac:dyDescent="0.25">
      <c r="A2332">
        <v>2331</v>
      </c>
      <c r="B2332" s="1">
        <v>45413</v>
      </c>
      <c r="C2332" t="s">
        <v>14</v>
      </c>
      <c r="D2332" t="s">
        <v>15</v>
      </c>
      <c r="E2332">
        <v>238</v>
      </c>
      <c r="F2332">
        <v>18</v>
      </c>
      <c r="G2332">
        <v>8.4</v>
      </c>
      <c r="H2332" t="s">
        <v>12</v>
      </c>
      <c r="I2332" t="s">
        <v>16</v>
      </c>
      <c r="J2332" t="s">
        <v>11</v>
      </c>
    </row>
    <row r="2333" spans="1:10" x14ac:dyDescent="0.25">
      <c r="A2333">
        <v>2332</v>
      </c>
      <c r="B2333" s="1">
        <v>45366</v>
      </c>
      <c r="C2333" t="s">
        <v>21</v>
      </c>
      <c r="D2333" t="s">
        <v>11</v>
      </c>
      <c r="E2333">
        <v>176</v>
      </c>
      <c r="F2333">
        <v>52</v>
      </c>
      <c r="G2333">
        <v>6.9</v>
      </c>
      <c r="H2333" t="s">
        <v>12</v>
      </c>
      <c r="I2333" t="s">
        <v>19</v>
      </c>
      <c r="J2333" t="s">
        <v>11</v>
      </c>
    </row>
    <row r="2334" spans="1:10" x14ac:dyDescent="0.25">
      <c r="A2334">
        <v>2333</v>
      </c>
      <c r="B2334" s="1">
        <v>45395</v>
      </c>
      <c r="C2334" t="s">
        <v>22</v>
      </c>
      <c r="D2334" t="s">
        <v>17</v>
      </c>
      <c r="E2334">
        <v>198</v>
      </c>
      <c r="F2334">
        <v>61</v>
      </c>
      <c r="G2334">
        <v>3.2</v>
      </c>
      <c r="H2334" t="s">
        <v>18</v>
      </c>
      <c r="I2334" t="s">
        <v>16</v>
      </c>
      <c r="J2334" t="s">
        <v>11</v>
      </c>
    </row>
    <row r="2335" spans="1:10" x14ac:dyDescent="0.25">
      <c r="A2335">
        <v>2334</v>
      </c>
      <c r="B2335" s="1">
        <v>45444</v>
      </c>
      <c r="C2335" t="s">
        <v>23</v>
      </c>
      <c r="D2335" t="s">
        <v>17</v>
      </c>
      <c r="E2335">
        <v>57</v>
      </c>
      <c r="F2335">
        <v>63</v>
      </c>
      <c r="G2335">
        <v>8.1</v>
      </c>
      <c r="H2335" t="s">
        <v>12</v>
      </c>
      <c r="I2335" t="s">
        <v>19</v>
      </c>
      <c r="J2335" t="s">
        <v>11</v>
      </c>
    </row>
    <row r="2336" spans="1:10" x14ac:dyDescent="0.25">
      <c r="A2336">
        <v>2335</v>
      </c>
      <c r="B2336" s="1">
        <v>45627</v>
      </c>
      <c r="C2336" t="s">
        <v>23</v>
      </c>
      <c r="D2336" t="s">
        <v>15</v>
      </c>
      <c r="E2336">
        <v>69</v>
      </c>
      <c r="F2336">
        <v>46</v>
      </c>
      <c r="G2336">
        <v>8.4</v>
      </c>
      <c r="H2336" t="s">
        <v>18</v>
      </c>
      <c r="I2336" t="s">
        <v>19</v>
      </c>
      <c r="J2336" t="s">
        <v>15</v>
      </c>
    </row>
    <row r="2337" spans="1:10" x14ac:dyDescent="0.25">
      <c r="A2337">
        <v>2336</v>
      </c>
      <c r="B2337" s="1">
        <v>45625</v>
      </c>
      <c r="C2337" t="s">
        <v>23</v>
      </c>
      <c r="D2337" t="s">
        <v>11</v>
      </c>
      <c r="E2337">
        <v>85</v>
      </c>
      <c r="F2337">
        <v>41</v>
      </c>
      <c r="G2337">
        <v>0.6</v>
      </c>
      <c r="H2337" t="s">
        <v>18</v>
      </c>
      <c r="I2337" t="s">
        <v>13</v>
      </c>
      <c r="J2337" t="s">
        <v>11</v>
      </c>
    </row>
    <row r="2338" spans="1:10" x14ac:dyDescent="0.25">
      <c r="A2338">
        <v>2337</v>
      </c>
      <c r="B2338" s="1">
        <v>45611</v>
      </c>
      <c r="C2338" t="s">
        <v>14</v>
      </c>
      <c r="D2338" t="s">
        <v>17</v>
      </c>
      <c r="E2338">
        <v>215</v>
      </c>
      <c r="F2338">
        <v>27</v>
      </c>
      <c r="G2338">
        <v>2.8</v>
      </c>
      <c r="H2338" t="s">
        <v>12</v>
      </c>
      <c r="I2338" t="s">
        <v>16</v>
      </c>
      <c r="J2338" t="s">
        <v>11</v>
      </c>
    </row>
    <row r="2339" spans="1:10" x14ac:dyDescent="0.25">
      <c r="A2339">
        <v>2338</v>
      </c>
      <c r="B2339" s="1">
        <v>45553</v>
      </c>
      <c r="C2339" t="s">
        <v>23</v>
      </c>
      <c r="D2339" t="s">
        <v>11</v>
      </c>
      <c r="E2339">
        <v>130</v>
      </c>
      <c r="F2339">
        <v>37</v>
      </c>
      <c r="G2339">
        <v>6.7</v>
      </c>
      <c r="H2339" t="s">
        <v>18</v>
      </c>
      <c r="I2339" t="s">
        <v>19</v>
      </c>
      <c r="J2339" t="s">
        <v>15</v>
      </c>
    </row>
    <row r="2340" spans="1:10" x14ac:dyDescent="0.25">
      <c r="A2340">
        <v>2339</v>
      </c>
      <c r="B2340" s="1">
        <v>45393</v>
      </c>
      <c r="C2340" t="s">
        <v>22</v>
      </c>
      <c r="D2340" t="s">
        <v>20</v>
      </c>
      <c r="E2340">
        <v>33</v>
      </c>
      <c r="F2340">
        <v>15</v>
      </c>
      <c r="G2340">
        <v>6</v>
      </c>
      <c r="H2340" t="s">
        <v>12</v>
      </c>
      <c r="I2340" t="s">
        <v>16</v>
      </c>
      <c r="J2340" t="s">
        <v>11</v>
      </c>
    </row>
    <row r="2341" spans="1:10" x14ac:dyDescent="0.25">
      <c r="A2341">
        <v>2340</v>
      </c>
      <c r="B2341" s="1">
        <v>45325</v>
      </c>
      <c r="C2341" t="s">
        <v>14</v>
      </c>
      <c r="D2341" t="s">
        <v>11</v>
      </c>
      <c r="E2341">
        <v>16</v>
      </c>
      <c r="F2341">
        <v>59</v>
      </c>
      <c r="G2341">
        <v>8.6999999999999993</v>
      </c>
      <c r="H2341" t="s">
        <v>18</v>
      </c>
      <c r="I2341" t="s">
        <v>16</v>
      </c>
      <c r="J2341" t="s">
        <v>20</v>
      </c>
    </row>
    <row r="2342" spans="1:10" x14ac:dyDescent="0.25">
      <c r="A2342">
        <v>2341</v>
      </c>
      <c r="B2342" s="1">
        <v>45470</v>
      </c>
      <c r="C2342" t="s">
        <v>21</v>
      </c>
      <c r="D2342" t="s">
        <v>11</v>
      </c>
      <c r="E2342">
        <v>148</v>
      </c>
      <c r="F2342">
        <v>60</v>
      </c>
      <c r="G2342">
        <v>5</v>
      </c>
      <c r="H2342" t="s">
        <v>12</v>
      </c>
      <c r="I2342" t="s">
        <v>13</v>
      </c>
      <c r="J2342" t="s">
        <v>11</v>
      </c>
    </row>
    <row r="2343" spans="1:10" x14ac:dyDescent="0.25">
      <c r="A2343">
        <v>2342</v>
      </c>
      <c r="B2343" s="1">
        <v>45566</v>
      </c>
      <c r="C2343" t="s">
        <v>21</v>
      </c>
      <c r="D2343" t="s">
        <v>15</v>
      </c>
      <c r="E2343">
        <v>8</v>
      </c>
      <c r="F2343">
        <v>6</v>
      </c>
      <c r="G2343">
        <v>6.7</v>
      </c>
      <c r="H2343" t="s">
        <v>12</v>
      </c>
      <c r="I2343" t="s">
        <v>19</v>
      </c>
      <c r="J2343" t="s">
        <v>20</v>
      </c>
    </row>
    <row r="2344" spans="1:10" x14ac:dyDescent="0.25">
      <c r="A2344">
        <v>2343</v>
      </c>
      <c r="B2344" s="1">
        <v>45643</v>
      </c>
      <c r="C2344" t="s">
        <v>10</v>
      </c>
      <c r="D2344" t="s">
        <v>17</v>
      </c>
      <c r="E2344">
        <v>175</v>
      </c>
      <c r="F2344">
        <v>32</v>
      </c>
      <c r="G2344">
        <v>3.3</v>
      </c>
      <c r="H2344" t="s">
        <v>12</v>
      </c>
      <c r="I2344" t="s">
        <v>16</v>
      </c>
      <c r="J2344" t="s">
        <v>11</v>
      </c>
    </row>
    <row r="2345" spans="1:10" x14ac:dyDescent="0.25">
      <c r="A2345">
        <v>2344</v>
      </c>
      <c r="B2345" s="1">
        <v>45477</v>
      </c>
      <c r="C2345" t="s">
        <v>21</v>
      </c>
      <c r="D2345" t="s">
        <v>17</v>
      </c>
      <c r="E2345">
        <v>180</v>
      </c>
      <c r="F2345">
        <v>55</v>
      </c>
      <c r="G2345">
        <v>4.9000000000000004</v>
      </c>
      <c r="H2345" t="s">
        <v>18</v>
      </c>
      <c r="I2345" t="s">
        <v>19</v>
      </c>
      <c r="J2345" t="s">
        <v>11</v>
      </c>
    </row>
    <row r="2346" spans="1:10" x14ac:dyDescent="0.25">
      <c r="A2346">
        <v>2345</v>
      </c>
      <c r="B2346" s="1">
        <v>45393</v>
      </c>
      <c r="C2346" t="s">
        <v>10</v>
      </c>
      <c r="D2346" t="s">
        <v>17</v>
      </c>
      <c r="E2346">
        <v>127</v>
      </c>
      <c r="F2346">
        <v>50</v>
      </c>
      <c r="G2346">
        <v>1.3</v>
      </c>
      <c r="H2346" t="s">
        <v>18</v>
      </c>
      <c r="I2346" t="s">
        <v>13</v>
      </c>
      <c r="J2346" t="s">
        <v>11</v>
      </c>
    </row>
    <row r="2347" spans="1:10" x14ac:dyDescent="0.25">
      <c r="A2347">
        <v>2346</v>
      </c>
      <c r="B2347" s="1">
        <v>45536</v>
      </c>
      <c r="C2347" t="s">
        <v>23</v>
      </c>
      <c r="D2347" t="s">
        <v>11</v>
      </c>
      <c r="E2347">
        <v>26</v>
      </c>
      <c r="F2347">
        <v>56</v>
      </c>
      <c r="G2347">
        <v>2.2999999999999998</v>
      </c>
      <c r="H2347" t="s">
        <v>12</v>
      </c>
      <c r="I2347" t="s">
        <v>13</v>
      </c>
      <c r="J2347" t="s">
        <v>15</v>
      </c>
    </row>
    <row r="2348" spans="1:10" x14ac:dyDescent="0.25">
      <c r="A2348">
        <v>2347</v>
      </c>
      <c r="B2348" s="1">
        <v>45408</v>
      </c>
      <c r="C2348" t="s">
        <v>10</v>
      </c>
      <c r="D2348" t="s">
        <v>20</v>
      </c>
      <c r="E2348">
        <v>10</v>
      </c>
      <c r="F2348">
        <v>5</v>
      </c>
      <c r="G2348">
        <v>4.5</v>
      </c>
      <c r="H2348" t="s">
        <v>18</v>
      </c>
      <c r="I2348" t="s">
        <v>19</v>
      </c>
      <c r="J2348" t="s">
        <v>20</v>
      </c>
    </row>
    <row r="2349" spans="1:10" x14ac:dyDescent="0.25">
      <c r="A2349">
        <v>2348</v>
      </c>
      <c r="B2349" s="1">
        <v>45391</v>
      </c>
      <c r="C2349" t="s">
        <v>14</v>
      </c>
      <c r="D2349" t="s">
        <v>15</v>
      </c>
      <c r="E2349">
        <v>165</v>
      </c>
      <c r="F2349">
        <v>34</v>
      </c>
      <c r="G2349">
        <v>8.1</v>
      </c>
      <c r="H2349" t="s">
        <v>12</v>
      </c>
      <c r="I2349" t="s">
        <v>13</v>
      </c>
      <c r="J2349" t="s">
        <v>11</v>
      </c>
    </row>
    <row r="2350" spans="1:10" x14ac:dyDescent="0.25">
      <c r="A2350">
        <v>2349</v>
      </c>
      <c r="B2350" s="1">
        <v>45425</v>
      </c>
      <c r="C2350" t="s">
        <v>10</v>
      </c>
      <c r="D2350" t="s">
        <v>15</v>
      </c>
      <c r="E2350">
        <v>132</v>
      </c>
      <c r="F2350">
        <v>40</v>
      </c>
      <c r="G2350">
        <v>8.9</v>
      </c>
      <c r="H2350" t="s">
        <v>18</v>
      </c>
      <c r="I2350" t="s">
        <v>19</v>
      </c>
      <c r="J2350" t="s">
        <v>15</v>
      </c>
    </row>
    <row r="2351" spans="1:10" x14ac:dyDescent="0.25">
      <c r="A2351">
        <v>2350</v>
      </c>
      <c r="B2351" s="1">
        <v>45563</v>
      </c>
      <c r="C2351" t="s">
        <v>23</v>
      </c>
      <c r="D2351" t="s">
        <v>15</v>
      </c>
      <c r="E2351">
        <v>137</v>
      </c>
      <c r="F2351">
        <v>10</v>
      </c>
      <c r="G2351">
        <v>5.0999999999999996</v>
      </c>
      <c r="H2351" t="s">
        <v>12</v>
      </c>
      <c r="I2351" t="s">
        <v>16</v>
      </c>
      <c r="J2351" t="s">
        <v>11</v>
      </c>
    </row>
    <row r="2352" spans="1:10" x14ac:dyDescent="0.25">
      <c r="A2352">
        <v>2351</v>
      </c>
      <c r="B2352" s="1">
        <v>45548</v>
      </c>
      <c r="C2352" t="s">
        <v>10</v>
      </c>
      <c r="D2352" t="s">
        <v>20</v>
      </c>
      <c r="E2352">
        <v>209</v>
      </c>
      <c r="F2352">
        <v>50</v>
      </c>
      <c r="G2352">
        <v>9.3000000000000007</v>
      </c>
      <c r="H2352" t="s">
        <v>18</v>
      </c>
      <c r="I2352" t="s">
        <v>16</v>
      </c>
      <c r="J2352" t="s">
        <v>11</v>
      </c>
    </row>
    <row r="2353" spans="1:10" x14ac:dyDescent="0.25">
      <c r="A2353">
        <v>2352</v>
      </c>
      <c r="B2353" s="1">
        <v>45380</v>
      </c>
      <c r="C2353" t="s">
        <v>22</v>
      </c>
      <c r="D2353" t="s">
        <v>20</v>
      </c>
      <c r="E2353">
        <v>5</v>
      </c>
      <c r="F2353">
        <v>65</v>
      </c>
      <c r="G2353">
        <v>9.4</v>
      </c>
      <c r="H2353" t="s">
        <v>18</v>
      </c>
      <c r="I2353" t="s">
        <v>16</v>
      </c>
      <c r="J2353" t="s">
        <v>15</v>
      </c>
    </row>
    <row r="2354" spans="1:10" x14ac:dyDescent="0.25">
      <c r="A2354">
        <v>2353</v>
      </c>
      <c r="B2354" s="1">
        <v>45608</v>
      </c>
      <c r="C2354" t="s">
        <v>22</v>
      </c>
      <c r="D2354" t="s">
        <v>17</v>
      </c>
      <c r="E2354">
        <v>38</v>
      </c>
      <c r="F2354">
        <v>16</v>
      </c>
      <c r="G2354">
        <v>5.9</v>
      </c>
      <c r="H2354" t="s">
        <v>12</v>
      </c>
      <c r="I2354" t="s">
        <v>16</v>
      </c>
      <c r="J2354" t="s">
        <v>11</v>
      </c>
    </row>
    <row r="2355" spans="1:10" x14ac:dyDescent="0.25">
      <c r="A2355">
        <v>2354</v>
      </c>
      <c r="B2355" s="1">
        <v>45509</v>
      </c>
      <c r="C2355" t="s">
        <v>23</v>
      </c>
      <c r="D2355" t="s">
        <v>17</v>
      </c>
      <c r="E2355">
        <v>197</v>
      </c>
      <c r="F2355">
        <v>19</v>
      </c>
      <c r="G2355">
        <v>8.6999999999999993</v>
      </c>
      <c r="H2355" t="s">
        <v>12</v>
      </c>
      <c r="I2355" t="s">
        <v>16</v>
      </c>
      <c r="J2355" t="s">
        <v>11</v>
      </c>
    </row>
    <row r="2356" spans="1:10" x14ac:dyDescent="0.25">
      <c r="A2356">
        <v>2355</v>
      </c>
      <c r="B2356" s="1">
        <v>45596</v>
      </c>
      <c r="C2356" t="s">
        <v>14</v>
      </c>
      <c r="D2356" t="s">
        <v>11</v>
      </c>
      <c r="E2356">
        <v>90</v>
      </c>
      <c r="F2356">
        <v>67</v>
      </c>
      <c r="G2356">
        <v>4.7</v>
      </c>
      <c r="H2356" t="s">
        <v>12</v>
      </c>
      <c r="I2356" t="s">
        <v>16</v>
      </c>
      <c r="J2356" t="s">
        <v>11</v>
      </c>
    </row>
    <row r="2357" spans="1:10" x14ac:dyDescent="0.25">
      <c r="A2357">
        <v>2356</v>
      </c>
      <c r="B2357" s="1">
        <v>45623</v>
      </c>
      <c r="C2357" t="s">
        <v>10</v>
      </c>
      <c r="D2357" t="s">
        <v>15</v>
      </c>
      <c r="E2357">
        <v>196</v>
      </c>
      <c r="F2357">
        <v>35</v>
      </c>
      <c r="G2357">
        <v>1.3</v>
      </c>
      <c r="H2357" t="s">
        <v>18</v>
      </c>
      <c r="I2357" t="s">
        <v>16</v>
      </c>
      <c r="J2357" t="s">
        <v>11</v>
      </c>
    </row>
    <row r="2358" spans="1:10" x14ac:dyDescent="0.25">
      <c r="A2358">
        <v>2357</v>
      </c>
      <c r="B2358" s="1">
        <v>45496</v>
      </c>
      <c r="C2358" t="s">
        <v>21</v>
      </c>
      <c r="D2358" t="s">
        <v>20</v>
      </c>
      <c r="E2358">
        <v>21</v>
      </c>
      <c r="F2358">
        <v>15</v>
      </c>
      <c r="G2358">
        <v>6.6</v>
      </c>
      <c r="H2358" t="s">
        <v>18</v>
      </c>
      <c r="I2358" t="s">
        <v>19</v>
      </c>
      <c r="J2358" t="s">
        <v>15</v>
      </c>
    </row>
    <row r="2359" spans="1:10" x14ac:dyDescent="0.25">
      <c r="A2359">
        <v>2358</v>
      </c>
      <c r="B2359" s="1">
        <v>45418</v>
      </c>
      <c r="C2359" t="s">
        <v>21</v>
      </c>
      <c r="D2359" t="s">
        <v>15</v>
      </c>
      <c r="E2359">
        <v>175</v>
      </c>
      <c r="F2359">
        <v>67</v>
      </c>
      <c r="G2359">
        <v>0.7</v>
      </c>
      <c r="H2359" t="s">
        <v>18</v>
      </c>
      <c r="I2359" t="s">
        <v>16</v>
      </c>
      <c r="J2359" t="s">
        <v>11</v>
      </c>
    </row>
    <row r="2360" spans="1:10" x14ac:dyDescent="0.25">
      <c r="A2360">
        <v>2359</v>
      </c>
      <c r="B2360" s="1">
        <v>45297</v>
      </c>
      <c r="C2360" t="s">
        <v>21</v>
      </c>
      <c r="D2360" t="s">
        <v>15</v>
      </c>
      <c r="E2360">
        <v>45</v>
      </c>
      <c r="F2360">
        <v>48</v>
      </c>
      <c r="G2360">
        <v>6.7</v>
      </c>
      <c r="H2360" t="s">
        <v>12</v>
      </c>
      <c r="I2360" t="s">
        <v>19</v>
      </c>
      <c r="J2360" t="s">
        <v>11</v>
      </c>
    </row>
    <row r="2361" spans="1:10" x14ac:dyDescent="0.25">
      <c r="A2361">
        <v>2360</v>
      </c>
      <c r="B2361" s="1">
        <v>45380</v>
      </c>
      <c r="C2361" t="s">
        <v>14</v>
      </c>
      <c r="D2361" t="s">
        <v>11</v>
      </c>
      <c r="E2361">
        <v>6</v>
      </c>
      <c r="F2361">
        <v>30</v>
      </c>
      <c r="G2361">
        <v>6.2</v>
      </c>
      <c r="H2361" t="s">
        <v>18</v>
      </c>
      <c r="I2361" t="s">
        <v>19</v>
      </c>
      <c r="J2361" t="s">
        <v>20</v>
      </c>
    </row>
    <row r="2362" spans="1:10" x14ac:dyDescent="0.25">
      <c r="A2362">
        <v>2361</v>
      </c>
      <c r="B2362" s="1">
        <v>45526</v>
      </c>
      <c r="C2362" t="s">
        <v>14</v>
      </c>
      <c r="D2362" t="s">
        <v>20</v>
      </c>
      <c r="E2362">
        <v>185</v>
      </c>
      <c r="F2362">
        <v>42</v>
      </c>
      <c r="G2362">
        <v>6.2</v>
      </c>
      <c r="H2362" t="s">
        <v>12</v>
      </c>
      <c r="I2362" t="s">
        <v>16</v>
      </c>
      <c r="J2362" t="s">
        <v>11</v>
      </c>
    </row>
    <row r="2363" spans="1:10" x14ac:dyDescent="0.25">
      <c r="A2363">
        <v>2362</v>
      </c>
      <c r="B2363" s="1">
        <v>45558</v>
      </c>
      <c r="C2363" t="s">
        <v>10</v>
      </c>
      <c r="D2363" t="s">
        <v>15</v>
      </c>
      <c r="E2363">
        <v>197</v>
      </c>
      <c r="F2363">
        <v>8</v>
      </c>
      <c r="G2363">
        <v>3.2</v>
      </c>
      <c r="H2363" t="s">
        <v>12</v>
      </c>
      <c r="I2363" t="s">
        <v>16</v>
      </c>
      <c r="J2363" t="s">
        <v>11</v>
      </c>
    </row>
    <row r="2364" spans="1:10" x14ac:dyDescent="0.25">
      <c r="A2364">
        <v>2363</v>
      </c>
      <c r="B2364" s="1">
        <v>45313</v>
      </c>
      <c r="C2364" t="s">
        <v>10</v>
      </c>
      <c r="D2364" t="s">
        <v>17</v>
      </c>
      <c r="E2364">
        <v>224</v>
      </c>
      <c r="F2364">
        <v>46</v>
      </c>
      <c r="G2364">
        <v>3.9</v>
      </c>
      <c r="H2364" t="s">
        <v>18</v>
      </c>
      <c r="I2364" t="s">
        <v>16</v>
      </c>
      <c r="J2364" t="s">
        <v>11</v>
      </c>
    </row>
    <row r="2365" spans="1:10" x14ac:dyDescent="0.25">
      <c r="A2365">
        <v>2364</v>
      </c>
      <c r="B2365" s="1">
        <v>45317</v>
      </c>
      <c r="C2365" t="s">
        <v>21</v>
      </c>
      <c r="D2365" t="s">
        <v>15</v>
      </c>
      <c r="E2365">
        <v>173</v>
      </c>
      <c r="F2365">
        <v>5</v>
      </c>
      <c r="G2365">
        <v>1.6</v>
      </c>
      <c r="H2365" t="s">
        <v>12</v>
      </c>
      <c r="I2365" t="s">
        <v>16</v>
      </c>
      <c r="J2365" t="s">
        <v>15</v>
      </c>
    </row>
    <row r="2366" spans="1:10" x14ac:dyDescent="0.25">
      <c r="A2366">
        <v>2365</v>
      </c>
      <c r="B2366" s="1">
        <v>45441</v>
      </c>
      <c r="C2366" t="s">
        <v>22</v>
      </c>
      <c r="D2366" t="s">
        <v>17</v>
      </c>
      <c r="E2366">
        <v>6</v>
      </c>
      <c r="F2366">
        <v>47</v>
      </c>
      <c r="G2366">
        <v>6.5</v>
      </c>
      <c r="H2366" t="s">
        <v>12</v>
      </c>
      <c r="I2366" t="s">
        <v>19</v>
      </c>
      <c r="J2366" t="s">
        <v>15</v>
      </c>
    </row>
    <row r="2367" spans="1:10" x14ac:dyDescent="0.25">
      <c r="A2367">
        <v>2366</v>
      </c>
      <c r="B2367" s="1">
        <v>45413</v>
      </c>
      <c r="C2367" t="s">
        <v>10</v>
      </c>
      <c r="D2367" t="s">
        <v>15</v>
      </c>
      <c r="E2367">
        <v>61</v>
      </c>
      <c r="F2367">
        <v>66</v>
      </c>
      <c r="G2367">
        <v>1.8</v>
      </c>
      <c r="H2367" t="s">
        <v>12</v>
      </c>
      <c r="I2367" t="s">
        <v>13</v>
      </c>
      <c r="J2367" t="s">
        <v>11</v>
      </c>
    </row>
    <row r="2368" spans="1:10" x14ac:dyDescent="0.25">
      <c r="A2368">
        <v>2367</v>
      </c>
      <c r="B2368" s="1">
        <v>45340</v>
      </c>
      <c r="C2368" t="s">
        <v>22</v>
      </c>
      <c r="D2368" t="s">
        <v>20</v>
      </c>
      <c r="E2368">
        <v>127</v>
      </c>
      <c r="F2368">
        <v>59</v>
      </c>
      <c r="G2368">
        <v>9.5</v>
      </c>
      <c r="H2368" t="s">
        <v>12</v>
      </c>
      <c r="I2368" t="s">
        <v>16</v>
      </c>
      <c r="J2368" t="s">
        <v>11</v>
      </c>
    </row>
    <row r="2369" spans="1:10" x14ac:dyDescent="0.25">
      <c r="A2369">
        <v>2368</v>
      </c>
      <c r="B2369" s="1">
        <v>45335</v>
      </c>
      <c r="C2369" t="s">
        <v>23</v>
      </c>
      <c r="D2369" t="s">
        <v>17</v>
      </c>
      <c r="E2369">
        <v>47</v>
      </c>
      <c r="F2369">
        <v>11</v>
      </c>
      <c r="G2369">
        <v>5.0999999999999996</v>
      </c>
      <c r="H2369" t="s">
        <v>18</v>
      </c>
      <c r="I2369" t="s">
        <v>13</v>
      </c>
      <c r="J2369" t="s">
        <v>11</v>
      </c>
    </row>
    <row r="2370" spans="1:10" x14ac:dyDescent="0.25">
      <c r="A2370">
        <v>2369</v>
      </c>
      <c r="B2370" s="1">
        <v>45652</v>
      </c>
      <c r="C2370" t="s">
        <v>10</v>
      </c>
      <c r="D2370" t="s">
        <v>15</v>
      </c>
      <c r="E2370">
        <v>177</v>
      </c>
      <c r="F2370">
        <v>36</v>
      </c>
      <c r="G2370">
        <v>4.3</v>
      </c>
      <c r="H2370" t="s">
        <v>18</v>
      </c>
      <c r="I2370" t="s">
        <v>13</v>
      </c>
      <c r="J2370" t="s">
        <v>11</v>
      </c>
    </row>
    <row r="2371" spans="1:10" x14ac:dyDescent="0.25">
      <c r="A2371">
        <v>2370</v>
      </c>
      <c r="B2371" s="1">
        <v>45484</v>
      </c>
      <c r="C2371" t="s">
        <v>21</v>
      </c>
      <c r="D2371" t="s">
        <v>15</v>
      </c>
      <c r="E2371">
        <v>45</v>
      </c>
      <c r="F2371">
        <v>24</v>
      </c>
      <c r="G2371">
        <v>6.9</v>
      </c>
      <c r="H2371" t="s">
        <v>18</v>
      </c>
      <c r="I2371" t="s">
        <v>16</v>
      </c>
      <c r="J2371" t="s">
        <v>15</v>
      </c>
    </row>
    <row r="2372" spans="1:10" x14ac:dyDescent="0.25">
      <c r="A2372">
        <v>2371</v>
      </c>
      <c r="B2372" s="1">
        <v>45513</v>
      </c>
      <c r="C2372" t="s">
        <v>14</v>
      </c>
      <c r="D2372" t="s">
        <v>11</v>
      </c>
      <c r="E2372">
        <v>230</v>
      </c>
      <c r="F2372">
        <v>59</v>
      </c>
      <c r="G2372">
        <v>2.4</v>
      </c>
      <c r="H2372" t="s">
        <v>18</v>
      </c>
      <c r="I2372" t="s">
        <v>19</v>
      </c>
      <c r="J2372" t="s">
        <v>11</v>
      </c>
    </row>
    <row r="2373" spans="1:10" x14ac:dyDescent="0.25">
      <c r="A2373">
        <v>2372</v>
      </c>
      <c r="B2373" s="1">
        <v>45330</v>
      </c>
      <c r="C2373" t="s">
        <v>14</v>
      </c>
      <c r="D2373" t="s">
        <v>11</v>
      </c>
      <c r="E2373">
        <v>177</v>
      </c>
      <c r="F2373">
        <v>53</v>
      </c>
      <c r="G2373">
        <v>1.2</v>
      </c>
      <c r="H2373" t="s">
        <v>12</v>
      </c>
      <c r="I2373" t="s">
        <v>16</v>
      </c>
      <c r="J2373" t="s">
        <v>11</v>
      </c>
    </row>
    <row r="2374" spans="1:10" x14ac:dyDescent="0.25">
      <c r="A2374">
        <v>2373</v>
      </c>
      <c r="B2374" s="1">
        <v>45651</v>
      </c>
      <c r="C2374" t="s">
        <v>14</v>
      </c>
      <c r="D2374" t="s">
        <v>11</v>
      </c>
      <c r="E2374">
        <v>95</v>
      </c>
      <c r="F2374">
        <v>14</v>
      </c>
      <c r="G2374">
        <v>7.4</v>
      </c>
      <c r="H2374" t="s">
        <v>18</v>
      </c>
      <c r="I2374" t="s">
        <v>16</v>
      </c>
      <c r="J2374" t="s">
        <v>15</v>
      </c>
    </row>
    <row r="2375" spans="1:10" x14ac:dyDescent="0.25">
      <c r="A2375">
        <v>2374</v>
      </c>
      <c r="B2375" s="1">
        <v>45579</v>
      </c>
      <c r="C2375" t="s">
        <v>10</v>
      </c>
      <c r="D2375" t="s">
        <v>15</v>
      </c>
      <c r="E2375">
        <v>18</v>
      </c>
      <c r="F2375">
        <v>69</v>
      </c>
      <c r="G2375">
        <v>2.9</v>
      </c>
      <c r="H2375" t="s">
        <v>12</v>
      </c>
      <c r="I2375" t="s">
        <v>19</v>
      </c>
      <c r="J2375" t="s">
        <v>15</v>
      </c>
    </row>
    <row r="2376" spans="1:10" x14ac:dyDescent="0.25">
      <c r="A2376">
        <v>2375</v>
      </c>
      <c r="B2376" s="1">
        <v>45549</v>
      </c>
      <c r="C2376" t="s">
        <v>10</v>
      </c>
      <c r="D2376" t="s">
        <v>15</v>
      </c>
      <c r="E2376">
        <v>110</v>
      </c>
      <c r="F2376">
        <v>1</v>
      </c>
      <c r="G2376">
        <v>8.6999999999999993</v>
      </c>
      <c r="H2376" t="s">
        <v>18</v>
      </c>
      <c r="I2376" t="s">
        <v>13</v>
      </c>
      <c r="J2376" t="s">
        <v>20</v>
      </c>
    </row>
    <row r="2377" spans="1:10" x14ac:dyDescent="0.25">
      <c r="A2377">
        <v>2376</v>
      </c>
      <c r="B2377" s="1">
        <v>45489</v>
      </c>
      <c r="C2377" t="s">
        <v>14</v>
      </c>
      <c r="D2377" t="s">
        <v>11</v>
      </c>
      <c r="E2377">
        <v>141</v>
      </c>
      <c r="F2377">
        <v>61</v>
      </c>
      <c r="G2377">
        <v>6.3</v>
      </c>
      <c r="H2377" t="s">
        <v>18</v>
      </c>
      <c r="I2377" t="s">
        <v>13</v>
      </c>
      <c r="J2377" t="s">
        <v>15</v>
      </c>
    </row>
    <row r="2378" spans="1:10" x14ac:dyDescent="0.25">
      <c r="A2378">
        <v>2377</v>
      </c>
      <c r="B2378" s="1">
        <v>45494</v>
      </c>
      <c r="C2378" t="s">
        <v>22</v>
      </c>
      <c r="D2378" t="s">
        <v>15</v>
      </c>
      <c r="E2378">
        <v>46</v>
      </c>
      <c r="F2378">
        <v>44</v>
      </c>
      <c r="G2378">
        <v>3.9</v>
      </c>
      <c r="H2378" t="s">
        <v>18</v>
      </c>
      <c r="I2378" t="s">
        <v>13</v>
      </c>
      <c r="J2378" t="s">
        <v>11</v>
      </c>
    </row>
    <row r="2379" spans="1:10" x14ac:dyDescent="0.25">
      <c r="A2379">
        <v>2378</v>
      </c>
      <c r="B2379" s="1">
        <v>45445</v>
      </c>
      <c r="C2379" t="s">
        <v>23</v>
      </c>
      <c r="D2379" t="s">
        <v>15</v>
      </c>
      <c r="E2379">
        <v>181</v>
      </c>
      <c r="F2379">
        <v>63</v>
      </c>
      <c r="G2379">
        <v>3.3</v>
      </c>
      <c r="H2379" t="s">
        <v>18</v>
      </c>
      <c r="I2379" t="s">
        <v>13</v>
      </c>
      <c r="J2379" t="s">
        <v>11</v>
      </c>
    </row>
    <row r="2380" spans="1:10" x14ac:dyDescent="0.25">
      <c r="A2380">
        <v>2379</v>
      </c>
      <c r="B2380" s="1">
        <v>45606</v>
      </c>
      <c r="C2380" t="s">
        <v>21</v>
      </c>
      <c r="D2380" t="s">
        <v>11</v>
      </c>
      <c r="E2380">
        <v>12</v>
      </c>
      <c r="F2380">
        <v>18</v>
      </c>
      <c r="G2380">
        <v>0.7</v>
      </c>
      <c r="H2380" t="s">
        <v>18</v>
      </c>
      <c r="I2380" t="s">
        <v>13</v>
      </c>
      <c r="J2380" t="s">
        <v>15</v>
      </c>
    </row>
    <row r="2381" spans="1:10" x14ac:dyDescent="0.25">
      <c r="A2381">
        <v>2380</v>
      </c>
      <c r="B2381" s="1">
        <v>45467</v>
      </c>
      <c r="C2381" t="s">
        <v>21</v>
      </c>
      <c r="D2381" t="s">
        <v>20</v>
      </c>
      <c r="E2381">
        <v>81</v>
      </c>
      <c r="F2381">
        <v>37</v>
      </c>
      <c r="G2381">
        <v>6.1</v>
      </c>
      <c r="H2381" t="s">
        <v>18</v>
      </c>
      <c r="I2381" t="s">
        <v>16</v>
      </c>
      <c r="J2381" t="s">
        <v>11</v>
      </c>
    </row>
    <row r="2382" spans="1:10" x14ac:dyDescent="0.25">
      <c r="A2382">
        <v>2381</v>
      </c>
      <c r="B2382" s="1">
        <v>45607</v>
      </c>
      <c r="C2382" t="s">
        <v>21</v>
      </c>
      <c r="D2382" t="s">
        <v>20</v>
      </c>
      <c r="E2382">
        <v>93</v>
      </c>
      <c r="F2382">
        <v>71</v>
      </c>
      <c r="G2382">
        <v>1.9</v>
      </c>
      <c r="H2382" t="s">
        <v>18</v>
      </c>
      <c r="I2382" t="s">
        <v>19</v>
      </c>
      <c r="J2382" t="s">
        <v>11</v>
      </c>
    </row>
    <row r="2383" spans="1:10" x14ac:dyDescent="0.25">
      <c r="A2383">
        <v>2382</v>
      </c>
      <c r="B2383" s="1">
        <v>45364</v>
      </c>
      <c r="C2383" t="s">
        <v>10</v>
      </c>
      <c r="D2383" t="s">
        <v>20</v>
      </c>
      <c r="E2383">
        <v>106</v>
      </c>
      <c r="F2383">
        <v>24</v>
      </c>
      <c r="G2383">
        <v>6</v>
      </c>
      <c r="H2383" t="s">
        <v>18</v>
      </c>
      <c r="I2383" t="s">
        <v>13</v>
      </c>
      <c r="J2383" t="s">
        <v>11</v>
      </c>
    </row>
    <row r="2384" spans="1:10" x14ac:dyDescent="0.25">
      <c r="A2384">
        <v>2383</v>
      </c>
      <c r="B2384" s="1">
        <v>45308</v>
      </c>
      <c r="C2384" t="s">
        <v>22</v>
      </c>
      <c r="D2384" t="s">
        <v>17</v>
      </c>
      <c r="E2384">
        <v>141</v>
      </c>
      <c r="F2384">
        <v>31</v>
      </c>
      <c r="G2384">
        <v>4.5999999999999996</v>
      </c>
      <c r="H2384" t="s">
        <v>12</v>
      </c>
      <c r="I2384" t="s">
        <v>16</v>
      </c>
      <c r="J2384" t="s">
        <v>11</v>
      </c>
    </row>
    <row r="2385" spans="1:10" x14ac:dyDescent="0.25">
      <c r="A2385">
        <v>2384</v>
      </c>
      <c r="B2385" s="1">
        <v>45621</v>
      </c>
      <c r="C2385" t="s">
        <v>10</v>
      </c>
      <c r="D2385" t="s">
        <v>20</v>
      </c>
      <c r="E2385">
        <v>187</v>
      </c>
      <c r="F2385">
        <v>48</v>
      </c>
      <c r="G2385">
        <v>3.3</v>
      </c>
      <c r="H2385" t="s">
        <v>18</v>
      </c>
      <c r="I2385" t="s">
        <v>13</v>
      </c>
      <c r="J2385" t="s">
        <v>11</v>
      </c>
    </row>
    <row r="2386" spans="1:10" x14ac:dyDescent="0.25">
      <c r="A2386">
        <v>2385</v>
      </c>
      <c r="B2386" s="1">
        <v>45295</v>
      </c>
      <c r="C2386" t="s">
        <v>14</v>
      </c>
      <c r="D2386" t="s">
        <v>17</v>
      </c>
      <c r="E2386">
        <v>179</v>
      </c>
      <c r="F2386">
        <v>71</v>
      </c>
      <c r="G2386">
        <v>0.6</v>
      </c>
      <c r="H2386" t="s">
        <v>18</v>
      </c>
      <c r="I2386" t="s">
        <v>16</v>
      </c>
      <c r="J2386" t="s">
        <v>11</v>
      </c>
    </row>
    <row r="2387" spans="1:10" x14ac:dyDescent="0.25">
      <c r="A2387">
        <v>2386</v>
      </c>
      <c r="B2387" s="1">
        <v>45579</v>
      </c>
      <c r="C2387" t="s">
        <v>10</v>
      </c>
      <c r="D2387" t="s">
        <v>11</v>
      </c>
      <c r="E2387">
        <v>211</v>
      </c>
      <c r="F2387">
        <v>14</v>
      </c>
      <c r="G2387">
        <v>4.7</v>
      </c>
      <c r="H2387" t="s">
        <v>18</v>
      </c>
      <c r="I2387" t="s">
        <v>13</v>
      </c>
      <c r="J2387" t="s">
        <v>11</v>
      </c>
    </row>
    <row r="2388" spans="1:10" x14ac:dyDescent="0.25">
      <c r="A2388">
        <v>2387</v>
      </c>
      <c r="B2388" s="1">
        <v>45454</v>
      </c>
      <c r="C2388" t="s">
        <v>21</v>
      </c>
      <c r="D2388" t="s">
        <v>17</v>
      </c>
      <c r="E2388">
        <v>45</v>
      </c>
      <c r="F2388">
        <v>1</v>
      </c>
      <c r="G2388">
        <v>6.9</v>
      </c>
      <c r="H2388" t="s">
        <v>12</v>
      </c>
      <c r="I2388" t="s">
        <v>19</v>
      </c>
      <c r="J2388" t="s">
        <v>15</v>
      </c>
    </row>
    <row r="2389" spans="1:10" x14ac:dyDescent="0.25">
      <c r="A2389">
        <v>2388</v>
      </c>
      <c r="B2389" s="1">
        <v>45522</v>
      </c>
      <c r="C2389" t="s">
        <v>10</v>
      </c>
      <c r="D2389" t="s">
        <v>15</v>
      </c>
      <c r="E2389">
        <v>11</v>
      </c>
      <c r="F2389">
        <v>18</v>
      </c>
      <c r="G2389">
        <v>3.6</v>
      </c>
      <c r="H2389" t="s">
        <v>18</v>
      </c>
      <c r="I2389" t="s">
        <v>16</v>
      </c>
      <c r="J2389" t="s">
        <v>15</v>
      </c>
    </row>
    <row r="2390" spans="1:10" x14ac:dyDescent="0.25">
      <c r="A2390">
        <v>2389</v>
      </c>
      <c r="B2390" s="1">
        <v>45606</v>
      </c>
      <c r="C2390" t="s">
        <v>21</v>
      </c>
      <c r="D2390" t="s">
        <v>15</v>
      </c>
      <c r="E2390">
        <v>15</v>
      </c>
      <c r="F2390">
        <v>67</v>
      </c>
      <c r="G2390">
        <v>9.6999999999999993</v>
      </c>
      <c r="H2390" t="s">
        <v>18</v>
      </c>
      <c r="I2390" t="s">
        <v>16</v>
      </c>
      <c r="J2390" t="s">
        <v>20</v>
      </c>
    </row>
    <row r="2391" spans="1:10" x14ac:dyDescent="0.25">
      <c r="A2391">
        <v>2390</v>
      </c>
      <c r="B2391" s="1">
        <v>45560</v>
      </c>
      <c r="C2391" t="s">
        <v>14</v>
      </c>
      <c r="D2391" t="s">
        <v>17</v>
      </c>
      <c r="E2391">
        <v>157</v>
      </c>
      <c r="F2391">
        <v>15</v>
      </c>
      <c r="G2391">
        <v>6.5</v>
      </c>
      <c r="H2391" t="s">
        <v>12</v>
      </c>
      <c r="I2391" t="s">
        <v>16</v>
      </c>
      <c r="J2391" t="s">
        <v>11</v>
      </c>
    </row>
    <row r="2392" spans="1:10" x14ac:dyDescent="0.25">
      <c r="A2392">
        <v>2391</v>
      </c>
      <c r="B2392" s="1">
        <v>45333</v>
      </c>
      <c r="C2392" t="s">
        <v>21</v>
      </c>
      <c r="D2392" t="s">
        <v>20</v>
      </c>
      <c r="E2392">
        <v>19</v>
      </c>
      <c r="F2392">
        <v>10</v>
      </c>
      <c r="G2392">
        <v>5.4</v>
      </c>
      <c r="H2392" t="s">
        <v>18</v>
      </c>
      <c r="I2392" t="s">
        <v>16</v>
      </c>
      <c r="J2392" t="s">
        <v>15</v>
      </c>
    </row>
    <row r="2393" spans="1:10" x14ac:dyDescent="0.25">
      <c r="A2393">
        <v>2392</v>
      </c>
      <c r="B2393" s="1">
        <v>45465</v>
      </c>
      <c r="C2393" t="s">
        <v>23</v>
      </c>
      <c r="D2393" t="s">
        <v>17</v>
      </c>
      <c r="E2393">
        <v>33</v>
      </c>
      <c r="F2393">
        <v>71</v>
      </c>
      <c r="G2393">
        <v>3.3</v>
      </c>
      <c r="H2393" t="s">
        <v>18</v>
      </c>
      <c r="I2393" t="s">
        <v>19</v>
      </c>
      <c r="J2393" t="s">
        <v>11</v>
      </c>
    </row>
    <row r="2394" spans="1:10" x14ac:dyDescent="0.25">
      <c r="A2394">
        <v>2393</v>
      </c>
      <c r="B2394" s="1">
        <v>45346</v>
      </c>
      <c r="C2394" t="s">
        <v>10</v>
      </c>
      <c r="D2394" t="s">
        <v>20</v>
      </c>
      <c r="E2394">
        <v>148</v>
      </c>
      <c r="F2394">
        <v>39</v>
      </c>
      <c r="G2394">
        <v>0.5</v>
      </c>
      <c r="H2394" t="s">
        <v>18</v>
      </c>
      <c r="I2394" t="s">
        <v>19</v>
      </c>
      <c r="J2394" t="s">
        <v>11</v>
      </c>
    </row>
    <row r="2395" spans="1:10" x14ac:dyDescent="0.25">
      <c r="A2395">
        <v>2394</v>
      </c>
      <c r="B2395" s="1">
        <v>45526</v>
      </c>
      <c r="C2395" t="s">
        <v>14</v>
      </c>
      <c r="D2395" t="s">
        <v>15</v>
      </c>
      <c r="E2395">
        <v>14</v>
      </c>
      <c r="F2395">
        <v>27</v>
      </c>
      <c r="G2395">
        <v>9.8000000000000007</v>
      </c>
      <c r="H2395" t="s">
        <v>18</v>
      </c>
      <c r="I2395" t="s">
        <v>19</v>
      </c>
      <c r="J2395" t="s">
        <v>20</v>
      </c>
    </row>
    <row r="2396" spans="1:10" x14ac:dyDescent="0.25">
      <c r="A2396">
        <v>2395</v>
      </c>
      <c r="B2396" s="1">
        <v>45593</v>
      </c>
      <c r="C2396" t="s">
        <v>14</v>
      </c>
      <c r="D2396" t="s">
        <v>17</v>
      </c>
      <c r="E2396">
        <v>172</v>
      </c>
      <c r="F2396">
        <v>15</v>
      </c>
      <c r="G2396">
        <v>9.5</v>
      </c>
      <c r="H2396" t="s">
        <v>18</v>
      </c>
      <c r="I2396" t="s">
        <v>19</v>
      </c>
      <c r="J2396" t="s">
        <v>11</v>
      </c>
    </row>
    <row r="2397" spans="1:10" x14ac:dyDescent="0.25">
      <c r="A2397">
        <v>2396</v>
      </c>
      <c r="B2397" s="1">
        <v>45443</v>
      </c>
      <c r="C2397" t="s">
        <v>14</v>
      </c>
      <c r="D2397" t="s">
        <v>17</v>
      </c>
      <c r="E2397">
        <v>150</v>
      </c>
      <c r="F2397">
        <v>65</v>
      </c>
      <c r="G2397">
        <v>6.7</v>
      </c>
      <c r="H2397" t="s">
        <v>12</v>
      </c>
      <c r="I2397" t="s">
        <v>16</v>
      </c>
      <c r="J2397" t="s">
        <v>11</v>
      </c>
    </row>
    <row r="2398" spans="1:10" x14ac:dyDescent="0.25">
      <c r="A2398">
        <v>2397</v>
      </c>
      <c r="B2398" s="1">
        <v>45511</v>
      </c>
      <c r="C2398" t="s">
        <v>14</v>
      </c>
      <c r="D2398" t="s">
        <v>20</v>
      </c>
      <c r="E2398">
        <v>74</v>
      </c>
      <c r="F2398">
        <v>15</v>
      </c>
      <c r="G2398">
        <v>6.9</v>
      </c>
      <c r="H2398" t="s">
        <v>12</v>
      </c>
      <c r="I2398" t="s">
        <v>16</v>
      </c>
      <c r="J2398" t="s">
        <v>11</v>
      </c>
    </row>
    <row r="2399" spans="1:10" x14ac:dyDescent="0.25">
      <c r="A2399">
        <v>2398</v>
      </c>
      <c r="B2399" s="1">
        <v>45301</v>
      </c>
      <c r="C2399" t="s">
        <v>22</v>
      </c>
      <c r="D2399" t="s">
        <v>11</v>
      </c>
      <c r="E2399">
        <v>112</v>
      </c>
      <c r="F2399">
        <v>55</v>
      </c>
      <c r="G2399">
        <v>4.8</v>
      </c>
      <c r="H2399" t="s">
        <v>18</v>
      </c>
      <c r="I2399" t="s">
        <v>16</v>
      </c>
      <c r="J2399" t="s">
        <v>11</v>
      </c>
    </row>
    <row r="2400" spans="1:10" x14ac:dyDescent="0.25">
      <c r="A2400">
        <v>2399</v>
      </c>
      <c r="B2400" s="1">
        <v>45308</v>
      </c>
      <c r="C2400" t="s">
        <v>23</v>
      </c>
      <c r="D2400" t="s">
        <v>11</v>
      </c>
      <c r="E2400">
        <v>230</v>
      </c>
      <c r="F2400">
        <v>34</v>
      </c>
      <c r="G2400">
        <v>2.9</v>
      </c>
      <c r="H2400" t="s">
        <v>12</v>
      </c>
      <c r="I2400" t="s">
        <v>13</v>
      </c>
      <c r="J2400" t="s">
        <v>11</v>
      </c>
    </row>
    <row r="2401" spans="1:10" x14ac:dyDescent="0.25">
      <c r="A2401">
        <v>2400</v>
      </c>
      <c r="B2401" s="1">
        <v>45408</v>
      </c>
      <c r="C2401" t="s">
        <v>10</v>
      </c>
      <c r="D2401" t="s">
        <v>11</v>
      </c>
      <c r="E2401">
        <v>33</v>
      </c>
      <c r="F2401">
        <v>55</v>
      </c>
      <c r="G2401">
        <v>1.2</v>
      </c>
      <c r="H2401" t="s">
        <v>12</v>
      </c>
      <c r="I2401" t="s">
        <v>16</v>
      </c>
      <c r="J2401" t="s">
        <v>11</v>
      </c>
    </row>
    <row r="2402" spans="1:10" x14ac:dyDescent="0.25">
      <c r="A2402">
        <v>2401</v>
      </c>
      <c r="B2402" s="1">
        <v>45451</v>
      </c>
      <c r="C2402" t="s">
        <v>21</v>
      </c>
      <c r="D2402" t="s">
        <v>15</v>
      </c>
      <c r="E2402">
        <v>178</v>
      </c>
      <c r="F2402">
        <v>32</v>
      </c>
      <c r="G2402">
        <v>1.2</v>
      </c>
      <c r="H2402" t="s">
        <v>12</v>
      </c>
      <c r="I2402" t="s">
        <v>19</v>
      </c>
      <c r="J2402" t="s">
        <v>11</v>
      </c>
    </row>
    <row r="2403" spans="1:10" x14ac:dyDescent="0.25">
      <c r="A2403">
        <v>2402</v>
      </c>
      <c r="B2403" s="1">
        <v>45567</v>
      </c>
      <c r="C2403" t="s">
        <v>22</v>
      </c>
      <c r="D2403" t="s">
        <v>20</v>
      </c>
      <c r="E2403">
        <v>43</v>
      </c>
      <c r="F2403">
        <v>30</v>
      </c>
      <c r="G2403">
        <v>9.5</v>
      </c>
      <c r="H2403" t="s">
        <v>12</v>
      </c>
      <c r="I2403" t="s">
        <v>19</v>
      </c>
      <c r="J2403" t="s">
        <v>11</v>
      </c>
    </row>
    <row r="2404" spans="1:10" x14ac:dyDescent="0.25">
      <c r="A2404">
        <v>2403</v>
      </c>
      <c r="B2404" s="1">
        <v>45525</v>
      </c>
      <c r="C2404" t="s">
        <v>21</v>
      </c>
      <c r="D2404" t="s">
        <v>20</v>
      </c>
      <c r="E2404">
        <v>129</v>
      </c>
      <c r="F2404">
        <v>21</v>
      </c>
      <c r="G2404">
        <v>2.9</v>
      </c>
      <c r="H2404" t="s">
        <v>12</v>
      </c>
      <c r="I2404" t="s">
        <v>19</v>
      </c>
      <c r="J2404" t="s">
        <v>11</v>
      </c>
    </row>
    <row r="2405" spans="1:10" x14ac:dyDescent="0.25">
      <c r="A2405">
        <v>2404</v>
      </c>
      <c r="B2405" s="1">
        <v>45430</v>
      </c>
      <c r="C2405" t="s">
        <v>22</v>
      </c>
      <c r="D2405" t="s">
        <v>17</v>
      </c>
      <c r="E2405">
        <v>190</v>
      </c>
      <c r="F2405">
        <v>51</v>
      </c>
      <c r="G2405">
        <v>1.1000000000000001</v>
      </c>
      <c r="H2405" t="s">
        <v>18</v>
      </c>
      <c r="I2405" t="s">
        <v>19</v>
      </c>
      <c r="J2405" t="s">
        <v>11</v>
      </c>
    </row>
    <row r="2406" spans="1:10" x14ac:dyDescent="0.25">
      <c r="A2406">
        <v>2405</v>
      </c>
      <c r="B2406" s="1">
        <v>45394</v>
      </c>
      <c r="C2406" t="s">
        <v>21</v>
      </c>
      <c r="D2406" t="s">
        <v>17</v>
      </c>
      <c r="E2406">
        <v>120</v>
      </c>
      <c r="F2406">
        <v>59</v>
      </c>
      <c r="G2406">
        <v>2.2999999999999998</v>
      </c>
      <c r="H2406" t="s">
        <v>12</v>
      </c>
      <c r="I2406" t="s">
        <v>19</v>
      </c>
      <c r="J2406" t="s">
        <v>11</v>
      </c>
    </row>
    <row r="2407" spans="1:10" x14ac:dyDescent="0.25">
      <c r="A2407">
        <v>2406</v>
      </c>
      <c r="B2407" s="1">
        <v>45326</v>
      </c>
      <c r="C2407" t="s">
        <v>22</v>
      </c>
      <c r="D2407" t="s">
        <v>15</v>
      </c>
      <c r="E2407">
        <v>54</v>
      </c>
      <c r="F2407">
        <v>14</v>
      </c>
      <c r="G2407">
        <v>5.6</v>
      </c>
      <c r="H2407" t="s">
        <v>12</v>
      </c>
      <c r="I2407" t="s">
        <v>13</v>
      </c>
      <c r="J2407" t="s">
        <v>11</v>
      </c>
    </row>
    <row r="2408" spans="1:10" x14ac:dyDescent="0.25">
      <c r="A2408">
        <v>2407</v>
      </c>
      <c r="B2408" s="1">
        <v>45349</v>
      </c>
      <c r="C2408" t="s">
        <v>21</v>
      </c>
      <c r="D2408" t="s">
        <v>20</v>
      </c>
      <c r="E2408">
        <v>68</v>
      </c>
      <c r="F2408">
        <v>1</v>
      </c>
      <c r="G2408">
        <v>6.3</v>
      </c>
      <c r="H2408" t="s">
        <v>18</v>
      </c>
      <c r="I2408" t="s">
        <v>16</v>
      </c>
      <c r="J2408" t="s">
        <v>15</v>
      </c>
    </row>
    <row r="2409" spans="1:10" x14ac:dyDescent="0.25">
      <c r="A2409">
        <v>2408</v>
      </c>
      <c r="B2409" s="1">
        <v>45408</v>
      </c>
      <c r="C2409" t="s">
        <v>14</v>
      </c>
      <c r="D2409" t="s">
        <v>20</v>
      </c>
      <c r="E2409">
        <v>41</v>
      </c>
      <c r="F2409">
        <v>68</v>
      </c>
      <c r="G2409">
        <v>3.4</v>
      </c>
      <c r="H2409" t="s">
        <v>18</v>
      </c>
      <c r="I2409" t="s">
        <v>13</v>
      </c>
      <c r="J2409" t="s">
        <v>11</v>
      </c>
    </row>
    <row r="2410" spans="1:10" x14ac:dyDescent="0.25">
      <c r="A2410">
        <v>2409</v>
      </c>
      <c r="B2410" s="1">
        <v>45352</v>
      </c>
      <c r="C2410" t="s">
        <v>14</v>
      </c>
      <c r="D2410" t="s">
        <v>20</v>
      </c>
      <c r="E2410">
        <v>159</v>
      </c>
      <c r="F2410">
        <v>29</v>
      </c>
      <c r="G2410">
        <v>4</v>
      </c>
      <c r="H2410" t="s">
        <v>12</v>
      </c>
      <c r="I2410" t="s">
        <v>13</v>
      </c>
      <c r="J2410" t="s">
        <v>11</v>
      </c>
    </row>
    <row r="2411" spans="1:10" x14ac:dyDescent="0.25">
      <c r="A2411">
        <v>2410</v>
      </c>
      <c r="B2411" s="1">
        <v>45564</v>
      </c>
      <c r="C2411" t="s">
        <v>23</v>
      </c>
      <c r="D2411" t="s">
        <v>20</v>
      </c>
      <c r="E2411">
        <v>217</v>
      </c>
      <c r="F2411">
        <v>12</v>
      </c>
      <c r="G2411">
        <v>3.6</v>
      </c>
      <c r="H2411" t="s">
        <v>18</v>
      </c>
      <c r="I2411" t="s">
        <v>16</v>
      </c>
      <c r="J2411" t="s">
        <v>11</v>
      </c>
    </row>
    <row r="2412" spans="1:10" x14ac:dyDescent="0.25">
      <c r="A2412">
        <v>2411</v>
      </c>
      <c r="B2412" s="1">
        <v>45421</v>
      </c>
      <c r="C2412" t="s">
        <v>23</v>
      </c>
      <c r="D2412" t="s">
        <v>20</v>
      </c>
      <c r="E2412">
        <v>72</v>
      </c>
      <c r="F2412">
        <v>57</v>
      </c>
      <c r="G2412">
        <v>0.7</v>
      </c>
      <c r="H2412" t="s">
        <v>18</v>
      </c>
      <c r="I2412" t="s">
        <v>19</v>
      </c>
      <c r="J2412" t="s">
        <v>11</v>
      </c>
    </row>
    <row r="2413" spans="1:10" x14ac:dyDescent="0.25">
      <c r="A2413">
        <v>2412</v>
      </c>
      <c r="B2413" s="1">
        <v>45497</v>
      </c>
      <c r="C2413" t="s">
        <v>14</v>
      </c>
      <c r="D2413" t="s">
        <v>17</v>
      </c>
      <c r="E2413">
        <v>200</v>
      </c>
      <c r="F2413">
        <v>69</v>
      </c>
      <c r="G2413">
        <v>7.3</v>
      </c>
      <c r="H2413" t="s">
        <v>18</v>
      </c>
      <c r="I2413" t="s">
        <v>19</v>
      </c>
      <c r="J2413" t="s">
        <v>11</v>
      </c>
    </row>
    <row r="2414" spans="1:10" x14ac:dyDescent="0.25">
      <c r="A2414">
        <v>2413</v>
      </c>
      <c r="B2414" s="1">
        <v>45652</v>
      </c>
      <c r="C2414" t="s">
        <v>14</v>
      </c>
      <c r="D2414" t="s">
        <v>11</v>
      </c>
      <c r="E2414">
        <v>30</v>
      </c>
      <c r="F2414">
        <v>54</v>
      </c>
      <c r="G2414">
        <v>1.7</v>
      </c>
      <c r="H2414" t="s">
        <v>18</v>
      </c>
      <c r="I2414" t="s">
        <v>13</v>
      </c>
      <c r="J2414" t="s">
        <v>15</v>
      </c>
    </row>
    <row r="2415" spans="1:10" x14ac:dyDescent="0.25">
      <c r="A2415">
        <v>2414</v>
      </c>
      <c r="B2415" s="1">
        <v>45313</v>
      </c>
      <c r="C2415" t="s">
        <v>10</v>
      </c>
      <c r="D2415" t="s">
        <v>17</v>
      </c>
      <c r="E2415">
        <v>139</v>
      </c>
      <c r="F2415">
        <v>20</v>
      </c>
      <c r="G2415">
        <v>4.9000000000000004</v>
      </c>
      <c r="H2415" t="s">
        <v>18</v>
      </c>
      <c r="I2415" t="s">
        <v>16</v>
      </c>
      <c r="J2415" t="s">
        <v>11</v>
      </c>
    </row>
    <row r="2416" spans="1:10" x14ac:dyDescent="0.25">
      <c r="A2416">
        <v>2415</v>
      </c>
      <c r="B2416" s="1">
        <v>45469</v>
      </c>
      <c r="C2416" t="s">
        <v>23</v>
      </c>
      <c r="D2416" t="s">
        <v>20</v>
      </c>
      <c r="E2416">
        <v>149</v>
      </c>
      <c r="F2416">
        <v>2</v>
      </c>
      <c r="G2416">
        <v>8.8000000000000007</v>
      </c>
      <c r="H2416" t="s">
        <v>18</v>
      </c>
      <c r="I2416" t="s">
        <v>19</v>
      </c>
      <c r="J2416" t="s">
        <v>15</v>
      </c>
    </row>
    <row r="2417" spans="1:10" x14ac:dyDescent="0.25">
      <c r="A2417">
        <v>2416</v>
      </c>
      <c r="B2417" s="1">
        <v>45650</v>
      </c>
      <c r="C2417" t="s">
        <v>10</v>
      </c>
      <c r="D2417" t="s">
        <v>15</v>
      </c>
      <c r="E2417">
        <v>163</v>
      </c>
      <c r="F2417">
        <v>37</v>
      </c>
      <c r="G2417">
        <v>4.8</v>
      </c>
      <c r="H2417" t="s">
        <v>12</v>
      </c>
      <c r="I2417" t="s">
        <v>16</v>
      </c>
      <c r="J2417" t="s">
        <v>11</v>
      </c>
    </row>
    <row r="2418" spans="1:10" x14ac:dyDescent="0.25">
      <c r="A2418">
        <v>2417</v>
      </c>
      <c r="B2418" s="1">
        <v>45593</v>
      </c>
      <c r="C2418" t="s">
        <v>22</v>
      </c>
      <c r="D2418" t="s">
        <v>20</v>
      </c>
      <c r="E2418">
        <v>96</v>
      </c>
      <c r="F2418">
        <v>70</v>
      </c>
      <c r="G2418">
        <v>4.5</v>
      </c>
      <c r="H2418" t="s">
        <v>12</v>
      </c>
      <c r="I2418" t="s">
        <v>13</v>
      </c>
      <c r="J2418" t="s">
        <v>11</v>
      </c>
    </row>
    <row r="2419" spans="1:10" x14ac:dyDescent="0.25">
      <c r="A2419">
        <v>2418</v>
      </c>
      <c r="B2419" s="1">
        <v>45341</v>
      </c>
      <c r="C2419" t="s">
        <v>14</v>
      </c>
      <c r="D2419" t="s">
        <v>17</v>
      </c>
      <c r="E2419">
        <v>193</v>
      </c>
      <c r="F2419">
        <v>4</v>
      </c>
      <c r="G2419">
        <v>6.1</v>
      </c>
      <c r="H2419" t="s">
        <v>12</v>
      </c>
      <c r="I2419" t="s">
        <v>13</v>
      </c>
      <c r="J2419" t="s">
        <v>15</v>
      </c>
    </row>
    <row r="2420" spans="1:10" x14ac:dyDescent="0.25">
      <c r="A2420">
        <v>2419</v>
      </c>
      <c r="B2420" s="1">
        <v>45598</v>
      </c>
      <c r="C2420" t="s">
        <v>22</v>
      </c>
      <c r="D2420" t="s">
        <v>17</v>
      </c>
      <c r="E2420">
        <v>153</v>
      </c>
      <c r="F2420">
        <v>4</v>
      </c>
      <c r="G2420">
        <v>3.4</v>
      </c>
      <c r="H2420" t="s">
        <v>12</v>
      </c>
      <c r="I2420" t="s">
        <v>13</v>
      </c>
      <c r="J2420" t="s">
        <v>11</v>
      </c>
    </row>
    <row r="2421" spans="1:10" x14ac:dyDescent="0.25">
      <c r="A2421">
        <v>2420</v>
      </c>
      <c r="B2421" s="1">
        <v>45569</v>
      </c>
      <c r="C2421" t="s">
        <v>22</v>
      </c>
      <c r="D2421" t="s">
        <v>15</v>
      </c>
      <c r="E2421">
        <v>198</v>
      </c>
      <c r="F2421">
        <v>34</v>
      </c>
      <c r="G2421">
        <v>7.6</v>
      </c>
      <c r="H2421" t="s">
        <v>12</v>
      </c>
      <c r="I2421" t="s">
        <v>13</v>
      </c>
      <c r="J2421" t="s">
        <v>11</v>
      </c>
    </row>
    <row r="2422" spans="1:10" x14ac:dyDescent="0.25">
      <c r="A2422">
        <v>2421</v>
      </c>
      <c r="B2422" s="1">
        <v>45608</v>
      </c>
      <c r="C2422" t="s">
        <v>22</v>
      </c>
      <c r="D2422" t="s">
        <v>20</v>
      </c>
      <c r="E2422">
        <v>142</v>
      </c>
      <c r="F2422">
        <v>13</v>
      </c>
      <c r="G2422">
        <v>6.8</v>
      </c>
      <c r="H2422" t="s">
        <v>12</v>
      </c>
      <c r="I2422" t="s">
        <v>13</v>
      </c>
      <c r="J2422" t="s">
        <v>11</v>
      </c>
    </row>
    <row r="2423" spans="1:10" x14ac:dyDescent="0.25">
      <c r="A2423">
        <v>2422</v>
      </c>
      <c r="B2423" s="1">
        <v>45526</v>
      </c>
      <c r="C2423" t="s">
        <v>14</v>
      </c>
      <c r="D2423" t="s">
        <v>17</v>
      </c>
      <c r="E2423">
        <v>214</v>
      </c>
      <c r="F2423">
        <v>48</v>
      </c>
      <c r="G2423">
        <v>4.0999999999999996</v>
      </c>
      <c r="H2423" t="s">
        <v>18</v>
      </c>
      <c r="I2423" t="s">
        <v>13</v>
      </c>
      <c r="J2423" t="s">
        <v>11</v>
      </c>
    </row>
    <row r="2424" spans="1:10" x14ac:dyDescent="0.25">
      <c r="A2424">
        <v>2423</v>
      </c>
      <c r="B2424" s="1">
        <v>45365</v>
      </c>
      <c r="C2424" t="s">
        <v>21</v>
      </c>
      <c r="D2424" t="s">
        <v>15</v>
      </c>
      <c r="E2424">
        <v>184</v>
      </c>
      <c r="F2424">
        <v>55</v>
      </c>
      <c r="G2424">
        <v>8</v>
      </c>
      <c r="H2424" t="s">
        <v>12</v>
      </c>
      <c r="I2424" t="s">
        <v>13</v>
      </c>
      <c r="J2424" t="s">
        <v>11</v>
      </c>
    </row>
    <row r="2425" spans="1:10" x14ac:dyDescent="0.25">
      <c r="A2425">
        <v>2424</v>
      </c>
      <c r="B2425" s="1">
        <v>45412</v>
      </c>
      <c r="C2425" t="s">
        <v>22</v>
      </c>
      <c r="D2425" t="s">
        <v>11</v>
      </c>
      <c r="E2425">
        <v>206</v>
      </c>
      <c r="F2425">
        <v>23</v>
      </c>
      <c r="G2425">
        <v>1.8</v>
      </c>
      <c r="H2425" t="s">
        <v>12</v>
      </c>
      <c r="I2425" t="s">
        <v>19</v>
      </c>
      <c r="J2425" t="s">
        <v>11</v>
      </c>
    </row>
    <row r="2426" spans="1:10" x14ac:dyDescent="0.25">
      <c r="A2426">
        <v>2425</v>
      </c>
      <c r="B2426" s="1">
        <v>45612</v>
      </c>
      <c r="C2426" t="s">
        <v>23</v>
      </c>
      <c r="D2426" t="s">
        <v>20</v>
      </c>
      <c r="E2426">
        <v>224</v>
      </c>
      <c r="F2426">
        <v>66</v>
      </c>
      <c r="G2426">
        <v>2.4</v>
      </c>
      <c r="H2426" t="s">
        <v>12</v>
      </c>
      <c r="I2426" t="s">
        <v>19</v>
      </c>
      <c r="J2426" t="s">
        <v>11</v>
      </c>
    </row>
    <row r="2427" spans="1:10" x14ac:dyDescent="0.25">
      <c r="A2427">
        <v>2426</v>
      </c>
      <c r="B2427" s="1">
        <v>45591</v>
      </c>
      <c r="C2427" t="s">
        <v>21</v>
      </c>
      <c r="D2427" t="s">
        <v>15</v>
      </c>
      <c r="E2427">
        <v>188</v>
      </c>
      <c r="F2427">
        <v>5</v>
      </c>
      <c r="G2427">
        <v>3.5</v>
      </c>
      <c r="H2427" t="s">
        <v>12</v>
      </c>
      <c r="I2427" t="s">
        <v>19</v>
      </c>
      <c r="J2427" t="s">
        <v>15</v>
      </c>
    </row>
    <row r="2428" spans="1:10" x14ac:dyDescent="0.25">
      <c r="A2428">
        <v>2427</v>
      </c>
      <c r="B2428" s="1">
        <v>45525</v>
      </c>
      <c r="C2428" t="s">
        <v>23</v>
      </c>
      <c r="D2428" t="s">
        <v>20</v>
      </c>
      <c r="E2428">
        <v>240</v>
      </c>
      <c r="F2428">
        <v>36</v>
      </c>
      <c r="G2428">
        <v>2.5</v>
      </c>
      <c r="H2428" t="s">
        <v>18</v>
      </c>
      <c r="I2428" t="s">
        <v>16</v>
      </c>
      <c r="J2428" t="s">
        <v>11</v>
      </c>
    </row>
    <row r="2429" spans="1:10" x14ac:dyDescent="0.25">
      <c r="A2429">
        <v>2428</v>
      </c>
      <c r="B2429" s="1">
        <v>45478</v>
      </c>
      <c r="C2429" t="s">
        <v>21</v>
      </c>
      <c r="D2429" t="s">
        <v>17</v>
      </c>
      <c r="E2429">
        <v>219</v>
      </c>
      <c r="F2429">
        <v>20</v>
      </c>
      <c r="G2429">
        <v>6.5</v>
      </c>
      <c r="H2429" t="s">
        <v>18</v>
      </c>
      <c r="I2429" t="s">
        <v>19</v>
      </c>
      <c r="J2429" t="s">
        <v>11</v>
      </c>
    </row>
    <row r="2430" spans="1:10" x14ac:dyDescent="0.25">
      <c r="A2430">
        <v>2429</v>
      </c>
      <c r="B2430" s="1">
        <v>45502</v>
      </c>
      <c r="C2430" t="s">
        <v>23</v>
      </c>
      <c r="D2430" t="s">
        <v>17</v>
      </c>
      <c r="E2430">
        <v>47</v>
      </c>
      <c r="F2430">
        <v>22</v>
      </c>
      <c r="G2430">
        <v>0.8</v>
      </c>
      <c r="H2430" t="s">
        <v>18</v>
      </c>
      <c r="I2430" t="s">
        <v>13</v>
      </c>
      <c r="J2430" t="s">
        <v>11</v>
      </c>
    </row>
    <row r="2431" spans="1:10" x14ac:dyDescent="0.25">
      <c r="A2431">
        <v>2430</v>
      </c>
      <c r="B2431" s="1">
        <v>45321</v>
      </c>
      <c r="C2431" t="s">
        <v>23</v>
      </c>
      <c r="D2431" t="s">
        <v>15</v>
      </c>
      <c r="E2431">
        <v>46</v>
      </c>
      <c r="F2431">
        <v>32</v>
      </c>
      <c r="G2431">
        <v>6.3</v>
      </c>
      <c r="H2431" t="s">
        <v>18</v>
      </c>
      <c r="I2431" t="s">
        <v>13</v>
      </c>
      <c r="J2431" t="s">
        <v>15</v>
      </c>
    </row>
    <row r="2432" spans="1:10" x14ac:dyDescent="0.25">
      <c r="A2432">
        <v>2431</v>
      </c>
      <c r="B2432" s="1">
        <v>45407</v>
      </c>
      <c r="C2432" t="s">
        <v>21</v>
      </c>
      <c r="D2432" t="s">
        <v>11</v>
      </c>
      <c r="E2432">
        <v>147</v>
      </c>
      <c r="F2432">
        <v>37</v>
      </c>
      <c r="G2432">
        <v>4.2</v>
      </c>
      <c r="H2432" t="s">
        <v>18</v>
      </c>
      <c r="I2432" t="s">
        <v>16</v>
      </c>
      <c r="J2432" t="s">
        <v>11</v>
      </c>
    </row>
    <row r="2433" spans="1:10" x14ac:dyDescent="0.25">
      <c r="A2433">
        <v>2432</v>
      </c>
      <c r="B2433" s="1">
        <v>45631</v>
      </c>
      <c r="C2433" t="s">
        <v>23</v>
      </c>
      <c r="D2433" t="s">
        <v>11</v>
      </c>
      <c r="E2433">
        <v>185</v>
      </c>
      <c r="F2433">
        <v>8</v>
      </c>
      <c r="G2433">
        <v>4.2</v>
      </c>
      <c r="H2433" t="s">
        <v>18</v>
      </c>
      <c r="I2433" t="s">
        <v>13</v>
      </c>
      <c r="J2433" t="s">
        <v>11</v>
      </c>
    </row>
    <row r="2434" spans="1:10" x14ac:dyDescent="0.25">
      <c r="A2434">
        <v>2433</v>
      </c>
      <c r="B2434" s="1">
        <v>45316</v>
      </c>
      <c r="C2434" t="s">
        <v>10</v>
      </c>
      <c r="D2434" t="s">
        <v>15</v>
      </c>
      <c r="E2434">
        <v>136</v>
      </c>
      <c r="F2434">
        <v>5</v>
      </c>
      <c r="G2434">
        <v>6.9</v>
      </c>
      <c r="H2434" t="s">
        <v>18</v>
      </c>
      <c r="I2434" t="s">
        <v>16</v>
      </c>
      <c r="J2434" t="s">
        <v>20</v>
      </c>
    </row>
    <row r="2435" spans="1:10" x14ac:dyDescent="0.25">
      <c r="A2435">
        <v>2434</v>
      </c>
      <c r="B2435" s="1">
        <v>45542</v>
      </c>
      <c r="C2435" t="s">
        <v>21</v>
      </c>
      <c r="D2435" t="s">
        <v>15</v>
      </c>
      <c r="E2435">
        <v>155</v>
      </c>
      <c r="F2435">
        <v>47</v>
      </c>
      <c r="G2435">
        <v>7.9</v>
      </c>
      <c r="H2435" t="s">
        <v>18</v>
      </c>
      <c r="I2435" t="s">
        <v>19</v>
      </c>
      <c r="J2435" t="s">
        <v>15</v>
      </c>
    </row>
    <row r="2436" spans="1:10" x14ac:dyDescent="0.25">
      <c r="A2436">
        <v>2435</v>
      </c>
      <c r="B2436" s="1">
        <v>45364</v>
      </c>
      <c r="C2436" t="s">
        <v>21</v>
      </c>
      <c r="D2436" t="s">
        <v>20</v>
      </c>
      <c r="E2436">
        <v>55</v>
      </c>
      <c r="F2436">
        <v>1</v>
      </c>
      <c r="G2436">
        <v>4.5</v>
      </c>
      <c r="H2436" t="s">
        <v>18</v>
      </c>
      <c r="I2436" t="s">
        <v>16</v>
      </c>
      <c r="J2436" t="s">
        <v>15</v>
      </c>
    </row>
    <row r="2437" spans="1:10" x14ac:dyDescent="0.25">
      <c r="A2437">
        <v>2436</v>
      </c>
      <c r="B2437" s="1">
        <v>45359</v>
      </c>
      <c r="C2437" t="s">
        <v>23</v>
      </c>
      <c r="D2437" t="s">
        <v>20</v>
      </c>
      <c r="E2437">
        <v>6</v>
      </c>
      <c r="F2437">
        <v>53</v>
      </c>
      <c r="G2437">
        <v>4.9000000000000004</v>
      </c>
      <c r="H2437" t="s">
        <v>18</v>
      </c>
      <c r="I2437" t="s">
        <v>16</v>
      </c>
      <c r="J2437" t="s">
        <v>15</v>
      </c>
    </row>
    <row r="2438" spans="1:10" x14ac:dyDescent="0.25">
      <c r="A2438">
        <v>2437</v>
      </c>
      <c r="B2438" s="1">
        <v>45363</v>
      </c>
      <c r="C2438" t="s">
        <v>21</v>
      </c>
      <c r="D2438" t="s">
        <v>15</v>
      </c>
      <c r="E2438">
        <v>188</v>
      </c>
      <c r="F2438">
        <v>47</v>
      </c>
      <c r="G2438">
        <v>2.1</v>
      </c>
      <c r="H2438" t="s">
        <v>18</v>
      </c>
      <c r="I2438" t="s">
        <v>16</v>
      </c>
      <c r="J2438" t="s">
        <v>11</v>
      </c>
    </row>
    <row r="2439" spans="1:10" x14ac:dyDescent="0.25">
      <c r="A2439">
        <v>2438</v>
      </c>
      <c r="B2439" s="1">
        <v>45412</v>
      </c>
      <c r="C2439" t="s">
        <v>10</v>
      </c>
      <c r="D2439" t="s">
        <v>20</v>
      </c>
      <c r="E2439">
        <v>14</v>
      </c>
      <c r="F2439">
        <v>51</v>
      </c>
      <c r="G2439">
        <v>4.9000000000000004</v>
      </c>
      <c r="H2439" t="s">
        <v>12</v>
      </c>
      <c r="I2439" t="s">
        <v>13</v>
      </c>
      <c r="J2439" t="s">
        <v>11</v>
      </c>
    </row>
    <row r="2440" spans="1:10" x14ac:dyDescent="0.25">
      <c r="A2440">
        <v>2439</v>
      </c>
      <c r="B2440" s="1">
        <v>45361</v>
      </c>
      <c r="C2440" t="s">
        <v>21</v>
      </c>
      <c r="D2440" t="s">
        <v>17</v>
      </c>
      <c r="E2440">
        <v>220</v>
      </c>
      <c r="F2440">
        <v>1</v>
      </c>
      <c r="G2440">
        <v>8.8000000000000007</v>
      </c>
      <c r="H2440" t="s">
        <v>12</v>
      </c>
      <c r="I2440" t="s">
        <v>13</v>
      </c>
      <c r="J2440" t="s">
        <v>15</v>
      </c>
    </row>
    <row r="2441" spans="1:10" x14ac:dyDescent="0.25">
      <c r="A2441">
        <v>2440</v>
      </c>
      <c r="B2441" s="1">
        <v>45337</v>
      </c>
      <c r="C2441" t="s">
        <v>21</v>
      </c>
      <c r="D2441" t="s">
        <v>11</v>
      </c>
      <c r="E2441">
        <v>113</v>
      </c>
      <c r="F2441">
        <v>44</v>
      </c>
      <c r="G2441">
        <v>0.5</v>
      </c>
      <c r="H2441" t="s">
        <v>12</v>
      </c>
      <c r="I2441" t="s">
        <v>19</v>
      </c>
      <c r="J2441" t="s">
        <v>11</v>
      </c>
    </row>
    <row r="2442" spans="1:10" x14ac:dyDescent="0.25">
      <c r="A2442">
        <v>2441</v>
      </c>
      <c r="B2442" s="1">
        <v>45585</v>
      </c>
      <c r="C2442" t="s">
        <v>10</v>
      </c>
      <c r="D2442" t="s">
        <v>11</v>
      </c>
      <c r="E2442">
        <v>222</v>
      </c>
      <c r="F2442">
        <v>48</v>
      </c>
      <c r="G2442">
        <v>4.4000000000000004</v>
      </c>
      <c r="H2442" t="s">
        <v>18</v>
      </c>
      <c r="I2442" t="s">
        <v>16</v>
      </c>
      <c r="J2442" t="s">
        <v>11</v>
      </c>
    </row>
    <row r="2443" spans="1:10" x14ac:dyDescent="0.25">
      <c r="A2443">
        <v>2442</v>
      </c>
      <c r="B2443" s="1">
        <v>45352</v>
      </c>
      <c r="C2443" t="s">
        <v>21</v>
      </c>
      <c r="D2443" t="s">
        <v>20</v>
      </c>
      <c r="E2443">
        <v>81</v>
      </c>
      <c r="F2443">
        <v>31</v>
      </c>
      <c r="G2443">
        <v>8</v>
      </c>
      <c r="H2443" t="s">
        <v>12</v>
      </c>
      <c r="I2443" t="s">
        <v>16</v>
      </c>
      <c r="J2443" t="s">
        <v>11</v>
      </c>
    </row>
    <row r="2444" spans="1:10" x14ac:dyDescent="0.25">
      <c r="A2444">
        <v>2443</v>
      </c>
      <c r="B2444" s="1">
        <v>45398</v>
      </c>
      <c r="C2444" t="s">
        <v>23</v>
      </c>
      <c r="D2444" t="s">
        <v>20</v>
      </c>
      <c r="E2444">
        <v>164</v>
      </c>
      <c r="F2444">
        <v>29</v>
      </c>
      <c r="G2444">
        <v>4.8</v>
      </c>
      <c r="H2444" t="s">
        <v>18</v>
      </c>
      <c r="I2444" t="s">
        <v>16</v>
      </c>
      <c r="J2444" t="s">
        <v>11</v>
      </c>
    </row>
    <row r="2445" spans="1:10" x14ac:dyDescent="0.25">
      <c r="A2445">
        <v>2444</v>
      </c>
      <c r="B2445" s="1">
        <v>45540</v>
      </c>
      <c r="C2445" t="s">
        <v>14</v>
      </c>
      <c r="D2445" t="s">
        <v>11</v>
      </c>
      <c r="E2445">
        <v>103</v>
      </c>
      <c r="F2445">
        <v>28</v>
      </c>
      <c r="G2445">
        <v>6.3</v>
      </c>
      <c r="H2445" t="s">
        <v>18</v>
      </c>
      <c r="I2445" t="s">
        <v>16</v>
      </c>
      <c r="J2445" t="s">
        <v>15</v>
      </c>
    </row>
    <row r="2446" spans="1:10" x14ac:dyDescent="0.25">
      <c r="A2446">
        <v>2445</v>
      </c>
      <c r="B2446" s="1">
        <v>45426</v>
      </c>
      <c r="C2446" t="s">
        <v>10</v>
      </c>
      <c r="D2446" t="s">
        <v>15</v>
      </c>
      <c r="E2446">
        <v>64</v>
      </c>
      <c r="F2446">
        <v>66</v>
      </c>
      <c r="G2446">
        <v>8.5</v>
      </c>
      <c r="H2446" t="s">
        <v>12</v>
      </c>
      <c r="I2446" t="s">
        <v>16</v>
      </c>
      <c r="J2446" t="s">
        <v>11</v>
      </c>
    </row>
    <row r="2447" spans="1:10" x14ac:dyDescent="0.25">
      <c r="A2447">
        <v>2446</v>
      </c>
      <c r="B2447" s="1">
        <v>45631</v>
      </c>
      <c r="C2447" t="s">
        <v>10</v>
      </c>
      <c r="D2447" t="s">
        <v>15</v>
      </c>
      <c r="E2447">
        <v>129</v>
      </c>
      <c r="F2447">
        <v>20</v>
      </c>
      <c r="G2447">
        <v>8.1</v>
      </c>
      <c r="H2447" t="s">
        <v>12</v>
      </c>
      <c r="I2447" t="s">
        <v>16</v>
      </c>
      <c r="J2447" t="s">
        <v>11</v>
      </c>
    </row>
    <row r="2448" spans="1:10" x14ac:dyDescent="0.25">
      <c r="A2448">
        <v>2447</v>
      </c>
      <c r="B2448" s="1">
        <v>45529</v>
      </c>
      <c r="C2448" t="s">
        <v>10</v>
      </c>
      <c r="D2448" t="s">
        <v>20</v>
      </c>
      <c r="E2448">
        <v>162</v>
      </c>
      <c r="F2448">
        <v>70</v>
      </c>
      <c r="G2448">
        <v>1.3</v>
      </c>
      <c r="H2448" t="s">
        <v>12</v>
      </c>
      <c r="I2448" t="s">
        <v>13</v>
      </c>
      <c r="J2448" t="s">
        <v>11</v>
      </c>
    </row>
    <row r="2449" spans="1:10" x14ac:dyDescent="0.25">
      <c r="A2449">
        <v>2448</v>
      </c>
      <c r="B2449" s="1">
        <v>45464</v>
      </c>
      <c r="C2449" t="s">
        <v>23</v>
      </c>
      <c r="D2449" t="s">
        <v>20</v>
      </c>
      <c r="E2449">
        <v>24</v>
      </c>
      <c r="F2449">
        <v>70</v>
      </c>
      <c r="G2449">
        <v>6.8</v>
      </c>
      <c r="H2449" t="s">
        <v>12</v>
      </c>
      <c r="I2449" t="s">
        <v>13</v>
      </c>
      <c r="J2449" t="s">
        <v>15</v>
      </c>
    </row>
    <row r="2450" spans="1:10" x14ac:dyDescent="0.25">
      <c r="A2450">
        <v>2449</v>
      </c>
      <c r="B2450" s="1">
        <v>45498</v>
      </c>
      <c r="C2450" t="s">
        <v>10</v>
      </c>
      <c r="D2450" t="s">
        <v>11</v>
      </c>
      <c r="E2450">
        <v>13</v>
      </c>
      <c r="F2450">
        <v>48</v>
      </c>
      <c r="G2450">
        <v>2.7</v>
      </c>
      <c r="H2450" t="s">
        <v>18</v>
      </c>
      <c r="I2450" t="s">
        <v>16</v>
      </c>
      <c r="J2450" t="s">
        <v>15</v>
      </c>
    </row>
    <row r="2451" spans="1:10" x14ac:dyDescent="0.25">
      <c r="A2451">
        <v>2450</v>
      </c>
      <c r="B2451" s="1">
        <v>45348</v>
      </c>
      <c r="C2451" t="s">
        <v>21</v>
      </c>
      <c r="D2451" t="s">
        <v>20</v>
      </c>
      <c r="E2451">
        <v>188</v>
      </c>
      <c r="F2451">
        <v>7</v>
      </c>
      <c r="G2451">
        <v>6</v>
      </c>
      <c r="H2451" t="s">
        <v>12</v>
      </c>
      <c r="I2451" t="s">
        <v>16</v>
      </c>
      <c r="J2451" t="s">
        <v>11</v>
      </c>
    </row>
    <row r="2452" spans="1:10" x14ac:dyDescent="0.25">
      <c r="A2452">
        <v>2451</v>
      </c>
      <c r="B2452" s="1">
        <v>45537</v>
      </c>
      <c r="C2452" t="s">
        <v>22</v>
      </c>
      <c r="D2452" t="s">
        <v>20</v>
      </c>
      <c r="E2452">
        <v>229</v>
      </c>
      <c r="F2452">
        <v>59</v>
      </c>
      <c r="G2452">
        <v>8</v>
      </c>
      <c r="H2452" t="s">
        <v>18</v>
      </c>
      <c r="I2452" t="s">
        <v>13</v>
      </c>
      <c r="J2452" t="s">
        <v>11</v>
      </c>
    </row>
    <row r="2453" spans="1:10" x14ac:dyDescent="0.25">
      <c r="A2453">
        <v>2452</v>
      </c>
      <c r="B2453" s="1">
        <v>45473</v>
      </c>
      <c r="C2453" t="s">
        <v>14</v>
      </c>
      <c r="D2453" t="s">
        <v>17</v>
      </c>
      <c r="E2453">
        <v>71</v>
      </c>
      <c r="F2453">
        <v>52</v>
      </c>
      <c r="G2453">
        <v>9.5</v>
      </c>
      <c r="H2453" t="s">
        <v>18</v>
      </c>
      <c r="I2453" t="s">
        <v>19</v>
      </c>
      <c r="J2453" t="s">
        <v>11</v>
      </c>
    </row>
    <row r="2454" spans="1:10" x14ac:dyDescent="0.25">
      <c r="A2454">
        <v>2453</v>
      </c>
      <c r="B2454" s="1">
        <v>45412</v>
      </c>
      <c r="C2454" t="s">
        <v>21</v>
      </c>
      <c r="D2454" t="s">
        <v>20</v>
      </c>
      <c r="E2454">
        <v>100</v>
      </c>
      <c r="F2454">
        <v>43</v>
      </c>
      <c r="G2454">
        <v>7.9</v>
      </c>
      <c r="H2454" t="s">
        <v>18</v>
      </c>
      <c r="I2454" t="s">
        <v>13</v>
      </c>
      <c r="J2454" t="s">
        <v>11</v>
      </c>
    </row>
    <row r="2455" spans="1:10" x14ac:dyDescent="0.25">
      <c r="A2455">
        <v>2454</v>
      </c>
      <c r="B2455" s="1">
        <v>45526</v>
      </c>
      <c r="C2455" t="s">
        <v>22</v>
      </c>
      <c r="D2455" t="s">
        <v>17</v>
      </c>
      <c r="E2455">
        <v>190</v>
      </c>
      <c r="F2455">
        <v>33</v>
      </c>
      <c r="G2455">
        <v>7</v>
      </c>
      <c r="H2455" t="s">
        <v>18</v>
      </c>
      <c r="I2455" t="s">
        <v>19</v>
      </c>
      <c r="J2455" t="s">
        <v>11</v>
      </c>
    </row>
    <row r="2456" spans="1:10" x14ac:dyDescent="0.25">
      <c r="A2456">
        <v>2455</v>
      </c>
      <c r="B2456" s="1">
        <v>45529</v>
      </c>
      <c r="C2456" t="s">
        <v>10</v>
      </c>
      <c r="D2456" t="s">
        <v>11</v>
      </c>
      <c r="E2456">
        <v>110</v>
      </c>
      <c r="F2456">
        <v>37</v>
      </c>
      <c r="G2456">
        <v>6.9</v>
      </c>
      <c r="H2456" t="s">
        <v>12</v>
      </c>
      <c r="I2456" t="s">
        <v>16</v>
      </c>
      <c r="J2456" t="s">
        <v>11</v>
      </c>
    </row>
    <row r="2457" spans="1:10" x14ac:dyDescent="0.25">
      <c r="A2457">
        <v>2456</v>
      </c>
      <c r="B2457" s="1">
        <v>45382</v>
      </c>
      <c r="C2457" t="s">
        <v>14</v>
      </c>
      <c r="D2457" t="s">
        <v>20</v>
      </c>
      <c r="E2457">
        <v>213</v>
      </c>
      <c r="F2457">
        <v>39</v>
      </c>
      <c r="G2457">
        <v>6.7</v>
      </c>
      <c r="H2457" t="s">
        <v>12</v>
      </c>
      <c r="I2457" t="s">
        <v>13</v>
      </c>
      <c r="J2457" t="s">
        <v>11</v>
      </c>
    </row>
    <row r="2458" spans="1:10" x14ac:dyDescent="0.25">
      <c r="A2458">
        <v>2457</v>
      </c>
      <c r="B2458" s="1">
        <v>45329</v>
      </c>
      <c r="C2458" t="s">
        <v>10</v>
      </c>
      <c r="D2458" t="s">
        <v>15</v>
      </c>
      <c r="E2458">
        <v>144</v>
      </c>
      <c r="F2458">
        <v>24</v>
      </c>
      <c r="G2458">
        <v>1.2</v>
      </c>
      <c r="H2458" t="s">
        <v>18</v>
      </c>
      <c r="I2458" t="s">
        <v>13</v>
      </c>
      <c r="J2458" t="s">
        <v>11</v>
      </c>
    </row>
    <row r="2459" spans="1:10" x14ac:dyDescent="0.25">
      <c r="A2459">
        <v>2458</v>
      </c>
      <c r="B2459" s="1">
        <v>45527</v>
      </c>
      <c r="C2459" t="s">
        <v>14</v>
      </c>
      <c r="D2459" t="s">
        <v>15</v>
      </c>
      <c r="E2459">
        <v>43</v>
      </c>
      <c r="F2459">
        <v>5</v>
      </c>
      <c r="G2459">
        <v>4.5</v>
      </c>
      <c r="H2459" t="s">
        <v>12</v>
      </c>
      <c r="I2459" t="s">
        <v>19</v>
      </c>
      <c r="J2459" t="s">
        <v>15</v>
      </c>
    </row>
    <row r="2460" spans="1:10" x14ac:dyDescent="0.25">
      <c r="A2460">
        <v>2459</v>
      </c>
      <c r="B2460" s="1">
        <v>45509</v>
      </c>
      <c r="C2460" t="s">
        <v>22</v>
      </c>
      <c r="D2460" t="s">
        <v>11</v>
      </c>
      <c r="E2460">
        <v>96</v>
      </c>
      <c r="F2460">
        <v>26</v>
      </c>
      <c r="G2460">
        <v>3</v>
      </c>
      <c r="H2460" t="s">
        <v>12</v>
      </c>
      <c r="I2460" t="s">
        <v>13</v>
      </c>
      <c r="J2460" t="s">
        <v>11</v>
      </c>
    </row>
    <row r="2461" spans="1:10" x14ac:dyDescent="0.25">
      <c r="A2461">
        <v>2460</v>
      </c>
      <c r="B2461" s="1">
        <v>45444</v>
      </c>
      <c r="C2461" t="s">
        <v>14</v>
      </c>
      <c r="D2461" t="s">
        <v>17</v>
      </c>
      <c r="E2461">
        <v>218</v>
      </c>
      <c r="F2461">
        <v>72</v>
      </c>
      <c r="G2461">
        <v>8.3000000000000007</v>
      </c>
      <c r="H2461" t="s">
        <v>12</v>
      </c>
      <c r="I2461" t="s">
        <v>16</v>
      </c>
      <c r="J2461" t="s">
        <v>11</v>
      </c>
    </row>
    <row r="2462" spans="1:10" x14ac:dyDescent="0.25">
      <c r="A2462">
        <v>2461</v>
      </c>
      <c r="B2462" s="1">
        <v>45358</v>
      </c>
      <c r="C2462" t="s">
        <v>14</v>
      </c>
      <c r="D2462" t="s">
        <v>15</v>
      </c>
      <c r="E2462">
        <v>152</v>
      </c>
      <c r="F2462">
        <v>6</v>
      </c>
      <c r="G2462">
        <v>6.7</v>
      </c>
      <c r="H2462" t="s">
        <v>18</v>
      </c>
      <c r="I2462" t="s">
        <v>16</v>
      </c>
      <c r="J2462" t="s">
        <v>20</v>
      </c>
    </row>
    <row r="2463" spans="1:10" x14ac:dyDescent="0.25">
      <c r="A2463">
        <v>2462</v>
      </c>
      <c r="B2463" s="1">
        <v>45583</v>
      </c>
      <c r="C2463" t="s">
        <v>23</v>
      </c>
      <c r="D2463" t="s">
        <v>20</v>
      </c>
      <c r="E2463">
        <v>176</v>
      </c>
      <c r="F2463">
        <v>17</v>
      </c>
      <c r="G2463">
        <v>6.8</v>
      </c>
      <c r="H2463" t="s">
        <v>18</v>
      </c>
      <c r="I2463" t="s">
        <v>13</v>
      </c>
      <c r="J2463" t="s">
        <v>11</v>
      </c>
    </row>
    <row r="2464" spans="1:10" x14ac:dyDescent="0.25">
      <c r="A2464">
        <v>2463</v>
      </c>
      <c r="B2464" s="1">
        <v>45571</v>
      </c>
      <c r="C2464" t="s">
        <v>10</v>
      </c>
      <c r="D2464" t="s">
        <v>20</v>
      </c>
      <c r="E2464">
        <v>198</v>
      </c>
      <c r="F2464">
        <v>37</v>
      </c>
      <c r="G2464">
        <v>8.1</v>
      </c>
      <c r="H2464" t="s">
        <v>18</v>
      </c>
      <c r="I2464" t="s">
        <v>13</v>
      </c>
      <c r="J2464" t="s">
        <v>11</v>
      </c>
    </row>
    <row r="2465" spans="1:10" x14ac:dyDescent="0.25">
      <c r="A2465">
        <v>2464</v>
      </c>
      <c r="B2465" s="1">
        <v>45323</v>
      </c>
      <c r="C2465" t="s">
        <v>10</v>
      </c>
      <c r="D2465" t="s">
        <v>17</v>
      </c>
      <c r="E2465">
        <v>74</v>
      </c>
      <c r="F2465">
        <v>66</v>
      </c>
      <c r="G2465">
        <v>4.0999999999999996</v>
      </c>
      <c r="H2465" t="s">
        <v>18</v>
      </c>
      <c r="I2465" t="s">
        <v>16</v>
      </c>
      <c r="J2465" t="s">
        <v>11</v>
      </c>
    </row>
    <row r="2466" spans="1:10" x14ac:dyDescent="0.25">
      <c r="A2466">
        <v>2465</v>
      </c>
      <c r="B2466" s="1">
        <v>45449</v>
      </c>
      <c r="C2466" t="s">
        <v>14</v>
      </c>
      <c r="D2466" t="s">
        <v>17</v>
      </c>
      <c r="E2466">
        <v>224</v>
      </c>
      <c r="F2466">
        <v>52</v>
      </c>
      <c r="G2466">
        <v>8</v>
      </c>
      <c r="H2466" t="s">
        <v>12</v>
      </c>
      <c r="I2466" t="s">
        <v>16</v>
      </c>
      <c r="J2466" t="s">
        <v>11</v>
      </c>
    </row>
    <row r="2467" spans="1:10" x14ac:dyDescent="0.25">
      <c r="A2467">
        <v>2466</v>
      </c>
      <c r="B2467" s="1">
        <v>45395</v>
      </c>
      <c r="C2467" t="s">
        <v>14</v>
      </c>
      <c r="D2467" t="s">
        <v>15</v>
      </c>
      <c r="E2467">
        <v>107</v>
      </c>
      <c r="F2467">
        <v>10</v>
      </c>
      <c r="G2467">
        <v>8.5</v>
      </c>
      <c r="H2467" t="s">
        <v>18</v>
      </c>
      <c r="I2467" t="s">
        <v>19</v>
      </c>
      <c r="J2467" t="s">
        <v>15</v>
      </c>
    </row>
    <row r="2468" spans="1:10" x14ac:dyDescent="0.25">
      <c r="A2468">
        <v>2467</v>
      </c>
      <c r="B2468" s="1">
        <v>45587</v>
      </c>
      <c r="C2468" t="s">
        <v>14</v>
      </c>
      <c r="D2468" t="s">
        <v>11</v>
      </c>
      <c r="E2468">
        <v>199</v>
      </c>
      <c r="F2468">
        <v>65</v>
      </c>
      <c r="G2468">
        <v>7.6</v>
      </c>
      <c r="H2468" t="s">
        <v>12</v>
      </c>
      <c r="I2468" t="s">
        <v>13</v>
      </c>
      <c r="J2468" t="s">
        <v>11</v>
      </c>
    </row>
    <row r="2469" spans="1:10" x14ac:dyDescent="0.25">
      <c r="A2469">
        <v>2468</v>
      </c>
      <c r="B2469" s="1">
        <v>45349</v>
      </c>
      <c r="C2469" t="s">
        <v>10</v>
      </c>
      <c r="D2469" t="s">
        <v>20</v>
      </c>
      <c r="E2469">
        <v>220</v>
      </c>
      <c r="F2469">
        <v>8</v>
      </c>
      <c r="G2469">
        <v>0.7</v>
      </c>
      <c r="H2469" t="s">
        <v>18</v>
      </c>
      <c r="I2469" t="s">
        <v>16</v>
      </c>
      <c r="J2469" t="s">
        <v>11</v>
      </c>
    </row>
    <row r="2470" spans="1:10" x14ac:dyDescent="0.25">
      <c r="A2470">
        <v>2469</v>
      </c>
      <c r="B2470" s="1">
        <v>45300</v>
      </c>
      <c r="C2470" t="s">
        <v>21</v>
      </c>
      <c r="D2470" t="s">
        <v>20</v>
      </c>
      <c r="E2470">
        <v>78</v>
      </c>
      <c r="F2470">
        <v>60</v>
      </c>
      <c r="G2470">
        <v>3.2</v>
      </c>
      <c r="H2470" t="s">
        <v>18</v>
      </c>
      <c r="I2470" t="s">
        <v>19</v>
      </c>
      <c r="J2470" t="s">
        <v>11</v>
      </c>
    </row>
    <row r="2471" spans="1:10" x14ac:dyDescent="0.25">
      <c r="A2471">
        <v>2470</v>
      </c>
      <c r="B2471" s="1">
        <v>45570</v>
      </c>
      <c r="C2471" t="s">
        <v>23</v>
      </c>
      <c r="D2471" t="s">
        <v>11</v>
      </c>
      <c r="E2471">
        <v>31</v>
      </c>
      <c r="F2471">
        <v>62</v>
      </c>
      <c r="G2471">
        <v>8.3000000000000007</v>
      </c>
      <c r="H2471" t="s">
        <v>12</v>
      </c>
      <c r="I2471" t="s">
        <v>16</v>
      </c>
      <c r="J2471" t="s">
        <v>11</v>
      </c>
    </row>
    <row r="2472" spans="1:10" x14ac:dyDescent="0.25">
      <c r="A2472">
        <v>2471</v>
      </c>
      <c r="B2472" s="1">
        <v>45409</v>
      </c>
      <c r="C2472" t="s">
        <v>10</v>
      </c>
      <c r="D2472" t="s">
        <v>15</v>
      </c>
      <c r="E2472">
        <v>107</v>
      </c>
      <c r="F2472">
        <v>53</v>
      </c>
      <c r="G2472">
        <v>8.3000000000000007</v>
      </c>
      <c r="H2472" t="s">
        <v>18</v>
      </c>
      <c r="I2472" t="s">
        <v>19</v>
      </c>
      <c r="J2472" t="s">
        <v>15</v>
      </c>
    </row>
    <row r="2473" spans="1:10" x14ac:dyDescent="0.25">
      <c r="A2473">
        <v>2472</v>
      </c>
      <c r="B2473" s="1">
        <v>45620</v>
      </c>
      <c r="C2473" t="s">
        <v>10</v>
      </c>
      <c r="D2473" t="s">
        <v>11</v>
      </c>
      <c r="E2473">
        <v>158</v>
      </c>
      <c r="F2473">
        <v>66</v>
      </c>
      <c r="G2473">
        <v>3.1</v>
      </c>
      <c r="H2473" t="s">
        <v>12</v>
      </c>
      <c r="I2473" t="s">
        <v>19</v>
      </c>
      <c r="J2473" t="s">
        <v>11</v>
      </c>
    </row>
    <row r="2474" spans="1:10" x14ac:dyDescent="0.25">
      <c r="A2474">
        <v>2473</v>
      </c>
      <c r="B2474" s="1">
        <v>45657</v>
      </c>
      <c r="C2474" t="s">
        <v>10</v>
      </c>
      <c r="D2474" t="s">
        <v>17</v>
      </c>
      <c r="E2474">
        <v>160</v>
      </c>
      <c r="F2474">
        <v>10</v>
      </c>
      <c r="G2474">
        <v>9.1</v>
      </c>
      <c r="H2474" t="s">
        <v>18</v>
      </c>
      <c r="I2474" t="s">
        <v>13</v>
      </c>
      <c r="J2474" t="s">
        <v>11</v>
      </c>
    </row>
    <row r="2475" spans="1:10" x14ac:dyDescent="0.25">
      <c r="A2475">
        <v>2474</v>
      </c>
      <c r="B2475" s="1">
        <v>45320</v>
      </c>
      <c r="C2475" t="s">
        <v>14</v>
      </c>
      <c r="D2475" t="s">
        <v>20</v>
      </c>
      <c r="E2475">
        <v>225</v>
      </c>
      <c r="F2475">
        <v>44</v>
      </c>
      <c r="G2475">
        <v>7.6</v>
      </c>
      <c r="H2475" t="s">
        <v>18</v>
      </c>
      <c r="I2475" t="s">
        <v>13</v>
      </c>
      <c r="J2475" t="s">
        <v>11</v>
      </c>
    </row>
    <row r="2476" spans="1:10" x14ac:dyDescent="0.25">
      <c r="A2476">
        <v>2475</v>
      </c>
      <c r="B2476" s="1">
        <v>45435</v>
      </c>
      <c r="C2476" t="s">
        <v>22</v>
      </c>
      <c r="D2476" t="s">
        <v>15</v>
      </c>
      <c r="E2476">
        <v>109</v>
      </c>
      <c r="F2476">
        <v>7</v>
      </c>
      <c r="G2476">
        <v>8.6</v>
      </c>
      <c r="H2476" t="s">
        <v>18</v>
      </c>
      <c r="I2476" t="s">
        <v>13</v>
      </c>
      <c r="J2476" t="s">
        <v>15</v>
      </c>
    </row>
    <row r="2477" spans="1:10" x14ac:dyDescent="0.25">
      <c r="A2477">
        <v>2476</v>
      </c>
      <c r="B2477" s="1">
        <v>45574</v>
      </c>
      <c r="C2477" t="s">
        <v>22</v>
      </c>
      <c r="D2477" t="s">
        <v>15</v>
      </c>
      <c r="E2477">
        <v>136</v>
      </c>
      <c r="F2477">
        <v>33</v>
      </c>
      <c r="G2477">
        <v>8.3000000000000007</v>
      </c>
      <c r="H2477" t="s">
        <v>12</v>
      </c>
      <c r="I2477" t="s">
        <v>16</v>
      </c>
      <c r="J2477" t="s">
        <v>11</v>
      </c>
    </row>
    <row r="2478" spans="1:10" x14ac:dyDescent="0.25">
      <c r="A2478">
        <v>2477</v>
      </c>
      <c r="B2478" s="1">
        <v>45575</v>
      </c>
      <c r="C2478" t="s">
        <v>10</v>
      </c>
      <c r="D2478" t="s">
        <v>17</v>
      </c>
      <c r="E2478">
        <v>208</v>
      </c>
      <c r="F2478">
        <v>52</v>
      </c>
      <c r="G2478">
        <v>6.1</v>
      </c>
      <c r="H2478" t="s">
        <v>12</v>
      </c>
      <c r="I2478" t="s">
        <v>16</v>
      </c>
      <c r="J2478" t="s">
        <v>11</v>
      </c>
    </row>
    <row r="2479" spans="1:10" x14ac:dyDescent="0.25">
      <c r="A2479">
        <v>2478</v>
      </c>
      <c r="B2479" s="1">
        <v>45544</v>
      </c>
      <c r="C2479" t="s">
        <v>10</v>
      </c>
      <c r="D2479" t="s">
        <v>17</v>
      </c>
      <c r="E2479">
        <v>44</v>
      </c>
      <c r="F2479">
        <v>11</v>
      </c>
      <c r="G2479">
        <v>7.9</v>
      </c>
      <c r="H2479" t="s">
        <v>18</v>
      </c>
      <c r="I2479" t="s">
        <v>16</v>
      </c>
      <c r="J2479" t="s">
        <v>11</v>
      </c>
    </row>
    <row r="2480" spans="1:10" x14ac:dyDescent="0.25">
      <c r="A2480">
        <v>2479</v>
      </c>
      <c r="B2480" s="1">
        <v>45570</v>
      </c>
      <c r="C2480" t="s">
        <v>23</v>
      </c>
      <c r="D2480" t="s">
        <v>11</v>
      </c>
      <c r="E2480">
        <v>112</v>
      </c>
      <c r="F2480">
        <v>19</v>
      </c>
      <c r="G2480">
        <v>8.6</v>
      </c>
      <c r="H2480" t="s">
        <v>12</v>
      </c>
      <c r="I2480" t="s">
        <v>13</v>
      </c>
      <c r="J2480" t="s">
        <v>11</v>
      </c>
    </row>
    <row r="2481" spans="1:10" x14ac:dyDescent="0.25">
      <c r="A2481">
        <v>2480</v>
      </c>
      <c r="B2481" s="1">
        <v>45470</v>
      </c>
      <c r="C2481" t="s">
        <v>10</v>
      </c>
      <c r="D2481" t="s">
        <v>11</v>
      </c>
      <c r="E2481">
        <v>181</v>
      </c>
      <c r="F2481">
        <v>36</v>
      </c>
      <c r="G2481">
        <v>2.8</v>
      </c>
      <c r="H2481" t="s">
        <v>12</v>
      </c>
      <c r="I2481" t="s">
        <v>13</v>
      </c>
      <c r="J2481" t="s">
        <v>11</v>
      </c>
    </row>
    <row r="2482" spans="1:10" x14ac:dyDescent="0.25">
      <c r="A2482">
        <v>2481</v>
      </c>
      <c r="B2482" s="1">
        <v>45647</v>
      </c>
      <c r="C2482" t="s">
        <v>14</v>
      </c>
      <c r="D2482" t="s">
        <v>11</v>
      </c>
      <c r="E2482">
        <v>160</v>
      </c>
      <c r="F2482">
        <v>45</v>
      </c>
      <c r="G2482">
        <v>4.7</v>
      </c>
      <c r="H2482" t="s">
        <v>18</v>
      </c>
      <c r="I2482" t="s">
        <v>16</v>
      </c>
      <c r="J2482" t="s">
        <v>11</v>
      </c>
    </row>
    <row r="2483" spans="1:10" x14ac:dyDescent="0.25">
      <c r="A2483">
        <v>2482</v>
      </c>
      <c r="B2483" s="1">
        <v>45316</v>
      </c>
      <c r="C2483" t="s">
        <v>22</v>
      </c>
      <c r="D2483" t="s">
        <v>11</v>
      </c>
      <c r="E2483">
        <v>162</v>
      </c>
      <c r="F2483">
        <v>14</v>
      </c>
      <c r="G2483">
        <v>0.5</v>
      </c>
      <c r="H2483" t="s">
        <v>18</v>
      </c>
      <c r="I2483" t="s">
        <v>16</v>
      </c>
      <c r="J2483" t="s">
        <v>11</v>
      </c>
    </row>
    <row r="2484" spans="1:10" x14ac:dyDescent="0.25">
      <c r="A2484">
        <v>2483</v>
      </c>
      <c r="B2484" s="1">
        <v>45587</v>
      </c>
      <c r="C2484" t="s">
        <v>21</v>
      </c>
      <c r="D2484" t="s">
        <v>17</v>
      </c>
      <c r="E2484">
        <v>99</v>
      </c>
      <c r="F2484">
        <v>18</v>
      </c>
      <c r="G2484">
        <v>1.5</v>
      </c>
      <c r="H2484" t="s">
        <v>12</v>
      </c>
      <c r="I2484" t="s">
        <v>19</v>
      </c>
      <c r="J2484" t="s">
        <v>11</v>
      </c>
    </row>
    <row r="2485" spans="1:10" x14ac:dyDescent="0.25">
      <c r="A2485">
        <v>2484</v>
      </c>
      <c r="B2485" s="1">
        <v>45564</v>
      </c>
      <c r="C2485" t="s">
        <v>21</v>
      </c>
      <c r="D2485" t="s">
        <v>20</v>
      </c>
      <c r="E2485">
        <v>196</v>
      </c>
      <c r="F2485">
        <v>70</v>
      </c>
      <c r="G2485">
        <v>3.1</v>
      </c>
      <c r="H2485" t="s">
        <v>18</v>
      </c>
      <c r="I2485" t="s">
        <v>19</v>
      </c>
      <c r="J2485" t="s">
        <v>11</v>
      </c>
    </row>
    <row r="2486" spans="1:10" x14ac:dyDescent="0.25">
      <c r="A2486">
        <v>2485</v>
      </c>
      <c r="B2486" s="1">
        <v>45638</v>
      </c>
      <c r="C2486" t="s">
        <v>23</v>
      </c>
      <c r="D2486" t="s">
        <v>17</v>
      </c>
      <c r="E2486">
        <v>49</v>
      </c>
      <c r="F2486">
        <v>59</v>
      </c>
      <c r="G2486">
        <v>9.1999999999999993</v>
      </c>
      <c r="H2486" t="s">
        <v>18</v>
      </c>
      <c r="I2486" t="s">
        <v>16</v>
      </c>
      <c r="J2486" t="s">
        <v>11</v>
      </c>
    </row>
    <row r="2487" spans="1:10" x14ac:dyDescent="0.25">
      <c r="A2487">
        <v>2486</v>
      </c>
      <c r="B2487" s="1">
        <v>45368</v>
      </c>
      <c r="C2487" t="s">
        <v>21</v>
      </c>
      <c r="D2487" t="s">
        <v>20</v>
      </c>
      <c r="E2487">
        <v>190</v>
      </c>
      <c r="F2487">
        <v>72</v>
      </c>
      <c r="G2487">
        <v>5.9</v>
      </c>
      <c r="H2487" t="s">
        <v>12</v>
      </c>
      <c r="I2487" t="s">
        <v>16</v>
      </c>
      <c r="J2487" t="s">
        <v>11</v>
      </c>
    </row>
    <row r="2488" spans="1:10" x14ac:dyDescent="0.25">
      <c r="A2488">
        <v>2487</v>
      </c>
      <c r="B2488" s="1">
        <v>45460</v>
      </c>
      <c r="C2488" t="s">
        <v>21</v>
      </c>
      <c r="D2488" t="s">
        <v>17</v>
      </c>
      <c r="E2488">
        <v>133</v>
      </c>
      <c r="F2488">
        <v>29</v>
      </c>
      <c r="G2488">
        <v>8.1999999999999993</v>
      </c>
      <c r="H2488" t="s">
        <v>12</v>
      </c>
      <c r="I2488" t="s">
        <v>13</v>
      </c>
      <c r="J2488" t="s">
        <v>11</v>
      </c>
    </row>
    <row r="2489" spans="1:10" x14ac:dyDescent="0.25">
      <c r="A2489">
        <v>2488</v>
      </c>
      <c r="B2489" s="1">
        <v>45481</v>
      </c>
      <c r="C2489" t="s">
        <v>21</v>
      </c>
      <c r="D2489" t="s">
        <v>17</v>
      </c>
      <c r="E2489">
        <v>123</v>
      </c>
      <c r="F2489">
        <v>56</v>
      </c>
      <c r="G2489">
        <v>8.5</v>
      </c>
      <c r="H2489" t="s">
        <v>12</v>
      </c>
      <c r="I2489" t="s">
        <v>13</v>
      </c>
      <c r="J2489" t="s">
        <v>11</v>
      </c>
    </row>
    <row r="2490" spans="1:10" x14ac:dyDescent="0.25">
      <c r="A2490">
        <v>2489</v>
      </c>
      <c r="B2490" s="1">
        <v>45352</v>
      </c>
      <c r="C2490" t="s">
        <v>21</v>
      </c>
      <c r="D2490" t="s">
        <v>17</v>
      </c>
      <c r="E2490">
        <v>142</v>
      </c>
      <c r="F2490">
        <v>17</v>
      </c>
      <c r="G2490">
        <v>2.4</v>
      </c>
      <c r="H2490" t="s">
        <v>18</v>
      </c>
      <c r="I2490" t="s">
        <v>19</v>
      </c>
      <c r="J2490" t="s">
        <v>11</v>
      </c>
    </row>
    <row r="2491" spans="1:10" x14ac:dyDescent="0.25">
      <c r="A2491">
        <v>2490</v>
      </c>
      <c r="B2491" s="1">
        <v>45419</v>
      </c>
      <c r="C2491" t="s">
        <v>22</v>
      </c>
      <c r="D2491" t="s">
        <v>15</v>
      </c>
      <c r="E2491">
        <v>95</v>
      </c>
      <c r="F2491">
        <v>38</v>
      </c>
      <c r="G2491">
        <v>4.8</v>
      </c>
      <c r="H2491" t="s">
        <v>12</v>
      </c>
      <c r="I2491" t="s">
        <v>19</v>
      </c>
      <c r="J2491" t="s">
        <v>11</v>
      </c>
    </row>
    <row r="2492" spans="1:10" x14ac:dyDescent="0.25">
      <c r="A2492">
        <v>2491</v>
      </c>
      <c r="B2492" s="1">
        <v>45391</v>
      </c>
      <c r="C2492" t="s">
        <v>22</v>
      </c>
      <c r="D2492" t="s">
        <v>20</v>
      </c>
      <c r="E2492">
        <v>46</v>
      </c>
      <c r="F2492">
        <v>8</v>
      </c>
      <c r="G2492">
        <v>4.9000000000000004</v>
      </c>
      <c r="H2492" t="s">
        <v>18</v>
      </c>
      <c r="I2492" t="s">
        <v>16</v>
      </c>
      <c r="J2492" t="s">
        <v>11</v>
      </c>
    </row>
    <row r="2493" spans="1:10" x14ac:dyDescent="0.25">
      <c r="A2493">
        <v>2492</v>
      </c>
      <c r="B2493" s="1">
        <v>45636</v>
      </c>
      <c r="C2493" t="s">
        <v>10</v>
      </c>
      <c r="D2493" t="s">
        <v>17</v>
      </c>
      <c r="E2493">
        <v>73</v>
      </c>
      <c r="F2493">
        <v>54</v>
      </c>
      <c r="G2493">
        <v>1.5</v>
      </c>
      <c r="H2493" t="s">
        <v>12</v>
      </c>
      <c r="I2493" t="s">
        <v>16</v>
      </c>
      <c r="J2493" t="s">
        <v>11</v>
      </c>
    </row>
    <row r="2494" spans="1:10" x14ac:dyDescent="0.25">
      <c r="A2494">
        <v>2493</v>
      </c>
      <c r="B2494" s="1">
        <v>45362</v>
      </c>
      <c r="C2494" t="s">
        <v>10</v>
      </c>
      <c r="D2494" t="s">
        <v>20</v>
      </c>
      <c r="E2494">
        <v>10</v>
      </c>
      <c r="F2494">
        <v>39</v>
      </c>
      <c r="G2494">
        <v>8.1999999999999993</v>
      </c>
      <c r="H2494" t="s">
        <v>12</v>
      </c>
      <c r="I2494" t="s">
        <v>16</v>
      </c>
      <c r="J2494" t="s">
        <v>15</v>
      </c>
    </row>
    <row r="2495" spans="1:10" x14ac:dyDescent="0.25">
      <c r="A2495">
        <v>2494</v>
      </c>
      <c r="B2495" s="1">
        <v>45387</v>
      </c>
      <c r="C2495" t="s">
        <v>10</v>
      </c>
      <c r="D2495" t="s">
        <v>20</v>
      </c>
      <c r="E2495">
        <v>63</v>
      </c>
      <c r="F2495">
        <v>35</v>
      </c>
      <c r="G2495">
        <v>7.4</v>
      </c>
      <c r="H2495" t="s">
        <v>18</v>
      </c>
      <c r="I2495" t="s">
        <v>16</v>
      </c>
      <c r="J2495" t="s">
        <v>11</v>
      </c>
    </row>
    <row r="2496" spans="1:10" x14ac:dyDescent="0.25">
      <c r="A2496">
        <v>2495</v>
      </c>
      <c r="B2496" s="1">
        <v>45363</v>
      </c>
      <c r="C2496" t="s">
        <v>14</v>
      </c>
      <c r="D2496" t="s">
        <v>15</v>
      </c>
      <c r="E2496">
        <v>198</v>
      </c>
      <c r="F2496">
        <v>39</v>
      </c>
      <c r="G2496">
        <v>1.2</v>
      </c>
      <c r="H2496" t="s">
        <v>12</v>
      </c>
      <c r="I2496" t="s">
        <v>19</v>
      </c>
      <c r="J2496" t="s">
        <v>11</v>
      </c>
    </row>
    <row r="2497" spans="1:10" x14ac:dyDescent="0.25">
      <c r="A2497">
        <v>2496</v>
      </c>
      <c r="B2497" s="1">
        <v>45390</v>
      </c>
      <c r="C2497" t="s">
        <v>10</v>
      </c>
      <c r="D2497" t="s">
        <v>15</v>
      </c>
      <c r="E2497">
        <v>234</v>
      </c>
      <c r="F2497">
        <v>36</v>
      </c>
      <c r="G2497">
        <v>1.4</v>
      </c>
      <c r="H2497" t="s">
        <v>12</v>
      </c>
      <c r="I2497" t="s">
        <v>16</v>
      </c>
      <c r="J2497" t="s">
        <v>11</v>
      </c>
    </row>
    <row r="2498" spans="1:10" x14ac:dyDescent="0.25">
      <c r="A2498">
        <v>2497</v>
      </c>
      <c r="B2498" s="1">
        <v>45593</v>
      </c>
      <c r="C2498" t="s">
        <v>22</v>
      </c>
      <c r="D2498" t="s">
        <v>17</v>
      </c>
      <c r="E2498">
        <v>157</v>
      </c>
      <c r="F2498">
        <v>29</v>
      </c>
      <c r="G2498">
        <v>8.4</v>
      </c>
      <c r="H2498" t="s">
        <v>18</v>
      </c>
      <c r="I2498" t="s">
        <v>13</v>
      </c>
      <c r="J2498" t="s">
        <v>11</v>
      </c>
    </row>
    <row r="2499" spans="1:10" x14ac:dyDescent="0.25">
      <c r="A2499">
        <v>2498</v>
      </c>
      <c r="B2499" s="1">
        <v>45351</v>
      </c>
      <c r="C2499" t="s">
        <v>23</v>
      </c>
      <c r="D2499" t="s">
        <v>17</v>
      </c>
      <c r="E2499">
        <v>89</v>
      </c>
      <c r="F2499">
        <v>11</v>
      </c>
      <c r="G2499">
        <v>7</v>
      </c>
      <c r="H2499" t="s">
        <v>12</v>
      </c>
      <c r="I2499" t="s">
        <v>16</v>
      </c>
      <c r="J2499" t="s">
        <v>11</v>
      </c>
    </row>
    <row r="2500" spans="1:10" x14ac:dyDescent="0.25">
      <c r="A2500">
        <v>2499</v>
      </c>
      <c r="B2500" s="1">
        <v>45531</v>
      </c>
      <c r="C2500" t="s">
        <v>14</v>
      </c>
      <c r="D2500" t="s">
        <v>11</v>
      </c>
      <c r="E2500">
        <v>96</v>
      </c>
      <c r="F2500">
        <v>64</v>
      </c>
      <c r="G2500">
        <v>4.4000000000000004</v>
      </c>
      <c r="H2500" t="s">
        <v>18</v>
      </c>
      <c r="I2500" t="s">
        <v>19</v>
      </c>
      <c r="J2500" t="s">
        <v>11</v>
      </c>
    </row>
    <row r="2501" spans="1:10" x14ac:dyDescent="0.25">
      <c r="A2501">
        <v>2500</v>
      </c>
      <c r="B2501" s="1">
        <v>45547</v>
      </c>
      <c r="C2501" t="s">
        <v>22</v>
      </c>
      <c r="D2501" t="s">
        <v>20</v>
      </c>
      <c r="E2501">
        <v>131</v>
      </c>
      <c r="F2501">
        <v>70</v>
      </c>
      <c r="G2501">
        <v>2.1</v>
      </c>
      <c r="H2501" t="s">
        <v>18</v>
      </c>
      <c r="I2501" t="s">
        <v>13</v>
      </c>
      <c r="J2501" t="s">
        <v>11</v>
      </c>
    </row>
    <row r="2502" spans="1:10" x14ac:dyDescent="0.25">
      <c r="A2502">
        <v>2501</v>
      </c>
      <c r="B2502" s="1">
        <v>45615</v>
      </c>
      <c r="C2502" t="s">
        <v>14</v>
      </c>
      <c r="D2502" t="s">
        <v>20</v>
      </c>
      <c r="E2502">
        <v>113</v>
      </c>
      <c r="F2502">
        <v>15</v>
      </c>
      <c r="G2502">
        <v>7.1</v>
      </c>
      <c r="H2502" t="s">
        <v>18</v>
      </c>
      <c r="I2502" t="s">
        <v>19</v>
      </c>
      <c r="J2502" t="s">
        <v>11</v>
      </c>
    </row>
    <row r="2503" spans="1:10" x14ac:dyDescent="0.25">
      <c r="A2503">
        <v>2502</v>
      </c>
      <c r="B2503" s="1">
        <v>45309</v>
      </c>
      <c r="C2503" t="s">
        <v>23</v>
      </c>
      <c r="D2503" t="s">
        <v>17</v>
      </c>
      <c r="E2503">
        <v>61</v>
      </c>
      <c r="F2503">
        <v>23</v>
      </c>
      <c r="G2503">
        <v>1.1000000000000001</v>
      </c>
      <c r="H2503" t="s">
        <v>12</v>
      </c>
      <c r="I2503" t="s">
        <v>13</v>
      </c>
      <c r="J2503" t="s">
        <v>11</v>
      </c>
    </row>
    <row r="2504" spans="1:10" x14ac:dyDescent="0.25">
      <c r="A2504">
        <v>2503</v>
      </c>
      <c r="B2504" s="1">
        <v>45504</v>
      </c>
      <c r="C2504" t="s">
        <v>14</v>
      </c>
      <c r="D2504" t="s">
        <v>17</v>
      </c>
      <c r="E2504">
        <v>17</v>
      </c>
      <c r="F2504">
        <v>19</v>
      </c>
      <c r="G2504">
        <v>4.2</v>
      </c>
      <c r="H2504" t="s">
        <v>12</v>
      </c>
      <c r="I2504" t="s">
        <v>13</v>
      </c>
      <c r="J2504" t="s">
        <v>11</v>
      </c>
    </row>
    <row r="2505" spans="1:10" x14ac:dyDescent="0.25">
      <c r="A2505">
        <v>2504</v>
      </c>
      <c r="B2505" s="1">
        <v>45605</v>
      </c>
      <c r="C2505" t="s">
        <v>14</v>
      </c>
      <c r="D2505" t="s">
        <v>20</v>
      </c>
      <c r="E2505">
        <v>189</v>
      </c>
      <c r="F2505">
        <v>63</v>
      </c>
      <c r="G2505">
        <v>2.5</v>
      </c>
      <c r="H2505" t="s">
        <v>12</v>
      </c>
      <c r="I2505" t="s">
        <v>13</v>
      </c>
      <c r="J2505" t="s">
        <v>11</v>
      </c>
    </row>
    <row r="2506" spans="1:10" x14ac:dyDescent="0.25">
      <c r="A2506">
        <v>2505</v>
      </c>
      <c r="B2506" s="1">
        <v>45445</v>
      </c>
      <c r="C2506" t="s">
        <v>23</v>
      </c>
      <c r="D2506" t="s">
        <v>17</v>
      </c>
      <c r="E2506">
        <v>56</v>
      </c>
      <c r="F2506">
        <v>55</v>
      </c>
      <c r="G2506">
        <v>3.9</v>
      </c>
      <c r="H2506" t="s">
        <v>18</v>
      </c>
      <c r="I2506" t="s">
        <v>19</v>
      </c>
      <c r="J2506" t="s">
        <v>11</v>
      </c>
    </row>
    <row r="2507" spans="1:10" x14ac:dyDescent="0.25">
      <c r="A2507">
        <v>2506</v>
      </c>
      <c r="B2507" s="1">
        <v>45620</v>
      </c>
      <c r="C2507" t="s">
        <v>21</v>
      </c>
      <c r="D2507" t="s">
        <v>17</v>
      </c>
      <c r="E2507">
        <v>174</v>
      </c>
      <c r="F2507">
        <v>67</v>
      </c>
      <c r="G2507">
        <v>1.5</v>
      </c>
      <c r="H2507" t="s">
        <v>12</v>
      </c>
      <c r="I2507" t="s">
        <v>16</v>
      </c>
      <c r="J2507" t="s">
        <v>11</v>
      </c>
    </row>
    <row r="2508" spans="1:10" x14ac:dyDescent="0.25">
      <c r="A2508">
        <v>2507</v>
      </c>
      <c r="B2508" s="1">
        <v>45297</v>
      </c>
      <c r="C2508" t="s">
        <v>22</v>
      </c>
      <c r="D2508" t="s">
        <v>15</v>
      </c>
      <c r="E2508">
        <v>239</v>
      </c>
      <c r="F2508">
        <v>11</v>
      </c>
      <c r="G2508">
        <v>9.6999999999999993</v>
      </c>
      <c r="H2508" t="s">
        <v>12</v>
      </c>
      <c r="I2508" t="s">
        <v>19</v>
      </c>
      <c r="J2508" t="s">
        <v>11</v>
      </c>
    </row>
    <row r="2509" spans="1:10" x14ac:dyDescent="0.25">
      <c r="A2509">
        <v>2508</v>
      </c>
      <c r="B2509" s="1">
        <v>45439</v>
      </c>
      <c r="C2509" t="s">
        <v>10</v>
      </c>
      <c r="D2509" t="s">
        <v>11</v>
      </c>
      <c r="E2509">
        <v>186</v>
      </c>
      <c r="F2509">
        <v>16</v>
      </c>
      <c r="G2509">
        <v>8.6999999999999993</v>
      </c>
      <c r="H2509" t="s">
        <v>12</v>
      </c>
      <c r="I2509" t="s">
        <v>16</v>
      </c>
      <c r="J2509" t="s">
        <v>11</v>
      </c>
    </row>
    <row r="2510" spans="1:10" x14ac:dyDescent="0.25">
      <c r="A2510">
        <v>2509</v>
      </c>
      <c r="B2510" s="1">
        <v>45621</v>
      </c>
      <c r="C2510" t="s">
        <v>22</v>
      </c>
      <c r="D2510" t="s">
        <v>17</v>
      </c>
      <c r="E2510">
        <v>102</v>
      </c>
      <c r="F2510">
        <v>46</v>
      </c>
      <c r="G2510">
        <v>3.4</v>
      </c>
      <c r="H2510" t="s">
        <v>18</v>
      </c>
      <c r="I2510" t="s">
        <v>13</v>
      </c>
      <c r="J2510" t="s">
        <v>11</v>
      </c>
    </row>
    <row r="2511" spans="1:10" x14ac:dyDescent="0.25">
      <c r="A2511">
        <v>2510</v>
      </c>
      <c r="B2511" s="1">
        <v>45370</v>
      </c>
      <c r="C2511" t="s">
        <v>23</v>
      </c>
      <c r="D2511" t="s">
        <v>11</v>
      </c>
      <c r="E2511">
        <v>191</v>
      </c>
      <c r="F2511">
        <v>23</v>
      </c>
      <c r="G2511">
        <v>6.2</v>
      </c>
      <c r="H2511" t="s">
        <v>12</v>
      </c>
      <c r="I2511" t="s">
        <v>16</v>
      </c>
      <c r="J2511" t="s">
        <v>11</v>
      </c>
    </row>
    <row r="2512" spans="1:10" x14ac:dyDescent="0.25">
      <c r="A2512">
        <v>2511</v>
      </c>
      <c r="B2512" s="1">
        <v>45411</v>
      </c>
      <c r="C2512" t="s">
        <v>14</v>
      </c>
      <c r="D2512" t="s">
        <v>11</v>
      </c>
      <c r="E2512">
        <v>37</v>
      </c>
      <c r="F2512">
        <v>30</v>
      </c>
      <c r="G2512">
        <v>6.2</v>
      </c>
      <c r="H2512" t="s">
        <v>12</v>
      </c>
      <c r="I2512" t="s">
        <v>19</v>
      </c>
      <c r="J2512" t="s">
        <v>11</v>
      </c>
    </row>
    <row r="2513" spans="1:10" x14ac:dyDescent="0.25">
      <c r="A2513">
        <v>2512</v>
      </c>
      <c r="B2513" s="1">
        <v>45301</v>
      </c>
      <c r="C2513" t="s">
        <v>14</v>
      </c>
      <c r="D2513" t="s">
        <v>17</v>
      </c>
      <c r="E2513">
        <v>168</v>
      </c>
      <c r="F2513">
        <v>2</v>
      </c>
      <c r="G2513">
        <v>2.5</v>
      </c>
      <c r="H2513" t="s">
        <v>18</v>
      </c>
      <c r="I2513" t="s">
        <v>19</v>
      </c>
      <c r="J2513" t="s">
        <v>15</v>
      </c>
    </row>
    <row r="2514" spans="1:10" x14ac:dyDescent="0.25">
      <c r="A2514">
        <v>2513</v>
      </c>
      <c r="B2514" s="1">
        <v>45518</v>
      </c>
      <c r="C2514" t="s">
        <v>14</v>
      </c>
      <c r="D2514" t="s">
        <v>11</v>
      </c>
      <c r="E2514">
        <v>127</v>
      </c>
      <c r="F2514">
        <v>46</v>
      </c>
      <c r="G2514">
        <v>6.7</v>
      </c>
      <c r="H2514" t="s">
        <v>12</v>
      </c>
      <c r="I2514" t="s">
        <v>19</v>
      </c>
      <c r="J2514" t="s">
        <v>11</v>
      </c>
    </row>
    <row r="2515" spans="1:10" x14ac:dyDescent="0.25">
      <c r="A2515">
        <v>2514</v>
      </c>
      <c r="B2515" s="1">
        <v>45340</v>
      </c>
      <c r="C2515" t="s">
        <v>22</v>
      </c>
      <c r="D2515" t="s">
        <v>15</v>
      </c>
      <c r="E2515">
        <v>54</v>
      </c>
      <c r="F2515">
        <v>68</v>
      </c>
      <c r="G2515">
        <v>5.6</v>
      </c>
      <c r="H2515" t="s">
        <v>12</v>
      </c>
      <c r="I2515" t="s">
        <v>13</v>
      </c>
      <c r="J2515" t="s">
        <v>11</v>
      </c>
    </row>
    <row r="2516" spans="1:10" x14ac:dyDescent="0.25">
      <c r="A2516">
        <v>2515</v>
      </c>
      <c r="B2516" s="1">
        <v>45531</v>
      </c>
      <c r="C2516" t="s">
        <v>10</v>
      </c>
      <c r="D2516" t="s">
        <v>20</v>
      </c>
      <c r="E2516">
        <v>26</v>
      </c>
      <c r="F2516">
        <v>67</v>
      </c>
      <c r="G2516">
        <v>9.6999999999999993</v>
      </c>
      <c r="H2516" t="s">
        <v>12</v>
      </c>
      <c r="I2516" t="s">
        <v>13</v>
      </c>
      <c r="J2516" t="s">
        <v>15</v>
      </c>
    </row>
    <row r="2517" spans="1:10" x14ac:dyDescent="0.25">
      <c r="A2517">
        <v>2516</v>
      </c>
      <c r="B2517" s="1">
        <v>45294</v>
      </c>
      <c r="C2517" t="s">
        <v>22</v>
      </c>
      <c r="D2517" t="s">
        <v>15</v>
      </c>
      <c r="E2517">
        <v>222</v>
      </c>
      <c r="F2517">
        <v>23</v>
      </c>
      <c r="G2517">
        <v>6.6</v>
      </c>
      <c r="H2517" t="s">
        <v>12</v>
      </c>
      <c r="I2517" t="s">
        <v>16</v>
      </c>
      <c r="J2517" t="s">
        <v>11</v>
      </c>
    </row>
    <row r="2518" spans="1:10" x14ac:dyDescent="0.25">
      <c r="A2518">
        <v>2517</v>
      </c>
      <c r="B2518" s="1">
        <v>45513</v>
      </c>
      <c r="C2518" t="s">
        <v>23</v>
      </c>
      <c r="D2518" t="s">
        <v>20</v>
      </c>
      <c r="E2518">
        <v>170</v>
      </c>
      <c r="F2518">
        <v>8</v>
      </c>
      <c r="G2518">
        <v>8.4</v>
      </c>
      <c r="H2518" t="s">
        <v>18</v>
      </c>
      <c r="I2518" t="s">
        <v>16</v>
      </c>
      <c r="J2518" t="s">
        <v>11</v>
      </c>
    </row>
    <row r="2519" spans="1:10" x14ac:dyDescent="0.25">
      <c r="A2519">
        <v>2518</v>
      </c>
      <c r="B2519" s="1">
        <v>45325</v>
      </c>
      <c r="C2519" t="s">
        <v>21</v>
      </c>
      <c r="D2519" t="s">
        <v>15</v>
      </c>
      <c r="E2519">
        <v>230</v>
      </c>
      <c r="F2519">
        <v>62</v>
      </c>
      <c r="G2519">
        <v>9</v>
      </c>
      <c r="H2519" t="s">
        <v>18</v>
      </c>
      <c r="I2519" t="s">
        <v>16</v>
      </c>
      <c r="J2519" t="s">
        <v>15</v>
      </c>
    </row>
    <row r="2520" spans="1:10" x14ac:dyDescent="0.25">
      <c r="A2520">
        <v>2519</v>
      </c>
      <c r="B2520" s="1">
        <v>45405</v>
      </c>
      <c r="C2520" t="s">
        <v>22</v>
      </c>
      <c r="D2520" t="s">
        <v>15</v>
      </c>
      <c r="E2520">
        <v>228</v>
      </c>
      <c r="F2520">
        <v>44</v>
      </c>
      <c r="G2520">
        <v>6.8</v>
      </c>
      <c r="H2520" t="s">
        <v>18</v>
      </c>
      <c r="I2520" t="s">
        <v>16</v>
      </c>
      <c r="J2520" t="s">
        <v>15</v>
      </c>
    </row>
    <row r="2521" spans="1:10" x14ac:dyDescent="0.25">
      <c r="A2521">
        <v>2520</v>
      </c>
      <c r="B2521" s="1">
        <v>45395</v>
      </c>
      <c r="C2521" t="s">
        <v>21</v>
      </c>
      <c r="D2521" t="s">
        <v>17</v>
      </c>
      <c r="E2521">
        <v>106</v>
      </c>
      <c r="F2521">
        <v>53</v>
      </c>
      <c r="G2521">
        <v>3.4</v>
      </c>
      <c r="H2521" t="s">
        <v>18</v>
      </c>
      <c r="I2521" t="s">
        <v>13</v>
      </c>
      <c r="J2521" t="s">
        <v>11</v>
      </c>
    </row>
    <row r="2522" spans="1:10" x14ac:dyDescent="0.25">
      <c r="A2522">
        <v>2521</v>
      </c>
      <c r="B2522" s="1">
        <v>45605</v>
      </c>
      <c r="C2522" t="s">
        <v>22</v>
      </c>
      <c r="D2522" t="s">
        <v>15</v>
      </c>
      <c r="E2522">
        <v>129</v>
      </c>
      <c r="F2522">
        <v>25</v>
      </c>
      <c r="G2522">
        <v>1.7</v>
      </c>
      <c r="H2522" t="s">
        <v>12</v>
      </c>
      <c r="I2522" t="s">
        <v>16</v>
      </c>
      <c r="J2522" t="s">
        <v>11</v>
      </c>
    </row>
    <row r="2523" spans="1:10" x14ac:dyDescent="0.25">
      <c r="A2523">
        <v>2522</v>
      </c>
      <c r="B2523" s="1">
        <v>45349</v>
      </c>
      <c r="C2523" t="s">
        <v>22</v>
      </c>
      <c r="D2523" t="s">
        <v>15</v>
      </c>
      <c r="E2523">
        <v>13</v>
      </c>
      <c r="F2523">
        <v>45</v>
      </c>
      <c r="G2523">
        <v>4.9000000000000004</v>
      </c>
      <c r="H2523" t="s">
        <v>12</v>
      </c>
      <c r="I2523" t="s">
        <v>19</v>
      </c>
      <c r="J2523" t="s">
        <v>15</v>
      </c>
    </row>
    <row r="2524" spans="1:10" x14ac:dyDescent="0.25">
      <c r="A2524">
        <v>2523</v>
      </c>
      <c r="B2524" s="1">
        <v>45403</v>
      </c>
      <c r="C2524" t="s">
        <v>14</v>
      </c>
      <c r="D2524" t="s">
        <v>20</v>
      </c>
      <c r="E2524">
        <v>186</v>
      </c>
      <c r="F2524">
        <v>3</v>
      </c>
      <c r="G2524">
        <v>1.7</v>
      </c>
      <c r="H2524" t="s">
        <v>18</v>
      </c>
      <c r="I2524" t="s">
        <v>13</v>
      </c>
      <c r="J2524" t="s">
        <v>15</v>
      </c>
    </row>
    <row r="2525" spans="1:10" x14ac:dyDescent="0.25">
      <c r="A2525">
        <v>2524</v>
      </c>
      <c r="B2525" s="1">
        <v>45548</v>
      </c>
      <c r="C2525" t="s">
        <v>14</v>
      </c>
      <c r="D2525" t="s">
        <v>20</v>
      </c>
      <c r="E2525">
        <v>179</v>
      </c>
      <c r="F2525">
        <v>25</v>
      </c>
      <c r="G2525">
        <v>7.2</v>
      </c>
      <c r="H2525" t="s">
        <v>18</v>
      </c>
      <c r="I2525" t="s">
        <v>13</v>
      </c>
      <c r="J2525" t="s">
        <v>11</v>
      </c>
    </row>
    <row r="2526" spans="1:10" x14ac:dyDescent="0.25">
      <c r="A2526">
        <v>2525</v>
      </c>
      <c r="B2526" s="1">
        <v>45364</v>
      </c>
      <c r="C2526" t="s">
        <v>21</v>
      </c>
      <c r="D2526" t="s">
        <v>11</v>
      </c>
      <c r="E2526">
        <v>196</v>
      </c>
      <c r="F2526">
        <v>63</v>
      </c>
      <c r="G2526">
        <v>3.6</v>
      </c>
      <c r="H2526" t="s">
        <v>12</v>
      </c>
      <c r="I2526" t="s">
        <v>19</v>
      </c>
      <c r="J2526" t="s">
        <v>11</v>
      </c>
    </row>
    <row r="2527" spans="1:10" x14ac:dyDescent="0.25">
      <c r="A2527">
        <v>2526</v>
      </c>
      <c r="B2527" s="1">
        <v>45372</v>
      </c>
      <c r="C2527" t="s">
        <v>22</v>
      </c>
      <c r="D2527" t="s">
        <v>17</v>
      </c>
      <c r="E2527">
        <v>161</v>
      </c>
      <c r="F2527">
        <v>31</v>
      </c>
      <c r="G2527">
        <v>1.4</v>
      </c>
      <c r="H2527" t="s">
        <v>18</v>
      </c>
      <c r="I2527" t="s">
        <v>19</v>
      </c>
      <c r="J2527" t="s">
        <v>11</v>
      </c>
    </row>
    <row r="2528" spans="1:10" x14ac:dyDescent="0.25">
      <c r="A2528">
        <v>2527</v>
      </c>
      <c r="B2528" s="1">
        <v>45474</v>
      </c>
      <c r="C2528" t="s">
        <v>23</v>
      </c>
      <c r="D2528" t="s">
        <v>11</v>
      </c>
      <c r="E2528">
        <v>112</v>
      </c>
      <c r="F2528">
        <v>36</v>
      </c>
      <c r="G2528">
        <v>3.4</v>
      </c>
      <c r="H2528" t="s">
        <v>12</v>
      </c>
      <c r="I2528" t="s">
        <v>16</v>
      </c>
      <c r="J2528" t="s">
        <v>11</v>
      </c>
    </row>
    <row r="2529" spans="1:10" x14ac:dyDescent="0.25">
      <c r="A2529">
        <v>2528</v>
      </c>
      <c r="B2529" s="1">
        <v>45487</v>
      </c>
      <c r="C2529" t="s">
        <v>23</v>
      </c>
      <c r="D2529" t="s">
        <v>17</v>
      </c>
      <c r="E2529">
        <v>48</v>
      </c>
      <c r="F2529">
        <v>9</v>
      </c>
      <c r="G2529">
        <v>6.6</v>
      </c>
      <c r="H2529" t="s">
        <v>18</v>
      </c>
      <c r="I2529" t="s">
        <v>16</v>
      </c>
      <c r="J2529" t="s">
        <v>11</v>
      </c>
    </row>
    <row r="2530" spans="1:10" x14ac:dyDescent="0.25">
      <c r="A2530">
        <v>2529</v>
      </c>
      <c r="B2530" s="1">
        <v>45615</v>
      </c>
      <c r="C2530" t="s">
        <v>14</v>
      </c>
      <c r="D2530" t="s">
        <v>17</v>
      </c>
      <c r="E2530">
        <v>166</v>
      </c>
      <c r="F2530">
        <v>43</v>
      </c>
      <c r="G2530">
        <v>0.8</v>
      </c>
      <c r="H2530" t="s">
        <v>18</v>
      </c>
      <c r="I2530" t="s">
        <v>19</v>
      </c>
      <c r="J2530" t="s">
        <v>11</v>
      </c>
    </row>
    <row r="2531" spans="1:10" x14ac:dyDescent="0.25">
      <c r="A2531">
        <v>2530</v>
      </c>
      <c r="B2531" s="1">
        <v>45332</v>
      </c>
      <c r="C2531" t="s">
        <v>22</v>
      </c>
      <c r="D2531" t="s">
        <v>17</v>
      </c>
      <c r="E2531">
        <v>162</v>
      </c>
      <c r="F2531">
        <v>33</v>
      </c>
      <c r="G2531">
        <v>5.2</v>
      </c>
      <c r="H2531" t="s">
        <v>12</v>
      </c>
      <c r="I2531" t="s">
        <v>13</v>
      </c>
      <c r="J2531" t="s">
        <v>11</v>
      </c>
    </row>
    <row r="2532" spans="1:10" x14ac:dyDescent="0.25">
      <c r="A2532">
        <v>2531</v>
      </c>
      <c r="B2532" s="1">
        <v>45353</v>
      </c>
      <c r="C2532" t="s">
        <v>21</v>
      </c>
      <c r="D2532" t="s">
        <v>17</v>
      </c>
      <c r="E2532">
        <v>77</v>
      </c>
      <c r="F2532">
        <v>33</v>
      </c>
      <c r="G2532">
        <v>5</v>
      </c>
      <c r="H2532" t="s">
        <v>12</v>
      </c>
      <c r="I2532" t="s">
        <v>16</v>
      </c>
      <c r="J2532" t="s">
        <v>11</v>
      </c>
    </row>
    <row r="2533" spans="1:10" x14ac:dyDescent="0.25">
      <c r="A2533">
        <v>2532</v>
      </c>
      <c r="B2533" s="1">
        <v>45414</v>
      </c>
      <c r="C2533" t="s">
        <v>23</v>
      </c>
      <c r="D2533" t="s">
        <v>15</v>
      </c>
      <c r="E2533">
        <v>160</v>
      </c>
      <c r="F2533">
        <v>69</v>
      </c>
      <c r="G2533">
        <v>4.5999999999999996</v>
      </c>
      <c r="H2533" t="s">
        <v>18</v>
      </c>
      <c r="I2533" t="s">
        <v>16</v>
      </c>
      <c r="J2533" t="s">
        <v>11</v>
      </c>
    </row>
    <row r="2534" spans="1:10" x14ac:dyDescent="0.25">
      <c r="A2534">
        <v>2533</v>
      </c>
      <c r="B2534" s="1">
        <v>45589</v>
      </c>
      <c r="C2534" t="s">
        <v>10</v>
      </c>
      <c r="D2534" t="s">
        <v>17</v>
      </c>
      <c r="E2534">
        <v>73</v>
      </c>
      <c r="F2534">
        <v>23</v>
      </c>
      <c r="G2534">
        <v>1.8</v>
      </c>
      <c r="H2534" t="s">
        <v>12</v>
      </c>
      <c r="I2534" t="s">
        <v>19</v>
      </c>
      <c r="J2534" t="s">
        <v>11</v>
      </c>
    </row>
    <row r="2535" spans="1:10" x14ac:dyDescent="0.25">
      <c r="A2535">
        <v>2534</v>
      </c>
      <c r="B2535" s="1">
        <v>45372</v>
      </c>
      <c r="C2535" t="s">
        <v>22</v>
      </c>
      <c r="D2535" t="s">
        <v>15</v>
      </c>
      <c r="E2535">
        <v>163</v>
      </c>
      <c r="F2535">
        <v>2</v>
      </c>
      <c r="G2535">
        <v>8.1999999999999993</v>
      </c>
      <c r="H2535" t="s">
        <v>18</v>
      </c>
      <c r="I2535" t="s">
        <v>19</v>
      </c>
      <c r="J2535" t="s">
        <v>20</v>
      </c>
    </row>
    <row r="2536" spans="1:10" x14ac:dyDescent="0.25">
      <c r="A2536">
        <v>2535</v>
      </c>
      <c r="B2536" s="1">
        <v>45581</v>
      </c>
      <c r="C2536" t="s">
        <v>23</v>
      </c>
      <c r="D2536" t="s">
        <v>17</v>
      </c>
      <c r="E2536">
        <v>45</v>
      </c>
      <c r="F2536">
        <v>50</v>
      </c>
      <c r="G2536">
        <v>6.8</v>
      </c>
      <c r="H2536" t="s">
        <v>12</v>
      </c>
      <c r="I2536" t="s">
        <v>19</v>
      </c>
      <c r="J2536" t="s">
        <v>11</v>
      </c>
    </row>
    <row r="2537" spans="1:10" x14ac:dyDescent="0.25">
      <c r="A2537">
        <v>2536</v>
      </c>
      <c r="B2537" s="1">
        <v>45533</v>
      </c>
      <c r="C2537" t="s">
        <v>21</v>
      </c>
      <c r="D2537" t="s">
        <v>11</v>
      </c>
      <c r="E2537">
        <v>218</v>
      </c>
      <c r="F2537">
        <v>32</v>
      </c>
      <c r="G2537">
        <v>5</v>
      </c>
      <c r="H2537" t="s">
        <v>12</v>
      </c>
      <c r="I2537" t="s">
        <v>19</v>
      </c>
      <c r="J2537" t="s">
        <v>11</v>
      </c>
    </row>
    <row r="2538" spans="1:10" x14ac:dyDescent="0.25">
      <c r="A2538">
        <v>2537</v>
      </c>
      <c r="B2538" s="1">
        <v>45295</v>
      </c>
      <c r="C2538" t="s">
        <v>10</v>
      </c>
      <c r="D2538" t="s">
        <v>20</v>
      </c>
      <c r="E2538">
        <v>31</v>
      </c>
      <c r="F2538">
        <v>16</v>
      </c>
      <c r="G2538">
        <v>1.2</v>
      </c>
      <c r="H2538" t="s">
        <v>18</v>
      </c>
      <c r="I2538" t="s">
        <v>13</v>
      </c>
      <c r="J2538" t="s">
        <v>11</v>
      </c>
    </row>
    <row r="2539" spans="1:10" x14ac:dyDescent="0.25">
      <c r="A2539">
        <v>2538</v>
      </c>
      <c r="B2539" s="1">
        <v>45328</v>
      </c>
      <c r="C2539" t="s">
        <v>22</v>
      </c>
      <c r="D2539" t="s">
        <v>17</v>
      </c>
      <c r="E2539">
        <v>43</v>
      </c>
      <c r="F2539">
        <v>21</v>
      </c>
      <c r="G2539">
        <v>8.1999999999999993</v>
      </c>
      <c r="H2539" t="s">
        <v>12</v>
      </c>
      <c r="I2539" t="s">
        <v>19</v>
      </c>
      <c r="J2539" t="s">
        <v>11</v>
      </c>
    </row>
    <row r="2540" spans="1:10" x14ac:dyDescent="0.25">
      <c r="A2540">
        <v>2539</v>
      </c>
      <c r="B2540" s="1">
        <v>45609</v>
      </c>
      <c r="C2540" t="s">
        <v>22</v>
      </c>
      <c r="D2540" t="s">
        <v>17</v>
      </c>
      <c r="E2540">
        <v>151</v>
      </c>
      <c r="F2540">
        <v>3</v>
      </c>
      <c r="G2540">
        <v>6.5</v>
      </c>
      <c r="H2540" t="s">
        <v>18</v>
      </c>
      <c r="I2540" t="s">
        <v>16</v>
      </c>
      <c r="J2540" t="s">
        <v>15</v>
      </c>
    </row>
    <row r="2541" spans="1:10" x14ac:dyDescent="0.25">
      <c r="A2541">
        <v>2540</v>
      </c>
      <c r="B2541" s="1">
        <v>45369</v>
      </c>
      <c r="C2541" t="s">
        <v>22</v>
      </c>
      <c r="D2541" t="s">
        <v>20</v>
      </c>
      <c r="E2541">
        <v>61</v>
      </c>
      <c r="F2541">
        <v>68</v>
      </c>
      <c r="G2541">
        <v>4.0999999999999996</v>
      </c>
      <c r="H2541" t="s">
        <v>18</v>
      </c>
      <c r="I2541" t="s">
        <v>19</v>
      </c>
      <c r="J2541" t="s">
        <v>11</v>
      </c>
    </row>
    <row r="2542" spans="1:10" x14ac:dyDescent="0.25">
      <c r="A2542">
        <v>2541</v>
      </c>
      <c r="B2542" s="1">
        <v>45657</v>
      </c>
      <c r="C2542" t="s">
        <v>14</v>
      </c>
      <c r="D2542" t="s">
        <v>20</v>
      </c>
      <c r="E2542">
        <v>228</v>
      </c>
      <c r="F2542">
        <v>67</v>
      </c>
      <c r="G2542">
        <v>7.9</v>
      </c>
      <c r="H2542" t="s">
        <v>18</v>
      </c>
      <c r="I2542" t="s">
        <v>16</v>
      </c>
      <c r="J2542" t="s">
        <v>11</v>
      </c>
    </row>
    <row r="2543" spans="1:10" x14ac:dyDescent="0.25">
      <c r="A2543">
        <v>2542</v>
      </c>
      <c r="B2543" s="1">
        <v>45631</v>
      </c>
      <c r="C2543" t="s">
        <v>23</v>
      </c>
      <c r="D2543" t="s">
        <v>17</v>
      </c>
      <c r="E2543">
        <v>85</v>
      </c>
      <c r="F2543">
        <v>56</v>
      </c>
      <c r="G2543">
        <v>8.9</v>
      </c>
      <c r="H2543" t="s">
        <v>12</v>
      </c>
      <c r="I2543" t="s">
        <v>19</v>
      </c>
      <c r="J2543" t="s">
        <v>11</v>
      </c>
    </row>
    <row r="2544" spans="1:10" x14ac:dyDescent="0.25">
      <c r="A2544">
        <v>2543</v>
      </c>
      <c r="B2544" s="1">
        <v>45631</v>
      </c>
      <c r="C2544" t="s">
        <v>23</v>
      </c>
      <c r="D2544" t="s">
        <v>17</v>
      </c>
      <c r="E2544">
        <v>122</v>
      </c>
      <c r="F2544">
        <v>49</v>
      </c>
      <c r="G2544">
        <v>9.5</v>
      </c>
      <c r="H2544" t="s">
        <v>12</v>
      </c>
      <c r="I2544" t="s">
        <v>13</v>
      </c>
      <c r="J2544" t="s">
        <v>11</v>
      </c>
    </row>
    <row r="2545" spans="1:10" x14ac:dyDescent="0.25">
      <c r="A2545">
        <v>2544</v>
      </c>
      <c r="B2545" s="1">
        <v>45488</v>
      </c>
      <c r="C2545" t="s">
        <v>10</v>
      </c>
      <c r="D2545" t="s">
        <v>17</v>
      </c>
      <c r="E2545">
        <v>50</v>
      </c>
      <c r="F2545">
        <v>72</v>
      </c>
      <c r="G2545">
        <v>2.2999999999999998</v>
      </c>
      <c r="H2545" t="s">
        <v>12</v>
      </c>
      <c r="I2545" t="s">
        <v>16</v>
      </c>
      <c r="J2545" t="s">
        <v>11</v>
      </c>
    </row>
    <row r="2546" spans="1:10" x14ac:dyDescent="0.25">
      <c r="A2546">
        <v>2545</v>
      </c>
      <c r="B2546" s="1">
        <v>45383</v>
      </c>
      <c r="C2546" t="s">
        <v>21</v>
      </c>
      <c r="D2546" t="s">
        <v>20</v>
      </c>
      <c r="E2546">
        <v>226</v>
      </c>
      <c r="F2546">
        <v>1</v>
      </c>
      <c r="G2546">
        <v>6.3</v>
      </c>
      <c r="H2546" t="s">
        <v>12</v>
      </c>
      <c r="I2546" t="s">
        <v>16</v>
      </c>
      <c r="J2546" t="s">
        <v>15</v>
      </c>
    </row>
    <row r="2547" spans="1:10" x14ac:dyDescent="0.25">
      <c r="A2547">
        <v>2546</v>
      </c>
      <c r="B2547" s="1">
        <v>45612</v>
      </c>
      <c r="C2547" t="s">
        <v>10</v>
      </c>
      <c r="D2547" t="s">
        <v>15</v>
      </c>
      <c r="E2547">
        <v>40</v>
      </c>
      <c r="F2547">
        <v>40</v>
      </c>
      <c r="G2547">
        <v>2.2999999999999998</v>
      </c>
      <c r="H2547" t="s">
        <v>18</v>
      </c>
      <c r="I2547" t="s">
        <v>19</v>
      </c>
      <c r="J2547" t="s">
        <v>11</v>
      </c>
    </row>
    <row r="2548" spans="1:10" x14ac:dyDescent="0.25">
      <c r="A2548">
        <v>2547</v>
      </c>
      <c r="B2548" s="1">
        <v>45581</v>
      </c>
      <c r="C2548" t="s">
        <v>21</v>
      </c>
      <c r="D2548" t="s">
        <v>11</v>
      </c>
      <c r="E2548">
        <v>163</v>
      </c>
      <c r="F2548">
        <v>10</v>
      </c>
      <c r="G2548">
        <v>1.5</v>
      </c>
      <c r="H2548" t="s">
        <v>12</v>
      </c>
      <c r="I2548" t="s">
        <v>16</v>
      </c>
      <c r="J2548" t="s">
        <v>11</v>
      </c>
    </row>
    <row r="2549" spans="1:10" x14ac:dyDescent="0.25">
      <c r="A2549">
        <v>2548</v>
      </c>
      <c r="B2549" s="1">
        <v>45629</v>
      </c>
      <c r="C2549" t="s">
        <v>21</v>
      </c>
      <c r="D2549" t="s">
        <v>20</v>
      </c>
      <c r="E2549">
        <v>18</v>
      </c>
      <c r="F2549">
        <v>56</v>
      </c>
      <c r="G2549">
        <v>5.4</v>
      </c>
      <c r="H2549" t="s">
        <v>12</v>
      </c>
      <c r="I2549" t="s">
        <v>19</v>
      </c>
      <c r="J2549" t="s">
        <v>15</v>
      </c>
    </row>
    <row r="2550" spans="1:10" x14ac:dyDescent="0.25">
      <c r="A2550">
        <v>2549</v>
      </c>
      <c r="B2550" s="1">
        <v>45431</v>
      </c>
      <c r="C2550" t="s">
        <v>22</v>
      </c>
      <c r="D2550" t="s">
        <v>20</v>
      </c>
      <c r="E2550">
        <v>163</v>
      </c>
      <c r="F2550">
        <v>49</v>
      </c>
      <c r="G2550">
        <v>8.5</v>
      </c>
      <c r="H2550" t="s">
        <v>18</v>
      </c>
      <c r="I2550" t="s">
        <v>16</v>
      </c>
      <c r="J2550" t="s">
        <v>11</v>
      </c>
    </row>
    <row r="2551" spans="1:10" x14ac:dyDescent="0.25">
      <c r="A2551">
        <v>2550</v>
      </c>
      <c r="B2551" s="1">
        <v>45569</v>
      </c>
      <c r="C2551" t="s">
        <v>23</v>
      </c>
      <c r="D2551" t="s">
        <v>17</v>
      </c>
      <c r="E2551">
        <v>12</v>
      </c>
      <c r="F2551">
        <v>48</v>
      </c>
      <c r="G2551">
        <v>4.0999999999999996</v>
      </c>
      <c r="H2551" t="s">
        <v>18</v>
      </c>
      <c r="I2551" t="s">
        <v>19</v>
      </c>
      <c r="J2551" t="s">
        <v>15</v>
      </c>
    </row>
    <row r="2552" spans="1:10" x14ac:dyDescent="0.25">
      <c r="A2552">
        <v>2551</v>
      </c>
      <c r="B2552" s="1">
        <v>45473</v>
      </c>
      <c r="C2552" t="s">
        <v>14</v>
      </c>
      <c r="D2552" t="s">
        <v>11</v>
      </c>
      <c r="E2552">
        <v>239</v>
      </c>
      <c r="F2552">
        <v>19</v>
      </c>
      <c r="G2552">
        <v>2.7</v>
      </c>
      <c r="H2552" t="s">
        <v>18</v>
      </c>
      <c r="I2552" t="s">
        <v>13</v>
      </c>
      <c r="J2552" t="s">
        <v>11</v>
      </c>
    </row>
    <row r="2553" spans="1:10" x14ac:dyDescent="0.25">
      <c r="A2553">
        <v>2552</v>
      </c>
      <c r="B2553" s="1">
        <v>45383</v>
      </c>
      <c r="C2553" t="s">
        <v>14</v>
      </c>
      <c r="D2553" t="s">
        <v>11</v>
      </c>
      <c r="E2553">
        <v>151</v>
      </c>
      <c r="F2553">
        <v>43</v>
      </c>
      <c r="G2553">
        <v>5.6</v>
      </c>
      <c r="H2553" t="s">
        <v>18</v>
      </c>
      <c r="I2553" t="s">
        <v>19</v>
      </c>
      <c r="J2553" t="s">
        <v>15</v>
      </c>
    </row>
    <row r="2554" spans="1:10" x14ac:dyDescent="0.25">
      <c r="A2554">
        <v>2553</v>
      </c>
      <c r="B2554" s="1">
        <v>45567</v>
      </c>
      <c r="C2554" t="s">
        <v>23</v>
      </c>
      <c r="D2554" t="s">
        <v>11</v>
      </c>
      <c r="E2554">
        <v>192</v>
      </c>
      <c r="F2554">
        <v>21</v>
      </c>
      <c r="G2554">
        <v>4.2</v>
      </c>
      <c r="H2554" t="s">
        <v>12</v>
      </c>
      <c r="I2554" t="s">
        <v>16</v>
      </c>
      <c r="J2554" t="s">
        <v>11</v>
      </c>
    </row>
    <row r="2555" spans="1:10" x14ac:dyDescent="0.25">
      <c r="A2555">
        <v>2554</v>
      </c>
      <c r="B2555" s="1">
        <v>45512</v>
      </c>
      <c r="C2555" t="s">
        <v>14</v>
      </c>
      <c r="D2555" t="s">
        <v>11</v>
      </c>
      <c r="E2555">
        <v>75</v>
      </c>
      <c r="F2555">
        <v>65</v>
      </c>
      <c r="G2555">
        <v>9.6</v>
      </c>
      <c r="H2555" t="s">
        <v>12</v>
      </c>
      <c r="I2555" t="s">
        <v>16</v>
      </c>
      <c r="J2555" t="s">
        <v>11</v>
      </c>
    </row>
    <row r="2556" spans="1:10" x14ac:dyDescent="0.25">
      <c r="A2556">
        <v>2555</v>
      </c>
      <c r="B2556" s="1">
        <v>45564</v>
      </c>
      <c r="C2556" t="s">
        <v>14</v>
      </c>
      <c r="D2556" t="s">
        <v>20</v>
      </c>
      <c r="E2556">
        <v>136</v>
      </c>
      <c r="F2556">
        <v>40</v>
      </c>
      <c r="G2556">
        <v>7.9</v>
      </c>
      <c r="H2556" t="s">
        <v>12</v>
      </c>
      <c r="I2556" t="s">
        <v>16</v>
      </c>
      <c r="J2556" t="s">
        <v>11</v>
      </c>
    </row>
    <row r="2557" spans="1:10" x14ac:dyDescent="0.25">
      <c r="A2557">
        <v>2556</v>
      </c>
      <c r="B2557" s="1">
        <v>45310</v>
      </c>
      <c r="C2557" t="s">
        <v>14</v>
      </c>
      <c r="D2557" t="s">
        <v>17</v>
      </c>
      <c r="E2557">
        <v>195</v>
      </c>
      <c r="F2557">
        <v>38</v>
      </c>
      <c r="G2557">
        <v>8</v>
      </c>
      <c r="H2557" t="s">
        <v>18</v>
      </c>
      <c r="I2557" t="s">
        <v>19</v>
      </c>
      <c r="J2557" t="s">
        <v>11</v>
      </c>
    </row>
    <row r="2558" spans="1:10" x14ac:dyDescent="0.25">
      <c r="A2558">
        <v>2557</v>
      </c>
      <c r="B2558" s="1">
        <v>45368</v>
      </c>
      <c r="C2558" t="s">
        <v>23</v>
      </c>
      <c r="D2558" t="s">
        <v>17</v>
      </c>
      <c r="E2558">
        <v>75</v>
      </c>
      <c r="F2558">
        <v>23</v>
      </c>
      <c r="G2558">
        <v>0.7</v>
      </c>
      <c r="H2558" t="s">
        <v>18</v>
      </c>
      <c r="I2558" t="s">
        <v>19</v>
      </c>
      <c r="J2558" t="s">
        <v>11</v>
      </c>
    </row>
    <row r="2559" spans="1:10" x14ac:dyDescent="0.25">
      <c r="A2559">
        <v>2558</v>
      </c>
      <c r="B2559" s="1">
        <v>45523</v>
      </c>
      <c r="C2559" t="s">
        <v>22</v>
      </c>
      <c r="D2559" t="s">
        <v>17</v>
      </c>
      <c r="E2559">
        <v>150</v>
      </c>
      <c r="F2559">
        <v>58</v>
      </c>
      <c r="G2559">
        <v>3.5</v>
      </c>
      <c r="H2559" t="s">
        <v>18</v>
      </c>
      <c r="I2559" t="s">
        <v>19</v>
      </c>
      <c r="J2559" t="s">
        <v>11</v>
      </c>
    </row>
    <row r="2560" spans="1:10" x14ac:dyDescent="0.25">
      <c r="A2560">
        <v>2559</v>
      </c>
      <c r="B2560" s="1">
        <v>45592</v>
      </c>
      <c r="C2560" t="s">
        <v>21</v>
      </c>
      <c r="D2560" t="s">
        <v>17</v>
      </c>
      <c r="E2560">
        <v>238</v>
      </c>
      <c r="F2560">
        <v>35</v>
      </c>
      <c r="G2560">
        <v>3.1</v>
      </c>
      <c r="H2560" t="s">
        <v>18</v>
      </c>
      <c r="I2560" t="s">
        <v>16</v>
      </c>
      <c r="J2560" t="s">
        <v>11</v>
      </c>
    </row>
    <row r="2561" spans="1:10" x14ac:dyDescent="0.25">
      <c r="A2561">
        <v>2560</v>
      </c>
      <c r="B2561" s="1">
        <v>45615</v>
      </c>
      <c r="C2561" t="s">
        <v>21</v>
      </c>
      <c r="D2561" t="s">
        <v>15</v>
      </c>
      <c r="E2561">
        <v>100</v>
      </c>
      <c r="F2561">
        <v>71</v>
      </c>
      <c r="G2561">
        <v>2.1</v>
      </c>
      <c r="H2561" t="s">
        <v>12</v>
      </c>
      <c r="I2561" t="s">
        <v>13</v>
      </c>
      <c r="J2561" t="s">
        <v>11</v>
      </c>
    </row>
    <row r="2562" spans="1:10" x14ac:dyDescent="0.25">
      <c r="A2562">
        <v>2561</v>
      </c>
      <c r="B2562" s="1">
        <v>45645</v>
      </c>
      <c r="C2562" t="s">
        <v>21</v>
      </c>
      <c r="D2562" t="s">
        <v>15</v>
      </c>
      <c r="E2562">
        <v>126</v>
      </c>
      <c r="F2562">
        <v>28</v>
      </c>
      <c r="G2562">
        <v>1.4</v>
      </c>
      <c r="H2562" t="s">
        <v>18</v>
      </c>
      <c r="I2562" t="s">
        <v>19</v>
      </c>
      <c r="J2562" t="s">
        <v>11</v>
      </c>
    </row>
    <row r="2563" spans="1:10" x14ac:dyDescent="0.25">
      <c r="A2563">
        <v>2562</v>
      </c>
      <c r="B2563" s="1">
        <v>45417</v>
      </c>
      <c r="C2563" t="s">
        <v>21</v>
      </c>
      <c r="D2563" t="s">
        <v>15</v>
      </c>
      <c r="E2563">
        <v>147</v>
      </c>
      <c r="F2563">
        <v>65</v>
      </c>
      <c r="G2563">
        <v>9.5</v>
      </c>
      <c r="H2563" t="s">
        <v>18</v>
      </c>
      <c r="I2563" t="s">
        <v>13</v>
      </c>
      <c r="J2563" t="s">
        <v>15</v>
      </c>
    </row>
    <row r="2564" spans="1:10" x14ac:dyDescent="0.25">
      <c r="A2564">
        <v>2563</v>
      </c>
      <c r="B2564" s="1">
        <v>45612</v>
      </c>
      <c r="C2564" t="s">
        <v>14</v>
      </c>
      <c r="D2564" t="s">
        <v>11</v>
      </c>
      <c r="E2564">
        <v>6</v>
      </c>
      <c r="F2564">
        <v>54</v>
      </c>
      <c r="G2564">
        <v>5.3</v>
      </c>
      <c r="H2564" t="s">
        <v>12</v>
      </c>
      <c r="I2564" t="s">
        <v>13</v>
      </c>
      <c r="J2564" t="s">
        <v>15</v>
      </c>
    </row>
    <row r="2565" spans="1:10" x14ac:dyDescent="0.25">
      <c r="A2565">
        <v>2564</v>
      </c>
      <c r="B2565" s="1">
        <v>45622</v>
      </c>
      <c r="C2565" t="s">
        <v>21</v>
      </c>
      <c r="D2565" t="s">
        <v>20</v>
      </c>
      <c r="E2565">
        <v>193</v>
      </c>
      <c r="F2565">
        <v>22</v>
      </c>
      <c r="G2565">
        <v>7.8</v>
      </c>
      <c r="H2565" t="s">
        <v>12</v>
      </c>
      <c r="I2565" t="s">
        <v>16</v>
      </c>
      <c r="J2565" t="s">
        <v>11</v>
      </c>
    </row>
    <row r="2566" spans="1:10" x14ac:dyDescent="0.25">
      <c r="A2566">
        <v>2565</v>
      </c>
      <c r="B2566" s="1">
        <v>45435</v>
      </c>
      <c r="C2566" t="s">
        <v>14</v>
      </c>
      <c r="D2566" t="s">
        <v>11</v>
      </c>
      <c r="E2566">
        <v>102</v>
      </c>
      <c r="F2566">
        <v>63</v>
      </c>
      <c r="G2566">
        <v>2.9</v>
      </c>
      <c r="H2566" t="s">
        <v>12</v>
      </c>
      <c r="I2566" t="s">
        <v>19</v>
      </c>
      <c r="J2566" t="s">
        <v>11</v>
      </c>
    </row>
    <row r="2567" spans="1:10" x14ac:dyDescent="0.25">
      <c r="A2567">
        <v>2566</v>
      </c>
      <c r="B2567" s="1">
        <v>45501</v>
      </c>
      <c r="C2567" t="s">
        <v>23</v>
      </c>
      <c r="D2567" t="s">
        <v>20</v>
      </c>
      <c r="E2567">
        <v>130</v>
      </c>
      <c r="F2567">
        <v>29</v>
      </c>
      <c r="G2567">
        <v>3.6</v>
      </c>
      <c r="H2567" t="s">
        <v>18</v>
      </c>
      <c r="I2567" t="s">
        <v>13</v>
      </c>
      <c r="J2567" t="s">
        <v>11</v>
      </c>
    </row>
    <row r="2568" spans="1:10" x14ac:dyDescent="0.25">
      <c r="A2568">
        <v>2567</v>
      </c>
      <c r="B2568" s="1">
        <v>45372</v>
      </c>
      <c r="C2568" t="s">
        <v>14</v>
      </c>
      <c r="D2568" t="s">
        <v>15</v>
      </c>
      <c r="E2568">
        <v>140</v>
      </c>
      <c r="F2568">
        <v>24</v>
      </c>
      <c r="G2568">
        <v>2.1</v>
      </c>
      <c r="H2568" t="s">
        <v>18</v>
      </c>
      <c r="I2568" t="s">
        <v>19</v>
      </c>
      <c r="J2568" t="s">
        <v>11</v>
      </c>
    </row>
    <row r="2569" spans="1:10" x14ac:dyDescent="0.25">
      <c r="A2569">
        <v>2568</v>
      </c>
      <c r="B2569" s="1">
        <v>45492</v>
      </c>
      <c r="C2569" t="s">
        <v>23</v>
      </c>
      <c r="D2569" t="s">
        <v>11</v>
      </c>
      <c r="E2569">
        <v>65</v>
      </c>
      <c r="F2569">
        <v>12</v>
      </c>
      <c r="G2569">
        <v>4.5999999999999996</v>
      </c>
      <c r="H2569" t="s">
        <v>18</v>
      </c>
      <c r="I2569" t="s">
        <v>16</v>
      </c>
      <c r="J2569" t="s">
        <v>11</v>
      </c>
    </row>
    <row r="2570" spans="1:10" x14ac:dyDescent="0.25">
      <c r="A2570">
        <v>2569</v>
      </c>
      <c r="B2570" s="1">
        <v>45572</v>
      </c>
      <c r="C2570" t="s">
        <v>21</v>
      </c>
      <c r="D2570" t="s">
        <v>11</v>
      </c>
      <c r="E2570">
        <v>50</v>
      </c>
      <c r="F2570">
        <v>52</v>
      </c>
      <c r="G2570">
        <v>4</v>
      </c>
      <c r="H2570" t="s">
        <v>18</v>
      </c>
      <c r="I2570" t="s">
        <v>16</v>
      </c>
      <c r="J2570" t="s">
        <v>11</v>
      </c>
    </row>
    <row r="2571" spans="1:10" x14ac:dyDescent="0.25">
      <c r="A2571">
        <v>2570</v>
      </c>
      <c r="B2571" s="1">
        <v>45435</v>
      </c>
      <c r="C2571" t="s">
        <v>21</v>
      </c>
      <c r="D2571" t="s">
        <v>15</v>
      </c>
      <c r="E2571">
        <v>118</v>
      </c>
      <c r="F2571">
        <v>12</v>
      </c>
      <c r="G2571">
        <v>8.6</v>
      </c>
      <c r="H2571" t="s">
        <v>18</v>
      </c>
      <c r="I2571" t="s">
        <v>16</v>
      </c>
      <c r="J2571" t="s">
        <v>15</v>
      </c>
    </row>
    <row r="2572" spans="1:10" x14ac:dyDescent="0.25">
      <c r="A2572">
        <v>2571</v>
      </c>
      <c r="B2572" s="1">
        <v>45319</v>
      </c>
      <c r="C2572" t="s">
        <v>10</v>
      </c>
      <c r="D2572" t="s">
        <v>17</v>
      </c>
      <c r="E2572">
        <v>19</v>
      </c>
      <c r="F2572">
        <v>70</v>
      </c>
      <c r="G2572">
        <v>5</v>
      </c>
      <c r="H2572" t="s">
        <v>12</v>
      </c>
      <c r="I2572" t="s">
        <v>19</v>
      </c>
      <c r="J2572" t="s">
        <v>15</v>
      </c>
    </row>
    <row r="2573" spans="1:10" x14ac:dyDescent="0.25">
      <c r="A2573">
        <v>2572</v>
      </c>
      <c r="B2573" s="1">
        <v>45582</v>
      </c>
      <c r="C2573" t="s">
        <v>10</v>
      </c>
      <c r="D2573" t="s">
        <v>20</v>
      </c>
      <c r="E2573">
        <v>10</v>
      </c>
      <c r="F2573">
        <v>72</v>
      </c>
      <c r="G2573">
        <v>3</v>
      </c>
      <c r="H2573" t="s">
        <v>18</v>
      </c>
      <c r="I2573" t="s">
        <v>16</v>
      </c>
      <c r="J2573" t="s">
        <v>15</v>
      </c>
    </row>
    <row r="2574" spans="1:10" x14ac:dyDescent="0.25">
      <c r="A2574">
        <v>2573</v>
      </c>
      <c r="B2574" s="1">
        <v>45330</v>
      </c>
      <c r="C2574" t="s">
        <v>10</v>
      </c>
      <c r="D2574" t="s">
        <v>17</v>
      </c>
      <c r="E2574">
        <v>50</v>
      </c>
      <c r="F2574">
        <v>50</v>
      </c>
      <c r="G2574">
        <v>6.4</v>
      </c>
      <c r="H2574" t="s">
        <v>12</v>
      </c>
      <c r="I2574" t="s">
        <v>19</v>
      </c>
      <c r="J2574" t="s">
        <v>11</v>
      </c>
    </row>
    <row r="2575" spans="1:10" x14ac:dyDescent="0.25">
      <c r="A2575">
        <v>2574</v>
      </c>
      <c r="B2575" s="1">
        <v>45331</v>
      </c>
      <c r="C2575" t="s">
        <v>14</v>
      </c>
      <c r="D2575" t="s">
        <v>15</v>
      </c>
      <c r="E2575">
        <v>78</v>
      </c>
      <c r="F2575">
        <v>17</v>
      </c>
      <c r="G2575">
        <v>2.1</v>
      </c>
      <c r="H2575" t="s">
        <v>18</v>
      </c>
      <c r="I2575" t="s">
        <v>13</v>
      </c>
      <c r="J2575" t="s">
        <v>11</v>
      </c>
    </row>
    <row r="2576" spans="1:10" x14ac:dyDescent="0.25">
      <c r="A2576">
        <v>2575</v>
      </c>
      <c r="B2576" s="1">
        <v>45396</v>
      </c>
      <c r="C2576" t="s">
        <v>21</v>
      </c>
      <c r="D2576" t="s">
        <v>15</v>
      </c>
      <c r="E2576">
        <v>149</v>
      </c>
      <c r="F2576">
        <v>17</v>
      </c>
      <c r="G2576">
        <v>6.6</v>
      </c>
      <c r="H2576" t="s">
        <v>12</v>
      </c>
      <c r="I2576" t="s">
        <v>19</v>
      </c>
      <c r="J2576" t="s">
        <v>11</v>
      </c>
    </row>
    <row r="2577" spans="1:10" x14ac:dyDescent="0.25">
      <c r="A2577">
        <v>2576</v>
      </c>
      <c r="B2577" s="1">
        <v>45517</v>
      </c>
      <c r="C2577" t="s">
        <v>23</v>
      </c>
      <c r="D2577" t="s">
        <v>20</v>
      </c>
      <c r="E2577">
        <v>72</v>
      </c>
      <c r="F2577">
        <v>4</v>
      </c>
      <c r="G2577">
        <v>4.8</v>
      </c>
      <c r="H2577" t="s">
        <v>18</v>
      </c>
      <c r="I2577" t="s">
        <v>13</v>
      </c>
      <c r="J2577" t="s">
        <v>15</v>
      </c>
    </row>
    <row r="2578" spans="1:10" x14ac:dyDescent="0.25">
      <c r="A2578">
        <v>2577</v>
      </c>
      <c r="B2578" s="1">
        <v>45329</v>
      </c>
      <c r="C2578" t="s">
        <v>10</v>
      </c>
      <c r="D2578" t="s">
        <v>20</v>
      </c>
      <c r="E2578">
        <v>26</v>
      </c>
      <c r="F2578">
        <v>20</v>
      </c>
      <c r="G2578">
        <v>6.3</v>
      </c>
      <c r="H2578" t="s">
        <v>12</v>
      </c>
      <c r="I2578" t="s">
        <v>19</v>
      </c>
      <c r="J2578" t="s">
        <v>15</v>
      </c>
    </row>
    <row r="2579" spans="1:10" x14ac:dyDescent="0.25">
      <c r="A2579">
        <v>2578</v>
      </c>
      <c r="B2579" s="1">
        <v>45406</v>
      </c>
      <c r="C2579" t="s">
        <v>14</v>
      </c>
      <c r="D2579" t="s">
        <v>20</v>
      </c>
      <c r="E2579">
        <v>209</v>
      </c>
      <c r="F2579">
        <v>61</v>
      </c>
      <c r="G2579">
        <v>8.3000000000000007</v>
      </c>
      <c r="H2579" t="s">
        <v>18</v>
      </c>
      <c r="I2579" t="s">
        <v>13</v>
      </c>
      <c r="J2579" t="s">
        <v>11</v>
      </c>
    </row>
    <row r="2580" spans="1:10" x14ac:dyDescent="0.25">
      <c r="A2580">
        <v>2579</v>
      </c>
      <c r="B2580" s="1">
        <v>45600</v>
      </c>
      <c r="C2580" t="s">
        <v>10</v>
      </c>
      <c r="D2580" t="s">
        <v>11</v>
      </c>
      <c r="E2580">
        <v>198</v>
      </c>
      <c r="F2580">
        <v>26</v>
      </c>
      <c r="G2580">
        <v>6.5</v>
      </c>
      <c r="H2580" t="s">
        <v>12</v>
      </c>
      <c r="I2580" t="s">
        <v>13</v>
      </c>
      <c r="J2580" t="s">
        <v>11</v>
      </c>
    </row>
    <row r="2581" spans="1:10" x14ac:dyDescent="0.25">
      <c r="A2581">
        <v>2580</v>
      </c>
      <c r="B2581" s="1">
        <v>45479</v>
      </c>
      <c r="C2581" t="s">
        <v>22</v>
      </c>
      <c r="D2581" t="s">
        <v>11</v>
      </c>
      <c r="E2581">
        <v>119</v>
      </c>
      <c r="F2581">
        <v>20</v>
      </c>
      <c r="G2581">
        <v>9.5</v>
      </c>
      <c r="H2581" t="s">
        <v>18</v>
      </c>
      <c r="I2581" t="s">
        <v>16</v>
      </c>
      <c r="J2581" t="s">
        <v>15</v>
      </c>
    </row>
    <row r="2582" spans="1:10" x14ac:dyDescent="0.25">
      <c r="A2582">
        <v>2581</v>
      </c>
      <c r="B2582" s="1">
        <v>45354</v>
      </c>
      <c r="C2582" t="s">
        <v>21</v>
      </c>
      <c r="D2582" t="s">
        <v>11</v>
      </c>
      <c r="E2582">
        <v>22</v>
      </c>
      <c r="F2582">
        <v>16</v>
      </c>
      <c r="G2582">
        <v>9.8000000000000007</v>
      </c>
      <c r="H2582" t="s">
        <v>12</v>
      </c>
      <c r="I2582" t="s">
        <v>19</v>
      </c>
      <c r="J2582" t="s">
        <v>15</v>
      </c>
    </row>
    <row r="2583" spans="1:10" x14ac:dyDescent="0.25">
      <c r="A2583">
        <v>2582</v>
      </c>
      <c r="B2583" s="1">
        <v>45447</v>
      </c>
      <c r="C2583" t="s">
        <v>22</v>
      </c>
      <c r="D2583" t="s">
        <v>20</v>
      </c>
      <c r="E2583">
        <v>12</v>
      </c>
      <c r="F2583">
        <v>68</v>
      </c>
      <c r="G2583">
        <v>10</v>
      </c>
      <c r="H2583" t="s">
        <v>18</v>
      </c>
      <c r="I2583" t="s">
        <v>19</v>
      </c>
      <c r="J2583" t="s">
        <v>15</v>
      </c>
    </row>
    <row r="2584" spans="1:10" x14ac:dyDescent="0.25">
      <c r="A2584">
        <v>2583</v>
      </c>
      <c r="B2584" s="1">
        <v>45568</v>
      </c>
      <c r="C2584" t="s">
        <v>23</v>
      </c>
      <c r="D2584" t="s">
        <v>11</v>
      </c>
      <c r="E2584">
        <v>190</v>
      </c>
      <c r="F2584">
        <v>31</v>
      </c>
      <c r="G2584">
        <v>3.3</v>
      </c>
      <c r="H2584" t="s">
        <v>18</v>
      </c>
      <c r="I2584" t="s">
        <v>16</v>
      </c>
      <c r="J2584" t="s">
        <v>11</v>
      </c>
    </row>
    <row r="2585" spans="1:10" x14ac:dyDescent="0.25">
      <c r="A2585">
        <v>2584</v>
      </c>
      <c r="B2585" s="1">
        <v>45456</v>
      </c>
      <c r="C2585" t="s">
        <v>23</v>
      </c>
      <c r="D2585" t="s">
        <v>17</v>
      </c>
      <c r="E2585">
        <v>208</v>
      </c>
      <c r="F2585">
        <v>48</v>
      </c>
      <c r="G2585">
        <v>5.5</v>
      </c>
      <c r="H2585" t="s">
        <v>18</v>
      </c>
      <c r="I2585" t="s">
        <v>19</v>
      </c>
      <c r="J2585" t="s">
        <v>11</v>
      </c>
    </row>
    <row r="2586" spans="1:10" x14ac:dyDescent="0.25">
      <c r="A2586">
        <v>2585</v>
      </c>
      <c r="B2586" s="1">
        <v>45591</v>
      </c>
      <c r="C2586" t="s">
        <v>23</v>
      </c>
      <c r="D2586" t="s">
        <v>20</v>
      </c>
      <c r="E2586">
        <v>91</v>
      </c>
      <c r="F2586">
        <v>58</v>
      </c>
      <c r="G2586">
        <v>9.1999999999999993</v>
      </c>
      <c r="H2586" t="s">
        <v>12</v>
      </c>
      <c r="I2586" t="s">
        <v>16</v>
      </c>
      <c r="J2586" t="s">
        <v>11</v>
      </c>
    </row>
    <row r="2587" spans="1:10" x14ac:dyDescent="0.25">
      <c r="A2587">
        <v>2586</v>
      </c>
      <c r="B2587" s="1">
        <v>45361</v>
      </c>
      <c r="C2587" t="s">
        <v>14</v>
      </c>
      <c r="D2587" t="s">
        <v>15</v>
      </c>
      <c r="E2587">
        <v>140</v>
      </c>
      <c r="F2587">
        <v>12</v>
      </c>
      <c r="G2587">
        <v>1.3</v>
      </c>
      <c r="H2587" t="s">
        <v>12</v>
      </c>
      <c r="I2587" t="s">
        <v>13</v>
      </c>
      <c r="J2587" t="s">
        <v>11</v>
      </c>
    </row>
    <row r="2588" spans="1:10" x14ac:dyDescent="0.25">
      <c r="A2588">
        <v>2587</v>
      </c>
      <c r="B2588" s="1">
        <v>45468</v>
      </c>
      <c r="C2588" t="s">
        <v>10</v>
      </c>
      <c r="D2588" t="s">
        <v>20</v>
      </c>
      <c r="E2588">
        <v>140</v>
      </c>
      <c r="F2588">
        <v>56</v>
      </c>
      <c r="G2588">
        <v>2.2999999999999998</v>
      </c>
      <c r="H2588" t="s">
        <v>12</v>
      </c>
      <c r="I2588" t="s">
        <v>13</v>
      </c>
      <c r="J2588" t="s">
        <v>11</v>
      </c>
    </row>
    <row r="2589" spans="1:10" x14ac:dyDescent="0.25">
      <c r="A2589">
        <v>2588</v>
      </c>
      <c r="B2589" s="1">
        <v>45542</v>
      </c>
      <c r="C2589" t="s">
        <v>14</v>
      </c>
      <c r="D2589" t="s">
        <v>17</v>
      </c>
      <c r="E2589">
        <v>156</v>
      </c>
      <c r="F2589">
        <v>40</v>
      </c>
      <c r="G2589">
        <v>4.2</v>
      </c>
      <c r="H2589" t="s">
        <v>12</v>
      </c>
      <c r="I2589" t="s">
        <v>19</v>
      </c>
      <c r="J2589" t="s">
        <v>11</v>
      </c>
    </row>
    <row r="2590" spans="1:10" x14ac:dyDescent="0.25">
      <c r="A2590">
        <v>2589</v>
      </c>
      <c r="B2590" s="1">
        <v>45442</v>
      </c>
      <c r="C2590" t="s">
        <v>22</v>
      </c>
      <c r="D2590" t="s">
        <v>11</v>
      </c>
      <c r="E2590">
        <v>21</v>
      </c>
      <c r="F2590">
        <v>17</v>
      </c>
      <c r="G2590">
        <v>7.5</v>
      </c>
      <c r="H2590" t="s">
        <v>18</v>
      </c>
      <c r="I2590" t="s">
        <v>13</v>
      </c>
      <c r="J2590" t="s">
        <v>20</v>
      </c>
    </row>
    <row r="2591" spans="1:10" x14ac:dyDescent="0.25">
      <c r="A2591">
        <v>2590</v>
      </c>
      <c r="B2591" s="1">
        <v>45595</v>
      </c>
      <c r="C2591" t="s">
        <v>23</v>
      </c>
      <c r="D2591" t="s">
        <v>20</v>
      </c>
      <c r="E2591">
        <v>35</v>
      </c>
      <c r="F2591">
        <v>34</v>
      </c>
      <c r="G2591">
        <v>7.6</v>
      </c>
      <c r="H2591" t="s">
        <v>18</v>
      </c>
      <c r="I2591" t="s">
        <v>13</v>
      </c>
      <c r="J2591" t="s">
        <v>11</v>
      </c>
    </row>
    <row r="2592" spans="1:10" x14ac:dyDescent="0.25">
      <c r="A2592">
        <v>2591</v>
      </c>
      <c r="B2592" s="1">
        <v>45328</v>
      </c>
      <c r="C2592" t="s">
        <v>23</v>
      </c>
      <c r="D2592" t="s">
        <v>17</v>
      </c>
      <c r="E2592">
        <v>109</v>
      </c>
      <c r="F2592">
        <v>59</v>
      </c>
      <c r="G2592">
        <v>6.1</v>
      </c>
      <c r="H2592" t="s">
        <v>12</v>
      </c>
      <c r="I2592" t="s">
        <v>19</v>
      </c>
      <c r="J2592" t="s">
        <v>11</v>
      </c>
    </row>
    <row r="2593" spans="1:10" x14ac:dyDescent="0.25">
      <c r="A2593">
        <v>2592</v>
      </c>
      <c r="B2593" s="1">
        <v>45479</v>
      </c>
      <c r="C2593" t="s">
        <v>21</v>
      </c>
      <c r="D2593" t="s">
        <v>11</v>
      </c>
      <c r="E2593">
        <v>62</v>
      </c>
      <c r="F2593">
        <v>19</v>
      </c>
      <c r="G2593">
        <v>9.4</v>
      </c>
      <c r="H2593" t="s">
        <v>18</v>
      </c>
      <c r="I2593" t="s">
        <v>13</v>
      </c>
      <c r="J2593" t="s">
        <v>15</v>
      </c>
    </row>
    <row r="2594" spans="1:10" x14ac:dyDescent="0.25">
      <c r="A2594">
        <v>2593</v>
      </c>
      <c r="B2594" s="1">
        <v>45407</v>
      </c>
      <c r="C2594" t="s">
        <v>21</v>
      </c>
      <c r="D2594" t="s">
        <v>20</v>
      </c>
      <c r="E2594">
        <v>231</v>
      </c>
      <c r="F2594">
        <v>7</v>
      </c>
      <c r="G2594">
        <v>7.5</v>
      </c>
      <c r="H2594" t="s">
        <v>18</v>
      </c>
      <c r="I2594" t="s">
        <v>16</v>
      </c>
      <c r="J2594" t="s">
        <v>11</v>
      </c>
    </row>
    <row r="2595" spans="1:10" x14ac:dyDescent="0.25">
      <c r="A2595">
        <v>2594</v>
      </c>
      <c r="B2595" s="1">
        <v>45647</v>
      </c>
      <c r="C2595" t="s">
        <v>10</v>
      </c>
      <c r="D2595" t="s">
        <v>20</v>
      </c>
      <c r="E2595">
        <v>9</v>
      </c>
      <c r="F2595">
        <v>23</v>
      </c>
      <c r="G2595">
        <v>8.6999999999999993</v>
      </c>
      <c r="H2595" t="s">
        <v>12</v>
      </c>
      <c r="I2595" t="s">
        <v>16</v>
      </c>
      <c r="J2595" t="s">
        <v>15</v>
      </c>
    </row>
    <row r="2596" spans="1:10" x14ac:dyDescent="0.25">
      <c r="A2596">
        <v>2595</v>
      </c>
      <c r="B2596" s="1">
        <v>45401</v>
      </c>
      <c r="C2596" t="s">
        <v>21</v>
      </c>
      <c r="D2596" t="s">
        <v>15</v>
      </c>
      <c r="E2596">
        <v>155</v>
      </c>
      <c r="F2596">
        <v>72</v>
      </c>
      <c r="G2596">
        <v>1.8</v>
      </c>
      <c r="H2596" t="s">
        <v>18</v>
      </c>
      <c r="I2596" t="s">
        <v>19</v>
      </c>
      <c r="J2596" t="s">
        <v>11</v>
      </c>
    </row>
    <row r="2597" spans="1:10" x14ac:dyDescent="0.25">
      <c r="A2597">
        <v>2596</v>
      </c>
      <c r="B2597" s="1">
        <v>45599</v>
      </c>
      <c r="C2597" t="s">
        <v>14</v>
      </c>
      <c r="D2597" t="s">
        <v>15</v>
      </c>
      <c r="E2597">
        <v>45</v>
      </c>
      <c r="F2597">
        <v>45</v>
      </c>
      <c r="G2597">
        <v>7.6</v>
      </c>
      <c r="H2597" t="s">
        <v>18</v>
      </c>
      <c r="I2597" t="s">
        <v>19</v>
      </c>
      <c r="J2597" t="s">
        <v>15</v>
      </c>
    </row>
    <row r="2598" spans="1:10" x14ac:dyDescent="0.25">
      <c r="A2598">
        <v>2597</v>
      </c>
      <c r="B2598" s="1">
        <v>45304</v>
      </c>
      <c r="C2598" t="s">
        <v>10</v>
      </c>
      <c r="D2598" t="s">
        <v>15</v>
      </c>
      <c r="E2598">
        <v>9</v>
      </c>
      <c r="F2598">
        <v>13</v>
      </c>
      <c r="G2598">
        <v>3</v>
      </c>
      <c r="H2598" t="s">
        <v>12</v>
      </c>
      <c r="I2598" t="s">
        <v>19</v>
      </c>
      <c r="J2598" t="s">
        <v>15</v>
      </c>
    </row>
    <row r="2599" spans="1:10" x14ac:dyDescent="0.25">
      <c r="A2599">
        <v>2598</v>
      </c>
      <c r="B2599" s="1">
        <v>45652</v>
      </c>
      <c r="C2599" t="s">
        <v>10</v>
      </c>
      <c r="D2599" t="s">
        <v>20</v>
      </c>
      <c r="E2599">
        <v>161</v>
      </c>
      <c r="F2599">
        <v>26</v>
      </c>
      <c r="G2599">
        <v>1.2</v>
      </c>
      <c r="H2599" t="s">
        <v>18</v>
      </c>
      <c r="I2599" t="s">
        <v>13</v>
      </c>
      <c r="J2599" t="s">
        <v>11</v>
      </c>
    </row>
    <row r="2600" spans="1:10" x14ac:dyDescent="0.25">
      <c r="A2600">
        <v>2599</v>
      </c>
      <c r="B2600" s="1">
        <v>45373</v>
      </c>
      <c r="C2600" t="s">
        <v>22</v>
      </c>
      <c r="D2600" t="s">
        <v>17</v>
      </c>
      <c r="E2600">
        <v>130</v>
      </c>
      <c r="F2600">
        <v>70</v>
      </c>
      <c r="G2600">
        <v>1</v>
      </c>
      <c r="H2600" t="s">
        <v>18</v>
      </c>
      <c r="I2600" t="s">
        <v>13</v>
      </c>
      <c r="J2600" t="s">
        <v>11</v>
      </c>
    </row>
    <row r="2601" spans="1:10" x14ac:dyDescent="0.25">
      <c r="A2601">
        <v>2600</v>
      </c>
      <c r="B2601" s="1">
        <v>45325</v>
      </c>
      <c r="C2601" t="s">
        <v>21</v>
      </c>
      <c r="D2601" t="s">
        <v>15</v>
      </c>
      <c r="E2601">
        <v>123</v>
      </c>
      <c r="F2601">
        <v>55</v>
      </c>
      <c r="G2601">
        <v>1.5</v>
      </c>
      <c r="H2601" t="s">
        <v>18</v>
      </c>
      <c r="I2601" t="s">
        <v>19</v>
      </c>
      <c r="J2601" t="s">
        <v>11</v>
      </c>
    </row>
    <row r="2602" spans="1:10" x14ac:dyDescent="0.25">
      <c r="A2602">
        <v>2601</v>
      </c>
      <c r="B2602" s="1">
        <v>45334</v>
      </c>
      <c r="C2602" t="s">
        <v>21</v>
      </c>
      <c r="D2602" t="s">
        <v>11</v>
      </c>
      <c r="E2602">
        <v>224</v>
      </c>
      <c r="F2602">
        <v>56</v>
      </c>
      <c r="G2602">
        <v>5.0999999999999996</v>
      </c>
      <c r="H2602" t="s">
        <v>18</v>
      </c>
      <c r="I2602" t="s">
        <v>19</v>
      </c>
      <c r="J2602" t="s">
        <v>15</v>
      </c>
    </row>
    <row r="2603" spans="1:10" x14ac:dyDescent="0.25">
      <c r="A2603">
        <v>2602</v>
      </c>
      <c r="B2603" s="1">
        <v>45340</v>
      </c>
      <c r="C2603" t="s">
        <v>22</v>
      </c>
      <c r="D2603" t="s">
        <v>20</v>
      </c>
      <c r="E2603">
        <v>5</v>
      </c>
      <c r="F2603">
        <v>35</v>
      </c>
      <c r="G2603">
        <v>5.2</v>
      </c>
      <c r="H2603" t="s">
        <v>12</v>
      </c>
      <c r="I2603" t="s">
        <v>16</v>
      </c>
      <c r="J2603" t="s">
        <v>15</v>
      </c>
    </row>
    <row r="2604" spans="1:10" x14ac:dyDescent="0.25">
      <c r="A2604">
        <v>2603</v>
      </c>
      <c r="B2604" s="1">
        <v>45651</v>
      </c>
      <c r="C2604" t="s">
        <v>22</v>
      </c>
      <c r="D2604" t="s">
        <v>11</v>
      </c>
      <c r="E2604">
        <v>79</v>
      </c>
      <c r="F2604">
        <v>30</v>
      </c>
      <c r="G2604">
        <v>4.2</v>
      </c>
      <c r="H2604" t="s">
        <v>12</v>
      </c>
      <c r="I2604" t="s">
        <v>13</v>
      </c>
      <c r="J2604" t="s">
        <v>11</v>
      </c>
    </row>
    <row r="2605" spans="1:10" x14ac:dyDescent="0.25">
      <c r="A2605">
        <v>2604</v>
      </c>
      <c r="B2605" s="1">
        <v>45545</v>
      </c>
      <c r="C2605" t="s">
        <v>14</v>
      </c>
      <c r="D2605" t="s">
        <v>17</v>
      </c>
      <c r="E2605">
        <v>220</v>
      </c>
      <c r="F2605">
        <v>8</v>
      </c>
      <c r="G2605">
        <v>2.7</v>
      </c>
      <c r="H2605" t="s">
        <v>18</v>
      </c>
      <c r="I2605" t="s">
        <v>19</v>
      </c>
      <c r="J2605" t="s">
        <v>11</v>
      </c>
    </row>
    <row r="2606" spans="1:10" x14ac:dyDescent="0.25">
      <c r="A2606">
        <v>2605</v>
      </c>
      <c r="B2606" s="1">
        <v>45577</v>
      </c>
      <c r="C2606" t="s">
        <v>21</v>
      </c>
      <c r="D2606" t="s">
        <v>17</v>
      </c>
      <c r="E2606">
        <v>92</v>
      </c>
      <c r="F2606">
        <v>29</v>
      </c>
      <c r="G2606">
        <v>3</v>
      </c>
      <c r="H2606" t="s">
        <v>18</v>
      </c>
      <c r="I2606" t="s">
        <v>16</v>
      </c>
      <c r="J2606" t="s">
        <v>11</v>
      </c>
    </row>
    <row r="2607" spans="1:10" x14ac:dyDescent="0.25">
      <c r="A2607">
        <v>2606</v>
      </c>
      <c r="B2607" s="1">
        <v>45311</v>
      </c>
      <c r="C2607" t="s">
        <v>21</v>
      </c>
      <c r="D2607" t="s">
        <v>15</v>
      </c>
      <c r="E2607">
        <v>153</v>
      </c>
      <c r="F2607">
        <v>37</v>
      </c>
      <c r="G2607">
        <v>6.6</v>
      </c>
      <c r="H2607" t="s">
        <v>18</v>
      </c>
      <c r="I2607" t="s">
        <v>13</v>
      </c>
      <c r="J2607" t="s">
        <v>15</v>
      </c>
    </row>
    <row r="2608" spans="1:10" x14ac:dyDescent="0.25">
      <c r="A2608">
        <v>2607</v>
      </c>
      <c r="B2608" s="1">
        <v>45405</v>
      </c>
      <c r="C2608" t="s">
        <v>10</v>
      </c>
      <c r="D2608" t="s">
        <v>17</v>
      </c>
      <c r="E2608">
        <v>58</v>
      </c>
      <c r="F2608">
        <v>71</v>
      </c>
      <c r="G2608">
        <v>0.9</v>
      </c>
      <c r="H2608" t="s">
        <v>18</v>
      </c>
      <c r="I2608" t="s">
        <v>16</v>
      </c>
      <c r="J2608" t="s">
        <v>11</v>
      </c>
    </row>
    <row r="2609" spans="1:10" x14ac:dyDescent="0.25">
      <c r="A2609">
        <v>2608</v>
      </c>
      <c r="B2609" s="1">
        <v>45433</v>
      </c>
      <c r="C2609" t="s">
        <v>23</v>
      </c>
      <c r="D2609" t="s">
        <v>15</v>
      </c>
      <c r="E2609">
        <v>154</v>
      </c>
      <c r="F2609">
        <v>23</v>
      </c>
      <c r="G2609">
        <v>7.9</v>
      </c>
      <c r="H2609" t="s">
        <v>12</v>
      </c>
      <c r="I2609" t="s">
        <v>13</v>
      </c>
      <c r="J2609" t="s">
        <v>11</v>
      </c>
    </row>
    <row r="2610" spans="1:10" x14ac:dyDescent="0.25">
      <c r="A2610">
        <v>2609</v>
      </c>
      <c r="B2610" s="1">
        <v>45402</v>
      </c>
      <c r="C2610" t="s">
        <v>23</v>
      </c>
      <c r="D2610" t="s">
        <v>17</v>
      </c>
      <c r="E2610">
        <v>15</v>
      </c>
      <c r="F2610">
        <v>63</v>
      </c>
      <c r="G2610">
        <v>8.1</v>
      </c>
      <c r="H2610" t="s">
        <v>12</v>
      </c>
      <c r="I2610" t="s">
        <v>13</v>
      </c>
      <c r="J2610" t="s">
        <v>15</v>
      </c>
    </row>
    <row r="2611" spans="1:10" x14ac:dyDescent="0.25">
      <c r="A2611">
        <v>2610</v>
      </c>
      <c r="B2611" s="1">
        <v>45296</v>
      </c>
      <c r="C2611" t="s">
        <v>22</v>
      </c>
      <c r="D2611" t="s">
        <v>11</v>
      </c>
      <c r="E2611">
        <v>203</v>
      </c>
      <c r="F2611">
        <v>53</v>
      </c>
      <c r="G2611">
        <v>8.3000000000000007</v>
      </c>
      <c r="H2611" t="s">
        <v>12</v>
      </c>
      <c r="I2611" t="s">
        <v>16</v>
      </c>
      <c r="J2611" t="s">
        <v>11</v>
      </c>
    </row>
    <row r="2612" spans="1:10" x14ac:dyDescent="0.25">
      <c r="A2612">
        <v>2611</v>
      </c>
      <c r="B2612" s="1">
        <v>45478</v>
      </c>
      <c r="C2612" t="s">
        <v>14</v>
      </c>
      <c r="D2612" t="s">
        <v>17</v>
      </c>
      <c r="E2612">
        <v>157</v>
      </c>
      <c r="F2612">
        <v>12</v>
      </c>
      <c r="G2612">
        <v>4.2</v>
      </c>
      <c r="H2612" t="s">
        <v>18</v>
      </c>
      <c r="I2612" t="s">
        <v>16</v>
      </c>
      <c r="J2612" t="s">
        <v>11</v>
      </c>
    </row>
    <row r="2613" spans="1:10" x14ac:dyDescent="0.25">
      <c r="A2613">
        <v>2612</v>
      </c>
      <c r="B2613" s="1">
        <v>45365</v>
      </c>
      <c r="C2613" t="s">
        <v>22</v>
      </c>
      <c r="D2613" t="s">
        <v>20</v>
      </c>
      <c r="E2613">
        <v>42</v>
      </c>
      <c r="F2613">
        <v>64</v>
      </c>
      <c r="G2613">
        <v>9.5</v>
      </c>
      <c r="H2613" t="s">
        <v>18</v>
      </c>
      <c r="I2613" t="s">
        <v>16</v>
      </c>
      <c r="J2613" t="s">
        <v>11</v>
      </c>
    </row>
    <row r="2614" spans="1:10" x14ac:dyDescent="0.25">
      <c r="A2614">
        <v>2613</v>
      </c>
      <c r="B2614" s="1">
        <v>45644</v>
      </c>
      <c r="C2614" t="s">
        <v>21</v>
      </c>
      <c r="D2614" t="s">
        <v>20</v>
      </c>
      <c r="E2614">
        <v>89</v>
      </c>
      <c r="F2614">
        <v>57</v>
      </c>
      <c r="G2614">
        <v>9.3000000000000007</v>
      </c>
      <c r="H2614" t="s">
        <v>12</v>
      </c>
      <c r="I2614" t="s">
        <v>19</v>
      </c>
      <c r="J2614" t="s">
        <v>11</v>
      </c>
    </row>
    <row r="2615" spans="1:10" x14ac:dyDescent="0.25">
      <c r="A2615">
        <v>2614</v>
      </c>
      <c r="B2615" s="1">
        <v>45332</v>
      </c>
      <c r="C2615" t="s">
        <v>22</v>
      </c>
      <c r="D2615" t="s">
        <v>17</v>
      </c>
      <c r="E2615">
        <v>205</v>
      </c>
      <c r="F2615">
        <v>67</v>
      </c>
      <c r="G2615">
        <v>8.6</v>
      </c>
      <c r="H2615" t="s">
        <v>18</v>
      </c>
      <c r="I2615" t="s">
        <v>13</v>
      </c>
      <c r="J2615" t="s">
        <v>11</v>
      </c>
    </row>
    <row r="2616" spans="1:10" x14ac:dyDescent="0.25">
      <c r="A2616">
        <v>2615</v>
      </c>
      <c r="B2616" s="1">
        <v>45529</v>
      </c>
      <c r="C2616" t="s">
        <v>10</v>
      </c>
      <c r="D2616" t="s">
        <v>15</v>
      </c>
      <c r="E2616">
        <v>97</v>
      </c>
      <c r="F2616">
        <v>26</v>
      </c>
      <c r="G2616">
        <v>2.6</v>
      </c>
      <c r="H2616" t="s">
        <v>12</v>
      </c>
      <c r="I2616" t="s">
        <v>13</v>
      </c>
      <c r="J2616" t="s">
        <v>11</v>
      </c>
    </row>
    <row r="2617" spans="1:10" x14ac:dyDescent="0.25">
      <c r="A2617">
        <v>2616</v>
      </c>
      <c r="B2617" s="1">
        <v>45432</v>
      </c>
      <c r="C2617" t="s">
        <v>10</v>
      </c>
      <c r="D2617" t="s">
        <v>17</v>
      </c>
      <c r="E2617">
        <v>185</v>
      </c>
      <c r="F2617">
        <v>55</v>
      </c>
      <c r="G2617">
        <v>5.5</v>
      </c>
      <c r="H2617" t="s">
        <v>18</v>
      </c>
      <c r="I2617" t="s">
        <v>19</v>
      </c>
      <c r="J2617" t="s">
        <v>11</v>
      </c>
    </row>
    <row r="2618" spans="1:10" x14ac:dyDescent="0.25">
      <c r="A2618">
        <v>2617</v>
      </c>
      <c r="B2618" s="1">
        <v>45444</v>
      </c>
      <c r="C2618" t="s">
        <v>23</v>
      </c>
      <c r="D2618" t="s">
        <v>20</v>
      </c>
      <c r="E2618">
        <v>87</v>
      </c>
      <c r="F2618">
        <v>50</v>
      </c>
      <c r="G2618">
        <v>2.5</v>
      </c>
      <c r="H2618" t="s">
        <v>12</v>
      </c>
      <c r="I2618" t="s">
        <v>19</v>
      </c>
      <c r="J2618" t="s">
        <v>11</v>
      </c>
    </row>
    <row r="2619" spans="1:10" x14ac:dyDescent="0.25">
      <c r="A2619">
        <v>2618</v>
      </c>
      <c r="B2619" s="1">
        <v>45483</v>
      </c>
      <c r="C2619" t="s">
        <v>14</v>
      </c>
      <c r="D2619" t="s">
        <v>20</v>
      </c>
      <c r="E2619">
        <v>22</v>
      </c>
      <c r="F2619">
        <v>15</v>
      </c>
      <c r="G2619">
        <v>7.4</v>
      </c>
      <c r="H2619" t="s">
        <v>18</v>
      </c>
      <c r="I2619" t="s">
        <v>19</v>
      </c>
      <c r="J2619" t="s">
        <v>15</v>
      </c>
    </row>
    <row r="2620" spans="1:10" x14ac:dyDescent="0.25">
      <c r="A2620">
        <v>2619</v>
      </c>
      <c r="B2620" s="1">
        <v>45341</v>
      </c>
      <c r="C2620" t="s">
        <v>23</v>
      </c>
      <c r="D2620" t="s">
        <v>20</v>
      </c>
      <c r="E2620">
        <v>224</v>
      </c>
      <c r="F2620">
        <v>63</v>
      </c>
      <c r="G2620">
        <v>1.9</v>
      </c>
      <c r="H2620" t="s">
        <v>12</v>
      </c>
      <c r="I2620" t="s">
        <v>16</v>
      </c>
      <c r="J2620" t="s">
        <v>11</v>
      </c>
    </row>
    <row r="2621" spans="1:10" x14ac:dyDescent="0.25">
      <c r="A2621">
        <v>2620</v>
      </c>
      <c r="B2621" s="1">
        <v>45652</v>
      </c>
      <c r="C2621" t="s">
        <v>21</v>
      </c>
      <c r="D2621" t="s">
        <v>11</v>
      </c>
      <c r="E2621">
        <v>108</v>
      </c>
      <c r="F2621">
        <v>27</v>
      </c>
      <c r="G2621">
        <v>4</v>
      </c>
      <c r="H2621" t="s">
        <v>12</v>
      </c>
      <c r="I2621" t="s">
        <v>19</v>
      </c>
      <c r="J2621" t="s">
        <v>11</v>
      </c>
    </row>
    <row r="2622" spans="1:10" x14ac:dyDescent="0.25">
      <c r="A2622">
        <v>2621</v>
      </c>
      <c r="B2622" s="1">
        <v>45612</v>
      </c>
      <c r="C2622" t="s">
        <v>14</v>
      </c>
      <c r="D2622" t="s">
        <v>17</v>
      </c>
      <c r="E2622">
        <v>51</v>
      </c>
      <c r="F2622">
        <v>25</v>
      </c>
      <c r="G2622">
        <v>3.7</v>
      </c>
      <c r="H2622" t="s">
        <v>12</v>
      </c>
      <c r="I2622" t="s">
        <v>19</v>
      </c>
      <c r="J2622" t="s">
        <v>11</v>
      </c>
    </row>
    <row r="2623" spans="1:10" x14ac:dyDescent="0.25">
      <c r="A2623">
        <v>2622</v>
      </c>
      <c r="B2623" s="1">
        <v>45346</v>
      </c>
      <c r="C2623" t="s">
        <v>22</v>
      </c>
      <c r="D2623" t="s">
        <v>11</v>
      </c>
      <c r="E2623">
        <v>171</v>
      </c>
      <c r="F2623">
        <v>15</v>
      </c>
      <c r="G2623">
        <v>1.7</v>
      </c>
      <c r="H2623" t="s">
        <v>18</v>
      </c>
      <c r="I2623" t="s">
        <v>13</v>
      </c>
      <c r="J2623" t="s">
        <v>11</v>
      </c>
    </row>
    <row r="2624" spans="1:10" x14ac:dyDescent="0.25">
      <c r="A2624">
        <v>2623</v>
      </c>
      <c r="B2624" s="1">
        <v>45644</v>
      </c>
      <c r="C2624" t="s">
        <v>14</v>
      </c>
      <c r="D2624" t="s">
        <v>20</v>
      </c>
      <c r="E2624">
        <v>46</v>
      </c>
      <c r="F2624">
        <v>25</v>
      </c>
      <c r="G2624">
        <v>8.8000000000000007</v>
      </c>
      <c r="H2624" t="s">
        <v>12</v>
      </c>
      <c r="I2624" t="s">
        <v>16</v>
      </c>
      <c r="J2624" t="s">
        <v>11</v>
      </c>
    </row>
    <row r="2625" spans="1:10" x14ac:dyDescent="0.25">
      <c r="A2625">
        <v>2624</v>
      </c>
      <c r="B2625" s="1">
        <v>45642</v>
      </c>
      <c r="C2625" t="s">
        <v>23</v>
      </c>
      <c r="D2625" t="s">
        <v>11</v>
      </c>
      <c r="E2625">
        <v>52</v>
      </c>
      <c r="F2625">
        <v>27</v>
      </c>
      <c r="G2625">
        <v>4.0999999999999996</v>
      </c>
      <c r="H2625" t="s">
        <v>12</v>
      </c>
      <c r="I2625" t="s">
        <v>19</v>
      </c>
      <c r="J2625" t="s">
        <v>11</v>
      </c>
    </row>
    <row r="2626" spans="1:10" x14ac:dyDescent="0.25">
      <c r="A2626">
        <v>2625</v>
      </c>
      <c r="B2626" s="1">
        <v>45558</v>
      </c>
      <c r="C2626" t="s">
        <v>23</v>
      </c>
      <c r="D2626" t="s">
        <v>11</v>
      </c>
      <c r="E2626">
        <v>227</v>
      </c>
      <c r="F2626">
        <v>55</v>
      </c>
      <c r="G2626">
        <v>2.7</v>
      </c>
      <c r="H2626" t="s">
        <v>12</v>
      </c>
      <c r="I2626" t="s">
        <v>16</v>
      </c>
      <c r="J2626" t="s">
        <v>11</v>
      </c>
    </row>
    <row r="2627" spans="1:10" x14ac:dyDescent="0.25">
      <c r="A2627">
        <v>2626</v>
      </c>
      <c r="B2627" s="1">
        <v>45637</v>
      </c>
      <c r="C2627" t="s">
        <v>23</v>
      </c>
      <c r="D2627" t="s">
        <v>17</v>
      </c>
      <c r="E2627">
        <v>73</v>
      </c>
      <c r="F2627">
        <v>40</v>
      </c>
      <c r="G2627">
        <v>4.0999999999999996</v>
      </c>
      <c r="H2627" t="s">
        <v>18</v>
      </c>
      <c r="I2627" t="s">
        <v>16</v>
      </c>
      <c r="J2627" t="s">
        <v>11</v>
      </c>
    </row>
    <row r="2628" spans="1:10" x14ac:dyDescent="0.25">
      <c r="A2628">
        <v>2627</v>
      </c>
      <c r="B2628" s="1">
        <v>45592</v>
      </c>
      <c r="C2628" t="s">
        <v>21</v>
      </c>
      <c r="D2628" t="s">
        <v>11</v>
      </c>
      <c r="E2628">
        <v>15</v>
      </c>
      <c r="F2628">
        <v>44</v>
      </c>
      <c r="G2628">
        <v>3</v>
      </c>
      <c r="H2628" t="s">
        <v>12</v>
      </c>
      <c r="I2628" t="s">
        <v>16</v>
      </c>
      <c r="J2628" t="s">
        <v>15</v>
      </c>
    </row>
    <row r="2629" spans="1:10" x14ac:dyDescent="0.25">
      <c r="A2629">
        <v>2628</v>
      </c>
      <c r="B2629" s="1">
        <v>45528</v>
      </c>
      <c r="C2629" t="s">
        <v>21</v>
      </c>
      <c r="D2629" t="s">
        <v>17</v>
      </c>
      <c r="E2629">
        <v>175</v>
      </c>
      <c r="F2629">
        <v>12</v>
      </c>
      <c r="G2629">
        <v>9.9</v>
      </c>
      <c r="H2629" t="s">
        <v>12</v>
      </c>
      <c r="I2629" t="s">
        <v>16</v>
      </c>
      <c r="J2629" t="s">
        <v>11</v>
      </c>
    </row>
    <row r="2630" spans="1:10" x14ac:dyDescent="0.25">
      <c r="A2630">
        <v>2629</v>
      </c>
      <c r="B2630" s="1">
        <v>45655</v>
      </c>
      <c r="C2630" t="s">
        <v>10</v>
      </c>
      <c r="D2630" t="s">
        <v>15</v>
      </c>
      <c r="E2630">
        <v>80</v>
      </c>
      <c r="F2630">
        <v>68</v>
      </c>
      <c r="G2630">
        <v>4.4000000000000004</v>
      </c>
      <c r="H2630" t="s">
        <v>12</v>
      </c>
      <c r="I2630" t="s">
        <v>16</v>
      </c>
      <c r="J2630" t="s">
        <v>11</v>
      </c>
    </row>
    <row r="2631" spans="1:10" x14ac:dyDescent="0.25">
      <c r="A2631">
        <v>2630</v>
      </c>
      <c r="B2631" s="1">
        <v>45560</v>
      </c>
      <c r="C2631" t="s">
        <v>21</v>
      </c>
      <c r="D2631" t="s">
        <v>11</v>
      </c>
      <c r="E2631">
        <v>54</v>
      </c>
      <c r="F2631">
        <v>47</v>
      </c>
      <c r="G2631">
        <v>2.1</v>
      </c>
      <c r="H2631" t="s">
        <v>12</v>
      </c>
      <c r="I2631" t="s">
        <v>19</v>
      </c>
      <c r="J2631" t="s">
        <v>11</v>
      </c>
    </row>
    <row r="2632" spans="1:10" x14ac:dyDescent="0.25">
      <c r="A2632">
        <v>2631</v>
      </c>
      <c r="B2632" s="1">
        <v>45327</v>
      </c>
      <c r="C2632" t="s">
        <v>14</v>
      </c>
      <c r="D2632" t="s">
        <v>11</v>
      </c>
      <c r="E2632">
        <v>205</v>
      </c>
      <c r="F2632">
        <v>25</v>
      </c>
      <c r="G2632">
        <v>9.9</v>
      </c>
      <c r="H2632" t="s">
        <v>12</v>
      </c>
      <c r="I2632" t="s">
        <v>13</v>
      </c>
      <c r="J2632" t="s">
        <v>11</v>
      </c>
    </row>
    <row r="2633" spans="1:10" x14ac:dyDescent="0.25">
      <c r="A2633">
        <v>2632</v>
      </c>
      <c r="B2633" s="1">
        <v>45405</v>
      </c>
      <c r="C2633" t="s">
        <v>22</v>
      </c>
      <c r="D2633" t="s">
        <v>11</v>
      </c>
      <c r="E2633">
        <v>117</v>
      </c>
      <c r="F2633">
        <v>34</v>
      </c>
      <c r="G2633">
        <v>4.9000000000000004</v>
      </c>
      <c r="H2633" t="s">
        <v>12</v>
      </c>
      <c r="I2633" t="s">
        <v>19</v>
      </c>
      <c r="J2633" t="s">
        <v>11</v>
      </c>
    </row>
    <row r="2634" spans="1:10" x14ac:dyDescent="0.25">
      <c r="A2634">
        <v>2633</v>
      </c>
      <c r="B2634" s="1">
        <v>45417</v>
      </c>
      <c r="C2634" t="s">
        <v>10</v>
      </c>
      <c r="D2634" t="s">
        <v>20</v>
      </c>
      <c r="E2634">
        <v>29</v>
      </c>
      <c r="F2634">
        <v>50</v>
      </c>
      <c r="G2634">
        <v>3.4</v>
      </c>
      <c r="H2634" t="s">
        <v>12</v>
      </c>
      <c r="I2634" t="s">
        <v>13</v>
      </c>
      <c r="J2634" t="s">
        <v>11</v>
      </c>
    </row>
    <row r="2635" spans="1:10" x14ac:dyDescent="0.25">
      <c r="A2635">
        <v>2634</v>
      </c>
      <c r="B2635" s="1">
        <v>45605</v>
      </c>
      <c r="C2635" t="s">
        <v>23</v>
      </c>
      <c r="D2635" t="s">
        <v>15</v>
      </c>
      <c r="E2635">
        <v>108</v>
      </c>
      <c r="F2635">
        <v>35</v>
      </c>
      <c r="G2635">
        <v>4.0999999999999996</v>
      </c>
      <c r="H2635" t="s">
        <v>18</v>
      </c>
      <c r="I2635" t="s">
        <v>16</v>
      </c>
      <c r="J2635" t="s">
        <v>11</v>
      </c>
    </row>
    <row r="2636" spans="1:10" x14ac:dyDescent="0.25">
      <c r="A2636">
        <v>2635</v>
      </c>
      <c r="B2636" s="1">
        <v>45407</v>
      </c>
      <c r="C2636" t="s">
        <v>23</v>
      </c>
      <c r="D2636" t="s">
        <v>11</v>
      </c>
      <c r="E2636">
        <v>65</v>
      </c>
      <c r="F2636">
        <v>44</v>
      </c>
      <c r="G2636">
        <v>4.2</v>
      </c>
      <c r="H2636" t="s">
        <v>18</v>
      </c>
      <c r="I2636" t="s">
        <v>19</v>
      </c>
      <c r="J2636" t="s">
        <v>11</v>
      </c>
    </row>
    <row r="2637" spans="1:10" x14ac:dyDescent="0.25">
      <c r="A2637">
        <v>2636</v>
      </c>
      <c r="B2637" s="1">
        <v>45339</v>
      </c>
      <c r="C2637" t="s">
        <v>21</v>
      </c>
      <c r="D2637" t="s">
        <v>11</v>
      </c>
      <c r="E2637">
        <v>201</v>
      </c>
      <c r="F2637">
        <v>12</v>
      </c>
      <c r="G2637">
        <v>5.6</v>
      </c>
      <c r="H2637" t="s">
        <v>12</v>
      </c>
      <c r="I2637" t="s">
        <v>16</v>
      </c>
      <c r="J2637" t="s">
        <v>11</v>
      </c>
    </row>
    <row r="2638" spans="1:10" x14ac:dyDescent="0.25">
      <c r="A2638">
        <v>2637</v>
      </c>
      <c r="B2638" s="1">
        <v>45609</v>
      </c>
      <c r="C2638" t="s">
        <v>23</v>
      </c>
      <c r="D2638" t="s">
        <v>15</v>
      </c>
      <c r="E2638">
        <v>110</v>
      </c>
      <c r="F2638">
        <v>11</v>
      </c>
      <c r="G2638">
        <v>7.3</v>
      </c>
      <c r="H2638" t="s">
        <v>12</v>
      </c>
      <c r="I2638" t="s">
        <v>16</v>
      </c>
      <c r="J2638" t="s">
        <v>11</v>
      </c>
    </row>
    <row r="2639" spans="1:10" x14ac:dyDescent="0.25">
      <c r="A2639">
        <v>2638</v>
      </c>
      <c r="B2639" s="1">
        <v>45503</v>
      </c>
      <c r="C2639" t="s">
        <v>21</v>
      </c>
      <c r="D2639" t="s">
        <v>17</v>
      </c>
      <c r="E2639">
        <v>75</v>
      </c>
      <c r="F2639">
        <v>67</v>
      </c>
      <c r="G2639">
        <v>8.4</v>
      </c>
      <c r="H2639" t="s">
        <v>18</v>
      </c>
      <c r="I2639" t="s">
        <v>13</v>
      </c>
      <c r="J2639" t="s">
        <v>11</v>
      </c>
    </row>
    <row r="2640" spans="1:10" x14ac:dyDescent="0.25">
      <c r="A2640">
        <v>2639</v>
      </c>
      <c r="B2640" s="1">
        <v>45488</v>
      </c>
      <c r="C2640" t="s">
        <v>21</v>
      </c>
      <c r="D2640" t="s">
        <v>11</v>
      </c>
      <c r="E2640">
        <v>13</v>
      </c>
      <c r="F2640">
        <v>3</v>
      </c>
      <c r="G2640">
        <v>9.3000000000000007</v>
      </c>
      <c r="H2640" t="s">
        <v>12</v>
      </c>
      <c r="I2640" t="s">
        <v>16</v>
      </c>
      <c r="J2640" t="s">
        <v>20</v>
      </c>
    </row>
    <row r="2641" spans="1:10" x14ac:dyDescent="0.25">
      <c r="A2641">
        <v>2640</v>
      </c>
      <c r="B2641" s="1">
        <v>45431</v>
      </c>
      <c r="C2641" t="s">
        <v>14</v>
      </c>
      <c r="D2641" t="s">
        <v>17</v>
      </c>
      <c r="E2641">
        <v>56</v>
      </c>
      <c r="F2641">
        <v>19</v>
      </c>
      <c r="G2641">
        <v>1.9</v>
      </c>
      <c r="H2641" t="s">
        <v>12</v>
      </c>
      <c r="I2641" t="s">
        <v>16</v>
      </c>
      <c r="J2641" t="s">
        <v>11</v>
      </c>
    </row>
    <row r="2642" spans="1:10" x14ac:dyDescent="0.25">
      <c r="A2642">
        <v>2641</v>
      </c>
      <c r="B2642" s="1">
        <v>45552</v>
      </c>
      <c r="C2642" t="s">
        <v>14</v>
      </c>
      <c r="D2642" t="s">
        <v>20</v>
      </c>
      <c r="E2642">
        <v>66</v>
      </c>
      <c r="F2642">
        <v>50</v>
      </c>
      <c r="G2642">
        <v>1.4</v>
      </c>
      <c r="H2642" t="s">
        <v>12</v>
      </c>
      <c r="I2642" t="s">
        <v>19</v>
      </c>
      <c r="J2642" t="s">
        <v>11</v>
      </c>
    </row>
    <row r="2643" spans="1:10" x14ac:dyDescent="0.25">
      <c r="A2643">
        <v>2642</v>
      </c>
      <c r="B2643" s="1">
        <v>45307</v>
      </c>
      <c r="C2643" t="s">
        <v>23</v>
      </c>
      <c r="D2643" t="s">
        <v>17</v>
      </c>
      <c r="E2643">
        <v>156</v>
      </c>
      <c r="F2643">
        <v>48</v>
      </c>
      <c r="G2643">
        <v>7.1</v>
      </c>
      <c r="H2643" t="s">
        <v>12</v>
      </c>
      <c r="I2643" t="s">
        <v>13</v>
      </c>
      <c r="J2643" t="s">
        <v>11</v>
      </c>
    </row>
    <row r="2644" spans="1:10" x14ac:dyDescent="0.25">
      <c r="A2644">
        <v>2643</v>
      </c>
      <c r="B2644" s="1">
        <v>45341</v>
      </c>
      <c r="C2644" t="s">
        <v>23</v>
      </c>
      <c r="D2644" t="s">
        <v>20</v>
      </c>
      <c r="E2644">
        <v>56</v>
      </c>
      <c r="F2644">
        <v>2</v>
      </c>
      <c r="G2644">
        <v>9.1999999999999993</v>
      </c>
      <c r="H2644" t="s">
        <v>12</v>
      </c>
      <c r="I2644" t="s">
        <v>13</v>
      </c>
      <c r="J2644" t="s">
        <v>15</v>
      </c>
    </row>
    <row r="2645" spans="1:10" x14ac:dyDescent="0.25">
      <c r="A2645">
        <v>2644</v>
      </c>
      <c r="B2645" s="1">
        <v>45342</v>
      </c>
      <c r="C2645" t="s">
        <v>22</v>
      </c>
      <c r="D2645" t="s">
        <v>20</v>
      </c>
      <c r="E2645">
        <v>205</v>
      </c>
      <c r="F2645">
        <v>11</v>
      </c>
      <c r="G2645">
        <v>3.3</v>
      </c>
      <c r="H2645" t="s">
        <v>18</v>
      </c>
      <c r="I2645" t="s">
        <v>16</v>
      </c>
      <c r="J2645" t="s">
        <v>11</v>
      </c>
    </row>
    <row r="2646" spans="1:10" x14ac:dyDescent="0.25">
      <c r="A2646">
        <v>2645</v>
      </c>
      <c r="B2646" s="1">
        <v>45551</v>
      </c>
      <c r="C2646" t="s">
        <v>14</v>
      </c>
      <c r="D2646" t="s">
        <v>15</v>
      </c>
      <c r="E2646">
        <v>86</v>
      </c>
      <c r="F2646">
        <v>37</v>
      </c>
      <c r="G2646">
        <v>9.8000000000000007</v>
      </c>
      <c r="H2646" t="s">
        <v>12</v>
      </c>
      <c r="I2646" t="s">
        <v>13</v>
      </c>
      <c r="J2646" t="s">
        <v>11</v>
      </c>
    </row>
    <row r="2647" spans="1:10" x14ac:dyDescent="0.25">
      <c r="A2647">
        <v>2646</v>
      </c>
      <c r="B2647" s="1">
        <v>45556</v>
      </c>
      <c r="C2647" t="s">
        <v>10</v>
      </c>
      <c r="D2647" t="s">
        <v>17</v>
      </c>
      <c r="E2647">
        <v>121</v>
      </c>
      <c r="F2647">
        <v>30</v>
      </c>
      <c r="G2647">
        <v>7.5</v>
      </c>
      <c r="H2647" t="s">
        <v>18</v>
      </c>
      <c r="I2647" t="s">
        <v>16</v>
      </c>
      <c r="J2647" t="s">
        <v>11</v>
      </c>
    </row>
    <row r="2648" spans="1:10" x14ac:dyDescent="0.25">
      <c r="A2648">
        <v>2647</v>
      </c>
      <c r="B2648" s="1">
        <v>45301</v>
      </c>
      <c r="C2648" t="s">
        <v>21</v>
      </c>
      <c r="D2648" t="s">
        <v>20</v>
      </c>
      <c r="E2648">
        <v>48</v>
      </c>
      <c r="F2648">
        <v>55</v>
      </c>
      <c r="G2648">
        <v>9.3000000000000007</v>
      </c>
      <c r="H2648" t="s">
        <v>18</v>
      </c>
      <c r="I2648" t="s">
        <v>13</v>
      </c>
      <c r="J2648" t="s">
        <v>11</v>
      </c>
    </row>
    <row r="2649" spans="1:10" x14ac:dyDescent="0.25">
      <c r="A2649">
        <v>2648</v>
      </c>
      <c r="B2649" s="1">
        <v>45417</v>
      </c>
      <c r="C2649" t="s">
        <v>22</v>
      </c>
      <c r="D2649" t="s">
        <v>11</v>
      </c>
      <c r="E2649">
        <v>158</v>
      </c>
      <c r="F2649">
        <v>8</v>
      </c>
      <c r="G2649">
        <v>6.8</v>
      </c>
      <c r="H2649" t="s">
        <v>18</v>
      </c>
      <c r="I2649" t="s">
        <v>13</v>
      </c>
      <c r="J2649" t="s">
        <v>15</v>
      </c>
    </row>
    <row r="2650" spans="1:10" x14ac:dyDescent="0.25">
      <c r="A2650">
        <v>2649</v>
      </c>
      <c r="B2650" s="1">
        <v>45531</v>
      </c>
      <c r="C2650" t="s">
        <v>14</v>
      </c>
      <c r="D2650" t="s">
        <v>15</v>
      </c>
      <c r="E2650">
        <v>152</v>
      </c>
      <c r="F2650">
        <v>51</v>
      </c>
      <c r="G2650">
        <v>1.5</v>
      </c>
      <c r="H2650" t="s">
        <v>18</v>
      </c>
      <c r="I2650" t="s">
        <v>16</v>
      </c>
      <c r="J2650" t="s">
        <v>11</v>
      </c>
    </row>
    <row r="2651" spans="1:10" x14ac:dyDescent="0.25">
      <c r="A2651">
        <v>2650</v>
      </c>
      <c r="B2651" s="1">
        <v>45621</v>
      </c>
      <c r="C2651" t="s">
        <v>10</v>
      </c>
      <c r="D2651" t="s">
        <v>20</v>
      </c>
      <c r="E2651">
        <v>93</v>
      </c>
      <c r="F2651">
        <v>51</v>
      </c>
      <c r="G2651">
        <v>8.9</v>
      </c>
      <c r="H2651" t="s">
        <v>18</v>
      </c>
      <c r="I2651" t="s">
        <v>13</v>
      </c>
      <c r="J2651" t="s">
        <v>11</v>
      </c>
    </row>
    <row r="2652" spans="1:10" x14ac:dyDescent="0.25">
      <c r="A2652">
        <v>2651</v>
      </c>
      <c r="B2652" s="1">
        <v>45568</v>
      </c>
      <c r="C2652" t="s">
        <v>14</v>
      </c>
      <c r="D2652" t="s">
        <v>15</v>
      </c>
      <c r="E2652">
        <v>137</v>
      </c>
      <c r="F2652">
        <v>30</v>
      </c>
      <c r="G2652">
        <v>2</v>
      </c>
      <c r="H2652" t="s">
        <v>18</v>
      </c>
      <c r="I2652" t="s">
        <v>13</v>
      </c>
      <c r="J2652" t="s">
        <v>11</v>
      </c>
    </row>
    <row r="2653" spans="1:10" x14ac:dyDescent="0.25">
      <c r="A2653">
        <v>2652</v>
      </c>
      <c r="B2653" s="1">
        <v>45446</v>
      </c>
      <c r="C2653" t="s">
        <v>22</v>
      </c>
      <c r="D2653" t="s">
        <v>15</v>
      </c>
      <c r="E2653">
        <v>69</v>
      </c>
      <c r="F2653">
        <v>10</v>
      </c>
      <c r="G2653">
        <v>9.1999999999999993</v>
      </c>
      <c r="H2653" t="s">
        <v>12</v>
      </c>
      <c r="I2653" t="s">
        <v>16</v>
      </c>
      <c r="J2653" t="s">
        <v>11</v>
      </c>
    </row>
    <row r="2654" spans="1:10" x14ac:dyDescent="0.25">
      <c r="A2654">
        <v>2653</v>
      </c>
      <c r="B2654" s="1">
        <v>45589</v>
      </c>
      <c r="C2654" t="s">
        <v>21</v>
      </c>
      <c r="D2654" t="s">
        <v>20</v>
      </c>
      <c r="E2654">
        <v>7</v>
      </c>
      <c r="F2654">
        <v>49</v>
      </c>
      <c r="G2654">
        <v>1.6</v>
      </c>
      <c r="H2654" t="s">
        <v>18</v>
      </c>
      <c r="I2654" t="s">
        <v>19</v>
      </c>
      <c r="J2654" t="s">
        <v>15</v>
      </c>
    </row>
    <row r="2655" spans="1:10" x14ac:dyDescent="0.25">
      <c r="A2655">
        <v>2654</v>
      </c>
      <c r="B2655" s="1">
        <v>45416</v>
      </c>
      <c r="C2655" t="s">
        <v>14</v>
      </c>
      <c r="D2655" t="s">
        <v>11</v>
      </c>
      <c r="E2655">
        <v>129</v>
      </c>
      <c r="F2655">
        <v>45</v>
      </c>
      <c r="G2655">
        <v>7.1</v>
      </c>
      <c r="H2655" t="s">
        <v>18</v>
      </c>
      <c r="I2655" t="s">
        <v>19</v>
      </c>
      <c r="J2655" t="s">
        <v>15</v>
      </c>
    </row>
    <row r="2656" spans="1:10" x14ac:dyDescent="0.25">
      <c r="A2656">
        <v>2655</v>
      </c>
      <c r="B2656" s="1">
        <v>45613</v>
      </c>
      <c r="C2656" t="s">
        <v>10</v>
      </c>
      <c r="D2656" t="s">
        <v>11</v>
      </c>
      <c r="E2656">
        <v>41</v>
      </c>
      <c r="F2656">
        <v>9</v>
      </c>
      <c r="G2656">
        <v>3.2</v>
      </c>
      <c r="H2656" t="s">
        <v>12</v>
      </c>
      <c r="I2656" t="s">
        <v>13</v>
      </c>
      <c r="J2656" t="s">
        <v>11</v>
      </c>
    </row>
    <row r="2657" spans="1:10" x14ac:dyDescent="0.25">
      <c r="A2657">
        <v>2656</v>
      </c>
      <c r="B2657" s="1">
        <v>45399</v>
      </c>
      <c r="C2657" t="s">
        <v>14</v>
      </c>
      <c r="D2657" t="s">
        <v>11</v>
      </c>
      <c r="E2657">
        <v>152</v>
      </c>
      <c r="F2657">
        <v>14</v>
      </c>
      <c r="G2657">
        <v>4.5</v>
      </c>
      <c r="H2657" t="s">
        <v>12</v>
      </c>
      <c r="I2657" t="s">
        <v>16</v>
      </c>
      <c r="J2657" t="s">
        <v>11</v>
      </c>
    </row>
    <row r="2658" spans="1:10" x14ac:dyDescent="0.25">
      <c r="A2658">
        <v>2657</v>
      </c>
      <c r="B2658" s="1">
        <v>45322</v>
      </c>
      <c r="C2658" t="s">
        <v>23</v>
      </c>
      <c r="D2658" t="s">
        <v>15</v>
      </c>
      <c r="E2658">
        <v>208</v>
      </c>
      <c r="F2658">
        <v>57</v>
      </c>
      <c r="G2658">
        <v>9.6</v>
      </c>
      <c r="H2658" t="s">
        <v>12</v>
      </c>
      <c r="I2658" t="s">
        <v>16</v>
      </c>
      <c r="J2658" t="s">
        <v>11</v>
      </c>
    </row>
    <row r="2659" spans="1:10" x14ac:dyDescent="0.25">
      <c r="A2659">
        <v>2658</v>
      </c>
      <c r="B2659" s="1">
        <v>45348</v>
      </c>
      <c r="C2659" t="s">
        <v>23</v>
      </c>
      <c r="D2659" t="s">
        <v>15</v>
      </c>
      <c r="E2659">
        <v>54</v>
      </c>
      <c r="F2659">
        <v>55</v>
      </c>
      <c r="G2659">
        <v>3.2</v>
      </c>
      <c r="H2659" t="s">
        <v>12</v>
      </c>
      <c r="I2659" t="s">
        <v>16</v>
      </c>
      <c r="J2659" t="s">
        <v>11</v>
      </c>
    </row>
    <row r="2660" spans="1:10" x14ac:dyDescent="0.25">
      <c r="A2660">
        <v>2659</v>
      </c>
      <c r="B2660" s="1">
        <v>45411</v>
      </c>
      <c r="C2660" t="s">
        <v>21</v>
      </c>
      <c r="D2660" t="s">
        <v>15</v>
      </c>
      <c r="E2660">
        <v>59</v>
      </c>
      <c r="F2660">
        <v>58</v>
      </c>
      <c r="G2660">
        <v>4.3</v>
      </c>
      <c r="H2660" t="s">
        <v>18</v>
      </c>
      <c r="I2660" t="s">
        <v>16</v>
      </c>
      <c r="J2660" t="s">
        <v>11</v>
      </c>
    </row>
    <row r="2661" spans="1:10" x14ac:dyDescent="0.25">
      <c r="A2661">
        <v>2660</v>
      </c>
      <c r="B2661" s="1">
        <v>45363</v>
      </c>
      <c r="C2661" t="s">
        <v>22</v>
      </c>
      <c r="D2661" t="s">
        <v>11</v>
      </c>
      <c r="E2661">
        <v>240</v>
      </c>
      <c r="F2661">
        <v>71</v>
      </c>
      <c r="G2661">
        <v>10</v>
      </c>
      <c r="H2661" t="s">
        <v>12</v>
      </c>
      <c r="I2661" t="s">
        <v>16</v>
      </c>
      <c r="J2661" t="s">
        <v>11</v>
      </c>
    </row>
    <row r="2662" spans="1:10" x14ac:dyDescent="0.25">
      <c r="A2662">
        <v>2661</v>
      </c>
      <c r="B2662" s="1">
        <v>45572</v>
      </c>
      <c r="C2662" t="s">
        <v>10</v>
      </c>
      <c r="D2662" t="s">
        <v>15</v>
      </c>
      <c r="E2662">
        <v>84</v>
      </c>
      <c r="F2662">
        <v>49</v>
      </c>
      <c r="G2662">
        <v>7.4</v>
      </c>
      <c r="H2662" t="s">
        <v>18</v>
      </c>
      <c r="I2662" t="s">
        <v>19</v>
      </c>
      <c r="J2662" t="s">
        <v>15</v>
      </c>
    </row>
    <row r="2663" spans="1:10" x14ac:dyDescent="0.25">
      <c r="A2663">
        <v>2662</v>
      </c>
      <c r="B2663" s="1">
        <v>45305</v>
      </c>
      <c r="C2663" t="s">
        <v>10</v>
      </c>
      <c r="D2663" t="s">
        <v>17</v>
      </c>
      <c r="E2663">
        <v>225</v>
      </c>
      <c r="F2663">
        <v>15</v>
      </c>
      <c r="G2663">
        <v>8.6</v>
      </c>
      <c r="H2663" t="s">
        <v>12</v>
      </c>
      <c r="I2663" t="s">
        <v>16</v>
      </c>
      <c r="J2663" t="s">
        <v>11</v>
      </c>
    </row>
    <row r="2664" spans="1:10" x14ac:dyDescent="0.25">
      <c r="A2664">
        <v>2663</v>
      </c>
      <c r="B2664" s="1">
        <v>45454</v>
      </c>
      <c r="C2664" t="s">
        <v>14</v>
      </c>
      <c r="D2664" t="s">
        <v>11</v>
      </c>
      <c r="E2664">
        <v>137</v>
      </c>
      <c r="F2664">
        <v>6</v>
      </c>
      <c r="G2664">
        <v>9.6999999999999993</v>
      </c>
      <c r="H2664" t="s">
        <v>18</v>
      </c>
      <c r="I2664" t="s">
        <v>13</v>
      </c>
      <c r="J2664" t="s">
        <v>20</v>
      </c>
    </row>
    <row r="2665" spans="1:10" x14ac:dyDescent="0.25">
      <c r="A2665">
        <v>2664</v>
      </c>
      <c r="B2665" s="1">
        <v>45438</v>
      </c>
      <c r="C2665" t="s">
        <v>21</v>
      </c>
      <c r="D2665" t="s">
        <v>20</v>
      </c>
      <c r="E2665">
        <v>168</v>
      </c>
      <c r="F2665">
        <v>18</v>
      </c>
      <c r="G2665">
        <v>9.8000000000000007</v>
      </c>
      <c r="H2665" t="s">
        <v>12</v>
      </c>
      <c r="I2665" t="s">
        <v>13</v>
      </c>
      <c r="J2665" t="s">
        <v>11</v>
      </c>
    </row>
    <row r="2666" spans="1:10" x14ac:dyDescent="0.25">
      <c r="A2666">
        <v>2665</v>
      </c>
      <c r="B2666" s="1">
        <v>45450</v>
      </c>
      <c r="C2666" t="s">
        <v>21</v>
      </c>
      <c r="D2666" t="s">
        <v>20</v>
      </c>
      <c r="E2666">
        <v>161</v>
      </c>
      <c r="F2666">
        <v>30</v>
      </c>
      <c r="G2666">
        <v>1.6</v>
      </c>
      <c r="H2666" t="s">
        <v>12</v>
      </c>
      <c r="I2666" t="s">
        <v>13</v>
      </c>
      <c r="J2666" t="s">
        <v>11</v>
      </c>
    </row>
    <row r="2667" spans="1:10" x14ac:dyDescent="0.25">
      <c r="A2667">
        <v>2666</v>
      </c>
      <c r="B2667" s="1">
        <v>45399</v>
      </c>
      <c r="C2667" t="s">
        <v>21</v>
      </c>
      <c r="D2667" t="s">
        <v>15</v>
      </c>
      <c r="E2667">
        <v>150</v>
      </c>
      <c r="F2667">
        <v>63</v>
      </c>
      <c r="G2667">
        <v>1.3</v>
      </c>
      <c r="H2667" t="s">
        <v>12</v>
      </c>
      <c r="I2667" t="s">
        <v>19</v>
      </c>
      <c r="J2667" t="s">
        <v>11</v>
      </c>
    </row>
    <row r="2668" spans="1:10" x14ac:dyDescent="0.25">
      <c r="A2668">
        <v>2667</v>
      </c>
      <c r="B2668" s="1">
        <v>45486</v>
      </c>
      <c r="C2668" t="s">
        <v>23</v>
      </c>
      <c r="D2668" t="s">
        <v>15</v>
      </c>
      <c r="E2668">
        <v>209</v>
      </c>
      <c r="F2668">
        <v>8</v>
      </c>
      <c r="G2668">
        <v>2.2000000000000002</v>
      </c>
      <c r="H2668" t="s">
        <v>12</v>
      </c>
      <c r="I2668" t="s">
        <v>16</v>
      </c>
      <c r="J2668" t="s">
        <v>11</v>
      </c>
    </row>
    <row r="2669" spans="1:10" x14ac:dyDescent="0.25">
      <c r="A2669">
        <v>2668</v>
      </c>
      <c r="B2669" s="1">
        <v>45505</v>
      </c>
      <c r="C2669" t="s">
        <v>10</v>
      </c>
      <c r="D2669" t="s">
        <v>11</v>
      </c>
      <c r="E2669">
        <v>122</v>
      </c>
      <c r="F2669">
        <v>1</v>
      </c>
      <c r="G2669">
        <v>9.1999999999999993</v>
      </c>
      <c r="H2669" t="s">
        <v>12</v>
      </c>
      <c r="I2669" t="s">
        <v>16</v>
      </c>
      <c r="J2669" t="s">
        <v>15</v>
      </c>
    </row>
    <row r="2670" spans="1:10" x14ac:dyDescent="0.25">
      <c r="A2670">
        <v>2669</v>
      </c>
      <c r="B2670" s="1">
        <v>45638</v>
      </c>
      <c r="C2670" t="s">
        <v>22</v>
      </c>
      <c r="D2670" t="s">
        <v>11</v>
      </c>
      <c r="E2670">
        <v>10</v>
      </c>
      <c r="F2670">
        <v>19</v>
      </c>
      <c r="G2670">
        <v>4.7</v>
      </c>
      <c r="H2670" t="s">
        <v>12</v>
      </c>
      <c r="I2670" t="s">
        <v>13</v>
      </c>
      <c r="J2670" t="s">
        <v>15</v>
      </c>
    </row>
    <row r="2671" spans="1:10" x14ac:dyDescent="0.25">
      <c r="A2671">
        <v>2670</v>
      </c>
      <c r="B2671" s="1">
        <v>45607</v>
      </c>
      <c r="C2671" t="s">
        <v>14</v>
      </c>
      <c r="D2671" t="s">
        <v>17</v>
      </c>
      <c r="E2671">
        <v>18</v>
      </c>
      <c r="F2671">
        <v>66</v>
      </c>
      <c r="G2671">
        <v>4.5999999999999996</v>
      </c>
      <c r="H2671" t="s">
        <v>18</v>
      </c>
      <c r="I2671" t="s">
        <v>13</v>
      </c>
      <c r="J2671" t="s">
        <v>15</v>
      </c>
    </row>
    <row r="2672" spans="1:10" x14ac:dyDescent="0.25">
      <c r="A2672">
        <v>2671</v>
      </c>
      <c r="B2672" s="1">
        <v>45639</v>
      </c>
      <c r="C2672" t="s">
        <v>22</v>
      </c>
      <c r="D2672" t="s">
        <v>15</v>
      </c>
      <c r="E2672">
        <v>134</v>
      </c>
      <c r="F2672">
        <v>21</v>
      </c>
      <c r="G2672">
        <v>3.2</v>
      </c>
      <c r="H2672" t="s">
        <v>12</v>
      </c>
      <c r="I2672" t="s">
        <v>13</v>
      </c>
      <c r="J2672" t="s">
        <v>11</v>
      </c>
    </row>
    <row r="2673" spans="1:10" x14ac:dyDescent="0.25">
      <c r="A2673">
        <v>2672</v>
      </c>
      <c r="B2673" s="1">
        <v>45400</v>
      </c>
      <c r="C2673" t="s">
        <v>22</v>
      </c>
      <c r="D2673" t="s">
        <v>11</v>
      </c>
      <c r="E2673">
        <v>160</v>
      </c>
      <c r="F2673">
        <v>37</v>
      </c>
      <c r="G2673">
        <v>3.3</v>
      </c>
      <c r="H2673" t="s">
        <v>12</v>
      </c>
      <c r="I2673" t="s">
        <v>13</v>
      </c>
      <c r="J2673" t="s">
        <v>11</v>
      </c>
    </row>
    <row r="2674" spans="1:10" x14ac:dyDescent="0.25">
      <c r="A2674">
        <v>2673</v>
      </c>
      <c r="B2674" s="1">
        <v>45465</v>
      </c>
      <c r="C2674" t="s">
        <v>14</v>
      </c>
      <c r="D2674" t="s">
        <v>11</v>
      </c>
      <c r="E2674">
        <v>133</v>
      </c>
      <c r="F2674">
        <v>9</v>
      </c>
      <c r="G2674">
        <v>10</v>
      </c>
      <c r="H2674" t="s">
        <v>12</v>
      </c>
      <c r="I2674" t="s">
        <v>19</v>
      </c>
      <c r="J2674" t="s">
        <v>11</v>
      </c>
    </row>
    <row r="2675" spans="1:10" x14ac:dyDescent="0.25">
      <c r="A2675">
        <v>2674</v>
      </c>
      <c r="B2675" s="1">
        <v>45470</v>
      </c>
      <c r="C2675" t="s">
        <v>23</v>
      </c>
      <c r="D2675" t="s">
        <v>20</v>
      </c>
      <c r="E2675">
        <v>51</v>
      </c>
      <c r="F2675">
        <v>43</v>
      </c>
      <c r="G2675">
        <v>6.4</v>
      </c>
      <c r="H2675" t="s">
        <v>12</v>
      </c>
      <c r="I2675" t="s">
        <v>16</v>
      </c>
      <c r="J2675" t="s">
        <v>11</v>
      </c>
    </row>
    <row r="2676" spans="1:10" x14ac:dyDescent="0.25">
      <c r="A2676">
        <v>2675</v>
      </c>
      <c r="B2676" s="1">
        <v>45610</v>
      </c>
      <c r="C2676" t="s">
        <v>10</v>
      </c>
      <c r="D2676" t="s">
        <v>15</v>
      </c>
      <c r="E2676">
        <v>127</v>
      </c>
      <c r="F2676">
        <v>38</v>
      </c>
      <c r="G2676">
        <v>1.2</v>
      </c>
      <c r="H2676" t="s">
        <v>18</v>
      </c>
      <c r="I2676" t="s">
        <v>13</v>
      </c>
      <c r="J2676" t="s">
        <v>11</v>
      </c>
    </row>
    <row r="2677" spans="1:10" x14ac:dyDescent="0.25">
      <c r="A2677">
        <v>2676</v>
      </c>
      <c r="B2677" s="1">
        <v>45517</v>
      </c>
      <c r="C2677" t="s">
        <v>21</v>
      </c>
      <c r="D2677" t="s">
        <v>17</v>
      </c>
      <c r="E2677">
        <v>98</v>
      </c>
      <c r="F2677">
        <v>12</v>
      </c>
      <c r="G2677">
        <v>4.5</v>
      </c>
      <c r="H2677" t="s">
        <v>18</v>
      </c>
      <c r="I2677" t="s">
        <v>16</v>
      </c>
      <c r="J2677" t="s">
        <v>11</v>
      </c>
    </row>
    <row r="2678" spans="1:10" x14ac:dyDescent="0.25">
      <c r="A2678">
        <v>2677</v>
      </c>
      <c r="B2678" s="1">
        <v>45628</v>
      </c>
      <c r="C2678" t="s">
        <v>22</v>
      </c>
      <c r="D2678" t="s">
        <v>11</v>
      </c>
      <c r="E2678">
        <v>82</v>
      </c>
      <c r="F2678">
        <v>39</v>
      </c>
      <c r="G2678">
        <v>7.7</v>
      </c>
      <c r="H2678" t="s">
        <v>18</v>
      </c>
      <c r="I2678" t="s">
        <v>13</v>
      </c>
      <c r="J2678" t="s">
        <v>15</v>
      </c>
    </row>
    <row r="2679" spans="1:10" x14ac:dyDescent="0.25">
      <c r="A2679">
        <v>2678</v>
      </c>
      <c r="B2679" s="1">
        <v>45306</v>
      </c>
      <c r="C2679" t="s">
        <v>23</v>
      </c>
      <c r="D2679" t="s">
        <v>17</v>
      </c>
      <c r="E2679">
        <v>72</v>
      </c>
      <c r="F2679">
        <v>6</v>
      </c>
      <c r="G2679">
        <v>8.6</v>
      </c>
      <c r="H2679" t="s">
        <v>18</v>
      </c>
      <c r="I2679" t="s">
        <v>19</v>
      </c>
      <c r="J2679" t="s">
        <v>15</v>
      </c>
    </row>
    <row r="2680" spans="1:10" x14ac:dyDescent="0.25">
      <c r="A2680">
        <v>2679</v>
      </c>
      <c r="B2680" s="1">
        <v>45482</v>
      </c>
      <c r="C2680" t="s">
        <v>10</v>
      </c>
      <c r="D2680" t="s">
        <v>17</v>
      </c>
      <c r="E2680">
        <v>186</v>
      </c>
      <c r="F2680">
        <v>3</v>
      </c>
      <c r="G2680">
        <v>1.2</v>
      </c>
      <c r="H2680" t="s">
        <v>18</v>
      </c>
      <c r="I2680" t="s">
        <v>13</v>
      </c>
      <c r="J2680" t="s">
        <v>15</v>
      </c>
    </row>
    <row r="2681" spans="1:10" x14ac:dyDescent="0.25">
      <c r="A2681">
        <v>2680</v>
      </c>
      <c r="B2681" s="1">
        <v>45343</v>
      </c>
      <c r="C2681" t="s">
        <v>22</v>
      </c>
      <c r="D2681" t="s">
        <v>15</v>
      </c>
      <c r="E2681">
        <v>90</v>
      </c>
      <c r="F2681">
        <v>63</v>
      </c>
      <c r="G2681">
        <v>1.7</v>
      </c>
      <c r="H2681" t="s">
        <v>12</v>
      </c>
      <c r="I2681" t="s">
        <v>16</v>
      </c>
      <c r="J2681" t="s">
        <v>11</v>
      </c>
    </row>
    <row r="2682" spans="1:10" x14ac:dyDescent="0.25">
      <c r="A2682">
        <v>2681</v>
      </c>
      <c r="B2682" s="1">
        <v>45601</v>
      </c>
      <c r="C2682" t="s">
        <v>10</v>
      </c>
      <c r="D2682" t="s">
        <v>15</v>
      </c>
      <c r="E2682">
        <v>27</v>
      </c>
      <c r="F2682">
        <v>24</v>
      </c>
      <c r="G2682">
        <v>8</v>
      </c>
      <c r="H2682" t="s">
        <v>12</v>
      </c>
      <c r="I2682" t="s">
        <v>13</v>
      </c>
      <c r="J2682" t="s">
        <v>15</v>
      </c>
    </row>
    <row r="2683" spans="1:10" x14ac:dyDescent="0.25">
      <c r="A2683">
        <v>2682</v>
      </c>
      <c r="B2683" s="1">
        <v>45353</v>
      </c>
      <c r="C2683" t="s">
        <v>14</v>
      </c>
      <c r="D2683" t="s">
        <v>20</v>
      </c>
      <c r="E2683">
        <v>10</v>
      </c>
      <c r="F2683">
        <v>20</v>
      </c>
      <c r="G2683">
        <v>1.3</v>
      </c>
      <c r="H2683" t="s">
        <v>12</v>
      </c>
      <c r="I2683" t="s">
        <v>13</v>
      </c>
      <c r="J2683" t="s">
        <v>11</v>
      </c>
    </row>
    <row r="2684" spans="1:10" x14ac:dyDescent="0.25">
      <c r="A2684">
        <v>2683</v>
      </c>
      <c r="B2684" s="1">
        <v>45427</v>
      </c>
      <c r="C2684" t="s">
        <v>23</v>
      </c>
      <c r="D2684" t="s">
        <v>11</v>
      </c>
      <c r="E2684">
        <v>113</v>
      </c>
      <c r="F2684">
        <v>60</v>
      </c>
      <c r="G2684">
        <v>1.4</v>
      </c>
      <c r="H2684" t="s">
        <v>18</v>
      </c>
      <c r="I2684" t="s">
        <v>19</v>
      </c>
      <c r="J2684" t="s">
        <v>11</v>
      </c>
    </row>
    <row r="2685" spans="1:10" x14ac:dyDescent="0.25">
      <c r="A2685">
        <v>2684</v>
      </c>
      <c r="B2685" s="1">
        <v>45551</v>
      </c>
      <c r="C2685" t="s">
        <v>14</v>
      </c>
      <c r="D2685" t="s">
        <v>20</v>
      </c>
      <c r="E2685">
        <v>95</v>
      </c>
      <c r="F2685">
        <v>43</v>
      </c>
      <c r="G2685">
        <v>2.9</v>
      </c>
      <c r="H2685" t="s">
        <v>12</v>
      </c>
      <c r="I2685" t="s">
        <v>16</v>
      </c>
      <c r="J2685" t="s">
        <v>11</v>
      </c>
    </row>
    <row r="2686" spans="1:10" x14ac:dyDescent="0.25">
      <c r="A2686">
        <v>2685</v>
      </c>
      <c r="B2686" s="1">
        <v>45450</v>
      </c>
      <c r="C2686" t="s">
        <v>23</v>
      </c>
      <c r="D2686" t="s">
        <v>20</v>
      </c>
      <c r="E2686">
        <v>63</v>
      </c>
      <c r="F2686">
        <v>25</v>
      </c>
      <c r="G2686">
        <v>6.8</v>
      </c>
      <c r="H2686" t="s">
        <v>12</v>
      </c>
      <c r="I2686" t="s">
        <v>13</v>
      </c>
      <c r="J2686" t="s">
        <v>11</v>
      </c>
    </row>
    <row r="2687" spans="1:10" x14ac:dyDescent="0.25">
      <c r="A2687">
        <v>2686</v>
      </c>
      <c r="B2687" s="1">
        <v>45486</v>
      </c>
      <c r="C2687" t="s">
        <v>10</v>
      </c>
      <c r="D2687" t="s">
        <v>17</v>
      </c>
      <c r="E2687">
        <v>54</v>
      </c>
      <c r="F2687">
        <v>49</v>
      </c>
      <c r="G2687">
        <v>5</v>
      </c>
      <c r="H2687" t="s">
        <v>18</v>
      </c>
      <c r="I2687" t="s">
        <v>13</v>
      </c>
      <c r="J2687" t="s">
        <v>11</v>
      </c>
    </row>
    <row r="2688" spans="1:10" x14ac:dyDescent="0.25">
      <c r="A2688">
        <v>2687</v>
      </c>
      <c r="B2688" s="1">
        <v>45634</v>
      </c>
      <c r="C2688" t="s">
        <v>22</v>
      </c>
      <c r="D2688" t="s">
        <v>15</v>
      </c>
      <c r="E2688">
        <v>25</v>
      </c>
      <c r="F2688">
        <v>29</v>
      </c>
      <c r="G2688">
        <v>7.3</v>
      </c>
      <c r="H2688" t="s">
        <v>18</v>
      </c>
      <c r="I2688" t="s">
        <v>19</v>
      </c>
      <c r="J2688" t="s">
        <v>20</v>
      </c>
    </row>
    <row r="2689" spans="1:10" x14ac:dyDescent="0.25">
      <c r="A2689">
        <v>2688</v>
      </c>
      <c r="B2689" s="1">
        <v>45370</v>
      </c>
      <c r="C2689" t="s">
        <v>14</v>
      </c>
      <c r="D2689" t="s">
        <v>17</v>
      </c>
      <c r="E2689">
        <v>19</v>
      </c>
      <c r="F2689">
        <v>31</v>
      </c>
      <c r="G2689">
        <v>3.8</v>
      </c>
      <c r="H2689" t="s">
        <v>18</v>
      </c>
      <c r="I2689" t="s">
        <v>13</v>
      </c>
      <c r="J2689" t="s">
        <v>15</v>
      </c>
    </row>
    <row r="2690" spans="1:10" x14ac:dyDescent="0.25">
      <c r="A2690">
        <v>2689</v>
      </c>
      <c r="B2690" s="1">
        <v>45607</v>
      </c>
      <c r="C2690" t="s">
        <v>10</v>
      </c>
      <c r="D2690" t="s">
        <v>20</v>
      </c>
      <c r="E2690">
        <v>131</v>
      </c>
      <c r="F2690">
        <v>48</v>
      </c>
      <c r="G2690">
        <v>1.6</v>
      </c>
      <c r="H2690" t="s">
        <v>18</v>
      </c>
      <c r="I2690" t="s">
        <v>19</v>
      </c>
      <c r="J2690" t="s">
        <v>11</v>
      </c>
    </row>
    <row r="2691" spans="1:10" x14ac:dyDescent="0.25">
      <c r="A2691">
        <v>2690</v>
      </c>
      <c r="B2691" s="1">
        <v>45644</v>
      </c>
      <c r="C2691" t="s">
        <v>23</v>
      </c>
      <c r="D2691" t="s">
        <v>20</v>
      </c>
      <c r="E2691">
        <v>51</v>
      </c>
      <c r="F2691">
        <v>49</v>
      </c>
      <c r="G2691">
        <v>2.2999999999999998</v>
      </c>
      <c r="H2691" t="s">
        <v>12</v>
      </c>
      <c r="I2691" t="s">
        <v>16</v>
      </c>
      <c r="J2691" t="s">
        <v>11</v>
      </c>
    </row>
    <row r="2692" spans="1:10" x14ac:dyDescent="0.25">
      <c r="A2692">
        <v>2691</v>
      </c>
      <c r="B2692" s="1">
        <v>45373</v>
      </c>
      <c r="C2692" t="s">
        <v>14</v>
      </c>
      <c r="D2692" t="s">
        <v>11</v>
      </c>
      <c r="E2692">
        <v>8</v>
      </c>
      <c r="F2692">
        <v>60</v>
      </c>
      <c r="G2692">
        <v>6.7</v>
      </c>
      <c r="H2692" t="s">
        <v>18</v>
      </c>
      <c r="I2692" t="s">
        <v>13</v>
      </c>
      <c r="J2692" t="s">
        <v>20</v>
      </c>
    </row>
    <row r="2693" spans="1:10" x14ac:dyDescent="0.25">
      <c r="A2693">
        <v>2692</v>
      </c>
      <c r="B2693" s="1">
        <v>45358</v>
      </c>
      <c r="C2693" t="s">
        <v>23</v>
      </c>
      <c r="D2693" t="s">
        <v>20</v>
      </c>
      <c r="E2693">
        <v>141</v>
      </c>
      <c r="F2693">
        <v>65</v>
      </c>
      <c r="G2693">
        <v>6</v>
      </c>
      <c r="H2693" t="s">
        <v>18</v>
      </c>
      <c r="I2693" t="s">
        <v>19</v>
      </c>
      <c r="J2693" t="s">
        <v>11</v>
      </c>
    </row>
    <row r="2694" spans="1:10" x14ac:dyDescent="0.25">
      <c r="A2694">
        <v>2693</v>
      </c>
      <c r="B2694" s="1">
        <v>45414</v>
      </c>
      <c r="C2694" t="s">
        <v>23</v>
      </c>
      <c r="D2694" t="s">
        <v>17</v>
      </c>
      <c r="E2694">
        <v>48</v>
      </c>
      <c r="F2694">
        <v>1</v>
      </c>
      <c r="G2694">
        <v>1.9</v>
      </c>
      <c r="H2694" t="s">
        <v>18</v>
      </c>
      <c r="I2694" t="s">
        <v>19</v>
      </c>
      <c r="J2694" t="s">
        <v>15</v>
      </c>
    </row>
    <row r="2695" spans="1:10" x14ac:dyDescent="0.25">
      <c r="A2695">
        <v>2694</v>
      </c>
      <c r="B2695" s="1">
        <v>45425</v>
      </c>
      <c r="C2695" t="s">
        <v>14</v>
      </c>
      <c r="D2695" t="s">
        <v>11</v>
      </c>
      <c r="E2695">
        <v>196</v>
      </c>
      <c r="F2695">
        <v>31</v>
      </c>
      <c r="G2695">
        <v>9.5</v>
      </c>
      <c r="H2695" t="s">
        <v>18</v>
      </c>
      <c r="I2695" t="s">
        <v>19</v>
      </c>
      <c r="J2695" t="s">
        <v>15</v>
      </c>
    </row>
    <row r="2696" spans="1:10" x14ac:dyDescent="0.25">
      <c r="A2696">
        <v>2695</v>
      </c>
      <c r="B2696" s="1">
        <v>45651</v>
      </c>
      <c r="C2696" t="s">
        <v>22</v>
      </c>
      <c r="D2696" t="s">
        <v>11</v>
      </c>
      <c r="E2696">
        <v>148</v>
      </c>
      <c r="F2696">
        <v>17</v>
      </c>
      <c r="G2696">
        <v>9.8000000000000007</v>
      </c>
      <c r="H2696" t="s">
        <v>12</v>
      </c>
      <c r="I2696" t="s">
        <v>16</v>
      </c>
      <c r="J2696" t="s">
        <v>11</v>
      </c>
    </row>
    <row r="2697" spans="1:10" x14ac:dyDescent="0.25">
      <c r="A2697">
        <v>2696</v>
      </c>
      <c r="B2697" s="1">
        <v>45452</v>
      </c>
      <c r="C2697" t="s">
        <v>10</v>
      </c>
      <c r="D2697" t="s">
        <v>15</v>
      </c>
      <c r="E2697">
        <v>66</v>
      </c>
      <c r="F2697">
        <v>48</v>
      </c>
      <c r="G2697">
        <v>6.5</v>
      </c>
      <c r="H2697" t="s">
        <v>12</v>
      </c>
      <c r="I2697" t="s">
        <v>19</v>
      </c>
      <c r="J2697" t="s">
        <v>11</v>
      </c>
    </row>
    <row r="2698" spans="1:10" x14ac:dyDescent="0.25">
      <c r="A2698">
        <v>2697</v>
      </c>
      <c r="B2698" s="1">
        <v>45434</v>
      </c>
      <c r="C2698" t="s">
        <v>10</v>
      </c>
      <c r="D2698" t="s">
        <v>20</v>
      </c>
      <c r="E2698">
        <v>8</v>
      </c>
      <c r="F2698">
        <v>51</v>
      </c>
      <c r="G2698">
        <v>5.8</v>
      </c>
      <c r="H2698" t="s">
        <v>12</v>
      </c>
      <c r="I2698" t="s">
        <v>16</v>
      </c>
      <c r="J2698" t="s">
        <v>15</v>
      </c>
    </row>
    <row r="2699" spans="1:10" x14ac:dyDescent="0.25">
      <c r="A2699">
        <v>2698</v>
      </c>
      <c r="B2699" s="1">
        <v>45596</v>
      </c>
      <c r="C2699" t="s">
        <v>14</v>
      </c>
      <c r="D2699" t="s">
        <v>20</v>
      </c>
      <c r="E2699">
        <v>159</v>
      </c>
      <c r="F2699">
        <v>21</v>
      </c>
      <c r="G2699">
        <v>0.5</v>
      </c>
      <c r="H2699" t="s">
        <v>12</v>
      </c>
      <c r="I2699" t="s">
        <v>16</v>
      </c>
      <c r="J2699" t="s">
        <v>11</v>
      </c>
    </row>
    <row r="2700" spans="1:10" x14ac:dyDescent="0.25">
      <c r="A2700">
        <v>2699</v>
      </c>
      <c r="B2700" s="1">
        <v>45427</v>
      </c>
      <c r="C2700" t="s">
        <v>14</v>
      </c>
      <c r="D2700" t="s">
        <v>15</v>
      </c>
      <c r="E2700">
        <v>40</v>
      </c>
      <c r="F2700">
        <v>14</v>
      </c>
      <c r="G2700">
        <v>1.6</v>
      </c>
      <c r="H2700" t="s">
        <v>12</v>
      </c>
      <c r="I2700" t="s">
        <v>13</v>
      </c>
      <c r="J2700" t="s">
        <v>11</v>
      </c>
    </row>
    <row r="2701" spans="1:10" x14ac:dyDescent="0.25">
      <c r="A2701">
        <v>2700</v>
      </c>
      <c r="B2701" s="1">
        <v>45606</v>
      </c>
      <c r="C2701" t="s">
        <v>23</v>
      </c>
      <c r="D2701" t="s">
        <v>11</v>
      </c>
      <c r="E2701">
        <v>157</v>
      </c>
      <c r="F2701">
        <v>59</v>
      </c>
      <c r="G2701">
        <v>3.1</v>
      </c>
      <c r="H2701" t="s">
        <v>18</v>
      </c>
      <c r="I2701" t="s">
        <v>19</v>
      </c>
      <c r="J2701" t="s">
        <v>11</v>
      </c>
    </row>
    <row r="2702" spans="1:10" x14ac:dyDescent="0.25">
      <c r="A2702">
        <v>2701</v>
      </c>
      <c r="B2702" s="1">
        <v>45522</v>
      </c>
      <c r="C2702" t="s">
        <v>23</v>
      </c>
      <c r="D2702" t="s">
        <v>15</v>
      </c>
      <c r="E2702">
        <v>72</v>
      </c>
      <c r="F2702">
        <v>9</v>
      </c>
      <c r="G2702">
        <v>4.4000000000000004</v>
      </c>
      <c r="H2702" t="s">
        <v>12</v>
      </c>
      <c r="I2702" t="s">
        <v>13</v>
      </c>
      <c r="J2702" t="s">
        <v>11</v>
      </c>
    </row>
    <row r="2703" spans="1:10" x14ac:dyDescent="0.25">
      <c r="A2703">
        <v>2702</v>
      </c>
      <c r="B2703" s="1">
        <v>45544</v>
      </c>
      <c r="C2703" t="s">
        <v>23</v>
      </c>
      <c r="D2703" t="s">
        <v>11</v>
      </c>
      <c r="E2703">
        <v>14</v>
      </c>
      <c r="F2703">
        <v>22</v>
      </c>
      <c r="G2703">
        <v>5.6</v>
      </c>
      <c r="H2703" t="s">
        <v>18</v>
      </c>
      <c r="I2703" t="s">
        <v>16</v>
      </c>
      <c r="J2703" t="s">
        <v>20</v>
      </c>
    </row>
    <row r="2704" spans="1:10" x14ac:dyDescent="0.25">
      <c r="A2704">
        <v>2703</v>
      </c>
      <c r="B2704" s="1">
        <v>45621</v>
      </c>
      <c r="C2704" t="s">
        <v>14</v>
      </c>
      <c r="D2704" t="s">
        <v>11</v>
      </c>
      <c r="E2704">
        <v>35</v>
      </c>
      <c r="F2704">
        <v>70</v>
      </c>
      <c r="G2704">
        <v>0.5</v>
      </c>
      <c r="H2704" t="s">
        <v>18</v>
      </c>
      <c r="I2704" t="s">
        <v>19</v>
      </c>
      <c r="J2704" t="s">
        <v>11</v>
      </c>
    </row>
    <row r="2705" spans="1:10" x14ac:dyDescent="0.25">
      <c r="A2705">
        <v>2704</v>
      </c>
      <c r="B2705" s="1">
        <v>45331</v>
      </c>
      <c r="C2705" t="s">
        <v>10</v>
      </c>
      <c r="D2705" t="s">
        <v>17</v>
      </c>
      <c r="E2705">
        <v>102</v>
      </c>
      <c r="F2705">
        <v>42</v>
      </c>
      <c r="G2705">
        <v>4.0999999999999996</v>
      </c>
      <c r="H2705" t="s">
        <v>12</v>
      </c>
      <c r="I2705" t="s">
        <v>13</v>
      </c>
      <c r="J2705" t="s">
        <v>11</v>
      </c>
    </row>
    <row r="2706" spans="1:10" x14ac:dyDescent="0.25">
      <c r="A2706">
        <v>2705</v>
      </c>
      <c r="B2706" s="1">
        <v>45417</v>
      </c>
      <c r="C2706" t="s">
        <v>21</v>
      </c>
      <c r="D2706" t="s">
        <v>15</v>
      </c>
      <c r="E2706">
        <v>63</v>
      </c>
      <c r="F2706">
        <v>51</v>
      </c>
      <c r="G2706">
        <v>1.9</v>
      </c>
      <c r="H2706" t="s">
        <v>18</v>
      </c>
      <c r="I2706" t="s">
        <v>13</v>
      </c>
      <c r="J2706" t="s">
        <v>11</v>
      </c>
    </row>
    <row r="2707" spans="1:10" x14ac:dyDescent="0.25">
      <c r="A2707">
        <v>2706</v>
      </c>
      <c r="B2707" s="1">
        <v>45580</v>
      </c>
      <c r="C2707" t="s">
        <v>23</v>
      </c>
      <c r="D2707" t="s">
        <v>11</v>
      </c>
      <c r="E2707">
        <v>178</v>
      </c>
      <c r="F2707">
        <v>65</v>
      </c>
      <c r="G2707">
        <v>7.7</v>
      </c>
      <c r="H2707" t="s">
        <v>18</v>
      </c>
      <c r="I2707" t="s">
        <v>13</v>
      </c>
      <c r="J2707" t="s">
        <v>15</v>
      </c>
    </row>
    <row r="2708" spans="1:10" x14ac:dyDescent="0.25">
      <c r="A2708">
        <v>2707</v>
      </c>
      <c r="B2708" s="1">
        <v>45561</v>
      </c>
      <c r="C2708" t="s">
        <v>22</v>
      </c>
      <c r="D2708" t="s">
        <v>11</v>
      </c>
      <c r="E2708">
        <v>73</v>
      </c>
      <c r="F2708">
        <v>35</v>
      </c>
      <c r="G2708">
        <v>8.3000000000000007</v>
      </c>
      <c r="H2708" t="s">
        <v>12</v>
      </c>
      <c r="I2708" t="s">
        <v>16</v>
      </c>
      <c r="J2708" t="s">
        <v>11</v>
      </c>
    </row>
    <row r="2709" spans="1:10" x14ac:dyDescent="0.25">
      <c r="A2709">
        <v>2708</v>
      </c>
      <c r="B2709" s="1">
        <v>45460</v>
      </c>
      <c r="C2709" t="s">
        <v>14</v>
      </c>
      <c r="D2709" t="s">
        <v>17</v>
      </c>
      <c r="E2709">
        <v>160</v>
      </c>
      <c r="F2709">
        <v>32</v>
      </c>
      <c r="G2709">
        <v>5.2</v>
      </c>
      <c r="H2709" t="s">
        <v>18</v>
      </c>
      <c r="I2709" t="s">
        <v>19</v>
      </c>
      <c r="J2709" t="s">
        <v>11</v>
      </c>
    </row>
    <row r="2710" spans="1:10" x14ac:dyDescent="0.25">
      <c r="A2710">
        <v>2709</v>
      </c>
      <c r="B2710" s="1">
        <v>45463</v>
      </c>
      <c r="C2710" t="s">
        <v>10</v>
      </c>
      <c r="D2710" t="s">
        <v>11</v>
      </c>
      <c r="E2710">
        <v>92</v>
      </c>
      <c r="F2710">
        <v>29</v>
      </c>
      <c r="G2710">
        <v>0.8</v>
      </c>
      <c r="H2710" t="s">
        <v>18</v>
      </c>
      <c r="I2710" t="s">
        <v>13</v>
      </c>
      <c r="J2710" t="s">
        <v>11</v>
      </c>
    </row>
    <row r="2711" spans="1:10" x14ac:dyDescent="0.25">
      <c r="A2711">
        <v>2710</v>
      </c>
      <c r="B2711" s="1">
        <v>45419</v>
      </c>
      <c r="C2711" t="s">
        <v>14</v>
      </c>
      <c r="D2711" t="s">
        <v>15</v>
      </c>
      <c r="E2711">
        <v>157</v>
      </c>
      <c r="F2711">
        <v>44</v>
      </c>
      <c r="G2711">
        <v>2</v>
      </c>
      <c r="H2711" t="s">
        <v>12</v>
      </c>
      <c r="I2711" t="s">
        <v>13</v>
      </c>
      <c r="J2711" t="s">
        <v>11</v>
      </c>
    </row>
    <row r="2712" spans="1:10" x14ac:dyDescent="0.25">
      <c r="A2712">
        <v>2711</v>
      </c>
      <c r="B2712" s="1">
        <v>45407</v>
      </c>
      <c r="C2712" t="s">
        <v>10</v>
      </c>
      <c r="D2712" t="s">
        <v>11</v>
      </c>
      <c r="E2712">
        <v>231</v>
      </c>
      <c r="F2712">
        <v>8</v>
      </c>
      <c r="G2712">
        <v>3.3</v>
      </c>
      <c r="H2712" t="s">
        <v>18</v>
      </c>
      <c r="I2712" t="s">
        <v>13</v>
      </c>
      <c r="J2712" t="s">
        <v>11</v>
      </c>
    </row>
    <row r="2713" spans="1:10" x14ac:dyDescent="0.25">
      <c r="A2713">
        <v>2712</v>
      </c>
      <c r="B2713" s="1">
        <v>45475</v>
      </c>
      <c r="C2713" t="s">
        <v>14</v>
      </c>
      <c r="D2713" t="s">
        <v>17</v>
      </c>
      <c r="E2713">
        <v>51</v>
      </c>
      <c r="F2713">
        <v>49</v>
      </c>
      <c r="G2713">
        <v>5.0999999999999996</v>
      </c>
      <c r="H2713" t="s">
        <v>12</v>
      </c>
      <c r="I2713" t="s">
        <v>19</v>
      </c>
      <c r="J2713" t="s">
        <v>11</v>
      </c>
    </row>
    <row r="2714" spans="1:10" x14ac:dyDescent="0.25">
      <c r="A2714">
        <v>2713</v>
      </c>
      <c r="B2714" s="1">
        <v>45465</v>
      </c>
      <c r="C2714" t="s">
        <v>21</v>
      </c>
      <c r="D2714" t="s">
        <v>20</v>
      </c>
      <c r="E2714">
        <v>133</v>
      </c>
      <c r="F2714">
        <v>42</v>
      </c>
      <c r="G2714">
        <v>6.7</v>
      </c>
      <c r="H2714" t="s">
        <v>18</v>
      </c>
      <c r="I2714" t="s">
        <v>19</v>
      </c>
      <c r="J2714" t="s">
        <v>11</v>
      </c>
    </row>
    <row r="2715" spans="1:10" x14ac:dyDescent="0.25">
      <c r="A2715">
        <v>2714</v>
      </c>
      <c r="B2715" s="1">
        <v>45541</v>
      </c>
      <c r="C2715" t="s">
        <v>21</v>
      </c>
      <c r="D2715" t="s">
        <v>17</v>
      </c>
      <c r="E2715">
        <v>205</v>
      </c>
      <c r="F2715">
        <v>45</v>
      </c>
      <c r="G2715">
        <v>3.6</v>
      </c>
      <c r="H2715" t="s">
        <v>18</v>
      </c>
      <c r="I2715" t="s">
        <v>19</v>
      </c>
      <c r="J2715" t="s">
        <v>11</v>
      </c>
    </row>
    <row r="2716" spans="1:10" x14ac:dyDescent="0.25">
      <c r="A2716">
        <v>2715</v>
      </c>
      <c r="B2716" s="1">
        <v>45530</v>
      </c>
      <c r="C2716" t="s">
        <v>14</v>
      </c>
      <c r="D2716" t="s">
        <v>20</v>
      </c>
      <c r="E2716">
        <v>10</v>
      </c>
      <c r="F2716">
        <v>14</v>
      </c>
      <c r="G2716">
        <v>4.4000000000000004</v>
      </c>
      <c r="H2716" t="s">
        <v>12</v>
      </c>
      <c r="I2716" t="s">
        <v>13</v>
      </c>
      <c r="J2716" t="s">
        <v>11</v>
      </c>
    </row>
    <row r="2717" spans="1:10" x14ac:dyDescent="0.25">
      <c r="A2717">
        <v>2716</v>
      </c>
      <c r="B2717" s="1">
        <v>45608</v>
      </c>
      <c r="C2717" t="s">
        <v>14</v>
      </c>
      <c r="D2717" t="s">
        <v>15</v>
      </c>
      <c r="E2717">
        <v>97</v>
      </c>
      <c r="F2717">
        <v>71</v>
      </c>
      <c r="G2717">
        <v>6.1</v>
      </c>
      <c r="H2717" t="s">
        <v>18</v>
      </c>
      <c r="I2717" t="s">
        <v>13</v>
      </c>
      <c r="J2717" t="s">
        <v>15</v>
      </c>
    </row>
    <row r="2718" spans="1:10" x14ac:dyDescent="0.25">
      <c r="A2718">
        <v>2717</v>
      </c>
      <c r="B2718" s="1">
        <v>45640</v>
      </c>
      <c r="C2718" t="s">
        <v>21</v>
      </c>
      <c r="D2718" t="s">
        <v>20</v>
      </c>
      <c r="E2718">
        <v>218</v>
      </c>
      <c r="F2718">
        <v>27</v>
      </c>
      <c r="G2718">
        <v>1.1000000000000001</v>
      </c>
      <c r="H2718" t="s">
        <v>18</v>
      </c>
      <c r="I2718" t="s">
        <v>13</v>
      </c>
      <c r="J2718" t="s">
        <v>11</v>
      </c>
    </row>
    <row r="2719" spans="1:10" x14ac:dyDescent="0.25">
      <c r="A2719">
        <v>2718</v>
      </c>
      <c r="B2719" s="1">
        <v>45522</v>
      </c>
      <c r="C2719" t="s">
        <v>14</v>
      </c>
      <c r="D2719" t="s">
        <v>11</v>
      </c>
      <c r="E2719">
        <v>198</v>
      </c>
      <c r="F2719">
        <v>19</v>
      </c>
      <c r="G2719">
        <v>9.6999999999999993</v>
      </c>
      <c r="H2719" t="s">
        <v>18</v>
      </c>
      <c r="I2719" t="s">
        <v>19</v>
      </c>
      <c r="J2719" t="s">
        <v>15</v>
      </c>
    </row>
    <row r="2720" spans="1:10" x14ac:dyDescent="0.25">
      <c r="A2720">
        <v>2719</v>
      </c>
      <c r="B2720" s="1">
        <v>45435</v>
      </c>
      <c r="C2720" t="s">
        <v>14</v>
      </c>
      <c r="D2720" t="s">
        <v>15</v>
      </c>
      <c r="E2720">
        <v>230</v>
      </c>
      <c r="F2720">
        <v>72</v>
      </c>
      <c r="G2720">
        <v>8.6999999999999993</v>
      </c>
      <c r="H2720" t="s">
        <v>18</v>
      </c>
      <c r="I2720" t="s">
        <v>13</v>
      </c>
      <c r="J2720" t="s">
        <v>15</v>
      </c>
    </row>
    <row r="2721" spans="1:10" x14ac:dyDescent="0.25">
      <c r="A2721">
        <v>2720</v>
      </c>
      <c r="B2721" s="1">
        <v>45606</v>
      </c>
      <c r="C2721" t="s">
        <v>23</v>
      </c>
      <c r="D2721" t="s">
        <v>15</v>
      </c>
      <c r="E2721">
        <v>206</v>
      </c>
      <c r="F2721">
        <v>40</v>
      </c>
      <c r="G2721">
        <v>9</v>
      </c>
      <c r="H2721" t="s">
        <v>18</v>
      </c>
      <c r="I2721" t="s">
        <v>19</v>
      </c>
      <c r="J2721" t="s">
        <v>15</v>
      </c>
    </row>
    <row r="2722" spans="1:10" x14ac:dyDescent="0.25">
      <c r="A2722">
        <v>2721</v>
      </c>
      <c r="B2722" s="1">
        <v>45394</v>
      </c>
      <c r="C2722" t="s">
        <v>23</v>
      </c>
      <c r="D2722" t="s">
        <v>17</v>
      </c>
      <c r="E2722">
        <v>72</v>
      </c>
      <c r="F2722">
        <v>31</v>
      </c>
      <c r="G2722">
        <v>9.1</v>
      </c>
      <c r="H2722" t="s">
        <v>12</v>
      </c>
      <c r="I2722" t="s">
        <v>19</v>
      </c>
      <c r="J2722" t="s">
        <v>11</v>
      </c>
    </row>
    <row r="2723" spans="1:10" x14ac:dyDescent="0.25">
      <c r="A2723">
        <v>2722</v>
      </c>
      <c r="B2723" s="1">
        <v>45621</v>
      </c>
      <c r="C2723" t="s">
        <v>23</v>
      </c>
      <c r="D2723" t="s">
        <v>17</v>
      </c>
      <c r="E2723">
        <v>203</v>
      </c>
      <c r="F2723">
        <v>33</v>
      </c>
      <c r="G2723">
        <v>0.8</v>
      </c>
      <c r="H2723" t="s">
        <v>18</v>
      </c>
      <c r="I2723" t="s">
        <v>13</v>
      </c>
      <c r="J2723" t="s">
        <v>11</v>
      </c>
    </row>
    <row r="2724" spans="1:10" x14ac:dyDescent="0.25">
      <c r="A2724">
        <v>2723</v>
      </c>
      <c r="B2724" s="1">
        <v>45396</v>
      </c>
      <c r="C2724" t="s">
        <v>22</v>
      </c>
      <c r="D2724" t="s">
        <v>20</v>
      </c>
      <c r="E2724">
        <v>221</v>
      </c>
      <c r="F2724">
        <v>47</v>
      </c>
      <c r="G2724">
        <v>8.8000000000000007</v>
      </c>
      <c r="H2724" t="s">
        <v>12</v>
      </c>
      <c r="I2724" t="s">
        <v>19</v>
      </c>
      <c r="J2724" t="s">
        <v>11</v>
      </c>
    </row>
    <row r="2725" spans="1:10" x14ac:dyDescent="0.25">
      <c r="A2725">
        <v>2724</v>
      </c>
      <c r="B2725" s="1">
        <v>45643</v>
      </c>
      <c r="C2725" t="s">
        <v>21</v>
      </c>
      <c r="D2725" t="s">
        <v>11</v>
      </c>
      <c r="E2725">
        <v>192</v>
      </c>
      <c r="F2725">
        <v>4</v>
      </c>
      <c r="G2725">
        <v>9.8000000000000007</v>
      </c>
      <c r="H2725" t="s">
        <v>12</v>
      </c>
      <c r="I2725" t="s">
        <v>19</v>
      </c>
      <c r="J2725" t="s">
        <v>15</v>
      </c>
    </row>
    <row r="2726" spans="1:10" x14ac:dyDescent="0.25">
      <c r="A2726">
        <v>2725</v>
      </c>
      <c r="B2726" s="1">
        <v>45494</v>
      </c>
      <c r="C2726" t="s">
        <v>23</v>
      </c>
      <c r="D2726" t="s">
        <v>15</v>
      </c>
      <c r="E2726">
        <v>166</v>
      </c>
      <c r="F2726">
        <v>45</v>
      </c>
      <c r="G2726">
        <v>7.5</v>
      </c>
      <c r="H2726" t="s">
        <v>18</v>
      </c>
      <c r="I2726" t="s">
        <v>13</v>
      </c>
      <c r="J2726" t="s">
        <v>15</v>
      </c>
    </row>
    <row r="2727" spans="1:10" x14ac:dyDescent="0.25">
      <c r="A2727">
        <v>2726</v>
      </c>
      <c r="B2727" s="1">
        <v>45621</v>
      </c>
      <c r="C2727" t="s">
        <v>23</v>
      </c>
      <c r="D2727" t="s">
        <v>20</v>
      </c>
      <c r="E2727">
        <v>38</v>
      </c>
      <c r="F2727">
        <v>6</v>
      </c>
      <c r="G2727">
        <v>8.1</v>
      </c>
      <c r="H2727" t="s">
        <v>12</v>
      </c>
      <c r="I2727" t="s">
        <v>19</v>
      </c>
      <c r="J2727" t="s">
        <v>15</v>
      </c>
    </row>
    <row r="2728" spans="1:10" x14ac:dyDescent="0.25">
      <c r="A2728">
        <v>2727</v>
      </c>
      <c r="B2728" s="1">
        <v>45339</v>
      </c>
      <c r="C2728" t="s">
        <v>10</v>
      </c>
      <c r="D2728" t="s">
        <v>11</v>
      </c>
      <c r="E2728">
        <v>92</v>
      </c>
      <c r="F2728">
        <v>51</v>
      </c>
      <c r="G2728">
        <v>9.4</v>
      </c>
      <c r="H2728" t="s">
        <v>18</v>
      </c>
      <c r="I2728" t="s">
        <v>16</v>
      </c>
      <c r="J2728" t="s">
        <v>15</v>
      </c>
    </row>
    <row r="2729" spans="1:10" x14ac:dyDescent="0.25">
      <c r="A2729">
        <v>2728</v>
      </c>
      <c r="B2729" s="1">
        <v>45328</v>
      </c>
      <c r="C2729" t="s">
        <v>21</v>
      </c>
      <c r="D2729" t="s">
        <v>15</v>
      </c>
      <c r="E2729">
        <v>9</v>
      </c>
      <c r="F2729">
        <v>4</v>
      </c>
      <c r="G2729">
        <v>6.7</v>
      </c>
      <c r="H2729" t="s">
        <v>12</v>
      </c>
      <c r="I2729" t="s">
        <v>19</v>
      </c>
      <c r="J2729" t="s">
        <v>20</v>
      </c>
    </row>
    <row r="2730" spans="1:10" x14ac:dyDescent="0.25">
      <c r="A2730">
        <v>2729</v>
      </c>
      <c r="B2730" s="1">
        <v>45411</v>
      </c>
      <c r="C2730" t="s">
        <v>22</v>
      </c>
      <c r="D2730" t="s">
        <v>15</v>
      </c>
      <c r="E2730">
        <v>219</v>
      </c>
      <c r="F2730">
        <v>2</v>
      </c>
      <c r="G2730">
        <v>6.6</v>
      </c>
      <c r="H2730" t="s">
        <v>18</v>
      </c>
      <c r="I2730" t="s">
        <v>13</v>
      </c>
      <c r="J2730" t="s">
        <v>20</v>
      </c>
    </row>
    <row r="2731" spans="1:10" x14ac:dyDescent="0.25">
      <c r="A2731">
        <v>2730</v>
      </c>
      <c r="B2731" s="1">
        <v>45516</v>
      </c>
      <c r="C2731" t="s">
        <v>23</v>
      </c>
      <c r="D2731" t="s">
        <v>11</v>
      </c>
      <c r="E2731">
        <v>50</v>
      </c>
      <c r="F2731">
        <v>50</v>
      </c>
      <c r="G2731">
        <v>5</v>
      </c>
      <c r="H2731" t="s">
        <v>18</v>
      </c>
      <c r="I2731" t="s">
        <v>16</v>
      </c>
      <c r="J2731" t="s">
        <v>15</v>
      </c>
    </row>
    <row r="2732" spans="1:10" x14ac:dyDescent="0.25">
      <c r="A2732">
        <v>2731</v>
      </c>
      <c r="B2732" s="1">
        <v>45386</v>
      </c>
      <c r="C2732" t="s">
        <v>23</v>
      </c>
      <c r="D2732" t="s">
        <v>17</v>
      </c>
      <c r="E2732">
        <v>10</v>
      </c>
      <c r="F2732">
        <v>34</v>
      </c>
      <c r="G2732">
        <v>6.4</v>
      </c>
      <c r="H2732" t="s">
        <v>12</v>
      </c>
      <c r="I2732" t="s">
        <v>19</v>
      </c>
      <c r="J2732" t="s">
        <v>15</v>
      </c>
    </row>
    <row r="2733" spans="1:10" x14ac:dyDescent="0.25">
      <c r="A2733">
        <v>2732</v>
      </c>
      <c r="B2733" s="1">
        <v>45459</v>
      </c>
      <c r="C2733" t="s">
        <v>23</v>
      </c>
      <c r="D2733" t="s">
        <v>20</v>
      </c>
      <c r="E2733">
        <v>221</v>
      </c>
      <c r="F2733">
        <v>10</v>
      </c>
      <c r="G2733">
        <v>5.8</v>
      </c>
      <c r="H2733" t="s">
        <v>18</v>
      </c>
      <c r="I2733" t="s">
        <v>19</v>
      </c>
      <c r="J2733" t="s">
        <v>11</v>
      </c>
    </row>
    <row r="2734" spans="1:10" x14ac:dyDescent="0.25">
      <c r="A2734">
        <v>2733</v>
      </c>
      <c r="B2734" s="1">
        <v>45311</v>
      </c>
      <c r="C2734" t="s">
        <v>10</v>
      </c>
      <c r="D2734" t="s">
        <v>11</v>
      </c>
      <c r="E2734">
        <v>124</v>
      </c>
      <c r="F2734">
        <v>57</v>
      </c>
      <c r="G2734">
        <v>4.9000000000000004</v>
      </c>
      <c r="H2734" t="s">
        <v>12</v>
      </c>
      <c r="I2734" t="s">
        <v>13</v>
      </c>
      <c r="J2734" t="s">
        <v>11</v>
      </c>
    </row>
    <row r="2735" spans="1:10" x14ac:dyDescent="0.25">
      <c r="A2735">
        <v>2734</v>
      </c>
      <c r="B2735" s="1">
        <v>45590</v>
      </c>
      <c r="C2735" t="s">
        <v>22</v>
      </c>
      <c r="D2735" t="s">
        <v>20</v>
      </c>
      <c r="E2735">
        <v>104</v>
      </c>
      <c r="F2735">
        <v>72</v>
      </c>
      <c r="G2735">
        <v>8.9</v>
      </c>
      <c r="H2735" t="s">
        <v>18</v>
      </c>
      <c r="I2735" t="s">
        <v>16</v>
      </c>
      <c r="J2735" t="s">
        <v>11</v>
      </c>
    </row>
    <row r="2736" spans="1:10" x14ac:dyDescent="0.25">
      <c r="A2736">
        <v>2735</v>
      </c>
      <c r="B2736" s="1">
        <v>45397</v>
      </c>
      <c r="C2736" t="s">
        <v>23</v>
      </c>
      <c r="D2736" t="s">
        <v>11</v>
      </c>
      <c r="E2736">
        <v>40</v>
      </c>
      <c r="F2736">
        <v>57</v>
      </c>
      <c r="G2736">
        <v>0.7</v>
      </c>
      <c r="H2736" t="s">
        <v>18</v>
      </c>
      <c r="I2736" t="s">
        <v>19</v>
      </c>
      <c r="J2736" t="s">
        <v>11</v>
      </c>
    </row>
    <row r="2737" spans="1:10" x14ac:dyDescent="0.25">
      <c r="A2737">
        <v>2736</v>
      </c>
      <c r="B2737" s="1">
        <v>45409</v>
      </c>
      <c r="C2737" t="s">
        <v>14</v>
      </c>
      <c r="D2737" t="s">
        <v>17</v>
      </c>
      <c r="E2737">
        <v>121</v>
      </c>
      <c r="F2737">
        <v>12</v>
      </c>
      <c r="G2737">
        <v>1.8</v>
      </c>
      <c r="H2737" t="s">
        <v>12</v>
      </c>
      <c r="I2737" t="s">
        <v>13</v>
      </c>
      <c r="J2737" t="s">
        <v>11</v>
      </c>
    </row>
    <row r="2738" spans="1:10" x14ac:dyDescent="0.25">
      <c r="A2738">
        <v>2737</v>
      </c>
      <c r="B2738" s="1">
        <v>45361</v>
      </c>
      <c r="C2738" t="s">
        <v>14</v>
      </c>
      <c r="D2738" t="s">
        <v>15</v>
      </c>
      <c r="E2738">
        <v>28</v>
      </c>
      <c r="F2738">
        <v>63</v>
      </c>
      <c r="G2738">
        <v>9.6</v>
      </c>
      <c r="H2738" t="s">
        <v>18</v>
      </c>
      <c r="I2738" t="s">
        <v>16</v>
      </c>
      <c r="J2738" t="s">
        <v>20</v>
      </c>
    </row>
    <row r="2739" spans="1:10" x14ac:dyDescent="0.25">
      <c r="A2739">
        <v>2738</v>
      </c>
      <c r="B2739" s="1">
        <v>45584</v>
      </c>
      <c r="C2739" t="s">
        <v>21</v>
      </c>
      <c r="D2739" t="s">
        <v>17</v>
      </c>
      <c r="E2739">
        <v>36</v>
      </c>
      <c r="F2739">
        <v>57</v>
      </c>
      <c r="G2739">
        <v>4.3</v>
      </c>
      <c r="H2739" t="s">
        <v>18</v>
      </c>
      <c r="I2739" t="s">
        <v>13</v>
      </c>
      <c r="J2739" t="s">
        <v>11</v>
      </c>
    </row>
    <row r="2740" spans="1:10" x14ac:dyDescent="0.25">
      <c r="A2740">
        <v>2739</v>
      </c>
      <c r="B2740" s="1">
        <v>45298</v>
      </c>
      <c r="C2740" t="s">
        <v>23</v>
      </c>
      <c r="D2740" t="s">
        <v>11</v>
      </c>
      <c r="E2740">
        <v>218</v>
      </c>
      <c r="F2740">
        <v>11</v>
      </c>
      <c r="G2740">
        <v>6.3</v>
      </c>
      <c r="H2740" t="s">
        <v>18</v>
      </c>
      <c r="I2740" t="s">
        <v>16</v>
      </c>
      <c r="J2740" t="s">
        <v>15</v>
      </c>
    </row>
    <row r="2741" spans="1:10" x14ac:dyDescent="0.25">
      <c r="A2741">
        <v>2740</v>
      </c>
      <c r="B2741" s="1">
        <v>45505</v>
      </c>
      <c r="C2741" t="s">
        <v>22</v>
      </c>
      <c r="D2741" t="s">
        <v>20</v>
      </c>
      <c r="E2741">
        <v>178</v>
      </c>
      <c r="F2741">
        <v>57</v>
      </c>
      <c r="G2741">
        <v>2.8</v>
      </c>
      <c r="H2741" t="s">
        <v>12</v>
      </c>
      <c r="I2741" t="s">
        <v>19</v>
      </c>
      <c r="J2741" t="s">
        <v>11</v>
      </c>
    </row>
    <row r="2742" spans="1:10" x14ac:dyDescent="0.25">
      <c r="A2742">
        <v>2741</v>
      </c>
      <c r="B2742" s="1">
        <v>45538</v>
      </c>
      <c r="C2742" t="s">
        <v>22</v>
      </c>
      <c r="D2742" t="s">
        <v>11</v>
      </c>
      <c r="E2742">
        <v>54</v>
      </c>
      <c r="F2742">
        <v>71</v>
      </c>
      <c r="G2742">
        <v>2.7</v>
      </c>
      <c r="H2742" t="s">
        <v>12</v>
      </c>
      <c r="I2742" t="s">
        <v>13</v>
      </c>
      <c r="J2742" t="s">
        <v>11</v>
      </c>
    </row>
    <row r="2743" spans="1:10" x14ac:dyDescent="0.25">
      <c r="A2743">
        <v>2742</v>
      </c>
      <c r="B2743" s="1">
        <v>45524</v>
      </c>
      <c r="C2743" t="s">
        <v>21</v>
      </c>
      <c r="D2743" t="s">
        <v>11</v>
      </c>
      <c r="E2743">
        <v>11</v>
      </c>
      <c r="F2743">
        <v>39</v>
      </c>
      <c r="G2743">
        <v>8</v>
      </c>
      <c r="H2743" t="s">
        <v>18</v>
      </c>
      <c r="I2743" t="s">
        <v>19</v>
      </c>
      <c r="J2743" t="s">
        <v>20</v>
      </c>
    </row>
    <row r="2744" spans="1:10" x14ac:dyDescent="0.25">
      <c r="A2744">
        <v>2743</v>
      </c>
      <c r="B2744" s="1">
        <v>45434</v>
      </c>
      <c r="C2744" t="s">
        <v>23</v>
      </c>
      <c r="D2744" t="s">
        <v>15</v>
      </c>
      <c r="E2744">
        <v>179</v>
      </c>
      <c r="F2744">
        <v>57</v>
      </c>
      <c r="G2744">
        <v>9.4</v>
      </c>
      <c r="H2744" t="s">
        <v>12</v>
      </c>
      <c r="I2744" t="s">
        <v>16</v>
      </c>
      <c r="J2744" t="s">
        <v>11</v>
      </c>
    </row>
    <row r="2745" spans="1:10" x14ac:dyDescent="0.25">
      <c r="A2745">
        <v>2744</v>
      </c>
      <c r="B2745" s="1">
        <v>45297</v>
      </c>
      <c r="C2745" t="s">
        <v>21</v>
      </c>
      <c r="D2745" t="s">
        <v>11</v>
      </c>
      <c r="E2745">
        <v>23</v>
      </c>
      <c r="F2745">
        <v>36</v>
      </c>
      <c r="G2745">
        <v>1.7</v>
      </c>
      <c r="H2745" t="s">
        <v>12</v>
      </c>
      <c r="I2745" t="s">
        <v>16</v>
      </c>
      <c r="J2745" t="s">
        <v>15</v>
      </c>
    </row>
    <row r="2746" spans="1:10" x14ac:dyDescent="0.25">
      <c r="A2746">
        <v>2745</v>
      </c>
      <c r="B2746" s="1">
        <v>45650</v>
      </c>
      <c r="C2746" t="s">
        <v>21</v>
      </c>
      <c r="D2746" t="s">
        <v>17</v>
      </c>
      <c r="E2746">
        <v>212</v>
      </c>
      <c r="F2746">
        <v>4</v>
      </c>
      <c r="G2746">
        <v>2.7</v>
      </c>
      <c r="H2746" t="s">
        <v>12</v>
      </c>
      <c r="I2746" t="s">
        <v>19</v>
      </c>
      <c r="J2746" t="s">
        <v>11</v>
      </c>
    </row>
    <row r="2747" spans="1:10" x14ac:dyDescent="0.25">
      <c r="A2747">
        <v>2746</v>
      </c>
      <c r="B2747" s="1">
        <v>45420</v>
      </c>
      <c r="C2747" t="s">
        <v>22</v>
      </c>
      <c r="D2747" t="s">
        <v>11</v>
      </c>
      <c r="E2747">
        <v>110</v>
      </c>
      <c r="F2747">
        <v>12</v>
      </c>
      <c r="G2747">
        <v>5.0999999999999996</v>
      </c>
      <c r="H2747" t="s">
        <v>18</v>
      </c>
      <c r="I2747" t="s">
        <v>13</v>
      </c>
      <c r="J2747" t="s">
        <v>15</v>
      </c>
    </row>
    <row r="2748" spans="1:10" x14ac:dyDescent="0.25">
      <c r="A2748">
        <v>2747</v>
      </c>
      <c r="B2748" s="1">
        <v>45626</v>
      </c>
      <c r="C2748" t="s">
        <v>21</v>
      </c>
      <c r="D2748" t="s">
        <v>11</v>
      </c>
      <c r="E2748">
        <v>183</v>
      </c>
      <c r="F2748">
        <v>48</v>
      </c>
      <c r="G2748">
        <v>7.2</v>
      </c>
      <c r="H2748" t="s">
        <v>18</v>
      </c>
      <c r="I2748" t="s">
        <v>19</v>
      </c>
      <c r="J2748" t="s">
        <v>15</v>
      </c>
    </row>
    <row r="2749" spans="1:10" x14ac:dyDescent="0.25">
      <c r="A2749">
        <v>2748</v>
      </c>
      <c r="B2749" s="1">
        <v>45367</v>
      </c>
      <c r="C2749" t="s">
        <v>21</v>
      </c>
      <c r="D2749" t="s">
        <v>15</v>
      </c>
      <c r="E2749">
        <v>44</v>
      </c>
      <c r="F2749">
        <v>56</v>
      </c>
      <c r="G2749">
        <v>0.8</v>
      </c>
      <c r="H2749" t="s">
        <v>12</v>
      </c>
      <c r="I2749" t="s">
        <v>16</v>
      </c>
      <c r="J2749" t="s">
        <v>11</v>
      </c>
    </row>
    <row r="2750" spans="1:10" x14ac:dyDescent="0.25">
      <c r="A2750">
        <v>2749</v>
      </c>
      <c r="B2750" s="1">
        <v>45584</v>
      </c>
      <c r="C2750" t="s">
        <v>21</v>
      </c>
      <c r="D2750" t="s">
        <v>15</v>
      </c>
      <c r="E2750">
        <v>110</v>
      </c>
      <c r="F2750">
        <v>4</v>
      </c>
      <c r="G2750">
        <v>6.4</v>
      </c>
      <c r="H2750" t="s">
        <v>18</v>
      </c>
      <c r="I2750" t="s">
        <v>16</v>
      </c>
      <c r="J2750" t="s">
        <v>20</v>
      </c>
    </row>
    <row r="2751" spans="1:10" x14ac:dyDescent="0.25">
      <c r="A2751">
        <v>2750</v>
      </c>
      <c r="B2751" s="1">
        <v>45505</v>
      </c>
      <c r="C2751" t="s">
        <v>22</v>
      </c>
      <c r="D2751" t="s">
        <v>11</v>
      </c>
      <c r="E2751">
        <v>164</v>
      </c>
      <c r="F2751">
        <v>11</v>
      </c>
      <c r="G2751">
        <v>1.5</v>
      </c>
      <c r="H2751" t="s">
        <v>12</v>
      </c>
      <c r="I2751" t="s">
        <v>19</v>
      </c>
      <c r="J2751" t="s">
        <v>11</v>
      </c>
    </row>
    <row r="2752" spans="1:10" x14ac:dyDescent="0.25">
      <c r="A2752">
        <v>2751</v>
      </c>
      <c r="B2752" s="1">
        <v>45323</v>
      </c>
      <c r="C2752" t="s">
        <v>23</v>
      </c>
      <c r="D2752" t="s">
        <v>17</v>
      </c>
      <c r="E2752">
        <v>198</v>
      </c>
      <c r="F2752">
        <v>71</v>
      </c>
      <c r="G2752">
        <v>4.4000000000000004</v>
      </c>
      <c r="H2752" t="s">
        <v>18</v>
      </c>
      <c r="I2752" t="s">
        <v>16</v>
      </c>
      <c r="J2752" t="s">
        <v>11</v>
      </c>
    </row>
    <row r="2753" spans="1:10" x14ac:dyDescent="0.25">
      <c r="A2753">
        <v>2752</v>
      </c>
      <c r="B2753" s="1">
        <v>45511</v>
      </c>
      <c r="C2753" t="s">
        <v>23</v>
      </c>
      <c r="D2753" t="s">
        <v>17</v>
      </c>
      <c r="E2753">
        <v>213</v>
      </c>
      <c r="F2753">
        <v>67</v>
      </c>
      <c r="G2753">
        <v>4.8</v>
      </c>
      <c r="H2753" t="s">
        <v>12</v>
      </c>
      <c r="I2753" t="s">
        <v>16</v>
      </c>
      <c r="J2753" t="s">
        <v>11</v>
      </c>
    </row>
    <row r="2754" spans="1:10" x14ac:dyDescent="0.25">
      <c r="A2754">
        <v>2753</v>
      </c>
      <c r="B2754" s="1">
        <v>45611</v>
      </c>
      <c r="C2754" t="s">
        <v>14</v>
      </c>
      <c r="D2754" t="s">
        <v>20</v>
      </c>
      <c r="E2754">
        <v>161</v>
      </c>
      <c r="F2754">
        <v>52</v>
      </c>
      <c r="G2754">
        <v>7.4</v>
      </c>
      <c r="H2754" t="s">
        <v>12</v>
      </c>
      <c r="I2754" t="s">
        <v>16</v>
      </c>
      <c r="J2754" t="s">
        <v>11</v>
      </c>
    </row>
    <row r="2755" spans="1:10" x14ac:dyDescent="0.25">
      <c r="A2755">
        <v>2754</v>
      </c>
      <c r="B2755" s="1">
        <v>45540</v>
      </c>
      <c r="C2755" t="s">
        <v>23</v>
      </c>
      <c r="D2755" t="s">
        <v>11</v>
      </c>
      <c r="E2755">
        <v>153</v>
      </c>
      <c r="F2755">
        <v>10</v>
      </c>
      <c r="G2755">
        <v>3.2</v>
      </c>
      <c r="H2755" t="s">
        <v>12</v>
      </c>
      <c r="I2755" t="s">
        <v>19</v>
      </c>
      <c r="J2755" t="s">
        <v>11</v>
      </c>
    </row>
    <row r="2756" spans="1:10" x14ac:dyDescent="0.25">
      <c r="A2756">
        <v>2755</v>
      </c>
      <c r="B2756" s="1">
        <v>45512</v>
      </c>
      <c r="C2756" t="s">
        <v>10</v>
      </c>
      <c r="D2756" t="s">
        <v>20</v>
      </c>
      <c r="E2756">
        <v>129</v>
      </c>
      <c r="F2756">
        <v>13</v>
      </c>
      <c r="G2756">
        <v>2.8</v>
      </c>
      <c r="H2756" t="s">
        <v>12</v>
      </c>
      <c r="I2756" t="s">
        <v>16</v>
      </c>
      <c r="J2756" t="s">
        <v>11</v>
      </c>
    </row>
    <row r="2757" spans="1:10" x14ac:dyDescent="0.25">
      <c r="A2757">
        <v>2756</v>
      </c>
      <c r="B2757" s="1">
        <v>45514</v>
      </c>
      <c r="C2757" t="s">
        <v>22</v>
      </c>
      <c r="D2757" t="s">
        <v>11</v>
      </c>
      <c r="E2757">
        <v>46</v>
      </c>
      <c r="F2757">
        <v>37</v>
      </c>
      <c r="G2757">
        <v>4.0999999999999996</v>
      </c>
      <c r="H2757" t="s">
        <v>12</v>
      </c>
      <c r="I2757" t="s">
        <v>16</v>
      </c>
      <c r="J2757" t="s">
        <v>11</v>
      </c>
    </row>
    <row r="2758" spans="1:10" x14ac:dyDescent="0.25">
      <c r="A2758">
        <v>2757</v>
      </c>
      <c r="B2758" s="1">
        <v>45342</v>
      </c>
      <c r="C2758" t="s">
        <v>14</v>
      </c>
      <c r="D2758" t="s">
        <v>15</v>
      </c>
      <c r="E2758">
        <v>18</v>
      </c>
      <c r="F2758">
        <v>14</v>
      </c>
      <c r="G2758">
        <v>6.3</v>
      </c>
      <c r="H2758" t="s">
        <v>12</v>
      </c>
      <c r="I2758" t="s">
        <v>16</v>
      </c>
      <c r="J2758" t="s">
        <v>15</v>
      </c>
    </row>
    <row r="2759" spans="1:10" x14ac:dyDescent="0.25">
      <c r="A2759">
        <v>2758</v>
      </c>
      <c r="B2759" s="1">
        <v>45573</v>
      </c>
      <c r="C2759" t="s">
        <v>22</v>
      </c>
      <c r="D2759" t="s">
        <v>20</v>
      </c>
      <c r="E2759">
        <v>213</v>
      </c>
      <c r="F2759">
        <v>43</v>
      </c>
      <c r="G2759">
        <v>1.8</v>
      </c>
      <c r="H2759" t="s">
        <v>12</v>
      </c>
      <c r="I2759" t="s">
        <v>19</v>
      </c>
      <c r="J2759" t="s">
        <v>11</v>
      </c>
    </row>
    <row r="2760" spans="1:10" x14ac:dyDescent="0.25">
      <c r="A2760">
        <v>2759</v>
      </c>
      <c r="B2760" s="1">
        <v>45656</v>
      </c>
      <c r="C2760" t="s">
        <v>21</v>
      </c>
      <c r="D2760" t="s">
        <v>17</v>
      </c>
      <c r="E2760">
        <v>132</v>
      </c>
      <c r="F2760">
        <v>5</v>
      </c>
      <c r="G2760">
        <v>9.5</v>
      </c>
      <c r="H2760" t="s">
        <v>18</v>
      </c>
      <c r="I2760" t="s">
        <v>19</v>
      </c>
      <c r="J2760" t="s">
        <v>15</v>
      </c>
    </row>
    <row r="2761" spans="1:10" x14ac:dyDescent="0.25">
      <c r="A2761">
        <v>2760</v>
      </c>
      <c r="B2761" s="1">
        <v>45411</v>
      </c>
      <c r="C2761" t="s">
        <v>14</v>
      </c>
      <c r="D2761" t="s">
        <v>15</v>
      </c>
      <c r="E2761">
        <v>42</v>
      </c>
      <c r="F2761">
        <v>22</v>
      </c>
      <c r="G2761">
        <v>6</v>
      </c>
      <c r="H2761" t="s">
        <v>12</v>
      </c>
      <c r="I2761" t="s">
        <v>19</v>
      </c>
      <c r="J2761" t="s">
        <v>11</v>
      </c>
    </row>
    <row r="2762" spans="1:10" x14ac:dyDescent="0.25">
      <c r="A2762">
        <v>2761</v>
      </c>
      <c r="B2762" s="1">
        <v>45412</v>
      </c>
      <c r="C2762" t="s">
        <v>23</v>
      </c>
      <c r="D2762" t="s">
        <v>11</v>
      </c>
      <c r="E2762">
        <v>10</v>
      </c>
      <c r="F2762">
        <v>48</v>
      </c>
      <c r="G2762">
        <v>4.9000000000000004</v>
      </c>
      <c r="H2762" t="s">
        <v>18</v>
      </c>
      <c r="I2762" t="s">
        <v>13</v>
      </c>
      <c r="J2762" t="s">
        <v>15</v>
      </c>
    </row>
    <row r="2763" spans="1:10" x14ac:dyDescent="0.25">
      <c r="A2763">
        <v>2762</v>
      </c>
      <c r="B2763" s="1">
        <v>45570</v>
      </c>
      <c r="C2763" t="s">
        <v>22</v>
      </c>
      <c r="D2763" t="s">
        <v>15</v>
      </c>
      <c r="E2763">
        <v>90</v>
      </c>
      <c r="F2763">
        <v>47</v>
      </c>
      <c r="G2763">
        <v>8.1</v>
      </c>
      <c r="H2763" t="s">
        <v>12</v>
      </c>
      <c r="I2763" t="s">
        <v>13</v>
      </c>
      <c r="J2763" t="s">
        <v>11</v>
      </c>
    </row>
    <row r="2764" spans="1:10" x14ac:dyDescent="0.25">
      <c r="A2764">
        <v>2763</v>
      </c>
      <c r="B2764" s="1">
        <v>45446</v>
      </c>
      <c r="C2764" t="s">
        <v>14</v>
      </c>
      <c r="D2764" t="s">
        <v>20</v>
      </c>
      <c r="E2764">
        <v>220</v>
      </c>
      <c r="F2764">
        <v>66</v>
      </c>
      <c r="G2764">
        <v>6.4</v>
      </c>
      <c r="H2764" t="s">
        <v>18</v>
      </c>
      <c r="I2764" t="s">
        <v>19</v>
      </c>
      <c r="J2764" t="s">
        <v>11</v>
      </c>
    </row>
    <row r="2765" spans="1:10" x14ac:dyDescent="0.25">
      <c r="A2765">
        <v>2764</v>
      </c>
      <c r="B2765" s="1">
        <v>45569</v>
      </c>
      <c r="C2765" t="s">
        <v>21</v>
      </c>
      <c r="D2765" t="s">
        <v>15</v>
      </c>
      <c r="E2765">
        <v>153</v>
      </c>
      <c r="F2765">
        <v>61</v>
      </c>
      <c r="G2765">
        <v>3.6</v>
      </c>
      <c r="H2765" t="s">
        <v>12</v>
      </c>
      <c r="I2765" t="s">
        <v>16</v>
      </c>
      <c r="J2765" t="s">
        <v>11</v>
      </c>
    </row>
    <row r="2766" spans="1:10" x14ac:dyDescent="0.25">
      <c r="A2766">
        <v>2765</v>
      </c>
      <c r="B2766" s="1">
        <v>45480</v>
      </c>
      <c r="C2766" t="s">
        <v>10</v>
      </c>
      <c r="D2766" t="s">
        <v>20</v>
      </c>
      <c r="E2766">
        <v>151</v>
      </c>
      <c r="F2766">
        <v>11</v>
      </c>
      <c r="G2766">
        <v>1.7</v>
      </c>
      <c r="H2766" t="s">
        <v>18</v>
      </c>
      <c r="I2766" t="s">
        <v>13</v>
      </c>
      <c r="J2766" t="s">
        <v>11</v>
      </c>
    </row>
    <row r="2767" spans="1:10" x14ac:dyDescent="0.25">
      <c r="A2767">
        <v>2766</v>
      </c>
      <c r="B2767" s="1">
        <v>45368</v>
      </c>
      <c r="C2767" t="s">
        <v>22</v>
      </c>
      <c r="D2767" t="s">
        <v>17</v>
      </c>
      <c r="E2767">
        <v>240</v>
      </c>
      <c r="F2767">
        <v>18</v>
      </c>
      <c r="G2767">
        <v>3.7</v>
      </c>
      <c r="H2767" t="s">
        <v>18</v>
      </c>
      <c r="I2767" t="s">
        <v>13</v>
      </c>
      <c r="J2767" t="s">
        <v>11</v>
      </c>
    </row>
    <row r="2768" spans="1:10" x14ac:dyDescent="0.25">
      <c r="A2768">
        <v>2767</v>
      </c>
      <c r="B2768" s="1">
        <v>45463</v>
      </c>
      <c r="C2768" t="s">
        <v>10</v>
      </c>
      <c r="D2768" t="s">
        <v>17</v>
      </c>
      <c r="E2768">
        <v>144</v>
      </c>
      <c r="F2768">
        <v>55</v>
      </c>
      <c r="G2768">
        <v>4.2</v>
      </c>
      <c r="H2768" t="s">
        <v>12</v>
      </c>
      <c r="I2768" t="s">
        <v>19</v>
      </c>
      <c r="J2768" t="s">
        <v>11</v>
      </c>
    </row>
    <row r="2769" spans="1:10" x14ac:dyDescent="0.25">
      <c r="A2769">
        <v>2768</v>
      </c>
      <c r="B2769" s="1">
        <v>45472</v>
      </c>
      <c r="C2769" t="s">
        <v>10</v>
      </c>
      <c r="D2769" t="s">
        <v>11</v>
      </c>
      <c r="E2769">
        <v>110</v>
      </c>
      <c r="F2769">
        <v>20</v>
      </c>
      <c r="G2769">
        <v>3.1</v>
      </c>
      <c r="H2769" t="s">
        <v>12</v>
      </c>
      <c r="I2769" t="s">
        <v>19</v>
      </c>
      <c r="J2769" t="s">
        <v>11</v>
      </c>
    </row>
    <row r="2770" spans="1:10" x14ac:dyDescent="0.25">
      <c r="A2770">
        <v>2769</v>
      </c>
      <c r="B2770" s="1">
        <v>45379</v>
      </c>
      <c r="C2770" t="s">
        <v>21</v>
      </c>
      <c r="D2770" t="s">
        <v>11</v>
      </c>
      <c r="E2770">
        <v>47</v>
      </c>
      <c r="F2770">
        <v>61</v>
      </c>
      <c r="G2770">
        <v>8.8000000000000007</v>
      </c>
      <c r="H2770" t="s">
        <v>18</v>
      </c>
      <c r="I2770" t="s">
        <v>13</v>
      </c>
      <c r="J2770" t="s">
        <v>15</v>
      </c>
    </row>
    <row r="2771" spans="1:10" x14ac:dyDescent="0.25">
      <c r="A2771">
        <v>2770</v>
      </c>
      <c r="B2771" s="1">
        <v>45416</v>
      </c>
      <c r="C2771" t="s">
        <v>14</v>
      </c>
      <c r="D2771" t="s">
        <v>17</v>
      </c>
      <c r="E2771">
        <v>46</v>
      </c>
      <c r="F2771">
        <v>37</v>
      </c>
      <c r="G2771">
        <v>6.6</v>
      </c>
      <c r="H2771" t="s">
        <v>12</v>
      </c>
      <c r="I2771" t="s">
        <v>13</v>
      </c>
      <c r="J2771" t="s">
        <v>11</v>
      </c>
    </row>
    <row r="2772" spans="1:10" x14ac:dyDescent="0.25">
      <c r="A2772">
        <v>2771</v>
      </c>
      <c r="B2772" s="1">
        <v>45575</v>
      </c>
      <c r="C2772" t="s">
        <v>21</v>
      </c>
      <c r="D2772" t="s">
        <v>15</v>
      </c>
      <c r="E2772">
        <v>182</v>
      </c>
      <c r="F2772">
        <v>10</v>
      </c>
      <c r="G2772">
        <v>8.6</v>
      </c>
      <c r="H2772" t="s">
        <v>12</v>
      </c>
      <c r="I2772" t="s">
        <v>16</v>
      </c>
      <c r="J2772" t="s">
        <v>11</v>
      </c>
    </row>
    <row r="2773" spans="1:10" x14ac:dyDescent="0.25">
      <c r="A2773">
        <v>2772</v>
      </c>
      <c r="B2773" s="1">
        <v>45303</v>
      </c>
      <c r="C2773" t="s">
        <v>23</v>
      </c>
      <c r="D2773" t="s">
        <v>15</v>
      </c>
      <c r="E2773">
        <v>195</v>
      </c>
      <c r="F2773">
        <v>39</v>
      </c>
      <c r="G2773">
        <v>9.1999999999999993</v>
      </c>
      <c r="H2773" t="s">
        <v>12</v>
      </c>
      <c r="I2773" t="s">
        <v>19</v>
      </c>
      <c r="J2773" t="s">
        <v>11</v>
      </c>
    </row>
    <row r="2774" spans="1:10" x14ac:dyDescent="0.25">
      <c r="A2774">
        <v>2773</v>
      </c>
      <c r="B2774" s="1">
        <v>45538</v>
      </c>
      <c r="C2774" t="s">
        <v>22</v>
      </c>
      <c r="D2774" t="s">
        <v>20</v>
      </c>
      <c r="E2774">
        <v>18</v>
      </c>
      <c r="F2774">
        <v>38</v>
      </c>
      <c r="G2774">
        <v>3.7</v>
      </c>
      <c r="H2774" t="s">
        <v>18</v>
      </c>
      <c r="I2774" t="s">
        <v>19</v>
      </c>
      <c r="J2774" t="s">
        <v>15</v>
      </c>
    </row>
    <row r="2775" spans="1:10" x14ac:dyDescent="0.25">
      <c r="A2775">
        <v>2774</v>
      </c>
      <c r="B2775" s="1">
        <v>45369</v>
      </c>
      <c r="C2775" t="s">
        <v>14</v>
      </c>
      <c r="D2775" t="s">
        <v>11</v>
      </c>
      <c r="E2775">
        <v>137</v>
      </c>
      <c r="F2775">
        <v>11</v>
      </c>
      <c r="G2775">
        <v>7.2</v>
      </c>
      <c r="H2775" t="s">
        <v>18</v>
      </c>
      <c r="I2775" t="s">
        <v>16</v>
      </c>
      <c r="J2775" t="s">
        <v>15</v>
      </c>
    </row>
    <row r="2776" spans="1:10" x14ac:dyDescent="0.25">
      <c r="A2776">
        <v>2775</v>
      </c>
      <c r="B2776" s="1">
        <v>45341</v>
      </c>
      <c r="C2776" t="s">
        <v>14</v>
      </c>
      <c r="D2776" t="s">
        <v>17</v>
      </c>
      <c r="E2776">
        <v>233</v>
      </c>
      <c r="F2776">
        <v>58</v>
      </c>
      <c r="G2776">
        <v>9.5</v>
      </c>
      <c r="H2776" t="s">
        <v>12</v>
      </c>
      <c r="I2776" t="s">
        <v>16</v>
      </c>
      <c r="J2776" t="s">
        <v>11</v>
      </c>
    </row>
    <row r="2777" spans="1:10" x14ac:dyDescent="0.25">
      <c r="A2777">
        <v>2776</v>
      </c>
      <c r="B2777" s="1">
        <v>45588</v>
      </c>
      <c r="C2777" t="s">
        <v>14</v>
      </c>
      <c r="D2777" t="s">
        <v>11</v>
      </c>
      <c r="E2777">
        <v>75</v>
      </c>
      <c r="F2777">
        <v>51</v>
      </c>
      <c r="G2777">
        <v>1.1000000000000001</v>
      </c>
      <c r="H2777" t="s">
        <v>18</v>
      </c>
      <c r="I2777" t="s">
        <v>13</v>
      </c>
      <c r="J2777" t="s">
        <v>11</v>
      </c>
    </row>
    <row r="2778" spans="1:10" x14ac:dyDescent="0.25">
      <c r="A2778">
        <v>2777</v>
      </c>
      <c r="B2778" s="1">
        <v>45500</v>
      </c>
      <c r="C2778" t="s">
        <v>14</v>
      </c>
      <c r="D2778" t="s">
        <v>20</v>
      </c>
      <c r="E2778">
        <v>189</v>
      </c>
      <c r="F2778">
        <v>35</v>
      </c>
      <c r="G2778">
        <v>7.7</v>
      </c>
      <c r="H2778" t="s">
        <v>12</v>
      </c>
      <c r="I2778" t="s">
        <v>13</v>
      </c>
      <c r="J2778" t="s">
        <v>11</v>
      </c>
    </row>
    <row r="2779" spans="1:10" x14ac:dyDescent="0.25">
      <c r="A2779">
        <v>2778</v>
      </c>
      <c r="B2779" s="1">
        <v>45371</v>
      </c>
      <c r="C2779" t="s">
        <v>21</v>
      </c>
      <c r="D2779" t="s">
        <v>15</v>
      </c>
      <c r="E2779">
        <v>195</v>
      </c>
      <c r="F2779">
        <v>29</v>
      </c>
      <c r="G2779">
        <v>4.2</v>
      </c>
      <c r="H2779" t="s">
        <v>12</v>
      </c>
      <c r="I2779" t="s">
        <v>19</v>
      </c>
      <c r="J2779" t="s">
        <v>11</v>
      </c>
    </row>
    <row r="2780" spans="1:10" x14ac:dyDescent="0.25">
      <c r="A2780">
        <v>2779</v>
      </c>
      <c r="B2780" s="1">
        <v>45391</v>
      </c>
      <c r="C2780" t="s">
        <v>23</v>
      </c>
      <c r="D2780" t="s">
        <v>17</v>
      </c>
      <c r="E2780">
        <v>227</v>
      </c>
      <c r="F2780">
        <v>49</v>
      </c>
      <c r="G2780">
        <v>8.8000000000000007</v>
      </c>
      <c r="H2780" t="s">
        <v>18</v>
      </c>
      <c r="I2780" t="s">
        <v>13</v>
      </c>
      <c r="J2780" t="s">
        <v>11</v>
      </c>
    </row>
    <row r="2781" spans="1:10" x14ac:dyDescent="0.25">
      <c r="A2781">
        <v>2780</v>
      </c>
      <c r="B2781" s="1">
        <v>45469</v>
      </c>
      <c r="C2781" t="s">
        <v>10</v>
      </c>
      <c r="D2781" t="s">
        <v>20</v>
      </c>
      <c r="E2781">
        <v>105</v>
      </c>
      <c r="F2781">
        <v>42</v>
      </c>
      <c r="G2781">
        <v>6.6</v>
      </c>
      <c r="H2781" t="s">
        <v>18</v>
      </c>
      <c r="I2781" t="s">
        <v>19</v>
      </c>
      <c r="J2781" t="s">
        <v>11</v>
      </c>
    </row>
    <row r="2782" spans="1:10" x14ac:dyDescent="0.25">
      <c r="A2782">
        <v>2781</v>
      </c>
      <c r="B2782" s="1">
        <v>45602</v>
      </c>
      <c r="C2782" t="s">
        <v>22</v>
      </c>
      <c r="D2782" t="s">
        <v>11</v>
      </c>
      <c r="E2782">
        <v>191</v>
      </c>
      <c r="F2782">
        <v>31</v>
      </c>
      <c r="G2782">
        <v>2.5</v>
      </c>
      <c r="H2782" t="s">
        <v>18</v>
      </c>
      <c r="I2782" t="s">
        <v>13</v>
      </c>
      <c r="J2782" t="s">
        <v>11</v>
      </c>
    </row>
    <row r="2783" spans="1:10" x14ac:dyDescent="0.25">
      <c r="A2783">
        <v>2782</v>
      </c>
      <c r="B2783" s="1">
        <v>45356</v>
      </c>
      <c r="C2783" t="s">
        <v>14</v>
      </c>
      <c r="D2783" t="s">
        <v>17</v>
      </c>
      <c r="E2783">
        <v>110</v>
      </c>
      <c r="F2783">
        <v>51</v>
      </c>
      <c r="G2783">
        <v>3.5</v>
      </c>
      <c r="H2783" t="s">
        <v>18</v>
      </c>
      <c r="I2783" t="s">
        <v>13</v>
      </c>
      <c r="J2783" t="s">
        <v>11</v>
      </c>
    </row>
    <row r="2784" spans="1:10" x14ac:dyDescent="0.25">
      <c r="A2784">
        <v>2783</v>
      </c>
      <c r="B2784" s="1">
        <v>45392</v>
      </c>
      <c r="C2784" t="s">
        <v>14</v>
      </c>
      <c r="D2784" t="s">
        <v>11</v>
      </c>
      <c r="E2784">
        <v>85</v>
      </c>
      <c r="F2784">
        <v>65</v>
      </c>
      <c r="G2784">
        <v>8.8000000000000007</v>
      </c>
      <c r="H2784" t="s">
        <v>18</v>
      </c>
      <c r="I2784" t="s">
        <v>19</v>
      </c>
      <c r="J2784" t="s">
        <v>15</v>
      </c>
    </row>
    <row r="2785" spans="1:10" x14ac:dyDescent="0.25">
      <c r="A2785">
        <v>2784</v>
      </c>
      <c r="B2785" s="1">
        <v>45444</v>
      </c>
      <c r="C2785" t="s">
        <v>22</v>
      </c>
      <c r="D2785" t="s">
        <v>11</v>
      </c>
      <c r="E2785">
        <v>180</v>
      </c>
      <c r="F2785">
        <v>22</v>
      </c>
      <c r="G2785">
        <v>1.3</v>
      </c>
      <c r="H2785" t="s">
        <v>18</v>
      </c>
      <c r="I2785" t="s">
        <v>19</v>
      </c>
      <c r="J2785" t="s">
        <v>11</v>
      </c>
    </row>
    <row r="2786" spans="1:10" x14ac:dyDescent="0.25">
      <c r="A2786">
        <v>2785</v>
      </c>
      <c r="B2786" s="1">
        <v>45301</v>
      </c>
      <c r="C2786" t="s">
        <v>22</v>
      </c>
      <c r="D2786" t="s">
        <v>11</v>
      </c>
      <c r="E2786">
        <v>141</v>
      </c>
      <c r="F2786">
        <v>41</v>
      </c>
      <c r="G2786">
        <v>6.1</v>
      </c>
      <c r="H2786" t="s">
        <v>12</v>
      </c>
      <c r="I2786" t="s">
        <v>19</v>
      </c>
      <c r="J2786" t="s">
        <v>11</v>
      </c>
    </row>
    <row r="2787" spans="1:10" x14ac:dyDescent="0.25">
      <c r="A2787">
        <v>2786</v>
      </c>
      <c r="B2787" s="1">
        <v>45641</v>
      </c>
      <c r="C2787" t="s">
        <v>14</v>
      </c>
      <c r="D2787" t="s">
        <v>17</v>
      </c>
      <c r="E2787">
        <v>110</v>
      </c>
      <c r="F2787">
        <v>29</v>
      </c>
      <c r="G2787">
        <v>2.4</v>
      </c>
      <c r="H2787" t="s">
        <v>18</v>
      </c>
      <c r="I2787" t="s">
        <v>16</v>
      </c>
      <c r="J2787" t="s">
        <v>11</v>
      </c>
    </row>
    <row r="2788" spans="1:10" x14ac:dyDescent="0.25">
      <c r="A2788">
        <v>2787</v>
      </c>
      <c r="B2788" s="1">
        <v>45437</v>
      </c>
      <c r="C2788" t="s">
        <v>23</v>
      </c>
      <c r="D2788" t="s">
        <v>15</v>
      </c>
      <c r="E2788">
        <v>44</v>
      </c>
      <c r="F2788">
        <v>41</v>
      </c>
      <c r="G2788">
        <v>2.4</v>
      </c>
      <c r="H2788" t="s">
        <v>18</v>
      </c>
      <c r="I2788" t="s">
        <v>13</v>
      </c>
      <c r="J2788" t="s">
        <v>11</v>
      </c>
    </row>
    <row r="2789" spans="1:10" x14ac:dyDescent="0.25">
      <c r="A2789">
        <v>2788</v>
      </c>
      <c r="B2789" s="1">
        <v>45641</v>
      </c>
      <c r="C2789" t="s">
        <v>22</v>
      </c>
      <c r="D2789" t="s">
        <v>15</v>
      </c>
      <c r="E2789">
        <v>177</v>
      </c>
      <c r="F2789">
        <v>70</v>
      </c>
      <c r="G2789">
        <v>8.1</v>
      </c>
      <c r="H2789" t="s">
        <v>18</v>
      </c>
      <c r="I2789" t="s">
        <v>19</v>
      </c>
      <c r="J2789" t="s">
        <v>15</v>
      </c>
    </row>
    <row r="2790" spans="1:10" x14ac:dyDescent="0.25">
      <c r="A2790">
        <v>2789</v>
      </c>
      <c r="B2790" s="1">
        <v>45647</v>
      </c>
      <c r="C2790" t="s">
        <v>22</v>
      </c>
      <c r="D2790" t="s">
        <v>17</v>
      </c>
      <c r="E2790">
        <v>54</v>
      </c>
      <c r="F2790">
        <v>9</v>
      </c>
      <c r="G2790">
        <v>6.6</v>
      </c>
      <c r="H2790" t="s">
        <v>12</v>
      </c>
      <c r="I2790" t="s">
        <v>13</v>
      </c>
      <c r="J2790" t="s">
        <v>11</v>
      </c>
    </row>
    <row r="2791" spans="1:10" x14ac:dyDescent="0.25">
      <c r="A2791">
        <v>2790</v>
      </c>
      <c r="B2791" s="1">
        <v>45409</v>
      </c>
      <c r="C2791" t="s">
        <v>10</v>
      </c>
      <c r="D2791" t="s">
        <v>17</v>
      </c>
      <c r="E2791">
        <v>182</v>
      </c>
      <c r="F2791">
        <v>50</v>
      </c>
      <c r="G2791">
        <v>4.7</v>
      </c>
      <c r="H2791" t="s">
        <v>18</v>
      </c>
      <c r="I2791" t="s">
        <v>19</v>
      </c>
      <c r="J2791" t="s">
        <v>11</v>
      </c>
    </row>
    <row r="2792" spans="1:10" x14ac:dyDescent="0.25">
      <c r="A2792">
        <v>2791</v>
      </c>
      <c r="B2792" s="1">
        <v>45345</v>
      </c>
      <c r="C2792" t="s">
        <v>10</v>
      </c>
      <c r="D2792" t="s">
        <v>17</v>
      </c>
      <c r="E2792">
        <v>198</v>
      </c>
      <c r="F2792">
        <v>61</v>
      </c>
      <c r="G2792">
        <v>6</v>
      </c>
      <c r="H2792" t="s">
        <v>12</v>
      </c>
      <c r="I2792" t="s">
        <v>19</v>
      </c>
      <c r="J2792" t="s">
        <v>11</v>
      </c>
    </row>
    <row r="2793" spans="1:10" x14ac:dyDescent="0.25">
      <c r="A2793">
        <v>2792</v>
      </c>
      <c r="B2793" s="1">
        <v>45653</v>
      </c>
      <c r="C2793" t="s">
        <v>21</v>
      </c>
      <c r="D2793" t="s">
        <v>17</v>
      </c>
      <c r="E2793">
        <v>187</v>
      </c>
      <c r="F2793">
        <v>19</v>
      </c>
      <c r="G2793">
        <v>7.2</v>
      </c>
      <c r="H2793" t="s">
        <v>18</v>
      </c>
      <c r="I2793" t="s">
        <v>13</v>
      </c>
      <c r="J2793" t="s">
        <v>11</v>
      </c>
    </row>
    <row r="2794" spans="1:10" x14ac:dyDescent="0.25">
      <c r="A2794">
        <v>2793</v>
      </c>
      <c r="B2794" s="1">
        <v>45613</v>
      </c>
      <c r="C2794" t="s">
        <v>22</v>
      </c>
      <c r="D2794" t="s">
        <v>15</v>
      </c>
      <c r="E2794">
        <v>62</v>
      </c>
      <c r="F2794">
        <v>12</v>
      </c>
      <c r="G2794">
        <v>7.6</v>
      </c>
      <c r="H2794" t="s">
        <v>18</v>
      </c>
      <c r="I2794" t="s">
        <v>16</v>
      </c>
      <c r="J2794" t="s">
        <v>15</v>
      </c>
    </row>
    <row r="2795" spans="1:10" x14ac:dyDescent="0.25">
      <c r="A2795">
        <v>2794</v>
      </c>
      <c r="B2795" s="1">
        <v>45640</v>
      </c>
      <c r="C2795" t="s">
        <v>21</v>
      </c>
      <c r="D2795" t="s">
        <v>17</v>
      </c>
      <c r="E2795">
        <v>210</v>
      </c>
      <c r="F2795">
        <v>31</v>
      </c>
      <c r="G2795">
        <v>8.6</v>
      </c>
      <c r="H2795" t="s">
        <v>18</v>
      </c>
      <c r="I2795" t="s">
        <v>19</v>
      </c>
      <c r="J2795" t="s">
        <v>11</v>
      </c>
    </row>
    <row r="2796" spans="1:10" x14ac:dyDescent="0.25">
      <c r="A2796">
        <v>2795</v>
      </c>
      <c r="B2796" s="1">
        <v>45353</v>
      </c>
      <c r="C2796" t="s">
        <v>21</v>
      </c>
      <c r="D2796" t="s">
        <v>15</v>
      </c>
      <c r="E2796">
        <v>130</v>
      </c>
      <c r="F2796">
        <v>60</v>
      </c>
      <c r="G2796">
        <v>1.6</v>
      </c>
      <c r="H2796" t="s">
        <v>12</v>
      </c>
      <c r="I2796" t="s">
        <v>16</v>
      </c>
      <c r="J2796" t="s">
        <v>11</v>
      </c>
    </row>
    <row r="2797" spans="1:10" x14ac:dyDescent="0.25">
      <c r="A2797">
        <v>2796</v>
      </c>
      <c r="B2797" s="1">
        <v>45554</v>
      </c>
      <c r="C2797" t="s">
        <v>22</v>
      </c>
      <c r="D2797" t="s">
        <v>15</v>
      </c>
      <c r="E2797">
        <v>200</v>
      </c>
      <c r="F2797">
        <v>17</v>
      </c>
      <c r="G2797">
        <v>7.4</v>
      </c>
      <c r="H2797" t="s">
        <v>18</v>
      </c>
      <c r="I2797" t="s">
        <v>13</v>
      </c>
      <c r="J2797" t="s">
        <v>15</v>
      </c>
    </row>
    <row r="2798" spans="1:10" x14ac:dyDescent="0.25">
      <c r="A2798">
        <v>2797</v>
      </c>
      <c r="B2798" s="1">
        <v>45542</v>
      </c>
      <c r="C2798" t="s">
        <v>23</v>
      </c>
      <c r="D2798" t="s">
        <v>11</v>
      </c>
      <c r="E2798">
        <v>213</v>
      </c>
      <c r="F2798">
        <v>16</v>
      </c>
      <c r="G2798">
        <v>8.3000000000000007</v>
      </c>
      <c r="H2798" t="s">
        <v>18</v>
      </c>
      <c r="I2798" t="s">
        <v>19</v>
      </c>
      <c r="J2798" t="s">
        <v>15</v>
      </c>
    </row>
    <row r="2799" spans="1:10" x14ac:dyDescent="0.25">
      <c r="A2799">
        <v>2798</v>
      </c>
      <c r="B2799" s="1">
        <v>45645</v>
      </c>
      <c r="C2799" t="s">
        <v>21</v>
      </c>
      <c r="D2799" t="s">
        <v>20</v>
      </c>
      <c r="E2799">
        <v>15</v>
      </c>
      <c r="F2799">
        <v>31</v>
      </c>
      <c r="G2799">
        <v>3.4</v>
      </c>
      <c r="H2799" t="s">
        <v>18</v>
      </c>
      <c r="I2799" t="s">
        <v>16</v>
      </c>
      <c r="J2799" t="s">
        <v>15</v>
      </c>
    </row>
    <row r="2800" spans="1:10" x14ac:dyDescent="0.25">
      <c r="A2800">
        <v>2799</v>
      </c>
      <c r="B2800" s="1">
        <v>45326</v>
      </c>
      <c r="C2800" t="s">
        <v>23</v>
      </c>
      <c r="D2800" t="s">
        <v>17</v>
      </c>
      <c r="E2800">
        <v>178</v>
      </c>
      <c r="F2800">
        <v>9</v>
      </c>
      <c r="G2800">
        <v>9.1999999999999993</v>
      </c>
      <c r="H2800" t="s">
        <v>12</v>
      </c>
      <c r="I2800" t="s">
        <v>16</v>
      </c>
      <c r="J2800" t="s">
        <v>11</v>
      </c>
    </row>
    <row r="2801" spans="1:10" x14ac:dyDescent="0.25">
      <c r="A2801">
        <v>2800</v>
      </c>
      <c r="B2801" s="1">
        <v>45319</v>
      </c>
      <c r="C2801" t="s">
        <v>10</v>
      </c>
      <c r="D2801" t="s">
        <v>17</v>
      </c>
      <c r="E2801">
        <v>68</v>
      </c>
      <c r="F2801">
        <v>20</v>
      </c>
      <c r="G2801">
        <v>2.7</v>
      </c>
      <c r="H2801" t="s">
        <v>12</v>
      </c>
      <c r="I2801" t="s">
        <v>19</v>
      </c>
      <c r="J2801" t="s">
        <v>11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4A4F45-6110-4C8E-BAB1-9F652BBFA16F}">
  <dimension ref="A1:D23"/>
  <sheetViews>
    <sheetView workbookViewId="0">
      <selection activeCell="B2" sqref="B2"/>
    </sheetView>
  </sheetViews>
  <sheetFormatPr defaultRowHeight="15" x14ac:dyDescent="0.25"/>
  <cols>
    <col min="1" max="1" width="32.140625" customWidth="1"/>
    <col min="2" max="2" width="11.28515625" customWidth="1"/>
  </cols>
  <sheetData>
    <row r="1" spans="1:4" x14ac:dyDescent="0.25">
      <c r="A1" s="2" t="s">
        <v>40</v>
      </c>
      <c r="B1" s="2" t="s">
        <v>37</v>
      </c>
    </row>
    <row r="2" spans="1:4" x14ac:dyDescent="0.25">
      <c r="A2" s="2" t="s">
        <v>24</v>
      </c>
      <c r="B2" s="2">
        <f>ROWS(tbl_raw_tickets[ticket_id])</f>
        <v>2800</v>
      </c>
    </row>
    <row r="3" spans="1:4" x14ac:dyDescent="0.25">
      <c r="A3" s="2" t="s">
        <v>25</v>
      </c>
      <c r="B3" s="2" cm="1">
        <f t="array" ref="B3">SUMPRODUCT((COUNTIF(tbl_raw_tickets[ticket_id],tbl_raw_tickets[ticket_id])&gt;1)*1)</f>
        <v>0</v>
      </c>
    </row>
    <row r="4" spans="1:4" x14ac:dyDescent="0.25">
      <c r="A4" s="2" t="s">
        <v>36</v>
      </c>
      <c r="B4" s="2">
        <f>COUNTA(_xlfn.UNIQUE(tbl_raw_tickets[ticket_id]))</f>
        <v>2800</v>
      </c>
    </row>
    <row r="5" spans="1:4" x14ac:dyDescent="0.25">
      <c r="A5" s="2" t="s">
        <v>26</v>
      </c>
      <c r="B5" s="2">
        <f>COUNTBLANK(tbl_raw_tickets[ticket_id])</f>
        <v>0</v>
      </c>
    </row>
    <row r="6" spans="1:4" x14ac:dyDescent="0.25">
      <c r="A6" s="2" t="s">
        <v>27</v>
      </c>
      <c r="B6" s="2">
        <f>COUNTBLANK(tbl_raw_tickets[created_date])</f>
        <v>0</v>
      </c>
    </row>
    <row r="7" spans="1:4" x14ac:dyDescent="0.25">
      <c r="A7" s="2" t="s">
        <v>28</v>
      </c>
      <c r="B7" s="2">
        <f>COUNTBLANK(tbl_raw_tickets[priority])</f>
        <v>0</v>
      </c>
    </row>
    <row r="8" spans="1:4" x14ac:dyDescent="0.25">
      <c r="A8" s="2" t="s">
        <v>29</v>
      </c>
      <c r="B8" s="2">
        <f>COUNTIF(tbl_raw_tickets[first_response_minutes],"&lt;0")</f>
        <v>0</v>
      </c>
    </row>
    <row r="9" spans="1:4" x14ac:dyDescent="0.25">
      <c r="A9" s="2" t="s">
        <v>30</v>
      </c>
      <c r="B9" s="2">
        <f>COUNTIF(tbl_raw_tickets[resolution_time_hours],"&lt;0")</f>
        <v>0</v>
      </c>
    </row>
    <row r="10" spans="1:4" x14ac:dyDescent="0.25">
      <c r="A10" s="2" t="s">
        <v>31</v>
      </c>
      <c r="B10" s="2" cm="1">
        <f t="array" ref="B10">SUMPRODUCT(--ISNA(MATCH(tbl_raw_tickets[priority],{"Urgent","High","Medium","Low"},0)))</f>
        <v>0</v>
      </c>
    </row>
    <row r="11" spans="1:4" x14ac:dyDescent="0.25">
      <c r="A11" s="2" t="s">
        <v>32</v>
      </c>
      <c r="B11" s="2" cm="1">
        <f t="array" ref="B11">SUMPRODUCT(--ISNA(MATCH(tbl_raw_tickets[channel],{"Email","Chat","Phone"},0)))</f>
        <v>0</v>
      </c>
      <c r="C11" s="2"/>
      <c r="D11" s="2"/>
    </row>
    <row r="12" spans="1:4" x14ac:dyDescent="0.25">
      <c r="A12" s="2" t="s">
        <v>33</v>
      </c>
      <c r="B12" s="2" cm="1">
        <f t="array" ref="B12">SUMPRODUCT(--ISNA(MATCH(tbl_raw_tickets[reopened],{"Yes","No"},0)))</f>
        <v>0</v>
      </c>
      <c r="C12" s="2"/>
      <c r="D12" s="2"/>
    </row>
    <row r="13" spans="1:4" x14ac:dyDescent="0.25">
      <c r="A13" s="2" t="s">
        <v>34</v>
      </c>
      <c r="B13" s="2" cm="1">
        <f t="array" ref="B13">SUMPRODUCT(--ISNA(MATCH(tbl_raw_tickets[customer_satisfaction],{"Low","Medium","High"},0)))</f>
        <v>0</v>
      </c>
      <c r="C13" s="2"/>
      <c r="D13" s="2"/>
    </row>
    <row r="14" spans="1:4" x14ac:dyDescent="0.25">
      <c r="A14" s="2" t="s">
        <v>35</v>
      </c>
      <c r="B14" s="2">
        <f ca="1">COUNTIF(tbl_raw_tickets[created_date],"&gt;"&amp;TODAY())</f>
        <v>0</v>
      </c>
      <c r="C14" s="2"/>
      <c r="D14" s="2"/>
    </row>
    <row r="15" spans="1:4" x14ac:dyDescent="0.25">
      <c r="A15" s="2"/>
      <c r="B15" s="2"/>
      <c r="C15" s="2"/>
      <c r="D15" s="2"/>
    </row>
    <row r="16" spans="1:4" x14ac:dyDescent="0.25">
      <c r="A16" s="2"/>
      <c r="B16" s="2"/>
      <c r="C16" s="2"/>
      <c r="D16" s="2"/>
    </row>
    <row r="17" spans="1:4" x14ac:dyDescent="0.25">
      <c r="A17" s="2"/>
      <c r="B17" s="2"/>
      <c r="C17" s="2"/>
      <c r="D17" s="2"/>
    </row>
    <row r="18" spans="1:4" x14ac:dyDescent="0.25">
      <c r="A18" s="2"/>
      <c r="B18" s="2"/>
      <c r="C18" s="2"/>
      <c r="D18" s="2"/>
    </row>
    <row r="19" spans="1:4" x14ac:dyDescent="0.25">
      <c r="A19" s="2"/>
      <c r="B19" s="2"/>
      <c r="C19" s="2"/>
      <c r="D19" s="2"/>
    </row>
    <row r="20" spans="1:4" x14ac:dyDescent="0.25">
      <c r="A20" s="2"/>
      <c r="B20" s="2"/>
      <c r="C20" s="2"/>
      <c r="D20" s="2"/>
    </row>
    <row r="21" spans="1:4" x14ac:dyDescent="0.25">
      <c r="A21" s="2"/>
      <c r="B21" s="2"/>
      <c r="C21" s="2"/>
      <c r="D21" s="2"/>
    </row>
    <row r="22" spans="1:4" x14ac:dyDescent="0.25">
      <c r="A22" s="2"/>
      <c r="B22" s="2"/>
      <c r="C22" s="2"/>
      <c r="D22" s="2"/>
    </row>
    <row r="23" spans="1:4" x14ac:dyDescent="0.25">
      <c r="A23" s="2"/>
      <c r="B23" s="2"/>
      <c r="C23" s="2"/>
      <c r="D23" s="2"/>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E01CDF-FD9D-47D5-9889-FE285F44BA9F}">
  <dimension ref="A1:C5"/>
  <sheetViews>
    <sheetView workbookViewId="0">
      <selection activeCell="F12" sqref="F12"/>
    </sheetView>
  </sheetViews>
  <sheetFormatPr defaultRowHeight="15" x14ac:dyDescent="0.25"/>
  <cols>
    <col min="1" max="1" width="9.7109375" customWidth="1"/>
    <col min="2" max="2" width="22.5703125" customWidth="1"/>
    <col min="3" max="3" width="28" customWidth="1"/>
  </cols>
  <sheetData>
    <row r="1" spans="1:3" ht="60" x14ac:dyDescent="0.25">
      <c r="A1" s="3" t="s">
        <v>3</v>
      </c>
      <c r="B1" s="5" t="s">
        <v>38</v>
      </c>
      <c r="C1" s="5" t="s">
        <v>39</v>
      </c>
    </row>
    <row r="2" spans="1:3" x14ac:dyDescent="0.25">
      <c r="A2" s="2" t="s">
        <v>17</v>
      </c>
      <c r="B2" s="4">
        <v>8</v>
      </c>
      <c r="C2" s="4">
        <v>30</v>
      </c>
    </row>
    <row r="3" spans="1:3" x14ac:dyDescent="0.25">
      <c r="A3" s="2" t="s">
        <v>20</v>
      </c>
      <c r="B3" s="4">
        <v>24</v>
      </c>
      <c r="C3" s="4">
        <v>60</v>
      </c>
    </row>
    <row r="4" spans="1:3" x14ac:dyDescent="0.25">
      <c r="A4" s="2" t="s">
        <v>15</v>
      </c>
      <c r="B4" s="4">
        <v>48</v>
      </c>
      <c r="C4" s="4">
        <v>120</v>
      </c>
    </row>
    <row r="5" spans="1:3" x14ac:dyDescent="0.25">
      <c r="A5" s="2" t="s">
        <v>11</v>
      </c>
      <c r="B5" s="4">
        <v>72</v>
      </c>
      <c r="C5" s="4">
        <v>240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D3B48B-9808-4EB4-9BA7-3BA22751B448}">
  <dimension ref="A1:V2801"/>
  <sheetViews>
    <sheetView topLeftCell="A2" workbookViewId="0">
      <selection activeCell="O1" sqref="O1"/>
    </sheetView>
  </sheetViews>
  <sheetFormatPr defaultRowHeight="15" x14ac:dyDescent="0.25"/>
  <cols>
    <col min="2" max="2" width="14.5703125" customWidth="1"/>
  </cols>
  <sheetData>
    <row r="1" spans="1:22" x14ac:dyDescent="0.25">
      <c r="A1" t="s">
        <v>0</v>
      </c>
      <c r="B1" t="s">
        <v>1</v>
      </c>
      <c r="C1" t="s">
        <v>2</v>
      </c>
      <c r="D1" t="s">
        <v>3</v>
      </c>
      <c r="E1" t="s">
        <v>4</v>
      </c>
      <c r="F1" t="s">
        <v>5</v>
      </c>
      <c r="G1" t="s">
        <v>6</v>
      </c>
      <c r="H1" t="s">
        <v>7</v>
      </c>
      <c r="I1" t="s">
        <v>8</v>
      </c>
      <c r="J1" t="s">
        <v>9</v>
      </c>
      <c r="K1" t="s">
        <v>38</v>
      </c>
      <c r="L1" t="s">
        <v>39</v>
      </c>
      <c r="M1" t="s">
        <v>41</v>
      </c>
      <c r="N1" t="s">
        <v>42</v>
      </c>
      <c r="O1" t="s">
        <v>43</v>
      </c>
      <c r="P1" t="s">
        <v>44</v>
      </c>
      <c r="Q1" t="s">
        <v>45</v>
      </c>
      <c r="R1" t="s">
        <v>46</v>
      </c>
      <c r="S1" t="s">
        <v>47</v>
      </c>
      <c r="T1" t="s">
        <v>48</v>
      </c>
      <c r="U1" t="s">
        <v>49</v>
      </c>
      <c r="V1" t="s">
        <v>50</v>
      </c>
    </row>
    <row r="2" spans="1:22" x14ac:dyDescent="0.25">
      <c r="A2">
        <v>1</v>
      </c>
      <c r="B2" s="1">
        <v>45528</v>
      </c>
      <c r="C2" t="s">
        <v>10</v>
      </c>
      <c r="D2" t="s">
        <v>11</v>
      </c>
      <c r="E2">
        <v>114</v>
      </c>
      <c r="F2">
        <v>62</v>
      </c>
      <c r="G2">
        <v>6</v>
      </c>
      <c r="H2" t="s">
        <v>12</v>
      </c>
      <c r="I2" t="s">
        <v>13</v>
      </c>
      <c r="J2" t="s">
        <v>11</v>
      </c>
      <c r="K2">
        <f>_xlfn.XLOOKUP(tbl_analysis_tickets[[#This Row],[priority]],tbl_sla[priority],tbl_sla[Resolution SLA Hours])</f>
        <v>72</v>
      </c>
      <c r="L2">
        <f>_xlfn.XLOOKUP(tbl_analysis_tickets[[#This Row],[priority]],tbl_sla[priority],tbl_sla[First Response SLA Minutes])</f>
        <v>240</v>
      </c>
      <c r="M2" t="str">
        <f>IF(tbl_analysis_tickets[[#This Row],[resolution_time_hours]]&gt;tbl_analysis_tickets[[#This Row],[Resolution SLA Hours]],"Breached","Within SLA")</f>
        <v>Within SLA</v>
      </c>
      <c r="N2" t="str">
        <f>IF(tbl_analysis_tickets[[#This Row],[first_response_minutes]]&gt;tbl_analysis_tickets[[#This Row],[First Response SLA Minutes]],"Breached","Within SLA")</f>
        <v>Within SLA</v>
      </c>
      <c r="O2" t="str" cm="1">
        <f t="array" ref="O2">_xlfn.IFS(
tbl_analysis_tickets[[#This Row],[agent_experience_years]]&lt;=2,"Junior",
tbl_analysis_tickets[[#This Row],[agent_experience_years]]&lt;=5,"Mid-Level",
tbl_analysis_tickets[[#This Row],[agent_experience_years]]&lt;=8,"Senior",
tbl_analysis_tickets[[#This Row],[agent_experience_years]]&gt;8,"Expert"
)</f>
        <v>Senior</v>
      </c>
      <c r="P2" cm="1">
        <f t="array" ref="P2">_xlfn.SWITCH(tbl_analysis_tickets[[#This Row],[customer_satisfaction]],
"Low",1,
"Medium",2,
"High",3
)</f>
        <v>1</v>
      </c>
      <c r="Q2">
        <f>IF(tbl_analysis_tickets[[#This Row],[reopened]]="Yes",1,0)</f>
        <v>1</v>
      </c>
      <c r="R2" t="str" cm="1">
        <f t="array" ref="R2">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 t="str" cm="1">
        <f t="array" ref="S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 t="str">
        <f>TEXT(tbl_analysis_tickets[[#This Row],[created_date]],"mmm-yyyy")</f>
        <v>Aug-2024</v>
      </c>
      <c r="U2" t="str">
        <f>TEXT(tbl_analysis_tickets[[#This Row],[created_date]],"dddd")</f>
        <v>Saturday</v>
      </c>
      <c r="V2" cm="1">
        <f t="array" ref="V2">_xlfn.SWITCH(tbl_analysis_tickets[[#This Row],[priority]],
"Urgent",1,
"High",2,
"Medium",3,
"Low",4
)</f>
        <v>4</v>
      </c>
    </row>
    <row r="3" spans="1:22" x14ac:dyDescent="0.25">
      <c r="A3">
        <v>2</v>
      </c>
      <c r="B3" s="1">
        <v>45419</v>
      </c>
      <c r="C3" t="s">
        <v>14</v>
      </c>
      <c r="D3" t="s">
        <v>15</v>
      </c>
      <c r="E3">
        <v>13</v>
      </c>
      <c r="F3">
        <v>67</v>
      </c>
      <c r="G3">
        <v>5.2</v>
      </c>
      <c r="H3" t="s">
        <v>12</v>
      </c>
      <c r="I3" t="s">
        <v>16</v>
      </c>
      <c r="J3" t="s">
        <v>15</v>
      </c>
      <c r="K3">
        <f>_xlfn.XLOOKUP(tbl_analysis_tickets[[#This Row],[priority]],tbl_sla[priority],tbl_sla[Resolution SLA Hours])</f>
        <v>48</v>
      </c>
      <c r="L3">
        <f>_xlfn.XLOOKUP(tbl_analysis_tickets[[#This Row],[priority]],tbl_sla[priority],tbl_sla[First Response SLA Minutes])</f>
        <v>120</v>
      </c>
      <c r="M3" t="str">
        <f>IF(tbl_analysis_tickets[[#This Row],[resolution_time_hours]]&gt;tbl_analysis_tickets[[#This Row],[Resolution SLA Hours]],"Breached","Within SLA")</f>
        <v>Breached</v>
      </c>
      <c r="N3" t="str">
        <f>IF(tbl_analysis_tickets[[#This Row],[first_response_minutes]]&gt;tbl_analysis_tickets[[#This Row],[First Response SLA Minutes]],"Breached","Within SLA")</f>
        <v>Within SLA</v>
      </c>
      <c r="O3" t="str" cm="1">
        <f t="array" ref="O3">_xlfn.IFS(
tbl_analysis_tickets[[#This Row],[agent_experience_years]]&lt;=2,"Junior",
tbl_analysis_tickets[[#This Row],[agent_experience_years]]&lt;=5,"Mid-Level",
tbl_analysis_tickets[[#This Row],[agent_experience_years]]&lt;=8,"Senior",
tbl_analysis_tickets[[#This Row],[agent_experience_years]]&gt;8,"Expert"
)</f>
        <v>Senior</v>
      </c>
      <c r="P3" cm="1">
        <f t="array" ref="P3">_xlfn.SWITCH(tbl_analysis_tickets[[#This Row],[customer_satisfaction]],
"Low",1,
"Medium",2,
"High",3
)</f>
        <v>2</v>
      </c>
      <c r="Q3">
        <f>IF(tbl_analysis_tickets[[#This Row],[reopened]]="Yes",1,0)</f>
        <v>1</v>
      </c>
      <c r="R3" t="str" cm="1">
        <f t="array" ref="R3">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3" t="str" cm="1">
        <f t="array" ref="S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3" t="str">
        <f>TEXT(tbl_analysis_tickets[[#This Row],[created_date]],"mmm-yyyy")</f>
        <v>May-2024</v>
      </c>
      <c r="U3" t="str">
        <f>TEXT(tbl_analysis_tickets[[#This Row],[created_date]],"dddd")</f>
        <v>Tuesday</v>
      </c>
      <c r="V3" cm="1">
        <f t="array" ref="V3">_xlfn.SWITCH(tbl_analysis_tickets[[#This Row],[priority]],
"Urgent",1,
"High",2,
"Medium",3,
"Low",4
)</f>
        <v>3</v>
      </c>
    </row>
    <row r="4" spans="1:22" x14ac:dyDescent="0.25">
      <c r="A4">
        <v>3</v>
      </c>
      <c r="B4" s="1">
        <v>45507</v>
      </c>
      <c r="C4" t="s">
        <v>14</v>
      </c>
      <c r="D4" t="s">
        <v>17</v>
      </c>
      <c r="E4">
        <v>225</v>
      </c>
      <c r="F4">
        <v>18</v>
      </c>
      <c r="G4">
        <v>6.2</v>
      </c>
      <c r="H4" t="s">
        <v>18</v>
      </c>
      <c r="I4" t="s">
        <v>19</v>
      </c>
      <c r="J4" t="s">
        <v>11</v>
      </c>
      <c r="K4">
        <f>_xlfn.XLOOKUP(tbl_analysis_tickets[[#This Row],[priority]],tbl_sla[priority],tbl_sla[Resolution SLA Hours])</f>
        <v>8</v>
      </c>
      <c r="L4">
        <f>_xlfn.XLOOKUP(tbl_analysis_tickets[[#This Row],[priority]],tbl_sla[priority],tbl_sla[First Response SLA Minutes])</f>
        <v>30</v>
      </c>
      <c r="M4" t="str">
        <f>IF(tbl_analysis_tickets[[#This Row],[resolution_time_hours]]&gt;tbl_analysis_tickets[[#This Row],[Resolution SLA Hours]],"Breached","Within SLA")</f>
        <v>Breached</v>
      </c>
      <c r="N4" t="str">
        <f>IF(tbl_analysis_tickets[[#This Row],[first_response_minutes]]&gt;tbl_analysis_tickets[[#This Row],[First Response SLA Minutes]],"Breached","Within SLA")</f>
        <v>Breached</v>
      </c>
      <c r="O4" t="str" cm="1">
        <f t="array" ref="O4">_xlfn.IFS(
tbl_analysis_tickets[[#This Row],[agent_experience_years]]&lt;=2,"Junior",
tbl_analysis_tickets[[#This Row],[agent_experience_years]]&lt;=5,"Mid-Level",
tbl_analysis_tickets[[#This Row],[agent_experience_years]]&lt;=8,"Senior",
tbl_analysis_tickets[[#This Row],[agent_experience_years]]&gt;8,"Expert"
)</f>
        <v>Senior</v>
      </c>
      <c r="P4" cm="1">
        <f t="array" ref="P4">_xlfn.SWITCH(tbl_analysis_tickets[[#This Row],[customer_satisfaction]],
"Low",1,
"Medium",2,
"High",3
)</f>
        <v>1</v>
      </c>
      <c r="Q4">
        <f>IF(tbl_analysis_tickets[[#This Row],[reopened]]="Yes",1,0)</f>
        <v>0</v>
      </c>
      <c r="R4" t="str" cm="1">
        <f t="array" ref="R4">_xlfn.IFS(
tbl_analysis_tickets[[#This Row],[first_response_minutes]]&lt;=30,"Very Fast",
tbl_analysis_tickets[[#This Row],[first_response_minutes]]&lt;=120,"Acceptable",
tbl_analysis_tickets[[#This Row],[first_response_minutes]]&lt;=240,"Slow",
tbl_analysis_tickets[[#This Row],[first_response_minutes]]&gt;240,"Very Slow"
)</f>
        <v>Slow</v>
      </c>
      <c r="S4" t="str" cm="1">
        <f t="array" ref="S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4" t="str">
        <f>TEXT(tbl_analysis_tickets[[#This Row],[created_date]],"mmm-yyyy")</f>
        <v>Aug-2024</v>
      </c>
      <c r="U4" t="str">
        <f>TEXT(tbl_analysis_tickets[[#This Row],[created_date]],"dddd")</f>
        <v>Saturday</v>
      </c>
      <c r="V4" cm="1">
        <f t="array" ref="V4">_xlfn.SWITCH(tbl_analysis_tickets[[#This Row],[priority]],
"Urgent",1,
"High",2,
"Medium",3,
"Low",4
)</f>
        <v>1</v>
      </c>
    </row>
    <row r="5" spans="1:22" x14ac:dyDescent="0.25">
      <c r="A5">
        <v>4</v>
      </c>
      <c r="B5" s="1">
        <v>45360</v>
      </c>
      <c r="C5" t="s">
        <v>10</v>
      </c>
      <c r="D5" t="s">
        <v>20</v>
      </c>
      <c r="E5">
        <v>121</v>
      </c>
      <c r="F5">
        <v>23</v>
      </c>
      <c r="G5">
        <v>7</v>
      </c>
      <c r="H5" t="s">
        <v>18</v>
      </c>
      <c r="I5" t="s">
        <v>16</v>
      </c>
      <c r="J5" t="s">
        <v>11</v>
      </c>
      <c r="K5">
        <f>_xlfn.XLOOKUP(tbl_analysis_tickets[[#This Row],[priority]],tbl_sla[priority],tbl_sla[Resolution SLA Hours])</f>
        <v>24</v>
      </c>
      <c r="L5">
        <f>_xlfn.XLOOKUP(tbl_analysis_tickets[[#This Row],[priority]],tbl_sla[priority],tbl_sla[First Response SLA Minutes])</f>
        <v>60</v>
      </c>
      <c r="M5" t="str">
        <f>IF(tbl_analysis_tickets[[#This Row],[resolution_time_hours]]&gt;tbl_analysis_tickets[[#This Row],[Resolution SLA Hours]],"Breached","Within SLA")</f>
        <v>Within SLA</v>
      </c>
      <c r="N5" t="str">
        <f>IF(tbl_analysis_tickets[[#This Row],[first_response_minutes]]&gt;tbl_analysis_tickets[[#This Row],[First Response SLA Minutes]],"Breached","Within SLA")</f>
        <v>Breached</v>
      </c>
      <c r="O5" t="str" cm="1">
        <f t="array" ref="O5">_xlfn.IFS(
tbl_analysis_tickets[[#This Row],[agent_experience_years]]&lt;=2,"Junior",
tbl_analysis_tickets[[#This Row],[agent_experience_years]]&lt;=5,"Mid-Level",
tbl_analysis_tickets[[#This Row],[agent_experience_years]]&lt;=8,"Senior",
tbl_analysis_tickets[[#This Row],[agent_experience_years]]&gt;8,"Expert"
)</f>
        <v>Senior</v>
      </c>
      <c r="P5" cm="1">
        <f t="array" ref="P5">_xlfn.SWITCH(tbl_analysis_tickets[[#This Row],[customer_satisfaction]],
"Low",1,
"Medium",2,
"High",3
)</f>
        <v>1</v>
      </c>
      <c r="Q5">
        <f>IF(tbl_analysis_tickets[[#This Row],[reopened]]="Yes",1,0)</f>
        <v>0</v>
      </c>
      <c r="R5" t="str" cm="1">
        <f t="array" ref="R5">_xlfn.IFS(
tbl_analysis_tickets[[#This Row],[first_response_minutes]]&lt;=30,"Very Fast",
tbl_analysis_tickets[[#This Row],[first_response_minutes]]&lt;=120,"Acceptable",
tbl_analysis_tickets[[#This Row],[first_response_minutes]]&lt;=240,"Slow",
tbl_analysis_tickets[[#This Row],[first_response_minutes]]&gt;240,"Very Slow"
)</f>
        <v>Slow</v>
      </c>
      <c r="S5" t="str" cm="1">
        <f t="array" ref="S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5" t="str">
        <f>TEXT(tbl_analysis_tickets[[#This Row],[created_date]],"mmm-yyyy")</f>
        <v>Mar-2024</v>
      </c>
      <c r="U5" t="str">
        <f>TEXT(tbl_analysis_tickets[[#This Row],[created_date]],"dddd")</f>
        <v>Saturday</v>
      </c>
      <c r="V5" cm="1">
        <f t="array" ref="V5">_xlfn.SWITCH(tbl_analysis_tickets[[#This Row],[priority]],
"Urgent",1,
"High",2,
"Medium",3,
"Low",4
)</f>
        <v>2</v>
      </c>
    </row>
    <row r="6" spans="1:22" x14ac:dyDescent="0.25">
      <c r="A6">
        <v>5</v>
      </c>
      <c r="B6" s="1">
        <v>45412</v>
      </c>
      <c r="C6" t="s">
        <v>21</v>
      </c>
      <c r="D6" t="s">
        <v>17</v>
      </c>
      <c r="E6">
        <v>162</v>
      </c>
      <c r="F6">
        <v>49</v>
      </c>
      <c r="G6">
        <v>0.9</v>
      </c>
      <c r="H6" t="s">
        <v>12</v>
      </c>
      <c r="I6" t="s">
        <v>16</v>
      </c>
      <c r="J6" t="s">
        <v>11</v>
      </c>
      <c r="K6">
        <f>_xlfn.XLOOKUP(tbl_analysis_tickets[[#This Row],[priority]],tbl_sla[priority],tbl_sla[Resolution SLA Hours])</f>
        <v>8</v>
      </c>
      <c r="L6">
        <f>_xlfn.XLOOKUP(tbl_analysis_tickets[[#This Row],[priority]],tbl_sla[priority],tbl_sla[First Response SLA Minutes])</f>
        <v>30</v>
      </c>
      <c r="M6" t="str">
        <f>IF(tbl_analysis_tickets[[#This Row],[resolution_time_hours]]&gt;tbl_analysis_tickets[[#This Row],[Resolution SLA Hours]],"Breached","Within SLA")</f>
        <v>Breached</v>
      </c>
      <c r="N6" t="str">
        <f>IF(tbl_analysis_tickets[[#This Row],[first_response_minutes]]&gt;tbl_analysis_tickets[[#This Row],[First Response SLA Minutes]],"Breached","Within SLA")</f>
        <v>Breached</v>
      </c>
      <c r="O6" t="str" cm="1">
        <f t="array" ref="O6">_xlfn.IFS(
tbl_analysis_tickets[[#This Row],[agent_experience_years]]&lt;=2,"Junior",
tbl_analysis_tickets[[#This Row],[agent_experience_years]]&lt;=5,"Mid-Level",
tbl_analysis_tickets[[#This Row],[agent_experience_years]]&lt;=8,"Senior",
tbl_analysis_tickets[[#This Row],[agent_experience_years]]&gt;8,"Expert"
)</f>
        <v>Junior</v>
      </c>
      <c r="P6" cm="1">
        <f t="array" ref="P6">_xlfn.SWITCH(tbl_analysis_tickets[[#This Row],[customer_satisfaction]],
"Low",1,
"Medium",2,
"High",3
)</f>
        <v>1</v>
      </c>
      <c r="Q6">
        <f>IF(tbl_analysis_tickets[[#This Row],[reopened]]="Yes",1,0)</f>
        <v>1</v>
      </c>
      <c r="R6" t="str" cm="1">
        <f t="array" ref="R6">_xlfn.IFS(
tbl_analysis_tickets[[#This Row],[first_response_minutes]]&lt;=30,"Very Fast",
tbl_analysis_tickets[[#This Row],[first_response_minutes]]&lt;=120,"Acceptable",
tbl_analysis_tickets[[#This Row],[first_response_minutes]]&lt;=240,"Slow",
tbl_analysis_tickets[[#This Row],[first_response_minutes]]&gt;240,"Very Slow"
)</f>
        <v>Slow</v>
      </c>
      <c r="S6" t="str" cm="1">
        <f t="array" ref="S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6" t="str">
        <f>TEXT(tbl_analysis_tickets[[#This Row],[created_date]],"mmm-yyyy")</f>
        <v>Apr-2024</v>
      </c>
      <c r="U6" t="str">
        <f>TEXT(tbl_analysis_tickets[[#This Row],[created_date]],"dddd")</f>
        <v>Tuesday</v>
      </c>
      <c r="V6" cm="1">
        <f t="array" ref="V6">_xlfn.SWITCH(tbl_analysis_tickets[[#This Row],[priority]],
"Urgent",1,
"High",2,
"Medium",3,
"Low",4
)</f>
        <v>1</v>
      </c>
    </row>
    <row r="7" spans="1:22" x14ac:dyDescent="0.25">
      <c r="A7">
        <v>6</v>
      </c>
      <c r="B7" s="1">
        <v>45452</v>
      </c>
      <c r="C7" t="s">
        <v>22</v>
      </c>
      <c r="D7" t="s">
        <v>20</v>
      </c>
      <c r="E7">
        <v>142</v>
      </c>
      <c r="F7">
        <v>47</v>
      </c>
      <c r="G7">
        <v>7.8</v>
      </c>
      <c r="H7" t="s">
        <v>12</v>
      </c>
      <c r="I7" t="s">
        <v>13</v>
      </c>
      <c r="J7" t="s">
        <v>11</v>
      </c>
      <c r="K7">
        <f>_xlfn.XLOOKUP(tbl_analysis_tickets[[#This Row],[priority]],tbl_sla[priority],tbl_sla[Resolution SLA Hours])</f>
        <v>24</v>
      </c>
      <c r="L7">
        <f>_xlfn.XLOOKUP(tbl_analysis_tickets[[#This Row],[priority]],tbl_sla[priority],tbl_sla[First Response SLA Minutes])</f>
        <v>60</v>
      </c>
      <c r="M7" t="str">
        <f>IF(tbl_analysis_tickets[[#This Row],[resolution_time_hours]]&gt;tbl_analysis_tickets[[#This Row],[Resolution SLA Hours]],"Breached","Within SLA")</f>
        <v>Breached</v>
      </c>
      <c r="N7" t="str">
        <f>IF(tbl_analysis_tickets[[#This Row],[first_response_minutes]]&gt;tbl_analysis_tickets[[#This Row],[First Response SLA Minutes]],"Breached","Within SLA")</f>
        <v>Breached</v>
      </c>
      <c r="O7" t="str" cm="1">
        <f t="array" ref="O7">_xlfn.IFS(
tbl_analysis_tickets[[#This Row],[agent_experience_years]]&lt;=2,"Junior",
tbl_analysis_tickets[[#This Row],[agent_experience_years]]&lt;=5,"Mid-Level",
tbl_analysis_tickets[[#This Row],[agent_experience_years]]&lt;=8,"Senior",
tbl_analysis_tickets[[#This Row],[agent_experience_years]]&gt;8,"Expert"
)</f>
        <v>Senior</v>
      </c>
      <c r="P7" cm="1">
        <f t="array" ref="P7">_xlfn.SWITCH(tbl_analysis_tickets[[#This Row],[customer_satisfaction]],
"Low",1,
"Medium",2,
"High",3
)</f>
        <v>1</v>
      </c>
      <c r="Q7">
        <f>IF(tbl_analysis_tickets[[#This Row],[reopened]]="Yes",1,0)</f>
        <v>1</v>
      </c>
      <c r="R7" t="str" cm="1">
        <f t="array" ref="R7">_xlfn.IFS(
tbl_analysis_tickets[[#This Row],[first_response_minutes]]&lt;=30,"Very Fast",
tbl_analysis_tickets[[#This Row],[first_response_minutes]]&lt;=120,"Acceptable",
tbl_analysis_tickets[[#This Row],[first_response_minutes]]&lt;=240,"Slow",
tbl_analysis_tickets[[#This Row],[first_response_minutes]]&gt;240,"Very Slow"
)</f>
        <v>Slow</v>
      </c>
      <c r="S7" t="str" cm="1">
        <f t="array" ref="S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7" t="str">
        <f>TEXT(tbl_analysis_tickets[[#This Row],[created_date]],"mmm-yyyy")</f>
        <v>Jun-2024</v>
      </c>
      <c r="U7" t="str">
        <f>TEXT(tbl_analysis_tickets[[#This Row],[created_date]],"dddd")</f>
        <v>Sunday</v>
      </c>
      <c r="V7" cm="1">
        <f t="array" ref="V7">_xlfn.SWITCH(tbl_analysis_tickets[[#This Row],[priority]],
"Urgent",1,
"High",2,
"Medium",3,
"Low",4
)</f>
        <v>2</v>
      </c>
    </row>
    <row r="8" spans="1:22" x14ac:dyDescent="0.25">
      <c r="A8">
        <v>7</v>
      </c>
      <c r="B8" s="1">
        <v>45548</v>
      </c>
      <c r="C8" t="s">
        <v>21</v>
      </c>
      <c r="D8" t="s">
        <v>17</v>
      </c>
      <c r="E8">
        <v>125</v>
      </c>
      <c r="F8">
        <v>9</v>
      </c>
      <c r="G8">
        <v>6.7</v>
      </c>
      <c r="H8" t="s">
        <v>18</v>
      </c>
      <c r="I8" t="s">
        <v>16</v>
      </c>
      <c r="J8" t="s">
        <v>11</v>
      </c>
      <c r="K8">
        <f>_xlfn.XLOOKUP(tbl_analysis_tickets[[#This Row],[priority]],tbl_sla[priority],tbl_sla[Resolution SLA Hours])</f>
        <v>8</v>
      </c>
      <c r="L8">
        <f>_xlfn.XLOOKUP(tbl_analysis_tickets[[#This Row],[priority]],tbl_sla[priority],tbl_sla[First Response SLA Minutes])</f>
        <v>30</v>
      </c>
      <c r="M8" t="str">
        <f>IF(tbl_analysis_tickets[[#This Row],[resolution_time_hours]]&gt;tbl_analysis_tickets[[#This Row],[Resolution SLA Hours]],"Breached","Within SLA")</f>
        <v>Breached</v>
      </c>
      <c r="N8" t="str">
        <f>IF(tbl_analysis_tickets[[#This Row],[first_response_minutes]]&gt;tbl_analysis_tickets[[#This Row],[First Response SLA Minutes]],"Breached","Within SLA")</f>
        <v>Breached</v>
      </c>
      <c r="O8" t="str" cm="1">
        <f t="array" ref="O8">_xlfn.IFS(
tbl_analysis_tickets[[#This Row],[agent_experience_years]]&lt;=2,"Junior",
tbl_analysis_tickets[[#This Row],[agent_experience_years]]&lt;=5,"Mid-Level",
tbl_analysis_tickets[[#This Row],[agent_experience_years]]&lt;=8,"Senior",
tbl_analysis_tickets[[#This Row],[agent_experience_years]]&gt;8,"Expert"
)</f>
        <v>Senior</v>
      </c>
      <c r="P8" cm="1">
        <f t="array" ref="P8">_xlfn.SWITCH(tbl_analysis_tickets[[#This Row],[customer_satisfaction]],
"Low",1,
"Medium",2,
"High",3
)</f>
        <v>1</v>
      </c>
      <c r="Q8">
        <f>IF(tbl_analysis_tickets[[#This Row],[reopened]]="Yes",1,0)</f>
        <v>0</v>
      </c>
      <c r="R8" t="str" cm="1">
        <f t="array" ref="R8">_xlfn.IFS(
tbl_analysis_tickets[[#This Row],[first_response_minutes]]&lt;=30,"Very Fast",
tbl_analysis_tickets[[#This Row],[first_response_minutes]]&lt;=120,"Acceptable",
tbl_analysis_tickets[[#This Row],[first_response_minutes]]&lt;=240,"Slow",
tbl_analysis_tickets[[#This Row],[first_response_minutes]]&gt;240,"Very Slow"
)</f>
        <v>Slow</v>
      </c>
      <c r="S8" t="str" cm="1">
        <f t="array" ref="S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8" t="str">
        <f>TEXT(tbl_analysis_tickets[[#This Row],[created_date]],"mmm-yyyy")</f>
        <v>Sep-2024</v>
      </c>
      <c r="U8" t="str">
        <f>TEXT(tbl_analysis_tickets[[#This Row],[created_date]],"dddd")</f>
        <v>Friday</v>
      </c>
      <c r="V8" cm="1">
        <f t="array" ref="V8">_xlfn.SWITCH(tbl_analysis_tickets[[#This Row],[priority]],
"Urgent",1,
"High",2,
"Medium",3,
"Low",4
)</f>
        <v>1</v>
      </c>
    </row>
    <row r="9" spans="1:22" x14ac:dyDescent="0.25">
      <c r="A9">
        <v>8</v>
      </c>
      <c r="B9" s="1">
        <v>45602</v>
      </c>
      <c r="C9" t="s">
        <v>23</v>
      </c>
      <c r="D9" t="s">
        <v>17</v>
      </c>
      <c r="E9">
        <v>66</v>
      </c>
      <c r="F9">
        <v>5</v>
      </c>
      <c r="G9">
        <v>0.8</v>
      </c>
      <c r="H9" t="s">
        <v>18</v>
      </c>
      <c r="I9" t="s">
        <v>19</v>
      </c>
      <c r="J9" t="s">
        <v>15</v>
      </c>
      <c r="K9">
        <f>_xlfn.XLOOKUP(tbl_analysis_tickets[[#This Row],[priority]],tbl_sla[priority],tbl_sla[Resolution SLA Hours])</f>
        <v>8</v>
      </c>
      <c r="L9">
        <f>_xlfn.XLOOKUP(tbl_analysis_tickets[[#This Row],[priority]],tbl_sla[priority],tbl_sla[First Response SLA Minutes])</f>
        <v>30</v>
      </c>
      <c r="M9" t="str">
        <f>IF(tbl_analysis_tickets[[#This Row],[resolution_time_hours]]&gt;tbl_analysis_tickets[[#This Row],[Resolution SLA Hours]],"Breached","Within SLA")</f>
        <v>Within SLA</v>
      </c>
      <c r="N9" t="str">
        <f>IF(tbl_analysis_tickets[[#This Row],[first_response_minutes]]&gt;tbl_analysis_tickets[[#This Row],[First Response SLA Minutes]],"Breached","Within SLA")</f>
        <v>Breached</v>
      </c>
      <c r="O9" t="str" cm="1">
        <f t="array" ref="O9">_xlfn.IFS(
tbl_analysis_tickets[[#This Row],[agent_experience_years]]&lt;=2,"Junior",
tbl_analysis_tickets[[#This Row],[agent_experience_years]]&lt;=5,"Mid-Level",
tbl_analysis_tickets[[#This Row],[agent_experience_years]]&lt;=8,"Senior",
tbl_analysis_tickets[[#This Row],[agent_experience_years]]&gt;8,"Expert"
)</f>
        <v>Junior</v>
      </c>
      <c r="P9" cm="1">
        <f t="array" ref="P9">_xlfn.SWITCH(tbl_analysis_tickets[[#This Row],[customer_satisfaction]],
"Low",1,
"Medium",2,
"High",3
)</f>
        <v>2</v>
      </c>
      <c r="Q9">
        <f>IF(tbl_analysis_tickets[[#This Row],[reopened]]="Yes",1,0)</f>
        <v>0</v>
      </c>
      <c r="R9" t="str" cm="1">
        <f t="array" ref="R9">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9" t="str" cm="1">
        <f t="array" ref="S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9" t="str">
        <f>TEXT(tbl_analysis_tickets[[#This Row],[created_date]],"mmm-yyyy")</f>
        <v>Nov-2024</v>
      </c>
      <c r="U9" t="str">
        <f>TEXT(tbl_analysis_tickets[[#This Row],[created_date]],"dddd")</f>
        <v>Wednesday</v>
      </c>
      <c r="V9" cm="1">
        <f t="array" ref="V9">_xlfn.SWITCH(tbl_analysis_tickets[[#This Row],[priority]],
"Urgent",1,
"High",2,
"Medium",3,
"Low",4
)</f>
        <v>1</v>
      </c>
    </row>
    <row r="10" spans="1:22" x14ac:dyDescent="0.25">
      <c r="A10">
        <v>9</v>
      </c>
      <c r="B10" s="1">
        <v>45599</v>
      </c>
      <c r="C10" t="s">
        <v>21</v>
      </c>
      <c r="D10" t="s">
        <v>11</v>
      </c>
      <c r="E10">
        <v>43</v>
      </c>
      <c r="F10">
        <v>50</v>
      </c>
      <c r="G10">
        <v>5.9</v>
      </c>
      <c r="H10" t="s">
        <v>18</v>
      </c>
      <c r="I10" t="s">
        <v>16</v>
      </c>
      <c r="J10" t="s">
        <v>15</v>
      </c>
      <c r="K10">
        <f>_xlfn.XLOOKUP(tbl_analysis_tickets[[#This Row],[priority]],tbl_sla[priority],tbl_sla[Resolution SLA Hours])</f>
        <v>72</v>
      </c>
      <c r="L10">
        <f>_xlfn.XLOOKUP(tbl_analysis_tickets[[#This Row],[priority]],tbl_sla[priority],tbl_sla[First Response SLA Minutes])</f>
        <v>240</v>
      </c>
      <c r="M10" t="str">
        <f>IF(tbl_analysis_tickets[[#This Row],[resolution_time_hours]]&gt;tbl_analysis_tickets[[#This Row],[Resolution SLA Hours]],"Breached","Within SLA")</f>
        <v>Within SLA</v>
      </c>
      <c r="N10" t="str">
        <f>IF(tbl_analysis_tickets[[#This Row],[first_response_minutes]]&gt;tbl_analysis_tickets[[#This Row],[First Response SLA Minutes]],"Breached","Within SLA")</f>
        <v>Within SLA</v>
      </c>
      <c r="O10" t="str" cm="1">
        <f t="array" ref="O10">_xlfn.IFS(
tbl_analysis_tickets[[#This Row],[agent_experience_years]]&lt;=2,"Junior",
tbl_analysis_tickets[[#This Row],[agent_experience_years]]&lt;=5,"Mid-Level",
tbl_analysis_tickets[[#This Row],[agent_experience_years]]&lt;=8,"Senior",
tbl_analysis_tickets[[#This Row],[agent_experience_years]]&gt;8,"Expert"
)</f>
        <v>Senior</v>
      </c>
      <c r="P10" cm="1">
        <f t="array" ref="P10">_xlfn.SWITCH(tbl_analysis_tickets[[#This Row],[customer_satisfaction]],
"Low",1,
"Medium",2,
"High",3
)</f>
        <v>2</v>
      </c>
      <c r="Q10">
        <f>IF(tbl_analysis_tickets[[#This Row],[reopened]]="Yes",1,0)</f>
        <v>0</v>
      </c>
      <c r="R10" t="str" cm="1">
        <f t="array" ref="R10">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0" t="str" cm="1">
        <f t="array" ref="S1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0" t="str">
        <f>TEXT(tbl_analysis_tickets[[#This Row],[created_date]],"mmm-yyyy")</f>
        <v>Nov-2024</v>
      </c>
      <c r="U10" t="str">
        <f>TEXT(tbl_analysis_tickets[[#This Row],[created_date]],"dddd")</f>
        <v>Sunday</v>
      </c>
      <c r="V10" cm="1">
        <f t="array" ref="V10">_xlfn.SWITCH(tbl_analysis_tickets[[#This Row],[priority]],
"Urgent",1,
"High",2,
"Medium",3,
"Low",4
)</f>
        <v>4</v>
      </c>
    </row>
    <row r="11" spans="1:22" x14ac:dyDescent="0.25">
      <c r="A11">
        <v>10</v>
      </c>
      <c r="B11" s="1">
        <v>45470</v>
      </c>
      <c r="C11" t="s">
        <v>10</v>
      </c>
      <c r="D11" t="s">
        <v>11</v>
      </c>
      <c r="E11">
        <v>118</v>
      </c>
      <c r="F11">
        <v>22</v>
      </c>
      <c r="G11">
        <v>9.8000000000000007</v>
      </c>
      <c r="H11" t="s">
        <v>12</v>
      </c>
      <c r="I11" t="s">
        <v>13</v>
      </c>
      <c r="J11" t="s">
        <v>11</v>
      </c>
      <c r="K11">
        <f>_xlfn.XLOOKUP(tbl_analysis_tickets[[#This Row],[priority]],tbl_sla[priority],tbl_sla[Resolution SLA Hours])</f>
        <v>72</v>
      </c>
      <c r="L11">
        <f>_xlfn.XLOOKUP(tbl_analysis_tickets[[#This Row],[priority]],tbl_sla[priority],tbl_sla[First Response SLA Minutes])</f>
        <v>240</v>
      </c>
      <c r="M11" t="str">
        <f>IF(tbl_analysis_tickets[[#This Row],[resolution_time_hours]]&gt;tbl_analysis_tickets[[#This Row],[Resolution SLA Hours]],"Breached","Within SLA")</f>
        <v>Within SLA</v>
      </c>
      <c r="N11" t="str">
        <f>IF(tbl_analysis_tickets[[#This Row],[first_response_minutes]]&gt;tbl_analysis_tickets[[#This Row],[First Response SLA Minutes]],"Breached","Within SLA")</f>
        <v>Within SLA</v>
      </c>
      <c r="O11" t="str" cm="1">
        <f t="array" ref="O11">_xlfn.IFS(
tbl_analysis_tickets[[#This Row],[agent_experience_years]]&lt;=2,"Junior",
tbl_analysis_tickets[[#This Row],[agent_experience_years]]&lt;=5,"Mid-Level",
tbl_analysis_tickets[[#This Row],[agent_experience_years]]&lt;=8,"Senior",
tbl_analysis_tickets[[#This Row],[agent_experience_years]]&gt;8,"Expert"
)</f>
        <v>Expert</v>
      </c>
      <c r="P11" cm="1">
        <f t="array" ref="P11">_xlfn.SWITCH(tbl_analysis_tickets[[#This Row],[customer_satisfaction]],
"Low",1,
"Medium",2,
"High",3
)</f>
        <v>1</v>
      </c>
      <c r="Q11">
        <f>IF(tbl_analysis_tickets[[#This Row],[reopened]]="Yes",1,0)</f>
        <v>1</v>
      </c>
      <c r="R11" t="str" cm="1">
        <f t="array" ref="R11">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1" t="str" cm="1">
        <f t="array" ref="S1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1" t="str">
        <f>TEXT(tbl_analysis_tickets[[#This Row],[created_date]],"mmm-yyyy")</f>
        <v>Jun-2024</v>
      </c>
      <c r="U11" t="str">
        <f>TEXT(tbl_analysis_tickets[[#This Row],[created_date]],"dddd")</f>
        <v>Thursday</v>
      </c>
      <c r="V11" cm="1">
        <f t="array" ref="V11">_xlfn.SWITCH(tbl_analysis_tickets[[#This Row],[priority]],
"Urgent",1,
"High",2,
"Medium",3,
"Low",4
)</f>
        <v>4</v>
      </c>
    </row>
    <row r="12" spans="1:22" x14ac:dyDescent="0.25">
      <c r="A12">
        <v>11</v>
      </c>
      <c r="B12" s="1">
        <v>45353</v>
      </c>
      <c r="C12" t="s">
        <v>14</v>
      </c>
      <c r="D12" t="s">
        <v>17</v>
      </c>
      <c r="E12">
        <v>67</v>
      </c>
      <c r="F12">
        <v>36</v>
      </c>
      <c r="G12">
        <v>1.9</v>
      </c>
      <c r="H12" t="s">
        <v>12</v>
      </c>
      <c r="I12" t="s">
        <v>13</v>
      </c>
      <c r="J12" t="s">
        <v>11</v>
      </c>
      <c r="K12">
        <f>_xlfn.XLOOKUP(tbl_analysis_tickets[[#This Row],[priority]],tbl_sla[priority],tbl_sla[Resolution SLA Hours])</f>
        <v>8</v>
      </c>
      <c r="L12">
        <f>_xlfn.XLOOKUP(tbl_analysis_tickets[[#This Row],[priority]],tbl_sla[priority],tbl_sla[First Response SLA Minutes])</f>
        <v>30</v>
      </c>
      <c r="M12" t="str">
        <f>IF(tbl_analysis_tickets[[#This Row],[resolution_time_hours]]&gt;tbl_analysis_tickets[[#This Row],[Resolution SLA Hours]],"Breached","Within SLA")</f>
        <v>Breached</v>
      </c>
      <c r="N12" t="str">
        <f>IF(tbl_analysis_tickets[[#This Row],[first_response_minutes]]&gt;tbl_analysis_tickets[[#This Row],[First Response SLA Minutes]],"Breached","Within SLA")</f>
        <v>Breached</v>
      </c>
      <c r="O12" t="str" cm="1">
        <f t="array" ref="O12">_xlfn.IFS(
tbl_analysis_tickets[[#This Row],[agent_experience_years]]&lt;=2,"Junior",
tbl_analysis_tickets[[#This Row],[agent_experience_years]]&lt;=5,"Mid-Level",
tbl_analysis_tickets[[#This Row],[agent_experience_years]]&lt;=8,"Senior",
tbl_analysis_tickets[[#This Row],[agent_experience_years]]&gt;8,"Expert"
)</f>
        <v>Junior</v>
      </c>
      <c r="P12" cm="1">
        <f t="array" ref="P12">_xlfn.SWITCH(tbl_analysis_tickets[[#This Row],[customer_satisfaction]],
"Low",1,
"Medium",2,
"High",3
)</f>
        <v>1</v>
      </c>
      <c r="Q12">
        <f>IF(tbl_analysis_tickets[[#This Row],[reopened]]="Yes",1,0)</f>
        <v>1</v>
      </c>
      <c r="R12" t="str" cm="1">
        <f t="array" ref="R12">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2" t="str" cm="1">
        <f t="array" ref="S1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2" t="str">
        <f>TEXT(tbl_analysis_tickets[[#This Row],[created_date]],"mmm-yyyy")</f>
        <v>Mar-2024</v>
      </c>
      <c r="U12" t="str">
        <f>TEXT(tbl_analysis_tickets[[#This Row],[created_date]],"dddd")</f>
        <v>Saturday</v>
      </c>
      <c r="V12" cm="1">
        <f t="array" ref="V12">_xlfn.SWITCH(tbl_analysis_tickets[[#This Row],[priority]],
"Urgent",1,
"High",2,
"Medium",3,
"Low",4
)</f>
        <v>1</v>
      </c>
    </row>
    <row r="13" spans="1:22" x14ac:dyDescent="0.25">
      <c r="A13">
        <v>12</v>
      </c>
      <c r="B13" s="1">
        <v>45469</v>
      </c>
      <c r="C13" t="s">
        <v>14</v>
      </c>
      <c r="D13" t="s">
        <v>20</v>
      </c>
      <c r="E13">
        <v>47</v>
      </c>
      <c r="F13">
        <v>23</v>
      </c>
      <c r="G13">
        <v>7.9</v>
      </c>
      <c r="H13" t="s">
        <v>18</v>
      </c>
      <c r="I13" t="s">
        <v>13</v>
      </c>
      <c r="J13" t="s">
        <v>11</v>
      </c>
      <c r="K13">
        <f>_xlfn.XLOOKUP(tbl_analysis_tickets[[#This Row],[priority]],tbl_sla[priority],tbl_sla[Resolution SLA Hours])</f>
        <v>24</v>
      </c>
      <c r="L13">
        <f>_xlfn.XLOOKUP(tbl_analysis_tickets[[#This Row],[priority]],tbl_sla[priority],tbl_sla[First Response SLA Minutes])</f>
        <v>60</v>
      </c>
      <c r="M13" t="str">
        <f>IF(tbl_analysis_tickets[[#This Row],[resolution_time_hours]]&gt;tbl_analysis_tickets[[#This Row],[Resolution SLA Hours]],"Breached","Within SLA")</f>
        <v>Within SLA</v>
      </c>
      <c r="N13" t="str">
        <f>IF(tbl_analysis_tickets[[#This Row],[first_response_minutes]]&gt;tbl_analysis_tickets[[#This Row],[First Response SLA Minutes]],"Breached","Within SLA")</f>
        <v>Within SLA</v>
      </c>
      <c r="O13" t="str" cm="1">
        <f t="array" ref="O13">_xlfn.IFS(
tbl_analysis_tickets[[#This Row],[agent_experience_years]]&lt;=2,"Junior",
tbl_analysis_tickets[[#This Row],[agent_experience_years]]&lt;=5,"Mid-Level",
tbl_analysis_tickets[[#This Row],[agent_experience_years]]&lt;=8,"Senior",
tbl_analysis_tickets[[#This Row],[agent_experience_years]]&gt;8,"Expert"
)</f>
        <v>Senior</v>
      </c>
      <c r="P13" cm="1">
        <f t="array" ref="P13">_xlfn.SWITCH(tbl_analysis_tickets[[#This Row],[customer_satisfaction]],
"Low",1,
"Medium",2,
"High",3
)</f>
        <v>1</v>
      </c>
      <c r="Q13">
        <f>IF(tbl_analysis_tickets[[#This Row],[reopened]]="Yes",1,0)</f>
        <v>0</v>
      </c>
      <c r="R13" t="str" cm="1">
        <f t="array" ref="R13">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3" t="str" cm="1">
        <f t="array" ref="S1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3" t="str">
        <f>TEXT(tbl_analysis_tickets[[#This Row],[created_date]],"mmm-yyyy")</f>
        <v>Jun-2024</v>
      </c>
      <c r="U13" t="str">
        <f>TEXT(tbl_analysis_tickets[[#This Row],[created_date]],"dddd")</f>
        <v>Wednesday</v>
      </c>
      <c r="V13" cm="1">
        <f t="array" ref="V13">_xlfn.SWITCH(tbl_analysis_tickets[[#This Row],[priority]],
"Urgent",1,
"High",2,
"Medium",3,
"Low",4
)</f>
        <v>2</v>
      </c>
    </row>
    <row r="14" spans="1:22" x14ac:dyDescent="0.25">
      <c r="A14">
        <v>13</v>
      </c>
      <c r="B14" s="1">
        <v>45455</v>
      </c>
      <c r="C14" t="s">
        <v>21</v>
      </c>
      <c r="D14" t="s">
        <v>15</v>
      </c>
      <c r="E14">
        <v>6</v>
      </c>
      <c r="F14">
        <v>70</v>
      </c>
      <c r="G14">
        <v>7.3</v>
      </c>
      <c r="H14" t="s">
        <v>18</v>
      </c>
      <c r="I14" t="s">
        <v>16</v>
      </c>
      <c r="J14" t="s">
        <v>20</v>
      </c>
      <c r="K14">
        <f>_xlfn.XLOOKUP(tbl_analysis_tickets[[#This Row],[priority]],tbl_sla[priority],tbl_sla[Resolution SLA Hours])</f>
        <v>48</v>
      </c>
      <c r="L14">
        <f>_xlfn.XLOOKUP(tbl_analysis_tickets[[#This Row],[priority]],tbl_sla[priority],tbl_sla[First Response SLA Minutes])</f>
        <v>120</v>
      </c>
      <c r="M14" t="str">
        <f>IF(tbl_analysis_tickets[[#This Row],[resolution_time_hours]]&gt;tbl_analysis_tickets[[#This Row],[Resolution SLA Hours]],"Breached","Within SLA")</f>
        <v>Breached</v>
      </c>
      <c r="N14" t="str">
        <f>IF(tbl_analysis_tickets[[#This Row],[first_response_minutes]]&gt;tbl_analysis_tickets[[#This Row],[First Response SLA Minutes]],"Breached","Within SLA")</f>
        <v>Within SLA</v>
      </c>
      <c r="O14" t="str" cm="1">
        <f t="array" ref="O14">_xlfn.IFS(
tbl_analysis_tickets[[#This Row],[agent_experience_years]]&lt;=2,"Junior",
tbl_analysis_tickets[[#This Row],[agent_experience_years]]&lt;=5,"Mid-Level",
tbl_analysis_tickets[[#This Row],[agent_experience_years]]&lt;=8,"Senior",
tbl_analysis_tickets[[#This Row],[agent_experience_years]]&gt;8,"Expert"
)</f>
        <v>Senior</v>
      </c>
      <c r="P14" cm="1">
        <f t="array" ref="P14">_xlfn.SWITCH(tbl_analysis_tickets[[#This Row],[customer_satisfaction]],
"Low",1,
"Medium",2,
"High",3
)</f>
        <v>3</v>
      </c>
      <c r="Q14">
        <f>IF(tbl_analysis_tickets[[#This Row],[reopened]]="Yes",1,0)</f>
        <v>0</v>
      </c>
      <c r="R14" t="str" cm="1">
        <f t="array" ref="R14">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14" t="str" cm="1">
        <f t="array" ref="S1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4" t="str">
        <f>TEXT(tbl_analysis_tickets[[#This Row],[created_date]],"mmm-yyyy")</f>
        <v>Jun-2024</v>
      </c>
      <c r="U14" t="str">
        <f>TEXT(tbl_analysis_tickets[[#This Row],[created_date]],"dddd")</f>
        <v>Wednesday</v>
      </c>
      <c r="V14" cm="1">
        <f t="array" ref="V14">_xlfn.SWITCH(tbl_analysis_tickets[[#This Row],[priority]],
"Urgent",1,
"High",2,
"Medium",3,
"Low",4
)</f>
        <v>3</v>
      </c>
    </row>
    <row r="15" spans="1:22" x14ac:dyDescent="0.25">
      <c r="A15">
        <v>14</v>
      </c>
      <c r="B15" s="1">
        <v>45545</v>
      </c>
      <c r="C15" t="s">
        <v>21</v>
      </c>
      <c r="D15" t="s">
        <v>20</v>
      </c>
      <c r="E15">
        <v>119</v>
      </c>
      <c r="F15">
        <v>52</v>
      </c>
      <c r="G15">
        <v>6</v>
      </c>
      <c r="H15" t="s">
        <v>18</v>
      </c>
      <c r="I15" t="s">
        <v>19</v>
      </c>
      <c r="J15" t="s">
        <v>11</v>
      </c>
      <c r="K15">
        <f>_xlfn.XLOOKUP(tbl_analysis_tickets[[#This Row],[priority]],tbl_sla[priority],tbl_sla[Resolution SLA Hours])</f>
        <v>24</v>
      </c>
      <c r="L15">
        <f>_xlfn.XLOOKUP(tbl_analysis_tickets[[#This Row],[priority]],tbl_sla[priority],tbl_sla[First Response SLA Minutes])</f>
        <v>60</v>
      </c>
      <c r="M15" t="str">
        <f>IF(tbl_analysis_tickets[[#This Row],[resolution_time_hours]]&gt;tbl_analysis_tickets[[#This Row],[Resolution SLA Hours]],"Breached","Within SLA")</f>
        <v>Breached</v>
      </c>
      <c r="N15" t="str">
        <f>IF(tbl_analysis_tickets[[#This Row],[first_response_minutes]]&gt;tbl_analysis_tickets[[#This Row],[First Response SLA Minutes]],"Breached","Within SLA")</f>
        <v>Breached</v>
      </c>
      <c r="O15" t="str" cm="1">
        <f t="array" ref="O15">_xlfn.IFS(
tbl_analysis_tickets[[#This Row],[agent_experience_years]]&lt;=2,"Junior",
tbl_analysis_tickets[[#This Row],[agent_experience_years]]&lt;=5,"Mid-Level",
tbl_analysis_tickets[[#This Row],[agent_experience_years]]&lt;=8,"Senior",
tbl_analysis_tickets[[#This Row],[agent_experience_years]]&gt;8,"Expert"
)</f>
        <v>Senior</v>
      </c>
      <c r="P15" cm="1">
        <f t="array" ref="P15">_xlfn.SWITCH(tbl_analysis_tickets[[#This Row],[customer_satisfaction]],
"Low",1,
"Medium",2,
"High",3
)</f>
        <v>1</v>
      </c>
      <c r="Q15">
        <f>IF(tbl_analysis_tickets[[#This Row],[reopened]]="Yes",1,0)</f>
        <v>0</v>
      </c>
      <c r="R15" t="str" cm="1">
        <f t="array" ref="R15">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5" t="str" cm="1">
        <f t="array" ref="S1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5" t="str">
        <f>TEXT(tbl_analysis_tickets[[#This Row],[created_date]],"mmm-yyyy")</f>
        <v>Sep-2024</v>
      </c>
      <c r="U15" t="str">
        <f>TEXT(tbl_analysis_tickets[[#This Row],[created_date]],"dddd")</f>
        <v>Tuesday</v>
      </c>
      <c r="V15" cm="1">
        <f t="array" ref="V15">_xlfn.SWITCH(tbl_analysis_tickets[[#This Row],[priority]],
"Urgent",1,
"High",2,
"Medium",3,
"Low",4
)</f>
        <v>2</v>
      </c>
    </row>
    <row r="16" spans="1:22" x14ac:dyDescent="0.25">
      <c r="A16">
        <v>15</v>
      </c>
      <c r="B16" s="1">
        <v>45377</v>
      </c>
      <c r="C16" t="s">
        <v>10</v>
      </c>
      <c r="D16" t="s">
        <v>20</v>
      </c>
      <c r="E16">
        <v>138</v>
      </c>
      <c r="F16">
        <v>62</v>
      </c>
      <c r="G16">
        <v>6.2</v>
      </c>
      <c r="H16" t="s">
        <v>12</v>
      </c>
      <c r="I16" t="s">
        <v>19</v>
      </c>
      <c r="J16" t="s">
        <v>11</v>
      </c>
      <c r="K16">
        <f>_xlfn.XLOOKUP(tbl_analysis_tickets[[#This Row],[priority]],tbl_sla[priority],tbl_sla[Resolution SLA Hours])</f>
        <v>24</v>
      </c>
      <c r="L16">
        <f>_xlfn.XLOOKUP(tbl_analysis_tickets[[#This Row],[priority]],tbl_sla[priority],tbl_sla[First Response SLA Minutes])</f>
        <v>60</v>
      </c>
      <c r="M16" t="str">
        <f>IF(tbl_analysis_tickets[[#This Row],[resolution_time_hours]]&gt;tbl_analysis_tickets[[#This Row],[Resolution SLA Hours]],"Breached","Within SLA")</f>
        <v>Breached</v>
      </c>
      <c r="N16" t="str">
        <f>IF(tbl_analysis_tickets[[#This Row],[first_response_minutes]]&gt;tbl_analysis_tickets[[#This Row],[First Response SLA Minutes]],"Breached","Within SLA")</f>
        <v>Breached</v>
      </c>
      <c r="O16" t="str" cm="1">
        <f t="array" ref="O16">_xlfn.IFS(
tbl_analysis_tickets[[#This Row],[agent_experience_years]]&lt;=2,"Junior",
tbl_analysis_tickets[[#This Row],[agent_experience_years]]&lt;=5,"Mid-Level",
tbl_analysis_tickets[[#This Row],[agent_experience_years]]&lt;=8,"Senior",
tbl_analysis_tickets[[#This Row],[agent_experience_years]]&gt;8,"Expert"
)</f>
        <v>Senior</v>
      </c>
      <c r="P16" cm="1">
        <f t="array" ref="P16">_xlfn.SWITCH(tbl_analysis_tickets[[#This Row],[customer_satisfaction]],
"Low",1,
"Medium",2,
"High",3
)</f>
        <v>1</v>
      </c>
      <c r="Q16">
        <f>IF(tbl_analysis_tickets[[#This Row],[reopened]]="Yes",1,0)</f>
        <v>1</v>
      </c>
      <c r="R16" t="str" cm="1">
        <f t="array" ref="R16">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6" t="str" cm="1">
        <f t="array" ref="S1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6" t="str">
        <f>TEXT(tbl_analysis_tickets[[#This Row],[created_date]],"mmm-yyyy")</f>
        <v>Mar-2024</v>
      </c>
      <c r="U16" t="str">
        <f>TEXT(tbl_analysis_tickets[[#This Row],[created_date]],"dddd")</f>
        <v>Tuesday</v>
      </c>
      <c r="V16" cm="1">
        <f t="array" ref="V16">_xlfn.SWITCH(tbl_analysis_tickets[[#This Row],[priority]],
"Urgent",1,
"High",2,
"Medium",3,
"Low",4
)</f>
        <v>2</v>
      </c>
    </row>
    <row r="17" spans="1:22" x14ac:dyDescent="0.25">
      <c r="A17">
        <v>16</v>
      </c>
      <c r="B17" s="1">
        <v>45567</v>
      </c>
      <c r="C17" t="s">
        <v>10</v>
      </c>
      <c r="D17" t="s">
        <v>17</v>
      </c>
      <c r="E17">
        <v>234</v>
      </c>
      <c r="F17">
        <v>52</v>
      </c>
      <c r="G17">
        <v>1.8</v>
      </c>
      <c r="H17" t="s">
        <v>18</v>
      </c>
      <c r="I17" t="s">
        <v>13</v>
      </c>
      <c r="J17" t="s">
        <v>11</v>
      </c>
      <c r="K17">
        <f>_xlfn.XLOOKUP(tbl_analysis_tickets[[#This Row],[priority]],tbl_sla[priority],tbl_sla[Resolution SLA Hours])</f>
        <v>8</v>
      </c>
      <c r="L17">
        <f>_xlfn.XLOOKUP(tbl_analysis_tickets[[#This Row],[priority]],tbl_sla[priority],tbl_sla[First Response SLA Minutes])</f>
        <v>30</v>
      </c>
      <c r="M17" t="str">
        <f>IF(tbl_analysis_tickets[[#This Row],[resolution_time_hours]]&gt;tbl_analysis_tickets[[#This Row],[Resolution SLA Hours]],"Breached","Within SLA")</f>
        <v>Breached</v>
      </c>
      <c r="N17" t="str">
        <f>IF(tbl_analysis_tickets[[#This Row],[first_response_minutes]]&gt;tbl_analysis_tickets[[#This Row],[First Response SLA Minutes]],"Breached","Within SLA")</f>
        <v>Breached</v>
      </c>
      <c r="O17" t="str" cm="1">
        <f t="array" ref="O17">_xlfn.IFS(
tbl_analysis_tickets[[#This Row],[agent_experience_years]]&lt;=2,"Junior",
tbl_analysis_tickets[[#This Row],[agent_experience_years]]&lt;=5,"Mid-Level",
tbl_analysis_tickets[[#This Row],[agent_experience_years]]&lt;=8,"Senior",
tbl_analysis_tickets[[#This Row],[agent_experience_years]]&gt;8,"Expert"
)</f>
        <v>Junior</v>
      </c>
      <c r="P17" cm="1">
        <f t="array" ref="P17">_xlfn.SWITCH(tbl_analysis_tickets[[#This Row],[customer_satisfaction]],
"Low",1,
"Medium",2,
"High",3
)</f>
        <v>1</v>
      </c>
      <c r="Q17">
        <f>IF(tbl_analysis_tickets[[#This Row],[reopened]]="Yes",1,0)</f>
        <v>0</v>
      </c>
      <c r="R17" t="str" cm="1">
        <f t="array" ref="R17">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7" t="str" cm="1">
        <f t="array" ref="S1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7" t="str">
        <f>TEXT(tbl_analysis_tickets[[#This Row],[created_date]],"mmm-yyyy")</f>
        <v>Oct-2024</v>
      </c>
      <c r="U17" t="str">
        <f>TEXT(tbl_analysis_tickets[[#This Row],[created_date]],"dddd")</f>
        <v>Wednesday</v>
      </c>
      <c r="V17" cm="1">
        <f t="array" ref="V17">_xlfn.SWITCH(tbl_analysis_tickets[[#This Row],[priority]],
"Urgent",1,
"High",2,
"Medium",3,
"Low",4
)</f>
        <v>1</v>
      </c>
    </row>
    <row r="18" spans="1:22" x14ac:dyDescent="0.25">
      <c r="A18">
        <v>17</v>
      </c>
      <c r="B18" s="1">
        <v>45310</v>
      </c>
      <c r="C18" t="s">
        <v>23</v>
      </c>
      <c r="D18" t="s">
        <v>15</v>
      </c>
      <c r="E18">
        <v>148</v>
      </c>
      <c r="F18">
        <v>57</v>
      </c>
      <c r="G18">
        <v>1.4</v>
      </c>
      <c r="H18" t="s">
        <v>18</v>
      </c>
      <c r="I18" t="s">
        <v>13</v>
      </c>
      <c r="J18" t="s">
        <v>11</v>
      </c>
      <c r="K18">
        <f>_xlfn.XLOOKUP(tbl_analysis_tickets[[#This Row],[priority]],tbl_sla[priority],tbl_sla[Resolution SLA Hours])</f>
        <v>48</v>
      </c>
      <c r="L18">
        <f>_xlfn.XLOOKUP(tbl_analysis_tickets[[#This Row],[priority]],tbl_sla[priority],tbl_sla[First Response SLA Minutes])</f>
        <v>120</v>
      </c>
      <c r="M18" t="str">
        <f>IF(tbl_analysis_tickets[[#This Row],[resolution_time_hours]]&gt;tbl_analysis_tickets[[#This Row],[Resolution SLA Hours]],"Breached","Within SLA")</f>
        <v>Breached</v>
      </c>
      <c r="N18" t="str">
        <f>IF(tbl_analysis_tickets[[#This Row],[first_response_minutes]]&gt;tbl_analysis_tickets[[#This Row],[First Response SLA Minutes]],"Breached","Within SLA")</f>
        <v>Breached</v>
      </c>
      <c r="O18" t="str" cm="1">
        <f t="array" ref="O18">_xlfn.IFS(
tbl_analysis_tickets[[#This Row],[agent_experience_years]]&lt;=2,"Junior",
tbl_analysis_tickets[[#This Row],[agent_experience_years]]&lt;=5,"Mid-Level",
tbl_analysis_tickets[[#This Row],[agent_experience_years]]&lt;=8,"Senior",
tbl_analysis_tickets[[#This Row],[agent_experience_years]]&gt;8,"Expert"
)</f>
        <v>Junior</v>
      </c>
      <c r="P18" cm="1">
        <f t="array" ref="P18">_xlfn.SWITCH(tbl_analysis_tickets[[#This Row],[customer_satisfaction]],
"Low",1,
"Medium",2,
"High",3
)</f>
        <v>1</v>
      </c>
      <c r="Q18">
        <f>IF(tbl_analysis_tickets[[#This Row],[reopened]]="Yes",1,0)</f>
        <v>0</v>
      </c>
      <c r="R18" t="str" cm="1">
        <f t="array" ref="R18">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8" t="str" cm="1">
        <f t="array" ref="S1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8" t="str">
        <f>TEXT(tbl_analysis_tickets[[#This Row],[created_date]],"mmm-yyyy")</f>
        <v>Jan-2024</v>
      </c>
      <c r="U18" t="str">
        <f>TEXT(tbl_analysis_tickets[[#This Row],[created_date]],"dddd")</f>
        <v>Friday</v>
      </c>
      <c r="V18" cm="1">
        <f t="array" ref="V18">_xlfn.SWITCH(tbl_analysis_tickets[[#This Row],[priority]],
"Urgent",1,
"High",2,
"Medium",3,
"Low",4
)</f>
        <v>3</v>
      </c>
    </row>
    <row r="19" spans="1:22" x14ac:dyDescent="0.25">
      <c r="A19">
        <v>18</v>
      </c>
      <c r="B19" s="1">
        <v>45603</v>
      </c>
      <c r="C19" t="s">
        <v>10</v>
      </c>
      <c r="D19" t="s">
        <v>11</v>
      </c>
      <c r="E19">
        <v>17</v>
      </c>
      <c r="F19">
        <v>45</v>
      </c>
      <c r="G19">
        <v>1.4</v>
      </c>
      <c r="H19" t="s">
        <v>12</v>
      </c>
      <c r="I19" t="s">
        <v>13</v>
      </c>
      <c r="J19" t="s">
        <v>15</v>
      </c>
      <c r="K19">
        <f>_xlfn.XLOOKUP(tbl_analysis_tickets[[#This Row],[priority]],tbl_sla[priority],tbl_sla[Resolution SLA Hours])</f>
        <v>72</v>
      </c>
      <c r="L19">
        <f>_xlfn.XLOOKUP(tbl_analysis_tickets[[#This Row],[priority]],tbl_sla[priority],tbl_sla[First Response SLA Minutes])</f>
        <v>240</v>
      </c>
      <c r="M19" t="str">
        <f>IF(tbl_analysis_tickets[[#This Row],[resolution_time_hours]]&gt;tbl_analysis_tickets[[#This Row],[Resolution SLA Hours]],"Breached","Within SLA")</f>
        <v>Within SLA</v>
      </c>
      <c r="N19" t="str">
        <f>IF(tbl_analysis_tickets[[#This Row],[first_response_minutes]]&gt;tbl_analysis_tickets[[#This Row],[First Response SLA Minutes]],"Breached","Within SLA")</f>
        <v>Within SLA</v>
      </c>
      <c r="O19" t="str" cm="1">
        <f t="array" ref="O19">_xlfn.IFS(
tbl_analysis_tickets[[#This Row],[agent_experience_years]]&lt;=2,"Junior",
tbl_analysis_tickets[[#This Row],[agent_experience_years]]&lt;=5,"Mid-Level",
tbl_analysis_tickets[[#This Row],[agent_experience_years]]&lt;=8,"Senior",
tbl_analysis_tickets[[#This Row],[agent_experience_years]]&gt;8,"Expert"
)</f>
        <v>Junior</v>
      </c>
      <c r="P19" cm="1">
        <f t="array" ref="P19">_xlfn.SWITCH(tbl_analysis_tickets[[#This Row],[customer_satisfaction]],
"Low",1,
"Medium",2,
"High",3
)</f>
        <v>2</v>
      </c>
      <c r="Q19">
        <f>IF(tbl_analysis_tickets[[#This Row],[reopened]]="Yes",1,0)</f>
        <v>1</v>
      </c>
      <c r="R19" t="str" cm="1">
        <f t="array" ref="R19">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19" t="str" cm="1">
        <f t="array" ref="S1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9" t="str">
        <f>TEXT(tbl_analysis_tickets[[#This Row],[created_date]],"mmm-yyyy")</f>
        <v>Nov-2024</v>
      </c>
      <c r="U19" t="str">
        <f>TEXT(tbl_analysis_tickets[[#This Row],[created_date]],"dddd")</f>
        <v>Thursday</v>
      </c>
      <c r="V19" cm="1">
        <f t="array" ref="V19">_xlfn.SWITCH(tbl_analysis_tickets[[#This Row],[priority]],
"Urgent",1,
"High",2,
"Medium",3,
"Low",4
)</f>
        <v>4</v>
      </c>
    </row>
    <row r="20" spans="1:22" x14ac:dyDescent="0.25">
      <c r="A20">
        <v>19</v>
      </c>
      <c r="B20" s="1">
        <v>45467</v>
      </c>
      <c r="C20" t="s">
        <v>14</v>
      </c>
      <c r="D20" t="s">
        <v>15</v>
      </c>
      <c r="E20">
        <v>122</v>
      </c>
      <c r="F20">
        <v>56</v>
      </c>
      <c r="G20">
        <v>7.9</v>
      </c>
      <c r="H20" t="s">
        <v>18</v>
      </c>
      <c r="I20" t="s">
        <v>19</v>
      </c>
      <c r="J20" t="s">
        <v>15</v>
      </c>
      <c r="K20">
        <f>_xlfn.XLOOKUP(tbl_analysis_tickets[[#This Row],[priority]],tbl_sla[priority],tbl_sla[Resolution SLA Hours])</f>
        <v>48</v>
      </c>
      <c r="L20">
        <f>_xlfn.XLOOKUP(tbl_analysis_tickets[[#This Row],[priority]],tbl_sla[priority],tbl_sla[First Response SLA Minutes])</f>
        <v>120</v>
      </c>
      <c r="M20" t="str">
        <f>IF(tbl_analysis_tickets[[#This Row],[resolution_time_hours]]&gt;tbl_analysis_tickets[[#This Row],[Resolution SLA Hours]],"Breached","Within SLA")</f>
        <v>Breached</v>
      </c>
      <c r="N20" t="str">
        <f>IF(tbl_analysis_tickets[[#This Row],[first_response_minutes]]&gt;tbl_analysis_tickets[[#This Row],[First Response SLA Minutes]],"Breached","Within SLA")</f>
        <v>Breached</v>
      </c>
      <c r="O20" t="str" cm="1">
        <f t="array" ref="O20">_xlfn.IFS(
tbl_analysis_tickets[[#This Row],[agent_experience_years]]&lt;=2,"Junior",
tbl_analysis_tickets[[#This Row],[agent_experience_years]]&lt;=5,"Mid-Level",
tbl_analysis_tickets[[#This Row],[agent_experience_years]]&lt;=8,"Senior",
tbl_analysis_tickets[[#This Row],[agent_experience_years]]&gt;8,"Expert"
)</f>
        <v>Senior</v>
      </c>
      <c r="P20" cm="1">
        <f t="array" ref="P20">_xlfn.SWITCH(tbl_analysis_tickets[[#This Row],[customer_satisfaction]],
"Low",1,
"Medium",2,
"High",3
)</f>
        <v>2</v>
      </c>
      <c r="Q20">
        <f>IF(tbl_analysis_tickets[[#This Row],[reopened]]="Yes",1,0)</f>
        <v>0</v>
      </c>
      <c r="R20" t="str" cm="1">
        <f t="array" ref="R20">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0" t="str" cm="1">
        <f t="array" ref="S2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0" t="str">
        <f>TEXT(tbl_analysis_tickets[[#This Row],[created_date]],"mmm-yyyy")</f>
        <v>Jun-2024</v>
      </c>
      <c r="U20" t="str">
        <f>TEXT(tbl_analysis_tickets[[#This Row],[created_date]],"dddd")</f>
        <v>Monday</v>
      </c>
      <c r="V20" cm="1">
        <f t="array" ref="V20">_xlfn.SWITCH(tbl_analysis_tickets[[#This Row],[priority]],
"Urgent",1,
"High",2,
"Medium",3,
"Low",4
)</f>
        <v>3</v>
      </c>
    </row>
    <row r="21" spans="1:22" x14ac:dyDescent="0.25">
      <c r="A21">
        <v>20</v>
      </c>
      <c r="B21" s="1">
        <v>45413</v>
      </c>
      <c r="C21" t="s">
        <v>14</v>
      </c>
      <c r="D21" t="s">
        <v>17</v>
      </c>
      <c r="E21">
        <v>113</v>
      </c>
      <c r="F21">
        <v>43</v>
      </c>
      <c r="G21">
        <v>6.7</v>
      </c>
      <c r="H21" t="s">
        <v>12</v>
      </c>
      <c r="I21" t="s">
        <v>19</v>
      </c>
      <c r="J21" t="s">
        <v>11</v>
      </c>
      <c r="K21">
        <f>_xlfn.XLOOKUP(tbl_analysis_tickets[[#This Row],[priority]],tbl_sla[priority],tbl_sla[Resolution SLA Hours])</f>
        <v>8</v>
      </c>
      <c r="L21">
        <f>_xlfn.XLOOKUP(tbl_analysis_tickets[[#This Row],[priority]],tbl_sla[priority],tbl_sla[First Response SLA Minutes])</f>
        <v>30</v>
      </c>
      <c r="M21" t="str">
        <f>IF(tbl_analysis_tickets[[#This Row],[resolution_time_hours]]&gt;tbl_analysis_tickets[[#This Row],[Resolution SLA Hours]],"Breached","Within SLA")</f>
        <v>Breached</v>
      </c>
      <c r="N21" t="str">
        <f>IF(tbl_analysis_tickets[[#This Row],[first_response_minutes]]&gt;tbl_analysis_tickets[[#This Row],[First Response SLA Minutes]],"Breached","Within SLA")</f>
        <v>Breached</v>
      </c>
      <c r="O21" t="str" cm="1">
        <f t="array" ref="O21">_xlfn.IFS(
tbl_analysis_tickets[[#This Row],[agent_experience_years]]&lt;=2,"Junior",
tbl_analysis_tickets[[#This Row],[agent_experience_years]]&lt;=5,"Mid-Level",
tbl_analysis_tickets[[#This Row],[agent_experience_years]]&lt;=8,"Senior",
tbl_analysis_tickets[[#This Row],[agent_experience_years]]&gt;8,"Expert"
)</f>
        <v>Senior</v>
      </c>
      <c r="P21" cm="1">
        <f t="array" ref="P21">_xlfn.SWITCH(tbl_analysis_tickets[[#This Row],[customer_satisfaction]],
"Low",1,
"Medium",2,
"High",3
)</f>
        <v>1</v>
      </c>
      <c r="Q21">
        <f>IF(tbl_analysis_tickets[[#This Row],[reopened]]="Yes",1,0)</f>
        <v>1</v>
      </c>
      <c r="R21" t="str" cm="1">
        <f t="array" ref="R21">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1" t="str" cm="1">
        <f t="array" ref="S2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1" t="str">
        <f>TEXT(tbl_analysis_tickets[[#This Row],[created_date]],"mmm-yyyy")</f>
        <v>May-2024</v>
      </c>
      <c r="U21" t="str">
        <f>TEXT(tbl_analysis_tickets[[#This Row],[created_date]],"dddd")</f>
        <v>Wednesday</v>
      </c>
      <c r="V21" cm="1">
        <f t="array" ref="V21">_xlfn.SWITCH(tbl_analysis_tickets[[#This Row],[priority]],
"Urgent",1,
"High",2,
"Medium",3,
"Low",4
)</f>
        <v>1</v>
      </c>
    </row>
    <row r="22" spans="1:22" x14ac:dyDescent="0.25">
      <c r="A22">
        <v>21</v>
      </c>
      <c r="B22" s="1">
        <v>45304</v>
      </c>
      <c r="C22" t="s">
        <v>23</v>
      </c>
      <c r="D22" t="s">
        <v>11</v>
      </c>
      <c r="E22">
        <v>180</v>
      </c>
      <c r="F22">
        <v>26</v>
      </c>
      <c r="G22">
        <v>6.6</v>
      </c>
      <c r="H22" t="s">
        <v>18</v>
      </c>
      <c r="I22" t="s">
        <v>13</v>
      </c>
      <c r="J22" t="s">
        <v>15</v>
      </c>
      <c r="K22">
        <f>_xlfn.XLOOKUP(tbl_analysis_tickets[[#This Row],[priority]],tbl_sla[priority],tbl_sla[Resolution SLA Hours])</f>
        <v>72</v>
      </c>
      <c r="L22">
        <f>_xlfn.XLOOKUP(tbl_analysis_tickets[[#This Row],[priority]],tbl_sla[priority],tbl_sla[First Response SLA Minutes])</f>
        <v>240</v>
      </c>
      <c r="M22" t="str">
        <f>IF(tbl_analysis_tickets[[#This Row],[resolution_time_hours]]&gt;tbl_analysis_tickets[[#This Row],[Resolution SLA Hours]],"Breached","Within SLA")</f>
        <v>Within SLA</v>
      </c>
      <c r="N22" t="str">
        <f>IF(tbl_analysis_tickets[[#This Row],[first_response_minutes]]&gt;tbl_analysis_tickets[[#This Row],[First Response SLA Minutes]],"Breached","Within SLA")</f>
        <v>Within SLA</v>
      </c>
      <c r="O22" t="str" cm="1">
        <f t="array" ref="O22">_xlfn.IFS(
tbl_analysis_tickets[[#This Row],[agent_experience_years]]&lt;=2,"Junior",
tbl_analysis_tickets[[#This Row],[agent_experience_years]]&lt;=5,"Mid-Level",
tbl_analysis_tickets[[#This Row],[agent_experience_years]]&lt;=8,"Senior",
tbl_analysis_tickets[[#This Row],[agent_experience_years]]&gt;8,"Expert"
)</f>
        <v>Senior</v>
      </c>
      <c r="P22" cm="1">
        <f t="array" ref="P22">_xlfn.SWITCH(tbl_analysis_tickets[[#This Row],[customer_satisfaction]],
"Low",1,
"Medium",2,
"High",3
)</f>
        <v>2</v>
      </c>
      <c r="Q22">
        <f>IF(tbl_analysis_tickets[[#This Row],[reopened]]="Yes",1,0)</f>
        <v>0</v>
      </c>
      <c r="R22" t="str" cm="1">
        <f t="array" ref="R22">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2" t="str" cm="1">
        <f t="array" ref="S2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2" t="str">
        <f>TEXT(tbl_analysis_tickets[[#This Row],[created_date]],"mmm-yyyy")</f>
        <v>Jan-2024</v>
      </c>
      <c r="U22" t="str">
        <f>TEXT(tbl_analysis_tickets[[#This Row],[created_date]],"dddd")</f>
        <v>Saturday</v>
      </c>
      <c r="V22" cm="1">
        <f t="array" ref="V22">_xlfn.SWITCH(tbl_analysis_tickets[[#This Row],[priority]],
"Urgent",1,
"High",2,
"Medium",3,
"Low",4
)</f>
        <v>4</v>
      </c>
    </row>
    <row r="23" spans="1:22" x14ac:dyDescent="0.25">
      <c r="A23">
        <v>22</v>
      </c>
      <c r="B23" s="1">
        <v>45315</v>
      </c>
      <c r="C23" t="s">
        <v>22</v>
      </c>
      <c r="D23" t="s">
        <v>17</v>
      </c>
      <c r="E23">
        <v>222</v>
      </c>
      <c r="F23">
        <v>32</v>
      </c>
      <c r="G23">
        <v>7.3</v>
      </c>
      <c r="H23" t="s">
        <v>12</v>
      </c>
      <c r="I23" t="s">
        <v>19</v>
      </c>
      <c r="J23" t="s">
        <v>11</v>
      </c>
      <c r="K23">
        <f>_xlfn.XLOOKUP(tbl_analysis_tickets[[#This Row],[priority]],tbl_sla[priority],tbl_sla[Resolution SLA Hours])</f>
        <v>8</v>
      </c>
      <c r="L23">
        <f>_xlfn.XLOOKUP(tbl_analysis_tickets[[#This Row],[priority]],tbl_sla[priority],tbl_sla[First Response SLA Minutes])</f>
        <v>30</v>
      </c>
      <c r="M23" t="str">
        <f>IF(tbl_analysis_tickets[[#This Row],[resolution_time_hours]]&gt;tbl_analysis_tickets[[#This Row],[Resolution SLA Hours]],"Breached","Within SLA")</f>
        <v>Breached</v>
      </c>
      <c r="N23" t="str">
        <f>IF(tbl_analysis_tickets[[#This Row],[first_response_minutes]]&gt;tbl_analysis_tickets[[#This Row],[First Response SLA Minutes]],"Breached","Within SLA")</f>
        <v>Breached</v>
      </c>
      <c r="O23" t="str" cm="1">
        <f t="array" ref="O23">_xlfn.IFS(
tbl_analysis_tickets[[#This Row],[agent_experience_years]]&lt;=2,"Junior",
tbl_analysis_tickets[[#This Row],[agent_experience_years]]&lt;=5,"Mid-Level",
tbl_analysis_tickets[[#This Row],[agent_experience_years]]&lt;=8,"Senior",
tbl_analysis_tickets[[#This Row],[agent_experience_years]]&gt;8,"Expert"
)</f>
        <v>Senior</v>
      </c>
      <c r="P23" cm="1">
        <f t="array" ref="P23">_xlfn.SWITCH(tbl_analysis_tickets[[#This Row],[customer_satisfaction]],
"Low",1,
"Medium",2,
"High",3
)</f>
        <v>1</v>
      </c>
      <c r="Q23">
        <f>IF(tbl_analysis_tickets[[#This Row],[reopened]]="Yes",1,0)</f>
        <v>1</v>
      </c>
      <c r="R23" t="str" cm="1">
        <f t="array" ref="R23">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3" t="str" cm="1">
        <f t="array" ref="S2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3" t="str">
        <f>TEXT(tbl_analysis_tickets[[#This Row],[created_date]],"mmm-yyyy")</f>
        <v>Jan-2024</v>
      </c>
      <c r="U23" t="str">
        <f>TEXT(tbl_analysis_tickets[[#This Row],[created_date]],"dddd")</f>
        <v>Wednesday</v>
      </c>
      <c r="V23" cm="1">
        <f t="array" ref="V23">_xlfn.SWITCH(tbl_analysis_tickets[[#This Row],[priority]],
"Urgent",1,
"High",2,
"Medium",3,
"Low",4
)</f>
        <v>1</v>
      </c>
    </row>
    <row r="24" spans="1:22" x14ac:dyDescent="0.25">
      <c r="A24">
        <v>23</v>
      </c>
      <c r="B24" s="1">
        <v>45364</v>
      </c>
      <c r="C24" t="s">
        <v>14</v>
      </c>
      <c r="D24" t="s">
        <v>11</v>
      </c>
      <c r="E24">
        <v>214</v>
      </c>
      <c r="F24">
        <v>37</v>
      </c>
      <c r="G24">
        <v>2</v>
      </c>
      <c r="H24" t="s">
        <v>18</v>
      </c>
      <c r="I24" t="s">
        <v>19</v>
      </c>
      <c r="J24" t="s">
        <v>11</v>
      </c>
      <c r="K24">
        <f>_xlfn.XLOOKUP(tbl_analysis_tickets[[#This Row],[priority]],tbl_sla[priority],tbl_sla[Resolution SLA Hours])</f>
        <v>72</v>
      </c>
      <c r="L24">
        <f>_xlfn.XLOOKUP(tbl_analysis_tickets[[#This Row],[priority]],tbl_sla[priority],tbl_sla[First Response SLA Minutes])</f>
        <v>240</v>
      </c>
      <c r="M24" t="str">
        <f>IF(tbl_analysis_tickets[[#This Row],[resolution_time_hours]]&gt;tbl_analysis_tickets[[#This Row],[Resolution SLA Hours]],"Breached","Within SLA")</f>
        <v>Within SLA</v>
      </c>
      <c r="N24" t="str">
        <f>IF(tbl_analysis_tickets[[#This Row],[first_response_minutes]]&gt;tbl_analysis_tickets[[#This Row],[First Response SLA Minutes]],"Breached","Within SLA")</f>
        <v>Within SLA</v>
      </c>
      <c r="O24" t="str" cm="1">
        <f t="array" ref="O24">_xlfn.IFS(
tbl_analysis_tickets[[#This Row],[agent_experience_years]]&lt;=2,"Junior",
tbl_analysis_tickets[[#This Row],[agent_experience_years]]&lt;=5,"Mid-Level",
tbl_analysis_tickets[[#This Row],[agent_experience_years]]&lt;=8,"Senior",
tbl_analysis_tickets[[#This Row],[agent_experience_years]]&gt;8,"Expert"
)</f>
        <v>Junior</v>
      </c>
      <c r="P24" cm="1">
        <f t="array" ref="P24">_xlfn.SWITCH(tbl_analysis_tickets[[#This Row],[customer_satisfaction]],
"Low",1,
"Medium",2,
"High",3
)</f>
        <v>1</v>
      </c>
      <c r="Q24">
        <f>IF(tbl_analysis_tickets[[#This Row],[reopened]]="Yes",1,0)</f>
        <v>0</v>
      </c>
      <c r="R24" t="str" cm="1">
        <f t="array" ref="R24">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4" t="str" cm="1">
        <f t="array" ref="S2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4" t="str">
        <f>TEXT(tbl_analysis_tickets[[#This Row],[created_date]],"mmm-yyyy")</f>
        <v>Mar-2024</v>
      </c>
      <c r="U24" t="str">
        <f>TEXT(tbl_analysis_tickets[[#This Row],[created_date]],"dddd")</f>
        <v>Wednesday</v>
      </c>
      <c r="V24" cm="1">
        <f t="array" ref="V24">_xlfn.SWITCH(tbl_analysis_tickets[[#This Row],[priority]],
"Urgent",1,
"High",2,
"Medium",3,
"Low",4
)</f>
        <v>4</v>
      </c>
    </row>
    <row r="25" spans="1:22" x14ac:dyDescent="0.25">
      <c r="A25">
        <v>24</v>
      </c>
      <c r="B25" s="1">
        <v>45332</v>
      </c>
      <c r="C25" t="s">
        <v>22</v>
      </c>
      <c r="D25" t="s">
        <v>17</v>
      </c>
      <c r="E25">
        <v>240</v>
      </c>
      <c r="F25">
        <v>25</v>
      </c>
      <c r="G25">
        <v>9.9</v>
      </c>
      <c r="H25" t="s">
        <v>12</v>
      </c>
      <c r="I25" t="s">
        <v>16</v>
      </c>
      <c r="J25" t="s">
        <v>11</v>
      </c>
      <c r="K25">
        <f>_xlfn.XLOOKUP(tbl_analysis_tickets[[#This Row],[priority]],tbl_sla[priority],tbl_sla[Resolution SLA Hours])</f>
        <v>8</v>
      </c>
      <c r="L25">
        <f>_xlfn.XLOOKUP(tbl_analysis_tickets[[#This Row],[priority]],tbl_sla[priority],tbl_sla[First Response SLA Minutes])</f>
        <v>30</v>
      </c>
      <c r="M25" t="str">
        <f>IF(tbl_analysis_tickets[[#This Row],[resolution_time_hours]]&gt;tbl_analysis_tickets[[#This Row],[Resolution SLA Hours]],"Breached","Within SLA")</f>
        <v>Breached</v>
      </c>
      <c r="N25" t="str">
        <f>IF(tbl_analysis_tickets[[#This Row],[first_response_minutes]]&gt;tbl_analysis_tickets[[#This Row],[First Response SLA Minutes]],"Breached","Within SLA")</f>
        <v>Breached</v>
      </c>
      <c r="O25" t="str" cm="1">
        <f t="array" ref="O25">_xlfn.IFS(
tbl_analysis_tickets[[#This Row],[agent_experience_years]]&lt;=2,"Junior",
tbl_analysis_tickets[[#This Row],[agent_experience_years]]&lt;=5,"Mid-Level",
tbl_analysis_tickets[[#This Row],[agent_experience_years]]&lt;=8,"Senior",
tbl_analysis_tickets[[#This Row],[agent_experience_years]]&gt;8,"Expert"
)</f>
        <v>Expert</v>
      </c>
      <c r="P25" cm="1">
        <f t="array" ref="P25">_xlfn.SWITCH(tbl_analysis_tickets[[#This Row],[customer_satisfaction]],
"Low",1,
"Medium",2,
"High",3
)</f>
        <v>1</v>
      </c>
      <c r="Q25">
        <f>IF(tbl_analysis_tickets[[#This Row],[reopened]]="Yes",1,0)</f>
        <v>1</v>
      </c>
      <c r="R25" t="str" cm="1">
        <f t="array" ref="R25">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5" t="str" cm="1">
        <f t="array" ref="S2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5" t="str">
        <f>TEXT(tbl_analysis_tickets[[#This Row],[created_date]],"mmm-yyyy")</f>
        <v>Feb-2024</v>
      </c>
      <c r="U25" t="str">
        <f>TEXT(tbl_analysis_tickets[[#This Row],[created_date]],"dddd")</f>
        <v>Saturday</v>
      </c>
      <c r="V25" cm="1">
        <f t="array" ref="V25">_xlfn.SWITCH(tbl_analysis_tickets[[#This Row],[priority]],
"Urgent",1,
"High",2,
"Medium",3,
"Low",4
)</f>
        <v>1</v>
      </c>
    </row>
    <row r="26" spans="1:22" x14ac:dyDescent="0.25">
      <c r="A26">
        <v>25</v>
      </c>
      <c r="B26" s="1">
        <v>45529</v>
      </c>
      <c r="C26" t="s">
        <v>22</v>
      </c>
      <c r="D26" t="s">
        <v>17</v>
      </c>
      <c r="E26">
        <v>58</v>
      </c>
      <c r="F26">
        <v>13</v>
      </c>
      <c r="G26">
        <v>7</v>
      </c>
      <c r="H26" t="s">
        <v>18</v>
      </c>
      <c r="I26" t="s">
        <v>19</v>
      </c>
      <c r="J26" t="s">
        <v>11</v>
      </c>
      <c r="K26">
        <f>_xlfn.XLOOKUP(tbl_analysis_tickets[[#This Row],[priority]],tbl_sla[priority],tbl_sla[Resolution SLA Hours])</f>
        <v>8</v>
      </c>
      <c r="L26">
        <f>_xlfn.XLOOKUP(tbl_analysis_tickets[[#This Row],[priority]],tbl_sla[priority],tbl_sla[First Response SLA Minutes])</f>
        <v>30</v>
      </c>
      <c r="M26" t="str">
        <f>IF(tbl_analysis_tickets[[#This Row],[resolution_time_hours]]&gt;tbl_analysis_tickets[[#This Row],[Resolution SLA Hours]],"Breached","Within SLA")</f>
        <v>Breached</v>
      </c>
      <c r="N26" t="str">
        <f>IF(tbl_analysis_tickets[[#This Row],[first_response_minutes]]&gt;tbl_analysis_tickets[[#This Row],[First Response SLA Minutes]],"Breached","Within SLA")</f>
        <v>Breached</v>
      </c>
      <c r="O26" t="str" cm="1">
        <f t="array" ref="O26">_xlfn.IFS(
tbl_analysis_tickets[[#This Row],[agent_experience_years]]&lt;=2,"Junior",
tbl_analysis_tickets[[#This Row],[agent_experience_years]]&lt;=5,"Mid-Level",
tbl_analysis_tickets[[#This Row],[agent_experience_years]]&lt;=8,"Senior",
tbl_analysis_tickets[[#This Row],[agent_experience_years]]&gt;8,"Expert"
)</f>
        <v>Senior</v>
      </c>
      <c r="P26" cm="1">
        <f t="array" ref="P26">_xlfn.SWITCH(tbl_analysis_tickets[[#This Row],[customer_satisfaction]],
"Low",1,
"Medium",2,
"High",3
)</f>
        <v>1</v>
      </c>
      <c r="Q26">
        <f>IF(tbl_analysis_tickets[[#This Row],[reopened]]="Yes",1,0)</f>
        <v>0</v>
      </c>
      <c r="R26" t="str" cm="1">
        <f t="array" ref="R26">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6" t="str" cm="1">
        <f t="array" ref="S2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6" t="str">
        <f>TEXT(tbl_analysis_tickets[[#This Row],[created_date]],"mmm-yyyy")</f>
        <v>Aug-2024</v>
      </c>
      <c r="U26" t="str">
        <f>TEXT(tbl_analysis_tickets[[#This Row],[created_date]],"dddd")</f>
        <v>Sunday</v>
      </c>
      <c r="V26" cm="1">
        <f t="array" ref="V26">_xlfn.SWITCH(tbl_analysis_tickets[[#This Row],[priority]],
"Urgent",1,
"High",2,
"Medium",3,
"Low",4
)</f>
        <v>1</v>
      </c>
    </row>
    <row r="27" spans="1:22" x14ac:dyDescent="0.25">
      <c r="A27">
        <v>26</v>
      </c>
      <c r="B27" s="1">
        <v>45351</v>
      </c>
      <c r="C27" t="s">
        <v>23</v>
      </c>
      <c r="D27" t="s">
        <v>17</v>
      </c>
      <c r="E27">
        <v>119</v>
      </c>
      <c r="F27">
        <v>72</v>
      </c>
      <c r="G27">
        <v>2.5</v>
      </c>
      <c r="H27" t="s">
        <v>18</v>
      </c>
      <c r="I27" t="s">
        <v>16</v>
      </c>
      <c r="J27" t="s">
        <v>11</v>
      </c>
      <c r="K27">
        <f>_xlfn.XLOOKUP(tbl_analysis_tickets[[#This Row],[priority]],tbl_sla[priority],tbl_sla[Resolution SLA Hours])</f>
        <v>8</v>
      </c>
      <c r="L27">
        <f>_xlfn.XLOOKUP(tbl_analysis_tickets[[#This Row],[priority]],tbl_sla[priority],tbl_sla[First Response SLA Minutes])</f>
        <v>30</v>
      </c>
      <c r="M27" t="str">
        <f>IF(tbl_analysis_tickets[[#This Row],[resolution_time_hours]]&gt;tbl_analysis_tickets[[#This Row],[Resolution SLA Hours]],"Breached","Within SLA")</f>
        <v>Breached</v>
      </c>
      <c r="N27" t="str">
        <f>IF(tbl_analysis_tickets[[#This Row],[first_response_minutes]]&gt;tbl_analysis_tickets[[#This Row],[First Response SLA Minutes]],"Breached","Within SLA")</f>
        <v>Breached</v>
      </c>
      <c r="O27" t="str" cm="1">
        <f t="array" ref="O27">_xlfn.IFS(
tbl_analysis_tickets[[#This Row],[agent_experience_years]]&lt;=2,"Junior",
tbl_analysis_tickets[[#This Row],[agent_experience_years]]&lt;=5,"Mid-Level",
tbl_analysis_tickets[[#This Row],[agent_experience_years]]&lt;=8,"Senior",
tbl_analysis_tickets[[#This Row],[agent_experience_years]]&gt;8,"Expert"
)</f>
        <v>Mid-Level</v>
      </c>
      <c r="P27" cm="1">
        <f t="array" ref="P27">_xlfn.SWITCH(tbl_analysis_tickets[[#This Row],[customer_satisfaction]],
"Low",1,
"Medium",2,
"High",3
)</f>
        <v>1</v>
      </c>
      <c r="Q27">
        <f>IF(tbl_analysis_tickets[[#This Row],[reopened]]="Yes",1,0)</f>
        <v>0</v>
      </c>
      <c r="R27" t="str" cm="1">
        <f t="array" ref="R27">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7" t="str" cm="1">
        <f t="array" ref="S2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7" t="str">
        <f>TEXT(tbl_analysis_tickets[[#This Row],[created_date]],"mmm-yyyy")</f>
        <v>Feb-2024</v>
      </c>
      <c r="U27" t="str">
        <f>TEXT(tbl_analysis_tickets[[#This Row],[created_date]],"dddd")</f>
        <v>Thursday</v>
      </c>
      <c r="V27" cm="1">
        <f t="array" ref="V27">_xlfn.SWITCH(tbl_analysis_tickets[[#This Row],[priority]],
"Urgent",1,
"High",2,
"Medium",3,
"Low",4
)</f>
        <v>1</v>
      </c>
    </row>
    <row r="28" spans="1:22" x14ac:dyDescent="0.25">
      <c r="A28">
        <v>27</v>
      </c>
      <c r="B28" s="1">
        <v>45327</v>
      </c>
      <c r="C28" t="s">
        <v>10</v>
      </c>
      <c r="D28" t="s">
        <v>17</v>
      </c>
      <c r="E28">
        <v>161</v>
      </c>
      <c r="F28">
        <v>53</v>
      </c>
      <c r="G28">
        <v>8.8000000000000007</v>
      </c>
      <c r="H28" t="s">
        <v>12</v>
      </c>
      <c r="I28" t="s">
        <v>16</v>
      </c>
      <c r="J28" t="s">
        <v>11</v>
      </c>
      <c r="K28">
        <f>_xlfn.XLOOKUP(tbl_analysis_tickets[[#This Row],[priority]],tbl_sla[priority],tbl_sla[Resolution SLA Hours])</f>
        <v>8</v>
      </c>
      <c r="L28">
        <f>_xlfn.XLOOKUP(tbl_analysis_tickets[[#This Row],[priority]],tbl_sla[priority],tbl_sla[First Response SLA Minutes])</f>
        <v>30</v>
      </c>
      <c r="M28" t="str">
        <f>IF(tbl_analysis_tickets[[#This Row],[resolution_time_hours]]&gt;tbl_analysis_tickets[[#This Row],[Resolution SLA Hours]],"Breached","Within SLA")</f>
        <v>Breached</v>
      </c>
      <c r="N28" t="str">
        <f>IF(tbl_analysis_tickets[[#This Row],[first_response_minutes]]&gt;tbl_analysis_tickets[[#This Row],[First Response SLA Minutes]],"Breached","Within SLA")</f>
        <v>Breached</v>
      </c>
      <c r="O28" t="str" cm="1">
        <f t="array" ref="O28">_xlfn.IFS(
tbl_analysis_tickets[[#This Row],[agent_experience_years]]&lt;=2,"Junior",
tbl_analysis_tickets[[#This Row],[agent_experience_years]]&lt;=5,"Mid-Level",
tbl_analysis_tickets[[#This Row],[agent_experience_years]]&lt;=8,"Senior",
tbl_analysis_tickets[[#This Row],[agent_experience_years]]&gt;8,"Expert"
)</f>
        <v>Expert</v>
      </c>
      <c r="P28" cm="1">
        <f t="array" ref="P28">_xlfn.SWITCH(tbl_analysis_tickets[[#This Row],[customer_satisfaction]],
"Low",1,
"Medium",2,
"High",3
)</f>
        <v>1</v>
      </c>
      <c r="Q28">
        <f>IF(tbl_analysis_tickets[[#This Row],[reopened]]="Yes",1,0)</f>
        <v>1</v>
      </c>
      <c r="R28" t="str" cm="1">
        <f t="array" ref="R28">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8" t="str" cm="1">
        <f t="array" ref="S2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8" t="str">
        <f>TEXT(tbl_analysis_tickets[[#This Row],[created_date]],"mmm-yyyy")</f>
        <v>Feb-2024</v>
      </c>
      <c r="U28" t="str">
        <f>TEXT(tbl_analysis_tickets[[#This Row],[created_date]],"dddd")</f>
        <v>Monday</v>
      </c>
      <c r="V28" cm="1">
        <f t="array" ref="V28">_xlfn.SWITCH(tbl_analysis_tickets[[#This Row],[priority]],
"Urgent",1,
"High",2,
"Medium",3,
"Low",4
)</f>
        <v>1</v>
      </c>
    </row>
    <row r="29" spans="1:22" x14ac:dyDescent="0.25">
      <c r="A29">
        <v>28</v>
      </c>
      <c r="B29" s="1">
        <v>45391</v>
      </c>
      <c r="C29" t="s">
        <v>14</v>
      </c>
      <c r="D29" t="s">
        <v>11</v>
      </c>
      <c r="E29">
        <v>94</v>
      </c>
      <c r="F29">
        <v>33</v>
      </c>
      <c r="G29">
        <v>3.9</v>
      </c>
      <c r="H29" t="s">
        <v>18</v>
      </c>
      <c r="I29" t="s">
        <v>13</v>
      </c>
      <c r="J29" t="s">
        <v>11</v>
      </c>
      <c r="K29">
        <f>_xlfn.XLOOKUP(tbl_analysis_tickets[[#This Row],[priority]],tbl_sla[priority],tbl_sla[Resolution SLA Hours])</f>
        <v>72</v>
      </c>
      <c r="L29">
        <f>_xlfn.XLOOKUP(tbl_analysis_tickets[[#This Row],[priority]],tbl_sla[priority],tbl_sla[First Response SLA Minutes])</f>
        <v>240</v>
      </c>
      <c r="M29" t="str">
        <f>IF(tbl_analysis_tickets[[#This Row],[resolution_time_hours]]&gt;tbl_analysis_tickets[[#This Row],[Resolution SLA Hours]],"Breached","Within SLA")</f>
        <v>Within SLA</v>
      </c>
      <c r="N29" t="str">
        <f>IF(tbl_analysis_tickets[[#This Row],[first_response_minutes]]&gt;tbl_analysis_tickets[[#This Row],[First Response SLA Minutes]],"Breached","Within SLA")</f>
        <v>Within SLA</v>
      </c>
      <c r="O29" t="str" cm="1">
        <f t="array" ref="O29">_xlfn.IFS(
tbl_analysis_tickets[[#This Row],[agent_experience_years]]&lt;=2,"Junior",
tbl_analysis_tickets[[#This Row],[agent_experience_years]]&lt;=5,"Mid-Level",
tbl_analysis_tickets[[#This Row],[agent_experience_years]]&lt;=8,"Senior",
tbl_analysis_tickets[[#This Row],[agent_experience_years]]&gt;8,"Expert"
)</f>
        <v>Mid-Level</v>
      </c>
      <c r="P29" cm="1">
        <f t="array" ref="P29">_xlfn.SWITCH(tbl_analysis_tickets[[#This Row],[customer_satisfaction]],
"Low",1,
"Medium",2,
"High",3
)</f>
        <v>1</v>
      </c>
      <c r="Q29">
        <f>IF(tbl_analysis_tickets[[#This Row],[reopened]]="Yes",1,0)</f>
        <v>0</v>
      </c>
      <c r="R29" t="str" cm="1">
        <f t="array" ref="R29">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9" t="str" cm="1">
        <f t="array" ref="S2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9" t="str">
        <f>TEXT(tbl_analysis_tickets[[#This Row],[created_date]],"mmm-yyyy")</f>
        <v>Apr-2024</v>
      </c>
      <c r="U29" t="str">
        <f>TEXT(tbl_analysis_tickets[[#This Row],[created_date]],"dddd")</f>
        <v>Tuesday</v>
      </c>
      <c r="V29" cm="1">
        <f t="array" ref="V29">_xlfn.SWITCH(tbl_analysis_tickets[[#This Row],[priority]],
"Urgent",1,
"High",2,
"Medium",3,
"Low",4
)</f>
        <v>4</v>
      </c>
    </row>
    <row r="30" spans="1:22" x14ac:dyDescent="0.25">
      <c r="A30">
        <v>29</v>
      </c>
      <c r="B30" s="1">
        <v>45499</v>
      </c>
      <c r="C30" t="s">
        <v>10</v>
      </c>
      <c r="D30" t="s">
        <v>20</v>
      </c>
      <c r="E30">
        <v>134</v>
      </c>
      <c r="F30">
        <v>64</v>
      </c>
      <c r="G30">
        <v>5.3</v>
      </c>
      <c r="H30" t="s">
        <v>18</v>
      </c>
      <c r="I30" t="s">
        <v>19</v>
      </c>
      <c r="J30" t="s">
        <v>11</v>
      </c>
      <c r="K30">
        <f>_xlfn.XLOOKUP(tbl_analysis_tickets[[#This Row],[priority]],tbl_sla[priority],tbl_sla[Resolution SLA Hours])</f>
        <v>24</v>
      </c>
      <c r="L30">
        <f>_xlfn.XLOOKUP(tbl_analysis_tickets[[#This Row],[priority]],tbl_sla[priority],tbl_sla[First Response SLA Minutes])</f>
        <v>60</v>
      </c>
      <c r="M30" t="str">
        <f>IF(tbl_analysis_tickets[[#This Row],[resolution_time_hours]]&gt;tbl_analysis_tickets[[#This Row],[Resolution SLA Hours]],"Breached","Within SLA")</f>
        <v>Breached</v>
      </c>
      <c r="N30" t="str">
        <f>IF(tbl_analysis_tickets[[#This Row],[first_response_minutes]]&gt;tbl_analysis_tickets[[#This Row],[First Response SLA Minutes]],"Breached","Within SLA")</f>
        <v>Breached</v>
      </c>
      <c r="O30" t="str" cm="1">
        <f t="array" ref="O30">_xlfn.IFS(
tbl_analysis_tickets[[#This Row],[agent_experience_years]]&lt;=2,"Junior",
tbl_analysis_tickets[[#This Row],[agent_experience_years]]&lt;=5,"Mid-Level",
tbl_analysis_tickets[[#This Row],[agent_experience_years]]&lt;=8,"Senior",
tbl_analysis_tickets[[#This Row],[agent_experience_years]]&gt;8,"Expert"
)</f>
        <v>Senior</v>
      </c>
      <c r="P30" cm="1">
        <f t="array" ref="P30">_xlfn.SWITCH(tbl_analysis_tickets[[#This Row],[customer_satisfaction]],
"Low",1,
"Medium",2,
"High",3
)</f>
        <v>1</v>
      </c>
      <c r="Q30">
        <f>IF(tbl_analysis_tickets[[#This Row],[reopened]]="Yes",1,0)</f>
        <v>0</v>
      </c>
      <c r="R30" t="str" cm="1">
        <f t="array" ref="R30">_xlfn.IFS(
tbl_analysis_tickets[[#This Row],[first_response_minutes]]&lt;=30,"Very Fast",
tbl_analysis_tickets[[#This Row],[first_response_minutes]]&lt;=120,"Acceptable",
tbl_analysis_tickets[[#This Row],[first_response_minutes]]&lt;=240,"Slow",
tbl_analysis_tickets[[#This Row],[first_response_minutes]]&gt;240,"Very Slow"
)</f>
        <v>Slow</v>
      </c>
      <c r="S30" t="str" cm="1">
        <f t="array" ref="S3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30" t="str">
        <f>TEXT(tbl_analysis_tickets[[#This Row],[created_date]],"mmm-yyyy")</f>
        <v>Jul-2024</v>
      </c>
      <c r="U30" t="str">
        <f>TEXT(tbl_analysis_tickets[[#This Row],[created_date]],"dddd")</f>
        <v>Friday</v>
      </c>
      <c r="V30" cm="1">
        <f t="array" ref="V30">_xlfn.SWITCH(tbl_analysis_tickets[[#This Row],[priority]],
"Urgent",1,
"High",2,
"Medium",3,
"Low",4
)</f>
        <v>2</v>
      </c>
    </row>
    <row r="31" spans="1:22" x14ac:dyDescent="0.25">
      <c r="A31">
        <v>30</v>
      </c>
      <c r="B31" s="1">
        <v>45536</v>
      </c>
      <c r="C31" t="s">
        <v>22</v>
      </c>
      <c r="D31" t="s">
        <v>20</v>
      </c>
      <c r="E31">
        <v>94</v>
      </c>
      <c r="F31">
        <v>36</v>
      </c>
      <c r="G31">
        <v>5.0999999999999996</v>
      </c>
      <c r="H31" t="s">
        <v>18</v>
      </c>
      <c r="I31" t="s">
        <v>13</v>
      </c>
      <c r="J31" t="s">
        <v>11</v>
      </c>
      <c r="K31">
        <f>_xlfn.XLOOKUP(tbl_analysis_tickets[[#This Row],[priority]],tbl_sla[priority],tbl_sla[Resolution SLA Hours])</f>
        <v>24</v>
      </c>
      <c r="L31">
        <f>_xlfn.XLOOKUP(tbl_analysis_tickets[[#This Row],[priority]],tbl_sla[priority],tbl_sla[First Response SLA Minutes])</f>
        <v>60</v>
      </c>
      <c r="M31" t="str">
        <f>IF(tbl_analysis_tickets[[#This Row],[resolution_time_hours]]&gt;tbl_analysis_tickets[[#This Row],[Resolution SLA Hours]],"Breached","Within SLA")</f>
        <v>Breached</v>
      </c>
      <c r="N31" t="str">
        <f>IF(tbl_analysis_tickets[[#This Row],[first_response_minutes]]&gt;tbl_analysis_tickets[[#This Row],[First Response SLA Minutes]],"Breached","Within SLA")</f>
        <v>Breached</v>
      </c>
      <c r="O31" t="str" cm="1">
        <f t="array" ref="O31">_xlfn.IFS(
tbl_analysis_tickets[[#This Row],[agent_experience_years]]&lt;=2,"Junior",
tbl_analysis_tickets[[#This Row],[agent_experience_years]]&lt;=5,"Mid-Level",
tbl_analysis_tickets[[#This Row],[agent_experience_years]]&lt;=8,"Senior",
tbl_analysis_tickets[[#This Row],[agent_experience_years]]&gt;8,"Expert"
)</f>
        <v>Senior</v>
      </c>
      <c r="P31" cm="1">
        <f t="array" ref="P31">_xlfn.SWITCH(tbl_analysis_tickets[[#This Row],[customer_satisfaction]],
"Low",1,
"Medium",2,
"High",3
)</f>
        <v>1</v>
      </c>
      <c r="Q31">
        <f>IF(tbl_analysis_tickets[[#This Row],[reopened]]="Yes",1,0)</f>
        <v>0</v>
      </c>
      <c r="R31" t="str" cm="1">
        <f t="array" ref="R31">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31" t="str" cm="1">
        <f t="array" ref="S3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31" t="str">
        <f>TEXT(tbl_analysis_tickets[[#This Row],[created_date]],"mmm-yyyy")</f>
        <v>Sep-2024</v>
      </c>
      <c r="U31" t="str">
        <f>TEXT(tbl_analysis_tickets[[#This Row],[created_date]],"dddd")</f>
        <v>Sunday</v>
      </c>
      <c r="V31" cm="1">
        <f t="array" ref="V31">_xlfn.SWITCH(tbl_analysis_tickets[[#This Row],[priority]],
"Urgent",1,
"High",2,
"Medium",3,
"Low",4
)</f>
        <v>2</v>
      </c>
    </row>
    <row r="32" spans="1:22" x14ac:dyDescent="0.25">
      <c r="A32">
        <v>31</v>
      </c>
      <c r="B32" s="1">
        <v>45378</v>
      </c>
      <c r="C32" t="s">
        <v>22</v>
      </c>
      <c r="D32" t="s">
        <v>11</v>
      </c>
      <c r="E32">
        <v>181</v>
      </c>
      <c r="F32">
        <v>70</v>
      </c>
      <c r="G32">
        <v>7.3</v>
      </c>
      <c r="H32" t="s">
        <v>18</v>
      </c>
      <c r="I32" t="s">
        <v>13</v>
      </c>
      <c r="J32" t="s">
        <v>15</v>
      </c>
      <c r="K32">
        <f>_xlfn.XLOOKUP(tbl_analysis_tickets[[#This Row],[priority]],tbl_sla[priority],tbl_sla[Resolution SLA Hours])</f>
        <v>72</v>
      </c>
      <c r="L32">
        <f>_xlfn.XLOOKUP(tbl_analysis_tickets[[#This Row],[priority]],tbl_sla[priority],tbl_sla[First Response SLA Minutes])</f>
        <v>240</v>
      </c>
      <c r="M32" t="str">
        <f>IF(tbl_analysis_tickets[[#This Row],[resolution_time_hours]]&gt;tbl_analysis_tickets[[#This Row],[Resolution SLA Hours]],"Breached","Within SLA")</f>
        <v>Within SLA</v>
      </c>
      <c r="N32" t="str">
        <f>IF(tbl_analysis_tickets[[#This Row],[first_response_minutes]]&gt;tbl_analysis_tickets[[#This Row],[First Response SLA Minutes]],"Breached","Within SLA")</f>
        <v>Within SLA</v>
      </c>
      <c r="O32" t="str" cm="1">
        <f t="array" ref="O32">_xlfn.IFS(
tbl_analysis_tickets[[#This Row],[agent_experience_years]]&lt;=2,"Junior",
tbl_analysis_tickets[[#This Row],[agent_experience_years]]&lt;=5,"Mid-Level",
tbl_analysis_tickets[[#This Row],[agent_experience_years]]&lt;=8,"Senior",
tbl_analysis_tickets[[#This Row],[agent_experience_years]]&gt;8,"Expert"
)</f>
        <v>Senior</v>
      </c>
      <c r="P32" cm="1">
        <f t="array" ref="P32">_xlfn.SWITCH(tbl_analysis_tickets[[#This Row],[customer_satisfaction]],
"Low",1,
"Medium",2,
"High",3
)</f>
        <v>2</v>
      </c>
      <c r="Q32">
        <f>IF(tbl_analysis_tickets[[#This Row],[reopened]]="Yes",1,0)</f>
        <v>0</v>
      </c>
      <c r="R32" t="str" cm="1">
        <f t="array" ref="R32">_xlfn.IFS(
tbl_analysis_tickets[[#This Row],[first_response_minutes]]&lt;=30,"Very Fast",
tbl_analysis_tickets[[#This Row],[first_response_minutes]]&lt;=120,"Acceptable",
tbl_analysis_tickets[[#This Row],[first_response_minutes]]&lt;=240,"Slow",
tbl_analysis_tickets[[#This Row],[first_response_minutes]]&gt;240,"Very Slow"
)</f>
        <v>Slow</v>
      </c>
      <c r="S32" t="str" cm="1">
        <f t="array" ref="S3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32" t="str">
        <f>TEXT(tbl_analysis_tickets[[#This Row],[created_date]],"mmm-yyyy")</f>
        <v>Mar-2024</v>
      </c>
      <c r="U32" t="str">
        <f>TEXT(tbl_analysis_tickets[[#This Row],[created_date]],"dddd")</f>
        <v>Wednesday</v>
      </c>
      <c r="V32" cm="1">
        <f t="array" ref="V32">_xlfn.SWITCH(tbl_analysis_tickets[[#This Row],[priority]],
"Urgent",1,
"High",2,
"Medium",3,
"Low",4
)</f>
        <v>4</v>
      </c>
    </row>
    <row r="33" spans="1:22" x14ac:dyDescent="0.25">
      <c r="A33">
        <v>32</v>
      </c>
      <c r="B33" s="1">
        <v>45625</v>
      </c>
      <c r="C33" t="s">
        <v>14</v>
      </c>
      <c r="D33" t="s">
        <v>11</v>
      </c>
      <c r="E33">
        <v>157</v>
      </c>
      <c r="F33">
        <v>40</v>
      </c>
      <c r="G33">
        <v>0.7</v>
      </c>
      <c r="H33" t="s">
        <v>18</v>
      </c>
      <c r="I33" t="s">
        <v>16</v>
      </c>
      <c r="J33" t="s">
        <v>11</v>
      </c>
      <c r="K33">
        <f>_xlfn.XLOOKUP(tbl_analysis_tickets[[#This Row],[priority]],tbl_sla[priority],tbl_sla[Resolution SLA Hours])</f>
        <v>72</v>
      </c>
      <c r="L33">
        <f>_xlfn.XLOOKUP(tbl_analysis_tickets[[#This Row],[priority]],tbl_sla[priority],tbl_sla[First Response SLA Minutes])</f>
        <v>240</v>
      </c>
      <c r="M33" t="str">
        <f>IF(tbl_analysis_tickets[[#This Row],[resolution_time_hours]]&gt;tbl_analysis_tickets[[#This Row],[Resolution SLA Hours]],"Breached","Within SLA")</f>
        <v>Within SLA</v>
      </c>
      <c r="N33" t="str">
        <f>IF(tbl_analysis_tickets[[#This Row],[first_response_minutes]]&gt;tbl_analysis_tickets[[#This Row],[First Response SLA Minutes]],"Breached","Within SLA")</f>
        <v>Within SLA</v>
      </c>
      <c r="O33" t="str" cm="1">
        <f t="array" ref="O33">_xlfn.IFS(
tbl_analysis_tickets[[#This Row],[agent_experience_years]]&lt;=2,"Junior",
tbl_analysis_tickets[[#This Row],[agent_experience_years]]&lt;=5,"Mid-Level",
tbl_analysis_tickets[[#This Row],[agent_experience_years]]&lt;=8,"Senior",
tbl_analysis_tickets[[#This Row],[agent_experience_years]]&gt;8,"Expert"
)</f>
        <v>Junior</v>
      </c>
      <c r="P33" cm="1">
        <f t="array" ref="P33">_xlfn.SWITCH(tbl_analysis_tickets[[#This Row],[customer_satisfaction]],
"Low",1,
"Medium",2,
"High",3
)</f>
        <v>1</v>
      </c>
      <c r="Q33">
        <f>IF(tbl_analysis_tickets[[#This Row],[reopened]]="Yes",1,0)</f>
        <v>0</v>
      </c>
      <c r="R33" t="str" cm="1">
        <f t="array" ref="R33">_xlfn.IFS(
tbl_analysis_tickets[[#This Row],[first_response_minutes]]&lt;=30,"Very Fast",
tbl_analysis_tickets[[#This Row],[first_response_minutes]]&lt;=120,"Acceptable",
tbl_analysis_tickets[[#This Row],[first_response_minutes]]&lt;=240,"Slow",
tbl_analysis_tickets[[#This Row],[first_response_minutes]]&gt;240,"Very Slow"
)</f>
        <v>Slow</v>
      </c>
      <c r="S33" t="str" cm="1">
        <f t="array" ref="S3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33" t="str">
        <f>TEXT(tbl_analysis_tickets[[#This Row],[created_date]],"mmm-yyyy")</f>
        <v>Nov-2024</v>
      </c>
      <c r="U33" t="str">
        <f>TEXT(tbl_analysis_tickets[[#This Row],[created_date]],"dddd")</f>
        <v>Friday</v>
      </c>
      <c r="V33" cm="1">
        <f t="array" ref="V33">_xlfn.SWITCH(tbl_analysis_tickets[[#This Row],[priority]],
"Urgent",1,
"High",2,
"Medium",3,
"Low",4
)</f>
        <v>4</v>
      </c>
    </row>
    <row r="34" spans="1:22" x14ac:dyDescent="0.25">
      <c r="A34">
        <v>33</v>
      </c>
      <c r="B34" s="1">
        <v>45415</v>
      </c>
      <c r="C34" t="s">
        <v>21</v>
      </c>
      <c r="D34" t="s">
        <v>17</v>
      </c>
      <c r="E34">
        <v>161</v>
      </c>
      <c r="F34">
        <v>48</v>
      </c>
      <c r="G34">
        <v>3.2</v>
      </c>
      <c r="H34" t="s">
        <v>12</v>
      </c>
      <c r="I34" t="s">
        <v>13</v>
      </c>
      <c r="J34" t="s">
        <v>11</v>
      </c>
      <c r="K34">
        <f>_xlfn.XLOOKUP(tbl_analysis_tickets[[#This Row],[priority]],tbl_sla[priority],tbl_sla[Resolution SLA Hours])</f>
        <v>8</v>
      </c>
      <c r="L34">
        <f>_xlfn.XLOOKUP(tbl_analysis_tickets[[#This Row],[priority]],tbl_sla[priority],tbl_sla[First Response SLA Minutes])</f>
        <v>30</v>
      </c>
      <c r="M34" t="str">
        <f>IF(tbl_analysis_tickets[[#This Row],[resolution_time_hours]]&gt;tbl_analysis_tickets[[#This Row],[Resolution SLA Hours]],"Breached","Within SLA")</f>
        <v>Breached</v>
      </c>
      <c r="N34" t="str">
        <f>IF(tbl_analysis_tickets[[#This Row],[first_response_minutes]]&gt;tbl_analysis_tickets[[#This Row],[First Response SLA Minutes]],"Breached","Within SLA")</f>
        <v>Breached</v>
      </c>
      <c r="O34" t="str" cm="1">
        <f t="array" ref="O34">_xlfn.IFS(
tbl_analysis_tickets[[#This Row],[agent_experience_years]]&lt;=2,"Junior",
tbl_analysis_tickets[[#This Row],[agent_experience_years]]&lt;=5,"Mid-Level",
tbl_analysis_tickets[[#This Row],[agent_experience_years]]&lt;=8,"Senior",
tbl_analysis_tickets[[#This Row],[agent_experience_years]]&gt;8,"Expert"
)</f>
        <v>Mid-Level</v>
      </c>
      <c r="P34" cm="1">
        <f t="array" ref="P34">_xlfn.SWITCH(tbl_analysis_tickets[[#This Row],[customer_satisfaction]],
"Low",1,
"Medium",2,
"High",3
)</f>
        <v>1</v>
      </c>
      <c r="Q34">
        <f>IF(tbl_analysis_tickets[[#This Row],[reopened]]="Yes",1,0)</f>
        <v>1</v>
      </c>
      <c r="R34" t="str" cm="1">
        <f t="array" ref="R34">_xlfn.IFS(
tbl_analysis_tickets[[#This Row],[first_response_minutes]]&lt;=30,"Very Fast",
tbl_analysis_tickets[[#This Row],[first_response_minutes]]&lt;=120,"Acceptable",
tbl_analysis_tickets[[#This Row],[first_response_minutes]]&lt;=240,"Slow",
tbl_analysis_tickets[[#This Row],[first_response_minutes]]&gt;240,"Very Slow"
)</f>
        <v>Slow</v>
      </c>
      <c r="S34" t="str" cm="1">
        <f t="array" ref="S3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34" t="str">
        <f>TEXT(tbl_analysis_tickets[[#This Row],[created_date]],"mmm-yyyy")</f>
        <v>May-2024</v>
      </c>
      <c r="U34" t="str">
        <f>TEXT(tbl_analysis_tickets[[#This Row],[created_date]],"dddd")</f>
        <v>Friday</v>
      </c>
      <c r="V34" cm="1">
        <f t="array" ref="V34">_xlfn.SWITCH(tbl_analysis_tickets[[#This Row],[priority]],
"Urgent",1,
"High",2,
"Medium",3,
"Low",4
)</f>
        <v>1</v>
      </c>
    </row>
    <row r="35" spans="1:22" x14ac:dyDescent="0.25">
      <c r="A35">
        <v>34</v>
      </c>
      <c r="B35" s="1">
        <v>45507</v>
      </c>
      <c r="C35" t="s">
        <v>21</v>
      </c>
      <c r="D35" t="s">
        <v>11</v>
      </c>
      <c r="E35">
        <v>147</v>
      </c>
      <c r="F35">
        <v>7</v>
      </c>
      <c r="G35">
        <v>2.6</v>
      </c>
      <c r="H35" t="s">
        <v>12</v>
      </c>
      <c r="I35" t="s">
        <v>19</v>
      </c>
      <c r="J35" t="s">
        <v>11</v>
      </c>
      <c r="K35">
        <f>_xlfn.XLOOKUP(tbl_analysis_tickets[[#This Row],[priority]],tbl_sla[priority],tbl_sla[Resolution SLA Hours])</f>
        <v>72</v>
      </c>
      <c r="L35">
        <f>_xlfn.XLOOKUP(tbl_analysis_tickets[[#This Row],[priority]],tbl_sla[priority],tbl_sla[First Response SLA Minutes])</f>
        <v>240</v>
      </c>
      <c r="M35" t="str">
        <f>IF(tbl_analysis_tickets[[#This Row],[resolution_time_hours]]&gt;tbl_analysis_tickets[[#This Row],[Resolution SLA Hours]],"Breached","Within SLA")</f>
        <v>Within SLA</v>
      </c>
      <c r="N35" t="str">
        <f>IF(tbl_analysis_tickets[[#This Row],[first_response_minutes]]&gt;tbl_analysis_tickets[[#This Row],[First Response SLA Minutes]],"Breached","Within SLA")</f>
        <v>Within SLA</v>
      </c>
      <c r="O35" t="str" cm="1">
        <f t="array" ref="O35">_xlfn.IFS(
tbl_analysis_tickets[[#This Row],[agent_experience_years]]&lt;=2,"Junior",
tbl_analysis_tickets[[#This Row],[agent_experience_years]]&lt;=5,"Mid-Level",
tbl_analysis_tickets[[#This Row],[agent_experience_years]]&lt;=8,"Senior",
tbl_analysis_tickets[[#This Row],[agent_experience_years]]&gt;8,"Expert"
)</f>
        <v>Mid-Level</v>
      </c>
      <c r="P35" cm="1">
        <f t="array" ref="P35">_xlfn.SWITCH(tbl_analysis_tickets[[#This Row],[customer_satisfaction]],
"Low",1,
"Medium",2,
"High",3
)</f>
        <v>1</v>
      </c>
      <c r="Q35">
        <f>IF(tbl_analysis_tickets[[#This Row],[reopened]]="Yes",1,0)</f>
        <v>1</v>
      </c>
      <c r="R35" t="str" cm="1">
        <f t="array" ref="R35">_xlfn.IFS(
tbl_analysis_tickets[[#This Row],[first_response_minutes]]&lt;=30,"Very Fast",
tbl_analysis_tickets[[#This Row],[first_response_minutes]]&lt;=120,"Acceptable",
tbl_analysis_tickets[[#This Row],[first_response_minutes]]&lt;=240,"Slow",
tbl_analysis_tickets[[#This Row],[first_response_minutes]]&gt;240,"Very Slow"
)</f>
        <v>Slow</v>
      </c>
      <c r="S35" t="str" cm="1">
        <f t="array" ref="S3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35" t="str">
        <f>TEXT(tbl_analysis_tickets[[#This Row],[created_date]],"mmm-yyyy")</f>
        <v>Aug-2024</v>
      </c>
      <c r="U35" t="str">
        <f>TEXT(tbl_analysis_tickets[[#This Row],[created_date]],"dddd")</f>
        <v>Saturday</v>
      </c>
      <c r="V35" cm="1">
        <f t="array" ref="V35">_xlfn.SWITCH(tbl_analysis_tickets[[#This Row],[priority]],
"Urgent",1,
"High",2,
"Medium",3,
"Low",4
)</f>
        <v>4</v>
      </c>
    </row>
    <row r="36" spans="1:22" x14ac:dyDescent="0.25">
      <c r="A36">
        <v>35</v>
      </c>
      <c r="B36" s="1">
        <v>45586</v>
      </c>
      <c r="C36" t="s">
        <v>21</v>
      </c>
      <c r="D36" t="s">
        <v>17</v>
      </c>
      <c r="E36">
        <v>239</v>
      </c>
      <c r="F36">
        <v>3</v>
      </c>
      <c r="G36">
        <v>4.2</v>
      </c>
      <c r="H36" t="s">
        <v>18</v>
      </c>
      <c r="I36" t="s">
        <v>19</v>
      </c>
      <c r="J36" t="s">
        <v>15</v>
      </c>
      <c r="K36">
        <f>_xlfn.XLOOKUP(tbl_analysis_tickets[[#This Row],[priority]],tbl_sla[priority],tbl_sla[Resolution SLA Hours])</f>
        <v>8</v>
      </c>
      <c r="L36">
        <f>_xlfn.XLOOKUP(tbl_analysis_tickets[[#This Row],[priority]],tbl_sla[priority],tbl_sla[First Response SLA Minutes])</f>
        <v>30</v>
      </c>
      <c r="M36" t="str">
        <f>IF(tbl_analysis_tickets[[#This Row],[resolution_time_hours]]&gt;tbl_analysis_tickets[[#This Row],[Resolution SLA Hours]],"Breached","Within SLA")</f>
        <v>Within SLA</v>
      </c>
      <c r="N36" t="str">
        <f>IF(tbl_analysis_tickets[[#This Row],[first_response_minutes]]&gt;tbl_analysis_tickets[[#This Row],[First Response SLA Minutes]],"Breached","Within SLA")</f>
        <v>Breached</v>
      </c>
      <c r="O36" t="str" cm="1">
        <f t="array" ref="O36">_xlfn.IFS(
tbl_analysis_tickets[[#This Row],[agent_experience_years]]&lt;=2,"Junior",
tbl_analysis_tickets[[#This Row],[agent_experience_years]]&lt;=5,"Mid-Level",
tbl_analysis_tickets[[#This Row],[agent_experience_years]]&lt;=8,"Senior",
tbl_analysis_tickets[[#This Row],[agent_experience_years]]&gt;8,"Expert"
)</f>
        <v>Mid-Level</v>
      </c>
      <c r="P36" cm="1">
        <f t="array" ref="P36">_xlfn.SWITCH(tbl_analysis_tickets[[#This Row],[customer_satisfaction]],
"Low",1,
"Medium",2,
"High",3
)</f>
        <v>2</v>
      </c>
      <c r="Q36">
        <f>IF(tbl_analysis_tickets[[#This Row],[reopened]]="Yes",1,0)</f>
        <v>0</v>
      </c>
      <c r="R36" t="str" cm="1">
        <f t="array" ref="R36">_xlfn.IFS(
tbl_analysis_tickets[[#This Row],[first_response_minutes]]&lt;=30,"Very Fast",
tbl_analysis_tickets[[#This Row],[first_response_minutes]]&lt;=120,"Acceptable",
tbl_analysis_tickets[[#This Row],[first_response_minutes]]&lt;=240,"Slow",
tbl_analysis_tickets[[#This Row],[first_response_minutes]]&gt;240,"Very Slow"
)</f>
        <v>Slow</v>
      </c>
      <c r="S36" t="str" cm="1">
        <f t="array" ref="S3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36" t="str">
        <f>TEXT(tbl_analysis_tickets[[#This Row],[created_date]],"mmm-yyyy")</f>
        <v>Oct-2024</v>
      </c>
      <c r="U36" t="str">
        <f>TEXT(tbl_analysis_tickets[[#This Row],[created_date]],"dddd")</f>
        <v>Monday</v>
      </c>
      <c r="V36" cm="1">
        <f t="array" ref="V36">_xlfn.SWITCH(tbl_analysis_tickets[[#This Row],[priority]],
"Urgent",1,
"High",2,
"Medium",3,
"Low",4
)</f>
        <v>1</v>
      </c>
    </row>
    <row r="37" spans="1:22" x14ac:dyDescent="0.25">
      <c r="A37">
        <v>36</v>
      </c>
      <c r="B37" s="1">
        <v>45310</v>
      </c>
      <c r="C37" t="s">
        <v>22</v>
      </c>
      <c r="D37" t="s">
        <v>20</v>
      </c>
      <c r="E37">
        <v>227</v>
      </c>
      <c r="F37">
        <v>7</v>
      </c>
      <c r="G37">
        <v>6.7</v>
      </c>
      <c r="H37" t="s">
        <v>12</v>
      </c>
      <c r="I37" t="s">
        <v>13</v>
      </c>
      <c r="J37" t="s">
        <v>11</v>
      </c>
      <c r="K37">
        <f>_xlfn.XLOOKUP(tbl_analysis_tickets[[#This Row],[priority]],tbl_sla[priority],tbl_sla[Resolution SLA Hours])</f>
        <v>24</v>
      </c>
      <c r="L37">
        <f>_xlfn.XLOOKUP(tbl_analysis_tickets[[#This Row],[priority]],tbl_sla[priority],tbl_sla[First Response SLA Minutes])</f>
        <v>60</v>
      </c>
      <c r="M37" t="str">
        <f>IF(tbl_analysis_tickets[[#This Row],[resolution_time_hours]]&gt;tbl_analysis_tickets[[#This Row],[Resolution SLA Hours]],"Breached","Within SLA")</f>
        <v>Within SLA</v>
      </c>
      <c r="N37" t="str">
        <f>IF(tbl_analysis_tickets[[#This Row],[first_response_minutes]]&gt;tbl_analysis_tickets[[#This Row],[First Response SLA Minutes]],"Breached","Within SLA")</f>
        <v>Breached</v>
      </c>
      <c r="O37" t="str" cm="1">
        <f t="array" ref="O37">_xlfn.IFS(
tbl_analysis_tickets[[#This Row],[agent_experience_years]]&lt;=2,"Junior",
tbl_analysis_tickets[[#This Row],[agent_experience_years]]&lt;=5,"Mid-Level",
tbl_analysis_tickets[[#This Row],[agent_experience_years]]&lt;=8,"Senior",
tbl_analysis_tickets[[#This Row],[agent_experience_years]]&gt;8,"Expert"
)</f>
        <v>Senior</v>
      </c>
      <c r="P37" cm="1">
        <f t="array" ref="P37">_xlfn.SWITCH(tbl_analysis_tickets[[#This Row],[customer_satisfaction]],
"Low",1,
"Medium",2,
"High",3
)</f>
        <v>1</v>
      </c>
      <c r="Q37">
        <f>IF(tbl_analysis_tickets[[#This Row],[reopened]]="Yes",1,0)</f>
        <v>1</v>
      </c>
      <c r="R37" t="str" cm="1">
        <f t="array" ref="R37">_xlfn.IFS(
tbl_analysis_tickets[[#This Row],[first_response_minutes]]&lt;=30,"Very Fast",
tbl_analysis_tickets[[#This Row],[first_response_minutes]]&lt;=120,"Acceptable",
tbl_analysis_tickets[[#This Row],[first_response_minutes]]&lt;=240,"Slow",
tbl_analysis_tickets[[#This Row],[first_response_minutes]]&gt;240,"Very Slow"
)</f>
        <v>Slow</v>
      </c>
      <c r="S37" t="str" cm="1">
        <f t="array" ref="S3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37" t="str">
        <f>TEXT(tbl_analysis_tickets[[#This Row],[created_date]],"mmm-yyyy")</f>
        <v>Jan-2024</v>
      </c>
      <c r="U37" t="str">
        <f>TEXT(tbl_analysis_tickets[[#This Row],[created_date]],"dddd")</f>
        <v>Friday</v>
      </c>
      <c r="V37" cm="1">
        <f t="array" ref="V37">_xlfn.SWITCH(tbl_analysis_tickets[[#This Row],[priority]],
"Urgent",1,
"High",2,
"Medium",3,
"Low",4
)</f>
        <v>2</v>
      </c>
    </row>
    <row r="38" spans="1:22" x14ac:dyDescent="0.25">
      <c r="A38">
        <v>37</v>
      </c>
      <c r="B38" s="1">
        <v>45602</v>
      </c>
      <c r="C38" t="s">
        <v>14</v>
      </c>
      <c r="D38" t="s">
        <v>17</v>
      </c>
      <c r="E38">
        <v>88</v>
      </c>
      <c r="F38">
        <v>22</v>
      </c>
      <c r="G38">
        <v>7.8</v>
      </c>
      <c r="H38" t="s">
        <v>12</v>
      </c>
      <c r="I38" t="s">
        <v>16</v>
      </c>
      <c r="J38" t="s">
        <v>11</v>
      </c>
      <c r="K38">
        <f>_xlfn.XLOOKUP(tbl_analysis_tickets[[#This Row],[priority]],tbl_sla[priority],tbl_sla[Resolution SLA Hours])</f>
        <v>8</v>
      </c>
      <c r="L38">
        <f>_xlfn.XLOOKUP(tbl_analysis_tickets[[#This Row],[priority]],tbl_sla[priority],tbl_sla[First Response SLA Minutes])</f>
        <v>30</v>
      </c>
      <c r="M38" t="str">
        <f>IF(tbl_analysis_tickets[[#This Row],[resolution_time_hours]]&gt;tbl_analysis_tickets[[#This Row],[Resolution SLA Hours]],"Breached","Within SLA")</f>
        <v>Breached</v>
      </c>
      <c r="N38" t="str">
        <f>IF(tbl_analysis_tickets[[#This Row],[first_response_minutes]]&gt;tbl_analysis_tickets[[#This Row],[First Response SLA Minutes]],"Breached","Within SLA")</f>
        <v>Breached</v>
      </c>
      <c r="O38" t="str" cm="1">
        <f t="array" ref="O38">_xlfn.IFS(
tbl_analysis_tickets[[#This Row],[agent_experience_years]]&lt;=2,"Junior",
tbl_analysis_tickets[[#This Row],[agent_experience_years]]&lt;=5,"Mid-Level",
tbl_analysis_tickets[[#This Row],[agent_experience_years]]&lt;=8,"Senior",
tbl_analysis_tickets[[#This Row],[agent_experience_years]]&gt;8,"Expert"
)</f>
        <v>Senior</v>
      </c>
      <c r="P38" cm="1">
        <f t="array" ref="P38">_xlfn.SWITCH(tbl_analysis_tickets[[#This Row],[customer_satisfaction]],
"Low",1,
"Medium",2,
"High",3
)</f>
        <v>1</v>
      </c>
      <c r="Q38">
        <f>IF(tbl_analysis_tickets[[#This Row],[reopened]]="Yes",1,0)</f>
        <v>1</v>
      </c>
      <c r="R38" t="str" cm="1">
        <f t="array" ref="R38">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38" t="str" cm="1">
        <f t="array" ref="S3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38" t="str">
        <f>TEXT(tbl_analysis_tickets[[#This Row],[created_date]],"mmm-yyyy")</f>
        <v>Nov-2024</v>
      </c>
      <c r="U38" t="str">
        <f>TEXT(tbl_analysis_tickets[[#This Row],[created_date]],"dddd")</f>
        <v>Wednesday</v>
      </c>
      <c r="V38" cm="1">
        <f t="array" ref="V38">_xlfn.SWITCH(tbl_analysis_tickets[[#This Row],[priority]],
"Urgent",1,
"High",2,
"Medium",3,
"Low",4
)</f>
        <v>1</v>
      </c>
    </row>
    <row r="39" spans="1:22" x14ac:dyDescent="0.25">
      <c r="A39">
        <v>38</v>
      </c>
      <c r="B39" s="1">
        <v>45337</v>
      </c>
      <c r="C39" t="s">
        <v>10</v>
      </c>
      <c r="D39" t="s">
        <v>11</v>
      </c>
      <c r="E39">
        <v>190</v>
      </c>
      <c r="F39">
        <v>69</v>
      </c>
      <c r="G39">
        <v>5.4</v>
      </c>
      <c r="H39" t="s">
        <v>18</v>
      </c>
      <c r="I39" t="s">
        <v>13</v>
      </c>
      <c r="J39" t="s">
        <v>15</v>
      </c>
      <c r="K39">
        <f>_xlfn.XLOOKUP(tbl_analysis_tickets[[#This Row],[priority]],tbl_sla[priority],tbl_sla[Resolution SLA Hours])</f>
        <v>72</v>
      </c>
      <c r="L39">
        <f>_xlfn.XLOOKUP(tbl_analysis_tickets[[#This Row],[priority]],tbl_sla[priority],tbl_sla[First Response SLA Minutes])</f>
        <v>240</v>
      </c>
      <c r="M39" t="str">
        <f>IF(tbl_analysis_tickets[[#This Row],[resolution_time_hours]]&gt;tbl_analysis_tickets[[#This Row],[Resolution SLA Hours]],"Breached","Within SLA")</f>
        <v>Within SLA</v>
      </c>
      <c r="N39" t="str">
        <f>IF(tbl_analysis_tickets[[#This Row],[first_response_minutes]]&gt;tbl_analysis_tickets[[#This Row],[First Response SLA Minutes]],"Breached","Within SLA")</f>
        <v>Within SLA</v>
      </c>
      <c r="O39" t="str" cm="1">
        <f t="array" ref="O39">_xlfn.IFS(
tbl_analysis_tickets[[#This Row],[agent_experience_years]]&lt;=2,"Junior",
tbl_analysis_tickets[[#This Row],[agent_experience_years]]&lt;=5,"Mid-Level",
tbl_analysis_tickets[[#This Row],[agent_experience_years]]&lt;=8,"Senior",
tbl_analysis_tickets[[#This Row],[agent_experience_years]]&gt;8,"Expert"
)</f>
        <v>Senior</v>
      </c>
      <c r="P39" cm="1">
        <f t="array" ref="P39">_xlfn.SWITCH(tbl_analysis_tickets[[#This Row],[customer_satisfaction]],
"Low",1,
"Medium",2,
"High",3
)</f>
        <v>2</v>
      </c>
      <c r="Q39">
        <f>IF(tbl_analysis_tickets[[#This Row],[reopened]]="Yes",1,0)</f>
        <v>0</v>
      </c>
      <c r="R39" t="str" cm="1">
        <f t="array" ref="R39">_xlfn.IFS(
tbl_analysis_tickets[[#This Row],[first_response_minutes]]&lt;=30,"Very Fast",
tbl_analysis_tickets[[#This Row],[first_response_minutes]]&lt;=120,"Acceptable",
tbl_analysis_tickets[[#This Row],[first_response_minutes]]&lt;=240,"Slow",
tbl_analysis_tickets[[#This Row],[first_response_minutes]]&gt;240,"Very Slow"
)</f>
        <v>Slow</v>
      </c>
      <c r="S39" t="str" cm="1">
        <f t="array" ref="S3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39" t="str">
        <f>TEXT(tbl_analysis_tickets[[#This Row],[created_date]],"mmm-yyyy")</f>
        <v>Feb-2024</v>
      </c>
      <c r="U39" t="str">
        <f>TEXT(tbl_analysis_tickets[[#This Row],[created_date]],"dddd")</f>
        <v>Thursday</v>
      </c>
      <c r="V39" cm="1">
        <f t="array" ref="V39">_xlfn.SWITCH(tbl_analysis_tickets[[#This Row],[priority]],
"Urgent",1,
"High",2,
"Medium",3,
"Low",4
)</f>
        <v>4</v>
      </c>
    </row>
    <row r="40" spans="1:22" x14ac:dyDescent="0.25">
      <c r="A40">
        <v>39</v>
      </c>
      <c r="B40" s="1">
        <v>45653</v>
      </c>
      <c r="C40" t="s">
        <v>10</v>
      </c>
      <c r="D40" t="s">
        <v>20</v>
      </c>
      <c r="E40">
        <v>20</v>
      </c>
      <c r="F40">
        <v>19</v>
      </c>
      <c r="G40">
        <v>9.3000000000000007</v>
      </c>
      <c r="H40" t="s">
        <v>18</v>
      </c>
      <c r="I40" t="s">
        <v>19</v>
      </c>
      <c r="J40" t="s">
        <v>15</v>
      </c>
      <c r="K40">
        <f>_xlfn.XLOOKUP(tbl_analysis_tickets[[#This Row],[priority]],tbl_sla[priority],tbl_sla[Resolution SLA Hours])</f>
        <v>24</v>
      </c>
      <c r="L40">
        <f>_xlfn.XLOOKUP(tbl_analysis_tickets[[#This Row],[priority]],tbl_sla[priority],tbl_sla[First Response SLA Minutes])</f>
        <v>60</v>
      </c>
      <c r="M40" t="str">
        <f>IF(tbl_analysis_tickets[[#This Row],[resolution_time_hours]]&gt;tbl_analysis_tickets[[#This Row],[Resolution SLA Hours]],"Breached","Within SLA")</f>
        <v>Within SLA</v>
      </c>
      <c r="N40" t="str">
        <f>IF(tbl_analysis_tickets[[#This Row],[first_response_minutes]]&gt;tbl_analysis_tickets[[#This Row],[First Response SLA Minutes]],"Breached","Within SLA")</f>
        <v>Within SLA</v>
      </c>
      <c r="O40" t="str" cm="1">
        <f t="array" ref="O40">_xlfn.IFS(
tbl_analysis_tickets[[#This Row],[agent_experience_years]]&lt;=2,"Junior",
tbl_analysis_tickets[[#This Row],[agent_experience_years]]&lt;=5,"Mid-Level",
tbl_analysis_tickets[[#This Row],[agent_experience_years]]&lt;=8,"Senior",
tbl_analysis_tickets[[#This Row],[agent_experience_years]]&gt;8,"Expert"
)</f>
        <v>Expert</v>
      </c>
      <c r="P40" cm="1">
        <f t="array" ref="P40">_xlfn.SWITCH(tbl_analysis_tickets[[#This Row],[customer_satisfaction]],
"Low",1,
"Medium",2,
"High",3
)</f>
        <v>2</v>
      </c>
      <c r="Q40">
        <f>IF(tbl_analysis_tickets[[#This Row],[reopened]]="Yes",1,0)</f>
        <v>0</v>
      </c>
      <c r="R40" t="str" cm="1">
        <f t="array" ref="R40">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40" t="str" cm="1">
        <f t="array" ref="S4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40" t="str">
        <f>TEXT(tbl_analysis_tickets[[#This Row],[created_date]],"mmm-yyyy")</f>
        <v>Dec-2024</v>
      </c>
      <c r="U40" t="str">
        <f>TEXT(tbl_analysis_tickets[[#This Row],[created_date]],"dddd")</f>
        <v>Friday</v>
      </c>
      <c r="V40" cm="1">
        <f t="array" ref="V40">_xlfn.SWITCH(tbl_analysis_tickets[[#This Row],[priority]],
"Urgent",1,
"High",2,
"Medium",3,
"Low",4
)</f>
        <v>2</v>
      </c>
    </row>
    <row r="41" spans="1:22" x14ac:dyDescent="0.25">
      <c r="A41">
        <v>40</v>
      </c>
      <c r="B41" s="1">
        <v>45473</v>
      </c>
      <c r="C41" t="s">
        <v>10</v>
      </c>
      <c r="D41" t="s">
        <v>17</v>
      </c>
      <c r="E41">
        <v>189</v>
      </c>
      <c r="F41">
        <v>57</v>
      </c>
      <c r="G41">
        <v>9.9</v>
      </c>
      <c r="H41" t="s">
        <v>12</v>
      </c>
      <c r="I41" t="s">
        <v>13</v>
      </c>
      <c r="J41" t="s">
        <v>11</v>
      </c>
      <c r="K41">
        <f>_xlfn.XLOOKUP(tbl_analysis_tickets[[#This Row],[priority]],tbl_sla[priority],tbl_sla[Resolution SLA Hours])</f>
        <v>8</v>
      </c>
      <c r="L41">
        <f>_xlfn.XLOOKUP(tbl_analysis_tickets[[#This Row],[priority]],tbl_sla[priority],tbl_sla[First Response SLA Minutes])</f>
        <v>30</v>
      </c>
      <c r="M41" t="str">
        <f>IF(tbl_analysis_tickets[[#This Row],[resolution_time_hours]]&gt;tbl_analysis_tickets[[#This Row],[Resolution SLA Hours]],"Breached","Within SLA")</f>
        <v>Breached</v>
      </c>
      <c r="N41" t="str">
        <f>IF(tbl_analysis_tickets[[#This Row],[first_response_minutes]]&gt;tbl_analysis_tickets[[#This Row],[First Response SLA Minutes]],"Breached","Within SLA")</f>
        <v>Breached</v>
      </c>
      <c r="O41" t="str" cm="1">
        <f t="array" ref="O41">_xlfn.IFS(
tbl_analysis_tickets[[#This Row],[agent_experience_years]]&lt;=2,"Junior",
tbl_analysis_tickets[[#This Row],[agent_experience_years]]&lt;=5,"Mid-Level",
tbl_analysis_tickets[[#This Row],[agent_experience_years]]&lt;=8,"Senior",
tbl_analysis_tickets[[#This Row],[agent_experience_years]]&gt;8,"Expert"
)</f>
        <v>Expert</v>
      </c>
      <c r="P41" cm="1">
        <f t="array" ref="P41">_xlfn.SWITCH(tbl_analysis_tickets[[#This Row],[customer_satisfaction]],
"Low",1,
"Medium",2,
"High",3
)</f>
        <v>1</v>
      </c>
      <c r="Q41">
        <f>IF(tbl_analysis_tickets[[#This Row],[reopened]]="Yes",1,0)</f>
        <v>1</v>
      </c>
      <c r="R41" t="str" cm="1">
        <f t="array" ref="R41">_xlfn.IFS(
tbl_analysis_tickets[[#This Row],[first_response_minutes]]&lt;=30,"Very Fast",
tbl_analysis_tickets[[#This Row],[first_response_minutes]]&lt;=120,"Acceptable",
tbl_analysis_tickets[[#This Row],[first_response_minutes]]&lt;=240,"Slow",
tbl_analysis_tickets[[#This Row],[first_response_minutes]]&gt;240,"Very Slow"
)</f>
        <v>Slow</v>
      </c>
      <c r="S41" t="str" cm="1">
        <f t="array" ref="S4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41" t="str">
        <f>TEXT(tbl_analysis_tickets[[#This Row],[created_date]],"mmm-yyyy")</f>
        <v>Jun-2024</v>
      </c>
      <c r="U41" t="str">
        <f>TEXT(tbl_analysis_tickets[[#This Row],[created_date]],"dddd")</f>
        <v>Sunday</v>
      </c>
      <c r="V41" cm="1">
        <f t="array" ref="V41">_xlfn.SWITCH(tbl_analysis_tickets[[#This Row],[priority]],
"Urgent",1,
"High",2,
"Medium",3,
"Low",4
)</f>
        <v>1</v>
      </c>
    </row>
    <row r="42" spans="1:22" x14ac:dyDescent="0.25">
      <c r="A42">
        <v>41</v>
      </c>
      <c r="B42" s="1">
        <v>45313</v>
      </c>
      <c r="C42" t="s">
        <v>21</v>
      </c>
      <c r="D42" t="s">
        <v>17</v>
      </c>
      <c r="E42">
        <v>104</v>
      </c>
      <c r="F42">
        <v>25</v>
      </c>
      <c r="G42">
        <v>1.4</v>
      </c>
      <c r="H42" t="s">
        <v>12</v>
      </c>
      <c r="I42" t="s">
        <v>19</v>
      </c>
      <c r="J42" t="s">
        <v>11</v>
      </c>
      <c r="K42">
        <f>_xlfn.XLOOKUP(tbl_analysis_tickets[[#This Row],[priority]],tbl_sla[priority],tbl_sla[Resolution SLA Hours])</f>
        <v>8</v>
      </c>
      <c r="L42">
        <f>_xlfn.XLOOKUP(tbl_analysis_tickets[[#This Row],[priority]],tbl_sla[priority],tbl_sla[First Response SLA Minutes])</f>
        <v>30</v>
      </c>
      <c r="M42" t="str">
        <f>IF(tbl_analysis_tickets[[#This Row],[resolution_time_hours]]&gt;tbl_analysis_tickets[[#This Row],[Resolution SLA Hours]],"Breached","Within SLA")</f>
        <v>Breached</v>
      </c>
      <c r="N42" t="str">
        <f>IF(tbl_analysis_tickets[[#This Row],[first_response_minutes]]&gt;tbl_analysis_tickets[[#This Row],[First Response SLA Minutes]],"Breached","Within SLA")</f>
        <v>Breached</v>
      </c>
      <c r="O42" t="str" cm="1">
        <f t="array" ref="O42">_xlfn.IFS(
tbl_analysis_tickets[[#This Row],[agent_experience_years]]&lt;=2,"Junior",
tbl_analysis_tickets[[#This Row],[agent_experience_years]]&lt;=5,"Mid-Level",
tbl_analysis_tickets[[#This Row],[agent_experience_years]]&lt;=8,"Senior",
tbl_analysis_tickets[[#This Row],[agent_experience_years]]&gt;8,"Expert"
)</f>
        <v>Junior</v>
      </c>
      <c r="P42" cm="1">
        <f t="array" ref="P42">_xlfn.SWITCH(tbl_analysis_tickets[[#This Row],[customer_satisfaction]],
"Low",1,
"Medium",2,
"High",3
)</f>
        <v>1</v>
      </c>
      <c r="Q42">
        <f>IF(tbl_analysis_tickets[[#This Row],[reopened]]="Yes",1,0)</f>
        <v>1</v>
      </c>
      <c r="R42" t="str" cm="1">
        <f t="array" ref="R42">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42" t="str" cm="1">
        <f t="array" ref="S4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42" t="str">
        <f>TEXT(tbl_analysis_tickets[[#This Row],[created_date]],"mmm-yyyy")</f>
        <v>Jan-2024</v>
      </c>
      <c r="U42" t="str">
        <f>TEXT(tbl_analysis_tickets[[#This Row],[created_date]],"dddd")</f>
        <v>Monday</v>
      </c>
      <c r="V42" cm="1">
        <f t="array" ref="V42">_xlfn.SWITCH(tbl_analysis_tickets[[#This Row],[priority]],
"Urgent",1,
"High",2,
"Medium",3,
"Low",4
)</f>
        <v>1</v>
      </c>
    </row>
    <row r="43" spans="1:22" x14ac:dyDescent="0.25">
      <c r="A43">
        <v>42</v>
      </c>
      <c r="B43" s="1">
        <v>45578</v>
      </c>
      <c r="C43" t="s">
        <v>10</v>
      </c>
      <c r="D43" t="s">
        <v>15</v>
      </c>
      <c r="E43">
        <v>150</v>
      </c>
      <c r="F43">
        <v>55</v>
      </c>
      <c r="G43">
        <v>9.8000000000000007</v>
      </c>
      <c r="H43" t="s">
        <v>18</v>
      </c>
      <c r="I43" t="s">
        <v>16</v>
      </c>
      <c r="J43" t="s">
        <v>15</v>
      </c>
      <c r="K43">
        <f>_xlfn.XLOOKUP(tbl_analysis_tickets[[#This Row],[priority]],tbl_sla[priority],tbl_sla[Resolution SLA Hours])</f>
        <v>48</v>
      </c>
      <c r="L43">
        <f>_xlfn.XLOOKUP(tbl_analysis_tickets[[#This Row],[priority]],tbl_sla[priority],tbl_sla[First Response SLA Minutes])</f>
        <v>120</v>
      </c>
      <c r="M43" t="str">
        <f>IF(tbl_analysis_tickets[[#This Row],[resolution_time_hours]]&gt;tbl_analysis_tickets[[#This Row],[Resolution SLA Hours]],"Breached","Within SLA")</f>
        <v>Breached</v>
      </c>
      <c r="N43" t="str">
        <f>IF(tbl_analysis_tickets[[#This Row],[first_response_minutes]]&gt;tbl_analysis_tickets[[#This Row],[First Response SLA Minutes]],"Breached","Within SLA")</f>
        <v>Breached</v>
      </c>
      <c r="O43" t="str" cm="1">
        <f t="array" ref="O43">_xlfn.IFS(
tbl_analysis_tickets[[#This Row],[agent_experience_years]]&lt;=2,"Junior",
tbl_analysis_tickets[[#This Row],[agent_experience_years]]&lt;=5,"Mid-Level",
tbl_analysis_tickets[[#This Row],[agent_experience_years]]&lt;=8,"Senior",
tbl_analysis_tickets[[#This Row],[agent_experience_years]]&gt;8,"Expert"
)</f>
        <v>Expert</v>
      </c>
      <c r="P43" cm="1">
        <f t="array" ref="P43">_xlfn.SWITCH(tbl_analysis_tickets[[#This Row],[customer_satisfaction]],
"Low",1,
"Medium",2,
"High",3
)</f>
        <v>2</v>
      </c>
      <c r="Q43">
        <f>IF(tbl_analysis_tickets[[#This Row],[reopened]]="Yes",1,0)</f>
        <v>0</v>
      </c>
      <c r="R43" t="str" cm="1">
        <f t="array" ref="R43">_xlfn.IFS(
tbl_analysis_tickets[[#This Row],[first_response_minutes]]&lt;=30,"Very Fast",
tbl_analysis_tickets[[#This Row],[first_response_minutes]]&lt;=120,"Acceptable",
tbl_analysis_tickets[[#This Row],[first_response_minutes]]&lt;=240,"Slow",
tbl_analysis_tickets[[#This Row],[first_response_minutes]]&gt;240,"Very Slow"
)</f>
        <v>Slow</v>
      </c>
      <c r="S43" t="str" cm="1">
        <f t="array" ref="S4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43" t="str">
        <f>TEXT(tbl_analysis_tickets[[#This Row],[created_date]],"mmm-yyyy")</f>
        <v>Oct-2024</v>
      </c>
      <c r="U43" t="str">
        <f>TEXT(tbl_analysis_tickets[[#This Row],[created_date]],"dddd")</f>
        <v>Sunday</v>
      </c>
      <c r="V43" cm="1">
        <f t="array" ref="V43">_xlfn.SWITCH(tbl_analysis_tickets[[#This Row],[priority]],
"Urgent",1,
"High",2,
"Medium",3,
"Low",4
)</f>
        <v>3</v>
      </c>
    </row>
    <row r="44" spans="1:22" x14ac:dyDescent="0.25">
      <c r="A44">
        <v>43</v>
      </c>
      <c r="B44" s="1">
        <v>45317</v>
      </c>
      <c r="C44" t="s">
        <v>22</v>
      </c>
      <c r="D44" t="s">
        <v>11</v>
      </c>
      <c r="E44">
        <v>47</v>
      </c>
      <c r="F44">
        <v>40</v>
      </c>
      <c r="G44">
        <v>9.6</v>
      </c>
      <c r="H44" t="s">
        <v>12</v>
      </c>
      <c r="I44" t="s">
        <v>16</v>
      </c>
      <c r="J44" t="s">
        <v>11</v>
      </c>
      <c r="K44">
        <f>_xlfn.XLOOKUP(tbl_analysis_tickets[[#This Row],[priority]],tbl_sla[priority],tbl_sla[Resolution SLA Hours])</f>
        <v>72</v>
      </c>
      <c r="L44">
        <f>_xlfn.XLOOKUP(tbl_analysis_tickets[[#This Row],[priority]],tbl_sla[priority],tbl_sla[First Response SLA Minutes])</f>
        <v>240</v>
      </c>
      <c r="M44" t="str">
        <f>IF(tbl_analysis_tickets[[#This Row],[resolution_time_hours]]&gt;tbl_analysis_tickets[[#This Row],[Resolution SLA Hours]],"Breached","Within SLA")</f>
        <v>Within SLA</v>
      </c>
      <c r="N44" t="str">
        <f>IF(tbl_analysis_tickets[[#This Row],[first_response_minutes]]&gt;tbl_analysis_tickets[[#This Row],[First Response SLA Minutes]],"Breached","Within SLA")</f>
        <v>Within SLA</v>
      </c>
      <c r="O44" t="str" cm="1">
        <f t="array" ref="O44">_xlfn.IFS(
tbl_analysis_tickets[[#This Row],[agent_experience_years]]&lt;=2,"Junior",
tbl_analysis_tickets[[#This Row],[agent_experience_years]]&lt;=5,"Mid-Level",
tbl_analysis_tickets[[#This Row],[agent_experience_years]]&lt;=8,"Senior",
tbl_analysis_tickets[[#This Row],[agent_experience_years]]&gt;8,"Expert"
)</f>
        <v>Expert</v>
      </c>
      <c r="P44" cm="1">
        <f t="array" ref="P44">_xlfn.SWITCH(tbl_analysis_tickets[[#This Row],[customer_satisfaction]],
"Low",1,
"Medium",2,
"High",3
)</f>
        <v>1</v>
      </c>
      <c r="Q44">
        <f>IF(tbl_analysis_tickets[[#This Row],[reopened]]="Yes",1,0)</f>
        <v>1</v>
      </c>
      <c r="R44" t="str" cm="1">
        <f t="array" ref="R44">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44" t="str" cm="1">
        <f t="array" ref="S4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44" t="str">
        <f>TEXT(tbl_analysis_tickets[[#This Row],[created_date]],"mmm-yyyy")</f>
        <v>Jan-2024</v>
      </c>
      <c r="U44" t="str">
        <f>TEXT(tbl_analysis_tickets[[#This Row],[created_date]],"dddd")</f>
        <v>Friday</v>
      </c>
      <c r="V44" cm="1">
        <f t="array" ref="V44">_xlfn.SWITCH(tbl_analysis_tickets[[#This Row],[priority]],
"Urgent",1,
"High",2,
"Medium",3,
"Low",4
)</f>
        <v>4</v>
      </c>
    </row>
    <row r="45" spans="1:22" x14ac:dyDescent="0.25">
      <c r="A45">
        <v>44</v>
      </c>
      <c r="B45" s="1">
        <v>45313</v>
      </c>
      <c r="C45" t="s">
        <v>10</v>
      </c>
      <c r="D45" t="s">
        <v>11</v>
      </c>
      <c r="E45">
        <v>167</v>
      </c>
      <c r="F45">
        <v>47</v>
      </c>
      <c r="G45">
        <v>8.4</v>
      </c>
      <c r="H45" t="s">
        <v>18</v>
      </c>
      <c r="I45" t="s">
        <v>19</v>
      </c>
      <c r="J45" t="s">
        <v>15</v>
      </c>
      <c r="K45">
        <f>_xlfn.XLOOKUP(tbl_analysis_tickets[[#This Row],[priority]],tbl_sla[priority],tbl_sla[Resolution SLA Hours])</f>
        <v>72</v>
      </c>
      <c r="L45">
        <f>_xlfn.XLOOKUP(tbl_analysis_tickets[[#This Row],[priority]],tbl_sla[priority],tbl_sla[First Response SLA Minutes])</f>
        <v>240</v>
      </c>
      <c r="M45" t="str">
        <f>IF(tbl_analysis_tickets[[#This Row],[resolution_time_hours]]&gt;tbl_analysis_tickets[[#This Row],[Resolution SLA Hours]],"Breached","Within SLA")</f>
        <v>Within SLA</v>
      </c>
      <c r="N45" t="str">
        <f>IF(tbl_analysis_tickets[[#This Row],[first_response_minutes]]&gt;tbl_analysis_tickets[[#This Row],[First Response SLA Minutes]],"Breached","Within SLA")</f>
        <v>Within SLA</v>
      </c>
      <c r="O45" t="str" cm="1">
        <f t="array" ref="O45">_xlfn.IFS(
tbl_analysis_tickets[[#This Row],[agent_experience_years]]&lt;=2,"Junior",
tbl_analysis_tickets[[#This Row],[agent_experience_years]]&lt;=5,"Mid-Level",
tbl_analysis_tickets[[#This Row],[agent_experience_years]]&lt;=8,"Senior",
tbl_analysis_tickets[[#This Row],[agent_experience_years]]&gt;8,"Expert"
)</f>
        <v>Expert</v>
      </c>
      <c r="P45" cm="1">
        <f t="array" ref="P45">_xlfn.SWITCH(tbl_analysis_tickets[[#This Row],[customer_satisfaction]],
"Low",1,
"Medium",2,
"High",3
)</f>
        <v>2</v>
      </c>
      <c r="Q45">
        <f>IF(tbl_analysis_tickets[[#This Row],[reopened]]="Yes",1,0)</f>
        <v>0</v>
      </c>
      <c r="R45" t="str" cm="1">
        <f t="array" ref="R45">_xlfn.IFS(
tbl_analysis_tickets[[#This Row],[first_response_minutes]]&lt;=30,"Very Fast",
tbl_analysis_tickets[[#This Row],[first_response_minutes]]&lt;=120,"Acceptable",
tbl_analysis_tickets[[#This Row],[first_response_minutes]]&lt;=240,"Slow",
tbl_analysis_tickets[[#This Row],[first_response_minutes]]&gt;240,"Very Slow"
)</f>
        <v>Slow</v>
      </c>
      <c r="S45" t="str" cm="1">
        <f t="array" ref="S4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45" t="str">
        <f>TEXT(tbl_analysis_tickets[[#This Row],[created_date]],"mmm-yyyy")</f>
        <v>Jan-2024</v>
      </c>
      <c r="U45" t="str">
        <f>TEXT(tbl_analysis_tickets[[#This Row],[created_date]],"dddd")</f>
        <v>Monday</v>
      </c>
      <c r="V45" cm="1">
        <f t="array" ref="V45">_xlfn.SWITCH(tbl_analysis_tickets[[#This Row],[priority]],
"Urgent",1,
"High",2,
"Medium",3,
"Low",4
)</f>
        <v>4</v>
      </c>
    </row>
    <row r="46" spans="1:22" x14ac:dyDescent="0.25">
      <c r="A46">
        <v>45</v>
      </c>
      <c r="B46" s="1">
        <v>45375</v>
      </c>
      <c r="C46" t="s">
        <v>21</v>
      </c>
      <c r="D46" t="s">
        <v>17</v>
      </c>
      <c r="E46">
        <v>24</v>
      </c>
      <c r="F46">
        <v>45</v>
      </c>
      <c r="G46">
        <v>7.7</v>
      </c>
      <c r="H46" t="s">
        <v>18</v>
      </c>
      <c r="I46" t="s">
        <v>13</v>
      </c>
      <c r="J46" t="s">
        <v>15</v>
      </c>
      <c r="K46">
        <f>_xlfn.XLOOKUP(tbl_analysis_tickets[[#This Row],[priority]],tbl_sla[priority],tbl_sla[Resolution SLA Hours])</f>
        <v>8</v>
      </c>
      <c r="L46">
        <f>_xlfn.XLOOKUP(tbl_analysis_tickets[[#This Row],[priority]],tbl_sla[priority],tbl_sla[First Response SLA Minutes])</f>
        <v>30</v>
      </c>
      <c r="M46" t="str">
        <f>IF(tbl_analysis_tickets[[#This Row],[resolution_time_hours]]&gt;tbl_analysis_tickets[[#This Row],[Resolution SLA Hours]],"Breached","Within SLA")</f>
        <v>Breached</v>
      </c>
      <c r="N46" t="str">
        <f>IF(tbl_analysis_tickets[[#This Row],[first_response_minutes]]&gt;tbl_analysis_tickets[[#This Row],[First Response SLA Minutes]],"Breached","Within SLA")</f>
        <v>Within SLA</v>
      </c>
      <c r="O46" t="str" cm="1">
        <f t="array" ref="O46">_xlfn.IFS(
tbl_analysis_tickets[[#This Row],[agent_experience_years]]&lt;=2,"Junior",
tbl_analysis_tickets[[#This Row],[agent_experience_years]]&lt;=5,"Mid-Level",
tbl_analysis_tickets[[#This Row],[agent_experience_years]]&lt;=8,"Senior",
tbl_analysis_tickets[[#This Row],[agent_experience_years]]&gt;8,"Expert"
)</f>
        <v>Senior</v>
      </c>
      <c r="P46" cm="1">
        <f t="array" ref="P46">_xlfn.SWITCH(tbl_analysis_tickets[[#This Row],[customer_satisfaction]],
"Low",1,
"Medium",2,
"High",3
)</f>
        <v>2</v>
      </c>
      <c r="Q46">
        <f>IF(tbl_analysis_tickets[[#This Row],[reopened]]="Yes",1,0)</f>
        <v>0</v>
      </c>
      <c r="R46" t="str" cm="1">
        <f t="array" ref="R46">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46" t="str" cm="1">
        <f t="array" ref="S4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46" t="str">
        <f>TEXT(tbl_analysis_tickets[[#This Row],[created_date]],"mmm-yyyy")</f>
        <v>Mar-2024</v>
      </c>
      <c r="U46" t="str">
        <f>TEXT(tbl_analysis_tickets[[#This Row],[created_date]],"dddd")</f>
        <v>Sunday</v>
      </c>
      <c r="V46" cm="1">
        <f t="array" ref="V46">_xlfn.SWITCH(tbl_analysis_tickets[[#This Row],[priority]],
"Urgent",1,
"High",2,
"Medium",3,
"Low",4
)</f>
        <v>1</v>
      </c>
    </row>
    <row r="47" spans="1:22" x14ac:dyDescent="0.25">
      <c r="A47">
        <v>46</v>
      </c>
      <c r="B47" s="1">
        <v>45382</v>
      </c>
      <c r="C47" t="s">
        <v>22</v>
      </c>
      <c r="D47" t="s">
        <v>17</v>
      </c>
      <c r="E47">
        <v>203</v>
      </c>
      <c r="F47">
        <v>43</v>
      </c>
      <c r="G47">
        <v>8.8000000000000007</v>
      </c>
      <c r="H47" t="s">
        <v>12</v>
      </c>
      <c r="I47" t="s">
        <v>19</v>
      </c>
      <c r="J47" t="s">
        <v>11</v>
      </c>
      <c r="K47">
        <f>_xlfn.XLOOKUP(tbl_analysis_tickets[[#This Row],[priority]],tbl_sla[priority],tbl_sla[Resolution SLA Hours])</f>
        <v>8</v>
      </c>
      <c r="L47">
        <f>_xlfn.XLOOKUP(tbl_analysis_tickets[[#This Row],[priority]],tbl_sla[priority],tbl_sla[First Response SLA Minutes])</f>
        <v>30</v>
      </c>
      <c r="M47" t="str">
        <f>IF(tbl_analysis_tickets[[#This Row],[resolution_time_hours]]&gt;tbl_analysis_tickets[[#This Row],[Resolution SLA Hours]],"Breached","Within SLA")</f>
        <v>Breached</v>
      </c>
      <c r="N47" t="str">
        <f>IF(tbl_analysis_tickets[[#This Row],[first_response_minutes]]&gt;tbl_analysis_tickets[[#This Row],[First Response SLA Minutes]],"Breached","Within SLA")</f>
        <v>Breached</v>
      </c>
      <c r="O47" t="str" cm="1">
        <f t="array" ref="O47">_xlfn.IFS(
tbl_analysis_tickets[[#This Row],[agent_experience_years]]&lt;=2,"Junior",
tbl_analysis_tickets[[#This Row],[agent_experience_years]]&lt;=5,"Mid-Level",
tbl_analysis_tickets[[#This Row],[agent_experience_years]]&lt;=8,"Senior",
tbl_analysis_tickets[[#This Row],[agent_experience_years]]&gt;8,"Expert"
)</f>
        <v>Expert</v>
      </c>
      <c r="P47" cm="1">
        <f t="array" ref="P47">_xlfn.SWITCH(tbl_analysis_tickets[[#This Row],[customer_satisfaction]],
"Low",1,
"Medium",2,
"High",3
)</f>
        <v>1</v>
      </c>
      <c r="Q47">
        <f>IF(tbl_analysis_tickets[[#This Row],[reopened]]="Yes",1,0)</f>
        <v>1</v>
      </c>
      <c r="R47" t="str" cm="1">
        <f t="array" ref="R47">_xlfn.IFS(
tbl_analysis_tickets[[#This Row],[first_response_minutes]]&lt;=30,"Very Fast",
tbl_analysis_tickets[[#This Row],[first_response_minutes]]&lt;=120,"Acceptable",
tbl_analysis_tickets[[#This Row],[first_response_minutes]]&lt;=240,"Slow",
tbl_analysis_tickets[[#This Row],[first_response_minutes]]&gt;240,"Very Slow"
)</f>
        <v>Slow</v>
      </c>
      <c r="S47" t="str" cm="1">
        <f t="array" ref="S4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47" t="str">
        <f>TEXT(tbl_analysis_tickets[[#This Row],[created_date]],"mmm-yyyy")</f>
        <v>Mar-2024</v>
      </c>
      <c r="U47" t="str">
        <f>TEXT(tbl_analysis_tickets[[#This Row],[created_date]],"dddd")</f>
        <v>Sunday</v>
      </c>
      <c r="V47" cm="1">
        <f t="array" ref="V47">_xlfn.SWITCH(tbl_analysis_tickets[[#This Row],[priority]],
"Urgent",1,
"High",2,
"Medium",3,
"Low",4
)</f>
        <v>1</v>
      </c>
    </row>
    <row r="48" spans="1:22" x14ac:dyDescent="0.25">
      <c r="A48">
        <v>47</v>
      </c>
      <c r="B48" s="1">
        <v>45340</v>
      </c>
      <c r="C48" t="s">
        <v>10</v>
      </c>
      <c r="D48" t="s">
        <v>17</v>
      </c>
      <c r="E48">
        <v>44</v>
      </c>
      <c r="F48">
        <v>66</v>
      </c>
      <c r="G48">
        <v>6.6</v>
      </c>
      <c r="H48" t="s">
        <v>18</v>
      </c>
      <c r="I48" t="s">
        <v>16</v>
      </c>
      <c r="J48" t="s">
        <v>11</v>
      </c>
      <c r="K48">
        <f>_xlfn.XLOOKUP(tbl_analysis_tickets[[#This Row],[priority]],tbl_sla[priority],tbl_sla[Resolution SLA Hours])</f>
        <v>8</v>
      </c>
      <c r="L48">
        <f>_xlfn.XLOOKUP(tbl_analysis_tickets[[#This Row],[priority]],tbl_sla[priority],tbl_sla[First Response SLA Minutes])</f>
        <v>30</v>
      </c>
      <c r="M48" t="str">
        <f>IF(tbl_analysis_tickets[[#This Row],[resolution_time_hours]]&gt;tbl_analysis_tickets[[#This Row],[Resolution SLA Hours]],"Breached","Within SLA")</f>
        <v>Breached</v>
      </c>
      <c r="N48" t="str">
        <f>IF(tbl_analysis_tickets[[#This Row],[first_response_minutes]]&gt;tbl_analysis_tickets[[#This Row],[First Response SLA Minutes]],"Breached","Within SLA")</f>
        <v>Breached</v>
      </c>
      <c r="O48" t="str" cm="1">
        <f t="array" ref="O48">_xlfn.IFS(
tbl_analysis_tickets[[#This Row],[agent_experience_years]]&lt;=2,"Junior",
tbl_analysis_tickets[[#This Row],[agent_experience_years]]&lt;=5,"Mid-Level",
tbl_analysis_tickets[[#This Row],[agent_experience_years]]&lt;=8,"Senior",
tbl_analysis_tickets[[#This Row],[agent_experience_years]]&gt;8,"Expert"
)</f>
        <v>Senior</v>
      </c>
      <c r="P48" cm="1">
        <f t="array" ref="P48">_xlfn.SWITCH(tbl_analysis_tickets[[#This Row],[customer_satisfaction]],
"Low",1,
"Medium",2,
"High",3
)</f>
        <v>1</v>
      </c>
      <c r="Q48">
        <f>IF(tbl_analysis_tickets[[#This Row],[reopened]]="Yes",1,0)</f>
        <v>0</v>
      </c>
      <c r="R48" t="str" cm="1">
        <f t="array" ref="R48">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48" t="str" cm="1">
        <f t="array" ref="S4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48" t="str">
        <f>TEXT(tbl_analysis_tickets[[#This Row],[created_date]],"mmm-yyyy")</f>
        <v>Feb-2024</v>
      </c>
      <c r="U48" t="str">
        <f>TEXT(tbl_analysis_tickets[[#This Row],[created_date]],"dddd")</f>
        <v>Sunday</v>
      </c>
      <c r="V48" cm="1">
        <f t="array" ref="V48">_xlfn.SWITCH(tbl_analysis_tickets[[#This Row],[priority]],
"Urgent",1,
"High",2,
"Medium",3,
"Low",4
)</f>
        <v>1</v>
      </c>
    </row>
    <row r="49" spans="1:22" x14ac:dyDescent="0.25">
      <c r="A49">
        <v>48</v>
      </c>
      <c r="B49" s="1">
        <v>45440</v>
      </c>
      <c r="C49" t="s">
        <v>22</v>
      </c>
      <c r="D49" t="s">
        <v>15</v>
      </c>
      <c r="E49">
        <v>32</v>
      </c>
      <c r="F49">
        <v>55</v>
      </c>
      <c r="G49">
        <v>7.4</v>
      </c>
      <c r="H49" t="s">
        <v>18</v>
      </c>
      <c r="I49" t="s">
        <v>19</v>
      </c>
      <c r="J49" t="s">
        <v>15</v>
      </c>
      <c r="K49">
        <f>_xlfn.XLOOKUP(tbl_analysis_tickets[[#This Row],[priority]],tbl_sla[priority],tbl_sla[Resolution SLA Hours])</f>
        <v>48</v>
      </c>
      <c r="L49">
        <f>_xlfn.XLOOKUP(tbl_analysis_tickets[[#This Row],[priority]],tbl_sla[priority],tbl_sla[First Response SLA Minutes])</f>
        <v>120</v>
      </c>
      <c r="M49" t="str">
        <f>IF(tbl_analysis_tickets[[#This Row],[resolution_time_hours]]&gt;tbl_analysis_tickets[[#This Row],[Resolution SLA Hours]],"Breached","Within SLA")</f>
        <v>Breached</v>
      </c>
      <c r="N49" t="str">
        <f>IF(tbl_analysis_tickets[[#This Row],[first_response_minutes]]&gt;tbl_analysis_tickets[[#This Row],[First Response SLA Minutes]],"Breached","Within SLA")</f>
        <v>Within SLA</v>
      </c>
      <c r="O49" t="str" cm="1">
        <f t="array" ref="O49">_xlfn.IFS(
tbl_analysis_tickets[[#This Row],[agent_experience_years]]&lt;=2,"Junior",
tbl_analysis_tickets[[#This Row],[agent_experience_years]]&lt;=5,"Mid-Level",
tbl_analysis_tickets[[#This Row],[agent_experience_years]]&lt;=8,"Senior",
tbl_analysis_tickets[[#This Row],[agent_experience_years]]&gt;8,"Expert"
)</f>
        <v>Senior</v>
      </c>
      <c r="P49" cm="1">
        <f t="array" ref="P49">_xlfn.SWITCH(tbl_analysis_tickets[[#This Row],[customer_satisfaction]],
"Low",1,
"Medium",2,
"High",3
)</f>
        <v>2</v>
      </c>
      <c r="Q49">
        <f>IF(tbl_analysis_tickets[[#This Row],[reopened]]="Yes",1,0)</f>
        <v>0</v>
      </c>
      <c r="R49" t="str" cm="1">
        <f t="array" ref="R49">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49" t="str" cm="1">
        <f t="array" ref="S4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49" t="str">
        <f>TEXT(tbl_analysis_tickets[[#This Row],[created_date]],"mmm-yyyy")</f>
        <v>May-2024</v>
      </c>
      <c r="U49" t="str">
        <f>TEXT(tbl_analysis_tickets[[#This Row],[created_date]],"dddd")</f>
        <v>Tuesday</v>
      </c>
      <c r="V49" cm="1">
        <f t="array" ref="V49">_xlfn.SWITCH(tbl_analysis_tickets[[#This Row],[priority]],
"Urgent",1,
"High",2,
"Medium",3,
"Low",4
)</f>
        <v>3</v>
      </c>
    </row>
    <row r="50" spans="1:22" x14ac:dyDescent="0.25">
      <c r="A50">
        <v>49</v>
      </c>
      <c r="B50" s="1">
        <v>45564</v>
      </c>
      <c r="C50" t="s">
        <v>14</v>
      </c>
      <c r="D50" t="s">
        <v>11</v>
      </c>
      <c r="E50">
        <v>93</v>
      </c>
      <c r="F50">
        <v>67</v>
      </c>
      <c r="G50">
        <v>6.4</v>
      </c>
      <c r="H50" t="s">
        <v>12</v>
      </c>
      <c r="I50" t="s">
        <v>16</v>
      </c>
      <c r="J50" t="s">
        <v>11</v>
      </c>
      <c r="K50">
        <f>_xlfn.XLOOKUP(tbl_analysis_tickets[[#This Row],[priority]],tbl_sla[priority],tbl_sla[Resolution SLA Hours])</f>
        <v>72</v>
      </c>
      <c r="L50">
        <f>_xlfn.XLOOKUP(tbl_analysis_tickets[[#This Row],[priority]],tbl_sla[priority],tbl_sla[First Response SLA Minutes])</f>
        <v>240</v>
      </c>
      <c r="M50" t="str">
        <f>IF(tbl_analysis_tickets[[#This Row],[resolution_time_hours]]&gt;tbl_analysis_tickets[[#This Row],[Resolution SLA Hours]],"Breached","Within SLA")</f>
        <v>Within SLA</v>
      </c>
      <c r="N50" t="str">
        <f>IF(tbl_analysis_tickets[[#This Row],[first_response_minutes]]&gt;tbl_analysis_tickets[[#This Row],[First Response SLA Minutes]],"Breached","Within SLA")</f>
        <v>Within SLA</v>
      </c>
      <c r="O50" t="str" cm="1">
        <f t="array" ref="O50">_xlfn.IFS(
tbl_analysis_tickets[[#This Row],[agent_experience_years]]&lt;=2,"Junior",
tbl_analysis_tickets[[#This Row],[agent_experience_years]]&lt;=5,"Mid-Level",
tbl_analysis_tickets[[#This Row],[agent_experience_years]]&lt;=8,"Senior",
tbl_analysis_tickets[[#This Row],[agent_experience_years]]&gt;8,"Expert"
)</f>
        <v>Senior</v>
      </c>
      <c r="P50" cm="1">
        <f t="array" ref="P50">_xlfn.SWITCH(tbl_analysis_tickets[[#This Row],[customer_satisfaction]],
"Low",1,
"Medium",2,
"High",3
)</f>
        <v>1</v>
      </c>
      <c r="Q50">
        <f>IF(tbl_analysis_tickets[[#This Row],[reopened]]="Yes",1,0)</f>
        <v>1</v>
      </c>
      <c r="R50" t="str" cm="1">
        <f t="array" ref="R50">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50" t="str" cm="1">
        <f t="array" ref="S5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50" t="str">
        <f>TEXT(tbl_analysis_tickets[[#This Row],[created_date]],"mmm-yyyy")</f>
        <v>Sep-2024</v>
      </c>
      <c r="U50" t="str">
        <f>TEXT(tbl_analysis_tickets[[#This Row],[created_date]],"dddd")</f>
        <v>Sunday</v>
      </c>
      <c r="V50" cm="1">
        <f t="array" ref="V50">_xlfn.SWITCH(tbl_analysis_tickets[[#This Row],[priority]],
"Urgent",1,
"High",2,
"Medium",3,
"Low",4
)</f>
        <v>4</v>
      </c>
    </row>
    <row r="51" spans="1:22" x14ac:dyDescent="0.25">
      <c r="A51">
        <v>50</v>
      </c>
      <c r="B51" s="1">
        <v>45553</v>
      </c>
      <c r="C51" t="s">
        <v>10</v>
      </c>
      <c r="D51" t="s">
        <v>15</v>
      </c>
      <c r="E51">
        <v>178</v>
      </c>
      <c r="F51">
        <v>50</v>
      </c>
      <c r="G51">
        <v>7.1</v>
      </c>
      <c r="H51" t="s">
        <v>12</v>
      </c>
      <c r="I51" t="s">
        <v>16</v>
      </c>
      <c r="J51" t="s">
        <v>11</v>
      </c>
      <c r="K51">
        <f>_xlfn.XLOOKUP(tbl_analysis_tickets[[#This Row],[priority]],tbl_sla[priority],tbl_sla[Resolution SLA Hours])</f>
        <v>48</v>
      </c>
      <c r="L51">
        <f>_xlfn.XLOOKUP(tbl_analysis_tickets[[#This Row],[priority]],tbl_sla[priority],tbl_sla[First Response SLA Minutes])</f>
        <v>120</v>
      </c>
      <c r="M51" t="str">
        <f>IF(tbl_analysis_tickets[[#This Row],[resolution_time_hours]]&gt;tbl_analysis_tickets[[#This Row],[Resolution SLA Hours]],"Breached","Within SLA")</f>
        <v>Breached</v>
      </c>
      <c r="N51" t="str">
        <f>IF(tbl_analysis_tickets[[#This Row],[first_response_minutes]]&gt;tbl_analysis_tickets[[#This Row],[First Response SLA Minutes]],"Breached","Within SLA")</f>
        <v>Breached</v>
      </c>
      <c r="O51" t="str" cm="1">
        <f t="array" ref="O51">_xlfn.IFS(
tbl_analysis_tickets[[#This Row],[agent_experience_years]]&lt;=2,"Junior",
tbl_analysis_tickets[[#This Row],[agent_experience_years]]&lt;=5,"Mid-Level",
tbl_analysis_tickets[[#This Row],[agent_experience_years]]&lt;=8,"Senior",
tbl_analysis_tickets[[#This Row],[agent_experience_years]]&gt;8,"Expert"
)</f>
        <v>Senior</v>
      </c>
      <c r="P51" cm="1">
        <f t="array" ref="P51">_xlfn.SWITCH(tbl_analysis_tickets[[#This Row],[customer_satisfaction]],
"Low",1,
"Medium",2,
"High",3
)</f>
        <v>1</v>
      </c>
      <c r="Q51">
        <f>IF(tbl_analysis_tickets[[#This Row],[reopened]]="Yes",1,0)</f>
        <v>1</v>
      </c>
      <c r="R51" t="str" cm="1">
        <f t="array" ref="R51">_xlfn.IFS(
tbl_analysis_tickets[[#This Row],[first_response_minutes]]&lt;=30,"Very Fast",
tbl_analysis_tickets[[#This Row],[first_response_minutes]]&lt;=120,"Acceptable",
tbl_analysis_tickets[[#This Row],[first_response_minutes]]&lt;=240,"Slow",
tbl_analysis_tickets[[#This Row],[first_response_minutes]]&gt;240,"Very Slow"
)</f>
        <v>Slow</v>
      </c>
      <c r="S51" t="str" cm="1">
        <f t="array" ref="S5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51" t="str">
        <f>TEXT(tbl_analysis_tickets[[#This Row],[created_date]],"mmm-yyyy")</f>
        <v>Sep-2024</v>
      </c>
      <c r="U51" t="str">
        <f>TEXT(tbl_analysis_tickets[[#This Row],[created_date]],"dddd")</f>
        <v>Wednesday</v>
      </c>
      <c r="V51" cm="1">
        <f t="array" ref="V51">_xlfn.SWITCH(tbl_analysis_tickets[[#This Row],[priority]],
"Urgent",1,
"High",2,
"Medium",3,
"Low",4
)</f>
        <v>3</v>
      </c>
    </row>
    <row r="52" spans="1:22" x14ac:dyDescent="0.25">
      <c r="A52">
        <v>51</v>
      </c>
      <c r="B52" s="1">
        <v>45388</v>
      </c>
      <c r="C52" t="s">
        <v>22</v>
      </c>
      <c r="D52" t="s">
        <v>17</v>
      </c>
      <c r="E52">
        <v>154</v>
      </c>
      <c r="F52">
        <v>28</v>
      </c>
      <c r="G52">
        <v>3.2</v>
      </c>
      <c r="H52" t="s">
        <v>12</v>
      </c>
      <c r="I52" t="s">
        <v>19</v>
      </c>
      <c r="J52" t="s">
        <v>11</v>
      </c>
      <c r="K52">
        <f>_xlfn.XLOOKUP(tbl_analysis_tickets[[#This Row],[priority]],tbl_sla[priority],tbl_sla[Resolution SLA Hours])</f>
        <v>8</v>
      </c>
      <c r="L52">
        <f>_xlfn.XLOOKUP(tbl_analysis_tickets[[#This Row],[priority]],tbl_sla[priority],tbl_sla[First Response SLA Minutes])</f>
        <v>30</v>
      </c>
      <c r="M52" t="str">
        <f>IF(tbl_analysis_tickets[[#This Row],[resolution_time_hours]]&gt;tbl_analysis_tickets[[#This Row],[Resolution SLA Hours]],"Breached","Within SLA")</f>
        <v>Breached</v>
      </c>
      <c r="N52" t="str">
        <f>IF(tbl_analysis_tickets[[#This Row],[first_response_minutes]]&gt;tbl_analysis_tickets[[#This Row],[First Response SLA Minutes]],"Breached","Within SLA")</f>
        <v>Breached</v>
      </c>
      <c r="O52" t="str" cm="1">
        <f t="array" ref="O52">_xlfn.IFS(
tbl_analysis_tickets[[#This Row],[agent_experience_years]]&lt;=2,"Junior",
tbl_analysis_tickets[[#This Row],[agent_experience_years]]&lt;=5,"Mid-Level",
tbl_analysis_tickets[[#This Row],[agent_experience_years]]&lt;=8,"Senior",
tbl_analysis_tickets[[#This Row],[agent_experience_years]]&gt;8,"Expert"
)</f>
        <v>Mid-Level</v>
      </c>
      <c r="P52" cm="1">
        <f t="array" ref="P52">_xlfn.SWITCH(tbl_analysis_tickets[[#This Row],[customer_satisfaction]],
"Low",1,
"Medium",2,
"High",3
)</f>
        <v>1</v>
      </c>
      <c r="Q52">
        <f>IF(tbl_analysis_tickets[[#This Row],[reopened]]="Yes",1,0)</f>
        <v>1</v>
      </c>
      <c r="R52" t="str" cm="1">
        <f t="array" ref="R52">_xlfn.IFS(
tbl_analysis_tickets[[#This Row],[first_response_minutes]]&lt;=30,"Very Fast",
tbl_analysis_tickets[[#This Row],[first_response_minutes]]&lt;=120,"Acceptable",
tbl_analysis_tickets[[#This Row],[first_response_minutes]]&lt;=240,"Slow",
tbl_analysis_tickets[[#This Row],[first_response_minutes]]&gt;240,"Very Slow"
)</f>
        <v>Slow</v>
      </c>
      <c r="S52" t="str" cm="1">
        <f t="array" ref="S5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52" t="str">
        <f>TEXT(tbl_analysis_tickets[[#This Row],[created_date]],"mmm-yyyy")</f>
        <v>Apr-2024</v>
      </c>
      <c r="U52" t="str">
        <f>TEXT(tbl_analysis_tickets[[#This Row],[created_date]],"dddd")</f>
        <v>Saturday</v>
      </c>
      <c r="V52" cm="1">
        <f t="array" ref="V52">_xlfn.SWITCH(tbl_analysis_tickets[[#This Row],[priority]],
"Urgent",1,
"High",2,
"Medium",3,
"Low",4
)</f>
        <v>1</v>
      </c>
    </row>
    <row r="53" spans="1:22" x14ac:dyDescent="0.25">
      <c r="A53">
        <v>52</v>
      </c>
      <c r="B53" s="1">
        <v>45626</v>
      </c>
      <c r="C53" t="s">
        <v>10</v>
      </c>
      <c r="D53" t="s">
        <v>11</v>
      </c>
      <c r="E53">
        <v>24</v>
      </c>
      <c r="F53">
        <v>52</v>
      </c>
      <c r="G53">
        <v>8.1999999999999993</v>
      </c>
      <c r="H53" t="s">
        <v>12</v>
      </c>
      <c r="I53" t="s">
        <v>13</v>
      </c>
      <c r="J53" t="s">
        <v>15</v>
      </c>
      <c r="K53">
        <f>_xlfn.XLOOKUP(tbl_analysis_tickets[[#This Row],[priority]],tbl_sla[priority],tbl_sla[Resolution SLA Hours])</f>
        <v>72</v>
      </c>
      <c r="L53">
        <f>_xlfn.XLOOKUP(tbl_analysis_tickets[[#This Row],[priority]],tbl_sla[priority],tbl_sla[First Response SLA Minutes])</f>
        <v>240</v>
      </c>
      <c r="M53" t="str">
        <f>IF(tbl_analysis_tickets[[#This Row],[resolution_time_hours]]&gt;tbl_analysis_tickets[[#This Row],[Resolution SLA Hours]],"Breached","Within SLA")</f>
        <v>Within SLA</v>
      </c>
      <c r="N53" t="str">
        <f>IF(tbl_analysis_tickets[[#This Row],[first_response_minutes]]&gt;tbl_analysis_tickets[[#This Row],[First Response SLA Minutes]],"Breached","Within SLA")</f>
        <v>Within SLA</v>
      </c>
      <c r="O53" t="str" cm="1">
        <f t="array" ref="O53">_xlfn.IFS(
tbl_analysis_tickets[[#This Row],[agent_experience_years]]&lt;=2,"Junior",
tbl_analysis_tickets[[#This Row],[agent_experience_years]]&lt;=5,"Mid-Level",
tbl_analysis_tickets[[#This Row],[agent_experience_years]]&lt;=8,"Senior",
tbl_analysis_tickets[[#This Row],[agent_experience_years]]&gt;8,"Expert"
)</f>
        <v>Expert</v>
      </c>
      <c r="P53" cm="1">
        <f t="array" ref="P53">_xlfn.SWITCH(tbl_analysis_tickets[[#This Row],[customer_satisfaction]],
"Low",1,
"Medium",2,
"High",3
)</f>
        <v>2</v>
      </c>
      <c r="Q53">
        <f>IF(tbl_analysis_tickets[[#This Row],[reopened]]="Yes",1,0)</f>
        <v>1</v>
      </c>
      <c r="R53" t="str" cm="1">
        <f t="array" ref="R53">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53" t="str" cm="1">
        <f t="array" ref="S5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53" t="str">
        <f>TEXT(tbl_analysis_tickets[[#This Row],[created_date]],"mmm-yyyy")</f>
        <v>Nov-2024</v>
      </c>
      <c r="U53" t="str">
        <f>TEXT(tbl_analysis_tickets[[#This Row],[created_date]],"dddd")</f>
        <v>Saturday</v>
      </c>
      <c r="V53" cm="1">
        <f t="array" ref="V53">_xlfn.SWITCH(tbl_analysis_tickets[[#This Row],[priority]],
"Urgent",1,
"High",2,
"Medium",3,
"Low",4
)</f>
        <v>4</v>
      </c>
    </row>
    <row r="54" spans="1:22" x14ac:dyDescent="0.25">
      <c r="A54">
        <v>53</v>
      </c>
      <c r="B54" s="1">
        <v>45379</v>
      </c>
      <c r="C54" t="s">
        <v>23</v>
      </c>
      <c r="D54" t="s">
        <v>15</v>
      </c>
      <c r="E54">
        <v>191</v>
      </c>
      <c r="F54">
        <v>7</v>
      </c>
      <c r="G54">
        <v>3.9</v>
      </c>
      <c r="H54" t="s">
        <v>18</v>
      </c>
      <c r="I54" t="s">
        <v>16</v>
      </c>
      <c r="J54" t="s">
        <v>11</v>
      </c>
      <c r="K54">
        <f>_xlfn.XLOOKUP(tbl_analysis_tickets[[#This Row],[priority]],tbl_sla[priority],tbl_sla[Resolution SLA Hours])</f>
        <v>48</v>
      </c>
      <c r="L54">
        <f>_xlfn.XLOOKUP(tbl_analysis_tickets[[#This Row],[priority]],tbl_sla[priority],tbl_sla[First Response SLA Minutes])</f>
        <v>120</v>
      </c>
      <c r="M54" t="str">
        <f>IF(tbl_analysis_tickets[[#This Row],[resolution_time_hours]]&gt;tbl_analysis_tickets[[#This Row],[Resolution SLA Hours]],"Breached","Within SLA")</f>
        <v>Within SLA</v>
      </c>
      <c r="N54" t="str">
        <f>IF(tbl_analysis_tickets[[#This Row],[first_response_minutes]]&gt;tbl_analysis_tickets[[#This Row],[First Response SLA Minutes]],"Breached","Within SLA")</f>
        <v>Breached</v>
      </c>
      <c r="O54" t="str" cm="1">
        <f t="array" ref="O54">_xlfn.IFS(
tbl_analysis_tickets[[#This Row],[agent_experience_years]]&lt;=2,"Junior",
tbl_analysis_tickets[[#This Row],[agent_experience_years]]&lt;=5,"Mid-Level",
tbl_analysis_tickets[[#This Row],[agent_experience_years]]&lt;=8,"Senior",
tbl_analysis_tickets[[#This Row],[agent_experience_years]]&gt;8,"Expert"
)</f>
        <v>Mid-Level</v>
      </c>
      <c r="P54" cm="1">
        <f t="array" ref="P54">_xlfn.SWITCH(tbl_analysis_tickets[[#This Row],[customer_satisfaction]],
"Low",1,
"Medium",2,
"High",3
)</f>
        <v>1</v>
      </c>
      <c r="Q54">
        <f>IF(tbl_analysis_tickets[[#This Row],[reopened]]="Yes",1,0)</f>
        <v>0</v>
      </c>
      <c r="R54" t="str" cm="1">
        <f t="array" ref="R54">_xlfn.IFS(
tbl_analysis_tickets[[#This Row],[first_response_minutes]]&lt;=30,"Very Fast",
tbl_analysis_tickets[[#This Row],[first_response_minutes]]&lt;=120,"Acceptable",
tbl_analysis_tickets[[#This Row],[first_response_minutes]]&lt;=240,"Slow",
tbl_analysis_tickets[[#This Row],[first_response_minutes]]&gt;240,"Very Slow"
)</f>
        <v>Slow</v>
      </c>
      <c r="S54" t="str" cm="1">
        <f t="array" ref="S5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54" t="str">
        <f>TEXT(tbl_analysis_tickets[[#This Row],[created_date]],"mmm-yyyy")</f>
        <v>Mar-2024</v>
      </c>
      <c r="U54" t="str">
        <f>TEXT(tbl_analysis_tickets[[#This Row],[created_date]],"dddd")</f>
        <v>Thursday</v>
      </c>
      <c r="V54" cm="1">
        <f t="array" ref="V54">_xlfn.SWITCH(tbl_analysis_tickets[[#This Row],[priority]],
"Urgent",1,
"High",2,
"Medium",3,
"Low",4
)</f>
        <v>3</v>
      </c>
    </row>
    <row r="55" spans="1:22" x14ac:dyDescent="0.25">
      <c r="A55">
        <v>54</v>
      </c>
      <c r="B55" s="1">
        <v>45489</v>
      </c>
      <c r="C55" t="s">
        <v>22</v>
      </c>
      <c r="D55" t="s">
        <v>15</v>
      </c>
      <c r="E55">
        <v>79</v>
      </c>
      <c r="F55">
        <v>26</v>
      </c>
      <c r="G55">
        <v>2.8</v>
      </c>
      <c r="H55" t="s">
        <v>12</v>
      </c>
      <c r="I55" t="s">
        <v>19</v>
      </c>
      <c r="J55" t="s">
        <v>11</v>
      </c>
      <c r="K55">
        <f>_xlfn.XLOOKUP(tbl_analysis_tickets[[#This Row],[priority]],tbl_sla[priority],tbl_sla[Resolution SLA Hours])</f>
        <v>48</v>
      </c>
      <c r="L55">
        <f>_xlfn.XLOOKUP(tbl_analysis_tickets[[#This Row],[priority]],tbl_sla[priority],tbl_sla[First Response SLA Minutes])</f>
        <v>120</v>
      </c>
      <c r="M55" t="str">
        <f>IF(tbl_analysis_tickets[[#This Row],[resolution_time_hours]]&gt;tbl_analysis_tickets[[#This Row],[Resolution SLA Hours]],"Breached","Within SLA")</f>
        <v>Within SLA</v>
      </c>
      <c r="N55" t="str">
        <f>IF(tbl_analysis_tickets[[#This Row],[first_response_minutes]]&gt;tbl_analysis_tickets[[#This Row],[First Response SLA Minutes]],"Breached","Within SLA")</f>
        <v>Within SLA</v>
      </c>
      <c r="O55" t="str" cm="1">
        <f t="array" ref="O55">_xlfn.IFS(
tbl_analysis_tickets[[#This Row],[agent_experience_years]]&lt;=2,"Junior",
tbl_analysis_tickets[[#This Row],[agent_experience_years]]&lt;=5,"Mid-Level",
tbl_analysis_tickets[[#This Row],[agent_experience_years]]&lt;=8,"Senior",
tbl_analysis_tickets[[#This Row],[agent_experience_years]]&gt;8,"Expert"
)</f>
        <v>Mid-Level</v>
      </c>
      <c r="P55" cm="1">
        <f t="array" ref="P55">_xlfn.SWITCH(tbl_analysis_tickets[[#This Row],[customer_satisfaction]],
"Low",1,
"Medium",2,
"High",3
)</f>
        <v>1</v>
      </c>
      <c r="Q55">
        <f>IF(tbl_analysis_tickets[[#This Row],[reopened]]="Yes",1,0)</f>
        <v>1</v>
      </c>
      <c r="R55" t="str" cm="1">
        <f t="array" ref="R55">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55" t="str" cm="1">
        <f t="array" ref="S5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55" t="str">
        <f>TEXT(tbl_analysis_tickets[[#This Row],[created_date]],"mmm-yyyy")</f>
        <v>Jul-2024</v>
      </c>
      <c r="U55" t="str">
        <f>TEXT(tbl_analysis_tickets[[#This Row],[created_date]],"dddd")</f>
        <v>Tuesday</v>
      </c>
      <c r="V55" cm="1">
        <f t="array" ref="V55">_xlfn.SWITCH(tbl_analysis_tickets[[#This Row],[priority]],
"Urgent",1,
"High",2,
"Medium",3,
"Low",4
)</f>
        <v>3</v>
      </c>
    </row>
    <row r="56" spans="1:22" x14ac:dyDescent="0.25">
      <c r="A56">
        <v>55</v>
      </c>
      <c r="B56" s="1">
        <v>45294</v>
      </c>
      <c r="C56" t="s">
        <v>23</v>
      </c>
      <c r="D56" t="s">
        <v>17</v>
      </c>
      <c r="E56">
        <v>228</v>
      </c>
      <c r="F56">
        <v>71</v>
      </c>
      <c r="G56">
        <v>7.7</v>
      </c>
      <c r="H56" t="s">
        <v>12</v>
      </c>
      <c r="I56" t="s">
        <v>16</v>
      </c>
      <c r="J56" t="s">
        <v>11</v>
      </c>
      <c r="K56">
        <f>_xlfn.XLOOKUP(tbl_analysis_tickets[[#This Row],[priority]],tbl_sla[priority],tbl_sla[Resolution SLA Hours])</f>
        <v>8</v>
      </c>
      <c r="L56">
        <f>_xlfn.XLOOKUP(tbl_analysis_tickets[[#This Row],[priority]],tbl_sla[priority],tbl_sla[First Response SLA Minutes])</f>
        <v>30</v>
      </c>
      <c r="M56" t="str">
        <f>IF(tbl_analysis_tickets[[#This Row],[resolution_time_hours]]&gt;tbl_analysis_tickets[[#This Row],[Resolution SLA Hours]],"Breached","Within SLA")</f>
        <v>Breached</v>
      </c>
      <c r="N56" t="str">
        <f>IF(tbl_analysis_tickets[[#This Row],[first_response_minutes]]&gt;tbl_analysis_tickets[[#This Row],[First Response SLA Minutes]],"Breached","Within SLA")</f>
        <v>Breached</v>
      </c>
      <c r="O56" t="str" cm="1">
        <f t="array" ref="O56">_xlfn.IFS(
tbl_analysis_tickets[[#This Row],[agent_experience_years]]&lt;=2,"Junior",
tbl_analysis_tickets[[#This Row],[agent_experience_years]]&lt;=5,"Mid-Level",
tbl_analysis_tickets[[#This Row],[agent_experience_years]]&lt;=8,"Senior",
tbl_analysis_tickets[[#This Row],[agent_experience_years]]&gt;8,"Expert"
)</f>
        <v>Senior</v>
      </c>
      <c r="P56" cm="1">
        <f t="array" ref="P56">_xlfn.SWITCH(tbl_analysis_tickets[[#This Row],[customer_satisfaction]],
"Low",1,
"Medium",2,
"High",3
)</f>
        <v>1</v>
      </c>
      <c r="Q56">
        <f>IF(tbl_analysis_tickets[[#This Row],[reopened]]="Yes",1,0)</f>
        <v>1</v>
      </c>
      <c r="R56" t="str" cm="1">
        <f t="array" ref="R56">_xlfn.IFS(
tbl_analysis_tickets[[#This Row],[first_response_minutes]]&lt;=30,"Very Fast",
tbl_analysis_tickets[[#This Row],[first_response_minutes]]&lt;=120,"Acceptable",
tbl_analysis_tickets[[#This Row],[first_response_minutes]]&lt;=240,"Slow",
tbl_analysis_tickets[[#This Row],[first_response_minutes]]&gt;240,"Very Slow"
)</f>
        <v>Slow</v>
      </c>
      <c r="S56" t="str" cm="1">
        <f t="array" ref="S5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56" t="str">
        <f>TEXT(tbl_analysis_tickets[[#This Row],[created_date]],"mmm-yyyy")</f>
        <v>Jan-2024</v>
      </c>
      <c r="U56" t="str">
        <f>TEXT(tbl_analysis_tickets[[#This Row],[created_date]],"dddd")</f>
        <v>Wednesday</v>
      </c>
      <c r="V56" cm="1">
        <f t="array" ref="V56">_xlfn.SWITCH(tbl_analysis_tickets[[#This Row],[priority]],
"Urgent",1,
"High",2,
"Medium",3,
"Low",4
)</f>
        <v>1</v>
      </c>
    </row>
    <row r="57" spans="1:22" x14ac:dyDescent="0.25">
      <c r="A57">
        <v>56</v>
      </c>
      <c r="B57" s="1">
        <v>45326</v>
      </c>
      <c r="C57" t="s">
        <v>23</v>
      </c>
      <c r="D57" t="s">
        <v>11</v>
      </c>
      <c r="E57">
        <v>180</v>
      </c>
      <c r="F57">
        <v>23</v>
      </c>
      <c r="G57">
        <v>1.7</v>
      </c>
      <c r="H57" t="s">
        <v>18</v>
      </c>
      <c r="I57" t="s">
        <v>19</v>
      </c>
      <c r="J57" t="s">
        <v>11</v>
      </c>
      <c r="K57">
        <f>_xlfn.XLOOKUP(tbl_analysis_tickets[[#This Row],[priority]],tbl_sla[priority],tbl_sla[Resolution SLA Hours])</f>
        <v>72</v>
      </c>
      <c r="L57">
        <f>_xlfn.XLOOKUP(tbl_analysis_tickets[[#This Row],[priority]],tbl_sla[priority],tbl_sla[First Response SLA Minutes])</f>
        <v>240</v>
      </c>
      <c r="M57" t="str">
        <f>IF(tbl_analysis_tickets[[#This Row],[resolution_time_hours]]&gt;tbl_analysis_tickets[[#This Row],[Resolution SLA Hours]],"Breached","Within SLA")</f>
        <v>Within SLA</v>
      </c>
      <c r="N57" t="str">
        <f>IF(tbl_analysis_tickets[[#This Row],[first_response_minutes]]&gt;tbl_analysis_tickets[[#This Row],[First Response SLA Minutes]],"Breached","Within SLA")</f>
        <v>Within SLA</v>
      </c>
      <c r="O57" t="str" cm="1">
        <f t="array" ref="O57">_xlfn.IFS(
tbl_analysis_tickets[[#This Row],[agent_experience_years]]&lt;=2,"Junior",
tbl_analysis_tickets[[#This Row],[agent_experience_years]]&lt;=5,"Mid-Level",
tbl_analysis_tickets[[#This Row],[agent_experience_years]]&lt;=8,"Senior",
tbl_analysis_tickets[[#This Row],[agent_experience_years]]&gt;8,"Expert"
)</f>
        <v>Junior</v>
      </c>
      <c r="P57" cm="1">
        <f t="array" ref="P57">_xlfn.SWITCH(tbl_analysis_tickets[[#This Row],[customer_satisfaction]],
"Low",1,
"Medium",2,
"High",3
)</f>
        <v>1</v>
      </c>
      <c r="Q57">
        <f>IF(tbl_analysis_tickets[[#This Row],[reopened]]="Yes",1,0)</f>
        <v>0</v>
      </c>
      <c r="R57" t="str" cm="1">
        <f t="array" ref="R57">_xlfn.IFS(
tbl_analysis_tickets[[#This Row],[first_response_minutes]]&lt;=30,"Very Fast",
tbl_analysis_tickets[[#This Row],[first_response_minutes]]&lt;=120,"Acceptable",
tbl_analysis_tickets[[#This Row],[first_response_minutes]]&lt;=240,"Slow",
tbl_analysis_tickets[[#This Row],[first_response_minutes]]&gt;240,"Very Slow"
)</f>
        <v>Slow</v>
      </c>
      <c r="S57" t="str" cm="1">
        <f t="array" ref="S5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57" t="str">
        <f>TEXT(tbl_analysis_tickets[[#This Row],[created_date]],"mmm-yyyy")</f>
        <v>Feb-2024</v>
      </c>
      <c r="U57" t="str">
        <f>TEXT(tbl_analysis_tickets[[#This Row],[created_date]],"dddd")</f>
        <v>Sunday</v>
      </c>
      <c r="V57" cm="1">
        <f t="array" ref="V57">_xlfn.SWITCH(tbl_analysis_tickets[[#This Row],[priority]],
"Urgent",1,
"High",2,
"Medium",3,
"Low",4
)</f>
        <v>4</v>
      </c>
    </row>
    <row r="58" spans="1:22" x14ac:dyDescent="0.25">
      <c r="A58">
        <v>57</v>
      </c>
      <c r="B58" s="1">
        <v>45574</v>
      </c>
      <c r="C58" t="s">
        <v>21</v>
      </c>
      <c r="D58" t="s">
        <v>17</v>
      </c>
      <c r="E58">
        <v>194</v>
      </c>
      <c r="F58">
        <v>24</v>
      </c>
      <c r="G58">
        <v>6.4</v>
      </c>
      <c r="H58" t="s">
        <v>12</v>
      </c>
      <c r="I58" t="s">
        <v>16</v>
      </c>
      <c r="J58" t="s">
        <v>11</v>
      </c>
      <c r="K58">
        <f>_xlfn.XLOOKUP(tbl_analysis_tickets[[#This Row],[priority]],tbl_sla[priority],tbl_sla[Resolution SLA Hours])</f>
        <v>8</v>
      </c>
      <c r="L58">
        <f>_xlfn.XLOOKUP(tbl_analysis_tickets[[#This Row],[priority]],tbl_sla[priority],tbl_sla[First Response SLA Minutes])</f>
        <v>30</v>
      </c>
      <c r="M58" t="str">
        <f>IF(tbl_analysis_tickets[[#This Row],[resolution_time_hours]]&gt;tbl_analysis_tickets[[#This Row],[Resolution SLA Hours]],"Breached","Within SLA")</f>
        <v>Breached</v>
      </c>
      <c r="N58" t="str">
        <f>IF(tbl_analysis_tickets[[#This Row],[first_response_minutes]]&gt;tbl_analysis_tickets[[#This Row],[First Response SLA Minutes]],"Breached","Within SLA")</f>
        <v>Breached</v>
      </c>
      <c r="O58" t="str" cm="1">
        <f t="array" ref="O58">_xlfn.IFS(
tbl_analysis_tickets[[#This Row],[agent_experience_years]]&lt;=2,"Junior",
tbl_analysis_tickets[[#This Row],[agent_experience_years]]&lt;=5,"Mid-Level",
tbl_analysis_tickets[[#This Row],[agent_experience_years]]&lt;=8,"Senior",
tbl_analysis_tickets[[#This Row],[agent_experience_years]]&gt;8,"Expert"
)</f>
        <v>Senior</v>
      </c>
      <c r="P58" cm="1">
        <f t="array" ref="P58">_xlfn.SWITCH(tbl_analysis_tickets[[#This Row],[customer_satisfaction]],
"Low",1,
"Medium",2,
"High",3
)</f>
        <v>1</v>
      </c>
      <c r="Q58">
        <f>IF(tbl_analysis_tickets[[#This Row],[reopened]]="Yes",1,0)</f>
        <v>1</v>
      </c>
      <c r="R58" t="str" cm="1">
        <f t="array" ref="R58">_xlfn.IFS(
tbl_analysis_tickets[[#This Row],[first_response_minutes]]&lt;=30,"Very Fast",
tbl_analysis_tickets[[#This Row],[first_response_minutes]]&lt;=120,"Acceptable",
tbl_analysis_tickets[[#This Row],[first_response_minutes]]&lt;=240,"Slow",
tbl_analysis_tickets[[#This Row],[first_response_minutes]]&gt;240,"Very Slow"
)</f>
        <v>Slow</v>
      </c>
      <c r="S58" t="str" cm="1">
        <f t="array" ref="S5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58" t="str">
        <f>TEXT(tbl_analysis_tickets[[#This Row],[created_date]],"mmm-yyyy")</f>
        <v>Oct-2024</v>
      </c>
      <c r="U58" t="str">
        <f>TEXT(tbl_analysis_tickets[[#This Row],[created_date]],"dddd")</f>
        <v>Wednesday</v>
      </c>
      <c r="V58" cm="1">
        <f t="array" ref="V58">_xlfn.SWITCH(tbl_analysis_tickets[[#This Row],[priority]],
"Urgent",1,
"High",2,
"Medium",3,
"Low",4
)</f>
        <v>1</v>
      </c>
    </row>
    <row r="59" spans="1:22" x14ac:dyDescent="0.25">
      <c r="A59">
        <v>58</v>
      </c>
      <c r="B59" s="1">
        <v>45309</v>
      </c>
      <c r="C59" t="s">
        <v>10</v>
      </c>
      <c r="D59" t="s">
        <v>17</v>
      </c>
      <c r="E59">
        <v>153</v>
      </c>
      <c r="F59">
        <v>59</v>
      </c>
      <c r="G59">
        <v>4.8</v>
      </c>
      <c r="H59" t="s">
        <v>12</v>
      </c>
      <c r="I59" t="s">
        <v>19</v>
      </c>
      <c r="J59" t="s">
        <v>11</v>
      </c>
      <c r="K59">
        <f>_xlfn.XLOOKUP(tbl_analysis_tickets[[#This Row],[priority]],tbl_sla[priority],tbl_sla[Resolution SLA Hours])</f>
        <v>8</v>
      </c>
      <c r="L59">
        <f>_xlfn.XLOOKUP(tbl_analysis_tickets[[#This Row],[priority]],tbl_sla[priority],tbl_sla[First Response SLA Minutes])</f>
        <v>30</v>
      </c>
      <c r="M59" t="str">
        <f>IF(tbl_analysis_tickets[[#This Row],[resolution_time_hours]]&gt;tbl_analysis_tickets[[#This Row],[Resolution SLA Hours]],"Breached","Within SLA")</f>
        <v>Breached</v>
      </c>
      <c r="N59" t="str">
        <f>IF(tbl_analysis_tickets[[#This Row],[first_response_minutes]]&gt;tbl_analysis_tickets[[#This Row],[First Response SLA Minutes]],"Breached","Within SLA")</f>
        <v>Breached</v>
      </c>
      <c r="O59" t="str" cm="1">
        <f t="array" ref="O59">_xlfn.IFS(
tbl_analysis_tickets[[#This Row],[agent_experience_years]]&lt;=2,"Junior",
tbl_analysis_tickets[[#This Row],[agent_experience_years]]&lt;=5,"Mid-Level",
tbl_analysis_tickets[[#This Row],[agent_experience_years]]&lt;=8,"Senior",
tbl_analysis_tickets[[#This Row],[agent_experience_years]]&gt;8,"Expert"
)</f>
        <v>Mid-Level</v>
      </c>
      <c r="P59" cm="1">
        <f t="array" ref="P59">_xlfn.SWITCH(tbl_analysis_tickets[[#This Row],[customer_satisfaction]],
"Low",1,
"Medium",2,
"High",3
)</f>
        <v>1</v>
      </c>
      <c r="Q59">
        <f>IF(tbl_analysis_tickets[[#This Row],[reopened]]="Yes",1,0)</f>
        <v>1</v>
      </c>
      <c r="R59" t="str" cm="1">
        <f t="array" ref="R59">_xlfn.IFS(
tbl_analysis_tickets[[#This Row],[first_response_minutes]]&lt;=30,"Very Fast",
tbl_analysis_tickets[[#This Row],[first_response_minutes]]&lt;=120,"Acceptable",
tbl_analysis_tickets[[#This Row],[first_response_minutes]]&lt;=240,"Slow",
tbl_analysis_tickets[[#This Row],[first_response_minutes]]&gt;240,"Very Slow"
)</f>
        <v>Slow</v>
      </c>
      <c r="S59" t="str" cm="1">
        <f t="array" ref="S5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59" t="str">
        <f>TEXT(tbl_analysis_tickets[[#This Row],[created_date]],"mmm-yyyy")</f>
        <v>Jan-2024</v>
      </c>
      <c r="U59" t="str">
        <f>TEXT(tbl_analysis_tickets[[#This Row],[created_date]],"dddd")</f>
        <v>Thursday</v>
      </c>
      <c r="V59" cm="1">
        <f t="array" ref="V59">_xlfn.SWITCH(tbl_analysis_tickets[[#This Row],[priority]],
"Urgent",1,
"High",2,
"Medium",3,
"Low",4
)</f>
        <v>1</v>
      </c>
    </row>
    <row r="60" spans="1:22" x14ac:dyDescent="0.25">
      <c r="A60">
        <v>59</v>
      </c>
      <c r="B60" s="1">
        <v>45427</v>
      </c>
      <c r="C60" t="s">
        <v>14</v>
      </c>
      <c r="D60" t="s">
        <v>17</v>
      </c>
      <c r="E60">
        <v>130</v>
      </c>
      <c r="F60">
        <v>47</v>
      </c>
      <c r="G60">
        <v>6.8</v>
      </c>
      <c r="H60" t="s">
        <v>12</v>
      </c>
      <c r="I60" t="s">
        <v>16</v>
      </c>
      <c r="J60" t="s">
        <v>11</v>
      </c>
      <c r="K60">
        <f>_xlfn.XLOOKUP(tbl_analysis_tickets[[#This Row],[priority]],tbl_sla[priority],tbl_sla[Resolution SLA Hours])</f>
        <v>8</v>
      </c>
      <c r="L60">
        <f>_xlfn.XLOOKUP(tbl_analysis_tickets[[#This Row],[priority]],tbl_sla[priority],tbl_sla[First Response SLA Minutes])</f>
        <v>30</v>
      </c>
      <c r="M60" t="str">
        <f>IF(tbl_analysis_tickets[[#This Row],[resolution_time_hours]]&gt;tbl_analysis_tickets[[#This Row],[Resolution SLA Hours]],"Breached","Within SLA")</f>
        <v>Breached</v>
      </c>
      <c r="N60" t="str">
        <f>IF(tbl_analysis_tickets[[#This Row],[first_response_minutes]]&gt;tbl_analysis_tickets[[#This Row],[First Response SLA Minutes]],"Breached","Within SLA")</f>
        <v>Breached</v>
      </c>
      <c r="O60" t="str" cm="1">
        <f t="array" ref="O60">_xlfn.IFS(
tbl_analysis_tickets[[#This Row],[agent_experience_years]]&lt;=2,"Junior",
tbl_analysis_tickets[[#This Row],[agent_experience_years]]&lt;=5,"Mid-Level",
tbl_analysis_tickets[[#This Row],[agent_experience_years]]&lt;=8,"Senior",
tbl_analysis_tickets[[#This Row],[agent_experience_years]]&gt;8,"Expert"
)</f>
        <v>Senior</v>
      </c>
      <c r="P60" cm="1">
        <f t="array" ref="P60">_xlfn.SWITCH(tbl_analysis_tickets[[#This Row],[customer_satisfaction]],
"Low",1,
"Medium",2,
"High",3
)</f>
        <v>1</v>
      </c>
      <c r="Q60">
        <f>IF(tbl_analysis_tickets[[#This Row],[reopened]]="Yes",1,0)</f>
        <v>1</v>
      </c>
      <c r="R60" t="str" cm="1">
        <f t="array" ref="R60">_xlfn.IFS(
tbl_analysis_tickets[[#This Row],[first_response_minutes]]&lt;=30,"Very Fast",
tbl_analysis_tickets[[#This Row],[first_response_minutes]]&lt;=120,"Acceptable",
tbl_analysis_tickets[[#This Row],[first_response_minutes]]&lt;=240,"Slow",
tbl_analysis_tickets[[#This Row],[first_response_minutes]]&gt;240,"Very Slow"
)</f>
        <v>Slow</v>
      </c>
      <c r="S60" t="str" cm="1">
        <f t="array" ref="S6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60" t="str">
        <f>TEXT(tbl_analysis_tickets[[#This Row],[created_date]],"mmm-yyyy")</f>
        <v>May-2024</v>
      </c>
      <c r="U60" t="str">
        <f>TEXT(tbl_analysis_tickets[[#This Row],[created_date]],"dddd")</f>
        <v>Wednesday</v>
      </c>
      <c r="V60" cm="1">
        <f t="array" ref="V60">_xlfn.SWITCH(tbl_analysis_tickets[[#This Row],[priority]],
"Urgent",1,
"High",2,
"Medium",3,
"Low",4
)</f>
        <v>1</v>
      </c>
    </row>
    <row r="61" spans="1:22" x14ac:dyDescent="0.25">
      <c r="A61">
        <v>60</v>
      </c>
      <c r="B61" s="1">
        <v>45560</v>
      </c>
      <c r="C61" t="s">
        <v>14</v>
      </c>
      <c r="D61" t="s">
        <v>11</v>
      </c>
      <c r="E61">
        <v>122</v>
      </c>
      <c r="F61">
        <v>2</v>
      </c>
      <c r="G61">
        <v>2</v>
      </c>
      <c r="H61" t="s">
        <v>12</v>
      </c>
      <c r="I61" t="s">
        <v>16</v>
      </c>
      <c r="J61" t="s">
        <v>15</v>
      </c>
      <c r="K61">
        <f>_xlfn.XLOOKUP(tbl_analysis_tickets[[#This Row],[priority]],tbl_sla[priority],tbl_sla[Resolution SLA Hours])</f>
        <v>72</v>
      </c>
      <c r="L61">
        <f>_xlfn.XLOOKUP(tbl_analysis_tickets[[#This Row],[priority]],tbl_sla[priority],tbl_sla[First Response SLA Minutes])</f>
        <v>240</v>
      </c>
      <c r="M61" t="str">
        <f>IF(tbl_analysis_tickets[[#This Row],[resolution_time_hours]]&gt;tbl_analysis_tickets[[#This Row],[Resolution SLA Hours]],"Breached","Within SLA")</f>
        <v>Within SLA</v>
      </c>
      <c r="N61" t="str">
        <f>IF(tbl_analysis_tickets[[#This Row],[first_response_minutes]]&gt;tbl_analysis_tickets[[#This Row],[First Response SLA Minutes]],"Breached","Within SLA")</f>
        <v>Within SLA</v>
      </c>
      <c r="O61" t="str" cm="1">
        <f t="array" ref="O61">_xlfn.IFS(
tbl_analysis_tickets[[#This Row],[agent_experience_years]]&lt;=2,"Junior",
tbl_analysis_tickets[[#This Row],[agent_experience_years]]&lt;=5,"Mid-Level",
tbl_analysis_tickets[[#This Row],[agent_experience_years]]&lt;=8,"Senior",
tbl_analysis_tickets[[#This Row],[agent_experience_years]]&gt;8,"Expert"
)</f>
        <v>Junior</v>
      </c>
      <c r="P61" cm="1">
        <f t="array" ref="P61">_xlfn.SWITCH(tbl_analysis_tickets[[#This Row],[customer_satisfaction]],
"Low",1,
"Medium",2,
"High",3
)</f>
        <v>2</v>
      </c>
      <c r="Q61">
        <f>IF(tbl_analysis_tickets[[#This Row],[reopened]]="Yes",1,0)</f>
        <v>1</v>
      </c>
      <c r="R61" t="str" cm="1">
        <f t="array" ref="R61">_xlfn.IFS(
tbl_analysis_tickets[[#This Row],[first_response_minutes]]&lt;=30,"Very Fast",
tbl_analysis_tickets[[#This Row],[first_response_minutes]]&lt;=120,"Acceptable",
tbl_analysis_tickets[[#This Row],[first_response_minutes]]&lt;=240,"Slow",
tbl_analysis_tickets[[#This Row],[first_response_minutes]]&gt;240,"Very Slow"
)</f>
        <v>Slow</v>
      </c>
      <c r="S61" t="str" cm="1">
        <f t="array" ref="S6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61" t="str">
        <f>TEXT(tbl_analysis_tickets[[#This Row],[created_date]],"mmm-yyyy")</f>
        <v>Sep-2024</v>
      </c>
      <c r="U61" t="str">
        <f>TEXT(tbl_analysis_tickets[[#This Row],[created_date]],"dddd")</f>
        <v>Wednesday</v>
      </c>
      <c r="V61" cm="1">
        <f t="array" ref="V61">_xlfn.SWITCH(tbl_analysis_tickets[[#This Row],[priority]],
"Urgent",1,
"High",2,
"Medium",3,
"Low",4
)</f>
        <v>4</v>
      </c>
    </row>
    <row r="62" spans="1:22" x14ac:dyDescent="0.25">
      <c r="A62">
        <v>61</v>
      </c>
      <c r="B62" s="1">
        <v>45293</v>
      </c>
      <c r="C62" t="s">
        <v>22</v>
      </c>
      <c r="D62" t="s">
        <v>11</v>
      </c>
      <c r="E62">
        <v>142</v>
      </c>
      <c r="F62">
        <v>16</v>
      </c>
      <c r="G62">
        <v>3.2</v>
      </c>
      <c r="H62" t="s">
        <v>18</v>
      </c>
      <c r="I62" t="s">
        <v>13</v>
      </c>
      <c r="J62" t="s">
        <v>11</v>
      </c>
      <c r="K62">
        <f>_xlfn.XLOOKUP(tbl_analysis_tickets[[#This Row],[priority]],tbl_sla[priority],tbl_sla[Resolution SLA Hours])</f>
        <v>72</v>
      </c>
      <c r="L62">
        <f>_xlfn.XLOOKUP(tbl_analysis_tickets[[#This Row],[priority]],tbl_sla[priority],tbl_sla[First Response SLA Minutes])</f>
        <v>240</v>
      </c>
      <c r="M62" t="str">
        <f>IF(tbl_analysis_tickets[[#This Row],[resolution_time_hours]]&gt;tbl_analysis_tickets[[#This Row],[Resolution SLA Hours]],"Breached","Within SLA")</f>
        <v>Within SLA</v>
      </c>
      <c r="N62" t="str">
        <f>IF(tbl_analysis_tickets[[#This Row],[first_response_minutes]]&gt;tbl_analysis_tickets[[#This Row],[First Response SLA Minutes]],"Breached","Within SLA")</f>
        <v>Within SLA</v>
      </c>
      <c r="O62" t="str" cm="1">
        <f t="array" ref="O62">_xlfn.IFS(
tbl_analysis_tickets[[#This Row],[agent_experience_years]]&lt;=2,"Junior",
tbl_analysis_tickets[[#This Row],[agent_experience_years]]&lt;=5,"Mid-Level",
tbl_analysis_tickets[[#This Row],[agent_experience_years]]&lt;=8,"Senior",
tbl_analysis_tickets[[#This Row],[agent_experience_years]]&gt;8,"Expert"
)</f>
        <v>Mid-Level</v>
      </c>
      <c r="P62" cm="1">
        <f t="array" ref="P62">_xlfn.SWITCH(tbl_analysis_tickets[[#This Row],[customer_satisfaction]],
"Low",1,
"Medium",2,
"High",3
)</f>
        <v>1</v>
      </c>
      <c r="Q62">
        <f>IF(tbl_analysis_tickets[[#This Row],[reopened]]="Yes",1,0)</f>
        <v>0</v>
      </c>
      <c r="R62" t="str" cm="1">
        <f t="array" ref="R62">_xlfn.IFS(
tbl_analysis_tickets[[#This Row],[first_response_minutes]]&lt;=30,"Very Fast",
tbl_analysis_tickets[[#This Row],[first_response_minutes]]&lt;=120,"Acceptable",
tbl_analysis_tickets[[#This Row],[first_response_minutes]]&lt;=240,"Slow",
tbl_analysis_tickets[[#This Row],[first_response_minutes]]&gt;240,"Very Slow"
)</f>
        <v>Slow</v>
      </c>
      <c r="S62" t="str" cm="1">
        <f t="array" ref="S6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62" t="str">
        <f>TEXT(tbl_analysis_tickets[[#This Row],[created_date]],"mmm-yyyy")</f>
        <v>Jan-2024</v>
      </c>
      <c r="U62" t="str">
        <f>TEXT(tbl_analysis_tickets[[#This Row],[created_date]],"dddd")</f>
        <v>Tuesday</v>
      </c>
      <c r="V62" cm="1">
        <f t="array" ref="V62">_xlfn.SWITCH(tbl_analysis_tickets[[#This Row],[priority]],
"Urgent",1,
"High",2,
"Medium",3,
"Low",4
)</f>
        <v>4</v>
      </c>
    </row>
    <row r="63" spans="1:22" x14ac:dyDescent="0.25">
      <c r="A63">
        <v>62</v>
      </c>
      <c r="B63" s="1">
        <v>45616</v>
      </c>
      <c r="C63" t="s">
        <v>23</v>
      </c>
      <c r="D63" t="s">
        <v>17</v>
      </c>
      <c r="E63">
        <v>229</v>
      </c>
      <c r="F63">
        <v>66</v>
      </c>
      <c r="G63">
        <v>1.9</v>
      </c>
      <c r="H63" t="s">
        <v>12</v>
      </c>
      <c r="I63" t="s">
        <v>19</v>
      </c>
      <c r="J63" t="s">
        <v>11</v>
      </c>
      <c r="K63">
        <f>_xlfn.XLOOKUP(tbl_analysis_tickets[[#This Row],[priority]],tbl_sla[priority],tbl_sla[Resolution SLA Hours])</f>
        <v>8</v>
      </c>
      <c r="L63">
        <f>_xlfn.XLOOKUP(tbl_analysis_tickets[[#This Row],[priority]],tbl_sla[priority],tbl_sla[First Response SLA Minutes])</f>
        <v>30</v>
      </c>
      <c r="M63" t="str">
        <f>IF(tbl_analysis_tickets[[#This Row],[resolution_time_hours]]&gt;tbl_analysis_tickets[[#This Row],[Resolution SLA Hours]],"Breached","Within SLA")</f>
        <v>Breached</v>
      </c>
      <c r="N63" t="str">
        <f>IF(tbl_analysis_tickets[[#This Row],[first_response_minutes]]&gt;tbl_analysis_tickets[[#This Row],[First Response SLA Minutes]],"Breached","Within SLA")</f>
        <v>Breached</v>
      </c>
      <c r="O63" t="str" cm="1">
        <f t="array" ref="O63">_xlfn.IFS(
tbl_analysis_tickets[[#This Row],[agent_experience_years]]&lt;=2,"Junior",
tbl_analysis_tickets[[#This Row],[agent_experience_years]]&lt;=5,"Mid-Level",
tbl_analysis_tickets[[#This Row],[agent_experience_years]]&lt;=8,"Senior",
tbl_analysis_tickets[[#This Row],[agent_experience_years]]&gt;8,"Expert"
)</f>
        <v>Junior</v>
      </c>
      <c r="P63" cm="1">
        <f t="array" ref="P63">_xlfn.SWITCH(tbl_analysis_tickets[[#This Row],[customer_satisfaction]],
"Low",1,
"Medium",2,
"High",3
)</f>
        <v>1</v>
      </c>
      <c r="Q63">
        <f>IF(tbl_analysis_tickets[[#This Row],[reopened]]="Yes",1,0)</f>
        <v>1</v>
      </c>
      <c r="R63" t="str" cm="1">
        <f t="array" ref="R63">_xlfn.IFS(
tbl_analysis_tickets[[#This Row],[first_response_minutes]]&lt;=30,"Very Fast",
tbl_analysis_tickets[[#This Row],[first_response_minutes]]&lt;=120,"Acceptable",
tbl_analysis_tickets[[#This Row],[first_response_minutes]]&lt;=240,"Slow",
tbl_analysis_tickets[[#This Row],[first_response_minutes]]&gt;240,"Very Slow"
)</f>
        <v>Slow</v>
      </c>
      <c r="S63" t="str" cm="1">
        <f t="array" ref="S6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63" t="str">
        <f>TEXT(tbl_analysis_tickets[[#This Row],[created_date]],"mmm-yyyy")</f>
        <v>Nov-2024</v>
      </c>
      <c r="U63" t="str">
        <f>TEXT(tbl_analysis_tickets[[#This Row],[created_date]],"dddd")</f>
        <v>Wednesday</v>
      </c>
      <c r="V63" cm="1">
        <f t="array" ref="V63">_xlfn.SWITCH(tbl_analysis_tickets[[#This Row],[priority]],
"Urgent",1,
"High",2,
"Medium",3,
"Low",4
)</f>
        <v>1</v>
      </c>
    </row>
    <row r="64" spans="1:22" x14ac:dyDescent="0.25">
      <c r="A64">
        <v>63</v>
      </c>
      <c r="B64" s="1">
        <v>45367</v>
      </c>
      <c r="C64" t="s">
        <v>14</v>
      </c>
      <c r="D64" t="s">
        <v>11</v>
      </c>
      <c r="E64">
        <v>170</v>
      </c>
      <c r="F64">
        <v>28</v>
      </c>
      <c r="G64">
        <v>5.6</v>
      </c>
      <c r="H64" t="s">
        <v>12</v>
      </c>
      <c r="I64" t="s">
        <v>19</v>
      </c>
      <c r="J64" t="s">
        <v>11</v>
      </c>
      <c r="K64">
        <f>_xlfn.XLOOKUP(tbl_analysis_tickets[[#This Row],[priority]],tbl_sla[priority],tbl_sla[Resolution SLA Hours])</f>
        <v>72</v>
      </c>
      <c r="L64">
        <f>_xlfn.XLOOKUP(tbl_analysis_tickets[[#This Row],[priority]],tbl_sla[priority],tbl_sla[First Response SLA Minutes])</f>
        <v>240</v>
      </c>
      <c r="M64" t="str">
        <f>IF(tbl_analysis_tickets[[#This Row],[resolution_time_hours]]&gt;tbl_analysis_tickets[[#This Row],[Resolution SLA Hours]],"Breached","Within SLA")</f>
        <v>Within SLA</v>
      </c>
      <c r="N64" t="str">
        <f>IF(tbl_analysis_tickets[[#This Row],[first_response_minutes]]&gt;tbl_analysis_tickets[[#This Row],[First Response SLA Minutes]],"Breached","Within SLA")</f>
        <v>Within SLA</v>
      </c>
      <c r="O64" t="str" cm="1">
        <f t="array" ref="O64">_xlfn.IFS(
tbl_analysis_tickets[[#This Row],[agent_experience_years]]&lt;=2,"Junior",
tbl_analysis_tickets[[#This Row],[agent_experience_years]]&lt;=5,"Mid-Level",
tbl_analysis_tickets[[#This Row],[agent_experience_years]]&lt;=8,"Senior",
tbl_analysis_tickets[[#This Row],[agent_experience_years]]&gt;8,"Expert"
)</f>
        <v>Senior</v>
      </c>
      <c r="P64" cm="1">
        <f t="array" ref="P64">_xlfn.SWITCH(tbl_analysis_tickets[[#This Row],[customer_satisfaction]],
"Low",1,
"Medium",2,
"High",3
)</f>
        <v>1</v>
      </c>
      <c r="Q64">
        <f>IF(tbl_analysis_tickets[[#This Row],[reopened]]="Yes",1,0)</f>
        <v>1</v>
      </c>
      <c r="R64" t="str" cm="1">
        <f t="array" ref="R64">_xlfn.IFS(
tbl_analysis_tickets[[#This Row],[first_response_minutes]]&lt;=30,"Very Fast",
tbl_analysis_tickets[[#This Row],[first_response_minutes]]&lt;=120,"Acceptable",
tbl_analysis_tickets[[#This Row],[first_response_minutes]]&lt;=240,"Slow",
tbl_analysis_tickets[[#This Row],[first_response_minutes]]&gt;240,"Very Slow"
)</f>
        <v>Slow</v>
      </c>
      <c r="S64" t="str" cm="1">
        <f t="array" ref="S6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64" t="str">
        <f>TEXT(tbl_analysis_tickets[[#This Row],[created_date]],"mmm-yyyy")</f>
        <v>Mar-2024</v>
      </c>
      <c r="U64" t="str">
        <f>TEXT(tbl_analysis_tickets[[#This Row],[created_date]],"dddd")</f>
        <v>Saturday</v>
      </c>
      <c r="V64" cm="1">
        <f t="array" ref="V64">_xlfn.SWITCH(tbl_analysis_tickets[[#This Row],[priority]],
"Urgent",1,
"High",2,
"Medium",3,
"Low",4
)</f>
        <v>4</v>
      </c>
    </row>
    <row r="65" spans="1:22" x14ac:dyDescent="0.25">
      <c r="A65">
        <v>64</v>
      </c>
      <c r="B65" s="1">
        <v>45536</v>
      </c>
      <c r="C65" t="s">
        <v>14</v>
      </c>
      <c r="D65" t="s">
        <v>17</v>
      </c>
      <c r="E65">
        <v>43</v>
      </c>
      <c r="F65">
        <v>4</v>
      </c>
      <c r="G65">
        <v>4.0999999999999996</v>
      </c>
      <c r="H65" t="s">
        <v>12</v>
      </c>
      <c r="I65" t="s">
        <v>13</v>
      </c>
      <c r="J65" t="s">
        <v>11</v>
      </c>
      <c r="K65">
        <f>_xlfn.XLOOKUP(tbl_analysis_tickets[[#This Row],[priority]],tbl_sla[priority],tbl_sla[Resolution SLA Hours])</f>
        <v>8</v>
      </c>
      <c r="L65">
        <f>_xlfn.XLOOKUP(tbl_analysis_tickets[[#This Row],[priority]],tbl_sla[priority],tbl_sla[First Response SLA Minutes])</f>
        <v>30</v>
      </c>
      <c r="M65" t="str">
        <f>IF(tbl_analysis_tickets[[#This Row],[resolution_time_hours]]&gt;tbl_analysis_tickets[[#This Row],[Resolution SLA Hours]],"Breached","Within SLA")</f>
        <v>Within SLA</v>
      </c>
      <c r="N65" t="str">
        <f>IF(tbl_analysis_tickets[[#This Row],[first_response_minutes]]&gt;tbl_analysis_tickets[[#This Row],[First Response SLA Minutes]],"Breached","Within SLA")</f>
        <v>Breached</v>
      </c>
      <c r="O65" t="str" cm="1">
        <f t="array" ref="O65">_xlfn.IFS(
tbl_analysis_tickets[[#This Row],[agent_experience_years]]&lt;=2,"Junior",
tbl_analysis_tickets[[#This Row],[agent_experience_years]]&lt;=5,"Mid-Level",
tbl_analysis_tickets[[#This Row],[agent_experience_years]]&lt;=8,"Senior",
tbl_analysis_tickets[[#This Row],[agent_experience_years]]&gt;8,"Expert"
)</f>
        <v>Mid-Level</v>
      </c>
      <c r="P65" cm="1">
        <f t="array" ref="P65">_xlfn.SWITCH(tbl_analysis_tickets[[#This Row],[customer_satisfaction]],
"Low",1,
"Medium",2,
"High",3
)</f>
        <v>1</v>
      </c>
      <c r="Q65">
        <f>IF(tbl_analysis_tickets[[#This Row],[reopened]]="Yes",1,0)</f>
        <v>1</v>
      </c>
      <c r="R65" t="str" cm="1">
        <f t="array" ref="R65">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65" t="str" cm="1">
        <f t="array" ref="S6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65" t="str">
        <f>TEXT(tbl_analysis_tickets[[#This Row],[created_date]],"mmm-yyyy")</f>
        <v>Sep-2024</v>
      </c>
      <c r="U65" t="str">
        <f>TEXT(tbl_analysis_tickets[[#This Row],[created_date]],"dddd")</f>
        <v>Sunday</v>
      </c>
      <c r="V65" cm="1">
        <f t="array" ref="V65">_xlfn.SWITCH(tbl_analysis_tickets[[#This Row],[priority]],
"Urgent",1,
"High",2,
"Medium",3,
"Low",4
)</f>
        <v>1</v>
      </c>
    </row>
    <row r="66" spans="1:22" x14ac:dyDescent="0.25">
      <c r="A66">
        <v>65</v>
      </c>
      <c r="B66" s="1">
        <v>45523</v>
      </c>
      <c r="C66" t="s">
        <v>21</v>
      </c>
      <c r="D66" t="s">
        <v>17</v>
      </c>
      <c r="E66">
        <v>49</v>
      </c>
      <c r="F66">
        <v>19</v>
      </c>
      <c r="G66">
        <v>0.8</v>
      </c>
      <c r="H66" t="s">
        <v>12</v>
      </c>
      <c r="I66" t="s">
        <v>13</v>
      </c>
      <c r="J66" t="s">
        <v>11</v>
      </c>
      <c r="K66">
        <f>_xlfn.XLOOKUP(tbl_analysis_tickets[[#This Row],[priority]],tbl_sla[priority],tbl_sla[Resolution SLA Hours])</f>
        <v>8</v>
      </c>
      <c r="L66">
        <f>_xlfn.XLOOKUP(tbl_analysis_tickets[[#This Row],[priority]],tbl_sla[priority],tbl_sla[First Response SLA Minutes])</f>
        <v>30</v>
      </c>
      <c r="M66" t="str">
        <f>IF(tbl_analysis_tickets[[#This Row],[resolution_time_hours]]&gt;tbl_analysis_tickets[[#This Row],[Resolution SLA Hours]],"Breached","Within SLA")</f>
        <v>Breached</v>
      </c>
      <c r="N66" t="str">
        <f>IF(tbl_analysis_tickets[[#This Row],[first_response_minutes]]&gt;tbl_analysis_tickets[[#This Row],[First Response SLA Minutes]],"Breached","Within SLA")</f>
        <v>Breached</v>
      </c>
      <c r="O66" t="str" cm="1">
        <f t="array" ref="O66">_xlfn.IFS(
tbl_analysis_tickets[[#This Row],[agent_experience_years]]&lt;=2,"Junior",
tbl_analysis_tickets[[#This Row],[agent_experience_years]]&lt;=5,"Mid-Level",
tbl_analysis_tickets[[#This Row],[agent_experience_years]]&lt;=8,"Senior",
tbl_analysis_tickets[[#This Row],[agent_experience_years]]&gt;8,"Expert"
)</f>
        <v>Junior</v>
      </c>
      <c r="P66" cm="1">
        <f t="array" ref="P66">_xlfn.SWITCH(tbl_analysis_tickets[[#This Row],[customer_satisfaction]],
"Low",1,
"Medium",2,
"High",3
)</f>
        <v>1</v>
      </c>
      <c r="Q66">
        <f>IF(tbl_analysis_tickets[[#This Row],[reopened]]="Yes",1,0)</f>
        <v>1</v>
      </c>
      <c r="R66" t="str" cm="1">
        <f t="array" ref="R66">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66" t="str" cm="1">
        <f t="array" ref="S6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66" t="str">
        <f>TEXT(tbl_analysis_tickets[[#This Row],[created_date]],"mmm-yyyy")</f>
        <v>Aug-2024</v>
      </c>
      <c r="U66" t="str">
        <f>TEXT(tbl_analysis_tickets[[#This Row],[created_date]],"dddd")</f>
        <v>Monday</v>
      </c>
      <c r="V66" cm="1">
        <f t="array" ref="V66">_xlfn.SWITCH(tbl_analysis_tickets[[#This Row],[priority]],
"Urgent",1,
"High",2,
"Medium",3,
"Low",4
)</f>
        <v>1</v>
      </c>
    </row>
    <row r="67" spans="1:22" x14ac:dyDescent="0.25">
      <c r="A67">
        <v>66</v>
      </c>
      <c r="B67" s="1">
        <v>45377</v>
      </c>
      <c r="C67" t="s">
        <v>10</v>
      </c>
      <c r="D67" t="s">
        <v>17</v>
      </c>
      <c r="E67">
        <v>44</v>
      </c>
      <c r="F67">
        <v>6</v>
      </c>
      <c r="G67">
        <v>5.2</v>
      </c>
      <c r="H67" t="s">
        <v>18</v>
      </c>
      <c r="I67" t="s">
        <v>19</v>
      </c>
      <c r="J67" t="s">
        <v>15</v>
      </c>
      <c r="K67">
        <f>_xlfn.XLOOKUP(tbl_analysis_tickets[[#This Row],[priority]],tbl_sla[priority],tbl_sla[Resolution SLA Hours])</f>
        <v>8</v>
      </c>
      <c r="L67">
        <f>_xlfn.XLOOKUP(tbl_analysis_tickets[[#This Row],[priority]],tbl_sla[priority],tbl_sla[First Response SLA Minutes])</f>
        <v>30</v>
      </c>
      <c r="M67" t="str">
        <f>IF(tbl_analysis_tickets[[#This Row],[resolution_time_hours]]&gt;tbl_analysis_tickets[[#This Row],[Resolution SLA Hours]],"Breached","Within SLA")</f>
        <v>Within SLA</v>
      </c>
      <c r="N67" t="str">
        <f>IF(tbl_analysis_tickets[[#This Row],[first_response_minutes]]&gt;tbl_analysis_tickets[[#This Row],[First Response SLA Minutes]],"Breached","Within SLA")</f>
        <v>Breached</v>
      </c>
      <c r="O67" t="str" cm="1">
        <f t="array" ref="O67">_xlfn.IFS(
tbl_analysis_tickets[[#This Row],[agent_experience_years]]&lt;=2,"Junior",
tbl_analysis_tickets[[#This Row],[agent_experience_years]]&lt;=5,"Mid-Level",
tbl_analysis_tickets[[#This Row],[agent_experience_years]]&lt;=8,"Senior",
tbl_analysis_tickets[[#This Row],[agent_experience_years]]&gt;8,"Expert"
)</f>
        <v>Senior</v>
      </c>
      <c r="P67" cm="1">
        <f t="array" ref="P67">_xlfn.SWITCH(tbl_analysis_tickets[[#This Row],[customer_satisfaction]],
"Low",1,
"Medium",2,
"High",3
)</f>
        <v>2</v>
      </c>
      <c r="Q67">
        <f>IF(tbl_analysis_tickets[[#This Row],[reopened]]="Yes",1,0)</f>
        <v>0</v>
      </c>
      <c r="R67" t="str" cm="1">
        <f t="array" ref="R67">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67" t="str" cm="1">
        <f t="array" ref="S6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67" t="str">
        <f>TEXT(tbl_analysis_tickets[[#This Row],[created_date]],"mmm-yyyy")</f>
        <v>Mar-2024</v>
      </c>
      <c r="U67" t="str">
        <f>TEXT(tbl_analysis_tickets[[#This Row],[created_date]],"dddd")</f>
        <v>Tuesday</v>
      </c>
      <c r="V67" cm="1">
        <f t="array" ref="V67">_xlfn.SWITCH(tbl_analysis_tickets[[#This Row],[priority]],
"Urgent",1,
"High",2,
"Medium",3,
"Low",4
)</f>
        <v>1</v>
      </c>
    </row>
    <row r="68" spans="1:22" x14ac:dyDescent="0.25">
      <c r="A68">
        <v>67</v>
      </c>
      <c r="B68" s="1">
        <v>45368</v>
      </c>
      <c r="C68" t="s">
        <v>14</v>
      </c>
      <c r="D68" t="s">
        <v>20</v>
      </c>
      <c r="E68">
        <v>59</v>
      </c>
      <c r="F68">
        <v>64</v>
      </c>
      <c r="G68">
        <v>5.4</v>
      </c>
      <c r="H68" t="s">
        <v>18</v>
      </c>
      <c r="I68" t="s">
        <v>19</v>
      </c>
      <c r="J68" t="s">
        <v>11</v>
      </c>
      <c r="K68">
        <f>_xlfn.XLOOKUP(tbl_analysis_tickets[[#This Row],[priority]],tbl_sla[priority],tbl_sla[Resolution SLA Hours])</f>
        <v>24</v>
      </c>
      <c r="L68">
        <f>_xlfn.XLOOKUP(tbl_analysis_tickets[[#This Row],[priority]],tbl_sla[priority],tbl_sla[First Response SLA Minutes])</f>
        <v>60</v>
      </c>
      <c r="M68" t="str">
        <f>IF(tbl_analysis_tickets[[#This Row],[resolution_time_hours]]&gt;tbl_analysis_tickets[[#This Row],[Resolution SLA Hours]],"Breached","Within SLA")</f>
        <v>Breached</v>
      </c>
      <c r="N68" t="str">
        <f>IF(tbl_analysis_tickets[[#This Row],[first_response_minutes]]&gt;tbl_analysis_tickets[[#This Row],[First Response SLA Minutes]],"Breached","Within SLA")</f>
        <v>Within SLA</v>
      </c>
      <c r="O68" t="str" cm="1">
        <f t="array" ref="O68">_xlfn.IFS(
tbl_analysis_tickets[[#This Row],[agent_experience_years]]&lt;=2,"Junior",
tbl_analysis_tickets[[#This Row],[agent_experience_years]]&lt;=5,"Mid-Level",
tbl_analysis_tickets[[#This Row],[agent_experience_years]]&lt;=8,"Senior",
tbl_analysis_tickets[[#This Row],[agent_experience_years]]&gt;8,"Expert"
)</f>
        <v>Senior</v>
      </c>
      <c r="P68" cm="1">
        <f t="array" ref="P68">_xlfn.SWITCH(tbl_analysis_tickets[[#This Row],[customer_satisfaction]],
"Low",1,
"Medium",2,
"High",3
)</f>
        <v>1</v>
      </c>
      <c r="Q68">
        <f>IF(tbl_analysis_tickets[[#This Row],[reopened]]="Yes",1,0)</f>
        <v>0</v>
      </c>
      <c r="R68" t="str" cm="1">
        <f t="array" ref="R68">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68" t="str" cm="1">
        <f t="array" ref="S6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68" t="str">
        <f>TEXT(tbl_analysis_tickets[[#This Row],[created_date]],"mmm-yyyy")</f>
        <v>Mar-2024</v>
      </c>
      <c r="U68" t="str">
        <f>TEXT(tbl_analysis_tickets[[#This Row],[created_date]],"dddd")</f>
        <v>Sunday</v>
      </c>
      <c r="V68" cm="1">
        <f t="array" ref="V68">_xlfn.SWITCH(tbl_analysis_tickets[[#This Row],[priority]],
"Urgent",1,
"High",2,
"Medium",3,
"Low",4
)</f>
        <v>2</v>
      </c>
    </row>
    <row r="69" spans="1:22" x14ac:dyDescent="0.25">
      <c r="A69">
        <v>68</v>
      </c>
      <c r="B69" s="1">
        <v>45562</v>
      </c>
      <c r="C69" t="s">
        <v>22</v>
      </c>
      <c r="D69" t="s">
        <v>20</v>
      </c>
      <c r="E69">
        <v>38</v>
      </c>
      <c r="F69">
        <v>8</v>
      </c>
      <c r="G69">
        <v>4.8</v>
      </c>
      <c r="H69" t="s">
        <v>18</v>
      </c>
      <c r="I69" t="s">
        <v>16</v>
      </c>
      <c r="J69" t="s">
        <v>11</v>
      </c>
      <c r="K69">
        <f>_xlfn.XLOOKUP(tbl_analysis_tickets[[#This Row],[priority]],tbl_sla[priority],tbl_sla[Resolution SLA Hours])</f>
        <v>24</v>
      </c>
      <c r="L69">
        <f>_xlfn.XLOOKUP(tbl_analysis_tickets[[#This Row],[priority]],tbl_sla[priority],tbl_sla[First Response SLA Minutes])</f>
        <v>60</v>
      </c>
      <c r="M69" t="str">
        <f>IF(tbl_analysis_tickets[[#This Row],[resolution_time_hours]]&gt;tbl_analysis_tickets[[#This Row],[Resolution SLA Hours]],"Breached","Within SLA")</f>
        <v>Within SLA</v>
      </c>
      <c r="N69" t="str">
        <f>IF(tbl_analysis_tickets[[#This Row],[first_response_minutes]]&gt;tbl_analysis_tickets[[#This Row],[First Response SLA Minutes]],"Breached","Within SLA")</f>
        <v>Within SLA</v>
      </c>
      <c r="O69" t="str" cm="1">
        <f t="array" ref="O69">_xlfn.IFS(
tbl_analysis_tickets[[#This Row],[agent_experience_years]]&lt;=2,"Junior",
tbl_analysis_tickets[[#This Row],[agent_experience_years]]&lt;=5,"Mid-Level",
tbl_analysis_tickets[[#This Row],[agent_experience_years]]&lt;=8,"Senior",
tbl_analysis_tickets[[#This Row],[agent_experience_years]]&gt;8,"Expert"
)</f>
        <v>Mid-Level</v>
      </c>
      <c r="P69" cm="1">
        <f t="array" ref="P69">_xlfn.SWITCH(tbl_analysis_tickets[[#This Row],[customer_satisfaction]],
"Low",1,
"Medium",2,
"High",3
)</f>
        <v>1</v>
      </c>
      <c r="Q69">
        <f>IF(tbl_analysis_tickets[[#This Row],[reopened]]="Yes",1,0)</f>
        <v>0</v>
      </c>
      <c r="R69" t="str" cm="1">
        <f t="array" ref="R69">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69" t="str" cm="1">
        <f t="array" ref="S6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69" t="str">
        <f>TEXT(tbl_analysis_tickets[[#This Row],[created_date]],"mmm-yyyy")</f>
        <v>Sep-2024</v>
      </c>
      <c r="U69" t="str">
        <f>TEXT(tbl_analysis_tickets[[#This Row],[created_date]],"dddd")</f>
        <v>Friday</v>
      </c>
      <c r="V69" cm="1">
        <f t="array" ref="V69">_xlfn.SWITCH(tbl_analysis_tickets[[#This Row],[priority]],
"Urgent",1,
"High",2,
"Medium",3,
"Low",4
)</f>
        <v>2</v>
      </c>
    </row>
    <row r="70" spans="1:22" x14ac:dyDescent="0.25">
      <c r="A70">
        <v>69</v>
      </c>
      <c r="B70" s="1">
        <v>45357</v>
      </c>
      <c r="C70" t="s">
        <v>23</v>
      </c>
      <c r="D70" t="s">
        <v>17</v>
      </c>
      <c r="E70">
        <v>161</v>
      </c>
      <c r="F70">
        <v>11</v>
      </c>
      <c r="G70">
        <v>9.1999999999999993</v>
      </c>
      <c r="H70" t="s">
        <v>12</v>
      </c>
      <c r="I70" t="s">
        <v>16</v>
      </c>
      <c r="J70" t="s">
        <v>11</v>
      </c>
      <c r="K70">
        <f>_xlfn.XLOOKUP(tbl_analysis_tickets[[#This Row],[priority]],tbl_sla[priority],tbl_sla[Resolution SLA Hours])</f>
        <v>8</v>
      </c>
      <c r="L70">
        <f>_xlfn.XLOOKUP(tbl_analysis_tickets[[#This Row],[priority]],tbl_sla[priority],tbl_sla[First Response SLA Minutes])</f>
        <v>30</v>
      </c>
      <c r="M70" t="str">
        <f>IF(tbl_analysis_tickets[[#This Row],[resolution_time_hours]]&gt;tbl_analysis_tickets[[#This Row],[Resolution SLA Hours]],"Breached","Within SLA")</f>
        <v>Breached</v>
      </c>
      <c r="N70" t="str">
        <f>IF(tbl_analysis_tickets[[#This Row],[first_response_minutes]]&gt;tbl_analysis_tickets[[#This Row],[First Response SLA Minutes]],"Breached","Within SLA")</f>
        <v>Breached</v>
      </c>
      <c r="O70" t="str" cm="1">
        <f t="array" ref="O70">_xlfn.IFS(
tbl_analysis_tickets[[#This Row],[agent_experience_years]]&lt;=2,"Junior",
tbl_analysis_tickets[[#This Row],[agent_experience_years]]&lt;=5,"Mid-Level",
tbl_analysis_tickets[[#This Row],[agent_experience_years]]&lt;=8,"Senior",
tbl_analysis_tickets[[#This Row],[agent_experience_years]]&gt;8,"Expert"
)</f>
        <v>Expert</v>
      </c>
      <c r="P70" cm="1">
        <f t="array" ref="P70">_xlfn.SWITCH(tbl_analysis_tickets[[#This Row],[customer_satisfaction]],
"Low",1,
"Medium",2,
"High",3
)</f>
        <v>1</v>
      </c>
      <c r="Q70">
        <f>IF(tbl_analysis_tickets[[#This Row],[reopened]]="Yes",1,0)</f>
        <v>1</v>
      </c>
      <c r="R70" t="str" cm="1">
        <f t="array" ref="R70">_xlfn.IFS(
tbl_analysis_tickets[[#This Row],[first_response_minutes]]&lt;=30,"Very Fast",
tbl_analysis_tickets[[#This Row],[first_response_minutes]]&lt;=120,"Acceptable",
tbl_analysis_tickets[[#This Row],[first_response_minutes]]&lt;=240,"Slow",
tbl_analysis_tickets[[#This Row],[first_response_minutes]]&gt;240,"Very Slow"
)</f>
        <v>Slow</v>
      </c>
      <c r="S70" t="str" cm="1">
        <f t="array" ref="S7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70" t="str">
        <f>TEXT(tbl_analysis_tickets[[#This Row],[created_date]],"mmm-yyyy")</f>
        <v>Mar-2024</v>
      </c>
      <c r="U70" t="str">
        <f>TEXT(tbl_analysis_tickets[[#This Row],[created_date]],"dddd")</f>
        <v>Wednesday</v>
      </c>
      <c r="V70" cm="1">
        <f t="array" ref="V70">_xlfn.SWITCH(tbl_analysis_tickets[[#This Row],[priority]],
"Urgent",1,
"High",2,
"Medium",3,
"Low",4
)</f>
        <v>1</v>
      </c>
    </row>
    <row r="71" spans="1:22" x14ac:dyDescent="0.25">
      <c r="A71">
        <v>70</v>
      </c>
      <c r="B71" s="1">
        <v>45344</v>
      </c>
      <c r="C71" t="s">
        <v>23</v>
      </c>
      <c r="D71" t="s">
        <v>20</v>
      </c>
      <c r="E71">
        <v>116</v>
      </c>
      <c r="F71">
        <v>29</v>
      </c>
      <c r="G71">
        <v>6.8</v>
      </c>
      <c r="H71" t="s">
        <v>12</v>
      </c>
      <c r="I71" t="s">
        <v>13</v>
      </c>
      <c r="J71" t="s">
        <v>11</v>
      </c>
      <c r="K71">
        <f>_xlfn.XLOOKUP(tbl_analysis_tickets[[#This Row],[priority]],tbl_sla[priority],tbl_sla[Resolution SLA Hours])</f>
        <v>24</v>
      </c>
      <c r="L71">
        <f>_xlfn.XLOOKUP(tbl_analysis_tickets[[#This Row],[priority]],tbl_sla[priority],tbl_sla[First Response SLA Minutes])</f>
        <v>60</v>
      </c>
      <c r="M71" t="str">
        <f>IF(tbl_analysis_tickets[[#This Row],[resolution_time_hours]]&gt;tbl_analysis_tickets[[#This Row],[Resolution SLA Hours]],"Breached","Within SLA")</f>
        <v>Breached</v>
      </c>
      <c r="N71" t="str">
        <f>IF(tbl_analysis_tickets[[#This Row],[first_response_minutes]]&gt;tbl_analysis_tickets[[#This Row],[First Response SLA Minutes]],"Breached","Within SLA")</f>
        <v>Breached</v>
      </c>
      <c r="O71" t="str" cm="1">
        <f t="array" ref="O71">_xlfn.IFS(
tbl_analysis_tickets[[#This Row],[agent_experience_years]]&lt;=2,"Junior",
tbl_analysis_tickets[[#This Row],[agent_experience_years]]&lt;=5,"Mid-Level",
tbl_analysis_tickets[[#This Row],[agent_experience_years]]&lt;=8,"Senior",
tbl_analysis_tickets[[#This Row],[agent_experience_years]]&gt;8,"Expert"
)</f>
        <v>Senior</v>
      </c>
      <c r="P71" cm="1">
        <f t="array" ref="P71">_xlfn.SWITCH(tbl_analysis_tickets[[#This Row],[customer_satisfaction]],
"Low",1,
"Medium",2,
"High",3
)</f>
        <v>1</v>
      </c>
      <c r="Q71">
        <f>IF(tbl_analysis_tickets[[#This Row],[reopened]]="Yes",1,0)</f>
        <v>1</v>
      </c>
      <c r="R71" t="str" cm="1">
        <f t="array" ref="R71">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71" t="str" cm="1">
        <f t="array" ref="S7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71" t="str">
        <f>TEXT(tbl_analysis_tickets[[#This Row],[created_date]],"mmm-yyyy")</f>
        <v>Feb-2024</v>
      </c>
      <c r="U71" t="str">
        <f>TEXT(tbl_analysis_tickets[[#This Row],[created_date]],"dddd")</f>
        <v>Thursday</v>
      </c>
      <c r="V71" cm="1">
        <f t="array" ref="V71">_xlfn.SWITCH(tbl_analysis_tickets[[#This Row],[priority]],
"Urgent",1,
"High",2,
"Medium",3,
"Low",4
)</f>
        <v>2</v>
      </c>
    </row>
    <row r="72" spans="1:22" x14ac:dyDescent="0.25">
      <c r="A72">
        <v>71</v>
      </c>
      <c r="B72" s="1">
        <v>45614</v>
      </c>
      <c r="C72" t="s">
        <v>10</v>
      </c>
      <c r="D72" t="s">
        <v>17</v>
      </c>
      <c r="E72">
        <v>114</v>
      </c>
      <c r="F72">
        <v>40</v>
      </c>
      <c r="G72">
        <v>2.2000000000000002</v>
      </c>
      <c r="H72" t="s">
        <v>12</v>
      </c>
      <c r="I72" t="s">
        <v>19</v>
      </c>
      <c r="J72" t="s">
        <v>11</v>
      </c>
      <c r="K72">
        <f>_xlfn.XLOOKUP(tbl_analysis_tickets[[#This Row],[priority]],tbl_sla[priority],tbl_sla[Resolution SLA Hours])</f>
        <v>8</v>
      </c>
      <c r="L72">
        <f>_xlfn.XLOOKUP(tbl_analysis_tickets[[#This Row],[priority]],tbl_sla[priority],tbl_sla[First Response SLA Minutes])</f>
        <v>30</v>
      </c>
      <c r="M72" t="str">
        <f>IF(tbl_analysis_tickets[[#This Row],[resolution_time_hours]]&gt;tbl_analysis_tickets[[#This Row],[Resolution SLA Hours]],"Breached","Within SLA")</f>
        <v>Breached</v>
      </c>
      <c r="N72" t="str">
        <f>IF(tbl_analysis_tickets[[#This Row],[first_response_minutes]]&gt;tbl_analysis_tickets[[#This Row],[First Response SLA Minutes]],"Breached","Within SLA")</f>
        <v>Breached</v>
      </c>
      <c r="O72" t="str" cm="1">
        <f t="array" ref="O72">_xlfn.IFS(
tbl_analysis_tickets[[#This Row],[agent_experience_years]]&lt;=2,"Junior",
tbl_analysis_tickets[[#This Row],[agent_experience_years]]&lt;=5,"Mid-Level",
tbl_analysis_tickets[[#This Row],[agent_experience_years]]&lt;=8,"Senior",
tbl_analysis_tickets[[#This Row],[agent_experience_years]]&gt;8,"Expert"
)</f>
        <v>Mid-Level</v>
      </c>
      <c r="P72" cm="1">
        <f t="array" ref="P72">_xlfn.SWITCH(tbl_analysis_tickets[[#This Row],[customer_satisfaction]],
"Low",1,
"Medium",2,
"High",3
)</f>
        <v>1</v>
      </c>
      <c r="Q72">
        <f>IF(tbl_analysis_tickets[[#This Row],[reopened]]="Yes",1,0)</f>
        <v>1</v>
      </c>
      <c r="R72" t="str" cm="1">
        <f t="array" ref="R72">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72" t="str" cm="1">
        <f t="array" ref="S7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72" t="str">
        <f>TEXT(tbl_analysis_tickets[[#This Row],[created_date]],"mmm-yyyy")</f>
        <v>Nov-2024</v>
      </c>
      <c r="U72" t="str">
        <f>TEXT(tbl_analysis_tickets[[#This Row],[created_date]],"dddd")</f>
        <v>Monday</v>
      </c>
      <c r="V72" cm="1">
        <f t="array" ref="V72">_xlfn.SWITCH(tbl_analysis_tickets[[#This Row],[priority]],
"Urgent",1,
"High",2,
"Medium",3,
"Low",4
)</f>
        <v>1</v>
      </c>
    </row>
    <row r="73" spans="1:22" x14ac:dyDescent="0.25">
      <c r="A73">
        <v>72</v>
      </c>
      <c r="B73" s="1">
        <v>45403</v>
      </c>
      <c r="C73" t="s">
        <v>22</v>
      </c>
      <c r="D73" t="s">
        <v>15</v>
      </c>
      <c r="E73">
        <v>179</v>
      </c>
      <c r="F73">
        <v>31</v>
      </c>
      <c r="G73">
        <v>7.3</v>
      </c>
      <c r="H73" t="s">
        <v>18</v>
      </c>
      <c r="I73" t="s">
        <v>19</v>
      </c>
      <c r="J73" t="s">
        <v>15</v>
      </c>
      <c r="K73">
        <f>_xlfn.XLOOKUP(tbl_analysis_tickets[[#This Row],[priority]],tbl_sla[priority],tbl_sla[Resolution SLA Hours])</f>
        <v>48</v>
      </c>
      <c r="L73">
        <f>_xlfn.XLOOKUP(tbl_analysis_tickets[[#This Row],[priority]],tbl_sla[priority],tbl_sla[First Response SLA Minutes])</f>
        <v>120</v>
      </c>
      <c r="M73" t="str">
        <f>IF(tbl_analysis_tickets[[#This Row],[resolution_time_hours]]&gt;tbl_analysis_tickets[[#This Row],[Resolution SLA Hours]],"Breached","Within SLA")</f>
        <v>Within SLA</v>
      </c>
      <c r="N73" t="str">
        <f>IF(tbl_analysis_tickets[[#This Row],[first_response_minutes]]&gt;tbl_analysis_tickets[[#This Row],[First Response SLA Minutes]],"Breached","Within SLA")</f>
        <v>Breached</v>
      </c>
      <c r="O73" t="str" cm="1">
        <f t="array" ref="O73">_xlfn.IFS(
tbl_analysis_tickets[[#This Row],[agent_experience_years]]&lt;=2,"Junior",
tbl_analysis_tickets[[#This Row],[agent_experience_years]]&lt;=5,"Mid-Level",
tbl_analysis_tickets[[#This Row],[agent_experience_years]]&lt;=8,"Senior",
tbl_analysis_tickets[[#This Row],[agent_experience_years]]&gt;8,"Expert"
)</f>
        <v>Senior</v>
      </c>
      <c r="P73" cm="1">
        <f t="array" ref="P73">_xlfn.SWITCH(tbl_analysis_tickets[[#This Row],[customer_satisfaction]],
"Low",1,
"Medium",2,
"High",3
)</f>
        <v>2</v>
      </c>
      <c r="Q73">
        <f>IF(tbl_analysis_tickets[[#This Row],[reopened]]="Yes",1,0)</f>
        <v>0</v>
      </c>
      <c r="R73" t="str" cm="1">
        <f t="array" ref="R73">_xlfn.IFS(
tbl_analysis_tickets[[#This Row],[first_response_minutes]]&lt;=30,"Very Fast",
tbl_analysis_tickets[[#This Row],[first_response_minutes]]&lt;=120,"Acceptable",
tbl_analysis_tickets[[#This Row],[first_response_minutes]]&lt;=240,"Slow",
tbl_analysis_tickets[[#This Row],[first_response_minutes]]&gt;240,"Very Slow"
)</f>
        <v>Slow</v>
      </c>
      <c r="S73" t="str" cm="1">
        <f t="array" ref="S7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73" t="str">
        <f>TEXT(tbl_analysis_tickets[[#This Row],[created_date]],"mmm-yyyy")</f>
        <v>Apr-2024</v>
      </c>
      <c r="U73" t="str">
        <f>TEXT(tbl_analysis_tickets[[#This Row],[created_date]],"dddd")</f>
        <v>Sunday</v>
      </c>
      <c r="V73" cm="1">
        <f t="array" ref="V73">_xlfn.SWITCH(tbl_analysis_tickets[[#This Row],[priority]],
"Urgent",1,
"High",2,
"Medium",3,
"Low",4
)</f>
        <v>3</v>
      </c>
    </row>
    <row r="74" spans="1:22" x14ac:dyDescent="0.25">
      <c r="A74">
        <v>73</v>
      </c>
      <c r="B74" s="1">
        <v>45326</v>
      </c>
      <c r="C74" t="s">
        <v>22</v>
      </c>
      <c r="D74" t="s">
        <v>17</v>
      </c>
      <c r="E74">
        <v>180</v>
      </c>
      <c r="F74">
        <v>50</v>
      </c>
      <c r="G74">
        <v>8</v>
      </c>
      <c r="H74" t="s">
        <v>12</v>
      </c>
      <c r="I74" t="s">
        <v>19</v>
      </c>
      <c r="J74" t="s">
        <v>11</v>
      </c>
      <c r="K74">
        <f>_xlfn.XLOOKUP(tbl_analysis_tickets[[#This Row],[priority]],tbl_sla[priority],tbl_sla[Resolution SLA Hours])</f>
        <v>8</v>
      </c>
      <c r="L74">
        <f>_xlfn.XLOOKUP(tbl_analysis_tickets[[#This Row],[priority]],tbl_sla[priority],tbl_sla[First Response SLA Minutes])</f>
        <v>30</v>
      </c>
      <c r="M74" t="str">
        <f>IF(tbl_analysis_tickets[[#This Row],[resolution_time_hours]]&gt;tbl_analysis_tickets[[#This Row],[Resolution SLA Hours]],"Breached","Within SLA")</f>
        <v>Breached</v>
      </c>
      <c r="N74" t="str">
        <f>IF(tbl_analysis_tickets[[#This Row],[first_response_minutes]]&gt;tbl_analysis_tickets[[#This Row],[First Response SLA Minutes]],"Breached","Within SLA")</f>
        <v>Breached</v>
      </c>
      <c r="O74" t="str" cm="1">
        <f t="array" ref="O74">_xlfn.IFS(
tbl_analysis_tickets[[#This Row],[agent_experience_years]]&lt;=2,"Junior",
tbl_analysis_tickets[[#This Row],[agent_experience_years]]&lt;=5,"Mid-Level",
tbl_analysis_tickets[[#This Row],[agent_experience_years]]&lt;=8,"Senior",
tbl_analysis_tickets[[#This Row],[agent_experience_years]]&gt;8,"Expert"
)</f>
        <v>Senior</v>
      </c>
      <c r="P74" cm="1">
        <f t="array" ref="P74">_xlfn.SWITCH(tbl_analysis_tickets[[#This Row],[customer_satisfaction]],
"Low",1,
"Medium",2,
"High",3
)</f>
        <v>1</v>
      </c>
      <c r="Q74">
        <f>IF(tbl_analysis_tickets[[#This Row],[reopened]]="Yes",1,0)</f>
        <v>1</v>
      </c>
      <c r="R74" t="str" cm="1">
        <f t="array" ref="R74">_xlfn.IFS(
tbl_analysis_tickets[[#This Row],[first_response_minutes]]&lt;=30,"Very Fast",
tbl_analysis_tickets[[#This Row],[first_response_minutes]]&lt;=120,"Acceptable",
tbl_analysis_tickets[[#This Row],[first_response_minutes]]&lt;=240,"Slow",
tbl_analysis_tickets[[#This Row],[first_response_minutes]]&gt;240,"Very Slow"
)</f>
        <v>Slow</v>
      </c>
      <c r="S74" t="str" cm="1">
        <f t="array" ref="S7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74" t="str">
        <f>TEXT(tbl_analysis_tickets[[#This Row],[created_date]],"mmm-yyyy")</f>
        <v>Feb-2024</v>
      </c>
      <c r="U74" t="str">
        <f>TEXT(tbl_analysis_tickets[[#This Row],[created_date]],"dddd")</f>
        <v>Sunday</v>
      </c>
      <c r="V74" cm="1">
        <f t="array" ref="V74">_xlfn.SWITCH(tbl_analysis_tickets[[#This Row],[priority]],
"Urgent",1,
"High",2,
"Medium",3,
"Low",4
)</f>
        <v>1</v>
      </c>
    </row>
    <row r="75" spans="1:22" x14ac:dyDescent="0.25">
      <c r="A75">
        <v>74</v>
      </c>
      <c r="B75" s="1">
        <v>45525</v>
      </c>
      <c r="C75" t="s">
        <v>23</v>
      </c>
      <c r="D75" t="s">
        <v>15</v>
      </c>
      <c r="E75">
        <v>223</v>
      </c>
      <c r="F75">
        <v>69</v>
      </c>
      <c r="G75">
        <v>1.7</v>
      </c>
      <c r="H75" t="s">
        <v>18</v>
      </c>
      <c r="I75" t="s">
        <v>16</v>
      </c>
      <c r="J75" t="s">
        <v>11</v>
      </c>
      <c r="K75">
        <f>_xlfn.XLOOKUP(tbl_analysis_tickets[[#This Row],[priority]],tbl_sla[priority],tbl_sla[Resolution SLA Hours])</f>
        <v>48</v>
      </c>
      <c r="L75">
        <f>_xlfn.XLOOKUP(tbl_analysis_tickets[[#This Row],[priority]],tbl_sla[priority],tbl_sla[First Response SLA Minutes])</f>
        <v>120</v>
      </c>
      <c r="M75" t="str">
        <f>IF(tbl_analysis_tickets[[#This Row],[resolution_time_hours]]&gt;tbl_analysis_tickets[[#This Row],[Resolution SLA Hours]],"Breached","Within SLA")</f>
        <v>Breached</v>
      </c>
      <c r="N75" t="str">
        <f>IF(tbl_analysis_tickets[[#This Row],[first_response_minutes]]&gt;tbl_analysis_tickets[[#This Row],[First Response SLA Minutes]],"Breached","Within SLA")</f>
        <v>Breached</v>
      </c>
      <c r="O75" t="str" cm="1">
        <f t="array" ref="O75">_xlfn.IFS(
tbl_analysis_tickets[[#This Row],[agent_experience_years]]&lt;=2,"Junior",
tbl_analysis_tickets[[#This Row],[agent_experience_years]]&lt;=5,"Mid-Level",
tbl_analysis_tickets[[#This Row],[agent_experience_years]]&lt;=8,"Senior",
tbl_analysis_tickets[[#This Row],[agent_experience_years]]&gt;8,"Expert"
)</f>
        <v>Junior</v>
      </c>
      <c r="P75" cm="1">
        <f t="array" ref="P75">_xlfn.SWITCH(tbl_analysis_tickets[[#This Row],[customer_satisfaction]],
"Low",1,
"Medium",2,
"High",3
)</f>
        <v>1</v>
      </c>
      <c r="Q75">
        <f>IF(tbl_analysis_tickets[[#This Row],[reopened]]="Yes",1,0)</f>
        <v>0</v>
      </c>
      <c r="R75" t="str" cm="1">
        <f t="array" ref="R75">_xlfn.IFS(
tbl_analysis_tickets[[#This Row],[first_response_minutes]]&lt;=30,"Very Fast",
tbl_analysis_tickets[[#This Row],[first_response_minutes]]&lt;=120,"Acceptable",
tbl_analysis_tickets[[#This Row],[first_response_minutes]]&lt;=240,"Slow",
tbl_analysis_tickets[[#This Row],[first_response_minutes]]&gt;240,"Very Slow"
)</f>
        <v>Slow</v>
      </c>
      <c r="S75" t="str" cm="1">
        <f t="array" ref="S7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75" t="str">
        <f>TEXT(tbl_analysis_tickets[[#This Row],[created_date]],"mmm-yyyy")</f>
        <v>Aug-2024</v>
      </c>
      <c r="U75" t="str">
        <f>TEXT(tbl_analysis_tickets[[#This Row],[created_date]],"dddd")</f>
        <v>Wednesday</v>
      </c>
      <c r="V75" cm="1">
        <f t="array" ref="V75">_xlfn.SWITCH(tbl_analysis_tickets[[#This Row],[priority]],
"Urgent",1,
"High",2,
"Medium",3,
"Low",4
)</f>
        <v>3</v>
      </c>
    </row>
    <row r="76" spans="1:22" x14ac:dyDescent="0.25">
      <c r="A76">
        <v>75</v>
      </c>
      <c r="B76" s="1">
        <v>45488</v>
      </c>
      <c r="C76" t="s">
        <v>21</v>
      </c>
      <c r="D76" t="s">
        <v>11</v>
      </c>
      <c r="E76">
        <v>121</v>
      </c>
      <c r="F76">
        <v>23</v>
      </c>
      <c r="G76">
        <v>6.8</v>
      </c>
      <c r="H76" t="s">
        <v>18</v>
      </c>
      <c r="I76" t="s">
        <v>16</v>
      </c>
      <c r="J76" t="s">
        <v>15</v>
      </c>
      <c r="K76">
        <f>_xlfn.XLOOKUP(tbl_analysis_tickets[[#This Row],[priority]],tbl_sla[priority],tbl_sla[Resolution SLA Hours])</f>
        <v>72</v>
      </c>
      <c r="L76">
        <f>_xlfn.XLOOKUP(tbl_analysis_tickets[[#This Row],[priority]],tbl_sla[priority],tbl_sla[First Response SLA Minutes])</f>
        <v>240</v>
      </c>
      <c r="M76" t="str">
        <f>IF(tbl_analysis_tickets[[#This Row],[resolution_time_hours]]&gt;tbl_analysis_tickets[[#This Row],[Resolution SLA Hours]],"Breached","Within SLA")</f>
        <v>Within SLA</v>
      </c>
      <c r="N76" t="str">
        <f>IF(tbl_analysis_tickets[[#This Row],[first_response_minutes]]&gt;tbl_analysis_tickets[[#This Row],[First Response SLA Minutes]],"Breached","Within SLA")</f>
        <v>Within SLA</v>
      </c>
      <c r="O76" t="str" cm="1">
        <f t="array" ref="O76">_xlfn.IFS(
tbl_analysis_tickets[[#This Row],[agent_experience_years]]&lt;=2,"Junior",
tbl_analysis_tickets[[#This Row],[agent_experience_years]]&lt;=5,"Mid-Level",
tbl_analysis_tickets[[#This Row],[agent_experience_years]]&lt;=8,"Senior",
tbl_analysis_tickets[[#This Row],[agent_experience_years]]&gt;8,"Expert"
)</f>
        <v>Senior</v>
      </c>
      <c r="P76" cm="1">
        <f t="array" ref="P76">_xlfn.SWITCH(tbl_analysis_tickets[[#This Row],[customer_satisfaction]],
"Low",1,
"Medium",2,
"High",3
)</f>
        <v>2</v>
      </c>
      <c r="Q76">
        <f>IF(tbl_analysis_tickets[[#This Row],[reopened]]="Yes",1,0)</f>
        <v>0</v>
      </c>
      <c r="R76" t="str" cm="1">
        <f t="array" ref="R76">_xlfn.IFS(
tbl_analysis_tickets[[#This Row],[first_response_minutes]]&lt;=30,"Very Fast",
tbl_analysis_tickets[[#This Row],[first_response_minutes]]&lt;=120,"Acceptable",
tbl_analysis_tickets[[#This Row],[first_response_minutes]]&lt;=240,"Slow",
tbl_analysis_tickets[[#This Row],[first_response_minutes]]&gt;240,"Very Slow"
)</f>
        <v>Slow</v>
      </c>
      <c r="S76" t="str" cm="1">
        <f t="array" ref="S7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76" t="str">
        <f>TEXT(tbl_analysis_tickets[[#This Row],[created_date]],"mmm-yyyy")</f>
        <v>Jul-2024</v>
      </c>
      <c r="U76" t="str">
        <f>TEXT(tbl_analysis_tickets[[#This Row],[created_date]],"dddd")</f>
        <v>Monday</v>
      </c>
      <c r="V76" cm="1">
        <f t="array" ref="V76">_xlfn.SWITCH(tbl_analysis_tickets[[#This Row],[priority]],
"Urgent",1,
"High",2,
"Medium",3,
"Low",4
)</f>
        <v>4</v>
      </c>
    </row>
    <row r="77" spans="1:22" x14ac:dyDescent="0.25">
      <c r="A77">
        <v>76</v>
      </c>
      <c r="B77" s="1">
        <v>45505</v>
      </c>
      <c r="C77" t="s">
        <v>14</v>
      </c>
      <c r="D77" t="s">
        <v>20</v>
      </c>
      <c r="E77">
        <v>81</v>
      </c>
      <c r="F77">
        <v>34</v>
      </c>
      <c r="G77">
        <v>2</v>
      </c>
      <c r="H77" t="s">
        <v>18</v>
      </c>
      <c r="I77" t="s">
        <v>13</v>
      </c>
      <c r="J77" t="s">
        <v>11</v>
      </c>
      <c r="K77">
        <f>_xlfn.XLOOKUP(tbl_analysis_tickets[[#This Row],[priority]],tbl_sla[priority],tbl_sla[Resolution SLA Hours])</f>
        <v>24</v>
      </c>
      <c r="L77">
        <f>_xlfn.XLOOKUP(tbl_analysis_tickets[[#This Row],[priority]],tbl_sla[priority],tbl_sla[First Response SLA Minutes])</f>
        <v>60</v>
      </c>
      <c r="M77" t="str">
        <f>IF(tbl_analysis_tickets[[#This Row],[resolution_time_hours]]&gt;tbl_analysis_tickets[[#This Row],[Resolution SLA Hours]],"Breached","Within SLA")</f>
        <v>Breached</v>
      </c>
      <c r="N77" t="str">
        <f>IF(tbl_analysis_tickets[[#This Row],[first_response_minutes]]&gt;tbl_analysis_tickets[[#This Row],[First Response SLA Minutes]],"Breached","Within SLA")</f>
        <v>Breached</v>
      </c>
      <c r="O77" t="str" cm="1">
        <f t="array" ref="O77">_xlfn.IFS(
tbl_analysis_tickets[[#This Row],[agent_experience_years]]&lt;=2,"Junior",
tbl_analysis_tickets[[#This Row],[agent_experience_years]]&lt;=5,"Mid-Level",
tbl_analysis_tickets[[#This Row],[agent_experience_years]]&lt;=8,"Senior",
tbl_analysis_tickets[[#This Row],[agent_experience_years]]&gt;8,"Expert"
)</f>
        <v>Junior</v>
      </c>
      <c r="P77" cm="1">
        <f t="array" ref="P77">_xlfn.SWITCH(tbl_analysis_tickets[[#This Row],[customer_satisfaction]],
"Low",1,
"Medium",2,
"High",3
)</f>
        <v>1</v>
      </c>
      <c r="Q77">
        <f>IF(tbl_analysis_tickets[[#This Row],[reopened]]="Yes",1,0)</f>
        <v>0</v>
      </c>
      <c r="R77" t="str" cm="1">
        <f t="array" ref="R77">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77" t="str" cm="1">
        <f t="array" ref="S7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77" t="str">
        <f>TEXT(tbl_analysis_tickets[[#This Row],[created_date]],"mmm-yyyy")</f>
        <v>Aug-2024</v>
      </c>
      <c r="U77" t="str">
        <f>TEXT(tbl_analysis_tickets[[#This Row],[created_date]],"dddd")</f>
        <v>Thursday</v>
      </c>
      <c r="V77" cm="1">
        <f t="array" ref="V77">_xlfn.SWITCH(tbl_analysis_tickets[[#This Row],[priority]],
"Urgent",1,
"High",2,
"Medium",3,
"Low",4
)</f>
        <v>2</v>
      </c>
    </row>
    <row r="78" spans="1:22" x14ac:dyDescent="0.25">
      <c r="A78">
        <v>77</v>
      </c>
      <c r="B78" s="1">
        <v>45500</v>
      </c>
      <c r="C78" t="s">
        <v>14</v>
      </c>
      <c r="D78" t="s">
        <v>11</v>
      </c>
      <c r="E78">
        <v>88</v>
      </c>
      <c r="F78">
        <v>38</v>
      </c>
      <c r="G78">
        <v>5.3</v>
      </c>
      <c r="H78" t="s">
        <v>12</v>
      </c>
      <c r="I78" t="s">
        <v>13</v>
      </c>
      <c r="J78" t="s">
        <v>11</v>
      </c>
      <c r="K78">
        <f>_xlfn.XLOOKUP(tbl_analysis_tickets[[#This Row],[priority]],tbl_sla[priority],tbl_sla[Resolution SLA Hours])</f>
        <v>72</v>
      </c>
      <c r="L78">
        <f>_xlfn.XLOOKUP(tbl_analysis_tickets[[#This Row],[priority]],tbl_sla[priority],tbl_sla[First Response SLA Minutes])</f>
        <v>240</v>
      </c>
      <c r="M78" t="str">
        <f>IF(tbl_analysis_tickets[[#This Row],[resolution_time_hours]]&gt;tbl_analysis_tickets[[#This Row],[Resolution SLA Hours]],"Breached","Within SLA")</f>
        <v>Within SLA</v>
      </c>
      <c r="N78" t="str">
        <f>IF(tbl_analysis_tickets[[#This Row],[first_response_minutes]]&gt;tbl_analysis_tickets[[#This Row],[First Response SLA Minutes]],"Breached","Within SLA")</f>
        <v>Within SLA</v>
      </c>
      <c r="O78" t="str" cm="1">
        <f t="array" ref="O78">_xlfn.IFS(
tbl_analysis_tickets[[#This Row],[agent_experience_years]]&lt;=2,"Junior",
tbl_analysis_tickets[[#This Row],[agent_experience_years]]&lt;=5,"Mid-Level",
tbl_analysis_tickets[[#This Row],[agent_experience_years]]&lt;=8,"Senior",
tbl_analysis_tickets[[#This Row],[agent_experience_years]]&gt;8,"Expert"
)</f>
        <v>Senior</v>
      </c>
      <c r="P78" cm="1">
        <f t="array" ref="P78">_xlfn.SWITCH(tbl_analysis_tickets[[#This Row],[customer_satisfaction]],
"Low",1,
"Medium",2,
"High",3
)</f>
        <v>1</v>
      </c>
      <c r="Q78">
        <f>IF(tbl_analysis_tickets[[#This Row],[reopened]]="Yes",1,0)</f>
        <v>1</v>
      </c>
      <c r="R78" t="str" cm="1">
        <f t="array" ref="R78">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78" t="str" cm="1">
        <f t="array" ref="S7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78" t="str">
        <f>TEXT(tbl_analysis_tickets[[#This Row],[created_date]],"mmm-yyyy")</f>
        <v>Jul-2024</v>
      </c>
      <c r="U78" t="str">
        <f>TEXT(tbl_analysis_tickets[[#This Row],[created_date]],"dddd")</f>
        <v>Saturday</v>
      </c>
      <c r="V78" cm="1">
        <f t="array" ref="V78">_xlfn.SWITCH(tbl_analysis_tickets[[#This Row],[priority]],
"Urgent",1,
"High",2,
"Medium",3,
"Low",4
)</f>
        <v>4</v>
      </c>
    </row>
    <row r="79" spans="1:22" x14ac:dyDescent="0.25">
      <c r="A79">
        <v>78</v>
      </c>
      <c r="B79" s="1">
        <v>45511</v>
      </c>
      <c r="C79" t="s">
        <v>23</v>
      </c>
      <c r="D79" t="s">
        <v>15</v>
      </c>
      <c r="E79">
        <v>228</v>
      </c>
      <c r="F79">
        <v>15</v>
      </c>
      <c r="G79">
        <v>9</v>
      </c>
      <c r="H79" t="s">
        <v>18</v>
      </c>
      <c r="I79" t="s">
        <v>16</v>
      </c>
      <c r="J79" t="s">
        <v>15</v>
      </c>
      <c r="K79">
        <f>_xlfn.XLOOKUP(tbl_analysis_tickets[[#This Row],[priority]],tbl_sla[priority],tbl_sla[Resolution SLA Hours])</f>
        <v>48</v>
      </c>
      <c r="L79">
        <f>_xlfn.XLOOKUP(tbl_analysis_tickets[[#This Row],[priority]],tbl_sla[priority],tbl_sla[First Response SLA Minutes])</f>
        <v>120</v>
      </c>
      <c r="M79" t="str">
        <f>IF(tbl_analysis_tickets[[#This Row],[resolution_time_hours]]&gt;tbl_analysis_tickets[[#This Row],[Resolution SLA Hours]],"Breached","Within SLA")</f>
        <v>Within SLA</v>
      </c>
      <c r="N79" t="str">
        <f>IF(tbl_analysis_tickets[[#This Row],[first_response_minutes]]&gt;tbl_analysis_tickets[[#This Row],[First Response SLA Minutes]],"Breached","Within SLA")</f>
        <v>Breached</v>
      </c>
      <c r="O79" t="str" cm="1">
        <f t="array" ref="O79">_xlfn.IFS(
tbl_analysis_tickets[[#This Row],[agent_experience_years]]&lt;=2,"Junior",
tbl_analysis_tickets[[#This Row],[agent_experience_years]]&lt;=5,"Mid-Level",
tbl_analysis_tickets[[#This Row],[agent_experience_years]]&lt;=8,"Senior",
tbl_analysis_tickets[[#This Row],[agent_experience_years]]&gt;8,"Expert"
)</f>
        <v>Expert</v>
      </c>
      <c r="P79" cm="1">
        <f t="array" ref="P79">_xlfn.SWITCH(tbl_analysis_tickets[[#This Row],[customer_satisfaction]],
"Low",1,
"Medium",2,
"High",3
)</f>
        <v>2</v>
      </c>
      <c r="Q79">
        <f>IF(tbl_analysis_tickets[[#This Row],[reopened]]="Yes",1,0)</f>
        <v>0</v>
      </c>
      <c r="R79" t="str" cm="1">
        <f t="array" ref="R79">_xlfn.IFS(
tbl_analysis_tickets[[#This Row],[first_response_minutes]]&lt;=30,"Very Fast",
tbl_analysis_tickets[[#This Row],[first_response_minutes]]&lt;=120,"Acceptable",
tbl_analysis_tickets[[#This Row],[first_response_minutes]]&lt;=240,"Slow",
tbl_analysis_tickets[[#This Row],[first_response_minutes]]&gt;240,"Very Slow"
)</f>
        <v>Slow</v>
      </c>
      <c r="S79" t="str" cm="1">
        <f t="array" ref="S7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79" t="str">
        <f>TEXT(tbl_analysis_tickets[[#This Row],[created_date]],"mmm-yyyy")</f>
        <v>Aug-2024</v>
      </c>
      <c r="U79" t="str">
        <f>TEXT(tbl_analysis_tickets[[#This Row],[created_date]],"dddd")</f>
        <v>Wednesday</v>
      </c>
      <c r="V79" cm="1">
        <f t="array" ref="V79">_xlfn.SWITCH(tbl_analysis_tickets[[#This Row],[priority]],
"Urgent",1,
"High",2,
"Medium",3,
"Low",4
)</f>
        <v>3</v>
      </c>
    </row>
    <row r="80" spans="1:22" x14ac:dyDescent="0.25">
      <c r="A80">
        <v>79</v>
      </c>
      <c r="B80" s="1">
        <v>45295</v>
      </c>
      <c r="C80" t="s">
        <v>22</v>
      </c>
      <c r="D80" t="s">
        <v>17</v>
      </c>
      <c r="E80">
        <v>46</v>
      </c>
      <c r="F80">
        <v>10</v>
      </c>
      <c r="G80">
        <v>8.3000000000000007</v>
      </c>
      <c r="H80" t="s">
        <v>12</v>
      </c>
      <c r="I80" t="s">
        <v>19</v>
      </c>
      <c r="J80" t="s">
        <v>11</v>
      </c>
      <c r="K80">
        <f>_xlfn.XLOOKUP(tbl_analysis_tickets[[#This Row],[priority]],tbl_sla[priority],tbl_sla[Resolution SLA Hours])</f>
        <v>8</v>
      </c>
      <c r="L80">
        <f>_xlfn.XLOOKUP(tbl_analysis_tickets[[#This Row],[priority]],tbl_sla[priority],tbl_sla[First Response SLA Minutes])</f>
        <v>30</v>
      </c>
      <c r="M80" t="str">
        <f>IF(tbl_analysis_tickets[[#This Row],[resolution_time_hours]]&gt;tbl_analysis_tickets[[#This Row],[Resolution SLA Hours]],"Breached","Within SLA")</f>
        <v>Breached</v>
      </c>
      <c r="N80" t="str">
        <f>IF(tbl_analysis_tickets[[#This Row],[first_response_minutes]]&gt;tbl_analysis_tickets[[#This Row],[First Response SLA Minutes]],"Breached","Within SLA")</f>
        <v>Breached</v>
      </c>
      <c r="O80" t="str" cm="1">
        <f t="array" ref="O80">_xlfn.IFS(
tbl_analysis_tickets[[#This Row],[agent_experience_years]]&lt;=2,"Junior",
tbl_analysis_tickets[[#This Row],[agent_experience_years]]&lt;=5,"Mid-Level",
tbl_analysis_tickets[[#This Row],[agent_experience_years]]&lt;=8,"Senior",
tbl_analysis_tickets[[#This Row],[agent_experience_years]]&gt;8,"Expert"
)</f>
        <v>Expert</v>
      </c>
      <c r="P80" cm="1">
        <f t="array" ref="P80">_xlfn.SWITCH(tbl_analysis_tickets[[#This Row],[customer_satisfaction]],
"Low",1,
"Medium",2,
"High",3
)</f>
        <v>1</v>
      </c>
      <c r="Q80">
        <f>IF(tbl_analysis_tickets[[#This Row],[reopened]]="Yes",1,0)</f>
        <v>1</v>
      </c>
      <c r="R80" t="str" cm="1">
        <f t="array" ref="R80">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80" t="str" cm="1">
        <f t="array" ref="S8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80" t="str">
        <f>TEXT(tbl_analysis_tickets[[#This Row],[created_date]],"mmm-yyyy")</f>
        <v>Jan-2024</v>
      </c>
      <c r="U80" t="str">
        <f>TEXT(tbl_analysis_tickets[[#This Row],[created_date]],"dddd")</f>
        <v>Thursday</v>
      </c>
      <c r="V80" cm="1">
        <f t="array" ref="V80">_xlfn.SWITCH(tbl_analysis_tickets[[#This Row],[priority]],
"Urgent",1,
"High",2,
"Medium",3,
"Low",4
)</f>
        <v>1</v>
      </c>
    </row>
    <row r="81" spans="1:22" x14ac:dyDescent="0.25">
      <c r="A81">
        <v>80</v>
      </c>
      <c r="B81" s="1">
        <v>45507</v>
      </c>
      <c r="C81" t="s">
        <v>23</v>
      </c>
      <c r="D81" t="s">
        <v>20</v>
      </c>
      <c r="E81">
        <v>151</v>
      </c>
      <c r="F81">
        <v>62</v>
      </c>
      <c r="G81">
        <v>9</v>
      </c>
      <c r="H81" t="s">
        <v>12</v>
      </c>
      <c r="I81" t="s">
        <v>13</v>
      </c>
      <c r="J81" t="s">
        <v>11</v>
      </c>
      <c r="K81">
        <f>_xlfn.XLOOKUP(tbl_analysis_tickets[[#This Row],[priority]],tbl_sla[priority],tbl_sla[Resolution SLA Hours])</f>
        <v>24</v>
      </c>
      <c r="L81">
        <f>_xlfn.XLOOKUP(tbl_analysis_tickets[[#This Row],[priority]],tbl_sla[priority],tbl_sla[First Response SLA Minutes])</f>
        <v>60</v>
      </c>
      <c r="M81" t="str">
        <f>IF(tbl_analysis_tickets[[#This Row],[resolution_time_hours]]&gt;tbl_analysis_tickets[[#This Row],[Resolution SLA Hours]],"Breached","Within SLA")</f>
        <v>Breached</v>
      </c>
      <c r="N81" t="str">
        <f>IF(tbl_analysis_tickets[[#This Row],[first_response_minutes]]&gt;tbl_analysis_tickets[[#This Row],[First Response SLA Minutes]],"Breached","Within SLA")</f>
        <v>Breached</v>
      </c>
      <c r="O81" t="str" cm="1">
        <f t="array" ref="O81">_xlfn.IFS(
tbl_analysis_tickets[[#This Row],[agent_experience_years]]&lt;=2,"Junior",
tbl_analysis_tickets[[#This Row],[agent_experience_years]]&lt;=5,"Mid-Level",
tbl_analysis_tickets[[#This Row],[agent_experience_years]]&lt;=8,"Senior",
tbl_analysis_tickets[[#This Row],[agent_experience_years]]&gt;8,"Expert"
)</f>
        <v>Expert</v>
      </c>
      <c r="P81" cm="1">
        <f t="array" ref="P81">_xlfn.SWITCH(tbl_analysis_tickets[[#This Row],[customer_satisfaction]],
"Low",1,
"Medium",2,
"High",3
)</f>
        <v>1</v>
      </c>
      <c r="Q81">
        <f>IF(tbl_analysis_tickets[[#This Row],[reopened]]="Yes",1,0)</f>
        <v>1</v>
      </c>
      <c r="R81" t="str" cm="1">
        <f t="array" ref="R81">_xlfn.IFS(
tbl_analysis_tickets[[#This Row],[first_response_minutes]]&lt;=30,"Very Fast",
tbl_analysis_tickets[[#This Row],[first_response_minutes]]&lt;=120,"Acceptable",
tbl_analysis_tickets[[#This Row],[first_response_minutes]]&lt;=240,"Slow",
tbl_analysis_tickets[[#This Row],[first_response_minutes]]&gt;240,"Very Slow"
)</f>
        <v>Slow</v>
      </c>
      <c r="S81" t="str" cm="1">
        <f t="array" ref="S8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81" t="str">
        <f>TEXT(tbl_analysis_tickets[[#This Row],[created_date]],"mmm-yyyy")</f>
        <v>Aug-2024</v>
      </c>
      <c r="U81" t="str">
        <f>TEXT(tbl_analysis_tickets[[#This Row],[created_date]],"dddd")</f>
        <v>Saturday</v>
      </c>
      <c r="V81" cm="1">
        <f t="array" ref="V81">_xlfn.SWITCH(tbl_analysis_tickets[[#This Row],[priority]],
"Urgent",1,
"High",2,
"Medium",3,
"Low",4
)</f>
        <v>2</v>
      </c>
    </row>
    <row r="82" spans="1:22" x14ac:dyDescent="0.25">
      <c r="A82">
        <v>81</v>
      </c>
      <c r="B82" s="1">
        <v>45519</v>
      </c>
      <c r="C82" t="s">
        <v>10</v>
      </c>
      <c r="D82" t="s">
        <v>17</v>
      </c>
      <c r="E82">
        <v>213</v>
      </c>
      <c r="F82">
        <v>29</v>
      </c>
      <c r="G82">
        <v>4.2</v>
      </c>
      <c r="H82" t="s">
        <v>12</v>
      </c>
      <c r="I82" t="s">
        <v>19</v>
      </c>
      <c r="J82" t="s">
        <v>11</v>
      </c>
      <c r="K82">
        <f>_xlfn.XLOOKUP(tbl_analysis_tickets[[#This Row],[priority]],tbl_sla[priority],tbl_sla[Resolution SLA Hours])</f>
        <v>8</v>
      </c>
      <c r="L82">
        <f>_xlfn.XLOOKUP(tbl_analysis_tickets[[#This Row],[priority]],tbl_sla[priority],tbl_sla[First Response SLA Minutes])</f>
        <v>30</v>
      </c>
      <c r="M82" t="str">
        <f>IF(tbl_analysis_tickets[[#This Row],[resolution_time_hours]]&gt;tbl_analysis_tickets[[#This Row],[Resolution SLA Hours]],"Breached","Within SLA")</f>
        <v>Breached</v>
      </c>
      <c r="N82" t="str">
        <f>IF(tbl_analysis_tickets[[#This Row],[first_response_minutes]]&gt;tbl_analysis_tickets[[#This Row],[First Response SLA Minutes]],"Breached","Within SLA")</f>
        <v>Breached</v>
      </c>
      <c r="O82" t="str" cm="1">
        <f t="array" ref="O82">_xlfn.IFS(
tbl_analysis_tickets[[#This Row],[agent_experience_years]]&lt;=2,"Junior",
tbl_analysis_tickets[[#This Row],[agent_experience_years]]&lt;=5,"Mid-Level",
tbl_analysis_tickets[[#This Row],[agent_experience_years]]&lt;=8,"Senior",
tbl_analysis_tickets[[#This Row],[agent_experience_years]]&gt;8,"Expert"
)</f>
        <v>Mid-Level</v>
      </c>
      <c r="P82" cm="1">
        <f t="array" ref="P82">_xlfn.SWITCH(tbl_analysis_tickets[[#This Row],[customer_satisfaction]],
"Low",1,
"Medium",2,
"High",3
)</f>
        <v>1</v>
      </c>
      <c r="Q82">
        <f>IF(tbl_analysis_tickets[[#This Row],[reopened]]="Yes",1,0)</f>
        <v>1</v>
      </c>
      <c r="R82" t="str" cm="1">
        <f t="array" ref="R82">_xlfn.IFS(
tbl_analysis_tickets[[#This Row],[first_response_minutes]]&lt;=30,"Very Fast",
tbl_analysis_tickets[[#This Row],[first_response_minutes]]&lt;=120,"Acceptable",
tbl_analysis_tickets[[#This Row],[first_response_minutes]]&lt;=240,"Slow",
tbl_analysis_tickets[[#This Row],[first_response_minutes]]&gt;240,"Very Slow"
)</f>
        <v>Slow</v>
      </c>
      <c r="S82" t="str" cm="1">
        <f t="array" ref="S8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82" t="str">
        <f>TEXT(tbl_analysis_tickets[[#This Row],[created_date]],"mmm-yyyy")</f>
        <v>Aug-2024</v>
      </c>
      <c r="U82" t="str">
        <f>TEXT(tbl_analysis_tickets[[#This Row],[created_date]],"dddd")</f>
        <v>Thursday</v>
      </c>
      <c r="V82" cm="1">
        <f t="array" ref="V82">_xlfn.SWITCH(tbl_analysis_tickets[[#This Row],[priority]],
"Urgent",1,
"High",2,
"Medium",3,
"Low",4
)</f>
        <v>1</v>
      </c>
    </row>
    <row r="83" spans="1:22" x14ac:dyDescent="0.25">
      <c r="A83">
        <v>82</v>
      </c>
      <c r="B83" s="1">
        <v>45522</v>
      </c>
      <c r="C83" t="s">
        <v>21</v>
      </c>
      <c r="D83" t="s">
        <v>17</v>
      </c>
      <c r="E83">
        <v>183</v>
      </c>
      <c r="F83">
        <v>54</v>
      </c>
      <c r="G83">
        <v>3.3</v>
      </c>
      <c r="H83" t="s">
        <v>12</v>
      </c>
      <c r="I83" t="s">
        <v>16</v>
      </c>
      <c r="J83" t="s">
        <v>11</v>
      </c>
      <c r="K83">
        <f>_xlfn.XLOOKUP(tbl_analysis_tickets[[#This Row],[priority]],tbl_sla[priority],tbl_sla[Resolution SLA Hours])</f>
        <v>8</v>
      </c>
      <c r="L83">
        <f>_xlfn.XLOOKUP(tbl_analysis_tickets[[#This Row],[priority]],tbl_sla[priority],tbl_sla[First Response SLA Minutes])</f>
        <v>30</v>
      </c>
      <c r="M83" t="str">
        <f>IF(tbl_analysis_tickets[[#This Row],[resolution_time_hours]]&gt;tbl_analysis_tickets[[#This Row],[Resolution SLA Hours]],"Breached","Within SLA")</f>
        <v>Breached</v>
      </c>
      <c r="N83" t="str">
        <f>IF(tbl_analysis_tickets[[#This Row],[first_response_minutes]]&gt;tbl_analysis_tickets[[#This Row],[First Response SLA Minutes]],"Breached","Within SLA")</f>
        <v>Breached</v>
      </c>
      <c r="O83" t="str" cm="1">
        <f t="array" ref="O83">_xlfn.IFS(
tbl_analysis_tickets[[#This Row],[agent_experience_years]]&lt;=2,"Junior",
tbl_analysis_tickets[[#This Row],[agent_experience_years]]&lt;=5,"Mid-Level",
tbl_analysis_tickets[[#This Row],[agent_experience_years]]&lt;=8,"Senior",
tbl_analysis_tickets[[#This Row],[agent_experience_years]]&gt;8,"Expert"
)</f>
        <v>Mid-Level</v>
      </c>
      <c r="P83" cm="1">
        <f t="array" ref="P83">_xlfn.SWITCH(tbl_analysis_tickets[[#This Row],[customer_satisfaction]],
"Low",1,
"Medium",2,
"High",3
)</f>
        <v>1</v>
      </c>
      <c r="Q83">
        <f>IF(tbl_analysis_tickets[[#This Row],[reopened]]="Yes",1,0)</f>
        <v>1</v>
      </c>
      <c r="R83" t="str" cm="1">
        <f t="array" ref="R83">_xlfn.IFS(
tbl_analysis_tickets[[#This Row],[first_response_minutes]]&lt;=30,"Very Fast",
tbl_analysis_tickets[[#This Row],[first_response_minutes]]&lt;=120,"Acceptable",
tbl_analysis_tickets[[#This Row],[first_response_minutes]]&lt;=240,"Slow",
tbl_analysis_tickets[[#This Row],[first_response_minutes]]&gt;240,"Very Slow"
)</f>
        <v>Slow</v>
      </c>
      <c r="S83" t="str" cm="1">
        <f t="array" ref="S8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83" t="str">
        <f>TEXT(tbl_analysis_tickets[[#This Row],[created_date]],"mmm-yyyy")</f>
        <v>Aug-2024</v>
      </c>
      <c r="U83" t="str">
        <f>TEXT(tbl_analysis_tickets[[#This Row],[created_date]],"dddd")</f>
        <v>Sunday</v>
      </c>
      <c r="V83" cm="1">
        <f t="array" ref="V83">_xlfn.SWITCH(tbl_analysis_tickets[[#This Row],[priority]],
"Urgent",1,
"High",2,
"Medium",3,
"Low",4
)</f>
        <v>1</v>
      </c>
    </row>
    <row r="84" spans="1:22" x14ac:dyDescent="0.25">
      <c r="A84">
        <v>83</v>
      </c>
      <c r="B84" s="1">
        <v>45598</v>
      </c>
      <c r="C84" t="s">
        <v>23</v>
      </c>
      <c r="D84" t="s">
        <v>17</v>
      </c>
      <c r="E84">
        <v>132</v>
      </c>
      <c r="F84">
        <v>60</v>
      </c>
      <c r="G84">
        <v>4.3</v>
      </c>
      <c r="H84" t="s">
        <v>18</v>
      </c>
      <c r="I84" t="s">
        <v>19</v>
      </c>
      <c r="J84" t="s">
        <v>11</v>
      </c>
      <c r="K84">
        <f>_xlfn.XLOOKUP(tbl_analysis_tickets[[#This Row],[priority]],tbl_sla[priority],tbl_sla[Resolution SLA Hours])</f>
        <v>8</v>
      </c>
      <c r="L84">
        <f>_xlfn.XLOOKUP(tbl_analysis_tickets[[#This Row],[priority]],tbl_sla[priority],tbl_sla[First Response SLA Minutes])</f>
        <v>30</v>
      </c>
      <c r="M84" t="str">
        <f>IF(tbl_analysis_tickets[[#This Row],[resolution_time_hours]]&gt;tbl_analysis_tickets[[#This Row],[Resolution SLA Hours]],"Breached","Within SLA")</f>
        <v>Breached</v>
      </c>
      <c r="N84" t="str">
        <f>IF(tbl_analysis_tickets[[#This Row],[first_response_minutes]]&gt;tbl_analysis_tickets[[#This Row],[First Response SLA Minutes]],"Breached","Within SLA")</f>
        <v>Breached</v>
      </c>
      <c r="O84" t="str" cm="1">
        <f t="array" ref="O84">_xlfn.IFS(
tbl_analysis_tickets[[#This Row],[agent_experience_years]]&lt;=2,"Junior",
tbl_analysis_tickets[[#This Row],[agent_experience_years]]&lt;=5,"Mid-Level",
tbl_analysis_tickets[[#This Row],[agent_experience_years]]&lt;=8,"Senior",
tbl_analysis_tickets[[#This Row],[agent_experience_years]]&gt;8,"Expert"
)</f>
        <v>Mid-Level</v>
      </c>
      <c r="P84" cm="1">
        <f t="array" ref="P84">_xlfn.SWITCH(tbl_analysis_tickets[[#This Row],[customer_satisfaction]],
"Low",1,
"Medium",2,
"High",3
)</f>
        <v>1</v>
      </c>
      <c r="Q84">
        <f>IF(tbl_analysis_tickets[[#This Row],[reopened]]="Yes",1,0)</f>
        <v>0</v>
      </c>
      <c r="R84" t="str" cm="1">
        <f t="array" ref="R84">_xlfn.IFS(
tbl_analysis_tickets[[#This Row],[first_response_minutes]]&lt;=30,"Very Fast",
tbl_analysis_tickets[[#This Row],[first_response_minutes]]&lt;=120,"Acceptable",
tbl_analysis_tickets[[#This Row],[first_response_minutes]]&lt;=240,"Slow",
tbl_analysis_tickets[[#This Row],[first_response_minutes]]&gt;240,"Very Slow"
)</f>
        <v>Slow</v>
      </c>
      <c r="S84" t="str" cm="1">
        <f t="array" ref="S8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84" t="str">
        <f>TEXT(tbl_analysis_tickets[[#This Row],[created_date]],"mmm-yyyy")</f>
        <v>Nov-2024</v>
      </c>
      <c r="U84" t="str">
        <f>TEXT(tbl_analysis_tickets[[#This Row],[created_date]],"dddd")</f>
        <v>Saturday</v>
      </c>
      <c r="V84" cm="1">
        <f t="array" ref="V84">_xlfn.SWITCH(tbl_analysis_tickets[[#This Row],[priority]],
"Urgent",1,
"High",2,
"Medium",3,
"Low",4
)</f>
        <v>1</v>
      </c>
    </row>
    <row r="85" spans="1:22" x14ac:dyDescent="0.25">
      <c r="A85">
        <v>84</v>
      </c>
      <c r="B85" s="1">
        <v>45406</v>
      </c>
      <c r="C85" t="s">
        <v>14</v>
      </c>
      <c r="D85" t="s">
        <v>20</v>
      </c>
      <c r="E85">
        <v>166</v>
      </c>
      <c r="F85">
        <v>60</v>
      </c>
      <c r="G85">
        <v>3.4</v>
      </c>
      <c r="H85" t="s">
        <v>12</v>
      </c>
      <c r="I85" t="s">
        <v>19</v>
      </c>
      <c r="J85" t="s">
        <v>11</v>
      </c>
      <c r="K85">
        <f>_xlfn.XLOOKUP(tbl_analysis_tickets[[#This Row],[priority]],tbl_sla[priority],tbl_sla[Resolution SLA Hours])</f>
        <v>24</v>
      </c>
      <c r="L85">
        <f>_xlfn.XLOOKUP(tbl_analysis_tickets[[#This Row],[priority]],tbl_sla[priority],tbl_sla[First Response SLA Minutes])</f>
        <v>60</v>
      </c>
      <c r="M85" t="str">
        <f>IF(tbl_analysis_tickets[[#This Row],[resolution_time_hours]]&gt;tbl_analysis_tickets[[#This Row],[Resolution SLA Hours]],"Breached","Within SLA")</f>
        <v>Breached</v>
      </c>
      <c r="N85" t="str">
        <f>IF(tbl_analysis_tickets[[#This Row],[first_response_minutes]]&gt;tbl_analysis_tickets[[#This Row],[First Response SLA Minutes]],"Breached","Within SLA")</f>
        <v>Breached</v>
      </c>
      <c r="O85" t="str" cm="1">
        <f t="array" ref="O85">_xlfn.IFS(
tbl_analysis_tickets[[#This Row],[agent_experience_years]]&lt;=2,"Junior",
tbl_analysis_tickets[[#This Row],[agent_experience_years]]&lt;=5,"Mid-Level",
tbl_analysis_tickets[[#This Row],[agent_experience_years]]&lt;=8,"Senior",
tbl_analysis_tickets[[#This Row],[agent_experience_years]]&gt;8,"Expert"
)</f>
        <v>Mid-Level</v>
      </c>
      <c r="P85" cm="1">
        <f t="array" ref="P85">_xlfn.SWITCH(tbl_analysis_tickets[[#This Row],[customer_satisfaction]],
"Low",1,
"Medium",2,
"High",3
)</f>
        <v>1</v>
      </c>
      <c r="Q85">
        <f>IF(tbl_analysis_tickets[[#This Row],[reopened]]="Yes",1,0)</f>
        <v>1</v>
      </c>
      <c r="R85" t="str" cm="1">
        <f t="array" ref="R85">_xlfn.IFS(
tbl_analysis_tickets[[#This Row],[first_response_minutes]]&lt;=30,"Very Fast",
tbl_analysis_tickets[[#This Row],[first_response_minutes]]&lt;=120,"Acceptable",
tbl_analysis_tickets[[#This Row],[first_response_minutes]]&lt;=240,"Slow",
tbl_analysis_tickets[[#This Row],[first_response_minutes]]&gt;240,"Very Slow"
)</f>
        <v>Slow</v>
      </c>
      <c r="S85" t="str" cm="1">
        <f t="array" ref="S8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85" t="str">
        <f>TEXT(tbl_analysis_tickets[[#This Row],[created_date]],"mmm-yyyy")</f>
        <v>Apr-2024</v>
      </c>
      <c r="U85" t="str">
        <f>TEXT(tbl_analysis_tickets[[#This Row],[created_date]],"dddd")</f>
        <v>Wednesday</v>
      </c>
      <c r="V85" cm="1">
        <f t="array" ref="V85">_xlfn.SWITCH(tbl_analysis_tickets[[#This Row],[priority]],
"Urgent",1,
"High",2,
"Medium",3,
"Low",4
)</f>
        <v>2</v>
      </c>
    </row>
    <row r="86" spans="1:22" x14ac:dyDescent="0.25">
      <c r="A86">
        <v>85</v>
      </c>
      <c r="B86" s="1">
        <v>45321</v>
      </c>
      <c r="C86" t="s">
        <v>21</v>
      </c>
      <c r="D86" t="s">
        <v>15</v>
      </c>
      <c r="E86">
        <v>140</v>
      </c>
      <c r="F86">
        <v>4</v>
      </c>
      <c r="G86">
        <v>5.6</v>
      </c>
      <c r="H86" t="s">
        <v>12</v>
      </c>
      <c r="I86" t="s">
        <v>13</v>
      </c>
      <c r="J86" t="s">
        <v>15</v>
      </c>
      <c r="K86">
        <f>_xlfn.XLOOKUP(tbl_analysis_tickets[[#This Row],[priority]],tbl_sla[priority],tbl_sla[Resolution SLA Hours])</f>
        <v>48</v>
      </c>
      <c r="L86">
        <f>_xlfn.XLOOKUP(tbl_analysis_tickets[[#This Row],[priority]],tbl_sla[priority],tbl_sla[First Response SLA Minutes])</f>
        <v>120</v>
      </c>
      <c r="M86" t="str">
        <f>IF(tbl_analysis_tickets[[#This Row],[resolution_time_hours]]&gt;tbl_analysis_tickets[[#This Row],[Resolution SLA Hours]],"Breached","Within SLA")</f>
        <v>Within SLA</v>
      </c>
      <c r="N86" t="str">
        <f>IF(tbl_analysis_tickets[[#This Row],[first_response_minutes]]&gt;tbl_analysis_tickets[[#This Row],[First Response SLA Minutes]],"Breached","Within SLA")</f>
        <v>Breached</v>
      </c>
      <c r="O86" t="str" cm="1">
        <f t="array" ref="O86">_xlfn.IFS(
tbl_analysis_tickets[[#This Row],[agent_experience_years]]&lt;=2,"Junior",
tbl_analysis_tickets[[#This Row],[agent_experience_years]]&lt;=5,"Mid-Level",
tbl_analysis_tickets[[#This Row],[agent_experience_years]]&lt;=8,"Senior",
tbl_analysis_tickets[[#This Row],[agent_experience_years]]&gt;8,"Expert"
)</f>
        <v>Senior</v>
      </c>
      <c r="P86" cm="1">
        <f t="array" ref="P86">_xlfn.SWITCH(tbl_analysis_tickets[[#This Row],[customer_satisfaction]],
"Low",1,
"Medium",2,
"High",3
)</f>
        <v>2</v>
      </c>
      <c r="Q86">
        <f>IF(tbl_analysis_tickets[[#This Row],[reopened]]="Yes",1,0)</f>
        <v>1</v>
      </c>
      <c r="R86" t="str" cm="1">
        <f t="array" ref="R86">_xlfn.IFS(
tbl_analysis_tickets[[#This Row],[first_response_minutes]]&lt;=30,"Very Fast",
tbl_analysis_tickets[[#This Row],[first_response_minutes]]&lt;=120,"Acceptable",
tbl_analysis_tickets[[#This Row],[first_response_minutes]]&lt;=240,"Slow",
tbl_analysis_tickets[[#This Row],[first_response_minutes]]&gt;240,"Very Slow"
)</f>
        <v>Slow</v>
      </c>
      <c r="S86" t="str" cm="1">
        <f t="array" ref="S8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86" t="str">
        <f>TEXT(tbl_analysis_tickets[[#This Row],[created_date]],"mmm-yyyy")</f>
        <v>Jan-2024</v>
      </c>
      <c r="U86" t="str">
        <f>TEXT(tbl_analysis_tickets[[#This Row],[created_date]],"dddd")</f>
        <v>Tuesday</v>
      </c>
      <c r="V86" cm="1">
        <f t="array" ref="V86">_xlfn.SWITCH(tbl_analysis_tickets[[#This Row],[priority]],
"Urgent",1,
"High",2,
"Medium",3,
"Low",4
)</f>
        <v>3</v>
      </c>
    </row>
    <row r="87" spans="1:22" x14ac:dyDescent="0.25">
      <c r="A87">
        <v>86</v>
      </c>
      <c r="B87" s="1">
        <v>45452</v>
      </c>
      <c r="C87" t="s">
        <v>23</v>
      </c>
      <c r="D87" t="s">
        <v>20</v>
      </c>
      <c r="E87">
        <v>47</v>
      </c>
      <c r="F87">
        <v>26</v>
      </c>
      <c r="G87">
        <v>0.8</v>
      </c>
      <c r="H87" t="s">
        <v>18</v>
      </c>
      <c r="I87" t="s">
        <v>19</v>
      </c>
      <c r="J87" t="s">
        <v>11</v>
      </c>
      <c r="K87">
        <f>_xlfn.XLOOKUP(tbl_analysis_tickets[[#This Row],[priority]],tbl_sla[priority],tbl_sla[Resolution SLA Hours])</f>
        <v>24</v>
      </c>
      <c r="L87">
        <f>_xlfn.XLOOKUP(tbl_analysis_tickets[[#This Row],[priority]],tbl_sla[priority],tbl_sla[First Response SLA Minutes])</f>
        <v>60</v>
      </c>
      <c r="M87" t="str">
        <f>IF(tbl_analysis_tickets[[#This Row],[resolution_time_hours]]&gt;tbl_analysis_tickets[[#This Row],[Resolution SLA Hours]],"Breached","Within SLA")</f>
        <v>Breached</v>
      </c>
      <c r="N87" t="str">
        <f>IF(tbl_analysis_tickets[[#This Row],[first_response_minutes]]&gt;tbl_analysis_tickets[[#This Row],[First Response SLA Minutes]],"Breached","Within SLA")</f>
        <v>Within SLA</v>
      </c>
      <c r="O87" t="str" cm="1">
        <f t="array" ref="O87">_xlfn.IFS(
tbl_analysis_tickets[[#This Row],[agent_experience_years]]&lt;=2,"Junior",
tbl_analysis_tickets[[#This Row],[agent_experience_years]]&lt;=5,"Mid-Level",
tbl_analysis_tickets[[#This Row],[agent_experience_years]]&lt;=8,"Senior",
tbl_analysis_tickets[[#This Row],[agent_experience_years]]&gt;8,"Expert"
)</f>
        <v>Junior</v>
      </c>
      <c r="P87" cm="1">
        <f t="array" ref="P87">_xlfn.SWITCH(tbl_analysis_tickets[[#This Row],[customer_satisfaction]],
"Low",1,
"Medium",2,
"High",3
)</f>
        <v>1</v>
      </c>
      <c r="Q87">
        <f>IF(tbl_analysis_tickets[[#This Row],[reopened]]="Yes",1,0)</f>
        <v>0</v>
      </c>
      <c r="R87" t="str" cm="1">
        <f t="array" ref="R87">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87" t="str" cm="1">
        <f t="array" ref="S8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87" t="str">
        <f>TEXT(tbl_analysis_tickets[[#This Row],[created_date]],"mmm-yyyy")</f>
        <v>Jun-2024</v>
      </c>
      <c r="U87" t="str">
        <f>TEXT(tbl_analysis_tickets[[#This Row],[created_date]],"dddd")</f>
        <v>Sunday</v>
      </c>
      <c r="V87" cm="1">
        <f t="array" ref="V87">_xlfn.SWITCH(tbl_analysis_tickets[[#This Row],[priority]],
"Urgent",1,
"High",2,
"Medium",3,
"Low",4
)</f>
        <v>2</v>
      </c>
    </row>
    <row r="88" spans="1:22" x14ac:dyDescent="0.25">
      <c r="A88">
        <v>87</v>
      </c>
      <c r="B88" s="1">
        <v>45524</v>
      </c>
      <c r="C88" t="s">
        <v>14</v>
      </c>
      <c r="D88" t="s">
        <v>15</v>
      </c>
      <c r="E88">
        <v>14</v>
      </c>
      <c r="F88">
        <v>3</v>
      </c>
      <c r="G88">
        <v>1.8</v>
      </c>
      <c r="H88" t="s">
        <v>18</v>
      </c>
      <c r="I88" t="s">
        <v>16</v>
      </c>
      <c r="J88" t="s">
        <v>20</v>
      </c>
      <c r="K88">
        <f>_xlfn.XLOOKUP(tbl_analysis_tickets[[#This Row],[priority]],tbl_sla[priority],tbl_sla[Resolution SLA Hours])</f>
        <v>48</v>
      </c>
      <c r="L88">
        <f>_xlfn.XLOOKUP(tbl_analysis_tickets[[#This Row],[priority]],tbl_sla[priority],tbl_sla[First Response SLA Minutes])</f>
        <v>120</v>
      </c>
      <c r="M88" t="str">
        <f>IF(tbl_analysis_tickets[[#This Row],[resolution_time_hours]]&gt;tbl_analysis_tickets[[#This Row],[Resolution SLA Hours]],"Breached","Within SLA")</f>
        <v>Within SLA</v>
      </c>
      <c r="N88" t="str">
        <f>IF(tbl_analysis_tickets[[#This Row],[first_response_minutes]]&gt;tbl_analysis_tickets[[#This Row],[First Response SLA Minutes]],"Breached","Within SLA")</f>
        <v>Within SLA</v>
      </c>
      <c r="O88" t="str" cm="1">
        <f t="array" ref="O88">_xlfn.IFS(
tbl_analysis_tickets[[#This Row],[agent_experience_years]]&lt;=2,"Junior",
tbl_analysis_tickets[[#This Row],[agent_experience_years]]&lt;=5,"Mid-Level",
tbl_analysis_tickets[[#This Row],[agent_experience_years]]&lt;=8,"Senior",
tbl_analysis_tickets[[#This Row],[agent_experience_years]]&gt;8,"Expert"
)</f>
        <v>Junior</v>
      </c>
      <c r="P88" cm="1">
        <f t="array" ref="P88">_xlfn.SWITCH(tbl_analysis_tickets[[#This Row],[customer_satisfaction]],
"Low",1,
"Medium",2,
"High",3
)</f>
        <v>3</v>
      </c>
      <c r="Q88">
        <f>IF(tbl_analysis_tickets[[#This Row],[reopened]]="Yes",1,0)</f>
        <v>0</v>
      </c>
      <c r="R88" t="str" cm="1">
        <f t="array" ref="R88">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88" t="str" cm="1">
        <f t="array" ref="S8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88" t="str">
        <f>TEXT(tbl_analysis_tickets[[#This Row],[created_date]],"mmm-yyyy")</f>
        <v>Aug-2024</v>
      </c>
      <c r="U88" t="str">
        <f>TEXT(tbl_analysis_tickets[[#This Row],[created_date]],"dddd")</f>
        <v>Tuesday</v>
      </c>
      <c r="V88" cm="1">
        <f t="array" ref="V88">_xlfn.SWITCH(tbl_analysis_tickets[[#This Row],[priority]],
"Urgent",1,
"High",2,
"Medium",3,
"Low",4
)</f>
        <v>3</v>
      </c>
    </row>
    <row r="89" spans="1:22" x14ac:dyDescent="0.25">
      <c r="A89">
        <v>88</v>
      </c>
      <c r="B89" s="1">
        <v>45422</v>
      </c>
      <c r="C89" t="s">
        <v>23</v>
      </c>
      <c r="D89" t="s">
        <v>17</v>
      </c>
      <c r="E89">
        <v>166</v>
      </c>
      <c r="F89">
        <v>46</v>
      </c>
      <c r="G89">
        <v>3</v>
      </c>
      <c r="H89" t="s">
        <v>12</v>
      </c>
      <c r="I89" t="s">
        <v>16</v>
      </c>
      <c r="J89" t="s">
        <v>11</v>
      </c>
      <c r="K89">
        <f>_xlfn.XLOOKUP(tbl_analysis_tickets[[#This Row],[priority]],tbl_sla[priority],tbl_sla[Resolution SLA Hours])</f>
        <v>8</v>
      </c>
      <c r="L89">
        <f>_xlfn.XLOOKUP(tbl_analysis_tickets[[#This Row],[priority]],tbl_sla[priority],tbl_sla[First Response SLA Minutes])</f>
        <v>30</v>
      </c>
      <c r="M89" t="str">
        <f>IF(tbl_analysis_tickets[[#This Row],[resolution_time_hours]]&gt;tbl_analysis_tickets[[#This Row],[Resolution SLA Hours]],"Breached","Within SLA")</f>
        <v>Breached</v>
      </c>
      <c r="N89" t="str">
        <f>IF(tbl_analysis_tickets[[#This Row],[first_response_minutes]]&gt;tbl_analysis_tickets[[#This Row],[First Response SLA Minutes]],"Breached","Within SLA")</f>
        <v>Breached</v>
      </c>
      <c r="O89" t="str" cm="1">
        <f t="array" ref="O89">_xlfn.IFS(
tbl_analysis_tickets[[#This Row],[agent_experience_years]]&lt;=2,"Junior",
tbl_analysis_tickets[[#This Row],[agent_experience_years]]&lt;=5,"Mid-Level",
tbl_analysis_tickets[[#This Row],[agent_experience_years]]&lt;=8,"Senior",
tbl_analysis_tickets[[#This Row],[agent_experience_years]]&gt;8,"Expert"
)</f>
        <v>Mid-Level</v>
      </c>
      <c r="P89" cm="1">
        <f t="array" ref="P89">_xlfn.SWITCH(tbl_analysis_tickets[[#This Row],[customer_satisfaction]],
"Low",1,
"Medium",2,
"High",3
)</f>
        <v>1</v>
      </c>
      <c r="Q89">
        <f>IF(tbl_analysis_tickets[[#This Row],[reopened]]="Yes",1,0)</f>
        <v>1</v>
      </c>
      <c r="R89" t="str" cm="1">
        <f t="array" ref="R89">_xlfn.IFS(
tbl_analysis_tickets[[#This Row],[first_response_minutes]]&lt;=30,"Very Fast",
tbl_analysis_tickets[[#This Row],[first_response_minutes]]&lt;=120,"Acceptable",
tbl_analysis_tickets[[#This Row],[first_response_minutes]]&lt;=240,"Slow",
tbl_analysis_tickets[[#This Row],[first_response_minutes]]&gt;240,"Very Slow"
)</f>
        <v>Slow</v>
      </c>
      <c r="S89" t="str" cm="1">
        <f t="array" ref="S8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89" t="str">
        <f>TEXT(tbl_analysis_tickets[[#This Row],[created_date]],"mmm-yyyy")</f>
        <v>May-2024</v>
      </c>
      <c r="U89" t="str">
        <f>TEXT(tbl_analysis_tickets[[#This Row],[created_date]],"dddd")</f>
        <v>Friday</v>
      </c>
      <c r="V89" cm="1">
        <f t="array" ref="V89">_xlfn.SWITCH(tbl_analysis_tickets[[#This Row],[priority]],
"Urgent",1,
"High",2,
"Medium",3,
"Low",4
)</f>
        <v>1</v>
      </c>
    </row>
    <row r="90" spans="1:22" x14ac:dyDescent="0.25">
      <c r="A90">
        <v>89</v>
      </c>
      <c r="B90" s="1">
        <v>45443</v>
      </c>
      <c r="C90" t="s">
        <v>14</v>
      </c>
      <c r="D90" t="s">
        <v>15</v>
      </c>
      <c r="E90">
        <v>34</v>
      </c>
      <c r="F90">
        <v>66</v>
      </c>
      <c r="G90">
        <v>7.3</v>
      </c>
      <c r="H90" t="s">
        <v>18</v>
      </c>
      <c r="I90" t="s">
        <v>13</v>
      </c>
      <c r="J90" t="s">
        <v>15</v>
      </c>
      <c r="K90">
        <f>_xlfn.XLOOKUP(tbl_analysis_tickets[[#This Row],[priority]],tbl_sla[priority],tbl_sla[Resolution SLA Hours])</f>
        <v>48</v>
      </c>
      <c r="L90">
        <f>_xlfn.XLOOKUP(tbl_analysis_tickets[[#This Row],[priority]],tbl_sla[priority],tbl_sla[First Response SLA Minutes])</f>
        <v>120</v>
      </c>
      <c r="M90" t="str">
        <f>IF(tbl_analysis_tickets[[#This Row],[resolution_time_hours]]&gt;tbl_analysis_tickets[[#This Row],[Resolution SLA Hours]],"Breached","Within SLA")</f>
        <v>Breached</v>
      </c>
      <c r="N90" t="str">
        <f>IF(tbl_analysis_tickets[[#This Row],[first_response_minutes]]&gt;tbl_analysis_tickets[[#This Row],[First Response SLA Minutes]],"Breached","Within SLA")</f>
        <v>Within SLA</v>
      </c>
      <c r="O90" t="str" cm="1">
        <f t="array" ref="O90">_xlfn.IFS(
tbl_analysis_tickets[[#This Row],[agent_experience_years]]&lt;=2,"Junior",
tbl_analysis_tickets[[#This Row],[agent_experience_years]]&lt;=5,"Mid-Level",
tbl_analysis_tickets[[#This Row],[agent_experience_years]]&lt;=8,"Senior",
tbl_analysis_tickets[[#This Row],[agent_experience_years]]&gt;8,"Expert"
)</f>
        <v>Senior</v>
      </c>
      <c r="P90" cm="1">
        <f t="array" ref="P90">_xlfn.SWITCH(tbl_analysis_tickets[[#This Row],[customer_satisfaction]],
"Low",1,
"Medium",2,
"High",3
)</f>
        <v>2</v>
      </c>
      <c r="Q90">
        <f>IF(tbl_analysis_tickets[[#This Row],[reopened]]="Yes",1,0)</f>
        <v>0</v>
      </c>
      <c r="R90" t="str" cm="1">
        <f t="array" ref="R90">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90" t="str" cm="1">
        <f t="array" ref="S9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90" t="str">
        <f>TEXT(tbl_analysis_tickets[[#This Row],[created_date]],"mmm-yyyy")</f>
        <v>May-2024</v>
      </c>
      <c r="U90" t="str">
        <f>TEXT(tbl_analysis_tickets[[#This Row],[created_date]],"dddd")</f>
        <v>Friday</v>
      </c>
      <c r="V90" cm="1">
        <f t="array" ref="V90">_xlfn.SWITCH(tbl_analysis_tickets[[#This Row],[priority]],
"Urgent",1,
"High",2,
"Medium",3,
"Low",4
)</f>
        <v>3</v>
      </c>
    </row>
    <row r="91" spans="1:22" x14ac:dyDescent="0.25">
      <c r="A91">
        <v>90</v>
      </c>
      <c r="B91" s="1">
        <v>45511</v>
      </c>
      <c r="C91" t="s">
        <v>23</v>
      </c>
      <c r="D91" t="s">
        <v>17</v>
      </c>
      <c r="E91">
        <v>204</v>
      </c>
      <c r="F91">
        <v>43</v>
      </c>
      <c r="G91">
        <v>6.2</v>
      </c>
      <c r="H91" t="s">
        <v>18</v>
      </c>
      <c r="I91" t="s">
        <v>16</v>
      </c>
      <c r="J91" t="s">
        <v>11</v>
      </c>
      <c r="K91">
        <f>_xlfn.XLOOKUP(tbl_analysis_tickets[[#This Row],[priority]],tbl_sla[priority],tbl_sla[Resolution SLA Hours])</f>
        <v>8</v>
      </c>
      <c r="L91">
        <f>_xlfn.XLOOKUP(tbl_analysis_tickets[[#This Row],[priority]],tbl_sla[priority],tbl_sla[First Response SLA Minutes])</f>
        <v>30</v>
      </c>
      <c r="M91" t="str">
        <f>IF(tbl_analysis_tickets[[#This Row],[resolution_time_hours]]&gt;tbl_analysis_tickets[[#This Row],[Resolution SLA Hours]],"Breached","Within SLA")</f>
        <v>Breached</v>
      </c>
      <c r="N91" t="str">
        <f>IF(tbl_analysis_tickets[[#This Row],[first_response_minutes]]&gt;tbl_analysis_tickets[[#This Row],[First Response SLA Minutes]],"Breached","Within SLA")</f>
        <v>Breached</v>
      </c>
      <c r="O91" t="str" cm="1">
        <f t="array" ref="O91">_xlfn.IFS(
tbl_analysis_tickets[[#This Row],[agent_experience_years]]&lt;=2,"Junior",
tbl_analysis_tickets[[#This Row],[agent_experience_years]]&lt;=5,"Mid-Level",
tbl_analysis_tickets[[#This Row],[agent_experience_years]]&lt;=8,"Senior",
tbl_analysis_tickets[[#This Row],[agent_experience_years]]&gt;8,"Expert"
)</f>
        <v>Senior</v>
      </c>
      <c r="P91" cm="1">
        <f t="array" ref="P91">_xlfn.SWITCH(tbl_analysis_tickets[[#This Row],[customer_satisfaction]],
"Low",1,
"Medium",2,
"High",3
)</f>
        <v>1</v>
      </c>
      <c r="Q91">
        <f>IF(tbl_analysis_tickets[[#This Row],[reopened]]="Yes",1,0)</f>
        <v>0</v>
      </c>
      <c r="R91" t="str" cm="1">
        <f t="array" ref="R91">_xlfn.IFS(
tbl_analysis_tickets[[#This Row],[first_response_minutes]]&lt;=30,"Very Fast",
tbl_analysis_tickets[[#This Row],[first_response_minutes]]&lt;=120,"Acceptable",
tbl_analysis_tickets[[#This Row],[first_response_minutes]]&lt;=240,"Slow",
tbl_analysis_tickets[[#This Row],[first_response_minutes]]&gt;240,"Very Slow"
)</f>
        <v>Slow</v>
      </c>
      <c r="S91" t="str" cm="1">
        <f t="array" ref="S9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91" t="str">
        <f>TEXT(tbl_analysis_tickets[[#This Row],[created_date]],"mmm-yyyy")</f>
        <v>Aug-2024</v>
      </c>
      <c r="U91" t="str">
        <f>TEXT(tbl_analysis_tickets[[#This Row],[created_date]],"dddd")</f>
        <v>Wednesday</v>
      </c>
      <c r="V91" cm="1">
        <f t="array" ref="V91">_xlfn.SWITCH(tbl_analysis_tickets[[#This Row],[priority]],
"Urgent",1,
"High",2,
"Medium",3,
"Low",4
)</f>
        <v>1</v>
      </c>
    </row>
    <row r="92" spans="1:22" x14ac:dyDescent="0.25">
      <c r="A92">
        <v>91</v>
      </c>
      <c r="B92" s="1">
        <v>45533</v>
      </c>
      <c r="C92" t="s">
        <v>14</v>
      </c>
      <c r="D92" t="s">
        <v>17</v>
      </c>
      <c r="E92">
        <v>175</v>
      </c>
      <c r="F92">
        <v>47</v>
      </c>
      <c r="G92">
        <v>5.0999999999999996</v>
      </c>
      <c r="H92" t="s">
        <v>18</v>
      </c>
      <c r="I92" t="s">
        <v>16</v>
      </c>
      <c r="J92" t="s">
        <v>11</v>
      </c>
      <c r="K92">
        <f>_xlfn.XLOOKUP(tbl_analysis_tickets[[#This Row],[priority]],tbl_sla[priority],tbl_sla[Resolution SLA Hours])</f>
        <v>8</v>
      </c>
      <c r="L92">
        <f>_xlfn.XLOOKUP(tbl_analysis_tickets[[#This Row],[priority]],tbl_sla[priority],tbl_sla[First Response SLA Minutes])</f>
        <v>30</v>
      </c>
      <c r="M92" t="str">
        <f>IF(tbl_analysis_tickets[[#This Row],[resolution_time_hours]]&gt;tbl_analysis_tickets[[#This Row],[Resolution SLA Hours]],"Breached","Within SLA")</f>
        <v>Breached</v>
      </c>
      <c r="N92" t="str">
        <f>IF(tbl_analysis_tickets[[#This Row],[first_response_minutes]]&gt;tbl_analysis_tickets[[#This Row],[First Response SLA Minutes]],"Breached","Within SLA")</f>
        <v>Breached</v>
      </c>
      <c r="O92" t="str" cm="1">
        <f t="array" ref="O92">_xlfn.IFS(
tbl_analysis_tickets[[#This Row],[agent_experience_years]]&lt;=2,"Junior",
tbl_analysis_tickets[[#This Row],[agent_experience_years]]&lt;=5,"Mid-Level",
tbl_analysis_tickets[[#This Row],[agent_experience_years]]&lt;=8,"Senior",
tbl_analysis_tickets[[#This Row],[agent_experience_years]]&gt;8,"Expert"
)</f>
        <v>Senior</v>
      </c>
      <c r="P92" cm="1">
        <f t="array" ref="P92">_xlfn.SWITCH(tbl_analysis_tickets[[#This Row],[customer_satisfaction]],
"Low",1,
"Medium",2,
"High",3
)</f>
        <v>1</v>
      </c>
      <c r="Q92">
        <f>IF(tbl_analysis_tickets[[#This Row],[reopened]]="Yes",1,0)</f>
        <v>0</v>
      </c>
      <c r="R92" t="str" cm="1">
        <f t="array" ref="R92">_xlfn.IFS(
tbl_analysis_tickets[[#This Row],[first_response_minutes]]&lt;=30,"Very Fast",
tbl_analysis_tickets[[#This Row],[first_response_minutes]]&lt;=120,"Acceptable",
tbl_analysis_tickets[[#This Row],[first_response_minutes]]&lt;=240,"Slow",
tbl_analysis_tickets[[#This Row],[first_response_minutes]]&gt;240,"Very Slow"
)</f>
        <v>Slow</v>
      </c>
      <c r="S92" t="str" cm="1">
        <f t="array" ref="S9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92" t="str">
        <f>TEXT(tbl_analysis_tickets[[#This Row],[created_date]],"mmm-yyyy")</f>
        <v>Aug-2024</v>
      </c>
      <c r="U92" t="str">
        <f>TEXT(tbl_analysis_tickets[[#This Row],[created_date]],"dddd")</f>
        <v>Thursday</v>
      </c>
      <c r="V92" cm="1">
        <f t="array" ref="V92">_xlfn.SWITCH(tbl_analysis_tickets[[#This Row],[priority]],
"Urgent",1,
"High",2,
"Medium",3,
"Low",4
)</f>
        <v>1</v>
      </c>
    </row>
    <row r="93" spans="1:22" x14ac:dyDescent="0.25">
      <c r="A93">
        <v>92</v>
      </c>
      <c r="B93" s="1">
        <v>45439</v>
      </c>
      <c r="C93" t="s">
        <v>21</v>
      </c>
      <c r="D93" t="s">
        <v>15</v>
      </c>
      <c r="E93">
        <v>153</v>
      </c>
      <c r="F93">
        <v>25</v>
      </c>
      <c r="G93">
        <v>5.7</v>
      </c>
      <c r="H93" t="s">
        <v>18</v>
      </c>
      <c r="I93" t="s">
        <v>16</v>
      </c>
      <c r="J93" t="s">
        <v>15</v>
      </c>
      <c r="K93">
        <f>_xlfn.XLOOKUP(tbl_analysis_tickets[[#This Row],[priority]],tbl_sla[priority],tbl_sla[Resolution SLA Hours])</f>
        <v>48</v>
      </c>
      <c r="L93">
        <f>_xlfn.XLOOKUP(tbl_analysis_tickets[[#This Row],[priority]],tbl_sla[priority],tbl_sla[First Response SLA Minutes])</f>
        <v>120</v>
      </c>
      <c r="M93" t="str">
        <f>IF(tbl_analysis_tickets[[#This Row],[resolution_time_hours]]&gt;tbl_analysis_tickets[[#This Row],[Resolution SLA Hours]],"Breached","Within SLA")</f>
        <v>Within SLA</v>
      </c>
      <c r="N93" t="str">
        <f>IF(tbl_analysis_tickets[[#This Row],[first_response_minutes]]&gt;tbl_analysis_tickets[[#This Row],[First Response SLA Minutes]],"Breached","Within SLA")</f>
        <v>Breached</v>
      </c>
      <c r="O93" t="str" cm="1">
        <f t="array" ref="O93">_xlfn.IFS(
tbl_analysis_tickets[[#This Row],[agent_experience_years]]&lt;=2,"Junior",
tbl_analysis_tickets[[#This Row],[agent_experience_years]]&lt;=5,"Mid-Level",
tbl_analysis_tickets[[#This Row],[agent_experience_years]]&lt;=8,"Senior",
tbl_analysis_tickets[[#This Row],[agent_experience_years]]&gt;8,"Expert"
)</f>
        <v>Senior</v>
      </c>
      <c r="P93" cm="1">
        <f t="array" ref="P93">_xlfn.SWITCH(tbl_analysis_tickets[[#This Row],[customer_satisfaction]],
"Low",1,
"Medium",2,
"High",3
)</f>
        <v>2</v>
      </c>
      <c r="Q93">
        <f>IF(tbl_analysis_tickets[[#This Row],[reopened]]="Yes",1,0)</f>
        <v>0</v>
      </c>
      <c r="R93" t="str" cm="1">
        <f t="array" ref="R93">_xlfn.IFS(
tbl_analysis_tickets[[#This Row],[first_response_minutes]]&lt;=30,"Very Fast",
tbl_analysis_tickets[[#This Row],[first_response_minutes]]&lt;=120,"Acceptable",
tbl_analysis_tickets[[#This Row],[first_response_minutes]]&lt;=240,"Slow",
tbl_analysis_tickets[[#This Row],[first_response_minutes]]&gt;240,"Very Slow"
)</f>
        <v>Slow</v>
      </c>
      <c r="S93" t="str" cm="1">
        <f t="array" ref="S9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93" t="str">
        <f>TEXT(tbl_analysis_tickets[[#This Row],[created_date]],"mmm-yyyy")</f>
        <v>May-2024</v>
      </c>
      <c r="U93" t="str">
        <f>TEXT(tbl_analysis_tickets[[#This Row],[created_date]],"dddd")</f>
        <v>Monday</v>
      </c>
      <c r="V93" cm="1">
        <f t="array" ref="V93">_xlfn.SWITCH(tbl_analysis_tickets[[#This Row],[priority]],
"Urgent",1,
"High",2,
"Medium",3,
"Low",4
)</f>
        <v>3</v>
      </c>
    </row>
    <row r="94" spans="1:22" x14ac:dyDescent="0.25">
      <c r="A94">
        <v>93</v>
      </c>
      <c r="B94" s="1">
        <v>45374</v>
      </c>
      <c r="C94" t="s">
        <v>10</v>
      </c>
      <c r="D94" t="s">
        <v>17</v>
      </c>
      <c r="E94">
        <v>190</v>
      </c>
      <c r="F94">
        <v>6</v>
      </c>
      <c r="G94">
        <v>7.7</v>
      </c>
      <c r="H94" t="s">
        <v>12</v>
      </c>
      <c r="I94" t="s">
        <v>13</v>
      </c>
      <c r="J94" t="s">
        <v>15</v>
      </c>
      <c r="K94">
        <f>_xlfn.XLOOKUP(tbl_analysis_tickets[[#This Row],[priority]],tbl_sla[priority],tbl_sla[Resolution SLA Hours])</f>
        <v>8</v>
      </c>
      <c r="L94">
        <f>_xlfn.XLOOKUP(tbl_analysis_tickets[[#This Row],[priority]],tbl_sla[priority],tbl_sla[First Response SLA Minutes])</f>
        <v>30</v>
      </c>
      <c r="M94" t="str">
        <f>IF(tbl_analysis_tickets[[#This Row],[resolution_time_hours]]&gt;tbl_analysis_tickets[[#This Row],[Resolution SLA Hours]],"Breached","Within SLA")</f>
        <v>Within SLA</v>
      </c>
      <c r="N94" t="str">
        <f>IF(tbl_analysis_tickets[[#This Row],[first_response_minutes]]&gt;tbl_analysis_tickets[[#This Row],[First Response SLA Minutes]],"Breached","Within SLA")</f>
        <v>Breached</v>
      </c>
      <c r="O94" t="str" cm="1">
        <f t="array" ref="O94">_xlfn.IFS(
tbl_analysis_tickets[[#This Row],[agent_experience_years]]&lt;=2,"Junior",
tbl_analysis_tickets[[#This Row],[agent_experience_years]]&lt;=5,"Mid-Level",
tbl_analysis_tickets[[#This Row],[agent_experience_years]]&lt;=8,"Senior",
tbl_analysis_tickets[[#This Row],[agent_experience_years]]&gt;8,"Expert"
)</f>
        <v>Senior</v>
      </c>
      <c r="P94" cm="1">
        <f t="array" ref="P94">_xlfn.SWITCH(tbl_analysis_tickets[[#This Row],[customer_satisfaction]],
"Low",1,
"Medium",2,
"High",3
)</f>
        <v>2</v>
      </c>
      <c r="Q94">
        <f>IF(tbl_analysis_tickets[[#This Row],[reopened]]="Yes",1,0)</f>
        <v>1</v>
      </c>
      <c r="R94" t="str" cm="1">
        <f t="array" ref="R94">_xlfn.IFS(
tbl_analysis_tickets[[#This Row],[first_response_minutes]]&lt;=30,"Very Fast",
tbl_analysis_tickets[[#This Row],[first_response_minutes]]&lt;=120,"Acceptable",
tbl_analysis_tickets[[#This Row],[first_response_minutes]]&lt;=240,"Slow",
tbl_analysis_tickets[[#This Row],[first_response_minutes]]&gt;240,"Very Slow"
)</f>
        <v>Slow</v>
      </c>
      <c r="S94" t="str" cm="1">
        <f t="array" ref="S9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94" t="str">
        <f>TEXT(tbl_analysis_tickets[[#This Row],[created_date]],"mmm-yyyy")</f>
        <v>Mar-2024</v>
      </c>
      <c r="U94" t="str">
        <f>TEXT(tbl_analysis_tickets[[#This Row],[created_date]],"dddd")</f>
        <v>Saturday</v>
      </c>
      <c r="V94" cm="1">
        <f t="array" ref="V94">_xlfn.SWITCH(tbl_analysis_tickets[[#This Row],[priority]],
"Urgent",1,
"High",2,
"Medium",3,
"Low",4
)</f>
        <v>1</v>
      </c>
    </row>
    <row r="95" spans="1:22" x14ac:dyDescent="0.25">
      <c r="A95">
        <v>94</v>
      </c>
      <c r="B95" s="1">
        <v>45586</v>
      </c>
      <c r="C95" t="s">
        <v>23</v>
      </c>
      <c r="D95" t="s">
        <v>17</v>
      </c>
      <c r="E95">
        <v>35</v>
      </c>
      <c r="F95">
        <v>50</v>
      </c>
      <c r="G95">
        <v>2.9</v>
      </c>
      <c r="H95" t="s">
        <v>12</v>
      </c>
      <c r="I95" t="s">
        <v>13</v>
      </c>
      <c r="J95" t="s">
        <v>11</v>
      </c>
      <c r="K95">
        <f>_xlfn.XLOOKUP(tbl_analysis_tickets[[#This Row],[priority]],tbl_sla[priority],tbl_sla[Resolution SLA Hours])</f>
        <v>8</v>
      </c>
      <c r="L95">
        <f>_xlfn.XLOOKUP(tbl_analysis_tickets[[#This Row],[priority]],tbl_sla[priority],tbl_sla[First Response SLA Minutes])</f>
        <v>30</v>
      </c>
      <c r="M95" t="str">
        <f>IF(tbl_analysis_tickets[[#This Row],[resolution_time_hours]]&gt;tbl_analysis_tickets[[#This Row],[Resolution SLA Hours]],"Breached","Within SLA")</f>
        <v>Breached</v>
      </c>
      <c r="N95" t="str">
        <f>IF(tbl_analysis_tickets[[#This Row],[first_response_minutes]]&gt;tbl_analysis_tickets[[#This Row],[First Response SLA Minutes]],"Breached","Within SLA")</f>
        <v>Breached</v>
      </c>
      <c r="O95" t="str" cm="1">
        <f t="array" ref="O95">_xlfn.IFS(
tbl_analysis_tickets[[#This Row],[agent_experience_years]]&lt;=2,"Junior",
tbl_analysis_tickets[[#This Row],[agent_experience_years]]&lt;=5,"Mid-Level",
tbl_analysis_tickets[[#This Row],[agent_experience_years]]&lt;=8,"Senior",
tbl_analysis_tickets[[#This Row],[agent_experience_years]]&gt;8,"Expert"
)</f>
        <v>Mid-Level</v>
      </c>
      <c r="P95" cm="1">
        <f t="array" ref="P95">_xlfn.SWITCH(tbl_analysis_tickets[[#This Row],[customer_satisfaction]],
"Low",1,
"Medium",2,
"High",3
)</f>
        <v>1</v>
      </c>
      <c r="Q95">
        <f>IF(tbl_analysis_tickets[[#This Row],[reopened]]="Yes",1,0)</f>
        <v>1</v>
      </c>
      <c r="R95" t="str" cm="1">
        <f t="array" ref="R95">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95" t="str" cm="1">
        <f t="array" ref="S9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95" t="str">
        <f>TEXT(tbl_analysis_tickets[[#This Row],[created_date]],"mmm-yyyy")</f>
        <v>Oct-2024</v>
      </c>
      <c r="U95" t="str">
        <f>TEXT(tbl_analysis_tickets[[#This Row],[created_date]],"dddd")</f>
        <v>Monday</v>
      </c>
      <c r="V95" cm="1">
        <f t="array" ref="V95">_xlfn.SWITCH(tbl_analysis_tickets[[#This Row],[priority]],
"Urgent",1,
"High",2,
"Medium",3,
"Low",4
)</f>
        <v>1</v>
      </c>
    </row>
    <row r="96" spans="1:22" x14ac:dyDescent="0.25">
      <c r="A96">
        <v>95</v>
      </c>
      <c r="B96" s="1">
        <v>45417</v>
      </c>
      <c r="C96" t="s">
        <v>21</v>
      </c>
      <c r="D96" t="s">
        <v>11</v>
      </c>
      <c r="E96">
        <v>145</v>
      </c>
      <c r="F96">
        <v>33</v>
      </c>
      <c r="G96">
        <v>5.0999999999999996</v>
      </c>
      <c r="H96" t="s">
        <v>12</v>
      </c>
      <c r="I96" t="s">
        <v>16</v>
      </c>
      <c r="J96" t="s">
        <v>11</v>
      </c>
      <c r="K96">
        <f>_xlfn.XLOOKUP(tbl_analysis_tickets[[#This Row],[priority]],tbl_sla[priority],tbl_sla[Resolution SLA Hours])</f>
        <v>72</v>
      </c>
      <c r="L96">
        <f>_xlfn.XLOOKUP(tbl_analysis_tickets[[#This Row],[priority]],tbl_sla[priority],tbl_sla[First Response SLA Minutes])</f>
        <v>240</v>
      </c>
      <c r="M96" t="str">
        <f>IF(tbl_analysis_tickets[[#This Row],[resolution_time_hours]]&gt;tbl_analysis_tickets[[#This Row],[Resolution SLA Hours]],"Breached","Within SLA")</f>
        <v>Within SLA</v>
      </c>
      <c r="N96" t="str">
        <f>IF(tbl_analysis_tickets[[#This Row],[first_response_minutes]]&gt;tbl_analysis_tickets[[#This Row],[First Response SLA Minutes]],"Breached","Within SLA")</f>
        <v>Within SLA</v>
      </c>
      <c r="O96" t="str" cm="1">
        <f t="array" ref="O96">_xlfn.IFS(
tbl_analysis_tickets[[#This Row],[agent_experience_years]]&lt;=2,"Junior",
tbl_analysis_tickets[[#This Row],[agent_experience_years]]&lt;=5,"Mid-Level",
tbl_analysis_tickets[[#This Row],[agent_experience_years]]&lt;=8,"Senior",
tbl_analysis_tickets[[#This Row],[agent_experience_years]]&gt;8,"Expert"
)</f>
        <v>Senior</v>
      </c>
      <c r="P96" cm="1">
        <f t="array" ref="P96">_xlfn.SWITCH(tbl_analysis_tickets[[#This Row],[customer_satisfaction]],
"Low",1,
"Medium",2,
"High",3
)</f>
        <v>1</v>
      </c>
      <c r="Q96">
        <f>IF(tbl_analysis_tickets[[#This Row],[reopened]]="Yes",1,0)</f>
        <v>1</v>
      </c>
      <c r="R96" t="str" cm="1">
        <f t="array" ref="R96">_xlfn.IFS(
tbl_analysis_tickets[[#This Row],[first_response_minutes]]&lt;=30,"Very Fast",
tbl_analysis_tickets[[#This Row],[first_response_minutes]]&lt;=120,"Acceptable",
tbl_analysis_tickets[[#This Row],[first_response_minutes]]&lt;=240,"Slow",
tbl_analysis_tickets[[#This Row],[first_response_minutes]]&gt;240,"Very Slow"
)</f>
        <v>Slow</v>
      </c>
      <c r="S96" t="str" cm="1">
        <f t="array" ref="S9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96" t="str">
        <f>TEXT(tbl_analysis_tickets[[#This Row],[created_date]],"mmm-yyyy")</f>
        <v>May-2024</v>
      </c>
      <c r="U96" t="str">
        <f>TEXT(tbl_analysis_tickets[[#This Row],[created_date]],"dddd")</f>
        <v>Sunday</v>
      </c>
      <c r="V96" cm="1">
        <f t="array" ref="V96">_xlfn.SWITCH(tbl_analysis_tickets[[#This Row],[priority]],
"Urgent",1,
"High",2,
"Medium",3,
"Low",4
)</f>
        <v>4</v>
      </c>
    </row>
    <row r="97" spans="1:22" x14ac:dyDescent="0.25">
      <c r="A97">
        <v>96</v>
      </c>
      <c r="B97" s="1">
        <v>45650</v>
      </c>
      <c r="C97" t="s">
        <v>21</v>
      </c>
      <c r="D97" t="s">
        <v>17</v>
      </c>
      <c r="E97">
        <v>108</v>
      </c>
      <c r="F97">
        <v>72</v>
      </c>
      <c r="G97">
        <v>2.2999999999999998</v>
      </c>
      <c r="H97" t="s">
        <v>18</v>
      </c>
      <c r="I97" t="s">
        <v>13</v>
      </c>
      <c r="J97" t="s">
        <v>11</v>
      </c>
      <c r="K97">
        <f>_xlfn.XLOOKUP(tbl_analysis_tickets[[#This Row],[priority]],tbl_sla[priority],tbl_sla[Resolution SLA Hours])</f>
        <v>8</v>
      </c>
      <c r="L97">
        <f>_xlfn.XLOOKUP(tbl_analysis_tickets[[#This Row],[priority]],tbl_sla[priority],tbl_sla[First Response SLA Minutes])</f>
        <v>30</v>
      </c>
      <c r="M97" t="str">
        <f>IF(tbl_analysis_tickets[[#This Row],[resolution_time_hours]]&gt;tbl_analysis_tickets[[#This Row],[Resolution SLA Hours]],"Breached","Within SLA")</f>
        <v>Breached</v>
      </c>
      <c r="N97" t="str">
        <f>IF(tbl_analysis_tickets[[#This Row],[first_response_minutes]]&gt;tbl_analysis_tickets[[#This Row],[First Response SLA Minutes]],"Breached","Within SLA")</f>
        <v>Breached</v>
      </c>
      <c r="O97" t="str" cm="1">
        <f t="array" ref="O97">_xlfn.IFS(
tbl_analysis_tickets[[#This Row],[agent_experience_years]]&lt;=2,"Junior",
tbl_analysis_tickets[[#This Row],[agent_experience_years]]&lt;=5,"Mid-Level",
tbl_analysis_tickets[[#This Row],[agent_experience_years]]&lt;=8,"Senior",
tbl_analysis_tickets[[#This Row],[agent_experience_years]]&gt;8,"Expert"
)</f>
        <v>Mid-Level</v>
      </c>
      <c r="P97" cm="1">
        <f t="array" ref="P97">_xlfn.SWITCH(tbl_analysis_tickets[[#This Row],[customer_satisfaction]],
"Low",1,
"Medium",2,
"High",3
)</f>
        <v>1</v>
      </c>
      <c r="Q97">
        <f>IF(tbl_analysis_tickets[[#This Row],[reopened]]="Yes",1,0)</f>
        <v>0</v>
      </c>
      <c r="R97" t="str" cm="1">
        <f t="array" ref="R97">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97" t="str" cm="1">
        <f t="array" ref="S9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97" t="str">
        <f>TEXT(tbl_analysis_tickets[[#This Row],[created_date]],"mmm-yyyy")</f>
        <v>Dec-2024</v>
      </c>
      <c r="U97" t="str">
        <f>TEXT(tbl_analysis_tickets[[#This Row],[created_date]],"dddd")</f>
        <v>Tuesday</v>
      </c>
      <c r="V97" cm="1">
        <f t="array" ref="V97">_xlfn.SWITCH(tbl_analysis_tickets[[#This Row],[priority]],
"Urgent",1,
"High",2,
"Medium",3,
"Low",4
)</f>
        <v>1</v>
      </c>
    </row>
    <row r="98" spans="1:22" x14ac:dyDescent="0.25">
      <c r="A98">
        <v>97</v>
      </c>
      <c r="B98" s="1">
        <v>45538</v>
      </c>
      <c r="C98" t="s">
        <v>21</v>
      </c>
      <c r="D98" t="s">
        <v>17</v>
      </c>
      <c r="E98">
        <v>53</v>
      </c>
      <c r="F98">
        <v>30</v>
      </c>
      <c r="G98">
        <v>7.4</v>
      </c>
      <c r="H98" t="s">
        <v>18</v>
      </c>
      <c r="I98" t="s">
        <v>16</v>
      </c>
      <c r="J98" t="s">
        <v>11</v>
      </c>
      <c r="K98">
        <f>_xlfn.XLOOKUP(tbl_analysis_tickets[[#This Row],[priority]],tbl_sla[priority],tbl_sla[Resolution SLA Hours])</f>
        <v>8</v>
      </c>
      <c r="L98">
        <f>_xlfn.XLOOKUP(tbl_analysis_tickets[[#This Row],[priority]],tbl_sla[priority],tbl_sla[First Response SLA Minutes])</f>
        <v>30</v>
      </c>
      <c r="M98" t="str">
        <f>IF(tbl_analysis_tickets[[#This Row],[resolution_time_hours]]&gt;tbl_analysis_tickets[[#This Row],[Resolution SLA Hours]],"Breached","Within SLA")</f>
        <v>Breached</v>
      </c>
      <c r="N98" t="str">
        <f>IF(tbl_analysis_tickets[[#This Row],[first_response_minutes]]&gt;tbl_analysis_tickets[[#This Row],[First Response SLA Minutes]],"Breached","Within SLA")</f>
        <v>Breached</v>
      </c>
      <c r="O98" t="str" cm="1">
        <f t="array" ref="O98">_xlfn.IFS(
tbl_analysis_tickets[[#This Row],[agent_experience_years]]&lt;=2,"Junior",
tbl_analysis_tickets[[#This Row],[agent_experience_years]]&lt;=5,"Mid-Level",
tbl_analysis_tickets[[#This Row],[agent_experience_years]]&lt;=8,"Senior",
tbl_analysis_tickets[[#This Row],[agent_experience_years]]&gt;8,"Expert"
)</f>
        <v>Senior</v>
      </c>
      <c r="P98" cm="1">
        <f t="array" ref="P98">_xlfn.SWITCH(tbl_analysis_tickets[[#This Row],[customer_satisfaction]],
"Low",1,
"Medium",2,
"High",3
)</f>
        <v>1</v>
      </c>
      <c r="Q98">
        <f>IF(tbl_analysis_tickets[[#This Row],[reopened]]="Yes",1,0)</f>
        <v>0</v>
      </c>
      <c r="R98" t="str" cm="1">
        <f t="array" ref="R98">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98" t="str" cm="1">
        <f t="array" ref="S9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98" t="str">
        <f>TEXT(tbl_analysis_tickets[[#This Row],[created_date]],"mmm-yyyy")</f>
        <v>Sep-2024</v>
      </c>
      <c r="U98" t="str">
        <f>TEXT(tbl_analysis_tickets[[#This Row],[created_date]],"dddd")</f>
        <v>Tuesday</v>
      </c>
      <c r="V98" cm="1">
        <f t="array" ref="V98">_xlfn.SWITCH(tbl_analysis_tickets[[#This Row],[priority]],
"Urgent",1,
"High",2,
"Medium",3,
"Low",4
)</f>
        <v>1</v>
      </c>
    </row>
    <row r="99" spans="1:22" x14ac:dyDescent="0.25">
      <c r="A99">
        <v>98</v>
      </c>
      <c r="B99" s="1">
        <v>45388</v>
      </c>
      <c r="C99" t="s">
        <v>23</v>
      </c>
      <c r="D99" t="s">
        <v>11</v>
      </c>
      <c r="E99">
        <v>191</v>
      </c>
      <c r="F99">
        <v>67</v>
      </c>
      <c r="G99">
        <v>7.2</v>
      </c>
      <c r="H99" t="s">
        <v>12</v>
      </c>
      <c r="I99" t="s">
        <v>19</v>
      </c>
      <c r="J99" t="s">
        <v>11</v>
      </c>
      <c r="K99">
        <f>_xlfn.XLOOKUP(tbl_analysis_tickets[[#This Row],[priority]],tbl_sla[priority],tbl_sla[Resolution SLA Hours])</f>
        <v>72</v>
      </c>
      <c r="L99">
        <f>_xlfn.XLOOKUP(tbl_analysis_tickets[[#This Row],[priority]],tbl_sla[priority],tbl_sla[First Response SLA Minutes])</f>
        <v>240</v>
      </c>
      <c r="M99" t="str">
        <f>IF(tbl_analysis_tickets[[#This Row],[resolution_time_hours]]&gt;tbl_analysis_tickets[[#This Row],[Resolution SLA Hours]],"Breached","Within SLA")</f>
        <v>Within SLA</v>
      </c>
      <c r="N99" t="str">
        <f>IF(tbl_analysis_tickets[[#This Row],[first_response_minutes]]&gt;tbl_analysis_tickets[[#This Row],[First Response SLA Minutes]],"Breached","Within SLA")</f>
        <v>Within SLA</v>
      </c>
      <c r="O99" t="str" cm="1">
        <f t="array" ref="O99">_xlfn.IFS(
tbl_analysis_tickets[[#This Row],[agent_experience_years]]&lt;=2,"Junior",
tbl_analysis_tickets[[#This Row],[agent_experience_years]]&lt;=5,"Mid-Level",
tbl_analysis_tickets[[#This Row],[agent_experience_years]]&lt;=8,"Senior",
tbl_analysis_tickets[[#This Row],[agent_experience_years]]&gt;8,"Expert"
)</f>
        <v>Senior</v>
      </c>
      <c r="P99" cm="1">
        <f t="array" ref="P99">_xlfn.SWITCH(tbl_analysis_tickets[[#This Row],[customer_satisfaction]],
"Low",1,
"Medium",2,
"High",3
)</f>
        <v>1</v>
      </c>
      <c r="Q99">
        <f>IF(tbl_analysis_tickets[[#This Row],[reopened]]="Yes",1,0)</f>
        <v>1</v>
      </c>
      <c r="R99" t="str" cm="1">
        <f t="array" ref="R99">_xlfn.IFS(
tbl_analysis_tickets[[#This Row],[first_response_minutes]]&lt;=30,"Very Fast",
tbl_analysis_tickets[[#This Row],[first_response_minutes]]&lt;=120,"Acceptable",
tbl_analysis_tickets[[#This Row],[first_response_minutes]]&lt;=240,"Slow",
tbl_analysis_tickets[[#This Row],[first_response_minutes]]&gt;240,"Very Slow"
)</f>
        <v>Slow</v>
      </c>
      <c r="S99" t="str" cm="1">
        <f t="array" ref="S9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99" t="str">
        <f>TEXT(tbl_analysis_tickets[[#This Row],[created_date]],"mmm-yyyy")</f>
        <v>Apr-2024</v>
      </c>
      <c r="U99" t="str">
        <f>TEXT(tbl_analysis_tickets[[#This Row],[created_date]],"dddd")</f>
        <v>Saturday</v>
      </c>
      <c r="V99" cm="1">
        <f t="array" ref="V99">_xlfn.SWITCH(tbl_analysis_tickets[[#This Row],[priority]],
"Urgent",1,
"High",2,
"Medium",3,
"Low",4
)</f>
        <v>4</v>
      </c>
    </row>
    <row r="100" spans="1:22" x14ac:dyDescent="0.25">
      <c r="A100">
        <v>99</v>
      </c>
      <c r="B100" s="1">
        <v>45645</v>
      </c>
      <c r="C100" t="s">
        <v>22</v>
      </c>
      <c r="D100" t="s">
        <v>17</v>
      </c>
      <c r="E100">
        <v>168</v>
      </c>
      <c r="F100">
        <v>70</v>
      </c>
      <c r="G100">
        <v>0.5</v>
      </c>
      <c r="H100" t="s">
        <v>12</v>
      </c>
      <c r="I100" t="s">
        <v>13</v>
      </c>
      <c r="J100" t="s">
        <v>11</v>
      </c>
      <c r="K100">
        <f>_xlfn.XLOOKUP(tbl_analysis_tickets[[#This Row],[priority]],tbl_sla[priority],tbl_sla[Resolution SLA Hours])</f>
        <v>8</v>
      </c>
      <c r="L100">
        <f>_xlfn.XLOOKUP(tbl_analysis_tickets[[#This Row],[priority]],tbl_sla[priority],tbl_sla[First Response SLA Minutes])</f>
        <v>30</v>
      </c>
      <c r="M100" t="str">
        <f>IF(tbl_analysis_tickets[[#This Row],[resolution_time_hours]]&gt;tbl_analysis_tickets[[#This Row],[Resolution SLA Hours]],"Breached","Within SLA")</f>
        <v>Breached</v>
      </c>
      <c r="N100" t="str">
        <f>IF(tbl_analysis_tickets[[#This Row],[first_response_minutes]]&gt;tbl_analysis_tickets[[#This Row],[First Response SLA Minutes]],"Breached","Within SLA")</f>
        <v>Breached</v>
      </c>
      <c r="O100" t="str" cm="1">
        <f t="array" ref="O100">_xlfn.IFS(
tbl_analysis_tickets[[#This Row],[agent_experience_years]]&lt;=2,"Junior",
tbl_analysis_tickets[[#This Row],[agent_experience_years]]&lt;=5,"Mid-Level",
tbl_analysis_tickets[[#This Row],[agent_experience_years]]&lt;=8,"Senior",
tbl_analysis_tickets[[#This Row],[agent_experience_years]]&gt;8,"Expert"
)</f>
        <v>Junior</v>
      </c>
      <c r="P100" cm="1">
        <f t="array" ref="P100">_xlfn.SWITCH(tbl_analysis_tickets[[#This Row],[customer_satisfaction]],
"Low",1,
"Medium",2,
"High",3
)</f>
        <v>1</v>
      </c>
      <c r="Q100">
        <f>IF(tbl_analysis_tickets[[#This Row],[reopened]]="Yes",1,0)</f>
        <v>1</v>
      </c>
      <c r="R100" t="str" cm="1">
        <f t="array" ref="R100">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00" t="str" cm="1">
        <f t="array" ref="S10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00" t="str">
        <f>TEXT(tbl_analysis_tickets[[#This Row],[created_date]],"mmm-yyyy")</f>
        <v>Dec-2024</v>
      </c>
      <c r="U100" t="str">
        <f>TEXT(tbl_analysis_tickets[[#This Row],[created_date]],"dddd")</f>
        <v>Thursday</v>
      </c>
      <c r="V100" cm="1">
        <f t="array" ref="V100">_xlfn.SWITCH(tbl_analysis_tickets[[#This Row],[priority]],
"Urgent",1,
"High",2,
"Medium",3,
"Low",4
)</f>
        <v>1</v>
      </c>
    </row>
    <row r="101" spans="1:22" x14ac:dyDescent="0.25">
      <c r="A101">
        <v>100</v>
      </c>
      <c r="B101" s="1">
        <v>45532</v>
      </c>
      <c r="C101" t="s">
        <v>21</v>
      </c>
      <c r="D101" t="s">
        <v>20</v>
      </c>
      <c r="E101">
        <v>225</v>
      </c>
      <c r="F101">
        <v>63</v>
      </c>
      <c r="G101">
        <v>8.9</v>
      </c>
      <c r="H101" t="s">
        <v>12</v>
      </c>
      <c r="I101" t="s">
        <v>13</v>
      </c>
      <c r="J101" t="s">
        <v>11</v>
      </c>
      <c r="K101">
        <f>_xlfn.XLOOKUP(tbl_analysis_tickets[[#This Row],[priority]],tbl_sla[priority],tbl_sla[Resolution SLA Hours])</f>
        <v>24</v>
      </c>
      <c r="L101">
        <f>_xlfn.XLOOKUP(tbl_analysis_tickets[[#This Row],[priority]],tbl_sla[priority],tbl_sla[First Response SLA Minutes])</f>
        <v>60</v>
      </c>
      <c r="M101" t="str">
        <f>IF(tbl_analysis_tickets[[#This Row],[resolution_time_hours]]&gt;tbl_analysis_tickets[[#This Row],[Resolution SLA Hours]],"Breached","Within SLA")</f>
        <v>Breached</v>
      </c>
      <c r="N101" t="str">
        <f>IF(tbl_analysis_tickets[[#This Row],[first_response_minutes]]&gt;tbl_analysis_tickets[[#This Row],[First Response SLA Minutes]],"Breached","Within SLA")</f>
        <v>Breached</v>
      </c>
      <c r="O101" t="str" cm="1">
        <f t="array" ref="O101">_xlfn.IFS(
tbl_analysis_tickets[[#This Row],[agent_experience_years]]&lt;=2,"Junior",
tbl_analysis_tickets[[#This Row],[agent_experience_years]]&lt;=5,"Mid-Level",
tbl_analysis_tickets[[#This Row],[agent_experience_years]]&lt;=8,"Senior",
tbl_analysis_tickets[[#This Row],[agent_experience_years]]&gt;8,"Expert"
)</f>
        <v>Expert</v>
      </c>
      <c r="P101" cm="1">
        <f t="array" ref="P101">_xlfn.SWITCH(tbl_analysis_tickets[[#This Row],[customer_satisfaction]],
"Low",1,
"Medium",2,
"High",3
)</f>
        <v>1</v>
      </c>
      <c r="Q101">
        <f>IF(tbl_analysis_tickets[[#This Row],[reopened]]="Yes",1,0)</f>
        <v>1</v>
      </c>
      <c r="R101" t="str" cm="1">
        <f t="array" ref="R101">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01" t="str" cm="1">
        <f t="array" ref="S10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01" t="str">
        <f>TEXT(tbl_analysis_tickets[[#This Row],[created_date]],"mmm-yyyy")</f>
        <v>Aug-2024</v>
      </c>
      <c r="U101" t="str">
        <f>TEXT(tbl_analysis_tickets[[#This Row],[created_date]],"dddd")</f>
        <v>Wednesday</v>
      </c>
      <c r="V101" cm="1">
        <f t="array" ref="V101">_xlfn.SWITCH(tbl_analysis_tickets[[#This Row],[priority]],
"Urgent",1,
"High",2,
"Medium",3,
"Low",4
)</f>
        <v>2</v>
      </c>
    </row>
    <row r="102" spans="1:22" x14ac:dyDescent="0.25">
      <c r="A102">
        <v>101</v>
      </c>
      <c r="B102" s="1">
        <v>45418</v>
      </c>
      <c r="C102" t="s">
        <v>23</v>
      </c>
      <c r="D102" t="s">
        <v>17</v>
      </c>
      <c r="E102">
        <v>123</v>
      </c>
      <c r="F102">
        <v>66</v>
      </c>
      <c r="G102">
        <v>1.5</v>
      </c>
      <c r="H102" t="s">
        <v>12</v>
      </c>
      <c r="I102" t="s">
        <v>16</v>
      </c>
      <c r="J102" t="s">
        <v>11</v>
      </c>
      <c r="K102">
        <f>_xlfn.XLOOKUP(tbl_analysis_tickets[[#This Row],[priority]],tbl_sla[priority],tbl_sla[Resolution SLA Hours])</f>
        <v>8</v>
      </c>
      <c r="L102">
        <f>_xlfn.XLOOKUP(tbl_analysis_tickets[[#This Row],[priority]],tbl_sla[priority],tbl_sla[First Response SLA Minutes])</f>
        <v>30</v>
      </c>
      <c r="M102" t="str">
        <f>IF(tbl_analysis_tickets[[#This Row],[resolution_time_hours]]&gt;tbl_analysis_tickets[[#This Row],[Resolution SLA Hours]],"Breached","Within SLA")</f>
        <v>Breached</v>
      </c>
      <c r="N102" t="str">
        <f>IF(tbl_analysis_tickets[[#This Row],[first_response_minutes]]&gt;tbl_analysis_tickets[[#This Row],[First Response SLA Minutes]],"Breached","Within SLA")</f>
        <v>Breached</v>
      </c>
      <c r="O102" t="str" cm="1">
        <f t="array" ref="O102">_xlfn.IFS(
tbl_analysis_tickets[[#This Row],[agent_experience_years]]&lt;=2,"Junior",
tbl_analysis_tickets[[#This Row],[agent_experience_years]]&lt;=5,"Mid-Level",
tbl_analysis_tickets[[#This Row],[agent_experience_years]]&lt;=8,"Senior",
tbl_analysis_tickets[[#This Row],[agent_experience_years]]&gt;8,"Expert"
)</f>
        <v>Junior</v>
      </c>
      <c r="P102" cm="1">
        <f t="array" ref="P102">_xlfn.SWITCH(tbl_analysis_tickets[[#This Row],[customer_satisfaction]],
"Low",1,
"Medium",2,
"High",3
)</f>
        <v>1</v>
      </c>
      <c r="Q102">
        <f>IF(tbl_analysis_tickets[[#This Row],[reopened]]="Yes",1,0)</f>
        <v>1</v>
      </c>
      <c r="R102" t="str" cm="1">
        <f t="array" ref="R102">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02" t="str" cm="1">
        <f t="array" ref="S10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02" t="str">
        <f>TEXT(tbl_analysis_tickets[[#This Row],[created_date]],"mmm-yyyy")</f>
        <v>May-2024</v>
      </c>
      <c r="U102" t="str">
        <f>TEXT(tbl_analysis_tickets[[#This Row],[created_date]],"dddd")</f>
        <v>Monday</v>
      </c>
      <c r="V102" cm="1">
        <f t="array" ref="V102">_xlfn.SWITCH(tbl_analysis_tickets[[#This Row],[priority]],
"Urgent",1,
"High",2,
"Medium",3,
"Low",4
)</f>
        <v>1</v>
      </c>
    </row>
    <row r="103" spans="1:22" x14ac:dyDescent="0.25">
      <c r="A103">
        <v>102</v>
      </c>
      <c r="B103" s="1">
        <v>45438</v>
      </c>
      <c r="C103" t="s">
        <v>22</v>
      </c>
      <c r="D103" t="s">
        <v>11</v>
      </c>
      <c r="E103">
        <v>74</v>
      </c>
      <c r="F103">
        <v>32</v>
      </c>
      <c r="G103">
        <v>3.1</v>
      </c>
      <c r="H103" t="s">
        <v>18</v>
      </c>
      <c r="I103" t="s">
        <v>13</v>
      </c>
      <c r="J103" t="s">
        <v>11</v>
      </c>
      <c r="K103">
        <f>_xlfn.XLOOKUP(tbl_analysis_tickets[[#This Row],[priority]],tbl_sla[priority],tbl_sla[Resolution SLA Hours])</f>
        <v>72</v>
      </c>
      <c r="L103">
        <f>_xlfn.XLOOKUP(tbl_analysis_tickets[[#This Row],[priority]],tbl_sla[priority],tbl_sla[First Response SLA Minutes])</f>
        <v>240</v>
      </c>
      <c r="M103" t="str">
        <f>IF(tbl_analysis_tickets[[#This Row],[resolution_time_hours]]&gt;tbl_analysis_tickets[[#This Row],[Resolution SLA Hours]],"Breached","Within SLA")</f>
        <v>Within SLA</v>
      </c>
      <c r="N103" t="str">
        <f>IF(tbl_analysis_tickets[[#This Row],[first_response_minutes]]&gt;tbl_analysis_tickets[[#This Row],[First Response SLA Minutes]],"Breached","Within SLA")</f>
        <v>Within SLA</v>
      </c>
      <c r="O103" t="str" cm="1">
        <f t="array" ref="O103">_xlfn.IFS(
tbl_analysis_tickets[[#This Row],[agent_experience_years]]&lt;=2,"Junior",
tbl_analysis_tickets[[#This Row],[agent_experience_years]]&lt;=5,"Mid-Level",
tbl_analysis_tickets[[#This Row],[agent_experience_years]]&lt;=8,"Senior",
tbl_analysis_tickets[[#This Row],[agent_experience_years]]&gt;8,"Expert"
)</f>
        <v>Mid-Level</v>
      </c>
      <c r="P103" cm="1">
        <f t="array" ref="P103">_xlfn.SWITCH(tbl_analysis_tickets[[#This Row],[customer_satisfaction]],
"Low",1,
"Medium",2,
"High",3
)</f>
        <v>1</v>
      </c>
      <c r="Q103">
        <f>IF(tbl_analysis_tickets[[#This Row],[reopened]]="Yes",1,0)</f>
        <v>0</v>
      </c>
      <c r="R103" t="str" cm="1">
        <f t="array" ref="R103">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03" t="str" cm="1">
        <f t="array" ref="S10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03" t="str">
        <f>TEXT(tbl_analysis_tickets[[#This Row],[created_date]],"mmm-yyyy")</f>
        <v>May-2024</v>
      </c>
      <c r="U103" t="str">
        <f>TEXT(tbl_analysis_tickets[[#This Row],[created_date]],"dddd")</f>
        <v>Sunday</v>
      </c>
      <c r="V103" cm="1">
        <f t="array" ref="V103">_xlfn.SWITCH(tbl_analysis_tickets[[#This Row],[priority]],
"Urgent",1,
"High",2,
"Medium",3,
"Low",4
)</f>
        <v>4</v>
      </c>
    </row>
    <row r="104" spans="1:22" x14ac:dyDescent="0.25">
      <c r="A104">
        <v>103</v>
      </c>
      <c r="B104" s="1">
        <v>45522</v>
      </c>
      <c r="C104" t="s">
        <v>23</v>
      </c>
      <c r="D104" t="s">
        <v>15</v>
      </c>
      <c r="E104">
        <v>94</v>
      </c>
      <c r="F104">
        <v>17</v>
      </c>
      <c r="G104">
        <v>7.2</v>
      </c>
      <c r="H104" t="s">
        <v>12</v>
      </c>
      <c r="I104" t="s">
        <v>13</v>
      </c>
      <c r="J104" t="s">
        <v>11</v>
      </c>
      <c r="K104">
        <f>_xlfn.XLOOKUP(tbl_analysis_tickets[[#This Row],[priority]],tbl_sla[priority],tbl_sla[Resolution SLA Hours])</f>
        <v>48</v>
      </c>
      <c r="L104">
        <f>_xlfn.XLOOKUP(tbl_analysis_tickets[[#This Row],[priority]],tbl_sla[priority],tbl_sla[First Response SLA Minutes])</f>
        <v>120</v>
      </c>
      <c r="M104" t="str">
        <f>IF(tbl_analysis_tickets[[#This Row],[resolution_time_hours]]&gt;tbl_analysis_tickets[[#This Row],[Resolution SLA Hours]],"Breached","Within SLA")</f>
        <v>Within SLA</v>
      </c>
      <c r="N104" t="str">
        <f>IF(tbl_analysis_tickets[[#This Row],[first_response_minutes]]&gt;tbl_analysis_tickets[[#This Row],[First Response SLA Minutes]],"Breached","Within SLA")</f>
        <v>Within SLA</v>
      </c>
      <c r="O104" t="str" cm="1">
        <f t="array" ref="O104">_xlfn.IFS(
tbl_analysis_tickets[[#This Row],[agent_experience_years]]&lt;=2,"Junior",
tbl_analysis_tickets[[#This Row],[agent_experience_years]]&lt;=5,"Mid-Level",
tbl_analysis_tickets[[#This Row],[agent_experience_years]]&lt;=8,"Senior",
tbl_analysis_tickets[[#This Row],[agent_experience_years]]&gt;8,"Expert"
)</f>
        <v>Senior</v>
      </c>
      <c r="P104" cm="1">
        <f t="array" ref="P104">_xlfn.SWITCH(tbl_analysis_tickets[[#This Row],[customer_satisfaction]],
"Low",1,
"Medium",2,
"High",3
)</f>
        <v>1</v>
      </c>
      <c r="Q104">
        <f>IF(tbl_analysis_tickets[[#This Row],[reopened]]="Yes",1,0)</f>
        <v>1</v>
      </c>
      <c r="R104" t="str" cm="1">
        <f t="array" ref="R104">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04" t="str" cm="1">
        <f t="array" ref="S10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04" t="str">
        <f>TEXT(tbl_analysis_tickets[[#This Row],[created_date]],"mmm-yyyy")</f>
        <v>Aug-2024</v>
      </c>
      <c r="U104" t="str">
        <f>TEXT(tbl_analysis_tickets[[#This Row],[created_date]],"dddd")</f>
        <v>Sunday</v>
      </c>
      <c r="V104" cm="1">
        <f t="array" ref="V104">_xlfn.SWITCH(tbl_analysis_tickets[[#This Row],[priority]],
"Urgent",1,
"High",2,
"Medium",3,
"Low",4
)</f>
        <v>3</v>
      </c>
    </row>
    <row r="105" spans="1:22" x14ac:dyDescent="0.25">
      <c r="A105">
        <v>104</v>
      </c>
      <c r="B105" s="1">
        <v>45528</v>
      </c>
      <c r="C105" t="s">
        <v>23</v>
      </c>
      <c r="D105" t="s">
        <v>11</v>
      </c>
      <c r="E105">
        <v>46</v>
      </c>
      <c r="F105">
        <v>18</v>
      </c>
      <c r="G105">
        <v>4.4000000000000004</v>
      </c>
      <c r="H105" t="s">
        <v>18</v>
      </c>
      <c r="I105" t="s">
        <v>16</v>
      </c>
      <c r="J105" t="s">
        <v>11</v>
      </c>
      <c r="K105">
        <f>_xlfn.XLOOKUP(tbl_analysis_tickets[[#This Row],[priority]],tbl_sla[priority],tbl_sla[Resolution SLA Hours])</f>
        <v>72</v>
      </c>
      <c r="L105">
        <f>_xlfn.XLOOKUP(tbl_analysis_tickets[[#This Row],[priority]],tbl_sla[priority],tbl_sla[First Response SLA Minutes])</f>
        <v>240</v>
      </c>
      <c r="M105" t="str">
        <f>IF(tbl_analysis_tickets[[#This Row],[resolution_time_hours]]&gt;tbl_analysis_tickets[[#This Row],[Resolution SLA Hours]],"Breached","Within SLA")</f>
        <v>Within SLA</v>
      </c>
      <c r="N105" t="str">
        <f>IF(tbl_analysis_tickets[[#This Row],[first_response_minutes]]&gt;tbl_analysis_tickets[[#This Row],[First Response SLA Minutes]],"Breached","Within SLA")</f>
        <v>Within SLA</v>
      </c>
      <c r="O105" t="str" cm="1">
        <f t="array" ref="O105">_xlfn.IFS(
tbl_analysis_tickets[[#This Row],[agent_experience_years]]&lt;=2,"Junior",
tbl_analysis_tickets[[#This Row],[agent_experience_years]]&lt;=5,"Mid-Level",
tbl_analysis_tickets[[#This Row],[agent_experience_years]]&lt;=8,"Senior",
tbl_analysis_tickets[[#This Row],[agent_experience_years]]&gt;8,"Expert"
)</f>
        <v>Mid-Level</v>
      </c>
      <c r="P105" cm="1">
        <f t="array" ref="P105">_xlfn.SWITCH(tbl_analysis_tickets[[#This Row],[customer_satisfaction]],
"Low",1,
"Medium",2,
"High",3
)</f>
        <v>1</v>
      </c>
      <c r="Q105">
        <f>IF(tbl_analysis_tickets[[#This Row],[reopened]]="Yes",1,0)</f>
        <v>0</v>
      </c>
      <c r="R105" t="str" cm="1">
        <f t="array" ref="R105">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05" t="str" cm="1">
        <f t="array" ref="S10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05" t="str">
        <f>TEXT(tbl_analysis_tickets[[#This Row],[created_date]],"mmm-yyyy")</f>
        <v>Aug-2024</v>
      </c>
      <c r="U105" t="str">
        <f>TEXT(tbl_analysis_tickets[[#This Row],[created_date]],"dddd")</f>
        <v>Saturday</v>
      </c>
      <c r="V105" cm="1">
        <f t="array" ref="V105">_xlfn.SWITCH(tbl_analysis_tickets[[#This Row],[priority]],
"Urgent",1,
"High",2,
"Medium",3,
"Low",4
)</f>
        <v>4</v>
      </c>
    </row>
    <row r="106" spans="1:22" x14ac:dyDescent="0.25">
      <c r="A106">
        <v>105</v>
      </c>
      <c r="B106" s="1">
        <v>45518</v>
      </c>
      <c r="C106" t="s">
        <v>22</v>
      </c>
      <c r="D106" t="s">
        <v>11</v>
      </c>
      <c r="E106">
        <v>92</v>
      </c>
      <c r="F106">
        <v>35</v>
      </c>
      <c r="G106">
        <v>7.8</v>
      </c>
      <c r="H106" t="s">
        <v>12</v>
      </c>
      <c r="I106" t="s">
        <v>16</v>
      </c>
      <c r="J106" t="s">
        <v>11</v>
      </c>
      <c r="K106">
        <f>_xlfn.XLOOKUP(tbl_analysis_tickets[[#This Row],[priority]],tbl_sla[priority],tbl_sla[Resolution SLA Hours])</f>
        <v>72</v>
      </c>
      <c r="L106">
        <f>_xlfn.XLOOKUP(tbl_analysis_tickets[[#This Row],[priority]],tbl_sla[priority],tbl_sla[First Response SLA Minutes])</f>
        <v>240</v>
      </c>
      <c r="M106" t="str">
        <f>IF(tbl_analysis_tickets[[#This Row],[resolution_time_hours]]&gt;tbl_analysis_tickets[[#This Row],[Resolution SLA Hours]],"Breached","Within SLA")</f>
        <v>Within SLA</v>
      </c>
      <c r="N106" t="str">
        <f>IF(tbl_analysis_tickets[[#This Row],[first_response_minutes]]&gt;tbl_analysis_tickets[[#This Row],[First Response SLA Minutes]],"Breached","Within SLA")</f>
        <v>Within SLA</v>
      </c>
      <c r="O106" t="str" cm="1">
        <f t="array" ref="O106">_xlfn.IFS(
tbl_analysis_tickets[[#This Row],[agent_experience_years]]&lt;=2,"Junior",
tbl_analysis_tickets[[#This Row],[agent_experience_years]]&lt;=5,"Mid-Level",
tbl_analysis_tickets[[#This Row],[agent_experience_years]]&lt;=8,"Senior",
tbl_analysis_tickets[[#This Row],[agent_experience_years]]&gt;8,"Expert"
)</f>
        <v>Senior</v>
      </c>
      <c r="P106" cm="1">
        <f t="array" ref="P106">_xlfn.SWITCH(tbl_analysis_tickets[[#This Row],[customer_satisfaction]],
"Low",1,
"Medium",2,
"High",3
)</f>
        <v>1</v>
      </c>
      <c r="Q106">
        <f>IF(tbl_analysis_tickets[[#This Row],[reopened]]="Yes",1,0)</f>
        <v>1</v>
      </c>
      <c r="R106" t="str" cm="1">
        <f t="array" ref="R106">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06" t="str" cm="1">
        <f t="array" ref="S10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06" t="str">
        <f>TEXT(tbl_analysis_tickets[[#This Row],[created_date]],"mmm-yyyy")</f>
        <v>Aug-2024</v>
      </c>
      <c r="U106" t="str">
        <f>TEXT(tbl_analysis_tickets[[#This Row],[created_date]],"dddd")</f>
        <v>Wednesday</v>
      </c>
      <c r="V106" cm="1">
        <f t="array" ref="V106">_xlfn.SWITCH(tbl_analysis_tickets[[#This Row],[priority]],
"Urgent",1,
"High",2,
"Medium",3,
"Low",4
)</f>
        <v>4</v>
      </c>
    </row>
    <row r="107" spans="1:22" x14ac:dyDescent="0.25">
      <c r="A107">
        <v>106</v>
      </c>
      <c r="B107" s="1">
        <v>45573</v>
      </c>
      <c r="C107" t="s">
        <v>22</v>
      </c>
      <c r="D107" t="s">
        <v>11</v>
      </c>
      <c r="E107">
        <v>13</v>
      </c>
      <c r="F107">
        <v>57</v>
      </c>
      <c r="G107">
        <v>8.9</v>
      </c>
      <c r="H107" t="s">
        <v>18</v>
      </c>
      <c r="I107" t="s">
        <v>13</v>
      </c>
      <c r="J107" t="s">
        <v>20</v>
      </c>
      <c r="K107">
        <f>_xlfn.XLOOKUP(tbl_analysis_tickets[[#This Row],[priority]],tbl_sla[priority],tbl_sla[Resolution SLA Hours])</f>
        <v>72</v>
      </c>
      <c r="L107">
        <f>_xlfn.XLOOKUP(tbl_analysis_tickets[[#This Row],[priority]],tbl_sla[priority],tbl_sla[First Response SLA Minutes])</f>
        <v>240</v>
      </c>
      <c r="M107" t="str">
        <f>IF(tbl_analysis_tickets[[#This Row],[resolution_time_hours]]&gt;tbl_analysis_tickets[[#This Row],[Resolution SLA Hours]],"Breached","Within SLA")</f>
        <v>Within SLA</v>
      </c>
      <c r="N107" t="str">
        <f>IF(tbl_analysis_tickets[[#This Row],[first_response_minutes]]&gt;tbl_analysis_tickets[[#This Row],[First Response SLA Minutes]],"Breached","Within SLA")</f>
        <v>Within SLA</v>
      </c>
      <c r="O107" t="str" cm="1">
        <f t="array" ref="O107">_xlfn.IFS(
tbl_analysis_tickets[[#This Row],[agent_experience_years]]&lt;=2,"Junior",
tbl_analysis_tickets[[#This Row],[agent_experience_years]]&lt;=5,"Mid-Level",
tbl_analysis_tickets[[#This Row],[agent_experience_years]]&lt;=8,"Senior",
tbl_analysis_tickets[[#This Row],[agent_experience_years]]&gt;8,"Expert"
)</f>
        <v>Expert</v>
      </c>
      <c r="P107" cm="1">
        <f t="array" ref="P107">_xlfn.SWITCH(tbl_analysis_tickets[[#This Row],[customer_satisfaction]],
"Low",1,
"Medium",2,
"High",3
)</f>
        <v>3</v>
      </c>
      <c r="Q107">
        <f>IF(tbl_analysis_tickets[[#This Row],[reopened]]="Yes",1,0)</f>
        <v>0</v>
      </c>
      <c r="R107" t="str" cm="1">
        <f t="array" ref="R107">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107" t="str" cm="1">
        <f t="array" ref="S10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07" t="str">
        <f>TEXT(tbl_analysis_tickets[[#This Row],[created_date]],"mmm-yyyy")</f>
        <v>Oct-2024</v>
      </c>
      <c r="U107" t="str">
        <f>TEXT(tbl_analysis_tickets[[#This Row],[created_date]],"dddd")</f>
        <v>Tuesday</v>
      </c>
      <c r="V107" cm="1">
        <f t="array" ref="V107">_xlfn.SWITCH(tbl_analysis_tickets[[#This Row],[priority]],
"Urgent",1,
"High",2,
"Medium",3,
"Low",4
)</f>
        <v>4</v>
      </c>
    </row>
    <row r="108" spans="1:22" x14ac:dyDescent="0.25">
      <c r="A108">
        <v>107</v>
      </c>
      <c r="B108" s="1">
        <v>45474</v>
      </c>
      <c r="C108" t="s">
        <v>23</v>
      </c>
      <c r="D108" t="s">
        <v>20</v>
      </c>
      <c r="E108">
        <v>79</v>
      </c>
      <c r="F108">
        <v>18</v>
      </c>
      <c r="G108">
        <v>4.9000000000000004</v>
      </c>
      <c r="H108" t="s">
        <v>18</v>
      </c>
      <c r="I108" t="s">
        <v>13</v>
      </c>
      <c r="J108" t="s">
        <v>11</v>
      </c>
      <c r="K108">
        <f>_xlfn.XLOOKUP(tbl_analysis_tickets[[#This Row],[priority]],tbl_sla[priority],tbl_sla[Resolution SLA Hours])</f>
        <v>24</v>
      </c>
      <c r="L108">
        <f>_xlfn.XLOOKUP(tbl_analysis_tickets[[#This Row],[priority]],tbl_sla[priority],tbl_sla[First Response SLA Minutes])</f>
        <v>60</v>
      </c>
      <c r="M108" t="str">
        <f>IF(tbl_analysis_tickets[[#This Row],[resolution_time_hours]]&gt;tbl_analysis_tickets[[#This Row],[Resolution SLA Hours]],"Breached","Within SLA")</f>
        <v>Within SLA</v>
      </c>
      <c r="N108" t="str">
        <f>IF(tbl_analysis_tickets[[#This Row],[first_response_minutes]]&gt;tbl_analysis_tickets[[#This Row],[First Response SLA Minutes]],"Breached","Within SLA")</f>
        <v>Breached</v>
      </c>
      <c r="O108" t="str" cm="1">
        <f t="array" ref="O108">_xlfn.IFS(
tbl_analysis_tickets[[#This Row],[agent_experience_years]]&lt;=2,"Junior",
tbl_analysis_tickets[[#This Row],[agent_experience_years]]&lt;=5,"Mid-Level",
tbl_analysis_tickets[[#This Row],[agent_experience_years]]&lt;=8,"Senior",
tbl_analysis_tickets[[#This Row],[agent_experience_years]]&gt;8,"Expert"
)</f>
        <v>Mid-Level</v>
      </c>
      <c r="P108" cm="1">
        <f t="array" ref="P108">_xlfn.SWITCH(tbl_analysis_tickets[[#This Row],[customer_satisfaction]],
"Low",1,
"Medium",2,
"High",3
)</f>
        <v>1</v>
      </c>
      <c r="Q108">
        <f>IF(tbl_analysis_tickets[[#This Row],[reopened]]="Yes",1,0)</f>
        <v>0</v>
      </c>
      <c r="R108" t="str" cm="1">
        <f t="array" ref="R108">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08" t="str" cm="1">
        <f t="array" ref="S10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08" t="str">
        <f>TEXT(tbl_analysis_tickets[[#This Row],[created_date]],"mmm-yyyy")</f>
        <v>Jul-2024</v>
      </c>
      <c r="U108" t="str">
        <f>TEXT(tbl_analysis_tickets[[#This Row],[created_date]],"dddd")</f>
        <v>Monday</v>
      </c>
      <c r="V108" cm="1">
        <f t="array" ref="V108">_xlfn.SWITCH(tbl_analysis_tickets[[#This Row],[priority]],
"Urgent",1,
"High",2,
"Medium",3,
"Low",4
)</f>
        <v>2</v>
      </c>
    </row>
    <row r="109" spans="1:22" x14ac:dyDescent="0.25">
      <c r="A109">
        <v>108</v>
      </c>
      <c r="B109" s="1">
        <v>45421</v>
      </c>
      <c r="C109" t="s">
        <v>10</v>
      </c>
      <c r="D109" t="s">
        <v>20</v>
      </c>
      <c r="E109">
        <v>172</v>
      </c>
      <c r="F109">
        <v>45</v>
      </c>
      <c r="G109">
        <v>7.2</v>
      </c>
      <c r="H109" t="s">
        <v>12</v>
      </c>
      <c r="I109" t="s">
        <v>13</v>
      </c>
      <c r="J109" t="s">
        <v>11</v>
      </c>
      <c r="K109">
        <f>_xlfn.XLOOKUP(tbl_analysis_tickets[[#This Row],[priority]],tbl_sla[priority],tbl_sla[Resolution SLA Hours])</f>
        <v>24</v>
      </c>
      <c r="L109">
        <f>_xlfn.XLOOKUP(tbl_analysis_tickets[[#This Row],[priority]],tbl_sla[priority],tbl_sla[First Response SLA Minutes])</f>
        <v>60</v>
      </c>
      <c r="M109" t="str">
        <f>IF(tbl_analysis_tickets[[#This Row],[resolution_time_hours]]&gt;tbl_analysis_tickets[[#This Row],[Resolution SLA Hours]],"Breached","Within SLA")</f>
        <v>Breached</v>
      </c>
      <c r="N109" t="str">
        <f>IF(tbl_analysis_tickets[[#This Row],[first_response_minutes]]&gt;tbl_analysis_tickets[[#This Row],[First Response SLA Minutes]],"Breached","Within SLA")</f>
        <v>Breached</v>
      </c>
      <c r="O109" t="str" cm="1">
        <f t="array" ref="O109">_xlfn.IFS(
tbl_analysis_tickets[[#This Row],[agent_experience_years]]&lt;=2,"Junior",
tbl_analysis_tickets[[#This Row],[agent_experience_years]]&lt;=5,"Mid-Level",
tbl_analysis_tickets[[#This Row],[agent_experience_years]]&lt;=8,"Senior",
tbl_analysis_tickets[[#This Row],[agent_experience_years]]&gt;8,"Expert"
)</f>
        <v>Senior</v>
      </c>
      <c r="P109" cm="1">
        <f t="array" ref="P109">_xlfn.SWITCH(tbl_analysis_tickets[[#This Row],[customer_satisfaction]],
"Low",1,
"Medium",2,
"High",3
)</f>
        <v>1</v>
      </c>
      <c r="Q109">
        <f>IF(tbl_analysis_tickets[[#This Row],[reopened]]="Yes",1,0)</f>
        <v>1</v>
      </c>
      <c r="R109" t="str" cm="1">
        <f t="array" ref="R109">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09" t="str" cm="1">
        <f t="array" ref="S10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09" t="str">
        <f>TEXT(tbl_analysis_tickets[[#This Row],[created_date]],"mmm-yyyy")</f>
        <v>May-2024</v>
      </c>
      <c r="U109" t="str">
        <f>TEXT(tbl_analysis_tickets[[#This Row],[created_date]],"dddd")</f>
        <v>Thursday</v>
      </c>
      <c r="V109" cm="1">
        <f t="array" ref="V109">_xlfn.SWITCH(tbl_analysis_tickets[[#This Row],[priority]],
"Urgent",1,
"High",2,
"Medium",3,
"Low",4
)</f>
        <v>2</v>
      </c>
    </row>
    <row r="110" spans="1:22" x14ac:dyDescent="0.25">
      <c r="A110">
        <v>109</v>
      </c>
      <c r="B110" s="1">
        <v>45368</v>
      </c>
      <c r="C110" t="s">
        <v>22</v>
      </c>
      <c r="D110" t="s">
        <v>17</v>
      </c>
      <c r="E110">
        <v>114</v>
      </c>
      <c r="F110">
        <v>52</v>
      </c>
      <c r="G110">
        <v>2.1</v>
      </c>
      <c r="H110" t="s">
        <v>12</v>
      </c>
      <c r="I110" t="s">
        <v>19</v>
      </c>
      <c r="J110" t="s">
        <v>11</v>
      </c>
      <c r="K110">
        <f>_xlfn.XLOOKUP(tbl_analysis_tickets[[#This Row],[priority]],tbl_sla[priority],tbl_sla[Resolution SLA Hours])</f>
        <v>8</v>
      </c>
      <c r="L110">
        <f>_xlfn.XLOOKUP(tbl_analysis_tickets[[#This Row],[priority]],tbl_sla[priority],tbl_sla[First Response SLA Minutes])</f>
        <v>30</v>
      </c>
      <c r="M110" t="str">
        <f>IF(tbl_analysis_tickets[[#This Row],[resolution_time_hours]]&gt;tbl_analysis_tickets[[#This Row],[Resolution SLA Hours]],"Breached","Within SLA")</f>
        <v>Breached</v>
      </c>
      <c r="N110" t="str">
        <f>IF(tbl_analysis_tickets[[#This Row],[first_response_minutes]]&gt;tbl_analysis_tickets[[#This Row],[First Response SLA Minutes]],"Breached","Within SLA")</f>
        <v>Breached</v>
      </c>
      <c r="O110" t="str" cm="1">
        <f t="array" ref="O110">_xlfn.IFS(
tbl_analysis_tickets[[#This Row],[agent_experience_years]]&lt;=2,"Junior",
tbl_analysis_tickets[[#This Row],[agent_experience_years]]&lt;=5,"Mid-Level",
tbl_analysis_tickets[[#This Row],[agent_experience_years]]&lt;=8,"Senior",
tbl_analysis_tickets[[#This Row],[agent_experience_years]]&gt;8,"Expert"
)</f>
        <v>Mid-Level</v>
      </c>
      <c r="P110" cm="1">
        <f t="array" ref="P110">_xlfn.SWITCH(tbl_analysis_tickets[[#This Row],[customer_satisfaction]],
"Low",1,
"Medium",2,
"High",3
)</f>
        <v>1</v>
      </c>
      <c r="Q110">
        <f>IF(tbl_analysis_tickets[[#This Row],[reopened]]="Yes",1,0)</f>
        <v>1</v>
      </c>
      <c r="R110" t="str" cm="1">
        <f t="array" ref="R110">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10" t="str" cm="1">
        <f t="array" ref="S11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10" t="str">
        <f>TEXT(tbl_analysis_tickets[[#This Row],[created_date]],"mmm-yyyy")</f>
        <v>Mar-2024</v>
      </c>
      <c r="U110" t="str">
        <f>TEXT(tbl_analysis_tickets[[#This Row],[created_date]],"dddd")</f>
        <v>Sunday</v>
      </c>
      <c r="V110" cm="1">
        <f t="array" ref="V110">_xlfn.SWITCH(tbl_analysis_tickets[[#This Row],[priority]],
"Urgent",1,
"High",2,
"Medium",3,
"Low",4
)</f>
        <v>1</v>
      </c>
    </row>
    <row r="111" spans="1:22" x14ac:dyDescent="0.25">
      <c r="A111">
        <v>110</v>
      </c>
      <c r="B111" s="1">
        <v>45512</v>
      </c>
      <c r="C111" t="s">
        <v>14</v>
      </c>
      <c r="D111" t="s">
        <v>15</v>
      </c>
      <c r="E111">
        <v>221</v>
      </c>
      <c r="F111">
        <v>1</v>
      </c>
      <c r="G111">
        <v>4.7</v>
      </c>
      <c r="H111" t="s">
        <v>18</v>
      </c>
      <c r="I111" t="s">
        <v>16</v>
      </c>
      <c r="J111" t="s">
        <v>15</v>
      </c>
      <c r="K111">
        <f>_xlfn.XLOOKUP(tbl_analysis_tickets[[#This Row],[priority]],tbl_sla[priority],tbl_sla[Resolution SLA Hours])</f>
        <v>48</v>
      </c>
      <c r="L111">
        <f>_xlfn.XLOOKUP(tbl_analysis_tickets[[#This Row],[priority]],tbl_sla[priority],tbl_sla[First Response SLA Minutes])</f>
        <v>120</v>
      </c>
      <c r="M111" t="str">
        <f>IF(tbl_analysis_tickets[[#This Row],[resolution_time_hours]]&gt;tbl_analysis_tickets[[#This Row],[Resolution SLA Hours]],"Breached","Within SLA")</f>
        <v>Within SLA</v>
      </c>
      <c r="N111" t="str">
        <f>IF(tbl_analysis_tickets[[#This Row],[first_response_minutes]]&gt;tbl_analysis_tickets[[#This Row],[First Response SLA Minutes]],"Breached","Within SLA")</f>
        <v>Breached</v>
      </c>
      <c r="O111" t="str" cm="1">
        <f t="array" ref="O111">_xlfn.IFS(
tbl_analysis_tickets[[#This Row],[agent_experience_years]]&lt;=2,"Junior",
tbl_analysis_tickets[[#This Row],[agent_experience_years]]&lt;=5,"Mid-Level",
tbl_analysis_tickets[[#This Row],[agent_experience_years]]&lt;=8,"Senior",
tbl_analysis_tickets[[#This Row],[agent_experience_years]]&gt;8,"Expert"
)</f>
        <v>Mid-Level</v>
      </c>
      <c r="P111" cm="1">
        <f t="array" ref="P111">_xlfn.SWITCH(tbl_analysis_tickets[[#This Row],[customer_satisfaction]],
"Low",1,
"Medium",2,
"High",3
)</f>
        <v>2</v>
      </c>
      <c r="Q111">
        <f>IF(tbl_analysis_tickets[[#This Row],[reopened]]="Yes",1,0)</f>
        <v>0</v>
      </c>
      <c r="R111" t="str" cm="1">
        <f t="array" ref="R111">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11" t="str" cm="1">
        <f t="array" ref="S11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111" t="str">
        <f>TEXT(tbl_analysis_tickets[[#This Row],[created_date]],"mmm-yyyy")</f>
        <v>Aug-2024</v>
      </c>
      <c r="U111" t="str">
        <f>TEXT(tbl_analysis_tickets[[#This Row],[created_date]],"dddd")</f>
        <v>Thursday</v>
      </c>
      <c r="V111" cm="1">
        <f t="array" ref="V111">_xlfn.SWITCH(tbl_analysis_tickets[[#This Row],[priority]],
"Urgent",1,
"High",2,
"Medium",3,
"Low",4
)</f>
        <v>3</v>
      </c>
    </row>
    <row r="112" spans="1:22" x14ac:dyDescent="0.25">
      <c r="A112">
        <v>111</v>
      </c>
      <c r="B112" s="1">
        <v>45317</v>
      </c>
      <c r="C112" t="s">
        <v>23</v>
      </c>
      <c r="D112" t="s">
        <v>20</v>
      </c>
      <c r="E112">
        <v>235</v>
      </c>
      <c r="F112">
        <v>25</v>
      </c>
      <c r="G112">
        <v>7</v>
      </c>
      <c r="H112" t="s">
        <v>12</v>
      </c>
      <c r="I112" t="s">
        <v>19</v>
      </c>
      <c r="J112" t="s">
        <v>11</v>
      </c>
      <c r="K112">
        <f>_xlfn.XLOOKUP(tbl_analysis_tickets[[#This Row],[priority]],tbl_sla[priority],tbl_sla[Resolution SLA Hours])</f>
        <v>24</v>
      </c>
      <c r="L112">
        <f>_xlfn.XLOOKUP(tbl_analysis_tickets[[#This Row],[priority]],tbl_sla[priority],tbl_sla[First Response SLA Minutes])</f>
        <v>60</v>
      </c>
      <c r="M112" t="str">
        <f>IF(tbl_analysis_tickets[[#This Row],[resolution_time_hours]]&gt;tbl_analysis_tickets[[#This Row],[Resolution SLA Hours]],"Breached","Within SLA")</f>
        <v>Breached</v>
      </c>
      <c r="N112" t="str">
        <f>IF(tbl_analysis_tickets[[#This Row],[first_response_minutes]]&gt;tbl_analysis_tickets[[#This Row],[First Response SLA Minutes]],"Breached","Within SLA")</f>
        <v>Breached</v>
      </c>
      <c r="O112" t="str" cm="1">
        <f t="array" ref="O112">_xlfn.IFS(
tbl_analysis_tickets[[#This Row],[agent_experience_years]]&lt;=2,"Junior",
tbl_analysis_tickets[[#This Row],[agent_experience_years]]&lt;=5,"Mid-Level",
tbl_analysis_tickets[[#This Row],[agent_experience_years]]&lt;=8,"Senior",
tbl_analysis_tickets[[#This Row],[agent_experience_years]]&gt;8,"Expert"
)</f>
        <v>Senior</v>
      </c>
      <c r="P112" cm="1">
        <f t="array" ref="P112">_xlfn.SWITCH(tbl_analysis_tickets[[#This Row],[customer_satisfaction]],
"Low",1,
"Medium",2,
"High",3
)</f>
        <v>1</v>
      </c>
      <c r="Q112">
        <f>IF(tbl_analysis_tickets[[#This Row],[reopened]]="Yes",1,0)</f>
        <v>1</v>
      </c>
      <c r="R112" t="str" cm="1">
        <f t="array" ref="R112">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12" t="str" cm="1">
        <f t="array" ref="S11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12" t="str">
        <f>TEXT(tbl_analysis_tickets[[#This Row],[created_date]],"mmm-yyyy")</f>
        <v>Jan-2024</v>
      </c>
      <c r="U112" t="str">
        <f>TEXT(tbl_analysis_tickets[[#This Row],[created_date]],"dddd")</f>
        <v>Friday</v>
      </c>
      <c r="V112" cm="1">
        <f t="array" ref="V112">_xlfn.SWITCH(tbl_analysis_tickets[[#This Row],[priority]],
"Urgent",1,
"High",2,
"Medium",3,
"Low",4
)</f>
        <v>2</v>
      </c>
    </row>
    <row r="113" spans="1:22" x14ac:dyDescent="0.25">
      <c r="A113">
        <v>112</v>
      </c>
      <c r="B113" s="1">
        <v>45322</v>
      </c>
      <c r="C113" t="s">
        <v>22</v>
      </c>
      <c r="D113" t="s">
        <v>15</v>
      </c>
      <c r="E113">
        <v>149</v>
      </c>
      <c r="F113">
        <v>69</v>
      </c>
      <c r="G113">
        <v>9.4</v>
      </c>
      <c r="H113" t="s">
        <v>12</v>
      </c>
      <c r="I113" t="s">
        <v>13</v>
      </c>
      <c r="J113" t="s">
        <v>11</v>
      </c>
      <c r="K113">
        <f>_xlfn.XLOOKUP(tbl_analysis_tickets[[#This Row],[priority]],tbl_sla[priority],tbl_sla[Resolution SLA Hours])</f>
        <v>48</v>
      </c>
      <c r="L113">
        <f>_xlfn.XLOOKUP(tbl_analysis_tickets[[#This Row],[priority]],tbl_sla[priority],tbl_sla[First Response SLA Minutes])</f>
        <v>120</v>
      </c>
      <c r="M113" t="str">
        <f>IF(tbl_analysis_tickets[[#This Row],[resolution_time_hours]]&gt;tbl_analysis_tickets[[#This Row],[Resolution SLA Hours]],"Breached","Within SLA")</f>
        <v>Breached</v>
      </c>
      <c r="N113" t="str">
        <f>IF(tbl_analysis_tickets[[#This Row],[first_response_minutes]]&gt;tbl_analysis_tickets[[#This Row],[First Response SLA Minutes]],"Breached","Within SLA")</f>
        <v>Breached</v>
      </c>
      <c r="O113" t="str" cm="1">
        <f t="array" ref="O113">_xlfn.IFS(
tbl_analysis_tickets[[#This Row],[agent_experience_years]]&lt;=2,"Junior",
tbl_analysis_tickets[[#This Row],[agent_experience_years]]&lt;=5,"Mid-Level",
tbl_analysis_tickets[[#This Row],[agent_experience_years]]&lt;=8,"Senior",
tbl_analysis_tickets[[#This Row],[agent_experience_years]]&gt;8,"Expert"
)</f>
        <v>Expert</v>
      </c>
      <c r="P113" cm="1">
        <f t="array" ref="P113">_xlfn.SWITCH(tbl_analysis_tickets[[#This Row],[customer_satisfaction]],
"Low",1,
"Medium",2,
"High",3
)</f>
        <v>1</v>
      </c>
      <c r="Q113">
        <f>IF(tbl_analysis_tickets[[#This Row],[reopened]]="Yes",1,0)</f>
        <v>1</v>
      </c>
      <c r="R113" t="str" cm="1">
        <f t="array" ref="R113">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13" t="str" cm="1">
        <f t="array" ref="S11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13" t="str">
        <f>TEXT(tbl_analysis_tickets[[#This Row],[created_date]],"mmm-yyyy")</f>
        <v>Jan-2024</v>
      </c>
      <c r="U113" t="str">
        <f>TEXT(tbl_analysis_tickets[[#This Row],[created_date]],"dddd")</f>
        <v>Wednesday</v>
      </c>
      <c r="V113" cm="1">
        <f t="array" ref="V113">_xlfn.SWITCH(tbl_analysis_tickets[[#This Row],[priority]],
"Urgent",1,
"High",2,
"Medium",3,
"Low",4
)</f>
        <v>3</v>
      </c>
    </row>
    <row r="114" spans="1:22" x14ac:dyDescent="0.25">
      <c r="A114">
        <v>113</v>
      </c>
      <c r="B114" s="1">
        <v>45423</v>
      </c>
      <c r="C114" t="s">
        <v>23</v>
      </c>
      <c r="D114" t="s">
        <v>20</v>
      </c>
      <c r="E114">
        <v>240</v>
      </c>
      <c r="F114">
        <v>60</v>
      </c>
      <c r="G114">
        <v>7.7</v>
      </c>
      <c r="H114" t="s">
        <v>18</v>
      </c>
      <c r="I114" t="s">
        <v>16</v>
      </c>
      <c r="J114" t="s">
        <v>11</v>
      </c>
      <c r="K114">
        <f>_xlfn.XLOOKUP(tbl_analysis_tickets[[#This Row],[priority]],tbl_sla[priority],tbl_sla[Resolution SLA Hours])</f>
        <v>24</v>
      </c>
      <c r="L114">
        <f>_xlfn.XLOOKUP(tbl_analysis_tickets[[#This Row],[priority]],tbl_sla[priority],tbl_sla[First Response SLA Minutes])</f>
        <v>60</v>
      </c>
      <c r="M114" t="str">
        <f>IF(tbl_analysis_tickets[[#This Row],[resolution_time_hours]]&gt;tbl_analysis_tickets[[#This Row],[Resolution SLA Hours]],"Breached","Within SLA")</f>
        <v>Breached</v>
      </c>
      <c r="N114" t="str">
        <f>IF(tbl_analysis_tickets[[#This Row],[first_response_minutes]]&gt;tbl_analysis_tickets[[#This Row],[First Response SLA Minutes]],"Breached","Within SLA")</f>
        <v>Breached</v>
      </c>
      <c r="O114" t="str" cm="1">
        <f t="array" ref="O114">_xlfn.IFS(
tbl_analysis_tickets[[#This Row],[agent_experience_years]]&lt;=2,"Junior",
tbl_analysis_tickets[[#This Row],[agent_experience_years]]&lt;=5,"Mid-Level",
tbl_analysis_tickets[[#This Row],[agent_experience_years]]&lt;=8,"Senior",
tbl_analysis_tickets[[#This Row],[agent_experience_years]]&gt;8,"Expert"
)</f>
        <v>Senior</v>
      </c>
      <c r="P114" cm="1">
        <f t="array" ref="P114">_xlfn.SWITCH(tbl_analysis_tickets[[#This Row],[customer_satisfaction]],
"Low",1,
"Medium",2,
"High",3
)</f>
        <v>1</v>
      </c>
      <c r="Q114">
        <f>IF(tbl_analysis_tickets[[#This Row],[reopened]]="Yes",1,0)</f>
        <v>0</v>
      </c>
      <c r="R114" t="str" cm="1">
        <f t="array" ref="R114">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14" t="str" cm="1">
        <f t="array" ref="S11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14" t="str">
        <f>TEXT(tbl_analysis_tickets[[#This Row],[created_date]],"mmm-yyyy")</f>
        <v>May-2024</v>
      </c>
      <c r="U114" t="str">
        <f>TEXT(tbl_analysis_tickets[[#This Row],[created_date]],"dddd")</f>
        <v>Saturday</v>
      </c>
      <c r="V114" cm="1">
        <f t="array" ref="V114">_xlfn.SWITCH(tbl_analysis_tickets[[#This Row],[priority]],
"Urgent",1,
"High",2,
"Medium",3,
"Low",4
)</f>
        <v>2</v>
      </c>
    </row>
    <row r="115" spans="1:22" x14ac:dyDescent="0.25">
      <c r="A115">
        <v>114</v>
      </c>
      <c r="B115" s="1">
        <v>45518</v>
      </c>
      <c r="C115" t="s">
        <v>22</v>
      </c>
      <c r="D115" t="s">
        <v>20</v>
      </c>
      <c r="E115">
        <v>221</v>
      </c>
      <c r="F115">
        <v>9</v>
      </c>
      <c r="G115">
        <v>6.6</v>
      </c>
      <c r="H115" t="s">
        <v>12</v>
      </c>
      <c r="I115" t="s">
        <v>19</v>
      </c>
      <c r="J115" t="s">
        <v>11</v>
      </c>
      <c r="K115">
        <f>_xlfn.XLOOKUP(tbl_analysis_tickets[[#This Row],[priority]],tbl_sla[priority],tbl_sla[Resolution SLA Hours])</f>
        <v>24</v>
      </c>
      <c r="L115">
        <f>_xlfn.XLOOKUP(tbl_analysis_tickets[[#This Row],[priority]],tbl_sla[priority],tbl_sla[First Response SLA Minutes])</f>
        <v>60</v>
      </c>
      <c r="M115" t="str">
        <f>IF(tbl_analysis_tickets[[#This Row],[resolution_time_hours]]&gt;tbl_analysis_tickets[[#This Row],[Resolution SLA Hours]],"Breached","Within SLA")</f>
        <v>Within SLA</v>
      </c>
      <c r="N115" t="str">
        <f>IF(tbl_analysis_tickets[[#This Row],[first_response_minutes]]&gt;tbl_analysis_tickets[[#This Row],[First Response SLA Minutes]],"Breached","Within SLA")</f>
        <v>Breached</v>
      </c>
      <c r="O115" t="str" cm="1">
        <f t="array" ref="O115">_xlfn.IFS(
tbl_analysis_tickets[[#This Row],[agent_experience_years]]&lt;=2,"Junior",
tbl_analysis_tickets[[#This Row],[agent_experience_years]]&lt;=5,"Mid-Level",
tbl_analysis_tickets[[#This Row],[agent_experience_years]]&lt;=8,"Senior",
tbl_analysis_tickets[[#This Row],[agent_experience_years]]&gt;8,"Expert"
)</f>
        <v>Senior</v>
      </c>
      <c r="P115" cm="1">
        <f t="array" ref="P115">_xlfn.SWITCH(tbl_analysis_tickets[[#This Row],[customer_satisfaction]],
"Low",1,
"Medium",2,
"High",3
)</f>
        <v>1</v>
      </c>
      <c r="Q115">
        <f>IF(tbl_analysis_tickets[[#This Row],[reopened]]="Yes",1,0)</f>
        <v>1</v>
      </c>
      <c r="R115" t="str" cm="1">
        <f t="array" ref="R115">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15" t="str" cm="1">
        <f t="array" ref="S11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15" t="str">
        <f>TEXT(tbl_analysis_tickets[[#This Row],[created_date]],"mmm-yyyy")</f>
        <v>Aug-2024</v>
      </c>
      <c r="U115" t="str">
        <f>TEXT(tbl_analysis_tickets[[#This Row],[created_date]],"dddd")</f>
        <v>Wednesday</v>
      </c>
      <c r="V115" cm="1">
        <f t="array" ref="V115">_xlfn.SWITCH(tbl_analysis_tickets[[#This Row],[priority]],
"Urgent",1,
"High",2,
"Medium",3,
"Low",4
)</f>
        <v>2</v>
      </c>
    </row>
    <row r="116" spans="1:22" x14ac:dyDescent="0.25">
      <c r="A116">
        <v>115</v>
      </c>
      <c r="B116" s="1">
        <v>45317</v>
      </c>
      <c r="C116" t="s">
        <v>22</v>
      </c>
      <c r="D116" t="s">
        <v>15</v>
      </c>
      <c r="E116">
        <v>151</v>
      </c>
      <c r="F116">
        <v>35</v>
      </c>
      <c r="G116">
        <v>5.8</v>
      </c>
      <c r="H116" t="s">
        <v>18</v>
      </c>
      <c r="I116" t="s">
        <v>13</v>
      </c>
      <c r="J116" t="s">
        <v>15</v>
      </c>
      <c r="K116">
        <f>_xlfn.XLOOKUP(tbl_analysis_tickets[[#This Row],[priority]],tbl_sla[priority],tbl_sla[Resolution SLA Hours])</f>
        <v>48</v>
      </c>
      <c r="L116">
        <f>_xlfn.XLOOKUP(tbl_analysis_tickets[[#This Row],[priority]],tbl_sla[priority],tbl_sla[First Response SLA Minutes])</f>
        <v>120</v>
      </c>
      <c r="M116" t="str">
        <f>IF(tbl_analysis_tickets[[#This Row],[resolution_time_hours]]&gt;tbl_analysis_tickets[[#This Row],[Resolution SLA Hours]],"Breached","Within SLA")</f>
        <v>Within SLA</v>
      </c>
      <c r="N116" t="str">
        <f>IF(tbl_analysis_tickets[[#This Row],[first_response_minutes]]&gt;tbl_analysis_tickets[[#This Row],[First Response SLA Minutes]],"Breached","Within SLA")</f>
        <v>Breached</v>
      </c>
      <c r="O116" t="str" cm="1">
        <f t="array" ref="O116">_xlfn.IFS(
tbl_analysis_tickets[[#This Row],[agent_experience_years]]&lt;=2,"Junior",
tbl_analysis_tickets[[#This Row],[agent_experience_years]]&lt;=5,"Mid-Level",
tbl_analysis_tickets[[#This Row],[agent_experience_years]]&lt;=8,"Senior",
tbl_analysis_tickets[[#This Row],[agent_experience_years]]&gt;8,"Expert"
)</f>
        <v>Senior</v>
      </c>
      <c r="P116" cm="1">
        <f t="array" ref="P116">_xlfn.SWITCH(tbl_analysis_tickets[[#This Row],[customer_satisfaction]],
"Low",1,
"Medium",2,
"High",3
)</f>
        <v>2</v>
      </c>
      <c r="Q116">
        <f>IF(tbl_analysis_tickets[[#This Row],[reopened]]="Yes",1,0)</f>
        <v>0</v>
      </c>
      <c r="R116" t="str" cm="1">
        <f t="array" ref="R116">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16" t="str" cm="1">
        <f t="array" ref="S11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16" t="str">
        <f>TEXT(tbl_analysis_tickets[[#This Row],[created_date]],"mmm-yyyy")</f>
        <v>Jan-2024</v>
      </c>
      <c r="U116" t="str">
        <f>TEXT(tbl_analysis_tickets[[#This Row],[created_date]],"dddd")</f>
        <v>Friday</v>
      </c>
      <c r="V116" cm="1">
        <f t="array" ref="V116">_xlfn.SWITCH(tbl_analysis_tickets[[#This Row],[priority]],
"Urgent",1,
"High",2,
"Medium",3,
"Low",4
)</f>
        <v>3</v>
      </c>
    </row>
    <row r="117" spans="1:22" x14ac:dyDescent="0.25">
      <c r="A117">
        <v>116</v>
      </c>
      <c r="B117" s="1">
        <v>45543</v>
      </c>
      <c r="C117" t="s">
        <v>14</v>
      </c>
      <c r="D117" t="s">
        <v>20</v>
      </c>
      <c r="E117">
        <v>124</v>
      </c>
      <c r="F117">
        <v>8</v>
      </c>
      <c r="G117">
        <v>4.0999999999999996</v>
      </c>
      <c r="H117" t="s">
        <v>18</v>
      </c>
      <c r="I117" t="s">
        <v>19</v>
      </c>
      <c r="J117" t="s">
        <v>11</v>
      </c>
      <c r="K117">
        <f>_xlfn.XLOOKUP(tbl_analysis_tickets[[#This Row],[priority]],tbl_sla[priority],tbl_sla[Resolution SLA Hours])</f>
        <v>24</v>
      </c>
      <c r="L117">
        <f>_xlfn.XLOOKUP(tbl_analysis_tickets[[#This Row],[priority]],tbl_sla[priority],tbl_sla[First Response SLA Minutes])</f>
        <v>60</v>
      </c>
      <c r="M117" t="str">
        <f>IF(tbl_analysis_tickets[[#This Row],[resolution_time_hours]]&gt;tbl_analysis_tickets[[#This Row],[Resolution SLA Hours]],"Breached","Within SLA")</f>
        <v>Within SLA</v>
      </c>
      <c r="N117" t="str">
        <f>IF(tbl_analysis_tickets[[#This Row],[first_response_minutes]]&gt;tbl_analysis_tickets[[#This Row],[First Response SLA Minutes]],"Breached","Within SLA")</f>
        <v>Breached</v>
      </c>
      <c r="O117" t="str" cm="1">
        <f t="array" ref="O117">_xlfn.IFS(
tbl_analysis_tickets[[#This Row],[agent_experience_years]]&lt;=2,"Junior",
tbl_analysis_tickets[[#This Row],[agent_experience_years]]&lt;=5,"Mid-Level",
tbl_analysis_tickets[[#This Row],[agent_experience_years]]&lt;=8,"Senior",
tbl_analysis_tickets[[#This Row],[agent_experience_years]]&gt;8,"Expert"
)</f>
        <v>Mid-Level</v>
      </c>
      <c r="P117" cm="1">
        <f t="array" ref="P117">_xlfn.SWITCH(tbl_analysis_tickets[[#This Row],[customer_satisfaction]],
"Low",1,
"Medium",2,
"High",3
)</f>
        <v>1</v>
      </c>
      <c r="Q117">
        <f>IF(tbl_analysis_tickets[[#This Row],[reopened]]="Yes",1,0)</f>
        <v>0</v>
      </c>
      <c r="R117" t="str" cm="1">
        <f t="array" ref="R117">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17" t="str" cm="1">
        <f t="array" ref="S11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117" t="str">
        <f>TEXT(tbl_analysis_tickets[[#This Row],[created_date]],"mmm-yyyy")</f>
        <v>Sep-2024</v>
      </c>
      <c r="U117" t="str">
        <f>TEXT(tbl_analysis_tickets[[#This Row],[created_date]],"dddd")</f>
        <v>Sunday</v>
      </c>
      <c r="V117" cm="1">
        <f t="array" ref="V117">_xlfn.SWITCH(tbl_analysis_tickets[[#This Row],[priority]],
"Urgent",1,
"High",2,
"Medium",3,
"Low",4
)</f>
        <v>2</v>
      </c>
    </row>
    <row r="118" spans="1:22" x14ac:dyDescent="0.25">
      <c r="A118">
        <v>117</v>
      </c>
      <c r="B118" s="1">
        <v>45385</v>
      </c>
      <c r="C118" t="s">
        <v>21</v>
      </c>
      <c r="D118" t="s">
        <v>17</v>
      </c>
      <c r="E118">
        <v>5</v>
      </c>
      <c r="F118">
        <v>48</v>
      </c>
      <c r="G118">
        <v>2.9</v>
      </c>
      <c r="H118" t="s">
        <v>18</v>
      </c>
      <c r="I118" t="s">
        <v>13</v>
      </c>
      <c r="J118" t="s">
        <v>15</v>
      </c>
      <c r="K118">
        <f>_xlfn.XLOOKUP(tbl_analysis_tickets[[#This Row],[priority]],tbl_sla[priority],tbl_sla[Resolution SLA Hours])</f>
        <v>8</v>
      </c>
      <c r="L118">
        <f>_xlfn.XLOOKUP(tbl_analysis_tickets[[#This Row],[priority]],tbl_sla[priority],tbl_sla[First Response SLA Minutes])</f>
        <v>30</v>
      </c>
      <c r="M118" t="str">
        <f>IF(tbl_analysis_tickets[[#This Row],[resolution_time_hours]]&gt;tbl_analysis_tickets[[#This Row],[Resolution SLA Hours]],"Breached","Within SLA")</f>
        <v>Breached</v>
      </c>
      <c r="N118" t="str">
        <f>IF(tbl_analysis_tickets[[#This Row],[first_response_minutes]]&gt;tbl_analysis_tickets[[#This Row],[First Response SLA Minutes]],"Breached","Within SLA")</f>
        <v>Within SLA</v>
      </c>
      <c r="O118" t="str" cm="1">
        <f t="array" ref="O118">_xlfn.IFS(
tbl_analysis_tickets[[#This Row],[agent_experience_years]]&lt;=2,"Junior",
tbl_analysis_tickets[[#This Row],[agent_experience_years]]&lt;=5,"Mid-Level",
tbl_analysis_tickets[[#This Row],[agent_experience_years]]&lt;=8,"Senior",
tbl_analysis_tickets[[#This Row],[agent_experience_years]]&gt;8,"Expert"
)</f>
        <v>Mid-Level</v>
      </c>
      <c r="P118" cm="1">
        <f t="array" ref="P118">_xlfn.SWITCH(tbl_analysis_tickets[[#This Row],[customer_satisfaction]],
"Low",1,
"Medium",2,
"High",3
)</f>
        <v>2</v>
      </c>
      <c r="Q118">
        <f>IF(tbl_analysis_tickets[[#This Row],[reopened]]="Yes",1,0)</f>
        <v>0</v>
      </c>
      <c r="R118" t="str" cm="1">
        <f t="array" ref="R118">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118" t="str" cm="1">
        <f t="array" ref="S11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18" t="str">
        <f>TEXT(tbl_analysis_tickets[[#This Row],[created_date]],"mmm-yyyy")</f>
        <v>Apr-2024</v>
      </c>
      <c r="U118" t="str">
        <f>TEXT(tbl_analysis_tickets[[#This Row],[created_date]],"dddd")</f>
        <v>Wednesday</v>
      </c>
      <c r="V118" cm="1">
        <f t="array" ref="V118">_xlfn.SWITCH(tbl_analysis_tickets[[#This Row],[priority]],
"Urgent",1,
"High",2,
"Medium",3,
"Low",4
)</f>
        <v>1</v>
      </c>
    </row>
    <row r="119" spans="1:22" x14ac:dyDescent="0.25">
      <c r="A119">
        <v>118</v>
      </c>
      <c r="B119" s="1">
        <v>45338</v>
      </c>
      <c r="C119" t="s">
        <v>23</v>
      </c>
      <c r="D119" t="s">
        <v>17</v>
      </c>
      <c r="E119">
        <v>87</v>
      </c>
      <c r="F119">
        <v>36</v>
      </c>
      <c r="G119">
        <v>1.5</v>
      </c>
      <c r="H119" t="s">
        <v>12</v>
      </c>
      <c r="I119" t="s">
        <v>13</v>
      </c>
      <c r="J119" t="s">
        <v>11</v>
      </c>
      <c r="K119">
        <f>_xlfn.XLOOKUP(tbl_analysis_tickets[[#This Row],[priority]],tbl_sla[priority],tbl_sla[Resolution SLA Hours])</f>
        <v>8</v>
      </c>
      <c r="L119">
        <f>_xlfn.XLOOKUP(tbl_analysis_tickets[[#This Row],[priority]],tbl_sla[priority],tbl_sla[First Response SLA Minutes])</f>
        <v>30</v>
      </c>
      <c r="M119" t="str">
        <f>IF(tbl_analysis_tickets[[#This Row],[resolution_time_hours]]&gt;tbl_analysis_tickets[[#This Row],[Resolution SLA Hours]],"Breached","Within SLA")</f>
        <v>Breached</v>
      </c>
      <c r="N119" t="str">
        <f>IF(tbl_analysis_tickets[[#This Row],[first_response_minutes]]&gt;tbl_analysis_tickets[[#This Row],[First Response SLA Minutes]],"Breached","Within SLA")</f>
        <v>Breached</v>
      </c>
      <c r="O119" t="str" cm="1">
        <f t="array" ref="O119">_xlfn.IFS(
tbl_analysis_tickets[[#This Row],[agent_experience_years]]&lt;=2,"Junior",
tbl_analysis_tickets[[#This Row],[agent_experience_years]]&lt;=5,"Mid-Level",
tbl_analysis_tickets[[#This Row],[agent_experience_years]]&lt;=8,"Senior",
tbl_analysis_tickets[[#This Row],[agent_experience_years]]&gt;8,"Expert"
)</f>
        <v>Junior</v>
      </c>
      <c r="P119" cm="1">
        <f t="array" ref="P119">_xlfn.SWITCH(tbl_analysis_tickets[[#This Row],[customer_satisfaction]],
"Low",1,
"Medium",2,
"High",3
)</f>
        <v>1</v>
      </c>
      <c r="Q119">
        <f>IF(tbl_analysis_tickets[[#This Row],[reopened]]="Yes",1,0)</f>
        <v>1</v>
      </c>
      <c r="R119" t="str" cm="1">
        <f t="array" ref="R119">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19" t="str" cm="1">
        <f t="array" ref="S11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19" t="str">
        <f>TEXT(tbl_analysis_tickets[[#This Row],[created_date]],"mmm-yyyy")</f>
        <v>Feb-2024</v>
      </c>
      <c r="U119" t="str">
        <f>TEXT(tbl_analysis_tickets[[#This Row],[created_date]],"dddd")</f>
        <v>Friday</v>
      </c>
      <c r="V119" cm="1">
        <f t="array" ref="V119">_xlfn.SWITCH(tbl_analysis_tickets[[#This Row],[priority]],
"Urgent",1,
"High",2,
"Medium",3,
"Low",4
)</f>
        <v>1</v>
      </c>
    </row>
    <row r="120" spans="1:22" x14ac:dyDescent="0.25">
      <c r="A120">
        <v>119</v>
      </c>
      <c r="B120" s="1">
        <v>45294</v>
      </c>
      <c r="C120" t="s">
        <v>22</v>
      </c>
      <c r="D120" t="s">
        <v>17</v>
      </c>
      <c r="E120">
        <v>65</v>
      </c>
      <c r="F120">
        <v>23</v>
      </c>
      <c r="G120">
        <v>5.7</v>
      </c>
      <c r="H120" t="s">
        <v>12</v>
      </c>
      <c r="I120" t="s">
        <v>19</v>
      </c>
      <c r="J120" t="s">
        <v>11</v>
      </c>
      <c r="K120">
        <f>_xlfn.XLOOKUP(tbl_analysis_tickets[[#This Row],[priority]],tbl_sla[priority],tbl_sla[Resolution SLA Hours])</f>
        <v>8</v>
      </c>
      <c r="L120">
        <f>_xlfn.XLOOKUP(tbl_analysis_tickets[[#This Row],[priority]],tbl_sla[priority],tbl_sla[First Response SLA Minutes])</f>
        <v>30</v>
      </c>
      <c r="M120" t="str">
        <f>IF(tbl_analysis_tickets[[#This Row],[resolution_time_hours]]&gt;tbl_analysis_tickets[[#This Row],[Resolution SLA Hours]],"Breached","Within SLA")</f>
        <v>Breached</v>
      </c>
      <c r="N120" t="str">
        <f>IF(tbl_analysis_tickets[[#This Row],[first_response_minutes]]&gt;tbl_analysis_tickets[[#This Row],[First Response SLA Minutes]],"Breached","Within SLA")</f>
        <v>Breached</v>
      </c>
      <c r="O120" t="str" cm="1">
        <f t="array" ref="O120">_xlfn.IFS(
tbl_analysis_tickets[[#This Row],[agent_experience_years]]&lt;=2,"Junior",
tbl_analysis_tickets[[#This Row],[agent_experience_years]]&lt;=5,"Mid-Level",
tbl_analysis_tickets[[#This Row],[agent_experience_years]]&lt;=8,"Senior",
tbl_analysis_tickets[[#This Row],[agent_experience_years]]&gt;8,"Expert"
)</f>
        <v>Senior</v>
      </c>
      <c r="P120" cm="1">
        <f t="array" ref="P120">_xlfn.SWITCH(tbl_analysis_tickets[[#This Row],[customer_satisfaction]],
"Low",1,
"Medium",2,
"High",3
)</f>
        <v>1</v>
      </c>
      <c r="Q120">
        <f>IF(tbl_analysis_tickets[[#This Row],[reopened]]="Yes",1,0)</f>
        <v>1</v>
      </c>
      <c r="R120" t="str" cm="1">
        <f t="array" ref="R120">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20" t="str" cm="1">
        <f t="array" ref="S12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20" t="str">
        <f>TEXT(tbl_analysis_tickets[[#This Row],[created_date]],"mmm-yyyy")</f>
        <v>Jan-2024</v>
      </c>
      <c r="U120" t="str">
        <f>TEXT(tbl_analysis_tickets[[#This Row],[created_date]],"dddd")</f>
        <v>Wednesday</v>
      </c>
      <c r="V120" cm="1">
        <f t="array" ref="V120">_xlfn.SWITCH(tbl_analysis_tickets[[#This Row],[priority]],
"Urgent",1,
"High",2,
"Medium",3,
"Low",4
)</f>
        <v>1</v>
      </c>
    </row>
    <row r="121" spans="1:22" x14ac:dyDescent="0.25">
      <c r="A121">
        <v>120</v>
      </c>
      <c r="B121" s="1">
        <v>45595</v>
      </c>
      <c r="C121" t="s">
        <v>23</v>
      </c>
      <c r="D121" t="s">
        <v>20</v>
      </c>
      <c r="E121">
        <v>168</v>
      </c>
      <c r="F121">
        <v>21</v>
      </c>
      <c r="G121">
        <v>3.8</v>
      </c>
      <c r="H121" t="s">
        <v>12</v>
      </c>
      <c r="I121" t="s">
        <v>16</v>
      </c>
      <c r="J121" t="s">
        <v>11</v>
      </c>
      <c r="K121">
        <f>_xlfn.XLOOKUP(tbl_analysis_tickets[[#This Row],[priority]],tbl_sla[priority],tbl_sla[Resolution SLA Hours])</f>
        <v>24</v>
      </c>
      <c r="L121">
        <f>_xlfn.XLOOKUP(tbl_analysis_tickets[[#This Row],[priority]],tbl_sla[priority],tbl_sla[First Response SLA Minutes])</f>
        <v>60</v>
      </c>
      <c r="M121" t="str">
        <f>IF(tbl_analysis_tickets[[#This Row],[resolution_time_hours]]&gt;tbl_analysis_tickets[[#This Row],[Resolution SLA Hours]],"Breached","Within SLA")</f>
        <v>Within SLA</v>
      </c>
      <c r="N121" t="str">
        <f>IF(tbl_analysis_tickets[[#This Row],[first_response_minutes]]&gt;tbl_analysis_tickets[[#This Row],[First Response SLA Minutes]],"Breached","Within SLA")</f>
        <v>Breached</v>
      </c>
      <c r="O121" t="str" cm="1">
        <f t="array" ref="O121">_xlfn.IFS(
tbl_analysis_tickets[[#This Row],[agent_experience_years]]&lt;=2,"Junior",
tbl_analysis_tickets[[#This Row],[agent_experience_years]]&lt;=5,"Mid-Level",
tbl_analysis_tickets[[#This Row],[agent_experience_years]]&lt;=8,"Senior",
tbl_analysis_tickets[[#This Row],[agent_experience_years]]&gt;8,"Expert"
)</f>
        <v>Mid-Level</v>
      </c>
      <c r="P121" cm="1">
        <f t="array" ref="P121">_xlfn.SWITCH(tbl_analysis_tickets[[#This Row],[customer_satisfaction]],
"Low",1,
"Medium",2,
"High",3
)</f>
        <v>1</v>
      </c>
      <c r="Q121">
        <f>IF(tbl_analysis_tickets[[#This Row],[reopened]]="Yes",1,0)</f>
        <v>1</v>
      </c>
      <c r="R121" t="str" cm="1">
        <f t="array" ref="R121">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21" t="str" cm="1">
        <f t="array" ref="S12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21" t="str">
        <f>TEXT(tbl_analysis_tickets[[#This Row],[created_date]],"mmm-yyyy")</f>
        <v>Oct-2024</v>
      </c>
      <c r="U121" t="str">
        <f>TEXT(tbl_analysis_tickets[[#This Row],[created_date]],"dddd")</f>
        <v>Wednesday</v>
      </c>
      <c r="V121" cm="1">
        <f t="array" ref="V121">_xlfn.SWITCH(tbl_analysis_tickets[[#This Row],[priority]],
"Urgent",1,
"High",2,
"Medium",3,
"Low",4
)</f>
        <v>2</v>
      </c>
    </row>
    <row r="122" spans="1:22" x14ac:dyDescent="0.25">
      <c r="A122">
        <v>121</v>
      </c>
      <c r="B122" s="1">
        <v>45521</v>
      </c>
      <c r="C122" t="s">
        <v>23</v>
      </c>
      <c r="D122" t="s">
        <v>20</v>
      </c>
      <c r="E122">
        <v>7</v>
      </c>
      <c r="F122">
        <v>44</v>
      </c>
      <c r="G122">
        <v>9.1</v>
      </c>
      <c r="H122" t="s">
        <v>12</v>
      </c>
      <c r="I122" t="s">
        <v>19</v>
      </c>
      <c r="J122" t="s">
        <v>15</v>
      </c>
      <c r="K122">
        <f>_xlfn.XLOOKUP(tbl_analysis_tickets[[#This Row],[priority]],tbl_sla[priority],tbl_sla[Resolution SLA Hours])</f>
        <v>24</v>
      </c>
      <c r="L122">
        <f>_xlfn.XLOOKUP(tbl_analysis_tickets[[#This Row],[priority]],tbl_sla[priority],tbl_sla[First Response SLA Minutes])</f>
        <v>60</v>
      </c>
      <c r="M122" t="str">
        <f>IF(tbl_analysis_tickets[[#This Row],[resolution_time_hours]]&gt;tbl_analysis_tickets[[#This Row],[Resolution SLA Hours]],"Breached","Within SLA")</f>
        <v>Breached</v>
      </c>
      <c r="N122" t="str">
        <f>IF(tbl_analysis_tickets[[#This Row],[first_response_minutes]]&gt;tbl_analysis_tickets[[#This Row],[First Response SLA Minutes]],"Breached","Within SLA")</f>
        <v>Within SLA</v>
      </c>
      <c r="O122" t="str" cm="1">
        <f t="array" ref="O122">_xlfn.IFS(
tbl_analysis_tickets[[#This Row],[agent_experience_years]]&lt;=2,"Junior",
tbl_analysis_tickets[[#This Row],[agent_experience_years]]&lt;=5,"Mid-Level",
tbl_analysis_tickets[[#This Row],[agent_experience_years]]&lt;=8,"Senior",
tbl_analysis_tickets[[#This Row],[agent_experience_years]]&gt;8,"Expert"
)</f>
        <v>Expert</v>
      </c>
      <c r="P122" cm="1">
        <f t="array" ref="P122">_xlfn.SWITCH(tbl_analysis_tickets[[#This Row],[customer_satisfaction]],
"Low",1,
"Medium",2,
"High",3
)</f>
        <v>2</v>
      </c>
      <c r="Q122">
        <f>IF(tbl_analysis_tickets[[#This Row],[reopened]]="Yes",1,0)</f>
        <v>1</v>
      </c>
      <c r="R122" t="str" cm="1">
        <f t="array" ref="R122">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122" t="str" cm="1">
        <f t="array" ref="S12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22" t="str">
        <f>TEXT(tbl_analysis_tickets[[#This Row],[created_date]],"mmm-yyyy")</f>
        <v>Aug-2024</v>
      </c>
      <c r="U122" t="str">
        <f>TEXT(tbl_analysis_tickets[[#This Row],[created_date]],"dddd")</f>
        <v>Saturday</v>
      </c>
      <c r="V122" cm="1">
        <f t="array" ref="V122">_xlfn.SWITCH(tbl_analysis_tickets[[#This Row],[priority]],
"Urgent",1,
"High",2,
"Medium",3,
"Low",4
)</f>
        <v>2</v>
      </c>
    </row>
    <row r="123" spans="1:22" x14ac:dyDescent="0.25">
      <c r="A123">
        <v>122</v>
      </c>
      <c r="B123" s="1">
        <v>45552</v>
      </c>
      <c r="C123" t="s">
        <v>21</v>
      </c>
      <c r="D123" t="s">
        <v>17</v>
      </c>
      <c r="E123">
        <v>150</v>
      </c>
      <c r="F123">
        <v>18</v>
      </c>
      <c r="G123">
        <v>0.7</v>
      </c>
      <c r="H123" t="s">
        <v>18</v>
      </c>
      <c r="I123" t="s">
        <v>19</v>
      </c>
      <c r="J123" t="s">
        <v>11</v>
      </c>
      <c r="K123">
        <f>_xlfn.XLOOKUP(tbl_analysis_tickets[[#This Row],[priority]],tbl_sla[priority],tbl_sla[Resolution SLA Hours])</f>
        <v>8</v>
      </c>
      <c r="L123">
        <f>_xlfn.XLOOKUP(tbl_analysis_tickets[[#This Row],[priority]],tbl_sla[priority],tbl_sla[First Response SLA Minutes])</f>
        <v>30</v>
      </c>
      <c r="M123" t="str">
        <f>IF(tbl_analysis_tickets[[#This Row],[resolution_time_hours]]&gt;tbl_analysis_tickets[[#This Row],[Resolution SLA Hours]],"Breached","Within SLA")</f>
        <v>Breached</v>
      </c>
      <c r="N123" t="str">
        <f>IF(tbl_analysis_tickets[[#This Row],[first_response_minutes]]&gt;tbl_analysis_tickets[[#This Row],[First Response SLA Minutes]],"Breached","Within SLA")</f>
        <v>Breached</v>
      </c>
      <c r="O123" t="str" cm="1">
        <f t="array" ref="O123">_xlfn.IFS(
tbl_analysis_tickets[[#This Row],[agent_experience_years]]&lt;=2,"Junior",
tbl_analysis_tickets[[#This Row],[agent_experience_years]]&lt;=5,"Mid-Level",
tbl_analysis_tickets[[#This Row],[agent_experience_years]]&lt;=8,"Senior",
tbl_analysis_tickets[[#This Row],[agent_experience_years]]&gt;8,"Expert"
)</f>
        <v>Junior</v>
      </c>
      <c r="P123" cm="1">
        <f t="array" ref="P123">_xlfn.SWITCH(tbl_analysis_tickets[[#This Row],[customer_satisfaction]],
"Low",1,
"Medium",2,
"High",3
)</f>
        <v>1</v>
      </c>
      <c r="Q123">
        <f>IF(tbl_analysis_tickets[[#This Row],[reopened]]="Yes",1,0)</f>
        <v>0</v>
      </c>
      <c r="R123" t="str" cm="1">
        <f t="array" ref="R123">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23" t="str" cm="1">
        <f t="array" ref="S12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23" t="str">
        <f>TEXT(tbl_analysis_tickets[[#This Row],[created_date]],"mmm-yyyy")</f>
        <v>Sep-2024</v>
      </c>
      <c r="U123" t="str">
        <f>TEXT(tbl_analysis_tickets[[#This Row],[created_date]],"dddd")</f>
        <v>Tuesday</v>
      </c>
      <c r="V123" cm="1">
        <f t="array" ref="V123">_xlfn.SWITCH(tbl_analysis_tickets[[#This Row],[priority]],
"Urgent",1,
"High",2,
"Medium",3,
"Low",4
)</f>
        <v>1</v>
      </c>
    </row>
    <row r="124" spans="1:22" x14ac:dyDescent="0.25">
      <c r="A124">
        <v>123</v>
      </c>
      <c r="B124" s="1">
        <v>45587</v>
      </c>
      <c r="C124" t="s">
        <v>14</v>
      </c>
      <c r="D124" t="s">
        <v>11</v>
      </c>
      <c r="E124">
        <v>43</v>
      </c>
      <c r="F124">
        <v>64</v>
      </c>
      <c r="G124">
        <v>6.4</v>
      </c>
      <c r="H124" t="s">
        <v>18</v>
      </c>
      <c r="I124" t="s">
        <v>16</v>
      </c>
      <c r="J124" t="s">
        <v>15</v>
      </c>
      <c r="K124">
        <f>_xlfn.XLOOKUP(tbl_analysis_tickets[[#This Row],[priority]],tbl_sla[priority],tbl_sla[Resolution SLA Hours])</f>
        <v>72</v>
      </c>
      <c r="L124">
        <f>_xlfn.XLOOKUP(tbl_analysis_tickets[[#This Row],[priority]],tbl_sla[priority],tbl_sla[First Response SLA Minutes])</f>
        <v>240</v>
      </c>
      <c r="M124" t="str">
        <f>IF(tbl_analysis_tickets[[#This Row],[resolution_time_hours]]&gt;tbl_analysis_tickets[[#This Row],[Resolution SLA Hours]],"Breached","Within SLA")</f>
        <v>Within SLA</v>
      </c>
      <c r="N124" t="str">
        <f>IF(tbl_analysis_tickets[[#This Row],[first_response_minutes]]&gt;tbl_analysis_tickets[[#This Row],[First Response SLA Minutes]],"Breached","Within SLA")</f>
        <v>Within SLA</v>
      </c>
      <c r="O124" t="str" cm="1">
        <f t="array" ref="O124">_xlfn.IFS(
tbl_analysis_tickets[[#This Row],[agent_experience_years]]&lt;=2,"Junior",
tbl_analysis_tickets[[#This Row],[agent_experience_years]]&lt;=5,"Mid-Level",
tbl_analysis_tickets[[#This Row],[agent_experience_years]]&lt;=8,"Senior",
tbl_analysis_tickets[[#This Row],[agent_experience_years]]&gt;8,"Expert"
)</f>
        <v>Senior</v>
      </c>
      <c r="P124" cm="1">
        <f t="array" ref="P124">_xlfn.SWITCH(tbl_analysis_tickets[[#This Row],[customer_satisfaction]],
"Low",1,
"Medium",2,
"High",3
)</f>
        <v>2</v>
      </c>
      <c r="Q124">
        <f>IF(tbl_analysis_tickets[[#This Row],[reopened]]="Yes",1,0)</f>
        <v>0</v>
      </c>
      <c r="R124" t="str" cm="1">
        <f t="array" ref="R124">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24" t="str" cm="1">
        <f t="array" ref="S12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24" t="str">
        <f>TEXT(tbl_analysis_tickets[[#This Row],[created_date]],"mmm-yyyy")</f>
        <v>Oct-2024</v>
      </c>
      <c r="U124" t="str">
        <f>TEXT(tbl_analysis_tickets[[#This Row],[created_date]],"dddd")</f>
        <v>Tuesday</v>
      </c>
      <c r="V124" cm="1">
        <f t="array" ref="V124">_xlfn.SWITCH(tbl_analysis_tickets[[#This Row],[priority]],
"Urgent",1,
"High",2,
"Medium",3,
"Low",4
)</f>
        <v>4</v>
      </c>
    </row>
    <row r="125" spans="1:22" x14ac:dyDescent="0.25">
      <c r="A125">
        <v>124</v>
      </c>
      <c r="B125" s="1">
        <v>45537</v>
      </c>
      <c r="C125" t="s">
        <v>10</v>
      </c>
      <c r="D125" t="s">
        <v>17</v>
      </c>
      <c r="E125">
        <v>47</v>
      </c>
      <c r="F125">
        <v>19</v>
      </c>
      <c r="G125">
        <v>4.0999999999999996</v>
      </c>
      <c r="H125" t="s">
        <v>12</v>
      </c>
      <c r="I125" t="s">
        <v>13</v>
      </c>
      <c r="J125" t="s">
        <v>11</v>
      </c>
      <c r="K125">
        <f>_xlfn.XLOOKUP(tbl_analysis_tickets[[#This Row],[priority]],tbl_sla[priority],tbl_sla[Resolution SLA Hours])</f>
        <v>8</v>
      </c>
      <c r="L125">
        <f>_xlfn.XLOOKUP(tbl_analysis_tickets[[#This Row],[priority]],tbl_sla[priority],tbl_sla[First Response SLA Minutes])</f>
        <v>30</v>
      </c>
      <c r="M125" t="str">
        <f>IF(tbl_analysis_tickets[[#This Row],[resolution_time_hours]]&gt;tbl_analysis_tickets[[#This Row],[Resolution SLA Hours]],"Breached","Within SLA")</f>
        <v>Breached</v>
      </c>
      <c r="N125" t="str">
        <f>IF(tbl_analysis_tickets[[#This Row],[first_response_minutes]]&gt;tbl_analysis_tickets[[#This Row],[First Response SLA Minutes]],"Breached","Within SLA")</f>
        <v>Breached</v>
      </c>
      <c r="O125" t="str" cm="1">
        <f t="array" ref="O125">_xlfn.IFS(
tbl_analysis_tickets[[#This Row],[agent_experience_years]]&lt;=2,"Junior",
tbl_analysis_tickets[[#This Row],[agent_experience_years]]&lt;=5,"Mid-Level",
tbl_analysis_tickets[[#This Row],[agent_experience_years]]&lt;=8,"Senior",
tbl_analysis_tickets[[#This Row],[agent_experience_years]]&gt;8,"Expert"
)</f>
        <v>Mid-Level</v>
      </c>
      <c r="P125" cm="1">
        <f t="array" ref="P125">_xlfn.SWITCH(tbl_analysis_tickets[[#This Row],[customer_satisfaction]],
"Low",1,
"Medium",2,
"High",3
)</f>
        <v>1</v>
      </c>
      <c r="Q125">
        <f>IF(tbl_analysis_tickets[[#This Row],[reopened]]="Yes",1,0)</f>
        <v>1</v>
      </c>
      <c r="R125" t="str" cm="1">
        <f t="array" ref="R125">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25" t="str" cm="1">
        <f t="array" ref="S12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25" t="str">
        <f>TEXT(tbl_analysis_tickets[[#This Row],[created_date]],"mmm-yyyy")</f>
        <v>Sep-2024</v>
      </c>
      <c r="U125" t="str">
        <f>TEXT(tbl_analysis_tickets[[#This Row],[created_date]],"dddd")</f>
        <v>Monday</v>
      </c>
      <c r="V125" cm="1">
        <f t="array" ref="V125">_xlfn.SWITCH(tbl_analysis_tickets[[#This Row],[priority]],
"Urgent",1,
"High",2,
"Medium",3,
"Low",4
)</f>
        <v>1</v>
      </c>
    </row>
    <row r="126" spans="1:22" x14ac:dyDescent="0.25">
      <c r="A126">
        <v>125</v>
      </c>
      <c r="B126" s="1">
        <v>45499</v>
      </c>
      <c r="C126" t="s">
        <v>21</v>
      </c>
      <c r="D126" t="s">
        <v>11</v>
      </c>
      <c r="E126">
        <v>12</v>
      </c>
      <c r="F126">
        <v>22</v>
      </c>
      <c r="G126">
        <v>9.6999999999999993</v>
      </c>
      <c r="H126" t="s">
        <v>18</v>
      </c>
      <c r="I126" t="s">
        <v>19</v>
      </c>
      <c r="J126" t="s">
        <v>20</v>
      </c>
      <c r="K126">
        <f>_xlfn.XLOOKUP(tbl_analysis_tickets[[#This Row],[priority]],tbl_sla[priority],tbl_sla[Resolution SLA Hours])</f>
        <v>72</v>
      </c>
      <c r="L126">
        <f>_xlfn.XLOOKUP(tbl_analysis_tickets[[#This Row],[priority]],tbl_sla[priority],tbl_sla[First Response SLA Minutes])</f>
        <v>240</v>
      </c>
      <c r="M126" t="str">
        <f>IF(tbl_analysis_tickets[[#This Row],[resolution_time_hours]]&gt;tbl_analysis_tickets[[#This Row],[Resolution SLA Hours]],"Breached","Within SLA")</f>
        <v>Within SLA</v>
      </c>
      <c r="N126" t="str">
        <f>IF(tbl_analysis_tickets[[#This Row],[first_response_minutes]]&gt;tbl_analysis_tickets[[#This Row],[First Response SLA Minutes]],"Breached","Within SLA")</f>
        <v>Within SLA</v>
      </c>
      <c r="O126" t="str" cm="1">
        <f t="array" ref="O126">_xlfn.IFS(
tbl_analysis_tickets[[#This Row],[agent_experience_years]]&lt;=2,"Junior",
tbl_analysis_tickets[[#This Row],[agent_experience_years]]&lt;=5,"Mid-Level",
tbl_analysis_tickets[[#This Row],[agent_experience_years]]&lt;=8,"Senior",
tbl_analysis_tickets[[#This Row],[agent_experience_years]]&gt;8,"Expert"
)</f>
        <v>Expert</v>
      </c>
      <c r="P126" cm="1">
        <f t="array" ref="P126">_xlfn.SWITCH(tbl_analysis_tickets[[#This Row],[customer_satisfaction]],
"Low",1,
"Medium",2,
"High",3
)</f>
        <v>3</v>
      </c>
      <c r="Q126">
        <f>IF(tbl_analysis_tickets[[#This Row],[reopened]]="Yes",1,0)</f>
        <v>0</v>
      </c>
      <c r="R126" t="str" cm="1">
        <f t="array" ref="R126">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126" t="str" cm="1">
        <f t="array" ref="S12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26" t="str">
        <f>TEXT(tbl_analysis_tickets[[#This Row],[created_date]],"mmm-yyyy")</f>
        <v>Jul-2024</v>
      </c>
      <c r="U126" t="str">
        <f>TEXT(tbl_analysis_tickets[[#This Row],[created_date]],"dddd")</f>
        <v>Friday</v>
      </c>
      <c r="V126" cm="1">
        <f t="array" ref="V126">_xlfn.SWITCH(tbl_analysis_tickets[[#This Row],[priority]],
"Urgent",1,
"High",2,
"Medium",3,
"Low",4
)</f>
        <v>4</v>
      </c>
    </row>
    <row r="127" spans="1:22" x14ac:dyDescent="0.25">
      <c r="A127">
        <v>126</v>
      </c>
      <c r="B127" s="1">
        <v>45476</v>
      </c>
      <c r="C127" t="s">
        <v>22</v>
      </c>
      <c r="D127" t="s">
        <v>17</v>
      </c>
      <c r="E127">
        <v>102</v>
      </c>
      <c r="F127">
        <v>31</v>
      </c>
      <c r="G127">
        <v>3.7</v>
      </c>
      <c r="H127" t="s">
        <v>12</v>
      </c>
      <c r="I127" t="s">
        <v>19</v>
      </c>
      <c r="J127" t="s">
        <v>11</v>
      </c>
      <c r="K127">
        <f>_xlfn.XLOOKUP(tbl_analysis_tickets[[#This Row],[priority]],tbl_sla[priority],tbl_sla[Resolution SLA Hours])</f>
        <v>8</v>
      </c>
      <c r="L127">
        <f>_xlfn.XLOOKUP(tbl_analysis_tickets[[#This Row],[priority]],tbl_sla[priority],tbl_sla[First Response SLA Minutes])</f>
        <v>30</v>
      </c>
      <c r="M127" t="str">
        <f>IF(tbl_analysis_tickets[[#This Row],[resolution_time_hours]]&gt;tbl_analysis_tickets[[#This Row],[Resolution SLA Hours]],"Breached","Within SLA")</f>
        <v>Breached</v>
      </c>
      <c r="N127" t="str">
        <f>IF(tbl_analysis_tickets[[#This Row],[first_response_minutes]]&gt;tbl_analysis_tickets[[#This Row],[First Response SLA Minutes]],"Breached","Within SLA")</f>
        <v>Breached</v>
      </c>
      <c r="O127" t="str" cm="1">
        <f t="array" ref="O127">_xlfn.IFS(
tbl_analysis_tickets[[#This Row],[agent_experience_years]]&lt;=2,"Junior",
tbl_analysis_tickets[[#This Row],[agent_experience_years]]&lt;=5,"Mid-Level",
tbl_analysis_tickets[[#This Row],[agent_experience_years]]&lt;=8,"Senior",
tbl_analysis_tickets[[#This Row],[agent_experience_years]]&gt;8,"Expert"
)</f>
        <v>Mid-Level</v>
      </c>
      <c r="P127" cm="1">
        <f t="array" ref="P127">_xlfn.SWITCH(tbl_analysis_tickets[[#This Row],[customer_satisfaction]],
"Low",1,
"Medium",2,
"High",3
)</f>
        <v>1</v>
      </c>
      <c r="Q127">
        <f>IF(tbl_analysis_tickets[[#This Row],[reopened]]="Yes",1,0)</f>
        <v>1</v>
      </c>
      <c r="R127" t="str" cm="1">
        <f t="array" ref="R127">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27" t="str" cm="1">
        <f t="array" ref="S12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27" t="str">
        <f>TEXT(tbl_analysis_tickets[[#This Row],[created_date]],"mmm-yyyy")</f>
        <v>Jul-2024</v>
      </c>
      <c r="U127" t="str">
        <f>TEXT(tbl_analysis_tickets[[#This Row],[created_date]],"dddd")</f>
        <v>Wednesday</v>
      </c>
      <c r="V127" cm="1">
        <f t="array" ref="V127">_xlfn.SWITCH(tbl_analysis_tickets[[#This Row],[priority]],
"Urgent",1,
"High",2,
"Medium",3,
"Low",4
)</f>
        <v>1</v>
      </c>
    </row>
    <row r="128" spans="1:22" x14ac:dyDescent="0.25">
      <c r="A128">
        <v>127</v>
      </c>
      <c r="B128" s="1">
        <v>45359</v>
      </c>
      <c r="C128" t="s">
        <v>21</v>
      </c>
      <c r="D128" t="s">
        <v>11</v>
      </c>
      <c r="E128">
        <v>227</v>
      </c>
      <c r="F128">
        <v>2</v>
      </c>
      <c r="G128">
        <v>8.1</v>
      </c>
      <c r="H128" t="s">
        <v>12</v>
      </c>
      <c r="I128" t="s">
        <v>13</v>
      </c>
      <c r="J128" t="s">
        <v>15</v>
      </c>
      <c r="K128">
        <f>_xlfn.XLOOKUP(tbl_analysis_tickets[[#This Row],[priority]],tbl_sla[priority],tbl_sla[Resolution SLA Hours])</f>
        <v>72</v>
      </c>
      <c r="L128">
        <f>_xlfn.XLOOKUP(tbl_analysis_tickets[[#This Row],[priority]],tbl_sla[priority],tbl_sla[First Response SLA Minutes])</f>
        <v>240</v>
      </c>
      <c r="M128" t="str">
        <f>IF(tbl_analysis_tickets[[#This Row],[resolution_time_hours]]&gt;tbl_analysis_tickets[[#This Row],[Resolution SLA Hours]],"Breached","Within SLA")</f>
        <v>Within SLA</v>
      </c>
      <c r="N128" t="str">
        <f>IF(tbl_analysis_tickets[[#This Row],[first_response_minutes]]&gt;tbl_analysis_tickets[[#This Row],[First Response SLA Minutes]],"Breached","Within SLA")</f>
        <v>Within SLA</v>
      </c>
      <c r="O128" t="str" cm="1">
        <f t="array" ref="O128">_xlfn.IFS(
tbl_analysis_tickets[[#This Row],[agent_experience_years]]&lt;=2,"Junior",
tbl_analysis_tickets[[#This Row],[agent_experience_years]]&lt;=5,"Mid-Level",
tbl_analysis_tickets[[#This Row],[agent_experience_years]]&lt;=8,"Senior",
tbl_analysis_tickets[[#This Row],[agent_experience_years]]&gt;8,"Expert"
)</f>
        <v>Expert</v>
      </c>
      <c r="P128" cm="1">
        <f t="array" ref="P128">_xlfn.SWITCH(tbl_analysis_tickets[[#This Row],[customer_satisfaction]],
"Low",1,
"Medium",2,
"High",3
)</f>
        <v>2</v>
      </c>
      <c r="Q128">
        <f>IF(tbl_analysis_tickets[[#This Row],[reopened]]="Yes",1,0)</f>
        <v>1</v>
      </c>
      <c r="R128" t="str" cm="1">
        <f t="array" ref="R128">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28" t="str" cm="1">
        <f t="array" ref="S12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128" t="str">
        <f>TEXT(tbl_analysis_tickets[[#This Row],[created_date]],"mmm-yyyy")</f>
        <v>Mar-2024</v>
      </c>
      <c r="U128" t="str">
        <f>TEXT(tbl_analysis_tickets[[#This Row],[created_date]],"dddd")</f>
        <v>Friday</v>
      </c>
      <c r="V128" cm="1">
        <f t="array" ref="V128">_xlfn.SWITCH(tbl_analysis_tickets[[#This Row],[priority]],
"Urgent",1,
"High",2,
"Medium",3,
"Low",4
)</f>
        <v>4</v>
      </c>
    </row>
    <row r="129" spans="1:22" x14ac:dyDescent="0.25">
      <c r="A129">
        <v>128</v>
      </c>
      <c r="B129" s="1">
        <v>45523</v>
      </c>
      <c r="C129" t="s">
        <v>14</v>
      </c>
      <c r="D129" t="s">
        <v>15</v>
      </c>
      <c r="E129">
        <v>195</v>
      </c>
      <c r="F129">
        <v>10</v>
      </c>
      <c r="G129">
        <v>5.0999999999999996</v>
      </c>
      <c r="H129" t="s">
        <v>12</v>
      </c>
      <c r="I129" t="s">
        <v>19</v>
      </c>
      <c r="J129" t="s">
        <v>11</v>
      </c>
      <c r="K129">
        <f>_xlfn.XLOOKUP(tbl_analysis_tickets[[#This Row],[priority]],tbl_sla[priority],tbl_sla[Resolution SLA Hours])</f>
        <v>48</v>
      </c>
      <c r="L129">
        <f>_xlfn.XLOOKUP(tbl_analysis_tickets[[#This Row],[priority]],tbl_sla[priority],tbl_sla[First Response SLA Minutes])</f>
        <v>120</v>
      </c>
      <c r="M129" t="str">
        <f>IF(tbl_analysis_tickets[[#This Row],[resolution_time_hours]]&gt;tbl_analysis_tickets[[#This Row],[Resolution SLA Hours]],"Breached","Within SLA")</f>
        <v>Within SLA</v>
      </c>
      <c r="N129" t="str">
        <f>IF(tbl_analysis_tickets[[#This Row],[first_response_minutes]]&gt;tbl_analysis_tickets[[#This Row],[First Response SLA Minutes]],"Breached","Within SLA")</f>
        <v>Breached</v>
      </c>
      <c r="O129" t="str" cm="1">
        <f t="array" ref="O129">_xlfn.IFS(
tbl_analysis_tickets[[#This Row],[agent_experience_years]]&lt;=2,"Junior",
tbl_analysis_tickets[[#This Row],[agent_experience_years]]&lt;=5,"Mid-Level",
tbl_analysis_tickets[[#This Row],[agent_experience_years]]&lt;=8,"Senior",
tbl_analysis_tickets[[#This Row],[agent_experience_years]]&gt;8,"Expert"
)</f>
        <v>Senior</v>
      </c>
      <c r="P129" cm="1">
        <f t="array" ref="P129">_xlfn.SWITCH(tbl_analysis_tickets[[#This Row],[customer_satisfaction]],
"Low",1,
"Medium",2,
"High",3
)</f>
        <v>1</v>
      </c>
      <c r="Q129">
        <f>IF(tbl_analysis_tickets[[#This Row],[reopened]]="Yes",1,0)</f>
        <v>1</v>
      </c>
      <c r="R129" t="str" cm="1">
        <f t="array" ref="R129">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29" t="str" cm="1">
        <f t="array" ref="S12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29" t="str">
        <f>TEXT(tbl_analysis_tickets[[#This Row],[created_date]],"mmm-yyyy")</f>
        <v>Aug-2024</v>
      </c>
      <c r="U129" t="str">
        <f>TEXT(tbl_analysis_tickets[[#This Row],[created_date]],"dddd")</f>
        <v>Monday</v>
      </c>
      <c r="V129" cm="1">
        <f t="array" ref="V129">_xlfn.SWITCH(tbl_analysis_tickets[[#This Row],[priority]],
"Urgent",1,
"High",2,
"Medium",3,
"Low",4
)</f>
        <v>3</v>
      </c>
    </row>
    <row r="130" spans="1:22" x14ac:dyDescent="0.25">
      <c r="A130">
        <v>129</v>
      </c>
      <c r="B130" s="1">
        <v>45646</v>
      </c>
      <c r="C130" t="s">
        <v>14</v>
      </c>
      <c r="D130" t="s">
        <v>11</v>
      </c>
      <c r="E130">
        <v>165</v>
      </c>
      <c r="F130">
        <v>28</v>
      </c>
      <c r="G130">
        <v>2.2000000000000002</v>
      </c>
      <c r="H130" t="s">
        <v>12</v>
      </c>
      <c r="I130" t="s">
        <v>16</v>
      </c>
      <c r="J130" t="s">
        <v>11</v>
      </c>
      <c r="K130">
        <f>_xlfn.XLOOKUP(tbl_analysis_tickets[[#This Row],[priority]],tbl_sla[priority],tbl_sla[Resolution SLA Hours])</f>
        <v>72</v>
      </c>
      <c r="L130">
        <f>_xlfn.XLOOKUP(tbl_analysis_tickets[[#This Row],[priority]],tbl_sla[priority],tbl_sla[First Response SLA Minutes])</f>
        <v>240</v>
      </c>
      <c r="M130" t="str">
        <f>IF(tbl_analysis_tickets[[#This Row],[resolution_time_hours]]&gt;tbl_analysis_tickets[[#This Row],[Resolution SLA Hours]],"Breached","Within SLA")</f>
        <v>Within SLA</v>
      </c>
      <c r="N130" t="str">
        <f>IF(tbl_analysis_tickets[[#This Row],[first_response_minutes]]&gt;tbl_analysis_tickets[[#This Row],[First Response SLA Minutes]],"Breached","Within SLA")</f>
        <v>Within SLA</v>
      </c>
      <c r="O130" t="str" cm="1">
        <f t="array" ref="O130">_xlfn.IFS(
tbl_analysis_tickets[[#This Row],[agent_experience_years]]&lt;=2,"Junior",
tbl_analysis_tickets[[#This Row],[agent_experience_years]]&lt;=5,"Mid-Level",
tbl_analysis_tickets[[#This Row],[agent_experience_years]]&lt;=8,"Senior",
tbl_analysis_tickets[[#This Row],[agent_experience_years]]&gt;8,"Expert"
)</f>
        <v>Mid-Level</v>
      </c>
      <c r="P130" cm="1">
        <f t="array" ref="P130">_xlfn.SWITCH(tbl_analysis_tickets[[#This Row],[customer_satisfaction]],
"Low",1,
"Medium",2,
"High",3
)</f>
        <v>1</v>
      </c>
      <c r="Q130">
        <f>IF(tbl_analysis_tickets[[#This Row],[reopened]]="Yes",1,0)</f>
        <v>1</v>
      </c>
      <c r="R130" t="str" cm="1">
        <f t="array" ref="R130">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30" t="str" cm="1">
        <f t="array" ref="S13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30" t="str">
        <f>TEXT(tbl_analysis_tickets[[#This Row],[created_date]],"mmm-yyyy")</f>
        <v>Dec-2024</v>
      </c>
      <c r="U130" t="str">
        <f>TEXT(tbl_analysis_tickets[[#This Row],[created_date]],"dddd")</f>
        <v>Friday</v>
      </c>
      <c r="V130" cm="1">
        <f t="array" ref="V130">_xlfn.SWITCH(tbl_analysis_tickets[[#This Row],[priority]],
"Urgent",1,
"High",2,
"Medium",3,
"Low",4
)</f>
        <v>4</v>
      </c>
    </row>
    <row r="131" spans="1:22" x14ac:dyDescent="0.25">
      <c r="A131">
        <v>130</v>
      </c>
      <c r="B131" s="1">
        <v>45488</v>
      </c>
      <c r="C131" t="s">
        <v>23</v>
      </c>
      <c r="D131" t="s">
        <v>20</v>
      </c>
      <c r="E131">
        <v>44</v>
      </c>
      <c r="F131">
        <v>67</v>
      </c>
      <c r="G131">
        <v>8</v>
      </c>
      <c r="H131" t="s">
        <v>18</v>
      </c>
      <c r="I131" t="s">
        <v>16</v>
      </c>
      <c r="J131" t="s">
        <v>11</v>
      </c>
      <c r="K131">
        <f>_xlfn.XLOOKUP(tbl_analysis_tickets[[#This Row],[priority]],tbl_sla[priority],tbl_sla[Resolution SLA Hours])</f>
        <v>24</v>
      </c>
      <c r="L131">
        <f>_xlfn.XLOOKUP(tbl_analysis_tickets[[#This Row],[priority]],tbl_sla[priority],tbl_sla[First Response SLA Minutes])</f>
        <v>60</v>
      </c>
      <c r="M131" t="str">
        <f>IF(tbl_analysis_tickets[[#This Row],[resolution_time_hours]]&gt;tbl_analysis_tickets[[#This Row],[Resolution SLA Hours]],"Breached","Within SLA")</f>
        <v>Breached</v>
      </c>
      <c r="N131" t="str">
        <f>IF(tbl_analysis_tickets[[#This Row],[first_response_minutes]]&gt;tbl_analysis_tickets[[#This Row],[First Response SLA Minutes]],"Breached","Within SLA")</f>
        <v>Within SLA</v>
      </c>
      <c r="O131" t="str" cm="1">
        <f t="array" ref="O131">_xlfn.IFS(
tbl_analysis_tickets[[#This Row],[agent_experience_years]]&lt;=2,"Junior",
tbl_analysis_tickets[[#This Row],[agent_experience_years]]&lt;=5,"Mid-Level",
tbl_analysis_tickets[[#This Row],[agent_experience_years]]&lt;=8,"Senior",
tbl_analysis_tickets[[#This Row],[agent_experience_years]]&gt;8,"Expert"
)</f>
        <v>Senior</v>
      </c>
      <c r="P131" cm="1">
        <f t="array" ref="P131">_xlfn.SWITCH(tbl_analysis_tickets[[#This Row],[customer_satisfaction]],
"Low",1,
"Medium",2,
"High",3
)</f>
        <v>1</v>
      </c>
      <c r="Q131">
        <f>IF(tbl_analysis_tickets[[#This Row],[reopened]]="Yes",1,0)</f>
        <v>0</v>
      </c>
      <c r="R131" t="str" cm="1">
        <f t="array" ref="R131">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31" t="str" cm="1">
        <f t="array" ref="S13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31" t="str">
        <f>TEXT(tbl_analysis_tickets[[#This Row],[created_date]],"mmm-yyyy")</f>
        <v>Jul-2024</v>
      </c>
      <c r="U131" t="str">
        <f>TEXT(tbl_analysis_tickets[[#This Row],[created_date]],"dddd")</f>
        <v>Monday</v>
      </c>
      <c r="V131" cm="1">
        <f t="array" ref="V131">_xlfn.SWITCH(tbl_analysis_tickets[[#This Row],[priority]],
"Urgent",1,
"High",2,
"Medium",3,
"Low",4
)</f>
        <v>2</v>
      </c>
    </row>
    <row r="132" spans="1:22" x14ac:dyDescent="0.25">
      <c r="A132">
        <v>131</v>
      </c>
      <c r="B132" s="1">
        <v>45545</v>
      </c>
      <c r="C132" t="s">
        <v>10</v>
      </c>
      <c r="D132" t="s">
        <v>17</v>
      </c>
      <c r="E132">
        <v>24</v>
      </c>
      <c r="F132">
        <v>39</v>
      </c>
      <c r="G132">
        <v>6.8</v>
      </c>
      <c r="H132" t="s">
        <v>12</v>
      </c>
      <c r="I132" t="s">
        <v>13</v>
      </c>
      <c r="J132" t="s">
        <v>15</v>
      </c>
      <c r="K132">
        <f>_xlfn.XLOOKUP(tbl_analysis_tickets[[#This Row],[priority]],tbl_sla[priority],tbl_sla[Resolution SLA Hours])</f>
        <v>8</v>
      </c>
      <c r="L132">
        <f>_xlfn.XLOOKUP(tbl_analysis_tickets[[#This Row],[priority]],tbl_sla[priority],tbl_sla[First Response SLA Minutes])</f>
        <v>30</v>
      </c>
      <c r="M132" t="str">
        <f>IF(tbl_analysis_tickets[[#This Row],[resolution_time_hours]]&gt;tbl_analysis_tickets[[#This Row],[Resolution SLA Hours]],"Breached","Within SLA")</f>
        <v>Breached</v>
      </c>
      <c r="N132" t="str">
        <f>IF(tbl_analysis_tickets[[#This Row],[first_response_minutes]]&gt;tbl_analysis_tickets[[#This Row],[First Response SLA Minutes]],"Breached","Within SLA")</f>
        <v>Within SLA</v>
      </c>
      <c r="O132" t="str" cm="1">
        <f t="array" ref="O132">_xlfn.IFS(
tbl_analysis_tickets[[#This Row],[agent_experience_years]]&lt;=2,"Junior",
tbl_analysis_tickets[[#This Row],[agent_experience_years]]&lt;=5,"Mid-Level",
tbl_analysis_tickets[[#This Row],[agent_experience_years]]&lt;=8,"Senior",
tbl_analysis_tickets[[#This Row],[agent_experience_years]]&gt;8,"Expert"
)</f>
        <v>Senior</v>
      </c>
      <c r="P132" cm="1">
        <f t="array" ref="P132">_xlfn.SWITCH(tbl_analysis_tickets[[#This Row],[customer_satisfaction]],
"Low",1,
"Medium",2,
"High",3
)</f>
        <v>2</v>
      </c>
      <c r="Q132">
        <f>IF(tbl_analysis_tickets[[#This Row],[reopened]]="Yes",1,0)</f>
        <v>1</v>
      </c>
      <c r="R132" t="str" cm="1">
        <f t="array" ref="R132">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132" t="str" cm="1">
        <f t="array" ref="S13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32" t="str">
        <f>TEXT(tbl_analysis_tickets[[#This Row],[created_date]],"mmm-yyyy")</f>
        <v>Sep-2024</v>
      </c>
      <c r="U132" t="str">
        <f>TEXT(tbl_analysis_tickets[[#This Row],[created_date]],"dddd")</f>
        <v>Tuesday</v>
      </c>
      <c r="V132" cm="1">
        <f t="array" ref="V132">_xlfn.SWITCH(tbl_analysis_tickets[[#This Row],[priority]],
"Urgent",1,
"High",2,
"Medium",3,
"Low",4
)</f>
        <v>1</v>
      </c>
    </row>
    <row r="133" spans="1:22" x14ac:dyDescent="0.25">
      <c r="A133">
        <v>132</v>
      </c>
      <c r="B133" s="1">
        <v>45332</v>
      </c>
      <c r="C133" t="s">
        <v>14</v>
      </c>
      <c r="D133" t="s">
        <v>11</v>
      </c>
      <c r="E133">
        <v>127</v>
      </c>
      <c r="F133">
        <v>38</v>
      </c>
      <c r="G133">
        <v>0.9</v>
      </c>
      <c r="H133" t="s">
        <v>12</v>
      </c>
      <c r="I133" t="s">
        <v>19</v>
      </c>
      <c r="J133" t="s">
        <v>11</v>
      </c>
      <c r="K133">
        <f>_xlfn.XLOOKUP(tbl_analysis_tickets[[#This Row],[priority]],tbl_sla[priority],tbl_sla[Resolution SLA Hours])</f>
        <v>72</v>
      </c>
      <c r="L133">
        <f>_xlfn.XLOOKUP(tbl_analysis_tickets[[#This Row],[priority]],tbl_sla[priority],tbl_sla[First Response SLA Minutes])</f>
        <v>240</v>
      </c>
      <c r="M133" t="str">
        <f>IF(tbl_analysis_tickets[[#This Row],[resolution_time_hours]]&gt;tbl_analysis_tickets[[#This Row],[Resolution SLA Hours]],"Breached","Within SLA")</f>
        <v>Within SLA</v>
      </c>
      <c r="N133" t="str">
        <f>IF(tbl_analysis_tickets[[#This Row],[first_response_minutes]]&gt;tbl_analysis_tickets[[#This Row],[First Response SLA Minutes]],"Breached","Within SLA")</f>
        <v>Within SLA</v>
      </c>
      <c r="O133" t="str" cm="1">
        <f t="array" ref="O133">_xlfn.IFS(
tbl_analysis_tickets[[#This Row],[agent_experience_years]]&lt;=2,"Junior",
tbl_analysis_tickets[[#This Row],[agent_experience_years]]&lt;=5,"Mid-Level",
tbl_analysis_tickets[[#This Row],[agent_experience_years]]&lt;=8,"Senior",
tbl_analysis_tickets[[#This Row],[agent_experience_years]]&gt;8,"Expert"
)</f>
        <v>Junior</v>
      </c>
      <c r="P133" cm="1">
        <f t="array" ref="P133">_xlfn.SWITCH(tbl_analysis_tickets[[#This Row],[customer_satisfaction]],
"Low",1,
"Medium",2,
"High",3
)</f>
        <v>1</v>
      </c>
      <c r="Q133">
        <f>IF(tbl_analysis_tickets[[#This Row],[reopened]]="Yes",1,0)</f>
        <v>1</v>
      </c>
      <c r="R133" t="str" cm="1">
        <f t="array" ref="R133">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33" t="str" cm="1">
        <f t="array" ref="S13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33" t="str">
        <f>TEXT(tbl_analysis_tickets[[#This Row],[created_date]],"mmm-yyyy")</f>
        <v>Feb-2024</v>
      </c>
      <c r="U133" t="str">
        <f>TEXT(tbl_analysis_tickets[[#This Row],[created_date]],"dddd")</f>
        <v>Saturday</v>
      </c>
      <c r="V133" cm="1">
        <f t="array" ref="V133">_xlfn.SWITCH(tbl_analysis_tickets[[#This Row],[priority]],
"Urgent",1,
"High",2,
"Medium",3,
"Low",4
)</f>
        <v>4</v>
      </c>
    </row>
    <row r="134" spans="1:22" x14ac:dyDescent="0.25">
      <c r="A134">
        <v>133</v>
      </c>
      <c r="B134" s="1">
        <v>45357</v>
      </c>
      <c r="C134" t="s">
        <v>23</v>
      </c>
      <c r="D134" t="s">
        <v>17</v>
      </c>
      <c r="E134">
        <v>14</v>
      </c>
      <c r="F134">
        <v>15</v>
      </c>
      <c r="G134">
        <v>9.5</v>
      </c>
      <c r="H134" t="s">
        <v>12</v>
      </c>
      <c r="I134" t="s">
        <v>16</v>
      </c>
      <c r="J134" t="s">
        <v>15</v>
      </c>
      <c r="K134">
        <f>_xlfn.XLOOKUP(tbl_analysis_tickets[[#This Row],[priority]],tbl_sla[priority],tbl_sla[Resolution SLA Hours])</f>
        <v>8</v>
      </c>
      <c r="L134">
        <f>_xlfn.XLOOKUP(tbl_analysis_tickets[[#This Row],[priority]],tbl_sla[priority],tbl_sla[First Response SLA Minutes])</f>
        <v>30</v>
      </c>
      <c r="M134" t="str">
        <f>IF(tbl_analysis_tickets[[#This Row],[resolution_time_hours]]&gt;tbl_analysis_tickets[[#This Row],[Resolution SLA Hours]],"Breached","Within SLA")</f>
        <v>Breached</v>
      </c>
      <c r="N134" t="str">
        <f>IF(tbl_analysis_tickets[[#This Row],[first_response_minutes]]&gt;tbl_analysis_tickets[[#This Row],[First Response SLA Minutes]],"Breached","Within SLA")</f>
        <v>Within SLA</v>
      </c>
      <c r="O134" t="str" cm="1">
        <f t="array" ref="O134">_xlfn.IFS(
tbl_analysis_tickets[[#This Row],[agent_experience_years]]&lt;=2,"Junior",
tbl_analysis_tickets[[#This Row],[agent_experience_years]]&lt;=5,"Mid-Level",
tbl_analysis_tickets[[#This Row],[agent_experience_years]]&lt;=8,"Senior",
tbl_analysis_tickets[[#This Row],[agent_experience_years]]&gt;8,"Expert"
)</f>
        <v>Expert</v>
      </c>
      <c r="P134" cm="1">
        <f t="array" ref="P134">_xlfn.SWITCH(tbl_analysis_tickets[[#This Row],[customer_satisfaction]],
"Low",1,
"Medium",2,
"High",3
)</f>
        <v>2</v>
      </c>
      <c r="Q134">
        <f>IF(tbl_analysis_tickets[[#This Row],[reopened]]="Yes",1,0)</f>
        <v>1</v>
      </c>
      <c r="R134" t="str" cm="1">
        <f t="array" ref="R134">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134" t="str" cm="1">
        <f t="array" ref="S13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34" t="str">
        <f>TEXT(tbl_analysis_tickets[[#This Row],[created_date]],"mmm-yyyy")</f>
        <v>Mar-2024</v>
      </c>
      <c r="U134" t="str">
        <f>TEXT(tbl_analysis_tickets[[#This Row],[created_date]],"dddd")</f>
        <v>Wednesday</v>
      </c>
      <c r="V134" cm="1">
        <f t="array" ref="V134">_xlfn.SWITCH(tbl_analysis_tickets[[#This Row],[priority]],
"Urgent",1,
"High",2,
"Medium",3,
"Low",4
)</f>
        <v>1</v>
      </c>
    </row>
    <row r="135" spans="1:22" x14ac:dyDescent="0.25">
      <c r="A135">
        <v>134</v>
      </c>
      <c r="B135" s="1">
        <v>45315</v>
      </c>
      <c r="C135" t="s">
        <v>10</v>
      </c>
      <c r="D135" t="s">
        <v>17</v>
      </c>
      <c r="E135">
        <v>231</v>
      </c>
      <c r="F135">
        <v>7</v>
      </c>
      <c r="G135">
        <v>1.2</v>
      </c>
      <c r="H135" t="s">
        <v>18</v>
      </c>
      <c r="I135" t="s">
        <v>13</v>
      </c>
      <c r="J135" t="s">
        <v>11</v>
      </c>
      <c r="K135">
        <f>_xlfn.XLOOKUP(tbl_analysis_tickets[[#This Row],[priority]],tbl_sla[priority],tbl_sla[Resolution SLA Hours])</f>
        <v>8</v>
      </c>
      <c r="L135">
        <f>_xlfn.XLOOKUP(tbl_analysis_tickets[[#This Row],[priority]],tbl_sla[priority],tbl_sla[First Response SLA Minutes])</f>
        <v>30</v>
      </c>
      <c r="M135" t="str">
        <f>IF(tbl_analysis_tickets[[#This Row],[resolution_time_hours]]&gt;tbl_analysis_tickets[[#This Row],[Resolution SLA Hours]],"Breached","Within SLA")</f>
        <v>Within SLA</v>
      </c>
      <c r="N135" t="str">
        <f>IF(tbl_analysis_tickets[[#This Row],[first_response_minutes]]&gt;tbl_analysis_tickets[[#This Row],[First Response SLA Minutes]],"Breached","Within SLA")</f>
        <v>Breached</v>
      </c>
      <c r="O135" t="str" cm="1">
        <f t="array" ref="O135">_xlfn.IFS(
tbl_analysis_tickets[[#This Row],[agent_experience_years]]&lt;=2,"Junior",
tbl_analysis_tickets[[#This Row],[agent_experience_years]]&lt;=5,"Mid-Level",
tbl_analysis_tickets[[#This Row],[agent_experience_years]]&lt;=8,"Senior",
tbl_analysis_tickets[[#This Row],[agent_experience_years]]&gt;8,"Expert"
)</f>
        <v>Junior</v>
      </c>
      <c r="P135" cm="1">
        <f t="array" ref="P135">_xlfn.SWITCH(tbl_analysis_tickets[[#This Row],[customer_satisfaction]],
"Low",1,
"Medium",2,
"High",3
)</f>
        <v>1</v>
      </c>
      <c r="Q135">
        <f>IF(tbl_analysis_tickets[[#This Row],[reopened]]="Yes",1,0)</f>
        <v>0</v>
      </c>
      <c r="R135" t="str" cm="1">
        <f t="array" ref="R135">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35" t="str" cm="1">
        <f t="array" ref="S13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135" t="str">
        <f>TEXT(tbl_analysis_tickets[[#This Row],[created_date]],"mmm-yyyy")</f>
        <v>Jan-2024</v>
      </c>
      <c r="U135" t="str">
        <f>TEXT(tbl_analysis_tickets[[#This Row],[created_date]],"dddd")</f>
        <v>Wednesday</v>
      </c>
      <c r="V135" cm="1">
        <f t="array" ref="V135">_xlfn.SWITCH(tbl_analysis_tickets[[#This Row],[priority]],
"Urgent",1,
"High",2,
"Medium",3,
"Low",4
)</f>
        <v>1</v>
      </c>
    </row>
    <row r="136" spans="1:22" x14ac:dyDescent="0.25">
      <c r="A136">
        <v>135</v>
      </c>
      <c r="B136" s="1">
        <v>45299</v>
      </c>
      <c r="C136" t="s">
        <v>22</v>
      </c>
      <c r="D136" t="s">
        <v>20</v>
      </c>
      <c r="E136">
        <v>136</v>
      </c>
      <c r="F136">
        <v>38</v>
      </c>
      <c r="G136">
        <v>4.2</v>
      </c>
      <c r="H136" t="s">
        <v>18</v>
      </c>
      <c r="I136" t="s">
        <v>19</v>
      </c>
      <c r="J136" t="s">
        <v>11</v>
      </c>
      <c r="K136">
        <f>_xlfn.XLOOKUP(tbl_analysis_tickets[[#This Row],[priority]],tbl_sla[priority],tbl_sla[Resolution SLA Hours])</f>
        <v>24</v>
      </c>
      <c r="L136">
        <f>_xlfn.XLOOKUP(tbl_analysis_tickets[[#This Row],[priority]],tbl_sla[priority],tbl_sla[First Response SLA Minutes])</f>
        <v>60</v>
      </c>
      <c r="M136" t="str">
        <f>IF(tbl_analysis_tickets[[#This Row],[resolution_time_hours]]&gt;tbl_analysis_tickets[[#This Row],[Resolution SLA Hours]],"Breached","Within SLA")</f>
        <v>Breached</v>
      </c>
      <c r="N136" t="str">
        <f>IF(tbl_analysis_tickets[[#This Row],[first_response_minutes]]&gt;tbl_analysis_tickets[[#This Row],[First Response SLA Minutes]],"Breached","Within SLA")</f>
        <v>Breached</v>
      </c>
      <c r="O136" t="str" cm="1">
        <f t="array" ref="O136">_xlfn.IFS(
tbl_analysis_tickets[[#This Row],[agent_experience_years]]&lt;=2,"Junior",
tbl_analysis_tickets[[#This Row],[agent_experience_years]]&lt;=5,"Mid-Level",
tbl_analysis_tickets[[#This Row],[agent_experience_years]]&lt;=8,"Senior",
tbl_analysis_tickets[[#This Row],[agent_experience_years]]&gt;8,"Expert"
)</f>
        <v>Mid-Level</v>
      </c>
      <c r="P136" cm="1">
        <f t="array" ref="P136">_xlfn.SWITCH(tbl_analysis_tickets[[#This Row],[customer_satisfaction]],
"Low",1,
"Medium",2,
"High",3
)</f>
        <v>1</v>
      </c>
      <c r="Q136">
        <f>IF(tbl_analysis_tickets[[#This Row],[reopened]]="Yes",1,0)</f>
        <v>0</v>
      </c>
      <c r="R136" t="str" cm="1">
        <f t="array" ref="R136">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36" t="str" cm="1">
        <f t="array" ref="S13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36" t="str">
        <f>TEXT(tbl_analysis_tickets[[#This Row],[created_date]],"mmm-yyyy")</f>
        <v>Jan-2024</v>
      </c>
      <c r="U136" t="str">
        <f>TEXT(tbl_analysis_tickets[[#This Row],[created_date]],"dddd")</f>
        <v>Monday</v>
      </c>
      <c r="V136" cm="1">
        <f t="array" ref="V136">_xlfn.SWITCH(tbl_analysis_tickets[[#This Row],[priority]],
"Urgent",1,
"High",2,
"Medium",3,
"Low",4
)</f>
        <v>2</v>
      </c>
    </row>
    <row r="137" spans="1:22" x14ac:dyDescent="0.25">
      <c r="A137">
        <v>136</v>
      </c>
      <c r="B137" s="1">
        <v>45568</v>
      </c>
      <c r="C137" t="s">
        <v>14</v>
      </c>
      <c r="D137" t="s">
        <v>11</v>
      </c>
      <c r="E137">
        <v>124</v>
      </c>
      <c r="F137">
        <v>30</v>
      </c>
      <c r="G137">
        <v>5.8</v>
      </c>
      <c r="H137" t="s">
        <v>18</v>
      </c>
      <c r="I137" t="s">
        <v>13</v>
      </c>
      <c r="J137" t="s">
        <v>15</v>
      </c>
      <c r="K137">
        <f>_xlfn.XLOOKUP(tbl_analysis_tickets[[#This Row],[priority]],tbl_sla[priority],tbl_sla[Resolution SLA Hours])</f>
        <v>72</v>
      </c>
      <c r="L137">
        <f>_xlfn.XLOOKUP(tbl_analysis_tickets[[#This Row],[priority]],tbl_sla[priority],tbl_sla[First Response SLA Minutes])</f>
        <v>240</v>
      </c>
      <c r="M137" t="str">
        <f>IF(tbl_analysis_tickets[[#This Row],[resolution_time_hours]]&gt;tbl_analysis_tickets[[#This Row],[Resolution SLA Hours]],"Breached","Within SLA")</f>
        <v>Within SLA</v>
      </c>
      <c r="N137" t="str">
        <f>IF(tbl_analysis_tickets[[#This Row],[first_response_minutes]]&gt;tbl_analysis_tickets[[#This Row],[First Response SLA Minutes]],"Breached","Within SLA")</f>
        <v>Within SLA</v>
      </c>
      <c r="O137" t="str" cm="1">
        <f t="array" ref="O137">_xlfn.IFS(
tbl_analysis_tickets[[#This Row],[agent_experience_years]]&lt;=2,"Junior",
tbl_analysis_tickets[[#This Row],[agent_experience_years]]&lt;=5,"Mid-Level",
tbl_analysis_tickets[[#This Row],[agent_experience_years]]&lt;=8,"Senior",
tbl_analysis_tickets[[#This Row],[agent_experience_years]]&gt;8,"Expert"
)</f>
        <v>Senior</v>
      </c>
      <c r="P137" cm="1">
        <f t="array" ref="P137">_xlfn.SWITCH(tbl_analysis_tickets[[#This Row],[customer_satisfaction]],
"Low",1,
"Medium",2,
"High",3
)</f>
        <v>2</v>
      </c>
      <c r="Q137">
        <f>IF(tbl_analysis_tickets[[#This Row],[reopened]]="Yes",1,0)</f>
        <v>0</v>
      </c>
      <c r="R137" t="str" cm="1">
        <f t="array" ref="R137">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37" t="str" cm="1">
        <f t="array" ref="S13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37" t="str">
        <f>TEXT(tbl_analysis_tickets[[#This Row],[created_date]],"mmm-yyyy")</f>
        <v>Oct-2024</v>
      </c>
      <c r="U137" t="str">
        <f>TEXT(tbl_analysis_tickets[[#This Row],[created_date]],"dddd")</f>
        <v>Thursday</v>
      </c>
      <c r="V137" cm="1">
        <f t="array" ref="V137">_xlfn.SWITCH(tbl_analysis_tickets[[#This Row],[priority]],
"Urgent",1,
"High",2,
"Medium",3,
"Low",4
)</f>
        <v>4</v>
      </c>
    </row>
    <row r="138" spans="1:22" x14ac:dyDescent="0.25">
      <c r="A138">
        <v>137</v>
      </c>
      <c r="B138" s="1">
        <v>45451</v>
      </c>
      <c r="C138" t="s">
        <v>14</v>
      </c>
      <c r="D138" t="s">
        <v>11</v>
      </c>
      <c r="E138">
        <v>17</v>
      </c>
      <c r="F138">
        <v>42</v>
      </c>
      <c r="G138">
        <v>6</v>
      </c>
      <c r="H138" t="s">
        <v>18</v>
      </c>
      <c r="I138" t="s">
        <v>16</v>
      </c>
      <c r="J138" t="s">
        <v>20</v>
      </c>
      <c r="K138">
        <f>_xlfn.XLOOKUP(tbl_analysis_tickets[[#This Row],[priority]],tbl_sla[priority],tbl_sla[Resolution SLA Hours])</f>
        <v>72</v>
      </c>
      <c r="L138">
        <f>_xlfn.XLOOKUP(tbl_analysis_tickets[[#This Row],[priority]],tbl_sla[priority],tbl_sla[First Response SLA Minutes])</f>
        <v>240</v>
      </c>
      <c r="M138" t="str">
        <f>IF(tbl_analysis_tickets[[#This Row],[resolution_time_hours]]&gt;tbl_analysis_tickets[[#This Row],[Resolution SLA Hours]],"Breached","Within SLA")</f>
        <v>Within SLA</v>
      </c>
      <c r="N138" t="str">
        <f>IF(tbl_analysis_tickets[[#This Row],[first_response_minutes]]&gt;tbl_analysis_tickets[[#This Row],[First Response SLA Minutes]],"Breached","Within SLA")</f>
        <v>Within SLA</v>
      </c>
      <c r="O138" t="str" cm="1">
        <f t="array" ref="O138">_xlfn.IFS(
tbl_analysis_tickets[[#This Row],[agent_experience_years]]&lt;=2,"Junior",
tbl_analysis_tickets[[#This Row],[agent_experience_years]]&lt;=5,"Mid-Level",
tbl_analysis_tickets[[#This Row],[agent_experience_years]]&lt;=8,"Senior",
tbl_analysis_tickets[[#This Row],[agent_experience_years]]&gt;8,"Expert"
)</f>
        <v>Senior</v>
      </c>
      <c r="P138" cm="1">
        <f t="array" ref="P138">_xlfn.SWITCH(tbl_analysis_tickets[[#This Row],[customer_satisfaction]],
"Low",1,
"Medium",2,
"High",3
)</f>
        <v>3</v>
      </c>
      <c r="Q138">
        <f>IF(tbl_analysis_tickets[[#This Row],[reopened]]="Yes",1,0)</f>
        <v>0</v>
      </c>
      <c r="R138" t="str" cm="1">
        <f t="array" ref="R138">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138" t="str" cm="1">
        <f t="array" ref="S13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38" t="str">
        <f>TEXT(tbl_analysis_tickets[[#This Row],[created_date]],"mmm-yyyy")</f>
        <v>Jun-2024</v>
      </c>
      <c r="U138" t="str">
        <f>TEXT(tbl_analysis_tickets[[#This Row],[created_date]],"dddd")</f>
        <v>Saturday</v>
      </c>
      <c r="V138" cm="1">
        <f t="array" ref="V138">_xlfn.SWITCH(tbl_analysis_tickets[[#This Row],[priority]],
"Urgent",1,
"High",2,
"Medium",3,
"Low",4
)</f>
        <v>4</v>
      </c>
    </row>
    <row r="139" spans="1:22" x14ac:dyDescent="0.25">
      <c r="A139">
        <v>138</v>
      </c>
      <c r="B139" s="1">
        <v>45405</v>
      </c>
      <c r="C139" t="s">
        <v>14</v>
      </c>
      <c r="D139" t="s">
        <v>15</v>
      </c>
      <c r="E139">
        <v>93</v>
      </c>
      <c r="F139">
        <v>64</v>
      </c>
      <c r="G139">
        <v>1.4</v>
      </c>
      <c r="H139" t="s">
        <v>18</v>
      </c>
      <c r="I139" t="s">
        <v>16</v>
      </c>
      <c r="J139" t="s">
        <v>11</v>
      </c>
      <c r="K139">
        <f>_xlfn.XLOOKUP(tbl_analysis_tickets[[#This Row],[priority]],tbl_sla[priority],tbl_sla[Resolution SLA Hours])</f>
        <v>48</v>
      </c>
      <c r="L139">
        <f>_xlfn.XLOOKUP(tbl_analysis_tickets[[#This Row],[priority]],tbl_sla[priority],tbl_sla[First Response SLA Minutes])</f>
        <v>120</v>
      </c>
      <c r="M139" t="str">
        <f>IF(tbl_analysis_tickets[[#This Row],[resolution_time_hours]]&gt;tbl_analysis_tickets[[#This Row],[Resolution SLA Hours]],"Breached","Within SLA")</f>
        <v>Breached</v>
      </c>
      <c r="N139" t="str">
        <f>IF(tbl_analysis_tickets[[#This Row],[first_response_minutes]]&gt;tbl_analysis_tickets[[#This Row],[First Response SLA Minutes]],"Breached","Within SLA")</f>
        <v>Within SLA</v>
      </c>
      <c r="O139" t="str" cm="1">
        <f t="array" ref="O139">_xlfn.IFS(
tbl_analysis_tickets[[#This Row],[agent_experience_years]]&lt;=2,"Junior",
tbl_analysis_tickets[[#This Row],[agent_experience_years]]&lt;=5,"Mid-Level",
tbl_analysis_tickets[[#This Row],[agent_experience_years]]&lt;=8,"Senior",
tbl_analysis_tickets[[#This Row],[agent_experience_years]]&gt;8,"Expert"
)</f>
        <v>Junior</v>
      </c>
      <c r="P139" cm="1">
        <f t="array" ref="P139">_xlfn.SWITCH(tbl_analysis_tickets[[#This Row],[customer_satisfaction]],
"Low",1,
"Medium",2,
"High",3
)</f>
        <v>1</v>
      </c>
      <c r="Q139">
        <f>IF(tbl_analysis_tickets[[#This Row],[reopened]]="Yes",1,0)</f>
        <v>0</v>
      </c>
      <c r="R139" t="str" cm="1">
        <f t="array" ref="R139">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39" t="str" cm="1">
        <f t="array" ref="S13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39" t="str">
        <f>TEXT(tbl_analysis_tickets[[#This Row],[created_date]],"mmm-yyyy")</f>
        <v>Apr-2024</v>
      </c>
      <c r="U139" t="str">
        <f>TEXT(tbl_analysis_tickets[[#This Row],[created_date]],"dddd")</f>
        <v>Tuesday</v>
      </c>
      <c r="V139" cm="1">
        <f t="array" ref="V139">_xlfn.SWITCH(tbl_analysis_tickets[[#This Row],[priority]],
"Urgent",1,
"High",2,
"Medium",3,
"Low",4
)</f>
        <v>3</v>
      </c>
    </row>
    <row r="140" spans="1:22" x14ac:dyDescent="0.25">
      <c r="A140">
        <v>139</v>
      </c>
      <c r="B140" s="1">
        <v>45349</v>
      </c>
      <c r="C140" t="s">
        <v>14</v>
      </c>
      <c r="D140" t="s">
        <v>20</v>
      </c>
      <c r="E140">
        <v>238</v>
      </c>
      <c r="F140">
        <v>1</v>
      </c>
      <c r="G140">
        <v>9.6999999999999993</v>
      </c>
      <c r="H140" t="s">
        <v>18</v>
      </c>
      <c r="I140" t="s">
        <v>16</v>
      </c>
      <c r="J140" t="s">
        <v>15</v>
      </c>
      <c r="K140">
        <f>_xlfn.XLOOKUP(tbl_analysis_tickets[[#This Row],[priority]],tbl_sla[priority],tbl_sla[Resolution SLA Hours])</f>
        <v>24</v>
      </c>
      <c r="L140">
        <f>_xlfn.XLOOKUP(tbl_analysis_tickets[[#This Row],[priority]],tbl_sla[priority],tbl_sla[First Response SLA Minutes])</f>
        <v>60</v>
      </c>
      <c r="M140" t="str">
        <f>IF(tbl_analysis_tickets[[#This Row],[resolution_time_hours]]&gt;tbl_analysis_tickets[[#This Row],[Resolution SLA Hours]],"Breached","Within SLA")</f>
        <v>Within SLA</v>
      </c>
      <c r="N140" t="str">
        <f>IF(tbl_analysis_tickets[[#This Row],[first_response_minutes]]&gt;tbl_analysis_tickets[[#This Row],[First Response SLA Minutes]],"Breached","Within SLA")</f>
        <v>Breached</v>
      </c>
      <c r="O140" t="str" cm="1">
        <f t="array" ref="O140">_xlfn.IFS(
tbl_analysis_tickets[[#This Row],[agent_experience_years]]&lt;=2,"Junior",
tbl_analysis_tickets[[#This Row],[agent_experience_years]]&lt;=5,"Mid-Level",
tbl_analysis_tickets[[#This Row],[agent_experience_years]]&lt;=8,"Senior",
tbl_analysis_tickets[[#This Row],[agent_experience_years]]&gt;8,"Expert"
)</f>
        <v>Expert</v>
      </c>
      <c r="P140" cm="1">
        <f t="array" ref="P140">_xlfn.SWITCH(tbl_analysis_tickets[[#This Row],[customer_satisfaction]],
"Low",1,
"Medium",2,
"High",3
)</f>
        <v>2</v>
      </c>
      <c r="Q140">
        <f>IF(tbl_analysis_tickets[[#This Row],[reopened]]="Yes",1,0)</f>
        <v>0</v>
      </c>
      <c r="R140" t="str" cm="1">
        <f t="array" ref="R140">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40" t="str" cm="1">
        <f t="array" ref="S14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140" t="str">
        <f>TEXT(tbl_analysis_tickets[[#This Row],[created_date]],"mmm-yyyy")</f>
        <v>Feb-2024</v>
      </c>
      <c r="U140" t="str">
        <f>TEXT(tbl_analysis_tickets[[#This Row],[created_date]],"dddd")</f>
        <v>Tuesday</v>
      </c>
      <c r="V140" cm="1">
        <f t="array" ref="V140">_xlfn.SWITCH(tbl_analysis_tickets[[#This Row],[priority]],
"Urgent",1,
"High",2,
"Medium",3,
"Low",4
)</f>
        <v>2</v>
      </c>
    </row>
    <row r="141" spans="1:22" x14ac:dyDescent="0.25">
      <c r="A141">
        <v>140</v>
      </c>
      <c r="B141" s="1">
        <v>45566</v>
      </c>
      <c r="C141" t="s">
        <v>23</v>
      </c>
      <c r="D141" t="s">
        <v>15</v>
      </c>
      <c r="E141">
        <v>151</v>
      </c>
      <c r="F141">
        <v>4</v>
      </c>
      <c r="G141">
        <v>3.1</v>
      </c>
      <c r="H141" t="s">
        <v>18</v>
      </c>
      <c r="I141" t="s">
        <v>19</v>
      </c>
      <c r="J141" t="s">
        <v>15</v>
      </c>
      <c r="K141">
        <f>_xlfn.XLOOKUP(tbl_analysis_tickets[[#This Row],[priority]],tbl_sla[priority],tbl_sla[Resolution SLA Hours])</f>
        <v>48</v>
      </c>
      <c r="L141">
        <f>_xlfn.XLOOKUP(tbl_analysis_tickets[[#This Row],[priority]],tbl_sla[priority],tbl_sla[First Response SLA Minutes])</f>
        <v>120</v>
      </c>
      <c r="M141" t="str">
        <f>IF(tbl_analysis_tickets[[#This Row],[resolution_time_hours]]&gt;tbl_analysis_tickets[[#This Row],[Resolution SLA Hours]],"Breached","Within SLA")</f>
        <v>Within SLA</v>
      </c>
      <c r="N141" t="str">
        <f>IF(tbl_analysis_tickets[[#This Row],[first_response_minutes]]&gt;tbl_analysis_tickets[[#This Row],[First Response SLA Minutes]],"Breached","Within SLA")</f>
        <v>Breached</v>
      </c>
      <c r="O141" t="str" cm="1">
        <f t="array" ref="O141">_xlfn.IFS(
tbl_analysis_tickets[[#This Row],[agent_experience_years]]&lt;=2,"Junior",
tbl_analysis_tickets[[#This Row],[agent_experience_years]]&lt;=5,"Mid-Level",
tbl_analysis_tickets[[#This Row],[agent_experience_years]]&lt;=8,"Senior",
tbl_analysis_tickets[[#This Row],[agent_experience_years]]&gt;8,"Expert"
)</f>
        <v>Mid-Level</v>
      </c>
      <c r="P141" cm="1">
        <f t="array" ref="P141">_xlfn.SWITCH(tbl_analysis_tickets[[#This Row],[customer_satisfaction]],
"Low",1,
"Medium",2,
"High",3
)</f>
        <v>2</v>
      </c>
      <c r="Q141">
        <f>IF(tbl_analysis_tickets[[#This Row],[reopened]]="Yes",1,0)</f>
        <v>0</v>
      </c>
      <c r="R141" t="str" cm="1">
        <f t="array" ref="R141">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41" t="str" cm="1">
        <f t="array" ref="S14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141" t="str">
        <f>TEXT(tbl_analysis_tickets[[#This Row],[created_date]],"mmm-yyyy")</f>
        <v>Oct-2024</v>
      </c>
      <c r="U141" t="str">
        <f>TEXT(tbl_analysis_tickets[[#This Row],[created_date]],"dddd")</f>
        <v>Tuesday</v>
      </c>
      <c r="V141" cm="1">
        <f t="array" ref="V141">_xlfn.SWITCH(tbl_analysis_tickets[[#This Row],[priority]],
"Urgent",1,
"High",2,
"Medium",3,
"Low",4
)</f>
        <v>3</v>
      </c>
    </row>
    <row r="142" spans="1:22" x14ac:dyDescent="0.25">
      <c r="A142">
        <v>141</v>
      </c>
      <c r="B142" s="1">
        <v>45611</v>
      </c>
      <c r="C142" t="s">
        <v>10</v>
      </c>
      <c r="D142" t="s">
        <v>20</v>
      </c>
      <c r="E142">
        <v>144</v>
      </c>
      <c r="F142">
        <v>49</v>
      </c>
      <c r="G142">
        <v>9.3000000000000007</v>
      </c>
      <c r="H142" t="s">
        <v>18</v>
      </c>
      <c r="I142" t="s">
        <v>13</v>
      </c>
      <c r="J142" t="s">
        <v>11</v>
      </c>
      <c r="K142">
        <f>_xlfn.XLOOKUP(tbl_analysis_tickets[[#This Row],[priority]],tbl_sla[priority],tbl_sla[Resolution SLA Hours])</f>
        <v>24</v>
      </c>
      <c r="L142">
        <f>_xlfn.XLOOKUP(tbl_analysis_tickets[[#This Row],[priority]],tbl_sla[priority],tbl_sla[First Response SLA Minutes])</f>
        <v>60</v>
      </c>
      <c r="M142" t="str">
        <f>IF(tbl_analysis_tickets[[#This Row],[resolution_time_hours]]&gt;tbl_analysis_tickets[[#This Row],[Resolution SLA Hours]],"Breached","Within SLA")</f>
        <v>Breached</v>
      </c>
      <c r="N142" t="str">
        <f>IF(tbl_analysis_tickets[[#This Row],[first_response_minutes]]&gt;tbl_analysis_tickets[[#This Row],[First Response SLA Minutes]],"Breached","Within SLA")</f>
        <v>Breached</v>
      </c>
      <c r="O142" t="str" cm="1">
        <f t="array" ref="O142">_xlfn.IFS(
tbl_analysis_tickets[[#This Row],[agent_experience_years]]&lt;=2,"Junior",
tbl_analysis_tickets[[#This Row],[agent_experience_years]]&lt;=5,"Mid-Level",
tbl_analysis_tickets[[#This Row],[agent_experience_years]]&lt;=8,"Senior",
tbl_analysis_tickets[[#This Row],[agent_experience_years]]&gt;8,"Expert"
)</f>
        <v>Expert</v>
      </c>
      <c r="P142" cm="1">
        <f t="array" ref="P142">_xlfn.SWITCH(tbl_analysis_tickets[[#This Row],[customer_satisfaction]],
"Low",1,
"Medium",2,
"High",3
)</f>
        <v>1</v>
      </c>
      <c r="Q142">
        <f>IF(tbl_analysis_tickets[[#This Row],[reopened]]="Yes",1,0)</f>
        <v>0</v>
      </c>
      <c r="R142" t="str" cm="1">
        <f t="array" ref="R142">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42" t="str" cm="1">
        <f t="array" ref="S14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42" t="str">
        <f>TEXT(tbl_analysis_tickets[[#This Row],[created_date]],"mmm-yyyy")</f>
        <v>Nov-2024</v>
      </c>
      <c r="U142" t="str">
        <f>TEXT(tbl_analysis_tickets[[#This Row],[created_date]],"dddd")</f>
        <v>Friday</v>
      </c>
      <c r="V142" cm="1">
        <f t="array" ref="V142">_xlfn.SWITCH(tbl_analysis_tickets[[#This Row],[priority]],
"Urgent",1,
"High",2,
"Medium",3,
"Low",4
)</f>
        <v>2</v>
      </c>
    </row>
    <row r="143" spans="1:22" x14ac:dyDescent="0.25">
      <c r="A143">
        <v>142</v>
      </c>
      <c r="B143" s="1">
        <v>45472</v>
      </c>
      <c r="C143" t="s">
        <v>14</v>
      </c>
      <c r="D143" t="s">
        <v>11</v>
      </c>
      <c r="E143">
        <v>239</v>
      </c>
      <c r="F143">
        <v>17</v>
      </c>
      <c r="G143">
        <v>3.3</v>
      </c>
      <c r="H143" t="s">
        <v>12</v>
      </c>
      <c r="I143" t="s">
        <v>19</v>
      </c>
      <c r="J143" t="s">
        <v>11</v>
      </c>
      <c r="K143">
        <f>_xlfn.XLOOKUP(tbl_analysis_tickets[[#This Row],[priority]],tbl_sla[priority],tbl_sla[Resolution SLA Hours])</f>
        <v>72</v>
      </c>
      <c r="L143">
        <f>_xlfn.XLOOKUP(tbl_analysis_tickets[[#This Row],[priority]],tbl_sla[priority],tbl_sla[First Response SLA Minutes])</f>
        <v>240</v>
      </c>
      <c r="M143" t="str">
        <f>IF(tbl_analysis_tickets[[#This Row],[resolution_time_hours]]&gt;tbl_analysis_tickets[[#This Row],[Resolution SLA Hours]],"Breached","Within SLA")</f>
        <v>Within SLA</v>
      </c>
      <c r="N143" t="str">
        <f>IF(tbl_analysis_tickets[[#This Row],[first_response_minutes]]&gt;tbl_analysis_tickets[[#This Row],[First Response SLA Minutes]],"Breached","Within SLA")</f>
        <v>Within SLA</v>
      </c>
      <c r="O143" t="str" cm="1">
        <f t="array" ref="O143">_xlfn.IFS(
tbl_analysis_tickets[[#This Row],[agent_experience_years]]&lt;=2,"Junior",
tbl_analysis_tickets[[#This Row],[agent_experience_years]]&lt;=5,"Mid-Level",
tbl_analysis_tickets[[#This Row],[agent_experience_years]]&lt;=8,"Senior",
tbl_analysis_tickets[[#This Row],[agent_experience_years]]&gt;8,"Expert"
)</f>
        <v>Mid-Level</v>
      </c>
      <c r="P143" cm="1">
        <f t="array" ref="P143">_xlfn.SWITCH(tbl_analysis_tickets[[#This Row],[customer_satisfaction]],
"Low",1,
"Medium",2,
"High",3
)</f>
        <v>1</v>
      </c>
      <c r="Q143">
        <f>IF(tbl_analysis_tickets[[#This Row],[reopened]]="Yes",1,0)</f>
        <v>1</v>
      </c>
      <c r="R143" t="str" cm="1">
        <f t="array" ref="R143">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43" t="str" cm="1">
        <f t="array" ref="S14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43" t="str">
        <f>TEXT(tbl_analysis_tickets[[#This Row],[created_date]],"mmm-yyyy")</f>
        <v>Jun-2024</v>
      </c>
      <c r="U143" t="str">
        <f>TEXT(tbl_analysis_tickets[[#This Row],[created_date]],"dddd")</f>
        <v>Saturday</v>
      </c>
      <c r="V143" cm="1">
        <f t="array" ref="V143">_xlfn.SWITCH(tbl_analysis_tickets[[#This Row],[priority]],
"Urgent",1,
"High",2,
"Medium",3,
"Low",4
)</f>
        <v>4</v>
      </c>
    </row>
    <row r="144" spans="1:22" x14ac:dyDescent="0.25">
      <c r="A144">
        <v>143</v>
      </c>
      <c r="B144" s="1">
        <v>45487</v>
      </c>
      <c r="C144" t="s">
        <v>22</v>
      </c>
      <c r="D144" t="s">
        <v>20</v>
      </c>
      <c r="E144">
        <v>111</v>
      </c>
      <c r="F144">
        <v>13</v>
      </c>
      <c r="G144">
        <v>4.8</v>
      </c>
      <c r="H144" t="s">
        <v>12</v>
      </c>
      <c r="I144" t="s">
        <v>13</v>
      </c>
      <c r="J144" t="s">
        <v>11</v>
      </c>
      <c r="K144">
        <f>_xlfn.XLOOKUP(tbl_analysis_tickets[[#This Row],[priority]],tbl_sla[priority],tbl_sla[Resolution SLA Hours])</f>
        <v>24</v>
      </c>
      <c r="L144">
        <f>_xlfn.XLOOKUP(tbl_analysis_tickets[[#This Row],[priority]],tbl_sla[priority],tbl_sla[First Response SLA Minutes])</f>
        <v>60</v>
      </c>
      <c r="M144" t="str">
        <f>IF(tbl_analysis_tickets[[#This Row],[resolution_time_hours]]&gt;tbl_analysis_tickets[[#This Row],[Resolution SLA Hours]],"Breached","Within SLA")</f>
        <v>Within SLA</v>
      </c>
      <c r="N144" t="str">
        <f>IF(tbl_analysis_tickets[[#This Row],[first_response_minutes]]&gt;tbl_analysis_tickets[[#This Row],[First Response SLA Minutes]],"Breached","Within SLA")</f>
        <v>Breached</v>
      </c>
      <c r="O144" t="str" cm="1">
        <f t="array" ref="O144">_xlfn.IFS(
tbl_analysis_tickets[[#This Row],[agent_experience_years]]&lt;=2,"Junior",
tbl_analysis_tickets[[#This Row],[agent_experience_years]]&lt;=5,"Mid-Level",
tbl_analysis_tickets[[#This Row],[agent_experience_years]]&lt;=8,"Senior",
tbl_analysis_tickets[[#This Row],[agent_experience_years]]&gt;8,"Expert"
)</f>
        <v>Mid-Level</v>
      </c>
      <c r="P144" cm="1">
        <f t="array" ref="P144">_xlfn.SWITCH(tbl_analysis_tickets[[#This Row],[customer_satisfaction]],
"Low",1,
"Medium",2,
"High",3
)</f>
        <v>1</v>
      </c>
      <c r="Q144">
        <f>IF(tbl_analysis_tickets[[#This Row],[reopened]]="Yes",1,0)</f>
        <v>1</v>
      </c>
      <c r="R144" t="str" cm="1">
        <f t="array" ref="R144">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44" t="str" cm="1">
        <f t="array" ref="S14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44" t="str">
        <f>TEXT(tbl_analysis_tickets[[#This Row],[created_date]],"mmm-yyyy")</f>
        <v>Jul-2024</v>
      </c>
      <c r="U144" t="str">
        <f>TEXT(tbl_analysis_tickets[[#This Row],[created_date]],"dddd")</f>
        <v>Sunday</v>
      </c>
      <c r="V144" cm="1">
        <f t="array" ref="V144">_xlfn.SWITCH(tbl_analysis_tickets[[#This Row],[priority]],
"Urgent",1,
"High",2,
"Medium",3,
"Low",4
)</f>
        <v>2</v>
      </c>
    </row>
    <row r="145" spans="1:22" x14ac:dyDescent="0.25">
      <c r="A145">
        <v>144</v>
      </c>
      <c r="B145" s="1">
        <v>45409</v>
      </c>
      <c r="C145" t="s">
        <v>10</v>
      </c>
      <c r="D145" t="s">
        <v>20</v>
      </c>
      <c r="E145">
        <v>68</v>
      </c>
      <c r="F145">
        <v>56</v>
      </c>
      <c r="G145">
        <v>9.6</v>
      </c>
      <c r="H145" t="s">
        <v>12</v>
      </c>
      <c r="I145" t="s">
        <v>19</v>
      </c>
      <c r="J145" t="s">
        <v>11</v>
      </c>
      <c r="K145">
        <f>_xlfn.XLOOKUP(tbl_analysis_tickets[[#This Row],[priority]],tbl_sla[priority],tbl_sla[Resolution SLA Hours])</f>
        <v>24</v>
      </c>
      <c r="L145">
        <f>_xlfn.XLOOKUP(tbl_analysis_tickets[[#This Row],[priority]],tbl_sla[priority],tbl_sla[First Response SLA Minutes])</f>
        <v>60</v>
      </c>
      <c r="M145" t="str">
        <f>IF(tbl_analysis_tickets[[#This Row],[resolution_time_hours]]&gt;tbl_analysis_tickets[[#This Row],[Resolution SLA Hours]],"Breached","Within SLA")</f>
        <v>Breached</v>
      </c>
      <c r="N145" t="str">
        <f>IF(tbl_analysis_tickets[[#This Row],[first_response_minutes]]&gt;tbl_analysis_tickets[[#This Row],[First Response SLA Minutes]],"Breached","Within SLA")</f>
        <v>Breached</v>
      </c>
      <c r="O145" t="str" cm="1">
        <f t="array" ref="O145">_xlfn.IFS(
tbl_analysis_tickets[[#This Row],[agent_experience_years]]&lt;=2,"Junior",
tbl_analysis_tickets[[#This Row],[agent_experience_years]]&lt;=5,"Mid-Level",
tbl_analysis_tickets[[#This Row],[agent_experience_years]]&lt;=8,"Senior",
tbl_analysis_tickets[[#This Row],[agent_experience_years]]&gt;8,"Expert"
)</f>
        <v>Expert</v>
      </c>
      <c r="P145" cm="1">
        <f t="array" ref="P145">_xlfn.SWITCH(tbl_analysis_tickets[[#This Row],[customer_satisfaction]],
"Low",1,
"Medium",2,
"High",3
)</f>
        <v>1</v>
      </c>
      <c r="Q145">
        <f>IF(tbl_analysis_tickets[[#This Row],[reopened]]="Yes",1,0)</f>
        <v>1</v>
      </c>
      <c r="R145" t="str" cm="1">
        <f t="array" ref="R145">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45" t="str" cm="1">
        <f t="array" ref="S14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45" t="str">
        <f>TEXT(tbl_analysis_tickets[[#This Row],[created_date]],"mmm-yyyy")</f>
        <v>Apr-2024</v>
      </c>
      <c r="U145" t="str">
        <f>TEXT(tbl_analysis_tickets[[#This Row],[created_date]],"dddd")</f>
        <v>Saturday</v>
      </c>
      <c r="V145" cm="1">
        <f t="array" ref="V145">_xlfn.SWITCH(tbl_analysis_tickets[[#This Row],[priority]],
"Urgent",1,
"High",2,
"Medium",3,
"Low",4
)</f>
        <v>2</v>
      </c>
    </row>
    <row r="146" spans="1:22" x14ac:dyDescent="0.25">
      <c r="A146">
        <v>145</v>
      </c>
      <c r="B146" s="1">
        <v>45482</v>
      </c>
      <c r="C146" t="s">
        <v>23</v>
      </c>
      <c r="D146" t="s">
        <v>15</v>
      </c>
      <c r="E146">
        <v>45</v>
      </c>
      <c r="F146">
        <v>7</v>
      </c>
      <c r="G146">
        <v>9.6</v>
      </c>
      <c r="H146" t="s">
        <v>18</v>
      </c>
      <c r="I146" t="s">
        <v>19</v>
      </c>
      <c r="J146" t="s">
        <v>15</v>
      </c>
      <c r="K146">
        <f>_xlfn.XLOOKUP(tbl_analysis_tickets[[#This Row],[priority]],tbl_sla[priority],tbl_sla[Resolution SLA Hours])</f>
        <v>48</v>
      </c>
      <c r="L146">
        <f>_xlfn.XLOOKUP(tbl_analysis_tickets[[#This Row],[priority]],tbl_sla[priority],tbl_sla[First Response SLA Minutes])</f>
        <v>120</v>
      </c>
      <c r="M146" t="str">
        <f>IF(tbl_analysis_tickets[[#This Row],[resolution_time_hours]]&gt;tbl_analysis_tickets[[#This Row],[Resolution SLA Hours]],"Breached","Within SLA")</f>
        <v>Within SLA</v>
      </c>
      <c r="N146" t="str">
        <f>IF(tbl_analysis_tickets[[#This Row],[first_response_minutes]]&gt;tbl_analysis_tickets[[#This Row],[First Response SLA Minutes]],"Breached","Within SLA")</f>
        <v>Within SLA</v>
      </c>
      <c r="O146" t="str" cm="1">
        <f t="array" ref="O146">_xlfn.IFS(
tbl_analysis_tickets[[#This Row],[agent_experience_years]]&lt;=2,"Junior",
tbl_analysis_tickets[[#This Row],[agent_experience_years]]&lt;=5,"Mid-Level",
tbl_analysis_tickets[[#This Row],[agent_experience_years]]&lt;=8,"Senior",
tbl_analysis_tickets[[#This Row],[agent_experience_years]]&gt;8,"Expert"
)</f>
        <v>Expert</v>
      </c>
      <c r="P146" cm="1">
        <f t="array" ref="P146">_xlfn.SWITCH(tbl_analysis_tickets[[#This Row],[customer_satisfaction]],
"Low",1,
"Medium",2,
"High",3
)</f>
        <v>2</v>
      </c>
      <c r="Q146">
        <f>IF(tbl_analysis_tickets[[#This Row],[reopened]]="Yes",1,0)</f>
        <v>0</v>
      </c>
      <c r="R146" t="str" cm="1">
        <f t="array" ref="R146">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46" t="str" cm="1">
        <f t="array" ref="S14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146" t="str">
        <f>TEXT(tbl_analysis_tickets[[#This Row],[created_date]],"mmm-yyyy")</f>
        <v>Jul-2024</v>
      </c>
      <c r="U146" t="str">
        <f>TEXT(tbl_analysis_tickets[[#This Row],[created_date]],"dddd")</f>
        <v>Tuesday</v>
      </c>
      <c r="V146" cm="1">
        <f t="array" ref="V146">_xlfn.SWITCH(tbl_analysis_tickets[[#This Row],[priority]],
"Urgent",1,
"High",2,
"Medium",3,
"Low",4
)</f>
        <v>3</v>
      </c>
    </row>
    <row r="147" spans="1:22" x14ac:dyDescent="0.25">
      <c r="A147">
        <v>146</v>
      </c>
      <c r="B147" s="1">
        <v>45303</v>
      </c>
      <c r="C147" t="s">
        <v>10</v>
      </c>
      <c r="D147" t="s">
        <v>15</v>
      </c>
      <c r="E147">
        <v>194</v>
      </c>
      <c r="F147">
        <v>8</v>
      </c>
      <c r="G147">
        <v>9.6</v>
      </c>
      <c r="H147" t="s">
        <v>12</v>
      </c>
      <c r="I147" t="s">
        <v>16</v>
      </c>
      <c r="J147" t="s">
        <v>11</v>
      </c>
      <c r="K147">
        <f>_xlfn.XLOOKUP(tbl_analysis_tickets[[#This Row],[priority]],tbl_sla[priority],tbl_sla[Resolution SLA Hours])</f>
        <v>48</v>
      </c>
      <c r="L147">
        <f>_xlfn.XLOOKUP(tbl_analysis_tickets[[#This Row],[priority]],tbl_sla[priority],tbl_sla[First Response SLA Minutes])</f>
        <v>120</v>
      </c>
      <c r="M147" t="str">
        <f>IF(tbl_analysis_tickets[[#This Row],[resolution_time_hours]]&gt;tbl_analysis_tickets[[#This Row],[Resolution SLA Hours]],"Breached","Within SLA")</f>
        <v>Within SLA</v>
      </c>
      <c r="N147" t="str">
        <f>IF(tbl_analysis_tickets[[#This Row],[first_response_minutes]]&gt;tbl_analysis_tickets[[#This Row],[First Response SLA Minutes]],"Breached","Within SLA")</f>
        <v>Breached</v>
      </c>
      <c r="O147" t="str" cm="1">
        <f t="array" ref="O147">_xlfn.IFS(
tbl_analysis_tickets[[#This Row],[agent_experience_years]]&lt;=2,"Junior",
tbl_analysis_tickets[[#This Row],[agent_experience_years]]&lt;=5,"Mid-Level",
tbl_analysis_tickets[[#This Row],[agent_experience_years]]&lt;=8,"Senior",
tbl_analysis_tickets[[#This Row],[agent_experience_years]]&gt;8,"Expert"
)</f>
        <v>Expert</v>
      </c>
      <c r="P147" cm="1">
        <f t="array" ref="P147">_xlfn.SWITCH(tbl_analysis_tickets[[#This Row],[customer_satisfaction]],
"Low",1,
"Medium",2,
"High",3
)</f>
        <v>1</v>
      </c>
      <c r="Q147">
        <f>IF(tbl_analysis_tickets[[#This Row],[reopened]]="Yes",1,0)</f>
        <v>1</v>
      </c>
      <c r="R147" t="str" cm="1">
        <f t="array" ref="R147">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47" t="str" cm="1">
        <f t="array" ref="S14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147" t="str">
        <f>TEXT(tbl_analysis_tickets[[#This Row],[created_date]],"mmm-yyyy")</f>
        <v>Jan-2024</v>
      </c>
      <c r="U147" t="str">
        <f>TEXT(tbl_analysis_tickets[[#This Row],[created_date]],"dddd")</f>
        <v>Friday</v>
      </c>
      <c r="V147" cm="1">
        <f t="array" ref="V147">_xlfn.SWITCH(tbl_analysis_tickets[[#This Row],[priority]],
"Urgent",1,
"High",2,
"Medium",3,
"Low",4
)</f>
        <v>3</v>
      </c>
    </row>
    <row r="148" spans="1:22" x14ac:dyDescent="0.25">
      <c r="A148">
        <v>147</v>
      </c>
      <c r="B148" s="1">
        <v>45349</v>
      </c>
      <c r="C148" t="s">
        <v>23</v>
      </c>
      <c r="D148" t="s">
        <v>11</v>
      </c>
      <c r="E148">
        <v>147</v>
      </c>
      <c r="F148">
        <v>56</v>
      </c>
      <c r="G148">
        <v>8.3000000000000007</v>
      </c>
      <c r="H148" t="s">
        <v>18</v>
      </c>
      <c r="I148" t="s">
        <v>19</v>
      </c>
      <c r="J148" t="s">
        <v>15</v>
      </c>
      <c r="K148">
        <f>_xlfn.XLOOKUP(tbl_analysis_tickets[[#This Row],[priority]],tbl_sla[priority],tbl_sla[Resolution SLA Hours])</f>
        <v>72</v>
      </c>
      <c r="L148">
        <f>_xlfn.XLOOKUP(tbl_analysis_tickets[[#This Row],[priority]],tbl_sla[priority],tbl_sla[First Response SLA Minutes])</f>
        <v>240</v>
      </c>
      <c r="M148" t="str">
        <f>IF(tbl_analysis_tickets[[#This Row],[resolution_time_hours]]&gt;tbl_analysis_tickets[[#This Row],[Resolution SLA Hours]],"Breached","Within SLA")</f>
        <v>Within SLA</v>
      </c>
      <c r="N148" t="str">
        <f>IF(tbl_analysis_tickets[[#This Row],[first_response_minutes]]&gt;tbl_analysis_tickets[[#This Row],[First Response SLA Minutes]],"Breached","Within SLA")</f>
        <v>Within SLA</v>
      </c>
      <c r="O148" t="str" cm="1">
        <f t="array" ref="O148">_xlfn.IFS(
tbl_analysis_tickets[[#This Row],[agent_experience_years]]&lt;=2,"Junior",
tbl_analysis_tickets[[#This Row],[agent_experience_years]]&lt;=5,"Mid-Level",
tbl_analysis_tickets[[#This Row],[agent_experience_years]]&lt;=8,"Senior",
tbl_analysis_tickets[[#This Row],[agent_experience_years]]&gt;8,"Expert"
)</f>
        <v>Expert</v>
      </c>
      <c r="P148" cm="1">
        <f t="array" ref="P148">_xlfn.SWITCH(tbl_analysis_tickets[[#This Row],[customer_satisfaction]],
"Low",1,
"Medium",2,
"High",3
)</f>
        <v>2</v>
      </c>
      <c r="Q148">
        <f>IF(tbl_analysis_tickets[[#This Row],[reopened]]="Yes",1,0)</f>
        <v>0</v>
      </c>
      <c r="R148" t="str" cm="1">
        <f t="array" ref="R148">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48" t="str" cm="1">
        <f t="array" ref="S14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48" t="str">
        <f>TEXT(tbl_analysis_tickets[[#This Row],[created_date]],"mmm-yyyy")</f>
        <v>Feb-2024</v>
      </c>
      <c r="U148" t="str">
        <f>TEXT(tbl_analysis_tickets[[#This Row],[created_date]],"dddd")</f>
        <v>Tuesday</v>
      </c>
      <c r="V148" cm="1">
        <f t="array" ref="V148">_xlfn.SWITCH(tbl_analysis_tickets[[#This Row],[priority]],
"Urgent",1,
"High",2,
"Medium",3,
"Low",4
)</f>
        <v>4</v>
      </c>
    </row>
    <row r="149" spans="1:22" x14ac:dyDescent="0.25">
      <c r="A149">
        <v>148</v>
      </c>
      <c r="B149" s="1">
        <v>45485</v>
      </c>
      <c r="C149" t="s">
        <v>14</v>
      </c>
      <c r="D149" t="s">
        <v>11</v>
      </c>
      <c r="E149">
        <v>222</v>
      </c>
      <c r="F149">
        <v>26</v>
      </c>
      <c r="G149">
        <v>5.9</v>
      </c>
      <c r="H149" t="s">
        <v>12</v>
      </c>
      <c r="I149" t="s">
        <v>16</v>
      </c>
      <c r="J149" t="s">
        <v>11</v>
      </c>
      <c r="K149">
        <f>_xlfn.XLOOKUP(tbl_analysis_tickets[[#This Row],[priority]],tbl_sla[priority],tbl_sla[Resolution SLA Hours])</f>
        <v>72</v>
      </c>
      <c r="L149">
        <f>_xlfn.XLOOKUP(tbl_analysis_tickets[[#This Row],[priority]],tbl_sla[priority],tbl_sla[First Response SLA Minutes])</f>
        <v>240</v>
      </c>
      <c r="M149" t="str">
        <f>IF(tbl_analysis_tickets[[#This Row],[resolution_time_hours]]&gt;tbl_analysis_tickets[[#This Row],[Resolution SLA Hours]],"Breached","Within SLA")</f>
        <v>Within SLA</v>
      </c>
      <c r="N149" t="str">
        <f>IF(tbl_analysis_tickets[[#This Row],[first_response_minutes]]&gt;tbl_analysis_tickets[[#This Row],[First Response SLA Minutes]],"Breached","Within SLA")</f>
        <v>Within SLA</v>
      </c>
      <c r="O149" t="str" cm="1">
        <f t="array" ref="O149">_xlfn.IFS(
tbl_analysis_tickets[[#This Row],[agent_experience_years]]&lt;=2,"Junior",
tbl_analysis_tickets[[#This Row],[agent_experience_years]]&lt;=5,"Mid-Level",
tbl_analysis_tickets[[#This Row],[agent_experience_years]]&lt;=8,"Senior",
tbl_analysis_tickets[[#This Row],[agent_experience_years]]&gt;8,"Expert"
)</f>
        <v>Senior</v>
      </c>
      <c r="P149" cm="1">
        <f t="array" ref="P149">_xlfn.SWITCH(tbl_analysis_tickets[[#This Row],[customer_satisfaction]],
"Low",1,
"Medium",2,
"High",3
)</f>
        <v>1</v>
      </c>
      <c r="Q149">
        <f>IF(tbl_analysis_tickets[[#This Row],[reopened]]="Yes",1,0)</f>
        <v>1</v>
      </c>
      <c r="R149" t="str" cm="1">
        <f t="array" ref="R149">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49" t="str" cm="1">
        <f t="array" ref="S14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49" t="str">
        <f>TEXT(tbl_analysis_tickets[[#This Row],[created_date]],"mmm-yyyy")</f>
        <v>Jul-2024</v>
      </c>
      <c r="U149" t="str">
        <f>TEXT(tbl_analysis_tickets[[#This Row],[created_date]],"dddd")</f>
        <v>Friday</v>
      </c>
      <c r="V149" cm="1">
        <f t="array" ref="V149">_xlfn.SWITCH(tbl_analysis_tickets[[#This Row],[priority]],
"Urgent",1,
"High",2,
"Medium",3,
"Low",4
)</f>
        <v>4</v>
      </c>
    </row>
    <row r="150" spans="1:22" x14ac:dyDescent="0.25">
      <c r="A150">
        <v>149</v>
      </c>
      <c r="B150" s="1">
        <v>45415</v>
      </c>
      <c r="C150" t="s">
        <v>10</v>
      </c>
      <c r="D150" t="s">
        <v>20</v>
      </c>
      <c r="E150">
        <v>159</v>
      </c>
      <c r="F150">
        <v>15</v>
      </c>
      <c r="G150">
        <v>3.3</v>
      </c>
      <c r="H150" t="s">
        <v>12</v>
      </c>
      <c r="I150" t="s">
        <v>16</v>
      </c>
      <c r="J150" t="s">
        <v>11</v>
      </c>
      <c r="K150">
        <f>_xlfn.XLOOKUP(tbl_analysis_tickets[[#This Row],[priority]],tbl_sla[priority],tbl_sla[Resolution SLA Hours])</f>
        <v>24</v>
      </c>
      <c r="L150">
        <f>_xlfn.XLOOKUP(tbl_analysis_tickets[[#This Row],[priority]],tbl_sla[priority],tbl_sla[First Response SLA Minutes])</f>
        <v>60</v>
      </c>
      <c r="M150" t="str">
        <f>IF(tbl_analysis_tickets[[#This Row],[resolution_time_hours]]&gt;tbl_analysis_tickets[[#This Row],[Resolution SLA Hours]],"Breached","Within SLA")</f>
        <v>Within SLA</v>
      </c>
      <c r="N150" t="str">
        <f>IF(tbl_analysis_tickets[[#This Row],[first_response_minutes]]&gt;tbl_analysis_tickets[[#This Row],[First Response SLA Minutes]],"Breached","Within SLA")</f>
        <v>Breached</v>
      </c>
      <c r="O150" t="str" cm="1">
        <f t="array" ref="O150">_xlfn.IFS(
tbl_analysis_tickets[[#This Row],[agent_experience_years]]&lt;=2,"Junior",
tbl_analysis_tickets[[#This Row],[agent_experience_years]]&lt;=5,"Mid-Level",
tbl_analysis_tickets[[#This Row],[agent_experience_years]]&lt;=8,"Senior",
tbl_analysis_tickets[[#This Row],[agent_experience_years]]&gt;8,"Expert"
)</f>
        <v>Mid-Level</v>
      </c>
      <c r="P150" cm="1">
        <f t="array" ref="P150">_xlfn.SWITCH(tbl_analysis_tickets[[#This Row],[customer_satisfaction]],
"Low",1,
"Medium",2,
"High",3
)</f>
        <v>1</v>
      </c>
      <c r="Q150">
        <f>IF(tbl_analysis_tickets[[#This Row],[reopened]]="Yes",1,0)</f>
        <v>1</v>
      </c>
      <c r="R150" t="str" cm="1">
        <f t="array" ref="R150">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50" t="str" cm="1">
        <f t="array" ref="S15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50" t="str">
        <f>TEXT(tbl_analysis_tickets[[#This Row],[created_date]],"mmm-yyyy")</f>
        <v>May-2024</v>
      </c>
      <c r="U150" t="str">
        <f>TEXT(tbl_analysis_tickets[[#This Row],[created_date]],"dddd")</f>
        <v>Friday</v>
      </c>
      <c r="V150" cm="1">
        <f t="array" ref="V150">_xlfn.SWITCH(tbl_analysis_tickets[[#This Row],[priority]],
"Urgent",1,
"High",2,
"Medium",3,
"Low",4
)</f>
        <v>2</v>
      </c>
    </row>
    <row r="151" spans="1:22" x14ac:dyDescent="0.25">
      <c r="A151">
        <v>150</v>
      </c>
      <c r="B151" s="1">
        <v>45513</v>
      </c>
      <c r="C151" t="s">
        <v>23</v>
      </c>
      <c r="D151" t="s">
        <v>17</v>
      </c>
      <c r="E151">
        <v>173</v>
      </c>
      <c r="F151">
        <v>42</v>
      </c>
      <c r="G151">
        <v>7.7</v>
      </c>
      <c r="H151" t="s">
        <v>12</v>
      </c>
      <c r="I151" t="s">
        <v>13</v>
      </c>
      <c r="J151" t="s">
        <v>11</v>
      </c>
      <c r="K151">
        <f>_xlfn.XLOOKUP(tbl_analysis_tickets[[#This Row],[priority]],tbl_sla[priority],tbl_sla[Resolution SLA Hours])</f>
        <v>8</v>
      </c>
      <c r="L151">
        <f>_xlfn.XLOOKUP(tbl_analysis_tickets[[#This Row],[priority]],tbl_sla[priority],tbl_sla[First Response SLA Minutes])</f>
        <v>30</v>
      </c>
      <c r="M151" t="str">
        <f>IF(tbl_analysis_tickets[[#This Row],[resolution_time_hours]]&gt;tbl_analysis_tickets[[#This Row],[Resolution SLA Hours]],"Breached","Within SLA")</f>
        <v>Breached</v>
      </c>
      <c r="N151" t="str">
        <f>IF(tbl_analysis_tickets[[#This Row],[first_response_minutes]]&gt;tbl_analysis_tickets[[#This Row],[First Response SLA Minutes]],"Breached","Within SLA")</f>
        <v>Breached</v>
      </c>
      <c r="O151" t="str" cm="1">
        <f t="array" ref="O151">_xlfn.IFS(
tbl_analysis_tickets[[#This Row],[agent_experience_years]]&lt;=2,"Junior",
tbl_analysis_tickets[[#This Row],[agent_experience_years]]&lt;=5,"Mid-Level",
tbl_analysis_tickets[[#This Row],[agent_experience_years]]&lt;=8,"Senior",
tbl_analysis_tickets[[#This Row],[agent_experience_years]]&gt;8,"Expert"
)</f>
        <v>Senior</v>
      </c>
      <c r="P151" cm="1">
        <f t="array" ref="P151">_xlfn.SWITCH(tbl_analysis_tickets[[#This Row],[customer_satisfaction]],
"Low",1,
"Medium",2,
"High",3
)</f>
        <v>1</v>
      </c>
      <c r="Q151">
        <f>IF(tbl_analysis_tickets[[#This Row],[reopened]]="Yes",1,0)</f>
        <v>1</v>
      </c>
      <c r="R151" t="str" cm="1">
        <f t="array" ref="R151">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51" t="str" cm="1">
        <f t="array" ref="S15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51" t="str">
        <f>TEXT(tbl_analysis_tickets[[#This Row],[created_date]],"mmm-yyyy")</f>
        <v>Aug-2024</v>
      </c>
      <c r="U151" t="str">
        <f>TEXT(tbl_analysis_tickets[[#This Row],[created_date]],"dddd")</f>
        <v>Friday</v>
      </c>
      <c r="V151" cm="1">
        <f t="array" ref="V151">_xlfn.SWITCH(tbl_analysis_tickets[[#This Row],[priority]],
"Urgent",1,
"High",2,
"Medium",3,
"Low",4
)</f>
        <v>1</v>
      </c>
    </row>
    <row r="152" spans="1:22" x14ac:dyDescent="0.25">
      <c r="A152">
        <v>151</v>
      </c>
      <c r="B152" s="1">
        <v>45364</v>
      </c>
      <c r="C152" t="s">
        <v>22</v>
      </c>
      <c r="D152" t="s">
        <v>15</v>
      </c>
      <c r="E152">
        <v>116</v>
      </c>
      <c r="F152">
        <v>33</v>
      </c>
      <c r="G152">
        <v>1.9</v>
      </c>
      <c r="H152" t="s">
        <v>18</v>
      </c>
      <c r="I152" t="s">
        <v>19</v>
      </c>
      <c r="J152" t="s">
        <v>11</v>
      </c>
      <c r="K152">
        <f>_xlfn.XLOOKUP(tbl_analysis_tickets[[#This Row],[priority]],tbl_sla[priority],tbl_sla[Resolution SLA Hours])</f>
        <v>48</v>
      </c>
      <c r="L152">
        <f>_xlfn.XLOOKUP(tbl_analysis_tickets[[#This Row],[priority]],tbl_sla[priority],tbl_sla[First Response SLA Minutes])</f>
        <v>120</v>
      </c>
      <c r="M152" t="str">
        <f>IF(tbl_analysis_tickets[[#This Row],[resolution_time_hours]]&gt;tbl_analysis_tickets[[#This Row],[Resolution SLA Hours]],"Breached","Within SLA")</f>
        <v>Within SLA</v>
      </c>
      <c r="N152" t="str">
        <f>IF(tbl_analysis_tickets[[#This Row],[first_response_minutes]]&gt;tbl_analysis_tickets[[#This Row],[First Response SLA Minutes]],"Breached","Within SLA")</f>
        <v>Within SLA</v>
      </c>
      <c r="O152" t="str" cm="1">
        <f t="array" ref="O152">_xlfn.IFS(
tbl_analysis_tickets[[#This Row],[agent_experience_years]]&lt;=2,"Junior",
tbl_analysis_tickets[[#This Row],[agent_experience_years]]&lt;=5,"Mid-Level",
tbl_analysis_tickets[[#This Row],[agent_experience_years]]&lt;=8,"Senior",
tbl_analysis_tickets[[#This Row],[agent_experience_years]]&gt;8,"Expert"
)</f>
        <v>Junior</v>
      </c>
      <c r="P152" cm="1">
        <f t="array" ref="P152">_xlfn.SWITCH(tbl_analysis_tickets[[#This Row],[customer_satisfaction]],
"Low",1,
"Medium",2,
"High",3
)</f>
        <v>1</v>
      </c>
      <c r="Q152">
        <f>IF(tbl_analysis_tickets[[#This Row],[reopened]]="Yes",1,0)</f>
        <v>0</v>
      </c>
      <c r="R152" t="str" cm="1">
        <f t="array" ref="R152">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52" t="str" cm="1">
        <f t="array" ref="S15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52" t="str">
        <f>TEXT(tbl_analysis_tickets[[#This Row],[created_date]],"mmm-yyyy")</f>
        <v>Mar-2024</v>
      </c>
      <c r="U152" t="str">
        <f>TEXT(tbl_analysis_tickets[[#This Row],[created_date]],"dddd")</f>
        <v>Wednesday</v>
      </c>
      <c r="V152" cm="1">
        <f t="array" ref="V152">_xlfn.SWITCH(tbl_analysis_tickets[[#This Row],[priority]],
"Urgent",1,
"High",2,
"Medium",3,
"Low",4
)</f>
        <v>3</v>
      </c>
    </row>
    <row r="153" spans="1:22" x14ac:dyDescent="0.25">
      <c r="A153">
        <v>152</v>
      </c>
      <c r="B153" s="1">
        <v>45543</v>
      </c>
      <c r="C153" t="s">
        <v>10</v>
      </c>
      <c r="D153" t="s">
        <v>20</v>
      </c>
      <c r="E153">
        <v>175</v>
      </c>
      <c r="F153">
        <v>66</v>
      </c>
      <c r="G153">
        <v>5.8</v>
      </c>
      <c r="H153" t="s">
        <v>12</v>
      </c>
      <c r="I153" t="s">
        <v>19</v>
      </c>
      <c r="J153" t="s">
        <v>11</v>
      </c>
      <c r="K153">
        <f>_xlfn.XLOOKUP(tbl_analysis_tickets[[#This Row],[priority]],tbl_sla[priority],tbl_sla[Resolution SLA Hours])</f>
        <v>24</v>
      </c>
      <c r="L153">
        <f>_xlfn.XLOOKUP(tbl_analysis_tickets[[#This Row],[priority]],tbl_sla[priority],tbl_sla[First Response SLA Minutes])</f>
        <v>60</v>
      </c>
      <c r="M153" t="str">
        <f>IF(tbl_analysis_tickets[[#This Row],[resolution_time_hours]]&gt;tbl_analysis_tickets[[#This Row],[Resolution SLA Hours]],"Breached","Within SLA")</f>
        <v>Breached</v>
      </c>
      <c r="N153" t="str">
        <f>IF(tbl_analysis_tickets[[#This Row],[first_response_minutes]]&gt;tbl_analysis_tickets[[#This Row],[First Response SLA Minutes]],"Breached","Within SLA")</f>
        <v>Breached</v>
      </c>
      <c r="O153" t="str" cm="1">
        <f t="array" ref="O153">_xlfn.IFS(
tbl_analysis_tickets[[#This Row],[agent_experience_years]]&lt;=2,"Junior",
tbl_analysis_tickets[[#This Row],[agent_experience_years]]&lt;=5,"Mid-Level",
tbl_analysis_tickets[[#This Row],[agent_experience_years]]&lt;=8,"Senior",
tbl_analysis_tickets[[#This Row],[agent_experience_years]]&gt;8,"Expert"
)</f>
        <v>Senior</v>
      </c>
      <c r="P153" cm="1">
        <f t="array" ref="P153">_xlfn.SWITCH(tbl_analysis_tickets[[#This Row],[customer_satisfaction]],
"Low",1,
"Medium",2,
"High",3
)</f>
        <v>1</v>
      </c>
      <c r="Q153">
        <f>IF(tbl_analysis_tickets[[#This Row],[reopened]]="Yes",1,0)</f>
        <v>1</v>
      </c>
      <c r="R153" t="str" cm="1">
        <f t="array" ref="R153">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53" t="str" cm="1">
        <f t="array" ref="S15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53" t="str">
        <f>TEXT(tbl_analysis_tickets[[#This Row],[created_date]],"mmm-yyyy")</f>
        <v>Sep-2024</v>
      </c>
      <c r="U153" t="str">
        <f>TEXT(tbl_analysis_tickets[[#This Row],[created_date]],"dddd")</f>
        <v>Sunday</v>
      </c>
      <c r="V153" cm="1">
        <f t="array" ref="V153">_xlfn.SWITCH(tbl_analysis_tickets[[#This Row],[priority]],
"Urgent",1,
"High",2,
"Medium",3,
"Low",4
)</f>
        <v>2</v>
      </c>
    </row>
    <row r="154" spans="1:22" x14ac:dyDescent="0.25">
      <c r="A154">
        <v>153</v>
      </c>
      <c r="B154" s="1">
        <v>45365</v>
      </c>
      <c r="C154" t="s">
        <v>22</v>
      </c>
      <c r="D154" t="s">
        <v>11</v>
      </c>
      <c r="E154">
        <v>71</v>
      </c>
      <c r="F154">
        <v>7</v>
      </c>
      <c r="G154">
        <v>2</v>
      </c>
      <c r="H154" t="s">
        <v>12</v>
      </c>
      <c r="I154" t="s">
        <v>19</v>
      </c>
      <c r="J154" t="s">
        <v>11</v>
      </c>
      <c r="K154">
        <f>_xlfn.XLOOKUP(tbl_analysis_tickets[[#This Row],[priority]],tbl_sla[priority],tbl_sla[Resolution SLA Hours])</f>
        <v>72</v>
      </c>
      <c r="L154">
        <f>_xlfn.XLOOKUP(tbl_analysis_tickets[[#This Row],[priority]],tbl_sla[priority],tbl_sla[First Response SLA Minutes])</f>
        <v>240</v>
      </c>
      <c r="M154" t="str">
        <f>IF(tbl_analysis_tickets[[#This Row],[resolution_time_hours]]&gt;tbl_analysis_tickets[[#This Row],[Resolution SLA Hours]],"Breached","Within SLA")</f>
        <v>Within SLA</v>
      </c>
      <c r="N154" t="str">
        <f>IF(tbl_analysis_tickets[[#This Row],[first_response_minutes]]&gt;tbl_analysis_tickets[[#This Row],[First Response SLA Minutes]],"Breached","Within SLA")</f>
        <v>Within SLA</v>
      </c>
      <c r="O154" t="str" cm="1">
        <f t="array" ref="O154">_xlfn.IFS(
tbl_analysis_tickets[[#This Row],[agent_experience_years]]&lt;=2,"Junior",
tbl_analysis_tickets[[#This Row],[agent_experience_years]]&lt;=5,"Mid-Level",
tbl_analysis_tickets[[#This Row],[agent_experience_years]]&lt;=8,"Senior",
tbl_analysis_tickets[[#This Row],[agent_experience_years]]&gt;8,"Expert"
)</f>
        <v>Junior</v>
      </c>
      <c r="P154" cm="1">
        <f t="array" ref="P154">_xlfn.SWITCH(tbl_analysis_tickets[[#This Row],[customer_satisfaction]],
"Low",1,
"Medium",2,
"High",3
)</f>
        <v>1</v>
      </c>
      <c r="Q154">
        <f>IF(tbl_analysis_tickets[[#This Row],[reopened]]="Yes",1,0)</f>
        <v>1</v>
      </c>
      <c r="R154" t="str" cm="1">
        <f t="array" ref="R154">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54" t="str" cm="1">
        <f t="array" ref="S15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154" t="str">
        <f>TEXT(tbl_analysis_tickets[[#This Row],[created_date]],"mmm-yyyy")</f>
        <v>Mar-2024</v>
      </c>
      <c r="U154" t="str">
        <f>TEXT(tbl_analysis_tickets[[#This Row],[created_date]],"dddd")</f>
        <v>Thursday</v>
      </c>
      <c r="V154" cm="1">
        <f t="array" ref="V154">_xlfn.SWITCH(tbl_analysis_tickets[[#This Row],[priority]],
"Urgent",1,
"High",2,
"Medium",3,
"Low",4
)</f>
        <v>4</v>
      </c>
    </row>
    <row r="155" spans="1:22" x14ac:dyDescent="0.25">
      <c r="A155">
        <v>154</v>
      </c>
      <c r="B155" s="1">
        <v>45647</v>
      </c>
      <c r="C155" t="s">
        <v>10</v>
      </c>
      <c r="D155" t="s">
        <v>15</v>
      </c>
      <c r="E155">
        <v>75</v>
      </c>
      <c r="F155">
        <v>29</v>
      </c>
      <c r="G155">
        <v>1.6</v>
      </c>
      <c r="H155" t="s">
        <v>12</v>
      </c>
      <c r="I155" t="s">
        <v>13</v>
      </c>
      <c r="J155" t="s">
        <v>11</v>
      </c>
      <c r="K155">
        <f>_xlfn.XLOOKUP(tbl_analysis_tickets[[#This Row],[priority]],tbl_sla[priority],tbl_sla[Resolution SLA Hours])</f>
        <v>48</v>
      </c>
      <c r="L155">
        <f>_xlfn.XLOOKUP(tbl_analysis_tickets[[#This Row],[priority]],tbl_sla[priority],tbl_sla[First Response SLA Minutes])</f>
        <v>120</v>
      </c>
      <c r="M155" t="str">
        <f>IF(tbl_analysis_tickets[[#This Row],[resolution_time_hours]]&gt;tbl_analysis_tickets[[#This Row],[Resolution SLA Hours]],"Breached","Within SLA")</f>
        <v>Within SLA</v>
      </c>
      <c r="N155" t="str">
        <f>IF(tbl_analysis_tickets[[#This Row],[first_response_minutes]]&gt;tbl_analysis_tickets[[#This Row],[First Response SLA Minutes]],"Breached","Within SLA")</f>
        <v>Within SLA</v>
      </c>
      <c r="O155" t="str" cm="1">
        <f t="array" ref="O155">_xlfn.IFS(
tbl_analysis_tickets[[#This Row],[agent_experience_years]]&lt;=2,"Junior",
tbl_analysis_tickets[[#This Row],[agent_experience_years]]&lt;=5,"Mid-Level",
tbl_analysis_tickets[[#This Row],[agent_experience_years]]&lt;=8,"Senior",
tbl_analysis_tickets[[#This Row],[agent_experience_years]]&gt;8,"Expert"
)</f>
        <v>Junior</v>
      </c>
      <c r="P155" cm="1">
        <f t="array" ref="P155">_xlfn.SWITCH(tbl_analysis_tickets[[#This Row],[customer_satisfaction]],
"Low",1,
"Medium",2,
"High",3
)</f>
        <v>1</v>
      </c>
      <c r="Q155">
        <f>IF(tbl_analysis_tickets[[#This Row],[reopened]]="Yes",1,0)</f>
        <v>1</v>
      </c>
      <c r="R155" t="str" cm="1">
        <f t="array" ref="R155">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55" t="str" cm="1">
        <f t="array" ref="S15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55" t="str">
        <f>TEXT(tbl_analysis_tickets[[#This Row],[created_date]],"mmm-yyyy")</f>
        <v>Dec-2024</v>
      </c>
      <c r="U155" t="str">
        <f>TEXT(tbl_analysis_tickets[[#This Row],[created_date]],"dddd")</f>
        <v>Saturday</v>
      </c>
      <c r="V155" cm="1">
        <f t="array" ref="V155">_xlfn.SWITCH(tbl_analysis_tickets[[#This Row],[priority]],
"Urgent",1,
"High",2,
"Medium",3,
"Low",4
)</f>
        <v>3</v>
      </c>
    </row>
    <row r="156" spans="1:22" x14ac:dyDescent="0.25">
      <c r="A156">
        <v>155</v>
      </c>
      <c r="B156" s="1">
        <v>45448</v>
      </c>
      <c r="C156" t="s">
        <v>23</v>
      </c>
      <c r="D156" t="s">
        <v>11</v>
      </c>
      <c r="E156">
        <v>201</v>
      </c>
      <c r="F156">
        <v>13</v>
      </c>
      <c r="G156">
        <v>9.1999999999999993</v>
      </c>
      <c r="H156" t="s">
        <v>18</v>
      </c>
      <c r="I156" t="s">
        <v>16</v>
      </c>
      <c r="J156" t="s">
        <v>15</v>
      </c>
      <c r="K156">
        <f>_xlfn.XLOOKUP(tbl_analysis_tickets[[#This Row],[priority]],tbl_sla[priority],tbl_sla[Resolution SLA Hours])</f>
        <v>72</v>
      </c>
      <c r="L156">
        <f>_xlfn.XLOOKUP(tbl_analysis_tickets[[#This Row],[priority]],tbl_sla[priority],tbl_sla[First Response SLA Minutes])</f>
        <v>240</v>
      </c>
      <c r="M156" t="str">
        <f>IF(tbl_analysis_tickets[[#This Row],[resolution_time_hours]]&gt;tbl_analysis_tickets[[#This Row],[Resolution SLA Hours]],"Breached","Within SLA")</f>
        <v>Within SLA</v>
      </c>
      <c r="N156" t="str">
        <f>IF(tbl_analysis_tickets[[#This Row],[first_response_minutes]]&gt;tbl_analysis_tickets[[#This Row],[First Response SLA Minutes]],"Breached","Within SLA")</f>
        <v>Within SLA</v>
      </c>
      <c r="O156" t="str" cm="1">
        <f t="array" ref="O156">_xlfn.IFS(
tbl_analysis_tickets[[#This Row],[agent_experience_years]]&lt;=2,"Junior",
tbl_analysis_tickets[[#This Row],[agent_experience_years]]&lt;=5,"Mid-Level",
tbl_analysis_tickets[[#This Row],[agent_experience_years]]&lt;=8,"Senior",
tbl_analysis_tickets[[#This Row],[agent_experience_years]]&gt;8,"Expert"
)</f>
        <v>Expert</v>
      </c>
      <c r="P156" cm="1">
        <f t="array" ref="P156">_xlfn.SWITCH(tbl_analysis_tickets[[#This Row],[customer_satisfaction]],
"Low",1,
"Medium",2,
"High",3
)</f>
        <v>2</v>
      </c>
      <c r="Q156">
        <f>IF(tbl_analysis_tickets[[#This Row],[reopened]]="Yes",1,0)</f>
        <v>0</v>
      </c>
      <c r="R156" t="str" cm="1">
        <f t="array" ref="R156">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56" t="str" cm="1">
        <f t="array" ref="S15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56" t="str">
        <f>TEXT(tbl_analysis_tickets[[#This Row],[created_date]],"mmm-yyyy")</f>
        <v>Jun-2024</v>
      </c>
      <c r="U156" t="str">
        <f>TEXT(tbl_analysis_tickets[[#This Row],[created_date]],"dddd")</f>
        <v>Wednesday</v>
      </c>
      <c r="V156" cm="1">
        <f t="array" ref="V156">_xlfn.SWITCH(tbl_analysis_tickets[[#This Row],[priority]],
"Urgent",1,
"High",2,
"Medium",3,
"Low",4
)</f>
        <v>4</v>
      </c>
    </row>
    <row r="157" spans="1:22" x14ac:dyDescent="0.25">
      <c r="A157">
        <v>156</v>
      </c>
      <c r="B157" s="1">
        <v>45302</v>
      </c>
      <c r="C157" t="s">
        <v>22</v>
      </c>
      <c r="D157" t="s">
        <v>17</v>
      </c>
      <c r="E157">
        <v>85</v>
      </c>
      <c r="F157">
        <v>37</v>
      </c>
      <c r="G157">
        <v>4.7</v>
      </c>
      <c r="H157" t="s">
        <v>18</v>
      </c>
      <c r="I157" t="s">
        <v>16</v>
      </c>
      <c r="J157" t="s">
        <v>11</v>
      </c>
      <c r="K157">
        <f>_xlfn.XLOOKUP(tbl_analysis_tickets[[#This Row],[priority]],tbl_sla[priority],tbl_sla[Resolution SLA Hours])</f>
        <v>8</v>
      </c>
      <c r="L157">
        <f>_xlfn.XLOOKUP(tbl_analysis_tickets[[#This Row],[priority]],tbl_sla[priority],tbl_sla[First Response SLA Minutes])</f>
        <v>30</v>
      </c>
      <c r="M157" t="str">
        <f>IF(tbl_analysis_tickets[[#This Row],[resolution_time_hours]]&gt;tbl_analysis_tickets[[#This Row],[Resolution SLA Hours]],"Breached","Within SLA")</f>
        <v>Breached</v>
      </c>
      <c r="N157" t="str">
        <f>IF(tbl_analysis_tickets[[#This Row],[first_response_minutes]]&gt;tbl_analysis_tickets[[#This Row],[First Response SLA Minutes]],"Breached","Within SLA")</f>
        <v>Breached</v>
      </c>
      <c r="O157" t="str" cm="1">
        <f t="array" ref="O157">_xlfn.IFS(
tbl_analysis_tickets[[#This Row],[agent_experience_years]]&lt;=2,"Junior",
tbl_analysis_tickets[[#This Row],[agent_experience_years]]&lt;=5,"Mid-Level",
tbl_analysis_tickets[[#This Row],[agent_experience_years]]&lt;=8,"Senior",
tbl_analysis_tickets[[#This Row],[agent_experience_years]]&gt;8,"Expert"
)</f>
        <v>Mid-Level</v>
      </c>
      <c r="P157" cm="1">
        <f t="array" ref="P157">_xlfn.SWITCH(tbl_analysis_tickets[[#This Row],[customer_satisfaction]],
"Low",1,
"Medium",2,
"High",3
)</f>
        <v>1</v>
      </c>
      <c r="Q157">
        <f>IF(tbl_analysis_tickets[[#This Row],[reopened]]="Yes",1,0)</f>
        <v>0</v>
      </c>
      <c r="R157" t="str" cm="1">
        <f t="array" ref="R157">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57" t="str" cm="1">
        <f t="array" ref="S15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57" t="str">
        <f>TEXT(tbl_analysis_tickets[[#This Row],[created_date]],"mmm-yyyy")</f>
        <v>Jan-2024</v>
      </c>
      <c r="U157" t="str">
        <f>TEXT(tbl_analysis_tickets[[#This Row],[created_date]],"dddd")</f>
        <v>Thursday</v>
      </c>
      <c r="V157" cm="1">
        <f t="array" ref="V157">_xlfn.SWITCH(tbl_analysis_tickets[[#This Row],[priority]],
"Urgent",1,
"High",2,
"Medium",3,
"Low",4
)</f>
        <v>1</v>
      </c>
    </row>
    <row r="158" spans="1:22" x14ac:dyDescent="0.25">
      <c r="A158">
        <v>157</v>
      </c>
      <c r="B158" s="1">
        <v>45603</v>
      </c>
      <c r="C158" t="s">
        <v>14</v>
      </c>
      <c r="D158" t="s">
        <v>15</v>
      </c>
      <c r="E158">
        <v>175</v>
      </c>
      <c r="F158">
        <v>27</v>
      </c>
      <c r="G158">
        <v>1.2</v>
      </c>
      <c r="H158" t="s">
        <v>12</v>
      </c>
      <c r="I158" t="s">
        <v>13</v>
      </c>
      <c r="J158" t="s">
        <v>11</v>
      </c>
      <c r="K158">
        <f>_xlfn.XLOOKUP(tbl_analysis_tickets[[#This Row],[priority]],tbl_sla[priority],tbl_sla[Resolution SLA Hours])</f>
        <v>48</v>
      </c>
      <c r="L158">
        <f>_xlfn.XLOOKUP(tbl_analysis_tickets[[#This Row],[priority]],tbl_sla[priority],tbl_sla[First Response SLA Minutes])</f>
        <v>120</v>
      </c>
      <c r="M158" t="str">
        <f>IF(tbl_analysis_tickets[[#This Row],[resolution_time_hours]]&gt;tbl_analysis_tickets[[#This Row],[Resolution SLA Hours]],"Breached","Within SLA")</f>
        <v>Within SLA</v>
      </c>
      <c r="N158" t="str">
        <f>IF(tbl_analysis_tickets[[#This Row],[first_response_minutes]]&gt;tbl_analysis_tickets[[#This Row],[First Response SLA Minutes]],"Breached","Within SLA")</f>
        <v>Breached</v>
      </c>
      <c r="O158" t="str" cm="1">
        <f t="array" ref="O158">_xlfn.IFS(
tbl_analysis_tickets[[#This Row],[agent_experience_years]]&lt;=2,"Junior",
tbl_analysis_tickets[[#This Row],[agent_experience_years]]&lt;=5,"Mid-Level",
tbl_analysis_tickets[[#This Row],[agent_experience_years]]&lt;=8,"Senior",
tbl_analysis_tickets[[#This Row],[agent_experience_years]]&gt;8,"Expert"
)</f>
        <v>Junior</v>
      </c>
      <c r="P158" cm="1">
        <f t="array" ref="P158">_xlfn.SWITCH(tbl_analysis_tickets[[#This Row],[customer_satisfaction]],
"Low",1,
"Medium",2,
"High",3
)</f>
        <v>1</v>
      </c>
      <c r="Q158">
        <f>IF(tbl_analysis_tickets[[#This Row],[reopened]]="Yes",1,0)</f>
        <v>1</v>
      </c>
      <c r="R158" t="str" cm="1">
        <f t="array" ref="R158">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58" t="str" cm="1">
        <f t="array" ref="S15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58" t="str">
        <f>TEXT(tbl_analysis_tickets[[#This Row],[created_date]],"mmm-yyyy")</f>
        <v>Nov-2024</v>
      </c>
      <c r="U158" t="str">
        <f>TEXT(tbl_analysis_tickets[[#This Row],[created_date]],"dddd")</f>
        <v>Thursday</v>
      </c>
      <c r="V158" cm="1">
        <f t="array" ref="V158">_xlfn.SWITCH(tbl_analysis_tickets[[#This Row],[priority]],
"Urgent",1,
"High",2,
"Medium",3,
"Low",4
)</f>
        <v>3</v>
      </c>
    </row>
    <row r="159" spans="1:22" x14ac:dyDescent="0.25">
      <c r="A159">
        <v>158</v>
      </c>
      <c r="B159" s="1">
        <v>45638</v>
      </c>
      <c r="C159" t="s">
        <v>22</v>
      </c>
      <c r="D159" t="s">
        <v>20</v>
      </c>
      <c r="E159">
        <v>139</v>
      </c>
      <c r="F159">
        <v>45</v>
      </c>
      <c r="G159">
        <v>6.7</v>
      </c>
      <c r="H159" t="s">
        <v>12</v>
      </c>
      <c r="I159" t="s">
        <v>16</v>
      </c>
      <c r="J159" t="s">
        <v>11</v>
      </c>
      <c r="K159">
        <f>_xlfn.XLOOKUP(tbl_analysis_tickets[[#This Row],[priority]],tbl_sla[priority],tbl_sla[Resolution SLA Hours])</f>
        <v>24</v>
      </c>
      <c r="L159">
        <f>_xlfn.XLOOKUP(tbl_analysis_tickets[[#This Row],[priority]],tbl_sla[priority],tbl_sla[First Response SLA Minutes])</f>
        <v>60</v>
      </c>
      <c r="M159" t="str">
        <f>IF(tbl_analysis_tickets[[#This Row],[resolution_time_hours]]&gt;tbl_analysis_tickets[[#This Row],[Resolution SLA Hours]],"Breached","Within SLA")</f>
        <v>Breached</v>
      </c>
      <c r="N159" t="str">
        <f>IF(tbl_analysis_tickets[[#This Row],[first_response_minutes]]&gt;tbl_analysis_tickets[[#This Row],[First Response SLA Minutes]],"Breached","Within SLA")</f>
        <v>Breached</v>
      </c>
      <c r="O159" t="str" cm="1">
        <f t="array" ref="O159">_xlfn.IFS(
tbl_analysis_tickets[[#This Row],[agent_experience_years]]&lt;=2,"Junior",
tbl_analysis_tickets[[#This Row],[agent_experience_years]]&lt;=5,"Mid-Level",
tbl_analysis_tickets[[#This Row],[agent_experience_years]]&lt;=8,"Senior",
tbl_analysis_tickets[[#This Row],[agent_experience_years]]&gt;8,"Expert"
)</f>
        <v>Senior</v>
      </c>
      <c r="P159" cm="1">
        <f t="array" ref="P159">_xlfn.SWITCH(tbl_analysis_tickets[[#This Row],[customer_satisfaction]],
"Low",1,
"Medium",2,
"High",3
)</f>
        <v>1</v>
      </c>
      <c r="Q159">
        <f>IF(tbl_analysis_tickets[[#This Row],[reopened]]="Yes",1,0)</f>
        <v>1</v>
      </c>
      <c r="R159" t="str" cm="1">
        <f t="array" ref="R159">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59" t="str" cm="1">
        <f t="array" ref="S15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59" t="str">
        <f>TEXT(tbl_analysis_tickets[[#This Row],[created_date]],"mmm-yyyy")</f>
        <v>Dec-2024</v>
      </c>
      <c r="U159" t="str">
        <f>TEXT(tbl_analysis_tickets[[#This Row],[created_date]],"dddd")</f>
        <v>Thursday</v>
      </c>
      <c r="V159" cm="1">
        <f t="array" ref="V159">_xlfn.SWITCH(tbl_analysis_tickets[[#This Row],[priority]],
"Urgent",1,
"High",2,
"Medium",3,
"Low",4
)</f>
        <v>2</v>
      </c>
    </row>
    <row r="160" spans="1:22" x14ac:dyDescent="0.25">
      <c r="A160">
        <v>159</v>
      </c>
      <c r="B160" s="1">
        <v>45637</v>
      </c>
      <c r="C160" t="s">
        <v>10</v>
      </c>
      <c r="D160" t="s">
        <v>15</v>
      </c>
      <c r="E160">
        <v>106</v>
      </c>
      <c r="F160">
        <v>33</v>
      </c>
      <c r="G160">
        <v>5.0999999999999996</v>
      </c>
      <c r="H160" t="s">
        <v>18</v>
      </c>
      <c r="I160" t="s">
        <v>13</v>
      </c>
      <c r="J160" t="s">
        <v>15</v>
      </c>
      <c r="K160">
        <f>_xlfn.XLOOKUP(tbl_analysis_tickets[[#This Row],[priority]],tbl_sla[priority],tbl_sla[Resolution SLA Hours])</f>
        <v>48</v>
      </c>
      <c r="L160">
        <f>_xlfn.XLOOKUP(tbl_analysis_tickets[[#This Row],[priority]],tbl_sla[priority],tbl_sla[First Response SLA Minutes])</f>
        <v>120</v>
      </c>
      <c r="M160" t="str">
        <f>IF(tbl_analysis_tickets[[#This Row],[resolution_time_hours]]&gt;tbl_analysis_tickets[[#This Row],[Resolution SLA Hours]],"Breached","Within SLA")</f>
        <v>Within SLA</v>
      </c>
      <c r="N160" t="str">
        <f>IF(tbl_analysis_tickets[[#This Row],[first_response_minutes]]&gt;tbl_analysis_tickets[[#This Row],[First Response SLA Minutes]],"Breached","Within SLA")</f>
        <v>Within SLA</v>
      </c>
      <c r="O160" t="str" cm="1">
        <f t="array" ref="O160">_xlfn.IFS(
tbl_analysis_tickets[[#This Row],[agent_experience_years]]&lt;=2,"Junior",
tbl_analysis_tickets[[#This Row],[agent_experience_years]]&lt;=5,"Mid-Level",
tbl_analysis_tickets[[#This Row],[agent_experience_years]]&lt;=8,"Senior",
tbl_analysis_tickets[[#This Row],[agent_experience_years]]&gt;8,"Expert"
)</f>
        <v>Senior</v>
      </c>
      <c r="P160" cm="1">
        <f t="array" ref="P160">_xlfn.SWITCH(tbl_analysis_tickets[[#This Row],[customer_satisfaction]],
"Low",1,
"Medium",2,
"High",3
)</f>
        <v>2</v>
      </c>
      <c r="Q160">
        <f>IF(tbl_analysis_tickets[[#This Row],[reopened]]="Yes",1,0)</f>
        <v>0</v>
      </c>
      <c r="R160" t="str" cm="1">
        <f t="array" ref="R160">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60" t="str" cm="1">
        <f t="array" ref="S16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60" t="str">
        <f>TEXT(tbl_analysis_tickets[[#This Row],[created_date]],"mmm-yyyy")</f>
        <v>Dec-2024</v>
      </c>
      <c r="U160" t="str">
        <f>TEXT(tbl_analysis_tickets[[#This Row],[created_date]],"dddd")</f>
        <v>Wednesday</v>
      </c>
      <c r="V160" cm="1">
        <f t="array" ref="V160">_xlfn.SWITCH(tbl_analysis_tickets[[#This Row],[priority]],
"Urgent",1,
"High",2,
"Medium",3,
"Low",4
)</f>
        <v>3</v>
      </c>
    </row>
    <row r="161" spans="1:22" x14ac:dyDescent="0.25">
      <c r="A161">
        <v>160</v>
      </c>
      <c r="B161" s="1">
        <v>45567</v>
      </c>
      <c r="C161" t="s">
        <v>10</v>
      </c>
      <c r="D161" t="s">
        <v>17</v>
      </c>
      <c r="E161">
        <v>87</v>
      </c>
      <c r="F161">
        <v>72</v>
      </c>
      <c r="G161">
        <v>8.4</v>
      </c>
      <c r="H161" t="s">
        <v>18</v>
      </c>
      <c r="I161" t="s">
        <v>16</v>
      </c>
      <c r="J161" t="s">
        <v>11</v>
      </c>
      <c r="K161">
        <f>_xlfn.XLOOKUP(tbl_analysis_tickets[[#This Row],[priority]],tbl_sla[priority],tbl_sla[Resolution SLA Hours])</f>
        <v>8</v>
      </c>
      <c r="L161">
        <f>_xlfn.XLOOKUP(tbl_analysis_tickets[[#This Row],[priority]],tbl_sla[priority],tbl_sla[First Response SLA Minutes])</f>
        <v>30</v>
      </c>
      <c r="M161" t="str">
        <f>IF(tbl_analysis_tickets[[#This Row],[resolution_time_hours]]&gt;tbl_analysis_tickets[[#This Row],[Resolution SLA Hours]],"Breached","Within SLA")</f>
        <v>Breached</v>
      </c>
      <c r="N161" t="str">
        <f>IF(tbl_analysis_tickets[[#This Row],[first_response_minutes]]&gt;tbl_analysis_tickets[[#This Row],[First Response SLA Minutes]],"Breached","Within SLA")</f>
        <v>Breached</v>
      </c>
      <c r="O161" t="str" cm="1">
        <f t="array" ref="O161">_xlfn.IFS(
tbl_analysis_tickets[[#This Row],[agent_experience_years]]&lt;=2,"Junior",
tbl_analysis_tickets[[#This Row],[agent_experience_years]]&lt;=5,"Mid-Level",
tbl_analysis_tickets[[#This Row],[agent_experience_years]]&lt;=8,"Senior",
tbl_analysis_tickets[[#This Row],[agent_experience_years]]&gt;8,"Expert"
)</f>
        <v>Expert</v>
      </c>
      <c r="P161" cm="1">
        <f t="array" ref="P161">_xlfn.SWITCH(tbl_analysis_tickets[[#This Row],[customer_satisfaction]],
"Low",1,
"Medium",2,
"High",3
)</f>
        <v>1</v>
      </c>
      <c r="Q161">
        <f>IF(tbl_analysis_tickets[[#This Row],[reopened]]="Yes",1,0)</f>
        <v>0</v>
      </c>
      <c r="R161" t="str" cm="1">
        <f t="array" ref="R161">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61" t="str" cm="1">
        <f t="array" ref="S16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61" t="str">
        <f>TEXT(tbl_analysis_tickets[[#This Row],[created_date]],"mmm-yyyy")</f>
        <v>Oct-2024</v>
      </c>
      <c r="U161" t="str">
        <f>TEXT(tbl_analysis_tickets[[#This Row],[created_date]],"dddd")</f>
        <v>Wednesday</v>
      </c>
      <c r="V161" cm="1">
        <f t="array" ref="V161">_xlfn.SWITCH(tbl_analysis_tickets[[#This Row],[priority]],
"Urgent",1,
"High",2,
"Medium",3,
"Low",4
)</f>
        <v>1</v>
      </c>
    </row>
    <row r="162" spans="1:22" x14ac:dyDescent="0.25">
      <c r="A162">
        <v>161</v>
      </c>
      <c r="B162" s="1">
        <v>45521</v>
      </c>
      <c r="C162" t="s">
        <v>21</v>
      </c>
      <c r="D162" t="s">
        <v>11</v>
      </c>
      <c r="E162">
        <v>198</v>
      </c>
      <c r="F162">
        <v>63</v>
      </c>
      <c r="G162">
        <v>4.9000000000000004</v>
      </c>
      <c r="H162" t="s">
        <v>12</v>
      </c>
      <c r="I162" t="s">
        <v>16</v>
      </c>
      <c r="J162" t="s">
        <v>11</v>
      </c>
      <c r="K162">
        <f>_xlfn.XLOOKUP(tbl_analysis_tickets[[#This Row],[priority]],tbl_sla[priority],tbl_sla[Resolution SLA Hours])</f>
        <v>72</v>
      </c>
      <c r="L162">
        <f>_xlfn.XLOOKUP(tbl_analysis_tickets[[#This Row],[priority]],tbl_sla[priority],tbl_sla[First Response SLA Minutes])</f>
        <v>240</v>
      </c>
      <c r="M162" t="str">
        <f>IF(tbl_analysis_tickets[[#This Row],[resolution_time_hours]]&gt;tbl_analysis_tickets[[#This Row],[Resolution SLA Hours]],"Breached","Within SLA")</f>
        <v>Within SLA</v>
      </c>
      <c r="N162" t="str">
        <f>IF(tbl_analysis_tickets[[#This Row],[first_response_minutes]]&gt;tbl_analysis_tickets[[#This Row],[First Response SLA Minutes]],"Breached","Within SLA")</f>
        <v>Within SLA</v>
      </c>
      <c r="O162" t="str" cm="1">
        <f t="array" ref="O162">_xlfn.IFS(
tbl_analysis_tickets[[#This Row],[agent_experience_years]]&lt;=2,"Junior",
tbl_analysis_tickets[[#This Row],[agent_experience_years]]&lt;=5,"Mid-Level",
tbl_analysis_tickets[[#This Row],[agent_experience_years]]&lt;=8,"Senior",
tbl_analysis_tickets[[#This Row],[agent_experience_years]]&gt;8,"Expert"
)</f>
        <v>Mid-Level</v>
      </c>
      <c r="P162" cm="1">
        <f t="array" ref="P162">_xlfn.SWITCH(tbl_analysis_tickets[[#This Row],[customer_satisfaction]],
"Low",1,
"Medium",2,
"High",3
)</f>
        <v>1</v>
      </c>
      <c r="Q162">
        <f>IF(tbl_analysis_tickets[[#This Row],[reopened]]="Yes",1,0)</f>
        <v>1</v>
      </c>
      <c r="R162" t="str" cm="1">
        <f t="array" ref="R162">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62" t="str" cm="1">
        <f t="array" ref="S16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62" t="str">
        <f>TEXT(tbl_analysis_tickets[[#This Row],[created_date]],"mmm-yyyy")</f>
        <v>Aug-2024</v>
      </c>
      <c r="U162" t="str">
        <f>TEXT(tbl_analysis_tickets[[#This Row],[created_date]],"dddd")</f>
        <v>Saturday</v>
      </c>
      <c r="V162" cm="1">
        <f t="array" ref="V162">_xlfn.SWITCH(tbl_analysis_tickets[[#This Row],[priority]],
"Urgent",1,
"High",2,
"Medium",3,
"Low",4
)</f>
        <v>4</v>
      </c>
    </row>
    <row r="163" spans="1:22" x14ac:dyDescent="0.25">
      <c r="A163">
        <v>162</v>
      </c>
      <c r="B163" s="1">
        <v>45569</v>
      </c>
      <c r="C163" t="s">
        <v>21</v>
      </c>
      <c r="D163" t="s">
        <v>17</v>
      </c>
      <c r="E163">
        <v>156</v>
      </c>
      <c r="F163">
        <v>22</v>
      </c>
      <c r="G163">
        <v>1.2</v>
      </c>
      <c r="H163" t="s">
        <v>12</v>
      </c>
      <c r="I163" t="s">
        <v>19</v>
      </c>
      <c r="J163" t="s">
        <v>11</v>
      </c>
      <c r="K163">
        <f>_xlfn.XLOOKUP(tbl_analysis_tickets[[#This Row],[priority]],tbl_sla[priority],tbl_sla[Resolution SLA Hours])</f>
        <v>8</v>
      </c>
      <c r="L163">
        <f>_xlfn.XLOOKUP(tbl_analysis_tickets[[#This Row],[priority]],tbl_sla[priority],tbl_sla[First Response SLA Minutes])</f>
        <v>30</v>
      </c>
      <c r="M163" t="str">
        <f>IF(tbl_analysis_tickets[[#This Row],[resolution_time_hours]]&gt;tbl_analysis_tickets[[#This Row],[Resolution SLA Hours]],"Breached","Within SLA")</f>
        <v>Breached</v>
      </c>
      <c r="N163" t="str">
        <f>IF(tbl_analysis_tickets[[#This Row],[first_response_minutes]]&gt;tbl_analysis_tickets[[#This Row],[First Response SLA Minutes]],"Breached","Within SLA")</f>
        <v>Breached</v>
      </c>
      <c r="O163" t="str" cm="1">
        <f t="array" ref="O163">_xlfn.IFS(
tbl_analysis_tickets[[#This Row],[agent_experience_years]]&lt;=2,"Junior",
tbl_analysis_tickets[[#This Row],[agent_experience_years]]&lt;=5,"Mid-Level",
tbl_analysis_tickets[[#This Row],[agent_experience_years]]&lt;=8,"Senior",
tbl_analysis_tickets[[#This Row],[agent_experience_years]]&gt;8,"Expert"
)</f>
        <v>Junior</v>
      </c>
      <c r="P163" cm="1">
        <f t="array" ref="P163">_xlfn.SWITCH(tbl_analysis_tickets[[#This Row],[customer_satisfaction]],
"Low",1,
"Medium",2,
"High",3
)</f>
        <v>1</v>
      </c>
      <c r="Q163">
        <f>IF(tbl_analysis_tickets[[#This Row],[reopened]]="Yes",1,0)</f>
        <v>1</v>
      </c>
      <c r="R163" t="str" cm="1">
        <f t="array" ref="R163">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63" t="str" cm="1">
        <f t="array" ref="S16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63" t="str">
        <f>TEXT(tbl_analysis_tickets[[#This Row],[created_date]],"mmm-yyyy")</f>
        <v>Oct-2024</v>
      </c>
      <c r="U163" t="str">
        <f>TEXT(tbl_analysis_tickets[[#This Row],[created_date]],"dddd")</f>
        <v>Friday</v>
      </c>
      <c r="V163" cm="1">
        <f t="array" ref="V163">_xlfn.SWITCH(tbl_analysis_tickets[[#This Row],[priority]],
"Urgent",1,
"High",2,
"Medium",3,
"Low",4
)</f>
        <v>1</v>
      </c>
    </row>
    <row r="164" spans="1:22" x14ac:dyDescent="0.25">
      <c r="A164">
        <v>163</v>
      </c>
      <c r="B164" s="1">
        <v>45656</v>
      </c>
      <c r="C164" t="s">
        <v>23</v>
      </c>
      <c r="D164" t="s">
        <v>15</v>
      </c>
      <c r="E164">
        <v>160</v>
      </c>
      <c r="F164">
        <v>48</v>
      </c>
      <c r="G164">
        <v>6.3</v>
      </c>
      <c r="H164" t="s">
        <v>12</v>
      </c>
      <c r="I164" t="s">
        <v>19</v>
      </c>
      <c r="J164" t="s">
        <v>11</v>
      </c>
      <c r="K164">
        <f>_xlfn.XLOOKUP(tbl_analysis_tickets[[#This Row],[priority]],tbl_sla[priority],tbl_sla[Resolution SLA Hours])</f>
        <v>48</v>
      </c>
      <c r="L164">
        <f>_xlfn.XLOOKUP(tbl_analysis_tickets[[#This Row],[priority]],tbl_sla[priority],tbl_sla[First Response SLA Minutes])</f>
        <v>120</v>
      </c>
      <c r="M164" t="str">
        <f>IF(tbl_analysis_tickets[[#This Row],[resolution_time_hours]]&gt;tbl_analysis_tickets[[#This Row],[Resolution SLA Hours]],"Breached","Within SLA")</f>
        <v>Within SLA</v>
      </c>
      <c r="N164" t="str">
        <f>IF(tbl_analysis_tickets[[#This Row],[first_response_minutes]]&gt;tbl_analysis_tickets[[#This Row],[First Response SLA Minutes]],"Breached","Within SLA")</f>
        <v>Breached</v>
      </c>
      <c r="O164" t="str" cm="1">
        <f t="array" ref="O164">_xlfn.IFS(
tbl_analysis_tickets[[#This Row],[agent_experience_years]]&lt;=2,"Junior",
tbl_analysis_tickets[[#This Row],[agent_experience_years]]&lt;=5,"Mid-Level",
tbl_analysis_tickets[[#This Row],[agent_experience_years]]&lt;=8,"Senior",
tbl_analysis_tickets[[#This Row],[agent_experience_years]]&gt;8,"Expert"
)</f>
        <v>Senior</v>
      </c>
      <c r="P164" cm="1">
        <f t="array" ref="P164">_xlfn.SWITCH(tbl_analysis_tickets[[#This Row],[customer_satisfaction]],
"Low",1,
"Medium",2,
"High",3
)</f>
        <v>1</v>
      </c>
      <c r="Q164">
        <f>IF(tbl_analysis_tickets[[#This Row],[reopened]]="Yes",1,0)</f>
        <v>1</v>
      </c>
      <c r="R164" t="str" cm="1">
        <f t="array" ref="R164">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64" t="str" cm="1">
        <f t="array" ref="S16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64" t="str">
        <f>TEXT(tbl_analysis_tickets[[#This Row],[created_date]],"mmm-yyyy")</f>
        <v>Dec-2024</v>
      </c>
      <c r="U164" t="str">
        <f>TEXT(tbl_analysis_tickets[[#This Row],[created_date]],"dddd")</f>
        <v>Monday</v>
      </c>
      <c r="V164" cm="1">
        <f t="array" ref="V164">_xlfn.SWITCH(tbl_analysis_tickets[[#This Row],[priority]],
"Urgent",1,
"High",2,
"Medium",3,
"Low",4
)</f>
        <v>3</v>
      </c>
    </row>
    <row r="165" spans="1:22" x14ac:dyDescent="0.25">
      <c r="A165">
        <v>164</v>
      </c>
      <c r="B165" s="1">
        <v>45620</v>
      </c>
      <c r="C165" t="s">
        <v>23</v>
      </c>
      <c r="D165" t="s">
        <v>17</v>
      </c>
      <c r="E165">
        <v>66</v>
      </c>
      <c r="F165">
        <v>19</v>
      </c>
      <c r="G165">
        <v>7.2</v>
      </c>
      <c r="H165" t="s">
        <v>18</v>
      </c>
      <c r="I165" t="s">
        <v>19</v>
      </c>
      <c r="J165" t="s">
        <v>11</v>
      </c>
      <c r="K165">
        <f>_xlfn.XLOOKUP(tbl_analysis_tickets[[#This Row],[priority]],tbl_sla[priority],tbl_sla[Resolution SLA Hours])</f>
        <v>8</v>
      </c>
      <c r="L165">
        <f>_xlfn.XLOOKUP(tbl_analysis_tickets[[#This Row],[priority]],tbl_sla[priority],tbl_sla[First Response SLA Minutes])</f>
        <v>30</v>
      </c>
      <c r="M165" t="str">
        <f>IF(tbl_analysis_tickets[[#This Row],[resolution_time_hours]]&gt;tbl_analysis_tickets[[#This Row],[Resolution SLA Hours]],"Breached","Within SLA")</f>
        <v>Breached</v>
      </c>
      <c r="N165" t="str">
        <f>IF(tbl_analysis_tickets[[#This Row],[first_response_minutes]]&gt;tbl_analysis_tickets[[#This Row],[First Response SLA Minutes]],"Breached","Within SLA")</f>
        <v>Breached</v>
      </c>
      <c r="O165" t="str" cm="1">
        <f t="array" ref="O165">_xlfn.IFS(
tbl_analysis_tickets[[#This Row],[agent_experience_years]]&lt;=2,"Junior",
tbl_analysis_tickets[[#This Row],[agent_experience_years]]&lt;=5,"Mid-Level",
tbl_analysis_tickets[[#This Row],[agent_experience_years]]&lt;=8,"Senior",
tbl_analysis_tickets[[#This Row],[agent_experience_years]]&gt;8,"Expert"
)</f>
        <v>Senior</v>
      </c>
      <c r="P165" cm="1">
        <f t="array" ref="P165">_xlfn.SWITCH(tbl_analysis_tickets[[#This Row],[customer_satisfaction]],
"Low",1,
"Medium",2,
"High",3
)</f>
        <v>1</v>
      </c>
      <c r="Q165">
        <f>IF(tbl_analysis_tickets[[#This Row],[reopened]]="Yes",1,0)</f>
        <v>0</v>
      </c>
      <c r="R165" t="str" cm="1">
        <f t="array" ref="R165">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65" t="str" cm="1">
        <f t="array" ref="S16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65" t="str">
        <f>TEXT(tbl_analysis_tickets[[#This Row],[created_date]],"mmm-yyyy")</f>
        <v>Nov-2024</v>
      </c>
      <c r="U165" t="str">
        <f>TEXT(tbl_analysis_tickets[[#This Row],[created_date]],"dddd")</f>
        <v>Sunday</v>
      </c>
      <c r="V165" cm="1">
        <f t="array" ref="V165">_xlfn.SWITCH(tbl_analysis_tickets[[#This Row],[priority]],
"Urgent",1,
"High",2,
"Medium",3,
"Low",4
)</f>
        <v>1</v>
      </c>
    </row>
    <row r="166" spans="1:22" x14ac:dyDescent="0.25">
      <c r="A166">
        <v>165</v>
      </c>
      <c r="B166" s="1">
        <v>45360</v>
      </c>
      <c r="C166" t="s">
        <v>22</v>
      </c>
      <c r="D166" t="s">
        <v>15</v>
      </c>
      <c r="E166">
        <v>131</v>
      </c>
      <c r="F166">
        <v>13</v>
      </c>
      <c r="G166">
        <v>1</v>
      </c>
      <c r="H166" t="s">
        <v>12</v>
      </c>
      <c r="I166" t="s">
        <v>16</v>
      </c>
      <c r="J166" t="s">
        <v>11</v>
      </c>
      <c r="K166">
        <f>_xlfn.XLOOKUP(tbl_analysis_tickets[[#This Row],[priority]],tbl_sla[priority],tbl_sla[Resolution SLA Hours])</f>
        <v>48</v>
      </c>
      <c r="L166">
        <f>_xlfn.XLOOKUP(tbl_analysis_tickets[[#This Row],[priority]],tbl_sla[priority],tbl_sla[First Response SLA Minutes])</f>
        <v>120</v>
      </c>
      <c r="M166" t="str">
        <f>IF(tbl_analysis_tickets[[#This Row],[resolution_time_hours]]&gt;tbl_analysis_tickets[[#This Row],[Resolution SLA Hours]],"Breached","Within SLA")</f>
        <v>Within SLA</v>
      </c>
      <c r="N166" t="str">
        <f>IF(tbl_analysis_tickets[[#This Row],[first_response_minutes]]&gt;tbl_analysis_tickets[[#This Row],[First Response SLA Minutes]],"Breached","Within SLA")</f>
        <v>Breached</v>
      </c>
      <c r="O166" t="str" cm="1">
        <f t="array" ref="O166">_xlfn.IFS(
tbl_analysis_tickets[[#This Row],[agent_experience_years]]&lt;=2,"Junior",
tbl_analysis_tickets[[#This Row],[agent_experience_years]]&lt;=5,"Mid-Level",
tbl_analysis_tickets[[#This Row],[agent_experience_years]]&lt;=8,"Senior",
tbl_analysis_tickets[[#This Row],[agent_experience_years]]&gt;8,"Expert"
)</f>
        <v>Junior</v>
      </c>
      <c r="P166" cm="1">
        <f t="array" ref="P166">_xlfn.SWITCH(tbl_analysis_tickets[[#This Row],[customer_satisfaction]],
"Low",1,
"Medium",2,
"High",3
)</f>
        <v>1</v>
      </c>
      <c r="Q166">
        <f>IF(tbl_analysis_tickets[[#This Row],[reopened]]="Yes",1,0)</f>
        <v>1</v>
      </c>
      <c r="R166" t="str" cm="1">
        <f t="array" ref="R166">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66" t="str" cm="1">
        <f t="array" ref="S16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66" t="str">
        <f>TEXT(tbl_analysis_tickets[[#This Row],[created_date]],"mmm-yyyy")</f>
        <v>Mar-2024</v>
      </c>
      <c r="U166" t="str">
        <f>TEXT(tbl_analysis_tickets[[#This Row],[created_date]],"dddd")</f>
        <v>Saturday</v>
      </c>
      <c r="V166" cm="1">
        <f t="array" ref="V166">_xlfn.SWITCH(tbl_analysis_tickets[[#This Row],[priority]],
"Urgent",1,
"High",2,
"Medium",3,
"Low",4
)</f>
        <v>3</v>
      </c>
    </row>
    <row r="167" spans="1:22" x14ac:dyDescent="0.25">
      <c r="A167">
        <v>166</v>
      </c>
      <c r="B167" s="1">
        <v>45329</v>
      </c>
      <c r="C167" t="s">
        <v>23</v>
      </c>
      <c r="D167" t="s">
        <v>11</v>
      </c>
      <c r="E167">
        <v>123</v>
      </c>
      <c r="F167">
        <v>6</v>
      </c>
      <c r="G167">
        <v>1.6</v>
      </c>
      <c r="H167" t="s">
        <v>12</v>
      </c>
      <c r="I167" t="s">
        <v>16</v>
      </c>
      <c r="J167" t="s">
        <v>15</v>
      </c>
      <c r="K167">
        <f>_xlfn.XLOOKUP(tbl_analysis_tickets[[#This Row],[priority]],tbl_sla[priority],tbl_sla[Resolution SLA Hours])</f>
        <v>72</v>
      </c>
      <c r="L167">
        <f>_xlfn.XLOOKUP(tbl_analysis_tickets[[#This Row],[priority]],tbl_sla[priority],tbl_sla[First Response SLA Minutes])</f>
        <v>240</v>
      </c>
      <c r="M167" t="str">
        <f>IF(tbl_analysis_tickets[[#This Row],[resolution_time_hours]]&gt;tbl_analysis_tickets[[#This Row],[Resolution SLA Hours]],"Breached","Within SLA")</f>
        <v>Within SLA</v>
      </c>
      <c r="N167" t="str">
        <f>IF(tbl_analysis_tickets[[#This Row],[first_response_minutes]]&gt;tbl_analysis_tickets[[#This Row],[First Response SLA Minutes]],"Breached","Within SLA")</f>
        <v>Within SLA</v>
      </c>
      <c r="O167" t="str" cm="1">
        <f t="array" ref="O167">_xlfn.IFS(
tbl_analysis_tickets[[#This Row],[agent_experience_years]]&lt;=2,"Junior",
tbl_analysis_tickets[[#This Row],[agent_experience_years]]&lt;=5,"Mid-Level",
tbl_analysis_tickets[[#This Row],[agent_experience_years]]&lt;=8,"Senior",
tbl_analysis_tickets[[#This Row],[agent_experience_years]]&gt;8,"Expert"
)</f>
        <v>Junior</v>
      </c>
      <c r="P167" cm="1">
        <f t="array" ref="P167">_xlfn.SWITCH(tbl_analysis_tickets[[#This Row],[customer_satisfaction]],
"Low",1,
"Medium",2,
"High",3
)</f>
        <v>2</v>
      </c>
      <c r="Q167">
        <f>IF(tbl_analysis_tickets[[#This Row],[reopened]]="Yes",1,0)</f>
        <v>1</v>
      </c>
      <c r="R167" t="str" cm="1">
        <f t="array" ref="R167">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67" t="str" cm="1">
        <f t="array" ref="S16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167" t="str">
        <f>TEXT(tbl_analysis_tickets[[#This Row],[created_date]],"mmm-yyyy")</f>
        <v>Feb-2024</v>
      </c>
      <c r="U167" t="str">
        <f>TEXT(tbl_analysis_tickets[[#This Row],[created_date]],"dddd")</f>
        <v>Wednesday</v>
      </c>
      <c r="V167" cm="1">
        <f t="array" ref="V167">_xlfn.SWITCH(tbl_analysis_tickets[[#This Row],[priority]],
"Urgent",1,
"High",2,
"Medium",3,
"Low",4
)</f>
        <v>4</v>
      </c>
    </row>
    <row r="168" spans="1:22" x14ac:dyDescent="0.25">
      <c r="A168">
        <v>167</v>
      </c>
      <c r="B168" s="1">
        <v>45346</v>
      </c>
      <c r="C168" t="s">
        <v>21</v>
      </c>
      <c r="D168" t="s">
        <v>17</v>
      </c>
      <c r="E168">
        <v>218</v>
      </c>
      <c r="F168">
        <v>57</v>
      </c>
      <c r="G168">
        <v>1.2</v>
      </c>
      <c r="H168" t="s">
        <v>12</v>
      </c>
      <c r="I168" t="s">
        <v>16</v>
      </c>
      <c r="J168" t="s">
        <v>11</v>
      </c>
      <c r="K168">
        <f>_xlfn.XLOOKUP(tbl_analysis_tickets[[#This Row],[priority]],tbl_sla[priority],tbl_sla[Resolution SLA Hours])</f>
        <v>8</v>
      </c>
      <c r="L168">
        <f>_xlfn.XLOOKUP(tbl_analysis_tickets[[#This Row],[priority]],tbl_sla[priority],tbl_sla[First Response SLA Minutes])</f>
        <v>30</v>
      </c>
      <c r="M168" t="str">
        <f>IF(tbl_analysis_tickets[[#This Row],[resolution_time_hours]]&gt;tbl_analysis_tickets[[#This Row],[Resolution SLA Hours]],"Breached","Within SLA")</f>
        <v>Breached</v>
      </c>
      <c r="N168" t="str">
        <f>IF(tbl_analysis_tickets[[#This Row],[first_response_minutes]]&gt;tbl_analysis_tickets[[#This Row],[First Response SLA Minutes]],"Breached","Within SLA")</f>
        <v>Breached</v>
      </c>
      <c r="O168" t="str" cm="1">
        <f t="array" ref="O168">_xlfn.IFS(
tbl_analysis_tickets[[#This Row],[agent_experience_years]]&lt;=2,"Junior",
tbl_analysis_tickets[[#This Row],[agent_experience_years]]&lt;=5,"Mid-Level",
tbl_analysis_tickets[[#This Row],[agent_experience_years]]&lt;=8,"Senior",
tbl_analysis_tickets[[#This Row],[agent_experience_years]]&gt;8,"Expert"
)</f>
        <v>Junior</v>
      </c>
      <c r="P168" cm="1">
        <f t="array" ref="P168">_xlfn.SWITCH(tbl_analysis_tickets[[#This Row],[customer_satisfaction]],
"Low",1,
"Medium",2,
"High",3
)</f>
        <v>1</v>
      </c>
      <c r="Q168">
        <f>IF(tbl_analysis_tickets[[#This Row],[reopened]]="Yes",1,0)</f>
        <v>1</v>
      </c>
      <c r="R168" t="str" cm="1">
        <f t="array" ref="R168">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68" t="str" cm="1">
        <f t="array" ref="S16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68" t="str">
        <f>TEXT(tbl_analysis_tickets[[#This Row],[created_date]],"mmm-yyyy")</f>
        <v>Feb-2024</v>
      </c>
      <c r="U168" t="str">
        <f>TEXT(tbl_analysis_tickets[[#This Row],[created_date]],"dddd")</f>
        <v>Saturday</v>
      </c>
      <c r="V168" cm="1">
        <f t="array" ref="V168">_xlfn.SWITCH(tbl_analysis_tickets[[#This Row],[priority]],
"Urgent",1,
"High",2,
"Medium",3,
"Low",4
)</f>
        <v>1</v>
      </c>
    </row>
    <row r="169" spans="1:22" x14ac:dyDescent="0.25">
      <c r="A169">
        <v>168</v>
      </c>
      <c r="B169" s="1">
        <v>45548</v>
      </c>
      <c r="C169" t="s">
        <v>22</v>
      </c>
      <c r="D169" t="s">
        <v>20</v>
      </c>
      <c r="E169">
        <v>47</v>
      </c>
      <c r="F169">
        <v>68</v>
      </c>
      <c r="G169">
        <v>3.1</v>
      </c>
      <c r="H169" t="s">
        <v>12</v>
      </c>
      <c r="I169" t="s">
        <v>16</v>
      </c>
      <c r="J169" t="s">
        <v>11</v>
      </c>
      <c r="K169">
        <f>_xlfn.XLOOKUP(tbl_analysis_tickets[[#This Row],[priority]],tbl_sla[priority],tbl_sla[Resolution SLA Hours])</f>
        <v>24</v>
      </c>
      <c r="L169">
        <f>_xlfn.XLOOKUP(tbl_analysis_tickets[[#This Row],[priority]],tbl_sla[priority],tbl_sla[First Response SLA Minutes])</f>
        <v>60</v>
      </c>
      <c r="M169" t="str">
        <f>IF(tbl_analysis_tickets[[#This Row],[resolution_time_hours]]&gt;tbl_analysis_tickets[[#This Row],[Resolution SLA Hours]],"Breached","Within SLA")</f>
        <v>Breached</v>
      </c>
      <c r="N169" t="str">
        <f>IF(tbl_analysis_tickets[[#This Row],[first_response_minutes]]&gt;tbl_analysis_tickets[[#This Row],[First Response SLA Minutes]],"Breached","Within SLA")</f>
        <v>Within SLA</v>
      </c>
      <c r="O169" t="str" cm="1">
        <f t="array" ref="O169">_xlfn.IFS(
tbl_analysis_tickets[[#This Row],[agent_experience_years]]&lt;=2,"Junior",
tbl_analysis_tickets[[#This Row],[agent_experience_years]]&lt;=5,"Mid-Level",
tbl_analysis_tickets[[#This Row],[agent_experience_years]]&lt;=8,"Senior",
tbl_analysis_tickets[[#This Row],[agent_experience_years]]&gt;8,"Expert"
)</f>
        <v>Mid-Level</v>
      </c>
      <c r="P169" cm="1">
        <f t="array" ref="P169">_xlfn.SWITCH(tbl_analysis_tickets[[#This Row],[customer_satisfaction]],
"Low",1,
"Medium",2,
"High",3
)</f>
        <v>1</v>
      </c>
      <c r="Q169">
        <f>IF(tbl_analysis_tickets[[#This Row],[reopened]]="Yes",1,0)</f>
        <v>1</v>
      </c>
      <c r="R169" t="str" cm="1">
        <f t="array" ref="R169">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69" t="str" cm="1">
        <f t="array" ref="S16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69" t="str">
        <f>TEXT(tbl_analysis_tickets[[#This Row],[created_date]],"mmm-yyyy")</f>
        <v>Sep-2024</v>
      </c>
      <c r="U169" t="str">
        <f>TEXT(tbl_analysis_tickets[[#This Row],[created_date]],"dddd")</f>
        <v>Friday</v>
      </c>
      <c r="V169" cm="1">
        <f t="array" ref="V169">_xlfn.SWITCH(tbl_analysis_tickets[[#This Row],[priority]],
"Urgent",1,
"High",2,
"Medium",3,
"Low",4
)</f>
        <v>2</v>
      </c>
    </row>
    <row r="170" spans="1:22" x14ac:dyDescent="0.25">
      <c r="A170">
        <v>169</v>
      </c>
      <c r="B170" s="1">
        <v>45590</v>
      </c>
      <c r="C170" t="s">
        <v>22</v>
      </c>
      <c r="D170" t="s">
        <v>17</v>
      </c>
      <c r="E170">
        <v>56</v>
      </c>
      <c r="F170">
        <v>69</v>
      </c>
      <c r="G170">
        <v>4.7</v>
      </c>
      <c r="H170" t="s">
        <v>18</v>
      </c>
      <c r="I170" t="s">
        <v>19</v>
      </c>
      <c r="J170" t="s">
        <v>11</v>
      </c>
      <c r="K170">
        <f>_xlfn.XLOOKUP(tbl_analysis_tickets[[#This Row],[priority]],tbl_sla[priority],tbl_sla[Resolution SLA Hours])</f>
        <v>8</v>
      </c>
      <c r="L170">
        <f>_xlfn.XLOOKUP(tbl_analysis_tickets[[#This Row],[priority]],tbl_sla[priority],tbl_sla[First Response SLA Minutes])</f>
        <v>30</v>
      </c>
      <c r="M170" t="str">
        <f>IF(tbl_analysis_tickets[[#This Row],[resolution_time_hours]]&gt;tbl_analysis_tickets[[#This Row],[Resolution SLA Hours]],"Breached","Within SLA")</f>
        <v>Breached</v>
      </c>
      <c r="N170" t="str">
        <f>IF(tbl_analysis_tickets[[#This Row],[first_response_minutes]]&gt;tbl_analysis_tickets[[#This Row],[First Response SLA Minutes]],"Breached","Within SLA")</f>
        <v>Breached</v>
      </c>
      <c r="O170" t="str" cm="1">
        <f t="array" ref="O170">_xlfn.IFS(
tbl_analysis_tickets[[#This Row],[agent_experience_years]]&lt;=2,"Junior",
tbl_analysis_tickets[[#This Row],[agent_experience_years]]&lt;=5,"Mid-Level",
tbl_analysis_tickets[[#This Row],[agent_experience_years]]&lt;=8,"Senior",
tbl_analysis_tickets[[#This Row],[agent_experience_years]]&gt;8,"Expert"
)</f>
        <v>Mid-Level</v>
      </c>
      <c r="P170" cm="1">
        <f t="array" ref="P170">_xlfn.SWITCH(tbl_analysis_tickets[[#This Row],[customer_satisfaction]],
"Low",1,
"Medium",2,
"High",3
)</f>
        <v>1</v>
      </c>
      <c r="Q170">
        <f>IF(tbl_analysis_tickets[[#This Row],[reopened]]="Yes",1,0)</f>
        <v>0</v>
      </c>
      <c r="R170" t="str" cm="1">
        <f t="array" ref="R170">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70" t="str" cm="1">
        <f t="array" ref="S17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70" t="str">
        <f>TEXT(tbl_analysis_tickets[[#This Row],[created_date]],"mmm-yyyy")</f>
        <v>Oct-2024</v>
      </c>
      <c r="U170" t="str">
        <f>TEXT(tbl_analysis_tickets[[#This Row],[created_date]],"dddd")</f>
        <v>Friday</v>
      </c>
      <c r="V170" cm="1">
        <f t="array" ref="V170">_xlfn.SWITCH(tbl_analysis_tickets[[#This Row],[priority]],
"Urgent",1,
"High",2,
"Medium",3,
"Low",4
)</f>
        <v>1</v>
      </c>
    </row>
    <row r="171" spans="1:22" x14ac:dyDescent="0.25">
      <c r="A171">
        <v>170</v>
      </c>
      <c r="B171" s="1">
        <v>45293</v>
      </c>
      <c r="C171" t="s">
        <v>14</v>
      </c>
      <c r="D171" t="s">
        <v>20</v>
      </c>
      <c r="E171">
        <v>173</v>
      </c>
      <c r="F171">
        <v>58</v>
      </c>
      <c r="G171">
        <v>7.8</v>
      </c>
      <c r="H171" t="s">
        <v>18</v>
      </c>
      <c r="I171" t="s">
        <v>19</v>
      </c>
      <c r="J171" t="s">
        <v>11</v>
      </c>
      <c r="K171">
        <f>_xlfn.XLOOKUP(tbl_analysis_tickets[[#This Row],[priority]],tbl_sla[priority],tbl_sla[Resolution SLA Hours])</f>
        <v>24</v>
      </c>
      <c r="L171">
        <f>_xlfn.XLOOKUP(tbl_analysis_tickets[[#This Row],[priority]],tbl_sla[priority],tbl_sla[First Response SLA Minutes])</f>
        <v>60</v>
      </c>
      <c r="M171" t="str">
        <f>IF(tbl_analysis_tickets[[#This Row],[resolution_time_hours]]&gt;tbl_analysis_tickets[[#This Row],[Resolution SLA Hours]],"Breached","Within SLA")</f>
        <v>Breached</v>
      </c>
      <c r="N171" t="str">
        <f>IF(tbl_analysis_tickets[[#This Row],[first_response_minutes]]&gt;tbl_analysis_tickets[[#This Row],[First Response SLA Minutes]],"Breached","Within SLA")</f>
        <v>Breached</v>
      </c>
      <c r="O171" t="str" cm="1">
        <f t="array" ref="O171">_xlfn.IFS(
tbl_analysis_tickets[[#This Row],[agent_experience_years]]&lt;=2,"Junior",
tbl_analysis_tickets[[#This Row],[agent_experience_years]]&lt;=5,"Mid-Level",
tbl_analysis_tickets[[#This Row],[agent_experience_years]]&lt;=8,"Senior",
tbl_analysis_tickets[[#This Row],[agent_experience_years]]&gt;8,"Expert"
)</f>
        <v>Senior</v>
      </c>
      <c r="P171" cm="1">
        <f t="array" ref="P171">_xlfn.SWITCH(tbl_analysis_tickets[[#This Row],[customer_satisfaction]],
"Low",1,
"Medium",2,
"High",3
)</f>
        <v>1</v>
      </c>
      <c r="Q171">
        <f>IF(tbl_analysis_tickets[[#This Row],[reopened]]="Yes",1,0)</f>
        <v>0</v>
      </c>
      <c r="R171" t="str" cm="1">
        <f t="array" ref="R171">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71" t="str" cm="1">
        <f t="array" ref="S17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71" t="str">
        <f>TEXT(tbl_analysis_tickets[[#This Row],[created_date]],"mmm-yyyy")</f>
        <v>Jan-2024</v>
      </c>
      <c r="U171" t="str">
        <f>TEXT(tbl_analysis_tickets[[#This Row],[created_date]],"dddd")</f>
        <v>Tuesday</v>
      </c>
      <c r="V171" cm="1">
        <f t="array" ref="V171">_xlfn.SWITCH(tbl_analysis_tickets[[#This Row],[priority]],
"Urgent",1,
"High",2,
"Medium",3,
"Low",4
)</f>
        <v>2</v>
      </c>
    </row>
    <row r="172" spans="1:22" x14ac:dyDescent="0.25">
      <c r="A172">
        <v>171</v>
      </c>
      <c r="B172" s="1">
        <v>45331</v>
      </c>
      <c r="C172" t="s">
        <v>14</v>
      </c>
      <c r="D172" t="s">
        <v>20</v>
      </c>
      <c r="E172">
        <v>31</v>
      </c>
      <c r="F172">
        <v>53</v>
      </c>
      <c r="G172">
        <v>4.4000000000000004</v>
      </c>
      <c r="H172" t="s">
        <v>18</v>
      </c>
      <c r="I172" t="s">
        <v>16</v>
      </c>
      <c r="J172" t="s">
        <v>11</v>
      </c>
      <c r="K172">
        <f>_xlfn.XLOOKUP(tbl_analysis_tickets[[#This Row],[priority]],tbl_sla[priority],tbl_sla[Resolution SLA Hours])</f>
        <v>24</v>
      </c>
      <c r="L172">
        <f>_xlfn.XLOOKUP(tbl_analysis_tickets[[#This Row],[priority]],tbl_sla[priority],tbl_sla[First Response SLA Minutes])</f>
        <v>60</v>
      </c>
      <c r="M172" t="str">
        <f>IF(tbl_analysis_tickets[[#This Row],[resolution_time_hours]]&gt;tbl_analysis_tickets[[#This Row],[Resolution SLA Hours]],"Breached","Within SLA")</f>
        <v>Breached</v>
      </c>
      <c r="N172" t="str">
        <f>IF(tbl_analysis_tickets[[#This Row],[first_response_minutes]]&gt;tbl_analysis_tickets[[#This Row],[First Response SLA Minutes]],"Breached","Within SLA")</f>
        <v>Within SLA</v>
      </c>
      <c r="O172" t="str" cm="1">
        <f t="array" ref="O172">_xlfn.IFS(
tbl_analysis_tickets[[#This Row],[agent_experience_years]]&lt;=2,"Junior",
tbl_analysis_tickets[[#This Row],[agent_experience_years]]&lt;=5,"Mid-Level",
tbl_analysis_tickets[[#This Row],[agent_experience_years]]&lt;=8,"Senior",
tbl_analysis_tickets[[#This Row],[agent_experience_years]]&gt;8,"Expert"
)</f>
        <v>Mid-Level</v>
      </c>
      <c r="P172" cm="1">
        <f t="array" ref="P172">_xlfn.SWITCH(tbl_analysis_tickets[[#This Row],[customer_satisfaction]],
"Low",1,
"Medium",2,
"High",3
)</f>
        <v>1</v>
      </c>
      <c r="Q172">
        <f>IF(tbl_analysis_tickets[[#This Row],[reopened]]="Yes",1,0)</f>
        <v>0</v>
      </c>
      <c r="R172" t="str" cm="1">
        <f t="array" ref="R172">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72" t="str" cm="1">
        <f t="array" ref="S17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72" t="str">
        <f>TEXT(tbl_analysis_tickets[[#This Row],[created_date]],"mmm-yyyy")</f>
        <v>Feb-2024</v>
      </c>
      <c r="U172" t="str">
        <f>TEXT(tbl_analysis_tickets[[#This Row],[created_date]],"dddd")</f>
        <v>Friday</v>
      </c>
      <c r="V172" cm="1">
        <f t="array" ref="V172">_xlfn.SWITCH(tbl_analysis_tickets[[#This Row],[priority]],
"Urgent",1,
"High",2,
"Medium",3,
"Low",4
)</f>
        <v>2</v>
      </c>
    </row>
    <row r="173" spans="1:22" x14ac:dyDescent="0.25">
      <c r="A173">
        <v>172</v>
      </c>
      <c r="B173" s="1">
        <v>45386</v>
      </c>
      <c r="C173" t="s">
        <v>21</v>
      </c>
      <c r="D173" t="s">
        <v>20</v>
      </c>
      <c r="E173">
        <v>41</v>
      </c>
      <c r="F173">
        <v>15</v>
      </c>
      <c r="G173">
        <v>1.1000000000000001</v>
      </c>
      <c r="H173" t="s">
        <v>18</v>
      </c>
      <c r="I173" t="s">
        <v>16</v>
      </c>
      <c r="J173" t="s">
        <v>11</v>
      </c>
      <c r="K173">
        <f>_xlfn.XLOOKUP(tbl_analysis_tickets[[#This Row],[priority]],tbl_sla[priority],tbl_sla[Resolution SLA Hours])</f>
        <v>24</v>
      </c>
      <c r="L173">
        <f>_xlfn.XLOOKUP(tbl_analysis_tickets[[#This Row],[priority]],tbl_sla[priority],tbl_sla[First Response SLA Minutes])</f>
        <v>60</v>
      </c>
      <c r="M173" t="str">
        <f>IF(tbl_analysis_tickets[[#This Row],[resolution_time_hours]]&gt;tbl_analysis_tickets[[#This Row],[Resolution SLA Hours]],"Breached","Within SLA")</f>
        <v>Within SLA</v>
      </c>
      <c r="N173" t="str">
        <f>IF(tbl_analysis_tickets[[#This Row],[first_response_minutes]]&gt;tbl_analysis_tickets[[#This Row],[First Response SLA Minutes]],"Breached","Within SLA")</f>
        <v>Within SLA</v>
      </c>
      <c r="O173" t="str" cm="1">
        <f t="array" ref="O173">_xlfn.IFS(
tbl_analysis_tickets[[#This Row],[agent_experience_years]]&lt;=2,"Junior",
tbl_analysis_tickets[[#This Row],[agent_experience_years]]&lt;=5,"Mid-Level",
tbl_analysis_tickets[[#This Row],[agent_experience_years]]&lt;=8,"Senior",
tbl_analysis_tickets[[#This Row],[agent_experience_years]]&gt;8,"Expert"
)</f>
        <v>Junior</v>
      </c>
      <c r="P173" cm="1">
        <f t="array" ref="P173">_xlfn.SWITCH(tbl_analysis_tickets[[#This Row],[customer_satisfaction]],
"Low",1,
"Medium",2,
"High",3
)</f>
        <v>1</v>
      </c>
      <c r="Q173">
        <f>IF(tbl_analysis_tickets[[#This Row],[reopened]]="Yes",1,0)</f>
        <v>0</v>
      </c>
      <c r="R173" t="str" cm="1">
        <f t="array" ref="R173">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73" t="str" cm="1">
        <f t="array" ref="S17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73" t="str">
        <f>TEXT(tbl_analysis_tickets[[#This Row],[created_date]],"mmm-yyyy")</f>
        <v>Apr-2024</v>
      </c>
      <c r="U173" t="str">
        <f>TEXT(tbl_analysis_tickets[[#This Row],[created_date]],"dddd")</f>
        <v>Thursday</v>
      </c>
      <c r="V173" cm="1">
        <f t="array" ref="V173">_xlfn.SWITCH(tbl_analysis_tickets[[#This Row],[priority]],
"Urgent",1,
"High",2,
"Medium",3,
"Low",4
)</f>
        <v>2</v>
      </c>
    </row>
    <row r="174" spans="1:22" x14ac:dyDescent="0.25">
      <c r="A174">
        <v>173</v>
      </c>
      <c r="B174" s="1">
        <v>45557</v>
      </c>
      <c r="C174" t="s">
        <v>23</v>
      </c>
      <c r="D174" t="s">
        <v>20</v>
      </c>
      <c r="E174">
        <v>218</v>
      </c>
      <c r="F174">
        <v>33</v>
      </c>
      <c r="G174">
        <v>7.8</v>
      </c>
      <c r="H174" t="s">
        <v>18</v>
      </c>
      <c r="I174" t="s">
        <v>19</v>
      </c>
      <c r="J174" t="s">
        <v>11</v>
      </c>
      <c r="K174">
        <f>_xlfn.XLOOKUP(tbl_analysis_tickets[[#This Row],[priority]],tbl_sla[priority],tbl_sla[Resolution SLA Hours])</f>
        <v>24</v>
      </c>
      <c r="L174">
        <f>_xlfn.XLOOKUP(tbl_analysis_tickets[[#This Row],[priority]],tbl_sla[priority],tbl_sla[First Response SLA Minutes])</f>
        <v>60</v>
      </c>
      <c r="M174" t="str">
        <f>IF(tbl_analysis_tickets[[#This Row],[resolution_time_hours]]&gt;tbl_analysis_tickets[[#This Row],[Resolution SLA Hours]],"Breached","Within SLA")</f>
        <v>Breached</v>
      </c>
      <c r="N174" t="str">
        <f>IF(tbl_analysis_tickets[[#This Row],[first_response_minutes]]&gt;tbl_analysis_tickets[[#This Row],[First Response SLA Minutes]],"Breached","Within SLA")</f>
        <v>Breached</v>
      </c>
      <c r="O174" t="str" cm="1">
        <f t="array" ref="O174">_xlfn.IFS(
tbl_analysis_tickets[[#This Row],[agent_experience_years]]&lt;=2,"Junior",
tbl_analysis_tickets[[#This Row],[agent_experience_years]]&lt;=5,"Mid-Level",
tbl_analysis_tickets[[#This Row],[agent_experience_years]]&lt;=8,"Senior",
tbl_analysis_tickets[[#This Row],[agent_experience_years]]&gt;8,"Expert"
)</f>
        <v>Senior</v>
      </c>
      <c r="P174" cm="1">
        <f t="array" ref="P174">_xlfn.SWITCH(tbl_analysis_tickets[[#This Row],[customer_satisfaction]],
"Low",1,
"Medium",2,
"High",3
)</f>
        <v>1</v>
      </c>
      <c r="Q174">
        <f>IF(tbl_analysis_tickets[[#This Row],[reopened]]="Yes",1,0)</f>
        <v>0</v>
      </c>
      <c r="R174" t="str" cm="1">
        <f t="array" ref="R174">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74" t="str" cm="1">
        <f t="array" ref="S17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74" t="str">
        <f>TEXT(tbl_analysis_tickets[[#This Row],[created_date]],"mmm-yyyy")</f>
        <v>Sep-2024</v>
      </c>
      <c r="U174" t="str">
        <f>TEXT(tbl_analysis_tickets[[#This Row],[created_date]],"dddd")</f>
        <v>Sunday</v>
      </c>
      <c r="V174" cm="1">
        <f t="array" ref="V174">_xlfn.SWITCH(tbl_analysis_tickets[[#This Row],[priority]],
"Urgent",1,
"High",2,
"Medium",3,
"Low",4
)</f>
        <v>2</v>
      </c>
    </row>
    <row r="175" spans="1:22" x14ac:dyDescent="0.25">
      <c r="A175">
        <v>174</v>
      </c>
      <c r="B175" s="1">
        <v>45419</v>
      </c>
      <c r="C175" t="s">
        <v>23</v>
      </c>
      <c r="D175" t="s">
        <v>20</v>
      </c>
      <c r="E175">
        <v>190</v>
      </c>
      <c r="F175">
        <v>44</v>
      </c>
      <c r="G175">
        <v>8.3000000000000007</v>
      </c>
      <c r="H175" t="s">
        <v>18</v>
      </c>
      <c r="I175" t="s">
        <v>19</v>
      </c>
      <c r="J175" t="s">
        <v>11</v>
      </c>
      <c r="K175">
        <f>_xlfn.XLOOKUP(tbl_analysis_tickets[[#This Row],[priority]],tbl_sla[priority],tbl_sla[Resolution SLA Hours])</f>
        <v>24</v>
      </c>
      <c r="L175">
        <f>_xlfn.XLOOKUP(tbl_analysis_tickets[[#This Row],[priority]],tbl_sla[priority],tbl_sla[First Response SLA Minutes])</f>
        <v>60</v>
      </c>
      <c r="M175" t="str">
        <f>IF(tbl_analysis_tickets[[#This Row],[resolution_time_hours]]&gt;tbl_analysis_tickets[[#This Row],[Resolution SLA Hours]],"Breached","Within SLA")</f>
        <v>Breached</v>
      </c>
      <c r="N175" t="str">
        <f>IF(tbl_analysis_tickets[[#This Row],[first_response_minutes]]&gt;tbl_analysis_tickets[[#This Row],[First Response SLA Minutes]],"Breached","Within SLA")</f>
        <v>Breached</v>
      </c>
      <c r="O175" t="str" cm="1">
        <f t="array" ref="O175">_xlfn.IFS(
tbl_analysis_tickets[[#This Row],[agent_experience_years]]&lt;=2,"Junior",
tbl_analysis_tickets[[#This Row],[agent_experience_years]]&lt;=5,"Mid-Level",
tbl_analysis_tickets[[#This Row],[agent_experience_years]]&lt;=8,"Senior",
tbl_analysis_tickets[[#This Row],[agent_experience_years]]&gt;8,"Expert"
)</f>
        <v>Expert</v>
      </c>
      <c r="P175" cm="1">
        <f t="array" ref="P175">_xlfn.SWITCH(tbl_analysis_tickets[[#This Row],[customer_satisfaction]],
"Low",1,
"Medium",2,
"High",3
)</f>
        <v>1</v>
      </c>
      <c r="Q175">
        <f>IF(tbl_analysis_tickets[[#This Row],[reopened]]="Yes",1,0)</f>
        <v>0</v>
      </c>
      <c r="R175" t="str" cm="1">
        <f t="array" ref="R175">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75" t="str" cm="1">
        <f t="array" ref="S17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75" t="str">
        <f>TEXT(tbl_analysis_tickets[[#This Row],[created_date]],"mmm-yyyy")</f>
        <v>May-2024</v>
      </c>
      <c r="U175" t="str">
        <f>TEXT(tbl_analysis_tickets[[#This Row],[created_date]],"dddd")</f>
        <v>Tuesday</v>
      </c>
      <c r="V175" cm="1">
        <f t="array" ref="V175">_xlfn.SWITCH(tbl_analysis_tickets[[#This Row],[priority]],
"Urgent",1,
"High",2,
"Medium",3,
"Low",4
)</f>
        <v>2</v>
      </c>
    </row>
    <row r="176" spans="1:22" x14ac:dyDescent="0.25">
      <c r="A176">
        <v>175</v>
      </c>
      <c r="B176" s="1">
        <v>45301</v>
      </c>
      <c r="C176" t="s">
        <v>21</v>
      </c>
      <c r="D176" t="s">
        <v>20</v>
      </c>
      <c r="E176">
        <v>226</v>
      </c>
      <c r="F176">
        <v>30</v>
      </c>
      <c r="G176">
        <v>8.6</v>
      </c>
      <c r="H176" t="s">
        <v>12</v>
      </c>
      <c r="I176" t="s">
        <v>16</v>
      </c>
      <c r="J176" t="s">
        <v>11</v>
      </c>
      <c r="K176">
        <f>_xlfn.XLOOKUP(tbl_analysis_tickets[[#This Row],[priority]],tbl_sla[priority],tbl_sla[Resolution SLA Hours])</f>
        <v>24</v>
      </c>
      <c r="L176">
        <f>_xlfn.XLOOKUP(tbl_analysis_tickets[[#This Row],[priority]],tbl_sla[priority],tbl_sla[First Response SLA Minutes])</f>
        <v>60</v>
      </c>
      <c r="M176" t="str">
        <f>IF(tbl_analysis_tickets[[#This Row],[resolution_time_hours]]&gt;tbl_analysis_tickets[[#This Row],[Resolution SLA Hours]],"Breached","Within SLA")</f>
        <v>Breached</v>
      </c>
      <c r="N176" t="str">
        <f>IF(tbl_analysis_tickets[[#This Row],[first_response_minutes]]&gt;tbl_analysis_tickets[[#This Row],[First Response SLA Minutes]],"Breached","Within SLA")</f>
        <v>Breached</v>
      </c>
      <c r="O176" t="str" cm="1">
        <f t="array" ref="O176">_xlfn.IFS(
tbl_analysis_tickets[[#This Row],[agent_experience_years]]&lt;=2,"Junior",
tbl_analysis_tickets[[#This Row],[agent_experience_years]]&lt;=5,"Mid-Level",
tbl_analysis_tickets[[#This Row],[agent_experience_years]]&lt;=8,"Senior",
tbl_analysis_tickets[[#This Row],[agent_experience_years]]&gt;8,"Expert"
)</f>
        <v>Expert</v>
      </c>
      <c r="P176" cm="1">
        <f t="array" ref="P176">_xlfn.SWITCH(tbl_analysis_tickets[[#This Row],[customer_satisfaction]],
"Low",1,
"Medium",2,
"High",3
)</f>
        <v>1</v>
      </c>
      <c r="Q176">
        <f>IF(tbl_analysis_tickets[[#This Row],[reopened]]="Yes",1,0)</f>
        <v>1</v>
      </c>
      <c r="R176" t="str" cm="1">
        <f t="array" ref="R176">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76" t="str" cm="1">
        <f t="array" ref="S17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76" t="str">
        <f>TEXT(tbl_analysis_tickets[[#This Row],[created_date]],"mmm-yyyy")</f>
        <v>Jan-2024</v>
      </c>
      <c r="U176" t="str">
        <f>TEXT(tbl_analysis_tickets[[#This Row],[created_date]],"dddd")</f>
        <v>Wednesday</v>
      </c>
      <c r="V176" cm="1">
        <f t="array" ref="V176">_xlfn.SWITCH(tbl_analysis_tickets[[#This Row],[priority]],
"Urgent",1,
"High",2,
"Medium",3,
"Low",4
)</f>
        <v>2</v>
      </c>
    </row>
    <row r="177" spans="1:22" x14ac:dyDescent="0.25">
      <c r="A177">
        <v>176</v>
      </c>
      <c r="B177" s="1">
        <v>45349</v>
      </c>
      <c r="C177" t="s">
        <v>14</v>
      </c>
      <c r="D177" t="s">
        <v>15</v>
      </c>
      <c r="E177">
        <v>7</v>
      </c>
      <c r="F177">
        <v>16</v>
      </c>
      <c r="G177">
        <v>3</v>
      </c>
      <c r="H177" t="s">
        <v>18</v>
      </c>
      <c r="I177" t="s">
        <v>16</v>
      </c>
      <c r="J177" t="s">
        <v>15</v>
      </c>
      <c r="K177">
        <f>_xlfn.XLOOKUP(tbl_analysis_tickets[[#This Row],[priority]],tbl_sla[priority],tbl_sla[Resolution SLA Hours])</f>
        <v>48</v>
      </c>
      <c r="L177">
        <f>_xlfn.XLOOKUP(tbl_analysis_tickets[[#This Row],[priority]],tbl_sla[priority],tbl_sla[First Response SLA Minutes])</f>
        <v>120</v>
      </c>
      <c r="M177" t="str">
        <f>IF(tbl_analysis_tickets[[#This Row],[resolution_time_hours]]&gt;tbl_analysis_tickets[[#This Row],[Resolution SLA Hours]],"Breached","Within SLA")</f>
        <v>Within SLA</v>
      </c>
      <c r="N177" t="str">
        <f>IF(tbl_analysis_tickets[[#This Row],[first_response_minutes]]&gt;tbl_analysis_tickets[[#This Row],[First Response SLA Minutes]],"Breached","Within SLA")</f>
        <v>Within SLA</v>
      </c>
      <c r="O177" t="str" cm="1">
        <f t="array" ref="O177">_xlfn.IFS(
tbl_analysis_tickets[[#This Row],[agent_experience_years]]&lt;=2,"Junior",
tbl_analysis_tickets[[#This Row],[agent_experience_years]]&lt;=5,"Mid-Level",
tbl_analysis_tickets[[#This Row],[agent_experience_years]]&lt;=8,"Senior",
tbl_analysis_tickets[[#This Row],[agent_experience_years]]&gt;8,"Expert"
)</f>
        <v>Mid-Level</v>
      </c>
      <c r="P177" cm="1">
        <f t="array" ref="P177">_xlfn.SWITCH(tbl_analysis_tickets[[#This Row],[customer_satisfaction]],
"Low",1,
"Medium",2,
"High",3
)</f>
        <v>2</v>
      </c>
      <c r="Q177">
        <f>IF(tbl_analysis_tickets[[#This Row],[reopened]]="Yes",1,0)</f>
        <v>0</v>
      </c>
      <c r="R177" t="str" cm="1">
        <f t="array" ref="R177">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177" t="str" cm="1">
        <f t="array" ref="S17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77" t="str">
        <f>TEXT(tbl_analysis_tickets[[#This Row],[created_date]],"mmm-yyyy")</f>
        <v>Feb-2024</v>
      </c>
      <c r="U177" t="str">
        <f>TEXT(tbl_analysis_tickets[[#This Row],[created_date]],"dddd")</f>
        <v>Tuesday</v>
      </c>
      <c r="V177" cm="1">
        <f t="array" ref="V177">_xlfn.SWITCH(tbl_analysis_tickets[[#This Row],[priority]],
"Urgent",1,
"High",2,
"Medium",3,
"Low",4
)</f>
        <v>3</v>
      </c>
    </row>
    <row r="178" spans="1:22" x14ac:dyDescent="0.25">
      <c r="A178">
        <v>177</v>
      </c>
      <c r="B178" s="1">
        <v>45509</v>
      </c>
      <c r="C178" t="s">
        <v>10</v>
      </c>
      <c r="D178" t="s">
        <v>17</v>
      </c>
      <c r="E178">
        <v>180</v>
      </c>
      <c r="F178">
        <v>42</v>
      </c>
      <c r="G178">
        <v>1.5</v>
      </c>
      <c r="H178" t="s">
        <v>18</v>
      </c>
      <c r="I178" t="s">
        <v>19</v>
      </c>
      <c r="J178" t="s">
        <v>11</v>
      </c>
      <c r="K178">
        <f>_xlfn.XLOOKUP(tbl_analysis_tickets[[#This Row],[priority]],tbl_sla[priority],tbl_sla[Resolution SLA Hours])</f>
        <v>8</v>
      </c>
      <c r="L178">
        <f>_xlfn.XLOOKUP(tbl_analysis_tickets[[#This Row],[priority]],tbl_sla[priority],tbl_sla[First Response SLA Minutes])</f>
        <v>30</v>
      </c>
      <c r="M178" t="str">
        <f>IF(tbl_analysis_tickets[[#This Row],[resolution_time_hours]]&gt;tbl_analysis_tickets[[#This Row],[Resolution SLA Hours]],"Breached","Within SLA")</f>
        <v>Breached</v>
      </c>
      <c r="N178" t="str">
        <f>IF(tbl_analysis_tickets[[#This Row],[first_response_minutes]]&gt;tbl_analysis_tickets[[#This Row],[First Response SLA Minutes]],"Breached","Within SLA")</f>
        <v>Breached</v>
      </c>
      <c r="O178" t="str" cm="1">
        <f t="array" ref="O178">_xlfn.IFS(
tbl_analysis_tickets[[#This Row],[agent_experience_years]]&lt;=2,"Junior",
tbl_analysis_tickets[[#This Row],[agent_experience_years]]&lt;=5,"Mid-Level",
tbl_analysis_tickets[[#This Row],[agent_experience_years]]&lt;=8,"Senior",
tbl_analysis_tickets[[#This Row],[agent_experience_years]]&gt;8,"Expert"
)</f>
        <v>Junior</v>
      </c>
      <c r="P178" cm="1">
        <f t="array" ref="P178">_xlfn.SWITCH(tbl_analysis_tickets[[#This Row],[customer_satisfaction]],
"Low",1,
"Medium",2,
"High",3
)</f>
        <v>1</v>
      </c>
      <c r="Q178">
        <f>IF(tbl_analysis_tickets[[#This Row],[reopened]]="Yes",1,0)</f>
        <v>0</v>
      </c>
      <c r="R178" t="str" cm="1">
        <f t="array" ref="R178">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78" t="str" cm="1">
        <f t="array" ref="S17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78" t="str">
        <f>TEXT(tbl_analysis_tickets[[#This Row],[created_date]],"mmm-yyyy")</f>
        <v>Aug-2024</v>
      </c>
      <c r="U178" t="str">
        <f>TEXT(tbl_analysis_tickets[[#This Row],[created_date]],"dddd")</f>
        <v>Monday</v>
      </c>
      <c r="V178" cm="1">
        <f t="array" ref="V178">_xlfn.SWITCH(tbl_analysis_tickets[[#This Row],[priority]],
"Urgent",1,
"High",2,
"Medium",3,
"Low",4
)</f>
        <v>1</v>
      </c>
    </row>
    <row r="179" spans="1:22" x14ac:dyDescent="0.25">
      <c r="A179">
        <v>178</v>
      </c>
      <c r="B179" s="1">
        <v>45514</v>
      </c>
      <c r="C179" t="s">
        <v>22</v>
      </c>
      <c r="D179" t="s">
        <v>11</v>
      </c>
      <c r="E179">
        <v>191</v>
      </c>
      <c r="F179">
        <v>46</v>
      </c>
      <c r="G179">
        <v>3.7</v>
      </c>
      <c r="H179" t="s">
        <v>12</v>
      </c>
      <c r="I179" t="s">
        <v>19</v>
      </c>
      <c r="J179" t="s">
        <v>11</v>
      </c>
      <c r="K179">
        <f>_xlfn.XLOOKUP(tbl_analysis_tickets[[#This Row],[priority]],tbl_sla[priority],tbl_sla[Resolution SLA Hours])</f>
        <v>72</v>
      </c>
      <c r="L179">
        <f>_xlfn.XLOOKUP(tbl_analysis_tickets[[#This Row],[priority]],tbl_sla[priority],tbl_sla[First Response SLA Minutes])</f>
        <v>240</v>
      </c>
      <c r="M179" t="str">
        <f>IF(tbl_analysis_tickets[[#This Row],[resolution_time_hours]]&gt;tbl_analysis_tickets[[#This Row],[Resolution SLA Hours]],"Breached","Within SLA")</f>
        <v>Within SLA</v>
      </c>
      <c r="N179" t="str">
        <f>IF(tbl_analysis_tickets[[#This Row],[first_response_minutes]]&gt;tbl_analysis_tickets[[#This Row],[First Response SLA Minutes]],"Breached","Within SLA")</f>
        <v>Within SLA</v>
      </c>
      <c r="O179" t="str" cm="1">
        <f t="array" ref="O179">_xlfn.IFS(
tbl_analysis_tickets[[#This Row],[agent_experience_years]]&lt;=2,"Junior",
tbl_analysis_tickets[[#This Row],[agent_experience_years]]&lt;=5,"Mid-Level",
tbl_analysis_tickets[[#This Row],[agent_experience_years]]&lt;=8,"Senior",
tbl_analysis_tickets[[#This Row],[agent_experience_years]]&gt;8,"Expert"
)</f>
        <v>Mid-Level</v>
      </c>
      <c r="P179" cm="1">
        <f t="array" ref="P179">_xlfn.SWITCH(tbl_analysis_tickets[[#This Row],[customer_satisfaction]],
"Low",1,
"Medium",2,
"High",3
)</f>
        <v>1</v>
      </c>
      <c r="Q179">
        <f>IF(tbl_analysis_tickets[[#This Row],[reopened]]="Yes",1,0)</f>
        <v>1</v>
      </c>
      <c r="R179" t="str" cm="1">
        <f t="array" ref="R179">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79" t="str" cm="1">
        <f t="array" ref="S17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79" t="str">
        <f>TEXT(tbl_analysis_tickets[[#This Row],[created_date]],"mmm-yyyy")</f>
        <v>Aug-2024</v>
      </c>
      <c r="U179" t="str">
        <f>TEXT(tbl_analysis_tickets[[#This Row],[created_date]],"dddd")</f>
        <v>Saturday</v>
      </c>
      <c r="V179" cm="1">
        <f t="array" ref="V179">_xlfn.SWITCH(tbl_analysis_tickets[[#This Row],[priority]],
"Urgent",1,
"High",2,
"Medium",3,
"Low",4
)</f>
        <v>4</v>
      </c>
    </row>
    <row r="180" spans="1:22" x14ac:dyDescent="0.25">
      <c r="A180">
        <v>179</v>
      </c>
      <c r="B180" s="1">
        <v>45490</v>
      </c>
      <c r="C180" t="s">
        <v>23</v>
      </c>
      <c r="D180" t="s">
        <v>11</v>
      </c>
      <c r="E180">
        <v>159</v>
      </c>
      <c r="F180">
        <v>56</v>
      </c>
      <c r="G180">
        <v>1.6</v>
      </c>
      <c r="H180" t="s">
        <v>12</v>
      </c>
      <c r="I180" t="s">
        <v>13</v>
      </c>
      <c r="J180" t="s">
        <v>11</v>
      </c>
      <c r="K180">
        <f>_xlfn.XLOOKUP(tbl_analysis_tickets[[#This Row],[priority]],tbl_sla[priority],tbl_sla[Resolution SLA Hours])</f>
        <v>72</v>
      </c>
      <c r="L180">
        <f>_xlfn.XLOOKUP(tbl_analysis_tickets[[#This Row],[priority]],tbl_sla[priority],tbl_sla[First Response SLA Minutes])</f>
        <v>240</v>
      </c>
      <c r="M180" t="str">
        <f>IF(tbl_analysis_tickets[[#This Row],[resolution_time_hours]]&gt;tbl_analysis_tickets[[#This Row],[Resolution SLA Hours]],"Breached","Within SLA")</f>
        <v>Within SLA</v>
      </c>
      <c r="N180" t="str">
        <f>IF(tbl_analysis_tickets[[#This Row],[first_response_minutes]]&gt;tbl_analysis_tickets[[#This Row],[First Response SLA Minutes]],"Breached","Within SLA")</f>
        <v>Within SLA</v>
      </c>
      <c r="O180" t="str" cm="1">
        <f t="array" ref="O180">_xlfn.IFS(
tbl_analysis_tickets[[#This Row],[agent_experience_years]]&lt;=2,"Junior",
tbl_analysis_tickets[[#This Row],[agent_experience_years]]&lt;=5,"Mid-Level",
tbl_analysis_tickets[[#This Row],[agent_experience_years]]&lt;=8,"Senior",
tbl_analysis_tickets[[#This Row],[agent_experience_years]]&gt;8,"Expert"
)</f>
        <v>Junior</v>
      </c>
      <c r="P180" cm="1">
        <f t="array" ref="P180">_xlfn.SWITCH(tbl_analysis_tickets[[#This Row],[customer_satisfaction]],
"Low",1,
"Medium",2,
"High",3
)</f>
        <v>1</v>
      </c>
      <c r="Q180">
        <f>IF(tbl_analysis_tickets[[#This Row],[reopened]]="Yes",1,0)</f>
        <v>1</v>
      </c>
      <c r="R180" t="str" cm="1">
        <f t="array" ref="R180">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80" t="str" cm="1">
        <f t="array" ref="S18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80" t="str">
        <f>TEXT(tbl_analysis_tickets[[#This Row],[created_date]],"mmm-yyyy")</f>
        <v>Jul-2024</v>
      </c>
      <c r="U180" t="str">
        <f>TEXT(tbl_analysis_tickets[[#This Row],[created_date]],"dddd")</f>
        <v>Wednesday</v>
      </c>
      <c r="V180" cm="1">
        <f t="array" ref="V180">_xlfn.SWITCH(tbl_analysis_tickets[[#This Row],[priority]],
"Urgent",1,
"High",2,
"Medium",3,
"Low",4
)</f>
        <v>4</v>
      </c>
    </row>
    <row r="181" spans="1:22" x14ac:dyDescent="0.25">
      <c r="A181">
        <v>180</v>
      </c>
      <c r="B181" s="1">
        <v>45601</v>
      </c>
      <c r="C181" t="s">
        <v>22</v>
      </c>
      <c r="D181" t="s">
        <v>11</v>
      </c>
      <c r="E181">
        <v>40</v>
      </c>
      <c r="F181">
        <v>35</v>
      </c>
      <c r="G181">
        <v>3.8</v>
      </c>
      <c r="H181" t="s">
        <v>18</v>
      </c>
      <c r="I181" t="s">
        <v>16</v>
      </c>
      <c r="J181" t="s">
        <v>11</v>
      </c>
      <c r="K181">
        <f>_xlfn.XLOOKUP(tbl_analysis_tickets[[#This Row],[priority]],tbl_sla[priority],tbl_sla[Resolution SLA Hours])</f>
        <v>72</v>
      </c>
      <c r="L181">
        <f>_xlfn.XLOOKUP(tbl_analysis_tickets[[#This Row],[priority]],tbl_sla[priority],tbl_sla[First Response SLA Minutes])</f>
        <v>240</v>
      </c>
      <c r="M181" t="str">
        <f>IF(tbl_analysis_tickets[[#This Row],[resolution_time_hours]]&gt;tbl_analysis_tickets[[#This Row],[Resolution SLA Hours]],"Breached","Within SLA")</f>
        <v>Within SLA</v>
      </c>
      <c r="N181" t="str">
        <f>IF(tbl_analysis_tickets[[#This Row],[first_response_minutes]]&gt;tbl_analysis_tickets[[#This Row],[First Response SLA Minutes]],"Breached","Within SLA")</f>
        <v>Within SLA</v>
      </c>
      <c r="O181" t="str" cm="1">
        <f t="array" ref="O181">_xlfn.IFS(
tbl_analysis_tickets[[#This Row],[agent_experience_years]]&lt;=2,"Junior",
tbl_analysis_tickets[[#This Row],[agent_experience_years]]&lt;=5,"Mid-Level",
tbl_analysis_tickets[[#This Row],[agent_experience_years]]&lt;=8,"Senior",
tbl_analysis_tickets[[#This Row],[agent_experience_years]]&gt;8,"Expert"
)</f>
        <v>Mid-Level</v>
      </c>
      <c r="P181" cm="1">
        <f t="array" ref="P181">_xlfn.SWITCH(tbl_analysis_tickets[[#This Row],[customer_satisfaction]],
"Low",1,
"Medium",2,
"High",3
)</f>
        <v>1</v>
      </c>
      <c r="Q181">
        <f>IF(tbl_analysis_tickets[[#This Row],[reopened]]="Yes",1,0)</f>
        <v>0</v>
      </c>
      <c r="R181" t="str" cm="1">
        <f t="array" ref="R181">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81" t="str" cm="1">
        <f t="array" ref="S18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81" t="str">
        <f>TEXT(tbl_analysis_tickets[[#This Row],[created_date]],"mmm-yyyy")</f>
        <v>Nov-2024</v>
      </c>
      <c r="U181" t="str">
        <f>TEXT(tbl_analysis_tickets[[#This Row],[created_date]],"dddd")</f>
        <v>Tuesday</v>
      </c>
      <c r="V181" cm="1">
        <f t="array" ref="V181">_xlfn.SWITCH(tbl_analysis_tickets[[#This Row],[priority]],
"Urgent",1,
"High",2,
"Medium",3,
"Low",4
)</f>
        <v>4</v>
      </c>
    </row>
    <row r="182" spans="1:22" x14ac:dyDescent="0.25">
      <c r="A182">
        <v>181</v>
      </c>
      <c r="B182" s="1">
        <v>45486</v>
      </c>
      <c r="C182" t="s">
        <v>23</v>
      </c>
      <c r="D182" t="s">
        <v>11</v>
      </c>
      <c r="E182">
        <v>115</v>
      </c>
      <c r="F182">
        <v>55</v>
      </c>
      <c r="G182">
        <v>8.9</v>
      </c>
      <c r="H182" t="s">
        <v>12</v>
      </c>
      <c r="I182" t="s">
        <v>19</v>
      </c>
      <c r="J182" t="s">
        <v>11</v>
      </c>
      <c r="K182">
        <f>_xlfn.XLOOKUP(tbl_analysis_tickets[[#This Row],[priority]],tbl_sla[priority],tbl_sla[Resolution SLA Hours])</f>
        <v>72</v>
      </c>
      <c r="L182">
        <f>_xlfn.XLOOKUP(tbl_analysis_tickets[[#This Row],[priority]],tbl_sla[priority],tbl_sla[First Response SLA Minutes])</f>
        <v>240</v>
      </c>
      <c r="M182" t="str">
        <f>IF(tbl_analysis_tickets[[#This Row],[resolution_time_hours]]&gt;tbl_analysis_tickets[[#This Row],[Resolution SLA Hours]],"Breached","Within SLA")</f>
        <v>Within SLA</v>
      </c>
      <c r="N182" t="str">
        <f>IF(tbl_analysis_tickets[[#This Row],[first_response_minutes]]&gt;tbl_analysis_tickets[[#This Row],[First Response SLA Minutes]],"Breached","Within SLA")</f>
        <v>Within SLA</v>
      </c>
      <c r="O182" t="str" cm="1">
        <f t="array" ref="O182">_xlfn.IFS(
tbl_analysis_tickets[[#This Row],[agent_experience_years]]&lt;=2,"Junior",
tbl_analysis_tickets[[#This Row],[agent_experience_years]]&lt;=5,"Mid-Level",
tbl_analysis_tickets[[#This Row],[agent_experience_years]]&lt;=8,"Senior",
tbl_analysis_tickets[[#This Row],[agent_experience_years]]&gt;8,"Expert"
)</f>
        <v>Expert</v>
      </c>
      <c r="P182" cm="1">
        <f t="array" ref="P182">_xlfn.SWITCH(tbl_analysis_tickets[[#This Row],[customer_satisfaction]],
"Low",1,
"Medium",2,
"High",3
)</f>
        <v>1</v>
      </c>
      <c r="Q182">
        <f>IF(tbl_analysis_tickets[[#This Row],[reopened]]="Yes",1,0)</f>
        <v>1</v>
      </c>
      <c r="R182" t="str" cm="1">
        <f t="array" ref="R182">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82" t="str" cm="1">
        <f t="array" ref="S18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82" t="str">
        <f>TEXT(tbl_analysis_tickets[[#This Row],[created_date]],"mmm-yyyy")</f>
        <v>Jul-2024</v>
      </c>
      <c r="U182" t="str">
        <f>TEXT(tbl_analysis_tickets[[#This Row],[created_date]],"dddd")</f>
        <v>Saturday</v>
      </c>
      <c r="V182" cm="1">
        <f t="array" ref="V182">_xlfn.SWITCH(tbl_analysis_tickets[[#This Row],[priority]],
"Urgent",1,
"High",2,
"Medium",3,
"Low",4
)</f>
        <v>4</v>
      </c>
    </row>
    <row r="183" spans="1:22" x14ac:dyDescent="0.25">
      <c r="A183">
        <v>182</v>
      </c>
      <c r="B183" s="1">
        <v>45463</v>
      </c>
      <c r="C183" t="s">
        <v>21</v>
      </c>
      <c r="D183" t="s">
        <v>17</v>
      </c>
      <c r="E183">
        <v>35</v>
      </c>
      <c r="F183">
        <v>16</v>
      </c>
      <c r="G183">
        <v>4.9000000000000004</v>
      </c>
      <c r="H183" t="s">
        <v>18</v>
      </c>
      <c r="I183" t="s">
        <v>19</v>
      </c>
      <c r="J183" t="s">
        <v>11</v>
      </c>
      <c r="K183">
        <f>_xlfn.XLOOKUP(tbl_analysis_tickets[[#This Row],[priority]],tbl_sla[priority],tbl_sla[Resolution SLA Hours])</f>
        <v>8</v>
      </c>
      <c r="L183">
        <f>_xlfn.XLOOKUP(tbl_analysis_tickets[[#This Row],[priority]],tbl_sla[priority],tbl_sla[First Response SLA Minutes])</f>
        <v>30</v>
      </c>
      <c r="M183" t="str">
        <f>IF(tbl_analysis_tickets[[#This Row],[resolution_time_hours]]&gt;tbl_analysis_tickets[[#This Row],[Resolution SLA Hours]],"Breached","Within SLA")</f>
        <v>Breached</v>
      </c>
      <c r="N183" t="str">
        <f>IF(tbl_analysis_tickets[[#This Row],[first_response_minutes]]&gt;tbl_analysis_tickets[[#This Row],[First Response SLA Minutes]],"Breached","Within SLA")</f>
        <v>Breached</v>
      </c>
      <c r="O183" t="str" cm="1">
        <f t="array" ref="O183">_xlfn.IFS(
tbl_analysis_tickets[[#This Row],[agent_experience_years]]&lt;=2,"Junior",
tbl_analysis_tickets[[#This Row],[agent_experience_years]]&lt;=5,"Mid-Level",
tbl_analysis_tickets[[#This Row],[agent_experience_years]]&lt;=8,"Senior",
tbl_analysis_tickets[[#This Row],[agent_experience_years]]&gt;8,"Expert"
)</f>
        <v>Mid-Level</v>
      </c>
      <c r="P183" cm="1">
        <f t="array" ref="P183">_xlfn.SWITCH(tbl_analysis_tickets[[#This Row],[customer_satisfaction]],
"Low",1,
"Medium",2,
"High",3
)</f>
        <v>1</v>
      </c>
      <c r="Q183">
        <f>IF(tbl_analysis_tickets[[#This Row],[reopened]]="Yes",1,0)</f>
        <v>0</v>
      </c>
      <c r="R183" t="str" cm="1">
        <f t="array" ref="R183">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83" t="str" cm="1">
        <f t="array" ref="S18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83" t="str">
        <f>TEXT(tbl_analysis_tickets[[#This Row],[created_date]],"mmm-yyyy")</f>
        <v>Jun-2024</v>
      </c>
      <c r="U183" t="str">
        <f>TEXT(tbl_analysis_tickets[[#This Row],[created_date]],"dddd")</f>
        <v>Thursday</v>
      </c>
      <c r="V183" cm="1">
        <f t="array" ref="V183">_xlfn.SWITCH(tbl_analysis_tickets[[#This Row],[priority]],
"Urgent",1,
"High",2,
"Medium",3,
"Low",4
)</f>
        <v>1</v>
      </c>
    </row>
    <row r="184" spans="1:22" x14ac:dyDescent="0.25">
      <c r="A184">
        <v>183</v>
      </c>
      <c r="B184" s="1">
        <v>45515</v>
      </c>
      <c r="C184" t="s">
        <v>14</v>
      </c>
      <c r="D184" t="s">
        <v>11</v>
      </c>
      <c r="E184">
        <v>9</v>
      </c>
      <c r="F184">
        <v>68</v>
      </c>
      <c r="G184">
        <v>7.1</v>
      </c>
      <c r="H184" t="s">
        <v>18</v>
      </c>
      <c r="I184" t="s">
        <v>16</v>
      </c>
      <c r="J184" t="s">
        <v>20</v>
      </c>
      <c r="K184">
        <f>_xlfn.XLOOKUP(tbl_analysis_tickets[[#This Row],[priority]],tbl_sla[priority],tbl_sla[Resolution SLA Hours])</f>
        <v>72</v>
      </c>
      <c r="L184">
        <f>_xlfn.XLOOKUP(tbl_analysis_tickets[[#This Row],[priority]],tbl_sla[priority],tbl_sla[First Response SLA Minutes])</f>
        <v>240</v>
      </c>
      <c r="M184" t="str">
        <f>IF(tbl_analysis_tickets[[#This Row],[resolution_time_hours]]&gt;tbl_analysis_tickets[[#This Row],[Resolution SLA Hours]],"Breached","Within SLA")</f>
        <v>Within SLA</v>
      </c>
      <c r="N184" t="str">
        <f>IF(tbl_analysis_tickets[[#This Row],[first_response_minutes]]&gt;tbl_analysis_tickets[[#This Row],[First Response SLA Minutes]],"Breached","Within SLA")</f>
        <v>Within SLA</v>
      </c>
      <c r="O184" t="str" cm="1">
        <f t="array" ref="O184">_xlfn.IFS(
tbl_analysis_tickets[[#This Row],[agent_experience_years]]&lt;=2,"Junior",
tbl_analysis_tickets[[#This Row],[agent_experience_years]]&lt;=5,"Mid-Level",
tbl_analysis_tickets[[#This Row],[agent_experience_years]]&lt;=8,"Senior",
tbl_analysis_tickets[[#This Row],[agent_experience_years]]&gt;8,"Expert"
)</f>
        <v>Senior</v>
      </c>
      <c r="P184" cm="1">
        <f t="array" ref="P184">_xlfn.SWITCH(tbl_analysis_tickets[[#This Row],[customer_satisfaction]],
"Low",1,
"Medium",2,
"High",3
)</f>
        <v>3</v>
      </c>
      <c r="Q184">
        <f>IF(tbl_analysis_tickets[[#This Row],[reopened]]="Yes",1,0)</f>
        <v>0</v>
      </c>
      <c r="R184" t="str" cm="1">
        <f t="array" ref="R184">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184" t="str" cm="1">
        <f t="array" ref="S18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84" t="str">
        <f>TEXT(tbl_analysis_tickets[[#This Row],[created_date]],"mmm-yyyy")</f>
        <v>Aug-2024</v>
      </c>
      <c r="U184" t="str">
        <f>TEXT(tbl_analysis_tickets[[#This Row],[created_date]],"dddd")</f>
        <v>Sunday</v>
      </c>
      <c r="V184" cm="1">
        <f t="array" ref="V184">_xlfn.SWITCH(tbl_analysis_tickets[[#This Row],[priority]],
"Urgent",1,
"High",2,
"Medium",3,
"Low",4
)</f>
        <v>4</v>
      </c>
    </row>
    <row r="185" spans="1:22" x14ac:dyDescent="0.25">
      <c r="A185">
        <v>184</v>
      </c>
      <c r="B185" s="1">
        <v>45584</v>
      </c>
      <c r="C185" t="s">
        <v>14</v>
      </c>
      <c r="D185" t="s">
        <v>15</v>
      </c>
      <c r="E185">
        <v>105</v>
      </c>
      <c r="F185">
        <v>39</v>
      </c>
      <c r="G185">
        <v>9.6999999999999993</v>
      </c>
      <c r="H185" t="s">
        <v>12</v>
      </c>
      <c r="I185" t="s">
        <v>19</v>
      </c>
      <c r="J185" t="s">
        <v>11</v>
      </c>
      <c r="K185">
        <f>_xlfn.XLOOKUP(tbl_analysis_tickets[[#This Row],[priority]],tbl_sla[priority],tbl_sla[Resolution SLA Hours])</f>
        <v>48</v>
      </c>
      <c r="L185">
        <f>_xlfn.XLOOKUP(tbl_analysis_tickets[[#This Row],[priority]],tbl_sla[priority],tbl_sla[First Response SLA Minutes])</f>
        <v>120</v>
      </c>
      <c r="M185" t="str">
        <f>IF(tbl_analysis_tickets[[#This Row],[resolution_time_hours]]&gt;tbl_analysis_tickets[[#This Row],[Resolution SLA Hours]],"Breached","Within SLA")</f>
        <v>Within SLA</v>
      </c>
      <c r="N185" t="str">
        <f>IF(tbl_analysis_tickets[[#This Row],[first_response_minutes]]&gt;tbl_analysis_tickets[[#This Row],[First Response SLA Minutes]],"Breached","Within SLA")</f>
        <v>Within SLA</v>
      </c>
      <c r="O185" t="str" cm="1">
        <f t="array" ref="O185">_xlfn.IFS(
tbl_analysis_tickets[[#This Row],[agent_experience_years]]&lt;=2,"Junior",
tbl_analysis_tickets[[#This Row],[agent_experience_years]]&lt;=5,"Mid-Level",
tbl_analysis_tickets[[#This Row],[agent_experience_years]]&lt;=8,"Senior",
tbl_analysis_tickets[[#This Row],[agent_experience_years]]&gt;8,"Expert"
)</f>
        <v>Expert</v>
      </c>
      <c r="P185" cm="1">
        <f t="array" ref="P185">_xlfn.SWITCH(tbl_analysis_tickets[[#This Row],[customer_satisfaction]],
"Low",1,
"Medium",2,
"High",3
)</f>
        <v>1</v>
      </c>
      <c r="Q185">
        <f>IF(tbl_analysis_tickets[[#This Row],[reopened]]="Yes",1,0)</f>
        <v>1</v>
      </c>
      <c r="R185" t="str" cm="1">
        <f t="array" ref="R185">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85" t="str" cm="1">
        <f t="array" ref="S18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85" t="str">
        <f>TEXT(tbl_analysis_tickets[[#This Row],[created_date]],"mmm-yyyy")</f>
        <v>Oct-2024</v>
      </c>
      <c r="U185" t="str">
        <f>TEXT(tbl_analysis_tickets[[#This Row],[created_date]],"dddd")</f>
        <v>Saturday</v>
      </c>
      <c r="V185" cm="1">
        <f t="array" ref="V185">_xlfn.SWITCH(tbl_analysis_tickets[[#This Row],[priority]],
"Urgent",1,
"High",2,
"Medium",3,
"Low",4
)</f>
        <v>3</v>
      </c>
    </row>
    <row r="186" spans="1:22" x14ac:dyDescent="0.25">
      <c r="A186">
        <v>185</v>
      </c>
      <c r="B186" s="1">
        <v>45370</v>
      </c>
      <c r="C186" t="s">
        <v>22</v>
      </c>
      <c r="D186" t="s">
        <v>17</v>
      </c>
      <c r="E186">
        <v>144</v>
      </c>
      <c r="F186">
        <v>48</v>
      </c>
      <c r="G186">
        <v>5</v>
      </c>
      <c r="H186" t="s">
        <v>18</v>
      </c>
      <c r="I186" t="s">
        <v>19</v>
      </c>
      <c r="J186" t="s">
        <v>11</v>
      </c>
      <c r="K186">
        <f>_xlfn.XLOOKUP(tbl_analysis_tickets[[#This Row],[priority]],tbl_sla[priority],tbl_sla[Resolution SLA Hours])</f>
        <v>8</v>
      </c>
      <c r="L186">
        <f>_xlfn.XLOOKUP(tbl_analysis_tickets[[#This Row],[priority]],tbl_sla[priority],tbl_sla[First Response SLA Minutes])</f>
        <v>30</v>
      </c>
      <c r="M186" t="str">
        <f>IF(tbl_analysis_tickets[[#This Row],[resolution_time_hours]]&gt;tbl_analysis_tickets[[#This Row],[Resolution SLA Hours]],"Breached","Within SLA")</f>
        <v>Breached</v>
      </c>
      <c r="N186" t="str">
        <f>IF(tbl_analysis_tickets[[#This Row],[first_response_minutes]]&gt;tbl_analysis_tickets[[#This Row],[First Response SLA Minutes]],"Breached","Within SLA")</f>
        <v>Breached</v>
      </c>
      <c r="O186" t="str" cm="1">
        <f t="array" ref="O186">_xlfn.IFS(
tbl_analysis_tickets[[#This Row],[agent_experience_years]]&lt;=2,"Junior",
tbl_analysis_tickets[[#This Row],[agent_experience_years]]&lt;=5,"Mid-Level",
tbl_analysis_tickets[[#This Row],[agent_experience_years]]&lt;=8,"Senior",
tbl_analysis_tickets[[#This Row],[agent_experience_years]]&gt;8,"Expert"
)</f>
        <v>Mid-Level</v>
      </c>
      <c r="P186" cm="1">
        <f t="array" ref="P186">_xlfn.SWITCH(tbl_analysis_tickets[[#This Row],[customer_satisfaction]],
"Low",1,
"Medium",2,
"High",3
)</f>
        <v>1</v>
      </c>
      <c r="Q186">
        <f>IF(tbl_analysis_tickets[[#This Row],[reopened]]="Yes",1,0)</f>
        <v>0</v>
      </c>
      <c r="R186" t="str" cm="1">
        <f t="array" ref="R186">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86" t="str" cm="1">
        <f t="array" ref="S18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86" t="str">
        <f>TEXT(tbl_analysis_tickets[[#This Row],[created_date]],"mmm-yyyy")</f>
        <v>Mar-2024</v>
      </c>
      <c r="U186" t="str">
        <f>TEXT(tbl_analysis_tickets[[#This Row],[created_date]],"dddd")</f>
        <v>Tuesday</v>
      </c>
      <c r="V186" cm="1">
        <f t="array" ref="V186">_xlfn.SWITCH(tbl_analysis_tickets[[#This Row],[priority]],
"Urgent",1,
"High",2,
"Medium",3,
"Low",4
)</f>
        <v>1</v>
      </c>
    </row>
    <row r="187" spans="1:22" x14ac:dyDescent="0.25">
      <c r="A187">
        <v>186</v>
      </c>
      <c r="B187" s="1">
        <v>45329</v>
      </c>
      <c r="C187" t="s">
        <v>21</v>
      </c>
      <c r="D187" t="s">
        <v>20</v>
      </c>
      <c r="E187">
        <v>49</v>
      </c>
      <c r="F187">
        <v>27</v>
      </c>
      <c r="G187">
        <v>5.3</v>
      </c>
      <c r="H187" t="s">
        <v>12</v>
      </c>
      <c r="I187" t="s">
        <v>16</v>
      </c>
      <c r="J187" t="s">
        <v>11</v>
      </c>
      <c r="K187">
        <f>_xlfn.XLOOKUP(tbl_analysis_tickets[[#This Row],[priority]],tbl_sla[priority],tbl_sla[Resolution SLA Hours])</f>
        <v>24</v>
      </c>
      <c r="L187">
        <f>_xlfn.XLOOKUP(tbl_analysis_tickets[[#This Row],[priority]],tbl_sla[priority],tbl_sla[First Response SLA Minutes])</f>
        <v>60</v>
      </c>
      <c r="M187" t="str">
        <f>IF(tbl_analysis_tickets[[#This Row],[resolution_time_hours]]&gt;tbl_analysis_tickets[[#This Row],[Resolution SLA Hours]],"Breached","Within SLA")</f>
        <v>Breached</v>
      </c>
      <c r="N187" t="str">
        <f>IF(tbl_analysis_tickets[[#This Row],[first_response_minutes]]&gt;tbl_analysis_tickets[[#This Row],[First Response SLA Minutes]],"Breached","Within SLA")</f>
        <v>Within SLA</v>
      </c>
      <c r="O187" t="str" cm="1">
        <f t="array" ref="O187">_xlfn.IFS(
tbl_analysis_tickets[[#This Row],[agent_experience_years]]&lt;=2,"Junior",
tbl_analysis_tickets[[#This Row],[agent_experience_years]]&lt;=5,"Mid-Level",
tbl_analysis_tickets[[#This Row],[agent_experience_years]]&lt;=8,"Senior",
tbl_analysis_tickets[[#This Row],[agent_experience_years]]&gt;8,"Expert"
)</f>
        <v>Senior</v>
      </c>
      <c r="P187" cm="1">
        <f t="array" ref="P187">_xlfn.SWITCH(tbl_analysis_tickets[[#This Row],[customer_satisfaction]],
"Low",1,
"Medium",2,
"High",3
)</f>
        <v>1</v>
      </c>
      <c r="Q187">
        <f>IF(tbl_analysis_tickets[[#This Row],[reopened]]="Yes",1,0)</f>
        <v>1</v>
      </c>
      <c r="R187" t="str" cm="1">
        <f t="array" ref="R187">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87" t="str" cm="1">
        <f t="array" ref="S18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87" t="str">
        <f>TEXT(tbl_analysis_tickets[[#This Row],[created_date]],"mmm-yyyy")</f>
        <v>Feb-2024</v>
      </c>
      <c r="U187" t="str">
        <f>TEXT(tbl_analysis_tickets[[#This Row],[created_date]],"dddd")</f>
        <v>Wednesday</v>
      </c>
      <c r="V187" cm="1">
        <f t="array" ref="V187">_xlfn.SWITCH(tbl_analysis_tickets[[#This Row],[priority]],
"Urgent",1,
"High",2,
"Medium",3,
"Low",4
)</f>
        <v>2</v>
      </c>
    </row>
    <row r="188" spans="1:22" x14ac:dyDescent="0.25">
      <c r="A188">
        <v>187</v>
      </c>
      <c r="B188" s="1">
        <v>45354</v>
      </c>
      <c r="C188" t="s">
        <v>14</v>
      </c>
      <c r="D188" t="s">
        <v>17</v>
      </c>
      <c r="E188">
        <v>89</v>
      </c>
      <c r="F188">
        <v>42</v>
      </c>
      <c r="G188">
        <v>7.7</v>
      </c>
      <c r="H188" t="s">
        <v>18</v>
      </c>
      <c r="I188" t="s">
        <v>19</v>
      </c>
      <c r="J188" t="s">
        <v>11</v>
      </c>
      <c r="K188">
        <f>_xlfn.XLOOKUP(tbl_analysis_tickets[[#This Row],[priority]],tbl_sla[priority],tbl_sla[Resolution SLA Hours])</f>
        <v>8</v>
      </c>
      <c r="L188">
        <f>_xlfn.XLOOKUP(tbl_analysis_tickets[[#This Row],[priority]],tbl_sla[priority],tbl_sla[First Response SLA Minutes])</f>
        <v>30</v>
      </c>
      <c r="M188" t="str">
        <f>IF(tbl_analysis_tickets[[#This Row],[resolution_time_hours]]&gt;tbl_analysis_tickets[[#This Row],[Resolution SLA Hours]],"Breached","Within SLA")</f>
        <v>Breached</v>
      </c>
      <c r="N188" t="str">
        <f>IF(tbl_analysis_tickets[[#This Row],[first_response_minutes]]&gt;tbl_analysis_tickets[[#This Row],[First Response SLA Minutes]],"Breached","Within SLA")</f>
        <v>Breached</v>
      </c>
      <c r="O188" t="str" cm="1">
        <f t="array" ref="O188">_xlfn.IFS(
tbl_analysis_tickets[[#This Row],[agent_experience_years]]&lt;=2,"Junior",
tbl_analysis_tickets[[#This Row],[agent_experience_years]]&lt;=5,"Mid-Level",
tbl_analysis_tickets[[#This Row],[agent_experience_years]]&lt;=8,"Senior",
tbl_analysis_tickets[[#This Row],[agent_experience_years]]&gt;8,"Expert"
)</f>
        <v>Senior</v>
      </c>
      <c r="P188" cm="1">
        <f t="array" ref="P188">_xlfn.SWITCH(tbl_analysis_tickets[[#This Row],[customer_satisfaction]],
"Low",1,
"Medium",2,
"High",3
)</f>
        <v>1</v>
      </c>
      <c r="Q188">
        <f>IF(tbl_analysis_tickets[[#This Row],[reopened]]="Yes",1,0)</f>
        <v>0</v>
      </c>
      <c r="R188" t="str" cm="1">
        <f t="array" ref="R188">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88" t="str" cm="1">
        <f t="array" ref="S18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88" t="str">
        <f>TEXT(tbl_analysis_tickets[[#This Row],[created_date]],"mmm-yyyy")</f>
        <v>Mar-2024</v>
      </c>
      <c r="U188" t="str">
        <f>TEXT(tbl_analysis_tickets[[#This Row],[created_date]],"dddd")</f>
        <v>Sunday</v>
      </c>
      <c r="V188" cm="1">
        <f t="array" ref="V188">_xlfn.SWITCH(tbl_analysis_tickets[[#This Row],[priority]],
"Urgent",1,
"High",2,
"Medium",3,
"Low",4
)</f>
        <v>1</v>
      </c>
    </row>
    <row r="189" spans="1:22" x14ac:dyDescent="0.25">
      <c r="A189">
        <v>188</v>
      </c>
      <c r="B189" s="1">
        <v>45559</v>
      </c>
      <c r="C189" t="s">
        <v>22</v>
      </c>
      <c r="D189" t="s">
        <v>15</v>
      </c>
      <c r="E189">
        <v>188</v>
      </c>
      <c r="F189">
        <v>13</v>
      </c>
      <c r="G189">
        <v>7</v>
      </c>
      <c r="H189" t="s">
        <v>12</v>
      </c>
      <c r="I189" t="s">
        <v>13</v>
      </c>
      <c r="J189" t="s">
        <v>11</v>
      </c>
      <c r="K189">
        <f>_xlfn.XLOOKUP(tbl_analysis_tickets[[#This Row],[priority]],tbl_sla[priority],tbl_sla[Resolution SLA Hours])</f>
        <v>48</v>
      </c>
      <c r="L189">
        <f>_xlfn.XLOOKUP(tbl_analysis_tickets[[#This Row],[priority]],tbl_sla[priority],tbl_sla[First Response SLA Minutes])</f>
        <v>120</v>
      </c>
      <c r="M189" t="str">
        <f>IF(tbl_analysis_tickets[[#This Row],[resolution_time_hours]]&gt;tbl_analysis_tickets[[#This Row],[Resolution SLA Hours]],"Breached","Within SLA")</f>
        <v>Within SLA</v>
      </c>
      <c r="N189" t="str">
        <f>IF(tbl_analysis_tickets[[#This Row],[first_response_minutes]]&gt;tbl_analysis_tickets[[#This Row],[First Response SLA Minutes]],"Breached","Within SLA")</f>
        <v>Breached</v>
      </c>
      <c r="O189" t="str" cm="1">
        <f t="array" ref="O189">_xlfn.IFS(
tbl_analysis_tickets[[#This Row],[agent_experience_years]]&lt;=2,"Junior",
tbl_analysis_tickets[[#This Row],[agent_experience_years]]&lt;=5,"Mid-Level",
tbl_analysis_tickets[[#This Row],[agent_experience_years]]&lt;=8,"Senior",
tbl_analysis_tickets[[#This Row],[agent_experience_years]]&gt;8,"Expert"
)</f>
        <v>Senior</v>
      </c>
      <c r="P189" cm="1">
        <f t="array" ref="P189">_xlfn.SWITCH(tbl_analysis_tickets[[#This Row],[customer_satisfaction]],
"Low",1,
"Medium",2,
"High",3
)</f>
        <v>1</v>
      </c>
      <c r="Q189">
        <f>IF(tbl_analysis_tickets[[#This Row],[reopened]]="Yes",1,0)</f>
        <v>1</v>
      </c>
      <c r="R189" t="str" cm="1">
        <f t="array" ref="R189">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89" t="str" cm="1">
        <f t="array" ref="S18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89" t="str">
        <f>TEXT(tbl_analysis_tickets[[#This Row],[created_date]],"mmm-yyyy")</f>
        <v>Sep-2024</v>
      </c>
      <c r="U189" t="str">
        <f>TEXT(tbl_analysis_tickets[[#This Row],[created_date]],"dddd")</f>
        <v>Tuesday</v>
      </c>
      <c r="V189" cm="1">
        <f t="array" ref="V189">_xlfn.SWITCH(tbl_analysis_tickets[[#This Row],[priority]],
"Urgent",1,
"High",2,
"Medium",3,
"Low",4
)</f>
        <v>3</v>
      </c>
    </row>
    <row r="190" spans="1:22" x14ac:dyDescent="0.25">
      <c r="A190">
        <v>189</v>
      </c>
      <c r="B190" s="1">
        <v>45526</v>
      </c>
      <c r="C190" t="s">
        <v>23</v>
      </c>
      <c r="D190" t="s">
        <v>11</v>
      </c>
      <c r="E190">
        <v>98</v>
      </c>
      <c r="F190">
        <v>40</v>
      </c>
      <c r="G190">
        <v>5.9</v>
      </c>
      <c r="H190" t="s">
        <v>12</v>
      </c>
      <c r="I190" t="s">
        <v>19</v>
      </c>
      <c r="J190" t="s">
        <v>11</v>
      </c>
      <c r="K190">
        <f>_xlfn.XLOOKUP(tbl_analysis_tickets[[#This Row],[priority]],tbl_sla[priority],tbl_sla[Resolution SLA Hours])</f>
        <v>72</v>
      </c>
      <c r="L190">
        <f>_xlfn.XLOOKUP(tbl_analysis_tickets[[#This Row],[priority]],tbl_sla[priority],tbl_sla[First Response SLA Minutes])</f>
        <v>240</v>
      </c>
      <c r="M190" t="str">
        <f>IF(tbl_analysis_tickets[[#This Row],[resolution_time_hours]]&gt;tbl_analysis_tickets[[#This Row],[Resolution SLA Hours]],"Breached","Within SLA")</f>
        <v>Within SLA</v>
      </c>
      <c r="N190" t="str">
        <f>IF(tbl_analysis_tickets[[#This Row],[first_response_minutes]]&gt;tbl_analysis_tickets[[#This Row],[First Response SLA Minutes]],"Breached","Within SLA")</f>
        <v>Within SLA</v>
      </c>
      <c r="O190" t="str" cm="1">
        <f t="array" ref="O190">_xlfn.IFS(
tbl_analysis_tickets[[#This Row],[agent_experience_years]]&lt;=2,"Junior",
tbl_analysis_tickets[[#This Row],[agent_experience_years]]&lt;=5,"Mid-Level",
tbl_analysis_tickets[[#This Row],[agent_experience_years]]&lt;=8,"Senior",
tbl_analysis_tickets[[#This Row],[agent_experience_years]]&gt;8,"Expert"
)</f>
        <v>Senior</v>
      </c>
      <c r="P190" cm="1">
        <f t="array" ref="P190">_xlfn.SWITCH(tbl_analysis_tickets[[#This Row],[customer_satisfaction]],
"Low",1,
"Medium",2,
"High",3
)</f>
        <v>1</v>
      </c>
      <c r="Q190">
        <f>IF(tbl_analysis_tickets[[#This Row],[reopened]]="Yes",1,0)</f>
        <v>1</v>
      </c>
      <c r="R190" t="str" cm="1">
        <f t="array" ref="R190">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90" t="str" cm="1">
        <f t="array" ref="S19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90" t="str">
        <f>TEXT(tbl_analysis_tickets[[#This Row],[created_date]],"mmm-yyyy")</f>
        <v>Aug-2024</v>
      </c>
      <c r="U190" t="str">
        <f>TEXT(tbl_analysis_tickets[[#This Row],[created_date]],"dddd")</f>
        <v>Thursday</v>
      </c>
      <c r="V190" cm="1">
        <f t="array" ref="V190">_xlfn.SWITCH(tbl_analysis_tickets[[#This Row],[priority]],
"Urgent",1,
"High",2,
"Medium",3,
"Low",4
)</f>
        <v>4</v>
      </c>
    </row>
    <row r="191" spans="1:22" x14ac:dyDescent="0.25">
      <c r="A191">
        <v>190</v>
      </c>
      <c r="B191" s="1">
        <v>45325</v>
      </c>
      <c r="C191" t="s">
        <v>23</v>
      </c>
      <c r="D191" t="s">
        <v>20</v>
      </c>
      <c r="E191">
        <v>190</v>
      </c>
      <c r="F191">
        <v>34</v>
      </c>
      <c r="G191">
        <v>4.9000000000000004</v>
      </c>
      <c r="H191" t="s">
        <v>18</v>
      </c>
      <c r="I191" t="s">
        <v>19</v>
      </c>
      <c r="J191" t="s">
        <v>11</v>
      </c>
      <c r="K191">
        <f>_xlfn.XLOOKUP(tbl_analysis_tickets[[#This Row],[priority]],tbl_sla[priority],tbl_sla[Resolution SLA Hours])</f>
        <v>24</v>
      </c>
      <c r="L191">
        <f>_xlfn.XLOOKUP(tbl_analysis_tickets[[#This Row],[priority]],tbl_sla[priority],tbl_sla[First Response SLA Minutes])</f>
        <v>60</v>
      </c>
      <c r="M191" t="str">
        <f>IF(tbl_analysis_tickets[[#This Row],[resolution_time_hours]]&gt;tbl_analysis_tickets[[#This Row],[Resolution SLA Hours]],"Breached","Within SLA")</f>
        <v>Breached</v>
      </c>
      <c r="N191" t="str">
        <f>IF(tbl_analysis_tickets[[#This Row],[first_response_minutes]]&gt;tbl_analysis_tickets[[#This Row],[First Response SLA Minutes]],"Breached","Within SLA")</f>
        <v>Breached</v>
      </c>
      <c r="O191" t="str" cm="1">
        <f t="array" ref="O191">_xlfn.IFS(
tbl_analysis_tickets[[#This Row],[agent_experience_years]]&lt;=2,"Junior",
tbl_analysis_tickets[[#This Row],[agent_experience_years]]&lt;=5,"Mid-Level",
tbl_analysis_tickets[[#This Row],[agent_experience_years]]&lt;=8,"Senior",
tbl_analysis_tickets[[#This Row],[agent_experience_years]]&gt;8,"Expert"
)</f>
        <v>Mid-Level</v>
      </c>
      <c r="P191" cm="1">
        <f t="array" ref="P191">_xlfn.SWITCH(tbl_analysis_tickets[[#This Row],[customer_satisfaction]],
"Low",1,
"Medium",2,
"High",3
)</f>
        <v>1</v>
      </c>
      <c r="Q191">
        <f>IF(tbl_analysis_tickets[[#This Row],[reopened]]="Yes",1,0)</f>
        <v>0</v>
      </c>
      <c r="R191" t="str" cm="1">
        <f t="array" ref="R191">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91" t="str" cm="1">
        <f t="array" ref="S19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91" t="str">
        <f>TEXT(tbl_analysis_tickets[[#This Row],[created_date]],"mmm-yyyy")</f>
        <v>Feb-2024</v>
      </c>
      <c r="U191" t="str">
        <f>TEXT(tbl_analysis_tickets[[#This Row],[created_date]],"dddd")</f>
        <v>Saturday</v>
      </c>
      <c r="V191" cm="1">
        <f t="array" ref="V191">_xlfn.SWITCH(tbl_analysis_tickets[[#This Row],[priority]],
"Urgent",1,
"High",2,
"Medium",3,
"Low",4
)</f>
        <v>2</v>
      </c>
    </row>
    <row r="192" spans="1:22" x14ac:dyDescent="0.25">
      <c r="A192">
        <v>191</v>
      </c>
      <c r="B192" s="1">
        <v>45482</v>
      </c>
      <c r="C192" t="s">
        <v>22</v>
      </c>
      <c r="D192" t="s">
        <v>20</v>
      </c>
      <c r="E192">
        <v>130</v>
      </c>
      <c r="F192">
        <v>57</v>
      </c>
      <c r="G192">
        <v>3.9</v>
      </c>
      <c r="H192" t="s">
        <v>12</v>
      </c>
      <c r="I192" t="s">
        <v>16</v>
      </c>
      <c r="J192" t="s">
        <v>11</v>
      </c>
      <c r="K192">
        <f>_xlfn.XLOOKUP(tbl_analysis_tickets[[#This Row],[priority]],tbl_sla[priority],tbl_sla[Resolution SLA Hours])</f>
        <v>24</v>
      </c>
      <c r="L192">
        <f>_xlfn.XLOOKUP(tbl_analysis_tickets[[#This Row],[priority]],tbl_sla[priority],tbl_sla[First Response SLA Minutes])</f>
        <v>60</v>
      </c>
      <c r="M192" t="str">
        <f>IF(tbl_analysis_tickets[[#This Row],[resolution_time_hours]]&gt;tbl_analysis_tickets[[#This Row],[Resolution SLA Hours]],"Breached","Within SLA")</f>
        <v>Breached</v>
      </c>
      <c r="N192" t="str">
        <f>IF(tbl_analysis_tickets[[#This Row],[first_response_minutes]]&gt;tbl_analysis_tickets[[#This Row],[First Response SLA Minutes]],"Breached","Within SLA")</f>
        <v>Breached</v>
      </c>
      <c r="O192" t="str" cm="1">
        <f t="array" ref="O192">_xlfn.IFS(
tbl_analysis_tickets[[#This Row],[agent_experience_years]]&lt;=2,"Junior",
tbl_analysis_tickets[[#This Row],[agent_experience_years]]&lt;=5,"Mid-Level",
tbl_analysis_tickets[[#This Row],[agent_experience_years]]&lt;=8,"Senior",
tbl_analysis_tickets[[#This Row],[agent_experience_years]]&gt;8,"Expert"
)</f>
        <v>Mid-Level</v>
      </c>
      <c r="P192" cm="1">
        <f t="array" ref="P192">_xlfn.SWITCH(tbl_analysis_tickets[[#This Row],[customer_satisfaction]],
"Low",1,
"Medium",2,
"High",3
)</f>
        <v>1</v>
      </c>
      <c r="Q192">
        <f>IF(tbl_analysis_tickets[[#This Row],[reopened]]="Yes",1,0)</f>
        <v>1</v>
      </c>
      <c r="R192" t="str" cm="1">
        <f t="array" ref="R192">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92" t="str" cm="1">
        <f t="array" ref="S19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92" t="str">
        <f>TEXT(tbl_analysis_tickets[[#This Row],[created_date]],"mmm-yyyy")</f>
        <v>Jul-2024</v>
      </c>
      <c r="U192" t="str">
        <f>TEXT(tbl_analysis_tickets[[#This Row],[created_date]],"dddd")</f>
        <v>Tuesday</v>
      </c>
      <c r="V192" cm="1">
        <f t="array" ref="V192">_xlfn.SWITCH(tbl_analysis_tickets[[#This Row],[priority]],
"Urgent",1,
"High",2,
"Medium",3,
"Low",4
)</f>
        <v>2</v>
      </c>
    </row>
    <row r="193" spans="1:22" x14ac:dyDescent="0.25">
      <c r="A193">
        <v>192</v>
      </c>
      <c r="B193" s="1">
        <v>45580</v>
      </c>
      <c r="C193" t="s">
        <v>23</v>
      </c>
      <c r="D193" t="s">
        <v>11</v>
      </c>
      <c r="E193">
        <v>213</v>
      </c>
      <c r="F193">
        <v>28</v>
      </c>
      <c r="G193">
        <v>9.8000000000000007</v>
      </c>
      <c r="H193" t="s">
        <v>12</v>
      </c>
      <c r="I193" t="s">
        <v>16</v>
      </c>
      <c r="J193" t="s">
        <v>11</v>
      </c>
      <c r="K193">
        <f>_xlfn.XLOOKUP(tbl_analysis_tickets[[#This Row],[priority]],tbl_sla[priority],tbl_sla[Resolution SLA Hours])</f>
        <v>72</v>
      </c>
      <c r="L193">
        <f>_xlfn.XLOOKUP(tbl_analysis_tickets[[#This Row],[priority]],tbl_sla[priority],tbl_sla[First Response SLA Minutes])</f>
        <v>240</v>
      </c>
      <c r="M193" t="str">
        <f>IF(tbl_analysis_tickets[[#This Row],[resolution_time_hours]]&gt;tbl_analysis_tickets[[#This Row],[Resolution SLA Hours]],"Breached","Within SLA")</f>
        <v>Within SLA</v>
      </c>
      <c r="N193" t="str">
        <f>IF(tbl_analysis_tickets[[#This Row],[first_response_minutes]]&gt;tbl_analysis_tickets[[#This Row],[First Response SLA Minutes]],"Breached","Within SLA")</f>
        <v>Within SLA</v>
      </c>
      <c r="O193" t="str" cm="1">
        <f t="array" ref="O193">_xlfn.IFS(
tbl_analysis_tickets[[#This Row],[agent_experience_years]]&lt;=2,"Junior",
tbl_analysis_tickets[[#This Row],[agent_experience_years]]&lt;=5,"Mid-Level",
tbl_analysis_tickets[[#This Row],[agent_experience_years]]&lt;=8,"Senior",
tbl_analysis_tickets[[#This Row],[agent_experience_years]]&gt;8,"Expert"
)</f>
        <v>Expert</v>
      </c>
      <c r="P193" cm="1">
        <f t="array" ref="P193">_xlfn.SWITCH(tbl_analysis_tickets[[#This Row],[customer_satisfaction]],
"Low",1,
"Medium",2,
"High",3
)</f>
        <v>1</v>
      </c>
      <c r="Q193">
        <f>IF(tbl_analysis_tickets[[#This Row],[reopened]]="Yes",1,0)</f>
        <v>1</v>
      </c>
      <c r="R193" t="str" cm="1">
        <f t="array" ref="R193">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93" t="str" cm="1">
        <f t="array" ref="S19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93" t="str">
        <f>TEXT(tbl_analysis_tickets[[#This Row],[created_date]],"mmm-yyyy")</f>
        <v>Oct-2024</v>
      </c>
      <c r="U193" t="str">
        <f>TEXT(tbl_analysis_tickets[[#This Row],[created_date]],"dddd")</f>
        <v>Tuesday</v>
      </c>
      <c r="V193" cm="1">
        <f t="array" ref="V193">_xlfn.SWITCH(tbl_analysis_tickets[[#This Row],[priority]],
"Urgent",1,
"High",2,
"Medium",3,
"Low",4
)</f>
        <v>4</v>
      </c>
    </row>
    <row r="194" spans="1:22" x14ac:dyDescent="0.25">
      <c r="A194">
        <v>193</v>
      </c>
      <c r="B194" s="1">
        <v>45527</v>
      </c>
      <c r="C194" t="s">
        <v>10</v>
      </c>
      <c r="D194" t="s">
        <v>15</v>
      </c>
      <c r="E194">
        <v>239</v>
      </c>
      <c r="F194">
        <v>44</v>
      </c>
      <c r="G194">
        <v>5.2</v>
      </c>
      <c r="H194" t="s">
        <v>12</v>
      </c>
      <c r="I194" t="s">
        <v>16</v>
      </c>
      <c r="J194" t="s">
        <v>11</v>
      </c>
      <c r="K194">
        <f>_xlfn.XLOOKUP(tbl_analysis_tickets[[#This Row],[priority]],tbl_sla[priority],tbl_sla[Resolution SLA Hours])</f>
        <v>48</v>
      </c>
      <c r="L194">
        <f>_xlfn.XLOOKUP(tbl_analysis_tickets[[#This Row],[priority]],tbl_sla[priority],tbl_sla[First Response SLA Minutes])</f>
        <v>120</v>
      </c>
      <c r="M194" t="str">
        <f>IF(tbl_analysis_tickets[[#This Row],[resolution_time_hours]]&gt;tbl_analysis_tickets[[#This Row],[Resolution SLA Hours]],"Breached","Within SLA")</f>
        <v>Within SLA</v>
      </c>
      <c r="N194" t="str">
        <f>IF(tbl_analysis_tickets[[#This Row],[first_response_minutes]]&gt;tbl_analysis_tickets[[#This Row],[First Response SLA Minutes]],"Breached","Within SLA")</f>
        <v>Breached</v>
      </c>
      <c r="O194" t="str" cm="1">
        <f t="array" ref="O194">_xlfn.IFS(
tbl_analysis_tickets[[#This Row],[agent_experience_years]]&lt;=2,"Junior",
tbl_analysis_tickets[[#This Row],[agent_experience_years]]&lt;=5,"Mid-Level",
tbl_analysis_tickets[[#This Row],[agent_experience_years]]&lt;=8,"Senior",
tbl_analysis_tickets[[#This Row],[agent_experience_years]]&gt;8,"Expert"
)</f>
        <v>Senior</v>
      </c>
      <c r="P194" cm="1">
        <f t="array" ref="P194">_xlfn.SWITCH(tbl_analysis_tickets[[#This Row],[customer_satisfaction]],
"Low",1,
"Medium",2,
"High",3
)</f>
        <v>1</v>
      </c>
      <c r="Q194">
        <f>IF(tbl_analysis_tickets[[#This Row],[reopened]]="Yes",1,0)</f>
        <v>1</v>
      </c>
      <c r="R194" t="str" cm="1">
        <f t="array" ref="R194">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94" t="str" cm="1">
        <f t="array" ref="S19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94" t="str">
        <f>TEXT(tbl_analysis_tickets[[#This Row],[created_date]],"mmm-yyyy")</f>
        <v>Aug-2024</v>
      </c>
      <c r="U194" t="str">
        <f>TEXT(tbl_analysis_tickets[[#This Row],[created_date]],"dddd")</f>
        <v>Friday</v>
      </c>
      <c r="V194" cm="1">
        <f t="array" ref="V194">_xlfn.SWITCH(tbl_analysis_tickets[[#This Row],[priority]],
"Urgent",1,
"High",2,
"Medium",3,
"Low",4
)</f>
        <v>3</v>
      </c>
    </row>
    <row r="195" spans="1:22" x14ac:dyDescent="0.25">
      <c r="A195">
        <v>194</v>
      </c>
      <c r="B195" s="1">
        <v>45408</v>
      </c>
      <c r="C195" t="s">
        <v>10</v>
      </c>
      <c r="D195" t="s">
        <v>11</v>
      </c>
      <c r="E195">
        <v>197</v>
      </c>
      <c r="F195">
        <v>36</v>
      </c>
      <c r="G195">
        <v>9.3000000000000007</v>
      </c>
      <c r="H195" t="s">
        <v>12</v>
      </c>
      <c r="I195" t="s">
        <v>13</v>
      </c>
      <c r="J195" t="s">
        <v>11</v>
      </c>
      <c r="K195">
        <f>_xlfn.XLOOKUP(tbl_analysis_tickets[[#This Row],[priority]],tbl_sla[priority],tbl_sla[Resolution SLA Hours])</f>
        <v>72</v>
      </c>
      <c r="L195">
        <f>_xlfn.XLOOKUP(tbl_analysis_tickets[[#This Row],[priority]],tbl_sla[priority],tbl_sla[First Response SLA Minutes])</f>
        <v>240</v>
      </c>
      <c r="M195" t="str">
        <f>IF(tbl_analysis_tickets[[#This Row],[resolution_time_hours]]&gt;tbl_analysis_tickets[[#This Row],[Resolution SLA Hours]],"Breached","Within SLA")</f>
        <v>Within SLA</v>
      </c>
      <c r="N195" t="str">
        <f>IF(tbl_analysis_tickets[[#This Row],[first_response_minutes]]&gt;tbl_analysis_tickets[[#This Row],[First Response SLA Minutes]],"Breached","Within SLA")</f>
        <v>Within SLA</v>
      </c>
      <c r="O195" t="str" cm="1">
        <f t="array" ref="O195">_xlfn.IFS(
tbl_analysis_tickets[[#This Row],[agent_experience_years]]&lt;=2,"Junior",
tbl_analysis_tickets[[#This Row],[agent_experience_years]]&lt;=5,"Mid-Level",
tbl_analysis_tickets[[#This Row],[agent_experience_years]]&lt;=8,"Senior",
tbl_analysis_tickets[[#This Row],[agent_experience_years]]&gt;8,"Expert"
)</f>
        <v>Expert</v>
      </c>
      <c r="P195" cm="1">
        <f t="array" ref="P195">_xlfn.SWITCH(tbl_analysis_tickets[[#This Row],[customer_satisfaction]],
"Low",1,
"Medium",2,
"High",3
)</f>
        <v>1</v>
      </c>
      <c r="Q195">
        <f>IF(tbl_analysis_tickets[[#This Row],[reopened]]="Yes",1,0)</f>
        <v>1</v>
      </c>
      <c r="R195" t="str" cm="1">
        <f t="array" ref="R195">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95" t="str" cm="1">
        <f t="array" ref="S19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95" t="str">
        <f>TEXT(tbl_analysis_tickets[[#This Row],[created_date]],"mmm-yyyy")</f>
        <v>Apr-2024</v>
      </c>
      <c r="U195" t="str">
        <f>TEXT(tbl_analysis_tickets[[#This Row],[created_date]],"dddd")</f>
        <v>Friday</v>
      </c>
      <c r="V195" cm="1">
        <f t="array" ref="V195">_xlfn.SWITCH(tbl_analysis_tickets[[#This Row],[priority]],
"Urgent",1,
"High",2,
"Medium",3,
"Low",4
)</f>
        <v>4</v>
      </c>
    </row>
    <row r="196" spans="1:22" x14ac:dyDescent="0.25">
      <c r="A196">
        <v>195</v>
      </c>
      <c r="B196" s="1">
        <v>45467</v>
      </c>
      <c r="C196" t="s">
        <v>10</v>
      </c>
      <c r="D196" t="s">
        <v>15</v>
      </c>
      <c r="E196">
        <v>138</v>
      </c>
      <c r="F196">
        <v>5</v>
      </c>
      <c r="G196">
        <v>7.1</v>
      </c>
      <c r="H196" t="s">
        <v>12</v>
      </c>
      <c r="I196" t="s">
        <v>19</v>
      </c>
      <c r="J196" t="s">
        <v>15</v>
      </c>
      <c r="K196">
        <f>_xlfn.XLOOKUP(tbl_analysis_tickets[[#This Row],[priority]],tbl_sla[priority],tbl_sla[Resolution SLA Hours])</f>
        <v>48</v>
      </c>
      <c r="L196">
        <f>_xlfn.XLOOKUP(tbl_analysis_tickets[[#This Row],[priority]],tbl_sla[priority],tbl_sla[First Response SLA Minutes])</f>
        <v>120</v>
      </c>
      <c r="M196" t="str">
        <f>IF(tbl_analysis_tickets[[#This Row],[resolution_time_hours]]&gt;tbl_analysis_tickets[[#This Row],[Resolution SLA Hours]],"Breached","Within SLA")</f>
        <v>Within SLA</v>
      </c>
      <c r="N196" t="str">
        <f>IF(tbl_analysis_tickets[[#This Row],[first_response_minutes]]&gt;tbl_analysis_tickets[[#This Row],[First Response SLA Minutes]],"Breached","Within SLA")</f>
        <v>Breached</v>
      </c>
      <c r="O196" t="str" cm="1">
        <f t="array" ref="O196">_xlfn.IFS(
tbl_analysis_tickets[[#This Row],[agent_experience_years]]&lt;=2,"Junior",
tbl_analysis_tickets[[#This Row],[agent_experience_years]]&lt;=5,"Mid-Level",
tbl_analysis_tickets[[#This Row],[agent_experience_years]]&lt;=8,"Senior",
tbl_analysis_tickets[[#This Row],[agent_experience_years]]&gt;8,"Expert"
)</f>
        <v>Senior</v>
      </c>
      <c r="P196" cm="1">
        <f t="array" ref="P196">_xlfn.SWITCH(tbl_analysis_tickets[[#This Row],[customer_satisfaction]],
"Low",1,
"Medium",2,
"High",3
)</f>
        <v>2</v>
      </c>
      <c r="Q196">
        <f>IF(tbl_analysis_tickets[[#This Row],[reopened]]="Yes",1,0)</f>
        <v>1</v>
      </c>
      <c r="R196" t="str" cm="1">
        <f t="array" ref="R196">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96" t="str" cm="1">
        <f t="array" ref="S19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196" t="str">
        <f>TEXT(tbl_analysis_tickets[[#This Row],[created_date]],"mmm-yyyy")</f>
        <v>Jun-2024</v>
      </c>
      <c r="U196" t="str">
        <f>TEXT(tbl_analysis_tickets[[#This Row],[created_date]],"dddd")</f>
        <v>Monday</v>
      </c>
      <c r="V196" cm="1">
        <f t="array" ref="V196">_xlfn.SWITCH(tbl_analysis_tickets[[#This Row],[priority]],
"Urgent",1,
"High",2,
"Medium",3,
"Low",4
)</f>
        <v>3</v>
      </c>
    </row>
    <row r="197" spans="1:22" x14ac:dyDescent="0.25">
      <c r="A197">
        <v>196</v>
      </c>
      <c r="B197" s="1">
        <v>45337</v>
      </c>
      <c r="C197" t="s">
        <v>23</v>
      </c>
      <c r="D197" t="s">
        <v>17</v>
      </c>
      <c r="E197">
        <v>170</v>
      </c>
      <c r="F197">
        <v>70</v>
      </c>
      <c r="G197">
        <v>5</v>
      </c>
      <c r="H197" t="s">
        <v>12</v>
      </c>
      <c r="I197" t="s">
        <v>16</v>
      </c>
      <c r="J197" t="s">
        <v>11</v>
      </c>
      <c r="K197">
        <f>_xlfn.XLOOKUP(tbl_analysis_tickets[[#This Row],[priority]],tbl_sla[priority],tbl_sla[Resolution SLA Hours])</f>
        <v>8</v>
      </c>
      <c r="L197">
        <f>_xlfn.XLOOKUP(tbl_analysis_tickets[[#This Row],[priority]],tbl_sla[priority],tbl_sla[First Response SLA Minutes])</f>
        <v>30</v>
      </c>
      <c r="M197" t="str">
        <f>IF(tbl_analysis_tickets[[#This Row],[resolution_time_hours]]&gt;tbl_analysis_tickets[[#This Row],[Resolution SLA Hours]],"Breached","Within SLA")</f>
        <v>Breached</v>
      </c>
      <c r="N197" t="str">
        <f>IF(tbl_analysis_tickets[[#This Row],[first_response_minutes]]&gt;tbl_analysis_tickets[[#This Row],[First Response SLA Minutes]],"Breached","Within SLA")</f>
        <v>Breached</v>
      </c>
      <c r="O197" t="str" cm="1">
        <f t="array" ref="O197">_xlfn.IFS(
tbl_analysis_tickets[[#This Row],[agent_experience_years]]&lt;=2,"Junior",
tbl_analysis_tickets[[#This Row],[agent_experience_years]]&lt;=5,"Mid-Level",
tbl_analysis_tickets[[#This Row],[agent_experience_years]]&lt;=8,"Senior",
tbl_analysis_tickets[[#This Row],[agent_experience_years]]&gt;8,"Expert"
)</f>
        <v>Mid-Level</v>
      </c>
      <c r="P197" cm="1">
        <f t="array" ref="P197">_xlfn.SWITCH(tbl_analysis_tickets[[#This Row],[customer_satisfaction]],
"Low",1,
"Medium",2,
"High",3
)</f>
        <v>1</v>
      </c>
      <c r="Q197">
        <f>IF(tbl_analysis_tickets[[#This Row],[reopened]]="Yes",1,0)</f>
        <v>1</v>
      </c>
      <c r="R197" t="str" cm="1">
        <f t="array" ref="R197">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97" t="str" cm="1">
        <f t="array" ref="S19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97" t="str">
        <f>TEXT(tbl_analysis_tickets[[#This Row],[created_date]],"mmm-yyyy")</f>
        <v>Feb-2024</v>
      </c>
      <c r="U197" t="str">
        <f>TEXT(tbl_analysis_tickets[[#This Row],[created_date]],"dddd")</f>
        <v>Thursday</v>
      </c>
      <c r="V197" cm="1">
        <f t="array" ref="V197">_xlfn.SWITCH(tbl_analysis_tickets[[#This Row],[priority]],
"Urgent",1,
"High",2,
"Medium",3,
"Low",4
)</f>
        <v>1</v>
      </c>
    </row>
    <row r="198" spans="1:22" x14ac:dyDescent="0.25">
      <c r="A198">
        <v>197</v>
      </c>
      <c r="B198" s="1">
        <v>45502</v>
      </c>
      <c r="C198" t="s">
        <v>14</v>
      </c>
      <c r="D198" t="s">
        <v>15</v>
      </c>
      <c r="E198">
        <v>220</v>
      </c>
      <c r="F198">
        <v>1</v>
      </c>
      <c r="G198">
        <v>8.6</v>
      </c>
      <c r="H198" t="s">
        <v>12</v>
      </c>
      <c r="I198" t="s">
        <v>19</v>
      </c>
      <c r="J198" t="s">
        <v>15</v>
      </c>
      <c r="K198">
        <f>_xlfn.XLOOKUP(tbl_analysis_tickets[[#This Row],[priority]],tbl_sla[priority],tbl_sla[Resolution SLA Hours])</f>
        <v>48</v>
      </c>
      <c r="L198">
        <f>_xlfn.XLOOKUP(tbl_analysis_tickets[[#This Row],[priority]],tbl_sla[priority],tbl_sla[First Response SLA Minutes])</f>
        <v>120</v>
      </c>
      <c r="M198" t="str">
        <f>IF(tbl_analysis_tickets[[#This Row],[resolution_time_hours]]&gt;tbl_analysis_tickets[[#This Row],[Resolution SLA Hours]],"Breached","Within SLA")</f>
        <v>Within SLA</v>
      </c>
      <c r="N198" t="str">
        <f>IF(tbl_analysis_tickets[[#This Row],[first_response_minutes]]&gt;tbl_analysis_tickets[[#This Row],[First Response SLA Minutes]],"Breached","Within SLA")</f>
        <v>Breached</v>
      </c>
      <c r="O198" t="str" cm="1">
        <f t="array" ref="O198">_xlfn.IFS(
tbl_analysis_tickets[[#This Row],[agent_experience_years]]&lt;=2,"Junior",
tbl_analysis_tickets[[#This Row],[agent_experience_years]]&lt;=5,"Mid-Level",
tbl_analysis_tickets[[#This Row],[agent_experience_years]]&lt;=8,"Senior",
tbl_analysis_tickets[[#This Row],[agent_experience_years]]&gt;8,"Expert"
)</f>
        <v>Expert</v>
      </c>
      <c r="P198" cm="1">
        <f t="array" ref="P198">_xlfn.SWITCH(tbl_analysis_tickets[[#This Row],[customer_satisfaction]],
"Low",1,
"Medium",2,
"High",3
)</f>
        <v>2</v>
      </c>
      <c r="Q198">
        <f>IF(tbl_analysis_tickets[[#This Row],[reopened]]="Yes",1,0)</f>
        <v>1</v>
      </c>
      <c r="R198" t="str" cm="1">
        <f t="array" ref="R198">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98" t="str" cm="1">
        <f t="array" ref="S19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198" t="str">
        <f>TEXT(tbl_analysis_tickets[[#This Row],[created_date]],"mmm-yyyy")</f>
        <v>Jul-2024</v>
      </c>
      <c r="U198" t="str">
        <f>TEXT(tbl_analysis_tickets[[#This Row],[created_date]],"dddd")</f>
        <v>Monday</v>
      </c>
      <c r="V198" cm="1">
        <f t="array" ref="V198">_xlfn.SWITCH(tbl_analysis_tickets[[#This Row],[priority]],
"Urgent",1,
"High",2,
"Medium",3,
"Low",4
)</f>
        <v>3</v>
      </c>
    </row>
    <row r="199" spans="1:22" x14ac:dyDescent="0.25">
      <c r="A199">
        <v>198</v>
      </c>
      <c r="B199" s="1">
        <v>45585</v>
      </c>
      <c r="C199" t="s">
        <v>23</v>
      </c>
      <c r="D199" t="s">
        <v>20</v>
      </c>
      <c r="E199">
        <v>179</v>
      </c>
      <c r="F199">
        <v>59</v>
      </c>
      <c r="G199">
        <v>9.1999999999999993</v>
      </c>
      <c r="H199" t="s">
        <v>18</v>
      </c>
      <c r="I199" t="s">
        <v>19</v>
      </c>
      <c r="J199" t="s">
        <v>11</v>
      </c>
      <c r="K199">
        <f>_xlfn.XLOOKUP(tbl_analysis_tickets[[#This Row],[priority]],tbl_sla[priority],tbl_sla[Resolution SLA Hours])</f>
        <v>24</v>
      </c>
      <c r="L199">
        <f>_xlfn.XLOOKUP(tbl_analysis_tickets[[#This Row],[priority]],tbl_sla[priority],tbl_sla[First Response SLA Minutes])</f>
        <v>60</v>
      </c>
      <c r="M199" t="str">
        <f>IF(tbl_analysis_tickets[[#This Row],[resolution_time_hours]]&gt;tbl_analysis_tickets[[#This Row],[Resolution SLA Hours]],"Breached","Within SLA")</f>
        <v>Breached</v>
      </c>
      <c r="N199" t="str">
        <f>IF(tbl_analysis_tickets[[#This Row],[first_response_minutes]]&gt;tbl_analysis_tickets[[#This Row],[First Response SLA Minutes]],"Breached","Within SLA")</f>
        <v>Breached</v>
      </c>
      <c r="O199" t="str" cm="1">
        <f t="array" ref="O199">_xlfn.IFS(
tbl_analysis_tickets[[#This Row],[agent_experience_years]]&lt;=2,"Junior",
tbl_analysis_tickets[[#This Row],[agent_experience_years]]&lt;=5,"Mid-Level",
tbl_analysis_tickets[[#This Row],[agent_experience_years]]&lt;=8,"Senior",
tbl_analysis_tickets[[#This Row],[agent_experience_years]]&gt;8,"Expert"
)</f>
        <v>Expert</v>
      </c>
      <c r="P199" cm="1">
        <f t="array" ref="P199">_xlfn.SWITCH(tbl_analysis_tickets[[#This Row],[customer_satisfaction]],
"Low",1,
"Medium",2,
"High",3
)</f>
        <v>1</v>
      </c>
      <c r="Q199">
        <f>IF(tbl_analysis_tickets[[#This Row],[reopened]]="Yes",1,0)</f>
        <v>0</v>
      </c>
      <c r="R199" t="str" cm="1">
        <f t="array" ref="R199">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99" t="str" cm="1">
        <f t="array" ref="S19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99" t="str">
        <f>TEXT(tbl_analysis_tickets[[#This Row],[created_date]],"mmm-yyyy")</f>
        <v>Oct-2024</v>
      </c>
      <c r="U199" t="str">
        <f>TEXT(tbl_analysis_tickets[[#This Row],[created_date]],"dddd")</f>
        <v>Sunday</v>
      </c>
      <c r="V199" cm="1">
        <f t="array" ref="V199">_xlfn.SWITCH(tbl_analysis_tickets[[#This Row],[priority]],
"Urgent",1,
"High",2,
"Medium",3,
"Low",4
)</f>
        <v>2</v>
      </c>
    </row>
    <row r="200" spans="1:22" x14ac:dyDescent="0.25">
      <c r="A200">
        <v>199</v>
      </c>
      <c r="B200" s="1">
        <v>45523</v>
      </c>
      <c r="C200" t="s">
        <v>10</v>
      </c>
      <c r="D200" t="s">
        <v>15</v>
      </c>
      <c r="E200">
        <v>86</v>
      </c>
      <c r="F200">
        <v>62</v>
      </c>
      <c r="G200">
        <v>9.9</v>
      </c>
      <c r="H200" t="s">
        <v>18</v>
      </c>
      <c r="I200" t="s">
        <v>13</v>
      </c>
      <c r="J200" t="s">
        <v>15</v>
      </c>
      <c r="K200">
        <f>_xlfn.XLOOKUP(tbl_analysis_tickets[[#This Row],[priority]],tbl_sla[priority],tbl_sla[Resolution SLA Hours])</f>
        <v>48</v>
      </c>
      <c r="L200">
        <f>_xlfn.XLOOKUP(tbl_analysis_tickets[[#This Row],[priority]],tbl_sla[priority],tbl_sla[First Response SLA Minutes])</f>
        <v>120</v>
      </c>
      <c r="M200" t="str">
        <f>IF(tbl_analysis_tickets[[#This Row],[resolution_time_hours]]&gt;tbl_analysis_tickets[[#This Row],[Resolution SLA Hours]],"Breached","Within SLA")</f>
        <v>Breached</v>
      </c>
      <c r="N200" t="str">
        <f>IF(tbl_analysis_tickets[[#This Row],[first_response_minutes]]&gt;tbl_analysis_tickets[[#This Row],[First Response SLA Minutes]],"Breached","Within SLA")</f>
        <v>Within SLA</v>
      </c>
      <c r="O200" t="str" cm="1">
        <f t="array" ref="O200">_xlfn.IFS(
tbl_analysis_tickets[[#This Row],[agent_experience_years]]&lt;=2,"Junior",
tbl_analysis_tickets[[#This Row],[agent_experience_years]]&lt;=5,"Mid-Level",
tbl_analysis_tickets[[#This Row],[agent_experience_years]]&lt;=8,"Senior",
tbl_analysis_tickets[[#This Row],[agent_experience_years]]&gt;8,"Expert"
)</f>
        <v>Expert</v>
      </c>
      <c r="P200" cm="1">
        <f t="array" ref="P200">_xlfn.SWITCH(tbl_analysis_tickets[[#This Row],[customer_satisfaction]],
"Low",1,
"Medium",2,
"High",3
)</f>
        <v>2</v>
      </c>
      <c r="Q200">
        <f>IF(tbl_analysis_tickets[[#This Row],[reopened]]="Yes",1,0)</f>
        <v>0</v>
      </c>
      <c r="R200" t="str" cm="1">
        <f t="array" ref="R200">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00" t="str" cm="1">
        <f t="array" ref="S20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00" t="str">
        <f>TEXT(tbl_analysis_tickets[[#This Row],[created_date]],"mmm-yyyy")</f>
        <v>Aug-2024</v>
      </c>
      <c r="U200" t="str">
        <f>TEXT(tbl_analysis_tickets[[#This Row],[created_date]],"dddd")</f>
        <v>Monday</v>
      </c>
      <c r="V200" cm="1">
        <f t="array" ref="V200">_xlfn.SWITCH(tbl_analysis_tickets[[#This Row],[priority]],
"Urgent",1,
"High",2,
"Medium",3,
"Low",4
)</f>
        <v>3</v>
      </c>
    </row>
    <row r="201" spans="1:22" x14ac:dyDescent="0.25">
      <c r="A201">
        <v>200</v>
      </c>
      <c r="B201" s="1">
        <v>45363</v>
      </c>
      <c r="C201" t="s">
        <v>21</v>
      </c>
      <c r="D201" t="s">
        <v>17</v>
      </c>
      <c r="E201">
        <v>65</v>
      </c>
      <c r="F201">
        <v>60</v>
      </c>
      <c r="G201">
        <v>7</v>
      </c>
      <c r="H201" t="s">
        <v>12</v>
      </c>
      <c r="I201" t="s">
        <v>16</v>
      </c>
      <c r="J201" t="s">
        <v>11</v>
      </c>
      <c r="K201">
        <f>_xlfn.XLOOKUP(tbl_analysis_tickets[[#This Row],[priority]],tbl_sla[priority],tbl_sla[Resolution SLA Hours])</f>
        <v>8</v>
      </c>
      <c r="L201">
        <f>_xlfn.XLOOKUP(tbl_analysis_tickets[[#This Row],[priority]],tbl_sla[priority],tbl_sla[First Response SLA Minutes])</f>
        <v>30</v>
      </c>
      <c r="M201" t="str">
        <f>IF(tbl_analysis_tickets[[#This Row],[resolution_time_hours]]&gt;tbl_analysis_tickets[[#This Row],[Resolution SLA Hours]],"Breached","Within SLA")</f>
        <v>Breached</v>
      </c>
      <c r="N201" t="str">
        <f>IF(tbl_analysis_tickets[[#This Row],[first_response_minutes]]&gt;tbl_analysis_tickets[[#This Row],[First Response SLA Minutes]],"Breached","Within SLA")</f>
        <v>Breached</v>
      </c>
      <c r="O201" t="str" cm="1">
        <f t="array" ref="O201">_xlfn.IFS(
tbl_analysis_tickets[[#This Row],[agent_experience_years]]&lt;=2,"Junior",
tbl_analysis_tickets[[#This Row],[agent_experience_years]]&lt;=5,"Mid-Level",
tbl_analysis_tickets[[#This Row],[agent_experience_years]]&lt;=8,"Senior",
tbl_analysis_tickets[[#This Row],[agent_experience_years]]&gt;8,"Expert"
)</f>
        <v>Senior</v>
      </c>
      <c r="P201" cm="1">
        <f t="array" ref="P201">_xlfn.SWITCH(tbl_analysis_tickets[[#This Row],[customer_satisfaction]],
"Low",1,
"Medium",2,
"High",3
)</f>
        <v>1</v>
      </c>
      <c r="Q201">
        <f>IF(tbl_analysis_tickets[[#This Row],[reopened]]="Yes",1,0)</f>
        <v>1</v>
      </c>
      <c r="R201" t="str" cm="1">
        <f t="array" ref="R201">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01" t="str" cm="1">
        <f t="array" ref="S20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01" t="str">
        <f>TEXT(tbl_analysis_tickets[[#This Row],[created_date]],"mmm-yyyy")</f>
        <v>Mar-2024</v>
      </c>
      <c r="U201" t="str">
        <f>TEXT(tbl_analysis_tickets[[#This Row],[created_date]],"dddd")</f>
        <v>Tuesday</v>
      </c>
      <c r="V201" cm="1">
        <f t="array" ref="V201">_xlfn.SWITCH(tbl_analysis_tickets[[#This Row],[priority]],
"Urgent",1,
"High",2,
"Medium",3,
"Low",4
)</f>
        <v>1</v>
      </c>
    </row>
    <row r="202" spans="1:22" x14ac:dyDescent="0.25">
      <c r="A202">
        <v>201</v>
      </c>
      <c r="B202" s="1">
        <v>45610</v>
      </c>
      <c r="C202" t="s">
        <v>23</v>
      </c>
      <c r="D202" t="s">
        <v>20</v>
      </c>
      <c r="E202">
        <v>67</v>
      </c>
      <c r="F202">
        <v>6</v>
      </c>
      <c r="G202">
        <v>0.6</v>
      </c>
      <c r="H202" t="s">
        <v>12</v>
      </c>
      <c r="I202" t="s">
        <v>19</v>
      </c>
      <c r="J202" t="s">
        <v>11</v>
      </c>
      <c r="K202">
        <f>_xlfn.XLOOKUP(tbl_analysis_tickets[[#This Row],[priority]],tbl_sla[priority],tbl_sla[Resolution SLA Hours])</f>
        <v>24</v>
      </c>
      <c r="L202">
        <f>_xlfn.XLOOKUP(tbl_analysis_tickets[[#This Row],[priority]],tbl_sla[priority],tbl_sla[First Response SLA Minutes])</f>
        <v>60</v>
      </c>
      <c r="M202" t="str">
        <f>IF(tbl_analysis_tickets[[#This Row],[resolution_time_hours]]&gt;tbl_analysis_tickets[[#This Row],[Resolution SLA Hours]],"Breached","Within SLA")</f>
        <v>Within SLA</v>
      </c>
      <c r="N202" t="str">
        <f>IF(tbl_analysis_tickets[[#This Row],[first_response_minutes]]&gt;tbl_analysis_tickets[[#This Row],[First Response SLA Minutes]],"Breached","Within SLA")</f>
        <v>Breached</v>
      </c>
      <c r="O202" t="str" cm="1">
        <f t="array" ref="O202">_xlfn.IFS(
tbl_analysis_tickets[[#This Row],[agent_experience_years]]&lt;=2,"Junior",
tbl_analysis_tickets[[#This Row],[agent_experience_years]]&lt;=5,"Mid-Level",
tbl_analysis_tickets[[#This Row],[agent_experience_years]]&lt;=8,"Senior",
tbl_analysis_tickets[[#This Row],[agent_experience_years]]&gt;8,"Expert"
)</f>
        <v>Junior</v>
      </c>
      <c r="P202" cm="1">
        <f t="array" ref="P202">_xlfn.SWITCH(tbl_analysis_tickets[[#This Row],[customer_satisfaction]],
"Low",1,
"Medium",2,
"High",3
)</f>
        <v>1</v>
      </c>
      <c r="Q202">
        <f>IF(tbl_analysis_tickets[[#This Row],[reopened]]="Yes",1,0)</f>
        <v>1</v>
      </c>
      <c r="R202" t="str" cm="1">
        <f t="array" ref="R202">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02" t="str" cm="1">
        <f t="array" ref="S20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202" t="str">
        <f>TEXT(tbl_analysis_tickets[[#This Row],[created_date]],"mmm-yyyy")</f>
        <v>Nov-2024</v>
      </c>
      <c r="U202" t="str">
        <f>TEXT(tbl_analysis_tickets[[#This Row],[created_date]],"dddd")</f>
        <v>Thursday</v>
      </c>
      <c r="V202" cm="1">
        <f t="array" ref="V202">_xlfn.SWITCH(tbl_analysis_tickets[[#This Row],[priority]],
"Urgent",1,
"High",2,
"Medium",3,
"Low",4
)</f>
        <v>2</v>
      </c>
    </row>
    <row r="203" spans="1:22" x14ac:dyDescent="0.25">
      <c r="A203">
        <v>202</v>
      </c>
      <c r="B203" s="1">
        <v>45601</v>
      </c>
      <c r="C203" t="s">
        <v>10</v>
      </c>
      <c r="D203" t="s">
        <v>17</v>
      </c>
      <c r="E203">
        <v>32</v>
      </c>
      <c r="F203">
        <v>58</v>
      </c>
      <c r="G203">
        <v>2.1</v>
      </c>
      <c r="H203" t="s">
        <v>12</v>
      </c>
      <c r="I203" t="s">
        <v>16</v>
      </c>
      <c r="J203" t="s">
        <v>11</v>
      </c>
      <c r="K203">
        <f>_xlfn.XLOOKUP(tbl_analysis_tickets[[#This Row],[priority]],tbl_sla[priority],tbl_sla[Resolution SLA Hours])</f>
        <v>8</v>
      </c>
      <c r="L203">
        <f>_xlfn.XLOOKUP(tbl_analysis_tickets[[#This Row],[priority]],tbl_sla[priority],tbl_sla[First Response SLA Minutes])</f>
        <v>30</v>
      </c>
      <c r="M203" t="str">
        <f>IF(tbl_analysis_tickets[[#This Row],[resolution_time_hours]]&gt;tbl_analysis_tickets[[#This Row],[Resolution SLA Hours]],"Breached","Within SLA")</f>
        <v>Breached</v>
      </c>
      <c r="N203" t="str">
        <f>IF(tbl_analysis_tickets[[#This Row],[first_response_minutes]]&gt;tbl_analysis_tickets[[#This Row],[First Response SLA Minutes]],"Breached","Within SLA")</f>
        <v>Breached</v>
      </c>
      <c r="O203" t="str" cm="1">
        <f t="array" ref="O203">_xlfn.IFS(
tbl_analysis_tickets[[#This Row],[agent_experience_years]]&lt;=2,"Junior",
tbl_analysis_tickets[[#This Row],[agent_experience_years]]&lt;=5,"Mid-Level",
tbl_analysis_tickets[[#This Row],[agent_experience_years]]&lt;=8,"Senior",
tbl_analysis_tickets[[#This Row],[agent_experience_years]]&gt;8,"Expert"
)</f>
        <v>Mid-Level</v>
      </c>
      <c r="P203" cm="1">
        <f t="array" ref="P203">_xlfn.SWITCH(tbl_analysis_tickets[[#This Row],[customer_satisfaction]],
"Low",1,
"Medium",2,
"High",3
)</f>
        <v>1</v>
      </c>
      <c r="Q203">
        <f>IF(tbl_analysis_tickets[[#This Row],[reopened]]="Yes",1,0)</f>
        <v>1</v>
      </c>
      <c r="R203" t="str" cm="1">
        <f t="array" ref="R203">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03" t="str" cm="1">
        <f t="array" ref="S20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03" t="str">
        <f>TEXT(tbl_analysis_tickets[[#This Row],[created_date]],"mmm-yyyy")</f>
        <v>Nov-2024</v>
      </c>
      <c r="U203" t="str">
        <f>TEXT(tbl_analysis_tickets[[#This Row],[created_date]],"dddd")</f>
        <v>Tuesday</v>
      </c>
      <c r="V203" cm="1">
        <f t="array" ref="V203">_xlfn.SWITCH(tbl_analysis_tickets[[#This Row],[priority]],
"Urgent",1,
"High",2,
"Medium",3,
"Low",4
)</f>
        <v>1</v>
      </c>
    </row>
    <row r="204" spans="1:22" x14ac:dyDescent="0.25">
      <c r="A204">
        <v>203</v>
      </c>
      <c r="B204" s="1">
        <v>45417</v>
      </c>
      <c r="C204" t="s">
        <v>10</v>
      </c>
      <c r="D204" t="s">
        <v>11</v>
      </c>
      <c r="E204">
        <v>19</v>
      </c>
      <c r="F204">
        <v>70</v>
      </c>
      <c r="G204">
        <v>7.9</v>
      </c>
      <c r="H204" t="s">
        <v>12</v>
      </c>
      <c r="I204" t="s">
        <v>13</v>
      </c>
      <c r="J204" t="s">
        <v>15</v>
      </c>
      <c r="K204">
        <f>_xlfn.XLOOKUP(tbl_analysis_tickets[[#This Row],[priority]],tbl_sla[priority],tbl_sla[Resolution SLA Hours])</f>
        <v>72</v>
      </c>
      <c r="L204">
        <f>_xlfn.XLOOKUP(tbl_analysis_tickets[[#This Row],[priority]],tbl_sla[priority],tbl_sla[First Response SLA Minutes])</f>
        <v>240</v>
      </c>
      <c r="M204" t="str">
        <f>IF(tbl_analysis_tickets[[#This Row],[resolution_time_hours]]&gt;tbl_analysis_tickets[[#This Row],[Resolution SLA Hours]],"Breached","Within SLA")</f>
        <v>Within SLA</v>
      </c>
      <c r="N204" t="str">
        <f>IF(tbl_analysis_tickets[[#This Row],[first_response_minutes]]&gt;tbl_analysis_tickets[[#This Row],[First Response SLA Minutes]],"Breached","Within SLA")</f>
        <v>Within SLA</v>
      </c>
      <c r="O204" t="str" cm="1">
        <f t="array" ref="O204">_xlfn.IFS(
tbl_analysis_tickets[[#This Row],[agent_experience_years]]&lt;=2,"Junior",
tbl_analysis_tickets[[#This Row],[agent_experience_years]]&lt;=5,"Mid-Level",
tbl_analysis_tickets[[#This Row],[agent_experience_years]]&lt;=8,"Senior",
tbl_analysis_tickets[[#This Row],[agent_experience_years]]&gt;8,"Expert"
)</f>
        <v>Senior</v>
      </c>
      <c r="P204" cm="1">
        <f t="array" ref="P204">_xlfn.SWITCH(tbl_analysis_tickets[[#This Row],[customer_satisfaction]],
"Low",1,
"Medium",2,
"High",3
)</f>
        <v>2</v>
      </c>
      <c r="Q204">
        <f>IF(tbl_analysis_tickets[[#This Row],[reopened]]="Yes",1,0)</f>
        <v>1</v>
      </c>
      <c r="R204" t="str" cm="1">
        <f t="array" ref="R204">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204" t="str" cm="1">
        <f t="array" ref="S20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04" t="str">
        <f>TEXT(tbl_analysis_tickets[[#This Row],[created_date]],"mmm-yyyy")</f>
        <v>May-2024</v>
      </c>
      <c r="U204" t="str">
        <f>TEXT(tbl_analysis_tickets[[#This Row],[created_date]],"dddd")</f>
        <v>Sunday</v>
      </c>
      <c r="V204" cm="1">
        <f t="array" ref="V204">_xlfn.SWITCH(tbl_analysis_tickets[[#This Row],[priority]],
"Urgent",1,
"High",2,
"Medium",3,
"Low",4
)</f>
        <v>4</v>
      </c>
    </row>
    <row r="205" spans="1:22" x14ac:dyDescent="0.25">
      <c r="A205">
        <v>204</v>
      </c>
      <c r="B205" s="1">
        <v>45645</v>
      </c>
      <c r="C205" t="s">
        <v>10</v>
      </c>
      <c r="D205" t="s">
        <v>11</v>
      </c>
      <c r="E205">
        <v>193</v>
      </c>
      <c r="F205">
        <v>70</v>
      </c>
      <c r="G205">
        <v>4.5</v>
      </c>
      <c r="H205" t="s">
        <v>12</v>
      </c>
      <c r="I205" t="s">
        <v>13</v>
      </c>
      <c r="J205" t="s">
        <v>11</v>
      </c>
      <c r="K205">
        <f>_xlfn.XLOOKUP(tbl_analysis_tickets[[#This Row],[priority]],tbl_sla[priority],tbl_sla[Resolution SLA Hours])</f>
        <v>72</v>
      </c>
      <c r="L205">
        <f>_xlfn.XLOOKUP(tbl_analysis_tickets[[#This Row],[priority]],tbl_sla[priority],tbl_sla[First Response SLA Minutes])</f>
        <v>240</v>
      </c>
      <c r="M205" t="str">
        <f>IF(tbl_analysis_tickets[[#This Row],[resolution_time_hours]]&gt;tbl_analysis_tickets[[#This Row],[Resolution SLA Hours]],"Breached","Within SLA")</f>
        <v>Within SLA</v>
      </c>
      <c r="N205" t="str">
        <f>IF(tbl_analysis_tickets[[#This Row],[first_response_minutes]]&gt;tbl_analysis_tickets[[#This Row],[First Response SLA Minutes]],"Breached","Within SLA")</f>
        <v>Within SLA</v>
      </c>
      <c r="O205" t="str" cm="1">
        <f t="array" ref="O205">_xlfn.IFS(
tbl_analysis_tickets[[#This Row],[agent_experience_years]]&lt;=2,"Junior",
tbl_analysis_tickets[[#This Row],[agent_experience_years]]&lt;=5,"Mid-Level",
tbl_analysis_tickets[[#This Row],[agent_experience_years]]&lt;=8,"Senior",
tbl_analysis_tickets[[#This Row],[agent_experience_years]]&gt;8,"Expert"
)</f>
        <v>Mid-Level</v>
      </c>
      <c r="P205" cm="1">
        <f t="array" ref="P205">_xlfn.SWITCH(tbl_analysis_tickets[[#This Row],[customer_satisfaction]],
"Low",1,
"Medium",2,
"High",3
)</f>
        <v>1</v>
      </c>
      <c r="Q205">
        <f>IF(tbl_analysis_tickets[[#This Row],[reopened]]="Yes",1,0)</f>
        <v>1</v>
      </c>
      <c r="R205" t="str" cm="1">
        <f t="array" ref="R205">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05" t="str" cm="1">
        <f t="array" ref="S20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05" t="str">
        <f>TEXT(tbl_analysis_tickets[[#This Row],[created_date]],"mmm-yyyy")</f>
        <v>Dec-2024</v>
      </c>
      <c r="U205" t="str">
        <f>TEXT(tbl_analysis_tickets[[#This Row],[created_date]],"dddd")</f>
        <v>Thursday</v>
      </c>
      <c r="V205" cm="1">
        <f t="array" ref="V205">_xlfn.SWITCH(tbl_analysis_tickets[[#This Row],[priority]],
"Urgent",1,
"High",2,
"Medium",3,
"Low",4
)</f>
        <v>4</v>
      </c>
    </row>
    <row r="206" spans="1:22" x14ac:dyDescent="0.25">
      <c r="A206">
        <v>205</v>
      </c>
      <c r="B206" s="1">
        <v>45594</v>
      </c>
      <c r="C206" t="s">
        <v>22</v>
      </c>
      <c r="D206" t="s">
        <v>20</v>
      </c>
      <c r="E206">
        <v>123</v>
      </c>
      <c r="F206">
        <v>66</v>
      </c>
      <c r="G206">
        <v>8.8000000000000007</v>
      </c>
      <c r="H206" t="s">
        <v>18</v>
      </c>
      <c r="I206" t="s">
        <v>13</v>
      </c>
      <c r="J206" t="s">
        <v>11</v>
      </c>
      <c r="K206">
        <f>_xlfn.XLOOKUP(tbl_analysis_tickets[[#This Row],[priority]],tbl_sla[priority],tbl_sla[Resolution SLA Hours])</f>
        <v>24</v>
      </c>
      <c r="L206">
        <f>_xlfn.XLOOKUP(tbl_analysis_tickets[[#This Row],[priority]],tbl_sla[priority],tbl_sla[First Response SLA Minutes])</f>
        <v>60</v>
      </c>
      <c r="M206" t="str">
        <f>IF(tbl_analysis_tickets[[#This Row],[resolution_time_hours]]&gt;tbl_analysis_tickets[[#This Row],[Resolution SLA Hours]],"Breached","Within SLA")</f>
        <v>Breached</v>
      </c>
      <c r="N206" t="str">
        <f>IF(tbl_analysis_tickets[[#This Row],[first_response_minutes]]&gt;tbl_analysis_tickets[[#This Row],[First Response SLA Minutes]],"Breached","Within SLA")</f>
        <v>Breached</v>
      </c>
      <c r="O206" t="str" cm="1">
        <f t="array" ref="O206">_xlfn.IFS(
tbl_analysis_tickets[[#This Row],[agent_experience_years]]&lt;=2,"Junior",
tbl_analysis_tickets[[#This Row],[agent_experience_years]]&lt;=5,"Mid-Level",
tbl_analysis_tickets[[#This Row],[agent_experience_years]]&lt;=8,"Senior",
tbl_analysis_tickets[[#This Row],[agent_experience_years]]&gt;8,"Expert"
)</f>
        <v>Expert</v>
      </c>
      <c r="P206" cm="1">
        <f t="array" ref="P206">_xlfn.SWITCH(tbl_analysis_tickets[[#This Row],[customer_satisfaction]],
"Low",1,
"Medium",2,
"High",3
)</f>
        <v>1</v>
      </c>
      <c r="Q206">
        <f>IF(tbl_analysis_tickets[[#This Row],[reopened]]="Yes",1,0)</f>
        <v>0</v>
      </c>
      <c r="R206" t="str" cm="1">
        <f t="array" ref="R206">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06" t="str" cm="1">
        <f t="array" ref="S20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06" t="str">
        <f>TEXT(tbl_analysis_tickets[[#This Row],[created_date]],"mmm-yyyy")</f>
        <v>Oct-2024</v>
      </c>
      <c r="U206" t="str">
        <f>TEXT(tbl_analysis_tickets[[#This Row],[created_date]],"dddd")</f>
        <v>Tuesday</v>
      </c>
      <c r="V206" cm="1">
        <f t="array" ref="V206">_xlfn.SWITCH(tbl_analysis_tickets[[#This Row],[priority]],
"Urgent",1,
"High",2,
"Medium",3,
"Low",4
)</f>
        <v>2</v>
      </c>
    </row>
    <row r="207" spans="1:22" x14ac:dyDescent="0.25">
      <c r="A207">
        <v>206</v>
      </c>
      <c r="B207" s="1">
        <v>45571</v>
      </c>
      <c r="C207" t="s">
        <v>23</v>
      </c>
      <c r="D207" t="s">
        <v>17</v>
      </c>
      <c r="E207">
        <v>222</v>
      </c>
      <c r="F207">
        <v>43</v>
      </c>
      <c r="G207">
        <v>3.7</v>
      </c>
      <c r="H207" t="s">
        <v>18</v>
      </c>
      <c r="I207" t="s">
        <v>16</v>
      </c>
      <c r="J207" t="s">
        <v>11</v>
      </c>
      <c r="K207">
        <f>_xlfn.XLOOKUP(tbl_analysis_tickets[[#This Row],[priority]],tbl_sla[priority],tbl_sla[Resolution SLA Hours])</f>
        <v>8</v>
      </c>
      <c r="L207">
        <f>_xlfn.XLOOKUP(tbl_analysis_tickets[[#This Row],[priority]],tbl_sla[priority],tbl_sla[First Response SLA Minutes])</f>
        <v>30</v>
      </c>
      <c r="M207" t="str">
        <f>IF(tbl_analysis_tickets[[#This Row],[resolution_time_hours]]&gt;tbl_analysis_tickets[[#This Row],[Resolution SLA Hours]],"Breached","Within SLA")</f>
        <v>Breached</v>
      </c>
      <c r="N207" t="str">
        <f>IF(tbl_analysis_tickets[[#This Row],[first_response_minutes]]&gt;tbl_analysis_tickets[[#This Row],[First Response SLA Minutes]],"Breached","Within SLA")</f>
        <v>Breached</v>
      </c>
      <c r="O207" t="str" cm="1">
        <f t="array" ref="O207">_xlfn.IFS(
tbl_analysis_tickets[[#This Row],[agent_experience_years]]&lt;=2,"Junior",
tbl_analysis_tickets[[#This Row],[agent_experience_years]]&lt;=5,"Mid-Level",
tbl_analysis_tickets[[#This Row],[agent_experience_years]]&lt;=8,"Senior",
tbl_analysis_tickets[[#This Row],[agent_experience_years]]&gt;8,"Expert"
)</f>
        <v>Mid-Level</v>
      </c>
      <c r="P207" cm="1">
        <f t="array" ref="P207">_xlfn.SWITCH(tbl_analysis_tickets[[#This Row],[customer_satisfaction]],
"Low",1,
"Medium",2,
"High",3
)</f>
        <v>1</v>
      </c>
      <c r="Q207">
        <f>IF(tbl_analysis_tickets[[#This Row],[reopened]]="Yes",1,0)</f>
        <v>0</v>
      </c>
      <c r="R207" t="str" cm="1">
        <f t="array" ref="R207">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07" t="str" cm="1">
        <f t="array" ref="S20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07" t="str">
        <f>TEXT(tbl_analysis_tickets[[#This Row],[created_date]],"mmm-yyyy")</f>
        <v>Oct-2024</v>
      </c>
      <c r="U207" t="str">
        <f>TEXT(tbl_analysis_tickets[[#This Row],[created_date]],"dddd")</f>
        <v>Sunday</v>
      </c>
      <c r="V207" cm="1">
        <f t="array" ref="V207">_xlfn.SWITCH(tbl_analysis_tickets[[#This Row],[priority]],
"Urgent",1,
"High",2,
"Medium",3,
"Low",4
)</f>
        <v>1</v>
      </c>
    </row>
    <row r="208" spans="1:22" x14ac:dyDescent="0.25">
      <c r="A208">
        <v>207</v>
      </c>
      <c r="B208" s="1">
        <v>45331</v>
      </c>
      <c r="C208" t="s">
        <v>14</v>
      </c>
      <c r="D208" t="s">
        <v>15</v>
      </c>
      <c r="E208">
        <v>215</v>
      </c>
      <c r="F208">
        <v>38</v>
      </c>
      <c r="G208">
        <v>9.3000000000000007</v>
      </c>
      <c r="H208" t="s">
        <v>12</v>
      </c>
      <c r="I208" t="s">
        <v>13</v>
      </c>
      <c r="J208" t="s">
        <v>11</v>
      </c>
      <c r="K208">
        <f>_xlfn.XLOOKUP(tbl_analysis_tickets[[#This Row],[priority]],tbl_sla[priority],tbl_sla[Resolution SLA Hours])</f>
        <v>48</v>
      </c>
      <c r="L208">
        <f>_xlfn.XLOOKUP(tbl_analysis_tickets[[#This Row],[priority]],tbl_sla[priority],tbl_sla[First Response SLA Minutes])</f>
        <v>120</v>
      </c>
      <c r="M208" t="str">
        <f>IF(tbl_analysis_tickets[[#This Row],[resolution_time_hours]]&gt;tbl_analysis_tickets[[#This Row],[Resolution SLA Hours]],"Breached","Within SLA")</f>
        <v>Within SLA</v>
      </c>
      <c r="N208" t="str">
        <f>IF(tbl_analysis_tickets[[#This Row],[first_response_minutes]]&gt;tbl_analysis_tickets[[#This Row],[First Response SLA Minutes]],"Breached","Within SLA")</f>
        <v>Breached</v>
      </c>
      <c r="O208" t="str" cm="1">
        <f t="array" ref="O208">_xlfn.IFS(
tbl_analysis_tickets[[#This Row],[agent_experience_years]]&lt;=2,"Junior",
tbl_analysis_tickets[[#This Row],[agent_experience_years]]&lt;=5,"Mid-Level",
tbl_analysis_tickets[[#This Row],[agent_experience_years]]&lt;=8,"Senior",
tbl_analysis_tickets[[#This Row],[agent_experience_years]]&gt;8,"Expert"
)</f>
        <v>Expert</v>
      </c>
      <c r="P208" cm="1">
        <f t="array" ref="P208">_xlfn.SWITCH(tbl_analysis_tickets[[#This Row],[customer_satisfaction]],
"Low",1,
"Medium",2,
"High",3
)</f>
        <v>1</v>
      </c>
      <c r="Q208">
        <f>IF(tbl_analysis_tickets[[#This Row],[reopened]]="Yes",1,0)</f>
        <v>1</v>
      </c>
      <c r="R208" t="str" cm="1">
        <f t="array" ref="R208">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08" t="str" cm="1">
        <f t="array" ref="S20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08" t="str">
        <f>TEXT(tbl_analysis_tickets[[#This Row],[created_date]],"mmm-yyyy")</f>
        <v>Feb-2024</v>
      </c>
      <c r="U208" t="str">
        <f>TEXT(tbl_analysis_tickets[[#This Row],[created_date]],"dddd")</f>
        <v>Friday</v>
      </c>
      <c r="V208" cm="1">
        <f t="array" ref="V208">_xlfn.SWITCH(tbl_analysis_tickets[[#This Row],[priority]],
"Urgent",1,
"High",2,
"Medium",3,
"Low",4
)</f>
        <v>3</v>
      </c>
    </row>
    <row r="209" spans="1:22" x14ac:dyDescent="0.25">
      <c r="A209">
        <v>208</v>
      </c>
      <c r="B209" s="1">
        <v>45486</v>
      </c>
      <c r="C209" t="s">
        <v>22</v>
      </c>
      <c r="D209" t="s">
        <v>11</v>
      </c>
      <c r="E209">
        <v>116</v>
      </c>
      <c r="F209">
        <v>18</v>
      </c>
      <c r="G209">
        <v>9</v>
      </c>
      <c r="H209" t="s">
        <v>18</v>
      </c>
      <c r="I209" t="s">
        <v>19</v>
      </c>
      <c r="J209" t="s">
        <v>15</v>
      </c>
      <c r="K209">
        <f>_xlfn.XLOOKUP(tbl_analysis_tickets[[#This Row],[priority]],tbl_sla[priority],tbl_sla[Resolution SLA Hours])</f>
        <v>72</v>
      </c>
      <c r="L209">
        <f>_xlfn.XLOOKUP(tbl_analysis_tickets[[#This Row],[priority]],tbl_sla[priority],tbl_sla[First Response SLA Minutes])</f>
        <v>240</v>
      </c>
      <c r="M209" t="str">
        <f>IF(tbl_analysis_tickets[[#This Row],[resolution_time_hours]]&gt;tbl_analysis_tickets[[#This Row],[Resolution SLA Hours]],"Breached","Within SLA")</f>
        <v>Within SLA</v>
      </c>
      <c r="N209" t="str">
        <f>IF(tbl_analysis_tickets[[#This Row],[first_response_minutes]]&gt;tbl_analysis_tickets[[#This Row],[First Response SLA Minutes]],"Breached","Within SLA")</f>
        <v>Within SLA</v>
      </c>
      <c r="O209" t="str" cm="1">
        <f t="array" ref="O209">_xlfn.IFS(
tbl_analysis_tickets[[#This Row],[agent_experience_years]]&lt;=2,"Junior",
tbl_analysis_tickets[[#This Row],[agent_experience_years]]&lt;=5,"Mid-Level",
tbl_analysis_tickets[[#This Row],[agent_experience_years]]&lt;=8,"Senior",
tbl_analysis_tickets[[#This Row],[agent_experience_years]]&gt;8,"Expert"
)</f>
        <v>Expert</v>
      </c>
      <c r="P209" cm="1">
        <f t="array" ref="P209">_xlfn.SWITCH(tbl_analysis_tickets[[#This Row],[customer_satisfaction]],
"Low",1,
"Medium",2,
"High",3
)</f>
        <v>2</v>
      </c>
      <c r="Q209">
        <f>IF(tbl_analysis_tickets[[#This Row],[reopened]]="Yes",1,0)</f>
        <v>0</v>
      </c>
      <c r="R209" t="str" cm="1">
        <f t="array" ref="R209">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09" t="str" cm="1">
        <f t="array" ref="S20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09" t="str">
        <f>TEXT(tbl_analysis_tickets[[#This Row],[created_date]],"mmm-yyyy")</f>
        <v>Jul-2024</v>
      </c>
      <c r="U209" t="str">
        <f>TEXT(tbl_analysis_tickets[[#This Row],[created_date]],"dddd")</f>
        <v>Saturday</v>
      </c>
      <c r="V209" cm="1">
        <f t="array" ref="V209">_xlfn.SWITCH(tbl_analysis_tickets[[#This Row],[priority]],
"Urgent",1,
"High",2,
"Medium",3,
"Low",4
)</f>
        <v>4</v>
      </c>
    </row>
    <row r="210" spans="1:22" x14ac:dyDescent="0.25">
      <c r="A210">
        <v>209</v>
      </c>
      <c r="B210" s="1">
        <v>45570</v>
      </c>
      <c r="C210" t="s">
        <v>23</v>
      </c>
      <c r="D210" t="s">
        <v>11</v>
      </c>
      <c r="E210">
        <v>111</v>
      </c>
      <c r="F210">
        <v>63</v>
      </c>
      <c r="G210">
        <v>9.4</v>
      </c>
      <c r="H210" t="s">
        <v>12</v>
      </c>
      <c r="I210" t="s">
        <v>19</v>
      </c>
      <c r="J210" t="s">
        <v>11</v>
      </c>
      <c r="K210">
        <f>_xlfn.XLOOKUP(tbl_analysis_tickets[[#This Row],[priority]],tbl_sla[priority],tbl_sla[Resolution SLA Hours])</f>
        <v>72</v>
      </c>
      <c r="L210">
        <f>_xlfn.XLOOKUP(tbl_analysis_tickets[[#This Row],[priority]],tbl_sla[priority],tbl_sla[First Response SLA Minutes])</f>
        <v>240</v>
      </c>
      <c r="M210" t="str">
        <f>IF(tbl_analysis_tickets[[#This Row],[resolution_time_hours]]&gt;tbl_analysis_tickets[[#This Row],[Resolution SLA Hours]],"Breached","Within SLA")</f>
        <v>Within SLA</v>
      </c>
      <c r="N210" t="str">
        <f>IF(tbl_analysis_tickets[[#This Row],[first_response_minutes]]&gt;tbl_analysis_tickets[[#This Row],[First Response SLA Minutes]],"Breached","Within SLA")</f>
        <v>Within SLA</v>
      </c>
      <c r="O210" t="str" cm="1">
        <f t="array" ref="O210">_xlfn.IFS(
tbl_analysis_tickets[[#This Row],[agent_experience_years]]&lt;=2,"Junior",
tbl_analysis_tickets[[#This Row],[agent_experience_years]]&lt;=5,"Mid-Level",
tbl_analysis_tickets[[#This Row],[agent_experience_years]]&lt;=8,"Senior",
tbl_analysis_tickets[[#This Row],[agent_experience_years]]&gt;8,"Expert"
)</f>
        <v>Expert</v>
      </c>
      <c r="P210" cm="1">
        <f t="array" ref="P210">_xlfn.SWITCH(tbl_analysis_tickets[[#This Row],[customer_satisfaction]],
"Low",1,
"Medium",2,
"High",3
)</f>
        <v>1</v>
      </c>
      <c r="Q210">
        <f>IF(tbl_analysis_tickets[[#This Row],[reopened]]="Yes",1,0)</f>
        <v>1</v>
      </c>
      <c r="R210" t="str" cm="1">
        <f t="array" ref="R210">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10" t="str" cm="1">
        <f t="array" ref="S21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10" t="str">
        <f>TEXT(tbl_analysis_tickets[[#This Row],[created_date]],"mmm-yyyy")</f>
        <v>Oct-2024</v>
      </c>
      <c r="U210" t="str">
        <f>TEXT(tbl_analysis_tickets[[#This Row],[created_date]],"dddd")</f>
        <v>Saturday</v>
      </c>
      <c r="V210" cm="1">
        <f t="array" ref="V210">_xlfn.SWITCH(tbl_analysis_tickets[[#This Row],[priority]],
"Urgent",1,
"High",2,
"Medium",3,
"Low",4
)</f>
        <v>4</v>
      </c>
    </row>
    <row r="211" spans="1:22" x14ac:dyDescent="0.25">
      <c r="A211">
        <v>210</v>
      </c>
      <c r="B211" s="1">
        <v>45494</v>
      </c>
      <c r="C211" t="s">
        <v>14</v>
      </c>
      <c r="D211" t="s">
        <v>15</v>
      </c>
      <c r="E211">
        <v>65</v>
      </c>
      <c r="F211">
        <v>54</v>
      </c>
      <c r="G211">
        <v>6.9</v>
      </c>
      <c r="H211" t="s">
        <v>18</v>
      </c>
      <c r="I211" t="s">
        <v>16</v>
      </c>
      <c r="J211" t="s">
        <v>15</v>
      </c>
      <c r="K211">
        <f>_xlfn.XLOOKUP(tbl_analysis_tickets[[#This Row],[priority]],tbl_sla[priority],tbl_sla[Resolution SLA Hours])</f>
        <v>48</v>
      </c>
      <c r="L211">
        <f>_xlfn.XLOOKUP(tbl_analysis_tickets[[#This Row],[priority]],tbl_sla[priority],tbl_sla[First Response SLA Minutes])</f>
        <v>120</v>
      </c>
      <c r="M211" t="str">
        <f>IF(tbl_analysis_tickets[[#This Row],[resolution_time_hours]]&gt;tbl_analysis_tickets[[#This Row],[Resolution SLA Hours]],"Breached","Within SLA")</f>
        <v>Breached</v>
      </c>
      <c r="N211" t="str">
        <f>IF(tbl_analysis_tickets[[#This Row],[first_response_minutes]]&gt;tbl_analysis_tickets[[#This Row],[First Response SLA Minutes]],"Breached","Within SLA")</f>
        <v>Within SLA</v>
      </c>
      <c r="O211" t="str" cm="1">
        <f t="array" ref="O211">_xlfn.IFS(
tbl_analysis_tickets[[#This Row],[agent_experience_years]]&lt;=2,"Junior",
tbl_analysis_tickets[[#This Row],[agent_experience_years]]&lt;=5,"Mid-Level",
tbl_analysis_tickets[[#This Row],[agent_experience_years]]&lt;=8,"Senior",
tbl_analysis_tickets[[#This Row],[agent_experience_years]]&gt;8,"Expert"
)</f>
        <v>Senior</v>
      </c>
      <c r="P211" cm="1">
        <f t="array" ref="P211">_xlfn.SWITCH(tbl_analysis_tickets[[#This Row],[customer_satisfaction]],
"Low",1,
"Medium",2,
"High",3
)</f>
        <v>2</v>
      </c>
      <c r="Q211">
        <f>IF(tbl_analysis_tickets[[#This Row],[reopened]]="Yes",1,0)</f>
        <v>0</v>
      </c>
      <c r="R211" t="str" cm="1">
        <f t="array" ref="R211">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11" t="str" cm="1">
        <f t="array" ref="S21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11" t="str">
        <f>TEXT(tbl_analysis_tickets[[#This Row],[created_date]],"mmm-yyyy")</f>
        <v>Jul-2024</v>
      </c>
      <c r="U211" t="str">
        <f>TEXT(tbl_analysis_tickets[[#This Row],[created_date]],"dddd")</f>
        <v>Sunday</v>
      </c>
      <c r="V211" cm="1">
        <f t="array" ref="V211">_xlfn.SWITCH(tbl_analysis_tickets[[#This Row],[priority]],
"Urgent",1,
"High",2,
"Medium",3,
"Low",4
)</f>
        <v>3</v>
      </c>
    </row>
    <row r="212" spans="1:22" x14ac:dyDescent="0.25">
      <c r="A212">
        <v>211</v>
      </c>
      <c r="B212" s="1">
        <v>45492</v>
      </c>
      <c r="C212" t="s">
        <v>23</v>
      </c>
      <c r="D212" t="s">
        <v>17</v>
      </c>
      <c r="E212">
        <v>83</v>
      </c>
      <c r="F212">
        <v>58</v>
      </c>
      <c r="G212">
        <v>4.4000000000000004</v>
      </c>
      <c r="H212" t="s">
        <v>12</v>
      </c>
      <c r="I212" t="s">
        <v>13</v>
      </c>
      <c r="J212" t="s">
        <v>11</v>
      </c>
      <c r="K212">
        <f>_xlfn.XLOOKUP(tbl_analysis_tickets[[#This Row],[priority]],tbl_sla[priority],tbl_sla[Resolution SLA Hours])</f>
        <v>8</v>
      </c>
      <c r="L212">
        <f>_xlfn.XLOOKUP(tbl_analysis_tickets[[#This Row],[priority]],tbl_sla[priority],tbl_sla[First Response SLA Minutes])</f>
        <v>30</v>
      </c>
      <c r="M212" t="str">
        <f>IF(tbl_analysis_tickets[[#This Row],[resolution_time_hours]]&gt;tbl_analysis_tickets[[#This Row],[Resolution SLA Hours]],"Breached","Within SLA")</f>
        <v>Breached</v>
      </c>
      <c r="N212" t="str">
        <f>IF(tbl_analysis_tickets[[#This Row],[first_response_minutes]]&gt;tbl_analysis_tickets[[#This Row],[First Response SLA Minutes]],"Breached","Within SLA")</f>
        <v>Breached</v>
      </c>
      <c r="O212" t="str" cm="1">
        <f t="array" ref="O212">_xlfn.IFS(
tbl_analysis_tickets[[#This Row],[agent_experience_years]]&lt;=2,"Junior",
tbl_analysis_tickets[[#This Row],[agent_experience_years]]&lt;=5,"Mid-Level",
tbl_analysis_tickets[[#This Row],[agent_experience_years]]&lt;=8,"Senior",
tbl_analysis_tickets[[#This Row],[agent_experience_years]]&gt;8,"Expert"
)</f>
        <v>Mid-Level</v>
      </c>
      <c r="P212" cm="1">
        <f t="array" ref="P212">_xlfn.SWITCH(tbl_analysis_tickets[[#This Row],[customer_satisfaction]],
"Low",1,
"Medium",2,
"High",3
)</f>
        <v>1</v>
      </c>
      <c r="Q212">
        <f>IF(tbl_analysis_tickets[[#This Row],[reopened]]="Yes",1,0)</f>
        <v>1</v>
      </c>
      <c r="R212" t="str" cm="1">
        <f t="array" ref="R212">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12" t="str" cm="1">
        <f t="array" ref="S21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12" t="str">
        <f>TEXT(tbl_analysis_tickets[[#This Row],[created_date]],"mmm-yyyy")</f>
        <v>Jul-2024</v>
      </c>
      <c r="U212" t="str">
        <f>TEXT(tbl_analysis_tickets[[#This Row],[created_date]],"dddd")</f>
        <v>Friday</v>
      </c>
      <c r="V212" cm="1">
        <f t="array" ref="V212">_xlfn.SWITCH(tbl_analysis_tickets[[#This Row],[priority]],
"Urgent",1,
"High",2,
"Medium",3,
"Low",4
)</f>
        <v>1</v>
      </c>
    </row>
    <row r="213" spans="1:22" x14ac:dyDescent="0.25">
      <c r="A213">
        <v>212</v>
      </c>
      <c r="B213" s="1">
        <v>45572</v>
      </c>
      <c r="C213" t="s">
        <v>23</v>
      </c>
      <c r="D213" t="s">
        <v>11</v>
      </c>
      <c r="E213">
        <v>209</v>
      </c>
      <c r="F213">
        <v>12</v>
      </c>
      <c r="G213">
        <v>0.7</v>
      </c>
      <c r="H213" t="s">
        <v>18</v>
      </c>
      <c r="I213" t="s">
        <v>16</v>
      </c>
      <c r="J213" t="s">
        <v>11</v>
      </c>
      <c r="K213">
        <f>_xlfn.XLOOKUP(tbl_analysis_tickets[[#This Row],[priority]],tbl_sla[priority],tbl_sla[Resolution SLA Hours])</f>
        <v>72</v>
      </c>
      <c r="L213">
        <f>_xlfn.XLOOKUP(tbl_analysis_tickets[[#This Row],[priority]],tbl_sla[priority],tbl_sla[First Response SLA Minutes])</f>
        <v>240</v>
      </c>
      <c r="M213" t="str">
        <f>IF(tbl_analysis_tickets[[#This Row],[resolution_time_hours]]&gt;tbl_analysis_tickets[[#This Row],[Resolution SLA Hours]],"Breached","Within SLA")</f>
        <v>Within SLA</v>
      </c>
      <c r="N213" t="str">
        <f>IF(tbl_analysis_tickets[[#This Row],[first_response_minutes]]&gt;tbl_analysis_tickets[[#This Row],[First Response SLA Minutes]],"Breached","Within SLA")</f>
        <v>Within SLA</v>
      </c>
      <c r="O213" t="str" cm="1">
        <f t="array" ref="O213">_xlfn.IFS(
tbl_analysis_tickets[[#This Row],[agent_experience_years]]&lt;=2,"Junior",
tbl_analysis_tickets[[#This Row],[agent_experience_years]]&lt;=5,"Mid-Level",
tbl_analysis_tickets[[#This Row],[agent_experience_years]]&lt;=8,"Senior",
tbl_analysis_tickets[[#This Row],[agent_experience_years]]&gt;8,"Expert"
)</f>
        <v>Junior</v>
      </c>
      <c r="P213" cm="1">
        <f t="array" ref="P213">_xlfn.SWITCH(tbl_analysis_tickets[[#This Row],[customer_satisfaction]],
"Low",1,
"Medium",2,
"High",3
)</f>
        <v>1</v>
      </c>
      <c r="Q213">
        <f>IF(tbl_analysis_tickets[[#This Row],[reopened]]="Yes",1,0)</f>
        <v>0</v>
      </c>
      <c r="R213" t="str" cm="1">
        <f t="array" ref="R213">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13" t="str" cm="1">
        <f t="array" ref="S21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13" t="str">
        <f>TEXT(tbl_analysis_tickets[[#This Row],[created_date]],"mmm-yyyy")</f>
        <v>Oct-2024</v>
      </c>
      <c r="U213" t="str">
        <f>TEXT(tbl_analysis_tickets[[#This Row],[created_date]],"dddd")</f>
        <v>Monday</v>
      </c>
      <c r="V213" cm="1">
        <f t="array" ref="V213">_xlfn.SWITCH(tbl_analysis_tickets[[#This Row],[priority]],
"Urgent",1,
"High",2,
"Medium",3,
"Low",4
)</f>
        <v>4</v>
      </c>
    </row>
    <row r="214" spans="1:22" x14ac:dyDescent="0.25">
      <c r="A214">
        <v>213</v>
      </c>
      <c r="B214" s="1">
        <v>45366</v>
      </c>
      <c r="C214" t="s">
        <v>14</v>
      </c>
      <c r="D214" t="s">
        <v>17</v>
      </c>
      <c r="E214">
        <v>10</v>
      </c>
      <c r="F214">
        <v>50</v>
      </c>
      <c r="G214">
        <v>5.4</v>
      </c>
      <c r="H214" t="s">
        <v>18</v>
      </c>
      <c r="I214" t="s">
        <v>13</v>
      </c>
      <c r="J214" t="s">
        <v>15</v>
      </c>
      <c r="K214">
        <f>_xlfn.XLOOKUP(tbl_analysis_tickets[[#This Row],[priority]],tbl_sla[priority],tbl_sla[Resolution SLA Hours])</f>
        <v>8</v>
      </c>
      <c r="L214">
        <f>_xlfn.XLOOKUP(tbl_analysis_tickets[[#This Row],[priority]],tbl_sla[priority],tbl_sla[First Response SLA Minutes])</f>
        <v>30</v>
      </c>
      <c r="M214" t="str">
        <f>IF(tbl_analysis_tickets[[#This Row],[resolution_time_hours]]&gt;tbl_analysis_tickets[[#This Row],[Resolution SLA Hours]],"Breached","Within SLA")</f>
        <v>Breached</v>
      </c>
      <c r="N214" t="str">
        <f>IF(tbl_analysis_tickets[[#This Row],[first_response_minutes]]&gt;tbl_analysis_tickets[[#This Row],[First Response SLA Minutes]],"Breached","Within SLA")</f>
        <v>Within SLA</v>
      </c>
      <c r="O214" t="str" cm="1">
        <f t="array" ref="O214">_xlfn.IFS(
tbl_analysis_tickets[[#This Row],[agent_experience_years]]&lt;=2,"Junior",
tbl_analysis_tickets[[#This Row],[agent_experience_years]]&lt;=5,"Mid-Level",
tbl_analysis_tickets[[#This Row],[agent_experience_years]]&lt;=8,"Senior",
tbl_analysis_tickets[[#This Row],[agent_experience_years]]&gt;8,"Expert"
)</f>
        <v>Senior</v>
      </c>
      <c r="P214" cm="1">
        <f t="array" ref="P214">_xlfn.SWITCH(tbl_analysis_tickets[[#This Row],[customer_satisfaction]],
"Low",1,
"Medium",2,
"High",3
)</f>
        <v>2</v>
      </c>
      <c r="Q214">
        <f>IF(tbl_analysis_tickets[[#This Row],[reopened]]="Yes",1,0)</f>
        <v>0</v>
      </c>
      <c r="R214" t="str" cm="1">
        <f t="array" ref="R214">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214" t="str" cm="1">
        <f t="array" ref="S21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14" t="str">
        <f>TEXT(tbl_analysis_tickets[[#This Row],[created_date]],"mmm-yyyy")</f>
        <v>Mar-2024</v>
      </c>
      <c r="U214" t="str">
        <f>TEXT(tbl_analysis_tickets[[#This Row],[created_date]],"dddd")</f>
        <v>Friday</v>
      </c>
      <c r="V214" cm="1">
        <f t="array" ref="V214">_xlfn.SWITCH(tbl_analysis_tickets[[#This Row],[priority]],
"Urgent",1,
"High",2,
"Medium",3,
"Low",4
)</f>
        <v>1</v>
      </c>
    </row>
    <row r="215" spans="1:22" x14ac:dyDescent="0.25">
      <c r="A215">
        <v>214</v>
      </c>
      <c r="B215" s="1">
        <v>45480</v>
      </c>
      <c r="C215" t="s">
        <v>10</v>
      </c>
      <c r="D215" t="s">
        <v>11</v>
      </c>
      <c r="E215">
        <v>128</v>
      </c>
      <c r="F215">
        <v>4</v>
      </c>
      <c r="G215">
        <v>6.7</v>
      </c>
      <c r="H215" t="s">
        <v>18</v>
      </c>
      <c r="I215" t="s">
        <v>19</v>
      </c>
      <c r="J215" t="s">
        <v>20</v>
      </c>
      <c r="K215">
        <f>_xlfn.XLOOKUP(tbl_analysis_tickets[[#This Row],[priority]],tbl_sla[priority],tbl_sla[Resolution SLA Hours])</f>
        <v>72</v>
      </c>
      <c r="L215">
        <f>_xlfn.XLOOKUP(tbl_analysis_tickets[[#This Row],[priority]],tbl_sla[priority],tbl_sla[First Response SLA Minutes])</f>
        <v>240</v>
      </c>
      <c r="M215" t="str">
        <f>IF(tbl_analysis_tickets[[#This Row],[resolution_time_hours]]&gt;tbl_analysis_tickets[[#This Row],[Resolution SLA Hours]],"Breached","Within SLA")</f>
        <v>Within SLA</v>
      </c>
      <c r="N215" t="str">
        <f>IF(tbl_analysis_tickets[[#This Row],[first_response_minutes]]&gt;tbl_analysis_tickets[[#This Row],[First Response SLA Minutes]],"Breached","Within SLA")</f>
        <v>Within SLA</v>
      </c>
      <c r="O215" t="str" cm="1">
        <f t="array" ref="O215">_xlfn.IFS(
tbl_analysis_tickets[[#This Row],[agent_experience_years]]&lt;=2,"Junior",
tbl_analysis_tickets[[#This Row],[agent_experience_years]]&lt;=5,"Mid-Level",
tbl_analysis_tickets[[#This Row],[agent_experience_years]]&lt;=8,"Senior",
tbl_analysis_tickets[[#This Row],[agent_experience_years]]&gt;8,"Expert"
)</f>
        <v>Senior</v>
      </c>
      <c r="P215" cm="1">
        <f t="array" ref="P215">_xlfn.SWITCH(tbl_analysis_tickets[[#This Row],[customer_satisfaction]],
"Low",1,
"Medium",2,
"High",3
)</f>
        <v>3</v>
      </c>
      <c r="Q215">
        <f>IF(tbl_analysis_tickets[[#This Row],[reopened]]="Yes",1,0)</f>
        <v>0</v>
      </c>
      <c r="R215" t="str" cm="1">
        <f t="array" ref="R215">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15" t="str" cm="1">
        <f t="array" ref="S21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215" t="str">
        <f>TEXT(tbl_analysis_tickets[[#This Row],[created_date]],"mmm-yyyy")</f>
        <v>Jul-2024</v>
      </c>
      <c r="U215" t="str">
        <f>TEXT(tbl_analysis_tickets[[#This Row],[created_date]],"dddd")</f>
        <v>Sunday</v>
      </c>
      <c r="V215" cm="1">
        <f t="array" ref="V215">_xlfn.SWITCH(tbl_analysis_tickets[[#This Row],[priority]],
"Urgent",1,
"High",2,
"Medium",3,
"Low",4
)</f>
        <v>4</v>
      </c>
    </row>
    <row r="216" spans="1:22" x14ac:dyDescent="0.25">
      <c r="A216">
        <v>215</v>
      </c>
      <c r="B216" s="1">
        <v>45519</v>
      </c>
      <c r="C216" t="s">
        <v>21</v>
      </c>
      <c r="D216" t="s">
        <v>17</v>
      </c>
      <c r="E216">
        <v>121</v>
      </c>
      <c r="F216">
        <v>6</v>
      </c>
      <c r="G216">
        <v>2.8</v>
      </c>
      <c r="H216" t="s">
        <v>12</v>
      </c>
      <c r="I216" t="s">
        <v>19</v>
      </c>
      <c r="J216" t="s">
        <v>11</v>
      </c>
      <c r="K216">
        <f>_xlfn.XLOOKUP(tbl_analysis_tickets[[#This Row],[priority]],tbl_sla[priority],tbl_sla[Resolution SLA Hours])</f>
        <v>8</v>
      </c>
      <c r="L216">
        <f>_xlfn.XLOOKUP(tbl_analysis_tickets[[#This Row],[priority]],tbl_sla[priority],tbl_sla[First Response SLA Minutes])</f>
        <v>30</v>
      </c>
      <c r="M216" t="str">
        <f>IF(tbl_analysis_tickets[[#This Row],[resolution_time_hours]]&gt;tbl_analysis_tickets[[#This Row],[Resolution SLA Hours]],"Breached","Within SLA")</f>
        <v>Within SLA</v>
      </c>
      <c r="N216" t="str">
        <f>IF(tbl_analysis_tickets[[#This Row],[first_response_minutes]]&gt;tbl_analysis_tickets[[#This Row],[First Response SLA Minutes]],"Breached","Within SLA")</f>
        <v>Breached</v>
      </c>
      <c r="O216" t="str" cm="1">
        <f t="array" ref="O216">_xlfn.IFS(
tbl_analysis_tickets[[#This Row],[agent_experience_years]]&lt;=2,"Junior",
tbl_analysis_tickets[[#This Row],[agent_experience_years]]&lt;=5,"Mid-Level",
tbl_analysis_tickets[[#This Row],[agent_experience_years]]&lt;=8,"Senior",
tbl_analysis_tickets[[#This Row],[agent_experience_years]]&gt;8,"Expert"
)</f>
        <v>Mid-Level</v>
      </c>
      <c r="P216" cm="1">
        <f t="array" ref="P216">_xlfn.SWITCH(tbl_analysis_tickets[[#This Row],[customer_satisfaction]],
"Low",1,
"Medium",2,
"High",3
)</f>
        <v>1</v>
      </c>
      <c r="Q216">
        <f>IF(tbl_analysis_tickets[[#This Row],[reopened]]="Yes",1,0)</f>
        <v>1</v>
      </c>
      <c r="R216" t="str" cm="1">
        <f t="array" ref="R216">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16" t="str" cm="1">
        <f t="array" ref="S21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216" t="str">
        <f>TEXT(tbl_analysis_tickets[[#This Row],[created_date]],"mmm-yyyy")</f>
        <v>Aug-2024</v>
      </c>
      <c r="U216" t="str">
        <f>TEXT(tbl_analysis_tickets[[#This Row],[created_date]],"dddd")</f>
        <v>Thursday</v>
      </c>
      <c r="V216" cm="1">
        <f t="array" ref="V216">_xlfn.SWITCH(tbl_analysis_tickets[[#This Row],[priority]],
"Urgent",1,
"High",2,
"Medium",3,
"Low",4
)</f>
        <v>1</v>
      </c>
    </row>
    <row r="217" spans="1:22" x14ac:dyDescent="0.25">
      <c r="A217">
        <v>216</v>
      </c>
      <c r="B217" s="1">
        <v>45449</v>
      </c>
      <c r="C217" t="s">
        <v>10</v>
      </c>
      <c r="D217" t="s">
        <v>15</v>
      </c>
      <c r="E217">
        <v>125</v>
      </c>
      <c r="F217">
        <v>58</v>
      </c>
      <c r="G217">
        <v>2.2000000000000002</v>
      </c>
      <c r="H217" t="s">
        <v>18</v>
      </c>
      <c r="I217" t="s">
        <v>13</v>
      </c>
      <c r="J217" t="s">
        <v>11</v>
      </c>
      <c r="K217">
        <f>_xlfn.XLOOKUP(tbl_analysis_tickets[[#This Row],[priority]],tbl_sla[priority],tbl_sla[Resolution SLA Hours])</f>
        <v>48</v>
      </c>
      <c r="L217">
        <f>_xlfn.XLOOKUP(tbl_analysis_tickets[[#This Row],[priority]],tbl_sla[priority],tbl_sla[First Response SLA Minutes])</f>
        <v>120</v>
      </c>
      <c r="M217" t="str">
        <f>IF(tbl_analysis_tickets[[#This Row],[resolution_time_hours]]&gt;tbl_analysis_tickets[[#This Row],[Resolution SLA Hours]],"Breached","Within SLA")</f>
        <v>Breached</v>
      </c>
      <c r="N217" t="str">
        <f>IF(tbl_analysis_tickets[[#This Row],[first_response_minutes]]&gt;tbl_analysis_tickets[[#This Row],[First Response SLA Minutes]],"Breached","Within SLA")</f>
        <v>Breached</v>
      </c>
      <c r="O217" t="str" cm="1">
        <f t="array" ref="O217">_xlfn.IFS(
tbl_analysis_tickets[[#This Row],[agent_experience_years]]&lt;=2,"Junior",
tbl_analysis_tickets[[#This Row],[agent_experience_years]]&lt;=5,"Mid-Level",
tbl_analysis_tickets[[#This Row],[agent_experience_years]]&lt;=8,"Senior",
tbl_analysis_tickets[[#This Row],[agent_experience_years]]&gt;8,"Expert"
)</f>
        <v>Mid-Level</v>
      </c>
      <c r="P217" cm="1">
        <f t="array" ref="P217">_xlfn.SWITCH(tbl_analysis_tickets[[#This Row],[customer_satisfaction]],
"Low",1,
"Medium",2,
"High",3
)</f>
        <v>1</v>
      </c>
      <c r="Q217">
        <f>IF(tbl_analysis_tickets[[#This Row],[reopened]]="Yes",1,0)</f>
        <v>0</v>
      </c>
      <c r="R217" t="str" cm="1">
        <f t="array" ref="R217">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17" t="str" cm="1">
        <f t="array" ref="S21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17" t="str">
        <f>TEXT(tbl_analysis_tickets[[#This Row],[created_date]],"mmm-yyyy")</f>
        <v>Jun-2024</v>
      </c>
      <c r="U217" t="str">
        <f>TEXT(tbl_analysis_tickets[[#This Row],[created_date]],"dddd")</f>
        <v>Thursday</v>
      </c>
      <c r="V217" cm="1">
        <f t="array" ref="V217">_xlfn.SWITCH(tbl_analysis_tickets[[#This Row],[priority]],
"Urgent",1,
"High",2,
"Medium",3,
"Low",4
)</f>
        <v>3</v>
      </c>
    </row>
    <row r="218" spans="1:22" x14ac:dyDescent="0.25">
      <c r="A218">
        <v>217</v>
      </c>
      <c r="B218" s="1">
        <v>45506</v>
      </c>
      <c r="C218" t="s">
        <v>14</v>
      </c>
      <c r="D218" t="s">
        <v>17</v>
      </c>
      <c r="E218">
        <v>84</v>
      </c>
      <c r="F218">
        <v>22</v>
      </c>
      <c r="G218">
        <v>8.4</v>
      </c>
      <c r="H218" t="s">
        <v>12</v>
      </c>
      <c r="I218" t="s">
        <v>16</v>
      </c>
      <c r="J218" t="s">
        <v>11</v>
      </c>
      <c r="K218">
        <f>_xlfn.XLOOKUP(tbl_analysis_tickets[[#This Row],[priority]],tbl_sla[priority],tbl_sla[Resolution SLA Hours])</f>
        <v>8</v>
      </c>
      <c r="L218">
        <f>_xlfn.XLOOKUP(tbl_analysis_tickets[[#This Row],[priority]],tbl_sla[priority],tbl_sla[First Response SLA Minutes])</f>
        <v>30</v>
      </c>
      <c r="M218" t="str">
        <f>IF(tbl_analysis_tickets[[#This Row],[resolution_time_hours]]&gt;tbl_analysis_tickets[[#This Row],[Resolution SLA Hours]],"Breached","Within SLA")</f>
        <v>Breached</v>
      </c>
      <c r="N218" t="str">
        <f>IF(tbl_analysis_tickets[[#This Row],[first_response_minutes]]&gt;tbl_analysis_tickets[[#This Row],[First Response SLA Minutes]],"Breached","Within SLA")</f>
        <v>Breached</v>
      </c>
      <c r="O218" t="str" cm="1">
        <f t="array" ref="O218">_xlfn.IFS(
tbl_analysis_tickets[[#This Row],[agent_experience_years]]&lt;=2,"Junior",
tbl_analysis_tickets[[#This Row],[agent_experience_years]]&lt;=5,"Mid-Level",
tbl_analysis_tickets[[#This Row],[agent_experience_years]]&lt;=8,"Senior",
tbl_analysis_tickets[[#This Row],[agent_experience_years]]&gt;8,"Expert"
)</f>
        <v>Expert</v>
      </c>
      <c r="P218" cm="1">
        <f t="array" ref="P218">_xlfn.SWITCH(tbl_analysis_tickets[[#This Row],[customer_satisfaction]],
"Low",1,
"Medium",2,
"High",3
)</f>
        <v>1</v>
      </c>
      <c r="Q218">
        <f>IF(tbl_analysis_tickets[[#This Row],[reopened]]="Yes",1,0)</f>
        <v>1</v>
      </c>
      <c r="R218" t="str" cm="1">
        <f t="array" ref="R218">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18" t="str" cm="1">
        <f t="array" ref="S21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18" t="str">
        <f>TEXT(tbl_analysis_tickets[[#This Row],[created_date]],"mmm-yyyy")</f>
        <v>Aug-2024</v>
      </c>
      <c r="U218" t="str">
        <f>TEXT(tbl_analysis_tickets[[#This Row],[created_date]],"dddd")</f>
        <v>Friday</v>
      </c>
      <c r="V218" cm="1">
        <f t="array" ref="V218">_xlfn.SWITCH(tbl_analysis_tickets[[#This Row],[priority]],
"Urgent",1,
"High",2,
"Medium",3,
"Low",4
)</f>
        <v>1</v>
      </c>
    </row>
    <row r="219" spans="1:22" x14ac:dyDescent="0.25">
      <c r="A219">
        <v>218</v>
      </c>
      <c r="B219" s="1">
        <v>45468</v>
      </c>
      <c r="C219" t="s">
        <v>21</v>
      </c>
      <c r="D219" t="s">
        <v>20</v>
      </c>
      <c r="E219">
        <v>111</v>
      </c>
      <c r="F219">
        <v>15</v>
      </c>
      <c r="G219">
        <v>4.7</v>
      </c>
      <c r="H219" t="s">
        <v>12</v>
      </c>
      <c r="I219" t="s">
        <v>19</v>
      </c>
      <c r="J219" t="s">
        <v>11</v>
      </c>
      <c r="K219">
        <f>_xlfn.XLOOKUP(tbl_analysis_tickets[[#This Row],[priority]],tbl_sla[priority],tbl_sla[Resolution SLA Hours])</f>
        <v>24</v>
      </c>
      <c r="L219">
        <f>_xlfn.XLOOKUP(tbl_analysis_tickets[[#This Row],[priority]],tbl_sla[priority],tbl_sla[First Response SLA Minutes])</f>
        <v>60</v>
      </c>
      <c r="M219" t="str">
        <f>IF(tbl_analysis_tickets[[#This Row],[resolution_time_hours]]&gt;tbl_analysis_tickets[[#This Row],[Resolution SLA Hours]],"Breached","Within SLA")</f>
        <v>Within SLA</v>
      </c>
      <c r="N219" t="str">
        <f>IF(tbl_analysis_tickets[[#This Row],[first_response_minutes]]&gt;tbl_analysis_tickets[[#This Row],[First Response SLA Minutes]],"Breached","Within SLA")</f>
        <v>Breached</v>
      </c>
      <c r="O219" t="str" cm="1">
        <f t="array" ref="O219">_xlfn.IFS(
tbl_analysis_tickets[[#This Row],[agent_experience_years]]&lt;=2,"Junior",
tbl_analysis_tickets[[#This Row],[agent_experience_years]]&lt;=5,"Mid-Level",
tbl_analysis_tickets[[#This Row],[agent_experience_years]]&lt;=8,"Senior",
tbl_analysis_tickets[[#This Row],[agent_experience_years]]&gt;8,"Expert"
)</f>
        <v>Mid-Level</v>
      </c>
      <c r="P219" cm="1">
        <f t="array" ref="P219">_xlfn.SWITCH(tbl_analysis_tickets[[#This Row],[customer_satisfaction]],
"Low",1,
"Medium",2,
"High",3
)</f>
        <v>1</v>
      </c>
      <c r="Q219">
        <f>IF(tbl_analysis_tickets[[#This Row],[reopened]]="Yes",1,0)</f>
        <v>1</v>
      </c>
      <c r="R219" t="str" cm="1">
        <f t="array" ref="R219">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19" t="str" cm="1">
        <f t="array" ref="S21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19" t="str">
        <f>TEXT(tbl_analysis_tickets[[#This Row],[created_date]],"mmm-yyyy")</f>
        <v>Jun-2024</v>
      </c>
      <c r="U219" t="str">
        <f>TEXT(tbl_analysis_tickets[[#This Row],[created_date]],"dddd")</f>
        <v>Tuesday</v>
      </c>
      <c r="V219" cm="1">
        <f t="array" ref="V219">_xlfn.SWITCH(tbl_analysis_tickets[[#This Row],[priority]],
"Urgent",1,
"High",2,
"Medium",3,
"Low",4
)</f>
        <v>2</v>
      </c>
    </row>
    <row r="220" spans="1:22" x14ac:dyDescent="0.25">
      <c r="A220">
        <v>219</v>
      </c>
      <c r="B220" s="1">
        <v>45640</v>
      </c>
      <c r="C220" t="s">
        <v>14</v>
      </c>
      <c r="D220" t="s">
        <v>11</v>
      </c>
      <c r="E220">
        <v>148</v>
      </c>
      <c r="F220">
        <v>71</v>
      </c>
      <c r="G220">
        <v>4.8</v>
      </c>
      <c r="H220" t="s">
        <v>12</v>
      </c>
      <c r="I220" t="s">
        <v>16</v>
      </c>
      <c r="J220" t="s">
        <v>11</v>
      </c>
      <c r="K220">
        <f>_xlfn.XLOOKUP(tbl_analysis_tickets[[#This Row],[priority]],tbl_sla[priority],tbl_sla[Resolution SLA Hours])</f>
        <v>72</v>
      </c>
      <c r="L220">
        <f>_xlfn.XLOOKUP(tbl_analysis_tickets[[#This Row],[priority]],tbl_sla[priority],tbl_sla[First Response SLA Minutes])</f>
        <v>240</v>
      </c>
      <c r="M220" t="str">
        <f>IF(tbl_analysis_tickets[[#This Row],[resolution_time_hours]]&gt;tbl_analysis_tickets[[#This Row],[Resolution SLA Hours]],"Breached","Within SLA")</f>
        <v>Within SLA</v>
      </c>
      <c r="N220" t="str">
        <f>IF(tbl_analysis_tickets[[#This Row],[first_response_minutes]]&gt;tbl_analysis_tickets[[#This Row],[First Response SLA Minutes]],"Breached","Within SLA")</f>
        <v>Within SLA</v>
      </c>
      <c r="O220" t="str" cm="1">
        <f t="array" ref="O220">_xlfn.IFS(
tbl_analysis_tickets[[#This Row],[agent_experience_years]]&lt;=2,"Junior",
tbl_analysis_tickets[[#This Row],[agent_experience_years]]&lt;=5,"Mid-Level",
tbl_analysis_tickets[[#This Row],[agent_experience_years]]&lt;=8,"Senior",
tbl_analysis_tickets[[#This Row],[agent_experience_years]]&gt;8,"Expert"
)</f>
        <v>Mid-Level</v>
      </c>
      <c r="P220" cm="1">
        <f t="array" ref="P220">_xlfn.SWITCH(tbl_analysis_tickets[[#This Row],[customer_satisfaction]],
"Low",1,
"Medium",2,
"High",3
)</f>
        <v>1</v>
      </c>
      <c r="Q220">
        <f>IF(tbl_analysis_tickets[[#This Row],[reopened]]="Yes",1,0)</f>
        <v>1</v>
      </c>
      <c r="R220" t="str" cm="1">
        <f t="array" ref="R220">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20" t="str" cm="1">
        <f t="array" ref="S22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20" t="str">
        <f>TEXT(tbl_analysis_tickets[[#This Row],[created_date]],"mmm-yyyy")</f>
        <v>Dec-2024</v>
      </c>
      <c r="U220" t="str">
        <f>TEXT(tbl_analysis_tickets[[#This Row],[created_date]],"dddd")</f>
        <v>Saturday</v>
      </c>
      <c r="V220" cm="1">
        <f t="array" ref="V220">_xlfn.SWITCH(tbl_analysis_tickets[[#This Row],[priority]],
"Urgent",1,
"High",2,
"Medium",3,
"Low",4
)</f>
        <v>4</v>
      </c>
    </row>
    <row r="221" spans="1:22" x14ac:dyDescent="0.25">
      <c r="A221">
        <v>220</v>
      </c>
      <c r="B221" s="1">
        <v>45390</v>
      </c>
      <c r="C221" t="s">
        <v>14</v>
      </c>
      <c r="D221" t="s">
        <v>20</v>
      </c>
      <c r="E221">
        <v>37</v>
      </c>
      <c r="F221">
        <v>72</v>
      </c>
      <c r="G221">
        <v>8.1999999999999993</v>
      </c>
      <c r="H221" t="s">
        <v>12</v>
      </c>
      <c r="I221" t="s">
        <v>13</v>
      </c>
      <c r="J221" t="s">
        <v>11</v>
      </c>
      <c r="K221">
        <f>_xlfn.XLOOKUP(tbl_analysis_tickets[[#This Row],[priority]],tbl_sla[priority],tbl_sla[Resolution SLA Hours])</f>
        <v>24</v>
      </c>
      <c r="L221">
        <f>_xlfn.XLOOKUP(tbl_analysis_tickets[[#This Row],[priority]],tbl_sla[priority],tbl_sla[First Response SLA Minutes])</f>
        <v>60</v>
      </c>
      <c r="M221" t="str">
        <f>IF(tbl_analysis_tickets[[#This Row],[resolution_time_hours]]&gt;tbl_analysis_tickets[[#This Row],[Resolution SLA Hours]],"Breached","Within SLA")</f>
        <v>Breached</v>
      </c>
      <c r="N221" t="str">
        <f>IF(tbl_analysis_tickets[[#This Row],[first_response_minutes]]&gt;tbl_analysis_tickets[[#This Row],[First Response SLA Minutes]],"Breached","Within SLA")</f>
        <v>Within SLA</v>
      </c>
      <c r="O221" t="str" cm="1">
        <f t="array" ref="O221">_xlfn.IFS(
tbl_analysis_tickets[[#This Row],[agent_experience_years]]&lt;=2,"Junior",
tbl_analysis_tickets[[#This Row],[agent_experience_years]]&lt;=5,"Mid-Level",
tbl_analysis_tickets[[#This Row],[agent_experience_years]]&lt;=8,"Senior",
tbl_analysis_tickets[[#This Row],[agent_experience_years]]&gt;8,"Expert"
)</f>
        <v>Expert</v>
      </c>
      <c r="P221" cm="1">
        <f t="array" ref="P221">_xlfn.SWITCH(tbl_analysis_tickets[[#This Row],[customer_satisfaction]],
"Low",1,
"Medium",2,
"High",3
)</f>
        <v>1</v>
      </c>
      <c r="Q221">
        <f>IF(tbl_analysis_tickets[[#This Row],[reopened]]="Yes",1,0)</f>
        <v>1</v>
      </c>
      <c r="R221" t="str" cm="1">
        <f t="array" ref="R221">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21" t="str" cm="1">
        <f t="array" ref="S22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21" t="str">
        <f>TEXT(tbl_analysis_tickets[[#This Row],[created_date]],"mmm-yyyy")</f>
        <v>Apr-2024</v>
      </c>
      <c r="U221" t="str">
        <f>TEXT(tbl_analysis_tickets[[#This Row],[created_date]],"dddd")</f>
        <v>Monday</v>
      </c>
      <c r="V221" cm="1">
        <f t="array" ref="V221">_xlfn.SWITCH(tbl_analysis_tickets[[#This Row],[priority]],
"Urgent",1,
"High",2,
"Medium",3,
"Low",4
)</f>
        <v>2</v>
      </c>
    </row>
    <row r="222" spans="1:22" x14ac:dyDescent="0.25">
      <c r="A222">
        <v>221</v>
      </c>
      <c r="B222" s="1">
        <v>45492</v>
      </c>
      <c r="C222" t="s">
        <v>23</v>
      </c>
      <c r="D222" t="s">
        <v>17</v>
      </c>
      <c r="E222">
        <v>57</v>
      </c>
      <c r="F222">
        <v>39</v>
      </c>
      <c r="G222">
        <v>0.9</v>
      </c>
      <c r="H222" t="s">
        <v>12</v>
      </c>
      <c r="I222" t="s">
        <v>19</v>
      </c>
      <c r="J222" t="s">
        <v>11</v>
      </c>
      <c r="K222">
        <f>_xlfn.XLOOKUP(tbl_analysis_tickets[[#This Row],[priority]],tbl_sla[priority],tbl_sla[Resolution SLA Hours])</f>
        <v>8</v>
      </c>
      <c r="L222">
        <f>_xlfn.XLOOKUP(tbl_analysis_tickets[[#This Row],[priority]],tbl_sla[priority],tbl_sla[First Response SLA Minutes])</f>
        <v>30</v>
      </c>
      <c r="M222" t="str">
        <f>IF(tbl_analysis_tickets[[#This Row],[resolution_time_hours]]&gt;tbl_analysis_tickets[[#This Row],[Resolution SLA Hours]],"Breached","Within SLA")</f>
        <v>Breached</v>
      </c>
      <c r="N222" t="str">
        <f>IF(tbl_analysis_tickets[[#This Row],[first_response_minutes]]&gt;tbl_analysis_tickets[[#This Row],[First Response SLA Minutes]],"Breached","Within SLA")</f>
        <v>Breached</v>
      </c>
      <c r="O222" t="str" cm="1">
        <f t="array" ref="O222">_xlfn.IFS(
tbl_analysis_tickets[[#This Row],[agent_experience_years]]&lt;=2,"Junior",
tbl_analysis_tickets[[#This Row],[agent_experience_years]]&lt;=5,"Mid-Level",
tbl_analysis_tickets[[#This Row],[agent_experience_years]]&lt;=8,"Senior",
tbl_analysis_tickets[[#This Row],[agent_experience_years]]&gt;8,"Expert"
)</f>
        <v>Junior</v>
      </c>
      <c r="P222" cm="1">
        <f t="array" ref="P222">_xlfn.SWITCH(tbl_analysis_tickets[[#This Row],[customer_satisfaction]],
"Low",1,
"Medium",2,
"High",3
)</f>
        <v>1</v>
      </c>
      <c r="Q222">
        <f>IF(tbl_analysis_tickets[[#This Row],[reopened]]="Yes",1,0)</f>
        <v>1</v>
      </c>
      <c r="R222" t="str" cm="1">
        <f t="array" ref="R222">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22" t="str" cm="1">
        <f t="array" ref="S22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22" t="str">
        <f>TEXT(tbl_analysis_tickets[[#This Row],[created_date]],"mmm-yyyy")</f>
        <v>Jul-2024</v>
      </c>
      <c r="U222" t="str">
        <f>TEXT(tbl_analysis_tickets[[#This Row],[created_date]],"dddd")</f>
        <v>Friday</v>
      </c>
      <c r="V222" cm="1">
        <f t="array" ref="V222">_xlfn.SWITCH(tbl_analysis_tickets[[#This Row],[priority]],
"Urgent",1,
"High",2,
"Medium",3,
"Low",4
)</f>
        <v>1</v>
      </c>
    </row>
    <row r="223" spans="1:22" x14ac:dyDescent="0.25">
      <c r="A223">
        <v>222</v>
      </c>
      <c r="B223" s="1">
        <v>45339</v>
      </c>
      <c r="C223" t="s">
        <v>22</v>
      </c>
      <c r="D223" t="s">
        <v>11</v>
      </c>
      <c r="E223">
        <v>52</v>
      </c>
      <c r="F223">
        <v>43</v>
      </c>
      <c r="G223">
        <v>3.1</v>
      </c>
      <c r="H223" t="s">
        <v>12</v>
      </c>
      <c r="I223" t="s">
        <v>16</v>
      </c>
      <c r="J223" t="s">
        <v>11</v>
      </c>
      <c r="K223">
        <f>_xlfn.XLOOKUP(tbl_analysis_tickets[[#This Row],[priority]],tbl_sla[priority],tbl_sla[Resolution SLA Hours])</f>
        <v>72</v>
      </c>
      <c r="L223">
        <f>_xlfn.XLOOKUP(tbl_analysis_tickets[[#This Row],[priority]],tbl_sla[priority],tbl_sla[First Response SLA Minutes])</f>
        <v>240</v>
      </c>
      <c r="M223" t="str">
        <f>IF(tbl_analysis_tickets[[#This Row],[resolution_time_hours]]&gt;tbl_analysis_tickets[[#This Row],[Resolution SLA Hours]],"Breached","Within SLA")</f>
        <v>Within SLA</v>
      </c>
      <c r="N223" t="str">
        <f>IF(tbl_analysis_tickets[[#This Row],[first_response_minutes]]&gt;tbl_analysis_tickets[[#This Row],[First Response SLA Minutes]],"Breached","Within SLA")</f>
        <v>Within SLA</v>
      </c>
      <c r="O223" t="str" cm="1">
        <f t="array" ref="O223">_xlfn.IFS(
tbl_analysis_tickets[[#This Row],[agent_experience_years]]&lt;=2,"Junior",
tbl_analysis_tickets[[#This Row],[agent_experience_years]]&lt;=5,"Mid-Level",
tbl_analysis_tickets[[#This Row],[agent_experience_years]]&lt;=8,"Senior",
tbl_analysis_tickets[[#This Row],[agent_experience_years]]&gt;8,"Expert"
)</f>
        <v>Mid-Level</v>
      </c>
      <c r="P223" cm="1">
        <f t="array" ref="P223">_xlfn.SWITCH(tbl_analysis_tickets[[#This Row],[customer_satisfaction]],
"Low",1,
"Medium",2,
"High",3
)</f>
        <v>1</v>
      </c>
      <c r="Q223">
        <f>IF(tbl_analysis_tickets[[#This Row],[reopened]]="Yes",1,0)</f>
        <v>1</v>
      </c>
      <c r="R223" t="str" cm="1">
        <f t="array" ref="R223">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23" t="str" cm="1">
        <f t="array" ref="S22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23" t="str">
        <f>TEXT(tbl_analysis_tickets[[#This Row],[created_date]],"mmm-yyyy")</f>
        <v>Feb-2024</v>
      </c>
      <c r="U223" t="str">
        <f>TEXT(tbl_analysis_tickets[[#This Row],[created_date]],"dddd")</f>
        <v>Saturday</v>
      </c>
      <c r="V223" cm="1">
        <f t="array" ref="V223">_xlfn.SWITCH(tbl_analysis_tickets[[#This Row],[priority]],
"Urgent",1,
"High",2,
"Medium",3,
"Low",4
)</f>
        <v>4</v>
      </c>
    </row>
    <row r="224" spans="1:22" x14ac:dyDescent="0.25">
      <c r="A224">
        <v>223</v>
      </c>
      <c r="B224" s="1">
        <v>45334</v>
      </c>
      <c r="C224" t="s">
        <v>23</v>
      </c>
      <c r="D224" t="s">
        <v>17</v>
      </c>
      <c r="E224">
        <v>106</v>
      </c>
      <c r="F224">
        <v>4</v>
      </c>
      <c r="G224">
        <v>0.9</v>
      </c>
      <c r="H224" t="s">
        <v>12</v>
      </c>
      <c r="I224" t="s">
        <v>13</v>
      </c>
      <c r="J224" t="s">
        <v>11</v>
      </c>
      <c r="K224">
        <f>_xlfn.XLOOKUP(tbl_analysis_tickets[[#This Row],[priority]],tbl_sla[priority],tbl_sla[Resolution SLA Hours])</f>
        <v>8</v>
      </c>
      <c r="L224">
        <f>_xlfn.XLOOKUP(tbl_analysis_tickets[[#This Row],[priority]],tbl_sla[priority],tbl_sla[First Response SLA Minutes])</f>
        <v>30</v>
      </c>
      <c r="M224" t="str">
        <f>IF(tbl_analysis_tickets[[#This Row],[resolution_time_hours]]&gt;tbl_analysis_tickets[[#This Row],[Resolution SLA Hours]],"Breached","Within SLA")</f>
        <v>Within SLA</v>
      </c>
      <c r="N224" t="str">
        <f>IF(tbl_analysis_tickets[[#This Row],[first_response_minutes]]&gt;tbl_analysis_tickets[[#This Row],[First Response SLA Minutes]],"Breached","Within SLA")</f>
        <v>Breached</v>
      </c>
      <c r="O224" t="str" cm="1">
        <f t="array" ref="O224">_xlfn.IFS(
tbl_analysis_tickets[[#This Row],[agent_experience_years]]&lt;=2,"Junior",
tbl_analysis_tickets[[#This Row],[agent_experience_years]]&lt;=5,"Mid-Level",
tbl_analysis_tickets[[#This Row],[agent_experience_years]]&lt;=8,"Senior",
tbl_analysis_tickets[[#This Row],[agent_experience_years]]&gt;8,"Expert"
)</f>
        <v>Junior</v>
      </c>
      <c r="P224" cm="1">
        <f t="array" ref="P224">_xlfn.SWITCH(tbl_analysis_tickets[[#This Row],[customer_satisfaction]],
"Low",1,
"Medium",2,
"High",3
)</f>
        <v>1</v>
      </c>
      <c r="Q224">
        <f>IF(tbl_analysis_tickets[[#This Row],[reopened]]="Yes",1,0)</f>
        <v>1</v>
      </c>
      <c r="R224" t="str" cm="1">
        <f t="array" ref="R224">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24" t="str" cm="1">
        <f t="array" ref="S22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224" t="str">
        <f>TEXT(tbl_analysis_tickets[[#This Row],[created_date]],"mmm-yyyy")</f>
        <v>Feb-2024</v>
      </c>
      <c r="U224" t="str">
        <f>TEXT(tbl_analysis_tickets[[#This Row],[created_date]],"dddd")</f>
        <v>Monday</v>
      </c>
      <c r="V224" cm="1">
        <f t="array" ref="V224">_xlfn.SWITCH(tbl_analysis_tickets[[#This Row],[priority]],
"Urgent",1,
"High",2,
"Medium",3,
"Low",4
)</f>
        <v>1</v>
      </c>
    </row>
    <row r="225" spans="1:22" x14ac:dyDescent="0.25">
      <c r="A225">
        <v>224</v>
      </c>
      <c r="B225" s="1">
        <v>45429</v>
      </c>
      <c r="C225" t="s">
        <v>10</v>
      </c>
      <c r="D225" t="s">
        <v>20</v>
      </c>
      <c r="E225">
        <v>125</v>
      </c>
      <c r="F225">
        <v>69</v>
      </c>
      <c r="G225">
        <v>5.9</v>
      </c>
      <c r="H225" t="s">
        <v>12</v>
      </c>
      <c r="I225" t="s">
        <v>13</v>
      </c>
      <c r="J225" t="s">
        <v>11</v>
      </c>
      <c r="K225">
        <f>_xlfn.XLOOKUP(tbl_analysis_tickets[[#This Row],[priority]],tbl_sla[priority],tbl_sla[Resolution SLA Hours])</f>
        <v>24</v>
      </c>
      <c r="L225">
        <f>_xlfn.XLOOKUP(tbl_analysis_tickets[[#This Row],[priority]],tbl_sla[priority],tbl_sla[First Response SLA Minutes])</f>
        <v>60</v>
      </c>
      <c r="M225" t="str">
        <f>IF(tbl_analysis_tickets[[#This Row],[resolution_time_hours]]&gt;tbl_analysis_tickets[[#This Row],[Resolution SLA Hours]],"Breached","Within SLA")</f>
        <v>Breached</v>
      </c>
      <c r="N225" t="str">
        <f>IF(tbl_analysis_tickets[[#This Row],[first_response_minutes]]&gt;tbl_analysis_tickets[[#This Row],[First Response SLA Minutes]],"Breached","Within SLA")</f>
        <v>Breached</v>
      </c>
      <c r="O225" t="str" cm="1">
        <f t="array" ref="O225">_xlfn.IFS(
tbl_analysis_tickets[[#This Row],[agent_experience_years]]&lt;=2,"Junior",
tbl_analysis_tickets[[#This Row],[agent_experience_years]]&lt;=5,"Mid-Level",
tbl_analysis_tickets[[#This Row],[agent_experience_years]]&lt;=8,"Senior",
tbl_analysis_tickets[[#This Row],[agent_experience_years]]&gt;8,"Expert"
)</f>
        <v>Senior</v>
      </c>
      <c r="P225" cm="1">
        <f t="array" ref="P225">_xlfn.SWITCH(tbl_analysis_tickets[[#This Row],[customer_satisfaction]],
"Low",1,
"Medium",2,
"High",3
)</f>
        <v>1</v>
      </c>
      <c r="Q225">
        <f>IF(tbl_analysis_tickets[[#This Row],[reopened]]="Yes",1,0)</f>
        <v>1</v>
      </c>
      <c r="R225" t="str" cm="1">
        <f t="array" ref="R225">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25" t="str" cm="1">
        <f t="array" ref="S22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25" t="str">
        <f>TEXT(tbl_analysis_tickets[[#This Row],[created_date]],"mmm-yyyy")</f>
        <v>May-2024</v>
      </c>
      <c r="U225" t="str">
        <f>TEXT(tbl_analysis_tickets[[#This Row],[created_date]],"dddd")</f>
        <v>Friday</v>
      </c>
      <c r="V225" cm="1">
        <f t="array" ref="V225">_xlfn.SWITCH(tbl_analysis_tickets[[#This Row],[priority]],
"Urgent",1,
"High",2,
"Medium",3,
"Low",4
)</f>
        <v>2</v>
      </c>
    </row>
    <row r="226" spans="1:22" x14ac:dyDescent="0.25">
      <c r="A226">
        <v>225</v>
      </c>
      <c r="B226" s="1">
        <v>45647</v>
      </c>
      <c r="C226" t="s">
        <v>22</v>
      </c>
      <c r="D226" t="s">
        <v>11</v>
      </c>
      <c r="E226">
        <v>206</v>
      </c>
      <c r="F226">
        <v>69</v>
      </c>
      <c r="G226">
        <v>5.6</v>
      </c>
      <c r="H226" t="s">
        <v>12</v>
      </c>
      <c r="I226" t="s">
        <v>16</v>
      </c>
      <c r="J226" t="s">
        <v>11</v>
      </c>
      <c r="K226">
        <f>_xlfn.XLOOKUP(tbl_analysis_tickets[[#This Row],[priority]],tbl_sla[priority],tbl_sla[Resolution SLA Hours])</f>
        <v>72</v>
      </c>
      <c r="L226">
        <f>_xlfn.XLOOKUP(tbl_analysis_tickets[[#This Row],[priority]],tbl_sla[priority],tbl_sla[First Response SLA Minutes])</f>
        <v>240</v>
      </c>
      <c r="M226" t="str">
        <f>IF(tbl_analysis_tickets[[#This Row],[resolution_time_hours]]&gt;tbl_analysis_tickets[[#This Row],[Resolution SLA Hours]],"Breached","Within SLA")</f>
        <v>Within SLA</v>
      </c>
      <c r="N226" t="str">
        <f>IF(tbl_analysis_tickets[[#This Row],[first_response_minutes]]&gt;tbl_analysis_tickets[[#This Row],[First Response SLA Minutes]],"Breached","Within SLA")</f>
        <v>Within SLA</v>
      </c>
      <c r="O226" t="str" cm="1">
        <f t="array" ref="O226">_xlfn.IFS(
tbl_analysis_tickets[[#This Row],[agent_experience_years]]&lt;=2,"Junior",
tbl_analysis_tickets[[#This Row],[agent_experience_years]]&lt;=5,"Mid-Level",
tbl_analysis_tickets[[#This Row],[agent_experience_years]]&lt;=8,"Senior",
tbl_analysis_tickets[[#This Row],[agent_experience_years]]&gt;8,"Expert"
)</f>
        <v>Senior</v>
      </c>
      <c r="P226" cm="1">
        <f t="array" ref="P226">_xlfn.SWITCH(tbl_analysis_tickets[[#This Row],[customer_satisfaction]],
"Low",1,
"Medium",2,
"High",3
)</f>
        <v>1</v>
      </c>
      <c r="Q226">
        <f>IF(tbl_analysis_tickets[[#This Row],[reopened]]="Yes",1,0)</f>
        <v>1</v>
      </c>
      <c r="R226" t="str" cm="1">
        <f t="array" ref="R226">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26" t="str" cm="1">
        <f t="array" ref="S22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26" t="str">
        <f>TEXT(tbl_analysis_tickets[[#This Row],[created_date]],"mmm-yyyy")</f>
        <v>Dec-2024</v>
      </c>
      <c r="U226" t="str">
        <f>TEXT(tbl_analysis_tickets[[#This Row],[created_date]],"dddd")</f>
        <v>Saturday</v>
      </c>
      <c r="V226" cm="1">
        <f t="array" ref="V226">_xlfn.SWITCH(tbl_analysis_tickets[[#This Row],[priority]],
"Urgent",1,
"High",2,
"Medium",3,
"Low",4
)</f>
        <v>4</v>
      </c>
    </row>
    <row r="227" spans="1:22" x14ac:dyDescent="0.25">
      <c r="A227">
        <v>226</v>
      </c>
      <c r="B227" s="1">
        <v>45347</v>
      </c>
      <c r="C227" t="s">
        <v>10</v>
      </c>
      <c r="D227" t="s">
        <v>15</v>
      </c>
      <c r="E227">
        <v>150</v>
      </c>
      <c r="F227">
        <v>17</v>
      </c>
      <c r="G227">
        <v>9.8000000000000007</v>
      </c>
      <c r="H227" t="s">
        <v>18</v>
      </c>
      <c r="I227" t="s">
        <v>13</v>
      </c>
      <c r="J227" t="s">
        <v>15</v>
      </c>
      <c r="K227">
        <f>_xlfn.XLOOKUP(tbl_analysis_tickets[[#This Row],[priority]],tbl_sla[priority],tbl_sla[Resolution SLA Hours])</f>
        <v>48</v>
      </c>
      <c r="L227">
        <f>_xlfn.XLOOKUP(tbl_analysis_tickets[[#This Row],[priority]],tbl_sla[priority],tbl_sla[First Response SLA Minutes])</f>
        <v>120</v>
      </c>
      <c r="M227" t="str">
        <f>IF(tbl_analysis_tickets[[#This Row],[resolution_time_hours]]&gt;tbl_analysis_tickets[[#This Row],[Resolution SLA Hours]],"Breached","Within SLA")</f>
        <v>Within SLA</v>
      </c>
      <c r="N227" t="str">
        <f>IF(tbl_analysis_tickets[[#This Row],[first_response_minutes]]&gt;tbl_analysis_tickets[[#This Row],[First Response SLA Minutes]],"Breached","Within SLA")</f>
        <v>Breached</v>
      </c>
      <c r="O227" t="str" cm="1">
        <f t="array" ref="O227">_xlfn.IFS(
tbl_analysis_tickets[[#This Row],[agent_experience_years]]&lt;=2,"Junior",
tbl_analysis_tickets[[#This Row],[agent_experience_years]]&lt;=5,"Mid-Level",
tbl_analysis_tickets[[#This Row],[agent_experience_years]]&lt;=8,"Senior",
tbl_analysis_tickets[[#This Row],[agent_experience_years]]&gt;8,"Expert"
)</f>
        <v>Expert</v>
      </c>
      <c r="P227" cm="1">
        <f t="array" ref="P227">_xlfn.SWITCH(tbl_analysis_tickets[[#This Row],[customer_satisfaction]],
"Low",1,
"Medium",2,
"High",3
)</f>
        <v>2</v>
      </c>
      <c r="Q227">
        <f>IF(tbl_analysis_tickets[[#This Row],[reopened]]="Yes",1,0)</f>
        <v>0</v>
      </c>
      <c r="R227" t="str" cm="1">
        <f t="array" ref="R227">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27" t="str" cm="1">
        <f t="array" ref="S22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27" t="str">
        <f>TEXT(tbl_analysis_tickets[[#This Row],[created_date]],"mmm-yyyy")</f>
        <v>Feb-2024</v>
      </c>
      <c r="U227" t="str">
        <f>TEXT(tbl_analysis_tickets[[#This Row],[created_date]],"dddd")</f>
        <v>Sunday</v>
      </c>
      <c r="V227" cm="1">
        <f t="array" ref="V227">_xlfn.SWITCH(tbl_analysis_tickets[[#This Row],[priority]],
"Urgent",1,
"High",2,
"Medium",3,
"Low",4
)</f>
        <v>3</v>
      </c>
    </row>
    <row r="228" spans="1:22" x14ac:dyDescent="0.25">
      <c r="A228">
        <v>227</v>
      </c>
      <c r="B228" s="1">
        <v>45479</v>
      </c>
      <c r="C228" t="s">
        <v>14</v>
      </c>
      <c r="D228" t="s">
        <v>20</v>
      </c>
      <c r="E228">
        <v>28</v>
      </c>
      <c r="F228">
        <v>49</v>
      </c>
      <c r="G228">
        <v>6.4</v>
      </c>
      <c r="H228" t="s">
        <v>12</v>
      </c>
      <c r="I228" t="s">
        <v>19</v>
      </c>
      <c r="J228" t="s">
        <v>15</v>
      </c>
      <c r="K228">
        <f>_xlfn.XLOOKUP(tbl_analysis_tickets[[#This Row],[priority]],tbl_sla[priority],tbl_sla[Resolution SLA Hours])</f>
        <v>24</v>
      </c>
      <c r="L228">
        <f>_xlfn.XLOOKUP(tbl_analysis_tickets[[#This Row],[priority]],tbl_sla[priority],tbl_sla[First Response SLA Minutes])</f>
        <v>60</v>
      </c>
      <c r="M228" t="str">
        <f>IF(tbl_analysis_tickets[[#This Row],[resolution_time_hours]]&gt;tbl_analysis_tickets[[#This Row],[Resolution SLA Hours]],"Breached","Within SLA")</f>
        <v>Breached</v>
      </c>
      <c r="N228" t="str">
        <f>IF(tbl_analysis_tickets[[#This Row],[first_response_minutes]]&gt;tbl_analysis_tickets[[#This Row],[First Response SLA Minutes]],"Breached","Within SLA")</f>
        <v>Within SLA</v>
      </c>
      <c r="O228" t="str" cm="1">
        <f t="array" ref="O228">_xlfn.IFS(
tbl_analysis_tickets[[#This Row],[agent_experience_years]]&lt;=2,"Junior",
tbl_analysis_tickets[[#This Row],[agent_experience_years]]&lt;=5,"Mid-Level",
tbl_analysis_tickets[[#This Row],[agent_experience_years]]&lt;=8,"Senior",
tbl_analysis_tickets[[#This Row],[agent_experience_years]]&gt;8,"Expert"
)</f>
        <v>Senior</v>
      </c>
      <c r="P228" cm="1">
        <f t="array" ref="P228">_xlfn.SWITCH(tbl_analysis_tickets[[#This Row],[customer_satisfaction]],
"Low",1,
"Medium",2,
"High",3
)</f>
        <v>2</v>
      </c>
      <c r="Q228">
        <f>IF(tbl_analysis_tickets[[#This Row],[reopened]]="Yes",1,0)</f>
        <v>1</v>
      </c>
      <c r="R228" t="str" cm="1">
        <f t="array" ref="R228">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228" t="str" cm="1">
        <f t="array" ref="S22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28" t="str">
        <f>TEXT(tbl_analysis_tickets[[#This Row],[created_date]],"mmm-yyyy")</f>
        <v>Jul-2024</v>
      </c>
      <c r="U228" t="str">
        <f>TEXT(tbl_analysis_tickets[[#This Row],[created_date]],"dddd")</f>
        <v>Saturday</v>
      </c>
      <c r="V228" cm="1">
        <f t="array" ref="V228">_xlfn.SWITCH(tbl_analysis_tickets[[#This Row],[priority]],
"Urgent",1,
"High",2,
"Medium",3,
"Low",4
)</f>
        <v>2</v>
      </c>
    </row>
    <row r="229" spans="1:22" x14ac:dyDescent="0.25">
      <c r="A229">
        <v>228</v>
      </c>
      <c r="B229" s="1">
        <v>45550</v>
      </c>
      <c r="C229" t="s">
        <v>10</v>
      </c>
      <c r="D229" t="s">
        <v>11</v>
      </c>
      <c r="E229">
        <v>67</v>
      </c>
      <c r="F229">
        <v>16</v>
      </c>
      <c r="G229">
        <v>9.4</v>
      </c>
      <c r="H229" t="s">
        <v>18</v>
      </c>
      <c r="I229" t="s">
        <v>16</v>
      </c>
      <c r="J229" t="s">
        <v>15</v>
      </c>
      <c r="K229">
        <f>_xlfn.XLOOKUP(tbl_analysis_tickets[[#This Row],[priority]],tbl_sla[priority],tbl_sla[Resolution SLA Hours])</f>
        <v>72</v>
      </c>
      <c r="L229">
        <f>_xlfn.XLOOKUP(tbl_analysis_tickets[[#This Row],[priority]],tbl_sla[priority],tbl_sla[First Response SLA Minutes])</f>
        <v>240</v>
      </c>
      <c r="M229" t="str">
        <f>IF(tbl_analysis_tickets[[#This Row],[resolution_time_hours]]&gt;tbl_analysis_tickets[[#This Row],[Resolution SLA Hours]],"Breached","Within SLA")</f>
        <v>Within SLA</v>
      </c>
      <c r="N229" t="str">
        <f>IF(tbl_analysis_tickets[[#This Row],[first_response_minutes]]&gt;tbl_analysis_tickets[[#This Row],[First Response SLA Minutes]],"Breached","Within SLA")</f>
        <v>Within SLA</v>
      </c>
      <c r="O229" t="str" cm="1">
        <f t="array" ref="O229">_xlfn.IFS(
tbl_analysis_tickets[[#This Row],[agent_experience_years]]&lt;=2,"Junior",
tbl_analysis_tickets[[#This Row],[agent_experience_years]]&lt;=5,"Mid-Level",
tbl_analysis_tickets[[#This Row],[agent_experience_years]]&lt;=8,"Senior",
tbl_analysis_tickets[[#This Row],[agent_experience_years]]&gt;8,"Expert"
)</f>
        <v>Expert</v>
      </c>
      <c r="P229" cm="1">
        <f t="array" ref="P229">_xlfn.SWITCH(tbl_analysis_tickets[[#This Row],[customer_satisfaction]],
"Low",1,
"Medium",2,
"High",3
)</f>
        <v>2</v>
      </c>
      <c r="Q229">
        <f>IF(tbl_analysis_tickets[[#This Row],[reopened]]="Yes",1,0)</f>
        <v>0</v>
      </c>
      <c r="R229" t="str" cm="1">
        <f t="array" ref="R229">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29" t="str" cm="1">
        <f t="array" ref="S22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29" t="str">
        <f>TEXT(tbl_analysis_tickets[[#This Row],[created_date]],"mmm-yyyy")</f>
        <v>Sep-2024</v>
      </c>
      <c r="U229" t="str">
        <f>TEXT(tbl_analysis_tickets[[#This Row],[created_date]],"dddd")</f>
        <v>Sunday</v>
      </c>
      <c r="V229" cm="1">
        <f t="array" ref="V229">_xlfn.SWITCH(tbl_analysis_tickets[[#This Row],[priority]],
"Urgent",1,
"High",2,
"Medium",3,
"Low",4
)</f>
        <v>4</v>
      </c>
    </row>
    <row r="230" spans="1:22" x14ac:dyDescent="0.25">
      <c r="A230">
        <v>229</v>
      </c>
      <c r="B230" s="1">
        <v>45511</v>
      </c>
      <c r="C230" t="s">
        <v>22</v>
      </c>
      <c r="D230" t="s">
        <v>17</v>
      </c>
      <c r="E230">
        <v>184</v>
      </c>
      <c r="F230">
        <v>31</v>
      </c>
      <c r="G230">
        <v>6.9</v>
      </c>
      <c r="H230" t="s">
        <v>12</v>
      </c>
      <c r="I230" t="s">
        <v>13</v>
      </c>
      <c r="J230" t="s">
        <v>11</v>
      </c>
      <c r="K230">
        <f>_xlfn.XLOOKUP(tbl_analysis_tickets[[#This Row],[priority]],tbl_sla[priority],tbl_sla[Resolution SLA Hours])</f>
        <v>8</v>
      </c>
      <c r="L230">
        <f>_xlfn.XLOOKUP(tbl_analysis_tickets[[#This Row],[priority]],tbl_sla[priority],tbl_sla[First Response SLA Minutes])</f>
        <v>30</v>
      </c>
      <c r="M230" t="str">
        <f>IF(tbl_analysis_tickets[[#This Row],[resolution_time_hours]]&gt;tbl_analysis_tickets[[#This Row],[Resolution SLA Hours]],"Breached","Within SLA")</f>
        <v>Breached</v>
      </c>
      <c r="N230" t="str">
        <f>IF(tbl_analysis_tickets[[#This Row],[first_response_minutes]]&gt;tbl_analysis_tickets[[#This Row],[First Response SLA Minutes]],"Breached","Within SLA")</f>
        <v>Breached</v>
      </c>
      <c r="O230" t="str" cm="1">
        <f t="array" ref="O230">_xlfn.IFS(
tbl_analysis_tickets[[#This Row],[agent_experience_years]]&lt;=2,"Junior",
tbl_analysis_tickets[[#This Row],[agent_experience_years]]&lt;=5,"Mid-Level",
tbl_analysis_tickets[[#This Row],[agent_experience_years]]&lt;=8,"Senior",
tbl_analysis_tickets[[#This Row],[agent_experience_years]]&gt;8,"Expert"
)</f>
        <v>Senior</v>
      </c>
      <c r="P230" cm="1">
        <f t="array" ref="P230">_xlfn.SWITCH(tbl_analysis_tickets[[#This Row],[customer_satisfaction]],
"Low",1,
"Medium",2,
"High",3
)</f>
        <v>1</v>
      </c>
      <c r="Q230">
        <f>IF(tbl_analysis_tickets[[#This Row],[reopened]]="Yes",1,0)</f>
        <v>1</v>
      </c>
      <c r="R230" t="str" cm="1">
        <f t="array" ref="R230">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30" t="str" cm="1">
        <f t="array" ref="S23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30" t="str">
        <f>TEXT(tbl_analysis_tickets[[#This Row],[created_date]],"mmm-yyyy")</f>
        <v>Aug-2024</v>
      </c>
      <c r="U230" t="str">
        <f>TEXT(tbl_analysis_tickets[[#This Row],[created_date]],"dddd")</f>
        <v>Wednesday</v>
      </c>
      <c r="V230" cm="1">
        <f t="array" ref="V230">_xlfn.SWITCH(tbl_analysis_tickets[[#This Row],[priority]],
"Urgent",1,
"High",2,
"Medium",3,
"Low",4
)</f>
        <v>1</v>
      </c>
    </row>
    <row r="231" spans="1:22" x14ac:dyDescent="0.25">
      <c r="A231">
        <v>230</v>
      </c>
      <c r="B231" s="1">
        <v>45526</v>
      </c>
      <c r="C231" t="s">
        <v>23</v>
      </c>
      <c r="D231" t="s">
        <v>15</v>
      </c>
      <c r="E231">
        <v>103</v>
      </c>
      <c r="F231">
        <v>66</v>
      </c>
      <c r="G231">
        <v>2.2999999999999998</v>
      </c>
      <c r="H231" t="s">
        <v>18</v>
      </c>
      <c r="I231" t="s">
        <v>19</v>
      </c>
      <c r="J231" t="s">
        <v>11</v>
      </c>
      <c r="K231">
        <f>_xlfn.XLOOKUP(tbl_analysis_tickets[[#This Row],[priority]],tbl_sla[priority],tbl_sla[Resolution SLA Hours])</f>
        <v>48</v>
      </c>
      <c r="L231">
        <f>_xlfn.XLOOKUP(tbl_analysis_tickets[[#This Row],[priority]],tbl_sla[priority],tbl_sla[First Response SLA Minutes])</f>
        <v>120</v>
      </c>
      <c r="M231" t="str">
        <f>IF(tbl_analysis_tickets[[#This Row],[resolution_time_hours]]&gt;tbl_analysis_tickets[[#This Row],[Resolution SLA Hours]],"Breached","Within SLA")</f>
        <v>Breached</v>
      </c>
      <c r="N231" t="str">
        <f>IF(tbl_analysis_tickets[[#This Row],[first_response_minutes]]&gt;tbl_analysis_tickets[[#This Row],[First Response SLA Minutes]],"Breached","Within SLA")</f>
        <v>Within SLA</v>
      </c>
      <c r="O231" t="str" cm="1">
        <f t="array" ref="O231">_xlfn.IFS(
tbl_analysis_tickets[[#This Row],[agent_experience_years]]&lt;=2,"Junior",
tbl_analysis_tickets[[#This Row],[agent_experience_years]]&lt;=5,"Mid-Level",
tbl_analysis_tickets[[#This Row],[agent_experience_years]]&lt;=8,"Senior",
tbl_analysis_tickets[[#This Row],[agent_experience_years]]&gt;8,"Expert"
)</f>
        <v>Mid-Level</v>
      </c>
      <c r="P231" cm="1">
        <f t="array" ref="P231">_xlfn.SWITCH(tbl_analysis_tickets[[#This Row],[customer_satisfaction]],
"Low",1,
"Medium",2,
"High",3
)</f>
        <v>1</v>
      </c>
      <c r="Q231">
        <f>IF(tbl_analysis_tickets[[#This Row],[reopened]]="Yes",1,0)</f>
        <v>0</v>
      </c>
      <c r="R231" t="str" cm="1">
        <f t="array" ref="R231">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31" t="str" cm="1">
        <f t="array" ref="S23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31" t="str">
        <f>TEXT(tbl_analysis_tickets[[#This Row],[created_date]],"mmm-yyyy")</f>
        <v>Aug-2024</v>
      </c>
      <c r="U231" t="str">
        <f>TEXT(tbl_analysis_tickets[[#This Row],[created_date]],"dddd")</f>
        <v>Thursday</v>
      </c>
      <c r="V231" cm="1">
        <f t="array" ref="V231">_xlfn.SWITCH(tbl_analysis_tickets[[#This Row],[priority]],
"Urgent",1,
"High",2,
"Medium",3,
"Low",4
)</f>
        <v>3</v>
      </c>
    </row>
    <row r="232" spans="1:22" x14ac:dyDescent="0.25">
      <c r="A232">
        <v>231</v>
      </c>
      <c r="B232" s="1">
        <v>45429</v>
      </c>
      <c r="C232" t="s">
        <v>23</v>
      </c>
      <c r="D232" t="s">
        <v>17</v>
      </c>
      <c r="E232">
        <v>149</v>
      </c>
      <c r="F232">
        <v>60</v>
      </c>
      <c r="G232">
        <v>6</v>
      </c>
      <c r="H232" t="s">
        <v>18</v>
      </c>
      <c r="I232" t="s">
        <v>19</v>
      </c>
      <c r="J232" t="s">
        <v>11</v>
      </c>
      <c r="K232">
        <f>_xlfn.XLOOKUP(tbl_analysis_tickets[[#This Row],[priority]],tbl_sla[priority],tbl_sla[Resolution SLA Hours])</f>
        <v>8</v>
      </c>
      <c r="L232">
        <f>_xlfn.XLOOKUP(tbl_analysis_tickets[[#This Row],[priority]],tbl_sla[priority],tbl_sla[First Response SLA Minutes])</f>
        <v>30</v>
      </c>
      <c r="M232" t="str">
        <f>IF(tbl_analysis_tickets[[#This Row],[resolution_time_hours]]&gt;tbl_analysis_tickets[[#This Row],[Resolution SLA Hours]],"Breached","Within SLA")</f>
        <v>Breached</v>
      </c>
      <c r="N232" t="str">
        <f>IF(tbl_analysis_tickets[[#This Row],[first_response_minutes]]&gt;tbl_analysis_tickets[[#This Row],[First Response SLA Minutes]],"Breached","Within SLA")</f>
        <v>Breached</v>
      </c>
      <c r="O232" t="str" cm="1">
        <f t="array" ref="O232">_xlfn.IFS(
tbl_analysis_tickets[[#This Row],[agent_experience_years]]&lt;=2,"Junior",
tbl_analysis_tickets[[#This Row],[agent_experience_years]]&lt;=5,"Mid-Level",
tbl_analysis_tickets[[#This Row],[agent_experience_years]]&lt;=8,"Senior",
tbl_analysis_tickets[[#This Row],[agent_experience_years]]&gt;8,"Expert"
)</f>
        <v>Senior</v>
      </c>
      <c r="P232" cm="1">
        <f t="array" ref="P232">_xlfn.SWITCH(tbl_analysis_tickets[[#This Row],[customer_satisfaction]],
"Low",1,
"Medium",2,
"High",3
)</f>
        <v>1</v>
      </c>
      <c r="Q232">
        <f>IF(tbl_analysis_tickets[[#This Row],[reopened]]="Yes",1,0)</f>
        <v>0</v>
      </c>
      <c r="R232" t="str" cm="1">
        <f t="array" ref="R232">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32" t="str" cm="1">
        <f t="array" ref="S23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32" t="str">
        <f>TEXT(tbl_analysis_tickets[[#This Row],[created_date]],"mmm-yyyy")</f>
        <v>May-2024</v>
      </c>
      <c r="U232" t="str">
        <f>TEXT(tbl_analysis_tickets[[#This Row],[created_date]],"dddd")</f>
        <v>Friday</v>
      </c>
      <c r="V232" cm="1">
        <f t="array" ref="V232">_xlfn.SWITCH(tbl_analysis_tickets[[#This Row],[priority]],
"Urgent",1,
"High",2,
"Medium",3,
"Low",4
)</f>
        <v>1</v>
      </c>
    </row>
    <row r="233" spans="1:22" x14ac:dyDescent="0.25">
      <c r="A233">
        <v>232</v>
      </c>
      <c r="B233" s="1">
        <v>45538</v>
      </c>
      <c r="C233" t="s">
        <v>10</v>
      </c>
      <c r="D233" t="s">
        <v>20</v>
      </c>
      <c r="E233">
        <v>196</v>
      </c>
      <c r="F233">
        <v>49</v>
      </c>
      <c r="G233">
        <v>4.5999999999999996</v>
      </c>
      <c r="H233" t="s">
        <v>18</v>
      </c>
      <c r="I233" t="s">
        <v>19</v>
      </c>
      <c r="J233" t="s">
        <v>11</v>
      </c>
      <c r="K233">
        <f>_xlfn.XLOOKUP(tbl_analysis_tickets[[#This Row],[priority]],tbl_sla[priority],tbl_sla[Resolution SLA Hours])</f>
        <v>24</v>
      </c>
      <c r="L233">
        <f>_xlfn.XLOOKUP(tbl_analysis_tickets[[#This Row],[priority]],tbl_sla[priority],tbl_sla[First Response SLA Minutes])</f>
        <v>60</v>
      </c>
      <c r="M233" t="str">
        <f>IF(tbl_analysis_tickets[[#This Row],[resolution_time_hours]]&gt;tbl_analysis_tickets[[#This Row],[Resolution SLA Hours]],"Breached","Within SLA")</f>
        <v>Breached</v>
      </c>
      <c r="N233" t="str">
        <f>IF(tbl_analysis_tickets[[#This Row],[first_response_minutes]]&gt;tbl_analysis_tickets[[#This Row],[First Response SLA Minutes]],"Breached","Within SLA")</f>
        <v>Breached</v>
      </c>
      <c r="O233" t="str" cm="1">
        <f t="array" ref="O233">_xlfn.IFS(
tbl_analysis_tickets[[#This Row],[agent_experience_years]]&lt;=2,"Junior",
tbl_analysis_tickets[[#This Row],[agent_experience_years]]&lt;=5,"Mid-Level",
tbl_analysis_tickets[[#This Row],[agent_experience_years]]&lt;=8,"Senior",
tbl_analysis_tickets[[#This Row],[agent_experience_years]]&gt;8,"Expert"
)</f>
        <v>Mid-Level</v>
      </c>
      <c r="P233" cm="1">
        <f t="array" ref="P233">_xlfn.SWITCH(tbl_analysis_tickets[[#This Row],[customer_satisfaction]],
"Low",1,
"Medium",2,
"High",3
)</f>
        <v>1</v>
      </c>
      <c r="Q233">
        <f>IF(tbl_analysis_tickets[[#This Row],[reopened]]="Yes",1,0)</f>
        <v>0</v>
      </c>
      <c r="R233" t="str" cm="1">
        <f t="array" ref="R233">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33" t="str" cm="1">
        <f t="array" ref="S23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33" t="str">
        <f>TEXT(tbl_analysis_tickets[[#This Row],[created_date]],"mmm-yyyy")</f>
        <v>Sep-2024</v>
      </c>
      <c r="U233" t="str">
        <f>TEXT(tbl_analysis_tickets[[#This Row],[created_date]],"dddd")</f>
        <v>Tuesday</v>
      </c>
      <c r="V233" cm="1">
        <f t="array" ref="V233">_xlfn.SWITCH(tbl_analysis_tickets[[#This Row],[priority]],
"Urgent",1,
"High",2,
"Medium",3,
"Low",4
)</f>
        <v>2</v>
      </c>
    </row>
    <row r="234" spans="1:22" x14ac:dyDescent="0.25">
      <c r="A234">
        <v>233</v>
      </c>
      <c r="B234" s="1">
        <v>45639</v>
      </c>
      <c r="C234" t="s">
        <v>21</v>
      </c>
      <c r="D234" t="s">
        <v>17</v>
      </c>
      <c r="E234">
        <v>11</v>
      </c>
      <c r="F234">
        <v>32</v>
      </c>
      <c r="G234">
        <v>3.1</v>
      </c>
      <c r="H234" t="s">
        <v>12</v>
      </c>
      <c r="I234" t="s">
        <v>13</v>
      </c>
      <c r="J234" t="s">
        <v>11</v>
      </c>
      <c r="K234">
        <f>_xlfn.XLOOKUP(tbl_analysis_tickets[[#This Row],[priority]],tbl_sla[priority],tbl_sla[Resolution SLA Hours])</f>
        <v>8</v>
      </c>
      <c r="L234">
        <f>_xlfn.XLOOKUP(tbl_analysis_tickets[[#This Row],[priority]],tbl_sla[priority],tbl_sla[First Response SLA Minutes])</f>
        <v>30</v>
      </c>
      <c r="M234" t="str">
        <f>IF(tbl_analysis_tickets[[#This Row],[resolution_time_hours]]&gt;tbl_analysis_tickets[[#This Row],[Resolution SLA Hours]],"Breached","Within SLA")</f>
        <v>Breached</v>
      </c>
      <c r="N234" t="str">
        <f>IF(tbl_analysis_tickets[[#This Row],[first_response_minutes]]&gt;tbl_analysis_tickets[[#This Row],[First Response SLA Minutes]],"Breached","Within SLA")</f>
        <v>Within SLA</v>
      </c>
      <c r="O234" t="str" cm="1">
        <f t="array" ref="O234">_xlfn.IFS(
tbl_analysis_tickets[[#This Row],[agent_experience_years]]&lt;=2,"Junior",
tbl_analysis_tickets[[#This Row],[agent_experience_years]]&lt;=5,"Mid-Level",
tbl_analysis_tickets[[#This Row],[agent_experience_years]]&lt;=8,"Senior",
tbl_analysis_tickets[[#This Row],[agent_experience_years]]&gt;8,"Expert"
)</f>
        <v>Mid-Level</v>
      </c>
      <c r="P234" cm="1">
        <f t="array" ref="P234">_xlfn.SWITCH(tbl_analysis_tickets[[#This Row],[customer_satisfaction]],
"Low",1,
"Medium",2,
"High",3
)</f>
        <v>1</v>
      </c>
      <c r="Q234">
        <f>IF(tbl_analysis_tickets[[#This Row],[reopened]]="Yes",1,0)</f>
        <v>1</v>
      </c>
      <c r="R234" t="str" cm="1">
        <f t="array" ref="R234">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234" t="str" cm="1">
        <f t="array" ref="S23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34" t="str">
        <f>TEXT(tbl_analysis_tickets[[#This Row],[created_date]],"mmm-yyyy")</f>
        <v>Dec-2024</v>
      </c>
      <c r="U234" t="str">
        <f>TEXT(tbl_analysis_tickets[[#This Row],[created_date]],"dddd")</f>
        <v>Friday</v>
      </c>
      <c r="V234" cm="1">
        <f t="array" ref="V234">_xlfn.SWITCH(tbl_analysis_tickets[[#This Row],[priority]],
"Urgent",1,
"High",2,
"Medium",3,
"Low",4
)</f>
        <v>1</v>
      </c>
    </row>
    <row r="235" spans="1:22" x14ac:dyDescent="0.25">
      <c r="A235">
        <v>234</v>
      </c>
      <c r="B235" s="1">
        <v>45467</v>
      </c>
      <c r="C235" t="s">
        <v>14</v>
      </c>
      <c r="D235" t="s">
        <v>11</v>
      </c>
      <c r="E235">
        <v>109</v>
      </c>
      <c r="F235">
        <v>67</v>
      </c>
      <c r="G235">
        <v>8.1</v>
      </c>
      <c r="H235" t="s">
        <v>18</v>
      </c>
      <c r="I235" t="s">
        <v>13</v>
      </c>
      <c r="J235" t="s">
        <v>15</v>
      </c>
      <c r="K235">
        <f>_xlfn.XLOOKUP(tbl_analysis_tickets[[#This Row],[priority]],tbl_sla[priority],tbl_sla[Resolution SLA Hours])</f>
        <v>72</v>
      </c>
      <c r="L235">
        <f>_xlfn.XLOOKUP(tbl_analysis_tickets[[#This Row],[priority]],tbl_sla[priority],tbl_sla[First Response SLA Minutes])</f>
        <v>240</v>
      </c>
      <c r="M235" t="str">
        <f>IF(tbl_analysis_tickets[[#This Row],[resolution_time_hours]]&gt;tbl_analysis_tickets[[#This Row],[Resolution SLA Hours]],"Breached","Within SLA")</f>
        <v>Within SLA</v>
      </c>
      <c r="N235" t="str">
        <f>IF(tbl_analysis_tickets[[#This Row],[first_response_minutes]]&gt;tbl_analysis_tickets[[#This Row],[First Response SLA Minutes]],"Breached","Within SLA")</f>
        <v>Within SLA</v>
      </c>
      <c r="O235" t="str" cm="1">
        <f t="array" ref="O235">_xlfn.IFS(
tbl_analysis_tickets[[#This Row],[agent_experience_years]]&lt;=2,"Junior",
tbl_analysis_tickets[[#This Row],[agent_experience_years]]&lt;=5,"Mid-Level",
tbl_analysis_tickets[[#This Row],[agent_experience_years]]&lt;=8,"Senior",
tbl_analysis_tickets[[#This Row],[agent_experience_years]]&gt;8,"Expert"
)</f>
        <v>Expert</v>
      </c>
      <c r="P235" cm="1">
        <f t="array" ref="P235">_xlfn.SWITCH(tbl_analysis_tickets[[#This Row],[customer_satisfaction]],
"Low",1,
"Medium",2,
"High",3
)</f>
        <v>2</v>
      </c>
      <c r="Q235">
        <f>IF(tbl_analysis_tickets[[#This Row],[reopened]]="Yes",1,0)</f>
        <v>0</v>
      </c>
      <c r="R235" t="str" cm="1">
        <f t="array" ref="R235">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35" t="str" cm="1">
        <f t="array" ref="S23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35" t="str">
        <f>TEXT(tbl_analysis_tickets[[#This Row],[created_date]],"mmm-yyyy")</f>
        <v>Jun-2024</v>
      </c>
      <c r="U235" t="str">
        <f>TEXT(tbl_analysis_tickets[[#This Row],[created_date]],"dddd")</f>
        <v>Monday</v>
      </c>
      <c r="V235" cm="1">
        <f t="array" ref="V235">_xlfn.SWITCH(tbl_analysis_tickets[[#This Row],[priority]],
"Urgent",1,
"High",2,
"Medium",3,
"Low",4
)</f>
        <v>4</v>
      </c>
    </row>
    <row r="236" spans="1:22" x14ac:dyDescent="0.25">
      <c r="A236">
        <v>235</v>
      </c>
      <c r="B236" s="1">
        <v>45441</v>
      </c>
      <c r="C236" t="s">
        <v>22</v>
      </c>
      <c r="D236" t="s">
        <v>11</v>
      </c>
      <c r="E236">
        <v>84</v>
      </c>
      <c r="F236">
        <v>15</v>
      </c>
      <c r="G236">
        <v>4.3</v>
      </c>
      <c r="H236" t="s">
        <v>12</v>
      </c>
      <c r="I236" t="s">
        <v>16</v>
      </c>
      <c r="J236" t="s">
        <v>11</v>
      </c>
      <c r="K236">
        <f>_xlfn.XLOOKUP(tbl_analysis_tickets[[#This Row],[priority]],tbl_sla[priority],tbl_sla[Resolution SLA Hours])</f>
        <v>72</v>
      </c>
      <c r="L236">
        <f>_xlfn.XLOOKUP(tbl_analysis_tickets[[#This Row],[priority]],tbl_sla[priority],tbl_sla[First Response SLA Minutes])</f>
        <v>240</v>
      </c>
      <c r="M236" t="str">
        <f>IF(tbl_analysis_tickets[[#This Row],[resolution_time_hours]]&gt;tbl_analysis_tickets[[#This Row],[Resolution SLA Hours]],"Breached","Within SLA")</f>
        <v>Within SLA</v>
      </c>
      <c r="N236" t="str">
        <f>IF(tbl_analysis_tickets[[#This Row],[first_response_minutes]]&gt;tbl_analysis_tickets[[#This Row],[First Response SLA Minutes]],"Breached","Within SLA")</f>
        <v>Within SLA</v>
      </c>
      <c r="O236" t="str" cm="1">
        <f t="array" ref="O236">_xlfn.IFS(
tbl_analysis_tickets[[#This Row],[agent_experience_years]]&lt;=2,"Junior",
tbl_analysis_tickets[[#This Row],[agent_experience_years]]&lt;=5,"Mid-Level",
tbl_analysis_tickets[[#This Row],[agent_experience_years]]&lt;=8,"Senior",
tbl_analysis_tickets[[#This Row],[agent_experience_years]]&gt;8,"Expert"
)</f>
        <v>Mid-Level</v>
      </c>
      <c r="P236" cm="1">
        <f t="array" ref="P236">_xlfn.SWITCH(tbl_analysis_tickets[[#This Row],[customer_satisfaction]],
"Low",1,
"Medium",2,
"High",3
)</f>
        <v>1</v>
      </c>
      <c r="Q236">
        <f>IF(tbl_analysis_tickets[[#This Row],[reopened]]="Yes",1,0)</f>
        <v>1</v>
      </c>
      <c r="R236" t="str" cm="1">
        <f t="array" ref="R236">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36" t="str" cm="1">
        <f t="array" ref="S23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36" t="str">
        <f>TEXT(tbl_analysis_tickets[[#This Row],[created_date]],"mmm-yyyy")</f>
        <v>May-2024</v>
      </c>
      <c r="U236" t="str">
        <f>TEXT(tbl_analysis_tickets[[#This Row],[created_date]],"dddd")</f>
        <v>Wednesday</v>
      </c>
      <c r="V236" cm="1">
        <f t="array" ref="V236">_xlfn.SWITCH(tbl_analysis_tickets[[#This Row],[priority]],
"Urgent",1,
"High",2,
"Medium",3,
"Low",4
)</f>
        <v>4</v>
      </c>
    </row>
    <row r="237" spans="1:22" x14ac:dyDescent="0.25">
      <c r="A237">
        <v>236</v>
      </c>
      <c r="B237" s="1">
        <v>45428</v>
      </c>
      <c r="C237" t="s">
        <v>22</v>
      </c>
      <c r="D237" t="s">
        <v>17</v>
      </c>
      <c r="E237">
        <v>56</v>
      </c>
      <c r="F237">
        <v>45</v>
      </c>
      <c r="G237">
        <v>2.1</v>
      </c>
      <c r="H237" t="s">
        <v>12</v>
      </c>
      <c r="I237" t="s">
        <v>16</v>
      </c>
      <c r="J237" t="s">
        <v>11</v>
      </c>
      <c r="K237">
        <f>_xlfn.XLOOKUP(tbl_analysis_tickets[[#This Row],[priority]],tbl_sla[priority],tbl_sla[Resolution SLA Hours])</f>
        <v>8</v>
      </c>
      <c r="L237">
        <f>_xlfn.XLOOKUP(tbl_analysis_tickets[[#This Row],[priority]],tbl_sla[priority],tbl_sla[First Response SLA Minutes])</f>
        <v>30</v>
      </c>
      <c r="M237" t="str">
        <f>IF(tbl_analysis_tickets[[#This Row],[resolution_time_hours]]&gt;tbl_analysis_tickets[[#This Row],[Resolution SLA Hours]],"Breached","Within SLA")</f>
        <v>Breached</v>
      </c>
      <c r="N237" t="str">
        <f>IF(tbl_analysis_tickets[[#This Row],[first_response_minutes]]&gt;tbl_analysis_tickets[[#This Row],[First Response SLA Minutes]],"Breached","Within SLA")</f>
        <v>Breached</v>
      </c>
      <c r="O237" t="str" cm="1">
        <f t="array" ref="O237">_xlfn.IFS(
tbl_analysis_tickets[[#This Row],[agent_experience_years]]&lt;=2,"Junior",
tbl_analysis_tickets[[#This Row],[agent_experience_years]]&lt;=5,"Mid-Level",
tbl_analysis_tickets[[#This Row],[agent_experience_years]]&lt;=8,"Senior",
tbl_analysis_tickets[[#This Row],[agent_experience_years]]&gt;8,"Expert"
)</f>
        <v>Mid-Level</v>
      </c>
      <c r="P237" cm="1">
        <f t="array" ref="P237">_xlfn.SWITCH(tbl_analysis_tickets[[#This Row],[customer_satisfaction]],
"Low",1,
"Medium",2,
"High",3
)</f>
        <v>1</v>
      </c>
      <c r="Q237">
        <f>IF(tbl_analysis_tickets[[#This Row],[reopened]]="Yes",1,0)</f>
        <v>1</v>
      </c>
      <c r="R237" t="str" cm="1">
        <f t="array" ref="R237">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37" t="str" cm="1">
        <f t="array" ref="S23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37" t="str">
        <f>TEXT(tbl_analysis_tickets[[#This Row],[created_date]],"mmm-yyyy")</f>
        <v>May-2024</v>
      </c>
      <c r="U237" t="str">
        <f>TEXT(tbl_analysis_tickets[[#This Row],[created_date]],"dddd")</f>
        <v>Thursday</v>
      </c>
      <c r="V237" cm="1">
        <f t="array" ref="V237">_xlfn.SWITCH(tbl_analysis_tickets[[#This Row],[priority]],
"Urgent",1,
"High",2,
"Medium",3,
"Low",4
)</f>
        <v>1</v>
      </c>
    </row>
    <row r="238" spans="1:22" x14ac:dyDescent="0.25">
      <c r="A238">
        <v>237</v>
      </c>
      <c r="B238" s="1">
        <v>45621</v>
      </c>
      <c r="C238" t="s">
        <v>14</v>
      </c>
      <c r="D238" t="s">
        <v>15</v>
      </c>
      <c r="E238">
        <v>207</v>
      </c>
      <c r="F238">
        <v>59</v>
      </c>
      <c r="G238">
        <v>3.5</v>
      </c>
      <c r="H238" t="s">
        <v>18</v>
      </c>
      <c r="I238" t="s">
        <v>13</v>
      </c>
      <c r="J238" t="s">
        <v>11</v>
      </c>
      <c r="K238">
        <f>_xlfn.XLOOKUP(tbl_analysis_tickets[[#This Row],[priority]],tbl_sla[priority],tbl_sla[Resolution SLA Hours])</f>
        <v>48</v>
      </c>
      <c r="L238">
        <f>_xlfn.XLOOKUP(tbl_analysis_tickets[[#This Row],[priority]],tbl_sla[priority],tbl_sla[First Response SLA Minutes])</f>
        <v>120</v>
      </c>
      <c r="M238" t="str">
        <f>IF(tbl_analysis_tickets[[#This Row],[resolution_time_hours]]&gt;tbl_analysis_tickets[[#This Row],[Resolution SLA Hours]],"Breached","Within SLA")</f>
        <v>Breached</v>
      </c>
      <c r="N238" t="str">
        <f>IF(tbl_analysis_tickets[[#This Row],[first_response_minutes]]&gt;tbl_analysis_tickets[[#This Row],[First Response SLA Minutes]],"Breached","Within SLA")</f>
        <v>Breached</v>
      </c>
      <c r="O238" t="str" cm="1">
        <f t="array" ref="O238">_xlfn.IFS(
tbl_analysis_tickets[[#This Row],[agent_experience_years]]&lt;=2,"Junior",
tbl_analysis_tickets[[#This Row],[agent_experience_years]]&lt;=5,"Mid-Level",
tbl_analysis_tickets[[#This Row],[agent_experience_years]]&lt;=8,"Senior",
tbl_analysis_tickets[[#This Row],[agent_experience_years]]&gt;8,"Expert"
)</f>
        <v>Mid-Level</v>
      </c>
      <c r="P238" cm="1">
        <f t="array" ref="P238">_xlfn.SWITCH(tbl_analysis_tickets[[#This Row],[customer_satisfaction]],
"Low",1,
"Medium",2,
"High",3
)</f>
        <v>1</v>
      </c>
      <c r="Q238">
        <f>IF(tbl_analysis_tickets[[#This Row],[reopened]]="Yes",1,0)</f>
        <v>0</v>
      </c>
      <c r="R238" t="str" cm="1">
        <f t="array" ref="R238">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38" t="str" cm="1">
        <f t="array" ref="S23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38" t="str">
        <f>TEXT(tbl_analysis_tickets[[#This Row],[created_date]],"mmm-yyyy")</f>
        <v>Nov-2024</v>
      </c>
      <c r="U238" t="str">
        <f>TEXT(tbl_analysis_tickets[[#This Row],[created_date]],"dddd")</f>
        <v>Monday</v>
      </c>
      <c r="V238" cm="1">
        <f t="array" ref="V238">_xlfn.SWITCH(tbl_analysis_tickets[[#This Row],[priority]],
"Urgent",1,
"High",2,
"Medium",3,
"Low",4
)</f>
        <v>3</v>
      </c>
    </row>
    <row r="239" spans="1:22" x14ac:dyDescent="0.25">
      <c r="A239">
        <v>238</v>
      </c>
      <c r="B239" s="1">
        <v>45457</v>
      </c>
      <c r="C239" t="s">
        <v>14</v>
      </c>
      <c r="D239" t="s">
        <v>11</v>
      </c>
      <c r="E239">
        <v>7</v>
      </c>
      <c r="F239">
        <v>42</v>
      </c>
      <c r="G239">
        <v>3.1</v>
      </c>
      <c r="H239" t="s">
        <v>18</v>
      </c>
      <c r="I239" t="s">
        <v>13</v>
      </c>
      <c r="J239" t="s">
        <v>15</v>
      </c>
      <c r="K239">
        <f>_xlfn.XLOOKUP(tbl_analysis_tickets[[#This Row],[priority]],tbl_sla[priority],tbl_sla[Resolution SLA Hours])</f>
        <v>72</v>
      </c>
      <c r="L239">
        <f>_xlfn.XLOOKUP(tbl_analysis_tickets[[#This Row],[priority]],tbl_sla[priority],tbl_sla[First Response SLA Minutes])</f>
        <v>240</v>
      </c>
      <c r="M239" t="str">
        <f>IF(tbl_analysis_tickets[[#This Row],[resolution_time_hours]]&gt;tbl_analysis_tickets[[#This Row],[Resolution SLA Hours]],"Breached","Within SLA")</f>
        <v>Within SLA</v>
      </c>
      <c r="N239" t="str">
        <f>IF(tbl_analysis_tickets[[#This Row],[first_response_minutes]]&gt;tbl_analysis_tickets[[#This Row],[First Response SLA Minutes]],"Breached","Within SLA")</f>
        <v>Within SLA</v>
      </c>
      <c r="O239" t="str" cm="1">
        <f t="array" ref="O239">_xlfn.IFS(
tbl_analysis_tickets[[#This Row],[agent_experience_years]]&lt;=2,"Junior",
tbl_analysis_tickets[[#This Row],[agent_experience_years]]&lt;=5,"Mid-Level",
tbl_analysis_tickets[[#This Row],[agent_experience_years]]&lt;=8,"Senior",
tbl_analysis_tickets[[#This Row],[agent_experience_years]]&gt;8,"Expert"
)</f>
        <v>Mid-Level</v>
      </c>
      <c r="P239" cm="1">
        <f t="array" ref="P239">_xlfn.SWITCH(tbl_analysis_tickets[[#This Row],[customer_satisfaction]],
"Low",1,
"Medium",2,
"High",3
)</f>
        <v>2</v>
      </c>
      <c r="Q239">
        <f>IF(tbl_analysis_tickets[[#This Row],[reopened]]="Yes",1,0)</f>
        <v>0</v>
      </c>
      <c r="R239" t="str" cm="1">
        <f t="array" ref="R239">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239" t="str" cm="1">
        <f t="array" ref="S23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39" t="str">
        <f>TEXT(tbl_analysis_tickets[[#This Row],[created_date]],"mmm-yyyy")</f>
        <v>Jun-2024</v>
      </c>
      <c r="U239" t="str">
        <f>TEXT(tbl_analysis_tickets[[#This Row],[created_date]],"dddd")</f>
        <v>Friday</v>
      </c>
      <c r="V239" cm="1">
        <f t="array" ref="V239">_xlfn.SWITCH(tbl_analysis_tickets[[#This Row],[priority]],
"Urgent",1,
"High",2,
"Medium",3,
"Low",4
)</f>
        <v>4</v>
      </c>
    </row>
    <row r="240" spans="1:22" x14ac:dyDescent="0.25">
      <c r="A240">
        <v>239</v>
      </c>
      <c r="B240" s="1">
        <v>45450</v>
      </c>
      <c r="C240" t="s">
        <v>14</v>
      </c>
      <c r="D240" t="s">
        <v>11</v>
      </c>
      <c r="E240">
        <v>107</v>
      </c>
      <c r="F240">
        <v>46</v>
      </c>
      <c r="G240">
        <v>4.9000000000000004</v>
      </c>
      <c r="H240" t="s">
        <v>12</v>
      </c>
      <c r="I240" t="s">
        <v>13</v>
      </c>
      <c r="J240" t="s">
        <v>11</v>
      </c>
      <c r="K240">
        <f>_xlfn.XLOOKUP(tbl_analysis_tickets[[#This Row],[priority]],tbl_sla[priority],tbl_sla[Resolution SLA Hours])</f>
        <v>72</v>
      </c>
      <c r="L240">
        <f>_xlfn.XLOOKUP(tbl_analysis_tickets[[#This Row],[priority]],tbl_sla[priority],tbl_sla[First Response SLA Minutes])</f>
        <v>240</v>
      </c>
      <c r="M240" t="str">
        <f>IF(tbl_analysis_tickets[[#This Row],[resolution_time_hours]]&gt;tbl_analysis_tickets[[#This Row],[Resolution SLA Hours]],"Breached","Within SLA")</f>
        <v>Within SLA</v>
      </c>
      <c r="N240" t="str">
        <f>IF(tbl_analysis_tickets[[#This Row],[first_response_minutes]]&gt;tbl_analysis_tickets[[#This Row],[First Response SLA Minutes]],"Breached","Within SLA")</f>
        <v>Within SLA</v>
      </c>
      <c r="O240" t="str" cm="1">
        <f t="array" ref="O240">_xlfn.IFS(
tbl_analysis_tickets[[#This Row],[agent_experience_years]]&lt;=2,"Junior",
tbl_analysis_tickets[[#This Row],[agent_experience_years]]&lt;=5,"Mid-Level",
tbl_analysis_tickets[[#This Row],[agent_experience_years]]&lt;=8,"Senior",
tbl_analysis_tickets[[#This Row],[agent_experience_years]]&gt;8,"Expert"
)</f>
        <v>Mid-Level</v>
      </c>
      <c r="P240" cm="1">
        <f t="array" ref="P240">_xlfn.SWITCH(tbl_analysis_tickets[[#This Row],[customer_satisfaction]],
"Low",1,
"Medium",2,
"High",3
)</f>
        <v>1</v>
      </c>
      <c r="Q240">
        <f>IF(tbl_analysis_tickets[[#This Row],[reopened]]="Yes",1,0)</f>
        <v>1</v>
      </c>
      <c r="R240" t="str" cm="1">
        <f t="array" ref="R240">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40" t="str" cm="1">
        <f t="array" ref="S24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40" t="str">
        <f>TEXT(tbl_analysis_tickets[[#This Row],[created_date]],"mmm-yyyy")</f>
        <v>Jun-2024</v>
      </c>
      <c r="U240" t="str">
        <f>TEXT(tbl_analysis_tickets[[#This Row],[created_date]],"dddd")</f>
        <v>Friday</v>
      </c>
      <c r="V240" cm="1">
        <f t="array" ref="V240">_xlfn.SWITCH(tbl_analysis_tickets[[#This Row],[priority]],
"Urgent",1,
"High",2,
"Medium",3,
"Low",4
)</f>
        <v>4</v>
      </c>
    </row>
    <row r="241" spans="1:22" x14ac:dyDescent="0.25">
      <c r="A241">
        <v>240</v>
      </c>
      <c r="B241" s="1">
        <v>45558</v>
      </c>
      <c r="C241" t="s">
        <v>23</v>
      </c>
      <c r="D241" t="s">
        <v>11</v>
      </c>
      <c r="E241">
        <v>200</v>
      </c>
      <c r="F241">
        <v>38</v>
      </c>
      <c r="G241">
        <v>3.4</v>
      </c>
      <c r="H241" t="s">
        <v>18</v>
      </c>
      <c r="I241" t="s">
        <v>13</v>
      </c>
      <c r="J241" t="s">
        <v>11</v>
      </c>
      <c r="K241">
        <f>_xlfn.XLOOKUP(tbl_analysis_tickets[[#This Row],[priority]],tbl_sla[priority],tbl_sla[Resolution SLA Hours])</f>
        <v>72</v>
      </c>
      <c r="L241">
        <f>_xlfn.XLOOKUP(tbl_analysis_tickets[[#This Row],[priority]],tbl_sla[priority],tbl_sla[First Response SLA Minutes])</f>
        <v>240</v>
      </c>
      <c r="M241" t="str">
        <f>IF(tbl_analysis_tickets[[#This Row],[resolution_time_hours]]&gt;tbl_analysis_tickets[[#This Row],[Resolution SLA Hours]],"Breached","Within SLA")</f>
        <v>Within SLA</v>
      </c>
      <c r="N241" t="str">
        <f>IF(tbl_analysis_tickets[[#This Row],[first_response_minutes]]&gt;tbl_analysis_tickets[[#This Row],[First Response SLA Minutes]],"Breached","Within SLA")</f>
        <v>Within SLA</v>
      </c>
      <c r="O241" t="str" cm="1">
        <f t="array" ref="O241">_xlfn.IFS(
tbl_analysis_tickets[[#This Row],[agent_experience_years]]&lt;=2,"Junior",
tbl_analysis_tickets[[#This Row],[agent_experience_years]]&lt;=5,"Mid-Level",
tbl_analysis_tickets[[#This Row],[agent_experience_years]]&lt;=8,"Senior",
tbl_analysis_tickets[[#This Row],[agent_experience_years]]&gt;8,"Expert"
)</f>
        <v>Mid-Level</v>
      </c>
      <c r="P241" cm="1">
        <f t="array" ref="P241">_xlfn.SWITCH(tbl_analysis_tickets[[#This Row],[customer_satisfaction]],
"Low",1,
"Medium",2,
"High",3
)</f>
        <v>1</v>
      </c>
      <c r="Q241">
        <f>IF(tbl_analysis_tickets[[#This Row],[reopened]]="Yes",1,0)</f>
        <v>0</v>
      </c>
      <c r="R241" t="str" cm="1">
        <f t="array" ref="R241">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41" t="str" cm="1">
        <f t="array" ref="S24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41" t="str">
        <f>TEXT(tbl_analysis_tickets[[#This Row],[created_date]],"mmm-yyyy")</f>
        <v>Sep-2024</v>
      </c>
      <c r="U241" t="str">
        <f>TEXT(tbl_analysis_tickets[[#This Row],[created_date]],"dddd")</f>
        <v>Monday</v>
      </c>
      <c r="V241" cm="1">
        <f t="array" ref="V241">_xlfn.SWITCH(tbl_analysis_tickets[[#This Row],[priority]],
"Urgent",1,
"High",2,
"Medium",3,
"Low",4
)</f>
        <v>4</v>
      </c>
    </row>
    <row r="242" spans="1:22" x14ac:dyDescent="0.25">
      <c r="A242">
        <v>241</v>
      </c>
      <c r="B242" s="1">
        <v>45476</v>
      </c>
      <c r="C242" t="s">
        <v>23</v>
      </c>
      <c r="D242" t="s">
        <v>20</v>
      </c>
      <c r="E242">
        <v>198</v>
      </c>
      <c r="F242">
        <v>50</v>
      </c>
      <c r="G242">
        <v>8.3000000000000007</v>
      </c>
      <c r="H242" t="s">
        <v>18</v>
      </c>
      <c r="I242" t="s">
        <v>16</v>
      </c>
      <c r="J242" t="s">
        <v>11</v>
      </c>
      <c r="K242">
        <f>_xlfn.XLOOKUP(tbl_analysis_tickets[[#This Row],[priority]],tbl_sla[priority],tbl_sla[Resolution SLA Hours])</f>
        <v>24</v>
      </c>
      <c r="L242">
        <f>_xlfn.XLOOKUP(tbl_analysis_tickets[[#This Row],[priority]],tbl_sla[priority],tbl_sla[First Response SLA Minutes])</f>
        <v>60</v>
      </c>
      <c r="M242" t="str">
        <f>IF(tbl_analysis_tickets[[#This Row],[resolution_time_hours]]&gt;tbl_analysis_tickets[[#This Row],[Resolution SLA Hours]],"Breached","Within SLA")</f>
        <v>Breached</v>
      </c>
      <c r="N242" t="str">
        <f>IF(tbl_analysis_tickets[[#This Row],[first_response_minutes]]&gt;tbl_analysis_tickets[[#This Row],[First Response SLA Minutes]],"Breached","Within SLA")</f>
        <v>Breached</v>
      </c>
      <c r="O242" t="str" cm="1">
        <f t="array" ref="O242">_xlfn.IFS(
tbl_analysis_tickets[[#This Row],[agent_experience_years]]&lt;=2,"Junior",
tbl_analysis_tickets[[#This Row],[agent_experience_years]]&lt;=5,"Mid-Level",
tbl_analysis_tickets[[#This Row],[agent_experience_years]]&lt;=8,"Senior",
tbl_analysis_tickets[[#This Row],[agent_experience_years]]&gt;8,"Expert"
)</f>
        <v>Expert</v>
      </c>
      <c r="P242" cm="1">
        <f t="array" ref="P242">_xlfn.SWITCH(tbl_analysis_tickets[[#This Row],[customer_satisfaction]],
"Low",1,
"Medium",2,
"High",3
)</f>
        <v>1</v>
      </c>
      <c r="Q242">
        <f>IF(tbl_analysis_tickets[[#This Row],[reopened]]="Yes",1,0)</f>
        <v>0</v>
      </c>
      <c r="R242" t="str" cm="1">
        <f t="array" ref="R242">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42" t="str" cm="1">
        <f t="array" ref="S24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42" t="str">
        <f>TEXT(tbl_analysis_tickets[[#This Row],[created_date]],"mmm-yyyy")</f>
        <v>Jul-2024</v>
      </c>
      <c r="U242" t="str">
        <f>TEXT(tbl_analysis_tickets[[#This Row],[created_date]],"dddd")</f>
        <v>Wednesday</v>
      </c>
      <c r="V242" cm="1">
        <f t="array" ref="V242">_xlfn.SWITCH(tbl_analysis_tickets[[#This Row],[priority]],
"Urgent",1,
"High",2,
"Medium",3,
"Low",4
)</f>
        <v>2</v>
      </c>
    </row>
    <row r="243" spans="1:22" x14ac:dyDescent="0.25">
      <c r="A243">
        <v>242</v>
      </c>
      <c r="B243" s="1">
        <v>45374</v>
      </c>
      <c r="C243" t="s">
        <v>21</v>
      </c>
      <c r="D243" t="s">
        <v>17</v>
      </c>
      <c r="E243">
        <v>182</v>
      </c>
      <c r="F243">
        <v>58</v>
      </c>
      <c r="G243">
        <v>5.6</v>
      </c>
      <c r="H243" t="s">
        <v>12</v>
      </c>
      <c r="I243" t="s">
        <v>19</v>
      </c>
      <c r="J243" t="s">
        <v>11</v>
      </c>
      <c r="K243">
        <f>_xlfn.XLOOKUP(tbl_analysis_tickets[[#This Row],[priority]],tbl_sla[priority],tbl_sla[Resolution SLA Hours])</f>
        <v>8</v>
      </c>
      <c r="L243">
        <f>_xlfn.XLOOKUP(tbl_analysis_tickets[[#This Row],[priority]],tbl_sla[priority],tbl_sla[First Response SLA Minutes])</f>
        <v>30</v>
      </c>
      <c r="M243" t="str">
        <f>IF(tbl_analysis_tickets[[#This Row],[resolution_time_hours]]&gt;tbl_analysis_tickets[[#This Row],[Resolution SLA Hours]],"Breached","Within SLA")</f>
        <v>Breached</v>
      </c>
      <c r="N243" t="str">
        <f>IF(tbl_analysis_tickets[[#This Row],[first_response_minutes]]&gt;tbl_analysis_tickets[[#This Row],[First Response SLA Minutes]],"Breached","Within SLA")</f>
        <v>Breached</v>
      </c>
      <c r="O243" t="str" cm="1">
        <f t="array" ref="O243">_xlfn.IFS(
tbl_analysis_tickets[[#This Row],[agent_experience_years]]&lt;=2,"Junior",
tbl_analysis_tickets[[#This Row],[agent_experience_years]]&lt;=5,"Mid-Level",
tbl_analysis_tickets[[#This Row],[agent_experience_years]]&lt;=8,"Senior",
tbl_analysis_tickets[[#This Row],[agent_experience_years]]&gt;8,"Expert"
)</f>
        <v>Senior</v>
      </c>
      <c r="P243" cm="1">
        <f t="array" ref="P243">_xlfn.SWITCH(tbl_analysis_tickets[[#This Row],[customer_satisfaction]],
"Low",1,
"Medium",2,
"High",3
)</f>
        <v>1</v>
      </c>
      <c r="Q243">
        <f>IF(tbl_analysis_tickets[[#This Row],[reopened]]="Yes",1,0)</f>
        <v>1</v>
      </c>
      <c r="R243" t="str" cm="1">
        <f t="array" ref="R243">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43" t="str" cm="1">
        <f t="array" ref="S24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43" t="str">
        <f>TEXT(tbl_analysis_tickets[[#This Row],[created_date]],"mmm-yyyy")</f>
        <v>Mar-2024</v>
      </c>
      <c r="U243" t="str">
        <f>TEXT(tbl_analysis_tickets[[#This Row],[created_date]],"dddd")</f>
        <v>Saturday</v>
      </c>
      <c r="V243" cm="1">
        <f t="array" ref="V243">_xlfn.SWITCH(tbl_analysis_tickets[[#This Row],[priority]],
"Urgent",1,
"High",2,
"Medium",3,
"Low",4
)</f>
        <v>1</v>
      </c>
    </row>
    <row r="244" spans="1:22" x14ac:dyDescent="0.25">
      <c r="A244">
        <v>243</v>
      </c>
      <c r="B244" s="1">
        <v>45516</v>
      </c>
      <c r="C244" t="s">
        <v>21</v>
      </c>
      <c r="D244" t="s">
        <v>15</v>
      </c>
      <c r="E244">
        <v>125</v>
      </c>
      <c r="F244">
        <v>19</v>
      </c>
      <c r="G244">
        <v>6.1</v>
      </c>
      <c r="H244" t="s">
        <v>18</v>
      </c>
      <c r="I244" t="s">
        <v>13</v>
      </c>
      <c r="J244" t="s">
        <v>15</v>
      </c>
      <c r="K244">
        <f>_xlfn.XLOOKUP(tbl_analysis_tickets[[#This Row],[priority]],tbl_sla[priority],tbl_sla[Resolution SLA Hours])</f>
        <v>48</v>
      </c>
      <c r="L244">
        <f>_xlfn.XLOOKUP(tbl_analysis_tickets[[#This Row],[priority]],tbl_sla[priority],tbl_sla[First Response SLA Minutes])</f>
        <v>120</v>
      </c>
      <c r="M244" t="str">
        <f>IF(tbl_analysis_tickets[[#This Row],[resolution_time_hours]]&gt;tbl_analysis_tickets[[#This Row],[Resolution SLA Hours]],"Breached","Within SLA")</f>
        <v>Within SLA</v>
      </c>
      <c r="N244" t="str">
        <f>IF(tbl_analysis_tickets[[#This Row],[first_response_minutes]]&gt;tbl_analysis_tickets[[#This Row],[First Response SLA Minutes]],"Breached","Within SLA")</f>
        <v>Breached</v>
      </c>
      <c r="O244" t="str" cm="1">
        <f t="array" ref="O244">_xlfn.IFS(
tbl_analysis_tickets[[#This Row],[agent_experience_years]]&lt;=2,"Junior",
tbl_analysis_tickets[[#This Row],[agent_experience_years]]&lt;=5,"Mid-Level",
tbl_analysis_tickets[[#This Row],[agent_experience_years]]&lt;=8,"Senior",
tbl_analysis_tickets[[#This Row],[agent_experience_years]]&gt;8,"Expert"
)</f>
        <v>Senior</v>
      </c>
      <c r="P244" cm="1">
        <f t="array" ref="P244">_xlfn.SWITCH(tbl_analysis_tickets[[#This Row],[customer_satisfaction]],
"Low",1,
"Medium",2,
"High",3
)</f>
        <v>2</v>
      </c>
      <c r="Q244">
        <f>IF(tbl_analysis_tickets[[#This Row],[reopened]]="Yes",1,0)</f>
        <v>0</v>
      </c>
      <c r="R244" t="str" cm="1">
        <f t="array" ref="R244">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44" t="str" cm="1">
        <f t="array" ref="S24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44" t="str">
        <f>TEXT(tbl_analysis_tickets[[#This Row],[created_date]],"mmm-yyyy")</f>
        <v>Aug-2024</v>
      </c>
      <c r="U244" t="str">
        <f>TEXT(tbl_analysis_tickets[[#This Row],[created_date]],"dddd")</f>
        <v>Monday</v>
      </c>
      <c r="V244" cm="1">
        <f t="array" ref="V244">_xlfn.SWITCH(tbl_analysis_tickets[[#This Row],[priority]],
"Urgent",1,
"High",2,
"Medium",3,
"Low",4
)</f>
        <v>3</v>
      </c>
    </row>
    <row r="245" spans="1:22" x14ac:dyDescent="0.25">
      <c r="A245">
        <v>244</v>
      </c>
      <c r="B245" s="1">
        <v>45393</v>
      </c>
      <c r="C245" t="s">
        <v>14</v>
      </c>
      <c r="D245" t="s">
        <v>11</v>
      </c>
      <c r="E245">
        <v>26</v>
      </c>
      <c r="F245">
        <v>72</v>
      </c>
      <c r="G245">
        <v>9.1999999999999993</v>
      </c>
      <c r="H245" t="s">
        <v>18</v>
      </c>
      <c r="I245" t="s">
        <v>19</v>
      </c>
      <c r="J245" t="s">
        <v>20</v>
      </c>
      <c r="K245">
        <f>_xlfn.XLOOKUP(tbl_analysis_tickets[[#This Row],[priority]],tbl_sla[priority],tbl_sla[Resolution SLA Hours])</f>
        <v>72</v>
      </c>
      <c r="L245">
        <f>_xlfn.XLOOKUP(tbl_analysis_tickets[[#This Row],[priority]],tbl_sla[priority],tbl_sla[First Response SLA Minutes])</f>
        <v>240</v>
      </c>
      <c r="M245" t="str">
        <f>IF(tbl_analysis_tickets[[#This Row],[resolution_time_hours]]&gt;tbl_analysis_tickets[[#This Row],[Resolution SLA Hours]],"Breached","Within SLA")</f>
        <v>Within SLA</v>
      </c>
      <c r="N245" t="str">
        <f>IF(tbl_analysis_tickets[[#This Row],[first_response_minutes]]&gt;tbl_analysis_tickets[[#This Row],[First Response SLA Minutes]],"Breached","Within SLA")</f>
        <v>Within SLA</v>
      </c>
      <c r="O245" t="str" cm="1">
        <f t="array" ref="O245">_xlfn.IFS(
tbl_analysis_tickets[[#This Row],[agent_experience_years]]&lt;=2,"Junior",
tbl_analysis_tickets[[#This Row],[agent_experience_years]]&lt;=5,"Mid-Level",
tbl_analysis_tickets[[#This Row],[agent_experience_years]]&lt;=8,"Senior",
tbl_analysis_tickets[[#This Row],[agent_experience_years]]&gt;8,"Expert"
)</f>
        <v>Expert</v>
      </c>
      <c r="P245" cm="1">
        <f t="array" ref="P245">_xlfn.SWITCH(tbl_analysis_tickets[[#This Row],[customer_satisfaction]],
"Low",1,
"Medium",2,
"High",3
)</f>
        <v>3</v>
      </c>
      <c r="Q245">
        <f>IF(tbl_analysis_tickets[[#This Row],[reopened]]="Yes",1,0)</f>
        <v>0</v>
      </c>
      <c r="R245" t="str" cm="1">
        <f t="array" ref="R245">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245" t="str" cm="1">
        <f t="array" ref="S24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45" t="str">
        <f>TEXT(tbl_analysis_tickets[[#This Row],[created_date]],"mmm-yyyy")</f>
        <v>Apr-2024</v>
      </c>
      <c r="U245" t="str">
        <f>TEXT(tbl_analysis_tickets[[#This Row],[created_date]],"dddd")</f>
        <v>Thursday</v>
      </c>
      <c r="V245" cm="1">
        <f t="array" ref="V245">_xlfn.SWITCH(tbl_analysis_tickets[[#This Row],[priority]],
"Urgent",1,
"High",2,
"Medium",3,
"Low",4
)</f>
        <v>4</v>
      </c>
    </row>
    <row r="246" spans="1:22" x14ac:dyDescent="0.25">
      <c r="A246">
        <v>245</v>
      </c>
      <c r="B246" s="1">
        <v>45502</v>
      </c>
      <c r="C246" t="s">
        <v>10</v>
      </c>
      <c r="D246" t="s">
        <v>17</v>
      </c>
      <c r="E246">
        <v>125</v>
      </c>
      <c r="F246">
        <v>12</v>
      </c>
      <c r="G246">
        <v>9.6</v>
      </c>
      <c r="H246" t="s">
        <v>12</v>
      </c>
      <c r="I246" t="s">
        <v>13</v>
      </c>
      <c r="J246" t="s">
        <v>11</v>
      </c>
      <c r="K246">
        <f>_xlfn.XLOOKUP(tbl_analysis_tickets[[#This Row],[priority]],tbl_sla[priority],tbl_sla[Resolution SLA Hours])</f>
        <v>8</v>
      </c>
      <c r="L246">
        <f>_xlfn.XLOOKUP(tbl_analysis_tickets[[#This Row],[priority]],tbl_sla[priority],tbl_sla[First Response SLA Minutes])</f>
        <v>30</v>
      </c>
      <c r="M246" t="str">
        <f>IF(tbl_analysis_tickets[[#This Row],[resolution_time_hours]]&gt;tbl_analysis_tickets[[#This Row],[Resolution SLA Hours]],"Breached","Within SLA")</f>
        <v>Breached</v>
      </c>
      <c r="N246" t="str">
        <f>IF(tbl_analysis_tickets[[#This Row],[first_response_minutes]]&gt;tbl_analysis_tickets[[#This Row],[First Response SLA Minutes]],"Breached","Within SLA")</f>
        <v>Breached</v>
      </c>
      <c r="O246" t="str" cm="1">
        <f t="array" ref="O246">_xlfn.IFS(
tbl_analysis_tickets[[#This Row],[agent_experience_years]]&lt;=2,"Junior",
tbl_analysis_tickets[[#This Row],[agent_experience_years]]&lt;=5,"Mid-Level",
tbl_analysis_tickets[[#This Row],[agent_experience_years]]&lt;=8,"Senior",
tbl_analysis_tickets[[#This Row],[agent_experience_years]]&gt;8,"Expert"
)</f>
        <v>Expert</v>
      </c>
      <c r="P246" cm="1">
        <f t="array" ref="P246">_xlfn.SWITCH(tbl_analysis_tickets[[#This Row],[customer_satisfaction]],
"Low",1,
"Medium",2,
"High",3
)</f>
        <v>1</v>
      </c>
      <c r="Q246">
        <f>IF(tbl_analysis_tickets[[#This Row],[reopened]]="Yes",1,0)</f>
        <v>1</v>
      </c>
      <c r="R246" t="str" cm="1">
        <f t="array" ref="R246">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46" t="str" cm="1">
        <f t="array" ref="S24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46" t="str">
        <f>TEXT(tbl_analysis_tickets[[#This Row],[created_date]],"mmm-yyyy")</f>
        <v>Jul-2024</v>
      </c>
      <c r="U246" t="str">
        <f>TEXT(tbl_analysis_tickets[[#This Row],[created_date]],"dddd")</f>
        <v>Monday</v>
      </c>
      <c r="V246" cm="1">
        <f t="array" ref="V246">_xlfn.SWITCH(tbl_analysis_tickets[[#This Row],[priority]],
"Urgent",1,
"High",2,
"Medium",3,
"Low",4
)</f>
        <v>1</v>
      </c>
    </row>
    <row r="247" spans="1:22" x14ac:dyDescent="0.25">
      <c r="A247">
        <v>246</v>
      </c>
      <c r="B247" s="1">
        <v>45345</v>
      </c>
      <c r="C247" t="s">
        <v>22</v>
      </c>
      <c r="D247" t="s">
        <v>20</v>
      </c>
      <c r="E247">
        <v>52</v>
      </c>
      <c r="F247">
        <v>47</v>
      </c>
      <c r="G247">
        <v>7.8</v>
      </c>
      <c r="H247" t="s">
        <v>18</v>
      </c>
      <c r="I247" t="s">
        <v>16</v>
      </c>
      <c r="J247" t="s">
        <v>11</v>
      </c>
      <c r="K247">
        <f>_xlfn.XLOOKUP(tbl_analysis_tickets[[#This Row],[priority]],tbl_sla[priority],tbl_sla[Resolution SLA Hours])</f>
        <v>24</v>
      </c>
      <c r="L247">
        <f>_xlfn.XLOOKUP(tbl_analysis_tickets[[#This Row],[priority]],tbl_sla[priority],tbl_sla[First Response SLA Minutes])</f>
        <v>60</v>
      </c>
      <c r="M247" t="str">
        <f>IF(tbl_analysis_tickets[[#This Row],[resolution_time_hours]]&gt;tbl_analysis_tickets[[#This Row],[Resolution SLA Hours]],"Breached","Within SLA")</f>
        <v>Breached</v>
      </c>
      <c r="N247" t="str">
        <f>IF(tbl_analysis_tickets[[#This Row],[first_response_minutes]]&gt;tbl_analysis_tickets[[#This Row],[First Response SLA Minutes]],"Breached","Within SLA")</f>
        <v>Within SLA</v>
      </c>
      <c r="O247" t="str" cm="1">
        <f t="array" ref="O247">_xlfn.IFS(
tbl_analysis_tickets[[#This Row],[agent_experience_years]]&lt;=2,"Junior",
tbl_analysis_tickets[[#This Row],[agent_experience_years]]&lt;=5,"Mid-Level",
tbl_analysis_tickets[[#This Row],[agent_experience_years]]&lt;=8,"Senior",
tbl_analysis_tickets[[#This Row],[agent_experience_years]]&gt;8,"Expert"
)</f>
        <v>Senior</v>
      </c>
      <c r="P247" cm="1">
        <f t="array" ref="P247">_xlfn.SWITCH(tbl_analysis_tickets[[#This Row],[customer_satisfaction]],
"Low",1,
"Medium",2,
"High",3
)</f>
        <v>1</v>
      </c>
      <c r="Q247">
        <f>IF(tbl_analysis_tickets[[#This Row],[reopened]]="Yes",1,0)</f>
        <v>0</v>
      </c>
      <c r="R247" t="str" cm="1">
        <f t="array" ref="R247">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47" t="str" cm="1">
        <f t="array" ref="S24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47" t="str">
        <f>TEXT(tbl_analysis_tickets[[#This Row],[created_date]],"mmm-yyyy")</f>
        <v>Feb-2024</v>
      </c>
      <c r="U247" t="str">
        <f>TEXT(tbl_analysis_tickets[[#This Row],[created_date]],"dddd")</f>
        <v>Friday</v>
      </c>
      <c r="V247" cm="1">
        <f t="array" ref="V247">_xlfn.SWITCH(tbl_analysis_tickets[[#This Row],[priority]],
"Urgent",1,
"High",2,
"Medium",3,
"Low",4
)</f>
        <v>2</v>
      </c>
    </row>
    <row r="248" spans="1:22" x14ac:dyDescent="0.25">
      <c r="A248">
        <v>247</v>
      </c>
      <c r="B248" s="1">
        <v>45474</v>
      </c>
      <c r="C248" t="s">
        <v>21</v>
      </c>
      <c r="D248" t="s">
        <v>17</v>
      </c>
      <c r="E248">
        <v>235</v>
      </c>
      <c r="F248">
        <v>38</v>
      </c>
      <c r="G248">
        <v>3.4</v>
      </c>
      <c r="H248" t="s">
        <v>12</v>
      </c>
      <c r="I248" t="s">
        <v>16</v>
      </c>
      <c r="J248" t="s">
        <v>11</v>
      </c>
      <c r="K248">
        <f>_xlfn.XLOOKUP(tbl_analysis_tickets[[#This Row],[priority]],tbl_sla[priority],tbl_sla[Resolution SLA Hours])</f>
        <v>8</v>
      </c>
      <c r="L248">
        <f>_xlfn.XLOOKUP(tbl_analysis_tickets[[#This Row],[priority]],tbl_sla[priority],tbl_sla[First Response SLA Minutes])</f>
        <v>30</v>
      </c>
      <c r="M248" t="str">
        <f>IF(tbl_analysis_tickets[[#This Row],[resolution_time_hours]]&gt;tbl_analysis_tickets[[#This Row],[Resolution SLA Hours]],"Breached","Within SLA")</f>
        <v>Breached</v>
      </c>
      <c r="N248" t="str">
        <f>IF(tbl_analysis_tickets[[#This Row],[first_response_minutes]]&gt;tbl_analysis_tickets[[#This Row],[First Response SLA Minutes]],"Breached","Within SLA")</f>
        <v>Breached</v>
      </c>
      <c r="O248" t="str" cm="1">
        <f t="array" ref="O248">_xlfn.IFS(
tbl_analysis_tickets[[#This Row],[agent_experience_years]]&lt;=2,"Junior",
tbl_analysis_tickets[[#This Row],[agent_experience_years]]&lt;=5,"Mid-Level",
tbl_analysis_tickets[[#This Row],[agent_experience_years]]&lt;=8,"Senior",
tbl_analysis_tickets[[#This Row],[agent_experience_years]]&gt;8,"Expert"
)</f>
        <v>Mid-Level</v>
      </c>
      <c r="P248" cm="1">
        <f t="array" ref="P248">_xlfn.SWITCH(tbl_analysis_tickets[[#This Row],[customer_satisfaction]],
"Low",1,
"Medium",2,
"High",3
)</f>
        <v>1</v>
      </c>
      <c r="Q248">
        <f>IF(tbl_analysis_tickets[[#This Row],[reopened]]="Yes",1,0)</f>
        <v>1</v>
      </c>
      <c r="R248" t="str" cm="1">
        <f t="array" ref="R248">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48" t="str" cm="1">
        <f t="array" ref="S24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48" t="str">
        <f>TEXT(tbl_analysis_tickets[[#This Row],[created_date]],"mmm-yyyy")</f>
        <v>Jul-2024</v>
      </c>
      <c r="U248" t="str">
        <f>TEXT(tbl_analysis_tickets[[#This Row],[created_date]],"dddd")</f>
        <v>Monday</v>
      </c>
      <c r="V248" cm="1">
        <f t="array" ref="V248">_xlfn.SWITCH(tbl_analysis_tickets[[#This Row],[priority]],
"Urgent",1,
"High",2,
"Medium",3,
"Low",4
)</f>
        <v>1</v>
      </c>
    </row>
    <row r="249" spans="1:22" x14ac:dyDescent="0.25">
      <c r="A249">
        <v>248</v>
      </c>
      <c r="B249" s="1">
        <v>45552</v>
      </c>
      <c r="C249" t="s">
        <v>22</v>
      </c>
      <c r="D249" t="s">
        <v>17</v>
      </c>
      <c r="E249">
        <v>17</v>
      </c>
      <c r="F249">
        <v>57</v>
      </c>
      <c r="G249">
        <v>5.3</v>
      </c>
      <c r="H249" t="s">
        <v>12</v>
      </c>
      <c r="I249" t="s">
        <v>16</v>
      </c>
      <c r="J249" t="s">
        <v>15</v>
      </c>
      <c r="K249">
        <f>_xlfn.XLOOKUP(tbl_analysis_tickets[[#This Row],[priority]],tbl_sla[priority],tbl_sla[Resolution SLA Hours])</f>
        <v>8</v>
      </c>
      <c r="L249">
        <f>_xlfn.XLOOKUP(tbl_analysis_tickets[[#This Row],[priority]],tbl_sla[priority],tbl_sla[First Response SLA Minutes])</f>
        <v>30</v>
      </c>
      <c r="M249" t="str">
        <f>IF(tbl_analysis_tickets[[#This Row],[resolution_time_hours]]&gt;tbl_analysis_tickets[[#This Row],[Resolution SLA Hours]],"Breached","Within SLA")</f>
        <v>Breached</v>
      </c>
      <c r="N249" t="str">
        <f>IF(tbl_analysis_tickets[[#This Row],[first_response_minutes]]&gt;tbl_analysis_tickets[[#This Row],[First Response SLA Minutes]],"Breached","Within SLA")</f>
        <v>Within SLA</v>
      </c>
      <c r="O249" t="str" cm="1">
        <f t="array" ref="O249">_xlfn.IFS(
tbl_analysis_tickets[[#This Row],[agent_experience_years]]&lt;=2,"Junior",
tbl_analysis_tickets[[#This Row],[agent_experience_years]]&lt;=5,"Mid-Level",
tbl_analysis_tickets[[#This Row],[agent_experience_years]]&lt;=8,"Senior",
tbl_analysis_tickets[[#This Row],[agent_experience_years]]&gt;8,"Expert"
)</f>
        <v>Senior</v>
      </c>
      <c r="P249" cm="1">
        <f t="array" ref="P249">_xlfn.SWITCH(tbl_analysis_tickets[[#This Row],[customer_satisfaction]],
"Low",1,
"Medium",2,
"High",3
)</f>
        <v>2</v>
      </c>
      <c r="Q249">
        <f>IF(tbl_analysis_tickets[[#This Row],[reopened]]="Yes",1,0)</f>
        <v>1</v>
      </c>
      <c r="R249" t="str" cm="1">
        <f t="array" ref="R249">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249" t="str" cm="1">
        <f t="array" ref="S24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49" t="str">
        <f>TEXT(tbl_analysis_tickets[[#This Row],[created_date]],"mmm-yyyy")</f>
        <v>Sep-2024</v>
      </c>
      <c r="U249" t="str">
        <f>TEXT(tbl_analysis_tickets[[#This Row],[created_date]],"dddd")</f>
        <v>Tuesday</v>
      </c>
      <c r="V249" cm="1">
        <f t="array" ref="V249">_xlfn.SWITCH(tbl_analysis_tickets[[#This Row],[priority]],
"Urgent",1,
"High",2,
"Medium",3,
"Low",4
)</f>
        <v>1</v>
      </c>
    </row>
    <row r="250" spans="1:22" x14ac:dyDescent="0.25">
      <c r="A250">
        <v>249</v>
      </c>
      <c r="B250" s="1">
        <v>45381</v>
      </c>
      <c r="C250" t="s">
        <v>10</v>
      </c>
      <c r="D250" t="s">
        <v>20</v>
      </c>
      <c r="E250">
        <v>80</v>
      </c>
      <c r="F250">
        <v>4</v>
      </c>
      <c r="G250">
        <v>4.2</v>
      </c>
      <c r="H250" t="s">
        <v>18</v>
      </c>
      <c r="I250" t="s">
        <v>13</v>
      </c>
      <c r="J250" t="s">
        <v>15</v>
      </c>
      <c r="K250">
        <f>_xlfn.XLOOKUP(tbl_analysis_tickets[[#This Row],[priority]],tbl_sla[priority],tbl_sla[Resolution SLA Hours])</f>
        <v>24</v>
      </c>
      <c r="L250">
        <f>_xlfn.XLOOKUP(tbl_analysis_tickets[[#This Row],[priority]],tbl_sla[priority],tbl_sla[First Response SLA Minutes])</f>
        <v>60</v>
      </c>
      <c r="M250" t="str">
        <f>IF(tbl_analysis_tickets[[#This Row],[resolution_time_hours]]&gt;tbl_analysis_tickets[[#This Row],[Resolution SLA Hours]],"Breached","Within SLA")</f>
        <v>Within SLA</v>
      </c>
      <c r="N250" t="str">
        <f>IF(tbl_analysis_tickets[[#This Row],[first_response_minutes]]&gt;tbl_analysis_tickets[[#This Row],[First Response SLA Minutes]],"Breached","Within SLA")</f>
        <v>Breached</v>
      </c>
      <c r="O250" t="str" cm="1">
        <f t="array" ref="O250">_xlfn.IFS(
tbl_analysis_tickets[[#This Row],[agent_experience_years]]&lt;=2,"Junior",
tbl_analysis_tickets[[#This Row],[agent_experience_years]]&lt;=5,"Mid-Level",
tbl_analysis_tickets[[#This Row],[agent_experience_years]]&lt;=8,"Senior",
tbl_analysis_tickets[[#This Row],[agent_experience_years]]&gt;8,"Expert"
)</f>
        <v>Mid-Level</v>
      </c>
      <c r="P250" cm="1">
        <f t="array" ref="P250">_xlfn.SWITCH(tbl_analysis_tickets[[#This Row],[customer_satisfaction]],
"Low",1,
"Medium",2,
"High",3
)</f>
        <v>2</v>
      </c>
      <c r="Q250">
        <f>IF(tbl_analysis_tickets[[#This Row],[reopened]]="Yes",1,0)</f>
        <v>0</v>
      </c>
      <c r="R250" t="str" cm="1">
        <f t="array" ref="R250">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50" t="str" cm="1">
        <f t="array" ref="S25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250" t="str">
        <f>TEXT(tbl_analysis_tickets[[#This Row],[created_date]],"mmm-yyyy")</f>
        <v>Mar-2024</v>
      </c>
      <c r="U250" t="str">
        <f>TEXT(tbl_analysis_tickets[[#This Row],[created_date]],"dddd")</f>
        <v>Saturday</v>
      </c>
      <c r="V250" cm="1">
        <f t="array" ref="V250">_xlfn.SWITCH(tbl_analysis_tickets[[#This Row],[priority]],
"Urgent",1,
"High",2,
"Medium",3,
"Low",4
)</f>
        <v>2</v>
      </c>
    </row>
    <row r="251" spans="1:22" x14ac:dyDescent="0.25">
      <c r="A251">
        <v>250</v>
      </c>
      <c r="B251" s="1">
        <v>45618</v>
      </c>
      <c r="C251" t="s">
        <v>22</v>
      </c>
      <c r="D251" t="s">
        <v>20</v>
      </c>
      <c r="E251">
        <v>37</v>
      </c>
      <c r="F251">
        <v>38</v>
      </c>
      <c r="G251">
        <v>1.1000000000000001</v>
      </c>
      <c r="H251" t="s">
        <v>12</v>
      </c>
      <c r="I251" t="s">
        <v>13</v>
      </c>
      <c r="J251" t="s">
        <v>11</v>
      </c>
      <c r="K251">
        <f>_xlfn.XLOOKUP(tbl_analysis_tickets[[#This Row],[priority]],tbl_sla[priority],tbl_sla[Resolution SLA Hours])</f>
        <v>24</v>
      </c>
      <c r="L251">
        <f>_xlfn.XLOOKUP(tbl_analysis_tickets[[#This Row],[priority]],tbl_sla[priority],tbl_sla[First Response SLA Minutes])</f>
        <v>60</v>
      </c>
      <c r="M251" t="str">
        <f>IF(tbl_analysis_tickets[[#This Row],[resolution_time_hours]]&gt;tbl_analysis_tickets[[#This Row],[Resolution SLA Hours]],"Breached","Within SLA")</f>
        <v>Breached</v>
      </c>
      <c r="N251" t="str">
        <f>IF(tbl_analysis_tickets[[#This Row],[first_response_minutes]]&gt;tbl_analysis_tickets[[#This Row],[First Response SLA Minutes]],"Breached","Within SLA")</f>
        <v>Within SLA</v>
      </c>
      <c r="O251" t="str" cm="1">
        <f t="array" ref="O251">_xlfn.IFS(
tbl_analysis_tickets[[#This Row],[agent_experience_years]]&lt;=2,"Junior",
tbl_analysis_tickets[[#This Row],[agent_experience_years]]&lt;=5,"Mid-Level",
tbl_analysis_tickets[[#This Row],[agent_experience_years]]&lt;=8,"Senior",
tbl_analysis_tickets[[#This Row],[agent_experience_years]]&gt;8,"Expert"
)</f>
        <v>Junior</v>
      </c>
      <c r="P251" cm="1">
        <f t="array" ref="P251">_xlfn.SWITCH(tbl_analysis_tickets[[#This Row],[customer_satisfaction]],
"Low",1,
"Medium",2,
"High",3
)</f>
        <v>1</v>
      </c>
      <c r="Q251">
        <f>IF(tbl_analysis_tickets[[#This Row],[reopened]]="Yes",1,0)</f>
        <v>1</v>
      </c>
      <c r="R251" t="str" cm="1">
        <f t="array" ref="R251">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51" t="str" cm="1">
        <f t="array" ref="S25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51" t="str">
        <f>TEXT(tbl_analysis_tickets[[#This Row],[created_date]],"mmm-yyyy")</f>
        <v>Nov-2024</v>
      </c>
      <c r="U251" t="str">
        <f>TEXT(tbl_analysis_tickets[[#This Row],[created_date]],"dddd")</f>
        <v>Friday</v>
      </c>
      <c r="V251" cm="1">
        <f t="array" ref="V251">_xlfn.SWITCH(tbl_analysis_tickets[[#This Row],[priority]],
"Urgent",1,
"High",2,
"Medium",3,
"Low",4
)</f>
        <v>2</v>
      </c>
    </row>
    <row r="252" spans="1:22" x14ac:dyDescent="0.25">
      <c r="A252">
        <v>251</v>
      </c>
      <c r="B252" s="1">
        <v>45314</v>
      </c>
      <c r="C252" t="s">
        <v>23</v>
      </c>
      <c r="D252" t="s">
        <v>15</v>
      </c>
      <c r="E252">
        <v>190</v>
      </c>
      <c r="F252">
        <v>35</v>
      </c>
      <c r="G252">
        <v>9.1</v>
      </c>
      <c r="H252" t="s">
        <v>18</v>
      </c>
      <c r="I252" t="s">
        <v>13</v>
      </c>
      <c r="J252" t="s">
        <v>15</v>
      </c>
      <c r="K252">
        <f>_xlfn.XLOOKUP(tbl_analysis_tickets[[#This Row],[priority]],tbl_sla[priority],tbl_sla[Resolution SLA Hours])</f>
        <v>48</v>
      </c>
      <c r="L252">
        <f>_xlfn.XLOOKUP(tbl_analysis_tickets[[#This Row],[priority]],tbl_sla[priority],tbl_sla[First Response SLA Minutes])</f>
        <v>120</v>
      </c>
      <c r="M252" t="str">
        <f>IF(tbl_analysis_tickets[[#This Row],[resolution_time_hours]]&gt;tbl_analysis_tickets[[#This Row],[Resolution SLA Hours]],"Breached","Within SLA")</f>
        <v>Within SLA</v>
      </c>
      <c r="N252" t="str">
        <f>IF(tbl_analysis_tickets[[#This Row],[first_response_minutes]]&gt;tbl_analysis_tickets[[#This Row],[First Response SLA Minutes]],"Breached","Within SLA")</f>
        <v>Breached</v>
      </c>
      <c r="O252" t="str" cm="1">
        <f t="array" ref="O252">_xlfn.IFS(
tbl_analysis_tickets[[#This Row],[agent_experience_years]]&lt;=2,"Junior",
tbl_analysis_tickets[[#This Row],[agent_experience_years]]&lt;=5,"Mid-Level",
tbl_analysis_tickets[[#This Row],[agent_experience_years]]&lt;=8,"Senior",
tbl_analysis_tickets[[#This Row],[agent_experience_years]]&gt;8,"Expert"
)</f>
        <v>Expert</v>
      </c>
      <c r="P252" cm="1">
        <f t="array" ref="P252">_xlfn.SWITCH(tbl_analysis_tickets[[#This Row],[customer_satisfaction]],
"Low",1,
"Medium",2,
"High",3
)</f>
        <v>2</v>
      </c>
      <c r="Q252">
        <f>IF(tbl_analysis_tickets[[#This Row],[reopened]]="Yes",1,0)</f>
        <v>0</v>
      </c>
      <c r="R252" t="str" cm="1">
        <f t="array" ref="R252">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52" t="str" cm="1">
        <f t="array" ref="S25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52" t="str">
        <f>TEXT(tbl_analysis_tickets[[#This Row],[created_date]],"mmm-yyyy")</f>
        <v>Jan-2024</v>
      </c>
      <c r="U252" t="str">
        <f>TEXT(tbl_analysis_tickets[[#This Row],[created_date]],"dddd")</f>
        <v>Tuesday</v>
      </c>
      <c r="V252" cm="1">
        <f t="array" ref="V252">_xlfn.SWITCH(tbl_analysis_tickets[[#This Row],[priority]],
"Urgent",1,
"High",2,
"Medium",3,
"Low",4
)</f>
        <v>3</v>
      </c>
    </row>
    <row r="253" spans="1:22" x14ac:dyDescent="0.25">
      <c r="A253">
        <v>252</v>
      </c>
      <c r="B253" s="1">
        <v>45387</v>
      </c>
      <c r="C253" t="s">
        <v>22</v>
      </c>
      <c r="D253" t="s">
        <v>20</v>
      </c>
      <c r="E253">
        <v>205</v>
      </c>
      <c r="F253">
        <v>54</v>
      </c>
      <c r="G253">
        <v>7.8</v>
      </c>
      <c r="H253" t="s">
        <v>18</v>
      </c>
      <c r="I253" t="s">
        <v>16</v>
      </c>
      <c r="J253" t="s">
        <v>11</v>
      </c>
      <c r="K253">
        <f>_xlfn.XLOOKUP(tbl_analysis_tickets[[#This Row],[priority]],tbl_sla[priority],tbl_sla[Resolution SLA Hours])</f>
        <v>24</v>
      </c>
      <c r="L253">
        <f>_xlfn.XLOOKUP(tbl_analysis_tickets[[#This Row],[priority]],tbl_sla[priority],tbl_sla[First Response SLA Minutes])</f>
        <v>60</v>
      </c>
      <c r="M253" t="str">
        <f>IF(tbl_analysis_tickets[[#This Row],[resolution_time_hours]]&gt;tbl_analysis_tickets[[#This Row],[Resolution SLA Hours]],"Breached","Within SLA")</f>
        <v>Breached</v>
      </c>
      <c r="N253" t="str">
        <f>IF(tbl_analysis_tickets[[#This Row],[first_response_minutes]]&gt;tbl_analysis_tickets[[#This Row],[First Response SLA Minutes]],"Breached","Within SLA")</f>
        <v>Breached</v>
      </c>
      <c r="O253" t="str" cm="1">
        <f t="array" ref="O253">_xlfn.IFS(
tbl_analysis_tickets[[#This Row],[agent_experience_years]]&lt;=2,"Junior",
tbl_analysis_tickets[[#This Row],[agent_experience_years]]&lt;=5,"Mid-Level",
tbl_analysis_tickets[[#This Row],[agent_experience_years]]&lt;=8,"Senior",
tbl_analysis_tickets[[#This Row],[agent_experience_years]]&gt;8,"Expert"
)</f>
        <v>Senior</v>
      </c>
      <c r="P253" cm="1">
        <f t="array" ref="P253">_xlfn.SWITCH(tbl_analysis_tickets[[#This Row],[customer_satisfaction]],
"Low",1,
"Medium",2,
"High",3
)</f>
        <v>1</v>
      </c>
      <c r="Q253">
        <f>IF(tbl_analysis_tickets[[#This Row],[reopened]]="Yes",1,0)</f>
        <v>0</v>
      </c>
      <c r="R253" t="str" cm="1">
        <f t="array" ref="R253">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53" t="str" cm="1">
        <f t="array" ref="S25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53" t="str">
        <f>TEXT(tbl_analysis_tickets[[#This Row],[created_date]],"mmm-yyyy")</f>
        <v>Apr-2024</v>
      </c>
      <c r="U253" t="str">
        <f>TEXT(tbl_analysis_tickets[[#This Row],[created_date]],"dddd")</f>
        <v>Friday</v>
      </c>
      <c r="V253" cm="1">
        <f t="array" ref="V253">_xlfn.SWITCH(tbl_analysis_tickets[[#This Row],[priority]],
"Urgent",1,
"High",2,
"Medium",3,
"Low",4
)</f>
        <v>2</v>
      </c>
    </row>
    <row r="254" spans="1:22" x14ac:dyDescent="0.25">
      <c r="A254">
        <v>253</v>
      </c>
      <c r="B254" s="1">
        <v>45649</v>
      </c>
      <c r="C254" t="s">
        <v>10</v>
      </c>
      <c r="D254" t="s">
        <v>20</v>
      </c>
      <c r="E254">
        <v>88</v>
      </c>
      <c r="F254">
        <v>30</v>
      </c>
      <c r="G254">
        <v>6.2</v>
      </c>
      <c r="H254" t="s">
        <v>18</v>
      </c>
      <c r="I254" t="s">
        <v>16</v>
      </c>
      <c r="J254" t="s">
        <v>11</v>
      </c>
      <c r="K254">
        <f>_xlfn.XLOOKUP(tbl_analysis_tickets[[#This Row],[priority]],tbl_sla[priority],tbl_sla[Resolution SLA Hours])</f>
        <v>24</v>
      </c>
      <c r="L254">
        <f>_xlfn.XLOOKUP(tbl_analysis_tickets[[#This Row],[priority]],tbl_sla[priority],tbl_sla[First Response SLA Minutes])</f>
        <v>60</v>
      </c>
      <c r="M254" t="str">
        <f>IF(tbl_analysis_tickets[[#This Row],[resolution_time_hours]]&gt;tbl_analysis_tickets[[#This Row],[Resolution SLA Hours]],"Breached","Within SLA")</f>
        <v>Breached</v>
      </c>
      <c r="N254" t="str">
        <f>IF(tbl_analysis_tickets[[#This Row],[first_response_minutes]]&gt;tbl_analysis_tickets[[#This Row],[First Response SLA Minutes]],"Breached","Within SLA")</f>
        <v>Breached</v>
      </c>
      <c r="O254" t="str" cm="1">
        <f t="array" ref="O254">_xlfn.IFS(
tbl_analysis_tickets[[#This Row],[agent_experience_years]]&lt;=2,"Junior",
tbl_analysis_tickets[[#This Row],[agent_experience_years]]&lt;=5,"Mid-Level",
tbl_analysis_tickets[[#This Row],[agent_experience_years]]&lt;=8,"Senior",
tbl_analysis_tickets[[#This Row],[agent_experience_years]]&gt;8,"Expert"
)</f>
        <v>Senior</v>
      </c>
      <c r="P254" cm="1">
        <f t="array" ref="P254">_xlfn.SWITCH(tbl_analysis_tickets[[#This Row],[customer_satisfaction]],
"Low",1,
"Medium",2,
"High",3
)</f>
        <v>1</v>
      </c>
      <c r="Q254">
        <f>IF(tbl_analysis_tickets[[#This Row],[reopened]]="Yes",1,0)</f>
        <v>0</v>
      </c>
      <c r="R254" t="str" cm="1">
        <f t="array" ref="R254">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54" t="str" cm="1">
        <f t="array" ref="S25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54" t="str">
        <f>TEXT(tbl_analysis_tickets[[#This Row],[created_date]],"mmm-yyyy")</f>
        <v>Dec-2024</v>
      </c>
      <c r="U254" t="str">
        <f>TEXT(tbl_analysis_tickets[[#This Row],[created_date]],"dddd")</f>
        <v>Monday</v>
      </c>
      <c r="V254" cm="1">
        <f t="array" ref="V254">_xlfn.SWITCH(tbl_analysis_tickets[[#This Row],[priority]],
"Urgent",1,
"High",2,
"Medium",3,
"Low",4
)</f>
        <v>2</v>
      </c>
    </row>
    <row r="255" spans="1:22" x14ac:dyDescent="0.25">
      <c r="A255">
        <v>254</v>
      </c>
      <c r="B255" s="1">
        <v>45300</v>
      </c>
      <c r="C255" t="s">
        <v>10</v>
      </c>
      <c r="D255" t="s">
        <v>15</v>
      </c>
      <c r="E255">
        <v>93</v>
      </c>
      <c r="F255">
        <v>37</v>
      </c>
      <c r="G255">
        <v>5.2</v>
      </c>
      <c r="H255" t="s">
        <v>18</v>
      </c>
      <c r="I255" t="s">
        <v>13</v>
      </c>
      <c r="J255" t="s">
        <v>15</v>
      </c>
      <c r="K255">
        <f>_xlfn.XLOOKUP(tbl_analysis_tickets[[#This Row],[priority]],tbl_sla[priority],tbl_sla[Resolution SLA Hours])</f>
        <v>48</v>
      </c>
      <c r="L255">
        <f>_xlfn.XLOOKUP(tbl_analysis_tickets[[#This Row],[priority]],tbl_sla[priority],tbl_sla[First Response SLA Minutes])</f>
        <v>120</v>
      </c>
      <c r="M255" t="str">
        <f>IF(tbl_analysis_tickets[[#This Row],[resolution_time_hours]]&gt;tbl_analysis_tickets[[#This Row],[Resolution SLA Hours]],"Breached","Within SLA")</f>
        <v>Within SLA</v>
      </c>
      <c r="N255" t="str">
        <f>IF(tbl_analysis_tickets[[#This Row],[first_response_minutes]]&gt;tbl_analysis_tickets[[#This Row],[First Response SLA Minutes]],"Breached","Within SLA")</f>
        <v>Within SLA</v>
      </c>
      <c r="O255" t="str" cm="1">
        <f t="array" ref="O255">_xlfn.IFS(
tbl_analysis_tickets[[#This Row],[agent_experience_years]]&lt;=2,"Junior",
tbl_analysis_tickets[[#This Row],[agent_experience_years]]&lt;=5,"Mid-Level",
tbl_analysis_tickets[[#This Row],[agent_experience_years]]&lt;=8,"Senior",
tbl_analysis_tickets[[#This Row],[agent_experience_years]]&gt;8,"Expert"
)</f>
        <v>Senior</v>
      </c>
      <c r="P255" cm="1">
        <f t="array" ref="P255">_xlfn.SWITCH(tbl_analysis_tickets[[#This Row],[customer_satisfaction]],
"Low",1,
"Medium",2,
"High",3
)</f>
        <v>2</v>
      </c>
      <c r="Q255">
        <f>IF(tbl_analysis_tickets[[#This Row],[reopened]]="Yes",1,0)</f>
        <v>0</v>
      </c>
      <c r="R255" t="str" cm="1">
        <f t="array" ref="R255">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55" t="str" cm="1">
        <f t="array" ref="S25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55" t="str">
        <f>TEXT(tbl_analysis_tickets[[#This Row],[created_date]],"mmm-yyyy")</f>
        <v>Jan-2024</v>
      </c>
      <c r="U255" t="str">
        <f>TEXT(tbl_analysis_tickets[[#This Row],[created_date]],"dddd")</f>
        <v>Tuesday</v>
      </c>
      <c r="V255" cm="1">
        <f t="array" ref="V255">_xlfn.SWITCH(tbl_analysis_tickets[[#This Row],[priority]],
"Urgent",1,
"High",2,
"Medium",3,
"Low",4
)</f>
        <v>3</v>
      </c>
    </row>
    <row r="256" spans="1:22" x14ac:dyDescent="0.25">
      <c r="A256">
        <v>255</v>
      </c>
      <c r="B256" s="1">
        <v>45590</v>
      </c>
      <c r="C256" t="s">
        <v>10</v>
      </c>
      <c r="D256" t="s">
        <v>17</v>
      </c>
      <c r="E256">
        <v>206</v>
      </c>
      <c r="F256">
        <v>44</v>
      </c>
      <c r="G256">
        <v>7.9</v>
      </c>
      <c r="H256" t="s">
        <v>12</v>
      </c>
      <c r="I256" t="s">
        <v>13</v>
      </c>
      <c r="J256" t="s">
        <v>11</v>
      </c>
      <c r="K256">
        <f>_xlfn.XLOOKUP(tbl_analysis_tickets[[#This Row],[priority]],tbl_sla[priority],tbl_sla[Resolution SLA Hours])</f>
        <v>8</v>
      </c>
      <c r="L256">
        <f>_xlfn.XLOOKUP(tbl_analysis_tickets[[#This Row],[priority]],tbl_sla[priority],tbl_sla[First Response SLA Minutes])</f>
        <v>30</v>
      </c>
      <c r="M256" t="str">
        <f>IF(tbl_analysis_tickets[[#This Row],[resolution_time_hours]]&gt;tbl_analysis_tickets[[#This Row],[Resolution SLA Hours]],"Breached","Within SLA")</f>
        <v>Breached</v>
      </c>
      <c r="N256" t="str">
        <f>IF(tbl_analysis_tickets[[#This Row],[first_response_minutes]]&gt;tbl_analysis_tickets[[#This Row],[First Response SLA Minutes]],"Breached","Within SLA")</f>
        <v>Breached</v>
      </c>
      <c r="O256" t="str" cm="1">
        <f t="array" ref="O256">_xlfn.IFS(
tbl_analysis_tickets[[#This Row],[agent_experience_years]]&lt;=2,"Junior",
tbl_analysis_tickets[[#This Row],[agent_experience_years]]&lt;=5,"Mid-Level",
tbl_analysis_tickets[[#This Row],[agent_experience_years]]&lt;=8,"Senior",
tbl_analysis_tickets[[#This Row],[agent_experience_years]]&gt;8,"Expert"
)</f>
        <v>Senior</v>
      </c>
      <c r="P256" cm="1">
        <f t="array" ref="P256">_xlfn.SWITCH(tbl_analysis_tickets[[#This Row],[customer_satisfaction]],
"Low",1,
"Medium",2,
"High",3
)</f>
        <v>1</v>
      </c>
      <c r="Q256">
        <f>IF(tbl_analysis_tickets[[#This Row],[reopened]]="Yes",1,0)</f>
        <v>1</v>
      </c>
      <c r="R256" t="str" cm="1">
        <f t="array" ref="R256">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56" t="str" cm="1">
        <f t="array" ref="S25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56" t="str">
        <f>TEXT(tbl_analysis_tickets[[#This Row],[created_date]],"mmm-yyyy")</f>
        <v>Oct-2024</v>
      </c>
      <c r="U256" t="str">
        <f>TEXT(tbl_analysis_tickets[[#This Row],[created_date]],"dddd")</f>
        <v>Friday</v>
      </c>
      <c r="V256" cm="1">
        <f t="array" ref="V256">_xlfn.SWITCH(tbl_analysis_tickets[[#This Row],[priority]],
"Urgent",1,
"High",2,
"Medium",3,
"Low",4
)</f>
        <v>1</v>
      </c>
    </row>
    <row r="257" spans="1:22" x14ac:dyDescent="0.25">
      <c r="A257">
        <v>256</v>
      </c>
      <c r="B257" s="1">
        <v>45458</v>
      </c>
      <c r="C257" t="s">
        <v>22</v>
      </c>
      <c r="D257" t="s">
        <v>15</v>
      </c>
      <c r="E257">
        <v>187</v>
      </c>
      <c r="F257">
        <v>7</v>
      </c>
      <c r="G257">
        <v>2.2999999999999998</v>
      </c>
      <c r="H257" t="s">
        <v>12</v>
      </c>
      <c r="I257" t="s">
        <v>13</v>
      </c>
      <c r="J257" t="s">
        <v>11</v>
      </c>
      <c r="K257">
        <f>_xlfn.XLOOKUP(tbl_analysis_tickets[[#This Row],[priority]],tbl_sla[priority],tbl_sla[Resolution SLA Hours])</f>
        <v>48</v>
      </c>
      <c r="L257">
        <f>_xlfn.XLOOKUP(tbl_analysis_tickets[[#This Row],[priority]],tbl_sla[priority],tbl_sla[First Response SLA Minutes])</f>
        <v>120</v>
      </c>
      <c r="M257" t="str">
        <f>IF(tbl_analysis_tickets[[#This Row],[resolution_time_hours]]&gt;tbl_analysis_tickets[[#This Row],[Resolution SLA Hours]],"Breached","Within SLA")</f>
        <v>Within SLA</v>
      </c>
      <c r="N257" t="str">
        <f>IF(tbl_analysis_tickets[[#This Row],[first_response_minutes]]&gt;tbl_analysis_tickets[[#This Row],[First Response SLA Minutes]],"Breached","Within SLA")</f>
        <v>Breached</v>
      </c>
      <c r="O257" t="str" cm="1">
        <f t="array" ref="O257">_xlfn.IFS(
tbl_analysis_tickets[[#This Row],[agent_experience_years]]&lt;=2,"Junior",
tbl_analysis_tickets[[#This Row],[agent_experience_years]]&lt;=5,"Mid-Level",
tbl_analysis_tickets[[#This Row],[agent_experience_years]]&lt;=8,"Senior",
tbl_analysis_tickets[[#This Row],[agent_experience_years]]&gt;8,"Expert"
)</f>
        <v>Mid-Level</v>
      </c>
      <c r="P257" cm="1">
        <f t="array" ref="P257">_xlfn.SWITCH(tbl_analysis_tickets[[#This Row],[customer_satisfaction]],
"Low",1,
"Medium",2,
"High",3
)</f>
        <v>1</v>
      </c>
      <c r="Q257">
        <f>IF(tbl_analysis_tickets[[#This Row],[reopened]]="Yes",1,0)</f>
        <v>1</v>
      </c>
      <c r="R257" t="str" cm="1">
        <f t="array" ref="R257">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57" t="str" cm="1">
        <f t="array" ref="S25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257" t="str">
        <f>TEXT(tbl_analysis_tickets[[#This Row],[created_date]],"mmm-yyyy")</f>
        <v>Jun-2024</v>
      </c>
      <c r="U257" t="str">
        <f>TEXT(tbl_analysis_tickets[[#This Row],[created_date]],"dddd")</f>
        <v>Saturday</v>
      </c>
      <c r="V257" cm="1">
        <f t="array" ref="V257">_xlfn.SWITCH(tbl_analysis_tickets[[#This Row],[priority]],
"Urgent",1,
"High",2,
"Medium",3,
"Low",4
)</f>
        <v>3</v>
      </c>
    </row>
    <row r="258" spans="1:22" x14ac:dyDescent="0.25">
      <c r="A258">
        <v>257</v>
      </c>
      <c r="B258" s="1">
        <v>45330</v>
      </c>
      <c r="C258" t="s">
        <v>23</v>
      </c>
      <c r="D258" t="s">
        <v>17</v>
      </c>
      <c r="E258">
        <v>231</v>
      </c>
      <c r="F258">
        <v>47</v>
      </c>
      <c r="G258">
        <v>4.7</v>
      </c>
      <c r="H258" t="s">
        <v>12</v>
      </c>
      <c r="I258" t="s">
        <v>19</v>
      </c>
      <c r="J258" t="s">
        <v>11</v>
      </c>
      <c r="K258">
        <f>_xlfn.XLOOKUP(tbl_analysis_tickets[[#This Row],[priority]],tbl_sla[priority],tbl_sla[Resolution SLA Hours])</f>
        <v>8</v>
      </c>
      <c r="L258">
        <f>_xlfn.XLOOKUP(tbl_analysis_tickets[[#This Row],[priority]],tbl_sla[priority],tbl_sla[First Response SLA Minutes])</f>
        <v>30</v>
      </c>
      <c r="M258" t="str">
        <f>IF(tbl_analysis_tickets[[#This Row],[resolution_time_hours]]&gt;tbl_analysis_tickets[[#This Row],[Resolution SLA Hours]],"Breached","Within SLA")</f>
        <v>Breached</v>
      </c>
      <c r="N258" t="str">
        <f>IF(tbl_analysis_tickets[[#This Row],[first_response_minutes]]&gt;tbl_analysis_tickets[[#This Row],[First Response SLA Minutes]],"Breached","Within SLA")</f>
        <v>Breached</v>
      </c>
      <c r="O258" t="str" cm="1">
        <f t="array" ref="O258">_xlfn.IFS(
tbl_analysis_tickets[[#This Row],[agent_experience_years]]&lt;=2,"Junior",
tbl_analysis_tickets[[#This Row],[agent_experience_years]]&lt;=5,"Mid-Level",
tbl_analysis_tickets[[#This Row],[agent_experience_years]]&lt;=8,"Senior",
tbl_analysis_tickets[[#This Row],[agent_experience_years]]&gt;8,"Expert"
)</f>
        <v>Mid-Level</v>
      </c>
      <c r="P258" cm="1">
        <f t="array" ref="P258">_xlfn.SWITCH(tbl_analysis_tickets[[#This Row],[customer_satisfaction]],
"Low",1,
"Medium",2,
"High",3
)</f>
        <v>1</v>
      </c>
      <c r="Q258">
        <f>IF(tbl_analysis_tickets[[#This Row],[reopened]]="Yes",1,0)</f>
        <v>1</v>
      </c>
      <c r="R258" t="str" cm="1">
        <f t="array" ref="R258">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58" t="str" cm="1">
        <f t="array" ref="S25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58" t="str">
        <f>TEXT(tbl_analysis_tickets[[#This Row],[created_date]],"mmm-yyyy")</f>
        <v>Feb-2024</v>
      </c>
      <c r="U258" t="str">
        <f>TEXT(tbl_analysis_tickets[[#This Row],[created_date]],"dddd")</f>
        <v>Thursday</v>
      </c>
      <c r="V258" cm="1">
        <f t="array" ref="V258">_xlfn.SWITCH(tbl_analysis_tickets[[#This Row],[priority]],
"Urgent",1,
"High",2,
"Medium",3,
"Low",4
)</f>
        <v>1</v>
      </c>
    </row>
    <row r="259" spans="1:22" x14ac:dyDescent="0.25">
      <c r="A259">
        <v>258</v>
      </c>
      <c r="B259" s="1">
        <v>45381</v>
      </c>
      <c r="C259" t="s">
        <v>21</v>
      </c>
      <c r="D259" t="s">
        <v>20</v>
      </c>
      <c r="E259">
        <v>216</v>
      </c>
      <c r="F259">
        <v>25</v>
      </c>
      <c r="G259">
        <v>6.7</v>
      </c>
      <c r="H259" t="s">
        <v>12</v>
      </c>
      <c r="I259" t="s">
        <v>19</v>
      </c>
      <c r="J259" t="s">
        <v>11</v>
      </c>
      <c r="K259">
        <f>_xlfn.XLOOKUP(tbl_analysis_tickets[[#This Row],[priority]],tbl_sla[priority],tbl_sla[Resolution SLA Hours])</f>
        <v>24</v>
      </c>
      <c r="L259">
        <f>_xlfn.XLOOKUP(tbl_analysis_tickets[[#This Row],[priority]],tbl_sla[priority],tbl_sla[First Response SLA Minutes])</f>
        <v>60</v>
      </c>
      <c r="M259" t="str">
        <f>IF(tbl_analysis_tickets[[#This Row],[resolution_time_hours]]&gt;tbl_analysis_tickets[[#This Row],[Resolution SLA Hours]],"Breached","Within SLA")</f>
        <v>Breached</v>
      </c>
      <c r="N259" t="str">
        <f>IF(tbl_analysis_tickets[[#This Row],[first_response_minutes]]&gt;tbl_analysis_tickets[[#This Row],[First Response SLA Minutes]],"Breached","Within SLA")</f>
        <v>Breached</v>
      </c>
      <c r="O259" t="str" cm="1">
        <f t="array" ref="O259">_xlfn.IFS(
tbl_analysis_tickets[[#This Row],[agent_experience_years]]&lt;=2,"Junior",
tbl_analysis_tickets[[#This Row],[agent_experience_years]]&lt;=5,"Mid-Level",
tbl_analysis_tickets[[#This Row],[agent_experience_years]]&lt;=8,"Senior",
tbl_analysis_tickets[[#This Row],[agent_experience_years]]&gt;8,"Expert"
)</f>
        <v>Senior</v>
      </c>
      <c r="P259" cm="1">
        <f t="array" ref="P259">_xlfn.SWITCH(tbl_analysis_tickets[[#This Row],[customer_satisfaction]],
"Low",1,
"Medium",2,
"High",3
)</f>
        <v>1</v>
      </c>
      <c r="Q259">
        <f>IF(tbl_analysis_tickets[[#This Row],[reopened]]="Yes",1,0)</f>
        <v>1</v>
      </c>
      <c r="R259" t="str" cm="1">
        <f t="array" ref="R259">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59" t="str" cm="1">
        <f t="array" ref="S25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59" t="str">
        <f>TEXT(tbl_analysis_tickets[[#This Row],[created_date]],"mmm-yyyy")</f>
        <v>Mar-2024</v>
      </c>
      <c r="U259" t="str">
        <f>TEXT(tbl_analysis_tickets[[#This Row],[created_date]],"dddd")</f>
        <v>Saturday</v>
      </c>
      <c r="V259" cm="1">
        <f t="array" ref="V259">_xlfn.SWITCH(tbl_analysis_tickets[[#This Row],[priority]],
"Urgent",1,
"High",2,
"Medium",3,
"Low",4
)</f>
        <v>2</v>
      </c>
    </row>
    <row r="260" spans="1:22" x14ac:dyDescent="0.25">
      <c r="A260">
        <v>259</v>
      </c>
      <c r="B260" s="1">
        <v>45345</v>
      </c>
      <c r="C260" t="s">
        <v>10</v>
      </c>
      <c r="D260" t="s">
        <v>20</v>
      </c>
      <c r="E260">
        <v>113</v>
      </c>
      <c r="F260">
        <v>38</v>
      </c>
      <c r="G260">
        <v>4.4000000000000004</v>
      </c>
      <c r="H260" t="s">
        <v>18</v>
      </c>
      <c r="I260" t="s">
        <v>16</v>
      </c>
      <c r="J260" t="s">
        <v>11</v>
      </c>
      <c r="K260">
        <f>_xlfn.XLOOKUP(tbl_analysis_tickets[[#This Row],[priority]],tbl_sla[priority],tbl_sla[Resolution SLA Hours])</f>
        <v>24</v>
      </c>
      <c r="L260">
        <f>_xlfn.XLOOKUP(tbl_analysis_tickets[[#This Row],[priority]],tbl_sla[priority],tbl_sla[First Response SLA Minutes])</f>
        <v>60</v>
      </c>
      <c r="M260" t="str">
        <f>IF(tbl_analysis_tickets[[#This Row],[resolution_time_hours]]&gt;tbl_analysis_tickets[[#This Row],[Resolution SLA Hours]],"Breached","Within SLA")</f>
        <v>Breached</v>
      </c>
      <c r="N260" t="str">
        <f>IF(tbl_analysis_tickets[[#This Row],[first_response_minutes]]&gt;tbl_analysis_tickets[[#This Row],[First Response SLA Minutes]],"Breached","Within SLA")</f>
        <v>Breached</v>
      </c>
      <c r="O260" t="str" cm="1">
        <f t="array" ref="O260">_xlfn.IFS(
tbl_analysis_tickets[[#This Row],[agent_experience_years]]&lt;=2,"Junior",
tbl_analysis_tickets[[#This Row],[agent_experience_years]]&lt;=5,"Mid-Level",
tbl_analysis_tickets[[#This Row],[agent_experience_years]]&lt;=8,"Senior",
tbl_analysis_tickets[[#This Row],[agent_experience_years]]&gt;8,"Expert"
)</f>
        <v>Mid-Level</v>
      </c>
      <c r="P260" cm="1">
        <f t="array" ref="P260">_xlfn.SWITCH(tbl_analysis_tickets[[#This Row],[customer_satisfaction]],
"Low",1,
"Medium",2,
"High",3
)</f>
        <v>1</v>
      </c>
      <c r="Q260">
        <f>IF(tbl_analysis_tickets[[#This Row],[reopened]]="Yes",1,0)</f>
        <v>0</v>
      </c>
      <c r="R260" t="str" cm="1">
        <f t="array" ref="R260">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60" t="str" cm="1">
        <f t="array" ref="S26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60" t="str">
        <f>TEXT(tbl_analysis_tickets[[#This Row],[created_date]],"mmm-yyyy")</f>
        <v>Feb-2024</v>
      </c>
      <c r="U260" t="str">
        <f>TEXT(tbl_analysis_tickets[[#This Row],[created_date]],"dddd")</f>
        <v>Friday</v>
      </c>
      <c r="V260" cm="1">
        <f t="array" ref="V260">_xlfn.SWITCH(tbl_analysis_tickets[[#This Row],[priority]],
"Urgent",1,
"High",2,
"Medium",3,
"Low",4
)</f>
        <v>2</v>
      </c>
    </row>
    <row r="261" spans="1:22" x14ac:dyDescent="0.25">
      <c r="A261">
        <v>260</v>
      </c>
      <c r="B261" s="1">
        <v>45426</v>
      </c>
      <c r="C261" t="s">
        <v>14</v>
      </c>
      <c r="D261" t="s">
        <v>20</v>
      </c>
      <c r="E261">
        <v>30</v>
      </c>
      <c r="F261">
        <v>46</v>
      </c>
      <c r="G261">
        <v>7.2</v>
      </c>
      <c r="H261" t="s">
        <v>18</v>
      </c>
      <c r="I261" t="s">
        <v>19</v>
      </c>
      <c r="J261" t="s">
        <v>15</v>
      </c>
      <c r="K261">
        <f>_xlfn.XLOOKUP(tbl_analysis_tickets[[#This Row],[priority]],tbl_sla[priority],tbl_sla[Resolution SLA Hours])</f>
        <v>24</v>
      </c>
      <c r="L261">
        <f>_xlfn.XLOOKUP(tbl_analysis_tickets[[#This Row],[priority]],tbl_sla[priority],tbl_sla[First Response SLA Minutes])</f>
        <v>60</v>
      </c>
      <c r="M261" t="str">
        <f>IF(tbl_analysis_tickets[[#This Row],[resolution_time_hours]]&gt;tbl_analysis_tickets[[#This Row],[Resolution SLA Hours]],"Breached","Within SLA")</f>
        <v>Breached</v>
      </c>
      <c r="N261" t="str">
        <f>IF(tbl_analysis_tickets[[#This Row],[first_response_minutes]]&gt;tbl_analysis_tickets[[#This Row],[First Response SLA Minutes]],"Breached","Within SLA")</f>
        <v>Within SLA</v>
      </c>
      <c r="O261" t="str" cm="1">
        <f t="array" ref="O261">_xlfn.IFS(
tbl_analysis_tickets[[#This Row],[agent_experience_years]]&lt;=2,"Junior",
tbl_analysis_tickets[[#This Row],[agent_experience_years]]&lt;=5,"Mid-Level",
tbl_analysis_tickets[[#This Row],[agent_experience_years]]&lt;=8,"Senior",
tbl_analysis_tickets[[#This Row],[agent_experience_years]]&gt;8,"Expert"
)</f>
        <v>Senior</v>
      </c>
      <c r="P261" cm="1">
        <f t="array" ref="P261">_xlfn.SWITCH(tbl_analysis_tickets[[#This Row],[customer_satisfaction]],
"Low",1,
"Medium",2,
"High",3
)</f>
        <v>2</v>
      </c>
      <c r="Q261">
        <f>IF(tbl_analysis_tickets[[#This Row],[reopened]]="Yes",1,0)</f>
        <v>0</v>
      </c>
      <c r="R261" t="str" cm="1">
        <f t="array" ref="R261">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261" t="str" cm="1">
        <f t="array" ref="S26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61" t="str">
        <f>TEXT(tbl_analysis_tickets[[#This Row],[created_date]],"mmm-yyyy")</f>
        <v>May-2024</v>
      </c>
      <c r="U261" t="str">
        <f>TEXT(tbl_analysis_tickets[[#This Row],[created_date]],"dddd")</f>
        <v>Tuesday</v>
      </c>
      <c r="V261" cm="1">
        <f t="array" ref="V261">_xlfn.SWITCH(tbl_analysis_tickets[[#This Row],[priority]],
"Urgent",1,
"High",2,
"Medium",3,
"Low",4
)</f>
        <v>2</v>
      </c>
    </row>
    <row r="262" spans="1:22" x14ac:dyDescent="0.25">
      <c r="A262">
        <v>261</v>
      </c>
      <c r="B262" s="1">
        <v>45419</v>
      </c>
      <c r="C262" t="s">
        <v>23</v>
      </c>
      <c r="D262" t="s">
        <v>15</v>
      </c>
      <c r="E262">
        <v>238</v>
      </c>
      <c r="F262">
        <v>2</v>
      </c>
      <c r="G262">
        <v>4.5999999999999996</v>
      </c>
      <c r="H262" t="s">
        <v>12</v>
      </c>
      <c r="I262" t="s">
        <v>13</v>
      </c>
      <c r="J262" t="s">
        <v>15</v>
      </c>
      <c r="K262">
        <f>_xlfn.XLOOKUP(tbl_analysis_tickets[[#This Row],[priority]],tbl_sla[priority],tbl_sla[Resolution SLA Hours])</f>
        <v>48</v>
      </c>
      <c r="L262">
        <f>_xlfn.XLOOKUP(tbl_analysis_tickets[[#This Row],[priority]],tbl_sla[priority],tbl_sla[First Response SLA Minutes])</f>
        <v>120</v>
      </c>
      <c r="M262" t="str">
        <f>IF(tbl_analysis_tickets[[#This Row],[resolution_time_hours]]&gt;tbl_analysis_tickets[[#This Row],[Resolution SLA Hours]],"Breached","Within SLA")</f>
        <v>Within SLA</v>
      </c>
      <c r="N262" t="str">
        <f>IF(tbl_analysis_tickets[[#This Row],[first_response_minutes]]&gt;tbl_analysis_tickets[[#This Row],[First Response SLA Minutes]],"Breached","Within SLA")</f>
        <v>Breached</v>
      </c>
      <c r="O262" t="str" cm="1">
        <f t="array" ref="O262">_xlfn.IFS(
tbl_analysis_tickets[[#This Row],[agent_experience_years]]&lt;=2,"Junior",
tbl_analysis_tickets[[#This Row],[agent_experience_years]]&lt;=5,"Mid-Level",
tbl_analysis_tickets[[#This Row],[agent_experience_years]]&lt;=8,"Senior",
tbl_analysis_tickets[[#This Row],[agent_experience_years]]&gt;8,"Expert"
)</f>
        <v>Mid-Level</v>
      </c>
      <c r="P262" cm="1">
        <f t="array" ref="P262">_xlfn.SWITCH(tbl_analysis_tickets[[#This Row],[customer_satisfaction]],
"Low",1,
"Medium",2,
"High",3
)</f>
        <v>2</v>
      </c>
      <c r="Q262">
        <f>IF(tbl_analysis_tickets[[#This Row],[reopened]]="Yes",1,0)</f>
        <v>1</v>
      </c>
      <c r="R262" t="str" cm="1">
        <f t="array" ref="R262">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62" t="str" cm="1">
        <f t="array" ref="S26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262" t="str">
        <f>TEXT(tbl_analysis_tickets[[#This Row],[created_date]],"mmm-yyyy")</f>
        <v>May-2024</v>
      </c>
      <c r="U262" t="str">
        <f>TEXT(tbl_analysis_tickets[[#This Row],[created_date]],"dddd")</f>
        <v>Tuesday</v>
      </c>
      <c r="V262" cm="1">
        <f t="array" ref="V262">_xlfn.SWITCH(tbl_analysis_tickets[[#This Row],[priority]],
"Urgent",1,
"High",2,
"Medium",3,
"Low",4
)</f>
        <v>3</v>
      </c>
    </row>
    <row r="263" spans="1:22" x14ac:dyDescent="0.25">
      <c r="A263">
        <v>262</v>
      </c>
      <c r="B263" s="1">
        <v>45649</v>
      </c>
      <c r="C263" t="s">
        <v>10</v>
      </c>
      <c r="D263" t="s">
        <v>17</v>
      </c>
      <c r="E263">
        <v>201</v>
      </c>
      <c r="F263">
        <v>55</v>
      </c>
      <c r="G263">
        <v>0.7</v>
      </c>
      <c r="H263" t="s">
        <v>18</v>
      </c>
      <c r="I263" t="s">
        <v>19</v>
      </c>
      <c r="J263" t="s">
        <v>11</v>
      </c>
      <c r="K263">
        <f>_xlfn.XLOOKUP(tbl_analysis_tickets[[#This Row],[priority]],tbl_sla[priority],tbl_sla[Resolution SLA Hours])</f>
        <v>8</v>
      </c>
      <c r="L263">
        <f>_xlfn.XLOOKUP(tbl_analysis_tickets[[#This Row],[priority]],tbl_sla[priority],tbl_sla[First Response SLA Minutes])</f>
        <v>30</v>
      </c>
      <c r="M263" t="str">
        <f>IF(tbl_analysis_tickets[[#This Row],[resolution_time_hours]]&gt;tbl_analysis_tickets[[#This Row],[Resolution SLA Hours]],"Breached","Within SLA")</f>
        <v>Breached</v>
      </c>
      <c r="N263" t="str">
        <f>IF(tbl_analysis_tickets[[#This Row],[first_response_minutes]]&gt;tbl_analysis_tickets[[#This Row],[First Response SLA Minutes]],"Breached","Within SLA")</f>
        <v>Breached</v>
      </c>
      <c r="O263" t="str" cm="1">
        <f t="array" ref="O263">_xlfn.IFS(
tbl_analysis_tickets[[#This Row],[agent_experience_years]]&lt;=2,"Junior",
tbl_analysis_tickets[[#This Row],[agent_experience_years]]&lt;=5,"Mid-Level",
tbl_analysis_tickets[[#This Row],[agent_experience_years]]&lt;=8,"Senior",
tbl_analysis_tickets[[#This Row],[agent_experience_years]]&gt;8,"Expert"
)</f>
        <v>Junior</v>
      </c>
      <c r="P263" cm="1">
        <f t="array" ref="P263">_xlfn.SWITCH(tbl_analysis_tickets[[#This Row],[customer_satisfaction]],
"Low",1,
"Medium",2,
"High",3
)</f>
        <v>1</v>
      </c>
      <c r="Q263">
        <f>IF(tbl_analysis_tickets[[#This Row],[reopened]]="Yes",1,0)</f>
        <v>0</v>
      </c>
      <c r="R263" t="str" cm="1">
        <f t="array" ref="R263">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63" t="str" cm="1">
        <f t="array" ref="S26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63" t="str">
        <f>TEXT(tbl_analysis_tickets[[#This Row],[created_date]],"mmm-yyyy")</f>
        <v>Dec-2024</v>
      </c>
      <c r="U263" t="str">
        <f>TEXT(tbl_analysis_tickets[[#This Row],[created_date]],"dddd")</f>
        <v>Monday</v>
      </c>
      <c r="V263" cm="1">
        <f t="array" ref="V263">_xlfn.SWITCH(tbl_analysis_tickets[[#This Row],[priority]],
"Urgent",1,
"High",2,
"Medium",3,
"Low",4
)</f>
        <v>1</v>
      </c>
    </row>
    <row r="264" spans="1:22" x14ac:dyDescent="0.25">
      <c r="A264">
        <v>263</v>
      </c>
      <c r="B264" s="1">
        <v>45400</v>
      </c>
      <c r="C264" t="s">
        <v>10</v>
      </c>
      <c r="D264" t="s">
        <v>20</v>
      </c>
      <c r="E264">
        <v>140</v>
      </c>
      <c r="F264">
        <v>72</v>
      </c>
      <c r="G264">
        <v>5.4</v>
      </c>
      <c r="H264" t="s">
        <v>18</v>
      </c>
      <c r="I264" t="s">
        <v>19</v>
      </c>
      <c r="J264" t="s">
        <v>11</v>
      </c>
      <c r="K264">
        <f>_xlfn.XLOOKUP(tbl_analysis_tickets[[#This Row],[priority]],tbl_sla[priority],tbl_sla[Resolution SLA Hours])</f>
        <v>24</v>
      </c>
      <c r="L264">
        <f>_xlfn.XLOOKUP(tbl_analysis_tickets[[#This Row],[priority]],tbl_sla[priority],tbl_sla[First Response SLA Minutes])</f>
        <v>60</v>
      </c>
      <c r="M264" t="str">
        <f>IF(tbl_analysis_tickets[[#This Row],[resolution_time_hours]]&gt;tbl_analysis_tickets[[#This Row],[Resolution SLA Hours]],"Breached","Within SLA")</f>
        <v>Breached</v>
      </c>
      <c r="N264" t="str">
        <f>IF(tbl_analysis_tickets[[#This Row],[first_response_minutes]]&gt;tbl_analysis_tickets[[#This Row],[First Response SLA Minutes]],"Breached","Within SLA")</f>
        <v>Breached</v>
      </c>
      <c r="O264" t="str" cm="1">
        <f t="array" ref="O264">_xlfn.IFS(
tbl_analysis_tickets[[#This Row],[agent_experience_years]]&lt;=2,"Junior",
tbl_analysis_tickets[[#This Row],[agent_experience_years]]&lt;=5,"Mid-Level",
tbl_analysis_tickets[[#This Row],[agent_experience_years]]&lt;=8,"Senior",
tbl_analysis_tickets[[#This Row],[agent_experience_years]]&gt;8,"Expert"
)</f>
        <v>Senior</v>
      </c>
      <c r="P264" cm="1">
        <f t="array" ref="P264">_xlfn.SWITCH(tbl_analysis_tickets[[#This Row],[customer_satisfaction]],
"Low",1,
"Medium",2,
"High",3
)</f>
        <v>1</v>
      </c>
      <c r="Q264">
        <f>IF(tbl_analysis_tickets[[#This Row],[reopened]]="Yes",1,0)</f>
        <v>0</v>
      </c>
      <c r="R264" t="str" cm="1">
        <f t="array" ref="R264">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64" t="str" cm="1">
        <f t="array" ref="S26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64" t="str">
        <f>TEXT(tbl_analysis_tickets[[#This Row],[created_date]],"mmm-yyyy")</f>
        <v>Apr-2024</v>
      </c>
      <c r="U264" t="str">
        <f>TEXT(tbl_analysis_tickets[[#This Row],[created_date]],"dddd")</f>
        <v>Thursday</v>
      </c>
      <c r="V264" cm="1">
        <f t="array" ref="V264">_xlfn.SWITCH(tbl_analysis_tickets[[#This Row],[priority]],
"Urgent",1,
"High",2,
"Medium",3,
"Low",4
)</f>
        <v>2</v>
      </c>
    </row>
    <row r="265" spans="1:22" x14ac:dyDescent="0.25">
      <c r="A265">
        <v>264</v>
      </c>
      <c r="B265" s="1">
        <v>45369</v>
      </c>
      <c r="C265" t="s">
        <v>10</v>
      </c>
      <c r="D265" t="s">
        <v>11</v>
      </c>
      <c r="E265">
        <v>23</v>
      </c>
      <c r="F265">
        <v>27</v>
      </c>
      <c r="G265">
        <v>0.8</v>
      </c>
      <c r="H265" t="s">
        <v>12</v>
      </c>
      <c r="I265" t="s">
        <v>19</v>
      </c>
      <c r="J265" t="s">
        <v>15</v>
      </c>
      <c r="K265">
        <f>_xlfn.XLOOKUP(tbl_analysis_tickets[[#This Row],[priority]],tbl_sla[priority],tbl_sla[Resolution SLA Hours])</f>
        <v>72</v>
      </c>
      <c r="L265">
        <f>_xlfn.XLOOKUP(tbl_analysis_tickets[[#This Row],[priority]],tbl_sla[priority],tbl_sla[First Response SLA Minutes])</f>
        <v>240</v>
      </c>
      <c r="M265" t="str">
        <f>IF(tbl_analysis_tickets[[#This Row],[resolution_time_hours]]&gt;tbl_analysis_tickets[[#This Row],[Resolution SLA Hours]],"Breached","Within SLA")</f>
        <v>Within SLA</v>
      </c>
      <c r="N265" t="str">
        <f>IF(tbl_analysis_tickets[[#This Row],[first_response_minutes]]&gt;tbl_analysis_tickets[[#This Row],[First Response SLA Minutes]],"Breached","Within SLA")</f>
        <v>Within SLA</v>
      </c>
      <c r="O265" t="str" cm="1">
        <f t="array" ref="O265">_xlfn.IFS(
tbl_analysis_tickets[[#This Row],[agent_experience_years]]&lt;=2,"Junior",
tbl_analysis_tickets[[#This Row],[agent_experience_years]]&lt;=5,"Mid-Level",
tbl_analysis_tickets[[#This Row],[agent_experience_years]]&lt;=8,"Senior",
tbl_analysis_tickets[[#This Row],[agent_experience_years]]&gt;8,"Expert"
)</f>
        <v>Junior</v>
      </c>
      <c r="P265" cm="1">
        <f t="array" ref="P265">_xlfn.SWITCH(tbl_analysis_tickets[[#This Row],[customer_satisfaction]],
"Low",1,
"Medium",2,
"High",3
)</f>
        <v>2</v>
      </c>
      <c r="Q265">
        <f>IF(tbl_analysis_tickets[[#This Row],[reopened]]="Yes",1,0)</f>
        <v>1</v>
      </c>
      <c r="R265" t="str" cm="1">
        <f t="array" ref="R265">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265" t="str" cm="1">
        <f t="array" ref="S26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65" t="str">
        <f>TEXT(tbl_analysis_tickets[[#This Row],[created_date]],"mmm-yyyy")</f>
        <v>Mar-2024</v>
      </c>
      <c r="U265" t="str">
        <f>TEXT(tbl_analysis_tickets[[#This Row],[created_date]],"dddd")</f>
        <v>Monday</v>
      </c>
      <c r="V265" cm="1">
        <f t="array" ref="V265">_xlfn.SWITCH(tbl_analysis_tickets[[#This Row],[priority]],
"Urgent",1,
"High",2,
"Medium",3,
"Low",4
)</f>
        <v>4</v>
      </c>
    </row>
    <row r="266" spans="1:22" x14ac:dyDescent="0.25">
      <c r="A266">
        <v>265</v>
      </c>
      <c r="B266" s="1">
        <v>45380</v>
      </c>
      <c r="C266" t="s">
        <v>22</v>
      </c>
      <c r="D266" t="s">
        <v>11</v>
      </c>
      <c r="E266">
        <v>28</v>
      </c>
      <c r="F266">
        <v>37</v>
      </c>
      <c r="G266">
        <v>4.9000000000000004</v>
      </c>
      <c r="H266" t="s">
        <v>18</v>
      </c>
      <c r="I266" t="s">
        <v>16</v>
      </c>
      <c r="J266" t="s">
        <v>15</v>
      </c>
      <c r="K266">
        <f>_xlfn.XLOOKUP(tbl_analysis_tickets[[#This Row],[priority]],tbl_sla[priority],tbl_sla[Resolution SLA Hours])</f>
        <v>72</v>
      </c>
      <c r="L266">
        <f>_xlfn.XLOOKUP(tbl_analysis_tickets[[#This Row],[priority]],tbl_sla[priority],tbl_sla[First Response SLA Minutes])</f>
        <v>240</v>
      </c>
      <c r="M266" t="str">
        <f>IF(tbl_analysis_tickets[[#This Row],[resolution_time_hours]]&gt;tbl_analysis_tickets[[#This Row],[Resolution SLA Hours]],"Breached","Within SLA")</f>
        <v>Within SLA</v>
      </c>
      <c r="N266" t="str">
        <f>IF(tbl_analysis_tickets[[#This Row],[first_response_minutes]]&gt;tbl_analysis_tickets[[#This Row],[First Response SLA Minutes]],"Breached","Within SLA")</f>
        <v>Within SLA</v>
      </c>
      <c r="O266" t="str" cm="1">
        <f t="array" ref="O266">_xlfn.IFS(
tbl_analysis_tickets[[#This Row],[agent_experience_years]]&lt;=2,"Junior",
tbl_analysis_tickets[[#This Row],[agent_experience_years]]&lt;=5,"Mid-Level",
tbl_analysis_tickets[[#This Row],[agent_experience_years]]&lt;=8,"Senior",
tbl_analysis_tickets[[#This Row],[agent_experience_years]]&gt;8,"Expert"
)</f>
        <v>Mid-Level</v>
      </c>
      <c r="P266" cm="1">
        <f t="array" ref="P266">_xlfn.SWITCH(tbl_analysis_tickets[[#This Row],[customer_satisfaction]],
"Low",1,
"Medium",2,
"High",3
)</f>
        <v>2</v>
      </c>
      <c r="Q266">
        <f>IF(tbl_analysis_tickets[[#This Row],[reopened]]="Yes",1,0)</f>
        <v>0</v>
      </c>
      <c r="R266" t="str" cm="1">
        <f t="array" ref="R266">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266" t="str" cm="1">
        <f t="array" ref="S26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66" t="str">
        <f>TEXT(tbl_analysis_tickets[[#This Row],[created_date]],"mmm-yyyy")</f>
        <v>Mar-2024</v>
      </c>
      <c r="U266" t="str">
        <f>TEXT(tbl_analysis_tickets[[#This Row],[created_date]],"dddd")</f>
        <v>Friday</v>
      </c>
      <c r="V266" cm="1">
        <f t="array" ref="V266">_xlfn.SWITCH(tbl_analysis_tickets[[#This Row],[priority]],
"Urgent",1,
"High",2,
"Medium",3,
"Low",4
)</f>
        <v>4</v>
      </c>
    </row>
    <row r="267" spans="1:22" x14ac:dyDescent="0.25">
      <c r="A267">
        <v>266</v>
      </c>
      <c r="B267" s="1">
        <v>45559</v>
      </c>
      <c r="C267" t="s">
        <v>14</v>
      </c>
      <c r="D267" t="s">
        <v>15</v>
      </c>
      <c r="E267">
        <v>6</v>
      </c>
      <c r="F267">
        <v>29</v>
      </c>
      <c r="G267">
        <v>2.7</v>
      </c>
      <c r="H267" t="s">
        <v>18</v>
      </c>
      <c r="I267" t="s">
        <v>19</v>
      </c>
      <c r="J267" t="s">
        <v>15</v>
      </c>
      <c r="K267">
        <f>_xlfn.XLOOKUP(tbl_analysis_tickets[[#This Row],[priority]],tbl_sla[priority],tbl_sla[Resolution SLA Hours])</f>
        <v>48</v>
      </c>
      <c r="L267">
        <f>_xlfn.XLOOKUP(tbl_analysis_tickets[[#This Row],[priority]],tbl_sla[priority],tbl_sla[First Response SLA Minutes])</f>
        <v>120</v>
      </c>
      <c r="M267" t="str">
        <f>IF(tbl_analysis_tickets[[#This Row],[resolution_time_hours]]&gt;tbl_analysis_tickets[[#This Row],[Resolution SLA Hours]],"Breached","Within SLA")</f>
        <v>Within SLA</v>
      </c>
      <c r="N267" t="str">
        <f>IF(tbl_analysis_tickets[[#This Row],[first_response_minutes]]&gt;tbl_analysis_tickets[[#This Row],[First Response SLA Minutes]],"Breached","Within SLA")</f>
        <v>Within SLA</v>
      </c>
      <c r="O267" t="str" cm="1">
        <f t="array" ref="O267">_xlfn.IFS(
tbl_analysis_tickets[[#This Row],[agent_experience_years]]&lt;=2,"Junior",
tbl_analysis_tickets[[#This Row],[agent_experience_years]]&lt;=5,"Mid-Level",
tbl_analysis_tickets[[#This Row],[agent_experience_years]]&lt;=8,"Senior",
tbl_analysis_tickets[[#This Row],[agent_experience_years]]&gt;8,"Expert"
)</f>
        <v>Mid-Level</v>
      </c>
      <c r="P267" cm="1">
        <f t="array" ref="P267">_xlfn.SWITCH(tbl_analysis_tickets[[#This Row],[customer_satisfaction]],
"Low",1,
"Medium",2,
"High",3
)</f>
        <v>2</v>
      </c>
      <c r="Q267">
        <f>IF(tbl_analysis_tickets[[#This Row],[reopened]]="Yes",1,0)</f>
        <v>0</v>
      </c>
      <c r="R267" t="str" cm="1">
        <f t="array" ref="R267">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267" t="str" cm="1">
        <f t="array" ref="S26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67" t="str">
        <f>TEXT(tbl_analysis_tickets[[#This Row],[created_date]],"mmm-yyyy")</f>
        <v>Sep-2024</v>
      </c>
      <c r="U267" t="str">
        <f>TEXT(tbl_analysis_tickets[[#This Row],[created_date]],"dddd")</f>
        <v>Tuesday</v>
      </c>
      <c r="V267" cm="1">
        <f t="array" ref="V267">_xlfn.SWITCH(tbl_analysis_tickets[[#This Row],[priority]],
"Urgent",1,
"High",2,
"Medium",3,
"Low",4
)</f>
        <v>3</v>
      </c>
    </row>
    <row r="268" spans="1:22" x14ac:dyDescent="0.25">
      <c r="A268">
        <v>267</v>
      </c>
      <c r="B268" s="1">
        <v>45351</v>
      </c>
      <c r="C268" t="s">
        <v>14</v>
      </c>
      <c r="D268" t="s">
        <v>11</v>
      </c>
      <c r="E268">
        <v>183</v>
      </c>
      <c r="F268">
        <v>9</v>
      </c>
      <c r="G268">
        <v>8</v>
      </c>
      <c r="H268" t="s">
        <v>12</v>
      </c>
      <c r="I268" t="s">
        <v>16</v>
      </c>
      <c r="J268" t="s">
        <v>11</v>
      </c>
      <c r="K268">
        <f>_xlfn.XLOOKUP(tbl_analysis_tickets[[#This Row],[priority]],tbl_sla[priority],tbl_sla[Resolution SLA Hours])</f>
        <v>72</v>
      </c>
      <c r="L268">
        <f>_xlfn.XLOOKUP(tbl_analysis_tickets[[#This Row],[priority]],tbl_sla[priority],tbl_sla[First Response SLA Minutes])</f>
        <v>240</v>
      </c>
      <c r="M268" t="str">
        <f>IF(tbl_analysis_tickets[[#This Row],[resolution_time_hours]]&gt;tbl_analysis_tickets[[#This Row],[Resolution SLA Hours]],"Breached","Within SLA")</f>
        <v>Within SLA</v>
      </c>
      <c r="N268" t="str">
        <f>IF(tbl_analysis_tickets[[#This Row],[first_response_minutes]]&gt;tbl_analysis_tickets[[#This Row],[First Response SLA Minutes]],"Breached","Within SLA")</f>
        <v>Within SLA</v>
      </c>
      <c r="O268" t="str" cm="1">
        <f t="array" ref="O268">_xlfn.IFS(
tbl_analysis_tickets[[#This Row],[agent_experience_years]]&lt;=2,"Junior",
tbl_analysis_tickets[[#This Row],[agent_experience_years]]&lt;=5,"Mid-Level",
tbl_analysis_tickets[[#This Row],[agent_experience_years]]&lt;=8,"Senior",
tbl_analysis_tickets[[#This Row],[agent_experience_years]]&gt;8,"Expert"
)</f>
        <v>Senior</v>
      </c>
      <c r="P268" cm="1">
        <f t="array" ref="P268">_xlfn.SWITCH(tbl_analysis_tickets[[#This Row],[customer_satisfaction]],
"Low",1,
"Medium",2,
"High",3
)</f>
        <v>1</v>
      </c>
      <c r="Q268">
        <f>IF(tbl_analysis_tickets[[#This Row],[reopened]]="Yes",1,0)</f>
        <v>1</v>
      </c>
      <c r="R268" t="str" cm="1">
        <f t="array" ref="R268">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68" t="str" cm="1">
        <f t="array" ref="S26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68" t="str">
        <f>TEXT(tbl_analysis_tickets[[#This Row],[created_date]],"mmm-yyyy")</f>
        <v>Feb-2024</v>
      </c>
      <c r="U268" t="str">
        <f>TEXT(tbl_analysis_tickets[[#This Row],[created_date]],"dddd")</f>
        <v>Thursday</v>
      </c>
      <c r="V268" cm="1">
        <f t="array" ref="V268">_xlfn.SWITCH(tbl_analysis_tickets[[#This Row],[priority]],
"Urgent",1,
"High",2,
"Medium",3,
"Low",4
)</f>
        <v>4</v>
      </c>
    </row>
    <row r="269" spans="1:22" x14ac:dyDescent="0.25">
      <c r="A269">
        <v>268</v>
      </c>
      <c r="B269" s="1">
        <v>45615</v>
      </c>
      <c r="C269" t="s">
        <v>23</v>
      </c>
      <c r="D269" t="s">
        <v>15</v>
      </c>
      <c r="E269">
        <v>186</v>
      </c>
      <c r="F269">
        <v>59</v>
      </c>
      <c r="G269">
        <v>7.8</v>
      </c>
      <c r="H269" t="s">
        <v>12</v>
      </c>
      <c r="I269" t="s">
        <v>16</v>
      </c>
      <c r="J269" t="s">
        <v>11</v>
      </c>
      <c r="K269">
        <f>_xlfn.XLOOKUP(tbl_analysis_tickets[[#This Row],[priority]],tbl_sla[priority],tbl_sla[Resolution SLA Hours])</f>
        <v>48</v>
      </c>
      <c r="L269">
        <f>_xlfn.XLOOKUP(tbl_analysis_tickets[[#This Row],[priority]],tbl_sla[priority],tbl_sla[First Response SLA Minutes])</f>
        <v>120</v>
      </c>
      <c r="M269" t="str">
        <f>IF(tbl_analysis_tickets[[#This Row],[resolution_time_hours]]&gt;tbl_analysis_tickets[[#This Row],[Resolution SLA Hours]],"Breached","Within SLA")</f>
        <v>Breached</v>
      </c>
      <c r="N269" t="str">
        <f>IF(tbl_analysis_tickets[[#This Row],[first_response_minutes]]&gt;tbl_analysis_tickets[[#This Row],[First Response SLA Minutes]],"Breached","Within SLA")</f>
        <v>Breached</v>
      </c>
      <c r="O269" t="str" cm="1">
        <f t="array" ref="O269">_xlfn.IFS(
tbl_analysis_tickets[[#This Row],[agent_experience_years]]&lt;=2,"Junior",
tbl_analysis_tickets[[#This Row],[agent_experience_years]]&lt;=5,"Mid-Level",
tbl_analysis_tickets[[#This Row],[agent_experience_years]]&lt;=8,"Senior",
tbl_analysis_tickets[[#This Row],[agent_experience_years]]&gt;8,"Expert"
)</f>
        <v>Senior</v>
      </c>
      <c r="P269" cm="1">
        <f t="array" ref="P269">_xlfn.SWITCH(tbl_analysis_tickets[[#This Row],[customer_satisfaction]],
"Low",1,
"Medium",2,
"High",3
)</f>
        <v>1</v>
      </c>
      <c r="Q269">
        <f>IF(tbl_analysis_tickets[[#This Row],[reopened]]="Yes",1,0)</f>
        <v>1</v>
      </c>
      <c r="R269" t="str" cm="1">
        <f t="array" ref="R269">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69" t="str" cm="1">
        <f t="array" ref="S26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69" t="str">
        <f>TEXT(tbl_analysis_tickets[[#This Row],[created_date]],"mmm-yyyy")</f>
        <v>Nov-2024</v>
      </c>
      <c r="U269" t="str">
        <f>TEXT(tbl_analysis_tickets[[#This Row],[created_date]],"dddd")</f>
        <v>Tuesday</v>
      </c>
      <c r="V269" cm="1">
        <f t="array" ref="V269">_xlfn.SWITCH(tbl_analysis_tickets[[#This Row],[priority]],
"Urgent",1,
"High",2,
"Medium",3,
"Low",4
)</f>
        <v>3</v>
      </c>
    </row>
    <row r="270" spans="1:22" x14ac:dyDescent="0.25">
      <c r="A270">
        <v>269</v>
      </c>
      <c r="B270" s="1">
        <v>45328</v>
      </c>
      <c r="C270" t="s">
        <v>22</v>
      </c>
      <c r="D270" t="s">
        <v>20</v>
      </c>
      <c r="E270">
        <v>200</v>
      </c>
      <c r="F270">
        <v>41</v>
      </c>
      <c r="G270">
        <v>5.5</v>
      </c>
      <c r="H270" t="s">
        <v>12</v>
      </c>
      <c r="I270" t="s">
        <v>13</v>
      </c>
      <c r="J270" t="s">
        <v>11</v>
      </c>
      <c r="K270">
        <f>_xlfn.XLOOKUP(tbl_analysis_tickets[[#This Row],[priority]],tbl_sla[priority],tbl_sla[Resolution SLA Hours])</f>
        <v>24</v>
      </c>
      <c r="L270">
        <f>_xlfn.XLOOKUP(tbl_analysis_tickets[[#This Row],[priority]],tbl_sla[priority],tbl_sla[First Response SLA Minutes])</f>
        <v>60</v>
      </c>
      <c r="M270" t="str">
        <f>IF(tbl_analysis_tickets[[#This Row],[resolution_time_hours]]&gt;tbl_analysis_tickets[[#This Row],[Resolution SLA Hours]],"Breached","Within SLA")</f>
        <v>Breached</v>
      </c>
      <c r="N270" t="str">
        <f>IF(tbl_analysis_tickets[[#This Row],[first_response_minutes]]&gt;tbl_analysis_tickets[[#This Row],[First Response SLA Minutes]],"Breached","Within SLA")</f>
        <v>Breached</v>
      </c>
      <c r="O270" t="str" cm="1">
        <f t="array" ref="O270">_xlfn.IFS(
tbl_analysis_tickets[[#This Row],[agent_experience_years]]&lt;=2,"Junior",
tbl_analysis_tickets[[#This Row],[agent_experience_years]]&lt;=5,"Mid-Level",
tbl_analysis_tickets[[#This Row],[agent_experience_years]]&lt;=8,"Senior",
tbl_analysis_tickets[[#This Row],[agent_experience_years]]&gt;8,"Expert"
)</f>
        <v>Senior</v>
      </c>
      <c r="P270" cm="1">
        <f t="array" ref="P270">_xlfn.SWITCH(tbl_analysis_tickets[[#This Row],[customer_satisfaction]],
"Low",1,
"Medium",2,
"High",3
)</f>
        <v>1</v>
      </c>
      <c r="Q270">
        <f>IF(tbl_analysis_tickets[[#This Row],[reopened]]="Yes",1,0)</f>
        <v>1</v>
      </c>
      <c r="R270" t="str" cm="1">
        <f t="array" ref="R270">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70" t="str" cm="1">
        <f t="array" ref="S27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70" t="str">
        <f>TEXT(tbl_analysis_tickets[[#This Row],[created_date]],"mmm-yyyy")</f>
        <v>Feb-2024</v>
      </c>
      <c r="U270" t="str">
        <f>TEXT(tbl_analysis_tickets[[#This Row],[created_date]],"dddd")</f>
        <v>Tuesday</v>
      </c>
      <c r="V270" cm="1">
        <f t="array" ref="V270">_xlfn.SWITCH(tbl_analysis_tickets[[#This Row],[priority]],
"Urgent",1,
"High",2,
"Medium",3,
"Low",4
)</f>
        <v>2</v>
      </c>
    </row>
    <row r="271" spans="1:22" x14ac:dyDescent="0.25">
      <c r="A271">
        <v>270</v>
      </c>
      <c r="B271" s="1">
        <v>45558</v>
      </c>
      <c r="C271" t="s">
        <v>10</v>
      </c>
      <c r="D271" t="s">
        <v>17</v>
      </c>
      <c r="E271">
        <v>123</v>
      </c>
      <c r="F271">
        <v>29</v>
      </c>
      <c r="G271">
        <v>3.2</v>
      </c>
      <c r="H271" t="s">
        <v>18</v>
      </c>
      <c r="I271" t="s">
        <v>16</v>
      </c>
      <c r="J271" t="s">
        <v>11</v>
      </c>
      <c r="K271">
        <f>_xlfn.XLOOKUP(tbl_analysis_tickets[[#This Row],[priority]],tbl_sla[priority],tbl_sla[Resolution SLA Hours])</f>
        <v>8</v>
      </c>
      <c r="L271">
        <f>_xlfn.XLOOKUP(tbl_analysis_tickets[[#This Row],[priority]],tbl_sla[priority],tbl_sla[First Response SLA Minutes])</f>
        <v>30</v>
      </c>
      <c r="M271" t="str">
        <f>IF(tbl_analysis_tickets[[#This Row],[resolution_time_hours]]&gt;tbl_analysis_tickets[[#This Row],[Resolution SLA Hours]],"Breached","Within SLA")</f>
        <v>Breached</v>
      </c>
      <c r="N271" t="str">
        <f>IF(tbl_analysis_tickets[[#This Row],[first_response_minutes]]&gt;tbl_analysis_tickets[[#This Row],[First Response SLA Minutes]],"Breached","Within SLA")</f>
        <v>Breached</v>
      </c>
      <c r="O271" t="str" cm="1">
        <f t="array" ref="O271">_xlfn.IFS(
tbl_analysis_tickets[[#This Row],[agent_experience_years]]&lt;=2,"Junior",
tbl_analysis_tickets[[#This Row],[agent_experience_years]]&lt;=5,"Mid-Level",
tbl_analysis_tickets[[#This Row],[agent_experience_years]]&lt;=8,"Senior",
tbl_analysis_tickets[[#This Row],[agent_experience_years]]&gt;8,"Expert"
)</f>
        <v>Mid-Level</v>
      </c>
      <c r="P271" cm="1">
        <f t="array" ref="P271">_xlfn.SWITCH(tbl_analysis_tickets[[#This Row],[customer_satisfaction]],
"Low",1,
"Medium",2,
"High",3
)</f>
        <v>1</v>
      </c>
      <c r="Q271">
        <f>IF(tbl_analysis_tickets[[#This Row],[reopened]]="Yes",1,0)</f>
        <v>0</v>
      </c>
      <c r="R271" t="str" cm="1">
        <f t="array" ref="R271">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71" t="str" cm="1">
        <f t="array" ref="S27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71" t="str">
        <f>TEXT(tbl_analysis_tickets[[#This Row],[created_date]],"mmm-yyyy")</f>
        <v>Sep-2024</v>
      </c>
      <c r="U271" t="str">
        <f>TEXT(tbl_analysis_tickets[[#This Row],[created_date]],"dddd")</f>
        <v>Monday</v>
      </c>
      <c r="V271" cm="1">
        <f t="array" ref="V271">_xlfn.SWITCH(tbl_analysis_tickets[[#This Row],[priority]],
"Urgent",1,
"High",2,
"Medium",3,
"Low",4
)</f>
        <v>1</v>
      </c>
    </row>
    <row r="272" spans="1:22" x14ac:dyDescent="0.25">
      <c r="A272">
        <v>271</v>
      </c>
      <c r="B272" s="1">
        <v>45630</v>
      </c>
      <c r="C272" t="s">
        <v>14</v>
      </c>
      <c r="D272" t="s">
        <v>15</v>
      </c>
      <c r="E272">
        <v>71</v>
      </c>
      <c r="F272">
        <v>6</v>
      </c>
      <c r="G272">
        <v>0.8</v>
      </c>
      <c r="H272" t="s">
        <v>12</v>
      </c>
      <c r="I272" t="s">
        <v>13</v>
      </c>
      <c r="J272" t="s">
        <v>15</v>
      </c>
      <c r="K272">
        <f>_xlfn.XLOOKUP(tbl_analysis_tickets[[#This Row],[priority]],tbl_sla[priority],tbl_sla[Resolution SLA Hours])</f>
        <v>48</v>
      </c>
      <c r="L272">
        <f>_xlfn.XLOOKUP(tbl_analysis_tickets[[#This Row],[priority]],tbl_sla[priority],tbl_sla[First Response SLA Minutes])</f>
        <v>120</v>
      </c>
      <c r="M272" t="str">
        <f>IF(tbl_analysis_tickets[[#This Row],[resolution_time_hours]]&gt;tbl_analysis_tickets[[#This Row],[Resolution SLA Hours]],"Breached","Within SLA")</f>
        <v>Within SLA</v>
      </c>
      <c r="N272" t="str">
        <f>IF(tbl_analysis_tickets[[#This Row],[first_response_minutes]]&gt;tbl_analysis_tickets[[#This Row],[First Response SLA Minutes]],"Breached","Within SLA")</f>
        <v>Within SLA</v>
      </c>
      <c r="O272" t="str" cm="1">
        <f t="array" ref="O272">_xlfn.IFS(
tbl_analysis_tickets[[#This Row],[agent_experience_years]]&lt;=2,"Junior",
tbl_analysis_tickets[[#This Row],[agent_experience_years]]&lt;=5,"Mid-Level",
tbl_analysis_tickets[[#This Row],[agent_experience_years]]&lt;=8,"Senior",
tbl_analysis_tickets[[#This Row],[agent_experience_years]]&gt;8,"Expert"
)</f>
        <v>Junior</v>
      </c>
      <c r="P272" cm="1">
        <f t="array" ref="P272">_xlfn.SWITCH(tbl_analysis_tickets[[#This Row],[customer_satisfaction]],
"Low",1,
"Medium",2,
"High",3
)</f>
        <v>2</v>
      </c>
      <c r="Q272">
        <f>IF(tbl_analysis_tickets[[#This Row],[reopened]]="Yes",1,0)</f>
        <v>1</v>
      </c>
      <c r="R272" t="str" cm="1">
        <f t="array" ref="R272">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72" t="str" cm="1">
        <f t="array" ref="S27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272" t="str">
        <f>TEXT(tbl_analysis_tickets[[#This Row],[created_date]],"mmm-yyyy")</f>
        <v>Dec-2024</v>
      </c>
      <c r="U272" t="str">
        <f>TEXT(tbl_analysis_tickets[[#This Row],[created_date]],"dddd")</f>
        <v>Wednesday</v>
      </c>
      <c r="V272" cm="1">
        <f t="array" ref="V272">_xlfn.SWITCH(tbl_analysis_tickets[[#This Row],[priority]],
"Urgent",1,
"High",2,
"Medium",3,
"Low",4
)</f>
        <v>3</v>
      </c>
    </row>
    <row r="273" spans="1:22" x14ac:dyDescent="0.25">
      <c r="A273">
        <v>272</v>
      </c>
      <c r="B273" s="1">
        <v>45367</v>
      </c>
      <c r="C273" t="s">
        <v>21</v>
      </c>
      <c r="D273" t="s">
        <v>17</v>
      </c>
      <c r="E273">
        <v>233</v>
      </c>
      <c r="F273">
        <v>25</v>
      </c>
      <c r="G273">
        <v>5.8</v>
      </c>
      <c r="H273" t="s">
        <v>18</v>
      </c>
      <c r="I273" t="s">
        <v>13</v>
      </c>
      <c r="J273" t="s">
        <v>11</v>
      </c>
      <c r="K273">
        <f>_xlfn.XLOOKUP(tbl_analysis_tickets[[#This Row],[priority]],tbl_sla[priority],tbl_sla[Resolution SLA Hours])</f>
        <v>8</v>
      </c>
      <c r="L273">
        <f>_xlfn.XLOOKUP(tbl_analysis_tickets[[#This Row],[priority]],tbl_sla[priority],tbl_sla[First Response SLA Minutes])</f>
        <v>30</v>
      </c>
      <c r="M273" t="str">
        <f>IF(tbl_analysis_tickets[[#This Row],[resolution_time_hours]]&gt;tbl_analysis_tickets[[#This Row],[Resolution SLA Hours]],"Breached","Within SLA")</f>
        <v>Breached</v>
      </c>
      <c r="N273" t="str">
        <f>IF(tbl_analysis_tickets[[#This Row],[first_response_minutes]]&gt;tbl_analysis_tickets[[#This Row],[First Response SLA Minutes]],"Breached","Within SLA")</f>
        <v>Breached</v>
      </c>
      <c r="O273" t="str" cm="1">
        <f t="array" ref="O273">_xlfn.IFS(
tbl_analysis_tickets[[#This Row],[agent_experience_years]]&lt;=2,"Junior",
tbl_analysis_tickets[[#This Row],[agent_experience_years]]&lt;=5,"Mid-Level",
tbl_analysis_tickets[[#This Row],[agent_experience_years]]&lt;=8,"Senior",
tbl_analysis_tickets[[#This Row],[agent_experience_years]]&gt;8,"Expert"
)</f>
        <v>Senior</v>
      </c>
      <c r="P273" cm="1">
        <f t="array" ref="P273">_xlfn.SWITCH(tbl_analysis_tickets[[#This Row],[customer_satisfaction]],
"Low",1,
"Medium",2,
"High",3
)</f>
        <v>1</v>
      </c>
      <c r="Q273">
        <f>IF(tbl_analysis_tickets[[#This Row],[reopened]]="Yes",1,0)</f>
        <v>0</v>
      </c>
      <c r="R273" t="str" cm="1">
        <f t="array" ref="R273">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73" t="str" cm="1">
        <f t="array" ref="S27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73" t="str">
        <f>TEXT(tbl_analysis_tickets[[#This Row],[created_date]],"mmm-yyyy")</f>
        <v>Mar-2024</v>
      </c>
      <c r="U273" t="str">
        <f>TEXT(tbl_analysis_tickets[[#This Row],[created_date]],"dddd")</f>
        <v>Saturday</v>
      </c>
      <c r="V273" cm="1">
        <f t="array" ref="V273">_xlfn.SWITCH(tbl_analysis_tickets[[#This Row],[priority]],
"Urgent",1,
"High",2,
"Medium",3,
"Low",4
)</f>
        <v>1</v>
      </c>
    </row>
    <row r="274" spans="1:22" x14ac:dyDescent="0.25">
      <c r="A274">
        <v>273</v>
      </c>
      <c r="B274" s="1">
        <v>45495</v>
      </c>
      <c r="C274" t="s">
        <v>23</v>
      </c>
      <c r="D274" t="s">
        <v>17</v>
      </c>
      <c r="E274">
        <v>156</v>
      </c>
      <c r="F274">
        <v>9</v>
      </c>
      <c r="G274">
        <v>5.2</v>
      </c>
      <c r="H274" t="s">
        <v>18</v>
      </c>
      <c r="I274" t="s">
        <v>16</v>
      </c>
      <c r="J274" t="s">
        <v>11</v>
      </c>
      <c r="K274">
        <f>_xlfn.XLOOKUP(tbl_analysis_tickets[[#This Row],[priority]],tbl_sla[priority],tbl_sla[Resolution SLA Hours])</f>
        <v>8</v>
      </c>
      <c r="L274">
        <f>_xlfn.XLOOKUP(tbl_analysis_tickets[[#This Row],[priority]],tbl_sla[priority],tbl_sla[First Response SLA Minutes])</f>
        <v>30</v>
      </c>
      <c r="M274" t="str">
        <f>IF(tbl_analysis_tickets[[#This Row],[resolution_time_hours]]&gt;tbl_analysis_tickets[[#This Row],[Resolution SLA Hours]],"Breached","Within SLA")</f>
        <v>Breached</v>
      </c>
      <c r="N274" t="str">
        <f>IF(tbl_analysis_tickets[[#This Row],[first_response_minutes]]&gt;tbl_analysis_tickets[[#This Row],[First Response SLA Minutes]],"Breached","Within SLA")</f>
        <v>Breached</v>
      </c>
      <c r="O274" t="str" cm="1">
        <f t="array" ref="O274">_xlfn.IFS(
tbl_analysis_tickets[[#This Row],[agent_experience_years]]&lt;=2,"Junior",
tbl_analysis_tickets[[#This Row],[agent_experience_years]]&lt;=5,"Mid-Level",
tbl_analysis_tickets[[#This Row],[agent_experience_years]]&lt;=8,"Senior",
tbl_analysis_tickets[[#This Row],[agent_experience_years]]&gt;8,"Expert"
)</f>
        <v>Senior</v>
      </c>
      <c r="P274" cm="1">
        <f t="array" ref="P274">_xlfn.SWITCH(tbl_analysis_tickets[[#This Row],[customer_satisfaction]],
"Low",1,
"Medium",2,
"High",3
)</f>
        <v>1</v>
      </c>
      <c r="Q274">
        <f>IF(tbl_analysis_tickets[[#This Row],[reopened]]="Yes",1,0)</f>
        <v>0</v>
      </c>
      <c r="R274" t="str" cm="1">
        <f t="array" ref="R274">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74" t="str" cm="1">
        <f t="array" ref="S27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74" t="str">
        <f>TEXT(tbl_analysis_tickets[[#This Row],[created_date]],"mmm-yyyy")</f>
        <v>Jul-2024</v>
      </c>
      <c r="U274" t="str">
        <f>TEXT(tbl_analysis_tickets[[#This Row],[created_date]],"dddd")</f>
        <v>Monday</v>
      </c>
      <c r="V274" cm="1">
        <f t="array" ref="V274">_xlfn.SWITCH(tbl_analysis_tickets[[#This Row],[priority]],
"Urgent",1,
"High",2,
"Medium",3,
"Low",4
)</f>
        <v>1</v>
      </c>
    </row>
    <row r="275" spans="1:22" x14ac:dyDescent="0.25">
      <c r="A275">
        <v>274</v>
      </c>
      <c r="B275" s="1">
        <v>45529</v>
      </c>
      <c r="C275" t="s">
        <v>14</v>
      </c>
      <c r="D275" t="s">
        <v>17</v>
      </c>
      <c r="E275">
        <v>192</v>
      </c>
      <c r="F275">
        <v>24</v>
      </c>
      <c r="G275">
        <v>5.2</v>
      </c>
      <c r="H275" t="s">
        <v>18</v>
      </c>
      <c r="I275" t="s">
        <v>16</v>
      </c>
      <c r="J275" t="s">
        <v>11</v>
      </c>
      <c r="K275">
        <f>_xlfn.XLOOKUP(tbl_analysis_tickets[[#This Row],[priority]],tbl_sla[priority],tbl_sla[Resolution SLA Hours])</f>
        <v>8</v>
      </c>
      <c r="L275">
        <f>_xlfn.XLOOKUP(tbl_analysis_tickets[[#This Row],[priority]],tbl_sla[priority],tbl_sla[First Response SLA Minutes])</f>
        <v>30</v>
      </c>
      <c r="M275" t="str">
        <f>IF(tbl_analysis_tickets[[#This Row],[resolution_time_hours]]&gt;tbl_analysis_tickets[[#This Row],[Resolution SLA Hours]],"Breached","Within SLA")</f>
        <v>Breached</v>
      </c>
      <c r="N275" t="str">
        <f>IF(tbl_analysis_tickets[[#This Row],[first_response_minutes]]&gt;tbl_analysis_tickets[[#This Row],[First Response SLA Minutes]],"Breached","Within SLA")</f>
        <v>Breached</v>
      </c>
      <c r="O275" t="str" cm="1">
        <f t="array" ref="O275">_xlfn.IFS(
tbl_analysis_tickets[[#This Row],[agent_experience_years]]&lt;=2,"Junior",
tbl_analysis_tickets[[#This Row],[agent_experience_years]]&lt;=5,"Mid-Level",
tbl_analysis_tickets[[#This Row],[agent_experience_years]]&lt;=8,"Senior",
tbl_analysis_tickets[[#This Row],[agent_experience_years]]&gt;8,"Expert"
)</f>
        <v>Senior</v>
      </c>
      <c r="P275" cm="1">
        <f t="array" ref="P275">_xlfn.SWITCH(tbl_analysis_tickets[[#This Row],[customer_satisfaction]],
"Low",1,
"Medium",2,
"High",3
)</f>
        <v>1</v>
      </c>
      <c r="Q275">
        <f>IF(tbl_analysis_tickets[[#This Row],[reopened]]="Yes",1,0)</f>
        <v>0</v>
      </c>
      <c r="R275" t="str" cm="1">
        <f t="array" ref="R275">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75" t="str" cm="1">
        <f t="array" ref="S27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75" t="str">
        <f>TEXT(tbl_analysis_tickets[[#This Row],[created_date]],"mmm-yyyy")</f>
        <v>Aug-2024</v>
      </c>
      <c r="U275" t="str">
        <f>TEXT(tbl_analysis_tickets[[#This Row],[created_date]],"dddd")</f>
        <v>Sunday</v>
      </c>
      <c r="V275" cm="1">
        <f t="array" ref="V275">_xlfn.SWITCH(tbl_analysis_tickets[[#This Row],[priority]],
"Urgent",1,
"High",2,
"Medium",3,
"Low",4
)</f>
        <v>1</v>
      </c>
    </row>
    <row r="276" spans="1:22" x14ac:dyDescent="0.25">
      <c r="A276">
        <v>275</v>
      </c>
      <c r="B276" s="1">
        <v>45565</v>
      </c>
      <c r="C276" t="s">
        <v>23</v>
      </c>
      <c r="D276" t="s">
        <v>20</v>
      </c>
      <c r="E276">
        <v>97</v>
      </c>
      <c r="F276">
        <v>70</v>
      </c>
      <c r="G276">
        <v>7.4</v>
      </c>
      <c r="H276" t="s">
        <v>18</v>
      </c>
      <c r="I276" t="s">
        <v>19</v>
      </c>
      <c r="J276" t="s">
        <v>11</v>
      </c>
      <c r="K276">
        <f>_xlfn.XLOOKUP(tbl_analysis_tickets[[#This Row],[priority]],tbl_sla[priority],tbl_sla[Resolution SLA Hours])</f>
        <v>24</v>
      </c>
      <c r="L276">
        <f>_xlfn.XLOOKUP(tbl_analysis_tickets[[#This Row],[priority]],tbl_sla[priority],tbl_sla[First Response SLA Minutes])</f>
        <v>60</v>
      </c>
      <c r="M276" t="str">
        <f>IF(tbl_analysis_tickets[[#This Row],[resolution_time_hours]]&gt;tbl_analysis_tickets[[#This Row],[Resolution SLA Hours]],"Breached","Within SLA")</f>
        <v>Breached</v>
      </c>
      <c r="N276" t="str">
        <f>IF(tbl_analysis_tickets[[#This Row],[first_response_minutes]]&gt;tbl_analysis_tickets[[#This Row],[First Response SLA Minutes]],"Breached","Within SLA")</f>
        <v>Breached</v>
      </c>
      <c r="O276" t="str" cm="1">
        <f t="array" ref="O276">_xlfn.IFS(
tbl_analysis_tickets[[#This Row],[agent_experience_years]]&lt;=2,"Junior",
tbl_analysis_tickets[[#This Row],[agent_experience_years]]&lt;=5,"Mid-Level",
tbl_analysis_tickets[[#This Row],[agent_experience_years]]&lt;=8,"Senior",
tbl_analysis_tickets[[#This Row],[agent_experience_years]]&gt;8,"Expert"
)</f>
        <v>Senior</v>
      </c>
      <c r="P276" cm="1">
        <f t="array" ref="P276">_xlfn.SWITCH(tbl_analysis_tickets[[#This Row],[customer_satisfaction]],
"Low",1,
"Medium",2,
"High",3
)</f>
        <v>1</v>
      </c>
      <c r="Q276">
        <f>IF(tbl_analysis_tickets[[#This Row],[reopened]]="Yes",1,0)</f>
        <v>0</v>
      </c>
      <c r="R276" t="str" cm="1">
        <f t="array" ref="R276">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76" t="str" cm="1">
        <f t="array" ref="S27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76" t="str">
        <f>TEXT(tbl_analysis_tickets[[#This Row],[created_date]],"mmm-yyyy")</f>
        <v>Sep-2024</v>
      </c>
      <c r="U276" t="str">
        <f>TEXT(tbl_analysis_tickets[[#This Row],[created_date]],"dddd")</f>
        <v>Monday</v>
      </c>
      <c r="V276" cm="1">
        <f t="array" ref="V276">_xlfn.SWITCH(tbl_analysis_tickets[[#This Row],[priority]],
"Urgent",1,
"High",2,
"Medium",3,
"Low",4
)</f>
        <v>2</v>
      </c>
    </row>
    <row r="277" spans="1:22" x14ac:dyDescent="0.25">
      <c r="A277">
        <v>276</v>
      </c>
      <c r="B277" s="1">
        <v>45402</v>
      </c>
      <c r="C277" t="s">
        <v>22</v>
      </c>
      <c r="D277" t="s">
        <v>15</v>
      </c>
      <c r="E277">
        <v>62</v>
      </c>
      <c r="F277">
        <v>64</v>
      </c>
      <c r="G277">
        <v>6.4</v>
      </c>
      <c r="H277" t="s">
        <v>18</v>
      </c>
      <c r="I277" t="s">
        <v>13</v>
      </c>
      <c r="J277" t="s">
        <v>15</v>
      </c>
      <c r="K277">
        <f>_xlfn.XLOOKUP(tbl_analysis_tickets[[#This Row],[priority]],tbl_sla[priority],tbl_sla[Resolution SLA Hours])</f>
        <v>48</v>
      </c>
      <c r="L277">
        <f>_xlfn.XLOOKUP(tbl_analysis_tickets[[#This Row],[priority]],tbl_sla[priority],tbl_sla[First Response SLA Minutes])</f>
        <v>120</v>
      </c>
      <c r="M277" t="str">
        <f>IF(tbl_analysis_tickets[[#This Row],[resolution_time_hours]]&gt;tbl_analysis_tickets[[#This Row],[Resolution SLA Hours]],"Breached","Within SLA")</f>
        <v>Breached</v>
      </c>
      <c r="N277" t="str">
        <f>IF(tbl_analysis_tickets[[#This Row],[first_response_minutes]]&gt;tbl_analysis_tickets[[#This Row],[First Response SLA Minutes]],"Breached","Within SLA")</f>
        <v>Within SLA</v>
      </c>
      <c r="O277" t="str" cm="1">
        <f t="array" ref="O277">_xlfn.IFS(
tbl_analysis_tickets[[#This Row],[agent_experience_years]]&lt;=2,"Junior",
tbl_analysis_tickets[[#This Row],[agent_experience_years]]&lt;=5,"Mid-Level",
tbl_analysis_tickets[[#This Row],[agent_experience_years]]&lt;=8,"Senior",
tbl_analysis_tickets[[#This Row],[agent_experience_years]]&gt;8,"Expert"
)</f>
        <v>Senior</v>
      </c>
      <c r="P277" cm="1">
        <f t="array" ref="P277">_xlfn.SWITCH(tbl_analysis_tickets[[#This Row],[customer_satisfaction]],
"Low",1,
"Medium",2,
"High",3
)</f>
        <v>2</v>
      </c>
      <c r="Q277">
        <f>IF(tbl_analysis_tickets[[#This Row],[reopened]]="Yes",1,0)</f>
        <v>0</v>
      </c>
      <c r="R277" t="str" cm="1">
        <f t="array" ref="R277">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77" t="str" cm="1">
        <f t="array" ref="S27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77" t="str">
        <f>TEXT(tbl_analysis_tickets[[#This Row],[created_date]],"mmm-yyyy")</f>
        <v>Apr-2024</v>
      </c>
      <c r="U277" t="str">
        <f>TEXT(tbl_analysis_tickets[[#This Row],[created_date]],"dddd")</f>
        <v>Saturday</v>
      </c>
      <c r="V277" cm="1">
        <f t="array" ref="V277">_xlfn.SWITCH(tbl_analysis_tickets[[#This Row],[priority]],
"Urgent",1,
"High",2,
"Medium",3,
"Low",4
)</f>
        <v>3</v>
      </c>
    </row>
    <row r="278" spans="1:22" x14ac:dyDescent="0.25">
      <c r="A278">
        <v>277</v>
      </c>
      <c r="B278" s="1">
        <v>45419</v>
      </c>
      <c r="C278" t="s">
        <v>21</v>
      </c>
      <c r="D278" t="s">
        <v>15</v>
      </c>
      <c r="E278">
        <v>28</v>
      </c>
      <c r="F278">
        <v>54</v>
      </c>
      <c r="G278">
        <v>2.7</v>
      </c>
      <c r="H278" t="s">
        <v>12</v>
      </c>
      <c r="I278" t="s">
        <v>13</v>
      </c>
      <c r="J278" t="s">
        <v>15</v>
      </c>
      <c r="K278">
        <f>_xlfn.XLOOKUP(tbl_analysis_tickets[[#This Row],[priority]],tbl_sla[priority],tbl_sla[Resolution SLA Hours])</f>
        <v>48</v>
      </c>
      <c r="L278">
        <f>_xlfn.XLOOKUP(tbl_analysis_tickets[[#This Row],[priority]],tbl_sla[priority],tbl_sla[First Response SLA Minutes])</f>
        <v>120</v>
      </c>
      <c r="M278" t="str">
        <f>IF(tbl_analysis_tickets[[#This Row],[resolution_time_hours]]&gt;tbl_analysis_tickets[[#This Row],[Resolution SLA Hours]],"Breached","Within SLA")</f>
        <v>Breached</v>
      </c>
      <c r="N278" t="str">
        <f>IF(tbl_analysis_tickets[[#This Row],[first_response_minutes]]&gt;tbl_analysis_tickets[[#This Row],[First Response SLA Minutes]],"Breached","Within SLA")</f>
        <v>Within SLA</v>
      </c>
      <c r="O278" t="str" cm="1">
        <f t="array" ref="O278">_xlfn.IFS(
tbl_analysis_tickets[[#This Row],[agent_experience_years]]&lt;=2,"Junior",
tbl_analysis_tickets[[#This Row],[agent_experience_years]]&lt;=5,"Mid-Level",
tbl_analysis_tickets[[#This Row],[agent_experience_years]]&lt;=8,"Senior",
tbl_analysis_tickets[[#This Row],[agent_experience_years]]&gt;8,"Expert"
)</f>
        <v>Mid-Level</v>
      </c>
      <c r="P278" cm="1">
        <f t="array" ref="P278">_xlfn.SWITCH(tbl_analysis_tickets[[#This Row],[customer_satisfaction]],
"Low",1,
"Medium",2,
"High",3
)</f>
        <v>2</v>
      </c>
      <c r="Q278">
        <f>IF(tbl_analysis_tickets[[#This Row],[reopened]]="Yes",1,0)</f>
        <v>1</v>
      </c>
      <c r="R278" t="str" cm="1">
        <f t="array" ref="R278">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278" t="str" cm="1">
        <f t="array" ref="S27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78" t="str">
        <f>TEXT(tbl_analysis_tickets[[#This Row],[created_date]],"mmm-yyyy")</f>
        <v>May-2024</v>
      </c>
      <c r="U278" t="str">
        <f>TEXT(tbl_analysis_tickets[[#This Row],[created_date]],"dddd")</f>
        <v>Tuesday</v>
      </c>
      <c r="V278" cm="1">
        <f t="array" ref="V278">_xlfn.SWITCH(tbl_analysis_tickets[[#This Row],[priority]],
"Urgent",1,
"High",2,
"Medium",3,
"Low",4
)</f>
        <v>3</v>
      </c>
    </row>
    <row r="279" spans="1:22" x14ac:dyDescent="0.25">
      <c r="A279">
        <v>278</v>
      </c>
      <c r="B279" s="1">
        <v>45381</v>
      </c>
      <c r="C279" t="s">
        <v>21</v>
      </c>
      <c r="D279" t="s">
        <v>17</v>
      </c>
      <c r="E279">
        <v>64</v>
      </c>
      <c r="F279">
        <v>7</v>
      </c>
      <c r="G279">
        <v>5.3</v>
      </c>
      <c r="H279" t="s">
        <v>18</v>
      </c>
      <c r="I279" t="s">
        <v>16</v>
      </c>
      <c r="J279" t="s">
        <v>11</v>
      </c>
      <c r="K279">
        <f>_xlfn.XLOOKUP(tbl_analysis_tickets[[#This Row],[priority]],tbl_sla[priority],tbl_sla[Resolution SLA Hours])</f>
        <v>8</v>
      </c>
      <c r="L279">
        <f>_xlfn.XLOOKUP(tbl_analysis_tickets[[#This Row],[priority]],tbl_sla[priority],tbl_sla[First Response SLA Minutes])</f>
        <v>30</v>
      </c>
      <c r="M279" t="str">
        <f>IF(tbl_analysis_tickets[[#This Row],[resolution_time_hours]]&gt;tbl_analysis_tickets[[#This Row],[Resolution SLA Hours]],"Breached","Within SLA")</f>
        <v>Within SLA</v>
      </c>
      <c r="N279" t="str">
        <f>IF(tbl_analysis_tickets[[#This Row],[first_response_minutes]]&gt;tbl_analysis_tickets[[#This Row],[First Response SLA Minutes]],"Breached","Within SLA")</f>
        <v>Breached</v>
      </c>
      <c r="O279" t="str" cm="1">
        <f t="array" ref="O279">_xlfn.IFS(
tbl_analysis_tickets[[#This Row],[agent_experience_years]]&lt;=2,"Junior",
tbl_analysis_tickets[[#This Row],[agent_experience_years]]&lt;=5,"Mid-Level",
tbl_analysis_tickets[[#This Row],[agent_experience_years]]&lt;=8,"Senior",
tbl_analysis_tickets[[#This Row],[agent_experience_years]]&gt;8,"Expert"
)</f>
        <v>Senior</v>
      </c>
      <c r="P279" cm="1">
        <f t="array" ref="P279">_xlfn.SWITCH(tbl_analysis_tickets[[#This Row],[customer_satisfaction]],
"Low",1,
"Medium",2,
"High",3
)</f>
        <v>1</v>
      </c>
      <c r="Q279">
        <f>IF(tbl_analysis_tickets[[#This Row],[reopened]]="Yes",1,0)</f>
        <v>0</v>
      </c>
      <c r="R279" t="str" cm="1">
        <f t="array" ref="R279">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79" t="str" cm="1">
        <f t="array" ref="S27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279" t="str">
        <f>TEXT(tbl_analysis_tickets[[#This Row],[created_date]],"mmm-yyyy")</f>
        <v>Mar-2024</v>
      </c>
      <c r="U279" t="str">
        <f>TEXT(tbl_analysis_tickets[[#This Row],[created_date]],"dddd")</f>
        <v>Saturday</v>
      </c>
      <c r="V279" cm="1">
        <f t="array" ref="V279">_xlfn.SWITCH(tbl_analysis_tickets[[#This Row],[priority]],
"Urgent",1,
"High",2,
"Medium",3,
"Low",4
)</f>
        <v>1</v>
      </c>
    </row>
    <row r="280" spans="1:22" x14ac:dyDescent="0.25">
      <c r="A280">
        <v>279</v>
      </c>
      <c r="B280" s="1">
        <v>45349</v>
      </c>
      <c r="C280" t="s">
        <v>21</v>
      </c>
      <c r="D280" t="s">
        <v>17</v>
      </c>
      <c r="E280">
        <v>56</v>
      </c>
      <c r="F280">
        <v>23</v>
      </c>
      <c r="G280">
        <v>9.1</v>
      </c>
      <c r="H280" t="s">
        <v>18</v>
      </c>
      <c r="I280" t="s">
        <v>19</v>
      </c>
      <c r="J280" t="s">
        <v>11</v>
      </c>
      <c r="K280">
        <f>_xlfn.XLOOKUP(tbl_analysis_tickets[[#This Row],[priority]],tbl_sla[priority],tbl_sla[Resolution SLA Hours])</f>
        <v>8</v>
      </c>
      <c r="L280">
        <f>_xlfn.XLOOKUP(tbl_analysis_tickets[[#This Row],[priority]],tbl_sla[priority],tbl_sla[First Response SLA Minutes])</f>
        <v>30</v>
      </c>
      <c r="M280" t="str">
        <f>IF(tbl_analysis_tickets[[#This Row],[resolution_time_hours]]&gt;tbl_analysis_tickets[[#This Row],[Resolution SLA Hours]],"Breached","Within SLA")</f>
        <v>Breached</v>
      </c>
      <c r="N280" t="str">
        <f>IF(tbl_analysis_tickets[[#This Row],[first_response_minutes]]&gt;tbl_analysis_tickets[[#This Row],[First Response SLA Minutes]],"Breached","Within SLA")</f>
        <v>Breached</v>
      </c>
      <c r="O280" t="str" cm="1">
        <f t="array" ref="O280">_xlfn.IFS(
tbl_analysis_tickets[[#This Row],[agent_experience_years]]&lt;=2,"Junior",
tbl_analysis_tickets[[#This Row],[agent_experience_years]]&lt;=5,"Mid-Level",
tbl_analysis_tickets[[#This Row],[agent_experience_years]]&lt;=8,"Senior",
tbl_analysis_tickets[[#This Row],[agent_experience_years]]&gt;8,"Expert"
)</f>
        <v>Expert</v>
      </c>
      <c r="P280" cm="1">
        <f t="array" ref="P280">_xlfn.SWITCH(tbl_analysis_tickets[[#This Row],[customer_satisfaction]],
"Low",1,
"Medium",2,
"High",3
)</f>
        <v>1</v>
      </c>
      <c r="Q280">
        <f>IF(tbl_analysis_tickets[[#This Row],[reopened]]="Yes",1,0)</f>
        <v>0</v>
      </c>
      <c r="R280" t="str" cm="1">
        <f t="array" ref="R280">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80" t="str" cm="1">
        <f t="array" ref="S28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80" t="str">
        <f>TEXT(tbl_analysis_tickets[[#This Row],[created_date]],"mmm-yyyy")</f>
        <v>Feb-2024</v>
      </c>
      <c r="U280" t="str">
        <f>TEXT(tbl_analysis_tickets[[#This Row],[created_date]],"dddd")</f>
        <v>Tuesday</v>
      </c>
      <c r="V280" cm="1">
        <f t="array" ref="V280">_xlfn.SWITCH(tbl_analysis_tickets[[#This Row],[priority]],
"Urgent",1,
"High",2,
"Medium",3,
"Low",4
)</f>
        <v>1</v>
      </c>
    </row>
    <row r="281" spans="1:22" x14ac:dyDescent="0.25">
      <c r="A281">
        <v>280</v>
      </c>
      <c r="B281" s="1">
        <v>45318</v>
      </c>
      <c r="C281" t="s">
        <v>22</v>
      </c>
      <c r="D281" t="s">
        <v>20</v>
      </c>
      <c r="E281">
        <v>162</v>
      </c>
      <c r="F281">
        <v>46</v>
      </c>
      <c r="G281">
        <v>5.3</v>
      </c>
      <c r="H281" t="s">
        <v>12</v>
      </c>
      <c r="I281" t="s">
        <v>16</v>
      </c>
      <c r="J281" t="s">
        <v>11</v>
      </c>
      <c r="K281">
        <f>_xlfn.XLOOKUP(tbl_analysis_tickets[[#This Row],[priority]],tbl_sla[priority],tbl_sla[Resolution SLA Hours])</f>
        <v>24</v>
      </c>
      <c r="L281">
        <f>_xlfn.XLOOKUP(tbl_analysis_tickets[[#This Row],[priority]],tbl_sla[priority],tbl_sla[First Response SLA Minutes])</f>
        <v>60</v>
      </c>
      <c r="M281" t="str">
        <f>IF(tbl_analysis_tickets[[#This Row],[resolution_time_hours]]&gt;tbl_analysis_tickets[[#This Row],[Resolution SLA Hours]],"Breached","Within SLA")</f>
        <v>Breached</v>
      </c>
      <c r="N281" t="str">
        <f>IF(tbl_analysis_tickets[[#This Row],[first_response_minutes]]&gt;tbl_analysis_tickets[[#This Row],[First Response SLA Minutes]],"Breached","Within SLA")</f>
        <v>Breached</v>
      </c>
      <c r="O281" t="str" cm="1">
        <f t="array" ref="O281">_xlfn.IFS(
tbl_analysis_tickets[[#This Row],[agent_experience_years]]&lt;=2,"Junior",
tbl_analysis_tickets[[#This Row],[agent_experience_years]]&lt;=5,"Mid-Level",
tbl_analysis_tickets[[#This Row],[agent_experience_years]]&lt;=8,"Senior",
tbl_analysis_tickets[[#This Row],[agent_experience_years]]&gt;8,"Expert"
)</f>
        <v>Senior</v>
      </c>
      <c r="P281" cm="1">
        <f t="array" ref="P281">_xlfn.SWITCH(tbl_analysis_tickets[[#This Row],[customer_satisfaction]],
"Low",1,
"Medium",2,
"High",3
)</f>
        <v>1</v>
      </c>
      <c r="Q281">
        <f>IF(tbl_analysis_tickets[[#This Row],[reopened]]="Yes",1,0)</f>
        <v>1</v>
      </c>
      <c r="R281" t="str" cm="1">
        <f t="array" ref="R281">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81" t="str" cm="1">
        <f t="array" ref="S28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81" t="str">
        <f>TEXT(tbl_analysis_tickets[[#This Row],[created_date]],"mmm-yyyy")</f>
        <v>Jan-2024</v>
      </c>
      <c r="U281" t="str">
        <f>TEXT(tbl_analysis_tickets[[#This Row],[created_date]],"dddd")</f>
        <v>Saturday</v>
      </c>
      <c r="V281" cm="1">
        <f t="array" ref="V281">_xlfn.SWITCH(tbl_analysis_tickets[[#This Row],[priority]],
"Urgent",1,
"High",2,
"Medium",3,
"Low",4
)</f>
        <v>2</v>
      </c>
    </row>
    <row r="282" spans="1:22" x14ac:dyDescent="0.25">
      <c r="A282">
        <v>281</v>
      </c>
      <c r="B282" s="1">
        <v>45492</v>
      </c>
      <c r="C282" t="s">
        <v>10</v>
      </c>
      <c r="D282" t="s">
        <v>15</v>
      </c>
      <c r="E282">
        <v>192</v>
      </c>
      <c r="F282">
        <v>18</v>
      </c>
      <c r="G282">
        <v>5.3</v>
      </c>
      <c r="H282" t="s">
        <v>12</v>
      </c>
      <c r="I282" t="s">
        <v>13</v>
      </c>
      <c r="J282" t="s">
        <v>11</v>
      </c>
      <c r="K282">
        <f>_xlfn.XLOOKUP(tbl_analysis_tickets[[#This Row],[priority]],tbl_sla[priority],tbl_sla[Resolution SLA Hours])</f>
        <v>48</v>
      </c>
      <c r="L282">
        <f>_xlfn.XLOOKUP(tbl_analysis_tickets[[#This Row],[priority]],tbl_sla[priority],tbl_sla[First Response SLA Minutes])</f>
        <v>120</v>
      </c>
      <c r="M282" t="str">
        <f>IF(tbl_analysis_tickets[[#This Row],[resolution_time_hours]]&gt;tbl_analysis_tickets[[#This Row],[Resolution SLA Hours]],"Breached","Within SLA")</f>
        <v>Within SLA</v>
      </c>
      <c r="N282" t="str">
        <f>IF(tbl_analysis_tickets[[#This Row],[first_response_minutes]]&gt;tbl_analysis_tickets[[#This Row],[First Response SLA Minutes]],"Breached","Within SLA")</f>
        <v>Breached</v>
      </c>
      <c r="O282" t="str" cm="1">
        <f t="array" ref="O282">_xlfn.IFS(
tbl_analysis_tickets[[#This Row],[agent_experience_years]]&lt;=2,"Junior",
tbl_analysis_tickets[[#This Row],[agent_experience_years]]&lt;=5,"Mid-Level",
tbl_analysis_tickets[[#This Row],[agent_experience_years]]&lt;=8,"Senior",
tbl_analysis_tickets[[#This Row],[agent_experience_years]]&gt;8,"Expert"
)</f>
        <v>Senior</v>
      </c>
      <c r="P282" cm="1">
        <f t="array" ref="P282">_xlfn.SWITCH(tbl_analysis_tickets[[#This Row],[customer_satisfaction]],
"Low",1,
"Medium",2,
"High",3
)</f>
        <v>1</v>
      </c>
      <c r="Q282">
        <f>IF(tbl_analysis_tickets[[#This Row],[reopened]]="Yes",1,0)</f>
        <v>1</v>
      </c>
      <c r="R282" t="str" cm="1">
        <f t="array" ref="R282">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82" t="str" cm="1">
        <f t="array" ref="S28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82" t="str">
        <f>TEXT(tbl_analysis_tickets[[#This Row],[created_date]],"mmm-yyyy")</f>
        <v>Jul-2024</v>
      </c>
      <c r="U282" t="str">
        <f>TEXT(tbl_analysis_tickets[[#This Row],[created_date]],"dddd")</f>
        <v>Friday</v>
      </c>
      <c r="V282" cm="1">
        <f t="array" ref="V282">_xlfn.SWITCH(tbl_analysis_tickets[[#This Row],[priority]],
"Urgent",1,
"High",2,
"Medium",3,
"Low",4
)</f>
        <v>3</v>
      </c>
    </row>
    <row r="283" spans="1:22" x14ac:dyDescent="0.25">
      <c r="A283">
        <v>282</v>
      </c>
      <c r="B283" s="1">
        <v>45316</v>
      </c>
      <c r="C283" t="s">
        <v>23</v>
      </c>
      <c r="D283" t="s">
        <v>20</v>
      </c>
      <c r="E283">
        <v>40</v>
      </c>
      <c r="F283">
        <v>64</v>
      </c>
      <c r="G283">
        <v>3.9</v>
      </c>
      <c r="H283" t="s">
        <v>18</v>
      </c>
      <c r="I283" t="s">
        <v>19</v>
      </c>
      <c r="J283" t="s">
        <v>11</v>
      </c>
      <c r="K283">
        <f>_xlfn.XLOOKUP(tbl_analysis_tickets[[#This Row],[priority]],tbl_sla[priority],tbl_sla[Resolution SLA Hours])</f>
        <v>24</v>
      </c>
      <c r="L283">
        <f>_xlfn.XLOOKUP(tbl_analysis_tickets[[#This Row],[priority]],tbl_sla[priority],tbl_sla[First Response SLA Minutes])</f>
        <v>60</v>
      </c>
      <c r="M283" t="str">
        <f>IF(tbl_analysis_tickets[[#This Row],[resolution_time_hours]]&gt;tbl_analysis_tickets[[#This Row],[Resolution SLA Hours]],"Breached","Within SLA")</f>
        <v>Breached</v>
      </c>
      <c r="N283" t="str">
        <f>IF(tbl_analysis_tickets[[#This Row],[first_response_minutes]]&gt;tbl_analysis_tickets[[#This Row],[First Response SLA Minutes]],"Breached","Within SLA")</f>
        <v>Within SLA</v>
      </c>
      <c r="O283" t="str" cm="1">
        <f t="array" ref="O283">_xlfn.IFS(
tbl_analysis_tickets[[#This Row],[agent_experience_years]]&lt;=2,"Junior",
tbl_analysis_tickets[[#This Row],[agent_experience_years]]&lt;=5,"Mid-Level",
tbl_analysis_tickets[[#This Row],[agent_experience_years]]&lt;=8,"Senior",
tbl_analysis_tickets[[#This Row],[agent_experience_years]]&gt;8,"Expert"
)</f>
        <v>Mid-Level</v>
      </c>
      <c r="P283" cm="1">
        <f t="array" ref="P283">_xlfn.SWITCH(tbl_analysis_tickets[[#This Row],[customer_satisfaction]],
"Low",1,
"Medium",2,
"High",3
)</f>
        <v>1</v>
      </c>
      <c r="Q283">
        <f>IF(tbl_analysis_tickets[[#This Row],[reopened]]="Yes",1,0)</f>
        <v>0</v>
      </c>
      <c r="R283" t="str" cm="1">
        <f t="array" ref="R283">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83" t="str" cm="1">
        <f t="array" ref="S28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83" t="str">
        <f>TEXT(tbl_analysis_tickets[[#This Row],[created_date]],"mmm-yyyy")</f>
        <v>Jan-2024</v>
      </c>
      <c r="U283" t="str">
        <f>TEXT(tbl_analysis_tickets[[#This Row],[created_date]],"dddd")</f>
        <v>Thursday</v>
      </c>
      <c r="V283" cm="1">
        <f t="array" ref="V283">_xlfn.SWITCH(tbl_analysis_tickets[[#This Row],[priority]],
"Urgent",1,
"High",2,
"Medium",3,
"Low",4
)</f>
        <v>2</v>
      </c>
    </row>
    <row r="284" spans="1:22" x14ac:dyDescent="0.25">
      <c r="A284">
        <v>283</v>
      </c>
      <c r="B284" s="1">
        <v>45486</v>
      </c>
      <c r="C284" t="s">
        <v>10</v>
      </c>
      <c r="D284" t="s">
        <v>15</v>
      </c>
      <c r="E284">
        <v>35</v>
      </c>
      <c r="F284">
        <v>6</v>
      </c>
      <c r="G284">
        <v>5.8</v>
      </c>
      <c r="H284" t="s">
        <v>12</v>
      </c>
      <c r="I284" t="s">
        <v>13</v>
      </c>
      <c r="J284" t="s">
        <v>15</v>
      </c>
      <c r="K284">
        <f>_xlfn.XLOOKUP(tbl_analysis_tickets[[#This Row],[priority]],tbl_sla[priority],tbl_sla[Resolution SLA Hours])</f>
        <v>48</v>
      </c>
      <c r="L284">
        <f>_xlfn.XLOOKUP(tbl_analysis_tickets[[#This Row],[priority]],tbl_sla[priority],tbl_sla[First Response SLA Minutes])</f>
        <v>120</v>
      </c>
      <c r="M284" t="str">
        <f>IF(tbl_analysis_tickets[[#This Row],[resolution_time_hours]]&gt;tbl_analysis_tickets[[#This Row],[Resolution SLA Hours]],"Breached","Within SLA")</f>
        <v>Within SLA</v>
      </c>
      <c r="N284" t="str">
        <f>IF(tbl_analysis_tickets[[#This Row],[first_response_minutes]]&gt;tbl_analysis_tickets[[#This Row],[First Response SLA Minutes]],"Breached","Within SLA")</f>
        <v>Within SLA</v>
      </c>
      <c r="O284" t="str" cm="1">
        <f t="array" ref="O284">_xlfn.IFS(
tbl_analysis_tickets[[#This Row],[agent_experience_years]]&lt;=2,"Junior",
tbl_analysis_tickets[[#This Row],[agent_experience_years]]&lt;=5,"Mid-Level",
tbl_analysis_tickets[[#This Row],[agent_experience_years]]&lt;=8,"Senior",
tbl_analysis_tickets[[#This Row],[agent_experience_years]]&gt;8,"Expert"
)</f>
        <v>Senior</v>
      </c>
      <c r="P284" cm="1">
        <f t="array" ref="P284">_xlfn.SWITCH(tbl_analysis_tickets[[#This Row],[customer_satisfaction]],
"Low",1,
"Medium",2,
"High",3
)</f>
        <v>2</v>
      </c>
      <c r="Q284">
        <f>IF(tbl_analysis_tickets[[#This Row],[reopened]]="Yes",1,0)</f>
        <v>1</v>
      </c>
      <c r="R284" t="str" cm="1">
        <f t="array" ref="R284">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84" t="str" cm="1">
        <f t="array" ref="S28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284" t="str">
        <f>TEXT(tbl_analysis_tickets[[#This Row],[created_date]],"mmm-yyyy")</f>
        <v>Jul-2024</v>
      </c>
      <c r="U284" t="str">
        <f>TEXT(tbl_analysis_tickets[[#This Row],[created_date]],"dddd")</f>
        <v>Saturday</v>
      </c>
      <c r="V284" cm="1">
        <f t="array" ref="V284">_xlfn.SWITCH(tbl_analysis_tickets[[#This Row],[priority]],
"Urgent",1,
"High",2,
"Medium",3,
"Low",4
)</f>
        <v>3</v>
      </c>
    </row>
    <row r="285" spans="1:22" x14ac:dyDescent="0.25">
      <c r="A285">
        <v>284</v>
      </c>
      <c r="B285" s="1">
        <v>45516</v>
      </c>
      <c r="C285" t="s">
        <v>23</v>
      </c>
      <c r="D285" t="s">
        <v>17</v>
      </c>
      <c r="E285">
        <v>9</v>
      </c>
      <c r="F285">
        <v>16</v>
      </c>
      <c r="G285">
        <v>8.6</v>
      </c>
      <c r="H285" t="s">
        <v>12</v>
      </c>
      <c r="I285" t="s">
        <v>16</v>
      </c>
      <c r="J285" t="s">
        <v>15</v>
      </c>
      <c r="K285">
        <f>_xlfn.XLOOKUP(tbl_analysis_tickets[[#This Row],[priority]],tbl_sla[priority],tbl_sla[Resolution SLA Hours])</f>
        <v>8</v>
      </c>
      <c r="L285">
        <f>_xlfn.XLOOKUP(tbl_analysis_tickets[[#This Row],[priority]],tbl_sla[priority],tbl_sla[First Response SLA Minutes])</f>
        <v>30</v>
      </c>
      <c r="M285" t="str">
        <f>IF(tbl_analysis_tickets[[#This Row],[resolution_time_hours]]&gt;tbl_analysis_tickets[[#This Row],[Resolution SLA Hours]],"Breached","Within SLA")</f>
        <v>Breached</v>
      </c>
      <c r="N285" t="str">
        <f>IF(tbl_analysis_tickets[[#This Row],[first_response_minutes]]&gt;tbl_analysis_tickets[[#This Row],[First Response SLA Minutes]],"Breached","Within SLA")</f>
        <v>Within SLA</v>
      </c>
      <c r="O285" t="str" cm="1">
        <f t="array" ref="O285">_xlfn.IFS(
tbl_analysis_tickets[[#This Row],[agent_experience_years]]&lt;=2,"Junior",
tbl_analysis_tickets[[#This Row],[agent_experience_years]]&lt;=5,"Mid-Level",
tbl_analysis_tickets[[#This Row],[agent_experience_years]]&lt;=8,"Senior",
tbl_analysis_tickets[[#This Row],[agent_experience_years]]&gt;8,"Expert"
)</f>
        <v>Expert</v>
      </c>
      <c r="P285" cm="1">
        <f t="array" ref="P285">_xlfn.SWITCH(tbl_analysis_tickets[[#This Row],[customer_satisfaction]],
"Low",1,
"Medium",2,
"High",3
)</f>
        <v>2</v>
      </c>
      <c r="Q285">
        <f>IF(tbl_analysis_tickets[[#This Row],[reopened]]="Yes",1,0)</f>
        <v>1</v>
      </c>
      <c r="R285" t="str" cm="1">
        <f t="array" ref="R285">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285" t="str" cm="1">
        <f t="array" ref="S28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85" t="str">
        <f>TEXT(tbl_analysis_tickets[[#This Row],[created_date]],"mmm-yyyy")</f>
        <v>Aug-2024</v>
      </c>
      <c r="U285" t="str">
        <f>TEXT(tbl_analysis_tickets[[#This Row],[created_date]],"dddd")</f>
        <v>Monday</v>
      </c>
      <c r="V285" cm="1">
        <f t="array" ref="V285">_xlfn.SWITCH(tbl_analysis_tickets[[#This Row],[priority]],
"Urgent",1,
"High",2,
"Medium",3,
"Low",4
)</f>
        <v>1</v>
      </c>
    </row>
    <row r="286" spans="1:22" x14ac:dyDescent="0.25">
      <c r="A286">
        <v>285</v>
      </c>
      <c r="B286" s="1">
        <v>45321</v>
      </c>
      <c r="C286" t="s">
        <v>10</v>
      </c>
      <c r="D286" t="s">
        <v>11</v>
      </c>
      <c r="E286">
        <v>184</v>
      </c>
      <c r="F286">
        <v>35</v>
      </c>
      <c r="G286">
        <v>9.4</v>
      </c>
      <c r="H286" t="s">
        <v>12</v>
      </c>
      <c r="I286" t="s">
        <v>13</v>
      </c>
      <c r="J286" t="s">
        <v>11</v>
      </c>
      <c r="K286">
        <f>_xlfn.XLOOKUP(tbl_analysis_tickets[[#This Row],[priority]],tbl_sla[priority],tbl_sla[Resolution SLA Hours])</f>
        <v>72</v>
      </c>
      <c r="L286">
        <f>_xlfn.XLOOKUP(tbl_analysis_tickets[[#This Row],[priority]],tbl_sla[priority],tbl_sla[First Response SLA Minutes])</f>
        <v>240</v>
      </c>
      <c r="M286" t="str">
        <f>IF(tbl_analysis_tickets[[#This Row],[resolution_time_hours]]&gt;tbl_analysis_tickets[[#This Row],[Resolution SLA Hours]],"Breached","Within SLA")</f>
        <v>Within SLA</v>
      </c>
      <c r="N286" t="str">
        <f>IF(tbl_analysis_tickets[[#This Row],[first_response_minutes]]&gt;tbl_analysis_tickets[[#This Row],[First Response SLA Minutes]],"Breached","Within SLA")</f>
        <v>Within SLA</v>
      </c>
      <c r="O286" t="str" cm="1">
        <f t="array" ref="O286">_xlfn.IFS(
tbl_analysis_tickets[[#This Row],[agent_experience_years]]&lt;=2,"Junior",
tbl_analysis_tickets[[#This Row],[agent_experience_years]]&lt;=5,"Mid-Level",
tbl_analysis_tickets[[#This Row],[agent_experience_years]]&lt;=8,"Senior",
tbl_analysis_tickets[[#This Row],[agent_experience_years]]&gt;8,"Expert"
)</f>
        <v>Expert</v>
      </c>
      <c r="P286" cm="1">
        <f t="array" ref="P286">_xlfn.SWITCH(tbl_analysis_tickets[[#This Row],[customer_satisfaction]],
"Low",1,
"Medium",2,
"High",3
)</f>
        <v>1</v>
      </c>
      <c r="Q286">
        <f>IF(tbl_analysis_tickets[[#This Row],[reopened]]="Yes",1,0)</f>
        <v>1</v>
      </c>
      <c r="R286" t="str" cm="1">
        <f t="array" ref="R286">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86" t="str" cm="1">
        <f t="array" ref="S28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86" t="str">
        <f>TEXT(tbl_analysis_tickets[[#This Row],[created_date]],"mmm-yyyy")</f>
        <v>Jan-2024</v>
      </c>
      <c r="U286" t="str">
        <f>TEXT(tbl_analysis_tickets[[#This Row],[created_date]],"dddd")</f>
        <v>Tuesday</v>
      </c>
      <c r="V286" cm="1">
        <f t="array" ref="V286">_xlfn.SWITCH(tbl_analysis_tickets[[#This Row],[priority]],
"Urgent",1,
"High",2,
"Medium",3,
"Low",4
)</f>
        <v>4</v>
      </c>
    </row>
    <row r="287" spans="1:22" x14ac:dyDescent="0.25">
      <c r="A287">
        <v>286</v>
      </c>
      <c r="B287" s="1">
        <v>45541</v>
      </c>
      <c r="C287" t="s">
        <v>22</v>
      </c>
      <c r="D287" t="s">
        <v>15</v>
      </c>
      <c r="E287">
        <v>56</v>
      </c>
      <c r="F287">
        <v>26</v>
      </c>
      <c r="G287">
        <v>0.6</v>
      </c>
      <c r="H287" t="s">
        <v>12</v>
      </c>
      <c r="I287" t="s">
        <v>19</v>
      </c>
      <c r="J287" t="s">
        <v>11</v>
      </c>
      <c r="K287">
        <f>_xlfn.XLOOKUP(tbl_analysis_tickets[[#This Row],[priority]],tbl_sla[priority],tbl_sla[Resolution SLA Hours])</f>
        <v>48</v>
      </c>
      <c r="L287">
        <f>_xlfn.XLOOKUP(tbl_analysis_tickets[[#This Row],[priority]],tbl_sla[priority],tbl_sla[First Response SLA Minutes])</f>
        <v>120</v>
      </c>
      <c r="M287" t="str">
        <f>IF(tbl_analysis_tickets[[#This Row],[resolution_time_hours]]&gt;tbl_analysis_tickets[[#This Row],[Resolution SLA Hours]],"Breached","Within SLA")</f>
        <v>Within SLA</v>
      </c>
      <c r="N287" t="str">
        <f>IF(tbl_analysis_tickets[[#This Row],[first_response_minutes]]&gt;tbl_analysis_tickets[[#This Row],[First Response SLA Minutes]],"Breached","Within SLA")</f>
        <v>Within SLA</v>
      </c>
      <c r="O287" t="str" cm="1">
        <f t="array" ref="O287">_xlfn.IFS(
tbl_analysis_tickets[[#This Row],[agent_experience_years]]&lt;=2,"Junior",
tbl_analysis_tickets[[#This Row],[agent_experience_years]]&lt;=5,"Mid-Level",
tbl_analysis_tickets[[#This Row],[agent_experience_years]]&lt;=8,"Senior",
tbl_analysis_tickets[[#This Row],[agent_experience_years]]&gt;8,"Expert"
)</f>
        <v>Junior</v>
      </c>
      <c r="P287" cm="1">
        <f t="array" ref="P287">_xlfn.SWITCH(tbl_analysis_tickets[[#This Row],[customer_satisfaction]],
"Low",1,
"Medium",2,
"High",3
)</f>
        <v>1</v>
      </c>
      <c r="Q287">
        <f>IF(tbl_analysis_tickets[[#This Row],[reopened]]="Yes",1,0)</f>
        <v>1</v>
      </c>
      <c r="R287" t="str" cm="1">
        <f t="array" ref="R287">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87" t="str" cm="1">
        <f t="array" ref="S28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87" t="str">
        <f>TEXT(tbl_analysis_tickets[[#This Row],[created_date]],"mmm-yyyy")</f>
        <v>Sep-2024</v>
      </c>
      <c r="U287" t="str">
        <f>TEXT(tbl_analysis_tickets[[#This Row],[created_date]],"dddd")</f>
        <v>Friday</v>
      </c>
      <c r="V287" cm="1">
        <f t="array" ref="V287">_xlfn.SWITCH(tbl_analysis_tickets[[#This Row],[priority]],
"Urgent",1,
"High",2,
"Medium",3,
"Low",4
)</f>
        <v>3</v>
      </c>
    </row>
    <row r="288" spans="1:22" x14ac:dyDescent="0.25">
      <c r="A288">
        <v>287</v>
      </c>
      <c r="B288" s="1">
        <v>45296</v>
      </c>
      <c r="C288" t="s">
        <v>23</v>
      </c>
      <c r="D288" t="s">
        <v>20</v>
      </c>
      <c r="E288">
        <v>75</v>
      </c>
      <c r="F288">
        <v>9</v>
      </c>
      <c r="G288">
        <v>2.7</v>
      </c>
      <c r="H288" t="s">
        <v>12</v>
      </c>
      <c r="I288" t="s">
        <v>19</v>
      </c>
      <c r="J288" t="s">
        <v>11</v>
      </c>
      <c r="K288">
        <f>_xlfn.XLOOKUP(tbl_analysis_tickets[[#This Row],[priority]],tbl_sla[priority],tbl_sla[Resolution SLA Hours])</f>
        <v>24</v>
      </c>
      <c r="L288">
        <f>_xlfn.XLOOKUP(tbl_analysis_tickets[[#This Row],[priority]],tbl_sla[priority],tbl_sla[First Response SLA Minutes])</f>
        <v>60</v>
      </c>
      <c r="M288" t="str">
        <f>IF(tbl_analysis_tickets[[#This Row],[resolution_time_hours]]&gt;tbl_analysis_tickets[[#This Row],[Resolution SLA Hours]],"Breached","Within SLA")</f>
        <v>Within SLA</v>
      </c>
      <c r="N288" t="str">
        <f>IF(tbl_analysis_tickets[[#This Row],[first_response_minutes]]&gt;tbl_analysis_tickets[[#This Row],[First Response SLA Minutes]],"Breached","Within SLA")</f>
        <v>Breached</v>
      </c>
      <c r="O288" t="str" cm="1">
        <f t="array" ref="O288">_xlfn.IFS(
tbl_analysis_tickets[[#This Row],[agent_experience_years]]&lt;=2,"Junior",
tbl_analysis_tickets[[#This Row],[agent_experience_years]]&lt;=5,"Mid-Level",
tbl_analysis_tickets[[#This Row],[agent_experience_years]]&lt;=8,"Senior",
tbl_analysis_tickets[[#This Row],[agent_experience_years]]&gt;8,"Expert"
)</f>
        <v>Mid-Level</v>
      </c>
      <c r="P288" cm="1">
        <f t="array" ref="P288">_xlfn.SWITCH(tbl_analysis_tickets[[#This Row],[customer_satisfaction]],
"Low",1,
"Medium",2,
"High",3
)</f>
        <v>1</v>
      </c>
      <c r="Q288">
        <f>IF(tbl_analysis_tickets[[#This Row],[reopened]]="Yes",1,0)</f>
        <v>1</v>
      </c>
      <c r="R288" t="str" cm="1">
        <f t="array" ref="R288">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88" t="str" cm="1">
        <f t="array" ref="S28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88" t="str">
        <f>TEXT(tbl_analysis_tickets[[#This Row],[created_date]],"mmm-yyyy")</f>
        <v>Jan-2024</v>
      </c>
      <c r="U288" t="str">
        <f>TEXT(tbl_analysis_tickets[[#This Row],[created_date]],"dddd")</f>
        <v>Friday</v>
      </c>
      <c r="V288" cm="1">
        <f t="array" ref="V288">_xlfn.SWITCH(tbl_analysis_tickets[[#This Row],[priority]],
"Urgent",1,
"High",2,
"Medium",3,
"Low",4
)</f>
        <v>2</v>
      </c>
    </row>
    <row r="289" spans="1:22" x14ac:dyDescent="0.25">
      <c r="A289">
        <v>288</v>
      </c>
      <c r="B289" s="1">
        <v>45333</v>
      </c>
      <c r="C289" t="s">
        <v>21</v>
      </c>
      <c r="D289" t="s">
        <v>17</v>
      </c>
      <c r="E289">
        <v>132</v>
      </c>
      <c r="F289">
        <v>49</v>
      </c>
      <c r="G289">
        <v>3.6</v>
      </c>
      <c r="H289" t="s">
        <v>12</v>
      </c>
      <c r="I289" t="s">
        <v>16</v>
      </c>
      <c r="J289" t="s">
        <v>11</v>
      </c>
      <c r="K289">
        <f>_xlfn.XLOOKUP(tbl_analysis_tickets[[#This Row],[priority]],tbl_sla[priority],tbl_sla[Resolution SLA Hours])</f>
        <v>8</v>
      </c>
      <c r="L289">
        <f>_xlfn.XLOOKUP(tbl_analysis_tickets[[#This Row],[priority]],tbl_sla[priority],tbl_sla[First Response SLA Minutes])</f>
        <v>30</v>
      </c>
      <c r="M289" t="str">
        <f>IF(tbl_analysis_tickets[[#This Row],[resolution_time_hours]]&gt;tbl_analysis_tickets[[#This Row],[Resolution SLA Hours]],"Breached","Within SLA")</f>
        <v>Breached</v>
      </c>
      <c r="N289" t="str">
        <f>IF(tbl_analysis_tickets[[#This Row],[first_response_minutes]]&gt;tbl_analysis_tickets[[#This Row],[First Response SLA Minutes]],"Breached","Within SLA")</f>
        <v>Breached</v>
      </c>
      <c r="O289" t="str" cm="1">
        <f t="array" ref="O289">_xlfn.IFS(
tbl_analysis_tickets[[#This Row],[agent_experience_years]]&lt;=2,"Junior",
tbl_analysis_tickets[[#This Row],[agent_experience_years]]&lt;=5,"Mid-Level",
tbl_analysis_tickets[[#This Row],[agent_experience_years]]&lt;=8,"Senior",
tbl_analysis_tickets[[#This Row],[agent_experience_years]]&gt;8,"Expert"
)</f>
        <v>Mid-Level</v>
      </c>
      <c r="P289" cm="1">
        <f t="array" ref="P289">_xlfn.SWITCH(tbl_analysis_tickets[[#This Row],[customer_satisfaction]],
"Low",1,
"Medium",2,
"High",3
)</f>
        <v>1</v>
      </c>
      <c r="Q289">
        <f>IF(tbl_analysis_tickets[[#This Row],[reopened]]="Yes",1,0)</f>
        <v>1</v>
      </c>
      <c r="R289" t="str" cm="1">
        <f t="array" ref="R289">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89" t="str" cm="1">
        <f t="array" ref="S28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89" t="str">
        <f>TEXT(tbl_analysis_tickets[[#This Row],[created_date]],"mmm-yyyy")</f>
        <v>Feb-2024</v>
      </c>
      <c r="U289" t="str">
        <f>TEXT(tbl_analysis_tickets[[#This Row],[created_date]],"dddd")</f>
        <v>Sunday</v>
      </c>
      <c r="V289" cm="1">
        <f t="array" ref="V289">_xlfn.SWITCH(tbl_analysis_tickets[[#This Row],[priority]],
"Urgent",1,
"High",2,
"Medium",3,
"Low",4
)</f>
        <v>1</v>
      </c>
    </row>
    <row r="290" spans="1:22" x14ac:dyDescent="0.25">
      <c r="A290">
        <v>289</v>
      </c>
      <c r="B290" s="1">
        <v>45584</v>
      </c>
      <c r="C290" t="s">
        <v>23</v>
      </c>
      <c r="D290" t="s">
        <v>17</v>
      </c>
      <c r="E290">
        <v>235</v>
      </c>
      <c r="F290">
        <v>67</v>
      </c>
      <c r="G290">
        <v>7.3</v>
      </c>
      <c r="H290" t="s">
        <v>18</v>
      </c>
      <c r="I290" t="s">
        <v>13</v>
      </c>
      <c r="J290" t="s">
        <v>11</v>
      </c>
      <c r="K290">
        <f>_xlfn.XLOOKUP(tbl_analysis_tickets[[#This Row],[priority]],tbl_sla[priority],tbl_sla[Resolution SLA Hours])</f>
        <v>8</v>
      </c>
      <c r="L290">
        <f>_xlfn.XLOOKUP(tbl_analysis_tickets[[#This Row],[priority]],tbl_sla[priority],tbl_sla[First Response SLA Minutes])</f>
        <v>30</v>
      </c>
      <c r="M290" t="str">
        <f>IF(tbl_analysis_tickets[[#This Row],[resolution_time_hours]]&gt;tbl_analysis_tickets[[#This Row],[Resolution SLA Hours]],"Breached","Within SLA")</f>
        <v>Breached</v>
      </c>
      <c r="N290" t="str">
        <f>IF(tbl_analysis_tickets[[#This Row],[first_response_minutes]]&gt;tbl_analysis_tickets[[#This Row],[First Response SLA Minutes]],"Breached","Within SLA")</f>
        <v>Breached</v>
      </c>
      <c r="O290" t="str" cm="1">
        <f t="array" ref="O290">_xlfn.IFS(
tbl_analysis_tickets[[#This Row],[agent_experience_years]]&lt;=2,"Junior",
tbl_analysis_tickets[[#This Row],[agent_experience_years]]&lt;=5,"Mid-Level",
tbl_analysis_tickets[[#This Row],[agent_experience_years]]&lt;=8,"Senior",
tbl_analysis_tickets[[#This Row],[agent_experience_years]]&gt;8,"Expert"
)</f>
        <v>Senior</v>
      </c>
      <c r="P290" cm="1">
        <f t="array" ref="P290">_xlfn.SWITCH(tbl_analysis_tickets[[#This Row],[customer_satisfaction]],
"Low",1,
"Medium",2,
"High",3
)</f>
        <v>1</v>
      </c>
      <c r="Q290">
        <f>IF(tbl_analysis_tickets[[#This Row],[reopened]]="Yes",1,0)</f>
        <v>0</v>
      </c>
      <c r="R290" t="str" cm="1">
        <f t="array" ref="R290">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90" t="str" cm="1">
        <f t="array" ref="S29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90" t="str">
        <f>TEXT(tbl_analysis_tickets[[#This Row],[created_date]],"mmm-yyyy")</f>
        <v>Oct-2024</v>
      </c>
      <c r="U290" t="str">
        <f>TEXT(tbl_analysis_tickets[[#This Row],[created_date]],"dddd")</f>
        <v>Saturday</v>
      </c>
      <c r="V290" cm="1">
        <f t="array" ref="V290">_xlfn.SWITCH(tbl_analysis_tickets[[#This Row],[priority]],
"Urgent",1,
"High",2,
"Medium",3,
"Low",4
)</f>
        <v>1</v>
      </c>
    </row>
    <row r="291" spans="1:22" x14ac:dyDescent="0.25">
      <c r="A291">
        <v>290</v>
      </c>
      <c r="B291" s="1">
        <v>45401</v>
      </c>
      <c r="C291" t="s">
        <v>22</v>
      </c>
      <c r="D291" t="s">
        <v>17</v>
      </c>
      <c r="E291">
        <v>116</v>
      </c>
      <c r="F291">
        <v>57</v>
      </c>
      <c r="G291">
        <v>2.2999999999999998</v>
      </c>
      <c r="H291" t="s">
        <v>12</v>
      </c>
      <c r="I291" t="s">
        <v>19</v>
      </c>
      <c r="J291" t="s">
        <v>11</v>
      </c>
      <c r="K291">
        <f>_xlfn.XLOOKUP(tbl_analysis_tickets[[#This Row],[priority]],tbl_sla[priority],tbl_sla[Resolution SLA Hours])</f>
        <v>8</v>
      </c>
      <c r="L291">
        <f>_xlfn.XLOOKUP(tbl_analysis_tickets[[#This Row],[priority]],tbl_sla[priority],tbl_sla[First Response SLA Minutes])</f>
        <v>30</v>
      </c>
      <c r="M291" t="str">
        <f>IF(tbl_analysis_tickets[[#This Row],[resolution_time_hours]]&gt;tbl_analysis_tickets[[#This Row],[Resolution SLA Hours]],"Breached","Within SLA")</f>
        <v>Breached</v>
      </c>
      <c r="N291" t="str">
        <f>IF(tbl_analysis_tickets[[#This Row],[first_response_minutes]]&gt;tbl_analysis_tickets[[#This Row],[First Response SLA Minutes]],"Breached","Within SLA")</f>
        <v>Breached</v>
      </c>
      <c r="O291" t="str" cm="1">
        <f t="array" ref="O291">_xlfn.IFS(
tbl_analysis_tickets[[#This Row],[agent_experience_years]]&lt;=2,"Junior",
tbl_analysis_tickets[[#This Row],[agent_experience_years]]&lt;=5,"Mid-Level",
tbl_analysis_tickets[[#This Row],[agent_experience_years]]&lt;=8,"Senior",
tbl_analysis_tickets[[#This Row],[agent_experience_years]]&gt;8,"Expert"
)</f>
        <v>Mid-Level</v>
      </c>
      <c r="P291" cm="1">
        <f t="array" ref="P291">_xlfn.SWITCH(tbl_analysis_tickets[[#This Row],[customer_satisfaction]],
"Low",1,
"Medium",2,
"High",3
)</f>
        <v>1</v>
      </c>
      <c r="Q291">
        <f>IF(tbl_analysis_tickets[[#This Row],[reopened]]="Yes",1,0)</f>
        <v>1</v>
      </c>
      <c r="R291" t="str" cm="1">
        <f t="array" ref="R291">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91" t="str" cm="1">
        <f t="array" ref="S29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91" t="str">
        <f>TEXT(tbl_analysis_tickets[[#This Row],[created_date]],"mmm-yyyy")</f>
        <v>Apr-2024</v>
      </c>
      <c r="U291" t="str">
        <f>TEXT(tbl_analysis_tickets[[#This Row],[created_date]],"dddd")</f>
        <v>Friday</v>
      </c>
      <c r="V291" cm="1">
        <f t="array" ref="V291">_xlfn.SWITCH(tbl_analysis_tickets[[#This Row],[priority]],
"Urgent",1,
"High",2,
"Medium",3,
"Low",4
)</f>
        <v>1</v>
      </c>
    </row>
    <row r="292" spans="1:22" x14ac:dyDescent="0.25">
      <c r="A292">
        <v>291</v>
      </c>
      <c r="B292" s="1">
        <v>45465</v>
      </c>
      <c r="C292" t="s">
        <v>22</v>
      </c>
      <c r="D292" t="s">
        <v>15</v>
      </c>
      <c r="E292">
        <v>215</v>
      </c>
      <c r="F292">
        <v>14</v>
      </c>
      <c r="G292">
        <v>8.1999999999999993</v>
      </c>
      <c r="H292" t="s">
        <v>18</v>
      </c>
      <c r="I292" t="s">
        <v>19</v>
      </c>
      <c r="J292" t="s">
        <v>15</v>
      </c>
      <c r="K292">
        <f>_xlfn.XLOOKUP(tbl_analysis_tickets[[#This Row],[priority]],tbl_sla[priority],tbl_sla[Resolution SLA Hours])</f>
        <v>48</v>
      </c>
      <c r="L292">
        <f>_xlfn.XLOOKUP(tbl_analysis_tickets[[#This Row],[priority]],tbl_sla[priority],tbl_sla[First Response SLA Minutes])</f>
        <v>120</v>
      </c>
      <c r="M292" t="str">
        <f>IF(tbl_analysis_tickets[[#This Row],[resolution_time_hours]]&gt;tbl_analysis_tickets[[#This Row],[Resolution SLA Hours]],"Breached","Within SLA")</f>
        <v>Within SLA</v>
      </c>
      <c r="N292" t="str">
        <f>IF(tbl_analysis_tickets[[#This Row],[first_response_minutes]]&gt;tbl_analysis_tickets[[#This Row],[First Response SLA Minutes]],"Breached","Within SLA")</f>
        <v>Breached</v>
      </c>
      <c r="O292" t="str" cm="1">
        <f t="array" ref="O292">_xlfn.IFS(
tbl_analysis_tickets[[#This Row],[agent_experience_years]]&lt;=2,"Junior",
tbl_analysis_tickets[[#This Row],[agent_experience_years]]&lt;=5,"Mid-Level",
tbl_analysis_tickets[[#This Row],[agent_experience_years]]&lt;=8,"Senior",
tbl_analysis_tickets[[#This Row],[agent_experience_years]]&gt;8,"Expert"
)</f>
        <v>Expert</v>
      </c>
      <c r="P292" cm="1">
        <f t="array" ref="P292">_xlfn.SWITCH(tbl_analysis_tickets[[#This Row],[customer_satisfaction]],
"Low",1,
"Medium",2,
"High",3
)</f>
        <v>2</v>
      </c>
      <c r="Q292">
        <f>IF(tbl_analysis_tickets[[#This Row],[reopened]]="Yes",1,0)</f>
        <v>0</v>
      </c>
      <c r="R292" t="str" cm="1">
        <f t="array" ref="R292">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92" t="str" cm="1">
        <f t="array" ref="S29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92" t="str">
        <f>TEXT(tbl_analysis_tickets[[#This Row],[created_date]],"mmm-yyyy")</f>
        <v>Jun-2024</v>
      </c>
      <c r="U292" t="str">
        <f>TEXT(tbl_analysis_tickets[[#This Row],[created_date]],"dddd")</f>
        <v>Saturday</v>
      </c>
      <c r="V292" cm="1">
        <f t="array" ref="V292">_xlfn.SWITCH(tbl_analysis_tickets[[#This Row],[priority]],
"Urgent",1,
"High",2,
"Medium",3,
"Low",4
)</f>
        <v>3</v>
      </c>
    </row>
    <row r="293" spans="1:22" x14ac:dyDescent="0.25">
      <c r="A293">
        <v>292</v>
      </c>
      <c r="B293" s="1">
        <v>45643</v>
      </c>
      <c r="C293" t="s">
        <v>14</v>
      </c>
      <c r="D293" t="s">
        <v>20</v>
      </c>
      <c r="E293">
        <v>23</v>
      </c>
      <c r="F293">
        <v>1</v>
      </c>
      <c r="G293">
        <v>4.4000000000000004</v>
      </c>
      <c r="H293" t="s">
        <v>18</v>
      </c>
      <c r="I293" t="s">
        <v>19</v>
      </c>
      <c r="J293" t="s">
        <v>20</v>
      </c>
      <c r="K293">
        <f>_xlfn.XLOOKUP(tbl_analysis_tickets[[#This Row],[priority]],tbl_sla[priority],tbl_sla[Resolution SLA Hours])</f>
        <v>24</v>
      </c>
      <c r="L293">
        <f>_xlfn.XLOOKUP(tbl_analysis_tickets[[#This Row],[priority]],tbl_sla[priority],tbl_sla[First Response SLA Minutes])</f>
        <v>60</v>
      </c>
      <c r="M293" t="str">
        <f>IF(tbl_analysis_tickets[[#This Row],[resolution_time_hours]]&gt;tbl_analysis_tickets[[#This Row],[Resolution SLA Hours]],"Breached","Within SLA")</f>
        <v>Within SLA</v>
      </c>
      <c r="N293" t="str">
        <f>IF(tbl_analysis_tickets[[#This Row],[first_response_minutes]]&gt;tbl_analysis_tickets[[#This Row],[First Response SLA Minutes]],"Breached","Within SLA")</f>
        <v>Within SLA</v>
      </c>
      <c r="O293" t="str" cm="1">
        <f t="array" ref="O293">_xlfn.IFS(
tbl_analysis_tickets[[#This Row],[agent_experience_years]]&lt;=2,"Junior",
tbl_analysis_tickets[[#This Row],[agent_experience_years]]&lt;=5,"Mid-Level",
tbl_analysis_tickets[[#This Row],[agent_experience_years]]&lt;=8,"Senior",
tbl_analysis_tickets[[#This Row],[agent_experience_years]]&gt;8,"Expert"
)</f>
        <v>Mid-Level</v>
      </c>
      <c r="P293" cm="1">
        <f t="array" ref="P293">_xlfn.SWITCH(tbl_analysis_tickets[[#This Row],[customer_satisfaction]],
"Low",1,
"Medium",2,
"High",3
)</f>
        <v>3</v>
      </c>
      <c r="Q293">
        <f>IF(tbl_analysis_tickets[[#This Row],[reopened]]="Yes",1,0)</f>
        <v>0</v>
      </c>
      <c r="R293" t="str" cm="1">
        <f t="array" ref="R293">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293" t="str" cm="1">
        <f t="array" ref="S29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293" t="str">
        <f>TEXT(tbl_analysis_tickets[[#This Row],[created_date]],"mmm-yyyy")</f>
        <v>Dec-2024</v>
      </c>
      <c r="U293" t="str">
        <f>TEXT(tbl_analysis_tickets[[#This Row],[created_date]],"dddd")</f>
        <v>Tuesday</v>
      </c>
      <c r="V293" cm="1">
        <f t="array" ref="V293">_xlfn.SWITCH(tbl_analysis_tickets[[#This Row],[priority]],
"Urgent",1,
"High",2,
"Medium",3,
"Low",4
)</f>
        <v>2</v>
      </c>
    </row>
    <row r="294" spans="1:22" x14ac:dyDescent="0.25">
      <c r="A294">
        <v>293</v>
      </c>
      <c r="B294" s="1">
        <v>45447</v>
      </c>
      <c r="C294" t="s">
        <v>22</v>
      </c>
      <c r="D294" t="s">
        <v>15</v>
      </c>
      <c r="E294">
        <v>147</v>
      </c>
      <c r="F294">
        <v>7</v>
      </c>
      <c r="G294">
        <v>8.5</v>
      </c>
      <c r="H294" t="s">
        <v>12</v>
      </c>
      <c r="I294" t="s">
        <v>13</v>
      </c>
      <c r="J294" t="s">
        <v>11</v>
      </c>
      <c r="K294">
        <f>_xlfn.XLOOKUP(tbl_analysis_tickets[[#This Row],[priority]],tbl_sla[priority],tbl_sla[Resolution SLA Hours])</f>
        <v>48</v>
      </c>
      <c r="L294">
        <f>_xlfn.XLOOKUP(tbl_analysis_tickets[[#This Row],[priority]],tbl_sla[priority],tbl_sla[First Response SLA Minutes])</f>
        <v>120</v>
      </c>
      <c r="M294" t="str">
        <f>IF(tbl_analysis_tickets[[#This Row],[resolution_time_hours]]&gt;tbl_analysis_tickets[[#This Row],[Resolution SLA Hours]],"Breached","Within SLA")</f>
        <v>Within SLA</v>
      </c>
      <c r="N294" t="str">
        <f>IF(tbl_analysis_tickets[[#This Row],[first_response_minutes]]&gt;tbl_analysis_tickets[[#This Row],[First Response SLA Minutes]],"Breached","Within SLA")</f>
        <v>Breached</v>
      </c>
      <c r="O294" t="str" cm="1">
        <f t="array" ref="O294">_xlfn.IFS(
tbl_analysis_tickets[[#This Row],[agent_experience_years]]&lt;=2,"Junior",
tbl_analysis_tickets[[#This Row],[agent_experience_years]]&lt;=5,"Mid-Level",
tbl_analysis_tickets[[#This Row],[agent_experience_years]]&lt;=8,"Senior",
tbl_analysis_tickets[[#This Row],[agent_experience_years]]&gt;8,"Expert"
)</f>
        <v>Expert</v>
      </c>
      <c r="P294" cm="1">
        <f t="array" ref="P294">_xlfn.SWITCH(tbl_analysis_tickets[[#This Row],[customer_satisfaction]],
"Low",1,
"Medium",2,
"High",3
)</f>
        <v>1</v>
      </c>
      <c r="Q294">
        <f>IF(tbl_analysis_tickets[[#This Row],[reopened]]="Yes",1,0)</f>
        <v>1</v>
      </c>
      <c r="R294" t="str" cm="1">
        <f t="array" ref="R294">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94" t="str" cm="1">
        <f t="array" ref="S29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294" t="str">
        <f>TEXT(tbl_analysis_tickets[[#This Row],[created_date]],"mmm-yyyy")</f>
        <v>Jun-2024</v>
      </c>
      <c r="U294" t="str">
        <f>TEXT(tbl_analysis_tickets[[#This Row],[created_date]],"dddd")</f>
        <v>Tuesday</v>
      </c>
      <c r="V294" cm="1">
        <f t="array" ref="V294">_xlfn.SWITCH(tbl_analysis_tickets[[#This Row],[priority]],
"Urgent",1,
"High",2,
"Medium",3,
"Low",4
)</f>
        <v>3</v>
      </c>
    </row>
    <row r="295" spans="1:22" x14ac:dyDescent="0.25">
      <c r="A295">
        <v>294</v>
      </c>
      <c r="B295" s="1">
        <v>45322</v>
      </c>
      <c r="C295" t="s">
        <v>22</v>
      </c>
      <c r="D295" t="s">
        <v>17</v>
      </c>
      <c r="E295">
        <v>230</v>
      </c>
      <c r="F295">
        <v>16</v>
      </c>
      <c r="G295">
        <v>4.5999999999999996</v>
      </c>
      <c r="H295" t="s">
        <v>18</v>
      </c>
      <c r="I295" t="s">
        <v>16</v>
      </c>
      <c r="J295" t="s">
        <v>11</v>
      </c>
      <c r="K295">
        <f>_xlfn.XLOOKUP(tbl_analysis_tickets[[#This Row],[priority]],tbl_sla[priority],tbl_sla[Resolution SLA Hours])</f>
        <v>8</v>
      </c>
      <c r="L295">
        <f>_xlfn.XLOOKUP(tbl_analysis_tickets[[#This Row],[priority]],tbl_sla[priority],tbl_sla[First Response SLA Minutes])</f>
        <v>30</v>
      </c>
      <c r="M295" t="str">
        <f>IF(tbl_analysis_tickets[[#This Row],[resolution_time_hours]]&gt;tbl_analysis_tickets[[#This Row],[Resolution SLA Hours]],"Breached","Within SLA")</f>
        <v>Breached</v>
      </c>
      <c r="N295" t="str">
        <f>IF(tbl_analysis_tickets[[#This Row],[first_response_minutes]]&gt;tbl_analysis_tickets[[#This Row],[First Response SLA Minutes]],"Breached","Within SLA")</f>
        <v>Breached</v>
      </c>
      <c r="O295" t="str" cm="1">
        <f t="array" ref="O295">_xlfn.IFS(
tbl_analysis_tickets[[#This Row],[agent_experience_years]]&lt;=2,"Junior",
tbl_analysis_tickets[[#This Row],[agent_experience_years]]&lt;=5,"Mid-Level",
tbl_analysis_tickets[[#This Row],[agent_experience_years]]&lt;=8,"Senior",
tbl_analysis_tickets[[#This Row],[agent_experience_years]]&gt;8,"Expert"
)</f>
        <v>Mid-Level</v>
      </c>
      <c r="P295" cm="1">
        <f t="array" ref="P295">_xlfn.SWITCH(tbl_analysis_tickets[[#This Row],[customer_satisfaction]],
"Low",1,
"Medium",2,
"High",3
)</f>
        <v>1</v>
      </c>
      <c r="Q295">
        <f>IF(tbl_analysis_tickets[[#This Row],[reopened]]="Yes",1,0)</f>
        <v>0</v>
      </c>
      <c r="R295" t="str" cm="1">
        <f t="array" ref="R295">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95" t="str" cm="1">
        <f t="array" ref="S29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95" t="str">
        <f>TEXT(tbl_analysis_tickets[[#This Row],[created_date]],"mmm-yyyy")</f>
        <v>Jan-2024</v>
      </c>
      <c r="U295" t="str">
        <f>TEXT(tbl_analysis_tickets[[#This Row],[created_date]],"dddd")</f>
        <v>Wednesday</v>
      </c>
      <c r="V295" cm="1">
        <f t="array" ref="V295">_xlfn.SWITCH(tbl_analysis_tickets[[#This Row],[priority]],
"Urgent",1,
"High",2,
"Medium",3,
"Low",4
)</f>
        <v>1</v>
      </c>
    </row>
    <row r="296" spans="1:22" x14ac:dyDescent="0.25">
      <c r="A296">
        <v>295</v>
      </c>
      <c r="B296" s="1">
        <v>45451</v>
      </c>
      <c r="C296" t="s">
        <v>21</v>
      </c>
      <c r="D296" t="s">
        <v>20</v>
      </c>
      <c r="E296">
        <v>106</v>
      </c>
      <c r="F296">
        <v>22</v>
      </c>
      <c r="G296">
        <v>0.6</v>
      </c>
      <c r="H296" t="s">
        <v>12</v>
      </c>
      <c r="I296" t="s">
        <v>13</v>
      </c>
      <c r="J296" t="s">
        <v>11</v>
      </c>
      <c r="K296">
        <f>_xlfn.XLOOKUP(tbl_analysis_tickets[[#This Row],[priority]],tbl_sla[priority],tbl_sla[Resolution SLA Hours])</f>
        <v>24</v>
      </c>
      <c r="L296">
        <f>_xlfn.XLOOKUP(tbl_analysis_tickets[[#This Row],[priority]],tbl_sla[priority],tbl_sla[First Response SLA Minutes])</f>
        <v>60</v>
      </c>
      <c r="M296" t="str">
        <f>IF(tbl_analysis_tickets[[#This Row],[resolution_time_hours]]&gt;tbl_analysis_tickets[[#This Row],[Resolution SLA Hours]],"Breached","Within SLA")</f>
        <v>Within SLA</v>
      </c>
      <c r="N296" t="str">
        <f>IF(tbl_analysis_tickets[[#This Row],[first_response_minutes]]&gt;tbl_analysis_tickets[[#This Row],[First Response SLA Minutes]],"Breached","Within SLA")</f>
        <v>Breached</v>
      </c>
      <c r="O296" t="str" cm="1">
        <f t="array" ref="O296">_xlfn.IFS(
tbl_analysis_tickets[[#This Row],[agent_experience_years]]&lt;=2,"Junior",
tbl_analysis_tickets[[#This Row],[agent_experience_years]]&lt;=5,"Mid-Level",
tbl_analysis_tickets[[#This Row],[agent_experience_years]]&lt;=8,"Senior",
tbl_analysis_tickets[[#This Row],[agent_experience_years]]&gt;8,"Expert"
)</f>
        <v>Junior</v>
      </c>
      <c r="P296" cm="1">
        <f t="array" ref="P296">_xlfn.SWITCH(tbl_analysis_tickets[[#This Row],[customer_satisfaction]],
"Low",1,
"Medium",2,
"High",3
)</f>
        <v>1</v>
      </c>
      <c r="Q296">
        <f>IF(tbl_analysis_tickets[[#This Row],[reopened]]="Yes",1,0)</f>
        <v>1</v>
      </c>
      <c r="R296" t="str" cm="1">
        <f t="array" ref="R296">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96" t="str" cm="1">
        <f t="array" ref="S29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96" t="str">
        <f>TEXT(tbl_analysis_tickets[[#This Row],[created_date]],"mmm-yyyy")</f>
        <v>Jun-2024</v>
      </c>
      <c r="U296" t="str">
        <f>TEXT(tbl_analysis_tickets[[#This Row],[created_date]],"dddd")</f>
        <v>Saturday</v>
      </c>
      <c r="V296" cm="1">
        <f t="array" ref="V296">_xlfn.SWITCH(tbl_analysis_tickets[[#This Row],[priority]],
"Urgent",1,
"High",2,
"Medium",3,
"Low",4
)</f>
        <v>2</v>
      </c>
    </row>
    <row r="297" spans="1:22" x14ac:dyDescent="0.25">
      <c r="A297">
        <v>296</v>
      </c>
      <c r="B297" s="1">
        <v>45452</v>
      </c>
      <c r="C297" t="s">
        <v>14</v>
      </c>
      <c r="D297" t="s">
        <v>11</v>
      </c>
      <c r="E297">
        <v>188</v>
      </c>
      <c r="F297">
        <v>46</v>
      </c>
      <c r="G297">
        <v>1.2</v>
      </c>
      <c r="H297" t="s">
        <v>18</v>
      </c>
      <c r="I297" t="s">
        <v>19</v>
      </c>
      <c r="J297" t="s">
        <v>11</v>
      </c>
      <c r="K297">
        <f>_xlfn.XLOOKUP(tbl_analysis_tickets[[#This Row],[priority]],tbl_sla[priority],tbl_sla[Resolution SLA Hours])</f>
        <v>72</v>
      </c>
      <c r="L297">
        <f>_xlfn.XLOOKUP(tbl_analysis_tickets[[#This Row],[priority]],tbl_sla[priority],tbl_sla[First Response SLA Minutes])</f>
        <v>240</v>
      </c>
      <c r="M297" t="str">
        <f>IF(tbl_analysis_tickets[[#This Row],[resolution_time_hours]]&gt;tbl_analysis_tickets[[#This Row],[Resolution SLA Hours]],"Breached","Within SLA")</f>
        <v>Within SLA</v>
      </c>
      <c r="N297" t="str">
        <f>IF(tbl_analysis_tickets[[#This Row],[first_response_minutes]]&gt;tbl_analysis_tickets[[#This Row],[First Response SLA Minutes]],"Breached","Within SLA")</f>
        <v>Within SLA</v>
      </c>
      <c r="O297" t="str" cm="1">
        <f t="array" ref="O297">_xlfn.IFS(
tbl_analysis_tickets[[#This Row],[agent_experience_years]]&lt;=2,"Junior",
tbl_analysis_tickets[[#This Row],[agent_experience_years]]&lt;=5,"Mid-Level",
tbl_analysis_tickets[[#This Row],[agent_experience_years]]&lt;=8,"Senior",
tbl_analysis_tickets[[#This Row],[agent_experience_years]]&gt;8,"Expert"
)</f>
        <v>Junior</v>
      </c>
      <c r="P297" cm="1">
        <f t="array" ref="P297">_xlfn.SWITCH(tbl_analysis_tickets[[#This Row],[customer_satisfaction]],
"Low",1,
"Medium",2,
"High",3
)</f>
        <v>1</v>
      </c>
      <c r="Q297">
        <f>IF(tbl_analysis_tickets[[#This Row],[reopened]]="Yes",1,0)</f>
        <v>0</v>
      </c>
      <c r="R297" t="str" cm="1">
        <f t="array" ref="R297">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97" t="str" cm="1">
        <f t="array" ref="S29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97" t="str">
        <f>TEXT(tbl_analysis_tickets[[#This Row],[created_date]],"mmm-yyyy")</f>
        <v>Jun-2024</v>
      </c>
      <c r="U297" t="str">
        <f>TEXT(tbl_analysis_tickets[[#This Row],[created_date]],"dddd")</f>
        <v>Sunday</v>
      </c>
      <c r="V297" cm="1">
        <f t="array" ref="V297">_xlfn.SWITCH(tbl_analysis_tickets[[#This Row],[priority]],
"Urgent",1,
"High",2,
"Medium",3,
"Low",4
)</f>
        <v>4</v>
      </c>
    </row>
    <row r="298" spans="1:22" x14ac:dyDescent="0.25">
      <c r="A298">
        <v>297</v>
      </c>
      <c r="B298" s="1">
        <v>45525</v>
      </c>
      <c r="C298" t="s">
        <v>10</v>
      </c>
      <c r="D298" t="s">
        <v>15</v>
      </c>
      <c r="E298">
        <v>229</v>
      </c>
      <c r="F298">
        <v>13</v>
      </c>
      <c r="G298">
        <v>9.6</v>
      </c>
      <c r="H298" t="s">
        <v>18</v>
      </c>
      <c r="I298" t="s">
        <v>19</v>
      </c>
      <c r="J298" t="s">
        <v>15</v>
      </c>
      <c r="K298">
        <f>_xlfn.XLOOKUP(tbl_analysis_tickets[[#This Row],[priority]],tbl_sla[priority],tbl_sla[Resolution SLA Hours])</f>
        <v>48</v>
      </c>
      <c r="L298">
        <f>_xlfn.XLOOKUP(tbl_analysis_tickets[[#This Row],[priority]],tbl_sla[priority],tbl_sla[First Response SLA Minutes])</f>
        <v>120</v>
      </c>
      <c r="M298" t="str">
        <f>IF(tbl_analysis_tickets[[#This Row],[resolution_time_hours]]&gt;tbl_analysis_tickets[[#This Row],[Resolution SLA Hours]],"Breached","Within SLA")</f>
        <v>Within SLA</v>
      </c>
      <c r="N298" t="str">
        <f>IF(tbl_analysis_tickets[[#This Row],[first_response_minutes]]&gt;tbl_analysis_tickets[[#This Row],[First Response SLA Minutes]],"Breached","Within SLA")</f>
        <v>Breached</v>
      </c>
      <c r="O298" t="str" cm="1">
        <f t="array" ref="O298">_xlfn.IFS(
tbl_analysis_tickets[[#This Row],[agent_experience_years]]&lt;=2,"Junior",
tbl_analysis_tickets[[#This Row],[agent_experience_years]]&lt;=5,"Mid-Level",
tbl_analysis_tickets[[#This Row],[agent_experience_years]]&lt;=8,"Senior",
tbl_analysis_tickets[[#This Row],[agent_experience_years]]&gt;8,"Expert"
)</f>
        <v>Expert</v>
      </c>
      <c r="P298" cm="1">
        <f t="array" ref="P298">_xlfn.SWITCH(tbl_analysis_tickets[[#This Row],[customer_satisfaction]],
"Low",1,
"Medium",2,
"High",3
)</f>
        <v>2</v>
      </c>
      <c r="Q298">
        <f>IF(tbl_analysis_tickets[[#This Row],[reopened]]="Yes",1,0)</f>
        <v>0</v>
      </c>
      <c r="R298" t="str" cm="1">
        <f t="array" ref="R298">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98" t="str" cm="1">
        <f t="array" ref="S29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98" t="str">
        <f>TEXT(tbl_analysis_tickets[[#This Row],[created_date]],"mmm-yyyy")</f>
        <v>Aug-2024</v>
      </c>
      <c r="U298" t="str">
        <f>TEXT(tbl_analysis_tickets[[#This Row],[created_date]],"dddd")</f>
        <v>Wednesday</v>
      </c>
      <c r="V298" cm="1">
        <f t="array" ref="V298">_xlfn.SWITCH(tbl_analysis_tickets[[#This Row],[priority]],
"Urgent",1,
"High",2,
"Medium",3,
"Low",4
)</f>
        <v>3</v>
      </c>
    </row>
    <row r="299" spans="1:22" x14ac:dyDescent="0.25">
      <c r="A299">
        <v>298</v>
      </c>
      <c r="B299" s="1">
        <v>45649</v>
      </c>
      <c r="C299" t="s">
        <v>14</v>
      </c>
      <c r="D299" t="s">
        <v>15</v>
      </c>
      <c r="E299">
        <v>106</v>
      </c>
      <c r="F299">
        <v>36</v>
      </c>
      <c r="G299">
        <v>8.8000000000000007</v>
      </c>
      <c r="H299" t="s">
        <v>18</v>
      </c>
      <c r="I299" t="s">
        <v>13</v>
      </c>
      <c r="J299" t="s">
        <v>15</v>
      </c>
      <c r="K299">
        <f>_xlfn.XLOOKUP(tbl_analysis_tickets[[#This Row],[priority]],tbl_sla[priority],tbl_sla[Resolution SLA Hours])</f>
        <v>48</v>
      </c>
      <c r="L299">
        <f>_xlfn.XLOOKUP(tbl_analysis_tickets[[#This Row],[priority]],tbl_sla[priority],tbl_sla[First Response SLA Minutes])</f>
        <v>120</v>
      </c>
      <c r="M299" t="str">
        <f>IF(tbl_analysis_tickets[[#This Row],[resolution_time_hours]]&gt;tbl_analysis_tickets[[#This Row],[Resolution SLA Hours]],"Breached","Within SLA")</f>
        <v>Within SLA</v>
      </c>
      <c r="N299" t="str">
        <f>IF(tbl_analysis_tickets[[#This Row],[first_response_minutes]]&gt;tbl_analysis_tickets[[#This Row],[First Response SLA Minutes]],"Breached","Within SLA")</f>
        <v>Within SLA</v>
      </c>
      <c r="O299" t="str" cm="1">
        <f t="array" ref="O299">_xlfn.IFS(
tbl_analysis_tickets[[#This Row],[agent_experience_years]]&lt;=2,"Junior",
tbl_analysis_tickets[[#This Row],[agent_experience_years]]&lt;=5,"Mid-Level",
tbl_analysis_tickets[[#This Row],[agent_experience_years]]&lt;=8,"Senior",
tbl_analysis_tickets[[#This Row],[agent_experience_years]]&gt;8,"Expert"
)</f>
        <v>Expert</v>
      </c>
      <c r="P299" cm="1">
        <f t="array" ref="P299">_xlfn.SWITCH(tbl_analysis_tickets[[#This Row],[customer_satisfaction]],
"Low",1,
"Medium",2,
"High",3
)</f>
        <v>2</v>
      </c>
      <c r="Q299">
        <f>IF(tbl_analysis_tickets[[#This Row],[reopened]]="Yes",1,0)</f>
        <v>0</v>
      </c>
      <c r="R299" t="str" cm="1">
        <f t="array" ref="R299">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99" t="str" cm="1">
        <f t="array" ref="S29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99" t="str">
        <f>TEXT(tbl_analysis_tickets[[#This Row],[created_date]],"mmm-yyyy")</f>
        <v>Dec-2024</v>
      </c>
      <c r="U299" t="str">
        <f>TEXT(tbl_analysis_tickets[[#This Row],[created_date]],"dddd")</f>
        <v>Monday</v>
      </c>
      <c r="V299" cm="1">
        <f t="array" ref="V299">_xlfn.SWITCH(tbl_analysis_tickets[[#This Row],[priority]],
"Urgent",1,
"High",2,
"Medium",3,
"Low",4
)</f>
        <v>3</v>
      </c>
    </row>
    <row r="300" spans="1:22" x14ac:dyDescent="0.25">
      <c r="A300">
        <v>299</v>
      </c>
      <c r="B300" s="1">
        <v>45350</v>
      </c>
      <c r="C300" t="s">
        <v>21</v>
      </c>
      <c r="D300" t="s">
        <v>15</v>
      </c>
      <c r="E300">
        <v>169</v>
      </c>
      <c r="F300">
        <v>37</v>
      </c>
      <c r="G300">
        <v>3.5</v>
      </c>
      <c r="H300" t="s">
        <v>12</v>
      </c>
      <c r="I300" t="s">
        <v>19</v>
      </c>
      <c r="J300" t="s">
        <v>11</v>
      </c>
      <c r="K300">
        <f>_xlfn.XLOOKUP(tbl_analysis_tickets[[#This Row],[priority]],tbl_sla[priority],tbl_sla[Resolution SLA Hours])</f>
        <v>48</v>
      </c>
      <c r="L300">
        <f>_xlfn.XLOOKUP(tbl_analysis_tickets[[#This Row],[priority]],tbl_sla[priority],tbl_sla[First Response SLA Minutes])</f>
        <v>120</v>
      </c>
      <c r="M300" t="str">
        <f>IF(tbl_analysis_tickets[[#This Row],[resolution_time_hours]]&gt;tbl_analysis_tickets[[#This Row],[Resolution SLA Hours]],"Breached","Within SLA")</f>
        <v>Within SLA</v>
      </c>
      <c r="N300" t="str">
        <f>IF(tbl_analysis_tickets[[#This Row],[first_response_minutes]]&gt;tbl_analysis_tickets[[#This Row],[First Response SLA Minutes]],"Breached","Within SLA")</f>
        <v>Breached</v>
      </c>
      <c r="O300" t="str" cm="1">
        <f t="array" ref="O300">_xlfn.IFS(
tbl_analysis_tickets[[#This Row],[agent_experience_years]]&lt;=2,"Junior",
tbl_analysis_tickets[[#This Row],[agent_experience_years]]&lt;=5,"Mid-Level",
tbl_analysis_tickets[[#This Row],[agent_experience_years]]&lt;=8,"Senior",
tbl_analysis_tickets[[#This Row],[agent_experience_years]]&gt;8,"Expert"
)</f>
        <v>Mid-Level</v>
      </c>
      <c r="P300" cm="1">
        <f t="array" ref="P300">_xlfn.SWITCH(tbl_analysis_tickets[[#This Row],[customer_satisfaction]],
"Low",1,
"Medium",2,
"High",3
)</f>
        <v>1</v>
      </c>
      <c r="Q300">
        <f>IF(tbl_analysis_tickets[[#This Row],[reopened]]="Yes",1,0)</f>
        <v>1</v>
      </c>
      <c r="R300" t="str" cm="1">
        <f t="array" ref="R300">_xlfn.IFS(
tbl_analysis_tickets[[#This Row],[first_response_minutes]]&lt;=30,"Very Fast",
tbl_analysis_tickets[[#This Row],[first_response_minutes]]&lt;=120,"Acceptable",
tbl_analysis_tickets[[#This Row],[first_response_minutes]]&lt;=240,"Slow",
tbl_analysis_tickets[[#This Row],[first_response_minutes]]&gt;240,"Very Slow"
)</f>
        <v>Slow</v>
      </c>
      <c r="S300" t="str" cm="1">
        <f t="array" ref="S30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300" t="str">
        <f>TEXT(tbl_analysis_tickets[[#This Row],[created_date]],"mmm-yyyy")</f>
        <v>Feb-2024</v>
      </c>
      <c r="U300" t="str">
        <f>TEXT(tbl_analysis_tickets[[#This Row],[created_date]],"dddd")</f>
        <v>Wednesday</v>
      </c>
      <c r="V300" cm="1">
        <f t="array" ref="V300">_xlfn.SWITCH(tbl_analysis_tickets[[#This Row],[priority]],
"Urgent",1,
"High",2,
"Medium",3,
"Low",4
)</f>
        <v>3</v>
      </c>
    </row>
    <row r="301" spans="1:22" x14ac:dyDescent="0.25">
      <c r="A301">
        <v>300</v>
      </c>
      <c r="B301" s="1">
        <v>45332</v>
      </c>
      <c r="C301" t="s">
        <v>10</v>
      </c>
      <c r="D301" t="s">
        <v>15</v>
      </c>
      <c r="E301">
        <v>214</v>
      </c>
      <c r="F301">
        <v>23</v>
      </c>
      <c r="G301">
        <v>2.7</v>
      </c>
      <c r="H301" t="s">
        <v>12</v>
      </c>
      <c r="I301" t="s">
        <v>13</v>
      </c>
      <c r="J301" t="s">
        <v>11</v>
      </c>
      <c r="K301">
        <f>_xlfn.XLOOKUP(tbl_analysis_tickets[[#This Row],[priority]],tbl_sla[priority],tbl_sla[Resolution SLA Hours])</f>
        <v>48</v>
      </c>
      <c r="L301">
        <f>_xlfn.XLOOKUP(tbl_analysis_tickets[[#This Row],[priority]],tbl_sla[priority],tbl_sla[First Response SLA Minutes])</f>
        <v>120</v>
      </c>
      <c r="M301" t="str">
        <f>IF(tbl_analysis_tickets[[#This Row],[resolution_time_hours]]&gt;tbl_analysis_tickets[[#This Row],[Resolution SLA Hours]],"Breached","Within SLA")</f>
        <v>Within SLA</v>
      </c>
      <c r="N301" t="str">
        <f>IF(tbl_analysis_tickets[[#This Row],[first_response_minutes]]&gt;tbl_analysis_tickets[[#This Row],[First Response SLA Minutes]],"Breached","Within SLA")</f>
        <v>Breached</v>
      </c>
      <c r="O301" t="str" cm="1">
        <f t="array" ref="O301">_xlfn.IFS(
tbl_analysis_tickets[[#This Row],[agent_experience_years]]&lt;=2,"Junior",
tbl_analysis_tickets[[#This Row],[agent_experience_years]]&lt;=5,"Mid-Level",
tbl_analysis_tickets[[#This Row],[agent_experience_years]]&lt;=8,"Senior",
tbl_analysis_tickets[[#This Row],[agent_experience_years]]&gt;8,"Expert"
)</f>
        <v>Mid-Level</v>
      </c>
      <c r="P301" cm="1">
        <f t="array" ref="P301">_xlfn.SWITCH(tbl_analysis_tickets[[#This Row],[customer_satisfaction]],
"Low",1,
"Medium",2,
"High",3
)</f>
        <v>1</v>
      </c>
      <c r="Q301">
        <f>IF(tbl_analysis_tickets[[#This Row],[reopened]]="Yes",1,0)</f>
        <v>1</v>
      </c>
      <c r="R301" t="str" cm="1">
        <f t="array" ref="R301">_xlfn.IFS(
tbl_analysis_tickets[[#This Row],[first_response_minutes]]&lt;=30,"Very Fast",
tbl_analysis_tickets[[#This Row],[first_response_minutes]]&lt;=120,"Acceptable",
tbl_analysis_tickets[[#This Row],[first_response_minutes]]&lt;=240,"Slow",
tbl_analysis_tickets[[#This Row],[first_response_minutes]]&gt;240,"Very Slow"
)</f>
        <v>Slow</v>
      </c>
      <c r="S301" t="str" cm="1">
        <f t="array" ref="S30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301" t="str">
        <f>TEXT(tbl_analysis_tickets[[#This Row],[created_date]],"mmm-yyyy")</f>
        <v>Feb-2024</v>
      </c>
      <c r="U301" t="str">
        <f>TEXT(tbl_analysis_tickets[[#This Row],[created_date]],"dddd")</f>
        <v>Saturday</v>
      </c>
      <c r="V301" cm="1">
        <f t="array" ref="V301">_xlfn.SWITCH(tbl_analysis_tickets[[#This Row],[priority]],
"Urgent",1,
"High",2,
"Medium",3,
"Low",4
)</f>
        <v>3</v>
      </c>
    </row>
    <row r="302" spans="1:22" x14ac:dyDescent="0.25">
      <c r="A302">
        <v>301</v>
      </c>
      <c r="B302" s="1">
        <v>45522</v>
      </c>
      <c r="C302" t="s">
        <v>22</v>
      </c>
      <c r="D302" t="s">
        <v>17</v>
      </c>
      <c r="E302">
        <v>188</v>
      </c>
      <c r="F302">
        <v>40</v>
      </c>
      <c r="G302">
        <v>5.2</v>
      </c>
      <c r="H302" t="s">
        <v>18</v>
      </c>
      <c r="I302" t="s">
        <v>16</v>
      </c>
      <c r="J302" t="s">
        <v>11</v>
      </c>
      <c r="K302">
        <f>_xlfn.XLOOKUP(tbl_analysis_tickets[[#This Row],[priority]],tbl_sla[priority],tbl_sla[Resolution SLA Hours])</f>
        <v>8</v>
      </c>
      <c r="L302">
        <f>_xlfn.XLOOKUP(tbl_analysis_tickets[[#This Row],[priority]],tbl_sla[priority],tbl_sla[First Response SLA Minutes])</f>
        <v>30</v>
      </c>
      <c r="M302" t="str">
        <f>IF(tbl_analysis_tickets[[#This Row],[resolution_time_hours]]&gt;tbl_analysis_tickets[[#This Row],[Resolution SLA Hours]],"Breached","Within SLA")</f>
        <v>Breached</v>
      </c>
      <c r="N302" t="str">
        <f>IF(tbl_analysis_tickets[[#This Row],[first_response_minutes]]&gt;tbl_analysis_tickets[[#This Row],[First Response SLA Minutes]],"Breached","Within SLA")</f>
        <v>Breached</v>
      </c>
      <c r="O302" t="str" cm="1">
        <f t="array" ref="O302">_xlfn.IFS(
tbl_analysis_tickets[[#This Row],[agent_experience_years]]&lt;=2,"Junior",
tbl_analysis_tickets[[#This Row],[agent_experience_years]]&lt;=5,"Mid-Level",
tbl_analysis_tickets[[#This Row],[agent_experience_years]]&lt;=8,"Senior",
tbl_analysis_tickets[[#This Row],[agent_experience_years]]&gt;8,"Expert"
)</f>
        <v>Senior</v>
      </c>
      <c r="P302" cm="1">
        <f t="array" ref="P302">_xlfn.SWITCH(tbl_analysis_tickets[[#This Row],[customer_satisfaction]],
"Low",1,
"Medium",2,
"High",3
)</f>
        <v>1</v>
      </c>
      <c r="Q302">
        <f>IF(tbl_analysis_tickets[[#This Row],[reopened]]="Yes",1,0)</f>
        <v>0</v>
      </c>
      <c r="R302" t="str" cm="1">
        <f t="array" ref="R302">_xlfn.IFS(
tbl_analysis_tickets[[#This Row],[first_response_minutes]]&lt;=30,"Very Fast",
tbl_analysis_tickets[[#This Row],[first_response_minutes]]&lt;=120,"Acceptable",
tbl_analysis_tickets[[#This Row],[first_response_minutes]]&lt;=240,"Slow",
tbl_analysis_tickets[[#This Row],[first_response_minutes]]&gt;240,"Very Slow"
)</f>
        <v>Slow</v>
      </c>
      <c r="S302" t="str" cm="1">
        <f t="array" ref="S30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302" t="str">
        <f>TEXT(tbl_analysis_tickets[[#This Row],[created_date]],"mmm-yyyy")</f>
        <v>Aug-2024</v>
      </c>
      <c r="U302" t="str">
        <f>TEXT(tbl_analysis_tickets[[#This Row],[created_date]],"dddd")</f>
        <v>Sunday</v>
      </c>
      <c r="V302" cm="1">
        <f t="array" ref="V302">_xlfn.SWITCH(tbl_analysis_tickets[[#This Row],[priority]],
"Urgent",1,
"High",2,
"Medium",3,
"Low",4
)</f>
        <v>1</v>
      </c>
    </row>
    <row r="303" spans="1:22" x14ac:dyDescent="0.25">
      <c r="A303">
        <v>302</v>
      </c>
      <c r="B303" s="1">
        <v>45620</v>
      </c>
      <c r="C303" t="s">
        <v>14</v>
      </c>
      <c r="D303" t="s">
        <v>20</v>
      </c>
      <c r="E303">
        <v>40</v>
      </c>
      <c r="F303">
        <v>4</v>
      </c>
      <c r="G303">
        <v>4.7</v>
      </c>
      <c r="H303" t="s">
        <v>18</v>
      </c>
      <c r="I303" t="s">
        <v>19</v>
      </c>
      <c r="J303" t="s">
        <v>15</v>
      </c>
      <c r="K303">
        <f>_xlfn.XLOOKUP(tbl_analysis_tickets[[#This Row],[priority]],tbl_sla[priority],tbl_sla[Resolution SLA Hours])</f>
        <v>24</v>
      </c>
      <c r="L303">
        <f>_xlfn.XLOOKUP(tbl_analysis_tickets[[#This Row],[priority]],tbl_sla[priority],tbl_sla[First Response SLA Minutes])</f>
        <v>60</v>
      </c>
      <c r="M303" t="str">
        <f>IF(tbl_analysis_tickets[[#This Row],[resolution_time_hours]]&gt;tbl_analysis_tickets[[#This Row],[Resolution SLA Hours]],"Breached","Within SLA")</f>
        <v>Within SLA</v>
      </c>
      <c r="N303" t="str">
        <f>IF(tbl_analysis_tickets[[#This Row],[first_response_minutes]]&gt;tbl_analysis_tickets[[#This Row],[First Response SLA Minutes]],"Breached","Within SLA")</f>
        <v>Within SLA</v>
      </c>
      <c r="O303" t="str" cm="1">
        <f t="array" ref="O303">_xlfn.IFS(
tbl_analysis_tickets[[#This Row],[agent_experience_years]]&lt;=2,"Junior",
tbl_analysis_tickets[[#This Row],[agent_experience_years]]&lt;=5,"Mid-Level",
tbl_analysis_tickets[[#This Row],[agent_experience_years]]&lt;=8,"Senior",
tbl_analysis_tickets[[#This Row],[agent_experience_years]]&gt;8,"Expert"
)</f>
        <v>Mid-Level</v>
      </c>
      <c r="P303" cm="1">
        <f t="array" ref="P303">_xlfn.SWITCH(tbl_analysis_tickets[[#This Row],[customer_satisfaction]],
"Low",1,
"Medium",2,
"High",3
)</f>
        <v>2</v>
      </c>
      <c r="Q303">
        <f>IF(tbl_analysis_tickets[[#This Row],[reopened]]="Yes",1,0)</f>
        <v>0</v>
      </c>
      <c r="R303" t="str" cm="1">
        <f t="array" ref="R303">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303" t="str" cm="1">
        <f t="array" ref="S30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303" t="str">
        <f>TEXT(tbl_analysis_tickets[[#This Row],[created_date]],"mmm-yyyy")</f>
        <v>Nov-2024</v>
      </c>
      <c r="U303" t="str">
        <f>TEXT(tbl_analysis_tickets[[#This Row],[created_date]],"dddd")</f>
        <v>Sunday</v>
      </c>
      <c r="V303" cm="1">
        <f t="array" ref="V303">_xlfn.SWITCH(tbl_analysis_tickets[[#This Row],[priority]],
"Urgent",1,
"High",2,
"Medium",3,
"Low",4
)</f>
        <v>2</v>
      </c>
    </row>
    <row r="304" spans="1:22" x14ac:dyDescent="0.25">
      <c r="A304">
        <v>303</v>
      </c>
      <c r="B304" s="1">
        <v>45646</v>
      </c>
      <c r="C304" t="s">
        <v>22</v>
      </c>
      <c r="D304" t="s">
        <v>17</v>
      </c>
      <c r="E304">
        <v>79</v>
      </c>
      <c r="F304">
        <v>19</v>
      </c>
      <c r="G304">
        <v>3.1</v>
      </c>
      <c r="H304" t="s">
        <v>12</v>
      </c>
      <c r="I304" t="s">
        <v>16</v>
      </c>
      <c r="J304" t="s">
        <v>11</v>
      </c>
      <c r="K304">
        <f>_xlfn.XLOOKUP(tbl_analysis_tickets[[#This Row],[priority]],tbl_sla[priority],tbl_sla[Resolution SLA Hours])</f>
        <v>8</v>
      </c>
      <c r="L304">
        <f>_xlfn.XLOOKUP(tbl_analysis_tickets[[#This Row],[priority]],tbl_sla[priority],tbl_sla[First Response SLA Minutes])</f>
        <v>30</v>
      </c>
      <c r="M304" t="str">
        <f>IF(tbl_analysis_tickets[[#This Row],[resolution_time_hours]]&gt;tbl_analysis_tickets[[#This Row],[Resolution SLA Hours]],"Breached","Within SLA")</f>
        <v>Breached</v>
      </c>
      <c r="N304" t="str">
        <f>IF(tbl_analysis_tickets[[#This Row],[first_response_minutes]]&gt;tbl_analysis_tickets[[#This Row],[First Response SLA Minutes]],"Breached","Within SLA")</f>
        <v>Breached</v>
      </c>
      <c r="O304" t="str" cm="1">
        <f t="array" ref="O304">_xlfn.IFS(
tbl_analysis_tickets[[#This Row],[agent_experience_years]]&lt;=2,"Junior",
tbl_analysis_tickets[[#This Row],[agent_experience_years]]&lt;=5,"Mid-Level",
tbl_analysis_tickets[[#This Row],[agent_experience_years]]&lt;=8,"Senior",
tbl_analysis_tickets[[#This Row],[agent_experience_years]]&gt;8,"Expert"
)</f>
        <v>Mid-Level</v>
      </c>
      <c r="P304" cm="1">
        <f t="array" ref="P304">_xlfn.SWITCH(tbl_analysis_tickets[[#This Row],[customer_satisfaction]],
"Low",1,
"Medium",2,
"High",3
)</f>
        <v>1</v>
      </c>
      <c r="Q304">
        <f>IF(tbl_analysis_tickets[[#This Row],[reopened]]="Yes",1,0)</f>
        <v>1</v>
      </c>
      <c r="R304" t="str" cm="1">
        <f t="array" ref="R304">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304" t="str" cm="1">
        <f t="array" ref="S30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304" t="str">
        <f>TEXT(tbl_analysis_tickets[[#This Row],[created_date]],"mmm-yyyy")</f>
        <v>Dec-2024</v>
      </c>
      <c r="U304" t="str">
        <f>TEXT(tbl_analysis_tickets[[#This Row],[created_date]],"dddd")</f>
        <v>Friday</v>
      </c>
      <c r="V304" cm="1">
        <f t="array" ref="V304">_xlfn.SWITCH(tbl_analysis_tickets[[#This Row],[priority]],
"Urgent",1,
"High",2,
"Medium",3,
"Low",4
)</f>
        <v>1</v>
      </c>
    </row>
    <row r="305" spans="1:22" x14ac:dyDescent="0.25">
      <c r="A305">
        <v>304</v>
      </c>
      <c r="B305" s="1">
        <v>45344</v>
      </c>
      <c r="C305" t="s">
        <v>14</v>
      </c>
      <c r="D305" t="s">
        <v>15</v>
      </c>
      <c r="E305">
        <v>76</v>
      </c>
      <c r="F305">
        <v>6</v>
      </c>
      <c r="G305">
        <v>4.3</v>
      </c>
      <c r="H305" t="s">
        <v>12</v>
      </c>
      <c r="I305" t="s">
        <v>16</v>
      </c>
      <c r="J305" t="s">
        <v>15</v>
      </c>
      <c r="K305">
        <f>_xlfn.XLOOKUP(tbl_analysis_tickets[[#This Row],[priority]],tbl_sla[priority],tbl_sla[Resolution SLA Hours])</f>
        <v>48</v>
      </c>
      <c r="L305">
        <f>_xlfn.XLOOKUP(tbl_analysis_tickets[[#This Row],[priority]],tbl_sla[priority],tbl_sla[First Response SLA Minutes])</f>
        <v>120</v>
      </c>
      <c r="M305" t="str">
        <f>IF(tbl_analysis_tickets[[#This Row],[resolution_time_hours]]&gt;tbl_analysis_tickets[[#This Row],[Resolution SLA Hours]],"Breached","Within SLA")</f>
        <v>Within SLA</v>
      </c>
      <c r="N305" t="str">
        <f>IF(tbl_analysis_tickets[[#This Row],[first_response_minutes]]&gt;tbl_analysis_tickets[[#This Row],[First Response SLA Minutes]],"Breached","Within SLA")</f>
        <v>Within SLA</v>
      </c>
      <c r="O305" t="str" cm="1">
        <f t="array" ref="O305">_xlfn.IFS(
tbl_analysis_tickets[[#This Row],[agent_experience_years]]&lt;=2,"Junior",
tbl_analysis_tickets[[#This Row],[agent_experience_years]]&lt;=5,"Mid-Level",
tbl_analysis_tickets[[#This Row],[agent_experience_years]]&lt;=8,"Senior",
tbl_analysis_tickets[[#This Row],[agent_experience_years]]&gt;8,"Expert"
)</f>
        <v>Mid-Level</v>
      </c>
      <c r="P305" cm="1">
        <f t="array" ref="P305">_xlfn.SWITCH(tbl_analysis_tickets[[#This Row],[customer_satisfaction]],
"Low",1,
"Medium",2,
"High",3
)</f>
        <v>2</v>
      </c>
      <c r="Q305">
        <f>IF(tbl_analysis_tickets[[#This Row],[reopened]]="Yes",1,0)</f>
        <v>1</v>
      </c>
      <c r="R305" t="str" cm="1">
        <f t="array" ref="R305">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305" t="str" cm="1">
        <f t="array" ref="S30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305" t="str">
        <f>TEXT(tbl_analysis_tickets[[#This Row],[created_date]],"mmm-yyyy")</f>
        <v>Feb-2024</v>
      </c>
      <c r="U305" t="str">
        <f>TEXT(tbl_analysis_tickets[[#This Row],[created_date]],"dddd")</f>
        <v>Thursday</v>
      </c>
      <c r="V305" cm="1">
        <f t="array" ref="V305">_xlfn.SWITCH(tbl_analysis_tickets[[#This Row],[priority]],
"Urgent",1,
"High",2,
"Medium",3,
"Low",4
)</f>
        <v>3</v>
      </c>
    </row>
    <row r="306" spans="1:22" x14ac:dyDescent="0.25">
      <c r="A306">
        <v>305</v>
      </c>
      <c r="B306" s="1">
        <v>45601</v>
      </c>
      <c r="C306" t="s">
        <v>21</v>
      </c>
      <c r="D306" t="s">
        <v>15</v>
      </c>
      <c r="E306">
        <v>216</v>
      </c>
      <c r="F306">
        <v>72</v>
      </c>
      <c r="G306">
        <v>3.8</v>
      </c>
      <c r="H306" t="s">
        <v>18</v>
      </c>
      <c r="I306" t="s">
        <v>13</v>
      </c>
      <c r="J306" t="s">
        <v>11</v>
      </c>
      <c r="K306">
        <f>_xlfn.XLOOKUP(tbl_analysis_tickets[[#This Row],[priority]],tbl_sla[priority],tbl_sla[Resolution SLA Hours])</f>
        <v>48</v>
      </c>
      <c r="L306">
        <f>_xlfn.XLOOKUP(tbl_analysis_tickets[[#This Row],[priority]],tbl_sla[priority],tbl_sla[First Response SLA Minutes])</f>
        <v>120</v>
      </c>
      <c r="M306" t="str">
        <f>IF(tbl_analysis_tickets[[#This Row],[resolution_time_hours]]&gt;tbl_analysis_tickets[[#This Row],[Resolution SLA Hours]],"Breached","Within SLA")</f>
        <v>Breached</v>
      </c>
      <c r="N306" t="str">
        <f>IF(tbl_analysis_tickets[[#This Row],[first_response_minutes]]&gt;tbl_analysis_tickets[[#This Row],[First Response SLA Minutes]],"Breached","Within SLA")</f>
        <v>Breached</v>
      </c>
      <c r="O306" t="str" cm="1">
        <f t="array" ref="O306">_xlfn.IFS(
tbl_analysis_tickets[[#This Row],[agent_experience_years]]&lt;=2,"Junior",
tbl_analysis_tickets[[#This Row],[agent_experience_years]]&lt;=5,"Mid-Level",
tbl_analysis_tickets[[#This Row],[agent_experience_years]]&lt;=8,"Senior",
tbl_analysis_tickets[[#This Row],[agent_experience_years]]&gt;8,"Expert"
)</f>
        <v>Mid-Level</v>
      </c>
      <c r="P306" cm="1">
        <f t="array" ref="P306">_xlfn.SWITCH(tbl_analysis_tickets[[#This Row],[customer_satisfaction]],
"Low",1,
"Medium",2,
"High",3
)</f>
        <v>1</v>
      </c>
      <c r="Q306">
        <f>IF(tbl_analysis_tickets[[#This Row],[reopened]]="Yes",1,0)</f>
        <v>0</v>
      </c>
      <c r="R306" t="str" cm="1">
        <f t="array" ref="R306">_xlfn.IFS(
tbl_analysis_tickets[[#This Row],[first_response_minutes]]&lt;=30,"Very Fast",
tbl_analysis_tickets[[#This Row],[first_response_minutes]]&lt;=120,"Acceptable",
tbl_analysis_tickets[[#This Row],[first_response_minutes]]&lt;=240,"Slow",
tbl_analysis_tickets[[#This Row],[first_response_minutes]]&gt;240,"Very Slow"
)</f>
        <v>Slow</v>
      </c>
      <c r="S306" t="str" cm="1">
        <f t="array" ref="S30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306" t="str">
        <f>TEXT(tbl_analysis_tickets[[#This Row],[created_date]],"mmm-yyyy")</f>
        <v>Nov-2024</v>
      </c>
      <c r="U306" t="str">
        <f>TEXT(tbl_analysis_tickets[[#This Row],[created_date]],"dddd")</f>
        <v>Tuesday</v>
      </c>
      <c r="V306" cm="1">
        <f t="array" ref="V306">_xlfn.SWITCH(tbl_analysis_tickets[[#This Row],[priority]],
"Urgent",1,
"High",2,
"Medium",3,
"Low",4
)</f>
        <v>3</v>
      </c>
    </row>
    <row r="307" spans="1:22" x14ac:dyDescent="0.25">
      <c r="A307">
        <v>306</v>
      </c>
      <c r="B307" s="1">
        <v>45526</v>
      </c>
      <c r="C307" t="s">
        <v>21</v>
      </c>
      <c r="D307" t="s">
        <v>20</v>
      </c>
      <c r="E307">
        <v>235</v>
      </c>
      <c r="F307">
        <v>32</v>
      </c>
      <c r="G307">
        <v>9.5</v>
      </c>
      <c r="H307" t="s">
        <v>18</v>
      </c>
      <c r="I307" t="s">
        <v>19</v>
      </c>
      <c r="J307" t="s">
        <v>11</v>
      </c>
      <c r="K307">
        <f>_xlfn.XLOOKUP(tbl_analysis_tickets[[#This Row],[priority]],tbl_sla[priority],tbl_sla[Resolution SLA Hours])</f>
        <v>24</v>
      </c>
      <c r="L307">
        <f>_xlfn.XLOOKUP(tbl_analysis_tickets[[#This Row],[priority]],tbl_sla[priority],tbl_sla[First Response SLA Minutes])</f>
        <v>60</v>
      </c>
      <c r="M307" t="str">
        <f>IF(tbl_analysis_tickets[[#This Row],[resolution_time_hours]]&gt;tbl_analysis_tickets[[#This Row],[Resolution SLA Hours]],"Breached","Within SLA")</f>
        <v>Breached</v>
      </c>
      <c r="N307" t="str">
        <f>IF(tbl_analysis_tickets[[#This Row],[first_response_minutes]]&gt;tbl_analysis_tickets[[#This Row],[First Response SLA Minutes]],"Breached","Within SLA")</f>
        <v>Breached</v>
      </c>
      <c r="O307" t="str" cm="1">
        <f t="array" ref="O307">_xlfn.IFS(
tbl_analysis_tickets[[#This Row],[agent_experience_years]]&lt;=2,"Junior",
tbl_analysis_tickets[[#This Row],[agent_experience_years]]&lt;=5,"Mid-Level",
tbl_analysis_tickets[[#This Row],[agent_experience_years]]&lt;=8,"Senior",
tbl_analysis_tickets[[#This Row],[agent_experience_years]]&gt;8,"Expert"
)</f>
        <v>Expert</v>
      </c>
      <c r="P307" cm="1">
        <f t="array" ref="P307">_xlfn.SWITCH(tbl_analysis_tickets[[#This Row],[customer_satisfaction]],
"Low",1,
"Medium",2,
"High",3
)</f>
        <v>1</v>
      </c>
      <c r="Q307">
        <f>IF(tbl_analysis_tickets[[#This Row],[reopened]]="Yes",1,0)</f>
        <v>0</v>
      </c>
      <c r="R307" t="str" cm="1">
        <f t="array" ref="R307">_xlfn.IFS(
tbl_analysis_tickets[[#This Row],[first_response_minutes]]&lt;=30,"Very Fast",
tbl_analysis_tickets[[#This Row],[first_response_minutes]]&lt;=120,"Acceptable",
tbl_analysis_tickets[[#This Row],[first_response_minutes]]&lt;=240,"Slow",
tbl_analysis_tickets[[#This Row],[first_response_minutes]]&gt;240,"Very Slow"
)</f>
        <v>Slow</v>
      </c>
      <c r="S307" t="str" cm="1">
        <f t="array" ref="S30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307" t="str">
        <f>TEXT(tbl_analysis_tickets[[#This Row],[created_date]],"mmm-yyyy")</f>
        <v>Aug-2024</v>
      </c>
      <c r="U307" t="str">
        <f>TEXT(tbl_analysis_tickets[[#This Row],[created_date]],"dddd")</f>
        <v>Thursday</v>
      </c>
      <c r="V307" cm="1">
        <f t="array" ref="V307">_xlfn.SWITCH(tbl_analysis_tickets[[#This Row],[priority]],
"Urgent",1,
"High",2,
"Medium",3,
"Low",4
)</f>
        <v>2</v>
      </c>
    </row>
    <row r="308" spans="1:22" x14ac:dyDescent="0.25">
      <c r="A308">
        <v>307</v>
      </c>
      <c r="B308" s="1">
        <v>45606</v>
      </c>
      <c r="C308" t="s">
        <v>10</v>
      </c>
      <c r="D308" t="s">
        <v>20</v>
      </c>
      <c r="E308">
        <v>92</v>
      </c>
      <c r="F308">
        <v>35</v>
      </c>
      <c r="G308">
        <v>2.2000000000000002</v>
      </c>
      <c r="H308" t="s">
        <v>12</v>
      </c>
      <c r="I308" t="s">
        <v>13</v>
      </c>
      <c r="J308" t="s">
        <v>11</v>
      </c>
      <c r="K308">
        <f>_xlfn.XLOOKUP(tbl_analysis_tickets[[#This Row],[priority]],tbl_sla[priority],tbl_sla[Resolution SLA Hours])</f>
        <v>24</v>
      </c>
      <c r="L308">
        <f>_xlfn.XLOOKUP(tbl_analysis_tickets[[#This Row],[priority]],tbl_sla[priority],tbl_sla[First Response SLA Minutes])</f>
        <v>60</v>
      </c>
      <c r="M308" t="str">
        <f>IF(tbl_analysis_tickets[[#This Row],[resolution_time_hours]]&gt;tbl_analysis_tickets[[#This Row],[Resolution SLA Hours]],"Breached","Within SLA")</f>
        <v>Breached</v>
      </c>
      <c r="N308" t="str">
        <f>IF(tbl_analysis_tickets[[#This Row],[first_response_minutes]]&gt;tbl_analysis_tickets[[#This Row],[First Response SLA Minutes]],"Breached","Within SLA")</f>
        <v>Breached</v>
      </c>
      <c r="O308" t="str" cm="1">
        <f t="array" ref="O308">_xlfn.IFS(
tbl_analysis_tickets[[#This Row],[agent_experience_years]]&lt;=2,"Junior",
tbl_analysis_tickets[[#This Row],[agent_experience_years]]&lt;=5,"Mid-Level",
tbl_analysis_tickets[[#This Row],[agent_experience_years]]&lt;=8,"Senior",
tbl_analysis_tickets[[#This Row],[agent_experience_years]]&gt;8,"Expert"
)</f>
        <v>Mid-Level</v>
      </c>
      <c r="P308" cm="1">
        <f t="array" ref="P308">_xlfn.SWITCH(tbl_analysis_tickets[[#This Row],[customer_satisfaction]],
"Low",1,
"Medium",2,
"High",3
)</f>
        <v>1</v>
      </c>
      <c r="Q308">
        <f>IF(tbl_analysis_tickets[[#This Row],[reopened]]="Yes",1,0)</f>
        <v>1</v>
      </c>
      <c r="R308" t="str" cm="1">
        <f t="array" ref="R308">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308" t="str" cm="1">
        <f t="array" ref="S30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308" t="str">
        <f>TEXT(tbl_analysis_tickets[[#This Row],[created_date]],"mmm-yyyy")</f>
        <v>Nov-2024</v>
      </c>
      <c r="U308" t="str">
        <f>TEXT(tbl_analysis_tickets[[#This Row],[created_date]],"dddd")</f>
        <v>Sunday</v>
      </c>
      <c r="V308" cm="1">
        <f t="array" ref="V308">_xlfn.SWITCH(tbl_analysis_tickets[[#This Row],[priority]],
"Urgent",1,
"High",2,
"Medium",3,
"Low",4
)</f>
        <v>2</v>
      </c>
    </row>
    <row r="309" spans="1:22" x14ac:dyDescent="0.25">
      <c r="A309">
        <v>308</v>
      </c>
      <c r="B309" s="1">
        <v>45349</v>
      </c>
      <c r="C309" t="s">
        <v>22</v>
      </c>
      <c r="D309" t="s">
        <v>11</v>
      </c>
      <c r="E309">
        <v>97</v>
      </c>
      <c r="F309">
        <v>20</v>
      </c>
      <c r="G309">
        <v>3.1</v>
      </c>
      <c r="H309" t="s">
        <v>12</v>
      </c>
      <c r="I309" t="s">
        <v>19</v>
      </c>
      <c r="J309" t="s">
        <v>11</v>
      </c>
      <c r="K309">
        <f>_xlfn.XLOOKUP(tbl_analysis_tickets[[#This Row],[priority]],tbl_sla[priority],tbl_sla[Resolution SLA Hours])</f>
        <v>72</v>
      </c>
      <c r="L309">
        <f>_xlfn.XLOOKUP(tbl_analysis_tickets[[#This Row],[priority]],tbl_sla[priority],tbl_sla[First Response SLA Minutes])</f>
        <v>240</v>
      </c>
      <c r="M309" t="str">
        <f>IF(tbl_analysis_tickets[[#This Row],[resolution_time_hours]]&gt;tbl_analysis_tickets[[#This Row],[Resolution SLA Hours]],"Breached","Within SLA")</f>
        <v>Within SLA</v>
      </c>
      <c r="N309" t="str">
        <f>IF(tbl_analysis_tickets[[#This Row],[first_response_minutes]]&gt;tbl_analysis_tickets[[#This Row],[First Response SLA Minutes]],"Breached","Within SLA")</f>
        <v>Within SLA</v>
      </c>
      <c r="O309" t="str" cm="1">
        <f t="array" ref="O309">_xlfn.IFS(
tbl_analysis_tickets[[#This Row],[agent_experience_years]]&lt;=2,"Junior",
tbl_analysis_tickets[[#This Row],[agent_experience_years]]&lt;=5,"Mid-Level",
tbl_analysis_tickets[[#This Row],[agent_experience_years]]&lt;=8,"Senior",
tbl_analysis_tickets[[#This Row],[agent_experience_years]]&gt;8,"Expert"
)</f>
        <v>Mid-Level</v>
      </c>
      <c r="P309" cm="1">
        <f t="array" ref="P309">_xlfn.SWITCH(tbl_analysis_tickets[[#This Row],[customer_satisfaction]],
"Low",1,
"Medium",2,
"High",3
)</f>
        <v>1</v>
      </c>
      <c r="Q309">
        <f>IF(tbl_analysis_tickets[[#This Row],[reopened]]="Yes",1,0)</f>
        <v>1</v>
      </c>
      <c r="R309" t="str" cm="1">
        <f t="array" ref="R309">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309" t="str" cm="1">
        <f t="array" ref="S30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309" t="str">
        <f>TEXT(tbl_analysis_tickets[[#This Row],[created_date]],"mmm-yyyy")</f>
        <v>Feb-2024</v>
      </c>
      <c r="U309" t="str">
        <f>TEXT(tbl_analysis_tickets[[#This Row],[created_date]],"dddd")</f>
        <v>Tuesday</v>
      </c>
      <c r="V309" cm="1">
        <f t="array" ref="V309">_xlfn.SWITCH(tbl_analysis_tickets[[#This Row],[priority]],
"Urgent",1,
"High",2,
"Medium",3,
"Low",4
)</f>
        <v>4</v>
      </c>
    </row>
    <row r="310" spans="1:22" x14ac:dyDescent="0.25">
      <c r="A310">
        <v>309</v>
      </c>
      <c r="B310" s="1">
        <v>45478</v>
      </c>
      <c r="C310" t="s">
        <v>22</v>
      </c>
      <c r="D310" t="s">
        <v>17</v>
      </c>
      <c r="E310">
        <v>148</v>
      </c>
      <c r="F310">
        <v>63</v>
      </c>
      <c r="G310">
        <v>3.1</v>
      </c>
      <c r="H310" t="s">
        <v>18</v>
      </c>
      <c r="I310" t="s">
        <v>16</v>
      </c>
      <c r="J310" t="s">
        <v>11</v>
      </c>
      <c r="K310">
        <f>_xlfn.XLOOKUP(tbl_analysis_tickets[[#This Row],[priority]],tbl_sla[priority],tbl_sla[Resolution SLA Hours])</f>
        <v>8</v>
      </c>
      <c r="L310">
        <f>_xlfn.XLOOKUP(tbl_analysis_tickets[[#This Row],[priority]],tbl_sla[priority],tbl_sla[First Response SLA Minutes])</f>
        <v>30</v>
      </c>
      <c r="M310" t="str">
        <f>IF(tbl_analysis_tickets[[#This Row],[resolution_time_hours]]&gt;tbl_analysis_tickets[[#This Row],[Resolution SLA Hours]],"Breached","Within SLA")</f>
        <v>Breached</v>
      </c>
      <c r="N310" t="str">
        <f>IF(tbl_analysis_tickets[[#This Row],[first_response_minutes]]&gt;tbl_analysis_tickets[[#This Row],[First Response SLA Minutes]],"Breached","Within SLA")</f>
        <v>Breached</v>
      </c>
      <c r="O310" t="str" cm="1">
        <f t="array" ref="O310">_xlfn.IFS(
tbl_analysis_tickets[[#This Row],[agent_experience_years]]&lt;=2,"Junior",
tbl_analysis_tickets[[#This Row],[agent_experience_years]]&lt;=5,"Mid-Level",
tbl_analysis_tickets[[#This Row],[agent_experience_years]]&lt;=8,"Senior",
tbl_analysis_tickets[[#This Row],[agent_experience_years]]&gt;8,"Expert"
)</f>
        <v>Mid-Level</v>
      </c>
      <c r="P310" cm="1">
        <f t="array" ref="P310">_xlfn.SWITCH(tbl_analysis_tickets[[#This Row],[customer_satisfaction]],
"Low",1,
"Medium",2,
"High",3
)</f>
        <v>1</v>
      </c>
      <c r="Q310">
        <f>IF(tbl_analysis_tickets[[#This Row],[reopened]]="Yes",1,0)</f>
        <v>0</v>
      </c>
      <c r="R310" t="str" cm="1">
        <f t="array" ref="R310">_xlfn.IFS(
tbl_analysis_tickets[[#This Row],[first_response_minutes]]&lt;=30,"Very Fast",
tbl_analysis_tickets[[#This Row],[first_response_minutes]]&lt;=120,"Acceptable",
tbl_analysis_tickets[[#This Row],[first_response_minutes]]&lt;=240,"Slow",
tbl_analysis_tickets[[#This Row],[first_response_minutes]]&gt;240,"Very Slow"
)</f>
        <v>Slow</v>
      </c>
      <c r="S310" t="str" cm="1">
        <f t="array" ref="S31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310" t="str">
        <f>TEXT(tbl_analysis_tickets[[#This Row],[created_date]],"mmm-yyyy")</f>
        <v>Jul-2024</v>
      </c>
      <c r="U310" t="str">
        <f>TEXT(tbl_analysis_tickets[[#This Row],[created_date]],"dddd")</f>
        <v>Friday</v>
      </c>
      <c r="V310" cm="1">
        <f t="array" ref="V310">_xlfn.SWITCH(tbl_analysis_tickets[[#This Row],[priority]],
"Urgent",1,
"High",2,
"Medium",3,
"Low",4
)</f>
        <v>1</v>
      </c>
    </row>
    <row r="311" spans="1:22" x14ac:dyDescent="0.25">
      <c r="A311">
        <v>310</v>
      </c>
      <c r="B311" s="1">
        <v>45328</v>
      </c>
      <c r="C311" t="s">
        <v>14</v>
      </c>
      <c r="D311" t="s">
        <v>17</v>
      </c>
      <c r="E311">
        <v>22</v>
      </c>
      <c r="F311">
        <v>3</v>
      </c>
      <c r="G311">
        <v>9.1</v>
      </c>
      <c r="H311" t="s">
        <v>18</v>
      </c>
      <c r="I311" t="s">
        <v>19</v>
      </c>
      <c r="J311" t="s">
        <v>20</v>
      </c>
      <c r="K311">
        <f>_xlfn.XLOOKUP(tbl_analysis_tickets[[#This Row],[priority]],tbl_sla[priority],tbl_sla[Resolution SLA Hours])</f>
        <v>8</v>
      </c>
      <c r="L311">
        <f>_xlfn.XLOOKUP(tbl_analysis_tickets[[#This Row],[priority]],tbl_sla[priority],tbl_sla[First Response SLA Minutes])</f>
        <v>30</v>
      </c>
      <c r="M311" t="str">
        <f>IF(tbl_analysis_tickets[[#This Row],[resolution_time_hours]]&gt;tbl_analysis_tickets[[#This Row],[Resolution SLA Hours]],"Breached","Within SLA")</f>
        <v>Within SLA</v>
      </c>
      <c r="N311" t="str">
        <f>IF(tbl_analysis_tickets[[#This Row],[first_response_minutes]]&gt;tbl_analysis_tickets[[#This Row],[First Response SLA Minutes]],"Breached","Within SLA")</f>
        <v>Within SLA</v>
      </c>
      <c r="O311" t="str" cm="1">
        <f t="array" ref="O311">_xlfn.IFS(
tbl_analysis_tickets[[#This Row],[agent_experience_years]]&lt;=2,"Junior",
tbl_analysis_tickets[[#This Row],[agent_experience_years]]&lt;=5,"Mid-Level",
tbl_analysis_tickets[[#This Row],[agent_experience_years]]&lt;=8,"Senior",
tbl_analysis_tickets[[#This Row],[agent_experience_years]]&gt;8,"Expert"
)</f>
        <v>Expert</v>
      </c>
      <c r="P311" cm="1">
        <f t="array" ref="P311">_xlfn.SWITCH(tbl_analysis_tickets[[#This Row],[customer_satisfaction]],
"Low",1,
"Medium",2,
"High",3
)</f>
        <v>3</v>
      </c>
      <c r="Q311">
        <f>IF(tbl_analysis_tickets[[#This Row],[reopened]]="Yes",1,0)</f>
        <v>0</v>
      </c>
      <c r="R311" t="str" cm="1">
        <f t="array" ref="R311">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311" t="str" cm="1">
        <f t="array" ref="S31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311" t="str">
        <f>TEXT(tbl_analysis_tickets[[#This Row],[created_date]],"mmm-yyyy")</f>
        <v>Feb-2024</v>
      </c>
      <c r="U311" t="str">
        <f>TEXT(tbl_analysis_tickets[[#This Row],[created_date]],"dddd")</f>
        <v>Tuesday</v>
      </c>
      <c r="V311" cm="1">
        <f t="array" ref="V311">_xlfn.SWITCH(tbl_analysis_tickets[[#This Row],[priority]],
"Urgent",1,
"High",2,
"Medium",3,
"Low",4
)</f>
        <v>1</v>
      </c>
    </row>
    <row r="312" spans="1:22" x14ac:dyDescent="0.25">
      <c r="A312">
        <v>311</v>
      </c>
      <c r="B312" s="1">
        <v>45385</v>
      </c>
      <c r="C312" t="s">
        <v>10</v>
      </c>
      <c r="D312" t="s">
        <v>20</v>
      </c>
      <c r="E312">
        <v>225</v>
      </c>
      <c r="F312">
        <v>14</v>
      </c>
      <c r="G312">
        <v>2.2999999999999998</v>
      </c>
      <c r="H312" t="s">
        <v>12</v>
      </c>
      <c r="I312" t="s">
        <v>16</v>
      </c>
      <c r="J312" t="s">
        <v>11</v>
      </c>
      <c r="K312">
        <f>_xlfn.XLOOKUP(tbl_analysis_tickets[[#This Row],[priority]],tbl_sla[priority],tbl_sla[Resolution SLA Hours])</f>
        <v>24</v>
      </c>
      <c r="L312">
        <f>_xlfn.XLOOKUP(tbl_analysis_tickets[[#This Row],[priority]],tbl_sla[priority],tbl_sla[First Response SLA Minutes])</f>
        <v>60</v>
      </c>
      <c r="M312" t="str">
        <f>IF(tbl_analysis_tickets[[#This Row],[resolution_time_hours]]&gt;tbl_analysis_tickets[[#This Row],[Resolution SLA Hours]],"Breached","Within SLA")</f>
        <v>Within SLA</v>
      </c>
      <c r="N312" t="str">
        <f>IF(tbl_analysis_tickets[[#This Row],[first_response_minutes]]&gt;tbl_analysis_tickets[[#This Row],[First Response SLA Minutes]],"Breached","Within SLA")</f>
        <v>Breached</v>
      </c>
      <c r="O312" t="str" cm="1">
        <f t="array" ref="O312">_xlfn.IFS(
tbl_analysis_tickets[[#This Row],[agent_experience_years]]&lt;=2,"Junior",
tbl_analysis_tickets[[#This Row],[agent_experience_years]]&lt;=5,"Mid-Level",
tbl_analysis_tickets[[#This Row],[agent_experience_years]]&lt;=8,"Senior",
tbl_analysis_tickets[[#This Row],[agent_experience_years]]&gt;8,"Expert"
)</f>
        <v>Mid-Level</v>
      </c>
      <c r="P312" cm="1">
        <f t="array" ref="P312">_xlfn.SWITCH(tbl_analysis_tickets[[#This Row],[customer_satisfaction]],
"Low",1,
"Medium",2,
"High",3
)</f>
        <v>1</v>
      </c>
      <c r="Q312">
        <f>IF(tbl_analysis_tickets[[#This Row],[reopened]]="Yes",1,0)</f>
        <v>1</v>
      </c>
      <c r="R312" t="str" cm="1">
        <f t="array" ref="R312">_xlfn.IFS(
tbl_analysis_tickets[[#This Row],[first_response_minutes]]&lt;=30,"Very Fast",
tbl_analysis_tickets[[#This Row],[first_response_minutes]]&lt;=120,"Acceptable",
tbl_analysis_tickets[[#This Row],[first_response_minutes]]&lt;=240,"Slow",
tbl_analysis_tickets[[#This Row],[first_response_minutes]]&gt;240,"Very Slow"
)</f>
        <v>Slow</v>
      </c>
      <c r="S312" t="str" cm="1">
        <f t="array" ref="S31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312" t="str">
        <f>TEXT(tbl_analysis_tickets[[#This Row],[created_date]],"mmm-yyyy")</f>
        <v>Apr-2024</v>
      </c>
      <c r="U312" t="str">
        <f>TEXT(tbl_analysis_tickets[[#This Row],[created_date]],"dddd")</f>
        <v>Wednesday</v>
      </c>
      <c r="V312" cm="1">
        <f t="array" ref="V312">_xlfn.SWITCH(tbl_analysis_tickets[[#This Row],[priority]],
"Urgent",1,
"High",2,
"Medium",3,
"Low",4
)</f>
        <v>2</v>
      </c>
    </row>
    <row r="313" spans="1:22" x14ac:dyDescent="0.25">
      <c r="A313">
        <v>312</v>
      </c>
      <c r="B313" s="1">
        <v>45415</v>
      </c>
      <c r="C313" t="s">
        <v>14</v>
      </c>
      <c r="D313" t="s">
        <v>20</v>
      </c>
      <c r="E313">
        <v>49</v>
      </c>
      <c r="F313">
        <v>42</v>
      </c>
      <c r="G313">
        <v>7.9</v>
      </c>
      <c r="H313" t="s">
        <v>12</v>
      </c>
      <c r="I313" t="s">
        <v>13</v>
      </c>
      <c r="J313" t="s">
        <v>11</v>
      </c>
      <c r="K313">
        <f>_xlfn.XLOOKUP(tbl_analysis_tickets[[#This Row],[priority]],tbl_sla[priority],tbl_sla[Resolution SLA Hours])</f>
        <v>24</v>
      </c>
      <c r="L313">
        <f>_xlfn.XLOOKUP(tbl_analysis_tickets[[#This Row],[priority]],tbl_sla[priority],tbl_sla[First Response SLA Minutes])</f>
        <v>60</v>
      </c>
      <c r="M313" t="str">
        <f>IF(tbl_analysis_tickets[[#This Row],[resolution_time_hours]]&gt;tbl_analysis_tickets[[#This Row],[Resolution SLA Hours]],"Breached","Within SLA")</f>
        <v>Breached</v>
      </c>
      <c r="N313" t="str">
        <f>IF(tbl_analysis_tickets[[#This Row],[first_response_minutes]]&gt;tbl_analysis_tickets[[#This Row],[First Response SLA Minutes]],"Breached","Within SLA")</f>
        <v>Within SLA</v>
      </c>
      <c r="O313" t="str" cm="1">
        <f t="array" ref="O313">_xlfn.IFS(
tbl_analysis_tickets[[#This Row],[agent_experience_years]]&lt;=2,"Junior",
tbl_analysis_tickets[[#This Row],[agent_experience_years]]&lt;=5,"Mid-Level",
tbl_analysis_tickets[[#This Row],[agent_experience_years]]&lt;=8,"Senior",
tbl_analysis_tickets[[#This Row],[agent_experience_years]]&gt;8,"Expert"
)</f>
        <v>Senior</v>
      </c>
      <c r="P313" cm="1">
        <f t="array" ref="P313">_xlfn.SWITCH(tbl_analysis_tickets[[#This Row],[customer_satisfaction]],
"Low",1,
"Medium",2,
"High",3
)</f>
        <v>1</v>
      </c>
      <c r="Q313">
        <f>IF(tbl_analysis_tickets[[#This Row],[reopened]]="Yes",1,0)</f>
        <v>1</v>
      </c>
      <c r="R313" t="str" cm="1">
        <f t="array" ref="R313">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313" t="str" cm="1">
        <f t="array" ref="S31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313" t="str">
        <f>TEXT(tbl_analysis_tickets[[#This Row],[created_date]],"mmm-yyyy")</f>
        <v>May-2024</v>
      </c>
      <c r="U313" t="str">
        <f>TEXT(tbl_analysis_tickets[[#This Row],[created_date]],"dddd")</f>
        <v>Friday</v>
      </c>
      <c r="V313" cm="1">
        <f t="array" ref="V313">_xlfn.SWITCH(tbl_analysis_tickets[[#This Row],[priority]],
"Urgent",1,
"High",2,
"Medium",3,
"Low",4
)</f>
        <v>2</v>
      </c>
    </row>
    <row r="314" spans="1:22" x14ac:dyDescent="0.25">
      <c r="A314">
        <v>313</v>
      </c>
      <c r="B314" s="1">
        <v>45568</v>
      </c>
      <c r="C314" t="s">
        <v>23</v>
      </c>
      <c r="D314" t="s">
        <v>20</v>
      </c>
      <c r="E314">
        <v>66</v>
      </c>
      <c r="F314">
        <v>68</v>
      </c>
      <c r="G314">
        <v>6.5</v>
      </c>
      <c r="H314" t="s">
        <v>18</v>
      </c>
      <c r="I314" t="s">
        <v>13</v>
      </c>
      <c r="J314" t="s">
        <v>11</v>
      </c>
      <c r="K314">
        <f>_xlfn.XLOOKUP(tbl_analysis_tickets[[#This Row],[priority]],tbl_sla[priority],tbl_sla[Resolution SLA Hours])</f>
        <v>24</v>
      </c>
      <c r="L314">
        <f>_xlfn.XLOOKUP(tbl_analysis_tickets[[#This Row],[priority]],tbl_sla[priority],tbl_sla[First Response SLA Minutes])</f>
        <v>60</v>
      </c>
      <c r="M314" t="str">
        <f>IF(tbl_analysis_tickets[[#This Row],[resolution_time_hours]]&gt;tbl_analysis_tickets[[#This Row],[Resolution SLA Hours]],"Breached","Within SLA")</f>
        <v>Breached</v>
      </c>
      <c r="N314" t="str">
        <f>IF(tbl_analysis_tickets[[#This Row],[first_response_minutes]]&gt;tbl_analysis_tickets[[#This Row],[First Response SLA Minutes]],"Breached","Within SLA")</f>
        <v>Breached</v>
      </c>
      <c r="O314" t="str" cm="1">
        <f t="array" ref="O314">_xlfn.IFS(
tbl_analysis_tickets[[#This Row],[agent_experience_years]]&lt;=2,"Junior",
tbl_analysis_tickets[[#This Row],[agent_experience_years]]&lt;=5,"Mid-Level",
tbl_analysis_tickets[[#This Row],[agent_experience_years]]&lt;=8,"Senior",
tbl_analysis_tickets[[#This Row],[agent_experience_years]]&gt;8,"Expert"
)</f>
        <v>Senior</v>
      </c>
      <c r="P314" cm="1">
        <f t="array" ref="P314">_xlfn.SWITCH(tbl_analysis_tickets[[#This Row],[customer_satisfaction]],
"Low",1,
"Medium",2,
"High",3
)</f>
        <v>1</v>
      </c>
      <c r="Q314">
        <f>IF(tbl_analysis_tickets[[#This Row],[reopened]]="Yes",1,0)</f>
        <v>0</v>
      </c>
      <c r="R314" t="str" cm="1">
        <f t="array" ref="R314">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314" t="str" cm="1">
        <f t="array" ref="S31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314" t="str">
        <f>TEXT(tbl_analysis_tickets[[#This Row],[created_date]],"mmm-yyyy")</f>
        <v>Oct-2024</v>
      </c>
      <c r="U314" t="str">
        <f>TEXT(tbl_analysis_tickets[[#This Row],[created_date]],"dddd")</f>
        <v>Thursday</v>
      </c>
      <c r="V314" cm="1">
        <f t="array" ref="V314">_xlfn.SWITCH(tbl_analysis_tickets[[#This Row],[priority]],
"Urgent",1,
"High",2,
"Medium",3,
"Low",4
)</f>
        <v>2</v>
      </c>
    </row>
    <row r="315" spans="1:22" x14ac:dyDescent="0.25">
      <c r="A315">
        <v>314</v>
      </c>
      <c r="B315" s="1">
        <v>45345</v>
      </c>
      <c r="C315" t="s">
        <v>23</v>
      </c>
      <c r="D315" t="s">
        <v>11</v>
      </c>
      <c r="E315">
        <v>98</v>
      </c>
      <c r="F315">
        <v>2</v>
      </c>
      <c r="G315">
        <v>5.3</v>
      </c>
      <c r="H315" t="s">
        <v>18</v>
      </c>
      <c r="I315" t="s">
        <v>19</v>
      </c>
      <c r="J315" t="s">
        <v>20</v>
      </c>
      <c r="K315">
        <f>_xlfn.XLOOKUP(tbl_analysis_tickets[[#This Row],[priority]],tbl_sla[priority],tbl_sla[Resolution SLA Hours])</f>
        <v>72</v>
      </c>
      <c r="L315">
        <f>_xlfn.XLOOKUP(tbl_analysis_tickets[[#This Row],[priority]],tbl_sla[priority],tbl_sla[First Response SLA Minutes])</f>
        <v>240</v>
      </c>
      <c r="M315" t="str">
        <f>IF(tbl_analysis_tickets[[#This Row],[resolution_time_hours]]&gt;tbl_analysis_tickets[[#This Row],[Resolution SLA Hours]],"Breached","Within SLA")</f>
        <v>Within SLA</v>
      </c>
      <c r="N315" t="str">
        <f>IF(tbl_analysis_tickets[[#This Row],[first_response_minutes]]&gt;tbl_analysis_tickets[[#This Row],[First Response SLA Minutes]],"Breached","Within SLA")</f>
        <v>Within SLA</v>
      </c>
      <c r="O315" t="str" cm="1">
        <f t="array" ref="O315">_xlfn.IFS(
tbl_analysis_tickets[[#This Row],[agent_experience_years]]&lt;=2,"Junior",
tbl_analysis_tickets[[#This Row],[agent_experience_years]]&lt;=5,"Mid-Level",
tbl_analysis_tickets[[#This Row],[agent_experience_years]]&lt;=8,"Senior",
tbl_analysis_tickets[[#This Row],[agent_experience_years]]&gt;8,"Expert"
)</f>
        <v>Senior</v>
      </c>
      <c r="P315" cm="1">
        <f t="array" ref="P315">_xlfn.SWITCH(tbl_analysis_tickets[[#This Row],[customer_satisfaction]],
"Low",1,
"Medium",2,
"High",3
)</f>
        <v>3</v>
      </c>
      <c r="Q315">
        <f>IF(tbl_analysis_tickets[[#This Row],[reopened]]="Yes",1,0)</f>
        <v>0</v>
      </c>
      <c r="R315" t="str" cm="1">
        <f t="array" ref="R315">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315" t="str" cm="1">
        <f t="array" ref="S31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315" t="str">
        <f>TEXT(tbl_analysis_tickets[[#This Row],[created_date]],"mmm-yyyy")</f>
        <v>Feb-2024</v>
      </c>
      <c r="U315" t="str">
        <f>TEXT(tbl_analysis_tickets[[#This Row],[created_date]],"dddd")</f>
        <v>Friday</v>
      </c>
      <c r="V315" cm="1">
        <f t="array" ref="V315">_xlfn.SWITCH(tbl_analysis_tickets[[#This Row],[priority]],
"Urgent",1,
"High",2,
"Medium",3,
"Low",4
)</f>
        <v>4</v>
      </c>
    </row>
    <row r="316" spans="1:22" x14ac:dyDescent="0.25">
      <c r="A316">
        <v>315</v>
      </c>
      <c r="B316" s="1">
        <v>45572</v>
      </c>
      <c r="C316" t="s">
        <v>21</v>
      </c>
      <c r="D316" t="s">
        <v>20</v>
      </c>
      <c r="E316">
        <v>109</v>
      </c>
      <c r="F316">
        <v>31</v>
      </c>
      <c r="G316">
        <v>8.8000000000000007</v>
      </c>
      <c r="H316" t="s">
        <v>18</v>
      </c>
      <c r="I316" t="s">
        <v>16</v>
      </c>
      <c r="J316" t="s">
        <v>11</v>
      </c>
      <c r="K316">
        <f>_xlfn.XLOOKUP(tbl_analysis_tickets[[#This Row],[priority]],tbl_sla[priority],tbl_sla[Resolution SLA Hours])</f>
        <v>24</v>
      </c>
      <c r="L316">
        <f>_xlfn.XLOOKUP(tbl_analysis_tickets[[#This Row],[priority]],tbl_sla[priority],tbl_sla[First Response SLA Minutes])</f>
        <v>60</v>
      </c>
      <c r="M316" t="str">
        <f>IF(tbl_analysis_tickets[[#This Row],[resolution_time_hours]]&gt;tbl_analysis_tickets[[#This Row],[Resolution SLA Hours]],"Breached","Within SLA")</f>
        <v>Breached</v>
      </c>
      <c r="N316" t="str">
        <f>IF(tbl_analysis_tickets[[#This Row],[first_response_minutes]]&gt;tbl_analysis_tickets[[#This Row],[First Response SLA Minutes]],"Breached","Within SLA")</f>
        <v>Breached</v>
      </c>
      <c r="O316" t="str" cm="1">
        <f t="array" ref="O316">_xlfn.IFS(
tbl_analysis_tickets[[#This Row],[agent_experience_years]]&lt;=2,"Junior",
tbl_analysis_tickets[[#This Row],[agent_experience_years]]&lt;=5,"Mid-Level",
tbl_analysis_tickets[[#This Row],[agent_experience_years]]&lt;=8,"Senior",
tbl_analysis_tickets[[#This Row],[agent_experience_years]]&gt;8,"Expert"
)</f>
        <v>Expert</v>
      </c>
      <c r="P316" cm="1">
        <f t="array" ref="P316">_xlfn.SWITCH(tbl_analysis_tickets[[#This Row],[customer_satisfaction]],
"Low",1,
"Medium",2,
"High",3
)</f>
        <v>1</v>
      </c>
      <c r="Q316">
        <f>IF(tbl_analysis_tickets[[#This Row],[reopened]]="Yes",1,0)</f>
        <v>0</v>
      </c>
      <c r="R316" t="str" cm="1">
        <f t="array" ref="R316">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316" t="str" cm="1">
        <f t="array" ref="S31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316" t="str">
        <f>TEXT(tbl_analysis_tickets[[#This Row],[created_date]],"mmm-yyyy")</f>
        <v>Oct-2024</v>
      </c>
      <c r="U316" t="str">
        <f>TEXT(tbl_analysis_tickets[[#This Row],[created_date]],"dddd")</f>
        <v>Monday</v>
      </c>
      <c r="V316" cm="1">
        <f t="array" ref="V316">_xlfn.SWITCH(tbl_analysis_tickets[[#This Row],[priority]],
"Urgent",1,
"High",2,
"Medium",3,
"Low",4
)</f>
        <v>2</v>
      </c>
    </row>
    <row r="317" spans="1:22" x14ac:dyDescent="0.25">
      <c r="A317">
        <v>316</v>
      </c>
      <c r="B317" s="1">
        <v>45525</v>
      </c>
      <c r="C317" t="s">
        <v>23</v>
      </c>
      <c r="D317" t="s">
        <v>20</v>
      </c>
      <c r="E317">
        <v>200</v>
      </c>
      <c r="F317">
        <v>55</v>
      </c>
      <c r="G317">
        <v>8.1999999999999993</v>
      </c>
      <c r="H317" t="s">
        <v>18</v>
      </c>
      <c r="I317" t="s">
        <v>19</v>
      </c>
      <c r="J317" t="s">
        <v>11</v>
      </c>
      <c r="K317">
        <f>_xlfn.XLOOKUP(tbl_analysis_tickets[[#This Row],[priority]],tbl_sla[priority],tbl_sla[Resolution SLA Hours])</f>
        <v>24</v>
      </c>
      <c r="L317">
        <f>_xlfn.XLOOKUP(tbl_analysis_tickets[[#This Row],[priority]],tbl_sla[priority],tbl_sla[First Response SLA Minutes])</f>
        <v>60</v>
      </c>
      <c r="M317" t="str">
        <f>IF(tbl_analysis_tickets[[#This Row],[resolution_time_hours]]&gt;tbl_analysis_tickets[[#This Row],[Resolution SLA Hours]],"Breached","Within SLA")</f>
        <v>Breached</v>
      </c>
      <c r="N317" t="str">
        <f>IF(tbl_analysis_tickets[[#This Row],[first_response_minutes]]&gt;tbl_analysis_tickets[[#This Row],[First Response SLA Minutes]],"Breached","Within SLA")</f>
        <v>Breached</v>
      </c>
      <c r="O317" t="str" cm="1">
        <f t="array" ref="O317">_xlfn.IFS(
tbl_analysis_tickets[[#This Row],[agent_experience_years]]&lt;=2,"Junior",
tbl_analysis_tickets[[#This Row],[agent_experience_years]]&lt;=5,"Mid-Level",
tbl_analysis_tickets[[#This Row],[agent_experience_years]]&lt;=8,"Senior",
tbl_analysis_tickets[[#This Row],[agent_experience_years]]&gt;8,"Expert"
)</f>
        <v>Expert</v>
      </c>
      <c r="P317" cm="1">
        <f t="array" ref="P317">_xlfn.SWITCH(tbl_analysis_tickets[[#This Row],[customer_satisfaction]],
"Low",1,
"Medium",2,
"High",3
)</f>
        <v>1</v>
      </c>
      <c r="Q317">
        <f>IF(tbl_analysis_tickets[[#This Row],[reopened]]="Yes",1,0)</f>
        <v>0</v>
      </c>
      <c r="R317" t="str" cm="1">
        <f t="array" ref="R317">_xlfn.IFS(
tbl_analysis_tickets[[#This Row],[first_response_minutes]]&lt;=30,"Very Fast",
tbl_analysis_tickets[[#This Row],[first_response_minutes]]&lt;=120,"Acceptable",
tbl_analysis_tickets[[#This Row],[first_response_minutes]]&lt;=240,"Slow",
tbl_analysis_tickets[[#This Row],[first_response_minutes]]&gt;240,"Very Slow"
)</f>
        <v>Slow</v>
      </c>
      <c r="S317" t="str" cm="1">
        <f t="array" ref="S31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317" t="str">
        <f>TEXT(tbl_analysis_tickets[[#This Row],[created_date]],"mmm-yyyy")</f>
        <v>Aug-2024</v>
      </c>
      <c r="U317" t="str">
        <f>TEXT(tbl_analysis_tickets[[#This Row],[created_date]],"dddd")</f>
        <v>Wednesday</v>
      </c>
      <c r="V317" cm="1">
        <f t="array" ref="V317">_xlfn.SWITCH(tbl_analysis_tickets[[#This Row],[priority]],
"Urgent",1,
"High",2,
"Medium",3,
"Low",4
)</f>
        <v>2</v>
      </c>
    </row>
    <row r="318" spans="1:22" x14ac:dyDescent="0.25">
      <c r="A318">
        <v>317</v>
      </c>
      <c r="B318" s="1">
        <v>45543</v>
      </c>
      <c r="C318" t="s">
        <v>22</v>
      </c>
      <c r="D318" t="s">
        <v>15</v>
      </c>
      <c r="E318">
        <v>128</v>
      </c>
      <c r="F318">
        <v>52</v>
      </c>
      <c r="G318">
        <v>5</v>
      </c>
      <c r="H318" t="s">
        <v>12</v>
      </c>
      <c r="I318" t="s">
        <v>16</v>
      </c>
      <c r="J318" t="s">
        <v>11</v>
      </c>
      <c r="K318">
        <f>_xlfn.XLOOKUP(tbl_analysis_tickets[[#This Row],[priority]],tbl_sla[priority],tbl_sla[Resolution SLA Hours])</f>
        <v>48</v>
      </c>
      <c r="L318">
        <f>_xlfn.XLOOKUP(tbl_analysis_tickets[[#This Row],[priority]],tbl_sla[priority],tbl_sla[First Response SLA Minutes])</f>
        <v>120</v>
      </c>
      <c r="M318" t="str">
        <f>IF(tbl_analysis_tickets[[#This Row],[resolution_time_hours]]&gt;tbl_analysis_tickets[[#This Row],[Resolution SLA Hours]],"Breached","Within SLA")</f>
        <v>Breached</v>
      </c>
      <c r="N318" t="str">
        <f>IF(tbl_analysis_tickets[[#This Row],[first_response_minutes]]&gt;tbl_analysis_tickets[[#This Row],[First Response SLA Minutes]],"Breached","Within SLA")</f>
        <v>Breached</v>
      </c>
      <c r="O318" t="str" cm="1">
        <f t="array" ref="O318">_xlfn.IFS(
tbl_analysis_tickets[[#This Row],[agent_experience_years]]&lt;=2,"Junior",
tbl_analysis_tickets[[#This Row],[agent_experience_years]]&lt;=5,"Mid-Level",
tbl_analysis_tickets[[#This Row],[agent_experience_years]]&lt;=8,"Senior",
tbl_analysis_tickets[[#This Row],[agent_experience_years]]&gt;8,"Expert"
)</f>
        <v>Mid-Level</v>
      </c>
      <c r="P318" cm="1">
        <f t="array" ref="P318">_xlfn.SWITCH(tbl_analysis_tickets[[#This Row],[customer_satisfaction]],
"Low",1,
"Medium",2,
"High",3
)</f>
        <v>1</v>
      </c>
      <c r="Q318">
        <f>IF(tbl_analysis_tickets[[#This Row],[reopened]]="Yes",1,0)</f>
        <v>1</v>
      </c>
      <c r="R318" t="str" cm="1">
        <f t="array" ref="R318">_xlfn.IFS(
tbl_analysis_tickets[[#This Row],[first_response_minutes]]&lt;=30,"Very Fast",
tbl_analysis_tickets[[#This Row],[first_response_minutes]]&lt;=120,"Acceptable",
tbl_analysis_tickets[[#This Row],[first_response_minutes]]&lt;=240,"Slow",
tbl_analysis_tickets[[#This Row],[first_response_minutes]]&gt;240,"Very Slow"
)</f>
        <v>Slow</v>
      </c>
      <c r="S318" t="str" cm="1">
        <f t="array" ref="S31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318" t="str">
        <f>TEXT(tbl_analysis_tickets[[#This Row],[created_date]],"mmm-yyyy")</f>
        <v>Sep-2024</v>
      </c>
      <c r="U318" t="str">
        <f>TEXT(tbl_analysis_tickets[[#This Row],[created_date]],"dddd")</f>
        <v>Sunday</v>
      </c>
      <c r="V318" cm="1">
        <f t="array" ref="V318">_xlfn.SWITCH(tbl_analysis_tickets[[#This Row],[priority]],
"Urgent",1,
"High",2,
"Medium",3,
"Low",4
)</f>
        <v>3</v>
      </c>
    </row>
    <row r="319" spans="1:22" x14ac:dyDescent="0.25">
      <c r="A319">
        <v>318</v>
      </c>
      <c r="B319" s="1">
        <v>45621</v>
      </c>
      <c r="C319" t="s">
        <v>22</v>
      </c>
      <c r="D319" t="s">
        <v>17</v>
      </c>
      <c r="E319">
        <v>6</v>
      </c>
      <c r="F319">
        <v>20</v>
      </c>
      <c r="G319">
        <v>2</v>
      </c>
      <c r="H319" t="s">
        <v>18</v>
      </c>
      <c r="I319" t="s">
        <v>13</v>
      </c>
      <c r="J319" t="s">
        <v>15</v>
      </c>
      <c r="K319">
        <f>_xlfn.XLOOKUP(tbl_analysis_tickets[[#This Row],[priority]],tbl_sla[priority],tbl_sla[Resolution SLA Hours])</f>
        <v>8</v>
      </c>
      <c r="L319">
        <f>_xlfn.XLOOKUP(tbl_analysis_tickets[[#This Row],[priority]],tbl_sla[priority],tbl_sla[First Response SLA Minutes])</f>
        <v>30</v>
      </c>
      <c r="M319" t="str">
        <f>IF(tbl_analysis_tickets[[#This Row],[resolution_time_hours]]&gt;tbl_analysis_tickets[[#This Row],[Resolution SLA Hours]],"Breached","Within SLA")</f>
        <v>Breached</v>
      </c>
      <c r="N319" t="str">
        <f>IF(tbl_analysis_tickets[[#This Row],[first_response_minutes]]&gt;tbl_analysis_tickets[[#This Row],[First Response SLA Minutes]],"Breached","Within SLA")</f>
        <v>Within SLA</v>
      </c>
      <c r="O319" t="str" cm="1">
        <f t="array" ref="O319">_xlfn.IFS(
tbl_analysis_tickets[[#This Row],[agent_experience_years]]&lt;=2,"Junior",
tbl_analysis_tickets[[#This Row],[agent_experience_years]]&lt;=5,"Mid-Level",
tbl_analysis_tickets[[#This Row],[agent_experience_years]]&lt;=8,"Senior",
tbl_analysis_tickets[[#This Row],[agent_experience_years]]&gt;8,"Expert"
)</f>
        <v>Junior</v>
      </c>
      <c r="P319" cm="1">
        <f t="array" ref="P319">_xlfn.SWITCH(tbl_analysis_tickets[[#This Row],[customer_satisfaction]],
"Low",1,
"Medium",2,
"High",3
)</f>
        <v>2</v>
      </c>
      <c r="Q319">
        <f>IF(tbl_analysis_tickets[[#This Row],[reopened]]="Yes",1,0)</f>
        <v>0</v>
      </c>
      <c r="R319" t="str" cm="1">
        <f t="array" ref="R319">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319" t="str" cm="1">
        <f t="array" ref="S31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319" t="str">
        <f>TEXT(tbl_analysis_tickets[[#This Row],[created_date]],"mmm-yyyy")</f>
        <v>Nov-2024</v>
      </c>
      <c r="U319" t="str">
        <f>TEXT(tbl_analysis_tickets[[#This Row],[created_date]],"dddd")</f>
        <v>Monday</v>
      </c>
      <c r="V319" cm="1">
        <f t="array" ref="V319">_xlfn.SWITCH(tbl_analysis_tickets[[#This Row],[priority]],
"Urgent",1,
"High",2,
"Medium",3,
"Low",4
)</f>
        <v>1</v>
      </c>
    </row>
    <row r="320" spans="1:22" x14ac:dyDescent="0.25">
      <c r="A320">
        <v>319</v>
      </c>
      <c r="B320" s="1">
        <v>45509</v>
      </c>
      <c r="C320" t="s">
        <v>23</v>
      </c>
      <c r="D320" t="s">
        <v>11</v>
      </c>
      <c r="E320">
        <v>181</v>
      </c>
      <c r="F320">
        <v>70</v>
      </c>
      <c r="G320">
        <v>9.1999999999999993</v>
      </c>
      <c r="H320" t="s">
        <v>18</v>
      </c>
      <c r="I320" t="s">
        <v>16</v>
      </c>
      <c r="J320" t="s">
        <v>15</v>
      </c>
      <c r="K320">
        <f>_xlfn.XLOOKUP(tbl_analysis_tickets[[#This Row],[priority]],tbl_sla[priority],tbl_sla[Resolution SLA Hours])</f>
        <v>72</v>
      </c>
      <c r="L320">
        <f>_xlfn.XLOOKUP(tbl_analysis_tickets[[#This Row],[priority]],tbl_sla[priority],tbl_sla[First Response SLA Minutes])</f>
        <v>240</v>
      </c>
      <c r="M320" t="str">
        <f>IF(tbl_analysis_tickets[[#This Row],[resolution_time_hours]]&gt;tbl_analysis_tickets[[#This Row],[Resolution SLA Hours]],"Breached","Within SLA")</f>
        <v>Within SLA</v>
      </c>
      <c r="N320" t="str">
        <f>IF(tbl_analysis_tickets[[#This Row],[first_response_minutes]]&gt;tbl_analysis_tickets[[#This Row],[First Response SLA Minutes]],"Breached","Within SLA")</f>
        <v>Within SLA</v>
      </c>
      <c r="O320" t="str" cm="1">
        <f t="array" ref="O320">_xlfn.IFS(
tbl_analysis_tickets[[#This Row],[agent_experience_years]]&lt;=2,"Junior",
tbl_analysis_tickets[[#This Row],[agent_experience_years]]&lt;=5,"Mid-Level",
tbl_analysis_tickets[[#This Row],[agent_experience_years]]&lt;=8,"Senior",
tbl_analysis_tickets[[#This Row],[agent_experience_years]]&gt;8,"Expert"
)</f>
        <v>Expert</v>
      </c>
      <c r="P320" cm="1">
        <f t="array" ref="P320">_xlfn.SWITCH(tbl_analysis_tickets[[#This Row],[customer_satisfaction]],
"Low",1,
"Medium",2,
"High",3
)</f>
        <v>2</v>
      </c>
      <c r="Q320">
        <f>IF(tbl_analysis_tickets[[#This Row],[reopened]]="Yes",1,0)</f>
        <v>0</v>
      </c>
      <c r="R320" t="str" cm="1">
        <f t="array" ref="R320">_xlfn.IFS(
tbl_analysis_tickets[[#This Row],[first_response_minutes]]&lt;=30,"Very Fast",
tbl_analysis_tickets[[#This Row],[first_response_minutes]]&lt;=120,"Acceptable",
tbl_analysis_tickets[[#This Row],[first_response_minutes]]&lt;=240,"Slow",
tbl_analysis_tickets[[#This Row],[first_response_minutes]]&gt;240,"Very Slow"
)</f>
        <v>Slow</v>
      </c>
      <c r="S320" t="str" cm="1">
        <f t="array" ref="S32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320" t="str">
        <f>TEXT(tbl_analysis_tickets[[#This Row],[created_date]],"mmm-yyyy")</f>
        <v>Aug-2024</v>
      </c>
      <c r="U320" t="str">
        <f>TEXT(tbl_analysis_tickets[[#This Row],[created_date]],"dddd")</f>
        <v>Monday</v>
      </c>
      <c r="V320" cm="1">
        <f t="array" ref="V320">_xlfn.SWITCH(tbl_analysis_tickets[[#This Row],[priority]],
"Urgent",1,
"High",2,
"Medium",3,
"Low",4
)</f>
        <v>4</v>
      </c>
    </row>
    <row r="321" spans="1:22" x14ac:dyDescent="0.25">
      <c r="A321">
        <v>320</v>
      </c>
      <c r="B321" s="1">
        <v>45320</v>
      </c>
      <c r="C321" t="s">
        <v>23</v>
      </c>
      <c r="D321" t="s">
        <v>11</v>
      </c>
      <c r="E321">
        <v>61</v>
      </c>
      <c r="F321">
        <v>43</v>
      </c>
      <c r="G321">
        <v>4.5</v>
      </c>
      <c r="H321" t="s">
        <v>12</v>
      </c>
      <c r="I321" t="s">
        <v>16</v>
      </c>
      <c r="J321" t="s">
        <v>11</v>
      </c>
      <c r="K321">
        <f>_xlfn.XLOOKUP(tbl_analysis_tickets[[#This Row],[priority]],tbl_sla[priority],tbl_sla[Resolution SLA Hours])</f>
        <v>72</v>
      </c>
      <c r="L321">
        <f>_xlfn.XLOOKUP(tbl_analysis_tickets[[#This Row],[priority]],tbl_sla[priority],tbl_sla[First Response SLA Minutes])</f>
        <v>240</v>
      </c>
      <c r="M321" t="str">
        <f>IF(tbl_analysis_tickets[[#This Row],[resolution_time_hours]]&gt;tbl_analysis_tickets[[#This Row],[Resolution SLA Hours]],"Breached","Within SLA")</f>
        <v>Within SLA</v>
      </c>
      <c r="N321" t="str">
        <f>IF(tbl_analysis_tickets[[#This Row],[first_response_minutes]]&gt;tbl_analysis_tickets[[#This Row],[First Response SLA Minutes]],"Breached","Within SLA")</f>
        <v>Within SLA</v>
      </c>
      <c r="O321" t="str" cm="1">
        <f t="array" ref="O321">_xlfn.IFS(
tbl_analysis_tickets[[#This Row],[agent_experience_years]]&lt;=2,"Junior",
tbl_analysis_tickets[[#This Row],[agent_experience_years]]&lt;=5,"Mid-Level",
tbl_analysis_tickets[[#This Row],[agent_experience_years]]&lt;=8,"Senior",
tbl_analysis_tickets[[#This Row],[agent_experience_years]]&gt;8,"Expert"
)</f>
        <v>Mid-Level</v>
      </c>
      <c r="P321" cm="1">
        <f t="array" ref="P321">_xlfn.SWITCH(tbl_analysis_tickets[[#This Row],[customer_satisfaction]],
"Low",1,
"Medium",2,
"High",3
)</f>
        <v>1</v>
      </c>
      <c r="Q321">
        <f>IF(tbl_analysis_tickets[[#This Row],[reopened]]="Yes",1,0)</f>
        <v>1</v>
      </c>
      <c r="R321" t="str" cm="1">
        <f t="array" ref="R321">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321" t="str" cm="1">
        <f t="array" ref="S32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321" t="str">
        <f>TEXT(tbl_analysis_tickets[[#This Row],[created_date]],"mmm-yyyy")</f>
        <v>Jan-2024</v>
      </c>
      <c r="U321" t="str">
        <f>TEXT(tbl_analysis_tickets[[#This Row],[created_date]],"dddd")</f>
        <v>Monday</v>
      </c>
      <c r="V321" cm="1">
        <f t="array" ref="V321">_xlfn.SWITCH(tbl_analysis_tickets[[#This Row],[priority]],
"Urgent",1,
"High",2,
"Medium",3,
"Low",4
)</f>
        <v>4</v>
      </c>
    </row>
    <row r="322" spans="1:22" x14ac:dyDescent="0.25">
      <c r="A322">
        <v>321</v>
      </c>
      <c r="B322" s="1">
        <v>45458</v>
      </c>
      <c r="C322" t="s">
        <v>22</v>
      </c>
      <c r="D322" t="s">
        <v>11</v>
      </c>
      <c r="E322">
        <v>216</v>
      </c>
      <c r="F322">
        <v>53</v>
      </c>
      <c r="G322">
        <v>3.8</v>
      </c>
      <c r="H322" t="s">
        <v>12</v>
      </c>
      <c r="I322" t="s">
        <v>13</v>
      </c>
      <c r="J322" t="s">
        <v>11</v>
      </c>
      <c r="K322">
        <f>_xlfn.XLOOKUP(tbl_analysis_tickets[[#This Row],[priority]],tbl_sla[priority],tbl_sla[Resolution SLA Hours])</f>
        <v>72</v>
      </c>
      <c r="L322">
        <f>_xlfn.XLOOKUP(tbl_analysis_tickets[[#This Row],[priority]],tbl_sla[priority],tbl_sla[First Response SLA Minutes])</f>
        <v>240</v>
      </c>
      <c r="M322" t="str">
        <f>IF(tbl_analysis_tickets[[#This Row],[resolution_time_hours]]&gt;tbl_analysis_tickets[[#This Row],[Resolution SLA Hours]],"Breached","Within SLA")</f>
        <v>Within SLA</v>
      </c>
      <c r="N322" t="str">
        <f>IF(tbl_analysis_tickets[[#This Row],[first_response_minutes]]&gt;tbl_analysis_tickets[[#This Row],[First Response SLA Minutes]],"Breached","Within SLA")</f>
        <v>Within SLA</v>
      </c>
      <c r="O322" t="str" cm="1">
        <f t="array" ref="O322">_xlfn.IFS(
tbl_analysis_tickets[[#This Row],[agent_experience_years]]&lt;=2,"Junior",
tbl_analysis_tickets[[#This Row],[agent_experience_years]]&lt;=5,"Mid-Level",
tbl_analysis_tickets[[#This Row],[agent_experience_years]]&lt;=8,"Senior",
tbl_analysis_tickets[[#This Row],[agent_experience_years]]&gt;8,"Expert"
)</f>
        <v>Mid-Level</v>
      </c>
      <c r="P322" cm="1">
        <f t="array" ref="P322">_xlfn.SWITCH(tbl_analysis_tickets[[#This Row],[customer_satisfaction]],
"Low",1,
"Medium",2,
"High",3
)</f>
        <v>1</v>
      </c>
      <c r="Q322">
        <f>IF(tbl_analysis_tickets[[#This Row],[reopened]]="Yes",1,0)</f>
        <v>1</v>
      </c>
      <c r="R322" t="str" cm="1">
        <f t="array" ref="R322">_xlfn.IFS(
tbl_analysis_tickets[[#This Row],[first_response_minutes]]&lt;=30,"Very Fast",
tbl_analysis_tickets[[#This Row],[first_response_minutes]]&lt;=120,"Acceptable",
tbl_analysis_tickets[[#This Row],[first_response_minutes]]&lt;=240,"Slow",
tbl_analysis_tickets[[#This Row],[first_response_minutes]]&gt;240,"Very Slow"
)</f>
        <v>Slow</v>
      </c>
      <c r="S322" t="str" cm="1">
        <f t="array" ref="S32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322" t="str">
        <f>TEXT(tbl_analysis_tickets[[#This Row],[created_date]],"mmm-yyyy")</f>
        <v>Jun-2024</v>
      </c>
      <c r="U322" t="str">
        <f>TEXT(tbl_analysis_tickets[[#This Row],[created_date]],"dddd")</f>
        <v>Saturday</v>
      </c>
      <c r="V322" cm="1">
        <f t="array" ref="V322">_xlfn.SWITCH(tbl_analysis_tickets[[#This Row],[priority]],
"Urgent",1,
"High",2,
"Medium",3,
"Low",4
)</f>
        <v>4</v>
      </c>
    </row>
    <row r="323" spans="1:22" x14ac:dyDescent="0.25">
      <c r="A323">
        <v>322</v>
      </c>
      <c r="B323" s="1">
        <v>45494</v>
      </c>
      <c r="C323" t="s">
        <v>10</v>
      </c>
      <c r="D323" t="s">
        <v>20</v>
      </c>
      <c r="E323">
        <v>98</v>
      </c>
      <c r="F323">
        <v>15</v>
      </c>
      <c r="G323">
        <v>8.8000000000000007</v>
      </c>
      <c r="H323" t="s">
        <v>18</v>
      </c>
      <c r="I323" t="s">
        <v>19</v>
      </c>
      <c r="J323" t="s">
        <v>11</v>
      </c>
      <c r="K323">
        <f>_xlfn.XLOOKUP(tbl_analysis_tickets[[#This Row],[priority]],tbl_sla[priority],tbl_sla[Resolution SLA Hours])</f>
        <v>24</v>
      </c>
      <c r="L323">
        <f>_xlfn.XLOOKUP(tbl_analysis_tickets[[#This Row],[priority]],tbl_sla[priority],tbl_sla[First Response SLA Minutes])</f>
        <v>60</v>
      </c>
      <c r="M323" t="str">
        <f>IF(tbl_analysis_tickets[[#This Row],[resolution_time_hours]]&gt;tbl_analysis_tickets[[#This Row],[Resolution SLA Hours]],"Breached","Within SLA")</f>
        <v>Within SLA</v>
      </c>
      <c r="N323" t="str">
        <f>IF(tbl_analysis_tickets[[#This Row],[first_response_minutes]]&gt;tbl_analysis_tickets[[#This Row],[First Response SLA Minutes]],"Breached","Within SLA")</f>
        <v>Breached</v>
      </c>
      <c r="O323" t="str" cm="1">
        <f t="array" ref="O323">_xlfn.IFS(
tbl_analysis_tickets[[#This Row],[agent_experience_years]]&lt;=2,"Junior",
tbl_analysis_tickets[[#This Row],[agent_experience_years]]&lt;=5,"Mid-Level",
tbl_analysis_tickets[[#This Row],[agent_experience_years]]&lt;=8,"Senior",
tbl_analysis_tickets[[#This Row],[agent_experience_years]]&gt;8,"Expert"
)</f>
        <v>Expert</v>
      </c>
      <c r="P323" cm="1">
        <f t="array" ref="P323">_xlfn.SWITCH(tbl_analysis_tickets[[#This Row],[customer_satisfaction]],
"Low",1,
"Medium",2,
"High",3
)</f>
        <v>1</v>
      </c>
      <c r="Q323">
        <f>IF(tbl_analysis_tickets[[#This Row],[reopened]]="Yes",1,0)</f>
        <v>0</v>
      </c>
      <c r="R323" t="str" cm="1">
        <f t="array" ref="R323">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323" t="str" cm="1">
        <f t="array" ref="S32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323" t="str">
        <f>TEXT(tbl_analysis_tickets[[#This Row],[created_date]],"mmm-yyyy")</f>
        <v>Jul-2024</v>
      </c>
      <c r="U323" t="str">
        <f>TEXT(tbl_analysis_tickets[[#This Row],[created_date]],"dddd")</f>
        <v>Sunday</v>
      </c>
      <c r="V323" cm="1">
        <f t="array" ref="V323">_xlfn.SWITCH(tbl_analysis_tickets[[#This Row],[priority]],
"Urgent",1,
"High",2,
"Medium",3,
"Low",4
)</f>
        <v>2</v>
      </c>
    </row>
    <row r="324" spans="1:22" x14ac:dyDescent="0.25">
      <c r="A324">
        <v>323</v>
      </c>
      <c r="B324" s="1">
        <v>45349</v>
      </c>
      <c r="C324" t="s">
        <v>14</v>
      </c>
      <c r="D324" t="s">
        <v>17</v>
      </c>
      <c r="E324">
        <v>182</v>
      </c>
      <c r="F324">
        <v>21</v>
      </c>
      <c r="G324">
        <v>7.6</v>
      </c>
      <c r="H324" t="s">
        <v>12</v>
      </c>
      <c r="I324" t="s">
        <v>19</v>
      </c>
      <c r="J324" t="s">
        <v>11</v>
      </c>
      <c r="K324">
        <f>_xlfn.XLOOKUP(tbl_analysis_tickets[[#This Row],[priority]],tbl_sla[priority],tbl_sla[Resolution SLA Hours])</f>
        <v>8</v>
      </c>
      <c r="L324">
        <f>_xlfn.XLOOKUP(tbl_analysis_tickets[[#This Row],[priority]],tbl_sla[priority],tbl_sla[First Response SLA Minutes])</f>
        <v>30</v>
      </c>
      <c r="M324" t="str">
        <f>IF(tbl_analysis_tickets[[#This Row],[resolution_time_hours]]&gt;tbl_analysis_tickets[[#This Row],[Resolution SLA Hours]],"Breached","Within SLA")</f>
        <v>Breached</v>
      </c>
      <c r="N324" t="str">
        <f>IF(tbl_analysis_tickets[[#This Row],[first_response_minutes]]&gt;tbl_analysis_tickets[[#This Row],[First Response SLA Minutes]],"Breached","Within SLA")</f>
        <v>Breached</v>
      </c>
      <c r="O324" t="str" cm="1">
        <f t="array" ref="O324">_xlfn.IFS(
tbl_analysis_tickets[[#This Row],[agent_experience_years]]&lt;=2,"Junior",
tbl_analysis_tickets[[#This Row],[agent_experience_years]]&lt;=5,"Mid-Level",
tbl_analysis_tickets[[#This Row],[agent_experience_years]]&lt;=8,"Senior",
tbl_analysis_tickets[[#This Row],[agent_experience_years]]&gt;8,"Expert"
)</f>
        <v>Senior</v>
      </c>
      <c r="P324" cm="1">
        <f t="array" ref="P324">_xlfn.SWITCH(tbl_analysis_tickets[[#This Row],[customer_satisfaction]],
"Low",1,
"Medium",2,
"High",3
)</f>
        <v>1</v>
      </c>
      <c r="Q324">
        <f>IF(tbl_analysis_tickets[[#This Row],[reopened]]="Yes",1,0)</f>
        <v>1</v>
      </c>
      <c r="R324" t="str" cm="1">
        <f t="array" ref="R324">_xlfn.IFS(
tbl_analysis_tickets[[#This Row],[first_response_minutes]]&lt;=30,"Very Fast",
tbl_analysis_tickets[[#This Row],[first_response_minutes]]&lt;=120,"Acceptable",
tbl_analysis_tickets[[#This Row],[first_response_minutes]]&lt;=240,"Slow",
tbl_analysis_tickets[[#This Row],[first_response_minutes]]&gt;240,"Very Slow"
)</f>
        <v>Slow</v>
      </c>
      <c r="S324" t="str" cm="1">
        <f t="array" ref="S32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324" t="str">
        <f>TEXT(tbl_analysis_tickets[[#This Row],[created_date]],"mmm-yyyy")</f>
        <v>Feb-2024</v>
      </c>
      <c r="U324" t="str">
        <f>TEXT(tbl_analysis_tickets[[#This Row],[created_date]],"dddd")</f>
        <v>Tuesday</v>
      </c>
      <c r="V324" cm="1">
        <f t="array" ref="V324">_xlfn.SWITCH(tbl_analysis_tickets[[#This Row],[priority]],
"Urgent",1,
"High",2,
"Medium",3,
"Low",4
)</f>
        <v>1</v>
      </c>
    </row>
    <row r="325" spans="1:22" x14ac:dyDescent="0.25">
      <c r="A325">
        <v>324</v>
      </c>
      <c r="B325" s="1">
        <v>45497</v>
      </c>
      <c r="C325" t="s">
        <v>21</v>
      </c>
      <c r="D325" t="s">
        <v>17</v>
      </c>
      <c r="E325">
        <v>225</v>
      </c>
      <c r="F325">
        <v>30</v>
      </c>
      <c r="G325">
        <v>1.7</v>
      </c>
      <c r="H325" t="s">
        <v>18</v>
      </c>
      <c r="I325" t="s">
        <v>16</v>
      </c>
      <c r="J325" t="s">
        <v>11</v>
      </c>
      <c r="K325">
        <f>_xlfn.XLOOKUP(tbl_analysis_tickets[[#This Row],[priority]],tbl_sla[priority],tbl_sla[Resolution SLA Hours])</f>
        <v>8</v>
      </c>
      <c r="L325">
        <f>_xlfn.XLOOKUP(tbl_analysis_tickets[[#This Row],[priority]],tbl_sla[priority],tbl_sla[First Response SLA Minutes])</f>
        <v>30</v>
      </c>
      <c r="M325" t="str">
        <f>IF(tbl_analysis_tickets[[#This Row],[resolution_time_hours]]&gt;tbl_analysis_tickets[[#This Row],[Resolution SLA Hours]],"Breached","Within SLA")</f>
        <v>Breached</v>
      </c>
      <c r="N325" t="str">
        <f>IF(tbl_analysis_tickets[[#This Row],[first_response_minutes]]&gt;tbl_analysis_tickets[[#This Row],[First Response SLA Minutes]],"Breached","Within SLA")</f>
        <v>Breached</v>
      </c>
      <c r="O325" t="str" cm="1">
        <f t="array" ref="O325">_xlfn.IFS(
tbl_analysis_tickets[[#This Row],[agent_experience_years]]&lt;=2,"Junior",
tbl_analysis_tickets[[#This Row],[agent_experience_years]]&lt;=5,"Mid-Level",
tbl_analysis_tickets[[#This Row],[agent_experience_years]]&lt;=8,"Senior",
tbl_analysis_tickets[[#This Row],[agent_experience_years]]&gt;8,"Expert"
)</f>
        <v>Junior</v>
      </c>
      <c r="P325" cm="1">
        <f t="array" ref="P325">_xlfn.SWITCH(tbl_analysis_tickets[[#This Row],[customer_satisfaction]],
"Low",1,
"Medium",2,
"High",3
)</f>
        <v>1</v>
      </c>
      <c r="Q325">
        <f>IF(tbl_analysis_tickets[[#This Row],[reopened]]="Yes",1,0)</f>
        <v>0</v>
      </c>
      <c r="R325" t="str" cm="1">
        <f t="array" ref="R325">_xlfn.IFS(
tbl_analysis_tickets[[#This Row],[first_response_minutes]]&lt;=30,"Very Fast",
tbl_analysis_tickets[[#This Row],[first_response_minutes]]&lt;=120,"Acceptable",
tbl_analysis_tickets[[#This Row],[first_response_minutes]]&lt;=240,"Slow",
tbl_analysis_tickets[[#This Row],[first_response_minutes]]&gt;240,"Very Slow"
)</f>
        <v>Slow</v>
      </c>
      <c r="S325" t="str" cm="1">
        <f t="array" ref="S32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325" t="str">
        <f>TEXT(tbl_analysis_tickets[[#This Row],[created_date]],"mmm-yyyy")</f>
        <v>Jul-2024</v>
      </c>
      <c r="U325" t="str">
        <f>TEXT(tbl_analysis_tickets[[#This Row],[created_date]],"dddd")</f>
        <v>Wednesday</v>
      </c>
      <c r="V325" cm="1">
        <f t="array" ref="V325">_xlfn.SWITCH(tbl_analysis_tickets[[#This Row],[priority]],
"Urgent",1,
"High",2,
"Medium",3,
"Low",4
)</f>
        <v>1</v>
      </c>
    </row>
    <row r="326" spans="1:22" x14ac:dyDescent="0.25">
      <c r="A326">
        <v>325</v>
      </c>
      <c r="B326" s="1">
        <v>45415</v>
      </c>
      <c r="C326" t="s">
        <v>22</v>
      </c>
      <c r="D326" t="s">
        <v>11</v>
      </c>
      <c r="E326">
        <v>140</v>
      </c>
      <c r="F326">
        <v>24</v>
      </c>
      <c r="G326">
        <v>3.4</v>
      </c>
      <c r="H326" t="s">
        <v>12</v>
      </c>
      <c r="I326" t="s">
        <v>19</v>
      </c>
      <c r="J326" t="s">
        <v>11</v>
      </c>
      <c r="K326">
        <f>_xlfn.XLOOKUP(tbl_analysis_tickets[[#This Row],[priority]],tbl_sla[priority],tbl_sla[Resolution SLA Hours])</f>
        <v>72</v>
      </c>
      <c r="L326">
        <f>_xlfn.XLOOKUP(tbl_analysis_tickets[[#This Row],[priority]],tbl_sla[priority],tbl_sla[First Response SLA Minutes])</f>
        <v>240</v>
      </c>
      <c r="M326" t="str">
        <f>IF(tbl_analysis_tickets[[#This Row],[resolution_time_hours]]&gt;tbl_analysis_tickets[[#This Row],[Resolution SLA Hours]],"Breached","Within SLA")</f>
        <v>Within SLA</v>
      </c>
      <c r="N326" t="str">
        <f>IF(tbl_analysis_tickets[[#This Row],[first_response_minutes]]&gt;tbl_analysis_tickets[[#This Row],[First Response SLA Minutes]],"Breached","Within SLA")</f>
        <v>Within SLA</v>
      </c>
      <c r="O326" t="str" cm="1">
        <f t="array" ref="O326">_xlfn.IFS(
tbl_analysis_tickets[[#This Row],[agent_experience_years]]&lt;=2,"Junior",
tbl_analysis_tickets[[#This Row],[agent_experience_years]]&lt;=5,"Mid-Level",
tbl_analysis_tickets[[#This Row],[agent_experience_years]]&lt;=8,"Senior",
tbl_analysis_tickets[[#This Row],[agent_experience_years]]&gt;8,"Expert"
)</f>
        <v>Mid-Level</v>
      </c>
      <c r="P326" cm="1">
        <f t="array" ref="P326">_xlfn.SWITCH(tbl_analysis_tickets[[#This Row],[customer_satisfaction]],
"Low",1,
"Medium",2,
"High",3
)</f>
        <v>1</v>
      </c>
      <c r="Q326">
        <f>IF(tbl_analysis_tickets[[#This Row],[reopened]]="Yes",1,0)</f>
        <v>1</v>
      </c>
      <c r="R326" t="str" cm="1">
        <f t="array" ref="R326">_xlfn.IFS(
tbl_analysis_tickets[[#This Row],[first_response_minutes]]&lt;=30,"Very Fast",
tbl_analysis_tickets[[#This Row],[first_response_minutes]]&lt;=120,"Acceptable",
tbl_analysis_tickets[[#This Row],[first_response_minutes]]&lt;=240,"Slow",
tbl_analysis_tickets[[#This Row],[first_response_minutes]]&gt;240,"Very Slow"
)</f>
        <v>Slow</v>
      </c>
      <c r="S326" t="str" cm="1">
        <f t="array" ref="S32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326" t="str">
        <f>TEXT(tbl_analysis_tickets[[#This Row],[created_date]],"mmm-yyyy")</f>
        <v>May-2024</v>
      </c>
      <c r="U326" t="str">
        <f>TEXT(tbl_analysis_tickets[[#This Row],[created_date]],"dddd")</f>
        <v>Friday</v>
      </c>
      <c r="V326" cm="1">
        <f t="array" ref="V326">_xlfn.SWITCH(tbl_analysis_tickets[[#This Row],[priority]],
"Urgent",1,
"High",2,
"Medium",3,
"Low",4
)</f>
        <v>4</v>
      </c>
    </row>
    <row r="327" spans="1:22" x14ac:dyDescent="0.25">
      <c r="A327">
        <v>326</v>
      </c>
      <c r="B327" s="1">
        <v>45532</v>
      </c>
      <c r="C327" t="s">
        <v>23</v>
      </c>
      <c r="D327" t="s">
        <v>15</v>
      </c>
      <c r="E327">
        <v>215</v>
      </c>
      <c r="F327">
        <v>62</v>
      </c>
      <c r="G327">
        <v>5.7</v>
      </c>
      <c r="H327" t="s">
        <v>18</v>
      </c>
      <c r="I327" t="s">
        <v>13</v>
      </c>
      <c r="J327" t="s">
        <v>15</v>
      </c>
      <c r="K327">
        <f>_xlfn.XLOOKUP(tbl_analysis_tickets[[#This Row],[priority]],tbl_sla[priority],tbl_sla[Resolution SLA Hours])</f>
        <v>48</v>
      </c>
      <c r="L327">
        <f>_xlfn.XLOOKUP(tbl_analysis_tickets[[#This Row],[priority]],tbl_sla[priority],tbl_sla[First Response SLA Minutes])</f>
        <v>120</v>
      </c>
      <c r="M327" t="str">
        <f>IF(tbl_analysis_tickets[[#This Row],[resolution_time_hours]]&gt;tbl_analysis_tickets[[#This Row],[Resolution SLA Hours]],"Breached","Within SLA")</f>
        <v>Breached</v>
      </c>
      <c r="N327" t="str">
        <f>IF(tbl_analysis_tickets[[#This Row],[first_response_minutes]]&gt;tbl_analysis_tickets[[#This Row],[First Response SLA Minutes]],"Breached","Within SLA")</f>
        <v>Breached</v>
      </c>
      <c r="O327" t="str" cm="1">
        <f t="array" ref="O327">_xlfn.IFS(
tbl_analysis_tickets[[#This Row],[agent_experience_years]]&lt;=2,"Junior",
tbl_analysis_tickets[[#This Row],[agent_experience_years]]&lt;=5,"Mid-Level",
tbl_analysis_tickets[[#This Row],[agent_experience_years]]&lt;=8,"Senior",
tbl_analysis_tickets[[#This Row],[agent_experience_years]]&gt;8,"Expert"
)</f>
        <v>Senior</v>
      </c>
      <c r="P327" cm="1">
        <f t="array" ref="P327">_xlfn.SWITCH(tbl_analysis_tickets[[#This Row],[customer_satisfaction]],
"Low",1,
"Medium",2,
"High",3
)</f>
        <v>2</v>
      </c>
      <c r="Q327">
        <f>IF(tbl_analysis_tickets[[#This Row],[reopened]]="Yes",1,0)</f>
        <v>0</v>
      </c>
      <c r="R327" t="str" cm="1">
        <f t="array" ref="R327">_xlfn.IFS(
tbl_analysis_tickets[[#This Row],[first_response_minutes]]&lt;=30,"Very Fast",
tbl_analysis_tickets[[#This Row],[first_response_minutes]]&lt;=120,"Acceptable",
tbl_analysis_tickets[[#This Row],[first_response_minutes]]&lt;=240,"Slow",
tbl_analysis_tickets[[#This Row],[first_response_minutes]]&gt;240,"Very Slow"
)</f>
        <v>Slow</v>
      </c>
      <c r="S327" t="str" cm="1">
        <f t="array" ref="S32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327" t="str">
        <f>TEXT(tbl_analysis_tickets[[#This Row],[created_date]],"mmm-yyyy")</f>
        <v>Aug-2024</v>
      </c>
      <c r="U327" t="str">
        <f>TEXT(tbl_analysis_tickets[[#This Row],[created_date]],"dddd")</f>
        <v>Wednesday</v>
      </c>
      <c r="V327" cm="1">
        <f t="array" ref="V327">_xlfn.SWITCH(tbl_analysis_tickets[[#This Row],[priority]],
"Urgent",1,
"High",2,
"Medium",3,
"Low",4
)</f>
        <v>3</v>
      </c>
    </row>
    <row r="328" spans="1:22" x14ac:dyDescent="0.25">
      <c r="A328">
        <v>327</v>
      </c>
      <c r="B328" s="1">
        <v>45430</v>
      </c>
      <c r="C328" t="s">
        <v>22</v>
      </c>
      <c r="D328" t="s">
        <v>17</v>
      </c>
      <c r="E328">
        <v>54</v>
      </c>
      <c r="F328">
        <v>1</v>
      </c>
      <c r="G328">
        <v>3.2</v>
      </c>
      <c r="H328" t="s">
        <v>12</v>
      </c>
      <c r="I328" t="s">
        <v>13</v>
      </c>
      <c r="J328" t="s">
        <v>11</v>
      </c>
      <c r="K328">
        <f>_xlfn.XLOOKUP(tbl_analysis_tickets[[#This Row],[priority]],tbl_sla[priority],tbl_sla[Resolution SLA Hours])</f>
        <v>8</v>
      </c>
      <c r="L328">
        <f>_xlfn.XLOOKUP(tbl_analysis_tickets[[#This Row],[priority]],tbl_sla[priority],tbl_sla[First Response SLA Minutes])</f>
        <v>30</v>
      </c>
      <c r="M328" t="str">
        <f>IF(tbl_analysis_tickets[[#This Row],[resolution_time_hours]]&gt;tbl_analysis_tickets[[#This Row],[Resolution SLA Hours]],"Breached","Within SLA")</f>
        <v>Within SLA</v>
      </c>
      <c r="N328" t="str">
        <f>IF(tbl_analysis_tickets[[#This Row],[first_response_minutes]]&gt;tbl_analysis_tickets[[#This Row],[First Response SLA Minutes]],"Breached","Within SLA")</f>
        <v>Breached</v>
      </c>
      <c r="O328" t="str" cm="1">
        <f t="array" ref="O328">_xlfn.IFS(
tbl_analysis_tickets[[#This Row],[agent_experience_years]]&lt;=2,"Junior",
tbl_analysis_tickets[[#This Row],[agent_experience_years]]&lt;=5,"Mid-Level",
tbl_analysis_tickets[[#This Row],[agent_experience_years]]&lt;=8,"Senior",
tbl_analysis_tickets[[#This Row],[agent_experience_years]]&gt;8,"Expert"
)</f>
        <v>Mid-Level</v>
      </c>
      <c r="P328" cm="1">
        <f t="array" ref="P328">_xlfn.SWITCH(tbl_analysis_tickets[[#This Row],[customer_satisfaction]],
"Low",1,
"Medium",2,
"High",3
)</f>
        <v>1</v>
      </c>
      <c r="Q328">
        <f>IF(tbl_analysis_tickets[[#This Row],[reopened]]="Yes",1,0)</f>
        <v>1</v>
      </c>
      <c r="R328" t="str" cm="1">
        <f t="array" ref="R328">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328" t="str" cm="1">
        <f t="array" ref="S32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328" t="str">
        <f>TEXT(tbl_analysis_tickets[[#This Row],[created_date]],"mmm-yyyy")</f>
        <v>May-2024</v>
      </c>
      <c r="U328" t="str">
        <f>TEXT(tbl_analysis_tickets[[#This Row],[created_date]],"dddd")</f>
        <v>Saturday</v>
      </c>
      <c r="V328" cm="1">
        <f t="array" ref="V328">_xlfn.SWITCH(tbl_analysis_tickets[[#This Row],[priority]],
"Urgent",1,
"High",2,
"Medium",3,
"Low",4
)</f>
        <v>1</v>
      </c>
    </row>
    <row r="329" spans="1:22" x14ac:dyDescent="0.25">
      <c r="A329">
        <v>328</v>
      </c>
      <c r="B329" s="1">
        <v>45333</v>
      </c>
      <c r="C329" t="s">
        <v>21</v>
      </c>
      <c r="D329" t="s">
        <v>20</v>
      </c>
      <c r="E329">
        <v>132</v>
      </c>
      <c r="F329">
        <v>29</v>
      </c>
      <c r="G329">
        <v>9</v>
      </c>
      <c r="H329" t="s">
        <v>12</v>
      </c>
      <c r="I329" t="s">
        <v>19</v>
      </c>
      <c r="J329" t="s">
        <v>11</v>
      </c>
      <c r="K329">
        <f>_xlfn.XLOOKUP(tbl_analysis_tickets[[#This Row],[priority]],tbl_sla[priority],tbl_sla[Resolution SLA Hours])</f>
        <v>24</v>
      </c>
      <c r="L329">
        <f>_xlfn.XLOOKUP(tbl_analysis_tickets[[#This Row],[priority]],tbl_sla[priority],tbl_sla[First Response SLA Minutes])</f>
        <v>60</v>
      </c>
      <c r="M329" t="str">
        <f>IF(tbl_analysis_tickets[[#This Row],[resolution_time_hours]]&gt;tbl_analysis_tickets[[#This Row],[Resolution SLA Hours]],"Breached","Within SLA")</f>
        <v>Breached</v>
      </c>
      <c r="N329" t="str">
        <f>IF(tbl_analysis_tickets[[#This Row],[first_response_minutes]]&gt;tbl_analysis_tickets[[#This Row],[First Response SLA Minutes]],"Breached","Within SLA")</f>
        <v>Breached</v>
      </c>
      <c r="O329" t="str" cm="1">
        <f t="array" ref="O329">_xlfn.IFS(
tbl_analysis_tickets[[#This Row],[agent_experience_years]]&lt;=2,"Junior",
tbl_analysis_tickets[[#This Row],[agent_experience_years]]&lt;=5,"Mid-Level",
tbl_analysis_tickets[[#This Row],[agent_experience_years]]&lt;=8,"Senior",
tbl_analysis_tickets[[#This Row],[agent_experience_years]]&gt;8,"Expert"
)</f>
        <v>Expert</v>
      </c>
      <c r="P329" cm="1">
        <f t="array" ref="P329">_xlfn.SWITCH(tbl_analysis_tickets[[#This Row],[customer_satisfaction]],
"Low",1,
"Medium",2,
"High",3
)</f>
        <v>1</v>
      </c>
      <c r="Q329">
        <f>IF(tbl_analysis_tickets[[#This Row],[reopened]]="Yes",1,0)</f>
        <v>1</v>
      </c>
      <c r="R329" t="str" cm="1">
        <f t="array" ref="R329">_xlfn.IFS(
tbl_analysis_tickets[[#This Row],[first_response_minutes]]&lt;=30,"Very Fast",
tbl_analysis_tickets[[#This Row],[first_response_minutes]]&lt;=120,"Acceptable",
tbl_analysis_tickets[[#This Row],[first_response_minutes]]&lt;=240,"Slow",
tbl_analysis_tickets[[#This Row],[first_response_minutes]]&gt;240,"Very Slow"
)</f>
        <v>Slow</v>
      </c>
      <c r="S329" t="str" cm="1">
        <f t="array" ref="S32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329" t="str">
        <f>TEXT(tbl_analysis_tickets[[#This Row],[created_date]],"mmm-yyyy")</f>
        <v>Feb-2024</v>
      </c>
      <c r="U329" t="str">
        <f>TEXT(tbl_analysis_tickets[[#This Row],[created_date]],"dddd")</f>
        <v>Sunday</v>
      </c>
      <c r="V329" cm="1">
        <f t="array" ref="V329">_xlfn.SWITCH(tbl_analysis_tickets[[#This Row],[priority]],
"Urgent",1,
"High",2,
"Medium",3,
"Low",4
)</f>
        <v>2</v>
      </c>
    </row>
    <row r="330" spans="1:22" x14ac:dyDescent="0.25">
      <c r="A330">
        <v>329</v>
      </c>
      <c r="B330" s="1">
        <v>45292</v>
      </c>
      <c r="C330" t="s">
        <v>23</v>
      </c>
      <c r="D330" t="s">
        <v>15</v>
      </c>
      <c r="E330">
        <v>153</v>
      </c>
      <c r="F330">
        <v>62</v>
      </c>
      <c r="G330">
        <v>2.1</v>
      </c>
      <c r="H330" t="s">
        <v>12</v>
      </c>
      <c r="I330" t="s">
        <v>19</v>
      </c>
      <c r="J330" t="s">
        <v>11</v>
      </c>
      <c r="K330">
        <f>_xlfn.XLOOKUP(tbl_analysis_tickets[[#This Row],[priority]],tbl_sla[priority],tbl_sla[Resolution SLA Hours])</f>
        <v>48</v>
      </c>
      <c r="L330">
        <f>_xlfn.XLOOKUP(tbl_analysis_tickets[[#This Row],[priority]],tbl_sla[priority],tbl_sla[First Response SLA Minutes])</f>
        <v>120</v>
      </c>
      <c r="M330" t="str">
        <f>IF(tbl_analysis_tickets[[#This Row],[resolution_time_hours]]&gt;tbl_analysis_tickets[[#This Row],[Resolution SLA Hours]],"Breached","Within SLA")</f>
        <v>Breached</v>
      </c>
      <c r="N330" t="str">
        <f>IF(tbl_analysis_tickets[[#This Row],[first_response_minutes]]&gt;tbl_analysis_tickets[[#This Row],[First Response SLA Minutes]],"Breached","Within SLA")</f>
        <v>Breached</v>
      </c>
      <c r="O330" t="str" cm="1">
        <f t="array" ref="O330">_xlfn.IFS(
tbl_analysis_tickets[[#This Row],[agent_experience_years]]&lt;=2,"Junior",
tbl_analysis_tickets[[#This Row],[agent_experience_years]]&lt;=5,"Mid-Level",
tbl_analysis_tickets[[#This Row],[agent_experience_years]]&lt;=8,"Senior",
tbl_analysis_tickets[[#This Row],[agent_experience_years]]&gt;8,"Expert"
)</f>
        <v>Mid-Level</v>
      </c>
      <c r="P330" cm="1">
        <f t="array" ref="P330">_xlfn.SWITCH(tbl_analysis_tickets[[#This Row],[customer_satisfaction]],
"Low",1,
"Medium",2,
"High",3
)</f>
        <v>1</v>
      </c>
      <c r="Q330">
        <f>IF(tbl_analysis_tickets[[#This Row],[reopened]]="Yes",1,0)</f>
        <v>1</v>
      </c>
      <c r="R330" t="str" cm="1">
        <f t="array" ref="R330">_xlfn.IFS(
tbl_analysis_tickets[[#This Row],[first_response_minutes]]&lt;=30,"Very Fast",
tbl_analysis_tickets[[#This Row],[first_response_minutes]]&lt;=120,"Acceptable",
tbl_analysis_tickets[[#This Row],[first_response_minutes]]&lt;=240,"Slow",
tbl_analysis_tickets[[#This Row],[first_response_minutes]]&gt;240,"Very Slow"
)</f>
        <v>Slow</v>
      </c>
      <c r="S330" t="str" cm="1">
        <f t="array" ref="S33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330" t="str">
        <f>TEXT(tbl_analysis_tickets[[#This Row],[created_date]],"mmm-yyyy")</f>
        <v>Jan-2024</v>
      </c>
      <c r="U330" t="str">
        <f>TEXT(tbl_analysis_tickets[[#This Row],[created_date]],"dddd")</f>
        <v>Monday</v>
      </c>
      <c r="V330" cm="1">
        <f t="array" ref="V330">_xlfn.SWITCH(tbl_analysis_tickets[[#This Row],[priority]],
"Urgent",1,
"High",2,
"Medium",3,
"Low",4
)</f>
        <v>3</v>
      </c>
    </row>
    <row r="331" spans="1:22" x14ac:dyDescent="0.25">
      <c r="A331">
        <v>330</v>
      </c>
      <c r="B331" s="1">
        <v>45562</v>
      </c>
      <c r="C331" t="s">
        <v>22</v>
      </c>
      <c r="D331" t="s">
        <v>17</v>
      </c>
      <c r="E331">
        <v>219</v>
      </c>
      <c r="F331">
        <v>36</v>
      </c>
      <c r="G331">
        <v>1.4</v>
      </c>
      <c r="H331" t="s">
        <v>12</v>
      </c>
      <c r="I331" t="s">
        <v>19</v>
      </c>
      <c r="J331" t="s">
        <v>11</v>
      </c>
      <c r="K331">
        <f>_xlfn.XLOOKUP(tbl_analysis_tickets[[#This Row],[priority]],tbl_sla[priority],tbl_sla[Resolution SLA Hours])</f>
        <v>8</v>
      </c>
      <c r="L331">
        <f>_xlfn.XLOOKUP(tbl_analysis_tickets[[#This Row],[priority]],tbl_sla[priority],tbl_sla[First Response SLA Minutes])</f>
        <v>30</v>
      </c>
      <c r="M331" t="str">
        <f>IF(tbl_analysis_tickets[[#This Row],[resolution_time_hours]]&gt;tbl_analysis_tickets[[#This Row],[Resolution SLA Hours]],"Breached","Within SLA")</f>
        <v>Breached</v>
      </c>
      <c r="N331" t="str">
        <f>IF(tbl_analysis_tickets[[#This Row],[first_response_minutes]]&gt;tbl_analysis_tickets[[#This Row],[First Response SLA Minutes]],"Breached","Within SLA")</f>
        <v>Breached</v>
      </c>
      <c r="O331" t="str" cm="1">
        <f t="array" ref="O331">_xlfn.IFS(
tbl_analysis_tickets[[#This Row],[agent_experience_years]]&lt;=2,"Junior",
tbl_analysis_tickets[[#This Row],[agent_experience_years]]&lt;=5,"Mid-Level",
tbl_analysis_tickets[[#This Row],[agent_experience_years]]&lt;=8,"Senior",
tbl_analysis_tickets[[#This Row],[agent_experience_years]]&gt;8,"Expert"
)</f>
        <v>Junior</v>
      </c>
      <c r="P331" cm="1">
        <f t="array" ref="P331">_xlfn.SWITCH(tbl_analysis_tickets[[#This Row],[customer_satisfaction]],
"Low",1,
"Medium",2,
"High",3
)</f>
        <v>1</v>
      </c>
      <c r="Q331">
        <f>IF(tbl_analysis_tickets[[#This Row],[reopened]]="Yes",1,0)</f>
        <v>1</v>
      </c>
      <c r="R331" t="str" cm="1">
        <f t="array" ref="R331">_xlfn.IFS(
tbl_analysis_tickets[[#This Row],[first_response_minutes]]&lt;=30,"Very Fast",
tbl_analysis_tickets[[#This Row],[first_response_minutes]]&lt;=120,"Acceptable",
tbl_analysis_tickets[[#This Row],[first_response_minutes]]&lt;=240,"Slow",
tbl_analysis_tickets[[#This Row],[first_response_minutes]]&gt;240,"Very Slow"
)</f>
        <v>Slow</v>
      </c>
      <c r="S331" t="str" cm="1">
        <f t="array" ref="S33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331" t="str">
        <f>TEXT(tbl_analysis_tickets[[#This Row],[created_date]],"mmm-yyyy")</f>
        <v>Sep-2024</v>
      </c>
      <c r="U331" t="str">
        <f>TEXT(tbl_analysis_tickets[[#This Row],[created_date]],"dddd")</f>
        <v>Friday</v>
      </c>
      <c r="V331" cm="1">
        <f t="array" ref="V331">_xlfn.SWITCH(tbl_analysis_tickets[[#This Row],[priority]],
"Urgent",1,
"High",2,
"Medium",3,
"Low",4
)</f>
        <v>1</v>
      </c>
    </row>
    <row r="332" spans="1:22" x14ac:dyDescent="0.25">
      <c r="A332">
        <v>331</v>
      </c>
      <c r="B332" s="1">
        <v>45570</v>
      </c>
      <c r="C332" t="s">
        <v>22</v>
      </c>
      <c r="D332" t="s">
        <v>20</v>
      </c>
      <c r="E332">
        <v>209</v>
      </c>
      <c r="F332">
        <v>26</v>
      </c>
      <c r="G332">
        <v>2</v>
      </c>
      <c r="H332" t="s">
        <v>12</v>
      </c>
      <c r="I332" t="s">
        <v>19</v>
      </c>
      <c r="J332" t="s">
        <v>11</v>
      </c>
      <c r="K332">
        <f>_xlfn.XLOOKUP(tbl_analysis_tickets[[#This Row],[priority]],tbl_sla[priority],tbl_sla[Resolution SLA Hours])</f>
        <v>24</v>
      </c>
      <c r="L332">
        <f>_xlfn.XLOOKUP(tbl_analysis_tickets[[#This Row],[priority]],tbl_sla[priority],tbl_sla[First Response SLA Minutes])</f>
        <v>60</v>
      </c>
      <c r="M332" t="str">
        <f>IF(tbl_analysis_tickets[[#This Row],[resolution_time_hours]]&gt;tbl_analysis_tickets[[#This Row],[Resolution SLA Hours]],"Breached","Within SLA")</f>
        <v>Breached</v>
      </c>
      <c r="N332" t="str">
        <f>IF(tbl_analysis_tickets[[#This Row],[first_response_minutes]]&gt;tbl_analysis_tickets[[#This Row],[First Response SLA Minutes]],"Breached","Within SLA")</f>
        <v>Breached</v>
      </c>
      <c r="O332" t="str" cm="1">
        <f t="array" ref="O332">_xlfn.IFS(
tbl_analysis_tickets[[#This Row],[agent_experience_years]]&lt;=2,"Junior",
tbl_analysis_tickets[[#This Row],[agent_experience_years]]&lt;=5,"Mid-Level",
tbl_analysis_tickets[[#This Row],[agent_experience_years]]&lt;=8,"Senior",
tbl_analysis_tickets[[#This Row],[agent_experience_years]]&gt;8,"Expert"
)</f>
        <v>Junior</v>
      </c>
      <c r="P332" cm="1">
        <f t="array" ref="P332">_xlfn.SWITCH(tbl_analysis_tickets[[#This Row],[customer_satisfaction]],
"Low",1,
"Medium",2,
"High",3
)</f>
        <v>1</v>
      </c>
      <c r="Q332">
        <f>IF(tbl_analysis_tickets[[#This Row],[reopened]]="Yes",1,0)</f>
        <v>1</v>
      </c>
      <c r="R332" t="str" cm="1">
        <f t="array" ref="R332">_xlfn.IFS(
tbl_analysis_tickets[[#This Row],[first_response_minutes]]&lt;=30,"Very Fast",
tbl_analysis_tickets[[#This Row],[first_response_minutes]]&lt;=120,"Acceptable",
tbl_analysis_tickets[[#This Row],[first_response_minutes]]&lt;=240,"Slow",
tbl_analysis_tickets[[#This Row],[first_response_minutes]]&gt;240,"Very Slow"
)</f>
        <v>Slow</v>
      </c>
      <c r="S332" t="str" cm="1">
        <f t="array" ref="S33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332" t="str">
        <f>TEXT(tbl_analysis_tickets[[#This Row],[created_date]],"mmm-yyyy")</f>
        <v>Oct-2024</v>
      </c>
      <c r="U332" t="str">
        <f>TEXT(tbl_analysis_tickets[[#This Row],[created_date]],"dddd")</f>
        <v>Saturday</v>
      </c>
      <c r="V332" cm="1">
        <f t="array" ref="V332">_xlfn.SWITCH(tbl_analysis_tickets[[#This Row],[priority]],
"Urgent",1,
"High",2,
"Medium",3,
"Low",4
)</f>
        <v>2</v>
      </c>
    </row>
    <row r="333" spans="1:22" x14ac:dyDescent="0.25">
      <c r="A333">
        <v>332</v>
      </c>
      <c r="B333" s="1">
        <v>45491</v>
      </c>
      <c r="C333" t="s">
        <v>14</v>
      </c>
      <c r="D333" t="s">
        <v>17</v>
      </c>
      <c r="E333">
        <v>199</v>
      </c>
      <c r="F333">
        <v>64</v>
      </c>
      <c r="G333">
        <v>5.0999999999999996</v>
      </c>
      <c r="H333" t="s">
        <v>12</v>
      </c>
      <c r="I333" t="s">
        <v>19</v>
      </c>
      <c r="J333" t="s">
        <v>11</v>
      </c>
      <c r="K333">
        <f>_xlfn.XLOOKUP(tbl_analysis_tickets[[#This Row],[priority]],tbl_sla[priority],tbl_sla[Resolution SLA Hours])</f>
        <v>8</v>
      </c>
      <c r="L333">
        <f>_xlfn.XLOOKUP(tbl_analysis_tickets[[#This Row],[priority]],tbl_sla[priority],tbl_sla[First Response SLA Minutes])</f>
        <v>30</v>
      </c>
      <c r="M333" t="str">
        <f>IF(tbl_analysis_tickets[[#This Row],[resolution_time_hours]]&gt;tbl_analysis_tickets[[#This Row],[Resolution SLA Hours]],"Breached","Within SLA")</f>
        <v>Breached</v>
      </c>
      <c r="N333" t="str">
        <f>IF(tbl_analysis_tickets[[#This Row],[first_response_minutes]]&gt;tbl_analysis_tickets[[#This Row],[First Response SLA Minutes]],"Breached","Within SLA")</f>
        <v>Breached</v>
      </c>
      <c r="O333" t="str" cm="1">
        <f t="array" ref="O333">_xlfn.IFS(
tbl_analysis_tickets[[#This Row],[agent_experience_years]]&lt;=2,"Junior",
tbl_analysis_tickets[[#This Row],[agent_experience_years]]&lt;=5,"Mid-Level",
tbl_analysis_tickets[[#This Row],[agent_experience_years]]&lt;=8,"Senior",
tbl_analysis_tickets[[#This Row],[agent_experience_years]]&gt;8,"Expert"
)</f>
        <v>Senior</v>
      </c>
      <c r="P333" cm="1">
        <f t="array" ref="P333">_xlfn.SWITCH(tbl_analysis_tickets[[#This Row],[customer_satisfaction]],
"Low",1,
"Medium",2,
"High",3
)</f>
        <v>1</v>
      </c>
      <c r="Q333">
        <f>IF(tbl_analysis_tickets[[#This Row],[reopened]]="Yes",1,0)</f>
        <v>1</v>
      </c>
      <c r="R333" t="str" cm="1">
        <f t="array" ref="R333">_xlfn.IFS(
tbl_analysis_tickets[[#This Row],[first_response_minutes]]&lt;=30,"Very Fast",
tbl_analysis_tickets[[#This Row],[first_response_minutes]]&lt;=120,"Acceptable",
tbl_analysis_tickets[[#This Row],[first_response_minutes]]&lt;=240,"Slow",
tbl_analysis_tickets[[#This Row],[first_response_minutes]]&gt;240,"Very Slow"
)</f>
        <v>Slow</v>
      </c>
      <c r="S333" t="str" cm="1">
        <f t="array" ref="S33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333" t="str">
        <f>TEXT(tbl_analysis_tickets[[#This Row],[created_date]],"mmm-yyyy")</f>
        <v>Jul-2024</v>
      </c>
      <c r="U333" t="str">
        <f>TEXT(tbl_analysis_tickets[[#This Row],[created_date]],"dddd")</f>
        <v>Thursday</v>
      </c>
      <c r="V333" cm="1">
        <f t="array" ref="V333">_xlfn.SWITCH(tbl_analysis_tickets[[#This Row],[priority]],
"Urgent",1,
"High",2,
"Medium",3,
"Low",4
)</f>
        <v>1</v>
      </c>
    </row>
    <row r="334" spans="1:22" x14ac:dyDescent="0.25">
      <c r="A334">
        <v>333</v>
      </c>
      <c r="B334" s="1">
        <v>45367</v>
      </c>
      <c r="C334" t="s">
        <v>21</v>
      </c>
      <c r="D334" t="s">
        <v>11</v>
      </c>
      <c r="E334">
        <v>39</v>
      </c>
      <c r="F334">
        <v>33</v>
      </c>
      <c r="G334">
        <v>2.8</v>
      </c>
      <c r="H334" t="s">
        <v>18</v>
      </c>
      <c r="I334" t="s">
        <v>16</v>
      </c>
      <c r="J334" t="s">
        <v>11</v>
      </c>
      <c r="K334">
        <f>_xlfn.XLOOKUP(tbl_analysis_tickets[[#This Row],[priority]],tbl_sla[priority],tbl_sla[Resolution SLA Hours])</f>
        <v>72</v>
      </c>
      <c r="L334">
        <f>_xlfn.XLOOKUP(tbl_analysis_tickets[[#This Row],[priority]],tbl_sla[priority],tbl_sla[First Response SLA Minutes])</f>
        <v>240</v>
      </c>
      <c r="M334" t="str">
        <f>IF(tbl_analysis_tickets[[#This Row],[resolution_time_hours]]&gt;tbl_analysis_tickets[[#This Row],[Resolution SLA Hours]],"Breached","Within SLA")</f>
        <v>Within SLA</v>
      </c>
      <c r="N334" t="str">
        <f>IF(tbl_analysis_tickets[[#This Row],[first_response_minutes]]&gt;tbl_analysis_tickets[[#This Row],[First Response SLA Minutes]],"Breached","Within SLA")</f>
        <v>Within SLA</v>
      </c>
      <c r="O334" t="str" cm="1">
        <f t="array" ref="O334">_xlfn.IFS(
tbl_analysis_tickets[[#This Row],[agent_experience_years]]&lt;=2,"Junior",
tbl_analysis_tickets[[#This Row],[agent_experience_years]]&lt;=5,"Mid-Level",
tbl_analysis_tickets[[#This Row],[agent_experience_years]]&lt;=8,"Senior",
tbl_analysis_tickets[[#This Row],[agent_experience_years]]&gt;8,"Expert"
)</f>
        <v>Mid-Level</v>
      </c>
      <c r="P334" cm="1">
        <f t="array" ref="P334">_xlfn.SWITCH(tbl_analysis_tickets[[#This Row],[customer_satisfaction]],
"Low",1,
"Medium",2,
"High",3
)</f>
        <v>1</v>
      </c>
      <c r="Q334">
        <f>IF(tbl_analysis_tickets[[#This Row],[reopened]]="Yes",1,0)</f>
        <v>0</v>
      </c>
      <c r="R334" t="str" cm="1">
        <f t="array" ref="R334">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334" t="str" cm="1">
        <f t="array" ref="S33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334" t="str">
        <f>TEXT(tbl_analysis_tickets[[#This Row],[created_date]],"mmm-yyyy")</f>
        <v>Mar-2024</v>
      </c>
      <c r="U334" t="str">
        <f>TEXT(tbl_analysis_tickets[[#This Row],[created_date]],"dddd")</f>
        <v>Saturday</v>
      </c>
      <c r="V334" cm="1">
        <f t="array" ref="V334">_xlfn.SWITCH(tbl_analysis_tickets[[#This Row],[priority]],
"Urgent",1,
"High",2,
"Medium",3,
"Low",4
)</f>
        <v>4</v>
      </c>
    </row>
    <row r="335" spans="1:22" x14ac:dyDescent="0.25">
      <c r="A335">
        <v>334</v>
      </c>
      <c r="B335" s="1">
        <v>45502</v>
      </c>
      <c r="C335" t="s">
        <v>23</v>
      </c>
      <c r="D335" t="s">
        <v>11</v>
      </c>
      <c r="E335">
        <v>105</v>
      </c>
      <c r="F335">
        <v>52</v>
      </c>
      <c r="G335">
        <v>6.1</v>
      </c>
      <c r="H335" t="s">
        <v>12</v>
      </c>
      <c r="I335" t="s">
        <v>19</v>
      </c>
      <c r="J335" t="s">
        <v>11</v>
      </c>
      <c r="K335">
        <f>_xlfn.XLOOKUP(tbl_analysis_tickets[[#This Row],[priority]],tbl_sla[priority],tbl_sla[Resolution SLA Hours])</f>
        <v>72</v>
      </c>
      <c r="L335">
        <f>_xlfn.XLOOKUP(tbl_analysis_tickets[[#This Row],[priority]],tbl_sla[priority],tbl_sla[First Response SLA Minutes])</f>
        <v>240</v>
      </c>
      <c r="M335" t="str">
        <f>IF(tbl_analysis_tickets[[#This Row],[resolution_time_hours]]&gt;tbl_analysis_tickets[[#This Row],[Resolution SLA Hours]],"Breached","Within SLA")</f>
        <v>Within SLA</v>
      </c>
      <c r="N335" t="str">
        <f>IF(tbl_analysis_tickets[[#This Row],[first_response_minutes]]&gt;tbl_analysis_tickets[[#This Row],[First Response SLA Minutes]],"Breached","Within SLA")</f>
        <v>Within SLA</v>
      </c>
      <c r="O335" t="str" cm="1">
        <f t="array" ref="O335">_xlfn.IFS(
tbl_analysis_tickets[[#This Row],[agent_experience_years]]&lt;=2,"Junior",
tbl_analysis_tickets[[#This Row],[agent_experience_years]]&lt;=5,"Mid-Level",
tbl_analysis_tickets[[#This Row],[agent_experience_years]]&lt;=8,"Senior",
tbl_analysis_tickets[[#This Row],[agent_experience_years]]&gt;8,"Expert"
)</f>
        <v>Senior</v>
      </c>
      <c r="P335" cm="1">
        <f t="array" ref="P335">_xlfn.SWITCH(tbl_analysis_tickets[[#This Row],[customer_satisfaction]],
"Low",1,
"Medium",2,
"High",3
)</f>
        <v>1</v>
      </c>
      <c r="Q335">
        <f>IF(tbl_analysis_tickets[[#This Row],[reopened]]="Yes",1,0)</f>
        <v>1</v>
      </c>
      <c r="R335" t="str" cm="1">
        <f t="array" ref="R335">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335" t="str" cm="1">
        <f t="array" ref="S33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335" t="str">
        <f>TEXT(tbl_analysis_tickets[[#This Row],[created_date]],"mmm-yyyy")</f>
        <v>Jul-2024</v>
      </c>
      <c r="U335" t="str">
        <f>TEXT(tbl_analysis_tickets[[#This Row],[created_date]],"dddd")</f>
        <v>Monday</v>
      </c>
      <c r="V335" cm="1">
        <f t="array" ref="V335">_xlfn.SWITCH(tbl_analysis_tickets[[#This Row],[priority]],
"Urgent",1,
"High",2,
"Medium",3,
"Low",4
)</f>
        <v>4</v>
      </c>
    </row>
    <row r="336" spans="1:22" x14ac:dyDescent="0.25">
      <c r="A336">
        <v>335</v>
      </c>
      <c r="B336" s="1">
        <v>45495</v>
      </c>
      <c r="C336" t="s">
        <v>22</v>
      </c>
      <c r="D336" t="s">
        <v>17</v>
      </c>
      <c r="E336">
        <v>8</v>
      </c>
      <c r="F336">
        <v>48</v>
      </c>
      <c r="G336">
        <v>4.5</v>
      </c>
      <c r="H336" t="s">
        <v>12</v>
      </c>
      <c r="I336" t="s">
        <v>16</v>
      </c>
      <c r="J336" t="s">
        <v>11</v>
      </c>
      <c r="K336">
        <f>_xlfn.XLOOKUP(tbl_analysis_tickets[[#This Row],[priority]],tbl_sla[priority],tbl_sla[Resolution SLA Hours])</f>
        <v>8</v>
      </c>
      <c r="L336">
        <f>_xlfn.XLOOKUP(tbl_analysis_tickets[[#This Row],[priority]],tbl_sla[priority],tbl_sla[First Response SLA Minutes])</f>
        <v>30</v>
      </c>
      <c r="M336" t="str">
        <f>IF(tbl_analysis_tickets[[#This Row],[resolution_time_hours]]&gt;tbl_analysis_tickets[[#This Row],[Resolution SLA Hours]],"Breached","Within SLA")</f>
        <v>Breached</v>
      </c>
      <c r="N336" t="str">
        <f>IF(tbl_analysis_tickets[[#This Row],[first_response_minutes]]&gt;tbl_analysis_tickets[[#This Row],[First Response SLA Minutes]],"Breached","Within SLA")</f>
        <v>Within SLA</v>
      </c>
      <c r="O336" t="str" cm="1">
        <f t="array" ref="O336">_xlfn.IFS(
tbl_analysis_tickets[[#This Row],[agent_experience_years]]&lt;=2,"Junior",
tbl_analysis_tickets[[#This Row],[agent_experience_years]]&lt;=5,"Mid-Level",
tbl_analysis_tickets[[#This Row],[agent_experience_years]]&lt;=8,"Senior",
tbl_analysis_tickets[[#This Row],[agent_experience_years]]&gt;8,"Expert"
)</f>
        <v>Mid-Level</v>
      </c>
      <c r="P336" cm="1">
        <f t="array" ref="P336">_xlfn.SWITCH(tbl_analysis_tickets[[#This Row],[customer_satisfaction]],
"Low",1,
"Medium",2,
"High",3
)</f>
        <v>1</v>
      </c>
      <c r="Q336">
        <f>IF(tbl_analysis_tickets[[#This Row],[reopened]]="Yes",1,0)</f>
        <v>1</v>
      </c>
      <c r="R336" t="str" cm="1">
        <f t="array" ref="R336">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336" t="str" cm="1">
        <f t="array" ref="S33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336" t="str">
        <f>TEXT(tbl_analysis_tickets[[#This Row],[created_date]],"mmm-yyyy")</f>
        <v>Jul-2024</v>
      </c>
      <c r="U336" t="str">
        <f>TEXT(tbl_analysis_tickets[[#This Row],[created_date]],"dddd")</f>
        <v>Monday</v>
      </c>
      <c r="V336" cm="1">
        <f t="array" ref="V336">_xlfn.SWITCH(tbl_analysis_tickets[[#This Row],[priority]],
"Urgent",1,
"High",2,
"Medium",3,
"Low",4
)</f>
        <v>1</v>
      </c>
    </row>
    <row r="337" spans="1:22" x14ac:dyDescent="0.25">
      <c r="A337">
        <v>336</v>
      </c>
      <c r="B337" s="1">
        <v>45577</v>
      </c>
      <c r="C337" t="s">
        <v>23</v>
      </c>
      <c r="D337" t="s">
        <v>20</v>
      </c>
      <c r="E337">
        <v>67</v>
      </c>
      <c r="F337">
        <v>6</v>
      </c>
      <c r="G337">
        <v>2.7</v>
      </c>
      <c r="H337" t="s">
        <v>12</v>
      </c>
      <c r="I337" t="s">
        <v>13</v>
      </c>
      <c r="J337" t="s">
        <v>11</v>
      </c>
      <c r="K337">
        <f>_xlfn.XLOOKUP(tbl_analysis_tickets[[#This Row],[priority]],tbl_sla[priority],tbl_sla[Resolution SLA Hours])</f>
        <v>24</v>
      </c>
      <c r="L337">
        <f>_xlfn.XLOOKUP(tbl_analysis_tickets[[#This Row],[priority]],tbl_sla[priority],tbl_sla[First Response SLA Minutes])</f>
        <v>60</v>
      </c>
      <c r="M337" t="str">
        <f>IF(tbl_analysis_tickets[[#This Row],[resolution_time_hours]]&gt;tbl_analysis_tickets[[#This Row],[Resolution SLA Hours]],"Breached","Within SLA")</f>
        <v>Within SLA</v>
      </c>
      <c r="N337" t="str">
        <f>IF(tbl_analysis_tickets[[#This Row],[first_response_minutes]]&gt;tbl_analysis_tickets[[#This Row],[First Response SLA Minutes]],"Breached","Within SLA")</f>
        <v>Breached</v>
      </c>
      <c r="O337" t="str" cm="1">
        <f t="array" ref="O337">_xlfn.IFS(
tbl_analysis_tickets[[#This Row],[agent_experience_years]]&lt;=2,"Junior",
tbl_analysis_tickets[[#This Row],[agent_experience_years]]&lt;=5,"Mid-Level",
tbl_analysis_tickets[[#This Row],[agent_experience_years]]&lt;=8,"Senior",
tbl_analysis_tickets[[#This Row],[agent_experience_years]]&gt;8,"Expert"
)</f>
        <v>Mid-Level</v>
      </c>
      <c r="P337" cm="1">
        <f t="array" ref="P337">_xlfn.SWITCH(tbl_analysis_tickets[[#This Row],[customer_satisfaction]],
"Low",1,
"Medium",2,
"High",3
)</f>
        <v>1</v>
      </c>
      <c r="Q337">
        <f>IF(tbl_analysis_tickets[[#This Row],[reopened]]="Yes",1,0)</f>
        <v>1</v>
      </c>
      <c r="R337" t="str" cm="1">
        <f t="array" ref="R337">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337" t="str" cm="1">
        <f t="array" ref="S33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337" t="str">
        <f>TEXT(tbl_analysis_tickets[[#This Row],[created_date]],"mmm-yyyy")</f>
        <v>Oct-2024</v>
      </c>
      <c r="U337" t="str">
        <f>TEXT(tbl_analysis_tickets[[#This Row],[created_date]],"dddd")</f>
        <v>Saturday</v>
      </c>
      <c r="V337" cm="1">
        <f t="array" ref="V337">_xlfn.SWITCH(tbl_analysis_tickets[[#This Row],[priority]],
"Urgent",1,
"High",2,
"Medium",3,
"Low",4
)</f>
        <v>2</v>
      </c>
    </row>
    <row r="338" spans="1:22" x14ac:dyDescent="0.25">
      <c r="A338">
        <v>337</v>
      </c>
      <c r="B338" s="1">
        <v>45457</v>
      </c>
      <c r="C338" t="s">
        <v>21</v>
      </c>
      <c r="D338" t="s">
        <v>15</v>
      </c>
      <c r="E338">
        <v>133</v>
      </c>
      <c r="F338">
        <v>27</v>
      </c>
      <c r="G338">
        <v>3.6</v>
      </c>
      <c r="H338" t="s">
        <v>18</v>
      </c>
      <c r="I338" t="s">
        <v>13</v>
      </c>
      <c r="J338" t="s">
        <v>11</v>
      </c>
      <c r="K338">
        <f>_xlfn.XLOOKUP(tbl_analysis_tickets[[#This Row],[priority]],tbl_sla[priority],tbl_sla[Resolution SLA Hours])</f>
        <v>48</v>
      </c>
      <c r="L338">
        <f>_xlfn.XLOOKUP(tbl_analysis_tickets[[#This Row],[priority]],tbl_sla[priority],tbl_sla[First Response SLA Minutes])</f>
        <v>120</v>
      </c>
      <c r="M338" t="str">
        <f>IF(tbl_analysis_tickets[[#This Row],[resolution_time_hours]]&gt;tbl_analysis_tickets[[#This Row],[Resolution SLA Hours]],"Breached","Within SLA")</f>
        <v>Within SLA</v>
      </c>
      <c r="N338" t="str">
        <f>IF(tbl_analysis_tickets[[#This Row],[first_response_minutes]]&gt;tbl_analysis_tickets[[#This Row],[First Response SLA Minutes]],"Breached","Within SLA")</f>
        <v>Breached</v>
      </c>
      <c r="O338" t="str" cm="1">
        <f t="array" ref="O338">_xlfn.IFS(
tbl_analysis_tickets[[#This Row],[agent_experience_years]]&lt;=2,"Junior",
tbl_analysis_tickets[[#This Row],[agent_experience_years]]&lt;=5,"Mid-Level",
tbl_analysis_tickets[[#This Row],[agent_experience_years]]&lt;=8,"Senior",
tbl_analysis_tickets[[#This Row],[agent_experience_years]]&gt;8,"Expert"
)</f>
        <v>Mid-Level</v>
      </c>
      <c r="P338" cm="1">
        <f t="array" ref="P338">_xlfn.SWITCH(tbl_analysis_tickets[[#This Row],[customer_satisfaction]],
"Low",1,
"Medium",2,
"High",3
)</f>
        <v>1</v>
      </c>
      <c r="Q338">
        <f>IF(tbl_analysis_tickets[[#This Row],[reopened]]="Yes",1,0)</f>
        <v>0</v>
      </c>
      <c r="R338" t="str" cm="1">
        <f t="array" ref="R338">_xlfn.IFS(
tbl_analysis_tickets[[#This Row],[first_response_minutes]]&lt;=30,"Very Fast",
tbl_analysis_tickets[[#This Row],[first_response_minutes]]&lt;=120,"Acceptable",
tbl_analysis_tickets[[#This Row],[first_response_minutes]]&lt;=240,"Slow",
tbl_analysis_tickets[[#This Row],[first_response_minutes]]&gt;240,"Very Slow"
)</f>
        <v>Slow</v>
      </c>
      <c r="S338" t="str" cm="1">
        <f t="array" ref="S33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338" t="str">
        <f>TEXT(tbl_analysis_tickets[[#This Row],[created_date]],"mmm-yyyy")</f>
        <v>Jun-2024</v>
      </c>
      <c r="U338" t="str">
        <f>TEXT(tbl_analysis_tickets[[#This Row],[created_date]],"dddd")</f>
        <v>Friday</v>
      </c>
      <c r="V338" cm="1">
        <f t="array" ref="V338">_xlfn.SWITCH(tbl_analysis_tickets[[#This Row],[priority]],
"Urgent",1,
"High",2,
"Medium",3,
"Low",4
)</f>
        <v>3</v>
      </c>
    </row>
    <row r="339" spans="1:22" x14ac:dyDescent="0.25">
      <c r="A339">
        <v>338</v>
      </c>
      <c r="B339" s="1">
        <v>45427</v>
      </c>
      <c r="C339" t="s">
        <v>14</v>
      </c>
      <c r="D339" t="s">
        <v>11</v>
      </c>
      <c r="E339">
        <v>204</v>
      </c>
      <c r="F339">
        <v>15</v>
      </c>
      <c r="G339">
        <v>4.7</v>
      </c>
      <c r="H339" t="s">
        <v>18</v>
      </c>
      <c r="I339" t="s">
        <v>19</v>
      </c>
      <c r="J339" t="s">
        <v>11</v>
      </c>
      <c r="K339">
        <f>_xlfn.XLOOKUP(tbl_analysis_tickets[[#This Row],[priority]],tbl_sla[priority],tbl_sla[Resolution SLA Hours])</f>
        <v>72</v>
      </c>
      <c r="L339">
        <f>_xlfn.XLOOKUP(tbl_analysis_tickets[[#This Row],[priority]],tbl_sla[priority],tbl_sla[First Response SLA Minutes])</f>
        <v>240</v>
      </c>
      <c r="M339" t="str">
        <f>IF(tbl_analysis_tickets[[#This Row],[resolution_time_hours]]&gt;tbl_analysis_tickets[[#This Row],[Resolution SLA Hours]],"Breached","Within SLA")</f>
        <v>Within SLA</v>
      </c>
      <c r="N339" t="str">
        <f>IF(tbl_analysis_tickets[[#This Row],[first_response_minutes]]&gt;tbl_analysis_tickets[[#This Row],[First Response SLA Minutes]],"Breached","Within SLA")</f>
        <v>Within SLA</v>
      </c>
      <c r="O339" t="str" cm="1">
        <f t="array" ref="O339">_xlfn.IFS(
tbl_analysis_tickets[[#This Row],[agent_experience_years]]&lt;=2,"Junior",
tbl_analysis_tickets[[#This Row],[agent_experience_years]]&lt;=5,"Mid-Level",
tbl_analysis_tickets[[#This Row],[agent_experience_years]]&lt;=8,"Senior",
tbl_analysis_tickets[[#This Row],[agent_experience_years]]&gt;8,"Expert"
)</f>
        <v>Mid-Level</v>
      </c>
      <c r="P339" cm="1">
        <f t="array" ref="P339">_xlfn.SWITCH(tbl_analysis_tickets[[#This Row],[customer_satisfaction]],
"Low",1,
"Medium",2,
"High",3
)</f>
        <v>1</v>
      </c>
      <c r="Q339">
        <f>IF(tbl_analysis_tickets[[#This Row],[reopened]]="Yes",1,0)</f>
        <v>0</v>
      </c>
      <c r="R339" t="str" cm="1">
        <f t="array" ref="R339">_xlfn.IFS(
tbl_analysis_tickets[[#This Row],[first_response_minutes]]&lt;=30,"Very Fast",
tbl_analysis_tickets[[#This Row],[first_response_minutes]]&lt;=120,"Acceptable",
tbl_analysis_tickets[[#This Row],[first_response_minutes]]&lt;=240,"Slow",
tbl_analysis_tickets[[#This Row],[first_response_minutes]]&gt;240,"Very Slow"
)</f>
        <v>Slow</v>
      </c>
      <c r="S339" t="str" cm="1">
        <f t="array" ref="S33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339" t="str">
        <f>TEXT(tbl_analysis_tickets[[#This Row],[created_date]],"mmm-yyyy")</f>
        <v>May-2024</v>
      </c>
      <c r="U339" t="str">
        <f>TEXT(tbl_analysis_tickets[[#This Row],[created_date]],"dddd")</f>
        <v>Wednesday</v>
      </c>
      <c r="V339" cm="1">
        <f t="array" ref="V339">_xlfn.SWITCH(tbl_analysis_tickets[[#This Row],[priority]],
"Urgent",1,
"High",2,
"Medium",3,
"Low",4
)</f>
        <v>4</v>
      </c>
    </row>
    <row r="340" spans="1:22" x14ac:dyDescent="0.25">
      <c r="A340">
        <v>339</v>
      </c>
      <c r="B340" s="1">
        <v>45367</v>
      </c>
      <c r="C340" t="s">
        <v>14</v>
      </c>
      <c r="D340" t="s">
        <v>15</v>
      </c>
      <c r="E340">
        <v>116</v>
      </c>
      <c r="F340">
        <v>44</v>
      </c>
      <c r="G340">
        <v>1.1000000000000001</v>
      </c>
      <c r="H340" t="s">
        <v>12</v>
      </c>
      <c r="I340" t="s">
        <v>19</v>
      </c>
      <c r="J340" t="s">
        <v>11</v>
      </c>
      <c r="K340">
        <f>_xlfn.XLOOKUP(tbl_analysis_tickets[[#This Row],[priority]],tbl_sla[priority],tbl_sla[Resolution SLA Hours])</f>
        <v>48</v>
      </c>
      <c r="L340">
        <f>_xlfn.XLOOKUP(tbl_analysis_tickets[[#This Row],[priority]],tbl_sla[priority],tbl_sla[First Response SLA Minutes])</f>
        <v>120</v>
      </c>
      <c r="M340" t="str">
        <f>IF(tbl_analysis_tickets[[#This Row],[resolution_time_hours]]&gt;tbl_analysis_tickets[[#This Row],[Resolution SLA Hours]],"Breached","Within SLA")</f>
        <v>Within SLA</v>
      </c>
      <c r="N340" t="str">
        <f>IF(tbl_analysis_tickets[[#This Row],[first_response_minutes]]&gt;tbl_analysis_tickets[[#This Row],[First Response SLA Minutes]],"Breached","Within SLA")</f>
        <v>Within SLA</v>
      </c>
      <c r="O340" t="str" cm="1">
        <f t="array" ref="O340">_xlfn.IFS(
tbl_analysis_tickets[[#This Row],[agent_experience_years]]&lt;=2,"Junior",
tbl_analysis_tickets[[#This Row],[agent_experience_years]]&lt;=5,"Mid-Level",
tbl_analysis_tickets[[#This Row],[agent_experience_years]]&lt;=8,"Senior",
tbl_analysis_tickets[[#This Row],[agent_experience_years]]&gt;8,"Expert"
)</f>
        <v>Junior</v>
      </c>
      <c r="P340" cm="1">
        <f t="array" ref="P340">_xlfn.SWITCH(tbl_analysis_tickets[[#This Row],[customer_satisfaction]],
"Low",1,
"Medium",2,
"High",3
)</f>
        <v>1</v>
      </c>
      <c r="Q340">
        <f>IF(tbl_analysis_tickets[[#This Row],[reopened]]="Yes",1,0)</f>
        <v>1</v>
      </c>
      <c r="R340" t="str" cm="1">
        <f t="array" ref="R340">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340" t="str" cm="1">
        <f t="array" ref="S34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340" t="str">
        <f>TEXT(tbl_analysis_tickets[[#This Row],[created_date]],"mmm-yyyy")</f>
        <v>Mar-2024</v>
      </c>
      <c r="U340" t="str">
        <f>TEXT(tbl_analysis_tickets[[#This Row],[created_date]],"dddd")</f>
        <v>Saturday</v>
      </c>
      <c r="V340" cm="1">
        <f t="array" ref="V340">_xlfn.SWITCH(tbl_analysis_tickets[[#This Row],[priority]],
"Urgent",1,
"High",2,
"Medium",3,
"Low",4
)</f>
        <v>3</v>
      </c>
    </row>
    <row r="341" spans="1:22" x14ac:dyDescent="0.25">
      <c r="A341">
        <v>340</v>
      </c>
      <c r="B341" s="1">
        <v>45320</v>
      </c>
      <c r="C341" t="s">
        <v>21</v>
      </c>
      <c r="D341" t="s">
        <v>15</v>
      </c>
      <c r="E341">
        <v>133</v>
      </c>
      <c r="F341">
        <v>46</v>
      </c>
      <c r="G341">
        <v>1.9</v>
      </c>
      <c r="H341" t="s">
        <v>12</v>
      </c>
      <c r="I341" t="s">
        <v>13</v>
      </c>
      <c r="J341" t="s">
        <v>11</v>
      </c>
      <c r="K341">
        <f>_xlfn.XLOOKUP(tbl_analysis_tickets[[#This Row],[priority]],tbl_sla[priority],tbl_sla[Resolution SLA Hours])</f>
        <v>48</v>
      </c>
      <c r="L341">
        <f>_xlfn.XLOOKUP(tbl_analysis_tickets[[#This Row],[priority]],tbl_sla[priority],tbl_sla[First Response SLA Minutes])</f>
        <v>120</v>
      </c>
      <c r="M341" t="str">
        <f>IF(tbl_analysis_tickets[[#This Row],[resolution_time_hours]]&gt;tbl_analysis_tickets[[#This Row],[Resolution SLA Hours]],"Breached","Within SLA")</f>
        <v>Within SLA</v>
      </c>
      <c r="N341" t="str">
        <f>IF(tbl_analysis_tickets[[#This Row],[first_response_minutes]]&gt;tbl_analysis_tickets[[#This Row],[First Response SLA Minutes]],"Breached","Within SLA")</f>
        <v>Breached</v>
      </c>
      <c r="O341" t="str" cm="1">
        <f t="array" ref="O341">_xlfn.IFS(
tbl_analysis_tickets[[#This Row],[agent_experience_years]]&lt;=2,"Junior",
tbl_analysis_tickets[[#This Row],[agent_experience_years]]&lt;=5,"Mid-Level",
tbl_analysis_tickets[[#This Row],[agent_experience_years]]&lt;=8,"Senior",
tbl_analysis_tickets[[#This Row],[agent_experience_years]]&gt;8,"Expert"
)</f>
        <v>Junior</v>
      </c>
      <c r="P341" cm="1">
        <f t="array" ref="P341">_xlfn.SWITCH(tbl_analysis_tickets[[#This Row],[customer_satisfaction]],
"Low",1,
"Medium",2,
"High",3
)</f>
        <v>1</v>
      </c>
      <c r="Q341">
        <f>IF(tbl_analysis_tickets[[#This Row],[reopened]]="Yes",1,0)</f>
        <v>1</v>
      </c>
      <c r="R341" t="str" cm="1">
        <f t="array" ref="R341">_xlfn.IFS(
tbl_analysis_tickets[[#This Row],[first_response_minutes]]&lt;=30,"Very Fast",
tbl_analysis_tickets[[#This Row],[first_response_minutes]]&lt;=120,"Acceptable",
tbl_analysis_tickets[[#This Row],[first_response_minutes]]&lt;=240,"Slow",
tbl_analysis_tickets[[#This Row],[first_response_minutes]]&gt;240,"Very Slow"
)</f>
        <v>Slow</v>
      </c>
      <c r="S341" t="str" cm="1">
        <f t="array" ref="S34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341" t="str">
        <f>TEXT(tbl_analysis_tickets[[#This Row],[created_date]],"mmm-yyyy")</f>
        <v>Jan-2024</v>
      </c>
      <c r="U341" t="str">
        <f>TEXT(tbl_analysis_tickets[[#This Row],[created_date]],"dddd")</f>
        <v>Monday</v>
      </c>
      <c r="V341" cm="1">
        <f t="array" ref="V341">_xlfn.SWITCH(tbl_analysis_tickets[[#This Row],[priority]],
"Urgent",1,
"High",2,
"Medium",3,
"Low",4
)</f>
        <v>3</v>
      </c>
    </row>
    <row r="342" spans="1:22" x14ac:dyDescent="0.25">
      <c r="A342">
        <v>341</v>
      </c>
      <c r="B342" s="1">
        <v>45311</v>
      </c>
      <c r="C342" t="s">
        <v>23</v>
      </c>
      <c r="D342" t="s">
        <v>11</v>
      </c>
      <c r="E342">
        <v>226</v>
      </c>
      <c r="F342">
        <v>16</v>
      </c>
      <c r="G342">
        <v>5.0999999999999996</v>
      </c>
      <c r="H342" t="s">
        <v>18</v>
      </c>
      <c r="I342" t="s">
        <v>19</v>
      </c>
      <c r="J342" t="s">
        <v>15</v>
      </c>
      <c r="K342">
        <f>_xlfn.XLOOKUP(tbl_analysis_tickets[[#This Row],[priority]],tbl_sla[priority],tbl_sla[Resolution SLA Hours])</f>
        <v>72</v>
      </c>
      <c r="L342">
        <f>_xlfn.XLOOKUP(tbl_analysis_tickets[[#This Row],[priority]],tbl_sla[priority],tbl_sla[First Response SLA Minutes])</f>
        <v>240</v>
      </c>
      <c r="M342" t="str">
        <f>IF(tbl_analysis_tickets[[#This Row],[resolution_time_hours]]&gt;tbl_analysis_tickets[[#This Row],[Resolution SLA Hours]],"Breached","Within SLA")</f>
        <v>Within SLA</v>
      </c>
      <c r="N342" t="str">
        <f>IF(tbl_analysis_tickets[[#This Row],[first_response_minutes]]&gt;tbl_analysis_tickets[[#This Row],[First Response SLA Minutes]],"Breached","Within SLA")</f>
        <v>Within SLA</v>
      </c>
      <c r="O342" t="str" cm="1">
        <f t="array" ref="O342">_xlfn.IFS(
tbl_analysis_tickets[[#This Row],[agent_experience_years]]&lt;=2,"Junior",
tbl_analysis_tickets[[#This Row],[agent_experience_years]]&lt;=5,"Mid-Level",
tbl_analysis_tickets[[#This Row],[agent_experience_years]]&lt;=8,"Senior",
tbl_analysis_tickets[[#This Row],[agent_experience_years]]&gt;8,"Expert"
)</f>
        <v>Senior</v>
      </c>
      <c r="P342" cm="1">
        <f t="array" ref="P342">_xlfn.SWITCH(tbl_analysis_tickets[[#This Row],[customer_satisfaction]],
"Low",1,
"Medium",2,
"High",3
)</f>
        <v>2</v>
      </c>
      <c r="Q342">
        <f>IF(tbl_analysis_tickets[[#This Row],[reopened]]="Yes",1,0)</f>
        <v>0</v>
      </c>
      <c r="R342" t="str" cm="1">
        <f t="array" ref="R342">_xlfn.IFS(
tbl_analysis_tickets[[#This Row],[first_response_minutes]]&lt;=30,"Very Fast",
tbl_analysis_tickets[[#This Row],[first_response_minutes]]&lt;=120,"Acceptable",
tbl_analysis_tickets[[#This Row],[first_response_minutes]]&lt;=240,"Slow",
tbl_analysis_tickets[[#This Row],[first_response_minutes]]&gt;240,"Very Slow"
)</f>
        <v>Slow</v>
      </c>
      <c r="S342" t="str" cm="1">
        <f t="array" ref="S34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342" t="str">
        <f>TEXT(tbl_analysis_tickets[[#This Row],[created_date]],"mmm-yyyy")</f>
        <v>Jan-2024</v>
      </c>
      <c r="U342" t="str">
        <f>TEXT(tbl_analysis_tickets[[#This Row],[created_date]],"dddd")</f>
        <v>Saturday</v>
      </c>
      <c r="V342" cm="1">
        <f t="array" ref="V342">_xlfn.SWITCH(tbl_analysis_tickets[[#This Row],[priority]],
"Urgent",1,
"High",2,
"Medium",3,
"Low",4
)</f>
        <v>4</v>
      </c>
    </row>
    <row r="343" spans="1:22" x14ac:dyDescent="0.25">
      <c r="A343">
        <v>342</v>
      </c>
      <c r="B343" s="1">
        <v>45377</v>
      </c>
      <c r="C343" t="s">
        <v>21</v>
      </c>
      <c r="D343" t="s">
        <v>17</v>
      </c>
      <c r="E343">
        <v>111</v>
      </c>
      <c r="F343">
        <v>22</v>
      </c>
      <c r="G343">
        <v>1.8</v>
      </c>
      <c r="H343" t="s">
        <v>12</v>
      </c>
      <c r="I343" t="s">
        <v>16</v>
      </c>
      <c r="J343" t="s">
        <v>11</v>
      </c>
      <c r="K343">
        <f>_xlfn.XLOOKUP(tbl_analysis_tickets[[#This Row],[priority]],tbl_sla[priority],tbl_sla[Resolution SLA Hours])</f>
        <v>8</v>
      </c>
      <c r="L343">
        <f>_xlfn.XLOOKUP(tbl_analysis_tickets[[#This Row],[priority]],tbl_sla[priority],tbl_sla[First Response SLA Minutes])</f>
        <v>30</v>
      </c>
      <c r="M343" t="str">
        <f>IF(tbl_analysis_tickets[[#This Row],[resolution_time_hours]]&gt;tbl_analysis_tickets[[#This Row],[Resolution SLA Hours]],"Breached","Within SLA")</f>
        <v>Breached</v>
      </c>
      <c r="N343" t="str">
        <f>IF(tbl_analysis_tickets[[#This Row],[first_response_minutes]]&gt;tbl_analysis_tickets[[#This Row],[First Response SLA Minutes]],"Breached","Within SLA")</f>
        <v>Breached</v>
      </c>
      <c r="O343" t="str" cm="1">
        <f t="array" ref="O343">_xlfn.IFS(
tbl_analysis_tickets[[#This Row],[agent_experience_years]]&lt;=2,"Junior",
tbl_analysis_tickets[[#This Row],[agent_experience_years]]&lt;=5,"Mid-Level",
tbl_analysis_tickets[[#This Row],[agent_experience_years]]&lt;=8,"Senior",
tbl_analysis_tickets[[#This Row],[agent_experience_years]]&gt;8,"Expert"
)</f>
        <v>Junior</v>
      </c>
      <c r="P343" cm="1">
        <f t="array" ref="P343">_xlfn.SWITCH(tbl_analysis_tickets[[#This Row],[customer_satisfaction]],
"Low",1,
"Medium",2,
"High",3
)</f>
        <v>1</v>
      </c>
      <c r="Q343">
        <f>IF(tbl_analysis_tickets[[#This Row],[reopened]]="Yes",1,0)</f>
        <v>1</v>
      </c>
      <c r="R343" t="str" cm="1">
        <f t="array" ref="R343">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343" t="str" cm="1">
        <f t="array" ref="S34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343" t="str">
        <f>TEXT(tbl_analysis_tickets[[#This Row],[created_date]],"mmm-yyyy")</f>
        <v>Mar-2024</v>
      </c>
      <c r="U343" t="str">
        <f>TEXT(tbl_analysis_tickets[[#This Row],[created_date]],"dddd")</f>
        <v>Tuesday</v>
      </c>
      <c r="V343" cm="1">
        <f t="array" ref="V343">_xlfn.SWITCH(tbl_analysis_tickets[[#This Row],[priority]],
"Urgent",1,
"High",2,
"Medium",3,
"Low",4
)</f>
        <v>1</v>
      </c>
    </row>
    <row r="344" spans="1:22" x14ac:dyDescent="0.25">
      <c r="A344">
        <v>343</v>
      </c>
      <c r="B344" s="1">
        <v>45614</v>
      </c>
      <c r="C344" t="s">
        <v>14</v>
      </c>
      <c r="D344" t="s">
        <v>20</v>
      </c>
      <c r="E344">
        <v>230</v>
      </c>
      <c r="F344">
        <v>15</v>
      </c>
      <c r="G344">
        <v>7.7</v>
      </c>
      <c r="H344" t="s">
        <v>18</v>
      </c>
      <c r="I344" t="s">
        <v>13</v>
      </c>
      <c r="J344" t="s">
        <v>11</v>
      </c>
      <c r="K344">
        <f>_xlfn.XLOOKUP(tbl_analysis_tickets[[#This Row],[priority]],tbl_sla[priority],tbl_sla[Resolution SLA Hours])</f>
        <v>24</v>
      </c>
      <c r="L344">
        <f>_xlfn.XLOOKUP(tbl_analysis_tickets[[#This Row],[priority]],tbl_sla[priority],tbl_sla[First Response SLA Minutes])</f>
        <v>60</v>
      </c>
      <c r="M344" t="str">
        <f>IF(tbl_analysis_tickets[[#This Row],[resolution_time_hours]]&gt;tbl_analysis_tickets[[#This Row],[Resolution SLA Hours]],"Breached","Within SLA")</f>
        <v>Within SLA</v>
      </c>
      <c r="N344" t="str">
        <f>IF(tbl_analysis_tickets[[#This Row],[first_response_minutes]]&gt;tbl_analysis_tickets[[#This Row],[First Response SLA Minutes]],"Breached","Within SLA")</f>
        <v>Breached</v>
      </c>
      <c r="O344" t="str" cm="1">
        <f t="array" ref="O344">_xlfn.IFS(
tbl_analysis_tickets[[#This Row],[agent_experience_years]]&lt;=2,"Junior",
tbl_analysis_tickets[[#This Row],[agent_experience_years]]&lt;=5,"Mid-Level",
tbl_analysis_tickets[[#This Row],[agent_experience_years]]&lt;=8,"Senior",
tbl_analysis_tickets[[#This Row],[agent_experience_years]]&gt;8,"Expert"
)</f>
        <v>Senior</v>
      </c>
      <c r="P344" cm="1">
        <f t="array" ref="P344">_xlfn.SWITCH(tbl_analysis_tickets[[#This Row],[customer_satisfaction]],
"Low",1,
"Medium",2,
"High",3
)</f>
        <v>1</v>
      </c>
      <c r="Q344">
        <f>IF(tbl_analysis_tickets[[#This Row],[reopened]]="Yes",1,0)</f>
        <v>0</v>
      </c>
      <c r="R344" t="str" cm="1">
        <f t="array" ref="R344">_xlfn.IFS(
tbl_analysis_tickets[[#This Row],[first_response_minutes]]&lt;=30,"Very Fast",
tbl_analysis_tickets[[#This Row],[first_response_minutes]]&lt;=120,"Acceptable",
tbl_analysis_tickets[[#This Row],[first_response_minutes]]&lt;=240,"Slow",
tbl_analysis_tickets[[#This Row],[first_response_minutes]]&gt;240,"Very Slow"
)</f>
        <v>Slow</v>
      </c>
      <c r="S344" t="str" cm="1">
        <f t="array" ref="S34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344" t="str">
        <f>TEXT(tbl_analysis_tickets[[#This Row],[created_date]],"mmm-yyyy")</f>
        <v>Nov-2024</v>
      </c>
      <c r="U344" t="str">
        <f>TEXT(tbl_analysis_tickets[[#This Row],[created_date]],"dddd")</f>
        <v>Monday</v>
      </c>
      <c r="V344" cm="1">
        <f t="array" ref="V344">_xlfn.SWITCH(tbl_analysis_tickets[[#This Row],[priority]],
"Urgent",1,
"High",2,
"Medium",3,
"Low",4
)</f>
        <v>2</v>
      </c>
    </row>
    <row r="345" spans="1:22" x14ac:dyDescent="0.25">
      <c r="A345">
        <v>344</v>
      </c>
      <c r="B345" s="1">
        <v>45616</v>
      </c>
      <c r="C345" t="s">
        <v>23</v>
      </c>
      <c r="D345" t="s">
        <v>20</v>
      </c>
      <c r="E345">
        <v>204</v>
      </c>
      <c r="F345">
        <v>17</v>
      </c>
      <c r="G345">
        <v>7.3</v>
      </c>
      <c r="H345" t="s">
        <v>18</v>
      </c>
      <c r="I345" t="s">
        <v>13</v>
      </c>
      <c r="J345" t="s">
        <v>11</v>
      </c>
      <c r="K345">
        <f>_xlfn.XLOOKUP(tbl_analysis_tickets[[#This Row],[priority]],tbl_sla[priority],tbl_sla[Resolution SLA Hours])</f>
        <v>24</v>
      </c>
      <c r="L345">
        <f>_xlfn.XLOOKUP(tbl_analysis_tickets[[#This Row],[priority]],tbl_sla[priority],tbl_sla[First Response SLA Minutes])</f>
        <v>60</v>
      </c>
      <c r="M345" t="str">
        <f>IF(tbl_analysis_tickets[[#This Row],[resolution_time_hours]]&gt;tbl_analysis_tickets[[#This Row],[Resolution SLA Hours]],"Breached","Within SLA")</f>
        <v>Within SLA</v>
      </c>
      <c r="N345" t="str">
        <f>IF(tbl_analysis_tickets[[#This Row],[first_response_minutes]]&gt;tbl_analysis_tickets[[#This Row],[First Response SLA Minutes]],"Breached","Within SLA")</f>
        <v>Breached</v>
      </c>
      <c r="O345" t="str" cm="1">
        <f t="array" ref="O345">_xlfn.IFS(
tbl_analysis_tickets[[#This Row],[agent_experience_years]]&lt;=2,"Junior",
tbl_analysis_tickets[[#This Row],[agent_experience_years]]&lt;=5,"Mid-Level",
tbl_analysis_tickets[[#This Row],[agent_experience_years]]&lt;=8,"Senior",
tbl_analysis_tickets[[#This Row],[agent_experience_years]]&gt;8,"Expert"
)</f>
        <v>Senior</v>
      </c>
      <c r="P345" cm="1">
        <f t="array" ref="P345">_xlfn.SWITCH(tbl_analysis_tickets[[#This Row],[customer_satisfaction]],
"Low",1,
"Medium",2,
"High",3
)</f>
        <v>1</v>
      </c>
      <c r="Q345">
        <f>IF(tbl_analysis_tickets[[#This Row],[reopened]]="Yes",1,0)</f>
        <v>0</v>
      </c>
      <c r="R345" t="str" cm="1">
        <f t="array" ref="R345">_xlfn.IFS(
tbl_analysis_tickets[[#This Row],[first_response_minutes]]&lt;=30,"Very Fast",
tbl_analysis_tickets[[#This Row],[first_response_minutes]]&lt;=120,"Acceptable",
tbl_analysis_tickets[[#This Row],[first_response_minutes]]&lt;=240,"Slow",
tbl_analysis_tickets[[#This Row],[first_response_minutes]]&gt;240,"Very Slow"
)</f>
        <v>Slow</v>
      </c>
      <c r="S345" t="str" cm="1">
        <f t="array" ref="S34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345" t="str">
        <f>TEXT(tbl_analysis_tickets[[#This Row],[created_date]],"mmm-yyyy")</f>
        <v>Nov-2024</v>
      </c>
      <c r="U345" t="str">
        <f>TEXT(tbl_analysis_tickets[[#This Row],[created_date]],"dddd")</f>
        <v>Wednesday</v>
      </c>
      <c r="V345" cm="1">
        <f t="array" ref="V345">_xlfn.SWITCH(tbl_analysis_tickets[[#This Row],[priority]],
"Urgent",1,
"High",2,
"Medium",3,
"Low",4
)</f>
        <v>2</v>
      </c>
    </row>
    <row r="346" spans="1:22" x14ac:dyDescent="0.25">
      <c r="A346">
        <v>345</v>
      </c>
      <c r="B346" s="1">
        <v>45616</v>
      </c>
      <c r="C346" t="s">
        <v>21</v>
      </c>
      <c r="D346" t="s">
        <v>20</v>
      </c>
      <c r="E346">
        <v>63</v>
      </c>
      <c r="F346">
        <v>55</v>
      </c>
      <c r="G346">
        <v>6.4</v>
      </c>
      <c r="H346" t="s">
        <v>12</v>
      </c>
      <c r="I346" t="s">
        <v>19</v>
      </c>
      <c r="J346" t="s">
        <v>11</v>
      </c>
      <c r="K346">
        <f>_xlfn.XLOOKUP(tbl_analysis_tickets[[#This Row],[priority]],tbl_sla[priority],tbl_sla[Resolution SLA Hours])</f>
        <v>24</v>
      </c>
      <c r="L346">
        <f>_xlfn.XLOOKUP(tbl_analysis_tickets[[#This Row],[priority]],tbl_sla[priority],tbl_sla[First Response SLA Minutes])</f>
        <v>60</v>
      </c>
      <c r="M346" t="str">
        <f>IF(tbl_analysis_tickets[[#This Row],[resolution_time_hours]]&gt;tbl_analysis_tickets[[#This Row],[Resolution SLA Hours]],"Breached","Within SLA")</f>
        <v>Breached</v>
      </c>
      <c r="N346" t="str">
        <f>IF(tbl_analysis_tickets[[#This Row],[first_response_minutes]]&gt;tbl_analysis_tickets[[#This Row],[First Response SLA Minutes]],"Breached","Within SLA")</f>
        <v>Breached</v>
      </c>
      <c r="O346" t="str" cm="1">
        <f t="array" ref="O346">_xlfn.IFS(
tbl_analysis_tickets[[#This Row],[agent_experience_years]]&lt;=2,"Junior",
tbl_analysis_tickets[[#This Row],[agent_experience_years]]&lt;=5,"Mid-Level",
tbl_analysis_tickets[[#This Row],[agent_experience_years]]&lt;=8,"Senior",
tbl_analysis_tickets[[#This Row],[agent_experience_years]]&gt;8,"Expert"
)</f>
        <v>Senior</v>
      </c>
      <c r="P346" cm="1">
        <f t="array" ref="P346">_xlfn.SWITCH(tbl_analysis_tickets[[#This Row],[customer_satisfaction]],
"Low",1,
"Medium",2,
"High",3
)</f>
        <v>1</v>
      </c>
      <c r="Q346">
        <f>IF(tbl_analysis_tickets[[#This Row],[reopened]]="Yes",1,0)</f>
        <v>1</v>
      </c>
      <c r="R346" t="str" cm="1">
        <f t="array" ref="R346">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346" t="str" cm="1">
        <f t="array" ref="S34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346" t="str">
        <f>TEXT(tbl_analysis_tickets[[#This Row],[created_date]],"mmm-yyyy")</f>
        <v>Nov-2024</v>
      </c>
      <c r="U346" t="str">
        <f>TEXT(tbl_analysis_tickets[[#This Row],[created_date]],"dddd")</f>
        <v>Wednesday</v>
      </c>
      <c r="V346" cm="1">
        <f t="array" ref="V346">_xlfn.SWITCH(tbl_analysis_tickets[[#This Row],[priority]],
"Urgent",1,
"High",2,
"Medium",3,
"Low",4
)</f>
        <v>2</v>
      </c>
    </row>
    <row r="347" spans="1:22" x14ac:dyDescent="0.25">
      <c r="A347">
        <v>346</v>
      </c>
      <c r="B347" s="1">
        <v>45356</v>
      </c>
      <c r="C347" t="s">
        <v>10</v>
      </c>
      <c r="D347" t="s">
        <v>20</v>
      </c>
      <c r="E347">
        <v>84</v>
      </c>
      <c r="F347">
        <v>17</v>
      </c>
      <c r="G347">
        <v>4.5999999999999996</v>
      </c>
      <c r="H347" t="s">
        <v>12</v>
      </c>
      <c r="I347" t="s">
        <v>16</v>
      </c>
      <c r="J347" t="s">
        <v>11</v>
      </c>
      <c r="K347">
        <f>_xlfn.XLOOKUP(tbl_analysis_tickets[[#This Row],[priority]],tbl_sla[priority],tbl_sla[Resolution SLA Hours])</f>
        <v>24</v>
      </c>
      <c r="L347">
        <f>_xlfn.XLOOKUP(tbl_analysis_tickets[[#This Row],[priority]],tbl_sla[priority],tbl_sla[First Response SLA Minutes])</f>
        <v>60</v>
      </c>
      <c r="M347" t="str">
        <f>IF(tbl_analysis_tickets[[#This Row],[resolution_time_hours]]&gt;tbl_analysis_tickets[[#This Row],[Resolution SLA Hours]],"Breached","Within SLA")</f>
        <v>Within SLA</v>
      </c>
      <c r="N347" t="str">
        <f>IF(tbl_analysis_tickets[[#This Row],[first_response_minutes]]&gt;tbl_analysis_tickets[[#This Row],[First Response SLA Minutes]],"Breached","Within SLA")</f>
        <v>Breached</v>
      </c>
      <c r="O347" t="str" cm="1">
        <f t="array" ref="O347">_xlfn.IFS(
tbl_analysis_tickets[[#This Row],[agent_experience_years]]&lt;=2,"Junior",
tbl_analysis_tickets[[#This Row],[agent_experience_years]]&lt;=5,"Mid-Level",
tbl_analysis_tickets[[#This Row],[agent_experience_years]]&lt;=8,"Senior",
tbl_analysis_tickets[[#This Row],[agent_experience_years]]&gt;8,"Expert"
)</f>
        <v>Mid-Level</v>
      </c>
      <c r="P347" cm="1">
        <f t="array" ref="P347">_xlfn.SWITCH(tbl_analysis_tickets[[#This Row],[customer_satisfaction]],
"Low",1,
"Medium",2,
"High",3
)</f>
        <v>1</v>
      </c>
      <c r="Q347">
        <f>IF(tbl_analysis_tickets[[#This Row],[reopened]]="Yes",1,0)</f>
        <v>1</v>
      </c>
      <c r="R347" t="str" cm="1">
        <f t="array" ref="R347">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347" t="str" cm="1">
        <f t="array" ref="S34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347" t="str">
        <f>TEXT(tbl_analysis_tickets[[#This Row],[created_date]],"mmm-yyyy")</f>
        <v>Mar-2024</v>
      </c>
      <c r="U347" t="str">
        <f>TEXT(tbl_analysis_tickets[[#This Row],[created_date]],"dddd")</f>
        <v>Tuesday</v>
      </c>
      <c r="V347" cm="1">
        <f t="array" ref="V347">_xlfn.SWITCH(tbl_analysis_tickets[[#This Row],[priority]],
"Urgent",1,
"High",2,
"Medium",3,
"Low",4
)</f>
        <v>2</v>
      </c>
    </row>
    <row r="348" spans="1:22" x14ac:dyDescent="0.25">
      <c r="A348">
        <v>347</v>
      </c>
      <c r="B348" s="1">
        <v>45593</v>
      </c>
      <c r="C348" t="s">
        <v>10</v>
      </c>
      <c r="D348" t="s">
        <v>11</v>
      </c>
      <c r="E348">
        <v>11</v>
      </c>
      <c r="F348">
        <v>6</v>
      </c>
      <c r="G348">
        <v>6.7</v>
      </c>
      <c r="H348" t="s">
        <v>18</v>
      </c>
      <c r="I348" t="s">
        <v>13</v>
      </c>
      <c r="J348" t="s">
        <v>20</v>
      </c>
      <c r="K348">
        <f>_xlfn.XLOOKUP(tbl_analysis_tickets[[#This Row],[priority]],tbl_sla[priority],tbl_sla[Resolution SLA Hours])</f>
        <v>72</v>
      </c>
      <c r="L348">
        <f>_xlfn.XLOOKUP(tbl_analysis_tickets[[#This Row],[priority]],tbl_sla[priority],tbl_sla[First Response SLA Minutes])</f>
        <v>240</v>
      </c>
      <c r="M348" t="str">
        <f>IF(tbl_analysis_tickets[[#This Row],[resolution_time_hours]]&gt;tbl_analysis_tickets[[#This Row],[Resolution SLA Hours]],"Breached","Within SLA")</f>
        <v>Within SLA</v>
      </c>
      <c r="N348" t="str">
        <f>IF(tbl_analysis_tickets[[#This Row],[first_response_minutes]]&gt;tbl_analysis_tickets[[#This Row],[First Response SLA Minutes]],"Breached","Within SLA")</f>
        <v>Within SLA</v>
      </c>
      <c r="O348" t="str" cm="1">
        <f t="array" ref="O348">_xlfn.IFS(
tbl_analysis_tickets[[#This Row],[agent_experience_years]]&lt;=2,"Junior",
tbl_analysis_tickets[[#This Row],[agent_experience_years]]&lt;=5,"Mid-Level",
tbl_analysis_tickets[[#This Row],[agent_experience_years]]&lt;=8,"Senior",
tbl_analysis_tickets[[#This Row],[agent_experience_years]]&gt;8,"Expert"
)</f>
        <v>Senior</v>
      </c>
      <c r="P348" cm="1">
        <f t="array" ref="P348">_xlfn.SWITCH(tbl_analysis_tickets[[#This Row],[customer_satisfaction]],
"Low",1,
"Medium",2,
"High",3
)</f>
        <v>3</v>
      </c>
      <c r="Q348">
        <f>IF(tbl_analysis_tickets[[#This Row],[reopened]]="Yes",1,0)</f>
        <v>0</v>
      </c>
      <c r="R348" t="str" cm="1">
        <f t="array" ref="R348">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348" t="str" cm="1">
        <f t="array" ref="S34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348" t="str">
        <f>TEXT(tbl_analysis_tickets[[#This Row],[created_date]],"mmm-yyyy")</f>
        <v>Oct-2024</v>
      </c>
      <c r="U348" t="str">
        <f>TEXT(tbl_analysis_tickets[[#This Row],[created_date]],"dddd")</f>
        <v>Monday</v>
      </c>
      <c r="V348" cm="1">
        <f t="array" ref="V348">_xlfn.SWITCH(tbl_analysis_tickets[[#This Row],[priority]],
"Urgent",1,
"High",2,
"Medium",3,
"Low",4
)</f>
        <v>4</v>
      </c>
    </row>
    <row r="349" spans="1:22" x14ac:dyDescent="0.25">
      <c r="A349">
        <v>348</v>
      </c>
      <c r="B349" s="1">
        <v>45303</v>
      </c>
      <c r="C349" t="s">
        <v>14</v>
      </c>
      <c r="D349" t="s">
        <v>20</v>
      </c>
      <c r="E349">
        <v>98</v>
      </c>
      <c r="F349">
        <v>42</v>
      </c>
      <c r="G349">
        <v>7.2</v>
      </c>
      <c r="H349" t="s">
        <v>18</v>
      </c>
      <c r="I349" t="s">
        <v>13</v>
      </c>
      <c r="J349" t="s">
        <v>11</v>
      </c>
      <c r="K349">
        <f>_xlfn.XLOOKUP(tbl_analysis_tickets[[#This Row],[priority]],tbl_sla[priority],tbl_sla[Resolution SLA Hours])</f>
        <v>24</v>
      </c>
      <c r="L349">
        <f>_xlfn.XLOOKUP(tbl_analysis_tickets[[#This Row],[priority]],tbl_sla[priority],tbl_sla[First Response SLA Minutes])</f>
        <v>60</v>
      </c>
      <c r="M349" t="str">
        <f>IF(tbl_analysis_tickets[[#This Row],[resolution_time_hours]]&gt;tbl_analysis_tickets[[#This Row],[Resolution SLA Hours]],"Breached","Within SLA")</f>
        <v>Breached</v>
      </c>
      <c r="N349" t="str">
        <f>IF(tbl_analysis_tickets[[#This Row],[first_response_minutes]]&gt;tbl_analysis_tickets[[#This Row],[First Response SLA Minutes]],"Breached","Within SLA")</f>
        <v>Breached</v>
      </c>
      <c r="O349" t="str" cm="1">
        <f t="array" ref="O349">_xlfn.IFS(
tbl_analysis_tickets[[#This Row],[agent_experience_years]]&lt;=2,"Junior",
tbl_analysis_tickets[[#This Row],[agent_experience_years]]&lt;=5,"Mid-Level",
tbl_analysis_tickets[[#This Row],[agent_experience_years]]&lt;=8,"Senior",
tbl_analysis_tickets[[#This Row],[agent_experience_years]]&gt;8,"Expert"
)</f>
        <v>Senior</v>
      </c>
      <c r="P349" cm="1">
        <f t="array" ref="P349">_xlfn.SWITCH(tbl_analysis_tickets[[#This Row],[customer_satisfaction]],
"Low",1,
"Medium",2,
"High",3
)</f>
        <v>1</v>
      </c>
      <c r="Q349">
        <f>IF(tbl_analysis_tickets[[#This Row],[reopened]]="Yes",1,0)</f>
        <v>0</v>
      </c>
      <c r="R349" t="str" cm="1">
        <f t="array" ref="R349">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349" t="str" cm="1">
        <f t="array" ref="S34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349" t="str">
        <f>TEXT(tbl_analysis_tickets[[#This Row],[created_date]],"mmm-yyyy")</f>
        <v>Jan-2024</v>
      </c>
      <c r="U349" t="str">
        <f>TEXT(tbl_analysis_tickets[[#This Row],[created_date]],"dddd")</f>
        <v>Friday</v>
      </c>
      <c r="V349" cm="1">
        <f t="array" ref="V349">_xlfn.SWITCH(tbl_analysis_tickets[[#This Row],[priority]],
"Urgent",1,
"High",2,
"Medium",3,
"Low",4
)</f>
        <v>2</v>
      </c>
    </row>
    <row r="350" spans="1:22" x14ac:dyDescent="0.25">
      <c r="A350">
        <v>349</v>
      </c>
      <c r="B350" s="1">
        <v>45598</v>
      </c>
      <c r="C350" t="s">
        <v>23</v>
      </c>
      <c r="D350" t="s">
        <v>17</v>
      </c>
      <c r="E350">
        <v>112</v>
      </c>
      <c r="F350">
        <v>26</v>
      </c>
      <c r="G350">
        <v>5.0999999999999996</v>
      </c>
      <c r="H350" t="s">
        <v>12</v>
      </c>
      <c r="I350" t="s">
        <v>16</v>
      </c>
      <c r="J350" t="s">
        <v>11</v>
      </c>
      <c r="K350">
        <f>_xlfn.XLOOKUP(tbl_analysis_tickets[[#This Row],[priority]],tbl_sla[priority],tbl_sla[Resolution SLA Hours])</f>
        <v>8</v>
      </c>
      <c r="L350">
        <f>_xlfn.XLOOKUP(tbl_analysis_tickets[[#This Row],[priority]],tbl_sla[priority],tbl_sla[First Response SLA Minutes])</f>
        <v>30</v>
      </c>
      <c r="M350" t="str">
        <f>IF(tbl_analysis_tickets[[#This Row],[resolution_time_hours]]&gt;tbl_analysis_tickets[[#This Row],[Resolution SLA Hours]],"Breached","Within SLA")</f>
        <v>Breached</v>
      </c>
      <c r="N350" t="str">
        <f>IF(tbl_analysis_tickets[[#This Row],[first_response_minutes]]&gt;tbl_analysis_tickets[[#This Row],[First Response SLA Minutes]],"Breached","Within SLA")</f>
        <v>Breached</v>
      </c>
      <c r="O350" t="str" cm="1">
        <f t="array" ref="O350">_xlfn.IFS(
tbl_analysis_tickets[[#This Row],[agent_experience_years]]&lt;=2,"Junior",
tbl_analysis_tickets[[#This Row],[agent_experience_years]]&lt;=5,"Mid-Level",
tbl_analysis_tickets[[#This Row],[agent_experience_years]]&lt;=8,"Senior",
tbl_analysis_tickets[[#This Row],[agent_experience_years]]&gt;8,"Expert"
)</f>
        <v>Senior</v>
      </c>
      <c r="P350" cm="1">
        <f t="array" ref="P350">_xlfn.SWITCH(tbl_analysis_tickets[[#This Row],[customer_satisfaction]],
"Low",1,
"Medium",2,
"High",3
)</f>
        <v>1</v>
      </c>
      <c r="Q350">
        <f>IF(tbl_analysis_tickets[[#This Row],[reopened]]="Yes",1,0)</f>
        <v>1</v>
      </c>
      <c r="R350" t="str" cm="1">
        <f t="array" ref="R350">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350" t="str" cm="1">
        <f t="array" ref="S35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350" t="str">
        <f>TEXT(tbl_analysis_tickets[[#This Row],[created_date]],"mmm-yyyy")</f>
        <v>Nov-2024</v>
      </c>
      <c r="U350" t="str">
        <f>TEXT(tbl_analysis_tickets[[#This Row],[created_date]],"dddd")</f>
        <v>Saturday</v>
      </c>
      <c r="V350" cm="1">
        <f t="array" ref="V350">_xlfn.SWITCH(tbl_analysis_tickets[[#This Row],[priority]],
"Urgent",1,
"High",2,
"Medium",3,
"Low",4
)</f>
        <v>1</v>
      </c>
    </row>
    <row r="351" spans="1:22" x14ac:dyDescent="0.25">
      <c r="A351">
        <v>350</v>
      </c>
      <c r="B351" s="1">
        <v>45329</v>
      </c>
      <c r="C351" t="s">
        <v>22</v>
      </c>
      <c r="D351" t="s">
        <v>20</v>
      </c>
      <c r="E351">
        <v>203</v>
      </c>
      <c r="F351">
        <v>29</v>
      </c>
      <c r="G351">
        <v>9.1</v>
      </c>
      <c r="H351" t="s">
        <v>12</v>
      </c>
      <c r="I351" t="s">
        <v>19</v>
      </c>
      <c r="J351" t="s">
        <v>11</v>
      </c>
      <c r="K351">
        <f>_xlfn.XLOOKUP(tbl_analysis_tickets[[#This Row],[priority]],tbl_sla[priority],tbl_sla[Resolution SLA Hours])</f>
        <v>24</v>
      </c>
      <c r="L351">
        <f>_xlfn.XLOOKUP(tbl_analysis_tickets[[#This Row],[priority]],tbl_sla[priority],tbl_sla[First Response SLA Minutes])</f>
        <v>60</v>
      </c>
      <c r="M351" t="str">
        <f>IF(tbl_analysis_tickets[[#This Row],[resolution_time_hours]]&gt;tbl_analysis_tickets[[#This Row],[Resolution SLA Hours]],"Breached","Within SLA")</f>
        <v>Breached</v>
      </c>
      <c r="N351" t="str">
        <f>IF(tbl_analysis_tickets[[#This Row],[first_response_minutes]]&gt;tbl_analysis_tickets[[#This Row],[First Response SLA Minutes]],"Breached","Within SLA")</f>
        <v>Breached</v>
      </c>
      <c r="O351" t="str" cm="1">
        <f t="array" ref="O351">_xlfn.IFS(
tbl_analysis_tickets[[#This Row],[agent_experience_years]]&lt;=2,"Junior",
tbl_analysis_tickets[[#This Row],[agent_experience_years]]&lt;=5,"Mid-Level",
tbl_analysis_tickets[[#This Row],[agent_experience_years]]&lt;=8,"Senior",
tbl_analysis_tickets[[#This Row],[agent_experience_years]]&gt;8,"Expert"
)</f>
        <v>Expert</v>
      </c>
      <c r="P351" cm="1">
        <f t="array" ref="P351">_xlfn.SWITCH(tbl_analysis_tickets[[#This Row],[customer_satisfaction]],
"Low",1,
"Medium",2,
"High",3
)</f>
        <v>1</v>
      </c>
      <c r="Q351">
        <f>IF(tbl_analysis_tickets[[#This Row],[reopened]]="Yes",1,0)</f>
        <v>1</v>
      </c>
      <c r="R351" t="str" cm="1">
        <f t="array" ref="R351">_xlfn.IFS(
tbl_analysis_tickets[[#This Row],[first_response_minutes]]&lt;=30,"Very Fast",
tbl_analysis_tickets[[#This Row],[first_response_minutes]]&lt;=120,"Acceptable",
tbl_analysis_tickets[[#This Row],[first_response_minutes]]&lt;=240,"Slow",
tbl_analysis_tickets[[#This Row],[first_response_minutes]]&gt;240,"Very Slow"
)</f>
        <v>Slow</v>
      </c>
      <c r="S351" t="str" cm="1">
        <f t="array" ref="S35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351" t="str">
        <f>TEXT(tbl_analysis_tickets[[#This Row],[created_date]],"mmm-yyyy")</f>
        <v>Feb-2024</v>
      </c>
      <c r="U351" t="str">
        <f>TEXT(tbl_analysis_tickets[[#This Row],[created_date]],"dddd")</f>
        <v>Wednesday</v>
      </c>
      <c r="V351" cm="1">
        <f t="array" ref="V351">_xlfn.SWITCH(tbl_analysis_tickets[[#This Row],[priority]],
"Urgent",1,
"High",2,
"Medium",3,
"Low",4
)</f>
        <v>2</v>
      </c>
    </row>
    <row r="352" spans="1:22" x14ac:dyDescent="0.25">
      <c r="A352">
        <v>351</v>
      </c>
      <c r="B352" s="1">
        <v>45294</v>
      </c>
      <c r="C352" t="s">
        <v>21</v>
      </c>
      <c r="D352" t="s">
        <v>17</v>
      </c>
      <c r="E352">
        <v>87</v>
      </c>
      <c r="F352">
        <v>44</v>
      </c>
      <c r="G352">
        <v>9.1999999999999993</v>
      </c>
      <c r="H352" t="s">
        <v>18</v>
      </c>
      <c r="I352" t="s">
        <v>19</v>
      </c>
      <c r="J352" t="s">
        <v>11</v>
      </c>
      <c r="K352">
        <f>_xlfn.XLOOKUP(tbl_analysis_tickets[[#This Row],[priority]],tbl_sla[priority],tbl_sla[Resolution SLA Hours])</f>
        <v>8</v>
      </c>
      <c r="L352">
        <f>_xlfn.XLOOKUP(tbl_analysis_tickets[[#This Row],[priority]],tbl_sla[priority],tbl_sla[First Response SLA Minutes])</f>
        <v>30</v>
      </c>
      <c r="M352" t="str">
        <f>IF(tbl_analysis_tickets[[#This Row],[resolution_time_hours]]&gt;tbl_analysis_tickets[[#This Row],[Resolution SLA Hours]],"Breached","Within SLA")</f>
        <v>Breached</v>
      </c>
      <c r="N352" t="str">
        <f>IF(tbl_analysis_tickets[[#This Row],[first_response_minutes]]&gt;tbl_analysis_tickets[[#This Row],[First Response SLA Minutes]],"Breached","Within SLA")</f>
        <v>Breached</v>
      </c>
      <c r="O352" t="str" cm="1">
        <f t="array" ref="O352">_xlfn.IFS(
tbl_analysis_tickets[[#This Row],[agent_experience_years]]&lt;=2,"Junior",
tbl_analysis_tickets[[#This Row],[agent_experience_years]]&lt;=5,"Mid-Level",
tbl_analysis_tickets[[#This Row],[agent_experience_years]]&lt;=8,"Senior",
tbl_analysis_tickets[[#This Row],[agent_experience_years]]&gt;8,"Expert"
)</f>
        <v>Expert</v>
      </c>
      <c r="P352" cm="1">
        <f t="array" ref="P352">_xlfn.SWITCH(tbl_analysis_tickets[[#This Row],[customer_satisfaction]],
"Low",1,
"Medium",2,
"High",3
)</f>
        <v>1</v>
      </c>
      <c r="Q352">
        <f>IF(tbl_analysis_tickets[[#This Row],[reopened]]="Yes",1,0)</f>
        <v>0</v>
      </c>
      <c r="R352" t="str" cm="1">
        <f t="array" ref="R352">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352" t="str" cm="1">
        <f t="array" ref="S35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352" t="str">
        <f>TEXT(tbl_analysis_tickets[[#This Row],[created_date]],"mmm-yyyy")</f>
        <v>Jan-2024</v>
      </c>
      <c r="U352" t="str">
        <f>TEXT(tbl_analysis_tickets[[#This Row],[created_date]],"dddd")</f>
        <v>Wednesday</v>
      </c>
      <c r="V352" cm="1">
        <f t="array" ref="V352">_xlfn.SWITCH(tbl_analysis_tickets[[#This Row],[priority]],
"Urgent",1,
"High",2,
"Medium",3,
"Low",4
)</f>
        <v>1</v>
      </c>
    </row>
    <row r="353" spans="1:22" x14ac:dyDescent="0.25">
      <c r="A353">
        <v>352</v>
      </c>
      <c r="B353" s="1">
        <v>45480</v>
      </c>
      <c r="C353" t="s">
        <v>23</v>
      </c>
      <c r="D353" t="s">
        <v>11</v>
      </c>
      <c r="E353">
        <v>173</v>
      </c>
      <c r="F353">
        <v>56</v>
      </c>
      <c r="G353">
        <v>1.8</v>
      </c>
      <c r="H353" t="s">
        <v>12</v>
      </c>
      <c r="I353" t="s">
        <v>19</v>
      </c>
      <c r="J353" t="s">
        <v>11</v>
      </c>
      <c r="K353">
        <f>_xlfn.XLOOKUP(tbl_analysis_tickets[[#This Row],[priority]],tbl_sla[priority],tbl_sla[Resolution SLA Hours])</f>
        <v>72</v>
      </c>
      <c r="L353">
        <f>_xlfn.XLOOKUP(tbl_analysis_tickets[[#This Row],[priority]],tbl_sla[priority],tbl_sla[First Response SLA Minutes])</f>
        <v>240</v>
      </c>
      <c r="M353" t="str">
        <f>IF(tbl_analysis_tickets[[#This Row],[resolution_time_hours]]&gt;tbl_analysis_tickets[[#This Row],[Resolution SLA Hours]],"Breached","Within SLA")</f>
        <v>Within SLA</v>
      </c>
      <c r="N353" t="str">
        <f>IF(tbl_analysis_tickets[[#This Row],[first_response_minutes]]&gt;tbl_analysis_tickets[[#This Row],[First Response SLA Minutes]],"Breached","Within SLA")</f>
        <v>Within SLA</v>
      </c>
      <c r="O353" t="str" cm="1">
        <f t="array" ref="O353">_xlfn.IFS(
tbl_analysis_tickets[[#This Row],[agent_experience_years]]&lt;=2,"Junior",
tbl_analysis_tickets[[#This Row],[agent_experience_years]]&lt;=5,"Mid-Level",
tbl_analysis_tickets[[#This Row],[agent_experience_years]]&lt;=8,"Senior",
tbl_analysis_tickets[[#This Row],[agent_experience_years]]&gt;8,"Expert"
)</f>
        <v>Junior</v>
      </c>
      <c r="P353" cm="1">
        <f t="array" ref="P353">_xlfn.SWITCH(tbl_analysis_tickets[[#This Row],[customer_satisfaction]],
"Low",1,
"Medium",2,
"High",3
)</f>
        <v>1</v>
      </c>
      <c r="Q353">
        <f>IF(tbl_analysis_tickets[[#This Row],[reopened]]="Yes",1,0)</f>
        <v>1</v>
      </c>
      <c r="R353" t="str" cm="1">
        <f t="array" ref="R353">_xlfn.IFS(
tbl_analysis_tickets[[#This Row],[first_response_minutes]]&lt;=30,"Very Fast",
tbl_analysis_tickets[[#This Row],[first_response_minutes]]&lt;=120,"Acceptable",
tbl_analysis_tickets[[#This Row],[first_response_minutes]]&lt;=240,"Slow",
tbl_analysis_tickets[[#This Row],[first_response_minutes]]&gt;240,"Very Slow"
)</f>
        <v>Slow</v>
      </c>
      <c r="S353" t="str" cm="1">
        <f t="array" ref="S35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353" t="str">
        <f>TEXT(tbl_analysis_tickets[[#This Row],[created_date]],"mmm-yyyy")</f>
        <v>Jul-2024</v>
      </c>
      <c r="U353" t="str">
        <f>TEXT(tbl_analysis_tickets[[#This Row],[created_date]],"dddd")</f>
        <v>Sunday</v>
      </c>
      <c r="V353" cm="1">
        <f t="array" ref="V353">_xlfn.SWITCH(tbl_analysis_tickets[[#This Row],[priority]],
"Urgent",1,
"High",2,
"Medium",3,
"Low",4
)</f>
        <v>4</v>
      </c>
    </row>
    <row r="354" spans="1:22" x14ac:dyDescent="0.25">
      <c r="A354">
        <v>353</v>
      </c>
      <c r="B354" s="1">
        <v>45405</v>
      </c>
      <c r="C354" t="s">
        <v>23</v>
      </c>
      <c r="D354" t="s">
        <v>15</v>
      </c>
      <c r="E354">
        <v>176</v>
      </c>
      <c r="F354">
        <v>25</v>
      </c>
      <c r="G354">
        <v>9.9</v>
      </c>
      <c r="H354" t="s">
        <v>12</v>
      </c>
      <c r="I354" t="s">
        <v>16</v>
      </c>
      <c r="J354" t="s">
        <v>11</v>
      </c>
      <c r="K354">
        <f>_xlfn.XLOOKUP(tbl_analysis_tickets[[#This Row],[priority]],tbl_sla[priority],tbl_sla[Resolution SLA Hours])</f>
        <v>48</v>
      </c>
      <c r="L354">
        <f>_xlfn.XLOOKUP(tbl_analysis_tickets[[#This Row],[priority]],tbl_sla[priority],tbl_sla[First Response SLA Minutes])</f>
        <v>120</v>
      </c>
      <c r="M354" t="str">
        <f>IF(tbl_analysis_tickets[[#This Row],[resolution_time_hours]]&gt;tbl_analysis_tickets[[#This Row],[Resolution SLA Hours]],"Breached","Within SLA")</f>
        <v>Within SLA</v>
      </c>
      <c r="N354" t="str">
        <f>IF(tbl_analysis_tickets[[#This Row],[first_response_minutes]]&gt;tbl_analysis_tickets[[#This Row],[First Response SLA Minutes]],"Breached","Within SLA")</f>
        <v>Breached</v>
      </c>
      <c r="O354" t="str" cm="1">
        <f t="array" ref="O354">_xlfn.IFS(
tbl_analysis_tickets[[#This Row],[agent_experience_years]]&lt;=2,"Junior",
tbl_analysis_tickets[[#This Row],[agent_experience_years]]&lt;=5,"Mid-Level",
tbl_analysis_tickets[[#This Row],[agent_experience_years]]&lt;=8,"Senior",
tbl_analysis_tickets[[#This Row],[agent_experience_years]]&gt;8,"Expert"
)</f>
        <v>Expert</v>
      </c>
      <c r="P354" cm="1">
        <f t="array" ref="P354">_xlfn.SWITCH(tbl_analysis_tickets[[#This Row],[customer_satisfaction]],
"Low",1,
"Medium",2,
"High",3
)</f>
        <v>1</v>
      </c>
      <c r="Q354">
        <f>IF(tbl_analysis_tickets[[#This Row],[reopened]]="Yes",1,0)</f>
        <v>1</v>
      </c>
      <c r="R354" t="str" cm="1">
        <f t="array" ref="R354">_xlfn.IFS(
tbl_analysis_tickets[[#This Row],[first_response_minutes]]&lt;=30,"Very Fast",
tbl_analysis_tickets[[#This Row],[first_response_minutes]]&lt;=120,"Acceptable",
tbl_analysis_tickets[[#This Row],[first_response_minutes]]&lt;=240,"Slow",
tbl_analysis_tickets[[#This Row],[first_response_minutes]]&gt;240,"Very Slow"
)</f>
        <v>Slow</v>
      </c>
      <c r="S354" t="str" cm="1">
        <f t="array" ref="S35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354" t="str">
        <f>TEXT(tbl_analysis_tickets[[#This Row],[created_date]],"mmm-yyyy")</f>
        <v>Apr-2024</v>
      </c>
      <c r="U354" t="str">
        <f>TEXT(tbl_analysis_tickets[[#This Row],[created_date]],"dddd")</f>
        <v>Tuesday</v>
      </c>
      <c r="V354" cm="1">
        <f t="array" ref="V354">_xlfn.SWITCH(tbl_analysis_tickets[[#This Row],[priority]],
"Urgent",1,
"High",2,
"Medium",3,
"Low",4
)</f>
        <v>3</v>
      </c>
    </row>
    <row r="355" spans="1:22" x14ac:dyDescent="0.25">
      <c r="A355">
        <v>354</v>
      </c>
      <c r="B355" s="1">
        <v>45653</v>
      </c>
      <c r="C355" t="s">
        <v>10</v>
      </c>
      <c r="D355" t="s">
        <v>17</v>
      </c>
      <c r="E355">
        <v>160</v>
      </c>
      <c r="F355">
        <v>5</v>
      </c>
      <c r="G355">
        <v>6.3</v>
      </c>
      <c r="H355" t="s">
        <v>18</v>
      </c>
      <c r="I355" t="s">
        <v>13</v>
      </c>
      <c r="J355" t="s">
        <v>15</v>
      </c>
      <c r="K355">
        <f>_xlfn.XLOOKUP(tbl_analysis_tickets[[#This Row],[priority]],tbl_sla[priority],tbl_sla[Resolution SLA Hours])</f>
        <v>8</v>
      </c>
      <c r="L355">
        <f>_xlfn.XLOOKUP(tbl_analysis_tickets[[#This Row],[priority]],tbl_sla[priority],tbl_sla[First Response SLA Minutes])</f>
        <v>30</v>
      </c>
      <c r="M355" t="str">
        <f>IF(tbl_analysis_tickets[[#This Row],[resolution_time_hours]]&gt;tbl_analysis_tickets[[#This Row],[Resolution SLA Hours]],"Breached","Within SLA")</f>
        <v>Within SLA</v>
      </c>
      <c r="N355" t="str">
        <f>IF(tbl_analysis_tickets[[#This Row],[first_response_minutes]]&gt;tbl_analysis_tickets[[#This Row],[First Response SLA Minutes]],"Breached","Within SLA")</f>
        <v>Breached</v>
      </c>
      <c r="O355" t="str" cm="1">
        <f t="array" ref="O355">_xlfn.IFS(
tbl_analysis_tickets[[#This Row],[agent_experience_years]]&lt;=2,"Junior",
tbl_analysis_tickets[[#This Row],[agent_experience_years]]&lt;=5,"Mid-Level",
tbl_analysis_tickets[[#This Row],[agent_experience_years]]&lt;=8,"Senior",
tbl_analysis_tickets[[#This Row],[agent_experience_years]]&gt;8,"Expert"
)</f>
        <v>Senior</v>
      </c>
      <c r="P355" cm="1">
        <f t="array" ref="P355">_xlfn.SWITCH(tbl_analysis_tickets[[#This Row],[customer_satisfaction]],
"Low",1,
"Medium",2,
"High",3
)</f>
        <v>2</v>
      </c>
      <c r="Q355">
        <f>IF(tbl_analysis_tickets[[#This Row],[reopened]]="Yes",1,0)</f>
        <v>0</v>
      </c>
      <c r="R355" t="str" cm="1">
        <f t="array" ref="R355">_xlfn.IFS(
tbl_analysis_tickets[[#This Row],[first_response_minutes]]&lt;=30,"Very Fast",
tbl_analysis_tickets[[#This Row],[first_response_minutes]]&lt;=120,"Acceptable",
tbl_analysis_tickets[[#This Row],[first_response_minutes]]&lt;=240,"Slow",
tbl_analysis_tickets[[#This Row],[first_response_minutes]]&gt;240,"Very Slow"
)</f>
        <v>Slow</v>
      </c>
      <c r="S355" t="str" cm="1">
        <f t="array" ref="S35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355" t="str">
        <f>TEXT(tbl_analysis_tickets[[#This Row],[created_date]],"mmm-yyyy")</f>
        <v>Dec-2024</v>
      </c>
      <c r="U355" t="str">
        <f>TEXT(tbl_analysis_tickets[[#This Row],[created_date]],"dddd")</f>
        <v>Friday</v>
      </c>
      <c r="V355" cm="1">
        <f t="array" ref="V355">_xlfn.SWITCH(tbl_analysis_tickets[[#This Row],[priority]],
"Urgent",1,
"High",2,
"Medium",3,
"Low",4
)</f>
        <v>1</v>
      </c>
    </row>
    <row r="356" spans="1:22" x14ac:dyDescent="0.25">
      <c r="A356">
        <v>355</v>
      </c>
      <c r="B356" s="1">
        <v>45564</v>
      </c>
      <c r="C356" t="s">
        <v>22</v>
      </c>
      <c r="D356" t="s">
        <v>17</v>
      </c>
      <c r="E356">
        <v>77</v>
      </c>
      <c r="F356">
        <v>64</v>
      </c>
      <c r="G356">
        <v>0.9</v>
      </c>
      <c r="H356" t="s">
        <v>12</v>
      </c>
      <c r="I356" t="s">
        <v>16</v>
      </c>
      <c r="J356" t="s">
        <v>11</v>
      </c>
      <c r="K356">
        <f>_xlfn.XLOOKUP(tbl_analysis_tickets[[#This Row],[priority]],tbl_sla[priority],tbl_sla[Resolution SLA Hours])</f>
        <v>8</v>
      </c>
      <c r="L356">
        <f>_xlfn.XLOOKUP(tbl_analysis_tickets[[#This Row],[priority]],tbl_sla[priority],tbl_sla[First Response SLA Minutes])</f>
        <v>30</v>
      </c>
      <c r="M356" t="str">
        <f>IF(tbl_analysis_tickets[[#This Row],[resolution_time_hours]]&gt;tbl_analysis_tickets[[#This Row],[Resolution SLA Hours]],"Breached","Within SLA")</f>
        <v>Breached</v>
      </c>
      <c r="N356" t="str">
        <f>IF(tbl_analysis_tickets[[#This Row],[first_response_minutes]]&gt;tbl_analysis_tickets[[#This Row],[First Response SLA Minutes]],"Breached","Within SLA")</f>
        <v>Breached</v>
      </c>
      <c r="O356" t="str" cm="1">
        <f t="array" ref="O356">_xlfn.IFS(
tbl_analysis_tickets[[#This Row],[agent_experience_years]]&lt;=2,"Junior",
tbl_analysis_tickets[[#This Row],[agent_experience_years]]&lt;=5,"Mid-Level",
tbl_analysis_tickets[[#This Row],[agent_experience_years]]&lt;=8,"Senior",
tbl_analysis_tickets[[#This Row],[agent_experience_years]]&gt;8,"Expert"
)</f>
        <v>Junior</v>
      </c>
      <c r="P356" cm="1">
        <f t="array" ref="P356">_xlfn.SWITCH(tbl_analysis_tickets[[#This Row],[customer_satisfaction]],
"Low",1,
"Medium",2,
"High",3
)</f>
        <v>1</v>
      </c>
      <c r="Q356">
        <f>IF(tbl_analysis_tickets[[#This Row],[reopened]]="Yes",1,0)</f>
        <v>1</v>
      </c>
      <c r="R356" t="str" cm="1">
        <f t="array" ref="R356">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356" t="str" cm="1">
        <f t="array" ref="S35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356" t="str">
        <f>TEXT(tbl_analysis_tickets[[#This Row],[created_date]],"mmm-yyyy")</f>
        <v>Sep-2024</v>
      </c>
      <c r="U356" t="str">
        <f>TEXT(tbl_analysis_tickets[[#This Row],[created_date]],"dddd")</f>
        <v>Sunday</v>
      </c>
      <c r="V356" cm="1">
        <f t="array" ref="V356">_xlfn.SWITCH(tbl_analysis_tickets[[#This Row],[priority]],
"Urgent",1,
"High",2,
"Medium",3,
"Low",4
)</f>
        <v>1</v>
      </c>
    </row>
    <row r="357" spans="1:22" x14ac:dyDescent="0.25">
      <c r="A357">
        <v>356</v>
      </c>
      <c r="B357" s="1">
        <v>45342</v>
      </c>
      <c r="C357" t="s">
        <v>22</v>
      </c>
      <c r="D357" t="s">
        <v>15</v>
      </c>
      <c r="E357">
        <v>79</v>
      </c>
      <c r="F357">
        <v>4</v>
      </c>
      <c r="G357">
        <v>0.6</v>
      </c>
      <c r="H357" t="s">
        <v>18</v>
      </c>
      <c r="I357" t="s">
        <v>16</v>
      </c>
      <c r="J357" t="s">
        <v>15</v>
      </c>
      <c r="K357">
        <f>_xlfn.XLOOKUP(tbl_analysis_tickets[[#This Row],[priority]],tbl_sla[priority],tbl_sla[Resolution SLA Hours])</f>
        <v>48</v>
      </c>
      <c r="L357">
        <f>_xlfn.XLOOKUP(tbl_analysis_tickets[[#This Row],[priority]],tbl_sla[priority],tbl_sla[First Response SLA Minutes])</f>
        <v>120</v>
      </c>
      <c r="M357" t="str">
        <f>IF(tbl_analysis_tickets[[#This Row],[resolution_time_hours]]&gt;tbl_analysis_tickets[[#This Row],[Resolution SLA Hours]],"Breached","Within SLA")</f>
        <v>Within SLA</v>
      </c>
      <c r="N357" t="str">
        <f>IF(tbl_analysis_tickets[[#This Row],[first_response_minutes]]&gt;tbl_analysis_tickets[[#This Row],[First Response SLA Minutes]],"Breached","Within SLA")</f>
        <v>Within SLA</v>
      </c>
      <c r="O357" t="str" cm="1">
        <f t="array" ref="O357">_xlfn.IFS(
tbl_analysis_tickets[[#This Row],[agent_experience_years]]&lt;=2,"Junior",
tbl_analysis_tickets[[#This Row],[agent_experience_years]]&lt;=5,"Mid-Level",
tbl_analysis_tickets[[#This Row],[agent_experience_years]]&lt;=8,"Senior",
tbl_analysis_tickets[[#This Row],[agent_experience_years]]&gt;8,"Expert"
)</f>
        <v>Junior</v>
      </c>
      <c r="P357" cm="1">
        <f t="array" ref="P357">_xlfn.SWITCH(tbl_analysis_tickets[[#This Row],[customer_satisfaction]],
"Low",1,
"Medium",2,
"High",3
)</f>
        <v>2</v>
      </c>
      <c r="Q357">
        <f>IF(tbl_analysis_tickets[[#This Row],[reopened]]="Yes",1,0)</f>
        <v>0</v>
      </c>
      <c r="R357" t="str" cm="1">
        <f t="array" ref="R357">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357" t="str" cm="1">
        <f t="array" ref="S35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357" t="str">
        <f>TEXT(tbl_analysis_tickets[[#This Row],[created_date]],"mmm-yyyy")</f>
        <v>Feb-2024</v>
      </c>
      <c r="U357" t="str">
        <f>TEXT(tbl_analysis_tickets[[#This Row],[created_date]],"dddd")</f>
        <v>Tuesday</v>
      </c>
      <c r="V357" cm="1">
        <f t="array" ref="V357">_xlfn.SWITCH(tbl_analysis_tickets[[#This Row],[priority]],
"Urgent",1,
"High",2,
"Medium",3,
"Low",4
)</f>
        <v>3</v>
      </c>
    </row>
    <row r="358" spans="1:22" x14ac:dyDescent="0.25">
      <c r="A358">
        <v>357</v>
      </c>
      <c r="B358" s="1">
        <v>45308</v>
      </c>
      <c r="C358" t="s">
        <v>10</v>
      </c>
      <c r="D358" t="s">
        <v>11</v>
      </c>
      <c r="E358">
        <v>199</v>
      </c>
      <c r="F358">
        <v>27</v>
      </c>
      <c r="G358">
        <v>1.4</v>
      </c>
      <c r="H358" t="s">
        <v>12</v>
      </c>
      <c r="I358" t="s">
        <v>19</v>
      </c>
      <c r="J358" t="s">
        <v>11</v>
      </c>
      <c r="K358">
        <f>_xlfn.XLOOKUP(tbl_analysis_tickets[[#This Row],[priority]],tbl_sla[priority],tbl_sla[Resolution SLA Hours])</f>
        <v>72</v>
      </c>
      <c r="L358">
        <f>_xlfn.XLOOKUP(tbl_analysis_tickets[[#This Row],[priority]],tbl_sla[priority],tbl_sla[First Response SLA Minutes])</f>
        <v>240</v>
      </c>
      <c r="M358" t="str">
        <f>IF(tbl_analysis_tickets[[#This Row],[resolution_time_hours]]&gt;tbl_analysis_tickets[[#This Row],[Resolution SLA Hours]],"Breached","Within SLA")</f>
        <v>Within SLA</v>
      </c>
      <c r="N358" t="str">
        <f>IF(tbl_analysis_tickets[[#This Row],[first_response_minutes]]&gt;tbl_analysis_tickets[[#This Row],[First Response SLA Minutes]],"Breached","Within SLA")</f>
        <v>Within SLA</v>
      </c>
      <c r="O358" t="str" cm="1">
        <f t="array" ref="O358">_xlfn.IFS(
tbl_analysis_tickets[[#This Row],[agent_experience_years]]&lt;=2,"Junior",
tbl_analysis_tickets[[#This Row],[agent_experience_years]]&lt;=5,"Mid-Level",
tbl_analysis_tickets[[#This Row],[agent_experience_years]]&lt;=8,"Senior",
tbl_analysis_tickets[[#This Row],[agent_experience_years]]&gt;8,"Expert"
)</f>
        <v>Junior</v>
      </c>
      <c r="P358" cm="1">
        <f t="array" ref="P358">_xlfn.SWITCH(tbl_analysis_tickets[[#This Row],[customer_satisfaction]],
"Low",1,
"Medium",2,
"High",3
)</f>
        <v>1</v>
      </c>
      <c r="Q358">
        <f>IF(tbl_analysis_tickets[[#This Row],[reopened]]="Yes",1,0)</f>
        <v>1</v>
      </c>
      <c r="R358" t="str" cm="1">
        <f t="array" ref="R358">_xlfn.IFS(
tbl_analysis_tickets[[#This Row],[first_response_minutes]]&lt;=30,"Very Fast",
tbl_analysis_tickets[[#This Row],[first_response_minutes]]&lt;=120,"Acceptable",
tbl_analysis_tickets[[#This Row],[first_response_minutes]]&lt;=240,"Slow",
tbl_analysis_tickets[[#This Row],[first_response_minutes]]&gt;240,"Very Slow"
)</f>
        <v>Slow</v>
      </c>
      <c r="S358" t="str" cm="1">
        <f t="array" ref="S35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358" t="str">
        <f>TEXT(tbl_analysis_tickets[[#This Row],[created_date]],"mmm-yyyy")</f>
        <v>Jan-2024</v>
      </c>
      <c r="U358" t="str">
        <f>TEXT(tbl_analysis_tickets[[#This Row],[created_date]],"dddd")</f>
        <v>Wednesday</v>
      </c>
      <c r="V358" cm="1">
        <f t="array" ref="V358">_xlfn.SWITCH(tbl_analysis_tickets[[#This Row],[priority]],
"Urgent",1,
"High",2,
"Medium",3,
"Low",4
)</f>
        <v>4</v>
      </c>
    </row>
    <row r="359" spans="1:22" x14ac:dyDescent="0.25">
      <c r="A359">
        <v>358</v>
      </c>
      <c r="B359" s="1">
        <v>45444</v>
      </c>
      <c r="C359" t="s">
        <v>10</v>
      </c>
      <c r="D359" t="s">
        <v>20</v>
      </c>
      <c r="E359">
        <v>81</v>
      </c>
      <c r="F359">
        <v>68</v>
      </c>
      <c r="G359">
        <v>5.0999999999999996</v>
      </c>
      <c r="H359" t="s">
        <v>18</v>
      </c>
      <c r="I359" t="s">
        <v>13</v>
      </c>
      <c r="J359" t="s">
        <v>11</v>
      </c>
      <c r="K359">
        <f>_xlfn.XLOOKUP(tbl_analysis_tickets[[#This Row],[priority]],tbl_sla[priority],tbl_sla[Resolution SLA Hours])</f>
        <v>24</v>
      </c>
      <c r="L359">
        <f>_xlfn.XLOOKUP(tbl_analysis_tickets[[#This Row],[priority]],tbl_sla[priority],tbl_sla[First Response SLA Minutes])</f>
        <v>60</v>
      </c>
      <c r="M359" t="str">
        <f>IF(tbl_analysis_tickets[[#This Row],[resolution_time_hours]]&gt;tbl_analysis_tickets[[#This Row],[Resolution SLA Hours]],"Breached","Within SLA")</f>
        <v>Breached</v>
      </c>
      <c r="N359" t="str">
        <f>IF(tbl_analysis_tickets[[#This Row],[first_response_minutes]]&gt;tbl_analysis_tickets[[#This Row],[First Response SLA Minutes]],"Breached","Within SLA")</f>
        <v>Breached</v>
      </c>
      <c r="O359" t="str" cm="1">
        <f t="array" ref="O359">_xlfn.IFS(
tbl_analysis_tickets[[#This Row],[agent_experience_years]]&lt;=2,"Junior",
tbl_analysis_tickets[[#This Row],[agent_experience_years]]&lt;=5,"Mid-Level",
tbl_analysis_tickets[[#This Row],[agent_experience_years]]&lt;=8,"Senior",
tbl_analysis_tickets[[#This Row],[agent_experience_years]]&gt;8,"Expert"
)</f>
        <v>Senior</v>
      </c>
      <c r="P359" cm="1">
        <f t="array" ref="P359">_xlfn.SWITCH(tbl_analysis_tickets[[#This Row],[customer_satisfaction]],
"Low",1,
"Medium",2,
"High",3
)</f>
        <v>1</v>
      </c>
      <c r="Q359">
        <f>IF(tbl_analysis_tickets[[#This Row],[reopened]]="Yes",1,0)</f>
        <v>0</v>
      </c>
      <c r="R359" t="str" cm="1">
        <f t="array" ref="R359">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359" t="str" cm="1">
        <f t="array" ref="S35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359" t="str">
        <f>TEXT(tbl_analysis_tickets[[#This Row],[created_date]],"mmm-yyyy")</f>
        <v>Jun-2024</v>
      </c>
      <c r="U359" t="str">
        <f>TEXT(tbl_analysis_tickets[[#This Row],[created_date]],"dddd")</f>
        <v>Saturday</v>
      </c>
      <c r="V359" cm="1">
        <f t="array" ref="V359">_xlfn.SWITCH(tbl_analysis_tickets[[#This Row],[priority]],
"Urgent",1,
"High",2,
"Medium",3,
"Low",4
)</f>
        <v>2</v>
      </c>
    </row>
    <row r="360" spans="1:22" x14ac:dyDescent="0.25">
      <c r="A360">
        <v>359</v>
      </c>
      <c r="B360" s="1">
        <v>45424</v>
      </c>
      <c r="C360" t="s">
        <v>22</v>
      </c>
      <c r="D360" t="s">
        <v>15</v>
      </c>
      <c r="E360">
        <v>52</v>
      </c>
      <c r="F360">
        <v>11</v>
      </c>
      <c r="G360">
        <v>7.8</v>
      </c>
      <c r="H360" t="s">
        <v>18</v>
      </c>
      <c r="I360" t="s">
        <v>13</v>
      </c>
      <c r="J360" t="s">
        <v>15</v>
      </c>
      <c r="K360">
        <f>_xlfn.XLOOKUP(tbl_analysis_tickets[[#This Row],[priority]],tbl_sla[priority],tbl_sla[Resolution SLA Hours])</f>
        <v>48</v>
      </c>
      <c r="L360">
        <f>_xlfn.XLOOKUP(tbl_analysis_tickets[[#This Row],[priority]],tbl_sla[priority],tbl_sla[First Response SLA Minutes])</f>
        <v>120</v>
      </c>
      <c r="M360" t="str">
        <f>IF(tbl_analysis_tickets[[#This Row],[resolution_time_hours]]&gt;tbl_analysis_tickets[[#This Row],[Resolution SLA Hours]],"Breached","Within SLA")</f>
        <v>Within SLA</v>
      </c>
      <c r="N360" t="str">
        <f>IF(tbl_analysis_tickets[[#This Row],[first_response_minutes]]&gt;tbl_analysis_tickets[[#This Row],[First Response SLA Minutes]],"Breached","Within SLA")</f>
        <v>Within SLA</v>
      </c>
      <c r="O360" t="str" cm="1">
        <f t="array" ref="O360">_xlfn.IFS(
tbl_analysis_tickets[[#This Row],[agent_experience_years]]&lt;=2,"Junior",
tbl_analysis_tickets[[#This Row],[agent_experience_years]]&lt;=5,"Mid-Level",
tbl_analysis_tickets[[#This Row],[agent_experience_years]]&lt;=8,"Senior",
tbl_analysis_tickets[[#This Row],[agent_experience_years]]&gt;8,"Expert"
)</f>
        <v>Senior</v>
      </c>
      <c r="P360" cm="1">
        <f t="array" ref="P360">_xlfn.SWITCH(tbl_analysis_tickets[[#This Row],[customer_satisfaction]],
"Low",1,
"Medium",2,
"High",3
)</f>
        <v>2</v>
      </c>
      <c r="Q360">
        <f>IF(tbl_analysis_tickets[[#This Row],[reopened]]="Yes",1,0)</f>
        <v>0</v>
      </c>
      <c r="R360" t="str" cm="1">
        <f t="array" ref="R360">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360" t="str" cm="1">
        <f t="array" ref="S36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360" t="str">
        <f>TEXT(tbl_analysis_tickets[[#This Row],[created_date]],"mmm-yyyy")</f>
        <v>May-2024</v>
      </c>
      <c r="U360" t="str">
        <f>TEXT(tbl_analysis_tickets[[#This Row],[created_date]],"dddd")</f>
        <v>Sunday</v>
      </c>
      <c r="V360" cm="1">
        <f t="array" ref="V360">_xlfn.SWITCH(tbl_analysis_tickets[[#This Row],[priority]],
"Urgent",1,
"High",2,
"Medium",3,
"Low",4
)</f>
        <v>3</v>
      </c>
    </row>
    <row r="361" spans="1:22" x14ac:dyDescent="0.25">
      <c r="A361">
        <v>360</v>
      </c>
      <c r="B361" s="1">
        <v>45410</v>
      </c>
      <c r="C361" t="s">
        <v>22</v>
      </c>
      <c r="D361" t="s">
        <v>11</v>
      </c>
      <c r="E361">
        <v>30</v>
      </c>
      <c r="F361">
        <v>58</v>
      </c>
      <c r="G361">
        <v>5.8</v>
      </c>
      <c r="H361" t="s">
        <v>12</v>
      </c>
      <c r="I361" t="s">
        <v>13</v>
      </c>
      <c r="J361" t="s">
        <v>15</v>
      </c>
      <c r="K361">
        <f>_xlfn.XLOOKUP(tbl_analysis_tickets[[#This Row],[priority]],tbl_sla[priority],tbl_sla[Resolution SLA Hours])</f>
        <v>72</v>
      </c>
      <c r="L361">
        <f>_xlfn.XLOOKUP(tbl_analysis_tickets[[#This Row],[priority]],tbl_sla[priority],tbl_sla[First Response SLA Minutes])</f>
        <v>240</v>
      </c>
      <c r="M361" t="str">
        <f>IF(tbl_analysis_tickets[[#This Row],[resolution_time_hours]]&gt;tbl_analysis_tickets[[#This Row],[Resolution SLA Hours]],"Breached","Within SLA")</f>
        <v>Within SLA</v>
      </c>
      <c r="N361" t="str">
        <f>IF(tbl_analysis_tickets[[#This Row],[first_response_minutes]]&gt;tbl_analysis_tickets[[#This Row],[First Response SLA Minutes]],"Breached","Within SLA")</f>
        <v>Within SLA</v>
      </c>
      <c r="O361" t="str" cm="1">
        <f t="array" ref="O361">_xlfn.IFS(
tbl_analysis_tickets[[#This Row],[agent_experience_years]]&lt;=2,"Junior",
tbl_analysis_tickets[[#This Row],[agent_experience_years]]&lt;=5,"Mid-Level",
tbl_analysis_tickets[[#This Row],[agent_experience_years]]&lt;=8,"Senior",
tbl_analysis_tickets[[#This Row],[agent_experience_years]]&gt;8,"Expert"
)</f>
        <v>Senior</v>
      </c>
      <c r="P361" cm="1">
        <f t="array" ref="P361">_xlfn.SWITCH(tbl_analysis_tickets[[#This Row],[customer_satisfaction]],
"Low",1,
"Medium",2,
"High",3
)</f>
        <v>2</v>
      </c>
      <c r="Q361">
        <f>IF(tbl_analysis_tickets[[#This Row],[reopened]]="Yes",1,0)</f>
        <v>1</v>
      </c>
      <c r="R361" t="str" cm="1">
        <f t="array" ref="R361">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361" t="str" cm="1">
        <f t="array" ref="S36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361" t="str">
        <f>TEXT(tbl_analysis_tickets[[#This Row],[created_date]],"mmm-yyyy")</f>
        <v>Apr-2024</v>
      </c>
      <c r="U361" t="str">
        <f>TEXT(tbl_analysis_tickets[[#This Row],[created_date]],"dddd")</f>
        <v>Sunday</v>
      </c>
      <c r="V361" cm="1">
        <f t="array" ref="V361">_xlfn.SWITCH(tbl_analysis_tickets[[#This Row],[priority]],
"Urgent",1,
"High",2,
"Medium",3,
"Low",4
)</f>
        <v>4</v>
      </c>
    </row>
    <row r="362" spans="1:22" x14ac:dyDescent="0.25">
      <c r="A362">
        <v>361</v>
      </c>
      <c r="B362" s="1">
        <v>45636</v>
      </c>
      <c r="C362" t="s">
        <v>23</v>
      </c>
      <c r="D362" t="s">
        <v>11</v>
      </c>
      <c r="E362">
        <v>57</v>
      </c>
      <c r="F362">
        <v>41</v>
      </c>
      <c r="G362">
        <v>6.9</v>
      </c>
      <c r="H362" t="s">
        <v>12</v>
      </c>
      <c r="I362" t="s">
        <v>13</v>
      </c>
      <c r="J362" t="s">
        <v>11</v>
      </c>
      <c r="K362">
        <f>_xlfn.XLOOKUP(tbl_analysis_tickets[[#This Row],[priority]],tbl_sla[priority],tbl_sla[Resolution SLA Hours])</f>
        <v>72</v>
      </c>
      <c r="L362">
        <f>_xlfn.XLOOKUP(tbl_analysis_tickets[[#This Row],[priority]],tbl_sla[priority],tbl_sla[First Response SLA Minutes])</f>
        <v>240</v>
      </c>
      <c r="M362" t="str">
        <f>IF(tbl_analysis_tickets[[#This Row],[resolution_time_hours]]&gt;tbl_analysis_tickets[[#This Row],[Resolution SLA Hours]],"Breached","Within SLA")</f>
        <v>Within SLA</v>
      </c>
      <c r="N362" t="str">
        <f>IF(tbl_analysis_tickets[[#This Row],[first_response_minutes]]&gt;tbl_analysis_tickets[[#This Row],[First Response SLA Minutes]],"Breached","Within SLA")</f>
        <v>Within SLA</v>
      </c>
      <c r="O362" t="str" cm="1">
        <f t="array" ref="O362">_xlfn.IFS(
tbl_analysis_tickets[[#This Row],[agent_experience_years]]&lt;=2,"Junior",
tbl_analysis_tickets[[#This Row],[agent_experience_years]]&lt;=5,"Mid-Level",
tbl_analysis_tickets[[#This Row],[agent_experience_years]]&lt;=8,"Senior",
tbl_analysis_tickets[[#This Row],[agent_experience_years]]&gt;8,"Expert"
)</f>
        <v>Senior</v>
      </c>
      <c r="P362" cm="1">
        <f t="array" ref="P362">_xlfn.SWITCH(tbl_analysis_tickets[[#This Row],[customer_satisfaction]],
"Low",1,
"Medium",2,
"High",3
)</f>
        <v>1</v>
      </c>
      <c r="Q362">
        <f>IF(tbl_analysis_tickets[[#This Row],[reopened]]="Yes",1,0)</f>
        <v>1</v>
      </c>
      <c r="R362" t="str" cm="1">
        <f t="array" ref="R362">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362" t="str" cm="1">
        <f t="array" ref="S36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362" t="str">
        <f>TEXT(tbl_analysis_tickets[[#This Row],[created_date]],"mmm-yyyy")</f>
        <v>Dec-2024</v>
      </c>
      <c r="U362" t="str">
        <f>TEXT(tbl_analysis_tickets[[#This Row],[created_date]],"dddd")</f>
        <v>Tuesday</v>
      </c>
      <c r="V362" cm="1">
        <f t="array" ref="V362">_xlfn.SWITCH(tbl_analysis_tickets[[#This Row],[priority]],
"Urgent",1,
"High",2,
"Medium",3,
"Low",4
)</f>
        <v>4</v>
      </c>
    </row>
    <row r="363" spans="1:22" x14ac:dyDescent="0.25">
      <c r="A363">
        <v>362</v>
      </c>
      <c r="B363" s="1">
        <v>45435</v>
      </c>
      <c r="C363" t="s">
        <v>21</v>
      </c>
      <c r="D363" t="s">
        <v>15</v>
      </c>
      <c r="E363">
        <v>141</v>
      </c>
      <c r="F363">
        <v>46</v>
      </c>
      <c r="G363">
        <v>2.5</v>
      </c>
      <c r="H363" t="s">
        <v>18</v>
      </c>
      <c r="I363" t="s">
        <v>19</v>
      </c>
      <c r="J363" t="s">
        <v>11</v>
      </c>
      <c r="K363">
        <f>_xlfn.XLOOKUP(tbl_analysis_tickets[[#This Row],[priority]],tbl_sla[priority],tbl_sla[Resolution SLA Hours])</f>
        <v>48</v>
      </c>
      <c r="L363">
        <f>_xlfn.XLOOKUP(tbl_analysis_tickets[[#This Row],[priority]],tbl_sla[priority],tbl_sla[First Response SLA Minutes])</f>
        <v>120</v>
      </c>
      <c r="M363" t="str">
        <f>IF(tbl_analysis_tickets[[#This Row],[resolution_time_hours]]&gt;tbl_analysis_tickets[[#This Row],[Resolution SLA Hours]],"Breached","Within SLA")</f>
        <v>Within SLA</v>
      </c>
      <c r="N363" t="str">
        <f>IF(tbl_analysis_tickets[[#This Row],[first_response_minutes]]&gt;tbl_analysis_tickets[[#This Row],[First Response SLA Minutes]],"Breached","Within SLA")</f>
        <v>Breached</v>
      </c>
      <c r="O363" t="str" cm="1">
        <f t="array" ref="O363">_xlfn.IFS(
tbl_analysis_tickets[[#This Row],[agent_experience_years]]&lt;=2,"Junior",
tbl_analysis_tickets[[#This Row],[agent_experience_years]]&lt;=5,"Mid-Level",
tbl_analysis_tickets[[#This Row],[agent_experience_years]]&lt;=8,"Senior",
tbl_analysis_tickets[[#This Row],[agent_experience_years]]&gt;8,"Expert"
)</f>
        <v>Mid-Level</v>
      </c>
      <c r="P363" cm="1">
        <f t="array" ref="P363">_xlfn.SWITCH(tbl_analysis_tickets[[#This Row],[customer_satisfaction]],
"Low",1,
"Medium",2,
"High",3
)</f>
        <v>1</v>
      </c>
      <c r="Q363">
        <f>IF(tbl_analysis_tickets[[#This Row],[reopened]]="Yes",1,0)</f>
        <v>0</v>
      </c>
      <c r="R363" t="str" cm="1">
        <f t="array" ref="R363">_xlfn.IFS(
tbl_analysis_tickets[[#This Row],[first_response_minutes]]&lt;=30,"Very Fast",
tbl_analysis_tickets[[#This Row],[first_response_minutes]]&lt;=120,"Acceptable",
tbl_analysis_tickets[[#This Row],[first_response_minutes]]&lt;=240,"Slow",
tbl_analysis_tickets[[#This Row],[first_response_minutes]]&gt;240,"Very Slow"
)</f>
        <v>Slow</v>
      </c>
      <c r="S363" t="str" cm="1">
        <f t="array" ref="S36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363" t="str">
        <f>TEXT(tbl_analysis_tickets[[#This Row],[created_date]],"mmm-yyyy")</f>
        <v>May-2024</v>
      </c>
      <c r="U363" t="str">
        <f>TEXT(tbl_analysis_tickets[[#This Row],[created_date]],"dddd")</f>
        <v>Thursday</v>
      </c>
      <c r="V363" cm="1">
        <f t="array" ref="V363">_xlfn.SWITCH(tbl_analysis_tickets[[#This Row],[priority]],
"Urgent",1,
"High",2,
"Medium",3,
"Low",4
)</f>
        <v>3</v>
      </c>
    </row>
    <row r="364" spans="1:22" x14ac:dyDescent="0.25">
      <c r="A364">
        <v>363</v>
      </c>
      <c r="B364" s="1">
        <v>45366</v>
      </c>
      <c r="C364" t="s">
        <v>22</v>
      </c>
      <c r="D364" t="s">
        <v>15</v>
      </c>
      <c r="E364">
        <v>190</v>
      </c>
      <c r="F364">
        <v>22</v>
      </c>
      <c r="G364">
        <v>1.8</v>
      </c>
      <c r="H364" t="s">
        <v>18</v>
      </c>
      <c r="I364" t="s">
        <v>19</v>
      </c>
      <c r="J364" t="s">
        <v>11</v>
      </c>
      <c r="K364">
        <f>_xlfn.XLOOKUP(tbl_analysis_tickets[[#This Row],[priority]],tbl_sla[priority],tbl_sla[Resolution SLA Hours])</f>
        <v>48</v>
      </c>
      <c r="L364">
        <f>_xlfn.XLOOKUP(tbl_analysis_tickets[[#This Row],[priority]],tbl_sla[priority],tbl_sla[First Response SLA Minutes])</f>
        <v>120</v>
      </c>
      <c r="M364" t="str">
        <f>IF(tbl_analysis_tickets[[#This Row],[resolution_time_hours]]&gt;tbl_analysis_tickets[[#This Row],[Resolution SLA Hours]],"Breached","Within SLA")</f>
        <v>Within SLA</v>
      </c>
      <c r="N364" t="str">
        <f>IF(tbl_analysis_tickets[[#This Row],[first_response_minutes]]&gt;tbl_analysis_tickets[[#This Row],[First Response SLA Minutes]],"Breached","Within SLA")</f>
        <v>Breached</v>
      </c>
      <c r="O364" t="str" cm="1">
        <f t="array" ref="O364">_xlfn.IFS(
tbl_analysis_tickets[[#This Row],[agent_experience_years]]&lt;=2,"Junior",
tbl_analysis_tickets[[#This Row],[agent_experience_years]]&lt;=5,"Mid-Level",
tbl_analysis_tickets[[#This Row],[agent_experience_years]]&lt;=8,"Senior",
tbl_analysis_tickets[[#This Row],[agent_experience_years]]&gt;8,"Expert"
)</f>
        <v>Junior</v>
      </c>
      <c r="P364" cm="1">
        <f t="array" ref="P364">_xlfn.SWITCH(tbl_analysis_tickets[[#This Row],[customer_satisfaction]],
"Low",1,
"Medium",2,
"High",3
)</f>
        <v>1</v>
      </c>
      <c r="Q364">
        <f>IF(tbl_analysis_tickets[[#This Row],[reopened]]="Yes",1,0)</f>
        <v>0</v>
      </c>
      <c r="R364" t="str" cm="1">
        <f t="array" ref="R364">_xlfn.IFS(
tbl_analysis_tickets[[#This Row],[first_response_minutes]]&lt;=30,"Very Fast",
tbl_analysis_tickets[[#This Row],[first_response_minutes]]&lt;=120,"Acceptable",
tbl_analysis_tickets[[#This Row],[first_response_minutes]]&lt;=240,"Slow",
tbl_analysis_tickets[[#This Row],[first_response_minutes]]&gt;240,"Very Slow"
)</f>
        <v>Slow</v>
      </c>
      <c r="S364" t="str" cm="1">
        <f t="array" ref="S36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364" t="str">
        <f>TEXT(tbl_analysis_tickets[[#This Row],[created_date]],"mmm-yyyy")</f>
        <v>Mar-2024</v>
      </c>
      <c r="U364" t="str">
        <f>TEXT(tbl_analysis_tickets[[#This Row],[created_date]],"dddd")</f>
        <v>Friday</v>
      </c>
      <c r="V364" cm="1">
        <f t="array" ref="V364">_xlfn.SWITCH(tbl_analysis_tickets[[#This Row],[priority]],
"Urgent",1,
"High",2,
"Medium",3,
"Low",4
)</f>
        <v>3</v>
      </c>
    </row>
    <row r="365" spans="1:22" x14ac:dyDescent="0.25">
      <c r="A365">
        <v>364</v>
      </c>
      <c r="B365" s="1">
        <v>45644</v>
      </c>
      <c r="C365" t="s">
        <v>10</v>
      </c>
      <c r="D365" t="s">
        <v>11</v>
      </c>
      <c r="E365">
        <v>71</v>
      </c>
      <c r="F365">
        <v>57</v>
      </c>
      <c r="G365">
        <v>7.6</v>
      </c>
      <c r="H365" t="s">
        <v>12</v>
      </c>
      <c r="I365" t="s">
        <v>19</v>
      </c>
      <c r="J365" t="s">
        <v>11</v>
      </c>
      <c r="K365">
        <f>_xlfn.XLOOKUP(tbl_analysis_tickets[[#This Row],[priority]],tbl_sla[priority],tbl_sla[Resolution SLA Hours])</f>
        <v>72</v>
      </c>
      <c r="L365">
        <f>_xlfn.XLOOKUP(tbl_analysis_tickets[[#This Row],[priority]],tbl_sla[priority],tbl_sla[First Response SLA Minutes])</f>
        <v>240</v>
      </c>
      <c r="M365" t="str">
        <f>IF(tbl_analysis_tickets[[#This Row],[resolution_time_hours]]&gt;tbl_analysis_tickets[[#This Row],[Resolution SLA Hours]],"Breached","Within SLA")</f>
        <v>Within SLA</v>
      </c>
      <c r="N365" t="str">
        <f>IF(tbl_analysis_tickets[[#This Row],[first_response_minutes]]&gt;tbl_analysis_tickets[[#This Row],[First Response SLA Minutes]],"Breached","Within SLA")</f>
        <v>Within SLA</v>
      </c>
      <c r="O365" t="str" cm="1">
        <f t="array" ref="O365">_xlfn.IFS(
tbl_analysis_tickets[[#This Row],[agent_experience_years]]&lt;=2,"Junior",
tbl_analysis_tickets[[#This Row],[agent_experience_years]]&lt;=5,"Mid-Level",
tbl_analysis_tickets[[#This Row],[agent_experience_years]]&lt;=8,"Senior",
tbl_analysis_tickets[[#This Row],[agent_experience_years]]&gt;8,"Expert"
)</f>
        <v>Senior</v>
      </c>
      <c r="P365" cm="1">
        <f t="array" ref="P365">_xlfn.SWITCH(tbl_analysis_tickets[[#This Row],[customer_satisfaction]],
"Low",1,
"Medium",2,
"High",3
)</f>
        <v>1</v>
      </c>
      <c r="Q365">
        <f>IF(tbl_analysis_tickets[[#This Row],[reopened]]="Yes",1,0)</f>
        <v>1</v>
      </c>
      <c r="R365" t="str" cm="1">
        <f t="array" ref="R365">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365" t="str" cm="1">
        <f t="array" ref="S36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365" t="str">
        <f>TEXT(tbl_analysis_tickets[[#This Row],[created_date]],"mmm-yyyy")</f>
        <v>Dec-2024</v>
      </c>
      <c r="U365" t="str">
        <f>TEXT(tbl_analysis_tickets[[#This Row],[created_date]],"dddd")</f>
        <v>Wednesday</v>
      </c>
      <c r="V365" cm="1">
        <f t="array" ref="V365">_xlfn.SWITCH(tbl_analysis_tickets[[#This Row],[priority]],
"Urgent",1,
"High",2,
"Medium",3,
"Low",4
)</f>
        <v>4</v>
      </c>
    </row>
    <row r="366" spans="1:22" x14ac:dyDescent="0.25">
      <c r="A366">
        <v>365</v>
      </c>
      <c r="B366" s="1">
        <v>45531</v>
      </c>
      <c r="C366" t="s">
        <v>21</v>
      </c>
      <c r="D366" t="s">
        <v>11</v>
      </c>
      <c r="E366">
        <v>39</v>
      </c>
      <c r="F366">
        <v>66</v>
      </c>
      <c r="G366">
        <v>1</v>
      </c>
      <c r="H366" t="s">
        <v>18</v>
      </c>
      <c r="I366" t="s">
        <v>13</v>
      </c>
      <c r="J366" t="s">
        <v>11</v>
      </c>
      <c r="K366">
        <f>_xlfn.XLOOKUP(tbl_analysis_tickets[[#This Row],[priority]],tbl_sla[priority],tbl_sla[Resolution SLA Hours])</f>
        <v>72</v>
      </c>
      <c r="L366">
        <f>_xlfn.XLOOKUP(tbl_analysis_tickets[[#This Row],[priority]],tbl_sla[priority],tbl_sla[First Response SLA Minutes])</f>
        <v>240</v>
      </c>
      <c r="M366" t="str">
        <f>IF(tbl_analysis_tickets[[#This Row],[resolution_time_hours]]&gt;tbl_analysis_tickets[[#This Row],[Resolution SLA Hours]],"Breached","Within SLA")</f>
        <v>Within SLA</v>
      </c>
      <c r="N366" t="str">
        <f>IF(tbl_analysis_tickets[[#This Row],[first_response_minutes]]&gt;tbl_analysis_tickets[[#This Row],[First Response SLA Minutes]],"Breached","Within SLA")</f>
        <v>Within SLA</v>
      </c>
      <c r="O366" t="str" cm="1">
        <f t="array" ref="O366">_xlfn.IFS(
tbl_analysis_tickets[[#This Row],[agent_experience_years]]&lt;=2,"Junior",
tbl_analysis_tickets[[#This Row],[agent_experience_years]]&lt;=5,"Mid-Level",
tbl_analysis_tickets[[#This Row],[agent_experience_years]]&lt;=8,"Senior",
tbl_analysis_tickets[[#This Row],[agent_experience_years]]&gt;8,"Expert"
)</f>
        <v>Junior</v>
      </c>
      <c r="P366" cm="1">
        <f t="array" ref="P366">_xlfn.SWITCH(tbl_analysis_tickets[[#This Row],[customer_satisfaction]],
"Low",1,
"Medium",2,
"High",3
)</f>
        <v>1</v>
      </c>
      <c r="Q366">
        <f>IF(tbl_analysis_tickets[[#This Row],[reopened]]="Yes",1,0)</f>
        <v>0</v>
      </c>
      <c r="R366" t="str" cm="1">
        <f t="array" ref="R366">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366" t="str" cm="1">
        <f t="array" ref="S36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366" t="str">
        <f>TEXT(tbl_analysis_tickets[[#This Row],[created_date]],"mmm-yyyy")</f>
        <v>Aug-2024</v>
      </c>
      <c r="U366" t="str">
        <f>TEXT(tbl_analysis_tickets[[#This Row],[created_date]],"dddd")</f>
        <v>Tuesday</v>
      </c>
      <c r="V366" cm="1">
        <f t="array" ref="V366">_xlfn.SWITCH(tbl_analysis_tickets[[#This Row],[priority]],
"Urgent",1,
"High",2,
"Medium",3,
"Low",4
)</f>
        <v>4</v>
      </c>
    </row>
    <row r="367" spans="1:22" x14ac:dyDescent="0.25">
      <c r="A367">
        <v>366</v>
      </c>
      <c r="B367" s="1">
        <v>45445</v>
      </c>
      <c r="C367" t="s">
        <v>14</v>
      </c>
      <c r="D367" t="s">
        <v>17</v>
      </c>
      <c r="E367">
        <v>31</v>
      </c>
      <c r="F367">
        <v>56</v>
      </c>
      <c r="G367">
        <v>1.3</v>
      </c>
      <c r="H367" t="s">
        <v>18</v>
      </c>
      <c r="I367" t="s">
        <v>13</v>
      </c>
      <c r="J367" t="s">
        <v>11</v>
      </c>
      <c r="K367">
        <f>_xlfn.XLOOKUP(tbl_analysis_tickets[[#This Row],[priority]],tbl_sla[priority],tbl_sla[Resolution SLA Hours])</f>
        <v>8</v>
      </c>
      <c r="L367">
        <f>_xlfn.XLOOKUP(tbl_analysis_tickets[[#This Row],[priority]],tbl_sla[priority],tbl_sla[First Response SLA Minutes])</f>
        <v>30</v>
      </c>
      <c r="M367" t="str">
        <f>IF(tbl_analysis_tickets[[#This Row],[resolution_time_hours]]&gt;tbl_analysis_tickets[[#This Row],[Resolution SLA Hours]],"Breached","Within SLA")</f>
        <v>Breached</v>
      </c>
      <c r="N367" t="str">
        <f>IF(tbl_analysis_tickets[[#This Row],[first_response_minutes]]&gt;tbl_analysis_tickets[[#This Row],[First Response SLA Minutes]],"Breached","Within SLA")</f>
        <v>Breached</v>
      </c>
      <c r="O367" t="str" cm="1">
        <f t="array" ref="O367">_xlfn.IFS(
tbl_analysis_tickets[[#This Row],[agent_experience_years]]&lt;=2,"Junior",
tbl_analysis_tickets[[#This Row],[agent_experience_years]]&lt;=5,"Mid-Level",
tbl_analysis_tickets[[#This Row],[agent_experience_years]]&lt;=8,"Senior",
tbl_analysis_tickets[[#This Row],[agent_experience_years]]&gt;8,"Expert"
)</f>
        <v>Junior</v>
      </c>
      <c r="P367" cm="1">
        <f t="array" ref="P367">_xlfn.SWITCH(tbl_analysis_tickets[[#This Row],[customer_satisfaction]],
"Low",1,
"Medium",2,
"High",3
)</f>
        <v>1</v>
      </c>
      <c r="Q367">
        <f>IF(tbl_analysis_tickets[[#This Row],[reopened]]="Yes",1,0)</f>
        <v>0</v>
      </c>
      <c r="R367" t="str" cm="1">
        <f t="array" ref="R367">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367" t="str" cm="1">
        <f t="array" ref="S36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367" t="str">
        <f>TEXT(tbl_analysis_tickets[[#This Row],[created_date]],"mmm-yyyy")</f>
        <v>Jun-2024</v>
      </c>
      <c r="U367" t="str">
        <f>TEXT(tbl_analysis_tickets[[#This Row],[created_date]],"dddd")</f>
        <v>Sunday</v>
      </c>
      <c r="V367" cm="1">
        <f t="array" ref="V367">_xlfn.SWITCH(tbl_analysis_tickets[[#This Row],[priority]],
"Urgent",1,
"High",2,
"Medium",3,
"Low",4
)</f>
        <v>1</v>
      </c>
    </row>
    <row r="368" spans="1:22" x14ac:dyDescent="0.25">
      <c r="A368">
        <v>367</v>
      </c>
      <c r="B368" s="1">
        <v>45386</v>
      </c>
      <c r="C368" t="s">
        <v>10</v>
      </c>
      <c r="D368" t="s">
        <v>17</v>
      </c>
      <c r="E368">
        <v>137</v>
      </c>
      <c r="F368">
        <v>54</v>
      </c>
      <c r="G368">
        <v>5.2</v>
      </c>
      <c r="H368" t="s">
        <v>18</v>
      </c>
      <c r="I368" t="s">
        <v>19</v>
      </c>
      <c r="J368" t="s">
        <v>11</v>
      </c>
      <c r="K368">
        <f>_xlfn.XLOOKUP(tbl_analysis_tickets[[#This Row],[priority]],tbl_sla[priority],tbl_sla[Resolution SLA Hours])</f>
        <v>8</v>
      </c>
      <c r="L368">
        <f>_xlfn.XLOOKUP(tbl_analysis_tickets[[#This Row],[priority]],tbl_sla[priority],tbl_sla[First Response SLA Minutes])</f>
        <v>30</v>
      </c>
      <c r="M368" t="str">
        <f>IF(tbl_analysis_tickets[[#This Row],[resolution_time_hours]]&gt;tbl_analysis_tickets[[#This Row],[Resolution SLA Hours]],"Breached","Within SLA")</f>
        <v>Breached</v>
      </c>
      <c r="N368" t="str">
        <f>IF(tbl_analysis_tickets[[#This Row],[first_response_minutes]]&gt;tbl_analysis_tickets[[#This Row],[First Response SLA Minutes]],"Breached","Within SLA")</f>
        <v>Breached</v>
      </c>
      <c r="O368" t="str" cm="1">
        <f t="array" ref="O368">_xlfn.IFS(
tbl_analysis_tickets[[#This Row],[agent_experience_years]]&lt;=2,"Junior",
tbl_analysis_tickets[[#This Row],[agent_experience_years]]&lt;=5,"Mid-Level",
tbl_analysis_tickets[[#This Row],[agent_experience_years]]&lt;=8,"Senior",
tbl_analysis_tickets[[#This Row],[agent_experience_years]]&gt;8,"Expert"
)</f>
        <v>Senior</v>
      </c>
      <c r="P368" cm="1">
        <f t="array" ref="P368">_xlfn.SWITCH(tbl_analysis_tickets[[#This Row],[customer_satisfaction]],
"Low",1,
"Medium",2,
"High",3
)</f>
        <v>1</v>
      </c>
      <c r="Q368">
        <f>IF(tbl_analysis_tickets[[#This Row],[reopened]]="Yes",1,0)</f>
        <v>0</v>
      </c>
      <c r="R368" t="str" cm="1">
        <f t="array" ref="R368">_xlfn.IFS(
tbl_analysis_tickets[[#This Row],[first_response_minutes]]&lt;=30,"Very Fast",
tbl_analysis_tickets[[#This Row],[first_response_minutes]]&lt;=120,"Acceptable",
tbl_analysis_tickets[[#This Row],[first_response_minutes]]&lt;=240,"Slow",
tbl_analysis_tickets[[#This Row],[first_response_minutes]]&gt;240,"Very Slow"
)</f>
        <v>Slow</v>
      </c>
      <c r="S368" t="str" cm="1">
        <f t="array" ref="S36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368" t="str">
        <f>TEXT(tbl_analysis_tickets[[#This Row],[created_date]],"mmm-yyyy")</f>
        <v>Apr-2024</v>
      </c>
      <c r="U368" t="str">
        <f>TEXT(tbl_analysis_tickets[[#This Row],[created_date]],"dddd")</f>
        <v>Thursday</v>
      </c>
      <c r="V368" cm="1">
        <f t="array" ref="V368">_xlfn.SWITCH(tbl_analysis_tickets[[#This Row],[priority]],
"Urgent",1,
"High",2,
"Medium",3,
"Low",4
)</f>
        <v>1</v>
      </c>
    </row>
    <row r="369" spans="1:22" x14ac:dyDescent="0.25">
      <c r="A369">
        <v>368</v>
      </c>
      <c r="B369" s="1">
        <v>45540</v>
      </c>
      <c r="C369" t="s">
        <v>14</v>
      </c>
      <c r="D369" t="s">
        <v>15</v>
      </c>
      <c r="E369">
        <v>177</v>
      </c>
      <c r="F369">
        <v>54</v>
      </c>
      <c r="G369">
        <v>7.3</v>
      </c>
      <c r="H369" t="s">
        <v>18</v>
      </c>
      <c r="I369" t="s">
        <v>13</v>
      </c>
      <c r="J369" t="s">
        <v>15</v>
      </c>
      <c r="K369">
        <f>_xlfn.XLOOKUP(tbl_analysis_tickets[[#This Row],[priority]],tbl_sla[priority],tbl_sla[Resolution SLA Hours])</f>
        <v>48</v>
      </c>
      <c r="L369">
        <f>_xlfn.XLOOKUP(tbl_analysis_tickets[[#This Row],[priority]],tbl_sla[priority],tbl_sla[First Response SLA Minutes])</f>
        <v>120</v>
      </c>
      <c r="M369" t="str">
        <f>IF(tbl_analysis_tickets[[#This Row],[resolution_time_hours]]&gt;tbl_analysis_tickets[[#This Row],[Resolution SLA Hours]],"Breached","Within SLA")</f>
        <v>Breached</v>
      </c>
      <c r="N369" t="str">
        <f>IF(tbl_analysis_tickets[[#This Row],[first_response_minutes]]&gt;tbl_analysis_tickets[[#This Row],[First Response SLA Minutes]],"Breached","Within SLA")</f>
        <v>Breached</v>
      </c>
      <c r="O369" t="str" cm="1">
        <f t="array" ref="O369">_xlfn.IFS(
tbl_analysis_tickets[[#This Row],[agent_experience_years]]&lt;=2,"Junior",
tbl_analysis_tickets[[#This Row],[agent_experience_years]]&lt;=5,"Mid-Level",
tbl_analysis_tickets[[#This Row],[agent_experience_years]]&lt;=8,"Senior",
tbl_analysis_tickets[[#This Row],[agent_experience_years]]&gt;8,"Expert"
)</f>
        <v>Senior</v>
      </c>
      <c r="P369" cm="1">
        <f t="array" ref="P369">_xlfn.SWITCH(tbl_analysis_tickets[[#This Row],[customer_satisfaction]],
"Low",1,
"Medium",2,
"High",3
)</f>
        <v>2</v>
      </c>
      <c r="Q369">
        <f>IF(tbl_analysis_tickets[[#This Row],[reopened]]="Yes",1,0)</f>
        <v>0</v>
      </c>
      <c r="R369" t="str" cm="1">
        <f t="array" ref="R369">_xlfn.IFS(
tbl_analysis_tickets[[#This Row],[first_response_minutes]]&lt;=30,"Very Fast",
tbl_analysis_tickets[[#This Row],[first_response_minutes]]&lt;=120,"Acceptable",
tbl_analysis_tickets[[#This Row],[first_response_minutes]]&lt;=240,"Slow",
tbl_analysis_tickets[[#This Row],[first_response_minutes]]&gt;240,"Very Slow"
)</f>
        <v>Slow</v>
      </c>
      <c r="S369" t="str" cm="1">
        <f t="array" ref="S36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369" t="str">
        <f>TEXT(tbl_analysis_tickets[[#This Row],[created_date]],"mmm-yyyy")</f>
        <v>Sep-2024</v>
      </c>
      <c r="U369" t="str">
        <f>TEXT(tbl_analysis_tickets[[#This Row],[created_date]],"dddd")</f>
        <v>Thursday</v>
      </c>
      <c r="V369" cm="1">
        <f t="array" ref="V369">_xlfn.SWITCH(tbl_analysis_tickets[[#This Row],[priority]],
"Urgent",1,
"High",2,
"Medium",3,
"Low",4
)</f>
        <v>3</v>
      </c>
    </row>
    <row r="370" spans="1:22" x14ac:dyDescent="0.25">
      <c r="A370">
        <v>369</v>
      </c>
      <c r="B370" s="1">
        <v>45301</v>
      </c>
      <c r="C370" t="s">
        <v>10</v>
      </c>
      <c r="D370" t="s">
        <v>15</v>
      </c>
      <c r="E370">
        <v>115</v>
      </c>
      <c r="F370">
        <v>47</v>
      </c>
      <c r="G370">
        <v>5.4</v>
      </c>
      <c r="H370" t="s">
        <v>18</v>
      </c>
      <c r="I370" t="s">
        <v>13</v>
      </c>
      <c r="J370" t="s">
        <v>15</v>
      </c>
      <c r="K370">
        <f>_xlfn.XLOOKUP(tbl_analysis_tickets[[#This Row],[priority]],tbl_sla[priority],tbl_sla[Resolution SLA Hours])</f>
        <v>48</v>
      </c>
      <c r="L370">
        <f>_xlfn.XLOOKUP(tbl_analysis_tickets[[#This Row],[priority]],tbl_sla[priority],tbl_sla[First Response SLA Minutes])</f>
        <v>120</v>
      </c>
      <c r="M370" t="str">
        <f>IF(tbl_analysis_tickets[[#This Row],[resolution_time_hours]]&gt;tbl_analysis_tickets[[#This Row],[Resolution SLA Hours]],"Breached","Within SLA")</f>
        <v>Within SLA</v>
      </c>
      <c r="N370" t="str">
        <f>IF(tbl_analysis_tickets[[#This Row],[first_response_minutes]]&gt;tbl_analysis_tickets[[#This Row],[First Response SLA Minutes]],"Breached","Within SLA")</f>
        <v>Within SLA</v>
      </c>
      <c r="O370" t="str" cm="1">
        <f t="array" ref="O370">_xlfn.IFS(
tbl_analysis_tickets[[#This Row],[agent_experience_years]]&lt;=2,"Junior",
tbl_analysis_tickets[[#This Row],[agent_experience_years]]&lt;=5,"Mid-Level",
tbl_analysis_tickets[[#This Row],[agent_experience_years]]&lt;=8,"Senior",
tbl_analysis_tickets[[#This Row],[agent_experience_years]]&gt;8,"Expert"
)</f>
        <v>Senior</v>
      </c>
      <c r="P370" cm="1">
        <f t="array" ref="P370">_xlfn.SWITCH(tbl_analysis_tickets[[#This Row],[customer_satisfaction]],
"Low",1,
"Medium",2,
"High",3
)</f>
        <v>2</v>
      </c>
      <c r="Q370">
        <f>IF(tbl_analysis_tickets[[#This Row],[reopened]]="Yes",1,0)</f>
        <v>0</v>
      </c>
      <c r="R370" t="str" cm="1">
        <f t="array" ref="R370">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370" t="str" cm="1">
        <f t="array" ref="S37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370" t="str">
        <f>TEXT(tbl_analysis_tickets[[#This Row],[created_date]],"mmm-yyyy")</f>
        <v>Jan-2024</v>
      </c>
      <c r="U370" t="str">
        <f>TEXT(tbl_analysis_tickets[[#This Row],[created_date]],"dddd")</f>
        <v>Wednesday</v>
      </c>
      <c r="V370" cm="1">
        <f t="array" ref="V370">_xlfn.SWITCH(tbl_analysis_tickets[[#This Row],[priority]],
"Urgent",1,
"High",2,
"Medium",3,
"Low",4
)</f>
        <v>3</v>
      </c>
    </row>
    <row r="371" spans="1:22" x14ac:dyDescent="0.25">
      <c r="A371">
        <v>370</v>
      </c>
      <c r="B371" s="1">
        <v>45512</v>
      </c>
      <c r="C371" t="s">
        <v>14</v>
      </c>
      <c r="D371" t="s">
        <v>15</v>
      </c>
      <c r="E371">
        <v>192</v>
      </c>
      <c r="F371">
        <v>44</v>
      </c>
      <c r="G371">
        <v>2.6</v>
      </c>
      <c r="H371" t="s">
        <v>12</v>
      </c>
      <c r="I371" t="s">
        <v>13</v>
      </c>
      <c r="J371" t="s">
        <v>11</v>
      </c>
      <c r="K371">
        <f>_xlfn.XLOOKUP(tbl_analysis_tickets[[#This Row],[priority]],tbl_sla[priority],tbl_sla[Resolution SLA Hours])</f>
        <v>48</v>
      </c>
      <c r="L371">
        <f>_xlfn.XLOOKUP(tbl_analysis_tickets[[#This Row],[priority]],tbl_sla[priority],tbl_sla[First Response SLA Minutes])</f>
        <v>120</v>
      </c>
      <c r="M371" t="str">
        <f>IF(tbl_analysis_tickets[[#This Row],[resolution_time_hours]]&gt;tbl_analysis_tickets[[#This Row],[Resolution SLA Hours]],"Breached","Within SLA")</f>
        <v>Within SLA</v>
      </c>
      <c r="N371" t="str">
        <f>IF(tbl_analysis_tickets[[#This Row],[first_response_minutes]]&gt;tbl_analysis_tickets[[#This Row],[First Response SLA Minutes]],"Breached","Within SLA")</f>
        <v>Breached</v>
      </c>
      <c r="O371" t="str" cm="1">
        <f t="array" ref="O371">_xlfn.IFS(
tbl_analysis_tickets[[#This Row],[agent_experience_years]]&lt;=2,"Junior",
tbl_analysis_tickets[[#This Row],[agent_experience_years]]&lt;=5,"Mid-Level",
tbl_analysis_tickets[[#This Row],[agent_experience_years]]&lt;=8,"Senior",
tbl_analysis_tickets[[#This Row],[agent_experience_years]]&gt;8,"Expert"
)</f>
        <v>Mid-Level</v>
      </c>
      <c r="P371" cm="1">
        <f t="array" ref="P371">_xlfn.SWITCH(tbl_analysis_tickets[[#This Row],[customer_satisfaction]],
"Low",1,
"Medium",2,
"High",3
)</f>
        <v>1</v>
      </c>
      <c r="Q371">
        <f>IF(tbl_analysis_tickets[[#This Row],[reopened]]="Yes",1,0)</f>
        <v>1</v>
      </c>
      <c r="R371" t="str" cm="1">
        <f t="array" ref="R371">_xlfn.IFS(
tbl_analysis_tickets[[#This Row],[first_response_minutes]]&lt;=30,"Very Fast",
tbl_analysis_tickets[[#This Row],[first_response_minutes]]&lt;=120,"Acceptable",
tbl_analysis_tickets[[#This Row],[first_response_minutes]]&lt;=240,"Slow",
tbl_analysis_tickets[[#This Row],[first_response_minutes]]&gt;240,"Very Slow"
)</f>
        <v>Slow</v>
      </c>
      <c r="S371" t="str" cm="1">
        <f t="array" ref="S37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371" t="str">
        <f>TEXT(tbl_analysis_tickets[[#This Row],[created_date]],"mmm-yyyy")</f>
        <v>Aug-2024</v>
      </c>
      <c r="U371" t="str">
        <f>TEXT(tbl_analysis_tickets[[#This Row],[created_date]],"dddd")</f>
        <v>Thursday</v>
      </c>
      <c r="V371" cm="1">
        <f t="array" ref="V371">_xlfn.SWITCH(tbl_analysis_tickets[[#This Row],[priority]],
"Urgent",1,
"High",2,
"Medium",3,
"Low",4
)</f>
        <v>3</v>
      </c>
    </row>
    <row r="372" spans="1:22" x14ac:dyDescent="0.25">
      <c r="A372">
        <v>371</v>
      </c>
      <c r="B372" s="1">
        <v>45459</v>
      </c>
      <c r="C372" t="s">
        <v>22</v>
      </c>
      <c r="D372" t="s">
        <v>20</v>
      </c>
      <c r="E372">
        <v>47</v>
      </c>
      <c r="F372">
        <v>64</v>
      </c>
      <c r="G372">
        <v>2.5</v>
      </c>
      <c r="H372" t="s">
        <v>18</v>
      </c>
      <c r="I372" t="s">
        <v>16</v>
      </c>
      <c r="J372" t="s">
        <v>11</v>
      </c>
      <c r="K372">
        <f>_xlfn.XLOOKUP(tbl_analysis_tickets[[#This Row],[priority]],tbl_sla[priority],tbl_sla[Resolution SLA Hours])</f>
        <v>24</v>
      </c>
      <c r="L372">
        <f>_xlfn.XLOOKUP(tbl_analysis_tickets[[#This Row],[priority]],tbl_sla[priority],tbl_sla[First Response SLA Minutes])</f>
        <v>60</v>
      </c>
      <c r="M372" t="str">
        <f>IF(tbl_analysis_tickets[[#This Row],[resolution_time_hours]]&gt;tbl_analysis_tickets[[#This Row],[Resolution SLA Hours]],"Breached","Within SLA")</f>
        <v>Breached</v>
      </c>
      <c r="N372" t="str">
        <f>IF(tbl_analysis_tickets[[#This Row],[first_response_minutes]]&gt;tbl_analysis_tickets[[#This Row],[First Response SLA Minutes]],"Breached","Within SLA")</f>
        <v>Within SLA</v>
      </c>
      <c r="O372" t="str" cm="1">
        <f t="array" ref="O372">_xlfn.IFS(
tbl_analysis_tickets[[#This Row],[agent_experience_years]]&lt;=2,"Junior",
tbl_analysis_tickets[[#This Row],[agent_experience_years]]&lt;=5,"Mid-Level",
tbl_analysis_tickets[[#This Row],[agent_experience_years]]&lt;=8,"Senior",
tbl_analysis_tickets[[#This Row],[agent_experience_years]]&gt;8,"Expert"
)</f>
        <v>Mid-Level</v>
      </c>
      <c r="P372" cm="1">
        <f t="array" ref="P372">_xlfn.SWITCH(tbl_analysis_tickets[[#This Row],[customer_satisfaction]],
"Low",1,
"Medium",2,
"High",3
)</f>
        <v>1</v>
      </c>
      <c r="Q372">
        <f>IF(tbl_analysis_tickets[[#This Row],[reopened]]="Yes",1,0)</f>
        <v>0</v>
      </c>
      <c r="R372" t="str" cm="1">
        <f t="array" ref="R372">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372" t="str" cm="1">
        <f t="array" ref="S37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372" t="str">
        <f>TEXT(tbl_analysis_tickets[[#This Row],[created_date]],"mmm-yyyy")</f>
        <v>Jun-2024</v>
      </c>
      <c r="U372" t="str">
        <f>TEXT(tbl_analysis_tickets[[#This Row],[created_date]],"dddd")</f>
        <v>Sunday</v>
      </c>
      <c r="V372" cm="1">
        <f t="array" ref="V372">_xlfn.SWITCH(tbl_analysis_tickets[[#This Row],[priority]],
"Urgent",1,
"High",2,
"Medium",3,
"Low",4
)</f>
        <v>2</v>
      </c>
    </row>
    <row r="373" spans="1:22" x14ac:dyDescent="0.25">
      <c r="A373">
        <v>372</v>
      </c>
      <c r="B373" s="1">
        <v>45514</v>
      </c>
      <c r="C373" t="s">
        <v>23</v>
      </c>
      <c r="D373" t="s">
        <v>11</v>
      </c>
      <c r="E373">
        <v>219</v>
      </c>
      <c r="F373">
        <v>28</v>
      </c>
      <c r="G373">
        <v>8.1</v>
      </c>
      <c r="H373" t="s">
        <v>12</v>
      </c>
      <c r="I373" t="s">
        <v>13</v>
      </c>
      <c r="J373" t="s">
        <v>11</v>
      </c>
      <c r="K373">
        <f>_xlfn.XLOOKUP(tbl_analysis_tickets[[#This Row],[priority]],tbl_sla[priority],tbl_sla[Resolution SLA Hours])</f>
        <v>72</v>
      </c>
      <c r="L373">
        <f>_xlfn.XLOOKUP(tbl_analysis_tickets[[#This Row],[priority]],tbl_sla[priority],tbl_sla[First Response SLA Minutes])</f>
        <v>240</v>
      </c>
      <c r="M373" t="str">
        <f>IF(tbl_analysis_tickets[[#This Row],[resolution_time_hours]]&gt;tbl_analysis_tickets[[#This Row],[Resolution SLA Hours]],"Breached","Within SLA")</f>
        <v>Within SLA</v>
      </c>
      <c r="N373" t="str">
        <f>IF(tbl_analysis_tickets[[#This Row],[first_response_minutes]]&gt;tbl_analysis_tickets[[#This Row],[First Response SLA Minutes]],"Breached","Within SLA")</f>
        <v>Within SLA</v>
      </c>
      <c r="O373" t="str" cm="1">
        <f t="array" ref="O373">_xlfn.IFS(
tbl_analysis_tickets[[#This Row],[agent_experience_years]]&lt;=2,"Junior",
tbl_analysis_tickets[[#This Row],[agent_experience_years]]&lt;=5,"Mid-Level",
tbl_analysis_tickets[[#This Row],[agent_experience_years]]&lt;=8,"Senior",
tbl_analysis_tickets[[#This Row],[agent_experience_years]]&gt;8,"Expert"
)</f>
        <v>Expert</v>
      </c>
      <c r="P373" cm="1">
        <f t="array" ref="P373">_xlfn.SWITCH(tbl_analysis_tickets[[#This Row],[customer_satisfaction]],
"Low",1,
"Medium",2,
"High",3
)</f>
        <v>1</v>
      </c>
      <c r="Q373">
        <f>IF(tbl_analysis_tickets[[#This Row],[reopened]]="Yes",1,0)</f>
        <v>1</v>
      </c>
      <c r="R373" t="str" cm="1">
        <f t="array" ref="R373">_xlfn.IFS(
tbl_analysis_tickets[[#This Row],[first_response_minutes]]&lt;=30,"Very Fast",
tbl_analysis_tickets[[#This Row],[first_response_minutes]]&lt;=120,"Acceptable",
tbl_analysis_tickets[[#This Row],[first_response_minutes]]&lt;=240,"Slow",
tbl_analysis_tickets[[#This Row],[first_response_minutes]]&gt;240,"Very Slow"
)</f>
        <v>Slow</v>
      </c>
      <c r="S373" t="str" cm="1">
        <f t="array" ref="S37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373" t="str">
        <f>TEXT(tbl_analysis_tickets[[#This Row],[created_date]],"mmm-yyyy")</f>
        <v>Aug-2024</v>
      </c>
      <c r="U373" t="str">
        <f>TEXT(tbl_analysis_tickets[[#This Row],[created_date]],"dddd")</f>
        <v>Saturday</v>
      </c>
      <c r="V373" cm="1">
        <f t="array" ref="V373">_xlfn.SWITCH(tbl_analysis_tickets[[#This Row],[priority]],
"Urgent",1,
"High",2,
"Medium",3,
"Low",4
)</f>
        <v>4</v>
      </c>
    </row>
    <row r="374" spans="1:22" x14ac:dyDescent="0.25">
      <c r="A374">
        <v>373</v>
      </c>
      <c r="B374" s="1">
        <v>45378</v>
      </c>
      <c r="C374" t="s">
        <v>21</v>
      </c>
      <c r="D374" t="s">
        <v>15</v>
      </c>
      <c r="E374">
        <v>223</v>
      </c>
      <c r="F374">
        <v>27</v>
      </c>
      <c r="G374">
        <v>5.5</v>
      </c>
      <c r="H374" t="s">
        <v>18</v>
      </c>
      <c r="I374" t="s">
        <v>16</v>
      </c>
      <c r="J374" t="s">
        <v>15</v>
      </c>
      <c r="K374">
        <f>_xlfn.XLOOKUP(tbl_analysis_tickets[[#This Row],[priority]],tbl_sla[priority],tbl_sla[Resolution SLA Hours])</f>
        <v>48</v>
      </c>
      <c r="L374">
        <f>_xlfn.XLOOKUP(tbl_analysis_tickets[[#This Row],[priority]],tbl_sla[priority],tbl_sla[First Response SLA Minutes])</f>
        <v>120</v>
      </c>
      <c r="M374" t="str">
        <f>IF(tbl_analysis_tickets[[#This Row],[resolution_time_hours]]&gt;tbl_analysis_tickets[[#This Row],[Resolution SLA Hours]],"Breached","Within SLA")</f>
        <v>Within SLA</v>
      </c>
      <c r="N374" t="str">
        <f>IF(tbl_analysis_tickets[[#This Row],[first_response_minutes]]&gt;tbl_analysis_tickets[[#This Row],[First Response SLA Minutes]],"Breached","Within SLA")</f>
        <v>Breached</v>
      </c>
      <c r="O374" t="str" cm="1">
        <f t="array" ref="O374">_xlfn.IFS(
tbl_analysis_tickets[[#This Row],[agent_experience_years]]&lt;=2,"Junior",
tbl_analysis_tickets[[#This Row],[agent_experience_years]]&lt;=5,"Mid-Level",
tbl_analysis_tickets[[#This Row],[agent_experience_years]]&lt;=8,"Senior",
tbl_analysis_tickets[[#This Row],[agent_experience_years]]&gt;8,"Expert"
)</f>
        <v>Senior</v>
      </c>
      <c r="P374" cm="1">
        <f t="array" ref="P374">_xlfn.SWITCH(tbl_analysis_tickets[[#This Row],[customer_satisfaction]],
"Low",1,
"Medium",2,
"High",3
)</f>
        <v>2</v>
      </c>
      <c r="Q374">
        <f>IF(tbl_analysis_tickets[[#This Row],[reopened]]="Yes",1,0)</f>
        <v>0</v>
      </c>
      <c r="R374" t="str" cm="1">
        <f t="array" ref="R374">_xlfn.IFS(
tbl_analysis_tickets[[#This Row],[first_response_minutes]]&lt;=30,"Very Fast",
tbl_analysis_tickets[[#This Row],[first_response_minutes]]&lt;=120,"Acceptable",
tbl_analysis_tickets[[#This Row],[first_response_minutes]]&lt;=240,"Slow",
tbl_analysis_tickets[[#This Row],[first_response_minutes]]&gt;240,"Very Slow"
)</f>
        <v>Slow</v>
      </c>
      <c r="S374" t="str" cm="1">
        <f t="array" ref="S37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374" t="str">
        <f>TEXT(tbl_analysis_tickets[[#This Row],[created_date]],"mmm-yyyy")</f>
        <v>Mar-2024</v>
      </c>
      <c r="U374" t="str">
        <f>TEXT(tbl_analysis_tickets[[#This Row],[created_date]],"dddd")</f>
        <v>Wednesday</v>
      </c>
      <c r="V374" cm="1">
        <f t="array" ref="V374">_xlfn.SWITCH(tbl_analysis_tickets[[#This Row],[priority]],
"Urgent",1,
"High",2,
"Medium",3,
"Low",4
)</f>
        <v>3</v>
      </c>
    </row>
    <row r="375" spans="1:22" x14ac:dyDescent="0.25">
      <c r="A375">
        <v>374</v>
      </c>
      <c r="B375" s="1">
        <v>45480</v>
      </c>
      <c r="C375" t="s">
        <v>22</v>
      </c>
      <c r="D375" t="s">
        <v>15</v>
      </c>
      <c r="E375">
        <v>10</v>
      </c>
      <c r="F375">
        <v>22</v>
      </c>
      <c r="G375">
        <v>5.9</v>
      </c>
      <c r="H375" t="s">
        <v>12</v>
      </c>
      <c r="I375" t="s">
        <v>16</v>
      </c>
      <c r="J375" t="s">
        <v>15</v>
      </c>
      <c r="K375">
        <f>_xlfn.XLOOKUP(tbl_analysis_tickets[[#This Row],[priority]],tbl_sla[priority],tbl_sla[Resolution SLA Hours])</f>
        <v>48</v>
      </c>
      <c r="L375">
        <f>_xlfn.XLOOKUP(tbl_analysis_tickets[[#This Row],[priority]],tbl_sla[priority],tbl_sla[First Response SLA Minutes])</f>
        <v>120</v>
      </c>
      <c r="M375" t="str">
        <f>IF(tbl_analysis_tickets[[#This Row],[resolution_time_hours]]&gt;tbl_analysis_tickets[[#This Row],[Resolution SLA Hours]],"Breached","Within SLA")</f>
        <v>Within SLA</v>
      </c>
      <c r="N375" t="str">
        <f>IF(tbl_analysis_tickets[[#This Row],[first_response_minutes]]&gt;tbl_analysis_tickets[[#This Row],[First Response SLA Minutes]],"Breached","Within SLA")</f>
        <v>Within SLA</v>
      </c>
      <c r="O375" t="str" cm="1">
        <f t="array" ref="O375">_xlfn.IFS(
tbl_analysis_tickets[[#This Row],[agent_experience_years]]&lt;=2,"Junior",
tbl_analysis_tickets[[#This Row],[agent_experience_years]]&lt;=5,"Mid-Level",
tbl_analysis_tickets[[#This Row],[agent_experience_years]]&lt;=8,"Senior",
tbl_analysis_tickets[[#This Row],[agent_experience_years]]&gt;8,"Expert"
)</f>
        <v>Senior</v>
      </c>
      <c r="P375" cm="1">
        <f t="array" ref="P375">_xlfn.SWITCH(tbl_analysis_tickets[[#This Row],[customer_satisfaction]],
"Low",1,
"Medium",2,
"High",3
)</f>
        <v>2</v>
      </c>
      <c r="Q375">
        <f>IF(tbl_analysis_tickets[[#This Row],[reopened]]="Yes",1,0)</f>
        <v>1</v>
      </c>
      <c r="R375" t="str" cm="1">
        <f t="array" ref="R375">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375" t="str" cm="1">
        <f t="array" ref="S37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375" t="str">
        <f>TEXT(tbl_analysis_tickets[[#This Row],[created_date]],"mmm-yyyy")</f>
        <v>Jul-2024</v>
      </c>
      <c r="U375" t="str">
        <f>TEXT(tbl_analysis_tickets[[#This Row],[created_date]],"dddd")</f>
        <v>Sunday</v>
      </c>
      <c r="V375" cm="1">
        <f t="array" ref="V375">_xlfn.SWITCH(tbl_analysis_tickets[[#This Row],[priority]],
"Urgent",1,
"High",2,
"Medium",3,
"Low",4
)</f>
        <v>3</v>
      </c>
    </row>
    <row r="376" spans="1:22" x14ac:dyDescent="0.25">
      <c r="A376">
        <v>375</v>
      </c>
      <c r="B376" s="1">
        <v>45439</v>
      </c>
      <c r="C376" t="s">
        <v>22</v>
      </c>
      <c r="D376" t="s">
        <v>20</v>
      </c>
      <c r="E376">
        <v>125</v>
      </c>
      <c r="F376">
        <v>60</v>
      </c>
      <c r="G376">
        <v>5.7</v>
      </c>
      <c r="H376" t="s">
        <v>18</v>
      </c>
      <c r="I376" t="s">
        <v>13</v>
      </c>
      <c r="J376" t="s">
        <v>11</v>
      </c>
      <c r="K376">
        <f>_xlfn.XLOOKUP(tbl_analysis_tickets[[#This Row],[priority]],tbl_sla[priority],tbl_sla[Resolution SLA Hours])</f>
        <v>24</v>
      </c>
      <c r="L376">
        <f>_xlfn.XLOOKUP(tbl_analysis_tickets[[#This Row],[priority]],tbl_sla[priority],tbl_sla[First Response SLA Minutes])</f>
        <v>60</v>
      </c>
      <c r="M376" t="str">
        <f>IF(tbl_analysis_tickets[[#This Row],[resolution_time_hours]]&gt;tbl_analysis_tickets[[#This Row],[Resolution SLA Hours]],"Breached","Within SLA")</f>
        <v>Breached</v>
      </c>
      <c r="N376" t="str">
        <f>IF(tbl_analysis_tickets[[#This Row],[first_response_minutes]]&gt;tbl_analysis_tickets[[#This Row],[First Response SLA Minutes]],"Breached","Within SLA")</f>
        <v>Breached</v>
      </c>
      <c r="O376" t="str" cm="1">
        <f t="array" ref="O376">_xlfn.IFS(
tbl_analysis_tickets[[#This Row],[agent_experience_years]]&lt;=2,"Junior",
tbl_analysis_tickets[[#This Row],[agent_experience_years]]&lt;=5,"Mid-Level",
tbl_analysis_tickets[[#This Row],[agent_experience_years]]&lt;=8,"Senior",
tbl_analysis_tickets[[#This Row],[agent_experience_years]]&gt;8,"Expert"
)</f>
        <v>Senior</v>
      </c>
      <c r="P376" cm="1">
        <f t="array" ref="P376">_xlfn.SWITCH(tbl_analysis_tickets[[#This Row],[customer_satisfaction]],
"Low",1,
"Medium",2,
"High",3
)</f>
        <v>1</v>
      </c>
      <c r="Q376">
        <f>IF(tbl_analysis_tickets[[#This Row],[reopened]]="Yes",1,0)</f>
        <v>0</v>
      </c>
      <c r="R376" t="str" cm="1">
        <f t="array" ref="R376">_xlfn.IFS(
tbl_analysis_tickets[[#This Row],[first_response_minutes]]&lt;=30,"Very Fast",
tbl_analysis_tickets[[#This Row],[first_response_minutes]]&lt;=120,"Acceptable",
tbl_analysis_tickets[[#This Row],[first_response_minutes]]&lt;=240,"Slow",
tbl_analysis_tickets[[#This Row],[first_response_minutes]]&gt;240,"Very Slow"
)</f>
        <v>Slow</v>
      </c>
      <c r="S376" t="str" cm="1">
        <f t="array" ref="S37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376" t="str">
        <f>TEXT(tbl_analysis_tickets[[#This Row],[created_date]],"mmm-yyyy")</f>
        <v>May-2024</v>
      </c>
      <c r="U376" t="str">
        <f>TEXT(tbl_analysis_tickets[[#This Row],[created_date]],"dddd")</f>
        <v>Monday</v>
      </c>
      <c r="V376" cm="1">
        <f t="array" ref="V376">_xlfn.SWITCH(tbl_analysis_tickets[[#This Row],[priority]],
"Urgent",1,
"High",2,
"Medium",3,
"Low",4
)</f>
        <v>2</v>
      </c>
    </row>
    <row r="377" spans="1:22" x14ac:dyDescent="0.25">
      <c r="A377">
        <v>376</v>
      </c>
      <c r="B377" s="1">
        <v>45588</v>
      </c>
      <c r="C377" t="s">
        <v>22</v>
      </c>
      <c r="D377" t="s">
        <v>11</v>
      </c>
      <c r="E377">
        <v>67</v>
      </c>
      <c r="F377">
        <v>33</v>
      </c>
      <c r="G377">
        <v>4.7</v>
      </c>
      <c r="H377" t="s">
        <v>12</v>
      </c>
      <c r="I377" t="s">
        <v>19</v>
      </c>
      <c r="J377" t="s">
        <v>11</v>
      </c>
      <c r="K377">
        <f>_xlfn.XLOOKUP(tbl_analysis_tickets[[#This Row],[priority]],tbl_sla[priority],tbl_sla[Resolution SLA Hours])</f>
        <v>72</v>
      </c>
      <c r="L377">
        <f>_xlfn.XLOOKUP(tbl_analysis_tickets[[#This Row],[priority]],tbl_sla[priority],tbl_sla[First Response SLA Minutes])</f>
        <v>240</v>
      </c>
      <c r="M377" t="str">
        <f>IF(tbl_analysis_tickets[[#This Row],[resolution_time_hours]]&gt;tbl_analysis_tickets[[#This Row],[Resolution SLA Hours]],"Breached","Within SLA")</f>
        <v>Within SLA</v>
      </c>
      <c r="N377" t="str">
        <f>IF(tbl_analysis_tickets[[#This Row],[first_response_minutes]]&gt;tbl_analysis_tickets[[#This Row],[First Response SLA Minutes]],"Breached","Within SLA")</f>
        <v>Within SLA</v>
      </c>
      <c r="O377" t="str" cm="1">
        <f t="array" ref="O377">_xlfn.IFS(
tbl_analysis_tickets[[#This Row],[agent_experience_years]]&lt;=2,"Junior",
tbl_analysis_tickets[[#This Row],[agent_experience_years]]&lt;=5,"Mid-Level",
tbl_analysis_tickets[[#This Row],[agent_experience_years]]&lt;=8,"Senior",
tbl_analysis_tickets[[#This Row],[agent_experience_years]]&gt;8,"Expert"
)</f>
        <v>Mid-Level</v>
      </c>
      <c r="P377" cm="1">
        <f t="array" ref="P377">_xlfn.SWITCH(tbl_analysis_tickets[[#This Row],[customer_satisfaction]],
"Low",1,
"Medium",2,
"High",3
)</f>
        <v>1</v>
      </c>
      <c r="Q377">
        <f>IF(tbl_analysis_tickets[[#This Row],[reopened]]="Yes",1,0)</f>
        <v>1</v>
      </c>
      <c r="R377" t="str" cm="1">
        <f t="array" ref="R377">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377" t="str" cm="1">
        <f t="array" ref="S37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377" t="str">
        <f>TEXT(tbl_analysis_tickets[[#This Row],[created_date]],"mmm-yyyy")</f>
        <v>Oct-2024</v>
      </c>
      <c r="U377" t="str">
        <f>TEXT(tbl_analysis_tickets[[#This Row],[created_date]],"dddd")</f>
        <v>Wednesday</v>
      </c>
      <c r="V377" cm="1">
        <f t="array" ref="V377">_xlfn.SWITCH(tbl_analysis_tickets[[#This Row],[priority]],
"Urgent",1,
"High",2,
"Medium",3,
"Low",4
)</f>
        <v>4</v>
      </c>
    </row>
    <row r="378" spans="1:22" x14ac:dyDescent="0.25">
      <c r="A378">
        <v>377</v>
      </c>
      <c r="B378" s="1">
        <v>45469</v>
      </c>
      <c r="C378" t="s">
        <v>23</v>
      </c>
      <c r="D378" t="s">
        <v>11</v>
      </c>
      <c r="E378">
        <v>109</v>
      </c>
      <c r="F378">
        <v>19</v>
      </c>
      <c r="G378">
        <v>9</v>
      </c>
      <c r="H378" t="s">
        <v>18</v>
      </c>
      <c r="I378" t="s">
        <v>19</v>
      </c>
      <c r="J378" t="s">
        <v>15</v>
      </c>
      <c r="K378">
        <f>_xlfn.XLOOKUP(tbl_analysis_tickets[[#This Row],[priority]],tbl_sla[priority],tbl_sla[Resolution SLA Hours])</f>
        <v>72</v>
      </c>
      <c r="L378">
        <f>_xlfn.XLOOKUP(tbl_analysis_tickets[[#This Row],[priority]],tbl_sla[priority],tbl_sla[First Response SLA Minutes])</f>
        <v>240</v>
      </c>
      <c r="M378" t="str">
        <f>IF(tbl_analysis_tickets[[#This Row],[resolution_time_hours]]&gt;tbl_analysis_tickets[[#This Row],[Resolution SLA Hours]],"Breached","Within SLA")</f>
        <v>Within SLA</v>
      </c>
      <c r="N378" t="str">
        <f>IF(tbl_analysis_tickets[[#This Row],[first_response_minutes]]&gt;tbl_analysis_tickets[[#This Row],[First Response SLA Minutes]],"Breached","Within SLA")</f>
        <v>Within SLA</v>
      </c>
      <c r="O378" t="str" cm="1">
        <f t="array" ref="O378">_xlfn.IFS(
tbl_analysis_tickets[[#This Row],[agent_experience_years]]&lt;=2,"Junior",
tbl_analysis_tickets[[#This Row],[agent_experience_years]]&lt;=5,"Mid-Level",
tbl_analysis_tickets[[#This Row],[agent_experience_years]]&lt;=8,"Senior",
tbl_analysis_tickets[[#This Row],[agent_experience_years]]&gt;8,"Expert"
)</f>
        <v>Expert</v>
      </c>
      <c r="P378" cm="1">
        <f t="array" ref="P378">_xlfn.SWITCH(tbl_analysis_tickets[[#This Row],[customer_satisfaction]],
"Low",1,
"Medium",2,
"High",3
)</f>
        <v>2</v>
      </c>
      <c r="Q378">
        <f>IF(tbl_analysis_tickets[[#This Row],[reopened]]="Yes",1,0)</f>
        <v>0</v>
      </c>
      <c r="R378" t="str" cm="1">
        <f t="array" ref="R378">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378" t="str" cm="1">
        <f t="array" ref="S37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378" t="str">
        <f>TEXT(tbl_analysis_tickets[[#This Row],[created_date]],"mmm-yyyy")</f>
        <v>Jun-2024</v>
      </c>
      <c r="U378" t="str">
        <f>TEXT(tbl_analysis_tickets[[#This Row],[created_date]],"dddd")</f>
        <v>Wednesday</v>
      </c>
      <c r="V378" cm="1">
        <f t="array" ref="V378">_xlfn.SWITCH(tbl_analysis_tickets[[#This Row],[priority]],
"Urgent",1,
"High",2,
"Medium",3,
"Low",4
)</f>
        <v>4</v>
      </c>
    </row>
    <row r="379" spans="1:22" x14ac:dyDescent="0.25">
      <c r="A379">
        <v>378</v>
      </c>
      <c r="B379" s="1">
        <v>45464</v>
      </c>
      <c r="C379" t="s">
        <v>14</v>
      </c>
      <c r="D379" t="s">
        <v>20</v>
      </c>
      <c r="E379">
        <v>227</v>
      </c>
      <c r="F379">
        <v>24</v>
      </c>
      <c r="G379">
        <v>8.5</v>
      </c>
      <c r="H379" t="s">
        <v>12</v>
      </c>
      <c r="I379" t="s">
        <v>16</v>
      </c>
      <c r="J379" t="s">
        <v>11</v>
      </c>
      <c r="K379">
        <f>_xlfn.XLOOKUP(tbl_analysis_tickets[[#This Row],[priority]],tbl_sla[priority],tbl_sla[Resolution SLA Hours])</f>
        <v>24</v>
      </c>
      <c r="L379">
        <f>_xlfn.XLOOKUP(tbl_analysis_tickets[[#This Row],[priority]],tbl_sla[priority],tbl_sla[First Response SLA Minutes])</f>
        <v>60</v>
      </c>
      <c r="M379" t="str">
        <f>IF(tbl_analysis_tickets[[#This Row],[resolution_time_hours]]&gt;tbl_analysis_tickets[[#This Row],[Resolution SLA Hours]],"Breached","Within SLA")</f>
        <v>Within SLA</v>
      </c>
      <c r="N379" t="str">
        <f>IF(tbl_analysis_tickets[[#This Row],[first_response_minutes]]&gt;tbl_analysis_tickets[[#This Row],[First Response SLA Minutes]],"Breached","Within SLA")</f>
        <v>Breached</v>
      </c>
      <c r="O379" t="str" cm="1">
        <f t="array" ref="O379">_xlfn.IFS(
tbl_analysis_tickets[[#This Row],[agent_experience_years]]&lt;=2,"Junior",
tbl_analysis_tickets[[#This Row],[agent_experience_years]]&lt;=5,"Mid-Level",
tbl_analysis_tickets[[#This Row],[agent_experience_years]]&lt;=8,"Senior",
tbl_analysis_tickets[[#This Row],[agent_experience_years]]&gt;8,"Expert"
)</f>
        <v>Expert</v>
      </c>
      <c r="P379" cm="1">
        <f t="array" ref="P379">_xlfn.SWITCH(tbl_analysis_tickets[[#This Row],[customer_satisfaction]],
"Low",1,
"Medium",2,
"High",3
)</f>
        <v>1</v>
      </c>
      <c r="Q379">
        <f>IF(tbl_analysis_tickets[[#This Row],[reopened]]="Yes",1,0)</f>
        <v>1</v>
      </c>
      <c r="R379" t="str" cm="1">
        <f t="array" ref="R379">_xlfn.IFS(
tbl_analysis_tickets[[#This Row],[first_response_minutes]]&lt;=30,"Very Fast",
tbl_analysis_tickets[[#This Row],[first_response_minutes]]&lt;=120,"Acceptable",
tbl_analysis_tickets[[#This Row],[first_response_minutes]]&lt;=240,"Slow",
tbl_analysis_tickets[[#This Row],[first_response_minutes]]&gt;240,"Very Slow"
)</f>
        <v>Slow</v>
      </c>
      <c r="S379" t="str" cm="1">
        <f t="array" ref="S37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379" t="str">
        <f>TEXT(tbl_analysis_tickets[[#This Row],[created_date]],"mmm-yyyy")</f>
        <v>Jun-2024</v>
      </c>
      <c r="U379" t="str">
        <f>TEXT(tbl_analysis_tickets[[#This Row],[created_date]],"dddd")</f>
        <v>Friday</v>
      </c>
      <c r="V379" cm="1">
        <f t="array" ref="V379">_xlfn.SWITCH(tbl_analysis_tickets[[#This Row],[priority]],
"Urgent",1,
"High",2,
"Medium",3,
"Low",4
)</f>
        <v>2</v>
      </c>
    </row>
    <row r="380" spans="1:22" x14ac:dyDescent="0.25">
      <c r="A380">
        <v>379</v>
      </c>
      <c r="B380" s="1">
        <v>45356</v>
      </c>
      <c r="C380" t="s">
        <v>22</v>
      </c>
      <c r="D380" t="s">
        <v>15</v>
      </c>
      <c r="E380">
        <v>146</v>
      </c>
      <c r="F380">
        <v>54</v>
      </c>
      <c r="G380">
        <v>3</v>
      </c>
      <c r="H380" t="s">
        <v>18</v>
      </c>
      <c r="I380" t="s">
        <v>16</v>
      </c>
      <c r="J380" t="s">
        <v>11</v>
      </c>
      <c r="K380">
        <f>_xlfn.XLOOKUP(tbl_analysis_tickets[[#This Row],[priority]],tbl_sla[priority],tbl_sla[Resolution SLA Hours])</f>
        <v>48</v>
      </c>
      <c r="L380">
        <f>_xlfn.XLOOKUP(tbl_analysis_tickets[[#This Row],[priority]],tbl_sla[priority],tbl_sla[First Response SLA Minutes])</f>
        <v>120</v>
      </c>
      <c r="M380" t="str">
        <f>IF(tbl_analysis_tickets[[#This Row],[resolution_time_hours]]&gt;tbl_analysis_tickets[[#This Row],[Resolution SLA Hours]],"Breached","Within SLA")</f>
        <v>Breached</v>
      </c>
      <c r="N380" t="str">
        <f>IF(tbl_analysis_tickets[[#This Row],[first_response_minutes]]&gt;tbl_analysis_tickets[[#This Row],[First Response SLA Minutes]],"Breached","Within SLA")</f>
        <v>Breached</v>
      </c>
      <c r="O380" t="str" cm="1">
        <f t="array" ref="O380">_xlfn.IFS(
tbl_analysis_tickets[[#This Row],[agent_experience_years]]&lt;=2,"Junior",
tbl_analysis_tickets[[#This Row],[agent_experience_years]]&lt;=5,"Mid-Level",
tbl_analysis_tickets[[#This Row],[agent_experience_years]]&lt;=8,"Senior",
tbl_analysis_tickets[[#This Row],[agent_experience_years]]&gt;8,"Expert"
)</f>
        <v>Mid-Level</v>
      </c>
      <c r="P380" cm="1">
        <f t="array" ref="P380">_xlfn.SWITCH(tbl_analysis_tickets[[#This Row],[customer_satisfaction]],
"Low",1,
"Medium",2,
"High",3
)</f>
        <v>1</v>
      </c>
      <c r="Q380">
        <f>IF(tbl_analysis_tickets[[#This Row],[reopened]]="Yes",1,0)</f>
        <v>0</v>
      </c>
      <c r="R380" t="str" cm="1">
        <f t="array" ref="R380">_xlfn.IFS(
tbl_analysis_tickets[[#This Row],[first_response_minutes]]&lt;=30,"Very Fast",
tbl_analysis_tickets[[#This Row],[first_response_minutes]]&lt;=120,"Acceptable",
tbl_analysis_tickets[[#This Row],[first_response_minutes]]&lt;=240,"Slow",
tbl_analysis_tickets[[#This Row],[first_response_minutes]]&gt;240,"Very Slow"
)</f>
        <v>Slow</v>
      </c>
      <c r="S380" t="str" cm="1">
        <f t="array" ref="S38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380" t="str">
        <f>TEXT(tbl_analysis_tickets[[#This Row],[created_date]],"mmm-yyyy")</f>
        <v>Mar-2024</v>
      </c>
      <c r="U380" t="str">
        <f>TEXT(tbl_analysis_tickets[[#This Row],[created_date]],"dddd")</f>
        <v>Tuesday</v>
      </c>
      <c r="V380" cm="1">
        <f t="array" ref="V380">_xlfn.SWITCH(tbl_analysis_tickets[[#This Row],[priority]],
"Urgent",1,
"High",2,
"Medium",3,
"Low",4
)</f>
        <v>3</v>
      </c>
    </row>
    <row r="381" spans="1:22" x14ac:dyDescent="0.25">
      <c r="A381">
        <v>380</v>
      </c>
      <c r="B381" s="1">
        <v>45310</v>
      </c>
      <c r="C381" t="s">
        <v>10</v>
      </c>
      <c r="D381" t="s">
        <v>20</v>
      </c>
      <c r="E381">
        <v>166</v>
      </c>
      <c r="F381">
        <v>11</v>
      </c>
      <c r="G381">
        <v>1.3</v>
      </c>
      <c r="H381" t="s">
        <v>18</v>
      </c>
      <c r="I381" t="s">
        <v>13</v>
      </c>
      <c r="J381" t="s">
        <v>11</v>
      </c>
      <c r="K381">
        <f>_xlfn.XLOOKUP(tbl_analysis_tickets[[#This Row],[priority]],tbl_sla[priority],tbl_sla[Resolution SLA Hours])</f>
        <v>24</v>
      </c>
      <c r="L381">
        <f>_xlfn.XLOOKUP(tbl_analysis_tickets[[#This Row],[priority]],tbl_sla[priority],tbl_sla[First Response SLA Minutes])</f>
        <v>60</v>
      </c>
      <c r="M381" t="str">
        <f>IF(tbl_analysis_tickets[[#This Row],[resolution_time_hours]]&gt;tbl_analysis_tickets[[#This Row],[Resolution SLA Hours]],"Breached","Within SLA")</f>
        <v>Within SLA</v>
      </c>
      <c r="N381" t="str">
        <f>IF(tbl_analysis_tickets[[#This Row],[first_response_minutes]]&gt;tbl_analysis_tickets[[#This Row],[First Response SLA Minutes]],"Breached","Within SLA")</f>
        <v>Breached</v>
      </c>
      <c r="O381" t="str" cm="1">
        <f t="array" ref="O381">_xlfn.IFS(
tbl_analysis_tickets[[#This Row],[agent_experience_years]]&lt;=2,"Junior",
tbl_analysis_tickets[[#This Row],[agent_experience_years]]&lt;=5,"Mid-Level",
tbl_analysis_tickets[[#This Row],[agent_experience_years]]&lt;=8,"Senior",
tbl_analysis_tickets[[#This Row],[agent_experience_years]]&gt;8,"Expert"
)</f>
        <v>Junior</v>
      </c>
      <c r="P381" cm="1">
        <f t="array" ref="P381">_xlfn.SWITCH(tbl_analysis_tickets[[#This Row],[customer_satisfaction]],
"Low",1,
"Medium",2,
"High",3
)</f>
        <v>1</v>
      </c>
      <c r="Q381">
        <f>IF(tbl_analysis_tickets[[#This Row],[reopened]]="Yes",1,0)</f>
        <v>0</v>
      </c>
      <c r="R381" t="str" cm="1">
        <f t="array" ref="R381">_xlfn.IFS(
tbl_analysis_tickets[[#This Row],[first_response_minutes]]&lt;=30,"Very Fast",
tbl_analysis_tickets[[#This Row],[first_response_minutes]]&lt;=120,"Acceptable",
tbl_analysis_tickets[[#This Row],[first_response_minutes]]&lt;=240,"Slow",
tbl_analysis_tickets[[#This Row],[first_response_minutes]]&gt;240,"Very Slow"
)</f>
        <v>Slow</v>
      </c>
      <c r="S381" t="str" cm="1">
        <f t="array" ref="S38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381" t="str">
        <f>TEXT(tbl_analysis_tickets[[#This Row],[created_date]],"mmm-yyyy")</f>
        <v>Jan-2024</v>
      </c>
      <c r="U381" t="str">
        <f>TEXT(tbl_analysis_tickets[[#This Row],[created_date]],"dddd")</f>
        <v>Friday</v>
      </c>
      <c r="V381" cm="1">
        <f t="array" ref="V381">_xlfn.SWITCH(tbl_analysis_tickets[[#This Row],[priority]],
"Urgent",1,
"High",2,
"Medium",3,
"Low",4
)</f>
        <v>2</v>
      </c>
    </row>
    <row r="382" spans="1:22" x14ac:dyDescent="0.25">
      <c r="A382">
        <v>381</v>
      </c>
      <c r="B382" s="1">
        <v>45500</v>
      </c>
      <c r="C382" t="s">
        <v>22</v>
      </c>
      <c r="D382" t="s">
        <v>20</v>
      </c>
      <c r="E382">
        <v>126</v>
      </c>
      <c r="F382">
        <v>25</v>
      </c>
      <c r="G382">
        <v>4.8</v>
      </c>
      <c r="H382" t="s">
        <v>18</v>
      </c>
      <c r="I382" t="s">
        <v>19</v>
      </c>
      <c r="J382" t="s">
        <v>11</v>
      </c>
      <c r="K382">
        <f>_xlfn.XLOOKUP(tbl_analysis_tickets[[#This Row],[priority]],tbl_sla[priority],tbl_sla[Resolution SLA Hours])</f>
        <v>24</v>
      </c>
      <c r="L382">
        <f>_xlfn.XLOOKUP(tbl_analysis_tickets[[#This Row],[priority]],tbl_sla[priority],tbl_sla[First Response SLA Minutes])</f>
        <v>60</v>
      </c>
      <c r="M382" t="str">
        <f>IF(tbl_analysis_tickets[[#This Row],[resolution_time_hours]]&gt;tbl_analysis_tickets[[#This Row],[Resolution SLA Hours]],"Breached","Within SLA")</f>
        <v>Breached</v>
      </c>
      <c r="N382" t="str">
        <f>IF(tbl_analysis_tickets[[#This Row],[first_response_minutes]]&gt;tbl_analysis_tickets[[#This Row],[First Response SLA Minutes]],"Breached","Within SLA")</f>
        <v>Breached</v>
      </c>
      <c r="O382" t="str" cm="1">
        <f t="array" ref="O382">_xlfn.IFS(
tbl_analysis_tickets[[#This Row],[agent_experience_years]]&lt;=2,"Junior",
tbl_analysis_tickets[[#This Row],[agent_experience_years]]&lt;=5,"Mid-Level",
tbl_analysis_tickets[[#This Row],[agent_experience_years]]&lt;=8,"Senior",
tbl_analysis_tickets[[#This Row],[agent_experience_years]]&gt;8,"Expert"
)</f>
        <v>Mid-Level</v>
      </c>
      <c r="P382" cm="1">
        <f t="array" ref="P382">_xlfn.SWITCH(tbl_analysis_tickets[[#This Row],[customer_satisfaction]],
"Low",1,
"Medium",2,
"High",3
)</f>
        <v>1</v>
      </c>
      <c r="Q382">
        <f>IF(tbl_analysis_tickets[[#This Row],[reopened]]="Yes",1,0)</f>
        <v>0</v>
      </c>
      <c r="R382" t="str" cm="1">
        <f t="array" ref="R382">_xlfn.IFS(
tbl_analysis_tickets[[#This Row],[first_response_minutes]]&lt;=30,"Very Fast",
tbl_analysis_tickets[[#This Row],[first_response_minutes]]&lt;=120,"Acceptable",
tbl_analysis_tickets[[#This Row],[first_response_minutes]]&lt;=240,"Slow",
tbl_analysis_tickets[[#This Row],[first_response_minutes]]&gt;240,"Very Slow"
)</f>
        <v>Slow</v>
      </c>
      <c r="S382" t="str" cm="1">
        <f t="array" ref="S38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382" t="str">
        <f>TEXT(tbl_analysis_tickets[[#This Row],[created_date]],"mmm-yyyy")</f>
        <v>Jul-2024</v>
      </c>
      <c r="U382" t="str">
        <f>TEXT(tbl_analysis_tickets[[#This Row],[created_date]],"dddd")</f>
        <v>Saturday</v>
      </c>
      <c r="V382" cm="1">
        <f t="array" ref="V382">_xlfn.SWITCH(tbl_analysis_tickets[[#This Row],[priority]],
"Urgent",1,
"High",2,
"Medium",3,
"Low",4
)</f>
        <v>2</v>
      </c>
    </row>
    <row r="383" spans="1:22" x14ac:dyDescent="0.25">
      <c r="A383">
        <v>382</v>
      </c>
      <c r="B383" s="1">
        <v>45411</v>
      </c>
      <c r="C383" t="s">
        <v>10</v>
      </c>
      <c r="D383" t="s">
        <v>17</v>
      </c>
      <c r="E383">
        <v>53</v>
      </c>
      <c r="F383">
        <v>25</v>
      </c>
      <c r="G383">
        <v>8.5</v>
      </c>
      <c r="H383" t="s">
        <v>12</v>
      </c>
      <c r="I383" t="s">
        <v>16</v>
      </c>
      <c r="J383" t="s">
        <v>11</v>
      </c>
      <c r="K383">
        <f>_xlfn.XLOOKUP(tbl_analysis_tickets[[#This Row],[priority]],tbl_sla[priority],tbl_sla[Resolution SLA Hours])</f>
        <v>8</v>
      </c>
      <c r="L383">
        <f>_xlfn.XLOOKUP(tbl_analysis_tickets[[#This Row],[priority]],tbl_sla[priority],tbl_sla[First Response SLA Minutes])</f>
        <v>30</v>
      </c>
      <c r="M383" t="str">
        <f>IF(tbl_analysis_tickets[[#This Row],[resolution_time_hours]]&gt;tbl_analysis_tickets[[#This Row],[Resolution SLA Hours]],"Breached","Within SLA")</f>
        <v>Breached</v>
      </c>
      <c r="N383" t="str">
        <f>IF(tbl_analysis_tickets[[#This Row],[first_response_minutes]]&gt;tbl_analysis_tickets[[#This Row],[First Response SLA Minutes]],"Breached","Within SLA")</f>
        <v>Breached</v>
      </c>
      <c r="O383" t="str" cm="1">
        <f t="array" ref="O383">_xlfn.IFS(
tbl_analysis_tickets[[#This Row],[agent_experience_years]]&lt;=2,"Junior",
tbl_analysis_tickets[[#This Row],[agent_experience_years]]&lt;=5,"Mid-Level",
tbl_analysis_tickets[[#This Row],[agent_experience_years]]&lt;=8,"Senior",
tbl_analysis_tickets[[#This Row],[agent_experience_years]]&gt;8,"Expert"
)</f>
        <v>Expert</v>
      </c>
      <c r="P383" cm="1">
        <f t="array" ref="P383">_xlfn.SWITCH(tbl_analysis_tickets[[#This Row],[customer_satisfaction]],
"Low",1,
"Medium",2,
"High",3
)</f>
        <v>1</v>
      </c>
      <c r="Q383">
        <f>IF(tbl_analysis_tickets[[#This Row],[reopened]]="Yes",1,0)</f>
        <v>1</v>
      </c>
      <c r="R383" t="str" cm="1">
        <f t="array" ref="R383">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383" t="str" cm="1">
        <f t="array" ref="S38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383" t="str">
        <f>TEXT(tbl_analysis_tickets[[#This Row],[created_date]],"mmm-yyyy")</f>
        <v>Apr-2024</v>
      </c>
      <c r="U383" t="str">
        <f>TEXT(tbl_analysis_tickets[[#This Row],[created_date]],"dddd")</f>
        <v>Monday</v>
      </c>
      <c r="V383" cm="1">
        <f t="array" ref="V383">_xlfn.SWITCH(tbl_analysis_tickets[[#This Row],[priority]],
"Urgent",1,
"High",2,
"Medium",3,
"Low",4
)</f>
        <v>1</v>
      </c>
    </row>
    <row r="384" spans="1:22" x14ac:dyDescent="0.25">
      <c r="A384">
        <v>383</v>
      </c>
      <c r="B384" s="1">
        <v>45463</v>
      </c>
      <c r="C384" t="s">
        <v>23</v>
      </c>
      <c r="D384" t="s">
        <v>17</v>
      </c>
      <c r="E384">
        <v>112</v>
      </c>
      <c r="F384">
        <v>27</v>
      </c>
      <c r="G384">
        <v>5</v>
      </c>
      <c r="H384" t="s">
        <v>12</v>
      </c>
      <c r="I384" t="s">
        <v>13</v>
      </c>
      <c r="J384" t="s">
        <v>11</v>
      </c>
      <c r="K384">
        <f>_xlfn.XLOOKUP(tbl_analysis_tickets[[#This Row],[priority]],tbl_sla[priority],tbl_sla[Resolution SLA Hours])</f>
        <v>8</v>
      </c>
      <c r="L384">
        <f>_xlfn.XLOOKUP(tbl_analysis_tickets[[#This Row],[priority]],tbl_sla[priority],tbl_sla[First Response SLA Minutes])</f>
        <v>30</v>
      </c>
      <c r="M384" t="str">
        <f>IF(tbl_analysis_tickets[[#This Row],[resolution_time_hours]]&gt;tbl_analysis_tickets[[#This Row],[Resolution SLA Hours]],"Breached","Within SLA")</f>
        <v>Breached</v>
      </c>
      <c r="N384" t="str">
        <f>IF(tbl_analysis_tickets[[#This Row],[first_response_minutes]]&gt;tbl_analysis_tickets[[#This Row],[First Response SLA Minutes]],"Breached","Within SLA")</f>
        <v>Breached</v>
      </c>
      <c r="O384" t="str" cm="1">
        <f t="array" ref="O384">_xlfn.IFS(
tbl_analysis_tickets[[#This Row],[agent_experience_years]]&lt;=2,"Junior",
tbl_analysis_tickets[[#This Row],[agent_experience_years]]&lt;=5,"Mid-Level",
tbl_analysis_tickets[[#This Row],[agent_experience_years]]&lt;=8,"Senior",
tbl_analysis_tickets[[#This Row],[agent_experience_years]]&gt;8,"Expert"
)</f>
        <v>Mid-Level</v>
      </c>
      <c r="P384" cm="1">
        <f t="array" ref="P384">_xlfn.SWITCH(tbl_analysis_tickets[[#This Row],[customer_satisfaction]],
"Low",1,
"Medium",2,
"High",3
)</f>
        <v>1</v>
      </c>
      <c r="Q384">
        <f>IF(tbl_analysis_tickets[[#This Row],[reopened]]="Yes",1,0)</f>
        <v>1</v>
      </c>
      <c r="R384" t="str" cm="1">
        <f t="array" ref="R384">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384" t="str" cm="1">
        <f t="array" ref="S38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384" t="str">
        <f>TEXT(tbl_analysis_tickets[[#This Row],[created_date]],"mmm-yyyy")</f>
        <v>Jun-2024</v>
      </c>
      <c r="U384" t="str">
        <f>TEXT(tbl_analysis_tickets[[#This Row],[created_date]],"dddd")</f>
        <v>Thursday</v>
      </c>
      <c r="V384" cm="1">
        <f t="array" ref="V384">_xlfn.SWITCH(tbl_analysis_tickets[[#This Row],[priority]],
"Urgent",1,
"High",2,
"Medium",3,
"Low",4
)</f>
        <v>1</v>
      </c>
    </row>
    <row r="385" spans="1:22" x14ac:dyDescent="0.25">
      <c r="A385">
        <v>384</v>
      </c>
      <c r="B385" s="1">
        <v>45630</v>
      </c>
      <c r="C385" t="s">
        <v>22</v>
      </c>
      <c r="D385" t="s">
        <v>20</v>
      </c>
      <c r="E385">
        <v>28</v>
      </c>
      <c r="F385">
        <v>1</v>
      </c>
      <c r="G385">
        <v>10</v>
      </c>
      <c r="H385" t="s">
        <v>12</v>
      </c>
      <c r="I385" t="s">
        <v>13</v>
      </c>
      <c r="J385" t="s">
        <v>20</v>
      </c>
      <c r="K385">
        <f>_xlfn.XLOOKUP(tbl_analysis_tickets[[#This Row],[priority]],tbl_sla[priority],tbl_sla[Resolution SLA Hours])</f>
        <v>24</v>
      </c>
      <c r="L385">
        <f>_xlfn.XLOOKUP(tbl_analysis_tickets[[#This Row],[priority]],tbl_sla[priority],tbl_sla[First Response SLA Minutes])</f>
        <v>60</v>
      </c>
      <c r="M385" t="str">
        <f>IF(tbl_analysis_tickets[[#This Row],[resolution_time_hours]]&gt;tbl_analysis_tickets[[#This Row],[Resolution SLA Hours]],"Breached","Within SLA")</f>
        <v>Within SLA</v>
      </c>
      <c r="N385" t="str">
        <f>IF(tbl_analysis_tickets[[#This Row],[first_response_minutes]]&gt;tbl_analysis_tickets[[#This Row],[First Response SLA Minutes]],"Breached","Within SLA")</f>
        <v>Within SLA</v>
      </c>
      <c r="O385" t="str" cm="1">
        <f t="array" ref="O385">_xlfn.IFS(
tbl_analysis_tickets[[#This Row],[agent_experience_years]]&lt;=2,"Junior",
tbl_analysis_tickets[[#This Row],[agent_experience_years]]&lt;=5,"Mid-Level",
tbl_analysis_tickets[[#This Row],[agent_experience_years]]&lt;=8,"Senior",
tbl_analysis_tickets[[#This Row],[agent_experience_years]]&gt;8,"Expert"
)</f>
        <v>Expert</v>
      </c>
      <c r="P385" cm="1">
        <f t="array" ref="P385">_xlfn.SWITCH(tbl_analysis_tickets[[#This Row],[customer_satisfaction]],
"Low",1,
"Medium",2,
"High",3
)</f>
        <v>3</v>
      </c>
      <c r="Q385">
        <f>IF(tbl_analysis_tickets[[#This Row],[reopened]]="Yes",1,0)</f>
        <v>1</v>
      </c>
      <c r="R385" t="str" cm="1">
        <f t="array" ref="R385">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385" t="str" cm="1">
        <f t="array" ref="S38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385" t="str">
        <f>TEXT(tbl_analysis_tickets[[#This Row],[created_date]],"mmm-yyyy")</f>
        <v>Dec-2024</v>
      </c>
      <c r="U385" t="str">
        <f>TEXT(tbl_analysis_tickets[[#This Row],[created_date]],"dddd")</f>
        <v>Wednesday</v>
      </c>
      <c r="V385" cm="1">
        <f t="array" ref="V385">_xlfn.SWITCH(tbl_analysis_tickets[[#This Row],[priority]],
"Urgent",1,
"High",2,
"Medium",3,
"Low",4
)</f>
        <v>2</v>
      </c>
    </row>
    <row r="386" spans="1:22" x14ac:dyDescent="0.25">
      <c r="A386">
        <v>385</v>
      </c>
      <c r="B386" s="1">
        <v>45574</v>
      </c>
      <c r="C386" t="s">
        <v>21</v>
      </c>
      <c r="D386" t="s">
        <v>11</v>
      </c>
      <c r="E386">
        <v>228</v>
      </c>
      <c r="F386">
        <v>6</v>
      </c>
      <c r="G386">
        <v>7.9</v>
      </c>
      <c r="H386" t="s">
        <v>12</v>
      </c>
      <c r="I386" t="s">
        <v>16</v>
      </c>
      <c r="J386" t="s">
        <v>15</v>
      </c>
      <c r="K386">
        <f>_xlfn.XLOOKUP(tbl_analysis_tickets[[#This Row],[priority]],tbl_sla[priority],tbl_sla[Resolution SLA Hours])</f>
        <v>72</v>
      </c>
      <c r="L386">
        <f>_xlfn.XLOOKUP(tbl_analysis_tickets[[#This Row],[priority]],tbl_sla[priority],tbl_sla[First Response SLA Minutes])</f>
        <v>240</v>
      </c>
      <c r="M386" t="str">
        <f>IF(tbl_analysis_tickets[[#This Row],[resolution_time_hours]]&gt;tbl_analysis_tickets[[#This Row],[Resolution SLA Hours]],"Breached","Within SLA")</f>
        <v>Within SLA</v>
      </c>
      <c r="N386" t="str">
        <f>IF(tbl_analysis_tickets[[#This Row],[first_response_minutes]]&gt;tbl_analysis_tickets[[#This Row],[First Response SLA Minutes]],"Breached","Within SLA")</f>
        <v>Within SLA</v>
      </c>
      <c r="O386" t="str" cm="1">
        <f t="array" ref="O386">_xlfn.IFS(
tbl_analysis_tickets[[#This Row],[agent_experience_years]]&lt;=2,"Junior",
tbl_analysis_tickets[[#This Row],[agent_experience_years]]&lt;=5,"Mid-Level",
tbl_analysis_tickets[[#This Row],[agent_experience_years]]&lt;=8,"Senior",
tbl_analysis_tickets[[#This Row],[agent_experience_years]]&gt;8,"Expert"
)</f>
        <v>Senior</v>
      </c>
      <c r="P386" cm="1">
        <f t="array" ref="P386">_xlfn.SWITCH(tbl_analysis_tickets[[#This Row],[customer_satisfaction]],
"Low",1,
"Medium",2,
"High",3
)</f>
        <v>2</v>
      </c>
      <c r="Q386">
        <f>IF(tbl_analysis_tickets[[#This Row],[reopened]]="Yes",1,0)</f>
        <v>1</v>
      </c>
      <c r="R386" t="str" cm="1">
        <f t="array" ref="R386">_xlfn.IFS(
tbl_analysis_tickets[[#This Row],[first_response_minutes]]&lt;=30,"Very Fast",
tbl_analysis_tickets[[#This Row],[first_response_minutes]]&lt;=120,"Acceptable",
tbl_analysis_tickets[[#This Row],[first_response_minutes]]&lt;=240,"Slow",
tbl_analysis_tickets[[#This Row],[first_response_minutes]]&gt;240,"Very Slow"
)</f>
        <v>Slow</v>
      </c>
      <c r="S386" t="str" cm="1">
        <f t="array" ref="S38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386" t="str">
        <f>TEXT(tbl_analysis_tickets[[#This Row],[created_date]],"mmm-yyyy")</f>
        <v>Oct-2024</v>
      </c>
      <c r="U386" t="str">
        <f>TEXT(tbl_analysis_tickets[[#This Row],[created_date]],"dddd")</f>
        <v>Wednesday</v>
      </c>
      <c r="V386" cm="1">
        <f t="array" ref="V386">_xlfn.SWITCH(tbl_analysis_tickets[[#This Row],[priority]],
"Urgent",1,
"High",2,
"Medium",3,
"Low",4
)</f>
        <v>4</v>
      </c>
    </row>
    <row r="387" spans="1:22" x14ac:dyDescent="0.25">
      <c r="A387">
        <v>386</v>
      </c>
      <c r="B387" s="1">
        <v>45524</v>
      </c>
      <c r="C387" t="s">
        <v>22</v>
      </c>
      <c r="D387" t="s">
        <v>17</v>
      </c>
      <c r="E387">
        <v>90</v>
      </c>
      <c r="F387">
        <v>47</v>
      </c>
      <c r="G387">
        <v>4.2</v>
      </c>
      <c r="H387" t="s">
        <v>12</v>
      </c>
      <c r="I387" t="s">
        <v>19</v>
      </c>
      <c r="J387" t="s">
        <v>11</v>
      </c>
      <c r="K387">
        <f>_xlfn.XLOOKUP(tbl_analysis_tickets[[#This Row],[priority]],tbl_sla[priority],tbl_sla[Resolution SLA Hours])</f>
        <v>8</v>
      </c>
      <c r="L387">
        <f>_xlfn.XLOOKUP(tbl_analysis_tickets[[#This Row],[priority]],tbl_sla[priority],tbl_sla[First Response SLA Minutes])</f>
        <v>30</v>
      </c>
      <c r="M387" t="str">
        <f>IF(tbl_analysis_tickets[[#This Row],[resolution_time_hours]]&gt;tbl_analysis_tickets[[#This Row],[Resolution SLA Hours]],"Breached","Within SLA")</f>
        <v>Breached</v>
      </c>
      <c r="N387" t="str">
        <f>IF(tbl_analysis_tickets[[#This Row],[first_response_minutes]]&gt;tbl_analysis_tickets[[#This Row],[First Response SLA Minutes]],"Breached","Within SLA")</f>
        <v>Breached</v>
      </c>
      <c r="O387" t="str" cm="1">
        <f t="array" ref="O387">_xlfn.IFS(
tbl_analysis_tickets[[#This Row],[agent_experience_years]]&lt;=2,"Junior",
tbl_analysis_tickets[[#This Row],[agent_experience_years]]&lt;=5,"Mid-Level",
tbl_analysis_tickets[[#This Row],[agent_experience_years]]&lt;=8,"Senior",
tbl_analysis_tickets[[#This Row],[agent_experience_years]]&gt;8,"Expert"
)</f>
        <v>Mid-Level</v>
      </c>
      <c r="P387" cm="1">
        <f t="array" ref="P387">_xlfn.SWITCH(tbl_analysis_tickets[[#This Row],[customer_satisfaction]],
"Low",1,
"Medium",2,
"High",3
)</f>
        <v>1</v>
      </c>
      <c r="Q387">
        <f>IF(tbl_analysis_tickets[[#This Row],[reopened]]="Yes",1,0)</f>
        <v>1</v>
      </c>
      <c r="R387" t="str" cm="1">
        <f t="array" ref="R387">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387" t="str" cm="1">
        <f t="array" ref="S38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387" t="str">
        <f>TEXT(tbl_analysis_tickets[[#This Row],[created_date]],"mmm-yyyy")</f>
        <v>Aug-2024</v>
      </c>
      <c r="U387" t="str">
        <f>TEXT(tbl_analysis_tickets[[#This Row],[created_date]],"dddd")</f>
        <v>Tuesday</v>
      </c>
      <c r="V387" cm="1">
        <f t="array" ref="V387">_xlfn.SWITCH(tbl_analysis_tickets[[#This Row],[priority]],
"Urgent",1,
"High",2,
"Medium",3,
"Low",4
)</f>
        <v>1</v>
      </c>
    </row>
    <row r="388" spans="1:22" x14ac:dyDescent="0.25">
      <c r="A388">
        <v>387</v>
      </c>
      <c r="B388" s="1">
        <v>45460</v>
      </c>
      <c r="C388" t="s">
        <v>10</v>
      </c>
      <c r="D388" t="s">
        <v>15</v>
      </c>
      <c r="E388">
        <v>10</v>
      </c>
      <c r="F388">
        <v>25</v>
      </c>
      <c r="G388">
        <v>0.9</v>
      </c>
      <c r="H388" t="s">
        <v>12</v>
      </c>
      <c r="I388" t="s">
        <v>13</v>
      </c>
      <c r="J388" t="s">
        <v>15</v>
      </c>
      <c r="K388">
        <f>_xlfn.XLOOKUP(tbl_analysis_tickets[[#This Row],[priority]],tbl_sla[priority],tbl_sla[Resolution SLA Hours])</f>
        <v>48</v>
      </c>
      <c r="L388">
        <f>_xlfn.XLOOKUP(tbl_analysis_tickets[[#This Row],[priority]],tbl_sla[priority],tbl_sla[First Response SLA Minutes])</f>
        <v>120</v>
      </c>
      <c r="M388" t="str">
        <f>IF(tbl_analysis_tickets[[#This Row],[resolution_time_hours]]&gt;tbl_analysis_tickets[[#This Row],[Resolution SLA Hours]],"Breached","Within SLA")</f>
        <v>Within SLA</v>
      </c>
      <c r="N388" t="str">
        <f>IF(tbl_analysis_tickets[[#This Row],[first_response_minutes]]&gt;tbl_analysis_tickets[[#This Row],[First Response SLA Minutes]],"Breached","Within SLA")</f>
        <v>Within SLA</v>
      </c>
      <c r="O388" t="str" cm="1">
        <f t="array" ref="O388">_xlfn.IFS(
tbl_analysis_tickets[[#This Row],[agent_experience_years]]&lt;=2,"Junior",
tbl_analysis_tickets[[#This Row],[agent_experience_years]]&lt;=5,"Mid-Level",
tbl_analysis_tickets[[#This Row],[agent_experience_years]]&lt;=8,"Senior",
tbl_analysis_tickets[[#This Row],[agent_experience_years]]&gt;8,"Expert"
)</f>
        <v>Junior</v>
      </c>
      <c r="P388" cm="1">
        <f t="array" ref="P388">_xlfn.SWITCH(tbl_analysis_tickets[[#This Row],[customer_satisfaction]],
"Low",1,
"Medium",2,
"High",3
)</f>
        <v>2</v>
      </c>
      <c r="Q388">
        <f>IF(tbl_analysis_tickets[[#This Row],[reopened]]="Yes",1,0)</f>
        <v>1</v>
      </c>
      <c r="R388" t="str" cm="1">
        <f t="array" ref="R388">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388" t="str" cm="1">
        <f t="array" ref="S38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388" t="str">
        <f>TEXT(tbl_analysis_tickets[[#This Row],[created_date]],"mmm-yyyy")</f>
        <v>Jun-2024</v>
      </c>
      <c r="U388" t="str">
        <f>TEXT(tbl_analysis_tickets[[#This Row],[created_date]],"dddd")</f>
        <v>Monday</v>
      </c>
      <c r="V388" cm="1">
        <f t="array" ref="V388">_xlfn.SWITCH(tbl_analysis_tickets[[#This Row],[priority]],
"Urgent",1,
"High",2,
"Medium",3,
"Low",4
)</f>
        <v>3</v>
      </c>
    </row>
    <row r="389" spans="1:22" x14ac:dyDescent="0.25">
      <c r="A389">
        <v>388</v>
      </c>
      <c r="B389" s="1">
        <v>45442</v>
      </c>
      <c r="C389" t="s">
        <v>14</v>
      </c>
      <c r="D389" t="s">
        <v>15</v>
      </c>
      <c r="E389">
        <v>128</v>
      </c>
      <c r="F389">
        <v>50</v>
      </c>
      <c r="G389">
        <v>0.6</v>
      </c>
      <c r="H389" t="s">
        <v>12</v>
      </c>
      <c r="I389" t="s">
        <v>16</v>
      </c>
      <c r="J389" t="s">
        <v>11</v>
      </c>
      <c r="K389">
        <f>_xlfn.XLOOKUP(tbl_analysis_tickets[[#This Row],[priority]],tbl_sla[priority],tbl_sla[Resolution SLA Hours])</f>
        <v>48</v>
      </c>
      <c r="L389">
        <f>_xlfn.XLOOKUP(tbl_analysis_tickets[[#This Row],[priority]],tbl_sla[priority],tbl_sla[First Response SLA Minutes])</f>
        <v>120</v>
      </c>
      <c r="M389" t="str">
        <f>IF(tbl_analysis_tickets[[#This Row],[resolution_time_hours]]&gt;tbl_analysis_tickets[[#This Row],[Resolution SLA Hours]],"Breached","Within SLA")</f>
        <v>Breached</v>
      </c>
      <c r="N389" t="str">
        <f>IF(tbl_analysis_tickets[[#This Row],[first_response_minutes]]&gt;tbl_analysis_tickets[[#This Row],[First Response SLA Minutes]],"Breached","Within SLA")</f>
        <v>Breached</v>
      </c>
      <c r="O389" t="str" cm="1">
        <f t="array" ref="O389">_xlfn.IFS(
tbl_analysis_tickets[[#This Row],[agent_experience_years]]&lt;=2,"Junior",
tbl_analysis_tickets[[#This Row],[agent_experience_years]]&lt;=5,"Mid-Level",
tbl_analysis_tickets[[#This Row],[agent_experience_years]]&lt;=8,"Senior",
tbl_analysis_tickets[[#This Row],[agent_experience_years]]&gt;8,"Expert"
)</f>
        <v>Junior</v>
      </c>
      <c r="P389" cm="1">
        <f t="array" ref="P389">_xlfn.SWITCH(tbl_analysis_tickets[[#This Row],[customer_satisfaction]],
"Low",1,
"Medium",2,
"High",3
)</f>
        <v>1</v>
      </c>
      <c r="Q389">
        <f>IF(tbl_analysis_tickets[[#This Row],[reopened]]="Yes",1,0)</f>
        <v>1</v>
      </c>
      <c r="R389" t="str" cm="1">
        <f t="array" ref="R389">_xlfn.IFS(
tbl_analysis_tickets[[#This Row],[first_response_minutes]]&lt;=30,"Very Fast",
tbl_analysis_tickets[[#This Row],[first_response_minutes]]&lt;=120,"Acceptable",
tbl_analysis_tickets[[#This Row],[first_response_minutes]]&lt;=240,"Slow",
tbl_analysis_tickets[[#This Row],[first_response_minutes]]&gt;240,"Very Slow"
)</f>
        <v>Slow</v>
      </c>
      <c r="S389" t="str" cm="1">
        <f t="array" ref="S38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389" t="str">
        <f>TEXT(tbl_analysis_tickets[[#This Row],[created_date]],"mmm-yyyy")</f>
        <v>May-2024</v>
      </c>
      <c r="U389" t="str">
        <f>TEXT(tbl_analysis_tickets[[#This Row],[created_date]],"dddd")</f>
        <v>Thursday</v>
      </c>
      <c r="V389" cm="1">
        <f t="array" ref="V389">_xlfn.SWITCH(tbl_analysis_tickets[[#This Row],[priority]],
"Urgent",1,
"High",2,
"Medium",3,
"Low",4
)</f>
        <v>3</v>
      </c>
    </row>
    <row r="390" spans="1:22" x14ac:dyDescent="0.25">
      <c r="A390">
        <v>389</v>
      </c>
      <c r="B390" s="1">
        <v>45537</v>
      </c>
      <c r="C390" t="s">
        <v>14</v>
      </c>
      <c r="D390" t="s">
        <v>15</v>
      </c>
      <c r="E390">
        <v>107</v>
      </c>
      <c r="F390">
        <v>71</v>
      </c>
      <c r="G390">
        <v>7.7</v>
      </c>
      <c r="H390" t="s">
        <v>12</v>
      </c>
      <c r="I390" t="s">
        <v>16</v>
      </c>
      <c r="J390" t="s">
        <v>11</v>
      </c>
      <c r="K390">
        <f>_xlfn.XLOOKUP(tbl_analysis_tickets[[#This Row],[priority]],tbl_sla[priority],tbl_sla[Resolution SLA Hours])</f>
        <v>48</v>
      </c>
      <c r="L390">
        <f>_xlfn.XLOOKUP(tbl_analysis_tickets[[#This Row],[priority]],tbl_sla[priority],tbl_sla[First Response SLA Minutes])</f>
        <v>120</v>
      </c>
      <c r="M390" t="str">
        <f>IF(tbl_analysis_tickets[[#This Row],[resolution_time_hours]]&gt;tbl_analysis_tickets[[#This Row],[Resolution SLA Hours]],"Breached","Within SLA")</f>
        <v>Breached</v>
      </c>
      <c r="N390" t="str">
        <f>IF(tbl_analysis_tickets[[#This Row],[first_response_minutes]]&gt;tbl_analysis_tickets[[#This Row],[First Response SLA Minutes]],"Breached","Within SLA")</f>
        <v>Within SLA</v>
      </c>
      <c r="O390" t="str" cm="1">
        <f t="array" ref="O390">_xlfn.IFS(
tbl_analysis_tickets[[#This Row],[agent_experience_years]]&lt;=2,"Junior",
tbl_analysis_tickets[[#This Row],[agent_experience_years]]&lt;=5,"Mid-Level",
tbl_analysis_tickets[[#This Row],[agent_experience_years]]&lt;=8,"Senior",
tbl_analysis_tickets[[#This Row],[agent_experience_years]]&gt;8,"Expert"
)</f>
        <v>Senior</v>
      </c>
      <c r="P390" cm="1">
        <f t="array" ref="P390">_xlfn.SWITCH(tbl_analysis_tickets[[#This Row],[customer_satisfaction]],
"Low",1,
"Medium",2,
"High",3
)</f>
        <v>1</v>
      </c>
      <c r="Q390">
        <f>IF(tbl_analysis_tickets[[#This Row],[reopened]]="Yes",1,0)</f>
        <v>1</v>
      </c>
      <c r="R390" t="str" cm="1">
        <f t="array" ref="R390">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390" t="str" cm="1">
        <f t="array" ref="S39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390" t="str">
        <f>TEXT(tbl_analysis_tickets[[#This Row],[created_date]],"mmm-yyyy")</f>
        <v>Sep-2024</v>
      </c>
      <c r="U390" t="str">
        <f>TEXT(tbl_analysis_tickets[[#This Row],[created_date]],"dddd")</f>
        <v>Monday</v>
      </c>
      <c r="V390" cm="1">
        <f t="array" ref="V390">_xlfn.SWITCH(tbl_analysis_tickets[[#This Row],[priority]],
"Urgent",1,
"High",2,
"Medium",3,
"Low",4
)</f>
        <v>3</v>
      </c>
    </row>
    <row r="391" spans="1:22" x14ac:dyDescent="0.25">
      <c r="A391">
        <v>390</v>
      </c>
      <c r="B391" s="1">
        <v>45334</v>
      </c>
      <c r="C391" t="s">
        <v>21</v>
      </c>
      <c r="D391" t="s">
        <v>17</v>
      </c>
      <c r="E391">
        <v>83</v>
      </c>
      <c r="F391">
        <v>42</v>
      </c>
      <c r="G391">
        <v>3</v>
      </c>
      <c r="H391" t="s">
        <v>18</v>
      </c>
      <c r="I391" t="s">
        <v>13</v>
      </c>
      <c r="J391" t="s">
        <v>11</v>
      </c>
      <c r="K391">
        <f>_xlfn.XLOOKUP(tbl_analysis_tickets[[#This Row],[priority]],tbl_sla[priority],tbl_sla[Resolution SLA Hours])</f>
        <v>8</v>
      </c>
      <c r="L391">
        <f>_xlfn.XLOOKUP(tbl_analysis_tickets[[#This Row],[priority]],tbl_sla[priority],tbl_sla[First Response SLA Minutes])</f>
        <v>30</v>
      </c>
      <c r="M391" t="str">
        <f>IF(tbl_analysis_tickets[[#This Row],[resolution_time_hours]]&gt;tbl_analysis_tickets[[#This Row],[Resolution SLA Hours]],"Breached","Within SLA")</f>
        <v>Breached</v>
      </c>
      <c r="N391" t="str">
        <f>IF(tbl_analysis_tickets[[#This Row],[first_response_minutes]]&gt;tbl_analysis_tickets[[#This Row],[First Response SLA Minutes]],"Breached","Within SLA")</f>
        <v>Breached</v>
      </c>
      <c r="O391" t="str" cm="1">
        <f t="array" ref="O391">_xlfn.IFS(
tbl_analysis_tickets[[#This Row],[agent_experience_years]]&lt;=2,"Junior",
tbl_analysis_tickets[[#This Row],[agent_experience_years]]&lt;=5,"Mid-Level",
tbl_analysis_tickets[[#This Row],[agent_experience_years]]&lt;=8,"Senior",
tbl_analysis_tickets[[#This Row],[agent_experience_years]]&gt;8,"Expert"
)</f>
        <v>Mid-Level</v>
      </c>
      <c r="P391" cm="1">
        <f t="array" ref="P391">_xlfn.SWITCH(tbl_analysis_tickets[[#This Row],[customer_satisfaction]],
"Low",1,
"Medium",2,
"High",3
)</f>
        <v>1</v>
      </c>
      <c r="Q391">
        <f>IF(tbl_analysis_tickets[[#This Row],[reopened]]="Yes",1,0)</f>
        <v>0</v>
      </c>
      <c r="R391" t="str" cm="1">
        <f t="array" ref="R391">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391" t="str" cm="1">
        <f t="array" ref="S39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391" t="str">
        <f>TEXT(tbl_analysis_tickets[[#This Row],[created_date]],"mmm-yyyy")</f>
        <v>Feb-2024</v>
      </c>
      <c r="U391" t="str">
        <f>TEXT(tbl_analysis_tickets[[#This Row],[created_date]],"dddd")</f>
        <v>Monday</v>
      </c>
      <c r="V391" cm="1">
        <f t="array" ref="V391">_xlfn.SWITCH(tbl_analysis_tickets[[#This Row],[priority]],
"Urgent",1,
"High",2,
"Medium",3,
"Low",4
)</f>
        <v>1</v>
      </c>
    </row>
    <row r="392" spans="1:22" x14ac:dyDescent="0.25">
      <c r="A392">
        <v>391</v>
      </c>
      <c r="B392" s="1">
        <v>45554</v>
      </c>
      <c r="C392" t="s">
        <v>14</v>
      </c>
      <c r="D392" t="s">
        <v>20</v>
      </c>
      <c r="E392">
        <v>112</v>
      </c>
      <c r="F392">
        <v>38</v>
      </c>
      <c r="G392">
        <v>4.5</v>
      </c>
      <c r="H392" t="s">
        <v>18</v>
      </c>
      <c r="I392" t="s">
        <v>19</v>
      </c>
      <c r="J392" t="s">
        <v>11</v>
      </c>
      <c r="K392">
        <f>_xlfn.XLOOKUP(tbl_analysis_tickets[[#This Row],[priority]],tbl_sla[priority],tbl_sla[Resolution SLA Hours])</f>
        <v>24</v>
      </c>
      <c r="L392">
        <f>_xlfn.XLOOKUP(tbl_analysis_tickets[[#This Row],[priority]],tbl_sla[priority],tbl_sla[First Response SLA Minutes])</f>
        <v>60</v>
      </c>
      <c r="M392" t="str">
        <f>IF(tbl_analysis_tickets[[#This Row],[resolution_time_hours]]&gt;tbl_analysis_tickets[[#This Row],[Resolution SLA Hours]],"Breached","Within SLA")</f>
        <v>Breached</v>
      </c>
      <c r="N392" t="str">
        <f>IF(tbl_analysis_tickets[[#This Row],[first_response_minutes]]&gt;tbl_analysis_tickets[[#This Row],[First Response SLA Minutes]],"Breached","Within SLA")</f>
        <v>Breached</v>
      </c>
      <c r="O392" t="str" cm="1">
        <f t="array" ref="O392">_xlfn.IFS(
tbl_analysis_tickets[[#This Row],[agent_experience_years]]&lt;=2,"Junior",
tbl_analysis_tickets[[#This Row],[agent_experience_years]]&lt;=5,"Mid-Level",
tbl_analysis_tickets[[#This Row],[agent_experience_years]]&lt;=8,"Senior",
tbl_analysis_tickets[[#This Row],[agent_experience_years]]&gt;8,"Expert"
)</f>
        <v>Mid-Level</v>
      </c>
      <c r="P392" cm="1">
        <f t="array" ref="P392">_xlfn.SWITCH(tbl_analysis_tickets[[#This Row],[customer_satisfaction]],
"Low",1,
"Medium",2,
"High",3
)</f>
        <v>1</v>
      </c>
      <c r="Q392">
        <f>IF(tbl_analysis_tickets[[#This Row],[reopened]]="Yes",1,0)</f>
        <v>0</v>
      </c>
      <c r="R392" t="str" cm="1">
        <f t="array" ref="R392">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392" t="str" cm="1">
        <f t="array" ref="S39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392" t="str">
        <f>TEXT(tbl_analysis_tickets[[#This Row],[created_date]],"mmm-yyyy")</f>
        <v>Sep-2024</v>
      </c>
      <c r="U392" t="str">
        <f>TEXT(tbl_analysis_tickets[[#This Row],[created_date]],"dddd")</f>
        <v>Thursday</v>
      </c>
      <c r="V392" cm="1">
        <f t="array" ref="V392">_xlfn.SWITCH(tbl_analysis_tickets[[#This Row],[priority]],
"Urgent",1,
"High",2,
"Medium",3,
"Low",4
)</f>
        <v>2</v>
      </c>
    </row>
    <row r="393" spans="1:22" x14ac:dyDescent="0.25">
      <c r="A393">
        <v>392</v>
      </c>
      <c r="B393" s="1">
        <v>45493</v>
      </c>
      <c r="C393" t="s">
        <v>21</v>
      </c>
      <c r="D393" t="s">
        <v>17</v>
      </c>
      <c r="E393">
        <v>107</v>
      </c>
      <c r="F393">
        <v>7</v>
      </c>
      <c r="G393">
        <v>3.5</v>
      </c>
      <c r="H393" t="s">
        <v>18</v>
      </c>
      <c r="I393" t="s">
        <v>16</v>
      </c>
      <c r="J393" t="s">
        <v>11</v>
      </c>
      <c r="K393">
        <f>_xlfn.XLOOKUP(tbl_analysis_tickets[[#This Row],[priority]],tbl_sla[priority],tbl_sla[Resolution SLA Hours])</f>
        <v>8</v>
      </c>
      <c r="L393">
        <f>_xlfn.XLOOKUP(tbl_analysis_tickets[[#This Row],[priority]],tbl_sla[priority],tbl_sla[First Response SLA Minutes])</f>
        <v>30</v>
      </c>
      <c r="M393" t="str">
        <f>IF(tbl_analysis_tickets[[#This Row],[resolution_time_hours]]&gt;tbl_analysis_tickets[[#This Row],[Resolution SLA Hours]],"Breached","Within SLA")</f>
        <v>Within SLA</v>
      </c>
      <c r="N393" t="str">
        <f>IF(tbl_analysis_tickets[[#This Row],[first_response_minutes]]&gt;tbl_analysis_tickets[[#This Row],[First Response SLA Minutes]],"Breached","Within SLA")</f>
        <v>Breached</v>
      </c>
      <c r="O393" t="str" cm="1">
        <f t="array" ref="O393">_xlfn.IFS(
tbl_analysis_tickets[[#This Row],[agent_experience_years]]&lt;=2,"Junior",
tbl_analysis_tickets[[#This Row],[agent_experience_years]]&lt;=5,"Mid-Level",
tbl_analysis_tickets[[#This Row],[agent_experience_years]]&lt;=8,"Senior",
tbl_analysis_tickets[[#This Row],[agent_experience_years]]&gt;8,"Expert"
)</f>
        <v>Mid-Level</v>
      </c>
      <c r="P393" cm="1">
        <f t="array" ref="P393">_xlfn.SWITCH(tbl_analysis_tickets[[#This Row],[customer_satisfaction]],
"Low",1,
"Medium",2,
"High",3
)</f>
        <v>1</v>
      </c>
      <c r="Q393">
        <f>IF(tbl_analysis_tickets[[#This Row],[reopened]]="Yes",1,0)</f>
        <v>0</v>
      </c>
      <c r="R393" t="str" cm="1">
        <f t="array" ref="R393">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393" t="str" cm="1">
        <f t="array" ref="S39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393" t="str">
        <f>TEXT(tbl_analysis_tickets[[#This Row],[created_date]],"mmm-yyyy")</f>
        <v>Jul-2024</v>
      </c>
      <c r="U393" t="str">
        <f>TEXT(tbl_analysis_tickets[[#This Row],[created_date]],"dddd")</f>
        <v>Saturday</v>
      </c>
      <c r="V393" cm="1">
        <f t="array" ref="V393">_xlfn.SWITCH(tbl_analysis_tickets[[#This Row],[priority]],
"Urgent",1,
"High",2,
"Medium",3,
"Low",4
)</f>
        <v>1</v>
      </c>
    </row>
    <row r="394" spans="1:22" x14ac:dyDescent="0.25">
      <c r="A394">
        <v>393</v>
      </c>
      <c r="B394" s="1">
        <v>45605</v>
      </c>
      <c r="C394" t="s">
        <v>22</v>
      </c>
      <c r="D394" t="s">
        <v>15</v>
      </c>
      <c r="E394">
        <v>28</v>
      </c>
      <c r="F394">
        <v>17</v>
      </c>
      <c r="G394">
        <v>6.4</v>
      </c>
      <c r="H394" t="s">
        <v>12</v>
      </c>
      <c r="I394" t="s">
        <v>19</v>
      </c>
      <c r="J394" t="s">
        <v>15</v>
      </c>
      <c r="K394">
        <f>_xlfn.XLOOKUP(tbl_analysis_tickets[[#This Row],[priority]],tbl_sla[priority],tbl_sla[Resolution SLA Hours])</f>
        <v>48</v>
      </c>
      <c r="L394">
        <f>_xlfn.XLOOKUP(tbl_analysis_tickets[[#This Row],[priority]],tbl_sla[priority],tbl_sla[First Response SLA Minutes])</f>
        <v>120</v>
      </c>
      <c r="M394" t="str">
        <f>IF(tbl_analysis_tickets[[#This Row],[resolution_time_hours]]&gt;tbl_analysis_tickets[[#This Row],[Resolution SLA Hours]],"Breached","Within SLA")</f>
        <v>Within SLA</v>
      </c>
      <c r="N394" t="str">
        <f>IF(tbl_analysis_tickets[[#This Row],[first_response_minutes]]&gt;tbl_analysis_tickets[[#This Row],[First Response SLA Minutes]],"Breached","Within SLA")</f>
        <v>Within SLA</v>
      </c>
      <c r="O394" t="str" cm="1">
        <f t="array" ref="O394">_xlfn.IFS(
tbl_analysis_tickets[[#This Row],[agent_experience_years]]&lt;=2,"Junior",
tbl_analysis_tickets[[#This Row],[agent_experience_years]]&lt;=5,"Mid-Level",
tbl_analysis_tickets[[#This Row],[agent_experience_years]]&lt;=8,"Senior",
tbl_analysis_tickets[[#This Row],[agent_experience_years]]&gt;8,"Expert"
)</f>
        <v>Senior</v>
      </c>
      <c r="P394" cm="1">
        <f t="array" ref="P394">_xlfn.SWITCH(tbl_analysis_tickets[[#This Row],[customer_satisfaction]],
"Low",1,
"Medium",2,
"High",3
)</f>
        <v>2</v>
      </c>
      <c r="Q394">
        <f>IF(tbl_analysis_tickets[[#This Row],[reopened]]="Yes",1,0)</f>
        <v>1</v>
      </c>
      <c r="R394" t="str" cm="1">
        <f t="array" ref="R394">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394" t="str" cm="1">
        <f t="array" ref="S39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394" t="str">
        <f>TEXT(tbl_analysis_tickets[[#This Row],[created_date]],"mmm-yyyy")</f>
        <v>Nov-2024</v>
      </c>
      <c r="U394" t="str">
        <f>TEXT(tbl_analysis_tickets[[#This Row],[created_date]],"dddd")</f>
        <v>Saturday</v>
      </c>
      <c r="V394" cm="1">
        <f t="array" ref="V394">_xlfn.SWITCH(tbl_analysis_tickets[[#This Row],[priority]],
"Urgent",1,
"High",2,
"Medium",3,
"Low",4
)</f>
        <v>3</v>
      </c>
    </row>
    <row r="395" spans="1:22" x14ac:dyDescent="0.25">
      <c r="A395">
        <v>394</v>
      </c>
      <c r="B395" s="1">
        <v>45431</v>
      </c>
      <c r="C395" t="s">
        <v>14</v>
      </c>
      <c r="D395" t="s">
        <v>17</v>
      </c>
      <c r="E395">
        <v>28</v>
      </c>
      <c r="F395">
        <v>1</v>
      </c>
      <c r="G395">
        <v>2.1</v>
      </c>
      <c r="H395" t="s">
        <v>18</v>
      </c>
      <c r="I395" t="s">
        <v>16</v>
      </c>
      <c r="J395" t="s">
        <v>20</v>
      </c>
      <c r="K395">
        <f>_xlfn.XLOOKUP(tbl_analysis_tickets[[#This Row],[priority]],tbl_sla[priority],tbl_sla[Resolution SLA Hours])</f>
        <v>8</v>
      </c>
      <c r="L395">
        <f>_xlfn.XLOOKUP(tbl_analysis_tickets[[#This Row],[priority]],tbl_sla[priority],tbl_sla[First Response SLA Minutes])</f>
        <v>30</v>
      </c>
      <c r="M395" t="str">
        <f>IF(tbl_analysis_tickets[[#This Row],[resolution_time_hours]]&gt;tbl_analysis_tickets[[#This Row],[Resolution SLA Hours]],"Breached","Within SLA")</f>
        <v>Within SLA</v>
      </c>
      <c r="N395" t="str">
        <f>IF(tbl_analysis_tickets[[#This Row],[first_response_minutes]]&gt;tbl_analysis_tickets[[#This Row],[First Response SLA Minutes]],"Breached","Within SLA")</f>
        <v>Within SLA</v>
      </c>
      <c r="O395" t="str" cm="1">
        <f t="array" ref="O395">_xlfn.IFS(
tbl_analysis_tickets[[#This Row],[agent_experience_years]]&lt;=2,"Junior",
tbl_analysis_tickets[[#This Row],[agent_experience_years]]&lt;=5,"Mid-Level",
tbl_analysis_tickets[[#This Row],[agent_experience_years]]&lt;=8,"Senior",
tbl_analysis_tickets[[#This Row],[agent_experience_years]]&gt;8,"Expert"
)</f>
        <v>Mid-Level</v>
      </c>
      <c r="P395" cm="1">
        <f t="array" ref="P395">_xlfn.SWITCH(tbl_analysis_tickets[[#This Row],[customer_satisfaction]],
"Low",1,
"Medium",2,
"High",3
)</f>
        <v>3</v>
      </c>
      <c r="Q395">
        <f>IF(tbl_analysis_tickets[[#This Row],[reopened]]="Yes",1,0)</f>
        <v>0</v>
      </c>
      <c r="R395" t="str" cm="1">
        <f t="array" ref="R395">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395" t="str" cm="1">
        <f t="array" ref="S39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395" t="str">
        <f>TEXT(tbl_analysis_tickets[[#This Row],[created_date]],"mmm-yyyy")</f>
        <v>May-2024</v>
      </c>
      <c r="U395" t="str">
        <f>TEXT(tbl_analysis_tickets[[#This Row],[created_date]],"dddd")</f>
        <v>Sunday</v>
      </c>
      <c r="V395" cm="1">
        <f t="array" ref="V395">_xlfn.SWITCH(tbl_analysis_tickets[[#This Row],[priority]],
"Urgent",1,
"High",2,
"Medium",3,
"Low",4
)</f>
        <v>1</v>
      </c>
    </row>
    <row r="396" spans="1:22" x14ac:dyDescent="0.25">
      <c r="A396">
        <v>395</v>
      </c>
      <c r="B396" s="1">
        <v>45519</v>
      </c>
      <c r="C396" t="s">
        <v>21</v>
      </c>
      <c r="D396" t="s">
        <v>15</v>
      </c>
      <c r="E396">
        <v>197</v>
      </c>
      <c r="F396">
        <v>47</v>
      </c>
      <c r="G396">
        <v>6.1</v>
      </c>
      <c r="H396" t="s">
        <v>18</v>
      </c>
      <c r="I396" t="s">
        <v>19</v>
      </c>
      <c r="J396" t="s">
        <v>15</v>
      </c>
      <c r="K396">
        <f>_xlfn.XLOOKUP(tbl_analysis_tickets[[#This Row],[priority]],tbl_sla[priority],tbl_sla[Resolution SLA Hours])</f>
        <v>48</v>
      </c>
      <c r="L396">
        <f>_xlfn.XLOOKUP(tbl_analysis_tickets[[#This Row],[priority]],tbl_sla[priority],tbl_sla[First Response SLA Minutes])</f>
        <v>120</v>
      </c>
      <c r="M396" t="str">
        <f>IF(tbl_analysis_tickets[[#This Row],[resolution_time_hours]]&gt;tbl_analysis_tickets[[#This Row],[Resolution SLA Hours]],"Breached","Within SLA")</f>
        <v>Within SLA</v>
      </c>
      <c r="N396" t="str">
        <f>IF(tbl_analysis_tickets[[#This Row],[first_response_minutes]]&gt;tbl_analysis_tickets[[#This Row],[First Response SLA Minutes]],"Breached","Within SLA")</f>
        <v>Breached</v>
      </c>
      <c r="O396" t="str" cm="1">
        <f t="array" ref="O396">_xlfn.IFS(
tbl_analysis_tickets[[#This Row],[agent_experience_years]]&lt;=2,"Junior",
tbl_analysis_tickets[[#This Row],[agent_experience_years]]&lt;=5,"Mid-Level",
tbl_analysis_tickets[[#This Row],[agent_experience_years]]&lt;=8,"Senior",
tbl_analysis_tickets[[#This Row],[agent_experience_years]]&gt;8,"Expert"
)</f>
        <v>Senior</v>
      </c>
      <c r="P396" cm="1">
        <f t="array" ref="P396">_xlfn.SWITCH(tbl_analysis_tickets[[#This Row],[customer_satisfaction]],
"Low",1,
"Medium",2,
"High",3
)</f>
        <v>2</v>
      </c>
      <c r="Q396">
        <f>IF(tbl_analysis_tickets[[#This Row],[reopened]]="Yes",1,0)</f>
        <v>0</v>
      </c>
      <c r="R396" t="str" cm="1">
        <f t="array" ref="R396">_xlfn.IFS(
tbl_analysis_tickets[[#This Row],[first_response_minutes]]&lt;=30,"Very Fast",
tbl_analysis_tickets[[#This Row],[first_response_minutes]]&lt;=120,"Acceptable",
tbl_analysis_tickets[[#This Row],[first_response_minutes]]&lt;=240,"Slow",
tbl_analysis_tickets[[#This Row],[first_response_minutes]]&gt;240,"Very Slow"
)</f>
        <v>Slow</v>
      </c>
      <c r="S396" t="str" cm="1">
        <f t="array" ref="S39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396" t="str">
        <f>TEXT(tbl_analysis_tickets[[#This Row],[created_date]],"mmm-yyyy")</f>
        <v>Aug-2024</v>
      </c>
      <c r="U396" t="str">
        <f>TEXT(tbl_analysis_tickets[[#This Row],[created_date]],"dddd")</f>
        <v>Thursday</v>
      </c>
      <c r="V396" cm="1">
        <f t="array" ref="V396">_xlfn.SWITCH(tbl_analysis_tickets[[#This Row],[priority]],
"Urgent",1,
"High",2,
"Medium",3,
"Low",4
)</f>
        <v>3</v>
      </c>
    </row>
    <row r="397" spans="1:22" x14ac:dyDescent="0.25">
      <c r="A397">
        <v>396</v>
      </c>
      <c r="B397" s="1">
        <v>45351</v>
      </c>
      <c r="C397" t="s">
        <v>10</v>
      </c>
      <c r="D397" t="s">
        <v>11</v>
      </c>
      <c r="E397">
        <v>104</v>
      </c>
      <c r="F397">
        <v>10</v>
      </c>
      <c r="G397">
        <v>4.5999999999999996</v>
      </c>
      <c r="H397" t="s">
        <v>12</v>
      </c>
      <c r="I397" t="s">
        <v>16</v>
      </c>
      <c r="J397" t="s">
        <v>11</v>
      </c>
      <c r="K397">
        <f>_xlfn.XLOOKUP(tbl_analysis_tickets[[#This Row],[priority]],tbl_sla[priority],tbl_sla[Resolution SLA Hours])</f>
        <v>72</v>
      </c>
      <c r="L397">
        <f>_xlfn.XLOOKUP(tbl_analysis_tickets[[#This Row],[priority]],tbl_sla[priority],tbl_sla[First Response SLA Minutes])</f>
        <v>240</v>
      </c>
      <c r="M397" t="str">
        <f>IF(tbl_analysis_tickets[[#This Row],[resolution_time_hours]]&gt;tbl_analysis_tickets[[#This Row],[Resolution SLA Hours]],"Breached","Within SLA")</f>
        <v>Within SLA</v>
      </c>
      <c r="N397" t="str">
        <f>IF(tbl_analysis_tickets[[#This Row],[first_response_minutes]]&gt;tbl_analysis_tickets[[#This Row],[First Response SLA Minutes]],"Breached","Within SLA")</f>
        <v>Within SLA</v>
      </c>
      <c r="O397" t="str" cm="1">
        <f t="array" ref="O397">_xlfn.IFS(
tbl_analysis_tickets[[#This Row],[agent_experience_years]]&lt;=2,"Junior",
tbl_analysis_tickets[[#This Row],[agent_experience_years]]&lt;=5,"Mid-Level",
tbl_analysis_tickets[[#This Row],[agent_experience_years]]&lt;=8,"Senior",
tbl_analysis_tickets[[#This Row],[agent_experience_years]]&gt;8,"Expert"
)</f>
        <v>Mid-Level</v>
      </c>
      <c r="P397" cm="1">
        <f t="array" ref="P397">_xlfn.SWITCH(tbl_analysis_tickets[[#This Row],[customer_satisfaction]],
"Low",1,
"Medium",2,
"High",3
)</f>
        <v>1</v>
      </c>
      <c r="Q397">
        <f>IF(tbl_analysis_tickets[[#This Row],[reopened]]="Yes",1,0)</f>
        <v>1</v>
      </c>
      <c r="R397" t="str" cm="1">
        <f t="array" ref="R397">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397" t="str" cm="1">
        <f t="array" ref="S39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397" t="str">
        <f>TEXT(tbl_analysis_tickets[[#This Row],[created_date]],"mmm-yyyy")</f>
        <v>Feb-2024</v>
      </c>
      <c r="U397" t="str">
        <f>TEXT(tbl_analysis_tickets[[#This Row],[created_date]],"dddd")</f>
        <v>Thursday</v>
      </c>
      <c r="V397" cm="1">
        <f t="array" ref="V397">_xlfn.SWITCH(tbl_analysis_tickets[[#This Row],[priority]],
"Urgent",1,
"High",2,
"Medium",3,
"Low",4
)</f>
        <v>4</v>
      </c>
    </row>
    <row r="398" spans="1:22" x14ac:dyDescent="0.25">
      <c r="A398">
        <v>397</v>
      </c>
      <c r="B398" s="1">
        <v>45432</v>
      </c>
      <c r="C398" t="s">
        <v>21</v>
      </c>
      <c r="D398" t="s">
        <v>11</v>
      </c>
      <c r="E398">
        <v>150</v>
      </c>
      <c r="F398">
        <v>42</v>
      </c>
      <c r="G398">
        <v>4.5999999999999996</v>
      </c>
      <c r="H398" t="s">
        <v>12</v>
      </c>
      <c r="I398" t="s">
        <v>16</v>
      </c>
      <c r="J398" t="s">
        <v>11</v>
      </c>
      <c r="K398">
        <f>_xlfn.XLOOKUP(tbl_analysis_tickets[[#This Row],[priority]],tbl_sla[priority],tbl_sla[Resolution SLA Hours])</f>
        <v>72</v>
      </c>
      <c r="L398">
        <f>_xlfn.XLOOKUP(tbl_analysis_tickets[[#This Row],[priority]],tbl_sla[priority],tbl_sla[First Response SLA Minutes])</f>
        <v>240</v>
      </c>
      <c r="M398" t="str">
        <f>IF(tbl_analysis_tickets[[#This Row],[resolution_time_hours]]&gt;tbl_analysis_tickets[[#This Row],[Resolution SLA Hours]],"Breached","Within SLA")</f>
        <v>Within SLA</v>
      </c>
      <c r="N398" t="str">
        <f>IF(tbl_analysis_tickets[[#This Row],[first_response_minutes]]&gt;tbl_analysis_tickets[[#This Row],[First Response SLA Minutes]],"Breached","Within SLA")</f>
        <v>Within SLA</v>
      </c>
      <c r="O398" t="str" cm="1">
        <f t="array" ref="O398">_xlfn.IFS(
tbl_analysis_tickets[[#This Row],[agent_experience_years]]&lt;=2,"Junior",
tbl_analysis_tickets[[#This Row],[agent_experience_years]]&lt;=5,"Mid-Level",
tbl_analysis_tickets[[#This Row],[agent_experience_years]]&lt;=8,"Senior",
tbl_analysis_tickets[[#This Row],[agent_experience_years]]&gt;8,"Expert"
)</f>
        <v>Mid-Level</v>
      </c>
      <c r="P398" cm="1">
        <f t="array" ref="P398">_xlfn.SWITCH(tbl_analysis_tickets[[#This Row],[customer_satisfaction]],
"Low",1,
"Medium",2,
"High",3
)</f>
        <v>1</v>
      </c>
      <c r="Q398">
        <f>IF(tbl_analysis_tickets[[#This Row],[reopened]]="Yes",1,0)</f>
        <v>1</v>
      </c>
      <c r="R398" t="str" cm="1">
        <f t="array" ref="R398">_xlfn.IFS(
tbl_analysis_tickets[[#This Row],[first_response_minutes]]&lt;=30,"Very Fast",
tbl_analysis_tickets[[#This Row],[first_response_minutes]]&lt;=120,"Acceptable",
tbl_analysis_tickets[[#This Row],[first_response_minutes]]&lt;=240,"Slow",
tbl_analysis_tickets[[#This Row],[first_response_minutes]]&gt;240,"Very Slow"
)</f>
        <v>Slow</v>
      </c>
      <c r="S398" t="str" cm="1">
        <f t="array" ref="S39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398" t="str">
        <f>TEXT(tbl_analysis_tickets[[#This Row],[created_date]],"mmm-yyyy")</f>
        <v>May-2024</v>
      </c>
      <c r="U398" t="str">
        <f>TEXT(tbl_analysis_tickets[[#This Row],[created_date]],"dddd")</f>
        <v>Monday</v>
      </c>
      <c r="V398" cm="1">
        <f t="array" ref="V398">_xlfn.SWITCH(tbl_analysis_tickets[[#This Row],[priority]],
"Urgent",1,
"High",2,
"Medium",3,
"Low",4
)</f>
        <v>4</v>
      </c>
    </row>
    <row r="399" spans="1:22" x14ac:dyDescent="0.25">
      <c r="A399">
        <v>398</v>
      </c>
      <c r="B399" s="1">
        <v>45655</v>
      </c>
      <c r="C399" t="s">
        <v>23</v>
      </c>
      <c r="D399" t="s">
        <v>11</v>
      </c>
      <c r="E399">
        <v>14</v>
      </c>
      <c r="F399">
        <v>56</v>
      </c>
      <c r="G399">
        <v>7.7</v>
      </c>
      <c r="H399" t="s">
        <v>18</v>
      </c>
      <c r="I399" t="s">
        <v>19</v>
      </c>
      <c r="J399" t="s">
        <v>20</v>
      </c>
      <c r="K399">
        <f>_xlfn.XLOOKUP(tbl_analysis_tickets[[#This Row],[priority]],tbl_sla[priority],tbl_sla[Resolution SLA Hours])</f>
        <v>72</v>
      </c>
      <c r="L399">
        <f>_xlfn.XLOOKUP(tbl_analysis_tickets[[#This Row],[priority]],tbl_sla[priority],tbl_sla[First Response SLA Minutes])</f>
        <v>240</v>
      </c>
      <c r="M399" t="str">
        <f>IF(tbl_analysis_tickets[[#This Row],[resolution_time_hours]]&gt;tbl_analysis_tickets[[#This Row],[Resolution SLA Hours]],"Breached","Within SLA")</f>
        <v>Within SLA</v>
      </c>
      <c r="N399" t="str">
        <f>IF(tbl_analysis_tickets[[#This Row],[first_response_minutes]]&gt;tbl_analysis_tickets[[#This Row],[First Response SLA Minutes]],"Breached","Within SLA")</f>
        <v>Within SLA</v>
      </c>
      <c r="O399" t="str" cm="1">
        <f t="array" ref="O399">_xlfn.IFS(
tbl_analysis_tickets[[#This Row],[agent_experience_years]]&lt;=2,"Junior",
tbl_analysis_tickets[[#This Row],[agent_experience_years]]&lt;=5,"Mid-Level",
tbl_analysis_tickets[[#This Row],[agent_experience_years]]&lt;=8,"Senior",
tbl_analysis_tickets[[#This Row],[agent_experience_years]]&gt;8,"Expert"
)</f>
        <v>Senior</v>
      </c>
      <c r="P399" cm="1">
        <f t="array" ref="P399">_xlfn.SWITCH(tbl_analysis_tickets[[#This Row],[customer_satisfaction]],
"Low",1,
"Medium",2,
"High",3
)</f>
        <v>3</v>
      </c>
      <c r="Q399">
        <f>IF(tbl_analysis_tickets[[#This Row],[reopened]]="Yes",1,0)</f>
        <v>0</v>
      </c>
      <c r="R399" t="str" cm="1">
        <f t="array" ref="R399">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399" t="str" cm="1">
        <f t="array" ref="S39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399" t="str">
        <f>TEXT(tbl_analysis_tickets[[#This Row],[created_date]],"mmm-yyyy")</f>
        <v>Dec-2024</v>
      </c>
      <c r="U399" t="str">
        <f>TEXT(tbl_analysis_tickets[[#This Row],[created_date]],"dddd")</f>
        <v>Sunday</v>
      </c>
      <c r="V399" cm="1">
        <f t="array" ref="V399">_xlfn.SWITCH(tbl_analysis_tickets[[#This Row],[priority]],
"Urgent",1,
"High",2,
"Medium",3,
"Low",4
)</f>
        <v>4</v>
      </c>
    </row>
    <row r="400" spans="1:22" x14ac:dyDescent="0.25">
      <c r="A400">
        <v>399</v>
      </c>
      <c r="B400" s="1">
        <v>45398</v>
      </c>
      <c r="C400" t="s">
        <v>23</v>
      </c>
      <c r="D400" t="s">
        <v>11</v>
      </c>
      <c r="E400">
        <v>8</v>
      </c>
      <c r="F400">
        <v>30</v>
      </c>
      <c r="G400">
        <v>2.2000000000000002</v>
      </c>
      <c r="H400" t="s">
        <v>18</v>
      </c>
      <c r="I400" t="s">
        <v>19</v>
      </c>
      <c r="J400" t="s">
        <v>15</v>
      </c>
      <c r="K400">
        <f>_xlfn.XLOOKUP(tbl_analysis_tickets[[#This Row],[priority]],tbl_sla[priority],tbl_sla[Resolution SLA Hours])</f>
        <v>72</v>
      </c>
      <c r="L400">
        <f>_xlfn.XLOOKUP(tbl_analysis_tickets[[#This Row],[priority]],tbl_sla[priority],tbl_sla[First Response SLA Minutes])</f>
        <v>240</v>
      </c>
      <c r="M400" t="str">
        <f>IF(tbl_analysis_tickets[[#This Row],[resolution_time_hours]]&gt;tbl_analysis_tickets[[#This Row],[Resolution SLA Hours]],"Breached","Within SLA")</f>
        <v>Within SLA</v>
      </c>
      <c r="N400" t="str">
        <f>IF(tbl_analysis_tickets[[#This Row],[first_response_minutes]]&gt;tbl_analysis_tickets[[#This Row],[First Response SLA Minutes]],"Breached","Within SLA")</f>
        <v>Within SLA</v>
      </c>
      <c r="O400" t="str" cm="1">
        <f t="array" ref="O400">_xlfn.IFS(
tbl_analysis_tickets[[#This Row],[agent_experience_years]]&lt;=2,"Junior",
tbl_analysis_tickets[[#This Row],[agent_experience_years]]&lt;=5,"Mid-Level",
tbl_analysis_tickets[[#This Row],[agent_experience_years]]&lt;=8,"Senior",
tbl_analysis_tickets[[#This Row],[agent_experience_years]]&gt;8,"Expert"
)</f>
        <v>Mid-Level</v>
      </c>
      <c r="P400" cm="1">
        <f t="array" ref="P400">_xlfn.SWITCH(tbl_analysis_tickets[[#This Row],[customer_satisfaction]],
"Low",1,
"Medium",2,
"High",3
)</f>
        <v>2</v>
      </c>
      <c r="Q400">
        <f>IF(tbl_analysis_tickets[[#This Row],[reopened]]="Yes",1,0)</f>
        <v>0</v>
      </c>
      <c r="R400" t="str" cm="1">
        <f t="array" ref="R400">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400" t="str" cm="1">
        <f t="array" ref="S40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400" t="str">
        <f>TEXT(tbl_analysis_tickets[[#This Row],[created_date]],"mmm-yyyy")</f>
        <v>Apr-2024</v>
      </c>
      <c r="U400" t="str">
        <f>TEXT(tbl_analysis_tickets[[#This Row],[created_date]],"dddd")</f>
        <v>Tuesday</v>
      </c>
      <c r="V400" cm="1">
        <f t="array" ref="V400">_xlfn.SWITCH(tbl_analysis_tickets[[#This Row],[priority]],
"Urgent",1,
"High",2,
"Medium",3,
"Low",4
)</f>
        <v>4</v>
      </c>
    </row>
    <row r="401" spans="1:22" x14ac:dyDescent="0.25">
      <c r="A401">
        <v>400</v>
      </c>
      <c r="B401" s="1">
        <v>45454</v>
      </c>
      <c r="C401" t="s">
        <v>23</v>
      </c>
      <c r="D401" t="s">
        <v>15</v>
      </c>
      <c r="E401">
        <v>31</v>
      </c>
      <c r="F401">
        <v>17</v>
      </c>
      <c r="G401">
        <v>1</v>
      </c>
      <c r="H401" t="s">
        <v>18</v>
      </c>
      <c r="I401" t="s">
        <v>16</v>
      </c>
      <c r="J401" t="s">
        <v>11</v>
      </c>
      <c r="K401">
        <f>_xlfn.XLOOKUP(tbl_analysis_tickets[[#This Row],[priority]],tbl_sla[priority],tbl_sla[Resolution SLA Hours])</f>
        <v>48</v>
      </c>
      <c r="L401">
        <f>_xlfn.XLOOKUP(tbl_analysis_tickets[[#This Row],[priority]],tbl_sla[priority],tbl_sla[First Response SLA Minutes])</f>
        <v>120</v>
      </c>
      <c r="M401" t="str">
        <f>IF(tbl_analysis_tickets[[#This Row],[resolution_time_hours]]&gt;tbl_analysis_tickets[[#This Row],[Resolution SLA Hours]],"Breached","Within SLA")</f>
        <v>Within SLA</v>
      </c>
      <c r="N401" t="str">
        <f>IF(tbl_analysis_tickets[[#This Row],[first_response_minutes]]&gt;tbl_analysis_tickets[[#This Row],[First Response SLA Minutes]],"Breached","Within SLA")</f>
        <v>Within SLA</v>
      </c>
      <c r="O401" t="str" cm="1">
        <f t="array" ref="O401">_xlfn.IFS(
tbl_analysis_tickets[[#This Row],[agent_experience_years]]&lt;=2,"Junior",
tbl_analysis_tickets[[#This Row],[agent_experience_years]]&lt;=5,"Mid-Level",
tbl_analysis_tickets[[#This Row],[agent_experience_years]]&lt;=8,"Senior",
tbl_analysis_tickets[[#This Row],[agent_experience_years]]&gt;8,"Expert"
)</f>
        <v>Junior</v>
      </c>
      <c r="P401" cm="1">
        <f t="array" ref="P401">_xlfn.SWITCH(tbl_analysis_tickets[[#This Row],[customer_satisfaction]],
"Low",1,
"Medium",2,
"High",3
)</f>
        <v>1</v>
      </c>
      <c r="Q401">
        <f>IF(tbl_analysis_tickets[[#This Row],[reopened]]="Yes",1,0)</f>
        <v>0</v>
      </c>
      <c r="R401" t="str" cm="1">
        <f t="array" ref="R401">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401" t="str" cm="1">
        <f t="array" ref="S40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401" t="str">
        <f>TEXT(tbl_analysis_tickets[[#This Row],[created_date]],"mmm-yyyy")</f>
        <v>Jun-2024</v>
      </c>
      <c r="U401" t="str">
        <f>TEXT(tbl_analysis_tickets[[#This Row],[created_date]],"dddd")</f>
        <v>Tuesday</v>
      </c>
      <c r="V401" cm="1">
        <f t="array" ref="V401">_xlfn.SWITCH(tbl_analysis_tickets[[#This Row],[priority]],
"Urgent",1,
"High",2,
"Medium",3,
"Low",4
)</f>
        <v>3</v>
      </c>
    </row>
    <row r="402" spans="1:22" x14ac:dyDescent="0.25">
      <c r="A402">
        <v>401</v>
      </c>
      <c r="B402" s="1">
        <v>45594</v>
      </c>
      <c r="C402" t="s">
        <v>14</v>
      </c>
      <c r="D402" t="s">
        <v>15</v>
      </c>
      <c r="E402">
        <v>157</v>
      </c>
      <c r="F402">
        <v>49</v>
      </c>
      <c r="G402">
        <v>3.6</v>
      </c>
      <c r="H402" t="s">
        <v>12</v>
      </c>
      <c r="I402" t="s">
        <v>19</v>
      </c>
      <c r="J402" t="s">
        <v>11</v>
      </c>
      <c r="K402">
        <f>_xlfn.XLOOKUP(tbl_analysis_tickets[[#This Row],[priority]],tbl_sla[priority],tbl_sla[Resolution SLA Hours])</f>
        <v>48</v>
      </c>
      <c r="L402">
        <f>_xlfn.XLOOKUP(tbl_analysis_tickets[[#This Row],[priority]],tbl_sla[priority],tbl_sla[First Response SLA Minutes])</f>
        <v>120</v>
      </c>
      <c r="M402" t="str">
        <f>IF(tbl_analysis_tickets[[#This Row],[resolution_time_hours]]&gt;tbl_analysis_tickets[[#This Row],[Resolution SLA Hours]],"Breached","Within SLA")</f>
        <v>Breached</v>
      </c>
      <c r="N402" t="str">
        <f>IF(tbl_analysis_tickets[[#This Row],[first_response_minutes]]&gt;tbl_analysis_tickets[[#This Row],[First Response SLA Minutes]],"Breached","Within SLA")</f>
        <v>Breached</v>
      </c>
      <c r="O402" t="str" cm="1">
        <f t="array" ref="O402">_xlfn.IFS(
tbl_analysis_tickets[[#This Row],[agent_experience_years]]&lt;=2,"Junior",
tbl_analysis_tickets[[#This Row],[agent_experience_years]]&lt;=5,"Mid-Level",
tbl_analysis_tickets[[#This Row],[agent_experience_years]]&lt;=8,"Senior",
tbl_analysis_tickets[[#This Row],[agent_experience_years]]&gt;8,"Expert"
)</f>
        <v>Mid-Level</v>
      </c>
      <c r="P402" cm="1">
        <f t="array" ref="P402">_xlfn.SWITCH(tbl_analysis_tickets[[#This Row],[customer_satisfaction]],
"Low",1,
"Medium",2,
"High",3
)</f>
        <v>1</v>
      </c>
      <c r="Q402">
        <f>IF(tbl_analysis_tickets[[#This Row],[reopened]]="Yes",1,0)</f>
        <v>1</v>
      </c>
      <c r="R402" t="str" cm="1">
        <f t="array" ref="R402">_xlfn.IFS(
tbl_analysis_tickets[[#This Row],[first_response_minutes]]&lt;=30,"Very Fast",
tbl_analysis_tickets[[#This Row],[first_response_minutes]]&lt;=120,"Acceptable",
tbl_analysis_tickets[[#This Row],[first_response_minutes]]&lt;=240,"Slow",
tbl_analysis_tickets[[#This Row],[first_response_minutes]]&gt;240,"Very Slow"
)</f>
        <v>Slow</v>
      </c>
      <c r="S402" t="str" cm="1">
        <f t="array" ref="S40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402" t="str">
        <f>TEXT(tbl_analysis_tickets[[#This Row],[created_date]],"mmm-yyyy")</f>
        <v>Oct-2024</v>
      </c>
      <c r="U402" t="str">
        <f>TEXT(tbl_analysis_tickets[[#This Row],[created_date]],"dddd")</f>
        <v>Tuesday</v>
      </c>
      <c r="V402" cm="1">
        <f t="array" ref="V402">_xlfn.SWITCH(tbl_analysis_tickets[[#This Row],[priority]],
"Urgent",1,
"High",2,
"Medium",3,
"Low",4
)</f>
        <v>3</v>
      </c>
    </row>
    <row r="403" spans="1:22" x14ac:dyDescent="0.25">
      <c r="A403">
        <v>402</v>
      </c>
      <c r="B403" s="1">
        <v>45357</v>
      </c>
      <c r="C403" t="s">
        <v>10</v>
      </c>
      <c r="D403" t="s">
        <v>11</v>
      </c>
      <c r="E403">
        <v>157</v>
      </c>
      <c r="F403">
        <v>4</v>
      </c>
      <c r="G403">
        <v>9.6999999999999993</v>
      </c>
      <c r="H403" t="s">
        <v>18</v>
      </c>
      <c r="I403" t="s">
        <v>16</v>
      </c>
      <c r="J403" t="s">
        <v>20</v>
      </c>
      <c r="K403">
        <f>_xlfn.XLOOKUP(tbl_analysis_tickets[[#This Row],[priority]],tbl_sla[priority],tbl_sla[Resolution SLA Hours])</f>
        <v>72</v>
      </c>
      <c r="L403">
        <f>_xlfn.XLOOKUP(tbl_analysis_tickets[[#This Row],[priority]],tbl_sla[priority],tbl_sla[First Response SLA Minutes])</f>
        <v>240</v>
      </c>
      <c r="M403" t="str">
        <f>IF(tbl_analysis_tickets[[#This Row],[resolution_time_hours]]&gt;tbl_analysis_tickets[[#This Row],[Resolution SLA Hours]],"Breached","Within SLA")</f>
        <v>Within SLA</v>
      </c>
      <c r="N403" t="str">
        <f>IF(tbl_analysis_tickets[[#This Row],[first_response_minutes]]&gt;tbl_analysis_tickets[[#This Row],[First Response SLA Minutes]],"Breached","Within SLA")</f>
        <v>Within SLA</v>
      </c>
      <c r="O403" t="str" cm="1">
        <f t="array" ref="O403">_xlfn.IFS(
tbl_analysis_tickets[[#This Row],[agent_experience_years]]&lt;=2,"Junior",
tbl_analysis_tickets[[#This Row],[agent_experience_years]]&lt;=5,"Mid-Level",
tbl_analysis_tickets[[#This Row],[agent_experience_years]]&lt;=8,"Senior",
tbl_analysis_tickets[[#This Row],[agent_experience_years]]&gt;8,"Expert"
)</f>
        <v>Expert</v>
      </c>
      <c r="P403" cm="1">
        <f t="array" ref="P403">_xlfn.SWITCH(tbl_analysis_tickets[[#This Row],[customer_satisfaction]],
"Low",1,
"Medium",2,
"High",3
)</f>
        <v>3</v>
      </c>
      <c r="Q403">
        <f>IF(tbl_analysis_tickets[[#This Row],[reopened]]="Yes",1,0)</f>
        <v>0</v>
      </c>
      <c r="R403" t="str" cm="1">
        <f t="array" ref="R403">_xlfn.IFS(
tbl_analysis_tickets[[#This Row],[first_response_minutes]]&lt;=30,"Very Fast",
tbl_analysis_tickets[[#This Row],[first_response_minutes]]&lt;=120,"Acceptable",
tbl_analysis_tickets[[#This Row],[first_response_minutes]]&lt;=240,"Slow",
tbl_analysis_tickets[[#This Row],[first_response_minutes]]&gt;240,"Very Slow"
)</f>
        <v>Slow</v>
      </c>
      <c r="S403" t="str" cm="1">
        <f t="array" ref="S40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403" t="str">
        <f>TEXT(tbl_analysis_tickets[[#This Row],[created_date]],"mmm-yyyy")</f>
        <v>Mar-2024</v>
      </c>
      <c r="U403" t="str">
        <f>TEXT(tbl_analysis_tickets[[#This Row],[created_date]],"dddd")</f>
        <v>Wednesday</v>
      </c>
      <c r="V403" cm="1">
        <f t="array" ref="V403">_xlfn.SWITCH(tbl_analysis_tickets[[#This Row],[priority]],
"Urgent",1,
"High",2,
"Medium",3,
"Low",4
)</f>
        <v>4</v>
      </c>
    </row>
    <row r="404" spans="1:22" x14ac:dyDescent="0.25">
      <c r="A404">
        <v>403</v>
      </c>
      <c r="B404" s="1">
        <v>45632</v>
      </c>
      <c r="C404" t="s">
        <v>21</v>
      </c>
      <c r="D404" t="s">
        <v>20</v>
      </c>
      <c r="E404">
        <v>48</v>
      </c>
      <c r="F404">
        <v>21</v>
      </c>
      <c r="G404">
        <v>5.8</v>
      </c>
      <c r="H404" t="s">
        <v>12</v>
      </c>
      <c r="I404" t="s">
        <v>16</v>
      </c>
      <c r="J404" t="s">
        <v>11</v>
      </c>
      <c r="K404">
        <f>_xlfn.XLOOKUP(tbl_analysis_tickets[[#This Row],[priority]],tbl_sla[priority],tbl_sla[Resolution SLA Hours])</f>
        <v>24</v>
      </c>
      <c r="L404">
        <f>_xlfn.XLOOKUP(tbl_analysis_tickets[[#This Row],[priority]],tbl_sla[priority],tbl_sla[First Response SLA Minutes])</f>
        <v>60</v>
      </c>
      <c r="M404" t="str">
        <f>IF(tbl_analysis_tickets[[#This Row],[resolution_time_hours]]&gt;tbl_analysis_tickets[[#This Row],[Resolution SLA Hours]],"Breached","Within SLA")</f>
        <v>Within SLA</v>
      </c>
      <c r="N404" t="str">
        <f>IF(tbl_analysis_tickets[[#This Row],[first_response_minutes]]&gt;tbl_analysis_tickets[[#This Row],[First Response SLA Minutes]],"Breached","Within SLA")</f>
        <v>Within SLA</v>
      </c>
      <c r="O404" t="str" cm="1">
        <f t="array" ref="O404">_xlfn.IFS(
tbl_analysis_tickets[[#This Row],[agent_experience_years]]&lt;=2,"Junior",
tbl_analysis_tickets[[#This Row],[agent_experience_years]]&lt;=5,"Mid-Level",
tbl_analysis_tickets[[#This Row],[agent_experience_years]]&lt;=8,"Senior",
tbl_analysis_tickets[[#This Row],[agent_experience_years]]&gt;8,"Expert"
)</f>
        <v>Senior</v>
      </c>
      <c r="P404" cm="1">
        <f t="array" ref="P404">_xlfn.SWITCH(tbl_analysis_tickets[[#This Row],[customer_satisfaction]],
"Low",1,
"Medium",2,
"High",3
)</f>
        <v>1</v>
      </c>
      <c r="Q404">
        <f>IF(tbl_analysis_tickets[[#This Row],[reopened]]="Yes",1,0)</f>
        <v>1</v>
      </c>
      <c r="R404" t="str" cm="1">
        <f t="array" ref="R404">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404" t="str" cm="1">
        <f t="array" ref="S40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404" t="str">
        <f>TEXT(tbl_analysis_tickets[[#This Row],[created_date]],"mmm-yyyy")</f>
        <v>Dec-2024</v>
      </c>
      <c r="U404" t="str">
        <f>TEXT(tbl_analysis_tickets[[#This Row],[created_date]],"dddd")</f>
        <v>Friday</v>
      </c>
      <c r="V404" cm="1">
        <f t="array" ref="V404">_xlfn.SWITCH(tbl_analysis_tickets[[#This Row],[priority]],
"Urgent",1,
"High",2,
"Medium",3,
"Low",4
)</f>
        <v>2</v>
      </c>
    </row>
    <row r="405" spans="1:22" x14ac:dyDescent="0.25">
      <c r="A405">
        <v>404</v>
      </c>
      <c r="B405" s="1">
        <v>45521</v>
      </c>
      <c r="C405" t="s">
        <v>22</v>
      </c>
      <c r="D405" t="s">
        <v>20</v>
      </c>
      <c r="E405">
        <v>234</v>
      </c>
      <c r="F405">
        <v>43</v>
      </c>
      <c r="G405">
        <v>2.5</v>
      </c>
      <c r="H405" t="s">
        <v>18</v>
      </c>
      <c r="I405" t="s">
        <v>13</v>
      </c>
      <c r="J405" t="s">
        <v>11</v>
      </c>
      <c r="K405">
        <f>_xlfn.XLOOKUP(tbl_analysis_tickets[[#This Row],[priority]],tbl_sla[priority],tbl_sla[Resolution SLA Hours])</f>
        <v>24</v>
      </c>
      <c r="L405">
        <f>_xlfn.XLOOKUP(tbl_analysis_tickets[[#This Row],[priority]],tbl_sla[priority],tbl_sla[First Response SLA Minutes])</f>
        <v>60</v>
      </c>
      <c r="M405" t="str">
        <f>IF(tbl_analysis_tickets[[#This Row],[resolution_time_hours]]&gt;tbl_analysis_tickets[[#This Row],[Resolution SLA Hours]],"Breached","Within SLA")</f>
        <v>Breached</v>
      </c>
      <c r="N405" t="str">
        <f>IF(tbl_analysis_tickets[[#This Row],[first_response_minutes]]&gt;tbl_analysis_tickets[[#This Row],[First Response SLA Minutes]],"Breached","Within SLA")</f>
        <v>Breached</v>
      </c>
      <c r="O405" t="str" cm="1">
        <f t="array" ref="O405">_xlfn.IFS(
tbl_analysis_tickets[[#This Row],[agent_experience_years]]&lt;=2,"Junior",
tbl_analysis_tickets[[#This Row],[agent_experience_years]]&lt;=5,"Mid-Level",
tbl_analysis_tickets[[#This Row],[agent_experience_years]]&lt;=8,"Senior",
tbl_analysis_tickets[[#This Row],[agent_experience_years]]&gt;8,"Expert"
)</f>
        <v>Mid-Level</v>
      </c>
      <c r="P405" cm="1">
        <f t="array" ref="P405">_xlfn.SWITCH(tbl_analysis_tickets[[#This Row],[customer_satisfaction]],
"Low",1,
"Medium",2,
"High",3
)</f>
        <v>1</v>
      </c>
      <c r="Q405">
        <f>IF(tbl_analysis_tickets[[#This Row],[reopened]]="Yes",1,0)</f>
        <v>0</v>
      </c>
      <c r="R405" t="str" cm="1">
        <f t="array" ref="R405">_xlfn.IFS(
tbl_analysis_tickets[[#This Row],[first_response_minutes]]&lt;=30,"Very Fast",
tbl_analysis_tickets[[#This Row],[first_response_minutes]]&lt;=120,"Acceptable",
tbl_analysis_tickets[[#This Row],[first_response_minutes]]&lt;=240,"Slow",
tbl_analysis_tickets[[#This Row],[first_response_minutes]]&gt;240,"Very Slow"
)</f>
        <v>Slow</v>
      </c>
      <c r="S405" t="str" cm="1">
        <f t="array" ref="S40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405" t="str">
        <f>TEXT(tbl_analysis_tickets[[#This Row],[created_date]],"mmm-yyyy")</f>
        <v>Aug-2024</v>
      </c>
      <c r="U405" t="str">
        <f>TEXT(tbl_analysis_tickets[[#This Row],[created_date]],"dddd")</f>
        <v>Saturday</v>
      </c>
      <c r="V405" cm="1">
        <f t="array" ref="V405">_xlfn.SWITCH(tbl_analysis_tickets[[#This Row],[priority]],
"Urgent",1,
"High",2,
"Medium",3,
"Low",4
)</f>
        <v>2</v>
      </c>
    </row>
    <row r="406" spans="1:22" x14ac:dyDescent="0.25">
      <c r="A406">
        <v>405</v>
      </c>
      <c r="B406" s="1">
        <v>45370</v>
      </c>
      <c r="C406" t="s">
        <v>21</v>
      </c>
      <c r="D406" t="s">
        <v>15</v>
      </c>
      <c r="E406">
        <v>173</v>
      </c>
      <c r="F406">
        <v>42</v>
      </c>
      <c r="G406">
        <v>1</v>
      </c>
      <c r="H406" t="s">
        <v>12</v>
      </c>
      <c r="I406" t="s">
        <v>13</v>
      </c>
      <c r="J406" t="s">
        <v>11</v>
      </c>
      <c r="K406">
        <f>_xlfn.XLOOKUP(tbl_analysis_tickets[[#This Row],[priority]],tbl_sla[priority],tbl_sla[Resolution SLA Hours])</f>
        <v>48</v>
      </c>
      <c r="L406">
        <f>_xlfn.XLOOKUP(tbl_analysis_tickets[[#This Row],[priority]],tbl_sla[priority],tbl_sla[First Response SLA Minutes])</f>
        <v>120</v>
      </c>
      <c r="M406" t="str">
        <f>IF(tbl_analysis_tickets[[#This Row],[resolution_time_hours]]&gt;tbl_analysis_tickets[[#This Row],[Resolution SLA Hours]],"Breached","Within SLA")</f>
        <v>Within SLA</v>
      </c>
      <c r="N406" t="str">
        <f>IF(tbl_analysis_tickets[[#This Row],[first_response_minutes]]&gt;tbl_analysis_tickets[[#This Row],[First Response SLA Minutes]],"Breached","Within SLA")</f>
        <v>Breached</v>
      </c>
      <c r="O406" t="str" cm="1">
        <f t="array" ref="O406">_xlfn.IFS(
tbl_analysis_tickets[[#This Row],[agent_experience_years]]&lt;=2,"Junior",
tbl_analysis_tickets[[#This Row],[agent_experience_years]]&lt;=5,"Mid-Level",
tbl_analysis_tickets[[#This Row],[agent_experience_years]]&lt;=8,"Senior",
tbl_analysis_tickets[[#This Row],[agent_experience_years]]&gt;8,"Expert"
)</f>
        <v>Junior</v>
      </c>
      <c r="P406" cm="1">
        <f t="array" ref="P406">_xlfn.SWITCH(tbl_analysis_tickets[[#This Row],[customer_satisfaction]],
"Low",1,
"Medium",2,
"High",3
)</f>
        <v>1</v>
      </c>
      <c r="Q406">
        <f>IF(tbl_analysis_tickets[[#This Row],[reopened]]="Yes",1,0)</f>
        <v>1</v>
      </c>
      <c r="R406" t="str" cm="1">
        <f t="array" ref="R406">_xlfn.IFS(
tbl_analysis_tickets[[#This Row],[first_response_minutes]]&lt;=30,"Very Fast",
tbl_analysis_tickets[[#This Row],[first_response_minutes]]&lt;=120,"Acceptable",
tbl_analysis_tickets[[#This Row],[first_response_minutes]]&lt;=240,"Slow",
tbl_analysis_tickets[[#This Row],[first_response_minutes]]&gt;240,"Very Slow"
)</f>
        <v>Slow</v>
      </c>
      <c r="S406" t="str" cm="1">
        <f t="array" ref="S40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406" t="str">
        <f>TEXT(tbl_analysis_tickets[[#This Row],[created_date]],"mmm-yyyy")</f>
        <v>Mar-2024</v>
      </c>
      <c r="U406" t="str">
        <f>TEXT(tbl_analysis_tickets[[#This Row],[created_date]],"dddd")</f>
        <v>Tuesday</v>
      </c>
      <c r="V406" cm="1">
        <f t="array" ref="V406">_xlfn.SWITCH(tbl_analysis_tickets[[#This Row],[priority]],
"Urgent",1,
"High",2,
"Medium",3,
"Low",4
)</f>
        <v>3</v>
      </c>
    </row>
    <row r="407" spans="1:22" x14ac:dyDescent="0.25">
      <c r="A407">
        <v>406</v>
      </c>
      <c r="B407" s="1">
        <v>45656</v>
      </c>
      <c r="C407" t="s">
        <v>21</v>
      </c>
      <c r="D407" t="s">
        <v>20</v>
      </c>
      <c r="E407">
        <v>231</v>
      </c>
      <c r="F407">
        <v>17</v>
      </c>
      <c r="G407">
        <v>3.4</v>
      </c>
      <c r="H407" t="s">
        <v>12</v>
      </c>
      <c r="I407" t="s">
        <v>13</v>
      </c>
      <c r="J407" t="s">
        <v>11</v>
      </c>
      <c r="K407">
        <f>_xlfn.XLOOKUP(tbl_analysis_tickets[[#This Row],[priority]],tbl_sla[priority],tbl_sla[Resolution SLA Hours])</f>
        <v>24</v>
      </c>
      <c r="L407">
        <f>_xlfn.XLOOKUP(tbl_analysis_tickets[[#This Row],[priority]],tbl_sla[priority],tbl_sla[First Response SLA Minutes])</f>
        <v>60</v>
      </c>
      <c r="M407" t="str">
        <f>IF(tbl_analysis_tickets[[#This Row],[resolution_time_hours]]&gt;tbl_analysis_tickets[[#This Row],[Resolution SLA Hours]],"Breached","Within SLA")</f>
        <v>Within SLA</v>
      </c>
      <c r="N407" t="str">
        <f>IF(tbl_analysis_tickets[[#This Row],[first_response_minutes]]&gt;tbl_analysis_tickets[[#This Row],[First Response SLA Minutes]],"Breached","Within SLA")</f>
        <v>Breached</v>
      </c>
      <c r="O407" t="str" cm="1">
        <f t="array" ref="O407">_xlfn.IFS(
tbl_analysis_tickets[[#This Row],[agent_experience_years]]&lt;=2,"Junior",
tbl_analysis_tickets[[#This Row],[agent_experience_years]]&lt;=5,"Mid-Level",
tbl_analysis_tickets[[#This Row],[agent_experience_years]]&lt;=8,"Senior",
tbl_analysis_tickets[[#This Row],[agent_experience_years]]&gt;8,"Expert"
)</f>
        <v>Mid-Level</v>
      </c>
      <c r="P407" cm="1">
        <f t="array" ref="P407">_xlfn.SWITCH(tbl_analysis_tickets[[#This Row],[customer_satisfaction]],
"Low",1,
"Medium",2,
"High",3
)</f>
        <v>1</v>
      </c>
      <c r="Q407">
        <f>IF(tbl_analysis_tickets[[#This Row],[reopened]]="Yes",1,0)</f>
        <v>1</v>
      </c>
      <c r="R407" t="str" cm="1">
        <f t="array" ref="R407">_xlfn.IFS(
tbl_analysis_tickets[[#This Row],[first_response_minutes]]&lt;=30,"Very Fast",
tbl_analysis_tickets[[#This Row],[first_response_minutes]]&lt;=120,"Acceptable",
tbl_analysis_tickets[[#This Row],[first_response_minutes]]&lt;=240,"Slow",
tbl_analysis_tickets[[#This Row],[first_response_minutes]]&gt;240,"Very Slow"
)</f>
        <v>Slow</v>
      </c>
      <c r="S407" t="str" cm="1">
        <f t="array" ref="S40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407" t="str">
        <f>TEXT(tbl_analysis_tickets[[#This Row],[created_date]],"mmm-yyyy")</f>
        <v>Dec-2024</v>
      </c>
      <c r="U407" t="str">
        <f>TEXT(tbl_analysis_tickets[[#This Row],[created_date]],"dddd")</f>
        <v>Monday</v>
      </c>
      <c r="V407" cm="1">
        <f t="array" ref="V407">_xlfn.SWITCH(tbl_analysis_tickets[[#This Row],[priority]],
"Urgent",1,
"High",2,
"Medium",3,
"Low",4
)</f>
        <v>2</v>
      </c>
    </row>
    <row r="408" spans="1:22" x14ac:dyDescent="0.25">
      <c r="A408">
        <v>407</v>
      </c>
      <c r="B408" s="1">
        <v>45653</v>
      </c>
      <c r="C408" t="s">
        <v>10</v>
      </c>
      <c r="D408" t="s">
        <v>15</v>
      </c>
      <c r="E408">
        <v>150</v>
      </c>
      <c r="F408">
        <v>54</v>
      </c>
      <c r="G408">
        <v>3.8</v>
      </c>
      <c r="H408" t="s">
        <v>12</v>
      </c>
      <c r="I408" t="s">
        <v>19</v>
      </c>
      <c r="J408" t="s">
        <v>11</v>
      </c>
      <c r="K408">
        <f>_xlfn.XLOOKUP(tbl_analysis_tickets[[#This Row],[priority]],tbl_sla[priority],tbl_sla[Resolution SLA Hours])</f>
        <v>48</v>
      </c>
      <c r="L408">
        <f>_xlfn.XLOOKUP(tbl_analysis_tickets[[#This Row],[priority]],tbl_sla[priority],tbl_sla[First Response SLA Minutes])</f>
        <v>120</v>
      </c>
      <c r="M408" t="str">
        <f>IF(tbl_analysis_tickets[[#This Row],[resolution_time_hours]]&gt;tbl_analysis_tickets[[#This Row],[Resolution SLA Hours]],"Breached","Within SLA")</f>
        <v>Breached</v>
      </c>
      <c r="N408" t="str">
        <f>IF(tbl_analysis_tickets[[#This Row],[first_response_minutes]]&gt;tbl_analysis_tickets[[#This Row],[First Response SLA Minutes]],"Breached","Within SLA")</f>
        <v>Breached</v>
      </c>
      <c r="O408" t="str" cm="1">
        <f t="array" ref="O408">_xlfn.IFS(
tbl_analysis_tickets[[#This Row],[agent_experience_years]]&lt;=2,"Junior",
tbl_analysis_tickets[[#This Row],[agent_experience_years]]&lt;=5,"Mid-Level",
tbl_analysis_tickets[[#This Row],[agent_experience_years]]&lt;=8,"Senior",
tbl_analysis_tickets[[#This Row],[agent_experience_years]]&gt;8,"Expert"
)</f>
        <v>Mid-Level</v>
      </c>
      <c r="P408" cm="1">
        <f t="array" ref="P408">_xlfn.SWITCH(tbl_analysis_tickets[[#This Row],[customer_satisfaction]],
"Low",1,
"Medium",2,
"High",3
)</f>
        <v>1</v>
      </c>
      <c r="Q408">
        <f>IF(tbl_analysis_tickets[[#This Row],[reopened]]="Yes",1,0)</f>
        <v>1</v>
      </c>
      <c r="R408" t="str" cm="1">
        <f t="array" ref="R408">_xlfn.IFS(
tbl_analysis_tickets[[#This Row],[first_response_minutes]]&lt;=30,"Very Fast",
tbl_analysis_tickets[[#This Row],[first_response_minutes]]&lt;=120,"Acceptable",
tbl_analysis_tickets[[#This Row],[first_response_minutes]]&lt;=240,"Slow",
tbl_analysis_tickets[[#This Row],[first_response_minutes]]&gt;240,"Very Slow"
)</f>
        <v>Slow</v>
      </c>
      <c r="S408" t="str" cm="1">
        <f t="array" ref="S40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408" t="str">
        <f>TEXT(tbl_analysis_tickets[[#This Row],[created_date]],"mmm-yyyy")</f>
        <v>Dec-2024</v>
      </c>
      <c r="U408" t="str">
        <f>TEXT(tbl_analysis_tickets[[#This Row],[created_date]],"dddd")</f>
        <v>Friday</v>
      </c>
      <c r="V408" cm="1">
        <f t="array" ref="V408">_xlfn.SWITCH(tbl_analysis_tickets[[#This Row],[priority]],
"Urgent",1,
"High",2,
"Medium",3,
"Low",4
)</f>
        <v>3</v>
      </c>
    </row>
    <row r="409" spans="1:22" x14ac:dyDescent="0.25">
      <c r="A409">
        <v>408</v>
      </c>
      <c r="B409" s="1">
        <v>45405</v>
      </c>
      <c r="C409" t="s">
        <v>14</v>
      </c>
      <c r="D409" t="s">
        <v>17</v>
      </c>
      <c r="E409">
        <v>233</v>
      </c>
      <c r="F409">
        <v>22</v>
      </c>
      <c r="G409">
        <v>5.5</v>
      </c>
      <c r="H409" t="s">
        <v>18</v>
      </c>
      <c r="I409" t="s">
        <v>19</v>
      </c>
      <c r="J409" t="s">
        <v>11</v>
      </c>
      <c r="K409">
        <f>_xlfn.XLOOKUP(tbl_analysis_tickets[[#This Row],[priority]],tbl_sla[priority],tbl_sla[Resolution SLA Hours])</f>
        <v>8</v>
      </c>
      <c r="L409">
        <f>_xlfn.XLOOKUP(tbl_analysis_tickets[[#This Row],[priority]],tbl_sla[priority],tbl_sla[First Response SLA Minutes])</f>
        <v>30</v>
      </c>
      <c r="M409" t="str">
        <f>IF(tbl_analysis_tickets[[#This Row],[resolution_time_hours]]&gt;tbl_analysis_tickets[[#This Row],[Resolution SLA Hours]],"Breached","Within SLA")</f>
        <v>Breached</v>
      </c>
      <c r="N409" t="str">
        <f>IF(tbl_analysis_tickets[[#This Row],[first_response_minutes]]&gt;tbl_analysis_tickets[[#This Row],[First Response SLA Minutes]],"Breached","Within SLA")</f>
        <v>Breached</v>
      </c>
      <c r="O409" t="str" cm="1">
        <f t="array" ref="O409">_xlfn.IFS(
tbl_analysis_tickets[[#This Row],[agent_experience_years]]&lt;=2,"Junior",
tbl_analysis_tickets[[#This Row],[agent_experience_years]]&lt;=5,"Mid-Level",
tbl_analysis_tickets[[#This Row],[agent_experience_years]]&lt;=8,"Senior",
tbl_analysis_tickets[[#This Row],[agent_experience_years]]&gt;8,"Expert"
)</f>
        <v>Senior</v>
      </c>
      <c r="P409" cm="1">
        <f t="array" ref="P409">_xlfn.SWITCH(tbl_analysis_tickets[[#This Row],[customer_satisfaction]],
"Low",1,
"Medium",2,
"High",3
)</f>
        <v>1</v>
      </c>
      <c r="Q409">
        <f>IF(tbl_analysis_tickets[[#This Row],[reopened]]="Yes",1,0)</f>
        <v>0</v>
      </c>
      <c r="R409" t="str" cm="1">
        <f t="array" ref="R409">_xlfn.IFS(
tbl_analysis_tickets[[#This Row],[first_response_minutes]]&lt;=30,"Very Fast",
tbl_analysis_tickets[[#This Row],[first_response_minutes]]&lt;=120,"Acceptable",
tbl_analysis_tickets[[#This Row],[first_response_minutes]]&lt;=240,"Slow",
tbl_analysis_tickets[[#This Row],[first_response_minutes]]&gt;240,"Very Slow"
)</f>
        <v>Slow</v>
      </c>
      <c r="S409" t="str" cm="1">
        <f t="array" ref="S40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409" t="str">
        <f>TEXT(tbl_analysis_tickets[[#This Row],[created_date]],"mmm-yyyy")</f>
        <v>Apr-2024</v>
      </c>
      <c r="U409" t="str">
        <f>TEXT(tbl_analysis_tickets[[#This Row],[created_date]],"dddd")</f>
        <v>Tuesday</v>
      </c>
      <c r="V409" cm="1">
        <f t="array" ref="V409">_xlfn.SWITCH(tbl_analysis_tickets[[#This Row],[priority]],
"Urgent",1,
"High",2,
"Medium",3,
"Low",4
)</f>
        <v>1</v>
      </c>
    </row>
    <row r="410" spans="1:22" x14ac:dyDescent="0.25">
      <c r="A410">
        <v>409</v>
      </c>
      <c r="B410" s="1">
        <v>45377</v>
      </c>
      <c r="C410" t="s">
        <v>14</v>
      </c>
      <c r="D410" t="s">
        <v>15</v>
      </c>
      <c r="E410">
        <v>153</v>
      </c>
      <c r="F410">
        <v>16</v>
      </c>
      <c r="G410">
        <v>5.7</v>
      </c>
      <c r="H410" t="s">
        <v>12</v>
      </c>
      <c r="I410" t="s">
        <v>16</v>
      </c>
      <c r="J410" t="s">
        <v>11</v>
      </c>
      <c r="K410">
        <f>_xlfn.XLOOKUP(tbl_analysis_tickets[[#This Row],[priority]],tbl_sla[priority],tbl_sla[Resolution SLA Hours])</f>
        <v>48</v>
      </c>
      <c r="L410">
        <f>_xlfn.XLOOKUP(tbl_analysis_tickets[[#This Row],[priority]],tbl_sla[priority],tbl_sla[First Response SLA Minutes])</f>
        <v>120</v>
      </c>
      <c r="M410" t="str">
        <f>IF(tbl_analysis_tickets[[#This Row],[resolution_time_hours]]&gt;tbl_analysis_tickets[[#This Row],[Resolution SLA Hours]],"Breached","Within SLA")</f>
        <v>Within SLA</v>
      </c>
      <c r="N410" t="str">
        <f>IF(tbl_analysis_tickets[[#This Row],[first_response_minutes]]&gt;tbl_analysis_tickets[[#This Row],[First Response SLA Minutes]],"Breached","Within SLA")</f>
        <v>Breached</v>
      </c>
      <c r="O410" t="str" cm="1">
        <f t="array" ref="O410">_xlfn.IFS(
tbl_analysis_tickets[[#This Row],[agent_experience_years]]&lt;=2,"Junior",
tbl_analysis_tickets[[#This Row],[agent_experience_years]]&lt;=5,"Mid-Level",
tbl_analysis_tickets[[#This Row],[agent_experience_years]]&lt;=8,"Senior",
tbl_analysis_tickets[[#This Row],[agent_experience_years]]&gt;8,"Expert"
)</f>
        <v>Senior</v>
      </c>
      <c r="P410" cm="1">
        <f t="array" ref="P410">_xlfn.SWITCH(tbl_analysis_tickets[[#This Row],[customer_satisfaction]],
"Low",1,
"Medium",2,
"High",3
)</f>
        <v>1</v>
      </c>
      <c r="Q410">
        <f>IF(tbl_analysis_tickets[[#This Row],[reopened]]="Yes",1,0)</f>
        <v>1</v>
      </c>
      <c r="R410" t="str" cm="1">
        <f t="array" ref="R410">_xlfn.IFS(
tbl_analysis_tickets[[#This Row],[first_response_minutes]]&lt;=30,"Very Fast",
tbl_analysis_tickets[[#This Row],[first_response_minutes]]&lt;=120,"Acceptable",
tbl_analysis_tickets[[#This Row],[first_response_minutes]]&lt;=240,"Slow",
tbl_analysis_tickets[[#This Row],[first_response_minutes]]&gt;240,"Very Slow"
)</f>
        <v>Slow</v>
      </c>
      <c r="S410" t="str" cm="1">
        <f t="array" ref="S41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410" t="str">
        <f>TEXT(tbl_analysis_tickets[[#This Row],[created_date]],"mmm-yyyy")</f>
        <v>Mar-2024</v>
      </c>
      <c r="U410" t="str">
        <f>TEXT(tbl_analysis_tickets[[#This Row],[created_date]],"dddd")</f>
        <v>Tuesday</v>
      </c>
      <c r="V410" cm="1">
        <f t="array" ref="V410">_xlfn.SWITCH(tbl_analysis_tickets[[#This Row],[priority]],
"Urgent",1,
"High",2,
"Medium",3,
"Low",4
)</f>
        <v>3</v>
      </c>
    </row>
    <row r="411" spans="1:22" x14ac:dyDescent="0.25">
      <c r="A411">
        <v>410</v>
      </c>
      <c r="B411" s="1">
        <v>45354</v>
      </c>
      <c r="C411" t="s">
        <v>23</v>
      </c>
      <c r="D411" t="s">
        <v>20</v>
      </c>
      <c r="E411">
        <v>238</v>
      </c>
      <c r="F411">
        <v>52</v>
      </c>
      <c r="G411">
        <v>7.9</v>
      </c>
      <c r="H411" t="s">
        <v>18</v>
      </c>
      <c r="I411" t="s">
        <v>13</v>
      </c>
      <c r="J411" t="s">
        <v>11</v>
      </c>
      <c r="K411">
        <f>_xlfn.XLOOKUP(tbl_analysis_tickets[[#This Row],[priority]],tbl_sla[priority],tbl_sla[Resolution SLA Hours])</f>
        <v>24</v>
      </c>
      <c r="L411">
        <f>_xlfn.XLOOKUP(tbl_analysis_tickets[[#This Row],[priority]],tbl_sla[priority],tbl_sla[First Response SLA Minutes])</f>
        <v>60</v>
      </c>
      <c r="M411" t="str">
        <f>IF(tbl_analysis_tickets[[#This Row],[resolution_time_hours]]&gt;tbl_analysis_tickets[[#This Row],[Resolution SLA Hours]],"Breached","Within SLA")</f>
        <v>Breached</v>
      </c>
      <c r="N411" t="str">
        <f>IF(tbl_analysis_tickets[[#This Row],[first_response_minutes]]&gt;tbl_analysis_tickets[[#This Row],[First Response SLA Minutes]],"Breached","Within SLA")</f>
        <v>Breached</v>
      </c>
      <c r="O411" t="str" cm="1">
        <f t="array" ref="O411">_xlfn.IFS(
tbl_analysis_tickets[[#This Row],[agent_experience_years]]&lt;=2,"Junior",
tbl_analysis_tickets[[#This Row],[agent_experience_years]]&lt;=5,"Mid-Level",
tbl_analysis_tickets[[#This Row],[agent_experience_years]]&lt;=8,"Senior",
tbl_analysis_tickets[[#This Row],[agent_experience_years]]&gt;8,"Expert"
)</f>
        <v>Senior</v>
      </c>
      <c r="P411" cm="1">
        <f t="array" ref="P411">_xlfn.SWITCH(tbl_analysis_tickets[[#This Row],[customer_satisfaction]],
"Low",1,
"Medium",2,
"High",3
)</f>
        <v>1</v>
      </c>
      <c r="Q411">
        <f>IF(tbl_analysis_tickets[[#This Row],[reopened]]="Yes",1,0)</f>
        <v>0</v>
      </c>
      <c r="R411" t="str" cm="1">
        <f t="array" ref="R411">_xlfn.IFS(
tbl_analysis_tickets[[#This Row],[first_response_minutes]]&lt;=30,"Very Fast",
tbl_analysis_tickets[[#This Row],[first_response_minutes]]&lt;=120,"Acceptable",
tbl_analysis_tickets[[#This Row],[first_response_minutes]]&lt;=240,"Slow",
tbl_analysis_tickets[[#This Row],[first_response_minutes]]&gt;240,"Very Slow"
)</f>
        <v>Slow</v>
      </c>
      <c r="S411" t="str" cm="1">
        <f t="array" ref="S41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411" t="str">
        <f>TEXT(tbl_analysis_tickets[[#This Row],[created_date]],"mmm-yyyy")</f>
        <v>Mar-2024</v>
      </c>
      <c r="U411" t="str">
        <f>TEXT(tbl_analysis_tickets[[#This Row],[created_date]],"dddd")</f>
        <v>Sunday</v>
      </c>
      <c r="V411" cm="1">
        <f t="array" ref="V411">_xlfn.SWITCH(tbl_analysis_tickets[[#This Row],[priority]],
"Urgent",1,
"High",2,
"Medium",3,
"Low",4
)</f>
        <v>2</v>
      </c>
    </row>
    <row r="412" spans="1:22" x14ac:dyDescent="0.25">
      <c r="A412">
        <v>411</v>
      </c>
      <c r="B412" s="1">
        <v>45310</v>
      </c>
      <c r="C412" t="s">
        <v>21</v>
      </c>
      <c r="D412" t="s">
        <v>17</v>
      </c>
      <c r="E412">
        <v>214</v>
      </c>
      <c r="F412">
        <v>42</v>
      </c>
      <c r="G412">
        <v>7.9</v>
      </c>
      <c r="H412" t="s">
        <v>12</v>
      </c>
      <c r="I412" t="s">
        <v>19</v>
      </c>
      <c r="J412" t="s">
        <v>11</v>
      </c>
      <c r="K412">
        <f>_xlfn.XLOOKUP(tbl_analysis_tickets[[#This Row],[priority]],tbl_sla[priority],tbl_sla[Resolution SLA Hours])</f>
        <v>8</v>
      </c>
      <c r="L412">
        <f>_xlfn.XLOOKUP(tbl_analysis_tickets[[#This Row],[priority]],tbl_sla[priority],tbl_sla[First Response SLA Minutes])</f>
        <v>30</v>
      </c>
      <c r="M412" t="str">
        <f>IF(tbl_analysis_tickets[[#This Row],[resolution_time_hours]]&gt;tbl_analysis_tickets[[#This Row],[Resolution SLA Hours]],"Breached","Within SLA")</f>
        <v>Breached</v>
      </c>
      <c r="N412" t="str">
        <f>IF(tbl_analysis_tickets[[#This Row],[first_response_minutes]]&gt;tbl_analysis_tickets[[#This Row],[First Response SLA Minutes]],"Breached","Within SLA")</f>
        <v>Breached</v>
      </c>
      <c r="O412" t="str" cm="1">
        <f t="array" ref="O412">_xlfn.IFS(
tbl_analysis_tickets[[#This Row],[agent_experience_years]]&lt;=2,"Junior",
tbl_analysis_tickets[[#This Row],[agent_experience_years]]&lt;=5,"Mid-Level",
tbl_analysis_tickets[[#This Row],[agent_experience_years]]&lt;=8,"Senior",
tbl_analysis_tickets[[#This Row],[agent_experience_years]]&gt;8,"Expert"
)</f>
        <v>Senior</v>
      </c>
      <c r="P412" cm="1">
        <f t="array" ref="P412">_xlfn.SWITCH(tbl_analysis_tickets[[#This Row],[customer_satisfaction]],
"Low",1,
"Medium",2,
"High",3
)</f>
        <v>1</v>
      </c>
      <c r="Q412">
        <f>IF(tbl_analysis_tickets[[#This Row],[reopened]]="Yes",1,0)</f>
        <v>1</v>
      </c>
      <c r="R412" t="str" cm="1">
        <f t="array" ref="R412">_xlfn.IFS(
tbl_analysis_tickets[[#This Row],[first_response_minutes]]&lt;=30,"Very Fast",
tbl_analysis_tickets[[#This Row],[first_response_minutes]]&lt;=120,"Acceptable",
tbl_analysis_tickets[[#This Row],[first_response_minutes]]&lt;=240,"Slow",
tbl_analysis_tickets[[#This Row],[first_response_minutes]]&gt;240,"Very Slow"
)</f>
        <v>Slow</v>
      </c>
      <c r="S412" t="str" cm="1">
        <f t="array" ref="S41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412" t="str">
        <f>TEXT(tbl_analysis_tickets[[#This Row],[created_date]],"mmm-yyyy")</f>
        <v>Jan-2024</v>
      </c>
      <c r="U412" t="str">
        <f>TEXT(tbl_analysis_tickets[[#This Row],[created_date]],"dddd")</f>
        <v>Friday</v>
      </c>
      <c r="V412" cm="1">
        <f t="array" ref="V412">_xlfn.SWITCH(tbl_analysis_tickets[[#This Row],[priority]],
"Urgent",1,
"High",2,
"Medium",3,
"Low",4
)</f>
        <v>1</v>
      </c>
    </row>
    <row r="413" spans="1:22" x14ac:dyDescent="0.25">
      <c r="A413">
        <v>412</v>
      </c>
      <c r="B413" s="1">
        <v>45510</v>
      </c>
      <c r="C413" t="s">
        <v>21</v>
      </c>
      <c r="D413" t="s">
        <v>17</v>
      </c>
      <c r="E413">
        <v>62</v>
      </c>
      <c r="F413">
        <v>11</v>
      </c>
      <c r="G413">
        <v>9.6999999999999993</v>
      </c>
      <c r="H413" t="s">
        <v>18</v>
      </c>
      <c r="I413" t="s">
        <v>19</v>
      </c>
      <c r="J413" t="s">
        <v>11</v>
      </c>
      <c r="K413">
        <f>_xlfn.XLOOKUP(tbl_analysis_tickets[[#This Row],[priority]],tbl_sla[priority],tbl_sla[Resolution SLA Hours])</f>
        <v>8</v>
      </c>
      <c r="L413">
        <f>_xlfn.XLOOKUP(tbl_analysis_tickets[[#This Row],[priority]],tbl_sla[priority],tbl_sla[First Response SLA Minutes])</f>
        <v>30</v>
      </c>
      <c r="M413" t="str">
        <f>IF(tbl_analysis_tickets[[#This Row],[resolution_time_hours]]&gt;tbl_analysis_tickets[[#This Row],[Resolution SLA Hours]],"Breached","Within SLA")</f>
        <v>Breached</v>
      </c>
      <c r="N413" t="str">
        <f>IF(tbl_analysis_tickets[[#This Row],[first_response_minutes]]&gt;tbl_analysis_tickets[[#This Row],[First Response SLA Minutes]],"Breached","Within SLA")</f>
        <v>Breached</v>
      </c>
      <c r="O413" t="str" cm="1">
        <f t="array" ref="O413">_xlfn.IFS(
tbl_analysis_tickets[[#This Row],[agent_experience_years]]&lt;=2,"Junior",
tbl_analysis_tickets[[#This Row],[agent_experience_years]]&lt;=5,"Mid-Level",
tbl_analysis_tickets[[#This Row],[agent_experience_years]]&lt;=8,"Senior",
tbl_analysis_tickets[[#This Row],[agent_experience_years]]&gt;8,"Expert"
)</f>
        <v>Expert</v>
      </c>
      <c r="P413" cm="1">
        <f t="array" ref="P413">_xlfn.SWITCH(tbl_analysis_tickets[[#This Row],[customer_satisfaction]],
"Low",1,
"Medium",2,
"High",3
)</f>
        <v>1</v>
      </c>
      <c r="Q413">
        <f>IF(tbl_analysis_tickets[[#This Row],[reopened]]="Yes",1,0)</f>
        <v>0</v>
      </c>
      <c r="R413" t="str" cm="1">
        <f t="array" ref="R413">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413" t="str" cm="1">
        <f t="array" ref="S41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413" t="str">
        <f>TEXT(tbl_analysis_tickets[[#This Row],[created_date]],"mmm-yyyy")</f>
        <v>Aug-2024</v>
      </c>
      <c r="U413" t="str">
        <f>TEXT(tbl_analysis_tickets[[#This Row],[created_date]],"dddd")</f>
        <v>Tuesday</v>
      </c>
      <c r="V413" cm="1">
        <f t="array" ref="V413">_xlfn.SWITCH(tbl_analysis_tickets[[#This Row],[priority]],
"Urgent",1,
"High",2,
"Medium",3,
"Low",4
)</f>
        <v>1</v>
      </c>
    </row>
    <row r="414" spans="1:22" x14ac:dyDescent="0.25">
      <c r="A414">
        <v>413</v>
      </c>
      <c r="B414" s="1">
        <v>45598</v>
      </c>
      <c r="C414" t="s">
        <v>14</v>
      </c>
      <c r="D414" t="s">
        <v>20</v>
      </c>
      <c r="E414">
        <v>80</v>
      </c>
      <c r="F414">
        <v>1</v>
      </c>
      <c r="G414">
        <v>4.9000000000000004</v>
      </c>
      <c r="H414" t="s">
        <v>18</v>
      </c>
      <c r="I414" t="s">
        <v>16</v>
      </c>
      <c r="J414" t="s">
        <v>15</v>
      </c>
      <c r="K414">
        <f>_xlfn.XLOOKUP(tbl_analysis_tickets[[#This Row],[priority]],tbl_sla[priority],tbl_sla[Resolution SLA Hours])</f>
        <v>24</v>
      </c>
      <c r="L414">
        <f>_xlfn.XLOOKUP(tbl_analysis_tickets[[#This Row],[priority]],tbl_sla[priority],tbl_sla[First Response SLA Minutes])</f>
        <v>60</v>
      </c>
      <c r="M414" t="str">
        <f>IF(tbl_analysis_tickets[[#This Row],[resolution_time_hours]]&gt;tbl_analysis_tickets[[#This Row],[Resolution SLA Hours]],"Breached","Within SLA")</f>
        <v>Within SLA</v>
      </c>
      <c r="N414" t="str">
        <f>IF(tbl_analysis_tickets[[#This Row],[first_response_minutes]]&gt;tbl_analysis_tickets[[#This Row],[First Response SLA Minutes]],"Breached","Within SLA")</f>
        <v>Breached</v>
      </c>
      <c r="O414" t="str" cm="1">
        <f t="array" ref="O414">_xlfn.IFS(
tbl_analysis_tickets[[#This Row],[agent_experience_years]]&lt;=2,"Junior",
tbl_analysis_tickets[[#This Row],[agent_experience_years]]&lt;=5,"Mid-Level",
tbl_analysis_tickets[[#This Row],[agent_experience_years]]&lt;=8,"Senior",
tbl_analysis_tickets[[#This Row],[agent_experience_years]]&gt;8,"Expert"
)</f>
        <v>Mid-Level</v>
      </c>
      <c r="P414" cm="1">
        <f t="array" ref="P414">_xlfn.SWITCH(tbl_analysis_tickets[[#This Row],[customer_satisfaction]],
"Low",1,
"Medium",2,
"High",3
)</f>
        <v>2</v>
      </c>
      <c r="Q414">
        <f>IF(tbl_analysis_tickets[[#This Row],[reopened]]="Yes",1,0)</f>
        <v>0</v>
      </c>
      <c r="R414" t="str" cm="1">
        <f t="array" ref="R414">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414" t="str" cm="1">
        <f t="array" ref="S41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414" t="str">
        <f>TEXT(tbl_analysis_tickets[[#This Row],[created_date]],"mmm-yyyy")</f>
        <v>Nov-2024</v>
      </c>
      <c r="U414" t="str">
        <f>TEXT(tbl_analysis_tickets[[#This Row],[created_date]],"dddd")</f>
        <v>Saturday</v>
      </c>
      <c r="V414" cm="1">
        <f t="array" ref="V414">_xlfn.SWITCH(tbl_analysis_tickets[[#This Row],[priority]],
"Urgent",1,
"High",2,
"Medium",3,
"Low",4
)</f>
        <v>2</v>
      </c>
    </row>
    <row r="415" spans="1:22" x14ac:dyDescent="0.25">
      <c r="A415">
        <v>414</v>
      </c>
      <c r="B415" s="1">
        <v>45339</v>
      </c>
      <c r="C415" t="s">
        <v>14</v>
      </c>
      <c r="D415" t="s">
        <v>20</v>
      </c>
      <c r="E415">
        <v>74</v>
      </c>
      <c r="F415">
        <v>47</v>
      </c>
      <c r="G415">
        <v>7.5</v>
      </c>
      <c r="H415" t="s">
        <v>18</v>
      </c>
      <c r="I415" t="s">
        <v>16</v>
      </c>
      <c r="J415" t="s">
        <v>11</v>
      </c>
      <c r="K415">
        <f>_xlfn.XLOOKUP(tbl_analysis_tickets[[#This Row],[priority]],tbl_sla[priority],tbl_sla[Resolution SLA Hours])</f>
        <v>24</v>
      </c>
      <c r="L415">
        <f>_xlfn.XLOOKUP(tbl_analysis_tickets[[#This Row],[priority]],tbl_sla[priority],tbl_sla[First Response SLA Minutes])</f>
        <v>60</v>
      </c>
      <c r="M415" t="str">
        <f>IF(tbl_analysis_tickets[[#This Row],[resolution_time_hours]]&gt;tbl_analysis_tickets[[#This Row],[Resolution SLA Hours]],"Breached","Within SLA")</f>
        <v>Breached</v>
      </c>
      <c r="N415" t="str">
        <f>IF(tbl_analysis_tickets[[#This Row],[first_response_minutes]]&gt;tbl_analysis_tickets[[#This Row],[First Response SLA Minutes]],"Breached","Within SLA")</f>
        <v>Breached</v>
      </c>
      <c r="O415" t="str" cm="1">
        <f t="array" ref="O415">_xlfn.IFS(
tbl_analysis_tickets[[#This Row],[agent_experience_years]]&lt;=2,"Junior",
tbl_analysis_tickets[[#This Row],[agent_experience_years]]&lt;=5,"Mid-Level",
tbl_analysis_tickets[[#This Row],[agent_experience_years]]&lt;=8,"Senior",
tbl_analysis_tickets[[#This Row],[agent_experience_years]]&gt;8,"Expert"
)</f>
        <v>Senior</v>
      </c>
      <c r="P415" cm="1">
        <f t="array" ref="P415">_xlfn.SWITCH(tbl_analysis_tickets[[#This Row],[customer_satisfaction]],
"Low",1,
"Medium",2,
"High",3
)</f>
        <v>1</v>
      </c>
      <c r="Q415">
        <f>IF(tbl_analysis_tickets[[#This Row],[reopened]]="Yes",1,0)</f>
        <v>0</v>
      </c>
      <c r="R415" t="str" cm="1">
        <f t="array" ref="R415">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415" t="str" cm="1">
        <f t="array" ref="S41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415" t="str">
        <f>TEXT(tbl_analysis_tickets[[#This Row],[created_date]],"mmm-yyyy")</f>
        <v>Feb-2024</v>
      </c>
      <c r="U415" t="str">
        <f>TEXT(tbl_analysis_tickets[[#This Row],[created_date]],"dddd")</f>
        <v>Saturday</v>
      </c>
      <c r="V415" cm="1">
        <f t="array" ref="V415">_xlfn.SWITCH(tbl_analysis_tickets[[#This Row],[priority]],
"Urgent",1,
"High",2,
"Medium",3,
"Low",4
)</f>
        <v>2</v>
      </c>
    </row>
    <row r="416" spans="1:22" x14ac:dyDescent="0.25">
      <c r="A416">
        <v>415</v>
      </c>
      <c r="B416" s="1">
        <v>45436</v>
      </c>
      <c r="C416" t="s">
        <v>14</v>
      </c>
      <c r="D416" t="s">
        <v>15</v>
      </c>
      <c r="E416">
        <v>28</v>
      </c>
      <c r="F416">
        <v>26</v>
      </c>
      <c r="G416">
        <v>5.5</v>
      </c>
      <c r="H416" t="s">
        <v>12</v>
      </c>
      <c r="I416" t="s">
        <v>13</v>
      </c>
      <c r="J416" t="s">
        <v>15</v>
      </c>
      <c r="K416">
        <f>_xlfn.XLOOKUP(tbl_analysis_tickets[[#This Row],[priority]],tbl_sla[priority],tbl_sla[Resolution SLA Hours])</f>
        <v>48</v>
      </c>
      <c r="L416">
        <f>_xlfn.XLOOKUP(tbl_analysis_tickets[[#This Row],[priority]],tbl_sla[priority],tbl_sla[First Response SLA Minutes])</f>
        <v>120</v>
      </c>
      <c r="M416" t="str">
        <f>IF(tbl_analysis_tickets[[#This Row],[resolution_time_hours]]&gt;tbl_analysis_tickets[[#This Row],[Resolution SLA Hours]],"Breached","Within SLA")</f>
        <v>Within SLA</v>
      </c>
      <c r="N416" t="str">
        <f>IF(tbl_analysis_tickets[[#This Row],[first_response_minutes]]&gt;tbl_analysis_tickets[[#This Row],[First Response SLA Minutes]],"Breached","Within SLA")</f>
        <v>Within SLA</v>
      </c>
      <c r="O416" t="str" cm="1">
        <f t="array" ref="O416">_xlfn.IFS(
tbl_analysis_tickets[[#This Row],[agent_experience_years]]&lt;=2,"Junior",
tbl_analysis_tickets[[#This Row],[agent_experience_years]]&lt;=5,"Mid-Level",
tbl_analysis_tickets[[#This Row],[agent_experience_years]]&lt;=8,"Senior",
tbl_analysis_tickets[[#This Row],[agent_experience_years]]&gt;8,"Expert"
)</f>
        <v>Senior</v>
      </c>
      <c r="P416" cm="1">
        <f t="array" ref="P416">_xlfn.SWITCH(tbl_analysis_tickets[[#This Row],[customer_satisfaction]],
"Low",1,
"Medium",2,
"High",3
)</f>
        <v>2</v>
      </c>
      <c r="Q416">
        <f>IF(tbl_analysis_tickets[[#This Row],[reopened]]="Yes",1,0)</f>
        <v>1</v>
      </c>
      <c r="R416" t="str" cm="1">
        <f t="array" ref="R416">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416" t="str" cm="1">
        <f t="array" ref="S41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416" t="str">
        <f>TEXT(tbl_analysis_tickets[[#This Row],[created_date]],"mmm-yyyy")</f>
        <v>May-2024</v>
      </c>
      <c r="U416" t="str">
        <f>TEXT(tbl_analysis_tickets[[#This Row],[created_date]],"dddd")</f>
        <v>Friday</v>
      </c>
      <c r="V416" cm="1">
        <f t="array" ref="V416">_xlfn.SWITCH(tbl_analysis_tickets[[#This Row],[priority]],
"Urgent",1,
"High",2,
"Medium",3,
"Low",4
)</f>
        <v>3</v>
      </c>
    </row>
    <row r="417" spans="1:22" x14ac:dyDescent="0.25">
      <c r="A417">
        <v>416</v>
      </c>
      <c r="B417" s="1">
        <v>45294</v>
      </c>
      <c r="C417" t="s">
        <v>21</v>
      </c>
      <c r="D417" t="s">
        <v>11</v>
      </c>
      <c r="E417">
        <v>208</v>
      </c>
      <c r="F417">
        <v>40</v>
      </c>
      <c r="G417">
        <v>1.6</v>
      </c>
      <c r="H417" t="s">
        <v>18</v>
      </c>
      <c r="I417" t="s">
        <v>13</v>
      </c>
      <c r="J417" t="s">
        <v>11</v>
      </c>
      <c r="K417">
        <f>_xlfn.XLOOKUP(tbl_analysis_tickets[[#This Row],[priority]],tbl_sla[priority],tbl_sla[Resolution SLA Hours])</f>
        <v>72</v>
      </c>
      <c r="L417">
        <f>_xlfn.XLOOKUP(tbl_analysis_tickets[[#This Row],[priority]],tbl_sla[priority],tbl_sla[First Response SLA Minutes])</f>
        <v>240</v>
      </c>
      <c r="M417" t="str">
        <f>IF(tbl_analysis_tickets[[#This Row],[resolution_time_hours]]&gt;tbl_analysis_tickets[[#This Row],[Resolution SLA Hours]],"Breached","Within SLA")</f>
        <v>Within SLA</v>
      </c>
      <c r="N417" t="str">
        <f>IF(tbl_analysis_tickets[[#This Row],[first_response_minutes]]&gt;tbl_analysis_tickets[[#This Row],[First Response SLA Minutes]],"Breached","Within SLA")</f>
        <v>Within SLA</v>
      </c>
      <c r="O417" t="str" cm="1">
        <f t="array" ref="O417">_xlfn.IFS(
tbl_analysis_tickets[[#This Row],[agent_experience_years]]&lt;=2,"Junior",
tbl_analysis_tickets[[#This Row],[agent_experience_years]]&lt;=5,"Mid-Level",
tbl_analysis_tickets[[#This Row],[agent_experience_years]]&lt;=8,"Senior",
tbl_analysis_tickets[[#This Row],[agent_experience_years]]&gt;8,"Expert"
)</f>
        <v>Junior</v>
      </c>
      <c r="P417" cm="1">
        <f t="array" ref="P417">_xlfn.SWITCH(tbl_analysis_tickets[[#This Row],[customer_satisfaction]],
"Low",1,
"Medium",2,
"High",3
)</f>
        <v>1</v>
      </c>
      <c r="Q417">
        <f>IF(tbl_analysis_tickets[[#This Row],[reopened]]="Yes",1,0)</f>
        <v>0</v>
      </c>
      <c r="R417" t="str" cm="1">
        <f t="array" ref="R417">_xlfn.IFS(
tbl_analysis_tickets[[#This Row],[first_response_minutes]]&lt;=30,"Very Fast",
tbl_analysis_tickets[[#This Row],[first_response_minutes]]&lt;=120,"Acceptable",
tbl_analysis_tickets[[#This Row],[first_response_minutes]]&lt;=240,"Slow",
tbl_analysis_tickets[[#This Row],[first_response_minutes]]&gt;240,"Very Slow"
)</f>
        <v>Slow</v>
      </c>
      <c r="S417" t="str" cm="1">
        <f t="array" ref="S41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417" t="str">
        <f>TEXT(tbl_analysis_tickets[[#This Row],[created_date]],"mmm-yyyy")</f>
        <v>Jan-2024</v>
      </c>
      <c r="U417" t="str">
        <f>TEXT(tbl_analysis_tickets[[#This Row],[created_date]],"dddd")</f>
        <v>Wednesday</v>
      </c>
      <c r="V417" cm="1">
        <f t="array" ref="V417">_xlfn.SWITCH(tbl_analysis_tickets[[#This Row],[priority]],
"Urgent",1,
"High",2,
"Medium",3,
"Low",4
)</f>
        <v>4</v>
      </c>
    </row>
    <row r="418" spans="1:22" x14ac:dyDescent="0.25">
      <c r="A418">
        <v>417</v>
      </c>
      <c r="B418" s="1">
        <v>45546</v>
      </c>
      <c r="C418" t="s">
        <v>22</v>
      </c>
      <c r="D418" t="s">
        <v>15</v>
      </c>
      <c r="E418">
        <v>23</v>
      </c>
      <c r="F418">
        <v>30</v>
      </c>
      <c r="G418">
        <v>9.6999999999999993</v>
      </c>
      <c r="H418" t="s">
        <v>12</v>
      </c>
      <c r="I418" t="s">
        <v>13</v>
      </c>
      <c r="J418" t="s">
        <v>15</v>
      </c>
      <c r="K418">
        <f>_xlfn.XLOOKUP(tbl_analysis_tickets[[#This Row],[priority]],tbl_sla[priority],tbl_sla[Resolution SLA Hours])</f>
        <v>48</v>
      </c>
      <c r="L418">
        <f>_xlfn.XLOOKUP(tbl_analysis_tickets[[#This Row],[priority]],tbl_sla[priority],tbl_sla[First Response SLA Minutes])</f>
        <v>120</v>
      </c>
      <c r="M418" t="str">
        <f>IF(tbl_analysis_tickets[[#This Row],[resolution_time_hours]]&gt;tbl_analysis_tickets[[#This Row],[Resolution SLA Hours]],"Breached","Within SLA")</f>
        <v>Within SLA</v>
      </c>
      <c r="N418" t="str">
        <f>IF(tbl_analysis_tickets[[#This Row],[first_response_minutes]]&gt;tbl_analysis_tickets[[#This Row],[First Response SLA Minutes]],"Breached","Within SLA")</f>
        <v>Within SLA</v>
      </c>
      <c r="O418" t="str" cm="1">
        <f t="array" ref="O418">_xlfn.IFS(
tbl_analysis_tickets[[#This Row],[agent_experience_years]]&lt;=2,"Junior",
tbl_analysis_tickets[[#This Row],[agent_experience_years]]&lt;=5,"Mid-Level",
tbl_analysis_tickets[[#This Row],[agent_experience_years]]&lt;=8,"Senior",
tbl_analysis_tickets[[#This Row],[agent_experience_years]]&gt;8,"Expert"
)</f>
        <v>Expert</v>
      </c>
      <c r="P418" cm="1">
        <f t="array" ref="P418">_xlfn.SWITCH(tbl_analysis_tickets[[#This Row],[customer_satisfaction]],
"Low",1,
"Medium",2,
"High",3
)</f>
        <v>2</v>
      </c>
      <c r="Q418">
        <f>IF(tbl_analysis_tickets[[#This Row],[reopened]]="Yes",1,0)</f>
        <v>1</v>
      </c>
      <c r="R418" t="str" cm="1">
        <f t="array" ref="R418">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418" t="str" cm="1">
        <f t="array" ref="S41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418" t="str">
        <f>TEXT(tbl_analysis_tickets[[#This Row],[created_date]],"mmm-yyyy")</f>
        <v>Sep-2024</v>
      </c>
      <c r="U418" t="str">
        <f>TEXT(tbl_analysis_tickets[[#This Row],[created_date]],"dddd")</f>
        <v>Wednesday</v>
      </c>
      <c r="V418" cm="1">
        <f t="array" ref="V418">_xlfn.SWITCH(tbl_analysis_tickets[[#This Row],[priority]],
"Urgent",1,
"High",2,
"Medium",3,
"Low",4
)</f>
        <v>3</v>
      </c>
    </row>
    <row r="419" spans="1:22" x14ac:dyDescent="0.25">
      <c r="A419">
        <v>418</v>
      </c>
      <c r="B419" s="1">
        <v>45325</v>
      </c>
      <c r="C419" t="s">
        <v>21</v>
      </c>
      <c r="D419" t="s">
        <v>15</v>
      </c>
      <c r="E419">
        <v>108</v>
      </c>
      <c r="F419">
        <v>41</v>
      </c>
      <c r="G419">
        <v>5</v>
      </c>
      <c r="H419" t="s">
        <v>18</v>
      </c>
      <c r="I419" t="s">
        <v>16</v>
      </c>
      <c r="J419" t="s">
        <v>15</v>
      </c>
      <c r="K419">
        <f>_xlfn.XLOOKUP(tbl_analysis_tickets[[#This Row],[priority]],tbl_sla[priority],tbl_sla[Resolution SLA Hours])</f>
        <v>48</v>
      </c>
      <c r="L419">
        <f>_xlfn.XLOOKUP(tbl_analysis_tickets[[#This Row],[priority]],tbl_sla[priority],tbl_sla[First Response SLA Minutes])</f>
        <v>120</v>
      </c>
      <c r="M419" t="str">
        <f>IF(tbl_analysis_tickets[[#This Row],[resolution_time_hours]]&gt;tbl_analysis_tickets[[#This Row],[Resolution SLA Hours]],"Breached","Within SLA")</f>
        <v>Within SLA</v>
      </c>
      <c r="N419" t="str">
        <f>IF(tbl_analysis_tickets[[#This Row],[first_response_minutes]]&gt;tbl_analysis_tickets[[#This Row],[First Response SLA Minutes]],"Breached","Within SLA")</f>
        <v>Within SLA</v>
      </c>
      <c r="O419" t="str" cm="1">
        <f t="array" ref="O419">_xlfn.IFS(
tbl_analysis_tickets[[#This Row],[agent_experience_years]]&lt;=2,"Junior",
tbl_analysis_tickets[[#This Row],[agent_experience_years]]&lt;=5,"Mid-Level",
tbl_analysis_tickets[[#This Row],[agent_experience_years]]&lt;=8,"Senior",
tbl_analysis_tickets[[#This Row],[agent_experience_years]]&gt;8,"Expert"
)</f>
        <v>Mid-Level</v>
      </c>
      <c r="P419" cm="1">
        <f t="array" ref="P419">_xlfn.SWITCH(tbl_analysis_tickets[[#This Row],[customer_satisfaction]],
"Low",1,
"Medium",2,
"High",3
)</f>
        <v>2</v>
      </c>
      <c r="Q419">
        <f>IF(tbl_analysis_tickets[[#This Row],[reopened]]="Yes",1,0)</f>
        <v>0</v>
      </c>
      <c r="R419" t="str" cm="1">
        <f t="array" ref="R419">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419" t="str" cm="1">
        <f t="array" ref="S41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419" t="str">
        <f>TEXT(tbl_analysis_tickets[[#This Row],[created_date]],"mmm-yyyy")</f>
        <v>Feb-2024</v>
      </c>
      <c r="U419" t="str">
        <f>TEXT(tbl_analysis_tickets[[#This Row],[created_date]],"dddd")</f>
        <v>Saturday</v>
      </c>
      <c r="V419" cm="1">
        <f t="array" ref="V419">_xlfn.SWITCH(tbl_analysis_tickets[[#This Row],[priority]],
"Urgent",1,
"High",2,
"Medium",3,
"Low",4
)</f>
        <v>3</v>
      </c>
    </row>
    <row r="420" spans="1:22" x14ac:dyDescent="0.25">
      <c r="A420">
        <v>419</v>
      </c>
      <c r="B420" s="1">
        <v>45422</v>
      </c>
      <c r="C420" t="s">
        <v>21</v>
      </c>
      <c r="D420" t="s">
        <v>15</v>
      </c>
      <c r="E420">
        <v>232</v>
      </c>
      <c r="F420">
        <v>14</v>
      </c>
      <c r="G420">
        <v>8.6999999999999993</v>
      </c>
      <c r="H420" t="s">
        <v>18</v>
      </c>
      <c r="I420" t="s">
        <v>13</v>
      </c>
      <c r="J420" t="s">
        <v>15</v>
      </c>
      <c r="K420">
        <f>_xlfn.XLOOKUP(tbl_analysis_tickets[[#This Row],[priority]],tbl_sla[priority],tbl_sla[Resolution SLA Hours])</f>
        <v>48</v>
      </c>
      <c r="L420">
        <f>_xlfn.XLOOKUP(tbl_analysis_tickets[[#This Row],[priority]],tbl_sla[priority],tbl_sla[First Response SLA Minutes])</f>
        <v>120</v>
      </c>
      <c r="M420" t="str">
        <f>IF(tbl_analysis_tickets[[#This Row],[resolution_time_hours]]&gt;tbl_analysis_tickets[[#This Row],[Resolution SLA Hours]],"Breached","Within SLA")</f>
        <v>Within SLA</v>
      </c>
      <c r="N420" t="str">
        <f>IF(tbl_analysis_tickets[[#This Row],[first_response_minutes]]&gt;tbl_analysis_tickets[[#This Row],[First Response SLA Minutes]],"Breached","Within SLA")</f>
        <v>Breached</v>
      </c>
      <c r="O420" t="str" cm="1">
        <f t="array" ref="O420">_xlfn.IFS(
tbl_analysis_tickets[[#This Row],[agent_experience_years]]&lt;=2,"Junior",
tbl_analysis_tickets[[#This Row],[agent_experience_years]]&lt;=5,"Mid-Level",
tbl_analysis_tickets[[#This Row],[agent_experience_years]]&lt;=8,"Senior",
tbl_analysis_tickets[[#This Row],[agent_experience_years]]&gt;8,"Expert"
)</f>
        <v>Expert</v>
      </c>
      <c r="P420" cm="1">
        <f t="array" ref="P420">_xlfn.SWITCH(tbl_analysis_tickets[[#This Row],[customer_satisfaction]],
"Low",1,
"Medium",2,
"High",3
)</f>
        <v>2</v>
      </c>
      <c r="Q420">
        <f>IF(tbl_analysis_tickets[[#This Row],[reopened]]="Yes",1,0)</f>
        <v>0</v>
      </c>
      <c r="R420" t="str" cm="1">
        <f t="array" ref="R420">_xlfn.IFS(
tbl_analysis_tickets[[#This Row],[first_response_minutes]]&lt;=30,"Very Fast",
tbl_analysis_tickets[[#This Row],[first_response_minutes]]&lt;=120,"Acceptable",
tbl_analysis_tickets[[#This Row],[first_response_minutes]]&lt;=240,"Slow",
tbl_analysis_tickets[[#This Row],[first_response_minutes]]&gt;240,"Very Slow"
)</f>
        <v>Slow</v>
      </c>
      <c r="S420" t="str" cm="1">
        <f t="array" ref="S42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420" t="str">
        <f>TEXT(tbl_analysis_tickets[[#This Row],[created_date]],"mmm-yyyy")</f>
        <v>May-2024</v>
      </c>
      <c r="U420" t="str">
        <f>TEXT(tbl_analysis_tickets[[#This Row],[created_date]],"dddd")</f>
        <v>Friday</v>
      </c>
      <c r="V420" cm="1">
        <f t="array" ref="V420">_xlfn.SWITCH(tbl_analysis_tickets[[#This Row],[priority]],
"Urgent",1,
"High",2,
"Medium",3,
"Low",4
)</f>
        <v>3</v>
      </c>
    </row>
    <row r="421" spans="1:22" x14ac:dyDescent="0.25">
      <c r="A421">
        <v>420</v>
      </c>
      <c r="B421" s="1">
        <v>45568</v>
      </c>
      <c r="C421" t="s">
        <v>21</v>
      </c>
      <c r="D421" t="s">
        <v>11</v>
      </c>
      <c r="E421">
        <v>121</v>
      </c>
      <c r="F421">
        <v>70</v>
      </c>
      <c r="G421">
        <v>2.2999999999999998</v>
      </c>
      <c r="H421" t="s">
        <v>18</v>
      </c>
      <c r="I421" t="s">
        <v>13</v>
      </c>
      <c r="J421" t="s">
        <v>11</v>
      </c>
      <c r="K421">
        <f>_xlfn.XLOOKUP(tbl_analysis_tickets[[#This Row],[priority]],tbl_sla[priority],tbl_sla[Resolution SLA Hours])</f>
        <v>72</v>
      </c>
      <c r="L421">
        <f>_xlfn.XLOOKUP(tbl_analysis_tickets[[#This Row],[priority]],tbl_sla[priority],tbl_sla[First Response SLA Minutes])</f>
        <v>240</v>
      </c>
      <c r="M421" t="str">
        <f>IF(tbl_analysis_tickets[[#This Row],[resolution_time_hours]]&gt;tbl_analysis_tickets[[#This Row],[Resolution SLA Hours]],"Breached","Within SLA")</f>
        <v>Within SLA</v>
      </c>
      <c r="N421" t="str">
        <f>IF(tbl_analysis_tickets[[#This Row],[first_response_minutes]]&gt;tbl_analysis_tickets[[#This Row],[First Response SLA Minutes]],"Breached","Within SLA")</f>
        <v>Within SLA</v>
      </c>
      <c r="O421" t="str" cm="1">
        <f t="array" ref="O421">_xlfn.IFS(
tbl_analysis_tickets[[#This Row],[agent_experience_years]]&lt;=2,"Junior",
tbl_analysis_tickets[[#This Row],[agent_experience_years]]&lt;=5,"Mid-Level",
tbl_analysis_tickets[[#This Row],[agent_experience_years]]&lt;=8,"Senior",
tbl_analysis_tickets[[#This Row],[agent_experience_years]]&gt;8,"Expert"
)</f>
        <v>Mid-Level</v>
      </c>
      <c r="P421" cm="1">
        <f t="array" ref="P421">_xlfn.SWITCH(tbl_analysis_tickets[[#This Row],[customer_satisfaction]],
"Low",1,
"Medium",2,
"High",3
)</f>
        <v>1</v>
      </c>
      <c r="Q421">
        <f>IF(tbl_analysis_tickets[[#This Row],[reopened]]="Yes",1,0)</f>
        <v>0</v>
      </c>
      <c r="R421" t="str" cm="1">
        <f t="array" ref="R421">_xlfn.IFS(
tbl_analysis_tickets[[#This Row],[first_response_minutes]]&lt;=30,"Very Fast",
tbl_analysis_tickets[[#This Row],[first_response_minutes]]&lt;=120,"Acceptable",
tbl_analysis_tickets[[#This Row],[first_response_minutes]]&lt;=240,"Slow",
tbl_analysis_tickets[[#This Row],[first_response_minutes]]&gt;240,"Very Slow"
)</f>
        <v>Slow</v>
      </c>
      <c r="S421" t="str" cm="1">
        <f t="array" ref="S42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421" t="str">
        <f>TEXT(tbl_analysis_tickets[[#This Row],[created_date]],"mmm-yyyy")</f>
        <v>Oct-2024</v>
      </c>
      <c r="U421" t="str">
        <f>TEXT(tbl_analysis_tickets[[#This Row],[created_date]],"dddd")</f>
        <v>Thursday</v>
      </c>
      <c r="V421" cm="1">
        <f t="array" ref="V421">_xlfn.SWITCH(tbl_analysis_tickets[[#This Row],[priority]],
"Urgent",1,
"High",2,
"Medium",3,
"Low",4
)</f>
        <v>4</v>
      </c>
    </row>
    <row r="422" spans="1:22" x14ac:dyDescent="0.25">
      <c r="A422">
        <v>421</v>
      </c>
      <c r="B422" s="1">
        <v>45496</v>
      </c>
      <c r="C422" t="s">
        <v>14</v>
      </c>
      <c r="D422" t="s">
        <v>11</v>
      </c>
      <c r="E422">
        <v>225</v>
      </c>
      <c r="F422">
        <v>8</v>
      </c>
      <c r="G422">
        <v>2.4</v>
      </c>
      <c r="H422" t="s">
        <v>18</v>
      </c>
      <c r="I422" t="s">
        <v>16</v>
      </c>
      <c r="J422" t="s">
        <v>11</v>
      </c>
      <c r="K422">
        <f>_xlfn.XLOOKUP(tbl_analysis_tickets[[#This Row],[priority]],tbl_sla[priority],tbl_sla[Resolution SLA Hours])</f>
        <v>72</v>
      </c>
      <c r="L422">
        <f>_xlfn.XLOOKUP(tbl_analysis_tickets[[#This Row],[priority]],tbl_sla[priority],tbl_sla[First Response SLA Minutes])</f>
        <v>240</v>
      </c>
      <c r="M422" t="str">
        <f>IF(tbl_analysis_tickets[[#This Row],[resolution_time_hours]]&gt;tbl_analysis_tickets[[#This Row],[Resolution SLA Hours]],"Breached","Within SLA")</f>
        <v>Within SLA</v>
      </c>
      <c r="N422" t="str">
        <f>IF(tbl_analysis_tickets[[#This Row],[first_response_minutes]]&gt;tbl_analysis_tickets[[#This Row],[First Response SLA Minutes]],"Breached","Within SLA")</f>
        <v>Within SLA</v>
      </c>
      <c r="O422" t="str" cm="1">
        <f t="array" ref="O422">_xlfn.IFS(
tbl_analysis_tickets[[#This Row],[agent_experience_years]]&lt;=2,"Junior",
tbl_analysis_tickets[[#This Row],[agent_experience_years]]&lt;=5,"Mid-Level",
tbl_analysis_tickets[[#This Row],[agent_experience_years]]&lt;=8,"Senior",
tbl_analysis_tickets[[#This Row],[agent_experience_years]]&gt;8,"Expert"
)</f>
        <v>Mid-Level</v>
      </c>
      <c r="P422" cm="1">
        <f t="array" ref="P422">_xlfn.SWITCH(tbl_analysis_tickets[[#This Row],[customer_satisfaction]],
"Low",1,
"Medium",2,
"High",3
)</f>
        <v>1</v>
      </c>
      <c r="Q422">
        <f>IF(tbl_analysis_tickets[[#This Row],[reopened]]="Yes",1,0)</f>
        <v>0</v>
      </c>
      <c r="R422" t="str" cm="1">
        <f t="array" ref="R422">_xlfn.IFS(
tbl_analysis_tickets[[#This Row],[first_response_minutes]]&lt;=30,"Very Fast",
tbl_analysis_tickets[[#This Row],[first_response_minutes]]&lt;=120,"Acceptable",
tbl_analysis_tickets[[#This Row],[first_response_minutes]]&lt;=240,"Slow",
tbl_analysis_tickets[[#This Row],[first_response_minutes]]&gt;240,"Very Slow"
)</f>
        <v>Slow</v>
      </c>
      <c r="S422" t="str" cm="1">
        <f t="array" ref="S42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422" t="str">
        <f>TEXT(tbl_analysis_tickets[[#This Row],[created_date]],"mmm-yyyy")</f>
        <v>Jul-2024</v>
      </c>
      <c r="U422" t="str">
        <f>TEXT(tbl_analysis_tickets[[#This Row],[created_date]],"dddd")</f>
        <v>Tuesday</v>
      </c>
      <c r="V422" cm="1">
        <f t="array" ref="V422">_xlfn.SWITCH(tbl_analysis_tickets[[#This Row],[priority]],
"Urgent",1,
"High",2,
"Medium",3,
"Low",4
)</f>
        <v>4</v>
      </c>
    </row>
    <row r="423" spans="1:22" x14ac:dyDescent="0.25">
      <c r="A423">
        <v>422</v>
      </c>
      <c r="B423" s="1">
        <v>45292</v>
      </c>
      <c r="C423" t="s">
        <v>22</v>
      </c>
      <c r="D423" t="s">
        <v>17</v>
      </c>
      <c r="E423">
        <v>78</v>
      </c>
      <c r="F423">
        <v>53</v>
      </c>
      <c r="G423">
        <v>7.2</v>
      </c>
      <c r="H423" t="s">
        <v>18</v>
      </c>
      <c r="I423" t="s">
        <v>13</v>
      </c>
      <c r="J423" t="s">
        <v>11</v>
      </c>
      <c r="K423">
        <f>_xlfn.XLOOKUP(tbl_analysis_tickets[[#This Row],[priority]],tbl_sla[priority],tbl_sla[Resolution SLA Hours])</f>
        <v>8</v>
      </c>
      <c r="L423">
        <f>_xlfn.XLOOKUP(tbl_analysis_tickets[[#This Row],[priority]],tbl_sla[priority],tbl_sla[First Response SLA Minutes])</f>
        <v>30</v>
      </c>
      <c r="M423" t="str">
        <f>IF(tbl_analysis_tickets[[#This Row],[resolution_time_hours]]&gt;tbl_analysis_tickets[[#This Row],[Resolution SLA Hours]],"Breached","Within SLA")</f>
        <v>Breached</v>
      </c>
      <c r="N423" t="str">
        <f>IF(tbl_analysis_tickets[[#This Row],[first_response_minutes]]&gt;tbl_analysis_tickets[[#This Row],[First Response SLA Minutes]],"Breached","Within SLA")</f>
        <v>Breached</v>
      </c>
      <c r="O423" t="str" cm="1">
        <f t="array" ref="O423">_xlfn.IFS(
tbl_analysis_tickets[[#This Row],[agent_experience_years]]&lt;=2,"Junior",
tbl_analysis_tickets[[#This Row],[agent_experience_years]]&lt;=5,"Mid-Level",
tbl_analysis_tickets[[#This Row],[agent_experience_years]]&lt;=8,"Senior",
tbl_analysis_tickets[[#This Row],[agent_experience_years]]&gt;8,"Expert"
)</f>
        <v>Senior</v>
      </c>
      <c r="P423" cm="1">
        <f t="array" ref="P423">_xlfn.SWITCH(tbl_analysis_tickets[[#This Row],[customer_satisfaction]],
"Low",1,
"Medium",2,
"High",3
)</f>
        <v>1</v>
      </c>
      <c r="Q423">
        <f>IF(tbl_analysis_tickets[[#This Row],[reopened]]="Yes",1,0)</f>
        <v>0</v>
      </c>
      <c r="R423" t="str" cm="1">
        <f t="array" ref="R423">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423" t="str" cm="1">
        <f t="array" ref="S42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423" t="str">
        <f>TEXT(tbl_analysis_tickets[[#This Row],[created_date]],"mmm-yyyy")</f>
        <v>Jan-2024</v>
      </c>
      <c r="U423" t="str">
        <f>TEXT(tbl_analysis_tickets[[#This Row],[created_date]],"dddd")</f>
        <v>Monday</v>
      </c>
      <c r="V423" cm="1">
        <f t="array" ref="V423">_xlfn.SWITCH(tbl_analysis_tickets[[#This Row],[priority]],
"Urgent",1,
"High",2,
"Medium",3,
"Low",4
)</f>
        <v>1</v>
      </c>
    </row>
    <row r="424" spans="1:22" x14ac:dyDescent="0.25">
      <c r="A424">
        <v>423</v>
      </c>
      <c r="B424" s="1">
        <v>45426</v>
      </c>
      <c r="C424" t="s">
        <v>21</v>
      </c>
      <c r="D424" t="s">
        <v>20</v>
      </c>
      <c r="E424">
        <v>168</v>
      </c>
      <c r="F424">
        <v>67</v>
      </c>
      <c r="G424">
        <v>7.9</v>
      </c>
      <c r="H424" t="s">
        <v>18</v>
      </c>
      <c r="I424" t="s">
        <v>16</v>
      </c>
      <c r="J424" t="s">
        <v>11</v>
      </c>
      <c r="K424">
        <f>_xlfn.XLOOKUP(tbl_analysis_tickets[[#This Row],[priority]],tbl_sla[priority],tbl_sla[Resolution SLA Hours])</f>
        <v>24</v>
      </c>
      <c r="L424">
        <f>_xlfn.XLOOKUP(tbl_analysis_tickets[[#This Row],[priority]],tbl_sla[priority],tbl_sla[First Response SLA Minutes])</f>
        <v>60</v>
      </c>
      <c r="M424" t="str">
        <f>IF(tbl_analysis_tickets[[#This Row],[resolution_time_hours]]&gt;tbl_analysis_tickets[[#This Row],[Resolution SLA Hours]],"Breached","Within SLA")</f>
        <v>Breached</v>
      </c>
      <c r="N424" t="str">
        <f>IF(tbl_analysis_tickets[[#This Row],[first_response_minutes]]&gt;tbl_analysis_tickets[[#This Row],[First Response SLA Minutes]],"Breached","Within SLA")</f>
        <v>Breached</v>
      </c>
      <c r="O424" t="str" cm="1">
        <f t="array" ref="O424">_xlfn.IFS(
tbl_analysis_tickets[[#This Row],[agent_experience_years]]&lt;=2,"Junior",
tbl_analysis_tickets[[#This Row],[agent_experience_years]]&lt;=5,"Mid-Level",
tbl_analysis_tickets[[#This Row],[agent_experience_years]]&lt;=8,"Senior",
tbl_analysis_tickets[[#This Row],[agent_experience_years]]&gt;8,"Expert"
)</f>
        <v>Senior</v>
      </c>
      <c r="P424" cm="1">
        <f t="array" ref="P424">_xlfn.SWITCH(tbl_analysis_tickets[[#This Row],[customer_satisfaction]],
"Low",1,
"Medium",2,
"High",3
)</f>
        <v>1</v>
      </c>
      <c r="Q424">
        <f>IF(tbl_analysis_tickets[[#This Row],[reopened]]="Yes",1,0)</f>
        <v>0</v>
      </c>
      <c r="R424" t="str" cm="1">
        <f t="array" ref="R424">_xlfn.IFS(
tbl_analysis_tickets[[#This Row],[first_response_minutes]]&lt;=30,"Very Fast",
tbl_analysis_tickets[[#This Row],[first_response_minutes]]&lt;=120,"Acceptable",
tbl_analysis_tickets[[#This Row],[first_response_minutes]]&lt;=240,"Slow",
tbl_analysis_tickets[[#This Row],[first_response_minutes]]&gt;240,"Very Slow"
)</f>
        <v>Slow</v>
      </c>
      <c r="S424" t="str" cm="1">
        <f t="array" ref="S42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424" t="str">
        <f>TEXT(tbl_analysis_tickets[[#This Row],[created_date]],"mmm-yyyy")</f>
        <v>May-2024</v>
      </c>
      <c r="U424" t="str">
        <f>TEXT(tbl_analysis_tickets[[#This Row],[created_date]],"dddd")</f>
        <v>Tuesday</v>
      </c>
      <c r="V424" cm="1">
        <f t="array" ref="V424">_xlfn.SWITCH(tbl_analysis_tickets[[#This Row],[priority]],
"Urgent",1,
"High",2,
"Medium",3,
"Low",4
)</f>
        <v>2</v>
      </c>
    </row>
    <row r="425" spans="1:22" x14ac:dyDescent="0.25">
      <c r="A425">
        <v>424</v>
      </c>
      <c r="B425" s="1">
        <v>45502</v>
      </c>
      <c r="C425" t="s">
        <v>21</v>
      </c>
      <c r="D425" t="s">
        <v>17</v>
      </c>
      <c r="E425">
        <v>180</v>
      </c>
      <c r="F425">
        <v>62</v>
      </c>
      <c r="G425">
        <v>8.9</v>
      </c>
      <c r="H425" t="s">
        <v>18</v>
      </c>
      <c r="I425" t="s">
        <v>13</v>
      </c>
      <c r="J425" t="s">
        <v>11</v>
      </c>
      <c r="K425">
        <f>_xlfn.XLOOKUP(tbl_analysis_tickets[[#This Row],[priority]],tbl_sla[priority],tbl_sla[Resolution SLA Hours])</f>
        <v>8</v>
      </c>
      <c r="L425">
        <f>_xlfn.XLOOKUP(tbl_analysis_tickets[[#This Row],[priority]],tbl_sla[priority],tbl_sla[First Response SLA Minutes])</f>
        <v>30</v>
      </c>
      <c r="M425" t="str">
        <f>IF(tbl_analysis_tickets[[#This Row],[resolution_time_hours]]&gt;tbl_analysis_tickets[[#This Row],[Resolution SLA Hours]],"Breached","Within SLA")</f>
        <v>Breached</v>
      </c>
      <c r="N425" t="str">
        <f>IF(tbl_analysis_tickets[[#This Row],[first_response_minutes]]&gt;tbl_analysis_tickets[[#This Row],[First Response SLA Minutes]],"Breached","Within SLA")</f>
        <v>Breached</v>
      </c>
      <c r="O425" t="str" cm="1">
        <f t="array" ref="O425">_xlfn.IFS(
tbl_analysis_tickets[[#This Row],[agent_experience_years]]&lt;=2,"Junior",
tbl_analysis_tickets[[#This Row],[agent_experience_years]]&lt;=5,"Mid-Level",
tbl_analysis_tickets[[#This Row],[agent_experience_years]]&lt;=8,"Senior",
tbl_analysis_tickets[[#This Row],[agent_experience_years]]&gt;8,"Expert"
)</f>
        <v>Expert</v>
      </c>
      <c r="P425" cm="1">
        <f t="array" ref="P425">_xlfn.SWITCH(tbl_analysis_tickets[[#This Row],[customer_satisfaction]],
"Low",1,
"Medium",2,
"High",3
)</f>
        <v>1</v>
      </c>
      <c r="Q425">
        <f>IF(tbl_analysis_tickets[[#This Row],[reopened]]="Yes",1,0)</f>
        <v>0</v>
      </c>
      <c r="R425" t="str" cm="1">
        <f t="array" ref="R425">_xlfn.IFS(
tbl_analysis_tickets[[#This Row],[first_response_minutes]]&lt;=30,"Very Fast",
tbl_analysis_tickets[[#This Row],[first_response_minutes]]&lt;=120,"Acceptable",
tbl_analysis_tickets[[#This Row],[first_response_minutes]]&lt;=240,"Slow",
tbl_analysis_tickets[[#This Row],[first_response_minutes]]&gt;240,"Very Slow"
)</f>
        <v>Slow</v>
      </c>
      <c r="S425" t="str" cm="1">
        <f t="array" ref="S42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425" t="str">
        <f>TEXT(tbl_analysis_tickets[[#This Row],[created_date]],"mmm-yyyy")</f>
        <v>Jul-2024</v>
      </c>
      <c r="U425" t="str">
        <f>TEXT(tbl_analysis_tickets[[#This Row],[created_date]],"dddd")</f>
        <v>Monday</v>
      </c>
      <c r="V425" cm="1">
        <f t="array" ref="V425">_xlfn.SWITCH(tbl_analysis_tickets[[#This Row],[priority]],
"Urgent",1,
"High",2,
"Medium",3,
"Low",4
)</f>
        <v>1</v>
      </c>
    </row>
    <row r="426" spans="1:22" x14ac:dyDescent="0.25">
      <c r="A426">
        <v>425</v>
      </c>
      <c r="B426" s="1">
        <v>45423</v>
      </c>
      <c r="C426" t="s">
        <v>23</v>
      </c>
      <c r="D426" t="s">
        <v>11</v>
      </c>
      <c r="E426">
        <v>88</v>
      </c>
      <c r="F426">
        <v>45</v>
      </c>
      <c r="G426">
        <v>2.9</v>
      </c>
      <c r="H426" t="s">
        <v>18</v>
      </c>
      <c r="I426" t="s">
        <v>13</v>
      </c>
      <c r="J426" t="s">
        <v>11</v>
      </c>
      <c r="K426">
        <f>_xlfn.XLOOKUP(tbl_analysis_tickets[[#This Row],[priority]],tbl_sla[priority],tbl_sla[Resolution SLA Hours])</f>
        <v>72</v>
      </c>
      <c r="L426">
        <f>_xlfn.XLOOKUP(tbl_analysis_tickets[[#This Row],[priority]],tbl_sla[priority],tbl_sla[First Response SLA Minutes])</f>
        <v>240</v>
      </c>
      <c r="M426" t="str">
        <f>IF(tbl_analysis_tickets[[#This Row],[resolution_time_hours]]&gt;tbl_analysis_tickets[[#This Row],[Resolution SLA Hours]],"Breached","Within SLA")</f>
        <v>Within SLA</v>
      </c>
      <c r="N426" t="str">
        <f>IF(tbl_analysis_tickets[[#This Row],[first_response_minutes]]&gt;tbl_analysis_tickets[[#This Row],[First Response SLA Minutes]],"Breached","Within SLA")</f>
        <v>Within SLA</v>
      </c>
      <c r="O426" t="str" cm="1">
        <f t="array" ref="O426">_xlfn.IFS(
tbl_analysis_tickets[[#This Row],[agent_experience_years]]&lt;=2,"Junior",
tbl_analysis_tickets[[#This Row],[agent_experience_years]]&lt;=5,"Mid-Level",
tbl_analysis_tickets[[#This Row],[agent_experience_years]]&lt;=8,"Senior",
tbl_analysis_tickets[[#This Row],[agent_experience_years]]&gt;8,"Expert"
)</f>
        <v>Mid-Level</v>
      </c>
      <c r="P426" cm="1">
        <f t="array" ref="P426">_xlfn.SWITCH(tbl_analysis_tickets[[#This Row],[customer_satisfaction]],
"Low",1,
"Medium",2,
"High",3
)</f>
        <v>1</v>
      </c>
      <c r="Q426">
        <f>IF(tbl_analysis_tickets[[#This Row],[reopened]]="Yes",1,0)</f>
        <v>0</v>
      </c>
      <c r="R426" t="str" cm="1">
        <f t="array" ref="R426">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426" t="str" cm="1">
        <f t="array" ref="S42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426" t="str">
        <f>TEXT(tbl_analysis_tickets[[#This Row],[created_date]],"mmm-yyyy")</f>
        <v>May-2024</v>
      </c>
      <c r="U426" t="str">
        <f>TEXT(tbl_analysis_tickets[[#This Row],[created_date]],"dddd")</f>
        <v>Saturday</v>
      </c>
      <c r="V426" cm="1">
        <f t="array" ref="V426">_xlfn.SWITCH(tbl_analysis_tickets[[#This Row],[priority]],
"Urgent",1,
"High",2,
"Medium",3,
"Low",4
)</f>
        <v>4</v>
      </c>
    </row>
    <row r="427" spans="1:22" x14ac:dyDescent="0.25">
      <c r="A427">
        <v>426</v>
      </c>
      <c r="B427" s="1">
        <v>45556</v>
      </c>
      <c r="C427" t="s">
        <v>23</v>
      </c>
      <c r="D427" t="s">
        <v>17</v>
      </c>
      <c r="E427">
        <v>15</v>
      </c>
      <c r="F427">
        <v>22</v>
      </c>
      <c r="G427">
        <v>3.3</v>
      </c>
      <c r="H427" t="s">
        <v>18</v>
      </c>
      <c r="I427" t="s">
        <v>13</v>
      </c>
      <c r="J427" t="s">
        <v>15</v>
      </c>
      <c r="K427">
        <f>_xlfn.XLOOKUP(tbl_analysis_tickets[[#This Row],[priority]],tbl_sla[priority],tbl_sla[Resolution SLA Hours])</f>
        <v>8</v>
      </c>
      <c r="L427">
        <f>_xlfn.XLOOKUP(tbl_analysis_tickets[[#This Row],[priority]],tbl_sla[priority],tbl_sla[First Response SLA Minutes])</f>
        <v>30</v>
      </c>
      <c r="M427" t="str">
        <f>IF(tbl_analysis_tickets[[#This Row],[resolution_time_hours]]&gt;tbl_analysis_tickets[[#This Row],[Resolution SLA Hours]],"Breached","Within SLA")</f>
        <v>Breached</v>
      </c>
      <c r="N427" t="str">
        <f>IF(tbl_analysis_tickets[[#This Row],[first_response_minutes]]&gt;tbl_analysis_tickets[[#This Row],[First Response SLA Minutes]],"Breached","Within SLA")</f>
        <v>Within SLA</v>
      </c>
      <c r="O427" t="str" cm="1">
        <f t="array" ref="O427">_xlfn.IFS(
tbl_analysis_tickets[[#This Row],[agent_experience_years]]&lt;=2,"Junior",
tbl_analysis_tickets[[#This Row],[agent_experience_years]]&lt;=5,"Mid-Level",
tbl_analysis_tickets[[#This Row],[agent_experience_years]]&lt;=8,"Senior",
tbl_analysis_tickets[[#This Row],[agent_experience_years]]&gt;8,"Expert"
)</f>
        <v>Mid-Level</v>
      </c>
      <c r="P427" cm="1">
        <f t="array" ref="P427">_xlfn.SWITCH(tbl_analysis_tickets[[#This Row],[customer_satisfaction]],
"Low",1,
"Medium",2,
"High",3
)</f>
        <v>2</v>
      </c>
      <c r="Q427">
        <f>IF(tbl_analysis_tickets[[#This Row],[reopened]]="Yes",1,0)</f>
        <v>0</v>
      </c>
      <c r="R427" t="str" cm="1">
        <f t="array" ref="R427">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427" t="str" cm="1">
        <f t="array" ref="S42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427" t="str">
        <f>TEXT(tbl_analysis_tickets[[#This Row],[created_date]],"mmm-yyyy")</f>
        <v>Sep-2024</v>
      </c>
      <c r="U427" t="str">
        <f>TEXT(tbl_analysis_tickets[[#This Row],[created_date]],"dddd")</f>
        <v>Saturday</v>
      </c>
      <c r="V427" cm="1">
        <f t="array" ref="V427">_xlfn.SWITCH(tbl_analysis_tickets[[#This Row],[priority]],
"Urgent",1,
"High",2,
"Medium",3,
"Low",4
)</f>
        <v>1</v>
      </c>
    </row>
    <row r="428" spans="1:22" x14ac:dyDescent="0.25">
      <c r="A428">
        <v>427</v>
      </c>
      <c r="B428" s="1">
        <v>45572</v>
      </c>
      <c r="C428" t="s">
        <v>22</v>
      </c>
      <c r="D428" t="s">
        <v>20</v>
      </c>
      <c r="E428">
        <v>42</v>
      </c>
      <c r="F428">
        <v>69</v>
      </c>
      <c r="G428">
        <v>7.5</v>
      </c>
      <c r="H428" t="s">
        <v>18</v>
      </c>
      <c r="I428" t="s">
        <v>19</v>
      </c>
      <c r="J428" t="s">
        <v>11</v>
      </c>
      <c r="K428">
        <f>_xlfn.XLOOKUP(tbl_analysis_tickets[[#This Row],[priority]],tbl_sla[priority],tbl_sla[Resolution SLA Hours])</f>
        <v>24</v>
      </c>
      <c r="L428">
        <f>_xlfn.XLOOKUP(tbl_analysis_tickets[[#This Row],[priority]],tbl_sla[priority],tbl_sla[First Response SLA Minutes])</f>
        <v>60</v>
      </c>
      <c r="M428" t="str">
        <f>IF(tbl_analysis_tickets[[#This Row],[resolution_time_hours]]&gt;tbl_analysis_tickets[[#This Row],[Resolution SLA Hours]],"Breached","Within SLA")</f>
        <v>Breached</v>
      </c>
      <c r="N428" t="str">
        <f>IF(tbl_analysis_tickets[[#This Row],[first_response_minutes]]&gt;tbl_analysis_tickets[[#This Row],[First Response SLA Minutes]],"Breached","Within SLA")</f>
        <v>Within SLA</v>
      </c>
      <c r="O428" t="str" cm="1">
        <f t="array" ref="O428">_xlfn.IFS(
tbl_analysis_tickets[[#This Row],[agent_experience_years]]&lt;=2,"Junior",
tbl_analysis_tickets[[#This Row],[agent_experience_years]]&lt;=5,"Mid-Level",
tbl_analysis_tickets[[#This Row],[agent_experience_years]]&lt;=8,"Senior",
tbl_analysis_tickets[[#This Row],[agent_experience_years]]&gt;8,"Expert"
)</f>
        <v>Senior</v>
      </c>
      <c r="P428" cm="1">
        <f t="array" ref="P428">_xlfn.SWITCH(tbl_analysis_tickets[[#This Row],[customer_satisfaction]],
"Low",1,
"Medium",2,
"High",3
)</f>
        <v>1</v>
      </c>
      <c r="Q428">
        <f>IF(tbl_analysis_tickets[[#This Row],[reopened]]="Yes",1,0)</f>
        <v>0</v>
      </c>
      <c r="R428" t="str" cm="1">
        <f t="array" ref="R428">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428" t="str" cm="1">
        <f t="array" ref="S42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428" t="str">
        <f>TEXT(tbl_analysis_tickets[[#This Row],[created_date]],"mmm-yyyy")</f>
        <v>Oct-2024</v>
      </c>
      <c r="U428" t="str">
        <f>TEXT(tbl_analysis_tickets[[#This Row],[created_date]],"dddd")</f>
        <v>Monday</v>
      </c>
      <c r="V428" cm="1">
        <f t="array" ref="V428">_xlfn.SWITCH(tbl_analysis_tickets[[#This Row],[priority]],
"Urgent",1,
"High",2,
"Medium",3,
"Low",4
)</f>
        <v>2</v>
      </c>
    </row>
    <row r="429" spans="1:22" x14ac:dyDescent="0.25">
      <c r="A429">
        <v>428</v>
      </c>
      <c r="B429" s="1">
        <v>45454</v>
      </c>
      <c r="C429" t="s">
        <v>23</v>
      </c>
      <c r="D429" t="s">
        <v>15</v>
      </c>
      <c r="E429">
        <v>154</v>
      </c>
      <c r="F429">
        <v>47</v>
      </c>
      <c r="G429">
        <v>7.6</v>
      </c>
      <c r="H429" t="s">
        <v>18</v>
      </c>
      <c r="I429" t="s">
        <v>13</v>
      </c>
      <c r="J429" t="s">
        <v>15</v>
      </c>
      <c r="K429">
        <f>_xlfn.XLOOKUP(tbl_analysis_tickets[[#This Row],[priority]],tbl_sla[priority],tbl_sla[Resolution SLA Hours])</f>
        <v>48</v>
      </c>
      <c r="L429">
        <f>_xlfn.XLOOKUP(tbl_analysis_tickets[[#This Row],[priority]],tbl_sla[priority],tbl_sla[First Response SLA Minutes])</f>
        <v>120</v>
      </c>
      <c r="M429" t="str">
        <f>IF(tbl_analysis_tickets[[#This Row],[resolution_time_hours]]&gt;tbl_analysis_tickets[[#This Row],[Resolution SLA Hours]],"Breached","Within SLA")</f>
        <v>Within SLA</v>
      </c>
      <c r="N429" t="str">
        <f>IF(tbl_analysis_tickets[[#This Row],[first_response_minutes]]&gt;tbl_analysis_tickets[[#This Row],[First Response SLA Minutes]],"Breached","Within SLA")</f>
        <v>Breached</v>
      </c>
      <c r="O429" t="str" cm="1">
        <f t="array" ref="O429">_xlfn.IFS(
tbl_analysis_tickets[[#This Row],[agent_experience_years]]&lt;=2,"Junior",
tbl_analysis_tickets[[#This Row],[agent_experience_years]]&lt;=5,"Mid-Level",
tbl_analysis_tickets[[#This Row],[agent_experience_years]]&lt;=8,"Senior",
tbl_analysis_tickets[[#This Row],[agent_experience_years]]&gt;8,"Expert"
)</f>
        <v>Senior</v>
      </c>
      <c r="P429" cm="1">
        <f t="array" ref="P429">_xlfn.SWITCH(tbl_analysis_tickets[[#This Row],[customer_satisfaction]],
"Low",1,
"Medium",2,
"High",3
)</f>
        <v>2</v>
      </c>
      <c r="Q429">
        <f>IF(tbl_analysis_tickets[[#This Row],[reopened]]="Yes",1,0)</f>
        <v>0</v>
      </c>
      <c r="R429" t="str" cm="1">
        <f t="array" ref="R429">_xlfn.IFS(
tbl_analysis_tickets[[#This Row],[first_response_minutes]]&lt;=30,"Very Fast",
tbl_analysis_tickets[[#This Row],[first_response_minutes]]&lt;=120,"Acceptable",
tbl_analysis_tickets[[#This Row],[first_response_minutes]]&lt;=240,"Slow",
tbl_analysis_tickets[[#This Row],[first_response_minutes]]&gt;240,"Very Slow"
)</f>
        <v>Slow</v>
      </c>
      <c r="S429" t="str" cm="1">
        <f t="array" ref="S42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429" t="str">
        <f>TEXT(tbl_analysis_tickets[[#This Row],[created_date]],"mmm-yyyy")</f>
        <v>Jun-2024</v>
      </c>
      <c r="U429" t="str">
        <f>TEXT(tbl_analysis_tickets[[#This Row],[created_date]],"dddd")</f>
        <v>Tuesday</v>
      </c>
      <c r="V429" cm="1">
        <f t="array" ref="V429">_xlfn.SWITCH(tbl_analysis_tickets[[#This Row],[priority]],
"Urgent",1,
"High",2,
"Medium",3,
"Low",4
)</f>
        <v>3</v>
      </c>
    </row>
    <row r="430" spans="1:22" x14ac:dyDescent="0.25">
      <c r="A430">
        <v>429</v>
      </c>
      <c r="B430" s="1">
        <v>45450</v>
      </c>
      <c r="C430" t="s">
        <v>14</v>
      </c>
      <c r="D430" t="s">
        <v>17</v>
      </c>
      <c r="E430">
        <v>230</v>
      </c>
      <c r="F430">
        <v>58</v>
      </c>
      <c r="G430">
        <v>5.4</v>
      </c>
      <c r="H430" t="s">
        <v>18</v>
      </c>
      <c r="I430" t="s">
        <v>19</v>
      </c>
      <c r="J430" t="s">
        <v>11</v>
      </c>
      <c r="K430">
        <f>_xlfn.XLOOKUP(tbl_analysis_tickets[[#This Row],[priority]],tbl_sla[priority],tbl_sla[Resolution SLA Hours])</f>
        <v>8</v>
      </c>
      <c r="L430">
        <f>_xlfn.XLOOKUP(tbl_analysis_tickets[[#This Row],[priority]],tbl_sla[priority],tbl_sla[First Response SLA Minutes])</f>
        <v>30</v>
      </c>
      <c r="M430" t="str">
        <f>IF(tbl_analysis_tickets[[#This Row],[resolution_time_hours]]&gt;tbl_analysis_tickets[[#This Row],[Resolution SLA Hours]],"Breached","Within SLA")</f>
        <v>Breached</v>
      </c>
      <c r="N430" t="str">
        <f>IF(tbl_analysis_tickets[[#This Row],[first_response_minutes]]&gt;tbl_analysis_tickets[[#This Row],[First Response SLA Minutes]],"Breached","Within SLA")</f>
        <v>Breached</v>
      </c>
      <c r="O430" t="str" cm="1">
        <f t="array" ref="O430">_xlfn.IFS(
tbl_analysis_tickets[[#This Row],[agent_experience_years]]&lt;=2,"Junior",
tbl_analysis_tickets[[#This Row],[agent_experience_years]]&lt;=5,"Mid-Level",
tbl_analysis_tickets[[#This Row],[agent_experience_years]]&lt;=8,"Senior",
tbl_analysis_tickets[[#This Row],[agent_experience_years]]&gt;8,"Expert"
)</f>
        <v>Senior</v>
      </c>
      <c r="P430" cm="1">
        <f t="array" ref="P430">_xlfn.SWITCH(tbl_analysis_tickets[[#This Row],[customer_satisfaction]],
"Low",1,
"Medium",2,
"High",3
)</f>
        <v>1</v>
      </c>
      <c r="Q430">
        <f>IF(tbl_analysis_tickets[[#This Row],[reopened]]="Yes",1,0)</f>
        <v>0</v>
      </c>
      <c r="R430" t="str" cm="1">
        <f t="array" ref="R430">_xlfn.IFS(
tbl_analysis_tickets[[#This Row],[first_response_minutes]]&lt;=30,"Very Fast",
tbl_analysis_tickets[[#This Row],[first_response_minutes]]&lt;=120,"Acceptable",
tbl_analysis_tickets[[#This Row],[first_response_minutes]]&lt;=240,"Slow",
tbl_analysis_tickets[[#This Row],[first_response_minutes]]&gt;240,"Very Slow"
)</f>
        <v>Slow</v>
      </c>
      <c r="S430" t="str" cm="1">
        <f t="array" ref="S43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430" t="str">
        <f>TEXT(tbl_analysis_tickets[[#This Row],[created_date]],"mmm-yyyy")</f>
        <v>Jun-2024</v>
      </c>
      <c r="U430" t="str">
        <f>TEXT(tbl_analysis_tickets[[#This Row],[created_date]],"dddd")</f>
        <v>Friday</v>
      </c>
      <c r="V430" cm="1">
        <f t="array" ref="V430">_xlfn.SWITCH(tbl_analysis_tickets[[#This Row],[priority]],
"Urgent",1,
"High",2,
"Medium",3,
"Low",4
)</f>
        <v>1</v>
      </c>
    </row>
    <row r="431" spans="1:22" x14ac:dyDescent="0.25">
      <c r="A431">
        <v>430</v>
      </c>
      <c r="B431" s="1">
        <v>45398</v>
      </c>
      <c r="C431" t="s">
        <v>14</v>
      </c>
      <c r="D431" t="s">
        <v>17</v>
      </c>
      <c r="E431">
        <v>218</v>
      </c>
      <c r="F431">
        <v>33</v>
      </c>
      <c r="G431">
        <v>1.3</v>
      </c>
      <c r="H431" t="s">
        <v>12</v>
      </c>
      <c r="I431" t="s">
        <v>16</v>
      </c>
      <c r="J431" t="s">
        <v>11</v>
      </c>
      <c r="K431">
        <f>_xlfn.XLOOKUP(tbl_analysis_tickets[[#This Row],[priority]],tbl_sla[priority],tbl_sla[Resolution SLA Hours])</f>
        <v>8</v>
      </c>
      <c r="L431">
        <f>_xlfn.XLOOKUP(tbl_analysis_tickets[[#This Row],[priority]],tbl_sla[priority],tbl_sla[First Response SLA Minutes])</f>
        <v>30</v>
      </c>
      <c r="M431" t="str">
        <f>IF(tbl_analysis_tickets[[#This Row],[resolution_time_hours]]&gt;tbl_analysis_tickets[[#This Row],[Resolution SLA Hours]],"Breached","Within SLA")</f>
        <v>Breached</v>
      </c>
      <c r="N431" t="str">
        <f>IF(tbl_analysis_tickets[[#This Row],[first_response_minutes]]&gt;tbl_analysis_tickets[[#This Row],[First Response SLA Minutes]],"Breached","Within SLA")</f>
        <v>Breached</v>
      </c>
      <c r="O431" t="str" cm="1">
        <f t="array" ref="O431">_xlfn.IFS(
tbl_analysis_tickets[[#This Row],[agent_experience_years]]&lt;=2,"Junior",
tbl_analysis_tickets[[#This Row],[agent_experience_years]]&lt;=5,"Mid-Level",
tbl_analysis_tickets[[#This Row],[agent_experience_years]]&lt;=8,"Senior",
tbl_analysis_tickets[[#This Row],[agent_experience_years]]&gt;8,"Expert"
)</f>
        <v>Junior</v>
      </c>
      <c r="P431" cm="1">
        <f t="array" ref="P431">_xlfn.SWITCH(tbl_analysis_tickets[[#This Row],[customer_satisfaction]],
"Low",1,
"Medium",2,
"High",3
)</f>
        <v>1</v>
      </c>
      <c r="Q431">
        <f>IF(tbl_analysis_tickets[[#This Row],[reopened]]="Yes",1,0)</f>
        <v>1</v>
      </c>
      <c r="R431" t="str" cm="1">
        <f t="array" ref="R431">_xlfn.IFS(
tbl_analysis_tickets[[#This Row],[first_response_minutes]]&lt;=30,"Very Fast",
tbl_analysis_tickets[[#This Row],[first_response_minutes]]&lt;=120,"Acceptable",
tbl_analysis_tickets[[#This Row],[first_response_minutes]]&lt;=240,"Slow",
tbl_analysis_tickets[[#This Row],[first_response_minutes]]&gt;240,"Very Slow"
)</f>
        <v>Slow</v>
      </c>
      <c r="S431" t="str" cm="1">
        <f t="array" ref="S43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431" t="str">
        <f>TEXT(tbl_analysis_tickets[[#This Row],[created_date]],"mmm-yyyy")</f>
        <v>Apr-2024</v>
      </c>
      <c r="U431" t="str">
        <f>TEXT(tbl_analysis_tickets[[#This Row],[created_date]],"dddd")</f>
        <v>Tuesday</v>
      </c>
      <c r="V431" cm="1">
        <f t="array" ref="V431">_xlfn.SWITCH(tbl_analysis_tickets[[#This Row],[priority]],
"Urgent",1,
"High",2,
"Medium",3,
"Low",4
)</f>
        <v>1</v>
      </c>
    </row>
    <row r="432" spans="1:22" x14ac:dyDescent="0.25">
      <c r="A432">
        <v>431</v>
      </c>
      <c r="B432" s="1">
        <v>45566</v>
      </c>
      <c r="C432" t="s">
        <v>22</v>
      </c>
      <c r="D432" t="s">
        <v>11</v>
      </c>
      <c r="E432">
        <v>171</v>
      </c>
      <c r="F432">
        <v>37</v>
      </c>
      <c r="G432">
        <v>5.0999999999999996</v>
      </c>
      <c r="H432" t="s">
        <v>12</v>
      </c>
      <c r="I432" t="s">
        <v>16</v>
      </c>
      <c r="J432" t="s">
        <v>11</v>
      </c>
      <c r="K432">
        <f>_xlfn.XLOOKUP(tbl_analysis_tickets[[#This Row],[priority]],tbl_sla[priority],tbl_sla[Resolution SLA Hours])</f>
        <v>72</v>
      </c>
      <c r="L432">
        <f>_xlfn.XLOOKUP(tbl_analysis_tickets[[#This Row],[priority]],tbl_sla[priority],tbl_sla[First Response SLA Minutes])</f>
        <v>240</v>
      </c>
      <c r="M432" t="str">
        <f>IF(tbl_analysis_tickets[[#This Row],[resolution_time_hours]]&gt;tbl_analysis_tickets[[#This Row],[Resolution SLA Hours]],"Breached","Within SLA")</f>
        <v>Within SLA</v>
      </c>
      <c r="N432" t="str">
        <f>IF(tbl_analysis_tickets[[#This Row],[first_response_minutes]]&gt;tbl_analysis_tickets[[#This Row],[First Response SLA Minutes]],"Breached","Within SLA")</f>
        <v>Within SLA</v>
      </c>
      <c r="O432" t="str" cm="1">
        <f t="array" ref="O432">_xlfn.IFS(
tbl_analysis_tickets[[#This Row],[agent_experience_years]]&lt;=2,"Junior",
tbl_analysis_tickets[[#This Row],[agent_experience_years]]&lt;=5,"Mid-Level",
tbl_analysis_tickets[[#This Row],[agent_experience_years]]&lt;=8,"Senior",
tbl_analysis_tickets[[#This Row],[agent_experience_years]]&gt;8,"Expert"
)</f>
        <v>Senior</v>
      </c>
      <c r="P432" cm="1">
        <f t="array" ref="P432">_xlfn.SWITCH(tbl_analysis_tickets[[#This Row],[customer_satisfaction]],
"Low",1,
"Medium",2,
"High",3
)</f>
        <v>1</v>
      </c>
      <c r="Q432">
        <f>IF(tbl_analysis_tickets[[#This Row],[reopened]]="Yes",1,0)</f>
        <v>1</v>
      </c>
      <c r="R432" t="str" cm="1">
        <f t="array" ref="R432">_xlfn.IFS(
tbl_analysis_tickets[[#This Row],[first_response_minutes]]&lt;=30,"Very Fast",
tbl_analysis_tickets[[#This Row],[first_response_minutes]]&lt;=120,"Acceptable",
tbl_analysis_tickets[[#This Row],[first_response_minutes]]&lt;=240,"Slow",
tbl_analysis_tickets[[#This Row],[first_response_minutes]]&gt;240,"Very Slow"
)</f>
        <v>Slow</v>
      </c>
      <c r="S432" t="str" cm="1">
        <f t="array" ref="S43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432" t="str">
        <f>TEXT(tbl_analysis_tickets[[#This Row],[created_date]],"mmm-yyyy")</f>
        <v>Oct-2024</v>
      </c>
      <c r="U432" t="str">
        <f>TEXT(tbl_analysis_tickets[[#This Row],[created_date]],"dddd")</f>
        <v>Tuesday</v>
      </c>
      <c r="V432" cm="1">
        <f t="array" ref="V432">_xlfn.SWITCH(tbl_analysis_tickets[[#This Row],[priority]],
"Urgent",1,
"High",2,
"Medium",3,
"Low",4
)</f>
        <v>4</v>
      </c>
    </row>
    <row r="433" spans="1:22" x14ac:dyDescent="0.25">
      <c r="A433">
        <v>432</v>
      </c>
      <c r="B433" s="1">
        <v>45627</v>
      </c>
      <c r="C433" t="s">
        <v>21</v>
      </c>
      <c r="D433" t="s">
        <v>20</v>
      </c>
      <c r="E433">
        <v>218</v>
      </c>
      <c r="F433">
        <v>36</v>
      </c>
      <c r="G433">
        <v>4</v>
      </c>
      <c r="H433" t="s">
        <v>12</v>
      </c>
      <c r="I433" t="s">
        <v>19</v>
      </c>
      <c r="J433" t="s">
        <v>11</v>
      </c>
      <c r="K433">
        <f>_xlfn.XLOOKUP(tbl_analysis_tickets[[#This Row],[priority]],tbl_sla[priority],tbl_sla[Resolution SLA Hours])</f>
        <v>24</v>
      </c>
      <c r="L433">
        <f>_xlfn.XLOOKUP(tbl_analysis_tickets[[#This Row],[priority]],tbl_sla[priority],tbl_sla[First Response SLA Minutes])</f>
        <v>60</v>
      </c>
      <c r="M433" t="str">
        <f>IF(tbl_analysis_tickets[[#This Row],[resolution_time_hours]]&gt;tbl_analysis_tickets[[#This Row],[Resolution SLA Hours]],"Breached","Within SLA")</f>
        <v>Breached</v>
      </c>
      <c r="N433" t="str">
        <f>IF(tbl_analysis_tickets[[#This Row],[first_response_minutes]]&gt;tbl_analysis_tickets[[#This Row],[First Response SLA Minutes]],"Breached","Within SLA")</f>
        <v>Breached</v>
      </c>
      <c r="O433" t="str" cm="1">
        <f t="array" ref="O433">_xlfn.IFS(
tbl_analysis_tickets[[#This Row],[agent_experience_years]]&lt;=2,"Junior",
tbl_analysis_tickets[[#This Row],[agent_experience_years]]&lt;=5,"Mid-Level",
tbl_analysis_tickets[[#This Row],[agent_experience_years]]&lt;=8,"Senior",
tbl_analysis_tickets[[#This Row],[agent_experience_years]]&gt;8,"Expert"
)</f>
        <v>Mid-Level</v>
      </c>
      <c r="P433" cm="1">
        <f t="array" ref="P433">_xlfn.SWITCH(tbl_analysis_tickets[[#This Row],[customer_satisfaction]],
"Low",1,
"Medium",2,
"High",3
)</f>
        <v>1</v>
      </c>
      <c r="Q433">
        <f>IF(tbl_analysis_tickets[[#This Row],[reopened]]="Yes",1,0)</f>
        <v>1</v>
      </c>
      <c r="R433" t="str" cm="1">
        <f t="array" ref="R433">_xlfn.IFS(
tbl_analysis_tickets[[#This Row],[first_response_minutes]]&lt;=30,"Very Fast",
tbl_analysis_tickets[[#This Row],[first_response_minutes]]&lt;=120,"Acceptable",
tbl_analysis_tickets[[#This Row],[first_response_minutes]]&lt;=240,"Slow",
tbl_analysis_tickets[[#This Row],[first_response_minutes]]&gt;240,"Very Slow"
)</f>
        <v>Slow</v>
      </c>
      <c r="S433" t="str" cm="1">
        <f t="array" ref="S43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433" t="str">
        <f>TEXT(tbl_analysis_tickets[[#This Row],[created_date]],"mmm-yyyy")</f>
        <v>Dec-2024</v>
      </c>
      <c r="U433" t="str">
        <f>TEXT(tbl_analysis_tickets[[#This Row],[created_date]],"dddd")</f>
        <v>Sunday</v>
      </c>
      <c r="V433" cm="1">
        <f t="array" ref="V433">_xlfn.SWITCH(tbl_analysis_tickets[[#This Row],[priority]],
"Urgent",1,
"High",2,
"Medium",3,
"Low",4
)</f>
        <v>2</v>
      </c>
    </row>
    <row r="434" spans="1:22" x14ac:dyDescent="0.25">
      <c r="A434">
        <v>433</v>
      </c>
      <c r="B434" s="1">
        <v>45468</v>
      </c>
      <c r="C434" t="s">
        <v>22</v>
      </c>
      <c r="D434" t="s">
        <v>20</v>
      </c>
      <c r="E434">
        <v>83</v>
      </c>
      <c r="F434">
        <v>11</v>
      </c>
      <c r="G434">
        <v>3</v>
      </c>
      <c r="H434" t="s">
        <v>12</v>
      </c>
      <c r="I434" t="s">
        <v>16</v>
      </c>
      <c r="J434" t="s">
        <v>11</v>
      </c>
      <c r="K434">
        <f>_xlfn.XLOOKUP(tbl_analysis_tickets[[#This Row],[priority]],tbl_sla[priority],tbl_sla[Resolution SLA Hours])</f>
        <v>24</v>
      </c>
      <c r="L434">
        <f>_xlfn.XLOOKUP(tbl_analysis_tickets[[#This Row],[priority]],tbl_sla[priority],tbl_sla[First Response SLA Minutes])</f>
        <v>60</v>
      </c>
      <c r="M434" t="str">
        <f>IF(tbl_analysis_tickets[[#This Row],[resolution_time_hours]]&gt;tbl_analysis_tickets[[#This Row],[Resolution SLA Hours]],"Breached","Within SLA")</f>
        <v>Within SLA</v>
      </c>
      <c r="N434" t="str">
        <f>IF(tbl_analysis_tickets[[#This Row],[first_response_minutes]]&gt;tbl_analysis_tickets[[#This Row],[First Response SLA Minutes]],"Breached","Within SLA")</f>
        <v>Breached</v>
      </c>
      <c r="O434" t="str" cm="1">
        <f t="array" ref="O434">_xlfn.IFS(
tbl_analysis_tickets[[#This Row],[agent_experience_years]]&lt;=2,"Junior",
tbl_analysis_tickets[[#This Row],[agent_experience_years]]&lt;=5,"Mid-Level",
tbl_analysis_tickets[[#This Row],[agent_experience_years]]&lt;=8,"Senior",
tbl_analysis_tickets[[#This Row],[agent_experience_years]]&gt;8,"Expert"
)</f>
        <v>Mid-Level</v>
      </c>
      <c r="P434" cm="1">
        <f t="array" ref="P434">_xlfn.SWITCH(tbl_analysis_tickets[[#This Row],[customer_satisfaction]],
"Low",1,
"Medium",2,
"High",3
)</f>
        <v>1</v>
      </c>
      <c r="Q434">
        <f>IF(tbl_analysis_tickets[[#This Row],[reopened]]="Yes",1,0)</f>
        <v>1</v>
      </c>
      <c r="R434" t="str" cm="1">
        <f t="array" ref="R434">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434" t="str" cm="1">
        <f t="array" ref="S43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434" t="str">
        <f>TEXT(tbl_analysis_tickets[[#This Row],[created_date]],"mmm-yyyy")</f>
        <v>Jun-2024</v>
      </c>
      <c r="U434" t="str">
        <f>TEXT(tbl_analysis_tickets[[#This Row],[created_date]],"dddd")</f>
        <v>Tuesday</v>
      </c>
      <c r="V434" cm="1">
        <f t="array" ref="V434">_xlfn.SWITCH(tbl_analysis_tickets[[#This Row],[priority]],
"Urgent",1,
"High",2,
"Medium",3,
"Low",4
)</f>
        <v>2</v>
      </c>
    </row>
    <row r="435" spans="1:22" x14ac:dyDescent="0.25">
      <c r="A435">
        <v>434</v>
      </c>
      <c r="B435" s="1">
        <v>45528</v>
      </c>
      <c r="C435" t="s">
        <v>23</v>
      </c>
      <c r="D435" t="s">
        <v>17</v>
      </c>
      <c r="E435">
        <v>100</v>
      </c>
      <c r="F435">
        <v>29</v>
      </c>
      <c r="G435">
        <v>5.6</v>
      </c>
      <c r="H435" t="s">
        <v>18</v>
      </c>
      <c r="I435" t="s">
        <v>19</v>
      </c>
      <c r="J435" t="s">
        <v>11</v>
      </c>
      <c r="K435">
        <f>_xlfn.XLOOKUP(tbl_analysis_tickets[[#This Row],[priority]],tbl_sla[priority],tbl_sla[Resolution SLA Hours])</f>
        <v>8</v>
      </c>
      <c r="L435">
        <f>_xlfn.XLOOKUP(tbl_analysis_tickets[[#This Row],[priority]],tbl_sla[priority],tbl_sla[First Response SLA Minutes])</f>
        <v>30</v>
      </c>
      <c r="M435" t="str">
        <f>IF(tbl_analysis_tickets[[#This Row],[resolution_time_hours]]&gt;tbl_analysis_tickets[[#This Row],[Resolution SLA Hours]],"Breached","Within SLA")</f>
        <v>Breached</v>
      </c>
      <c r="N435" t="str">
        <f>IF(tbl_analysis_tickets[[#This Row],[first_response_minutes]]&gt;tbl_analysis_tickets[[#This Row],[First Response SLA Minutes]],"Breached","Within SLA")</f>
        <v>Breached</v>
      </c>
      <c r="O435" t="str" cm="1">
        <f t="array" ref="O435">_xlfn.IFS(
tbl_analysis_tickets[[#This Row],[agent_experience_years]]&lt;=2,"Junior",
tbl_analysis_tickets[[#This Row],[agent_experience_years]]&lt;=5,"Mid-Level",
tbl_analysis_tickets[[#This Row],[agent_experience_years]]&lt;=8,"Senior",
tbl_analysis_tickets[[#This Row],[agent_experience_years]]&gt;8,"Expert"
)</f>
        <v>Senior</v>
      </c>
      <c r="P435" cm="1">
        <f t="array" ref="P435">_xlfn.SWITCH(tbl_analysis_tickets[[#This Row],[customer_satisfaction]],
"Low",1,
"Medium",2,
"High",3
)</f>
        <v>1</v>
      </c>
      <c r="Q435">
        <f>IF(tbl_analysis_tickets[[#This Row],[reopened]]="Yes",1,0)</f>
        <v>0</v>
      </c>
      <c r="R435" t="str" cm="1">
        <f t="array" ref="R435">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435" t="str" cm="1">
        <f t="array" ref="S43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435" t="str">
        <f>TEXT(tbl_analysis_tickets[[#This Row],[created_date]],"mmm-yyyy")</f>
        <v>Aug-2024</v>
      </c>
      <c r="U435" t="str">
        <f>TEXT(tbl_analysis_tickets[[#This Row],[created_date]],"dddd")</f>
        <v>Saturday</v>
      </c>
      <c r="V435" cm="1">
        <f t="array" ref="V435">_xlfn.SWITCH(tbl_analysis_tickets[[#This Row],[priority]],
"Urgent",1,
"High",2,
"Medium",3,
"Low",4
)</f>
        <v>1</v>
      </c>
    </row>
    <row r="436" spans="1:22" x14ac:dyDescent="0.25">
      <c r="A436">
        <v>435</v>
      </c>
      <c r="B436" s="1">
        <v>45454</v>
      </c>
      <c r="C436" t="s">
        <v>23</v>
      </c>
      <c r="D436" t="s">
        <v>15</v>
      </c>
      <c r="E436">
        <v>168</v>
      </c>
      <c r="F436">
        <v>52</v>
      </c>
      <c r="G436">
        <v>7.8</v>
      </c>
      <c r="H436" t="s">
        <v>18</v>
      </c>
      <c r="I436" t="s">
        <v>19</v>
      </c>
      <c r="J436" t="s">
        <v>15</v>
      </c>
      <c r="K436">
        <f>_xlfn.XLOOKUP(tbl_analysis_tickets[[#This Row],[priority]],tbl_sla[priority],tbl_sla[Resolution SLA Hours])</f>
        <v>48</v>
      </c>
      <c r="L436">
        <f>_xlfn.XLOOKUP(tbl_analysis_tickets[[#This Row],[priority]],tbl_sla[priority],tbl_sla[First Response SLA Minutes])</f>
        <v>120</v>
      </c>
      <c r="M436" t="str">
        <f>IF(tbl_analysis_tickets[[#This Row],[resolution_time_hours]]&gt;tbl_analysis_tickets[[#This Row],[Resolution SLA Hours]],"Breached","Within SLA")</f>
        <v>Breached</v>
      </c>
      <c r="N436" t="str">
        <f>IF(tbl_analysis_tickets[[#This Row],[first_response_minutes]]&gt;tbl_analysis_tickets[[#This Row],[First Response SLA Minutes]],"Breached","Within SLA")</f>
        <v>Breached</v>
      </c>
      <c r="O436" t="str" cm="1">
        <f t="array" ref="O436">_xlfn.IFS(
tbl_analysis_tickets[[#This Row],[agent_experience_years]]&lt;=2,"Junior",
tbl_analysis_tickets[[#This Row],[agent_experience_years]]&lt;=5,"Mid-Level",
tbl_analysis_tickets[[#This Row],[agent_experience_years]]&lt;=8,"Senior",
tbl_analysis_tickets[[#This Row],[agent_experience_years]]&gt;8,"Expert"
)</f>
        <v>Senior</v>
      </c>
      <c r="P436" cm="1">
        <f t="array" ref="P436">_xlfn.SWITCH(tbl_analysis_tickets[[#This Row],[customer_satisfaction]],
"Low",1,
"Medium",2,
"High",3
)</f>
        <v>2</v>
      </c>
      <c r="Q436">
        <f>IF(tbl_analysis_tickets[[#This Row],[reopened]]="Yes",1,0)</f>
        <v>0</v>
      </c>
      <c r="R436" t="str" cm="1">
        <f t="array" ref="R436">_xlfn.IFS(
tbl_analysis_tickets[[#This Row],[first_response_minutes]]&lt;=30,"Very Fast",
tbl_analysis_tickets[[#This Row],[first_response_minutes]]&lt;=120,"Acceptable",
tbl_analysis_tickets[[#This Row],[first_response_minutes]]&lt;=240,"Slow",
tbl_analysis_tickets[[#This Row],[first_response_minutes]]&gt;240,"Very Slow"
)</f>
        <v>Slow</v>
      </c>
      <c r="S436" t="str" cm="1">
        <f t="array" ref="S43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436" t="str">
        <f>TEXT(tbl_analysis_tickets[[#This Row],[created_date]],"mmm-yyyy")</f>
        <v>Jun-2024</v>
      </c>
      <c r="U436" t="str">
        <f>TEXT(tbl_analysis_tickets[[#This Row],[created_date]],"dddd")</f>
        <v>Tuesday</v>
      </c>
      <c r="V436" cm="1">
        <f t="array" ref="V436">_xlfn.SWITCH(tbl_analysis_tickets[[#This Row],[priority]],
"Urgent",1,
"High",2,
"Medium",3,
"Low",4
)</f>
        <v>3</v>
      </c>
    </row>
    <row r="437" spans="1:22" x14ac:dyDescent="0.25">
      <c r="A437">
        <v>436</v>
      </c>
      <c r="B437" s="1">
        <v>45643</v>
      </c>
      <c r="C437" t="s">
        <v>10</v>
      </c>
      <c r="D437" t="s">
        <v>20</v>
      </c>
      <c r="E437">
        <v>86</v>
      </c>
      <c r="F437">
        <v>11</v>
      </c>
      <c r="G437">
        <v>7.4</v>
      </c>
      <c r="H437" t="s">
        <v>12</v>
      </c>
      <c r="I437" t="s">
        <v>13</v>
      </c>
      <c r="J437" t="s">
        <v>11</v>
      </c>
      <c r="K437">
        <f>_xlfn.XLOOKUP(tbl_analysis_tickets[[#This Row],[priority]],tbl_sla[priority],tbl_sla[Resolution SLA Hours])</f>
        <v>24</v>
      </c>
      <c r="L437">
        <f>_xlfn.XLOOKUP(tbl_analysis_tickets[[#This Row],[priority]],tbl_sla[priority],tbl_sla[First Response SLA Minutes])</f>
        <v>60</v>
      </c>
      <c r="M437" t="str">
        <f>IF(tbl_analysis_tickets[[#This Row],[resolution_time_hours]]&gt;tbl_analysis_tickets[[#This Row],[Resolution SLA Hours]],"Breached","Within SLA")</f>
        <v>Within SLA</v>
      </c>
      <c r="N437" t="str">
        <f>IF(tbl_analysis_tickets[[#This Row],[first_response_minutes]]&gt;tbl_analysis_tickets[[#This Row],[First Response SLA Minutes]],"Breached","Within SLA")</f>
        <v>Breached</v>
      </c>
      <c r="O437" t="str" cm="1">
        <f t="array" ref="O437">_xlfn.IFS(
tbl_analysis_tickets[[#This Row],[agent_experience_years]]&lt;=2,"Junior",
tbl_analysis_tickets[[#This Row],[agent_experience_years]]&lt;=5,"Mid-Level",
tbl_analysis_tickets[[#This Row],[agent_experience_years]]&lt;=8,"Senior",
tbl_analysis_tickets[[#This Row],[agent_experience_years]]&gt;8,"Expert"
)</f>
        <v>Senior</v>
      </c>
      <c r="P437" cm="1">
        <f t="array" ref="P437">_xlfn.SWITCH(tbl_analysis_tickets[[#This Row],[customer_satisfaction]],
"Low",1,
"Medium",2,
"High",3
)</f>
        <v>1</v>
      </c>
      <c r="Q437">
        <f>IF(tbl_analysis_tickets[[#This Row],[reopened]]="Yes",1,0)</f>
        <v>1</v>
      </c>
      <c r="R437" t="str" cm="1">
        <f t="array" ref="R437">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437" t="str" cm="1">
        <f t="array" ref="S43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437" t="str">
        <f>TEXT(tbl_analysis_tickets[[#This Row],[created_date]],"mmm-yyyy")</f>
        <v>Dec-2024</v>
      </c>
      <c r="U437" t="str">
        <f>TEXT(tbl_analysis_tickets[[#This Row],[created_date]],"dddd")</f>
        <v>Tuesday</v>
      </c>
      <c r="V437" cm="1">
        <f t="array" ref="V437">_xlfn.SWITCH(tbl_analysis_tickets[[#This Row],[priority]],
"Urgent",1,
"High",2,
"Medium",3,
"Low",4
)</f>
        <v>2</v>
      </c>
    </row>
    <row r="438" spans="1:22" x14ac:dyDescent="0.25">
      <c r="A438">
        <v>437</v>
      </c>
      <c r="B438" s="1">
        <v>45398</v>
      </c>
      <c r="C438" t="s">
        <v>22</v>
      </c>
      <c r="D438" t="s">
        <v>11</v>
      </c>
      <c r="E438">
        <v>167</v>
      </c>
      <c r="F438">
        <v>37</v>
      </c>
      <c r="G438">
        <v>3.4</v>
      </c>
      <c r="H438" t="s">
        <v>18</v>
      </c>
      <c r="I438" t="s">
        <v>19</v>
      </c>
      <c r="J438" t="s">
        <v>11</v>
      </c>
      <c r="K438">
        <f>_xlfn.XLOOKUP(tbl_analysis_tickets[[#This Row],[priority]],tbl_sla[priority],tbl_sla[Resolution SLA Hours])</f>
        <v>72</v>
      </c>
      <c r="L438">
        <f>_xlfn.XLOOKUP(tbl_analysis_tickets[[#This Row],[priority]],tbl_sla[priority],tbl_sla[First Response SLA Minutes])</f>
        <v>240</v>
      </c>
      <c r="M438" t="str">
        <f>IF(tbl_analysis_tickets[[#This Row],[resolution_time_hours]]&gt;tbl_analysis_tickets[[#This Row],[Resolution SLA Hours]],"Breached","Within SLA")</f>
        <v>Within SLA</v>
      </c>
      <c r="N438" t="str">
        <f>IF(tbl_analysis_tickets[[#This Row],[first_response_minutes]]&gt;tbl_analysis_tickets[[#This Row],[First Response SLA Minutes]],"Breached","Within SLA")</f>
        <v>Within SLA</v>
      </c>
      <c r="O438" t="str" cm="1">
        <f t="array" ref="O438">_xlfn.IFS(
tbl_analysis_tickets[[#This Row],[agent_experience_years]]&lt;=2,"Junior",
tbl_analysis_tickets[[#This Row],[agent_experience_years]]&lt;=5,"Mid-Level",
tbl_analysis_tickets[[#This Row],[agent_experience_years]]&lt;=8,"Senior",
tbl_analysis_tickets[[#This Row],[agent_experience_years]]&gt;8,"Expert"
)</f>
        <v>Mid-Level</v>
      </c>
      <c r="P438" cm="1">
        <f t="array" ref="P438">_xlfn.SWITCH(tbl_analysis_tickets[[#This Row],[customer_satisfaction]],
"Low",1,
"Medium",2,
"High",3
)</f>
        <v>1</v>
      </c>
      <c r="Q438">
        <f>IF(tbl_analysis_tickets[[#This Row],[reopened]]="Yes",1,0)</f>
        <v>0</v>
      </c>
      <c r="R438" t="str" cm="1">
        <f t="array" ref="R438">_xlfn.IFS(
tbl_analysis_tickets[[#This Row],[first_response_minutes]]&lt;=30,"Very Fast",
tbl_analysis_tickets[[#This Row],[first_response_minutes]]&lt;=120,"Acceptable",
tbl_analysis_tickets[[#This Row],[first_response_minutes]]&lt;=240,"Slow",
tbl_analysis_tickets[[#This Row],[first_response_minutes]]&gt;240,"Very Slow"
)</f>
        <v>Slow</v>
      </c>
      <c r="S438" t="str" cm="1">
        <f t="array" ref="S43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438" t="str">
        <f>TEXT(tbl_analysis_tickets[[#This Row],[created_date]],"mmm-yyyy")</f>
        <v>Apr-2024</v>
      </c>
      <c r="U438" t="str">
        <f>TEXT(tbl_analysis_tickets[[#This Row],[created_date]],"dddd")</f>
        <v>Tuesday</v>
      </c>
      <c r="V438" cm="1">
        <f t="array" ref="V438">_xlfn.SWITCH(tbl_analysis_tickets[[#This Row],[priority]],
"Urgent",1,
"High",2,
"Medium",3,
"Low",4
)</f>
        <v>4</v>
      </c>
    </row>
    <row r="439" spans="1:22" x14ac:dyDescent="0.25">
      <c r="A439">
        <v>438</v>
      </c>
      <c r="B439" s="1">
        <v>45528</v>
      </c>
      <c r="C439" t="s">
        <v>22</v>
      </c>
      <c r="D439" t="s">
        <v>17</v>
      </c>
      <c r="E439">
        <v>62</v>
      </c>
      <c r="F439">
        <v>26</v>
      </c>
      <c r="G439">
        <v>7.8</v>
      </c>
      <c r="H439" t="s">
        <v>12</v>
      </c>
      <c r="I439" t="s">
        <v>13</v>
      </c>
      <c r="J439" t="s">
        <v>11</v>
      </c>
      <c r="K439">
        <f>_xlfn.XLOOKUP(tbl_analysis_tickets[[#This Row],[priority]],tbl_sla[priority],tbl_sla[Resolution SLA Hours])</f>
        <v>8</v>
      </c>
      <c r="L439">
        <f>_xlfn.XLOOKUP(tbl_analysis_tickets[[#This Row],[priority]],tbl_sla[priority],tbl_sla[First Response SLA Minutes])</f>
        <v>30</v>
      </c>
      <c r="M439" t="str">
        <f>IF(tbl_analysis_tickets[[#This Row],[resolution_time_hours]]&gt;tbl_analysis_tickets[[#This Row],[Resolution SLA Hours]],"Breached","Within SLA")</f>
        <v>Breached</v>
      </c>
      <c r="N439" t="str">
        <f>IF(tbl_analysis_tickets[[#This Row],[first_response_minutes]]&gt;tbl_analysis_tickets[[#This Row],[First Response SLA Minutes]],"Breached","Within SLA")</f>
        <v>Breached</v>
      </c>
      <c r="O439" t="str" cm="1">
        <f t="array" ref="O439">_xlfn.IFS(
tbl_analysis_tickets[[#This Row],[agent_experience_years]]&lt;=2,"Junior",
tbl_analysis_tickets[[#This Row],[agent_experience_years]]&lt;=5,"Mid-Level",
tbl_analysis_tickets[[#This Row],[agent_experience_years]]&lt;=8,"Senior",
tbl_analysis_tickets[[#This Row],[agent_experience_years]]&gt;8,"Expert"
)</f>
        <v>Senior</v>
      </c>
      <c r="P439" cm="1">
        <f t="array" ref="P439">_xlfn.SWITCH(tbl_analysis_tickets[[#This Row],[customer_satisfaction]],
"Low",1,
"Medium",2,
"High",3
)</f>
        <v>1</v>
      </c>
      <c r="Q439">
        <f>IF(tbl_analysis_tickets[[#This Row],[reopened]]="Yes",1,0)</f>
        <v>1</v>
      </c>
      <c r="R439" t="str" cm="1">
        <f t="array" ref="R439">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439" t="str" cm="1">
        <f t="array" ref="S43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439" t="str">
        <f>TEXT(tbl_analysis_tickets[[#This Row],[created_date]],"mmm-yyyy")</f>
        <v>Aug-2024</v>
      </c>
      <c r="U439" t="str">
        <f>TEXT(tbl_analysis_tickets[[#This Row],[created_date]],"dddd")</f>
        <v>Saturday</v>
      </c>
      <c r="V439" cm="1">
        <f t="array" ref="V439">_xlfn.SWITCH(tbl_analysis_tickets[[#This Row],[priority]],
"Urgent",1,
"High",2,
"Medium",3,
"Low",4
)</f>
        <v>1</v>
      </c>
    </row>
    <row r="440" spans="1:22" x14ac:dyDescent="0.25">
      <c r="A440">
        <v>439</v>
      </c>
      <c r="B440" s="1">
        <v>45405</v>
      </c>
      <c r="C440" t="s">
        <v>10</v>
      </c>
      <c r="D440" t="s">
        <v>17</v>
      </c>
      <c r="E440">
        <v>31</v>
      </c>
      <c r="F440">
        <v>61</v>
      </c>
      <c r="G440">
        <v>7.2</v>
      </c>
      <c r="H440" t="s">
        <v>12</v>
      </c>
      <c r="I440" t="s">
        <v>19</v>
      </c>
      <c r="J440" t="s">
        <v>11</v>
      </c>
      <c r="K440">
        <f>_xlfn.XLOOKUP(tbl_analysis_tickets[[#This Row],[priority]],tbl_sla[priority],tbl_sla[Resolution SLA Hours])</f>
        <v>8</v>
      </c>
      <c r="L440">
        <f>_xlfn.XLOOKUP(tbl_analysis_tickets[[#This Row],[priority]],tbl_sla[priority],tbl_sla[First Response SLA Minutes])</f>
        <v>30</v>
      </c>
      <c r="M440" t="str">
        <f>IF(tbl_analysis_tickets[[#This Row],[resolution_time_hours]]&gt;tbl_analysis_tickets[[#This Row],[Resolution SLA Hours]],"Breached","Within SLA")</f>
        <v>Breached</v>
      </c>
      <c r="N440" t="str">
        <f>IF(tbl_analysis_tickets[[#This Row],[first_response_minutes]]&gt;tbl_analysis_tickets[[#This Row],[First Response SLA Minutes]],"Breached","Within SLA")</f>
        <v>Breached</v>
      </c>
      <c r="O440" t="str" cm="1">
        <f t="array" ref="O440">_xlfn.IFS(
tbl_analysis_tickets[[#This Row],[agent_experience_years]]&lt;=2,"Junior",
tbl_analysis_tickets[[#This Row],[agent_experience_years]]&lt;=5,"Mid-Level",
tbl_analysis_tickets[[#This Row],[agent_experience_years]]&lt;=8,"Senior",
tbl_analysis_tickets[[#This Row],[agent_experience_years]]&gt;8,"Expert"
)</f>
        <v>Senior</v>
      </c>
      <c r="P440" cm="1">
        <f t="array" ref="P440">_xlfn.SWITCH(tbl_analysis_tickets[[#This Row],[customer_satisfaction]],
"Low",1,
"Medium",2,
"High",3
)</f>
        <v>1</v>
      </c>
      <c r="Q440">
        <f>IF(tbl_analysis_tickets[[#This Row],[reopened]]="Yes",1,0)</f>
        <v>1</v>
      </c>
      <c r="R440" t="str" cm="1">
        <f t="array" ref="R440">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440" t="str" cm="1">
        <f t="array" ref="S44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440" t="str">
        <f>TEXT(tbl_analysis_tickets[[#This Row],[created_date]],"mmm-yyyy")</f>
        <v>Apr-2024</v>
      </c>
      <c r="U440" t="str">
        <f>TEXT(tbl_analysis_tickets[[#This Row],[created_date]],"dddd")</f>
        <v>Tuesday</v>
      </c>
      <c r="V440" cm="1">
        <f t="array" ref="V440">_xlfn.SWITCH(tbl_analysis_tickets[[#This Row],[priority]],
"Urgent",1,
"High",2,
"Medium",3,
"Low",4
)</f>
        <v>1</v>
      </c>
    </row>
    <row r="441" spans="1:22" x14ac:dyDescent="0.25">
      <c r="A441">
        <v>440</v>
      </c>
      <c r="B441" s="1">
        <v>45300</v>
      </c>
      <c r="C441" t="s">
        <v>23</v>
      </c>
      <c r="D441" t="s">
        <v>17</v>
      </c>
      <c r="E441">
        <v>68</v>
      </c>
      <c r="F441">
        <v>58</v>
      </c>
      <c r="G441">
        <v>4.3</v>
      </c>
      <c r="H441" t="s">
        <v>18</v>
      </c>
      <c r="I441" t="s">
        <v>13</v>
      </c>
      <c r="J441" t="s">
        <v>11</v>
      </c>
      <c r="K441">
        <f>_xlfn.XLOOKUP(tbl_analysis_tickets[[#This Row],[priority]],tbl_sla[priority],tbl_sla[Resolution SLA Hours])</f>
        <v>8</v>
      </c>
      <c r="L441">
        <f>_xlfn.XLOOKUP(tbl_analysis_tickets[[#This Row],[priority]],tbl_sla[priority],tbl_sla[First Response SLA Minutes])</f>
        <v>30</v>
      </c>
      <c r="M441" t="str">
        <f>IF(tbl_analysis_tickets[[#This Row],[resolution_time_hours]]&gt;tbl_analysis_tickets[[#This Row],[Resolution SLA Hours]],"Breached","Within SLA")</f>
        <v>Breached</v>
      </c>
      <c r="N441" t="str">
        <f>IF(tbl_analysis_tickets[[#This Row],[first_response_minutes]]&gt;tbl_analysis_tickets[[#This Row],[First Response SLA Minutes]],"Breached","Within SLA")</f>
        <v>Breached</v>
      </c>
      <c r="O441" t="str" cm="1">
        <f t="array" ref="O441">_xlfn.IFS(
tbl_analysis_tickets[[#This Row],[agent_experience_years]]&lt;=2,"Junior",
tbl_analysis_tickets[[#This Row],[agent_experience_years]]&lt;=5,"Mid-Level",
tbl_analysis_tickets[[#This Row],[agent_experience_years]]&lt;=8,"Senior",
tbl_analysis_tickets[[#This Row],[agent_experience_years]]&gt;8,"Expert"
)</f>
        <v>Mid-Level</v>
      </c>
      <c r="P441" cm="1">
        <f t="array" ref="P441">_xlfn.SWITCH(tbl_analysis_tickets[[#This Row],[customer_satisfaction]],
"Low",1,
"Medium",2,
"High",3
)</f>
        <v>1</v>
      </c>
      <c r="Q441">
        <f>IF(tbl_analysis_tickets[[#This Row],[reopened]]="Yes",1,0)</f>
        <v>0</v>
      </c>
      <c r="R441" t="str" cm="1">
        <f t="array" ref="R441">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441" t="str" cm="1">
        <f t="array" ref="S44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441" t="str">
        <f>TEXT(tbl_analysis_tickets[[#This Row],[created_date]],"mmm-yyyy")</f>
        <v>Jan-2024</v>
      </c>
      <c r="U441" t="str">
        <f>TEXT(tbl_analysis_tickets[[#This Row],[created_date]],"dddd")</f>
        <v>Tuesday</v>
      </c>
      <c r="V441" cm="1">
        <f t="array" ref="V441">_xlfn.SWITCH(tbl_analysis_tickets[[#This Row],[priority]],
"Urgent",1,
"High",2,
"Medium",3,
"Low",4
)</f>
        <v>1</v>
      </c>
    </row>
    <row r="442" spans="1:22" x14ac:dyDescent="0.25">
      <c r="A442">
        <v>441</v>
      </c>
      <c r="B442" s="1">
        <v>45533</v>
      </c>
      <c r="C442" t="s">
        <v>22</v>
      </c>
      <c r="D442" t="s">
        <v>20</v>
      </c>
      <c r="E442">
        <v>219</v>
      </c>
      <c r="F442">
        <v>46</v>
      </c>
      <c r="G442">
        <v>5.7</v>
      </c>
      <c r="H442" t="s">
        <v>18</v>
      </c>
      <c r="I442" t="s">
        <v>16</v>
      </c>
      <c r="J442" t="s">
        <v>11</v>
      </c>
      <c r="K442">
        <f>_xlfn.XLOOKUP(tbl_analysis_tickets[[#This Row],[priority]],tbl_sla[priority],tbl_sla[Resolution SLA Hours])</f>
        <v>24</v>
      </c>
      <c r="L442">
        <f>_xlfn.XLOOKUP(tbl_analysis_tickets[[#This Row],[priority]],tbl_sla[priority],tbl_sla[First Response SLA Minutes])</f>
        <v>60</v>
      </c>
      <c r="M442" t="str">
        <f>IF(tbl_analysis_tickets[[#This Row],[resolution_time_hours]]&gt;tbl_analysis_tickets[[#This Row],[Resolution SLA Hours]],"Breached","Within SLA")</f>
        <v>Breached</v>
      </c>
      <c r="N442" t="str">
        <f>IF(tbl_analysis_tickets[[#This Row],[first_response_minutes]]&gt;tbl_analysis_tickets[[#This Row],[First Response SLA Minutes]],"Breached","Within SLA")</f>
        <v>Breached</v>
      </c>
      <c r="O442" t="str" cm="1">
        <f t="array" ref="O442">_xlfn.IFS(
tbl_analysis_tickets[[#This Row],[agent_experience_years]]&lt;=2,"Junior",
tbl_analysis_tickets[[#This Row],[agent_experience_years]]&lt;=5,"Mid-Level",
tbl_analysis_tickets[[#This Row],[agent_experience_years]]&lt;=8,"Senior",
tbl_analysis_tickets[[#This Row],[agent_experience_years]]&gt;8,"Expert"
)</f>
        <v>Senior</v>
      </c>
      <c r="P442" cm="1">
        <f t="array" ref="P442">_xlfn.SWITCH(tbl_analysis_tickets[[#This Row],[customer_satisfaction]],
"Low",1,
"Medium",2,
"High",3
)</f>
        <v>1</v>
      </c>
      <c r="Q442">
        <f>IF(tbl_analysis_tickets[[#This Row],[reopened]]="Yes",1,0)</f>
        <v>0</v>
      </c>
      <c r="R442" t="str" cm="1">
        <f t="array" ref="R442">_xlfn.IFS(
tbl_analysis_tickets[[#This Row],[first_response_minutes]]&lt;=30,"Very Fast",
tbl_analysis_tickets[[#This Row],[first_response_minutes]]&lt;=120,"Acceptable",
tbl_analysis_tickets[[#This Row],[first_response_minutes]]&lt;=240,"Slow",
tbl_analysis_tickets[[#This Row],[first_response_minutes]]&gt;240,"Very Slow"
)</f>
        <v>Slow</v>
      </c>
      <c r="S442" t="str" cm="1">
        <f t="array" ref="S44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442" t="str">
        <f>TEXT(tbl_analysis_tickets[[#This Row],[created_date]],"mmm-yyyy")</f>
        <v>Aug-2024</v>
      </c>
      <c r="U442" t="str">
        <f>TEXT(tbl_analysis_tickets[[#This Row],[created_date]],"dddd")</f>
        <v>Thursday</v>
      </c>
      <c r="V442" cm="1">
        <f t="array" ref="V442">_xlfn.SWITCH(tbl_analysis_tickets[[#This Row],[priority]],
"Urgent",1,
"High",2,
"Medium",3,
"Low",4
)</f>
        <v>2</v>
      </c>
    </row>
    <row r="443" spans="1:22" x14ac:dyDescent="0.25">
      <c r="A443">
        <v>442</v>
      </c>
      <c r="B443" s="1">
        <v>45646</v>
      </c>
      <c r="C443" t="s">
        <v>21</v>
      </c>
      <c r="D443" t="s">
        <v>20</v>
      </c>
      <c r="E443">
        <v>162</v>
      </c>
      <c r="F443">
        <v>18</v>
      </c>
      <c r="G443">
        <v>9.9</v>
      </c>
      <c r="H443" t="s">
        <v>18</v>
      </c>
      <c r="I443" t="s">
        <v>13</v>
      </c>
      <c r="J443" t="s">
        <v>11</v>
      </c>
      <c r="K443">
        <f>_xlfn.XLOOKUP(tbl_analysis_tickets[[#This Row],[priority]],tbl_sla[priority],tbl_sla[Resolution SLA Hours])</f>
        <v>24</v>
      </c>
      <c r="L443">
        <f>_xlfn.XLOOKUP(tbl_analysis_tickets[[#This Row],[priority]],tbl_sla[priority],tbl_sla[First Response SLA Minutes])</f>
        <v>60</v>
      </c>
      <c r="M443" t="str">
        <f>IF(tbl_analysis_tickets[[#This Row],[resolution_time_hours]]&gt;tbl_analysis_tickets[[#This Row],[Resolution SLA Hours]],"Breached","Within SLA")</f>
        <v>Within SLA</v>
      </c>
      <c r="N443" t="str">
        <f>IF(tbl_analysis_tickets[[#This Row],[first_response_minutes]]&gt;tbl_analysis_tickets[[#This Row],[First Response SLA Minutes]],"Breached","Within SLA")</f>
        <v>Breached</v>
      </c>
      <c r="O443" t="str" cm="1">
        <f t="array" ref="O443">_xlfn.IFS(
tbl_analysis_tickets[[#This Row],[agent_experience_years]]&lt;=2,"Junior",
tbl_analysis_tickets[[#This Row],[agent_experience_years]]&lt;=5,"Mid-Level",
tbl_analysis_tickets[[#This Row],[agent_experience_years]]&lt;=8,"Senior",
tbl_analysis_tickets[[#This Row],[agent_experience_years]]&gt;8,"Expert"
)</f>
        <v>Expert</v>
      </c>
      <c r="P443" cm="1">
        <f t="array" ref="P443">_xlfn.SWITCH(tbl_analysis_tickets[[#This Row],[customer_satisfaction]],
"Low",1,
"Medium",2,
"High",3
)</f>
        <v>1</v>
      </c>
      <c r="Q443">
        <f>IF(tbl_analysis_tickets[[#This Row],[reopened]]="Yes",1,0)</f>
        <v>0</v>
      </c>
      <c r="R443" t="str" cm="1">
        <f t="array" ref="R443">_xlfn.IFS(
tbl_analysis_tickets[[#This Row],[first_response_minutes]]&lt;=30,"Very Fast",
tbl_analysis_tickets[[#This Row],[first_response_minutes]]&lt;=120,"Acceptable",
tbl_analysis_tickets[[#This Row],[first_response_minutes]]&lt;=240,"Slow",
tbl_analysis_tickets[[#This Row],[first_response_minutes]]&gt;240,"Very Slow"
)</f>
        <v>Slow</v>
      </c>
      <c r="S443" t="str" cm="1">
        <f t="array" ref="S44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443" t="str">
        <f>TEXT(tbl_analysis_tickets[[#This Row],[created_date]],"mmm-yyyy")</f>
        <v>Dec-2024</v>
      </c>
      <c r="U443" t="str">
        <f>TEXT(tbl_analysis_tickets[[#This Row],[created_date]],"dddd")</f>
        <v>Friday</v>
      </c>
      <c r="V443" cm="1">
        <f t="array" ref="V443">_xlfn.SWITCH(tbl_analysis_tickets[[#This Row],[priority]],
"Urgent",1,
"High",2,
"Medium",3,
"Low",4
)</f>
        <v>2</v>
      </c>
    </row>
    <row r="444" spans="1:22" x14ac:dyDescent="0.25">
      <c r="A444">
        <v>443</v>
      </c>
      <c r="B444" s="1">
        <v>45551</v>
      </c>
      <c r="C444" t="s">
        <v>14</v>
      </c>
      <c r="D444" t="s">
        <v>15</v>
      </c>
      <c r="E444">
        <v>29</v>
      </c>
      <c r="F444">
        <v>7</v>
      </c>
      <c r="G444">
        <v>3.8</v>
      </c>
      <c r="H444" t="s">
        <v>18</v>
      </c>
      <c r="I444" t="s">
        <v>19</v>
      </c>
      <c r="J444" t="s">
        <v>15</v>
      </c>
      <c r="K444">
        <f>_xlfn.XLOOKUP(tbl_analysis_tickets[[#This Row],[priority]],tbl_sla[priority],tbl_sla[Resolution SLA Hours])</f>
        <v>48</v>
      </c>
      <c r="L444">
        <f>_xlfn.XLOOKUP(tbl_analysis_tickets[[#This Row],[priority]],tbl_sla[priority],tbl_sla[First Response SLA Minutes])</f>
        <v>120</v>
      </c>
      <c r="M444" t="str">
        <f>IF(tbl_analysis_tickets[[#This Row],[resolution_time_hours]]&gt;tbl_analysis_tickets[[#This Row],[Resolution SLA Hours]],"Breached","Within SLA")</f>
        <v>Within SLA</v>
      </c>
      <c r="N444" t="str">
        <f>IF(tbl_analysis_tickets[[#This Row],[first_response_minutes]]&gt;tbl_analysis_tickets[[#This Row],[First Response SLA Minutes]],"Breached","Within SLA")</f>
        <v>Within SLA</v>
      </c>
      <c r="O444" t="str" cm="1">
        <f t="array" ref="O444">_xlfn.IFS(
tbl_analysis_tickets[[#This Row],[agent_experience_years]]&lt;=2,"Junior",
tbl_analysis_tickets[[#This Row],[agent_experience_years]]&lt;=5,"Mid-Level",
tbl_analysis_tickets[[#This Row],[agent_experience_years]]&lt;=8,"Senior",
tbl_analysis_tickets[[#This Row],[agent_experience_years]]&gt;8,"Expert"
)</f>
        <v>Mid-Level</v>
      </c>
      <c r="P444" cm="1">
        <f t="array" ref="P444">_xlfn.SWITCH(tbl_analysis_tickets[[#This Row],[customer_satisfaction]],
"Low",1,
"Medium",2,
"High",3
)</f>
        <v>2</v>
      </c>
      <c r="Q444">
        <f>IF(tbl_analysis_tickets[[#This Row],[reopened]]="Yes",1,0)</f>
        <v>0</v>
      </c>
      <c r="R444" t="str" cm="1">
        <f t="array" ref="R444">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444" t="str" cm="1">
        <f t="array" ref="S44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444" t="str">
        <f>TEXT(tbl_analysis_tickets[[#This Row],[created_date]],"mmm-yyyy")</f>
        <v>Sep-2024</v>
      </c>
      <c r="U444" t="str">
        <f>TEXT(tbl_analysis_tickets[[#This Row],[created_date]],"dddd")</f>
        <v>Monday</v>
      </c>
      <c r="V444" cm="1">
        <f t="array" ref="V444">_xlfn.SWITCH(tbl_analysis_tickets[[#This Row],[priority]],
"Urgent",1,
"High",2,
"Medium",3,
"Low",4
)</f>
        <v>3</v>
      </c>
    </row>
    <row r="445" spans="1:22" x14ac:dyDescent="0.25">
      <c r="A445">
        <v>444</v>
      </c>
      <c r="B445" s="1">
        <v>45443</v>
      </c>
      <c r="C445" t="s">
        <v>10</v>
      </c>
      <c r="D445" t="s">
        <v>11</v>
      </c>
      <c r="E445">
        <v>84</v>
      </c>
      <c r="F445">
        <v>7</v>
      </c>
      <c r="G445">
        <v>4</v>
      </c>
      <c r="H445" t="s">
        <v>18</v>
      </c>
      <c r="I445" t="s">
        <v>19</v>
      </c>
      <c r="J445" t="s">
        <v>11</v>
      </c>
      <c r="K445">
        <f>_xlfn.XLOOKUP(tbl_analysis_tickets[[#This Row],[priority]],tbl_sla[priority],tbl_sla[Resolution SLA Hours])</f>
        <v>72</v>
      </c>
      <c r="L445">
        <f>_xlfn.XLOOKUP(tbl_analysis_tickets[[#This Row],[priority]],tbl_sla[priority],tbl_sla[First Response SLA Minutes])</f>
        <v>240</v>
      </c>
      <c r="M445" t="str">
        <f>IF(tbl_analysis_tickets[[#This Row],[resolution_time_hours]]&gt;tbl_analysis_tickets[[#This Row],[Resolution SLA Hours]],"Breached","Within SLA")</f>
        <v>Within SLA</v>
      </c>
      <c r="N445" t="str">
        <f>IF(tbl_analysis_tickets[[#This Row],[first_response_minutes]]&gt;tbl_analysis_tickets[[#This Row],[First Response SLA Minutes]],"Breached","Within SLA")</f>
        <v>Within SLA</v>
      </c>
      <c r="O445" t="str" cm="1">
        <f t="array" ref="O445">_xlfn.IFS(
tbl_analysis_tickets[[#This Row],[agent_experience_years]]&lt;=2,"Junior",
tbl_analysis_tickets[[#This Row],[agent_experience_years]]&lt;=5,"Mid-Level",
tbl_analysis_tickets[[#This Row],[agent_experience_years]]&lt;=8,"Senior",
tbl_analysis_tickets[[#This Row],[agent_experience_years]]&gt;8,"Expert"
)</f>
        <v>Mid-Level</v>
      </c>
      <c r="P445" cm="1">
        <f t="array" ref="P445">_xlfn.SWITCH(tbl_analysis_tickets[[#This Row],[customer_satisfaction]],
"Low",1,
"Medium",2,
"High",3
)</f>
        <v>1</v>
      </c>
      <c r="Q445">
        <f>IF(tbl_analysis_tickets[[#This Row],[reopened]]="Yes",1,0)</f>
        <v>0</v>
      </c>
      <c r="R445" t="str" cm="1">
        <f t="array" ref="R445">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445" t="str" cm="1">
        <f t="array" ref="S44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445" t="str">
        <f>TEXT(tbl_analysis_tickets[[#This Row],[created_date]],"mmm-yyyy")</f>
        <v>May-2024</v>
      </c>
      <c r="U445" t="str">
        <f>TEXT(tbl_analysis_tickets[[#This Row],[created_date]],"dddd")</f>
        <v>Friday</v>
      </c>
      <c r="V445" cm="1">
        <f t="array" ref="V445">_xlfn.SWITCH(tbl_analysis_tickets[[#This Row],[priority]],
"Urgent",1,
"High",2,
"Medium",3,
"Low",4
)</f>
        <v>4</v>
      </c>
    </row>
    <row r="446" spans="1:22" x14ac:dyDescent="0.25">
      <c r="A446">
        <v>445</v>
      </c>
      <c r="B446" s="1">
        <v>45520</v>
      </c>
      <c r="C446" t="s">
        <v>10</v>
      </c>
      <c r="D446" t="s">
        <v>15</v>
      </c>
      <c r="E446">
        <v>233</v>
      </c>
      <c r="F446">
        <v>68</v>
      </c>
      <c r="G446">
        <v>9.6</v>
      </c>
      <c r="H446" t="s">
        <v>12</v>
      </c>
      <c r="I446" t="s">
        <v>13</v>
      </c>
      <c r="J446" t="s">
        <v>11</v>
      </c>
      <c r="K446">
        <f>_xlfn.XLOOKUP(tbl_analysis_tickets[[#This Row],[priority]],tbl_sla[priority],tbl_sla[Resolution SLA Hours])</f>
        <v>48</v>
      </c>
      <c r="L446">
        <f>_xlfn.XLOOKUP(tbl_analysis_tickets[[#This Row],[priority]],tbl_sla[priority],tbl_sla[First Response SLA Minutes])</f>
        <v>120</v>
      </c>
      <c r="M446" t="str">
        <f>IF(tbl_analysis_tickets[[#This Row],[resolution_time_hours]]&gt;tbl_analysis_tickets[[#This Row],[Resolution SLA Hours]],"Breached","Within SLA")</f>
        <v>Breached</v>
      </c>
      <c r="N446" t="str">
        <f>IF(tbl_analysis_tickets[[#This Row],[first_response_minutes]]&gt;tbl_analysis_tickets[[#This Row],[First Response SLA Minutes]],"Breached","Within SLA")</f>
        <v>Breached</v>
      </c>
      <c r="O446" t="str" cm="1">
        <f t="array" ref="O446">_xlfn.IFS(
tbl_analysis_tickets[[#This Row],[agent_experience_years]]&lt;=2,"Junior",
tbl_analysis_tickets[[#This Row],[agent_experience_years]]&lt;=5,"Mid-Level",
tbl_analysis_tickets[[#This Row],[agent_experience_years]]&lt;=8,"Senior",
tbl_analysis_tickets[[#This Row],[agent_experience_years]]&gt;8,"Expert"
)</f>
        <v>Expert</v>
      </c>
      <c r="P446" cm="1">
        <f t="array" ref="P446">_xlfn.SWITCH(tbl_analysis_tickets[[#This Row],[customer_satisfaction]],
"Low",1,
"Medium",2,
"High",3
)</f>
        <v>1</v>
      </c>
      <c r="Q446">
        <f>IF(tbl_analysis_tickets[[#This Row],[reopened]]="Yes",1,0)</f>
        <v>1</v>
      </c>
      <c r="R446" t="str" cm="1">
        <f t="array" ref="R446">_xlfn.IFS(
tbl_analysis_tickets[[#This Row],[first_response_minutes]]&lt;=30,"Very Fast",
tbl_analysis_tickets[[#This Row],[first_response_minutes]]&lt;=120,"Acceptable",
tbl_analysis_tickets[[#This Row],[first_response_minutes]]&lt;=240,"Slow",
tbl_analysis_tickets[[#This Row],[first_response_minutes]]&gt;240,"Very Slow"
)</f>
        <v>Slow</v>
      </c>
      <c r="S446" t="str" cm="1">
        <f t="array" ref="S44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446" t="str">
        <f>TEXT(tbl_analysis_tickets[[#This Row],[created_date]],"mmm-yyyy")</f>
        <v>Aug-2024</v>
      </c>
      <c r="U446" t="str">
        <f>TEXT(tbl_analysis_tickets[[#This Row],[created_date]],"dddd")</f>
        <v>Friday</v>
      </c>
      <c r="V446" cm="1">
        <f t="array" ref="V446">_xlfn.SWITCH(tbl_analysis_tickets[[#This Row],[priority]],
"Urgent",1,
"High",2,
"Medium",3,
"Low",4
)</f>
        <v>3</v>
      </c>
    </row>
    <row r="447" spans="1:22" x14ac:dyDescent="0.25">
      <c r="A447">
        <v>446</v>
      </c>
      <c r="B447" s="1">
        <v>45308</v>
      </c>
      <c r="C447" t="s">
        <v>22</v>
      </c>
      <c r="D447" t="s">
        <v>20</v>
      </c>
      <c r="E447">
        <v>20</v>
      </c>
      <c r="F447">
        <v>9</v>
      </c>
      <c r="G447">
        <v>1.4</v>
      </c>
      <c r="H447" t="s">
        <v>18</v>
      </c>
      <c r="I447" t="s">
        <v>19</v>
      </c>
      <c r="J447" t="s">
        <v>15</v>
      </c>
      <c r="K447">
        <f>_xlfn.XLOOKUP(tbl_analysis_tickets[[#This Row],[priority]],tbl_sla[priority],tbl_sla[Resolution SLA Hours])</f>
        <v>24</v>
      </c>
      <c r="L447">
        <f>_xlfn.XLOOKUP(tbl_analysis_tickets[[#This Row],[priority]],tbl_sla[priority],tbl_sla[First Response SLA Minutes])</f>
        <v>60</v>
      </c>
      <c r="M447" t="str">
        <f>IF(tbl_analysis_tickets[[#This Row],[resolution_time_hours]]&gt;tbl_analysis_tickets[[#This Row],[Resolution SLA Hours]],"Breached","Within SLA")</f>
        <v>Within SLA</v>
      </c>
      <c r="N447" t="str">
        <f>IF(tbl_analysis_tickets[[#This Row],[first_response_minutes]]&gt;tbl_analysis_tickets[[#This Row],[First Response SLA Minutes]],"Breached","Within SLA")</f>
        <v>Within SLA</v>
      </c>
      <c r="O447" t="str" cm="1">
        <f t="array" ref="O447">_xlfn.IFS(
tbl_analysis_tickets[[#This Row],[agent_experience_years]]&lt;=2,"Junior",
tbl_analysis_tickets[[#This Row],[agent_experience_years]]&lt;=5,"Mid-Level",
tbl_analysis_tickets[[#This Row],[agent_experience_years]]&lt;=8,"Senior",
tbl_analysis_tickets[[#This Row],[agent_experience_years]]&gt;8,"Expert"
)</f>
        <v>Junior</v>
      </c>
      <c r="P447" cm="1">
        <f t="array" ref="P447">_xlfn.SWITCH(tbl_analysis_tickets[[#This Row],[customer_satisfaction]],
"Low",1,
"Medium",2,
"High",3
)</f>
        <v>2</v>
      </c>
      <c r="Q447">
        <f>IF(tbl_analysis_tickets[[#This Row],[reopened]]="Yes",1,0)</f>
        <v>0</v>
      </c>
      <c r="R447" t="str" cm="1">
        <f t="array" ref="R447">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447" t="str" cm="1">
        <f t="array" ref="S44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447" t="str">
        <f>TEXT(tbl_analysis_tickets[[#This Row],[created_date]],"mmm-yyyy")</f>
        <v>Jan-2024</v>
      </c>
      <c r="U447" t="str">
        <f>TEXT(tbl_analysis_tickets[[#This Row],[created_date]],"dddd")</f>
        <v>Wednesday</v>
      </c>
      <c r="V447" cm="1">
        <f t="array" ref="V447">_xlfn.SWITCH(tbl_analysis_tickets[[#This Row],[priority]],
"Urgent",1,
"High",2,
"Medium",3,
"Low",4
)</f>
        <v>2</v>
      </c>
    </row>
    <row r="448" spans="1:22" x14ac:dyDescent="0.25">
      <c r="A448">
        <v>447</v>
      </c>
      <c r="B448" s="1">
        <v>45594</v>
      </c>
      <c r="C448" t="s">
        <v>21</v>
      </c>
      <c r="D448" t="s">
        <v>15</v>
      </c>
      <c r="E448">
        <v>234</v>
      </c>
      <c r="F448">
        <v>53</v>
      </c>
      <c r="G448">
        <v>6.2</v>
      </c>
      <c r="H448" t="s">
        <v>18</v>
      </c>
      <c r="I448" t="s">
        <v>19</v>
      </c>
      <c r="J448" t="s">
        <v>15</v>
      </c>
      <c r="K448">
        <f>_xlfn.XLOOKUP(tbl_analysis_tickets[[#This Row],[priority]],tbl_sla[priority],tbl_sla[Resolution SLA Hours])</f>
        <v>48</v>
      </c>
      <c r="L448">
        <f>_xlfn.XLOOKUP(tbl_analysis_tickets[[#This Row],[priority]],tbl_sla[priority],tbl_sla[First Response SLA Minutes])</f>
        <v>120</v>
      </c>
      <c r="M448" t="str">
        <f>IF(tbl_analysis_tickets[[#This Row],[resolution_time_hours]]&gt;tbl_analysis_tickets[[#This Row],[Resolution SLA Hours]],"Breached","Within SLA")</f>
        <v>Breached</v>
      </c>
      <c r="N448" t="str">
        <f>IF(tbl_analysis_tickets[[#This Row],[first_response_minutes]]&gt;tbl_analysis_tickets[[#This Row],[First Response SLA Minutes]],"Breached","Within SLA")</f>
        <v>Breached</v>
      </c>
      <c r="O448" t="str" cm="1">
        <f t="array" ref="O448">_xlfn.IFS(
tbl_analysis_tickets[[#This Row],[agent_experience_years]]&lt;=2,"Junior",
tbl_analysis_tickets[[#This Row],[agent_experience_years]]&lt;=5,"Mid-Level",
tbl_analysis_tickets[[#This Row],[agent_experience_years]]&lt;=8,"Senior",
tbl_analysis_tickets[[#This Row],[agent_experience_years]]&gt;8,"Expert"
)</f>
        <v>Senior</v>
      </c>
      <c r="P448" cm="1">
        <f t="array" ref="P448">_xlfn.SWITCH(tbl_analysis_tickets[[#This Row],[customer_satisfaction]],
"Low",1,
"Medium",2,
"High",3
)</f>
        <v>2</v>
      </c>
      <c r="Q448">
        <f>IF(tbl_analysis_tickets[[#This Row],[reopened]]="Yes",1,0)</f>
        <v>0</v>
      </c>
      <c r="R448" t="str" cm="1">
        <f t="array" ref="R448">_xlfn.IFS(
tbl_analysis_tickets[[#This Row],[first_response_minutes]]&lt;=30,"Very Fast",
tbl_analysis_tickets[[#This Row],[first_response_minutes]]&lt;=120,"Acceptable",
tbl_analysis_tickets[[#This Row],[first_response_minutes]]&lt;=240,"Slow",
tbl_analysis_tickets[[#This Row],[first_response_minutes]]&gt;240,"Very Slow"
)</f>
        <v>Slow</v>
      </c>
      <c r="S448" t="str" cm="1">
        <f t="array" ref="S44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448" t="str">
        <f>TEXT(tbl_analysis_tickets[[#This Row],[created_date]],"mmm-yyyy")</f>
        <v>Oct-2024</v>
      </c>
      <c r="U448" t="str">
        <f>TEXT(tbl_analysis_tickets[[#This Row],[created_date]],"dddd")</f>
        <v>Tuesday</v>
      </c>
      <c r="V448" cm="1">
        <f t="array" ref="V448">_xlfn.SWITCH(tbl_analysis_tickets[[#This Row],[priority]],
"Urgent",1,
"High",2,
"Medium",3,
"Low",4
)</f>
        <v>3</v>
      </c>
    </row>
    <row r="449" spans="1:22" x14ac:dyDescent="0.25">
      <c r="A449">
        <v>448</v>
      </c>
      <c r="B449" s="1">
        <v>45621</v>
      </c>
      <c r="C449" t="s">
        <v>10</v>
      </c>
      <c r="D449" t="s">
        <v>15</v>
      </c>
      <c r="E449">
        <v>31</v>
      </c>
      <c r="F449">
        <v>2</v>
      </c>
      <c r="G449">
        <v>9.4</v>
      </c>
      <c r="H449" t="s">
        <v>12</v>
      </c>
      <c r="I449" t="s">
        <v>19</v>
      </c>
      <c r="J449" t="s">
        <v>15</v>
      </c>
      <c r="K449">
        <f>_xlfn.XLOOKUP(tbl_analysis_tickets[[#This Row],[priority]],tbl_sla[priority],tbl_sla[Resolution SLA Hours])</f>
        <v>48</v>
      </c>
      <c r="L449">
        <f>_xlfn.XLOOKUP(tbl_analysis_tickets[[#This Row],[priority]],tbl_sla[priority],tbl_sla[First Response SLA Minutes])</f>
        <v>120</v>
      </c>
      <c r="M449" t="str">
        <f>IF(tbl_analysis_tickets[[#This Row],[resolution_time_hours]]&gt;tbl_analysis_tickets[[#This Row],[Resolution SLA Hours]],"Breached","Within SLA")</f>
        <v>Within SLA</v>
      </c>
      <c r="N449" t="str">
        <f>IF(tbl_analysis_tickets[[#This Row],[first_response_minutes]]&gt;tbl_analysis_tickets[[#This Row],[First Response SLA Minutes]],"Breached","Within SLA")</f>
        <v>Within SLA</v>
      </c>
      <c r="O449" t="str" cm="1">
        <f t="array" ref="O449">_xlfn.IFS(
tbl_analysis_tickets[[#This Row],[agent_experience_years]]&lt;=2,"Junior",
tbl_analysis_tickets[[#This Row],[agent_experience_years]]&lt;=5,"Mid-Level",
tbl_analysis_tickets[[#This Row],[agent_experience_years]]&lt;=8,"Senior",
tbl_analysis_tickets[[#This Row],[agent_experience_years]]&gt;8,"Expert"
)</f>
        <v>Expert</v>
      </c>
      <c r="P449" cm="1">
        <f t="array" ref="P449">_xlfn.SWITCH(tbl_analysis_tickets[[#This Row],[customer_satisfaction]],
"Low",1,
"Medium",2,
"High",3
)</f>
        <v>2</v>
      </c>
      <c r="Q449">
        <f>IF(tbl_analysis_tickets[[#This Row],[reopened]]="Yes",1,0)</f>
        <v>1</v>
      </c>
      <c r="R449" t="str" cm="1">
        <f t="array" ref="R449">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449" t="str" cm="1">
        <f t="array" ref="S44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449" t="str">
        <f>TEXT(tbl_analysis_tickets[[#This Row],[created_date]],"mmm-yyyy")</f>
        <v>Nov-2024</v>
      </c>
      <c r="U449" t="str">
        <f>TEXT(tbl_analysis_tickets[[#This Row],[created_date]],"dddd")</f>
        <v>Monday</v>
      </c>
      <c r="V449" cm="1">
        <f t="array" ref="V449">_xlfn.SWITCH(tbl_analysis_tickets[[#This Row],[priority]],
"Urgent",1,
"High",2,
"Medium",3,
"Low",4
)</f>
        <v>3</v>
      </c>
    </row>
    <row r="450" spans="1:22" x14ac:dyDescent="0.25">
      <c r="A450">
        <v>449</v>
      </c>
      <c r="B450" s="1">
        <v>45535</v>
      </c>
      <c r="C450" t="s">
        <v>23</v>
      </c>
      <c r="D450" t="s">
        <v>17</v>
      </c>
      <c r="E450">
        <v>161</v>
      </c>
      <c r="F450">
        <v>53</v>
      </c>
      <c r="G450">
        <v>9</v>
      </c>
      <c r="H450" t="s">
        <v>18</v>
      </c>
      <c r="I450" t="s">
        <v>13</v>
      </c>
      <c r="J450" t="s">
        <v>11</v>
      </c>
      <c r="K450">
        <f>_xlfn.XLOOKUP(tbl_analysis_tickets[[#This Row],[priority]],tbl_sla[priority],tbl_sla[Resolution SLA Hours])</f>
        <v>8</v>
      </c>
      <c r="L450">
        <f>_xlfn.XLOOKUP(tbl_analysis_tickets[[#This Row],[priority]],tbl_sla[priority],tbl_sla[First Response SLA Minutes])</f>
        <v>30</v>
      </c>
      <c r="M450" t="str">
        <f>IF(tbl_analysis_tickets[[#This Row],[resolution_time_hours]]&gt;tbl_analysis_tickets[[#This Row],[Resolution SLA Hours]],"Breached","Within SLA")</f>
        <v>Breached</v>
      </c>
      <c r="N450" t="str">
        <f>IF(tbl_analysis_tickets[[#This Row],[first_response_minutes]]&gt;tbl_analysis_tickets[[#This Row],[First Response SLA Minutes]],"Breached","Within SLA")</f>
        <v>Breached</v>
      </c>
      <c r="O450" t="str" cm="1">
        <f t="array" ref="O450">_xlfn.IFS(
tbl_analysis_tickets[[#This Row],[agent_experience_years]]&lt;=2,"Junior",
tbl_analysis_tickets[[#This Row],[agent_experience_years]]&lt;=5,"Mid-Level",
tbl_analysis_tickets[[#This Row],[agent_experience_years]]&lt;=8,"Senior",
tbl_analysis_tickets[[#This Row],[agent_experience_years]]&gt;8,"Expert"
)</f>
        <v>Expert</v>
      </c>
      <c r="P450" cm="1">
        <f t="array" ref="P450">_xlfn.SWITCH(tbl_analysis_tickets[[#This Row],[customer_satisfaction]],
"Low",1,
"Medium",2,
"High",3
)</f>
        <v>1</v>
      </c>
      <c r="Q450">
        <f>IF(tbl_analysis_tickets[[#This Row],[reopened]]="Yes",1,0)</f>
        <v>0</v>
      </c>
      <c r="R450" t="str" cm="1">
        <f t="array" ref="R450">_xlfn.IFS(
tbl_analysis_tickets[[#This Row],[first_response_minutes]]&lt;=30,"Very Fast",
tbl_analysis_tickets[[#This Row],[first_response_minutes]]&lt;=120,"Acceptable",
tbl_analysis_tickets[[#This Row],[first_response_minutes]]&lt;=240,"Slow",
tbl_analysis_tickets[[#This Row],[first_response_minutes]]&gt;240,"Very Slow"
)</f>
        <v>Slow</v>
      </c>
      <c r="S450" t="str" cm="1">
        <f t="array" ref="S45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450" t="str">
        <f>TEXT(tbl_analysis_tickets[[#This Row],[created_date]],"mmm-yyyy")</f>
        <v>Aug-2024</v>
      </c>
      <c r="U450" t="str">
        <f>TEXT(tbl_analysis_tickets[[#This Row],[created_date]],"dddd")</f>
        <v>Saturday</v>
      </c>
      <c r="V450" cm="1">
        <f t="array" ref="V450">_xlfn.SWITCH(tbl_analysis_tickets[[#This Row],[priority]],
"Urgent",1,
"High",2,
"Medium",3,
"Low",4
)</f>
        <v>1</v>
      </c>
    </row>
    <row r="451" spans="1:22" x14ac:dyDescent="0.25">
      <c r="A451">
        <v>450</v>
      </c>
      <c r="B451" s="1">
        <v>45614</v>
      </c>
      <c r="C451" t="s">
        <v>22</v>
      </c>
      <c r="D451" t="s">
        <v>20</v>
      </c>
      <c r="E451">
        <v>134</v>
      </c>
      <c r="F451">
        <v>28</v>
      </c>
      <c r="G451">
        <v>2</v>
      </c>
      <c r="H451" t="s">
        <v>18</v>
      </c>
      <c r="I451" t="s">
        <v>19</v>
      </c>
      <c r="J451" t="s">
        <v>11</v>
      </c>
      <c r="K451">
        <f>_xlfn.XLOOKUP(tbl_analysis_tickets[[#This Row],[priority]],tbl_sla[priority],tbl_sla[Resolution SLA Hours])</f>
        <v>24</v>
      </c>
      <c r="L451">
        <f>_xlfn.XLOOKUP(tbl_analysis_tickets[[#This Row],[priority]],tbl_sla[priority],tbl_sla[First Response SLA Minutes])</f>
        <v>60</v>
      </c>
      <c r="M451" t="str">
        <f>IF(tbl_analysis_tickets[[#This Row],[resolution_time_hours]]&gt;tbl_analysis_tickets[[#This Row],[Resolution SLA Hours]],"Breached","Within SLA")</f>
        <v>Breached</v>
      </c>
      <c r="N451" t="str">
        <f>IF(tbl_analysis_tickets[[#This Row],[first_response_minutes]]&gt;tbl_analysis_tickets[[#This Row],[First Response SLA Minutes]],"Breached","Within SLA")</f>
        <v>Breached</v>
      </c>
      <c r="O451" t="str" cm="1">
        <f t="array" ref="O451">_xlfn.IFS(
tbl_analysis_tickets[[#This Row],[agent_experience_years]]&lt;=2,"Junior",
tbl_analysis_tickets[[#This Row],[agent_experience_years]]&lt;=5,"Mid-Level",
tbl_analysis_tickets[[#This Row],[agent_experience_years]]&lt;=8,"Senior",
tbl_analysis_tickets[[#This Row],[agent_experience_years]]&gt;8,"Expert"
)</f>
        <v>Junior</v>
      </c>
      <c r="P451" cm="1">
        <f t="array" ref="P451">_xlfn.SWITCH(tbl_analysis_tickets[[#This Row],[customer_satisfaction]],
"Low",1,
"Medium",2,
"High",3
)</f>
        <v>1</v>
      </c>
      <c r="Q451">
        <f>IF(tbl_analysis_tickets[[#This Row],[reopened]]="Yes",1,0)</f>
        <v>0</v>
      </c>
      <c r="R451" t="str" cm="1">
        <f t="array" ref="R451">_xlfn.IFS(
tbl_analysis_tickets[[#This Row],[first_response_minutes]]&lt;=30,"Very Fast",
tbl_analysis_tickets[[#This Row],[first_response_minutes]]&lt;=120,"Acceptable",
tbl_analysis_tickets[[#This Row],[first_response_minutes]]&lt;=240,"Slow",
tbl_analysis_tickets[[#This Row],[first_response_minutes]]&gt;240,"Very Slow"
)</f>
        <v>Slow</v>
      </c>
      <c r="S451" t="str" cm="1">
        <f t="array" ref="S45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451" t="str">
        <f>TEXT(tbl_analysis_tickets[[#This Row],[created_date]],"mmm-yyyy")</f>
        <v>Nov-2024</v>
      </c>
      <c r="U451" t="str">
        <f>TEXT(tbl_analysis_tickets[[#This Row],[created_date]],"dddd")</f>
        <v>Monday</v>
      </c>
      <c r="V451" cm="1">
        <f t="array" ref="V451">_xlfn.SWITCH(tbl_analysis_tickets[[#This Row],[priority]],
"Urgent",1,
"High",2,
"Medium",3,
"Low",4
)</f>
        <v>2</v>
      </c>
    </row>
    <row r="452" spans="1:22" x14ac:dyDescent="0.25">
      <c r="A452">
        <v>451</v>
      </c>
      <c r="B452" s="1">
        <v>45457</v>
      </c>
      <c r="C452" t="s">
        <v>22</v>
      </c>
      <c r="D452" t="s">
        <v>15</v>
      </c>
      <c r="E452">
        <v>36</v>
      </c>
      <c r="F452">
        <v>12</v>
      </c>
      <c r="G452">
        <v>1.4</v>
      </c>
      <c r="H452" t="s">
        <v>12</v>
      </c>
      <c r="I452" t="s">
        <v>19</v>
      </c>
      <c r="J452" t="s">
        <v>11</v>
      </c>
      <c r="K452">
        <f>_xlfn.XLOOKUP(tbl_analysis_tickets[[#This Row],[priority]],tbl_sla[priority],tbl_sla[Resolution SLA Hours])</f>
        <v>48</v>
      </c>
      <c r="L452">
        <f>_xlfn.XLOOKUP(tbl_analysis_tickets[[#This Row],[priority]],tbl_sla[priority],tbl_sla[First Response SLA Minutes])</f>
        <v>120</v>
      </c>
      <c r="M452" t="str">
        <f>IF(tbl_analysis_tickets[[#This Row],[resolution_time_hours]]&gt;tbl_analysis_tickets[[#This Row],[Resolution SLA Hours]],"Breached","Within SLA")</f>
        <v>Within SLA</v>
      </c>
      <c r="N452" t="str">
        <f>IF(tbl_analysis_tickets[[#This Row],[first_response_minutes]]&gt;tbl_analysis_tickets[[#This Row],[First Response SLA Minutes]],"Breached","Within SLA")</f>
        <v>Within SLA</v>
      </c>
      <c r="O452" t="str" cm="1">
        <f t="array" ref="O452">_xlfn.IFS(
tbl_analysis_tickets[[#This Row],[agent_experience_years]]&lt;=2,"Junior",
tbl_analysis_tickets[[#This Row],[agent_experience_years]]&lt;=5,"Mid-Level",
tbl_analysis_tickets[[#This Row],[agent_experience_years]]&lt;=8,"Senior",
tbl_analysis_tickets[[#This Row],[agent_experience_years]]&gt;8,"Expert"
)</f>
        <v>Junior</v>
      </c>
      <c r="P452" cm="1">
        <f t="array" ref="P452">_xlfn.SWITCH(tbl_analysis_tickets[[#This Row],[customer_satisfaction]],
"Low",1,
"Medium",2,
"High",3
)</f>
        <v>1</v>
      </c>
      <c r="Q452">
        <f>IF(tbl_analysis_tickets[[#This Row],[reopened]]="Yes",1,0)</f>
        <v>1</v>
      </c>
      <c r="R452" t="str" cm="1">
        <f t="array" ref="R452">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452" t="str" cm="1">
        <f t="array" ref="S45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452" t="str">
        <f>TEXT(tbl_analysis_tickets[[#This Row],[created_date]],"mmm-yyyy")</f>
        <v>Jun-2024</v>
      </c>
      <c r="U452" t="str">
        <f>TEXT(tbl_analysis_tickets[[#This Row],[created_date]],"dddd")</f>
        <v>Friday</v>
      </c>
      <c r="V452" cm="1">
        <f t="array" ref="V452">_xlfn.SWITCH(tbl_analysis_tickets[[#This Row],[priority]],
"Urgent",1,
"High",2,
"Medium",3,
"Low",4
)</f>
        <v>3</v>
      </c>
    </row>
    <row r="453" spans="1:22" x14ac:dyDescent="0.25">
      <c r="A453">
        <v>452</v>
      </c>
      <c r="B453" s="1">
        <v>45387</v>
      </c>
      <c r="C453" t="s">
        <v>21</v>
      </c>
      <c r="D453" t="s">
        <v>20</v>
      </c>
      <c r="E453">
        <v>85</v>
      </c>
      <c r="F453">
        <v>64</v>
      </c>
      <c r="G453">
        <v>1.8</v>
      </c>
      <c r="H453" t="s">
        <v>18</v>
      </c>
      <c r="I453" t="s">
        <v>16</v>
      </c>
      <c r="J453" t="s">
        <v>11</v>
      </c>
      <c r="K453">
        <f>_xlfn.XLOOKUP(tbl_analysis_tickets[[#This Row],[priority]],tbl_sla[priority],tbl_sla[Resolution SLA Hours])</f>
        <v>24</v>
      </c>
      <c r="L453">
        <f>_xlfn.XLOOKUP(tbl_analysis_tickets[[#This Row],[priority]],tbl_sla[priority],tbl_sla[First Response SLA Minutes])</f>
        <v>60</v>
      </c>
      <c r="M453" t="str">
        <f>IF(tbl_analysis_tickets[[#This Row],[resolution_time_hours]]&gt;tbl_analysis_tickets[[#This Row],[Resolution SLA Hours]],"Breached","Within SLA")</f>
        <v>Breached</v>
      </c>
      <c r="N453" t="str">
        <f>IF(tbl_analysis_tickets[[#This Row],[first_response_minutes]]&gt;tbl_analysis_tickets[[#This Row],[First Response SLA Minutes]],"Breached","Within SLA")</f>
        <v>Breached</v>
      </c>
      <c r="O453" t="str" cm="1">
        <f t="array" ref="O453">_xlfn.IFS(
tbl_analysis_tickets[[#This Row],[agent_experience_years]]&lt;=2,"Junior",
tbl_analysis_tickets[[#This Row],[agent_experience_years]]&lt;=5,"Mid-Level",
tbl_analysis_tickets[[#This Row],[agent_experience_years]]&lt;=8,"Senior",
tbl_analysis_tickets[[#This Row],[agent_experience_years]]&gt;8,"Expert"
)</f>
        <v>Junior</v>
      </c>
      <c r="P453" cm="1">
        <f t="array" ref="P453">_xlfn.SWITCH(tbl_analysis_tickets[[#This Row],[customer_satisfaction]],
"Low",1,
"Medium",2,
"High",3
)</f>
        <v>1</v>
      </c>
      <c r="Q453">
        <f>IF(tbl_analysis_tickets[[#This Row],[reopened]]="Yes",1,0)</f>
        <v>0</v>
      </c>
      <c r="R453" t="str" cm="1">
        <f t="array" ref="R453">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453" t="str" cm="1">
        <f t="array" ref="S45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453" t="str">
        <f>TEXT(tbl_analysis_tickets[[#This Row],[created_date]],"mmm-yyyy")</f>
        <v>Apr-2024</v>
      </c>
      <c r="U453" t="str">
        <f>TEXT(tbl_analysis_tickets[[#This Row],[created_date]],"dddd")</f>
        <v>Friday</v>
      </c>
      <c r="V453" cm="1">
        <f t="array" ref="V453">_xlfn.SWITCH(tbl_analysis_tickets[[#This Row],[priority]],
"Urgent",1,
"High",2,
"Medium",3,
"Low",4
)</f>
        <v>2</v>
      </c>
    </row>
    <row r="454" spans="1:22" x14ac:dyDescent="0.25">
      <c r="A454">
        <v>453</v>
      </c>
      <c r="B454" s="1">
        <v>45388</v>
      </c>
      <c r="C454" t="s">
        <v>22</v>
      </c>
      <c r="D454" t="s">
        <v>20</v>
      </c>
      <c r="E454">
        <v>17</v>
      </c>
      <c r="F454">
        <v>51</v>
      </c>
      <c r="G454">
        <v>1.8</v>
      </c>
      <c r="H454" t="s">
        <v>12</v>
      </c>
      <c r="I454" t="s">
        <v>13</v>
      </c>
      <c r="J454" t="s">
        <v>11</v>
      </c>
      <c r="K454">
        <f>_xlfn.XLOOKUP(tbl_analysis_tickets[[#This Row],[priority]],tbl_sla[priority],tbl_sla[Resolution SLA Hours])</f>
        <v>24</v>
      </c>
      <c r="L454">
        <f>_xlfn.XLOOKUP(tbl_analysis_tickets[[#This Row],[priority]],tbl_sla[priority],tbl_sla[First Response SLA Minutes])</f>
        <v>60</v>
      </c>
      <c r="M454" t="str">
        <f>IF(tbl_analysis_tickets[[#This Row],[resolution_time_hours]]&gt;tbl_analysis_tickets[[#This Row],[Resolution SLA Hours]],"Breached","Within SLA")</f>
        <v>Breached</v>
      </c>
      <c r="N454" t="str">
        <f>IF(tbl_analysis_tickets[[#This Row],[first_response_minutes]]&gt;tbl_analysis_tickets[[#This Row],[First Response SLA Minutes]],"Breached","Within SLA")</f>
        <v>Within SLA</v>
      </c>
      <c r="O454" t="str" cm="1">
        <f t="array" ref="O454">_xlfn.IFS(
tbl_analysis_tickets[[#This Row],[agent_experience_years]]&lt;=2,"Junior",
tbl_analysis_tickets[[#This Row],[agent_experience_years]]&lt;=5,"Mid-Level",
tbl_analysis_tickets[[#This Row],[agent_experience_years]]&lt;=8,"Senior",
tbl_analysis_tickets[[#This Row],[agent_experience_years]]&gt;8,"Expert"
)</f>
        <v>Junior</v>
      </c>
      <c r="P454" cm="1">
        <f t="array" ref="P454">_xlfn.SWITCH(tbl_analysis_tickets[[#This Row],[customer_satisfaction]],
"Low",1,
"Medium",2,
"High",3
)</f>
        <v>1</v>
      </c>
      <c r="Q454">
        <f>IF(tbl_analysis_tickets[[#This Row],[reopened]]="Yes",1,0)</f>
        <v>1</v>
      </c>
      <c r="R454" t="str" cm="1">
        <f t="array" ref="R454">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454" t="str" cm="1">
        <f t="array" ref="S45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454" t="str">
        <f>TEXT(tbl_analysis_tickets[[#This Row],[created_date]],"mmm-yyyy")</f>
        <v>Apr-2024</v>
      </c>
      <c r="U454" t="str">
        <f>TEXT(tbl_analysis_tickets[[#This Row],[created_date]],"dddd")</f>
        <v>Saturday</v>
      </c>
      <c r="V454" cm="1">
        <f t="array" ref="V454">_xlfn.SWITCH(tbl_analysis_tickets[[#This Row],[priority]],
"Urgent",1,
"High",2,
"Medium",3,
"Low",4
)</f>
        <v>2</v>
      </c>
    </row>
    <row r="455" spans="1:22" x14ac:dyDescent="0.25">
      <c r="A455">
        <v>454</v>
      </c>
      <c r="B455" s="1">
        <v>45500</v>
      </c>
      <c r="C455" t="s">
        <v>22</v>
      </c>
      <c r="D455" t="s">
        <v>15</v>
      </c>
      <c r="E455">
        <v>35</v>
      </c>
      <c r="F455">
        <v>57</v>
      </c>
      <c r="G455">
        <v>5.5</v>
      </c>
      <c r="H455" t="s">
        <v>18</v>
      </c>
      <c r="I455" t="s">
        <v>13</v>
      </c>
      <c r="J455" t="s">
        <v>15</v>
      </c>
      <c r="K455">
        <f>_xlfn.XLOOKUP(tbl_analysis_tickets[[#This Row],[priority]],tbl_sla[priority],tbl_sla[Resolution SLA Hours])</f>
        <v>48</v>
      </c>
      <c r="L455">
        <f>_xlfn.XLOOKUP(tbl_analysis_tickets[[#This Row],[priority]],tbl_sla[priority],tbl_sla[First Response SLA Minutes])</f>
        <v>120</v>
      </c>
      <c r="M455" t="str">
        <f>IF(tbl_analysis_tickets[[#This Row],[resolution_time_hours]]&gt;tbl_analysis_tickets[[#This Row],[Resolution SLA Hours]],"Breached","Within SLA")</f>
        <v>Breached</v>
      </c>
      <c r="N455" t="str">
        <f>IF(tbl_analysis_tickets[[#This Row],[first_response_minutes]]&gt;tbl_analysis_tickets[[#This Row],[First Response SLA Minutes]],"Breached","Within SLA")</f>
        <v>Within SLA</v>
      </c>
      <c r="O455" t="str" cm="1">
        <f t="array" ref="O455">_xlfn.IFS(
tbl_analysis_tickets[[#This Row],[agent_experience_years]]&lt;=2,"Junior",
tbl_analysis_tickets[[#This Row],[agent_experience_years]]&lt;=5,"Mid-Level",
tbl_analysis_tickets[[#This Row],[agent_experience_years]]&lt;=8,"Senior",
tbl_analysis_tickets[[#This Row],[agent_experience_years]]&gt;8,"Expert"
)</f>
        <v>Senior</v>
      </c>
      <c r="P455" cm="1">
        <f t="array" ref="P455">_xlfn.SWITCH(tbl_analysis_tickets[[#This Row],[customer_satisfaction]],
"Low",1,
"Medium",2,
"High",3
)</f>
        <v>2</v>
      </c>
      <c r="Q455">
        <f>IF(tbl_analysis_tickets[[#This Row],[reopened]]="Yes",1,0)</f>
        <v>0</v>
      </c>
      <c r="R455" t="str" cm="1">
        <f t="array" ref="R455">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455" t="str" cm="1">
        <f t="array" ref="S45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455" t="str">
        <f>TEXT(tbl_analysis_tickets[[#This Row],[created_date]],"mmm-yyyy")</f>
        <v>Jul-2024</v>
      </c>
      <c r="U455" t="str">
        <f>TEXT(tbl_analysis_tickets[[#This Row],[created_date]],"dddd")</f>
        <v>Saturday</v>
      </c>
      <c r="V455" cm="1">
        <f t="array" ref="V455">_xlfn.SWITCH(tbl_analysis_tickets[[#This Row],[priority]],
"Urgent",1,
"High",2,
"Medium",3,
"Low",4
)</f>
        <v>3</v>
      </c>
    </row>
    <row r="456" spans="1:22" x14ac:dyDescent="0.25">
      <c r="A456">
        <v>455</v>
      </c>
      <c r="B456" s="1">
        <v>45580</v>
      </c>
      <c r="C456" t="s">
        <v>23</v>
      </c>
      <c r="D456" t="s">
        <v>15</v>
      </c>
      <c r="E456">
        <v>75</v>
      </c>
      <c r="F456">
        <v>16</v>
      </c>
      <c r="G456">
        <v>0.9</v>
      </c>
      <c r="H456" t="s">
        <v>12</v>
      </c>
      <c r="I456" t="s">
        <v>16</v>
      </c>
      <c r="J456" t="s">
        <v>11</v>
      </c>
      <c r="K456">
        <f>_xlfn.XLOOKUP(tbl_analysis_tickets[[#This Row],[priority]],tbl_sla[priority],tbl_sla[Resolution SLA Hours])</f>
        <v>48</v>
      </c>
      <c r="L456">
        <f>_xlfn.XLOOKUP(tbl_analysis_tickets[[#This Row],[priority]],tbl_sla[priority],tbl_sla[First Response SLA Minutes])</f>
        <v>120</v>
      </c>
      <c r="M456" t="str">
        <f>IF(tbl_analysis_tickets[[#This Row],[resolution_time_hours]]&gt;tbl_analysis_tickets[[#This Row],[Resolution SLA Hours]],"Breached","Within SLA")</f>
        <v>Within SLA</v>
      </c>
      <c r="N456" t="str">
        <f>IF(tbl_analysis_tickets[[#This Row],[first_response_minutes]]&gt;tbl_analysis_tickets[[#This Row],[First Response SLA Minutes]],"Breached","Within SLA")</f>
        <v>Within SLA</v>
      </c>
      <c r="O456" t="str" cm="1">
        <f t="array" ref="O456">_xlfn.IFS(
tbl_analysis_tickets[[#This Row],[agent_experience_years]]&lt;=2,"Junior",
tbl_analysis_tickets[[#This Row],[agent_experience_years]]&lt;=5,"Mid-Level",
tbl_analysis_tickets[[#This Row],[agent_experience_years]]&lt;=8,"Senior",
tbl_analysis_tickets[[#This Row],[agent_experience_years]]&gt;8,"Expert"
)</f>
        <v>Junior</v>
      </c>
      <c r="P456" cm="1">
        <f t="array" ref="P456">_xlfn.SWITCH(tbl_analysis_tickets[[#This Row],[customer_satisfaction]],
"Low",1,
"Medium",2,
"High",3
)</f>
        <v>1</v>
      </c>
      <c r="Q456">
        <f>IF(tbl_analysis_tickets[[#This Row],[reopened]]="Yes",1,0)</f>
        <v>1</v>
      </c>
      <c r="R456" t="str" cm="1">
        <f t="array" ref="R456">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456" t="str" cm="1">
        <f t="array" ref="S45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456" t="str">
        <f>TEXT(tbl_analysis_tickets[[#This Row],[created_date]],"mmm-yyyy")</f>
        <v>Oct-2024</v>
      </c>
      <c r="U456" t="str">
        <f>TEXT(tbl_analysis_tickets[[#This Row],[created_date]],"dddd")</f>
        <v>Tuesday</v>
      </c>
      <c r="V456" cm="1">
        <f t="array" ref="V456">_xlfn.SWITCH(tbl_analysis_tickets[[#This Row],[priority]],
"Urgent",1,
"High",2,
"Medium",3,
"Low",4
)</f>
        <v>3</v>
      </c>
    </row>
    <row r="457" spans="1:22" x14ac:dyDescent="0.25">
      <c r="A457">
        <v>456</v>
      </c>
      <c r="B457" s="1">
        <v>45461</v>
      </c>
      <c r="C457" t="s">
        <v>14</v>
      </c>
      <c r="D457" t="s">
        <v>17</v>
      </c>
      <c r="E457">
        <v>82</v>
      </c>
      <c r="F457">
        <v>8</v>
      </c>
      <c r="G457">
        <v>4.5</v>
      </c>
      <c r="H457" t="s">
        <v>18</v>
      </c>
      <c r="I457" t="s">
        <v>19</v>
      </c>
      <c r="J457" t="s">
        <v>11</v>
      </c>
      <c r="K457">
        <f>_xlfn.XLOOKUP(tbl_analysis_tickets[[#This Row],[priority]],tbl_sla[priority],tbl_sla[Resolution SLA Hours])</f>
        <v>8</v>
      </c>
      <c r="L457">
        <f>_xlfn.XLOOKUP(tbl_analysis_tickets[[#This Row],[priority]],tbl_sla[priority],tbl_sla[First Response SLA Minutes])</f>
        <v>30</v>
      </c>
      <c r="M457" t="str">
        <f>IF(tbl_analysis_tickets[[#This Row],[resolution_time_hours]]&gt;tbl_analysis_tickets[[#This Row],[Resolution SLA Hours]],"Breached","Within SLA")</f>
        <v>Within SLA</v>
      </c>
      <c r="N457" t="str">
        <f>IF(tbl_analysis_tickets[[#This Row],[first_response_minutes]]&gt;tbl_analysis_tickets[[#This Row],[First Response SLA Minutes]],"Breached","Within SLA")</f>
        <v>Breached</v>
      </c>
      <c r="O457" t="str" cm="1">
        <f t="array" ref="O457">_xlfn.IFS(
tbl_analysis_tickets[[#This Row],[agent_experience_years]]&lt;=2,"Junior",
tbl_analysis_tickets[[#This Row],[agent_experience_years]]&lt;=5,"Mid-Level",
tbl_analysis_tickets[[#This Row],[agent_experience_years]]&lt;=8,"Senior",
tbl_analysis_tickets[[#This Row],[agent_experience_years]]&gt;8,"Expert"
)</f>
        <v>Mid-Level</v>
      </c>
      <c r="P457" cm="1">
        <f t="array" ref="P457">_xlfn.SWITCH(tbl_analysis_tickets[[#This Row],[customer_satisfaction]],
"Low",1,
"Medium",2,
"High",3
)</f>
        <v>1</v>
      </c>
      <c r="Q457">
        <f>IF(tbl_analysis_tickets[[#This Row],[reopened]]="Yes",1,0)</f>
        <v>0</v>
      </c>
      <c r="R457" t="str" cm="1">
        <f t="array" ref="R457">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457" t="str" cm="1">
        <f t="array" ref="S45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457" t="str">
        <f>TEXT(tbl_analysis_tickets[[#This Row],[created_date]],"mmm-yyyy")</f>
        <v>Jun-2024</v>
      </c>
      <c r="U457" t="str">
        <f>TEXT(tbl_analysis_tickets[[#This Row],[created_date]],"dddd")</f>
        <v>Tuesday</v>
      </c>
      <c r="V457" cm="1">
        <f t="array" ref="V457">_xlfn.SWITCH(tbl_analysis_tickets[[#This Row],[priority]],
"Urgent",1,
"High",2,
"Medium",3,
"Low",4
)</f>
        <v>1</v>
      </c>
    </row>
    <row r="458" spans="1:22" x14ac:dyDescent="0.25">
      <c r="A458">
        <v>457</v>
      </c>
      <c r="B458" s="1">
        <v>45557</v>
      </c>
      <c r="C458" t="s">
        <v>10</v>
      </c>
      <c r="D458" t="s">
        <v>11</v>
      </c>
      <c r="E458">
        <v>119</v>
      </c>
      <c r="F458">
        <v>8</v>
      </c>
      <c r="G458">
        <v>6.1</v>
      </c>
      <c r="H458" t="s">
        <v>12</v>
      </c>
      <c r="I458" t="s">
        <v>13</v>
      </c>
      <c r="J458" t="s">
        <v>11</v>
      </c>
      <c r="K458">
        <f>_xlfn.XLOOKUP(tbl_analysis_tickets[[#This Row],[priority]],tbl_sla[priority],tbl_sla[Resolution SLA Hours])</f>
        <v>72</v>
      </c>
      <c r="L458">
        <f>_xlfn.XLOOKUP(tbl_analysis_tickets[[#This Row],[priority]],tbl_sla[priority],tbl_sla[First Response SLA Minutes])</f>
        <v>240</v>
      </c>
      <c r="M458" t="str">
        <f>IF(tbl_analysis_tickets[[#This Row],[resolution_time_hours]]&gt;tbl_analysis_tickets[[#This Row],[Resolution SLA Hours]],"Breached","Within SLA")</f>
        <v>Within SLA</v>
      </c>
      <c r="N458" t="str">
        <f>IF(tbl_analysis_tickets[[#This Row],[first_response_minutes]]&gt;tbl_analysis_tickets[[#This Row],[First Response SLA Minutes]],"Breached","Within SLA")</f>
        <v>Within SLA</v>
      </c>
      <c r="O458" t="str" cm="1">
        <f t="array" ref="O458">_xlfn.IFS(
tbl_analysis_tickets[[#This Row],[agent_experience_years]]&lt;=2,"Junior",
tbl_analysis_tickets[[#This Row],[agent_experience_years]]&lt;=5,"Mid-Level",
tbl_analysis_tickets[[#This Row],[agent_experience_years]]&lt;=8,"Senior",
tbl_analysis_tickets[[#This Row],[agent_experience_years]]&gt;8,"Expert"
)</f>
        <v>Senior</v>
      </c>
      <c r="P458" cm="1">
        <f t="array" ref="P458">_xlfn.SWITCH(tbl_analysis_tickets[[#This Row],[customer_satisfaction]],
"Low",1,
"Medium",2,
"High",3
)</f>
        <v>1</v>
      </c>
      <c r="Q458">
        <f>IF(tbl_analysis_tickets[[#This Row],[reopened]]="Yes",1,0)</f>
        <v>1</v>
      </c>
      <c r="R458" t="str" cm="1">
        <f t="array" ref="R458">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458" t="str" cm="1">
        <f t="array" ref="S45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458" t="str">
        <f>TEXT(tbl_analysis_tickets[[#This Row],[created_date]],"mmm-yyyy")</f>
        <v>Sep-2024</v>
      </c>
      <c r="U458" t="str">
        <f>TEXT(tbl_analysis_tickets[[#This Row],[created_date]],"dddd")</f>
        <v>Sunday</v>
      </c>
      <c r="V458" cm="1">
        <f t="array" ref="V458">_xlfn.SWITCH(tbl_analysis_tickets[[#This Row],[priority]],
"Urgent",1,
"High",2,
"Medium",3,
"Low",4
)</f>
        <v>4</v>
      </c>
    </row>
    <row r="459" spans="1:22" x14ac:dyDescent="0.25">
      <c r="A459">
        <v>458</v>
      </c>
      <c r="B459" s="1">
        <v>45485</v>
      </c>
      <c r="C459" t="s">
        <v>14</v>
      </c>
      <c r="D459" t="s">
        <v>20</v>
      </c>
      <c r="E459">
        <v>99</v>
      </c>
      <c r="F459">
        <v>58</v>
      </c>
      <c r="G459">
        <v>5.5</v>
      </c>
      <c r="H459" t="s">
        <v>18</v>
      </c>
      <c r="I459" t="s">
        <v>13</v>
      </c>
      <c r="J459" t="s">
        <v>11</v>
      </c>
      <c r="K459">
        <f>_xlfn.XLOOKUP(tbl_analysis_tickets[[#This Row],[priority]],tbl_sla[priority],tbl_sla[Resolution SLA Hours])</f>
        <v>24</v>
      </c>
      <c r="L459">
        <f>_xlfn.XLOOKUP(tbl_analysis_tickets[[#This Row],[priority]],tbl_sla[priority],tbl_sla[First Response SLA Minutes])</f>
        <v>60</v>
      </c>
      <c r="M459" t="str">
        <f>IF(tbl_analysis_tickets[[#This Row],[resolution_time_hours]]&gt;tbl_analysis_tickets[[#This Row],[Resolution SLA Hours]],"Breached","Within SLA")</f>
        <v>Breached</v>
      </c>
      <c r="N459" t="str">
        <f>IF(tbl_analysis_tickets[[#This Row],[first_response_minutes]]&gt;tbl_analysis_tickets[[#This Row],[First Response SLA Minutes]],"Breached","Within SLA")</f>
        <v>Breached</v>
      </c>
      <c r="O459" t="str" cm="1">
        <f t="array" ref="O459">_xlfn.IFS(
tbl_analysis_tickets[[#This Row],[agent_experience_years]]&lt;=2,"Junior",
tbl_analysis_tickets[[#This Row],[agent_experience_years]]&lt;=5,"Mid-Level",
tbl_analysis_tickets[[#This Row],[agent_experience_years]]&lt;=8,"Senior",
tbl_analysis_tickets[[#This Row],[agent_experience_years]]&gt;8,"Expert"
)</f>
        <v>Senior</v>
      </c>
      <c r="P459" cm="1">
        <f t="array" ref="P459">_xlfn.SWITCH(tbl_analysis_tickets[[#This Row],[customer_satisfaction]],
"Low",1,
"Medium",2,
"High",3
)</f>
        <v>1</v>
      </c>
      <c r="Q459">
        <f>IF(tbl_analysis_tickets[[#This Row],[reopened]]="Yes",1,0)</f>
        <v>0</v>
      </c>
      <c r="R459" t="str" cm="1">
        <f t="array" ref="R459">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459" t="str" cm="1">
        <f t="array" ref="S45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459" t="str">
        <f>TEXT(tbl_analysis_tickets[[#This Row],[created_date]],"mmm-yyyy")</f>
        <v>Jul-2024</v>
      </c>
      <c r="U459" t="str">
        <f>TEXT(tbl_analysis_tickets[[#This Row],[created_date]],"dddd")</f>
        <v>Friday</v>
      </c>
      <c r="V459" cm="1">
        <f t="array" ref="V459">_xlfn.SWITCH(tbl_analysis_tickets[[#This Row],[priority]],
"Urgent",1,
"High",2,
"Medium",3,
"Low",4
)</f>
        <v>2</v>
      </c>
    </row>
    <row r="460" spans="1:22" x14ac:dyDescent="0.25">
      <c r="A460">
        <v>459</v>
      </c>
      <c r="B460" s="1">
        <v>45560</v>
      </c>
      <c r="C460" t="s">
        <v>10</v>
      </c>
      <c r="D460" t="s">
        <v>17</v>
      </c>
      <c r="E460">
        <v>49</v>
      </c>
      <c r="F460">
        <v>29</v>
      </c>
      <c r="G460">
        <v>4.4000000000000004</v>
      </c>
      <c r="H460" t="s">
        <v>12</v>
      </c>
      <c r="I460" t="s">
        <v>16</v>
      </c>
      <c r="J460" t="s">
        <v>11</v>
      </c>
      <c r="K460">
        <f>_xlfn.XLOOKUP(tbl_analysis_tickets[[#This Row],[priority]],tbl_sla[priority],tbl_sla[Resolution SLA Hours])</f>
        <v>8</v>
      </c>
      <c r="L460">
        <f>_xlfn.XLOOKUP(tbl_analysis_tickets[[#This Row],[priority]],tbl_sla[priority],tbl_sla[First Response SLA Minutes])</f>
        <v>30</v>
      </c>
      <c r="M460" t="str">
        <f>IF(tbl_analysis_tickets[[#This Row],[resolution_time_hours]]&gt;tbl_analysis_tickets[[#This Row],[Resolution SLA Hours]],"Breached","Within SLA")</f>
        <v>Breached</v>
      </c>
      <c r="N460" t="str">
        <f>IF(tbl_analysis_tickets[[#This Row],[first_response_minutes]]&gt;tbl_analysis_tickets[[#This Row],[First Response SLA Minutes]],"Breached","Within SLA")</f>
        <v>Breached</v>
      </c>
      <c r="O460" t="str" cm="1">
        <f t="array" ref="O460">_xlfn.IFS(
tbl_analysis_tickets[[#This Row],[agent_experience_years]]&lt;=2,"Junior",
tbl_analysis_tickets[[#This Row],[agent_experience_years]]&lt;=5,"Mid-Level",
tbl_analysis_tickets[[#This Row],[agent_experience_years]]&lt;=8,"Senior",
tbl_analysis_tickets[[#This Row],[agent_experience_years]]&gt;8,"Expert"
)</f>
        <v>Mid-Level</v>
      </c>
      <c r="P460" cm="1">
        <f t="array" ref="P460">_xlfn.SWITCH(tbl_analysis_tickets[[#This Row],[customer_satisfaction]],
"Low",1,
"Medium",2,
"High",3
)</f>
        <v>1</v>
      </c>
      <c r="Q460">
        <f>IF(tbl_analysis_tickets[[#This Row],[reopened]]="Yes",1,0)</f>
        <v>1</v>
      </c>
      <c r="R460" t="str" cm="1">
        <f t="array" ref="R460">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460" t="str" cm="1">
        <f t="array" ref="S46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460" t="str">
        <f>TEXT(tbl_analysis_tickets[[#This Row],[created_date]],"mmm-yyyy")</f>
        <v>Sep-2024</v>
      </c>
      <c r="U460" t="str">
        <f>TEXT(tbl_analysis_tickets[[#This Row],[created_date]],"dddd")</f>
        <v>Wednesday</v>
      </c>
      <c r="V460" cm="1">
        <f t="array" ref="V460">_xlfn.SWITCH(tbl_analysis_tickets[[#This Row],[priority]],
"Urgent",1,
"High",2,
"Medium",3,
"Low",4
)</f>
        <v>1</v>
      </c>
    </row>
    <row r="461" spans="1:22" x14ac:dyDescent="0.25">
      <c r="A461">
        <v>460</v>
      </c>
      <c r="B461" s="1">
        <v>45292</v>
      </c>
      <c r="C461" t="s">
        <v>10</v>
      </c>
      <c r="D461" t="s">
        <v>20</v>
      </c>
      <c r="E461">
        <v>19</v>
      </c>
      <c r="F461">
        <v>7</v>
      </c>
      <c r="G461">
        <v>4.0999999999999996</v>
      </c>
      <c r="H461" t="s">
        <v>12</v>
      </c>
      <c r="I461" t="s">
        <v>16</v>
      </c>
      <c r="J461" t="s">
        <v>11</v>
      </c>
      <c r="K461">
        <f>_xlfn.XLOOKUP(tbl_analysis_tickets[[#This Row],[priority]],tbl_sla[priority],tbl_sla[Resolution SLA Hours])</f>
        <v>24</v>
      </c>
      <c r="L461">
        <f>_xlfn.XLOOKUP(tbl_analysis_tickets[[#This Row],[priority]],tbl_sla[priority],tbl_sla[First Response SLA Minutes])</f>
        <v>60</v>
      </c>
      <c r="M461" t="str">
        <f>IF(tbl_analysis_tickets[[#This Row],[resolution_time_hours]]&gt;tbl_analysis_tickets[[#This Row],[Resolution SLA Hours]],"Breached","Within SLA")</f>
        <v>Within SLA</v>
      </c>
      <c r="N461" t="str">
        <f>IF(tbl_analysis_tickets[[#This Row],[first_response_minutes]]&gt;tbl_analysis_tickets[[#This Row],[First Response SLA Minutes]],"Breached","Within SLA")</f>
        <v>Within SLA</v>
      </c>
      <c r="O461" t="str" cm="1">
        <f t="array" ref="O461">_xlfn.IFS(
tbl_analysis_tickets[[#This Row],[agent_experience_years]]&lt;=2,"Junior",
tbl_analysis_tickets[[#This Row],[agent_experience_years]]&lt;=5,"Mid-Level",
tbl_analysis_tickets[[#This Row],[agent_experience_years]]&lt;=8,"Senior",
tbl_analysis_tickets[[#This Row],[agent_experience_years]]&gt;8,"Expert"
)</f>
        <v>Mid-Level</v>
      </c>
      <c r="P461" cm="1">
        <f t="array" ref="P461">_xlfn.SWITCH(tbl_analysis_tickets[[#This Row],[customer_satisfaction]],
"Low",1,
"Medium",2,
"High",3
)</f>
        <v>1</v>
      </c>
      <c r="Q461">
        <f>IF(tbl_analysis_tickets[[#This Row],[reopened]]="Yes",1,0)</f>
        <v>1</v>
      </c>
      <c r="R461" t="str" cm="1">
        <f t="array" ref="R461">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461" t="str" cm="1">
        <f t="array" ref="S46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461" t="str">
        <f>TEXT(tbl_analysis_tickets[[#This Row],[created_date]],"mmm-yyyy")</f>
        <v>Jan-2024</v>
      </c>
      <c r="U461" t="str">
        <f>TEXT(tbl_analysis_tickets[[#This Row],[created_date]],"dddd")</f>
        <v>Monday</v>
      </c>
      <c r="V461" cm="1">
        <f t="array" ref="V461">_xlfn.SWITCH(tbl_analysis_tickets[[#This Row],[priority]],
"Urgent",1,
"High",2,
"Medium",3,
"Low",4
)</f>
        <v>2</v>
      </c>
    </row>
    <row r="462" spans="1:22" x14ac:dyDescent="0.25">
      <c r="A462">
        <v>461</v>
      </c>
      <c r="B462" s="1">
        <v>45627</v>
      </c>
      <c r="C462" t="s">
        <v>23</v>
      </c>
      <c r="D462" t="s">
        <v>15</v>
      </c>
      <c r="E462">
        <v>184</v>
      </c>
      <c r="F462">
        <v>32</v>
      </c>
      <c r="G462">
        <v>8.5</v>
      </c>
      <c r="H462" t="s">
        <v>12</v>
      </c>
      <c r="I462" t="s">
        <v>19</v>
      </c>
      <c r="J462" t="s">
        <v>11</v>
      </c>
      <c r="K462">
        <f>_xlfn.XLOOKUP(tbl_analysis_tickets[[#This Row],[priority]],tbl_sla[priority],tbl_sla[Resolution SLA Hours])</f>
        <v>48</v>
      </c>
      <c r="L462">
        <f>_xlfn.XLOOKUP(tbl_analysis_tickets[[#This Row],[priority]],tbl_sla[priority],tbl_sla[First Response SLA Minutes])</f>
        <v>120</v>
      </c>
      <c r="M462" t="str">
        <f>IF(tbl_analysis_tickets[[#This Row],[resolution_time_hours]]&gt;tbl_analysis_tickets[[#This Row],[Resolution SLA Hours]],"Breached","Within SLA")</f>
        <v>Within SLA</v>
      </c>
      <c r="N462" t="str">
        <f>IF(tbl_analysis_tickets[[#This Row],[first_response_minutes]]&gt;tbl_analysis_tickets[[#This Row],[First Response SLA Minutes]],"Breached","Within SLA")</f>
        <v>Breached</v>
      </c>
      <c r="O462" t="str" cm="1">
        <f t="array" ref="O462">_xlfn.IFS(
tbl_analysis_tickets[[#This Row],[agent_experience_years]]&lt;=2,"Junior",
tbl_analysis_tickets[[#This Row],[agent_experience_years]]&lt;=5,"Mid-Level",
tbl_analysis_tickets[[#This Row],[agent_experience_years]]&lt;=8,"Senior",
tbl_analysis_tickets[[#This Row],[agent_experience_years]]&gt;8,"Expert"
)</f>
        <v>Expert</v>
      </c>
      <c r="P462" cm="1">
        <f t="array" ref="P462">_xlfn.SWITCH(tbl_analysis_tickets[[#This Row],[customer_satisfaction]],
"Low",1,
"Medium",2,
"High",3
)</f>
        <v>1</v>
      </c>
      <c r="Q462">
        <f>IF(tbl_analysis_tickets[[#This Row],[reopened]]="Yes",1,0)</f>
        <v>1</v>
      </c>
      <c r="R462" t="str" cm="1">
        <f t="array" ref="R462">_xlfn.IFS(
tbl_analysis_tickets[[#This Row],[first_response_minutes]]&lt;=30,"Very Fast",
tbl_analysis_tickets[[#This Row],[first_response_minutes]]&lt;=120,"Acceptable",
tbl_analysis_tickets[[#This Row],[first_response_minutes]]&lt;=240,"Slow",
tbl_analysis_tickets[[#This Row],[first_response_minutes]]&gt;240,"Very Slow"
)</f>
        <v>Slow</v>
      </c>
      <c r="S462" t="str" cm="1">
        <f t="array" ref="S46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462" t="str">
        <f>TEXT(tbl_analysis_tickets[[#This Row],[created_date]],"mmm-yyyy")</f>
        <v>Dec-2024</v>
      </c>
      <c r="U462" t="str">
        <f>TEXT(tbl_analysis_tickets[[#This Row],[created_date]],"dddd")</f>
        <v>Sunday</v>
      </c>
      <c r="V462" cm="1">
        <f t="array" ref="V462">_xlfn.SWITCH(tbl_analysis_tickets[[#This Row],[priority]],
"Urgent",1,
"High",2,
"Medium",3,
"Low",4
)</f>
        <v>3</v>
      </c>
    </row>
    <row r="463" spans="1:22" x14ac:dyDescent="0.25">
      <c r="A463">
        <v>462</v>
      </c>
      <c r="B463" s="1">
        <v>45543</v>
      </c>
      <c r="C463" t="s">
        <v>21</v>
      </c>
      <c r="D463" t="s">
        <v>17</v>
      </c>
      <c r="E463">
        <v>119</v>
      </c>
      <c r="F463">
        <v>54</v>
      </c>
      <c r="G463">
        <v>4.2</v>
      </c>
      <c r="H463" t="s">
        <v>12</v>
      </c>
      <c r="I463" t="s">
        <v>13</v>
      </c>
      <c r="J463" t="s">
        <v>11</v>
      </c>
      <c r="K463">
        <f>_xlfn.XLOOKUP(tbl_analysis_tickets[[#This Row],[priority]],tbl_sla[priority],tbl_sla[Resolution SLA Hours])</f>
        <v>8</v>
      </c>
      <c r="L463">
        <f>_xlfn.XLOOKUP(tbl_analysis_tickets[[#This Row],[priority]],tbl_sla[priority],tbl_sla[First Response SLA Minutes])</f>
        <v>30</v>
      </c>
      <c r="M463" t="str">
        <f>IF(tbl_analysis_tickets[[#This Row],[resolution_time_hours]]&gt;tbl_analysis_tickets[[#This Row],[Resolution SLA Hours]],"Breached","Within SLA")</f>
        <v>Breached</v>
      </c>
      <c r="N463" t="str">
        <f>IF(tbl_analysis_tickets[[#This Row],[first_response_minutes]]&gt;tbl_analysis_tickets[[#This Row],[First Response SLA Minutes]],"Breached","Within SLA")</f>
        <v>Breached</v>
      </c>
      <c r="O463" t="str" cm="1">
        <f t="array" ref="O463">_xlfn.IFS(
tbl_analysis_tickets[[#This Row],[agent_experience_years]]&lt;=2,"Junior",
tbl_analysis_tickets[[#This Row],[agent_experience_years]]&lt;=5,"Mid-Level",
tbl_analysis_tickets[[#This Row],[agent_experience_years]]&lt;=8,"Senior",
tbl_analysis_tickets[[#This Row],[agent_experience_years]]&gt;8,"Expert"
)</f>
        <v>Mid-Level</v>
      </c>
      <c r="P463" cm="1">
        <f t="array" ref="P463">_xlfn.SWITCH(tbl_analysis_tickets[[#This Row],[customer_satisfaction]],
"Low",1,
"Medium",2,
"High",3
)</f>
        <v>1</v>
      </c>
      <c r="Q463">
        <f>IF(tbl_analysis_tickets[[#This Row],[reopened]]="Yes",1,0)</f>
        <v>1</v>
      </c>
      <c r="R463" t="str" cm="1">
        <f t="array" ref="R463">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463" t="str" cm="1">
        <f t="array" ref="S46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463" t="str">
        <f>TEXT(tbl_analysis_tickets[[#This Row],[created_date]],"mmm-yyyy")</f>
        <v>Sep-2024</v>
      </c>
      <c r="U463" t="str">
        <f>TEXT(tbl_analysis_tickets[[#This Row],[created_date]],"dddd")</f>
        <v>Sunday</v>
      </c>
      <c r="V463" cm="1">
        <f t="array" ref="V463">_xlfn.SWITCH(tbl_analysis_tickets[[#This Row],[priority]],
"Urgent",1,
"High",2,
"Medium",3,
"Low",4
)</f>
        <v>1</v>
      </c>
    </row>
    <row r="464" spans="1:22" x14ac:dyDescent="0.25">
      <c r="A464">
        <v>463</v>
      </c>
      <c r="B464" s="1">
        <v>45641</v>
      </c>
      <c r="C464" t="s">
        <v>14</v>
      </c>
      <c r="D464" t="s">
        <v>20</v>
      </c>
      <c r="E464">
        <v>23</v>
      </c>
      <c r="F464">
        <v>22</v>
      </c>
      <c r="G464">
        <v>1.1000000000000001</v>
      </c>
      <c r="H464" t="s">
        <v>18</v>
      </c>
      <c r="I464" t="s">
        <v>19</v>
      </c>
      <c r="J464" t="s">
        <v>15</v>
      </c>
      <c r="K464">
        <f>_xlfn.XLOOKUP(tbl_analysis_tickets[[#This Row],[priority]],tbl_sla[priority],tbl_sla[Resolution SLA Hours])</f>
        <v>24</v>
      </c>
      <c r="L464">
        <f>_xlfn.XLOOKUP(tbl_analysis_tickets[[#This Row],[priority]],tbl_sla[priority],tbl_sla[First Response SLA Minutes])</f>
        <v>60</v>
      </c>
      <c r="M464" t="str">
        <f>IF(tbl_analysis_tickets[[#This Row],[resolution_time_hours]]&gt;tbl_analysis_tickets[[#This Row],[Resolution SLA Hours]],"Breached","Within SLA")</f>
        <v>Within SLA</v>
      </c>
      <c r="N464" t="str">
        <f>IF(tbl_analysis_tickets[[#This Row],[first_response_minutes]]&gt;tbl_analysis_tickets[[#This Row],[First Response SLA Minutes]],"Breached","Within SLA")</f>
        <v>Within SLA</v>
      </c>
      <c r="O464" t="str" cm="1">
        <f t="array" ref="O464">_xlfn.IFS(
tbl_analysis_tickets[[#This Row],[agent_experience_years]]&lt;=2,"Junior",
tbl_analysis_tickets[[#This Row],[agent_experience_years]]&lt;=5,"Mid-Level",
tbl_analysis_tickets[[#This Row],[agent_experience_years]]&lt;=8,"Senior",
tbl_analysis_tickets[[#This Row],[agent_experience_years]]&gt;8,"Expert"
)</f>
        <v>Junior</v>
      </c>
      <c r="P464" cm="1">
        <f t="array" ref="P464">_xlfn.SWITCH(tbl_analysis_tickets[[#This Row],[customer_satisfaction]],
"Low",1,
"Medium",2,
"High",3
)</f>
        <v>2</v>
      </c>
      <c r="Q464">
        <f>IF(tbl_analysis_tickets[[#This Row],[reopened]]="Yes",1,0)</f>
        <v>0</v>
      </c>
      <c r="R464" t="str" cm="1">
        <f t="array" ref="R464">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464" t="str" cm="1">
        <f t="array" ref="S46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464" t="str">
        <f>TEXT(tbl_analysis_tickets[[#This Row],[created_date]],"mmm-yyyy")</f>
        <v>Dec-2024</v>
      </c>
      <c r="U464" t="str">
        <f>TEXT(tbl_analysis_tickets[[#This Row],[created_date]],"dddd")</f>
        <v>Sunday</v>
      </c>
      <c r="V464" cm="1">
        <f t="array" ref="V464">_xlfn.SWITCH(tbl_analysis_tickets[[#This Row],[priority]],
"Urgent",1,
"High",2,
"Medium",3,
"Low",4
)</f>
        <v>2</v>
      </c>
    </row>
    <row r="465" spans="1:22" x14ac:dyDescent="0.25">
      <c r="A465">
        <v>464</v>
      </c>
      <c r="B465" s="1">
        <v>45402</v>
      </c>
      <c r="C465" t="s">
        <v>22</v>
      </c>
      <c r="D465" t="s">
        <v>17</v>
      </c>
      <c r="E465">
        <v>192</v>
      </c>
      <c r="F465">
        <v>56</v>
      </c>
      <c r="G465">
        <v>3.7</v>
      </c>
      <c r="H465" t="s">
        <v>18</v>
      </c>
      <c r="I465" t="s">
        <v>16</v>
      </c>
      <c r="J465" t="s">
        <v>11</v>
      </c>
      <c r="K465">
        <f>_xlfn.XLOOKUP(tbl_analysis_tickets[[#This Row],[priority]],tbl_sla[priority],tbl_sla[Resolution SLA Hours])</f>
        <v>8</v>
      </c>
      <c r="L465">
        <f>_xlfn.XLOOKUP(tbl_analysis_tickets[[#This Row],[priority]],tbl_sla[priority],tbl_sla[First Response SLA Minutes])</f>
        <v>30</v>
      </c>
      <c r="M465" t="str">
        <f>IF(tbl_analysis_tickets[[#This Row],[resolution_time_hours]]&gt;tbl_analysis_tickets[[#This Row],[Resolution SLA Hours]],"Breached","Within SLA")</f>
        <v>Breached</v>
      </c>
      <c r="N465" t="str">
        <f>IF(tbl_analysis_tickets[[#This Row],[first_response_minutes]]&gt;tbl_analysis_tickets[[#This Row],[First Response SLA Minutes]],"Breached","Within SLA")</f>
        <v>Breached</v>
      </c>
      <c r="O465" t="str" cm="1">
        <f t="array" ref="O465">_xlfn.IFS(
tbl_analysis_tickets[[#This Row],[agent_experience_years]]&lt;=2,"Junior",
tbl_analysis_tickets[[#This Row],[agent_experience_years]]&lt;=5,"Mid-Level",
tbl_analysis_tickets[[#This Row],[agent_experience_years]]&lt;=8,"Senior",
tbl_analysis_tickets[[#This Row],[agent_experience_years]]&gt;8,"Expert"
)</f>
        <v>Mid-Level</v>
      </c>
      <c r="P465" cm="1">
        <f t="array" ref="P465">_xlfn.SWITCH(tbl_analysis_tickets[[#This Row],[customer_satisfaction]],
"Low",1,
"Medium",2,
"High",3
)</f>
        <v>1</v>
      </c>
      <c r="Q465">
        <f>IF(tbl_analysis_tickets[[#This Row],[reopened]]="Yes",1,0)</f>
        <v>0</v>
      </c>
      <c r="R465" t="str" cm="1">
        <f t="array" ref="R465">_xlfn.IFS(
tbl_analysis_tickets[[#This Row],[first_response_minutes]]&lt;=30,"Very Fast",
tbl_analysis_tickets[[#This Row],[first_response_minutes]]&lt;=120,"Acceptable",
tbl_analysis_tickets[[#This Row],[first_response_minutes]]&lt;=240,"Slow",
tbl_analysis_tickets[[#This Row],[first_response_minutes]]&gt;240,"Very Slow"
)</f>
        <v>Slow</v>
      </c>
      <c r="S465" t="str" cm="1">
        <f t="array" ref="S46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465" t="str">
        <f>TEXT(tbl_analysis_tickets[[#This Row],[created_date]],"mmm-yyyy")</f>
        <v>Apr-2024</v>
      </c>
      <c r="U465" t="str">
        <f>TEXT(tbl_analysis_tickets[[#This Row],[created_date]],"dddd")</f>
        <v>Saturday</v>
      </c>
      <c r="V465" cm="1">
        <f t="array" ref="V465">_xlfn.SWITCH(tbl_analysis_tickets[[#This Row],[priority]],
"Urgent",1,
"High",2,
"Medium",3,
"Low",4
)</f>
        <v>1</v>
      </c>
    </row>
    <row r="466" spans="1:22" x14ac:dyDescent="0.25">
      <c r="A466">
        <v>465</v>
      </c>
      <c r="B466" s="1">
        <v>45499</v>
      </c>
      <c r="C466" t="s">
        <v>23</v>
      </c>
      <c r="D466" t="s">
        <v>20</v>
      </c>
      <c r="E466">
        <v>127</v>
      </c>
      <c r="F466">
        <v>17</v>
      </c>
      <c r="G466">
        <v>9.5</v>
      </c>
      <c r="H466" t="s">
        <v>18</v>
      </c>
      <c r="I466" t="s">
        <v>19</v>
      </c>
      <c r="J466" t="s">
        <v>11</v>
      </c>
      <c r="K466">
        <f>_xlfn.XLOOKUP(tbl_analysis_tickets[[#This Row],[priority]],tbl_sla[priority],tbl_sla[Resolution SLA Hours])</f>
        <v>24</v>
      </c>
      <c r="L466">
        <f>_xlfn.XLOOKUP(tbl_analysis_tickets[[#This Row],[priority]],tbl_sla[priority],tbl_sla[First Response SLA Minutes])</f>
        <v>60</v>
      </c>
      <c r="M466" t="str">
        <f>IF(tbl_analysis_tickets[[#This Row],[resolution_time_hours]]&gt;tbl_analysis_tickets[[#This Row],[Resolution SLA Hours]],"Breached","Within SLA")</f>
        <v>Within SLA</v>
      </c>
      <c r="N466" t="str">
        <f>IF(tbl_analysis_tickets[[#This Row],[first_response_minutes]]&gt;tbl_analysis_tickets[[#This Row],[First Response SLA Minutes]],"Breached","Within SLA")</f>
        <v>Breached</v>
      </c>
      <c r="O466" t="str" cm="1">
        <f t="array" ref="O466">_xlfn.IFS(
tbl_analysis_tickets[[#This Row],[agent_experience_years]]&lt;=2,"Junior",
tbl_analysis_tickets[[#This Row],[agent_experience_years]]&lt;=5,"Mid-Level",
tbl_analysis_tickets[[#This Row],[agent_experience_years]]&lt;=8,"Senior",
tbl_analysis_tickets[[#This Row],[agent_experience_years]]&gt;8,"Expert"
)</f>
        <v>Expert</v>
      </c>
      <c r="P466" cm="1">
        <f t="array" ref="P466">_xlfn.SWITCH(tbl_analysis_tickets[[#This Row],[customer_satisfaction]],
"Low",1,
"Medium",2,
"High",3
)</f>
        <v>1</v>
      </c>
      <c r="Q466">
        <f>IF(tbl_analysis_tickets[[#This Row],[reopened]]="Yes",1,0)</f>
        <v>0</v>
      </c>
      <c r="R466" t="str" cm="1">
        <f t="array" ref="R466">_xlfn.IFS(
tbl_analysis_tickets[[#This Row],[first_response_minutes]]&lt;=30,"Very Fast",
tbl_analysis_tickets[[#This Row],[first_response_minutes]]&lt;=120,"Acceptable",
tbl_analysis_tickets[[#This Row],[first_response_minutes]]&lt;=240,"Slow",
tbl_analysis_tickets[[#This Row],[first_response_minutes]]&gt;240,"Very Slow"
)</f>
        <v>Slow</v>
      </c>
      <c r="S466" t="str" cm="1">
        <f t="array" ref="S46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466" t="str">
        <f>TEXT(tbl_analysis_tickets[[#This Row],[created_date]],"mmm-yyyy")</f>
        <v>Jul-2024</v>
      </c>
      <c r="U466" t="str">
        <f>TEXT(tbl_analysis_tickets[[#This Row],[created_date]],"dddd")</f>
        <v>Friday</v>
      </c>
      <c r="V466" cm="1">
        <f t="array" ref="V466">_xlfn.SWITCH(tbl_analysis_tickets[[#This Row],[priority]],
"Urgent",1,
"High",2,
"Medium",3,
"Low",4
)</f>
        <v>2</v>
      </c>
    </row>
    <row r="467" spans="1:22" x14ac:dyDescent="0.25">
      <c r="A467">
        <v>466</v>
      </c>
      <c r="B467" s="1">
        <v>45488</v>
      </c>
      <c r="C467" t="s">
        <v>14</v>
      </c>
      <c r="D467" t="s">
        <v>17</v>
      </c>
      <c r="E467">
        <v>116</v>
      </c>
      <c r="F467">
        <v>4</v>
      </c>
      <c r="G467">
        <v>8.4</v>
      </c>
      <c r="H467" t="s">
        <v>18</v>
      </c>
      <c r="I467" t="s">
        <v>13</v>
      </c>
      <c r="J467" t="s">
        <v>15</v>
      </c>
      <c r="K467">
        <f>_xlfn.XLOOKUP(tbl_analysis_tickets[[#This Row],[priority]],tbl_sla[priority],tbl_sla[Resolution SLA Hours])</f>
        <v>8</v>
      </c>
      <c r="L467">
        <f>_xlfn.XLOOKUP(tbl_analysis_tickets[[#This Row],[priority]],tbl_sla[priority],tbl_sla[First Response SLA Minutes])</f>
        <v>30</v>
      </c>
      <c r="M467" t="str">
        <f>IF(tbl_analysis_tickets[[#This Row],[resolution_time_hours]]&gt;tbl_analysis_tickets[[#This Row],[Resolution SLA Hours]],"Breached","Within SLA")</f>
        <v>Within SLA</v>
      </c>
      <c r="N467" t="str">
        <f>IF(tbl_analysis_tickets[[#This Row],[first_response_minutes]]&gt;tbl_analysis_tickets[[#This Row],[First Response SLA Minutes]],"Breached","Within SLA")</f>
        <v>Breached</v>
      </c>
      <c r="O467" t="str" cm="1">
        <f t="array" ref="O467">_xlfn.IFS(
tbl_analysis_tickets[[#This Row],[agent_experience_years]]&lt;=2,"Junior",
tbl_analysis_tickets[[#This Row],[agent_experience_years]]&lt;=5,"Mid-Level",
tbl_analysis_tickets[[#This Row],[agent_experience_years]]&lt;=8,"Senior",
tbl_analysis_tickets[[#This Row],[agent_experience_years]]&gt;8,"Expert"
)</f>
        <v>Expert</v>
      </c>
      <c r="P467" cm="1">
        <f t="array" ref="P467">_xlfn.SWITCH(tbl_analysis_tickets[[#This Row],[customer_satisfaction]],
"Low",1,
"Medium",2,
"High",3
)</f>
        <v>2</v>
      </c>
      <c r="Q467">
        <f>IF(tbl_analysis_tickets[[#This Row],[reopened]]="Yes",1,0)</f>
        <v>0</v>
      </c>
      <c r="R467" t="str" cm="1">
        <f t="array" ref="R467">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467" t="str" cm="1">
        <f t="array" ref="S46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467" t="str">
        <f>TEXT(tbl_analysis_tickets[[#This Row],[created_date]],"mmm-yyyy")</f>
        <v>Jul-2024</v>
      </c>
      <c r="U467" t="str">
        <f>TEXT(tbl_analysis_tickets[[#This Row],[created_date]],"dddd")</f>
        <v>Monday</v>
      </c>
      <c r="V467" cm="1">
        <f t="array" ref="V467">_xlfn.SWITCH(tbl_analysis_tickets[[#This Row],[priority]],
"Urgent",1,
"High",2,
"Medium",3,
"Low",4
)</f>
        <v>1</v>
      </c>
    </row>
    <row r="468" spans="1:22" x14ac:dyDescent="0.25">
      <c r="A468">
        <v>467</v>
      </c>
      <c r="B468" s="1">
        <v>45293</v>
      </c>
      <c r="C468" t="s">
        <v>10</v>
      </c>
      <c r="D468" t="s">
        <v>20</v>
      </c>
      <c r="E468">
        <v>70</v>
      </c>
      <c r="F468">
        <v>69</v>
      </c>
      <c r="G468">
        <v>3.8</v>
      </c>
      <c r="H468" t="s">
        <v>18</v>
      </c>
      <c r="I468" t="s">
        <v>19</v>
      </c>
      <c r="J468" t="s">
        <v>11</v>
      </c>
      <c r="K468">
        <f>_xlfn.XLOOKUP(tbl_analysis_tickets[[#This Row],[priority]],tbl_sla[priority],tbl_sla[Resolution SLA Hours])</f>
        <v>24</v>
      </c>
      <c r="L468">
        <f>_xlfn.XLOOKUP(tbl_analysis_tickets[[#This Row],[priority]],tbl_sla[priority],tbl_sla[First Response SLA Minutes])</f>
        <v>60</v>
      </c>
      <c r="M468" t="str">
        <f>IF(tbl_analysis_tickets[[#This Row],[resolution_time_hours]]&gt;tbl_analysis_tickets[[#This Row],[Resolution SLA Hours]],"Breached","Within SLA")</f>
        <v>Breached</v>
      </c>
      <c r="N468" t="str">
        <f>IF(tbl_analysis_tickets[[#This Row],[first_response_minutes]]&gt;tbl_analysis_tickets[[#This Row],[First Response SLA Minutes]],"Breached","Within SLA")</f>
        <v>Breached</v>
      </c>
      <c r="O468" t="str" cm="1">
        <f t="array" ref="O468">_xlfn.IFS(
tbl_analysis_tickets[[#This Row],[agent_experience_years]]&lt;=2,"Junior",
tbl_analysis_tickets[[#This Row],[agent_experience_years]]&lt;=5,"Mid-Level",
tbl_analysis_tickets[[#This Row],[agent_experience_years]]&lt;=8,"Senior",
tbl_analysis_tickets[[#This Row],[agent_experience_years]]&gt;8,"Expert"
)</f>
        <v>Mid-Level</v>
      </c>
      <c r="P468" cm="1">
        <f t="array" ref="P468">_xlfn.SWITCH(tbl_analysis_tickets[[#This Row],[customer_satisfaction]],
"Low",1,
"Medium",2,
"High",3
)</f>
        <v>1</v>
      </c>
      <c r="Q468">
        <f>IF(tbl_analysis_tickets[[#This Row],[reopened]]="Yes",1,0)</f>
        <v>0</v>
      </c>
      <c r="R468" t="str" cm="1">
        <f t="array" ref="R468">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468" t="str" cm="1">
        <f t="array" ref="S46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468" t="str">
        <f>TEXT(tbl_analysis_tickets[[#This Row],[created_date]],"mmm-yyyy")</f>
        <v>Jan-2024</v>
      </c>
      <c r="U468" t="str">
        <f>TEXT(tbl_analysis_tickets[[#This Row],[created_date]],"dddd")</f>
        <v>Tuesday</v>
      </c>
      <c r="V468" cm="1">
        <f t="array" ref="V468">_xlfn.SWITCH(tbl_analysis_tickets[[#This Row],[priority]],
"Urgent",1,
"High",2,
"Medium",3,
"Low",4
)</f>
        <v>2</v>
      </c>
    </row>
    <row r="469" spans="1:22" x14ac:dyDescent="0.25">
      <c r="A469">
        <v>468</v>
      </c>
      <c r="B469" s="1">
        <v>45376</v>
      </c>
      <c r="C469" t="s">
        <v>10</v>
      </c>
      <c r="D469" t="s">
        <v>20</v>
      </c>
      <c r="E469">
        <v>23</v>
      </c>
      <c r="F469">
        <v>26</v>
      </c>
      <c r="G469">
        <v>8.8000000000000007</v>
      </c>
      <c r="H469" t="s">
        <v>12</v>
      </c>
      <c r="I469" t="s">
        <v>19</v>
      </c>
      <c r="J469" t="s">
        <v>15</v>
      </c>
      <c r="K469">
        <f>_xlfn.XLOOKUP(tbl_analysis_tickets[[#This Row],[priority]],tbl_sla[priority],tbl_sla[Resolution SLA Hours])</f>
        <v>24</v>
      </c>
      <c r="L469">
        <f>_xlfn.XLOOKUP(tbl_analysis_tickets[[#This Row],[priority]],tbl_sla[priority],tbl_sla[First Response SLA Minutes])</f>
        <v>60</v>
      </c>
      <c r="M469" t="str">
        <f>IF(tbl_analysis_tickets[[#This Row],[resolution_time_hours]]&gt;tbl_analysis_tickets[[#This Row],[Resolution SLA Hours]],"Breached","Within SLA")</f>
        <v>Breached</v>
      </c>
      <c r="N469" t="str">
        <f>IF(tbl_analysis_tickets[[#This Row],[first_response_minutes]]&gt;tbl_analysis_tickets[[#This Row],[First Response SLA Minutes]],"Breached","Within SLA")</f>
        <v>Within SLA</v>
      </c>
      <c r="O469" t="str" cm="1">
        <f t="array" ref="O469">_xlfn.IFS(
tbl_analysis_tickets[[#This Row],[agent_experience_years]]&lt;=2,"Junior",
tbl_analysis_tickets[[#This Row],[agent_experience_years]]&lt;=5,"Mid-Level",
tbl_analysis_tickets[[#This Row],[agent_experience_years]]&lt;=8,"Senior",
tbl_analysis_tickets[[#This Row],[agent_experience_years]]&gt;8,"Expert"
)</f>
        <v>Expert</v>
      </c>
      <c r="P469" cm="1">
        <f t="array" ref="P469">_xlfn.SWITCH(tbl_analysis_tickets[[#This Row],[customer_satisfaction]],
"Low",1,
"Medium",2,
"High",3
)</f>
        <v>2</v>
      </c>
      <c r="Q469">
        <f>IF(tbl_analysis_tickets[[#This Row],[reopened]]="Yes",1,0)</f>
        <v>1</v>
      </c>
      <c r="R469" t="str" cm="1">
        <f t="array" ref="R469">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469" t="str" cm="1">
        <f t="array" ref="S46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469" t="str">
        <f>TEXT(tbl_analysis_tickets[[#This Row],[created_date]],"mmm-yyyy")</f>
        <v>Mar-2024</v>
      </c>
      <c r="U469" t="str">
        <f>TEXT(tbl_analysis_tickets[[#This Row],[created_date]],"dddd")</f>
        <v>Monday</v>
      </c>
      <c r="V469" cm="1">
        <f t="array" ref="V469">_xlfn.SWITCH(tbl_analysis_tickets[[#This Row],[priority]],
"Urgent",1,
"High",2,
"Medium",3,
"Low",4
)</f>
        <v>2</v>
      </c>
    </row>
    <row r="470" spans="1:22" x14ac:dyDescent="0.25">
      <c r="A470">
        <v>469</v>
      </c>
      <c r="B470" s="1">
        <v>45444</v>
      </c>
      <c r="C470" t="s">
        <v>23</v>
      </c>
      <c r="D470" t="s">
        <v>11</v>
      </c>
      <c r="E470">
        <v>117</v>
      </c>
      <c r="F470">
        <v>13</v>
      </c>
      <c r="G470">
        <v>4.9000000000000004</v>
      </c>
      <c r="H470" t="s">
        <v>12</v>
      </c>
      <c r="I470" t="s">
        <v>19</v>
      </c>
      <c r="J470" t="s">
        <v>11</v>
      </c>
      <c r="K470">
        <f>_xlfn.XLOOKUP(tbl_analysis_tickets[[#This Row],[priority]],tbl_sla[priority],tbl_sla[Resolution SLA Hours])</f>
        <v>72</v>
      </c>
      <c r="L470">
        <f>_xlfn.XLOOKUP(tbl_analysis_tickets[[#This Row],[priority]],tbl_sla[priority],tbl_sla[First Response SLA Minutes])</f>
        <v>240</v>
      </c>
      <c r="M470" t="str">
        <f>IF(tbl_analysis_tickets[[#This Row],[resolution_time_hours]]&gt;tbl_analysis_tickets[[#This Row],[Resolution SLA Hours]],"Breached","Within SLA")</f>
        <v>Within SLA</v>
      </c>
      <c r="N470" t="str">
        <f>IF(tbl_analysis_tickets[[#This Row],[first_response_minutes]]&gt;tbl_analysis_tickets[[#This Row],[First Response SLA Minutes]],"Breached","Within SLA")</f>
        <v>Within SLA</v>
      </c>
      <c r="O470" t="str" cm="1">
        <f t="array" ref="O470">_xlfn.IFS(
tbl_analysis_tickets[[#This Row],[agent_experience_years]]&lt;=2,"Junior",
tbl_analysis_tickets[[#This Row],[agent_experience_years]]&lt;=5,"Mid-Level",
tbl_analysis_tickets[[#This Row],[agent_experience_years]]&lt;=8,"Senior",
tbl_analysis_tickets[[#This Row],[agent_experience_years]]&gt;8,"Expert"
)</f>
        <v>Mid-Level</v>
      </c>
      <c r="P470" cm="1">
        <f t="array" ref="P470">_xlfn.SWITCH(tbl_analysis_tickets[[#This Row],[customer_satisfaction]],
"Low",1,
"Medium",2,
"High",3
)</f>
        <v>1</v>
      </c>
      <c r="Q470">
        <f>IF(tbl_analysis_tickets[[#This Row],[reopened]]="Yes",1,0)</f>
        <v>1</v>
      </c>
      <c r="R470" t="str" cm="1">
        <f t="array" ref="R470">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470" t="str" cm="1">
        <f t="array" ref="S47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470" t="str">
        <f>TEXT(tbl_analysis_tickets[[#This Row],[created_date]],"mmm-yyyy")</f>
        <v>Jun-2024</v>
      </c>
      <c r="U470" t="str">
        <f>TEXT(tbl_analysis_tickets[[#This Row],[created_date]],"dddd")</f>
        <v>Saturday</v>
      </c>
      <c r="V470" cm="1">
        <f t="array" ref="V470">_xlfn.SWITCH(tbl_analysis_tickets[[#This Row],[priority]],
"Urgent",1,
"High",2,
"Medium",3,
"Low",4
)</f>
        <v>4</v>
      </c>
    </row>
    <row r="471" spans="1:22" x14ac:dyDescent="0.25">
      <c r="A471">
        <v>470</v>
      </c>
      <c r="B471" s="1">
        <v>45312</v>
      </c>
      <c r="C471" t="s">
        <v>23</v>
      </c>
      <c r="D471" t="s">
        <v>11</v>
      </c>
      <c r="E471">
        <v>42</v>
      </c>
      <c r="F471">
        <v>45</v>
      </c>
      <c r="G471">
        <v>6.6</v>
      </c>
      <c r="H471" t="s">
        <v>18</v>
      </c>
      <c r="I471" t="s">
        <v>19</v>
      </c>
      <c r="J471" t="s">
        <v>15</v>
      </c>
      <c r="K471">
        <f>_xlfn.XLOOKUP(tbl_analysis_tickets[[#This Row],[priority]],tbl_sla[priority],tbl_sla[Resolution SLA Hours])</f>
        <v>72</v>
      </c>
      <c r="L471">
        <f>_xlfn.XLOOKUP(tbl_analysis_tickets[[#This Row],[priority]],tbl_sla[priority],tbl_sla[First Response SLA Minutes])</f>
        <v>240</v>
      </c>
      <c r="M471" t="str">
        <f>IF(tbl_analysis_tickets[[#This Row],[resolution_time_hours]]&gt;tbl_analysis_tickets[[#This Row],[Resolution SLA Hours]],"Breached","Within SLA")</f>
        <v>Within SLA</v>
      </c>
      <c r="N471" t="str">
        <f>IF(tbl_analysis_tickets[[#This Row],[first_response_minutes]]&gt;tbl_analysis_tickets[[#This Row],[First Response SLA Minutes]],"Breached","Within SLA")</f>
        <v>Within SLA</v>
      </c>
      <c r="O471" t="str" cm="1">
        <f t="array" ref="O471">_xlfn.IFS(
tbl_analysis_tickets[[#This Row],[agent_experience_years]]&lt;=2,"Junior",
tbl_analysis_tickets[[#This Row],[agent_experience_years]]&lt;=5,"Mid-Level",
tbl_analysis_tickets[[#This Row],[agent_experience_years]]&lt;=8,"Senior",
tbl_analysis_tickets[[#This Row],[agent_experience_years]]&gt;8,"Expert"
)</f>
        <v>Senior</v>
      </c>
      <c r="P471" cm="1">
        <f t="array" ref="P471">_xlfn.SWITCH(tbl_analysis_tickets[[#This Row],[customer_satisfaction]],
"Low",1,
"Medium",2,
"High",3
)</f>
        <v>2</v>
      </c>
      <c r="Q471">
        <f>IF(tbl_analysis_tickets[[#This Row],[reopened]]="Yes",1,0)</f>
        <v>0</v>
      </c>
      <c r="R471" t="str" cm="1">
        <f t="array" ref="R471">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471" t="str" cm="1">
        <f t="array" ref="S47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471" t="str">
        <f>TEXT(tbl_analysis_tickets[[#This Row],[created_date]],"mmm-yyyy")</f>
        <v>Jan-2024</v>
      </c>
      <c r="U471" t="str">
        <f>TEXT(tbl_analysis_tickets[[#This Row],[created_date]],"dddd")</f>
        <v>Sunday</v>
      </c>
      <c r="V471" cm="1">
        <f t="array" ref="V471">_xlfn.SWITCH(tbl_analysis_tickets[[#This Row],[priority]],
"Urgent",1,
"High",2,
"Medium",3,
"Low",4
)</f>
        <v>4</v>
      </c>
    </row>
    <row r="472" spans="1:22" x14ac:dyDescent="0.25">
      <c r="A472">
        <v>471</v>
      </c>
      <c r="B472" s="1">
        <v>45449</v>
      </c>
      <c r="C472" t="s">
        <v>22</v>
      </c>
      <c r="D472" t="s">
        <v>17</v>
      </c>
      <c r="E472">
        <v>148</v>
      </c>
      <c r="F472">
        <v>42</v>
      </c>
      <c r="G472">
        <v>6.5</v>
      </c>
      <c r="H472" t="s">
        <v>12</v>
      </c>
      <c r="I472" t="s">
        <v>19</v>
      </c>
      <c r="J472" t="s">
        <v>11</v>
      </c>
      <c r="K472">
        <f>_xlfn.XLOOKUP(tbl_analysis_tickets[[#This Row],[priority]],tbl_sla[priority],tbl_sla[Resolution SLA Hours])</f>
        <v>8</v>
      </c>
      <c r="L472">
        <f>_xlfn.XLOOKUP(tbl_analysis_tickets[[#This Row],[priority]],tbl_sla[priority],tbl_sla[First Response SLA Minutes])</f>
        <v>30</v>
      </c>
      <c r="M472" t="str">
        <f>IF(tbl_analysis_tickets[[#This Row],[resolution_time_hours]]&gt;tbl_analysis_tickets[[#This Row],[Resolution SLA Hours]],"Breached","Within SLA")</f>
        <v>Breached</v>
      </c>
      <c r="N472" t="str">
        <f>IF(tbl_analysis_tickets[[#This Row],[first_response_minutes]]&gt;tbl_analysis_tickets[[#This Row],[First Response SLA Minutes]],"Breached","Within SLA")</f>
        <v>Breached</v>
      </c>
      <c r="O472" t="str" cm="1">
        <f t="array" ref="O472">_xlfn.IFS(
tbl_analysis_tickets[[#This Row],[agent_experience_years]]&lt;=2,"Junior",
tbl_analysis_tickets[[#This Row],[agent_experience_years]]&lt;=5,"Mid-Level",
tbl_analysis_tickets[[#This Row],[agent_experience_years]]&lt;=8,"Senior",
tbl_analysis_tickets[[#This Row],[agent_experience_years]]&gt;8,"Expert"
)</f>
        <v>Senior</v>
      </c>
      <c r="P472" cm="1">
        <f t="array" ref="P472">_xlfn.SWITCH(tbl_analysis_tickets[[#This Row],[customer_satisfaction]],
"Low",1,
"Medium",2,
"High",3
)</f>
        <v>1</v>
      </c>
      <c r="Q472">
        <f>IF(tbl_analysis_tickets[[#This Row],[reopened]]="Yes",1,0)</f>
        <v>1</v>
      </c>
      <c r="R472" t="str" cm="1">
        <f t="array" ref="R472">_xlfn.IFS(
tbl_analysis_tickets[[#This Row],[first_response_minutes]]&lt;=30,"Very Fast",
tbl_analysis_tickets[[#This Row],[first_response_minutes]]&lt;=120,"Acceptable",
tbl_analysis_tickets[[#This Row],[first_response_minutes]]&lt;=240,"Slow",
tbl_analysis_tickets[[#This Row],[first_response_minutes]]&gt;240,"Very Slow"
)</f>
        <v>Slow</v>
      </c>
      <c r="S472" t="str" cm="1">
        <f t="array" ref="S47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472" t="str">
        <f>TEXT(tbl_analysis_tickets[[#This Row],[created_date]],"mmm-yyyy")</f>
        <v>Jun-2024</v>
      </c>
      <c r="U472" t="str">
        <f>TEXT(tbl_analysis_tickets[[#This Row],[created_date]],"dddd")</f>
        <v>Thursday</v>
      </c>
      <c r="V472" cm="1">
        <f t="array" ref="V472">_xlfn.SWITCH(tbl_analysis_tickets[[#This Row],[priority]],
"Urgent",1,
"High",2,
"Medium",3,
"Low",4
)</f>
        <v>1</v>
      </c>
    </row>
    <row r="473" spans="1:22" x14ac:dyDescent="0.25">
      <c r="A473">
        <v>472</v>
      </c>
      <c r="B473" s="1">
        <v>45434</v>
      </c>
      <c r="C473" t="s">
        <v>10</v>
      </c>
      <c r="D473" t="s">
        <v>17</v>
      </c>
      <c r="E473">
        <v>33</v>
      </c>
      <c r="F473">
        <v>46</v>
      </c>
      <c r="G473">
        <v>3.1</v>
      </c>
      <c r="H473" t="s">
        <v>12</v>
      </c>
      <c r="I473" t="s">
        <v>19</v>
      </c>
      <c r="J473" t="s">
        <v>11</v>
      </c>
      <c r="K473">
        <f>_xlfn.XLOOKUP(tbl_analysis_tickets[[#This Row],[priority]],tbl_sla[priority],tbl_sla[Resolution SLA Hours])</f>
        <v>8</v>
      </c>
      <c r="L473">
        <f>_xlfn.XLOOKUP(tbl_analysis_tickets[[#This Row],[priority]],tbl_sla[priority],tbl_sla[First Response SLA Minutes])</f>
        <v>30</v>
      </c>
      <c r="M473" t="str">
        <f>IF(tbl_analysis_tickets[[#This Row],[resolution_time_hours]]&gt;tbl_analysis_tickets[[#This Row],[Resolution SLA Hours]],"Breached","Within SLA")</f>
        <v>Breached</v>
      </c>
      <c r="N473" t="str">
        <f>IF(tbl_analysis_tickets[[#This Row],[first_response_minutes]]&gt;tbl_analysis_tickets[[#This Row],[First Response SLA Minutes]],"Breached","Within SLA")</f>
        <v>Breached</v>
      </c>
      <c r="O473" t="str" cm="1">
        <f t="array" ref="O473">_xlfn.IFS(
tbl_analysis_tickets[[#This Row],[agent_experience_years]]&lt;=2,"Junior",
tbl_analysis_tickets[[#This Row],[agent_experience_years]]&lt;=5,"Mid-Level",
tbl_analysis_tickets[[#This Row],[agent_experience_years]]&lt;=8,"Senior",
tbl_analysis_tickets[[#This Row],[agent_experience_years]]&gt;8,"Expert"
)</f>
        <v>Mid-Level</v>
      </c>
      <c r="P473" cm="1">
        <f t="array" ref="P473">_xlfn.SWITCH(tbl_analysis_tickets[[#This Row],[customer_satisfaction]],
"Low",1,
"Medium",2,
"High",3
)</f>
        <v>1</v>
      </c>
      <c r="Q473">
        <f>IF(tbl_analysis_tickets[[#This Row],[reopened]]="Yes",1,0)</f>
        <v>1</v>
      </c>
      <c r="R473" t="str" cm="1">
        <f t="array" ref="R473">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473" t="str" cm="1">
        <f t="array" ref="S47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473" t="str">
        <f>TEXT(tbl_analysis_tickets[[#This Row],[created_date]],"mmm-yyyy")</f>
        <v>May-2024</v>
      </c>
      <c r="U473" t="str">
        <f>TEXT(tbl_analysis_tickets[[#This Row],[created_date]],"dddd")</f>
        <v>Wednesday</v>
      </c>
      <c r="V473" cm="1">
        <f t="array" ref="V473">_xlfn.SWITCH(tbl_analysis_tickets[[#This Row],[priority]],
"Urgent",1,
"High",2,
"Medium",3,
"Low",4
)</f>
        <v>1</v>
      </c>
    </row>
    <row r="474" spans="1:22" x14ac:dyDescent="0.25">
      <c r="A474">
        <v>473</v>
      </c>
      <c r="B474" s="1">
        <v>45561</v>
      </c>
      <c r="C474" t="s">
        <v>23</v>
      </c>
      <c r="D474" t="s">
        <v>15</v>
      </c>
      <c r="E474">
        <v>53</v>
      </c>
      <c r="F474">
        <v>66</v>
      </c>
      <c r="G474">
        <v>5.2</v>
      </c>
      <c r="H474" t="s">
        <v>12</v>
      </c>
      <c r="I474" t="s">
        <v>19</v>
      </c>
      <c r="J474" t="s">
        <v>11</v>
      </c>
      <c r="K474">
        <f>_xlfn.XLOOKUP(tbl_analysis_tickets[[#This Row],[priority]],tbl_sla[priority],tbl_sla[Resolution SLA Hours])</f>
        <v>48</v>
      </c>
      <c r="L474">
        <f>_xlfn.XLOOKUP(tbl_analysis_tickets[[#This Row],[priority]],tbl_sla[priority],tbl_sla[First Response SLA Minutes])</f>
        <v>120</v>
      </c>
      <c r="M474" t="str">
        <f>IF(tbl_analysis_tickets[[#This Row],[resolution_time_hours]]&gt;tbl_analysis_tickets[[#This Row],[Resolution SLA Hours]],"Breached","Within SLA")</f>
        <v>Breached</v>
      </c>
      <c r="N474" t="str">
        <f>IF(tbl_analysis_tickets[[#This Row],[first_response_minutes]]&gt;tbl_analysis_tickets[[#This Row],[First Response SLA Minutes]],"Breached","Within SLA")</f>
        <v>Within SLA</v>
      </c>
      <c r="O474" t="str" cm="1">
        <f t="array" ref="O474">_xlfn.IFS(
tbl_analysis_tickets[[#This Row],[agent_experience_years]]&lt;=2,"Junior",
tbl_analysis_tickets[[#This Row],[agent_experience_years]]&lt;=5,"Mid-Level",
tbl_analysis_tickets[[#This Row],[agent_experience_years]]&lt;=8,"Senior",
tbl_analysis_tickets[[#This Row],[agent_experience_years]]&gt;8,"Expert"
)</f>
        <v>Senior</v>
      </c>
      <c r="P474" cm="1">
        <f t="array" ref="P474">_xlfn.SWITCH(tbl_analysis_tickets[[#This Row],[customer_satisfaction]],
"Low",1,
"Medium",2,
"High",3
)</f>
        <v>1</v>
      </c>
      <c r="Q474">
        <f>IF(tbl_analysis_tickets[[#This Row],[reopened]]="Yes",1,0)</f>
        <v>1</v>
      </c>
      <c r="R474" t="str" cm="1">
        <f t="array" ref="R474">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474" t="str" cm="1">
        <f t="array" ref="S47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474" t="str">
        <f>TEXT(tbl_analysis_tickets[[#This Row],[created_date]],"mmm-yyyy")</f>
        <v>Sep-2024</v>
      </c>
      <c r="U474" t="str">
        <f>TEXT(tbl_analysis_tickets[[#This Row],[created_date]],"dddd")</f>
        <v>Thursday</v>
      </c>
      <c r="V474" cm="1">
        <f t="array" ref="V474">_xlfn.SWITCH(tbl_analysis_tickets[[#This Row],[priority]],
"Urgent",1,
"High",2,
"Medium",3,
"Low",4
)</f>
        <v>3</v>
      </c>
    </row>
    <row r="475" spans="1:22" x14ac:dyDescent="0.25">
      <c r="A475">
        <v>474</v>
      </c>
      <c r="B475" s="1">
        <v>45559</v>
      </c>
      <c r="C475" t="s">
        <v>22</v>
      </c>
      <c r="D475" t="s">
        <v>20</v>
      </c>
      <c r="E475">
        <v>49</v>
      </c>
      <c r="F475">
        <v>35</v>
      </c>
      <c r="G475">
        <v>2.6</v>
      </c>
      <c r="H475" t="s">
        <v>18</v>
      </c>
      <c r="I475" t="s">
        <v>16</v>
      </c>
      <c r="J475" t="s">
        <v>11</v>
      </c>
      <c r="K475">
        <f>_xlfn.XLOOKUP(tbl_analysis_tickets[[#This Row],[priority]],tbl_sla[priority],tbl_sla[Resolution SLA Hours])</f>
        <v>24</v>
      </c>
      <c r="L475">
        <f>_xlfn.XLOOKUP(tbl_analysis_tickets[[#This Row],[priority]],tbl_sla[priority],tbl_sla[First Response SLA Minutes])</f>
        <v>60</v>
      </c>
      <c r="M475" t="str">
        <f>IF(tbl_analysis_tickets[[#This Row],[resolution_time_hours]]&gt;tbl_analysis_tickets[[#This Row],[Resolution SLA Hours]],"Breached","Within SLA")</f>
        <v>Breached</v>
      </c>
      <c r="N475" t="str">
        <f>IF(tbl_analysis_tickets[[#This Row],[first_response_minutes]]&gt;tbl_analysis_tickets[[#This Row],[First Response SLA Minutes]],"Breached","Within SLA")</f>
        <v>Within SLA</v>
      </c>
      <c r="O475" t="str" cm="1">
        <f t="array" ref="O475">_xlfn.IFS(
tbl_analysis_tickets[[#This Row],[agent_experience_years]]&lt;=2,"Junior",
tbl_analysis_tickets[[#This Row],[agent_experience_years]]&lt;=5,"Mid-Level",
tbl_analysis_tickets[[#This Row],[agent_experience_years]]&lt;=8,"Senior",
tbl_analysis_tickets[[#This Row],[agent_experience_years]]&gt;8,"Expert"
)</f>
        <v>Mid-Level</v>
      </c>
      <c r="P475" cm="1">
        <f t="array" ref="P475">_xlfn.SWITCH(tbl_analysis_tickets[[#This Row],[customer_satisfaction]],
"Low",1,
"Medium",2,
"High",3
)</f>
        <v>1</v>
      </c>
      <c r="Q475">
        <f>IF(tbl_analysis_tickets[[#This Row],[reopened]]="Yes",1,0)</f>
        <v>0</v>
      </c>
      <c r="R475" t="str" cm="1">
        <f t="array" ref="R475">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475" t="str" cm="1">
        <f t="array" ref="S47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475" t="str">
        <f>TEXT(tbl_analysis_tickets[[#This Row],[created_date]],"mmm-yyyy")</f>
        <v>Sep-2024</v>
      </c>
      <c r="U475" t="str">
        <f>TEXT(tbl_analysis_tickets[[#This Row],[created_date]],"dddd")</f>
        <v>Tuesday</v>
      </c>
      <c r="V475" cm="1">
        <f t="array" ref="V475">_xlfn.SWITCH(tbl_analysis_tickets[[#This Row],[priority]],
"Urgent",1,
"High",2,
"Medium",3,
"Low",4
)</f>
        <v>2</v>
      </c>
    </row>
    <row r="476" spans="1:22" x14ac:dyDescent="0.25">
      <c r="A476">
        <v>475</v>
      </c>
      <c r="B476" s="1">
        <v>45368</v>
      </c>
      <c r="C476" t="s">
        <v>10</v>
      </c>
      <c r="D476" t="s">
        <v>17</v>
      </c>
      <c r="E476">
        <v>21</v>
      </c>
      <c r="F476">
        <v>47</v>
      </c>
      <c r="G476">
        <v>4.4000000000000004</v>
      </c>
      <c r="H476" t="s">
        <v>18</v>
      </c>
      <c r="I476" t="s">
        <v>16</v>
      </c>
      <c r="J476" t="s">
        <v>15</v>
      </c>
      <c r="K476">
        <f>_xlfn.XLOOKUP(tbl_analysis_tickets[[#This Row],[priority]],tbl_sla[priority],tbl_sla[Resolution SLA Hours])</f>
        <v>8</v>
      </c>
      <c r="L476">
        <f>_xlfn.XLOOKUP(tbl_analysis_tickets[[#This Row],[priority]],tbl_sla[priority],tbl_sla[First Response SLA Minutes])</f>
        <v>30</v>
      </c>
      <c r="M476" t="str">
        <f>IF(tbl_analysis_tickets[[#This Row],[resolution_time_hours]]&gt;tbl_analysis_tickets[[#This Row],[Resolution SLA Hours]],"Breached","Within SLA")</f>
        <v>Breached</v>
      </c>
      <c r="N476" t="str">
        <f>IF(tbl_analysis_tickets[[#This Row],[first_response_minutes]]&gt;tbl_analysis_tickets[[#This Row],[First Response SLA Minutes]],"Breached","Within SLA")</f>
        <v>Within SLA</v>
      </c>
      <c r="O476" t="str" cm="1">
        <f t="array" ref="O476">_xlfn.IFS(
tbl_analysis_tickets[[#This Row],[agent_experience_years]]&lt;=2,"Junior",
tbl_analysis_tickets[[#This Row],[agent_experience_years]]&lt;=5,"Mid-Level",
tbl_analysis_tickets[[#This Row],[agent_experience_years]]&lt;=8,"Senior",
tbl_analysis_tickets[[#This Row],[agent_experience_years]]&gt;8,"Expert"
)</f>
        <v>Mid-Level</v>
      </c>
      <c r="P476" cm="1">
        <f t="array" ref="P476">_xlfn.SWITCH(tbl_analysis_tickets[[#This Row],[customer_satisfaction]],
"Low",1,
"Medium",2,
"High",3
)</f>
        <v>2</v>
      </c>
      <c r="Q476">
        <f>IF(tbl_analysis_tickets[[#This Row],[reopened]]="Yes",1,0)</f>
        <v>0</v>
      </c>
      <c r="R476" t="str" cm="1">
        <f t="array" ref="R476">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476" t="str" cm="1">
        <f t="array" ref="S47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476" t="str">
        <f>TEXT(tbl_analysis_tickets[[#This Row],[created_date]],"mmm-yyyy")</f>
        <v>Mar-2024</v>
      </c>
      <c r="U476" t="str">
        <f>TEXT(tbl_analysis_tickets[[#This Row],[created_date]],"dddd")</f>
        <v>Sunday</v>
      </c>
      <c r="V476" cm="1">
        <f t="array" ref="V476">_xlfn.SWITCH(tbl_analysis_tickets[[#This Row],[priority]],
"Urgent",1,
"High",2,
"Medium",3,
"Low",4
)</f>
        <v>1</v>
      </c>
    </row>
    <row r="477" spans="1:22" x14ac:dyDescent="0.25">
      <c r="A477">
        <v>476</v>
      </c>
      <c r="B477" s="1">
        <v>45452</v>
      </c>
      <c r="C477" t="s">
        <v>21</v>
      </c>
      <c r="D477" t="s">
        <v>20</v>
      </c>
      <c r="E477">
        <v>144</v>
      </c>
      <c r="F477">
        <v>59</v>
      </c>
      <c r="G477">
        <v>8.6999999999999993</v>
      </c>
      <c r="H477" t="s">
        <v>18</v>
      </c>
      <c r="I477" t="s">
        <v>13</v>
      </c>
      <c r="J477" t="s">
        <v>11</v>
      </c>
      <c r="K477">
        <f>_xlfn.XLOOKUP(tbl_analysis_tickets[[#This Row],[priority]],tbl_sla[priority],tbl_sla[Resolution SLA Hours])</f>
        <v>24</v>
      </c>
      <c r="L477">
        <f>_xlfn.XLOOKUP(tbl_analysis_tickets[[#This Row],[priority]],tbl_sla[priority],tbl_sla[First Response SLA Minutes])</f>
        <v>60</v>
      </c>
      <c r="M477" t="str">
        <f>IF(tbl_analysis_tickets[[#This Row],[resolution_time_hours]]&gt;tbl_analysis_tickets[[#This Row],[Resolution SLA Hours]],"Breached","Within SLA")</f>
        <v>Breached</v>
      </c>
      <c r="N477" t="str">
        <f>IF(tbl_analysis_tickets[[#This Row],[first_response_minutes]]&gt;tbl_analysis_tickets[[#This Row],[First Response SLA Minutes]],"Breached","Within SLA")</f>
        <v>Breached</v>
      </c>
      <c r="O477" t="str" cm="1">
        <f t="array" ref="O477">_xlfn.IFS(
tbl_analysis_tickets[[#This Row],[agent_experience_years]]&lt;=2,"Junior",
tbl_analysis_tickets[[#This Row],[agent_experience_years]]&lt;=5,"Mid-Level",
tbl_analysis_tickets[[#This Row],[agent_experience_years]]&lt;=8,"Senior",
tbl_analysis_tickets[[#This Row],[agent_experience_years]]&gt;8,"Expert"
)</f>
        <v>Expert</v>
      </c>
      <c r="P477" cm="1">
        <f t="array" ref="P477">_xlfn.SWITCH(tbl_analysis_tickets[[#This Row],[customer_satisfaction]],
"Low",1,
"Medium",2,
"High",3
)</f>
        <v>1</v>
      </c>
      <c r="Q477">
        <f>IF(tbl_analysis_tickets[[#This Row],[reopened]]="Yes",1,0)</f>
        <v>0</v>
      </c>
      <c r="R477" t="str" cm="1">
        <f t="array" ref="R477">_xlfn.IFS(
tbl_analysis_tickets[[#This Row],[first_response_minutes]]&lt;=30,"Very Fast",
tbl_analysis_tickets[[#This Row],[first_response_minutes]]&lt;=120,"Acceptable",
tbl_analysis_tickets[[#This Row],[first_response_minutes]]&lt;=240,"Slow",
tbl_analysis_tickets[[#This Row],[first_response_minutes]]&gt;240,"Very Slow"
)</f>
        <v>Slow</v>
      </c>
      <c r="S477" t="str" cm="1">
        <f t="array" ref="S47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477" t="str">
        <f>TEXT(tbl_analysis_tickets[[#This Row],[created_date]],"mmm-yyyy")</f>
        <v>Jun-2024</v>
      </c>
      <c r="U477" t="str">
        <f>TEXT(tbl_analysis_tickets[[#This Row],[created_date]],"dddd")</f>
        <v>Sunday</v>
      </c>
      <c r="V477" cm="1">
        <f t="array" ref="V477">_xlfn.SWITCH(tbl_analysis_tickets[[#This Row],[priority]],
"Urgent",1,
"High",2,
"Medium",3,
"Low",4
)</f>
        <v>2</v>
      </c>
    </row>
    <row r="478" spans="1:22" x14ac:dyDescent="0.25">
      <c r="A478">
        <v>477</v>
      </c>
      <c r="B478" s="1">
        <v>45375</v>
      </c>
      <c r="C478" t="s">
        <v>21</v>
      </c>
      <c r="D478" t="s">
        <v>15</v>
      </c>
      <c r="E478">
        <v>53</v>
      </c>
      <c r="F478">
        <v>54</v>
      </c>
      <c r="G478">
        <v>4.0999999999999996</v>
      </c>
      <c r="H478" t="s">
        <v>18</v>
      </c>
      <c r="I478" t="s">
        <v>19</v>
      </c>
      <c r="J478" t="s">
        <v>11</v>
      </c>
      <c r="K478">
        <f>_xlfn.XLOOKUP(tbl_analysis_tickets[[#This Row],[priority]],tbl_sla[priority],tbl_sla[Resolution SLA Hours])</f>
        <v>48</v>
      </c>
      <c r="L478">
        <f>_xlfn.XLOOKUP(tbl_analysis_tickets[[#This Row],[priority]],tbl_sla[priority],tbl_sla[First Response SLA Minutes])</f>
        <v>120</v>
      </c>
      <c r="M478" t="str">
        <f>IF(tbl_analysis_tickets[[#This Row],[resolution_time_hours]]&gt;tbl_analysis_tickets[[#This Row],[Resolution SLA Hours]],"Breached","Within SLA")</f>
        <v>Breached</v>
      </c>
      <c r="N478" t="str">
        <f>IF(tbl_analysis_tickets[[#This Row],[first_response_minutes]]&gt;tbl_analysis_tickets[[#This Row],[First Response SLA Minutes]],"Breached","Within SLA")</f>
        <v>Within SLA</v>
      </c>
      <c r="O478" t="str" cm="1">
        <f t="array" ref="O478">_xlfn.IFS(
tbl_analysis_tickets[[#This Row],[agent_experience_years]]&lt;=2,"Junior",
tbl_analysis_tickets[[#This Row],[agent_experience_years]]&lt;=5,"Mid-Level",
tbl_analysis_tickets[[#This Row],[agent_experience_years]]&lt;=8,"Senior",
tbl_analysis_tickets[[#This Row],[agent_experience_years]]&gt;8,"Expert"
)</f>
        <v>Mid-Level</v>
      </c>
      <c r="P478" cm="1">
        <f t="array" ref="P478">_xlfn.SWITCH(tbl_analysis_tickets[[#This Row],[customer_satisfaction]],
"Low",1,
"Medium",2,
"High",3
)</f>
        <v>1</v>
      </c>
      <c r="Q478">
        <f>IF(tbl_analysis_tickets[[#This Row],[reopened]]="Yes",1,0)</f>
        <v>0</v>
      </c>
      <c r="R478" t="str" cm="1">
        <f t="array" ref="R478">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478" t="str" cm="1">
        <f t="array" ref="S47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478" t="str">
        <f>TEXT(tbl_analysis_tickets[[#This Row],[created_date]],"mmm-yyyy")</f>
        <v>Mar-2024</v>
      </c>
      <c r="U478" t="str">
        <f>TEXT(tbl_analysis_tickets[[#This Row],[created_date]],"dddd")</f>
        <v>Sunday</v>
      </c>
      <c r="V478" cm="1">
        <f t="array" ref="V478">_xlfn.SWITCH(tbl_analysis_tickets[[#This Row],[priority]],
"Urgent",1,
"High",2,
"Medium",3,
"Low",4
)</f>
        <v>3</v>
      </c>
    </row>
    <row r="479" spans="1:22" x14ac:dyDescent="0.25">
      <c r="A479">
        <v>478</v>
      </c>
      <c r="B479" s="1">
        <v>45605</v>
      </c>
      <c r="C479" t="s">
        <v>14</v>
      </c>
      <c r="D479" t="s">
        <v>11</v>
      </c>
      <c r="E479">
        <v>184</v>
      </c>
      <c r="F479">
        <v>45</v>
      </c>
      <c r="G479">
        <v>5.9</v>
      </c>
      <c r="H479" t="s">
        <v>12</v>
      </c>
      <c r="I479" t="s">
        <v>13</v>
      </c>
      <c r="J479" t="s">
        <v>11</v>
      </c>
      <c r="K479">
        <f>_xlfn.XLOOKUP(tbl_analysis_tickets[[#This Row],[priority]],tbl_sla[priority],tbl_sla[Resolution SLA Hours])</f>
        <v>72</v>
      </c>
      <c r="L479">
        <f>_xlfn.XLOOKUP(tbl_analysis_tickets[[#This Row],[priority]],tbl_sla[priority],tbl_sla[First Response SLA Minutes])</f>
        <v>240</v>
      </c>
      <c r="M479" t="str">
        <f>IF(tbl_analysis_tickets[[#This Row],[resolution_time_hours]]&gt;tbl_analysis_tickets[[#This Row],[Resolution SLA Hours]],"Breached","Within SLA")</f>
        <v>Within SLA</v>
      </c>
      <c r="N479" t="str">
        <f>IF(tbl_analysis_tickets[[#This Row],[first_response_minutes]]&gt;tbl_analysis_tickets[[#This Row],[First Response SLA Minutes]],"Breached","Within SLA")</f>
        <v>Within SLA</v>
      </c>
      <c r="O479" t="str" cm="1">
        <f t="array" ref="O479">_xlfn.IFS(
tbl_analysis_tickets[[#This Row],[agent_experience_years]]&lt;=2,"Junior",
tbl_analysis_tickets[[#This Row],[agent_experience_years]]&lt;=5,"Mid-Level",
tbl_analysis_tickets[[#This Row],[agent_experience_years]]&lt;=8,"Senior",
tbl_analysis_tickets[[#This Row],[agent_experience_years]]&gt;8,"Expert"
)</f>
        <v>Senior</v>
      </c>
      <c r="P479" cm="1">
        <f t="array" ref="P479">_xlfn.SWITCH(tbl_analysis_tickets[[#This Row],[customer_satisfaction]],
"Low",1,
"Medium",2,
"High",3
)</f>
        <v>1</v>
      </c>
      <c r="Q479">
        <f>IF(tbl_analysis_tickets[[#This Row],[reopened]]="Yes",1,0)</f>
        <v>1</v>
      </c>
      <c r="R479" t="str" cm="1">
        <f t="array" ref="R479">_xlfn.IFS(
tbl_analysis_tickets[[#This Row],[first_response_minutes]]&lt;=30,"Very Fast",
tbl_analysis_tickets[[#This Row],[first_response_minutes]]&lt;=120,"Acceptable",
tbl_analysis_tickets[[#This Row],[first_response_minutes]]&lt;=240,"Slow",
tbl_analysis_tickets[[#This Row],[first_response_minutes]]&gt;240,"Very Slow"
)</f>
        <v>Slow</v>
      </c>
      <c r="S479" t="str" cm="1">
        <f t="array" ref="S47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479" t="str">
        <f>TEXT(tbl_analysis_tickets[[#This Row],[created_date]],"mmm-yyyy")</f>
        <v>Nov-2024</v>
      </c>
      <c r="U479" t="str">
        <f>TEXT(tbl_analysis_tickets[[#This Row],[created_date]],"dddd")</f>
        <v>Saturday</v>
      </c>
      <c r="V479" cm="1">
        <f t="array" ref="V479">_xlfn.SWITCH(tbl_analysis_tickets[[#This Row],[priority]],
"Urgent",1,
"High",2,
"Medium",3,
"Low",4
)</f>
        <v>4</v>
      </c>
    </row>
    <row r="480" spans="1:22" x14ac:dyDescent="0.25">
      <c r="A480">
        <v>479</v>
      </c>
      <c r="B480" s="1">
        <v>45349</v>
      </c>
      <c r="C480" t="s">
        <v>21</v>
      </c>
      <c r="D480" t="s">
        <v>17</v>
      </c>
      <c r="E480">
        <v>61</v>
      </c>
      <c r="F480">
        <v>28</v>
      </c>
      <c r="G480">
        <v>1.9</v>
      </c>
      <c r="H480" t="s">
        <v>12</v>
      </c>
      <c r="I480" t="s">
        <v>19</v>
      </c>
      <c r="J480" t="s">
        <v>11</v>
      </c>
      <c r="K480">
        <f>_xlfn.XLOOKUP(tbl_analysis_tickets[[#This Row],[priority]],tbl_sla[priority],tbl_sla[Resolution SLA Hours])</f>
        <v>8</v>
      </c>
      <c r="L480">
        <f>_xlfn.XLOOKUP(tbl_analysis_tickets[[#This Row],[priority]],tbl_sla[priority],tbl_sla[First Response SLA Minutes])</f>
        <v>30</v>
      </c>
      <c r="M480" t="str">
        <f>IF(tbl_analysis_tickets[[#This Row],[resolution_time_hours]]&gt;tbl_analysis_tickets[[#This Row],[Resolution SLA Hours]],"Breached","Within SLA")</f>
        <v>Breached</v>
      </c>
      <c r="N480" t="str">
        <f>IF(tbl_analysis_tickets[[#This Row],[first_response_minutes]]&gt;tbl_analysis_tickets[[#This Row],[First Response SLA Minutes]],"Breached","Within SLA")</f>
        <v>Breached</v>
      </c>
      <c r="O480" t="str" cm="1">
        <f t="array" ref="O480">_xlfn.IFS(
tbl_analysis_tickets[[#This Row],[agent_experience_years]]&lt;=2,"Junior",
tbl_analysis_tickets[[#This Row],[agent_experience_years]]&lt;=5,"Mid-Level",
tbl_analysis_tickets[[#This Row],[agent_experience_years]]&lt;=8,"Senior",
tbl_analysis_tickets[[#This Row],[agent_experience_years]]&gt;8,"Expert"
)</f>
        <v>Junior</v>
      </c>
      <c r="P480" cm="1">
        <f t="array" ref="P480">_xlfn.SWITCH(tbl_analysis_tickets[[#This Row],[customer_satisfaction]],
"Low",1,
"Medium",2,
"High",3
)</f>
        <v>1</v>
      </c>
      <c r="Q480">
        <f>IF(tbl_analysis_tickets[[#This Row],[reopened]]="Yes",1,0)</f>
        <v>1</v>
      </c>
      <c r="R480" t="str" cm="1">
        <f t="array" ref="R480">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480" t="str" cm="1">
        <f t="array" ref="S48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480" t="str">
        <f>TEXT(tbl_analysis_tickets[[#This Row],[created_date]],"mmm-yyyy")</f>
        <v>Feb-2024</v>
      </c>
      <c r="U480" t="str">
        <f>TEXT(tbl_analysis_tickets[[#This Row],[created_date]],"dddd")</f>
        <v>Tuesday</v>
      </c>
      <c r="V480" cm="1">
        <f t="array" ref="V480">_xlfn.SWITCH(tbl_analysis_tickets[[#This Row],[priority]],
"Urgent",1,
"High",2,
"Medium",3,
"Low",4
)</f>
        <v>1</v>
      </c>
    </row>
    <row r="481" spans="1:22" x14ac:dyDescent="0.25">
      <c r="A481">
        <v>480</v>
      </c>
      <c r="B481" s="1">
        <v>45488</v>
      </c>
      <c r="C481" t="s">
        <v>10</v>
      </c>
      <c r="D481" t="s">
        <v>20</v>
      </c>
      <c r="E481">
        <v>129</v>
      </c>
      <c r="F481">
        <v>53</v>
      </c>
      <c r="G481">
        <v>2.7</v>
      </c>
      <c r="H481" t="s">
        <v>18</v>
      </c>
      <c r="I481" t="s">
        <v>13</v>
      </c>
      <c r="J481" t="s">
        <v>11</v>
      </c>
      <c r="K481">
        <f>_xlfn.XLOOKUP(tbl_analysis_tickets[[#This Row],[priority]],tbl_sla[priority],tbl_sla[Resolution SLA Hours])</f>
        <v>24</v>
      </c>
      <c r="L481">
        <f>_xlfn.XLOOKUP(tbl_analysis_tickets[[#This Row],[priority]],tbl_sla[priority],tbl_sla[First Response SLA Minutes])</f>
        <v>60</v>
      </c>
      <c r="M481" t="str">
        <f>IF(tbl_analysis_tickets[[#This Row],[resolution_time_hours]]&gt;tbl_analysis_tickets[[#This Row],[Resolution SLA Hours]],"Breached","Within SLA")</f>
        <v>Breached</v>
      </c>
      <c r="N481" t="str">
        <f>IF(tbl_analysis_tickets[[#This Row],[first_response_minutes]]&gt;tbl_analysis_tickets[[#This Row],[First Response SLA Minutes]],"Breached","Within SLA")</f>
        <v>Breached</v>
      </c>
      <c r="O481" t="str" cm="1">
        <f t="array" ref="O481">_xlfn.IFS(
tbl_analysis_tickets[[#This Row],[agent_experience_years]]&lt;=2,"Junior",
tbl_analysis_tickets[[#This Row],[agent_experience_years]]&lt;=5,"Mid-Level",
tbl_analysis_tickets[[#This Row],[agent_experience_years]]&lt;=8,"Senior",
tbl_analysis_tickets[[#This Row],[agent_experience_years]]&gt;8,"Expert"
)</f>
        <v>Mid-Level</v>
      </c>
      <c r="P481" cm="1">
        <f t="array" ref="P481">_xlfn.SWITCH(tbl_analysis_tickets[[#This Row],[customer_satisfaction]],
"Low",1,
"Medium",2,
"High",3
)</f>
        <v>1</v>
      </c>
      <c r="Q481">
        <f>IF(tbl_analysis_tickets[[#This Row],[reopened]]="Yes",1,0)</f>
        <v>0</v>
      </c>
      <c r="R481" t="str" cm="1">
        <f t="array" ref="R481">_xlfn.IFS(
tbl_analysis_tickets[[#This Row],[first_response_minutes]]&lt;=30,"Very Fast",
tbl_analysis_tickets[[#This Row],[first_response_minutes]]&lt;=120,"Acceptable",
tbl_analysis_tickets[[#This Row],[first_response_minutes]]&lt;=240,"Slow",
tbl_analysis_tickets[[#This Row],[first_response_minutes]]&gt;240,"Very Slow"
)</f>
        <v>Slow</v>
      </c>
      <c r="S481" t="str" cm="1">
        <f t="array" ref="S48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481" t="str">
        <f>TEXT(tbl_analysis_tickets[[#This Row],[created_date]],"mmm-yyyy")</f>
        <v>Jul-2024</v>
      </c>
      <c r="U481" t="str">
        <f>TEXT(tbl_analysis_tickets[[#This Row],[created_date]],"dddd")</f>
        <v>Monday</v>
      </c>
      <c r="V481" cm="1">
        <f t="array" ref="V481">_xlfn.SWITCH(tbl_analysis_tickets[[#This Row],[priority]],
"Urgent",1,
"High",2,
"Medium",3,
"Low",4
)</f>
        <v>2</v>
      </c>
    </row>
    <row r="482" spans="1:22" x14ac:dyDescent="0.25">
      <c r="A482">
        <v>481</v>
      </c>
      <c r="B482" s="1">
        <v>45548</v>
      </c>
      <c r="C482" t="s">
        <v>21</v>
      </c>
      <c r="D482" t="s">
        <v>20</v>
      </c>
      <c r="E482">
        <v>78</v>
      </c>
      <c r="F482">
        <v>50</v>
      </c>
      <c r="G482">
        <v>6.6</v>
      </c>
      <c r="H482" t="s">
        <v>18</v>
      </c>
      <c r="I482" t="s">
        <v>19</v>
      </c>
      <c r="J482" t="s">
        <v>11</v>
      </c>
      <c r="K482">
        <f>_xlfn.XLOOKUP(tbl_analysis_tickets[[#This Row],[priority]],tbl_sla[priority],tbl_sla[Resolution SLA Hours])</f>
        <v>24</v>
      </c>
      <c r="L482">
        <f>_xlfn.XLOOKUP(tbl_analysis_tickets[[#This Row],[priority]],tbl_sla[priority],tbl_sla[First Response SLA Minutes])</f>
        <v>60</v>
      </c>
      <c r="M482" t="str">
        <f>IF(tbl_analysis_tickets[[#This Row],[resolution_time_hours]]&gt;tbl_analysis_tickets[[#This Row],[Resolution SLA Hours]],"Breached","Within SLA")</f>
        <v>Breached</v>
      </c>
      <c r="N482" t="str">
        <f>IF(tbl_analysis_tickets[[#This Row],[first_response_minutes]]&gt;tbl_analysis_tickets[[#This Row],[First Response SLA Minutes]],"Breached","Within SLA")</f>
        <v>Breached</v>
      </c>
      <c r="O482" t="str" cm="1">
        <f t="array" ref="O482">_xlfn.IFS(
tbl_analysis_tickets[[#This Row],[agent_experience_years]]&lt;=2,"Junior",
tbl_analysis_tickets[[#This Row],[agent_experience_years]]&lt;=5,"Mid-Level",
tbl_analysis_tickets[[#This Row],[agent_experience_years]]&lt;=8,"Senior",
tbl_analysis_tickets[[#This Row],[agent_experience_years]]&gt;8,"Expert"
)</f>
        <v>Senior</v>
      </c>
      <c r="P482" cm="1">
        <f t="array" ref="P482">_xlfn.SWITCH(tbl_analysis_tickets[[#This Row],[customer_satisfaction]],
"Low",1,
"Medium",2,
"High",3
)</f>
        <v>1</v>
      </c>
      <c r="Q482">
        <f>IF(tbl_analysis_tickets[[#This Row],[reopened]]="Yes",1,0)</f>
        <v>0</v>
      </c>
      <c r="R482" t="str" cm="1">
        <f t="array" ref="R482">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482" t="str" cm="1">
        <f t="array" ref="S48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482" t="str">
        <f>TEXT(tbl_analysis_tickets[[#This Row],[created_date]],"mmm-yyyy")</f>
        <v>Sep-2024</v>
      </c>
      <c r="U482" t="str">
        <f>TEXT(tbl_analysis_tickets[[#This Row],[created_date]],"dddd")</f>
        <v>Friday</v>
      </c>
      <c r="V482" cm="1">
        <f t="array" ref="V482">_xlfn.SWITCH(tbl_analysis_tickets[[#This Row],[priority]],
"Urgent",1,
"High",2,
"Medium",3,
"Low",4
)</f>
        <v>2</v>
      </c>
    </row>
    <row r="483" spans="1:22" x14ac:dyDescent="0.25">
      <c r="A483">
        <v>482</v>
      </c>
      <c r="B483" s="1">
        <v>45640</v>
      </c>
      <c r="C483" t="s">
        <v>14</v>
      </c>
      <c r="D483" t="s">
        <v>15</v>
      </c>
      <c r="E483">
        <v>88</v>
      </c>
      <c r="F483">
        <v>56</v>
      </c>
      <c r="G483">
        <v>3.1</v>
      </c>
      <c r="H483" t="s">
        <v>12</v>
      </c>
      <c r="I483" t="s">
        <v>16</v>
      </c>
      <c r="J483" t="s">
        <v>11</v>
      </c>
      <c r="K483">
        <f>_xlfn.XLOOKUP(tbl_analysis_tickets[[#This Row],[priority]],tbl_sla[priority],tbl_sla[Resolution SLA Hours])</f>
        <v>48</v>
      </c>
      <c r="L483">
        <f>_xlfn.XLOOKUP(tbl_analysis_tickets[[#This Row],[priority]],tbl_sla[priority],tbl_sla[First Response SLA Minutes])</f>
        <v>120</v>
      </c>
      <c r="M483" t="str">
        <f>IF(tbl_analysis_tickets[[#This Row],[resolution_time_hours]]&gt;tbl_analysis_tickets[[#This Row],[Resolution SLA Hours]],"Breached","Within SLA")</f>
        <v>Breached</v>
      </c>
      <c r="N483" t="str">
        <f>IF(tbl_analysis_tickets[[#This Row],[first_response_minutes]]&gt;tbl_analysis_tickets[[#This Row],[First Response SLA Minutes]],"Breached","Within SLA")</f>
        <v>Within SLA</v>
      </c>
      <c r="O483" t="str" cm="1">
        <f t="array" ref="O483">_xlfn.IFS(
tbl_analysis_tickets[[#This Row],[agent_experience_years]]&lt;=2,"Junior",
tbl_analysis_tickets[[#This Row],[agent_experience_years]]&lt;=5,"Mid-Level",
tbl_analysis_tickets[[#This Row],[agent_experience_years]]&lt;=8,"Senior",
tbl_analysis_tickets[[#This Row],[agent_experience_years]]&gt;8,"Expert"
)</f>
        <v>Mid-Level</v>
      </c>
      <c r="P483" cm="1">
        <f t="array" ref="P483">_xlfn.SWITCH(tbl_analysis_tickets[[#This Row],[customer_satisfaction]],
"Low",1,
"Medium",2,
"High",3
)</f>
        <v>1</v>
      </c>
      <c r="Q483">
        <f>IF(tbl_analysis_tickets[[#This Row],[reopened]]="Yes",1,0)</f>
        <v>1</v>
      </c>
      <c r="R483" t="str" cm="1">
        <f t="array" ref="R483">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483" t="str" cm="1">
        <f t="array" ref="S48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483" t="str">
        <f>TEXT(tbl_analysis_tickets[[#This Row],[created_date]],"mmm-yyyy")</f>
        <v>Dec-2024</v>
      </c>
      <c r="U483" t="str">
        <f>TEXT(tbl_analysis_tickets[[#This Row],[created_date]],"dddd")</f>
        <v>Saturday</v>
      </c>
      <c r="V483" cm="1">
        <f t="array" ref="V483">_xlfn.SWITCH(tbl_analysis_tickets[[#This Row],[priority]],
"Urgent",1,
"High",2,
"Medium",3,
"Low",4
)</f>
        <v>3</v>
      </c>
    </row>
    <row r="484" spans="1:22" x14ac:dyDescent="0.25">
      <c r="A484">
        <v>483</v>
      </c>
      <c r="B484" s="1">
        <v>45311</v>
      </c>
      <c r="C484" t="s">
        <v>21</v>
      </c>
      <c r="D484" t="s">
        <v>17</v>
      </c>
      <c r="E484">
        <v>174</v>
      </c>
      <c r="F484">
        <v>72</v>
      </c>
      <c r="G484">
        <v>6.2</v>
      </c>
      <c r="H484" t="s">
        <v>12</v>
      </c>
      <c r="I484" t="s">
        <v>13</v>
      </c>
      <c r="J484" t="s">
        <v>11</v>
      </c>
      <c r="K484">
        <f>_xlfn.XLOOKUP(tbl_analysis_tickets[[#This Row],[priority]],tbl_sla[priority],tbl_sla[Resolution SLA Hours])</f>
        <v>8</v>
      </c>
      <c r="L484">
        <f>_xlfn.XLOOKUP(tbl_analysis_tickets[[#This Row],[priority]],tbl_sla[priority],tbl_sla[First Response SLA Minutes])</f>
        <v>30</v>
      </c>
      <c r="M484" t="str">
        <f>IF(tbl_analysis_tickets[[#This Row],[resolution_time_hours]]&gt;tbl_analysis_tickets[[#This Row],[Resolution SLA Hours]],"Breached","Within SLA")</f>
        <v>Breached</v>
      </c>
      <c r="N484" t="str">
        <f>IF(tbl_analysis_tickets[[#This Row],[first_response_minutes]]&gt;tbl_analysis_tickets[[#This Row],[First Response SLA Minutes]],"Breached","Within SLA")</f>
        <v>Breached</v>
      </c>
      <c r="O484" t="str" cm="1">
        <f t="array" ref="O484">_xlfn.IFS(
tbl_analysis_tickets[[#This Row],[agent_experience_years]]&lt;=2,"Junior",
tbl_analysis_tickets[[#This Row],[agent_experience_years]]&lt;=5,"Mid-Level",
tbl_analysis_tickets[[#This Row],[agent_experience_years]]&lt;=8,"Senior",
tbl_analysis_tickets[[#This Row],[agent_experience_years]]&gt;8,"Expert"
)</f>
        <v>Senior</v>
      </c>
      <c r="P484" cm="1">
        <f t="array" ref="P484">_xlfn.SWITCH(tbl_analysis_tickets[[#This Row],[customer_satisfaction]],
"Low",1,
"Medium",2,
"High",3
)</f>
        <v>1</v>
      </c>
      <c r="Q484">
        <f>IF(tbl_analysis_tickets[[#This Row],[reopened]]="Yes",1,0)</f>
        <v>1</v>
      </c>
      <c r="R484" t="str" cm="1">
        <f t="array" ref="R484">_xlfn.IFS(
tbl_analysis_tickets[[#This Row],[first_response_minutes]]&lt;=30,"Very Fast",
tbl_analysis_tickets[[#This Row],[first_response_minutes]]&lt;=120,"Acceptable",
tbl_analysis_tickets[[#This Row],[first_response_minutes]]&lt;=240,"Slow",
tbl_analysis_tickets[[#This Row],[first_response_minutes]]&gt;240,"Very Slow"
)</f>
        <v>Slow</v>
      </c>
      <c r="S484" t="str" cm="1">
        <f t="array" ref="S48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484" t="str">
        <f>TEXT(tbl_analysis_tickets[[#This Row],[created_date]],"mmm-yyyy")</f>
        <v>Jan-2024</v>
      </c>
      <c r="U484" t="str">
        <f>TEXT(tbl_analysis_tickets[[#This Row],[created_date]],"dddd")</f>
        <v>Saturday</v>
      </c>
      <c r="V484" cm="1">
        <f t="array" ref="V484">_xlfn.SWITCH(tbl_analysis_tickets[[#This Row],[priority]],
"Urgent",1,
"High",2,
"Medium",3,
"Low",4
)</f>
        <v>1</v>
      </c>
    </row>
    <row r="485" spans="1:22" x14ac:dyDescent="0.25">
      <c r="A485">
        <v>484</v>
      </c>
      <c r="B485" s="1">
        <v>45417</v>
      </c>
      <c r="C485" t="s">
        <v>21</v>
      </c>
      <c r="D485" t="s">
        <v>11</v>
      </c>
      <c r="E485">
        <v>16</v>
      </c>
      <c r="F485">
        <v>16</v>
      </c>
      <c r="G485">
        <v>3.7</v>
      </c>
      <c r="H485" t="s">
        <v>18</v>
      </c>
      <c r="I485" t="s">
        <v>19</v>
      </c>
      <c r="J485" t="s">
        <v>15</v>
      </c>
      <c r="K485">
        <f>_xlfn.XLOOKUP(tbl_analysis_tickets[[#This Row],[priority]],tbl_sla[priority],tbl_sla[Resolution SLA Hours])</f>
        <v>72</v>
      </c>
      <c r="L485">
        <f>_xlfn.XLOOKUP(tbl_analysis_tickets[[#This Row],[priority]],tbl_sla[priority],tbl_sla[First Response SLA Minutes])</f>
        <v>240</v>
      </c>
      <c r="M485" t="str">
        <f>IF(tbl_analysis_tickets[[#This Row],[resolution_time_hours]]&gt;tbl_analysis_tickets[[#This Row],[Resolution SLA Hours]],"Breached","Within SLA")</f>
        <v>Within SLA</v>
      </c>
      <c r="N485" t="str">
        <f>IF(tbl_analysis_tickets[[#This Row],[first_response_minutes]]&gt;tbl_analysis_tickets[[#This Row],[First Response SLA Minutes]],"Breached","Within SLA")</f>
        <v>Within SLA</v>
      </c>
      <c r="O485" t="str" cm="1">
        <f t="array" ref="O485">_xlfn.IFS(
tbl_analysis_tickets[[#This Row],[agent_experience_years]]&lt;=2,"Junior",
tbl_analysis_tickets[[#This Row],[agent_experience_years]]&lt;=5,"Mid-Level",
tbl_analysis_tickets[[#This Row],[agent_experience_years]]&lt;=8,"Senior",
tbl_analysis_tickets[[#This Row],[agent_experience_years]]&gt;8,"Expert"
)</f>
        <v>Mid-Level</v>
      </c>
      <c r="P485" cm="1">
        <f t="array" ref="P485">_xlfn.SWITCH(tbl_analysis_tickets[[#This Row],[customer_satisfaction]],
"Low",1,
"Medium",2,
"High",3
)</f>
        <v>2</v>
      </c>
      <c r="Q485">
        <f>IF(tbl_analysis_tickets[[#This Row],[reopened]]="Yes",1,0)</f>
        <v>0</v>
      </c>
      <c r="R485" t="str" cm="1">
        <f t="array" ref="R485">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485" t="str" cm="1">
        <f t="array" ref="S48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485" t="str">
        <f>TEXT(tbl_analysis_tickets[[#This Row],[created_date]],"mmm-yyyy")</f>
        <v>May-2024</v>
      </c>
      <c r="U485" t="str">
        <f>TEXT(tbl_analysis_tickets[[#This Row],[created_date]],"dddd")</f>
        <v>Sunday</v>
      </c>
      <c r="V485" cm="1">
        <f t="array" ref="V485">_xlfn.SWITCH(tbl_analysis_tickets[[#This Row],[priority]],
"Urgent",1,
"High",2,
"Medium",3,
"Low",4
)</f>
        <v>4</v>
      </c>
    </row>
    <row r="486" spans="1:22" x14ac:dyDescent="0.25">
      <c r="A486">
        <v>485</v>
      </c>
      <c r="B486" s="1">
        <v>45306</v>
      </c>
      <c r="C486" t="s">
        <v>21</v>
      </c>
      <c r="D486" t="s">
        <v>20</v>
      </c>
      <c r="E486">
        <v>87</v>
      </c>
      <c r="F486">
        <v>51</v>
      </c>
      <c r="G486">
        <v>3.7</v>
      </c>
      <c r="H486" t="s">
        <v>12</v>
      </c>
      <c r="I486" t="s">
        <v>13</v>
      </c>
      <c r="J486" t="s">
        <v>11</v>
      </c>
      <c r="K486">
        <f>_xlfn.XLOOKUP(tbl_analysis_tickets[[#This Row],[priority]],tbl_sla[priority],tbl_sla[Resolution SLA Hours])</f>
        <v>24</v>
      </c>
      <c r="L486">
        <f>_xlfn.XLOOKUP(tbl_analysis_tickets[[#This Row],[priority]],tbl_sla[priority],tbl_sla[First Response SLA Minutes])</f>
        <v>60</v>
      </c>
      <c r="M486" t="str">
        <f>IF(tbl_analysis_tickets[[#This Row],[resolution_time_hours]]&gt;tbl_analysis_tickets[[#This Row],[Resolution SLA Hours]],"Breached","Within SLA")</f>
        <v>Breached</v>
      </c>
      <c r="N486" t="str">
        <f>IF(tbl_analysis_tickets[[#This Row],[first_response_minutes]]&gt;tbl_analysis_tickets[[#This Row],[First Response SLA Minutes]],"Breached","Within SLA")</f>
        <v>Breached</v>
      </c>
      <c r="O486" t="str" cm="1">
        <f t="array" ref="O486">_xlfn.IFS(
tbl_analysis_tickets[[#This Row],[agent_experience_years]]&lt;=2,"Junior",
tbl_analysis_tickets[[#This Row],[agent_experience_years]]&lt;=5,"Mid-Level",
tbl_analysis_tickets[[#This Row],[agent_experience_years]]&lt;=8,"Senior",
tbl_analysis_tickets[[#This Row],[agent_experience_years]]&gt;8,"Expert"
)</f>
        <v>Mid-Level</v>
      </c>
      <c r="P486" cm="1">
        <f t="array" ref="P486">_xlfn.SWITCH(tbl_analysis_tickets[[#This Row],[customer_satisfaction]],
"Low",1,
"Medium",2,
"High",3
)</f>
        <v>1</v>
      </c>
      <c r="Q486">
        <f>IF(tbl_analysis_tickets[[#This Row],[reopened]]="Yes",1,0)</f>
        <v>1</v>
      </c>
      <c r="R486" t="str" cm="1">
        <f t="array" ref="R486">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486" t="str" cm="1">
        <f t="array" ref="S48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486" t="str">
        <f>TEXT(tbl_analysis_tickets[[#This Row],[created_date]],"mmm-yyyy")</f>
        <v>Jan-2024</v>
      </c>
      <c r="U486" t="str">
        <f>TEXT(tbl_analysis_tickets[[#This Row],[created_date]],"dddd")</f>
        <v>Monday</v>
      </c>
      <c r="V486" cm="1">
        <f t="array" ref="V486">_xlfn.SWITCH(tbl_analysis_tickets[[#This Row],[priority]],
"Urgent",1,
"High",2,
"Medium",3,
"Low",4
)</f>
        <v>2</v>
      </c>
    </row>
    <row r="487" spans="1:22" x14ac:dyDescent="0.25">
      <c r="A487">
        <v>486</v>
      </c>
      <c r="B487" s="1">
        <v>45479</v>
      </c>
      <c r="C487" t="s">
        <v>10</v>
      </c>
      <c r="D487" t="s">
        <v>20</v>
      </c>
      <c r="E487">
        <v>113</v>
      </c>
      <c r="F487">
        <v>50</v>
      </c>
      <c r="G487">
        <v>4</v>
      </c>
      <c r="H487" t="s">
        <v>12</v>
      </c>
      <c r="I487" t="s">
        <v>19</v>
      </c>
      <c r="J487" t="s">
        <v>11</v>
      </c>
      <c r="K487">
        <f>_xlfn.XLOOKUP(tbl_analysis_tickets[[#This Row],[priority]],tbl_sla[priority],tbl_sla[Resolution SLA Hours])</f>
        <v>24</v>
      </c>
      <c r="L487">
        <f>_xlfn.XLOOKUP(tbl_analysis_tickets[[#This Row],[priority]],tbl_sla[priority],tbl_sla[First Response SLA Minutes])</f>
        <v>60</v>
      </c>
      <c r="M487" t="str">
        <f>IF(tbl_analysis_tickets[[#This Row],[resolution_time_hours]]&gt;tbl_analysis_tickets[[#This Row],[Resolution SLA Hours]],"Breached","Within SLA")</f>
        <v>Breached</v>
      </c>
      <c r="N487" t="str">
        <f>IF(tbl_analysis_tickets[[#This Row],[first_response_minutes]]&gt;tbl_analysis_tickets[[#This Row],[First Response SLA Minutes]],"Breached","Within SLA")</f>
        <v>Breached</v>
      </c>
      <c r="O487" t="str" cm="1">
        <f t="array" ref="O487">_xlfn.IFS(
tbl_analysis_tickets[[#This Row],[agent_experience_years]]&lt;=2,"Junior",
tbl_analysis_tickets[[#This Row],[agent_experience_years]]&lt;=5,"Mid-Level",
tbl_analysis_tickets[[#This Row],[agent_experience_years]]&lt;=8,"Senior",
tbl_analysis_tickets[[#This Row],[agent_experience_years]]&gt;8,"Expert"
)</f>
        <v>Mid-Level</v>
      </c>
      <c r="P487" cm="1">
        <f t="array" ref="P487">_xlfn.SWITCH(tbl_analysis_tickets[[#This Row],[customer_satisfaction]],
"Low",1,
"Medium",2,
"High",3
)</f>
        <v>1</v>
      </c>
      <c r="Q487">
        <f>IF(tbl_analysis_tickets[[#This Row],[reopened]]="Yes",1,0)</f>
        <v>1</v>
      </c>
      <c r="R487" t="str" cm="1">
        <f t="array" ref="R487">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487" t="str" cm="1">
        <f t="array" ref="S48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487" t="str">
        <f>TEXT(tbl_analysis_tickets[[#This Row],[created_date]],"mmm-yyyy")</f>
        <v>Jul-2024</v>
      </c>
      <c r="U487" t="str">
        <f>TEXT(tbl_analysis_tickets[[#This Row],[created_date]],"dddd")</f>
        <v>Saturday</v>
      </c>
      <c r="V487" cm="1">
        <f t="array" ref="V487">_xlfn.SWITCH(tbl_analysis_tickets[[#This Row],[priority]],
"Urgent",1,
"High",2,
"Medium",3,
"Low",4
)</f>
        <v>2</v>
      </c>
    </row>
    <row r="488" spans="1:22" x14ac:dyDescent="0.25">
      <c r="A488">
        <v>487</v>
      </c>
      <c r="B488" s="1">
        <v>45468</v>
      </c>
      <c r="C488" t="s">
        <v>10</v>
      </c>
      <c r="D488" t="s">
        <v>11</v>
      </c>
      <c r="E488">
        <v>211</v>
      </c>
      <c r="F488">
        <v>59</v>
      </c>
      <c r="G488">
        <v>9.1999999999999993</v>
      </c>
      <c r="H488" t="s">
        <v>18</v>
      </c>
      <c r="I488" t="s">
        <v>16</v>
      </c>
      <c r="J488" t="s">
        <v>15</v>
      </c>
      <c r="K488">
        <f>_xlfn.XLOOKUP(tbl_analysis_tickets[[#This Row],[priority]],tbl_sla[priority],tbl_sla[Resolution SLA Hours])</f>
        <v>72</v>
      </c>
      <c r="L488">
        <f>_xlfn.XLOOKUP(tbl_analysis_tickets[[#This Row],[priority]],tbl_sla[priority],tbl_sla[First Response SLA Minutes])</f>
        <v>240</v>
      </c>
      <c r="M488" t="str">
        <f>IF(tbl_analysis_tickets[[#This Row],[resolution_time_hours]]&gt;tbl_analysis_tickets[[#This Row],[Resolution SLA Hours]],"Breached","Within SLA")</f>
        <v>Within SLA</v>
      </c>
      <c r="N488" t="str">
        <f>IF(tbl_analysis_tickets[[#This Row],[first_response_minutes]]&gt;tbl_analysis_tickets[[#This Row],[First Response SLA Minutes]],"Breached","Within SLA")</f>
        <v>Within SLA</v>
      </c>
      <c r="O488" t="str" cm="1">
        <f t="array" ref="O488">_xlfn.IFS(
tbl_analysis_tickets[[#This Row],[agent_experience_years]]&lt;=2,"Junior",
tbl_analysis_tickets[[#This Row],[agent_experience_years]]&lt;=5,"Mid-Level",
tbl_analysis_tickets[[#This Row],[agent_experience_years]]&lt;=8,"Senior",
tbl_analysis_tickets[[#This Row],[agent_experience_years]]&gt;8,"Expert"
)</f>
        <v>Expert</v>
      </c>
      <c r="P488" cm="1">
        <f t="array" ref="P488">_xlfn.SWITCH(tbl_analysis_tickets[[#This Row],[customer_satisfaction]],
"Low",1,
"Medium",2,
"High",3
)</f>
        <v>2</v>
      </c>
      <c r="Q488">
        <f>IF(tbl_analysis_tickets[[#This Row],[reopened]]="Yes",1,0)</f>
        <v>0</v>
      </c>
      <c r="R488" t="str" cm="1">
        <f t="array" ref="R488">_xlfn.IFS(
tbl_analysis_tickets[[#This Row],[first_response_minutes]]&lt;=30,"Very Fast",
tbl_analysis_tickets[[#This Row],[first_response_minutes]]&lt;=120,"Acceptable",
tbl_analysis_tickets[[#This Row],[first_response_minutes]]&lt;=240,"Slow",
tbl_analysis_tickets[[#This Row],[first_response_minutes]]&gt;240,"Very Slow"
)</f>
        <v>Slow</v>
      </c>
      <c r="S488" t="str" cm="1">
        <f t="array" ref="S48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488" t="str">
        <f>TEXT(tbl_analysis_tickets[[#This Row],[created_date]],"mmm-yyyy")</f>
        <v>Jun-2024</v>
      </c>
      <c r="U488" t="str">
        <f>TEXT(tbl_analysis_tickets[[#This Row],[created_date]],"dddd")</f>
        <v>Tuesday</v>
      </c>
      <c r="V488" cm="1">
        <f t="array" ref="V488">_xlfn.SWITCH(tbl_analysis_tickets[[#This Row],[priority]],
"Urgent",1,
"High",2,
"Medium",3,
"Low",4
)</f>
        <v>4</v>
      </c>
    </row>
    <row r="489" spans="1:22" x14ac:dyDescent="0.25">
      <c r="A489">
        <v>488</v>
      </c>
      <c r="B489" s="1">
        <v>45428</v>
      </c>
      <c r="C489" t="s">
        <v>21</v>
      </c>
      <c r="D489" t="s">
        <v>17</v>
      </c>
      <c r="E489">
        <v>229</v>
      </c>
      <c r="F489">
        <v>22</v>
      </c>
      <c r="G489">
        <v>2.5</v>
      </c>
      <c r="H489" t="s">
        <v>18</v>
      </c>
      <c r="I489" t="s">
        <v>13</v>
      </c>
      <c r="J489" t="s">
        <v>11</v>
      </c>
      <c r="K489">
        <f>_xlfn.XLOOKUP(tbl_analysis_tickets[[#This Row],[priority]],tbl_sla[priority],tbl_sla[Resolution SLA Hours])</f>
        <v>8</v>
      </c>
      <c r="L489">
        <f>_xlfn.XLOOKUP(tbl_analysis_tickets[[#This Row],[priority]],tbl_sla[priority],tbl_sla[First Response SLA Minutes])</f>
        <v>30</v>
      </c>
      <c r="M489" t="str">
        <f>IF(tbl_analysis_tickets[[#This Row],[resolution_time_hours]]&gt;tbl_analysis_tickets[[#This Row],[Resolution SLA Hours]],"Breached","Within SLA")</f>
        <v>Breached</v>
      </c>
      <c r="N489" t="str">
        <f>IF(tbl_analysis_tickets[[#This Row],[first_response_minutes]]&gt;tbl_analysis_tickets[[#This Row],[First Response SLA Minutes]],"Breached","Within SLA")</f>
        <v>Breached</v>
      </c>
      <c r="O489" t="str" cm="1">
        <f t="array" ref="O489">_xlfn.IFS(
tbl_analysis_tickets[[#This Row],[agent_experience_years]]&lt;=2,"Junior",
tbl_analysis_tickets[[#This Row],[agent_experience_years]]&lt;=5,"Mid-Level",
tbl_analysis_tickets[[#This Row],[agent_experience_years]]&lt;=8,"Senior",
tbl_analysis_tickets[[#This Row],[agent_experience_years]]&gt;8,"Expert"
)</f>
        <v>Mid-Level</v>
      </c>
      <c r="P489" cm="1">
        <f t="array" ref="P489">_xlfn.SWITCH(tbl_analysis_tickets[[#This Row],[customer_satisfaction]],
"Low",1,
"Medium",2,
"High",3
)</f>
        <v>1</v>
      </c>
      <c r="Q489">
        <f>IF(tbl_analysis_tickets[[#This Row],[reopened]]="Yes",1,0)</f>
        <v>0</v>
      </c>
      <c r="R489" t="str" cm="1">
        <f t="array" ref="R489">_xlfn.IFS(
tbl_analysis_tickets[[#This Row],[first_response_minutes]]&lt;=30,"Very Fast",
tbl_analysis_tickets[[#This Row],[first_response_minutes]]&lt;=120,"Acceptable",
tbl_analysis_tickets[[#This Row],[first_response_minutes]]&lt;=240,"Slow",
tbl_analysis_tickets[[#This Row],[first_response_minutes]]&gt;240,"Very Slow"
)</f>
        <v>Slow</v>
      </c>
      <c r="S489" t="str" cm="1">
        <f t="array" ref="S48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489" t="str">
        <f>TEXT(tbl_analysis_tickets[[#This Row],[created_date]],"mmm-yyyy")</f>
        <v>May-2024</v>
      </c>
      <c r="U489" t="str">
        <f>TEXT(tbl_analysis_tickets[[#This Row],[created_date]],"dddd")</f>
        <v>Thursday</v>
      </c>
      <c r="V489" cm="1">
        <f t="array" ref="V489">_xlfn.SWITCH(tbl_analysis_tickets[[#This Row],[priority]],
"Urgent",1,
"High",2,
"Medium",3,
"Low",4
)</f>
        <v>1</v>
      </c>
    </row>
    <row r="490" spans="1:22" x14ac:dyDescent="0.25">
      <c r="A490">
        <v>489</v>
      </c>
      <c r="B490" s="1">
        <v>45355</v>
      </c>
      <c r="C490" t="s">
        <v>14</v>
      </c>
      <c r="D490" t="s">
        <v>15</v>
      </c>
      <c r="E490">
        <v>151</v>
      </c>
      <c r="F490">
        <v>62</v>
      </c>
      <c r="G490">
        <v>8.1</v>
      </c>
      <c r="H490" t="s">
        <v>18</v>
      </c>
      <c r="I490" t="s">
        <v>13</v>
      </c>
      <c r="J490" t="s">
        <v>15</v>
      </c>
      <c r="K490">
        <f>_xlfn.XLOOKUP(tbl_analysis_tickets[[#This Row],[priority]],tbl_sla[priority],tbl_sla[Resolution SLA Hours])</f>
        <v>48</v>
      </c>
      <c r="L490">
        <f>_xlfn.XLOOKUP(tbl_analysis_tickets[[#This Row],[priority]],tbl_sla[priority],tbl_sla[First Response SLA Minutes])</f>
        <v>120</v>
      </c>
      <c r="M490" t="str">
        <f>IF(tbl_analysis_tickets[[#This Row],[resolution_time_hours]]&gt;tbl_analysis_tickets[[#This Row],[Resolution SLA Hours]],"Breached","Within SLA")</f>
        <v>Breached</v>
      </c>
      <c r="N490" t="str">
        <f>IF(tbl_analysis_tickets[[#This Row],[first_response_minutes]]&gt;tbl_analysis_tickets[[#This Row],[First Response SLA Minutes]],"Breached","Within SLA")</f>
        <v>Breached</v>
      </c>
      <c r="O490" t="str" cm="1">
        <f t="array" ref="O490">_xlfn.IFS(
tbl_analysis_tickets[[#This Row],[agent_experience_years]]&lt;=2,"Junior",
tbl_analysis_tickets[[#This Row],[agent_experience_years]]&lt;=5,"Mid-Level",
tbl_analysis_tickets[[#This Row],[agent_experience_years]]&lt;=8,"Senior",
tbl_analysis_tickets[[#This Row],[agent_experience_years]]&gt;8,"Expert"
)</f>
        <v>Expert</v>
      </c>
      <c r="P490" cm="1">
        <f t="array" ref="P490">_xlfn.SWITCH(tbl_analysis_tickets[[#This Row],[customer_satisfaction]],
"Low",1,
"Medium",2,
"High",3
)</f>
        <v>2</v>
      </c>
      <c r="Q490">
        <f>IF(tbl_analysis_tickets[[#This Row],[reopened]]="Yes",1,0)</f>
        <v>0</v>
      </c>
      <c r="R490" t="str" cm="1">
        <f t="array" ref="R490">_xlfn.IFS(
tbl_analysis_tickets[[#This Row],[first_response_minutes]]&lt;=30,"Very Fast",
tbl_analysis_tickets[[#This Row],[first_response_minutes]]&lt;=120,"Acceptable",
tbl_analysis_tickets[[#This Row],[first_response_minutes]]&lt;=240,"Slow",
tbl_analysis_tickets[[#This Row],[first_response_minutes]]&gt;240,"Very Slow"
)</f>
        <v>Slow</v>
      </c>
      <c r="S490" t="str" cm="1">
        <f t="array" ref="S49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490" t="str">
        <f>TEXT(tbl_analysis_tickets[[#This Row],[created_date]],"mmm-yyyy")</f>
        <v>Mar-2024</v>
      </c>
      <c r="U490" t="str">
        <f>TEXT(tbl_analysis_tickets[[#This Row],[created_date]],"dddd")</f>
        <v>Monday</v>
      </c>
      <c r="V490" cm="1">
        <f t="array" ref="V490">_xlfn.SWITCH(tbl_analysis_tickets[[#This Row],[priority]],
"Urgent",1,
"High",2,
"Medium",3,
"Low",4
)</f>
        <v>3</v>
      </c>
    </row>
    <row r="491" spans="1:22" x14ac:dyDescent="0.25">
      <c r="A491">
        <v>490</v>
      </c>
      <c r="B491" s="1">
        <v>45429</v>
      </c>
      <c r="C491" t="s">
        <v>22</v>
      </c>
      <c r="D491" t="s">
        <v>17</v>
      </c>
      <c r="E491">
        <v>65</v>
      </c>
      <c r="F491">
        <v>33</v>
      </c>
      <c r="G491">
        <v>7.5</v>
      </c>
      <c r="H491" t="s">
        <v>12</v>
      </c>
      <c r="I491" t="s">
        <v>13</v>
      </c>
      <c r="J491" t="s">
        <v>11</v>
      </c>
      <c r="K491">
        <f>_xlfn.XLOOKUP(tbl_analysis_tickets[[#This Row],[priority]],tbl_sla[priority],tbl_sla[Resolution SLA Hours])</f>
        <v>8</v>
      </c>
      <c r="L491">
        <f>_xlfn.XLOOKUP(tbl_analysis_tickets[[#This Row],[priority]],tbl_sla[priority],tbl_sla[First Response SLA Minutes])</f>
        <v>30</v>
      </c>
      <c r="M491" t="str">
        <f>IF(tbl_analysis_tickets[[#This Row],[resolution_time_hours]]&gt;tbl_analysis_tickets[[#This Row],[Resolution SLA Hours]],"Breached","Within SLA")</f>
        <v>Breached</v>
      </c>
      <c r="N491" t="str">
        <f>IF(tbl_analysis_tickets[[#This Row],[first_response_minutes]]&gt;tbl_analysis_tickets[[#This Row],[First Response SLA Minutes]],"Breached","Within SLA")</f>
        <v>Breached</v>
      </c>
      <c r="O491" t="str" cm="1">
        <f t="array" ref="O491">_xlfn.IFS(
tbl_analysis_tickets[[#This Row],[agent_experience_years]]&lt;=2,"Junior",
tbl_analysis_tickets[[#This Row],[agent_experience_years]]&lt;=5,"Mid-Level",
tbl_analysis_tickets[[#This Row],[agent_experience_years]]&lt;=8,"Senior",
tbl_analysis_tickets[[#This Row],[agent_experience_years]]&gt;8,"Expert"
)</f>
        <v>Senior</v>
      </c>
      <c r="P491" cm="1">
        <f t="array" ref="P491">_xlfn.SWITCH(tbl_analysis_tickets[[#This Row],[customer_satisfaction]],
"Low",1,
"Medium",2,
"High",3
)</f>
        <v>1</v>
      </c>
      <c r="Q491">
        <f>IF(tbl_analysis_tickets[[#This Row],[reopened]]="Yes",1,0)</f>
        <v>1</v>
      </c>
      <c r="R491" t="str" cm="1">
        <f t="array" ref="R491">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491" t="str" cm="1">
        <f t="array" ref="S49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491" t="str">
        <f>TEXT(tbl_analysis_tickets[[#This Row],[created_date]],"mmm-yyyy")</f>
        <v>May-2024</v>
      </c>
      <c r="U491" t="str">
        <f>TEXT(tbl_analysis_tickets[[#This Row],[created_date]],"dddd")</f>
        <v>Friday</v>
      </c>
      <c r="V491" cm="1">
        <f t="array" ref="V491">_xlfn.SWITCH(tbl_analysis_tickets[[#This Row],[priority]],
"Urgent",1,
"High",2,
"Medium",3,
"Low",4
)</f>
        <v>1</v>
      </c>
    </row>
    <row r="492" spans="1:22" x14ac:dyDescent="0.25">
      <c r="A492">
        <v>491</v>
      </c>
      <c r="B492" s="1">
        <v>45564</v>
      </c>
      <c r="C492" t="s">
        <v>14</v>
      </c>
      <c r="D492" t="s">
        <v>20</v>
      </c>
      <c r="E492">
        <v>70</v>
      </c>
      <c r="F492">
        <v>63</v>
      </c>
      <c r="G492">
        <v>4.0999999999999996</v>
      </c>
      <c r="H492" t="s">
        <v>12</v>
      </c>
      <c r="I492" t="s">
        <v>19</v>
      </c>
      <c r="J492" t="s">
        <v>11</v>
      </c>
      <c r="K492">
        <f>_xlfn.XLOOKUP(tbl_analysis_tickets[[#This Row],[priority]],tbl_sla[priority],tbl_sla[Resolution SLA Hours])</f>
        <v>24</v>
      </c>
      <c r="L492">
        <f>_xlfn.XLOOKUP(tbl_analysis_tickets[[#This Row],[priority]],tbl_sla[priority],tbl_sla[First Response SLA Minutes])</f>
        <v>60</v>
      </c>
      <c r="M492" t="str">
        <f>IF(tbl_analysis_tickets[[#This Row],[resolution_time_hours]]&gt;tbl_analysis_tickets[[#This Row],[Resolution SLA Hours]],"Breached","Within SLA")</f>
        <v>Breached</v>
      </c>
      <c r="N492" t="str">
        <f>IF(tbl_analysis_tickets[[#This Row],[first_response_minutes]]&gt;tbl_analysis_tickets[[#This Row],[First Response SLA Minutes]],"Breached","Within SLA")</f>
        <v>Breached</v>
      </c>
      <c r="O492" t="str" cm="1">
        <f t="array" ref="O492">_xlfn.IFS(
tbl_analysis_tickets[[#This Row],[agent_experience_years]]&lt;=2,"Junior",
tbl_analysis_tickets[[#This Row],[agent_experience_years]]&lt;=5,"Mid-Level",
tbl_analysis_tickets[[#This Row],[agent_experience_years]]&lt;=8,"Senior",
tbl_analysis_tickets[[#This Row],[agent_experience_years]]&gt;8,"Expert"
)</f>
        <v>Mid-Level</v>
      </c>
      <c r="P492" cm="1">
        <f t="array" ref="P492">_xlfn.SWITCH(tbl_analysis_tickets[[#This Row],[customer_satisfaction]],
"Low",1,
"Medium",2,
"High",3
)</f>
        <v>1</v>
      </c>
      <c r="Q492">
        <f>IF(tbl_analysis_tickets[[#This Row],[reopened]]="Yes",1,0)</f>
        <v>1</v>
      </c>
      <c r="R492" t="str" cm="1">
        <f t="array" ref="R492">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492" t="str" cm="1">
        <f t="array" ref="S49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492" t="str">
        <f>TEXT(tbl_analysis_tickets[[#This Row],[created_date]],"mmm-yyyy")</f>
        <v>Sep-2024</v>
      </c>
      <c r="U492" t="str">
        <f>TEXT(tbl_analysis_tickets[[#This Row],[created_date]],"dddd")</f>
        <v>Sunday</v>
      </c>
      <c r="V492" cm="1">
        <f t="array" ref="V492">_xlfn.SWITCH(tbl_analysis_tickets[[#This Row],[priority]],
"Urgent",1,
"High",2,
"Medium",3,
"Low",4
)</f>
        <v>2</v>
      </c>
    </row>
    <row r="493" spans="1:22" x14ac:dyDescent="0.25">
      <c r="A493">
        <v>492</v>
      </c>
      <c r="B493" s="1">
        <v>45438</v>
      </c>
      <c r="C493" t="s">
        <v>22</v>
      </c>
      <c r="D493" t="s">
        <v>17</v>
      </c>
      <c r="E493">
        <v>45</v>
      </c>
      <c r="F493">
        <v>65</v>
      </c>
      <c r="G493">
        <v>9.5</v>
      </c>
      <c r="H493" t="s">
        <v>18</v>
      </c>
      <c r="I493" t="s">
        <v>19</v>
      </c>
      <c r="J493" t="s">
        <v>11</v>
      </c>
      <c r="K493">
        <f>_xlfn.XLOOKUP(tbl_analysis_tickets[[#This Row],[priority]],tbl_sla[priority],tbl_sla[Resolution SLA Hours])</f>
        <v>8</v>
      </c>
      <c r="L493">
        <f>_xlfn.XLOOKUP(tbl_analysis_tickets[[#This Row],[priority]],tbl_sla[priority],tbl_sla[First Response SLA Minutes])</f>
        <v>30</v>
      </c>
      <c r="M493" t="str">
        <f>IF(tbl_analysis_tickets[[#This Row],[resolution_time_hours]]&gt;tbl_analysis_tickets[[#This Row],[Resolution SLA Hours]],"Breached","Within SLA")</f>
        <v>Breached</v>
      </c>
      <c r="N493" t="str">
        <f>IF(tbl_analysis_tickets[[#This Row],[first_response_minutes]]&gt;tbl_analysis_tickets[[#This Row],[First Response SLA Minutes]],"Breached","Within SLA")</f>
        <v>Breached</v>
      </c>
      <c r="O493" t="str" cm="1">
        <f t="array" ref="O493">_xlfn.IFS(
tbl_analysis_tickets[[#This Row],[agent_experience_years]]&lt;=2,"Junior",
tbl_analysis_tickets[[#This Row],[agent_experience_years]]&lt;=5,"Mid-Level",
tbl_analysis_tickets[[#This Row],[agent_experience_years]]&lt;=8,"Senior",
tbl_analysis_tickets[[#This Row],[agent_experience_years]]&gt;8,"Expert"
)</f>
        <v>Expert</v>
      </c>
      <c r="P493" cm="1">
        <f t="array" ref="P493">_xlfn.SWITCH(tbl_analysis_tickets[[#This Row],[customer_satisfaction]],
"Low",1,
"Medium",2,
"High",3
)</f>
        <v>1</v>
      </c>
      <c r="Q493">
        <f>IF(tbl_analysis_tickets[[#This Row],[reopened]]="Yes",1,0)</f>
        <v>0</v>
      </c>
      <c r="R493" t="str" cm="1">
        <f t="array" ref="R493">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493" t="str" cm="1">
        <f t="array" ref="S49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493" t="str">
        <f>TEXT(tbl_analysis_tickets[[#This Row],[created_date]],"mmm-yyyy")</f>
        <v>May-2024</v>
      </c>
      <c r="U493" t="str">
        <f>TEXT(tbl_analysis_tickets[[#This Row],[created_date]],"dddd")</f>
        <v>Sunday</v>
      </c>
      <c r="V493" cm="1">
        <f t="array" ref="V493">_xlfn.SWITCH(tbl_analysis_tickets[[#This Row],[priority]],
"Urgent",1,
"High",2,
"Medium",3,
"Low",4
)</f>
        <v>1</v>
      </c>
    </row>
    <row r="494" spans="1:22" x14ac:dyDescent="0.25">
      <c r="A494">
        <v>493</v>
      </c>
      <c r="B494" s="1">
        <v>45333</v>
      </c>
      <c r="C494" t="s">
        <v>10</v>
      </c>
      <c r="D494" t="s">
        <v>20</v>
      </c>
      <c r="E494">
        <v>143</v>
      </c>
      <c r="F494">
        <v>57</v>
      </c>
      <c r="G494">
        <v>8.6999999999999993</v>
      </c>
      <c r="H494" t="s">
        <v>18</v>
      </c>
      <c r="I494" t="s">
        <v>19</v>
      </c>
      <c r="J494" t="s">
        <v>11</v>
      </c>
      <c r="K494">
        <f>_xlfn.XLOOKUP(tbl_analysis_tickets[[#This Row],[priority]],tbl_sla[priority],tbl_sla[Resolution SLA Hours])</f>
        <v>24</v>
      </c>
      <c r="L494">
        <f>_xlfn.XLOOKUP(tbl_analysis_tickets[[#This Row],[priority]],tbl_sla[priority],tbl_sla[First Response SLA Minutes])</f>
        <v>60</v>
      </c>
      <c r="M494" t="str">
        <f>IF(tbl_analysis_tickets[[#This Row],[resolution_time_hours]]&gt;tbl_analysis_tickets[[#This Row],[Resolution SLA Hours]],"Breached","Within SLA")</f>
        <v>Breached</v>
      </c>
      <c r="N494" t="str">
        <f>IF(tbl_analysis_tickets[[#This Row],[first_response_minutes]]&gt;tbl_analysis_tickets[[#This Row],[First Response SLA Minutes]],"Breached","Within SLA")</f>
        <v>Breached</v>
      </c>
      <c r="O494" t="str" cm="1">
        <f t="array" ref="O494">_xlfn.IFS(
tbl_analysis_tickets[[#This Row],[agent_experience_years]]&lt;=2,"Junior",
tbl_analysis_tickets[[#This Row],[agent_experience_years]]&lt;=5,"Mid-Level",
tbl_analysis_tickets[[#This Row],[agent_experience_years]]&lt;=8,"Senior",
tbl_analysis_tickets[[#This Row],[agent_experience_years]]&gt;8,"Expert"
)</f>
        <v>Expert</v>
      </c>
      <c r="P494" cm="1">
        <f t="array" ref="P494">_xlfn.SWITCH(tbl_analysis_tickets[[#This Row],[customer_satisfaction]],
"Low",1,
"Medium",2,
"High",3
)</f>
        <v>1</v>
      </c>
      <c r="Q494">
        <f>IF(tbl_analysis_tickets[[#This Row],[reopened]]="Yes",1,0)</f>
        <v>0</v>
      </c>
      <c r="R494" t="str" cm="1">
        <f t="array" ref="R494">_xlfn.IFS(
tbl_analysis_tickets[[#This Row],[first_response_minutes]]&lt;=30,"Very Fast",
tbl_analysis_tickets[[#This Row],[first_response_minutes]]&lt;=120,"Acceptable",
tbl_analysis_tickets[[#This Row],[first_response_minutes]]&lt;=240,"Slow",
tbl_analysis_tickets[[#This Row],[first_response_minutes]]&gt;240,"Very Slow"
)</f>
        <v>Slow</v>
      </c>
      <c r="S494" t="str" cm="1">
        <f t="array" ref="S49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494" t="str">
        <f>TEXT(tbl_analysis_tickets[[#This Row],[created_date]],"mmm-yyyy")</f>
        <v>Feb-2024</v>
      </c>
      <c r="U494" t="str">
        <f>TEXT(tbl_analysis_tickets[[#This Row],[created_date]],"dddd")</f>
        <v>Sunday</v>
      </c>
      <c r="V494" cm="1">
        <f t="array" ref="V494">_xlfn.SWITCH(tbl_analysis_tickets[[#This Row],[priority]],
"Urgent",1,
"High",2,
"Medium",3,
"Low",4
)</f>
        <v>2</v>
      </c>
    </row>
    <row r="495" spans="1:22" x14ac:dyDescent="0.25">
      <c r="A495">
        <v>494</v>
      </c>
      <c r="B495" s="1">
        <v>45626</v>
      </c>
      <c r="C495" t="s">
        <v>22</v>
      </c>
      <c r="D495" t="s">
        <v>20</v>
      </c>
      <c r="E495">
        <v>139</v>
      </c>
      <c r="F495">
        <v>63</v>
      </c>
      <c r="G495">
        <v>2.5</v>
      </c>
      <c r="H495" t="s">
        <v>12</v>
      </c>
      <c r="I495" t="s">
        <v>16</v>
      </c>
      <c r="J495" t="s">
        <v>11</v>
      </c>
      <c r="K495">
        <f>_xlfn.XLOOKUP(tbl_analysis_tickets[[#This Row],[priority]],tbl_sla[priority],tbl_sla[Resolution SLA Hours])</f>
        <v>24</v>
      </c>
      <c r="L495">
        <f>_xlfn.XLOOKUP(tbl_analysis_tickets[[#This Row],[priority]],tbl_sla[priority],tbl_sla[First Response SLA Minutes])</f>
        <v>60</v>
      </c>
      <c r="M495" t="str">
        <f>IF(tbl_analysis_tickets[[#This Row],[resolution_time_hours]]&gt;tbl_analysis_tickets[[#This Row],[Resolution SLA Hours]],"Breached","Within SLA")</f>
        <v>Breached</v>
      </c>
      <c r="N495" t="str">
        <f>IF(tbl_analysis_tickets[[#This Row],[first_response_minutes]]&gt;tbl_analysis_tickets[[#This Row],[First Response SLA Minutes]],"Breached","Within SLA")</f>
        <v>Breached</v>
      </c>
      <c r="O495" t="str" cm="1">
        <f t="array" ref="O495">_xlfn.IFS(
tbl_analysis_tickets[[#This Row],[agent_experience_years]]&lt;=2,"Junior",
tbl_analysis_tickets[[#This Row],[agent_experience_years]]&lt;=5,"Mid-Level",
tbl_analysis_tickets[[#This Row],[agent_experience_years]]&lt;=8,"Senior",
tbl_analysis_tickets[[#This Row],[agent_experience_years]]&gt;8,"Expert"
)</f>
        <v>Mid-Level</v>
      </c>
      <c r="P495" cm="1">
        <f t="array" ref="P495">_xlfn.SWITCH(tbl_analysis_tickets[[#This Row],[customer_satisfaction]],
"Low",1,
"Medium",2,
"High",3
)</f>
        <v>1</v>
      </c>
      <c r="Q495">
        <f>IF(tbl_analysis_tickets[[#This Row],[reopened]]="Yes",1,0)</f>
        <v>1</v>
      </c>
      <c r="R495" t="str" cm="1">
        <f t="array" ref="R495">_xlfn.IFS(
tbl_analysis_tickets[[#This Row],[first_response_minutes]]&lt;=30,"Very Fast",
tbl_analysis_tickets[[#This Row],[first_response_minutes]]&lt;=120,"Acceptable",
tbl_analysis_tickets[[#This Row],[first_response_minutes]]&lt;=240,"Slow",
tbl_analysis_tickets[[#This Row],[first_response_minutes]]&gt;240,"Very Slow"
)</f>
        <v>Slow</v>
      </c>
      <c r="S495" t="str" cm="1">
        <f t="array" ref="S49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495" t="str">
        <f>TEXT(tbl_analysis_tickets[[#This Row],[created_date]],"mmm-yyyy")</f>
        <v>Nov-2024</v>
      </c>
      <c r="U495" t="str">
        <f>TEXT(tbl_analysis_tickets[[#This Row],[created_date]],"dddd")</f>
        <v>Saturday</v>
      </c>
      <c r="V495" cm="1">
        <f t="array" ref="V495">_xlfn.SWITCH(tbl_analysis_tickets[[#This Row],[priority]],
"Urgent",1,
"High",2,
"Medium",3,
"Low",4
)</f>
        <v>2</v>
      </c>
    </row>
    <row r="496" spans="1:22" x14ac:dyDescent="0.25">
      <c r="A496">
        <v>495</v>
      </c>
      <c r="B496" s="1">
        <v>45477</v>
      </c>
      <c r="C496" t="s">
        <v>10</v>
      </c>
      <c r="D496" t="s">
        <v>11</v>
      </c>
      <c r="E496">
        <v>64</v>
      </c>
      <c r="F496">
        <v>58</v>
      </c>
      <c r="G496">
        <v>3.3</v>
      </c>
      <c r="H496" t="s">
        <v>12</v>
      </c>
      <c r="I496" t="s">
        <v>19</v>
      </c>
      <c r="J496" t="s">
        <v>11</v>
      </c>
      <c r="K496">
        <f>_xlfn.XLOOKUP(tbl_analysis_tickets[[#This Row],[priority]],tbl_sla[priority],tbl_sla[Resolution SLA Hours])</f>
        <v>72</v>
      </c>
      <c r="L496">
        <f>_xlfn.XLOOKUP(tbl_analysis_tickets[[#This Row],[priority]],tbl_sla[priority],tbl_sla[First Response SLA Minutes])</f>
        <v>240</v>
      </c>
      <c r="M496" t="str">
        <f>IF(tbl_analysis_tickets[[#This Row],[resolution_time_hours]]&gt;tbl_analysis_tickets[[#This Row],[Resolution SLA Hours]],"Breached","Within SLA")</f>
        <v>Within SLA</v>
      </c>
      <c r="N496" t="str">
        <f>IF(tbl_analysis_tickets[[#This Row],[first_response_minutes]]&gt;tbl_analysis_tickets[[#This Row],[First Response SLA Minutes]],"Breached","Within SLA")</f>
        <v>Within SLA</v>
      </c>
      <c r="O496" t="str" cm="1">
        <f t="array" ref="O496">_xlfn.IFS(
tbl_analysis_tickets[[#This Row],[agent_experience_years]]&lt;=2,"Junior",
tbl_analysis_tickets[[#This Row],[agent_experience_years]]&lt;=5,"Mid-Level",
tbl_analysis_tickets[[#This Row],[agent_experience_years]]&lt;=8,"Senior",
tbl_analysis_tickets[[#This Row],[agent_experience_years]]&gt;8,"Expert"
)</f>
        <v>Mid-Level</v>
      </c>
      <c r="P496" cm="1">
        <f t="array" ref="P496">_xlfn.SWITCH(tbl_analysis_tickets[[#This Row],[customer_satisfaction]],
"Low",1,
"Medium",2,
"High",3
)</f>
        <v>1</v>
      </c>
      <c r="Q496">
        <f>IF(tbl_analysis_tickets[[#This Row],[reopened]]="Yes",1,0)</f>
        <v>1</v>
      </c>
      <c r="R496" t="str" cm="1">
        <f t="array" ref="R496">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496" t="str" cm="1">
        <f t="array" ref="S49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496" t="str">
        <f>TEXT(tbl_analysis_tickets[[#This Row],[created_date]],"mmm-yyyy")</f>
        <v>Jul-2024</v>
      </c>
      <c r="U496" t="str">
        <f>TEXT(tbl_analysis_tickets[[#This Row],[created_date]],"dddd")</f>
        <v>Thursday</v>
      </c>
      <c r="V496" cm="1">
        <f t="array" ref="V496">_xlfn.SWITCH(tbl_analysis_tickets[[#This Row],[priority]],
"Urgent",1,
"High",2,
"Medium",3,
"Low",4
)</f>
        <v>4</v>
      </c>
    </row>
    <row r="497" spans="1:22" x14ac:dyDescent="0.25">
      <c r="A497">
        <v>496</v>
      </c>
      <c r="B497" s="1">
        <v>45623</v>
      </c>
      <c r="C497" t="s">
        <v>21</v>
      </c>
      <c r="D497" t="s">
        <v>11</v>
      </c>
      <c r="E497">
        <v>184</v>
      </c>
      <c r="F497">
        <v>29</v>
      </c>
      <c r="G497">
        <v>1.7</v>
      </c>
      <c r="H497" t="s">
        <v>18</v>
      </c>
      <c r="I497" t="s">
        <v>16</v>
      </c>
      <c r="J497" t="s">
        <v>11</v>
      </c>
      <c r="K497">
        <f>_xlfn.XLOOKUP(tbl_analysis_tickets[[#This Row],[priority]],tbl_sla[priority],tbl_sla[Resolution SLA Hours])</f>
        <v>72</v>
      </c>
      <c r="L497">
        <f>_xlfn.XLOOKUP(tbl_analysis_tickets[[#This Row],[priority]],tbl_sla[priority],tbl_sla[First Response SLA Minutes])</f>
        <v>240</v>
      </c>
      <c r="M497" t="str">
        <f>IF(tbl_analysis_tickets[[#This Row],[resolution_time_hours]]&gt;tbl_analysis_tickets[[#This Row],[Resolution SLA Hours]],"Breached","Within SLA")</f>
        <v>Within SLA</v>
      </c>
      <c r="N497" t="str">
        <f>IF(tbl_analysis_tickets[[#This Row],[first_response_minutes]]&gt;tbl_analysis_tickets[[#This Row],[First Response SLA Minutes]],"Breached","Within SLA")</f>
        <v>Within SLA</v>
      </c>
      <c r="O497" t="str" cm="1">
        <f t="array" ref="O497">_xlfn.IFS(
tbl_analysis_tickets[[#This Row],[agent_experience_years]]&lt;=2,"Junior",
tbl_analysis_tickets[[#This Row],[agent_experience_years]]&lt;=5,"Mid-Level",
tbl_analysis_tickets[[#This Row],[agent_experience_years]]&lt;=8,"Senior",
tbl_analysis_tickets[[#This Row],[agent_experience_years]]&gt;8,"Expert"
)</f>
        <v>Junior</v>
      </c>
      <c r="P497" cm="1">
        <f t="array" ref="P497">_xlfn.SWITCH(tbl_analysis_tickets[[#This Row],[customer_satisfaction]],
"Low",1,
"Medium",2,
"High",3
)</f>
        <v>1</v>
      </c>
      <c r="Q497">
        <f>IF(tbl_analysis_tickets[[#This Row],[reopened]]="Yes",1,0)</f>
        <v>0</v>
      </c>
      <c r="R497" t="str" cm="1">
        <f t="array" ref="R497">_xlfn.IFS(
tbl_analysis_tickets[[#This Row],[first_response_minutes]]&lt;=30,"Very Fast",
tbl_analysis_tickets[[#This Row],[first_response_minutes]]&lt;=120,"Acceptable",
tbl_analysis_tickets[[#This Row],[first_response_minutes]]&lt;=240,"Slow",
tbl_analysis_tickets[[#This Row],[first_response_minutes]]&gt;240,"Very Slow"
)</f>
        <v>Slow</v>
      </c>
      <c r="S497" t="str" cm="1">
        <f t="array" ref="S49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497" t="str">
        <f>TEXT(tbl_analysis_tickets[[#This Row],[created_date]],"mmm-yyyy")</f>
        <v>Nov-2024</v>
      </c>
      <c r="U497" t="str">
        <f>TEXT(tbl_analysis_tickets[[#This Row],[created_date]],"dddd")</f>
        <v>Wednesday</v>
      </c>
      <c r="V497" cm="1">
        <f t="array" ref="V497">_xlfn.SWITCH(tbl_analysis_tickets[[#This Row],[priority]],
"Urgent",1,
"High",2,
"Medium",3,
"Low",4
)</f>
        <v>4</v>
      </c>
    </row>
    <row r="498" spans="1:22" x14ac:dyDescent="0.25">
      <c r="A498">
        <v>497</v>
      </c>
      <c r="B498" s="1">
        <v>45440</v>
      </c>
      <c r="C498" t="s">
        <v>10</v>
      </c>
      <c r="D498" t="s">
        <v>15</v>
      </c>
      <c r="E498">
        <v>140</v>
      </c>
      <c r="F498">
        <v>38</v>
      </c>
      <c r="G498">
        <v>0.9</v>
      </c>
      <c r="H498" t="s">
        <v>12</v>
      </c>
      <c r="I498" t="s">
        <v>13</v>
      </c>
      <c r="J498" t="s">
        <v>11</v>
      </c>
      <c r="K498">
        <f>_xlfn.XLOOKUP(tbl_analysis_tickets[[#This Row],[priority]],tbl_sla[priority],tbl_sla[Resolution SLA Hours])</f>
        <v>48</v>
      </c>
      <c r="L498">
        <f>_xlfn.XLOOKUP(tbl_analysis_tickets[[#This Row],[priority]],tbl_sla[priority],tbl_sla[First Response SLA Minutes])</f>
        <v>120</v>
      </c>
      <c r="M498" t="str">
        <f>IF(tbl_analysis_tickets[[#This Row],[resolution_time_hours]]&gt;tbl_analysis_tickets[[#This Row],[Resolution SLA Hours]],"Breached","Within SLA")</f>
        <v>Within SLA</v>
      </c>
      <c r="N498" t="str">
        <f>IF(tbl_analysis_tickets[[#This Row],[first_response_minutes]]&gt;tbl_analysis_tickets[[#This Row],[First Response SLA Minutes]],"Breached","Within SLA")</f>
        <v>Breached</v>
      </c>
      <c r="O498" t="str" cm="1">
        <f t="array" ref="O498">_xlfn.IFS(
tbl_analysis_tickets[[#This Row],[agent_experience_years]]&lt;=2,"Junior",
tbl_analysis_tickets[[#This Row],[agent_experience_years]]&lt;=5,"Mid-Level",
tbl_analysis_tickets[[#This Row],[agent_experience_years]]&lt;=8,"Senior",
tbl_analysis_tickets[[#This Row],[agent_experience_years]]&gt;8,"Expert"
)</f>
        <v>Junior</v>
      </c>
      <c r="P498" cm="1">
        <f t="array" ref="P498">_xlfn.SWITCH(tbl_analysis_tickets[[#This Row],[customer_satisfaction]],
"Low",1,
"Medium",2,
"High",3
)</f>
        <v>1</v>
      </c>
      <c r="Q498">
        <f>IF(tbl_analysis_tickets[[#This Row],[reopened]]="Yes",1,0)</f>
        <v>1</v>
      </c>
      <c r="R498" t="str" cm="1">
        <f t="array" ref="R498">_xlfn.IFS(
tbl_analysis_tickets[[#This Row],[first_response_minutes]]&lt;=30,"Very Fast",
tbl_analysis_tickets[[#This Row],[first_response_minutes]]&lt;=120,"Acceptable",
tbl_analysis_tickets[[#This Row],[first_response_minutes]]&lt;=240,"Slow",
tbl_analysis_tickets[[#This Row],[first_response_minutes]]&gt;240,"Very Slow"
)</f>
        <v>Slow</v>
      </c>
      <c r="S498" t="str" cm="1">
        <f t="array" ref="S49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498" t="str">
        <f>TEXT(tbl_analysis_tickets[[#This Row],[created_date]],"mmm-yyyy")</f>
        <v>May-2024</v>
      </c>
      <c r="U498" t="str">
        <f>TEXT(tbl_analysis_tickets[[#This Row],[created_date]],"dddd")</f>
        <v>Tuesday</v>
      </c>
      <c r="V498" cm="1">
        <f t="array" ref="V498">_xlfn.SWITCH(tbl_analysis_tickets[[#This Row],[priority]],
"Urgent",1,
"High",2,
"Medium",3,
"Low",4
)</f>
        <v>3</v>
      </c>
    </row>
    <row r="499" spans="1:22" x14ac:dyDescent="0.25">
      <c r="A499">
        <v>498</v>
      </c>
      <c r="B499" s="1">
        <v>45550</v>
      </c>
      <c r="C499" t="s">
        <v>21</v>
      </c>
      <c r="D499" t="s">
        <v>17</v>
      </c>
      <c r="E499">
        <v>24</v>
      </c>
      <c r="F499">
        <v>52</v>
      </c>
      <c r="G499">
        <v>5.6</v>
      </c>
      <c r="H499" t="s">
        <v>18</v>
      </c>
      <c r="I499" t="s">
        <v>16</v>
      </c>
      <c r="J499" t="s">
        <v>15</v>
      </c>
      <c r="K499">
        <f>_xlfn.XLOOKUP(tbl_analysis_tickets[[#This Row],[priority]],tbl_sla[priority],tbl_sla[Resolution SLA Hours])</f>
        <v>8</v>
      </c>
      <c r="L499">
        <f>_xlfn.XLOOKUP(tbl_analysis_tickets[[#This Row],[priority]],tbl_sla[priority],tbl_sla[First Response SLA Minutes])</f>
        <v>30</v>
      </c>
      <c r="M499" t="str">
        <f>IF(tbl_analysis_tickets[[#This Row],[resolution_time_hours]]&gt;tbl_analysis_tickets[[#This Row],[Resolution SLA Hours]],"Breached","Within SLA")</f>
        <v>Breached</v>
      </c>
      <c r="N499" t="str">
        <f>IF(tbl_analysis_tickets[[#This Row],[first_response_minutes]]&gt;tbl_analysis_tickets[[#This Row],[First Response SLA Minutes]],"Breached","Within SLA")</f>
        <v>Within SLA</v>
      </c>
      <c r="O499" t="str" cm="1">
        <f t="array" ref="O499">_xlfn.IFS(
tbl_analysis_tickets[[#This Row],[agent_experience_years]]&lt;=2,"Junior",
tbl_analysis_tickets[[#This Row],[agent_experience_years]]&lt;=5,"Mid-Level",
tbl_analysis_tickets[[#This Row],[agent_experience_years]]&lt;=8,"Senior",
tbl_analysis_tickets[[#This Row],[agent_experience_years]]&gt;8,"Expert"
)</f>
        <v>Senior</v>
      </c>
      <c r="P499" cm="1">
        <f t="array" ref="P499">_xlfn.SWITCH(tbl_analysis_tickets[[#This Row],[customer_satisfaction]],
"Low",1,
"Medium",2,
"High",3
)</f>
        <v>2</v>
      </c>
      <c r="Q499">
        <f>IF(tbl_analysis_tickets[[#This Row],[reopened]]="Yes",1,0)</f>
        <v>0</v>
      </c>
      <c r="R499" t="str" cm="1">
        <f t="array" ref="R499">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499" t="str" cm="1">
        <f t="array" ref="S49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499" t="str">
        <f>TEXT(tbl_analysis_tickets[[#This Row],[created_date]],"mmm-yyyy")</f>
        <v>Sep-2024</v>
      </c>
      <c r="U499" t="str">
        <f>TEXT(tbl_analysis_tickets[[#This Row],[created_date]],"dddd")</f>
        <v>Sunday</v>
      </c>
      <c r="V499" cm="1">
        <f t="array" ref="V499">_xlfn.SWITCH(tbl_analysis_tickets[[#This Row],[priority]],
"Urgent",1,
"High",2,
"Medium",3,
"Low",4
)</f>
        <v>1</v>
      </c>
    </row>
    <row r="500" spans="1:22" x14ac:dyDescent="0.25">
      <c r="A500">
        <v>499</v>
      </c>
      <c r="B500" s="1">
        <v>45571</v>
      </c>
      <c r="C500" t="s">
        <v>21</v>
      </c>
      <c r="D500" t="s">
        <v>11</v>
      </c>
      <c r="E500">
        <v>165</v>
      </c>
      <c r="F500">
        <v>38</v>
      </c>
      <c r="G500">
        <v>3.8</v>
      </c>
      <c r="H500" t="s">
        <v>18</v>
      </c>
      <c r="I500" t="s">
        <v>13</v>
      </c>
      <c r="J500" t="s">
        <v>11</v>
      </c>
      <c r="K500">
        <f>_xlfn.XLOOKUP(tbl_analysis_tickets[[#This Row],[priority]],tbl_sla[priority],tbl_sla[Resolution SLA Hours])</f>
        <v>72</v>
      </c>
      <c r="L500">
        <f>_xlfn.XLOOKUP(tbl_analysis_tickets[[#This Row],[priority]],tbl_sla[priority],tbl_sla[First Response SLA Minutes])</f>
        <v>240</v>
      </c>
      <c r="M500" t="str">
        <f>IF(tbl_analysis_tickets[[#This Row],[resolution_time_hours]]&gt;tbl_analysis_tickets[[#This Row],[Resolution SLA Hours]],"Breached","Within SLA")</f>
        <v>Within SLA</v>
      </c>
      <c r="N500" t="str">
        <f>IF(tbl_analysis_tickets[[#This Row],[first_response_minutes]]&gt;tbl_analysis_tickets[[#This Row],[First Response SLA Minutes]],"Breached","Within SLA")</f>
        <v>Within SLA</v>
      </c>
      <c r="O500" t="str" cm="1">
        <f t="array" ref="O500">_xlfn.IFS(
tbl_analysis_tickets[[#This Row],[agent_experience_years]]&lt;=2,"Junior",
tbl_analysis_tickets[[#This Row],[agent_experience_years]]&lt;=5,"Mid-Level",
tbl_analysis_tickets[[#This Row],[agent_experience_years]]&lt;=8,"Senior",
tbl_analysis_tickets[[#This Row],[agent_experience_years]]&gt;8,"Expert"
)</f>
        <v>Mid-Level</v>
      </c>
      <c r="P500" cm="1">
        <f t="array" ref="P500">_xlfn.SWITCH(tbl_analysis_tickets[[#This Row],[customer_satisfaction]],
"Low",1,
"Medium",2,
"High",3
)</f>
        <v>1</v>
      </c>
      <c r="Q500">
        <f>IF(tbl_analysis_tickets[[#This Row],[reopened]]="Yes",1,0)</f>
        <v>0</v>
      </c>
      <c r="R500" t="str" cm="1">
        <f t="array" ref="R500">_xlfn.IFS(
tbl_analysis_tickets[[#This Row],[first_response_minutes]]&lt;=30,"Very Fast",
tbl_analysis_tickets[[#This Row],[first_response_minutes]]&lt;=120,"Acceptable",
tbl_analysis_tickets[[#This Row],[first_response_minutes]]&lt;=240,"Slow",
tbl_analysis_tickets[[#This Row],[first_response_minutes]]&gt;240,"Very Slow"
)</f>
        <v>Slow</v>
      </c>
      <c r="S500" t="str" cm="1">
        <f t="array" ref="S50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500" t="str">
        <f>TEXT(tbl_analysis_tickets[[#This Row],[created_date]],"mmm-yyyy")</f>
        <v>Oct-2024</v>
      </c>
      <c r="U500" t="str">
        <f>TEXT(tbl_analysis_tickets[[#This Row],[created_date]],"dddd")</f>
        <v>Sunday</v>
      </c>
      <c r="V500" cm="1">
        <f t="array" ref="V500">_xlfn.SWITCH(tbl_analysis_tickets[[#This Row],[priority]],
"Urgent",1,
"High",2,
"Medium",3,
"Low",4
)</f>
        <v>4</v>
      </c>
    </row>
    <row r="501" spans="1:22" x14ac:dyDescent="0.25">
      <c r="A501">
        <v>500</v>
      </c>
      <c r="B501" s="1">
        <v>45438</v>
      </c>
      <c r="C501" t="s">
        <v>22</v>
      </c>
      <c r="D501" t="s">
        <v>17</v>
      </c>
      <c r="E501">
        <v>131</v>
      </c>
      <c r="F501">
        <v>25</v>
      </c>
      <c r="G501">
        <v>7.7</v>
      </c>
      <c r="H501" t="s">
        <v>12</v>
      </c>
      <c r="I501" t="s">
        <v>16</v>
      </c>
      <c r="J501" t="s">
        <v>11</v>
      </c>
      <c r="K501">
        <f>_xlfn.XLOOKUP(tbl_analysis_tickets[[#This Row],[priority]],tbl_sla[priority],tbl_sla[Resolution SLA Hours])</f>
        <v>8</v>
      </c>
      <c r="L501">
        <f>_xlfn.XLOOKUP(tbl_analysis_tickets[[#This Row],[priority]],tbl_sla[priority],tbl_sla[First Response SLA Minutes])</f>
        <v>30</v>
      </c>
      <c r="M501" t="str">
        <f>IF(tbl_analysis_tickets[[#This Row],[resolution_time_hours]]&gt;tbl_analysis_tickets[[#This Row],[Resolution SLA Hours]],"Breached","Within SLA")</f>
        <v>Breached</v>
      </c>
      <c r="N501" t="str">
        <f>IF(tbl_analysis_tickets[[#This Row],[first_response_minutes]]&gt;tbl_analysis_tickets[[#This Row],[First Response SLA Minutes]],"Breached","Within SLA")</f>
        <v>Breached</v>
      </c>
      <c r="O501" t="str" cm="1">
        <f t="array" ref="O501">_xlfn.IFS(
tbl_analysis_tickets[[#This Row],[agent_experience_years]]&lt;=2,"Junior",
tbl_analysis_tickets[[#This Row],[agent_experience_years]]&lt;=5,"Mid-Level",
tbl_analysis_tickets[[#This Row],[agent_experience_years]]&lt;=8,"Senior",
tbl_analysis_tickets[[#This Row],[agent_experience_years]]&gt;8,"Expert"
)</f>
        <v>Senior</v>
      </c>
      <c r="P501" cm="1">
        <f t="array" ref="P501">_xlfn.SWITCH(tbl_analysis_tickets[[#This Row],[customer_satisfaction]],
"Low",1,
"Medium",2,
"High",3
)</f>
        <v>1</v>
      </c>
      <c r="Q501">
        <f>IF(tbl_analysis_tickets[[#This Row],[reopened]]="Yes",1,0)</f>
        <v>1</v>
      </c>
      <c r="R501" t="str" cm="1">
        <f t="array" ref="R501">_xlfn.IFS(
tbl_analysis_tickets[[#This Row],[first_response_minutes]]&lt;=30,"Very Fast",
tbl_analysis_tickets[[#This Row],[first_response_minutes]]&lt;=120,"Acceptable",
tbl_analysis_tickets[[#This Row],[first_response_minutes]]&lt;=240,"Slow",
tbl_analysis_tickets[[#This Row],[first_response_minutes]]&gt;240,"Very Slow"
)</f>
        <v>Slow</v>
      </c>
      <c r="S501" t="str" cm="1">
        <f t="array" ref="S50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501" t="str">
        <f>TEXT(tbl_analysis_tickets[[#This Row],[created_date]],"mmm-yyyy")</f>
        <v>May-2024</v>
      </c>
      <c r="U501" t="str">
        <f>TEXT(tbl_analysis_tickets[[#This Row],[created_date]],"dddd")</f>
        <v>Sunday</v>
      </c>
      <c r="V501" cm="1">
        <f t="array" ref="V501">_xlfn.SWITCH(tbl_analysis_tickets[[#This Row],[priority]],
"Urgent",1,
"High",2,
"Medium",3,
"Low",4
)</f>
        <v>1</v>
      </c>
    </row>
    <row r="502" spans="1:22" x14ac:dyDescent="0.25">
      <c r="A502">
        <v>501</v>
      </c>
      <c r="B502" s="1">
        <v>45537</v>
      </c>
      <c r="C502" t="s">
        <v>23</v>
      </c>
      <c r="D502" t="s">
        <v>15</v>
      </c>
      <c r="E502">
        <v>5</v>
      </c>
      <c r="F502">
        <v>24</v>
      </c>
      <c r="G502">
        <v>5</v>
      </c>
      <c r="H502" t="s">
        <v>18</v>
      </c>
      <c r="I502" t="s">
        <v>13</v>
      </c>
      <c r="J502" t="s">
        <v>20</v>
      </c>
      <c r="K502">
        <f>_xlfn.XLOOKUP(tbl_analysis_tickets[[#This Row],[priority]],tbl_sla[priority],tbl_sla[Resolution SLA Hours])</f>
        <v>48</v>
      </c>
      <c r="L502">
        <f>_xlfn.XLOOKUP(tbl_analysis_tickets[[#This Row],[priority]],tbl_sla[priority],tbl_sla[First Response SLA Minutes])</f>
        <v>120</v>
      </c>
      <c r="M502" t="str">
        <f>IF(tbl_analysis_tickets[[#This Row],[resolution_time_hours]]&gt;tbl_analysis_tickets[[#This Row],[Resolution SLA Hours]],"Breached","Within SLA")</f>
        <v>Within SLA</v>
      </c>
      <c r="N502" t="str">
        <f>IF(tbl_analysis_tickets[[#This Row],[first_response_minutes]]&gt;tbl_analysis_tickets[[#This Row],[First Response SLA Minutes]],"Breached","Within SLA")</f>
        <v>Within SLA</v>
      </c>
      <c r="O502" t="str" cm="1">
        <f t="array" ref="O502">_xlfn.IFS(
tbl_analysis_tickets[[#This Row],[agent_experience_years]]&lt;=2,"Junior",
tbl_analysis_tickets[[#This Row],[agent_experience_years]]&lt;=5,"Mid-Level",
tbl_analysis_tickets[[#This Row],[agent_experience_years]]&lt;=8,"Senior",
tbl_analysis_tickets[[#This Row],[agent_experience_years]]&gt;8,"Expert"
)</f>
        <v>Mid-Level</v>
      </c>
      <c r="P502" cm="1">
        <f t="array" ref="P502">_xlfn.SWITCH(tbl_analysis_tickets[[#This Row],[customer_satisfaction]],
"Low",1,
"Medium",2,
"High",3
)</f>
        <v>3</v>
      </c>
      <c r="Q502">
        <f>IF(tbl_analysis_tickets[[#This Row],[reopened]]="Yes",1,0)</f>
        <v>0</v>
      </c>
      <c r="R502" t="str" cm="1">
        <f t="array" ref="R502">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502" t="str" cm="1">
        <f t="array" ref="S50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502" t="str">
        <f>TEXT(tbl_analysis_tickets[[#This Row],[created_date]],"mmm-yyyy")</f>
        <v>Sep-2024</v>
      </c>
      <c r="U502" t="str">
        <f>TEXT(tbl_analysis_tickets[[#This Row],[created_date]],"dddd")</f>
        <v>Monday</v>
      </c>
      <c r="V502" cm="1">
        <f t="array" ref="V502">_xlfn.SWITCH(tbl_analysis_tickets[[#This Row],[priority]],
"Urgent",1,
"High",2,
"Medium",3,
"Low",4
)</f>
        <v>3</v>
      </c>
    </row>
    <row r="503" spans="1:22" x14ac:dyDescent="0.25">
      <c r="A503">
        <v>502</v>
      </c>
      <c r="B503" s="1">
        <v>45495</v>
      </c>
      <c r="C503" t="s">
        <v>21</v>
      </c>
      <c r="D503" t="s">
        <v>20</v>
      </c>
      <c r="E503">
        <v>68</v>
      </c>
      <c r="F503">
        <v>29</v>
      </c>
      <c r="G503">
        <v>7.7</v>
      </c>
      <c r="H503" t="s">
        <v>18</v>
      </c>
      <c r="I503" t="s">
        <v>16</v>
      </c>
      <c r="J503" t="s">
        <v>11</v>
      </c>
      <c r="K503">
        <f>_xlfn.XLOOKUP(tbl_analysis_tickets[[#This Row],[priority]],tbl_sla[priority],tbl_sla[Resolution SLA Hours])</f>
        <v>24</v>
      </c>
      <c r="L503">
        <f>_xlfn.XLOOKUP(tbl_analysis_tickets[[#This Row],[priority]],tbl_sla[priority],tbl_sla[First Response SLA Minutes])</f>
        <v>60</v>
      </c>
      <c r="M503" t="str">
        <f>IF(tbl_analysis_tickets[[#This Row],[resolution_time_hours]]&gt;tbl_analysis_tickets[[#This Row],[Resolution SLA Hours]],"Breached","Within SLA")</f>
        <v>Breached</v>
      </c>
      <c r="N503" t="str">
        <f>IF(tbl_analysis_tickets[[#This Row],[first_response_minutes]]&gt;tbl_analysis_tickets[[#This Row],[First Response SLA Minutes]],"Breached","Within SLA")</f>
        <v>Breached</v>
      </c>
      <c r="O503" t="str" cm="1">
        <f t="array" ref="O503">_xlfn.IFS(
tbl_analysis_tickets[[#This Row],[agent_experience_years]]&lt;=2,"Junior",
tbl_analysis_tickets[[#This Row],[agent_experience_years]]&lt;=5,"Mid-Level",
tbl_analysis_tickets[[#This Row],[agent_experience_years]]&lt;=8,"Senior",
tbl_analysis_tickets[[#This Row],[agent_experience_years]]&gt;8,"Expert"
)</f>
        <v>Senior</v>
      </c>
      <c r="P503" cm="1">
        <f t="array" ref="P503">_xlfn.SWITCH(tbl_analysis_tickets[[#This Row],[customer_satisfaction]],
"Low",1,
"Medium",2,
"High",3
)</f>
        <v>1</v>
      </c>
      <c r="Q503">
        <f>IF(tbl_analysis_tickets[[#This Row],[reopened]]="Yes",1,0)</f>
        <v>0</v>
      </c>
      <c r="R503" t="str" cm="1">
        <f t="array" ref="R503">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503" t="str" cm="1">
        <f t="array" ref="S50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503" t="str">
        <f>TEXT(tbl_analysis_tickets[[#This Row],[created_date]],"mmm-yyyy")</f>
        <v>Jul-2024</v>
      </c>
      <c r="U503" t="str">
        <f>TEXT(tbl_analysis_tickets[[#This Row],[created_date]],"dddd")</f>
        <v>Monday</v>
      </c>
      <c r="V503" cm="1">
        <f t="array" ref="V503">_xlfn.SWITCH(tbl_analysis_tickets[[#This Row],[priority]],
"Urgent",1,
"High",2,
"Medium",3,
"Low",4
)</f>
        <v>2</v>
      </c>
    </row>
    <row r="504" spans="1:22" x14ac:dyDescent="0.25">
      <c r="A504">
        <v>503</v>
      </c>
      <c r="B504" s="1">
        <v>45573</v>
      </c>
      <c r="C504" t="s">
        <v>21</v>
      </c>
      <c r="D504" t="s">
        <v>15</v>
      </c>
      <c r="E504">
        <v>30</v>
      </c>
      <c r="F504">
        <v>29</v>
      </c>
      <c r="G504">
        <v>6.5</v>
      </c>
      <c r="H504" t="s">
        <v>12</v>
      </c>
      <c r="I504" t="s">
        <v>19</v>
      </c>
      <c r="J504" t="s">
        <v>15</v>
      </c>
      <c r="K504">
        <f>_xlfn.XLOOKUP(tbl_analysis_tickets[[#This Row],[priority]],tbl_sla[priority],tbl_sla[Resolution SLA Hours])</f>
        <v>48</v>
      </c>
      <c r="L504">
        <f>_xlfn.XLOOKUP(tbl_analysis_tickets[[#This Row],[priority]],tbl_sla[priority],tbl_sla[First Response SLA Minutes])</f>
        <v>120</v>
      </c>
      <c r="M504" t="str">
        <f>IF(tbl_analysis_tickets[[#This Row],[resolution_time_hours]]&gt;tbl_analysis_tickets[[#This Row],[Resolution SLA Hours]],"Breached","Within SLA")</f>
        <v>Within SLA</v>
      </c>
      <c r="N504" t="str">
        <f>IF(tbl_analysis_tickets[[#This Row],[first_response_minutes]]&gt;tbl_analysis_tickets[[#This Row],[First Response SLA Minutes]],"Breached","Within SLA")</f>
        <v>Within SLA</v>
      </c>
      <c r="O504" t="str" cm="1">
        <f t="array" ref="O504">_xlfn.IFS(
tbl_analysis_tickets[[#This Row],[agent_experience_years]]&lt;=2,"Junior",
tbl_analysis_tickets[[#This Row],[agent_experience_years]]&lt;=5,"Mid-Level",
tbl_analysis_tickets[[#This Row],[agent_experience_years]]&lt;=8,"Senior",
tbl_analysis_tickets[[#This Row],[agent_experience_years]]&gt;8,"Expert"
)</f>
        <v>Senior</v>
      </c>
      <c r="P504" cm="1">
        <f t="array" ref="P504">_xlfn.SWITCH(tbl_analysis_tickets[[#This Row],[customer_satisfaction]],
"Low",1,
"Medium",2,
"High",3
)</f>
        <v>2</v>
      </c>
      <c r="Q504">
        <f>IF(tbl_analysis_tickets[[#This Row],[reopened]]="Yes",1,0)</f>
        <v>1</v>
      </c>
      <c r="R504" t="str" cm="1">
        <f t="array" ref="R504">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504" t="str" cm="1">
        <f t="array" ref="S50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504" t="str">
        <f>TEXT(tbl_analysis_tickets[[#This Row],[created_date]],"mmm-yyyy")</f>
        <v>Oct-2024</v>
      </c>
      <c r="U504" t="str">
        <f>TEXT(tbl_analysis_tickets[[#This Row],[created_date]],"dddd")</f>
        <v>Tuesday</v>
      </c>
      <c r="V504" cm="1">
        <f t="array" ref="V504">_xlfn.SWITCH(tbl_analysis_tickets[[#This Row],[priority]],
"Urgent",1,
"High",2,
"Medium",3,
"Low",4
)</f>
        <v>3</v>
      </c>
    </row>
    <row r="505" spans="1:22" x14ac:dyDescent="0.25">
      <c r="A505">
        <v>504</v>
      </c>
      <c r="B505" s="1">
        <v>45641</v>
      </c>
      <c r="C505" t="s">
        <v>21</v>
      </c>
      <c r="D505" t="s">
        <v>20</v>
      </c>
      <c r="E505">
        <v>134</v>
      </c>
      <c r="F505">
        <v>43</v>
      </c>
      <c r="G505">
        <v>2.2000000000000002</v>
      </c>
      <c r="H505" t="s">
        <v>18</v>
      </c>
      <c r="I505" t="s">
        <v>16</v>
      </c>
      <c r="J505" t="s">
        <v>11</v>
      </c>
      <c r="K505">
        <f>_xlfn.XLOOKUP(tbl_analysis_tickets[[#This Row],[priority]],tbl_sla[priority],tbl_sla[Resolution SLA Hours])</f>
        <v>24</v>
      </c>
      <c r="L505">
        <f>_xlfn.XLOOKUP(tbl_analysis_tickets[[#This Row],[priority]],tbl_sla[priority],tbl_sla[First Response SLA Minutes])</f>
        <v>60</v>
      </c>
      <c r="M505" t="str">
        <f>IF(tbl_analysis_tickets[[#This Row],[resolution_time_hours]]&gt;tbl_analysis_tickets[[#This Row],[Resolution SLA Hours]],"Breached","Within SLA")</f>
        <v>Breached</v>
      </c>
      <c r="N505" t="str">
        <f>IF(tbl_analysis_tickets[[#This Row],[first_response_minutes]]&gt;tbl_analysis_tickets[[#This Row],[First Response SLA Minutes]],"Breached","Within SLA")</f>
        <v>Breached</v>
      </c>
      <c r="O505" t="str" cm="1">
        <f t="array" ref="O505">_xlfn.IFS(
tbl_analysis_tickets[[#This Row],[agent_experience_years]]&lt;=2,"Junior",
tbl_analysis_tickets[[#This Row],[agent_experience_years]]&lt;=5,"Mid-Level",
tbl_analysis_tickets[[#This Row],[agent_experience_years]]&lt;=8,"Senior",
tbl_analysis_tickets[[#This Row],[agent_experience_years]]&gt;8,"Expert"
)</f>
        <v>Mid-Level</v>
      </c>
      <c r="P505" cm="1">
        <f t="array" ref="P505">_xlfn.SWITCH(tbl_analysis_tickets[[#This Row],[customer_satisfaction]],
"Low",1,
"Medium",2,
"High",3
)</f>
        <v>1</v>
      </c>
      <c r="Q505">
        <f>IF(tbl_analysis_tickets[[#This Row],[reopened]]="Yes",1,0)</f>
        <v>0</v>
      </c>
      <c r="R505" t="str" cm="1">
        <f t="array" ref="R505">_xlfn.IFS(
tbl_analysis_tickets[[#This Row],[first_response_minutes]]&lt;=30,"Very Fast",
tbl_analysis_tickets[[#This Row],[first_response_minutes]]&lt;=120,"Acceptable",
tbl_analysis_tickets[[#This Row],[first_response_minutes]]&lt;=240,"Slow",
tbl_analysis_tickets[[#This Row],[first_response_minutes]]&gt;240,"Very Slow"
)</f>
        <v>Slow</v>
      </c>
      <c r="S505" t="str" cm="1">
        <f t="array" ref="S50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505" t="str">
        <f>TEXT(tbl_analysis_tickets[[#This Row],[created_date]],"mmm-yyyy")</f>
        <v>Dec-2024</v>
      </c>
      <c r="U505" t="str">
        <f>TEXT(tbl_analysis_tickets[[#This Row],[created_date]],"dddd")</f>
        <v>Sunday</v>
      </c>
      <c r="V505" cm="1">
        <f t="array" ref="V505">_xlfn.SWITCH(tbl_analysis_tickets[[#This Row],[priority]],
"Urgent",1,
"High",2,
"Medium",3,
"Low",4
)</f>
        <v>2</v>
      </c>
    </row>
    <row r="506" spans="1:22" x14ac:dyDescent="0.25">
      <c r="A506">
        <v>505</v>
      </c>
      <c r="B506" s="1">
        <v>45295</v>
      </c>
      <c r="C506" t="s">
        <v>14</v>
      </c>
      <c r="D506" t="s">
        <v>20</v>
      </c>
      <c r="E506">
        <v>118</v>
      </c>
      <c r="F506">
        <v>56</v>
      </c>
      <c r="G506">
        <v>0.7</v>
      </c>
      <c r="H506" t="s">
        <v>18</v>
      </c>
      <c r="I506" t="s">
        <v>19</v>
      </c>
      <c r="J506" t="s">
        <v>11</v>
      </c>
      <c r="K506">
        <f>_xlfn.XLOOKUP(tbl_analysis_tickets[[#This Row],[priority]],tbl_sla[priority],tbl_sla[Resolution SLA Hours])</f>
        <v>24</v>
      </c>
      <c r="L506">
        <f>_xlfn.XLOOKUP(tbl_analysis_tickets[[#This Row],[priority]],tbl_sla[priority],tbl_sla[First Response SLA Minutes])</f>
        <v>60</v>
      </c>
      <c r="M506" t="str">
        <f>IF(tbl_analysis_tickets[[#This Row],[resolution_time_hours]]&gt;tbl_analysis_tickets[[#This Row],[Resolution SLA Hours]],"Breached","Within SLA")</f>
        <v>Breached</v>
      </c>
      <c r="N506" t="str">
        <f>IF(tbl_analysis_tickets[[#This Row],[first_response_minutes]]&gt;tbl_analysis_tickets[[#This Row],[First Response SLA Minutes]],"Breached","Within SLA")</f>
        <v>Breached</v>
      </c>
      <c r="O506" t="str" cm="1">
        <f t="array" ref="O506">_xlfn.IFS(
tbl_analysis_tickets[[#This Row],[agent_experience_years]]&lt;=2,"Junior",
tbl_analysis_tickets[[#This Row],[agent_experience_years]]&lt;=5,"Mid-Level",
tbl_analysis_tickets[[#This Row],[agent_experience_years]]&lt;=8,"Senior",
tbl_analysis_tickets[[#This Row],[agent_experience_years]]&gt;8,"Expert"
)</f>
        <v>Junior</v>
      </c>
      <c r="P506" cm="1">
        <f t="array" ref="P506">_xlfn.SWITCH(tbl_analysis_tickets[[#This Row],[customer_satisfaction]],
"Low",1,
"Medium",2,
"High",3
)</f>
        <v>1</v>
      </c>
      <c r="Q506">
        <f>IF(tbl_analysis_tickets[[#This Row],[reopened]]="Yes",1,0)</f>
        <v>0</v>
      </c>
      <c r="R506" t="str" cm="1">
        <f t="array" ref="R506">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506" t="str" cm="1">
        <f t="array" ref="S50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506" t="str">
        <f>TEXT(tbl_analysis_tickets[[#This Row],[created_date]],"mmm-yyyy")</f>
        <v>Jan-2024</v>
      </c>
      <c r="U506" t="str">
        <f>TEXT(tbl_analysis_tickets[[#This Row],[created_date]],"dddd")</f>
        <v>Thursday</v>
      </c>
      <c r="V506" cm="1">
        <f t="array" ref="V506">_xlfn.SWITCH(tbl_analysis_tickets[[#This Row],[priority]],
"Urgent",1,
"High",2,
"Medium",3,
"Low",4
)</f>
        <v>2</v>
      </c>
    </row>
    <row r="507" spans="1:22" x14ac:dyDescent="0.25">
      <c r="A507">
        <v>506</v>
      </c>
      <c r="B507" s="1">
        <v>45504</v>
      </c>
      <c r="C507" t="s">
        <v>14</v>
      </c>
      <c r="D507" t="s">
        <v>15</v>
      </c>
      <c r="E507">
        <v>111</v>
      </c>
      <c r="F507">
        <v>69</v>
      </c>
      <c r="G507">
        <v>3.1</v>
      </c>
      <c r="H507" t="s">
        <v>12</v>
      </c>
      <c r="I507" t="s">
        <v>16</v>
      </c>
      <c r="J507" t="s">
        <v>11</v>
      </c>
      <c r="K507">
        <f>_xlfn.XLOOKUP(tbl_analysis_tickets[[#This Row],[priority]],tbl_sla[priority],tbl_sla[Resolution SLA Hours])</f>
        <v>48</v>
      </c>
      <c r="L507">
        <f>_xlfn.XLOOKUP(tbl_analysis_tickets[[#This Row],[priority]],tbl_sla[priority],tbl_sla[First Response SLA Minutes])</f>
        <v>120</v>
      </c>
      <c r="M507" t="str">
        <f>IF(tbl_analysis_tickets[[#This Row],[resolution_time_hours]]&gt;tbl_analysis_tickets[[#This Row],[Resolution SLA Hours]],"Breached","Within SLA")</f>
        <v>Breached</v>
      </c>
      <c r="N507" t="str">
        <f>IF(tbl_analysis_tickets[[#This Row],[first_response_minutes]]&gt;tbl_analysis_tickets[[#This Row],[First Response SLA Minutes]],"Breached","Within SLA")</f>
        <v>Within SLA</v>
      </c>
      <c r="O507" t="str" cm="1">
        <f t="array" ref="O507">_xlfn.IFS(
tbl_analysis_tickets[[#This Row],[agent_experience_years]]&lt;=2,"Junior",
tbl_analysis_tickets[[#This Row],[agent_experience_years]]&lt;=5,"Mid-Level",
tbl_analysis_tickets[[#This Row],[agent_experience_years]]&lt;=8,"Senior",
tbl_analysis_tickets[[#This Row],[agent_experience_years]]&gt;8,"Expert"
)</f>
        <v>Mid-Level</v>
      </c>
      <c r="P507" cm="1">
        <f t="array" ref="P507">_xlfn.SWITCH(tbl_analysis_tickets[[#This Row],[customer_satisfaction]],
"Low",1,
"Medium",2,
"High",3
)</f>
        <v>1</v>
      </c>
      <c r="Q507">
        <f>IF(tbl_analysis_tickets[[#This Row],[reopened]]="Yes",1,0)</f>
        <v>1</v>
      </c>
      <c r="R507" t="str" cm="1">
        <f t="array" ref="R507">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507" t="str" cm="1">
        <f t="array" ref="S50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507" t="str">
        <f>TEXT(tbl_analysis_tickets[[#This Row],[created_date]],"mmm-yyyy")</f>
        <v>Jul-2024</v>
      </c>
      <c r="U507" t="str">
        <f>TEXT(tbl_analysis_tickets[[#This Row],[created_date]],"dddd")</f>
        <v>Wednesday</v>
      </c>
      <c r="V507" cm="1">
        <f t="array" ref="V507">_xlfn.SWITCH(tbl_analysis_tickets[[#This Row],[priority]],
"Urgent",1,
"High",2,
"Medium",3,
"Low",4
)</f>
        <v>3</v>
      </c>
    </row>
    <row r="508" spans="1:22" x14ac:dyDescent="0.25">
      <c r="A508">
        <v>507</v>
      </c>
      <c r="B508" s="1">
        <v>45305</v>
      </c>
      <c r="C508" t="s">
        <v>10</v>
      </c>
      <c r="D508" t="s">
        <v>17</v>
      </c>
      <c r="E508">
        <v>94</v>
      </c>
      <c r="F508">
        <v>5</v>
      </c>
      <c r="G508">
        <v>7</v>
      </c>
      <c r="H508" t="s">
        <v>12</v>
      </c>
      <c r="I508" t="s">
        <v>13</v>
      </c>
      <c r="J508" t="s">
        <v>15</v>
      </c>
      <c r="K508">
        <f>_xlfn.XLOOKUP(tbl_analysis_tickets[[#This Row],[priority]],tbl_sla[priority],tbl_sla[Resolution SLA Hours])</f>
        <v>8</v>
      </c>
      <c r="L508">
        <f>_xlfn.XLOOKUP(tbl_analysis_tickets[[#This Row],[priority]],tbl_sla[priority],tbl_sla[First Response SLA Minutes])</f>
        <v>30</v>
      </c>
      <c r="M508" t="str">
        <f>IF(tbl_analysis_tickets[[#This Row],[resolution_time_hours]]&gt;tbl_analysis_tickets[[#This Row],[Resolution SLA Hours]],"Breached","Within SLA")</f>
        <v>Within SLA</v>
      </c>
      <c r="N508" t="str">
        <f>IF(tbl_analysis_tickets[[#This Row],[first_response_minutes]]&gt;tbl_analysis_tickets[[#This Row],[First Response SLA Minutes]],"Breached","Within SLA")</f>
        <v>Breached</v>
      </c>
      <c r="O508" t="str" cm="1">
        <f t="array" ref="O508">_xlfn.IFS(
tbl_analysis_tickets[[#This Row],[agent_experience_years]]&lt;=2,"Junior",
tbl_analysis_tickets[[#This Row],[agent_experience_years]]&lt;=5,"Mid-Level",
tbl_analysis_tickets[[#This Row],[agent_experience_years]]&lt;=8,"Senior",
tbl_analysis_tickets[[#This Row],[agent_experience_years]]&gt;8,"Expert"
)</f>
        <v>Senior</v>
      </c>
      <c r="P508" cm="1">
        <f t="array" ref="P508">_xlfn.SWITCH(tbl_analysis_tickets[[#This Row],[customer_satisfaction]],
"Low",1,
"Medium",2,
"High",3
)</f>
        <v>2</v>
      </c>
      <c r="Q508">
        <f>IF(tbl_analysis_tickets[[#This Row],[reopened]]="Yes",1,0)</f>
        <v>1</v>
      </c>
      <c r="R508" t="str" cm="1">
        <f t="array" ref="R508">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508" t="str" cm="1">
        <f t="array" ref="S50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508" t="str">
        <f>TEXT(tbl_analysis_tickets[[#This Row],[created_date]],"mmm-yyyy")</f>
        <v>Jan-2024</v>
      </c>
      <c r="U508" t="str">
        <f>TEXT(tbl_analysis_tickets[[#This Row],[created_date]],"dddd")</f>
        <v>Sunday</v>
      </c>
      <c r="V508" cm="1">
        <f t="array" ref="V508">_xlfn.SWITCH(tbl_analysis_tickets[[#This Row],[priority]],
"Urgent",1,
"High",2,
"Medium",3,
"Low",4
)</f>
        <v>1</v>
      </c>
    </row>
    <row r="509" spans="1:22" x14ac:dyDescent="0.25">
      <c r="A509">
        <v>508</v>
      </c>
      <c r="B509" s="1">
        <v>45637</v>
      </c>
      <c r="C509" t="s">
        <v>14</v>
      </c>
      <c r="D509" t="s">
        <v>17</v>
      </c>
      <c r="E509">
        <v>201</v>
      </c>
      <c r="F509">
        <v>22</v>
      </c>
      <c r="G509">
        <v>9.1999999999999993</v>
      </c>
      <c r="H509" t="s">
        <v>12</v>
      </c>
      <c r="I509" t="s">
        <v>19</v>
      </c>
      <c r="J509" t="s">
        <v>11</v>
      </c>
      <c r="K509">
        <f>_xlfn.XLOOKUP(tbl_analysis_tickets[[#This Row],[priority]],tbl_sla[priority],tbl_sla[Resolution SLA Hours])</f>
        <v>8</v>
      </c>
      <c r="L509">
        <f>_xlfn.XLOOKUP(tbl_analysis_tickets[[#This Row],[priority]],tbl_sla[priority],tbl_sla[First Response SLA Minutes])</f>
        <v>30</v>
      </c>
      <c r="M509" t="str">
        <f>IF(tbl_analysis_tickets[[#This Row],[resolution_time_hours]]&gt;tbl_analysis_tickets[[#This Row],[Resolution SLA Hours]],"Breached","Within SLA")</f>
        <v>Breached</v>
      </c>
      <c r="N509" t="str">
        <f>IF(tbl_analysis_tickets[[#This Row],[first_response_minutes]]&gt;tbl_analysis_tickets[[#This Row],[First Response SLA Minutes]],"Breached","Within SLA")</f>
        <v>Breached</v>
      </c>
      <c r="O509" t="str" cm="1">
        <f t="array" ref="O509">_xlfn.IFS(
tbl_analysis_tickets[[#This Row],[agent_experience_years]]&lt;=2,"Junior",
tbl_analysis_tickets[[#This Row],[agent_experience_years]]&lt;=5,"Mid-Level",
tbl_analysis_tickets[[#This Row],[agent_experience_years]]&lt;=8,"Senior",
tbl_analysis_tickets[[#This Row],[agent_experience_years]]&gt;8,"Expert"
)</f>
        <v>Expert</v>
      </c>
      <c r="P509" cm="1">
        <f t="array" ref="P509">_xlfn.SWITCH(tbl_analysis_tickets[[#This Row],[customer_satisfaction]],
"Low",1,
"Medium",2,
"High",3
)</f>
        <v>1</v>
      </c>
      <c r="Q509">
        <f>IF(tbl_analysis_tickets[[#This Row],[reopened]]="Yes",1,0)</f>
        <v>1</v>
      </c>
      <c r="R509" t="str" cm="1">
        <f t="array" ref="R509">_xlfn.IFS(
tbl_analysis_tickets[[#This Row],[first_response_minutes]]&lt;=30,"Very Fast",
tbl_analysis_tickets[[#This Row],[first_response_minutes]]&lt;=120,"Acceptable",
tbl_analysis_tickets[[#This Row],[first_response_minutes]]&lt;=240,"Slow",
tbl_analysis_tickets[[#This Row],[first_response_minutes]]&gt;240,"Very Slow"
)</f>
        <v>Slow</v>
      </c>
      <c r="S509" t="str" cm="1">
        <f t="array" ref="S50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509" t="str">
        <f>TEXT(tbl_analysis_tickets[[#This Row],[created_date]],"mmm-yyyy")</f>
        <v>Dec-2024</v>
      </c>
      <c r="U509" t="str">
        <f>TEXT(tbl_analysis_tickets[[#This Row],[created_date]],"dddd")</f>
        <v>Wednesday</v>
      </c>
      <c r="V509" cm="1">
        <f t="array" ref="V509">_xlfn.SWITCH(tbl_analysis_tickets[[#This Row],[priority]],
"Urgent",1,
"High",2,
"Medium",3,
"Low",4
)</f>
        <v>1</v>
      </c>
    </row>
    <row r="510" spans="1:22" x14ac:dyDescent="0.25">
      <c r="A510">
        <v>509</v>
      </c>
      <c r="B510" s="1">
        <v>45431</v>
      </c>
      <c r="C510" t="s">
        <v>22</v>
      </c>
      <c r="D510" t="s">
        <v>11</v>
      </c>
      <c r="E510">
        <v>200</v>
      </c>
      <c r="F510">
        <v>23</v>
      </c>
      <c r="G510">
        <v>5.3</v>
      </c>
      <c r="H510" t="s">
        <v>18</v>
      </c>
      <c r="I510" t="s">
        <v>13</v>
      </c>
      <c r="J510" t="s">
        <v>15</v>
      </c>
      <c r="K510">
        <f>_xlfn.XLOOKUP(tbl_analysis_tickets[[#This Row],[priority]],tbl_sla[priority],tbl_sla[Resolution SLA Hours])</f>
        <v>72</v>
      </c>
      <c r="L510">
        <f>_xlfn.XLOOKUP(tbl_analysis_tickets[[#This Row],[priority]],tbl_sla[priority],tbl_sla[First Response SLA Minutes])</f>
        <v>240</v>
      </c>
      <c r="M510" t="str">
        <f>IF(tbl_analysis_tickets[[#This Row],[resolution_time_hours]]&gt;tbl_analysis_tickets[[#This Row],[Resolution SLA Hours]],"Breached","Within SLA")</f>
        <v>Within SLA</v>
      </c>
      <c r="N510" t="str">
        <f>IF(tbl_analysis_tickets[[#This Row],[first_response_minutes]]&gt;tbl_analysis_tickets[[#This Row],[First Response SLA Minutes]],"Breached","Within SLA")</f>
        <v>Within SLA</v>
      </c>
      <c r="O510" t="str" cm="1">
        <f t="array" ref="O510">_xlfn.IFS(
tbl_analysis_tickets[[#This Row],[agent_experience_years]]&lt;=2,"Junior",
tbl_analysis_tickets[[#This Row],[agent_experience_years]]&lt;=5,"Mid-Level",
tbl_analysis_tickets[[#This Row],[agent_experience_years]]&lt;=8,"Senior",
tbl_analysis_tickets[[#This Row],[agent_experience_years]]&gt;8,"Expert"
)</f>
        <v>Senior</v>
      </c>
      <c r="P510" cm="1">
        <f t="array" ref="P510">_xlfn.SWITCH(tbl_analysis_tickets[[#This Row],[customer_satisfaction]],
"Low",1,
"Medium",2,
"High",3
)</f>
        <v>2</v>
      </c>
      <c r="Q510">
        <f>IF(tbl_analysis_tickets[[#This Row],[reopened]]="Yes",1,0)</f>
        <v>0</v>
      </c>
      <c r="R510" t="str" cm="1">
        <f t="array" ref="R510">_xlfn.IFS(
tbl_analysis_tickets[[#This Row],[first_response_minutes]]&lt;=30,"Very Fast",
tbl_analysis_tickets[[#This Row],[first_response_minutes]]&lt;=120,"Acceptable",
tbl_analysis_tickets[[#This Row],[first_response_minutes]]&lt;=240,"Slow",
tbl_analysis_tickets[[#This Row],[first_response_minutes]]&gt;240,"Very Slow"
)</f>
        <v>Slow</v>
      </c>
      <c r="S510" t="str" cm="1">
        <f t="array" ref="S51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510" t="str">
        <f>TEXT(tbl_analysis_tickets[[#This Row],[created_date]],"mmm-yyyy")</f>
        <v>May-2024</v>
      </c>
      <c r="U510" t="str">
        <f>TEXT(tbl_analysis_tickets[[#This Row],[created_date]],"dddd")</f>
        <v>Sunday</v>
      </c>
      <c r="V510" cm="1">
        <f t="array" ref="V510">_xlfn.SWITCH(tbl_analysis_tickets[[#This Row],[priority]],
"Urgent",1,
"High",2,
"Medium",3,
"Low",4
)</f>
        <v>4</v>
      </c>
    </row>
    <row r="511" spans="1:22" x14ac:dyDescent="0.25">
      <c r="A511">
        <v>510</v>
      </c>
      <c r="B511" s="1">
        <v>45427</v>
      </c>
      <c r="C511" t="s">
        <v>22</v>
      </c>
      <c r="D511" t="s">
        <v>20</v>
      </c>
      <c r="E511">
        <v>20</v>
      </c>
      <c r="F511">
        <v>25</v>
      </c>
      <c r="G511">
        <v>2.2000000000000002</v>
      </c>
      <c r="H511" t="s">
        <v>18</v>
      </c>
      <c r="I511" t="s">
        <v>13</v>
      </c>
      <c r="J511" t="s">
        <v>15</v>
      </c>
      <c r="K511">
        <f>_xlfn.XLOOKUP(tbl_analysis_tickets[[#This Row],[priority]],tbl_sla[priority],tbl_sla[Resolution SLA Hours])</f>
        <v>24</v>
      </c>
      <c r="L511">
        <f>_xlfn.XLOOKUP(tbl_analysis_tickets[[#This Row],[priority]],tbl_sla[priority],tbl_sla[First Response SLA Minutes])</f>
        <v>60</v>
      </c>
      <c r="M511" t="str">
        <f>IF(tbl_analysis_tickets[[#This Row],[resolution_time_hours]]&gt;tbl_analysis_tickets[[#This Row],[Resolution SLA Hours]],"Breached","Within SLA")</f>
        <v>Breached</v>
      </c>
      <c r="N511" t="str">
        <f>IF(tbl_analysis_tickets[[#This Row],[first_response_minutes]]&gt;tbl_analysis_tickets[[#This Row],[First Response SLA Minutes]],"Breached","Within SLA")</f>
        <v>Within SLA</v>
      </c>
      <c r="O511" t="str" cm="1">
        <f t="array" ref="O511">_xlfn.IFS(
tbl_analysis_tickets[[#This Row],[agent_experience_years]]&lt;=2,"Junior",
tbl_analysis_tickets[[#This Row],[agent_experience_years]]&lt;=5,"Mid-Level",
tbl_analysis_tickets[[#This Row],[agent_experience_years]]&lt;=8,"Senior",
tbl_analysis_tickets[[#This Row],[agent_experience_years]]&gt;8,"Expert"
)</f>
        <v>Mid-Level</v>
      </c>
      <c r="P511" cm="1">
        <f t="array" ref="P511">_xlfn.SWITCH(tbl_analysis_tickets[[#This Row],[customer_satisfaction]],
"Low",1,
"Medium",2,
"High",3
)</f>
        <v>2</v>
      </c>
      <c r="Q511">
        <f>IF(tbl_analysis_tickets[[#This Row],[reopened]]="Yes",1,0)</f>
        <v>0</v>
      </c>
      <c r="R511" t="str" cm="1">
        <f t="array" ref="R511">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511" t="str" cm="1">
        <f t="array" ref="S51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511" t="str">
        <f>TEXT(tbl_analysis_tickets[[#This Row],[created_date]],"mmm-yyyy")</f>
        <v>May-2024</v>
      </c>
      <c r="U511" t="str">
        <f>TEXT(tbl_analysis_tickets[[#This Row],[created_date]],"dddd")</f>
        <v>Wednesday</v>
      </c>
      <c r="V511" cm="1">
        <f t="array" ref="V511">_xlfn.SWITCH(tbl_analysis_tickets[[#This Row],[priority]],
"Urgent",1,
"High",2,
"Medium",3,
"Low",4
)</f>
        <v>2</v>
      </c>
    </row>
    <row r="512" spans="1:22" x14ac:dyDescent="0.25">
      <c r="A512">
        <v>511</v>
      </c>
      <c r="B512" s="1">
        <v>45419</v>
      </c>
      <c r="C512" t="s">
        <v>22</v>
      </c>
      <c r="D512" t="s">
        <v>20</v>
      </c>
      <c r="E512">
        <v>7</v>
      </c>
      <c r="F512">
        <v>64</v>
      </c>
      <c r="G512">
        <v>7.1</v>
      </c>
      <c r="H512" t="s">
        <v>18</v>
      </c>
      <c r="I512" t="s">
        <v>16</v>
      </c>
      <c r="J512" t="s">
        <v>15</v>
      </c>
      <c r="K512">
        <f>_xlfn.XLOOKUP(tbl_analysis_tickets[[#This Row],[priority]],tbl_sla[priority],tbl_sla[Resolution SLA Hours])</f>
        <v>24</v>
      </c>
      <c r="L512">
        <f>_xlfn.XLOOKUP(tbl_analysis_tickets[[#This Row],[priority]],tbl_sla[priority],tbl_sla[First Response SLA Minutes])</f>
        <v>60</v>
      </c>
      <c r="M512" t="str">
        <f>IF(tbl_analysis_tickets[[#This Row],[resolution_time_hours]]&gt;tbl_analysis_tickets[[#This Row],[Resolution SLA Hours]],"Breached","Within SLA")</f>
        <v>Breached</v>
      </c>
      <c r="N512" t="str">
        <f>IF(tbl_analysis_tickets[[#This Row],[first_response_minutes]]&gt;tbl_analysis_tickets[[#This Row],[First Response SLA Minutes]],"Breached","Within SLA")</f>
        <v>Within SLA</v>
      </c>
      <c r="O512" t="str" cm="1">
        <f t="array" ref="O512">_xlfn.IFS(
tbl_analysis_tickets[[#This Row],[agent_experience_years]]&lt;=2,"Junior",
tbl_analysis_tickets[[#This Row],[agent_experience_years]]&lt;=5,"Mid-Level",
tbl_analysis_tickets[[#This Row],[agent_experience_years]]&lt;=8,"Senior",
tbl_analysis_tickets[[#This Row],[agent_experience_years]]&gt;8,"Expert"
)</f>
        <v>Senior</v>
      </c>
      <c r="P512" cm="1">
        <f t="array" ref="P512">_xlfn.SWITCH(tbl_analysis_tickets[[#This Row],[customer_satisfaction]],
"Low",1,
"Medium",2,
"High",3
)</f>
        <v>2</v>
      </c>
      <c r="Q512">
        <f>IF(tbl_analysis_tickets[[#This Row],[reopened]]="Yes",1,0)</f>
        <v>0</v>
      </c>
      <c r="R512" t="str" cm="1">
        <f t="array" ref="R512">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512" t="str" cm="1">
        <f t="array" ref="S51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512" t="str">
        <f>TEXT(tbl_analysis_tickets[[#This Row],[created_date]],"mmm-yyyy")</f>
        <v>May-2024</v>
      </c>
      <c r="U512" t="str">
        <f>TEXT(tbl_analysis_tickets[[#This Row],[created_date]],"dddd")</f>
        <v>Tuesday</v>
      </c>
      <c r="V512" cm="1">
        <f t="array" ref="V512">_xlfn.SWITCH(tbl_analysis_tickets[[#This Row],[priority]],
"Urgent",1,
"High",2,
"Medium",3,
"Low",4
)</f>
        <v>2</v>
      </c>
    </row>
    <row r="513" spans="1:22" x14ac:dyDescent="0.25">
      <c r="A513">
        <v>512</v>
      </c>
      <c r="B513" s="1">
        <v>45541</v>
      </c>
      <c r="C513" t="s">
        <v>22</v>
      </c>
      <c r="D513" t="s">
        <v>11</v>
      </c>
      <c r="E513">
        <v>169</v>
      </c>
      <c r="F513">
        <v>6</v>
      </c>
      <c r="G513">
        <v>6.1</v>
      </c>
      <c r="H513" t="s">
        <v>12</v>
      </c>
      <c r="I513" t="s">
        <v>13</v>
      </c>
      <c r="J513" t="s">
        <v>15</v>
      </c>
      <c r="K513">
        <f>_xlfn.XLOOKUP(tbl_analysis_tickets[[#This Row],[priority]],tbl_sla[priority],tbl_sla[Resolution SLA Hours])</f>
        <v>72</v>
      </c>
      <c r="L513">
        <f>_xlfn.XLOOKUP(tbl_analysis_tickets[[#This Row],[priority]],tbl_sla[priority],tbl_sla[First Response SLA Minutes])</f>
        <v>240</v>
      </c>
      <c r="M513" t="str">
        <f>IF(tbl_analysis_tickets[[#This Row],[resolution_time_hours]]&gt;tbl_analysis_tickets[[#This Row],[Resolution SLA Hours]],"Breached","Within SLA")</f>
        <v>Within SLA</v>
      </c>
      <c r="N513" t="str">
        <f>IF(tbl_analysis_tickets[[#This Row],[first_response_minutes]]&gt;tbl_analysis_tickets[[#This Row],[First Response SLA Minutes]],"Breached","Within SLA")</f>
        <v>Within SLA</v>
      </c>
      <c r="O513" t="str" cm="1">
        <f t="array" ref="O513">_xlfn.IFS(
tbl_analysis_tickets[[#This Row],[agent_experience_years]]&lt;=2,"Junior",
tbl_analysis_tickets[[#This Row],[agent_experience_years]]&lt;=5,"Mid-Level",
tbl_analysis_tickets[[#This Row],[agent_experience_years]]&lt;=8,"Senior",
tbl_analysis_tickets[[#This Row],[agent_experience_years]]&gt;8,"Expert"
)</f>
        <v>Senior</v>
      </c>
      <c r="P513" cm="1">
        <f t="array" ref="P513">_xlfn.SWITCH(tbl_analysis_tickets[[#This Row],[customer_satisfaction]],
"Low",1,
"Medium",2,
"High",3
)</f>
        <v>2</v>
      </c>
      <c r="Q513">
        <f>IF(tbl_analysis_tickets[[#This Row],[reopened]]="Yes",1,0)</f>
        <v>1</v>
      </c>
      <c r="R513" t="str" cm="1">
        <f t="array" ref="R513">_xlfn.IFS(
tbl_analysis_tickets[[#This Row],[first_response_minutes]]&lt;=30,"Very Fast",
tbl_analysis_tickets[[#This Row],[first_response_minutes]]&lt;=120,"Acceptable",
tbl_analysis_tickets[[#This Row],[first_response_minutes]]&lt;=240,"Slow",
tbl_analysis_tickets[[#This Row],[first_response_minutes]]&gt;240,"Very Slow"
)</f>
        <v>Slow</v>
      </c>
      <c r="S513" t="str" cm="1">
        <f t="array" ref="S51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513" t="str">
        <f>TEXT(tbl_analysis_tickets[[#This Row],[created_date]],"mmm-yyyy")</f>
        <v>Sep-2024</v>
      </c>
      <c r="U513" t="str">
        <f>TEXT(tbl_analysis_tickets[[#This Row],[created_date]],"dddd")</f>
        <v>Friday</v>
      </c>
      <c r="V513" cm="1">
        <f t="array" ref="V513">_xlfn.SWITCH(tbl_analysis_tickets[[#This Row],[priority]],
"Urgent",1,
"High",2,
"Medium",3,
"Low",4
)</f>
        <v>4</v>
      </c>
    </row>
    <row r="514" spans="1:22" x14ac:dyDescent="0.25">
      <c r="A514">
        <v>513</v>
      </c>
      <c r="B514" s="1">
        <v>45394</v>
      </c>
      <c r="C514" t="s">
        <v>10</v>
      </c>
      <c r="D514" t="s">
        <v>15</v>
      </c>
      <c r="E514">
        <v>189</v>
      </c>
      <c r="F514">
        <v>28</v>
      </c>
      <c r="G514">
        <v>9.6999999999999993</v>
      </c>
      <c r="H514" t="s">
        <v>12</v>
      </c>
      <c r="I514" t="s">
        <v>16</v>
      </c>
      <c r="J514" t="s">
        <v>11</v>
      </c>
      <c r="K514">
        <f>_xlfn.XLOOKUP(tbl_analysis_tickets[[#This Row],[priority]],tbl_sla[priority],tbl_sla[Resolution SLA Hours])</f>
        <v>48</v>
      </c>
      <c r="L514">
        <f>_xlfn.XLOOKUP(tbl_analysis_tickets[[#This Row],[priority]],tbl_sla[priority],tbl_sla[First Response SLA Minutes])</f>
        <v>120</v>
      </c>
      <c r="M514" t="str">
        <f>IF(tbl_analysis_tickets[[#This Row],[resolution_time_hours]]&gt;tbl_analysis_tickets[[#This Row],[Resolution SLA Hours]],"Breached","Within SLA")</f>
        <v>Within SLA</v>
      </c>
      <c r="N514" t="str">
        <f>IF(tbl_analysis_tickets[[#This Row],[first_response_minutes]]&gt;tbl_analysis_tickets[[#This Row],[First Response SLA Minutes]],"Breached","Within SLA")</f>
        <v>Breached</v>
      </c>
      <c r="O514" t="str" cm="1">
        <f t="array" ref="O514">_xlfn.IFS(
tbl_analysis_tickets[[#This Row],[agent_experience_years]]&lt;=2,"Junior",
tbl_analysis_tickets[[#This Row],[agent_experience_years]]&lt;=5,"Mid-Level",
tbl_analysis_tickets[[#This Row],[agent_experience_years]]&lt;=8,"Senior",
tbl_analysis_tickets[[#This Row],[agent_experience_years]]&gt;8,"Expert"
)</f>
        <v>Expert</v>
      </c>
      <c r="P514" cm="1">
        <f t="array" ref="P514">_xlfn.SWITCH(tbl_analysis_tickets[[#This Row],[customer_satisfaction]],
"Low",1,
"Medium",2,
"High",3
)</f>
        <v>1</v>
      </c>
      <c r="Q514">
        <f>IF(tbl_analysis_tickets[[#This Row],[reopened]]="Yes",1,0)</f>
        <v>1</v>
      </c>
      <c r="R514" t="str" cm="1">
        <f t="array" ref="R514">_xlfn.IFS(
tbl_analysis_tickets[[#This Row],[first_response_minutes]]&lt;=30,"Very Fast",
tbl_analysis_tickets[[#This Row],[first_response_minutes]]&lt;=120,"Acceptable",
tbl_analysis_tickets[[#This Row],[first_response_minutes]]&lt;=240,"Slow",
tbl_analysis_tickets[[#This Row],[first_response_minutes]]&gt;240,"Very Slow"
)</f>
        <v>Slow</v>
      </c>
      <c r="S514" t="str" cm="1">
        <f t="array" ref="S51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514" t="str">
        <f>TEXT(tbl_analysis_tickets[[#This Row],[created_date]],"mmm-yyyy")</f>
        <v>Apr-2024</v>
      </c>
      <c r="U514" t="str">
        <f>TEXT(tbl_analysis_tickets[[#This Row],[created_date]],"dddd")</f>
        <v>Friday</v>
      </c>
      <c r="V514" cm="1">
        <f t="array" ref="V514">_xlfn.SWITCH(tbl_analysis_tickets[[#This Row],[priority]],
"Urgent",1,
"High",2,
"Medium",3,
"Low",4
)</f>
        <v>3</v>
      </c>
    </row>
    <row r="515" spans="1:22" x14ac:dyDescent="0.25">
      <c r="A515">
        <v>514</v>
      </c>
      <c r="B515" s="1">
        <v>45654</v>
      </c>
      <c r="C515" t="s">
        <v>21</v>
      </c>
      <c r="D515" t="s">
        <v>17</v>
      </c>
      <c r="E515">
        <v>154</v>
      </c>
      <c r="F515">
        <v>38</v>
      </c>
      <c r="G515">
        <v>0.5</v>
      </c>
      <c r="H515" t="s">
        <v>12</v>
      </c>
      <c r="I515" t="s">
        <v>13</v>
      </c>
      <c r="J515" t="s">
        <v>11</v>
      </c>
      <c r="K515">
        <f>_xlfn.XLOOKUP(tbl_analysis_tickets[[#This Row],[priority]],tbl_sla[priority],tbl_sla[Resolution SLA Hours])</f>
        <v>8</v>
      </c>
      <c r="L515">
        <f>_xlfn.XLOOKUP(tbl_analysis_tickets[[#This Row],[priority]],tbl_sla[priority],tbl_sla[First Response SLA Minutes])</f>
        <v>30</v>
      </c>
      <c r="M515" t="str">
        <f>IF(tbl_analysis_tickets[[#This Row],[resolution_time_hours]]&gt;tbl_analysis_tickets[[#This Row],[Resolution SLA Hours]],"Breached","Within SLA")</f>
        <v>Breached</v>
      </c>
      <c r="N515" t="str">
        <f>IF(tbl_analysis_tickets[[#This Row],[first_response_minutes]]&gt;tbl_analysis_tickets[[#This Row],[First Response SLA Minutes]],"Breached","Within SLA")</f>
        <v>Breached</v>
      </c>
      <c r="O515" t="str" cm="1">
        <f t="array" ref="O515">_xlfn.IFS(
tbl_analysis_tickets[[#This Row],[agent_experience_years]]&lt;=2,"Junior",
tbl_analysis_tickets[[#This Row],[agent_experience_years]]&lt;=5,"Mid-Level",
tbl_analysis_tickets[[#This Row],[agent_experience_years]]&lt;=8,"Senior",
tbl_analysis_tickets[[#This Row],[agent_experience_years]]&gt;8,"Expert"
)</f>
        <v>Junior</v>
      </c>
      <c r="P515" cm="1">
        <f t="array" ref="P515">_xlfn.SWITCH(tbl_analysis_tickets[[#This Row],[customer_satisfaction]],
"Low",1,
"Medium",2,
"High",3
)</f>
        <v>1</v>
      </c>
      <c r="Q515">
        <f>IF(tbl_analysis_tickets[[#This Row],[reopened]]="Yes",1,0)</f>
        <v>1</v>
      </c>
      <c r="R515" t="str" cm="1">
        <f t="array" ref="R515">_xlfn.IFS(
tbl_analysis_tickets[[#This Row],[first_response_minutes]]&lt;=30,"Very Fast",
tbl_analysis_tickets[[#This Row],[first_response_minutes]]&lt;=120,"Acceptable",
tbl_analysis_tickets[[#This Row],[first_response_minutes]]&lt;=240,"Slow",
tbl_analysis_tickets[[#This Row],[first_response_minutes]]&gt;240,"Very Slow"
)</f>
        <v>Slow</v>
      </c>
      <c r="S515" t="str" cm="1">
        <f t="array" ref="S51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515" t="str">
        <f>TEXT(tbl_analysis_tickets[[#This Row],[created_date]],"mmm-yyyy")</f>
        <v>Dec-2024</v>
      </c>
      <c r="U515" t="str">
        <f>TEXT(tbl_analysis_tickets[[#This Row],[created_date]],"dddd")</f>
        <v>Saturday</v>
      </c>
      <c r="V515" cm="1">
        <f t="array" ref="V515">_xlfn.SWITCH(tbl_analysis_tickets[[#This Row],[priority]],
"Urgent",1,
"High",2,
"Medium",3,
"Low",4
)</f>
        <v>1</v>
      </c>
    </row>
    <row r="516" spans="1:22" x14ac:dyDescent="0.25">
      <c r="A516">
        <v>515</v>
      </c>
      <c r="B516" s="1">
        <v>45352</v>
      </c>
      <c r="C516" t="s">
        <v>23</v>
      </c>
      <c r="D516" t="s">
        <v>11</v>
      </c>
      <c r="E516">
        <v>132</v>
      </c>
      <c r="F516">
        <v>41</v>
      </c>
      <c r="G516">
        <v>9.1999999999999993</v>
      </c>
      <c r="H516" t="s">
        <v>12</v>
      </c>
      <c r="I516" t="s">
        <v>16</v>
      </c>
      <c r="J516" t="s">
        <v>11</v>
      </c>
      <c r="K516">
        <f>_xlfn.XLOOKUP(tbl_analysis_tickets[[#This Row],[priority]],tbl_sla[priority],tbl_sla[Resolution SLA Hours])</f>
        <v>72</v>
      </c>
      <c r="L516">
        <f>_xlfn.XLOOKUP(tbl_analysis_tickets[[#This Row],[priority]],tbl_sla[priority],tbl_sla[First Response SLA Minutes])</f>
        <v>240</v>
      </c>
      <c r="M516" t="str">
        <f>IF(tbl_analysis_tickets[[#This Row],[resolution_time_hours]]&gt;tbl_analysis_tickets[[#This Row],[Resolution SLA Hours]],"Breached","Within SLA")</f>
        <v>Within SLA</v>
      </c>
      <c r="N516" t="str">
        <f>IF(tbl_analysis_tickets[[#This Row],[first_response_minutes]]&gt;tbl_analysis_tickets[[#This Row],[First Response SLA Minutes]],"Breached","Within SLA")</f>
        <v>Within SLA</v>
      </c>
      <c r="O516" t="str" cm="1">
        <f t="array" ref="O516">_xlfn.IFS(
tbl_analysis_tickets[[#This Row],[agent_experience_years]]&lt;=2,"Junior",
tbl_analysis_tickets[[#This Row],[agent_experience_years]]&lt;=5,"Mid-Level",
tbl_analysis_tickets[[#This Row],[agent_experience_years]]&lt;=8,"Senior",
tbl_analysis_tickets[[#This Row],[agent_experience_years]]&gt;8,"Expert"
)</f>
        <v>Expert</v>
      </c>
      <c r="P516" cm="1">
        <f t="array" ref="P516">_xlfn.SWITCH(tbl_analysis_tickets[[#This Row],[customer_satisfaction]],
"Low",1,
"Medium",2,
"High",3
)</f>
        <v>1</v>
      </c>
      <c r="Q516">
        <f>IF(tbl_analysis_tickets[[#This Row],[reopened]]="Yes",1,0)</f>
        <v>1</v>
      </c>
      <c r="R516" t="str" cm="1">
        <f t="array" ref="R516">_xlfn.IFS(
tbl_analysis_tickets[[#This Row],[first_response_minutes]]&lt;=30,"Very Fast",
tbl_analysis_tickets[[#This Row],[first_response_minutes]]&lt;=120,"Acceptable",
tbl_analysis_tickets[[#This Row],[first_response_minutes]]&lt;=240,"Slow",
tbl_analysis_tickets[[#This Row],[first_response_minutes]]&gt;240,"Very Slow"
)</f>
        <v>Slow</v>
      </c>
      <c r="S516" t="str" cm="1">
        <f t="array" ref="S51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516" t="str">
        <f>TEXT(tbl_analysis_tickets[[#This Row],[created_date]],"mmm-yyyy")</f>
        <v>Mar-2024</v>
      </c>
      <c r="U516" t="str">
        <f>TEXT(tbl_analysis_tickets[[#This Row],[created_date]],"dddd")</f>
        <v>Friday</v>
      </c>
      <c r="V516" cm="1">
        <f t="array" ref="V516">_xlfn.SWITCH(tbl_analysis_tickets[[#This Row],[priority]],
"Urgent",1,
"High",2,
"Medium",3,
"Low",4
)</f>
        <v>4</v>
      </c>
    </row>
    <row r="517" spans="1:22" x14ac:dyDescent="0.25">
      <c r="A517">
        <v>516</v>
      </c>
      <c r="B517" s="1">
        <v>45311</v>
      </c>
      <c r="C517" t="s">
        <v>23</v>
      </c>
      <c r="D517" t="s">
        <v>11</v>
      </c>
      <c r="E517">
        <v>74</v>
      </c>
      <c r="F517">
        <v>36</v>
      </c>
      <c r="G517">
        <v>4.3</v>
      </c>
      <c r="H517" t="s">
        <v>12</v>
      </c>
      <c r="I517" t="s">
        <v>19</v>
      </c>
      <c r="J517" t="s">
        <v>11</v>
      </c>
      <c r="K517">
        <f>_xlfn.XLOOKUP(tbl_analysis_tickets[[#This Row],[priority]],tbl_sla[priority],tbl_sla[Resolution SLA Hours])</f>
        <v>72</v>
      </c>
      <c r="L517">
        <f>_xlfn.XLOOKUP(tbl_analysis_tickets[[#This Row],[priority]],tbl_sla[priority],tbl_sla[First Response SLA Minutes])</f>
        <v>240</v>
      </c>
      <c r="M517" t="str">
        <f>IF(tbl_analysis_tickets[[#This Row],[resolution_time_hours]]&gt;tbl_analysis_tickets[[#This Row],[Resolution SLA Hours]],"Breached","Within SLA")</f>
        <v>Within SLA</v>
      </c>
      <c r="N517" t="str">
        <f>IF(tbl_analysis_tickets[[#This Row],[first_response_minutes]]&gt;tbl_analysis_tickets[[#This Row],[First Response SLA Minutes]],"Breached","Within SLA")</f>
        <v>Within SLA</v>
      </c>
      <c r="O517" t="str" cm="1">
        <f t="array" ref="O517">_xlfn.IFS(
tbl_analysis_tickets[[#This Row],[agent_experience_years]]&lt;=2,"Junior",
tbl_analysis_tickets[[#This Row],[agent_experience_years]]&lt;=5,"Mid-Level",
tbl_analysis_tickets[[#This Row],[agent_experience_years]]&lt;=8,"Senior",
tbl_analysis_tickets[[#This Row],[agent_experience_years]]&gt;8,"Expert"
)</f>
        <v>Mid-Level</v>
      </c>
      <c r="P517" cm="1">
        <f t="array" ref="P517">_xlfn.SWITCH(tbl_analysis_tickets[[#This Row],[customer_satisfaction]],
"Low",1,
"Medium",2,
"High",3
)</f>
        <v>1</v>
      </c>
      <c r="Q517">
        <f>IF(tbl_analysis_tickets[[#This Row],[reopened]]="Yes",1,0)</f>
        <v>1</v>
      </c>
      <c r="R517" t="str" cm="1">
        <f t="array" ref="R517">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517" t="str" cm="1">
        <f t="array" ref="S51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517" t="str">
        <f>TEXT(tbl_analysis_tickets[[#This Row],[created_date]],"mmm-yyyy")</f>
        <v>Jan-2024</v>
      </c>
      <c r="U517" t="str">
        <f>TEXT(tbl_analysis_tickets[[#This Row],[created_date]],"dddd")</f>
        <v>Saturday</v>
      </c>
      <c r="V517" cm="1">
        <f t="array" ref="V517">_xlfn.SWITCH(tbl_analysis_tickets[[#This Row],[priority]],
"Urgent",1,
"High",2,
"Medium",3,
"Low",4
)</f>
        <v>4</v>
      </c>
    </row>
    <row r="518" spans="1:22" x14ac:dyDescent="0.25">
      <c r="A518">
        <v>517</v>
      </c>
      <c r="B518" s="1">
        <v>45442</v>
      </c>
      <c r="C518" t="s">
        <v>21</v>
      </c>
      <c r="D518" t="s">
        <v>20</v>
      </c>
      <c r="E518">
        <v>160</v>
      </c>
      <c r="F518">
        <v>54</v>
      </c>
      <c r="G518">
        <v>1.2</v>
      </c>
      <c r="H518" t="s">
        <v>12</v>
      </c>
      <c r="I518" t="s">
        <v>16</v>
      </c>
      <c r="J518" t="s">
        <v>11</v>
      </c>
      <c r="K518">
        <f>_xlfn.XLOOKUP(tbl_analysis_tickets[[#This Row],[priority]],tbl_sla[priority],tbl_sla[Resolution SLA Hours])</f>
        <v>24</v>
      </c>
      <c r="L518">
        <f>_xlfn.XLOOKUP(tbl_analysis_tickets[[#This Row],[priority]],tbl_sla[priority],tbl_sla[First Response SLA Minutes])</f>
        <v>60</v>
      </c>
      <c r="M518" t="str">
        <f>IF(tbl_analysis_tickets[[#This Row],[resolution_time_hours]]&gt;tbl_analysis_tickets[[#This Row],[Resolution SLA Hours]],"Breached","Within SLA")</f>
        <v>Breached</v>
      </c>
      <c r="N518" t="str">
        <f>IF(tbl_analysis_tickets[[#This Row],[first_response_minutes]]&gt;tbl_analysis_tickets[[#This Row],[First Response SLA Minutes]],"Breached","Within SLA")</f>
        <v>Breached</v>
      </c>
      <c r="O518" t="str" cm="1">
        <f t="array" ref="O518">_xlfn.IFS(
tbl_analysis_tickets[[#This Row],[agent_experience_years]]&lt;=2,"Junior",
tbl_analysis_tickets[[#This Row],[agent_experience_years]]&lt;=5,"Mid-Level",
tbl_analysis_tickets[[#This Row],[agent_experience_years]]&lt;=8,"Senior",
tbl_analysis_tickets[[#This Row],[agent_experience_years]]&gt;8,"Expert"
)</f>
        <v>Junior</v>
      </c>
      <c r="P518" cm="1">
        <f t="array" ref="P518">_xlfn.SWITCH(tbl_analysis_tickets[[#This Row],[customer_satisfaction]],
"Low",1,
"Medium",2,
"High",3
)</f>
        <v>1</v>
      </c>
      <c r="Q518">
        <f>IF(tbl_analysis_tickets[[#This Row],[reopened]]="Yes",1,0)</f>
        <v>1</v>
      </c>
      <c r="R518" t="str" cm="1">
        <f t="array" ref="R518">_xlfn.IFS(
tbl_analysis_tickets[[#This Row],[first_response_minutes]]&lt;=30,"Very Fast",
tbl_analysis_tickets[[#This Row],[first_response_minutes]]&lt;=120,"Acceptable",
tbl_analysis_tickets[[#This Row],[first_response_minutes]]&lt;=240,"Slow",
tbl_analysis_tickets[[#This Row],[first_response_minutes]]&gt;240,"Very Slow"
)</f>
        <v>Slow</v>
      </c>
      <c r="S518" t="str" cm="1">
        <f t="array" ref="S51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518" t="str">
        <f>TEXT(tbl_analysis_tickets[[#This Row],[created_date]],"mmm-yyyy")</f>
        <v>May-2024</v>
      </c>
      <c r="U518" t="str">
        <f>TEXT(tbl_analysis_tickets[[#This Row],[created_date]],"dddd")</f>
        <v>Thursday</v>
      </c>
      <c r="V518" cm="1">
        <f t="array" ref="V518">_xlfn.SWITCH(tbl_analysis_tickets[[#This Row],[priority]],
"Urgent",1,
"High",2,
"Medium",3,
"Low",4
)</f>
        <v>2</v>
      </c>
    </row>
    <row r="519" spans="1:22" x14ac:dyDescent="0.25">
      <c r="A519">
        <v>518</v>
      </c>
      <c r="B519" s="1">
        <v>45345</v>
      </c>
      <c r="C519" t="s">
        <v>23</v>
      </c>
      <c r="D519" t="s">
        <v>15</v>
      </c>
      <c r="E519">
        <v>209</v>
      </c>
      <c r="F519">
        <v>35</v>
      </c>
      <c r="G519">
        <v>1.9</v>
      </c>
      <c r="H519" t="s">
        <v>18</v>
      </c>
      <c r="I519" t="s">
        <v>13</v>
      </c>
      <c r="J519" t="s">
        <v>11</v>
      </c>
      <c r="K519">
        <f>_xlfn.XLOOKUP(tbl_analysis_tickets[[#This Row],[priority]],tbl_sla[priority],tbl_sla[Resolution SLA Hours])</f>
        <v>48</v>
      </c>
      <c r="L519">
        <f>_xlfn.XLOOKUP(tbl_analysis_tickets[[#This Row],[priority]],tbl_sla[priority],tbl_sla[First Response SLA Minutes])</f>
        <v>120</v>
      </c>
      <c r="M519" t="str">
        <f>IF(tbl_analysis_tickets[[#This Row],[resolution_time_hours]]&gt;tbl_analysis_tickets[[#This Row],[Resolution SLA Hours]],"Breached","Within SLA")</f>
        <v>Within SLA</v>
      </c>
      <c r="N519" t="str">
        <f>IF(tbl_analysis_tickets[[#This Row],[first_response_minutes]]&gt;tbl_analysis_tickets[[#This Row],[First Response SLA Minutes]],"Breached","Within SLA")</f>
        <v>Breached</v>
      </c>
      <c r="O519" t="str" cm="1">
        <f t="array" ref="O519">_xlfn.IFS(
tbl_analysis_tickets[[#This Row],[agent_experience_years]]&lt;=2,"Junior",
tbl_analysis_tickets[[#This Row],[agent_experience_years]]&lt;=5,"Mid-Level",
tbl_analysis_tickets[[#This Row],[agent_experience_years]]&lt;=8,"Senior",
tbl_analysis_tickets[[#This Row],[agent_experience_years]]&gt;8,"Expert"
)</f>
        <v>Junior</v>
      </c>
      <c r="P519" cm="1">
        <f t="array" ref="P519">_xlfn.SWITCH(tbl_analysis_tickets[[#This Row],[customer_satisfaction]],
"Low",1,
"Medium",2,
"High",3
)</f>
        <v>1</v>
      </c>
      <c r="Q519">
        <f>IF(tbl_analysis_tickets[[#This Row],[reopened]]="Yes",1,0)</f>
        <v>0</v>
      </c>
      <c r="R519" t="str" cm="1">
        <f t="array" ref="R519">_xlfn.IFS(
tbl_analysis_tickets[[#This Row],[first_response_minutes]]&lt;=30,"Very Fast",
tbl_analysis_tickets[[#This Row],[first_response_minutes]]&lt;=120,"Acceptable",
tbl_analysis_tickets[[#This Row],[first_response_minutes]]&lt;=240,"Slow",
tbl_analysis_tickets[[#This Row],[first_response_minutes]]&gt;240,"Very Slow"
)</f>
        <v>Slow</v>
      </c>
      <c r="S519" t="str" cm="1">
        <f t="array" ref="S51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519" t="str">
        <f>TEXT(tbl_analysis_tickets[[#This Row],[created_date]],"mmm-yyyy")</f>
        <v>Feb-2024</v>
      </c>
      <c r="U519" t="str">
        <f>TEXT(tbl_analysis_tickets[[#This Row],[created_date]],"dddd")</f>
        <v>Friday</v>
      </c>
      <c r="V519" cm="1">
        <f t="array" ref="V519">_xlfn.SWITCH(tbl_analysis_tickets[[#This Row],[priority]],
"Urgent",1,
"High",2,
"Medium",3,
"Low",4
)</f>
        <v>3</v>
      </c>
    </row>
    <row r="520" spans="1:22" x14ac:dyDescent="0.25">
      <c r="A520">
        <v>519</v>
      </c>
      <c r="B520" s="1">
        <v>45384</v>
      </c>
      <c r="C520" t="s">
        <v>10</v>
      </c>
      <c r="D520" t="s">
        <v>11</v>
      </c>
      <c r="E520">
        <v>62</v>
      </c>
      <c r="F520">
        <v>19</v>
      </c>
      <c r="G520">
        <v>8.1999999999999993</v>
      </c>
      <c r="H520" t="s">
        <v>18</v>
      </c>
      <c r="I520" t="s">
        <v>19</v>
      </c>
      <c r="J520" t="s">
        <v>15</v>
      </c>
      <c r="K520">
        <f>_xlfn.XLOOKUP(tbl_analysis_tickets[[#This Row],[priority]],tbl_sla[priority],tbl_sla[Resolution SLA Hours])</f>
        <v>72</v>
      </c>
      <c r="L520">
        <f>_xlfn.XLOOKUP(tbl_analysis_tickets[[#This Row],[priority]],tbl_sla[priority],tbl_sla[First Response SLA Minutes])</f>
        <v>240</v>
      </c>
      <c r="M520" t="str">
        <f>IF(tbl_analysis_tickets[[#This Row],[resolution_time_hours]]&gt;tbl_analysis_tickets[[#This Row],[Resolution SLA Hours]],"Breached","Within SLA")</f>
        <v>Within SLA</v>
      </c>
      <c r="N520" t="str">
        <f>IF(tbl_analysis_tickets[[#This Row],[first_response_minutes]]&gt;tbl_analysis_tickets[[#This Row],[First Response SLA Minutes]],"Breached","Within SLA")</f>
        <v>Within SLA</v>
      </c>
      <c r="O520" t="str" cm="1">
        <f t="array" ref="O520">_xlfn.IFS(
tbl_analysis_tickets[[#This Row],[agent_experience_years]]&lt;=2,"Junior",
tbl_analysis_tickets[[#This Row],[agent_experience_years]]&lt;=5,"Mid-Level",
tbl_analysis_tickets[[#This Row],[agent_experience_years]]&lt;=8,"Senior",
tbl_analysis_tickets[[#This Row],[agent_experience_years]]&gt;8,"Expert"
)</f>
        <v>Expert</v>
      </c>
      <c r="P520" cm="1">
        <f t="array" ref="P520">_xlfn.SWITCH(tbl_analysis_tickets[[#This Row],[customer_satisfaction]],
"Low",1,
"Medium",2,
"High",3
)</f>
        <v>2</v>
      </c>
      <c r="Q520">
        <f>IF(tbl_analysis_tickets[[#This Row],[reopened]]="Yes",1,0)</f>
        <v>0</v>
      </c>
      <c r="R520" t="str" cm="1">
        <f t="array" ref="R520">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520" t="str" cm="1">
        <f t="array" ref="S52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520" t="str">
        <f>TEXT(tbl_analysis_tickets[[#This Row],[created_date]],"mmm-yyyy")</f>
        <v>Apr-2024</v>
      </c>
      <c r="U520" t="str">
        <f>TEXT(tbl_analysis_tickets[[#This Row],[created_date]],"dddd")</f>
        <v>Tuesday</v>
      </c>
      <c r="V520" cm="1">
        <f t="array" ref="V520">_xlfn.SWITCH(tbl_analysis_tickets[[#This Row],[priority]],
"Urgent",1,
"High",2,
"Medium",3,
"Low",4
)</f>
        <v>4</v>
      </c>
    </row>
    <row r="521" spans="1:22" x14ac:dyDescent="0.25">
      <c r="A521">
        <v>520</v>
      </c>
      <c r="B521" s="1">
        <v>45438</v>
      </c>
      <c r="C521" t="s">
        <v>22</v>
      </c>
      <c r="D521" t="s">
        <v>15</v>
      </c>
      <c r="E521">
        <v>236</v>
      </c>
      <c r="F521">
        <v>62</v>
      </c>
      <c r="G521">
        <v>1.1000000000000001</v>
      </c>
      <c r="H521" t="s">
        <v>12</v>
      </c>
      <c r="I521" t="s">
        <v>16</v>
      </c>
      <c r="J521" t="s">
        <v>11</v>
      </c>
      <c r="K521">
        <f>_xlfn.XLOOKUP(tbl_analysis_tickets[[#This Row],[priority]],tbl_sla[priority],tbl_sla[Resolution SLA Hours])</f>
        <v>48</v>
      </c>
      <c r="L521">
        <f>_xlfn.XLOOKUP(tbl_analysis_tickets[[#This Row],[priority]],tbl_sla[priority],tbl_sla[First Response SLA Minutes])</f>
        <v>120</v>
      </c>
      <c r="M521" t="str">
        <f>IF(tbl_analysis_tickets[[#This Row],[resolution_time_hours]]&gt;tbl_analysis_tickets[[#This Row],[Resolution SLA Hours]],"Breached","Within SLA")</f>
        <v>Breached</v>
      </c>
      <c r="N521" t="str">
        <f>IF(tbl_analysis_tickets[[#This Row],[first_response_minutes]]&gt;tbl_analysis_tickets[[#This Row],[First Response SLA Minutes]],"Breached","Within SLA")</f>
        <v>Breached</v>
      </c>
      <c r="O521" t="str" cm="1">
        <f t="array" ref="O521">_xlfn.IFS(
tbl_analysis_tickets[[#This Row],[agent_experience_years]]&lt;=2,"Junior",
tbl_analysis_tickets[[#This Row],[agent_experience_years]]&lt;=5,"Mid-Level",
tbl_analysis_tickets[[#This Row],[agent_experience_years]]&lt;=8,"Senior",
tbl_analysis_tickets[[#This Row],[agent_experience_years]]&gt;8,"Expert"
)</f>
        <v>Junior</v>
      </c>
      <c r="P521" cm="1">
        <f t="array" ref="P521">_xlfn.SWITCH(tbl_analysis_tickets[[#This Row],[customer_satisfaction]],
"Low",1,
"Medium",2,
"High",3
)</f>
        <v>1</v>
      </c>
      <c r="Q521">
        <f>IF(tbl_analysis_tickets[[#This Row],[reopened]]="Yes",1,0)</f>
        <v>1</v>
      </c>
      <c r="R521" t="str" cm="1">
        <f t="array" ref="R521">_xlfn.IFS(
tbl_analysis_tickets[[#This Row],[first_response_minutes]]&lt;=30,"Very Fast",
tbl_analysis_tickets[[#This Row],[first_response_minutes]]&lt;=120,"Acceptable",
tbl_analysis_tickets[[#This Row],[first_response_minutes]]&lt;=240,"Slow",
tbl_analysis_tickets[[#This Row],[first_response_minutes]]&gt;240,"Very Slow"
)</f>
        <v>Slow</v>
      </c>
      <c r="S521" t="str" cm="1">
        <f t="array" ref="S52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521" t="str">
        <f>TEXT(tbl_analysis_tickets[[#This Row],[created_date]],"mmm-yyyy")</f>
        <v>May-2024</v>
      </c>
      <c r="U521" t="str">
        <f>TEXT(tbl_analysis_tickets[[#This Row],[created_date]],"dddd")</f>
        <v>Sunday</v>
      </c>
      <c r="V521" cm="1">
        <f t="array" ref="V521">_xlfn.SWITCH(tbl_analysis_tickets[[#This Row],[priority]],
"Urgent",1,
"High",2,
"Medium",3,
"Low",4
)</f>
        <v>3</v>
      </c>
    </row>
    <row r="522" spans="1:22" x14ac:dyDescent="0.25">
      <c r="A522">
        <v>521</v>
      </c>
      <c r="B522" s="1">
        <v>45296</v>
      </c>
      <c r="C522" t="s">
        <v>21</v>
      </c>
      <c r="D522" t="s">
        <v>11</v>
      </c>
      <c r="E522">
        <v>191</v>
      </c>
      <c r="F522">
        <v>28</v>
      </c>
      <c r="G522">
        <v>5.4</v>
      </c>
      <c r="H522" t="s">
        <v>18</v>
      </c>
      <c r="I522" t="s">
        <v>13</v>
      </c>
      <c r="J522" t="s">
        <v>15</v>
      </c>
      <c r="K522">
        <f>_xlfn.XLOOKUP(tbl_analysis_tickets[[#This Row],[priority]],tbl_sla[priority],tbl_sla[Resolution SLA Hours])</f>
        <v>72</v>
      </c>
      <c r="L522">
        <f>_xlfn.XLOOKUP(tbl_analysis_tickets[[#This Row],[priority]],tbl_sla[priority],tbl_sla[First Response SLA Minutes])</f>
        <v>240</v>
      </c>
      <c r="M522" t="str">
        <f>IF(tbl_analysis_tickets[[#This Row],[resolution_time_hours]]&gt;tbl_analysis_tickets[[#This Row],[Resolution SLA Hours]],"Breached","Within SLA")</f>
        <v>Within SLA</v>
      </c>
      <c r="N522" t="str">
        <f>IF(tbl_analysis_tickets[[#This Row],[first_response_minutes]]&gt;tbl_analysis_tickets[[#This Row],[First Response SLA Minutes]],"Breached","Within SLA")</f>
        <v>Within SLA</v>
      </c>
      <c r="O522" t="str" cm="1">
        <f t="array" ref="O522">_xlfn.IFS(
tbl_analysis_tickets[[#This Row],[agent_experience_years]]&lt;=2,"Junior",
tbl_analysis_tickets[[#This Row],[agent_experience_years]]&lt;=5,"Mid-Level",
tbl_analysis_tickets[[#This Row],[agent_experience_years]]&lt;=8,"Senior",
tbl_analysis_tickets[[#This Row],[agent_experience_years]]&gt;8,"Expert"
)</f>
        <v>Senior</v>
      </c>
      <c r="P522" cm="1">
        <f t="array" ref="P522">_xlfn.SWITCH(tbl_analysis_tickets[[#This Row],[customer_satisfaction]],
"Low",1,
"Medium",2,
"High",3
)</f>
        <v>2</v>
      </c>
      <c r="Q522">
        <f>IF(tbl_analysis_tickets[[#This Row],[reopened]]="Yes",1,0)</f>
        <v>0</v>
      </c>
      <c r="R522" t="str" cm="1">
        <f t="array" ref="R522">_xlfn.IFS(
tbl_analysis_tickets[[#This Row],[first_response_minutes]]&lt;=30,"Very Fast",
tbl_analysis_tickets[[#This Row],[first_response_minutes]]&lt;=120,"Acceptable",
tbl_analysis_tickets[[#This Row],[first_response_minutes]]&lt;=240,"Slow",
tbl_analysis_tickets[[#This Row],[first_response_minutes]]&gt;240,"Very Slow"
)</f>
        <v>Slow</v>
      </c>
      <c r="S522" t="str" cm="1">
        <f t="array" ref="S52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522" t="str">
        <f>TEXT(tbl_analysis_tickets[[#This Row],[created_date]],"mmm-yyyy")</f>
        <v>Jan-2024</v>
      </c>
      <c r="U522" t="str">
        <f>TEXT(tbl_analysis_tickets[[#This Row],[created_date]],"dddd")</f>
        <v>Friday</v>
      </c>
      <c r="V522" cm="1">
        <f t="array" ref="V522">_xlfn.SWITCH(tbl_analysis_tickets[[#This Row],[priority]],
"Urgent",1,
"High",2,
"Medium",3,
"Low",4
)</f>
        <v>4</v>
      </c>
    </row>
    <row r="523" spans="1:22" x14ac:dyDescent="0.25">
      <c r="A523">
        <v>522</v>
      </c>
      <c r="B523" s="1">
        <v>45340</v>
      </c>
      <c r="C523" t="s">
        <v>21</v>
      </c>
      <c r="D523" t="s">
        <v>11</v>
      </c>
      <c r="E523">
        <v>205</v>
      </c>
      <c r="F523">
        <v>40</v>
      </c>
      <c r="G523">
        <v>1.3</v>
      </c>
      <c r="H523" t="s">
        <v>12</v>
      </c>
      <c r="I523" t="s">
        <v>16</v>
      </c>
      <c r="J523" t="s">
        <v>11</v>
      </c>
      <c r="K523">
        <f>_xlfn.XLOOKUP(tbl_analysis_tickets[[#This Row],[priority]],tbl_sla[priority],tbl_sla[Resolution SLA Hours])</f>
        <v>72</v>
      </c>
      <c r="L523">
        <f>_xlfn.XLOOKUP(tbl_analysis_tickets[[#This Row],[priority]],tbl_sla[priority],tbl_sla[First Response SLA Minutes])</f>
        <v>240</v>
      </c>
      <c r="M523" t="str">
        <f>IF(tbl_analysis_tickets[[#This Row],[resolution_time_hours]]&gt;tbl_analysis_tickets[[#This Row],[Resolution SLA Hours]],"Breached","Within SLA")</f>
        <v>Within SLA</v>
      </c>
      <c r="N523" t="str">
        <f>IF(tbl_analysis_tickets[[#This Row],[first_response_minutes]]&gt;tbl_analysis_tickets[[#This Row],[First Response SLA Minutes]],"Breached","Within SLA")</f>
        <v>Within SLA</v>
      </c>
      <c r="O523" t="str" cm="1">
        <f t="array" ref="O523">_xlfn.IFS(
tbl_analysis_tickets[[#This Row],[agent_experience_years]]&lt;=2,"Junior",
tbl_analysis_tickets[[#This Row],[agent_experience_years]]&lt;=5,"Mid-Level",
tbl_analysis_tickets[[#This Row],[agent_experience_years]]&lt;=8,"Senior",
tbl_analysis_tickets[[#This Row],[agent_experience_years]]&gt;8,"Expert"
)</f>
        <v>Junior</v>
      </c>
      <c r="P523" cm="1">
        <f t="array" ref="P523">_xlfn.SWITCH(tbl_analysis_tickets[[#This Row],[customer_satisfaction]],
"Low",1,
"Medium",2,
"High",3
)</f>
        <v>1</v>
      </c>
      <c r="Q523">
        <f>IF(tbl_analysis_tickets[[#This Row],[reopened]]="Yes",1,0)</f>
        <v>1</v>
      </c>
      <c r="R523" t="str" cm="1">
        <f t="array" ref="R523">_xlfn.IFS(
tbl_analysis_tickets[[#This Row],[first_response_minutes]]&lt;=30,"Very Fast",
tbl_analysis_tickets[[#This Row],[first_response_minutes]]&lt;=120,"Acceptable",
tbl_analysis_tickets[[#This Row],[first_response_minutes]]&lt;=240,"Slow",
tbl_analysis_tickets[[#This Row],[first_response_minutes]]&gt;240,"Very Slow"
)</f>
        <v>Slow</v>
      </c>
      <c r="S523" t="str" cm="1">
        <f t="array" ref="S52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523" t="str">
        <f>TEXT(tbl_analysis_tickets[[#This Row],[created_date]],"mmm-yyyy")</f>
        <v>Feb-2024</v>
      </c>
      <c r="U523" t="str">
        <f>TEXT(tbl_analysis_tickets[[#This Row],[created_date]],"dddd")</f>
        <v>Sunday</v>
      </c>
      <c r="V523" cm="1">
        <f t="array" ref="V523">_xlfn.SWITCH(tbl_analysis_tickets[[#This Row],[priority]],
"Urgent",1,
"High",2,
"Medium",3,
"Low",4
)</f>
        <v>4</v>
      </c>
    </row>
    <row r="524" spans="1:22" x14ac:dyDescent="0.25">
      <c r="A524">
        <v>523</v>
      </c>
      <c r="B524" s="1">
        <v>45361</v>
      </c>
      <c r="C524" t="s">
        <v>10</v>
      </c>
      <c r="D524" t="s">
        <v>15</v>
      </c>
      <c r="E524">
        <v>170</v>
      </c>
      <c r="F524">
        <v>30</v>
      </c>
      <c r="G524">
        <v>8.6</v>
      </c>
      <c r="H524" t="s">
        <v>18</v>
      </c>
      <c r="I524" t="s">
        <v>16</v>
      </c>
      <c r="J524" t="s">
        <v>15</v>
      </c>
      <c r="K524">
        <f>_xlfn.XLOOKUP(tbl_analysis_tickets[[#This Row],[priority]],tbl_sla[priority],tbl_sla[Resolution SLA Hours])</f>
        <v>48</v>
      </c>
      <c r="L524">
        <f>_xlfn.XLOOKUP(tbl_analysis_tickets[[#This Row],[priority]],tbl_sla[priority],tbl_sla[First Response SLA Minutes])</f>
        <v>120</v>
      </c>
      <c r="M524" t="str">
        <f>IF(tbl_analysis_tickets[[#This Row],[resolution_time_hours]]&gt;tbl_analysis_tickets[[#This Row],[Resolution SLA Hours]],"Breached","Within SLA")</f>
        <v>Within SLA</v>
      </c>
      <c r="N524" t="str">
        <f>IF(tbl_analysis_tickets[[#This Row],[first_response_minutes]]&gt;tbl_analysis_tickets[[#This Row],[First Response SLA Minutes]],"Breached","Within SLA")</f>
        <v>Breached</v>
      </c>
      <c r="O524" t="str" cm="1">
        <f t="array" ref="O524">_xlfn.IFS(
tbl_analysis_tickets[[#This Row],[agent_experience_years]]&lt;=2,"Junior",
tbl_analysis_tickets[[#This Row],[agent_experience_years]]&lt;=5,"Mid-Level",
tbl_analysis_tickets[[#This Row],[agent_experience_years]]&lt;=8,"Senior",
tbl_analysis_tickets[[#This Row],[agent_experience_years]]&gt;8,"Expert"
)</f>
        <v>Expert</v>
      </c>
      <c r="P524" cm="1">
        <f t="array" ref="P524">_xlfn.SWITCH(tbl_analysis_tickets[[#This Row],[customer_satisfaction]],
"Low",1,
"Medium",2,
"High",3
)</f>
        <v>2</v>
      </c>
      <c r="Q524">
        <f>IF(tbl_analysis_tickets[[#This Row],[reopened]]="Yes",1,0)</f>
        <v>0</v>
      </c>
      <c r="R524" t="str" cm="1">
        <f t="array" ref="R524">_xlfn.IFS(
tbl_analysis_tickets[[#This Row],[first_response_minutes]]&lt;=30,"Very Fast",
tbl_analysis_tickets[[#This Row],[first_response_minutes]]&lt;=120,"Acceptable",
tbl_analysis_tickets[[#This Row],[first_response_minutes]]&lt;=240,"Slow",
tbl_analysis_tickets[[#This Row],[first_response_minutes]]&gt;240,"Very Slow"
)</f>
        <v>Slow</v>
      </c>
      <c r="S524" t="str" cm="1">
        <f t="array" ref="S52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524" t="str">
        <f>TEXT(tbl_analysis_tickets[[#This Row],[created_date]],"mmm-yyyy")</f>
        <v>Mar-2024</v>
      </c>
      <c r="U524" t="str">
        <f>TEXT(tbl_analysis_tickets[[#This Row],[created_date]],"dddd")</f>
        <v>Sunday</v>
      </c>
      <c r="V524" cm="1">
        <f t="array" ref="V524">_xlfn.SWITCH(tbl_analysis_tickets[[#This Row],[priority]],
"Urgent",1,
"High",2,
"Medium",3,
"Low",4
)</f>
        <v>3</v>
      </c>
    </row>
    <row r="525" spans="1:22" x14ac:dyDescent="0.25">
      <c r="A525">
        <v>524</v>
      </c>
      <c r="B525" s="1">
        <v>45538</v>
      </c>
      <c r="C525" t="s">
        <v>22</v>
      </c>
      <c r="D525" t="s">
        <v>11</v>
      </c>
      <c r="E525">
        <v>209</v>
      </c>
      <c r="F525">
        <v>50</v>
      </c>
      <c r="G525">
        <v>1.7</v>
      </c>
      <c r="H525" t="s">
        <v>12</v>
      </c>
      <c r="I525" t="s">
        <v>16</v>
      </c>
      <c r="J525" t="s">
        <v>11</v>
      </c>
      <c r="K525">
        <f>_xlfn.XLOOKUP(tbl_analysis_tickets[[#This Row],[priority]],tbl_sla[priority],tbl_sla[Resolution SLA Hours])</f>
        <v>72</v>
      </c>
      <c r="L525">
        <f>_xlfn.XLOOKUP(tbl_analysis_tickets[[#This Row],[priority]],tbl_sla[priority],tbl_sla[First Response SLA Minutes])</f>
        <v>240</v>
      </c>
      <c r="M525" t="str">
        <f>IF(tbl_analysis_tickets[[#This Row],[resolution_time_hours]]&gt;tbl_analysis_tickets[[#This Row],[Resolution SLA Hours]],"Breached","Within SLA")</f>
        <v>Within SLA</v>
      </c>
      <c r="N525" t="str">
        <f>IF(tbl_analysis_tickets[[#This Row],[first_response_minutes]]&gt;tbl_analysis_tickets[[#This Row],[First Response SLA Minutes]],"Breached","Within SLA")</f>
        <v>Within SLA</v>
      </c>
      <c r="O525" t="str" cm="1">
        <f t="array" ref="O525">_xlfn.IFS(
tbl_analysis_tickets[[#This Row],[agent_experience_years]]&lt;=2,"Junior",
tbl_analysis_tickets[[#This Row],[agent_experience_years]]&lt;=5,"Mid-Level",
tbl_analysis_tickets[[#This Row],[agent_experience_years]]&lt;=8,"Senior",
tbl_analysis_tickets[[#This Row],[agent_experience_years]]&gt;8,"Expert"
)</f>
        <v>Junior</v>
      </c>
      <c r="P525" cm="1">
        <f t="array" ref="P525">_xlfn.SWITCH(tbl_analysis_tickets[[#This Row],[customer_satisfaction]],
"Low",1,
"Medium",2,
"High",3
)</f>
        <v>1</v>
      </c>
      <c r="Q525">
        <f>IF(tbl_analysis_tickets[[#This Row],[reopened]]="Yes",1,0)</f>
        <v>1</v>
      </c>
      <c r="R525" t="str" cm="1">
        <f t="array" ref="R525">_xlfn.IFS(
tbl_analysis_tickets[[#This Row],[first_response_minutes]]&lt;=30,"Very Fast",
tbl_analysis_tickets[[#This Row],[first_response_minutes]]&lt;=120,"Acceptable",
tbl_analysis_tickets[[#This Row],[first_response_minutes]]&lt;=240,"Slow",
tbl_analysis_tickets[[#This Row],[first_response_minutes]]&gt;240,"Very Slow"
)</f>
        <v>Slow</v>
      </c>
      <c r="S525" t="str" cm="1">
        <f t="array" ref="S52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525" t="str">
        <f>TEXT(tbl_analysis_tickets[[#This Row],[created_date]],"mmm-yyyy")</f>
        <v>Sep-2024</v>
      </c>
      <c r="U525" t="str">
        <f>TEXT(tbl_analysis_tickets[[#This Row],[created_date]],"dddd")</f>
        <v>Tuesday</v>
      </c>
      <c r="V525" cm="1">
        <f t="array" ref="V525">_xlfn.SWITCH(tbl_analysis_tickets[[#This Row],[priority]],
"Urgent",1,
"High",2,
"Medium",3,
"Low",4
)</f>
        <v>4</v>
      </c>
    </row>
    <row r="526" spans="1:22" x14ac:dyDescent="0.25">
      <c r="A526">
        <v>525</v>
      </c>
      <c r="B526" s="1">
        <v>45464</v>
      </c>
      <c r="C526" t="s">
        <v>22</v>
      </c>
      <c r="D526" t="s">
        <v>20</v>
      </c>
      <c r="E526">
        <v>113</v>
      </c>
      <c r="F526">
        <v>18</v>
      </c>
      <c r="G526">
        <v>5.8</v>
      </c>
      <c r="H526" t="s">
        <v>18</v>
      </c>
      <c r="I526" t="s">
        <v>19</v>
      </c>
      <c r="J526" t="s">
        <v>11</v>
      </c>
      <c r="K526">
        <f>_xlfn.XLOOKUP(tbl_analysis_tickets[[#This Row],[priority]],tbl_sla[priority],tbl_sla[Resolution SLA Hours])</f>
        <v>24</v>
      </c>
      <c r="L526">
        <f>_xlfn.XLOOKUP(tbl_analysis_tickets[[#This Row],[priority]],tbl_sla[priority],tbl_sla[First Response SLA Minutes])</f>
        <v>60</v>
      </c>
      <c r="M526" t="str">
        <f>IF(tbl_analysis_tickets[[#This Row],[resolution_time_hours]]&gt;tbl_analysis_tickets[[#This Row],[Resolution SLA Hours]],"Breached","Within SLA")</f>
        <v>Within SLA</v>
      </c>
      <c r="N526" t="str">
        <f>IF(tbl_analysis_tickets[[#This Row],[first_response_minutes]]&gt;tbl_analysis_tickets[[#This Row],[First Response SLA Minutes]],"Breached","Within SLA")</f>
        <v>Breached</v>
      </c>
      <c r="O526" t="str" cm="1">
        <f t="array" ref="O526">_xlfn.IFS(
tbl_analysis_tickets[[#This Row],[agent_experience_years]]&lt;=2,"Junior",
tbl_analysis_tickets[[#This Row],[agent_experience_years]]&lt;=5,"Mid-Level",
tbl_analysis_tickets[[#This Row],[agent_experience_years]]&lt;=8,"Senior",
tbl_analysis_tickets[[#This Row],[agent_experience_years]]&gt;8,"Expert"
)</f>
        <v>Senior</v>
      </c>
      <c r="P526" cm="1">
        <f t="array" ref="P526">_xlfn.SWITCH(tbl_analysis_tickets[[#This Row],[customer_satisfaction]],
"Low",1,
"Medium",2,
"High",3
)</f>
        <v>1</v>
      </c>
      <c r="Q526">
        <f>IF(tbl_analysis_tickets[[#This Row],[reopened]]="Yes",1,0)</f>
        <v>0</v>
      </c>
      <c r="R526" t="str" cm="1">
        <f t="array" ref="R526">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526" t="str" cm="1">
        <f t="array" ref="S52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526" t="str">
        <f>TEXT(tbl_analysis_tickets[[#This Row],[created_date]],"mmm-yyyy")</f>
        <v>Jun-2024</v>
      </c>
      <c r="U526" t="str">
        <f>TEXT(tbl_analysis_tickets[[#This Row],[created_date]],"dddd")</f>
        <v>Friday</v>
      </c>
      <c r="V526" cm="1">
        <f t="array" ref="V526">_xlfn.SWITCH(tbl_analysis_tickets[[#This Row],[priority]],
"Urgent",1,
"High",2,
"Medium",3,
"Low",4
)</f>
        <v>2</v>
      </c>
    </row>
    <row r="527" spans="1:22" x14ac:dyDescent="0.25">
      <c r="A527">
        <v>526</v>
      </c>
      <c r="B527" s="1">
        <v>45469</v>
      </c>
      <c r="C527" t="s">
        <v>23</v>
      </c>
      <c r="D527" t="s">
        <v>15</v>
      </c>
      <c r="E527">
        <v>186</v>
      </c>
      <c r="F527">
        <v>23</v>
      </c>
      <c r="G527">
        <v>3.8</v>
      </c>
      <c r="H527" t="s">
        <v>12</v>
      </c>
      <c r="I527" t="s">
        <v>13</v>
      </c>
      <c r="J527" t="s">
        <v>11</v>
      </c>
      <c r="K527">
        <f>_xlfn.XLOOKUP(tbl_analysis_tickets[[#This Row],[priority]],tbl_sla[priority],tbl_sla[Resolution SLA Hours])</f>
        <v>48</v>
      </c>
      <c r="L527">
        <f>_xlfn.XLOOKUP(tbl_analysis_tickets[[#This Row],[priority]],tbl_sla[priority],tbl_sla[First Response SLA Minutes])</f>
        <v>120</v>
      </c>
      <c r="M527" t="str">
        <f>IF(tbl_analysis_tickets[[#This Row],[resolution_time_hours]]&gt;tbl_analysis_tickets[[#This Row],[Resolution SLA Hours]],"Breached","Within SLA")</f>
        <v>Within SLA</v>
      </c>
      <c r="N527" t="str">
        <f>IF(tbl_analysis_tickets[[#This Row],[first_response_minutes]]&gt;tbl_analysis_tickets[[#This Row],[First Response SLA Minutes]],"Breached","Within SLA")</f>
        <v>Breached</v>
      </c>
      <c r="O527" t="str" cm="1">
        <f t="array" ref="O527">_xlfn.IFS(
tbl_analysis_tickets[[#This Row],[agent_experience_years]]&lt;=2,"Junior",
tbl_analysis_tickets[[#This Row],[agent_experience_years]]&lt;=5,"Mid-Level",
tbl_analysis_tickets[[#This Row],[agent_experience_years]]&lt;=8,"Senior",
tbl_analysis_tickets[[#This Row],[agent_experience_years]]&gt;8,"Expert"
)</f>
        <v>Mid-Level</v>
      </c>
      <c r="P527" cm="1">
        <f t="array" ref="P527">_xlfn.SWITCH(tbl_analysis_tickets[[#This Row],[customer_satisfaction]],
"Low",1,
"Medium",2,
"High",3
)</f>
        <v>1</v>
      </c>
      <c r="Q527">
        <f>IF(tbl_analysis_tickets[[#This Row],[reopened]]="Yes",1,0)</f>
        <v>1</v>
      </c>
      <c r="R527" t="str" cm="1">
        <f t="array" ref="R527">_xlfn.IFS(
tbl_analysis_tickets[[#This Row],[first_response_minutes]]&lt;=30,"Very Fast",
tbl_analysis_tickets[[#This Row],[first_response_minutes]]&lt;=120,"Acceptable",
tbl_analysis_tickets[[#This Row],[first_response_minutes]]&lt;=240,"Slow",
tbl_analysis_tickets[[#This Row],[first_response_minutes]]&gt;240,"Very Slow"
)</f>
        <v>Slow</v>
      </c>
      <c r="S527" t="str" cm="1">
        <f t="array" ref="S52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527" t="str">
        <f>TEXT(tbl_analysis_tickets[[#This Row],[created_date]],"mmm-yyyy")</f>
        <v>Jun-2024</v>
      </c>
      <c r="U527" t="str">
        <f>TEXT(tbl_analysis_tickets[[#This Row],[created_date]],"dddd")</f>
        <v>Wednesday</v>
      </c>
      <c r="V527" cm="1">
        <f t="array" ref="V527">_xlfn.SWITCH(tbl_analysis_tickets[[#This Row],[priority]],
"Urgent",1,
"High",2,
"Medium",3,
"Low",4
)</f>
        <v>3</v>
      </c>
    </row>
    <row r="528" spans="1:22" x14ac:dyDescent="0.25">
      <c r="A528">
        <v>527</v>
      </c>
      <c r="B528" s="1">
        <v>45467</v>
      </c>
      <c r="C528" t="s">
        <v>10</v>
      </c>
      <c r="D528" t="s">
        <v>20</v>
      </c>
      <c r="E528">
        <v>176</v>
      </c>
      <c r="F528">
        <v>39</v>
      </c>
      <c r="G528">
        <v>2.4</v>
      </c>
      <c r="H528" t="s">
        <v>18</v>
      </c>
      <c r="I528" t="s">
        <v>19</v>
      </c>
      <c r="J528" t="s">
        <v>11</v>
      </c>
      <c r="K528">
        <f>_xlfn.XLOOKUP(tbl_analysis_tickets[[#This Row],[priority]],tbl_sla[priority],tbl_sla[Resolution SLA Hours])</f>
        <v>24</v>
      </c>
      <c r="L528">
        <f>_xlfn.XLOOKUP(tbl_analysis_tickets[[#This Row],[priority]],tbl_sla[priority],tbl_sla[First Response SLA Minutes])</f>
        <v>60</v>
      </c>
      <c r="M528" t="str">
        <f>IF(tbl_analysis_tickets[[#This Row],[resolution_time_hours]]&gt;tbl_analysis_tickets[[#This Row],[Resolution SLA Hours]],"Breached","Within SLA")</f>
        <v>Breached</v>
      </c>
      <c r="N528" t="str">
        <f>IF(tbl_analysis_tickets[[#This Row],[first_response_minutes]]&gt;tbl_analysis_tickets[[#This Row],[First Response SLA Minutes]],"Breached","Within SLA")</f>
        <v>Breached</v>
      </c>
      <c r="O528" t="str" cm="1">
        <f t="array" ref="O528">_xlfn.IFS(
tbl_analysis_tickets[[#This Row],[agent_experience_years]]&lt;=2,"Junior",
tbl_analysis_tickets[[#This Row],[agent_experience_years]]&lt;=5,"Mid-Level",
tbl_analysis_tickets[[#This Row],[agent_experience_years]]&lt;=8,"Senior",
tbl_analysis_tickets[[#This Row],[agent_experience_years]]&gt;8,"Expert"
)</f>
        <v>Mid-Level</v>
      </c>
      <c r="P528" cm="1">
        <f t="array" ref="P528">_xlfn.SWITCH(tbl_analysis_tickets[[#This Row],[customer_satisfaction]],
"Low",1,
"Medium",2,
"High",3
)</f>
        <v>1</v>
      </c>
      <c r="Q528">
        <f>IF(tbl_analysis_tickets[[#This Row],[reopened]]="Yes",1,0)</f>
        <v>0</v>
      </c>
      <c r="R528" t="str" cm="1">
        <f t="array" ref="R528">_xlfn.IFS(
tbl_analysis_tickets[[#This Row],[first_response_minutes]]&lt;=30,"Very Fast",
tbl_analysis_tickets[[#This Row],[first_response_minutes]]&lt;=120,"Acceptable",
tbl_analysis_tickets[[#This Row],[first_response_minutes]]&lt;=240,"Slow",
tbl_analysis_tickets[[#This Row],[first_response_minutes]]&gt;240,"Very Slow"
)</f>
        <v>Slow</v>
      </c>
      <c r="S528" t="str" cm="1">
        <f t="array" ref="S52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528" t="str">
        <f>TEXT(tbl_analysis_tickets[[#This Row],[created_date]],"mmm-yyyy")</f>
        <v>Jun-2024</v>
      </c>
      <c r="U528" t="str">
        <f>TEXT(tbl_analysis_tickets[[#This Row],[created_date]],"dddd")</f>
        <v>Monday</v>
      </c>
      <c r="V528" cm="1">
        <f t="array" ref="V528">_xlfn.SWITCH(tbl_analysis_tickets[[#This Row],[priority]],
"Urgent",1,
"High",2,
"Medium",3,
"Low",4
)</f>
        <v>2</v>
      </c>
    </row>
    <row r="529" spans="1:22" x14ac:dyDescent="0.25">
      <c r="A529">
        <v>528</v>
      </c>
      <c r="B529" s="1">
        <v>45369</v>
      </c>
      <c r="C529" t="s">
        <v>14</v>
      </c>
      <c r="D529" t="s">
        <v>11</v>
      </c>
      <c r="E529">
        <v>35</v>
      </c>
      <c r="F529">
        <v>37</v>
      </c>
      <c r="G529">
        <v>1</v>
      </c>
      <c r="H529" t="s">
        <v>12</v>
      </c>
      <c r="I529" t="s">
        <v>16</v>
      </c>
      <c r="J529" t="s">
        <v>11</v>
      </c>
      <c r="K529">
        <f>_xlfn.XLOOKUP(tbl_analysis_tickets[[#This Row],[priority]],tbl_sla[priority],tbl_sla[Resolution SLA Hours])</f>
        <v>72</v>
      </c>
      <c r="L529">
        <f>_xlfn.XLOOKUP(tbl_analysis_tickets[[#This Row],[priority]],tbl_sla[priority],tbl_sla[First Response SLA Minutes])</f>
        <v>240</v>
      </c>
      <c r="M529" t="str">
        <f>IF(tbl_analysis_tickets[[#This Row],[resolution_time_hours]]&gt;tbl_analysis_tickets[[#This Row],[Resolution SLA Hours]],"Breached","Within SLA")</f>
        <v>Within SLA</v>
      </c>
      <c r="N529" t="str">
        <f>IF(tbl_analysis_tickets[[#This Row],[first_response_minutes]]&gt;tbl_analysis_tickets[[#This Row],[First Response SLA Minutes]],"Breached","Within SLA")</f>
        <v>Within SLA</v>
      </c>
      <c r="O529" t="str" cm="1">
        <f t="array" ref="O529">_xlfn.IFS(
tbl_analysis_tickets[[#This Row],[agent_experience_years]]&lt;=2,"Junior",
tbl_analysis_tickets[[#This Row],[agent_experience_years]]&lt;=5,"Mid-Level",
tbl_analysis_tickets[[#This Row],[agent_experience_years]]&lt;=8,"Senior",
tbl_analysis_tickets[[#This Row],[agent_experience_years]]&gt;8,"Expert"
)</f>
        <v>Junior</v>
      </c>
      <c r="P529" cm="1">
        <f t="array" ref="P529">_xlfn.SWITCH(tbl_analysis_tickets[[#This Row],[customer_satisfaction]],
"Low",1,
"Medium",2,
"High",3
)</f>
        <v>1</v>
      </c>
      <c r="Q529">
        <f>IF(tbl_analysis_tickets[[#This Row],[reopened]]="Yes",1,0)</f>
        <v>1</v>
      </c>
      <c r="R529" t="str" cm="1">
        <f t="array" ref="R529">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529" t="str" cm="1">
        <f t="array" ref="S52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529" t="str">
        <f>TEXT(tbl_analysis_tickets[[#This Row],[created_date]],"mmm-yyyy")</f>
        <v>Mar-2024</v>
      </c>
      <c r="U529" t="str">
        <f>TEXT(tbl_analysis_tickets[[#This Row],[created_date]],"dddd")</f>
        <v>Monday</v>
      </c>
      <c r="V529" cm="1">
        <f t="array" ref="V529">_xlfn.SWITCH(tbl_analysis_tickets[[#This Row],[priority]],
"Urgent",1,
"High",2,
"Medium",3,
"Low",4
)</f>
        <v>4</v>
      </c>
    </row>
    <row r="530" spans="1:22" x14ac:dyDescent="0.25">
      <c r="A530">
        <v>529</v>
      </c>
      <c r="B530" s="1">
        <v>45497</v>
      </c>
      <c r="C530" t="s">
        <v>10</v>
      </c>
      <c r="D530" t="s">
        <v>11</v>
      </c>
      <c r="E530">
        <v>98</v>
      </c>
      <c r="F530">
        <v>36</v>
      </c>
      <c r="G530">
        <v>0.7</v>
      </c>
      <c r="H530" t="s">
        <v>12</v>
      </c>
      <c r="I530" t="s">
        <v>19</v>
      </c>
      <c r="J530" t="s">
        <v>11</v>
      </c>
      <c r="K530">
        <f>_xlfn.XLOOKUP(tbl_analysis_tickets[[#This Row],[priority]],tbl_sla[priority],tbl_sla[Resolution SLA Hours])</f>
        <v>72</v>
      </c>
      <c r="L530">
        <f>_xlfn.XLOOKUP(tbl_analysis_tickets[[#This Row],[priority]],tbl_sla[priority],tbl_sla[First Response SLA Minutes])</f>
        <v>240</v>
      </c>
      <c r="M530" t="str">
        <f>IF(tbl_analysis_tickets[[#This Row],[resolution_time_hours]]&gt;tbl_analysis_tickets[[#This Row],[Resolution SLA Hours]],"Breached","Within SLA")</f>
        <v>Within SLA</v>
      </c>
      <c r="N530" t="str">
        <f>IF(tbl_analysis_tickets[[#This Row],[first_response_minutes]]&gt;tbl_analysis_tickets[[#This Row],[First Response SLA Minutes]],"Breached","Within SLA")</f>
        <v>Within SLA</v>
      </c>
      <c r="O530" t="str" cm="1">
        <f t="array" ref="O530">_xlfn.IFS(
tbl_analysis_tickets[[#This Row],[agent_experience_years]]&lt;=2,"Junior",
tbl_analysis_tickets[[#This Row],[agent_experience_years]]&lt;=5,"Mid-Level",
tbl_analysis_tickets[[#This Row],[agent_experience_years]]&lt;=8,"Senior",
tbl_analysis_tickets[[#This Row],[agent_experience_years]]&gt;8,"Expert"
)</f>
        <v>Junior</v>
      </c>
      <c r="P530" cm="1">
        <f t="array" ref="P530">_xlfn.SWITCH(tbl_analysis_tickets[[#This Row],[customer_satisfaction]],
"Low",1,
"Medium",2,
"High",3
)</f>
        <v>1</v>
      </c>
      <c r="Q530">
        <f>IF(tbl_analysis_tickets[[#This Row],[reopened]]="Yes",1,0)</f>
        <v>1</v>
      </c>
      <c r="R530" t="str" cm="1">
        <f t="array" ref="R530">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530" t="str" cm="1">
        <f t="array" ref="S53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530" t="str">
        <f>TEXT(tbl_analysis_tickets[[#This Row],[created_date]],"mmm-yyyy")</f>
        <v>Jul-2024</v>
      </c>
      <c r="U530" t="str">
        <f>TEXT(tbl_analysis_tickets[[#This Row],[created_date]],"dddd")</f>
        <v>Wednesday</v>
      </c>
      <c r="V530" cm="1">
        <f t="array" ref="V530">_xlfn.SWITCH(tbl_analysis_tickets[[#This Row],[priority]],
"Urgent",1,
"High",2,
"Medium",3,
"Low",4
)</f>
        <v>4</v>
      </c>
    </row>
    <row r="531" spans="1:22" x14ac:dyDescent="0.25">
      <c r="A531">
        <v>530</v>
      </c>
      <c r="B531" s="1">
        <v>45298</v>
      </c>
      <c r="C531" t="s">
        <v>22</v>
      </c>
      <c r="D531" t="s">
        <v>17</v>
      </c>
      <c r="E531">
        <v>66</v>
      </c>
      <c r="F531">
        <v>53</v>
      </c>
      <c r="G531">
        <v>6.6</v>
      </c>
      <c r="H531" t="s">
        <v>12</v>
      </c>
      <c r="I531" t="s">
        <v>13</v>
      </c>
      <c r="J531" t="s">
        <v>11</v>
      </c>
      <c r="K531">
        <f>_xlfn.XLOOKUP(tbl_analysis_tickets[[#This Row],[priority]],tbl_sla[priority],tbl_sla[Resolution SLA Hours])</f>
        <v>8</v>
      </c>
      <c r="L531">
        <f>_xlfn.XLOOKUP(tbl_analysis_tickets[[#This Row],[priority]],tbl_sla[priority],tbl_sla[First Response SLA Minutes])</f>
        <v>30</v>
      </c>
      <c r="M531" t="str">
        <f>IF(tbl_analysis_tickets[[#This Row],[resolution_time_hours]]&gt;tbl_analysis_tickets[[#This Row],[Resolution SLA Hours]],"Breached","Within SLA")</f>
        <v>Breached</v>
      </c>
      <c r="N531" t="str">
        <f>IF(tbl_analysis_tickets[[#This Row],[first_response_minutes]]&gt;tbl_analysis_tickets[[#This Row],[First Response SLA Minutes]],"Breached","Within SLA")</f>
        <v>Breached</v>
      </c>
      <c r="O531" t="str" cm="1">
        <f t="array" ref="O531">_xlfn.IFS(
tbl_analysis_tickets[[#This Row],[agent_experience_years]]&lt;=2,"Junior",
tbl_analysis_tickets[[#This Row],[agent_experience_years]]&lt;=5,"Mid-Level",
tbl_analysis_tickets[[#This Row],[agent_experience_years]]&lt;=8,"Senior",
tbl_analysis_tickets[[#This Row],[agent_experience_years]]&gt;8,"Expert"
)</f>
        <v>Senior</v>
      </c>
      <c r="P531" cm="1">
        <f t="array" ref="P531">_xlfn.SWITCH(tbl_analysis_tickets[[#This Row],[customer_satisfaction]],
"Low",1,
"Medium",2,
"High",3
)</f>
        <v>1</v>
      </c>
      <c r="Q531">
        <f>IF(tbl_analysis_tickets[[#This Row],[reopened]]="Yes",1,0)</f>
        <v>1</v>
      </c>
      <c r="R531" t="str" cm="1">
        <f t="array" ref="R531">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531" t="str" cm="1">
        <f t="array" ref="S53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531" t="str">
        <f>TEXT(tbl_analysis_tickets[[#This Row],[created_date]],"mmm-yyyy")</f>
        <v>Jan-2024</v>
      </c>
      <c r="U531" t="str">
        <f>TEXT(tbl_analysis_tickets[[#This Row],[created_date]],"dddd")</f>
        <v>Sunday</v>
      </c>
      <c r="V531" cm="1">
        <f t="array" ref="V531">_xlfn.SWITCH(tbl_analysis_tickets[[#This Row],[priority]],
"Urgent",1,
"High",2,
"Medium",3,
"Low",4
)</f>
        <v>1</v>
      </c>
    </row>
    <row r="532" spans="1:22" x14ac:dyDescent="0.25">
      <c r="A532">
        <v>531</v>
      </c>
      <c r="B532" s="1">
        <v>45436</v>
      </c>
      <c r="C532" t="s">
        <v>10</v>
      </c>
      <c r="D532" t="s">
        <v>20</v>
      </c>
      <c r="E532">
        <v>176</v>
      </c>
      <c r="F532">
        <v>3</v>
      </c>
      <c r="G532">
        <v>9.8000000000000007</v>
      </c>
      <c r="H532" t="s">
        <v>12</v>
      </c>
      <c r="I532" t="s">
        <v>19</v>
      </c>
      <c r="J532" t="s">
        <v>15</v>
      </c>
      <c r="K532">
        <f>_xlfn.XLOOKUP(tbl_analysis_tickets[[#This Row],[priority]],tbl_sla[priority],tbl_sla[Resolution SLA Hours])</f>
        <v>24</v>
      </c>
      <c r="L532">
        <f>_xlfn.XLOOKUP(tbl_analysis_tickets[[#This Row],[priority]],tbl_sla[priority],tbl_sla[First Response SLA Minutes])</f>
        <v>60</v>
      </c>
      <c r="M532" t="str">
        <f>IF(tbl_analysis_tickets[[#This Row],[resolution_time_hours]]&gt;tbl_analysis_tickets[[#This Row],[Resolution SLA Hours]],"Breached","Within SLA")</f>
        <v>Within SLA</v>
      </c>
      <c r="N532" t="str">
        <f>IF(tbl_analysis_tickets[[#This Row],[first_response_minutes]]&gt;tbl_analysis_tickets[[#This Row],[First Response SLA Minutes]],"Breached","Within SLA")</f>
        <v>Breached</v>
      </c>
      <c r="O532" t="str" cm="1">
        <f t="array" ref="O532">_xlfn.IFS(
tbl_analysis_tickets[[#This Row],[agent_experience_years]]&lt;=2,"Junior",
tbl_analysis_tickets[[#This Row],[agent_experience_years]]&lt;=5,"Mid-Level",
tbl_analysis_tickets[[#This Row],[agent_experience_years]]&lt;=8,"Senior",
tbl_analysis_tickets[[#This Row],[agent_experience_years]]&gt;8,"Expert"
)</f>
        <v>Expert</v>
      </c>
      <c r="P532" cm="1">
        <f t="array" ref="P532">_xlfn.SWITCH(tbl_analysis_tickets[[#This Row],[customer_satisfaction]],
"Low",1,
"Medium",2,
"High",3
)</f>
        <v>2</v>
      </c>
      <c r="Q532">
        <f>IF(tbl_analysis_tickets[[#This Row],[reopened]]="Yes",1,0)</f>
        <v>1</v>
      </c>
      <c r="R532" t="str" cm="1">
        <f t="array" ref="R532">_xlfn.IFS(
tbl_analysis_tickets[[#This Row],[first_response_minutes]]&lt;=30,"Very Fast",
tbl_analysis_tickets[[#This Row],[first_response_minutes]]&lt;=120,"Acceptable",
tbl_analysis_tickets[[#This Row],[first_response_minutes]]&lt;=240,"Slow",
tbl_analysis_tickets[[#This Row],[first_response_minutes]]&gt;240,"Very Slow"
)</f>
        <v>Slow</v>
      </c>
      <c r="S532" t="str" cm="1">
        <f t="array" ref="S53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532" t="str">
        <f>TEXT(tbl_analysis_tickets[[#This Row],[created_date]],"mmm-yyyy")</f>
        <v>May-2024</v>
      </c>
      <c r="U532" t="str">
        <f>TEXT(tbl_analysis_tickets[[#This Row],[created_date]],"dddd")</f>
        <v>Friday</v>
      </c>
      <c r="V532" cm="1">
        <f t="array" ref="V532">_xlfn.SWITCH(tbl_analysis_tickets[[#This Row],[priority]],
"Urgent",1,
"High",2,
"Medium",3,
"Low",4
)</f>
        <v>2</v>
      </c>
    </row>
    <row r="533" spans="1:22" x14ac:dyDescent="0.25">
      <c r="A533">
        <v>532</v>
      </c>
      <c r="B533" s="1">
        <v>45390</v>
      </c>
      <c r="C533" t="s">
        <v>22</v>
      </c>
      <c r="D533" t="s">
        <v>15</v>
      </c>
      <c r="E533">
        <v>65</v>
      </c>
      <c r="F533">
        <v>54</v>
      </c>
      <c r="G533">
        <v>2.1</v>
      </c>
      <c r="H533" t="s">
        <v>12</v>
      </c>
      <c r="I533" t="s">
        <v>16</v>
      </c>
      <c r="J533" t="s">
        <v>11</v>
      </c>
      <c r="K533">
        <f>_xlfn.XLOOKUP(tbl_analysis_tickets[[#This Row],[priority]],tbl_sla[priority],tbl_sla[Resolution SLA Hours])</f>
        <v>48</v>
      </c>
      <c r="L533">
        <f>_xlfn.XLOOKUP(tbl_analysis_tickets[[#This Row],[priority]],tbl_sla[priority],tbl_sla[First Response SLA Minutes])</f>
        <v>120</v>
      </c>
      <c r="M533" t="str">
        <f>IF(tbl_analysis_tickets[[#This Row],[resolution_time_hours]]&gt;tbl_analysis_tickets[[#This Row],[Resolution SLA Hours]],"Breached","Within SLA")</f>
        <v>Breached</v>
      </c>
      <c r="N533" t="str">
        <f>IF(tbl_analysis_tickets[[#This Row],[first_response_minutes]]&gt;tbl_analysis_tickets[[#This Row],[First Response SLA Minutes]],"Breached","Within SLA")</f>
        <v>Within SLA</v>
      </c>
      <c r="O533" t="str" cm="1">
        <f t="array" ref="O533">_xlfn.IFS(
tbl_analysis_tickets[[#This Row],[agent_experience_years]]&lt;=2,"Junior",
tbl_analysis_tickets[[#This Row],[agent_experience_years]]&lt;=5,"Mid-Level",
tbl_analysis_tickets[[#This Row],[agent_experience_years]]&lt;=8,"Senior",
tbl_analysis_tickets[[#This Row],[agent_experience_years]]&gt;8,"Expert"
)</f>
        <v>Mid-Level</v>
      </c>
      <c r="P533" cm="1">
        <f t="array" ref="P533">_xlfn.SWITCH(tbl_analysis_tickets[[#This Row],[customer_satisfaction]],
"Low",1,
"Medium",2,
"High",3
)</f>
        <v>1</v>
      </c>
      <c r="Q533">
        <f>IF(tbl_analysis_tickets[[#This Row],[reopened]]="Yes",1,0)</f>
        <v>1</v>
      </c>
      <c r="R533" t="str" cm="1">
        <f t="array" ref="R533">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533" t="str" cm="1">
        <f t="array" ref="S53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533" t="str">
        <f>TEXT(tbl_analysis_tickets[[#This Row],[created_date]],"mmm-yyyy")</f>
        <v>Apr-2024</v>
      </c>
      <c r="U533" t="str">
        <f>TEXT(tbl_analysis_tickets[[#This Row],[created_date]],"dddd")</f>
        <v>Monday</v>
      </c>
      <c r="V533" cm="1">
        <f t="array" ref="V533">_xlfn.SWITCH(tbl_analysis_tickets[[#This Row],[priority]],
"Urgent",1,
"High",2,
"Medium",3,
"Low",4
)</f>
        <v>3</v>
      </c>
    </row>
    <row r="534" spans="1:22" x14ac:dyDescent="0.25">
      <c r="A534">
        <v>533</v>
      </c>
      <c r="B534" s="1">
        <v>45500</v>
      </c>
      <c r="C534" t="s">
        <v>21</v>
      </c>
      <c r="D534" t="s">
        <v>11</v>
      </c>
      <c r="E534">
        <v>198</v>
      </c>
      <c r="F534">
        <v>15</v>
      </c>
      <c r="G534">
        <v>3</v>
      </c>
      <c r="H534" t="s">
        <v>18</v>
      </c>
      <c r="I534" t="s">
        <v>13</v>
      </c>
      <c r="J534" t="s">
        <v>11</v>
      </c>
      <c r="K534">
        <f>_xlfn.XLOOKUP(tbl_analysis_tickets[[#This Row],[priority]],tbl_sla[priority],tbl_sla[Resolution SLA Hours])</f>
        <v>72</v>
      </c>
      <c r="L534">
        <f>_xlfn.XLOOKUP(tbl_analysis_tickets[[#This Row],[priority]],tbl_sla[priority],tbl_sla[First Response SLA Minutes])</f>
        <v>240</v>
      </c>
      <c r="M534" t="str">
        <f>IF(tbl_analysis_tickets[[#This Row],[resolution_time_hours]]&gt;tbl_analysis_tickets[[#This Row],[Resolution SLA Hours]],"Breached","Within SLA")</f>
        <v>Within SLA</v>
      </c>
      <c r="N534" t="str">
        <f>IF(tbl_analysis_tickets[[#This Row],[first_response_minutes]]&gt;tbl_analysis_tickets[[#This Row],[First Response SLA Minutes]],"Breached","Within SLA")</f>
        <v>Within SLA</v>
      </c>
      <c r="O534" t="str" cm="1">
        <f t="array" ref="O534">_xlfn.IFS(
tbl_analysis_tickets[[#This Row],[agent_experience_years]]&lt;=2,"Junior",
tbl_analysis_tickets[[#This Row],[agent_experience_years]]&lt;=5,"Mid-Level",
tbl_analysis_tickets[[#This Row],[agent_experience_years]]&lt;=8,"Senior",
tbl_analysis_tickets[[#This Row],[agent_experience_years]]&gt;8,"Expert"
)</f>
        <v>Mid-Level</v>
      </c>
      <c r="P534" cm="1">
        <f t="array" ref="P534">_xlfn.SWITCH(tbl_analysis_tickets[[#This Row],[customer_satisfaction]],
"Low",1,
"Medium",2,
"High",3
)</f>
        <v>1</v>
      </c>
      <c r="Q534">
        <f>IF(tbl_analysis_tickets[[#This Row],[reopened]]="Yes",1,0)</f>
        <v>0</v>
      </c>
      <c r="R534" t="str" cm="1">
        <f t="array" ref="R534">_xlfn.IFS(
tbl_analysis_tickets[[#This Row],[first_response_minutes]]&lt;=30,"Very Fast",
tbl_analysis_tickets[[#This Row],[first_response_minutes]]&lt;=120,"Acceptable",
tbl_analysis_tickets[[#This Row],[first_response_minutes]]&lt;=240,"Slow",
tbl_analysis_tickets[[#This Row],[first_response_minutes]]&gt;240,"Very Slow"
)</f>
        <v>Slow</v>
      </c>
      <c r="S534" t="str" cm="1">
        <f t="array" ref="S53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534" t="str">
        <f>TEXT(tbl_analysis_tickets[[#This Row],[created_date]],"mmm-yyyy")</f>
        <v>Jul-2024</v>
      </c>
      <c r="U534" t="str">
        <f>TEXT(tbl_analysis_tickets[[#This Row],[created_date]],"dddd")</f>
        <v>Saturday</v>
      </c>
      <c r="V534" cm="1">
        <f t="array" ref="V534">_xlfn.SWITCH(tbl_analysis_tickets[[#This Row],[priority]],
"Urgent",1,
"High",2,
"Medium",3,
"Low",4
)</f>
        <v>4</v>
      </c>
    </row>
    <row r="535" spans="1:22" x14ac:dyDescent="0.25">
      <c r="A535">
        <v>534</v>
      </c>
      <c r="B535" s="1">
        <v>45392</v>
      </c>
      <c r="C535" t="s">
        <v>10</v>
      </c>
      <c r="D535" t="s">
        <v>20</v>
      </c>
      <c r="E535">
        <v>103</v>
      </c>
      <c r="F535">
        <v>46</v>
      </c>
      <c r="G535">
        <v>2.7</v>
      </c>
      <c r="H535" t="s">
        <v>18</v>
      </c>
      <c r="I535" t="s">
        <v>19</v>
      </c>
      <c r="J535" t="s">
        <v>11</v>
      </c>
      <c r="K535">
        <f>_xlfn.XLOOKUP(tbl_analysis_tickets[[#This Row],[priority]],tbl_sla[priority],tbl_sla[Resolution SLA Hours])</f>
        <v>24</v>
      </c>
      <c r="L535">
        <f>_xlfn.XLOOKUP(tbl_analysis_tickets[[#This Row],[priority]],tbl_sla[priority],tbl_sla[First Response SLA Minutes])</f>
        <v>60</v>
      </c>
      <c r="M535" t="str">
        <f>IF(tbl_analysis_tickets[[#This Row],[resolution_time_hours]]&gt;tbl_analysis_tickets[[#This Row],[Resolution SLA Hours]],"Breached","Within SLA")</f>
        <v>Breached</v>
      </c>
      <c r="N535" t="str">
        <f>IF(tbl_analysis_tickets[[#This Row],[first_response_minutes]]&gt;tbl_analysis_tickets[[#This Row],[First Response SLA Minutes]],"Breached","Within SLA")</f>
        <v>Breached</v>
      </c>
      <c r="O535" t="str" cm="1">
        <f t="array" ref="O535">_xlfn.IFS(
tbl_analysis_tickets[[#This Row],[agent_experience_years]]&lt;=2,"Junior",
tbl_analysis_tickets[[#This Row],[agent_experience_years]]&lt;=5,"Mid-Level",
tbl_analysis_tickets[[#This Row],[agent_experience_years]]&lt;=8,"Senior",
tbl_analysis_tickets[[#This Row],[agent_experience_years]]&gt;8,"Expert"
)</f>
        <v>Mid-Level</v>
      </c>
      <c r="P535" cm="1">
        <f t="array" ref="P535">_xlfn.SWITCH(tbl_analysis_tickets[[#This Row],[customer_satisfaction]],
"Low",1,
"Medium",2,
"High",3
)</f>
        <v>1</v>
      </c>
      <c r="Q535">
        <f>IF(tbl_analysis_tickets[[#This Row],[reopened]]="Yes",1,0)</f>
        <v>0</v>
      </c>
      <c r="R535" t="str" cm="1">
        <f t="array" ref="R535">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535" t="str" cm="1">
        <f t="array" ref="S53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535" t="str">
        <f>TEXT(tbl_analysis_tickets[[#This Row],[created_date]],"mmm-yyyy")</f>
        <v>Apr-2024</v>
      </c>
      <c r="U535" t="str">
        <f>TEXT(tbl_analysis_tickets[[#This Row],[created_date]],"dddd")</f>
        <v>Wednesday</v>
      </c>
      <c r="V535" cm="1">
        <f t="array" ref="V535">_xlfn.SWITCH(tbl_analysis_tickets[[#This Row],[priority]],
"Urgent",1,
"High",2,
"Medium",3,
"Low",4
)</f>
        <v>2</v>
      </c>
    </row>
    <row r="536" spans="1:22" x14ac:dyDescent="0.25">
      <c r="A536">
        <v>535</v>
      </c>
      <c r="B536" s="1">
        <v>45571</v>
      </c>
      <c r="C536" t="s">
        <v>21</v>
      </c>
      <c r="D536" t="s">
        <v>11</v>
      </c>
      <c r="E536">
        <v>210</v>
      </c>
      <c r="F536">
        <v>71</v>
      </c>
      <c r="G536">
        <v>9.3000000000000007</v>
      </c>
      <c r="H536" t="s">
        <v>18</v>
      </c>
      <c r="I536" t="s">
        <v>13</v>
      </c>
      <c r="J536" t="s">
        <v>15</v>
      </c>
      <c r="K536">
        <f>_xlfn.XLOOKUP(tbl_analysis_tickets[[#This Row],[priority]],tbl_sla[priority],tbl_sla[Resolution SLA Hours])</f>
        <v>72</v>
      </c>
      <c r="L536">
        <f>_xlfn.XLOOKUP(tbl_analysis_tickets[[#This Row],[priority]],tbl_sla[priority],tbl_sla[First Response SLA Minutes])</f>
        <v>240</v>
      </c>
      <c r="M536" t="str">
        <f>IF(tbl_analysis_tickets[[#This Row],[resolution_time_hours]]&gt;tbl_analysis_tickets[[#This Row],[Resolution SLA Hours]],"Breached","Within SLA")</f>
        <v>Within SLA</v>
      </c>
      <c r="N536" t="str">
        <f>IF(tbl_analysis_tickets[[#This Row],[first_response_minutes]]&gt;tbl_analysis_tickets[[#This Row],[First Response SLA Minutes]],"Breached","Within SLA")</f>
        <v>Within SLA</v>
      </c>
      <c r="O536" t="str" cm="1">
        <f t="array" ref="O536">_xlfn.IFS(
tbl_analysis_tickets[[#This Row],[agent_experience_years]]&lt;=2,"Junior",
tbl_analysis_tickets[[#This Row],[agent_experience_years]]&lt;=5,"Mid-Level",
tbl_analysis_tickets[[#This Row],[agent_experience_years]]&lt;=8,"Senior",
tbl_analysis_tickets[[#This Row],[agent_experience_years]]&gt;8,"Expert"
)</f>
        <v>Expert</v>
      </c>
      <c r="P536" cm="1">
        <f t="array" ref="P536">_xlfn.SWITCH(tbl_analysis_tickets[[#This Row],[customer_satisfaction]],
"Low",1,
"Medium",2,
"High",3
)</f>
        <v>2</v>
      </c>
      <c r="Q536">
        <f>IF(tbl_analysis_tickets[[#This Row],[reopened]]="Yes",1,0)</f>
        <v>0</v>
      </c>
      <c r="R536" t="str" cm="1">
        <f t="array" ref="R536">_xlfn.IFS(
tbl_analysis_tickets[[#This Row],[first_response_minutes]]&lt;=30,"Very Fast",
tbl_analysis_tickets[[#This Row],[first_response_minutes]]&lt;=120,"Acceptable",
tbl_analysis_tickets[[#This Row],[first_response_minutes]]&lt;=240,"Slow",
tbl_analysis_tickets[[#This Row],[first_response_minutes]]&gt;240,"Very Slow"
)</f>
        <v>Slow</v>
      </c>
      <c r="S536" t="str" cm="1">
        <f t="array" ref="S53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536" t="str">
        <f>TEXT(tbl_analysis_tickets[[#This Row],[created_date]],"mmm-yyyy")</f>
        <v>Oct-2024</v>
      </c>
      <c r="U536" t="str">
        <f>TEXT(tbl_analysis_tickets[[#This Row],[created_date]],"dddd")</f>
        <v>Sunday</v>
      </c>
      <c r="V536" cm="1">
        <f t="array" ref="V536">_xlfn.SWITCH(tbl_analysis_tickets[[#This Row],[priority]],
"Urgent",1,
"High",2,
"Medium",3,
"Low",4
)</f>
        <v>4</v>
      </c>
    </row>
    <row r="537" spans="1:22" x14ac:dyDescent="0.25">
      <c r="A537">
        <v>536</v>
      </c>
      <c r="B537" s="1">
        <v>45473</v>
      </c>
      <c r="C537" t="s">
        <v>22</v>
      </c>
      <c r="D537" t="s">
        <v>11</v>
      </c>
      <c r="E537">
        <v>159</v>
      </c>
      <c r="F537">
        <v>8</v>
      </c>
      <c r="G537">
        <v>5</v>
      </c>
      <c r="H537" t="s">
        <v>18</v>
      </c>
      <c r="I537" t="s">
        <v>13</v>
      </c>
      <c r="J537" t="s">
        <v>15</v>
      </c>
      <c r="K537">
        <f>_xlfn.XLOOKUP(tbl_analysis_tickets[[#This Row],[priority]],tbl_sla[priority],tbl_sla[Resolution SLA Hours])</f>
        <v>72</v>
      </c>
      <c r="L537">
        <f>_xlfn.XLOOKUP(tbl_analysis_tickets[[#This Row],[priority]],tbl_sla[priority],tbl_sla[First Response SLA Minutes])</f>
        <v>240</v>
      </c>
      <c r="M537" t="str">
        <f>IF(tbl_analysis_tickets[[#This Row],[resolution_time_hours]]&gt;tbl_analysis_tickets[[#This Row],[Resolution SLA Hours]],"Breached","Within SLA")</f>
        <v>Within SLA</v>
      </c>
      <c r="N537" t="str">
        <f>IF(tbl_analysis_tickets[[#This Row],[first_response_minutes]]&gt;tbl_analysis_tickets[[#This Row],[First Response SLA Minutes]],"Breached","Within SLA")</f>
        <v>Within SLA</v>
      </c>
      <c r="O537" t="str" cm="1">
        <f t="array" ref="O537">_xlfn.IFS(
tbl_analysis_tickets[[#This Row],[agent_experience_years]]&lt;=2,"Junior",
tbl_analysis_tickets[[#This Row],[agent_experience_years]]&lt;=5,"Mid-Level",
tbl_analysis_tickets[[#This Row],[agent_experience_years]]&lt;=8,"Senior",
tbl_analysis_tickets[[#This Row],[agent_experience_years]]&gt;8,"Expert"
)</f>
        <v>Mid-Level</v>
      </c>
      <c r="P537" cm="1">
        <f t="array" ref="P537">_xlfn.SWITCH(tbl_analysis_tickets[[#This Row],[customer_satisfaction]],
"Low",1,
"Medium",2,
"High",3
)</f>
        <v>2</v>
      </c>
      <c r="Q537">
        <f>IF(tbl_analysis_tickets[[#This Row],[reopened]]="Yes",1,0)</f>
        <v>0</v>
      </c>
      <c r="R537" t="str" cm="1">
        <f t="array" ref="R537">_xlfn.IFS(
tbl_analysis_tickets[[#This Row],[first_response_minutes]]&lt;=30,"Very Fast",
tbl_analysis_tickets[[#This Row],[first_response_minutes]]&lt;=120,"Acceptable",
tbl_analysis_tickets[[#This Row],[first_response_minutes]]&lt;=240,"Slow",
tbl_analysis_tickets[[#This Row],[first_response_minutes]]&gt;240,"Very Slow"
)</f>
        <v>Slow</v>
      </c>
      <c r="S537" t="str" cm="1">
        <f t="array" ref="S53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537" t="str">
        <f>TEXT(tbl_analysis_tickets[[#This Row],[created_date]],"mmm-yyyy")</f>
        <v>Jun-2024</v>
      </c>
      <c r="U537" t="str">
        <f>TEXT(tbl_analysis_tickets[[#This Row],[created_date]],"dddd")</f>
        <v>Sunday</v>
      </c>
      <c r="V537" cm="1">
        <f t="array" ref="V537">_xlfn.SWITCH(tbl_analysis_tickets[[#This Row],[priority]],
"Urgent",1,
"High",2,
"Medium",3,
"Low",4
)</f>
        <v>4</v>
      </c>
    </row>
    <row r="538" spans="1:22" x14ac:dyDescent="0.25">
      <c r="A538">
        <v>537</v>
      </c>
      <c r="B538" s="1">
        <v>45302</v>
      </c>
      <c r="C538" t="s">
        <v>14</v>
      </c>
      <c r="D538" t="s">
        <v>11</v>
      </c>
      <c r="E538">
        <v>13</v>
      </c>
      <c r="F538">
        <v>33</v>
      </c>
      <c r="G538">
        <v>0.9</v>
      </c>
      <c r="H538" t="s">
        <v>12</v>
      </c>
      <c r="I538" t="s">
        <v>19</v>
      </c>
      <c r="J538" t="s">
        <v>15</v>
      </c>
      <c r="K538">
        <f>_xlfn.XLOOKUP(tbl_analysis_tickets[[#This Row],[priority]],tbl_sla[priority],tbl_sla[Resolution SLA Hours])</f>
        <v>72</v>
      </c>
      <c r="L538">
        <f>_xlfn.XLOOKUP(tbl_analysis_tickets[[#This Row],[priority]],tbl_sla[priority],tbl_sla[First Response SLA Minutes])</f>
        <v>240</v>
      </c>
      <c r="M538" t="str">
        <f>IF(tbl_analysis_tickets[[#This Row],[resolution_time_hours]]&gt;tbl_analysis_tickets[[#This Row],[Resolution SLA Hours]],"Breached","Within SLA")</f>
        <v>Within SLA</v>
      </c>
      <c r="N538" t="str">
        <f>IF(tbl_analysis_tickets[[#This Row],[first_response_minutes]]&gt;tbl_analysis_tickets[[#This Row],[First Response SLA Minutes]],"Breached","Within SLA")</f>
        <v>Within SLA</v>
      </c>
      <c r="O538" t="str" cm="1">
        <f t="array" ref="O538">_xlfn.IFS(
tbl_analysis_tickets[[#This Row],[agent_experience_years]]&lt;=2,"Junior",
tbl_analysis_tickets[[#This Row],[agent_experience_years]]&lt;=5,"Mid-Level",
tbl_analysis_tickets[[#This Row],[agent_experience_years]]&lt;=8,"Senior",
tbl_analysis_tickets[[#This Row],[agent_experience_years]]&gt;8,"Expert"
)</f>
        <v>Junior</v>
      </c>
      <c r="P538" cm="1">
        <f t="array" ref="P538">_xlfn.SWITCH(tbl_analysis_tickets[[#This Row],[customer_satisfaction]],
"Low",1,
"Medium",2,
"High",3
)</f>
        <v>2</v>
      </c>
      <c r="Q538">
        <f>IF(tbl_analysis_tickets[[#This Row],[reopened]]="Yes",1,0)</f>
        <v>1</v>
      </c>
      <c r="R538" t="str" cm="1">
        <f t="array" ref="R538">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538" t="str" cm="1">
        <f t="array" ref="S53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538" t="str">
        <f>TEXT(tbl_analysis_tickets[[#This Row],[created_date]],"mmm-yyyy")</f>
        <v>Jan-2024</v>
      </c>
      <c r="U538" t="str">
        <f>TEXT(tbl_analysis_tickets[[#This Row],[created_date]],"dddd")</f>
        <v>Thursday</v>
      </c>
      <c r="V538" cm="1">
        <f t="array" ref="V538">_xlfn.SWITCH(tbl_analysis_tickets[[#This Row],[priority]],
"Urgent",1,
"High",2,
"Medium",3,
"Low",4
)</f>
        <v>4</v>
      </c>
    </row>
    <row r="539" spans="1:22" x14ac:dyDescent="0.25">
      <c r="A539">
        <v>538</v>
      </c>
      <c r="B539" s="1">
        <v>45636</v>
      </c>
      <c r="C539" t="s">
        <v>10</v>
      </c>
      <c r="D539" t="s">
        <v>20</v>
      </c>
      <c r="E539">
        <v>151</v>
      </c>
      <c r="F539">
        <v>67</v>
      </c>
      <c r="G539">
        <v>9.9</v>
      </c>
      <c r="H539" t="s">
        <v>18</v>
      </c>
      <c r="I539" t="s">
        <v>19</v>
      </c>
      <c r="J539" t="s">
        <v>11</v>
      </c>
      <c r="K539">
        <f>_xlfn.XLOOKUP(tbl_analysis_tickets[[#This Row],[priority]],tbl_sla[priority],tbl_sla[Resolution SLA Hours])</f>
        <v>24</v>
      </c>
      <c r="L539">
        <f>_xlfn.XLOOKUP(tbl_analysis_tickets[[#This Row],[priority]],tbl_sla[priority],tbl_sla[First Response SLA Minutes])</f>
        <v>60</v>
      </c>
      <c r="M539" t="str">
        <f>IF(tbl_analysis_tickets[[#This Row],[resolution_time_hours]]&gt;tbl_analysis_tickets[[#This Row],[Resolution SLA Hours]],"Breached","Within SLA")</f>
        <v>Breached</v>
      </c>
      <c r="N539" t="str">
        <f>IF(tbl_analysis_tickets[[#This Row],[first_response_minutes]]&gt;tbl_analysis_tickets[[#This Row],[First Response SLA Minutes]],"Breached","Within SLA")</f>
        <v>Breached</v>
      </c>
      <c r="O539" t="str" cm="1">
        <f t="array" ref="O539">_xlfn.IFS(
tbl_analysis_tickets[[#This Row],[agent_experience_years]]&lt;=2,"Junior",
tbl_analysis_tickets[[#This Row],[agent_experience_years]]&lt;=5,"Mid-Level",
tbl_analysis_tickets[[#This Row],[agent_experience_years]]&lt;=8,"Senior",
tbl_analysis_tickets[[#This Row],[agent_experience_years]]&gt;8,"Expert"
)</f>
        <v>Expert</v>
      </c>
      <c r="P539" cm="1">
        <f t="array" ref="P539">_xlfn.SWITCH(tbl_analysis_tickets[[#This Row],[customer_satisfaction]],
"Low",1,
"Medium",2,
"High",3
)</f>
        <v>1</v>
      </c>
      <c r="Q539">
        <f>IF(tbl_analysis_tickets[[#This Row],[reopened]]="Yes",1,0)</f>
        <v>0</v>
      </c>
      <c r="R539" t="str" cm="1">
        <f t="array" ref="R539">_xlfn.IFS(
tbl_analysis_tickets[[#This Row],[first_response_minutes]]&lt;=30,"Very Fast",
tbl_analysis_tickets[[#This Row],[first_response_minutes]]&lt;=120,"Acceptable",
tbl_analysis_tickets[[#This Row],[first_response_minutes]]&lt;=240,"Slow",
tbl_analysis_tickets[[#This Row],[first_response_minutes]]&gt;240,"Very Slow"
)</f>
        <v>Slow</v>
      </c>
      <c r="S539" t="str" cm="1">
        <f t="array" ref="S53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539" t="str">
        <f>TEXT(tbl_analysis_tickets[[#This Row],[created_date]],"mmm-yyyy")</f>
        <v>Dec-2024</v>
      </c>
      <c r="U539" t="str">
        <f>TEXT(tbl_analysis_tickets[[#This Row],[created_date]],"dddd")</f>
        <v>Tuesday</v>
      </c>
      <c r="V539" cm="1">
        <f t="array" ref="V539">_xlfn.SWITCH(tbl_analysis_tickets[[#This Row],[priority]],
"Urgent",1,
"High",2,
"Medium",3,
"Low",4
)</f>
        <v>2</v>
      </c>
    </row>
    <row r="540" spans="1:22" x14ac:dyDescent="0.25">
      <c r="A540">
        <v>539</v>
      </c>
      <c r="B540" s="1">
        <v>45348</v>
      </c>
      <c r="C540" t="s">
        <v>10</v>
      </c>
      <c r="D540" t="s">
        <v>20</v>
      </c>
      <c r="E540">
        <v>232</v>
      </c>
      <c r="F540">
        <v>9</v>
      </c>
      <c r="G540">
        <v>8.3000000000000007</v>
      </c>
      <c r="H540" t="s">
        <v>18</v>
      </c>
      <c r="I540" t="s">
        <v>13</v>
      </c>
      <c r="J540" t="s">
        <v>11</v>
      </c>
      <c r="K540">
        <f>_xlfn.XLOOKUP(tbl_analysis_tickets[[#This Row],[priority]],tbl_sla[priority],tbl_sla[Resolution SLA Hours])</f>
        <v>24</v>
      </c>
      <c r="L540">
        <f>_xlfn.XLOOKUP(tbl_analysis_tickets[[#This Row],[priority]],tbl_sla[priority],tbl_sla[First Response SLA Minutes])</f>
        <v>60</v>
      </c>
      <c r="M540" t="str">
        <f>IF(tbl_analysis_tickets[[#This Row],[resolution_time_hours]]&gt;tbl_analysis_tickets[[#This Row],[Resolution SLA Hours]],"Breached","Within SLA")</f>
        <v>Within SLA</v>
      </c>
      <c r="N540" t="str">
        <f>IF(tbl_analysis_tickets[[#This Row],[first_response_minutes]]&gt;tbl_analysis_tickets[[#This Row],[First Response SLA Minutes]],"Breached","Within SLA")</f>
        <v>Breached</v>
      </c>
      <c r="O540" t="str" cm="1">
        <f t="array" ref="O540">_xlfn.IFS(
tbl_analysis_tickets[[#This Row],[agent_experience_years]]&lt;=2,"Junior",
tbl_analysis_tickets[[#This Row],[agent_experience_years]]&lt;=5,"Mid-Level",
tbl_analysis_tickets[[#This Row],[agent_experience_years]]&lt;=8,"Senior",
tbl_analysis_tickets[[#This Row],[agent_experience_years]]&gt;8,"Expert"
)</f>
        <v>Expert</v>
      </c>
      <c r="P540" cm="1">
        <f t="array" ref="P540">_xlfn.SWITCH(tbl_analysis_tickets[[#This Row],[customer_satisfaction]],
"Low",1,
"Medium",2,
"High",3
)</f>
        <v>1</v>
      </c>
      <c r="Q540">
        <f>IF(tbl_analysis_tickets[[#This Row],[reopened]]="Yes",1,0)</f>
        <v>0</v>
      </c>
      <c r="R540" t="str" cm="1">
        <f t="array" ref="R540">_xlfn.IFS(
tbl_analysis_tickets[[#This Row],[first_response_minutes]]&lt;=30,"Very Fast",
tbl_analysis_tickets[[#This Row],[first_response_minutes]]&lt;=120,"Acceptable",
tbl_analysis_tickets[[#This Row],[first_response_minutes]]&lt;=240,"Slow",
tbl_analysis_tickets[[#This Row],[first_response_minutes]]&gt;240,"Very Slow"
)</f>
        <v>Slow</v>
      </c>
      <c r="S540" t="str" cm="1">
        <f t="array" ref="S54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540" t="str">
        <f>TEXT(tbl_analysis_tickets[[#This Row],[created_date]],"mmm-yyyy")</f>
        <v>Feb-2024</v>
      </c>
      <c r="U540" t="str">
        <f>TEXT(tbl_analysis_tickets[[#This Row],[created_date]],"dddd")</f>
        <v>Monday</v>
      </c>
      <c r="V540" cm="1">
        <f t="array" ref="V540">_xlfn.SWITCH(tbl_analysis_tickets[[#This Row],[priority]],
"Urgent",1,
"High",2,
"Medium",3,
"Low",4
)</f>
        <v>2</v>
      </c>
    </row>
    <row r="541" spans="1:22" x14ac:dyDescent="0.25">
      <c r="A541">
        <v>540</v>
      </c>
      <c r="B541" s="1">
        <v>45530</v>
      </c>
      <c r="C541" t="s">
        <v>23</v>
      </c>
      <c r="D541" t="s">
        <v>15</v>
      </c>
      <c r="E541">
        <v>62</v>
      </c>
      <c r="F541">
        <v>70</v>
      </c>
      <c r="G541">
        <v>3.9</v>
      </c>
      <c r="H541" t="s">
        <v>18</v>
      </c>
      <c r="I541" t="s">
        <v>16</v>
      </c>
      <c r="J541" t="s">
        <v>11</v>
      </c>
      <c r="K541">
        <f>_xlfn.XLOOKUP(tbl_analysis_tickets[[#This Row],[priority]],tbl_sla[priority],tbl_sla[Resolution SLA Hours])</f>
        <v>48</v>
      </c>
      <c r="L541">
        <f>_xlfn.XLOOKUP(tbl_analysis_tickets[[#This Row],[priority]],tbl_sla[priority],tbl_sla[First Response SLA Minutes])</f>
        <v>120</v>
      </c>
      <c r="M541" t="str">
        <f>IF(tbl_analysis_tickets[[#This Row],[resolution_time_hours]]&gt;tbl_analysis_tickets[[#This Row],[Resolution SLA Hours]],"Breached","Within SLA")</f>
        <v>Breached</v>
      </c>
      <c r="N541" t="str">
        <f>IF(tbl_analysis_tickets[[#This Row],[first_response_minutes]]&gt;tbl_analysis_tickets[[#This Row],[First Response SLA Minutes]],"Breached","Within SLA")</f>
        <v>Within SLA</v>
      </c>
      <c r="O541" t="str" cm="1">
        <f t="array" ref="O541">_xlfn.IFS(
tbl_analysis_tickets[[#This Row],[agent_experience_years]]&lt;=2,"Junior",
tbl_analysis_tickets[[#This Row],[agent_experience_years]]&lt;=5,"Mid-Level",
tbl_analysis_tickets[[#This Row],[agent_experience_years]]&lt;=8,"Senior",
tbl_analysis_tickets[[#This Row],[agent_experience_years]]&gt;8,"Expert"
)</f>
        <v>Mid-Level</v>
      </c>
      <c r="P541" cm="1">
        <f t="array" ref="P541">_xlfn.SWITCH(tbl_analysis_tickets[[#This Row],[customer_satisfaction]],
"Low",1,
"Medium",2,
"High",3
)</f>
        <v>1</v>
      </c>
      <c r="Q541">
        <f>IF(tbl_analysis_tickets[[#This Row],[reopened]]="Yes",1,0)</f>
        <v>0</v>
      </c>
      <c r="R541" t="str" cm="1">
        <f t="array" ref="R541">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541" t="str" cm="1">
        <f t="array" ref="S54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541" t="str">
        <f>TEXT(tbl_analysis_tickets[[#This Row],[created_date]],"mmm-yyyy")</f>
        <v>Aug-2024</v>
      </c>
      <c r="U541" t="str">
        <f>TEXT(tbl_analysis_tickets[[#This Row],[created_date]],"dddd")</f>
        <v>Monday</v>
      </c>
      <c r="V541" cm="1">
        <f t="array" ref="V541">_xlfn.SWITCH(tbl_analysis_tickets[[#This Row],[priority]],
"Urgent",1,
"High",2,
"Medium",3,
"Low",4
)</f>
        <v>3</v>
      </c>
    </row>
    <row r="542" spans="1:22" x14ac:dyDescent="0.25">
      <c r="A542">
        <v>541</v>
      </c>
      <c r="B542" s="1">
        <v>45387</v>
      </c>
      <c r="C542" t="s">
        <v>14</v>
      </c>
      <c r="D542" t="s">
        <v>15</v>
      </c>
      <c r="E542">
        <v>17</v>
      </c>
      <c r="F542">
        <v>43</v>
      </c>
      <c r="G542">
        <v>2.8</v>
      </c>
      <c r="H542" t="s">
        <v>12</v>
      </c>
      <c r="I542" t="s">
        <v>19</v>
      </c>
      <c r="J542" t="s">
        <v>15</v>
      </c>
      <c r="K542">
        <f>_xlfn.XLOOKUP(tbl_analysis_tickets[[#This Row],[priority]],tbl_sla[priority],tbl_sla[Resolution SLA Hours])</f>
        <v>48</v>
      </c>
      <c r="L542">
        <f>_xlfn.XLOOKUP(tbl_analysis_tickets[[#This Row],[priority]],tbl_sla[priority],tbl_sla[First Response SLA Minutes])</f>
        <v>120</v>
      </c>
      <c r="M542" t="str">
        <f>IF(tbl_analysis_tickets[[#This Row],[resolution_time_hours]]&gt;tbl_analysis_tickets[[#This Row],[Resolution SLA Hours]],"Breached","Within SLA")</f>
        <v>Within SLA</v>
      </c>
      <c r="N542" t="str">
        <f>IF(tbl_analysis_tickets[[#This Row],[first_response_minutes]]&gt;tbl_analysis_tickets[[#This Row],[First Response SLA Minutes]],"Breached","Within SLA")</f>
        <v>Within SLA</v>
      </c>
      <c r="O542" t="str" cm="1">
        <f t="array" ref="O542">_xlfn.IFS(
tbl_analysis_tickets[[#This Row],[agent_experience_years]]&lt;=2,"Junior",
tbl_analysis_tickets[[#This Row],[agent_experience_years]]&lt;=5,"Mid-Level",
tbl_analysis_tickets[[#This Row],[agent_experience_years]]&lt;=8,"Senior",
tbl_analysis_tickets[[#This Row],[agent_experience_years]]&gt;8,"Expert"
)</f>
        <v>Mid-Level</v>
      </c>
      <c r="P542" cm="1">
        <f t="array" ref="P542">_xlfn.SWITCH(tbl_analysis_tickets[[#This Row],[customer_satisfaction]],
"Low",1,
"Medium",2,
"High",3
)</f>
        <v>2</v>
      </c>
      <c r="Q542">
        <f>IF(tbl_analysis_tickets[[#This Row],[reopened]]="Yes",1,0)</f>
        <v>1</v>
      </c>
      <c r="R542" t="str" cm="1">
        <f t="array" ref="R542">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542" t="str" cm="1">
        <f t="array" ref="S54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542" t="str">
        <f>TEXT(tbl_analysis_tickets[[#This Row],[created_date]],"mmm-yyyy")</f>
        <v>Apr-2024</v>
      </c>
      <c r="U542" t="str">
        <f>TEXT(tbl_analysis_tickets[[#This Row],[created_date]],"dddd")</f>
        <v>Friday</v>
      </c>
      <c r="V542" cm="1">
        <f t="array" ref="V542">_xlfn.SWITCH(tbl_analysis_tickets[[#This Row],[priority]],
"Urgent",1,
"High",2,
"Medium",3,
"Low",4
)</f>
        <v>3</v>
      </c>
    </row>
    <row r="543" spans="1:22" x14ac:dyDescent="0.25">
      <c r="A543">
        <v>542</v>
      </c>
      <c r="B543" s="1">
        <v>45607</v>
      </c>
      <c r="C543" t="s">
        <v>10</v>
      </c>
      <c r="D543" t="s">
        <v>17</v>
      </c>
      <c r="E543">
        <v>166</v>
      </c>
      <c r="F543">
        <v>70</v>
      </c>
      <c r="G543">
        <v>7.3</v>
      </c>
      <c r="H543" t="s">
        <v>12</v>
      </c>
      <c r="I543" t="s">
        <v>13</v>
      </c>
      <c r="J543" t="s">
        <v>11</v>
      </c>
      <c r="K543">
        <f>_xlfn.XLOOKUP(tbl_analysis_tickets[[#This Row],[priority]],tbl_sla[priority],tbl_sla[Resolution SLA Hours])</f>
        <v>8</v>
      </c>
      <c r="L543">
        <f>_xlfn.XLOOKUP(tbl_analysis_tickets[[#This Row],[priority]],tbl_sla[priority],tbl_sla[First Response SLA Minutes])</f>
        <v>30</v>
      </c>
      <c r="M543" t="str">
        <f>IF(tbl_analysis_tickets[[#This Row],[resolution_time_hours]]&gt;tbl_analysis_tickets[[#This Row],[Resolution SLA Hours]],"Breached","Within SLA")</f>
        <v>Breached</v>
      </c>
      <c r="N543" t="str">
        <f>IF(tbl_analysis_tickets[[#This Row],[first_response_minutes]]&gt;tbl_analysis_tickets[[#This Row],[First Response SLA Minutes]],"Breached","Within SLA")</f>
        <v>Breached</v>
      </c>
      <c r="O543" t="str" cm="1">
        <f t="array" ref="O543">_xlfn.IFS(
tbl_analysis_tickets[[#This Row],[agent_experience_years]]&lt;=2,"Junior",
tbl_analysis_tickets[[#This Row],[agent_experience_years]]&lt;=5,"Mid-Level",
tbl_analysis_tickets[[#This Row],[agent_experience_years]]&lt;=8,"Senior",
tbl_analysis_tickets[[#This Row],[agent_experience_years]]&gt;8,"Expert"
)</f>
        <v>Senior</v>
      </c>
      <c r="P543" cm="1">
        <f t="array" ref="P543">_xlfn.SWITCH(tbl_analysis_tickets[[#This Row],[customer_satisfaction]],
"Low",1,
"Medium",2,
"High",3
)</f>
        <v>1</v>
      </c>
      <c r="Q543">
        <f>IF(tbl_analysis_tickets[[#This Row],[reopened]]="Yes",1,0)</f>
        <v>1</v>
      </c>
      <c r="R543" t="str" cm="1">
        <f t="array" ref="R543">_xlfn.IFS(
tbl_analysis_tickets[[#This Row],[first_response_minutes]]&lt;=30,"Very Fast",
tbl_analysis_tickets[[#This Row],[first_response_minutes]]&lt;=120,"Acceptable",
tbl_analysis_tickets[[#This Row],[first_response_minutes]]&lt;=240,"Slow",
tbl_analysis_tickets[[#This Row],[first_response_minutes]]&gt;240,"Very Slow"
)</f>
        <v>Slow</v>
      </c>
      <c r="S543" t="str" cm="1">
        <f t="array" ref="S54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543" t="str">
        <f>TEXT(tbl_analysis_tickets[[#This Row],[created_date]],"mmm-yyyy")</f>
        <v>Nov-2024</v>
      </c>
      <c r="U543" t="str">
        <f>TEXT(tbl_analysis_tickets[[#This Row],[created_date]],"dddd")</f>
        <v>Monday</v>
      </c>
      <c r="V543" cm="1">
        <f t="array" ref="V543">_xlfn.SWITCH(tbl_analysis_tickets[[#This Row],[priority]],
"Urgent",1,
"High",2,
"Medium",3,
"Low",4
)</f>
        <v>1</v>
      </c>
    </row>
    <row r="544" spans="1:22" x14ac:dyDescent="0.25">
      <c r="A544">
        <v>543</v>
      </c>
      <c r="B544" s="1">
        <v>45329</v>
      </c>
      <c r="C544" t="s">
        <v>10</v>
      </c>
      <c r="D544" t="s">
        <v>17</v>
      </c>
      <c r="E544">
        <v>7</v>
      </c>
      <c r="F544">
        <v>33</v>
      </c>
      <c r="G544">
        <v>9.9</v>
      </c>
      <c r="H544" t="s">
        <v>18</v>
      </c>
      <c r="I544" t="s">
        <v>13</v>
      </c>
      <c r="J544" t="s">
        <v>15</v>
      </c>
      <c r="K544">
        <f>_xlfn.XLOOKUP(tbl_analysis_tickets[[#This Row],[priority]],tbl_sla[priority],tbl_sla[Resolution SLA Hours])</f>
        <v>8</v>
      </c>
      <c r="L544">
        <f>_xlfn.XLOOKUP(tbl_analysis_tickets[[#This Row],[priority]],tbl_sla[priority],tbl_sla[First Response SLA Minutes])</f>
        <v>30</v>
      </c>
      <c r="M544" t="str">
        <f>IF(tbl_analysis_tickets[[#This Row],[resolution_time_hours]]&gt;tbl_analysis_tickets[[#This Row],[Resolution SLA Hours]],"Breached","Within SLA")</f>
        <v>Breached</v>
      </c>
      <c r="N544" t="str">
        <f>IF(tbl_analysis_tickets[[#This Row],[first_response_minutes]]&gt;tbl_analysis_tickets[[#This Row],[First Response SLA Minutes]],"Breached","Within SLA")</f>
        <v>Within SLA</v>
      </c>
      <c r="O544" t="str" cm="1">
        <f t="array" ref="O544">_xlfn.IFS(
tbl_analysis_tickets[[#This Row],[agent_experience_years]]&lt;=2,"Junior",
tbl_analysis_tickets[[#This Row],[agent_experience_years]]&lt;=5,"Mid-Level",
tbl_analysis_tickets[[#This Row],[agent_experience_years]]&lt;=8,"Senior",
tbl_analysis_tickets[[#This Row],[agent_experience_years]]&gt;8,"Expert"
)</f>
        <v>Expert</v>
      </c>
      <c r="P544" cm="1">
        <f t="array" ref="P544">_xlfn.SWITCH(tbl_analysis_tickets[[#This Row],[customer_satisfaction]],
"Low",1,
"Medium",2,
"High",3
)</f>
        <v>2</v>
      </c>
      <c r="Q544">
        <f>IF(tbl_analysis_tickets[[#This Row],[reopened]]="Yes",1,0)</f>
        <v>0</v>
      </c>
      <c r="R544" t="str" cm="1">
        <f t="array" ref="R544">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544" t="str" cm="1">
        <f t="array" ref="S54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544" t="str">
        <f>TEXT(tbl_analysis_tickets[[#This Row],[created_date]],"mmm-yyyy")</f>
        <v>Feb-2024</v>
      </c>
      <c r="U544" t="str">
        <f>TEXT(tbl_analysis_tickets[[#This Row],[created_date]],"dddd")</f>
        <v>Wednesday</v>
      </c>
      <c r="V544" cm="1">
        <f t="array" ref="V544">_xlfn.SWITCH(tbl_analysis_tickets[[#This Row],[priority]],
"Urgent",1,
"High",2,
"Medium",3,
"Low",4
)</f>
        <v>1</v>
      </c>
    </row>
    <row r="545" spans="1:22" x14ac:dyDescent="0.25">
      <c r="A545">
        <v>544</v>
      </c>
      <c r="B545" s="1">
        <v>45514</v>
      </c>
      <c r="C545" t="s">
        <v>10</v>
      </c>
      <c r="D545" t="s">
        <v>17</v>
      </c>
      <c r="E545">
        <v>75</v>
      </c>
      <c r="F545">
        <v>38</v>
      </c>
      <c r="G545">
        <v>8.3000000000000007</v>
      </c>
      <c r="H545" t="s">
        <v>18</v>
      </c>
      <c r="I545" t="s">
        <v>19</v>
      </c>
      <c r="J545" t="s">
        <v>11</v>
      </c>
      <c r="K545">
        <f>_xlfn.XLOOKUP(tbl_analysis_tickets[[#This Row],[priority]],tbl_sla[priority],tbl_sla[Resolution SLA Hours])</f>
        <v>8</v>
      </c>
      <c r="L545">
        <f>_xlfn.XLOOKUP(tbl_analysis_tickets[[#This Row],[priority]],tbl_sla[priority],tbl_sla[First Response SLA Minutes])</f>
        <v>30</v>
      </c>
      <c r="M545" t="str">
        <f>IF(tbl_analysis_tickets[[#This Row],[resolution_time_hours]]&gt;tbl_analysis_tickets[[#This Row],[Resolution SLA Hours]],"Breached","Within SLA")</f>
        <v>Breached</v>
      </c>
      <c r="N545" t="str">
        <f>IF(tbl_analysis_tickets[[#This Row],[first_response_minutes]]&gt;tbl_analysis_tickets[[#This Row],[First Response SLA Minutes]],"Breached","Within SLA")</f>
        <v>Breached</v>
      </c>
      <c r="O545" t="str" cm="1">
        <f t="array" ref="O545">_xlfn.IFS(
tbl_analysis_tickets[[#This Row],[agent_experience_years]]&lt;=2,"Junior",
tbl_analysis_tickets[[#This Row],[agent_experience_years]]&lt;=5,"Mid-Level",
tbl_analysis_tickets[[#This Row],[agent_experience_years]]&lt;=8,"Senior",
tbl_analysis_tickets[[#This Row],[agent_experience_years]]&gt;8,"Expert"
)</f>
        <v>Expert</v>
      </c>
      <c r="P545" cm="1">
        <f t="array" ref="P545">_xlfn.SWITCH(tbl_analysis_tickets[[#This Row],[customer_satisfaction]],
"Low",1,
"Medium",2,
"High",3
)</f>
        <v>1</v>
      </c>
      <c r="Q545">
        <f>IF(tbl_analysis_tickets[[#This Row],[reopened]]="Yes",1,0)</f>
        <v>0</v>
      </c>
      <c r="R545" t="str" cm="1">
        <f t="array" ref="R545">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545" t="str" cm="1">
        <f t="array" ref="S54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545" t="str">
        <f>TEXT(tbl_analysis_tickets[[#This Row],[created_date]],"mmm-yyyy")</f>
        <v>Aug-2024</v>
      </c>
      <c r="U545" t="str">
        <f>TEXT(tbl_analysis_tickets[[#This Row],[created_date]],"dddd")</f>
        <v>Saturday</v>
      </c>
      <c r="V545" cm="1">
        <f t="array" ref="V545">_xlfn.SWITCH(tbl_analysis_tickets[[#This Row],[priority]],
"Urgent",1,
"High",2,
"Medium",3,
"Low",4
)</f>
        <v>1</v>
      </c>
    </row>
    <row r="546" spans="1:22" x14ac:dyDescent="0.25">
      <c r="A546">
        <v>545</v>
      </c>
      <c r="B546" s="1">
        <v>45369</v>
      </c>
      <c r="C546" t="s">
        <v>22</v>
      </c>
      <c r="D546" t="s">
        <v>15</v>
      </c>
      <c r="E546">
        <v>92</v>
      </c>
      <c r="F546">
        <v>46</v>
      </c>
      <c r="G546">
        <v>5.3</v>
      </c>
      <c r="H546" t="s">
        <v>12</v>
      </c>
      <c r="I546" t="s">
        <v>16</v>
      </c>
      <c r="J546" t="s">
        <v>11</v>
      </c>
      <c r="K546">
        <f>_xlfn.XLOOKUP(tbl_analysis_tickets[[#This Row],[priority]],tbl_sla[priority],tbl_sla[Resolution SLA Hours])</f>
        <v>48</v>
      </c>
      <c r="L546">
        <f>_xlfn.XLOOKUP(tbl_analysis_tickets[[#This Row],[priority]],tbl_sla[priority],tbl_sla[First Response SLA Minutes])</f>
        <v>120</v>
      </c>
      <c r="M546" t="str">
        <f>IF(tbl_analysis_tickets[[#This Row],[resolution_time_hours]]&gt;tbl_analysis_tickets[[#This Row],[Resolution SLA Hours]],"Breached","Within SLA")</f>
        <v>Within SLA</v>
      </c>
      <c r="N546" t="str">
        <f>IF(tbl_analysis_tickets[[#This Row],[first_response_minutes]]&gt;tbl_analysis_tickets[[#This Row],[First Response SLA Minutes]],"Breached","Within SLA")</f>
        <v>Within SLA</v>
      </c>
      <c r="O546" t="str" cm="1">
        <f t="array" ref="O546">_xlfn.IFS(
tbl_analysis_tickets[[#This Row],[agent_experience_years]]&lt;=2,"Junior",
tbl_analysis_tickets[[#This Row],[agent_experience_years]]&lt;=5,"Mid-Level",
tbl_analysis_tickets[[#This Row],[agent_experience_years]]&lt;=8,"Senior",
tbl_analysis_tickets[[#This Row],[agent_experience_years]]&gt;8,"Expert"
)</f>
        <v>Senior</v>
      </c>
      <c r="P546" cm="1">
        <f t="array" ref="P546">_xlfn.SWITCH(tbl_analysis_tickets[[#This Row],[customer_satisfaction]],
"Low",1,
"Medium",2,
"High",3
)</f>
        <v>1</v>
      </c>
      <c r="Q546">
        <f>IF(tbl_analysis_tickets[[#This Row],[reopened]]="Yes",1,0)</f>
        <v>1</v>
      </c>
      <c r="R546" t="str" cm="1">
        <f t="array" ref="R546">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546" t="str" cm="1">
        <f t="array" ref="S54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546" t="str">
        <f>TEXT(tbl_analysis_tickets[[#This Row],[created_date]],"mmm-yyyy")</f>
        <v>Mar-2024</v>
      </c>
      <c r="U546" t="str">
        <f>TEXT(tbl_analysis_tickets[[#This Row],[created_date]],"dddd")</f>
        <v>Monday</v>
      </c>
      <c r="V546" cm="1">
        <f t="array" ref="V546">_xlfn.SWITCH(tbl_analysis_tickets[[#This Row],[priority]],
"Urgent",1,
"High",2,
"Medium",3,
"Low",4
)</f>
        <v>3</v>
      </c>
    </row>
    <row r="547" spans="1:22" x14ac:dyDescent="0.25">
      <c r="A547">
        <v>546</v>
      </c>
      <c r="B547" s="1">
        <v>45580</v>
      </c>
      <c r="C547" t="s">
        <v>14</v>
      </c>
      <c r="D547" t="s">
        <v>20</v>
      </c>
      <c r="E547">
        <v>144</v>
      </c>
      <c r="F547">
        <v>72</v>
      </c>
      <c r="G547">
        <v>1.4</v>
      </c>
      <c r="H547" t="s">
        <v>12</v>
      </c>
      <c r="I547" t="s">
        <v>13</v>
      </c>
      <c r="J547" t="s">
        <v>11</v>
      </c>
      <c r="K547">
        <f>_xlfn.XLOOKUP(tbl_analysis_tickets[[#This Row],[priority]],tbl_sla[priority],tbl_sla[Resolution SLA Hours])</f>
        <v>24</v>
      </c>
      <c r="L547">
        <f>_xlfn.XLOOKUP(tbl_analysis_tickets[[#This Row],[priority]],tbl_sla[priority],tbl_sla[First Response SLA Minutes])</f>
        <v>60</v>
      </c>
      <c r="M547" t="str">
        <f>IF(tbl_analysis_tickets[[#This Row],[resolution_time_hours]]&gt;tbl_analysis_tickets[[#This Row],[Resolution SLA Hours]],"Breached","Within SLA")</f>
        <v>Breached</v>
      </c>
      <c r="N547" t="str">
        <f>IF(tbl_analysis_tickets[[#This Row],[first_response_minutes]]&gt;tbl_analysis_tickets[[#This Row],[First Response SLA Minutes]],"Breached","Within SLA")</f>
        <v>Breached</v>
      </c>
      <c r="O547" t="str" cm="1">
        <f t="array" ref="O547">_xlfn.IFS(
tbl_analysis_tickets[[#This Row],[agent_experience_years]]&lt;=2,"Junior",
tbl_analysis_tickets[[#This Row],[agent_experience_years]]&lt;=5,"Mid-Level",
tbl_analysis_tickets[[#This Row],[agent_experience_years]]&lt;=8,"Senior",
tbl_analysis_tickets[[#This Row],[agent_experience_years]]&gt;8,"Expert"
)</f>
        <v>Junior</v>
      </c>
      <c r="P547" cm="1">
        <f t="array" ref="P547">_xlfn.SWITCH(tbl_analysis_tickets[[#This Row],[customer_satisfaction]],
"Low",1,
"Medium",2,
"High",3
)</f>
        <v>1</v>
      </c>
      <c r="Q547">
        <f>IF(tbl_analysis_tickets[[#This Row],[reopened]]="Yes",1,0)</f>
        <v>1</v>
      </c>
      <c r="R547" t="str" cm="1">
        <f t="array" ref="R547">_xlfn.IFS(
tbl_analysis_tickets[[#This Row],[first_response_minutes]]&lt;=30,"Very Fast",
tbl_analysis_tickets[[#This Row],[first_response_minutes]]&lt;=120,"Acceptable",
tbl_analysis_tickets[[#This Row],[first_response_minutes]]&lt;=240,"Slow",
tbl_analysis_tickets[[#This Row],[first_response_minutes]]&gt;240,"Very Slow"
)</f>
        <v>Slow</v>
      </c>
      <c r="S547" t="str" cm="1">
        <f t="array" ref="S54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547" t="str">
        <f>TEXT(tbl_analysis_tickets[[#This Row],[created_date]],"mmm-yyyy")</f>
        <v>Oct-2024</v>
      </c>
      <c r="U547" t="str">
        <f>TEXT(tbl_analysis_tickets[[#This Row],[created_date]],"dddd")</f>
        <v>Tuesday</v>
      </c>
      <c r="V547" cm="1">
        <f t="array" ref="V547">_xlfn.SWITCH(tbl_analysis_tickets[[#This Row],[priority]],
"Urgent",1,
"High",2,
"Medium",3,
"Low",4
)</f>
        <v>2</v>
      </c>
    </row>
    <row r="548" spans="1:22" x14ac:dyDescent="0.25">
      <c r="A548">
        <v>547</v>
      </c>
      <c r="B548" s="1">
        <v>45511</v>
      </c>
      <c r="C548" t="s">
        <v>10</v>
      </c>
      <c r="D548" t="s">
        <v>20</v>
      </c>
      <c r="E548">
        <v>97</v>
      </c>
      <c r="F548">
        <v>51</v>
      </c>
      <c r="G548">
        <v>6.6</v>
      </c>
      <c r="H548" t="s">
        <v>18</v>
      </c>
      <c r="I548" t="s">
        <v>13</v>
      </c>
      <c r="J548" t="s">
        <v>11</v>
      </c>
      <c r="K548">
        <f>_xlfn.XLOOKUP(tbl_analysis_tickets[[#This Row],[priority]],tbl_sla[priority],tbl_sla[Resolution SLA Hours])</f>
        <v>24</v>
      </c>
      <c r="L548">
        <f>_xlfn.XLOOKUP(tbl_analysis_tickets[[#This Row],[priority]],tbl_sla[priority],tbl_sla[First Response SLA Minutes])</f>
        <v>60</v>
      </c>
      <c r="M548" t="str">
        <f>IF(tbl_analysis_tickets[[#This Row],[resolution_time_hours]]&gt;tbl_analysis_tickets[[#This Row],[Resolution SLA Hours]],"Breached","Within SLA")</f>
        <v>Breached</v>
      </c>
      <c r="N548" t="str">
        <f>IF(tbl_analysis_tickets[[#This Row],[first_response_minutes]]&gt;tbl_analysis_tickets[[#This Row],[First Response SLA Minutes]],"Breached","Within SLA")</f>
        <v>Breached</v>
      </c>
      <c r="O548" t="str" cm="1">
        <f t="array" ref="O548">_xlfn.IFS(
tbl_analysis_tickets[[#This Row],[agent_experience_years]]&lt;=2,"Junior",
tbl_analysis_tickets[[#This Row],[agent_experience_years]]&lt;=5,"Mid-Level",
tbl_analysis_tickets[[#This Row],[agent_experience_years]]&lt;=8,"Senior",
tbl_analysis_tickets[[#This Row],[agent_experience_years]]&gt;8,"Expert"
)</f>
        <v>Senior</v>
      </c>
      <c r="P548" cm="1">
        <f t="array" ref="P548">_xlfn.SWITCH(tbl_analysis_tickets[[#This Row],[customer_satisfaction]],
"Low",1,
"Medium",2,
"High",3
)</f>
        <v>1</v>
      </c>
      <c r="Q548">
        <f>IF(tbl_analysis_tickets[[#This Row],[reopened]]="Yes",1,0)</f>
        <v>0</v>
      </c>
      <c r="R548" t="str" cm="1">
        <f t="array" ref="R548">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548" t="str" cm="1">
        <f t="array" ref="S54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548" t="str">
        <f>TEXT(tbl_analysis_tickets[[#This Row],[created_date]],"mmm-yyyy")</f>
        <v>Aug-2024</v>
      </c>
      <c r="U548" t="str">
        <f>TEXT(tbl_analysis_tickets[[#This Row],[created_date]],"dddd")</f>
        <v>Wednesday</v>
      </c>
      <c r="V548" cm="1">
        <f t="array" ref="V548">_xlfn.SWITCH(tbl_analysis_tickets[[#This Row],[priority]],
"Urgent",1,
"High",2,
"Medium",3,
"Low",4
)</f>
        <v>2</v>
      </c>
    </row>
    <row r="549" spans="1:22" x14ac:dyDescent="0.25">
      <c r="A549">
        <v>548</v>
      </c>
      <c r="B549" s="1">
        <v>45542</v>
      </c>
      <c r="C549" t="s">
        <v>23</v>
      </c>
      <c r="D549" t="s">
        <v>20</v>
      </c>
      <c r="E549">
        <v>121</v>
      </c>
      <c r="F549">
        <v>17</v>
      </c>
      <c r="G549">
        <v>7.2</v>
      </c>
      <c r="H549" t="s">
        <v>12</v>
      </c>
      <c r="I549" t="s">
        <v>16</v>
      </c>
      <c r="J549" t="s">
        <v>11</v>
      </c>
      <c r="K549">
        <f>_xlfn.XLOOKUP(tbl_analysis_tickets[[#This Row],[priority]],tbl_sla[priority],tbl_sla[Resolution SLA Hours])</f>
        <v>24</v>
      </c>
      <c r="L549">
        <f>_xlfn.XLOOKUP(tbl_analysis_tickets[[#This Row],[priority]],tbl_sla[priority],tbl_sla[First Response SLA Minutes])</f>
        <v>60</v>
      </c>
      <c r="M549" t="str">
        <f>IF(tbl_analysis_tickets[[#This Row],[resolution_time_hours]]&gt;tbl_analysis_tickets[[#This Row],[Resolution SLA Hours]],"Breached","Within SLA")</f>
        <v>Within SLA</v>
      </c>
      <c r="N549" t="str">
        <f>IF(tbl_analysis_tickets[[#This Row],[first_response_minutes]]&gt;tbl_analysis_tickets[[#This Row],[First Response SLA Minutes]],"Breached","Within SLA")</f>
        <v>Breached</v>
      </c>
      <c r="O549" t="str" cm="1">
        <f t="array" ref="O549">_xlfn.IFS(
tbl_analysis_tickets[[#This Row],[agent_experience_years]]&lt;=2,"Junior",
tbl_analysis_tickets[[#This Row],[agent_experience_years]]&lt;=5,"Mid-Level",
tbl_analysis_tickets[[#This Row],[agent_experience_years]]&lt;=8,"Senior",
tbl_analysis_tickets[[#This Row],[agent_experience_years]]&gt;8,"Expert"
)</f>
        <v>Senior</v>
      </c>
      <c r="P549" cm="1">
        <f t="array" ref="P549">_xlfn.SWITCH(tbl_analysis_tickets[[#This Row],[customer_satisfaction]],
"Low",1,
"Medium",2,
"High",3
)</f>
        <v>1</v>
      </c>
      <c r="Q549">
        <f>IF(tbl_analysis_tickets[[#This Row],[reopened]]="Yes",1,0)</f>
        <v>1</v>
      </c>
      <c r="R549" t="str" cm="1">
        <f t="array" ref="R549">_xlfn.IFS(
tbl_analysis_tickets[[#This Row],[first_response_minutes]]&lt;=30,"Very Fast",
tbl_analysis_tickets[[#This Row],[first_response_minutes]]&lt;=120,"Acceptable",
tbl_analysis_tickets[[#This Row],[first_response_minutes]]&lt;=240,"Slow",
tbl_analysis_tickets[[#This Row],[first_response_minutes]]&gt;240,"Very Slow"
)</f>
        <v>Slow</v>
      </c>
      <c r="S549" t="str" cm="1">
        <f t="array" ref="S54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549" t="str">
        <f>TEXT(tbl_analysis_tickets[[#This Row],[created_date]],"mmm-yyyy")</f>
        <v>Sep-2024</v>
      </c>
      <c r="U549" t="str">
        <f>TEXT(tbl_analysis_tickets[[#This Row],[created_date]],"dddd")</f>
        <v>Saturday</v>
      </c>
      <c r="V549" cm="1">
        <f t="array" ref="V549">_xlfn.SWITCH(tbl_analysis_tickets[[#This Row],[priority]],
"Urgent",1,
"High",2,
"Medium",3,
"Low",4
)</f>
        <v>2</v>
      </c>
    </row>
    <row r="550" spans="1:22" x14ac:dyDescent="0.25">
      <c r="A550">
        <v>549</v>
      </c>
      <c r="B550" s="1">
        <v>45385</v>
      </c>
      <c r="C550" t="s">
        <v>14</v>
      </c>
      <c r="D550" t="s">
        <v>17</v>
      </c>
      <c r="E550">
        <v>79</v>
      </c>
      <c r="F550">
        <v>39</v>
      </c>
      <c r="G550">
        <v>2.5</v>
      </c>
      <c r="H550" t="s">
        <v>18</v>
      </c>
      <c r="I550" t="s">
        <v>19</v>
      </c>
      <c r="J550" t="s">
        <v>11</v>
      </c>
      <c r="K550">
        <f>_xlfn.XLOOKUP(tbl_analysis_tickets[[#This Row],[priority]],tbl_sla[priority],tbl_sla[Resolution SLA Hours])</f>
        <v>8</v>
      </c>
      <c r="L550">
        <f>_xlfn.XLOOKUP(tbl_analysis_tickets[[#This Row],[priority]],tbl_sla[priority],tbl_sla[First Response SLA Minutes])</f>
        <v>30</v>
      </c>
      <c r="M550" t="str">
        <f>IF(tbl_analysis_tickets[[#This Row],[resolution_time_hours]]&gt;tbl_analysis_tickets[[#This Row],[Resolution SLA Hours]],"Breached","Within SLA")</f>
        <v>Breached</v>
      </c>
      <c r="N550" t="str">
        <f>IF(tbl_analysis_tickets[[#This Row],[first_response_minutes]]&gt;tbl_analysis_tickets[[#This Row],[First Response SLA Minutes]],"Breached","Within SLA")</f>
        <v>Breached</v>
      </c>
      <c r="O550" t="str" cm="1">
        <f t="array" ref="O550">_xlfn.IFS(
tbl_analysis_tickets[[#This Row],[agent_experience_years]]&lt;=2,"Junior",
tbl_analysis_tickets[[#This Row],[agent_experience_years]]&lt;=5,"Mid-Level",
tbl_analysis_tickets[[#This Row],[agent_experience_years]]&lt;=8,"Senior",
tbl_analysis_tickets[[#This Row],[agent_experience_years]]&gt;8,"Expert"
)</f>
        <v>Mid-Level</v>
      </c>
      <c r="P550" cm="1">
        <f t="array" ref="P550">_xlfn.SWITCH(tbl_analysis_tickets[[#This Row],[customer_satisfaction]],
"Low",1,
"Medium",2,
"High",3
)</f>
        <v>1</v>
      </c>
      <c r="Q550">
        <f>IF(tbl_analysis_tickets[[#This Row],[reopened]]="Yes",1,0)</f>
        <v>0</v>
      </c>
      <c r="R550" t="str" cm="1">
        <f t="array" ref="R550">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550" t="str" cm="1">
        <f t="array" ref="S55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550" t="str">
        <f>TEXT(tbl_analysis_tickets[[#This Row],[created_date]],"mmm-yyyy")</f>
        <v>Apr-2024</v>
      </c>
      <c r="U550" t="str">
        <f>TEXT(tbl_analysis_tickets[[#This Row],[created_date]],"dddd")</f>
        <v>Wednesday</v>
      </c>
      <c r="V550" cm="1">
        <f t="array" ref="V550">_xlfn.SWITCH(tbl_analysis_tickets[[#This Row],[priority]],
"Urgent",1,
"High",2,
"Medium",3,
"Low",4
)</f>
        <v>1</v>
      </c>
    </row>
    <row r="551" spans="1:22" x14ac:dyDescent="0.25">
      <c r="A551">
        <v>550</v>
      </c>
      <c r="B551" s="1">
        <v>45391</v>
      </c>
      <c r="C551" t="s">
        <v>14</v>
      </c>
      <c r="D551" t="s">
        <v>15</v>
      </c>
      <c r="E551">
        <v>227</v>
      </c>
      <c r="F551">
        <v>51</v>
      </c>
      <c r="G551">
        <v>7.4</v>
      </c>
      <c r="H551" t="s">
        <v>18</v>
      </c>
      <c r="I551" t="s">
        <v>16</v>
      </c>
      <c r="J551" t="s">
        <v>15</v>
      </c>
      <c r="K551">
        <f>_xlfn.XLOOKUP(tbl_analysis_tickets[[#This Row],[priority]],tbl_sla[priority],tbl_sla[Resolution SLA Hours])</f>
        <v>48</v>
      </c>
      <c r="L551">
        <f>_xlfn.XLOOKUP(tbl_analysis_tickets[[#This Row],[priority]],tbl_sla[priority],tbl_sla[First Response SLA Minutes])</f>
        <v>120</v>
      </c>
      <c r="M551" t="str">
        <f>IF(tbl_analysis_tickets[[#This Row],[resolution_time_hours]]&gt;tbl_analysis_tickets[[#This Row],[Resolution SLA Hours]],"Breached","Within SLA")</f>
        <v>Breached</v>
      </c>
      <c r="N551" t="str">
        <f>IF(tbl_analysis_tickets[[#This Row],[first_response_minutes]]&gt;tbl_analysis_tickets[[#This Row],[First Response SLA Minutes]],"Breached","Within SLA")</f>
        <v>Breached</v>
      </c>
      <c r="O551" t="str" cm="1">
        <f t="array" ref="O551">_xlfn.IFS(
tbl_analysis_tickets[[#This Row],[agent_experience_years]]&lt;=2,"Junior",
tbl_analysis_tickets[[#This Row],[agent_experience_years]]&lt;=5,"Mid-Level",
tbl_analysis_tickets[[#This Row],[agent_experience_years]]&lt;=8,"Senior",
tbl_analysis_tickets[[#This Row],[agent_experience_years]]&gt;8,"Expert"
)</f>
        <v>Senior</v>
      </c>
      <c r="P551" cm="1">
        <f t="array" ref="P551">_xlfn.SWITCH(tbl_analysis_tickets[[#This Row],[customer_satisfaction]],
"Low",1,
"Medium",2,
"High",3
)</f>
        <v>2</v>
      </c>
      <c r="Q551">
        <f>IF(tbl_analysis_tickets[[#This Row],[reopened]]="Yes",1,0)</f>
        <v>0</v>
      </c>
      <c r="R551" t="str" cm="1">
        <f t="array" ref="R551">_xlfn.IFS(
tbl_analysis_tickets[[#This Row],[first_response_minutes]]&lt;=30,"Very Fast",
tbl_analysis_tickets[[#This Row],[first_response_minutes]]&lt;=120,"Acceptable",
tbl_analysis_tickets[[#This Row],[first_response_minutes]]&lt;=240,"Slow",
tbl_analysis_tickets[[#This Row],[first_response_minutes]]&gt;240,"Very Slow"
)</f>
        <v>Slow</v>
      </c>
      <c r="S551" t="str" cm="1">
        <f t="array" ref="S55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551" t="str">
        <f>TEXT(tbl_analysis_tickets[[#This Row],[created_date]],"mmm-yyyy")</f>
        <v>Apr-2024</v>
      </c>
      <c r="U551" t="str">
        <f>TEXT(tbl_analysis_tickets[[#This Row],[created_date]],"dddd")</f>
        <v>Tuesday</v>
      </c>
      <c r="V551" cm="1">
        <f t="array" ref="V551">_xlfn.SWITCH(tbl_analysis_tickets[[#This Row],[priority]],
"Urgent",1,
"High",2,
"Medium",3,
"Low",4
)</f>
        <v>3</v>
      </c>
    </row>
    <row r="552" spans="1:22" x14ac:dyDescent="0.25">
      <c r="A552">
        <v>551</v>
      </c>
      <c r="B552" s="1">
        <v>45521</v>
      </c>
      <c r="C552" t="s">
        <v>10</v>
      </c>
      <c r="D552" t="s">
        <v>20</v>
      </c>
      <c r="E552">
        <v>78</v>
      </c>
      <c r="F552">
        <v>45</v>
      </c>
      <c r="G552">
        <v>6.5</v>
      </c>
      <c r="H552" t="s">
        <v>12</v>
      </c>
      <c r="I552" t="s">
        <v>13</v>
      </c>
      <c r="J552" t="s">
        <v>11</v>
      </c>
      <c r="K552">
        <f>_xlfn.XLOOKUP(tbl_analysis_tickets[[#This Row],[priority]],tbl_sla[priority],tbl_sla[Resolution SLA Hours])</f>
        <v>24</v>
      </c>
      <c r="L552">
        <f>_xlfn.XLOOKUP(tbl_analysis_tickets[[#This Row],[priority]],tbl_sla[priority],tbl_sla[First Response SLA Minutes])</f>
        <v>60</v>
      </c>
      <c r="M552" t="str">
        <f>IF(tbl_analysis_tickets[[#This Row],[resolution_time_hours]]&gt;tbl_analysis_tickets[[#This Row],[Resolution SLA Hours]],"Breached","Within SLA")</f>
        <v>Breached</v>
      </c>
      <c r="N552" t="str">
        <f>IF(tbl_analysis_tickets[[#This Row],[first_response_minutes]]&gt;tbl_analysis_tickets[[#This Row],[First Response SLA Minutes]],"Breached","Within SLA")</f>
        <v>Breached</v>
      </c>
      <c r="O552" t="str" cm="1">
        <f t="array" ref="O552">_xlfn.IFS(
tbl_analysis_tickets[[#This Row],[agent_experience_years]]&lt;=2,"Junior",
tbl_analysis_tickets[[#This Row],[agent_experience_years]]&lt;=5,"Mid-Level",
tbl_analysis_tickets[[#This Row],[agent_experience_years]]&lt;=8,"Senior",
tbl_analysis_tickets[[#This Row],[agent_experience_years]]&gt;8,"Expert"
)</f>
        <v>Senior</v>
      </c>
      <c r="P552" cm="1">
        <f t="array" ref="P552">_xlfn.SWITCH(tbl_analysis_tickets[[#This Row],[customer_satisfaction]],
"Low",1,
"Medium",2,
"High",3
)</f>
        <v>1</v>
      </c>
      <c r="Q552">
        <f>IF(tbl_analysis_tickets[[#This Row],[reopened]]="Yes",1,0)</f>
        <v>1</v>
      </c>
      <c r="R552" t="str" cm="1">
        <f t="array" ref="R552">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552" t="str" cm="1">
        <f t="array" ref="S55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552" t="str">
        <f>TEXT(tbl_analysis_tickets[[#This Row],[created_date]],"mmm-yyyy")</f>
        <v>Aug-2024</v>
      </c>
      <c r="U552" t="str">
        <f>TEXT(tbl_analysis_tickets[[#This Row],[created_date]],"dddd")</f>
        <v>Saturday</v>
      </c>
      <c r="V552" cm="1">
        <f t="array" ref="V552">_xlfn.SWITCH(tbl_analysis_tickets[[#This Row],[priority]],
"Urgent",1,
"High",2,
"Medium",3,
"Low",4
)</f>
        <v>2</v>
      </c>
    </row>
    <row r="553" spans="1:22" x14ac:dyDescent="0.25">
      <c r="A553">
        <v>552</v>
      </c>
      <c r="B553" s="1">
        <v>45466</v>
      </c>
      <c r="C553" t="s">
        <v>22</v>
      </c>
      <c r="D553" t="s">
        <v>17</v>
      </c>
      <c r="E553">
        <v>145</v>
      </c>
      <c r="F553">
        <v>72</v>
      </c>
      <c r="G553">
        <v>9.4</v>
      </c>
      <c r="H553" t="s">
        <v>18</v>
      </c>
      <c r="I553" t="s">
        <v>13</v>
      </c>
      <c r="J553" t="s">
        <v>11</v>
      </c>
      <c r="K553">
        <f>_xlfn.XLOOKUP(tbl_analysis_tickets[[#This Row],[priority]],tbl_sla[priority],tbl_sla[Resolution SLA Hours])</f>
        <v>8</v>
      </c>
      <c r="L553">
        <f>_xlfn.XLOOKUP(tbl_analysis_tickets[[#This Row],[priority]],tbl_sla[priority],tbl_sla[First Response SLA Minutes])</f>
        <v>30</v>
      </c>
      <c r="M553" t="str">
        <f>IF(tbl_analysis_tickets[[#This Row],[resolution_time_hours]]&gt;tbl_analysis_tickets[[#This Row],[Resolution SLA Hours]],"Breached","Within SLA")</f>
        <v>Breached</v>
      </c>
      <c r="N553" t="str">
        <f>IF(tbl_analysis_tickets[[#This Row],[first_response_minutes]]&gt;tbl_analysis_tickets[[#This Row],[First Response SLA Minutes]],"Breached","Within SLA")</f>
        <v>Breached</v>
      </c>
      <c r="O553" t="str" cm="1">
        <f t="array" ref="O553">_xlfn.IFS(
tbl_analysis_tickets[[#This Row],[agent_experience_years]]&lt;=2,"Junior",
tbl_analysis_tickets[[#This Row],[agent_experience_years]]&lt;=5,"Mid-Level",
tbl_analysis_tickets[[#This Row],[agent_experience_years]]&lt;=8,"Senior",
tbl_analysis_tickets[[#This Row],[agent_experience_years]]&gt;8,"Expert"
)</f>
        <v>Expert</v>
      </c>
      <c r="P553" cm="1">
        <f t="array" ref="P553">_xlfn.SWITCH(tbl_analysis_tickets[[#This Row],[customer_satisfaction]],
"Low",1,
"Medium",2,
"High",3
)</f>
        <v>1</v>
      </c>
      <c r="Q553">
        <f>IF(tbl_analysis_tickets[[#This Row],[reopened]]="Yes",1,0)</f>
        <v>0</v>
      </c>
      <c r="R553" t="str" cm="1">
        <f t="array" ref="R553">_xlfn.IFS(
tbl_analysis_tickets[[#This Row],[first_response_minutes]]&lt;=30,"Very Fast",
tbl_analysis_tickets[[#This Row],[first_response_minutes]]&lt;=120,"Acceptable",
tbl_analysis_tickets[[#This Row],[first_response_minutes]]&lt;=240,"Slow",
tbl_analysis_tickets[[#This Row],[first_response_minutes]]&gt;240,"Very Slow"
)</f>
        <v>Slow</v>
      </c>
      <c r="S553" t="str" cm="1">
        <f t="array" ref="S55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553" t="str">
        <f>TEXT(tbl_analysis_tickets[[#This Row],[created_date]],"mmm-yyyy")</f>
        <v>Jun-2024</v>
      </c>
      <c r="U553" t="str">
        <f>TEXT(tbl_analysis_tickets[[#This Row],[created_date]],"dddd")</f>
        <v>Sunday</v>
      </c>
      <c r="V553" cm="1">
        <f t="array" ref="V553">_xlfn.SWITCH(tbl_analysis_tickets[[#This Row],[priority]],
"Urgent",1,
"High",2,
"Medium",3,
"Low",4
)</f>
        <v>1</v>
      </c>
    </row>
    <row r="554" spans="1:22" x14ac:dyDescent="0.25">
      <c r="A554">
        <v>553</v>
      </c>
      <c r="B554" s="1">
        <v>45633</v>
      </c>
      <c r="C554" t="s">
        <v>21</v>
      </c>
      <c r="D554" t="s">
        <v>20</v>
      </c>
      <c r="E554">
        <v>90</v>
      </c>
      <c r="F554">
        <v>47</v>
      </c>
      <c r="G554">
        <v>6.7</v>
      </c>
      <c r="H554" t="s">
        <v>18</v>
      </c>
      <c r="I554" t="s">
        <v>13</v>
      </c>
      <c r="J554" t="s">
        <v>11</v>
      </c>
      <c r="K554">
        <f>_xlfn.XLOOKUP(tbl_analysis_tickets[[#This Row],[priority]],tbl_sla[priority],tbl_sla[Resolution SLA Hours])</f>
        <v>24</v>
      </c>
      <c r="L554">
        <f>_xlfn.XLOOKUP(tbl_analysis_tickets[[#This Row],[priority]],tbl_sla[priority],tbl_sla[First Response SLA Minutes])</f>
        <v>60</v>
      </c>
      <c r="M554" t="str">
        <f>IF(tbl_analysis_tickets[[#This Row],[resolution_time_hours]]&gt;tbl_analysis_tickets[[#This Row],[Resolution SLA Hours]],"Breached","Within SLA")</f>
        <v>Breached</v>
      </c>
      <c r="N554" t="str">
        <f>IF(tbl_analysis_tickets[[#This Row],[first_response_minutes]]&gt;tbl_analysis_tickets[[#This Row],[First Response SLA Minutes]],"Breached","Within SLA")</f>
        <v>Breached</v>
      </c>
      <c r="O554" t="str" cm="1">
        <f t="array" ref="O554">_xlfn.IFS(
tbl_analysis_tickets[[#This Row],[agent_experience_years]]&lt;=2,"Junior",
tbl_analysis_tickets[[#This Row],[agent_experience_years]]&lt;=5,"Mid-Level",
tbl_analysis_tickets[[#This Row],[agent_experience_years]]&lt;=8,"Senior",
tbl_analysis_tickets[[#This Row],[agent_experience_years]]&gt;8,"Expert"
)</f>
        <v>Senior</v>
      </c>
      <c r="P554" cm="1">
        <f t="array" ref="P554">_xlfn.SWITCH(tbl_analysis_tickets[[#This Row],[customer_satisfaction]],
"Low",1,
"Medium",2,
"High",3
)</f>
        <v>1</v>
      </c>
      <c r="Q554">
        <f>IF(tbl_analysis_tickets[[#This Row],[reopened]]="Yes",1,0)</f>
        <v>0</v>
      </c>
      <c r="R554" t="str" cm="1">
        <f t="array" ref="R554">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554" t="str" cm="1">
        <f t="array" ref="S55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554" t="str">
        <f>TEXT(tbl_analysis_tickets[[#This Row],[created_date]],"mmm-yyyy")</f>
        <v>Dec-2024</v>
      </c>
      <c r="U554" t="str">
        <f>TEXT(tbl_analysis_tickets[[#This Row],[created_date]],"dddd")</f>
        <v>Saturday</v>
      </c>
      <c r="V554" cm="1">
        <f t="array" ref="V554">_xlfn.SWITCH(tbl_analysis_tickets[[#This Row],[priority]],
"Urgent",1,
"High",2,
"Medium",3,
"Low",4
)</f>
        <v>2</v>
      </c>
    </row>
    <row r="555" spans="1:22" x14ac:dyDescent="0.25">
      <c r="A555">
        <v>554</v>
      </c>
      <c r="B555" s="1">
        <v>45529</v>
      </c>
      <c r="C555" t="s">
        <v>14</v>
      </c>
      <c r="D555" t="s">
        <v>20</v>
      </c>
      <c r="E555">
        <v>90</v>
      </c>
      <c r="F555">
        <v>38</v>
      </c>
      <c r="G555">
        <v>3.3</v>
      </c>
      <c r="H555" t="s">
        <v>18</v>
      </c>
      <c r="I555" t="s">
        <v>13</v>
      </c>
      <c r="J555" t="s">
        <v>11</v>
      </c>
      <c r="K555">
        <f>_xlfn.XLOOKUP(tbl_analysis_tickets[[#This Row],[priority]],tbl_sla[priority],tbl_sla[Resolution SLA Hours])</f>
        <v>24</v>
      </c>
      <c r="L555">
        <f>_xlfn.XLOOKUP(tbl_analysis_tickets[[#This Row],[priority]],tbl_sla[priority],tbl_sla[First Response SLA Minutes])</f>
        <v>60</v>
      </c>
      <c r="M555" t="str">
        <f>IF(tbl_analysis_tickets[[#This Row],[resolution_time_hours]]&gt;tbl_analysis_tickets[[#This Row],[Resolution SLA Hours]],"Breached","Within SLA")</f>
        <v>Breached</v>
      </c>
      <c r="N555" t="str">
        <f>IF(tbl_analysis_tickets[[#This Row],[first_response_minutes]]&gt;tbl_analysis_tickets[[#This Row],[First Response SLA Minutes]],"Breached","Within SLA")</f>
        <v>Breached</v>
      </c>
      <c r="O555" t="str" cm="1">
        <f t="array" ref="O555">_xlfn.IFS(
tbl_analysis_tickets[[#This Row],[agent_experience_years]]&lt;=2,"Junior",
tbl_analysis_tickets[[#This Row],[agent_experience_years]]&lt;=5,"Mid-Level",
tbl_analysis_tickets[[#This Row],[agent_experience_years]]&lt;=8,"Senior",
tbl_analysis_tickets[[#This Row],[agent_experience_years]]&gt;8,"Expert"
)</f>
        <v>Mid-Level</v>
      </c>
      <c r="P555" cm="1">
        <f t="array" ref="P555">_xlfn.SWITCH(tbl_analysis_tickets[[#This Row],[customer_satisfaction]],
"Low",1,
"Medium",2,
"High",3
)</f>
        <v>1</v>
      </c>
      <c r="Q555">
        <f>IF(tbl_analysis_tickets[[#This Row],[reopened]]="Yes",1,0)</f>
        <v>0</v>
      </c>
      <c r="R555" t="str" cm="1">
        <f t="array" ref="R555">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555" t="str" cm="1">
        <f t="array" ref="S55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555" t="str">
        <f>TEXT(tbl_analysis_tickets[[#This Row],[created_date]],"mmm-yyyy")</f>
        <v>Aug-2024</v>
      </c>
      <c r="U555" t="str">
        <f>TEXT(tbl_analysis_tickets[[#This Row],[created_date]],"dddd")</f>
        <v>Sunday</v>
      </c>
      <c r="V555" cm="1">
        <f t="array" ref="V555">_xlfn.SWITCH(tbl_analysis_tickets[[#This Row],[priority]],
"Urgent",1,
"High",2,
"Medium",3,
"Low",4
)</f>
        <v>2</v>
      </c>
    </row>
    <row r="556" spans="1:22" x14ac:dyDescent="0.25">
      <c r="A556">
        <v>555</v>
      </c>
      <c r="B556" s="1">
        <v>45652</v>
      </c>
      <c r="C556" t="s">
        <v>23</v>
      </c>
      <c r="D556" t="s">
        <v>20</v>
      </c>
      <c r="E556">
        <v>192</v>
      </c>
      <c r="F556">
        <v>35</v>
      </c>
      <c r="G556">
        <v>1.3</v>
      </c>
      <c r="H556" t="s">
        <v>18</v>
      </c>
      <c r="I556" t="s">
        <v>16</v>
      </c>
      <c r="J556" t="s">
        <v>11</v>
      </c>
      <c r="K556">
        <f>_xlfn.XLOOKUP(tbl_analysis_tickets[[#This Row],[priority]],tbl_sla[priority],tbl_sla[Resolution SLA Hours])</f>
        <v>24</v>
      </c>
      <c r="L556">
        <f>_xlfn.XLOOKUP(tbl_analysis_tickets[[#This Row],[priority]],tbl_sla[priority],tbl_sla[First Response SLA Minutes])</f>
        <v>60</v>
      </c>
      <c r="M556" t="str">
        <f>IF(tbl_analysis_tickets[[#This Row],[resolution_time_hours]]&gt;tbl_analysis_tickets[[#This Row],[Resolution SLA Hours]],"Breached","Within SLA")</f>
        <v>Breached</v>
      </c>
      <c r="N556" t="str">
        <f>IF(tbl_analysis_tickets[[#This Row],[first_response_minutes]]&gt;tbl_analysis_tickets[[#This Row],[First Response SLA Minutes]],"Breached","Within SLA")</f>
        <v>Breached</v>
      </c>
      <c r="O556" t="str" cm="1">
        <f t="array" ref="O556">_xlfn.IFS(
tbl_analysis_tickets[[#This Row],[agent_experience_years]]&lt;=2,"Junior",
tbl_analysis_tickets[[#This Row],[agent_experience_years]]&lt;=5,"Mid-Level",
tbl_analysis_tickets[[#This Row],[agent_experience_years]]&lt;=8,"Senior",
tbl_analysis_tickets[[#This Row],[agent_experience_years]]&gt;8,"Expert"
)</f>
        <v>Junior</v>
      </c>
      <c r="P556" cm="1">
        <f t="array" ref="P556">_xlfn.SWITCH(tbl_analysis_tickets[[#This Row],[customer_satisfaction]],
"Low",1,
"Medium",2,
"High",3
)</f>
        <v>1</v>
      </c>
      <c r="Q556">
        <f>IF(tbl_analysis_tickets[[#This Row],[reopened]]="Yes",1,0)</f>
        <v>0</v>
      </c>
      <c r="R556" t="str" cm="1">
        <f t="array" ref="R556">_xlfn.IFS(
tbl_analysis_tickets[[#This Row],[first_response_minutes]]&lt;=30,"Very Fast",
tbl_analysis_tickets[[#This Row],[first_response_minutes]]&lt;=120,"Acceptable",
tbl_analysis_tickets[[#This Row],[first_response_minutes]]&lt;=240,"Slow",
tbl_analysis_tickets[[#This Row],[first_response_minutes]]&gt;240,"Very Slow"
)</f>
        <v>Slow</v>
      </c>
      <c r="S556" t="str" cm="1">
        <f t="array" ref="S55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556" t="str">
        <f>TEXT(tbl_analysis_tickets[[#This Row],[created_date]],"mmm-yyyy")</f>
        <v>Dec-2024</v>
      </c>
      <c r="U556" t="str">
        <f>TEXT(tbl_analysis_tickets[[#This Row],[created_date]],"dddd")</f>
        <v>Thursday</v>
      </c>
      <c r="V556" cm="1">
        <f t="array" ref="V556">_xlfn.SWITCH(tbl_analysis_tickets[[#This Row],[priority]],
"Urgent",1,
"High",2,
"Medium",3,
"Low",4
)</f>
        <v>2</v>
      </c>
    </row>
    <row r="557" spans="1:22" x14ac:dyDescent="0.25">
      <c r="A557">
        <v>556</v>
      </c>
      <c r="B557" s="1">
        <v>45437</v>
      </c>
      <c r="C557" t="s">
        <v>22</v>
      </c>
      <c r="D557" t="s">
        <v>11</v>
      </c>
      <c r="E557">
        <v>98</v>
      </c>
      <c r="F557">
        <v>13</v>
      </c>
      <c r="G557">
        <v>1.1000000000000001</v>
      </c>
      <c r="H557" t="s">
        <v>18</v>
      </c>
      <c r="I557" t="s">
        <v>13</v>
      </c>
      <c r="J557" t="s">
        <v>11</v>
      </c>
      <c r="K557">
        <f>_xlfn.XLOOKUP(tbl_analysis_tickets[[#This Row],[priority]],tbl_sla[priority],tbl_sla[Resolution SLA Hours])</f>
        <v>72</v>
      </c>
      <c r="L557">
        <f>_xlfn.XLOOKUP(tbl_analysis_tickets[[#This Row],[priority]],tbl_sla[priority],tbl_sla[First Response SLA Minutes])</f>
        <v>240</v>
      </c>
      <c r="M557" t="str">
        <f>IF(tbl_analysis_tickets[[#This Row],[resolution_time_hours]]&gt;tbl_analysis_tickets[[#This Row],[Resolution SLA Hours]],"Breached","Within SLA")</f>
        <v>Within SLA</v>
      </c>
      <c r="N557" t="str">
        <f>IF(tbl_analysis_tickets[[#This Row],[first_response_minutes]]&gt;tbl_analysis_tickets[[#This Row],[First Response SLA Minutes]],"Breached","Within SLA")</f>
        <v>Within SLA</v>
      </c>
      <c r="O557" t="str" cm="1">
        <f t="array" ref="O557">_xlfn.IFS(
tbl_analysis_tickets[[#This Row],[agent_experience_years]]&lt;=2,"Junior",
tbl_analysis_tickets[[#This Row],[agent_experience_years]]&lt;=5,"Mid-Level",
tbl_analysis_tickets[[#This Row],[agent_experience_years]]&lt;=8,"Senior",
tbl_analysis_tickets[[#This Row],[agent_experience_years]]&gt;8,"Expert"
)</f>
        <v>Junior</v>
      </c>
      <c r="P557" cm="1">
        <f t="array" ref="P557">_xlfn.SWITCH(tbl_analysis_tickets[[#This Row],[customer_satisfaction]],
"Low",1,
"Medium",2,
"High",3
)</f>
        <v>1</v>
      </c>
      <c r="Q557">
        <f>IF(tbl_analysis_tickets[[#This Row],[reopened]]="Yes",1,0)</f>
        <v>0</v>
      </c>
      <c r="R557" t="str" cm="1">
        <f t="array" ref="R557">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557" t="str" cm="1">
        <f t="array" ref="S55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557" t="str">
        <f>TEXT(tbl_analysis_tickets[[#This Row],[created_date]],"mmm-yyyy")</f>
        <v>May-2024</v>
      </c>
      <c r="U557" t="str">
        <f>TEXT(tbl_analysis_tickets[[#This Row],[created_date]],"dddd")</f>
        <v>Saturday</v>
      </c>
      <c r="V557" cm="1">
        <f t="array" ref="V557">_xlfn.SWITCH(tbl_analysis_tickets[[#This Row],[priority]],
"Urgent",1,
"High",2,
"Medium",3,
"Low",4
)</f>
        <v>4</v>
      </c>
    </row>
    <row r="558" spans="1:22" x14ac:dyDescent="0.25">
      <c r="A558">
        <v>557</v>
      </c>
      <c r="B558" s="1">
        <v>45477</v>
      </c>
      <c r="C558" t="s">
        <v>10</v>
      </c>
      <c r="D558" t="s">
        <v>15</v>
      </c>
      <c r="E558">
        <v>68</v>
      </c>
      <c r="F558">
        <v>49</v>
      </c>
      <c r="G558">
        <v>5.0999999999999996</v>
      </c>
      <c r="H558" t="s">
        <v>18</v>
      </c>
      <c r="I558" t="s">
        <v>16</v>
      </c>
      <c r="J558" t="s">
        <v>15</v>
      </c>
      <c r="K558">
        <f>_xlfn.XLOOKUP(tbl_analysis_tickets[[#This Row],[priority]],tbl_sla[priority],tbl_sla[Resolution SLA Hours])</f>
        <v>48</v>
      </c>
      <c r="L558">
        <f>_xlfn.XLOOKUP(tbl_analysis_tickets[[#This Row],[priority]],tbl_sla[priority],tbl_sla[First Response SLA Minutes])</f>
        <v>120</v>
      </c>
      <c r="M558" t="str">
        <f>IF(tbl_analysis_tickets[[#This Row],[resolution_time_hours]]&gt;tbl_analysis_tickets[[#This Row],[Resolution SLA Hours]],"Breached","Within SLA")</f>
        <v>Breached</v>
      </c>
      <c r="N558" t="str">
        <f>IF(tbl_analysis_tickets[[#This Row],[first_response_minutes]]&gt;tbl_analysis_tickets[[#This Row],[First Response SLA Minutes]],"Breached","Within SLA")</f>
        <v>Within SLA</v>
      </c>
      <c r="O558" t="str" cm="1">
        <f t="array" ref="O558">_xlfn.IFS(
tbl_analysis_tickets[[#This Row],[agent_experience_years]]&lt;=2,"Junior",
tbl_analysis_tickets[[#This Row],[agent_experience_years]]&lt;=5,"Mid-Level",
tbl_analysis_tickets[[#This Row],[agent_experience_years]]&lt;=8,"Senior",
tbl_analysis_tickets[[#This Row],[agent_experience_years]]&gt;8,"Expert"
)</f>
        <v>Senior</v>
      </c>
      <c r="P558" cm="1">
        <f t="array" ref="P558">_xlfn.SWITCH(tbl_analysis_tickets[[#This Row],[customer_satisfaction]],
"Low",1,
"Medium",2,
"High",3
)</f>
        <v>2</v>
      </c>
      <c r="Q558">
        <f>IF(tbl_analysis_tickets[[#This Row],[reopened]]="Yes",1,0)</f>
        <v>0</v>
      </c>
      <c r="R558" t="str" cm="1">
        <f t="array" ref="R558">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558" t="str" cm="1">
        <f t="array" ref="S55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558" t="str">
        <f>TEXT(tbl_analysis_tickets[[#This Row],[created_date]],"mmm-yyyy")</f>
        <v>Jul-2024</v>
      </c>
      <c r="U558" t="str">
        <f>TEXT(tbl_analysis_tickets[[#This Row],[created_date]],"dddd")</f>
        <v>Thursday</v>
      </c>
      <c r="V558" cm="1">
        <f t="array" ref="V558">_xlfn.SWITCH(tbl_analysis_tickets[[#This Row],[priority]],
"Urgent",1,
"High",2,
"Medium",3,
"Low",4
)</f>
        <v>3</v>
      </c>
    </row>
    <row r="559" spans="1:22" x14ac:dyDescent="0.25">
      <c r="A559">
        <v>558</v>
      </c>
      <c r="B559" s="1">
        <v>45548</v>
      </c>
      <c r="C559" t="s">
        <v>23</v>
      </c>
      <c r="D559" t="s">
        <v>20</v>
      </c>
      <c r="E559">
        <v>162</v>
      </c>
      <c r="F559">
        <v>33</v>
      </c>
      <c r="G559">
        <v>4</v>
      </c>
      <c r="H559" t="s">
        <v>18</v>
      </c>
      <c r="I559" t="s">
        <v>16</v>
      </c>
      <c r="J559" t="s">
        <v>11</v>
      </c>
      <c r="K559">
        <f>_xlfn.XLOOKUP(tbl_analysis_tickets[[#This Row],[priority]],tbl_sla[priority],tbl_sla[Resolution SLA Hours])</f>
        <v>24</v>
      </c>
      <c r="L559">
        <f>_xlfn.XLOOKUP(tbl_analysis_tickets[[#This Row],[priority]],tbl_sla[priority],tbl_sla[First Response SLA Minutes])</f>
        <v>60</v>
      </c>
      <c r="M559" t="str">
        <f>IF(tbl_analysis_tickets[[#This Row],[resolution_time_hours]]&gt;tbl_analysis_tickets[[#This Row],[Resolution SLA Hours]],"Breached","Within SLA")</f>
        <v>Breached</v>
      </c>
      <c r="N559" t="str">
        <f>IF(tbl_analysis_tickets[[#This Row],[first_response_minutes]]&gt;tbl_analysis_tickets[[#This Row],[First Response SLA Minutes]],"Breached","Within SLA")</f>
        <v>Breached</v>
      </c>
      <c r="O559" t="str" cm="1">
        <f t="array" ref="O559">_xlfn.IFS(
tbl_analysis_tickets[[#This Row],[agent_experience_years]]&lt;=2,"Junior",
tbl_analysis_tickets[[#This Row],[agent_experience_years]]&lt;=5,"Mid-Level",
tbl_analysis_tickets[[#This Row],[agent_experience_years]]&lt;=8,"Senior",
tbl_analysis_tickets[[#This Row],[agent_experience_years]]&gt;8,"Expert"
)</f>
        <v>Mid-Level</v>
      </c>
      <c r="P559" cm="1">
        <f t="array" ref="P559">_xlfn.SWITCH(tbl_analysis_tickets[[#This Row],[customer_satisfaction]],
"Low",1,
"Medium",2,
"High",3
)</f>
        <v>1</v>
      </c>
      <c r="Q559">
        <f>IF(tbl_analysis_tickets[[#This Row],[reopened]]="Yes",1,0)</f>
        <v>0</v>
      </c>
      <c r="R559" t="str" cm="1">
        <f t="array" ref="R559">_xlfn.IFS(
tbl_analysis_tickets[[#This Row],[first_response_minutes]]&lt;=30,"Very Fast",
tbl_analysis_tickets[[#This Row],[first_response_minutes]]&lt;=120,"Acceptable",
tbl_analysis_tickets[[#This Row],[first_response_minutes]]&lt;=240,"Slow",
tbl_analysis_tickets[[#This Row],[first_response_minutes]]&gt;240,"Very Slow"
)</f>
        <v>Slow</v>
      </c>
      <c r="S559" t="str" cm="1">
        <f t="array" ref="S55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559" t="str">
        <f>TEXT(tbl_analysis_tickets[[#This Row],[created_date]],"mmm-yyyy")</f>
        <v>Sep-2024</v>
      </c>
      <c r="U559" t="str">
        <f>TEXT(tbl_analysis_tickets[[#This Row],[created_date]],"dddd")</f>
        <v>Friday</v>
      </c>
      <c r="V559" cm="1">
        <f t="array" ref="V559">_xlfn.SWITCH(tbl_analysis_tickets[[#This Row],[priority]],
"Urgent",1,
"High",2,
"Medium",3,
"Low",4
)</f>
        <v>2</v>
      </c>
    </row>
    <row r="560" spans="1:22" x14ac:dyDescent="0.25">
      <c r="A560">
        <v>559</v>
      </c>
      <c r="B560" s="1">
        <v>45605</v>
      </c>
      <c r="C560" t="s">
        <v>23</v>
      </c>
      <c r="D560" t="s">
        <v>20</v>
      </c>
      <c r="E560">
        <v>43</v>
      </c>
      <c r="F560">
        <v>68</v>
      </c>
      <c r="G560">
        <v>6.9</v>
      </c>
      <c r="H560" t="s">
        <v>18</v>
      </c>
      <c r="I560" t="s">
        <v>16</v>
      </c>
      <c r="J560" t="s">
        <v>11</v>
      </c>
      <c r="K560">
        <f>_xlfn.XLOOKUP(tbl_analysis_tickets[[#This Row],[priority]],tbl_sla[priority],tbl_sla[Resolution SLA Hours])</f>
        <v>24</v>
      </c>
      <c r="L560">
        <f>_xlfn.XLOOKUP(tbl_analysis_tickets[[#This Row],[priority]],tbl_sla[priority],tbl_sla[First Response SLA Minutes])</f>
        <v>60</v>
      </c>
      <c r="M560" t="str">
        <f>IF(tbl_analysis_tickets[[#This Row],[resolution_time_hours]]&gt;tbl_analysis_tickets[[#This Row],[Resolution SLA Hours]],"Breached","Within SLA")</f>
        <v>Breached</v>
      </c>
      <c r="N560" t="str">
        <f>IF(tbl_analysis_tickets[[#This Row],[first_response_minutes]]&gt;tbl_analysis_tickets[[#This Row],[First Response SLA Minutes]],"Breached","Within SLA")</f>
        <v>Within SLA</v>
      </c>
      <c r="O560" t="str" cm="1">
        <f t="array" ref="O560">_xlfn.IFS(
tbl_analysis_tickets[[#This Row],[agent_experience_years]]&lt;=2,"Junior",
tbl_analysis_tickets[[#This Row],[agent_experience_years]]&lt;=5,"Mid-Level",
tbl_analysis_tickets[[#This Row],[agent_experience_years]]&lt;=8,"Senior",
tbl_analysis_tickets[[#This Row],[agent_experience_years]]&gt;8,"Expert"
)</f>
        <v>Senior</v>
      </c>
      <c r="P560" cm="1">
        <f t="array" ref="P560">_xlfn.SWITCH(tbl_analysis_tickets[[#This Row],[customer_satisfaction]],
"Low",1,
"Medium",2,
"High",3
)</f>
        <v>1</v>
      </c>
      <c r="Q560">
        <f>IF(tbl_analysis_tickets[[#This Row],[reopened]]="Yes",1,0)</f>
        <v>0</v>
      </c>
      <c r="R560" t="str" cm="1">
        <f t="array" ref="R560">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560" t="str" cm="1">
        <f t="array" ref="S56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560" t="str">
        <f>TEXT(tbl_analysis_tickets[[#This Row],[created_date]],"mmm-yyyy")</f>
        <v>Nov-2024</v>
      </c>
      <c r="U560" t="str">
        <f>TEXT(tbl_analysis_tickets[[#This Row],[created_date]],"dddd")</f>
        <v>Saturday</v>
      </c>
      <c r="V560" cm="1">
        <f t="array" ref="V560">_xlfn.SWITCH(tbl_analysis_tickets[[#This Row],[priority]],
"Urgent",1,
"High",2,
"Medium",3,
"Low",4
)</f>
        <v>2</v>
      </c>
    </row>
    <row r="561" spans="1:22" x14ac:dyDescent="0.25">
      <c r="A561">
        <v>560</v>
      </c>
      <c r="B561" s="1">
        <v>45546</v>
      </c>
      <c r="C561" t="s">
        <v>14</v>
      </c>
      <c r="D561" t="s">
        <v>17</v>
      </c>
      <c r="E561">
        <v>155</v>
      </c>
      <c r="F561">
        <v>31</v>
      </c>
      <c r="G561">
        <v>7.9</v>
      </c>
      <c r="H561" t="s">
        <v>12</v>
      </c>
      <c r="I561" t="s">
        <v>19</v>
      </c>
      <c r="J561" t="s">
        <v>11</v>
      </c>
      <c r="K561">
        <f>_xlfn.XLOOKUP(tbl_analysis_tickets[[#This Row],[priority]],tbl_sla[priority],tbl_sla[Resolution SLA Hours])</f>
        <v>8</v>
      </c>
      <c r="L561">
        <f>_xlfn.XLOOKUP(tbl_analysis_tickets[[#This Row],[priority]],tbl_sla[priority],tbl_sla[First Response SLA Minutes])</f>
        <v>30</v>
      </c>
      <c r="M561" t="str">
        <f>IF(tbl_analysis_tickets[[#This Row],[resolution_time_hours]]&gt;tbl_analysis_tickets[[#This Row],[Resolution SLA Hours]],"Breached","Within SLA")</f>
        <v>Breached</v>
      </c>
      <c r="N561" t="str">
        <f>IF(tbl_analysis_tickets[[#This Row],[first_response_minutes]]&gt;tbl_analysis_tickets[[#This Row],[First Response SLA Minutes]],"Breached","Within SLA")</f>
        <v>Breached</v>
      </c>
      <c r="O561" t="str" cm="1">
        <f t="array" ref="O561">_xlfn.IFS(
tbl_analysis_tickets[[#This Row],[agent_experience_years]]&lt;=2,"Junior",
tbl_analysis_tickets[[#This Row],[agent_experience_years]]&lt;=5,"Mid-Level",
tbl_analysis_tickets[[#This Row],[agent_experience_years]]&lt;=8,"Senior",
tbl_analysis_tickets[[#This Row],[agent_experience_years]]&gt;8,"Expert"
)</f>
        <v>Senior</v>
      </c>
      <c r="P561" cm="1">
        <f t="array" ref="P561">_xlfn.SWITCH(tbl_analysis_tickets[[#This Row],[customer_satisfaction]],
"Low",1,
"Medium",2,
"High",3
)</f>
        <v>1</v>
      </c>
      <c r="Q561">
        <f>IF(tbl_analysis_tickets[[#This Row],[reopened]]="Yes",1,0)</f>
        <v>1</v>
      </c>
      <c r="R561" t="str" cm="1">
        <f t="array" ref="R561">_xlfn.IFS(
tbl_analysis_tickets[[#This Row],[first_response_minutes]]&lt;=30,"Very Fast",
tbl_analysis_tickets[[#This Row],[first_response_minutes]]&lt;=120,"Acceptable",
tbl_analysis_tickets[[#This Row],[first_response_minutes]]&lt;=240,"Slow",
tbl_analysis_tickets[[#This Row],[first_response_minutes]]&gt;240,"Very Slow"
)</f>
        <v>Slow</v>
      </c>
      <c r="S561" t="str" cm="1">
        <f t="array" ref="S56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561" t="str">
        <f>TEXT(tbl_analysis_tickets[[#This Row],[created_date]],"mmm-yyyy")</f>
        <v>Sep-2024</v>
      </c>
      <c r="U561" t="str">
        <f>TEXT(tbl_analysis_tickets[[#This Row],[created_date]],"dddd")</f>
        <v>Wednesday</v>
      </c>
      <c r="V561" cm="1">
        <f t="array" ref="V561">_xlfn.SWITCH(tbl_analysis_tickets[[#This Row],[priority]],
"Urgent",1,
"High",2,
"Medium",3,
"Low",4
)</f>
        <v>1</v>
      </c>
    </row>
    <row r="562" spans="1:22" x14ac:dyDescent="0.25">
      <c r="A562">
        <v>561</v>
      </c>
      <c r="B562" s="1">
        <v>45386</v>
      </c>
      <c r="C562" t="s">
        <v>23</v>
      </c>
      <c r="D562" t="s">
        <v>15</v>
      </c>
      <c r="E562">
        <v>158</v>
      </c>
      <c r="F562">
        <v>4</v>
      </c>
      <c r="G562">
        <v>6.1</v>
      </c>
      <c r="H562" t="s">
        <v>12</v>
      </c>
      <c r="I562" t="s">
        <v>16</v>
      </c>
      <c r="J562" t="s">
        <v>15</v>
      </c>
      <c r="K562">
        <f>_xlfn.XLOOKUP(tbl_analysis_tickets[[#This Row],[priority]],tbl_sla[priority],tbl_sla[Resolution SLA Hours])</f>
        <v>48</v>
      </c>
      <c r="L562">
        <f>_xlfn.XLOOKUP(tbl_analysis_tickets[[#This Row],[priority]],tbl_sla[priority],tbl_sla[First Response SLA Minutes])</f>
        <v>120</v>
      </c>
      <c r="M562" t="str">
        <f>IF(tbl_analysis_tickets[[#This Row],[resolution_time_hours]]&gt;tbl_analysis_tickets[[#This Row],[Resolution SLA Hours]],"Breached","Within SLA")</f>
        <v>Within SLA</v>
      </c>
      <c r="N562" t="str">
        <f>IF(tbl_analysis_tickets[[#This Row],[first_response_minutes]]&gt;tbl_analysis_tickets[[#This Row],[First Response SLA Minutes]],"Breached","Within SLA")</f>
        <v>Breached</v>
      </c>
      <c r="O562" t="str" cm="1">
        <f t="array" ref="O562">_xlfn.IFS(
tbl_analysis_tickets[[#This Row],[agent_experience_years]]&lt;=2,"Junior",
tbl_analysis_tickets[[#This Row],[agent_experience_years]]&lt;=5,"Mid-Level",
tbl_analysis_tickets[[#This Row],[agent_experience_years]]&lt;=8,"Senior",
tbl_analysis_tickets[[#This Row],[agent_experience_years]]&gt;8,"Expert"
)</f>
        <v>Senior</v>
      </c>
      <c r="P562" cm="1">
        <f t="array" ref="P562">_xlfn.SWITCH(tbl_analysis_tickets[[#This Row],[customer_satisfaction]],
"Low",1,
"Medium",2,
"High",3
)</f>
        <v>2</v>
      </c>
      <c r="Q562">
        <f>IF(tbl_analysis_tickets[[#This Row],[reopened]]="Yes",1,0)</f>
        <v>1</v>
      </c>
      <c r="R562" t="str" cm="1">
        <f t="array" ref="R562">_xlfn.IFS(
tbl_analysis_tickets[[#This Row],[first_response_minutes]]&lt;=30,"Very Fast",
tbl_analysis_tickets[[#This Row],[first_response_minutes]]&lt;=120,"Acceptable",
tbl_analysis_tickets[[#This Row],[first_response_minutes]]&lt;=240,"Slow",
tbl_analysis_tickets[[#This Row],[first_response_minutes]]&gt;240,"Very Slow"
)</f>
        <v>Slow</v>
      </c>
      <c r="S562" t="str" cm="1">
        <f t="array" ref="S56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562" t="str">
        <f>TEXT(tbl_analysis_tickets[[#This Row],[created_date]],"mmm-yyyy")</f>
        <v>Apr-2024</v>
      </c>
      <c r="U562" t="str">
        <f>TEXT(tbl_analysis_tickets[[#This Row],[created_date]],"dddd")</f>
        <v>Thursday</v>
      </c>
      <c r="V562" cm="1">
        <f t="array" ref="V562">_xlfn.SWITCH(tbl_analysis_tickets[[#This Row],[priority]],
"Urgent",1,
"High",2,
"Medium",3,
"Low",4
)</f>
        <v>3</v>
      </c>
    </row>
    <row r="563" spans="1:22" x14ac:dyDescent="0.25">
      <c r="A563">
        <v>562</v>
      </c>
      <c r="B563" s="1">
        <v>45557</v>
      </c>
      <c r="C563" t="s">
        <v>22</v>
      </c>
      <c r="D563" t="s">
        <v>20</v>
      </c>
      <c r="E563">
        <v>105</v>
      </c>
      <c r="F563">
        <v>56</v>
      </c>
      <c r="G563">
        <v>0.6</v>
      </c>
      <c r="H563" t="s">
        <v>18</v>
      </c>
      <c r="I563" t="s">
        <v>13</v>
      </c>
      <c r="J563" t="s">
        <v>11</v>
      </c>
      <c r="K563">
        <f>_xlfn.XLOOKUP(tbl_analysis_tickets[[#This Row],[priority]],tbl_sla[priority],tbl_sla[Resolution SLA Hours])</f>
        <v>24</v>
      </c>
      <c r="L563">
        <f>_xlfn.XLOOKUP(tbl_analysis_tickets[[#This Row],[priority]],tbl_sla[priority],tbl_sla[First Response SLA Minutes])</f>
        <v>60</v>
      </c>
      <c r="M563" t="str">
        <f>IF(tbl_analysis_tickets[[#This Row],[resolution_time_hours]]&gt;tbl_analysis_tickets[[#This Row],[Resolution SLA Hours]],"Breached","Within SLA")</f>
        <v>Breached</v>
      </c>
      <c r="N563" t="str">
        <f>IF(tbl_analysis_tickets[[#This Row],[first_response_minutes]]&gt;tbl_analysis_tickets[[#This Row],[First Response SLA Minutes]],"Breached","Within SLA")</f>
        <v>Breached</v>
      </c>
      <c r="O563" t="str" cm="1">
        <f t="array" ref="O563">_xlfn.IFS(
tbl_analysis_tickets[[#This Row],[agent_experience_years]]&lt;=2,"Junior",
tbl_analysis_tickets[[#This Row],[agent_experience_years]]&lt;=5,"Mid-Level",
tbl_analysis_tickets[[#This Row],[agent_experience_years]]&lt;=8,"Senior",
tbl_analysis_tickets[[#This Row],[agent_experience_years]]&gt;8,"Expert"
)</f>
        <v>Junior</v>
      </c>
      <c r="P563" cm="1">
        <f t="array" ref="P563">_xlfn.SWITCH(tbl_analysis_tickets[[#This Row],[customer_satisfaction]],
"Low",1,
"Medium",2,
"High",3
)</f>
        <v>1</v>
      </c>
      <c r="Q563">
        <f>IF(tbl_analysis_tickets[[#This Row],[reopened]]="Yes",1,0)</f>
        <v>0</v>
      </c>
      <c r="R563" t="str" cm="1">
        <f t="array" ref="R563">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563" t="str" cm="1">
        <f t="array" ref="S56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563" t="str">
        <f>TEXT(tbl_analysis_tickets[[#This Row],[created_date]],"mmm-yyyy")</f>
        <v>Sep-2024</v>
      </c>
      <c r="U563" t="str">
        <f>TEXT(tbl_analysis_tickets[[#This Row],[created_date]],"dddd")</f>
        <v>Sunday</v>
      </c>
      <c r="V563" cm="1">
        <f t="array" ref="V563">_xlfn.SWITCH(tbl_analysis_tickets[[#This Row],[priority]],
"Urgent",1,
"High",2,
"Medium",3,
"Low",4
)</f>
        <v>2</v>
      </c>
    </row>
    <row r="564" spans="1:22" x14ac:dyDescent="0.25">
      <c r="A564">
        <v>563</v>
      </c>
      <c r="B564" s="1">
        <v>45467</v>
      </c>
      <c r="C564" t="s">
        <v>21</v>
      </c>
      <c r="D564" t="s">
        <v>15</v>
      </c>
      <c r="E564">
        <v>117</v>
      </c>
      <c r="F564">
        <v>29</v>
      </c>
      <c r="G564">
        <v>0.6</v>
      </c>
      <c r="H564" t="s">
        <v>12</v>
      </c>
      <c r="I564" t="s">
        <v>19</v>
      </c>
      <c r="J564" t="s">
        <v>11</v>
      </c>
      <c r="K564">
        <f>_xlfn.XLOOKUP(tbl_analysis_tickets[[#This Row],[priority]],tbl_sla[priority],tbl_sla[Resolution SLA Hours])</f>
        <v>48</v>
      </c>
      <c r="L564">
        <f>_xlfn.XLOOKUP(tbl_analysis_tickets[[#This Row],[priority]],tbl_sla[priority],tbl_sla[First Response SLA Minutes])</f>
        <v>120</v>
      </c>
      <c r="M564" t="str">
        <f>IF(tbl_analysis_tickets[[#This Row],[resolution_time_hours]]&gt;tbl_analysis_tickets[[#This Row],[Resolution SLA Hours]],"Breached","Within SLA")</f>
        <v>Within SLA</v>
      </c>
      <c r="N564" t="str">
        <f>IF(tbl_analysis_tickets[[#This Row],[first_response_minutes]]&gt;tbl_analysis_tickets[[#This Row],[First Response SLA Minutes]],"Breached","Within SLA")</f>
        <v>Within SLA</v>
      </c>
      <c r="O564" t="str" cm="1">
        <f t="array" ref="O564">_xlfn.IFS(
tbl_analysis_tickets[[#This Row],[agent_experience_years]]&lt;=2,"Junior",
tbl_analysis_tickets[[#This Row],[agent_experience_years]]&lt;=5,"Mid-Level",
tbl_analysis_tickets[[#This Row],[agent_experience_years]]&lt;=8,"Senior",
tbl_analysis_tickets[[#This Row],[agent_experience_years]]&gt;8,"Expert"
)</f>
        <v>Junior</v>
      </c>
      <c r="P564" cm="1">
        <f t="array" ref="P564">_xlfn.SWITCH(tbl_analysis_tickets[[#This Row],[customer_satisfaction]],
"Low",1,
"Medium",2,
"High",3
)</f>
        <v>1</v>
      </c>
      <c r="Q564">
        <f>IF(tbl_analysis_tickets[[#This Row],[reopened]]="Yes",1,0)</f>
        <v>1</v>
      </c>
      <c r="R564" t="str" cm="1">
        <f t="array" ref="R564">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564" t="str" cm="1">
        <f t="array" ref="S56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564" t="str">
        <f>TEXT(tbl_analysis_tickets[[#This Row],[created_date]],"mmm-yyyy")</f>
        <v>Jun-2024</v>
      </c>
      <c r="U564" t="str">
        <f>TEXT(tbl_analysis_tickets[[#This Row],[created_date]],"dddd")</f>
        <v>Monday</v>
      </c>
      <c r="V564" cm="1">
        <f t="array" ref="V564">_xlfn.SWITCH(tbl_analysis_tickets[[#This Row],[priority]],
"Urgent",1,
"High",2,
"Medium",3,
"Low",4
)</f>
        <v>3</v>
      </c>
    </row>
    <row r="565" spans="1:22" x14ac:dyDescent="0.25">
      <c r="A565">
        <v>564</v>
      </c>
      <c r="B565" s="1">
        <v>45480</v>
      </c>
      <c r="C565" t="s">
        <v>21</v>
      </c>
      <c r="D565" t="s">
        <v>17</v>
      </c>
      <c r="E565">
        <v>7</v>
      </c>
      <c r="F565">
        <v>20</v>
      </c>
      <c r="G565">
        <v>1</v>
      </c>
      <c r="H565" t="s">
        <v>12</v>
      </c>
      <c r="I565" t="s">
        <v>16</v>
      </c>
      <c r="J565" t="s">
        <v>11</v>
      </c>
      <c r="K565">
        <f>_xlfn.XLOOKUP(tbl_analysis_tickets[[#This Row],[priority]],tbl_sla[priority],tbl_sla[Resolution SLA Hours])</f>
        <v>8</v>
      </c>
      <c r="L565">
        <f>_xlfn.XLOOKUP(tbl_analysis_tickets[[#This Row],[priority]],tbl_sla[priority],tbl_sla[First Response SLA Minutes])</f>
        <v>30</v>
      </c>
      <c r="M565" t="str">
        <f>IF(tbl_analysis_tickets[[#This Row],[resolution_time_hours]]&gt;tbl_analysis_tickets[[#This Row],[Resolution SLA Hours]],"Breached","Within SLA")</f>
        <v>Breached</v>
      </c>
      <c r="N565" t="str">
        <f>IF(tbl_analysis_tickets[[#This Row],[first_response_minutes]]&gt;tbl_analysis_tickets[[#This Row],[First Response SLA Minutes]],"Breached","Within SLA")</f>
        <v>Within SLA</v>
      </c>
      <c r="O565" t="str" cm="1">
        <f t="array" ref="O565">_xlfn.IFS(
tbl_analysis_tickets[[#This Row],[agent_experience_years]]&lt;=2,"Junior",
tbl_analysis_tickets[[#This Row],[agent_experience_years]]&lt;=5,"Mid-Level",
tbl_analysis_tickets[[#This Row],[agent_experience_years]]&lt;=8,"Senior",
tbl_analysis_tickets[[#This Row],[agent_experience_years]]&gt;8,"Expert"
)</f>
        <v>Junior</v>
      </c>
      <c r="P565" cm="1">
        <f t="array" ref="P565">_xlfn.SWITCH(tbl_analysis_tickets[[#This Row],[customer_satisfaction]],
"Low",1,
"Medium",2,
"High",3
)</f>
        <v>1</v>
      </c>
      <c r="Q565">
        <f>IF(tbl_analysis_tickets[[#This Row],[reopened]]="Yes",1,0)</f>
        <v>1</v>
      </c>
      <c r="R565" t="str" cm="1">
        <f t="array" ref="R565">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565" t="str" cm="1">
        <f t="array" ref="S56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565" t="str">
        <f>TEXT(tbl_analysis_tickets[[#This Row],[created_date]],"mmm-yyyy")</f>
        <v>Jul-2024</v>
      </c>
      <c r="U565" t="str">
        <f>TEXT(tbl_analysis_tickets[[#This Row],[created_date]],"dddd")</f>
        <v>Sunday</v>
      </c>
      <c r="V565" cm="1">
        <f t="array" ref="V565">_xlfn.SWITCH(tbl_analysis_tickets[[#This Row],[priority]],
"Urgent",1,
"High",2,
"Medium",3,
"Low",4
)</f>
        <v>1</v>
      </c>
    </row>
    <row r="566" spans="1:22" x14ac:dyDescent="0.25">
      <c r="A566">
        <v>565</v>
      </c>
      <c r="B566" s="1">
        <v>45646</v>
      </c>
      <c r="C566" t="s">
        <v>21</v>
      </c>
      <c r="D566" t="s">
        <v>15</v>
      </c>
      <c r="E566">
        <v>99</v>
      </c>
      <c r="F566">
        <v>33</v>
      </c>
      <c r="G566">
        <v>2.4</v>
      </c>
      <c r="H566" t="s">
        <v>12</v>
      </c>
      <c r="I566" t="s">
        <v>13</v>
      </c>
      <c r="J566" t="s">
        <v>11</v>
      </c>
      <c r="K566">
        <f>_xlfn.XLOOKUP(tbl_analysis_tickets[[#This Row],[priority]],tbl_sla[priority],tbl_sla[Resolution SLA Hours])</f>
        <v>48</v>
      </c>
      <c r="L566">
        <f>_xlfn.XLOOKUP(tbl_analysis_tickets[[#This Row],[priority]],tbl_sla[priority],tbl_sla[First Response SLA Minutes])</f>
        <v>120</v>
      </c>
      <c r="M566" t="str">
        <f>IF(tbl_analysis_tickets[[#This Row],[resolution_time_hours]]&gt;tbl_analysis_tickets[[#This Row],[Resolution SLA Hours]],"Breached","Within SLA")</f>
        <v>Within SLA</v>
      </c>
      <c r="N566" t="str">
        <f>IF(tbl_analysis_tickets[[#This Row],[first_response_minutes]]&gt;tbl_analysis_tickets[[#This Row],[First Response SLA Minutes]],"Breached","Within SLA")</f>
        <v>Within SLA</v>
      </c>
      <c r="O566" t="str" cm="1">
        <f t="array" ref="O566">_xlfn.IFS(
tbl_analysis_tickets[[#This Row],[agent_experience_years]]&lt;=2,"Junior",
tbl_analysis_tickets[[#This Row],[agent_experience_years]]&lt;=5,"Mid-Level",
tbl_analysis_tickets[[#This Row],[agent_experience_years]]&lt;=8,"Senior",
tbl_analysis_tickets[[#This Row],[agent_experience_years]]&gt;8,"Expert"
)</f>
        <v>Mid-Level</v>
      </c>
      <c r="P566" cm="1">
        <f t="array" ref="P566">_xlfn.SWITCH(tbl_analysis_tickets[[#This Row],[customer_satisfaction]],
"Low",1,
"Medium",2,
"High",3
)</f>
        <v>1</v>
      </c>
      <c r="Q566">
        <f>IF(tbl_analysis_tickets[[#This Row],[reopened]]="Yes",1,0)</f>
        <v>1</v>
      </c>
      <c r="R566" t="str" cm="1">
        <f t="array" ref="R566">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566" t="str" cm="1">
        <f t="array" ref="S56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566" t="str">
        <f>TEXT(tbl_analysis_tickets[[#This Row],[created_date]],"mmm-yyyy")</f>
        <v>Dec-2024</v>
      </c>
      <c r="U566" t="str">
        <f>TEXT(tbl_analysis_tickets[[#This Row],[created_date]],"dddd")</f>
        <v>Friday</v>
      </c>
      <c r="V566" cm="1">
        <f t="array" ref="V566">_xlfn.SWITCH(tbl_analysis_tickets[[#This Row],[priority]],
"Urgent",1,
"High",2,
"Medium",3,
"Low",4
)</f>
        <v>3</v>
      </c>
    </row>
    <row r="567" spans="1:22" x14ac:dyDescent="0.25">
      <c r="A567">
        <v>566</v>
      </c>
      <c r="B567" s="1">
        <v>45299</v>
      </c>
      <c r="C567" t="s">
        <v>14</v>
      </c>
      <c r="D567" t="s">
        <v>17</v>
      </c>
      <c r="E567">
        <v>223</v>
      </c>
      <c r="F567">
        <v>40</v>
      </c>
      <c r="G567">
        <v>3.1</v>
      </c>
      <c r="H567" t="s">
        <v>18</v>
      </c>
      <c r="I567" t="s">
        <v>16</v>
      </c>
      <c r="J567" t="s">
        <v>11</v>
      </c>
      <c r="K567">
        <f>_xlfn.XLOOKUP(tbl_analysis_tickets[[#This Row],[priority]],tbl_sla[priority],tbl_sla[Resolution SLA Hours])</f>
        <v>8</v>
      </c>
      <c r="L567">
        <f>_xlfn.XLOOKUP(tbl_analysis_tickets[[#This Row],[priority]],tbl_sla[priority],tbl_sla[First Response SLA Minutes])</f>
        <v>30</v>
      </c>
      <c r="M567" t="str">
        <f>IF(tbl_analysis_tickets[[#This Row],[resolution_time_hours]]&gt;tbl_analysis_tickets[[#This Row],[Resolution SLA Hours]],"Breached","Within SLA")</f>
        <v>Breached</v>
      </c>
      <c r="N567" t="str">
        <f>IF(tbl_analysis_tickets[[#This Row],[first_response_minutes]]&gt;tbl_analysis_tickets[[#This Row],[First Response SLA Minutes]],"Breached","Within SLA")</f>
        <v>Breached</v>
      </c>
      <c r="O567" t="str" cm="1">
        <f t="array" ref="O567">_xlfn.IFS(
tbl_analysis_tickets[[#This Row],[agent_experience_years]]&lt;=2,"Junior",
tbl_analysis_tickets[[#This Row],[agent_experience_years]]&lt;=5,"Mid-Level",
tbl_analysis_tickets[[#This Row],[agent_experience_years]]&lt;=8,"Senior",
tbl_analysis_tickets[[#This Row],[agent_experience_years]]&gt;8,"Expert"
)</f>
        <v>Mid-Level</v>
      </c>
      <c r="P567" cm="1">
        <f t="array" ref="P567">_xlfn.SWITCH(tbl_analysis_tickets[[#This Row],[customer_satisfaction]],
"Low",1,
"Medium",2,
"High",3
)</f>
        <v>1</v>
      </c>
      <c r="Q567">
        <f>IF(tbl_analysis_tickets[[#This Row],[reopened]]="Yes",1,0)</f>
        <v>0</v>
      </c>
      <c r="R567" t="str" cm="1">
        <f t="array" ref="R567">_xlfn.IFS(
tbl_analysis_tickets[[#This Row],[first_response_minutes]]&lt;=30,"Very Fast",
tbl_analysis_tickets[[#This Row],[first_response_minutes]]&lt;=120,"Acceptable",
tbl_analysis_tickets[[#This Row],[first_response_minutes]]&lt;=240,"Slow",
tbl_analysis_tickets[[#This Row],[first_response_minutes]]&gt;240,"Very Slow"
)</f>
        <v>Slow</v>
      </c>
      <c r="S567" t="str" cm="1">
        <f t="array" ref="S56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567" t="str">
        <f>TEXT(tbl_analysis_tickets[[#This Row],[created_date]],"mmm-yyyy")</f>
        <v>Jan-2024</v>
      </c>
      <c r="U567" t="str">
        <f>TEXT(tbl_analysis_tickets[[#This Row],[created_date]],"dddd")</f>
        <v>Monday</v>
      </c>
      <c r="V567" cm="1">
        <f t="array" ref="V567">_xlfn.SWITCH(tbl_analysis_tickets[[#This Row],[priority]],
"Urgent",1,
"High",2,
"Medium",3,
"Low",4
)</f>
        <v>1</v>
      </c>
    </row>
    <row r="568" spans="1:22" x14ac:dyDescent="0.25">
      <c r="A568">
        <v>567</v>
      </c>
      <c r="B568" s="1">
        <v>45476</v>
      </c>
      <c r="C568" t="s">
        <v>23</v>
      </c>
      <c r="D568" t="s">
        <v>11</v>
      </c>
      <c r="E568">
        <v>76</v>
      </c>
      <c r="F568">
        <v>48</v>
      </c>
      <c r="G568">
        <v>8.6</v>
      </c>
      <c r="H568" t="s">
        <v>12</v>
      </c>
      <c r="I568" t="s">
        <v>13</v>
      </c>
      <c r="J568" t="s">
        <v>11</v>
      </c>
      <c r="K568">
        <f>_xlfn.XLOOKUP(tbl_analysis_tickets[[#This Row],[priority]],tbl_sla[priority],tbl_sla[Resolution SLA Hours])</f>
        <v>72</v>
      </c>
      <c r="L568">
        <f>_xlfn.XLOOKUP(tbl_analysis_tickets[[#This Row],[priority]],tbl_sla[priority],tbl_sla[First Response SLA Minutes])</f>
        <v>240</v>
      </c>
      <c r="M568" t="str">
        <f>IF(tbl_analysis_tickets[[#This Row],[resolution_time_hours]]&gt;tbl_analysis_tickets[[#This Row],[Resolution SLA Hours]],"Breached","Within SLA")</f>
        <v>Within SLA</v>
      </c>
      <c r="N568" t="str">
        <f>IF(tbl_analysis_tickets[[#This Row],[first_response_minutes]]&gt;tbl_analysis_tickets[[#This Row],[First Response SLA Minutes]],"Breached","Within SLA")</f>
        <v>Within SLA</v>
      </c>
      <c r="O568" t="str" cm="1">
        <f t="array" ref="O568">_xlfn.IFS(
tbl_analysis_tickets[[#This Row],[agent_experience_years]]&lt;=2,"Junior",
tbl_analysis_tickets[[#This Row],[agent_experience_years]]&lt;=5,"Mid-Level",
tbl_analysis_tickets[[#This Row],[agent_experience_years]]&lt;=8,"Senior",
tbl_analysis_tickets[[#This Row],[agent_experience_years]]&gt;8,"Expert"
)</f>
        <v>Expert</v>
      </c>
      <c r="P568" cm="1">
        <f t="array" ref="P568">_xlfn.SWITCH(tbl_analysis_tickets[[#This Row],[customer_satisfaction]],
"Low",1,
"Medium",2,
"High",3
)</f>
        <v>1</v>
      </c>
      <c r="Q568">
        <f>IF(tbl_analysis_tickets[[#This Row],[reopened]]="Yes",1,0)</f>
        <v>1</v>
      </c>
      <c r="R568" t="str" cm="1">
        <f t="array" ref="R568">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568" t="str" cm="1">
        <f t="array" ref="S56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568" t="str">
        <f>TEXT(tbl_analysis_tickets[[#This Row],[created_date]],"mmm-yyyy")</f>
        <v>Jul-2024</v>
      </c>
      <c r="U568" t="str">
        <f>TEXT(tbl_analysis_tickets[[#This Row],[created_date]],"dddd")</f>
        <v>Wednesday</v>
      </c>
      <c r="V568" cm="1">
        <f t="array" ref="V568">_xlfn.SWITCH(tbl_analysis_tickets[[#This Row],[priority]],
"Urgent",1,
"High",2,
"Medium",3,
"Low",4
)</f>
        <v>4</v>
      </c>
    </row>
    <row r="569" spans="1:22" x14ac:dyDescent="0.25">
      <c r="A569">
        <v>568</v>
      </c>
      <c r="B569" s="1">
        <v>45410</v>
      </c>
      <c r="C569" t="s">
        <v>10</v>
      </c>
      <c r="D569" t="s">
        <v>20</v>
      </c>
      <c r="E569">
        <v>46</v>
      </c>
      <c r="F569">
        <v>52</v>
      </c>
      <c r="G569">
        <v>7.4</v>
      </c>
      <c r="H569" t="s">
        <v>12</v>
      </c>
      <c r="I569" t="s">
        <v>16</v>
      </c>
      <c r="J569" t="s">
        <v>11</v>
      </c>
      <c r="K569">
        <f>_xlfn.XLOOKUP(tbl_analysis_tickets[[#This Row],[priority]],tbl_sla[priority],tbl_sla[Resolution SLA Hours])</f>
        <v>24</v>
      </c>
      <c r="L569">
        <f>_xlfn.XLOOKUP(tbl_analysis_tickets[[#This Row],[priority]],tbl_sla[priority],tbl_sla[First Response SLA Minutes])</f>
        <v>60</v>
      </c>
      <c r="M569" t="str">
        <f>IF(tbl_analysis_tickets[[#This Row],[resolution_time_hours]]&gt;tbl_analysis_tickets[[#This Row],[Resolution SLA Hours]],"Breached","Within SLA")</f>
        <v>Breached</v>
      </c>
      <c r="N569" t="str">
        <f>IF(tbl_analysis_tickets[[#This Row],[first_response_minutes]]&gt;tbl_analysis_tickets[[#This Row],[First Response SLA Minutes]],"Breached","Within SLA")</f>
        <v>Within SLA</v>
      </c>
      <c r="O569" t="str" cm="1">
        <f t="array" ref="O569">_xlfn.IFS(
tbl_analysis_tickets[[#This Row],[agent_experience_years]]&lt;=2,"Junior",
tbl_analysis_tickets[[#This Row],[agent_experience_years]]&lt;=5,"Mid-Level",
tbl_analysis_tickets[[#This Row],[agent_experience_years]]&lt;=8,"Senior",
tbl_analysis_tickets[[#This Row],[agent_experience_years]]&gt;8,"Expert"
)</f>
        <v>Senior</v>
      </c>
      <c r="P569" cm="1">
        <f t="array" ref="P569">_xlfn.SWITCH(tbl_analysis_tickets[[#This Row],[customer_satisfaction]],
"Low",1,
"Medium",2,
"High",3
)</f>
        <v>1</v>
      </c>
      <c r="Q569">
        <f>IF(tbl_analysis_tickets[[#This Row],[reopened]]="Yes",1,0)</f>
        <v>1</v>
      </c>
      <c r="R569" t="str" cm="1">
        <f t="array" ref="R569">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569" t="str" cm="1">
        <f t="array" ref="S56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569" t="str">
        <f>TEXT(tbl_analysis_tickets[[#This Row],[created_date]],"mmm-yyyy")</f>
        <v>Apr-2024</v>
      </c>
      <c r="U569" t="str">
        <f>TEXT(tbl_analysis_tickets[[#This Row],[created_date]],"dddd")</f>
        <v>Sunday</v>
      </c>
      <c r="V569" cm="1">
        <f t="array" ref="V569">_xlfn.SWITCH(tbl_analysis_tickets[[#This Row],[priority]],
"Urgent",1,
"High",2,
"Medium",3,
"Low",4
)</f>
        <v>2</v>
      </c>
    </row>
    <row r="570" spans="1:22" x14ac:dyDescent="0.25">
      <c r="A570">
        <v>569</v>
      </c>
      <c r="B570" s="1">
        <v>45642</v>
      </c>
      <c r="C570" t="s">
        <v>10</v>
      </c>
      <c r="D570" t="s">
        <v>20</v>
      </c>
      <c r="E570">
        <v>49</v>
      </c>
      <c r="F570">
        <v>8</v>
      </c>
      <c r="G570">
        <v>9.6999999999999993</v>
      </c>
      <c r="H570" t="s">
        <v>18</v>
      </c>
      <c r="I570" t="s">
        <v>13</v>
      </c>
      <c r="J570" t="s">
        <v>11</v>
      </c>
      <c r="K570">
        <f>_xlfn.XLOOKUP(tbl_analysis_tickets[[#This Row],[priority]],tbl_sla[priority],tbl_sla[Resolution SLA Hours])</f>
        <v>24</v>
      </c>
      <c r="L570">
        <f>_xlfn.XLOOKUP(tbl_analysis_tickets[[#This Row],[priority]],tbl_sla[priority],tbl_sla[First Response SLA Minutes])</f>
        <v>60</v>
      </c>
      <c r="M570" t="str">
        <f>IF(tbl_analysis_tickets[[#This Row],[resolution_time_hours]]&gt;tbl_analysis_tickets[[#This Row],[Resolution SLA Hours]],"Breached","Within SLA")</f>
        <v>Within SLA</v>
      </c>
      <c r="N570" t="str">
        <f>IF(tbl_analysis_tickets[[#This Row],[first_response_minutes]]&gt;tbl_analysis_tickets[[#This Row],[First Response SLA Minutes]],"Breached","Within SLA")</f>
        <v>Within SLA</v>
      </c>
      <c r="O570" t="str" cm="1">
        <f t="array" ref="O570">_xlfn.IFS(
tbl_analysis_tickets[[#This Row],[agent_experience_years]]&lt;=2,"Junior",
tbl_analysis_tickets[[#This Row],[agent_experience_years]]&lt;=5,"Mid-Level",
tbl_analysis_tickets[[#This Row],[agent_experience_years]]&lt;=8,"Senior",
tbl_analysis_tickets[[#This Row],[agent_experience_years]]&gt;8,"Expert"
)</f>
        <v>Expert</v>
      </c>
      <c r="P570" cm="1">
        <f t="array" ref="P570">_xlfn.SWITCH(tbl_analysis_tickets[[#This Row],[customer_satisfaction]],
"Low",1,
"Medium",2,
"High",3
)</f>
        <v>1</v>
      </c>
      <c r="Q570">
        <f>IF(tbl_analysis_tickets[[#This Row],[reopened]]="Yes",1,0)</f>
        <v>0</v>
      </c>
      <c r="R570" t="str" cm="1">
        <f t="array" ref="R570">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570" t="str" cm="1">
        <f t="array" ref="S57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570" t="str">
        <f>TEXT(tbl_analysis_tickets[[#This Row],[created_date]],"mmm-yyyy")</f>
        <v>Dec-2024</v>
      </c>
      <c r="U570" t="str">
        <f>TEXT(tbl_analysis_tickets[[#This Row],[created_date]],"dddd")</f>
        <v>Monday</v>
      </c>
      <c r="V570" cm="1">
        <f t="array" ref="V570">_xlfn.SWITCH(tbl_analysis_tickets[[#This Row],[priority]],
"Urgent",1,
"High",2,
"Medium",3,
"Low",4
)</f>
        <v>2</v>
      </c>
    </row>
    <row r="571" spans="1:22" x14ac:dyDescent="0.25">
      <c r="A571">
        <v>570</v>
      </c>
      <c r="B571" s="1">
        <v>45392</v>
      </c>
      <c r="C571" t="s">
        <v>10</v>
      </c>
      <c r="D571" t="s">
        <v>11</v>
      </c>
      <c r="E571">
        <v>26</v>
      </c>
      <c r="F571">
        <v>52</v>
      </c>
      <c r="G571">
        <v>5.7</v>
      </c>
      <c r="H571" t="s">
        <v>18</v>
      </c>
      <c r="I571" t="s">
        <v>16</v>
      </c>
      <c r="J571" t="s">
        <v>20</v>
      </c>
      <c r="K571">
        <f>_xlfn.XLOOKUP(tbl_analysis_tickets[[#This Row],[priority]],tbl_sla[priority],tbl_sla[Resolution SLA Hours])</f>
        <v>72</v>
      </c>
      <c r="L571">
        <f>_xlfn.XLOOKUP(tbl_analysis_tickets[[#This Row],[priority]],tbl_sla[priority],tbl_sla[First Response SLA Minutes])</f>
        <v>240</v>
      </c>
      <c r="M571" t="str">
        <f>IF(tbl_analysis_tickets[[#This Row],[resolution_time_hours]]&gt;tbl_analysis_tickets[[#This Row],[Resolution SLA Hours]],"Breached","Within SLA")</f>
        <v>Within SLA</v>
      </c>
      <c r="N571" t="str">
        <f>IF(tbl_analysis_tickets[[#This Row],[first_response_minutes]]&gt;tbl_analysis_tickets[[#This Row],[First Response SLA Minutes]],"Breached","Within SLA")</f>
        <v>Within SLA</v>
      </c>
      <c r="O571" t="str" cm="1">
        <f t="array" ref="O571">_xlfn.IFS(
tbl_analysis_tickets[[#This Row],[agent_experience_years]]&lt;=2,"Junior",
tbl_analysis_tickets[[#This Row],[agent_experience_years]]&lt;=5,"Mid-Level",
tbl_analysis_tickets[[#This Row],[agent_experience_years]]&lt;=8,"Senior",
tbl_analysis_tickets[[#This Row],[agent_experience_years]]&gt;8,"Expert"
)</f>
        <v>Senior</v>
      </c>
      <c r="P571" cm="1">
        <f t="array" ref="P571">_xlfn.SWITCH(tbl_analysis_tickets[[#This Row],[customer_satisfaction]],
"Low",1,
"Medium",2,
"High",3
)</f>
        <v>3</v>
      </c>
      <c r="Q571">
        <f>IF(tbl_analysis_tickets[[#This Row],[reopened]]="Yes",1,0)</f>
        <v>0</v>
      </c>
      <c r="R571" t="str" cm="1">
        <f t="array" ref="R571">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571" t="str" cm="1">
        <f t="array" ref="S57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571" t="str">
        <f>TEXT(tbl_analysis_tickets[[#This Row],[created_date]],"mmm-yyyy")</f>
        <v>Apr-2024</v>
      </c>
      <c r="U571" t="str">
        <f>TEXT(tbl_analysis_tickets[[#This Row],[created_date]],"dddd")</f>
        <v>Wednesday</v>
      </c>
      <c r="V571" cm="1">
        <f t="array" ref="V571">_xlfn.SWITCH(tbl_analysis_tickets[[#This Row],[priority]],
"Urgent",1,
"High",2,
"Medium",3,
"Low",4
)</f>
        <v>4</v>
      </c>
    </row>
    <row r="572" spans="1:22" x14ac:dyDescent="0.25">
      <c r="A572">
        <v>571</v>
      </c>
      <c r="B572" s="1">
        <v>45630</v>
      </c>
      <c r="C572" t="s">
        <v>22</v>
      </c>
      <c r="D572" t="s">
        <v>17</v>
      </c>
      <c r="E572">
        <v>106</v>
      </c>
      <c r="F572">
        <v>62</v>
      </c>
      <c r="G572">
        <v>7.7</v>
      </c>
      <c r="H572" t="s">
        <v>12</v>
      </c>
      <c r="I572" t="s">
        <v>19</v>
      </c>
      <c r="J572" t="s">
        <v>11</v>
      </c>
      <c r="K572">
        <f>_xlfn.XLOOKUP(tbl_analysis_tickets[[#This Row],[priority]],tbl_sla[priority],tbl_sla[Resolution SLA Hours])</f>
        <v>8</v>
      </c>
      <c r="L572">
        <f>_xlfn.XLOOKUP(tbl_analysis_tickets[[#This Row],[priority]],tbl_sla[priority],tbl_sla[First Response SLA Minutes])</f>
        <v>30</v>
      </c>
      <c r="M572" t="str">
        <f>IF(tbl_analysis_tickets[[#This Row],[resolution_time_hours]]&gt;tbl_analysis_tickets[[#This Row],[Resolution SLA Hours]],"Breached","Within SLA")</f>
        <v>Breached</v>
      </c>
      <c r="N572" t="str">
        <f>IF(tbl_analysis_tickets[[#This Row],[first_response_minutes]]&gt;tbl_analysis_tickets[[#This Row],[First Response SLA Minutes]],"Breached","Within SLA")</f>
        <v>Breached</v>
      </c>
      <c r="O572" t="str" cm="1">
        <f t="array" ref="O572">_xlfn.IFS(
tbl_analysis_tickets[[#This Row],[agent_experience_years]]&lt;=2,"Junior",
tbl_analysis_tickets[[#This Row],[agent_experience_years]]&lt;=5,"Mid-Level",
tbl_analysis_tickets[[#This Row],[agent_experience_years]]&lt;=8,"Senior",
tbl_analysis_tickets[[#This Row],[agent_experience_years]]&gt;8,"Expert"
)</f>
        <v>Senior</v>
      </c>
      <c r="P572" cm="1">
        <f t="array" ref="P572">_xlfn.SWITCH(tbl_analysis_tickets[[#This Row],[customer_satisfaction]],
"Low",1,
"Medium",2,
"High",3
)</f>
        <v>1</v>
      </c>
      <c r="Q572">
        <f>IF(tbl_analysis_tickets[[#This Row],[reopened]]="Yes",1,0)</f>
        <v>1</v>
      </c>
      <c r="R572" t="str" cm="1">
        <f t="array" ref="R572">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572" t="str" cm="1">
        <f t="array" ref="S57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572" t="str">
        <f>TEXT(tbl_analysis_tickets[[#This Row],[created_date]],"mmm-yyyy")</f>
        <v>Dec-2024</v>
      </c>
      <c r="U572" t="str">
        <f>TEXT(tbl_analysis_tickets[[#This Row],[created_date]],"dddd")</f>
        <v>Wednesday</v>
      </c>
      <c r="V572" cm="1">
        <f t="array" ref="V572">_xlfn.SWITCH(tbl_analysis_tickets[[#This Row],[priority]],
"Urgent",1,
"High",2,
"Medium",3,
"Low",4
)</f>
        <v>1</v>
      </c>
    </row>
    <row r="573" spans="1:22" x14ac:dyDescent="0.25">
      <c r="A573">
        <v>572</v>
      </c>
      <c r="B573" s="1">
        <v>45648</v>
      </c>
      <c r="C573" t="s">
        <v>21</v>
      </c>
      <c r="D573" t="s">
        <v>15</v>
      </c>
      <c r="E573">
        <v>57</v>
      </c>
      <c r="F573">
        <v>14</v>
      </c>
      <c r="G573">
        <v>7.3</v>
      </c>
      <c r="H573" t="s">
        <v>12</v>
      </c>
      <c r="I573" t="s">
        <v>16</v>
      </c>
      <c r="J573" t="s">
        <v>11</v>
      </c>
      <c r="K573">
        <f>_xlfn.XLOOKUP(tbl_analysis_tickets[[#This Row],[priority]],tbl_sla[priority],tbl_sla[Resolution SLA Hours])</f>
        <v>48</v>
      </c>
      <c r="L573">
        <f>_xlfn.XLOOKUP(tbl_analysis_tickets[[#This Row],[priority]],tbl_sla[priority],tbl_sla[First Response SLA Minutes])</f>
        <v>120</v>
      </c>
      <c r="M573" t="str">
        <f>IF(tbl_analysis_tickets[[#This Row],[resolution_time_hours]]&gt;tbl_analysis_tickets[[#This Row],[Resolution SLA Hours]],"Breached","Within SLA")</f>
        <v>Within SLA</v>
      </c>
      <c r="N573" t="str">
        <f>IF(tbl_analysis_tickets[[#This Row],[first_response_minutes]]&gt;tbl_analysis_tickets[[#This Row],[First Response SLA Minutes]],"Breached","Within SLA")</f>
        <v>Within SLA</v>
      </c>
      <c r="O573" t="str" cm="1">
        <f t="array" ref="O573">_xlfn.IFS(
tbl_analysis_tickets[[#This Row],[agent_experience_years]]&lt;=2,"Junior",
tbl_analysis_tickets[[#This Row],[agent_experience_years]]&lt;=5,"Mid-Level",
tbl_analysis_tickets[[#This Row],[agent_experience_years]]&lt;=8,"Senior",
tbl_analysis_tickets[[#This Row],[agent_experience_years]]&gt;8,"Expert"
)</f>
        <v>Senior</v>
      </c>
      <c r="P573" cm="1">
        <f t="array" ref="P573">_xlfn.SWITCH(tbl_analysis_tickets[[#This Row],[customer_satisfaction]],
"Low",1,
"Medium",2,
"High",3
)</f>
        <v>1</v>
      </c>
      <c r="Q573">
        <f>IF(tbl_analysis_tickets[[#This Row],[reopened]]="Yes",1,0)</f>
        <v>1</v>
      </c>
      <c r="R573" t="str" cm="1">
        <f t="array" ref="R573">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573" t="str" cm="1">
        <f t="array" ref="S57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573" t="str">
        <f>TEXT(tbl_analysis_tickets[[#This Row],[created_date]],"mmm-yyyy")</f>
        <v>Dec-2024</v>
      </c>
      <c r="U573" t="str">
        <f>TEXT(tbl_analysis_tickets[[#This Row],[created_date]],"dddd")</f>
        <v>Sunday</v>
      </c>
      <c r="V573" cm="1">
        <f t="array" ref="V573">_xlfn.SWITCH(tbl_analysis_tickets[[#This Row],[priority]],
"Urgent",1,
"High",2,
"Medium",3,
"Low",4
)</f>
        <v>3</v>
      </c>
    </row>
    <row r="574" spans="1:22" x14ac:dyDescent="0.25">
      <c r="A574">
        <v>573</v>
      </c>
      <c r="B574" s="1">
        <v>45463</v>
      </c>
      <c r="C574" t="s">
        <v>22</v>
      </c>
      <c r="D574" t="s">
        <v>11</v>
      </c>
      <c r="E574">
        <v>226</v>
      </c>
      <c r="F574">
        <v>34</v>
      </c>
      <c r="G574">
        <v>1.7</v>
      </c>
      <c r="H574" t="s">
        <v>12</v>
      </c>
      <c r="I574" t="s">
        <v>13</v>
      </c>
      <c r="J574" t="s">
        <v>11</v>
      </c>
      <c r="K574">
        <f>_xlfn.XLOOKUP(tbl_analysis_tickets[[#This Row],[priority]],tbl_sla[priority],tbl_sla[Resolution SLA Hours])</f>
        <v>72</v>
      </c>
      <c r="L574">
        <f>_xlfn.XLOOKUP(tbl_analysis_tickets[[#This Row],[priority]],tbl_sla[priority],tbl_sla[First Response SLA Minutes])</f>
        <v>240</v>
      </c>
      <c r="M574" t="str">
        <f>IF(tbl_analysis_tickets[[#This Row],[resolution_time_hours]]&gt;tbl_analysis_tickets[[#This Row],[Resolution SLA Hours]],"Breached","Within SLA")</f>
        <v>Within SLA</v>
      </c>
      <c r="N574" t="str">
        <f>IF(tbl_analysis_tickets[[#This Row],[first_response_minutes]]&gt;tbl_analysis_tickets[[#This Row],[First Response SLA Minutes]],"Breached","Within SLA")</f>
        <v>Within SLA</v>
      </c>
      <c r="O574" t="str" cm="1">
        <f t="array" ref="O574">_xlfn.IFS(
tbl_analysis_tickets[[#This Row],[agent_experience_years]]&lt;=2,"Junior",
tbl_analysis_tickets[[#This Row],[agent_experience_years]]&lt;=5,"Mid-Level",
tbl_analysis_tickets[[#This Row],[agent_experience_years]]&lt;=8,"Senior",
tbl_analysis_tickets[[#This Row],[agent_experience_years]]&gt;8,"Expert"
)</f>
        <v>Junior</v>
      </c>
      <c r="P574" cm="1">
        <f t="array" ref="P574">_xlfn.SWITCH(tbl_analysis_tickets[[#This Row],[customer_satisfaction]],
"Low",1,
"Medium",2,
"High",3
)</f>
        <v>1</v>
      </c>
      <c r="Q574">
        <f>IF(tbl_analysis_tickets[[#This Row],[reopened]]="Yes",1,0)</f>
        <v>1</v>
      </c>
      <c r="R574" t="str" cm="1">
        <f t="array" ref="R574">_xlfn.IFS(
tbl_analysis_tickets[[#This Row],[first_response_minutes]]&lt;=30,"Very Fast",
tbl_analysis_tickets[[#This Row],[first_response_minutes]]&lt;=120,"Acceptable",
tbl_analysis_tickets[[#This Row],[first_response_minutes]]&lt;=240,"Slow",
tbl_analysis_tickets[[#This Row],[first_response_minutes]]&gt;240,"Very Slow"
)</f>
        <v>Slow</v>
      </c>
      <c r="S574" t="str" cm="1">
        <f t="array" ref="S57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574" t="str">
        <f>TEXT(tbl_analysis_tickets[[#This Row],[created_date]],"mmm-yyyy")</f>
        <v>Jun-2024</v>
      </c>
      <c r="U574" t="str">
        <f>TEXT(tbl_analysis_tickets[[#This Row],[created_date]],"dddd")</f>
        <v>Thursday</v>
      </c>
      <c r="V574" cm="1">
        <f t="array" ref="V574">_xlfn.SWITCH(tbl_analysis_tickets[[#This Row],[priority]],
"Urgent",1,
"High",2,
"Medium",3,
"Low",4
)</f>
        <v>4</v>
      </c>
    </row>
    <row r="575" spans="1:22" x14ac:dyDescent="0.25">
      <c r="A575">
        <v>574</v>
      </c>
      <c r="B575" s="1">
        <v>45584</v>
      </c>
      <c r="C575" t="s">
        <v>23</v>
      </c>
      <c r="D575" t="s">
        <v>20</v>
      </c>
      <c r="E575">
        <v>18</v>
      </c>
      <c r="F575">
        <v>40</v>
      </c>
      <c r="G575">
        <v>3.5</v>
      </c>
      <c r="H575" t="s">
        <v>18</v>
      </c>
      <c r="I575" t="s">
        <v>19</v>
      </c>
      <c r="J575" t="s">
        <v>15</v>
      </c>
      <c r="K575">
        <f>_xlfn.XLOOKUP(tbl_analysis_tickets[[#This Row],[priority]],tbl_sla[priority],tbl_sla[Resolution SLA Hours])</f>
        <v>24</v>
      </c>
      <c r="L575">
        <f>_xlfn.XLOOKUP(tbl_analysis_tickets[[#This Row],[priority]],tbl_sla[priority],tbl_sla[First Response SLA Minutes])</f>
        <v>60</v>
      </c>
      <c r="M575" t="str">
        <f>IF(tbl_analysis_tickets[[#This Row],[resolution_time_hours]]&gt;tbl_analysis_tickets[[#This Row],[Resolution SLA Hours]],"Breached","Within SLA")</f>
        <v>Breached</v>
      </c>
      <c r="N575" t="str">
        <f>IF(tbl_analysis_tickets[[#This Row],[first_response_minutes]]&gt;tbl_analysis_tickets[[#This Row],[First Response SLA Minutes]],"Breached","Within SLA")</f>
        <v>Within SLA</v>
      </c>
      <c r="O575" t="str" cm="1">
        <f t="array" ref="O575">_xlfn.IFS(
tbl_analysis_tickets[[#This Row],[agent_experience_years]]&lt;=2,"Junior",
tbl_analysis_tickets[[#This Row],[agent_experience_years]]&lt;=5,"Mid-Level",
tbl_analysis_tickets[[#This Row],[agent_experience_years]]&lt;=8,"Senior",
tbl_analysis_tickets[[#This Row],[agent_experience_years]]&gt;8,"Expert"
)</f>
        <v>Mid-Level</v>
      </c>
      <c r="P575" cm="1">
        <f t="array" ref="P575">_xlfn.SWITCH(tbl_analysis_tickets[[#This Row],[customer_satisfaction]],
"Low",1,
"Medium",2,
"High",3
)</f>
        <v>2</v>
      </c>
      <c r="Q575">
        <f>IF(tbl_analysis_tickets[[#This Row],[reopened]]="Yes",1,0)</f>
        <v>0</v>
      </c>
      <c r="R575" t="str" cm="1">
        <f t="array" ref="R575">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575" t="str" cm="1">
        <f t="array" ref="S57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575" t="str">
        <f>TEXT(tbl_analysis_tickets[[#This Row],[created_date]],"mmm-yyyy")</f>
        <v>Oct-2024</v>
      </c>
      <c r="U575" t="str">
        <f>TEXT(tbl_analysis_tickets[[#This Row],[created_date]],"dddd")</f>
        <v>Saturday</v>
      </c>
      <c r="V575" cm="1">
        <f t="array" ref="V575">_xlfn.SWITCH(tbl_analysis_tickets[[#This Row],[priority]],
"Urgent",1,
"High",2,
"Medium",3,
"Low",4
)</f>
        <v>2</v>
      </c>
    </row>
    <row r="576" spans="1:22" x14ac:dyDescent="0.25">
      <c r="A576">
        <v>575</v>
      </c>
      <c r="B576" s="1">
        <v>45557</v>
      </c>
      <c r="C576" t="s">
        <v>10</v>
      </c>
      <c r="D576" t="s">
        <v>17</v>
      </c>
      <c r="E576">
        <v>84</v>
      </c>
      <c r="F576">
        <v>26</v>
      </c>
      <c r="G576">
        <v>0.6</v>
      </c>
      <c r="H576" t="s">
        <v>18</v>
      </c>
      <c r="I576" t="s">
        <v>16</v>
      </c>
      <c r="J576" t="s">
        <v>11</v>
      </c>
      <c r="K576">
        <f>_xlfn.XLOOKUP(tbl_analysis_tickets[[#This Row],[priority]],tbl_sla[priority],tbl_sla[Resolution SLA Hours])</f>
        <v>8</v>
      </c>
      <c r="L576">
        <f>_xlfn.XLOOKUP(tbl_analysis_tickets[[#This Row],[priority]],tbl_sla[priority],tbl_sla[First Response SLA Minutes])</f>
        <v>30</v>
      </c>
      <c r="M576" t="str">
        <f>IF(tbl_analysis_tickets[[#This Row],[resolution_time_hours]]&gt;tbl_analysis_tickets[[#This Row],[Resolution SLA Hours]],"Breached","Within SLA")</f>
        <v>Breached</v>
      </c>
      <c r="N576" t="str">
        <f>IF(tbl_analysis_tickets[[#This Row],[first_response_minutes]]&gt;tbl_analysis_tickets[[#This Row],[First Response SLA Minutes]],"Breached","Within SLA")</f>
        <v>Breached</v>
      </c>
      <c r="O576" t="str" cm="1">
        <f t="array" ref="O576">_xlfn.IFS(
tbl_analysis_tickets[[#This Row],[agent_experience_years]]&lt;=2,"Junior",
tbl_analysis_tickets[[#This Row],[agent_experience_years]]&lt;=5,"Mid-Level",
tbl_analysis_tickets[[#This Row],[agent_experience_years]]&lt;=8,"Senior",
tbl_analysis_tickets[[#This Row],[agent_experience_years]]&gt;8,"Expert"
)</f>
        <v>Junior</v>
      </c>
      <c r="P576" cm="1">
        <f t="array" ref="P576">_xlfn.SWITCH(tbl_analysis_tickets[[#This Row],[customer_satisfaction]],
"Low",1,
"Medium",2,
"High",3
)</f>
        <v>1</v>
      </c>
      <c r="Q576">
        <f>IF(tbl_analysis_tickets[[#This Row],[reopened]]="Yes",1,0)</f>
        <v>0</v>
      </c>
      <c r="R576" t="str" cm="1">
        <f t="array" ref="R576">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576" t="str" cm="1">
        <f t="array" ref="S57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576" t="str">
        <f>TEXT(tbl_analysis_tickets[[#This Row],[created_date]],"mmm-yyyy")</f>
        <v>Sep-2024</v>
      </c>
      <c r="U576" t="str">
        <f>TEXT(tbl_analysis_tickets[[#This Row],[created_date]],"dddd")</f>
        <v>Sunday</v>
      </c>
      <c r="V576" cm="1">
        <f t="array" ref="V576">_xlfn.SWITCH(tbl_analysis_tickets[[#This Row],[priority]],
"Urgent",1,
"High",2,
"Medium",3,
"Low",4
)</f>
        <v>1</v>
      </c>
    </row>
    <row r="577" spans="1:22" x14ac:dyDescent="0.25">
      <c r="A577">
        <v>576</v>
      </c>
      <c r="B577" s="1">
        <v>45350</v>
      </c>
      <c r="C577" t="s">
        <v>10</v>
      </c>
      <c r="D577" t="s">
        <v>11</v>
      </c>
      <c r="E577">
        <v>238</v>
      </c>
      <c r="F577">
        <v>18</v>
      </c>
      <c r="G577">
        <v>9.9</v>
      </c>
      <c r="H577" t="s">
        <v>18</v>
      </c>
      <c r="I577" t="s">
        <v>19</v>
      </c>
      <c r="J577" t="s">
        <v>15</v>
      </c>
      <c r="K577">
        <f>_xlfn.XLOOKUP(tbl_analysis_tickets[[#This Row],[priority]],tbl_sla[priority],tbl_sla[Resolution SLA Hours])</f>
        <v>72</v>
      </c>
      <c r="L577">
        <f>_xlfn.XLOOKUP(tbl_analysis_tickets[[#This Row],[priority]],tbl_sla[priority],tbl_sla[First Response SLA Minutes])</f>
        <v>240</v>
      </c>
      <c r="M577" t="str">
        <f>IF(tbl_analysis_tickets[[#This Row],[resolution_time_hours]]&gt;tbl_analysis_tickets[[#This Row],[Resolution SLA Hours]],"Breached","Within SLA")</f>
        <v>Within SLA</v>
      </c>
      <c r="N577" t="str">
        <f>IF(tbl_analysis_tickets[[#This Row],[first_response_minutes]]&gt;tbl_analysis_tickets[[#This Row],[First Response SLA Minutes]],"Breached","Within SLA")</f>
        <v>Within SLA</v>
      </c>
      <c r="O577" t="str" cm="1">
        <f t="array" ref="O577">_xlfn.IFS(
tbl_analysis_tickets[[#This Row],[agent_experience_years]]&lt;=2,"Junior",
tbl_analysis_tickets[[#This Row],[agent_experience_years]]&lt;=5,"Mid-Level",
tbl_analysis_tickets[[#This Row],[agent_experience_years]]&lt;=8,"Senior",
tbl_analysis_tickets[[#This Row],[agent_experience_years]]&gt;8,"Expert"
)</f>
        <v>Expert</v>
      </c>
      <c r="P577" cm="1">
        <f t="array" ref="P577">_xlfn.SWITCH(tbl_analysis_tickets[[#This Row],[customer_satisfaction]],
"Low",1,
"Medium",2,
"High",3
)</f>
        <v>2</v>
      </c>
      <c r="Q577">
        <f>IF(tbl_analysis_tickets[[#This Row],[reopened]]="Yes",1,0)</f>
        <v>0</v>
      </c>
      <c r="R577" t="str" cm="1">
        <f t="array" ref="R577">_xlfn.IFS(
tbl_analysis_tickets[[#This Row],[first_response_minutes]]&lt;=30,"Very Fast",
tbl_analysis_tickets[[#This Row],[first_response_minutes]]&lt;=120,"Acceptable",
tbl_analysis_tickets[[#This Row],[first_response_minutes]]&lt;=240,"Slow",
tbl_analysis_tickets[[#This Row],[first_response_minutes]]&gt;240,"Very Slow"
)</f>
        <v>Slow</v>
      </c>
      <c r="S577" t="str" cm="1">
        <f t="array" ref="S57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577" t="str">
        <f>TEXT(tbl_analysis_tickets[[#This Row],[created_date]],"mmm-yyyy")</f>
        <v>Feb-2024</v>
      </c>
      <c r="U577" t="str">
        <f>TEXT(tbl_analysis_tickets[[#This Row],[created_date]],"dddd")</f>
        <v>Wednesday</v>
      </c>
      <c r="V577" cm="1">
        <f t="array" ref="V577">_xlfn.SWITCH(tbl_analysis_tickets[[#This Row],[priority]],
"Urgent",1,
"High",2,
"Medium",3,
"Low",4
)</f>
        <v>4</v>
      </c>
    </row>
    <row r="578" spans="1:22" x14ac:dyDescent="0.25">
      <c r="A578">
        <v>577</v>
      </c>
      <c r="B578" s="1">
        <v>45609</v>
      </c>
      <c r="C578" t="s">
        <v>22</v>
      </c>
      <c r="D578" t="s">
        <v>15</v>
      </c>
      <c r="E578">
        <v>55</v>
      </c>
      <c r="F578">
        <v>43</v>
      </c>
      <c r="G578">
        <v>8.4</v>
      </c>
      <c r="H578" t="s">
        <v>12</v>
      </c>
      <c r="I578" t="s">
        <v>19</v>
      </c>
      <c r="J578" t="s">
        <v>11</v>
      </c>
      <c r="K578">
        <f>_xlfn.XLOOKUP(tbl_analysis_tickets[[#This Row],[priority]],tbl_sla[priority],tbl_sla[Resolution SLA Hours])</f>
        <v>48</v>
      </c>
      <c r="L578">
        <f>_xlfn.XLOOKUP(tbl_analysis_tickets[[#This Row],[priority]],tbl_sla[priority],tbl_sla[First Response SLA Minutes])</f>
        <v>120</v>
      </c>
      <c r="M578" t="str">
        <f>IF(tbl_analysis_tickets[[#This Row],[resolution_time_hours]]&gt;tbl_analysis_tickets[[#This Row],[Resolution SLA Hours]],"Breached","Within SLA")</f>
        <v>Within SLA</v>
      </c>
      <c r="N578" t="str">
        <f>IF(tbl_analysis_tickets[[#This Row],[first_response_minutes]]&gt;tbl_analysis_tickets[[#This Row],[First Response SLA Minutes]],"Breached","Within SLA")</f>
        <v>Within SLA</v>
      </c>
      <c r="O578" t="str" cm="1">
        <f t="array" ref="O578">_xlfn.IFS(
tbl_analysis_tickets[[#This Row],[agent_experience_years]]&lt;=2,"Junior",
tbl_analysis_tickets[[#This Row],[agent_experience_years]]&lt;=5,"Mid-Level",
tbl_analysis_tickets[[#This Row],[agent_experience_years]]&lt;=8,"Senior",
tbl_analysis_tickets[[#This Row],[agent_experience_years]]&gt;8,"Expert"
)</f>
        <v>Expert</v>
      </c>
      <c r="P578" cm="1">
        <f t="array" ref="P578">_xlfn.SWITCH(tbl_analysis_tickets[[#This Row],[customer_satisfaction]],
"Low",1,
"Medium",2,
"High",3
)</f>
        <v>1</v>
      </c>
      <c r="Q578">
        <f>IF(tbl_analysis_tickets[[#This Row],[reopened]]="Yes",1,0)</f>
        <v>1</v>
      </c>
      <c r="R578" t="str" cm="1">
        <f t="array" ref="R578">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578" t="str" cm="1">
        <f t="array" ref="S57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578" t="str">
        <f>TEXT(tbl_analysis_tickets[[#This Row],[created_date]],"mmm-yyyy")</f>
        <v>Nov-2024</v>
      </c>
      <c r="U578" t="str">
        <f>TEXT(tbl_analysis_tickets[[#This Row],[created_date]],"dddd")</f>
        <v>Wednesday</v>
      </c>
      <c r="V578" cm="1">
        <f t="array" ref="V578">_xlfn.SWITCH(tbl_analysis_tickets[[#This Row],[priority]],
"Urgent",1,
"High",2,
"Medium",3,
"Low",4
)</f>
        <v>3</v>
      </c>
    </row>
    <row r="579" spans="1:22" x14ac:dyDescent="0.25">
      <c r="A579">
        <v>578</v>
      </c>
      <c r="B579" s="1">
        <v>45428</v>
      </c>
      <c r="C579" t="s">
        <v>21</v>
      </c>
      <c r="D579" t="s">
        <v>20</v>
      </c>
      <c r="E579">
        <v>171</v>
      </c>
      <c r="F579">
        <v>64</v>
      </c>
      <c r="G579">
        <v>2.4</v>
      </c>
      <c r="H579" t="s">
        <v>12</v>
      </c>
      <c r="I579" t="s">
        <v>16</v>
      </c>
      <c r="J579" t="s">
        <v>11</v>
      </c>
      <c r="K579">
        <f>_xlfn.XLOOKUP(tbl_analysis_tickets[[#This Row],[priority]],tbl_sla[priority],tbl_sla[Resolution SLA Hours])</f>
        <v>24</v>
      </c>
      <c r="L579">
        <f>_xlfn.XLOOKUP(tbl_analysis_tickets[[#This Row],[priority]],tbl_sla[priority],tbl_sla[First Response SLA Minutes])</f>
        <v>60</v>
      </c>
      <c r="M579" t="str">
        <f>IF(tbl_analysis_tickets[[#This Row],[resolution_time_hours]]&gt;tbl_analysis_tickets[[#This Row],[Resolution SLA Hours]],"Breached","Within SLA")</f>
        <v>Breached</v>
      </c>
      <c r="N579" t="str">
        <f>IF(tbl_analysis_tickets[[#This Row],[first_response_minutes]]&gt;tbl_analysis_tickets[[#This Row],[First Response SLA Minutes]],"Breached","Within SLA")</f>
        <v>Breached</v>
      </c>
      <c r="O579" t="str" cm="1">
        <f t="array" ref="O579">_xlfn.IFS(
tbl_analysis_tickets[[#This Row],[agent_experience_years]]&lt;=2,"Junior",
tbl_analysis_tickets[[#This Row],[agent_experience_years]]&lt;=5,"Mid-Level",
tbl_analysis_tickets[[#This Row],[agent_experience_years]]&lt;=8,"Senior",
tbl_analysis_tickets[[#This Row],[agent_experience_years]]&gt;8,"Expert"
)</f>
        <v>Mid-Level</v>
      </c>
      <c r="P579" cm="1">
        <f t="array" ref="P579">_xlfn.SWITCH(tbl_analysis_tickets[[#This Row],[customer_satisfaction]],
"Low",1,
"Medium",2,
"High",3
)</f>
        <v>1</v>
      </c>
      <c r="Q579">
        <f>IF(tbl_analysis_tickets[[#This Row],[reopened]]="Yes",1,0)</f>
        <v>1</v>
      </c>
      <c r="R579" t="str" cm="1">
        <f t="array" ref="R579">_xlfn.IFS(
tbl_analysis_tickets[[#This Row],[first_response_minutes]]&lt;=30,"Very Fast",
tbl_analysis_tickets[[#This Row],[first_response_minutes]]&lt;=120,"Acceptable",
tbl_analysis_tickets[[#This Row],[first_response_minutes]]&lt;=240,"Slow",
tbl_analysis_tickets[[#This Row],[first_response_minutes]]&gt;240,"Very Slow"
)</f>
        <v>Slow</v>
      </c>
      <c r="S579" t="str" cm="1">
        <f t="array" ref="S57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579" t="str">
        <f>TEXT(tbl_analysis_tickets[[#This Row],[created_date]],"mmm-yyyy")</f>
        <v>May-2024</v>
      </c>
      <c r="U579" t="str">
        <f>TEXT(tbl_analysis_tickets[[#This Row],[created_date]],"dddd")</f>
        <v>Thursday</v>
      </c>
      <c r="V579" cm="1">
        <f t="array" ref="V579">_xlfn.SWITCH(tbl_analysis_tickets[[#This Row],[priority]],
"Urgent",1,
"High",2,
"Medium",3,
"Low",4
)</f>
        <v>2</v>
      </c>
    </row>
    <row r="580" spans="1:22" x14ac:dyDescent="0.25">
      <c r="A580">
        <v>579</v>
      </c>
      <c r="B580" s="1">
        <v>45327</v>
      </c>
      <c r="C580" t="s">
        <v>14</v>
      </c>
      <c r="D580" t="s">
        <v>15</v>
      </c>
      <c r="E580">
        <v>14</v>
      </c>
      <c r="F580">
        <v>29</v>
      </c>
      <c r="G580">
        <v>3.3</v>
      </c>
      <c r="H580" t="s">
        <v>12</v>
      </c>
      <c r="I580" t="s">
        <v>19</v>
      </c>
      <c r="J580" t="s">
        <v>15</v>
      </c>
      <c r="K580">
        <f>_xlfn.XLOOKUP(tbl_analysis_tickets[[#This Row],[priority]],tbl_sla[priority],tbl_sla[Resolution SLA Hours])</f>
        <v>48</v>
      </c>
      <c r="L580">
        <f>_xlfn.XLOOKUP(tbl_analysis_tickets[[#This Row],[priority]],tbl_sla[priority],tbl_sla[First Response SLA Minutes])</f>
        <v>120</v>
      </c>
      <c r="M580" t="str">
        <f>IF(tbl_analysis_tickets[[#This Row],[resolution_time_hours]]&gt;tbl_analysis_tickets[[#This Row],[Resolution SLA Hours]],"Breached","Within SLA")</f>
        <v>Within SLA</v>
      </c>
      <c r="N580" t="str">
        <f>IF(tbl_analysis_tickets[[#This Row],[first_response_minutes]]&gt;tbl_analysis_tickets[[#This Row],[First Response SLA Minutes]],"Breached","Within SLA")</f>
        <v>Within SLA</v>
      </c>
      <c r="O580" t="str" cm="1">
        <f t="array" ref="O580">_xlfn.IFS(
tbl_analysis_tickets[[#This Row],[agent_experience_years]]&lt;=2,"Junior",
tbl_analysis_tickets[[#This Row],[agent_experience_years]]&lt;=5,"Mid-Level",
tbl_analysis_tickets[[#This Row],[agent_experience_years]]&lt;=8,"Senior",
tbl_analysis_tickets[[#This Row],[agent_experience_years]]&gt;8,"Expert"
)</f>
        <v>Mid-Level</v>
      </c>
      <c r="P580" cm="1">
        <f t="array" ref="P580">_xlfn.SWITCH(tbl_analysis_tickets[[#This Row],[customer_satisfaction]],
"Low",1,
"Medium",2,
"High",3
)</f>
        <v>2</v>
      </c>
      <c r="Q580">
        <f>IF(tbl_analysis_tickets[[#This Row],[reopened]]="Yes",1,0)</f>
        <v>1</v>
      </c>
      <c r="R580" t="str" cm="1">
        <f t="array" ref="R580">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580" t="str" cm="1">
        <f t="array" ref="S58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580" t="str">
        <f>TEXT(tbl_analysis_tickets[[#This Row],[created_date]],"mmm-yyyy")</f>
        <v>Feb-2024</v>
      </c>
      <c r="U580" t="str">
        <f>TEXT(tbl_analysis_tickets[[#This Row],[created_date]],"dddd")</f>
        <v>Monday</v>
      </c>
      <c r="V580" cm="1">
        <f t="array" ref="V580">_xlfn.SWITCH(tbl_analysis_tickets[[#This Row],[priority]],
"Urgent",1,
"High",2,
"Medium",3,
"Low",4
)</f>
        <v>3</v>
      </c>
    </row>
    <row r="581" spans="1:22" x14ac:dyDescent="0.25">
      <c r="A581">
        <v>580</v>
      </c>
      <c r="B581" s="1">
        <v>45398</v>
      </c>
      <c r="C581" t="s">
        <v>23</v>
      </c>
      <c r="D581" t="s">
        <v>15</v>
      </c>
      <c r="E581">
        <v>213</v>
      </c>
      <c r="F581">
        <v>6</v>
      </c>
      <c r="G581">
        <v>1</v>
      </c>
      <c r="H581" t="s">
        <v>18</v>
      </c>
      <c r="I581" t="s">
        <v>19</v>
      </c>
      <c r="J581" t="s">
        <v>15</v>
      </c>
      <c r="K581">
        <f>_xlfn.XLOOKUP(tbl_analysis_tickets[[#This Row],[priority]],tbl_sla[priority],tbl_sla[Resolution SLA Hours])</f>
        <v>48</v>
      </c>
      <c r="L581">
        <f>_xlfn.XLOOKUP(tbl_analysis_tickets[[#This Row],[priority]],tbl_sla[priority],tbl_sla[First Response SLA Minutes])</f>
        <v>120</v>
      </c>
      <c r="M581" t="str">
        <f>IF(tbl_analysis_tickets[[#This Row],[resolution_time_hours]]&gt;tbl_analysis_tickets[[#This Row],[Resolution SLA Hours]],"Breached","Within SLA")</f>
        <v>Within SLA</v>
      </c>
      <c r="N581" t="str">
        <f>IF(tbl_analysis_tickets[[#This Row],[first_response_minutes]]&gt;tbl_analysis_tickets[[#This Row],[First Response SLA Minutes]],"Breached","Within SLA")</f>
        <v>Breached</v>
      </c>
      <c r="O581" t="str" cm="1">
        <f t="array" ref="O581">_xlfn.IFS(
tbl_analysis_tickets[[#This Row],[agent_experience_years]]&lt;=2,"Junior",
tbl_analysis_tickets[[#This Row],[agent_experience_years]]&lt;=5,"Mid-Level",
tbl_analysis_tickets[[#This Row],[agent_experience_years]]&lt;=8,"Senior",
tbl_analysis_tickets[[#This Row],[agent_experience_years]]&gt;8,"Expert"
)</f>
        <v>Junior</v>
      </c>
      <c r="P581" cm="1">
        <f t="array" ref="P581">_xlfn.SWITCH(tbl_analysis_tickets[[#This Row],[customer_satisfaction]],
"Low",1,
"Medium",2,
"High",3
)</f>
        <v>2</v>
      </c>
      <c r="Q581">
        <f>IF(tbl_analysis_tickets[[#This Row],[reopened]]="Yes",1,0)</f>
        <v>0</v>
      </c>
      <c r="R581" t="str" cm="1">
        <f t="array" ref="R581">_xlfn.IFS(
tbl_analysis_tickets[[#This Row],[first_response_minutes]]&lt;=30,"Very Fast",
tbl_analysis_tickets[[#This Row],[first_response_minutes]]&lt;=120,"Acceptable",
tbl_analysis_tickets[[#This Row],[first_response_minutes]]&lt;=240,"Slow",
tbl_analysis_tickets[[#This Row],[first_response_minutes]]&gt;240,"Very Slow"
)</f>
        <v>Slow</v>
      </c>
      <c r="S581" t="str" cm="1">
        <f t="array" ref="S58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581" t="str">
        <f>TEXT(tbl_analysis_tickets[[#This Row],[created_date]],"mmm-yyyy")</f>
        <v>Apr-2024</v>
      </c>
      <c r="U581" t="str">
        <f>TEXT(tbl_analysis_tickets[[#This Row],[created_date]],"dddd")</f>
        <v>Tuesday</v>
      </c>
      <c r="V581" cm="1">
        <f t="array" ref="V581">_xlfn.SWITCH(tbl_analysis_tickets[[#This Row],[priority]],
"Urgent",1,
"High",2,
"Medium",3,
"Low",4
)</f>
        <v>3</v>
      </c>
    </row>
    <row r="582" spans="1:22" x14ac:dyDescent="0.25">
      <c r="A582">
        <v>581</v>
      </c>
      <c r="B582" s="1">
        <v>45535</v>
      </c>
      <c r="C582" t="s">
        <v>10</v>
      </c>
      <c r="D582" t="s">
        <v>15</v>
      </c>
      <c r="E582">
        <v>126</v>
      </c>
      <c r="F582">
        <v>59</v>
      </c>
      <c r="G582">
        <v>2.6</v>
      </c>
      <c r="H582" t="s">
        <v>18</v>
      </c>
      <c r="I582" t="s">
        <v>13</v>
      </c>
      <c r="J582" t="s">
        <v>11</v>
      </c>
      <c r="K582">
        <f>_xlfn.XLOOKUP(tbl_analysis_tickets[[#This Row],[priority]],tbl_sla[priority],tbl_sla[Resolution SLA Hours])</f>
        <v>48</v>
      </c>
      <c r="L582">
        <f>_xlfn.XLOOKUP(tbl_analysis_tickets[[#This Row],[priority]],tbl_sla[priority],tbl_sla[First Response SLA Minutes])</f>
        <v>120</v>
      </c>
      <c r="M582" t="str">
        <f>IF(tbl_analysis_tickets[[#This Row],[resolution_time_hours]]&gt;tbl_analysis_tickets[[#This Row],[Resolution SLA Hours]],"Breached","Within SLA")</f>
        <v>Breached</v>
      </c>
      <c r="N582" t="str">
        <f>IF(tbl_analysis_tickets[[#This Row],[first_response_minutes]]&gt;tbl_analysis_tickets[[#This Row],[First Response SLA Minutes]],"Breached","Within SLA")</f>
        <v>Breached</v>
      </c>
      <c r="O582" t="str" cm="1">
        <f t="array" ref="O582">_xlfn.IFS(
tbl_analysis_tickets[[#This Row],[agent_experience_years]]&lt;=2,"Junior",
tbl_analysis_tickets[[#This Row],[agent_experience_years]]&lt;=5,"Mid-Level",
tbl_analysis_tickets[[#This Row],[agent_experience_years]]&lt;=8,"Senior",
tbl_analysis_tickets[[#This Row],[agent_experience_years]]&gt;8,"Expert"
)</f>
        <v>Mid-Level</v>
      </c>
      <c r="P582" cm="1">
        <f t="array" ref="P582">_xlfn.SWITCH(tbl_analysis_tickets[[#This Row],[customer_satisfaction]],
"Low",1,
"Medium",2,
"High",3
)</f>
        <v>1</v>
      </c>
      <c r="Q582">
        <f>IF(tbl_analysis_tickets[[#This Row],[reopened]]="Yes",1,0)</f>
        <v>0</v>
      </c>
      <c r="R582" t="str" cm="1">
        <f t="array" ref="R582">_xlfn.IFS(
tbl_analysis_tickets[[#This Row],[first_response_minutes]]&lt;=30,"Very Fast",
tbl_analysis_tickets[[#This Row],[first_response_minutes]]&lt;=120,"Acceptable",
tbl_analysis_tickets[[#This Row],[first_response_minutes]]&lt;=240,"Slow",
tbl_analysis_tickets[[#This Row],[first_response_minutes]]&gt;240,"Very Slow"
)</f>
        <v>Slow</v>
      </c>
      <c r="S582" t="str" cm="1">
        <f t="array" ref="S58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582" t="str">
        <f>TEXT(tbl_analysis_tickets[[#This Row],[created_date]],"mmm-yyyy")</f>
        <v>Aug-2024</v>
      </c>
      <c r="U582" t="str">
        <f>TEXT(tbl_analysis_tickets[[#This Row],[created_date]],"dddd")</f>
        <v>Saturday</v>
      </c>
      <c r="V582" cm="1">
        <f t="array" ref="V582">_xlfn.SWITCH(tbl_analysis_tickets[[#This Row],[priority]],
"Urgent",1,
"High",2,
"Medium",3,
"Low",4
)</f>
        <v>3</v>
      </c>
    </row>
    <row r="583" spans="1:22" x14ac:dyDescent="0.25">
      <c r="A583">
        <v>582</v>
      </c>
      <c r="B583" s="1">
        <v>45385</v>
      </c>
      <c r="C583" t="s">
        <v>23</v>
      </c>
      <c r="D583" t="s">
        <v>17</v>
      </c>
      <c r="E583">
        <v>98</v>
      </c>
      <c r="F583">
        <v>55</v>
      </c>
      <c r="G583">
        <v>7.4</v>
      </c>
      <c r="H583" t="s">
        <v>18</v>
      </c>
      <c r="I583" t="s">
        <v>16</v>
      </c>
      <c r="J583" t="s">
        <v>11</v>
      </c>
      <c r="K583">
        <f>_xlfn.XLOOKUP(tbl_analysis_tickets[[#This Row],[priority]],tbl_sla[priority],tbl_sla[Resolution SLA Hours])</f>
        <v>8</v>
      </c>
      <c r="L583">
        <f>_xlfn.XLOOKUP(tbl_analysis_tickets[[#This Row],[priority]],tbl_sla[priority],tbl_sla[First Response SLA Minutes])</f>
        <v>30</v>
      </c>
      <c r="M583" t="str">
        <f>IF(tbl_analysis_tickets[[#This Row],[resolution_time_hours]]&gt;tbl_analysis_tickets[[#This Row],[Resolution SLA Hours]],"Breached","Within SLA")</f>
        <v>Breached</v>
      </c>
      <c r="N583" t="str">
        <f>IF(tbl_analysis_tickets[[#This Row],[first_response_minutes]]&gt;tbl_analysis_tickets[[#This Row],[First Response SLA Minutes]],"Breached","Within SLA")</f>
        <v>Breached</v>
      </c>
      <c r="O583" t="str" cm="1">
        <f t="array" ref="O583">_xlfn.IFS(
tbl_analysis_tickets[[#This Row],[agent_experience_years]]&lt;=2,"Junior",
tbl_analysis_tickets[[#This Row],[agent_experience_years]]&lt;=5,"Mid-Level",
tbl_analysis_tickets[[#This Row],[agent_experience_years]]&lt;=8,"Senior",
tbl_analysis_tickets[[#This Row],[agent_experience_years]]&gt;8,"Expert"
)</f>
        <v>Senior</v>
      </c>
      <c r="P583" cm="1">
        <f t="array" ref="P583">_xlfn.SWITCH(tbl_analysis_tickets[[#This Row],[customer_satisfaction]],
"Low",1,
"Medium",2,
"High",3
)</f>
        <v>1</v>
      </c>
      <c r="Q583">
        <f>IF(tbl_analysis_tickets[[#This Row],[reopened]]="Yes",1,0)</f>
        <v>0</v>
      </c>
      <c r="R583" t="str" cm="1">
        <f t="array" ref="R583">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583" t="str" cm="1">
        <f t="array" ref="S58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583" t="str">
        <f>TEXT(tbl_analysis_tickets[[#This Row],[created_date]],"mmm-yyyy")</f>
        <v>Apr-2024</v>
      </c>
      <c r="U583" t="str">
        <f>TEXT(tbl_analysis_tickets[[#This Row],[created_date]],"dddd")</f>
        <v>Wednesday</v>
      </c>
      <c r="V583" cm="1">
        <f t="array" ref="V583">_xlfn.SWITCH(tbl_analysis_tickets[[#This Row],[priority]],
"Urgent",1,
"High",2,
"Medium",3,
"Low",4
)</f>
        <v>1</v>
      </c>
    </row>
    <row r="584" spans="1:22" x14ac:dyDescent="0.25">
      <c r="A584">
        <v>583</v>
      </c>
      <c r="B584" s="1">
        <v>45531</v>
      </c>
      <c r="C584" t="s">
        <v>14</v>
      </c>
      <c r="D584" t="s">
        <v>20</v>
      </c>
      <c r="E584">
        <v>171</v>
      </c>
      <c r="F584">
        <v>16</v>
      </c>
      <c r="G584">
        <v>4.9000000000000004</v>
      </c>
      <c r="H584" t="s">
        <v>12</v>
      </c>
      <c r="I584" t="s">
        <v>19</v>
      </c>
      <c r="J584" t="s">
        <v>11</v>
      </c>
      <c r="K584">
        <f>_xlfn.XLOOKUP(tbl_analysis_tickets[[#This Row],[priority]],tbl_sla[priority],tbl_sla[Resolution SLA Hours])</f>
        <v>24</v>
      </c>
      <c r="L584">
        <f>_xlfn.XLOOKUP(tbl_analysis_tickets[[#This Row],[priority]],tbl_sla[priority],tbl_sla[First Response SLA Minutes])</f>
        <v>60</v>
      </c>
      <c r="M584" t="str">
        <f>IF(tbl_analysis_tickets[[#This Row],[resolution_time_hours]]&gt;tbl_analysis_tickets[[#This Row],[Resolution SLA Hours]],"Breached","Within SLA")</f>
        <v>Within SLA</v>
      </c>
      <c r="N584" t="str">
        <f>IF(tbl_analysis_tickets[[#This Row],[first_response_minutes]]&gt;tbl_analysis_tickets[[#This Row],[First Response SLA Minutes]],"Breached","Within SLA")</f>
        <v>Breached</v>
      </c>
      <c r="O584" t="str" cm="1">
        <f t="array" ref="O584">_xlfn.IFS(
tbl_analysis_tickets[[#This Row],[agent_experience_years]]&lt;=2,"Junior",
tbl_analysis_tickets[[#This Row],[agent_experience_years]]&lt;=5,"Mid-Level",
tbl_analysis_tickets[[#This Row],[agent_experience_years]]&lt;=8,"Senior",
tbl_analysis_tickets[[#This Row],[agent_experience_years]]&gt;8,"Expert"
)</f>
        <v>Mid-Level</v>
      </c>
      <c r="P584" cm="1">
        <f t="array" ref="P584">_xlfn.SWITCH(tbl_analysis_tickets[[#This Row],[customer_satisfaction]],
"Low",1,
"Medium",2,
"High",3
)</f>
        <v>1</v>
      </c>
      <c r="Q584">
        <f>IF(tbl_analysis_tickets[[#This Row],[reopened]]="Yes",1,0)</f>
        <v>1</v>
      </c>
      <c r="R584" t="str" cm="1">
        <f t="array" ref="R584">_xlfn.IFS(
tbl_analysis_tickets[[#This Row],[first_response_minutes]]&lt;=30,"Very Fast",
tbl_analysis_tickets[[#This Row],[first_response_minutes]]&lt;=120,"Acceptable",
tbl_analysis_tickets[[#This Row],[first_response_minutes]]&lt;=240,"Slow",
tbl_analysis_tickets[[#This Row],[first_response_minutes]]&gt;240,"Very Slow"
)</f>
        <v>Slow</v>
      </c>
      <c r="S584" t="str" cm="1">
        <f t="array" ref="S58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584" t="str">
        <f>TEXT(tbl_analysis_tickets[[#This Row],[created_date]],"mmm-yyyy")</f>
        <v>Aug-2024</v>
      </c>
      <c r="U584" t="str">
        <f>TEXT(tbl_analysis_tickets[[#This Row],[created_date]],"dddd")</f>
        <v>Tuesday</v>
      </c>
      <c r="V584" cm="1">
        <f t="array" ref="V584">_xlfn.SWITCH(tbl_analysis_tickets[[#This Row],[priority]],
"Urgent",1,
"High",2,
"Medium",3,
"Low",4
)</f>
        <v>2</v>
      </c>
    </row>
    <row r="585" spans="1:22" x14ac:dyDescent="0.25">
      <c r="A585">
        <v>584</v>
      </c>
      <c r="B585" s="1">
        <v>45373</v>
      </c>
      <c r="C585" t="s">
        <v>22</v>
      </c>
      <c r="D585" t="s">
        <v>15</v>
      </c>
      <c r="E585">
        <v>8</v>
      </c>
      <c r="F585">
        <v>50</v>
      </c>
      <c r="G585">
        <v>3.1</v>
      </c>
      <c r="H585" t="s">
        <v>12</v>
      </c>
      <c r="I585" t="s">
        <v>16</v>
      </c>
      <c r="J585" t="s">
        <v>15</v>
      </c>
      <c r="K585">
        <f>_xlfn.XLOOKUP(tbl_analysis_tickets[[#This Row],[priority]],tbl_sla[priority],tbl_sla[Resolution SLA Hours])</f>
        <v>48</v>
      </c>
      <c r="L585">
        <f>_xlfn.XLOOKUP(tbl_analysis_tickets[[#This Row],[priority]],tbl_sla[priority],tbl_sla[First Response SLA Minutes])</f>
        <v>120</v>
      </c>
      <c r="M585" t="str">
        <f>IF(tbl_analysis_tickets[[#This Row],[resolution_time_hours]]&gt;tbl_analysis_tickets[[#This Row],[Resolution SLA Hours]],"Breached","Within SLA")</f>
        <v>Breached</v>
      </c>
      <c r="N585" t="str">
        <f>IF(tbl_analysis_tickets[[#This Row],[first_response_minutes]]&gt;tbl_analysis_tickets[[#This Row],[First Response SLA Minutes]],"Breached","Within SLA")</f>
        <v>Within SLA</v>
      </c>
      <c r="O585" t="str" cm="1">
        <f t="array" ref="O585">_xlfn.IFS(
tbl_analysis_tickets[[#This Row],[agent_experience_years]]&lt;=2,"Junior",
tbl_analysis_tickets[[#This Row],[agent_experience_years]]&lt;=5,"Mid-Level",
tbl_analysis_tickets[[#This Row],[agent_experience_years]]&lt;=8,"Senior",
tbl_analysis_tickets[[#This Row],[agent_experience_years]]&gt;8,"Expert"
)</f>
        <v>Mid-Level</v>
      </c>
      <c r="P585" cm="1">
        <f t="array" ref="P585">_xlfn.SWITCH(tbl_analysis_tickets[[#This Row],[customer_satisfaction]],
"Low",1,
"Medium",2,
"High",3
)</f>
        <v>2</v>
      </c>
      <c r="Q585">
        <f>IF(tbl_analysis_tickets[[#This Row],[reopened]]="Yes",1,0)</f>
        <v>1</v>
      </c>
      <c r="R585" t="str" cm="1">
        <f t="array" ref="R585">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585" t="str" cm="1">
        <f t="array" ref="S58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585" t="str">
        <f>TEXT(tbl_analysis_tickets[[#This Row],[created_date]],"mmm-yyyy")</f>
        <v>Mar-2024</v>
      </c>
      <c r="U585" t="str">
        <f>TEXT(tbl_analysis_tickets[[#This Row],[created_date]],"dddd")</f>
        <v>Friday</v>
      </c>
      <c r="V585" cm="1">
        <f t="array" ref="V585">_xlfn.SWITCH(tbl_analysis_tickets[[#This Row],[priority]],
"Urgent",1,
"High",2,
"Medium",3,
"Low",4
)</f>
        <v>3</v>
      </c>
    </row>
    <row r="586" spans="1:22" x14ac:dyDescent="0.25">
      <c r="A586">
        <v>585</v>
      </c>
      <c r="B586" s="1">
        <v>45563</v>
      </c>
      <c r="C586" t="s">
        <v>23</v>
      </c>
      <c r="D586" t="s">
        <v>15</v>
      </c>
      <c r="E586">
        <v>169</v>
      </c>
      <c r="F586">
        <v>32</v>
      </c>
      <c r="G586">
        <v>1.2</v>
      </c>
      <c r="H586" t="s">
        <v>12</v>
      </c>
      <c r="I586" t="s">
        <v>13</v>
      </c>
      <c r="J586" t="s">
        <v>11</v>
      </c>
      <c r="K586">
        <f>_xlfn.XLOOKUP(tbl_analysis_tickets[[#This Row],[priority]],tbl_sla[priority],tbl_sla[Resolution SLA Hours])</f>
        <v>48</v>
      </c>
      <c r="L586">
        <f>_xlfn.XLOOKUP(tbl_analysis_tickets[[#This Row],[priority]],tbl_sla[priority],tbl_sla[First Response SLA Minutes])</f>
        <v>120</v>
      </c>
      <c r="M586" t="str">
        <f>IF(tbl_analysis_tickets[[#This Row],[resolution_time_hours]]&gt;tbl_analysis_tickets[[#This Row],[Resolution SLA Hours]],"Breached","Within SLA")</f>
        <v>Within SLA</v>
      </c>
      <c r="N586" t="str">
        <f>IF(tbl_analysis_tickets[[#This Row],[first_response_minutes]]&gt;tbl_analysis_tickets[[#This Row],[First Response SLA Minutes]],"Breached","Within SLA")</f>
        <v>Breached</v>
      </c>
      <c r="O586" t="str" cm="1">
        <f t="array" ref="O586">_xlfn.IFS(
tbl_analysis_tickets[[#This Row],[agent_experience_years]]&lt;=2,"Junior",
tbl_analysis_tickets[[#This Row],[agent_experience_years]]&lt;=5,"Mid-Level",
tbl_analysis_tickets[[#This Row],[agent_experience_years]]&lt;=8,"Senior",
tbl_analysis_tickets[[#This Row],[agent_experience_years]]&gt;8,"Expert"
)</f>
        <v>Junior</v>
      </c>
      <c r="P586" cm="1">
        <f t="array" ref="P586">_xlfn.SWITCH(tbl_analysis_tickets[[#This Row],[customer_satisfaction]],
"Low",1,
"Medium",2,
"High",3
)</f>
        <v>1</v>
      </c>
      <c r="Q586">
        <f>IF(tbl_analysis_tickets[[#This Row],[reopened]]="Yes",1,0)</f>
        <v>1</v>
      </c>
      <c r="R586" t="str" cm="1">
        <f t="array" ref="R586">_xlfn.IFS(
tbl_analysis_tickets[[#This Row],[first_response_minutes]]&lt;=30,"Very Fast",
tbl_analysis_tickets[[#This Row],[first_response_minutes]]&lt;=120,"Acceptable",
tbl_analysis_tickets[[#This Row],[first_response_minutes]]&lt;=240,"Slow",
tbl_analysis_tickets[[#This Row],[first_response_minutes]]&gt;240,"Very Slow"
)</f>
        <v>Slow</v>
      </c>
      <c r="S586" t="str" cm="1">
        <f t="array" ref="S58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586" t="str">
        <f>TEXT(tbl_analysis_tickets[[#This Row],[created_date]],"mmm-yyyy")</f>
        <v>Sep-2024</v>
      </c>
      <c r="U586" t="str">
        <f>TEXT(tbl_analysis_tickets[[#This Row],[created_date]],"dddd")</f>
        <v>Saturday</v>
      </c>
      <c r="V586" cm="1">
        <f t="array" ref="V586">_xlfn.SWITCH(tbl_analysis_tickets[[#This Row],[priority]],
"Urgent",1,
"High",2,
"Medium",3,
"Low",4
)</f>
        <v>3</v>
      </c>
    </row>
    <row r="587" spans="1:22" x14ac:dyDescent="0.25">
      <c r="A587">
        <v>586</v>
      </c>
      <c r="B587" s="1">
        <v>45589</v>
      </c>
      <c r="C587" t="s">
        <v>22</v>
      </c>
      <c r="D587" t="s">
        <v>20</v>
      </c>
      <c r="E587">
        <v>20</v>
      </c>
      <c r="F587">
        <v>10</v>
      </c>
      <c r="G587">
        <v>1.6</v>
      </c>
      <c r="H587" t="s">
        <v>18</v>
      </c>
      <c r="I587" t="s">
        <v>19</v>
      </c>
      <c r="J587" t="s">
        <v>15</v>
      </c>
      <c r="K587">
        <f>_xlfn.XLOOKUP(tbl_analysis_tickets[[#This Row],[priority]],tbl_sla[priority],tbl_sla[Resolution SLA Hours])</f>
        <v>24</v>
      </c>
      <c r="L587">
        <f>_xlfn.XLOOKUP(tbl_analysis_tickets[[#This Row],[priority]],tbl_sla[priority],tbl_sla[First Response SLA Minutes])</f>
        <v>60</v>
      </c>
      <c r="M587" t="str">
        <f>IF(tbl_analysis_tickets[[#This Row],[resolution_time_hours]]&gt;tbl_analysis_tickets[[#This Row],[Resolution SLA Hours]],"Breached","Within SLA")</f>
        <v>Within SLA</v>
      </c>
      <c r="N587" t="str">
        <f>IF(tbl_analysis_tickets[[#This Row],[first_response_minutes]]&gt;tbl_analysis_tickets[[#This Row],[First Response SLA Minutes]],"Breached","Within SLA")</f>
        <v>Within SLA</v>
      </c>
      <c r="O587" t="str" cm="1">
        <f t="array" ref="O587">_xlfn.IFS(
tbl_analysis_tickets[[#This Row],[agent_experience_years]]&lt;=2,"Junior",
tbl_analysis_tickets[[#This Row],[agent_experience_years]]&lt;=5,"Mid-Level",
tbl_analysis_tickets[[#This Row],[agent_experience_years]]&lt;=8,"Senior",
tbl_analysis_tickets[[#This Row],[agent_experience_years]]&gt;8,"Expert"
)</f>
        <v>Junior</v>
      </c>
      <c r="P587" cm="1">
        <f t="array" ref="P587">_xlfn.SWITCH(tbl_analysis_tickets[[#This Row],[customer_satisfaction]],
"Low",1,
"Medium",2,
"High",3
)</f>
        <v>2</v>
      </c>
      <c r="Q587">
        <f>IF(tbl_analysis_tickets[[#This Row],[reopened]]="Yes",1,0)</f>
        <v>0</v>
      </c>
      <c r="R587" t="str" cm="1">
        <f t="array" ref="R587">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587" t="str" cm="1">
        <f t="array" ref="S58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587" t="str">
        <f>TEXT(tbl_analysis_tickets[[#This Row],[created_date]],"mmm-yyyy")</f>
        <v>Oct-2024</v>
      </c>
      <c r="U587" t="str">
        <f>TEXT(tbl_analysis_tickets[[#This Row],[created_date]],"dddd")</f>
        <v>Thursday</v>
      </c>
      <c r="V587" cm="1">
        <f t="array" ref="V587">_xlfn.SWITCH(tbl_analysis_tickets[[#This Row],[priority]],
"Urgent",1,
"High",2,
"Medium",3,
"Low",4
)</f>
        <v>2</v>
      </c>
    </row>
    <row r="588" spans="1:22" x14ac:dyDescent="0.25">
      <c r="A588">
        <v>587</v>
      </c>
      <c r="B588" s="1">
        <v>45490</v>
      </c>
      <c r="C588" t="s">
        <v>21</v>
      </c>
      <c r="D588" t="s">
        <v>11</v>
      </c>
      <c r="E588">
        <v>157</v>
      </c>
      <c r="F588">
        <v>48</v>
      </c>
      <c r="G588">
        <v>3.7</v>
      </c>
      <c r="H588" t="s">
        <v>18</v>
      </c>
      <c r="I588" t="s">
        <v>13</v>
      </c>
      <c r="J588" t="s">
        <v>11</v>
      </c>
      <c r="K588">
        <f>_xlfn.XLOOKUP(tbl_analysis_tickets[[#This Row],[priority]],tbl_sla[priority],tbl_sla[Resolution SLA Hours])</f>
        <v>72</v>
      </c>
      <c r="L588">
        <f>_xlfn.XLOOKUP(tbl_analysis_tickets[[#This Row],[priority]],tbl_sla[priority],tbl_sla[First Response SLA Minutes])</f>
        <v>240</v>
      </c>
      <c r="M588" t="str">
        <f>IF(tbl_analysis_tickets[[#This Row],[resolution_time_hours]]&gt;tbl_analysis_tickets[[#This Row],[Resolution SLA Hours]],"Breached","Within SLA")</f>
        <v>Within SLA</v>
      </c>
      <c r="N588" t="str">
        <f>IF(tbl_analysis_tickets[[#This Row],[first_response_minutes]]&gt;tbl_analysis_tickets[[#This Row],[First Response SLA Minutes]],"Breached","Within SLA")</f>
        <v>Within SLA</v>
      </c>
      <c r="O588" t="str" cm="1">
        <f t="array" ref="O588">_xlfn.IFS(
tbl_analysis_tickets[[#This Row],[agent_experience_years]]&lt;=2,"Junior",
tbl_analysis_tickets[[#This Row],[agent_experience_years]]&lt;=5,"Mid-Level",
tbl_analysis_tickets[[#This Row],[agent_experience_years]]&lt;=8,"Senior",
tbl_analysis_tickets[[#This Row],[agent_experience_years]]&gt;8,"Expert"
)</f>
        <v>Mid-Level</v>
      </c>
      <c r="P588" cm="1">
        <f t="array" ref="P588">_xlfn.SWITCH(tbl_analysis_tickets[[#This Row],[customer_satisfaction]],
"Low",1,
"Medium",2,
"High",3
)</f>
        <v>1</v>
      </c>
      <c r="Q588">
        <f>IF(tbl_analysis_tickets[[#This Row],[reopened]]="Yes",1,0)</f>
        <v>0</v>
      </c>
      <c r="R588" t="str" cm="1">
        <f t="array" ref="R588">_xlfn.IFS(
tbl_analysis_tickets[[#This Row],[first_response_minutes]]&lt;=30,"Very Fast",
tbl_analysis_tickets[[#This Row],[first_response_minutes]]&lt;=120,"Acceptable",
tbl_analysis_tickets[[#This Row],[first_response_minutes]]&lt;=240,"Slow",
tbl_analysis_tickets[[#This Row],[first_response_minutes]]&gt;240,"Very Slow"
)</f>
        <v>Slow</v>
      </c>
      <c r="S588" t="str" cm="1">
        <f t="array" ref="S58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588" t="str">
        <f>TEXT(tbl_analysis_tickets[[#This Row],[created_date]],"mmm-yyyy")</f>
        <v>Jul-2024</v>
      </c>
      <c r="U588" t="str">
        <f>TEXT(tbl_analysis_tickets[[#This Row],[created_date]],"dddd")</f>
        <v>Wednesday</v>
      </c>
      <c r="V588" cm="1">
        <f t="array" ref="V588">_xlfn.SWITCH(tbl_analysis_tickets[[#This Row],[priority]],
"Urgent",1,
"High",2,
"Medium",3,
"Low",4
)</f>
        <v>4</v>
      </c>
    </row>
    <row r="589" spans="1:22" x14ac:dyDescent="0.25">
      <c r="A589">
        <v>588</v>
      </c>
      <c r="B589" s="1">
        <v>45319</v>
      </c>
      <c r="C589" t="s">
        <v>23</v>
      </c>
      <c r="D589" t="s">
        <v>17</v>
      </c>
      <c r="E589">
        <v>111</v>
      </c>
      <c r="F589">
        <v>24</v>
      </c>
      <c r="G589">
        <v>1.4</v>
      </c>
      <c r="H589" t="s">
        <v>18</v>
      </c>
      <c r="I589" t="s">
        <v>19</v>
      </c>
      <c r="J589" t="s">
        <v>11</v>
      </c>
      <c r="K589">
        <f>_xlfn.XLOOKUP(tbl_analysis_tickets[[#This Row],[priority]],tbl_sla[priority],tbl_sla[Resolution SLA Hours])</f>
        <v>8</v>
      </c>
      <c r="L589">
        <f>_xlfn.XLOOKUP(tbl_analysis_tickets[[#This Row],[priority]],tbl_sla[priority],tbl_sla[First Response SLA Minutes])</f>
        <v>30</v>
      </c>
      <c r="M589" t="str">
        <f>IF(tbl_analysis_tickets[[#This Row],[resolution_time_hours]]&gt;tbl_analysis_tickets[[#This Row],[Resolution SLA Hours]],"Breached","Within SLA")</f>
        <v>Breached</v>
      </c>
      <c r="N589" t="str">
        <f>IF(tbl_analysis_tickets[[#This Row],[first_response_minutes]]&gt;tbl_analysis_tickets[[#This Row],[First Response SLA Minutes]],"Breached","Within SLA")</f>
        <v>Breached</v>
      </c>
      <c r="O589" t="str" cm="1">
        <f t="array" ref="O589">_xlfn.IFS(
tbl_analysis_tickets[[#This Row],[agent_experience_years]]&lt;=2,"Junior",
tbl_analysis_tickets[[#This Row],[agent_experience_years]]&lt;=5,"Mid-Level",
tbl_analysis_tickets[[#This Row],[agent_experience_years]]&lt;=8,"Senior",
tbl_analysis_tickets[[#This Row],[agent_experience_years]]&gt;8,"Expert"
)</f>
        <v>Junior</v>
      </c>
      <c r="P589" cm="1">
        <f t="array" ref="P589">_xlfn.SWITCH(tbl_analysis_tickets[[#This Row],[customer_satisfaction]],
"Low",1,
"Medium",2,
"High",3
)</f>
        <v>1</v>
      </c>
      <c r="Q589">
        <f>IF(tbl_analysis_tickets[[#This Row],[reopened]]="Yes",1,0)</f>
        <v>0</v>
      </c>
      <c r="R589" t="str" cm="1">
        <f t="array" ref="R589">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589" t="str" cm="1">
        <f t="array" ref="S58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589" t="str">
        <f>TEXT(tbl_analysis_tickets[[#This Row],[created_date]],"mmm-yyyy")</f>
        <v>Jan-2024</v>
      </c>
      <c r="U589" t="str">
        <f>TEXT(tbl_analysis_tickets[[#This Row],[created_date]],"dddd")</f>
        <v>Sunday</v>
      </c>
      <c r="V589" cm="1">
        <f t="array" ref="V589">_xlfn.SWITCH(tbl_analysis_tickets[[#This Row],[priority]],
"Urgent",1,
"High",2,
"Medium",3,
"Low",4
)</f>
        <v>1</v>
      </c>
    </row>
    <row r="590" spans="1:22" x14ac:dyDescent="0.25">
      <c r="A590">
        <v>589</v>
      </c>
      <c r="B590" s="1">
        <v>45422</v>
      </c>
      <c r="C590" t="s">
        <v>22</v>
      </c>
      <c r="D590" t="s">
        <v>15</v>
      </c>
      <c r="E590">
        <v>178</v>
      </c>
      <c r="F590">
        <v>54</v>
      </c>
      <c r="G590">
        <v>4.5999999999999996</v>
      </c>
      <c r="H590" t="s">
        <v>12</v>
      </c>
      <c r="I590" t="s">
        <v>19</v>
      </c>
      <c r="J590" t="s">
        <v>11</v>
      </c>
      <c r="K590">
        <f>_xlfn.XLOOKUP(tbl_analysis_tickets[[#This Row],[priority]],tbl_sla[priority],tbl_sla[Resolution SLA Hours])</f>
        <v>48</v>
      </c>
      <c r="L590">
        <f>_xlfn.XLOOKUP(tbl_analysis_tickets[[#This Row],[priority]],tbl_sla[priority],tbl_sla[First Response SLA Minutes])</f>
        <v>120</v>
      </c>
      <c r="M590" t="str">
        <f>IF(tbl_analysis_tickets[[#This Row],[resolution_time_hours]]&gt;tbl_analysis_tickets[[#This Row],[Resolution SLA Hours]],"Breached","Within SLA")</f>
        <v>Breached</v>
      </c>
      <c r="N590" t="str">
        <f>IF(tbl_analysis_tickets[[#This Row],[first_response_minutes]]&gt;tbl_analysis_tickets[[#This Row],[First Response SLA Minutes]],"Breached","Within SLA")</f>
        <v>Breached</v>
      </c>
      <c r="O590" t="str" cm="1">
        <f t="array" ref="O590">_xlfn.IFS(
tbl_analysis_tickets[[#This Row],[agent_experience_years]]&lt;=2,"Junior",
tbl_analysis_tickets[[#This Row],[agent_experience_years]]&lt;=5,"Mid-Level",
tbl_analysis_tickets[[#This Row],[agent_experience_years]]&lt;=8,"Senior",
tbl_analysis_tickets[[#This Row],[agent_experience_years]]&gt;8,"Expert"
)</f>
        <v>Mid-Level</v>
      </c>
      <c r="P590" cm="1">
        <f t="array" ref="P590">_xlfn.SWITCH(tbl_analysis_tickets[[#This Row],[customer_satisfaction]],
"Low",1,
"Medium",2,
"High",3
)</f>
        <v>1</v>
      </c>
      <c r="Q590">
        <f>IF(tbl_analysis_tickets[[#This Row],[reopened]]="Yes",1,0)</f>
        <v>1</v>
      </c>
      <c r="R590" t="str" cm="1">
        <f t="array" ref="R590">_xlfn.IFS(
tbl_analysis_tickets[[#This Row],[first_response_minutes]]&lt;=30,"Very Fast",
tbl_analysis_tickets[[#This Row],[first_response_minutes]]&lt;=120,"Acceptable",
tbl_analysis_tickets[[#This Row],[first_response_minutes]]&lt;=240,"Slow",
tbl_analysis_tickets[[#This Row],[first_response_minutes]]&gt;240,"Very Slow"
)</f>
        <v>Slow</v>
      </c>
      <c r="S590" t="str" cm="1">
        <f t="array" ref="S59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590" t="str">
        <f>TEXT(tbl_analysis_tickets[[#This Row],[created_date]],"mmm-yyyy")</f>
        <v>May-2024</v>
      </c>
      <c r="U590" t="str">
        <f>TEXT(tbl_analysis_tickets[[#This Row],[created_date]],"dddd")</f>
        <v>Friday</v>
      </c>
      <c r="V590" cm="1">
        <f t="array" ref="V590">_xlfn.SWITCH(tbl_analysis_tickets[[#This Row],[priority]],
"Urgent",1,
"High",2,
"Medium",3,
"Low",4
)</f>
        <v>3</v>
      </c>
    </row>
    <row r="591" spans="1:22" x14ac:dyDescent="0.25">
      <c r="A591">
        <v>590</v>
      </c>
      <c r="B591" s="1">
        <v>45493</v>
      </c>
      <c r="C591" t="s">
        <v>23</v>
      </c>
      <c r="D591" t="s">
        <v>11</v>
      </c>
      <c r="E591">
        <v>82</v>
      </c>
      <c r="F591">
        <v>62</v>
      </c>
      <c r="G591">
        <v>5.8</v>
      </c>
      <c r="H591" t="s">
        <v>12</v>
      </c>
      <c r="I591" t="s">
        <v>19</v>
      </c>
      <c r="J591" t="s">
        <v>11</v>
      </c>
      <c r="K591">
        <f>_xlfn.XLOOKUP(tbl_analysis_tickets[[#This Row],[priority]],tbl_sla[priority],tbl_sla[Resolution SLA Hours])</f>
        <v>72</v>
      </c>
      <c r="L591">
        <f>_xlfn.XLOOKUP(tbl_analysis_tickets[[#This Row],[priority]],tbl_sla[priority],tbl_sla[First Response SLA Minutes])</f>
        <v>240</v>
      </c>
      <c r="M591" t="str">
        <f>IF(tbl_analysis_tickets[[#This Row],[resolution_time_hours]]&gt;tbl_analysis_tickets[[#This Row],[Resolution SLA Hours]],"Breached","Within SLA")</f>
        <v>Within SLA</v>
      </c>
      <c r="N591" t="str">
        <f>IF(tbl_analysis_tickets[[#This Row],[first_response_minutes]]&gt;tbl_analysis_tickets[[#This Row],[First Response SLA Minutes]],"Breached","Within SLA")</f>
        <v>Within SLA</v>
      </c>
      <c r="O591" t="str" cm="1">
        <f t="array" ref="O591">_xlfn.IFS(
tbl_analysis_tickets[[#This Row],[agent_experience_years]]&lt;=2,"Junior",
tbl_analysis_tickets[[#This Row],[agent_experience_years]]&lt;=5,"Mid-Level",
tbl_analysis_tickets[[#This Row],[agent_experience_years]]&lt;=8,"Senior",
tbl_analysis_tickets[[#This Row],[agent_experience_years]]&gt;8,"Expert"
)</f>
        <v>Senior</v>
      </c>
      <c r="P591" cm="1">
        <f t="array" ref="P591">_xlfn.SWITCH(tbl_analysis_tickets[[#This Row],[customer_satisfaction]],
"Low",1,
"Medium",2,
"High",3
)</f>
        <v>1</v>
      </c>
      <c r="Q591">
        <f>IF(tbl_analysis_tickets[[#This Row],[reopened]]="Yes",1,0)</f>
        <v>1</v>
      </c>
      <c r="R591" t="str" cm="1">
        <f t="array" ref="R591">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591" t="str" cm="1">
        <f t="array" ref="S59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591" t="str">
        <f>TEXT(tbl_analysis_tickets[[#This Row],[created_date]],"mmm-yyyy")</f>
        <v>Jul-2024</v>
      </c>
      <c r="U591" t="str">
        <f>TEXT(tbl_analysis_tickets[[#This Row],[created_date]],"dddd")</f>
        <v>Saturday</v>
      </c>
      <c r="V591" cm="1">
        <f t="array" ref="V591">_xlfn.SWITCH(tbl_analysis_tickets[[#This Row],[priority]],
"Urgent",1,
"High",2,
"Medium",3,
"Low",4
)</f>
        <v>4</v>
      </c>
    </row>
    <row r="592" spans="1:22" x14ac:dyDescent="0.25">
      <c r="A592">
        <v>591</v>
      </c>
      <c r="B592" s="1">
        <v>45551</v>
      </c>
      <c r="C592" t="s">
        <v>14</v>
      </c>
      <c r="D592" t="s">
        <v>20</v>
      </c>
      <c r="E592">
        <v>189</v>
      </c>
      <c r="F592">
        <v>40</v>
      </c>
      <c r="G592">
        <v>8.5</v>
      </c>
      <c r="H592" t="s">
        <v>12</v>
      </c>
      <c r="I592" t="s">
        <v>13</v>
      </c>
      <c r="J592" t="s">
        <v>11</v>
      </c>
      <c r="K592">
        <f>_xlfn.XLOOKUP(tbl_analysis_tickets[[#This Row],[priority]],tbl_sla[priority],tbl_sla[Resolution SLA Hours])</f>
        <v>24</v>
      </c>
      <c r="L592">
        <f>_xlfn.XLOOKUP(tbl_analysis_tickets[[#This Row],[priority]],tbl_sla[priority],tbl_sla[First Response SLA Minutes])</f>
        <v>60</v>
      </c>
      <c r="M592" t="str">
        <f>IF(tbl_analysis_tickets[[#This Row],[resolution_time_hours]]&gt;tbl_analysis_tickets[[#This Row],[Resolution SLA Hours]],"Breached","Within SLA")</f>
        <v>Breached</v>
      </c>
      <c r="N592" t="str">
        <f>IF(tbl_analysis_tickets[[#This Row],[first_response_minutes]]&gt;tbl_analysis_tickets[[#This Row],[First Response SLA Minutes]],"Breached","Within SLA")</f>
        <v>Breached</v>
      </c>
      <c r="O592" t="str" cm="1">
        <f t="array" ref="O592">_xlfn.IFS(
tbl_analysis_tickets[[#This Row],[agent_experience_years]]&lt;=2,"Junior",
tbl_analysis_tickets[[#This Row],[agent_experience_years]]&lt;=5,"Mid-Level",
tbl_analysis_tickets[[#This Row],[agent_experience_years]]&lt;=8,"Senior",
tbl_analysis_tickets[[#This Row],[agent_experience_years]]&gt;8,"Expert"
)</f>
        <v>Expert</v>
      </c>
      <c r="P592" cm="1">
        <f t="array" ref="P592">_xlfn.SWITCH(tbl_analysis_tickets[[#This Row],[customer_satisfaction]],
"Low",1,
"Medium",2,
"High",3
)</f>
        <v>1</v>
      </c>
      <c r="Q592">
        <f>IF(tbl_analysis_tickets[[#This Row],[reopened]]="Yes",1,0)</f>
        <v>1</v>
      </c>
      <c r="R592" t="str" cm="1">
        <f t="array" ref="R592">_xlfn.IFS(
tbl_analysis_tickets[[#This Row],[first_response_minutes]]&lt;=30,"Very Fast",
tbl_analysis_tickets[[#This Row],[first_response_minutes]]&lt;=120,"Acceptable",
tbl_analysis_tickets[[#This Row],[first_response_minutes]]&lt;=240,"Slow",
tbl_analysis_tickets[[#This Row],[first_response_minutes]]&gt;240,"Very Slow"
)</f>
        <v>Slow</v>
      </c>
      <c r="S592" t="str" cm="1">
        <f t="array" ref="S59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592" t="str">
        <f>TEXT(tbl_analysis_tickets[[#This Row],[created_date]],"mmm-yyyy")</f>
        <v>Sep-2024</v>
      </c>
      <c r="U592" t="str">
        <f>TEXT(tbl_analysis_tickets[[#This Row],[created_date]],"dddd")</f>
        <v>Monday</v>
      </c>
      <c r="V592" cm="1">
        <f t="array" ref="V592">_xlfn.SWITCH(tbl_analysis_tickets[[#This Row],[priority]],
"Urgent",1,
"High",2,
"Medium",3,
"Low",4
)</f>
        <v>2</v>
      </c>
    </row>
    <row r="593" spans="1:22" x14ac:dyDescent="0.25">
      <c r="A593">
        <v>592</v>
      </c>
      <c r="B593" s="1">
        <v>45586</v>
      </c>
      <c r="C593" t="s">
        <v>10</v>
      </c>
      <c r="D593" t="s">
        <v>17</v>
      </c>
      <c r="E593">
        <v>37</v>
      </c>
      <c r="F593">
        <v>65</v>
      </c>
      <c r="G593">
        <v>5.8</v>
      </c>
      <c r="H593" t="s">
        <v>12</v>
      </c>
      <c r="I593" t="s">
        <v>13</v>
      </c>
      <c r="J593" t="s">
        <v>11</v>
      </c>
      <c r="K593">
        <f>_xlfn.XLOOKUP(tbl_analysis_tickets[[#This Row],[priority]],tbl_sla[priority],tbl_sla[Resolution SLA Hours])</f>
        <v>8</v>
      </c>
      <c r="L593">
        <f>_xlfn.XLOOKUP(tbl_analysis_tickets[[#This Row],[priority]],tbl_sla[priority],tbl_sla[First Response SLA Minutes])</f>
        <v>30</v>
      </c>
      <c r="M593" t="str">
        <f>IF(tbl_analysis_tickets[[#This Row],[resolution_time_hours]]&gt;tbl_analysis_tickets[[#This Row],[Resolution SLA Hours]],"Breached","Within SLA")</f>
        <v>Breached</v>
      </c>
      <c r="N593" t="str">
        <f>IF(tbl_analysis_tickets[[#This Row],[first_response_minutes]]&gt;tbl_analysis_tickets[[#This Row],[First Response SLA Minutes]],"Breached","Within SLA")</f>
        <v>Breached</v>
      </c>
      <c r="O593" t="str" cm="1">
        <f t="array" ref="O593">_xlfn.IFS(
tbl_analysis_tickets[[#This Row],[agent_experience_years]]&lt;=2,"Junior",
tbl_analysis_tickets[[#This Row],[agent_experience_years]]&lt;=5,"Mid-Level",
tbl_analysis_tickets[[#This Row],[agent_experience_years]]&lt;=8,"Senior",
tbl_analysis_tickets[[#This Row],[agent_experience_years]]&gt;8,"Expert"
)</f>
        <v>Senior</v>
      </c>
      <c r="P593" cm="1">
        <f t="array" ref="P593">_xlfn.SWITCH(tbl_analysis_tickets[[#This Row],[customer_satisfaction]],
"Low",1,
"Medium",2,
"High",3
)</f>
        <v>1</v>
      </c>
      <c r="Q593">
        <f>IF(tbl_analysis_tickets[[#This Row],[reopened]]="Yes",1,0)</f>
        <v>1</v>
      </c>
      <c r="R593" t="str" cm="1">
        <f t="array" ref="R593">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593" t="str" cm="1">
        <f t="array" ref="S59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593" t="str">
        <f>TEXT(tbl_analysis_tickets[[#This Row],[created_date]],"mmm-yyyy")</f>
        <v>Oct-2024</v>
      </c>
      <c r="U593" t="str">
        <f>TEXT(tbl_analysis_tickets[[#This Row],[created_date]],"dddd")</f>
        <v>Monday</v>
      </c>
      <c r="V593" cm="1">
        <f t="array" ref="V593">_xlfn.SWITCH(tbl_analysis_tickets[[#This Row],[priority]],
"Urgent",1,
"High",2,
"Medium",3,
"Low",4
)</f>
        <v>1</v>
      </c>
    </row>
    <row r="594" spans="1:22" x14ac:dyDescent="0.25">
      <c r="A594">
        <v>593</v>
      </c>
      <c r="B594" s="1">
        <v>45468</v>
      </c>
      <c r="C594" t="s">
        <v>21</v>
      </c>
      <c r="D594" t="s">
        <v>15</v>
      </c>
      <c r="E594">
        <v>100</v>
      </c>
      <c r="F594">
        <v>61</v>
      </c>
      <c r="G594">
        <v>5.2</v>
      </c>
      <c r="H594" t="s">
        <v>12</v>
      </c>
      <c r="I594" t="s">
        <v>19</v>
      </c>
      <c r="J594" t="s">
        <v>11</v>
      </c>
      <c r="K594">
        <f>_xlfn.XLOOKUP(tbl_analysis_tickets[[#This Row],[priority]],tbl_sla[priority],tbl_sla[Resolution SLA Hours])</f>
        <v>48</v>
      </c>
      <c r="L594">
        <f>_xlfn.XLOOKUP(tbl_analysis_tickets[[#This Row],[priority]],tbl_sla[priority],tbl_sla[First Response SLA Minutes])</f>
        <v>120</v>
      </c>
      <c r="M594" t="str">
        <f>IF(tbl_analysis_tickets[[#This Row],[resolution_time_hours]]&gt;tbl_analysis_tickets[[#This Row],[Resolution SLA Hours]],"Breached","Within SLA")</f>
        <v>Breached</v>
      </c>
      <c r="N594" t="str">
        <f>IF(tbl_analysis_tickets[[#This Row],[first_response_minutes]]&gt;tbl_analysis_tickets[[#This Row],[First Response SLA Minutes]],"Breached","Within SLA")</f>
        <v>Within SLA</v>
      </c>
      <c r="O594" t="str" cm="1">
        <f t="array" ref="O594">_xlfn.IFS(
tbl_analysis_tickets[[#This Row],[agent_experience_years]]&lt;=2,"Junior",
tbl_analysis_tickets[[#This Row],[agent_experience_years]]&lt;=5,"Mid-Level",
tbl_analysis_tickets[[#This Row],[agent_experience_years]]&lt;=8,"Senior",
tbl_analysis_tickets[[#This Row],[agent_experience_years]]&gt;8,"Expert"
)</f>
        <v>Senior</v>
      </c>
      <c r="P594" cm="1">
        <f t="array" ref="P594">_xlfn.SWITCH(tbl_analysis_tickets[[#This Row],[customer_satisfaction]],
"Low",1,
"Medium",2,
"High",3
)</f>
        <v>1</v>
      </c>
      <c r="Q594">
        <f>IF(tbl_analysis_tickets[[#This Row],[reopened]]="Yes",1,0)</f>
        <v>1</v>
      </c>
      <c r="R594" t="str" cm="1">
        <f t="array" ref="R594">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594" t="str" cm="1">
        <f t="array" ref="S59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594" t="str">
        <f>TEXT(tbl_analysis_tickets[[#This Row],[created_date]],"mmm-yyyy")</f>
        <v>Jun-2024</v>
      </c>
      <c r="U594" t="str">
        <f>TEXT(tbl_analysis_tickets[[#This Row],[created_date]],"dddd")</f>
        <v>Tuesday</v>
      </c>
      <c r="V594" cm="1">
        <f t="array" ref="V594">_xlfn.SWITCH(tbl_analysis_tickets[[#This Row],[priority]],
"Urgent",1,
"High",2,
"Medium",3,
"Low",4
)</f>
        <v>3</v>
      </c>
    </row>
    <row r="595" spans="1:22" x14ac:dyDescent="0.25">
      <c r="A595">
        <v>594</v>
      </c>
      <c r="B595" s="1">
        <v>45472</v>
      </c>
      <c r="C595" t="s">
        <v>22</v>
      </c>
      <c r="D595" t="s">
        <v>17</v>
      </c>
      <c r="E595">
        <v>62</v>
      </c>
      <c r="F595">
        <v>60</v>
      </c>
      <c r="G595">
        <v>2.5</v>
      </c>
      <c r="H595" t="s">
        <v>18</v>
      </c>
      <c r="I595" t="s">
        <v>13</v>
      </c>
      <c r="J595" t="s">
        <v>11</v>
      </c>
      <c r="K595">
        <f>_xlfn.XLOOKUP(tbl_analysis_tickets[[#This Row],[priority]],tbl_sla[priority],tbl_sla[Resolution SLA Hours])</f>
        <v>8</v>
      </c>
      <c r="L595">
        <f>_xlfn.XLOOKUP(tbl_analysis_tickets[[#This Row],[priority]],tbl_sla[priority],tbl_sla[First Response SLA Minutes])</f>
        <v>30</v>
      </c>
      <c r="M595" t="str">
        <f>IF(tbl_analysis_tickets[[#This Row],[resolution_time_hours]]&gt;tbl_analysis_tickets[[#This Row],[Resolution SLA Hours]],"Breached","Within SLA")</f>
        <v>Breached</v>
      </c>
      <c r="N595" t="str">
        <f>IF(tbl_analysis_tickets[[#This Row],[first_response_minutes]]&gt;tbl_analysis_tickets[[#This Row],[First Response SLA Minutes]],"Breached","Within SLA")</f>
        <v>Breached</v>
      </c>
      <c r="O595" t="str" cm="1">
        <f t="array" ref="O595">_xlfn.IFS(
tbl_analysis_tickets[[#This Row],[agent_experience_years]]&lt;=2,"Junior",
tbl_analysis_tickets[[#This Row],[agent_experience_years]]&lt;=5,"Mid-Level",
tbl_analysis_tickets[[#This Row],[agent_experience_years]]&lt;=8,"Senior",
tbl_analysis_tickets[[#This Row],[agent_experience_years]]&gt;8,"Expert"
)</f>
        <v>Mid-Level</v>
      </c>
      <c r="P595" cm="1">
        <f t="array" ref="P595">_xlfn.SWITCH(tbl_analysis_tickets[[#This Row],[customer_satisfaction]],
"Low",1,
"Medium",2,
"High",3
)</f>
        <v>1</v>
      </c>
      <c r="Q595">
        <f>IF(tbl_analysis_tickets[[#This Row],[reopened]]="Yes",1,0)</f>
        <v>0</v>
      </c>
      <c r="R595" t="str" cm="1">
        <f t="array" ref="R595">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595" t="str" cm="1">
        <f t="array" ref="S59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595" t="str">
        <f>TEXT(tbl_analysis_tickets[[#This Row],[created_date]],"mmm-yyyy")</f>
        <v>Jun-2024</v>
      </c>
      <c r="U595" t="str">
        <f>TEXT(tbl_analysis_tickets[[#This Row],[created_date]],"dddd")</f>
        <v>Saturday</v>
      </c>
      <c r="V595" cm="1">
        <f t="array" ref="V595">_xlfn.SWITCH(tbl_analysis_tickets[[#This Row],[priority]],
"Urgent",1,
"High",2,
"Medium",3,
"Low",4
)</f>
        <v>1</v>
      </c>
    </row>
    <row r="596" spans="1:22" x14ac:dyDescent="0.25">
      <c r="A596">
        <v>595</v>
      </c>
      <c r="B596" s="1">
        <v>45477</v>
      </c>
      <c r="C596" t="s">
        <v>10</v>
      </c>
      <c r="D596" t="s">
        <v>11</v>
      </c>
      <c r="E596">
        <v>192</v>
      </c>
      <c r="F596">
        <v>34</v>
      </c>
      <c r="G596">
        <v>2.8</v>
      </c>
      <c r="H596" t="s">
        <v>18</v>
      </c>
      <c r="I596" t="s">
        <v>19</v>
      </c>
      <c r="J596" t="s">
        <v>11</v>
      </c>
      <c r="K596">
        <f>_xlfn.XLOOKUP(tbl_analysis_tickets[[#This Row],[priority]],tbl_sla[priority],tbl_sla[Resolution SLA Hours])</f>
        <v>72</v>
      </c>
      <c r="L596">
        <f>_xlfn.XLOOKUP(tbl_analysis_tickets[[#This Row],[priority]],tbl_sla[priority],tbl_sla[First Response SLA Minutes])</f>
        <v>240</v>
      </c>
      <c r="M596" t="str">
        <f>IF(tbl_analysis_tickets[[#This Row],[resolution_time_hours]]&gt;tbl_analysis_tickets[[#This Row],[Resolution SLA Hours]],"Breached","Within SLA")</f>
        <v>Within SLA</v>
      </c>
      <c r="N596" t="str">
        <f>IF(tbl_analysis_tickets[[#This Row],[first_response_minutes]]&gt;tbl_analysis_tickets[[#This Row],[First Response SLA Minutes]],"Breached","Within SLA")</f>
        <v>Within SLA</v>
      </c>
      <c r="O596" t="str" cm="1">
        <f t="array" ref="O596">_xlfn.IFS(
tbl_analysis_tickets[[#This Row],[agent_experience_years]]&lt;=2,"Junior",
tbl_analysis_tickets[[#This Row],[agent_experience_years]]&lt;=5,"Mid-Level",
tbl_analysis_tickets[[#This Row],[agent_experience_years]]&lt;=8,"Senior",
tbl_analysis_tickets[[#This Row],[agent_experience_years]]&gt;8,"Expert"
)</f>
        <v>Mid-Level</v>
      </c>
      <c r="P596" cm="1">
        <f t="array" ref="P596">_xlfn.SWITCH(tbl_analysis_tickets[[#This Row],[customer_satisfaction]],
"Low",1,
"Medium",2,
"High",3
)</f>
        <v>1</v>
      </c>
      <c r="Q596">
        <f>IF(tbl_analysis_tickets[[#This Row],[reopened]]="Yes",1,0)</f>
        <v>0</v>
      </c>
      <c r="R596" t="str" cm="1">
        <f t="array" ref="R596">_xlfn.IFS(
tbl_analysis_tickets[[#This Row],[first_response_minutes]]&lt;=30,"Very Fast",
tbl_analysis_tickets[[#This Row],[first_response_minutes]]&lt;=120,"Acceptable",
tbl_analysis_tickets[[#This Row],[first_response_minutes]]&lt;=240,"Slow",
tbl_analysis_tickets[[#This Row],[first_response_minutes]]&gt;240,"Very Slow"
)</f>
        <v>Slow</v>
      </c>
      <c r="S596" t="str" cm="1">
        <f t="array" ref="S59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596" t="str">
        <f>TEXT(tbl_analysis_tickets[[#This Row],[created_date]],"mmm-yyyy")</f>
        <v>Jul-2024</v>
      </c>
      <c r="U596" t="str">
        <f>TEXT(tbl_analysis_tickets[[#This Row],[created_date]],"dddd")</f>
        <v>Thursday</v>
      </c>
      <c r="V596" cm="1">
        <f t="array" ref="V596">_xlfn.SWITCH(tbl_analysis_tickets[[#This Row],[priority]],
"Urgent",1,
"High",2,
"Medium",3,
"Low",4
)</f>
        <v>4</v>
      </c>
    </row>
    <row r="597" spans="1:22" x14ac:dyDescent="0.25">
      <c r="A597">
        <v>596</v>
      </c>
      <c r="B597" s="1">
        <v>45404</v>
      </c>
      <c r="C597" t="s">
        <v>10</v>
      </c>
      <c r="D597" t="s">
        <v>11</v>
      </c>
      <c r="E597">
        <v>214</v>
      </c>
      <c r="F597">
        <v>28</v>
      </c>
      <c r="G597">
        <v>1.2</v>
      </c>
      <c r="H597" t="s">
        <v>12</v>
      </c>
      <c r="I597" t="s">
        <v>19</v>
      </c>
      <c r="J597" t="s">
        <v>11</v>
      </c>
      <c r="K597">
        <f>_xlfn.XLOOKUP(tbl_analysis_tickets[[#This Row],[priority]],tbl_sla[priority],tbl_sla[Resolution SLA Hours])</f>
        <v>72</v>
      </c>
      <c r="L597">
        <f>_xlfn.XLOOKUP(tbl_analysis_tickets[[#This Row],[priority]],tbl_sla[priority],tbl_sla[First Response SLA Minutes])</f>
        <v>240</v>
      </c>
      <c r="M597" t="str">
        <f>IF(tbl_analysis_tickets[[#This Row],[resolution_time_hours]]&gt;tbl_analysis_tickets[[#This Row],[Resolution SLA Hours]],"Breached","Within SLA")</f>
        <v>Within SLA</v>
      </c>
      <c r="N597" t="str">
        <f>IF(tbl_analysis_tickets[[#This Row],[first_response_minutes]]&gt;tbl_analysis_tickets[[#This Row],[First Response SLA Minutes]],"Breached","Within SLA")</f>
        <v>Within SLA</v>
      </c>
      <c r="O597" t="str" cm="1">
        <f t="array" ref="O597">_xlfn.IFS(
tbl_analysis_tickets[[#This Row],[agent_experience_years]]&lt;=2,"Junior",
tbl_analysis_tickets[[#This Row],[agent_experience_years]]&lt;=5,"Mid-Level",
tbl_analysis_tickets[[#This Row],[agent_experience_years]]&lt;=8,"Senior",
tbl_analysis_tickets[[#This Row],[agent_experience_years]]&gt;8,"Expert"
)</f>
        <v>Junior</v>
      </c>
      <c r="P597" cm="1">
        <f t="array" ref="P597">_xlfn.SWITCH(tbl_analysis_tickets[[#This Row],[customer_satisfaction]],
"Low",1,
"Medium",2,
"High",3
)</f>
        <v>1</v>
      </c>
      <c r="Q597">
        <f>IF(tbl_analysis_tickets[[#This Row],[reopened]]="Yes",1,0)</f>
        <v>1</v>
      </c>
      <c r="R597" t="str" cm="1">
        <f t="array" ref="R597">_xlfn.IFS(
tbl_analysis_tickets[[#This Row],[first_response_minutes]]&lt;=30,"Very Fast",
tbl_analysis_tickets[[#This Row],[first_response_minutes]]&lt;=120,"Acceptable",
tbl_analysis_tickets[[#This Row],[first_response_minutes]]&lt;=240,"Slow",
tbl_analysis_tickets[[#This Row],[first_response_minutes]]&gt;240,"Very Slow"
)</f>
        <v>Slow</v>
      </c>
      <c r="S597" t="str" cm="1">
        <f t="array" ref="S59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597" t="str">
        <f>TEXT(tbl_analysis_tickets[[#This Row],[created_date]],"mmm-yyyy")</f>
        <v>Apr-2024</v>
      </c>
      <c r="U597" t="str">
        <f>TEXT(tbl_analysis_tickets[[#This Row],[created_date]],"dddd")</f>
        <v>Monday</v>
      </c>
      <c r="V597" cm="1">
        <f t="array" ref="V597">_xlfn.SWITCH(tbl_analysis_tickets[[#This Row],[priority]],
"Urgent",1,
"High",2,
"Medium",3,
"Low",4
)</f>
        <v>4</v>
      </c>
    </row>
    <row r="598" spans="1:22" x14ac:dyDescent="0.25">
      <c r="A598">
        <v>597</v>
      </c>
      <c r="B598" s="1">
        <v>45631</v>
      </c>
      <c r="C598" t="s">
        <v>21</v>
      </c>
      <c r="D598" t="s">
        <v>11</v>
      </c>
      <c r="E598">
        <v>161</v>
      </c>
      <c r="F598">
        <v>49</v>
      </c>
      <c r="G598">
        <v>6.5</v>
      </c>
      <c r="H598" t="s">
        <v>12</v>
      </c>
      <c r="I598" t="s">
        <v>13</v>
      </c>
      <c r="J598" t="s">
        <v>11</v>
      </c>
      <c r="K598">
        <f>_xlfn.XLOOKUP(tbl_analysis_tickets[[#This Row],[priority]],tbl_sla[priority],tbl_sla[Resolution SLA Hours])</f>
        <v>72</v>
      </c>
      <c r="L598">
        <f>_xlfn.XLOOKUP(tbl_analysis_tickets[[#This Row],[priority]],tbl_sla[priority],tbl_sla[First Response SLA Minutes])</f>
        <v>240</v>
      </c>
      <c r="M598" t="str">
        <f>IF(tbl_analysis_tickets[[#This Row],[resolution_time_hours]]&gt;tbl_analysis_tickets[[#This Row],[Resolution SLA Hours]],"Breached","Within SLA")</f>
        <v>Within SLA</v>
      </c>
      <c r="N598" t="str">
        <f>IF(tbl_analysis_tickets[[#This Row],[first_response_minutes]]&gt;tbl_analysis_tickets[[#This Row],[First Response SLA Minutes]],"Breached","Within SLA")</f>
        <v>Within SLA</v>
      </c>
      <c r="O598" t="str" cm="1">
        <f t="array" ref="O598">_xlfn.IFS(
tbl_analysis_tickets[[#This Row],[agent_experience_years]]&lt;=2,"Junior",
tbl_analysis_tickets[[#This Row],[agent_experience_years]]&lt;=5,"Mid-Level",
tbl_analysis_tickets[[#This Row],[agent_experience_years]]&lt;=8,"Senior",
tbl_analysis_tickets[[#This Row],[agent_experience_years]]&gt;8,"Expert"
)</f>
        <v>Senior</v>
      </c>
      <c r="P598" cm="1">
        <f t="array" ref="P598">_xlfn.SWITCH(tbl_analysis_tickets[[#This Row],[customer_satisfaction]],
"Low",1,
"Medium",2,
"High",3
)</f>
        <v>1</v>
      </c>
      <c r="Q598">
        <f>IF(tbl_analysis_tickets[[#This Row],[reopened]]="Yes",1,0)</f>
        <v>1</v>
      </c>
      <c r="R598" t="str" cm="1">
        <f t="array" ref="R598">_xlfn.IFS(
tbl_analysis_tickets[[#This Row],[first_response_minutes]]&lt;=30,"Very Fast",
tbl_analysis_tickets[[#This Row],[first_response_minutes]]&lt;=120,"Acceptable",
tbl_analysis_tickets[[#This Row],[first_response_minutes]]&lt;=240,"Slow",
tbl_analysis_tickets[[#This Row],[first_response_minutes]]&gt;240,"Very Slow"
)</f>
        <v>Slow</v>
      </c>
      <c r="S598" t="str" cm="1">
        <f t="array" ref="S59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598" t="str">
        <f>TEXT(tbl_analysis_tickets[[#This Row],[created_date]],"mmm-yyyy")</f>
        <v>Dec-2024</v>
      </c>
      <c r="U598" t="str">
        <f>TEXT(tbl_analysis_tickets[[#This Row],[created_date]],"dddd")</f>
        <v>Thursday</v>
      </c>
      <c r="V598" cm="1">
        <f t="array" ref="V598">_xlfn.SWITCH(tbl_analysis_tickets[[#This Row],[priority]],
"Urgent",1,
"High",2,
"Medium",3,
"Low",4
)</f>
        <v>4</v>
      </c>
    </row>
    <row r="599" spans="1:22" x14ac:dyDescent="0.25">
      <c r="A599">
        <v>598</v>
      </c>
      <c r="B599" s="1">
        <v>45530</v>
      </c>
      <c r="C599" t="s">
        <v>10</v>
      </c>
      <c r="D599" t="s">
        <v>17</v>
      </c>
      <c r="E599">
        <v>206</v>
      </c>
      <c r="F599">
        <v>20</v>
      </c>
      <c r="G599">
        <v>3.1</v>
      </c>
      <c r="H599" t="s">
        <v>18</v>
      </c>
      <c r="I599" t="s">
        <v>19</v>
      </c>
      <c r="J599" t="s">
        <v>11</v>
      </c>
      <c r="K599">
        <f>_xlfn.XLOOKUP(tbl_analysis_tickets[[#This Row],[priority]],tbl_sla[priority],tbl_sla[Resolution SLA Hours])</f>
        <v>8</v>
      </c>
      <c r="L599">
        <f>_xlfn.XLOOKUP(tbl_analysis_tickets[[#This Row],[priority]],tbl_sla[priority],tbl_sla[First Response SLA Minutes])</f>
        <v>30</v>
      </c>
      <c r="M599" t="str">
        <f>IF(tbl_analysis_tickets[[#This Row],[resolution_time_hours]]&gt;tbl_analysis_tickets[[#This Row],[Resolution SLA Hours]],"Breached","Within SLA")</f>
        <v>Breached</v>
      </c>
      <c r="N599" t="str">
        <f>IF(tbl_analysis_tickets[[#This Row],[first_response_minutes]]&gt;tbl_analysis_tickets[[#This Row],[First Response SLA Minutes]],"Breached","Within SLA")</f>
        <v>Breached</v>
      </c>
      <c r="O599" t="str" cm="1">
        <f t="array" ref="O599">_xlfn.IFS(
tbl_analysis_tickets[[#This Row],[agent_experience_years]]&lt;=2,"Junior",
tbl_analysis_tickets[[#This Row],[agent_experience_years]]&lt;=5,"Mid-Level",
tbl_analysis_tickets[[#This Row],[agent_experience_years]]&lt;=8,"Senior",
tbl_analysis_tickets[[#This Row],[agent_experience_years]]&gt;8,"Expert"
)</f>
        <v>Mid-Level</v>
      </c>
      <c r="P599" cm="1">
        <f t="array" ref="P599">_xlfn.SWITCH(tbl_analysis_tickets[[#This Row],[customer_satisfaction]],
"Low",1,
"Medium",2,
"High",3
)</f>
        <v>1</v>
      </c>
      <c r="Q599">
        <f>IF(tbl_analysis_tickets[[#This Row],[reopened]]="Yes",1,0)</f>
        <v>0</v>
      </c>
      <c r="R599" t="str" cm="1">
        <f t="array" ref="R599">_xlfn.IFS(
tbl_analysis_tickets[[#This Row],[first_response_minutes]]&lt;=30,"Very Fast",
tbl_analysis_tickets[[#This Row],[first_response_minutes]]&lt;=120,"Acceptable",
tbl_analysis_tickets[[#This Row],[first_response_minutes]]&lt;=240,"Slow",
tbl_analysis_tickets[[#This Row],[first_response_minutes]]&gt;240,"Very Slow"
)</f>
        <v>Slow</v>
      </c>
      <c r="S599" t="str" cm="1">
        <f t="array" ref="S59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599" t="str">
        <f>TEXT(tbl_analysis_tickets[[#This Row],[created_date]],"mmm-yyyy")</f>
        <v>Aug-2024</v>
      </c>
      <c r="U599" t="str">
        <f>TEXT(tbl_analysis_tickets[[#This Row],[created_date]],"dddd")</f>
        <v>Monday</v>
      </c>
      <c r="V599" cm="1">
        <f t="array" ref="V599">_xlfn.SWITCH(tbl_analysis_tickets[[#This Row],[priority]],
"Urgent",1,
"High",2,
"Medium",3,
"Low",4
)</f>
        <v>1</v>
      </c>
    </row>
    <row r="600" spans="1:22" x14ac:dyDescent="0.25">
      <c r="A600">
        <v>599</v>
      </c>
      <c r="B600" s="1">
        <v>45354</v>
      </c>
      <c r="C600" t="s">
        <v>23</v>
      </c>
      <c r="D600" t="s">
        <v>17</v>
      </c>
      <c r="E600">
        <v>188</v>
      </c>
      <c r="F600">
        <v>26</v>
      </c>
      <c r="G600">
        <v>6.5</v>
      </c>
      <c r="H600" t="s">
        <v>12</v>
      </c>
      <c r="I600" t="s">
        <v>13</v>
      </c>
      <c r="J600" t="s">
        <v>11</v>
      </c>
      <c r="K600">
        <f>_xlfn.XLOOKUP(tbl_analysis_tickets[[#This Row],[priority]],tbl_sla[priority],tbl_sla[Resolution SLA Hours])</f>
        <v>8</v>
      </c>
      <c r="L600">
        <f>_xlfn.XLOOKUP(tbl_analysis_tickets[[#This Row],[priority]],tbl_sla[priority],tbl_sla[First Response SLA Minutes])</f>
        <v>30</v>
      </c>
      <c r="M600" t="str">
        <f>IF(tbl_analysis_tickets[[#This Row],[resolution_time_hours]]&gt;tbl_analysis_tickets[[#This Row],[Resolution SLA Hours]],"Breached","Within SLA")</f>
        <v>Breached</v>
      </c>
      <c r="N600" t="str">
        <f>IF(tbl_analysis_tickets[[#This Row],[first_response_minutes]]&gt;tbl_analysis_tickets[[#This Row],[First Response SLA Minutes]],"Breached","Within SLA")</f>
        <v>Breached</v>
      </c>
      <c r="O600" t="str" cm="1">
        <f t="array" ref="O600">_xlfn.IFS(
tbl_analysis_tickets[[#This Row],[agent_experience_years]]&lt;=2,"Junior",
tbl_analysis_tickets[[#This Row],[agent_experience_years]]&lt;=5,"Mid-Level",
tbl_analysis_tickets[[#This Row],[agent_experience_years]]&lt;=8,"Senior",
tbl_analysis_tickets[[#This Row],[agent_experience_years]]&gt;8,"Expert"
)</f>
        <v>Senior</v>
      </c>
      <c r="P600" cm="1">
        <f t="array" ref="P600">_xlfn.SWITCH(tbl_analysis_tickets[[#This Row],[customer_satisfaction]],
"Low",1,
"Medium",2,
"High",3
)</f>
        <v>1</v>
      </c>
      <c r="Q600">
        <f>IF(tbl_analysis_tickets[[#This Row],[reopened]]="Yes",1,0)</f>
        <v>1</v>
      </c>
      <c r="R600" t="str" cm="1">
        <f t="array" ref="R600">_xlfn.IFS(
tbl_analysis_tickets[[#This Row],[first_response_minutes]]&lt;=30,"Very Fast",
tbl_analysis_tickets[[#This Row],[first_response_minutes]]&lt;=120,"Acceptable",
tbl_analysis_tickets[[#This Row],[first_response_minutes]]&lt;=240,"Slow",
tbl_analysis_tickets[[#This Row],[first_response_minutes]]&gt;240,"Very Slow"
)</f>
        <v>Slow</v>
      </c>
      <c r="S600" t="str" cm="1">
        <f t="array" ref="S60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600" t="str">
        <f>TEXT(tbl_analysis_tickets[[#This Row],[created_date]],"mmm-yyyy")</f>
        <v>Mar-2024</v>
      </c>
      <c r="U600" t="str">
        <f>TEXT(tbl_analysis_tickets[[#This Row],[created_date]],"dddd")</f>
        <v>Sunday</v>
      </c>
      <c r="V600" cm="1">
        <f t="array" ref="V600">_xlfn.SWITCH(tbl_analysis_tickets[[#This Row],[priority]],
"Urgent",1,
"High",2,
"Medium",3,
"Low",4
)</f>
        <v>1</v>
      </c>
    </row>
    <row r="601" spans="1:22" x14ac:dyDescent="0.25">
      <c r="A601">
        <v>600</v>
      </c>
      <c r="B601" s="1">
        <v>45338</v>
      </c>
      <c r="C601" t="s">
        <v>10</v>
      </c>
      <c r="D601" t="s">
        <v>20</v>
      </c>
      <c r="E601">
        <v>35</v>
      </c>
      <c r="F601">
        <v>5</v>
      </c>
      <c r="G601">
        <v>2.2000000000000002</v>
      </c>
      <c r="H601" t="s">
        <v>12</v>
      </c>
      <c r="I601" t="s">
        <v>13</v>
      </c>
      <c r="J601" t="s">
        <v>11</v>
      </c>
      <c r="K601">
        <f>_xlfn.XLOOKUP(tbl_analysis_tickets[[#This Row],[priority]],tbl_sla[priority],tbl_sla[Resolution SLA Hours])</f>
        <v>24</v>
      </c>
      <c r="L601">
        <f>_xlfn.XLOOKUP(tbl_analysis_tickets[[#This Row],[priority]],tbl_sla[priority],tbl_sla[First Response SLA Minutes])</f>
        <v>60</v>
      </c>
      <c r="M601" t="str">
        <f>IF(tbl_analysis_tickets[[#This Row],[resolution_time_hours]]&gt;tbl_analysis_tickets[[#This Row],[Resolution SLA Hours]],"Breached","Within SLA")</f>
        <v>Within SLA</v>
      </c>
      <c r="N601" t="str">
        <f>IF(tbl_analysis_tickets[[#This Row],[first_response_minutes]]&gt;tbl_analysis_tickets[[#This Row],[First Response SLA Minutes]],"Breached","Within SLA")</f>
        <v>Within SLA</v>
      </c>
      <c r="O601" t="str" cm="1">
        <f t="array" ref="O601">_xlfn.IFS(
tbl_analysis_tickets[[#This Row],[agent_experience_years]]&lt;=2,"Junior",
tbl_analysis_tickets[[#This Row],[agent_experience_years]]&lt;=5,"Mid-Level",
tbl_analysis_tickets[[#This Row],[agent_experience_years]]&lt;=8,"Senior",
tbl_analysis_tickets[[#This Row],[agent_experience_years]]&gt;8,"Expert"
)</f>
        <v>Mid-Level</v>
      </c>
      <c r="P601" cm="1">
        <f t="array" ref="P601">_xlfn.SWITCH(tbl_analysis_tickets[[#This Row],[customer_satisfaction]],
"Low",1,
"Medium",2,
"High",3
)</f>
        <v>1</v>
      </c>
      <c r="Q601">
        <f>IF(tbl_analysis_tickets[[#This Row],[reopened]]="Yes",1,0)</f>
        <v>1</v>
      </c>
      <c r="R601" t="str" cm="1">
        <f t="array" ref="R601">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601" t="str" cm="1">
        <f t="array" ref="S60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601" t="str">
        <f>TEXT(tbl_analysis_tickets[[#This Row],[created_date]],"mmm-yyyy")</f>
        <v>Feb-2024</v>
      </c>
      <c r="U601" t="str">
        <f>TEXT(tbl_analysis_tickets[[#This Row],[created_date]],"dddd")</f>
        <v>Friday</v>
      </c>
      <c r="V601" cm="1">
        <f t="array" ref="V601">_xlfn.SWITCH(tbl_analysis_tickets[[#This Row],[priority]],
"Urgent",1,
"High",2,
"Medium",3,
"Low",4
)</f>
        <v>2</v>
      </c>
    </row>
    <row r="602" spans="1:22" x14ac:dyDescent="0.25">
      <c r="A602">
        <v>601</v>
      </c>
      <c r="B602" s="1">
        <v>45618</v>
      </c>
      <c r="C602" t="s">
        <v>14</v>
      </c>
      <c r="D602" t="s">
        <v>20</v>
      </c>
      <c r="E602">
        <v>146</v>
      </c>
      <c r="F602">
        <v>17</v>
      </c>
      <c r="G602">
        <v>5.8</v>
      </c>
      <c r="H602" t="s">
        <v>12</v>
      </c>
      <c r="I602" t="s">
        <v>19</v>
      </c>
      <c r="J602" t="s">
        <v>11</v>
      </c>
      <c r="K602">
        <f>_xlfn.XLOOKUP(tbl_analysis_tickets[[#This Row],[priority]],tbl_sla[priority],tbl_sla[Resolution SLA Hours])</f>
        <v>24</v>
      </c>
      <c r="L602">
        <f>_xlfn.XLOOKUP(tbl_analysis_tickets[[#This Row],[priority]],tbl_sla[priority],tbl_sla[First Response SLA Minutes])</f>
        <v>60</v>
      </c>
      <c r="M602" t="str">
        <f>IF(tbl_analysis_tickets[[#This Row],[resolution_time_hours]]&gt;tbl_analysis_tickets[[#This Row],[Resolution SLA Hours]],"Breached","Within SLA")</f>
        <v>Within SLA</v>
      </c>
      <c r="N602" t="str">
        <f>IF(tbl_analysis_tickets[[#This Row],[first_response_minutes]]&gt;tbl_analysis_tickets[[#This Row],[First Response SLA Minutes]],"Breached","Within SLA")</f>
        <v>Breached</v>
      </c>
      <c r="O602" t="str" cm="1">
        <f t="array" ref="O602">_xlfn.IFS(
tbl_analysis_tickets[[#This Row],[agent_experience_years]]&lt;=2,"Junior",
tbl_analysis_tickets[[#This Row],[agent_experience_years]]&lt;=5,"Mid-Level",
tbl_analysis_tickets[[#This Row],[agent_experience_years]]&lt;=8,"Senior",
tbl_analysis_tickets[[#This Row],[agent_experience_years]]&gt;8,"Expert"
)</f>
        <v>Senior</v>
      </c>
      <c r="P602" cm="1">
        <f t="array" ref="P602">_xlfn.SWITCH(tbl_analysis_tickets[[#This Row],[customer_satisfaction]],
"Low",1,
"Medium",2,
"High",3
)</f>
        <v>1</v>
      </c>
      <c r="Q602">
        <f>IF(tbl_analysis_tickets[[#This Row],[reopened]]="Yes",1,0)</f>
        <v>1</v>
      </c>
      <c r="R602" t="str" cm="1">
        <f t="array" ref="R602">_xlfn.IFS(
tbl_analysis_tickets[[#This Row],[first_response_minutes]]&lt;=30,"Very Fast",
tbl_analysis_tickets[[#This Row],[first_response_minutes]]&lt;=120,"Acceptable",
tbl_analysis_tickets[[#This Row],[first_response_minutes]]&lt;=240,"Slow",
tbl_analysis_tickets[[#This Row],[first_response_minutes]]&gt;240,"Very Slow"
)</f>
        <v>Slow</v>
      </c>
      <c r="S602" t="str" cm="1">
        <f t="array" ref="S60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602" t="str">
        <f>TEXT(tbl_analysis_tickets[[#This Row],[created_date]],"mmm-yyyy")</f>
        <v>Nov-2024</v>
      </c>
      <c r="U602" t="str">
        <f>TEXT(tbl_analysis_tickets[[#This Row],[created_date]],"dddd")</f>
        <v>Friday</v>
      </c>
      <c r="V602" cm="1">
        <f t="array" ref="V602">_xlfn.SWITCH(tbl_analysis_tickets[[#This Row],[priority]],
"Urgent",1,
"High",2,
"Medium",3,
"Low",4
)</f>
        <v>2</v>
      </c>
    </row>
    <row r="603" spans="1:22" x14ac:dyDescent="0.25">
      <c r="A603">
        <v>602</v>
      </c>
      <c r="B603" s="1">
        <v>45332</v>
      </c>
      <c r="C603" t="s">
        <v>14</v>
      </c>
      <c r="D603" t="s">
        <v>11</v>
      </c>
      <c r="E603">
        <v>80</v>
      </c>
      <c r="F603">
        <v>6</v>
      </c>
      <c r="G603">
        <v>1.3</v>
      </c>
      <c r="H603" t="s">
        <v>18</v>
      </c>
      <c r="I603" t="s">
        <v>19</v>
      </c>
      <c r="J603" t="s">
        <v>15</v>
      </c>
      <c r="K603">
        <f>_xlfn.XLOOKUP(tbl_analysis_tickets[[#This Row],[priority]],tbl_sla[priority],tbl_sla[Resolution SLA Hours])</f>
        <v>72</v>
      </c>
      <c r="L603">
        <f>_xlfn.XLOOKUP(tbl_analysis_tickets[[#This Row],[priority]],tbl_sla[priority],tbl_sla[First Response SLA Minutes])</f>
        <v>240</v>
      </c>
      <c r="M603" t="str">
        <f>IF(tbl_analysis_tickets[[#This Row],[resolution_time_hours]]&gt;tbl_analysis_tickets[[#This Row],[Resolution SLA Hours]],"Breached","Within SLA")</f>
        <v>Within SLA</v>
      </c>
      <c r="N603" t="str">
        <f>IF(tbl_analysis_tickets[[#This Row],[first_response_minutes]]&gt;tbl_analysis_tickets[[#This Row],[First Response SLA Minutes]],"Breached","Within SLA")</f>
        <v>Within SLA</v>
      </c>
      <c r="O603" t="str" cm="1">
        <f t="array" ref="O603">_xlfn.IFS(
tbl_analysis_tickets[[#This Row],[agent_experience_years]]&lt;=2,"Junior",
tbl_analysis_tickets[[#This Row],[agent_experience_years]]&lt;=5,"Mid-Level",
tbl_analysis_tickets[[#This Row],[agent_experience_years]]&lt;=8,"Senior",
tbl_analysis_tickets[[#This Row],[agent_experience_years]]&gt;8,"Expert"
)</f>
        <v>Junior</v>
      </c>
      <c r="P603" cm="1">
        <f t="array" ref="P603">_xlfn.SWITCH(tbl_analysis_tickets[[#This Row],[customer_satisfaction]],
"Low",1,
"Medium",2,
"High",3
)</f>
        <v>2</v>
      </c>
      <c r="Q603">
        <f>IF(tbl_analysis_tickets[[#This Row],[reopened]]="Yes",1,0)</f>
        <v>0</v>
      </c>
      <c r="R603" t="str" cm="1">
        <f t="array" ref="R603">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603" t="str" cm="1">
        <f t="array" ref="S60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603" t="str">
        <f>TEXT(tbl_analysis_tickets[[#This Row],[created_date]],"mmm-yyyy")</f>
        <v>Feb-2024</v>
      </c>
      <c r="U603" t="str">
        <f>TEXT(tbl_analysis_tickets[[#This Row],[created_date]],"dddd")</f>
        <v>Saturday</v>
      </c>
      <c r="V603" cm="1">
        <f t="array" ref="V603">_xlfn.SWITCH(tbl_analysis_tickets[[#This Row],[priority]],
"Urgent",1,
"High",2,
"Medium",3,
"Low",4
)</f>
        <v>4</v>
      </c>
    </row>
    <row r="604" spans="1:22" x14ac:dyDescent="0.25">
      <c r="A604">
        <v>603</v>
      </c>
      <c r="B604" s="1">
        <v>45572</v>
      </c>
      <c r="C604" t="s">
        <v>23</v>
      </c>
      <c r="D604" t="s">
        <v>17</v>
      </c>
      <c r="E604">
        <v>200</v>
      </c>
      <c r="F604">
        <v>31</v>
      </c>
      <c r="G604">
        <v>4</v>
      </c>
      <c r="H604" t="s">
        <v>12</v>
      </c>
      <c r="I604" t="s">
        <v>19</v>
      </c>
      <c r="J604" t="s">
        <v>11</v>
      </c>
      <c r="K604">
        <f>_xlfn.XLOOKUP(tbl_analysis_tickets[[#This Row],[priority]],tbl_sla[priority],tbl_sla[Resolution SLA Hours])</f>
        <v>8</v>
      </c>
      <c r="L604">
        <f>_xlfn.XLOOKUP(tbl_analysis_tickets[[#This Row],[priority]],tbl_sla[priority],tbl_sla[First Response SLA Minutes])</f>
        <v>30</v>
      </c>
      <c r="M604" t="str">
        <f>IF(tbl_analysis_tickets[[#This Row],[resolution_time_hours]]&gt;tbl_analysis_tickets[[#This Row],[Resolution SLA Hours]],"Breached","Within SLA")</f>
        <v>Breached</v>
      </c>
      <c r="N604" t="str">
        <f>IF(tbl_analysis_tickets[[#This Row],[first_response_minutes]]&gt;tbl_analysis_tickets[[#This Row],[First Response SLA Minutes]],"Breached","Within SLA")</f>
        <v>Breached</v>
      </c>
      <c r="O604" t="str" cm="1">
        <f t="array" ref="O604">_xlfn.IFS(
tbl_analysis_tickets[[#This Row],[agent_experience_years]]&lt;=2,"Junior",
tbl_analysis_tickets[[#This Row],[agent_experience_years]]&lt;=5,"Mid-Level",
tbl_analysis_tickets[[#This Row],[agent_experience_years]]&lt;=8,"Senior",
tbl_analysis_tickets[[#This Row],[agent_experience_years]]&gt;8,"Expert"
)</f>
        <v>Mid-Level</v>
      </c>
      <c r="P604" cm="1">
        <f t="array" ref="P604">_xlfn.SWITCH(tbl_analysis_tickets[[#This Row],[customer_satisfaction]],
"Low",1,
"Medium",2,
"High",3
)</f>
        <v>1</v>
      </c>
      <c r="Q604">
        <f>IF(tbl_analysis_tickets[[#This Row],[reopened]]="Yes",1,0)</f>
        <v>1</v>
      </c>
      <c r="R604" t="str" cm="1">
        <f t="array" ref="R604">_xlfn.IFS(
tbl_analysis_tickets[[#This Row],[first_response_minutes]]&lt;=30,"Very Fast",
tbl_analysis_tickets[[#This Row],[first_response_minutes]]&lt;=120,"Acceptable",
tbl_analysis_tickets[[#This Row],[first_response_minutes]]&lt;=240,"Slow",
tbl_analysis_tickets[[#This Row],[first_response_minutes]]&gt;240,"Very Slow"
)</f>
        <v>Slow</v>
      </c>
      <c r="S604" t="str" cm="1">
        <f t="array" ref="S60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604" t="str">
        <f>TEXT(tbl_analysis_tickets[[#This Row],[created_date]],"mmm-yyyy")</f>
        <v>Oct-2024</v>
      </c>
      <c r="U604" t="str">
        <f>TEXT(tbl_analysis_tickets[[#This Row],[created_date]],"dddd")</f>
        <v>Monday</v>
      </c>
      <c r="V604" cm="1">
        <f t="array" ref="V604">_xlfn.SWITCH(tbl_analysis_tickets[[#This Row],[priority]],
"Urgent",1,
"High",2,
"Medium",3,
"Low",4
)</f>
        <v>1</v>
      </c>
    </row>
    <row r="605" spans="1:22" x14ac:dyDescent="0.25">
      <c r="A605">
        <v>604</v>
      </c>
      <c r="B605" s="1">
        <v>45391</v>
      </c>
      <c r="C605" t="s">
        <v>14</v>
      </c>
      <c r="D605" t="s">
        <v>15</v>
      </c>
      <c r="E605">
        <v>196</v>
      </c>
      <c r="F605">
        <v>19</v>
      </c>
      <c r="G605">
        <v>9.4</v>
      </c>
      <c r="H605" t="s">
        <v>18</v>
      </c>
      <c r="I605" t="s">
        <v>19</v>
      </c>
      <c r="J605" t="s">
        <v>15</v>
      </c>
      <c r="K605">
        <f>_xlfn.XLOOKUP(tbl_analysis_tickets[[#This Row],[priority]],tbl_sla[priority],tbl_sla[Resolution SLA Hours])</f>
        <v>48</v>
      </c>
      <c r="L605">
        <f>_xlfn.XLOOKUP(tbl_analysis_tickets[[#This Row],[priority]],tbl_sla[priority],tbl_sla[First Response SLA Minutes])</f>
        <v>120</v>
      </c>
      <c r="M605" t="str">
        <f>IF(tbl_analysis_tickets[[#This Row],[resolution_time_hours]]&gt;tbl_analysis_tickets[[#This Row],[Resolution SLA Hours]],"Breached","Within SLA")</f>
        <v>Within SLA</v>
      </c>
      <c r="N605" t="str">
        <f>IF(tbl_analysis_tickets[[#This Row],[first_response_minutes]]&gt;tbl_analysis_tickets[[#This Row],[First Response SLA Minutes]],"Breached","Within SLA")</f>
        <v>Breached</v>
      </c>
      <c r="O605" t="str" cm="1">
        <f t="array" ref="O605">_xlfn.IFS(
tbl_analysis_tickets[[#This Row],[agent_experience_years]]&lt;=2,"Junior",
tbl_analysis_tickets[[#This Row],[agent_experience_years]]&lt;=5,"Mid-Level",
tbl_analysis_tickets[[#This Row],[agent_experience_years]]&lt;=8,"Senior",
tbl_analysis_tickets[[#This Row],[agent_experience_years]]&gt;8,"Expert"
)</f>
        <v>Expert</v>
      </c>
      <c r="P605" cm="1">
        <f t="array" ref="P605">_xlfn.SWITCH(tbl_analysis_tickets[[#This Row],[customer_satisfaction]],
"Low",1,
"Medium",2,
"High",3
)</f>
        <v>2</v>
      </c>
      <c r="Q605">
        <f>IF(tbl_analysis_tickets[[#This Row],[reopened]]="Yes",1,0)</f>
        <v>0</v>
      </c>
      <c r="R605" t="str" cm="1">
        <f t="array" ref="R605">_xlfn.IFS(
tbl_analysis_tickets[[#This Row],[first_response_minutes]]&lt;=30,"Very Fast",
tbl_analysis_tickets[[#This Row],[first_response_minutes]]&lt;=120,"Acceptable",
tbl_analysis_tickets[[#This Row],[first_response_minutes]]&lt;=240,"Slow",
tbl_analysis_tickets[[#This Row],[first_response_minutes]]&gt;240,"Very Slow"
)</f>
        <v>Slow</v>
      </c>
      <c r="S605" t="str" cm="1">
        <f t="array" ref="S60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605" t="str">
        <f>TEXT(tbl_analysis_tickets[[#This Row],[created_date]],"mmm-yyyy")</f>
        <v>Apr-2024</v>
      </c>
      <c r="U605" t="str">
        <f>TEXT(tbl_analysis_tickets[[#This Row],[created_date]],"dddd")</f>
        <v>Tuesday</v>
      </c>
      <c r="V605" cm="1">
        <f t="array" ref="V605">_xlfn.SWITCH(tbl_analysis_tickets[[#This Row],[priority]],
"Urgent",1,
"High",2,
"Medium",3,
"Low",4
)</f>
        <v>3</v>
      </c>
    </row>
    <row r="606" spans="1:22" x14ac:dyDescent="0.25">
      <c r="A606">
        <v>605</v>
      </c>
      <c r="B606" s="1">
        <v>45653</v>
      </c>
      <c r="C606" t="s">
        <v>22</v>
      </c>
      <c r="D606" t="s">
        <v>15</v>
      </c>
      <c r="E606">
        <v>228</v>
      </c>
      <c r="F606">
        <v>25</v>
      </c>
      <c r="G606">
        <v>9.9</v>
      </c>
      <c r="H606" t="s">
        <v>18</v>
      </c>
      <c r="I606" t="s">
        <v>19</v>
      </c>
      <c r="J606" t="s">
        <v>15</v>
      </c>
      <c r="K606">
        <f>_xlfn.XLOOKUP(tbl_analysis_tickets[[#This Row],[priority]],tbl_sla[priority],tbl_sla[Resolution SLA Hours])</f>
        <v>48</v>
      </c>
      <c r="L606">
        <f>_xlfn.XLOOKUP(tbl_analysis_tickets[[#This Row],[priority]],tbl_sla[priority],tbl_sla[First Response SLA Minutes])</f>
        <v>120</v>
      </c>
      <c r="M606" t="str">
        <f>IF(tbl_analysis_tickets[[#This Row],[resolution_time_hours]]&gt;tbl_analysis_tickets[[#This Row],[Resolution SLA Hours]],"Breached","Within SLA")</f>
        <v>Within SLA</v>
      </c>
      <c r="N606" t="str">
        <f>IF(tbl_analysis_tickets[[#This Row],[first_response_minutes]]&gt;tbl_analysis_tickets[[#This Row],[First Response SLA Minutes]],"Breached","Within SLA")</f>
        <v>Breached</v>
      </c>
      <c r="O606" t="str" cm="1">
        <f t="array" ref="O606">_xlfn.IFS(
tbl_analysis_tickets[[#This Row],[agent_experience_years]]&lt;=2,"Junior",
tbl_analysis_tickets[[#This Row],[agent_experience_years]]&lt;=5,"Mid-Level",
tbl_analysis_tickets[[#This Row],[agent_experience_years]]&lt;=8,"Senior",
tbl_analysis_tickets[[#This Row],[agent_experience_years]]&gt;8,"Expert"
)</f>
        <v>Expert</v>
      </c>
      <c r="P606" cm="1">
        <f t="array" ref="P606">_xlfn.SWITCH(tbl_analysis_tickets[[#This Row],[customer_satisfaction]],
"Low",1,
"Medium",2,
"High",3
)</f>
        <v>2</v>
      </c>
      <c r="Q606">
        <f>IF(tbl_analysis_tickets[[#This Row],[reopened]]="Yes",1,0)</f>
        <v>0</v>
      </c>
      <c r="R606" t="str" cm="1">
        <f t="array" ref="R606">_xlfn.IFS(
tbl_analysis_tickets[[#This Row],[first_response_minutes]]&lt;=30,"Very Fast",
tbl_analysis_tickets[[#This Row],[first_response_minutes]]&lt;=120,"Acceptable",
tbl_analysis_tickets[[#This Row],[first_response_minutes]]&lt;=240,"Slow",
tbl_analysis_tickets[[#This Row],[first_response_minutes]]&gt;240,"Very Slow"
)</f>
        <v>Slow</v>
      </c>
      <c r="S606" t="str" cm="1">
        <f t="array" ref="S60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606" t="str">
        <f>TEXT(tbl_analysis_tickets[[#This Row],[created_date]],"mmm-yyyy")</f>
        <v>Dec-2024</v>
      </c>
      <c r="U606" t="str">
        <f>TEXT(tbl_analysis_tickets[[#This Row],[created_date]],"dddd")</f>
        <v>Friday</v>
      </c>
      <c r="V606" cm="1">
        <f t="array" ref="V606">_xlfn.SWITCH(tbl_analysis_tickets[[#This Row],[priority]],
"Urgent",1,
"High",2,
"Medium",3,
"Low",4
)</f>
        <v>3</v>
      </c>
    </row>
    <row r="607" spans="1:22" x14ac:dyDescent="0.25">
      <c r="A607">
        <v>606</v>
      </c>
      <c r="B607" s="1">
        <v>45489</v>
      </c>
      <c r="C607" t="s">
        <v>23</v>
      </c>
      <c r="D607" t="s">
        <v>17</v>
      </c>
      <c r="E607">
        <v>89</v>
      </c>
      <c r="F607">
        <v>7</v>
      </c>
      <c r="G607">
        <v>5</v>
      </c>
      <c r="H607" t="s">
        <v>12</v>
      </c>
      <c r="I607" t="s">
        <v>16</v>
      </c>
      <c r="J607" t="s">
        <v>11</v>
      </c>
      <c r="K607">
        <f>_xlfn.XLOOKUP(tbl_analysis_tickets[[#This Row],[priority]],tbl_sla[priority],tbl_sla[Resolution SLA Hours])</f>
        <v>8</v>
      </c>
      <c r="L607">
        <f>_xlfn.XLOOKUP(tbl_analysis_tickets[[#This Row],[priority]],tbl_sla[priority],tbl_sla[First Response SLA Minutes])</f>
        <v>30</v>
      </c>
      <c r="M607" t="str">
        <f>IF(tbl_analysis_tickets[[#This Row],[resolution_time_hours]]&gt;tbl_analysis_tickets[[#This Row],[Resolution SLA Hours]],"Breached","Within SLA")</f>
        <v>Within SLA</v>
      </c>
      <c r="N607" t="str">
        <f>IF(tbl_analysis_tickets[[#This Row],[first_response_minutes]]&gt;tbl_analysis_tickets[[#This Row],[First Response SLA Minutes]],"Breached","Within SLA")</f>
        <v>Breached</v>
      </c>
      <c r="O607" t="str" cm="1">
        <f t="array" ref="O607">_xlfn.IFS(
tbl_analysis_tickets[[#This Row],[agent_experience_years]]&lt;=2,"Junior",
tbl_analysis_tickets[[#This Row],[agent_experience_years]]&lt;=5,"Mid-Level",
tbl_analysis_tickets[[#This Row],[agent_experience_years]]&lt;=8,"Senior",
tbl_analysis_tickets[[#This Row],[agent_experience_years]]&gt;8,"Expert"
)</f>
        <v>Mid-Level</v>
      </c>
      <c r="P607" cm="1">
        <f t="array" ref="P607">_xlfn.SWITCH(tbl_analysis_tickets[[#This Row],[customer_satisfaction]],
"Low",1,
"Medium",2,
"High",3
)</f>
        <v>1</v>
      </c>
      <c r="Q607">
        <f>IF(tbl_analysis_tickets[[#This Row],[reopened]]="Yes",1,0)</f>
        <v>1</v>
      </c>
      <c r="R607" t="str" cm="1">
        <f t="array" ref="R607">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607" t="str" cm="1">
        <f t="array" ref="S60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607" t="str">
        <f>TEXT(tbl_analysis_tickets[[#This Row],[created_date]],"mmm-yyyy")</f>
        <v>Jul-2024</v>
      </c>
      <c r="U607" t="str">
        <f>TEXT(tbl_analysis_tickets[[#This Row],[created_date]],"dddd")</f>
        <v>Tuesday</v>
      </c>
      <c r="V607" cm="1">
        <f t="array" ref="V607">_xlfn.SWITCH(tbl_analysis_tickets[[#This Row],[priority]],
"Urgent",1,
"High",2,
"Medium",3,
"Low",4
)</f>
        <v>1</v>
      </c>
    </row>
    <row r="608" spans="1:22" x14ac:dyDescent="0.25">
      <c r="A608">
        <v>607</v>
      </c>
      <c r="B608" s="1">
        <v>45453</v>
      </c>
      <c r="C608" t="s">
        <v>14</v>
      </c>
      <c r="D608" t="s">
        <v>15</v>
      </c>
      <c r="E608">
        <v>38</v>
      </c>
      <c r="F608">
        <v>72</v>
      </c>
      <c r="G608">
        <v>9.1999999999999993</v>
      </c>
      <c r="H608" t="s">
        <v>18</v>
      </c>
      <c r="I608" t="s">
        <v>19</v>
      </c>
      <c r="J608" t="s">
        <v>15</v>
      </c>
      <c r="K608">
        <f>_xlfn.XLOOKUP(tbl_analysis_tickets[[#This Row],[priority]],tbl_sla[priority],tbl_sla[Resolution SLA Hours])</f>
        <v>48</v>
      </c>
      <c r="L608">
        <f>_xlfn.XLOOKUP(tbl_analysis_tickets[[#This Row],[priority]],tbl_sla[priority],tbl_sla[First Response SLA Minutes])</f>
        <v>120</v>
      </c>
      <c r="M608" t="str">
        <f>IF(tbl_analysis_tickets[[#This Row],[resolution_time_hours]]&gt;tbl_analysis_tickets[[#This Row],[Resolution SLA Hours]],"Breached","Within SLA")</f>
        <v>Breached</v>
      </c>
      <c r="N608" t="str">
        <f>IF(tbl_analysis_tickets[[#This Row],[first_response_minutes]]&gt;tbl_analysis_tickets[[#This Row],[First Response SLA Minutes]],"Breached","Within SLA")</f>
        <v>Within SLA</v>
      </c>
      <c r="O608" t="str" cm="1">
        <f t="array" ref="O608">_xlfn.IFS(
tbl_analysis_tickets[[#This Row],[agent_experience_years]]&lt;=2,"Junior",
tbl_analysis_tickets[[#This Row],[agent_experience_years]]&lt;=5,"Mid-Level",
tbl_analysis_tickets[[#This Row],[agent_experience_years]]&lt;=8,"Senior",
tbl_analysis_tickets[[#This Row],[agent_experience_years]]&gt;8,"Expert"
)</f>
        <v>Expert</v>
      </c>
      <c r="P608" cm="1">
        <f t="array" ref="P608">_xlfn.SWITCH(tbl_analysis_tickets[[#This Row],[customer_satisfaction]],
"Low",1,
"Medium",2,
"High",3
)</f>
        <v>2</v>
      </c>
      <c r="Q608">
        <f>IF(tbl_analysis_tickets[[#This Row],[reopened]]="Yes",1,0)</f>
        <v>0</v>
      </c>
      <c r="R608" t="str" cm="1">
        <f t="array" ref="R608">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608" t="str" cm="1">
        <f t="array" ref="S60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608" t="str">
        <f>TEXT(tbl_analysis_tickets[[#This Row],[created_date]],"mmm-yyyy")</f>
        <v>Jun-2024</v>
      </c>
      <c r="U608" t="str">
        <f>TEXT(tbl_analysis_tickets[[#This Row],[created_date]],"dddd")</f>
        <v>Monday</v>
      </c>
      <c r="V608" cm="1">
        <f t="array" ref="V608">_xlfn.SWITCH(tbl_analysis_tickets[[#This Row],[priority]],
"Urgent",1,
"High",2,
"Medium",3,
"Low",4
)</f>
        <v>3</v>
      </c>
    </row>
    <row r="609" spans="1:22" x14ac:dyDescent="0.25">
      <c r="A609">
        <v>608</v>
      </c>
      <c r="B609" s="1">
        <v>45335</v>
      </c>
      <c r="C609" t="s">
        <v>23</v>
      </c>
      <c r="D609" t="s">
        <v>11</v>
      </c>
      <c r="E609">
        <v>164</v>
      </c>
      <c r="F609">
        <v>60</v>
      </c>
      <c r="G609">
        <v>5.0999999999999996</v>
      </c>
      <c r="H609" t="s">
        <v>18</v>
      </c>
      <c r="I609" t="s">
        <v>16</v>
      </c>
      <c r="J609" t="s">
        <v>15</v>
      </c>
      <c r="K609">
        <f>_xlfn.XLOOKUP(tbl_analysis_tickets[[#This Row],[priority]],tbl_sla[priority],tbl_sla[Resolution SLA Hours])</f>
        <v>72</v>
      </c>
      <c r="L609">
        <f>_xlfn.XLOOKUP(tbl_analysis_tickets[[#This Row],[priority]],tbl_sla[priority],tbl_sla[First Response SLA Minutes])</f>
        <v>240</v>
      </c>
      <c r="M609" t="str">
        <f>IF(tbl_analysis_tickets[[#This Row],[resolution_time_hours]]&gt;tbl_analysis_tickets[[#This Row],[Resolution SLA Hours]],"Breached","Within SLA")</f>
        <v>Within SLA</v>
      </c>
      <c r="N609" t="str">
        <f>IF(tbl_analysis_tickets[[#This Row],[first_response_minutes]]&gt;tbl_analysis_tickets[[#This Row],[First Response SLA Minutes]],"Breached","Within SLA")</f>
        <v>Within SLA</v>
      </c>
      <c r="O609" t="str" cm="1">
        <f t="array" ref="O609">_xlfn.IFS(
tbl_analysis_tickets[[#This Row],[agent_experience_years]]&lt;=2,"Junior",
tbl_analysis_tickets[[#This Row],[agent_experience_years]]&lt;=5,"Mid-Level",
tbl_analysis_tickets[[#This Row],[agent_experience_years]]&lt;=8,"Senior",
tbl_analysis_tickets[[#This Row],[agent_experience_years]]&gt;8,"Expert"
)</f>
        <v>Senior</v>
      </c>
      <c r="P609" cm="1">
        <f t="array" ref="P609">_xlfn.SWITCH(tbl_analysis_tickets[[#This Row],[customer_satisfaction]],
"Low",1,
"Medium",2,
"High",3
)</f>
        <v>2</v>
      </c>
      <c r="Q609">
        <f>IF(tbl_analysis_tickets[[#This Row],[reopened]]="Yes",1,0)</f>
        <v>0</v>
      </c>
      <c r="R609" t="str" cm="1">
        <f t="array" ref="R609">_xlfn.IFS(
tbl_analysis_tickets[[#This Row],[first_response_minutes]]&lt;=30,"Very Fast",
tbl_analysis_tickets[[#This Row],[first_response_minutes]]&lt;=120,"Acceptable",
tbl_analysis_tickets[[#This Row],[first_response_minutes]]&lt;=240,"Slow",
tbl_analysis_tickets[[#This Row],[first_response_minutes]]&gt;240,"Very Slow"
)</f>
        <v>Slow</v>
      </c>
      <c r="S609" t="str" cm="1">
        <f t="array" ref="S60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609" t="str">
        <f>TEXT(tbl_analysis_tickets[[#This Row],[created_date]],"mmm-yyyy")</f>
        <v>Feb-2024</v>
      </c>
      <c r="U609" t="str">
        <f>TEXT(tbl_analysis_tickets[[#This Row],[created_date]],"dddd")</f>
        <v>Tuesday</v>
      </c>
      <c r="V609" cm="1">
        <f t="array" ref="V609">_xlfn.SWITCH(tbl_analysis_tickets[[#This Row],[priority]],
"Urgent",1,
"High",2,
"Medium",3,
"Low",4
)</f>
        <v>4</v>
      </c>
    </row>
    <row r="610" spans="1:22" x14ac:dyDescent="0.25">
      <c r="A610">
        <v>609</v>
      </c>
      <c r="B610" s="1">
        <v>45590</v>
      </c>
      <c r="C610" t="s">
        <v>10</v>
      </c>
      <c r="D610" t="s">
        <v>11</v>
      </c>
      <c r="E610">
        <v>76</v>
      </c>
      <c r="F610">
        <v>54</v>
      </c>
      <c r="G610">
        <v>5.4</v>
      </c>
      <c r="H610" t="s">
        <v>12</v>
      </c>
      <c r="I610" t="s">
        <v>19</v>
      </c>
      <c r="J610" t="s">
        <v>11</v>
      </c>
      <c r="K610">
        <f>_xlfn.XLOOKUP(tbl_analysis_tickets[[#This Row],[priority]],tbl_sla[priority],tbl_sla[Resolution SLA Hours])</f>
        <v>72</v>
      </c>
      <c r="L610">
        <f>_xlfn.XLOOKUP(tbl_analysis_tickets[[#This Row],[priority]],tbl_sla[priority],tbl_sla[First Response SLA Minutes])</f>
        <v>240</v>
      </c>
      <c r="M610" t="str">
        <f>IF(tbl_analysis_tickets[[#This Row],[resolution_time_hours]]&gt;tbl_analysis_tickets[[#This Row],[Resolution SLA Hours]],"Breached","Within SLA")</f>
        <v>Within SLA</v>
      </c>
      <c r="N610" t="str">
        <f>IF(tbl_analysis_tickets[[#This Row],[first_response_minutes]]&gt;tbl_analysis_tickets[[#This Row],[First Response SLA Minutes]],"Breached","Within SLA")</f>
        <v>Within SLA</v>
      </c>
      <c r="O610" t="str" cm="1">
        <f t="array" ref="O610">_xlfn.IFS(
tbl_analysis_tickets[[#This Row],[agent_experience_years]]&lt;=2,"Junior",
tbl_analysis_tickets[[#This Row],[agent_experience_years]]&lt;=5,"Mid-Level",
tbl_analysis_tickets[[#This Row],[agent_experience_years]]&lt;=8,"Senior",
tbl_analysis_tickets[[#This Row],[agent_experience_years]]&gt;8,"Expert"
)</f>
        <v>Senior</v>
      </c>
      <c r="P610" cm="1">
        <f t="array" ref="P610">_xlfn.SWITCH(tbl_analysis_tickets[[#This Row],[customer_satisfaction]],
"Low",1,
"Medium",2,
"High",3
)</f>
        <v>1</v>
      </c>
      <c r="Q610">
        <f>IF(tbl_analysis_tickets[[#This Row],[reopened]]="Yes",1,0)</f>
        <v>1</v>
      </c>
      <c r="R610" t="str" cm="1">
        <f t="array" ref="R610">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610" t="str" cm="1">
        <f t="array" ref="S61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610" t="str">
        <f>TEXT(tbl_analysis_tickets[[#This Row],[created_date]],"mmm-yyyy")</f>
        <v>Oct-2024</v>
      </c>
      <c r="U610" t="str">
        <f>TEXT(tbl_analysis_tickets[[#This Row],[created_date]],"dddd")</f>
        <v>Friday</v>
      </c>
      <c r="V610" cm="1">
        <f t="array" ref="V610">_xlfn.SWITCH(tbl_analysis_tickets[[#This Row],[priority]],
"Urgent",1,
"High",2,
"Medium",3,
"Low",4
)</f>
        <v>4</v>
      </c>
    </row>
    <row r="611" spans="1:22" x14ac:dyDescent="0.25">
      <c r="A611">
        <v>610</v>
      </c>
      <c r="B611" s="1">
        <v>45651</v>
      </c>
      <c r="C611" t="s">
        <v>21</v>
      </c>
      <c r="D611" t="s">
        <v>11</v>
      </c>
      <c r="E611">
        <v>82</v>
      </c>
      <c r="F611">
        <v>39</v>
      </c>
      <c r="G611">
        <v>3.6</v>
      </c>
      <c r="H611" t="s">
        <v>12</v>
      </c>
      <c r="I611" t="s">
        <v>13</v>
      </c>
      <c r="J611" t="s">
        <v>11</v>
      </c>
      <c r="K611">
        <f>_xlfn.XLOOKUP(tbl_analysis_tickets[[#This Row],[priority]],tbl_sla[priority],tbl_sla[Resolution SLA Hours])</f>
        <v>72</v>
      </c>
      <c r="L611">
        <f>_xlfn.XLOOKUP(tbl_analysis_tickets[[#This Row],[priority]],tbl_sla[priority],tbl_sla[First Response SLA Minutes])</f>
        <v>240</v>
      </c>
      <c r="M611" t="str">
        <f>IF(tbl_analysis_tickets[[#This Row],[resolution_time_hours]]&gt;tbl_analysis_tickets[[#This Row],[Resolution SLA Hours]],"Breached","Within SLA")</f>
        <v>Within SLA</v>
      </c>
      <c r="N611" t="str">
        <f>IF(tbl_analysis_tickets[[#This Row],[first_response_minutes]]&gt;tbl_analysis_tickets[[#This Row],[First Response SLA Minutes]],"Breached","Within SLA")</f>
        <v>Within SLA</v>
      </c>
      <c r="O611" t="str" cm="1">
        <f t="array" ref="O611">_xlfn.IFS(
tbl_analysis_tickets[[#This Row],[agent_experience_years]]&lt;=2,"Junior",
tbl_analysis_tickets[[#This Row],[agent_experience_years]]&lt;=5,"Mid-Level",
tbl_analysis_tickets[[#This Row],[agent_experience_years]]&lt;=8,"Senior",
tbl_analysis_tickets[[#This Row],[agent_experience_years]]&gt;8,"Expert"
)</f>
        <v>Mid-Level</v>
      </c>
      <c r="P611" cm="1">
        <f t="array" ref="P611">_xlfn.SWITCH(tbl_analysis_tickets[[#This Row],[customer_satisfaction]],
"Low",1,
"Medium",2,
"High",3
)</f>
        <v>1</v>
      </c>
      <c r="Q611">
        <f>IF(tbl_analysis_tickets[[#This Row],[reopened]]="Yes",1,0)</f>
        <v>1</v>
      </c>
      <c r="R611" t="str" cm="1">
        <f t="array" ref="R611">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611" t="str" cm="1">
        <f t="array" ref="S61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611" t="str">
        <f>TEXT(tbl_analysis_tickets[[#This Row],[created_date]],"mmm-yyyy")</f>
        <v>Dec-2024</v>
      </c>
      <c r="U611" t="str">
        <f>TEXT(tbl_analysis_tickets[[#This Row],[created_date]],"dddd")</f>
        <v>Wednesday</v>
      </c>
      <c r="V611" cm="1">
        <f t="array" ref="V611">_xlfn.SWITCH(tbl_analysis_tickets[[#This Row],[priority]],
"Urgent",1,
"High",2,
"Medium",3,
"Low",4
)</f>
        <v>4</v>
      </c>
    </row>
    <row r="612" spans="1:22" x14ac:dyDescent="0.25">
      <c r="A612">
        <v>611</v>
      </c>
      <c r="B612" s="1">
        <v>45572</v>
      </c>
      <c r="C612" t="s">
        <v>21</v>
      </c>
      <c r="D612" t="s">
        <v>15</v>
      </c>
      <c r="E612">
        <v>129</v>
      </c>
      <c r="F612">
        <v>1</v>
      </c>
      <c r="G612">
        <v>3.4</v>
      </c>
      <c r="H612" t="s">
        <v>18</v>
      </c>
      <c r="I612" t="s">
        <v>16</v>
      </c>
      <c r="J612" t="s">
        <v>15</v>
      </c>
      <c r="K612">
        <f>_xlfn.XLOOKUP(tbl_analysis_tickets[[#This Row],[priority]],tbl_sla[priority],tbl_sla[Resolution SLA Hours])</f>
        <v>48</v>
      </c>
      <c r="L612">
        <f>_xlfn.XLOOKUP(tbl_analysis_tickets[[#This Row],[priority]],tbl_sla[priority],tbl_sla[First Response SLA Minutes])</f>
        <v>120</v>
      </c>
      <c r="M612" t="str">
        <f>IF(tbl_analysis_tickets[[#This Row],[resolution_time_hours]]&gt;tbl_analysis_tickets[[#This Row],[Resolution SLA Hours]],"Breached","Within SLA")</f>
        <v>Within SLA</v>
      </c>
      <c r="N612" t="str">
        <f>IF(tbl_analysis_tickets[[#This Row],[first_response_minutes]]&gt;tbl_analysis_tickets[[#This Row],[First Response SLA Minutes]],"Breached","Within SLA")</f>
        <v>Breached</v>
      </c>
      <c r="O612" t="str" cm="1">
        <f t="array" ref="O612">_xlfn.IFS(
tbl_analysis_tickets[[#This Row],[agent_experience_years]]&lt;=2,"Junior",
tbl_analysis_tickets[[#This Row],[agent_experience_years]]&lt;=5,"Mid-Level",
tbl_analysis_tickets[[#This Row],[agent_experience_years]]&lt;=8,"Senior",
tbl_analysis_tickets[[#This Row],[agent_experience_years]]&gt;8,"Expert"
)</f>
        <v>Mid-Level</v>
      </c>
      <c r="P612" cm="1">
        <f t="array" ref="P612">_xlfn.SWITCH(tbl_analysis_tickets[[#This Row],[customer_satisfaction]],
"Low",1,
"Medium",2,
"High",3
)</f>
        <v>2</v>
      </c>
      <c r="Q612">
        <f>IF(tbl_analysis_tickets[[#This Row],[reopened]]="Yes",1,0)</f>
        <v>0</v>
      </c>
      <c r="R612" t="str" cm="1">
        <f t="array" ref="R612">_xlfn.IFS(
tbl_analysis_tickets[[#This Row],[first_response_minutes]]&lt;=30,"Very Fast",
tbl_analysis_tickets[[#This Row],[first_response_minutes]]&lt;=120,"Acceptable",
tbl_analysis_tickets[[#This Row],[first_response_minutes]]&lt;=240,"Slow",
tbl_analysis_tickets[[#This Row],[first_response_minutes]]&gt;240,"Very Slow"
)</f>
        <v>Slow</v>
      </c>
      <c r="S612" t="str" cm="1">
        <f t="array" ref="S61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612" t="str">
        <f>TEXT(tbl_analysis_tickets[[#This Row],[created_date]],"mmm-yyyy")</f>
        <v>Oct-2024</v>
      </c>
      <c r="U612" t="str">
        <f>TEXT(tbl_analysis_tickets[[#This Row],[created_date]],"dddd")</f>
        <v>Monday</v>
      </c>
      <c r="V612" cm="1">
        <f t="array" ref="V612">_xlfn.SWITCH(tbl_analysis_tickets[[#This Row],[priority]],
"Urgent",1,
"High",2,
"Medium",3,
"Low",4
)</f>
        <v>3</v>
      </c>
    </row>
    <row r="613" spans="1:22" x14ac:dyDescent="0.25">
      <c r="A613">
        <v>612</v>
      </c>
      <c r="B613" s="1">
        <v>45584</v>
      </c>
      <c r="C613" t="s">
        <v>21</v>
      </c>
      <c r="D613" t="s">
        <v>20</v>
      </c>
      <c r="E613">
        <v>211</v>
      </c>
      <c r="F613">
        <v>7</v>
      </c>
      <c r="G613">
        <v>9.4</v>
      </c>
      <c r="H613" t="s">
        <v>18</v>
      </c>
      <c r="I613" t="s">
        <v>19</v>
      </c>
      <c r="J613" t="s">
        <v>11</v>
      </c>
      <c r="K613">
        <f>_xlfn.XLOOKUP(tbl_analysis_tickets[[#This Row],[priority]],tbl_sla[priority],tbl_sla[Resolution SLA Hours])</f>
        <v>24</v>
      </c>
      <c r="L613">
        <f>_xlfn.XLOOKUP(tbl_analysis_tickets[[#This Row],[priority]],tbl_sla[priority],tbl_sla[First Response SLA Minutes])</f>
        <v>60</v>
      </c>
      <c r="M613" t="str">
        <f>IF(tbl_analysis_tickets[[#This Row],[resolution_time_hours]]&gt;tbl_analysis_tickets[[#This Row],[Resolution SLA Hours]],"Breached","Within SLA")</f>
        <v>Within SLA</v>
      </c>
      <c r="N613" t="str">
        <f>IF(tbl_analysis_tickets[[#This Row],[first_response_minutes]]&gt;tbl_analysis_tickets[[#This Row],[First Response SLA Minutes]],"Breached","Within SLA")</f>
        <v>Breached</v>
      </c>
      <c r="O613" t="str" cm="1">
        <f t="array" ref="O613">_xlfn.IFS(
tbl_analysis_tickets[[#This Row],[agent_experience_years]]&lt;=2,"Junior",
tbl_analysis_tickets[[#This Row],[agent_experience_years]]&lt;=5,"Mid-Level",
tbl_analysis_tickets[[#This Row],[agent_experience_years]]&lt;=8,"Senior",
tbl_analysis_tickets[[#This Row],[agent_experience_years]]&gt;8,"Expert"
)</f>
        <v>Expert</v>
      </c>
      <c r="P613" cm="1">
        <f t="array" ref="P613">_xlfn.SWITCH(tbl_analysis_tickets[[#This Row],[customer_satisfaction]],
"Low",1,
"Medium",2,
"High",3
)</f>
        <v>1</v>
      </c>
      <c r="Q613">
        <f>IF(tbl_analysis_tickets[[#This Row],[reopened]]="Yes",1,0)</f>
        <v>0</v>
      </c>
      <c r="R613" t="str" cm="1">
        <f t="array" ref="R613">_xlfn.IFS(
tbl_analysis_tickets[[#This Row],[first_response_minutes]]&lt;=30,"Very Fast",
tbl_analysis_tickets[[#This Row],[first_response_minutes]]&lt;=120,"Acceptable",
tbl_analysis_tickets[[#This Row],[first_response_minutes]]&lt;=240,"Slow",
tbl_analysis_tickets[[#This Row],[first_response_minutes]]&gt;240,"Very Slow"
)</f>
        <v>Slow</v>
      </c>
      <c r="S613" t="str" cm="1">
        <f t="array" ref="S61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613" t="str">
        <f>TEXT(tbl_analysis_tickets[[#This Row],[created_date]],"mmm-yyyy")</f>
        <v>Oct-2024</v>
      </c>
      <c r="U613" t="str">
        <f>TEXT(tbl_analysis_tickets[[#This Row],[created_date]],"dddd")</f>
        <v>Saturday</v>
      </c>
      <c r="V613" cm="1">
        <f t="array" ref="V613">_xlfn.SWITCH(tbl_analysis_tickets[[#This Row],[priority]],
"Urgent",1,
"High",2,
"Medium",3,
"Low",4
)</f>
        <v>2</v>
      </c>
    </row>
    <row r="614" spans="1:22" x14ac:dyDescent="0.25">
      <c r="A614">
        <v>613</v>
      </c>
      <c r="B614" s="1">
        <v>45420</v>
      </c>
      <c r="C614" t="s">
        <v>23</v>
      </c>
      <c r="D614" t="s">
        <v>20</v>
      </c>
      <c r="E614">
        <v>163</v>
      </c>
      <c r="F614">
        <v>24</v>
      </c>
      <c r="G614">
        <v>1.2</v>
      </c>
      <c r="H614" t="s">
        <v>12</v>
      </c>
      <c r="I614" t="s">
        <v>19</v>
      </c>
      <c r="J614" t="s">
        <v>11</v>
      </c>
      <c r="K614">
        <f>_xlfn.XLOOKUP(tbl_analysis_tickets[[#This Row],[priority]],tbl_sla[priority],tbl_sla[Resolution SLA Hours])</f>
        <v>24</v>
      </c>
      <c r="L614">
        <f>_xlfn.XLOOKUP(tbl_analysis_tickets[[#This Row],[priority]],tbl_sla[priority],tbl_sla[First Response SLA Minutes])</f>
        <v>60</v>
      </c>
      <c r="M614" t="str">
        <f>IF(tbl_analysis_tickets[[#This Row],[resolution_time_hours]]&gt;tbl_analysis_tickets[[#This Row],[Resolution SLA Hours]],"Breached","Within SLA")</f>
        <v>Within SLA</v>
      </c>
      <c r="N614" t="str">
        <f>IF(tbl_analysis_tickets[[#This Row],[first_response_minutes]]&gt;tbl_analysis_tickets[[#This Row],[First Response SLA Minutes]],"Breached","Within SLA")</f>
        <v>Breached</v>
      </c>
      <c r="O614" t="str" cm="1">
        <f t="array" ref="O614">_xlfn.IFS(
tbl_analysis_tickets[[#This Row],[agent_experience_years]]&lt;=2,"Junior",
tbl_analysis_tickets[[#This Row],[agent_experience_years]]&lt;=5,"Mid-Level",
tbl_analysis_tickets[[#This Row],[agent_experience_years]]&lt;=8,"Senior",
tbl_analysis_tickets[[#This Row],[agent_experience_years]]&gt;8,"Expert"
)</f>
        <v>Junior</v>
      </c>
      <c r="P614" cm="1">
        <f t="array" ref="P614">_xlfn.SWITCH(tbl_analysis_tickets[[#This Row],[customer_satisfaction]],
"Low",1,
"Medium",2,
"High",3
)</f>
        <v>1</v>
      </c>
      <c r="Q614">
        <f>IF(tbl_analysis_tickets[[#This Row],[reopened]]="Yes",1,0)</f>
        <v>1</v>
      </c>
      <c r="R614" t="str" cm="1">
        <f t="array" ref="R614">_xlfn.IFS(
tbl_analysis_tickets[[#This Row],[first_response_minutes]]&lt;=30,"Very Fast",
tbl_analysis_tickets[[#This Row],[first_response_minutes]]&lt;=120,"Acceptable",
tbl_analysis_tickets[[#This Row],[first_response_minutes]]&lt;=240,"Slow",
tbl_analysis_tickets[[#This Row],[first_response_minutes]]&gt;240,"Very Slow"
)</f>
        <v>Slow</v>
      </c>
      <c r="S614" t="str" cm="1">
        <f t="array" ref="S61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614" t="str">
        <f>TEXT(tbl_analysis_tickets[[#This Row],[created_date]],"mmm-yyyy")</f>
        <v>May-2024</v>
      </c>
      <c r="U614" t="str">
        <f>TEXT(tbl_analysis_tickets[[#This Row],[created_date]],"dddd")</f>
        <v>Wednesday</v>
      </c>
      <c r="V614" cm="1">
        <f t="array" ref="V614">_xlfn.SWITCH(tbl_analysis_tickets[[#This Row],[priority]],
"Urgent",1,
"High",2,
"Medium",3,
"Low",4
)</f>
        <v>2</v>
      </c>
    </row>
    <row r="615" spans="1:22" x14ac:dyDescent="0.25">
      <c r="A615">
        <v>614</v>
      </c>
      <c r="B615" s="1">
        <v>45574</v>
      </c>
      <c r="C615" t="s">
        <v>10</v>
      </c>
      <c r="D615" t="s">
        <v>20</v>
      </c>
      <c r="E615">
        <v>200</v>
      </c>
      <c r="F615">
        <v>66</v>
      </c>
      <c r="G615">
        <v>10</v>
      </c>
      <c r="H615" t="s">
        <v>18</v>
      </c>
      <c r="I615" t="s">
        <v>19</v>
      </c>
      <c r="J615" t="s">
        <v>11</v>
      </c>
      <c r="K615">
        <f>_xlfn.XLOOKUP(tbl_analysis_tickets[[#This Row],[priority]],tbl_sla[priority],tbl_sla[Resolution SLA Hours])</f>
        <v>24</v>
      </c>
      <c r="L615">
        <f>_xlfn.XLOOKUP(tbl_analysis_tickets[[#This Row],[priority]],tbl_sla[priority],tbl_sla[First Response SLA Minutes])</f>
        <v>60</v>
      </c>
      <c r="M615" t="str">
        <f>IF(tbl_analysis_tickets[[#This Row],[resolution_time_hours]]&gt;tbl_analysis_tickets[[#This Row],[Resolution SLA Hours]],"Breached","Within SLA")</f>
        <v>Breached</v>
      </c>
      <c r="N615" t="str">
        <f>IF(tbl_analysis_tickets[[#This Row],[first_response_minutes]]&gt;tbl_analysis_tickets[[#This Row],[First Response SLA Minutes]],"Breached","Within SLA")</f>
        <v>Breached</v>
      </c>
      <c r="O615" t="str" cm="1">
        <f t="array" ref="O615">_xlfn.IFS(
tbl_analysis_tickets[[#This Row],[agent_experience_years]]&lt;=2,"Junior",
tbl_analysis_tickets[[#This Row],[agent_experience_years]]&lt;=5,"Mid-Level",
tbl_analysis_tickets[[#This Row],[agent_experience_years]]&lt;=8,"Senior",
tbl_analysis_tickets[[#This Row],[agent_experience_years]]&gt;8,"Expert"
)</f>
        <v>Expert</v>
      </c>
      <c r="P615" cm="1">
        <f t="array" ref="P615">_xlfn.SWITCH(tbl_analysis_tickets[[#This Row],[customer_satisfaction]],
"Low",1,
"Medium",2,
"High",3
)</f>
        <v>1</v>
      </c>
      <c r="Q615">
        <f>IF(tbl_analysis_tickets[[#This Row],[reopened]]="Yes",1,0)</f>
        <v>0</v>
      </c>
      <c r="R615" t="str" cm="1">
        <f t="array" ref="R615">_xlfn.IFS(
tbl_analysis_tickets[[#This Row],[first_response_minutes]]&lt;=30,"Very Fast",
tbl_analysis_tickets[[#This Row],[first_response_minutes]]&lt;=120,"Acceptable",
tbl_analysis_tickets[[#This Row],[first_response_minutes]]&lt;=240,"Slow",
tbl_analysis_tickets[[#This Row],[first_response_minutes]]&gt;240,"Very Slow"
)</f>
        <v>Slow</v>
      </c>
      <c r="S615" t="str" cm="1">
        <f t="array" ref="S61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615" t="str">
        <f>TEXT(tbl_analysis_tickets[[#This Row],[created_date]],"mmm-yyyy")</f>
        <v>Oct-2024</v>
      </c>
      <c r="U615" t="str">
        <f>TEXT(tbl_analysis_tickets[[#This Row],[created_date]],"dddd")</f>
        <v>Wednesday</v>
      </c>
      <c r="V615" cm="1">
        <f t="array" ref="V615">_xlfn.SWITCH(tbl_analysis_tickets[[#This Row],[priority]],
"Urgent",1,
"High",2,
"Medium",3,
"Low",4
)</f>
        <v>2</v>
      </c>
    </row>
    <row r="616" spans="1:22" x14ac:dyDescent="0.25">
      <c r="A616">
        <v>615</v>
      </c>
      <c r="B616" s="1">
        <v>45561</v>
      </c>
      <c r="C616" t="s">
        <v>22</v>
      </c>
      <c r="D616" t="s">
        <v>11</v>
      </c>
      <c r="E616">
        <v>70</v>
      </c>
      <c r="F616">
        <v>46</v>
      </c>
      <c r="G616">
        <v>8.6</v>
      </c>
      <c r="H616" t="s">
        <v>18</v>
      </c>
      <c r="I616" t="s">
        <v>16</v>
      </c>
      <c r="J616" t="s">
        <v>15</v>
      </c>
      <c r="K616">
        <f>_xlfn.XLOOKUP(tbl_analysis_tickets[[#This Row],[priority]],tbl_sla[priority],tbl_sla[Resolution SLA Hours])</f>
        <v>72</v>
      </c>
      <c r="L616">
        <f>_xlfn.XLOOKUP(tbl_analysis_tickets[[#This Row],[priority]],tbl_sla[priority],tbl_sla[First Response SLA Minutes])</f>
        <v>240</v>
      </c>
      <c r="M616" t="str">
        <f>IF(tbl_analysis_tickets[[#This Row],[resolution_time_hours]]&gt;tbl_analysis_tickets[[#This Row],[Resolution SLA Hours]],"Breached","Within SLA")</f>
        <v>Within SLA</v>
      </c>
      <c r="N616" t="str">
        <f>IF(tbl_analysis_tickets[[#This Row],[first_response_minutes]]&gt;tbl_analysis_tickets[[#This Row],[First Response SLA Minutes]],"Breached","Within SLA")</f>
        <v>Within SLA</v>
      </c>
      <c r="O616" t="str" cm="1">
        <f t="array" ref="O616">_xlfn.IFS(
tbl_analysis_tickets[[#This Row],[agent_experience_years]]&lt;=2,"Junior",
tbl_analysis_tickets[[#This Row],[agent_experience_years]]&lt;=5,"Mid-Level",
tbl_analysis_tickets[[#This Row],[agent_experience_years]]&lt;=8,"Senior",
tbl_analysis_tickets[[#This Row],[agent_experience_years]]&gt;8,"Expert"
)</f>
        <v>Expert</v>
      </c>
      <c r="P616" cm="1">
        <f t="array" ref="P616">_xlfn.SWITCH(tbl_analysis_tickets[[#This Row],[customer_satisfaction]],
"Low",1,
"Medium",2,
"High",3
)</f>
        <v>2</v>
      </c>
      <c r="Q616">
        <f>IF(tbl_analysis_tickets[[#This Row],[reopened]]="Yes",1,0)</f>
        <v>0</v>
      </c>
      <c r="R616" t="str" cm="1">
        <f t="array" ref="R616">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616" t="str" cm="1">
        <f t="array" ref="S61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616" t="str">
        <f>TEXT(tbl_analysis_tickets[[#This Row],[created_date]],"mmm-yyyy")</f>
        <v>Sep-2024</v>
      </c>
      <c r="U616" t="str">
        <f>TEXT(tbl_analysis_tickets[[#This Row],[created_date]],"dddd")</f>
        <v>Thursday</v>
      </c>
      <c r="V616" cm="1">
        <f t="array" ref="V616">_xlfn.SWITCH(tbl_analysis_tickets[[#This Row],[priority]],
"Urgent",1,
"High",2,
"Medium",3,
"Low",4
)</f>
        <v>4</v>
      </c>
    </row>
    <row r="617" spans="1:22" x14ac:dyDescent="0.25">
      <c r="A617">
        <v>616</v>
      </c>
      <c r="B617" s="1">
        <v>45332</v>
      </c>
      <c r="C617" t="s">
        <v>23</v>
      </c>
      <c r="D617" t="s">
        <v>15</v>
      </c>
      <c r="E617">
        <v>121</v>
      </c>
      <c r="F617">
        <v>37</v>
      </c>
      <c r="G617">
        <v>3.4</v>
      </c>
      <c r="H617" t="s">
        <v>12</v>
      </c>
      <c r="I617" t="s">
        <v>16</v>
      </c>
      <c r="J617" t="s">
        <v>11</v>
      </c>
      <c r="K617">
        <f>_xlfn.XLOOKUP(tbl_analysis_tickets[[#This Row],[priority]],tbl_sla[priority],tbl_sla[Resolution SLA Hours])</f>
        <v>48</v>
      </c>
      <c r="L617">
        <f>_xlfn.XLOOKUP(tbl_analysis_tickets[[#This Row],[priority]],tbl_sla[priority],tbl_sla[First Response SLA Minutes])</f>
        <v>120</v>
      </c>
      <c r="M617" t="str">
        <f>IF(tbl_analysis_tickets[[#This Row],[resolution_time_hours]]&gt;tbl_analysis_tickets[[#This Row],[Resolution SLA Hours]],"Breached","Within SLA")</f>
        <v>Within SLA</v>
      </c>
      <c r="N617" t="str">
        <f>IF(tbl_analysis_tickets[[#This Row],[first_response_minutes]]&gt;tbl_analysis_tickets[[#This Row],[First Response SLA Minutes]],"Breached","Within SLA")</f>
        <v>Breached</v>
      </c>
      <c r="O617" t="str" cm="1">
        <f t="array" ref="O617">_xlfn.IFS(
tbl_analysis_tickets[[#This Row],[agent_experience_years]]&lt;=2,"Junior",
tbl_analysis_tickets[[#This Row],[agent_experience_years]]&lt;=5,"Mid-Level",
tbl_analysis_tickets[[#This Row],[agent_experience_years]]&lt;=8,"Senior",
tbl_analysis_tickets[[#This Row],[agent_experience_years]]&gt;8,"Expert"
)</f>
        <v>Mid-Level</v>
      </c>
      <c r="P617" cm="1">
        <f t="array" ref="P617">_xlfn.SWITCH(tbl_analysis_tickets[[#This Row],[customer_satisfaction]],
"Low",1,
"Medium",2,
"High",3
)</f>
        <v>1</v>
      </c>
      <c r="Q617">
        <f>IF(tbl_analysis_tickets[[#This Row],[reopened]]="Yes",1,0)</f>
        <v>1</v>
      </c>
      <c r="R617" t="str" cm="1">
        <f t="array" ref="R617">_xlfn.IFS(
tbl_analysis_tickets[[#This Row],[first_response_minutes]]&lt;=30,"Very Fast",
tbl_analysis_tickets[[#This Row],[first_response_minutes]]&lt;=120,"Acceptable",
tbl_analysis_tickets[[#This Row],[first_response_minutes]]&lt;=240,"Slow",
tbl_analysis_tickets[[#This Row],[first_response_minutes]]&gt;240,"Very Slow"
)</f>
        <v>Slow</v>
      </c>
      <c r="S617" t="str" cm="1">
        <f t="array" ref="S61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617" t="str">
        <f>TEXT(tbl_analysis_tickets[[#This Row],[created_date]],"mmm-yyyy")</f>
        <v>Feb-2024</v>
      </c>
      <c r="U617" t="str">
        <f>TEXT(tbl_analysis_tickets[[#This Row],[created_date]],"dddd")</f>
        <v>Saturday</v>
      </c>
      <c r="V617" cm="1">
        <f t="array" ref="V617">_xlfn.SWITCH(tbl_analysis_tickets[[#This Row],[priority]],
"Urgent",1,
"High",2,
"Medium",3,
"Low",4
)</f>
        <v>3</v>
      </c>
    </row>
    <row r="618" spans="1:22" x14ac:dyDescent="0.25">
      <c r="A618">
        <v>617</v>
      </c>
      <c r="B618" s="1">
        <v>45536</v>
      </c>
      <c r="C618" t="s">
        <v>14</v>
      </c>
      <c r="D618" t="s">
        <v>17</v>
      </c>
      <c r="E618">
        <v>98</v>
      </c>
      <c r="F618">
        <v>24</v>
      </c>
      <c r="G618">
        <v>8.6999999999999993</v>
      </c>
      <c r="H618" t="s">
        <v>12</v>
      </c>
      <c r="I618" t="s">
        <v>13</v>
      </c>
      <c r="J618" t="s">
        <v>11</v>
      </c>
      <c r="K618">
        <f>_xlfn.XLOOKUP(tbl_analysis_tickets[[#This Row],[priority]],tbl_sla[priority],tbl_sla[Resolution SLA Hours])</f>
        <v>8</v>
      </c>
      <c r="L618">
        <f>_xlfn.XLOOKUP(tbl_analysis_tickets[[#This Row],[priority]],tbl_sla[priority],tbl_sla[First Response SLA Minutes])</f>
        <v>30</v>
      </c>
      <c r="M618" t="str">
        <f>IF(tbl_analysis_tickets[[#This Row],[resolution_time_hours]]&gt;tbl_analysis_tickets[[#This Row],[Resolution SLA Hours]],"Breached","Within SLA")</f>
        <v>Breached</v>
      </c>
      <c r="N618" t="str">
        <f>IF(tbl_analysis_tickets[[#This Row],[first_response_minutes]]&gt;tbl_analysis_tickets[[#This Row],[First Response SLA Minutes]],"Breached","Within SLA")</f>
        <v>Breached</v>
      </c>
      <c r="O618" t="str" cm="1">
        <f t="array" ref="O618">_xlfn.IFS(
tbl_analysis_tickets[[#This Row],[agent_experience_years]]&lt;=2,"Junior",
tbl_analysis_tickets[[#This Row],[agent_experience_years]]&lt;=5,"Mid-Level",
tbl_analysis_tickets[[#This Row],[agent_experience_years]]&lt;=8,"Senior",
tbl_analysis_tickets[[#This Row],[agent_experience_years]]&gt;8,"Expert"
)</f>
        <v>Expert</v>
      </c>
      <c r="P618" cm="1">
        <f t="array" ref="P618">_xlfn.SWITCH(tbl_analysis_tickets[[#This Row],[customer_satisfaction]],
"Low",1,
"Medium",2,
"High",3
)</f>
        <v>1</v>
      </c>
      <c r="Q618">
        <f>IF(tbl_analysis_tickets[[#This Row],[reopened]]="Yes",1,0)</f>
        <v>1</v>
      </c>
      <c r="R618" t="str" cm="1">
        <f t="array" ref="R618">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618" t="str" cm="1">
        <f t="array" ref="S61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618" t="str">
        <f>TEXT(tbl_analysis_tickets[[#This Row],[created_date]],"mmm-yyyy")</f>
        <v>Sep-2024</v>
      </c>
      <c r="U618" t="str">
        <f>TEXT(tbl_analysis_tickets[[#This Row],[created_date]],"dddd")</f>
        <v>Sunday</v>
      </c>
      <c r="V618" cm="1">
        <f t="array" ref="V618">_xlfn.SWITCH(tbl_analysis_tickets[[#This Row],[priority]],
"Urgent",1,
"High",2,
"Medium",3,
"Low",4
)</f>
        <v>1</v>
      </c>
    </row>
    <row r="619" spans="1:22" x14ac:dyDescent="0.25">
      <c r="A619">
        <v>618</v>
      </c>
      <c r="B619" s="1">
        <v>45337</v>
      </c>
      <c r="C619" t="s">
        <v>14</v>
      </c>
      <c r="D619" t="s">
        <v>11</v>
      </c>
      <c r="E619">
        <v>56</v>
      </c>
      <c r="F619">
        <v>70</v>
      </c>
      <c r="G619">
        <v>5.7</v>
      </c>
      <c r="H619" t="s">
        <v>18</v>
      </c>
      <c r="I619" t="s">
        <v>19</v>
      </c>
      <c r="J619" t="s">
        <v>15</v>
      </c>
      <c r="K619">
        <f>_xlfn.XLOOKUP(tbl_analysis_tickets[[#This Row],[priority]],tbl_sla[priority],tbl_sla[Resolution SLA Hours])</f>
        <v>72</v>
      </c>
      <c r="L619">
        <f>_xlfn.XLOOKUP(tbl_analysis_tickets[[#This Row],[priority]],tbl_sla[priority],tbl_sla[First Response SLA Minutes])</f>
        <v>240</v>
      </c>
      <c r="M619" t="str">
        <f>IF(tbl_analysis_tickets[[#This Row],[resolution_time_hours]]&gt;tbl_analysis_tickets[[#This Row],[Resolution SLA Hours]],"Breached","Within SLA")</f>
        <v>Within SLA</v>
      </c>
      <c r="N619" t="str">
        <f>IF(tbl_analysis_tickets[[#This Row],[first_response_minutes]]&gt;tbl_analysis_tickets[[#This Row],[First Response SLA Minutes]],"Breached","Within SLA")</f>
        <v>Within SLA</v>
      </c>
      <c r="O619" t="str" cm="1">
        <f t="array" ref="O619">_xlfn.IFS(
tbl_analysis_tickets[[#This Row],[agent_experience_years]]&lt;=2,"Junior",
tbl_analysis_tickets[[#This Row],[agent_experience_years]]&lt;=5,"Mid-Level",
tbl_analysis_tickets[[#This Row],[agent_experience_years]]&lt;=8,"Senior",
tbl_analysis_tickets[[#This Row],[agent_experience_years]]&gt;8,"Expert"
)</f>
        <v>Senior</v>
      </c>
      <c r="P619" cm="1">
        <f t="array" ref="P619">_xlfn.SWITCH(tbl_analysis_tickets[[#This Row],[customer_satisfaction]],
"Low",1,
"Medium",2,
"High",3
)</f>
        <v>2</v>
      </c>
      <c r="Q619">
        <f>IF(tbl_analysis_tickets[[#This Row],[reopened]]="Yes",1,0)</f>
        <v>0</v>
      </c>
      <c r="R619" t="str" cm="1">
        <f t="array" ref="R619">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619" t="str" cm="1">
        <f t="array" ref="S61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619" t="str">
        <f>TEXT(tbl_analysis_tickets[[#This Row],[created_date]],"mmm-yyyy")</f>
        <v>Feb-2024</v>
      </c>
      <c r="U619" t="str">
        <f>TEXT(tbl_analysis_tickets[[#This Row],[created_date]],"dddd")</f>
        <v>Thursday</v>
      </c>
      <c r="V619" cm="1">
        <f t="array" ref="V619">_xlfn.SWITCH(tbl_analysis_tickets[[#This Row],[priority]],
"Urgent",1,
"High",2,
"Medium",3,
"Low",4
)</f>
        <v>4</v>
      </c>
    </row>
    <row r="620" spans="1:22" x14ac:dyDescent="0.25">
      <c r="A620">
        <v>619</v>
      </c>
      <c r="B620" s="1">
        <v>45468</v>
      </c>
      <c r="C620" t="s">
        <v>22</v>
      </c>
      <c r="D620" t="s">
        <v>11</v>
      </c>
      <c r="E620">
        <v>98</v>
      </c>
      <c r="F620">
        <v>65</v>
      </c>
      <c r="G620">
        <v>2.6</v>
      </c>
      <c r="H620" t="s">
        <v>18</v>
      </c>
      <c r="I620" t="s">
        <v>16</v>
      </c>
      <c r="J620" t="s">
        <v>11</v>
      </c>
      <c r="K620">
        <f>_xlfn.XLOOKUP(tbl_analysis_tickets[[#This Row],[priority]],tbl_sla[priority],tbl_sla[Resolution SLA Hours])</f>
        <v>72</v>
      </c>
      <c r="L620">
        <f>_xlfn.XLOOKUP(tbl_analysis_tickets[[#This Row],[priority]],tbl_sla[priority],tbl_sla[First Response SLA Minutes])</f>
        <v>240</v>
      </c>
      <c r="M620" t="str">
        <f>IF(tbl_analysis_tickets[[#This Row],[resolution_time_hours]]&gt;tbl_analysis_tickets[[#This Row],[Resolution SLA Hours]],"Breached","Within SLA")</f>
        <v>Within SLA</v>
      </c>
      <c r="N620" t="str">
        <f>IF(tbl_analysis_tickets[[#This Row],[first_response_minutes]]&gt;tbl_analysis_tickets[[#This Row],[First Response SLA Minutes]],"Breached","Within SLA")</f>
        <v>Within SLA</v>
      </c>
      <c r="O620" t="str" cm="1">
        <f t="array" ref="O620">_xlfn.IFS(
tbl_analysis_tickets[[#This Row],[agent_experience_years]]&lt;=2,"Junior",
tbl_analysis_tickets[[#This Row],[agent_experience_years]]&lt;=5,"Mid-Level",
tbl_analysis_tickets[[#This Row],[agent_experience_years]]&lt;=8,"Senior",
tbl_analysis_tickets[[#This Row],[agent_experience_years]]&gt;8,"Expert"
)</f>
        <v>Mid-Level</v>
      </c>
      <c r="P620" cm="1">
        <f t="array" ref="P620">_xlfn.SWITCH(tbl_analysis_tickets[[#This Row],[customer_satisfaction]],
"Low",1,
"Medium",2,
"High",3
)</f>
        <v>1</v>
      </c>
      <c r="Q620">
        <f>IF(tbl_analysis_tickets[[#This Row],[reopened]]="Yes",1,0)</f>
        <v>0</v>
      </c>
      <c r="R620" t="str" cm="1">
        <f t="array" ref="R620">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620" t="str" cm="1">
        <f t="array" ref="S62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620" t="str">
        <f>TEXT(tbl_analysis_tickets[[#This Row],[created_date]],"mmm-yyyy")</f>
        <v>Jun-2024</v>
      </c>
      <c r="U620" t="str">
        <f>TEXT(tbl_analysis_tickets[[#This Row],[created_date]],"dddd")</f>
        <v>Tuesday</v>
      </c>
      <c r="V620" cm="1">
        <f t="array" ref="V620">_xlfn.SWITCH(tbl_analysis_tickets[[#This Row],[priority]],
"Urgent",1,
"High",2,
"Medium",3,
"Low",4
)</f>
        <v>4</v>
      </c>
    </row>
    <row r="621" spans="1:22" x14ac:dyDescent="0.25">
      <c r="A621">
        <v>620</v>
      </c>
      <c r="B621" s="1">
        <v>45588</v>
      </c>
      <c r="C621" t="s">
        <v>23</v>
      </c>
      <c r="D621" t="s">
        <v>15</v>
      </c>
      <c r="E621">
        <v>205</v>
      </c>
      <c r="F621">
        <v>16</v>
      </c>
      <c r="G621">
        <v>4.4000000000000004</v>
      </c>
      <c r="H621" t="s">
        <v>18</v>
      </c>
      <c r="I621" t="s">
        <v>16</v>
      </c>
      <c r="J621" t="s">
        <v>11</v>
      </c>
      <c r="K621">
        <f>_xlfn.XLOOKUP(tbl_analysis_tickets[[#This Row],[priority]],tbl_sla[priority],tbl_sla[Resolution SLA Hours])</f>
        <v>48</v>
      </c>
      <c r="L621">
        <f>_xlfn.XLOOKUP(tbl_analysis_tickets[[#This Row],[priority]],tbl_sla[priority],tbl_sla[First Response SLA Minutes])</f>
        <v>120</v>
      </c>
      <c r="M621" t="str">
        <f>IF(tbl_analysis_tickets[[#This Row],[resolution_time_hours]]&gt;tbl_analysis_tickets[[#This Row],[Resolution SLA Hours]],"Breached","Within SLA")</f>
        <v>Within SLA</v>
      </c>
      <c r="N621" t="str">
        <f>IF(tbl_analysis_tickets[[#This Row],[first_response_minutes]]&gt;tbl_analysis_tickets[[#This Row],[First Response SLA Minutes]],"Breached","Within SLA")</f>
        <v>Breached</v>
      </c>
      <c r="O621" t="str" cm="1">
        <f t="array" ref="O621">_xlfn.IFS(
tbl_analysis_tickets[[#This Row],[agent_experience_years]]&lt;=2,"Junior",
tbl_analysis_tickets[[#This Row],[agent_experience_years]]&lt;=5,"Mid-Level",
tbl_analysis_tickets[[#This Row],[agent_experience_years]]&lt;=8,"Senior",
tbl_analysis_tickets[[#This Row],[agent_experience_years]]&gt;8,"Expert"
)</f>
        <v>Mid-Level</v>
      </c>
      <c r="P621" cm="1">
        <f t="array" ref="P621">_xlfn.SWITCH(tbl_analysis_tickets[[#This Row],[customer_satisfaction]],
"Low",1,
"Medium",2,
"High",3
)</f>
        <v>1</v>
      </c>
      <c r="Q621">
        <f>IF(tbl_analysis_tickets[[#This Row],[reopened]]="Yes",1,0)</f>
        <v>0</v>
      </c>
      <c r="R621" t="str" cm="1">
        <f t="array" ref="R621">_xlfn.IFS(
tbl_analysis_tickets[[#This Row],[first_response_minutes]]&lt;=30,"Very Fast",
tbl_analysis_tickets[[#This Row],[first_response_minutes]]&lt;=120,"Acceptable",
tbl_analysis_tickets[[#This Row],[first_response_minutes]]&lt;=240,"Slow",
tbl_analysis_tickets[[#This Row],[first_response_minutes]]&gt;240,"Very Slow"
)</f>
        <v>Slow</v>
      </c>
      <c r="S621" t="str" cm="1">
        <f t="array" ref="S62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621" t="str">
        <f>TEXT(tbl_analysis_tickets[[#This Row],[created_date]],"mmm-yyyy")</f>
        <v>Oct-2024</v>
      </c>
      <c r="U621" t="str">
        <f>TEXT(tbl_analysis_tickets[[#This Row],[created_date]],"dddd")</f>
        <v>Wednesday</v>
      </c>
      <c r="V621" cm="1">
        <f t="array" ref="V621">_xlfn.SWITCH(tbl_analysis_tickets[[#This Row],[priority]],
"Urgent",1,
"High",2,
"Medium",3,
"Low",4
)</f>
        <v>3</v>
      </c>
    </row>
    <row r="622" spans="1:22" x14ac:dyDescent="0.25">
      <c r="A622">
        <v>621</v>
      </c>
      <c r="B622" s="1">
        <v>45647</v>
      </c>
      <c r="C622" t="s">
        <v>22</v>
      </c>
      <c r="D622" t="s">
        <v>20</v>
      </c>
      <c r="E622">
        <v>24</v>
      </c>
      <c r="F622">
        <v>14</v>
      </c>
      <c r="G622">
        <v>5.9</v>
      </c>
      <c r="H622" t="s">
        <v>12</v>
      </c>
      <c r="I622" t="s">
        <v>13</v>
      </c>
      <c r="J622" t="s">
        <v>15</v>
      </c>
      <c r="K622">
        <f>_xlfn.XLOOKUP(tbl_analysis_tickets[[#This Row],[priority]],tbl_sla[priority],tbl_sla[Resolution SLA Hours])</f>
        <v>24</v>
      </c>
      <c r="L622">
        <f>_xlfn.XLOOKUP(tbl_analysis_tickets[[#This Row],[priority]],tbl_sla[priority],tbl_sla[First Response SLA Minutes])</f>
        <v>60</v>
      </c>
      <c r="M622" t="str">
        <f>IF(tbl_analysis_tickets[[#This Row],[resolution_time_hours]]&gt;tbl_analysis_tickets[[#This Row],[Resolution SLA Hours]],"Breached","Within SLA")</f>
        <v>Within SLA</v>
      </c>
      <c r="N622" t="str">
        <f>IF(tbl_analysis_tickets[[#This Row],[first_response_minutes]]&gt;tbl_analysis_tickets[[#This Row],[First Response SLA Minutes]],"Breached","Within SLA")</f>
        <v>Within SLA</v>
      </c>
      <c r="O622" t="str" cm="1">
        <f t="array" ref="O622">_xlfn.IFS(
tbl_analysis_tickets[[#This Row],[agent_experience_years]]&lt;=2,"Junior",
tbl_analysis_tickets[[#This Row],[agent_experience_years]]&lt;=5,"Mid-Level",
tbl_analysis_tickets[[#This Row],[agent_experience_years]]&lt;=8,"Senior",
tbl_analysis_tickets[[#This Row],[agent_experience_years]]&gt;8,"Expert"
)</f>
        <v>Senior</v>
      </c>
      <c r="P622" cm="1">
        <f t="array" ref="P622">_xlfn.SWITCH(tbl_analysis_tickets[[#This Row],[customer_satisfaction]],
"Low",1,
"Medium",2,
"High",3
)</f>
        <v>2</v>
      </c>
      <c r="Q622">
        <f>IF(tbl_analysis_tickets[[#This Row],[reopened]]="Yes",1,0)</f>
        <v>1</v>
      </c>
      <c r="R622" t="str" cm="1">
        <f t="array" ref="R622">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622" t="str" cm="1">
        <f t="array" ref="S62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622" t="str">
        <f>TEXT(tbl_analysis_tickets[[#This Row],[created_date]],"mmm-yyyy")</f>
        <v>Dec-2024</v>
      </c>
      <c r="U622" t="str">
        <f>TEXT(tbl_analysis_tickets[[#This Row],[created_date]],"dddd")</f>
        <v>Saturday</v>
      </c>
      <c r="V622" cm="1">
        <f t="array" ref="V622">_xlfn.SWITCH(tbl_analysis_tickets[[#This Row],[priority]],
"Urgent",1,
"High",2,
"Medium",3,
"Low",4
)</f>
        <v>2</v>
      </c>
    </row>
    <row r="623" spans="1:22" x14ac:dyDescent="0.25">
      <c r="A623">
        <v>622</v>
      </c>
      <c r="B623" s="1">
        <v>45311</v>
      </c>
      <c r="C623" t="s">
        <v>22</v>
      </c>
      <c r="D623" t="s">
        <v>11</v>
      </c>
      <c r="E623">
        <v>220</v>
      </c>
      <c r="F623">
        <v>49</v>
      </c>
      <c r="G623">
        <v>3.9</v>
      </c>
      <c r="H623" t="s">
        <v>18</v>
      </c>
      <c r="I623" t="s">
        <v>19</v>
      </c>
      <c r="J623" t="s">
        <v>11</v>
      </c>
      <c r="K623">
        <f>_xlfn.XLOOKUP(tbl_analysis_tickets[[#This Row],[priority]],tbl_sla[priority],tbl_sla[Resolution SLA Hours])</f>
        <v>72</v>
      </c>
      <c r="L623">
        <f>_xlfn.XLOOKUP(tbl_analysis_tickets[[#This Row],[priority]],tbl_sla[priority],tbl_sla[First Response SLA Minutes])</f>
        <v>240</v>
      </c>
      <c r="M623" t="str">
        <f>IF(tbl_analysis_tickets[[#This Row],[resolution_time_hours]]&gt;tbl_analysis_tickets[[#This Row],[Resolution SLA Hours]],"Breached","Within SLA")</f>
        <v>Within SLA</v>
      </c>
      <c r="N623" t="str">
        <f>IF(tbl_analysis_tickets[[#This Row],[first_response_minutes]]&gt;tbl_analysis_tickets[[#This Row],[First Response SLA Minutes]],"Breached","Within SLA")</f>
        <v>Within SLA</v>
      </c>
      <c r="O623" t="str" cm="1">
        <f t="array" ref="O623">_xlfn.IFS(
tbl_analysis_tickets[[#This Row],[agent_experience_years]]&lt;=2,"Junior",
tbl_analysis_tickets[[#This Row],[agent_experience_years]]&lt;=5,"Mid-Level",
tbl_analysis_tickets[[#This Row],[agent_experience_years]]&lt;=8,"Senior",
tbl_analysis_tickets[[#This Row],[agent_experience_years]]&gt;8,"Expert"
)</f>
        <v>Mid-Level</v>
      </c>
      <c r="P623" cm="1">
        <f t="array" ref="P623">_xlfn.SWITCH(tbl_analysis_tickets[[#This Row],[customer_satisfaction]],
"Low",1,
"Medium",2,
"High",3
)</f>
        <v>1</v>
      </c>
      <c r="Q623">
        <f>IF(tbl_analysis_tickets[[#This Row],[reopened]]="Yes",1,0)</f>
        <v>0</v>
      </c>
      <c r="R623" t="str" cm="1">
        <f t="array" ref="R623">_xlfn.IFS(
tbl_analysis_tickets[[#This Row],[first_response_minutes]]&lt;=30,"Very Fast",
tbl_analysis_tickets[[#This Row],[first_response_minutes]]&lt;=120,"Acceptable",
tbl_analysis_tickets[[#This Row],[first_response_minutes]]&lt;=240,"Slow",
tbl_analysis_tickets[[#This Row],[first_response_minutes]]&gt;240,"Very Slow"
)</f>
        <v>Slow</v>
      </c>
      <c r="S623" t="str" cm="1">
        <f t="array" ref="S62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623" t="str">
        <f>TEXT(tbl_analysis_tickets[[#This Row],[created_date]],"mmm-yyyy")</f>
        <v>Jan-2024</v>
      </c>
      <c r="U623" t="str">
        <f>TEXT(tbl_analysis_tickets[[#This Row],[created_date]],"dddd")</f>
        <v>Saturday</v>
      </c>
      <c r="V623" cm="1">
        <f t="array" ref="V623">_xlfn.SWITCH(tbl_analysis_tickets[[#This Row],[priority]],
"Urgent",1,
"High",2,
"Medium",3,
"Low",4
)</f>
        <v>4</v>
      </c>
    </row>
    <row r="624" spans="1:22" x14ac:dyDescent="0.25">
      <c r="A624">
        <v>623</v>
      </c>
      <c r="B624" s="1">
        <v>45567</v>
      </c>
      <c r="C624" t="s">
        <v>22</v>
      </c>
      <c r="D624" t="s">
        <v>11</v>
      </c>
      <c r="E624">
        <v>134</v>
      </c>
      <c r="F624">
        <v>39</v>
      </c>
      <c r="G624">
        <v>1.2</v>
      </c>
      <c r="H624" t="s">
        <v>18</v>
      </c>
      <c r="I624" t="s">
        <v>13</v>
      </c>
      <c r="J624" t="s">
        <v>11</v>
      </c>
      <c r="K624">
        <f>_xlfn.XLOOKUP(tbl_analysis_tickets[[#This Row],[priority]],tbl_sla[priority],tbl_sla[Resolution SLA Hours])</f>
        <v>72</v>
      </c>
      <c r="L624">
        <f>_xlfn.XLOOKUP(tbl_analysis_tickets[[#This Row],[priority]],tbl_sla[priority],tbl_sla[First Response SLA Minutes])</f>
        <v>240</v>
      </c>
      <c r="M624" t="str">
        <f>IF(tbl_analysis_tickets[[#This Row],[resolution_time_hours]]&gt;tbl_analysis_tickets[[#This Row],[Resolution SLA Hours]],"Breached","Within SLA")</f>
        <v>Within SLA</v>
      </c>
      <c r="N624" t="str">
        <f>IF(tbl_analysis_tickets[[#This Row],[first_response_minutes]]&gt;tbl_analysis_tickets[[#This Row],[First Response SLA Minutes]],"Breached","Within SLA")</f>
        <v>Within SLA</v>
      </c>
      <c r="O624" t="str" cm="1">
        <f t="array" ref="O624">_xlfn.IFS(
tbl_analysis_tickets[[#This Row],[agent_experience_years]]&lt;=2,"Junior",
tbl_analysis_tickets[[#This Row],[agent_experience_years]]&lt;=5,"Mid-Level",
tbl_analysis_tickets[[#This Row],[agent_experience_years]]&lt;=8,"Senior",
tbl_analysis_tickets[[#This Row],[agent_experience_years]]&gt;8,"Expert"
)</f>
        <v>Junior</v>
      </c>
      <c r="P624" cm="1">
        <f t="array" ref="P624">_xlfn.SWITCH(tbl_analysis_tickets[[#This Row],[customer_satisfaction]],
"Low",1,
"Medium",2,
"High",3
)</f>
        <v>1</v>
      </c>
      <c r="Q624">
        <f>IF(tbl_analysis_tickets[[#This Row],[reopened]]="Yes",1,0)</f>
        <v>0</v>
      </c>
      <c r="R624" t="str" cm="1">
        <f t="array" ref="R624">_xlfn.IFS(
tbl_analysis_tickets[[#This Row],[first_response_minutes]]&lt;=30,"Very Fast",
tbl_analysis_tickets[[#This Row],[first_response_minutes]]&lt;=120,"Acceptable",
tbl_analysis_tickets[[#This Row],[first_response_minutes]]&lt;=240,"Slow",
tbl_analysis_tickets[[#This Row],[first_response_minutes]]&gt;240,"Very Slow"
)</f>
        <v>Slow</v>
      </c>
      <c r="S624" t="str" cm="1">
        <f t="array" ref="S62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624" t="str">
        <f>TEXT(tbl_analysis_tickets[[#This Row],[created_date]],"mmm-yyyy")</f>
        <v>Oct-2024</v>
      </c>
      <c r="U624" t="str">
        <f>TEXT(tbl_analysis_tickets[[#This Row],[created_date]],"dddd")</f>
        <v>Wednesday</v>
      </c>
      <c r="V624" cm="1">
        <f t="array" ref="V624">_xlfn.SWITCH(tbl_analysis_tickets[[#This Row],[priority]],
"Urgent",1,
"High",2,
"Medium",3,
"Low",4
)</f>
        <v>4</v>
      </c>
    </row>
    <row r="625" spans="1:22" x14ac:dyDescent="0.25">
      <c r="A625">
        <v>624</v>
      </c>
      <c r="B625" s="1">
        <v>45294</v>
      </c>
      <c r="C625" t="s">
        <v>10</v>
      </c>
      <c r="D625" t="s">
        <v>20</v>
      </c>
      <c r="E625">
        <v>92</v>
      </c>
      <c r="F625">
        <v>5</v>
      </c>
      <c r="G625">
        <v>6.4</v>
      </c>
      <c r="H625" t="s">
        <v>12</v>
      </c>
      <c r="I625" t="s">
        <v>16</v>
      </c>
      <c r="J625" t="s">
        <v>15</v>
      </c>
      <c r="K625">
        <f>_xlfn.XLOOKUP(tbl_analysis_tickets[[#This Row],[priority]],tbl_sla[priority],tbl_sla[Resolution SLA Hours])</f>
        <v>24</v>
      </c>
      <c r="L625">
        <f>_xlfn.XLOOKUP(tbl_analysis_tickets[[#This Row],[priority]],tbl_sla[priority],tbl_sla[First Response SLA Minutes])</f>
        <v>60</v>
      </c>
      <c r="M625" t="str">
        <f>IF(tbl_analysis_tickets[[#This Row],[resolution_time_hours]]&gt;tbl_analysis_tickets[[#This Row],[Resolution SLA Hours]],"Breached","Within SLA")</f>
        <v>Within SLA</v>
      </c>
      <c r="N625" t="str">
        <f>IF(tbl_analysis_tickets[[#This Row],[first_response_minutes]]&gt;tbl_analysis_tickets[[#This Row],[First Response SLA Minutes]],"Breached","Within SLA")</f>
        <v>Breached</v>
      </c>
      <c r="O625" t="str" cm="1">
        <f t="array" ref="O625">_xlfn.IFS(
tbl_analysis_tickets[[#This Row],[agent_experience_years]]&lt;=2,"Junior",
tbl_analysis_tickets[[#This Row],[agent_experience_years]]&lt;=5,"Mid-Level",
tbl_analysis_tickets[[#This Row],[agent_experience_years]]&lt;=8,"Senior",
tbl_analysis_tickets[[#This Row],[agent_experience_years]]&gt;8,"Expert"
)</f>
        <v>Senior</v>
      </c>
      <c r="P625" cm="1">
        <f t="array" ref="P625">_xlfn.SWITCH(tbl_analysis_tickets[[#This Row],[customer_satisfaction]],
"Low",1,
"Medium",2,
"High",3
)</f>
        <v>2</v>
      </c>
      <c r="Q625">
        <f>IF(tbl_analysis_tickets[[#This Row],[reopened]]="Yes",1,0)</f>
        <v>1</v>
      </c>
      <c r="R625" t="str" cm="1">
        <f t="array" ref="R625">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625" t="str" cm="1">
        <f t="array" ref="S62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625" t="str">
        <f>TEXT(tbl_analysis_tickets[[#This Row],[created_date]],"mmm-yyyy")</f>
        <v>Jan-2024</v>
      </c>
      <c r="U625" t="str">
        <f>TEXT(tbl_analysis_tickets[[#This Row],[created_date]],"dddd")</f>
        <v>Wednesday</v>
      </c>
      <c r="V625" cm="1">
        <f t="array" ref="V625">_xlfn.SWITCH(tbl_analysis_tickets[[#This Row],[priority]],
"Urgent",1,
"High",2,
"Medium",3,
"Low",4
)</f>
        <v>2</v>
      </c>
    </row>
    <row r="626" spans="1:22" x14ac:dyDescent="0.25">
      <c r="A626">
        <v>625</v>
      </c>
      <c r="B626" s="1">
        <v>45354</v>
      </c>
      <c r="C626" t="s">
        <v>14</v>
      </c>
      <c r="D626" t="s">
        <v>20</v>
      </c>
      <c r="E626">
        <v>74</v>
      </c>
      <c r="F626">
        <v>35</v>
      </c>
      <c r="G626">
        <v>2.6</v>
      </c>
      <c r="H626" t="s">
        <v>18</v>
      </c>
      <c r="I626" t="s">
        <v>16</v>
      </c>
      <c r="J626" t="s">
        <v>11</v>
      </c>
      <c r="K626">
        <f>_xlfn.XLOOKUP(tbl_analysis_tickets[[#This Row],[priority]],tbl_sla[priority],tbl_sla[Resolution SLA Hours])</f>
        <v>24</v>
      </c>
      <c r="L626">
        <f>_xlfn.XLOOKUP(tbl_analysis_tickets[[#This Row],[priority]],tbl_sla[priority],tbl_sla[First Response SLA Minutes])</f>
        <v>60</v>
      </c>
      <c r="M626" t="str">
        <f>IF(tbl_analysis_tickets[[#This Row],[resolution_time_hours]]&gt;tbl_analysis_tickets[[#This Row],[Resolution SLA Hours]],"Breached","Within SLA")</f>
        <v>Breached</v>
      </c>
      <c r="N626" t="str">
        <f>IF(tbl_analysis_tickets[[#This Row],[first_response_minutes]]&gt;tbl_analysis_tickets[[#This Row],[First Response SLA Minutes]],"Breached","Within SLA")</f>
        <v>Breached</v>
      </c>
      <c r="O626" t="str" cm="1">
        <f t="array" ref="O626">_xlfn.IFS(
tbl_analysis_tickets[[#This Row],[agent_experience_years]]&lt;=2,"Junior",
tbl_analysis_tickets[[#This Row],[agent_experience_years]]&lt;=5,"Mid-Level",
tbl_analysis_tickets[[#This Row],[agent_experience_years]]&lt;=8,"Senior",
tbl_analysis_tickets[[#This Row],[agent_experience_years]]&gt;8,"Expert"
)</f>
        <v>Mid-Level</v>
      </c>
      <c r="P626" cm="1">
        <f t="array" ref="P626">_xlfn.SWITCH(tbl_analysis_tickets[[#This Row],[customer_satisfaction]],
"Low",1,
"Medium",2,
"High",3
)</f>
        <v>1</v>
      </c>
      <c r="Q626">
        <f>IF(tbl_analysis_tickets[[#This Row],[reopened]]="Yes",1,0)</f>
        <v>0</v>
      </c>
      <c r="R626" t="str" cm="1">
        <f t="array" ref="R626">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626" t="str" cm="1">
        <f t="array" ref="S62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626" t="str">
        <f>TEXT(tbl_analysis_tickets[[#This Row],[created_date]],"mmm-yyyy")</f>
        <v>Mar-2024</v>
      </c>
      <c r="U626" t="str">
        <f>TEXT(tbl_analysis_tickets[[#This Row],[created_date]],"dddd")</f>
        <v>Sunday</v>
      </c>
      <c r="V626" cm="1">
        <f t="array" ref="V626">_xlfn.SWITCH(tbl_analysis_tickets[[#This Row],[priority]],
"Urgent",1,
"High",2,
"Medium",3,
"Low",4
)</f>
        <v>2</v>
      </c>
    </row>
    <row r="627" spans="1:22" x14ac:dyDescent="0.25">
      <c r="A627">
        <v>626</v>
      </c>
      <c r="B627" s="1">
        <v>45657</v>
      </c>
      <c r="C627" t="s">
        <v>21</v>
      </c>
      <c r="D627" t="s">
        <v>11</v>
      </c>
      <c r="E627">
        <v>190</v>
      </c>
      <c r="F627">
        <v>69</v>
      </c>
      <c r="G627">
        <v>4.5999999999999996</v>
      </c>
      <c r="H627" t="s">
        <v>18</v>
      </c>
      <c r="I627" t="s">
        <v>16</v>
      </c>
      <c r="J627" t="s">
        <v>11</v>
      </c>
      <c r="K627">
        <f>_xlfn.XLOOKUP(tbl_analysis_tickets[[#This Row],[priority]],tbl_sla[priority],tbl_sla[Resolution SLA Hours])</f>
        <v>72</v>
      </c>
      <c r="L627">
        <f>_xlfn.XLOOKUP(tbl_analysis_tickets[[#This Row],[priority]],tbl_sla[priority],tbl_sla[First Response SLA Minutes])</f>
        <v>240</v>
      </c>
      <c r="M627" t="str">
        <f>IF(tbl_analysis_tickets[[#This Row],[resolution_time_hours]]&gt;tbl_analysis_tickets[[#This Row],[Resolution SLA Hours]],"Breached","Within SLA")</f>
        <v>Within SLA</v>
      </c>
      <c r="N627" t="str">
        <f>IF(tbl_analysis_tickets[[#This Row],[first_response_minutes]]&gt;tbl_analysis_tickets[[#This Row],[First Response SLA Minutes]],"Breached","Within SLA")</f>
        <v>Within SLA</v>
      </c>
      <c r="O627" t="str" cm="1">
        <f t="array" ref="O627">_xlfn.IFS(
tbl_analysis_tickets[[#This Row],[agent_experience_years]]&lt;=2,"Junior",
tbl_analysis_tickets[[#This Row],[agent_experience_years]]&lt;=5,"Mid-Level",
tbl_analysis_tickets[[#This Row],[agent_experience_years]]&lt;=8,"Senior",
tbl_analysis_tickets[[#This Row],[agent_experience_years]]&gt;8,"Expert"
)</f>
        <v>Mid-Level</v>
      </c>
      <c r="P627" cm="1">
        <f t="array" ref="P627">_xlfn.SWITCH(tbl_analysis_tickets[[#This Row],[customer_satisfaction]],
"Low",1,
"Medium",2,
"High",3
)</f>
        <v>1</v>
      </c>
      <c r="Q627">
        <f>IF(tbl_analysis_tickets[[#This Row],[reopened]]="Yes",1,0)</f>
        <v>0</v>
      </c>
      <c r="R627" t="str" cm="1">
        <f t="array" ref="R627">_xlfn.IFS(
tbl_analysis_tickets[[#This Row],[first_response_minutes]]&lt;=30,"Very Fast",
tbl_analysis_tickets[[#This Row],[first_response_minutes]]&lt;=120,"Acceptable",
tbl_analysis_tickets[[#This Row],[first_response_minutes]]&lt;=240,"Slow",
tbl_analysis_tickets[[#This Row],[first_response_minutes]]&gt;240,"Very Slow"
)</f>
        <v>Slow</v>
      </c>
      <c r="S627" t="str" cm="1">
        <f t="array" ref="S62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627" t="str">
        <f>TEXT(tbl_analysis_tickets[[#This Row],[created_date]],"mmm-yyyy")</f>
        <v>Dec-2024</v>
      </c>
      <c r="U627" t="str">
        <f>TEXT(tbl_analysis_tickets[[#This Row],[created_date]],"dddd")</f>
        <v>Tuesday</v>
      </c>
      <c r="V627" cm="1">
        <f t="array" ref="V627">_xlfn.SWITCH(tbl_analysis_tickets[[#This Row],[priority]],
"Urgent",1,
"High",2,
"Medium",3,
"Low",4
)</f>
        <v>4</v>
      </c>
    </row>
    <row r="628" spans="1:22" x14ac:dyDescent="0.25">
      <c r="A628">
        <v>627</v>
      </c>
      <c r="B628" s="1">
        <v>45601</v>
      </c>
      <c r="C628" t="s">
        <v>23</v>
      </c>
      <c r="D628" t="s">
        <v>15</v>
      </c>
      <c r="E628">
        <v>225</v>
      </c>
      <c r="F628">
        <v>21</v>
      </c>
      <c r="G628">
        <v>3</v>
      </c>
      <c r="H628" t="s">
        <v>12</v>
      </c>
      <c r="I628" t="s">
        <v>19</v>
      </c>
      <c r="J628" t="s">
        <v>11</v>
      </c>
      <c r="K628">
        <f>_xlfn.XLOOKUP(tbl_analysis_tickets[[#This Row],[priority]],tbl_sla[priority],tbl_sla[Resolution SLA Hours])</f>
        <v>48</v>
      </c>
      <c r="L628">
        <f>_xlfn.XLOOKUP(tbl_analysis_tickets[[#This Row],[priority]],tbl_sla[priority],tbl_sla[First Response SLA Minutes])</f>
        <v>120</v>
      </c>
      <c r="M628" t="str">
        <f>IF(tbl_analysis_tickets[[#This Row],[resolution_time_hours]]&gt;tbl_analysis_tickets[[#This Row],[Resolution SLA Hours]],"Breached","Within SLA")</f>
        <v>Within SLA</v>
      </c>
      <c r="N628" t="str">
        <f>IF(tbl_analysis_tickets[[#This Row],[first_response_minutes]]&gt;tbl_analysis_tickets[[#This Row],[First Response SLA Minutes]],"Breached","Within SLA")</f>
        <v>Breached</v>
      </c>
      <c r="O628" t="str" cm="1">
        <f t="array" ref="O628">_xlfn.IFS(
tbl_analysis_tickets[[#This Row],[agent_experience_years]]&lt;=2,"Junior",
tbl_analysis_tickets[[#This Row],[agent_experience_years]]&lt;=5,"Mid-Level",
tbl_analysis_tickets[[#This Row],[agent_experience_years]]&lt;=8,"Senior",
tbl_analysis_tickets[[#This Row],[agent_experience_years]]&gt;8,"Expert"
)</f>
        <v>Mid-Level</v>
      </c>
      <c r="P628" cm="1">
        <f t="array" ref="P628">_xlfn.SWITCH(tbl_analysis_tickets[[#This Row],[customer_satisfaction]],
"Low",1,
"Medium",2,
"High",3
)</f>
        <v>1</v>
      </c>
      <c r="Q628">
        <f>IF(tbl_analysis_tickets[[#This Row],[reopened]]="Yes",1,0)</f>
        <v>1</v>
      </c>
      <c r="R628" t="str" cm="1">
        <f t="array" ref="R628">_xlfn.IFS(
tbl_analysis_tickets[[#This Row],[first_response_minutes]]&lt;=30,"Very Fast",
tbl_analysis_tickets[[#This Row],[first_response_minutes]]&lt;=120,"Acceptable",
tbl_analysis_tickets[[#This Row],[first_response_minutes]]&lt;=240,"Slow",
tbl_analysis_tickets[[#This Row],[first_response_minutes]]&gt;240,"Very Slow"
)</f>
        <v>Slow</v>
      </c>
      <c r="S628" t="str" cm="1">
        <f t="array" ref="S62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628" t="str">
        <f>TEXT(tbl_analysis_tickets[[#This Row],[created_date]],"mmm-yyyy")</f>
        <v>Nov-2024</v>
      </c>
      <c r="U628" t="str">
        <f>TEXT(tbl_analysis_tickets[[#This Row],[created_date]],"dddd")</f>
        <v>Tuesday</v>
      </c>
      <c r="V628" cm="1">
        <f t="array" ref="V628">_xlfn.SWITCH(tbl_analysis_tickets[[#This Row],[priority]],
"Urgent",1,
"High",2,
"Medium",3,
"Low",4
)</f>
        <v>3</v>
      </c>
    </row>
    <row r="629" spans="1:22" x14ac:dyDescent="0.25">
      <c r="A629">
        <v>628</v>
      </c>
      <c r="B629" s="1">
        <v>45305</v>
      </c>
      <c r="C629" t="s">
        <v>23</v>
      </c>
      <c r="D629" t="s">
        <v>20</v>
      </c>
      <c r="E629">
        <v>131</v>
      </c>
      <c r="F629">
        <v>7</v>
      </c>
      <c r="G629">
        <v>7.7</v>
      </c>
      <c r="H629" t="s">
        <v>18</v>
      </c>
      <c r="I629" t="s">
        <v>13</v>
      </c>
      <c r="J629" t="s">
        <v>11</v>
      </c>
      <c r="K629">
        <f>_xlfn.XLOOKUP(tbl_analysis_tickets[[#This Row],[priority]],tbl_sla[priority],tbl_sla[Resolution SLA Hours])</f>
        <v>24</v>
      </c>
      <c r="L629">
        <f>_xlfn.XLOOKUP(tbl_analysis_tickets[[#This Row],[priority]],tbl_sla[priority],tbl_sla[First Response SLA Minutes])</f>
        <v>60</v>
      </c>
      <c r="M629" t="str">
        <f>IF(tbl_analysis_tickets[[#This Row],[resolution_time_hours]]&gt;tbl_analysis_tickets[[#This Row],[Resolution SLA Hours]],"Breached","Within SLA")</f>
        <v>Within SLA</v>
      </c>
      <c r="N629" t="str">
        <f>IF(tbl_analysis_tickets[[#This Row],[first_response_minutes]]&gt;tbl_analysis_tickets[[#This Row],[First Response SLA Minutes]],"Breached","Within SLA")</f>
        <v>Breached</v>
      </c>
      <c r="O629" t="str" cm="1">
        <f t="array" ref="O629">_xlfn.IFS(
tbl_analysis_tickets[[#This Row],[agent_experience_years]]&lt;=2,"Junior",
tbl_analysis_tickets[[#This Row],[agent_experience_years]]&lt;=5,"Mid-Level",
tbl_analysis_tickets[[#This Row],[agent_experience_years]]&lt;=8,"Senior",
tbl_analysis_tickets[[#This Row],[agent_experience_years]]&gt;8,"Expert"
)</f>
        <v>Senior</v>
      </c>
      <c r="P629" cm="1">
        <f t="array" ref="P629">_xlfn.SWITCH(tbl_analysis_tickets[[#This Row],[customer_satisfaction]],
"Low",1,
"Medium",2,
"High",3
)</f>
        <v>1</v>
      </c>
      <c r="Q629">
        <f>IF(tbl_analysis_tickets[[#This Row],[reopened]]="Yes",1,0)</f>
        <v>0</v>
      </c>
      <c r="R629" t="str" cm="1">
        <f t="array" ref="R629">_xlfn.IFS(
tbl_analysis_tickets[[#This Row],[first_response_minutes]]&lt;=30,"Very Fast",
tbl_analysis_tickets[[#This Row],[first_response_minutes]]&lt;=120,"Acceptable",
tbl_analysis_tickets[[#This Row],[first_response_minutes]]&lt;=240,"Slow",
tbl_analysis_tickets[[#This Row],[first_response_minutes]]&gt;240,"Very Slow"
)</f>
        <v>Slow</v>
      </c>
      <c r="S629" t="str" cm="1">
        <f t="array" ref="S62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629" t="str">
        <f>TEXT(tbl_analysis_tickets[[#This Row],[created_date]],"mmm-yyyy")</f>
        <v>Jan-2024</v>
      </c>
      <c r="U629" t="str">
        <f>TEXT(tbl_analysis_tickets[[#This Row],[created_date]],"dddd")</f>
        <v>Sunday</v>
      </c>
      <c r="V629" cm="1">
        <f t="array" ref="V629">_xlfn.SWITCH(tbl_analysis_tickets[[#This Row],[priority]],
"Urgent",1,
"High",2,
"Medium",3,
"Low",4
)</f>
        <v>2</v>
      </c>
    </row>
    <row r="630" spans="1:22" x14ac:dyDescent="0.25">
      <c r="A630">
        <v>629</v>
      </c>
      <c r="B630" s="1">
        <v>45368</v>
      </c>
      <c r="C630" t="s">
        <v>14</v>
      </c>
      <c r="D630" t="s">
        <v>17</v>
      </c>
      <c r="E630">
        <v>121</v>
      </c>
      <c r="F630">
        <v>33</v>
      </c>
      <c r="G630">
        <v>4.3</v>
      </c>
      <c r="H630" t="s">
        <v>18</v>
      </c>
      <c r="I630" t="s">
        <v>16</v>
      </c>
      <c r="J630" t="s">
        <v>11</v>
      </c>
      <c r="K630">
        <f>_xlfn.XLOOKUP(tbl_analysis_tickets[[#This Row],[priority]],tbl_sla[priority],tbl_sla[Resolution SLA Hours])</f>
        <v>8</v>
      </c>
      <c r="L630">
        <f>_xlfn.XLOOKUP(tbl_analysis_tickets[[#This Row],[priority]],tbl_sla[priority],tbl_sla[First Response SLA Minutes])</f>
        <v>30</v>
      </c>
      <c r="M630" t="str">
        <f>IF(tbl_analysis_tickets[[#This Row],[resolution_time_hours]]&gt;tbl_analysis_tickets[[#This Row],[Resolution SLA Hours]],"Breached","Within SLA")</f>
        <v>Breached</v>
      </c>
      <c r="N630" t="str">
        <f>IF(tbl_analysis_tickets[[#This Row],[first_response_minutes]]&gt;tbl_analysis_tickets[[#This Row],[First Response SLA Minutes]],"Breached","Within SLA")</f>
        <v>Breached</v>
      </c>
      <c r="O630" t="str" cm="1">
        <f t="array" ref="O630">_xlfn.IFS(
tbl_analysis_tickets[[#This Row],[agent_experience_years]]&lt;=2,"Junior",
tbl_analysis_tickets[[#This Row],[agent_experience_years]]&lt;=5,"Mid-Level",
tbl_analysis_tickets[[#This Row],[agent_experience_years]]&lt;=8,"Senior",
tbl_analysis_tickets[[#This Row],[agent_experience_years]]&gt;8,"Expert"
)</f>
        <v>Mid-Level</v>
      </c>
      <c r="P630" cm="1">
        <f t="array" ref="P630">_xlfn.SWITCH(tbl_analysis_tickets[[#This Row],[customer_satisfaction]],
"Low",1,
"Medium",2,
"High",3
)</f>
        <v>1</v>
      </c>
      <c r="Q630">
        <f>IF(tbl_analysis_tickets[[#This Row],[reopened]]="Yes",1,0)</f>
        <v>0</v>
      </c>
      <c r="R630" t="str" cm="1">
        <f t="array" ref="R630">_xlfn.IFS(
tbl_analysis_tickets[[#This Row],[first_response_minutes]]&lt;=30,"Very Fast",
tbl_analysis_tickets[[#This Row],[first_response_minutes]]&lt;=120,"Acceptable",
tbl_analysis_tickets[[#This Row],[first_response_minutes]]&lt;=240,"Slow",
tbl_analysis_tickets[[#This Row],[first_response_minutes]]&gt;240,"Very Slow"
)</f>
        <v>Slow</v>
      </c>
      <c r="S630" t="str" cm="1">
        <f t="array" ref="S63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630" t="str">
        <f>TEXT(tbl_analysis_tickets[[#This Row],[created_date]],"mmm-yyyy")</f>
        <v>Mar-2024</v>
      </c>
      <c r="U630" t="str">
        <f>TEXT(tbl_analysis_tickets[[#This Row],[created_date]],"dddd")</f>
        <v>Sunday</v>
      </c>
      <c r="V630" cm="1">
        <f t="array" ref="V630">_xlfn.SWITCH(tbl_analysis_tickets[[#This Row],[priority]],
"Urgent",1,
"High",2,
"Medium",3,
"Low",4
)</f>
        <v>1</v>
      </c>
    </row>
    <row r="631" spans="1:22" x14ac:dyDescent="0.25">
      <c r="A631">
        <v>630</v>
      </c>
      <c r="B631" s="1">
        <v>45374</v>
      </c>
      <c r="C631" t="s">
        <v>22</v>
      </c>
      <c r="D631" t="s">
        <v>20</v>
      </c>
      <c r="E631">
        <v>222</v>
      </c>
      <c r="F631">
        <v>5</v>
      </c>
      <c r="G631">
        <v>9.3000000000000007</v>
      </c>
      <c r="H631" t="s">
        <v>18</v>
      </c>
      <c r="I631" t="s">
        <v>16</v>
      </c>
      <c r="J631" t="s">
        <v>15</v>
      </c>
      <c r="K631">
        <f>_xlfn.XLOOKUP(tbl_analysis_tickets[[#This Row],[priority]],tbl_sla[priority],tbl_sla[Resolution SLA Hours])</f>
        <v>24</v>
      </c>
      <c r="L631">
        <f>_xlfn.XLOOKUP(tbl_analysis_tickets[[#This Row],[priority]],tbl_sla[priority],tbl_sla[First Response SLA Minutes])</f>
        <v>60</v>
      </c>
      <c r="M631" t="str">
        <f>IF(tbl_analysis_tickets[[#This Row],[resolution_time_hours]]&gt;tbl_analysis_tickets[[#This Row],[Resolution SLA Hours]],"Breached","Within SLA")</f>
        <v>Within SLA</v>
      </c>
      <c r="N631" t="str">
        <f>IF(tbl_analysis_tickets[[#This Row],[first_response_minutes]]&gt;tbl_analysis_tickets[[#This Row],[First Response SLA Minutes]],"Breached","Within SLA")</f>
        <v>Breached</v>
      </c>
      <c r="O631" t="str" cm="1">
        <f t="array" ref="O631">_xlfn.IFS(
tbl_analysis_tickets[[#This Row],[agent_experience_years]]&lt;=2,"Junior",
tbl_analysis_tickets[[#This Row],[agent_experience_years]]&lt;=5,"Mid-Level",
tbl_analysis_tickets[[#This Row],[agent_experience_years]]&lt;=8,"Senior",
tbl_analysis_tickets[[#This Row],[agent_experience_years]]&gt;8,"Expert"
)</f>
        <v>Expert</v>
      </c>
      <c r="P631" cm="1">
        <f t="array" ref="P631">_xlfn.SWITCH(tbl_analysis_tickets[[#This Row],[customer_satisfaction]],
"Low",1,
"Medium",2,
"High",3
)</f>
        <v>2</v>
      </c>
      <c r="Q631">
        <f>IF(tbl_analysis_tickets[[#This Row],[reopened]]="Yes",1,0)</f>
        <v>0</v>
      </c>
      <c r="R631" t="str" cm="1">
        <f t="array" ref="R631">_xlfn.IFS(
tbl_analysis_tickets[[#This Row],[first_response_minutes]]&lt;=30,"Very Fast",
tbl_analysis_tickets[[#This Row],[first_response_minutes]]&lt;=120,"Acceptable",
tbl_analysis_tickets[[#This Row],[first_response_minutes]]&lt;=240,"Slow",
tbl_analysis_tickets[[#This Row],[first_response_minutes]]&gt;240,"Very Slow"
)</f>
        <v>Slow</v>
      </c>
      <c r="S631" t="str" cm="1">
        <f t="array" ref="S63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631" t="str">
        <f>TEXT(tbl_analysis_tickets[[#This Row],[created_date]],"mmm-yyyy")</f>
        <v>Mar-2024</v>
      </c>
      <c r="U631" t="str">
        <f>TEXT(tbl_analysis_tickets[[#This Row],[created_date]],"dddd")</f>
        <v>Saturday</v>
      </c>
      <c r="V631" cm="1">
        <f t="array" ref="V631">_xlfn.SWITCH(tbl_analysis_tickets[[#This Row],[priority]],
"Urgent",1,
"High",2,
"Medium",3,
"Low",4
)</f>
        <v>2</v>
      </c>
    </row>
    <row r="632" spans="1:22" x14ac:dyDescent="0.25">
      <c r="A632">
        <v>631</v>
      </c>
      <c r="B632" s="1">
        <v>45446</v>
      </c>
      <c r="C632" t="s">
        <v>21</v>
      </c>
      <c r="D632" t="s">
        <v>17</v>
      </c>
      <c r="E632">
        <v>65</v>
      </c>
      <c r="F632">
        <v>45</v>
      </c>
      <c r="G632">
        <v>1.5</v>
      </c>
      <c r="H632" t="s">
        <v>18</v>
      </c>
      <c r="I632" t="s">
        <v>16</v>
      </c>
      <c r="J632" t="s">
        <v>11</v>
      </c>
      <c r="K632">
        <f>_xlfn.XLOOKUP(tbl_analysis_tickets[[#This Row],[priority]],tbl_sla[priority],tbl_sla[Resolution SLA Hours])</f>
        <v>8</v>
      </c>
      <c r="L632">
        <f>_xlfn.XLOOKUP(tbl_analysis_tickets[[#This Row],[priority]],tbl_sla[priority],tbl_sla[First Response SLA Minutes])</f>
        <v>30</v>
      </c>
      <c r="M632" t="str">
        <f>IF(tbl_analysis_tickets[[#This Row],[resolution_time_hours]]&gt;tbl_analysis_tickets[[#This Row],[Resolution SLA Hours]],"Breached","Within SLA")</f>
        <v>Breached</v>
      </c>
      <c r="N632" t="str">
        <f>IF(tbl_analysis_tickets[[#This Row],[first_response_minutes]]&gt;tbl_analysis_tickets[[#This Row],[First Response SLA Minutes]],"Breached","Within SLA")</f>
        <v>Breached</v>
      </c>
      <c r="O632" t="str" cm="1">
        <f t="array" ref="O632">_xlfn.IFS(
tbl_analysis_tickets[[#This Row],[agent_experience_years]]&lt;=2,"Junior",
tbl_analysis_tickets[[#This Row],[agent_experience_years]]&lt;=5,"Mid-Level",
tbl_analysis_tickets[[#This Row],[agent_experience_years]]&lt;=8,"Senior",
tbl_analysis_tickets[[#This Row],[agent_experience_years]]&gt;8,"Expert"
)</f>
        <v>Junior</v>
      </c>
      <c r="P632" cm="1">
        <f t="array" ref="P632">_xlfn.SWITCH(tbl_analysis_tickets[[#This Row],[customer_satisfaction]],
"Low",1,
"Medium",2,
"High",3
)</f>
        <v>1</v>
      </c>
      <c r="Q632">
        <f>IF(tbl_analysis_tickets[[#This Row],[reopened]]="Yes",1,0)</f>
        <v>0</v>
      </c>
      <c r="R632" t="str" cm="1">
        <f t="array" ref="R632">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632" t="str" cm="1">
        <f t="array" ref="S63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632" t="str">
        <f>TEXT(tbl_analysis_tickets[[#This Row],[created_date]],"mmm-yyyy")</f>
        <v>Jun-2024</v>
      </c>
      <c r="U632" t="str">
        <f>TEXT(tbl_analysis_tickets[[#This Row],[created_date]],"dddd")</f>
        <v>Monday</v>
      </c>
      <c r="V632" cm="1">
        <f t="array" ref="V632">_xlfn.SWITCH(tbl_analysis_tickets[[#This Row],[priority]],
"Urgent",1,
"High",2,
"Medium",3,
"Low",4
)</f>
        <v>1</v>
      </c>
    </row>
    <row r="633" spans="1:22" x14ac:dyDescent="0.25">
      <c r="A633">
        <v>632</v>
      </c>
      <c r="B633" s="1">
        <v>45378</v>
      </c>
      <c r="C633" t="s">
        <v>10</v>
      </c>
      <c r="D633" t="s">
        <v>15</v>
      </c>
      <c r="E633">
        <v>154</v>
      </c>
      <c r="F633">
        <v>7</v>
      </c>
      <c r="G633">
        <v>1.8</v>
      </c>
      <c r="H633" t="s">
        <v>12</v>
      </c>
      <c r="I633" t="s">
        <v>19</v>
      </c>
      <c r="J633" t="s">
        <v>11</v>
      </c>
      <c r="K633">
        <f>_xlfn.XLOOKUP(tbl_analysis_tickets[[#This Row],[priority]],tbl_sla[priority],tbl_sla[Resolution SLA Hours])</f>
        <v>48</v>
      </c>
      <c r="L633">
        <f>_xlfn.XLOOKUP(tbl_analysis_tickets[[#This Row],[priority]],tbl_sla[priority],tbl_sla[First Response SLA Minutes])</f>
        <v>120</v>
      </c>
      <c r="M633" t="str">
        <f>IF(tbl_analysis_tickets[[#This Row],[resolution_time_hours]]&gt;tbl_analysis_tickets[[#This Row],[Resolution SLA Hours]],"Breached","Within SLA")</f>
        <v>Within SLA</v>
      </c>
      <c r="N633" t="str">
        <f>IF(tbl_analysis_tickets[[#This Row],[first_response_minutes]]&gt;tbl_analysis_tickets[[#This Row],[First Response SLA Minutes]],"Breached","Within SLA")</f>
        <v>Breached</v>
      </c>
      <c r="O633" t="str" cm="1">
        <f t="array" ref="O633">_xlfn.IFS(
tbl_analysis_tickets[[#This Row],[agent_experience_years]]&lt;=2,"Junior",
tbl_analysis_tickets[[#This Row],[agent_experience_years]]&lt;=5,"Mid-Level",
tbl_analysis_tickets[[#This Row],[agent_experience_years]]&lt;=8,"Senior",
tbl_analysis_tickets[[#This Row],[agent_experience_years]]&gt;8,"Expert"
)</f>
        <v>Junior</v>
      </c>
      <c r="P633" cm="1">
        <f t="array" ref="P633">_xlfn.SWITCH(tbl_analysis_tickets[[#This Row],[customer_satisfaction]],
"Low",1,
"Medium",2,
"High",3
)</f>
        <v>1</v>
      </c>
      <c r="Q633">
        <f>IF(tbl_analysis_tickets[[#This Row],[reopened]]="Yes",1,0)</f>
        <v>1</v>
      </c>
      <c r="R633" t="str" cm="1">
        <f t="array" ref="R633">_xlfn.IFS(
tbl_analysis_tickets[[#This Row],[first_response_minutes]]&lt;=30,"Very Fast",
tbl_analysis_tickets[[#This Row],[first_response_minutes]]&lt;=120,"Acceptable",
tbl_analysis_tickets[[#This Row],[first_response_minutes]]&lt;=240,"Slow",
tbl_analysis_tickets[[#This Row],[first_response_minutes]]&gt;240,"Very Slow"
)</f>
        <v>Slow</v>
      </c>
      <c r="S633" t="str" cm="1">
        <f t="array" ref="S63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633" t="str">
        <f>TEXT(tbl_analysis_tickets[[#This Row],[created_date]],"mmm-yyyy")</f>
        <v>Mar-2024</v>
      </c>
      <c r="U633" t="str">
        <f>TEXT(tbl_analysis_tickets[[#This Row],[created_date]],"dddd")</f>
        <v>Wednesday</v>
      </c>
      <c r="V633" cm="1">
        <f t="array" ref="V633">_xlfn.SWITCH(tbl_analysis_tickets[[#This Row],[priority]],
"Urgent",1,
"High",2,
"Medium",3,
"Low",4
)</f>
        <v>3</v>
      </c>
    </row>
    <row r="634" spans="1:22" x14ac:dyDescent="0.25">
      <c r="A634">
        <v>633</v>
      </c>
      <c r="B634" s="1">
        <v>45583</v>
      </c>
      <c r="C634" t="s">
        <v>22</v>
      </c>
      <c r="D634" t="s">
        <v>11</v>
      </c>
      <c r="E634">
        <v>218</v>
      </c>
      <c r="F634">
        <v>56</v>
      </c>
      <c r="G634">
        <v>2.1</v>
      </c>
      <c r="H634" t="s">
        <v>18</v>
      </c>
      <c r="I634" t="s">
        <v>19</v>
      </c>
      <c r="J634" t="s">
        <v>11</v>
      </c>
      <c r="K634">
        <f>_xlfn.XLOOKUP(tbl_analysis_tickets[[#This Row],[priority]],tbl_sla[priority],tbl_sla[Resolution SLA Hours])</f>
        <v>72</v>
      </c>
      <c r="L634">
        <f>_xlfn.XLOOKUP(tbl_analysis_tickets[[#This Row],[priority]],tbl_sla[priority],tbl_sla[First Response SLA Minutes])</f>
        <v>240</v>
      </c>
      <c r="M634" t="str">
        <f>IF(tbl_analysis_tickets[[#This Row],[resolution_time_hours]]&gt;tbl_analysis_tickets[[#This Row],[Resolution SLA Hours]],"Breached","Within SLA")</f>
        <v>Within SLA</v>
      </c>
      <c r="N634" t="str">
        <f>IF(tbl_analysis_tickets[[#This Row],[first_response_minutes]]&gt;tbl_analysis_tickets[[#This Row],[First Response SLA Minutes]],"Breached","Within SLA")</f>
        <v>Within SLA</v>
      </c>
      <c r="O634" t="str" cm="1">
        <f t="array" ref="O634">_xlfn.IFS(
tbl_analysis_tickets[[#This Row],[agent_experience_years]]&lt;=2,"Junior",
tbl_analysis_tickets[[#This Row],[agent_experience_years]]&lt;=5,"Mid-Level",
tbl_analysis_tickets[[#This Row],[agent_experience_years]]&lt;=8,"Senior",
tbl_analysis_tickets[[#This Row],[agent_experience_years]]&gt;8,"Expert"
)</f>
        <v>Mid-Level</v>
      </c>
      <c r="P634" cm="1">
        <f t="array" ref="P634">_xlfn.SWITCH(tbl_analysis_tickets[[#This Row],[customer_satisfaction]],
"Low",1,
"Medium",2,
"High",3
)</f>
        <v>1</v>
      </c>
      <c r="Q634">
        <f>IF(tbl_analysis_tickets[[#This Row],[reopened]]="Yes",1,0)</f>
        <v>0</v>
      </c>
      <c r="R634" t="str" cm="1">
        <f t="array" ref="R634">_xlfn.IFS(
tbl_analysis_tickets[[#This Row],[first_response_minutes]]&lt;=30,"Very Fast",
tbl_analysis_tickets[[#This Row],[first_response_minutes]]&lt;=120,"Acceptable",
tbl_analysis_tickets[[#This Row],[first_response_minutes]]&lt;=240,"Slow",
tbl_analysis_tickets[[#This Row],[first_response_minutes]]&gt;240,"Very Slow"
)</f>
        <v>Slow</v>
      </c>
      <c r="S634" t="str" cm="1">
        <f t="array" ref="S63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634" t="str">
        <f>TEXT(tbl_analysis_tickets[[#This Row],[created_date]],"mmm-yyyy")</f>
        <v>Oct-2024</v>
      </c>
      <c r="U634" t="str">
        <f>TEXT(tbl_analysis_tickets[[#This Row],[created_date]],"dddd")</f>
        <v>Friday</v>
      </c>
      <c r="V634" cm="1">
        <f t="array" ref="V634">_xlfn.SWITCH(tbl_analysis_tickets[[#This Row],[priority]],
"Urgent",1,
"High",2,
"Medium",3,
"Low",4
)</f>
        <v>4</v>
      </c>
    </row>
    <row r="635" spans="1:22" x14ac:dyDescent="0.25">
      <c r="A635">
        <v>634</v>
      </c>
      <c r="B635" s="1">
        <v>45320</v>
      </c>
      <c r="C635" t="s">
        <v>21</v>
      </c>
      <c r="D635" t="s">
        <v>11</v>
      </c>
      <c r="E635">
        <v>134</v>
      </c>
      <c r="F635">
        <v>42</v>
      </c>
      <c r="G635">
        <v>2.8</v>
      </c>
      <c r="H635" t="s">
        <v>18</v>
      </c>
      <c r="I635" t="s">
        <v>13</v>
      </c>
      <c r="J635" t="s">
        <v>11</v>
      </c>
      <c r="K635">
        <f>_xlfn.XLOOKUP(tbl_analysis_tickets[[#This Row],[priority]],tbl_sla[priority],tbl_sla[Resolution SLA Hours])</f>
        <v>72</v>
      </c>
      <c r="L635">
        <f>_xlfn.XLOOKUP(tbl_analysis_tickets[[#This Row],[priority]],tbl_sla[priority],tbl_sla[First Response SLA Minutes])</f>
        <v>240</v>
      </c>
      <c r="M635" t="str">
        <f>IF(tbl_analysis_tickets[[#This Row],[resolution_time_hours]]&gt;tbl_analysis_tickets[[#This Row],[Resolution SLA Hours]],"Breached","Within SLA")</f>
        <v>Within SLA</v>
      </c>
      <c r="N635" t="str">
        <f>IF(tbl_analysis_tickets[[#This Row],[first_response_minutes]]&gt;tbl_analysis_tickets[[#This Row],[First Response SLA Minutes]],"Breached","Within SLA")</f>
        <v>Within SLA</v>
      </c>
      <c r="O635" t="str" cm="1">
        <f t="array" ref="O635">_xlfn.IFS(
tbl_analysis_tickets[[#This Row],[agent_experience_years]]&lt;=2,"Junior",
tbl_analysis_tickets[[#This Row],[agent_experience_years]]&lt;=5,"Mid-Level",
tbl_analysis_tickets[[#This Row],[agent_experience_years]]&lt;=8,"Senior",
tbl_analysis_tickets[[#This Row],[agent_experience_years]]&gt;8,"Expert"
)</f>
        <v>Mid-Level</v>
      </c>
      <c r="P635" cm="1">
        <f t="array" ref="P635">_xlfn.SWITCH(tbl_analysis_tickets[[#This Row],[customer_satisfaction]],
"Low",1,
"Medium",2,
"High",3
)</f>
        <v>1</v>
      </c>
      <c r="Q635">
        <f>IF(tbl_analysis_tickets[[#This Row],[reopened]]="Yes",1,0)</f>
        <v>0</v>
      </c>
      <c r="R635" t="str" cm="1">
        <f t="array" ref="R635">_xlfn.IFS(
tbl_analysis_tickets[[#This Row],[first_response_minutes]]&lt;=30,"Very Fast",
tbl_analysis_tickets[[#This Row],[first_response_minutes]]&lt;=120,"Acceptable",
tbl_analysis_tickets[[#This Row],[first_response_minutes]]&lt;=240,"Slow",
tbl_analysis_tickets[[#This Row],[first_response_minutes]]&gt;240,"Very Slow"
)</f>
        <v>Slow</v>
      </c>
      <c r="S635" t="str" cm="1">
        <f t="array" ref="S63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635" t="str">
        <f>TEXT(tbl_analysis_tickets[[#This Row],[created_date]],"mmm-yyyy")</f>
        <v>Jan-2024</v>
      </c>
      <c r="U635" t="str">
        <f>TEXT(tbl_analysis_tickets[[#This Row],[created_date]],"dddd")</f>
        <v>Monday</v>
      </c>
      <c r="V635" cm="1">
        <f t="array" ref="V635">_xlfn.SWITCH(tbl_analysis_tickets[[#This Row],[priority]],
"Urgent",1,
"High",2,
"Medium",3,
"Low",4
)</f>
        <v>4</v>
      </c>
    </row>
    <row r="636" spans="1:22" x14ac:dyDescent="0.25">
      <c r="A636">
        <v>635</v>
      </c>
      <c r="B636" s="1">
        <v>45425</v>
      </c>
      <c r="C636" t="s">
        <v>22</v>
      </c>
      <c r="D636" t="s">
        <v>17</v>
      </c>
      <c r="E636">
        <v>17</v>
      </c>
      <c r="F636">
        <v>55</v>
      </c>
      <c r="G636">
        <v>8.6999999999999993</v>
      </c>
      <c r="H636" t="s">
        <v>12</v>
      </c>
      <c r="I636" t="s">
        <v>16</v>
      </c>
      <c r="J636" t="s">
        <v>15</v>
      </c>
      <c r="K636">
        <f>_xlfn.XLOOKUP(tbl_analysis_tickets[[#This Row],[priority]],tbl_sla[priority],tbl_sla[Resolution SLA Hours])</f>
        <v>8</v>
      </c>
      <c r="L636">
        <f>_xlfn.XLOOKUP(tbl_analysis_tickets[[#This Row],[priority]],tbl_sla[priority],tbl_sla[First Response SLA Minutes])</f>
        <v>30</v>
      </c>
      <c r="M636" t="str">
        <f>IF(tbl_analysis_tickets[[#This Row],[resolution_time_hours]]&gt;tbl_analysis_tickets[[#This Row],[Resolution SLA Hours]],"Breached","Within SLA")</f>
        <v>Breached</v>
      </c>
      <c r="N636" t="str">
        <f>IF(tbl_analysis_tickets[[#This Row],[first_response_minutes]]&gt;tbl_analysis_tickets[[#This Row],[First Response SLA Minutes]],"Breached","Within SLA")</f>
        <v>Within SLA</v>
      </c>
      <c r="O636" t="str" cm="1">
        <f t="array" ref="O636">_xlfn.IFS(
tbl_analysis_tickets[[#This Row],[agent_experience_years]]&lt;=2,"Junior",
tbl_analysis_tickets[[#This Row],[agent_experience_years]]&lt;=5,"Mid-Level",
tbl_analysis_tickets[[#This Row],[agent_experience_years]]&lt;=8,"Senior",
tbl_analysis_tickets[[#This Row],[agent_experience_years]]&gt;8,"Expert"
)</f>
        <v>Expert</v>
      </c>
      <c r="P636" cm="1">
        <f t="array" ref="P636">_xlfn.SWITCH(tbl_analysis_tickets[[#This Row],[customer_satisfaction]],
"Low",1,
"Medium",2,
"High",3
)</f>
        <v>2</v>
      </c>
      <c r="Q636">
        <f>IF(tbl_analysis_tickets[[#This Row],[reopened]]="Yes",1,0)</f>
        <v>1</v>
      </c>
      <c r="R636" t="str" cm="1">
        <f t="array" ref="R636">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636" t="str" cm="1">
        <f t="array" ref="S63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636" t="str">
        <f>TEXT(tbl_analysis_tickets[[#This Row],[created_date]],"mmm-yyyy")</f>
        <v>May-2024</v>
      </c>
      <c r="U636" t="str">
        <f>TEXT(tbl_analysis_tickets[[#This Row],[created_date]],"dddd")</f>
        <v>Monday</v>
      </c>
      <c r="V636" cm="1">
        <f t="array" ref="V636">_xlfn.SWITCH(tbl_analysis_tickets[[#This Row],[priority]],
"Urgent",1,
"High",2,
"Medium",3,
"Low",4
)</f>
        <v>1</v>
      </c>
    </row>
    <row r="637" spans="1:22" x14ac:dyDescent="0.25">
      <c r="A637">
        <v>636</v>
      </c>
      <c r="B637" s="1">
        <v>45611</v>
      </c>
      <c r="C637" t="s">
        <v>21</v>
      </c>
      <c r="D637" t="s">
        <v>11</v>
      </c>
      <c r="E637">
        <v>104</v>
      </c>
      <c r="F637">
        <v>40</v>
      </c>
      <c r="G637">
        <v>8</v>
      </c>
      <c r="H637" t="s">
        <v>18</v>
      </c>
      <c r="I637" t="s">
        <v>16</v>
      </c>
      <c r="J637" t="s">
        <v>15</v>
      </c>
      <c r="K637">
        <f>_xlfn.XLOOKUP(tbl_analysis_tickets[[#This Row],[priority]],tbl_sla[priority],tbl_sla[Resolution SLA Hours])</f>
        <v>72</v>
      </c>
      <c r="L637">
        <f>_xlfn.XLOOKUP(tbl_analysis_tickets[[#This Row],[priority]],tbl_sla[priority],tbl_sla[First Response SLA Minutes])</f>
        <v>240</v>
      </c>
      <c r="M637" t="str">
        <f>IF(tbl_analysis_tickets[[#This Row],[resolution_time_hours]]&gt;tbl_analysis_tickets[[#This Row],[Resolution SLA Hours]],"Breached","Within SLA")</f>
        <v>Within SLA</v>
      </c>
      <c r="N637" t="str">
        <f>IF(tbl_analysis_tickets[[#This Row],[first_response_minutes]]&gt;tbl_analysis_tickets[[#This Row],[First Response SLA Minutes]],"Breached","Within SLA")</f>
        <v>Within SLA</v>
      </c>
      <c r="O637" t="str" cm="1">
        <f t="array" ref="O637">_xlfn.IFS(
tbl_analysis_tickets[[#This Row],[agent_experience_years]]&lt;=2,"Junior",
tbl_analysis_tickets[[#This Row],[agent_experience_years]]&lt;=5,"Mid-Level",
tbl_analysis_tickets[[#This Row],[agent_experience_years]]&lt;=8,"Senior",
tbl_analysis_tickets[[#This Row],[agent_experience_years]]&gt;8,"Expert"
)</f>
        <v>Senior</v>
      </c>
      <c r="P637" cm="1">
        <f t="array" ref="P637">_xlfn.SWITCH(tbl_analysis_tickets[[#This Row],[customer_satisfaction]],
"Low",1,
"Medium",2,
"High",3
)</f>
        <v>2</v>
      </c>
      <c r="Q637">
        <f>IF(tbl_analysis_tickets[[#This Row],[reopened]]="Yes",1,0)</f>
        <v>0</v>
      </c>
      <c r="R637" t="str" cm="1">
        <f t="array" ref="R637">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637" t="str" cm="1">
        <f t="array" ref="S63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637" t="str">
        <f>TEXT(tbl_analysis_tickets[[#This Row],[created_date]],"mmm-yyyy")</f>
        <v>Nov-2024</v>
      </c>
      <c r="U637" t="str">
        <f>TEXT(tbl_analysis_tickets[[#This Row],[created_date]],"dddd")</f>
        <v>Friday</v>
      </c>
      <c r="V637" cm="1">
        <f t="array" ref="V637">_xlfn.SWITCH(tbl_analysis_tickets[[#This Row],[priority]],
"Urgent",1,
"High",2,
"Medium",3,
"Low",4
)</f>
        <v>4</v>
      </c>
    </row>
    <row r="638" spans="1:22" x14ac:dyDescent="0.25">
      <c r="A638">
        <v>637</v>
      </c>
      <c r="B638" s="1">
        <v>45353</v>
      </c>
      <c r="C638" t="s">
        <v>23</v>
      </c>
      <c r="D638" t="s">
        <v>20</v>
      </c>
      <c r="E638">
        <v>70</v>
      </c>
      <c r="F638">
        <v>38</v>
      </c>
      <c r="G638">
        <v>3.8</v>
      </c>
      <c r="H638" t="s">
        <v>12</v>
      </c>
      <c r="I638" t="s">
        <v>19</v>
      </c>
      <c r="J638" t="s">
        <v>11</v>
      </c>
      <c r="K638">
        <f>_xlfn.XLOOKUP(tbl_analysis_tickets[[#This Row],[priority]],tbl_sla[priority],tbl_sla[Resolution SLA Hours])</f>
        <v>24</v>
      </c>
      <c r="L638">
        <f>_xlfn.XLOOKUP(tbl_analysis_tickets[[#This Row],[priority]],tbl_sla[priority],tbl_sla[First Response SLA Minutes])</f>
        <v>60</v>
      </c>
      <c r="M638" t="str">
        <f>IF(tbl_analysis_tickets[[#This Row],[resolution_time_hours]]&gt;tbl_analysis_tickets[[#This Row],[Resolution SLA Hours]],"Breached","Within SLA")</f>
        <v>Breached</v>
      </c>
      <c r="N638" t="str">
        <f>IF(tbl_analysis_tickets[[#This Row],[first_response_minutes]]&gt;tbl_analysis_tickets[[#This Row],[First Response SLA Minutes]],"Breached","Within SLA")</f>
        <v>Breached</v>
      </c>
      <c r="O638" t="str" cm="1">
        <f t="array" ref="O638">_xlfn.IFS(
tbl_analysis_tickets[[#This Row],[agent_experience_years]]&lt;=2,"Junior",
tbl_analysis_tickets[[#This Row],[agent_experience_years]]&lt;=5,"Mid-Level",
tbl_analysis_tickets[[#This Row],[agent_experience_years]]&lt;=8,"Senior",
tbl_analysis_tickets[[#This Row],[agent_experience_years]]&gt;8,"Expert"
)</f>
        <v>Mid-Level</v>
      </c>
      <c r="P638" cm="1">
        <f t="array" ref="P638">_xlfn.SWITCH(tbl_analysis_tickets[[#This Row],[customer_satisfaction]],
"Low",1,
"Medium",2,
"High",3
)</f>
        <v>1</v>
      </c>
      <c r="Q638">
        <f>IF(tbl_analysis_tickets[[#This Row],[reopened]]="Yes",1,0)</f>
        <v>1</v>
      </c>
      <c r="R638" t="str" cm="1">
        <f t="array" ref="R638">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638" t="str" cm="1">
        <f t="array" ref="S63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638" t="str">
        <f>TEXT(tbl_analysis_tickets[[#This Row],[created_date]],"mmm-yyyy")</f>
        <v>Mar-2024</v>
      </c>
      <c r="U638" t="str">
        <f>TEXT(tbl_analysis_tickets[[#This Row],[created_date]],"dddd")</f>
        <v>Saturday</v>
      </c>
      <c r="V638" cm="1">
        <f t="array" ref="V638">_xlfn.SWITCH(tbl_analysis_tickets[[#This Row],[priority]],
"Urgent",1,
"High",2,
"Medium",3,
"Low",4
)</f>
        <v>2</v>
      </c>
    </row>
    <row r="639" spans="1:22" x14ac:dyDescent="0.25">
      <c r="A639">
        <v>638</v>
      </c>
      <c r="B639" s="1">
        <v>45379</v>
      </c>
      <c r="C639" t="s">
        <v>22</v>
      </c>
      <c r="D639" t="s">
        <v>15</v>
      </c>
      <c r="E639">
        <v>102</v>
      </c>
      <c r="F639">
        <v>58</v>
      </c>
      <c r="G639">
        <v>3.1</v>
      </c>
      <c r="H639" t="s">
        <v>12</v>
      </c>
      <c r="I639" t="s">
        <v>19</v>
      </c>
      <c r="J639" t="s">
        <v>11</v>
      </c>
      <c r="K639">
        <f>_xlfn.XLOOKUP(tbl_analysis_tickets[[#This Row],[priority]],tbl_sla[priority],tbl_sla[Resolution SLA Hours])</f>
        <v>48</v>
      </c>
      <c r="L639">
        <f>_xlfn.XLOOKUP(tbl_analysis_tickets[[#This Row],[priority]],tbl_sla[priority],tbl_sla[First Response SLA Minutes])</f>
        <v>120</v>
      </c>
      <c r="M639" t="str">
        <f>IF(tbl_analysis_tickets[[#This Row],[resolution_time_hours]]&gt;tbl_analysis_tickets[[#This Row],[Resolution SLA Hours]],"Breached","Within SLA")</f>
        <v>Breached</v>
      </c>
      <c r="N639" t="str">
        <f>IF(tbl_analysis_tickets[[#This Row],[first_response_minutes]]&gt;tbl_analysis_tickets[[#This Row],[First Response SLA Minutes]],"Breached","Within SLA")</f>
        <v>Within SLA</v>
      </c>
      <c r="O639" t="str" cm="1">
        <f t="array" ref="O639">_xlfn.IFS(
tbl_analysis_tickets[[#This Row],[agent_experience_years]]&lt;=2,"Junior",
tbl_analysis_tickets[[#This Row],[agent_experience_years]]&lt;=5,"Mid-Level",
tbl_analysis_tickets[[#This Row],[agent_experience_years]]&lt;=8,"Senior",
tbl_analysis_tickets[[#This Row],[agent_experience_years]]&gt;8,"Expert"
)</f>
        <v>Mid-Level</v>
      </c>
      <c r="P639" cm="1">
        <f t="array" ref="P639">_xlfn.SWITCH(tbl_analysis_tickets[[#This Row],[customer_satisfaction]],
"Low",1,
"Medium",2,
"High",3
)</f>
        <v>1</v>
      </c>
      <c r="Q639">
        <f>IF(tbl_analysis_tickets[[#This Row],[reopened]]="Yes",1,0)</f>
        <v>1</v>
      </c>
      <c r="R639" t="str" cm="1">
        <f t="array" ref="R639">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639" t="str" cm="1">
        <f t="array" ref="S63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639" t="str">
        <f>TEXT(tbl_analysis_tickets[[#This Row],[created_date]],"mmm-yyyy")</f>
        <v>Mar-2024</v>
      </c>
      <c r="U639" t="str">
        <f>TEXT(tbl_analysis_tickets[[#This Row],[created_date]],"dddd")</f>
        <v>Thursday</v>
      </c>
      <c r="V639" cm="1">
        <f t="array" ref="V639">_xlfn.SWITCH(tbl_analysis_tickets[[#This Row],[priority]],
"Urgent",1,
"High",2,
"Medium",3,
"Low",4
)</f>
        <v>3</v>
      </c>
    </row>
    <row r="640" spans="1:22" x14ac:dyDescent="0.25">
      <c r="A640">
        <v>639</v>
      </c>
      <c r="B640" s="1">
        <v>45634</v>
      </c>
      <c r="C640" t="s">
        <v>14</v>
      </c>
      <c r="D640" t="s">
        <v>15</v>
      </c>
      <c r="E640">
        <v>94</v>
      </c>
      <c r="F640">
        <v>16</v>
      </c>
      <c r="G640">
        <v>7.5</v>
      </c>
      <c r="H640" t="s">
        <v>12</v>
      </c>
      <c r="I640" t="s">
        <v>13</v>
      </c>
      <c r="J640" t="s">
        <v>11</v>
      </c>
      <c r="K640">
        <f>_xlfn.XLOOKUP(tbl_analysis_tickets[[#This Row],[priority]],tbl_sla[priority],tbl_sla[Resolution SLA Hours])</f>
        <v>48</v>
      </c>
      <c r="L640">
        <f>_xlfn.XLOOKUP(tbl_analysis_tickets[[#This Row],[priority]],tbl_sla[priority],tbl_sla[First Response SLA Minutes])</f>
        <v>120</v>
      </c>
      <c r="M640" t="str">
        <f>IF(tbl_analysis_tickets[[#This Row],[resolution_time_hours]]&gt;tbl_analysis_tickets[[#This Row],[Resolution SLA Hours]],"Breached","Within SLA")</f>
        <v>Within SLA</v>
      </c>
      <c r="N640" t="str">
        <f>IF(tbl_analysis_tickets[[#This Row],[first_response_minutes]]&gt;tbl_analysis_tickets[[#This Row],[First Response SLA Minutes]],"Breached","Within SLA")</f>
        <v>Within SLA</v>
      </c>
      <c r="O640" t="str" cm="1">
        <f t="array" ref="O640">_xlfn.IFS(
tbl_analysis_tickets[[#This Row],[agent_experience_years]]&lt;=2,"Junior",
tbl_analysis_tickets[[#This Row],[agent_experience_years]]&lt;=5,"Mid-Level",
tbl_analysis_tickets[[#This Row],[agent_experience_years]]&lt;=8,"Senior",
tbl_analysis_tickets[[#This Row],[agent_experience_years]]&gt;8,"Expert"
)</f>
        <v>Senior</v>
      </c>
      <c r="P640" cm="1">
        <f t="array" ref="P640">_xlfn.SWITCH(tbl_analysis_tickets[[#This Row],[customer_satisfaction]],
"Low",1,
"Medium",2,
"High",3
)</f>
        <v>1</v>
      </c>
      <c r="Q640">
        <f>IF(tbl_analysis_tickets[[#This Row],[reopened]]="Yes",1,0)</f>
        <v>1</v>
      </c>
      <c r="R640" t="str" cm="1">
        <f t="array" ref="R640">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640" t="str" cm="1">
        <f t="array" ref="S64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640" t="str">
        <f>TEXT(tbl_analysis_tickets[[#This Row],[created_date]],"mmm-yyyy")</f>
        <v>Dec-2024</v>
      </c>
      <c r="U640" t="str">
        <f>TEXT(tbl_analysis_tickets[[#This Row],[created_date]],"dddd")</f>
        <v>Sunday</v>
      </c>
      <c r="V640" cm="1">
        <f t="array" ref="V640">_xlfn.SWITCH(tbl_analysis_tickets[[#This Row],[priority]],
"Urgent",1,
"High",2,
"Medium",3,
"Low",4
)</f>
        <v>3</v>
      </c>
    </row>
    <row r="641" spans="1:22" x14ac:dyDescent="0.25">
      <c r="A641">
        <v>640</v>
      </c>
      <c r="B641" s="1">
        <v>45352</v>
      </c>
      <c r="C641" t="s">
        <v>22</v>
      </c>
      <c r="D641" t="s">
        <v>20</v>
      </c>
      <c r="E641">
        <v>111</v>
      </c>
      <c r="F641">
        <v>26</v>
      </c>
      <c r="G641">
        <v>9.6999999999999993</v>
      </c>
      <c r="H641" t="s">
        <v>18</v>
      </c>
      <c r="I641" t="s">
        <v>13</v>
      </c>
      <c r="J641" t="s">
        <v>11</v>
      </c>
      <c r="K641">
        <f>_xlfn.XLOOKUP(tbl_analysis_tickets[[#This Row],[priority]],tbl_sla[priority],tbl_sla[Resolution SLA Hours])</f>
        <v>24</v>
      </c>
      <c r="L641">
        <f>_xlfn.XLOOKUP(tbl_analysis_tickets[[#This Row],[priority]],tbl_sla[priority],tbl_sla[First Response SLA Minutes])</f>
        <v>60</v>
      </c>
      <c r="M641" t="str">
        <f>IF(tbl_analysis_tickets[[#This Row],[resolution_time_hours]]&gt;tbl_analysis_tickets[[#This Row],[Resolution SLA Hours]],"Breached","Within SLA")</f>
        <v>Breached</v>
      </c>
      <c r="N641" t="str">
        <f>IF(tbl_analysis_tickets[[#This Row],[first_response_minutes]]&gt;tbl_analysis_tickets[[#This Row],[First Response SLA Minutes]],"Breached","Within SLA")</f>
        <v>Breached</v>
      </c>
      <c r="O641" t="str" cm="1">
        <f t="array" ref="O641">_xlfn.IFS(
tbl_analysis_tickets[[#This Row],[agent_experience_years]]&lt;=2,"Junior",
tbl_analysis_tickets[[#This Row],[agent_experience_years]]&lt;=5,"Mid-Level",
tbl_analysis_tickets[[#This Row],[agent_experience_years]]&lt;=8,"Senior",
tbl_analysis_tickets[[#This Row],[agent_experience_years]]&gt;8,"Expert"
)</f>
        <v>Expert</v>
      </c>
      <c r="P641" cm="1">
        <f t="array" ref="P641">_xlfn.SWITCH(tbl_analysis_tickets[[#This Row],[customer_satisfaction]],
"Low",1,
"Medium",2,
"High",3
)</f>
        <v>1</v>
      </c>
      <c r="Q641">
        <f>IF(tbl_analysis_tickets[[#This Row],[reopened]]="Yes",1,0)</f>
        <v>0</v>
      </c>
      <c r="R641" t="str" cm="1">
        <f t="array" ref="R641">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641" t="str" cm="1">
        <f t="array" ref="S64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641" t="str">
        <f>TEXT(tbl_analysis_tickets[[#This Row],[created_date]],"mmm-yyyy")</f>
        <v>Mar-2024</v>
      </c>
      <c r="U641" t="str">
        <f>TEXT(tbl_analysis_tickets[[#This Row],[created_date]],"dddd")</f>
        <v>Friday</v>
      </c>
      <c r="V641" cm="1">
        <f t="array" ref="V641">_xlfn.SWITCH(tbl_analysis_tickets[[#This Row],[priority]],
"Urgent",1,
"High",2,
"Medium",3,
"Low",4
)</f>
        <v>2</v>
      </c>
    </row>
    <row r="642" spans="1:22" x14ac:dyDescent="0.25">
      <c r="A642">
        <v>641</v>
      </c>
      <c r="B642" s="1">
        <v>45591</v>
      </c>
      <c r="C642" t="s">
        <v>10</v>
      </c>
      <c r="D642" t="s">
        <v>20</v>
      </c>
      <c r="E642">
        <v>28</v>
      </c>
      <c r="F642">
        <v>46</v>
      </c>
      <c r="G642">
        <v>8.9</v>
      </c>
      <c r="H642" t="s">
        <v>12</v>
      </c>
      <c r="I642" t="s">
        <v>16</v>
      </c>
      <c r="J642" t="s">
        <v>15</v>
      </c>
      <c r="K642">
        <f>_xlfn.XLOOKUP(tbl_analysis_tickets[[#This Row],[priority]],tbl_sla[priority],tbl_sla[Resolution SLA Hours])</f>
        <v>24</v>
      </c>
      <c r="L642">
        <f>_xlfn.XLOOKUP(tbl_analysis_tickets[[#This Row],[priority]],tbl_sla[priority],tbl_sla[First Response SLA Minutes])</f>
        <v>60</v>
      </c>
      <c r="M642" t="str">
        <f>IF(tbl_analysis_tickets[[#This Row],[resolution_time_hours]]&gt;tbl_analysis_tickets[[#This Row],[Resolution SLA Hours]],"Breached","Within SLA")</f>
        <v>Breached</v>
      </c>
      <c r="N642" t="str">
        <f>IF(tbl_analysis_tickets[[#This Row],[first_response_minutes]]&gt;tbl_analysis_tickets[[#This Row],[First Response SLA Minutes]],"Breached","Within SLA")</f>
        <v>Within SLA</v>
      </c>
      <c r="O642" t="str" cm="1">
        <f t="array" ref="O642">_xlfn.IFS(
tbl_analysis_tickets[[#This Row],[agent_experience_years]]&lt;=2,"Junior",
tbl_analysis_tickets[[#This Row],[agent_experience_years]]&lt;=5,"Mid-Level",
tbl_analysis_tickets[[#This Row],[agent_experience_years]]&lt;=8,"Senior",
tbl_analysis_tickets[[#This Row],[agent_experience_years]]&gt;8,"Expert"
)</f>
        <v>Expert</v>
      </c>
      <c r="P642" cm="1">
        <f t="array" ref="P642">_xlfn.SWITCH(tbl_analysis_tickets[[#This Row],[customer_satisfaction]],
"Low",1,
"Medium",2,
"High",3
)</f>
        <v>2</v>
      </c>
      <c r="Q642">
        <f>IF(tbl_analysis_tickets[[#This Row],[reopened]]="Yes",1,0)</f>
        <v>1</v>
      </c>
      <c r="R642" t="str" cm="1">
        <f t="array" ref="R642">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642" t="str" cm="1">
        <f t="array" ref="S64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642" t="str">
        <f>TEXT(tbl_analysis_tickets[[#This Row],[created_date]],"mmm-yyyy")</f>
        <v>Oct-2024</v>
      </c>
      <c r="U642" t="str">
        <f>TEXT(tbl_analysis_tickets[[#This Row],[created_date]],"dddd")</f>
        <v>Saturday</v>
      </c>
      <c r="V642" cm="1">
        <f t="array" ref="V642">_xlfn.SWITCH(tbl_analysis_tickets[[#This Row],[priority]],
"Urgent",1,
"High",2,
"Medium",3,
"Low",4
)</f>
        <v>2</v>
      </c>
    </row>
    <row r="643" spans="1:22" x14ac:dyDescent="0.25">
      <c r="A643">
        <v>642</v>
      </c>
      <c r="B643" s="1">
        <v>45450</v>
      </c>
      <c r="C643" t="s">
        <v>22</v>
      </c>
      <c r="D643" t="s">
        <v>15</v>
      </c>
      <c r="E643">
        <v>158</v>
      </c>
      <c r="F643">
        <v>48</v>
      </c>
      <c r="G643">
        <v>0.7</v>
      </c>
      <c r="H643" t="s">
        <v>18</v>
      </c>
      <c r="I643" t="s">
        <v>16</v>
      </c>
      <c r="J643" t="s">
        <v>11</v>
      </c>
      <c r="K643">
        <f>_xlfn.XLOOKUP(tbl_analysis_tickets[[#This Row],[priority]],tbl_sla[priority],tbl_sla[Resolution SLA Hours])</f>
        <v>48</v>
      </c>
      <c r="L643">
        <f>_xlfn.XLOOKUP(tbl_analysis_tickets[[#This Row],[priority]],tbl_sla[priority],tbl_sla[First Response SLA Minutes])</f>
        <v>120</v>
      </c>
      <c r="M643" t="str">
        <f>IF(tbl_analysis_tickets[[#This Row],[resolution_time_hours]]&gt;tbl_analysis_tickets[[#This Row],[Resolution SLA Hours]],"Breached","Within SLA")</f>
        <v>Within SLA</v>
      </c>
      <c r="N643" t="str">
        <f>IF(tbl_analysis_tickets[[#This Row],[first_response_minutes]]&gt;tbl_analysis_tickets[[#This Row],[First Response SLA Minutes]],"Breached","Within SLA")</f>
        <v>Breached</v>
      </c>
      <c r="O643" t="str" cm="1">
        <f t="array" ref="O643">_xlfn.IFS(
tbl_analysis_tickets[[#This Row],[agent_experience_years]]&lt;=2,"Junior",
tbl_analysis_tickets[[#This Row],[agent_experience_years]]&lt;=5,"Mid-Level",
tbl_analysis_tickets[[#This Row],[agent_experience_years]]&lt;=8,"Senior",
tbl_analysis_tickets[[#This Row],[agent_experience_years]]&gt;8,"Expert"
)</f>
        <v>Junior</v>
      </c>
      <c r="P643" cm="1">
        <f t="array" ref="P643">_xlfn.SWITCH(tbl_analysis_tickets[[#This Row],[customer_satisfaction]],
"Low",1,
"Medium",2,
"High",3
)</f>
        <v>1</v>
      </c>
      <c r="Q643">
        <f>IF(tbl_analysis_tickets[[#This Row],[reopened]]="Yes",1,0)</f>
        <v>0</v>
      </c>
      <c r="R643" t="str" cm="1">
        <f t="array" ref="R643">_xlfn.IFS(
tbl_analysis_tickets[[#This Row],[first_response_minutes]]&lt;=30,"Very Fast",
tbl_analysis_tickets[[#This Row],[first_response_minutes]]&lt;=120,"Acceptable",
tbl_analysis_tickets[[#This Row],[first_response_minutes]]&lt;=240,"Slow",
tbl_analysis_tickets[[#This Row],[first_response_minutes]]&gt;240,"Very Slow"
)</f>
        <v>Slow</v>
      </c>
      <c r="S643" t="str" cm="1">
        <f t="array" ref="S64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643" t="str">
        <f>TEXT(tbl_analysis_tickets[[#This Row],[created_date]],"mmm-yyyy")</f>
        <v>Jun-2024</v>
      </c>
      <c r="U643" t="str">
        <f>TEXT(tbl_analysis_tickets[[#This Row],[created_date]],"dddd")</f>
        <v>Friday</v>
      </c>
      <c r="V643" cm="1">
        <f t="array" ref="V643">_xlfn.SWITCH(tbl_analysis_tickets[[#This Row],[priority]],
"Urgent",1,
"High",2,
"Medium",3,
"Low",4
)</f>
        <v>3</v>
      </c>
    </row>
    <row r="644" spans="1:22" x14ac:dyDescent="0.25">
      <c r="A644">
        <v>643</v>
      </c>
      <c r="B644" s="1">
        <v>45632</v>
      </c>
      <c r="C644" t="s">
        <v>14</v>
      </c>
      <c r="D644" t="s">
        <v>20</v>
      </c>
      <c r="E644">
        <v>137</v>
      </c>
      <c r="F644">
        <v>9</v>
      </c>
      <c r="G644">
        <v>6.1</v>
      </c>
      <c r="H644" t="s">
        <v>12</v>
      </c>
      <c r="I644" t="s">
        <v>19</v>
      </c>
      <c r="J644" t="s">
        <v>11</v>
      </c>
      <c r="K644">
        <f>_xlfn.XLOOKUP(tbl_analysis_tickets[[#This Row],[priority]],tbl_sla[priority],tbl_sla[Resolution SLA Hours])</f>
        <v>24</v>
      </c>
      <c r="L644">
        <f>_xlfn.XLOOKUP(tbl_analysis_tickets[[#This Row],[priority]],tbl_sla[priority],tbl_sla[First Response SLA Minutes])</f>
        <v>60</v>
      </c>
      <c r="M644" t="str">
        <f>IF(tbl_analysis_tickets[[#This Row],[resolution_time_hours]]&gt;tbl_analysis_tickets[[#This Row],[Resolution SLA Hours]],"Breached","Within SLA")</f>
        <v>Within SLA</v>
      </c>
      <c r="N644" t="str">
        <f>IF(tbl_analysis_tickets[[#This Row],[first_response_minutes]]&gt;tbl_analysis_tickets[[#This Row],[First Response SLA Minutes]],"Breached","Within SLA")</f>
        <v>Breached</v>
      </c>
      <c r="O644" t="str" cm="1">
        <f t="array" ref="O644">_xlfn.IFS(
tbl_analysis_tickets[[#This Row],[agent_experience_years]]&lt;=2,"Junior",
tbl_analysis_tickets[[#This Row],[agent_experience_years]]&lt;=5,"Mid-Level",
tbl_analysis_tickets[[#This Row],[agent_experience_years]]&lt;=8,"Senior",
tbl_analysis_tickets[[#This Row],[agent_experience_years]]&gt;8,"Expert"
)</f>
        <v>Senior</v>
      </c>
      <c r="P644" cm="1">
        <f t="array" ref="P644">_xlfn.SWITCH(tbl_analysis_tickets[[#This Row],[customer_satisfaction]],
"Low",1,
"Medium",2,
"High",3
)</f>
        <v>1</v>
      </c>
      <c r="Q644">
        <f>IF(tbl_analysis_tickets[[#This Row],[reopened]]="Yes",1,0)</f>
        <v>1</v>
      </c>
      <c r="R644" t="str" cm="1">
        <f t="array" ref="R644">_xlfn.IFS(
tbl_analysis_tickets[[#This Row],[first_response_minutes]]&lt;=30,"Very Fast",
tbl_analysis_tickets[[#This Row],[first_response_minutes]]&lt;=120,"Acceptable",
tbl_analysis_tickets[[#This Row],[first_response_minutes]]&lt;=240,"Slow",
tbl_analysis_tickets[[#This Row],[first_response_minutes]]&gt;240,"Very Slow"
)</f>
        <v>Slow</v>
      </c>
      <c r="S644" t="str" cm="1">
        <f t="array" ref="S64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644" t="str">
        <f>TEXT(tbl_analysis_tickets[[#This Row],[created_date]],"mmm-yyyy")</f>
        <v>Dec-2024</v>
      </c>
      <c r="U644" t="str">
        <f>TEXT(tbl_analysis_tickets[[#This Row],[created_date]],"dddd")</f>
        <v>Friday</v>
      </c>
      <c r="V644" cm="1">
        <f t="array" ref="V644">_xlfn.SWITCH(tbl_analysis_tickets[[#This Row],[priority]],
"Urgent",1,
"High",2,
"Medium",3,
"Low",4
)</f>
        <v>2</v>
      </c>
    </row>
    <row r="645" spans="1:22" x14ac:dyDescent="0.25">
      <c r="A645">
        <v>644</v>
      </c>
      <c r="B645" s="1">
        <v>45614</v>
      </c>
      <c r="C645" t="s">
        <v>23</v>
      </c>
      <c r="D645" t="s">
        <v>20</v>
      </c>
      <c r="E645">
        <v>136</v>
      </c>
      <c r="F645">
        <v>65</v>
      </c>
      <c r="G645">
        <v>3.8</v>
      </c>
      <c r="H645" t="s">
        <v>18</v>
      </c>
      <c r="I645" t="s">
        <v>13</v>
      </c>
      <c r="J645" t="s">
        <v>11</v>
      </c>
      <c r="K645">
        <f>_xlfn.XLOOKUP(tbl_analysis_tickets[[#This Row],[priority]],tbl_sla[priority],tbl_sla[Resolution SLA Hours])</f>
        <v>24</v>
      </c>
      <c r="L645">
        <f>_xlfn.XLOOKUP(tbl_analysis_tickets[[#This Row],[priority]],tbl_sla[priority],tbl_sla[First Response SLA Minutes])</f>
        <v>60</v>
      </c>
      <c r="M645" t="str">
        <f>IF(tbl_analysis_tickets[[#This Row],[resolution_time_hours]]&gt;tbl_analysis_tickets[[#This Row],[Resolution SLA Hours]],"Breached","Within SLA")</f>
        <v>Breached</v>
      </c>
      <c r="N645" t="str">
        <f>IF(tbl_analysis_tickets[[#This Row],[first_response_minutes]]&gt;tbl_analysis_tickets[[#This Row],[First Response SLA Minutes]],"Breached","Within SLA")</f>
        <v>Breached</v>
      </c>
      <c r="O645" t="str" cm="1">
        <f t="array" ref="O645">_xlfn.IFS(
tbl_analysis_tickets[[#This Row],[agent_experience_years]]&lt;=2,"Junior",
tbl_analysis_tickets[[#This Row],[agent_experience_years]]&lt;=5,"Mid-Level",
tbl_analysis_tickets[[#This Row],[agent_experience_years]]&lt;=8,"Senior",
tbl_analysis_tickets[[#This Row],[agent_experience_years]]&gt;8,"Expert"
)</f>
        <v>Mid-Level</v>
      </c>
      <c r="P645" cm="1">
        <f t="array" ref="P645">_xlfn.SWITCH(tbl_analysis_tickets[[#This Row],[customer_satisfaction]],
"Low",1,
"Medium",2,
"High",3
)</f>
        <v>1</v>
      </c>
      <c r="Q645">
        <f>IF(tbl_analysis_tickets[[#This Row],[reopened]]="Yes",1,0)</f>
        <v>0</v>
      </c>
      <c r="R645" t="str" cm="1">
        <f t="array" ref="R645">_xlfn.IFS(
tbl_analysis_tickets[[#This Row],[first_response_minutes]]&lt;=30,"Very Fast",
tbl_analysis_tickets[[#This Row],[first_response_minutes]]&lt;=120,"Acceptable",
tbl_analysis_tickets[[#This Row],[first_response_minutes]]&lt;=240,"Slow",
tbl_analysis_tickets[[#This Row],[first_response_minutes]]&gt;240,"Very Slow"
)</f>
        <v>Slow</v>
      </c>
      <c r="S645" t="str" cm="1">
        <f t="array" ref="S64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645" t="str">
        <f>TEXT(tbl_analysis_tickets[[#This Row],[created_date]],"mmm-yyyy")</f>
        <v>Nov-2024</v>
      </c>
      <c r="U645" t="str">
        <f>TEXT(tbl_analysis_tickets[[#This Row],[created_date]],"dddd")</f>
        <v>Monday</v>
      </c>
      <c r="V645" cm="1">
        <f t="array" ref="V645">_xlfn.SWITCH(tbl_analysis_tickets[[#This Row],[priority]],
"Urgent",1,
"High",2,
"Medium",3,
"Low",4
)</f>
        <v>2</v>
      </c>
    </row>
    <row r="646" spans="1:22" x14ac:dyDescent="0.25">
      <c r="A646">
        <v>645</v>
      </c>
      <c r="B646" s="1">
        <v>45408</v>
      </c>
      <c r="C646" t="s">
        <v>21</v>
      </c>
      <c r="D646" t="s">
        <v>17</v>
      </c>
      <c r="E646">
        <v>99</v>
      </c>
      <c r="F646">
        <v>28</v>
      </c>
      <c r="G646">
        <v>1.5</v>
      </c>
      <c r="H646" t="s">
        <v>18</v>
      </c>
      <c r="I646" t="s">
        <v>13</v>
      </c>
      <c r="J646" t="s">
        <v>11</v>
      </c>
      <c r="K646">
        <f>_xlfn.XLOOKUP(tbl_analysis_tickets[[#This Row],[priority]],tbl_sla[priority],tbl_sla[Resolution SLA Hours])</f>
        <v>8</v>
      </c>
      <c r="L646">
        <f>_xlfn.XLOOKUP(tbl_analysis_tickets[[#This Row],[priority]],tbl_sla[priority],tbl_sla[First Response SLA Minutes])</f>
        <v>30</v>
      </c>
      <c r="M646" t="str">
        <f>IF(tbl_analysis_tickets[[#This Row],[resolution_time_hours]]&gt;tbl_analysis_tickets[[#This Row],[Resolution SLA Hours]],"Breached","Within SLA")</f>
        <v>Breached</v>
      </c>
      <c r="N646" t="str">
        <f>IF(tbl_analysis_tickets[[#This Row],[first_response_minutes]]&gt;tbl_analysis_tickets[[#This Row],[First Response SLA Minutes]],"Breached","Within SLA")</f>
        <v>Breached</v>
      </c>
      <c r="O646" t="str" cm="1">
        <f t="array" ref="O646">_xlfn.IFS(
tbl_analysis_tickets[[#This Row],[agent_experience_years]]&lt;=2,"Junior",
tbl_analysis_tickets[[#This Row],[agent_experience_years]]&lt;=5,"Mid-Level",
tbl_analysis_tickets[[#This Row],[agent_experience_years]]&lt;=8,"Senior",
tbl_analysis_tickets[[#This Row],[agent_experience_years]]&gt;8,"Expert"
)</f>
        <v>Junior</v>
      </c>
      <c r="P646" cm="1">
        <f t="array" ref="P646">_xlfn.SWITCH(tbl_analysis_tickets[[#This Row],[customer_satisfaction]],
"Low",1,
"Medium",2,
"High",3
)</f>
        <v>1</v>
      </c>
      <c r="Q646">
        <f>IF(tbl_analysis_tickets[[#This Row],[reopened]]="Yes",1,0)</f>
        <v>0</v>
      </c>
      <c r="R646" t="str" cm="1">
        <f t="array" ref="R646">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646" t="str" cm="1">
        <f t="array" ref="S64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646" t="str">
        <f>TEXT(tbl_analysis_tickets[[#This Row],[created_date]],"mmm-yyyy")</f>
        <v>Apr-2024</v>
      </c>
      <c r="U646" t="str">
        <f>TEXT(tbl_analysis_tickets[[#This Row],[created_date]],"dddd")</f>
        <v>Friday</v>
      </c>
      <c r="V646" cm="1">
        <f t="array" ref="V646">_xlfn.SWITCH(tbl_analysis_tickets[[#This Row],[priority]],
"Urgent",1,
"High",2,
"Medium",3,
"Low",4
)</f>
        <v>1</v>
      </c>
    </row>
    <row r="647" spans="1:22" x14ac:dyDescent="0.25">
      <c r="A647">
        <v>646</v>
      </c>
      <c r="B647" s="1">
        <v>45522</v>
      </c>
      <c r="C647" t="s">
        <v>10</v>
      </c>
      <c r="D647" t="s">
        <v>17</v>
      </c>
      <c r="E647">
        <v>239</v>
      </c>
      <c r="F647">
        <v>70</v>
      </c>
      <c r="G647">
        <v>4.9000000000000004</v>
      </c>
      <c r="H647" t="s">
        <v>18</v>
      </c>
      <c r="I647" t="s">
        <v>13</v>
      </c>
      <c r="J647" t="s">
        <v>11</v>
      </c>
      <c r="K647">
        <f>_xlfn.XLOOKUP(tbl_analysis_tickets[[#This Row],[priority]],tbl_sla[priority],tbl_sla[Resolution SLA Hours])</f>
        <v>8</v>
      </c>
      <c r="L647">
        <f>_xlfn.XLOOKUP(tbl_analysis_tickets[[#This Row],[priority]],tbl_sla[priority],tbl_sla[First Response SLA Minutes])</f>
        <v>30</v>
      </c>
      <c r="M647" t="str">
        <f>IF(tbl_analysis_tickets[[#This Row],[resolution_time_hours]]&gt;tbl_analysis_tickets[[#This Row],[Resolution SLA Hours]],"Breached","Within SLA")</f>
        <v>Breached</v>
      </c>
      <c r="N647" t="str">
        <f>IF(tbl_analysis_tickets[[#This Row],[first_response_minutes]]&gt;tbl_analysis_tickets[[#This Row],[First Response SLA Minutes]],"Breached","Within SLA")</f>
        <v>Breached</v>
      </c>
      <c r="O647" t="str" cm="1">
        <f t="array" ref="O647">_xlfn.IFS(
tbl_analysis_tickets[[#This Row],[agent_experience_years]]&lt;=2,"Junior",
tbl_analysis_tickets[[#This Row],[agent_experience_years]]&lt;=5,"Mid-Level",
tbl_analysis_tickets[[#This Row],[agent_experience_years]]&lt;=8,"Senior",
tbl_analysis_tickets[[#This Row],[agent_experience_years]]&gt;8,"Expert"
)</f>
        <v>Mid-Level</v>
      </c>
      <c r="P647" cm="1">
        <f t="array" ref="P647">_xlfn.SWITCH(tbl_analysis_tickets[[#This Row],[customer_satisfaction]],
"Low",1,
"Medium",2,
"High",3
)</f>
        <v>1</v>
      </c>
      <c r="Q647">
        <f>IF(tbl_analysis_tickets[[#This Row],[reopened]]="Yes",1,0)</f>
        <v>0</v>
      </c>
      <c r="R647" t="str" cm="1">
        <f t="array" ref="R647">_xlfn.IFS(
tbl_analysis_tickets[[#This Row],[first_response_minutes]]&lt;=30,"Very Fast",
tbl_analysis_tickets[[#This Row],[first_response_minutes]]&lt;=120,"Acceptable",
tbl_analysis_tickets[[#This Row],[first_response_minutes]]&lt;=240,"Slow",
tbl_analysis_tickets[[#This Row],[first_response_minutes]]&gt;240,"Very Slow"
)</f>
        <v>Slow</v>
      </c>
      <c r="S647" t="str" cm="1">
        <f t="array" ref="S64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647" t="str">
        <f>TEXT(tbl_analysis_tickets[[#This Row],[created_date]],"mmm-yyyy")</f>
        <v>Aug-2024</v>
      </c>
      <c r="U647" t="str">
        <f>TEXT(tbl_analysis_tickets[[#This Row],[created_date]],"dddd")</f>
        <v>Sunday</v>
      </c>
      <c r="V647" cm="1">
        <f t="array" ref="V647">_xlfn.SWITCH(tbl_analysis_tickets[[#This Row],[priority]],
"Urgent",1,
"High",2,
"Medium",3,
"Low",4
)</f>
        <v>1</v>
      </c>
    </row>
    <row r="648" spans="1:22" x14ac:dyDescent="0.25">
      <c r="A648">
        <v>647</v>
      </c>
      <c r="B648" s="1">
        <v>45425</v>
      </c>
      <c r="C648" t="s">
        <v>14</v>
      </c>
      <c r="D648" t="s">
        <v>17</v>
      </c>
      <c r="E648">
        <v>162</v>
      </c>
      <c r="F648">
        <v>37</v>
      </c>
      <c r="G648">
        <v>2.2000000000000002</v>
      </c>
      <c r="H648" t="s">
        <v>18</v>
      </c>
      <c r="I648" t="s">
        <v>19</v>
      </c>
      <c r="J648" t="s">
        <v>11</v>
      </c>
      <c r="K648">
        <f>_xlfn.XLOOKUP(tbl_analysis_tickets[[#This Row],[priority]],tbl_sla[priority],tbl_sla[Resolution SLA Hours])</f>
        <v>8</v>
      </c>
      <c r="L648">
        <f>_xlfn.XLOOKUP(tbl_analysis_tickets[[#This Row],[priority]],tbl_sla[priority],tbl_sla[First Response SLA Minutes])</f>
        <v>30</v>
      </c>
      <c r="M648" t="str">
        <f>IF(tbl_analysis_tickets[[#This Row],[resolution_time_hours]]&gt;tbl_analysis_tickets[[#This Row],[Resolution SLA Hours]],"Breached","Within SLA")</f>
        <v>Breached</v>
      </c>
      <c r="N648" t="str">
        <f>IF(tbl_analysis_tickets[[#This Row],[first_response_minutes]]&gt;tbl_analysis_tickets[[#This Row],[First Response SLA Minutes]],"Breached","Within SLA")</f>
        <v>Breached</v>
      </c>
      <c r="O648" t="str" cm="1">
        <f t="array" ref="O648">_xlfn.IFS(
tbl_analysis_tickets[[#This Row],[agent_experience_years]]&lt;=2,"Junior",
tbl_analysis_tickets[[#This Row],[agent_experience_years]]&lt;=5,"Mid-Level",
tbl_analysis_tickets[[#This Row],[agent_experience_years]]&lt;=8,"Senior",
tbl_analysis_tickets[[#This Row],[agent_experience_years]]&gt;8,"Expert"
)</f>
        <v>Mid-Level</v>
      </c>
      <c r="P648" cm="1">
        <f t="array" ref="P648">_xlfn.SWITCH(tbl_analysis_tickets[[#This Row],[customer_satisfaction]],
"Low",1,
"Medium",2,
"High",3
)</f>
        <v>1</v>
      </c>
      <c r="Q648">
        <f>IF(tbl_analysis_tickets[[#This Row],[reopened]]="Yes",1,0)</f>
        <v>0</v>
      </c>
      <c r="R648" t="str" cm="1">
        <f t="array" ref="R648">_xlfn.IFS(
tbl_analysis_tickets[[#This Row],[first_response_minutes]]&lt;=30,"Very Fast",
tbl_analysis_tickets[[#This Row],[first_response_minutes]]&lt;=120,"Acceptable",
tbl_analysis_tickets[[#This Row],[first_response_minutes]]&lt;=240,"Slow",
tbl_analysis_tickets[[#This Row],[first_response_minutes]]&gt;240,"Very Slow"
)</f>
        <v>Slow</v>
      </c>
      <c r="S648" t="str" cm="1">
        <f t="array" ref="S64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648" t="str">
        <f>TEXT(tbl_analysis_tickets[[#This Row],[created_date]],"mmm-yyyy")</f>
        <v>May-2024</v>
      </c>
      <c r="U648" t="str">
        <f>TEXT(tbl_analysis_tickets[[#This Row],[created_date]],"dddd")</f>
        <v>Monday</v>
      </c>
      <c r="V648" cm="1">
        <f t="array" ref="V648">_xlfn.SWITCH(tbl_analysis_tickets[[#This Row],[priority]],
"Urgent",1,
"High",2,
"Medium",3,
"Low",4
)</f>
        <v>1</v>
      </c>
    </row>
    <row r="649" spans="1:22" x14ac:dyDescent="0.25">
      <c r="A649">
        <v>648</v>
      </c>
      <c r="B649" s="1">
        <v>45559</v>
      </c>
      <c r="C649" t="s">
        <v>21</v>
      </c>
      <c r="D649" t="s">
        <v>15</v>
      </c>
      <c r="E649">
        <v>65</v>
      </c>
      <c r="F649">
        <v>10</v>
      </c>
      <c r="G649">
        <v>5.6</v>
      </c>
      <c r="H649" t="s">
        <v>12</v>
      </c>
      <c r="I649" t="s">
        <v>13</v>
      </c>
      <c r="J649" t="s">
        <v>11</v>
      </c>
      <c r="K649">
        <f>_xlfn.XLOOKUP(tbl_analysis_tickets[[#This Row],[priority]],tbl_sla[priority],tbl_sla[Resolution SLA Hours])</f>
        <v>48</v>
      </c>
      <c r="L649">
        <f>_xlfn.XLOOKUP(tbl_analysis_tickets[[#This Row],[priority]],tbl_sla[priority],tbl_sla[First Response SLA Minutes])</f>
        <v>120</v>
      </c>
      <c r="M649" t="str">
        <f>IF(tbl_analysis_tickets[[#This Row],[resolution_time_hours]]&gt;tbl_analysis_tickets[[#This Row],[Resolution SLA Hours]],"Breached","Within SLA")</f>
        <v>Within SLA</v>
      </c>
      <c r="N649" t="str">
        <f>IF(tbl_analysis_tickets[[#This Row],[first_response_minutes]]&gt;tbl_analysis_tickets[[#This Row],[First Response SLA Minutes]],"Breached","Within SLA")</f>
        <v>Within SLA</v>
      </c>
      <c r="O649" t="str" cm="1">
        <f t="array" ref="O649">_xlfn.IFS(
tbl_analysis_tickets[[#This Row],[agent_experience_years]]&lt;=2,"Junior",
tbl_analysis_tickets[[#This Row],[agent_experience_years]]&lt;=5,"Mid-Level",
tbl_analysis_tickets[[#This Row],[agent_experience_years]]&lt;=8,"Senior",
tbl_analysis_tickets[[#This Row],[agent_experience_years]]&gt;8,"Expert"
)</f>
        <v>Senior</v>
      </c>
      <c r="P649" cm="1">
        <f t="array" ref="P649">_xlfn.SWITCH(tbl_analysis_tickets[[#This Row],[customer_satisfaction]],
"Low",1,
"Medium",2,
"High",3
)</f>
        <v>1</v>
      </c>
      <c r="Q649">
        <f>IF(tbl_analysis_tickets[[#This Row],[reopened]]="Yes",1,0)</f>
        <v>1</v>
      </c>
      <c r="R649" t="str" cm="1">
        <f t="array" ref="R649">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649" t="str" cm="1">
        <f t="array" ref="S64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649" t="str">
        <f>TEXT(tbl_analysis_tickets[[#This Row],[created_date]],"mmm-yyyy")</f>
        <v>Sep-2024</v>
      </c>
      <c r="U649" t="str">
        <f>TEXT(tbl_analysis_tickets[[#This Row],[created_date]],"dddd")</f>
        <v>Tuesday</v>
      </c>
      <c r="V649" cm="1">
        <f t="array" ref="V649">_xlfn.SWITCH(tbl_analysis_tickets[[#This Row],[priority]],
"Urgent",1,
"High",2,
"Medium",3,
"Low",4
)</f>
        <v>3</v>
      </c>
    </row>
    <row r="650" spans="1:22" x14ac:dyDescent="0.25">
      <c r="A650">
        <v>649</v>
      </c>
      <c r="B650" s="1">
        <v>45358</v>
      </c>
      <c r="C650" t="s">
        <v>14</v>
      </c>
      <c r="D650" t="s">
        <v>15</v>
      </c>
      <c r="E650">
        <v>192</v>
      </c>
      <c r="F650">
        <v>26</v>
      </c>
      <c r="G650">
        <v>7.4</v>
      </c>
      <c r="H650" t="s">
        <v>12</v>
      </c>
      <c r="I650" t="s">
        <v>13</v>
      </c>
      <c r="J650" t="s">
        <v>11</v>
      </c>
      <c r="K650">
        <f>_xlfn.XLOOKUP(tbl_analysis_tickets[[#This Row],[priority]],tbl_sla[priority],tbl_sla[Resolution SLA Hours])</f>
        <v>48</v>
      </c>
      <c r="L650">
        <f>_xlfn.XLOOKUP(tbl_analysis_tickets[[#This Row],[priority]],tbl_sla[priority],tbl_sla[First Response SLA Minutes])</f>
        <v>120</v>
      </c>
      <c r="M650" t="str">
        <f>IF(tbl_analysis_tickets[[#This Row],[resolution_time_hours]]&gt;tbl_analysis_tickets[[#This Row],[Resolution SLA Hours]],"Breached","Within SLA")</f>
        <v>Within SLA</v>
      </c>
      <c r="N650" t="str">
        <f>IF(tbl_analysis_tickets[[#This Row],[first_response_minutes]]&gt;tbl_analysis_tickets[[#This Row],[First Response SLA Minutes]],"Breached","Within SLA")</f>
        <v>Breached</v>
      </c>
      <c r="O650" t="str" cm="1">
        <f t="array" ref="O650">_xlfn.IFS(
tbl_analysis_tickets[[#This Row],[agent_experience_years]]&lt;=2,"Junior",
tbl_analysis_tickets[[#This Row],[agent_experience_years]]&lt;=5,"Mid-Level",
tbl_analysis_tickets[[#This Row],[agent_experience_years]]&lt;=8,"Senior",
tbl_analysis_tickets[[#This Row],[agent_experience_years]]&gt;8,"Expert"
)</f>
        <v>Senior</v>
      </c>
      <c r="P650" cm="1">
        <f t="array" ref="P650">_xlfn.SWITCH(tbl_analysis_tickets[[#This Row],[customer_satisfaction]],
"Low",1,
"Medium",2,
"High",3
)</f>
        <v>1</v>
      </c>
      <c r="Q650">
        <f>IF(tbl_analysis_tickets[[#This Row],[reopened]]="Yes",1,0)</f>
        <v>1</v>
      </c>
      <c r="R650" t="str" cm="1">
        <f t="array" ref="R650">_xlfn.IFS(
tbl_analysis_tickets[[#This Row],[first_response_minutes]]&lt;=30,"Very Fast",
tbl_analysis_tickets[[#This Row],[first_response_minutes]]&lt;=120,"Acceptable",
tbl_analysis_tickets[[#This Row],[first_response_minutes]]&lt;=240,"Slow",
tbl_analysis_tickets[[#This Row],[first_response_minutes]]&gt;240,"Very Slow"
)</f>
        <v>Slow</v>
      </c>
      <c r="S650" t="str" cm="1">
        <f t="array" ref="S65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650" t="str">
        <f>TEXT(tbl_analysis_tickets[[#This Row],[created_date]],"mmm-yyyy")</f>
        <v>Mar-2024</v>
      </c>
      <c r="U650" t="str">
        <f>TEXT(tbl_analysis_tickets[[#This Row],[created_date]],"dddd")</f>
        <v>Thursday</v>
      </c>
      <c r="V650" cm="1">
        <f t="array" ref="V650">_xlfn.SWITCH(tbl_analysis_tickets[[#This Row],[priority]],
"Urgent",1,
"High",2,
"Medium",3,
"Low",4
)</f>
        <v>3</v>
      </c>
    </row>
    <row r="651" spans="1:22" x14ac:dyDescent="0.25">
      <c r="A651">
        <v>650</v>
      </c>
      <c r="B651" s="1">
        <v>45557</v>
      </c>
      <c r="C651" t="s">
        <v>10</v>
      </c>
      <c r="D651" t="s">
        <v>17</v>
      </c>
      <c r="E651">
        <v>213</v>
      </c>
      <c r="F651">
        <v>16</v>
      </c>
      <c r="G651">
        <v>6.5</v>
      </c>
      <c r="H651" t="s">
        <v>12</v>
      </c>
      <c r="I651" t="s">
        <v>16</v>
      </c>
      <c r="J651" t="s">
        <v>11</v>
      </c>
      <c r="K651">
        <f>_xlfn.XLOOKUP(tbl_analysis_tickets[[#This Row],[priority]],tbl_sla[priority],tbl_sla[Resolution SLA Hours])</f>
        <v>8</v>
      </c>
      <c r="L651">
        <f>_xlfn.XLOOKUP(tbl_analysis_tickets[[#This Row],[priority]],tbl_sla[priority],tbl_sla[First Response SLA Minutes])</f>
        <v>30</v>
      </c>
      <c r="M651" t="str">
        <f>IF(tbl_analysis_tickets[[#This Row],[resolution_time_hours]]&gt;tbl_analysis_tickets[[#This Row],[Resolution SLA Hours]],"Breached","Within SLA")</f>
        <v>Breached</v>
      </c>
      <c r="N651" t="str">
        <f>IF(tbl_analysis_tickets[[#This Row],[first_response_minutes]]&gt;tbl_analysis_tickets[[#This Row],[First Response SLA Minutes]],"Breached","Within SLA")</f>
        <v>Breached</v>
      </c>
      <c r="O651" t="str" cm="1">
        <f t="array" ref="O651">_xlfn.IFS(
tbl_analysis_tickets[[#This Row],[agent_experience_years]]&lt;=2,"Junior",
tbl_analysis_tickets[[#This Row],[agent_experience_years]]&lt;=5,"Mid-Level",
tbl_analysis_tickets[[#This Row],[agent_experience_years]]&lt;=8,"Senior",
tbl_analysis_tickets[[#This Row],[agent_experience_years]]&gt;8,"Expert"
)</f>
        <v>Senior</v>
      </c>
      <c r="P651" cm="1">
        <f t="array" ref="P651">_xlfn.SWITCH(tbl_analysis_tickets[[#This Row],[customer_satisfaction]],
"Low",1,
"Medium",2,
"High",3
)</f>
        <v>1</v>
      </c>
      <c r="Q651">
        <f>IF(tbl_analysis_tickets[[#This Row],[reopened]]="Yes",1,0)</f>
        <v>1</v>
      </c>
      <c r="R651" t="str" cm="1">
        <f t="array" ref="R651">_xlfn.IFS(
tbl_analysis_tickets[[#This Row],[first_response_minutes]]&lt;=30,"Very Fast",
tbl_analysis_tickets[[#This Row],[first_response_minutes]]&lt;=120,"Acceptable",
tbl_analysis_tickets[[#This Row],[first_response_minutes]]&lt;=240,"Slow",
tbl_analysis_tickets[[#This Row],[first_response_minutes]]&gt;240,"Very Slow"
)</f>
        <v>Slow</v>
      </c>
      <c r="S651" t="str" cm="1">
        <f t="array" ref="S65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651" t="str">
        <f>TEXT(tbl_analysis_tickets[[#This Row],[created_date]],"mmm-yyyy")</f>
        <v>Sep-2024</v>
      </c>
      <c r="U651" t="str">
        <f>TEXT(tbl_analysis_tickets[[#This Row],[created_date]],"dddd")</f>
        <v>Sunday</v>
      </c>
      <c r="V651" cm="1">
        <f t="array" ref="V651">_xlfn.SWITCH(tbl_analysis_tickets[[#This Row],[priority]],
"Urgent",1,
"High",2,
"Medium",3,
"Low",4
)</f>
        <v>1</v>
      </c>
    </row>
    <row r="652" spans="1:22" x14ac:dyDescent="0.25">
      <c r="A652">
        <v>651</v>
      </c>
      <c r="B652" s="1">
        <v>45507</v>
      </c>
      <c r="C652" t="s">
        <v>22</v>
      </c>
      <c r="D652" t="s">
        <v>11</v>
      </c>
      <c r="E652">
        <v>26</v>
      </c>
      <c r="F652">
        <v>16</v>
      </c>
      <c r="G652">
        <v>5.9</v>
      </c>
      <c r="H652" t="s">
        <v>12</v>
      </c>
      <c r="I652" t="s">
        <v>19</v>
      </c>
      <c r="J652" t="s">
        <v>15</v>
      </c>
      <c r="K652">
        <f>_xlfn.XLOOKUP(tbl_analysis_tickets[[#This Row],[priority]],tbl_sla[priority],tbl_sla[Resolution SLA Hours])</f>
        <v>72</v>
      </c>
      <c r="L652">
        <f>_xlfn.XLOOKUP(tbl_analysis_tickets[[#This Row],[priority]],tbl_sla[priority],tbl_sla[First Response SLA Minutes])</f>
        <v>240</v>
      </c>
      <c r="M652" t="str">
        <f>IF(tbl_analysis_tickets[[#This Row],[resolution_time_hours]]&gt;tbl_analysis_tickets[[#This Row],[Resolution SLA Hours]],"Breached","Within SLA")</f>
        <v>Within SLA</v>
      </c>
      <c r="N652" t="str">
        <f>IF(tbl_analysis_tickets[[#This Row],[first_response_minutes]]&gt;tbl_analysis_tickets[[#This Row],[First Response SLA Minutes]],"Breached","Within SLA")</f>
        <v>Within SLA</v>
      </c>
      <c r="O652" t="str" cm="1">
        <f t="array" ref="O652">_xlfn.IFS(
tbl_analysis_tickets[[#This Row],[agent_experience_years]]&lt;=2,"Junior",
tbl_analysis_tickets[[#This Row],[agent_experience_years]]&lt;=5,"Mid-Level",
tbl_analysis_tickets[[#This Row],[agent_experience_years]]&lt;=8,"Senior",
tbl_analysis_tickets[[#This Row],[agent_experience_years]]&gt;8,"Expert"
)</f>
        <v>Senior</v>
      </c>
      <c r="P652" cm="1">
        <f t="array" ref="P652">_xlfn.SWITCH(tbl_analysis_tickets[[#This Row],[customer_satisfaction]],
"Low",1,
"Medium",2,
"High",3
)</f>
        <v>2</v>
      </c>
      <c r="Q652">
        <f>IF(tbl_analysis_tickets[[#This Row],[reopened]]="Yes",1,0)</f>
        <v>1</v>
      </c>
      <c r="R652" t="str" cm="1">
        <f t="array" ref="R652">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652" t="str" cm="1">
        <f t="array" ref="S65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652" t="str">
        <f>TEXT(tbl_analysis_tickets[[#This Row],[created_date]],"mmm-yyyy")</f>
        <v>Aug-2024</v>
      </c>
      <c r="U652" t="str">
        <f>TEXT(tbl_analysis_tickets[[#This Row],[created_date]],"dddd")</f>
        <v>Saturday</v>
      </c>
      <c r="V652" cm="1">
        <f t="array" ref="V652">_xlfn.SWITCH(tbl_analysis_tickets[[#This Row],[priority]],
"Urgent",1,
"High",2,
"Medium",3,
"Low",4
)</f>
        <v>4</v>
      </c>
    </row>
    <row r="653" spans="1:22" x14ac:dyDescent="0.25">
      <c r="A653">
        <v>652</v>
      </c>
      <c r="B653" s="1">
        <v>45474</v>
      </c>
      <c r="C653" t="s">
        <v>23</v>
      </c>
      <c r="D653" t="s">
        <v>17</v>
      </c>
      <c r="E653">
        <v>64</v>
      </c>
      <c r="F653">
        <v>27</v>
      </c>
      <c r="G653">
        <v>8</v>
      </c>
      <c r="H653" t="s">
        <v>12</v>
      </c>
      <c r="I653" t="s">
        <v>19</v>
      </c>
      <c r="J653" t="s">
        <v>11</v>
      </c>
      <c r="K653">
        <f>_xlfn.XLOOKUP(tbl_analysis_tickets[[#This Row],[priority]],tbl_sla[priority],tbl_sla[Resolution SLA Hours])</f>
        <v>8</v>
      </c>
      <c r="L653">
        <f>_xlfn.XLOOKUP(tbl_analysis_tickets[[#This Row],[priority]],tbl_sla[priority],tbl_sla[First Response SLA Minutes])</f>
        <v>30</v>
      </c>
      <c r="M653" t="str">
        <f>IF(tbl_analysis_tickets[[#This Row],[resolution_time_hours]]&gt;tbl_analysis_tickets[[#This Row],[Resolution SLA Hours]],"Breached","Within SLA")</f>
        <v>Breached</v>
      </c>
      <c r="N653" t="str">
        <f>IF(tbl_analysis_tickets[[#This Row],[first_response_minutes]]&gt;tbl_analysis_tickets[[#This Row],[First Response SLA Minutes]],"Breached","Within SLA")</f>
        <v>Breached</v>
      </c>
      <c r="O653" t="str" cm="1">
        <f t="array" ref="O653">_xlfn.IFS(
tbl_analysis_tickets[[#This Row],[agent_experience_years]]&lt;=2,"Junior",
tbl_analysis_tickets[[#This Row],[agent_experience_years]]&lt;=5,"Mid-Level",
tbl_analysis_tickets[[#This Row],[agent_experience_years]]&lt;=8,"Senior",
tbl_analysis_tickets[[#This Row],[agent_experience_years]]&gt;8,"Expert"
)</f>
        <v>Senior</v>
      </c>
      <c r="P653" cm="1">
        <f t="array" ref="P653">_xlfn.SWITCH(tbl_analysis_tickets[[#This Row],[customer_satisfaction]],
"Low",1,
"Medium",2,
"High",3
)</f>
        <v>1</v>
      </c>
      <c r="Q653">
        <f>IF(tbl_analysis_tickets[[#This Row],[reopened]]="Yes",1,0)</f>
        <v>1</v>
      </c>
      <c r="R653" t="str" cm="1">
        <f t="array" ref="R653">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653" t="str" cm="1">
        <f t="array" ref="S65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653" t="str">
        <f>TEXT(tbl_analysis_tickets[[#This Row],[created_date]],"mmm-yyyy")</f>
        <v>Jul-2024</v>
      </c>
      <c r="U653" t="str">
        <f>TEXT(tbl_analysis_tickets[[#This Row],[created_date]],"dddd")</f>
        <v>Monday</v>
      </c>
      <c r="V653" cm="1">
        <f t="array" ref="V653">_xlfn.SWITCH(tbl_analysis_tickets[[#This Row],[priority]],
"Urgent",1,
"High",2,
"Medium",3,
"Low",4
)</f>
        <v>1</v>
      </c>
    </row>
    <row r="654" spans="1:22" x14ac:dyDescent="0.25">
      <c r="A654">
        <v>653</v>
      </c>
      <c r="B654" s="1">
        <v>45585</v>
      </c>
      <c r="C654" t="s">
        <v>10</v>
      </c>
      <c r="D654" t="s">
        <v>20</v>
      </c>
      <c r="E654">
        <v>119</v>
      </c>
      <c r="F654">
        <v>65</v>
      </c>
      <c r="G654">
        <v>1.9</v>
      </c>
      <c r="H654" t="s">
        <v>12</v>
      </c>
      <c r="I654" t="s">
        <v>19</v>
      </c>
      <c r="J654" t="s">
        <v>11</v>
      </c>
      <c r="K654">
        <f>_xlfn.XLOOKUP(tbl_analysis_tickets[[#This Row],[priority]],tbl_sla[priority],tbl_sla[Resolution SLA Hours])</f>
        <v>24</v>
      </c>
      <c r="L654">
        <f>_xlfn.XLOOKUP(tbl_analysis_tickets[[#This Row],[priority]],tbl_sla[priority],tbl_sla[First Response SLA Minutes])</f>
        <v>60</v>
      </c>
      <c r="M654" t="str">
        <f>IF(tbl_analysis_tickets[[#This Row],[resolution_time_hours]]&gt;tbl_analysis_tickets[[#This Row],[Resolution SLA Hours]],"Breached","Within SLA")</f>
        <v>Breached</v>
      </c>
      <c r="N654" t="str">
        <f>IF(tbl_analysis_tickets[[#This Row],[first_response_minutes]]&gt;tbl_analysis_tickets[[#This Row],[First Response SLA Minutes]],"Breached","Within SLA")</f>
        <v>Breached</v>
      </c>
      <c r="O654" t="str" cm="1">
        <f t="array" ref="O654">_xlfn.IFS(
tbl_analysis_tickets[[#This Row],[agent_experience_years]]&lt;=2,"Junior",
tbl_analysis_tickets[[#This Row],[agent_experience_years]]&lt;=5,"Mid-Level",
tbl_analysis_tickets[[#This Row],[agent_experience_years]]&lt;=8,"Senior",
tbl_analysis_tickets[[#This Row],[agent_experience_years]]&gt;8,"Expert"
)</f>
        <v>Junior</v>
      </c>
      <c r="P654" cm="1">
        <f t="array" ref="P654">_xlfn.SWITCH(tbl_analysis_tickets[[#This Row],[customer_satisfaction]],
"Low",1,
"Medium",2,
"High",3
)</f>
        <v>1</v>
      </c>
      <c r="Q654">
        <f>IF(tbl_analysis_tickets[[#This Row],[reopened]]="Yes",1,0)</f>
        <v>1</v>
      </c>
      <c r="R654" t="str" cm="1">
        <f t="array" ref="R654">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654" t="str" cm="1">
        <f t="array" ref="S65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654" t="str">
        <f>TEXT(tbl_analysis_tickets[[#This Row],[created_date]],"mmm-yyyy")</f>
        <v>Oct-2024</v>
      </c>
      <c r="U654" t="str">
        <f>TEXT(tbl_analysis_tickets[[#This Row],[created_date]],"dddd")</f>
        <v>Sunday</v>
      </c>
      <c r="V654" cm="1">
        <f t="array" ref="V654">_xlfn.SWITCH(tbl_analysis_tickets[[#This Row],[priority]],
"Urgent",1,
"High",2,
"Medium",3,
"Low",4
)</f>
        <v>2</v>
      </c>
    </row>
    <row r="655" spans="1:22" x14ac:dyDescent="0.25">
      <c r="A655">
        <v>654</v>
      </c>
      <c r="B655" s="1">
        <v>45501</v>
      </c>
      <c r="C655" t="s">
        <v>23</v>
      </c>
      <c r="D655" t="s">
        <v>11</v>
      </c>
      <c r="E655">
        <v>80</v>
      </c>
      <c r="F655">
        <v>35</v>
      </c>
      <c r="G655">
        <v>2</v>
      </c>
      <c r="H655" t="s">
        <v>12</v>
      </c>
      <c r="I655" t="s">
        <v>16</v>
      </c>
      <c r="J655" t="s">
        <v>11</v>
      </c>
      <c r="K655">
        <f>_xlfn.XLOOKUP(tbl_analysis_tickets[[#This Row],[priority]],tbl_sla[priority],tbl_sla[Resolution SLA Hours])</f>
        <v>72</v>
      </c>
      <c r="L655">
        <f>_xlfn.XLOOKUP(tbl_analysis_tickets[[#This Row],[priority]],tbl_sla[priority],tbl_sla[First Response SLA Minutes])</f>
        <v>240</v>
      </c>
      <c r="M655" t="str">
        <f>IF(tbl_analysis_tickets[[#This Row],[resolution_time_hours]]&gt;tbl_analysis_tickets[[#This Row],[Resolution SLA Hours]],"Breached","Within SLA")</f>
        <v>Within SLA</v>
      </c>
      <c r="N655" t="str">
        <f>IF(tbl_analysis_tickets[[#This Row],[first_response_minutes]]&gt;tbl_analysis_tickets[[#This Row],[First Response SLA Minutes]],"Breached","Within SLA")</f>
        <v>Within SLA</v>
      </c>
      <c r="O655" t="str" cm="1">
        <f t="array" ref="O655">_xlfn.IFS(
tbl_analysis_tickets[[#This Row],[agent_experience_years]]&lt;=2,"Junior",
tbl_analysis_tickets[[#This Row],[agent_experience_years]]&lt;=5,"Mid-Level",
tbl_analysis_tickets[[#This Row],[agent_experience_years]]&lt;=8,"Senior",
tbl_analysis_tickets[[#This Row],[agent_experience_years]]&gt;8,"Expert"
)</f>
        <v>Junior</v>
      </c>
      <c r="P655" cm="1">
        <f t="array" ref="P655">_xlfn.SWITCH(tbl_analysis_tickets[[#This Row],[customer_satisfaction]],
"Low",1,
"Medium",2,
"High",3
)</f>
        <v>1</v>
      </c>
      <c r="Q655">
        <f>IF(tbl_analysis_tickets[[#This Row],[reopened]]="Yes",1,0)</f>
        <v>1</v>
      </c>
      <c r="R655" t="str" cm="1">
        <f t="array" ref="R655">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655" t="str" cm="1">
        <f t="array" ref="S65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655" t="str">
        <f>TEXT(tbl_analysis_tickets[[#This Row],[created_date]],"mmm-yyyy")</f>
        <v>Jul-2024</v>
      </c>
      <c r="U655" t="str">
        <f>TEXT(tbl_analysis_tickets[[#This Row],[created_date]],"dddd")</f>
        <v>Sunday</v>
      </c>
      <c r="V655" cm="1">
        <f t="array" ref="V655">_xlfn.SWITCH(tbl_analysis_tickets[[#This Row],[priority]],
"Urgent",1,
"High",2,
"Medium",3,
"Low",4
)</f>
        <v>4</v>
      </c>
    </row>
    <row r="656" spans="1:22" x14ac:dyDescent="0.25">
      <c r="A656">
        <v>655</v>
      </c>
      <c r="B656" s="1">
        <v>45396</v>
      </c>
      <c r="C656" t="s">
        <v>21</v>
      </c>
      <c r="D656" t="s">
        <v>20</v>
      </c>
      <c r="E656">
        <v>171</v>
      </c>
      <c r="F656">
        <v>50</v>
      </c>
      <c r="G656">
        <v>9.8000000000000007</v>
      </c>
      <c r="H656" t="s">
        <v>12</v>
      </c>
      <c r="I656" t="s">
        <v>19</v>
      </c>
      <c r="J656" t="s">
        <v>11</v>
      </c>
      <c r="K656">
        <f>_xlfn.XLOOKUP(tbl_analysis_tickets[[#This Row],[priority]],tbl_sla[priority],tbl_sla[Resolution SLA Hours])</f>
        <v>24</v>
      </c>
      <c r="L656">
        <f>_xlfn.XLOOKUP(tbl_analysis_tickets[[#This Row],[priority]],tbl_sla[priority],tbl_sla[First Response SLA Minutes])</f>
        <v>60</v>
      </c>
      <c r="M656" t="str">
        <f>IF(tbl_analysis_tickets[[#This Row],[resolution_time_hours]]&gt;tbl_analysis_tickets[[#This Row],[Resolution SLA Hours]],"Breached","Within SLA")</f>
        <v>Breached</v>
      </c>
      <c r="N656" t="str">
        <f>IF(tbl_analysis_tickets[[#This Row],[first_response_minutes]]&gt;tbl_analysis_tickets[[#This Row],[First Response SLA Minutes]],"Breached","Within SLA")</f>
        <v>Breached</v>
      </c>
      <c r="O656" t="str" cm="1">
        <f t="array" ref="O656">_xlfn.IFS(
tbl_analysis_tickets[[#This Row],[agent_experience_years]]&lt;=2,"Junior",
tbl_analysis_tickets[[#This Row],[agent_experience_years]]&lt;=5,"Mid-Level",
tbl_analysis_tickets[[#This Row],[agent_experience_years]]&lt;=8,"Senior",
tbl_analysis_tickets[[#This Row],[agent_experience_years]]&gt;8,"Expert"
)</f>
        <v>Expert</v>
      </c>
      <c r="P656" cm="1">
        <f t="array" ref="P656">_xlfn.SWITCH(tbl_analysis_tickets[[#This Row],[customer_satisfaction]],
"Low",1,
"Medium",2,
"High",3
)</f>
        <v>1</v>
      </c>
      <c r="Q656">
        <f>IF(tbl_analysis_tickets[[#This Row],[reopened]]="Yes",1,0)</f>
        <v>1</v>
      </c>
      <c r="R656" t="str" cm="1">
        <f t="array" ref="R656">_xlfn.IFS(
tbl_analysis_tickets[[#This Row],[first_response_minutes]]&lt;=30,"Very Fast",
tbl_analysis_tickets[[#This Row],[first_response_minutes]]&lt;=120,"Acceptable",
tbl_analysis_tickets[[#This Row],[first_response_minutes]]&lt;=240,"Slow",
tbl_analysis_tickets[[#This Row],[first_response_minutes]]&gt;240,"Very Slow"
)</f>
        <v>Slow</v>
      </c>
      <c r="S656" t="str" cm="1">
        <f t="array" ref="S65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656" t="str">
        <f>TEXT(tbl_analysis_tickets[[#This Row],[created_date]],"mmm-yyyy")</f>
        <v>Apr-2024</v>
      </c>
      <c r="U656" t="str">
        <f>TEXT(tbl_analysis_tickets[[#This Row],[created_date]],"dddd")</f>
        <v>Sunday</v>
      </c>
      <c r="V656" cm="1">
        <f t="array" ref="V656">_xlfn.SWITCH(tbl_analysis_tickets[[#This Row],[priority]],
"Urgent",1,
"High",2,
"Medium",3,
"Low",4
)</f>
        <v>2</v>
      </c>
    </row>
    <row r="657" spans="1:22" x14ac:dyDescent="0.25">
      <c r="A657">
        <v>656</v>
      </c>
      <c r="B657" s="1">
        <v>45569</v>
      </c>
      <c r="C657" t="s">
        <v>21</v>
      </c>
      <c r="D657" t="s">
        <v>20</v>
      </c>
      <c r="E657">
        <v>85</v>
      </c>
      <c r="F657">
        <v>20</v>
      </c>
      <c r="G657">
        <v>2.9</v>
      </c>
      <c r="H657" t="s">
        <v>18</v>
      </c>
      <c r="I657" t="s">
        <v>19</v>
      </c>
      <c r="J657" t="s">
        <v>11</v>
      </c>
      <c r="K657">
        <f>_xlfn.XLOOKUP(tbl_analysis_tickets[[#This Row],[priority]],tbl_sla[priority],tbl_sla[Resolution SLA Hours])</f>
        <v>24</v>
      </c>
      <c r="L657">
        <f>_xlfn.XLOOKUP(tbl_analysis_tickets[[#This Row],[priority]],tbl_sla[priority],tbl_sla[First Response SLA Minutes])</f>
        <v>60</v>
      </c>
      <c r="M657" t="str">
        <f>IF(tbl_analysis_tickets[[#This Row],[resolution_time_hours]]&gt;tbl_analysis_tickets[[#This Row],[Resolution SLA Hours]],"Breached","Within SLA")</f>
        <v>Within SLA</v>
      </c>
      <c r="N657" t="str">
        <f>IF(tbl_analysis_tickets[[#This Row],[first_response_minutes]]&gt;tbl_analysis_tickets[[#This Row],[First Response SLA Minutes]],"Breached","Within SLA")</f>
        <v>Breached</v>
      </c>
      <c r="O657" t="str" cm="1">
        <f t="array" ref="O657">_xlfn.IFS(
tbl_analysis_tickets[[#This Row],[agent_experience_years]]&lt;=2,"Junior",
tbl_analysis_tickets[[#This Row],[agent_experience_years]]&lt;=5,"Mid-Level",
tbl_analysis_tickets[[#This Row],[agent_experience_years]]&lt;=8,"Senior",
tbl_analysis_tickets[[#This Row],[agent_experience_years]]&gt;8,"Expert"
)</f>
        <v>Mid-Level</v>
      </c>
      <c r="P657" cm="1">
        <f t="array" ref="P657">_xlfn.SWITCH(tbl_analysis_tickets[[#This Row],[customer_satisfaction]],
"Low",1,
"Medium",2,
"High",3
)</f>
        <v>1</v>
      </c>
      <c r="Q657">
        <f>IF(tbl_analysis_tickets[[#This Row],[reopened]]="Yes",1,0)</f>
        <v>0</v>
      </c>
      <c r="R657" t="str" cm="1">
        <f t="array" ref="R657">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657" t="str" cm="1">
        <f t="array" ref="S65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657" t="str">
        <f>TEXT(tbl_analysis_tickets[[#This Row],[created_date]],"mmm-yyyy")</f>
        <v>Oct-2024</v>
      </c>
      <c r="U657" t="str">
        <f>TEXT(tbl_analysis_tickets[[#This Row],[created_date]],"dddd")</f>
        <v>Friday</v>
      </c>
      <c r="V657" cm="1">
        <f t="array" ref="V657">_xlfn.SWITCH(tbl_analysis_tickets[[#This Row],[priority]],
"Urgent",1,
"High",2,
"Medium",3,
"Low",4
)</f>
        <v>2</v>
      </c>
    </row>
    <row r="658" spans="1:22" x14ac:dyDescent="0.25">
      <c r="A658">
        <v>657</v>
      </c>
      <c r="B658" s="1">
        <v>45422</v>
      </c>
      <c r="C658" t="s">
        <v>10</v>
      </c>
      <c r="D658" t="s">
        <v>15</v>
      </c>
      <c r="E658">
        <v>229</v>
      </c>
      <c r="F658">
        <v>59</v>
      </c>
      <c r="G658">
        <v>2.2999999999999998</v>
      </c>
      <c r="H658" t="s">
        <v>18</v>
      </c>
      <c r="I658" t="s">
        <v>19</v>
      </c>
      <c r="J658" t="s">
        <v>11</v>
      </c>
      <c r="K658">
        <f>_xlfn.XLOOKUP(tbl_analysis_tickets[[#This Row],[priority]],tbl_sla[priority],tbl_sla[Resolution SLA Hours])</f>
        <v>48</v>
      </c>
      <c r="L658">
        <f>_xlfn.XLOOKUP(tbl_analysis_tickets[[#This Row],[priority]],tbl_sla[priority],tbl_sla[First Response SLA Minutes])</f>
        <v>120</v>
      </c>
      <c r="M658" t="str">
        <f>IF(tbl_analysis_tickets[[#This Row],[resolution_time_hours]]&gt;tbl_analysis_tickets[[#This Row],[Resolution SLA Hours]],"Breached","Within SLA")</f>
        <v>Breached</v>
      </c>
      <c r="N658" t="str">
        <f>IF(tbl_analysis_tickets[[#This Row],[first_response_minutes]]&gt;tbl_analysis_tickets[[#This Row],[First Response SLA Minutes]],"Breached","Within SLA")</f>
        <v>Breached</v>
      </c>
      <c r="O658" t="str" cm="1">
        <f t="array" ref="O658">_xlfn.IFS(
tbl_analysis_tickets[[#This Row],[agent_experience_years]]&lt;=2,"Junior",
tbl_analysis_tickets[[#This Row],[agent_experience_years]]&lt;=5,"Mid-Level",
tbl_analysis_tickets[[#This Row],[agent_experience_years]]&lt;=8,"Senior",
tbl_analysis_tickets[[#This Row],[agent_experience_years]]&gt;8,"Expert"
)</f>
        <v>Mid-Level</v>
      </c>
      <c r="P658" cm="1">
        <f t="array" ref="P658">_xlfn.SWITCH(tbl_analysis_tickets[[#This Row],[customer_satisfaction]],
"Low",1,
"Medium",2,
"High",3
)</f>
        <v>1</v>
      </c>
      <c r="Q658">
        <f>IF(tbl_analysis_tickets[[#This Row],[reopened]]="Yes",1,0)</f>
        <v>0</v>
      </c>
      <c r="R658" t="str" cm="1">
        <f t="array" ref="R658">_xlfn.IFS(
tbl_analysis_tickets[[#This Row],[first_response_minutes]]&lt;=30,"Very Fast",
tbl_analysis_tickets[[#This Row],[first_response_minutes]]&lt;=120,"Acceptable",
tbl_analysis_tickets[[#This Row],[first_response_minutes]]&lt;=240,"Slow",
tbl_analysis_tickets[[#This Row],[first_response_minutes]]&gt;240,"Very Slow"
)</f>
        <v>Slow</v>
      </c>
      <c r="S658" t="str" cm="1">
        <f t="array" ref="S65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658" t="str">
        <f>TEXT(tbl_analysis_tickets[[#This Row],[created_date]],"mmm-yyyy")</f>
        <v>May-2024</v>
      </c>
      <c r="U658" t="str">
        <f>TEXT(tbl_analysis_tickets[[#This Row],[created_date]],"dddd")</f>
        <v>Friday</v>
      </c>
      <c r="V658" cm="1">
        <f t="array" ref="V658">_xlfn.SWITCH(tbl_analysis_tickets[[#This Row],[priority]],
"Urgent",1,
"High",2,
"Medium",3,
"Low",4
)</f>
        <v>3</v>
      </c>
    </row>
    <row r="659" spans="1:22" x14ac:dyDescent="0.25">
      <c r="A659">
        <v>658</v>
      </c>
      <c r="B659" s="1">
        <v>45302</v>
      </c>
      <c r="C659" t="s">
        <v>21</v>
      </c>
      <c r="D659" t="s">
        <v>20</v>
      </c>
      <c r="E659">
        <v>219</v>
      </c>
      <c r="F659">
        <v>12</v>
      </c>
      <c r="G659">
        <v>2.1</v>
      </c>
      <c r="H659" t="s">
        <v>18</v>
      </c>
      <c r="I659" t="s">
        <v>13</v>
      </c>
      <c r="J659" t="s">
        <v>11</v>
      </c>
      <c r="K659">
        <f>_xlfn.XLOOKUP(tbl_analysis_tickets[[#This Row],[priority]],tbl_sla[priority],tbl_sla[Resolution SLA Hours])</f>
        <v>24</v>
      </c>
      <c r="L659">
        <f>_xlfn.XLOOKUP(tbl_analysis_tickets[[#This Row],[priority]],tbl_sla[priority],tbl_sla[First Response SLA Minutes])</f>
        <v>60</v>
      </c>
      <c r="M659" t="str">
        <f>IF(tbl_analysis_tickets[[#This Row],[resolution_time_hours]]&gt;tbl_analysis_tickets[[#This Row],[Resolution SLA Hours]],"Breached","Within SLA")</f>
        <v>Within SLA</v>
      </c>
      <c r="N659" t="str">
        <f>IF(tbl_analysis_tickets[[#This Row],[first_response_minutes]]&gt;tbl_analysis_tickets[[#This Row],[First Response SLA Minutes]],"Breached","Within SLA")</f>
        <v>Breached</v>
      </c>
      <c r="O659" t="str" cm="1">
        <f t="array" ref="O659">_xlfn.IFS(
tbl_analysis_tickets[[#This Row],[agent_experience_years]]&lt;=2,"Junior",
tbl_analysis_tickets[[#This Row],[agent_experience_years]]&lt;=5,"Mid-Level",
tbl_analysis_tickets[[#This Row],[agent_experience_years]]&lt;=8,"Senior",
tbl_analysis_tickets[[#This Row],[agent_experience_years]]&gt;8,"Expert"
)</f>
        <v>Mid-Level</v>
      </c>
      <c r="P659" cm="1">
        <f t="array" ref="P659">_xlfn.SWITCH(tbl_analysis_tickets[[#This Row],[customer_satisfaction]],
"Low",1,
"Medium",2,
"High",3
)</f>
        <v>1</v>
      </c>
      <c r="Q659">
        <f>IF(tbl_analysis_tickets[[#This Row],[reopened]]="Yes",1,0)</f>
        <v>0</v>
      </c>
      <c r="R659" t="str" cm="1">
        <f t="array" ref="R659">_xlfn.IFS(
tbl_analysis_tickets[[#This Row],[first_response_minutes]]&lt;=30,"Very Fast",
tbl_analysis_tickets[[#This Row],[first_response_minutes]]&lt;=120,"Acceptable",
tbl_analysis_tickets[[#This Row],[first_response_minutes]]&lt;=240,"Slow",
tbl_analysis_tickets[[#This Row],[first_response_minutes]]&gt;240,"Very Slow"
)</f>
        <v>Slow</v>
      </c>
      <c r="S659" t="str" cm="1">
        <f t="array" ref="S65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659" t="str">
        <f>TEXT(tbl_analysis_tickets[[#This Row],[created_date]],"mmm-yyyy")</f>
        <v>Jan-2024</v>
      </c>
      <c r="U659" t="str">
        <f>TEXT(tbl_analysis_tickets[[#This Row],[created_date]],"dddd")</f>
        <v>Thursday</v>
      </c>
      <c r="V659" cm="1">
        <f t="array" ref="V659">_xlfn.SWITCH(tbl_analysis_tickets[[#This Row],[priority]],
"Urgent",1,
"High",2,
"Medium",3,
"Low",4
)</f>
        <v>2</v>
      </c>
    </row>
    <row r="660" spans="1:22" x14ac:dyDescent="0.25">
      <c r="A660">
        <v>659</v>
      </c>
      <c r="B660" s="1">
        <v>45644</v>
      </c>
      <c r="C660" t="s">
        <v>21</v>
      </c>
      <c r="D660" t="s">
        <v>11</v>
      </c>
      <c r="E660">
        <v>94</v>
      </c>
      <c r="F660">
        <v>36</v>
      </c>
      <c r="G660">
        <v>8.6999999999999993</v>
      </c>
      <c r="H660" t="s">
        <v>12</v>
      </c>
      <c r="I660" t="s">
        <v>16</v>
      </c>
      <c r="J660" t="s">
        <v>11</v>
      </c>
      <c r="K660">
        <f>_xlfn.XLOOKUP(tbl_analysis_tickets[[#This Row],[priority]],tbl_sla[priority],tbl_sla[Resolution SLA Hours])</f>
        <v>72</v>
      </c>
      <c r="L660">
        <f>_xlfn.XLOOKUP(tbl_analysis_tickets[[#This Row],[priority]],tbl_sla[priority],tbl_sla[First Response SLA Minutes])</f>
        <v>240</v>
      </c>
      <c r="M660" t="str">
        <f>IF(tbl_analysis_tickets[[#This Row],[resolution_time_hours]]&gt;tbl_analysis_tickets[[#This Row],[Resolution SLA Hours]],"Breached","Within SLA")</f>
        <v>Within SLA</v>
      </c>
      <c r="N660" t="str">
        <f>IF(tbl_analysis_tickets[[#This Row],[first_response_minutes]]&gt;tbl_analysis_tickets[[#This Row],[First Response SLA Minutes]],"Breached","Within SLA")</f>
        <v>Within SLA</v>
      </c>
      <c r="O660" t="str" cm="1">
        <f t="array" ref="O660">_xlfn.IFS(
tbl_analysis_tickets[[#This Row],[agent_experience_years]]&lt;=2,"Junior",
tbl_analysis_tickets[[#This Row],[agent_experience_years]]&lt;=5,"Mid-Level",
tbl_analysis_tickets[[#This Row],[agent_experience_years]]&lt;=8,"Senior",
tbl_analysis_tickets[[#This Row],[agent_experience_years]]&gt;8,"Expert"
)</f>
        <v>Expert</v>
      </c>
      <c r="P660" cm="1">
        <f t="array" ref="P660">_xlfn.SWITCH(tbl_analysis_tickets[[#This Row],[customer_satisfaction]],
"Low",1,
"Medium",2,
"High",3
)</f>
        <v>1</v>
      </c>
      <c r="Q660">
        <f>IF(tbl_analysis_tickets[[#This Row],[reopened]]="Yes",1,0)</f>
        <v>1</v>
      </c>
      <c r="R660" t="str" cm="1">
        <f t="array" ref="R660">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660" t="str" cm="1">
        <f t="array" ref="S66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660" t="str">
        <f>TEXT(tbl_analysis_tickets[[#This Row],[created_date]],"mmm-yyyy")</f>
        <v>Dec-2024</v>
      </c>
      <c r="U660" t="str">
        <f>TEXT(tbl_analysis_tickets[[#This Row],[created_date]],"dddd")</f>
        <v>Wednesday</v>
      </c>
      <c r="V660" cm="1">
        <f t="array" ref="V660">_xlfn.SWITCH(tbl_analysis_tickets[[#This Row],[priority]],
"Urgent",1,
"High",2,
"Medium",3,
"Low",4
)</f>
        <v>4</v>
      </c>
    </row>
    <row r="661" spans="1:22" x14ac:dyDescent="0.25">
      <c r="A661">
        <v>660</v>
      </c>
      <c r="B661" s="1">
        <v>45300</v>
      </c>
      <c r="C661" t="s">
        <v>10</v>
      </c>
      <c r="D661" t="s">
        <v>15</v>
      </c>
      <c r="E661">
        <v>62</v>
      </c>
      <c r="F661">
        <v>7</v>
      </c>
      <c r="G661">
        <v>2.9</v>
      </c>
      <c r="H661" t="s">
        <v>18</v>
      </c>
      <c r="I661" t="s">
        <v>19</v>
      </c>
      <c r="J661" t="s">
        <v>11</v>
      </c>
      <c r="K661">
        <f>_xlfn.XLOOKUP(tbl_analysis_tickets[[#This Row],[priority]],tbl_sla[priority],tbl_sla[Resolution SLA Hours])</f>
        <v>48</v>
      </c>
      <c r="L661">
        <f>_xlfn.XLOOKUP(tbl_analysis_tickets[[#This Row],[priority]],tbl_sla[priority],tbl_sla[First Response SLA Minutes])</f>
        <v>120</v>
      </c>
      <c r="M661" t="str">
        <f>IF(tbl_analysis_tickets[[#This Row],[resolution_time_hours]]&gt;tbl_analysis_tickets[[#This Row],[Resolution SLA Hours]],"Breached","Within SLA")</f>
        <v>Within SLA</v>
      </c>
      <c r="N661" t="str">
        <f>IF(tbl_analysis_tickets[[#This Row],[first_response_minutes]]&gt;tbl_analysis_tickets[[#This Row],[First Response SLA Minutes]],"Breached","Within SLA")</f>
        <v>Within SLA</v>
      </c>
      <c r="O661" t="str" cm="1">
        <f t="array" ref="O661">_xlfn.IFS(
tbl_analysis_tickets[[#This Row],[agent_experience_years]]&lt;=2,"Junior",
tbl_analysis_tickets[[#This Row],[agent_experience_years]]&lt;=5,"Mid-Level",
tbl_analysis_tickets[[#This Row],[agent_experience_years]]&lt;=8,"Senior",
tbl_analysis_tickets[[#This Row],[agent_experience_years]]&gt;8,"Expert"
)</f>
        <v>Mid-Level</v>
      </c>
      <c r="P661" cm="1">
        <f t="array" ref="P661">_xlfn.SWITCH(tbl_analysis_tickets[[#This Row],[customer_satisfaction]],
"Low",1,
"Medium",2,
"High",3
)</f>
        <v>1</v>
      </c>
      <c r="Q661">
        <f>IF(tbl_analysis_tickets[[#This Row],[reopened]]="Yes",1,0)</f>
        <v>0</v>
      </c>
      <c r="R661" t="str" cm="1">
        <f t="array" ref="R661">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661" t="str" cm="1">
        <f t="array" ref="S66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661" t="str">
        <f>TEXT(tbl_analysis_tickets[[#This Row],[created_date]],"mmm-yyyy")</f>
        <v>Jan-2024</v>
      </c>
      <c r="U661" t="str">
        <f>TEXT(tbl_analysis_tickets[[#This Row],[created_date]],"dddd")</f>
        <v>Tuesday</v>
      </c>
      <c r="V661" cm="1">
        <f t="array" ref="V661">_xlfn.SWITCH(tbl_analysis_tickets[[#This Row],[priority]],
"Urgent",1,
"High",2,
"Medium",3,
"Low",4
)</f>
        <v>3</v>
      </c>
    </row>
    <row r="662" spans="1:22" x14ac:dyDescent="0.25">
      <c r="A662">
        <v>661</v>
      </c>
      <c r="B662" s="1">
        <v>45627</v>
      </c>
      <c r="C662" t="s">
        <v>10</v>
      </c>
      <c r="D662" t="s">
        <v>15</v>
      </c>
      <c r="E662">
        <v>84</v>
      </c>
      <c r="F662">
        <v>31</v>
      </c>
      <c r="G662">
        <v>7.5</v>
      </c>
      <c r="H662" t="s">
        <v>12</v>
      </c>
      <c r="I662" t="s">
        <v>19</v>
      </c>
      <c r="J662" t="s">
        <v>11</v>
      </c>
      <c r="K662">
        <f>_xlfn.XLOOKUP(tbl_analysis_tickets[[#This Row],[priority]],tbl_sla[priority],tbl_sla[Resolution SLA Hours])</f>
        <v>48</v>
      </c>
      <c r="L662">
        <f>_xlfn.XLOOKUP(tbl_analysis_tickets[[#This Row],[priority]],tbl_sla[priority],tbl_sla[First Response SLA Minutes])</f>
        <v>120</v>
      </c>
      <c r="M662" t="str">
        <f>IF(tbl_analysis_tickets[[#This Row],[resolution_time_hours]]&gt;tbl_analysis_tickets[[#This Row],[Resolution SLA Hours]],"Breached","Within SLA")</f>
        <v>Within SLA</v>
      </c>
      <c r="N662" t="str">
        <f>IF(tbl_analysis_tickets[[#This Row],[first_response_minutes]]&gt;tbl_analysis_tickets[[#This Row],[First Response SLA Minutes]],"Breached","Within SLA")</f>
        <v>Within SLA</v>
      </c>
      <c r="O662" t="str" cm="1">
        <f t="array" ref="O662">_xlfn.IFS(
tbl_analysis_tickets[[#This Row],[agent_experience_years]]&lt;=2,"Junior",
tbl_analysis_tickets[[#This Row],[agent_experience_years]]&lt;=5,"Mid-Level",
tbl_analysis_tickets[[#This Row],[agent_experience_years]]&lt;=8,"Senior",
tbl_analysis_tickets[[#This Row],[agent_experience_years]]&gt;8,"Expert"
)</f>
        <v>Senior</v>
      </c>
      <c r="P662" cm="1">
        <f t="array" ref="P662">_xlfn.SWITCH(tbl_analysis_tickets[[#This Row],[customer_satisfaction]],
"Low",1,
"Medium",2,
"High",3
)</f>
        <v>1</v>
      </c>
      <c r="Q662">
        <f>IF(tbl_analysis_tickets[[#This Row],[reopened]]="Yes",1,0)</f>
        <v>1</v>
      </c>
      <c r="R662" t="str" cm="1">
        <f t="array" ref="R662">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662" t="str" cm="1">
        <f t="array" ref="S66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662" t="str">
        <f>TEXT(tbl_analysis_tickets[[#This Row],[created_date]],"mmm-yyyy")</f>
        <v>Dec-2024</v>
      </c>
      <c r="U662" t="str">
        <f>TEXT(tbl_analysis_tickets[[#This Row],[created_date]],"dddd")</f>
        <v>Sunday</v>
      </c>
      <c r="V662" cm="1">
        <f t="array" ref="V662">_xlfn.SWITCH(tbl_analysis_tickets[[#This Row],[priority]],
"Urgent",1,
"High",2,
"Medium",3,
"Low",4
)</f>
        <v>3</v>
      </c>
    </row>
    <row r="663" spans="1:22" x14ac:dyDescent="0.25">
      <c r="A663">
        <v>662</v>
      </c>
      <c r="B663" s="1">
        <v>45504</v>
      </c>
      <c r="C663" t="s">
        <v>10</v>
      </c>
      <c r="D663" t="s">
        <v>15</v>
      </c>
      <c r="E663">
        <v>207</v>
      </c>
      <c r="F663">
        <v>14</v>
      </c>
      <c r="G663">
        <v>5.9</v>
      </c>
      <c r="H663" t="s">
        <v>12</v>
      </c>
      <c r="I663" t="s">
        <v>13</v>
      </c>
      <c r="J663" t="s">
        <v>11</v>
      </c>
      <c r="K663">
        <f>_xlfn.XLOOKUP(tbl_analysis_tickets[[#This Row],[priority]],tbl_sla[priority],tbl_sla[Resolution SLA Hours])</f>
        <v>48</v>
      </c>
      <c r="L663">
        <f>_xlfn.XLOOKUP(tbl_analysis_tickets[[#This Row],[priority]],tbl_sla[priority],tbl_sla[First Response SLA Minutes])</f>
        <v>120</v>
      </c>
      <c r="M663" t="str">
        <f>IF(tbl_analysis_tickets[[#This Row],[resolution_time_hours]]&gt;tbl_analysis_tickets[[#This Row],[Resolution SLA Hours]],"Breached","Within SLA")</f>
        <v>Within SLA</v>
      </c>
      <c r="N663" t="str">
        <f>IF(tbl_analysis_tickets[[#This Row],[first_response_minutes]]&gt;tbl_analysis_tickets[[#This Row],[First Response SLA Minutes]],"Breached","Within SLA")</f>
        <v>Breached</v>
      </c>
      <c r="O663" t="str" cm="1">
        <f t="array" ref="O663">_xlfn.IFS(
tbl_analysis_tickets[[#This Row],[agent_experience_years]]&lt;=2,"Junior",
tbl_analysis_tickets[[#This Row],[agent_experience_years]]&lt;=5,"Mid-Level",
tbl_analysis_tickets[[#This Row],[agent_experience_years]]&lt;=8,"Senior",
tbl_analysis_tickets[[#This Row],[agent_experience_years]]&gt;8,"Expert"
)</f>
        <v>Senior</v>
      </c>
      <c r="P663" cm="1">
        <f t="array" ref="P663">_xlfn.SWITCH(tbl_analysis_tickets[[#This Row],[customer_satisfaction]],
"Low",1,
"Medium",2,
"High",3
)</f>
        <v>1</v>
      </c>
      <c r="Q663">
        <f>IF(tbl_analysis_tickets[[#This Row],[reopened]]="Yes",1,0)</f>
        <v>1</v>
      </c>
      <c r="R663" t="str" cm="1">
        <f t="array" ref="R663">_xlfn.IFS(
tbl_analysis_tickets[[#This Row],[first_response_minutes]]&lt;=30,"Very Fast",
tbl_analysis_tickets[[#This Row],[first_response_minutes]]&lt;=120,"Acceptable",
tbl_analysis_tickets[[#This Row],[first_response_minutes]]&lt;=240,"Slow",
tbl_analysis_tickets[[#This Row],[first_response_minutes]]&gt;240,"Very Slow"
)</f>
        <v>Slow</v>
      </c>
      <c r="S663" t="str" cm="1">
        <f t="array" ref="S66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663" t="str">
        <f>TEXT(tbl_analysis_tickets[[#This Row],[created_date]],"mmm-yyyy")</f>
        <v>Jul-2024</v>
      </c>
      <c r="U663" t="str">
        <f>TEXT(tbl_analysis_tickets[[#This Row],[created_date]],"dddd")</f>
        <v>Wednesday</v>
      </c>
      <c r="V663" cm="1">
        <f t="array" ref="V663">_xlfn.SWITCH(tbl_analysis_tickets[[#This Row],[priority]],
"Urgent",1,
"High",2,
"Medium",3,
"Low",4
)</f>
        <v>3</v>
      </c>
    </row>
    <row r="664" spans="1:22" x14ac:dyDescent="0.25">
      <c r="A664">
        <v>663</v>
      </c>
      <c r="B664" s="1">
        <v>45574</v>
      </c>
      <c r="C664" t="s">
        <v>22</v>
      </c>
      <c r="D664" t="s">
        <v>15</v>
      </c>
      <c r="E664">
        <v>98</v>
      </c>
      <c r="F664">
        <v>3</v>
      </c>
      <c r="G664">
        <v>5.5</v>
      </c>
      <c r="H664" t="s">
        <v>18</v>
      </c>
      <c r="I664" t="s">
        <v>13</v>
      </c>
      <c r="J664" t="s">
        <v>20</v>
      </c>
      <c r="K664">
        <f>_xlfn.XLOOKUP(tbl_analysis_tickets[[#This Row],[priority]],tbl_sla[priority],tbl_sla[Resolution SLA Hours])</f>
        <v>48</v>
      </c>
      <c r="L664">
        <f>_xlfn.XLOOKUP(tbl_analysis_tickets[[#This Row],[priority]],tbl_sla[priority],tbl_sla[First Response SLA Minutes])</f>
        <v>120</v>
      </c>
      <c r="M664" t="str">
        <f>IF(tbl_analysis_tickets[[#This Row],[resolution_time_hours]]&gt;tbl_analysis_tickets[[#This Row],[Resolution SLA Hours]],"Breached","Within SLA")</f>
        <v>Within SLA</v>
      </c>
      <c r="N664" t="str">
        <f>IF(tbl_analysis_tickets[[#This Row],[first_response_minutes]]&gt;tbl_analysis_tickets[[#This Row],[First Response SLA Minutes]],"Breached","Within SLA")</f>
        <v>Within SLA</v>
      </c>
      <c r="O664" t="str" cm="1">
        <f t="array" ref="O664">_xlfn.IFS(
tbl_analysis_tickets[[#This Row],[agent_experience_years]]&lt;=2,"Junior",
tbl_analysis_tickets[[#This Row],[agent_experience_years]]&lt;=5,"Mid-Level",
tbl_analysis_tickets[[#This Row],[agent_experience_years]]&lt;=8,"Senior",
tbl_analysis_tickets[[#This Row],[agent_experience_years]]&gt;8,"Expert"
)</f>
        <v>Senior</v>
      </c>
      <c r="P664" cm="1">
        <f t="array" ref="P664">_xlfn.SWITCH(tbl_analysis_tickets[[#This Row],[customer_satisfaction]],
"Low",1,
"Medium",2,
"High",3
)</f>
        <v>3</v>
      </c>
      <c r="Q664">
        <f>IF(tbl_analysis_tickets[[#This Row],[reopened]]="Yes",1,0)</f>
        <v>0</v>
      </c>
      <c r="R664" t="str" cm="1">
        <f t="array" ref="R664">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664" t="str" cm="1">
        <f t="array" ref="S66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664" t="str">
        <f>TEXT(tbl_analysis_tickets[[#This Row],[created_date]],"mmm-yyyy")</f>
        <v>Oct-2024</v>
      </c>
      <c r="U664" t="str">
        <f>TEXT(tbl_analysis_tickets[[#This Row],[created_date]],"dddd")</f>
        <v>Wednesday</v>
      </c>
      <c r="V664" cm="1">
        <f t="array" ref="V664">_xlfn.SWITCH(tbl_analysis_tickets[[#This Row],[priority]],
"Urgent",1,
"High",2,
"Medium",3,
"Low",4
)</f>
        <v>3</v>
      </c>
    </row>
    <row r="665" spans="1:22" x14ac:dyDescent="0.25">
      <c r="A665">
        <v>664</v>
      </c>
      <c r="B665" s="1">
        <v>45333</v>
      </c>
      <c r="C665" t="s">
        <v>14</v>
      </c>
      <c r="D665" t="s">
        <v>20</v>
      </c>
      <c r="E665">
        <v>87</v>
      </c>
      <c r="F665">
        <v>64</v>
      </c>
      <c r="G665">
        <v>7.1</v>
      </c>
      <c r="H665" t="s">
        <v>12</v>
      </c>
      <c r="I665" t="s">
        <v>13</v>
      </c>
      <c r="J665" t="s">
        <v>11</v>
      </c>
      <c r="K665">
        <f>_xlfn.XLOOKUP(tbl_analysis_tickets[[#This Row],[priority]],tbl_sla[priority],tbl_sla[Resolution SLA Hours])</f>
        <v>24</v>
      </c>
      <c r="L665">
        <f>_xlfn.XLOOKUP(tbl_analysis_tickets[[#This Row],[priority]],tbl_sla[priority],tbl_sla[First Response SLA Minutes])</f>
        <v>60</v>
      </c>
      <c r="M665" t="str">
        <f>IF(tbl_analysis_tickets[[#This Row],[resolution_time_hours]]&gt;tbl_analysis_tickets[[#This Row],[Resolution SLA Hours]],"Breached","Within SLA")</f>
        <v>Breached</v>
      </c>
      <c r="N665" t="str">
        <f>IF(tbl_analysis_tickets[[#This Row],[first_response_minutes]]&gt;tbl_analysis_tickets[[#This Row],[First Response SLA Minutes]],"Breached","Within SLA")</f>
        <v>Breached</v>
      </c>
      <c r="O665" t="str" cm="1">
        <f t="array" ref="O665">_xlfn.IFS(
tbl_analysis_tickets[[#This Row],[agent_experience_years]]&lt;=2,"Junior",
tbl_analysis_tickets[[#This Row],[agent_experience_years]]&lt;=5,"Mid-Level",
tbl_analysis_tickets[[#This Row],[agent_experience_years]]&lt;=8,"Senior",
tbl_analysis_tickets[[#This Row],[agent_experience_years]]&gt;8,"Expert"
)</f>
        <v>Senior</v>
      </c>
      <c r="P665" cm="1">
        <f t="array" ref="P665">_xlfn.SWITCH(tbl_analysis_tickets[[#This Row],[customer_satisfaction]],
"Low",1,
"Medium",2,
"High",3
)</f>
        <v>1</v>
      </c>
      <c r="Q665">
        <f>IF(tbl_analysis_tickets[[#This Row],[reopened]]="Yes",1,0)</f>
        <v>1</v>
      </c>
      <c r="R665" t="str" cm="1">
        <f t="array" ref="R665">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665" t="str" cm="1">
        <f t="array" ref="S66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665" t="str">
        <f>TEXT(tbl_analysis_tickets[[#This Row],[created_date]],"mmm-yyyy")</f>
        <v>Feb-2024</v>
      </c>
      <c r="U665" t="str">
        <f>TEXT(tbl_analysis_tickets[[#This Row],[created_date]],"dddd")</f>
        <v>Sunday</v>
      </c>
      <c r="V665" cm="1">
        <f t="array" ref="V665">_xlfn.SWITCH(tbl_analysis_tickets[[#This Row],[priority]],
"Urgent",1,
"High",2,
"Medium",3,
"Low",4
)</f>
        <v>2</v>
      </c>
    </row>
    <row r="666" spans="1:22" x14ac:dyDescent="0.25">
      <c r="A666">
        <v>665</v>
      </c>
      <c r="B666" s="1">
        <v>45640</v>
      </c>
      <c r="C666" t="s">
        <v>21</v>
      </c>
      <c r="D666" t="s">
        <v>11</v>
      </c>
      <c r="E666">
        <v>31</v>
      </c>
      <c r="F666">
        <v>36</v>
      </c>
      <c r="G666">
        <v>7.3</v>
      </c>
      <c r="H666" t="s">
        <v>18</v>
      </c>
      <c r="I666" t="s">
        <v>19</v>
      </c>
      <c r="J666" t="s">
        <v>15</v>
      </c>
      <c r="K666">
        <f>_xlfn.XLOOKUP(tbl_analysis_tickets[[#This Row],[priority]],tbl_sla[priority],tbl_sla[Resolution SLA Hours])</f>
        <v>72</v>
      </c>
      <c r="L666">
        <f>_xlfn.XLOOKUP(tbl_analysis_tickets[[#This Row],[priority]],tbl_sla[priority],tbl_sla[First Response SLA Minutes])</f>
        <v>240</v>
      </c>
      <c r="M666" t="str">
        <f>IF(tbl_analysis_tickets[[#This Row],[resolution_time_hours]]&gt;tbl_analysis_tickets[[#This Row],[Resolution SLA Hours]],"Breached","Within SLA")</f>
        <v>Within SLA</v>
      </c>
      <c r="N666" t="str">
        <f>IF(tbl_analysis_tickets[[#This Row],[first_response_minutes]]&gt;tbl_analysis_tickets[[#This Row],[First Response SLA Minutes]],"Breached","Within SLA")</f>
        <v>Within SLA</v>
      </c>
      <c r="O666" t="str" cm="1">
        <f t="array" ref="O666">_xlfn.IFS(
tbl_analysis_tickets[[#This Row],[agent_experience_years]]&lt;=2,"Junior",
tbl_analysis_tickets[[#This Row],[agent_experience_years]]&lt;=5,"Mid-Level",
tbl_analysis_tickets[[#This Row],[agent_experience_years]]&lt;=8,"Senior",
tbl_analysis_tickets[[#This Row],[agent_experience_years]]&gt;8,"Expert"
)</f>
        <v>Senior</v>
      </c>
      <c r="P666" cm="1">
        <f t="array" ref="P666">_xlfn.SWITCH(tbl_analysis_tickets[[#This Row],[customer_satisfaction]],
"Low",1,
"Medium",2,
"High",3
)</f>
        <v>2</v>
      </c>
      <c r="Q666">
        <f>IF(tbl_analysis_tickets[[#This Row],[reopened]]="Yes",1,0)</f>
        <v>0</v>
      </c>
      <c r="R666" t="str" cm="1">
        <f t="array" ref="R666">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666" t="str" cm="1">
        <f t="array" ref="S66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666" t="str">
        <f>TEXT(tbl_analysis_tickets[[#This Row],[created_date]],"mmm-yyyy")</f>
        <v>Dec-2024</v>
      </c>
      <c r="U666" t="str">
        <f>TEXT(tbl_analysis_tickets[[#This Row],[created_date]],"dddd")</f>
        <v>Saturday</v>
      </c>
      <c r="V666" cm="1">
        <f t="array" ref="V666">_xlfn.SWITCH(tbl_analysis_tickets[[#This Row],[priority]],
"Urgent",1,
"High",2,
"Medium",3,
"Low",4
)</f>
        <v>4</v>
      </c>
    </row>
    <row r="667" spans="1:22" x14ac:dyDescent="0.25">
      <c r="A667">
        <v>666</v>
      </c>
      <c r="B667" s="1">
        <v>45351</v>
      </c>
      <c r="C667" t="s">
        <v>23</v>
      </c>
      <c r="D667" t="s">
        <v>17</v>
      </c>
      <c r="E667">
        <v>179</v>
      </c>
      <c r="F667">
        <v>33</v>
      </c>
      <c r="G667">
        <v>7.3</v>
      </c>
      <c r="H667" t="s">
        <v>18</v>
      </c>
      <c r="I667" t="s">
        <v>19</v>
      </c>
      <c r="J667" t="s">
        <v>11</v>
      </c>
      <c r="K667">
        <f>_xlfn.XLOOKUP(tbl_analysis_tickets[[#This Row],[priority]],tbl_sla[priority],tbl_sla[Resolution SLA Hours])</f>
        <v>8</v>
      </c>
      <c r="L667">
        <f>_xlfn.XLOOKUP(tbl_analysis_tickets[[#This Row],[priority]],tbl_sla[priority],tbl_sla[First Response SLA Minutes])</f>
        <v>30</v>
      </c>
      <c r="M667" t="str">
        <f>IF(tbl_analysis_tickets[[#This Row],[resolution_time_hours]]&gt;tbl_analysis_tickets[[#This Row],[Resolution SLA Hours]],"Breached","Within SLA")</f>
        <v>Breached</v>
      </c>
      <c r="N667" t="str">
        <f>IF(tbl_analysis_tickets[[#This Row],[first_response_minutes]]&gt;tbl_analysis_tickets[[#This Row],[First Response SLA Minutes]],"Breached","Within SLA")</f>
        <v>Breached</v>
      </c>
      <c r="O667" t="str" cm="1">
        <f t="array" ref="O667">_xlfn.IFS(
tbl_analysis_tickets[[#This Row],[agent_experience_years]]&lt;=2,"Junior",
tbl_analysis_tickets[[#This Row],[agent_experience_years]]&lt;=5,"Mid-Level",
tbl_analysis_tickets[[#This Row],[agent_experience_years]]&lt;=8,"Senior",
tbl_analysis_tickets[[#This Row],[agent_experience_years]]&gt;8,"Expert"
)</f>
        <v>Senior</v>
      </c>
      <c r="P667" cm="1">
        <f t="array" ref="P667">_xlfn.SWITCH(tbl_analysis_tickets[[#This Row],[customer_satisfaction]],
"Low",1,
"Medium",2,
"High",3
)</f>
        <v>1</v>
      </c>
      <c r="Q667">
        <f>IF(tbl_analysis_tickets[[#This Row],[reopened]]="Yes",1,0)</f>
        <v>0</v>
      </c>
      <c r="R667" t="str" cm="1">
        <f t="array" ref="R667">_xlfn.IFS(
tbl_analysis_tickets[[#This Row],[first_response_minutes]]&lt;=30,"Very Fast",
tbl_analysis_tickets[[#This Row],[first_response_minutes]]&lt;=120,"Acceptable",
tbl_analysis_tickets[[#This Row],[first_response_minutes]]&lt;=240,"Slow",
tbl_analysis_tickets[[#This Row],[first_response_minutes]]&gt;240,"Very Slow"
)</f>
        <v>Slow</v>
      </c>
      <c r="S667" t="str" cm="1">
        <f t="array" ref="S66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667" t="str">
        <f>TEXT(tbl_analysis_tickets[[#This Row],[created_date]],"mmm-yyyy")</f>
        <v>Feb-2024</v>
      </c>
      <c r="U667" t="str">
        <f>TEXT(tbl_analysis_tickets[[#This Row],[created_date]],"dddd")</f>
        <v>Thursday</v>
      </c>
      <c r="V667" cm="1">
        <f t="array" ref="V667">_xlfn.SWITCH(tbl_analysis_tickets[[#This Row],[priority]],
"Urgent",1,
"High",2,
"Medium",3,
"Low",4
)</f>
        <v>1</v>
      </c>
    </row>
    <row r="668" spans="1:22" x14ac:dyDescent="0.25">
      <c r="A668">
        <v>667</v>
      </c>
      <c r="B668" s="1">
        <v>45560</v>
      </c>
      <c r="C668" t="s">
        <v>21</v>
      </c>
      <c r="D668" t="s">
        <v>20</v>
      </c>
      <c r="E668">
        <v>179</v>
      </c>
      <c r="F668">
        <v>50</v>
      </c>
      <c r="G668">
        <v>4.3</v>
      </c>
      <c r="H668" t="s">
        <v>12</v>
      </c>
      <c r="I668" t="s">
        <v>13</v>
      </c>
      <c r="J668" t="s">
        <v>11</v>
      </c>
      <c r="K668">
        <f>_xlfn.XLOOKUP(tbl_analysis_tickets[[#This Row],[priority]],tbl_sla[priority],tbl_sla[Resolution SLA Hours])</f>
        <v>24</v>
      </c>
      <c r="L668">
        <f>_xlfn.XLOOKUP(tbl_analysis_tickets[[#This Row],[priority]],tbl_sla[priority],tbl_sla[First Response SLA Minutes])</f>
        <v>60</v>
      </c>
      <c r="M668" t="str">
        <f>IF(tbl_analysis_tickets[[#This Row],[resolution_time_hours]]&gt;tbl_analysis_tickets[[#This Row],[Resolution SLA Hours]],"Breached","Within SLA")</f>
        <v>Breached</v>
      </c>
      <c r="N668" t="str">
        <f>IF(tbl_analysis_tickets[[#This Row],[first_response_minutes]]&gt;tbl_analysis_tickets[[#This Row],[First Response SLA Minutes]],"Breached","Within SLA")</f>
        <v>Breached</v>
      </c>
      <c r="O668" t="str" cm="1">
        <f t="array" ref="O668">_xlfn.IFS(
tbl_analysis_tickets[[#This Row],[agent_experience_years]]&lt;=2,"Junior",
tbl_analysis_tickets[[#This Row],[agent_experience_years]]&lt;=5,"Mid-Level",
tbl_analysis_tickets[[#This Row],[agent_experience_years]]&lt;=8,"Senior",
tbl_analysis_tickets[[#This Row],[agent_experience_years]]&gt;8,"Expert"
)</f>
        <v>Mid-Level</v>
      </c>
      <c r="P668" cm="1">
        <f t="array" ref="P668">_xlfn.SWITCH(tbl_analysis_tickets[[#This Row],[customer_satisfaction]],
"Low",1,
"Medium",2,
"High",3
)</f>
        <v>1</v>
      </c>
      <c r="Q668">
        <f>IF(tbl_analysis_tickets[[#This Row],[reopened]]="Yes",1,0)</f>
        <v>1</v>
      </c>
      <c r="R668" t="str" cm="1">
        <f t="array" ref="R668">_xlfn.IFS(
tbl_analysis_tickets[[#This Row],[first_response_minutes]]&lt;=30,"Very Fast",
tbl_analysis_tickets[[#This Row],[first_response_minutes]]&lt;=120,"Acceptable",
tbl_analysis_tickets[[#This Row],[first_response_minutes]]&lt;=240,"Slow",
tbl_analysis_tickets[[#This Row],[first_response_minutes]]&gt;240,"Very Slow"
)</f>
        <v>Slow</v>
      </c>
      <c r="S668" t="str" cm="1">
        <f t="array" ref="S66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668" t="str">
        <f>TEXT(tbl_analysis_tickets[[#This Row],[created_date]],"mmm-yyyy")</f>
        <v>Sep-2024</v>
      </c>
      <c r="U668" t="str">
        <f>TEXT(tbl_analysis_tickets[[#This Row],[created_date]],"dddd")</f>
        <v>Wednesday</v>
      </c>
      <c r="V668" cm="1">
        <f t="array" ref="V668">_xlfn.SWITCH(tbl_analysis_tickets[[#This Row],[priority]],
"Urgent",1,
"High",2,
"Medium",3,
"Low",4
)</f>
        <v>2</v>
      </c>
    </row>
    <row r="669" spans="1:22" x14ac:dyDescent="0.25">
      <c r="A669">
        <v>668</v>
      </c>
      <c r="B669" s="1">
        <v>45468</v>
      </c>
      <c r="C669" t="s">
        <v>22</v>
      </c>
      <c r="D669" t="s">
        <v>17</v>
      </c>
      <c r="E669">
        <v>157</v>
      </c>
      <c r="F669">
        <v>14</v>
      </c>
      <c r="G669">
        <v>6.2</v>
      </c>
      <c r="H669" t="s">
        <v>18</v>
      </c>
      <c r="I669" t="s">
        <v>13</v>
      </c>
      <c r="J669" t="s">
        <v>11</v>
      </c>
      <c r="K669">
        <f>_xlfn.XLOOKUP(tbl_analysis_tickets[[#This Row],[priority]],tbl_sla[priority],tbl_sla[Resolution SLA Hours])</f>
        <v>8</v>
      </c>
      <c r="L669">
        <f>_xlfn.XLOOKUP(tbl_analysis_tickets[[#This Row],[priority]],tbl_sla[priority],tbl_sla[First Response SLA Minutes])</f>
        <v>30</v>
      </c>
      <c r="M669" t="str">
        <f>IF(tbl_analysis_tickets[[#This Row],[resolution_time_hours]]&gt;tbl_analysis_tickets[[#This Row],[Resolution SLA Hours]],"Breached","Within SLA")</f>
        <v>Breached</v>
      </c>
      <c r="N669" t="str">
        <f>IF(tbl_analysis_tickets[[#This Row],[first_response_minutes]]&gt;tbl_analysis_tickets[[#This Row],[First Response SLA Minutes]],"Breached","Within SLA")</f>
        <v>Breached</v>
      </c>
      <c r="O669" t="str" cm="1">
        <f t="array" ref="O669">_xlfn.IFS(
tbl_analysis_tickets[[#This Row],[agent_experience_years]]&lt;=2,"Junior",
tbl_analysis_tickets[[#This Row],[agent_experience_years]]&lt;=5,"Mid-Level",
tbl_analysis_tickets[[#This Row],[agent_experience_years]]&lt;=8,"Senior",
tbl_analysis_tickets[[#This Row],[agent_experience_years]]&gt;8,"Expert"
)</f>
        <v>Senior</v>
      </c>
      <c r="P669" cm="1">
        <f t="array" ref="P669">_xlfn.SWITCH(tbl_analysis_tickets[[#This Row],[customer_satisfaction]],
"Low",1,
"Medium",2,
"High",3
)</f>
        <v>1</v>
      </c>
      <c r="Q669">
        <f>IF(tbl_analysis_tickets[[#This Row],[reopened]]="Yes",1,0)</f>
        <v>0</v>
      </c>
      <c r="R669" t="str" cm="1">
        <f t="array" ref="R669">_xlfn.IFS(
tbl_analysis_tickets[[#This Row],[first_response_minutes]]&lt;=30,"Very Fast",
tbl_analysis_tickets[[#This Row],[first_response_minutes]]&lt;=120,"Acceptable",
tbl_analysis_tickets[[#This Row],[first_response_minutes]]&lt;=240,"Slow",
tbl_analysis_tickets[[#This Row],[first_response_minutes]]&gt;240,"Very Slow"
)</f>
        <v>Slow</v>
      </c>
      <c r="S669" t="str" cm="1">
        <f t="array" ref="S66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669" t="str">
        <f>TEXT(tbl_analysis_tickets[[#This Row],[created_date]],"mmm-yyyy")</f>
        <v>Jun-2024</v>
      </c>
      <c r="U669" t="str">
        <f>TEXT(tbl_analysis_tickets[[#This Row],[created_date]],"dddd")</f>
        <v>Tuesday</v>
      </c>
      <c r="V669" cm="1">
        <f t="array" ref="V669">_xlfn.SWITCH(tbl_analysis_tickets[[#This Row],[priority]],
"Urgent",1,
"High",2,
"Medium",3,
"Low",4
)</f>
        <v>1</v>
      </c>
    </row>
    <row r="670" spans="1:22" x14ac:dyDescent="0.25">
      <c r="A670">
        <v>669</v>
      </c>
      <c r="B670" s="1">
        <v>45377</v>
      </c>
      <c r="C670" t="s">
        <v>21</v>
      </c>
      <c r="D670" t="s">
        <v>17</v>
      </c>
      <c r="E670">
        <v>178</v>
      </c>
      <c r="F670">
        <v>50</v>
      </c>
      <c r="G670">
        <v>9.1999999999999993</v>
      </c>
      <c r="H670" t="s">
        <v>12</v>
      </c>
      <c r="I670" t="s">
        <v>16</v>
      </c>
      <c r="J670" t="s">
        <v>11</v>
      </c>
      <c r="K670">
        <f>_xlfn.XLOOKUP(tbl_analysis_tickets[[#This Row],[priority]],tbl_sla[priority],tbl_sla[Resolution SLA Hours])</f>
        <v>8</v>
      </c>
      <c r="L670">
        <f>_xlfn.XLOOKUP(tbl_analysis_tickets[[#This Row],[priority]],tbl_sla[priority],tbl_sla[First Response SLA Minutes])</f>
        <v>30</v>
      </c>
      <c r="M670" t="str">
        <f>IF(tbl_analysis_tickets[[#This Row],[resolution_time_hours]]&gt;tbl_analysis_tickets[[#This Row],[Resolution SLA Hours]],"Breached","Within SLA")</f>
        <v>Breached</v>
      </c>
      <c r="N670" t="str">
        <f>IF(tbl_analysis_tickets[[#This Row],[first_response_minutes]]&gt;tbl_analysis_tickets[[#This Row],[First Response SLA Minutes]],"Breached","Within SLA")</f>
        <v>Breached</v>
      </c>
      <c r="O670" t="str" cm="1">
        <f t="array" ref="O670">_xlfn.IFS(
tbl_analysis_tickets[[#This Row],[agent_experience_years]]&lt;=2,"Junior",
tbl_analysis_tickets[[#This Row],[agent_experience_years]]&lt;=5,"Mid-Level",
tbl_analysis_tickets[[#This Row],[agent_experience_years]]&lt;=8,"Senior",
tbl_analysis_tickets[[#This Row],[agent_experience_years]]&gt;8,"Expert"
)</f>
        <v>Expert</v>
      </c>
      <c r="P670" cm="1">
        <f t="array" ref="P670">_xlfn.SWITCH(tbl_analysis_tickets[[#This Row],[customer_satisfaction]],
"Low",1,
"Medium",2,
"High",3
)</f>
        <v>1</v>
      </c>
      <c r="Q670">
        <f>IF(tbl_analysis_tickets[[#This Row],[reopened]]="Yes",1,0)</f>
        <v>1</v>
      </c>
      <c r="R670" t="str" cm="1">
        <f t="array" ref="R670">_xlfn.IFS(
tbl_analysis_tickets[[#This Row],[first_response_minutes]]&lt;=30,"Very Fast",
tbl_analysis_tickets[[#This Row],[first_response_minutes]]&lt;=120,"Acceptable",
tbl_analysis_tickets[[#This Row],[first_response_minutes]]&lt;=240,"Slow",
tbl_analysis_tickets[[#This Row],[first_response_minutes]]&gt;240,"Very Slow"
)</f>
        <v>Slow</v>
      </c>
      <c r="S670" t="str" cm="1">
        <f t="array" ref="S67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670" t="str">
        <f>TEXT(tbl_analysis_tickets[[#This Row],[created_date]],"mmm-yyyy")</f>
        <v>Mar-2024</v>
      </c>
      <c r="U670" t="str">
        <f>TEXT(tbl_analysis_tickets[[#This Row],[created_date]],"dddd")</f>
        <v>Tuesday</v>
      </c>
      <c r="V670" cm="1">
        <f t="array" ref="V670">_xlfn.SWITCH(tbl_analysis_tickets[[#This Row],[priority]],
"Urgent",1,
"High",2,
"Medium",3,
"Low",4
)</f>
        <v>1</v>
      </c>
    </row>
    <row r="671" spans="1:22" x14ac:dyDescent="0.25">
      <c r="A671">
        <v>670</v>
      </c>
      <c r="B671" s="1">
        <v>45591</v>
      </c>
      <c r="C671" t="s">
        <v>10</v>
      </c>
      <c r="D671" t="s">
        <v>17</v>
      </c>
      <c r="E671">
        <v>84</v>
      </c>
      <c r="F671">
        <v>36</v>
      </c>
      <c r="G671">
        <v>3.5</v>
      </c>
      <c r="H671" t="s">
        <v>12</v>
      </c>
      <c r="I671" t="s">
        <v>13</v>
      </c>
      <c r="J671" t="s">
        <v>11</v>
      </c>
      <c r="K671">
        <f>_xlfn.XLOOKUP(tbl_analysis_tickets[[#This Row],[priority]],tbl_sla[priority],tbl_sla[Resolution SLA Hours])</f>
        <v>8</v>
      </c>
      <c r="L671">
        <f>_xlfn.XLOOKUP(tbl_analysis_tickets[[#This Row],[priority]],tbl_sla[priority],tbl_sla[First Response SLA Minutes])</f>
        <v>30</v>
      </c>
      <c r="M671" t="str">
        <f>IF(tbl_analysis_tickets[[#This Row],[resolution_time_hours]]&gt;tbl_analysis_tickets[[#This Row],[Resolution SLA Hours]],"Breached","Within SLA")</f>
        <v>Breached</v>
      </c>
      <c r="N671" t="str">
        <f>IF(tbl_analysis_tickets[[#This Row],[first_response_minutes]]&gt;tbl_analysis_tickets[[#This Row],[First Response SLA Minutes]],"Breached","Within SLA")</f>
        <v>Breached</v>
      </c>
      <c r="O671" t="str" cm="1">
        <f t="array" ref="O671">_xlfn.IFS(
tbl_analysis_tickets[[#This Row],[agent_experience_years]]&lt;=2,"Junior",
tbl_analysis_tickets[[#This Row],[agent_experience_years]]&lt;=5,"Mid-Level",
tbl_analysis_tickets[[#This Row],[agent_experience_years]]&lt;=8,"Senior",
tbl_analysis_tickets[[#This Row],[agent_experience_years]]&gt;8,"Expert"
)</f>
        <v>Mid-Level</v>
      </c>
      <c r="P671" cm="1">
        <f t="array" ref="P671">_xlfn.SWITCH(tbl_analysis_tickets[[#This Row],[customer_satisfaction]],
"Low",1,
"Medium",2,
"High",3
)</f>
        <v>1</v>
      </c>
      <c r="Q671">
        <f>IF(tbl_analysis_tickets[[#This Row],[reopened]]="Yes",1,0)</f>
        <v>1</v>
      </c>
      <c r="R671" t="str" cm="1">
        <f t="array" ref="R671">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671" t="str" cm="1">
        <f t="array" ref="S67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671" t="str">
        <f>TEXT(tbl_analysis_tickets[[#This Row],[created_date]],"mmm-yyyy")</f>
        <v>Oct-2024</v>
      </c>
      <c r="U671" t="str">
        <f>TEXT(tbl_analysis_tickets[[#This Row],[created_date]],"dddd")</f>
        <v>Saturday</v>
      </c>
      <c r="V671" cm="1">
        <f t="array" ref="V671">_xlfn.SWITCH(tbl_analysis_tickets[[#This Row],[priority]],
"Urgent",1,
"High",2,
"Medium",3,
"Low",4
)</f>
        <v>1</v>
      </c>
    </row>
    <row r="672" spans="1:22" x14ac:dyDescent="0.25">
      <c r="A672">
        <v>671</v>
      </c>
      <c r="B672" s="1">
        <v>45508</v>
      </c>
      <c r="C672" t="s">
        <v>10</v>
      </c>
      <c r="D672" t="s">
        <v>15</v>
      </c>
      <c r="E672">
        <v>188</v>
      </c>
      <c r="F672">
        <v>61</v>
      </c>
      <c r="G672">
        <v>1.1000000000000001</v>
      </c>
      <c r="H672" t="s">
        <v>12</v>
      </c>
      <c r="I672" t="s">
        <v>19</v>
      </c>
      <c r="J672" t="s">
        <v>11</v>
      </c>
      <c r="K672">
        <f>_xlfn.XLOOKUP(tbl_analysis_tickets[[#This Row],[priority]],tbl_sla[priority],tbl_sla[Resolution SLA Hours])</f>
        <v>48</v>
      </c>
      <c r="L672">
        <f>_xlfn.XLOOKUP(tbl_analysis_tickets[[#This Row],[priority]],tbl_sla[priority],tbl_sla[First Response SLA Minutes])</f>
        <v>120</v>
      </c>
      <c r="M672" t="str">
        <f>IF(tbl_analysis_tickets[[#This Row],[resolution_time_hours]]&gt;tbl_analysis_tickets[[#This Row],[Resolution SLA Hours]],"Breached","Within SLA")</f>
        <v>Breached</v>
      </c>
      <c r="N672" t="str">
        <f>IF(tbl_analysis_tickets[[#This Row],[first_response_minutes]]&gt;tbl_analysis_tickets[[#This Row],[First Response SLA Minutes]],"Breached","Within SLA")</f>
        <v>Breached</v>
      </c>
      <c r="O672" t="str" cm="1">
        <f t="array" ref="O672">_xlfn.IFS(
tbl_analysis_tickets[[#This Row],[agent_experience_years]]&lt;=2,"Junior",
tbl_analysis_tickets[[#This Row],[agent_experience_years]]&lt;=5,"Mid-Level",
tbl_analysis_tickets[[#This Row],[agent_experience_years]]&lt;=8,"Senior",
tbl_analysis_tickets[[#This Row],[agent_experience_years]]&gt;8,"Expert"
)</f>
        <v>Junior</v>
      </c>
      <c r="P672" cm="1">
        <f t="array" ref="P672">_xlfn.SWITCH(tbl_analysis_tickets[[#This Row],[customer_satisfaction]],
"Low",1,
"Medium",2,
"High",3
)</f>
        <v>1</v>
      </c>
      <c r="Q672">
        <f>IF(tbl_analysis_tickets[[#This Row],[reopened]]="Yes",1,0)</f>
        <v>1</v>
      </c>
      <c r="R672" t="str" cm="1">
        <f t="array" ref="R672">_xlfn.IFS(
tbl_analysis_tickets[[#This Row],[first_response_minutes]]&lt;=30,"Very Fast",
tbl_analysis_tickets[[#This Row],[first_response_minutes]]&lt;=120,"Acceptable",
tbl_analysis_tickets[[#This Row],[first_response_minutes]]&lt;=240,"Slow",
tbl_analysis_tickets[[#This Row],[first_response_minutes]]&gt;240,"Very Slow"
)</f>
        <v>Slow</v>
      </c>
      <c r="S672" t="str" cm="1">
        <f t="array" ref="S67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672" t="str">
        <f>TEXT(tbl_analysis_tickets[[#This Row],[created_date]],"mmm-yyyy")</f>
        <v>Aug-2024</v>
      </c>
      <c r="U672" t="str">
        <f>TEXT(tbl_analysis_tickets[[#This Row],[created_date]],"dddd")</f>
        <v>Sunday</v>
      </c>
      <c r="V672" cm="1">
        <f t="array" ref="V672">_xlfn.SWITCH(tbl_analysis_tickets[[#This Row],[priority]],
"Urgent",1,
"High",2,
"Medium",3,
"Low",4
)</f>
        <v>3</v>
      </c>
    </row>
    <row r="673" spans="1:22" x14ac:dyDescent="0.25">
      <c r="A673">
        <v>672</v>
      </c>
      <c r="B673" s="1">
        <v>45527</v>
      </c>
      <c r="C673" t="s">
        <v>22</v>
      </c>
      <c r="D673" t="s">
        <v>11</v>
      </c>
      <c r="E673">
        <v>194</v>
      </c>
      <c r="F673">
        <v>40</v>
      </c>
      <c r="G673">
        <v>3.9</v>
      </c>
      <c r="H673" t="s">
        <v>18</v>
      </c>
      <c r="I673" t="s">
        <v>16</v>
      </c>
      <c r="J673" t="s">
        <v>11</v>
      </c>
      <c r="K673">
        <f>_xlfn.XLOOKUP(tbl_analysis_tickets[[#This Row],[priority]],tbl_sla[priority],tbl_sla[Resolution SLA Hours])</f>
        <v>72</v>
      </c>
      <c r="L673">
        <f>_xlfn.XLOOKUP(tbl_analysis_tickets[[#This Row],[priority]],tbl_sla[priority],tbl_sla[First Response SLA Minutes])</f>
        <v>240</v>
      </c>
      <c r="M673" t="str">
        <f>IF(tbl_analysis_tickets[[#This Row],[resolution_time_hours]]&gt;tbl_analysis_tickets[[#This Row],[Resolution SLA Hours]],"Breached","Within SLA")</f>
        <v>Within SLA</v>
      </c>
      <c r="N673" t="str">
        <f>IF(tbl_analysis_tickets[[#This Row],[first_response_minutes]]&gt;tbl_analysis_tickets[[#This Row],[First Response SLA Minutes]],"Breached","Within SLA")</f>
        <v>Within SLA</v>
      </c>
      <c r="O673" t="str" cm="1">
        <f t="array" ref="O673">_xlfn.IFS(
tbl_analysis_tickets[[#This Row],[agent_experience_years]]&lt;=2,"Junior",
tbl_analysis_tickets[[#This Row],[agent_experience_years]]&lt;=5,"Mid-Level",
tbl_analysis_tickets[[#This Row],[agent_experience_years]]&lt;=8,"Senior",
tbl_analysis_tickets[[#This Row],[agent_experience_years]]&gt;8,"Expert"
)</f>
        <v>Mid-Level</v>
      </c>
      <c r="P673" cm="1">
        <f t="array" ref="P673">_xlfn.SWITCH(tbl_analysis_tickets[[#This Row],[customer_satisfaction]],
"Low",1,
"Medium",2,
"High",3
)</f>
        <v>1</v>
      </c>
      <c r="Q673">
        <f>IF(tbl_analysis_tickets[[#This Row],[reopened]]="Yes",1,0)</f>
        <v>0</v>
      </c>
      <c r="R673" t="str" cm="1">
        <f t="array" ref="R673">_xlfn.IFS(
tbl_analysis_tickets[[#This Row],[first_response_minutes]]&lt;=30,"Very Fast",
tbl_analysis_tickets[[#This Row],[first_response_minutes]]&lt;=120,"Acceptable",
tbl_analysis_tickets[[#This Row],[first_response_minutes]]&lt;=240,"Slow",
tbl_analysis_tickets[[#This Row],[first_response_minutes]]&gt;240,"Very Slow"
)</f>
        <v>Slow</v>
      </c>
      <c r="S673" t="str" cm="1">
        <f t="array" ref="S67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673" t="str">
        <f>TEXT(tbl_analysis_tickets[[#This Row],[created_date]],"mmm-yyyy")</f>
        <v>Aug-2024</v>
      </c>
      <c r="U673" t="str">
        <f>TEXT(tbl_analysis_tickets[[#This Row],[created_date]],"dddd")</f>
        <v>Friday</v>
      </c>
      <c r="V673" cm="1">
        <f t="array" ref="V673">_xlfn.SWITCH(tbl_analysis_tickets[[#This Row],[priority]],
"Urgent",1,
"High",2,
"Medium",3,
"Low",4
)</f>
        <v>4</v>
      </c>
    </row>
    <row r="674" spans="1:22" x14ac:dyDescent="0.25">
      <c r="A674">
        <v>673</v>
      </c>
      <c r="B674" s="1">
        <v>45463</v>
      </c>
      <c r="C674" t="s">
        <v>10</v>
      </c>
      <c r="D674" t="s">
        <v>11</v>
      </c>
      <c r="E674">
        <v>212</v>
      </c>
      <c r="F674">
        <v>66</v>
      </c>
      <c r="G674">
        <v>5.5</v>
      </c>
      <c r="H674" t="s">
        <v>12</v>
      </c>
      <c r="I674" t="s">
        <v>19</v>
      </c>
      <c r="J674" t="s">
        <v>11</v>
      </c>
      <c r="K674">
        <f>_xlfn.XLOOKUP(tbl_analysis_tickets[[#This Row],[priority]],tbl_sla[priority],tbl_sla[Resolution SLA Hours])</f>
        <v>72</v>
      </c>
      <c r="L674">
        <f>_xlfn.XLOOKUP(tbl_analysis_tickets[[#This Row],[priority]],tbl_sla[priority],tbl_sla[First Response SLA Minutes])</f>
        <v>240</v>
      </c>
      <c r="M674" t="str">
        <f>IF(tbl_analysis_tickets[[#This Row],[resolution_time_hours]]&gt;tbl_analysis_tickets[[#This Row],[Resolution SLA Hours]],"Breached","Within SLA")</f>
        <v>Within SLA</v>
      </c>
      <c r="N674" t="str">
        <f>IF(tbl_analysis_tickets[[#This Row],[first_response_minutes]]&gt;tbl_analysis_tickets[[#This Row],[First Response SLA Minutes]],"Breached","Within SLA")</f>
        <v>Within SLA</v>
      </c>
      <c r="O674" t="str" cm="1">
        <f t="array" ref="O674">_xlfn.IFS(
tbl_analysis_tickets[[#This Row],[agent_experience_years]]&lt;=2,"Junior",
tbl_analysis_tickets[[#This Row],[agent_experience_years]]&lt;=5,"Mid-Level",
tbl_analysis_tickets[[#This Row],[agent_experience_years]]&lt;=8,"Senior",
tbl_analysis_tickets[[#This Row],[agent_experience_years]]&gt;8,"Expert"
)</f>
        <v>Senior</v>
      </c>
      <c r="P674" cm="1">
        <f t="array" ref="P674">_xlfn.SWITCH(tbl_analysis_tickets[[#This Row],[customer_satisfaction]],
"Low",1,
"Medium",2,
"High",3
)</f>
        <v>1</v>
      </c>
      <c r="Q674">
        <f>IF(tbl_analysis_tickets[[#This Row],[reopened]]="Yes",1,0)</f>
        <v>1</v>
      </c>
      <c r="R674" t="str" cm="1">
        <f t="array" ref="R674">_xlfn.IFS(
tbl_analysis_tickets[[#This Row],[first_response_minutes]]&lt;=30,"Very Fast",
tbl_analysis_tickets[[#This Row],[first_response_minutes]]&lt;=120,"Acceptable",
tbl_analysis_tickets[[#This Row],[first_response_minutes]]&lt;=240,"Slow",
tbl_analysis_tickets[[#This Row],[first_response_minutes]]&gt;240,"Very Slow"
)</f>
        <v>Slow</v>
      </c>
      <c r="S674" t="str" cm="1">
        <f t="array" ref="S67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674" t="str">
        <f>TEXT(tbl_analysis_tickets[[#This Row],[created_date]],"mmm-yyyy")</f>
        <v>Jun-2024</v>
      </c>
      <c r="U674" t="str">
        <f>TEXT(tbl_analysis_tickets[[#This Row],[created_date]],"dddd")</f>
        <v>Thursday</v>
      </c>
      <c r="V674" cm="1">
        <f t="array" ref="V674">_xlfn.SWITCH(tbl_analysis_tickets[[#This Row],[priority]],
"Urgent",1,
"High",2,
"Medium",3,
"Low",4
)</f>
        <v>4</v>
      </c>
    </row>
    <row r="675" spans="1:22" x14ac:dyDescent="0.25">
      <c r="A675">
        <v>674</v>
      </c>
      <c r="B675" s="1">
        <v>45561</v>
      </c>
      <c r="C675" t="s">
        <v>10</v>
      </c>
      <c r="D675" t="s">
        <v>15</v>
      </c>
      <c r="E675">
        <v>66</v>
      </c>
      <c r="F675">
        <v>28</v>
      </c>
      <c r="G675">
        <v>2.7</v>
      </c>
      <c r="H675" t="s">
        <v>12</v>
      </c>
      <c r="I675" t="s">
        <v>16</v>
      </c>
      <c r="J675" t="s">
        <v>11</v>
      </c>
      <c r="K675">
        <f>_xlfn.XLOOKUP(tbl_analysis_tickets[[#This Row],[priority]],tbl_sla[priority],tbl_sla[Resolution SLA Hours])</f>
        <v>48</v>
      </c>
      <c r="L675">
        <f>_xlfn.XLOOKUP(tbl_analysis_tickets[[#This Row],[priority]],tbl_sla[priority],tbl_sla[First Response SLA Minutes])</f>
        <v>120</v>
      </c>
      <c r="M675" t="str">
        <f>IF(tbl_analysis_tickets[[#This Row],[resolution_time_hours]]&gt;tbl_analysis_tickets[[#This Row],[Resolution SLA Hours]],"Breached","Within SLA")</f>
        <v>Within SLA</v>
      </c>
      <c r="N675" t="str">
        <f>IF(tbl_analysis_tickets[[#This Row],[first_response_minutes]]&gt;tbl_analysis_tickets[[#This Row],[First Response SLA Minutes]],"Breached","Within SLA")</f>
        <v>Within SLA</v>
      </c>
      <c r="O675" t="str" cm="1">
        <f t="array" ref="O675">_xlfn.IFS(
tbl_analysis_tickets[[#This Row],[agent_experience_years]]&lt;=2,"Junior",
tbl_analysis_tickets[[#This Row],[agent_experience_years]]&lt;=5,"Mid-Level",
tbl_analysis_tickets[[#This Row],[agent_experience_years]]&lt;=8,"Senior",
tbl_analysis_tickets[[#This Row],[agent_experience_years]]&gt;8,"Expert"
)</f>
        <v>Mid-Level</v>
      </c>
      <c r="P675" cm="1">
        <f t="array" ref="P675">_xlfn.SWITCH(tbl_analysis_tickets[[#This Row],[customer_satisfaction]],
"Low",1,
"Medium",2,
"High",3
)</f>
        <v>1</v>
      </c>
      <c r="Q675">
        <f>IF(tbl_analysis_tickets[[#This Row],[reopened]]="Yes",1,0)</f>
        <v>1</v>
      </c>
      <c r="R675" t="str" cm="1">
        <f t="array" ref="R675">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675" t="str" cm="1">
        <f t="array" ref="S67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675" t="str">
        <f>TEXT(tbl_analysis_tickets[[#This Row],[created_date]],"mmm-yyyy")</f>
        <v>Sep-2024</v>
      </c>
      <c r="U675" t="str">
        <f>TEXT(tbl_analysis_tickets[[#This Row],[created_date]],"dddd")</f>
        <v>Thursday</v>
      </c>
      <c r="V675" cm="1">
        <f t="array" ref="V675">_xlfn.SWITCH(tbl_analysis_tickets[[#This Row],[priority]],
"Urgent",1,
"High",2,
"Medium",3,
"Low",4
)</f>
        <v>3</v>
      </c>
    </row>
    <row r="676" spans="1:22" x14ac:dyDescent="0.25">
      <c r="A676">
        <v>675</v>
      </c>
      <c r="B676" s="1">
        <v>45388</v>
      </c>
      <c r="C676" t="s">
        <v>10</v>
      </c>
      <c r="D676" t="s">
        <v>17</v>
      </c>
      <c r="E676">
        <v>175</v>
      </c>
      <c r="F676">
        <v>65</v>
      </c>
      <c r="G676">
        <v>8.4</v>
      </c>
      <c r="H676" t="s">
        <v>18</v>
      </c>
      <c r="I676" t="s">
        <v>13</v>
      </c>
      <c r="J676" t="s">
        <v>11</v>
      </c>
      <c r="K676">
        <f>_xlfn.XLOOKUP(tbl_analysis_tickets[[#This Row],[priority]],tbl_sla[priority],tbl_sla[Resolution SLA Hours])</f>
        <v>8</v>
      </c>
      <c r="L676">
        <f>_xlfn.XLOOKUP(tbl_analysis_tickets[[#This Row],[priority]],tbl_sla[priority],tbl_sla[First Response SLA Minutes])</f>
        <v>30</v>
      </c>
      <c r="M676" t="str">
        <f>IF(tbl_analysis_tickets[[#This Row],[resolution_time_hours]]&gt;tbl_analysis_tickets[[#This Row],[Resolution SLA Hours]],"Breached","Within SLA")</f>
        <v>Breached</v>
      </c>
      <c r="N676" t="str">
        <f>IF(tbl_analysis_tickets[[#This Row],[first_response_minutes]]&gt;tbl_analysis_tickets[[#This Row],[First Response SLA Minutes]],"Breached","Within SLA")</f>
        <v>Breached</v>
      </c>
      <c r="O676" t="str" cm="1">
        <f t="array" ref="O676">_xlfn.IFS(
tbl_analysis_tickets[[#This Row],[agent_experience_years]]&lt;=2,"Junior",
tbl_analysis_tickets[[#This Row],[agent_experience_years]]&lt;=5,"Mid-Level",
tbl_analysis_tickets[[#This Row],[agent_experience_years]]&lt;=8,"Senior",
tbl_analysis_tickets[[#This Row],[agent_experience_years]]&gt;8,"Expert"
)</f>
        <v>Expert</v>
      </c>
      <c r="P676" cm="1">
        <f t="array" ref="P676">_xlfn.SWITCH(tbl_analysis_tickets[[#This Row],[customer_satisfaction]],
"Low",1,
"Medium",2,
"High",3
)</f>
        <v>1</v>
      </c>
      <c r="Q676">
        <f>IF(tbl_analysis_tickets[[#This Row],[reopened]]="Yes",1,0)</f>
        <v>0</v>
      </c>
      <c r="R676" t="str" cm="1">
        <f t="array" ref="R676">_xlfn.IFS(
tbl_analysis_tickets[[#This Row],[first_response_minutes]]&lt;=30,"Very Fast",
tbl_analysis_tickets[[#This Row],[first_response_minutes]]&lt;=120,"Acceptable",
tbl_analysis_tickets[[#This Row],[first_response_minutes]]&lt;=240,"Slow",
tbl_analysis_tickets[[#This Row],[first_response_minutes]]&gt;240,"Very Slow"
)</f>
        <v>Slow</v>
      </c>
      <c r="S676" t="str" cm="1">
        <f t="array" ref="S67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676" t="str">
        <f>TEXT(tbl_analysis_tickets[[#This Row],[created_date]],"mmm-yyyy")</f>
        <v>Apr-2024</v>
      </c>
      <c r="U676" t="str">
        <f>TEXT(tbl_analysis_tickets[[#This Row],[created_date]],"dddd")</f>
        <v>Saturday</v>
      </c>
      <c r="V676" cm="1">
        <f t="array" ref="V676">_xlfn.SWITCH(tbl_analysis_tickets[[#This Row],[priority]],
"Urgent",1,
"High",2,
"Medium",3,
"Low",4
)</f>
        <v>1</v>
      </c>
    </row>
    <row r="677" spans="1:22" x14ac:dyDescent="0.25">
      <c r="A677">
        <v>676</v>
      </c>
      <c r="B677" s="1">
        <v>45513</v>
      </c>
      <c r="C677" t="s">
        <v>21</v>
      </c>
      <c r="D677" t="s">
        <v>11</v>
      </c>
      <c r="E677">
        <v>149</v>
      </c>
      <c r="F677">
        <v>12</v>
      </c>
      <c r="G677">
        <v>2</v>
      </c>
      <c r="H677" t="s">
        <v>18</v>
      </c>
      <c r="I677" t="s">
        <v>16</v>
      </c>
      <c r="J677" t="s">
        <v>11</v>
      </c>
      <c r="K677">
        <f>_xlfn.XLOOKUP(tbl_analysis_tickets[[#This Row],[priority]],tbl_sla[priority],tbl_sla[Resolution SLA Hours])</f>
        <v>72</v>
      </c>
      <c r="L677">
        <f>_xlfn.XLOOKUP(tbl_analysis_tickets[[#This Row],[priority]],tbl_sla[priority],tbl_sla[First Response SLA Minutes])</f>
        <v>240</v>
      </c>
      <c r="M677" t="str">
        <f>IF(tbl_analysis_tickets[[#This Row],[resolution_time_hours]]&gt;tbl_analysis_tickets[[#This Row],[Resolution SLA Hours]],"Breached","Within SLA")</f>
        <v>Within SLA</v>
      </c>
      <c r="N677" t="str">
        <f>IF(tbl_analysis_tickets[[#This Row],[first_response_minutes]]&gt;tbl_analysis_tickets[[#This Row],[First Response SLA Minutes]],"Breached","Within SLA")</f>
        <v>Within SLA</v>
      </c>
      <c r="O677" t="str" cm="1">
        <f t="array" ref="O677">_xlfn.IFS(
tbl_analysis_tickets[[#This Row],[agent_experience_years]]&lt;=2,"Junior",
tbl_analysis_tickets[[#This Row],[agent_experience_years]]&lt;=5,"Mid-Level",
tbl_analysis_tickets[[#This Row],[agent_experience_years]]&lt;=8,"Senior",
tbl_analysis_tickets[[#This Row],[agent_experience_years]]&gt;8,"Expert"
)</f>
        <v>Junior</v>
      </c>
      <c r="P677" cm="1">
        <f t="array" ref="P677">_xlfn.SWITCH(tbl_analysis_tickets[[#This Row],[customer_satisfaction]],
"Low",1,
"Medium",2,
"High",3
)</f>
        <v>1</v>
      </c>
      <c r="Q677">
        <f>IF(tbl_analysis_tickets[[#This Row],[reopened]]="Yes",1,0)</f>
        <v>0</v>
      </c>
      <c r="R677" t="str" cm="1">
        <f t="array" ref="R677">_xlfn.IFS(
tbl_analysis_tickets[[#This Row],[first_response_minutes]]&lt;=30,"Very Fast",
tbl_analysis_tickets[[#This Row],[first_response_minutes]]&lt;=120,"Acceptable",
tbl_analysis_tickets[[#This Row],[first_response_minutes]]&lt;=240,"Slow",
tbl_analysis_tickets[[#This Row],[first_response_minutes]]&gt;240,"Very Slow"
)</f>
        <v>Slow</v>
      </c>
      <c r="S677" t="str" cm="1">
        <f t="array" ref="S67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677" t="str">
        <f>TEXT(tbl_analysis_tickets[[#This Row],[created_date]],"mmm-yyyy")</f>
        <v>Aug-2024</v>
      </c>
      <c r="U677" t="str">
        <f>TEXT(tbl_analysis_tickets[[#This Row],[created_date]],"dddd")</f>
        <v>Friday</v>
      </c>
      <c r="V677" cm="1">
        <f t="array" ref="V677">_xlfn.SWITCH(tbl_analysis_tickets[[#This Row],[priority]],
"Urgent",1,
"High",2,
"Medium",3,
"Low",4
)</f>
        <v>4</v>
      </c>
    </row>
    <row r="678" spans="1:22" x14ac:dyDescent="0.25">
      <c r="A678">
        <v>677</v>
      </c>
      <c r="B678" s="1">
        <v>45376</v>
      </c>
      <c r="C678" t="s">
        <v>22</v>
      </c>
      <c r="D678" t="s">
        <v>15</v>
      </c>
      <c r="E678">
        <v>155</v>
      </c>
      <c r="F678">
        <v>28</v>
      </c>
      <c r="G678">
        <v>5.0999999999999996</v>
      </c>
      <c r="H678" t="s">
        <v>18</v>
      </c>
      <c r="I678" t="s">
        <v>19</v>
      </c>
      <c r="J678" t="s">
        <v>15</v>
      </c>
      <c r="K678">
        <f>_xlfn.XLOOKUP(tbl_analysis_tickets[[#This Row],[priority]],tbl_sla[priority],tbl_sla[Resolution SLA Hours])</f>
        <v>48</v>
      </c>
      <c r="L678">
        <f>_xlfn.XLOOKUP(tbl_analysis_tickets[[#This Row],[priority]],tbl_sla[priority],tbl_sla[First Response SLA Minutes])</f>
        <v>120</v>
      </c>
      <c r="M678" t="str">
        <f>IF(tbl_analysis_tickets[[#This Row],[resolution_time_hours]]&gt;tbl_analysis_tickets[[#This Row],[Resolution SLA Hours]],"Breached","Within SLA")</f>
        <v>Within SLA</v>
      </c>
      <c r="N678" t="str">
        <f>IF(tbl_analysis_tickets[[#This Row],[first_response_minutes]]&gt;tbl_analysis_tickets[[#This Row],[First Response SLA Minutes]],"Breached","Within SLA")</f>
        <v>Breached</v>
      </c>
      <c r="O678" t="str" cm="1">
        <f t="array" ref="O678">_xlfn.IFS(
tbl_analysis_tickets[[#This Row],[agent_experience_years]]&lt;=2,"Junior",
tbl_analysis_tickets[[#This Row],[agent_experience_years]]&lt;=5,"Mid-Level",
tbl_analysis_tickets[[#This Row],[agent_experience_years]]&lt;=8,"Senior",
tbl_analysis_tickets[[#This Row],[agent_experience_years]]&gt;8,"Expert"
)</f>
        <v>Senior</v>
      </c>
      <c r="P678" cm="1">
        <f t="array" ref="P678">_xlfn.SWITCH(tbl_analysis_tickets[[#This Row],[customer_satisfaction]],
"Low",1,
"Medium",2,
"High",3
)</f>
        <v>2</v>
      </c>
      <c r="Q678">
        <f>IF(tbl_analysis_tickets[[#This Row],[reopened]]="Yes",1,0)</f>
        <v>0</v>
      </c>
      <c r="R678" t="str" cm="1">
        <f t="array" ref="R678">_xlfn.IFS(
tbl_analysis_tickets[[#This Row],[first_response_minutes]]&lt;=30,"Very Fast",
tbl_analysis_tickets[[#This Row],[first_response_minutes]]&lt;=120,"Acceptable",
tbl_analysis_tickets[[#This Row],[first_response_minutes]]&lt;=240,"Slow",
tbl_analysis_tickets[[#This Row],[first_response_minutes]]&gt;240,"Very Slow"
)</f>
        <v>Slow</v>
      </c>
      <c r="S678" t="str" cm="1">
        <f t="array" ref="S67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678" t="str">
        <f>TEXT(tbl_analysis_tickets[[#This Row],[created_date]],"mmm-yyyy")</f>
        <v>Mar-2024</v>
      </c>
      <c r="U678" t="str">
        <f>TEXT(tbl_analysis_tickets[[#This Row],[created_date]],"dddd")</f>
        <v>Monday</v>
      </c>
      <c r="V678" cm="1">
        <f t="array" ref="V678">_xlfn.SWITCH(tbl_analysis_tickets[[#This Row],[priority]],
"Urgent",1,
"High",2,
"Medium",3,
"Low",4
)</f>
        <v>3</v>
      </c>
    </row>
    <row r="679" spans="1:22" x14ac:dyDescent="0.25">
      <c r="A679">
        <v>678</v>
      </c>
      <c r="B679" s="1">
        <v>45356</v>
      </c>
      <c r="C679" t="s">
        <v>10</v>
      </c>
      <c r="D679" t="s">
        <v>15</v>
      </c>
      <c r="E679">
        <v>11</v>
      </c>
      <c r="F679">
        <v>43</v>
      </c>
      <c r="G679">
        <v>8.9</v>
      </c>
      <c r="H679" t="s">
        <v>18</v>
      </c>
      <c r="I679" t="s">
        <v>19</v>
      </c>
      <c r="J679" t="s">
        <v>20</v>
      </c>
      <c r="K679">
        <f>_xlfn.XLOOKUP(tbl_analysis_tickets[[#This Row],[priority]],tbl_sla[priority],tbl_sla[Resolution SLA Hours])</f>
        <v>48</v>
      </c>
      <c r="L679">
        <f>_xlfn.XLOOKUP(tbl_analysis_tickets[[#This Row],[priority]],tbl_sla[priority],tbl_sla[First Response SLA Minutes])</f>
        <v>120</v>
      </c>
      <c r="M679" t="str">
        <f>IF(tbl_analysis_tickets[[#This Row],[resolution_time_hours]]&gt;tbl_analysis_tickets[[#This Row],[Resolution SLA Hours]],"Breached","Within SLA")</f>
        <v>Within SLA</v>
      </c>
      <c r="N679" t="str">
        <f>IF(tbl_analysis_tickets[[#This Row],[first_response_minutes]]&gt;tbl_analysis_tickets[[#This Row],[First Response SLA Minutes]],"Breached","Within SLA")</f>
        <v>Within SLA</v>
      </c>
      <c r="O679" t="str" cm="1">
        <f t="array" ref="O679">_xlfn.IFS(
tbl_analysis_tickets[[#This Row],[agent_experience_years]]&lt;=2,"Junior",
tbl_analysis_tickets[[#This Row],[agent_experience_years]]&lt;=5,"Mid-Level",
tbl_analysis_tickets[[#This Row],[agent_experience_years]]&lt;=8,"Senior",
tbl_analysis_tickets[[#This Row],[agent_experience_years]]&gt;8,"Expert"
)</f>
        <v>Expert</v>
      </c>
      <c r="P679" cm="1">
        <f t="array" ref="P679">_xlfn.SWITCH(tbl_analysis_tickets[[#This Row],[customer_satisfaction]],
"Low",1,
"Medium",2,
"High",3
)</f>
        <v>3</v>
      </c>
      <c r="Q679">
        <f>IF(tbl_analysis_tickets[[#This Row],[reopened]]="Yes",1,0)</f>
        <v>0</v>
      </c>
      <c r="R679" t="str" cm="1">
        <f t="array" ref="R679">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679" t="str" cm="1">
        <f t="array" ref="S67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679" t="str">
        <f>TEXT(tbl_analysis_tickets[[#This Row],[created_date]],"mmm-yyyy")</f>
        <v>Mar-2024</v>
      </c>
      <c r="U679" t="str">
        <f>TEXT(tbl_analysis_tickets[[#This Row],[created_date]],"dddd")</f>
        <v>Tuesday</v>
      </c>
      <c r="V679" cm="1">
        <f t="array" ref="V679">_xlfn.SWITCH(tbl_analysis_tickets[[#This Row],[priority]],
"Urgent",1,
"High",2,
"Medium",3,
"Low",4
)</f>
        <v>3</v>
      </c>
    </row>
    <row r="680" spans="1:22" x14ac:dyDescent="0.25">
      <c r="A680">
        <v>679</v>
      </c>
      <c r="B680" s="1">
        <v>45488</v>
      </c>
      <c r="C680" t="s">
        <v>23</v>
      </c>
      <c r="D680" t="s">
        <v>11</v>
      </c>
      <c r="E680">
        <v>169</v>
      </c>
      <c r="F680">
        <v>51</v>
      </c>
      <c r="G680">
        <v>0.6</v>
      </c>
      <c r="H680" t="s">
        <v>12</v>
      </c>
      <c r="I680" t="s">
        <v>16</v>
      </c>
      <c r="J680" t="s">
        <v>11</v>
      </c>
      <c r="K680">
        <f>_xlfn.XLOOKUP(tbl_analysis_tickets[[#This Row],[priority]],tbl_sla[priority],tbl_sla[Resolution SLA Hours])</f>
        <v>72</v>
      </c>
      <c r="L680">
        <f>_xlfn.XLOOKUP(tbl_analysis_tickets[[#This Row],[priority]],tbl_sla[priority],tbl_sla[First Response SLA Minutes])</f>
        <v>240</v>
      </c>
      <c r="M680" t="str">
        <f>IF(tbl_analysis_tickets[[#This Row],[resolution_time_hours]]&gt;tbl_analysis_tickets[[#This Row],[Resolution SLA Hours]],"Breached","Within SLA")</f>
        <v>Within SLA</v>
      </c>
      <c r="N680" t="str">
        <f>IF(tbl_analysis_tickets[[#This Row],[first_response_minutes]]&gt;tbl_analysis_tickets[[#This Row],[First Response SLA Minutes]],"Breached","Within SLA")</f>
        <v>Within SLA</v>
      </c>
      <c r="O680" t="str" cm="1">
        <f t="array" ref="O680">_xlfn.IFS(
tbl_analysis_tickets[[#This Row],[agent_experience_years]]&lt;=2,"Junior",
tbl_analysis_tickets[[#This Row],[agent_experience_years]]&lt;=5,"Mid-Level",
tbl_analysis_tickets[[#This Row],[agent_experience_years]]&lt;=8,"Senior",
tbl_analysis_tickets[[#This Row],[agent_experience_years]]&gt;8,"Expert"
)</f>
        <v>Junior</v>
      </c>
      <c r="P680" cm="1">
        <f t="array" ref="P680">_xlfn.SWITCH(tbl_analysis_tickets[[#This Row],[customer_satisfaction]],
"Low",1,
"Medium",2,
"High",3
)</f>
        <v>1</v>
      </c>
      <c r="Q680">
        <f>IF(tbl_analysis_tickets[[#This Row],[reopened]]="Yes",1,0)</f>
        <v>1</v>
      </c>
      <c r="R680" t="str" cm="1">
        <f t="array" ref="R680">_xlfn.IFS(
tbl_analysis_tickets[[#This Row],[first_response_minutes]]&lt;=30,"Very Fast",
tbl_analysis_tickets[[#This Row],[first_response_minutes]]&lt;=120,"Acceptable",
tbl_analysis_tickets[[#This Row],[first_response_minutes]]&lt;=240,"Slow",
tbl_analysis_tickets[[#This Row],[first_response_minutes]]&gt;240,"Very Slow"
)</f>
        <v>Slow</v>
      </c>
      <c r="S680" t="str" cm="1">
        <f t="array" ref="S68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680" t="str">
        <f>TEXT(tbl_analysis_tickets[[#This Row],[created_date]],"mmm-yyyy")</f>
        <v>Jul-2024</v>
      </c>
      <c r="U680" t="str">
        <f>TEXT(tbl_analysis_tickets[[#This Row],[created_date]],"dddd")</f>
        <v>Monday</v>
      </c>
      <c r="V680" cm="1">
        <f t="array" ref="V680">_xlfn.SWITCH(tbl_analysis_tickets[[#This Row],[priority]],
"Urgent",1,
"High",2,
"Medium",3,
"Low",4
)</f>
        <v>4</v>
      </c>
    </row>
    <row r="681" spans="1:22" x14ac:dyDescent="0.25">
      <c r="A681">
        <v>680</v>
      </c>
      <c r="B681" s="1">
        <v>45354</v>
      </c>
      <c r="C681" t="s">
        <v>23</v>
      </c>
      <c r="D681" t="s">
        <v>17</v>
      </c>
      <c r="E681">
        <v>108</v>
      </c>
      <c r="F681">
        <v>70</v>
      </c>
      <c r="G681">
        <v>3.8</v>
      </c>
      <c r="H681" t="s">
        <v>18</v>
      </c>
      <c r="I681" t="s">
        <v>16</v>
      </c>
      <c r="J681" t="s">
        <v>11</v>
      </c>
      <c r="K681">
        <f>_xlfn.XLOOKUP(tbl_analysis_tickets[[#This Row],[priority]],tbl_sla[priority],tbl_sla[Resolution SLA Hours])</f>
        <v>8</v>
      </c>
      <c r="L681">
        <f>_xlfn.XLOOKUP(tbl_analysis_tickets[[#This Row],[priority]],tbl_sla[priority],tbl_sla[First Response SLA Minutes])</f>
        <v>30</v>
      </c>
      <c r="M681" t="str">
        <f>IF(tbl_analysis_tickets[[#This Row],[resolution_time_hours]]&gt;tbl_analysis_tickets[[#This Row],[Resolution SLA Hours]],"Breached","Within SLA")</f>
        <v>Breached</v>
      </c>
      <c r="N681" t="str">
        <f>IF(tbl_analysis_tickets[[#This Row],[first_response_minutes]]&gt;tbl_analysis_tickets[[#This Row],[First Response SLA Minutes]],"Breached","Within SLA")</f>
        <v>Breached</v>
      </c>
      <c r="O681" t="str" cm="1">
        <f t="array" ref="O681">_xlfn.IFS(
tbl_analysis_tickets[[#This Row],[agent_experience_years]]&lt;=2,"Junior",
tbl_analysis_tickets[[#This Row],[agent_experience_years]]&lt;=5,"Mid-Level",
tbl_analysis_tickets[[#This Row],[agent_experience_years]]&lt;=8,"Senior",
tbl_analysis_tickets[[#This Row],[agent_experience_years]]&gt;8,"Expert"
)</f>
        <v>Mid-Level</v>
      </c>
      <c r="P681" cm="1">
        <f t="array" ref="P681">_xlfn.SWITCH(tbl_analysis_tickets[[#This Row],[customer_satisfaction]],
"Low",1,
"Medium",2,
"High",3
)</f>
        <v>1</v>
      </c>
      <c r="Q681">
        <f>IF(tbl_analysis_tickets[[#This Row],[reopened]]="Yes",1,0)</f>
        <v>0</v>
      </c>
      <c r="R681" t="str" cm="1">
        <f t="array" ref="R681">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681" t="str" cm="1">
        <f t="array" ref="S68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681" t="str">
        <f>TEXT(tbl_analysis_tickets[[#This Row],[created_date]],"mmm-yyyy")</f>
        <v>Mar-2024</v>
      </c>
      <c r="U681" t="str">
        <f>TEXT(tbl_analysis_tickets[[#This Row],[created_date]],"dddd")</f>
        <v>Sunday</v>
      </c>
      <c r="V681" cm="1">
        <f t="array" ref="V681">_xlfn.SWITCH(tbl_analysis_tickets[[#This Row],[priority]],
"Urgent",1,
"High",2,
"Medium",3,
"Low",4
)</f>
        <v>1</v>
      </c>
    </row>
    <row r="682" spans="1:22" x14ac:dyDescent="0.25">
      <c r="A682">
        <v>681</v>
      </c>
      <c r="B682" s="1">
        <v>45564</v>
      </c>
      <c r="C682" t="s">
        <v>21</v>
      </c>
      <c r="D682" t="s">
        <v>17</v>
      </c>
      <c r="E682">
        <v>221</v>
      </c>
      <c r="F682">
        <v>22</v>
      </c>
      <c r="G682">
        <v>1.9</v>
      </c>
      <c r="H682" t="s">
        <v>12</v>
      </c>
      <c r="I682" t="s">
        <v>19</v>
      </c>
      <c r="J682" t="s">
        <v>11</v>
      </c>
      <c r="K682">
        <f>_xlfn.XLOOKUP(tbl_analysis_tickets[[#This Row],[priority]],tbl_sla[priority],tbl_sla[Resolution SLA Hours])</f>
        <v>8</v>
      </c>
      <c r="L682">
        <f>_xlfn.XLOOKUP(tbl_analysis_tickets[[#This Row],[priority]],tbl_sla[priority],tbl_sla[First Response SLA Minutes])</f>
        <v>30</v>
      </c>
      <c r="M682" t="str">
        <f>IF(tbl_analysis_tickets[[#This Row],[resolution_time_hours]]&gt;tbl_analysis_tickets[[#This Row],[Resolution SLA Hours]],"Breached","Within SLA")</f>
        <v>Breached</v>
      </c>
      <c r="N682" t="str">
        <f>IF(tbl_analysis_tickets[[#This Row],[first_response_minutes]]&gt;tbl_analysis_tickets[[#This Row],[First Response SLA Minutes]],"Breached","Within SLA")</f>
        <v>Breached</v>
      </c>
      <c r="O682" t="str" cm="1">
        <f t="array" ref="O682">_xlfn.IFS(
tbl_analysis_tickets[[#This Row],[agent_experience_years]]&lt;=2,"Junior",
tbl_analysis_tickets[[#This Row],[agent_experience_years]]&lt;=5,"Mid-Level",
tbl_analysis_tickets[[#This Row],[agent_experience_years]]&lt;=8,"Senior",
tbl_analysis_tickets[[#This Row],[agent_experience_years]]&gt;8,"Expert"
)</f>
        <v>Junior</v>
      </c>
      <c r="P682" cm="1">
        <f t="array" ref="P682">_xlfn.SWITCH(tbl_analysis_tickets[[#This Row],[customer_satisfaction]],
"Low",1,
"Medium",2,
"High",3
)</f>
        <v>1</v>
      </c>
      <c r="Q682">
        <f>IF(tbl_analysis_tickets[[#This Row],[reopened]]="Yes",1,0)</f>
        <v>1</v>
      </c>
      <c r="R682" t="str" cm="1">
        <f t="array" ref="R682">_xlfn.IFS(
tbl_analysis_tickets[[#This Row],[first_response_minutes]]&lt;=30,"Very Fast",
tbl_analysis_tickets[[#This Row],[first_response_minutes]]&lt;=120,"Acceptable",
tbl_analysis_tickets[[#This Row],[first_response_minutes]]&lt;=240,"Slow",
tbl_analysis_tickets[[#This Row],[first_response_minutes]]&gt;240,"Very Slow"
)</f>
        <v>Slow</v>
      </c>
      <c r="S682" t="str" cm="1">
        <f t="array" ref="S68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682" t="str">
        <f>TEXT(tbl_analysis_tickets[[#This Row],[created_date]],"mmm-yyyy")</f>
        <v>Sep-2024</v>
      </c>
      <c r="U682" t="str">
        <f>TEXT(tbl_analysis_tickets[[#This Row],[created_date]],"dddd")</f>
        <v>Sunday</v>
      </c>
      <c r="V682" cm="1">
        <f t="array" ref="V682">_xlfn.SWITCH(tbl_analysis_tickets[[#This Row],[priority]],
"Urgent",1,
"High",2,
"Medium",3,
"Low",4
)</f>
        <v>1</v>
      </c>
    </row>
    <row r="683" spans="1:22" x14ac:dyDescent="0.25">
      <c r="A683">
        <v>682</v>
      </c>
      <c r="B683" s="1">
        <v>45365</v>
      </c>
      <c r="C683" t="s">
        <v>14</v>
      </c>
      <c r="D683" t="s">
        <v>11</v>
      </c>
      <c r="E683">
        <v>122</v>
      </c>
      <c r="F683">
        <v>66</v>
      </c>
      <c r="G683">
        <v>8.8000000000000007</v>
      </c>
      <c r="H683" t="s">
        <v>12</v>
      </c>
      <c r="I683" t="s">
        <v>16</v>
      </c>
      <c r="J683" t="s">
        <v>11</v>
      </c>
      <c r="K683">
        <f>_xlfn.XLOOKUP(tbl_analysis_tickets[[#This Row],[priority]],tbl_sla[priority],tbl_sla[Resolution SLA Hours])</f>
        <v>72</v>
      </c>
      <c r="L683">
        <f>_xlfn.XLOOKUP(tbl_analysis_tickets[[#This Row],[priority]],tbl_sla[priority],tbl_sla[First Response SLA Minutes])</f>
        <v>240</v>
      </c>
      <c r="M683" t="str">
        <f>IF(tbl_analysis_tickets[[#This Row],[resolution_time_hours]]&gt;tbl_analysis_tickets[[#This Row],[Resolution SLA Hours]],"Breached","Within SLA")</f>
        <v>Within SLA</v>
      </c>
      <c r="N683" t="str">
        <f>IF(tbl_analysis_tickets[[#This Row],[first_response_minutes]]&gt;tbl_analysis_tickets[[#This Row],[First Response SLA Minutes]],"Breached","Within SLA")</f>
        <v>Within SLA</v>
      </c>
      <c r="O683" t="str" cm="1">
        <f t="array" ref="O683">_xlfn.IFS(
tbl_analysis_tickets[[#This Row],[agent_experience_years]]&lt;=2,"Junior",
tbl_analysis_tickets[[#This Row],[agent_experience_years]]&lt;=5,"Mid-Level",
tbl_analysis_tickets[[#This Row],[agent_experience_years]]&lt;=8,"Senior",
tbl_analysis_tickets[[#This Row],[agent_experience_years]]&gt;8,"Expert"
)</f>
        <v>Expert</v>
      </c>
      <c r="P683" cm="1">
        <f t="array" ref="P683">_xlfn.SWITCH(tbl_analysis_tickets[[#This Row],[customer_satisfaction]],
"Low",1,
"Medium",2,
"High",3
)</f>
        <v>1</v>
      </c>
      <c r="Q683">
        <f>IF(tbl_analysis_tickets[[#This Row],[reopened]]="Yes",1,0)</f>
        <v>1</v>
      </c>
      <c r="R683" t="str" cm="1">
        <f t="array" ref="R683">_xlfn.IFS(
tbl_analysis_tickets[[#This Row],[first_response_minutes]]&lt;=30,"Very Fast",
tbl_analysis_tickets[[#This Row],[first_response_minutes]]&lt;=120,"Acceptable",
tbl_analysis_tickets[[#This Row],[first_response_minutes]]&lt;=240,"Slow",
tbl_analysis_tickets[[#This Row],[first_response_minutes]]&gt;240,"Very Slow"
)</f>
        <v>Slow</v>
      </c>
      <c r="S683" t="str" cm="1">
        <f t="array" ref="S68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683" t="str">
        <f>TEXT(tbl_analysis_tickets[[#This Row],[created_date]],"mmm-yyyy")</f>
        <v>Mar-2024</v>
      </c>
      <c r="U683" t="str">
        <f>TEXT(tbl_analysis_tickets[[#This Row],[created_date]],"dddd")</f>
        <v>Thursday</v>
      </c>
      <c r="V683" cm="1">
        <f t="array" ref="V683">_xlfn.SWITCH(tbl_analysis_tickets[[#This Row],[priority]],
"Urgent",1,
"High",2,
"Medium",3,
"Low",4
)</f>
        <v>4</v>
      </c>
    </row>
    <row r="684" spans="1:22" x14ac:dyDescent="0.25">
      <c r="A684">
        <v>683</v>
      </c>
      <c r="B684" s="1">
        <v>45647</v>
      </c>
      <c r="C684" t="s">
        <v>23</v>
      </c>
      <c r="D684" t="s">
        <v>17</v>
      </c>
      <c r="E684">
        <v>224</v>
      </c>
      <c r="F684">
        <v>64</v>
      </c>
      <c r="G684">
        <v>9.1</v>
      </c>
      <c r="H684" t="s">
        <v>18</v>
      </c>
      <c r="I684" t="s">
        <v>16</v>
      </c>
      <c r="J684" t="s">
        <v>11</v>
      </c>
      <c r="K684">
        <f>_xlfn.XLOOKUP(tbl_analysis_tickets[[#This Row],[priority]],tbl_sla[priority],tbl_sla[Resolution SLA Hours])</f>
        <v>8</v>
      </c>
      <c r="L684">
        <f>_xlfn.XLOOKUP(tbl_analysis_tickets[[#This Row],[priority]],tbl_sla[priority],tbl_sla[First Response SLA Minutes])</f>
        <v>30</v>
      </c>
      <c r="M684" t="str">
        <f>IF(tbl_analysis_tickets[[#This Row],[resolution_time_hours]]&gt;tbl_analysis_tickets[[#This Row],[Resolution SLA Hours]],"Breached","Within SLA")</f>
        <v>Breached</v>
      </c>
      <c r="N684" t="str">
        <f>IF(tbl_analysis_tickets[[#This Row],[first_response_minutes]]&gt;tbl_analysis_tickets[[#This Row],[First Response SLA Minutes]],"Breached","Within SLA")</f>
        <v>Breached</v>
      </c>
      <c r="O684" t="str" cm="1">
        <f t="array" ref="O684">_xlfn.IFS(
tbl_analysis_tickets[[#This Row],[agent_experience_years]]&lt;=2,"Junior",
tbl_analysis_tickets[[#This Row],[agent_experience_years]]&lt;=5,"Mid-Level",
tbl_analysis_tickets[[#This Row],[agent_experience_years]]&lt;=8,"Senior",
tbl_analysis_tickets[[#This Row],[agent_experience_years]]&gt;8,"Expert"
)</f>
        <v>Expert</v>
      </c>
      <c r="P684" cm="1">
        <f t="array" ref="P684">_xlfn.SWITCH(tbl_analysis_tickets[[#This Row],[customer_satisfaction]],
"Low",1,
"Medium",2,
"High",3
)</f>
        <v>1</v>
      </c>
      <c r="Q684">
        <f>IF(tbl_analysis_tickets[[#This Row],[reopened]]="Yes",1,0)</f>
        <v>0</v>
      </c>
      <c r="R684" t="str" cm="1">
        <f t="array" ref="R684">_xlfn.IFS(
tbl_analysis_tickets[[#This Row],[first_response_minutes]]&lt;=30,"Very Fast",
tbl_analysis_tickets[[#This Row],[first_response_minutes]]&lt;=120,"Acceptable",
tbl_analysis_tickets[[#This Row],[first_response_minutes]]&lt;=240,"Slow",
tbl_analysis_tickets[[#This Row],[first_response_minutes]]&gt;240,"Very Slow"
)</f>
        <v>Slow</v>
      </c>
      <c r="S684" t="str" cm="1">
        <f t="array" ref="S68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684" t="str">
        <f>TEXT(tbl_analysis_tickets[[#This Row],[created_date]],"mmm-yyyy")</f>
        <v>Dec-2024</v>
      </c>
      <c r="U684" t="str">
        <f>TEXT(tbl_analysis_tickets[[#This Row],[created_date]],"dddd")</f>
        <v>Saturday</v>
      </c>
      <c r="V684" cm="1">
        <f t="array" ref="V684">_xlfn.SWITCH(tbl_analysis_tickets[[#This Row],[priority]],
"Urgent",1,
"High",2,
"Medium",3,
"Low",4
)</f>
        <v>1</v>
      </c>
    </row>
    <row r="685" spans="1:22" x14ac:dyDescent="0.25">
      <c r="A685">
        <v>684</v>
      </c>
      <c r="B685" s="1">
        <v>45367</v>
      </c>
      <c r="C685" t="s">
        <v>21</v>
      </c>
      <c r="D685" t="s">
        <v>17</v>
      </c>
      <c r="E685">
        <v>75</v>
      </c>
      <c r="F685">
        <v>70</v>
      </c>
      <c r="G685">
        <v>8</v>
      </c>
      <c r="H685" t="s">
        <v>18</v>
      </c>
      <c r="I685" t="s">
        <v>19</v>
      </c>
      <c r="J685" t="s">
        <v>11</v>
      </c>
      <c r="K685">
        <f>_xlfn.XLOOKUP(tbl_analysis_tickets[[#This Row],[priority]],tbl_sla[priority],tbl_sla[Resolution SLA Hours])</f>
        <v>8</v>
      </c>
      <c r="L685">
        <f>_xlfn.XLOOKUP(tbl_analysis_tickets[[#This Row],[priority]],tbl_sla[priority],tbl_sla[First Response SLA Minutes])</f>
        <v>30</v>
      </c>
      <c r="M685" t="str">
        <f>IF(tbl_analysis_tickets[[#This Row],[resolution_time_hours]]&gt;tbl_analysis_tickets[[#This Row],[Resolution SLA Hours]],"Breached","Within SLA")</f>
        <v>Breached</v>
      </c>
      <c r="N685" t="str">
        <f>IF(tbl_analysis_tickets[[#This Row],[first_response_minutes]]&gt;tbl_analysis_tickets[[#This Row],[First Response SLA Minutes]],"Breached","Within SLA")</f>
        <v>Breached</v>
      </c>
      <c r="O685" t="str" cm="1">
        <f t="array" ref="O685">_xlfn.IFS(
tbl_analysis_tickets[[#This Row],[agent_experience_years]]&lt;=2,"Junior",
tbl_analysis_tickets[[#This Row],[agent_experience_years]]&lt;=5,"Mid-Level",
tbl_analysis_tickets[[#This Row],[agent_experience_years]]&lt;=8,"Senior",
tbl_analysis_tickets[[#This Row],[agent_experience_years]]&gt;8,"Expert"
)</f>
        <v>Senior</v>
      </c>
      <c r="P685" cm="1">
        <f t="array" ref="P685">_xlfn.SWITCH(tbl_analysis_tickets[[#This Row],[customer_satisfaction]],
"Low",1,
"Medium",2,
"High",3
)</f>
        <v>1</v>
      </c>
      <c r="Q685">
        <f>IF(tbl_analysis_tickets[[#This Row],[reopened]]="Yes",1,0)</f>
        <v>0</v>
      </c>
      <c r="R685" t="str" cm="1">
        <f t="array" ref="R685">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685" t="str" cm="1">
        <f t="array" ref="S68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685" t="str">
        <f>TEXT(tbl_analysis_tickets[[#This Row],[created_date]],"mmm-yyyy")</f>
        <v>Mar-2024</v>
      </c>
      <c r="U685" t="str">
        <f>TEXT(tbl_analysis_tickets[[#This Row],[created_date]],"dddd")</f>
        <v>Saturday</v>
      </c>
      <c r="V685" cm="1">
        <f t="array" ref="V685">_xlfn.SWITCH(tbl_analysis_tickets[[#This Row],[priority]],
"Urgent",1,
"High",2,
"Medium",3,
"Low",4
)</f>
        <v>1</v>
      </c>
    </row>
    <row r="686" spans="1:22" x14ac:dyDescent="0.25">
      <c r="A686">
        <v>685</v>
      </c>
      <c r="B686" s="1">
        <v>45328</v>
      </c>
      <c r="C686" t="s">
        <v>14</v>
      </c>
      <c r="D686" t="s">
        <v>20</v>
      </c>
      <c r="E686">
        <v>114</v>
      </c>
      <c r="F686">
        <v>16</v>
      </c>
      <c r="G686">
        <v>6</v>
      </c>
      <c r="H686" t="s">
        <v>12</v>
      </c>
      <c r="I686" t="s">
        <v>13</v>
      </c>
      <c r="J686" t="s">
        <v>11</v>
      </c>
      <c r="K686">
        <f>_xlfn.XLOOKUP(tbl_analysis_tickets[[#This Row],[priority]],tbl_sla[priority],tbl_sla[Resolution SLA Hours])</f>
        <v>24</v>
      </c>
      <c r="L686">
        <f>_xlfn.XLOOKUP(tbl_analysis_tickets[[#This Row],[priority]],tbl_sla[priority],tbl_sla[First Response SLA Minutes])</f>
        <v>60</v>
      </c>
      <c r="M686" t="str">
        <f>IF(tbl_analysis_tickets[[#This Row],[resolution_time_hours]]&gt;tbl_analysis_tickets[[#This Row],[Resolution SLA Hours]],"Breached","Within SLA")</f>
        <v>Within SLA</v>
      </c>
      <c r="N686" t="str">
        <f>IF(tbl_analysis_tickets[[#This Row],[first_response_minutes]]&gt;tbl_analysis_tickets[[#This Row],[First Response SLA Minutes]],"Breached","Within SLA")</f>
        <v>Breached</v>
      </c>
      <c r="O686" t="str" cm="1">
        <f t="array" ref="O686">_xlfn.IFS(
tbl_analysis_tickets[[#This Row],[agent_experience_years]]&lt;=2,"Junior",
tbl_analysis_tickets[[#This Row],[agent_experience_years]]&lt;=5,"Mid-Level",
tbl_analysis_tickets[[#This Row],[agent_experience_years]]&lt;=8,"Senior",
tbl_analysis_tickets[[#This Row],[agent_experience_years]]&gt;8,"Expert"
)</f>
        <v>Senior</v>
      </c>
      <c r="P686" cm="1">
        <f t="array" ref="P686">_xlfn.SWITCH(tbl_analysis_tickets[[#This Row],[customer_satisfaction]],
"Low",1,
"Medium",2,
"High",3
)</f>
        <v>1</v>
      </c>
      <c r="Q686">
        <f>IF(tbl_analysis_tickets[[#This Row],[reopened]]="Yes",1,0)</f>
        <v>1</v>
      </c>
      <c r="R686" t="str" cm="1">
        <f t="array" ref="R686">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686" t="str" cm="1">
        <f t="array" ref="S68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686" t="str">
        <f>TEXT(tbl_analysis_tickets[[#This Row],[created_date]],"mmm-yyyy")</f>
        <v>Feb-2024</v>
      </c>
      <c r="U686" t="str">
        <f>TEXT(tbl_analysis_tickets[[#This Row],[created_date]],"dddd")</f>
        <v>Tuesday</v>
      </c>
      <c r="V686" cm="1">
        <f t="array" ref="V686">_xlfn.SWITCH(tbl_analysis_tickets[[#This Row],[priority]],
"Urgent",1,
"High",2,
"Medium",3,
"Low",4
)</f>
        <v>2</v>
      </c>
    </row>
    <row r="687" spans="1:22" x14ac:dyDescent="0.25">
      <c r="A687">
        <v>686</v>
      </c>
      <c r="B687" s="1">
        <v>45330</v>
      </c>
      <c r="C687" t="s">
        <v>14</v>
      </c>
      <c r="D687" t="s">
        <v>20</v>
      </c>
      <c r="E687">
        <v>200</v>
      </c>
      <c r="F687">
        <v>63</v>
      </c>
      <c r="G687">
        <v>2.6</v>
      </c>
      <c r="H687" t="s">
        <v>12</v>
      </c>
      <c r="I687" t="s">
        <v>13</v>
      </c>
      <c r="J687" t="s">
        <v>11</v>
      </c>
      <c r="K687">
        <f>_xlfn.XLOOKUP(tbl_analysis_tickets[[#This Row],[priority]],tbl_sla[priority],tbl_sla[Resolution SLA Hours])</f>
        <v>24</v>
      </c>
      <c r="L687">
        <f>_xlfn.XLOOKUP(tbl_analysis_tickets[[#This Row],[priority]],tbl_sla[priority],tbl_sla[First Response SLA Minutes])</f>
        <v>60</v>
      </c>
      <c r="M687" t="str">
        <f>IF(tbl_analysis_tickets[[#This Row],[resolution_time_hours]]&gt;tbl_analysis_tickets[[#This Row],[Resolution SLA Hours]],"Breached","Within SLA")</f>
        <v>Breached</v>
      </c>
      <c r="N687" t="str">
        <f>IF(tbl_analysis_tickets[[#This Row],[first_response_minutes]]&gt;tbl_analysis_tickets[[#This Row],[First Response SLA Minutes]],"Breached","Within SLA")</f>
        <v>Breached</v>
      </c>
      <c r="O687" t="str" cm="1">
        <f t="array" ref="O687">_xlfn.IFS(
tbl_analysis_tickets[[#This Row],[agent_experience_years]]&lt;=2,"Junior",
tbl_analysis_tickets[[#This Row],[agent_experience_years]]&lt;=5,"Mid-Level",
tbl_analysis_tickets[[#This Row],[agent_experience_years]]&lt;=8,"Senior",
tbl_analysis_tickets[[#This Row],[agent_experience_years]]&gt;8,"Expert"
)</f>
        <v>Mid-Level</v>
      </c>
      <c r="P687" cm="1">
        <f t="array" ref="P687">_xlfn.SWITCH(tbl_analysis_tickets[[#This Row],[customer_satisfaction]],
"Low",1,
"Medium",2,
"High",3
)</f>
        <v>1</v>
      </c>
      <c r="Q687">
        <f>IF(tbl_analysis_tickets[[#This Row],[reopened]]="Yes",1,0)</f>
        <v>1</v>
      </c>
      <c r="R687" t="str" cm="1">
        <f t="array" ref="R687">_xlfn.IFS(
tbl_analysis_tickets[[#This Row],[first_response_minutes]]&lt;=30,"Very Fast",
tbl_analysis_tickets[[#This Row],[first_response_minutes]]&lt;=120,"Acceptable",
tbl_analysis_tickets[[#This Row],[first_response_minutes]]&lt;=240,"Slow",
tbl_analysis_tickets[[#This Row],[first_response_minutes]]&gt;240,"Very Slow"
)</f>
        <v>Slow</v>
      </c>
      <c r="S687" t="str" cm="1">
        <f t="array" ref="S68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687" t="str">
        <f>TEXT(tbl_analysis_tickets[[#This Row],[created_date]],"mmm-yyyy")</f>
        <v>Feb-2024</v>
      </c>
      <c r="U687" t="str">
        <f>TEXT(tbl_analysis_tickets[[#This Row],[created_date]],"dddd")</f>
        <v>Thursday</v>
      </c>
      <c r="V687" cm="1">
        <f t="array" ref="V687">_xlfn.SWITCH(tbl_analysis_tickets[[#This Row],[priority]],
"Urgent",1,
"High",2,
"Medium",3,
"Low",4
)</f>
        <v>2</v>
      </c>
    </row>
    <row r="688" spans="1:22" x14ac:dyDescent="0.25">
      <c r="A688">
        <v>687</v>
      </c>
      <c r="B688" s="1">
        <v>45603</v>
      </c>
      <c r="C688" t="s">
        <v>14</v>
      </c>
      <c r="D688" t="s">
        <v>20</v>
      </c>
      <c r="E688">
        <v>178</v>
      </c>
      <c r="F688">
        <v>29</v>
      </c>
      <c r="G688">
        <v>8.3000000000000007</v>
      </c>
      <c r="H688" t="s">
        <v>12</v>
      </c>
      <c r="I688" t="s">
        <v>13</v>
      </c>
      <c r="J688" t="s">
        <v>11</v>
      </c>
      <c r="K688">
        <f>_xlfn.XLOOKUP(tbl_analysis_tickets[[#This Row],[priority]],tbl_sla[priority],tbl_sla[Resolution SLA Hours])</f>
        <v>24</v>
      </c>
      <c r="L688">
        <f>_xlfn.XLOOKUP(tbl_analysis_tickets[[#This Row],[priority]],tbl_sla[priority],tbl_sla[First Response SLA Minutes])</f>
        <v>60</v>
      </c>
      <c r="M688" t="str">
        <f>IF(tbl_analysis_tickets[[#This Row],[resolution_time_hours]]&gt;tbl_analysis_tickets[[#This Row],[Resolution SLA Hours]],"Breached","Within SLA")</f>
        <v>Breached</v>
      </c>
      <c r="N688" t="str">
        <f>IF(tbl_analysis_tickets[[#This Row],[first_response_minutes]]&gt;tbl_analysis_tickets[[#This Row],[First Response SLA Minutes]],"Breached","Within SLA")</f>
        <v>Breached</v>
      </c>
      <c r="O688" t="str" cm="1">
        <f t="array" ref="O688">_xlfn.IFS(
tbl_analysis_tickets[[#This Row],[agent_experience_years]]&lt;=2,"Junior",
tbl_analysis_tickets[[#This Row],[agent_experience_years]]&lt;=5,"Mid-Level",
tbl_analysis_tickets[[#This Row],[agent_experience_years]]&lt;=8,"Senior",
tbl_analysis_tickets[[#This Row],[agent_experience_years]]&gt;8,"Expert"
)</f>
        <v>Expert</v>
      </c>
      <c r="P688" cm="1">
        <f t="array" ref="P688">_xlfn.SWITCH(tbl_analysis_tickets[[#This Row],[customer_satisfaction]],
"Low",1,
"Medium",2,
"High",3
)</f>
        <v>1</v>
      </c>
      <c r="Q688">
        <f>IF(tbl_analysis_tickets[[#This Row],[reopened]]="Yes",1,0)</f>
        <v>1</v>
      </c>
      <c r="R688" t="str" cm="1">
        <f t="array" ref="R688">_xlfn.IFS(
tbl_analysis_tickets[[#This Row],[first_response_minutes]]&lt;=30,"Very Fast",
tbl_analysis_tickets[[#This Row],[first_response_minutes]]&lt;=120,"Acceptable",
tbl_analysis_tickets[[#This Row],[first_response_minutes]]&lt;=240,"Slow",
tbl_analysis_tickets[[#This Row],[first_response_minutes]]&gt;240,"Very Slow"
)</f>
        <v>Slow</v>
      </c>
      <c r="S688" t="str" cm="1">
        <f t="array" ref="S68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688" t="str">
        <f>TEXT(tbl_analysis_tickets[[#This Row],[created_date]],"mmm-yyyy")</f>
        <v>Nov-2024</v>
      </c>
      <c r="U688" t="str">
        <f>TEXT(tbl_analysis_tickets[[#This Row],[created_date]],"dddd")</f>
        <v>Thursday</v>
      </c>
      <c r="V688" cm="1">
        <f t="array" ref="V688">_xlfn.SWITCH(tbl_analysis_tickets[[#This Row],[priority]],
"Urgent",1,
"High",2,
"Medium",3,
"Low",4
)</f>
        <v>2</v>
      </c>
    </row>
    <row r="689" spans="1:22" x14ac:dyDescent="0.25">
      <c r="A689">
        <v>688</v>
      </c>
      <c r="B689" s="1">
        <v>45375</v>
      </c>
      <c r="C689" t="s">
        <v>23</v>
      </c>
      <c r="D689" t="s">
        <v>15</v>
      </c>
      <c r="E689">
        <v>182</v>
      </c>
      <c r="F689">
        <v>16</v>
      </c>
      <c r="G689">
        <v>6.5</v>
      </c>
      <c r="H689" t="s">
        <v>18</v>
      </c>
      <c r="I689" t="s">
        <v>13</v>
      </c>
      <c r="J689" t="s">
        <v>15</v>
      </c>
      <c r="K689">
        <f>_xlfn.XLOOKUP(tbl_analysis_tickets[[#This Row],[priority]],tbl_sla[priority],tbl_sla[Resolution SLA Hours])</f>
        <v>48</v>
      </c>
      <c r="L689">
        <f>_xlfn.XLOOKUP(tbl_analysis_tickets[[#This Row],[priority]],tbl_sla[priority],tbl_sla[First Response SLA Minutes])</f>
        <v>120</v>
      </c>
      <c r="M689" t="str">
        <f>IF(tbl_analysis_tickets[[#This Row],[resolution_time_hours]]&gt;tbl_analysis_tickets[[#This Row],[Resolution SLA Hours]],"Breached","Within SLA")</f>
        <v>Within SLA</v>
      </c>
      <c r="N689" t="str">
        <f>IF(tbl_analysis_tickets[[#This Row],[first_response_minutes]]&gt;tbl_analysis_tickets[[#This Row],[First Response SLA Minutes]],"Breached","Within SLA")</f>
        <v>Breached</v>
      </c>
      <c r="O689" t="str" cm="1">
        <f t="array" ref="O689">_xlfn.IFS(
tbl_analysis_tickets[[#This Row],[agent_experience_years]]&lt;=2,"Junior",
tbl_analysis_tickets[[#This Row],[agent_experience_years]]&lt;=5,"Mid-Level",
tbl_analysis_tickets[[#This Row],[agent_experience_years]]&lt;=8,"Senior",
tbl_analysis_tickets[[#This Row],[agent_experience_years]]&gt;8,"Expert"
)</f>
        <v>Senior</v>
      </c>
      <c r="P689" cm="1">
        <f t="array" ref="P689">_xlfn.SWITCH(tbl_analysis_tickets[[#This Row],[customer_satisfaction]],
"Low",1,
"Medium",2,
"High",3
)</f>
        <v>2</v>
      </c>
      <c r="Q689">
        <f>IF(tbl_analysis_tickets[[#This Row],[reopened]]="Yes",1,0)</f>
        <v>0</v>
      </c>
      <c r="R689" t="str" cm="1">
        <f t="array" ref="R689">_xlfn.IFS(
tbl_analysis_tickets[[#This Row],[first_response_minutes]]&lt;=30,"Very Fast",
tbl_analysis_tickets[[#This Row],[first_response_minutes]]&lt;=120,"Acceptable",
tbl_analysis_tickets[[#This Row],[first_response_minutes]]&lt;=240,"Slow",
tbl_analysis_tickets[[#This Row],[first_response_minutes]]&gt;240,"Very Slow"
)</f>
        <v>Slow</v>
      </c>
      <c r="S689" t="str" cm="1">
        <f t="array" ref="S68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689" t="str">
        <f>TEXT(tbl_analysis_tickets[[#This Row],[created_date]],"mmm-yyyy")</f>
        <v>Mar-2024</v>
      </c>
      <c r="U689" t="str">
        <f>TEXT(tbl_analysis_tickets[[#This Row],[created_date]],"dddd")</f>
        <v>Sunday</v>
      </c>
      <c r="V689" cm="1">
        <f t="array" ref="V689">_xlfn.SWITCH(tbl_analysis_tickets[[#This Row],[priority]],
"Urgent",1,
"High",2,
"Medium",3,
"Low",4
)</f>
        <v>3</v>
      </c>
    </row>
    <row r="690" spans="1:22" x14ac:dyDescent="0.25">
      <c r="A690">
        <v>689</v>
      </c>
      <c r="B690" s="1">
        <v>45503</v>
      </c>
      <c r="C690" t="s">
        <v>21</v>
      </c>
      <c r="D690" t="s">
        <v>11</v>
      </c>
      <c r="E690">
        <v>30</v>
      </c>
      <c r="F690">
        <v>63</v>
      </c>
      <c r="G690">
        <v>9.4</v>
      </c>
      <c r="H690" t="s">
        <v>18</v>
      </c>
      <c r="I690" t="s">
        <v>16</v>
      </c>
      <c r="J690" t="s">
        <v>20</v>
      </c>
      <c r="K690">
        <f>_xlfn.XLOOKUP(tbl_analysis_tickets[[#This Row],[priority]],tbl_sla[priority],tbl_sla[Resolution SLA Hours])</f>
        <v>72</v>
      </c>
      <c r="L690">
        <f>_xlfn.XLOOKUP(tbl_analysis_tickets[[#This Row],[priority]],tbl_sla[priority],tbl_sla[First Response SLA Minutes])</f>
        <v>240</v>
      </c>
      <c r="M690" t="str">
        <f>IF(tbl_analysis_tickets[[#This Row],[resolution_time_hours]]&gt;tbl_analysis_tickets[[#This Row],[Resolution SLA Hours]],"Breached","Within SLA")</f>
        <v>Within SLA</v>
      </c>
      <c r="N690" t="str">
        <f>IF(tbl_analysis_tickets[[#This Row],[first_response_minutes]]&gt;tbl_analysis_tickets[[#This Row],[First Response SLA Minutes]],"Breached","Within SLA")</f>
        <v>Within SLA</v>
      </c>
      <c r="O690" t="str" cm="1">
        <f t="array" ref="O690">_xlfn.IFS(
tbl_analysis_tickets[[#This Row],[agent_experience_years]]&lt;=2,"Junior",
tbl_analysis_tickets[[#This Row],[agent_experience_years]]&lt;=5,"Mid-Level",
tbl_analysis_tickets[[#This Row],[agent_experience_years]]&lt;=8,"Senior",
tbl_analysis_tickets[[#This Row],[agent_experience_years]]&gt;8,"Expert"
)</f>
        <v>Expert</v>
      </c>
      <c r="P690" cm="1">
        <f t="array" ref="P690">_xlfn.SWITCH(tbl_analysis_tickets[[#This Row],[customer_satisfaction]],
"Low",1,
"Medium",2,
"High",3
)</f>
        <v>3</v>
      </c>
      <c r="Q690">
        <f>IF(tbl_analysis_tickets[[#This Row],[reopened]]="Yes",1,0)</f>
        <v>0</v>
      </c>
      <c r="R690" t="str" cm="1">
        <f t="array" ref="R690">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690" t="str" cm="1">
        <f t="array" ref="S69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690" t="str">
        <f>TEXT(tbl_analysis_tickets[[#This Row],[created_date]],"mmm-yyyy")</f>
        <v>Jul-2024</v>
      </c>
      <c r="U690" t="str">
        <f>TEXT(tbl_analysis_tickets[[#This Row],[created_date]],"dddd")</f>
        <v>Tuesday</v>
      </c>
      <c r="V690" cm="1">
        <f t="array" ref="V690">_xlfn.SWITCH(tbl_analysis_tickets[[#This Row],[priority]],
"Urgent",1,
"High",2,
"Medium",3,
"Low",4
)</f>
        <v>4</v>
      </c>
    </row>
    <row r="691" spans="1:22" x14ac:dyDescent="0.25">
      <c r="A691">
        <v>690</v>
      </c>
      <c r="B691" s="1">
        <v>45604</v>
      </c>
      <c r="C691" t="s">
        <v>10</v>
      </c>
      <c r="D691" t="s">
        <v>20</v>
      </c>
      <c r="E691">
        <v>163</v>
      </c>
      <c r="F691">
        <v>14</v>
      </c>
      <c r="G691">
        <v>7.2</v>
      </c>
      <c r="H691" t="s">
        <v>18</v>
      </c>
      <c r="I691" t="s">
        <v>13</v>
      </c>
      <c r="J691" t="s">
        <v>11</v>
      </c>
      <c r="K691">
        <f>_xlfn.XLOOKUP(tbl_analysis_tickets[[#This Row],[priority]],tbl_sla[priority],tbl_sla[Resolution SLA Hours])</f>
        <v>24</v>
      </c>
      <c r="L691">
        <f>_xlfn.XLOOKUP(tbl_analysis_tickets[[#This Row],[priority]],tbl_sla[priority],tbl_sla[First Response SLA Minutes])</f>
        <v>60</v>
      </c>
      <c r="M691" t="str">
        <f>IF(tbl_analysis_tickets[[#This Row],[resolution_time_hours]]&gt;tbl_analysis_tickets[[#This Row],[Resolution SLA Hours]],"Breached","Within SLA")</f>
        <v>Within SLA</v>
      </c>
      <c r="N691" t="str">
        <f>IF(tbl_analysis_tickets[[#This Row],[first_response_minutes]]&gt;tbl_analysis_tickets[[#This Row],[First Response SLA Minutes]],"Breached","Within SLA")</f>
        <v>Breached</v>
      </c>
      <c r="O691" t="str" cm="1">
        <f t="array" ref="O691">_xlfn.IFS(
tbl_analysis_tickets[[#This Row],[agent_experience_years]]&lt;=2,"Junior",
tbl_analysis_tickets[[#This Row],[agent_experience_years]]&lt;=5,"Mid-Level",
tbl_analysis_tickets[[#This Row],[agent_experience_years]]&lt;=8,"Senior",
tbl_analysis_tickets[[#This Row],[agent_experience_years]]&gt;8,"Expert"
)</f>
        <v>Senior</v>
      </c>
      <c r="P691" cm="1">
        <f t="array" ref="P691">_xlfn.SWITCH(tbl_analysis_tickets[[#This Row],[customer_satisfaction]],
"Low",1,
"Medium",2,
"High",3
)</f>
        <v>1</v>
      </c>
      <c r="Q691">
        <f>IF(tbl_analysis_tickets[[#This Row],[reopened]]="Yes",1,0)</f>
        <v>0</v>
      </c>
      <c r="R691" t="str" cm="1">
        <f t="array" ref="R691">_xlfn.IFS(
tbl_analysis_tickets[[#This Row],[first_response_minutes]]&lt;=30,"Very Fast",
tbl_analysis_tickets[[#This Row],[first_response_minutes]]&lt;=120,"Acceptable",
tbl_analysis_tickets[[#This Row],[first_response_minutes]]&lt;=240,"Slow",
tbl_analysis_tickets[[#This Row],[first_response_minutes]]&gt;240,"Very Slow"
)</f>
        <v>Slow</v>
      </c>
      <c r="S691" t="str" cm="1">
        <f t="array" ref="S69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691" t="str">
        <f>TEXT(tbl_analysis_tickets[[#This Row],[created_date]],"mmm-yyyy")</f>
        <v>Nov-2024</v>
      </c>
      <c r="U691" t="str">
        <f>TEXT(tbl_analysis_tickets[[#This Row],[created_date]],"dddd")</f>
        <v>Friday</v>
      </c>
      <c r="V691" cm="1">
        <f t="array" ref="V691">_xlfn.SWITCH(tbl_analysis_tickets[[#This Row],[priority]],
"Urgent",1,
"High",2,
"Medium",3,
"Low",4
)</f>
        <v>2</v>
      </c>
    </row>
    <row r="692" spans="1:22" x14ac:dyDescent="0.25">
      <c r="A692">
        <v>691</v>
      </c>
      <c r="B692" s="1">
        <v>45507</v>
      </c>
      <c r="C692" t="s">
        <v>10</v>
      </c>
      <c r="D692" t="s">
        <v>20</v>
      </c>
      <c r="E692">
        <v>38</v>
      </c>
      <c r="F692">
        <v>7</v>
      </c>
      <c r="G692">
        <v>2.5</v>
      </c>
      <c r="H692" t="s">
        <v>12</v>
      </c>
      <c r="I692" t="s">
        <v>19</v>
      </c>
      <c r="J692" t="s">
        <v>11</v>
      </c>
      <c r="K692">
        <f>_xlfn.XLOOKUP(tbl_analysis_tickets[[#This Row],[priority]],tbl_sla[priority],tbl_sla[Resolution SLA Hours])</f>
        <v>24</v>
      </c>
      <c r="L692">
        <f>_xlfn.XLOOKUP(tbl_analysis_tickets[[#This Row],[priority]],tbl_sla[priority],tbl_sla[First Response SLA Minutes])</f>
        <v>60</v>
      </c>
      <c r="M692" t="str">
        <f>IF(tbl_analysis_tickets[[#This Row],[resolution_time_hours]]&gt;tbl_analysis_tickets[[#This Row],[Resolution SLA Hours]],"Breached","Within SLA")</f>
        <v>Within SLA</v>
      </c>
      <c r="N692" t="str">
        <f>IF(tbl_analysis_tickets[[#This Row],[first_response_minutes]]&gt;tbl_analysis_tickets[[#This Row],[First Response SLA Minutes]],"Breached","Within SLA")</f>
        <v>Within SLA</v>
      </c>
      <c r="O692" t="str" cm="1">
        <f t="array" ref="O692">_xlfn.IFS(
tbl_analysis_tickets[[#This Row],[agent_experience_years]]&lt;=2,"Junior",
tbl_analysis_tickets[[#This Row],[agent_experience_years]]&lt;=5,"Mid-Level",
tbl_analysis_tickets[[#This Row],[agent_experience_years]]&lt;=8,"Senior",
tbl_analysis_tickets[[#This Row],[agent_experience_years]]&gt;8,"Expert"
)</f>
        <v>Mid-Level</v>
      </c>
      <c r="P692" cm="1">
        <f t="array" ref="P692">_xlfn.SWITCH(tbl_analysis_tickets[[#This Row],[customer_satisfaction]],
"Low",1,
"Medium",2,
"High",3
)</f>
        <v>1</v>
      </c>
      <c r="Q692">
        <f>IF(tbl_analysis_tickets[[#This Row],[reopened]]="Yes",1,0)</f>
        <v>1</v>
      </c>
      <c r="R692" t="str" cm="1">
        <f t="array" ref="R692">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692" t="str" cm="1">
        <f t="array" ref="S69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692" t="str">
        <f>TEXT(tbl_analysis_tickets[[#This Row],[created_date]],"mmm-yyyy")</f>
        <v>Aug-2024</v>
      </c>
      <c r="U692" t="str">
        <f>TEXT(tbl_analysis_tickets[[#This Row],[created_date]],"dddd")</f>
        <v>Saturday</v>
      </c>
      <c r="V692" cm="1">
        <f t="array" ref="V692">_xlfn.SWITCH(tbl_analysis_tickets[[#This Row],[priority]],
"Urgent",1,
"High",2,
"Medium",3,
"Low",4
)</f>
        <v>2</v>
      </c>
    </row>
    <row r="693" spans="1:22" x14ac:dyDescent="0.25">
      <c r="A693">
        <v>692</v>
      </c>
      <c r="B693" s="1">
        <v>45628</v>
      </c>
      <c r="C693" t="s">
        <v>14</v>
      </c>
      <c r="D693" t="s">
        <v>20</v>
      </c>
      <c r="E693">
        <v>17</v>
      </c>
      <c r="F693">
        <v>26</v>
      </c>
      <c r="G693">
        <v>3.8</v>
      </c>
      <c r="H693" t="s">
        <v>18</v>
      </c>
      <c r="I693" t="s">
        <v>13</v>
      </c>
      <c r="J693" t="s">
        <v>15</v>
      </c>
      <c r="K693">
        <f>_xlfn.XLOOKUP(tbl_analysis_tickets[[#This Row],[priority]],tbl_sla[priority],tbl_sla[Resolution SLA Hours])</f>
        <v>24</v>
      </c>
      <c r="L693">
        <f>_xlfn.XLOOKUP(tbl_analysis_tickets[[#This Row],[priority]],tbl_sla[priority],tbl_sla[First Response SLA Minutes])</f>
        <v>60</v>
      </c>
      <c r="M693" t="str">
        <f>IF(tbl_analysis_tickets[[#This Row],[resolution_time_hours]]&gt;tbl_analysis_tickets[[#This Row],[Resolution SLA Hours]],"Breached","Within SLA")</f>
        <v>Breached</v>
      </c>
      <c r="N693" t="str">
        <f>IF(tbl_analysis_tickets[[#This Row],[first_response_minutes]]&gt;tbl_analysis_tickets[[#This Row],[First Response SLA Minutes]],"Breached","Within SLA")</f>
        <v>Within SLA</v>
      </c>
      <c r="O693" t="str" cm="1">
        <f t="array" ref="O693">_xlfn.IFS(
tbl_analysis_tickets[[#This Row],[agent_experience_years]]&lt;=2,"Junior",
tbl_analysis_tickets[[#This Row],[agent_experience_years]]&lt;=5,"Mid-Level",
tbl_analysis_tickets[[#This Row],[agent_experience_years]]&lt;=8,"Senior",
tbl_analysis_tickets[[#This Row],[agent_experience_years]]&gt;8,"Expert"
)</f>
        <v>Mid-Level</v>
      </c>
      <c r="P693" cm="1">
        <f t="array" ref="P693">_xlfn.SWITCH(tbl_analysis_tickets[[#This Row],[customer_satisfaction]],
"Low",1,
"Medium",2,
"High",3
)</f>
        <v>2</v>
      </c>
      <c r="Q693">
        <f>IF(tbl_analysis_tickets[[#This Row],[reopened]]="Yes",1,0)</f>
        <v>0</v>
      </c>
      <c r="R693" t="str" cm="1">
        <f t="array" ref="R693">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693" t="str" cm="1">
        <f t="array" ref="S69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693" t="str">
        <f>TEXT(tbl_analysis_tickets[[#This Row],[created_date]],"mmm-yyyy")</f>
        <v>Dec-2024</v>
      </c>
      <c r="U693" t="str">
        <f>TEXT(tbl_analysis_tickets[[#This Row],[created_date]],"dddd")</f>
        <v>Monday</v>
      </c>
      <c r="V693" cm="1">
        <f t="array" ref="V693">_xlfn.SWITCH(tbl_analysis_tickets[[#This Row],[priority]],
"Urgent",1,
"High",2,
"Medium",3,
"Low",4
)</f>
        <v>2</v>
      </c>
    </row>
    <row r="694" spans="1:22" x14ac:dyDescent="0.25">
      <c r="A694">
        <v>693</v>
      </c>
      <c r="B694" s="1">
        <v>45295</v>
      </c>
      <c r="C694" t="s">
        <v>22</v>
      </c>
      <c r="D694" t="s">
        <v>20</v>
      </c>
      <c r="E694">
        <v>43</v>
      </c>
      <c r="F694">
        <v>39</v>
      </c>
      <c r="G694">
        <v>5.3</v>
      </c>
      <c r="H694" t="s">
        <v>12</v>
      </c>
      <c r="I694" t="s">
        <v>19</v>
      </c>
      <c r="J694" t="s">
        <v>11</v>
      </c>
      <c r="K694">
        <f>_xlfn.XLOOKUP(tbl_analysis_tickets[[#This Row],[priority]],tbl_sla[priority],tbl_sla[Resolution SLA Hours])</f>
        <v>24</v>
      </c>
      <c r="L694">
        <f>_xlfn.XLOOKUP(tbl_analysis_tickets[[#This Row],[priority]],tbl_sla[priority],tbl_sla[First Response SLA Minutes])</f>
        <v>60</v>
      </c>
      <c r="M694" t="str">
        <f>IF(tbl_analysis_tickets[[#This Row],[resolution_time_hours]]&gt;tbl_analysis_tickets[[#This Row],[Resolution SLA Hours]],"Breached","Within SLA")</f>
        <v>Breached</v>
      </c>
      <c r="N694" t="str">
        <f>IF(tbl_analysis_tickets[[#This Row],[first_response_minutes]]&gt;tbl_analysis_tickets[[#This Row],[First Response SLA Minutes]],"Breached","Within SLA")</f>
        <v>Within SLA</v>
      </c>
      <c r="O694" t="str" cm="1">
        <f t="array" ref="O694">_xlfn.IFS(
tbl_analysis_tickets[[#This Row],[agent_experience_years]]&lt;=2,"Junior",
tbl_analysis_tickets[[#This Row],[agent_experience_years]]&lt;=5,"Mid-Level",
tbl_analysis_tickets[[#This Row],[agent_experience_years]]&lt;=8,"Senior",
tbl_analysis_tickets[[#This Row],[agent_experience_years]]&gt;8,"Expert"
)</f>
        <v>Senior</v>
      </c>
      <c r="P694" cm="1">
        <f t="array" ref="P694">_xlfn.SWITCH(tbl_analysis_tickets[[#This Row],[customer_satisfaction]],
"Low",1,
"Medium",2,
"High",3
)</f>
        <v>1</v>
      </c>
      <c r="Q694">
        <f>IF(tbl_analysis_tickets[[#This Row],[reopened]]="Yes",1,0)</f>
        <v>1</v>
      </c>
      <c r="R694" t="str" cm="1">
        <f t="array" ref="R694">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694" t="str" cm="1">
        <f t="array" ref="S69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694" t="str">
        <f>TEXT(tbl_analysis_tickets[[#This Row],[created_date]],"mmm-yyyy")</f>
        <v>Jan-2024</v>
      </c>
      <c r="U694" t="str">
        <f>TEXT(tbl_analysis_tickets[[#This Row],[created_date]],"dddd")</f>
        <v>Thursday</v>
      </c>
      <c r="V694" cm="1">
        <f t="array" ref="V694">_xlfn.SWITCH(tbl_analysis_tickets[[#This Row],[priority]],
"Urgent",1,
"High",2,
"Medium",3,
"Low",4
)</f>
        <v>2</v>
      </c>
    </row>
    <row r="695" spans="1:22" x14ac:dyDescent="0.25">
      <c r="A695">
        <v>694</v>
      </c>
      <c r="B695" s="1">
        <v>45297</v>
      </c>
      <c r="C695" t="s">
        <v>14</v>
      </c>
      <c r="D695" t="s">
        <v>15</v>
      </c>
      <c r="E695">
        <v>139</v>
      </c>
      <c r="F695">
        <v>48</v>
      </c>
      <c r="G695">
        <v>0.5</v>
      </c>
      <c r="H695" t="s">
        <v>18</v>
      </c>
      <c r="I695" t="s">
        <v>13</v>
      </c>
      <c r="J695" t="s">
        <v>11</v>
      </c>
      <c r="K695">
        <f>_xlfn.XLOOKUP(tbl_analysis_tickets[[#This Row],[priority]],tbl_sla[priority],tbl_sla[Resolution SLA Hours])</f>
        <v>48</v>
      </c>
      <c r="L695">
        <f>_xlfn.XLOOKUP(tbl_analysis_tickets[[#This Row],[priority]],tbl_sla[priority],tbl_sla[First Response SLA Minutes])</f>
        <v>120</v>
      </c>
      <c r="M695" t="str">
        <f>IF(tbl_analysis_tickets[[#This Row],[resolution_time_hours]]&gt;tbl_analysis_tickets[[#This Row],[Resolution SLA Hours]],"Breached","Within SLA")</f>
        <v>Within SLA</v>
      </c>
      <c r="N695" t="str">
        <f>IF(tbl_analysis_tickets[[#This Row],[first_response_minutes]]&gt;tbl_analysis_tickets[[#This Row],[First Response SLA Minutes]],"Breached","Within SLA")</f>
        <v>Breached</v>
      </c>
      <c r="O695" t="str" cm="1">
        <f t="array" ref="O695">_xlfn.IFS(
tbl_analysis_tickets[[#This Row],[agent_experience_years]]&lt;=2,"Junior",
tbl_analysis_tickets[[#This Row],[agent_experience_years]]&lt;=5,"Mid-Level",
tbl_analysis_tickets[[#This Row],[agent_experience_years]]&lt;=8,"Senior",
tbl_analysis_tickets[[#This Row],[agent_experience_years]]&gt;8,"Expert"
)</f>
        <v>Junior</v>
      </c>
      <c r="P695" cm="1">
        <f t="array" ref="P695">_xlfn.SWITCH(tbl_analysis_tickets[[#This Row],[customer_satisfaction]],
"Low",1,
"Medium",2,
"High",3
)</f>
        <v>1</v>
      </c>
      <c r="Q695">
        <f>IF(tbl_analysis_tickets[[#This Row],[reopened]]="Yes",1,0)</f>
        <v>0</v>
      </c>
      <c r="R695" t="str" cm="1">
        <f t="array" ref="R695">_xlfn.IFS(
tbl_analysis_tickets[[#This Row],[first_response_minutes]]&lt;=30,"Very Fast",
tbl_analysis_tickets[[#This Row],[first_response_minutes]]&lt;=120,"Acceptable",
tbl_analysis_tickets[[#This Row],[first_response_minutes]]&lt;=240,"Slow",
tbl_analysis_tickets[[#This Row],[first_response_minutes]]&gt;240,"Very Slow"
)</f>
        <v>Slow</v>
      </c>
      <c r="S695" t="str" cm="1">
        <f t="array" ref="S69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695" t="str">
        <f>TEXT(tbl_analysis_tickets[[#This Row],[created_date]],"mmm-yyyy")</f>
        <v>Jan-2024</v>
      </c>
      <c r="U695" t="str">
        <f>TEXT(tbl_analysis_tickets[[#This Row],[created_date]],"dddd")</f>
        <v>Saturday</v>
      </c>
      <c r="V695" cm="1">
        <f t="array" ref="V695">_xlfn.SWITCH(tbl_analysis_tickets[[#This Row],[priority]],
"Urgent",1,
"High",2,
"Medium",3,
"Low",4
)</f>
        <v>3</v>
      </c>
    </row>
    <row r="696" spans="1:22" x14ac:dyDescent="0.25">
      <c r="A696">
        <v>695</v>
      </c>
      <c r="B696" s="1">
        <v>45517</v>
      </c>
      <c r="C696" t="s">
        <v>21</v>
      </c>
      <c r="D696" t="s">
        <v>20</v>
      </c>
      <c r="E696">
        <v>72</v>
      </c>
      <c r="F696">
        <v>12</v>
      </c>
      <c r="G696">
        <v>1.5</v>
      </c>
      <c r="H696" t="s">
        <v>12</v>
      </c>
      <c r="I696" t="s">
        <v>19</v>
      </c>
      <c r="J696" t="s">
        <v>11</v>
      </c>
      <c r="K696">
        <f>_xlfn.XLOOKUP(tbl_analysis_tickets[[#This Row],[priority]],tbl_sla[priority],tbl_sla[Resolution SLA Hours])</f>
        <v>24</v>
      </c>
      <c r="L696">
        <f>_xlfn.XLOOKUP(tbl_analysis_tickets[[#This Row],[priority]],tbl_sla[priority],tbl_sla[First Response SLA Minutes])</f>
        <v>60</v>
      </c>
      <c r="M696" t="str">
        <f>IF(tbl_analysis_tickets[[#This Row],[resolution_time_hours]]&gt;tbl_analysis_tickets[[#This Row],[Resolution SLA Hours]],"Breached","Within SLA")</f>
        <v>Within SLA</v>
      </c>
      <c r="N696" t="str">
        <f>IF(tbl_analysis_tickets[[#This Row],[first_response_minutes]]&gt;tbl_analysis_tickets[[#This Row],[First Response SLA Minutes]],"Breached","Within SLA")</f>
        <v>Breached</v>
      </c>
      <c r="O696" t="str" cm="1">
        <f t="array" ref="O696">_xlfn.IFS(
tbl_analysis_tickets[[#This Row],[agent_experience_years]]&lt;=2,"Junior",
tbl_analysis_tickets[[#This Row],[agent_experience_years]]&lt;=5,"Mid-Level",
tbl_analysis_tickets[[#This Row],[agent_experience_years]]&lt;=8,"Senior",
tbl_analysis_tickets[[#This Row],[agent_experience_years]]&gt;8,"Expert"
)</f>
        <v>Junior</v>
      </c>
      <c r="P696" cm="1">
        <f t="array" ref="P696">_xlfn.SWITCH(tbl_analysis_tickets[[#This Row],[customer_satisfaction]],
"Low",1,
"Medium",2,
"High",3
)</f>
        <v>1</v>
      </c>
      <c r="Q696">
        <f>IF(tbl_analysis_tickets[[#This Row],[reopened]]="Yes",1,0)</f>
        <v>1</v>
      </c>
      <c r="R696" t="str" cm="1">
        <f t="array" ref="R696">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696" t="str" cm="1">
        <f t="array" ref="S69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696" t="str">
        <f>TEXT(tbl_analysis_tickets[[#This Row],[created_date]],"mmm-yyyy")</f>
        <v>Aug-2024</v>
      </c>
      <c r="U696" t="str">
        <f>TEXT(tbl_analysis_tickets[[#This Row],[created_date]],"dddd")</f>
        <v>Tuesday</v>
      </c>
      <c r="V696" cm="1">
        <f t="array" ref="V696">_xlfn.SWITCH(tbl_analysis_tickets[[#This Row],[priority]],
"Urgent",1,
"High",2,
"Medium",3,
"Low",4
)</f>
        <v>2</v>
      </c>
    </row>
    <row r="697" spans="1:22" x14ac:dyDescent="0.25">
      <c r="A697">
        <v>696</v>
      </c>
      <c r="B697" s="1">
        <v>45452</v>
      </c>
      <c r="C697" t="s">
        <v>21</v>
      </c>
      <c r="D697" t="s">
        <v>15</v>
      </c>
      <c r="E697">
        <v>52</v>
      </c>
      <c r="F697">
        <v>64</v>
      </c>
      <c r="G697">
        <v>2.1</v>
      </c>
      <c r="H697" t="s">
        <v>12</v>
      </c>
      <c r="I697" t="s">
        <v>16</v>
      </c>
      <c r="J697" t="s">
        <v>11</v>
      </c>
      <c r="K697">
        <f>_xlfn.XLOOKUP(tbl_analysis_tickets[[#This Row],[priority]],tbl_sla[priority],tbl_sla[Resolution SLA Hours])</f>
        <v>48</v>
      </c>
      <c r="L697">
        <f>_xlfn.XLOOKUP(tbl_analysis_tickets[[#This Row],[priority]],tbl_sla[priority],tbl_sla[First Response SLA Minutes])</f>
        <v>120</v>
      </c>
      <c r="M697" t="str">
        <f>IF(tbl_analysis_tickets[[#This Row],[resolution_time_hours]]&gt;tbl_analysis_tickets[[#This Row],[Resolution SLA Hours]],"Breached","Within SLA")</f>
        <v>Breached</v>
      </c>
      <c r="N697" t="str">
        <f>IF(tbl_analysis_tickets[[#This Row],[first_response_minutes]]&gt;tbl_analysis_tickets[[#This Row],[First Response SLA Minutes]],"Breached","Within SLA")</f>
        <v>Within SLA</v>
      </c>
      <c r="O697" t="str" cm="1">
        <f t="array" ref="O697">_xlfn.IFS(
tbl_analysis_tickets[[#This Row],[agent_experience_years]]&lt;=2,"Junior",
tbl_analysis_tickets[[#This Row],[agent_experience_years]]&lt;=5,"Mid-Level",
tbl_analysis_tickets[[#This Row],[agent_experience_years]]&lt;=8,"Senior",
tbl_analysis_tickets[[#This Row],[agent_experience_years]]&gt;8,"Expert"
)</f>
        <v>Mid-Level</v>
      </c>
      <c r="P697" cm="1">
        <f t="array" ref="P697">_xlfn.SWITCH(tbl_analysis_tickets[[#This Row],[customer_satisfaction]],
"Low",1,
"Medium",2,
"High",3
)</f>
        <v>1</v>
      </c>
      <c r="Q697">
        <f>IF(tbl_analysis_tickets[[#This Row],[reopened]]="Yes",1,0)</f>
        <v>1</v>
      </c>
      <c r="R697" t="str" cm="1">
        <f t="array" ref="R697">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697" t="str" cm="1">
        <f t="array" ref="S69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697" t="str">
        <f>TEXT(tbl_analysis_tickets[[#This Row],[created_date]],"mmm-yyyy")</f>
        <v>Jun-2024</v>
      </c>
      <c r="U697" t="str">
        <f>TEXT(tbl_analysis_tickets[[#This Row],[created_date]],"dddd")</f>
        <v>Sunday</v>
      </c>
      <c r="V697" cm="1">
        <f t="array" ref="V697">_xlfn.SWITCH(tbl_analysis_tickets[[#This Row],[priority]],
"Urgent",1,
"High",2,
"Medium",3,
"Low",4
)</f>
        <v>3</v>
      </c>
    </row>
    <row r="698" spans="1:22" x14ac:dyDescent="0.25">
      <c r="A698">
        <v>697</v>
      </c>
      <c r="B698" s="1">
        <v>45570</v>
      </c>
      <c r="C698" t="s">
        <v>22</v>
      </c>
      <c r="D698" t="s">
        <v>17</v>
      </c>
      <c r="E698">
        <v>51</v>
      </c>
      <c r="F698">
        <v>72</v>
      </c>
      <c r="G698">
        <v>7.8</v>
      </c>
      <c r="H698" t="s">
        <v>12</v>
      </c>
      <c r="I698" t="s">
        <v>13</v>
      </c>
      <c r="J698" t="s">
        <v>11</v>
      </c>
      <c r="K698">
        <f>_xlfn.XLOOKUP(tbl_analysis_tickets[[#This Row],[priority]],tbl_sla[priority],tbl_sla[Resolution SLA Hours])</f>
        <v>8</v>
      </c>
      <c r="L698">
        <f>_xlfn.XLOOKUP(tbl_analysis_tickets[[#This Row],[priority]],tbl_sla[priority],tbl_sla[First Response SLA Minutes])</f>
        <v>30</v>
      </c>
      <c r="M698" t="str">
        <f>IF(tbl_analysis_tickets[[#This Row],[resolution_time_hours]]&gt;tbl_analysis_tickets[[#This Row],[Resolution SLA Hours]],"Breached","Within SLA")</f>
        <v>Breached</v>
      </c>
      <c r="N698" t="str">
        <f>IF(tbl_analysis_tickets[[#This Row],[first_response_minutes]]&gt;tbl_analysis_tickets[[#This Row],[First Response SLA Minutes]],"Breached","Within SLA")</f>
        <v>Breached</v>
      </c>
      <c r="O698" t="str" cm="1">
        <f t="array" ref="O698">_xlfn.IFS(
tbl_analysis_tickets[[#This Row],[agent_experience_years]]&lt;=2,"Junior",
tbl_analysis_tickets[[#This Row],[agent_experience_years]]&lt;=5,"Mid-Level",
tbl_analysis_tickets[[#This Row],[agent_experience_years]]&lt;=8,"Senior",
tbl_analysis_tickets[[#This Row],[agent_experience_years]]&gt;8,"Expert"
)</f>
        <v>Senior</v>
      </c>
      <c r="P698" cm="1">
        <f t="array" ref="P698">_xlfn.SWITCH(tbl_analysis_tickets[[#This Row],[customer_satisfaction]],
"Low",1,
"Medium",2,
"High",3
)</f>
        <v>1</v>
      </c>
      <c r="Q698">
        <f>IF(tbl_analysis_tickets[[#This Row],[reopened]]="Yes",1,0)</f>
        <v>1</v>
      </c>
      <c r="R698" t="str" cm="1">
        <f t="array" ref="R698">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698" t="str" cm="1">
        <f t="array" ref="S69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698" t="str">
        <f>TEXT(tbl_analysis_tickets[[#This Row],[created_date]],"mmm-yyyy")</f>
        <v>Oct-2024</v>
      </c>
      <c r="U698" t="str">
        <f>TEXT(tbl_analysis_tickets[[#This Row],[created_date]],"dddd")</f>
        <v>Saturday</v>
      </c>
      <c r="V698" cm="1">
        <f t="array" ref="V698">_xlfn.SWITCH(tbl_analysis_tickets[[#This Row],[priority]],
"Urgent",1,
"High",2,
"Medium",3,
"Low",4
)</f>
        <v>1</v>
      </c>
    </row>
    <row r="699" spans="1:22" x14ac:dyDescent="0.25">
      <c r="A699">
        <v>698</v>
      </c>
      <c r="B699" s="1">
        <v>45566</v>
      </c>
      <c r="C699" t="s">
        <v>14</v>
      </c>
      <c r="D699" t="s">
        <v>17</v>
      </c>
      <c r="E699">
        <v>43</v>
      </c>
      <c r="F699">
        <v>32</v>
      </c>
      <c r="G699">
        <v>7.6</v>
      </c>
      <c r="H699" t="s">
        <v>12</v>
      </c>
      <c r="I699" t="s">
        <v>19</v>
      </c>
      <c r="J699" t="s">
        <v>11</v>
      </c>
      <c r="K699">
        <f>_xlfn.XLOOKUP(tbl_analysis_tickets[[#This Row],[priority]],tbl_sla[priority],tbl_sla[Resolution SLA Hours])</f>
        <v>8</v>
      </c>
      <c r="L699">
        <f>_xlfn.XLOOKUP(tbl_analysis_tickets[[#This Row],[priority]],tbl_sla[priority],tbl_sla[First Response SLA Minutes])</f>
        <v>30</v>
      </c>
      <c r="M699" t="str">
        <f>IF(tbl_analysis_tickets[[#This Row],[resolution_time_hours]]&gt;tbl_analysis_tickets[[#This Row],[Resolution SLA Hours]],"Breached","Within SLA")</f>
        <v>Breached</v>
      </c>
      <c r="N699" t="str">
        <f>IF(tbl_analysis_tickets[[#This Row],[first_response_minutes]]&gt;tbl_analysis_tickets[[#This Row],[First Response SLA Minutes]],"Breached","Within SLA")</f>
        <v>Breached</v>
      </c>
      <c r="O699" t="str" cm="1">
        <f t="array" ref="O699">_xlfn.IFS(
tbl_analysis_tickets[[#This Row],[agent_experience_years]]&lt;=2,"Junior",
tbl_analysis_tickets[[#This Row],[agent_experience_years]]&lt;=5,"Mid-Level",
tbl_analysis_tickets[[#This Row],[agent_experience_years]]&lt;=8,"Senior",
tbl_analysis_tickets[[#This Row],[agent_experience_years]]&gt;8,"Expert"
)</f>
        <v>Senior</v>
      </c>
      <c r="P699" cm="1">
        <f t="array" ref="P699">_xlfn.SWITCH(tbl_analysis_tickets[[#This Row],[customer_satisfaction]],
"Low",1,
"Medium",2,
"High",3
)</f>
        <v>1</v>
      </c>
      <c r="Q699">
        <f>IF(tbl_analysis_tickets[[#This Row],[reopened]]="Yes",1,0)</f>
        <v>1</v>
      </c>
      <c r="R699" t="str" cm="1">
        <f t="array" ref="R699">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699" t="str" cm="1">
        <f t="array" ref="S69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699" t="str">
        <f>TEXT(tbl_analysis_tickets[[#This Row],[created_date]],"mmm-yyyy")</f>
        <v>Oct-2024</v>
      </c>
      <c r="U699" t="str">
        <f>TEXT(tbl_analysis_tickets[[#This Row],[created_date]],"dddd")</f>
        <v>Tuesday</v>
      </c>
      <c r="V699" cm="1">
        <f t="array" ref="V699">_xlfn.SWITCH(tbl_analysis_tickets[[#This Row],[priority]],
"Urgent",1,
"High",2,
"Medium",3,
"Low",4
)</f>
        <v>1</v>
      </c>
    </row>
    <row r="700" spans="1:22" x14ac:dyDescent="0.25">
      <c r="A700">
        <v>699</v>
      </c>
      <c r="B700" s="1">
        <v>45476</v>
      </c>
      <c r="C700" t="s">
        <v>22</v>
      </c>
      <c r="D700" t="s">
        <v>20</v>
      </c>
      <c r="E700">
        <v>104</v>
      </c>
      <c r="F700">
        <v>61</v>
      </c>
      <c r="G700">
        <v>5.0999999999999996</v>
      </c>
      <c r="H700" t="s">
        <v>18</v>
      </c>
      <c r="I700" t="s">
        <v>19</v>
      </c>
      <c r="J700" t="s">
        <v>11</v>
      </c>
      <c r="K700">
        <f>_xlfn.XLOOKUP(tbl_analysis_tickets[[#This Row],[priority]],tbl_sla[priority],tbl_sla[Resolution SLA Hours])</f>
        <v>24</v>
      </c>
      <c r="L700">
        <f>_xlfn.XLOOKUP(tbl_analysis_tickets[[#This Row],[priority]],tbl_sla[priority],tbl_sla[First Response SLA Minutes])</f>
        <v>60</v>
      </c>
      <c r="M700" t="str">
        <f>IF(tbl_analysis_tickets[[#This Row],[resolution_time_hours]]&gt;tbl_analysis_tickets[[#This Row],[Resolution SLA Hours]],"Breached","Within SLA")</f>
        <v>Breached</v>
      </c>
      <c r="N700" t="str">
        <f>IF(tbl_analysis_tickets[[#This Row],[first_response_minutes]]&gt;tbl_analysis_tickets[[#This Row],[First Response SLA Minutes]],"Breached","Within SLA")</f>
        <v>Breached</v>
      </c>
      <c r="O700" t="str" cm="1">
        <f t="array" ref="O700">_xlfn.IFS(
tbl_analysis_tickets[[#This Row],[agent_experience_years]]&lt;=2,"Junior",
tbl_analysis_tickets[[#This Row],[agent_experience_years]]&lt;=5,"Mid-Level",
tbl_analysis_tickets[[#This Row],[agent_experience_years]]&lt;=8,"Senior",
tbl_analysis_tickets[[#This Row],[agent_experience_years]]&gt;8,"Expert"
)</f>
        <v>Senior</v>
      </c>
      <c r="P700" cm="1">
        <f t="array" ref="P700">_xlfn.SWITCH(tbl_analysis_tickets[[#This Row],[customer_satisfaction]],
"Low",1,
"Medium",2,
"High",3
)</f>
        <v>1</v>
      </c>
      <c r="Q700">
        <f>IF(tbl_analysis_tickets[[#This Row],[reopened]]="Yes",1,0)</f>
        <v>0</v>
      </c>
      <c r="R700" t="str" cm="1">
        <f t="array" ref="R700">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700" t="str" cm="1">
        <f t="array" ref="S70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700" t="str">
        <f>TEXT(tbl_analysis_tickets[[#This Row],[created_date]],"mmm-yyyy")</f>
        <v>Jul-2024</v>
      </c>
      <c r="U700" t="str">
        <f>TEXT(tbl_analysis_tickets[[#This Row],[created_date]],"dddd")</f>
        <v>Wednesday</v>
      </c>
      <c r="V700" cm="1">
        <f t="array" ref="V700">_xlfn.SWITCH(tbl_analysis_tickets[[#This Row],[priority]],
"Urgent",1,
"High",2,
"Medium",3,
"Low",4
)</f>
        <v>2</v>
      </c>
    </row>
    <row r="701" spans="1:22" x14ac:dyDescent="0.25">
      <c r="A701">
        <v>700</v>
      </c>
      <c r="B701" s="1">
        <v>45360</v>
      </c>
      <c r="C701" t="s">
        <v>10</v>
      </c>
      <c r="D701" t="s">
        <v>17</v>
      </c>
      <c r="E701">
        <v>85</v>
      </c>
      <c r="F701">
        <v>47</v>
      </c>
      <c r="G701">
        <v>7.3</v>
      </c>
      <c r="H701" t="s">
        <v>12</v>
      </c>
      <c r="I701" t="s">
        <v>13</v>
      </c>
      <c r="J701" t="s">
        <v>11</v>
      </c>
      <c r="K701">
        <f>_xlfn.XLOOKUP(tbl_analysis_tickets[[#This Row],[priority]],tbl_sla[priority],tbl_sla[Resolution SLA Hours])</f>
        <v>8</v>
      </c>
      <c r="L701">
        <f>_xlfn.XLOOKUP(tbl_analysis_tickets[[#This Row],[priority]],tbl_sla[priority],tbl_sla[First Response SLA Minutes])</f>
        <v>30</v>
      </c>
      <c r="M701" t="str">
        <f>IF(tbl_analysis_tickets[[#This Row],[resolution_time_hours]]&gt;tbl_analysis_tickets[[#This Row],[Resolution SLA Hours]],"Breached","Within SLA")</f>
        <v>Breached</v>
      </c>
      <c r="N701" t="str">
        <f>IF(tbl_analysis_tickets[[#This Row],[first_response_minutes]]&gt;tbl_analysis_tickets[[#This Row],[First Response SLA Minutes]],"Breached","Within SLA")</f>
        <v>Breached</v>
      </c>
      <c r="O701" t="str" cm="1">
        <f t="array" ref="O701">_xlfn.IFS(
tbl_analysis_tickets[[#This Row],[agent_experience_years]]&lt;=2,"Junior",
tbl_analysis_tickets[[#This Row],[agent_experience_years]]&lt;=5,"Mid-Level",
tbl_analysis_tickets[[#This Row],[agent_experience_years]]&lt;=8,"Senior",
tbl_analysis_tickets[[#This Row],[agent_experience_years]]&gt;8,"Expert"
)</f>
        <v>Senior</v>
      </c>
      <c r="P701" cm="1">
        <f t="array" ref="P701">_xlfn.SWITCH(tbl_analysis_tickets[[#This Row],[customer_satisfaction]],
"Low",1,
"Medium",2,
"High",3
)</f>
        <v>1</v>
      </c>
      <c r="Q701">
        <f>IF(tbl_analysis_tickets[[#This Row],[reopened]]="Yes",1,0)</f>
        <v>1</v>
      </c>
      <c r="R701" t="str" cm="1">
        <f t="array" ref="R701">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701" t="str" cm="1">
        <f t="array" ref="S70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701" t="str">
        <f>TEXT(tbl_analysis_tickets[[#This Row],[created_date]],"mmm-yyyy")</f>
        <v>Mar-2024</v>
      </c>
      <c r="U701" t="str">
        <f>TEXT(tbl_analysis_tickets[[#This Row],[created_date]],"dddd")</f>
        <v>Saturday</v>
      </c>
      <c r="V701" cm="1">
        <f t="array" ref="V701">_xlfn.SWITCH(tbl_analysis_tickets[[#This Row],[priority]],
"Urgent",1,
"High",2,
"Medium",3,
"Low",4
)</f>
        <v>1</v>
      </c>
    </row>
    <row r="702" spans="1:22" x14ac:dyDescent="0.25">
      <c r="A702">
        <v>701</v>
      </c>
      <c r="B702" s="1">
        <v>45299</v>
      </c>
      <c r="C702" t="s">
        <v>10</v>
      </c>
      <c r="D702" t="s">
        <v>20</v>
      </c>
      <c r="E702">
        <v>217</v>
      </c>
      <c r="F702">
        <v>46</v>
      </c>
      <c r="G702">
        <v>2.6</v>
      </c>
      <c r="H702" t="s">
        <v>18</v>
      </c>
      <c r="I702" t="s">
        <v>13</v>
      </c>
      <c r="J702" t="s">
        <v>11</v>
      </c>
      <c r="K702">
        <f>_xlfn.XLOOKUP(tbl_analysis_tickets[[#This Row],[priority]],tbl_sla[priority],tbl_sla[Resolution SLA Hours])</f>
        <v>24</v>
      </c>
      <c r="L702">
        <f>_xlfn.XLOOKUP(tbl_analysis_tickets[[#This Row],[priority]],tbl_sla[priority],tbl_sla[First Response SLA Minutes])</f>
        <v>60</v>
      </c>
      <c r="M702" t="str">
        <f>IF(tbl_analysis_tickets[[#This Row],[resolution_time_hours]]&gt;tbl_analysis_tickets[[#This Row],[Resolution SLA Hours]],"Breached","Within SLA")</f>
        <v>Breached</v>
      </c>
      <c r="N702" t="str">
        <f>IF(tbl_analysis_tickets[[#This Row],[first_response_minutes]]&gt;tbl_analysis_tickets[[#This Row],[First Response SLA Minutes]],"Breached","Within SLA")</f>
        <v>Breached</v>
      </c>
      <c r="O702" t="str" cm="1">
        <f t="array" ref="O702">_xlfn.IFS(
tbl_analysis_tickets[[#This Row],[agent_experience_years]]&lt;=2,"Junior",
tbl_analysis_tickets[[#This Row],[agent_experience_years]]&lt;=5,"Mid-Level",
tbl_analysis_tickets[[#This Row],[agent_experience_years]]&lt;=8,"Senior",
tbl_analysis_tickets[[#This Row],[agent_experience_years]]&gt;8,"Expert"
)</f>
        <v>Mid-Level</v>
      </c>
      <c r="P702" cm="1">
        <f t="array" ref="P702">_xlfn.SWITCH(tbl_analysis_tickets[[#This Row],[customer_satisfaction]],
"Low",1,
"Medium",2,
"High",3
)</f>
        <v>1</v>
      </c>
      <c r="Q702">
        <f>IF(tbl_analysis_tickets[[#This Row],[reopened]]="Yes",1,0)</f>
        <v>0</v>
      </c>
      <c r="R702" t="str" cm="1">
        <f t="array" ref="R702">_xlfn.IFS(
tbl_analysis_tickets[[#This Row],[first_response_minutes]]&lt;=30,"Very Fast",
tbl_analysis_tickets[[#This Row],[first_response_minutes]]&lt;=120,"Acceptable",
tbl_analysis_tickets[[#This Row],[first_response_minutes]]&lt;=240,"Slow",
tbl_analysis_tickets[[#This Row],[first_response_minutes]]&gt;240,"Very Slow"
)</f>
        <v>Slow</v>
      </c>
      <c r="S702" t="str" cm="1">
        <f t="array" ref="S70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702" t="str">
        <f>TEXT(tbl_analysis_tickets[[#This Row],[created_date]],"mmm-yyyy")</f>
        <v>Jan-2024</v>
      </c>
      <c r="U702" t="str">
        <f>TEXT(tbl_analysis_tickets[[#This Row],[created_date]],"dddd")</f>
        <v>Monday</v>
      </c>
      <c r="V702" cm="1">
        <f t="array" ref="V702">_xlfn.SWITCH(tbl_analysis_tickets[[#This Row],[priority]],
"Urgent",1,
"High",2,
"Medium",3,
"Low",4
)</f>
        <v>2</v>
      </c>
    </row>
    <row r="703" spans="1:22" x14ac:dyDescent="0.25">
      <c r="A703">
        <v>702</v>
      </c>
      <c r="B703" s="1">
        <v>45651</v>
      </c>
      <c r="C703" t="s">
        <v>22</v>
      </c>
      <c r="D703" t="s">
        <v>15</v>
      </c>
      <c r="E703">
        <v>104</v>
      </c>
      <c r="F703">
        <v>71</v>
      </c>
      <c r="G703">
        <v>9</v>
      </c>
      <c r="H703" t="s">
        <v>18</v>
      </c>
      <c r="I703" t="s">
        <v>19</v>
      </c>
      <c r="J703" t="s">
        <v>15</v>
      </c>
      <c r="K703">
        <f>_xlfn.XLOOKUP(tbl_analysis_tickets[[#This Row],[priority]],tbl_sla[priority],tbl_sla[Resolution SLA Hours])</f>
        <v>48</v>
      </c>
      <c r="L703">
        <f>_xlfn.XLOOKUP(tbl_analysis_tickets[[#This Row],[priority]],tbl_sla[priority],tbl_sla[First Response SLA Minutes])</f>
        <v>120</v>
      </c>
      <c r="M703" t="str">
        <f>IF(tbl_analysis_tickets[[#This Row],[resolution_time_hours]]&gt;tbl_analysis_tickets[[#This Row],[Resolution SLA Hours]],"Breached","Within SLA")</f>
        <v>Breached</v>
      </c>
      <c r="N703" t="str">
        <f>IF(tbl_analysis_tickets[[#This Row],[first_response_minutes]]&gt;tbl_analysis_tickets[[#This Row],[First Response SLA Minutes]],"Breached","Within SLA")</f>
        <v>Within SLA</v>
      </c>
      <c r="O703" t="str" cm="1">
        <f t="array" ref="O703">_xlfn.IFS(
tbl_analysis_tickets[[#This Row],[agent_experience_years]]&lt;=2,"Junior",
tbl_analysis_tickets[[#This Row],[agent_experience_years]]&lt;=5,"Mid-Level",
tbl_analysis_tickets[[#This Row],[agent_experience_years]]&lt;=8,"Senior",
tbl_analysis_tickets[[#This Row],[agent_experience_years]]&gt;8,"Expert"
)</f>
        <v>Expert</v>
      </c>
      <c r="P703" cm="1">
        <f t="array" ref="P703">_xlfn.SWITCH(tbl_analysis_tickets[[#This Row],[customer_satisfaction]],
"Low",1,
"Medium",2,
"High",3
)</f>
        <v>2</v>
      </c>
      <c r="Q703">
        <f>IF(tbl_analysis_tickets[[#This Row],[reopened]]="Yes",1,0)</f>
        <v>0</v>
      </c>
      <c r="R703" t="str" cm="1">
        <f t="array" ref="R703">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703" t="str" cm="1">
        <f t="array" ref="S70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703" t="str">
        <f>TEXT(tbl_analysis_tickets[[#This Row],[created_date]],"mmm-yyyy")</f>
        <v>Dec-2024</v>
      </c>
      <c r="U703" t="str">
        <f>TEXT(tbl_analysis_tickets[[#This Row],[created_date]],"dddd")</f>
        <v>Wednesday</v>
      </c>
      <c r="V703" cm="1">
        <f t="array" ref="V703">_xlfn.SWITCH(tbl_analysis_tickets[[#This Row],[priority]],
"Urgent",1,
"High",2,
"Medium",3,
"Low",4
)</f>
        <v>3</v>
      </c>
    </row>
    <row r="704" spans="1:22" x14ac:dyDescent="0.25">
      <c r="A704">
        <v>703</v>
      </c>
      <c r="B704" s="1">
        <v>45389</v>
      </c>
      <c r="C704" t="s">
        <v>14</v>
      </c>
      <c r="D704" t="s">
        <v>17</v>
      </c>
      <c r="E704">
        <v>147</v>
      </c>
      <c r="F704">
        <v>28</v>
      </c>
      <c r="G704">
        <v>4.5</v>
      </c>
      <c r="H704" t="s">
        <v>12</v>
      </c>
      <c r="I704" t="s">
        <v>13</v>
      </c>
      <c r="J704" t="s">
        <v>11</v>
      </c>
      <c r="K704">
        <f>_xlfn.XLOOKUP(tbl_analysis_tickets[[#This Row],[priority]],tbl_sla[priority],tbl_sla[Resolution SLA Hours])</f>
        <v>8</v>
      </c>
      <c r="L704">
        <f>_xlfn.XLOOKUP(tbl_analysis_tickets[[#This Row],[priority]],tbl_sla[priority],tbl_sla[First Response SLA Minutes])</f>
        <v>30</v>
      </c>
      <c r="M704" t="str">
        <f>IF(tbl_analysis_tickets[[#This Row],[resolution_time_hours]]&gt;tbl_analysis_tickets[[#This Row],[Resolution SLA Hours]],"Breached","Within SLA")</f>
        <v>Breached</v>
      </c>
      <c r="N704" t="str">
        <f>IF(tbl_analysis_tickets[[#This Row],[first_response_minutes]]&gt;tbl_analysis_tickets[[#This Row],[First Response SLA Minutes]],"Breached","Within SLA")</f>
        <v>Breached</v>
      </c>
      <c r="O704" t="str" cm="1">
        <f t="array" ref="O704">_xlfn.IFS(
tbl_analysis_tickets[[#This Row],[agent_experience_years]]&lt;=2,"Junior",
tbl_analysis_tickets[[#This Row],[agent_experience_years]]&lt;=5,"Mid-Level",
tbl_analysis_tickets[[#This Row],[agent_experience_years]]&lt;=8,"Senior",
tbl_analysis_tickets[[#This Row],[agent_experience_years]]&gt;8,"Expert"
)</f>
        <v>Mid-Level</v>
      </c>
      <c r="P704" cm="1">
        <f t="array" ref="P704">_xlfn.SWITCH(tbl_analysis_tickets[[#This Row],[customer_satisfaction]],
"Low",1,
"Medium",2,
"High",3
)</f>
        <v>1</v>
      </c>
      <c r="Q704">
        <f>IF(tbl_analysis_tickets[[#This Row],[reopened]]="Yes",1,0)</f>
        <v>1</v>
      </c>
      <c r="R704" t="str" cm="1">
        <f t="array" ref="R704">_xlfn.IFS(
tbl_analysis_tickets[[#This Row],[first_response_minutes]]&lt;=30,"Very Fast",
tbl_analysis_tickets[[#This Row],[first_response_minutes]]&lt;=120,"Acceptable",
tbl_analysis_tickets[[#This Row],[first_response_minutes]]&lt;=240,"Slow",
tbl_analysis_tickets[[#This Row],[first_response_minutes]]&gt;240,"Very Slow"
)</f>
        <v>Slow</v>
      </c>
      <c r="S704" t="str" cm="1">
        <f t="array" ref="S70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704" t="str">
        <f>TEXT(tbl_analysis_tickets[[#This Row],[created_date]],"mmm-yyyy")</f>
        <v>Apr-2024</v>
      </c>
      <c r="U704" t="str">
        <f>TEXT(tbl_analysis_tickets[[#This Row],[created_date]],"dddd")</f>
        <v>Sunday</v>
      </c>
      <c r="V704" cm="1">
        <f t="array" ref="V704">_xlfn.SWITCH(tbl_analysis_tickets[[#This Row],[priority]],
"Urgent",1,
"High",2,
"Medium",3,
"Low",4
)</f>
        <v>1</v>
      </c>
    </row>
    <row r="705" spans="1:22" x14ac:dyDescent="0.25">
      <c r="A705">
        <v>704</v>
      </c>
      <c r="B705" s="1">
        <v>45564</v>
      </c>
      <c r="C705" t="s">
        <v>14</v>
      </c>
      <c r="D705" t="s">
        <v>11</v>
      </c>
      <c r="E705">
        <v>65</v>
      </c>
      <c r="F705">
        <v>2</v>
      </c>
      <c r="G705">
        <v>6.5</v>
      </c>
      <c r="H705" t="s">
        <v>18</v>
      </c>
      <c r="I705" t="s">
        <v>16</v>
      </c>
      <c r="J705" t="s">
        <v>20</v>
      </c>
      <c r="K705">
        <f>_xlfn.XLOOKUP(tbl_analysis_tickets[[#This Row],[priority]],tbl_sla[priority],tbl_sla[Resolution SLA Hours])</f>
        <v>72</v>
      </c>
      <c r="L705">
        <f>_xlfn.XLOOKUP(tbl_analysis_tickets[[#This Row],[priority]],tbl_sla[priority],tbl_sla[First Response SLA Minutes])</f>
        <v>240</v>
      </c>
      <c r="M705" t="str">
        <f>IF(tbl_analysis_tickets[[#This Row],[resolution_time_hours]]&gt;tbl_analysis_tickets[[#This Row],[Resolution SLA Hours]],"Breached","Within SLA")</f>
        <v>Within SLA</v>
      </c>
      <c r="N705" t="str">
        <f>IF(tbl_analysis_tickets[[#This Row],[first_response_minutes]]&gt;tbl_analysis_tickets[[#This Row],[First Response SLA Minutes]],"Breached","Within SLA")</f>
        <v>Within SLA</v>
      </c>
      <c r="O705" t="str" cm="1">
        <f t="array" ref="O705">_xlfn.IFS(
tbl_analysis_tickets[[#This Row],[agent_experience_years]]&lt;=2,"Junior",
tbl_analysis_tickets[[#This Row],[agent_experience_years]]&lt;=5,"Mid-Level",
tbl_analysis_tickets[[#This Row],[agent_experience_years]]&lt;=8,"Senior",
tbl_analysis_tickets[[#This Row],[agent_experience_years]]&gt;8,"Expert"
)</f>
        <v>Senior</v>
      </c>
      <c r="P705" cm="1">
        <f t="array" ref="P705">_xlfn.SWITCH(tbl_analysis_tickets[[#This Row],[customer_satisfaction]],
"Low",1,
"Medium",2,
"High",3
)</f>
        <v>3</v>
      </c>
      <c r="Q705">
        <f>IF(tbl_analysis_tickets[[#This Row],[reopened]]="Yes",1,0)</f>
        <v>0</v>
      </c>
      <c r="R705" t="str" cm="1">
        <f t="array" ref="R705">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705" t="str" cm="1">
        <f t="array" ref="S70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705" t="str">
        <f>TEXT(tbl_analysis_tickets[[#This Row],[created_date]],"mmm-yyyy")</f>
        <v>Sep-2024</v>
      </c>
      <c r="U705" t="str">
        <f>TEXT(tbl_analysis_tickets[[#This Row],[created_date]],"dddd")</f>
        <v>Sunday</v>
      </c>
      <c r="V705" cm="1">
        <f t="array" ref="V705">_xlfn.SWITCH(tbl_analysis_tickets[[#This Row],[priority]],
"Urgent",1,
"High",2,
"Medium",3,
"Low",4
)</f>
        <v>4</v>
      </c>
    </row>
    <row r="706" spans="1:22" x14ac:dyDescent="0.25">
      <c r="A706">
        <v>705</v>
      </c>
      <c r="B706" s="1">
        <v>45492</v>
      </c>
      <c r="C706" t="s">
        <v>21</v>
      </c>
      <c r="D706" t="s">
        <v>20</v>
      </c>
      <c r="E706">
        <v>233</v>
      </c>
      <c r="F706">
        <v>5</v>
      </c>
      <c r="G706">
        <v>7.6</v>
      </c>
      <c r="H706" t="s">
        <v>18</v>
      </c>
      <c r="I706" t="s">
        <v>13</v>
      </c>
      <c r="J706" t="s">
        <v>15</v>
      </c>
      <c r="K706">
        <f>_xlfn.XLOOKUP(tbl_analysis_tickets[[#This Row],[priority]],tbl_sla[priority],tbl_sla[Resolution SLA Hours])</f>
        <v>24</v>
      </c>
      <c r="L706">
        <f>_xlfn.XLOOKUP(tbl_analysis_tickets[[#This Row],[priority]],tbl_sla[priority],tbl_sla[First Response SLA Minutes])</f>
        <v>60</v>
      </c>
      <c r="M706" t="str">
        <f>IF(tbl_analysis_tickets[[#This Row],[resolution_time_hours]]&gt;tbl_analysis_tickets[[#This Row],[Resolution SLA Hours]],"Breached","Within SLA")</f>
        <v>Within SLA</v>
      </c>
      <c r="N706" t="str">
        <f>IF(tbl_analysis_tickets[[#This Row],[first_response_minutes]]&gt;tbl_analysis_tickets[[#This Row],[First Response SLA Minutes]],"Breached","Within SLA")</f>
        <v>Breached</v>
      </c>
      <c r="O706" t="str" cm="1">
        <f t="array" ref="O706">_xlfn.IFS(
tbl_analysis_tickets[[#This Row],[agent_experience_years]]&lt;=2,"Junior",
tbl_analysis_tickets[[#This Row],[agent_experience_years]]&lt;=5,"Mid-Level",
tbl_analysis_tickets[[#This Row],[agent_experience_years]]&lt;=8,"Senior",
tbl_analysis_tickets[[#This Row],[agent_experience_years]]&gt;8,"Expert"
)</f>
        <v>Senior</v>
      </c>
      <c r="P706" cm="1">
        <f t="array" ref="P706">_xlfn.SWITCH(tbl_analysis_tickets[[#This Row],[customer_satisfaction]],
"Low",1,
"Medium",2,
"High",3
)</f>
        <v>2</v>
      </c>
      <c r="Q706">
        <f>IF(tbl_analysis_tickets[[#This Row],[reopened]]="Yes",1,0)</f>
        <v>0</v>
      </c>
      <c r="R706" t="str" cm="1">
        <f t="array" ref="R706">_xlfn.IFS(
tbl_analysis_tickets[[#This Row],[first_response_minutes]]&lt;=30,"Very Fast",
tbl_analysis_tickets[[#This Row],[first_response_minutes]]&lt;=120,"Acceptable",
tbl_analysis_tickets[[#This Row],[first_response_minutes]]&lt;=240,"Slow",
tbl_analysis_tickets[[#This Row],[first_response_minutes]]&gt;240,"Very Slow"
)</f>
        <v>Slow</v>
      </c>
      <c r="S706" t="str" cm="1">
        <f t="array" ref="S70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706" t="str">
        <f>TEXT(tbl_analysis_tickets[[#This Row],[created_date]],"mmm-yyyy")</f>
        <v>Jul-2024</v>
      </c>
      <c r="U706" t="str">
        <f>TEXT(tbl_analysis_tickets[[#This Row],[created_date]],"dddd")</f>
        <v>Friday</v>
      </c>
      <c r="V706" cm="1">
        <f t="array" ref="V706">_xlfn.SWITCH(tbl_analysis_tickets[[#This Row],[priority]],
"Urgent",1,
"High",2,
"Medium",3,
"Low",4
)</f>
        <v>2</v>
      </c>
    </row>
    <row r="707" spans="1:22" x14ac:dyDescent="0.25">
      <c r="A707">
        <v>706</v>
      </c>
      <c r="B707" s="1">
        <v>45569</v>
      </c>
      <c r="C707" t="s">
        <v>22</v>
      </c>
      <c r="D707" t="s">
        <v>20</v>
      </c>
      <c r="E707">
        <v>192</v>
      </c>
      <c r="F707">
        <v>9</v>
      </c>
      <c r="G707">
        <v>0.6</v>
      </c>
      <c r="H707" t="s">
        <v>18</v>
      </c>
      <c r="I707" t="s">
        <v>13</v>
      </c>
      <c r="J707" t="s">
        <v>11</v>
      </c>
      <c r="K707">
        <f>_xlfn.XLOOKUP(tbl_analysis_tickets[[#This Row],[priority]],tbl_sla[priority],tbl_sla[Resolution SLA Hours])</f>
        <v>24</v>
      </c>
      <c r="L707">
        <f>_xlfn.XLOOKUP(tbl_analysis_tickets[[#This Row],[priority]],tbl_sla[priority],tbl_sla[First Response SLA Minutes])</f>
        <v>60</v>
      </c>
      <c r="M707" t="str">
        <f>IF(tbl_analysis_tickets[[#This Row],[resolution_time_hours]]&gt;tbl_analysis_tickets[[#This Row],[Resolution SLA Hours]],"Breached","Within SLA")</f>
        <v>Within SLA</v>
      </c>
      <c r="N707" t="str">
        <f>IF(tbl_analysis_tickets[[#This Row],[first_response_minutes]]&gt;tbl_analysis_tickets[[#This Row],[First Response SLA Minutes]],"Breached","Within SLA")</f>
        <v>Breached</v>
      </c>
      <c r="O707" t="str" cm="1">
        <f t="array" ref="O707">_xlfn.IFS(
tbl_analysis_tickets[[#This Row],[agent_experience_years]]&lt;=2,"Junior",
tbl_analysis_tickets[[#This Row],[agent_experience_years]]&lt;=5,"Mid-Level",
tbl_analysis_tickets[[#This Row],[agent_experience_years]]&lt;=8,"Senior",
tbl_analysis_tickets[[#This Row],[agent_experience_years]]&gt;8,"Expert"
)</f>
        <v>Junior</v>
      </c>
      <c r="P707" cm="1">
        <f t="array" ref="P707">_xlfn.SWITCH(tbl_analysis_tickets[[#This Row],[customer_satisfaction]],
"Low",1,
"Medium",2,
"High",3
)</f>
        <v>1</v>
      </c>
      <c r="Q707">
        <f>IF(tbl_analysis_tickets[[#This Row],[reopened]]="Yes",1,0)</f>
        <v>0</v>
      </c>
      <c r="R707" t="str" cm="1">
        <f t="array" ref="R707">_xlfn.IFS(
tbl_analysis_tickets[[#This Row],[first_response_minutes]]&lt;=30,"Very Fast",
tbl_analysis_tickets[[#This Row],[first_response_minutes]]&lt;=120,"Acceptable",
tbl_analysis_tickets[[#This Row],[first_response_minutes]]&lt;=240,"Slow",
tbl_analysis_tickets[[#This Row],[first_response_minutes]]&gt;240,"Very Slow"
)</f>
        <v>Slow</v>
      </c>
      <c r="S707" t="str" cm="1">
        <f t="array" ref="S70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707" t="str">
        <f>TEXT(tbl_analysis_tickets[[#This Row],[created_date]],"mmm-yyyy")</f>
        <v>Oct-2024</v>
      </c>
      <c r="U707" t="str">
        <f>TEXT(tbl_analysis_tickets[[#This Row],[created_date]],"dddd")</f>
        <v>Friday</v>
      </c>
      <c r="V707" cm="1">
        <f t="array" ref="V707">_xlfn.SWITCH(tbl_analysis_tickets[[#This Row],[priority]],
"Urgent",1,
"High",2,
"Medium",3,
"Low",4
)</f>
        <v>2</v>
      </c>
    </row>
    <row r="708" spans="1:22" x14ac:dyDescent="0.25">
      <c r="A708">
        <v>707</v>
      </c>
      <c r="B708" s="1">
        <v>45441</v>
      </c>
      <c r="C708" t="s">
        <v>21</v>
      </c>
      <c r="D708" t="s">
        <v>20</v>
      </c>
      <c r="E708">
        <v>18</v>
      </c>
      <c r="F708">
        <v>16</v>
      </c>
      <c r="G708">
        <v>1.6</v>
      </c>
      <c r="H708" t="s">
        <v>18</v>
      </c>
      <c r="I708" t="s">
        <v>16</v>
      </c>
      <c r="J708" t="s">
        <v>15</v>
      </c>
      <c r="K708">
        <f>_xlfn.XLOOKUP(tbl_analysis_tickets[[#This Row],[priority]],tbl_sla[priority],tbl_sla[Resolution SLA Hours])</f>
        <v>24</v>
      </c>
      <c r="L708">
        <f>_xlfn.XLOOKUP(tbl_analysis_tickets[[#This Row],[priority]],tbl_sla[priority],tbl_sla[First Response SLA Minutes])</f>
        <v>60</v>
      </c>
      <c r="M708" t="str">
        <f>IF(tbl_analysis_tickets[[#This Row],[resolution_time_hours]]&gt;tbl_analysis_tickets[[#This Row],[Resolution SLA Hours]],"Breached","Within SLA")</f>
        <v>Within SLA</v>
      </c>
      <c r="N708" t="str">
        <f>IF(tbl_analysis_tickets[[#This Row],[first_response_minutes]]&gt;tbl_analysis_tickets[[#This Row],[First Response SLA Minutes]],"Breached","Within SLA")</f>
        <v>Within SLA</v>
      </c>
      <c r="O708" t="str" cm="1">
        <f t="array" ref="O708">_xlfn.IFS(
tbl_analysis_tickets[[#This Row],[agent_experience_years]]&lt;=2,"Junior",
tbl_analysis_tickets[[#This Row],[agent_experience_years]]&lt;=5,"Mid-Level",
tbl_analysis_tickets[[#This Row],[agent_experience_years]]&lt;=8,"Senior",
tbl_analysis_tickets[[#This Row],[agent_experience_years]]&gt;8,"Expert"
)</f>
        <v>Junior</v>
      </c>
      <c r="P708" cm="1">
        <f t="array" ref="P708">_xlfn.SWITCH(tbl_analysis_tickets[[#This Row],[customer_satisfaction]],
"Low",1,
"Medium",2,
"High",3
)</f>
        <v>2</v>
      </c>
      <c r="Q708">
        <f>IF(tbl_analysis_tickets[[#This Row],[reopened]]="Yes",1,0)</f>
        <v>0</v>
      </c>
      <c r="R708" t="str" cm="1">
        <f t="array" ref="R708">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708" t="str" cm="1">
        <f t="array" ref="S70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708" t="str">
        <f>TEXT(tbl_analysis_tickets[[#This Row],[created_date]],"mmm-yyyy")</f>
        <v>May-2024</v>
      </c>
      <c r="U708" t="str">
        <f>TEXT(tbl_analysis_tickets[[#This Row],[created_date]],"dddd")</f>
        <v>Wednesday</v>
      </c>
      <c r="V708" cm="1">
        <f t="array" ref="V708">_xlfn.SWITCH(tbl_analysis_tickets[[#This Row],[priority]],
"Urgent",1,
"High",2,
"Medium",3,
"Low",4
)</f>
        <v>2</v>
      </c>
    </row>
    <row r="709" spans="1:22" x14ac:dyDescent="0.25">
      <c r="A709">
        <v>708</v>
      </c>
      <c r="B709" s="1">
        <v>45453</v>
      </c>
      <c r="C709" t="s">
        <v>21</v>
      </c>
      <c r="D709" t="s">
        <v>11</v>
      </c>
      <c r="E709">
        <v>45</v>
      </c>
      <c r="F709">
        <v>9</v>
      </c>
      <c r="G709">
        <v>4</v>
      </c>
      <c r="H709" t="s">
        <v>12</v>
      </c>
      <c r="I709" t="s">
        <v>16</v>
      </c>
      <c r="J709" t="s">
        <v>11</v>
      </c>
      <c r="K709">
        <f>_xlfn.XLOOKUP(tbl_analysis_tickets[[#This Row],[priority]],tbl_sla[priority],tbl_sla[Resolution SLA Hours])</f>
        <v>72</v>
      </c>
      <c r="L709">
        <f>_xlfn.XLOOKUP(tbl_analysis_tickets[[#This Row],[priority]],tbl_sla[priority],tbl_sla[First Response SLA Minutes])</f>
        <v>240</v>
      </c>
      <c r="M709" t="str">
        <f>IF(tbl_analysis_tickets[[#This Row],[resolution_time_hours]]&gt;tbl_analysis_tickets[[#This Row],[Resolution SLA Hours]],"Breached","Within SLA")</f>
        <v>Within SLA</v>
      </c>
      <c r="N709" t="str">
        <f>IF(tbl_analysis_tickets[[#This Row],[first_response_minutes]]&gt;tbl_analysis_tickets[[#This Row],[First Response SLA Minutes]],"Breached","Within SLA")</f>
        <v>Within SLA</v>
      </c>
      <c r="O709" t="str" cm="1">
        <f t="array" ref="O709">_xlfn.IFS(
tbl_analysis_tickets[[#This Row],[agent_experience_years]]&lt;=2,"Junior",
tbl_analysis_tickets[[#This Row],[agent_experience_years]]&lt;=5,"Mid-Level",
tbl_analysis_tickets[[#This Row],[agent_experience_years]]&lt;=8,"Senior",
tbl_analysis_tickets[[#This Row],[agent_experience_years]]&gt;8,"Expert"
)</f>
        <v>Mid-Level</v>
      </c>
      <c r="P709" cm="1">
        <f t="array" ref="P709">_xlfn.SWITCH(tbl_analysis_tickets[[#This Row],[customer_satisfaction]],
"Low",1,
"Medium",2,
"High",3
)</f>
        <v>1</v>
      </c>
      <c r="Q709">
        <f>IF(tbl_analysis_tickets[[#This Row],[reopened]]="Yes",1,0)</f>
        <v>1</v>
      </c>
      <c r="R709" t="str" cm="1">
        <f t="array" ref="R709">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709" t="str" cm="1">
        <f t="array" ref="S70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709" t="str">
        <f>TEXT(tbl_analysis_tickets[[#This Row],[created_date]],"mmm-yyyy")</f>
        <v>Jun-2024</v>
      </c>
      <c r="U709" t="str">
        <f>TEXT(tbl_analysis_tickets[[#This Row],[created_date]],"dddd")</f>
        <v>Monday</v>
      </c>
      <c r="V709" cm="1">
        <f t="array" ref="V709">_xlfn.SWITCH(tbl_analysis_tickets[[#This Row],[priority]],
"Urgent",1,
"High",2,
"Medium",3,
"Low",4
)</f>
        <v>4</v>
      </c>
    </row>
    <row r="710" spans="1:22" x14ac:dyDescent="0.25">
      <c r="A710">
        <v>709</v>
      </c>
      <c r="B710" s="1">
        <v>45525</v>
      </c>
      <c r="C710" t="s">
        <v>22</v>
      </c>
      <c r="D710" t="s">
        <v>17</v>
      </c>
      <c r="E710">
        <v>21</v>
      </c>
      <c r="F710">
        <v>34</v>
      </c>
      <c r="G710">
        <v>9.9</v>
      </c>
      <c r="H710" t="s">
        <v>18</v>
      </c>
      <c r="I710" t="s">
        <v>16</v>
      </c>
      <c r="J710" t="s">
        <v>15</v>
      </c>
      <c r="K710">
        <f>_xlfn.XLOOKUP(tbl_analysis_tickets[[#This Row],[priority]],tbl_sla[priority],tbl_sla[Resolution SLA Hours])</f>
        <v>8</v>
      </c>
      <c r="L710">
        <f>_xlfn.XLOOKUP(tbl_analysis_tickets[[#This Row],[priority]],tbl_sla[priority],tbl_sla[First Response SLA Minutes])</f>
        <v>30</v>
      </c>
      <c r="M710" t="str">
        <f>IF(tbl_analysis_tickets[[#This Row],[resolution_time_hours]]&gt;tbl_analysis_tickets[[#This Row],[Resolution SLA Hours]],"Breached","Within SLA")</f>
        <v>Breached</v>
      </c>
      <c r="N710" t="str">
        <f>IF(tbl_analysis_tickets[[#This Row],[first_response_minutes]]&gt;tbl_analysis_tickets[[#This Row],[First Response SLA Minutes]],"Breached","Within SLA")</f>
        <v>Within SLA</v>
      </c>
      <c r="O710" t="str" cm="1">
        <f t="array" ref="O710">_xlfn.IFS(
tbl_analysis_tickets[[#This Row],[agent_experience_years]]&lt;=2,"Junior",
tbl_analysis_tickets[[#This Row],[agent_experience_years]]&lt;=5,"Mid-Level",
tbl_analysis_tickets[[#This Row],[agent_experience_years]]&lt;=8,"Senior",
tbl_analysis_tickets[[#This Row],[agent_experience_years]]&gt;8,"Expert"
)</f>
        <v>Expert</v>
      </c>
      <c r="P710" cm="1">
        <f t="array" ref="P710">_xlfn.SWITCH(tbl_analysis_tickets[[#This Row],[customer_satisfaction]],
"Low",1,
"Medium",2,
"High",3
)</f>
        <v>2</v>
      </c>
      <c r="Q710">
        <f>IF(tbl_analysis_tickets[[#This Row],[reopened]]="Yes",1,0)</f>
        <v>0</v>
      </c>
      <c r="R710" t="str" cm="1">
        <f t="array" ref="R710">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710" t="str" cm="1">
        <f t="array" ref="S71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710" t="str">
        <f>TEXT(tbl_analysis_tickets[[#This Row],[created_date]],"mmm-yyyy")</f>
        <v>Aug-2024</v>
      </c>
      <c r="U710" t="str">
        <f>TEXT(tbl_analysis_tickets[[#This Row],[created_date]],"dddd")</f>
        <v>Wednesday</v>
      </c>
      <c r="V710" cm="1">
        <f t="array" ref="V710">_xlfn.SWITCH(tbl_analysis_tickets[[#This Row],[priority]],
"Urgent",1,
"High",2,
"Medium",3,
"Low",4
)</f>
        <v>1</v>
      </c>
    </row>
    <row r="711" spans="1:22" x14ac:dyDescent="0.25">
      <c r="A711">
        <v>710</v>
      </c>
      <c r="B711" s="1">
        <v>45618</v>
      </c>
      <c r="C711" t="s">
        <v>21</v>
      </c>
      <c r="D711" t="s">
        <v>20</v>
      </c>
      <c r="E711">
        <v>183</v>
      </c>
      <c r="F711">
        <v>9</v>
      </c>
      <c r="G711">
        <v>9</v>
      </c>
      <c r="H711" t="s">
        <v>12</v>
      </c>
      <c r="I711" t="s">
        <v>19</v>
      </c>
      <c r="J711" t="s">
        <v>11</v>
      </c>
      <c r="K711">
        <f>_xlfn.XLOOKUP(tbl_analysis_tickets[[#This Row],[priority]],tbl_sla[priority],tbl_sla[Resolution SLA Hours])</f>
        <v>24</v>
      </c>
      <c r="L711">
        <f>_xlfn.XLOOKUP(tbl_analysis_tickets[[#This Row],[priority]],tbl_sla[priority],tbl_sla[First Response SLA Minutes])</f>
        <v>60</v>
      </c>
      <c r="M711" t="str">
        <f>IF(tbl_analysis_tickets[[#This Row],[resolution_time_hours]]&gt;tbl_analysis_tickets[[#This Row],[Resolution SLA Hours]],"Breached","Within SLA")</f>
        <v>Within SLA</v>
      </c>
      <c r="N711" t="str">
        <f>IF(tbl_analysis_tickets[[#This Row],[first_response_minutes]]&gt;tbl_analysis_tickets[[#This Row],[First Response SLA Minutes]],"Breached","Within SLA")</f>
        <v>Breached</v>
      </c>
      <c r="O711" t="str" cm="1">
        <f t="array" ref="O711">_xlfn.IFS(
tbl_analysis_tickets[[#This Row],[agent_experience_years]]&lt;=2,"Junior",
tbl_analysis_tickets[[#This Row],[agent_experience_years]]&lt;=5,"Mid-Level",
tbl_analysis_tickets[[#This Row],[agent_experience_years]]&lt;=8,"Senior",
tbl_analysis_tickets[[#This Row],[agent_experience_years]]&gt;8,"Expert"
)</f>
        <v>Expert</v>
      </c>
      <c r="P711" cm="1">
        <f t="array" ref="P711">_xlfn.SWITCH(tbl_analysis_tickets[[#This Row],[customer_satisfaction]],
"Low",1,
"Medium",2,
"High",3
)</f>
        <v>1</v>
      </c>
      <c r="Q711">
        <f>IF(tbl_analysis_tickets[[#This Row],[reopened]]="Yes",1,0)</f>
        <v>1</v>
      </c>
      <c r="R711" t="str" cm="1">
        <f t="array" ref="R711">_xlfn.IFS(
tbl_analysis_tickets[[#This Row],[first_response_minutes]]&lt;=30,"Very Fast",
tbl_analysis_tickets[[#This Row],[first_response_minutes]]&lt;=120,"Acceptable",
tbl_analysis_tickets[[#This Row],[first_response_minutes]]&lt;=240,"Slow",
tbl_analysis_tickets[[#This Row],[first_response_minutes]]&gt;240,"Very Slow"
)</f>
        <v>Slow</v>
      </c>
      <c r="S711" t="str" cm="1">
        <f t="array" ref="S71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711" t="str">
        <f>TEXT(tbl_analysis_tickets[[#This Row],[created_date]],"mmm-yyyy")</f>
        <v>Nov-2024</v>
      </c>
      <c r="U711" t="str">
        <f>TEXT(tbl_analysis_tickets[[#This Row],[created_date]],"dddd")</f>
        <v>Friday</v>
      </c>
      <c r="V711" cm="1">
        <f t="array" ref="V711">_xlfn.SWITCH(tbl_analysis_tickets[[#This Row],[priority]],
"Urgent",1,
"High",2,
"Medium",3,
"Low",4
)</f>
        <v>2</v>
      </c>
    </row>
    <row r="712" spans="1:22" x14ac:dyDescent="0.25">
      <c r="A712">
        <v>711</v>
      </c>
      <c r="B712" s="1">
        <v>45477</v>
      </c>
      <c r="C712" t="s">
        <v>22</v>
      </c>
      <c r="D712" t="s">
        <v>20</v>
      </c>
      <c r="E712">
        <v>23</v>
      </c>
      <c r="F712">
        <v>7</v>
      </c>
      <c r="G712">
        <v>6</v>
      </c>
      <c r="H712" t="s">
        <v>12</v>
      </c>
      <c r="I712" t="s">
        <v>13</v>
      </c>
      <c r="J712" t="s">
        <v>15</v>
      </c>
      <c r="K712">
        <f>_xlfn.XLOOKUP(tbl_analysis_tickets[[#This Row],[priority]],tbl_sla[priority],tbl_sla[Resolution SLA Hours])</f>
        <v>24</v>
      </c>
      <c r="L712">
        <f>_xlfn.XLOOKUP(tbl_analysis_tickets[[#This Row],[priority]],tbl_sla[priority],tbl_sla[First Response SLA Minutes])</f>
        <v>60</v>
      </c>
      <c r="M712" t="str">
        <f>IF(tbl_analysis_tickets[[#This Row],[resolution_time_hours]]&gt;tbl_analysis_tickets[[#This Row],[Resolution SLA Hours]],"Breached","Within SLA")</f>
        <v>Within SLA</v>
      </c>
      <c r="N712" t="str">
        <f>IF(tbl_analysis_tickets[[#This Row],[first_response_minutes]]&gt;tbl_analysis_tickets[[#This Row],[First Response SLA Minutes]],"Breached","Within SLA")</f>
        <v>Within SLA</v>
      </c>
      <c r="O712" t="str" cm="1">
        <f t="array" ref="O712">_xlfn.IFS(
tbl_analysis_tickets[[#This Row],[agent_experience_years]]&lt;=2,"Junior",
tbl_analysis_tickets[[#This Row],[agent_experience_years]]&lt;=5,"Mid-Level",
tbl_analysis_tickets[[#This Row],[agent_experience_years]]&lt;=8,"Senior",
tbl_analysis_tickets[[#This Row],[agent_experience_years]]&gt;8,"Expert"
)</f>
        <v>Senior</v>
      </c>
      <c r="P712" cm="1">
        <f t="array" ref="P712">_xlfn.SWITCH(tbl_analysis_tickets[[#This Row],[customer_satisfaction]],
"Low",1,
"Medium",2,
"High",3
)</f>
        <v>2</v>
      </c>
      <c r="Q712">
        <f>IF(tbl_analysis_tickets[[#This Row],[reopened]]="Yes",1,0)</f>
        <v>1</v>
      </c>
      <c r="R712" t="str" cm="1">
        <f t="array" ref="R712">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712" t="str" cm="1">
        <f t="array" ref="S71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712" t="str">
        <f>TEXT(tbl_analysis_tickets[[#This Row],[created_date]],"mmm-yyyy")</f>
        <v>Jul-2024</v>
      </c>
      <c r="U712" t="str">
        <f>TEXT(tbl_analysis_tickets[[#This Row],[created_date]],"dddd")</f>
        <v>Thursday</v>
      </c>
      <c r="V712" cm="1">
        <f t="array" ref="V712">_xlfn.SWITCH(tbl_analysis_tickets[[#This Row],[priority]],
"Urgent",1,
"High",2,
"Medium",3,
"Low",4
)</f>
        <v>2</v>
      </c>
    </row>
    <row r="713" spans="1:22" x14ac:dyDescent="0.25">
      <c r="A713">
        <v>712</v>
      </c>
      <c r="B713" s="1">
        <v>45413</v>
      </c>
      <c r="C713" t="s">
        <v>21</v>
      </c>
      <c r="D713" t="s">
        <v>20</v>
      </c>
      <c r="E713">
        <v>143</v>
      </c>
      <c r="F713">
        <v>68</v>
      </c>
      <c r="G713">
        <v>5</v>
      </c>
      <c r="H713" t="s">
        <v>12</v>
      </c>
      <c r="I713" t="s">
        <v>16</v>
      </c>
      <c r="J713" t="s">
        <v>11</v>
      </c>
      <c r="K713">
        <f>_xlfn.XLOOKUP(tbl_analysis_tickets[[#This Row],[priority]],tbl_sla[priority],tbl_sla[Resolution SLA Hours])</f>
        <v>24</v>
      </c>
      <c r="L713">
        <f>_xlfn.XLOOKUP(tbl_analysis_tickets[[#This Row],[priority]],tbl_sla[priority],tbl_sla[First Response SLA Minutes])</f>
        <v>60</v>
      </c>
      <c r="M713" t="str">
        <f>IF(tbl_analysis_tickets[[#This Row],[resolution_time_hours]]&gt;tbl_analysis_tickets[[#This Row],[Resolution SLA Hours]],"Breached","Within SLA")</f>
        <v>Breached</v>
      </c>
      <c r="N713" t="str">
        <f>IF(tbl_analysis_tickets[[#This Row],[first_response_minutes]]&gt;tbl_analysis_tickets[[#This Row],[First Response SLA Minutes]],"Breached","Within SLA")</f>
        <v>Breached</v>
      </c>
      <c r="O713" t="str" cm="1">
        <f t="array" ref="O713">_xlfn.IFS(
tbl_analysis_tickets[[#This Row],[agent_experience_years]]&lt;=2,"Junior",
tbl_analysis_tickets[[#This Row],[agent_experience_years]]&lt;=5,"Mid-Level",
tbl_analysis_tickets[[#This Row],[agent_experience_years]]&lt;=8,"Senior",
tbl_analysis_tickets[[#This Row],[agent_experience_years]]&gt;8,"Expert"
)</f>
        <v>Mid-Level</v>
      </c>
      <c r="P713" cm="1">
        <f t="array" ref="P713">_xlfn.SWITCH(tbl_analysis_tickets[[#This Row],[customer_satisfaction]],
"Low",1,
"Medium",2,
"High",3
)</f>
        <v>1</v>
      </c>
      <c r="Q713">
        <f>IF(tbl_analysis_tickets[[#This Row],[reopened]]="Yes",1,0)</f>
        <v>1</v>
      </c>
      <c r="R713" t="str" cm="1">
        <f t="array" ref="R713">_xlfn.IFS(
tbl_analysis_tickets[[#This Row],[first_response_minutes]]&lt;=30,"Very Fast",
tbl_analysis_tickets[[#This Row],[first_response_minutes]]&lt;=120,"Acceptable",
tbl_analysis_tickets[[#This Row],[first_response_minutes]]&lt;=240,"Slow",
tbl_analysis_tickets[[#This Row],[first_response_minutes]]&gt;240,"Very Slow"
)</f>
        <v>Slow</v>
      </c>
      <c r="S713" t="str" cm="1">
        <f t="array" ref="S71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713" t="str">
        <f>TEXT(tbl_analysis_tickets[[#This Row],[created_date]],"mmm-yyyy")</f>
        <v>May-2024</v>
      </c>
      <c r="U713" t="str">
        <f>TEXT(tbl_analysis_tickets[[#This Row],[created_date]],"dddd")</f>
        <v>Wednesday</v>
      </c>
      <c r="V713" cm="1">
        <f t="array" ref="V713">_xlfn.SWITCH(tbl_analysis_tickets[[#This Row],[priority]],
"Urgent",1,
"High",2,
"Medium",3,
"Low",4
)</f>
        <v>2</v>
      </c>
    </row>
    <row r="714" spans="1:22" x14ac:dyDescent="0.25">
      <c r="A714">
        <v>713</v>
      </c>
      <c r="B714" s="1">
        <v>45590</v>
      </c>
      <c r="C714" t="s">
        <v>14</v>
      </c>
      <c r="D714" t="s">
        <v>20</v>
      </c>
      <c r="E714">
        <v>82</v>
      </c>
      <c r="F714">
        <v>67</v>
      </c>
      <c r="G714">
        <v>9.8000000000000007</v>
      </c>
      <c r="H714" t="s">
        <v>12</v>
      </c>
      <c r="I714" t="s">
        <v>19</v>
      </c>
      <c r="J714" t="s">
        <v>11</v>
      </c>
      <c r="K714">
        <f>_xlfn.XLOOKUP(tbl_analysis_tickets[[#This Row],[priority]],tbl_sla[priority],tbl_sla[Resolution SLA Hours])</f>
        <v>24</v>
      </c>
      <c r="L714">
        <f>_xlfn.XLOOKUP(tbl_analysis_tickets[[#This Row],[priority]],tbl_sla[priority],tbl_sla[First Response SLA Minutes])</f>
        <v>60</v>
      </c>
      <c r="M714" t="str">
        <f>IF(tbl_analysis_tickets[[#This Row],[resolution_time_hours]]&gt;tbl_analysis_tickets[[#This Row],[Resolution SLA Hours]],"Breached","Within SLA")</f>
        <v>Breached</v>
      </c>
      <c r="N714" t="str">
        <f>IF(tbl_analysis_tickets[[#This Row],[first_response_minutes]]&gt;tbl_analysis_tickets[[#This Row],[First Response SLA Minutes]],"Breached","Within SLA")</f>
        <v>Breached</v>
      </c>
      <c r="O714" t="str" cm="1">
        <f t="array" ref="O714">_xlfn.IFS(
tbl_analysis_tickets[[#This Row],[agent_experience_years]]&lt;=2,"Junior",
tbl_analysis_tickets[[#This Row],[agent_experience_years]]&lt;=5,"Mid-Level",
tbl_analysis_tickets[[#This Row],[agent_experience_years]]&lt;=8,"Senior",
tbl_analysis_tickets[[#This Row],[agent_experience_years]]&gt;8,"Expert"
)</f>
        <v>Expert</v>
      </c>
      <c r="P714" cm="1">
        <f t="array" ref="P714">_xlfn.SWITCH(tbl_analysis_tickets[[#This Row],[customer_satisfaction]],
"Low",1,
"Medium",2,
"High",3
)</f>
        <v>1</v>
      </c>
      <c r="Q714">
        <f>IF(tbl_analysis_tickets[[#This Row],[reopened]]="Yes",1,0)</f>
        <v>1</v>
      </c>
      <c r="R714" t="str" cm="1">
        <f t="array" ref="R714">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714" t="str" cm="1">
        <f t="array" ref="S71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714" t="str">
        <f>TEXT(tbl_analysis_tickets[[#This Row],[created_date]],"mmm-yyyy")</f>
        <v>Oct-2024</v>
      </c>
      <c r="U714" t="str">
        <f>TEXT(tbl_analysis_tickets[[#This Row],[created_date]],"dddd")</f>
        <v>Friday</v>
      </c>
      <c r="V714" cm="1">
        <f t="array" ref="V714">_xlfn.SWITCH(tbl_analysis_tickets[[#This Row],[priority]],
"Urgent",1,
"High",2,
"Medium",3,
"Low",4
)</f>
        <v>2</v>
      </c>
    </row>
    <row r="715" spans="1:22" x14ac:dyDescent="0.25">
      <c r="A715">
        <v>714</v>
      </c>
      <c r="B715" s="1">
        <v>45455</v>
      </c>
      <c r="C715" t="s">
        <v>10</v>
      </c>
      <c r="D715" t="s">
        <v>11</v>
      </c>
      <c r="E715">
        <v>172</v>
      </c>
      <c r="F715">
        <v>63</v>
      </c>
      <c r="G715">
        <v>6.2</v>
      </c>
      <c r="H715" t="s">
        <v>12</v>
      </c>
      <c r="I715" t="s">
        <v>19</v>
      </c>
      <c r="J715" t="s">
        <v>11</v>
      </c>
      <c r="K715">
        <f>_xlfn.XLOOKUP(tbl_analysis_tickets[[#This Row],[priority]],tbl_sla[priority],tbl_sla[Resolution SLA Hours])</f>
        <v>72</v>
      </c>
      <c r="L715">
        <f>_xlfn.XLOOKUP(tbl_analysis_tickets[[#This Row],[priority]],tbl_sla[priority],tbl_sla[First Response SLA Minutes])</f>
        <v>240</v>
      </c>
      <c r="M715" t="str">
        <f>IF(tbl_analysis_tickets[[#This Row],[resolution_time_hours]]&gt;tbl_analysis_tickets[[#This Row],[Resolution SLA Hours]],"Breached","Within SLA")</f>
        <v>Within SLA</v>
      </c>
      <c r="N715" t="str">
        <f>IF(tbl_analysis_tickets[[#This Row],[first_response_minutes]]&gt;tbl_analysis_tickets[[#This Row],[First Response SLA Minutes]],"Breached","Within SLA")</f>
        <v>Within SLA</v>
      </c>
      <c r="O715" t="str" cm="1">
        <f t="array" ref="O715">_xlfn.IFS(
tbl_analysis_tickets[[#This Row],[agent_experience_years]]&lt;=2,"Junior",
tbl_analysis_tickets[[#This Row],[agent_experience_years]]&lt;=5,"Mid-Level",
tbl_analysis_tickets[[#This Row],[agent_experience_years]]&lt;=8,"Senior",
tbl_analysis_tickets[[#This Row],[agent_experience_years]]&gt;8,"Expert"
)</f>
        <v>Senior</v>
      </c>
      <c r="P715" cm="1">
        <f t="array" ref="P715">_xlfn.SWITCH(tbl_analysis_tickets[[#This Row],[customer_satisfaction]],
"Low",1,
"Medium",2,
"High",3
)</f>
        <v>1</v>
      </c>
      <c r="Q715">
        <f>IF(tbl_analysis_tickets[[#This Row],[reopened]]="Yes",1,0)</f>
        <v>1</v>
      </c>
      <c r="R715" t="str" cm="1">
        <f t="array" ref="R715">_xlfn.IFS(
tbl_analysis_tickets[[#This Row],[first_response_minutes]]&lt;=30,"Very Fast",
tbl_analysis_tickets[[#This Row],[first_response_minutes]]&lt;=120,"Acceptable",
tbl_analysis_tickets[[#This Row],[first_response_minutes]]&lt;=240,"Slow",
tbl_analysis_tickets[[#This Row],[first_response_minutes]]&gt;240,"Very Slow"
)</f>
        <v>Slow</v>
      </c>
      <c r="S715" t="str" cm="1">
        <f t="array" ref="S71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715" t="str">
        <f>TEXT(tbl_analysis_tickets[[#This Row],[created_date]],"mmm-yyyy")</f>
        <v>Jun-2024</v>
      </c>
      <c r="U715" t="str">
        <f>TEXT(tbl_analysis_tickets[[#This Row],[created_date]],"dddd")</f>
        <v>Wednesday</v>
      </c>
      <c r="V715" cm="1">
        <f t="array" ref="V715">_xlfn.SWITCH(tbl_analysis_tickets[[#This Row],[priority]],
"Urgent",1,
"High",2,
"Medium",3,
"Low",4
)</f>
        <v>4</v>
      </c>
    </row>
    <row r="716" spans="1:22" x14ac:dyDescent="0.25">
      <c r="A716">
        <v>715</v>
      </c>
      <c r="B716" s="1">
        <v>45648</v>
      </c>
      <c r="C716" t="s">
        <v>10</v>
      </c>
      <c r="D716" t="s">
        <v>20</v>
      </c>
      <c r="E716">
        <v>199</v>
      </c>
      <c r="F716">
        <v>56</v>
      </c>
      <c r="G716">
        <v>3.2</v>
      </c>
      <c r="H716" t="s">
        <v>12</v>
      </c>
      <c r="I716" t="s">
        <v>13</v>
      </c>
      <c r="J716" t="s">
        <v>11</v>
      </c>
      <c r="K716">
        <f>_xlfn.XLOOKUP(tbl_analysis_tickets[[#This Row],[priority]],tbl_sla[priority],tbl_sla[Resolution SLA Hours])</f>
        <v>24</v>
      </c>
      <c r="L716">
        <f>_xlfn.XLOOKUP(tbl_analysis_tickets[[#This Row],[priority]],tbl_sla[priority],tbl_sla[First Response SLA Minutes])</f>
        <v>60</v>
      </c>
      <c r="M716" t="str">
        <f>IF(tbl_analysis_tickets[[#This Row],[resolution_time_hours]]&gt;tbl_analysis_tickets[[#This Row],[Resolution SLA Hours]],"Breached","Within SLA")</f>
        <v>Breached</v>
      </c>
      <c r="N716" t="str">
        <f>IF(tbl_analysis_tickets[[#This Row],[first_response_minutes]]&gt;tbl_analysis_tickets[[#This Row],[First Response SLA Minutes]],"Breached","Within SLA")</f>
        <v>Breached</v>
      </c>
      <c r="O716" t="str" cm="1">
        <f t="array" ref="O716">_xlfn.IFS(
tbl_analysis_tickets[[#This Row],[agent_experience_years]]&lt;=2,"Junior",
tbl_analysis_tickets[[#This Row],[agent_experience_years]]&lt;=5,"Mid-Level",
tbl_analysis_tickets[[#This Row],[agent_experience_years]]&lt;=8,"Senior",
tbl_analysis_tickets[[#This Row],[agent_experience_years]]&gt;8,"Expert"
)</f>
        <v>Mid-Level</v>
      </c>
      <c r="P716" cm="1">
        <f t="array" ref="P716">_xlfn.SWITCH(tbl_analysis_tickets[[#This Row],[customer_satisfaction]],
"Low",1,
"Medium",2,
"High",3
)</f>
        <v>1</v>
      </c>
      <c r="Q716">
        <f>IF(tbl_analysis_tickets[[#This Row],[reopened]]="Yes",1,0)</f>
        <v>1</v>
      </c>
      <c r="R716" t="str" cm="1">
        <f t="array" ref="R716">_xlfn.IFS(
tbl_analysis_tickets[[#This Row],[first_response_minutes]]&lt;=30,"Very Fast",
tbl_analysis_tickets[[#This Row],[first_response_minutes]]&lt;=120,"Acceptable",
tbl_analysis_tickets[[#This Row],[first_response_minutes]]&lt;=240,"Slow",
tbl_analysis_tickets[[#This Row],[first_response_minutes]]&gt;240,"Very Slow"
)</f>
        <v>Slow</v>
      </c>
      <c r="S716" t="str" cm="1">
        <f t="array" ref="S71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716" t="str">
        <f>TEXT(tbl_analysis_tickets[[#This Row],[created_date]],"mmm-yyyy")</f>
        <v>Dec-2024</v>
      </c>
      <c r="U716" t="str">
        <f>TEXT(tbl_analysis_tickets[[#This Row],[created_date]],"dddd")</f>
        <v>Sunday</v>
      </c>
      <c r="V716" cm="1">
        <f t="array" ref="V716">_xlfn.SWITCH(tbl_analysis_tickets[[#This Row],[priority]],
"Urgent",1,
"High",2,
"Medium",3,
"Low",4
)</f>
        <v>2</v>
      </c>
    </row>
    <row r="717" spans="1:22" x14ac:dyDescent="0.25">
      <c r="A717">
        <v>716</v>
      </c>
      <c r="B717" s="1">
        <v>45587</v>
      </c>
      <c r="C717" t="s">
        <v>14</v>
      </c>
      <c r="D717" t="s">
        <v>17</v>
      </c>
      <c r="E717">
        <v>134</v>
      </c>
      <c r="F717">
        <v>34</v>
      </c>
      <c r="G717">
        <v>6.8</v>
      </c>
      <c r="H717" t="s">
        <v>12</v>
      </c>
      <c r="I717" t="s">
        <v>19</v>
      </c>
      <c r="J717" t="s">
        <v>11</v>
      </c>
      <c r="K717">
        <f>_xlfn.XLOOKUP(tbl_analysis_tickets[[#This Row],[priority]],tbl_sla[priority],tbl_sla[Resolution SLA Hours])</f>
        <v>8</v>
      </c>
      <c r="L717">
        <f>_xlfn.XLOOKUP(tbl_analysis_tickets[[#This Row],[priority]],tbl_sla[priority],tbl_sla[First Response SLA Minutes])</f>
        <v>30</v>
      </c>
      <c r="M717" t="str">
        <f>IF(tbl_analysis_tickets[[#This Row],[resolution_time_hours]]&gt;tbl_analysis_tickets[[#This Row],[Resolution SLA Hours]],"Breached","Within SLA")</f>
        <v>Breached</v>
      </c>
      <c r="N717" t="str">
        <f>IF(tbl_analysis_tickets[[#This Row],[first_response_minutes]]&gt;tbl_analysis_tickets[[#This Row],[First Response SLA Minutes]],"Breached","Within SLA")</f>
        <v>Breached</v>
      </c>
      <c r="O717" t="str" cm="1">
        <f t="array" ref="O717">_xlfn.IFS(
tbl_analysis_tickets[[#This Row],[agent_experience_years]]&lt;=2,"Junior",
tbl_analysis_tickets[[#This Row],[agent_experience_years]]&lt;=5,"Mid-Level",
tbl_analysis_tickets[[#This Row],[agent_experience_years]]&lt;=8,"Senior",
tbl_analysis_tickets[[#This Row],[agent_experience_years]]&gt;8,"Expert"
)</f>
        <v>Senior</v>
      </c>
      <c r="P717" cm="1">
        <f t="array" ref="P717">_xlfn.SWITCH(tbl_analysis_tickets[[#This Row],[customer_satisfaction]],
"Low",1,
"Medium",2,
"High",3
)</f>
        <v>1</v>
      </c>
      <c r="Q717">
        <f>IF(tbl_analysis_tickets[[#This Row],[reopened]]="Yes",1,0)</f>
        <v>1</v>
      </c>
      <c r="R717" t="str" cm="1">
        <f t="array" ref="R717">_xlfn.IFS(
tbl_analysis_tickets[[#This Row],[first_response_minutes]]&lt;=30,"Very Fast",
tbl_analysis_tickets[[#This Row],[first_response_minutes]]&lt;=120,"Acceptable",
tbl_analysis_tickets[[#This Row],[first_response_minutes]]&lt;=240,"Slow",
tbl_analysis_tickets[[#This Row],[first_response_minutes]]&gt;240,"Very Slow"
)</f>
        <v>Slow</v>
      </c>
      <c r="S717" t="str" cm="1">
        <f t="array" ref="S71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717" t="str">
        <f>TEXT(tbl_analysis_tickets[[#This Row],[created_date]],"mmm-yyyy")</f>
        <v>Oct-2024</v>
      </c>
      <c r="U717" t="str">
        <f>TEXT(tbl_analysis_tickets[[#This Row],[created_date]],"dddd")</f>
        <v>Tuesday</v>
      </c>
      <c r="V717" cm="1">
        <f t="array" ref="V717">_xlfn.SWITCH(tbl_analysis_tickets[[#This Row],[priority]],
"Urgent",1,
"High",2,
"Medium",3,
"Low",4
)</f>
        <v>1</v>
      </c>
    </row>
    <row r="718" spans="1:22" x14ac:dyDescent="0.25">
      <c r="A718">
        <v>717</v>
      </c>
      <c r="B718" s="1">
        <v>45594</v>
      </c>
      <c r="C718" t="s">
        <v>14</v>
      </c>
      <c r="D718" t="s">
        <v>17</v>
      </c>
      <c r="E718">
        <v>155</v>
      </c>
      <c r="F718">
        <v>28</v>
      </c>
      <c r="G718">
        <v>5.7</v>
      </c>
      <c r="H718" t="s">
        <v>12</v>
      </c>
      <c r="I718" t="s">
        <v>13</v>
      </c>
      <c r="J718" t="s">
        <v>11</v>
      </c>
      <c r="K718">
        <f>_xlfn.XLOOKUP(tbl_analysis_tickets[[#This Row],[priority]],tbl_sla[priority],tbl_sla[Resolution SLA Hours])</f>
        <v>8</v>
      </c>
      <c r="L718">
        <f>_xlfn.XLOOKUP(tbl_analysis_tickets[[#This Row],[priority]],tbl_sla[priority],tbl_sla[First Response SLA Minutes])</f>
        <v>30</v>
      </c>
      <c r="M718" t="str">
        <f>IF(tbl_analysis_tickets[[#This Row],[resolution_time_hours]]&gt;tbl_analysis_tickets[[#This Row],[Resolution SLA Hours]],"Breached","Within SLA")</f>
        <v>Breached</v>
      </c>
      <c r="N718" t="str">
        <f>IF(tbl_analysis_tickets[[#This Row],[first_response_minutes]]&gt;tbl_analysis_tickets[[#This Row],[First Response SLA Minutes]],"Breached","Within SLA")</f>
        <v>Breached</v>
      </c>
      <c r="O718" t="str" cm="1">
        <f t="array" ref="O718">_xlfn.IFS(
tbl_analysis_tickets[[#This Row],[agent_experience_years]]&lt;=2,"Junior",
tbl_analysis_tickets[[#This Row],[agent_experience_years]]&lt;=5,"Mid-Level",
tbl_analysis_tickets[[#This Row],[agent_experience_years]]&lt;=8,"Senior",
tbl_analysis_tickets[[#This Row],[agent_experience_years]]&gt;8,"Expert"
)</f>
        <v>Senior</v>
      </c>
      <c r="P718" cm="1">
        <f t="array" ref="P718">_xlfn.SWITCH(tbl_analysis_tickets[[#This Row],[customer_satisfaction]],
"Low",1,
"Medium",2,
"High",3
)</f>
        <v>1</v>
      </c>
      <c r="Q718">
        <f>IF(tbl_analysis_tickets[[#This Row],[reopened]]="Yes",1,0)</f>
        <v>1</v>
      </c>
      <c r="R718" t="str" cm="1">
        <f t="array" ref="R718">_xlfn.IFS(
tbl_analysis_tickets[[#This Row],[first_response_minutes]]&lt;=30,"Very Fast",
tbl_analysis_tickets[[#This Row],[first_response_minutes]]&lt;=120,"Acceptable",
tbl_analysis_tickets[[#This Row],[first_response_minutes]]&lt;=240,"Slow",
tbl_analysis_tickets[[#This Row],[first_response_minutes]]&gt;240,"Very Slow"
)</f>
        <v>Slow</v>
      </c>
      <c r="S718" t="str" cm="1">
        <f t="array" ref="S71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718" t="str">
        <f>TEXT(tbl_analysis_tickets[[#This Row],[created_date]],"mmm-yyyy")</f>
        <v>Oct-2024</v>
      </c>
      <c r="U718" t="str">
        <f>TEXT(tbl_analysis_tickets[[#This Row],[created_date]],"dddd")</f>
        <v>Tuesday</v>
      </c>
      <c r="V718" cm="1">
        <f t="array" ref="V718">_xlfn.SWITCH(tbl_analysis_tickets[[#This Row],[priority]],
"Urgent",1,
"High",2,
"Medium",3,
"Low",4
)</f>
        <v>1</v>
      </c>
    </row>
    <row r="719" spans="1:22" x14ac:dyDescent="0.25">
      <c r="A719">
        <v>718</v>
      </c>
      <c r="B719" s="1">
        <v>45381</v>
      </c>
      <c r="C719" t="s">
        <v>14</v>
      </c>
      <c r="D719" t="s">
        <v>15</v>
      </c>
      <c r="E719">
        <v>88</v>
      </c>
      <c r="F719">
        <v>69</v>
      </c>
      <c r="G719">
        <v>5.8</v>
      </c>
      <c r="H719" t="s">
        <v>12</v>
      </c>
      <c r="I719" t="s">
        <v>19</v>
      </c>
      <c r="J719" t="s">
        <v>11</v>
      </c>
      <c r="K719">
        <f>_xlfn.XLOOKUP(tbl_analysis_tickets[[#This Row],[priority]],tbl_sla[priority],tbl_sla[Resolution SLA Hours])</f>
        <v>48</v>
      </c>
      <c r="L719">
        <f>_xlfn.XLOOKUP(tbl_analysis_tickets[[#This Row],[priority]],tbl_sla[priority],tbl_sla[First Response SLA Minutes])</f>
        <v>120</v>
      </c>
      <c r="M719" t="str">
        <f>IF(tbl_analysis_tickets[[#This Row],[resolution_time_hours]]&gt;tbl_analysis_tickets[[#This Row],[Resolution SLA Hours]],"Breached","Within SLA")</f>
        <v>Breached</v>
      </c>
      <c r="N719" t="str">
        <f>IF(tbl_analysis_tickets[[#This Row],[first_response_minutes]]&gt;tbl_analysis_tickets[[#This Row],[First Response SLA Minutes]],"Breached","Within SLA")</f>
        <v>Within SLA</v>
      </c>
      <c r="O719" t="str" cm="1">
        <f t="array" ref="O719">_xlfn.IFS(
tbl_analysis_tickets[[#This Row],[agent_experience_years]]&lt;=2,"Junior",
tbl_analysis_tickets[[#This Row],[agent_experience_years]]&lt;=5,"Mid-Level",
tbl_analysis_tickets[[#This Row],[agent_experience_years]]&lt;=8,"Senior",
tbl_analysis_tickets[[#This Row],[agent_experience_years]]&gt;8,"Expert"
)</f>
        <v>Senior</v>
      </c>
      <c r="P719" cm="1">
        <f t="array" ref="P719">_xlfn.SWITCH(tbl_analysis_tickets[[#This Row],[customer_satisfaction]],
"Low",1,
"Medium",2,
"High",3
)</f>
        <v>1</v>
      </c>
      <c r="Q719">
        <f>IF(tbl_analysis_tickets[[#This Row],[reopened]]="Yes",1,0)</f>
        <v>1</v>
      </c>
      <c r="R719" t="str" cm="1">
        <f t="array" ref="R719">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719" t="str" cm="1">
        <f t="array" ref="S71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719" t="str">
        <f>TEXT(tbl_analysis_tickets[[#This Row],[created_date]],"mmm-yyyy")</f>
        <v>Mar-2024</v>
      </c>
      <c r="U719" t="str">
        <f>TEXT(tbl_analysis_tickets[[#This Row],[created_date]],"dddd")</f>
        <v>Saturday</v>
      </c>
      <c r="V719" cm="1">
        <f t="array" ref="V719">_xlfn.SWITCH(tbl_analysis_tickets[[#This Row],[priority]],
"Urgent",1,
"High",2,
"Medium",3,
"Low",4
)</f>
        <v>3</v>
      </c>
    </row>
    <row r="720" spans="1:22" x14ac:dyDescent="0.25">
      <c r="A720">
        <v>719</v>
      </c>
      <c r="B720" s="1">
        <v>45378</v>
      </c>
      <c r="C720" t="s">
        <v>10</v>
      </c>
      <c r="D720" t="s">
        <v>15</v>
      </c>
      <c r="E720">
        <v>26</v>
      </c>
      <c r="F720">
        <v>19</v>
      </c>
      <c r="G720">
        <v>8.4</v>
      </c>
      <c r="H720" t="s">
        <v>18</v>
      </c>
      <c r="I720" t="s">
        <v>16</v>
      </c>
      <c r="J720" t="s">
        <v>20</v>
      </c>
      <c r="K720">
        <f>_xlfn.XLOOKUP(tbl_analysis_tickets[[#This Row],[priority]],tbl_sla[priority],tbl_sla[Resolution SLA Hours])</f>
        <v>48</v>
      </c>
      <c r="L720">
        <f>_xlfn.XLOOKUP(tbl_analysis_tickets[[#This Row],[priority]],tbl_sla[priority],tbl_sla[First Response SLA Minutes])</f>
        <v>120</v>
      </c>
      <c r="M720" t="str">
        <f>IF(tbl_analysis_tickets[[#This Row],[resolution_time_hours]]&gt;tbl_analysis_tickets[[#This Row],[Resolution SLA Hours]],"Breached","Within SLA")</f>
        <v>Within SLA</v>
      </c>
      <c r="N720" t="str">
        <f>IF(tbl_analysis_tickets[[#This Row],[first_response_minutes]]&gt;tbl_analysis_tickets[[#This Row],[First Response SLA Minutes]],"Breached","Within SLA")</f>
        <v>Within SLA</v>
      </c>
      <c r="O720" t="str" cm="1">
        <f t="array" ref="O720">_xlfn.IFS(
tbl_analysis_tickets[[#This Row],[agent_experience_years]]&lt;=2,"Junior",
tbl_analysis_tickets[[#This Row],[agent_experience_years]]&lt;=5,"Mid-Level",
tbl_analysis_tickets[[#This Row],[agent_experience_years]]&lt;=8,"Senior",
tbl_analysis_tickets[[#This Row],[agent_experience_years]]&gt;8,"Expert"
)</f>
        <v>Expert</v>
      </c>
      <c r="P720" cm="1">
        <f t="array" ref="P720">_xlfn.SWITCH(tbl_analysis_tickets[[#This Row],[customer_satisfaction]],
"Low",1,
"Medium",2,
"High",3
)</f>
        <v>3</v>
      </c>
      <c r="Q720">
        <f>IF(tbl_analysis_tickets[[#This Row],[reopened]]="Yes",1,0)</f>
        <v>0</v>
      </c>
      <c r="R720" t="str" cm="1">
        <f t="array" ref="R720">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720" t="str" cm="1">
        <f t="array" ref="S72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720" t="str">
        <f>TEXT(tbl_analysis_tickets[[#This Row],[created_date]],"mmm-yyyy")</f>
        <v>Mar-2024</v>
      </c>
      <c r="U720" t="str">
        <f>TEXT(tbl_analysis_tickets[[#This Row],[created_date]],"dddd")</f>
        <v>Wednesday</v>
      </c>
      <c r="V720" cm="1">
        <f t="array" ref="V720">_xlfn.SWITCH(tbl_analysis_tickets[[#This Row],[priority]],
"Urgent",1,
"High",2,
"Medium",3,
"Low",4
)</f>
        <v>3</v>
      </c>
    </row>
    <row r="721" spans="1:22" x14ac:dyDescent="0.25">
      <c r="A721">
        <v>720</v>
      </c>
      <c r="B721" s="1">
        <v>45483</v>
      </c>
      <c r="C721" t="s">
        <v>14</v>
      </c>
      <c r="D721" t="s">
        <v>17</v>
      </c>
      <c r="E721">
        <v>72</v>
      </c>
      <c r="F721">
        <v>31</v>
      </c>
      <c r="G721">
        <v>3.2</v>
      </c>
      <c r="H721" t="s">
        <v>18</v>
      </c>
      <c r="I721" t="s">
        <v>13</v>
      </c>
      <c r="J721" t="s">
        <v>11</v>
      </c>
      <c r="K721">
        <f>_xlfn.XLOOKUP(tbl_analysis_tickets[[#This Row],[priority]],tbl_sla[priority],tbl_sla[Resolution SLA Hours])</f>
        <v>8</v>
      </c>
      <c r="L721">
        <f>_xlfn.XLOOKUP(tbl_analysis_tickets[[#This Row],[priority]],tbl_sla[priority],tbl_sla[First Response SLA Minutes])</f>
        <v>30</v>
      </c>
      <c r="M721" t="str">
        <f>IF(tbl_analysis_tickets[[#This Row],[resolution_time_hours]]&gt;tbl_analysis_tickets[[#This Row],[Resolution SLA Hours]],"Breached","Within SLA")</f>
        <v>Breached</v>
      </c>
      <c r="N721" t="str">
        <f>IF(tbl_analysis_tickets[[#This Row],[first_response_minutes]]&gt;tbl_analysis_tickets[[#This Row],[First Response SLA Minutes]],"Breached","Within SLA")</f>
        <v>Breached</v>
      </c>
      <c r="O721" t="str" cm="1">
        <f t="array" ref="O721">_xlfn.IFS(
tbl_analysis_tickets[[#This Row],[agent_experience_years]]&lt;=2,"Junior",
tbl_analysis_tickets[[#This Row],[agent_experience_years]]&lt;=5,"Mid-Level",
tbl_analysis_tickets[[#This Row],[agent_experience_years]]&lt;=8,"Senior",
tbl_analysis_tickets[[#This Row],[agent_experience_years]]&gt;8,"Expert"
)</f>
        <v>Mid-Level</v>
      </c>
      <c r="P721" cm="1">
        <f t="array" ref="P721">_xlfn.SWITCH(tbl_analysis_tickets[[#This Row],[customer_satisfaction]],
"Low",1,
"Medium",2,
"High",3
)</f>
        <v>1</v>
      </c>
      <c r="Q721">
        <f>IF(tbl_analysis_tickets[[#This Row],[reopened]]="Yes",1,0)</f>
        <v>0</v>
      </c>
      <c r="R721" t="str" cm="1">
        <f t="array" ref="R721">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721" t="str" cm="1">
        <f t="array" ref="S72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721" t="str">
        <f>TEXT(tbl_analysis_tickets[[#This Row],[created_date]],"mmm-yyyy")</f>
        <v>Jul-2024</v>
      </c>
      <c r="U721" t="str">
        <f>TEXT(tbl_analysis_tickets[[#This Row],[created_date]],"dddd")</f>
        <v>Wednesday</v>
      </c>
      <c r="V721" cm="1">
        <f t="array" ref="V721">_xlfn.SWITCH(tbl_analysis_tickets[[#This Row],[priority]],
"Urgent",1,
"High",2,
"Medium",3,
"Low",4
)</f>
        <v>1</v>
      </c>
    </row>
    <row r="722" spans="1:22" x14ac:dyDescent="0.25">
      <c r="A722">
        <v>721</v>
      </c>
      <c r="B722" s="1">
        <v>45477</v>
      </c>
      <c r="C722" t="s">
        <v>21</v>
      </c>
      <c r="D722" t="s">
        <v>11</v>
      </c>
      <c r="E722">
        <v>201</v>
      </c>
      <c r="F722">
        <v>50</v>
      </c>
      <c r="G722">
        <v>1</v>
      </c>
      <c r="H722" t="s">
        <v>12</v>
      </c>
      <c r="I722" t="s">
        <v>16</v>
      </c>
      <c r="J722" t="s">
        <v>11</v>
      </c>
      <c r="K722">
        <f>_xlfn.XLOOKUP(tbl_analysis_tickets[[#This Row],[priority]],tbl_sla[priority],tbl_sla[Resolution SLA Hours])</f>
        <v>72</v>
      </c>
      <c r="L722">
        <f>_xlfn.XLOOKUP(tbl_analysis_tickets[[#This Row],[priority]],tbl_sla[priority],tbl_sla[First Response SLA Minutes])</f>
        <v>240</v>
      </c>
      <c r="M722" t="str">
        <f>IF(tbl_analysis_tickets[[#This Row],[resolution_time_hours]]&gt;tbl_analysis_tickets[[#This Row],[Resolution SLA Hours]],"Breached","Within SLA")</f>
        <v>Within SLA</v>
      </c>
      <c r="N722" t="str">
        <f>IF(tbl_analysis_tickets[[#This Row],[first_response_minutes]]&gt;tbl_analysis_tickets[[#This Row],[First Response SLA Minutes]],"Breached","Within SLA")</f>
        <v>Within SLA</v>
      </c>
      <c r="O722" t="str" cm="1">
        <f t="array" ref="O722">_xlfn.IFS(
tbl_analysis_tickets[[#This Row],[agent_experience_years]]&lt;=2,"Junior",
tbl_analysis_tickets[[#This Row],[agent_experience_years]]&lt;=5,"Mid-Level",
tbl_analysis_tickets[[#This Row],[agent_experience_years]]&lt;=8,"Senior",
tbl_analysis_tickets[[#This Row],[agent_experience_years]]&gt;8,"Expert"
)</f>
        <v>Junior</v>
      </c>
      <c r="P722" cm="1">
        <f t="array" ref="P722">_xlfn.SWITCH(tbl_analysis_tickets[[#This Row],[customer_satisfaction]],
"Low",1,
"Medium",2,
"High",3
)</f>
        <v>1</v>
      </c>
      <c r="Q722">
        <f>IF(tbl_analysis_tickets[[#This Row],[reopened]]="Yes",1,0)</f>
        <v>1</v>
      </c>
      <c r="R722" t="str" cm="1">
        <f t="array" ref="R722">_xlfn.IFS(
tbl_analysis_tickets[[#This Row],[first_response_minutes]]&lt;=30,"Very Fast",
tbl_analysis_tickets[[#This Row],[first_response_minutes]]&lt;=120,"Acceptable",
tbl_analysis_tickets[[#This Row],[first_response_minutes]]&lt;=240,"Slow",
tbl_analysis_tickets[[#This Row],[first_response_minutes]]&gt;240,"Very Slow"
)</f>
        <v>Slow</v>
      </c>
      <c r="S722" t="str" cm="1">
        <f t="array" ref="S72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722" t="str">
        <f>TEXT(tbl_analysis_tickets[[#This Row],[created_date]],"mmm-yyyy")</f>
        <v>Jul-2024</v>
      </c>
      <c r="U722" t="str">
        <f>TEXT(tbl_analysis_tickets[[#This Row],[created_date]],"dddd")</f>
        <v>Thursday</v>
      </c>
      <c r="V722" cm="1">
        <f t="array" ref="V722">_xlfn.SWITCH(tbl_analysis_tickets[[#This Row],[priority]],
"Urgent",1,
"High",2,
"Medium",3,
"Low",4
)</f>
        <v>4</v>
      </c>
    </row>
    <row r="723" spans="1:22" x14ac:dyDescent="0.25">
      <c r="A723">
        <v>722</v>
      </c>
      <c r="B723" s="1">
        <v>45294</v>
      </c>
      <c r="C723" t="s">
        <v>23</v>
      </c>
      <c r="D723" t="s">
        <v>15</v>
      </c>
      <c r="E723">
        <v>155</v>
      </c>
      <c r="F723">
        <v>17</v>
      </c>
      <c r="G723">
        <v>8</v>
      </c>
      <c r="H723" t="s">
        <v>12</v>
      </c>
      <c r="I723" t="s">
        <v>13</v>
      </c>
      <c r="J723" t="s">
        <v>11</v>
      </c>
      <c r="K723">
        <f>_xlfn.XLOOKUP(tbl_analysis_tickets[[#This Row],[priority]],tbl_sla[priority],tbl_sla[Resolution SLA Hours])</f>
        <v>48</v>
      </c>
      <c r="L723">
        <f>_xlfn.XLOOKUP(tbl_analysis_tickets[[#This Row],[priority]],tbl_sla[priority],tbl_sla[First Response SLA Minutes])</f>
        <v>120</v>
      </c>
      <c r="M723" t="str">
        <f>IF(tbl_analysis_tickets[[#This Row],[resolution_time_hours]]&gt;tbl_analysis_tickets[[#This Row],[Resolution SLA Hours]],"Breached","Within SLA")</f>
        <v>Within SLA</v>
      </c>
      <c r="N723" t="str">
        <f>IF(tbl_analysis_tickets[[#This Row],[first_response_minutes]]&gt;tbl_analysis_tickets[[#This Row],[First Response SLA Minutes]],"Breached","Within SLA")</f>
        <v>Breached</v>
      </c>
      <c r="O723" t="str" cm="1">
        <f t="array" ref="O723">_xlfn.IFS(
tbl_analysis_tickets[[#This Row],[agent_experience_years]]&lt;=2,"Junior",
tbl_analysis_tickets[[#This Row],[agent_experience_years]]&lt;=5,"Mid-Level",
tbl_analysis_tickets[[#This Row],[agent_experience_years]]&lt;=8,"Senior",
tbl_analysis_tickets[[#This Row],[agent_experience_years]]&gt;8,"Expert"
)</f>
        <v>Senior</v>
      </c>
      <c r="P723" cm="1">
        <f t="array" ref="P723">_xlfn.SWITCH(tbl_analysis_tickets[[#This Row],[customer_satisfaction]],
"Low",1,
"Medium",2,
"High",3
)</f>
        <v>1</v>
      </c>
      <c r="Q723">
        <f>IF(tbl_analysis_tickets[[#This Row],[reopened]]="Yes",1,0)</f>
        <v>1</v>
      </c>
      <c r="R723" t="str" cm="1">
        <f t="array" ref="R723">_xlfn.IFS(
tbl_analysis_tickets[[#This Row],[first_response_minutes]]&lt;=30,"Very Fast",
tbl_analysis_tickets[[#This Row],[first_response_minutes]]&lt;=120,"Acceptable",
tbl_analysis_tickets[[#This Row],[first_response_minutes]]&lt;=240,"Slow",
tbl_analysis_tickets[[#This Row],[first_response_minutes]]&gt;240,"Very Slow"
)</f>
        <v>Slow</v>
      </c>
      <c r="S723" t="str" cm="1">
        <f t="array" ref="S72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723" t="str">
        <f>TEXT(tbl_analysis_tickets[[#This Row],[created_date]],"mmm-yyyy")</f>
        <v>Jan-2024</v>
      </c>
      <c r="U723" t="str">
        <f>TEXT(tbl_analysis_tickets[[#This Row],[created_date]],"dddd")</f>
        <v>Wednesday</v>
      </c>
      <c r="V723" cm="1">
        <f t="array" ref="V723">_xlfn.SWITCH(tbl_analysis_tickets[[#This Row],[priority]],
"Urgent",1,
"High",2,
"Medium",3,
"Low",4
)</f>
        <v>3</v>
      </c>
    </row>
    <row r="724" spans="1:22" x14ac:dyDescent="0.25">
      <c r="A724">
        <v>723</v>
      </c>
      <c r="B724" s="1">
        <v>45496</v>
      </c>
      <c r="C724" t="s">
        <v>23</v>
      </c>
      <c r="D724" t="s">
        <v>15</v>
      </c>
      <c r="E724">
        <v>74</v>
      </c>
      <c r="F724">
        <v>61</v>
      </c>
      <c r="G724">
        <v>5.4</v>
      </c>
      <c r="H724" t="s">
        <v>18</v>
      </c>
      <c r="I724" t="s">
        <v>13</v>
      </c>
      <c r="J724" t="s">
        <v>15</v>
      </c>
      <c r="K724">
        <f>_xlfn.XLOOKUP(tbl_analysis_tickets[[#This Row],[priority]],tbl_sla[priority],tbl_sla[Resolution SLA Hours])</f>
        <v>48</v>
      </c>
      <c r="L724">
        <f>_xlfn.XLOOKUP(tbl_analysis_tickets[[#This Row],[priority]],tbl_sla[priority],tbl_sla[First Response SLA Minutes])</f>
        <v>120</v>
      </c>
      <c r="M724" t="str">
        <f>IF(tbl_analysis_tickets[[#This Row],[resolution_time_hours]]&gt;tbl_analysis_tickets[[#This Row],[Resolution SLA Hours]],"Breached","Within SLA")</f>
        <v>Breached</v>
      </c>
      <c r="N724" t="str">
        <f>IF(tbl_analysis_tickets[[#This Row],[first_response_minutes]]&gt;tbl_analysis_tickets[[#This Row],[First Response SLA Minutes]],"Breached","Within SLA")</f>
        <v>Within SLA</v>
      </c>
      <c r="O724" t="str" cm="1">
        <f t="array" ref="O724">_xlfn.IFS(
tbl_analysis_tickets[[#This Row],[agent_experience_years]]&lt;=2,"Junior",
tbl_analysis_tickets[[#This Row],[agent_experience_years]]&lt;=5,"Mid-Level",
tbl_analysis_tickets[[#This Row],[agent_experience_years]]&lt;=8,"Senior",
tbl_analysis_tickets[[#This Row],[agent_experience_years]]&gt;8,"Expert"
)</f>
        <v>Senior</v>
      </c>
      <c r="P724" cm="1">
        <f t="array" ref="P724">_xlfn.SWITCH(tbl_analysis_tickets[[#This Row],[customer_satisfaction]],
"Low",1,
"Medium",2,
"High",3
)</f>
        <v>2</v>
      </c>
      <c r="Q724">
        <f>IF(tbl_analysis_tickets[[#This Row],[reopened]]="Yes",1,0)</f>
        <v>0</v>
      </c>
      <c r="R724" t="str" cm="1">
        <f t="array" ref="R724">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724" t="str" cm="1">
        <f t="array" ref="S72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724" t="str">
        <f>TEXT(tbl_analysis_tickets[[#This Row],[created_date]],"mmm-yyyy")</f>
        <v>Jul-2024</v>
      </c>
      <c r="U724" t="str">
        <f>TEXT(tbl_analysis_tickets[[#This Row],[created_date]],"dddd")</f>
        <v>Tuesday</v>
      </c>
      <c r="V724" cm="1">
        <f t="array" ref="V724">_xlfn.SWITCH(tbl_analysis_tickets[[#This Row],[priority]],
"Urgent",1,
"High",2,
"Medium",3,
"Low",4
)</f>
        <v>3</v>
      </c>
    </row>
    <row r="725" spans="1:22" x14ac:dyDescent="0.25">
      <c r="A725">
        <v>724</v>
      </c>
      <c r="B725" s="1">
        <v>45636</v>
      </c>
      <c r="C725" t="s">
        <v>14</v>
      </c>
      <c r="D725" t="s">
        <v>11</v>
      </c>
      <c r="E725">
        <v>76</v>
      </c>
      <c r="F725">
        <v>8</v>
      </c>
      <c r="G725">
        <v>6.5</v>
      </c>
      <c r="H725" t="s">
        <v>12</v>
      </c>
      <c r="I725" t="s">
        <v>16</v>
      </c>
      <c r="J725" t="s">
        <v>11</v>
      </c>
      <c r="K725">
        <f>_xlfn.XLOOKUP(tbl_analysis_tickets[[#This Row],[priority]],tbl_sla[priority],tbl_sla[Resolution SLA Hours])</f>
        <v>72</v>
      </c>
      <c r="L725">
        <f>_xlfn.XLOOKUP(tbl_analysis_tickets[[#This Row],[priority]],tbl_sla[priority],tbl_sla[First Response SLA Minutes])</f>
        <v>240</v>
      </c>
      <c r="M725" t="str">
        <f>IF(tbl_analysis_tickets[[#This Row],[resolution_time_hours]]&gt;tbl_analysis_tickets[[#This Row],[Resolution SLA Hours]],"Breached","Within SLA")</f>
        <v>Within SLA</v>
      </c>
      <c r="N725" t="str">
        <f>IF(tbl_analysis_tickets[[#This Row],[first_response_minutes]]&gt;tbl_analysis_tickets[[#This Row],[First Response SLA Minutes]],"Breached","Within SLA")</f>
        <v>Within SLA</v>
      </c>
      <c r="O725" t="str" cm="1">
        <f t="array" ref="O725">_xlfn.IFS(
tbl_analysis_tickets[[#This Row],[agent_experience_years]]&lt;=2,"Junior",
tbl_analysis_tickets[[#This Row],[agent_experience_years]]&lt;=5,"Mid-Level",
tbl_analysis_tickets[[#This Row],[agent_experience_years]]&lt;=8,"Senior",
tbl_analysis_tickets[[#This Row],[agent_experience_years]]&gt;8,"Expert"
)</f>
        <v>Senior</v>
      </c>
      <c r="P725" cm="1">
        <f t="array" ref="P725">_xlfn.SWITCH(tbl_analysis_tickets[[#This Row],[customer_satisfaction]],
"Low",1,
"Medium",2,
"High",3
)</f>
        <v>1</v>
      </c>
      <c r="Q725">
        <f>IF(tbl_analysis_tickets[[#This Row],[reopened]]="Yes",1,0)</f>
        <v>1</v>
      </c>
      <c r="R725" t="str" cm="1">
        <f t="array" ref="R725">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725" t="str" cm="1">
        <f t="array" ref="S72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725" t="str">
        <f>TEXT(tbl_analysis_tickets[[#This Row],[created_date]],"mmm-yyyy")</f>
        <v>Dec-2024</v>
      </c>
      <c r="U725" t="str">
        <f>TEXT(tbl_analysis_tickets[[#This Row],[created_date]],"dddd")</f>
        <v>Tuesday</v>
      </c>
      <c r="V725" cm="1">
        <f t="array" ref="V725">_xlfn.SWITCH(tbl_analysis_tickets[[#This Row],[priority]],
"Urgent",1,
"High",2,
"Medium",3,
"Low",4
)</f>
        <v>4</v>
      </c>
    </row>
    <row r="726" spans="1:22" x14ac:dyDescent="0.25">
      <c r="A726">
        <v>725</v>
      </c>
      <c r="B726" s="1">
        <v>45635</v>
      </c>
      <c r="C726" t="s">
        <v>22</v>
      </c>
      <c r="D726" t="s">
        <v>17</v>
      </c>
      <c r="E726">
        <v>31</v>
      </c>
      <c r="F726">
        <v>67</v>
      </c>
      <c r="G726">
        <v>6.6</v>
      </c>
      <c r="H726" t="s">
        <v>18</v>
      </c>
      <c r="I726" t="s">
        <v>13</v>
      </c>
      <c r="J726" t="s">
        <v>11</v>
      </c>
      <c r="K726">
        <f>_xlfn.XLOOKUP(tbl_analysis_tickets[[#This Row],[priority]],tbl_sla[priority],tbl_sla[Resolution SLA Hours])</f>
        <v>8</v>
      </c>
      <c r="L726">
        <f>_xlfn.XLOOKUP(tbl_analysis_tickets[[#This Row],[priority]],tbl_sla[priority],tbl_sla[First Response SLA Minutes])</f>
        <v>30</v>
      </c>
      <c r="M726" t="str">
        <f>IF(tbl_analysis_tickets[[#This Row],[resolution_time_hours]]&gt;tbl_analysis_tickets[[#This Row],[Resolution SLA Hours]],"Breached","Within SLA")</f>
        <v>Breached</v>
      </c>
      <c r="N726" t="str">
        <f>IF(tbl_analysis_tickets[[#This Row],[first_response_minutes]]&gt;tbl_analysis_tickets[[#This Row],[First Response SLA Minutes]],"Breached","Within SLA")</f>
        <v>Breached</v>
      </c>
      <c r="O726" t="str" cm="1">
        <f t="array" ref="O726">_xlfn.IFS(
tbl_analysis_tickets[[#This Row],[agent_experience_years]]&lt;=2,"Junior",
tbl_analysis_tickets[[#This Row],[agent_experience_years]]&lt;=5,"Mid-Level",
tbl_analysis_tickets[[#This Row],[agent_experience_years]]&lt;=8,"Senior",
tbl_analysis_tickets[[#This Row],[agent_experience_years]]&gt;8,"Expert"
)</f>
        <v>Senior</v>
      </c>
      <c r="P726" cm="1">
        <f t="array" ref="P726">_xlfn.SWITCH(tbl_analysis_tickets[[#This Row],[customer_satisfaction]],
"Low",1,
"Medium",2,
"High",3
)</f>
        <v>1</v>
      </c>
      <c r="Q726">
        <f>IF(tbl_analysis_tickets[[#This Row],[reopened]]="Yes",1,0)</f>
        <v>0</v>
      </c>
      <c r="R726" t="str" cm="1">
        <f t="array" ref="R726">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726" t="str" cm="1">
        <f t="array" ref="S72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726" t="str">
        <f>TEXT(tbl_analysis_tickets[[#This Row],[created_date]],"mmm-yyyy")</f>
        <v>Dec-2024</v>
      </c>
      <c r="U726" t="str">
        <f>TEXT(tbl_analysis_tickets[[#This Row],[created_date]],"dddd")</f>
        <v>Monday</v>
      </c>
      <c r="V726" cm="1">
        <f t="array" ref="V726">_xlfn.SWITCH(tbl_analysis_tickets[[#This Row],[priority]],
"Urgent",1,
"High",2,
"Medium",3,
"Low",4
)</f>
        <v>1</v>
      </c>
    </row>
    <row r="727" spans="1:22" x14ac:dyDescent="0.25">
      <c r="A727">
        <v>726</v>
      </c>
      <c r="B727" s="1">
        <v>45594</v>
      </c>
      <c r="C727" t="s">
        <v>22</v>
      </c>
      <c r="D727" t="s">
        <v>15</v>
      </c>
      <c r="E727">
        <v>97</v>
      </c>
      <c r="F727">
        <v>19</v>
      </c>
      <c r="G727">
        <v>3.5</v>
      </c>
      <c r="H727" t="s">
        <v>18</v>
      </c>
      <c r="I727" t="s">
        <v>16</v>
      </c>
      <c r="J727" t="s">
        <v>11</v>
      </c>
      <c r="K727">
        <f>_xlfn.XLOOKUP(tbl_analysis_tickets[[#This Row],[priority]],tbl_sla[priority],tbl_sla[Resolution SLA Hours])</f>
        <v>48</v>
      </c>
      <c r="L727">
        <f>_xlfn.XLOOKUP(tbl_analysis_tickets[[#This Row],[priority]],tbl_sla[priority],tbl_sla[First Response SLA Minutes])</f>
        <v>120</v>
      </c>
      <c r="M727" t="str">
        <f>IF(tbl_analysis_tickets[[#This Row],[resolution_time_hours]]&gt;tbl_analysis_tickets[[#This Row],[Resolution SLA Hours]],"Breached","Within SLA")</f>
        <v>Within SLA</v>
      </c>
      <c r="N727" t="str">
        <f>IF(tbl_analysis_tickets[[#This Row],[first_response_minutes]]&gt;tbl_analysis_tickets[[#This Row],[First Response SLA Minutes]],"Breached","Within SLA")</f>
        <v>Within SLA</v>
      </c>
      <c r="O727" t="str" cm="1">
        <f t="array" ref="O727">_xlfn.IFS(
tbl_analysis_tickets[[#This Row],[agent_experience_years]]&lt;=2,"Junior",
tbl_analysis_tickets[[#This Row],[agent_experience_years]]&lt;=5,"Mid-Level",
tbl_analysis_tickets[[#This Row],[agent_experience_years]]&lt;=8,"Senior",
tbl_analysis_tickets[[#This Row],[agent_experience_years]]&gt;8,"Expert"
)</f>
        <v>Mid-Level</v>
      </c>
      <c r="P727" cm="1">
        <f t="array" ref="P727">_xlfn.SWITCH(tbl_analysis_tickets[[#This Row],[customer_satisfaction]],
"Low",1,
"Medium",2,
"High",3
)</f>
        <v>1</v>
      </c>
      <c r="Q727">
        <f>IF(tbl_analysis_tickets[[#This Row],[reopened]]="Yes",1,0)</f>
        <v>0</v>
      </c>
      <c r="R727" t="str" cm="1">
        <f t="array" ref="R727">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727" t="str" cm="1">
        <f t="array" ref="S72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727" t="str">
        <f>TEXT(tbl_analysis_tickets[[#This Row],[created_date]],"mmm-yyyy")</f>
        <v>Oct-2024</v>
      </c>
      <c r="U727" t="str">
        <f>TEXT(tbl_analysis_tickets[[#This Row],[created_date]],"dddd")</f>
        <v>Tuesday</v>
      </c>
      <c r="V727" cm="1">
        <f t="array" ref="V727">_xlfn.SWITCH(tbl_analysis_tickets[[#This Row],[priority]],
"Urgent",1,
"High",2,
"Medium",3,
"Low",4
)</f>
        <v>3</v>
      </c>
    </row>
    <row r="728" spans="1:22" x14ac:dyDescent="0.25">
      <c r="A728">
        <v>727</v>
      </c>
      <c r="B728" s="1">
        <v>45341</v>
      </c>
      <c r="C728" t="s">
        <v>23</v>
      </c>
      <c r="D728" t="s">
        <v>11</v>
      </c>
      <c r="E728">
        <v>127</v>
      </c>
      <c r="F728">
        <v>48</v>
      </c>
      <c r="G728">
        <v>4.5999999999999996</v>
      </c>
      <c r="H728" t="s">
        <v>18</v>
      </c>
      <c r="I728" t="s">
        <v>13</v>
      </c>
      <c r="J728" t="s">
        <v>11</v>
      </c>
      <c r="K728">
        <f>_xlfn.XLOOKUP(tbl_analysis_tickets[[#This Row],[priority]],tbl_sla[priority],tbl_sla[Resolution SLA Hours])</f>
        <v>72</v>
      </c>
      <c r="L728">
        <f>_xlfn.XLOOKUP(tbl_analysis_tickets[[#This Row],[priority]],tbl_sla[priority],tbl_sla[First Response SLA Minutes])</f>
        <v>240</v>
      </c>
      <c r="M728" t="str">
        <f>IF(tbl_analysis_tickets[[#This Row],[resolution_time_hours]]&gt;tbl_analysis_tickets[[#This Row],[Resolution SLA Hours]],"Breached","Within SLA")</f>
        <v>Within SLA</v>
      </c>
      <c r="N728" t="str">
        <f>IF(tbl_analysis_tickets[[#This Row],[first_response_minutes]]&gt;tbl_analysis_tickets[[#This Row],[First Response SLA Minutes]],"Breached","Within SLA")</f>
        <v>Within SLA</v>
      </c>
      <c r="O728" t="str" cm="1">
        <f t="array" ref="O728">_xlfn.IFS(
tbl_analysis_tickets[[#This Row],[agent_experience_years]]&lt;=2,"Junior",
tbl_analysis_tickets[[#This Row],[agent_experience_years]]&lt;=5,"Mid-Level",
tbl_analysis_tickets[[#This Row],[agent_experience_years]]&lt;=8,"Senior",
tbl_analysis_tickets[[#This Row],[agent_experience_years]]&gt;8,"Expert"
)</f>
        <v>Mid-Level</v>
      </c>
      <c r="P728" cm="1">
        <f t="array" ref="P728">_xlfn.SWITCH(tbl_analysis_tickets[[#This Row],[customer_satisfaction]],
"Low",1,
"Medium",2,
"High",3
)</f>
        <v>1</v>
      </c>
      <c r="Q728">
        <f>IF(tbl_analysis_tickets[[#This Row],[reopened]]="Yes",1,0)</f>
        <v>0</v>
      </c>
      <c r="R728" t="str" cm="1">
        <f t="array" ref="R728">_xlfn.IFS(
tbl_analysis_tickets[[#This Row],[first_response_minutes]]&lt;=30,"Very Fast",
tbl_analysis_tickets[[#This Row],[first_response_minutes]]&lt;=120,"Acceptable",
tbl_analysis_tickets[[#This Row],[first_response_minutes]]&lt;=240,"Slow",
tbl_analysis_tickets[[#This Row],[first_response_minutes]]&gt;240,"Very Slow"
)</f>
        <v>Slow</v>
      </c>
      <c r="S728" t="str" cm="1">
        <f t="array" ref="S72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728" t="str">
        <f>TEXT(tbl_analysis_tickets[[#This Row],[created_date]],"mmm-yyyy")</f>
        <v>Feb-2024</v>
      </c>
      <c r="U728" t="str">
        <f>TEXT(tbl_analysis_tickets[[#This Row],[created_date]],"dddd")</f>
        <v>Monday</v>
      </c>
      <c r="V728" cm="1">
        <f t="array" ref="V728">_xlfn.SWITCH(tbl_analysis_tickets[[#This Row],[priority]],
"Urgent",1,
"High",2,
"Medium",3,
"Low",4
)</f>
        <v>4</v>
      </c>
    </row>
    <row r="729" spans="1:22" x14ac:dyDescent="0.25">
      <c r="A729">
        <v>728</v>
      </c>
      <c r="B729" s="1">
        <v>45374</v>
      </c>
      <c r="C729" t="s">
        <v>14</v>
      </c>
      <c r="D729" t="s">
        <v>15</v>
      </c>
      <c r="E729">
        <v>103</v>
      </c>
      <c r="F729">
        <v>44</v>
      </c>
      <c r="G729">
        <v>9.3000000000000007</v>
      </c>
      <c r="H729" t="s">
        <v>12</v>
      </c>
      <c r="I729" t="s">
        <v>19</v>
      </c>
      <c r="J729" t="s">
        <v>11</v>
      </c>
      <c r="K729">
        <f>_xlfn.XLOOKUP(tbl_analysis_tickets[[#This Row],[priority]],tbl_sla[priority],tbl_sla[Resolution SLA Hours])</f>
        <v>48</v>
      </c>
      <c r="L729">
        <f>_xlfn.XLOOKUP(tbl_analysis_tickets[[#This Row],[priority]],tbl_sla[priority],tbl_sla[First Response SLA Minutes])</f>
        <v>120</v>
      </c>
      <c r="M729" t="str">
        <f>IF(tbl_analysis_tickets[[#This Row],[resolution_time_hours]]&gt;tbl_analysis_tickets[[#This Row],[Resolution SLA Hours]],"Breached","Within SLA")</f>
        <v>Within SLA</v>
      </c>
      <c r="N729" t="str">
        <f>IF(tbl_analysis_tickets[[#This Row],[first_response_minutes]]&gt;tbl_analysis_tickets[[#This Row],[First Response SLA Minutes]],"Breached","Within SLA")</f>
        <v>Within SLA</v>
      </c>
      <c r="O729" t="str" cm="1">
        <f t="array" ref="O729">_xlfn.IFS(
tbl_analysis_tickets[[#This Row],[agent_experience_years]]&lt;=2,"Junior",
tbl_analysis_tickets[[#This Row],[agent_experience_years]]&lt;=5,"Mid-Level",
tbl_analysis_tickets[[#This Row],[agent_experience_years]]&lt;=8,"Senior",
tbl_analysis_tickets[[#This Row],[agent_experience_years]]&gt;8,"Expert"
)</f>
        <v>Expert</v>
      </c>
      <c r="P729" cm="1">
        <f t="array" ref="P729">_xlfn.SWITCH(tbl_analysis_tickets[[#This Row],[customer_satisfaction]],
"Low",1,
"Medium",2,
"High",3
)</f>
        <v>1</v>
      </c>
      <c r="Q729">
        <f>IF(tbl_analysis_tickets[[#This Row],[reopened]]="Yes",1,0)</f>
        <v>1</v>
      </c>
      <c r="R729" t="str" cm="1">
        <f t="array" ref="R729">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729" t="str" cm="1">
        <f t="array" ref="S72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729" t="str">
        <f>TEXT(tbl_analysis_tickets[[#This Row],[created_date]],"mmm-yyyy")</f>
        <v>Mar-2024</v>
      </c>
      <c r="U729" t="str">
        <f>TEXT(tbl_analysis_tickets[[#This Row],[created_date]],"dddd")</f>
        <v>Saturday</v>
      </c>
      <c r="V729" cm="1">
        <f t="array" ref="V729">_xlfn.SWITCH(tbl_analysis_tickets[[#This Row],[priority]],
"Urgent",1,
"High",2,
"Medium",3,
"Low",4
)</f>
        <v>3</v>
      </c>
    </row>
    <row r="730" spans="1:22" x14ac:dyDescent="0.25">
      <c r="A730">
        <v>729</v>
      </c>
      <c r="B730" s="1">
        <v>45623</v>
      </c>
      <c r="C730" t="s">
        <v>10</v>
      </c>
      <c r="D730" t="s">
        <v>20</v>
      </c>
      <c r="E730">
        <v>129</v>
      </c>
      <c r="F730">
        <v>30</v>
      </c>
      <c r="G730">
        <v>7.4</v>
      </c>
      <c r="H730" t="s">
        <v>12</v>
      </c>
      <c r="I730" t="s">
        <v>16</v>
      </c>
      <c r="J730" t="s">
        <v>11</v>
      </c>
      <c r="K730">
        <f>_xlfn.XLOOKUP(tbl_analysis_tickets[[#This Row],[priority]],tbl_sla[priority],tbl_sla[Resolution SLA Hours])</f>
        <v>24</v>
      </c>
      <c r="L730">
        <f>_xlfn.XLOOKUP(tbl_analysis_tickets[[#This Row],[priority]],tbl_sla[priority],tbl_sla[First Response SLA Minutes])</f>
        <v>60</v>
      </c>
      <c r="M730" t="str">
        <f>IF(tbl_analysis_tickets[[#This Row],[resolution_time_hours]]&gt;tbl_analysis_tickets[[#This Row],[Resolution SLA Hours]],"Breached","Within SLA")</f>
        <v>Breached</v>
      </c>
      <c r="N730" t="str">
        <f>IF(tbl_analysis_tickets[[#This Row],[first_response_minutes]]&gt;tbl_analysis_tickets[[#This Row],[First Response SLA Minutes]],"Breached","Within SLA")</f>
        <v>Breached</v>
      </c>
      <c r="O730" t="str" cm="1">
        <f t="array" ref="O730">_xlfn.IFS(
tbl_analysis_tickets[[#This Row],[agent_experience_years]]&lt;=2,"Junior",
tbl_analysis_tickets[[#This Row],[agent_experience_years]]&lt;=5,"Mid-Level",
tbl_analysis_tickets[[#This Row],[agent_experience_years]]&lt;=8,"Senior",
tbl_analysis_tickets[[#This Row],[agent_experience_years]]&gt;8,"Expert"
)</f>
        <v>Senior</v>
      </c>
      <c r="P730" cm="1">
        <f t="array" ref="P730">_xlfn.SWITCH(tbl_analysis_tickets[[#This Row],[customer_satisfaction]],
"Low",1,
"Medium",2,
"High",3
)</f>
        <v>1</v>
      </c>
      <c r="Q730">
        <f>IF(tbl_analysis_tickets[[#This Row],[reopened]]="Yes",1,0)</f>
        <v>1</v>
      </c>
      <c r="R730" t="str" cm="1">
        <f t="array" ref="R730">_xlfn.IFS(
tbl_analysis_tickets[[#This Row],[first_response_minutes]]&lt;=30,"Very Fast",
tbl_analysis_tickets[[#This Row],[first_response_minutes]]&lt;=120,"Acceptable",
tbl_analysis_tickets[[#This Row],[first_response_minutes]]&lt;=240,"Slow",
tbl_analysis_tickets[[#This Row],[first_response_minutes]]&gt;240,"Very Slow"
)</f>
        <v>Slow</v>
      </c>
      <c r="S730" t="str" cm="1">
        <f t="array" ref="S73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730" t="str">
        <f>TEXT(tbl_analysis_tickets[[#This Row],[created_date]],"mmm-yyyy")</f>
        <v>Nov-2024</v>
      </c>
      <c r="U730" t="str">
        <f>TEXT(tbl_analysis_tickets[[#This Row],[created_date]],"dddd")</f>
        <v>Wednesday</v>
      </c>
      <c r="V730" cm="1">
        <f t="array" ref="V730">_xlfn.SWITCH(tbl_analysis_tickets[[#This Row],[priority]],
"Urgent",1,
"High",2,
"Medium",3,
"Low",4
)</f>
        <v>2</v>
      </c>
    </row>
    <row r="731" spans="1:22" x14ac:dyDescent="0.25">
      <c r="A731">
        <v>730</v>
      </c>
      <c r="B731" s="1">
        <v>45559</v>
      </c>
      <c r="C731" t="s">
        <v>21</v>
      </c>
      <c r="D731" t="s">
        <v>15</v>
      </c>
      <c r="E731">
        <v>123</v>
      </c>
      <c r="F731">
        <v>8</v>
      </c>
      <c r="G731">
        <v>7.5</v>
      </c>
      <c r="H731" t="s">
        <v>12</v>
      </c>
      <c r="I731" t="s">
        <v>13</v>
      </c>
      <c r="J731" t="s">
        <v>11</v>
      </c>
      <c r="K731">
        <f>_xlfn.XLOOKUP(tbl_analysis_tickets[[#This Row],[priority]],tbl_sla[priority],tbl_sla[Resolution SLA Hours])</f>
        <v>48</v>
      </c>
      <c r="L731">
        <f>_xlfn.XLOOKUP(tbl_analysis_tickets[[#This Row],[priority]],tbl_sla[priority],tbl_sla[First Response SLA Minutes])</f>
        <v>120</v>
      </c>
      <c r="M731" t="str">
        <f>IF(tbl_analysis_tickets[[#This Row],[resolution_time_hours]]&gt;tbl_analysis_tickets[[#This Row],[Resolution SLA Hours]],"Breached","Within SLA")</f>
        <v>Within SLA</v>
      </c>
      <c r="N731" t="str">
        <f>IF(tbl_analysis_tickets[[#This Row],[first_response_minutes]]&gt;tbl_analysis_tickets[[#This Row],[First Response SLA Minutes]],"Breached","Within SLA")</f>
        <v>Breached</v>
      </c>
      <c r="O731" t="str" cm="1">
        <f t="array" ref="O731">_xlfn.IFS(
tbl_analysis_tickets[[#This Row],[agent_experience_years]]&lt;=2,"Junior",
tbl_analysis_tickets[[#This Row],[agent_experience_years]]&lt;=5,"Mid-Level",
tbl_analysis_tickets[[#This Row],[agent_experience_years]]&lt;=8,"Senior",
tbl_analysis_tickets[[#This Row],[agent_experience_years]]&gt;8,"Expert"
)</f>
        <v>Senior</v>
      </c>
      <c r="P731" cm="1">
        <f t="array" ref="P731">_xlfn.SWITCH(tbl_analysis_tickets[[#This Row],[customer_satisfaction]],
"Low",1,
"Medium",2,
"High",3
)</f>
        <v>1</v>
      </c>
      <c r="Q731">
        <f>IF(tbl_analysis_tickets[[#This Row],[reopened]]="Yes",1,0)</f>
        <v>1</v>
      </c>
      <c r="R731" t="str" cm="1">
        <f t="array" ref="R731">_xlfn.IFS(
tbl_analysis_tickets[[#This Row],[first_response_minutes]]&lt;=30,"Very Fast",
tbl_analysis_tickets[[#This Row],[first_response_minutes]]&lt;=120,"Acceptable",
tbl_analysis_tickets[[#This Row],[first_response_minutes]]&lt;=240,"Slow",
tbl_analysis_tickets[[#This Row],[first_response_minutes]]&gt;240,"Very Slow"
)</f>
        <v>Slow</v>
      </c>
      <c r="S731" t="str" cm="1">
        <f t="array" ref="S73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731" t="str">
        <f>TEXT(tbl_analysis_tickets[[#This Row],[created_date]],"mmm-yyyy")</f>
        <v>Sep-2024</v>
      </c>
      <c r="U731" t="str">
        <f>TEXT(tbl_analysis_tickets[[#This Row],[created_date]],"dddd")</f>
        <v>Tuesday</v>
      </c>
      <c r="V731" cm="1">
        <f t="array" ref="V731">_xlfn.SWITCH(tbl_analysis_tickets[[#This Row],[priority]],
"Urgent",1,
"High",2,
"Medium",3,
"Low",4
)</f>
        <v>3</v>
      </c>
    </row>
    <row r="732" spans="1:22" x14ac:dyDescent="0.25">
      <c r="A732">
        <v>731</v>
      </c>
      <c r="B732" s="1">
        <v>45323</v>
      </c>
      <c r="C732" t="s">
        <v>22</v>
      </c>
      <c r="D732" t="s">
        <v>17</v>
      </c>
      <c r="E732">
        <v>216</v>
      </c>
      <c r="F732">
        <v>48</v>
      </c>
      <c r="G732">
        <v>2</v>
      </c>
      <c r="H732" t="s">
        <v>12</v>
      </c>
      <c r="I732" t="s">
        <v>16</v>
      </c>
      <c r="J732" t="s">
        <v>11</v>
      </c>
      <c r="K732">
        <f>_xlfn.XLOOKUP(tbl_analysis_tickets[[#This Row],[priority]],tbl_sla[priority],tbl_sla[Resolution SLA Hours])</f>
        <v>8</v>
      </c>
      <c r="L732">
        <f>_xlfn.XLOOKUP(tbl_analysis_tickets[[#This Row],[priority]],tbl_sla[priority],tbl_sla[First Response SLA Minutes])</f>
        <v>30</v>
      </c>
      <c r="M732" t="str">
        <f>IF(tbl_analysis_tickets[[#This Row],[resolution_time_hours]]&gt;tbl_analysis_tickets[[#This Row],[Resolution SLA Hours]],"Breached","Within SLA")</f>
        <v>Breached</v>
      </c>
      <c r="N732" t="str">
        <f>IF(tbl_analysis_tickets[[#This Row],[first_response_minutes]]&gt;tbl_analysis_tickets[[#This Row],[First Response SLA Minutes]],"Breached","Within SLA")</f>
        <v>Breached</v>
      </c>
      <c r="O732" t="str" cm="1">
        <f t="array" ref="O732">_xlfn.IFS(
tbl_analysis_tickets[[#This Row],[agent_experience_years]]&lt;=2,"Junior",
tbl_analysis_tickets[[#This Row],[agent_experience_years]]&lt;=5,"Mid-Level",
tbl_analysis_tickets[[#This Row],[agent_experience_years]]&lt;=8,"Senior",
tbl_analysis_tickets[[#This Row],[agent_experience_years]]&gt;8,"Expert"
)</f>
        <v>Junior</v>
      </c>
      <c r="P732" cm="1">
        <f t="array" ref="P732">_xlfn.SWITCH(tbl_analysis_tickets[[#This Row],[customer_satisfaction]],
"Low",1,
"Medium",2,
"High",3
)</f>
        <v>1</v>
      </c>
      <c r="Q732">
        <f>IF(tbl_analysis_tickets[[#This Row],[reopened]]="Yes",1,0)</f>
        <v>1</v>
      </c>
      <c r="R732" t="str" cm="1">
        <f t="array" ref="R732">_xlfn.IFS(
tbl_analysis_tickets[[#This Row],[first_response_minutes]]&lt;=30,"Very Fast",
tbl_analysis_tickets[[#This Row],[first_response_minutes]]&lt;=120,"Acceptable",
tbl_analysis_tickets[[#This Row],[first_response_minutes]]&lt;=240,"Slow",
tbl_analysis_tickets[[#This Row],[first_response_minutes]]&gt;240,"Very Slow"
)</f>
        <v>Slow</v>
      </c>
      <c r="S732" t="str" cm="1">
        <f t="array" ref="S73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732" t="str">
        <f>TEXT(tbl_analysis_tickets[[#This Row],[created_date]],"mmm-yyyy")</f>
        <v>Feb-2024</v>
      </c>
      <c r="U732" t="str">
        <f>TEXT(tbl_analysis_tickets[[#This Row],[created_date]],"dddd")</f>
        <v>Thursday</v>
      </c>
      <c r="V732" cm="1">
        <f t="array" ref="V732">_xlfn.SWITCH(tbl_analysis_tickets[[#This Row],[priority]],
"Urgent",1,
"High",2,
"Medium",3,
"Low",4
)</f>
        <v>1</v>
      </c>
    </row>
    <row r="733" spans="1:22" x14ac:dyDescent="0.25">
      <c r="A733">
        <v>732</v>
      </c>
      <c r="B733" s="1">
        <v>45432</v>
      </c>
      <c r="C733" t="s">
        <v>22</v>
      </c>
      <c r="D733" t="s">
        <v>11</v>
      </c>
      <c r="E733">
        <v>115</v>
      </c>
      <c r="F733">
        <v>8</v>
      </c>
      <c r="G733">
        <v>3.1</v>
      </c>
      <c r="H733" t="s">
        <v>18</v>
      </c>
      <c r="I733" t="s">
        <v>16</v>
      </c>
      <c r="J733" t="s">
        <v>11</v>
      </c>
      <c r="K733">
        <f>_xlfn.XLOOKUP(tbl_analysis_tickets[[#This Row],[priority]],tbl_sla[priority],tbl_sla[Resolution SLA Hours])</f>
        <v>72</v>
      </c>
      <c r="L733">
        <f>_xlfn.XLOOKUP(tbl_analysis_tickets[[#This Row],[priority]],tbl_sla[priority],tbl_sla[First Response SLA Minutes])</f>
        <v>240</v>
      </c>
      <c r="M733" t="str">
        <f>IF(tbl_analysis_tickets[[#This Row],[resolution_time_hours]]&gt;tbl_analysis_tickets[[#This Row],[Resolution SLA Hours]],"Breached","Within SLA")</f>
        <v>Within SLA</v>
      </c>
      <c r="N733" t="str">
        <f>IF(tbl_analysis_tickets[[#This Row],[first_response_minutes]]&gt;tbl_analysis_tickets[[#This Row],[First Response SLA Minutes]],"Breached","Within SLA")</f>
        <v>Within SLA</v>
      </c>
      <c r="O733" t="str" cm="1">
        <f t="array" ref="O733">_xlfn.IFS(
tbl_analysis_tickets[[#This Row],[agent_experience_years]]&lt;=2,"Junior",
tbl_analysis_tickets[[#This Row],[agent_experience_years]]&lt;=5,"Mid-Level",
tbl_analysis_tickets[[#This Row],[agent_experience_years]]&lt;=8,"Senior",
tbl_analysis_tickets[[#This Row],[agent_experience_years]]&gt;8,"Expert"
)</f>
        <v>Mid-Level</v>
      </c>
      <c r="P733" cm="1">
        <f t="array" ref="P733">_xlfn.SWITCH(tbl_analysis_tickets[[#This Row],[customer_satisfaction]],
"Low",1,
"Medium",2,
"High",3
)</f>
        <v>1</v>
      </c>
      <c r="Q733">
        <f>IF(tbl_analysis_tickets[[#This Row],[reopened]]="Yes",1,0)</f>
        <v>0</v>
      </c>
      <c r="R733" t="str" cm="1">
        <f t="array" ref="R733">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733" t="str" cm="1">
        <f t="array" ref="S73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733" t="str">
        <f>TEXT(tbl_analysis_tickets[[#This Row],[created_date]],"mmm-yyyy")</f>
        <v>May-2024</v>
      </c>
      <c r="U733" t="str">
        <f>TEXT(tbl_analysis_tickets[[#This Row],[created_date]],"dddd")</f>
        <v>Monday</v>
      </c>
      <c r="V733" cm="1">
        <f t="array" ref="V733">_xlfn.SWITCH(tbl_analysis_tickets[[#This Row],[priority]],
"Urgent",1,
"High",2,
"Medium",3,
"Low",4
)</f>
        <v>4</v>
      </c>
    </row>
    <row r="734" spans="1:22" x14ac:dyDescent="0.25">
      <c r="A734">
        <v>733</v>
      </c>
      <c r="B734" s="1">
        <v>45433</v>
      </c>
      <c r="C734" t="s">
        <v>14</v>
      </c>
      <c r="D734" t="s">
        <v>20</v>
      </c>
      <c r="E734">
        <v>27</v>
      </c>
      <c r="F734">
        <v>72</v>
      </c>
      <c r="G734">
        <v>8.8000000000000007</v>
      </c>
      <c r="H734" t="s">
        <v>12</v>
      </c>
      <c r="I734" t="s">
        <v>19</v>
      </c>
      <c r="J734" t="s">
        <v>15</v>
      </c>
      <c r="K734">
        <f>_xlfn.XLOOKUP(tbl_analysis_tickets[[#This Row],[priority]],tbl_sla[priority],tbl_sla[Resolution SLA Hours])</f>
        <v>24</v>
      </c>
      <c r="L734">
        <f>_xlfn.XLOOKUP(tbl_analysis_tickets[[#This Row],[priority]],tbl_sla[priority],tbl_sla[First Response SLA Minutes])</f>
        <v>60</v>
      </c>
      <c r="M734" t="str">
        <f>IF(tbl_analysis_tickets[[#This Row],[resolution_time_hours]]&gt;tbl_analysis_tickets[[#This Row],[Resolution SLA Hours]],"Breached","Within SLA")</f>
        <v>Breached</v>
      </c>
      <c r="N734" t="str">
        <f>IF(tbl_analysis_tickets[[#This Row],[first_response_minutes]]&gt;tbl_analysis_tickets[[#This Row],[First Response SLA Minutes]],"Breached","Within SLA")</f>
        <v>Within SLA</v>
      </c>
      <c r="O734" t="str" cm="1">
        <f t="array" ref="O734">_xlfn.IFS(
tbl_analysis_tickets[[#This Row],[agent_experience_years]]&lt;=2,"Junior",
tbl_analysis_tickets[[#This Row],[agent_experience_years]]&lt;=5,"Mid-Level",
tbl_analysis_tickets[[#This Row],[agent_experience_years]]&lt;=8,"Senior",
tbl_analysis_tickets[[#This Row],[agent_experience_years]]&gt;8,"Expert"
)</f>
        <v>Expert</v>
      </c>
      <c r="P734" cm="1">
        <f t="array" ref="P734">_xlfn.SWITCH(tbl_analysis_tickets[[#This Row],[customer_satisfaction]],
"Low",1,
"Medium",2,
"High",3
)</f>
        <v>2</v>
      </c>
      <c r="Q734">
        <f>IF(tbl_analysis_tickets[[#This Row],[reopened]]="Yes",1,0)</f>
        <v>1</v>
      </c>
      <c r="R734" t="str" cm="1">
        <f t="array" ref="R734">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734" t="str" cm="1">
        <f t="array" ref="S73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734" t="str">
        <f>TEXT(tbl_analysis_tickets[[#This Row],[created_date]],"mmm-yyyy")</f>
        <v>May-2024</v>
      </c>
      <c r="U734" t="str">
        <f>TEXT(tbl_analysis_tickets[[#This Row],[created_date]],"dddd")</f>
        <v>Tuesday</v>
      </c>
      <c r="V734" cm="1">
        <f t="array" ref="V734">_xlfn.SWITCH(tbl_analysis_tickets[[#This Row],[priority]],
"Urgent",1,
"High",2,
"Medium",3,
"Low",4
)</f>
        <v>2</v>
      </c>
    </row>
    <row r="735" spans="1:22" x14ac:dyDescent="0.25">
      <c r="A735">
        <v>734</v>
      </c>
      <c r="B735" s="1">
        <v>45313</v>
      </c>
      <c r="C735" t="s">
        <v>23</v>
      </c>
      <c r="D735" t="s">
        <v>17</v>
      </c>
      <c r="E735">
        <v>98</v>
      </c>
      <c r="F735">
        <v>6</v>
      </c>
      <c r="G735">
        <v>6.1</v>
      </c>
      <c r="H735" t="s">
        <v>18</v>
      </c>
      <c r="I735" t="s">
        <v>19</v>
      </c>
      <c r="J735" t="s">
        <v>15</v>
      </c>
      <c r="K735">
        <f>_xlfn.XLOOKUP(tbl_analysis_tickets[[#This Row],[priority]],tbl_sla[priority],tbl_sla[Resolution SLA Hours])</f>
        <v>8</v>
      </c>
      <c r="L735">
        <f>_xlfn.XLOOKUP(tbl_analysis_tickets[[#This Row],[priority]],tbl_sla[priority],tbl_sla[First Response SLA Minutes])</f>
        <v>30</v>
      </c>
      <c r="M735" t="str">
        <f>IF(tbl_analysis_tickets[[#This Row],[resolution_time_hours]]&gt;tbl_analysis_tickets[[#This Row],[Resolution SLA Hours]],"Breached","Within SLA")</f>
        <v>Within SLA</v>
      </c>
      <c r="N735" t="str">
        <f>IF(tbl_analysis_tickets[[#This Row],[first_response_minutes]]&gt;tbl_analysis_tickets[[#This Row],[First Response SLA Minutes]],"Breached","Within SLA")</f>
        <v>Breached</v>
      </c>
      <c r="O735" t="str" cm="1">
        <f t="array" ref="O735">_xlfn.IFS(
tbl_analysis_tickets[[#This Row],[agent_experience_years]]&lt;=2,"Junior",
tbl_analysis_tickets[[#This Row],[agent_experience_years]]&lt;=5,"Mid-Level",
tbl_analysis_tickets[[#This Row],[agent_experience_years]]&lt;=8,"Senior",
tbl_analysis_tickets[[#This Row],[agent_experience_years]]&gt;8,"Expert"
)</f>
        <v>Senior</v>
      </c>
      <c r="P735" cm="1">
        <f t="array" ref="P735">_xlfn.SWITCH(tbl_analysis_tickets[[#This Row],[customer_satisfaction]],
"Low",1,
"Medium",2,
"High",3
)</f>
        <v>2</v>
      </c>
      <c r="Q735">
        <f>IF(tbl_analysis_tickets[[#This Row],[reopened]]="Yes",1,0)</f>
        <v>0</v>
      </c>
      <c r="R735" t="str" cm="1">
        <f t="array" ref="R735">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735" t="str" cm="1">
        <f t="array" ref="S73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735" t="str">
        <f>TEXT(tbl_analysis_tickets[[#This Row],[created_date]],"mmm-yyyy")</f>
        <v>Jan-2024</v>
      </c>
      <c r="U735" t="str">
        <f>TEXT(tbl_analysis_tickets[[#This Row],[created_date]],"dddd")</f>
        <v>Monday</v>
      </c>
      <c r="V735" cm="1">
        <f t="array" ref="V735">_xlfn.SWITCH(tbl_analysis_tickets[[#This Row],[priority]],
"Urgent",1,
"High",2,
"Medium",3,
"Low",4
)</f>
        <v>1</v>
      </c>
    </row>
    <row r="736" spans="1:22" x14ac:dyDescent="0.25">
      <c r="A736">
        <v>735</v>
      </c>
      <c r="B736" s="1">
        <v>45357</v>
      </c>
      <c r="C736" t="s">
        <v>14</v>
      </c>
      <c r="D736" t="s">
        <v>20</v>
      </c>
      <c r="E736">
        <v>133</v>
      </c>
      <c r="F736">
        <v>40</v>
      </c>
      <c r="G736">
        <v>8</v>
      </c>
      <c r="H736" t="s">
        <v>18</v>
      </c>
      <c r="I736" t="s">
        <v>16</v>
      </c>
      <c r="J736" t="s">
        <v>11</v>
      </c>
      <c r="K736">
        <f>_xlfn.XLOOKUP(tbl_analysis_tickets[[#This Row],[priority]],tbl_sla[priority],tbl_sla[Resolution SLA Hours])</f>
        <v>24</v>
      </c>
      <c r="L736">
        <f>_xlfn.XLOOKUP(tbl_analysis_tickets[[#This Row],[priority]],tbl_sla[priority],tbl_sla[First Response SLA Minutes])</f>
        <v>60</v>
      </c>
      <c r="M736" t="str">
        <f>IF(tbl_analysis_tickets[[#This Row],[resolution_time_hours]]&gt;tbl_analysis_tickets[[#This Row],[Resolution SLA Hours]],"Breached","Within SLA")</f>
        <v>Breached</v>
      </c>
      <c r="N736" t="str">
        <f>IF(tbl_analysis_tickets[[#This Row],[first_response_minutes]]&gt;tbl_analysis_tickets[[#This Row],[First Response SLA Minutes]],"Breached","Within SLA")</f>
        <v>Breached</v>
      </c>
      <c r="O736" t="str" cm="1">
        <f t="array" ref="O736">_xlfn.IFS(
tbl_analysis_tickets[[#This Row],[agent_experience_years]]&lt;=2,"Junior",
tbl_analysis_tickets[[#This Row],[agent_experience_years]]&lt;=5,"Mid-Level",
tbl_analysis_tickets[[#This Row],[agent_experience_years]]&lt;=8,"Senior",
tbl_analysis_tickets[[#This Row],[agent_experience_years]]&gt;8,"Expert"
)</f>
        <v>Senior</v>
      </c>
      <c r="P736" cm="1">
        <f t="array" ref="P736">_xlfn.SWITCH(tbl_analysis_tickets[[#This Row],[customer_satisfaction]],
"Low",1,
"Medium",2,
"High",3
)</f>
        <v>1</v>
      </c>
      <c r="Q736">
        <f>IF(tbl_analysis_tickets[[#This Row],[reopened]]="Yes",1,0)</f>
        <v>0</v>
      </c>
      <c r="R736" t="str" cm="1">
        <f t="array" ref="R736">_xlfn.IFS(
tbl_analysis_tickets[[#This Row],[first_response_minutes]]&lt;=30,"Very Fast",
tbl_analysis_tickets[[#This Row],[first_response_minutes]]&lt;=120,"Acceptable",
tbl_analysis_tickets[[#This Row],[first_response_minutes]]&lt;=240,"Slow",
tbl_analysis_tickets[[#This Row],[first_response_minutes]]&gt;240,"Very Slow"
)</f>
        <v>Slow</v>
      </c>
      <c r="S736" t="str" cm="1">
        <f t="array" ref="S73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736" t="str">
        <f>TEXT(tbl_analysis_tickets[[#This Row],[created_date]],"mmm-yyyy")</f>
        <v>Mar-2024</v>
      </c>
      <c r="U736" t="str">
        <f>TEXT(tbl_analysis_tickets[[#This Row],[created_date]],"dddd")</f>
        <v>Wednesday</v>
      </c>
      <c r="V736" cm="1">
        <f t="array" ref="V736">_xlfn.SWITCH(tbl_analysis_tickets[[#This Row],[priority]],
"Urgent",1,
"High",2,
"Medium",3,
"Low",4
)</f>
        <v>2</v>
      </c>
    </row>
    <row r="737" spans="1:22" x14ac:dyDescent="0.25">
      <c r="A737">
        <v>736</v>
      </c>
      <c r="B737" s="1">
        <v>45627</v>
      </c>
      <c r="C737" t="s">
        <v>23</v>
      </c>
      <c r="D737" t="s">
        <v>20</v>
      </c>
      <c r="E737">
        <v>117</v>
      </c>
      <c r="F737">
        <v>33</v>
      </c>
      <c r="G737">
        <v>3.5</v>
      </c>
      <c r="H737" t="s">
        <v>18</v>
      </c>
      <c r="I737" t="s">
        <v>16</v>
      </c>
      <c r="J737" t="s">
        <v>11</v>
      </c>
      <c r="K737">
        <f>_xlfn.XLOOKUP(tbl_analysis_tickets[[#This Row],[priority]],tbl_sla[priority],tbl_sla[Resolution SLA Hours])</f>
        <v>24</v>
      </c>
      <c r="L737">
        <f>_xlfn.XLOOKUP(tbl_analysis_tickets[[#This Row],[priority]],tbl_sla[priority],tbl_sla[First Response SLA Minutes])</f>
        <v>60</v>
      </c>
      <c r="M737" t="str">
        <f>IF(tbl_analysis_tickets[[#This Row],[resolution_time_hours]]&gt;tbl_analysis_tickets[[#This Row],[Resolution SLA Hours]],"Breached","Within SLA")</f>
        <v>Breached</v>
      </c>
      <c r="N737" t="str">
        <f>IF(tbl_analysis_tickets[[#This Row],[first_response_minutes]]&gt;tbl_analysis_tickets[[#This Row],[First Response SLA Minutes]],"Breached","Within SLA")</f>
        <v>Breached</v>
      </c>
      <c r="O737" t="str" cm="1">
        <f t="array" ref="O737">_xlfn.IFS(
tbl_analysis_tickets[[#This Row],[agent_experience_years]]&lt;=2,"Junior",
tbl_analysis_tickets[[#This Row],[agent_experience_years]]&lt;=5,"Mid-Level",
tbl_analysis_tickets[[#This Row],[agent_experience_years]]&lt;=8,"Senior",
tbl_analysis_tickets[[#This Row],[agent_experience_years]]&gt;8,"Expert"
)</f>
        <v>Mid-Level</v>
      </c>
      <c r="P737" cm="1">
        <f t="array" ref="P737">_xlfn.SWITCH(tbl_analysis_tickets[[#This Row],[customer_satisfaction]],
"Low",1,
"Medium",2,
"High",3
)</f>
        <v>1</v>
      </c>
      <c r="Q737">
        <f>IF(tbl_analysis_tickets[[#This Row],[reopened]]="Yes",1,0)</f>
        <v>0</v>
      </c>
      <c r="R737" t="str" cm="1">
        <f t="array" ref="R737">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737" t="str" cm="1">
        <f t="array" ref="S73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737" t="str">
        <f>TEXT(tbl_analysis_tickets[[#This Row],[created_date]],"mmm-yyyy")</f>
        <v>Dec-2024</v>
      </c>
      <c r="U737" t="str">
        <f>TEXT(tbl_analysis_tickets[[#This Row],[created_date]],"dddd")</f>
        <v>Sunday</v>
      </c>
      <c r="V737" cm="1">
        <f t="array" ref="V737">_xlfn.SWITCH(tbl_analysis_tickets[[#This Row],[priority]],
"Urgent",1,
"High",2,
"Medium",3,
"Low",4
)</f>
        <v>2</v>
      </c>
    </row>
    <row r="738" spans="1:22" x14ac:dyDescent="0.25">
      <c r="A738">
        <v>737</v>
      </c>
      <c r="B738" s="1">
        <v>45332</v>
      </c>
      <c r="C738" t="s">
        <v>14</v>
      </c>
      <c r="D738" t="s">
        <v>15</v>
      </c>
      <c r="E738">
        <v>224</v>
      </c>
      <c r="F738">
        <v>30</v>
      </c>
      <c r="G738">
        <v>1</v>
      </c>
      <c r="H738" t="s">
        <v>12</v>
      </c>
      <c r="I738" t="s">
        <v>16</v>
      </c>
      <c r="J738" t="s">
        <v>11</v>
      </c>
      <c r="K738">
        <f>_xlfn.XLOOKUP(tbl_analysis_tickets[[#This Row],[priority]],tbl_sla[priority],tbl_sla[Resolution SLA Hours])</f>
        <v>48</v>
      </c>
      <c r="L738">
        <f>_xlfn.XLOOKUP(tbl_analysis_tickets[[#This Row],[priority]],tbl_sla[priority],tbl_sla[First Response SLA Minutes])</f>
        <v>120</v>
      </c>
      <c r="M738" t="str">
        <f>IF(tbl_analysis_tickets[[#This Row],[resolution_time_hours]]&gt;tbl_analysis_tickets[[#This Row],[Resolution SLA Hours]],"Breached","Within SLA")</f>
        <v>Within SLA</v>
      </c>
      <c r="N738" t="str">
        <f>IF(tbl_analysis_tickets[[#This Row],[first_response_minutes]]&gt;tbl_analysis_tickets[[#This Row],[First Response SLA Minutes]],"Breached","Within SLA")</f>
        <v>Breached</v>
      </c>
      <c r="O738" t="str" cm="1">
        <f t="array" ref="O738">_xlfn.IFS(
tbl_analysis_tickets[[#This Row],[agent_experience_years]]&lt;=2,"Junior",
tbl_analysis_tickets[[#This Row],[agent_experience_years]]&lt;=5,"Mid-Level",
tbl_analysis_tickets[[#This Row],[agent_experience_years]]&lt;=8,"Senior",
tbl_analysis_tickets[[#This Row],[agent_experience_years]]&gt;8,"Expert"
)</f>
        <v>Junior</v>
      </c>
      <c r="P738" cm="1">
        <f t="array" ref="P738">_xlfn.SWITCH(tbl_analysis_tickets[[#This Row],[customer_satisfaction]],
"Low",1,
"Medium",2,
"High",3
)</f>
        <v>1</v>
      </c>
      <c r="Q738">
        <f>IF(tbl_analysis_tickets[[#This Row],[reopened]]="Yes",1,0)</f>
        <v>1</v>
      </c>
      <c r="R738" t="str" cm="1">
        <f t="array" ref="R738">_xlfn.IFS(
tbl_analysis_tickets[[#This Row],[first_response_minutes]]&lt;=30,"Very Fast",
tbl_analysis_tickets[[#This Row],[first_response_minutes]]&lt;=120,"Acceptable",
tbl_analysis_tickets[[#This Row],[first_response_minutes]]&lt;=240,"Slow",
tbl_analysis_tickets[[#This Row],[first_response_minutes]]&gt;240,"Very Slow"
)</f>
        <v>Slow</v>
      </c>
      <c r="S738" t="str" cm="1">
        <f t="array" ref="S73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738" t="str">
        <f>TEXT(tbl_analysis_tickets[[#This Row],[created_date]],"mmm-yyyy")</f>
        <v>Feb-2024</v>
      </c>
      <c r="U738" t="str">
        <f>TEXT(tbl_analysis_tickets[[#This Row],[created_date]],"dddd")</f>
        <v>Saturday</v>
      </c>
      <c r="V738" cm="1">
        <f t="array" ref="V738">_xlfn.SWITCH(tbl_analysis_tickets[[#This Row],[priority]],
"Urgent",1,
"High",2,
"Medium",3,
"Low",4
)</f>
        <v>3</v>
      </c>
    </row>
    <row r="739" spans="1:22" x14ac:dyDescent="0.25">
      <c r="A739">
        <v>738</v>
      </c>
      <c r="B739" s="1">
        <v>45582</v>
      </c>
      <c r="C739" t="s">
        <v>14</v>
      </c>
      <c r="D739" t="s">
        <v>20</v>
      </c>
      <c r="E739">
        <v>139</v>
      </c>
      <c r="F739">
        <v>44</v>
      </c>
      <c r="G739">
        <v>6.2</v>
      </c>
      <c r="H739" t="s">
        <v>18</v>
      </c>
      <c r="I739" t="s">
        <v>13</v>
      </c>
      <c r="J739" t="s">
        <v>11</v>
      </c>
      <c r="K739">
        <f>_xlfn.XLOOKUP(tbl_analysis_tickets[[#This Row],[priority]],tbl_sla[priority],tbl_sla[Resolution SLA Hours])</f>
        <v>24</v>
      </c>
      <c r="L739">
        <f>_xlfn.XLOOKUP(tbl_analysis_tickets[[#This Row],[priority]],tbl_sla[priority],tbl_sla[First Response SLA Minutes])</f>
        <v>60</v>
      </c>
      <c r="M739" t="str">
        <f>IF(tbl_analysis_tickets[[#This Row],[resolution_time_hours]]&gt;tbl_analysis_tickets[[#This Row],[Resolution SLA Hours]],"Breached","Within SLA")</f>
        <v>Breached</v>
      </c>
      <c r="N739" t="str">
        <f>IF(tbl_analysis_tickets[[#This Row],[first_response_minutes]]&gt;tbl_analysis_tickets[[#This Row],[First Response SLA Minutes]],"Breached","Within SLA")</f>
        <v>Breached</v>
      </c>
      <c r="O739" t="str" cm="1">
        <f t="array" ref="O739">_xlfn.IFS(
tbl_analysis_tickets[[#This Row],[agent_experience_years]]&lt;=2,"Junior",
tbl_analysis_tickets[[#This Row],[agent_experience_years]]&lt;=5,"Mid-Level",
tbl_analysis_tickets[[#This Row],[agent_experience_years]]&lt;=8,"Senior",
tbl_analysis_tickets[[#This Row],[agent_experience_years]]&gt;8,"Expert"
)</f>
        <v>Senior</v>
      </c>
      <c r="P739" cm="1">
        <f t="array" ref="P739">_xlfn.SWITCH(tbl_analysis_tickets[[#This Row],[customer_satisfaction]],
"Low",1,
"Medium",2,
"High",3
)</f>
        <v>1</v>
      </c>
      <c r="Q739">
        <f>IF(tbl_analysis_tickets[[#This Row],[reopened]]="Yes",1,0)</f>
        <v>0</v>
      </c>
      <c r="R739" t="str" cm="1">
        <f t="array" ref="R739">_xlfn.IFS(
tbl_analysis_tickets[[#This Row],[first_response_minutes]]&lt;=30,"Very Fast",
tbl_analysis_tickets[[#This Row],[first_response_minutes]]&lt;=120,"Acceptable",
tbl_analysis_tickets[[#This Row],[first_response_minutes]]&lt;=240,"Slow",
tbl_analysis_tickets[[#This Row],[first_response_minutes]]&gt;240,"Very Slow"
)</f>
        <v>Slow</v>
      </c>
      <c r="S739" t="str" cm="1">
        <f t="array" ref="S73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739" t="str">
        <f>TEXT(tbl_analysis_tickets[[#This Row],[created_date]],"mmm-yyyy")</f>
        <v>Oct-2024</v>
      </c>
      <c r="U739" t="str">
        <f>TEXT(tbl_analysis_tickets[[#This Row],[created_date]],"dddd")</f>
        <v>Thursday</v>
      </c>
      <c r="V739" cm="1">
        <f t="array" ref="V739">_xlfn.SWITCH(tbl_analysis_tickets[[#This Row],[priority]],
"Urgent",1,
"High",2,
"Medium",3,
"Low",4
)</f>
        <v>2</v>
      </c>
    </row>
    <row r="740" spans="1:22" x14ac:dyDescent="0.25">
      <c r="A740">
        <v>739</v>
      </c>
      <c r="B740" s="1">
        <v>45471</v>
      </c>
      <c r="C740" t="s">
        <v>22</v>
      </c>
      <c r="D740" t="s">
        <v>20</v>
      </c>
      <c r="E740">
        <v>147</v>
      </c>
      <c r="F740">
        <v>45</v>
      </c>
      <c r="G740">
        <v>4.5</v>
      </c>
      <c r="H740" t="s">
        <v>18</v>
      </c>
      <c r="I740" t="s">
        <v>13</v>
      </c>
      <c r="J740" t="s">
        <v>11</v>
      </c>
      <c r="K740">
        <f>_xlfn.XLOOKUP(tbl_analysis_tickets[[#This Row],[priority]],tbl_sla[priority],tbl_sla[Resolution SLA Hours])</f>
        <v>24</v>
      </c>
      <c r="L740">
        <f>_xlfn.XLOOKUP(tbl_analysis_tickets[[#This Row],[priority]],tbl_sla[priority],tbl_sla[First Response SLA Minutes])</f>
        <v>60</v>
      </c>
      <c r="M740" t="str">
        <f>IF(tbl_analysis_tickets[[#This Row],[resolution_time_hours]]&gt;tbl_analysis_tickets[[#This Row],[Resolution SLA Hours]],"Breached","Within SLA")</f>
        <v>Breached</v>
      </c>
      <c r="N740" t="str">
        <f>IF(tbl_analysis_tickets[[#This Row],[first_response_minutes]]&gt;tbl_analysis_tickets[[#This Row],[First Response SLA Minutes]],"Breached","Within SLA")</f>
        <v>Breached</v>
      </c>
      <c r="O740" t="str" cm="1">
        <f t="array" ref="O740">_xlfn.IFS(
tbl_analysis_tickets[[#This Row],[agent_experience_years]]&lt;=2,"Junior",
tbl_analysis_tickets[[#This Row],[agent_experience_years]]&lt;=5,"Mid-Level",
tbl_analysis_tickets[[#This Row],[agent_experience_years]]&lt;=8,"Senior",
tbl_analysis_tickets[[#This Row],[agent_experience_years]]&gt;8,"Expert"
)</f>
        <v>Mid-Level</v>
      </c>
      <c r="P740" cm="1">
        <f t="array" ref="P740">_xlfn.SWITCH(tbl_analysis_tickets[[#This Row],[customer_satisfaction]],
"Low",1,
"Medium",2,
"High",3
)</f>
        <v>1</v>
      </c>
      <c r="Q740">
        <f>IF(tbl_analysis_tickets[[#This Row],[reopened]]="Yes",1,0)</f>
        <v>0</v>
      </c>
      <c r="R740" t="str" cm="1">
        <f t="array" ref="R740">_xlfn.IFS(
tbl_analysis_tickets[[#This Row],[first_response_minutes]]&lt;=30,"Very Fast",
tbl_analysis_tickets[[#This Row],[first_response_minutes]]&lt;=120,"Acceptable",
tbl_analysis_tickets[[#This Row],[first_response_minutes]]&lt;=240,"Slow",
tbl_analysis_tickets[[#This Row],[first_response_minutes]]&gt;240,"Very Slow"
)</f>
        <v>Slow</v>
      </c>
      <c r="S740" t="str" cm="1">
        <f t="array" ref="S74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740" t="str">
        <f>TEXT(tbl_analysis_tickets[[#This Row],[created_date]],"mmm-yyyy")</f>
        <v>Jun-2024</v>
      </c>
      <c r="U740" t="str">
        <f>TEXT(tbl_analysis_tickets[[#This Row],[created_date]],"dddd")</f>
        <v>Friday</v>
      </c>
      <c r="V740" cm="1">
        <f t="array" ref="V740">_xlfn.SWITCH(tbl_analysis_tickets[[#This Row],[priority]],
"Urgent",1,
"High",2,
"Medium",3,
"Low",4
)</f>
        <v>2</v>
      </c>
    </row>
    <row r="741" spans="1:22" x14ac:dyDescent="0.25">
      <c r="A741">
        <v>740</v>
      </c>
      <c r="B741" s="1">
        <v>45402</v>
      </c>
      <c r="C741" t="s">
        <v>14</v>
      </c>
      <c r="D741" t="s">
        <v>15</v>
      </c>
      <c r="E741">
        <v>46</v>
      </c>
      <c r="F741">
        <v>55</v>
      </c>
      <c r="G741">
        <v>2.8</v>
      </c>
      <c r="H741" t="s">
        <v>12</v>
      </c>
      <c r="I741" t="s">
        <v>13</v>
      </c>
      <c r="J741" t="s">
        <v>11</v>
      </c>
      <c r="K741">
        <f>_xlfn.XLOOKUP(tbl_analysis_tickets[[#This Row],[priority]],tbl_sla[priority],tbl_sla[Resolution SLA Hours])</f>
        <v>48</v>
      </c>
      <c r="L741">
        <f>_xlfn.XLOOKUP(tbl_analysis_tickets[[#This Row],[priority]],tbl_sla[priority],tbl_sla[First Response SLA Minutes])</f>
        <v>120</v>
      </c>
      <c r="M741" t="str">
        <f>IF(tbl_analysis_tickets[[#This Row],[resolution_time_hours]]&gt;tbl_analysis_tickets[[#This Row],[Resolution SLA Hours]],"Breached","Within SLA")</f>
        <v>Breached</v>
      </c>
      <c r="N741" t="str">
        <f>IF(tbl_analysis_tickets[[#This Row],[first_response_minutes]]&gt;tbl_analysis_tickets[[#This Row],[First Response SLA Minutes]],"Breached","Within SLA")</f>
        <v>Within SLA</v>
      </c>
      <c r="O741" t="str" cm="1">
        <f t="array" ref="O741">_xlfn.IFS(
tbl_analysis_tickets[[#This Row],[agent_experience_years]]&lt;=2,"Junior",
tbl_analysis_tickets[[#This Row],[agent_experience_years]]&lt;=5,"Mid-Level",
tbl_analysis_tickets[[#This Row],[agent_experience_years]]&lt;=8,"Senior",
tbl_analysis_tickets[[#This Row],[agent_experience_years]]&gt;8,"Expert"
)</f>
        <v>Mid-Level</v>
      </c>
      <c r="P741" cm="1">
        <f t="array" ref="P741">_xlfn.SWITCH(tbl_analysis_tickets[[#This Row],[customer_satisfaction]],
"Low",1,
"Medium",2,
"High",3
)</f>
        <v>1</v>
      </c>
      <c r="Q741">
        <f>IF(tbl_analysis_tickets[[#This Row],[reopened]]="Yes",1,0)</f>
        <v>1</v>
      </c>
      <c r="R741" t="str" cm="1">
        <f t="array" ref="R741">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741" t="str" cm="1">
        <f t="array" ref="S74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741" t="str">
        <f>TEXT(tbl_analysis_tickets[[#This Row],[created_date]],"mmm-yyyy")</f>
        <v>Apr-2024</v>
      </c>
      <c r="U741" t="str">
        <f>TEXT(tbl_analysis_tickets[[#This Row],[created_date]],"dddd")</f>
        <v>Saturday</v>
      </c>
      <c r="V741" cm="1">
        <f t="array" ref="V741">_xlfn.SWITCH(tbl_analysis_tickets[[#This Row],[priority]],
"Urgent",1,
"High",2,
"Medium",3,
"Low",4
)</f>
        <v>3</v>
      </c>
    </row>
    <row r="742" spans="1:22" x14ac:dyDescent="0.25">
      <c r="A742">
        <v>741</v>
      </c>
      <c r="B742" s="1">
        <v>45522</v>
      </c>
      <c r="C742" t="s">
        <v>21</v>
      </c>
      <c r="D742" t="s">
        <v>11</v>
      </c>
      <c r="E742">
        <v>235</v>
      </c>
      <c r="F742">
        <v>27</v>
      </c>
      <c r="G742">
        <v>3.2</v>
      </c>
      <c r="H742" t="s">
        <v>18</v>
      </c>
      <c r="I742" t="s">
        <v>16</v>
      </c>
      <c r="J742" t="s">
        <v>11</v>
      </c>
      <c r="K742">
        <f>_xlfn.XLOOKUP(tbl_analysis_tickets[[#This Row],[priority]],tbl_sla[priority],tbl_sla[Resolution SLA Hours])</f>
        <v>72</v>
      </c>
      <c r="L742">
        <f>_xlfn.XLOOKUP(tbl_analysis_tickets[[#This Row],[priority]],tbl_sla[priority],tbl_sla[First Response SLA Minutes])</f>
        <v>240</v>
      </c>
      <c r="M742" t="str">
        <f>IF(tbl_analysis_tickets[[#This Row],[resolution_time_hours]]&gt;tbl_analysis_tickets[[#This Row],[Resolution SLA Hours]],"Breached","Within SLA")</f>
        <v>Within SLA</v>
      </c>
      <c r="N742" t="str">
        <f>IF(tbl_analysis_tickets[[#This Row],[first_response_minutes]]&gt;tbl_analysis_tickets[[#This Row],[First Response SLA Minutes]],"Breached","Within SLA")</f>
        <v>Within SLA</v>
      </c>
      <c r="O742" t="str" cm="1">
        <f t="array" ref="O742">_xlfn.IFS(
tbl_analysis_tickets[[#This Row],[agent_experience_years]]&lt;=2,"Junior",
tbl_analysis_tickets[[#This Row],[agent_experience_years]]&lt;=5,"Mid-Level",
tbl_analysis_tickets[[#This Row],[agent_experience_years]]&lt;=8,"Senior",
tbl_analysis_tickets[[#This Row],[agent_experience_years]]&gt;8,"Expert"
)</f>
        <v>Mid-Level</v>
      </c>
      <c r="P742" cm="1">
        <f t="array" ref="P742">_xlfn.SWITCH(tbl_analysis_tickets[[#This Row],[customer_satisfaction]],
"Low",1,
"Medium",2,
"High",3
)</f>
        <v>1</v>
      </c>
      <c r="Q742">
        <f>IF(tbl_analysis_tickets[[#This Row],[reopened]]="Yes",1,0)</f>
        <v>0</v>
      </c>
      <c r="R742" t="str" cm="1">
        <f t="array" ref="R742">_xlfn.IFS(
tbl_analysis_tickets[[#This Row],[first_response_minutes]]&lt;=30,"Very Fast",
tbl_analysis_tickets[[#This Row],[first_response_minutes]]&lt;=120,"Acceptable",
tbl_analysis_tickets[[#This Row],[first_response_minutes]]&lt;=240,"Slow",
tbl_analysis_tickets[[#This Row],[first_response_minutes]]&gt;240,"Very Slow"
)</f>
        <v>Slow</v>
      </c>
      <c r="S742" t="str" cm="1">
        <f t="array" ref="S74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742" t="str">
        <f>TEXT(tbl_analysis_tickets[[#This Row],[created_date]],"mmm-yyyy")</f>
        <v>Aug-2024</v>
      </c>
      <c r="U742" t="str">
        <f>TEXT(tbl_analysis_tickets[[#This Row],[created_date]],"dddd")</f>
        <v>Sunday</v>
      </c>
      <c r="V742" cm="1">
        <f t="array" ref="V742">_xlfn.SWITCH(tbl_analysis_tickets[[#This Row],[priority]],
"Urgent",1,
"High",2,
"Medium",3,
"Low",4
)</f>
        <v>4</v>
      </c>
    </row>
    <row r="743" spans="1:22" x14ac:dyDescent="0.25">
      <c r="A743">
        <v>742</v>
      </c>
      <c r="B743" s="1">
        <v>45306</v>
      </c>
      <c r="C743" t="s">
        <v>22</v>
      </c>
      <c r="D743" t="s">
        <v>15</v>
      </c>
      <c r="E743">
        <v>18</v>
      </c>
      <c r="F743">
        <v>39</v>
      </c>
      <c r="G743">
        <v>8.8000000000000007</v>
      </c>
      <c r="H743" t="s">
        <v>18</v>
      </c>
      <c r="I743" t="s">
        <v>13</v>
      </c>
      <c r="J743" t="s">
        <v>20</v>
      </c>
      <c r="K743">
        <f>_xlfn.XLOOKUP(tbl_analysis_tickets[[#This Row],[priority]],tbl_sla[priority],tbl_sla[Resolution SLA Hours])</f>
        <v>48</v>
      </c>
      <c r="L743">
        <f>_xlfn.XLOOKUP(tbl_analysis_tickets[[#This Row],[priority]],tbl_sla[priority],tbl_sla[First Response SLA Minutes])</f>
        <v>120</v>
      </c>
      <c r="M743" t="str">
        <f>IF(tbl_analysis_tickets[[#This Row],[resolution_time_hours]]&gt;tbl_analysis_tickets[[#This Row],[Resolution SLA Hours]],"Breached","Within SLA")</f>
        <v>Within SLA</v>
      </c>
      <c r="N743" t="str">
        <f>IF(tbl_analysis_tickets[[#This Row],[first_response_minutes]]&gt;tbl_analysis_tickets[[#This Row],[First Response SLA Minutes]],"Breached","Within SLA")</f>
        <v>Within SLA</v>
      </c>
      <c r="O743" t="str" cm="1">
        <f t="array" ref="O743">_xlfn.IFS(
tbl_analysis_tickets[[#This Row],[agent_experience_years]]&lt;=2,"Junior",
tbl_analysis_tickets[[#This Row],[agent_experience_years]]&lt;=5,"Mid-Level",
tbl_analysis_tickets[[#This Row],[agent_experience_years]]&lt;=8,"Senior",
tbl_analysis_tickets[[#This Row],[agent_experience_years]]&gt;8,"Expert"
)</f>
        <v>Expert</v>
      </c>
      <c r="P743" cm="1">
        <f t="array" ref="P743">_xlfn.SWITCH(tbl_analysis_tickets[[#This Row],[customer_satisfaction]],
"Low",1,
"Medium",2,
"High",3
)</f>
        <v>3</v>
      </c>
      <c r="Q743">
        <f>IF(tbl_analysis_tickets[[#This Row],[reopened]]="Yes",1,0)</f>
        <v>0</v>
      </c>
      <c r="R743" t="str" cm="1">
        <f t="array" ref="R743">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743" t="str" cm="1">
        <f t="array" ref="S74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743" t="str">
        <f>TEXT(tbl_analysis_tickets[[#This Row],[created_date]],"mmm-yyyy")</f>
        <v>Jan-2024</v>
      </c>
      <c r="U743" t="str">
        <f>TEXT(tbl_analysis_tickets[[#This Row],[created_date]],"dddd")</f>
        <v>Monday</v>
      </c>
      <c r="V743" cm="1">
        <f t="array" ref="V743">_xlfn.SWITCH(tbl_analysis_tickets[[#This Row],[priority]],
"Urgent",1,
"High",2,
"Medium",3,
"Low",4
)</f>
        <v>3</v>
      </c>
    </row>
    <row r="744" spans="1:22" x14ac:dyDescent="0.25">
      <c r="A744">
        <v>743</v>
      </c>
      <c r="B744" s="1">
        <v>45612</v>
      </c>
      <c r="C744" t="s">
        <v>10</v>
      </c>
      <c r="D744" t="s">
        <v>20</v>
      </c>
      <c r="E744">
        <v>5</v>
      </c>
      <c r="F744">
        <v>20</v>
      </c>
      <c r="G744">
        <v>0.6</v>
      </c>
      <c r="H744" t="s">
        <v>12</v>
      </c>
      <c r="I744" t="s">
        <v>16</v>
      </c>
      <c r="J744" t="s">
        <v>11</v>
      </c>
      <c r="K744">
        <f>_xlfn.XLOOKUP(tbl_analysis_tickets[[#This Row],[priority]],tbl_sla[priority],tbl_sla[Resolution SLA Hours])</f>
        <v>24</v>
      </c>
      <c r="L744">
        <f>_xlfn.XLOOKUP(tbl_analysis_tickets[[#This Row],[priority]],tbl_sla[priority],tbl_sla[First Response SLA Minutes])</f>
        <v>60</v>
      </c>
      <c r="M744" t="str">
        <f>IF(tbl_analysis_tickets[[#This Row],[resolution_time_hours]]&gt;tbl_analysis_tickets[[#This Row],[Resolution SLA Hours]],"Breached","Within SLA")</f>
        <v>Within SLA</v>
      </c>
      <c r="N744" t="str">
        <f>IF(tbl_analysis_tickets[[#This Row],[first_response_minutes]]&gt;tbl_analysis_tickets[[#This Row],[First Response SLA Minutes]],"Breached","Within SLA")</f>
        <v>Within SLA</v>
      </c>
      <c r="O744" t="str" cm="1">
        <f t="array" ref="O744">_xlfn.IFS(
tbl_analysis_tickets[[#This Row],[agent_experience_years]]&lt;=2,"Junior",
tbl_analysis_tickets[[#This Row],[agent_experience_years]]&lt;=5,"Mid-Level",
tbl_analysis_tickets[[#This Row],[agent_experience_years]]&lt;=8,"Senior",
tbl_analysis_tickets[[#This Row],[agent_experience_years]]&gt;8,"Expert"
)</f>
        <v>Junior</v>
      </c>
      <c r="P744" cm="1">
        <f t="array" ref="P744">_xlfn.SWITCH(tbl_analysis_tickets[[#This Row],[customer_satisfaction]],
"Low",1,
"Medium",2,
"High",3
)</f>
        <v>1</v>
      </c>
      <c r="Q744">
        <f>IF(tbl_analysis_tickets[[#This Row],[reopened]]="Yes",1,0)</f>
        <v>1</v>
      </c>
      <c r="R744" t="str" cm="1">
        <f t="array" ref="R744">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744" t="str" cm="1">
        <f t="array" ref="S74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744" t="str">
        <f>TEXT(tbl_analysis_tickets[[#This Row],[created_date]],"mmm-yyyy")</f>
        <v>Nov-2024</v>
      </c>
      <c r="U744" t="str">
        <f>TEXT(tbl_analysis_tickets[[#This Row],[created_date]],"dddd")</f>
        <v>Saturday</v>
      </c>
      <c r="V744" cm="1">
        <f t="array" ref="V744">_xlfn.SWITCH(tbl_analysis_tickets[[#This Row],[priority]],
"Urgent",1,
"High",2,
"Medium",3,
"Low",4
)</f>
        <v>2</v>
      </c>
    </row>
    <row r="745" spans="1:22" x14ac:dyDescent="0.25">
      <c r="A745">
        <v>744</v>
      </c>
      <c r="B745" s="1">
        <v>45427</v>
      </c>
      <c r="C745" t="s">
        <v>14</v>
      </c>
      <c r="D745" t="s">
        <v>15</v>
      </c>
      <c r="E745">
        <v>72</v>
      </c>
      <c r="F745">
        <v>66</v>
      </c>
      <c r="G745">
        <v>10</v>
      </c>
      <c r="H745" t="s">
        <v>18</v>
      </c>
      <c r="I745" t="s">
        <v>16</v>
      </c>
      <c r="J745" t="s">
        <v>15</v>
      </c>
      <c r="K745">
        <f>_xlfn.XLOOKUP(tbl_analysis_tickets[[#This Row],[priority]],tbl_sla[priority],tbl_sla[Resolution SLA Hours])</f>
        <v>48</v>
      </c>
      <c r="L745">
        <f>_xlfn.XLOOKUP(tbl_analysis_tickets[[#This Row],[priority]],tbl_sla[priority],tbl_sla[First Response SLA Minutes])</f>
        <v>120</v>
      </c>
      <c r="M745" t="str">
        <f>IF(tbl_analysis_tickets[[#This Row],[resolution_time_hours]]&gt;tbl_analysis_tickets[[#This Row],[Resolution SLA Hours]],"Breached","Within SLA")</f>
        <v>Breached</v>
      </c>
      <c r="N745" t="str">
        <f>IF(tbl_analysis_tickets[[#This Row],[first_response_minutes]]&gt;tbl_analysis_tickets[[#This Row],[First Response SLA Minutes]],"Breached","Within SLA")</f>
        <v>Within SLA</v>
      </c>
      <c r="O745" t="str" cm="1">
        <f t="array" ref="O745">_xlfn.IFS(
tbl_analysis_tickets[[#This Row],[agent_experience_years]]&lt;=2,"Junior",
tbl_analysis_tickets[[#This Row],[agent_experience_years]]&lt;=5,"Mid-Level",
tbl_analysis_tickets[[#This Row],[agent_experience_years]]&lt;=8,"Senior",
tbl_analysis_tickets[[#This Row],[agent_experience_years]]&gt;8,"Expert"
)</f>
        <v>Expert</v>
      </c>
      <c r="P745" cm="1">
        <f t="array" ref="P745">_xlfn.SWITCH(tbl_analysis_tickets[[#This Row],[customer_satisfaction]],
"Low",1,
"Medium",2,
"High",3
)</f>
        <v>2</v>
      </c>
      <c r="Q745">
        <f>IF(tbl_analysis_tickets[[#This Row],[reopened]]="Yes",1,0)</f>
        <v>0</v>
      </c>
      <c r="R745" t="str" cm="1">
        <f t="array" ref="R745">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745" t="str" cm="1">
        <f t="array" ref="S74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745" t="str">
        <f>TEXT(tbl_analysis_tickets[[#This Row],[created_date]],"mmm-yyyy")</f>
        <v>May-2024</v>
      </c>
      <c r="U745" t="str">
        <f>TEXT(tbl_analysis_tickets[[#This Row],[created_date]],"dddd")</f>
        <v>Wednesday</v>
      </c>
      <c r="V745" cm="1">
        <f t="array" ref="V745">_xlfn.SWITCH(tbl_analysis_tickets[[#This Row],[priority]],
"Urgent",1,
"High",2,
"Medium",3,
"Low",4
)</f>
        <v>3</v>
      </c>
    </row>
    <row r="746" spans="1:22" x14ac:dyDescent="0.25">
      <c r="A746">
        <v>745</v>
      </c>
      <c r="B746" s="1">
        <v>45584</v>
      </c>
      <c r="C746" t="s">
        <v>23</v>
      </c>
      <c r="D746" t="s">
        <v>15</v>
      </c>
      <c r="E746">
        <v>171</v>
      </c>
      <c r="F746">
        <v>55</v>
      </c>
      <c r="G746">
        <v>6.3</v>
      </c>
      <c r="H746" t="s">
        <v>18</v>
      </c>
      <c r="I746" t="s">
        <v>16</v>
      </c>
      <c r="J746" t="s">
        <v>15</v>
      </c>
      <c r="K746">
        <f>_xlfn.XLOOKUP(tbl_analysis_tickets[[#This Row],[priority]],tbl_sla[priority],tbl_sla[Resolution SLA Hours])</f>
        <v>48</v>
      </c>
      <c r="L746">
        <f>_xlfn.XLOOKUP(tbl_analysis_tickets[[#This Row],[priority]],tbl_sla[priority],tbl_sla[First Response SLA Minutes])</f>
        <v>120</v>
      </c>
      <c r="M746" t="str">
        <f>IF(tbl_analysis_tickets[[#This Row],[resolution_time_hours]]&gt;tbl_analysis_tickets[[#This Row],[Resolution SLA Hours]],"Breached","Within SLA")</f>
        <v>Breached</v>
      </c>
      <c r="N746" t="str">
        <f>IF(tbl_analysis_tickets[[#This Row],[first_response_minutes]]&gt;tbl_analysis_tickets[[#This Row],[First Response SLA Minutes]],"Breached","Within SLA")</f>
        <v>Breached</v>
      </c>
      <c r="O746" t="str" cm="1">
        <f t="array" ref="O746">_xlfn.IFS(
tbl_analysis_tickets[[#This Row],[agent_experience_years]]&lt;=2,"Junior",
tbl_analysis_tickets[[#This Row],[agent_experience_years]]&lt;=5,"Mid-Level",
tbl_analysis_tickets[[#This Row],[agent_experience_years]]&lt;=8,"Senior",
tbl_analysis_tickets[[#This Row],[agent_experience_years]]&gt;8,"Expert"
)</f>
        <v>Senior</v>
      </c>
      <c r="P746" cm="1">
        <f t="array" ref="P746">_xlfn.SWITCH(tbl_analysis_tickets[[#This Row],[customer_satisfaction]],
"Low",1,
"Medium",2,
"High",3
)</f>
        <v>2</v>
      </c>
      <c r="Q746">
        <f>IF(tbl_analysis_tickets[[#This Row],[reopened]]="Yes",1,0)</f>
        <v>0</v>
      </c>
      <c r="R746" t="str" cm="1">
        <f t="array" ref="R746">_xlfn.IFS(
tbl_analysis_tickets[[#This Row],[first_response_minutes]]&lt;=30,"Very Fast",
tbl_analysis_tickets[[#This Row],[first_response_minutes]]&lt;=120,"Acceptable",
tbl_analysis_tickets[[#This Row],[first_response_minutes]]&lt;=240,"Slow",
tbl_analysis_tickets[[#This Row],[first_response_minutes]]&gt;240,"Very Slow"
)</f>
        <v>Slow</v>
      </c>
      <c r="S746" t="str" cm="1">
        <f t="array" ref="S74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746" t="str">
        <f>TEXT(tbl_analysis_tickets[[#This Row],[created_date]],"mmm-yyyy")</f>
        <v>Oct-2024</v>
      </c>
      <c r="U746" t="str">
        <f>TEXT(tbl_analysis_tickets[[#This Row],[created_date]],"dddd")</f>
        <v>Saturday</v>
      </c>
      <c r="V746" cm="1">
        <f t="array" ref="V746">_xlfn.SWITCH(tbl_analysis_tickets[[#This Row],[priority]],
"Urgent",1,
"High",2,
"Medium",3,
"Low",4
)</f>
        <v>3</v>
      </c>
    </row>
    <row r="747" spans="1:22" x14ac:dyDescent="0.25">
      <c r="A747">
        <v>746</v>
      </c>
      <c r="B747" s="1">
        <v>45338</v>
      </c>
      <c r="C747" t="s">
        <v>10</v>
      </c>
      <c r="D747" t="s">
        <v>20</v>
      </c>
      <c r="E747">
        <v>110</v>
      </c>
      <c r="F747">
        <v>65</v>
      </c>
      <c r="G747">
        <v>5</v>
      </c>
      <c r="H747" t="s">
        <v>18</v>
      </c>
      <c r="I747" t="s">
        <v>16</v>
      </c>
      <c r="J747" t="s">
        <v>11</v>
      </c>
      <c r="K747">
        <f>_xlfn.XLOOKUP(tbl_analysis_tickets[[#This Row],[priority]],tbl_sla[priority],tbl_sla[Resolution SLA Hours])</f>
        <v>24</v>
      </c>
      <c r="L747">
        <f>_xlfn.XLOOKUP(tbl_analysis_tickets[[#This Row],[priority]],tbl_sla[priority],tbl_sla[First Response SLA Minutes])</f>
        <v>60</v>
      </c>
      <c r="M747" t="str">
        <f>IF(tbl_analysis_tickets[[#This Row],[resolution_time_hours]]&gt;tbl_analysis_tickets[[#This Row],[Resolution SLA Hours]],"Breached","Within SLA")</f>
        <v>Breached</v>
      </c>
      <c r="N747" t="str">
        <f>IF(tbl_analysis_tickets[[#This Row],[first_response_minutes]]&gt;tbl_analysis_tickets[[#This Row],[First Response SLA Minutes]],"Breached","Within SLA")</f>
        <v>Breached</v>
      </c>
      <c r="O747" t="str" cm="1">
        <f t="array" ref="O747">_xlfn.IFS(
tbl_analysis_tickets[[#This Row],[agent_experience_years]]&lt;=2,"Junior",
tbl_analysis_tickets[[#This Row],[agent_experience_years]]&lt;=5,"Mid-Level",
tbl_analysis_tickets[[#This Row],[agent_experience_years]]&lt;=8,"Senior",
tbl_analysis_tickets[[#This Row],[agent_experience_years]]&gt;8,"Expert"
)</f>
        <v>Mid-Level</v>
      </c>
      <c r="P747" cm="1">
        <f t="array" ref="P747">_xlfn.SWITCH(tbl_analysis_tickets[[#This Row],[customer_satisfaction]],
"Low",1,
"Medium",2,
"High",3
)</f>
        <v>1</v>
      </c>
      <c r="Q747">
        <f>IF(tbl_analysis_tickets[[#This Row],[reopened]]="Yes",1,0)</f>
        <v>0</v>
      </c>
      <c r="R747" t="str" cm="1">
        <f t="array" ref="R747">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747" t="str" cm="1">
        <f t="array" ref="S74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747" t="str">
        <f>TEXT(tbl_analysis_tickets[[#This Row],[created_date]],"mmm-yyyy")</f>
        <v>Feb-2024</v>
      </c>
      <c r="U747" t="str">
        <f>TEXT(tbl_analysis_tickets[[#This Row],[created_date]],"dddd")</f>
        <v>Friday</v>
      </c>
      <c r="V747" cm="1">
        <f t="array" ref="V747">_xlfn.SWITCH(tbl_analysis_tickets[[#This Row],[priority]],
"Urgent",1,
"High",2,
"Medium",3,
"Low",4
)</f>
        <v>2</v>
      </c>
    </row>
    <row r="748" spans="1:22" x14ac:dyDescent="0.25">
      <c r="A748">
        <v>747</v>
      </c>
      <c r="B748" s="1">
        <v>45635</v>
      </c>
      <c r="C748" t="s">
        <v>10</v>
      </c>
      <c r="D748" t="s">
        <v>17</v>
      </c>
      <c r="E748">
        <v>135</v>
      </c>
      <c r="F748">
        <v>24</v>
      </c>
      <c r="G748">
        <v>3.1</v>
      </c>
      <c r="H748" t="s">
        <v>12</v>
      </c>
      <c r="I748" t="s">
        <v>13</v>
      </c>
      <c r="J748" t="s">
        <v>11</v>
      </c>
      <c r="K748">
        <f>_xlfn.XLOOKUP(tbl_analysis_tickets[[#This Row],[priority]],tbl_sla[priority],tbl_sla[Resolution SLA Hours])</f>
        <v>8</v>
      </c>
      <c r="L748">
        <f>_xlfn.XLOOKUP(tbl_analysis_tickets[[#This Row],[priority]],tbl_sla[priority],tbl_sla[First Response SLA Minutes])</f>
        <v>30</v>
      </c>
      <c r="M748" t="str">
        <f>IF(tbl_analysis_tickets[[#This Row],[resolution_time_hours]]&gt;tbl_analysis_tickets[[#This Row],[Resolution SLA Hours]],"Breached","Within SLA")</f>
        <v>Breached</v>
      </c>
      <c r="N748" t="str">
        <f>IF(tbl_analysis_tickets[[#This Row],[first_response_minutes]]&gt;tbl_analysis_tickets[[#This Row],[First Response SLA Minutes]],"Breached","Within SLA")</f>
        <v>Breached</v>
      </c>
      <c r="O748" t="str" cm="1">
        <f t="array" ref="O748">_xlfn.IFS(
tbl_analysis_tickets[[#This Row],[agent_experience_years]]&lt;=2,"Junior",
tbl_analysis_tickets[[#This Row],[agent_experience_years]]&lt;=5,"Mid-Level",
tbl_analysis_tickets[[#This Row],[agent_experience_years]]&lt;=8,"Senior",
tbl_analysis_tickets[[#This Row],[agent_experience_years]]&gt;8,"Expert"
)</f>
        <v>Mid-Level</v>
      </c>
      <c r="P748" cm="1">
        <f t="array" ref="P748">_xlfn.SWITCH(tbl_analysis_tickets[[#This Row],[customer_satisfaction]],
"Low",1,
"Medium",2,
"High",3
)</f>
        <v>1</v>
      </c>
      <c r="Q748">
        <f>IF(tbl_analysis_tickets[[#This Row],[reopened]]="Yes",1,0)</f>
        <v>1</v>
      </c>
      <c r="R748" t="str" cm="1">
        <f t="array" ref="R748">_xlfn.IFS(
tbl_analysis_tickets[[#This Row],[first_response_minutes]]&lt;=30,"Very Fast",
tbl_analysis_tickets[[#This Row],[first_response_minutes]]&lt;=120,"Acceptable",
tbl_analysis_tickets[[#This Row],[first_response_minutes]]&lt;=240,"Slow",
tbl_analysis_tickets[[#This Row],[first_response_minutes]]&gt;240,"Very Slow"
)</f>
        <v>Slow</v>
      </c>
      <c r="S748" t="str" cm="1">
        <f t="array" ref="S74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748" t="str">
        <f>TEXT(tbl_analysis_tickets[[#This Row],[created_date]],"mmm-yyyy")</f>
        <v>Dec-2024</v>
      </c>
      <c r="U748" t="str">
        <f>TEXT(tbl_analysis_tickets[[#This Row],[created_date]],"dddd")</f>
        <v>Monday</v>
      </c>
      <c r="V748" cm="1">
        <f t="array" ref="V748">_xlfn.SWITCH(tbl_analysis_tickets[[#This Row],[priority]],
"Urgent",1,
"High",2,
"Medium",3,
"Low",4
)</f>
        <v>1</v>
      </c>
    </row>
    <row r="749" spans="1:22" x14ac:dyDescent="0.25">
      <c r="A749">
        <v>748</v>
      </c>
      <c r="B749" s="1">
        <v>45527</v>
      </c>
      <c r="C749" t="s">
        <v>10</v>
      </c>
      <c r="D749" t="s">
        <v>20</v>
      </c>
      <c r="E749">
        <v>30</v>
      </c>
      <c r="F749">
        <v>45</v>
      </c>
      <c r="G749">
        <v>6.1</v>
      </c>
      <c r="H749" t="s">
        <v>12</v>
      </c>
      <c r="I749" t="s">
        <v>13</v>
      </c>
      <c r="J749" t="s">
        <v>15</v>
      </c>
      <c r="K749">
        <f>_xlfn.XLOOKUP(tbl_analysis_tickets[[#This Row],[priority]],tbl_sla[priority],tbl_sla[Resolution SLA Hours])</f>
        <v>24</v>
      </c>
      <c r="L749">
        <f>_xlfn.XLOOKUP(tbl_analysis_tickets[[#This Row],[priority]],tbl_sla[priority],tbl_sla[First Response SLA Minutes])</f>
        <v>60</v>
      </c>
      <c r="M749" t="str">
        <f>IF(tbl_analysis_tickets[[#This Row],[resolution_time_hours]]&gt;tbl_analysis_tickets[[#This Row],[Resolution SLA Hours]],"Breached","Within SLA")</f>
        <v>Breached</v>
      </c>
      <c r="N749" t="str">
        <f>IF(tbl_analysis_tickets[[#This Row],[first_response_minutes]]&gt;tbl_analysis_tickets[[#This Row],[First Response SLA Minutes]],"Breached","Within SLA")</f>
        <v>Within SLA</v>
      </c>
      <c r="O749" t="str" cm="1">
        <f t="array" ref="O749">_xlfn.IFS(
tbl_analysis_tickets[[#This Row],[agent_experience_years]]&lt;=2,"Junior",
tbl_analysis_tickets[[#This Row],[agent_experience_years]]&lt;=5,"Mid-Level",
tbl_analysis_tickets[[#This Row],[agent_experience_years]]&lt;=8,"Senior",
tbl_analysis_tickets[[#This Row],[agent_experience_years]]&gt;8,"Expert"
)</f>
        <v>Senior</v>
      </c>
      <c r="P749" cm="1">
        <f t="array" ref="P749">_xlfn.SWITCH(tbl_analysis_tickets[[#This Row],[customer_satisfaction]],
"Low",1,
"Medium",2,
"High",3
)</f>
        <v>2</v>
      </c>
      <c r="Q749">
        <f>IF(tbl_analysis_tickets[[#This Row],[reopened]]="Yes",1,0)</f>
        <v>1</v>
      </c>
      <c r="R749" t="str" cm="1">
        <f t="array" ref="R749">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749" t="str" cm="1">
        <f t="array" ref="S74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749" t="str">
        <f>TEXT(tbl_analysis_tickets[[#This Row],[created_date]],"mmm-yyyy")</f>
        <v>Aug-2024</v>
      </c>
      <c r="U749" t="str">
        <f>TEXT(tbl_analysis_tickets[[#This Row],[created_date]],"dddd")</f>
        <v>Friday</v>
      </c>
      <c r="V749" cm="1">
        <f t="array" ref="V749">_xlfn.SWITCH(tbl_analysis_tickets[[#This Row],[priority]],
"Urgent",1,
"High",2,
"Medium",3,
"Low",4
)</f>
        <v>2</v>
      </c>
    </row>
    <row r="750" spans="1:22" x14ac:dyDescent="0.25">
      <c r="A750">
        <v>749</v>
      </c>
      <c r="B750" s="1">
        <v>45592</v>
      </c>
      <c r="C750" t="s">
        <v>23</v>
      </c>
      <c r="D750" t="s">
        <v>15</v>
      </c>
      <c r="E750">
        <v>145</v>
      </c>
      <c r="F750">
        <v>16</v>
      </c>
      <c r="G750">
        <v>8.9</v>
      </c>
      <c r="H750" t="s">
        <v>18</v>
      </c>
      <c r="I750" t="s">
        <v>13</v>
      </c>
      <c r="J750" t="s">
        <v>15</v>
      </c>
      <c r="K750">
        <f>_xlfn.XLOOKUP(tbl_analysis_tickets[[#This Row],[priority]],tbl_sla[priority],tbl_sla[Resolution SLA Hours])</f>
        <v>48</v>
      </c>
      <c r="L750">
        <f>_xlfn.XLOOKUP(tbl_analysis_tickets[[#This Row],[priority]],tbl_sla[priority],tbl_sla[First Response SLA Minutes])</f>
        <v>120</v>
      </c>
      <c r="M750" t="str">
        <f>IF(tbl_analysis_tickets[[#This Row],[resolution_time_hours]]&gt;tbl_analysis_tickets[[#This Row],[Resolution SLA Hours]],"Breached","Within SLA")</f>
        <v>Within SLA</v>
      </c>
      <c r="N750" t="str">
        <f>IF(tbl_analysis_tickets[[#This Row],[first_response_minutes]]&gt;tbl_analysis_tickets[[#This Row],[First Response SLA Minutes]],"Breached","Within SLA")</f>
        <v>Breached</v>
      </c>
      <c r="O750" t="str" cm="1">
        <f t="array" ref="O750">_xlfn.IFS(
tbl_analysis_tickets[[#This Row],[agent_experience_years]]&lt;=2,"Junior",
tbl_analysis_tickets[[#This Row],[agent_experience_years]]&lt;=5,"Mid-Level",
tbl_analysis_tickets[[#This Row],[agent_experience_years]]&lt;=8,"Senior",
tbl_analysis_tickets[[#This Row],[agent_experience_years]]&gt;8,"Expert"
)</f>
        <v>Expert</v>
      </c>
      <c r="P750" cm="1">
        <f t="array" ref="P750">_xlfn.SWITCH(tbl_analysis_tickets[[#This Row],[customer_satisfaction]],
"Low",1,
"Medium",2,
"High",3
)</f>
        <v>2</v>
      </c>
      <c r="Q750">
        <f>IF(tbl_analysis_tickets[[#This Row],[reopened]]="Yes",1,0)</f>
        <v>0</v>
      </c>
      <c r="R750" t="str" cm="1">
        <f t="array" ref="R750">_xlfn.IFS(
tbl_analysis_tickets[[#This Row],[first_response_minutes]]&lt;=30,"Very Fast",
tbl_analysis_tickets[[#This Row],[first_response_minutes]]&lt;=120,"Acceptable",
tbl_analysis_tickets[[#This Row],[first_response_minutes]]&lt;=240,"Slow",
tbl_analysis_tickets[[#This Row],[first_response_minutes]]&gt;240,"Very Slow"
)</f>
        <v>Slow</v>
      </c>
      <c r="S750" t="str" cm="1">
        <f t="array" ref="S75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750" t="str">
        <f>TEXT(tbl_analysis_tickets[[#This Row],[created_date]],"mmm-yyyy")</f>
        <v>Oct-2024</v>
      </c>
      <c r="U750" t="str">
        <f>TEXT(tbl_analysis_tickets[[#This Row],[created_date]],"dddd")</f>
        <v>Sunday</v>
      </c>
      <c r="V750" cm="1">
        <f t="array" ref="V750">_xlfn.SWITCH(tbl_analysis_tickets[[#This Row],[priority]],
"Urgent",1,
"High",2,
"Medium",3,
"Low",4
)</f>
        <v>3</v>
      </c>
    </row>
    <row r="751" spans="1:22" x14ac:dyDescent="0.25">
      <c r="A751">
        <v>750</v>
      </c>
      <c r="B751" s="1">
        <v>45507</v>
      </c>
      <c r="C751" t="s">
        <v>22</v>
      </c>
      <c r="D751" t="s">
        <v>17</v>
      </c>
      <c r="E751">
        <v>38</v>
      </c>
      <c r="F751">
        <v>71</v>
      </c>
      <c r="G751">
        <v>1</v>
      </c>
      <c r="H751" t="s">
        <v>18</v>
      </c>
      <c r="I751" t="s">
        <v>16</v>
      </c>
      <c r="J751" t="s">
        <v>11</v>
      </c>
      <c r="K751">
        <f>_xlfn.XLOOKUP(tbl_analysis_tickets[[#This Row],[priority]],tbl_sla[priority],tbl_sla[Resolution SLA Hours])</f>
        <v>8</v>
      </c>
      <c r="L751">
        <f>_xlfn.XLOOKUP(tbl_analysis_tickets[[#This Row],[priority]],tbl_sla[priority],tbl_sla[First Response SLA Minutes])</f>
        <v>30</v>
      </c>
      <c r="M751" t="str">
        <f>IF(tbl_analysis_tickets[[#This Row],[resolution_time_hours]]&gt;tbl_analysis_tickets[[#This Row],[Resolution SLA Hours]],"Breached","Within SLA")</f>
        <v>Breached</v>
      </c>
      <c r="N751" t="str">
        <f>IF(tbl_analysis_tickets[[#This Row],[first_response_minutes]]&gt;tbl_analysis_tickets[[#This Row],[First Response SLA Minutes]],"Breached","Within SLA")</f>
        <v>Breached</v>
      </c>
      <c r="O751" t="str" cm="1">
        <f t="array" ref="O751">_xlfn.IFS(
tbl_analysis_tickets[[#This Row],[agent_experience_years]]&lt;=2,"Junior",
tbl_analysis_tickets[[#This Row],[agent_experience_years]]&lt;=5,"Mid-Level",
tbl_analysis_tickets[[#This Row],[agent_experience_years]]&lt;=8,"Senior",
tbl_analysis_tickets[[#This Row],[agent_experience_years]]&gt;8,"Expert"
)</f>
        <v>Junior</v>
      </c>
      <c r="P751" cm="1">
        <f t="array" ref="P751">_xlfn.SWITCH(tbl_analysis_tickets[[#This Row],[customer_satisfaction]],
"Low",1,
"Medium",2,
"High",3
)</f>
        <v>1</v>
      </c>
      <c r="Q751">
        <f>IF(tbl_analysis_tickets[[#This Row],[reopened]]="Yes",1,0)</f>
        <v>0</v>
      </c>
      <c r="R751" t="str" cm="1">
        <f t="array" ref="R751">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751" t="str" cm="1">
        <f t="array" ref="S75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751" t="str">
        <f>TEXT(tbl_analysis_tickets[[#This Row],[created_date]],"mmm-yyyy")</f>
        <v>Aug-2024</v>
      </c>
      <c r="U751" t="str">
        <f>TEXT(tbl_analysis_tickets[[#This Row],[created_date]],"dddd")</f>
        <v>Saturday</v>
      </c>
      <c r="V751" cm="1">
        <f t="array" ref="V751">_xlfn.SWITCH(tbl_analysis_tickets[[#This Row],[priority]],
"Urgent",1,
"High",2,
"Medium",3,
"Low",4
)</f>
        <v>1</v>
      </c>
    </row>
    <row r="752" spans="1:22" x14ac:dyDescent="0.25">
      <c r="A752">
        <v>751</v>
      </c>
      <c r="B752" s="1">
        <v>45569</v>
      </c>
      <c r="C752" t="s">
        <v>10</v>
      </c>
      <c r="D752" t="s">
        <v>15</v>
      </c>
      <c r="E752">
        <v>189</v>
      </c>
      <c r="F752">
        <v>17</v>
      </c>
      <c r="G752">
        <v>2.4</v>
      </c>
      <c r="H752" t="s">
        <v>12</v>
      </c>
      <c r="I752" t="s">
        <v>13</v>
      </c>
      <c r="J752" t="s">
        <v>11</v>
      </c>
      <c r="K752">
        <f>_xlfn.XLOOKUP(tbl_analysis_tickets[[#This Row],[priority]],tbl_sla[priority],tbl_sla[Resolution SLA Hours])</f>
        <v>48</v>
      </c>
      <c r="L752">
        <f>_xlfn.XLOOKUP(tbl_analysis_tickets[[#This Row],[priority]],tbl_sla[priority],tbl_sla[First Response SLA Minutes])</f>
        <v>120</v>
      </c>
      <c r="M752" t="str">
        <f>IF(tbl_analysis_tickets[[#This Row],[resolution_time_hours]]&gt;tbl_analysis_tickets[[#This Row],[Resolution SLA Hours]],"Breached","Within SLA")</f>
        <v>Within SLA</v>
      </c>
      <c r="N752" t="str">
        <f>IF(tbl_analysis_tickets[[#This Row],[first_response_minutes]]&gt;tbl_analysis_tickets[[#This Row],[First Response SLA Minutes]],"Breached","Within SLA")</f>
        <v>Breached</v>
      </c>
      <c r="O752" t="str" cm="1">
        <f t="array" ref="O752">_xlfn.IFS(
tbl_analysis_tickets[[#This Row],[agent_experience_years]]&lt;=2,"Junior",
tbl_analysis_tickets[[#This Row],[agent_experience_years]]&lt;=5,"Mid-Level",
tbl_analysis_tickets[[#This Row],[agent_experience_years]]&lt;=8,"Senior",
tbl_analysis_tickets[[#This Row],[agent_experience_years]]&gt;8,"Expert"
)</f>
        <v>Mid-Level</v>
      </c>
      <c r="P752" cm="1">
        <f t="array" ref="P752">_xlfn.SWITCH(tbl_analysis_tickets[[#This Row],[customer_satisfaction]],
"Low",1,
"Medium",2,
"High",3
)</f>
        <v>1</v>
      </c>
      <c r="Q752">
        <f>IF(tbl_analysis_tickets[[#This Row],[reopened]]="Yes",1,0)</f>
        <v>1</v>
      </c>
      <c r="R752" t="str" cm="1">
        <f t="array" ref="R752">_xlfn.IFS(
tbl_analysis_tickets[[#This Row],[first_response_minutes]]&lt;=30,"Very Fast",
tbl_analysis_tickets[[#This Row],[first_response_minutes]]&lt;=120,"Acceptable",
tbl_analysis_tickets[[#This Row],[first_response_minutes]]&lt;=240,"Slow",
tbl_analysis_tickets[[#This Row],[first_response_minutes]]&gt;240,"Very Slow"
)</f>
        <v>Slow</v>
      </c>
      <c r="S752" t="str" cm="1">
        <f t="array" ref="S75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752" t="str">
        <f>TEXT(tbl_analysis_tickets[[#This Row],[created_date]],"mmm-yyyy")</f>
        <v>Oct-2024</v>
      </c>
      <c r="U752" t="str">
        <f>TEXT(tbl_analysis_tickets[[#This Row],[created_date]],"dddd")</f>
        <v>Friday</v>
      </c>
      <c r="V752" cm="1">
        <f t="array" ref="V752">_xlfn.SWITCH(tbl_analysis_tickets[[#This Row],[priority]],
"Urgent",1,
"High",2,
"Medium",3,
"Low",4
)</f>
        <v>3</v>
      </c>
    </row>
    <row r="753" spans="1:22" x14ac:dyDescent="0.25">
      <c r="A753">
        <v>752</v>
      </c>
      <c r="B753" s="1">
        <v>45527</v>
      </c>
      <c r="C753" t="s">
        <v>23</v>
      </c>
      <c r="D753" t="s">
        <v>11</v>
      </c>
      <c r="E753">
        <v>141</v>
      </c>
      <c r="F753">
        <v>27</v>
      </c>
      <c r="G753">
        <v>2.5</v>
      </c>
      <c r="H753" t="s">
        <v>18</v>
      </c>
      <c r="I753" t="s">
        <v>19</v>
      </c>
      <c r="J753" t="s">
        <v>11</v>
      </c>
      <c r="K753">
        <f>_xlfn.XLOOKUP(tbl_analysis_tickets[[#This Row],[priority]],tbl_sla[priority],tbl_sla[Resolution SLA Hours])</f>
        <v>72</v>
      </c>
      <c r="L753">
        <f>_xlfn.XLOOKUP(tbl_analysis_tickets[[#This Row],[priority]],tbl_sla[priority],tbl_sla[First Response SLA Minutes])</f>
        <v>240</v>
      </c>
      <c r="M753" t="str">
        <f>IF(tbl_analysis_tickets[[#This Row],[resolution_time_hours]]&gt;tbl_analysis_tickets[[#This Row],[Resolution SLA Hours]],"Breached","Within SLA")</f>
        <v>Within SLA</v>
      </c>
      <c r="N753" t="str">
        <f>IF(tbl_analysis_tickets[[#This Row],[first_response_minutes]]&gt;tbl_analysis_tickets[[#This Row],[First Response SLA Minutes]],"Breached","Within SLA")</f>
        <v>Within SLA</v>
      </c>
      <c r="O753" t="str" cm="1">
        <f t="array" ref="O753">_xlfn.IFS(
tbl_analysis_tickets[[#This Row],[agent_experience_years]]&lt;=2,"Junior",
tbl_analysis_tickets[[#This Row],[agent_experience_years]]&lt;=5,"Mid-Level",
tbl_analysis_tickets[[#This Row],[agent_experience_years]]&lt;=8,"Senior",
tbl_analysis_tickets[[#This Row],[agent_experience_years]]&gt;8,"Expert"
)</f>
        <v>Mid-Level</v>
      </c>
      <c r="P753" cm="1">
        <f t="array" ref="P753">_xlfn.SWITCH(tbl_analysis_tickets[[#This Row],[customer_satisfaction]],
"Low",1,
"Medium",2,
"High",3
)</f>
        <v>1</v>
      </c>
      <c r="Q753">
        <f>IF(tbl_analysis_tickets[[#This Row],[reopened]]="Yes",1,0)</f>
        <v>0</v>
      </c>
      <c r="R753" t="str" cm="1">
        <f t="array" ref="R753">_xlfn.IFS(
tbl_analysis_tickets[[#This Row],[first_response_minutes]]&lt;=30,"Very Fast",
tbl_analysis_tickets[[#This Row],[first_response_minutes]]&lt;=120,"Acceptable",
tbl_analysis_tickets[[#This Row],[first_response_minutes]]&lt;=240,"Slow",
tbl_analysis_tickets[[#This Row],[first_response_minutes]]&gt;240,"Very Slow"
)</f>
        <v>Slow</v>
      </c>
      <c r="S753" t="str" cm="1">
        <f t="array" ref="S75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753" t="str">
        <f>TEXT(tbl_analysis_tickets[[#This Row],[created_date]],"mmm-yyyy")</f>
        <v>Aug-2024</v>
      </c>
      <c r="U753" t="str">
        <f>TEXT(tbl_analysis_tickets[[#This Row],[created_date]],"dddd")</f>
        <v>Friday</v>
      </c>
      <c r="V753" cm="1">
        <f t="array" ref="V753">_xlfn.SWITCH(tbl_analysis_tickets[[#This Row],[priority]],
"Urgent",1,
"High",2,
"Medium",3,
"Low",4
)</f>
        <v>4</v>
      </c>
    </row>
    <row r="754" spans="1:22" x14ac:dyDescent="0.25">
      <c r="A754">
        <v>753</v>
      </c>
      <c r="B754" s="1">
        <v>45615</v>
      </c>
      <c r="C754" t="s">
        <v>23</v>
      </c>
      <c r="D754" t="s">
        <v>17</v>
      </c>
      <c r="E754">
        <v>47</v>
      </c>
      <c r="F754">
        <v>25</v>
      </c>
      <c r="G754">
        <v>1.2</v>
      </c>
      <c r="H754" t="s">
        <v>12</v>
      </c>
      <c r="I754" t="s">
        <v>16</v>
      </c>
      <c r="J754" t="s">
        <v>11</v>
      </c>
      <c r="K754">
        <f>_xlfn.XLOOKUP(tbl_analysis_tickets[[#This Row],[priority]],tbl_sla[priority],tbl_sla[Resolution SLA Hours])</f>
        <v>8</v>
      </c>
      <c r="L754">
        <f>_xlfn.XLOOKUP(tbl_analysis_tickets[[#This Row],[priority]],tbl_sla[priority],tbl_sla[First Response SLA Minutes])</f>
        <v>30</v>
      </c>
      <c r="M754" t="str">
        <f>IF(tbl_analysis_tickets[[#This Row],[resolution_time_hours]]&gt;tbl_analysis_tickets[[#This Row],[Resolution SLA Hours]],"Breached","Within SLA")</f>
        <v>Breached</v>
      </c>
      <c r="N754" t="str">
        <f>IF(tbl_analysis_tickets[[#This Row],[first_response_minutes]]&gt;tbl_analysis_tickets[[#This Row],[First Response SLA Minutes]],"Breached","Within SLA")</f>
        <v>Breached</v>
      </c>
      <c r="O754" t="str" cm="1">
        <f t="array" ref="O754">_xlfn.IFS(
tbl_analysis_tickets[[#This Row],[agent_experience_years]]&lt;=2,"Junior",
tbl_analysis_tickets[[#This Row],[agent_experience_years]]&lt;=5,"Mid-Level",
tbl_analysis_tickets[[#This Row],[agent_experience_years]]&lt;=8,"Senior",
tbl_analysis_tickets[[#This Row],[agent_experience_years]]&gt;8,"Expert"
)</f>
        <v>Junior</v>
      </c>
      <c r="P754" cm="1">
        <f t="array" ref="P754">_xlfn.SWITCH(tbl_analysis_tickets[[#This Row],[customer_satisfaction]],
"Low",1,
"Medium",2,
"High",3
)</f>
        <v>1</v>
      </c>
      <c r="Q754">
        <f>IF(tbl_analysis_tickets[[#This Row],[reopened]]="Yes",1,0)</f>
        <v>1</v>
      </c>
      <c r="R754" t="str" cm="1">
        <f t="array" ref="R754">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754" t="str" cm="1">
        <f t="array" ref="S75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754" t="str">
        <f>TEXT(tbl_analysis_tickets[[#This Row],[created_date]],"mmm-yyyy")</f>
        <v>Nov-2024</v>
      </c>
      <c r="U754" t="str">
        <f>TEXT(tbl_analysis_tickets[[#This Row],[created_date]],"dddd")</f>
        <v>Tuesday</v>
      </c>
      <c r="V754" cm="1">
        <f t="array" ref="V754">_xlfn.SWITCH(tbl_analysis_tickets[[#This Row],[priority]],
"Urgent",1,
"High",2,
"Medium",3,
"Low",4
)</f>
        <v>1</v>
      </c>
    </row>
    <row r="755" spans="1:22" x14ac:dyDescent="0.25">
      <c r="A755">
        <v>754</v>
      </c>
      <c r="B755" s="1">
        <v>45386</v>
      </c>
      <c r="C755" t="s">
        <v>23</v>
      </c>
      <c r="D755" t="s">
        <v>20</v>
      </c>
      <c r="E755">
        <v>170</v>
      </c>
      <c r="F755">
        <v>50</v>
      </c>
      <c r="G755">
        <v>8.1999999999999993</v>
      </c>
      <c r="H755" t="s">
        <v>12</v>
      </c>
      <c r="I755" t="s">
        <v>13</v>
      </c>
      <c r="J755" t="s">
        <v>11</v>
      </c>
      <c r="K755">
        <f>_xlfn.XLOOKUP(tbl_analysis_tickets[[#This Row],[priority]],tbl_sla[priority],tbl_sla[Resolution SLA Hours])</f>
        <v>24</v>
      </c>
      <c r="L755">
        <f>_xlfn.XLOOKUP(tbl_analysis_tickets[[#This Row],[priority]],tbl_sla[priority],tbl_sla[First Response SLA Minutes])</f>
        <v>60</v>
      </c>
      <c r="M755" t="str">
        <f>IF(tbl_analysis_tickets[[#This Row],[resolution_time_hours]]&gt;tbl_analysis_tickets[[#This Row],[Resolution SLA Hours]],"Breached","Within SLA")</f>
        <v>Breached</v>
      </c>
      <c r="N755" t="str">
        <f>IF(tbl_analysis_tickets[[#This Row],[first_response_minutes]]&gt;tbl_analysis_tickets[[#This Row],[First Response SLA Minutes]],"Breached","Within SLA")</f>
        <v>Breached</v>
      </c>
      <c r="O755" t="str" cm="1">
        <f t="array" ref="O755">_xlfn.IFS(
tbl_analysis_tickets[[#This Row],[agent_experience_years]]&lt;=2,"Junior",
tbl_analysis_tickets[[#This Row],[agent_experience_years]]&lt;=5,"Mid-Level",
tbl_analysis_tickets[[#This Row],[agent_experience_years]]&lt;=8,"Senior",
tbl_analysis_tickets[[#This Row],[agent_experience_years]]&gt;8,"Expert"
)</f>
        <v>Expert</v>
      </c>
      <c r="P755" cm="1">
        <f t="array" ref="P755">_xlfn.SWITCH(tbl_analysis_tickets[[#This Row],[customer_satisfaction]],
"Low",1,
"Medium",2,
"High",3
)</f>
        <v>1</v>
      </c>
      <c r="Q755">
        <f>IF(tbl_analysis_tickets[[#This Row],[reopened]]="Yes",1,0)</f>
        <v>1</v>
      </c>
      <c r="R755" t="str" cm="1">
        <f t="array" ref="R755">_xlfn.IFS(
tbl_analysis_tickets[[#This Row],[first_response_minutes]]&lt;=30,"Very Fast",
tbl_analysis_tickets[[#This Row],[first_response_minutes]]&lt;=120,"Acceptable",
tbl_analysis_tickets[[#This Row],[first_response_minutes]]&lt;=240,"Slow",
tbl_analysis_tickets[[#This Row],[first_response_minutes]]&gt;240,"Very Slow"
)</f>
        <v>Slow</v>
      </c>
      <c r="S755" t="str" cm="1">
        <f t="array" ref="S75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755" t="str">
        <f>TEXT(tbl_analysis_tickets[[#This Row],[created_date]],"mmm-yyyy")</f>
        <v>Apr-2024</v>
      </c>
      <c r="U755" t="str">
        <f>TEXT(tbl_analysis_tickets[[#This Row],[created_date]],"dddd")</f>
        <v>Thursday</v>
      </c>
      <c r="V755" cm="1">
        <f t="array" ref="V755">_xlfn.SWITCH(tbl_analysis_tickets[[#This Row],[priority]],
"Urgent",1,
"High",2,
"Medium",3,
"Low",4
)</f>
        <v>2</v>
      </c>
    </row>
    <row r="756" spans="1:22" x14ac:dyDescent="0.25">
      <c r="A756">
        <v>755</v>
      </c>
      <c r="B756" s="1">
        <v>45416</v>
      </c>
      <c r="C756" t="s">
        <v>21</v>
      </c>
      <c r="D756" t="s">
        <v>11</v>
      </c>
      <c r="E756">
        <v>106</v>
      </c>
      <c r="F756">
        <v>21</v>
      </c>
      <c r="G756">
        <v>6.6</v>
      </c>
      <c r="H756" t="s">
        <v>12</v>
      </c>
      <c r="I756" t="s">
        <v>16</v>
      </c>
      <c r="J756" t="s">
        <v>11</v>
      </c>
      <c r="K756">
        <f>_xlfn.XLOOKUP(tbl_analysis_tickets[[#This Row],[priority]],tbl_sla[priority],tbl_sla[Resolution SLA Hours])</f>
        <v>72</v>
      </c>
      <c r="L756">
        <f>_xlfn.XLOOKUP(tbl_analysis_tickets[[#This Row],[priority]],tbl_sla[priority],tbl_sla[First Response SLA Minutes])</f>
        <v>240</v>
      </c>
      <c r="M756" t="str">
        <f>IF(tbl_analysis_tickets[[#This Row],[resolution_time_hours]]&gt;tbl_analysis_tickets[[#This Row],[Resolution SLA Hours]],"Breached","Within SLA")</f>
        <v>Within SLA</v>
      </c>
      <c r="N756" t="str">
        <f>IF(tbl_analysis_tickets[[#This Row],[first_response_minutes]]&gt;tbl_analysis_tickets[[#This Row],[First Response SLA Minutes]],"Breached","Within SLA")</f>
        <v>Within SLA</v>
      </c>
      <c r="O756" t="str" cm="1">
        <f t="array" ref="O756">_xlfn.IFS(
tbl_analysis_tickets[[#This Row],[agent_experience_years]]&lt;=2,"Junior",
tbl_analysis_tickets[[#This Row],[agent_experience_years]]&lt;=5,"Mid-Level",
tbl_analysis_tickets[[#This Row],[agent_experience_years]]&lt;=8,"Senior",
tbl_analysis_tickets[[#This Row],[agent_experience_years]]&gt;8,"Expert"
)</f>
        <v>Senior</v>
      </c>
      <c r="P756" cm="1">
        <f t="array" ref="P756">_xlfn.SWITCH(tbl_analysis_tickets[[#This Row],[customer_satisfaction]],
"Low",1,
"Medium",2,
"High",3
)</f>
        <v>1</v>
      </c>
      <c r="Q756">
        <f>IF(tbl_analysis_tickets[[#This Row],[reopened]]="Yes",1,0)</f>
        <v>1</v>
      </c>
      <c r="R756" t="str" cm="1">
        <f t="array" ref="R756">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756" t="str" cm="1">
        <f t="array" ref="S75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756" t="str">
        <f>TEXT(tbl_analysis_tickets[[#This Row],[created_date]],"mmm-yyyy")</f>
        <v>May-2024</v>
      </c>
      <c r="U756" t="str">
        <f>TEXT(tbl_analysis_tickets[[#This Row],[created_date]],"dddd")</f>
        <v>Saturday</v>
      </c>
      <c r="V756" cm="1">
        <f t="array" ref="V756">_xlfn.SWITCH(tbl_analysis_tickets[[#This Row],[priority]],
"Urgent",1,
"High",2,
"Medium",3,
"Low",4
)</f>
        <v>4</v>
      </c>
    </row>
    <row r="757" spans="1:22" x14ac:dyDescent="0.25">
      <c r="A757">
        <v>756</v>
      </c>
      <c r="B757" s="1">
        <v>45370</v>
      </c>
      <c r="C757" t="s">
        <v>14</v>
      </c>
      <c r="D757" t="s">
        <v>11</v>
      </c>
      <c r="E757">
        <v>48</v>
      </c>
      <c r="F757">
        <v>71</v>
      </c>
      <c r="G757">
        <v>4.5</v>
      </c>
      <c r="H757" t="s">
        <v>12</v>
      </c>
      <c r="I757" t="s">
        <v>16</v>
      </c>
      <c r="J757" t="s">
        <v>11</v>
      </c>
      <c r="K757">
        <f>_xlfn.XLOOKUP(tbl_analysis_tickets[[#This Row],[priority]],tbl_sla[priority],tbl_sla[Resolution SLA Hours])</f>
        <v>72</v>
      </c>
      <c r="L757">
        <f>_xlfn.XLOOKUP(tbl_analysis_tickets[[#This Row],[priority]],tbl_sla[priority],tbl_sla[First Response SLA Minutes])</f>
        <v>240</v>
      </c>
      <c r="M757" t="str">
        <f>IF(tbl_analysis_tickets[[#This Row],[resolution_time_hours]]&gt;tbl_analysis_tickets[[#This Row],[Resolution SLA Hours]],"Breached","Within SLA")</f>
        <v>Within SLA</v>
      </c>
      <c r="N757" t="str">
        <f>IF(tbl_analysis_tickets[[#This Row],[first_response_minutes]]&gt;tbl_analysis_tickets[[#This Row],[First Response SLA Minutes]],"Breached","Within SLA")</f>
        <v>Within SLA</v>
      </c>
      <c r="O757" t="str" cm="1">
        <f t="array" ref="O757">_xlfn.IFS(
tbl_analysis_tickets[[#This Row],[agent_experience_years]]&lt;=2,"Junior",
tbl_analysis_tickets[[#This Row],[agent_experience_years]]&lt;=5,"Mid-Level",
tbl_analysis_tickets[[#This Row],[agent_experience_years]]&lt;=8,"Senior",
tbl_analysis_tickets[[#This Row],[agent_experience_years]]&gt;8,"Expert"
)</f>
        <v>Mid-Level</v>
      </c>
      <c r="P757" cm="1">
        <f t="array" ref="P757">_xlfn.SWITCH(tbl_analysis_tickets[[#This Row],[customer_satisfaction]],
"Low",1,
"Medium",2,
"High",3
)</f>
        <v>1</v>
      </c>
      <c r="Q757">
        <f>IF(tbl_analysis_tickets[[#This Row],[reopened]]="Yes",1,0)</f>
        <v>1</v>
      </c>
      <c r="R757" t="str" cm="1">
        <f t="array" ref="R757">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757" t="str" cm="1">
        <f t="array" ref="S75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757" t="str">
        <f>TEXT(tbl_analysis_tickets[[#This Row],[created_date]],"mmm-yyyy")</f>
        <v>Mar-2024</v>
      </c>
      <c r="U757" t="str">
        <f>TEXT(tbl_analysis_tickets[[#This Row],[created_date]],"dddd")</f>
        <v>Tuesday</v>
      </c>
      <c r="V757" cm="1">
        <f t="array" ref="V757">_xlfn.SWITCH(tbl_analysis_tickets[[#This Row],[priority]],
"Urgent",1,
"High",2,
"Medium",3,
"Low",4
)</f>
        <v>4</v>
      </c>
    </row>
    <row r="758" spans="1:22" x14ac:dyDescent="0.25">
      <c r="A758">
        <v>757</v>
      </c>
      <c r="B758" s="1">
        <v>45312</v>
      </c>
      <c r="C758" t="s">
        <v>10</v>
      </c>
      <c r="D758" t="s">
        <v>11</v>
      </c>
      <c r="E758">
        <v>167</v>
      </c>
      <c r="F758">
        <v>68</v>
      </c>
      <c r="G758">
        <v>1.4</v>
      </c>
      <c r="H758" t="s">
        <v>12</v>
      </c>
      <c r="I758" t="s">
        <v>19</v>
      </c>
      <c r="J758" t="s">
        <v>11</v>
      </c>
      <c r="K758">
        <f>_xlfn.XLOOKUP(tbl_analysis_tickets[[#This Row],[priority]],tbl_sla[priority],tbl_sla[Resolution SLA Hours])</f>
        <v>72</v>
      </c>
      <c r="L758">
        <f>_xlfn.XLOOKUP(tbl_analysis_tickets[[#This Row],[priority]],tbl_sla[priority],tbl_sla[First Response SLA Minutes])</f>
        <v>240</v>
      </c>
      <c r="M758" t="str">
        <f>IF(tbl_analysis_tickets[[#This Row],[resolution_time_hours]]&gt;tbl_analysis_tickets[[#This Row],[Resolution SLA Hours]],"Breached","Within SLA")</f>
        <v>Within SLA</v>
      </c>
      <c r="N758" t="str">
        <f>IF(tbl_analysis_tickets[[#This Row],[first_response_minutes]]&gt;tbl_analysis_tickets[[#This Row],[First Response SLA Minutes]],"Breached","Within SLA")</f>
        <v>Within SLA</v>
      </c>
      <c r="O758" t="str" cm="1">
        <f t="array" ref="O758">_xlfn.IFS(
tbl_analysis_tickets[[#This Row],[agent_experience_years]]&lt;=2,"Junior",
tbl_analysis_tickets[[#This Row],[agent_experience_years]]&lt;=5,"Mid-Level",
tbl_analysis_tickets[[#This Row],[agent_experience_years]]&lt;=8,"Senior",
tbl_analysis_tickets[[#This Row],[agent_experience_years]]&gt;8,"Expert"
)</f>
        <v>Junior</v>
      </c>
      <c r="P758" cm="1">
        <f t="array" ref="P758">_xlfn.SWITCH(tbl_analysis_tickets[[#This Row],[customer_satisfaction]],
"Low",1,
"Medium",2,
"High",3
)</f>
        <v>1</v>
      </c>
      <c r="Q758">
        <f>IF(tbl_analysis_tickets[[#This Row],[reopened]]="Yes",1,0)</f>
        <v>1</v>
      </c>
      <c r="R758" t="str" cm="1">
        <f t="array" ref="R758">_xlfn.IFS(
tbl_analysis_tickets[[#This Row],[first_response_minutes]]&lt;=30,"Very Fast",
tbl_analysis_tickets[[#This Row],[first_response_minutes]]&lt;=120,"Acceptable",
tbl_analysis_tickets[[#This Row],[first_response_minutes]]&lt;=240,"Slow",
tbl_analysis_tickets[[#This Row],[first_response_minutes]]&gt;240,"Very Slow"
)</f>
        <v>Slow</v>
      </c>
      <c r="S758" t="str" cm="1">
        <f t="array" ref="S75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758" t="str">
        <f>TEXT(tbl_analysis_tickets[[#This Row],[created_date]],"mmm-yyyy")</f>
        <v>Jan-2024</v>
      </c>
      <c r="U758" t="str">
        <f>TEXT(tbl_analysis_tickets[[#This Row],[created_date]],"dddd")</f>
        <v>Sunday</v>
      </c>
      <c r="V758" cm="1">
        <f t="array" ref="V758">_xlfn.SWITCH(tbl_analysis_tickets[[#This Row],[priority]],
"Urgent",1,
"High",2,
"Medium",3,
"Low",4
)</f>
        <v>4</v>
      </c>
    </row>
    <row r="759" spans="1:22" x14ac:dyDescent="0.25">
      <c r="A759">
        <v>758</v>
      </c>
      <c r="B759" s="1">
        <v>45400</v>
      </c>
      <c r="C759" t="s">
        <v>14</v>
      </c>
      <c r="D759" t="s">
        <v>11</v>
      </c>
      <c r="E759">
        <v>211</v>
      </c>
      <c r="F759">
        <v>61</v>
      </c>
      <c r="G759">
        <v>8.3000000000000007</v>
      </c>
      <c r="H759" t="s">
        <v>12</v>
      </c>
      <c r="I759" t="s">
        <v>16</v>
      </c>
      <c r="J759" t="s">
        <v>11</v>
      </c>
      <c r="K759">
        <f>_xlfn.XLOOKUP(tbl_analysis_tickets[[#This Row],[priority]],tbl_sla[priority],tbl_sla[Resolution SLA Hours])</f>
        <v>72</v>
      </c>
      <c r="L759">
        <f>_xlfn.XLOOKUP(tbl_analysis_tickets[[#This Row],[priority]],tbl_sla[priority],tbl_sla[First Response SLA Minutes])</f>
        <v>240</v>
      </c>
      <c r="M759" t="str">
        <f>IF(tbl_analysis_tickets[[#This Row],[resolution_time_hours]]&gt;tbl_analysis_tickets[[#This Row],[Resolution SLA Hours]],"Breached","Within SLA")</f>
        <v>Within SLA</v>
      </c>
      <c r="N759" t="str">
        <f>IF(tbl_analysis_tickets[[#This Row],[first_response_minutes]]&gt;tbl_analysis_tickets[[#This Row],[First Response SLA Minutes]],"Breached","Within SLA")</f>
        <v>Within SLA</v>
      </c>
      <c r="O759" t="str" cm="1">
        <f t="array" ref="O759">_xlfn.IFS(
tbl_analysis_tickets[[#This Row],[agent_experience_years]]&lt;=2,"Junior",
tbl_analysis_tickets[[#This Row],[agent_experience_years]]&lt;=5,"Mid-Level",
tbl_analysis_tickets[[#This Row],[agent_experience_years]]&lt;=8,"Senior",
tbl_analysis_tickets[[#This Row],[agent_experience_years]]&gt;8,"Expert"
)</f>
        <v>Expert</v>
      </c>
      <c r="P759" cm="1">
        <f t="array" ref="P759">_xlfn.SWITCH(tbl_analysis_tickets[[#This Row],[customer_satisfaction]],
"Low",1,
"Medium",2,
"High",3
)</f>
        <v>1</v>
      </c>
      <c r="Q759">
        <f>IF(tbl_analysis_tickets[[#This Row],[reopened]]="Yes",1,0)</f>
        <v>1</v>
      </c>
      <c r="R759" t="str" cm="1">
        <f t="array" ref="R759">_xlfn.IFS(
tbl_analysis_tickets[[#This Row],[first_response_minutes]]&lt;=30,"Very Fast",
tbl_analysis_tickets[[#This Row],[first_response_minutes]]&lt;=120,"Acceptable",
tbl_analysis_tickets[[#This Row],[first_response_minutes]]&lt;=240,"Slow",
tbl_analysis_tickets[[#This Row],[first_response_minutes]]&gt;240,"Very Slow"
)</f>
        <v>Slow</v>
      </c>
      <c r="S759" t="str" cm="1">
        <f t="array" ref="S75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759" t="str">
        <f>TEXT(tbl_analysis_tickets[[#This Row],[created_date]],"mmm-yyyy")</f>
        <v>Apr-2024</v>
      </c>
      <c r="U759" t="str">
        <f>TEXT(tbl_analysis_tickets[[#This Row],[created_date]],"dddd")</f>
        <v>Thursday</v>
      </c>
      <c r="V759" cm="1">
        <f t="array" ref="V759">_xlfn.SWITCH(tbl_analysis_tickets[[#This Row],[priority]],
"Urgent",1,
"High",2,
"Medium",3,
"Low",4
)</f>
        <v>4</v>
      </c>
    </row>
    <row r="760" spans="1:22" x14ac:dyDescent="0.25">
      <c r="A760">
        <v>759</v>
      </c>
      <c r="B760" s="1">
        <v>45617</v>
      </c>
      <c r="C760" t="s">
        <v>22</v>
      </c>
      <c r="D760" t="s">
        <v>17</v>
      </c>
      <c r="E760">
        <v>37</v>
      </c>
      <c r="F760">
        <v>1</v>
      </c>
      <c r="G760">
        <v>2.7</v>
      </c>
      <c r="H760" t="s">
        <v>18</v>
      </c>
      <c r="I760" t="s">
        <v>13</v>
      </c>
      <c r="J760" t="s">
        <v>15</v>
      </c>
      <c r="K760">
        <f>_xlfn.XLOOKUP(tbl_analysis_tickets[[#This Row],[priority]],tbl_sla[priority],tbl_sla[Resolution SLA Hours])</f>
        <v>8</v>
      </c>
      <c r="L760">
        <f>_xlfn.XLOOKUP(tbl_analysis_tickets[[#This Row],[priority]],tbl_sla[priority],tbl_sla[First Response SLA Minutes])</f>
        <v>30</v>
      </c>
      <c r="M760" t="str">
        <f>IF(tbl_analysis_tickets[[#This Row],[resolution_time_hours]]&gt;tbl_analysis_tickets[[#This Row],[Resolution SLA Hours]],"Breached","Within SLA")</f>
        <v>Within SLA</v>
      </c>
      <c r="N760" t="str">
        <f>IF(tbl_analysis_tickets[[#This Row],[first_response_minutes]]&gt;tbl_analysis_tickets[[#This Row],[First Response SLA Minutes]],"Breached","Within SLA")</f>
        <v>Breached</v>
      </c>
      <c r="O760" t="str" cm="1">
        <f t="array" ref="O760">_xlfn.IFS(
tbl_analysis_tickets[[#This Row],[agent_experience_years]]&lt;=2,"Junior",
tbl_analysis_tickets[[#This Row],[agent_experience_years]]&lt;=5,"Mid-Level",
tbl_analysis_tickets[[#This Row],[agent_experience_years]]&lt;=8,"Senior",
tbl_analysis_tickets[[#This Row],[agent_experience_years]]&gt;8,"Expert"
)</f>
        <v>Mid-Level</v>
      </c>
      <c r="P760" cm="1">
        <f t="array" ref="P760">_xlfn.SWITCH(tbl_analysis_tickets[[#This Row],[customer_satisfaction]],
"Low",1,
"Medium",2,
"High",3
)</f>
        <v>2</v>
      </c>
      <c r="Q760">
        <f>IF(tbl_analysis_tickets[[#This Row],[reopened]]="Yes",1,0)</f>
        <v>0</v>
      </c>
      <c r="R760" t="str" cm="1">
        <f t="array" ref="R760">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760" t="str" cm="1">
        <f t="array" ref="S76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760" t="str">
        <f>TEXT(tbl_analysis_tickets[[#This Row],[created_date]],"mmm-yyyy")</f>
        <v>Nov-2024</v>
      </c>
      <c r="U760" t="str">
        <f>TEXT(tbl_analysis_tickets[[#This Row],[created_date]],"dddd")</f>
        <v>Thursday</v>
      </c>
      <c r="V760" cm="1">
        <f t="array" ref="V760">_xlfn.SWITCH(tbl_analysis_tickets[[#This Row],[priority]],
"Urgent",1,
"High",2,
"Medium",3,
"Low",4
)</f>
        <v>1</v>
      </c>
    </row>
    <row r="761" spans="1:22" x14ac:dyDescent="0.25">
      <c r="A761">
        <v>760</v>
      </c>
      <c r="B761" s="1">
        <v>45484</v>
      </c>
      <c r="C761" t="s">
        <v>23</v>
      </c>
      <c r="D761" t="s">
        <v>15</v>
      </c>
      <c r="E761">
        <v>39</v>
      </c>
      <c r="F761">
        <v>19</v>
      </c>
      <c r="G761">
        <v>3.7</v>
      </c>
      <c r="H761" t="s">
        <v>18</v>
      </c>
      <c r="I761" t="s">
        <v>13</v>
      </c>
      <c r="J761" t="s">
        <v>11</v>
      </c>
      <c r="K761">
        <f>_xlfn.XLOOKUP(tbl_analysis_tickets[[#This Row],[priority]],tbl_sla[priority],tbl_sla[Resolution SLA Hours])</f>
        <v>48</v>
      </c>
      <c r="L761">
        <f>_xlfn.XLOOKUP(tbl_analysis_tickets[[#This Row],[priority]],tbl_sla[priority],tbl_sla[First Response SLA Minutes])</f>
        <v>120</v>
      </c>
      <c r="M761" t="str">
        <f>IF(tbl_analysis_tickets[[#This Row],[resolution_time_hours]]&gt;tbl_analysis_tickets[[#This Row],[Resolution SLA Hours]],"Breached","Within SLA")</f>
        <v>Within SLA</v>
      </c>
      <c r="N761" t="str">
        <f>IF(tbl_analysis_tickets[[#This Row],[first_response_minutes]]&gt;tbl_analysis_tickets[[#This Row],[First Response SLA Minutes]],"Breached","Within SLA")</f>
        <v>Within SLA</v>
      </c>
      <c r="O761" t="str" cm="1">
        <f t="array" ref="O761">_xlfn.IFS(
tbl_analysis_tickets[[#This Row],[agent_experience_years]]&lt;=2,"Junior",
tbl_analysis_tickets[[#This Row],[agent_experience_years]]&lt;=5,"Mid-Level",
tbl_analysis_tickets[[#This Row],[agent_experience_years]]&lt;=8,"Senior",
tbl_analysis_tickets[[#This Row],[agent_experience_years]]&gt;8,"Expert"
)</f>
        <v>Mid-Level</v>
      </c>
      <c r="P761" cm="1">
        <f t="array" ref="P761">_xlfn.SWITCH(tbl_analysis_tickets[[#This Row],[customer_satisfaction]],
"Low",1,
"Medium",2,
"High",3
)</f>
        <v>1</v>
      </c>
      <c r="Q761">
        <f>IF(tbl_analysis_tickets[[#This Row],[reopened]]="Yes",1,0)</f>
        <v>0</v>
      </c>
      <c r="R761" t="str" cm="1">
        <f t="array" ref="R761">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761" t="str" cm="1">
        <f t="array" ref="S76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761" t="str">
        <f>TEXT(tbl_analysis_tickets[[#This Row],[created_date]],"mmm-yyyy")</f>
        <v>Jul-2024</v>
      </c>
      <c r="U761" t="str">
        <f>TEXT(tbl_analysis_tickets[[#This Row],[created_date]],"dddd")</f>
        <v>Thursday</v>
      </c>
      <c r="V761" cm="1">
        <f t="array" ref="V761">_xlfn.SWITCH(tbl_analysis_tickets[[#This Row],[priority]],
"Urgent",1,
"High",2,
"Medium",3,
"Low",4
)</f>
        <v>3</v>
      </c>
    </row>
    <row r="762" spans="1:22" x14ac:dyDescent="0.25">
      <c r="A762">
        <v>761</v>
      </c>
      <c r="B762" s="1">
        <v>45334</v>
      </c>
      <c r="C762" t="s">
        <v>10</v>
      </c>
      <c r="D762" t="s">
        <v>11</v>
      </c>
      <c r="E762">
        <v>201</v>
      </c>
      <c r="F762">
        <v>59</v>
      </c>
      <c r="G762">
        <v>0.6</v>
      </c>
      <c r="H762" t="s">
        <v>12</v>
      </c>
      <c r="I762" t="s">
        <v>19</v>
      </c>
      <c r="J762" t="s">
        <v>11</v>
      </c>
      <c r="K762">
        <f>_xlfn.XLOOKUP(tbl_analysis_tickets[[#This Row],[priority]],tbl_sla[priority],tbl_sla[Resolution SLA Hours])</f>
        <v>72</v>
      </c>
      <c r="L762">
        <f>_xlfn.XLOOKUP(tbl_analysis_tickets[[#This Row],[priority]],tbl_sla[priority],tbl_sla[First Response SLA Minutes])</f>
        <v>240</v>
      </c>
      <c r="M762" t="str">
        <f>IF(tbl_analysis_tickets[[#This Row],[resolution_time_hours]]&gt;tbl_analysis_tickets[[#This Row],[Resolution SLA Hours]],"Breached","Within SLA")</f>
        <v>Within SLA</v>
      </c>
      <c r="N762" t="str">
        <f>IF(tbl_analysis_tickets[[#This Row],[first_response_minutes]]&gt;tbl_analysis_tickets[[#This Row],[First Response SLA Minutes]],"Breached","Within SLA")</f>
        <v>Within SLA</v>
      </c>
      <c r="O762" t="str" cm="1">
        <f t="array" ref="O762">_xlfn.IFS(
tbl_analysis_tickets[[#This Row],[agent_experience_years]]&lt;=2,"Junior",
tbl_analysis_tickets[[#This Row],[agent_experience_years]]&lt;=5,"Mid-Level",
tbl_analysis_tickets[[#This Row],[agent_experience_years]]&lt;=8,"Senior",
tbl_analysis_tickets[[#This Row],[agent_experience_years]]&gt;8,"Expert"
)</f>
        <v>Junior</v>
      </c>
      <c r="P762" cm="1">
        <f t="array" ref="P762">_xlfn.SWITCH(tbl_analysis_tickets[[#This Row],[customer_satisfaction]],
"Low",1,
"Medium",2,
"High",3
)</f>
        <v>1</v>
      </c>
      <c r="Q762">
        <f>IF(tbl_analysis_tickets[[#This Row],[reopened]]="Yes",1,0)</f>
        <v>1</v>
      </c>
      <c r="R762" t="str" cm="1">
        <f t="array" ref="R762">_xlfn.IFS(
tbl_analysis_tickets[[#This Row],[first_response_minutes]]&lt;=30,"Very Fast",
tbl_analysis_tickets[[#This Row],[first_response_minutes]]&lt;=120,"Acceptable",
tbl_analysis_tickets[[#This Row],[first_response_minutes]]&lt;=240,"Slow",
tbl_analysis_tickets[[#This Row],[first_response_minutes]]&gt;240,"Very Slow"
)</f>
        <v>Slow</v>
      </c>
      <c r="S762" t="str" cm="1">
        <f t="array" ref="S76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762" t="str">
        <f>TEXT(tbl_analysis_tickets[[#This Row],[created_date]],"mmm-yyyy")</f>
        <v>Feb-2024</v>
      </c>
      <c r="U762" t="str">
        <f>TEXT(tbl_analysis_tickets[[#This Row],[created_date]],"dddd")</f>
        <v>Monday</v>
      </c>
      <c r="V762" cm="1">
        <f t="array" ref="V762">_xlfn.SWITCH(tbl_analysis_tickets[[#This Row],[priority]],
"Urgent",1,
"High",2,
"Medium",3,
"Low",4
)</f>
        <v>4</v>
      </c>
    </row>
    <row r="763" spans="1:22" x14ac:dyDescent="0.25">
      <c r="A763">
        <v>762</v>
      </c>
      <c r="B763" s="1">
        <v>45404</v>
      </c>
      <c r="C763" t="s">
        <v>23</v>
      </c>
      <c r="D763" t="s">
        <v>20</v>
      </c>
      <c r="E763">
        <v>222</v>
      </c>
      <c r="F763">
        <v>55</v>
      </c>
      <c r="G763">
        <v>9.1</v>
      </c>
      <c r="H763" t="s">
        <v>18</v>
      </c>
      <c r="I763" t="s">
        <v>16</v>
      </c>
      <c r="J763" t="s">
        <v>11</v>
      </c>
      <c r="K763">
        <f>_xlfn.XLOOKUP(tbl_analysis_tickets[[#This Row],[priority]],tbl_sla[priority],tbl_sla[Resolution SLA Hours])</f>
        <v>24</v>
      </c>
      <c r="L763">
        <f>_xlfn.XLOOKUP(tbl_analysis_tickets[[#This Row],[priority]],tbl_sla[priority],tbl_sla[First Response SLA Minutes])</f>
        <v>60</v>
      </c>
      <c r="M763" t="str">
        <f>IF(tbl_analysis_tickets[[#This Row],[resolution_time_hours]]&gt;tbl_analysis_tickets[[#This Row],[Resolution SLA Hours]],"Breached","Within SLA")</f>
        <v>Breached</v>
      </c>
      <c r="N763" t="str">
        <f>IF(tbl_analysis_tickets[[#This Row],[first_response_minutes]]&gt;tbl_analysis_tickets[[#This Row],[First Response SLA Minutes]],"Breached","Within SLA")</f>
        <v>Breached</v>
      </c>
      <c r="O763" t="str" cm="1">
        <f t="array" ref="O763">_xlfn.IFS(
tbl_analysis_tickets[[#This Row],[agent_experience_years]]&lt;=2,"Junior",
tbl_analysis_tickets[[#This Row],[agent_experience_years]]&lt;=5,"Mid-Level",
tbl_analysis_tickets[[#This Row],[agent_experience_years]]&lt;=8,"Senior",
tbl_analysis_tickets[[#This Row],[agent_experience_years]]&gt;8,"Expert"
)</f>
        <v>Expert</v>
      </c>
      <c r="P763" cm="1">
        <f t="array" ref="P763">_xlfn.SWITCH(tbl_analysis_tickets[[#This Row],[customer_satisfaction]],
"Low",1,
"Medium",2,
"High",3
)</f>
        <v>1</v>
      </c>
      <c r="Q763">
        <f>IF(tbl_analysis_tickets[[#This Row],[reopened]]="Yes",1,0)</f>
        <v>0</v>
      </c>
      <c r="R763" t="str" cm="1">
        <f t="array" ref="R763">_xlfn.IFS(
tbl_analysis_tickets[[#This Row],[first_response_minutes]]&lt;=30,"Very Fast",
tbl_analysis_tickets[[#This Row],[first_response_minutes]]&lt;=120,"Acceptable",
tbl_analysis_tickets[[#This Row],[first_response_minutes]]&lt;=240,"Slow",
tbl_analysis_tickets[[#This Row],[first_response_minutes]]&gt;240,"Very Slow"
)</f>
        <v>Slow</v>
      </c>
      <c r="S763" t="str" cm="1">
        <f t="array" ref="S76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763" t="str">
        <f>TEXT(tbl_analysis_tickets[[#This Row],[created_date]],"mmm-yyyy")</f>
        <v>Apr-2024</v>
      </c>
      <c r="U763" t="str">
        <f>TEXT(tbl_analysis_tickets[[#This Row],[created_date]],"dddd")</f>
        <v>Monday</v>
      </c>
      <c r="V763" cm="1">
        <f t="array" ref="V763">_xlfn.SWITCH(tbl_analysis_tickets[[#This Row],[priority]],
"Urgent",1,
"High",2,
"Medium",3,
"Low",4
)</f>
        <v>2</v>
      </c>
    </row>
    <row r="764" spans="1:22" x14ac:dyDescent="0.25">
      <c r="A764">
        <v>763</v>
      </c>
      <c r="B764" s="1">
        <v>45296</v>
      </c>
      <c r="C764" t="s">
        <v>14</v>
      </c>
      <c r="D764" t="s">
        <v>17</v>
      </c>
      <c r="E764">
        <v>91</v>
      </c>
      <c r="F764">
        <v>68</v>
      </c>
      <c r="G764">
        <v>2.6</v>
      </c>
      <c r="H764" t="s">
        <v>12</v>
      </c>
      <c r="I764" t="s">
        <v>13</v>
      </c>
      <c r="J764" t="s">
        <v>11</v>
      </c>
      <c r="K764">
        <f>_xlfn.XLOOKUP(tbl_analysis_tickets[[#This Row],[priority]],tbl_sla[priority],tbl_sla[Resolution SLA Hours])</f>
        <v>8</v>
      </c>
      <c r="L764">
        <f>_xlfn.XLOOKUP(tbl_analysis_tickets[[#This Row],[priority]],tbl_sla[priority],tbl_sla[First Response SLA Minutes])</f>
        <v>30</v>
      </c>
      <c r="M764" t="str">
        <f>IF(tbl_analysis_tickets[[#This Row],[resolution_time_hours]]&gt;tbl_analysis_tickets[[#This Row],[Resolution SLA Hours]],"Breached","Within SLA")</f>
        <v>Breached</v>
      </c>
      <c r="N764" t="str">
        <f>IF(tbl_analysis_tickets[[#This Row],[first_response_minutes]]&gt;tbl_analysis_tickets[[#This Row],[First Response SLA Minutes]],"Breached","Within SLA")</f>
        <v>Breached</v>
      </c>
      <c r="O764" t="str" cm="1">
        <f t="array" ref="O764">_xlfn.IFS(
tbl_analysis_tickets[[#This Row],[agent_experience_years]]&lt;=2,"Junior",
tbl_analysis_tickets[[#This Row],[agent_experience_years]]&lt;=5,"Mid-Level",
tbl_analysis_tickets[[#This Row],[agent_experience_years]]&lt;=8,"Senior",
tbl_analysis_tickets[[#This Row],[agent_experience_years]]&gt;8,"Expert"
)</f>
        <v>Mid-Level</v>
      </c>
      <c r="P764" cm="1">
        <f t="array" ref="P764">_xlfn.SWITCH(tbl_analysis_tickets[[#This Row],[customer_satisfaction]],
"Low",1,
"Medium",2,
"High",3
)</f>
        <v>1</v>
      </c>
      <c r="Q764">
        <f>IF(tbl_analysis_tickets[[#This Row],[reopened]]="Yes",1,0)</f>
        <v>1</v>
      </c>
      <c r="R764" t="str" cm="1">
        <f t="array" ref="R764">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764" t="str" cm="1">
        <f t="array" ref="S76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764" t="str">
        <f>TEXT(tbl_analysis_tickets[[#This Row],[created_date]],"mmm-yyyy")</f>
        <v>Jan-2024</v>
      </c>
      <c r="U764" t="str">
        <f>TEXT(tbl_analysis_tickets[[#This Row],[created_date]],"dddd")</f>
        <v>Friday</v>
      </c>
      <c r="V764" cm="1">
        <f t="array" ref="V764">_xlfn.SWITCH(tbl_analysis_tickets[[#This Row],[priority]],
"Urgent",1,
"High",2,
"Medium",3,
"Low",4
)</f>
        <v>1</v>
      </c>
    </row>
    <row r="765" spans="1:22" x14ac:dyDescent="0.25">
      <c r="A765">
        <v>764</v>
      </c>
      <c r="B765" s="1">
        <v>45462</v>
      </c>
      <c r="C765" t="s">
        <v>21</v>
      </c>
      <c r="D765" t="s">
        <v>11</v>
      </c>
      <c r="E765">
        <v>30</v>
      </c>
      <c r="F765">
        <v>33</v>
      </c>
      <c r="G765">
        <v>3</v>
      </c>
      <c r="H765" t="s">
        <v>18</v>
      </c>
      <c r="I765" t="s">
        <v>19</v>
      </c>
      <c r="J765" t="s">
        <v>15</v>
      </c>
      <c r="K765">
        <f>_xlfn.XLOOKUP(tbl_analysis_tickets[[#This Row],[priority]],tbl_sla[priority],tbl_sla[Resolution SLA Hours])</f>
        <v>72</v>
      </c>
      <c r="L765">
        <f>_xlfn.XLOOKUP(tbl_analysis_tickets[[#This Row],[priority]],tbl_sla[priority],tbl_sla[First Response SLA Minutes])</f>
        <v>240</v>
      </c>
      <c r="M765" t="str">
        <f>IF(tbl_analysis_tickets[[#This Row],[resolution_time_hours]]&gt;tbl_analysis_tickets[[#This Row],[Resolution SLA Hours]],"Breached","Within SLA")</f>
        <v>Within SLA</v>
      </c>
      <c r="N765" t="str">
        <f>IF(tbl_analysis_tickets[[#This Row],[first_response_minutes]]&gt;tbl_analysis_tickets[[#This Row],[First Response SLA Minutes]],"Breached","Within SLA")</f>
        <v>Within SLA</v>
      </c>
      <c r="O765" t="str" cm="1">
        <f t="array" ref="O765">_xlfn.IFS(
tbl_analysis_tickets[[#This Row],[agent_experience_years]]&lt;=2,"Junior",
tbl_analysis_tickets[[#This Row],[agent_experience_years]]&lt;=5,"Mid-Level",
tbl_analysis_tickets[[#This Row],[agent_experience_years]]&lt;=8,"Senior",
tbl_analysis_tickets[[#This Row],[agent_experience_years]]&gt;8,"Expert"
)</f>
        <v>Mid-Level</v>
      </c>
      <c r="P765" cm="1">
        <f t="array" ref="P765">_xlfn.SWITCH(tbl_analysis_tickets[[#This Row],[customer_satisfaction]],
"Low",1,
"Medium",2,
"High",3
)</f>
        <v>2</v>
      </c>
      <c r="Q765">
        <f>IF(tbl_analysis_tickets[[#This Row],[reopened]]="Yes",1,0)</f>
        <v>0</v>
      </c>
      <c r="R765" t="str" cm="1">
        <f t="array" ref="R765">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765" t="str" cm="1">
        <f t="array" ref="S76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765" t="str">
        <f>TEXT(tbl_analysis_tickets[[#This Row],[created_date]],"mmm-yyyy")</f>
        <v>Jun-2024</v>
      </c>
      <c r="U765" t="str">
        <f>TEXT(tbl_analysis_tickets[[#This Row],[created_date]],"dddd")</f>
        <v>Wednesday</v>
      </c>
      <c r="V765" cm="1">
        <f t="array" ref="V765">_xlfn.SWITCH(tbl_analysis_tickets[[#This Row],[priority]],
"Urgent",1,
"High",2,
"Medium",3,
"Low",4
)</f>
        <v>4</v>
      </c>
    </row>
    <row r="766" spans="1:22" x14ac:dyDescent="0.25">
      <c r="A766">
        <v>765</v>
      </c>
      <c r="B766" s="1">
        <v>45328</v>
      </c>
      <c r="C766" t="s">
        <v>14</v>
      </c>
      <c r="D766" t="s">
        <v>15</v>
      </c>
      <c r="E766">
        <v>113</v>
      </c>
      <c r="F766">
        <v>46</v>
      </c>
      <c r="G766">
        <v>3.1</v>
      </c>
      <c r="H766" t="s">
        <v>18</v>
      </c>
      <c r="I766" t="s">
        <v>13</v>
      </c>
      <c r="J766" t="s">
        <v>11</v>
      </c>
      <c r="K766">
        <f>_xlfn.XLOOKUP(tbl_analysis_tickets[[#This Row],[priority]],tbl_sla[priority],tbl_sla[Resolution SLA Hours])</f>
        <v>48</v>
      </c>
      <c r="L766">
        <f>_xlfn.XLOOKUP(tbl_analysis_tickets[[#This Row],[priority]],tbl_sla[priority],tbl_sla[First Response SLA Minutes])</f>
        <v>120</v>
      </c>
      <c r="M766" t="str">
        <f>IF(tbl_analysis_tickets[[#This Row],[resolution_time_hours]]&gt;tbl_analysis_tickets[[#This Row],[Resolution SLA Hours]],"Breached","Within SLA")</f>
        <v>Within SLA</v>
      </c>
      <c r="N766" t="str">
        <f>IF(tbl_analysis_tickets[[#This Row],[first_response_minutes]]&gt;tbl_analysis_tickets[[#This Row],[First Response SLA Minutes]],"Breached","Within SLA")</f>
        <v>Within SLA</v>
      </c>
      <c r="O766" t="str" cm="1">
        <f t="array" ref="O766">_xlfn.IFS(
tbl_analysis_tickets[[#This Row],[agent_experience_years]]&lt;=2,"Junior",
tbl_analysis_tickets[[#This Row],[agent_experience_years]]&lt;=5,"Mid-Level",
tbl_analysis_tickets[[#This Row],[agent_experience_years]]&lt;=8,"Senior",
tbl_analysis_tickets[[#This Row],[agent_experience_years]]&gt;8,"Expert"
)</f>
        <v>Mid-Level</v>
      </c>
      <c r="P766" cm="1">
        <f t="array" ref="P766">_xlfn.SWITCH(tbl_analysis_tickets[[#This Row],[customer_satisfaction]],
"Low",1,
"Medium",2,
"High",3
)</f>
        <v>1</v>
      </c>
      <c r="Q766">
        <f>IF(tbl_analysis_tickets[[#This Row],[reopened]]="Yes",1,0)</f>
        <v>0</v>
      </c>
      <c r="R766" t="str" cm="1">
        <f t="array" ref="R766">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766" t="str" cm="1">
        <f t="array" ref="S76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766" t="str">
        <f>TEXT(tbl_analysis_tickets[[#This Row],[created_date]],"mmm-yyyy")</f>
        <v>Feb-2024</v>
      </c>
      <c r="U766" t="str">
        <f>TEXT(tbl_analysis_tickets[[#This Row],[created_date]],"dddd")</f>
        <v>Tuesday</v>
      </c>
      <c r="V766" cm="1">
        <f t="array" ref="V766">_xlfn.SWITCH(tbl_analysis_tickets[[#This Row],[priority]],
"Urgent",1,
"High",2,
"Medium",3,
"Low",4
)</f>
        <v>3</v>
      </c>
    </row>
    <row r="767" spans="1:22" x14ac:dyDescent="0.25">
      <c r="A767">
        <v>766</v>
      </c>
      <c r="B767" s="1">
        <v>45548</v>
      </c>
      <c r="C767" t="s">
        <v>10</v>
      </c>
      <c r="D767" t="s">
        <v>11</v>
      </c>
      <c r="E767">
        <v>139</v>
      </c>
      <c r="F767">
        <v>38</v>
      </c>
      <c r="G767">
        <v>2.8</v>
      </c>
      <c r="H767" t="s">
        <v>18</v>
      </c>
      <c r="I767" t="s">
        <v>13</v>
      </c>
      <c r="J767" t="s">
        <v>11</v>
      </c>
      <c r="K767">
        <f>_xlfn.XLOOKUP(tbl_analysis_tickets[[#This Row],[priority]],tbl_sla[priority],tbl_sla[Resolution SLA Hours])</f>
        <v>72</v>
      </c>
      <c r="L767">
        <f>_xlfn.XLOOKUP(tbl_analysis_tickets[[#This Row],[priority]],tbl_sla[priority],tbl_sla[First Response SLA Minutes])</f>
        <v>240</v>
      </c>
      <c r="M767" t="str">
        <f>IF(tbl_analysis_tickets[[#This Row],[resolution_time_hours]]&gt;tbl_analysis_tickets[[#This Row],[Resolution SLA Hours]],"Breached","Within SLA")</f>
        <v>Within SLA</v>
      </c>
      <c r="N767" t="str">
        <f>IF(tbl_analysis_tickets[[#This Row],[first_response_minutes]]&gt;tbl_analysis_tickets[[#This Row],[First Response SLA Minutes]],"Breached","Within SLA")</f>
        <v>Within SLA</v>
      </c>
      <c r="O767" t="str" cm="1">
        <f t="array" ref="O767">_xlfn.IFS(
tbl_analysis_tickets[[#This Row],[agent_experience_years]]&lt;=2,"Junior",
tbl_analysis_tickets[[#This Row],[agent_experience_years]]&lt;=5,"Mid-Level",
tbl_analysis_tickets[[#This Row],[agent_experience_years]]&lt;=8,"Senior",
tbl_analysis_tickets[[#This Row],[agent_experience_years]]&gt;8,"Expert"
)</f>
        <v>Mid-Level</v>
      </c>
      <c r="P767" cm="1">
        <f t="array" ref="P767">_xlfn.SWITCH(tbl_analysis_tickets[[#This Row],[customer_satisfaction]],
"Low",1,
"Medium",2,
"High",3
)</f>
        <v>1</v>
      </c>
      <c r="Q767">
        <f>IF(tbl_analysis_tickets[[#This Row],[reopened]]="Yes",1,0)</f>
        <v>0</v>
      </c>
      <c r="R767" t="str" cm="1">
        <f t="array" ref="R767">_xlfn.IFS(
tbl_analysis_tickets[[#This Row],[first_response_minutes]]&lt;=30,"Very Fast",
tbl_analysis_tickets[[#This Row],[first_response_minutes]]&lt;=120,"Acceptable",
tbl_analysis_tickets[[#This Row],[first_response_minutes]]&lt;=240,"Slow",
tbl_analysis_tickets[[#This Row],[first_response_minutes]]&gt;240,"Very Slow"
)</f>
        <v>Slow</v>
      </c>
      <c r="S767" t="str" cm="1">
        <f t="array" ref="S76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767" t="str">
        <f>TEXT(tbl_analysis_tickets[[#This Row],[created_date]],"mmm-yyyy")</f>
        <v>Sep-2024</v>
      </c>
      <c r="U767" t="str">
        <f>TEXT(tbl_analysis_tickets[[#This Row],[created_date]],"dddd")</f>
        <v>Friday</v>
      </c>
      <c r="V767" cm="1">
        <f t="array" ref="V767">_xlfn.SWITCH(tbl_analysis_tickets[[#This Row],[priority]],
"Urgent",1,
"High",2,
"Medium",3,
"Low",4
)</f>
        <v>4</v>
      </c>
    </row>
    <row r="768" spans="1:22" x14ac:dyDescent="0.25">
      <c r="A768">
        <v>767</v>
      </c>
      <c r="B768" s="1">
        <v>45508</v>
      </c>
      <c r="C768" t="s">
        <v>14</v>
      </c>
      <c r="D768" t="s">
        <v>20</v>
      </c>
      <c r="E768">
        <v>156</v>
      </c>
      <c r="F768">
        <v>34</v>
      </c>
      <c r="G768">
        <v>5.5</v>
      </c>
      <c r="H768" t="s">
        <v>12</v>
      </c>
      <c r="I768" t="s">
        <v>19</v>
      </c>
      <c r="J768" t="s">
        <v>11</v>
      </c>
      <c r="K768">
        <f>_xlfn.XLOOKUP(tbl_analysis_tickets[[#This Row],[priority]],tbl_sla[priority],tbl_sla[Resolution SLA Hours])</f>
        <v>24</v>
      </c>
      <c r="L768">
        <f>_xlfn.XLOOKUP(tbl_analysis_tickets[[#This Row],[priority]],tbl_sla[priority],tbl_sla[First Response SLA Minutes])</f>
        <v>60</v>
      </c>
      <c r="M768" t="str">
        <f>IF(tbl_analysis_tickets[[#This Row],[resolution_time_hours]]&gt;tbl_analysis_tickets[[#This Row],[Resolution SLA Hours]],"Breached","Within SLA")</f>
        <v>Breached</v>
      </c>
      <c r="N768" t="str">
        <f>IF(tbl_analysis_tickets[[#This Row],[first_response_minutes]]&gt;tbl_analysis_tickets[[#This Row],[First Response SLA Minutes]],"Breached","Within SLA")</f>
        <v>Breached</v>
      </c>
      <c r="O768" t="str" cm="1">
        <f t="array" ref="O768">_xlfn.IFS(
tbl_analysis_tickets[[#This Row],[agent_experience_years]]&lt;=2,"Junior",
tbl_analysis_tickets[[#This Row],[agent_experience_years]]&lt;=5,"Mid-Level",
tbl_analysis_tickets[[#This Row],[agent_experience_years]]&lt;=8,"Senior",
tbl_analysis_tickets[[#This Row],[agent_experience_years]]&gt;8,"Expert"
)</f>
        <v>Senior</v>
      </c>
      <c r="P768" cm="1">
        <f t="array" ref="P768">_xlfn.SWITCH(tbl_analysis_tickets[[#This Row],[customer_satisfaction]],
"Low",1,
"Medium",2,
"High",3
)</f>
        <v>1</v>
      </c>
      <c r="Q768">
        <f>IF(tbl_analysis_tickets[[#This Row],[reopened]]="Yes",1,0)</f>
        <v>1</v>
      </c>
      <c r="R768" t="str" cm="1">
        <f t="array" ref="R768">_xlfn.IFS(
tbl_analysis_tickets[[#This Row],[first_response_minutes]]&lt;=30,"Very Fast",
tbl_analysis_tickets[[#This Row],[first_response_minutes]]&lt;=120,"Acceptable",
tbl_analysis_tickets[[#This Row],[first_response_minutes]]&lt;=240,"Slow",
tbl_analysis_tickets[[#This Row],[first_response_minutes]]&gt;240,"Very Slow"
)</f>
        <v>Slow</v>
      </c>
      <c r="S768" t="str" cm="1">
        <f t="array" ref="S76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768" t="str">
        <f>TEXT(tbl_analysis_tickets[[#This Row],[created_date]],"mmm-yyyy")</f>
        <v>Aug-2024</v>
      </c>
      <c r="U768" t="str">
        <f>TEXT(tbl_analysis_tickets[[#This Row],[created_date]],"dddd")</f>
        <v>Sunday</v>
      </c>
      <c r="V768" cm="1">
        <f t="array" ref="V768">_xlfn.SWITCH(tbl_analysis_tickets[[#This Row],[priority]],
"Urgent",1,
"High",2,
"Medium",3,
"Low",4
)</f>
        <v>2</v>
      </c>
    </row>
    <row r="769" spans="1:22" x14ac:dyDescent="0.25">
      <c r="A769">
        <v>768</v>
      </c>
      <c r="B769" s="1">
        <v>45639</v>
      </c>
      <c r="C769" t="s">
        <v>22</v>
      </c>
      <c r="D769" t="s">
        <v>20</v>
      </c>
      <c r="E769">
        <v>63</v>
      </c>
      <c r="F769">
        <v>2</v>
      </c>
      <c r="G769">
        <v>0.8</v>
      </c>
      <c r="H769" t="s">
        <v>18</v>
      </c>
      <c r="I769" t="s">
        <v>19</v>
      </c>
      <c r="J769" t="s">
        <v>15</v>
      </c>
      <c r="K769">
        <f>_xlfn.XLOOKUP(tbl_analysis_tickets[[#This Row],[priority]],tbl_sla[priority],tbl_sla[Resolution SLA Hours])</f>
        <v>24</v>
      </c>
      <c r="L769">
        <f>_xlfn.XLOOKUP(tbl_analysis_tickets[[#This Row],[priority]],tbl_sla[priority],tbl_sla[First Response SLA Minutes])</f>
        <v>60</v>
      </c>
      <c r="M769" t="str">
        <f>IF(tbl_analysis_tickets[[#This Row],[resolution_time_hours]]&gt;tbl_analysis_tickets[[#This Row],[Resolution SLA Hours]],"Breached","Within SLA")</f>
        <v>Within SLA</v>
      </c>
      <c r="N769" t="str">
        <f>IF(tbl_analysis_tickets[[#This Row],[first_response_minutes]]&gt;tbl_analysis_tickets[[#This Row],[First Response SLA Minutes]],"Breached","Within SLA")</f>
        <v>Breached</v>
      </c>
      <c r="O769" t="str" cm="1">
        <f t="array" ref="O769">_xlfn.IFS(
tbl_analysis_tickets[[#This Row],[agent_experience_years]]&lt;=2,"Junior",
tbl_analysis_tickets[[#This Row],[agent_experience_years]]&lt;=5,"Mid-Level",
tbl_analysis_tickets[[#This Row],[agent_experience_years]]&lt;=8,"Senior",
tbl_analysis_tickets[[#This Row],[agent_experience_years]]&gt;8,"Expert"
)</f>
        <v>Junior</v>
      </c>
      <c r="P769" cm="1">
        <f t="array" ref="P769">_xlfn.SWITCH(tbl_analysis_tickets[[#This Row],[customer_satisfaction]],
"Low",1,
"Medium",2,
"High",3
)</f>
        <v>2</v>
      </c>
      <c r="Q769">
        <f>IF(tbl_analysis_tickets[[#This Row],[reopened]]="Yes",1,0)</f>
        <v>0</v>
      </c>
      <c r="R769" t="str" cm="1">
        <f t="array" ref="R769">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769" t="str" cm="1">
        <f t="array" ref="S76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769" t="str">
        <f>TEXT(tbl_analysis_tickets[[#This Row],[created_date]],"mmm-yyyy")</f>
        <v>Dec-2024</v>
      </c>
      <c r="U769" t="str">
        <f>TEXT(tbl_analysis_tickets[[#This Row],[created_date]],"dddd")</f>
        <v>Friday</v>
      </c>
      <c r="V769" cm="1">
        <f t="array" ref="V769">_xlfn.SWITCH(tbl_analysis_tickets[[#This Row],[priority]],
"Urgent",1,
"High",2,
"Medium",3,
"Low",4
)</f>
        <v>2</v>
      </c>
    </row>
    <row r="770" spans="1:22" x14ac:dyDescent="0.25">
      <c r="A770">
        <v>769</v>
      </c>
      <c r="B770" s="1">
        <v>45440</v>
      </c>
      <c r="C770" t="s">
        <v>14</v>
      </c>
      <c r="D770" t="s">
        <v>11</v>
      </c>
      <c r="E770">
        <v>196</v>
      </c>
      <c r="F770">
        <v>41</v>
      </c>
      <c r="G770">
        <v>6.2</v>
      </c>
      <c r="H770" t="s">
        <v>12</v>
      </c>
      <c r="I770" t="s">
        <v>13</v>
      </c>
      <c r="J770" t="s">
        <v>11</v>
      </c>
      <c r="K770">
        <f>_xlfn.XLOOKUP(tbl_analysis_tickets[[#This Row],[priority]],tbl_sla[priority],tbl_sla[Resolution SLA Hours])</f>
        <v>72</v>
      </c>
      <c r="L770">
        <f>_xlfn.XLOOKUP(tbl_analysis_tickets[[#This Row],[priority]],tbl_sla[priority],tbl_sla[First Response SLA Minutes])</f>
        <v>240</v>
      </c>
      <c r="M770" t="str">
        <f>IF(tbl_analysis_tickets[[#This Row],[resolution_time_hours]]&gt;tbl_analysis_tickets[[#This Row],[Resolution SLA Hours]],"Breached","Within SLA")</f>
        <v>Within SLA</v>
      </c>
      <c r="N770" t="str">
        <f>IF(tbl_analysis_tickets[[#This Row],[first_response_minutes]]&gt;tbl_analysis_tickets[[#This Row],[First Response SLA Minutes]],"Breached","Within SLA")</f>
        <v>Within SLA</v>
      </c>
      <c r="O770" t="str" cm="1">
        <f t="array" ref="O770">_xlfn.IFS(
tbl_analysis_tickets[[#This Row],[agent_experience_years]]&lt;=2,"Junior",
tbl_analysis_tickets[[#This Row],[agent_experience_years]]&lt;=5,"Mid-Level",
tbl_analysis_tickets[[#This Row],[agent_experience_years]]&lt;=8,"Senior",
tbl_analysis_tickets[[#This Row],[agent_experience_years]]&gt;8,"Expert"
)</f>
        <v>Senior</v>
      </c>
      <c r="P770" cm="1">
        <f t="array" ref="P770">_xlfn.SWITCH(tbl_analysis_tickets[[#This Row],[customer_satisfaction]],
"Low",1,
"Medium",2,
"High",3
)</f>
        <v>1</v>
      </c>
      <c r="Q770">
        <f>IF(tbl_analysis_tickets[[#This Row],[reopened]]="Yes",1,0)</f>
        <v>1</v>
      </c>
      <c r="R770" t="str" cm="1">
        <f t="array" ref="R770">_xlfn.IFS(
tbl_analysis_tickets[[#This Row],[first_response_minutes]]&lt;=30,"Very Fast",
tbl_analysis_tickets[[#This Row],[first_response_minutes]]&lt;=120,"Acceptable",
tbl_analysis_tickets[[#This Row],[first_response_minutes]]&lt;=240,"Slow",
tbl_analysis_tickets[[#This Row],[first_response_minutes]]&gt;240,"Very Slow"
)</f>
        <v>Slow</v>
      </c>
      <c r="S770" t="str" cm="1">
        <f t="array" ref="S77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770" t="str">
        <f>TEXT(tbl_analysis_tickets[[#This Row],[created_date]],"mmm-yyyy")</f>
        <v>May-2024</v>
      </c>
      <c r="U770" t="str">
        <f>TEXT(tbl_analysis_tickets[[#This Row],[created_date]],"dddd")</f>
        <v>Tuesday</v>
      </c>
      <c r="V770" cm="1">
        <f t="array" ref="V770">_xlfn.SWITCH(tbl_analysis_tickets[[#This Row],[priority]],
"Urgent",1,
"High",2,
"Medium",3,
"Low",4
)</f>
        <v>4</v>
      </c>
    </row>
    <row r="771" spans="1:22" x14ac:dyDescent="0.25">
      <c r="A771">
        <v>770</v>
      </c>
      <c r="B771" s="1">
        <v>45358</v>
      </c>
      <c r="C771" t="s">
        <v>22</v>
      </c>
      <c r="D771" t="s">
        <v>17</v>
      </c>
      <c r="E771">
        <v>220</v>
      </c>
      <c r="F771">
        <v>32</v>
      </c>
      <c r="G771">
        <v>8</v>
      </c>
      <c r="H771" t="s">
        <v>18</v>
      </c>
      <c r="I771" t="s">
        <v>19</v>
      </c>
      <c r="J771" t="s">
        <v>11</v>
      </c>
      <c r="K771">
        <f>_xlfn.XLOOKUP(tbl_analysis_tickets[[#This Row],[priority]],tbl_sla[priority],tbl_sla[Resolution SLA Hours])</f>
        <v>8</v>
      </c>
      <c r="L771">
        <f>_xlfn.XLOOKUP(tbl_analysis_tickets[[#This Row],[priority]],tbl_sla[priority],tbl_sla[First Response SLA Minutes])</f>
        <v>30</v>
      </c>
      <c r="M771" t="str">
        <f>IF(tbl_analysis_tickets[[#This Row],[resolution_time_hours]]&gt;tbl_analysis_tickets[[#This Row],[Resolution SLA Hours]],"Breached","Within SLA")</f>
        <v>Breached</v>
      </c>
      <c r="N771" t="str">
        <f>IF(tbl_analysis_tickets[[#This Row],[first_response_minutes]]&gt;tbl_analysis_tickets[[#This Row],[First Response SLA Minutes]],"Breached","Within SLA")</f>
        <v>Breached</v>
      </c>
      <c r="O771" t="str" cm="1">
        <f t="array" ref="O771">_xlfn.IFS(
tbl_analysis_tickets[[#This Row],[agent_experience_years]]&lt;=2,"Junior",
tbl_analysis_tickets[[#This Row],[agent_experience_years]]&lt;=5,"Mid-Level",
tbl_analysis_tickets[[#This Row],[agent_experience_years]]&lt;=8,"Senior",
tbl_analysis_tickets[[#This Row],[agent_experience_years]]&gt;8,"Expert"
)</f>
        <v>Senior</v>
      </c>
      <c r="P771" cm="1">
        <f t="array" ref="P771">_xlfn.SWITCH(tbl_analysis_tickets[[#This Row],[customer_satisfaction]],
"Low",1,
"Medium",2,
"High",3
)</f>
        <v>1</v>
      </c>
      <c r="Q771">
        <f>IF(tbl_analysis_tickets[[#This Row],[reopened]]="Yes",1,0)</f>
        <v>0</v>
      </c>
      <c r="R771" t="str" cm="1">
        <f t="array" ref="R771">_xlfn.IFS(
tbl_analysis_tickets[[#This Row],[first_response_minutes]]&lt;=30,"Very Fast",
tbl_analysis_tickets[[#This Row],[first_response_minutes]]&lt;=120,"Acceptable",
tbl_analysis_tickets[[#This Row],[first_response_minutes]]&lt;=240,"Slow",
tbl_analysis_tickets[[#This Row],[first_response_minutes]]&gt;240,"Very Slow"
)</f>
        <v>Slow</v>
      </c>
      <c r="S771" t="str" cm="1">
        <f t="array" ref="S77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771" t="str">
        <f>TEXT(tbl_analysis_tickets[[#This Row],[created_date]],"mmm-yyyy")</f>
        <v>Mar-2024</v>
      </c>
      <c r="U771" t="str">
        <f>TEXT(tbl_analysis_tickets[[#This Row],[created_date]],"dddd")</f>
        <v>Thursday</v>
      </c>
      <c r="V771" cm="1">
        <f t="array" ref="V771">_xlfn.SWITCH(tbl_analysis_tickets[[#This Row],[priority]],
"Urgent",1,
"High",2,
"Medium",3,
"Low",4
)</f>
        <v>1</v>
      </c>
    </row>
    <row r="772" spans="1:22" x14ac:dyDescent="0.25">
      <c r="A772">
        <v>771</v>
      </c>
      <c r="B772" s="1">
        <v>45325</v>
      </c>
      <c r="C772" t="s">
        <v>23</v>
      </c>
      <c r="D772" t="s">
        <v>15</v>
      </c>
      <c r="E772">
        <v>205</v>
      </c>
      <c r="F772">
        <v>31</v>
      </c>
      <c r="G772">
        <v>5.6</v>
      </c>
      <c r="H772" t="s">
        <v>18</v>
      </c>
      <c r="I772" t="s">
        <v>19</v>
      </c>
      <c r="J772" t="s">
        <v>15</v>
      </c>
      <c r="K772">
        <f>_xlfn.XLOOKUP(tbl_analysis_tickets[[#This Row],[priority]],tbl_sla[priority],tbl_sla[Resolution SLA Hours])</f>
        <v>48</v>
      </c>
      <c r="L772">
        <f>_xlfn.XLOOKUP(tbl_analysis_tickets[[#This Row],[priority]],tbl_sla[priority],tbl_sla[First Response SLA Minutes])</f>
        <v>120</v>
      </c>
      <c r="M772" t="str">
        <f>IF(tbl_analysis_tickets[[#This Row],[resolution_time_hours]]&gt;tbl_analysis_tickets[[#This Row],[Resolution SLA Hours]],"Breached","Within SLA")</f>
        <v>Within SLA</v>
      </c>
      <c r="N772" t="str">
        <f>IF(tbl_analysis_tickets[[#This Row],[first_response_minutes]]&gt;tbl_analysis_tickets[[#This Row],[First Response SLA Minutes]],"Breached","Within SLA")</f>
        <v>Breached</v>
      </c>
      <c r="O772" t="str" cm="1">
        <f t="array" ref="O772">_xlfn.IFS(
tbl_analysis_tickets[[#This Row],[agent_experience_years]]&lt;=2,"Junior",
tbl_analysis_tickets[[#This Row],[agent_experience_years]]&lt;=5,"Mid-Level",
tbl_analysis_tickets[[#This Row],[agent_experience_years]]&lt;=8,"Senior",
tbl_analysis_tickets[[#This Row],[agent_experience_years]]&gt;8,"Expert"
)</f>
        <v>Senior</v>
      </c>
      <c r="P772" cm="1">
        <f t="array" ref="P772">_xlfn.SWITCH(tbl_analysis_tickets[[#This Row],[customer_satisfaction]],
"Low",1,
"Medium",2,
"High",3
)</f>
        <v>2</v>
      </c>
      <c r="Q772">
        <f>IF(tbl_analysis_tickets[[#This Row],[reopened]]="Yes",1,0)</f>
        <v>0</v>
      </c>
      <c r="R772" t="str" cm="1">
        <f t="array" ref="R772">_xlfn.IFS(
tbl_analysis_tickets[[#This Row],[first_response_minutes]]&lt;=30,"Very Fast",
tbl_analysis_tickets[[#This Row],[first_response_minutes]]&lt;=120,"Acceptable",
tbl_analysis_tickets[[#This Row],[first_response_minutes]]&lt;=240,"Slow",
tbl_analysis_tickets[[#This Row],[first_response_minutes]]&gt;240,"Very Slow"
)</f>
        <v>Slow</v>
      </c>
      <c r="S772" t="str" cm="1">
        <f t="array" ref="S77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772" t="str">
        <f>TEXT(tbl_analysis_tickets[[#This Row],[created_date]],"mmm-yyyy")</f>
        <v>Feb-2024</v>
      </c>
      <c r="U772" t="str">
        <f>TEXT(tbl_analysis_tickets[[#This Row],[created_date]],"dddd")</f>
        <v>Saturday</v>
      </c>
      <c r="V772" cm="1">
        <f t="array" ref="V772">_xlfn.SWITCH(tbl_analysis_tickets[[#This Row],[priority]],
"Urgent",1,
"High",2,
"Medium",3,
"Low",4
)</f>
        <v>3</v>
      </c>
    </row>
    <row r="773" spans="1:22" x14ac:dyDescent="0.25">
      <c r="A773">
        <v>772</v>
      </c>
      <c r="B773" s="1">
        <v>45373</v>
      </c>
      <c r="C773" t="s">
        <v>14</v>
      </c>
      <c r="D773" t="s">
        <v>15</v>
      </c>
      <c r="E773">
        <v>11</v>
      </c>
      <c r="F773">
        <v>68</v>
      </c>
      <c r="G773">
        <v>9</v>
      </c>
      <c r="H773" t="s">
        <v>12</v>
      </c>
      <c r="I773" t="s">
        <v>16</v>
      </c>
      <c r="J773" t="s">
        <v>15</v>
      </c>
      <c r="K773">
        <f>_xlfn.XLOOKUP(tbl_analysis_tickets[[#This Row],[priority]],tbl_sla[priority],tbl_sla[Resolution SLA Hours])</f>
        <v>48</v>
      </c>
      <c r="L773">
        <f>_xlfn.XLOOKUP(tbl_analysis_tickets[[#This Row],[priority]],tbl_sla[priority],tbl_sla[First Response SLA Minutes])</f>
        <v>120</v>
      </c>
      <c r="M773" t="str">
        <f>IF(tbl_analysis_tickets[[#This Row],[resolution_time_hours]]&gt;tbl_analysis_tickets[[#This Row],[Resolution SLA Hours]],"Breached","Within SLA")</f>
        <v>Breached</v>
      </c>
      <c r="N773" t="str">
        <f>IF(tbl_analysis_tickets[[#This Row],[first_response_minutes]]&gt;tbl_analysis_tickets[[#This Row],[First Response SLA Minutes]],"Breached","Within SLA")</f>
        <v>Within SLA</v>
      </c>
      <c r="O773" t="str" cm="1">
        <f t="array" ref="O773">_xlfn.IFS(
tbl_analysis_tickets[[#This Row],[agent_experience_years]]&lt;=2,"Junior",
tbl_analysis_tickets[[#This Row],[agent_experience_years]]&lt;=5,"Mid-Level",
tbl_analysis_tickets[[#This Row],[agent_experience_years]]&lt;=8,"Senior",
tbl_analysis_tickets[[#This Row],[agent_experience_years]]&gt;8,"Expert"
)</f>
        <v>Expert</v>
      </c>
      <c r="P773" cm="1">
        <f t="array" ref="P773">_xlfn.SWITCH(tbl_analysis_tickets[[#This Row],[customer_satisfaction]],
"Low",1,
"Medium",2,
"High",3
)</f>
        <v>2</v>
      </c>
      <c r="Q773">
        <f>IF(tbl_analysis_tickets[[#This Row],[reopened]]="Yes",1,0)</f>
        <v>1</v>
      </c>
      <c r="R773" t="str" cm="1">
        <f t="array" ref="R773">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773" t="str" cm="1">
        <f t="array" ref="S77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773" t="str">
        <f>TEXT(tbl_analysis_tickets[[#This Row],[created_date]],"mmm-yyyy")</f>
        <v>Mar-2024</v>
      </c>
      <c r="U773" t="str">
        <f>TEXT(tbl_analysis_tickets[[#This Row],[created_date]],"dddd")</f>
        <v>Friday</v>
      </c>
      <c r="V773" cm="1">
        <f t="array" ref="V773">_xlfn.SWITCH(tbl_analysis_tickets[[#This Row],[priority]],
"Urgent",1,
"High",2,
"Medium",3,
"Low",4
)</f>
        <v>3</v>
      </c>
    </row>
    <row r="774" spans="1:22" x14ac:dyDescent="0.25">
      <c r="A774">
        <v>773</v>
      </c>
      <c r="B774" s="1">
        <v>45547</v>
      </c>
      <c r="C774" t="s">
        <v>10</v>
      </c>
      <c r="D774" t="s">
        <v>17</v>
      </c>
      <c r="E774">
        <v>110</v>
      </c>
      <c r="F774">
        <v>27</v>
      </c>
      <c r="G774">
        <v>6.7</v>
      </c>
      <c r="H774" t="s">
        <v>18</v>
      </c>
      <c r="I774" t="s">
        <v>19</v>
      </c>
      <c r="J774" t="s">
        <v>11</v>
      </c>
      <c r="K774">
        <f>_xlfn.XLOOKUP(tbl_analysis_tickets[[#This Row],[priority]],tbl_sla[priority],tbl_sla[Resolution SLA Hours])</f>
        <v>8</v>
      </c>
      <c r="L774">
        <f>_xlfn.XLOOKUP(tbl_analysis_tickets[[#This Row],[priority]],tbl_sla[priority],tbl_sla[First Response SLA Minutes])</f>
        <v>30</v>
      </c>
      <c r="M774" t="str">
        <f>IF(tbl_analysis_tickets[[#This Row],[resolution_time_hours]]&gt;tbl_analysis_tickets[[#This Row],[Resolution SLA Hours]],"Breached","Within SLA")</f>
        <v>Breached</v>
      </c>
      <c r="N774" t="str">
        <f>IF(tbl_analysis_tickets[[#This Row],[first_response_minutes]]&gt;tbl_analysis_tickets[[#This Row],[First Response SLA Minutes]],"Breached","Within SLA")</f>
        <v>Breached</v>
      </c>
      <c r="O774" t="str" cm="1">
        <f t="array" ref="O774">_xlfn.IFS(
tbl_analysis_tickets[[#This Row],[agent_experience_years]]&lt;=2,"Junior",
tbl_analysis_tickets[[#This Row],[agent_experience_years]]&lt;=5,"Mid-Level",
tbl_analysis_tickets[[#This Row],[agent_experience_years]]&lt;=8,"Senior",
tbl_analysis_tickets[[#This Row],[agent_experience_years]]&gt;8,"Expert"
)</f>
        <v>Senior</v>
      </c>
      <c r="P774" cm="1">
        <f t="array" ref="P774">_xlfn.SWITCH(tbl_analysis_tickets[[#This Row],[customer_satisfaction]],
"Low",1,
"Medium",2,
"High",3
)</f>
        <v>1</v>
      </c>
      <c r="Q774">
        <f>IF(tbl_analysis_tickets[[#This Row],[reopened]]="Yes",1,0)</f>
        <v>0</v>
      </c>
      <c r="R774" t="str" cm="1">
        <f t="array" ref="R774">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774" t="str" cm="1">
        <f t="array" ref="S77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774" t="str">
        <f>TEXT(tbl_analysis_tickets[[#This Row],[created_date]],"mmm-yyyy")</f>
        <v>Sep-2024</v>
      </c>
      <c r="U774" t="str">
        <f>TEXT(tbl_analysis_tickets[[#This Row],[created_date]],"dddd")</f>
        <v>Thursday</v>
      </c>
      <c r="V774" cm="1">
        <f t="array" ref="V774">_xlfn.SWITCH(tbl_analysis_tickets[[#This Row],[priority]],
"Urgent",1,
"High",2,
"Medium",3,
"Low",4
)</f>
        <v>1</v>
      </c>
    </row>
    <row r="775" spans="1:22" x14ac:dyDescent="0.25">
      <c r="A775">
        <v>774</v>
      </c>
      <c r="B775" s="1">
        <v>45428</v>
      </c>
      <c r="C775" t="s">
        <v>22</v>
      </c>
      <c r="D775" t="s">
        <v>15</v>
      </c>
      <c r="E775">
        <v>207</v>
      </c>
      <c r="F775">
        <v>33</v>
      </c>
      <c r="G775">
        <v>1.2</v>
      </c>
      <c r="H775" t="s">
        <v>12</v>
      </c>
      <c r="I775" t="s">
        <v>13</v>
      </c>
      <c r="J775" t="s">
        <v>11</v>
      </c>
      <c r="K775">
        <f>_xlfn.XLOOKUP(tbl_analysis_tickets[[#This Row],[priority]],tbl_sla[priority],tbl_sla[Resolution SLA Hours])</f>
        <v>48</v>
      </c>
      <c r="L775">
        <f>_xlfn.XLOOKUP(tbl_analysis_tickets[[#This Row],[priority]],tbl_sla[priority],tbl_sla[First Response SLA Minutes])</f>
        <v>120</v>
      </c>
      <c r="M775" t="str">
        <f>IF(tbl_analysis_tickets[[#This Row],[resolution_time_hours]]&gt;tbl_analysis_tickets[[#This Row],[Resolution SLA Hours]],"Breached","Within SLA")</f>
        <v>Within SLA</v>
      </c>
      <c r="N775" t="str">
        <f>IF(tbl_analysis_tickets[[#This Row],[first_response_minutes]]&gt;tbl_analysis_tickets[[#This Row],[First Response SLA Minutes]],"Breached","Within SLA")</f>
        <v>Breached</v>
      </c>
      <c r="O775" t="str" cm="1">
        <f t="array" ref="O775">_xlfn.IFS(
tbl_analysis_tickets[[#This Row],[agent_experience_years]]&lt;=2,"Junior",
tbl_analysis_tickets[[#This Row],[agent_experience_years]]&lt;=5,"Mid-Level",
tbl_analysis_tickets[[#This Row],[agent_experience_years]]&lt;=8,"Senior",
tbl_analysis_tickets[[#This Row],[agent_experience_years]]&gt;8,"Expert"
)</f>
        <v>Junior</v>
      </c>
      <c r="P775" cm="1">
        <f t="array" ref="P775">_xlfn.SWITCH(tbl_analysis_tickets[[#This Row],[customer_satisfaction]],
"Low",1,
"Medium",2,
"High",3
)</f>
        <v>1</v>
      </c>
      <c r="Q775">
        <f>IF(tbl_analysis_tickets[[#This Row],[reopened]]="Yes",1,0)</f>
        <v>1</v>
      </c>
      <c r="R775" t="str" cm="1">
        <f t="array" ref="R775">_xlfn.IFS(
tbl_analysis_tickets[[#This Row],[first_response_minutes]]&lt;=30,"Very Fast",
tbl_analysis_tickets[[#This Row],[first_response_minutes]]&lt;=120,"Acceptable",
tbl_analysis_tickets[[#This Row],[first_response_minutes]]&lt;=240,"Slow",
tbl_analysis_tickets[[#This Row],[first_response_minutes]]&gt;240,"Very Slow"
)</f>
        <v>Slow</v>
      </c>
      <c r="S775" t="str" cm="1">
        <f t="array" ref="S77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775" t="str">
        <f>TEXT(tbl_analysis_tickets[[#This Row],[created_date]],"mmm-yyyy")</f>
        <v>May-2024</v>
      </c>
      <c r="U775" t="str">
        <f>TEXT(tbl_analysis_tickets[[#This Row],[created_date]],"dddd")</f>
        <v>Thursday</v>
      </c>
      <c r="V775" cm="1">
        <f t="array" ref="V775">_xlfn.SWITCH(tbl_analysis_tickets[[#This Row],[priority]],
"Urgent",1,
"High",2,
"Medium",3,
"Low",4
)</f>
        <v>3</v>
      </c>
    </row>
    <row r="776" spans="1:22" x14ac:dyDescent="0.25">
      <c r="A776">
        <v>775</v>
      </c>
      <c r="B776" s="1">
        <v>45565</v>
      </c>
      <c r="C776" t="s">
        <v>21</v>
      </c>
      <c r="D776" t="s">
        <v>15</v>
      </c>
      <c r="E776">
        <v>13</v>
      </c>
      <c r="F776">
        <v>35</v>
      </c>
      <c r="G776">
        <v>3.8</v>
      </c>
      <c r="H776" t="s">
        <v>12</v>
      </c>
      <c r="I776" t="s">
        <v>16</v>
      </c>
      <c r="J776" t="s">
        <v>15</v>
      </c>
      <c r="K776">
        <f>_xlfn.XLOOKUP(tbl_analysis_tickets[[#This Row],[priority]],tbl_sla[priority],tbl_sla[Resolution SLA Hours])</f>
        <v>48</v>
      </c>
      <c r="L776">
        <f>_xlfn.XLOOKUP(tbl_analysis_tickets[[#This Row],[priority]],tbl_sla[priority],tbl_sla[First Response SLA Minutes])</f>
        <v>120</v>
      </c>
      <c r="M776" t="str">
        <f>IF(tbl_analysis_tickets[[#This Row],[resolution_time_hours]]&gt;tbl_analysis_tickets[[#This Row],[Resolution SLA Hours]],"Breached","Within SLA")</f>
        <v>Within SLA</v>
      </c>
      <c r="N776" t="str">
        <f>IF(tbl_analysis_tickets[[#This Row],[first_response_minutes]]&gt;tbl_analysis_tickets[[#This Row],[First Response SLA Minutes]],"Breached","Within SLA")</f>
        <v>Within SLA</v>
      </c>
      <c r="O776" t="str" cm="1">
        <f t="array" ref="O776">_xlfn.IFS(
tbl_analysis_tickets[[#This Row],[agent_experience_years]]&lt;=2,"Junior",
tbl_analysis_tickets[[#This Row],[agent_experience_years]]&lt;=5,"Mid-Level",
tbl_analysis_tickets[[#This Row],[agent_experience_years]]&lt;=8,"Senior",
tbl_analysis_tickets[[#This Row],[agent_experience_years]]&gt;8,"Expert"
)</f>
        <v>Mid-Level</v>
      </c>
      <c r="P776" cm="1">
        <f t="array" ref="P776">_xlfn.SWITCH(tbl_analysis_tickets[[#This Row],[customer_satisfaction]],
"Low",1,
"Medium",2,
"High",3
)</f>
        <v>2</v>
      </c>
      <c r="Q776">
        <f>IF(tbl_analysis_tickets[[#This Row],[reopened]]="Yes",1,0)</f>
        <v>1</v>
      </c>
      <c r="R776" t="str" cm="1">
        <f t="array" ref="R776">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776" t="str" cm="1">
        <f t="array" ref="S77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776" t="str">
        <f>TEXT(tbl_analysis_tickets[[#This Row],[created_date]],"mmm-yyyy")</f>
        <v>Sep-2024</v>
      </c>
      <c r="U776" t="str">
        <f>TEXT(tbl_analysis_tickets[[#This Row],[created_date]],"dddd")</f>
        <v>Monday</v>
      </c>
      <c r="V776" cm="1">
        <f t="array" ref="V776">_xlfn.SWITCH(tbl_analysis_tickets[[#This Row],[priority]],
"Urgent",1,
"High",2,
"Medium",3,
"Low",4
)</f>
        <v>3</v>
      </c>
    </row>
    <row r="777" spans="1:22" x14ac:dyDescent="0.25">
      <c r="A777">
        <v>776</v>
      </c>
      <c r="B777" s="1">
        <v>45389</v>
      </c>
      <c r="C777" t="s">
        <v>23</v>
      </c>
      <c r="D777" t="s">
        <v>11</v>
      </c>
      <c r="E777">
        <v>87</v>
      </c>
      <c r="F777">
        <v>6</v>
      </c>
      <c r="G777">
        <v>7.1</v>
      </c>
      <c r="H777" t="s">
        <v>18</v>
      </c>
      <c r="I777" t="s">
        <v>13</v>
      </c>
      <c r="J777" t="s">
        <v>20</v>
      </c>
      <c r="K777">
        <f>_xlfn.XLOOKUP(tbl_analysis_tickets[[#This Row],[priority]],tbl_sla[priority],tbl_sla[Resolution SLA Hours])</f>
        <v>72</v>
      </c>
      <c r="L777">
        <f>_xlfn.XLOOKUP(tbl_analysis_tickets[[#This Row],[priority]],tbl_sla[priority],tbl_sla[First Response SLA Minutes])</f>
        <v>240</v>
      </c>
      <c r="M777" t="str">
        <f>IF(tbl_analysis_tickets[[#This Row],[resolution_time_hours]]&gt;tbl_analysis_tickets[[#This Row],[Resolution SLA Hours]],"Breached","Within SLA")</f>
        <v>Within SLA</v>
      </c>
      <c r="N777" t="str">
        <f>IF(tbl_analysis_tickets[[#This Row],[first_response_minutes]]&gt;tbl_analysis_tickets[[#This Row],[First Response SLA Minutes]],"Breached","Within SLA")</f>
        <v>Within SLA</v>
      </c>
      <c r="O777" t="str" cm="1">
        <f t="array" ref="O777">_xlfn.IFS(
tbl_analysis_tickets[[#This Row],[agent_experience_years]]&lt;=2,"Junior",
tbl_analysis_tickets[[#This Row],[agent_experience_years]]&lt;=5,"Mid-Level",
tbl_analysis_tickets[[#This Row],[agent_experience_years]]&lt;=8,"Senior",
tbl_analysis_tickets[[#This Row],[agent_experience_years]]&gt;8,"Expert"
)</f>
        <v>Senior</v>
      </c>
      <c r="P777" cm="1">
        <f t="array" ref="P777">_xlfn.SWITCH(tbl_analysis_tickets[[#This Row],[customer_satisfaction]],
"Low",1,
"Medium",2,
"High",3
)</f>
        <v>3</v>
      </c>
      <c r="Q777">
        <f>IF(tbl_analysis_tickets[[#This Row],[reopened]]="Yes",1,0)</f>
        <v>0</v>
      </c>
      <c r="R777" t="str" cm="1">
        <f t="array" ref="R777">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777" t="str" cm="1">
        <f t="array" ref="S77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777" t="str">
        <f>TEXT(tbl_analysis_tickets[[#This Row],[created_date]],"mmm-yyyy")</f>
        <v>Apr-2024</v>
      </c>
      <c r="U777" t="str">
        <f>TEXT(tbl_analysis_tickets[[#This Row],[created_date]],"dddd")</f>
        <v>Sunday</v>
      </c>
      <c r="V777" cm="1">
        <f t="array" ref="V777">_xlfn.SWITCH(tbl_analysis_tickets[[#This Row],[priority]],
"Urgent",1,
"High",2,
"Medium",3,
"Low",4
)</f>
        <v>4</v>
      </c>
    </row>
    <row r="778" spans="1:22" x14ac:dyDescent="0.25">
      <c r="A778">
        <v>777</v>
      </c>
      <c r="B778" s="1">
        <v>45594</v>
      </c>
      <c r="C778" t="s">
        <v>23</v>
      </c>
      <c r="D778" t="s">
        <v>20</v>
      </c>
      <c r="E778">
        <v>240</v>
      </c>
      <c r="F778">
        <v>16</v>
      </c>
      <c r="G778">
        <v>0.9</v>
      </c>
      <c r="H778" t="s">
        <v>12</v>
      </c>
      <c r="I778" t="s">
        <v>13</v>
      </c>
      <c r="J778" t="s">
        <v>11</v>
      </c>
      <c r="K778">
        <f>_xlfn.XLOOKUP(tbl_analysis_tickets[[#This Row],[priority]],tbl_sla[priority],tbl_sla[Resolution SLA Hours])</f>
        <v>24</v>
      </c>
      <c r="L778">
        <f>_xlfn.XLOOKUP(tbl_analysis_tickets[[#This Row],[priority]],tbl_sla[priority],tbl_sla[First Response SLA Minutes])</f>
        <v>60</v>
      </c>
      <c r="M778" t="str">
        <f>IF(tbl_analysis_tickets[[#This Row],[resolution_time_hours]]&gt;tbl_analysis_tickets[[#This Row],[Resolution SLA Hours]],"Breached","Within SLA")</f>
        <v>Within SLA</v>
      </c>
      <c r="N778" t="str">
        <f>IF(tbl_analysis_tickets[[#This Row],[first_response_minutes]]&gt;tbl_analysis_tickets[[#This Row],[First Response SLA Minutes]],"Breached","Within SLA")</f>
        <v>Breached</v>
      </c>
      <c r="O778" t="str" cm="1">
        <f t="array" ref="O778">_xlfn.IFS(
tbl_analysis_tickets[[#This Row],[agent_experience_years]]&lt;=2,"Junior",
tbl_analysis_tickets[[#This Row],[agent_experience_years]]&lt;=5,"Mid-Level",
tbl_analysis_tickets[[#This Row],[agent_experience_years]]&lt;=8,"Senior",
tbl_analysis_tickets[[#This Row],[agent_experience_years]]&gt;8,"Expert"
)</f>
        <v>Junior</v>
      </c>
      <c r="P778" cm="1">
        <f t="array" ref="P778">_xlfn.SWITCH(tbl_analysis_tickets[[#This Row],[customer_satisfaction]],
"Low",1,
"Medium",2,
"High",3
)</f>
        <v>1</v>
      </c>
      <c r="Q778">
        <f>IF(tbl_analysis_tickets[[#This Row],[reopened]]="Yes",1,0)</f>
        <v>1</v>
      </c>
      <c r="R778" t="str" cm="1">
        <f t="array" ref="R778">_xlfn.IFS(
tbl_analysis_tickets[[#This Row],[first_response_minutes]]&lt;=30,"Very Fast",
tbl_analysis_tickets[[#This Row],[first_response_minutes]]&lt;=120,"Acceptable",
tbl_analysis_tickets[[#This Row],[first_response_minutes]]&lt;=240,"Slow",
tbl_analysis_tickets[[#This Row],[first_response_minutes]]&gt;240,"Very Slow"
)</f>
        <v>Slow</v>
      </c>
      <c r="S778" t="str" cm="1">
        <f t="array" ref="S77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778" t="str">
        <f>TEXT(tbl_analysis_tickets[[#This Row],[created_date]],"mmm-yyyy")</f>
        <v>Oct-2024</v>
      </c>
      <c r="U778" t="str">
        <f>TEXT(tbl_analysis_tickets[[#This Row],[created_date]],"dddd")</f>
        <v>Tuesday</v>
      </c>
      <c r="V778" cm="1">
        <f t="array" ref="V778">_xlfn.SWITCH(tbl_analysis_tickets[[#This Row],[priority]],
"Urgent",1,
"High",2,
"Medium",3,
"Low",4
)</f>
        <v>2</v>
      </c>
    </row>
    <row r="779" spans="1:22" x14ac:dyDescent="0.25">
      <c r="A779">
        <v>778</v>
      </c>
      <c r="B779" s="1">
        <v>45382</v>
      </c>
      <c r="C779" t="s">
        <v>14</v>
      </c>
      <c r="D779" t="s">
        <v>17</v>
      </c>
      <c r="E779">
        <v>118</v>
      </c>
      <c r="F779">
        <v>58</v>
      </c>
      <c r="G779">
        <v>6.4</v>
      </c>
      <c r="H779" t="s">
        <v>18</v>
      </c>
      <c r="I779" t="s">
        <v>19</v>
      </c>
      <c r="J779" t="s">
        <v>11</v>
      </c>
      <c r="K779">
        <f>_xlfn.XLOOKUP(tbl_analysis_tickets[[#This Row],[priority]],tbl_sla[priority],tbl_sla[Resolution SLA Hours])</f>
        <v>8</v>
      </c>
      <c r="L779">
        <f>_xlfn.XLOOKUP(tbl_analysis_tickets[[#This Row],[priority]],tbl_sla[priority],tbl_sla[First Response SLA Minutes])</f>
        <v>30</v>
      </c>
      <c r="M779" t="str">
        <f>IF(tbl_analysis_tickets[[#This Row],[resolution_time_hours]]&gt;tbl_analysis_tickets[[#This Row],[Resolution SLA Hours]],"Breached","Within SLA")</f>
        <v>Breached</v>
      </c>
      <c r="N779" t="str">
        <f>IF(tbl_analysis_tickets[[#This Row],[first_response_minutes]]&gt;tbl_analysis_tickets[[#This Row],[First Response SLA Minutes]],"Breached","Within SLA")</f>
        <v>Breached</v>
      </c>
      <c r="O779" t="str" cm="1">
        <f t="array" ref="O779">_xlfn.IFS(
tbl_analysis_tickets[[#This Row],[agent_experience_years]]&lt;=2,"Junior",
tbl_analysis_tickets[[#This Row],[agent_experience_years]]&lt;=5,"Mid-Level",
tbl_analysis_tickets[[#This Row],[agent_experience_years]]&lt;=8,"Senior",
tbl_analysis_tickets[[#This Row],[agent_experience_years]]&gt;8,"Expert"
)</f>
        <v>Senior</v>
      </c>
      <c r="P779" cm="1">
        <f t="array" ref="P779">_xlfn.SWITCH(tbl_analysis_tickets[[#This Row],[customer_satisfaction]],
"Low",1,
"Medium",2,
"High",3
)</f>
        <v>1</v>
      </c>
      <c r="Q779">
        <f>IF(tbl_analysis_tickets[[#This Row],[reopened]]="Yes",1,0)</f>
        <v>0</v>
      </c>
      <c r="R779" t="str" cm="1">
        <f t="array" ref="R779">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779" t="str" cm="1">
        <f t="array" ref="S77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779" t="str">
        <f>TEXT(tbl_analysis_tickets[[#This Row],[created_date]],"mmm-yyyy")</f>
        <v>Mar-2024</v>
      </c>
      <c r="U779" t="str">
        <f>TEXT(tbl_analysis_tickets[[#This Row],[created_date]],"dddd")</f>
        <v>Sunday</v>
      </c>
      <c r="V779" cm="1">
        <f t="array" ref="V779">_xlfn.SWITCH(tbl_analysis_tickets[[#This Row],[priority]],
"Urgent",1,
"High",2,
"Medium",3,
"Low",4
)</f>
        <v>1</v>
      </c>
    </row>
    <row r="780" spans="1:22" x14ac:dyDescent="0.25">
      <c r="A780">
        <v>779</v>
      </c>
      <c r="B780" s="1">
        <v>45636</v>
      </c>
      <c r="C780" t="s">
        <v>22</v>
      </c>
      <c r="D780" t="s">
        <v>15</v>
      </c>
      <c r="E780">
        <v>208</v>
      </c>
      <c r="F780">
        <v>55</v>
      </c>
      <c r="G780">
        <v>4.9000000000000004</v>
      </c>
      <c r="H780" t="s">
        <v>12</v>
      </c>
      <c r="I780" t="s">
        <v>19</v>
      </c>
      <c r="J780" t="s">
        <v>11</v>
      </c>
      <c r="K780">
        <f>_xlfn.XLOOKUP(tbl_analysis_tickets[[#This Row],[priority]],tbl_sla[priority],tbl_sla[Resolution SLA Hours])</f>
        <v>48</v>
      </c>
      <c r="L780">
        <f>_xlfn.XLOOKUP(tbl_analysis_tickets[[#This Row],[priority]],tbl_sla[priority],tbl_sla[First Response SLA Minutes])</f>
        <v>120</v>
      </c>
      <c r="M780" t="str">
        <f>IF(tbl_analysis_tickets[[#This Row],[resolution_time_hours]]&gt;tbl_analysis_tickets[[#This Row],[Resolution SLA Hours]],"Breached","Within SLA")</f>
        <v>Breached</v>
      </c>
      <c r="N780" t="str">
        <f>IF(tbl_analysis_tickets[[#This Row],[first_response_minutes]]&gt;tbl_analysis_tickets[[#This Row],[First Response SLA Minutes]],"Breached","Within SLA")</f>
        <v>Breached</v>
      </c>
      <c r="O780" t="str" cm="1">
        <f t="array" ref="O780">_xlfn.IFS(
tbl_analysis_tickets[[#This Row],[agent_experience_years]]&lt;=2,"Junior",
tbl_analysis_tickets[[#This Row],[agent_experience_years]]&lt;=5,"Mid-Level",
tbl_analysis_tickets[[#This Row],[agent_experience_years]]&lt;=8,"Senior",
tbl_analysis_tickets[[#This Row],[agent_experience_years]]&gt;8,"Expert"
)</f>
        <v>Mid-Level</v>
      </c>
      <c r="P780" cm="1">
        <f t="array" ref="P780">_xlfn.SWITCH(tbl_analysis_tickets[[#This Row],[customer_satisfaction]],
"Low",1,
"Medium",2,
"High",3
)</f>
        <v>1</v>
      </c>
      <c r="Q780">
        <f>IF(tbl_analysis_tickets[[#This Row],[reopened]]="Yes",1,0)</f>
        <v>1</v>
      </c>
      <c r="R780" t="str" cm="1">
        <f t="array" ref="R780">_xlfn.IFS(
tbl_analysis_tickets[[#This Row],[first_response_minutes]]&lt;=30,"Very Fast",
tbl_analysis_tickets[[#This Row],[first_response_minutes]]&lt;=120,"Acceptable",
tbl_analysis_tickets[[#This Row],[first_response_minutes]]&lt;=240,"Slow",
tbl_analysis_tickets[[#This Row],[first_response_minutes]]&gt;240,"Very Slow"
)</f>
        <v>Slow</v>
      </c>
      <c r="S780" t="str" cm="1">
        <f t="array" ref="S78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780" t="str">
        <f>TEXT(tbl_analysis_tickets[[#This Row],[created_date]],"mmm-yyyy")</f>
        <v>Dec-2024</v>
      </c>
      <c r="U780" t="str">
        <f>TEXT(tbl_analysis_tickets[[#This Row],[created_date]],"dddd")</f>
        <v>Tuesday</v>
      </c>
      <c r="V780" cm="1">
        <f t="array" ref="V780">_xlfn.SWITCH(tbl_analysis_tickets[[#This Row],[priority]],
"Urgent",1,
"High",2,
"Medium",3,
"Low",4
)</f>
        <v>3</v>
      </c>
    </row>
    <row r="781" spans="1:22" x14ac:dyDescent="0.25">
      <c r="A781">
        <v>780</v>
      </c>
      <c r="B781" s="1">
        <v>45331</v>
      </c>
      <c r="C781" t="s">
        <v>14</v>
      </c>
      <c r="D781" t="s">
        <v>11</v>
      </c>
      <c r="E781">
        <v>233</v>
      </c>
      <c r="F781">
        <v>2</v>
      </c>
      <c r="G781">
        <v>9.8000000000000007</v>
      </c>
      <c r="H781" t="s">
        <v>18</v>
      </c>
      <c r="I781" t="s">
        <v>13</v>
      </c>
      <c r="J781" t="s">
        <v>20</v>
      </c>
      <c r="K781">
        <f>_xlfn.XLOOKUP(tbl_analysis_tickets[[#This Row],[priority]],tbl_sla[priority],tbl_sla[Resolution SLA Hours])</f>
        <v>72</v>
      </c>
      <c r="L781">
        <f>_xlfn.XLOOKUP(tbl_analysis_tickets[[#This Row],[priority]],tbl_sla[priority],tbl_sla[First Response SLA Minutes])</f>
        <v>240</v>
      </c>
      <c r="M781" t="str">
        <f>IF(tbl_analysis_tickets[[#This Row],[resolution_time_hours]]&gt;tbl_analysis_tickets[[#This Row],[Resolution SLA Hours]],"Breached","Within SLA")</f>
        <v>Within SLA</v>
      </c>
      <c r="N781" t="str">
        <f>IF(tbl_analysis_tickets[[#This Row],[first_response_minutes]]&gt;tbl_analysis_tickets[[#This Row],[First Response SLA Minutes]],"Breached","Within SLA")</f>
        <v>Within SLA</v>
      </c>
      <c r="O781" t="str" cm="1">
        <f t="array" ref="O781">_xlfn.IFS(
tbl_analysis_tickets[[#This Row],[agent_experience_years]]&lt;=2,"Junior",
tbl_analysis_tickets[[#This Row],[agent_experience_years]]&lt;=5,"Mid-Level",
tbl_analysis_tickets[[#This Row],[agent_experience_years]]&lt;=8,"Senior",
tbl_analysis_tickets[[#This Row],[agent_experience_years]]&gt;8,"Expert"
)</f>
        <v>Expert</v>
      </c>
      <c r="P781" cm="1">
        <f t="array" ref="P781">_xlfn.SWITCH(tbl_analysis_tickets[[#This Row],[customer_satisfaction]],
"Low",1,
"Medium",2,
"High",3
)</f>
        <v>3</v>
      </c>
      <c r="Q781">
        <f>IF(tbl_analysis_tickets[[#This Row],[reopened]]="Yes",1,0)</f>
        <v>0</v>
      </c>
      <c r="R781" t="str" cm="1">
        <f t="array" ref="R781">_xlfn.IFS(
tbl_analysis_tickets[[#This Row],[first_response_minutes]]&lt;=30,"Very Fast",
tbl_analysis_tickets[[#This Row],[first_response_minutes]]&lt;=120,"Acceptable",
tbl_analysis_tickets[[#This Row],[first_response_minutes]]&lt;=240,"Slow",
tbl_analysis_tickets[[#This Row],[first_response_minutes]]&gt;240,"Very Slow"
)</f>
        <v>Slow</v>
      </c>
      <c r="S781" t="str" cm="1">
        <f t="array" ref="S78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781" t="str">
        <f>TEXT(tbl_analysis_tickets[[#This Row],[created_date]],"mmm-yyyy")</f>
        <v>Feb-2024</v>
      </c>
      <c r="U781" t="str">
        <f>TEXT(tbl_analysis_tickets[[#This Row],[created_date]],"dddd")</f>
        <v>Friday</v>
      </c>
      <c r="V781" cm="1">
        <f t="array" ref="V781">_xlfn.SWITCH(tbl_analysis_tickets[[#This Row],[priority]],
"Urgent",1,
"High",2,
"Medium",3,
"Low",4
)</f>
        <v>4</v>
      </c>
    </row>
    <row r="782" spans="1:22" x14ac:dyDescent="0.25">
      <c r="A782">
        <v>781</v>
      </c>
      <c r="B782" s="1">
        <v>45368</v>
      </c>
      <c r="C782" t="s">
        <v>10</v>
      </c>
      <c r="D782" t="s">
        <v>15</v>
      </c>
      <c r="E782">
        <v>87</v>
      </c>
      <c r="F782">
        <v>4</v>
      </c>
      <c r="G782">
        <v>8</v>
      </c>
      <c r="H782" t="s">
        <v>18</v>
      </c>
      <c r="I782" t="s">
        <v>16</v>
      </c>
      <c r="J782" t="s">
        <v>20</v>
      </c>
      <c r="K782">
        <f>_xlfn.XLOOKUP(tbl_analysis_tickets[[#This Row],[priority]],tbl_sla[priority],tbl_sla[Resolution SLA Hours])</f>
        <v>48</v>
      </c>
      <c r="L782">
        <f>_xlfn.XLOOKUP(tbl_analysis_tickets[[#This Row],[priority]],tbl_sla[priority],tbl_sla[First Response SLA Minutes])</f>
        <v>120</v>
      </c>
      <c r="M782" t="str">
        <f>IF(tbl_analysis_tickets[[#This Row],[resolution_time_hours]]&gt;tbl_analysis_tickets[[#This Row],[Resolution SLA Hours]],"Breached","Within SLA")</f>
        <v>Within SLA</v>
      </c>
      <c r="N782" t="str">
        <f>IF(tbl_analysis_tickets[[#This Row],[first_response_minutes]]&gt;tbl_analysis_tickets[[#This Row],[First Response SLA Minutes]],"Breached","Within SLA")</f>
        <v>Within SLA</v>
      </c>
      <c r="O782" t="str" cm="1">
        <f t="array" ref="O782">_xlfn.IFS(
tbl_analysis_tickets[[#This Row],[agent_experience_years]]&lt;=2,"Junior",
tbl_analysis_tickets[[#This Row],[agent_experience_years]]&lt;=5,"Mid-Level",
tbl_analysis_tickets[[#This Row],[agent_experience_years]]&lt;=8,"Senior",
tbl_analysis_tickets[[#This Row],[agent_experience_years]]&gt;8,"Expert"
)</f>
        <v>Senior</v>
      </c>
      <c r="P782" cm="1">
        <f t="array" ref="P782">_xlfn.SWITCH(tbl_analysis_tickets[[#This Row],[customer_satisfaction]],
"Low",1,
"Medium",2,
"High",3
)</f>
        <v>3</v>
      </c>
      <c r="Q782">
        <f>IF(tbl_analysis_tickets[[#This Row],[reopened]]="Yes",1,0)</f>
        <v>0</v>
      </c>
      <c r="R782" t="str" cm="1">
        <f t="array" ref="R782">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782" t="str" cm="1">
        <f t="array" ref="S78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782" t="str">
        <f>TEXT(tbl_analysis_tickets[[#This Row],[created_date]],"mmm-yyyy")</f>
        <v>Mar-2024</v>
      </c>
      <c r="U782" t="str">
        <f>TEXT(tbl_analysis_tickets[[#This Row],[created_date]],"dddd")</f>
        <v>Sunday</v>
      </c>
      <c r="V782" cm="1">
        <f t="array" ref="V782">_xlfn.SWITCH(tbl_analysis_tickets[[#This Row],[priority]],
"Urgent",1,
"High",2,
"Medium",3,
"Low",4
)</f>
        <v>3</v>
      </c>
    </row>
    <row r="783" spans="1:22" x14ac:dyDescent="0.25">
      <c r="A783">
        <v>782</v>
      </c>
      <c r="B783" s="1">
        <v>45603</v>
      </c>
      <c r="C783" t="s">
        <v>10</v>
      </c>
      <c r="D783" t="s">
        <v>17</v>
      </c>
      <c r="E783">
        <v>228</v>
      </c>
      <c r="F783">
        <v>4</v>
      </c>
      <c r="G783">
        <v>8</v>
      </c>
      <c r="H783" t="s">
        <v>12</v>
      </c>
      <c r="I783" t="s">
        <v>19</v>
      </c>
      <c r="J783" t="s">
        <v>15</v>
      </c>
      <c r="K783">
        <f>_xlfn.XLOOKUP(tbl_analysis_tickets[[#This Row],[priority]],tbl_sla[priority],tbl_sla[Resolution SLA Hours])</f>
        <v>8</v>
      </c>
      <c r="L783">
        <f>_xlfn.XLOOKUP(tbl_analysis_tickets[[#This Row],[priority]],tbl_sla[priority],tbl_sla[First Response SLA Minutes])</f>
        <v>30</v>
      </c>
      <c r="M783" t="str">
        <f>IF(tbl_analysis_tickets[[#This Row],[resolution_time_hours]]&gt;tbl_analysis_tickets[[#This Row],[Resolution SLA Hours]],"Breached","Within SLA")</f>
        <v>Within SLA</v>
      </c>
      <c r="N783" t="str">
        <f>IF(tbl_analysis_tickets[[#This Row],[first_response_minutes]]&gt;tbl_analysis_tickets[[#This Row],[First Response SLA Minutes]],"Breached","Within SLA")</f>
        <v>Breached</v>
      </c>
      <c r="O783" t="str" cm="1">
        <f t="array" ref="O783">_xlfn.IFS(
tbl_analysis_tickets[[#This Row],[agent_experience_years]]&lt;=2,"Junior",
tbl_analysis_tickets[[#This Row],[agent_experience_years]]&lt;=5,"Mid-Level",
tbl_analysis_tickets[[#This Row],[agent_experience_years]]&lt;=8,"Senior",
tbl_analysis_tickets[[#This Row],[agent_experience_years]]&gt;8,"Expert"
)</f>
        <v>Senior</v>
      </c>
      <c r="P783" cm="1">
        <f t="array" ref="P783">_xlfn.SWITCH(tbl_analysis_tickets[[#This Row],[customer_satisfaction]],
"Low",1,
"Medium",2,
"High",3
)</f>
        <v>2</v>
      </c>
      <c r="Q783">
        <f>IF(tbl_analysis_tickets[[#This Row],[reopened]]="Yes",1,0)</f>
        <v>1</v>
      </c>
      <c r="R783" t="str" cm="1">
        <f t="array" ref="R783">_xlfn.IFS(
tbl_analysis_tickets[[#This Row],[first_response_minutes]]&lt;=30,"Very Fast",
tbl_analysis_tickets[[#This Row],[first_response_minutes]]&lt;=120,"Acceptable",
tbl_analysis_tickets[[#This Row],[first_response_minutes]]&lt;=240,"Slow",
tbl_analysis_tickets[[#This Row],[first_response_minutes]]&gt;240,"Very Slow"
)</f>
        <v>Slow</v>
      </c>
      <c r="S783" t="str" cm="1">
        <f t="array" ref="S78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783" t="str">
        <f>TEXT(tbl_analysis_tickets[[#This Row],[created_date]],"mmm-yyyy")</f>
        <v>Nov-2024</v>
      </c>
      <c r="U783" t="str">
        <f>TEXT(tbl_analysis_tickets[[#This Row],[created_date]],"dddd")</f>
        <v>Thursday</v>
      </c>
      <c r="V783" cm="1">
        <f t="array" ref="V783">_xlfn.SWITCH(tbl_analysis_tickets[[#This Row],[priority]],
"Urgent",1,
"High",2,
"Medium",3,
"Low",4
)</f>
        <v>1</v>
      </c>
    </row>
    <row r="784" spans="1:22" x14ac:dyDescent="0.25">
      <c r="A784">
        <v>783</v>
      </c>
      <c r="B784" s="1">
        <v>45578</v>
      </c>
      <c r="C784" t="s">
        <v>21</v>
      </c>
      <c r="D784" t="s">
        <v>17</v>
      </c>
      <c r="E784">
        <v>69</v>
      </c>
      <c r="F784">
        <v>65</v>
      </c>
      <c r="G784">
        <v>5.7</v>
      </c>
      <c r="H784" t="s">
        <v>18</v>
      </c>
      <c r="I784" t="s">
        <v>13</v>
      </c>
      <c r="J784" t="s">
        <v>11</v>
      </c>
      <c r="K784">
        <f>_xlfn.XLOOKUP(tbl_analysis_tickets[[#This Row],[priority]],tbl_sla[priority],tbl_sla[Resolution SLA Hours])</f>
        <v>8</v>
      </c>
      <c r="L784">
        <f>_xlfn.XLOOKUP(tbl_analysis_tickets[[#This Row],[priority]],tbl_sla[priority],tbl_sla[First Response SLA Minutes])</f>
        <v>30</v>
      </c>
      <c r="M784" t="str">
        <f>IF(tbl_analysis_tickets[[#This Row],[resolution_time_hours]]&gt;tbl_analysis_tickets[[#This Row],[Resolution SLA Hours]],"Breached","Within SLA")</f>
        <v>Breached</v>
      </c>
      <c r="N784" t="str">
        <f>IF(tbl_analysis_tickets[[#This Row],[first_response_minutes]]&gt;tbl_analysis_tickets[[#This Row],[First Response SLA Minutes]],"Breached","Within SLA")</f>
        <v>Breached</v>
      </c>
      <c r="O784" t="str" cm="1">
        <f t="array" ref="O784">_xlfn.IFS(
tbl_analysis_tickets[[#This Row],[agent_experience_years]]&lt;=2,"Junior",
tbl_analysis_tickets[[#This Row],[agent_experience_years]]&lt;=5,"Mid-Level",
tbl_analysis_tickets[[#This Row],[agent_experience_years]]&lt;=8,"Senior",
tbl_analysis_tickets[[#This Row],[agent_experience_years]]&gt;8,"Expert"
)</f>
        <v>Senior</v>
      </c>
      <c r="P784" cm="1">
        <f t="array" ref="P784">_xlfn.SWITCH(tbl_analysis_tickets[[#This Row],[customer_satisfaction]],
"Low",1,
"Medium",2,
"High",3
)</f>
        <v>1</v>
      </c>
      <c r="Q784">
        <f>IF(tbl_analysis_tickets[[#This Row],[reopened]]="Yes",1,0)</f>
        <v>0</v>
      </c>
      <c r="R784" t="str" cm="1">
        <f t="array" ref="R784">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784" t="str" cm="1">
        <f t="array" ref="S78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784" t="str">
        <f>TEXT(tbl_analysis_tickets[[#This Row],[created_date]],"mmm-yyyy")</f>
        <v>Oct-2024</v>
      </c>
      <c r="U784" t="str">
        <f>TEXT(tbl_analysis_tickets[[#This Row],[created_date]],"dddd")</f>
        <v>Sunday</v>
      </c>
      <c r="V784" cm="1">
        <f t="array" ref="V784">_xlfn.SWITCH(tbl_analysis_tickets[[#This Row],[priority]],
"Urgent",1,
"High",2,
"Medium",3,
"Low",4
)</f>
        <v>1</v>
      </c>
    </row>
    <row r="785" spans="1:22" x14ac:dyDescent="0.25">
      <c r="A785">
        <v>784</v>
      </c>
      <c r="B785" s="1">
        <v>45353</v>
      </c>
      <c r="C785" t="s">
        <v>14</v>
      </c>
      <c r="D785" t="s">
        <v>20</v>
      </c>
      <c r="E785">
        <v>97</v>
      </c>
      <c r="F785">
        <v>18</v>
      </c>
      <c r="G785">
        <v>5.7</v>
      </c>
      <c r="H785" t="s">
        <v>18</v>
      </c>
      <c r="I785" t="s">
        <v>13</v>
      </c>
      <c r="J785" t="s">
        <v>11</v>
      </c>
      <c r="K785">
        <f>_xlfn.XLOOKUP(tbl_analysis_tickets[[#This Row],[priority]],tbl_sla[priority],tbl_sla[Resolution SLA Hours])</f>
        <v>24</v>
      </c>
      <c r="L785">
        <f>_xlfn.XLOOKUP(tbl_analysis_tickets[[#This Row],[priority]],tbl_sla[priority],tbl_sla[First Response SLA Minutes])</f>
        <v>60</v>
      </c>
      <c r="M785" t="str">
        <f>IF(tbl_analysis_tickets[[#This Row],[resolution_time_hours]]&gt;tbl_analysis_tickets[[#This Row],[Resolution SLA Hours]],"Breached","Within SLA")</f>
        <v>Within SLA</v>
      </c>
      <c r="N785" t="str">
        <f>IF(tbl_analysis_tickets[[#This Row],[first_response_minutes]]&gt;tbl_analysis_tickets[[#This Row],[First Response SLA Minutes]],"Breached","Within SLA")</f>
        <v>Breached</v>
      </c>
      <c r="O785" t="str" cm="1">
        <f t="array" ref="O785">_xlfn.IFS(
tbl_analysis_tickets[[#This Row],[agent_experience_years]]&lt;=2,"Junior",
tbl_analysis_tickets[[#This Row],[agent_experience_years]]&lt;=5,"Mid-Level",
tbl_analysis_tickets[[#This Row],[agent_experience_years]]&lt;=8,"Senior",
tbl_analysis_tickets[[#This Row],[agent_experience_years]]&gt;8,"Expert"
)</f>
        <v>Senior</v>
      </c>
      <c r="P785" cm="1">
        <f t="array" ref="P785">_xlfn.SWITCH(tbl_analysis_tickets[[#This Row],[customer_satisfaction]],
"Low",1,
"Medium",2,
"High",3
)</f>
        <v>1</v>
      </c>
      <c r="Q785">
        <f>IF(tbl_analysis_tickets[[#This Row],[reopened]]="Yes",1,0)</f>
        <v>0</v>
      </c>
      <c r="R785" t="str" cm="1">
        <f t="array" ref="R785">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785" t="str" cm="1">
        <f t="array" ref="S78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785" t="str">
        <f>TEXT(tbl_analysis_tickets[[#This Row],[created_date]],"mmm-yyyy")</f>
        <v>Mar-2024</v>
      </c>
      <c r="U785" t="str">
        <f>TEXT(tbl_analysis_tickets[[#This Row],[created_date]],"dddd")</f>
        <v>Saturday</v>
      </c>
      <c r="V785" cm="1">
        <f t="array" ref="V785">_xlfn.SWITCH(tbl_analysis_tickets[[#This Row],[priority]],
"Urgent",1,
"High",2,
"Medium",3,
"Low",4
)</f>
        <v>2</v>
      </c>
    </row>
    <row r="786" spans="1:22" x14ac:dyDescent="0.25">
      <c r="A786">
        <v>785</v>
      </c>
      <c r="B786" s="1">
        <v>45567</v>
      </c>
      <c r="C786" t="s">
        <v>23</v>
      </c>
      <c r="D786" t="s">
        <v>17</v>
      </c>
      <c r="E786">
        <v>96</v>
      </c>
      <c r="F786">
        <v>2</v>
      </c>
      <c r="G786">
        <v>7.1</v>
      </c>
      <c r="H786" t="s">
        <v>18</v>
      </c>
      <c r="I786" t="s">
        <v>13</v>
      </c>
      <c r="J786" t="s">
        <v>15</v>
      </c>
      <c r="K786">
        <f>_xlfn.XLOOKUP(tbl_analysis_tickets[[#This Row],[priority]],tbl_sla[priority],tbl_sla[Resolution SLA Hours])</f>
        <v>8</v>
      </c>
      <c r="L786">
        <f>_xlfn.XLOOKUP(tbl_analysis_tickets[[#This Row],[priority]],tbl_sla[priority],tbl_sla[First Response SLA Minutes])</f>
        <v>30</v>
      </c>
      <c r="M786" t="str">
        <f>IF(tbl_analysis_tickets[[#This Row],[resolution_time_hours]]&gt;tbl_analysis_tickets[[#This Row],[Resolution SLA Hours]],"Breached","Within SLA")</f>
        <v>Within SLA</v>
      </c>
      <c r="N786" t="str">
        <f>IF(tbl_analysis_tickets[[#This Row],[first_response_minutes]]&gt;tbl_analysis_tickets[[#This Row],[First Response SLA Minutes]],"Breached","Within SLA")</f>
        <v>Breached</v>
      </c>
      <c r="O786" t="str" cm="1">
        <f t="array" ref="O786">_xlfn.IFS(
tbl_analysis_tickets[[#This Row],[agent_experience_years]]&lt;=2,"Junior",
tbl_analysis_tickets[[#This Row],[agent_experience_years]]&lt;=5,"Mid-Level",
tbl_analysis_tickets[[#This Row],[agent_experience_years]]&lt;=8,"Senior",
tbl_analysis_tickets[[#This Row],[agent_experience_years]]&gt;8,"Expert"
)</f>
        <v>Senior</v>
      </c>
      <c r="P786" cm="1">
        <f t="array" ref="P786">_xlfn.SWITCH(tbl_analysis_tickets[[#This Row],[customer_satisfaction]],
"Low",1,
"Medium",2,
"High",3
)</f>
        <v>2</v>
      </c>
      <c r="Q786">
        <f>IF(tbl_analysis_tickets[[#This Row],[reopened]]="Yes",1,0)</f>
        <v>0</v>
      </c>
      <c r="R786" t="str" cm="1">
        <f t="array" ref="R786">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786" t="str" cm="1">
        <f t="array" ref="S78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786" t="str">
        <f>TEXT(tbl_analysis_tickets[[#This Row],[created_date]],"mmm-yyyy")</f>
        <v>Oct-2024</v>
      </c>
      <c r="U786" t="str">
        <f>TEXT(tbl_analysis_tickets[[#This Row],[created_date]],"dddd")</f>
        <v>Wednesday</v>
      </c>
      <c r="V786" cm="1">
        <f t="array" ref="V786">_xlfn.SWITCH(tbl_analysis_tickets[[#This Row],[priority]],
"Urgent",1,
"High",2,
"Medium",3,
"Low",4
)</f>
        <v>1</v>
      </c>
    </row>
    <row r="787" spans="1:22" x14ac:dyDescent="0.25">
      <c r="A787">
        <v>786</v>
      </c>
      <c r="B787" s="1">
        <v>45393</v>
      </c>
      <c r="C787" t="s">
        <v>14</v>
      </c>
      <c r="D787" t="s">
        <v>15</v>
      </c>
      <c r="E787">
        <v>14</v>
      </c>
      <c r="F787">
        <v>25</v>
      </c>
      <c r="G787">
        <v>5.8</v>
      </c>
      <c r="H787" t="s">
        <v>18</v>
      </c>
      <c r="I787" t="s">
        <v>16</v>
      </c>
      <c r="J787" t="s">
        <v>20</v>
      </c>
      <c r="K787">
        <f>_xlfn.XLOOKUP(tbl_analysis_tickets[[#This Row],[priority]],tbl_sla[priority],tbl_sla[Resolution SLA Hours])</f>
        <v>48</v>
      </c>
      <c r="L787">
        <f>_xlfn.XLOOKUP(tbl_analysis_tickets[[#This Row],[priority]],tbl_sla[priority],tbl_sla[First Response SLA Minutes])</f>
        <v>120</v>
      </c>
      <c r="M787" t="str">
        <f>IF(tbl_analysis_tickets[[#This Row],[resolution_time_hours]]&gt;tbl_analysis_tickets[[#This Row],[Resolution SLA Hours]],"Breached","Within SLA")</f>
        <v>Within SLA</v>
      </c>
      <c r="N787" t="str">
        <f>IF(tbl_analysis_tickets[[#This Row],[first_response_minutes]]&gt;tbl_analysis_tickets[[#This Row],[First Response SLA Minutes]],"Breached","Within SLA")</f>
        <v>Within SLA</v>
      </c>
      <c r="O787" t="str" cm="1">
        <f t="array" ref="O787">_xlfn.IFS(
tbl_analysis_tickets[[#This Row],[agent_experience_years]]&lt;=2,"Junior",
tbl_analysis_tickets[[#This Row],[agent_experience_years]]&lt;=5,"Mid-Level",
tbl_analysis_tickets[[#This Row],[agent_experience_years]]&lt;=8,"Senior",
tbl_analysis_tickets[[#This Row],[agent_experience_years]]&gt;8,"Expert"
)</f>
        <v>Senior</v>
      </c>
      <c r="P787" cm="1">
        <f t="array" ref="P787">_xlfn.SWITCH(tbl_analysis_tickets[[#This Row],[customer_satisfaction]],
"Low",1,
"Medium",2,
"High",3
)</f>
        <v>3</v>
      </c>
      <c r="Q787">
        <f>IF(tbl_analysis_tickets[[#This Row],[reopened]]="Yes",1,0)</f>
        <v>0</v>
      </c>
      <c r="R787" t="str" cm="1">
        <f t="array" ref="R787">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787" t="str" cm="1">
        <f t="array" ref="S78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787" t="str">
        <f>TEXT(tbl_analysis_tickets[[#This Row],[created_date]],"mmm-yyyy")</f>
        <v>Apr-2024</v>
      </c>
      <c r="U787" t="str">
        <f>TEXT(tbl_analysis_tickets[[#This Row],[created_date]],"dddd")</f>
        <v>Thursday</v>
      </c>
      <c r="V787" cm="1">
        <f t="array" ref="V787">_xlfn.SWITCH(tbl_analysis_tickets[[#This Row],[priority]],
"Urgent",1,
"High",2,
"Medium",3,
"Low",4
)</f>
        <v>3</v>
      </c>
    </row>
    <row r="788" spans="1:22" x14ac:dyDescent="0.25">
      <c r="A788">
        <v>787</v>
      </c>
      <c r="B788" s="1">
        <v>45531</v>
      </c>
      <c r="C788" t="s">
        <v>22</v>
      </c>
      <c r="D788" t="s">
        <v>20</v>
      </c>
      <c r="E788">
        <v>44</v>
      </c>
      <c r="F788">
        <v>71</v>
      </c>
      <c r="G788">
        <v>6.8</v>
      </c>
      <c r="H788" t="s">
        <v>18</v>
      </c>
      <c r="I788" t="s">
        <v>13</v>
      </c>
      <c r="J788" t="s">
        <v>11</v>
      </c>
      <c r="K788">
        <f>_xlfn.XLOOKUP(tbl_analysis_tickets[[#This Row],[priority]],tbl_sla[priority],tbl_sla[Resolution SLA Hours])</f>
        <v>24</v>
      </c>
      <c r="L788">
        <f>_xlfn.XLOOKUP(tbl_analysis_tickets[[#This Row],[priority]],tbl_sla[priority],tbl_sla[First Response SLA Minutes])</f>
        <v>60</v>
      </c>
      <c r="M788" t="str">
        <f>IF(tbl_analysis_tickets[[#This Row],[resolution_time_hours]]&gt;tbl_analysis_tickets[[#This Row],[Resolution SLA Hours]],"Breached","Within SLA")</f>
        <v>Breached</v>
      </c>
      <c r="N788" t="str">
        <f>IF(tbl_analysis_tickets[[#This Row],[first_response_minutes]]&gt;tbl_analysis_tickets[[#This Row],[First Response SLA Minutes]],"Breached","Within SLA")</f>
        <v>Within SLA</v>
      </c>
      <c r="O788" t="str" cm="1">
        <f t="array" ref="O788">_xlfn.IFS(
tbl_analysis_tickets[[#This Row],[agent_experience_years]]&lt;=2,"Junior",
tbl_analysis_tickets[[#This Row],[agent_experience_years]]&lt;=5,"Mid-Level",
tbl_analysis_tickets[[#This Row],[agent_experience_years]]&lt;=8,"Senior",
tbl_analysis_tickets[[#This Row],[agent_experience_years]]&gt;8,"Expert"
)</f>
        <v>Senior</v>
      </c>
      <c r="P788" cm="1">
        <f t="array" ref="P788">_xlfn.SWITCH(tbl_analysis_tickets[[#This Row],[customer_satisfaction]],
"Low",1,
"Medium",2,
"High",3
)</f>
        <v>1</v>
      </c>
      <c r="Q788">
        <f>IF(tbl_analysis_tickets[[#This Row],[reopened]]="Yes",1,0)</f>
        <v>0</v>
      </c>
      <c r="R788" t="str" cm="1">
        <f t="array" ref="R788">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788" t="str" cm="1">
        <f t="array" ref="S78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788" t="str">
        <f>TEXT(tbl_analysis_tickets[[#This Row],[created_date]],"mmm-yyyy")</f>
        <v>Aug-2024</v>
      </c>
      <c r="U788" t="str">
        <f>TEXT(tbl_analysis_tickets[[#This Row],[created_date]],"dddd")</f>
        <v>Tuesday</v>
      </c>
      <c r="V788" cm="1">
        <f t="array" ref="V788">_xlfn.SWITCH(tbl_analysis_tickets[[#This Row],[priority]],
"Urgent",1,
"High",2,
"Medium",3,
"Low",4
)</f>
        <v>2</v>
      </c>
    </row>
    <row r="789" spans="1:22" x14ac:dyDescent="0.25">
      <c r="A789">
        <v>788</v>
      </c>
      <c r="B789" s="1">
        <v>45405</v>
      </c>
      <c r="C789" t="s">
        <v>21</v>
      </c>
      <c r="D789" t="s">
        <v>15</v>
      </c>
      <c r="E789">
        <v>82</v>
      </c>
      <c r="F789">
        <v>38</v>
      </c>
      <c r="G789">
        <v>2.1</v>
      </c>
      <c r="H789" t="s">
        <v>12</v>
      </c>
      <c r="I789" t="s">
        <v>13</v>
      </c>
      <c r="J789" t="s">
        <v>11</v>
      </c>
      <c r="K789">
        <f>_xlfn.XLOOKUP(tbl_analysis_tickets[[#This Row],[priority]],tbl_sla[priority],tbl_sla[Resolution SLA Hours])</f>
        <v>48</v>
      </c>
      <c r="L789">
        <f>_xlfn.XLOOKUP(tbl_analysis_tickets[[#This Row],[priority]],tbl_sla[priority],tbl_sla[First Response SLA Minutes])</f>
        <v>120</v>
      </c>
      <c r="M789" t="str">
        <f>IF(tbl_analysis_tickets[[#This Row],[resolution_time_hours]]&gt;tbl_analysis_tickets[[#This Row],[Resolution SLA Hours]],"Breached","Within SLA")</f>
        <v>Within SLA</v>
      </c>
      <c r="N789" t="str">
        <f>IF(tbl_analysis_tickets[[#This Row],[first_response_minutes]]&gt;tbl_analysis_tickets[[#This Row],[First Response SLA Minutes]],"Breached","Within SLA")</f>
        <v>Within SLA</v>
      </c>
      <c r="O789" t="str" cm="1">
        <f t="array" ref="O789">_xlfn.IFS(
tbl_analysis_tickets[[#This Row],[agent_experience_years]]&lt;=2,"Junior",
tbl_analysis_tickets[[#This Row],[agent_experience_years]]&lt;=5,"Mid-Level",
tbl_analysis_tickets[[#This Row],[agent_experience_years]]&lt;=8,"Senior",
tbl_analysis_tickets[[#This Row],[agent_experience_years]]&gt;8,"Expert"
)</f>
        <v>Mid-Level</v>
      </c>
      <c r="P789" cm="1">
        <f t="array" ref="P789">_xlfn.SWITCH(tbl_analysis_tickets[[#This Row],[customer_satisfaction]],
"Low",1,
"Medium",2,
"High",3
)</f>
        <v>1</v>
      </c>
      <c r="Q789">
        <f>IF(tbl_analysis_tickets[[#This Row],[reopened]]="Yes",1,0)</f>
        <v>1</v>
      </c>
      <c r="R789" t="str" cm="1">
        <f t="array" ref="R789">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789" t="str" cm="1">
        <f t="array" ref="S78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789" t="str">
        <f>TEXT(tbl_analysis_tickets[[#This Row],[created_date]],"mmm-yyyy")</f>
        <v>Apr-2024</v>
      </c>
      <c r="U789" t="str">
        <f>TEXT(tbl_analysis_tickets[[#This Row],[created_date]],"dddd")</f>
        <v>Tuesday</v>
      </c>
      <c r="V789" cm="1">
        <f t="array" ref="V789">_xlfn.SWITCH(tbl_analysis_tickets[[#This Row],[priority]],
"Urgent",1,
"High",2,
"Medium",3,
"Low",4
)</f>
        <v>3</v>
      </c>
    </row>
    <row r="790" spans="1:22" x14ac:dyDescent="0.25">
      <c r="A790">
        <v>789</v>
      </c>
      <c r="B790" s="1">
        <v>45522</v>
      </c>
      <c r="C790" t="s">
        <v>10</v>
      </c>
      <c r="D790" t="s">
        <v>20</v>
      </c>
      <c r="E790">
        <v>52</v>
      </c>
      <c r="F790">
        <v>3</v>
      </c>
      <c r="G790">
        <v>6.7</v>
      </c>
      <c r="H790" t="s">
        <v>12</v>
      </c>
      <c r="I790" t="s">
        <v>16</v>
      </c>
      <c r="J790" t="s">
        <v>15</v>
      </c>
      <c r="K790">
        <f>_xlfn.XLOOKUP(tbl_analysis_tickets[[#This Row],[priority]],tbl_sla[priority],tbl_sla[Resolution SLA Hours])</f>
        <v>24</v>
      </c>
      <c r="L790">
        <f>_xlfn.XLOOKUP(tbl_analysis_tickets[[#This Row],[priority]],tbl_sla[priority],tbl_sla[First Response SLA Minutes])</f>
        <v>60</v>
      </c>
      <c r="M790" t="str">
        <f>IF(tbl_analysis_tickets[[#This Row],[resolution_time_hours]]&gt;tbl_analysis_tickets[[#This Row],[Resolution SLA Hours]],"Breached","Within SLA")</f>
        <v>Within SLA</v>
      </c>
      <c r="N790" t="str">
        <f>IF(tbl_analysis_tickets[[#This Row],[first_response_minutes]]&gt;tbl_analysis_tickets[[#This Row],[First Response SLA Minutes]],"Breached","Within SLA")</f>
        <v>Within SLA</v>
      </c>
      <c r="O790" t="str" cm="1">
        <f t="array" ref="O790">_xlfn.IFS(
tbl_analysis_tickets[[#This Row],[agent_experience_years]]&lt;=2,"Junior",
tbl_analysis_tickets[[#This Row],[agent_experience_years]]&lt;=5,"Mid-Level",
tbl_analysis_tickets[[#This Row],[agent_experience_years]]&lt;=8,"Senior",
tbl_analysis_tickets[[#This Row],[agent_experience_years]]&gt;8,"Expert"
)</f>
        <v>Senior</v>
      </c>
      <c r="P790" cm="1">
        <f t="array" ref="P790">_xlfn.SWITCH(tbl_analysis_tickets[[#This Row],[customer_satisfaction]],
"Low",1,
"Medium",2,
"High",3
)</f>
        <v>2</v>
      </c>
      <c r="Q790">
        <f>IF(tbl_analysis_tickets[[#This Row],[reopened]]="Yes",1,0)</f>
        <v>1</v>
      </c>
      <c r="R790" t="str" cm="1">
        <f t="array" ref="R790">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790" t="str" cm="1">
        <f t="array" ref="S79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790" t="str">
        <f>TEXT(tbl_analysis_tickets[[#This Row],[created_date]],"mmm-yyyy")</f>
        <v>Aug-2024</v>
      </c>
      <c r="U790" t="str">
        <f>TEXT(tbl_analysis_tickets[[#This Row],[created_date]],"dddd")</f>
        <v>Sunday</v>
      </c>
      <c r="V790" cm="1">
        <f t="array" ref="V790">_xlfn.SWITCH(tbl_analysis_tickets[[#This Row],[priority]],
"Urgent",1,
"High",2,
"Medium",3,
"Low",4
)</f>
        <v>2</v>
      </c>
    </row>
    <row r="791" spans="1:22" x14ac:dyDescent="0.25">
      <c r="A791">
        <v>790</v>
      </c>
      <c r="B791" s="1">
        <v>45473</v>
      </c>
      <c r="C791" t="s">
        <v>10</v>
      </c>
      <c r="D791" t="s">
        <v>20</v>
      </c>
      <c r="E791">
        <v>96</v>
      </c>
      <c r="F791">
        <v>34</v>
      </c>
      <c r="G791">
        <v>0.7</v>
      </c>
      <c r="H791" t="s">
        <v>12</v>
      </c>
      <c r="I791" t="s">
        <v>16</v>
      </c>
      <c r="J791" t="s">
        <v>11</v>
      </c>
      <c r="K791">
        <f>_xlfn.XLOOKUP(tbl_analysis_tickets[[#This Row],[priority]],tbl_sla[priority],tbl_sla[Resolution SLA Hours])</f>
        <v>24</v>
      </c>
      <c r="L791">
        <f>_xlfn.XLOOKUP(tbl_analysis_tickets[[#This Row],[priority]],tbl_sla[priority],tbl_sla[First Response SLA Minutes])</f>
        <v>60</v>
      </c>
      <c r="M791" t="str">
        <f>IF(tbl_analysis_tickets[[#This Row],[resolution_time_hours]]&gt;tbl_analysis_tickets[[#This Row],[Resolution SLA Hours]],"Breached","Within SLA")</f>
        <v>Breached</v>
      </c>
      <c r="N791" t="str">
        <f>IF(tbl_analysis_tickets[[#This Row],[first_response_minutes]]&gt;tbl_analysis_tickets[[#This Row],[First Response SLA Minutes]],"Breached","Within SLA")</f>
        <v>Breached</v>
      </c>
      <c r="O791" t="str" cm="1">
        <f t="array" ref="O791">_xlfn.IFS(
tbl_analysis_tickets[[#This Row],[agent_experience_years]]&lt;=2,"Junior",
tbl_analysis_tickets[[#This Row],[agent_experience_years]]&lt;=5,"Mid-Level",
tbl_analysis_tickets[[#This Row],[agent_experience_years]]&lt;=8,"Senior",
tbl_analysis_tickets[[#This Row],[agent_experience_years]]&gt;8,"Expert"
)</f>
        <v>Junior</v>
      </c>
      <c r="P791" cm="1">
        <f t="array" ref="P791">_xlfn.SWITCH(tbl_analysis_tickets[[#This Row],[customer_satisfaction]],
"Low",1,
"Medium",2,
"High",3
)</f>
        <v>1</v>
      </c>
      <c r="Q791">
        <f>IF(tbl_analysis_tickets[[#This Row],[reopened]]="Yes",1,0)</f>
        <v>1</v>
      </c>
      <c r="R791" t="str" cm="1">
        <f t="array" ref="R791">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791" t="str" cm="1">
        <f t="array" ref="S79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791" t="str">
        <f>TEXT(tbl_analysis_tickets[[#This Row],[created_date]],"mmm-yyyy")</f>
        <v>Jun-2024</v>
      </c>
      <c r="U791" t="str">
        <f>TEXT(tbl_analysis_tickets[[#This Row],[created_date]],"dddd")</f>
        <v>Sunday</v>
      </c>
      <c r="V791" cm="1">
        <f t="array" ref="V791">_xlfn.SWITCH(tbl_analysis_tickets[[#This Row],[priority]],
"Urgent",1,
"High",2,
"Medium",3,
"Low",4
)</f>
        <v>2</v>
      </c>
    </row>
    <row r="792" spans="1:22" x14ac:dyDescent="0.25">
      <c r="A792">
        <v>791</v>
      </c>
      <c r="B792" s="1">
        <v>45298</v>
      </c>
      <c r="C792" t="s">
        <v>10</v>
      </c>
      <c r="D792" t="s">
        <v>11</v>
      </c>
      <c r="E792">
        <v>199</v>
      </c>
      <c r="F792">
        <v>29</v>
      </c>
      <c r="G792">
        <v>5.4</v>
      </c>
      <c r="H792" t="s">
        <v>12</v>
      </c>
      <c r="I792" t="s">
        <v>13</v>
      </c>
      <c r="J792" t="s">
        <v>11</v>
      </c>
      <c r="K792">
        <f>_xlfn.XLOOKUP(tbl_analysis_tickets[[#This Row],[priority]],tbl_sla[priority],tbl_sla[Resolution SLA Hours])</f>
        <v>72</v>
      </c>
      <c r="L792">
        <f>_xlfn.XLOOKUP(tbl_analysis_tickets[[#This Row],[priority]],tbl_sla[priority],tbl_sla[First Response SLA Minutes])</f>
        <v>240</v>
      </c>
      <c r="M792" t="str">
        <f>IF(tbl_analysis_tickets[[#This Row],[resolution_time_hours]]&gt;tbl_analysis_tickets[[#This Row],[Resolution SLA Hours]],"Breached","Within SLA")</f>
        <v>Within SLA</v>
      </c>
      <c r="N792" t="str">
        <f>IF(tbl_analysis_tickets[[#This Row],[first_response_minutes]]&gt;tbl_analysis_tickets[[#This Row],[First Response SLA Minutes]],"Breached","Within SLA")</f>
        <v>Within SLA</v>
      </c>
      <c r="O792" t="str" cm="1">
        <f t="array" ref="O792">_xlfn.IFS(
tbl_analysis_tickets[[#This Row],[agent_experience_years]]&lt;=2,"Junior",
tbl_analysis_tickets[[#This Row],[agent_experience_years]]&lt;=5,"Mid-Level",
tbl_analysis_tickets[[#This Row],[agent_experience_years]]&lt;=8,"Senior",
tbl_analysis_tickets[[#This Row],[agent_experience_years]]&gt;8,"Expert"
)</f>
        <v>Senior</v>
      </c>
      <c r="P792" cm="1">
        <f t="array" ref="P792">_xlfn.SWITCH(tbl_analysis_tickets[[#This Row],[customer_satisfaction]],
"Low",1,
"Medium",2,
"High",3
)</f>
        <v>1</v>
      </c>
      <c r="Q792">
        <f>IF(tbl_analysis_tickets[[#This Row],[reopened]]="Yes",1,0)</f>
        <v>1</v>
      </c>
      <c r="R792" t="str" cm="1">
        <f t="array" ref="R792">_xlfn.IFS(
tbl_analysis_tickets[[#This Row],[first_response_minutes]]&lt;=30,"Very Fast",
tbl_analysis_tickets[[#This Row],[first_response_minutes]]&lt;=120,"Acceptable",
tbl_analysis_tickets[[#This Row],[first_response_minutes]]&lt;=240,"Slow",
tbl_analysis_tickets[[#This Row],[first_response_minutes]]&gt;240,"Very Slow"
)</f>
        <v>Slow</v>
      </c>
      <c r="S792" t="str" cm="1">
        <f t="array" ref="S79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792" t="str">
        <f>TEXT(tbl_analysis_tickets[[#This Row],[created_date]],"mmm-yyyy")</f>
        <v>Jan-2024</v>
      </c>
      <c r="U792" t="str">
        <f>TEXT(tbl_analysis_tickets[[#This Row],[created_date]],"dddd")</f>
        <v>Sunday</v>
      </c>
      <c r="V792" cm="1">
        <f t="array" ref="V792">_xlfn.SWITCH(tbl_analysis_tickets[[#This Row],[priority]],
"Urgent",1,
"High",2,
"Medium",3,
"Low",4
)</f>
        <v>4</v>
      </c>
    </row>
    <row r="793" spans="1:22" x14ac:dyDescent="0.25">
      <c r="A793">
        <v>792</v>
      </c>
      <c r="B793" s="1">
        <v>45435</v>
      </c>
      <c r="C793" t="s">
        <v>22</v>
      </c>
      <c r="D793" t="s">
        <v>15</v>
      </c>
      <c r="E793">
        <v>207</v>
      </c>
      <c r="F793">
        <v>71</v>
      </c>
      <c r="G793">
        <v>3.5</v>
      </c>
      <c r="H793" t="s">
        <v>12</v>
      </c>
      <c r="I793" t="s">
        <v>13</v>
      </c>
      <c r="J793" t="s">
        <v>11</v>
      </c>
      <c r="K793">
        <f>_xlfn.XLOOKUP(tbl_analysis_tickets[[#This Row],[priority]],tbl_sla[priority],tbl_sla[Resolution SLA Hours])</f>
        <v>48</v>
      </c>
      <c r="L793">
        <f>_xlfn.XLOOKUP(tbl_analysis_tickets[[#This Row],[priority]],tbl_sla[priority],tbl_sla[First Response SLA Minutes])</f>
        <v>120</v>
      </c>
      <c r="M793" t="str">
        <f>IF(tbl_analysis_tickets[[#This Row],[resolution_time_hours]]&gt;tbl_analysis_tickets[[#This Row],[Resolution SLA Hours]],"Breached","Within SLA")</f>
        <v>Breached</v>
      </c>
      <c r="N793" t="str">
        <f>IF(tbl_analysis_tickets[[#This Row],[first_response_minutes]]&gt;tbl_analysis_tickets[[#This Row],[First Response SLA Minutes]],"Breached","Within SLA")</f>
        <v>Breached</v>
      </c>
      <c r="O793" t="str" cm="1">
        <f t="array" ref="O793">_xlfn.IFS(
tbl_analysis_tickets[[#This Row],[agent_experience_years]]&lt;=2,"Junior",
tbl_analysis_tickets[[#This Row],[agent_experience_years]]&lt;=5,"Mid-Level",
tbl_analysis_tickets[[#This Row],[agent_experience_years]]&lt;=8,"Senior",
tbl_analysis_tickets[[#This Row],[agent_experience_years]]&gt;8,"Expert"
)</f>
        <v>Mid-Level</v>
      </c>
      <c r="P793" cm="1">
        <f t="array" ref="P793">_xlfn.SWITCH(tbl_analysis_tickets[[#This Row],[customer_satisfaction]],
"Low",1,
"Medium",2,
"High",3
)</f>
        <v>1</v>
      </c>
      <c r="Q793">
        <f>IF(tbl_analysis_tickets[[#This Row],[reopened]]="Yes",1,0)</f>
        <v>1</v>
      </c>
      <c r="R793" t="str" cm="1">
        <f t="array" ref="R793">_xlfn.IFS(
tbl_analysis_tickets[[#This Row],[first_response_minutes]]&lt;=30,"Very Fast",
tbl_analysis_tickets[[#This Row],[first_response_minutes]]&lt;=120,"Acceptable",
tbl_analysis_tickets[[#This Row],[first_response_minutes]]&lt;=240,"Slow",
tbl_analysis_tickets[[#This Row],[first_response_minutes]]&gt;240,"Very Slow"
)</f>
        <v>Slow</v>
      </c>
      <c r="S793" t="str" cm="1">
        <f t="array" ref="S79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793" t="str">
        <f>TEXT(tbl_analysis_tickets[[#This Row],[created_date]],"mmm-yyyy")</f>
        <v>May-2024</v>
      </c>
      <c r="U793" t="str">
        <f>TEXT(tbl_analysis_tickets[[#This Row],[created_date]],"dddd")</f>
        <v>Thursday</v>
      </c>
      <c r="V793" cm="1">
        <f t="array" ref="V793">_xlfn.SWITCH(tbl_analysis_tickets[[#This Row],[priority]],
"Urgent",1,
"High",2,
"Medium",3,
"Low",4
)</f>
        <v>3</v>
      </c>
    </row>
    <row r="794" spans="1:22" x14ac:dyDescent="0.25">
      <c r="A794">
        <v>793</v>
      </c>
      <c r="B794" s="1">
        <v>45591</v>
      </c>
      <c r="C794" t="s">
        <v>22</v>
      </c>
      <c r="D794" t="s">
        <v>11</v>
      </c>
      <c r="E794">
        <v>9</v>
      </c>
      <c r="F794">
        <v>17</v>
      </c>
      <c r="G794">
        <v>1.1000000000000001</v>
      </c>
      <c r="H794" t="s">
        <v>12</v>
      </c>
      <c r="I794" t="s">
        <v>19</v>
      </c>
      <c r="J794" t="s">
        <v>15</v>
      </c>
      <c r="K794">
        <f>_xlfn.XLOOKUP(tbl_analysis_tickets[[#This Row],[priority]],tbl_sla[priority],tbl_sla[Resolution SLA Hours])</f>
        <v>72</v>
      </c>
      <c r="L794">
        <f>_xlfn.XLOOKUP(tbl_analysis_tickets[[#This Row],[priority]],tbl_sla[priority],tbl_sla[First Response SLA Minutes])</f>
        <v>240</v>
      </c>
      <c r="M794" t="str">
        <f>IF(tbl_analysis_tickets[[#This Row],[resolution_time_hours]]&gt;tbl_analysis_tickets[[#This Row],[Resolution SLA Hours]],"Breached","Within SLA")</f>
        <v>Within SLA</v>
      </c>
      <c r="N794" t="str">
        <f>IF(tbl_analysis_tickets[[#This Row],[first_response_minutes]]&gt;tbl_analysis_tickets[[#This Row],[First Response SLA Minutes]],"Breached","Within SLA")</f>
        <v>Within SLA</v>
      </c>
      <c r="O794" t="str" cm="1">
        <f t="array" ref="O794">_xlfn.IFS(
tbl_analysis_tickets[[#This Row],[agent_experience_years]]&lt;=2,"Junior",
tbl_analysis_tickets[[#This Row],[agent_experience_years]]&lt;=5,"Mid-Level",
tbl_analysis_tickets[[#This Row],[agent_experience_years]]&lt;=8,"Senior",
tbl_analysis_tickets[[#This Row],[agent_experience_years]]&gt;8,"Expert"
)</f>
        <v>Junior</v>
      </c>
      <c r="P794" cm="1">
        <f t="array" ref="P794">_xlfn.SWITCH(tbl_analysis_tickets[[#This Row],[customer_satisfaction]],
"Low",1,
"Medium",2,
"High",3
)</f>
        <v>2</v>
      </c>
      <c r="Q794">
        <f>IF(tbl_analysis_tickets[[#This Row],[reopened]]="Yes",1,0)</f>
        <v>1</v>
      </c>
      <c r="R794" t="str" cm="1">
        <f t="array" ref="R794">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794" t="str" cm="1">
        <f t="array" ref="S79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794" t="str">
        <f>TEXT(tbl_analysis_tickets[[#This Row],[created_date]],"mmm-yyyy")</f>
        <v>Oct-2024</v>
      </c>
      <c r="U794" t="str">
        <f>TEXT(tbl_analysis_tickets[[#This Row],[created_date]],"dddd")</f>
        <v>Saturday</v>
      </c>
      <c r="V794" cm="1">
        <f t="array" ref="V794">_xlfn.SWITCH(tbl_analysis_tickets[[#This Row],[priority]],
"Urgent",1,
"High",2,
"Medium",3,
"Low",4
)</f>
        <v>4</v>
      </c>
    </row>
    <row r="795" spans="1:22" x14ac:dyDescent="0.25">
      <c r="A795">
        <v>794</v>
      </c>
      <c r="B795" s="1">
        <v>45300</v>
      </c>
      <c r="C795" t="s">
        <v>23</v>
      </c>
      <c r="D795" t="s">
        <v>11</v>
      </c>
      <c r="E795">
        <v>140</v>
      </c>
      <c r="F795">
        <v>3</v>
      </c>
      <c r="G795">
        <v>4.5</v>
      </c>
      <c r="H795" t="s">
        <v>18</v>
      </c>
      <c r="I795" t="s">
        <v>19</v>
      </c>
      <c r="J795" t="s">
        <v>15</v>
      </c>
      <c r="K795">
        <f>_xlfn.XLOOKUP(tbl_analysis_tickets[[#This Row],[priority]],tbl_sla[priority],tbl_sla[Resolution SLA Hours])</f>
        <v>72</v>
      </c>
      <c r="L795">
        <f>_xlfn.XLOOKUP(tbl_analysis_tickets[[#This Row],[priority]],tbl_sla[priority],tbl_sla[First Response SLA Minutes])</f>
        <v>240</v>
      </c>
      <c r="M795" t="str">
        <f>IF(tbl_analysis_tickets[[#This Row],[resolution_time_hours]]&gt;tbl_analysis_tickets[[#This Row],[Resolution SLA Hours]],"Breached","Within SLA")</f>
        <v>Within SLA</v>
      </c>
      <c r="N795" t="str">
        <f>IF(tbl_analysis_tickets[[#This Row],[first_response_minutes]]&gt;tbl_analysis_tickets[[#This Row],[First Response SLA Minutes]],"Breached","Within SLA")</f>
        <v>Within SLA</v>
      </c>
      <c r="O795" t="str" cm="1">
        <f t="array" ref="O795">_xlfn.IFS(
tbl_analysis_tickets[[#This Row],[agent_experience_years]]&lt;=2,"Junior",
tbl_analysis_tickets[[#This Row],[agent_experience_years]]&lt;=5,"Mid-Level",
tbl_analysis_tickets[[#This Row],[agent_experience_years]]&lt;=8,"Senior",
tbl_analysis_tickets[[#This Row],[agent_experience_years]]&gt;8,"Expert"
)</f>
        <v>Mid-Level</v>
      </c>
      <c r="P795" cm="1">
        <f t="array" ref="P795">_xlfn.SWITCH(tbl_analysis_tickets[[#This Row],[customer_satisfaction]],
"Low",1,
"Medium",2,
"High",3
)</f>
        <v>2</v>
      </c>
      <c r="Q795">
        <f>IF(tbl_analysis_tickets[[#This Row],[reopened]]="Yes",1,0)</f>
        <v>0</v>
      </c>
      <c r="R795" t="str" cm="1">
        <f t="array" ref="R795">_xlfn.IFS(
tbl_analysis_tickets[[#This Row],[first_response_minutes]]&lt;=30,"Very Fast",
tbl_analysis_tickets[[#This Row],[first_response_minutes]]&lt;=120,"Acceptable",
tbl_analysis_tickets[[#This Row],[first_response_minutes]]&lt;=240,"Slow",
tbl_analysis_tickets[[#This Row],[first_response_minutes]]&gt;240,"Very Slow"
)</f>
        <v>Slow</v>
      </c>
      <c r="S795" t="str" cm="1">
        <f t="array" ref="S79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795" t="str">
        <f>TEXT(tbl_analysis_tickets[[#This Row],[created_date]],"mmm-yyyy")</f>
        <v>Jan-2024</v>
      </c>
      <c r="U795" t="str">
        <f>TEXT(tbl_analysis_tickets[[#This Row],[created_date]],"dddd")</f>
        <v>Tuesday</v>
      </c>
      <c r="V795" cm="1">
        <f t="array" ref="V795">_xlfn.SWITCH(tbl_analysis_tickets[[#This Row],[priority]],
"Urgent",1,
"High",2,
"Medium",3,
"Low",4
)</f>
        <v>4</v>
      </c>
    </row>
    <row r="796" spans="1:22" x14ac:dyDescent="0.25">
      <c r="A796">
        <v>795</v>
      </c>
      <c r="B796" s="1">
        <v>45308</v>
      </c>
      <c r="C796" t="s">
        <v>21</v>
      </c>
      <c r="D796" t="s">
        <v>20</v>
      </c>
      <c r="E796">
        <v>48</v>
      </c>
      <c r="F796">
        <v>37</v>
      </c>
      <c r="G796">
        <v>4.0999999999999996</v>
      </c>
      <c r="H796" t="s">
        <v>18</v>
      </c>
      <c r="I796" t="s">
        <v>19</v>
      </c>
      <c r="J796" t="s">
        <v>11</v>
      </c>
      <c r="K796">
        <f>_xlfn.XLOOKUP(tbl_analysis_tickets[[#This Row],[priority]],tbl_sla[priority],tbl_sla[Resolution SLA Hours])</f>
        <v>24</v>
      </c>
      <c r="L796">
        <f>_xlfn.XLOOKUP(tbl_analysis_tickets[[#This Row],[priority]],tbl_sla[priority],tbl_sla[First Response SLA Minutes])</f>
        <v>60</v>
      </c>
      <c r="M796" t="str">
        <f>IF(tbl_analysis_tickets[[#This Row],[resolution_time_hours]]&gt;tbl_analysis_tickets[[#This Row],[Resolution SLA Hours]],"Breached","Within SLA")</f>
        <v>Breached</v>
      </c>
      <c r="N796" t="str">
        <f>IF(tbl_analysis_tickets[[#This Row],[first_response_minutes]]&gt;tbl_analysis_tickets[[#This Row],[First Response SLA Minutes]],"Breached","Within SLA")</f>
        <v>Within SLA</v>
      </c>
      <c r="O796" t="str" cm="1">
        <f t="array" ref="O796">_xlfn.IFS(
tbl_analysis_tickets[[#This Row],[agent_experience_years]]&lt;=2,"Junior",
tbl_analysis_tickets[[#This Row],[agent_experience_years]]&lt;=5,"Mid-Level",
tbl_analysis_tickets[[#This Row],[agent_experience_years]]&lt;=8,"Senior",
tbl_analysis_tickets[[#This Row],[agent_experience_years]]&gt;8,"Expert"
)</f>
        <v>Mid-Level</v>
      </c>
      <c r="P796" cm="1">
        <f t="array" ref="P796">_xlfn.SWITCH(tbl_analysis_tickets[[#This Row],[customer_satisfaction]],
"Low",1,
"Medium",2,
"High",3
)</f>
        <v>1</v>
      </c>
      <c r="Q796">
        <f>IF(tbl_analysis_tickets[[#This Row],[reopened]]="Yes",1,0)</f>
        <v>0</v>
      </c>
      <c r="R796" t="str" cm="1">
        <f t="array" ref="R796">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796" t="str" cm="1">
        <f t="array" ref="S79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796" t="str">
        <f>TEXT(tbl_analysis_tickets[[#This Row],[created_date]],"mmm-yyyy")</f>
        <v>Jan-2024</v>
      </c>
      <c r="U796" t="str">
        <f>TEXT(tbl_analysis_tickets[[#This Row],[created_date]],"dddd")</f>
        <v>Wednesday</v>
      </c>
      <c r="V796" cm="1">
        <f t="array" ref="V796">_xlfn.SWITCH(tbl_analysis_tickets[[#This Row],[priority]],
"Urgent",1,
"High",2,
"Medium",3,
"Low",4
)</f>
        <v>2</v>
      </c>
    </row>
    <row r="797" spans="1:22" x14ac:dyDescent="0.25">
      <c r="A797">
        <v>796</v>
      </c>
      <c r="B797" s="1">
        <v>45529</v>
      </c>
      <c r="C797" t="s">
        <v>21</v>
      </c>
      <c r="D797" t="s">
        <v>15</v>
      </c>
      <c r="E797">
        <v>66</v>
      </c>
      <c r="F797">
        <v>34</v>
      </c>
      <c r="G797">
        <v>5.4</v>
      </c>
      <c r="H797" t="s">
        <v>12</v>
      </c>
      <c r="I797" t="s">
        <v>13</v>
      </c>
      <c r="J797" t="s">
        <v>11</v>
      </c>
      <c r="K797">
        <f>_xlfn.XLOOKUP(tbl_analysis_tickets[[#This Row],[priority]],tbl_sla[priority],tbl_sla[Resolution SLA Hours])</f>
        <v>48</v>
      </c>
      <c r="L797">
        <f>_xlfn.XLOOKUP(tbl_analysis_tickets[[#This Row],[priority]],tbl_sla[priority],tbl_sla[First Response SLA Minutes])</f>
        <v>120</v>
      </c>
      <c r="M797" t="str">
        <f>IF(tbl_analysis_tickets[[#This Row],[resolution_time_hours]]&gt;tbl_analysis_tickets[[#This Row],[Resolution SLA Hours]],"Breached","Within SLA")</f>
        <v>Within SLA</v>
      </c>
      <c r="N797" t="str">
        <f>IF(tbl_analysis_tickets[[#This Row],[first_response_minutes]]&gt;tbl_analysis_tickets[[#This Row],[First Response SLA Minutes]],"Breached","Within SLA")</f>
        <v>Within SLA</v>
      </c>
      <c r="O797" t="str" cm="1">
        <f t="array" ref="O797">_xlfn.IFS(
tbl_analysis_tickets[[#This Row],[agent_experience_years]]&lt;=2,"Junior",
tbl_analysis_tickets[[#This Row],[agent_experience_years]]&lt;=5,"Mid-Level",
tbl_analysis_tickets[[#This Row],[agent_experience_years]]&lt;=8,"Senior",
tbl_analysis_tickets[[#This Row],[agent_experience_years]]&gt;8,"Expert"
)</f>
        <v>Senior</v>
      </c>
      <c r="P797" cm="1">
        <f t="array" ref="P797">_xlfn.SWITCH(tbl_analysis_tickets[[#This Row],[customer_satisfaction]],
"Low",1,
"Medium",2,
"High",3
)</f>
        <v>1</v>
      </c>
      <c r="Q797">
        <f>IF(tbl_analysis_tickets[[#This Row],[reopened]]="Yes",1,0)</f>
        <v>1</v>
      </c>
      <c r="R797" t="str" cm="1">
        <f t="array" ref="R797">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797" t="str" cm="1">
        <f t="array" ref="S79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797" t="str">
        <f>TEXT(tbl_analysis_tickets[[#This Row],[created_date]],"mmm-yyyy")</f>
        <v>Aug-2024</v>
      </c>
      <c r="U797" t="str">
        <f>TEXT(tbl_analysis_tickets[[#This Row],[created_date]],"dddd")</f>
        <v>Sunday</v>
      </c>
      <c r="V797" cm="1">
        <f t="array" ref="V797">_xlfn.SWITCH(tbl_analysis_tickets[[#This Row],[priority]],
"Urgent",1,
"High",2,
"Medium",3,
"Low",4
)</f>
        <v>3</v>
      </c>
    </row>
    <row r="798" spans="1:22" x14ac:dyDescent="0.25">
      <c r="A798">
        <v>797</v>
      </c>
      <c r="B798" s="1">
        <v>45354</v>
      </c>
      <c r="C798" t="s">
        <v>14</v>
      </c>
      <c r="D798" t="s">
        <v>11</v>
      </c>
      <c r="E798">
        <v>76</v>
      </c>
      <c r="F798">
        <v>13</v>
      </c>
      <c r="G798">
        <v>5</v>
      </c>
      <c r="H798" t="s">
        <v>12</v>
      </c>
      <c r="I798" t="s">
        <v>13</v>
      </c>
      <c r="J798" t="s">
        <v>11</v>
      </c>
      <c r="K798">
        <f>_xlfn.XLOOKUP(tbl_analysis_tickets[[#This Row],[priority]],tbl_sla[priority],tbl_sla[Resolution SLA Hours])</f>
        <v>72</v>
      </c>
      <c r="L798">
        <f>_xlfn.XLOOKUP(tbl_analysis_tickets[[#This Row],[priority]],tbl_sla[priority],tbl_sla[First Response SLA Minutes])</f>
        <v>240</v>
      </c>
      <c r="M798" t="str">
        <f>IF(tbl_analysis_tickets[[#This Row],[resolution_time_hours]]&gt;tbl_analysis_tickets[[#This Row],[Resolution SLA Hours]],"Breached","Within SLA")</f>
        <v>Within SLA</v>
      </c>
      <c r="N798" t="str">
        <f>IF(tbl_analysis_tickets[[#This Row],[first_response_minutes]]&gt;tbl_analysis_tickets[[#This Row],[First Response SLA Minutes]],"Breached","Within SLA")</f>
        <v>Within SLA</v>
      </c>
      <c r="O798" t="str" cm="1">
        <f t="array" ref="O798">_xlfn.IFS(
tbl_analysis_tickets[[#This Row],[agent_experience_years]]&lt;=2,"Junior",
tbl_analysis_tickets[[#This Row],[agent_experience_years]]&lt;=5,"Mid-Level",
tbl_analysis_tickets[[#This Row],[agent_experience_years]]&lt;=8,"Senior",
tbl_analysis_tickets[[#This Row],[agent_experience_years]]&gt;8,"Expert"
)</f>
        <v>Mid-Level</v>
      </c>
      <c r="P798" cm="1">
        <f t="array" ref="P798">_xlfn.SWITCH(tbl_analysis_tickets[[#This Row],[customer_satisfaction]],
"Low",1,
"Medium",2,
"High",3
)</f>
        <v>1</v>
      </c>
      <c r="Q798">
        <f>IF(tbl_analysis_tickets[[#This Row],[reopened]]="Yes",1,0)</f>
        <v>1</v>
      </c>
      <c r="R798" t="str" cm="1">
        <f t="array" ref="R798">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798" t="str" cm="1">
        <f t="array" ref="S79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798" t="str">
        <f>TEXT(tbl_analysis_tickets[[#This Row],[created_date]],"mmm-yyyy")</f>
        <v>Mar-2024</v>
      </c>
      <c r="U798" t="str">
        <f>TEXT(tbl_analysis_tickets[[#This Row],[created_date]],"dddd")</f>
        <v>Sunday</v>
      </c>
      <c r="V798" cm="1">
        <f t="array" ref="V798">_xlfn.SWITCH(tbl_analysis_tickets[[#This Row],[priority]],
"Urgent",1,
"High",2,
"Medium",3,
"Low",4
)</f>
        <v>4</v>
      </c>
    </row>
    <row r="799" spans="1:22" x14ac:dyDescent="0.25">
      <c r="A799">
        <v>798</v>
      </c>
      <c r="B799" s="1">
        <v>45555</v>
      </c>
      <c r="C799" t="s">
        <v>10</v>
      </c>
      <c r="D799" t="s">
        <v>15</v>
      </c>
      <c r="E799">
        <v>118</v>
      </c>
      <c r="F799">
        <v>14</v>
      </c>
      <c r="G799">
        <v>3.1</v>
      </c>
      <c r="H799" t="s">
        <v>12</v>
      </c>
      <c r="I799" t="s">
        <v>13</v>
      </c>
      <c r="J799" t="s">
        <v>11</v>
      </c>
      <c r="K799">
        <f>_xlfn.XLOOKUP(tbl_analysis_tickets[[#This Row],[priority]],tbl_sla[priority],tbl_sla[Resolution SLA Hours])</f>
        <v>48</v>
      </c>
      <c r="L799">
        <f>_xlfn.XLOOKUP(tbl_analysis_tickets[[#This Row],[priority]],tbl_sla[priority],tbl_sla[First Response SLA Minutes])</f>
        <v>120</v>
      </c>
      <c r="M799" t="str">
        <f>IF(tbl_analysis_tickets[[#This Row],[resolution_time_hours]]&gt;tbl_analysis_tickets[[#This Row],[Resolution SLA Hours]],"Breached","Within SLA")</f>
        <v>Within SLA</v>
      </c>
      <c r="N799" t="str">
        <f>IF(tbl_analysis_tickets[[#This Row],[first_response_minutes]]&gt;tbl_analysis_tickets[[#This Row],[First Response SLA Minutes]],"Breached","Within SLA")</f>
        <v>Within SLA</v>
      </c>
      <c r="O799" t="str" cm="1">
        <f t="array" ref="O799">_xlfn.IFS(
tbl_analysis_tickets[[#This Row],[agent_experience_years]]&lt;=2,"Junior",
tbl_analysis_tickets[[#This Row],[agent_experience_years]]&lt;=5,"Mid-Level",
tbl_analysis_tickets[[#This Row],[agent_experience_years]]&lt;=8,"Senior",
tbl_analysis_tickets[[#This Row],[agent_experience_years]]&gt;8,"Expert"
)</f>
        <v>Mid-Level</v>
      </c>
      <c r="P799" cm="1">
        <f t="array" ref="P799">_xlfn.SWITCH(tbl_analysis_tickets[[#This Row],[customer_satisfaction]],
"Low",1,
"Medium",2,
"High",3
)</f>
        <v>1</v>
      </c>
      <c r="Q799">
        <f>IF(tbl_analysis_tickets[[#This Row],[reopened]]="Yes",1,0)</f>
        <v>1</v>
      </c>
      <c r="R799" t="str" cm="1">
        <f t="array" ref="R799">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799" t="str" cm="1">
        <f t="array" ref="S79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799" t="str">
        <f>TEXT(tbl_analysis_tickets[[#This Row],[created_date]],"mmm-yyyy")</f>
        <v>Sep-2024</v>
      </c>
      <c r="U799" t="str">
        <f>TEXT(tbl_analysis_tickets[[#This Row],[created_date]],"dddd")</f>
        <v>Friday</v>
      </c>
      <c r="V799" cm="1">
        <f t="array" ref="V799">_xlfn.SWITCH(tbl_analysis_tickets[[#This Row],[priority]],
"Urgent",1,
"High",2,
"Medium",3,
"Low",4
)</f>
        <v>3</v>
      </c>
    </row>
    <row r="800" spans="1:22" x14ac:dyDescent="0.25">
      <c r="A800">
        <v>799</v>
      </c>
      <c r="B800" s="1">
        <v>45613</v>
      </c>
      <c r="C800" t="s">
        <v>10</v>
      </c>
      <c r="D800" t="s">
        <v>11</v>
      </c>
      <c r="E800">
        <v>164</v>
      </c>
      <c r="F800">
        <v>35</v>
      </c>
      <c r="G800">
        <v>1.5</v>
      </c>
      <c r="H800" t="s">
        <v>18</v>
      </c>
      <c r="I800" t="s">
        <v>16</v>
      </c>
      <c r="J800" t="s">
        <v>11</v>
      </c>
      <c r="K800">
        <f>_xlfn.XLOOKUP(tbl_analysis_tickets[[#This Row],[priority]],tbl_sla[priority],tbl_sla[Resolution SLA Hours])</f>
        <v>72</v>
      </c>
      <c r="L800">
        <f>_xlfn.XLOOKUP(tbl_analysis_tickets[[#This Row],[priority]],tbl_sla[priority],tbl_sla[First Response SLA Minutes])</f>
        <v>240</v>
      </c>
      <c r="M800" t="str">
        <f>IF(tbl_analysis_tickets[[#This Row],[resolution_time_hours]]&gt;tbl_analysis_tickets[[#This Row],[Resolution SLA Hours]],"Breached","Within SLA")</f>
        <v>Within SLA</v>
      </c>
      <c r="N800" t="str">
        <f>IF(tbl_analysis_tickets[[#This Row],[first_response_minutes]]&gt;tbl_analysis_tickets[[#This Row],[First Response SLA Minutes]],"Breached","Within SLA")</f>
        <v>Within SLA</v>
      </c>
      <c r="O800" t="str" cm="1">
        <f t="array" ref="O800">_xlfn.IFS(
tbl_analysis_tickets[[#This Row],[agent_experience_years]]&lt;=2,"Junior",
tbl_analysis_tickets[[#This Row],[agent_experience_years]]&lt;=5,"Mid-Level",
tbl_analysis_tickets[[#This Row],[agent_experience_years]]&lt;=8,"Senior",
tbl_analysis_tickets[[#This Row],[agent_experience_years]]&gt;8,"Expert"
)</f>
        <v>Junior</v>
      </c>
      <c r="P800" cm="1">
        <f t="array" ref="P800">_xlfn.SWITCH(tbl_analysis_tickets[[#This Row],[customer_satisfaction]],
"Low",1,
"Medium",2,
"High",3
)</f>
        <v>1</v>
      </c>
      <c r="Q800">
        <f>IF(tbl_analysis_tickets[[#This Row],[reopened]]="Yes",1,0)</f>
        <v>0</v>
      </c>
      <c r="R800" t="str" cm="1">
        <f t="array" ref="R800">_xlfn.IFS(
tbl_analysis_tickets[[#This Row],[first_response_minutes]]&lt;=30,"Very Fast",
tbl_analysis_tickets[[#This Row],[first_response_minutes]]&lt;=120,"Acceptable",
tbl_analysis_tickets[[#This Row],[first_response_minutes]]&lt;=240,"Slow",
tbl_analysis_tickets[[#This Row],[first_response_minutes]]&gt;240,"Very Slow"
)</f>
        <v>Slow</v>
      </c>
      <c r="S800" t="str" cm="1">
        <f t="array" ref="S80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800" t="str">
        <f>TEXT(tbl_analysis_tickets[[#This Row],[created_date]],"mmm-yyyy")</f>
        <v>Nov-2024</v>
      </c>
      <c r="U800" t="str">
        <f>TEXT(tbl_analysis_tickets[[#This Row],[created_date]],"dddd")</f>
        <v>Sunday</v>
      </c>
      <c r="V800" cm="1">
        <f t="array" ref="V800">_xlfn.SWITCH(tbl_analysis_tickets[[#This Row],[priority]],
"Urgent",1,
"High",2,
"Medium",3,
"Low",4
)</f>
        <v>4</v>
      </c>
    </row>
    <row r="801" spans="1:22" x14ac:dyDescent="0.25">
      <c r="A801">
        <v>800</v>
      </c>
      <c r="B801" s="1">
        <v>45541</v>
      </c>
      <c r="C801" t="s">
        <v>10</v>
      </c>
      <c r="D801" t="s">
        <v>17</v>
      </c>
      <c r="E801">
        <v>203</v>
      </c>
      <c r="F801">
        <v>37</v>
      </c>
      <c r="G801">
        <v>7.3</v>
      </c>
      <c r="H801" t="s">
        <v>12</v>
      </c>
      <c r="I801" t="s">
        <v>19</v>
      </c>
      <c r="J801" t="s">
        <v>11</v>
      </c>
      <c r="K801">
        <f>_xlfn.XLOOKUP(tbl_analysis_tickets[[#This Row],[priority]],tbl_sla[priority],tbl_sla[Resolution SLA Hours])</f>
        <v>8</v>
      </c>
      <c r="L801">
        <f>_xlfn.XLOOKUP(tbl_analysis_tickets[[#This Row],[priority]],tbl_sla[priority],tbl_sla[First Response SLA Minutes])</f>
        <v>30</v>
      </c>
      <c r="M801" t="str">
        <f>IF(tbl_analysis_tickets[[#This Row],[resolution_time_hours]]&gt;tbl_analysis_tickets[[#This Row],[Resolution SLA Hours]],"Breached","Within SLA")</f>
        <v>Breached</v>
      </c>
      <c r="N801" t="str">
        <f>IF(tbl_analysis_tickets[[#This Row],[first_response_minutes]]&gt;tbl_analysis_tickets[[#This Row],[First Response SLA Minutes]],"Breached","Within SLA")</f>
        <v>Breached</v>
      </c>
      <c r="O801" t="str" cm="1">
        <f t="array" ref="O801">_xlfn.IFS(
tbl_analysis_tickets[[#This Row],[agent_experience_years]]&lt;=2,"Junior",
tbl_analysis_tickets[[#This Row],[agent_experience_years]]&lt;=5,"Mid-Level",
tbl_analysis_tickets[[#This Row],[agent_experience_years]]&lt;=8,"Senior",
tbl_analysis_tickets[[#This Row],[agent_experience_years]]&gt;8,"Expert"
)</f>
        <v>Senior</v>
      </c>
      <c r="P801" cm="1">
        <f t="array" ref="P801">_xlfn.SWITCH(tbl_analysis_tickets[[#This Row],[customer_satisfaction]],
"Low",1,
"Medium",2,
"High",3
)</f>
        <v>1</v>
      </c>
      <c r="Q801">
        <f>IF(tbl_analysis_tickets[[#This Row],[reopened]]="Yes",1,0)</f>
        <v>1</v>
      </c>
      <c r="R801" t="str" cm="1">
        <f t="array" ref="R801">_xlfn.IFS(
tbl_analysis_tickets[[#This Row],[first_response_minutes]]&lt;=30,"Very Fast",
tbl_analysis_tickets[[#This Row],[first_response_minutes]]&lt;=120,"Acceptable",
tbl_analysis_tickets[[#This Row],[first_response_minutes]]&lt;=240,"Slow",
tbl_analysis_tickets[[#This Row],[first_response_minutes]]&gt;240,"Very Slow"
)</f>
        <v>Slow</v>
      </c>
      <c r="S801" t="str" cm="1">
        <f t="array" ref="S80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801" t="str">
        <f>TEXT(tbl_analysis_tickets[[#This Row],[created_date]],"mmm-yyyy")</f>
        <v>Sep-2024</v>
      </c>
      <c r="U801" t="str">
        <f>TEXT(tbl_analysis_tickets[[#This Row],[created_date]],"dddd")</f>
        <v>Friday</v>
      </c>
      <c r="V801" cm="1">
        <f t="array" ref="V801">_xlfn.SWITCH(tbl_analysis_tickets[[#This Row],[priority]],
"Urgent",1,
"High",2,
"Medium",3,
"Low",4
)</f>
        <v>1</v>
      </c>
    </row>
    <row r="802" spans="1:22" x14ac:dyDescent="0.25">
      <c r="A802">
        <v>801</v>
      </c>
      <c r="B802" s="1">
        <v>45485</v>
      </c>
      <c r="C802" t="s">
        <v>14</v>
      </c>
      <c r="D802" t="s">
        <v>15</v>
      </c>
      <c r="E802">
        <v>17</v>
      </c>
      <c r="F802">
        <v>56</v>
      </c>
      <c r="G802">
        <v>5.4</v>
      </c>
      <c r="H802" t="s">
        <v>18</v>
      </c>
      <c r="I802" t="s">
        <v>13</v>
      </c>
      <c r="J802" t="s">
        <v>20</v>
      </c>
      <c r="K802">
        <f>_xlfn.XLOOKUP(tbl_analysis_tickets[[#This Row],[priority]],tbl_sla[priority],tbl_sla[Resolution SLA Hours])</f>
        <v>48</v>
      </c>
      <c r="L802">
        <f>_xlfn.XLOOKUP(tbl_analysis_tickets[[#This Row],[priority]],tbl_sla[priority],tbl_sla[First Response SLA Minutes])</f>
        <v>120</v>
      </c>
      <c r="M802" t="str">
        <f>IF(tbl_analysis_tickets[[#This Row],[resolution_time_hours]]&gt;tbl_analysis_tickets[[#This Row],[Resolution SLA Hours]],"Breached","Within SLA")</f>
        <v>Breached</v>
      </c>
      <c r="N802" t="str">
        <f>IF(tbl_analysis_tickets[[#This Row],[first_response_minutes]]&gt;tbl_analysis_tickets[[#This Row],[First Response SLA Minutes]],"Breached","Within SLA")</f>
        <v>Within SLA</v>
      </c>
      <c r="O802" t="str" cm="1">
        <f t="array" ref="O802">_xlfn.IFS(
tbl_analysis_tickets[[#This Row],[agent_experience_years]]&lt;=2,"Junior",
tbl_analysis_tickets[[#This Row],[agent_experience_years]]&lt;=5,"Mid-Level",
tbl_analysis_tickets[[#This Row],[agent_experience_years]]&lt;=8,"Senior",
tbl_analysis_tickets[[#This Row],[agent_experience_years]]&gt;8,"Expert"
)</f>
        <v>Senior</v>
      </c>
      <c r="P802" cm="1">
        <f t="array" ref="P802">_xlfn.SWITCH(tbl_analysis_tickets[[#This Row],[customer_satisfaction]],
"Low",1,
"Medium",2,
"High",3
)</f>
        <v>3</v>
      </c>
      <c r="Q802">
        <f>IF(tbl_analysis_tickets[[#This Row],[reopened]]="Yes",1,0)</f>
        <v>0</v>
      </c>
      <c r="R802" t="str" cm="1">
        <f t="array" ref="R802">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802" t="str" cm="1">
        <f t="array" ref="S80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802" t="str">
        <f>TEXT(tbl_analysis_tickets[[#This Row],[created_date]],"mmm-yyyy")</f>
        <v>Jul-2024</v>
      </c>
      <c r="U802" t="str">
        <f>TEXT(tbl_analysis_tickets[[#This Row],[created_date]],"dddd")</f>
        <v>Friday</v>
      </c>
      <c r="V802" cm="1">
        <f t="array" ref="V802">_xlfn.SWITCH(tbl_analysis_tickets[[#This Row],[priority]],
"Urgent",1,
"High",2,
"Medium",3,
"Low",4
)</f>
        <v>3</v>
      </c>
    </row>
    <row r="803" spans="1:22" x14ac:dyDescent="0.25">
      <c r="A803">
        <v>802</v>
      </c>
      <c r="B803" s="1">
        <v>45599</v>
      </c>
      <c r="C803" t="s">
        <v>14</v>
      </c>
      <c r="D803" t="s">
        <v>11</v>
      </c>
      <c r="E803">
        <v>44</v>
      </c>
      <c r="F803">
        <v>50</v>
      </c>
      <c r="G803">
        <v>8.5</v>
      </c>
      <c r="H803" t="s">
        <v>18</v>
      </c>
      <c r="I803" t="s">
        <v>16</v>
      </c>
      <c r="J803" t="s">
        <v>15</v>
      </c>
      <c r="K803">
        <f>_xlfn.XLOOKUP(tbl_analysis_tickets[[#This Row],[priority]],tbl_sla[priority],tbl_sla[Resolution SLA Hours])</f>
        <v>72</v>
      </c>
      <c r="L803">
        <f>_xlfn.XLOOKUP(tbl_analysis_tickets[[#This Row],[priority]],tbl_sla[priority],tbl_sla[First Response SLA Minutes])</f>
        <v>240</v>
      </c>
      <c r="M803" t="str">
        <f>IF(tbl_analysis_tickets[[#This Row],[resolution_time_hours]]&gt;tbl_analysis_tickets[[#This Row],[Resolution SLA Hours]],"Breached","Within SLA")</f>
        <v>Within SLA</v>
      </c>
      <c r="N803" t="str">
        <f>IF(tbl_analysis_tickets[[#This Row],[first_response_minutes]]&gt;tbl_analysis_tickets[[#This Row],[First Response SLA Minutes]],"Breached","Within SLA")</f>
        <v>Within SLA</v>
      </c>
      <c r="O803" t="str" cm="1">
        <f t="array" ref="O803">_xlfn.IFS(
tbl_analysis_tickets[[#This Row],[agent_experience_years]]&lt;=2,"Junior",
tbl_analysis_tickets[[#This Row],[agent_experience_years]]&lt;=5,"Mid-Level",
tbl_analysis_tickets[[#This Row],[agent_experience_years]]&lt;=8,"Senior",
tbl_analysis_tickets[[#This Row],[agent_experience_years]]&gt;8,"Expert"
)</f>
        <v>Expert</v>
      </c>
      <c r="P803" cm="1">
        <f t="array" ref="P803">_xlfn.SWITCH(tbl_analysis_tickets[[#This Row],[customer_satisfaction]],
"Low",1,
"Medium",2,
"High",3
)</f>
        <v>2</v>
      </c>
      <c r="Q803">
        <f>IF(tbl_analysis_tickets[[#This Row],[reopened]]="Yes",1,0)</f>
        <v>0</v>
      </c>
      <c r="R803" t="str" cm="1">
        <f t="array" ref="R803">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803" t="str" cm="1">
        <f t="array" ref="S80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803" t="str">
        <f>TEXT(tbl_analysis_tickets[[#This Row],[created_date]],"mmm-yyyy")</f>
        <v>Nov-2024</v>
      </c>
      <c r="U803" t="str">
        <f>TEXT(tbl_analysis_tickets[[#This Row],[created_date]],"dddd")</f>
        <v>Sunday</v>
      </c>
      <c r="V803" cm="1">
        <f t="array" ref="V803">_xlfn.SWITCH(tbl_analysis_tickets[[#This Row],[priority]],
"Urgent",1,
"High",2,
"Medium",3,
"Low",4
)</f>
        <v>4</v>
      </c>
    </row>
    <row r="804" spans="1:22" x14ac:dyDescent="0.25">
      <c r="A804">
        <v>803</v>
      </c>
      <c r="B804" s="1">
        <v>45332</v>
      </c>
      <c r="C804" t="s">
        <v>23</v>
      </c>
      <c r="D804" t="s">
        <v>11</v>
      </c>
      <c r="E804">
        <v>110</v>
      </c>
      <c r="F804">
        <v>53</v>
      </c>
      <c r="G804">
        <v>7.7</v>
      </c>
      <c r="H804" t="s">
        <v>18</v>
      </c>
      <c r="I804" t="s">
        <v>19</v>
      </c>
      <c r="J804" t="s">
        <v>15</v>
      </c>
      <c r="K804">
        <f>_xlfn.XLOOKUP(tbl_analysis_tickets[[#This Row],[priority]],tbl_sla[priority],tbl_sla[Resolution SLA Hours])</f>
        <v>72</v>
      </c>
      <c r="L804">
        <f>_xlfn.XLOOKUP(tbl_analysis_tickets[[#This Row],[priority]],tbl_sla[priority],tbl_sla[First Response SLA Minutes])</f>
        <v>240</v>
      </c>
      <c r="M804" t="str">
        <f>IF(tbl_analysis_tickets[[#This Row],[resolution_time_hours]]&gt;tbl_analysis_tickets[[#This Row],[Resolution SLA Hours]],"Breached","Within SLA")</f>
        <v>Within SLA</v>
      </c>
      <c r="N804" t="str">
        <f>IF(tbl_analysis_tickets[[#This Row],[first_response_minutes]]&gt;tbl_analysis_tickets[[#This Row],[First Response SLA Minutes]],"Breached","Within SLA")</f>
        <v>Within SLA</v>
      </c>
      <c r="O804" t="str" cm="1">
        <f t="array" ref="O804">_xlfn.IFS(
tbl_analysis_tickets[[#This Row],[agent_experience_years]]&lt;=2,"Junior",
tbl_analysis_tickets[[#This Row],[agent_experience_years]]&lt;=5,"Mid-Level",
tbl_analysis_tickets[[#This Row],[agent_experience_years]]&lt;=8,"Senior",
tbl_analysis_tickets[[#This Row],[agent_experience_years]]&gt;8,"Expert"
)</f>
        <v>Senior</v>
      </c>
      <c r="P804" cm="1">
        <f t="array" ref="P804">_xlfn.SWITCH(tbl_analysis_tickets[[#This Row],[customer_satisfaction]],
"Low",1,
"Medium",2,
"High",3
)</f>
        <v>2</v>
      </c>
      <c r="Q804">
        <f>IF(tbl_analysis_tickets[[#This Row],[reopened]]="Yes",1,0)</f>
        <v>0</v>
      </c>
      <c r="R804" t="str" cm="1">
        <f t="array" ref="R804">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804" t="str" cm="1">
        <f t="array" ref="S80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804" t="str">
        <f>TEXT(tbl_analysis_tickets[[#This Row],[created_date]],"mmm-yyyy")</f>
        <v>Feb-2024</v>
      </c>
      <c r="U804" t="str">
        <f>TEXT(tbl_analysis_tickets[[#This Row],[created_date]],"dddd")</f>
        <v>Saturday</v>
      </c>
      <c r="V804" cm="1">
        <f t="array" ref="V804">_xlfn.SWITCH(tbl_analysis_tickets[[#This Row],[priority]],
"Urgent",1,
"High",2,
"Medium",3,
"Low",4
)</f>
        <v>4</v>
      </c>
    </row>
    <row r="805" spans="1:22" x14ac:dyDescent="0.25">
      <c r="A805">
        <v>804</v>
      </c>
      <c r="B805" s="1">
        <v>45527</v>
      </c>
      <c r="C805" t="s">
        <v>23</v>
      </c>
      <c r="D805" t="s">
        <v>20</v>
      </c>
      <c r="E805">
        <v>119</v>
      </c>
      <c r="F805">
        <v>7</v>
      </c>
      <c r="G805">
        <v>4.7</v>
      </c>
      <c r="H805" t="s">
        <v>18</v>
      </c>
      <c r="I805" t="s">
        <v>13</v>
      </c>
      <c r="J805" t="s">
        <v>11</v>
      </c>
      <c r="K805">
        <f>_xlfn.XLOOKUP(tbl_analysis_tickets[[#This Row],[priority]],tbl_sla[priority],tbl_sla[Resolution SLA Hours])</f>
        <v>24</v>
      </c>
      <c r="L805">
        <f>_xlfn.XLOOKUP(tbl_analysis_tickets[[#This Row],[priority]],tbl_sla[priority],tbl_sla[First Response SLA Minutes])</f>
        <v>60</v>
      </c>
      <c r="M805" t="str">
        <f>IF(tbl_analysis_tickets[[#This Row],[resolution_time_hours]]&gt;tbl_analysis_tickets[[#This Row],[Resolution SLA Hours]],"Breached","Within SLA")</f>
        <v>Within SLA</v>
      </c>
      <c r="N805" t="str">
        <f>IF(tbl_analysis_tickets[[#This Row],[first_response_minutes]]&gt;tbl_analysis_tickets[[#This Row],[First Response SLA Minutes]],"Breached","Within SLA")</f>
        <v>Breached</v>
      </c>
      <c r="O805" t="str" cm="1">
        <f t="array" ref="O805">_xlfn.IFS(
tbl_analysis_tickets[[#This Row],[agent_experience_years]]&lt;=2,"Junior",
tbl_analysis_tickets[[#This Row],[agent_experience_years]]&lt;=5,"Mid-Level",
tbl_analysis_tickets[[#This Row],[agent_experience_years]]&lt;=8,"Senior",
tbl_analysis_tickets[[#This Row],[agent_experience_years]]&gt;8,"Expert"
)</f>
        <v>Mid-Level</v>
      </c>
      <c r="P805" cm="1">
        <f t="array" ref="P805">_xlfn.SWITCH(tbl_analysis_tickets[[#This Row],[customer_satisfaction]],
"Low",1,
"Medium",2,
"High",3
)</f>
        <v>1</v>
      </c>
      <c r="Q805">
        <f>IF(tbl_analysis_tickets[[#This Row],[reopened]]="Yes",1,0)</f>
        <v>0</v>
      </c>
      <c r="R805" t="str" cm="1">
        <f t="array" ref="R805">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805" t="str" cm="1">
        <f t="array" ref="S80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805" t="str">
        <f>TEXT(tbl_analysis_tickets[[#This Row],[created_date]],"mmm-yyyy")</f>
        <v>Aug-2024</v>
      </c>
      <c r="U805" t="str">
        <f>TEXT(tbl_analysis_tickets[[#This Row],[created_date]],"dddd")</f>
        <v>Friday</v>
      </c>
      <c r="V805" cm="1">
        <f t="array" ref="V805">_xlfn.SWITCH(tbl_analysis_tickets[[#This Row],[priority]],
"Urgent",1,
"High",2,
"Medium",3,
"Low",4
)</f>
        <v>2</v>
      </c>
    </row>
    <row r="806" spans="1:22" x14ac:dyDescent="0.25">
      <c r="A806">
        <v>805</v>
      </c>
      <c r="B806" s="1">
        <v>45402</v>
      </c>
      <c r="C806" t="s">
        <v>14</v>
      </c>
      <c r="D806" t="s">
        <v>11</v>
      </c>
      <c r="E806">
        <v>195</v>
      </c>
      <c r="F806">
        <v>25</v>
      </c>
      <c r="G806">
        <v>8.6999999999999993</v>
      </c>
      <c r="H806" t="s">
        <v>12</v>
      </c>
      <c r="I806" t="s">
        <v>19</v>
      </c>
      <c r="J806" t="s">
        <v>11</v>
      </c>
      <c r="K806">
        <f>_xlfn.XLOOKUP(tbl_analysis_tickets[[#This Row],[priority]],tbl_sla[priority],tbl_sla[Resolution SLA Hours])</f>
        <v>72</v>
      </c>
      <c r="L806">
        <f>_xlfn.XLOOKUP(tbl_analysis_tickets[[#This Row],[priority]],tbl_sla[priority],tbl_sla[First Response SLA Minutes])</f>
        <v>240</v>
      </c>
      <c r="M806" t="str">
        <f>IF(tbl_analysis_tickets[[#This Row],[resolution_time_hours]]&gt;tbl_analysis_tickets[[#This Row],[Resolution SLA Hours]],"Breached","Within SLA")</f>
        <v>Within SLA</v>
      </c>
      <c r="N806" t="str">
        <f>IF(tbl_analysis_tickets[[#This Row],[first_response_minutes]]&gt;tbl_analysis_tickets[[#This Row],[First Response SLA Minutes]],"Breached","Within SLA")</f>
        <v>Within SLA</v>
      </c>
      <c r="O806" t="str" cm="1">
        <f t="array" ref="O806">_xlfn.IFS(
tbl_analysis_tickets[[#This Row],[agent_experience_years]]&lt;=2,"Junior",
tbl_analysis_tickets[[#This Row],[agent_experience_years]]&lt;=5,"Mid-Level",
tbl_analysis_tickets[[#This Row],[agent_experience_years]]&lt;=8,"Senior",
tbl_analysis_tickets[[#This Row],[agent_experience_years]]&gt;8,"Expert"
)</f>
        <v>Expert</v>
      </c>
      <c r="P806" cm="1">
        <f t="array" ref="P806">_xlfn.SWITCH(tbl_analysis_tickets[[#This Row],[customer_satisfaction]],
"Low",1,
"Medium",2,
"High",3
)</f>
        <v>1</v>
      </c>
      <c r="Q806">
        <f>IF(tbl_analysis_tickets[[#This Row],[reopened]]="Yes",1,0)</f>
        <v>1</v>
      </c>
      <c r="R806" t="str" cm="1">
        <f t="array" ref="R806">_xlfn.IFS(
tbl_analysis_tickets[[#This Row],[first_response_minutes]]&lt;=30,"Very Fast",
tbl_analysis_tickets[[#This Row],[first_response_minutes]]&lt;=120,"Acceptable",
tbl_analysis_tickets[[#This Row],[first_response_minutes]]&lt;=240,"Slow",
tbl_analysis_tickets[[#This Row],[first_response_minutes]]&gt;240,"Very Slow"
)</f>
        <v>Slow</v>
      </c>
      <c r="S806" t="str" cm="1">
        <f t="array" ref="S80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806" t="str">
        <f>TEXT(tbl_analysis_tickets[[#This Row],[created_date]],"mmm-yyyy")</f>
        <v>Apr-2024</v>
      </c>
      <c r="U806" t="str">
        <f>TEXT(tbl_analysis_tickets[[#This Row],[created_date]],"dddd")</f>
        <v>Saturday</v>
      </c>
      <c r="V806" cm="1">
        <f t="array" ref="V806">_xlfn.SWITCH(tbl_analysis_tickets[[#This Row],[priority]],
"Urgent",1,
"High",2,
"Medium",3,
"Low",4
)</f>
        <v>4</v>
      </c>
    </row>
    <row r="807" spans="1:22" x14ac:dyDescent="0.25">
      <c r="A807">
        <v>806</v>
      </c>
      <c r="B807" s="1">
        <v>45301</v>
      </c>
      <c r="C807" t="s">
        <v>22</v>
      </c>
      <c r="D807" t="s">
        <v>20</v>
      </c>
      <c r="E807">
        <v>65</v>
      </c>
      <c r="F807">
        <v>28</v>
      </c>
      <c r="G807">
        <v>6.7</v>
      </c>
      <c r="H807" t="s">
        <v>18</v>
      </c>
      <c r="I807" t="s">
        <v>16</v>
      </c>
      <c r="J807" t="s">
        <v>11</v>
      </c>
      <c r="K807">
        <f>_xlfn.XLOOKUP(tbl_analysis_tickets[[#This Row],[priority]],tbl_sla[priority],tbl_sla[Resolution SLA Hours])</f>
        <v>24</v>
      </c>
      <c r="L807">
        <f>_xlfn.XLOOKUP(tbl_analysis_tickets[[#This Row],[priority]],tbl_sla[priority],tbl_sla[First Response SLA Minutes])</f>
        <v>60</v>
      </c>
      <c r="M807" t="str">
        <f>IF(tbl_analysis_tickets[[#This Row],[resolution_time_hours]]&gt;tbl_analysis_tickets[[#This Row],[Resolution SLA Hours]],"Breached","Within SLA")</f>
        <v>Breached</v>
      </c>
      <c r="N807" t="str">
        <f>IF(tbl_analysis_tickets[[#This Row],[first_response_minutes]]&gt;tbl_analysis_tickets[[#This Row],[First Response SLA Minutes]],"Breached","Within SLA")</f>
        <v>Breached</v>
      </c>
      <c r="O807" t="str" cm="1">
        <f t="array" ref="O807">_xlfn.IFS(
tbl_analysis_tickets[[#This Row],[agent_experience_years]]&lt;=2,"Junior",
tbl_analysis_tickets[[#This Row],[agent_experience_years]]&lt;=5,"Mid-Level",
tbl_analysis_tickets[[#This Row],[agent_experience_years]]&lt;=8,"Senior",
tbl_analysis_tickets[[#This Row],[agent_experience_years]]&gt;8,"Expert"
)</f>
        <v>Senior</v>
      </c>
      <c r="P807" cm="1">
        <f t="array" ref="P807">_xlfn.SWITCH(tbl_analysis_tickets[[#This Row],[customer_satisfaction]],
"Low",1,
"Medium",2,
"High",3
)</f>
        <v>1</v>
      </c>
      <c r="Q807">
        <f>IF(tbl_analysis_tickets[[#This Row],[reopened]]="Yes",1,0)</f>
        <v>0</v>
      </c>
      <c r="R807" t="str" cm="1">
        <f t="array" ref="R807">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807" t="str" cm="1">
        <f t="array" ref="S80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807" t="str">
        <f>TEXT(tbl_analysis_tickets[[#This Row],[created_date]],"mmm-yyyy")</f>
        <v>Jan-2024</v>
      </c>
      <c r="U807" t="str">
        <f>TEXT(tbl_analysis_tickets[[#This Row],[created_date]],"dddd")</f>
        <v>Wednesday</v>
      </c>
      <c r="V807" cm="1">
        <f t="array" ref="V807">_xlfn.SWITCH(tbl_analysis_tickets[[#This Row],[priority]],
"Urgent",1,
"High",2,
"Medium",3,
"Low",4
)</f>
        <v>2</v>
      </c>
    </row>
    <row r="808" spans="1:22" x14ac:dyDescent="0.25">
      <c r="A808">
        <v>807</v>
      </c>
      <c r="B808" s="1">
        <v>45457</v>
      </c>
      <c r="C808" t="s">
        <v>14</v>
      </c>
      <c r="D808" t="s">
        <v>15</v>
      </c>
      <c r="E808">
        <v>118</v>
      </c>
      <c r="F808">
        <v>6</v>
      </c>
      <c r="G808">
        <v>7.8</v>
      </c>
      <c r="H808" t="s">
        <v>18</v>
      </c>
      <c r="I808" t="s">
        <v>13</v>
      </c>
      <c r="J808" t="s">
        <v>20</v>
      </c>
      <c r="K808">
        <f>_xlfn.XLOOKUP(tbl_analysis_tickets[[#This Row],[priority]],tbl_sla[priority],tbl_sla[Resolution SLA Hours])</f>
        <v>48</v>
      </c>
      <c r="L808">
        <f>_xlfn.XLOOKUP(tbl_analysis_tickets[[#This Row],[priority]],tbl_sla[priority],tbl_sla[First Response SLA Minutes])</f>
        <v>120</v>
      </c>
      <c r="M808" t="str">
        <f>IF(tbl_analysis_tickets[[#This Row],[resolution_time_hours]]&gt;tbl_analysis_tickets[[#This Row],[Resolution SLA Hours]],"Breached","Within SLA")</f>
        <v>Within SLA</v>
      </c>
      <c r="N808" t="str">
        <f>IF(tbl_analysis_tickets[[#This Row],[first_response_minutes]]&gt;tbl_analysis_tickets[[#This Row],[First Response SLA Minutes]],"Breached","Within SLA")</f>
        <v>Within SLA</v>
      </c>
      <c r="O808" t="str" cm="1">
        <f t="array" ref="O808">_xlfn.IFS(
tbl_analysis_tickets[[#This Row],[agent_experience_years]]&lt;=2,"Junior",
tbl_analysis_tickets[[#This Row],[agent_experience_years]]&lt;=5,"Mid-Level",
tbl_analysis_tickets[[#This Row],[agent_experience_years]]&lt;=8,"Senior",
tbl_analysis_tickets[[#This Row],[agent_experience_years]]&gt;8,"Expert"
)</f>
        <v>Senior</v>
      </c>
      <c r="P808" cm="1">
        <f t="array" ref="P808">_xlfn.SWITCH(tbl_analysis_tickets[[#This Row],[customer_satisfaction]],
"Low",1,
"Medium",2,
"High",3
)</f>
        <v>3</v>
      </c>
      <c r="Q808">
        <f>IF(tbl_analysis_tickets[[#This Row],[reopened]]="Yes",1,0)</f>
        <v>0</v>
      </c>
      <c r="R808" t="str" cm="1">
        <f t="array" ref="R808">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808" t="str" cm="1">
        <f t="array" ref="S80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808" t="str">
        <f>TEXT(tbl_analysis_tickets[[#This Row],[created_date]],"mmm-yyyy")</f>
        <v>Jun-2024</v>
      </c>
      <c r="U808" t="str">
        <f>TEXT(tbl_analysis_tickets[[#This Row],[created_date]],"dddd")</f>
        <v>Friday</v>
      </c>
      <c r="V808" cm="1">
        <f t="array" ref="V808">_xlfn.SWITCH(tbl_analysis_tickets[[#This Row],[priority]],
"Urgent",1,
"High",2,
"Medium",3,
"Low",4
)</f>
        <v>3</v>
      </c>
    </row>
    <row r="809" spans="1:22" x14ac:dyDescent="0.25">
      <c r="A809">
        <v>808</v>
      </c>
      <c r="B809" s="1">
        <v>45332</v>
      </c>
      <c r="C809" t="s">
        <v>14</v>
      </c>
      <c r="D809" t="s">
        <v>11</v>
      </c>
      <c r="E809">
        <v>115</v>
      </c>
      <c r="F809">
        <v>12</v>
      </c>
      <c r="G809">
        <v>4.8</v>
      </c>
      <c r="H809" t="s">
        <v>18</v>
      </c>
      <c r="I809" t="s">
        <v>16</v>
      </c>
      <c r="J809" t="s">
        <v>11</v>
      </c>
      <c r="K809">
        <f>_xlfn.XLOOKUP(tbl_analysis_tickets[[#This Row],[priority]],tbl_sla[priority],tbl_sla[Resolution SLA Hours])</f>
        <v>72</v>
      </c>
      <c r="L809">
        <f>_xlfn.XLOOKUP(tbl_analysis_tickets[[#This Row],[priority]],tbl_sla[priority],tbl_sla[First Response SLA Minutes])</f>
        <v>240</v>
      </c>
      <c r="M809" t="str">
        <f>IF(tbl_analysis_tickets[[#This Row],[resolution_time_hours]]&gt;tbl_analysis_tickets[[#This Row],[Resolution SLA Hours]],"Breached","Within SLA")</f>
        <v>Within SLA</v>
      </c>
      <c r="N809" t="str">
        <f>IF(tbl_analysis_tickets[[#This Row],[first_response_minutes]]&gt;tbl_analysis_tickets[[#This Row],[First Response SLA Minutes]],"Breached","Within SLA")</f>
        <v>Within SLA</v>
      </c>
      <c r="O809" t="str" cm="1">
        <f t="array" ref="O809">_xlfn.IFS(
tbl_analysis_tickets[[#This Row],[agent_experience_years]]&lt;=2,"Junior",
tbl_analysis_tickets[[#This Row],[agent_experience_years]]&lt;=5,"Mid-Level",
tbl_analysis_tickets[[#This Row],[agent_experience_years]]&lt;=8,"Senior",
tbl_analysis_tickets[[#This Row],[agent_experience_years]]&gt;8,"Expert"
)</f>
        <v>Mid-Level</v>
      </c>
      <c r="P809" cm="1">
        <f t="array" ref="P809">_xlfn.SWITCH(tbl_analysis_tickets[[#This Row],[customer_satisfaction]],
"Low",1,
"Medium",2,
"High",3
)</f>
        <v>1</v>
      </c>
      <c r="Q809">
        <f>IF(tbl_analysis_tickets[[#This Row],[reopened]]="Yes",1,0)</f>
        <v>0</v>
      </c>
      <c r="R809" t="str" cm="1">
        <f t="array" ref="R809">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809" t="str" cm="1">
        <f t="array" ref="S80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809" t="str">
        <f>TEXT(tbl_analysis_tickets[[#This Row],[created_date]],"mmm-yyyy")</f>
        <v>Feb-2024</v>
      </c>
      <c r="U809" t="str">
        <f>TEXT(tbl_analysis_tickets[[#This Row],[created_date]],"dddd")</f>
        <v>Saturday</v>
      </c>
      <c r="V809" cm="1">
        <f t="array" ref="V809">_xlfn.SWITCH(tbl_analysis_tickets[[#This Row],[priority]],
"Urgent",1,
"High",2,
"Medium",3,
"Low",4
)</f>
        <v>4</v>
      </c>
    </row>
    <row r="810" spans="1:22" x14ac:dyDescent="0.25">
      <c r="A810">
        <v>809</v>
      </c>
      <c r="B810" s="1">
        <v>45505</v>
      </c>
      <c r="C810" t="s">
        <v>14</v>
      </c>
      <c r="D810" t="s">
        <v>20</v>
      </c>
      <c r="E810">
        <v>226</v>
      </c>
      <c r="F810">
        <v>64</v>
      </c>
      <c r="G810">
        <v>6.7</v>
      </c>
      <c r="H810" t="s">
        <v>18</v>
      </c>
      <c r="I810" t="s">
        <v>16</v>
      </c>
      <c r="J810" t="s">
        <v>11</v>
      </c>
      <c r="K810">
        <f>_xlfn.XLOOKUP(tbl_analysis_tickets[[#This Row],[priority]],tbl_sla[priority],tbl_sla[Resolution SLA Hours])</f>
        <v>24</v>
      </c>
      <c r="L810">
        <f>_xlfn.XLOOKUP(tbl_analysis_tickets[[#This Row],[priority]],tbl_sla[priority],tbl_sla[First Response SLA Minutes])</f>
        <v>60</v>
      </c>
      <c r="M810" t="str">
        <f>IF(tbl_analysis_tickets[[#This Row],[resolution_time_hours]]&gt;tbl_analysis_tickets[[#This Row],[Resolution SLA Hours]],"Breached","Within SLA")</f>
        <v>Breached</v>
      </c>
      <c r="N810" t="str">
        <f>IF(tbl_analysis_tickets[[#This Row],[first_response_minutes]]&gt;tbl_analysis_tickets[[#This Row],[First Response SLA Minutes]],"Breached","Within SLA")</f>
        <v>Breached</v>
      </c>
      <c r="O810" t="str" cm="1">
        <f t="array" ref="O810">_xlfn.IFS(
tbl_analysis_tickets[[#This Row],[agent_experience_years]]&lt;=2,"Junior",
tbl_analysis_tickets[[#This Row],[agent_experience_years]]&lt;=5,"Mid-Level",
tbl_analysis_tickets[[#This Row],[agent_experience_years]]&lt;=8,"Senior",
tbl_analysis_tickets[[#This Row],[agent_experience_years]]&gt;8,"Expert"
)</f>
        <v>Senior</v>
      </c>
      <c r="P810" cm="1">
        <f t="array" ref="P810">_xlfn.SWITCH(tbl_analysis_tickets[[#This Row],[customer_satisfaction]],
"Low",1,
"Medium",2,
"High",3
)</f>
        <v>1</v>
      </c>
      <c r="Q810">
        <f>IF(tbl_analysis_tickets[[#This Row],[reopened]]="Yes",1,0)</f>
        <v>0</v>
      </c>
      <c r="R810" t="str" cm="1">
        <f t="array" ref="R810">_xlfn.IFS(
tbl_analysis_tickets[[#This Row],[first_response_minutes]]&lt;=30,"Very Fast",
tbl_analysis_tickets[[#This Row],[first_response_minutes]]&lt;=120,"Acceptable",
tbl_analysis_tickets[[#This Row],[first_response_minutes]]&lt;=240,"Slow",
tbl_analysis_tickets[[#This Row],[first_response_minutes]]&gt;240,"Very Slow"
)</f>
        <v>Slow</v>
      </c>
      <c r="S810" t="str" cm="1">
        <f t="array" ref="S81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810" t="str">
        <f>TEXT(tbl_analysis_tickets[[#This Row],[created_date]],"mmm-yyyy")</f>
        <v>Aug-2024</v>
      </c>
      <c r="U810" t="str">
        <f>TEXT(tbl_analysis_tickets[[#This Row],[created_date]],"dddd")</f>
        <v>Thursday</v>
      </c>
      <c r="V810" cm="1">
        <f t="array" ref="V810">_xlfn.SWITCH(tbl_analysis_tickets[[#This Row],[priority]],
"Urgent",1,
"High",2,
"Medium",3,
"Low",4
)</f>
        <v>2</v>
      </c>
    </row>
    <row r="811" spans="1:22" x14ac:dyDescent="0.25">
      <c r="A811">
        <v>810</v>
      </c>
      <c r="B811" s="1">
        <v>45426</v>
      </c>
      <c r="C811" t="s">
        <v>21</v>
      </c>
      <c r="D811" t="s">
        <v>11</v>
      </c>
      <c r="E811">
        <v>155</v>
      </c>
      <c r="F811">
        <v>27</v>
      </c>
      <c r="G811">
        <v>3.4</v>
      </c>
      <c r="H811" t="s">
        <v>18</v>
      </c>
      <c r="I811" t="s">
        <v>19</v>
      </c>
      <c r="J811" t="s">
        <v>11</v>
      </c>
      <c r="K811">
        <f>_xlfn.XLOOKUP(tbl_analysis_tickets[[#This Row],[priority]],tbl_sla[priority],tbl_sla[Resolution SLA Hours])</f>
        <v>72</v>
      </c>
      <c r="L811">
        <f>_xlfn.XLOOKUP(tbl_analysis_tickets[[#This Row],[priority]],tbl_sla[priority],tbl_sla[First Response SLA Minutes])</f>
        <v>240</v>
      </c>
      <c r="M811" t="str">
        <f>IF(tbl_analysis_tickets[[#This Row],[resolution_time_hours]]&gt;tbl_analysis_tickets[[#This Row],[Resolution SLA Hours]],"Breached","Within SLA")</f>
        <v>Within SLA</v>
      </c>
      <c r="N811" t="str">
        <f>IF(tbl_analysis_tickets[[#This Row],[first_response_minutes]]&gt;tbl_analysis_tickets[[#This Row],[First Response SLA Minutes]],"Breached","Within SLA")</f>
        <v>Within SLA</v>
      </c>
      <c r="O811" t="str" cm="1">
        <f t="array" ref="O811">_xlfn.IFS(
tbl_analysis_tickets[[#This Row],[agent_experience_years]]&lt;=2,"Junior",
tbl_analysis_tickets[[#This Row],[agent_experience_years]]&lt;=5,"Mid-Level",
tbl_analysis_tickets[[#This Row],[agent_experience_years]]&lt;=8,"Senior",
tbl_analysis_tickets[[#This Row],[agent_experience_years]]&gt;8,"Expert"
)</f>
        <v>Mid-Level</v>
      </c>
      <c r="P811" cm="1">
        <f t="array" ref="P811">_xlfn.SWITCH(tbl_analysis_tickets[[#This Row],[customer_satisfaction]],
"Low",1,
"Medium",2,
"High",3
)</f>
        <v>1</v>
      </c>
      <c r="Q811">
        <f>IF(tbl_analysis_tickets[[#This Row],[reopened]]="Yes",1,0)</f>
        <v>0</v>
      </c>
      <c r="R811" t="str" cm="1">
        <f t="array" ref="R811">_xlfn.IFS(
tbl_analysis_tickets[[#This Row],[first_response_minutes]]&lt;=30,"Very Fast",
tbl_analysis_tickets[[#This Row],[first_response_minutes]]&lt;=120,"Acceptable",
tbl_analysis_tickets[[#This Row],[first_response_minutes]]&lt;=240,"Slow",
tbl_analysis_tickets[[#This Row],[first_response_minutes]]&gt;240,"Very Slow"
)</f>
        <v>Slow</v>
      </c>
      <c r="S811" t="str" cm="1">
        <f t="array" ref="S81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811" t="str">
        <f>TEXT(tbl_analysis_tickets[[#This Row],[created_date]],"mmm-yyyy")</f>
        <v>May-2024</v>
      </c>
      <c r="U811" t="str">
        <f>TEXT(tbl_analysis_tickets[[#This Row],[created_date]],"dddd")</f>
        <v>Tuesday</v>
      </c>
      <c r="V811" cm="1">
        <f t="array" ref="V811">_xlfn.SWITCH(tbl_analysis_tickets[[#This Row],[priority]],
"Urgent",1,
"High",2,
"Medium",3,
"Low",4
)</f>
        <v>4</v>
      </c>
    </row>
    <row r="812" spans="1:22" x14ac:dyDescent="0.25">
      <c r="A812">
        <v>811</v>
      </c>
      <c r="B812" s="1">
        <v>45477</v>
      </c>
      <c r="C812" t="s">
        <v>21</v>
      </c>
      <c r="D812" t="s">
        <v>15</v>
      </c>
      <c r="E812">
        <v>51</v>
      </c>
      <c r="F812">
        <v>29</v>
      </c>
      <c r="G812">
        <v>4.5</v>
      </c>
      <c r="H812" t="s">
        <v>18</v>
      </c>
      <c r="I812" t="s">
        <v>13</v>
      </c>
      <c r="J812" t="s">
        <v>11</v>
      </c>
      <c r="K812">
        <f>_xlfn.XLOOKUP(tbl_analysis_tickets[[#This Row],[priority]],tbl_sla[priority],tbl_sla[Resolution SLA Hours])</f>
        <v>48</v>
      </c>
      <c r="L812">
        <f>_xlfn.XLOOKUP(tbl_analysis_tickets[[#This Row],[priority]],tbl_sla[priority],tbl_sla[First Response SLA Minutes])</f>
        <v>120</v>
      </c>
      <c r="M812" t="str">
        <f>IF(tbl_analysis_tickets[[#This Row],[resolution_time_hours]]&gt;tbl_analysis_tickets[[#This Row],[Resolution SLA Hours]],"Breached","Within SLA")</f>
        <v>Within SLA</v>
      </c>
      <c r="N812" t="str">
        <f>IF(tbl_analysis_tickets[[#This Row],[first_response_minutes]]&gt;tbl_analysis_tickets[[#This Row],[First Response SLA Minutes]],"Breached","Within SLA")</f>
        <v>Within SLA</v>
      </c>
      <c r="O812" t="str" cm="1">
        <f t="array" ref="O812">_xlfn.IFS(
tbl_analysis_tickets[[#This Row],[agent_experience_years]]&lt;=2,"Junior",
tbl_analysis_tickets[[#This Row],[agent_experience_years]]&lt;=5,"Mid-Level",
tbl_analysis_tickets[[#This Row],[agent_experience_years]]&lt;=8,"Senior",
tbl_analysis_tickets[[#This Row],[agent_experience_years]]&gt;8,"Expert"
)</f>
        <v>Mid-Level</v>
      </c>
      <c r="P812" cm="1">
        <f t="array" ref="P812">_xlfn.SWITCH(tbl_analysis_tickets[[#This Row],[customer_satisfaction]],
"Low",1,
"Medium",2,
"High",3
)</f>
        <v>1</v>
      </c>
      <c r="Q812">
        <f>IF(tbl_analysis_tickets[[#This Row],[reopened]]="Yes",1,0)</f>
        <v>0</v>
      </c>
      <c r="R812" t="str" cm="1">
        <f t="array" ref="R812">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812" t="str" cm="1">
        <f t="array" ref="S81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812" t="str">
        <f>TEXT(tbl_analysis_tickets[[#This Row],[created_date]],"mmm-yyyy")</f>
        <v>Jul-2024</v>
      </c>
      <c r="U812" t="str">
        <f>TEXT(tbl_analysis_tickets[[#This Row],[created_date]],"dddd")</f>
        <v>Thursday</v>
      </c>
      <c r="V812" cm="1">
        <f t="array" ref="V812">_xlfn.SWITCH(tbl_analysis_tickets[[#This Row],[priority]],
"Urgent",1,
"High",2,
"Medium",3,
"Low",4
)</f>
        <v>3</v>
      </c>
    </row>
    <row r="813" spans="1:22" x14ac:dyDescent="0.25">
      <c r="A813">
        <v>812</v>
      </c>
      <c r="B813" s="1">
        <v>45453</v>
      </c>
      <c r="C813" t="s">
        <v>10</v>
      </c>
      <c r="D813" t="s">
        <v>17</v>
      </c>
      <c r="E813">
        <v>61</v>
      </c>
      <c r="F813">
        <v>64</v>
      </c>
      <c r="G813">
        <v>5</v>
      </c>
      <c r="H813" t="s">
        <v>18</v>
      </c>
      <c r="I813" t="s">
        <v>16</v>
      </c>
      <c r="J813" t="s">
        <v>11</v>
      </c>
      <c r="K813">
        <f>_xlfn.XLOOKUP(tbl_analysis_tickets[[#This Row],[priority]],tbl_sla[priority],tbl_sla[Resolution SLA Hours])</f>
        <v>8</v>
      </c>
      <c r="L813">
        <f>_xlfn.XLOOKUP(tbl_analysis_tickets[[#This Row],[priority]],tbl_sla[priority],tbl_sla[First Response SLA Minutes])</f>
        <v>30</v>
      </c>
      <c r="M813" t="str">
        <f>IF(tbl_analysis_tickets[[#This Row],[resolution_time_hours]]&gt;tbl_analysis_tickets[[#This Row],[Resolution SLA Hours]],"Breached","Within SLA")</f>
        <v>Breached</v>
      </c>
      <c r="N813" t="str">
        <f>IF(tbl_analysis_tickets[[#This Row],[first_response_minutes]]&gt;tbl_analysis_tickets[[#This Row],[First Response SLA Minutes]],"Breached","Within SLA")</f>
        <v>Breached</v>
      </c>
      <c r="O813" t="str" cm="1">
        <f t="array" ref="O813">_xlfn.IFS(
tbl_analysis_tickets[[#This Row],[agent_experience_years]]&lt;=2,"Junior",
tbl_analysis_tickets[[#This Row],[agent_experience_years]]&lt;=5,"Mid-Level",
tbl_analysis_tickets[[#This Row],[agent_experience_years]]&lt;=8,"Senior",
tbl_analysis_tickets[[#This Row],[agent_experience_years]]&gt;8,"Expert"
)</f>
        <v>Mid-Level</v>
      </c>
      <c r="P813" cm="1">
        <f t="array" ref="P813">_xlfn.SWITCH(tbl_analysis_tickets[[#This Row],[customer_satisfaction]],
"Low",1,
"Medium",2,
"High",3
)</f>
        <v>1</v>
      </c>
      <c r="Q813">
        <f>IF(tbl_analysis_tickets[[#This Row],[reopened]]="Yes",1,0)</f>
        <v>0</v>
      </c>
      <c r="R813" t="str" cm="1">
        <f t="array" ref="R813">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813" t="str" cm="1">
        <f t="array" ref="S81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813" t="str">
        <f>TEXT(tbl_analysis_tickets[[#This Row],[created_date]],"mmm-yyyy")</f>
        <v>Jun-2024</v>
      </c>
      <c r="U813" t="str">
        <f>TEXT(tbl_analysis_tickets[[#This Row],[created_date]],"dddd")</f>
        <v>Monday</v>
      </c>
      <c r="V813" cm="1">
        <f t="array" ref="V813">_xlfn.SWITCH(tbl_analysis_tickets[[#This Row],[priority]],
"Urgent",1,
"High",2,
"Medium",3,
"Low",4
)</f>
        <v>1</v>
      </c>
    </row>
    <row r="814" spans="1:22" x14ac:dyDescent="0.25">
      <c r="A814">
        <v>813</v>
      </c>
      <c r="B814" s="1">
        <v>45412</v>
      </c>
      <c r="C814" t="s">
        <v>14</v>
      </c>
      <c r="D814" t="s">
        <v>20</v>
      </c>
      <c r="E814">
        <v>184</v>
      </c>
      <c r="F814">
        <v>13</v>
      </c>
      <c r="G814">
        <v>3.8</v>
      </c>
      <c r="H814" t="s">
        <v>12</v>
      </c>
      <c r="I814" t="s">
        <v>16</v>
      </c>
      <c r="J814" t="s">
        <v>11</v>
      </c>
      <c r="K814">
        <f>_xlfn.XLOOKUP(tbl_analysis_tickets[[#This Row],[priority]],tbl_sla[priority],tbl_sla[Resolution SLA Hours])</f>
        <v>24</v>
      </c>
      <c r="L814">
        <f>_xlfn.XLOOKUP(tbl_analysis_tickets[[#This Row],[priority]],tbl_sla[priority],tbl_sla[First Response SLA Minutes])</f>
        <v>60</v>
      </c>
      <c r="M814" t="str">
        <f>IF(tbl_analysis_tickets[[#This Row],[resolution_time_hours]]&gt;tbl_analysis_tickets[[#This Row],[Resolution SLA Hours]],"Breached","Within SLA")</f>
        <v>Within SLA</v>
      </c>
      <c r="N814" t="str">
        <f>IF(tbl_analysis_tickets[[#This Row],[first_response_minutes]]&gt;tbl_analysis_tickets[[#This Row],[First Response SLA Minutes]],"Breached","Within SLA")</f>
        <v>Breached</v>
      </c>
      <c r="O814" t="str" cm="1">
        <f t="array" ref="O814">_xlfn.IFS(
tbl_analysis_tickets[[#This Row],[agent_experience_years]]&lt;=2,"Junior",
tbl_analysis_tickets[[#This Row],[agent_experience_years]]&lt;=5,"Mid-Level",
tbl_analysis_tickets[[#This Row],[agent_experience_years]]&lt;=8,"Senior",
tbl_analysis_tickets[[#This Row],[agent_experience_years]]&gt;8,"Expert"
)</f>
        <v>Mid-Level</v>
      </c>
      <c r="P814" cm="1">
        <f t="array" ref="P814">_xlfn.SWITCH(tbl_analysis_tickets[[#This Row],[customer_satisfaction]],
"Low",1,
"Medium",2,
"High",3
)</f>
        <v>1</v>
      </c>
      <c r="Q814">
        <f>IF(tbl_analysis_tickets[[#This Row],[reopened]]="Yes",1,0)</f>
        <v>1</v>
      </c>
      <c r="R814" t="str" cm="1">
        <f t="array" ref="R814">_xlfn.IFS(
tbl_analysis_tickets[[#This Row],[first_response_minutes]]&lt;=30,"Very Fast",
tbl_analysis_tickets[[#This Row],[first_response_minutes]]&lt;=120,"Acceptable",
tbl_analysis_tickets[[#This Row],[first_response_minutes]]&lt;=240,"Slow",
tbl_analysis_tickets[[#This Row],[first_response_minutes]]&gt;240,"Very Slow"
)</f>
        <v>Slow</v>
      </c>
      <c r="S814" t="str" cm="1">
        <f t="array" ref="S81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814" t="str">
        <f>TEXT(tbl_analysis_tickets[[#This Row],[created_date]],"mmm-yyyy")</f>
        <v>Apr-2024</v>
      </c>
      <c r="U814" t="str">
        <f>TEXT(tbl_analysis_tickets[[#This Row],[created_date]],"dddd")</f>
        <v>Tuesday</v>
      </c>
      <c r="V814" cm="1">
        <f t="array" ref="V814">_xlfn.SWITCH(tbl_analysis_tickets[[#This Row],[priority]],
"Urgent",1,
"High",2,
"Medium",3,
"Low",4
)</f>
        <v>2</v>
      </c>
    </row>
    <row r="815" spans="1:22" x14ac:dyDescent="0.25">
      <c r="A815">
        <v>814</v>
      </c>
      <c r="B815" s="1">
        <v>45401</v>
      </c>
      <c r="C815" t="s">
        <v>23</v>
      </c>
      <c r="D815" t="s">
        <v>17</v>
      </c>
      <c r="E815">
        <v>178</v>
      </c>
      <c r="F815">
        <v>10</v>
      </c>
      <c r="G815">
        <v>1.8</v>
      </c>
      <c r="H815" t="s">
        <v>18</v>
      </c>
      <c r="I815" t="s">
        <v>19</v>
      </c>
      <c r="J815" t="s">
        <v>11</v>
      </c>
      <c r="K815">
        <f>_xlfn.XLOOKUP(tbl_analysis_tickets[[#This Row],[priority]],tbl_sla[priority],tbl_sla[Resolution SLA Hours])</f>
        <v>8</v>
      </c>
      <c r="L815">
        <f>_xlfn.XLOOKUP(tbl_analysis_tickets[[#This Row],[priority]],tbl_sla[priority],tbl_sla[First Response SLA Minutes])</f>
        <v>30</v>
      </c>
      <c r="M815" t="str">
        <f>IF(tbl_analysis_tickets[[#This Row],[resolution_time_hours]]&gt;tbl_analysis_tickets[[#This Row],[Resolution SLA Hours]],"Breached","Within SLA")</f>
        <v>Breached</v>
      </c>
      <c r="N815" t="str">
        <f>IF(tbl_analysis_tickets[[#This Row],[first_response_minutes]]&gt;tbl_analysis_tickets[[#This Row],[First Response SLA Minutes]],"Breached","Within SLA")</f>
        <v>Breached</v>
      </c>
      <c r="O815" t="str" cm="1">
        <f t="array" ref="O815">_xlfn.IFS(
tbl_analysis_tickets[[#This Row],[agent_experience_years]]&lt;=2,"Junior",
tbl_analysis_tickets[[#This Row],[agent_experience_years]]&lt;=5,"Mid-Level",
tbl_analysis_tickets[[#This Row],[agent_experience_years]]&lt;=8,"Senior",
tbl_analysis_tickets[[#This Row],[agent_experience_years]]&gt;8,"Expert"
)</f>
        <v>Junior</v>
      </c>
      <c r="P815" cm="1">
        <f t="array" ref="P815">_xlfn.SWITCH(tbl_analysis_tickets[[#This Row],[customer_satisfaction]],
"Low",1,
"Medium",2,
"High",3
)</f>
        <v>1</v>
      </c>
      <c r="Q815">
        <f>IF(tbl_analysis_tickets[[#This Row],[reopened]]="Yes",1,0)</f>
        <v>0</v>
      </c>
      <c r="R815" t="str" cm="1">
        <f t="array" ref="R815">_xlfn.IFS(
tbl_analysis_tickets[[#This Row],[first_response_minutes]]&lt;=30,"Very Fast",
tbl_analysis_tickets[[#This Row],[first_response_minutes]]&lt;=120,"Acceptable",
tbl_analysis_tickets[[#This Row],[first_response_minutes]]&lt;=240,"Slow",
tbl_analysis_tickets[[#This Row],[first_response_minutes]]&gt;240,"Very Slow"
)</f>
        <v>Slow</v>
      </c>
      <c r="S815" t="str" cm="1">
        <f t="array" ref="S81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815" t="str">
        <f>TEXT(tbl_analysis_tickets[[#This Row],[created_date]],"mmm-yyyy")</f>
        <v>Apr-2024</v>
      </c>
      <c r="U815" t="str">
        <f>TEXT(tbl_analysis_tickets[[#This Row],[created_date]],"dddd")</f>
        <v>Friday</v>
      </c>
      <c r="V815" cm="1">
        <f t="array" ref="V815">_xlfn.SWITCH(tbl_analysis_tickets[[#This Row],[priority]],
"Urgent",1,
"High",2,
"Medium",3,
"Low",4
)</f>
        <v>1</v>
      </c>
    </row>
    <row r="816" spans="1:22" x14ac:dyDescent="0.25">
      <c r="A816">
        <v>815</v>
      </c>
      <c r="B816" s="1">
        <v>45550</v>
      </c>
      <c r="C816" t="s">
        <v>22</v>
      </c>
      <c r="D816" t="s">
        <v>11</v>
      </c>
      <c r="E816">
        <v>209</v>
      </c>
      <c r="F816">
        <v>23</v>
      </c>
      <c r="G816">
        <v>9.4</v>
      </c>
      <c r="H816" t="s">
        <v>12</v>
      </c>
      <c r="I816" t="s">
        <v>19</v>
      </c>
      <c r="J816" t="s">
        <v>11</v>
      </c>
      <c r="K816">
        <f>_xlfn.XLOOKUP(tbl_analysis_tickets[[#This Row],[priority]],tbl_sla[priority],tbl_sla[Resolution SLA Hours])</f>
        <v>72</v>
      </c>
      <c r="L816">
        <f>_xlfn.XLOOKUP(tbl_analysis_tickets[[#This Row],[priority]],tbl_sla[priority],tbl_sla[First Response SLA Minutes])</f>
        <v>240</v>
      </c>
      <c r="M816" t="str">
        <f>IF(tbl_analysis_tickets[[#This Row],[resolution_time_hours]]&gt;tbl_analysis_tickets[[#This Row],[Resolution SLA Hours]],"Breached","Within SLA")</f>
        <v>Within SLA</v>
      </c>
      <c r="N816" t="str">
        <f>IF(tbl_analysis_tickets[[#This Row],[first_response_minutes]]&gt;tbl_analysis_tickets[[#This Row],[First Response SLA Minutes]],"Breached","Within SLA")</f>
        <v>Within SLA</v>
      </c>
      <c r="O816" t="str" cm="1">
        <f t="array" ref="O816">_xlfn.IFS(
tbl_analysis_tickets[[#This Row],[agent_experience_years]]&lt;=2,"Junior",
tbl_analysis_tickets[[#This Row],[agent_experience_years]]&lt;=5,"Mid-Level",
tbl_analysis_tickets[[#This Row],[agent_experience_years]]&lt;=8,"Senior",
tbl_analysis_tickets[[#This Row],[agent_experience_years]]&gt;8,"Expert"
)</f>
        <v>Expert</v>
      </c>
      <c r="P816" cm="1">
        <f t="array" ref="P816">_xlfn.SWITCH(tbl_analysis_tickets[[#This Row],[customer_satisfaction]],
"Low",1,
"Medium",2,
"High",3
)</f>
        <v>1</v>
      </c>
      <c r="Q816">
        <f>IF(tbl_analysis_tickets[[#This Row],[reopened]]="Yes",1,0)</f>
        <v>1</v>
      </c>
      <c r="R816" t="str" cm="1">
        <f t="array" ref="R816">_xlfn.IFS(
tbl_analysis_tickets[[#This Row],[first_response_minutes]]&lt;=30,"Very Fast",
tbl_analysis_tickets[[#This Row],[first_response_minutes]]&lt;=120,"Acceptable",
tbl_analysis_tickets[[#This Row],[first_response_minutes]]&lt;=240,"Slow",
tbl_analysis_tickets[[#This Row],[first_response_minutes]]&gt;240,"Very Slow"
)</f>
        <v>Slow</v>
      </c>
      <c r="S816" t="str" cm="1">
        <f t="array" ref="S81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816" t="str">
        <f>TEXT(tbl_analysis_tickets[[#This Row],[created_date]],"mmm-yyyy")</f>
        <v>Sep-2024</v>
      </c>
      <c r="U816" t="str">
        <f>TEXT(tbl_analysis_tickets[[#This Row],[created_date]],"dddd")</f>
        <v>Sunday</v>
      </c>
      <c r="V816" cm="1">
        <f t="array" ref="V816">_xlfn.SWITCH(tbl_analysis_tickets[[#This Row],[priority]],
"Urgent",1,
"High",2,
"Medium",3,
"Low",4
)</f>
        <v>4</v>
      </c>
    </row>
    <row r="817" spans="1:22" x14ac:dyDescent="0.25">
      <c r="A817">
        <v>816</v>
      </c>
      <c r="B817" s="1">
        <v>45417</v>
      </c>
      <c r="C817" t="s">
        <v>14</v>
      </c>
      <c r="D817" t="s">
        <v>17</v>
      </c>
      <c r="E817">
        <v>117</v>
      </c>
      <c r="F817">
        <v>62</v>
      </c>
      <c r="G817">
        <v>7</v>
      </c>
      <c r="H817" t="s">
        <v>12</v>
      </c>
      <c r="I817" t="s">
        <v>19</v>
      </c>
      <c r="J817" t="s">
        <v>11</v>
      </c>
      <c r="K817">
        <f>_xlfn.XLOOKUP(tbl_analysis_tickets[[#This Row],[priority]],tbl_sla[priority],tbl_sla[Resolution SLA Hours])</f>
        <v>8</v>
      </c>
      <c r="L817">
        <f>_xlfn.XLOOKUP(tbl_analysis_tickets[[#This Row],[priority]],tbl_sla[priority],tbl_sla[First Response SLA Minutes])</f>
        <v>30</v>
      </c>
      <c r="M817" t="str">
        <f>IF(tbl_analysis_tickets[[#This Row],[resolution_time_hours]]&gt;tbl_analysis_tickets[[#This Row],[Resolution SLA Hours]],"Breached","Within SLA")</f>
        <v>Breached</v>
      </c>
      <c r="N817" t="str">
        <f>IF(tbl_analysis_tickets[[#This Row],[first_response_minutes]]&gt;tbl_analysis_tickets[[#This Row],[First Response SLA Minutes]],"Breached","Within SLA")</f>
        <v>Breached</v>
      </c>
      <c r="O817" t="str" cm="1">
        <f t="array" ref="O817">_xlfn.IFS(
tbl_analysis_tickets[[#This Row],[agent_experience_years]]&lt;=2,"Junior",
tbl_analysis_tickets[[#This Row],[agent_experience_years]]&lt;=5,"Mid-Level",
tbl_analysis_tickets[[#This Row],[agent_experience_years]]&lt;=8,"Senior",
tbl_analysis_tickets[[#This Row],[agent_experience_years]]&gt;8,"Expert"
)</f>
        <v>Senior</v>
      </c>
      <c r="P817" cm="1">
        <f t="array" ref="P817">_xlfn.SWITCH(tbl_analysis_tickets[[#This Row],[customer_satisfaction]],
"Low",1,
"Medium",2,
"High",3
)</f>
        <v>1</v>
      </c>
      <c r="Q817">
        <f>IF(tbl_analysis_tickets[[#This Row],[reopened]]="Yes",1,0)</f>
        <v>1</v>
      </c>
      <c r="R817" t="str" cm="1">
        <f t="array" ref="R817">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817" t="str" cm="1">
        <f t="array" ref="S81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817" t="str">
        <f>TEXT(tbl_analysis_tickets[[#This Row],[created_date]],"mmm-yyyy")</f>
        <v>May-2024</v>
      </c>
      <c r="U817" t="str">
        <f>TEXT(tbl_analysis_tickets[[#This Row],[created_date]],"dddd")</f>
        <v>Sunday</v>
      </c>
      <c r="V817" cm="1">
        <f t="array" ref="V817">_xlfn.SWITCH(tbl_analysis_tickets[[#This Row],[priority]],
"Urgent",1,
"High",2,
"Medium",3,
"Low",4
)</f>
        <v>1</v>
      </c>
    </row>
    <row r="818" spans="1:22" x14ac:dyDescent="0.25">
      <c r="A818">
        <v>817</v>
      </c>
      <c r="B818" s="1">
        <v>45599</v>
      </c>
      <c r="C818" t="s">
        <v>22</v>
      </c>
      <c r="D818" t="s">
        <v>17</v>
      </c>
      <c r="E818">
        <v>174</v>
      </c>
      <c r="F818">
        <v>66</v>
      </c>
      <c r="G818">
        <v>2.2000000000000002</v>
      </c>
      <c r="H818" t="s">
        <v>18</v>
      </c>
      <c r="I818" t="s">
        <v>19</v>
      </c>
      <c r="J818" t="s">
        <v>11</v>
      </c>
      <c r="K818">
        <f>_xlfn.XLOOKUP(tbl_analysis_tickets[[#This Row],[priority]],tbl_sla[priority],tbl_sla[Resolution SLA Hours])</f>
        <v>8</v>
      </c>
      <c r="L818">
        <f>_xlfn.XLOOKUP(tbl_analysis_tickets[[#This Row],[priority]],tbl_sla[priority],tbl_sla[First Response SLA Minutes])</f>
        <v>30</v>
      </c>
      <c r="M818" t="str">
        <f>IF(tbl_analysis_tickets[[#This Row],[resolution_time_hours]]&gt;tbl_analysis_tickets[[#This Row],[Resolution SLA Hours]],"Breached","Within SLA")</f>
        <v>Breached</v>
      </c>
      <c r="N818" t="str">
        <f>IF(tbl_analysis_tickets[[#This Row],[first_response_minutes]]&gt;tbl_analysis_tickets[[#This Row],[First Response SLA Minutes]],"Breached","Within SLA")</f>
        <v>Breached</v>
      </c>
      <c r="O818" t="str" cm="1">
        <f t="array" ref="O818">_xlfn.IFS(
tbl_analysis_tickets[[#This Row],[agent_experience_years]]&lt;=2,"Junior",
tbl_analysis_tickets[[#This Row],[agent_experience_years]]&lt;=5,"Mid-Level",
tbl_analysis_tickets[[#This Row],[agent_experience_years]]&lt;=8,"Senior",
tbl_analysis_tickets[[#This Row],[agent_experience_years]]&gt;8,"Expert"
)</f>
        <v>Mid-Level</v>
      </c>
      <c r="P818" cm="1">
        <f t="array" ref="P818">_xlfn.SWITCH(tbl_analysis_tickets[[#This Row],[customer_satisfaction]],
"Low",1,
"Medium",2,
"High",3
)</f>
        <v>1</v>
      </c>
      <c r="Q818">
        <f>IF(tbl_analysis_tickets[[#This Row],[reopened]]="Yes",1,0)</f>
        <v>0</v>
      </c>
      <c r="R818" t="str" cm="1">
        <f t="array" ref="R818">_xlfn.IFS(
tbl_analysis_tickets[[#This Row],[first_response_minutes]]&lt;=30,"Very Fast",
tbl_analysis_tickets[[#This Row],[first_response_minutes]]&lt;=120,"Acceptable",
tbl_analysis_tickets[[#This Row],[first_response_minutes]]&lt;=240,"Slow",
tbl_analysis_tickets[[#This Row],[first_response_minutes]]&gt;240,"Very Slow"
)</f>
        <v>Slow</v>
      </c>
      <c r="S818" t="str" cm="1">
        <f t="array" ref="S81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818" t="str">
        <f>TEXT(tbl_analysis_tickets[[#This Row],[created_date]],"mmm-yyyy")</f>
        <v>Nov-2024</v>
      </c>
      <c r="U818" t="str">
        <f>TEXT(tbl_analysis_tickets[[#This Row],[created_date]],"dddd")</f>
        <v>Sunday</v>
      </c>
      <c r="V818" cm="1">
        <f t="array" ref="V818">_xlfn.SWITCH(tbl_analysis_tickets[[#This Row],[priority]],
"Urgent",1,
"High",2,
"Medium",3,
"Low",4
)</f>
        <v>1</v>
      </c>
    </row>
    <row r="819" spans="1:22" x14ac:dyDescent="0.25">
      <c r="A819">
        <v>818</v>
      </c>
      <c r="B819" s="1">
        <v>45635</v>
      </c>
      <c r="C819" t="s">
        <v>21</v>
      </c>
      <c r="D819" t="s">
        <v>20</v>
      </c>
      <c r="E819">
        <v>72</v>
      </c>
      <c r="F819">
        <v>22</v>
      </c>
      <c r="G819">
        <v>4.7</v>
      </c>
      <c r="H819" t="s">
        <v>12</v>
      </c>
      <c r="I819" t="s">
        <v>16</v>
      </c>
      <c r="J819" t="s">
        <v>11</v>
      </c>
      <c r="K819">
        <f>_xlfn.XLOOKUP(tbl_analysis_tickets[[#This Row],[priority]],tbl_sla[priority],tbl_sla[Resolution SLA Hours])</f>
        <v>24</v>
      </c>
      <c r="L819">
        <f>_xlfn.XLOOKUP(tbl_analysis_tickets[[#This Row],[priority]],tbl_sla[priority],tbl_sla[First Response SLA Minutes])</f>
        <v>60</v>
      </c>
      <c r="M819" t="str">
        <f>IF(tbl_analysis_tickets[[#This Row],[resolution_time_hours]]&gt;tbl_analysis_tickets[[#This Row],[Resolution SLA Hours]],"Breached","Within SLA")</f>
        <v>Within SLA</v>
      </c>
      <c r="N819" t="str">
        <f>IF(tbl_analysis_tickets[[#This Row],[first_response_minutes]]&gt;tbl_analysis_tickets[[#This Row],[First Response SLA Minutes]],"Breached","Within SLA")</f>
        <v>Breached</v>
      </c>
      <c r="O819" t="str" cm="1">
        <f t="array" ref="O819">_xlfn.IFS(
tbl_analysis_tickets[[#This Row],[agent_experience_years]]&lt;=2,"Junior",
tbl_analysis_tickets[[#This Row],[agent_experience_years]]&lt;=5,"Mid-Level",
tbl_analysis_tickets[[#This Row],[agent_experience_years]]&lt;=8,"Senior",
tbl_analysis_tickets[[#This Row],[agent_experience_years]]&gt;8,"Expert"
)</f>
        <v>Mid-Level</v>
      </c>
      <c r="P819" cm="1">
        <f t="array" ref="P819">_xlfn.SWITCH(tbl_analysis_tickets[[#This Row],[customer_satisfaction]],
"Low",1,
"Medium",2,
"High",3
)</f>
        <v>1</v>
      </c>
      <c r="Q819">
        <f>IF(tbl_analysis_tickets[[#This Row],[reopened]]="Yes",1,0)</f>
        <v>1</v>
      </c>
      <c r="R819" t="str" cm="1">
        <f t="array" ref="R819">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819" t="str" cm="1">
        <f t="array" ref="S81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819" t="str">
        <f>TEXT(tbl_analysis_tickets[[#This Row],[created_date]],"mmm-yyyy")</f>
        <v>Dec-2024</v>
      </c>
      <c r="U819" t="str">
        <f>TEXT(tbl_analysis_tickets[[#This Row],[created_date]],"dddd")</f>
        <v>Monday</v>
      </c>
      <c r="V819" cm="1">
        <f t="array" ref="V819">_xlfn.SWITCH(tbl_analysis_tickets[[#This Row],[priority]],
"Urgent",1,
"High",2,
"Medium",3,
"Low",4
)</f>
        <v>2</v>
      </c>
    </row>
    <row r="820" spans="1:22" x14ac:dyDescent="0.25">
      <c r="A820">
        <v>819</v>
      </c>
      <c r="B820" s="1">
        <v>45381</v>
      </c>
      <c r="C820" t="s">
        <v>10</v>
      </c>
      <c r="D820" t="s">
        <v>11</v>
      </c>
      <c r="E820">
        <v>178</v>
      </c>
      <c r="F820">
        <v>51</v>
      </c>
      <c r="G820">
        <v>4.3</v>
      </c>
      <c r="H820" t="s">
        <v>18</v>
      </c>
      <c r="I820" t="s">
        <v>16</v>
      </c>
      <c r="J820" t="s">
        <v>11</v>
      </c>
      <c r="K820">
        <f>_xlfn.XLOOKUP(tbl_analysis_tickets[[#This Row],[priority]],tbl_sla[priority],tbl_sla[Resolution SLA Hours])</f>
        <v>72</v>
      </c>
      <c r="L820">
        <f>_xlfn.XLOOKUP(tbl_analysis_tickets[[#This Row],[priority]],tbl_sla[priority],tbl_sla[First Response SLA Minutes])</f>
        <v>240</v>
      </c>
      <c r="M820" t="str">
        <f>IF(tbl_analysis_tickets[[#This Row],[resolution_time_hours]]&gt;tbl_analysis_tickets[[#This Row],[Resolution SLA Hours]],"Breached","Within SLA")</f>
        <v>Within SLA</v>
      </c>
      <c r="N820" t="str">
        <f>IF(tbl_analysis_tickets[[#This Row],[first_response_minutes]]&gt;tbl_analysis_tickets[[#This Row],[First Response SLA Minutes]],"Breached","Within SLA")</f>
        <v>Within SLA</v>
      </c>
      <c r="O820" t="str" cm="1">
        <f t="array" ref="O820">_xlfn.IFS(
tbl_analysis_tickets[[#This Row],[agent_experience_years]]&lt;=2,"Junior",
tbl_analysis_tickets[[#This Row],[agent_experience_years]]&lt;=5,"Mid-Level",
tbl_analysis_tickets[[#This Row],[agent_experience_years]]&lt;=8,"Senior",
tbl_analysis_tickets[[#This Row],[agent_experience_years]]&gt;8,"Expert"
)</f>
        <v>Mid-Level</v>
      </c>
      <c r="P820" cm="1">
        <f t="array" ref="P820">_xlfn.SWITCH(tbl_analysis_tickets[[#This Row],[customer_satisfaction]],
"Low",1,
"Medium",2,
"High",3
)</f>
        <v>1</v>
      </c>
      <c r="Q820">
        <f>IF(tbl_analysis_tickets[[#This Row],[reopened]]="Yes",1,0)</f>
        <v>0</v>
      </c>
      <c r="R820" t="str" cm="1">
        <f t="array" ref="R820">_xlfn.IFS(
tbl_analysis_tickets[[#This Row],[first_response_minutes]]&lt;=30,"Very Fast",
tbl_analysis_tickets[[#This Row],[first_response_minutes]]&lt;=120,"Acceptable",
tbl_analysis_tickets[[#This Row],[first_response_minutes]]&lt;=240,"Slow",
tbl_analysis_tickets[[#This Row],[first_response_minutes]]&gt;240,"Very Slow"
)</f>
        <v>Slow</v>
      </c>
      <c r="S820" t="str" cm="1">
        <f t="array" ref="S82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820" t="str">
        <f>TEXT(tbl_analysis_tickets[[#This Row],[created_date]],"mmm-yyyy")</f>
        <v>Mar-2024</v>
      </c>
      <c r="U820" t="str">
        <f>TEXT(tbl_analysis_tickets[[#This Row],[created_date]],"dddd")</f>
        <v>Saturday</v>
      </c>
      <c r="V820" cm="1">
        <f t="array" ref="V820">_xlfn.SWITCH(tbl_analysis_tickets[[#This Row],[priority]],
"Urgent",1,
"High",2,
"Medium",3,
"Low",4
)</f>
        <v>4</v>
      </c>
    </row>
    <row r="821" spans="1:22" x14ac:dyDescent="0.25">
      <c r="A821">
        <v>820</v>
      </c>
      <c r="B821" s="1">
        <v>45489</v>
      </c>
      <c r="C821" t="s">
        <v>23</v>
      </c>
      <c r="D821" t="s">
        <v>20</v>
      </c>
      <c r="E821">
        <v>228</v>
      </c>
      <c r="F821">
        <v>61</v>
      </c>
      <c r="G821">
        <v>7.4</v>
      </c>
      <c r="H821" t="s">
        <v>12</v>
      </c>
      <c r="I821" t="s">
        <v>19</v>
      </c>
      <c r="J821" t="s">
        <v>11</v>
      </c>
      <c r="K821">
        <f>_xlfn.XLOOKUP(tbl_analysis_tickets[[#This Row],[priority]],tbl_sla[priority],tbl_sla[Resolution SLA Hours])</f>
        <v>24</v>
      </c>
      <c r="L821">
        <f>_xlfn.XLOOKUP(tbl_analysis_tickets[[#This Row],[priority]],tbl_sla[priority],tbl_sla[First Response SLA Minutes])</f>
        <v>60</v>
      </c>
      <c r="M821" t="str">
        <f>IF(tbl_analysis_tickets[[#This Row],[resolution_time_hours]]&gt;tbl_analysis_tickets[[#This Row],[Resolution SLA Hours]],"Breached","Within SLA")</f>
        <v>Breached</v>
      </c>
      <c r="N821" t="str">
        <f>IF(tbl_analysis_tickets[[#This Row],[first_response_minutes]]&gt;tbl_analysis_tickets[[#This Row],[First Response SLA Minutes]],"Breached","Within SLA")</f>
        <v>Breached</v>
      </c>
      <c r="O821" t="str" cm="1">
        <f t="array" ref="O821">_xlfn.IFS(
tbl_analysis_tickets[[#This Row],[agent_experience_years]]&lt;=2,"Junior",
tbl_analysis_tickets[[#This Row],[agent_experience_years]]&lt;=5,"Mid-Level",
tbl_analysis_tickets[[#This Row],[agent_experience_years]]&lt;=8,"Senior",
tbl_analysis_tickets[[#This Row],[agent_experience_years]]&gt;8,"Expert"
)</f>
        <v>Senior</v>
      </c>
      <c r="P821" cm="1">
        <f t="array" ref="P821">_xlfn.SWITCH(tbl_analysis_tickets[[#This Row],[customer_satisfaction]],
"Low",1,
"Medium",2,
"High",3
)</f>
        <v>1</v>
      </c>
      <c r="Q821">
        <f>IF(tbl_analysis_tickets[[#This Row],[reopened]]="Yes",1,0)</f>
        <v>1</v>
      </c>
      <c r="R821" t="str" cm="1">
        <f t="array" ref="R821">_xlfn.IFS(
tbl_analysis_tickets[[#This Row],[first_response_minutes]]&lt;=30,"Very Fast",
tbl_analysis_tickets[[#This Row],[first_response_minutes]]&lt;=120,"Acceptable",
tbl_analysis_tickets[[#This Row],[first_response_minutes]]&lt;=240,"Slow",
tbl_analysis_tickets[[#This Row],[first_response_minutes]]&gt;240,"Very Slow"
)</f>
        <v>Slow</v>
      </c>
      <c r="S821" t="str" cm="1">
        <f t="array" ref="S82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821" t="str">
        <f>TEXT(tbl_analysis_tickets[[#This Row],[created_date]],"mmm-yyyy")</f>
        <v>Jul-2024</v>
      </c>
      <c r="U821" t="str">
        <f>TEXT(tbl_analysis_tickets[[#This Row],[created_date]],"dddd")</f>
        <v>Tuesday</v>
      </c>
      <c r="V821" cm="1">
        <f t="array" ref="V821">_xlfn.SWITCH(tbl_analysis_tickets[[#This Row],[priority]],
"Urgent",1,
"High",2,
"Medium",3,
"Low",4
)</f>
        <v>2</v>
      </c>
    </row>
    <row r="822" spans="1:22" x14ac:dyDescent="0.25">
      <c r="A822">
        <v>821</v>
      </c>
      <c r="B822" s="1">
        <v>45406</v>
      </c>
      <c r="C822" t="s">
        <v>10</v>
      </c>
      <c r="D822" t="s">
        <v>11</v>
      </c>
      <c r="E822">
        <v>134</v>
      </c>
      <c r="F822">
        <v>68</v>
      </c>
      <c r="G822">
        <v>1.4</v>
      </c>
      <c r="H822" t="s">
        <v>18</v>
      </c>
      <c r="I822" t="s">
        <v>16</v>
      </c>
      <c r="J822" t="s">
        <v>11</v>
      </c>
      <c r="K822">
        <f>_xlfn.XLOOKUP(tbl_analysis_tickets[[#This Row],[priority]],tbl_sla[priority],tbl_sla[Resolution SLA Hours])</f>
        <v>72</v>
      </c>
      <c r="L822">
        <f>_xlfn.XLOOKUP(tbl_analysis_tickets[[#This Row],[priority]],tbl_sla[priority],tbl_sla[First Response SLA Minutes])</f>
        <v>240</v>
      </c>
      <c r="M822" t="str">
        <f>IF(tbl_analysis_tickets[[#This Row],[resolution_time_hours]]&gt;tbl_analysis_tickets[[#This Row],[Resolution SLA Hours]],"Breached","Within SLA")</f>
        <v>Within SLA</v>
      </c>
      <c r="N822" t="str">
        <f>IF(tbl_analysis_tickets[[#This Row],[first_response_minutes]]&gt;tbl_analysis_tickets[[#This Row],[First Response SLA Minutes]],"Breached","Within SLA")</f>
        <v>Within SLA</v>
      </c>
      <c r="O822" t="str" cm="1">
        <f t="array" ref="O822">_xlfn.IFS(
tbl_analysis_tickets[[#This Row],[agent_experience_years]]&lt;=2,"Junior",
tbl_analysis_tickets[[#This Row],[agent_experience_years]]&lt;=5,"Mid-Level",
tbl_analysis_tickets[[#This Row],[agent_experience_years]]&lt;=8,"Senior",
tbl_analysis_tickets[[#This Row],[agent_experience_years]]&gt;8,"Expert"
)</f>
        <v>Junior</v>
      </c>
      <c r="P822" cm="1">
        <f t="array" ref="P822">_xlfn.SWITCH(tbl_analysis_tickets[[#This Row],[customer_satisfaction]],
"Low",1,
"Medium",2,
"High",3
)</f>
        <v>1</v>
      </c>
      <c r="Q822">
        <f>IF(tbl_analysis_tickets[[#This Row],[reopened]]="Yes",1,0)</f>
        <v>0</v>
      </c>
      <c r="R822" t="str" cm="1">
        <f t="array" ref="R822">_xlfn.IFS(
tbl_analysis_tickets[[#This Row],[first_response_minutes]]&lt;=30,"Very Fast",
tbl_analysis_tickets[[#This Row],[first_response_minutes]]&lt;=120,"Acceptable",
tbl_analysis_tickets[[#This Row],[first_response_minutes]]&lt;=240,"Slow",
tbl_analysis_tickets[[#This Row],[first_response_minutes]]&gt;240,"Very Slow"
)</f>
        <v>Slow</v>
      </c>
      <c r="S822" t="str" cm="1">
        <f t="array" ref="S82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822" t="str">
        <f>TEXT(tbl_analysis_tickets[[#This Row],[created_date]],"mmm-yyyy")</f>
        <v>Apr-2024</v>
      </c>
      <c r="U822" t="str">
        <f>TEXT(tbl_analysis_tickets[[#This Row],[created_date]],"dddd")</f>
        <v>Wednesday</v>
      </c>
      <c r="V822" cm="1">
        <f t="array" ref="V822">_xlfn.SWITCH(tbl_analysis_tickets[[#This Row],[priority]],
"Urgent",1,
"High",2,
"Medium",3,
"Low",4
)</f>
        <v>4</v>
      </c>
    </row>
    <row r="823" spans="1:22" x14ac:dyDescent="0.25">
      <c r="A823">
        <v>822</v>
      </c>
      <c r="B823" s="1">
        <v>45412</v>
      </c>
      <c r="C823" t="s">
        <v>23</v>
      </c>
      <c r="D823" t="s">
        <v>17</v>
      </c>
      <c r="E823">
        <v>213</v>
      </c>
      <c r="F823">
        <v>72</v>
      </c>
      <c r="G823">
        <v>4</v>
      </c>
      <c r="H823" t="s">
        <v>12</v>
      </c>
      <c r="I823" t="s">
        <v>16</v>
      </c>
      <c r="J823" t="s">
        <v>11</v>
      </c>
      <c r="K823">
        <f>_xlfn.XLOOKUP(tbl_analysis_tickets[[#This Row],[priority]],tbl_sla[priority],tbl_sla[Resolution SLA Hours])</f>
        <v>8</v>
      </c>
      <c r="L823">
        <f>_xlfn.XLOOKUP(tbl_analysis_tickets[[#This Row],[priority]],tbl_sla[priority],tbl_sla[First Response SLA Minutes])</f>
        <v>30</v>
      </c>
      <c r="M823" t="str">
        <f>IF(tbl_analysis_tickets[[#This Row],[resolution_time_hours]]&gt;tbl_analysis_tickets[[#This Row],[Resolution SLA Hours]],"Breached","Within SLA")</f>
        <v>Breached</v>
      </c>
      <c r="N823" t="str">
        <f>IF(tbl_analysis_tickets[[#This Row],[first_response_minutes]]&gt;tbl_analysis_tickets[[#This Row],[First Response SLA Minutes]],"Breached","Within SLA")</f>
        <v>Breached</v>
      </c>
      <c r="O823" t="str" cm="1">
        <f t="array" ref="O823">_xlfn.IFS(
tbl_analysis_tickets[[#This Row],[agent_experience_years]]&lt;=2,"Junior",
tbl_analysis_tickets[[#This Row],[agent_experience_years]]&lt;=5,"Mid-Level",
tbl_analysis_tickets[[#This Row],[agent_experience_years]]&lt;=8,"Senior",
tbl_analysis_tickets[[#This Row],[agent_experience_years]]&gt;8,"Expert"
)</f>
        <v>Mid-Level</v>
      </c>
      <c r="P823" cm="1">
        <f t="array" ref="P823">_xlfn.SWITCH(tbl_analysis_tickets[[#This Row],[customer_satisfaction]],
"Low",1,
"Medium",2,
"High",3
)</f>
        <v>1</v>
      </c>
      <c r="Q823">
        <f>IF(tbl_analysis_tickets[[#This Row],[reopened]]="Yes",1,0)</f>
        <v>1</v>
      </c>
      <c r="R823" t="str" cm="1">
        <f t="array" ref="R823">_xlfn.IFS(
tbl_analysis_tickets[[#This Row],[first_response_minutes]]&lt;=30,"Very Fast",
tbl_analysis_tickets[[#This Row],[first_response_minutes]]&lt;=120,"Acceptable",
tbl_analysis_tickets[[#This Row],[first_response_minutes]]&lt;=240,"Slow",
tbl_analysis_tickets[[#This Row],[first_response_minutes]]&gt;240,"Very Slow"
)</f>
        <v>Slow</v>
      </c>
      <c r="S823" t="str" cm="1">
        <f t="array" ref="S82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823" t="str">
        <f>TEXT(tbl_analysis_tickets[[#This Row],[created_date]],"mmm-yyyy")</f>
        <v>Apr-2024</v>
      </c>
      <c r="U823" t="str">
        <f>TEXT(tbl_analysis_tickets[[#This Row],[created_date]],"dddd")</f>
        <v>Tuesday</v>
      </c>
      <c r="V823" cm="1">
        <f t="array" ref="V823">_xlfn.SWITCH(tbl_analysis_tickets[[#This Row],[priority]],
"Urgent",1,
"High",2,
"Medium",3,
"Low",4
)</f>
        <v>1</v>
      </c>
    </row>
    <row r="824" spans="1:22" x14ac:dyDescent="0.25">
      <c r="A824">
        <v>823</v>
      </c>
      <c r="B824" s="1">
        <v>45621</v>
      </c>
      <c r="C824" t="s">
        <v>22</v>
      </c>
      <c r="D824" t="s">
        <v>20</v>
      </c>
      <c r="E824">
        <v>171</v>
      </c>
      <c r="F824">
        <v>60</v>
      </c>
      <c r="G824">
        <v>4.8</v>
      </c>
      <c r="H824" t="s">
        <v>12</v>
      </c>
      <c r="I824" t="s">
        <v>16</v>
      </c>
      <c r="J824" t="s">
        <v>11</v>
      </c>
      <c r="K824">
        <f>_xlfn.XLOOKUP(tbl_analysis_tickets[[#This Row],[priority]],tbl_sla[priority],tbl_sla[Resolution SLA Hours])</f>
        <v>24</v>
      </c>
      <c r="L824">
        <f>_xlfn.XLOOKUP(tbl_analysis_tickets[[#This Row],[priority]],tbl_sla[priority],tbl_sla[First Response SLA Minutes])</f>
        <v>60</v>
      </c>
      <c r="M824" t="str">
        <f>IF(tbl_analysis_tickets[[#This Row],[resolution_time_hours]]&gt;tbl_analysis_tickets[[#This Row],[Resolution SLA Hours]],"Breached","Within SLA")</f>
        <v>Breached</v>
      </c>
      <c r="N824" t="str">
        <f>IF(tbl_analysis_tickets[[#This Row],[first_response_minutes]]&gt;tbl_analysis_tickets[[#This Row],[First Response SLA Minutes]],"Breached","Within SLA")</f>
        <v>Breached</v>
      </c>
      <c r="O824" t="str" cm="1">
        <f t="array" ref="O824">_xlfn.IFS(
tbl_analysis_tickets[[#This Row],[agent_experience_years]]&lt;=2,"Junior",
tbl_analysis_tickets[[#This Row],[agent_experience_years]]&lt;=5,"Mid-Level",
tbl_analysis_tickets[[#This Row],[agent_experience_years]]&lt;=8,"Senior",
tbl_analysis_tickets[[#This Row],[agent_experience_years]]&gt;8,"Expert"
)</f>
        <v>Mid-Level</v>
      </c>
      <c r="P824" cm="1">
        <f t="array" ref="P824">_xlfn.SWITCH(tbl_analysis_tickets[[#This Row],[customer_satisfaction]],
"Low",1,
"Medium",2,
"High",3
)</f>
        <v>1</v>
      </c>
      <c r="Q824">
        <f>IF(tbl_analysis_tickets[[#This Row],[reopened]]="Yes",1,0)</f>
        <v>1</v>
      </c>
      <c r="R824" t="str" cm="1">
        <f t="array" ref="R824">_xlfn.IFS(
tbl_analysis_tickets[[#This Row],[first_response_minutes]]&lt;=30,"Very Fast",
tbl_analysis_tickets[[#This Row],[first_response_minutes]]&lt;=120,"Acceptable",
tbl_analysis_tickets[[#This Row],[first_response_minutes]]&lt;=240,"Slow",
tbl_analysis_tickets[[#This Row],[first_response_minutes]]&gt;240,"Very Slow"
)</f>
        <v>Slow</v>
      </c>
      <c r="S824" t="str" cm="1">
        <f t="array" ref="S82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824" t="str">
        <f>TEXT(tbl_analysis_tickets[[#This Row],[created_date]],"mmm-yyyy")</f>
        <v>Nov-2024</v>
      </c>
      <c r="U824" t="str">
        <f>TEXT(tbl_analysis_tickets[[#This Row],[created_date]],"dddd")</f>
        <v>Monday</v>
      </c>
      <c r="V824" cm="1">
        <f t="array" ref="V824">_xlfn.SWITCH(tbl_analysis_tickets[[#This Row],[priority]],
"Urgent",1,
"High",2,
"Medium",3,
"Low",4
)</f>
        <v>2</v>
      </c>
    </row>
    <row r="825" spans="1:22" x14ac:dyDescent="0.25">
      <c r="A825">
        <v>824</v>
      </c>
      <c r="B825" s="1">
        <v>45327</v>
      </c>
      <c r="C825" t="s">
        <v>21</v>
      </c>
      <c r="D825" t="s">
        <v>15</v>
      </c>
      <c r="E825">
        <v>85</v>
      </c>
      <c r="F825">
        <v>41</v>
      </c>
      <c r="G825">
        <v>7.7</v>
      </c>
      <c r="H825" t="s">
        <v>12</v>
      </c>
      <c r="I825" t="s">
        <v>13</v>
      </c>
      <c r="J825" t="s">
        <v>11</v>
      </c>
      <c r="K825">
        <f>_xlfn.XLOOKUP(tbl_analysis_tickets[[#This Row],[priority]],tbl_sla[priority],tbl_sla[Resolution SLA Hours])</f>
        <v>48</v>
      </c>
      <c r="L825">
        <f>_xlfn.XLOOKUP(tbl_analysis_tickets[[#This Row],[priority]],tbl_sla[priority],tbl_sla[First Response SLA Minutes])</f>
        <v>120</v>
      </c>
      <c r="M825" t="str">
        <f>IF(tbl_analysis_tickets[[#This Row],[resolution_time_hours]]&gt;tbl_analysis_tickets[[#This Row],[Resolution SLA Hours]],"Breached","Within SLA")</f>
        <v>Within SLA</v>
      </c>
      <c r="N825" t="str">
        <f>IF(tbl_analysis_tickets[[#This Row],[first_response_minutes]]&gt;tbl_analysis_tickets[[#This Row],[First Response SLA Minutes]],"Breached","Within SLA")</f>
        <v>Within SLA</v>
      </c>
      <c r="O825" t="str" cm="1">
        <f t="array" ref="O825">_xlfn.IFS(
tbl_analysis_tickets[[#This Row],[agent_experience_years]]&lt;=2,"Junior",
tbl_analysis_tickets[[#This Row],[agent_experience_years]]&lt;=5,"Mid-Level",
tbl_analysis_tickets[[#This Row],[agent_experience_years]]&lt;=8,"Senior",
tbl_analysis_tickets[[#This Row],[agent_experience_years]]&gt;8,"Expert"
)</f>
        <v>Senior</v>
      </c>
      <c r="P825" cm="1">
        <f t="array" ref="P825">_xlfn.SWITCH(tbl_analysis_tickets[[#This Row],[customer_satisfaction]],
"Low",1,
"Medium",2,
"High",3
)</f>
        <v>1</v>
      </c>
      <c r="Q825">
        <f>IF(tbl_analysis_tickets[[#This Row],[reopened]]="Yes",1,0)</f>
        <v>1</v>
      </c>
      <c r="R825" t="str" cm="1">
        <f t="array" ref="R825">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825" t="str" cm="1">
        <f t="array" ref="S82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825" t="str">
        <f>TEXT(tbl_analysis_tickets[[#This Row],[created_date]],"mmm-yyyy")</f>
        <v>Feb-2024</v>
      </c>
      <c r="U825" t="str">
        <f>TEXT(tbl_analysis_tickets[[#This Row],[created_date]],"dddd")</f>
        <v>Monday</v>
      </c>
      <c r="V825" cm="1">
        <f t="array" ref="V825">_xlfn.SWITCH(tbl_analysis_tickets[[#This Row],[priority]],
"Urgent",1,
"High",2,
"Medium",3,
"Low",4
)</f>
        <v>3</v>
      </c>
    </row>
    <row r="826" spans="1:22" x14ac:dyDescent="0.25">
      <c r="A826">
        <v>825</v>
      </c>
      <c r="B826" s="1">
        <v>45535</v>
      </c>
      <c r="C826" t="s">
        <v>22</v>
      </c>
      <c r="D826" t="s">
        <v>15</v>
      </c>
      <c r="E826">
        <v>161</v>
      </c>
      <c r="F826">
        <v>36</v>
      </c>
      <c r="G826">
        <v>3.3</v>
      </c>
      <c r="H826" t="s">
        <v>12</v>
      </c>
      <c r="I826" t="s">
        <v>13</v>
      </c>
      <c r="J826" t="s">
        <v>11</v>
      </c>
      <c r="K826">
        <f>_xlfn.XLOOKUP(tbl_analysis_tickets[[#This Row],[priority]],tbl_sla[priority],tbl_sla[Resolution SLA Hours])</f>
        <v>48</v>
      </c>
      <c r="L826">
        <f>_xlfn.XLOOKUP(tbl_analysis_tickets[[#This Row],[priority]],tbl_sla[priority],tbl_sla[First Response SLA Minutes])</f>
        <v>120</v>
      </c>
      <c r="M826" t="str">
        <f>IF(tbl_analysis_tickets[[#This Row],[resolution_time_hours]]&gt;tbl_analysis_tickets[[#This Row],[Resolution SLA Hours]],"Breached","Within SLA")</f>
        <v>Within SLA</v>
      </c>
      <c r="N826" t="str">
        <f>IF(tbl_analysis_tickets[[#This Row],[first_response_minutes]]&gt;tbl_analysis_tickets[[#This Row],[First Response SLA Minutes]],"Breached","Within SLA")</f>
        <v>Breached</v>
      </c>
      <c r="O826" t="str" cm="1">
        <f t="array" ref="O826">_xlfn.IFS(
tbl_analysis_tickets[[#This Row],[agent_experience_years]]&lt;=2,"Junior",
tbl_analysis_tickets[[#This Row],[agent_experience_years]]&lt;=5,"Mid-Level",
tbl_analysis_tickets[[#This Row],[agent_experience_years]]&lt;=8,"Senior",
tbl_analysis_tickets[[#This Row],[agent_experience_years]]&gt;8,"Expert"
)</f>
        <v>Mid-Level</v>
      </c>
      <c r="P826" cm="1">
        <f t="array" ref="P826">_xlfn.SWITCH(tbl_analysis_tickets[[#This Row],[customer_satisfaction]],
"Low",1,
"Medium",2,
"High",3
)</f>
        <v>1</v>
      </c>
      <c r="Q826">
        <f>IF(tbl_analysis_tickets[[#This Row],[reopened]]="Yes",1,0)</f>
        <v>1</v>
      </c>
      <c r="R826" t="str" cm="1">
        <f t="array" ref="R826">_xlfn.IFS(
tbl_analysis_tickets[[#This Row],[first_response_minutes]]&lt;=30,"Very Fast",
tbl_analysis_tickets[[#This Row],[first_response_minutes]]&lt;=120,"Acceptable",
tbl_analysis_tickets[[#This Row],[first_response_minutes]]&lt;=240,"Slow",
tbl_analysis_tickets[[#This Row],[first_response_minutes]]&gt;240,"Very Slow"
)</f>
        <v>Slow</v>
      </c>
      <c r="S826" t="str" cm="1">
        <f t="array" ref="S82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826" t="str">
        <f>TEXT(tbl_analysis_tickets[[#This Row],[created_date]],"mmm-yyyy")</f>
        <v>Aug-2024</v>
      </c>
      <c r="U826" t="str">
        <f>TEXT(tbl_analysis_tickets[[#This Row],[created_date]],"dddd")</f>
        <v>Saturday</v>
      </c>
      <c r="V826" cm="1">
        <f t="array" ref="V826">_xlfn.SWITCH(tbl_analysis_tickets[[#This Row],[priority]],
"Urgent",1,
"High",2,
"Medium",3,
"Low",4
)</f>
        <v>3</v>
      </c>
    </row>
    <row r="827" spans="1:22" x14ac:dyDescent="0.25">
      <c r="A827">
        <v>826</v>
      </c>
      <c r="B827" s="1">
        <v>45381</v>
      </c>
      <c r="C827" t="s">
        <v>14</v>
      </c>
      <c r="D827" t="s">
        <v>15</v>
      </c>
      <c r="E827">
        <v>215</v>
      </c>
      <c r="F827">
        <v>2</v>
      </c>
      <c r="G827">
        <v>5.7</v>
      </c>
      <c r="H827" t="s">
        <v>18</v>
      </c>
      <c r="I827" t="s">
        <v>16</v>
      </c>
      <c r="J827" t="s">
        <v>20</v>
      </c>
      <c r="K827">
        <f>_xlfn.XLOOKUP(tbl_analysis_tickets[[#This Row],[priority]],tbl_sla[priority],tbl_sla[Resolution SLA Hours])</f>
        <v>48</v>
      </c>
      <c r="L827">
        <f>_xlfn.XLOOKUP(tbl_analysis_tickets[[#This Row],[priority]],tbl_sla[priority],tbl_sla[First Response SLA Minutes])</f>
        <v>120</v>
      </c>
      <c r="M827" t="str">
        <f>IF(tbl_analysis_tickets[[#This Row],[resolution_time_hours]]&gt;tbl_analysis_tickets[[#This Row],[Resolution SLA Hours]],"Breached","Within SLA")</f>
        <v>Within SLA</v>
      </c>
      <c r="N827" t="str">
        <f>IF(tbl_analysis_tickets[[#This Row],[first_response_minutes]]&gt;tbl_analysis_tickets[[#This Row],[First Response SLA Minutes]],"Breached","Within SLA")</f>
        <v>Breached</v>
      </c>
      <c r="O827" t="str" cm="1">
        <f t="array" ref="O827">_xlfn.IFS(
tbl_analysis_tickets[[#This Row],[agent_experience_years]]&lt;=2,"Junior",
tbl_analysis_tickets[[#This Row],[agent_experience_years]]&lt;=5,"Mid-Level",
tbl_analysis_tickets[[#This Row],[agent_experience_years]]&lt;=8,"Senior",
tbl_analysis_tickets[[#This Row],[agent_experience_years]]&gt;8,"Expert"
)</f>
        <v>Senior</v>
      </c>
      <c r="P827" cm="1">
        <f t="array" ref="P827">_xlfn.SWITCH(tbl_analysis_tickets[[#This Row],[customer_satisfaction]],
"Low",1,
"Medium",2,
"High",3
)</f>
        <v>3</v>
      </c>
      <c r="Q827">
        <f>IF(tbl_analysis_tickets[[#This Row],[reopened]]="Yes",1,0)</f>
        <v>0</v>
      </c>
      <c r="R827" t="str" cm="1">
        <f t="array" ref="R827">_xlfn.IFS(
tbl_analysis_tickets[[#This Row],[first_response_minutes]]&lt;=30,"Very Fast",
tbl_analysis_tickets[[#This Row],[first_response_minutes]]&lt;=120,"Acceptable",
tbl_analysis_tickets[[#This Row],[first_response_minutes]]&lt;=240,"Slow",
tbl_analysis_tickets[[#This Row],[first_response_minutes]]&gt;240,"Very Slow"
)</f>
        <v>Slow</v>
      </c>
      <c r="S827" t="str" cm="1">
        <f t="array" ref="S82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827" t="str">
        <f>TEXT(tbl_analysis_tickets[[#This Row],[created_date]],"mmm-yyyy")</f>
        <v>Mar-2024</v>
      </c>
      <c r="U827" t="str">
        <f>TEXT(tbl_analysis_tickets[[#This Row],[created_date]],"dddd")</f>
        <v>Saturday</v>
      </c>
      <c r="V827" cm="1">
        <f t="array" ref="V827">_xlfn.SWITCH(tbl_analysis_tickets[[#This Row],[priority]],
"Urgent",1,
"High",2,
"Medium",3,
"Low",4
)</f>
        <v>3</v>
      </c>
    </row>
    <row r="828" spans="1:22" x14ac:dyDescent="0.25">
      <c r="A828">
        <v>827</v>
      </c>
      <c r="B828" s="1">
        <v>45451</v>
      </c>
      <c r="C828" t="s">
        <v>21</v>
      </c>
      <c r="D828" t="s">
        <v>15</v>
      </c>
      <c r="E828">
        <v>92</v>
      </c>
      <c r="F828">
        <v>31</v>
      </c>
      <c r="G828">
        <v>4.9000000000000004</v>
      </c>
      <c r="H828" t="s">
        <v>18</v>
      </c>
      <c r="I828" t="s">
        <v>16</v>
      </c>
      <c r="J828" t="s">
        <v>11</v>
      </c>
      <c r="K828">
        <f>_xlfn.XLOOKUP(tbl_analysis_tickets[[#This Row],[priority]],tbl_sla[priority],tbl_sla[Resolution SLA Hours])</f>
        <v>48</v>
      </c>
      <c r="L828">
        <f>_xlfn.XLOOKUP(tbl_analysis_tickets[[#This Row],[priority]],tbl_sla[priority],tbl_sla[First Response SLA Minutes])</f>
        <v>120</v>
      </c>
      <c r="M828" t="str">
        <f>IF(tbl_analysis_tickets[[#This Row],[resolution_time_hours]]&gt;tbl_analysis_tickets[[#This Row],[Resolution SLA Hours]],"Breached","Within SLA")</f>
        <v>Within SLA</v>
      </c>
      <c r="N828" t="str">
        <f>IF(tbl_analysis_tickets[[#This Row],[first_response_minutes]]&gt;tbl_analysis_tickets[[#This Row],[First Response SLA Minutes]],"Breached","Within SLA")</f>
        <v>Within SLA</v>
      </c>
      <c r="O828" t="str" cm="1">
        <f t="array" ref="O828">_xlfn.IFS(
tbl_analysis_tickets[[#This Row],[agent_experience_years]]&lt;=2,"Junior",
tbl_analysis_tickets[[#This Row],[agent_experience_years]]&lt;=5,"Mid-Level",
tbl_analysis_tickets[[#This Row],[agent_experience_years]]&lt;=8,"Senior",
tbl_analysis_tickets[[#This Row],[agent_experience_years]]&gt;8,"Expert"
)</f>
        <v>Mid-Level</v>
      </c>
      <c r="P828" cm="1">
        <f t="array" ref="P828">_xlfn.SWITCH(tbl_analysis_tickets[[#This Row],[customer_satisfaction]],
"Low",1,
"Medium",2,
"High",3
)</f>
        <v>1</v>
      </c>
      <c r="Q828">
        <f>IF(tbl_analysis_tickets[[#This Row],[reopened]]="Yes",1,0)</f>
        <v>0</v>
      </c>
      <c r="R828" t="str" cm="1">
        <f t="array" ref="R828">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828" t="str" cm="1">
        <f t="array" ref="S82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828" t="str">
        <f>TEXT(tbl_analysis_tickets[[#This Row],[created_date]],"mmm-yyyy")</f>
        <v>Jun-2024</v>
      </c>
      <c r="U828" t="str">
        <f>TEXT(tbl_analysis_tickets[[#This Row],[created_date]],"dddd")</f>
        <v>Saturday</v>
      </c>
      <c r="V828" cm="1">
        <f t="array" ref="V828">_xlfn.SWITCH(tbl_analysis_tickets[[#This Row],[priority]],
"Urgent",1,
"High",2,
"Medium",3,
"Low",4
)</f>
        <v>3</v>
      </c>
    </row>
    <row r="829" spans="1:22" x14ac:dyDescent="0.25">
      <c r="A829">
        <v>828</v>
      </c>
      <c r="B829" s="1">
        <v>45484</v>
      </c>
      <c r="C829" t="s">
        <v>10</v>
      </c>
      <c r="D829" t="s">
        <v>17</v>
      </c>
      <c r="E829">
        <v>37</v>
      </c>
      <c r="F829">
        <v>17</v>
      </c>
      <c r="G829">
        <v>5.6</v>
      </c>
      <c r="H829" t="s">
        <v>18</v>
      </c>
      <c r="I829" t="s">
        <v>16</v>
      </c>
      <c r="J829" t="s">
        <v>11</v>
      </c>
      <c r="K829">
        <f>_xlfn.XLOOKUP(tbl_analysis_tickets[[#This Row],[priority]],tbl_sla[priority],tbl_sla[Resolution SLA Hours])</f>
        <v>8</v>
      </c>
      <c r="L829">
        <f>_xlfn.XLOOKUP(tbl_analysis_tickets[[#This Row],[priority]],tbl_sla[priority],tbl_sla[First Response SLA Minutes])</f>
        <v>30</v>
      </c>
      <c r="M829" t="str">
        <f>IF(tbl_analysis_tickets[[#This Row],[resolution_time_hours]]&gt;tbl_analysis_tickets[[#This Row],[Resolution SLA Hours]],"Breached","Within SLA")</f>
        <v>Breached</v>
      </c>
      <c r="N829" t="str">
        <f>IF(tbl_analysis_tickets[[#This Row],[first_response_minutes]]&gt;tbl_analysis_tickets[[#This Row],[First Response SLA Minutes]],"Breached","Within SLA")</f>
        <v>Breached</v>
      </c>
      <c r="O829" t="str" cm="1">
        <f t="array" ref="O829">_xlfn.IFS(
tbl_analysis_tickets[[#This Row],[agent_experience_years]]&lt;=2,"Junior",
tbl_analysis_tickets[[#This Row],[agent_experience_years]]&lt;=5,"Mid-Level",
tbl_analysis_tickets[[#This Row],[agent_experience_years]]&lt;=8,"Senior",
tbl_analysis_tickets[[#This Row],[agent_experience_years]]&gt;8,"Expert"
)</f>
        <v>Senior</v>
      </c>
      <c r="P829" cm="1">
        <f t="array" ref="P829">_xlfn.SWITCH(tbl_analysis_tickets[[#This Row],[customer_satisfaction]],
"Low",1,
"Medium",2,
"High",3
)</f>
        <v>1</v>
      </c>
      <c r="Q829">
        <f>IF(tbl_analysis_tickets[[#This Row],[reopened]]="Yes",1,0)</f>
        <v>0</v>
      </c>
      <c r="R829" t="str" cm="1">
        <f t="array" ref="R829">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829" t="str" cm="1">
        <f t="array" ref="S82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829" t="str">
        <f>TEXT(tbl_analysis_tickets[[#This Row],[created_date]],"mmm-yyyy")</f>
        <v>Jul-2024</v>
      </c>
      <c r="U829" t="str">
        <f>TEXT(tbl_analysis_tickets[[#This Row],[created_date]],"dddd")</f>
        <v>Thursday</v>
      </c>
      <c r="V829" cm="1">
        <f t="array" ref="V829">_xlfn.SWITCH(tbl_analysis_tickets[[#This Row],[priority]],
"Urgent",1,
"High",2,
"Medium",3,
"Low",4
)</f>
        <v>1</v>
      </c>
    </row>
    <row r="830" spans="1:22" x14ac:dyDescent="0.25">
      <c r="A830">
        <v>829</v>
      </c>
      <c r="B830" s="1">
        <v>45339</v>
      </c>
      <c r="C830" t="s">
        <v>10</v>
      </c>
      <c r="D830" t="s">
        <v>11</v>
      </c>
      <c r="E830">
        <v>171</v>
      </c>
      <c r="F830">
        <v>56</v>
      </c>
      <c r="G830">
        <v>8.1</v>
      </c>
      <c r="H830" t="s">
        <v>12</v>
      </c>
      <c r="I830" t="s">
        <v>16</v>
      </c>
      <c r="J830" t="s">
        <v>11</v>
      </c>
      <c r="K830">
        <f>_xlfn.XLOOKUP(tbl_analysis_tickets[[#This Row],[priority]],tbl_sla[priority],tbl_sla[Resolution SLA Hours])</f>
        <v>72</v>
      </c>
      <c r="L830">
        <f>_xlfn.XLOOKUP(tbl_analysis_tickets[[#This Row],[priority]],tbl_sla[priority],tbl_sla[First Response SLA Minutes])</f>
        <v>240</v>
      </c>
      <c r="M830" t="str">
        <f>IF(tbl_analysis_tickets[[#This Row],[resolution_time_hours]]&gt;tbl_analysis_tickets[[#This Row],[Resolution SLA Hours]],"Breached","Within SLA")</f>
        <v>Within SLA</v>
      </c>
      <c r="N830" t="str">
        <f>IF(tbl_analysis_tickets[[#This Row],[first_response_minutes]]&gt;tbl_analysis_tickets[[#This Row],[First Response SLA Minutes]],"Breached","Within SLA")</f>
        <v>Within SLA</v>
      </c>
      <c r="O830" t="str" cm="1">
        <f t="array" ref="O830">_xlfn.IFS(
tbl_analysis_tickets[[#This Row],[agent_experience_years]]&lt;=2,"Junior",
tbl_analysis_tickets[[#This Row],[agent_experience_years]]&lt;=5,"Mid-Level",
tbl_analysis_tickets[[#This Row],[agent_experience_years]]&lt;=8,"Senior",
tbl_analysis_tickets[[#This Row],[agent_experience_years]]&gt;8,"Expert"
)</f>
        <v>Expert</v>
      </c>
      <c r="P830" cm="1">
        <f t="array" ref="P830">_xlfn.SWITCH(tbl_analysis_tickets[[#This Row],[customer_satisfaction]],
"Low",1,
"Medium",2,
"High",3
)</f>
        <v>1</v>
      </c>
      <c r="Q830">
        <f>IF(tbl_analysis_tickets[[#This Row],[reopened]]="Yes",1,0)</f>
        <v>1</v>
      </c>
      <c r="R830" t="str" cm="1">
        <f t="array" ref="R830">_xlfn.IFS(
tbl_analysis_tickets[[#This Row],[first_response_minutes]]&lt;=30,"Very Fast",
tbl_analysis_tickets[[#This Row],[first_response_minutes]]&lt;=120,"Acceptable",
tbl_analysis_tickets[[#This Row],[first_response_minutes]]&lt;=240,"Slow",
tbl_analysis_tickets[[#This Row],[first_response_minutes]]&gt;240,"Very Slow"
)</f>
        <v>Slow</v>
      </c>
      <c r="S830" t="str" cm="1">
        <f t="array" ref="S83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830" t="str">
        <f>TEXT(tbl_analysis_tickets[[#This Row],[created_date]],"mmm-yyyy")</f>
        <v>Feb-2024</v>
      </c>
      <c r="U830" t="str">
        <f>TEXT(tbl_analysis_tickets[[#This Row],[created_date]],"dddd")</f>
        <v>Saturday</v>
      </c>
      <c r="V830" cm="1">
        <f t="array" ref="V830">_xlfn.SWITCH(tbl_analysis_tickets[[#This Row],[priority]],
"Urgent",1,
"High",2,
"Medium",3,
"Low",4
)</f>
        <v>4</v>
      </c>
    </row>
    <row r="831" spans="1:22" x14ac:dyDescent="0.25">
      <c r="A831">
        <v>830</v>
      </c>
      <c r="B831" s="1">
        <v>45604</v>
      </c>
      <c r="C831" t="s">
        <v>14</v>
      </c>
      <c r="D831" t="s">
        <v>20</v>
      </c>
      <c r="E831">
        <v>184</v>
      </c>
      <c r="F831">
        <v>64</v>
      </c>
      <c r="G831">
        <v>5.9</v>
      </c>
      <c r="H831" t="s">
        <v>12</v>
      </c>
      <c r="I831" t="s">
        <v>19</v>
      </c>
      <c r="J831" t="s">
        <v>11</v>
      </c>
      <c r="K831">
        <f>_xlfn.XLOOKUP(tbl_analysis_tickets[[#This Row],[priority]],tbl_sla[priority],tbl_sla[Resolution SLA Hours])</f>
        <v>24</v>
      </c>
      <c r="L831">
        <f>_xlfn.XLOOKUP(tbl_analysis_tickets[[#This Row],[priority]],tbl_sla[priority],tbl_sla[First Response SLA Minutes])</f>
        <v>60</v>
      </c>
      <c r="M831" t="str">
        <f>IF(tbl_analysis_tickets[[#This Row],[resolution_time_hours]]&gt;tbl_analysis_tickets[[#This Row],[Resolution SLA Hours]],"Breached","Within SLA")</f>
        <v>Breached</v>
      </c>
      <c r="N831" t="str">
        <f>IF(tbl_analysis_tickets[[#This Row],[first_response_minutes]]&gt;tbl_analysis_tickets[[#This Row],[First Response SLA Minutes]],"Breached","Within SLA")</f>
        <v>Breached</v>
      </c>
      <c r="O831" t="str" cm="1">
        <f t="array" ref="O831">_xlfn.IFS(
tbl_analysis_tickets[[#This Row],[agent_experience_years]]&lt;=2,"Junior",
tbl_analysis_tickets[[#This Row],[agent_experience_years]]&lt;=5,"Mid-Level",
tbl_analysis_tickets[[#This Row],[agent_experience_years]]&lt;=8,"Senior",
tbl_analysis_tickets[[#This Row],[agent_experience_years]]&gt;8,"Expert"
)</f>
        <v>Senior</v>
      </c>
      <c r="P831" cm="1">
        <f t="array" ref="P831">_xlfn.SWITCH(tbl_analysis_tickets[[#This Row],[customer_satisfaction]],
"Low",1,
"Medium",2,
"High",3
)</f>
        <v>1</v>
      </c>
      <c r="Q831">
        <f>IF(tbl_analysis_tickets[[#This Row],[reopened]]="Yes",1,0)</f>
        <v>1</v>
      </c>
      <c r="R831" t="str" cm="1">
        <f t="array" ref="R831">_xlfn.IFS(
tbl_analysis_tickets[[#This Row],[first_response_minutes]]&lt;=30,"Very Fast",
tbl_analysis_tickets[[#This Row],[first_response_minutes]]&lt;=120,"Acceptable",
tbl_analysis_tickets[[#This Row],[first_response_minutes]]&lt;=240,"Slow",
tbl_analysis_tickets[[#This Row],[first_response_minutes]]&gt;240,"Very Slow"
)</f>
        <v>Slow</v>
      </c>
      <c r="S831" t="str" cm="1">
        <f t="array" ref="S83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831" t="str">
        <f>TEXT(tbl_analysis_tickets[[#This Row],[created_date]],"mmm-yyyy")</f>
        <v>Nov-2024</v>
      </c>
      <c r="U831" t="str">
        <f>TEXT(tbl_analysis_tickets[[#This Row],[created_date]],"dddd")</f>
        <v>Friday</v>
      </c>
      <c r="V831" cm="1">
        <f t="array" ref="V831">_xlfn.SWITCH(tbl_analysis_tickets[[#This Row],[priority]],
"Urgent",1,
"High",2,
"Medium",3,
"Low",4
)</f>
        <v>2</v>
      </c>
    </row>
    <row r="832" spans="1:22" x14ac:dyDescent="0.25">
      <c r="A832">
        <v>831</v>
      </c>
      <c r="B832" s="1">
        <v>45292</v>
      </c>
      <c r="C832" t="s">
        <v>21</v>
      </c>
      <c r="D832" t="s">
        <v>11</v>
      </c>
      <c r="E832">
        <v>177</v>
      </c>
      <c r="F832">
        <v>68</v>
      </c>
      <c r="G832">
        <v>5.6</v>
      </c>
      <c r="H832" t="s">
        <v>18</v>
      </c>
      <c r="I832" t="s">
        <v>16</v>
      </c>
      <c r="J832" t="s">
        <v>15</v>
      </c>
      <c r="K832">
        <f>_xlfn.XLOOKUP(tbl_analysis_tickets[[#This Row],[priority]],tbl_sla[priority],tbl_sla[Resolution SLA Hours])</f>
        <v>72</v>
      </c>
      <c r="L832">
        <f>_xlfn.XLOOKUP(tbl_analysis_tickets[[#This Row],[priority]],tbl_sla[priority],tbl_sla[First Response SLA Minutes])</f>
        <v>240</v>
      </c>
      <c r="M832" t="str">
        <f>IF(tbl_analysis_tickets[[#This Row],[resolution_time_hours]]&gt;tbl_analysis_tickets[[#This Row],[Resolution SLA Hours]],"Breached","Within SLA")</f>
        <v>Within SLA</v>
      </c>
      <c r="N832" t="str">
        <f>IF(tbl_analysis_tickets[[#This Row],[first_response_minutes]]&gt;tbl_analysis_tickets[[#This Row],[First Response SLA Minutes]],"Breached","Within SLA")</f>
        <v>Within SLA</v>
      </c>
      <c r="O832" t="str" cm="1">
        <f t="array" ref="O832">_xlfn.IFS(
tbl_analysis_tickets[[#This Row],[agent_experience_years]]&lt;=2,"Junior",
tbl_analysis_tickets[[#This Row],[agent_experience_years]]&lt;=5,"Mid-Level",
tbl_analysis_tickets[[#This Row],[agent_experience_years]]&lt;=8,"Senior",
tbl_analysis_tickets[[#This Row],[agent_experience_years]]&gt;8,"Expert"
)</f>
        <v>Senior</v>
      </c>
      <c r="P832" cm="1">
        <f t="array" ref="P832">_xlfn.SWITCH(tbl_analysis_tickets[[#This Row],[customer_satisfaction]],
"Low",1,
"Medium",2,
"High",3
)</f>
        <v>2</v>
      </c>
      <c r="Q832">
        <f>IF(tbl_analysis_tickets[[#This Row],[reopened]]="Yes",1,0)</f>
        <v>0</v>
      </c>
      <c r="R832" t="str" cm="1">
        <f t="array" ref="R832">_xlfn.IFS(
tbl_analysis_tickets[[#This Row],[first_response_minutes]]&lt;=30,"Very Fast",
tbl_analysis_tickets[[#This Row],[first_response_minutes]]&lt;=120,"Acceptable",
tbl_analysis_tickets[[#This Row],[first_response_minutes]]&lt;=240,"Slow",
tbl_analysis_tickets[[#This Row],[first_response_minutes]]&gt;240,"Very Slow"
)</f>
        <v>Slow</v>
      </c>
      <c r="S832" t="str" cm="1">
        <f t="array" ref="S83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832" t="str">
        <f>TEXT(tbl_analysis_tickets[[#This Row],[created_date]],"mmm-yyyy")</f>
        <v>Jan-2024</v>
      </c>
      <c r="U832" t="str">
        <f>TEXT(tbl_analysis_tickets[[#This Row],[created_date]],"dddd")</f>
        <v>Monday</v>
      </c>
      <c r="V832" cm="1">
        <f t="array" ref="V832">_xlfn.SWITCH(tbl_analysis_tickets[[#This Row],[priority]],
"Urgent",1,
"High",2,
"Medium",3,
"Low",4
)</f>
        <v>4</v>
      </c>
    </row>
    <row r="833" spans="1:22" x14ac:dyDescent="0.25">
      <c r="A833">
        <v>832</v>
      </c>
      <c r="B833" s="1">
        <v>45493</v>
      </c>
      <c r="C833" t="s">
        <v>22</v>
      </c>
      <c r="D833" t="s">
        <v>17</v>
      </c>
      <c r="E833">
        <v>192</v>
      </c>
      <c r="F833">
        <v>13</v>
      </c>
      <c r="G833">
        <v>2.6</v>
      </c>
      <c r="H833" t="s">
        <v>18</v>
      </c>
      <c r="I833" t="s">
        <v>13</v>
      </c>
      <c r="J833" t="s">
        <v>11</v>
      </c>
      <c r="K833">
        <f>_xlfn.XLOOKUP(tbl_analysis_tickets[[#This Row],[priority]],tbl_sla[priority],tbl_sla[Resolution SLA Hours])</f>
        <v>8</v>
      </c>
      <c r="L833">
        <f>_xlfn.XLOOKUP(tbl_analysis_tickets[[#This Row],[priority]],tbl_sla[priority],tbl_sla[First Response SLA Minutes])</f>
        <v>30</v>
      </c>
      <c r="M833" t="str">
        <f>IF(tbl_analysis_tickets[[#This Row],[resolution_time_hours]]&gt;tbl_analysis_tickets[[#This Row],[Resolution SLA Hours]],"Breached","Within SLA")</f>
        <v>Breached</v>
      </c>
      <c r="N833" t="str">
        <f>IF(tbl_analysis_tickets[[#This Row],[first_response_minutes]]&gt;tbl_analysis_tickets[[#This Row],[First Response SLA Minutes]],"Breached","Within SLA")</f>
        <v>Breached</v>
      </c>
      <c r="O833" t="str" cm="1">
        <f t="array" ref="O833">_xlfn.IFS(
tbl_analysis_tickets[[#This Row],[agent_experience_years]]&lt;=2,"Junior",
tbl_analysis_tickets[[#This Row],[agent_experience_years]]&lt;=5,"Mid-Level",
tbl_analysis_tickets[[#This Row],[agent_experience_years]]&lt;=8,"Senior",
tbl_analysis_tickets[[#This Row],[agent_experience_years]]&gt;8,"Expert"
)</f>
        <v>Mid-Level</v>
      </c>
      <c r="P833" cm="1">
        <f t="array" ref="P833">_xlfn.SWITCH(tbl_analysis_tickets[[#This Row],[customer_satisfaction]],
"Low",1,
"Medium",2,
"High",3
)</f>
        <v>1</v>
      </c>
      <c r="Q833">
        <f>IF(tbl_analysis_tickets[[#This Row],[reopened]]="Yes",1,0)</f>
        <v>0</v>
      </c>
      <c r="R833" t="str" cm="1">
        <f t="array" ref="R833">_xlfn.IFS(
tbl_analysis_tickets[[#This Row],[first_response_minutes]]&lt;=30,"Very Fast",
tbl_analysis_tickets[[#This Row],[first_response_minutes]]&lt;=120,"Acceptable",
tbl_analysis_tickets[[#This Row],[first_response_minutes]]&lt;=240,"Slow",
tbl_analysis_tickets[[#This Row],[first_response_minutes]]&gt;240,"Very Slow"
)</f>
        <v>Slow</v>
      </c>
      <c r="S833" t="str" cm="1">
        <f t="array" ref="S83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833" t="str">
        <f>TEXT(tbl_analysis_tickets[[#This Row],[created_date]],"mmm-yyyy")</f>
        <v>Jul-2024</v>
      </c>
      <c r="U833" t="str">
        <f>TEXT(tbl_analysis_tickets[[#This Row],[created_date]],"dddd")</f>
        <v>Saturday</v>
      </c>
      <c r="V833" cm="1">
        <f t="array" ref="V833">_xlfn.SWITCH(tbl_analysis_tickets[[#This Row],[priority]],
"Urgent",1,
"High",2,
"Medium",3,
"Low",4
)</f>
        <v>1</v>
      </c>
    </row>
    <row r="834" spans="1:22" x14ac:dyDescent="0.25">
      <c r="A834">
        <v>833</v>
      </c>
      <c r="B834" s="1">
        <v>45510</v>
      </c>
      <c r="C834" t="s">
        <v>22</v>
      </c>
      <c r="D834" t="s">
        <v>11</v>
      </c>
      <c r="E834">
        <v>78</v>
      </c>
      <c r="F834">
        <v>16</v>
      </c>
      <c r="G834">
        <v>2.4</v>
      </c>
      <c r="H834" t="s">
        <v>12</v>
      </c>
      <c r="I834" t="s">
        <v>19</v>
      </c>
      <c r="J834" t="s">
        <v>11</v>
      </c>
      <c r="K834">
        <f>_xlfn.XLOOKUP(tbl_analysis_tickets[[#This Row],[priority]],tbl_sla[priority],tbl_sla[Resolution SLA Hours])</f>
        <v>72</v>
      </c>
      <c r="L834">
        <f>_xlfn.XLOOKUP(tbl_analysis_tickets[[#This Row],[priority]],tbl_sla[priority],tbl_sla[First Response SLA Minutes])</f>
        <v>240</v>
      </c>
      <c r="M834" t="str">
        <f>IF(tbl_analysis_tickets[[#This Row],[resolution_time_hours]]&gt;tbl_analysis_tickets[[#This Row],[Resolution SLA Hours]],"Breached","Within SLA")</f>
        <v>Within SLA</v>
      </c>
      <c r="N834" t="str">
        <f>IF(tbl_analysis_tickets[[#This Row],[first_response_minutes]]&gt;tbl_analysis_tickets[[#This Row],[First Response SLA Minutes]],"Breached","Within SLA")</f>
        <v>Within SLA</v>
      </c>
      <c r="O834" t="str" cm="1">
        <f t="array" ref="O834">_xlfn.IFS(
tbl_analysis_tickets[[#This Row],[agent_experience_years]]&lt;=2,"Junior",
tbl_analysis_tickets[[#This Row],[agent_experience_years]]&lt;=5,"Mid-Level",
tbl_analysis_tickets[[#This Row],[agent_experience_years]]&lt;=8,"Senior",
tbl_analysis_tickets[[#This Row],[agent_experience_years]]&gt;8,"Expert"
)</f>
        <v>Mid-Level</v>
      </c>
      <c r="P834" cm="1">
        <f t="array" ref="P834">_xlfn.SWITCH(tbl_analysis_tickets[[#This Row],[customer_satisfaction]],
"Low",1,
"Medium",2,
"High",3
)</f>
        <v>1</v>
      </c>
      <c r="Q834">
        <f>IF(tbl_analysis_tickets[[#This Row],[reopened]]="Yes",1,0)</f>
        <v>1</v>
      </c>
      <c r="R834" t="str" cm="1">
        <f t="array" ref="R834">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834" t="str" cm="1">
        <f t="array" ref="S83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834" t="str">
        <f>TEXT(tbl_analysis_tickets[[#This Row],[created_date]],"mmm-yyyy")</f>
        <v>Aug-2024</v>
      </c>
      <c r="U834" t="str">
        <f>TEXT(tbl_analysis_tickets[[#This Row],[created_date]],"dddd")</f>
        <v>Tuesday</v>
      </c>
      <c r="V834" cm="1">
        <f t="array" ref="V834">_xlfn.SWITCH(tbl_analysis_tickets[[#This Row],[priority]],
"Urgent",1,
"High",2,
"Medium",3,
"Low",4
)</f>
        <v>4</v>
      </c>
    </row>
    <row r="835" spans="1:22" x14ac:dyDescent="0.25">
      <c r="A835">
        <v>834</v>
      </c>
      <c r="B835" s="1">
        <v>45404</v>
      </c>
      <c r="C835" t="s">
        <v>14</v>
      </c>
      <c r="D835" t="s">
        <v>20</v>
      </c>
      <c r="E835">
        <v>63</v>
      </c>
      <c r="F835">
        <v>28</v>
      </c>
      <c r="G835">
        <v>4.7</v>
      </c>
      <c r="H835" t="s">
        <v>18</v>
      </c>
      <c r="I835" t="s">
        <v>13</v>
      </c>
      <c r="J835" t="s">
        <v>11</v>
      </c>
      <c r="K835">
        <f>_xlfn.XLOOKUP(tbl_analysis_tickets[[#This Row],[priority]],tbl_sla[priority],tbl_sla[Resolution SLA Hours])</f>
        <v>24</v>
      </c>
      <c r="L835">
        <f>_xlfn.XLOOKUP(tbl_analysis_tickets[[#This Row],[priority]],tbl_sla[priority],tbl_sla[First Response SLA Minutes])</f>
        <v>60</v>
      </c>
      <c r="M835" t="str">
        <f>IF(tbl_analysis_tickets[[#This Row],[resolution_time_hours]]&gt;tbl_analysis_tickets[[#This Row],[Resolution SLA Hours]],"Breached","Within SLA")</f>
        <v>Breached</v>
      </c>
      <c r="N835" t="str">
        <f>IF(tbl_analysis_tickets[[#This Row],[first_response_minutes]]&gt;tbl_analysis_tickets[[#This Row],[First Response SLA Minutes]],"Breached","Within SLA")</f>
        <v>Breached</v>
      </c>
      <c r="O835" t="str" cm="1">
        <f t="array" ref="O835">_xlfn.IFS(
tbl_analysis_tickets[[#This Row],[agent_experience_years]]&lt;=2,"Junior",
tbl_analysis_tickets[[#This Row],[agent_experience_years]]&lt;=5,"Mid-Level",
tbl_analysis_tickets[[#This Row],[agent_experience_years]]&lt;=8,"Senior",
tbl_analysis_tickets[[#This Row],[agent_experience_years]]&gt;8,"Expert"
)</f>
        <v>Mid-Level</v>
      </c>
      <c r="P835" cm="1">
        <f t="array" ref="P835">_xlfn.SWITCH(tbl_analysis_tickets[[#This Row],[customer_satisfaction]],
"Low",1,
"Medium",2,
"High",3
)</f>
        <v>1</v>
      </c>
      <c r="Q835">
        <f>IF(tbl_analysis_tickets[[#This Row],[reopened]]="Yes",1,0)</f>
        <v>0</v>
      </c>
      <c r="R835" t="str" cm="1">
        <f t="array" ref="R835">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835" t="str" cm="1">
        <f t="array" ref="S83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835" t="str">
        <f>TEXT(tbl_analysis_tickets[[#This Row],[created_date]],"mmm-yyyy")</f>
        <v>Apr-2024</v>
      </c>
      <c r="U835" t="str">
        <f>TEXT(tbl_analysis_tickets[[#This Row],[created_date]],"dddd")</f>
        <v>Monday</v>
      </c>
      <c r="V835" cm="1">
        <f t="array" ref="V835">_xlfn.SWITCH(tbl_analysis_tickets[[#This Row],[priority]],
"Urgent",1,
"High",2,
"Medium",3,
"Low",4
)</f>
        <v>2</v>
      </c>
    </row>
    <row r="836" spans="1:22" x14ac:dyDescent="0.25">
      <c r="A836">
        <v>835</v>
      </c>
      <c r="B836" s="1">
        <v>45536</v>
      </c>
      <c r="C836" t="s">
        <v>22</v>
      </c>
      <c r="D836" t="s">
        <v>15</v>
      </c>
      <c r="E836">
        <v>200</v>
      </c>
      <c r="F836">
        <v>55</v>
      </c>
      <c r="G836">
        <v>7.7</v>
      </c>
      <c r="H836" t="s">
        <v>12</v>
      </c>
      <c r="I836" t="s">
        <v>13</v>
      </c>
      <c r="J836" t="s">
        <v>11</v>
      </c>
      <c r="K836">
        <f>_xlfn.XLOOKUP(tbl_analysis_tickets[[#This Row],[priority]],tbl_sla[priority],tbl_sla[Resolution SLA Hours])</f>
        <v>48</v>
      </c>
      <c r="L836">
        <f>_xlfn.XLOOKUP(tbl_analysis_tickets[[#This Row],[priority]],tbl_sla[priority],tbl_sla[First Response SLA Minutes])</f>
        <v>120</v>
      </c>
      <c r="M836" t="str">
        <f>IF(tbl_analysis_tickets[[#This Row],[resolution_time_hours]]&gt;tbl_analysis_tickets[[#This Row],[Resolution SLA Hours]],"Breached","Within SLA")</f>
        <v>Breached</v>
      </c>
      <c r="N836" t="str">
        <f>IF(tbl_analysis_tickets[[#This Row],[first_response_minutes]]&gt;tbl_analysis_tickets[[#This Row],[First Response SLA Minutes]],"Breached","Within SLA")</f>
        <v>Breached</v>
      </c>
      <c r="O836" t="str" cm="1">
        <f t="array" ref="O836">_xlfn.IFS(
tbl_analysis_tickets[[#This Row],[agent_experience_years]]&lt;=2,"Junior",
tbl_analysis_tickets[[#This Row],[agent_experience_years]]&lt;=5,"Mid-Level",
tbl_analysis_tickets[[#This Row],[agent_experience_years]]&lt;=8,"Senior",
tbl_analysis_tickets[[#This Row],[agent_experience_years]]&gt;8,"Expert"
)</f>
        <v>Senior</v>
      </c>
      <c r="P836" cm="1">
        <f t="array" ref="P836">_xlfn.SWITCH(tbl_analysis_tickets[[#This Row],[customer_satisfaction]],
"Low",1,
"Medium",2,
"High",3
)</f>
        <v>1</v>
      </c>
      <c r="Q836">
        <f>IF(tbl_analysis_tickets[[#This Row],[reopened]]="Yes",1,0)</f>
        <v>1</v>
      </c>
      <c r="R836" t="str" cm="1">
        <f t="array" ref="R836">_xlfn.IFS(
tbl_analysis_tickets[[#This Row],[first_response_minutes]]&lt;=30,"Very Fast",
tbl_analysis_tickets[[#This Row],[first_response_minutes]]&lt;=120,"Acceptable",
tbl_analysis_tickets[[#This Row],[first_response_minutes]]&lt;=240,"Slow",
tbl_analysis_tickets[[#This Row],[first_response_minutes]]&gt;240,"Very Slow"
)</f>
        <v>Slow</v>
      </c>
      <c r="S836" t="str" cm="1">
        <f t="array" ref="S83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836" t="str">
        <f>TEXT(tbl_analysis_tickets[[#This Row],[created_date]],"mmm-yyyy")</f>
        <v>Sep-2024</v>
      </c>
      <c r="U836" t="str">
        <f>TEXT(tbl_analysis_tickets[[#This Row],[created_date]],"dddd")</f>
        <v>Sunday</v>
      </c>
      <c r="V836" cm="1">
        <f t="array" ref="V836">_xlfn.SWITCH(tbl_analysis_tickets[[#This Row],[priority]],
"Urgent",1,
"High",2,
"Medium",3,
"Low",4
)</f>
        <v>3</v>
      </c>
    </row>
    <row r="837" spans="1:22" x14ac:dyDescent="0.25">
      <c r="A837">
        <v>836</v>
      </c>
      <c r="B837" s="1">
        <v>45426</v>
      </c>
      <c r="C837" t="s">
        <v>10</v>
      </c>
      <c r="D837" t="s">
        <v>17</v>
      </c>
      <c r="E837">
        <v>236</v>
      </c>
      <c r="F837">
        <v>34</v>
      </c>
      <c r="G837">
        <v>3.1</v>
      </c>
      <c r="H837" t="s">
        <v>12</v>
      </c>
      <c r="I837" t="s">
        <v>13</v>
      </c>
      <c r="J837" t="s">
        <v>11</v>
      </c>
      <c r="K837">
        <f>_xlfn.XLOOKUP(tbl_analysis_tickets[[#This Row],[priority]],tbl_sla[priority],tbl_sla[Resolution SLA Hours])</f>
        <v>8</v>
      </c>
      <c r="L837">
        <f>_xlfn.XLOOKUP(tbl_analysis_tickets[[#This Row],[priority]],tbl_sla[priority],tbl_sla[First Response SLA Minutes])</f>
        <v>30</v>
      </c>
      <c r="M837" t="str">
        <f>IF(tbl_analysis_tickets[[#This Row],[resolution_time_hours]]&gt;tbl_analysis_tickets[[#This Row],[Resolution SLA Hours]],"Breached","Within SLA")</f>
        <v>Breached</v>
      </c>
      <c r="N837" t="str">
        <f>IF(tbl_analysis_tickets[[#This Row],[first_response_minutes]]&gt;tbl_analysis_tickets[[#This Row],[First Response SLA Minutes]],"Breached","Within SLA")</f>
        <v>Breached</v>
      </c>
      <c r="O837" t="str" cm="1">
        <f t="array" ref="O837">_xlfn.IFS(
tbl_analysis_tickets[[#This Row],[agent_experience_years]]&lt;=2,"Junior",
tbl_analysis_tickets[[#This Row],[agent_experience_years]]&lt;=5,"Mid-Level",
tbl_analysis_tickets[[#This Row],[agent_experience_years]]&lt;=8,"Senior",
tbl_analysis_tickets[[#This Row],[agent_experience_years]]&gt;8,"Expert"
)</f>
        <v>Mid-Level</v>
      </c>
      <c r="P837" cm="1">
        <f t="array" ref="P837">_xlfn.SWITCH(tbl_analysis_tickets[[#This Row],[customer_satisfaction]],
"Low",1,
"Medium",2,
"High",3
)</f>
        <v>1</v>
      </c>
      <c r="Q837">
        <f>IF(tbl_analysis_tickets[[#This Row],[reopened]]="Yes",1,0)</f>
        <v>1</v>
      </c>
      <c r="R837" t="str" cm="1">
        <f t="array" ref="R837">_xlfn.IFS(
tbl_analysis_tickets[[#This Row],[first_response_minutes]]&lt;=30,"Very Fast",
tbl_analysis_tickets[[#This Row],[first_response_minutes]]&lt;=120,"Acceptable",
tbl_analysis_tickets[[#This Row],[first_response_minutes]]&lt;=240,"Slow",
tbl_analysis_tickets[[#This Row],[first_response_minutes]]&gt;240,"Very Slow"
)</f>
        <v>Slow</v>
      </c>
      <c r="S837" t="str" cm="1">
        <f t="array" ref="S83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837" t="str">
        <f>TEXT(tbl_analysis_tickets[[#This Row],[created_date]],"mmm-yyyy")</f>
        <v>May-2024</v>
      </c>
      <c r="U837" t="str">
        <f>TEXT(tbl_analysis_tickets[[#This Row],[created_date]],"dddd")</f>
        <v>Tuesday</v>
      </c>
      <c r="V837" cm="1">
        <f t="array" ref="V837">_xlfn.SWITCH(tbl_analysis_tickets[[#This Row],[priority]],
"Urgent",1,
"High",2,
"Medium",3,
"Low",4
)</f>
        <v>1</v>
      </c>
    </row>
    <row r="838" spans="1:22" x14ac:dyDescent="0.25">
      <c r="A838">
        <v>837</v>
      </c>
      <c r="B838" s="1">
        <v>45374</v>
      </c>
      <c r="C838" t="s">
        <v>14</v>
      </c>
      <c r="D838" t="s">
        <v>11</v>
      </c>
      <c r="E838">
        <v>146</v>
      </c>
      <c r="F838">
        <v>2</v>
      </c>
      <c r="G838">
        <v>1.5</v>
      </c>
      <c r="H838" t="s">
        <v>12</v>
      </c>
      <c r="I838" t="s">
        <v>13</v>
      </c>
      <c r="J838" t="s">
        <v>15</v>
      </c>
      <c r="K838">
        <f>_xlfn.XLOOKUP(tbl_analysis_tickets[[#This Row],[priority]],tbl_sla[priority],tbl_sla[Resolution SLA Hours])</f>
        <v>72</v>
      </c>
      <c r="L838">
        <f>_xlfn.XLOOKUP(tbl_analysis_tickets[[#This Row],[priority]],tbl_sla[priority],tbl_sla[First Response SLA Minutes])</f>
        <v>240</v>
      </c>
      <c r="M838" t="str">
        <f>IF(tbl_analysis_tickets[[#This Row],[resolution_time_hours]]&gt;tbl_analysis_tickets[[#This Row],[Resolution SLA Hours]],"Breached","Within SLA")</f>
        <v>Within SLA</v>
      </c>
      <c r="N838" t="str">
        <f>IF(tbl_analysis_tickets[[#This Row],[first_response_minutes]]&gt;tbl_analysis_tickets[[#This Row],[First Response SLA Minutes]],"Breached","Within SLA")</f>
        <v>Within SLA</v>
      </c>
      <c r="O838" t="str" cm="1">
        <f t="array" ref="O838">_xlfn.IFS(
tbl_analysis_tickets[[#This Row],[agent_experience_years]]&lt;=2,"Junior",
tbl_analysis_tickets[[#This Row],[agent_experience_years]]&lt;=5,"Mid-Level",
tbl_analysis_tickets[[#This Row],[agent_experience_years]]&lt;=8,"Senior",
tbl_analysis_tickets[[#This Row],[agent_experience_years]]&gt;8,"Expert"
)</f>
        <v>Junior</v>
      </c>
      <c r="P838" cm="1">
        <f t="array" ref="P838">_xlfn.SWITCH(tbl_analysis_tickets[[#This Row],[customer_satisfaction]],
"Low",1,
"Medium",2,
"High",3
)</f>
        <v>2</v>
      </c>
      <c r="Q838">
        <f>IF(tbl_analysis_tickets[[#This Row],[reopened]]="Yes",1,0)</f>
        <v>1</v>
      </c>
      <c r="R838" t="str" cm="1">
        <f t="array" ref="R838">_xlfn.IFS(
tbl_analysis_tickets[[#This Row],[first_response_minutes]]&lt;=30,"Very Fast",
tbl_analysis_tickets[[#This Row],[first_response_minutes]]&lt;=120,"Acceptable",
tbl_analysis_tickets[[#This Row],[first_response_minutes]]&lt;=240,"Slow",
tbl_analysis_tickets[[#This Row],[first_response_minutes]]&gt;240,"Very Slow"
)</f>
        <v>Slow</v>
      </c>
      <c r="S838" t="str" cm="1">
        <f t="array" ref="S83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838" t="str">
        <f>TEXT(tbl_analysis_tickets[[#This Row],[created_date]],"mmm-yyyy")</f>
        <v>Mar-2024</v>
      </c>
      <c r="U838" t="str">
        <f>TEXT(tbl_analysis_tickets[[#This Row],[created_date]],"dddd")</f>
        <v>Saturday</v>
      </c>
      <c r="V838" cm="1">
        <f t="array" ref="V838">_xlfn.SWITCH(tbl_analysis_tickets[[#This Row],[priority]],
"Urgent",1,
"High",2,
"Medium",3,
"Low",4
)</f>
        <v>4</v>
      </c>
    </row>
    <row r="839" spans="1:22" x14ac:dyDescent="0.25">
      <c r="A839">
        <v>838</v>
      </c>
      <c r="B839" s="1">
        <v>45312</v>
      </c>
      <c r="C839" t="s">
        <v>22</v>
      </c>
      <c r="D839" t="s">
        <v>20</v>
      </c>
      <c r="E839">
        <v>162</v>
      </c>
      <c r="F839">
        <v>5</v>
      </c>
      <c r="G839">
        <v>1.5</v>
      </c>
      <c r="H839" t="s">
        <v>12</v>
      </c>
      <c r="I839" t="s">
        <v>13</v>
      </c>
      <c r="J839" t="s">
        <v>11</v>
      </c>
      <c r="K839">
        <f>_xlfn.XLOOKUP(tbl_analysis_tickets[[#This Row],[priority]],tbl_sla[priority],tbl_sla[Resolution SLA Hours])</f>
        <v>24</v>
      </c>
      <c r="L839">
        <f>_xlfn.XLOOKUP(tbl_analysis_tickets[[#This Row],[priority]],tbl_sla[priority],tbl_sla[First Response SLA Minutes])</f>
        <v>60</v>
      </c>
      <c r="M839" t="str">
        <f>IF(tbl_analysis_tickets[[#This Row],[resolution_time_hours]]&gt;tbl_analysis_tickets[[#This Row],[Resolution SLA Hours]],"Breached","Within SLA")</f>
        <v>Within SLA</v>
      </c>
      <c r="N839" t="str">
        <f>IF(tbl_analysis_tickets[[#This Row],[first_response_minutes]]&gt;tbl_analysis_tickets[[#This Row],[First Response SLA Minutes]],"Breached","Within SLA")</f>
        <v>Breached</v>
      </c>
      <c r="O839" t="str" cm="1">
        <f t="array" ref="O839">_xlfn.IFS(
tbl_analysis_tickets[[#This Row],[agent_experience_years]]&lt;=2,"Junior",
tbl_analysis_tickets[[#This Row],[agent_experience_years]]&lt;=5,"Mid-Level",
tbl_analysis_tickets[[#This Row],[agent_experience_years]]&lt;=8,"Senior",
tbl_analysis_tickets[[#This Row],[agent_experience_years]]&gt;8,"Expert"
)</f>
        <v>Junior</v>
      </c>
      <c r="P839" cm="1">
        <f t="array" ref="P839">_xlfn.SWITCH(tbl_analysis_tickets[[#This Row],[customer_satisfaction]],
"Low",1,
"Medium",2,
"High",3
)</f>
        <v>1</v>
      </c>
      <c r="Q839">
        <f>IF(tbl_analysis_tickets[[#This Row],[reopened]]="Yes",1,0)</f>
        <v>1</v>
      </c>
      <c r="R839" t="str" cm="1">
        <f t="array" ref="R839">_xlfn.IFS(
tbl_analysis_tickets[[#This Row],[first_response_minutes]]&lt;=30,"Very Fast",
tbl_analysis_tickets[[#This Row],[first_response_minutes]]&lt;=120,"Acceptable",
tbl_analysis_tickets[[#This Row],[first_response_minutes]]&lt;=240,"Slow",
tbl_analysis_tickets[[#This Row],[first_response_minutes]]&gt;240,"Very Slow"
)</f>
        <v>Slow</v>
      </c>
      <c r="S839" t="str" cm="1">
        <f t="array" ref="S83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839" t="str">
        <f>TEXT(tbl_analysis_tickets[[#This Row],[created_date]],"mmm-yyyy")</f>
        <v>Jan-2024</v>
      </c>
      <c r="U839" t="str">
        <f>TEXT(tbl_analysis_tickets[[#This Row],[created_date]],"dddd")</f>
        <v>Sunday</v>
      </c>
      <c r="V839" cm="1">
        <f t="array" ref="V839">_xlfn.SWITCH(tbl_analysis_tickets[[#This Row],[priority]],
"Urgent",1,
"High",2,
"Medium",3,
"Low",4
)</f>
        <v>2</v>
      </c>
    </row>
    <row r="840" spans="1:22" x14ac:dyDescent="0.25">
      <c r="A840">
        <v>839</v>
      </c>
      <c r="B840" s="1">
        <v>45392</v>
      </c>
      <c r="C840" t="s">
        <v>21</v>
      </c>
      <c r="D840" t="s">
        <v>11</v>
      </c>
      <c r="E840">
        <v>127</v>
      </c>
      <c r="F840">
        <v>67</v>
      </c>
      <c r="G840">
        <v>5.6</v>
      </c>
      <c r="H840" t="s">
        <v>12</v>
      </c>
      <c r="I840" t="s">
        <v>16</v>
      </c>
      <c r="J840" t="s">
        <v>11</v>
      </c>
      <c r="K840">
        <f>_xlfn.XLOOKUP(tbl_analysis_tickets[[#This Row],[priority]],tbl_sla[priority],tbl_sla[Resolution SLA Hours])</f>
        <v>72</v>
      </c>
      <c r="L840">
        <f>_xlfn.XLOOKUP(tbl_analysis_tickets[[#This Row],[priority]],tbl_sla[priority],tbl_sla[First Response SLA Minutes])</f>
        <v>240</v>
      </c>
      <c r="M840" t="str">
        <f>IF(tbl_analysis_tickets[[#This Row],[resolution_time_hours]]&gt;tbl_analysis_tickets[[#This Row],[Resolution SLA Hours]],"Breached","Within SLA")</f>
        <v>Within SLA</v>
      </c>
      <c r="N840" t="str">
        <f>IF(tbl_analysis_tickets[[#This Row],[first_response_minutes]]&gt;tbl_analysis_tickets[[#This Row],[First Response SLA Minutes]],"Breached","Within SLA")</f>
        <v>Within SLA</v>
      </c>
      <c r="O840" t="str" cm="1">
        <f t="array" ref="O840">_xlfn.IFS(
tbl_analysis_tickets[[#This Row],[agent_experience_years]]&lt;=2,"Junior",
tbl_analysis_tickets[[#This Row],[agent_experience_years]]&lt;=5,"Mid-Level",
tbl_analysis_tickets[[#This Row],[agent_experience_years]]&lt;=8,"Senior",
tbl_analysis_tickets[[#This Row],[agent_experience_years]]&gt;8,"Expert"
)</f>
        <v>Senior</v>
      </c>
      <c r="P840" cm="1">
        <f t="array" ref="P840">_xlfn.SWITCH(tbl_analysis_tickets[[#This Row],[customer_satisfaction]],
"Low",1,
"Medium",2,
"High",3
)</f>
        <v>1</v>
      </c>
      <c r="Q840">
        <f>IF(tbl_analysis_tickets[[#This Row],[reopened]]="Yes",1,0)</f>
        <v>1</v>
      </c>
      <c r="R840" t="str" cm="1">
        <f t="array" ref="R840">_xlfn.IFS(
tbl_analysis_tickets[[#This Row],[first_response_minutes]]&lt;=30,"Very Fast",
tbl_analysis_tickets[[#This Row],[first_response_minutes]]&lt;=120,"Acceptable",
tbl_analysis_tickets[[#This Row],[first_response_minutes]]&lt;=240,"Slow",
tbl_analysis_tickets[[#This Row],[first_response_minutes]]&gt;240,"Very Slow"
)</f>
        <v>Slow</v>
      </c>
      <c r="S840" t="str" cm="1">
        <f t="array" ref="S84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840" t="str">
        <f>TEXT(tbl_analysis_tickets[[#This Row],[created_date]],"mmm-yyyy")</f>
        <v>Apr-2024</v>
      </c>
      <c r="U840" t="str">
        <f>TEXT(tbl_analysis_tickets[[#This Row],[created_date]],"dddd")</f>
        <v>Wednesday</v>
      </c>
      <c r="V840" cm="1">
        <f t="array" ref="V840">_xlfn.SWITCH(tbl_analysis_tickets[[#This Row],[priority]],
"Urgent",1,
"High",2,
"Medium",3,
"Low",4
)</f>
        <v>4</v>
      </c>
    </row>
    <row r="841" spans="1:22" x14ac:dyDescent="0.25">
      <c r="A841">
        <v>840</v>
      </c>
      <c r="B841" s="1">
        <v>45589</v>
      </c>
      <c r="C841" t="s">
        <v>14</v>
      </c>
      <c r="D841" t="s">
        <v>15</v>
      </c>
      <c r="E841">
        <v>104</v>
      </c>
      <c r="F841">
        <v>29</v>
      </c>
      <c r="G841">
        <v>5.9</v>
      </c>
      <c r="H841" t="s">
        <v>12</v>
      </c>
      <c r="I841" t="s">
        <v>16</v>
      </c>
      <c r="J841" t="s">
        <v>11</v>
      </c>
      <c r="K841">
        <f>_xlfn.XLOOKUP(tbl_analysis_tickets[[#This Row],[priority]],tbl_sla[priority],tbl_sla[Resolution SLA Hours])</f>
        <v>48</v>
      </c>
      <c r="L841">
        <f>_xlfn.XLOOKUP(tbl_analysis_tickets[[#This Row],[priority]],tbl_sla[priority],tbl_sla[First Response SLA Minutes])</f>
        <v>120</v>
      </c>
      <c r="M841" t="str">
        <f>IF(tbl_analysis_tickets[[#This Row],[resolution_time_hours]]&gt;tbl_analysis_tickets[[#This Row],[Resolution SLA Hours]],"Breached","Within SLA")</f>
        <v>Within SLA</v>
      </c>
      <c r="N841" t="str">
        <f>IF(tbl_analysis_tickets[[#This Row],[first_response_minutes]]&gt;tbl_analysis_tickets[[#This Row],[First Response SLA Minutes]],"Breached","Within SLA")</f>
        <v>Within SLA</v>
      </c>
      <c r="O841" t="str" cm="1">
        <f t="array" ref="O841">_xlfn.IFS(
tbl_analysis_tickets[[#This Row],[agent_experience_years]]&lt;=2,"Junior",
tbl_analysis_tickets[[#This Row],[agent_experience_years]]&lt;=5,"Mid-Level",
tbl_analysis_tickets[[#This Row],[agent_experience_years]]&lt;=8,"Senior",
tbl_analysis_tickets[[#This Row],[agent_experience_years]]&gt;8,"Expert"
)</f>
        <v>Senior</v>
      </c>
      <c r="P841" cm="1">
        <f t="array" ref="P841">_xlfn.SWITCH(tbl_analysis_tickets[[#This Row],[customer_satisfaction]],
"Low",1,
"Medium",2,
"High",3
)</f>
        <v>1</v>
      </c>
      <c r="Q841">
        <f>IF(tbl_analysis_tickets[[#This Row],[reopened]]="Yes",1,0)</f>
        <v>1</v>
      </c>
      <c r="R841" t="str" cm="1">
        <f t="array" ref="R841">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841" t="str" cm="1">
        <f t="array" ref="S84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841" t="str">
        <f>TEXT(tbl_analysis_tickets[[#This Row],[created_date]],"mmm-yyyy")</f>
        <v>Oct-2024</v>
      </c>
      <c r="U841" t="str">
        <f>TEXT(tbl_analysis_tickets[[#This Row],[created_date]],"dddd")</f>
        <v>Thursday</v>
      </c>
      <c r="V841" cm="1">
        <f t="array" ref="V841">_xlfn.SWITCH(tbl_analysis_tickets[[#This Row],[priority]],
"Urgent",1,
"High",2,
"Medium",3,
"Low",4
)</f>
        <v>3</v>
      </c>
    </row>
    <row r="842" spans="1:22" x14ac:dyDescent="0.25">
      <c r="A842">
        <v>841</v>
      </c>
      <c r="B842" s="1">
        <v>45315</v>
      </c>
      <c r="C842" t="s">
        <v>10</v>
      </c>
      <c r="D842" t="s">
        <v>20</v>
      </c>
      <c r="E842">
        <v>100</v>
      </c>
      <c r="F842">
        <v>62</v>
      </c>
      <c r="G842">
        <v>4.5</v>
      </c>
      <c r="H842" t="s">
        <v>12</v>
      </c>
      <c r="I842" t="s">
        <v>19</v>
      </c>
      <c r="J842" t="s">
        <v>11</v>
      </c>
      <c r="K842">
        <f>_xlfn.XLOOKUP(tbl_analysis_tickets[[#This Row],[priority]],tbl_sla[priority],tbl_sla[Resolution SLA Hours])</f>
        <v>24</v>
      </c>
      <c r="L842">
        <f>_xlfn.XLOOKUP(tbl_analysis_tickets[[#This Row],[priority]],tbl_sla[priority],tbl_sla[First Response SLA Minutes])</f>
        <v>60</v>
      </c>
      <c r="M842" t="str">
        <f>IF(tbl_analysis_tickets[[#This Row],[resolution_time_hours]]&gt;tbl_analysis_tickets[[#This Row],[Resolution SLA Hours]],"Breached","Within SLA")</f>
        <v>Breached</v>
      </c>
      <c r="N842" t="str">
        <f>IF(tbl_analysis_tickets[[#This Row],[first_response_minutes]]&gt;tbl_analysis_tickets[[#This Row],[First Response SLA Minutes]],"Breached","Within SLA")</f>
        <v>Breached</v>
      </c>
      <c r="O842" t="str" cm="1">
        <f t="array" ref="O842">_xlfn.IFS(
tbl_analysis_tickets[[#This Row],[agent_experience_years]]&lt;=2,"Junior",
tbl_analysis_tickets[[#This Row],[agent_experience_years]]&lt;=5,"Mid-Level",
tbl_analysis_tickets[[#This Row],[agent_experience_years]]&lt;=8,"Senior",
tbl_analysis_tickets[[#This Row],[agent_experience_years]]&gt;8,"Expert"
)</f>
        <v>Mid-Level</v>
      </c>
      <c r="P842" cm="1">
        <f t="array" ref="P842">_xlfn.SWITCH(tbl_analysis_tickets[[#This Row],[customer_satisfaction]],
"Low",1,
"Medium",2,
"High",3
)</f>
        <v>1</v>
      </c>
      <c r="Q842">
        <f>IF(tbl_analysis_tickets[[#This Row],[reopened]]="Yes",1,0)</f>
        <v>1</v>
      </c>
      <c r="R842" t="str" cm="1">
        <f t="array" ref="R842">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842" t="str" cm="1">
        <f t="array" ref="S84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842" t="str">
        <f>TEXT(tbl_analysis_tickets[[#This Row],[created_date]],"mmm-yyyy")</f>
        <v>Jan-2024</v>
      </c>
      <c r="U842" t="str">
        <f>TEXT(tbl_analysis_tickets[[#This Row],[created_date]],"dddd")</f>
        <v>Wednesday</v>
      </c>
      <c r="V842" cm="1">
        <f t="array" ref="V842">_xlfn.SWITCH(tbl_analysis_tickets[[#This Row],[priority]],
"Urgent",1,
"High",2,
"Medium",3,
"Low",4
)</f>
        <v>2</v>
      </c>
    </row>
    <row r="843" spans="1:22" x14ac:dyDescent="0.25">
      <c r="A843">
        <v>842</v>
      </c>
      <c r="B843" s="1">
        <v>45414</v>
      </c>
      <c r="C843" t="s">
        <v>23</v>
      </c>
      <c r="D843" t="s">
        <v>20</v>
      </c>
      <c r="E843">
        <v>152</v>
      </c>
      <c r="F843">
        <v>11</v>
      </c>
      <c r="G843">
        <v>5.8</v>
      </c>
      <c r="H843" t="s">
        <v>18</v>
      </c>
      <c r="I843" t="s">
        <v>16</v>
      </c>
      <c r="J843" t="s">
        <v>11</v>
      </c>
      <c r="K843">
        <f>_xlfn.XLOOKUP(tbl_analysis_tickets[[#This Row],[priority]],tbl_sla[priority],tbl_sla[Resolution SLA Hours])</f>
        <v>24</v>
      </c>
      <c r="L843">
        <f>_xlfn.XLOOKUP(tbl_analysis_tickets[[#This Row],[priority]],tbl_sla[priority],tbl_sla[First Response SLA Minutes])</f>
        <v>60</v>
      </c>
      <c r="M843" t="str">
        <f>IF(tbl_analysis_tickets[[#This Row],[resolution_time_hours]]&gt;tbl_analysis_tickets[[#This Row],[Resolution SLA Hours]],"Breached","Within SLA")</f>
        <v>Within SLA</v>
      </c>
      <c r="N843" t="str">
        <f>IF(tbl_analysis_tickets[[#This Row],[first_response_minutes]]&gt;tbl_analysis_tickets[[#This Row],[First Response SLA Minutes]],"Breached","Within SLA")</f>
        <v>Breached</v>
      </c>
      <c r="O843" t="str" cm="1">
        <f t="array" ref="O843">_xlfn.IFS(
tbl_analysis_tickets[[#This Row],[agent_experience_years]]&lt;=2,"Junior",
tbl_analysis_tickets[[#This Row],[agent_experience_years]]&lt;=5,"Mid-Level",
tbl_analysis_tickets[[#This Row],[agent_experience_years]]&lt;=8,"Senior",
tbl_analysis_tickets[[#This Row],[agent_experience_years]]&gt;8,"Expert"
)</f>
        <v>Senior</v>
      </c>
      <c r="P843" cm="1">
        <f t="array" ref="P843">_xlfn.SWITCH(tbl_analysis_tickets[[#This Row],[customer_satisfaction]],
"Low",1,
"Medium",2,
"High",3
)</f>
        <v>1</v>
      </c>
      <c r="Q843">
        <f>IF(tbl_analysis_tickets[[#This Row],[reopened]]="Yes",1,0)</f>
        <v>0</v>
      </c>
      <c r="R843" t="str" cm="1">
        <f t="array" ref="R843">_xlfn.IFS(
tbl_analysis_tickets[[#This Row],[first_response_minutes]]&lt;=30,"Very Fast",
tbl_analysis_tickets[[#This Row],[first_response_minutes]]&lt;=120,"Acceptable",
tbl_analysis_tickets[[#This Row],[first_response_minutes]]&lt;=240,"Slow",
tbl_analysis_tickets[[#This Row],[first_response_minutes]]&gt;240,"Very Slow"
)</f>
        <v>Slow</v>
      </c>
      <c r="S843" t="str" cm="1">
        <f t="array" ref="S84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843" t="str">
        <f>TEXT(tbl_analysis_tickets[[#This Row],[created_date]],"mmm-yyyy")</f>
        <v>May-2024</v>
      </c>
      <c r="U843" t="str">
        <f>TEXT(tbl_analysis_tickets[[#This Row],[created_date]],"dddd")</f>
        <v>Thursday</v>
      </c>
      <c r="V843" cm="1">
        <f t="array" ref="V843">_xlfn.SWITCH(tbl_analysis_tickets[[#This Row],[priority]],
"Urgent",1,
"High",2,
"Medium",3,
"Low",4
)</f>
        <v>2</v>
      </c>
    </row>
    <row r="844" spans="1:22" x14ac:dyDescent="0.25">
      <c r="A844">
        <v>843</v>
      </c>
      <c r="B844" s="1">
        <v>45563</v>
      </c>
      <c r="C844" t="s">
        <v>21</v>
      </c>
      <c r="D844" t="s">
        <v>20</v>
      </c>
      <c r="E844">
        <v>89</v>
      </c>
      <c r="F844">
        <v>65</v>
      </c>
      <c r="G844">
        <v>8.1</v>
      </c>
      <c r="H844" t="s">
        <v>18</v>
      </c>
      <c r="I844" t="s">
        <v>16</v>
      </c>
      <c r="J844" t="s">
        <v>11</v>
      </c>
      <c r="K844">
        <f>_xlfn.XLOOKUP(tbl_analysis_tickets[[#This Row],[priority]],tbl_sla[priority],tbl_sla[Resolution SLA Hours])</f>
        <v>24</v>
      </c>
      <c r="L844">
        <f>_xlfn.XLOOKUP(tbl_analysis_tickets[[#This Row],[priority]],tbl_sla[priority],tbl_sla[First Response SLA Minutes])</f>
        <v>60</v>
      </c>
      <c r="M844" t="str">
        <f>IF(tbl_analysis_tickets[[#This Row],[resolution_time_hours]]&gt;tbl_analysis_tickets[[#This Row],[Resolution SLA Hours]],"Breached","Within SLA")</f>
        <v>Breached</v>
      </c>
      <c r="N844" t="str">
        <f>IF(tbl_analysis_tickets[[#This Row],[first_response_minutes]]&gt;tbl_analysis_tickets[[#This Row],[First Response SLA Minutes]],"Breached","Within SLA")</f>
        <v>Breached</v>
      </c>
      <c r="O844" t="str" cm="1">
        <f t="array" ref="O844">_xlfn.IFS(
tbl_analysis_tickets[[#This Row],[agent_experience_years]]&lt;=2,"Junior",
tbl_analysis_tickets[[#This Row],[agent_experience_years]]&lt;=5,"Mid-Level",
tbl_analysis_tickets[[#This Row],[agent_experience_years]]&lt;=8,"Senior",
tbl_analysis_tickets[[#This Row],[agent_experience_years]]&gt;8,"Expert"
)</f>
        <v>Expert</v>
      </c>
      <c r="P844" cm="1">
        <f t="array" ref="P844">_xlfn.SWITCH(tbl_analysis_tickets[[#This Row],[customer_satisfaction]],
"Low",1,
"Medium",2,
"High",3
)</f>
        <v>1</v>
      </c>
      <c r="Q844">
        <f>IF(tbl_analysis_tickets[[#This Row],[reopened]]="Yes",1,0)</f>
        <v>0</v>
      </c>
      <c r="R844" t="str" cm="1">
        <f t="array" ref="R844">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844" t="str" cm="1">
        <f t="array" ref="S84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844" t="str">
        <f>TEXT(tbl_analysis_tickets[[#This Row],[created_date]],"mmm-yyyy")</f>
        <v>Sep-2024</v>
      </c>
      <c r="U844" t="str">
        <f>TEXT(tbl_analysis_tickets[[#This Row],[created_date]],"dddd")</f>
        <v>Saturday</v>
      </c>
      <c r="V844" cm="1">
        <f t="array" ref="V844">_xlfn.SWITCH(tbl_analysis_tickets[[#This Row],[priority]],
"Urgent",1,
"High",2,
"Medium",3,
"Low",4
)</f>
        <v>2</v>
      </c>
    </row>
    <row r="845" spans="1:22" x14ac:dyDescent="0.25">
      <c r="A845">
        <v>844</v>
      </c>
      <c r="B845" s="1">
        <v>45489</v>
      </c>
      <c r="C845" t="s">
        <v>10</v>
      </c>
      <c r="D845" t="s">
        <v>15</v>
      </c>
      <c r="E845">
        <v>62</v>
      </c>
      <c r="F845">
        <v>31</v>
      </c>
      <c r="G845">
        <v>1.3</v>
      </c>
      <c r="H845" t="s">
        <v>18</v>
      </c>
      <c r="I845" t="s">
        <v>19</v>
      </c>
      <c r="J845" t="s">
        <v>11</v>
      </c>
      <c r="K845">
        <f>_xlfn.XLOOKUP(tbl_analysis_tickets[[#This Row],[priority]],tbl_sla[priority],tbl_sla[Resolution SLA Hours])</f>
        <v>48</v>
      </c>
      <c r="L845">
        <f>_xlfn.XLOOKUP(tbl_analysis_tickets[[#This Row],[priority]],tbl_sla[priority],tbl_sla[First Response SLA Minutes])</f>
        <v>120</v>
      </c>
      <c r="M845" t="str">
        <f>IF(tbl_analysis_tickets[[#This Row],[resolution_time_hours]]&gt;tbl_analysis_tickets[[#This Row],[Resolution SLA Hours]],"Breached","Within SLA")</f>
        <v>Within SLA</v>
      </c>
      <c r="N845" t="str">
        <f>IF(tbl_analysis_tickets[[#This Row],[first_response_minutes]]&gt;tbl_analysis_tickets[[#This Row],[First Response SLA Minutes]],"Breached","Within SLA")</f>
        <v>Within SLA</v>
      </c>
      <c r="O845" t="str" cm="1">
        <f t="array" ref="O845">_xlfn.IFS(
tbl_analysis_tickets[[#This Row],[agent_experience_years]]&lt;=2,"Junior",
tbl_analysis_tickets[[#This Row],[agent_experience_years]]&lt;=5,"Mid-Level",
tbl_analysis_tickets[[#This Row],[agent_experience_years]]&lt;=8,"Senior",
tbl_analysis_tickets[[#This Row],[agent_experience_years]]&gt;8,"Expert"
)</f>
        <v>Junior</v>
      </c>
      <c r="P845" cm="1">
        <f t="array" ref="P845">_xlfn.SWITCH(tbl_analysis_tickets[[#This Row],[customer_satisfaction]],
"Low",1,
"Medium",2,
"High",3
)</f>
        <v>1</v>
      </c>
      <c r="Q845">
        <f>IF(tbl_analysis_tickets[[#This Row],[reopened]]="Yes",1,0)</f>
        <v>0</v>
      </c>
      <c r="R845" t="str" cm="1">
        <f t="array" ref="R845">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845" t="str" cm="1">
        <f t="array" ref="S84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845" t="str">
        <f>TEXT(tbl_analysis_tickets[[#This Row],[created_date]],"mmm-yyyy")</f>
        <v>Jul-2024</v>
      </c>
      <c r="U845" t="str">
        <f>TEXT(tbl_analysis_tickets[[#This Row],[created_date]],"dddd")</f>
        <v>Tuesday</v>
      </c>
      <c r="V845" cm="1">
        <f t="array" ref="V845">_xlfn.SWITCH(tbl_analysis_tickets[[#This Row],[priority]],
"Urgent",1,
"High",2,
"Medium",3,
"Low",4
)</f>
        <v>3</v>
      </c>
    </row>
    <row r="846" spans="1:22" x14ac:dyDescent="0.25">
      <c r="A846">
        <v>845</v>
      </c>
      <c r="B846" s="1">
        <v>45635</v>
      </c>
      <c r="C846" t="s">
        <v>21</v>
      </c>
      <c r="D846" t="s">
        <v>17</v>
      </c>
      <c r="E846">
        <v>5</v>
      </c>
      <c r="F846">
        <v>48</v>
      </c>
      <c r="G846">
        <v>1.8</v>
      </c>
      <c r="H846" t="s">
        <v>12</v>
      </c>
      <c r="I846" t="s">
        <v>16</v>
      </c>
      <c r="J846" t="s">
        <v>11</v>
      </c>
      <c r="K846">
        <f>_xlfn.XLOOKUP(tbl_analysis_tickets[[#This Row],[priority]],tbl_sla[priority],tbl_sla[Resolution SLA Hours])</f>
        <v>8</v>
      </c>
      <c r="L846">
        <f>_xlfn.XLOOKUP(tbl_analysis_tickets[[#This Row],[priority]],tbl_sla[priority],tbl_sla[First Response SLA Minutes])</f>
        <v>30</v>
      </c>
      <c r="M846" t="str">
        <f>IF(tbl_analysis_tickets[[#This Row],[resolution_time_hours]]&gt;tbl_analysis_tickets[[#This Row],[Resolution SLA Hours]],"Breached","Within SLA")</f>
        <v>Breached</v>
      </c>
      <c r="N846" t="str">
        <f>IF(tbl_analysis_tickets[[#This Row],[first_response_minutes]]&gt;tbl_analysis_tickets[[#This Row],[First Response SLA Minutes]],"Breached","Within SLA")</f>
        <v>Within SLA</v>
      </c>
      <c r="O846" t="str" cm="1">
        <f t="array" ref="O846">_xlfn.IFS(
tbl_analysis_tickets[[#This Row],[agent_experience_years]]&lt;=2,"Junior",
tbl_analysis_tickets[[#This Row],[agent_experience_years]]&lt;=5,"Mid-Level",
tbl_analysis_tickets[[#This Row],[agent_experience_years]]&lt;=8,"Senior",
tbl_analysis_tickets[[#This Row],[agent_experience_years]]&gt;8,"Expert"
)</f>
        <v>Junior</v>
      </c>
      <c r="P846" cm="1">
        <f t="array" ref="P846">_xlfn.SWITCH(tbl_analysis_tickets[[#This Row],[customer_satisfaction]],
"Low",1,
"Medium",2,
"High",3
)</f>
        <v>1</v>
      </c>
      <c r="Q846">
        <f>IF(tbl_analysis_tickets[[#This Row],[reopened]]="Yes",1,0)</f>
        <v>1</v>
      </c>
      <c r="R846" t="str" cm="1">
        <f t="array" ref="R846">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846" t="str" cm="1">
        <f t="array" ref="S84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846" t="str">
        <f>TEXT(tbl_analysis_tickets[[#This Row],[created_date]],"mmm-yyyy")</f>
        <v>Dec-2024</v>
      </c>
      <c r="U846" t="str">
        <f>TEXT(tbl_analysis_tickets[[#This Row],[created_date]],"dddd")</f>
        <v>Monday</v>
      </c>
      <c r="V846" cm="1">
        <f t="array" ref="V846">_xlfn.SWITCH(tbl_analysis_tickets[[#This Row],[priority]],
"Urgent",1,
"High",2,
"Medium",3,
"Low",4
)</f>
        <v>1</v>
      </c>
    </row>
    <row r="847" spans="1:22" x14ac:dyDescent="0.25">
      <c r="A847">
        <v>846</v>
      </c>
      <c r="B847" s="1">
        <v>45428</v>
      </c>
      <c r="C847" t="s">
        <v>23</v>
      </c>
      <c r="D847" t="s">
        <v>20</v>
      </c>
      <c r="E847">
        <v>42</v>
      </c>
      <c r="F847">
        <v>19</v>
      </c>
      <c r="G847">
        <v>1.9</v>
      </c>
      <c r="H847" t="s">
        <v>18</v>
      </c>
      <c r="I847" t="s">
        <v>16</v>
      </c>
      <c r="J847" t="s">
        <v>11</v>
      </c>
      <c r="K847">
        <f>_xlfn.XLOOKUP(tbl_analysis_tickets[[#This Row],[priority]],tbl_sla[priority],tbl_sla[Resolution SLA Hours])</f>
        <v>24</v>
      </c>
      <c r="L847">
        <f>_xlfn.XLOOKUP(tbl_analysis_tickets[[#This Row],[priority]],tbl_sla[priority],tbl_sla[First Response SLA Minutes])</f>
        <v>60</v>
      </c>
      <c r="M847" t="str">
        <f>IF(tbl_analysis_tickets[[#This Row],[resolution_time_hours]]&gt;tbl_analysis_tickets[[#This Row],[Resolution SLA Hours]],"Breached","Within SLA")</f>
        <v>Within SLA</v>
      </c>
      <c r="N847" t="str">
        <f>IF(tbl_analysis_tickets[[#This Row],[first_response_minutes]]&gt;tbl_analysis_tickets[[#This Row],[First Response SLA Minutes]],"Breached","Within SLA")</f>
        <v>Within SLA</v>
      </c>
      <c r="O847" t="str" cm="1">
        <f t="array" ref="O847">_xlfn.IFS(
tbl_analysis_tickets[[#This Row],[agent_experience_years]]&lt;=2,"Junior",
tbl_analysis_tickets[[#This Row],[agent_experience_years]]&lt;=5,"Mid-Level",
tbl_analysis_tickets[[#This Row],[agent_experience_years]]&lt;=8,"Senior",
tbl_analysis_tickets[[#This Row],[agent_experience_years]]&gt;8,"Expert"
)</f>
        <v>Junior</v>
      </c>
      <c r="P847" cm="1">
        <f t="array" ref="P847">_xlfn.SWITCH(tbl_analysis_tickets[[#This Row],[customer_satisfaction]],
"Low",1,
"Medium",2,
"High",3
)</f>
        <v>1</v>
      </c>
      <c r="Q847">
        <f>IF(tbl_analysis_tickets[[#This Row],[reopened]]="Yes",1,0)</f>
        <v>0</v>
      </c>
      <c r="R847" t="str" cm="1">
        <f t="array" ref="R847">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847" t="str" cm="1">
        <f t="array" ref="S84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847" t="str">
        <f>TEXT(tbl_analysis_tickets[[#This Row],[created_date]],"mmm-yyyy")</f>
        <v>May-2024</v>
      </c>
      <c r="U847" t="str">
        <f>TEXT(tbl_analysis_tickets[[#This Row],[created_date]],"dddd")</f>
        <v>Thursday</v>
      </c>
      <c r="V847" cm="1">
        <f t="array" ref="V847">_xlfn.SWITCH(tbl_analysis_tickets[[#This Row],[priority]],
"Urgent",1,
"High",2,
"Medium",3,
"Low",4
)</f>
        <v>2</v>
      </c>
    </row>
    <row r="848" spans="1:22" x14ac:dyDescent="0.25">
      <c r="A848">
        <v>847</v>
      </c>
      <c r="B848" s="1">
        <v>45425</v>
      </c>
      <c r="C848" t="s">
        <v>21</v>
      </c>
      <c r="D848" t="s">
        <v>20</v>
      </c>
      <c r="E848">
        <v>89</v>
      </c>
      <c r="F848">
        <v>55</v>
      </c>
      <c r="G848">
        <v>2</v>
      </c>
      <c r="H848" t="s">
        <v>12</v>
      </c>
      <c r="I848" t="s">
        <v>19</v>
      </c>
      <c r="J848" t="s">
        <v>11</v>
      </c>
      <c r="K848">
        <f>_xlfn.XLOOKUP(tbl_analysis_tickets[[#This Row],[priority]],tbl_sla[priority],tbl_sla[Resolution SLA Hours])</f>
        <v>24</v>
      </c>
      <c r="L848">
        <f>_xlfn.XLOOKUP(tbl_analysis_tickets[[#This Row],[priority]],tbl_sla[priority],tbl_sla[First Response SLA Minutes])</f>
        <v>60</v>
      </c>
      <c r="M848" t="str">
        <f>IF(tbl_analysis_tickets[[#This Row],[resolution_time_hours]]&gt;tbl_analysis_tickets[[#This Row],[Resolution SLA Hours]],"Breached","Within SLA")</f>
        <v>Breached</v>
      </c>
      <c r="N848" t="str">
        <f>IF(tbl_analysis_tickets[[#This Row],[first_response_minutes]]&gt;tbl_analysis_tickets[[#This Row],[First Response SLA Minutes]],"Breached","Within SLA")</f>
        <v>Breached</v>
      </c>
      <c r="O848" t="str" cm="1">
        <f t="array" ref="O848">_xlfn.IFS(
tbl_analysis_tickets[[#This Row],[agent_experience_years]]&lt;=2,"Junior",
tbl_analysis_tickets[[#This Row],[agent_experience_years]]&lt;=5,"Mid-Level",
tbl_analysis_tickets[[#This Row],[agent_experience_years]]&lt;=8,"Senior",
tbl_analysis_tickets[[#This Row],[agent_experience_years]]&gt;8,"Expert"
)</f>
        <v>Junior</v>
      </c>
      <c r="P848" cm="1">
        <f t="array" ref="P848">_xlfn.SWITCH(tbl_analysis_tickets[[#This Row],[customer_satisfaction]],
"Low",1,
"Medium",2,
"High",3
)</f>
        <v>1</v>
      </c>
      <c r="Q848">
        <f>IF(tbl_analysis_tickets[[#This Row],[reopened]]="Yes",1,0)</f>
        <v>1</v>
      </c>
      <c r="R848" t="str" cm="1">
        <f t="array" ref="R848">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848" t="str" cm="1">
        <f t="array" ref="S84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848" t="str">
        <f>TEXT(tbl_analysis_tickets[[#This Row],[created_date]],"mmm-yyyy")</f>
        <v>May-2024</v>
      </c>
      <c r="U848" t="str">
        <f>TEXT(tbl_analysis_tickets[[#This Row],[created_date]],"dddd")</f>
        <v>Monday</v>
      </c>
      <c r="V848" cm="1">
        <f t="array" ref="V848">_xlfn.SWITCH(tbl_analysis_tickets[[#This Row],[priority]],
"Urgent",1,
"High",2,
"Medium",3,
"Low",4
)</f>
        <v>2</v>
      </c>
    </row>
    <row r="849" spans="1:22" x14ac:dyDescent="0.25">
      <c r="A849">
        <v>848</v>
      </c>
      <c r="B849" s="1">
        <v>45466</v>
      </c>
      <c r="C849" t="s">
        <v>22</v>
      </c>
      <c r="D849" t="s">
        <v>20</v>
      </c>
      <c r="E849">
        <v>211</v>
      </c>
      <c r="F849">
        <v>11</v>
      </c>
      <c r="G849">
        <v>6.6</v>
      </c>
      <c r="H849" t="s">
        <v>12</v>
      </c>
      <c r="I849" t="s">
        <v>19</v>
      </c>
      <c r="J849" t="s">
        <v>11</v>
      </c>
      <c r="K849">
        <f>_xlfn.XLOOKUP(tbl_analysis_tickets[[#This Row],[priority]],tbl_sla[priority],tbl_sla[Resolution SLA Hours])</f>
        <v>24</v>
      </c>
      <c r="L849">
        <f>_xlfn.XLOOKUP(tbl_analysis_tickets[[#This Row],[priority]],tbl_sla[priority],tbl_sla[First Response SLA Minutes])</f>
        <v>60</v>
      </c>
      <c r="M849" t="str">
        <f>IF(tbl_analysis_tickets[[#This Row],[resolution_time_hours]]&gt;tbl_analysis_tickets[[#This Row],[Resolution SLA Hours]],"Breached","Within SLA")</f>
        <v>Within SLA</v>
      </c>
      <c r="N849" t="str">
        <f>IF(tbl_analysis_tickets[[#This Row],[first_response_minutes]]&gt;tbl_analysis_tickets[[#This Row],[First Response SLA Minutes]],"Breached","Within SLA")</f>
        <v>Breached</v>
      </c>
      <c r="O849" t="str" cm="1">
        <f t="array" ref="O849">_xlfn.IFS(
tbl_analysis_tickets[[#This Row],[agent_experience_years]]&lt;=2,"Junior",
tbl_analysis_tickets[[#This Row],[agent_experience_years]]&lt;=5,"Mid-Level",
tbl_analysis_tickets[[#This Row],[agent_experience_years]]&lt;=8,"Senior",
tbl_analysis_tickets[[#This Row],[agent_experience_years]]&gt;8,"Expert"
)</f>
        <v>Senior</v>
      </c>
      <c r="P849" cm="1">
        <f t="array" ref="P849">_xlfn.SWITCH(tbl_analysis_tickets[[#This Row],[customer_satisfaction]],
"Low",1,
"Medium",2,
"High",3
)</f>
        <v>1</v>
      </c>
      <c r="Q849">
        <f>IF(tbl_analysis_tickets[[#This Row],[reopened]]="Yes",1,0)</f>
        <v>1</v>
      </c>
      <c r="R849" t="str" cm="1">
        <f t="array" ref="R849">_xlfn.IFS(
tbl_analysis_tickets[[#This Row],[first_response_minutes]]&lt;=30,"Very Fast",
tbl_analysis_tickets[[#This Row],[first_response_minutes]]&lt;=120,"Acceptable",
tbl_analysis_tickets[[#This Row],[first_response_minutes]]&lt;=240,"Slow",
tbl_analysis_tickets[[#This Row],[first_response_minutes]]&gt;240,"Very Slow"
)</f>
        <v>Slow</v>
      </c>
      <c r="S849" t="str" cm="1">
        <f t="array" ref="S84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849" t="str">
        <f>TEXT(tbl_analysis_tickets[[#This Row],[created_date]],"mmm-yyyy")</f>
        <v>Jun-2024</v>
      </c>
      <c r="U849" t="str">
        <f>TEXT(tbl_analysis_tickets[[#This Row],[created_date]],"dddd")</f>
        <v>Sunday</v>
      </c>
      <c r="V849" cm="1">
        <f t="array" ref="V849">_xlfn.SWITCH(tbl_analysis_tickets[[#This Row],[priority]],
"Urgent",1,
"High",2,
"Medium",3,
"Low",4
)</f>
        <v>2</v>
      </c>
    </row>
    <row r="850" spans="1:22" x14ac:dyDescent="0.25">
      <c r="A850">
        <v>849</v>
      </c>
      <c r="B850" s="1">
        <v>45531</v>
      </c>
      <c r="C850" t="s">
        <v>23</v>
      </c>
      <c r="D850" t="s">
        <v>20</v>
      </c>
      <c r="E850">
        <v>219</v>
      </c>
      <c r="F850">
        <v>33</v>
      </c>
      <c r="G850">
        <v>5.0999999999999996</v>
      </c>
      <c r="H850" t="s">
        <v>18</v>
      </c>
      <c r="I850" t="s">
        <v>19</v>
      </c>
      <c r="J850" t="s">
        <v>11</v>
      </c>
      <c r="K850">
        <f>_xlfn.XLOOKUP(tbl_analysis_tickets[[#This Row],[priority]],tbl_sla[priority],tbl_sla[Resolution SLA Hours])</f>
        <v>24</v>
      </c>
      <c r="L850">
        <f>_xlfn.XLOOKUP(tbl_analysis_tickets[[#This Row],[priority]],tbl_sla[priority],tbl_sla[First Response SLA Minutes])</f>
        <v>60</v>
      </c>
      <c r="M850" t="str">
        <f>IF(tbl_analysis_tickets[[#This Row],[resolution_time_hours]]&gt;tbl_analysis_tickets[[#This Row],[Resolution SLA Hours]],"Breached","Within SLA")</f>
        <v>Breached</v>
      </c>
      <c r="N850" t="str">
        <f>IF(tbl_analysis_tickets[[#This Row],[first_response_minutes]]&gt;tbl_analysis_tickets[[#This Row],[First Response SLA Minutes]],"Breached","Within SLA")</f>
        <v>Breached</v>
      </c>
      <c r="O850" t="str" cm="1">
        <f t="array" ref="O850">_xlfn.IFS(
tbl_analysis_tickets[[#This Row],[agent_experience_years]]&lt;=2,"Junior",
tbl_analysis_tickets[[#This Row],[agent_experience_years]]&lt;=5,"Mid-Level",
tbl_analysis_tickets[[#This Row],[agent_experience_years]]&lt;=8,"Senior",
tbl_analysis_tickets[[#This Row],[agent_experience_years]]&gt;8,"Expert"
)</f>
        <v>Senior</v>
      </c>
      <c r="P850" cm="1">
        <f t="array" ref="P850">_xlfn.SWITCH(tbl_analysis_tickets[[#This Row],[customer_satisfaction]],
"Low",1,
"Medium",2,
"High",3
)</f>
        <v>1</v>
      </c>
      <c r="Q850">
        <f>IF(tbl_analysis_tickets[[#This Row],[reopened]]="Yes",1,0)</f>
        <v>0</v>
      </c>
      <c r="R850" t="str" cm="1">
        <f t="array" ref="R850">_xlfn.IFS(
tbl_analysis_tickets[[#This Row],[first_response_minutes]]&lt;=30,"Very Fast",
tbl_analysis_tickets[[#This Row],[first_response_minutes]]&lt;=120,"Acceptable",
tbl_analysis_tickets[[#This Row],[first_response_minutes]]&lt;=240,"Slow",
tbl_analysis_tickets[[#This Row],[first_response_minutes]]&gt;240,"Very Slow"
)</f>
        <v>Slow</v>
      </c>
      <c r="S850" t="str" cm="1">
        <f t="array" ref="S85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850" t="str">
        <f>TEXT(tbl_analysis_tickets[[#This Row],[created_date]],"mmm-yyyy")</f>
        <v>Aug-2024</v>
      </c>
      <c r="U850" t="str">
        <f>TEXT(tbl_analysis_tickets[[#This Row],[created_date]],"dddd")</f>
        <v>Tuesday</v>
      </c>
      <c r="V850" cm="1">
        <f t="array" ref="V850">_xlfn.SWITCH(tbl_analysis_tickets[[#This Row],[priority]],
"Urgent",1,
"High",2,
"Medium",3,
"Low",4
)</f>
        <v>2</v>
      </c>
    </row>
    <row r="851" spans="1:22" x14ac:dyDescent="0.25">
      <c r="A851">
        <v>850</v>
      </c>
      <c r="B851" s="1">
        <v>45462</v>
      </c>
      <c r="C851" t="s">
        <v>21</v>
      </c>
      <c r="D851" t="s">
        <v>20</v>
      </c>
      <c r="E851">
        <v>81</v>
      </c>
      <c r="F851">
        <v>36</v>
      </c>
      <c r="G851">
        <v>6.9</v>
      </c>
      <c r="H851" t="s">
        <v>12</v>
      </c>
      <c r="I851" t="s">
        <v>13</v>
      </c>
      <c r="J851" t="s">
        <v>11</v>
      </c>
      <c r="K851">
        <f>_xlfn.XLOOKUP(tbl_analysis_tickets[[#This Row],[priority]],tbl_sla[priority],tbl_sla[Resolution SLA Hours])</f>
        <v>24</v>
      </c>
      <c r="L851">
        <f>_xlfn.XLOOKUP(tbl_analysis_tickets[[#This Row],[priority]],tbl_sla[priority],tbl_sla[First Response SLA Minutes])</f>
        <v>60</v>
      </c>
      <c r="M851" t="str">
        <f>IF(tbl_analysis_tickets[[#This Row],[resolution_time_hours]]&gt;tbl_analysis_tickets[[#This Row],[Resolution SLA Hours]],"Breached","Within SLA")</f>
        <v>Breached</v>
      </c>
      <c r="N851" t="str">
        <f>IF(tbl_analysis_tickets[[#This Row],[first_response_minutes]]&gt;tbl_analysis_tickets[[#This Row],[First Response SLA Minutes]],"Breached","Within SLA")</f>
        <v>Breached</v>
      </c>
      <c r="O851" t="str" cm="1">
        <f t="array" ref="O851">_xlfn.IFS(
tbl_analysis_tickets[[#This Row],[agent_experience_years]]&lt;=2,"Junior",
tbl_analysis_tickets[[#This Row],[agent_experience_years]]&lt;=5,"Mid-Level",
tbl_analysis_tickets[[#This Row],[agent_experience_years]]&lt;=8,"Senior",
tbl_analysis_tickets[[#This Row],[agent_experience_years]]&gt;8,"Expert"
)</f>
        <v>Senior</v>
      </c>
      <c r="P851" cm="1">
        <f t="array" ref="P851">_xlfn.SWITCH(tbl_analysis_tickets[[#This Row],[customer_satisfaction]],
"Low",1,
"Medium",2,
"High",3
)</f>
        <v>1</v>
      </c>
      <c r="Q851">
        <f>IF(tbl_analysis_tickets[[#This Row],[reopened]]="Yes",1,0)</f>
        <v>1</v>
      </c>
      <c r="R851" t="str" cm="1">
        <f t="array" ref="R851">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851" t="str" cm="1">
        <f t="array" ref="S85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851" t="str">
        <f>TEXT(tbl_analysis_tickets[[#This Row],[created_date]],"mmm-yyyy")</f>
        <v>Jun-2024</v>
      </c>
      <c r="U851" t="str">
        <f>TEXT(tbl_analysis_tickets[[#This Row],[created_date]],"dddd")</f>
        <v>Wednesday</v>
      </c>
      <c r="V851" cm="1">
        <f t="array" ref="V851">_xlfn.SWITCH(tbl_analysis_tickets[[#This Row],[priority]],
"Urgent",1,
"High",2,
"Medium",3,
"Low",4
)</f>
        <v>2</v>
      </c>
    </row>
    <row r="852" spans="1:22" x14ac:dyDescent="0.25">
      <c r="A852">
        <v>851</v>
      </c>
      <c r="B852" s="1">
        <v>45532</v>
      </c>
      <c r="C852" t="s">
        <v>10</v>
      </c>
      <c r="D852" t="s">
        <v>11</v>
      </c>
      <c r="E852">
        <v>181</v>
      </c>
      <c r="F852">
        <v>71</v>
      </c>
      <c r="G852">
        <v>8.1</v>
      </c>
      <c r="H852" t="s">
        <v>18</v>
      </c>
      <c r="I852" t="s">
        <v>19</v>
      </c>
      <c r="J852" t="s">
        <v>15</v>
      </c>
      <c r="K852">
        <f>_xlfn.XLOOKUP(tbl_analysis_tickets[[#This Row],[priority]],tbl_sla[priority],tbl_sla[Resolution SLA Hours])</f>
        <v>72</v>
      </c>
      <c r="L852">
        <f>_xlfn.XLOOKUP(tbl_analysis_tickets[[#This Row],[priority]],tbl_sla[priority],tbl_sla[First Response SLA Minutes])</f>
        <v>240</v>
      </c>
      <c r="M852" t="str">
        <f>IF(tbl_analysis_tickets[[#This Row],[resolution_time_hours]]&gt;tbl_analysis_tickets[[#This Row],[Resolution SLA Hours]],"Breached","Within SLA")</f>
        <v>Within SLA</v>
      </c>
      <c r="N852" t="str">
        <f>IF(tbl_analysis_tickets[[#This Row],[first_response_minutes]]&gt;tbl_analysis_tickets[[#This Row],[First Response SLA Minutes]],"Breached","Within SLA")</f>
        <v>Within SLA</v>
      </c>
      <c r="O852" t="str" cm="1">
        <f t="array" ref="O852">_xlfn.IFS(
tbl_analysis_tickets[[#This Row],[agent_experience_years]]&lt;=2,"Junior",
tbl_analysis_tickets[[#This Row],[agent_experience_years]]&lt;=5,"Mid-Level",
tbl_analysis_tickets[[#This Row],[agent_experience_years]]&lt;=8,"Senior",
tbl_analysis_tickets[[#This Row],[agent_experience_years]]&gt;8,"Expert"
)</f>
        <v>Expert</v>
      </c>
      <c r="P852" cm="1">
        <f t="array" ref="P852">_xlfn.SWITCH(tbl_analysis_tickets[[#This Row],[customer_satisfaction]],
"Low",1,
"Medium",2,
"High",3
)</f>
        <v>2</v>
      </c>
      <c r="Q852">
        <f>IF(tbl_analysis_tickets[[#This Row],[reopened]]="Yes",1,0)</f>
        <v>0</v>
      </c>
      <c r="R852" t="str" cm="1">
        <f t="array" ref="R852">_xlfn.IFS(
tbl_analysis_tickets[[#This Row],[first_response_minutes]]&lt;=30,"Very Fast",
tbl_analysis_tickets[[#This Row],[first_response_minutes]]&lt;=120,"Acceptable",
tbl_analysis_tickets[[#This Row],[first_response_minutes]]&lt;=240,"Slow",
tbl_analysis_tickets[[#This Row],[first_response_minutes]]&gt;240,"Very Slow"
)</f>
        <v>Slow</v>
      </c>
      <c r="S852" t="str" cm="1">
        <f t="array" ref="S85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852" t="str">
        <f>TEXT(tbl_analysis_tickets[[#This Row],[created_date]],"mmm-yyyy")</f>
        <v>Aug-2024</v>
      </c>
      <c r="U852" t="str">
        <f>TEXT(tbl_analysis_tickets[[#This Row],[created_date]],"dddd")</f>
        <v>Wednesday</v>
      </c>
      <c r="V852" cm="1">
        <f t="array" ref="V852">_xlfn.SWITCH(tbl_analysis_tickets[[#This Row],[priority]],
"Urgent",1,
"High",2,
"Medium",3,
"Low",4
)</f>
        <v>4</v>
      </c>
    </row>
    <row r="853" spans="1:22" x14ac:dyDescent="0.25">
      <c r="A853">
        <v>852</v>
      </c>
      <c r="B853" s="1">
        <v>45443</v>
      </c>
      <c r="C853" t="s">
        <v>22</v>
      </c>
      <c r="D853" t="s">
        <v>15</v>
      </c>
      <c r="E853">
        <v>11</v>
      </c>
      <c r="F853">
        <v>58</v>
      </c>
      <c r="G853">
        <v>1.2</v>
      </c>
      <c r="H853" t="s">
        <v>18</v>
      </c>
      <c r="I853" t="s">
        <v>16</v>
      </c>
      <c r="J853" t="s">
        <v>15</v>
      </c>
      <c r="K853">
        <f>_xlfn.XLOOKUP(tbl_analysis_tickets[[#This Row],[priority]],tbl_sla[priority],tbl_sla[Resolution SLA Hours])</f>
        <v>48</v>
      </c>
      <c r="L853">
        <f>_xlfn.XLOOKUP(tbl_analysis_tickets[[#This Row],[priority]],tbl_sla[priority],tbl_sla[First Response SLA Minutes])</f>
        <v>120</v>
      </c>
      <c r="M853" t="str">
        <f>IF(tbl_analysis_tickets[[#This Row],[resolution_time_hours]]&gt;tbl_analysis_tickets[[#This Row],[Resolution SLA Hours]],"Breached","Within SLA")</f>
        <v>Breached</v>
      </c>
      <c r="N853" t="str">
        <f>IF(tbl_analysis_tickets[[#This Row],[first_response_minutes]]&gt;tbl_analysis_tickets[[#This Row],[First Response SLA Minutes]],"Breached","Within SLA")</f>
        <v>Within SLA</v>
      </c>
      <c r="O853" t="str" cm="1">
        <f t="array" ref="O853">_xlfn.IFS(
tbl_analysis_tickets[[#This Row],[agent_experience_years]]&lt;=2,"Junior",
tbl_analysis_tickets[[#This Row],[agent_experience_years]]&lt;=5,"Mid-Level",
tbl_analysis_tickets[[#This Row],[agent_experience_years]]&lt;=8,"Senior",
tbl_analysis_tickets[[#This Row],[agent_experience_years]]&gt;8,"Expert"
)</f>
        <v>Junior</v>
      </c>
      <c r="P853" cm="1">
        <f t="array" ref="P853">_xlfn.SWITCH(tbl_analysis_tickets[[#This Row],[customer_satisfaction]],
"Low",1,
"Medium",2,
"High",3
)</f>
        <v>2</v>
      </c>
      <c r="Q853">
        <f>IF(tbl_analysis_tickets[[#This Row],[reopened]]="Yes",1,0)</f>
        <v>0</v>
      </c>
      <c r="R853" t="str" cm="1">
        <f t="array" ref="R853">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853" t="str" cm="1">
        <f t="array" ref="S85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853" t="str">
        <f>TEXT(tbl_analysis_tickets[[#This Row],[created_date]],"mmm-yyyy")</f>
        <v>May-2024</v>
      </c>
      <c r="U853" t="str">
        <f>TEXT(tbl_analysis_tickets[[#This Row],[created_date]],"dddd")</f>
        <v>Friday</v>
      </c>
      <c r="V853" cm="1">
        <f t="array" ref="V853">_xlfn.SWITCH(tbl_analysis_tickets[[#This Row],[priority]],
"Urgent",1,
"High",2,
"Medium",3,
"Low",4
)</f>
        <v>3</v>
      </c>
    </row>
    <row r="854" spans="1:22" x14ac:dyDescent="0.25">
      <c r="A854">
        <v>853</v>
      </c>
      <c r="B854" s="1">
        <v>45611</v>
      </c>
      <c r="C854" t="s">
        <v>23</v>
      </c>
      <c r="D854" t="s">
        <v>15</v>
      </c>
      <c r="E854">
        <v>34</v>
      </c>
      <c r="F854">
        <v>16</v>
      </c>
      <c r="G854">
        <v>9.1</v>
      </c>
      <c r="H854" t="s">
        <v>18</v>
      </c>
      <c r="I854" t="s">
        <v>13</v>
      </c>
      <c r="J854" t="s">
        <v>15</v>
      </c>
      <c r="K854">
        <f>_xlfn.XLOOKUP(tbl_analysis_tickets[[#This Row],[priority]],tbl_sla[priority],tbl_sla[Resolution SLA Hours])</f>
        <v>48</v>
      </c>
      <c r="L854">
        <f>_xlfn.XLOOKUP(tbl_analysis_tickets[[#This Row],[priority]],tbl_sla[priority],tbl_sla[First Response SLA Minutes])</f>
        <v>120</v>
      </c>
      <c r="M854" t="str">
        <f>IF(tbl_analysis_tickets[[#This Row],[resolution_time_hours]]&gt;tbl_analysis_tickets[[#This Row],[Resolution SLA Hours]],"Breached","Within SLA")</f>
        <v>Within SLA</v>
      </c>
      <c r="N854" t="str">
        <f>IF(tbl_analysis_tickets[[#This Row],[first_response_minutes]]&gt;tbl_analysis_tickets[[#This Row],[First Response SLA Minutes]],"Breached","Within SLA")</f>
        <v>Within SLA</v>
      </c>
      <c r="O854" t="str" cm="1">
        <f t="array" ref="O854">_xlfn.IFS(
tbl_analysis_tickets[[#This Row],[agent_experience_years]]&lt;=2,"Junior",
tbl_analysis_tickets[[#This Row],[agent_experience_years]]&lt;=5,"Mid-Level",
tbl_analysis_tickets[[#This Row],[agent_experience_years]]&lt;=8,"Senior",
tbl_analysis_tickets[[#This Row],[agent_experience_years]]&gt;8,"Expert"
)</f>
        <v>Expert</v>
      </c>
      <c r="P854" cm="1">
        <f t="array" ref="P854">_xlfn.SWITCH(tbl_analysis_tickets[[#This Row],[customer_satisfaction]],
"Low",1,
"Medium",2,
"High",3
)</f>
        <v>2</v>
      </c>
      <c r="Q854">
        <f>IF(tbl_analysis_tickets[[#This Row],[reopened]]="Yes",1,0)</f>
        <v>0</v>
      </c>
      <c r="R854" t="str" cm="1">
        <f t="array" ref="R854">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854" t="str" cm="1">
        <f t="array" ref="S85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854" t="str">
        <f>TEXT(tbl_analysis_tickets[[#This Row],[created_date]],"mmm-yyyy")</f>
        <v>Nov-2024</v>
      </c>
      <c r="U854" t="str">
        <f>TEXT(tbl_analysis_tickets[[#This Row],[created_date]],"dddd")</f>
        <v>Friday</v>
      </c>
      <c r="V854" cm="1">
        <f t="array" ref="V854">_xlfn.SWITCH(tbl_analysis_tickets[[#This Row],[priority]],
"Urgent",1,
"High",2,
"Medium",3,
"Low",4
)</f>
        <v>3</v>
      </c>
    </row>
    <row r="855" spans="1:22" x14ac:dyDescent="0.25">
      <c r="A855">
        <v>854</v>
      </c>
      <c r="B855" s="1">
        <v>45419</v>
      </c>
      <c r="C855" t="s">
        <v>23</v>
      </c>
      <c r="D855" t="s">
        <v>11</v>
      </c>
      <c r="E855">
        <v>87</v>
      </c>
      <c r="F855">
        <v>21</v>
      </c>
      <c r="G855">
        <v>1.7</v>
      </c>
      <c r="H855" t="s">
        <v>18</v>
      </c>
      <c r="I855" t="s">
        <v>19</v>
      </c>
      <c r="J855" t="s">
        <v>11</v>
      </c>
      <c r="K855">
        <f>_xlfn.XLOOKUP(tbl_analysis_tickets[[#This Row],[priority]],tbl_sla[priority],tbl_sla[Resolution SLA Hours])</f>
        <v>72</v>
      </c>
      <c r="L855">
        <f>_xlfn.XLOOKUP(tbl_analysis_tickets[[#This Row],[priority]],tbl_sla[priority],tbl_sla[First Response SLA Minutes])</f>
        <v>240</v>
      </c>
      <c r="M855" t="str">
        <f>IF(tbl_analysis_tickets[[#This Row],[resolution_time_hours]]&gt;tbl_analysis_tickets[[#This Row],[Resolution SLA Hours]],"Breached","Within SLA")</f>
        <v>Within SLA</v>
      </c>
      <c r="N855" t="str">
        <f>IF(tbl_analysis_tickets[[#This Row],[first_response_minutes]]&gt;tbl_analysis_tickets[[#This Row],[First Response SLA Minutes]],"Breached","Within SLA")</f>
        <v>Within SLA</v>
      </c>
      <c r="O855" t="str" cm="1">
        <f t="array" ref="O855">_xlfn.IFS(
tbl_analysis_tickets[[#This Row],[agent_experience_years]]&lt;=2,"Junior",
tbl_analysis_tickets[[#This Row],[agent_experience_years]]&lt;=5,"Mid-Level",
tbl_analysis_tickets[[#This Row],[agent_experience_years]]&lt;=8,"Senior",
tbl_analysis_tickets[[#This Row],[agent_experience_years]]&gt;8,"Expert"
)</f>
        <v>Junior</v>
      </c>
      <c r="P855" cm="1">
        <f t="array" ref="P855">_xlfn.SWITCH(tbl_analysis_tickets[[#This Row],[customer_satisfaction]],
"Low",1,
"Medium",2,
"High",3
)</f>
        <v>1</v>
      </c>
      <c r="Q855">
        <f>IF(tbl_analysis_tickets[[#This Row],[reopened]]="Yes",1,0)</f>
        <v>0</v>
      </c>
      <c r="R855" t="str" cm="1">
        <f t="array" ref="R855">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855" t="str" cm="1">
        <f t="array" ref="S85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855" t="str">
        <f>TEXT(tbl_analysis_tickets[[#This Row],[created_date]],"mmm-yyyy")</f>
        <v>May-2024</v>
      </c>
      <c r="U855" t="str">
        <f>TEXT(tbl_analysis_tickets[[#This Row],[created_date]],"dddd")</f>
        <v>Tuesday</v>
      </c>
      <c r="V855" cm="1">
        <f t="array" ref="V855">_xlfn.SWITCH(tbl_analysis_tickets[[#This Row],[priority]],
"Urgent",1,
"High",2,
"Medium",3,
"Low",4
)</f>
        <v>4</v>
      </c>
    </row>
    <row r="856" spans="1:22" x14ac:dyDescent="0.25">
      <c r="A856">
        <v>855</v>
      </c>
      <c r="B856" s="1">
        <v>45300</v>
      </c>
      <c r="C856" t="s">
        <v>22</v>
      </c>
      <c r="D856" t="s">
        <v>17</v>
      </c>
      <c r="E856">
        <v>73</v>
      </c>
      <c r="F856">
        <v>3</v>
      </c>
      <c r="G856">
        <v>4.9000000000000004</v>
      </c>
      <c r="H856" t="s">
        <v>12</v>
      </c>
      <c r="I856" t="s">
        <v>19</v>
      </c>
      <c r="J856" t="s">
        <v>11</v>
      </c>
      <c r="K856">
        <f>_xlfn.XLOOKUP(tbl_analysis_tickets[[#This Row],[priority]],tbl_sla[priority],tbl_sla[Resolution SLA Hours])</f>
        <v>8</v>
      </c>
      <c r="L856">
        <f>_xlfn.XLOOKUP(tbl_analysis_tickets[[#This Row],[priority]],tbl_sla[priority],tbl_sla[First Response SLA Minutes])</f>
        <v>30</v>
      </c>
      <c r="M856" t="str">
        <f>IF(tbl_analysis_tickets[[#This Row],[resolution_time_hours]]&gt;tbl_analysis_tickets[[#This Row],[Resolution SLA Hours]],"Breached","Within SLA")</f>
        <v>Within SLA</v>
      </c>
      <c r="N856" t="str">
        <f>IF(tbl_analysis_tickets[[#This Row],[first_response_minutes]]&gt;tbl_analysis_tickets[[#This Row],[First Response SLA Minutes]],"Breached","Within SLA")</f>
        <v>Breached</v>
      </c>
      <c r="O856" t="str" cm="1">
        <f t="array" ref="O856">_xlfn.IFS(
tbl_analysis_tickets[[#This Row],[agent_experience_years]]&lt;=2,"Junior",
tbl_analysis_tickets[[#This Row],[agent_experience_years]]&lt;=5,"Mid-Level",
tbl_analysis_tickets[[#This Row],[agent_experience_years]]&lt;=8,"Senior",
tbl_analysis_tickets[[#This Row],[agent_experience_years]]&gt;8,"Expert"
)</f>
        <v>Mid-Level</v>
      </c>
      <c r="P856" cm="1">
        <f t="array" ref="P856">_xlfn.SWITCH(tbl_analysis_tickets[[#This Row],[customer_satisfaction]],
"Low",1,
"Medium",2,
"High",3
)</f>
        <v>1</v>
      </c>
      <c r="Q856">
        <f>IF(tbl_analysis_tickets[[#This Row],[reopened]]="Yes",1,0)</f>
        <v>1</v>
      </c>
      <c r="R856" t="str" cm="1">
        <f t="array" ref="R856">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856" t="str" cm="1">
        <f t="array" ref="S85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856" t="str">
        <f>TEXT(tbl_analysis_tickets[[#This Row],[created_date]],"mmm-yyyy")</f>
        <v>Jan-2024</v>
      </c>
      <c r="U856" t="str">
        <f>TEXT(tbl_analysis_tickets[[#This Row],[created_date]],"dddd")</f>
        <v>Tuesday</v>
      </c>
      <c r="V856" cm="1">
        <f t="array" ref="V856">_xlfn.SWITCH(tbl_analysis_tickets[[#This Row],[priority]],
"Urgent",1,
"High",2,
"Medium",3,
"Low",4
)</f>
        <v>1</v>
      </c>
    </row>
    <row r="857" spans="1:22" x14ac:dyDescent="0.25">
      <c r="A857">
        <v>856</v>
      </c>
      <c r="B857" s="1">
        <v>45334</v>
      </c>
      <c r="C857" t="s">
        <v>14</v>
      </c>
      <c r="D857" t="s">
        <v>11</v>
      </c>
      <c r="E857">
        <v>8</v>
      </c>
      <c r="F857">
        <v>5</v>
      </c>
      <c r="G857">
        <v>5.2</v>
      </c>
      <c r="H857" t="s">
        <v>18</v>
      </c>
      <c r="I857" t="s">
        <v>16</v>
      </c>
      <c r="J857" t="s">
        <v>20</v>
      </c>
      <c r="K857">
        <f>_xlfn.XLOOKUP(tbl_analysis_tickets[[#This Row],[priority]],tbl_sla[priority],tbl_sla[Resolution SLA Hours])</f>
        <v>72</v>
      </c>
      <c r="L857">
        <f>_xlfn.XLOOKUP(tbl_analysis_tickets[[#This Row],[priority]],tbl_sla[priority],tbl_sla[First Response SLA Minutes])</f>
        <v>240</v>
      </c>
      <c r="M857" t="str">
        <f>IF(tbl_analysis_tickets[[#This Row],[resolution_time_hours]]&gt;tbl_analysis_tickets[[#This Row],[Resolution SLA Hours]],"Breached","Within SLA")</f>
        <v>Within SLA</v>
      </c>
      <c r="N857" t="str">
        <f>IF(tbl_analysis_tickets[[#This Row],[first_response_minutes]]&gt;tbl_analysis_tickets[[#This Row],[First Response SLA Minutes]],"Breached","Within SLA")</f>
        <v>Within SLA</v>
      </c>
      <c r="O857" t="str" cm="1">
        <f t="array" ref="O857">_xlfn.IFS(
tbl_analysis_tickets[[#This Row],[agent_experience_years]]&lt;=2,"Junior",
tbl_analysis_tickets[[#This Row],[agent_experience_years]]&lt;=5,"Mid-Level",
tbl_analysis_tickets[[#This Row],[agent_experience_years]]&lt;=8,"Senior",
tbl_analysis_tickets[[#This Row],[agent_experience_years]]&gt;8,"Expert"
)</f>
        <v>Senior</v>
      </c>
      <c r="P857" cm="1">
        <f t="array" ref="P857">_xlfn.SWITCH(tbl_analysis_tickets[[#This Row],[customer_satisfaction]],
"Low",1,
"Medium",2,
"High",3
)</f>
        <v>3</v>
      </c>
      <c r="Q857">
        <f>IF(tbl_analysis_tickets[[#This Row],[reopened]]="Yes",1,0)</f>
        <v>0</v>
      </c>
      <c r="R857" t="str" cm="1">
        <f t="array" ref="R857">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857" t="str" cm="1">
        <f t="array" ref="S85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857" t="str">
        <f>TEXT(tbl_analysis_tickets[[#This Row],[created_date]],"mmm-yyyy")</f>
        <v>Feb-2024</v>
      </c>
      <c r="U857" t="str">
        <f>TEXT(tbl_analysis_tickets[[#This Row],[created_date]],"dddd")</f>
        <v>Monday</v>
      </c>
      <c r="V857" cm="1">
        <f t="array" ref="V857">_xlfn.SWITCH(tbl_analysis_tickets[[#This Row],[priority]],
"Urgent",1,
"High",2,
"Medium",3,
"Low",4
)</f>
        <v>4</v>
      </c>
    </row>
    <row r="858" spans="1:22" x14ac:dyDescent="0.25">
      <c r="A858">
        <v>857</v>
      </c>
      <c r="B858" s="1">
        <v>45558</v>
      </c>
      <c r="C858" t="s">
        <v>10</v>
      </c>
      <c r="D858" t="s">
        <v>17</v>
      </c>
      <c r="E858">
        <v>113</v>
      </c>
      <c r="F858">
        <v>6</v>
      </c>
      <c r="G858">
        <v>8.1999999999999993</v>
      </c>
      <c r="H858" t="s">
        <v>18</v>
      </c>
      <c r="I858" t="s">
        <v>19</v>
      </c>
      <c r="J858" t="s">
        <v>15</v>
      </c>
      <c r="K858">
        <f>_xlfn.XLOOKUP(tbl_analysis_tickets[[#This Row],[priority]],tbl_sla[priority],tbl_sla[Resolution SLA Hours])</f>
        <v>8</v>
      </c>
      <c r="L858">
        <f>_xlfn.XLOOKUP(tbl_analysis_tickets[[#This Row],[priority]],tbl_sla[priority],tbl_sla[First Response SLA Minutes])</f>
        <v>30</v>
      </c>
      <c r="M858" t="str">
        <f>IF(tbl_analysis_tickets[[#This Row],[resolution_time_hours]]&gt;tbl_analysis_tickets[[#This Row],[Resolution SLA Hours]],"Breached","Within SLA")</f>
        <v>Within SLA</v>
      </c>
      <c r="N858" t="str">
        <f>IF(tbl_analysis_tickets[[#This Row],[first_response_minutes]]&gt;tbl_analysis_tickets[[#This Row],[First Response SLA Minutes]],"Breached","Within SLA")</f>
        <v>Breached</v>
      </c>
      <c r="O858" t="str" cm="1">
        <f t="array" ref="O858">_xlfn.IFS(
tbl_analysis_tickets[[#This Row],[agent_experience_years]]&lt;=2,"Junior",
tbl_analysis_tickets[[#This Row],[agent_experience_years]]&lt;=5,"Mid-Level",
tbl_analysis_tickets[[#This Row],[agent_experience_years]]&lt;=8,"Senior",
tbl_analysis_tickets[[#This Row],[agent_experience_years]]&gt;8,"Expert"
)</f>
        <v>Expert</v>
      </c>
      <c r="P858" cm="1">
        <f t="array" ref="P858">_xlfn.SWITCH(tbl_analysis_tickets[[#This Row],[customer_satisfaction]],
"Low",1,
"Medium",2,
"High",3
)</f>
        <v>2</v>
      </c>
      <c r="Q858">
        <f>IF(tbl_analysis_tickets[[#This Row],[reopened]]="Yes",1,0)</f>
        <v>0</v>
      </c>
      <c r="R858" t="str" cm="1">
        <f t="array" ref="R858">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858" t="str" cm="1">
        <f t="array" ref="S85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858" t="str">
        <f>TEXT(tbl_analysis_tickets[[#This Row],[created_date]],"mmm-yyyy")</f>
        <v>Sep-2024</v>
      </c>
      <c r="U858" t="str">
        <f>TEXT(tbl_analysis_tickets[[#This Row],[created_date]],"dddd")</f>
        <v>Monday</v>
      </c>
      <c r="V858" cm="1">
        <f t="array" ref="V858">_xlfn.SWITCH(tbl_analysis_tickets[[#This Row],[priority]],
"Urgent",1,
"High",2,
"Medium",3,
"Low",4
)</f>
        <v>1</v>
      </c>
    </row>
    <row r="859" spans="1:22" x14ac:dyDescent="0.25">
      <c r="A859">
        <v>858</v>
      </c>
      <c r="B859" s="1">
        <v>45649</v>
      </c>
      <c r="C859" t="s">
        <v>21</v>
      </c>
      <c r="D859" t="s">
        <v>20</v>
      </c>
      <c r="E859">
        <v>14</v>
      </c>
      <c r="F859">
        <v>20</v>
      </c>
      <c r="G859">
        <v>7.4</v>
      </c>
      <c r="H859" t="s">
        <v>18</v>
      </c>
      <c r="I859" t="s">
        <v>19</v>
      </c>
      <c r="J859" t="s">
        <v>15</v>
      </c>
      <c r="K859">
        <f>_xlfn.XLOOKUP(tbl_analysis_tickets[[#This Row],[priority]],tbl_sla[priority],tbl_sla[Resolution SLA Hours])</f>
        <v>24</v>
      </c>
      <c r="L859">
        <f>_xlfn.XLOOKUP(tbl_analysis_tickets[[#This Row],[priority]],tbl_sla[priority],tbl_sla[First Response SLA Minutes])</f>
        <v>60</v>
      </c>
      <c r="M859" t="str">
        <f>IF(tbl_analysis_tickets[[#This Row],[resolution_time_hours]]&gt;tbl_analysis_tickets[[#This Row],[Resolution SLA Hours]],"Breached","Within SLA")</f>
        <v>Within SLA</v>
      </c>
      <c r="N859" t="str">
        <f>IF(tbl_analysis_tickets[[#This Row],[first_response_minutes]]&gt;tbl_analysis_tickets[[#This Row],[First Response SLA Minutes]],"Breached","Within SLA")</f>
        <v>Within SLA</v>
      </c>
      <c r="O859" t="str" cm="1">
        <f t="array" ref="O859">_xlfn.IFS(
tbl_analysis_tickets[[#This Row],[agent_experience_years]]&lt;=2,"Junior",
tbl_analysis_tickets[[#This Row],[agent_experience_years]]&lt;=5,"Mid-Level",
tbl_analysis_tickets[[#This Row],[agent_experience_years]]&lt;=8,"Senior",
tbl_analysis_tickets[[#This Row],[agent_experience_years]]&gt;8,"Expert"
)</f>
        <v>Senior</v>
      </c>
      <c r="P859" cm="1">
        <f t="array" ref="P859">_xlfn.SWITCH(tbl_analysis_tickets[[#This Row],[customer_satisfaction]],
"Low",1,
"Medium",2,
"High",3
)</f>
        <v>2</v>
      </c>
      <c r="Q859">
        <f>IF(tbl_analysis_tickets[[#This Row],[reopened]]="Yes",1,0)</f>
        <v>0</v>
      </c>
      <c r="R859" t="str" cm="1">
        <f t="array" ref="R859">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859" t="str" cm="1">
        <f t="array" ref="S85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859" t="str">
        <f>TEXT(tbl_analysis_tickets[[#This Row],[created_date]],"mmm-yyyy")</f>
        <v>Dec-2024</v>
      </c>
      <c r="U859" t="str">
        <f>TEXT(tbl_analysis_tickets[[#This Row],[created_date]],"dddd")</f>
        <v>Monday</v>
      </c>
      <c r="V859" cm="1">
        <f t="array" ref="V859">_xlfn.SWITCH(tbl_analysis_tickets[[#This Row],[priority]],
"Urgent",1,
"High",2,
"Medium",3,
"Low",4
)</f>
        <v>2</v>
      </c>
    </row>
    <row r="860" spans="1:22" x14ac:dyDescent="0.25">
      <c r="A860">
        <v>859</v>
      </c>
      <c r="B860" s="1">
        <v>45472</v>
      </c>
      <c r="C860" t="s">
        <v>23</v>
      </c>
      <c r="D860" t="s">
        <v>17</v>
      </c>
      <c r="E860">
        <v>234</v>
      </c>
      <c r="F860">
        <v>29</v>
      </c>
      <c r="G860">
        <v>3.4</v>
      </c>
      <c r="H860" t="s">
        <v>18</v>
      </c>
      <c r="I860" t="s">
        <v>16</v>
      </c>
      <c r="J860" t="s">
        <v>11</v>
      </c>
      <c r="K860">
        <f>_xlfn.XLOOKUP(tbl_analysis_tickets[[#This Row],[priority]],tbl_sla[priority],tbl_sla[Resolution SLA Hours])</f>
        <v>8</v>
      </c>
      <c r="L860">
        <f>_xlfn.XLOOKUP(tbl_analysis_tickets[[#This Row],[priority]],tbl_sla[priority],tbl_sla[First Response SLA Minutes])</f>
        <v>30</v>
      </c>
      <c r="M860" t="str">
        <f>IF(tbl_analysis_tickets[[#This Row],[resolution_time_hours]]&gt;tbl_analysis_tickets[[#This Row],[Resolution SLA Hours]],"Breached","Within SLA")</f>
        <v>Breached</v>
      </c>
      <c r="N860" t="str">
        <f>IF(tbl_analysis_tickets[[#This Row],[first_response_minutes]]&gt;tbl_analysis_tickets[[#This Row],[First Response SLA Minutes]],"Breached","Within SLA")</f>
        <v>Breached</v>
      </c>
      <c r="O860" t="str" cm="1">
        <f t="array" ref="O860">_xlfn.IFS(
tbl_analysis_tickets[[#This Row],[agent_experience_years]]&lt;=2,"Junior",
tbl_analysis_tickets[[#This Row],[agent_experience_years]]&lt;=5,"Mid-Level",
tbl_analysis_tickets[[#This Row],[agent_experience_years]]&lt;=8,"Senior",
tbl_analysis_tickets[[#This Row],[agent_experience_years]]&gt;8,"Expert"
)</f>
        <v>Mid-Level</v>
      </c>
      <c r="P860" cm="1">
        <f t="array" ref="P860">_xlfn.SWITCH(tbl_analysis_tickets[[#This Row],[customer_satisfaction]],
"Low",1,
"Medium",2,
"High",3
)</f>
        <v>1</v>
      </c>
      <c r="Q860">
        <f>IF(tbl_analysis_tickets[[#This Row],[reopened]]="Yes",1,0)</f>
        <v>0</v>
      </c>
      <c r="R860" t="str" cm="1">
        <f t="array" ref="R860">_xlfn.IFS(
tbl_analysis_tickets[[#This Row],[first_response_minutes]]&lt;=30,"Very Fast",
tbl_analysis_tickets[[#This Row],[first_response_minutes]]&lt;=120,"Acceptable",
tbl_analysis_tickets[[#This Row],[first_response_minutes]]&lt;=240,"Slow",
tbl_analysis_tickets[[#This Row],[first_response_minutes]]&gt;240,"Very Slow"
)</f>
        <v>Slow</v>
      </c>
      <c r="S860" t="str" cm="1">
        <f t="array" ref="S86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860" t="str">
        <f>TEXT(tbl_analysis_tickets[[#This Row],[created_date]],"mmm-yyyy")</f>
        <v>Jun-2024</v>
      </c>
      <c r="U860" t="str">
        <f>TEXT(tbl_analysis_tickets[[#This Row],[created_date]],"dddd")</f>
        <v>Saturday</v>
      </c>
      <c r="V860" cm="1">
        <f t="array" ref="V860">_xlfn.SWITCH(tbl_analysis_tickets[[#This Row],[priority]],
"Urgent",1,
"High",2,
"Medium",3,
"Low",4
)</f>
        <v>1</v>
      </c>
    </row>
    <row r="861" spans="1:22" x14ac:dyDescent="0.25">
      <c r="A861">
        <v>860</v>
      </c>
      <c r="B861" s="1">
        <v>45430</v>
      </c>
      <c r="C861" t="s">
        <v>14</v>
      </c>
      <c r="D861" t="s">
        <v>17</v>
      </c>
      <c r="E861">
        <v>155</v>
      </c>
      <c r="F861">
        <v>43</v>
      </c>
      <c r="G861">
        <v>2.7</v>
      </c>
      <c r="H861" t="s">
        <v>18</v>
      </c>
      <c r="I861" t="s">
        <v>19</v>
      </c>
      <c r="J861" t="s">
        <v>11</v>
      </c>
      <c r="K861">
        <f>_xlfn.XLOOKUP(tbl_analysis_tickets[[#This Row],[priority]],tbl_sla[priority],tbl_sla[Resolution SLA Hours])</f>
        <v>8</v>
      </c>
      <c r="L861">
        <f>_xlfn.XLOOKUP(tbl_analysis_tickets[[#This Row],[priority]],tbl_sla[priority],tbl_sla[First Response SLA Minutes])</f>
        <v>30</v>
      </c>
      <c r="M861" t="str">
        <f>IF(tbl_analysis_tickets[[#This Row],[resolution_time_hours]]&gt;tbl_analysis_tickets[[#This Row],[Resolution SLA Hours]],"Breached","Within SLA")</f>
        <v>Breached</v>
      </c>
      <c r="N861" t="str">
        <f>IF(tbl_analysis_tickets[[#This Row],[first_response_minutes]]&gt;tbl_analysis_tickets[[#This Row],[First Response SLA Minutes]],"Breached","Within SLA")</f>
        <v>Breached</v>
      </c>
      <c r="O861" t="str" cm="1">
        <f t="array" ref="O861">_xlfn.IFS(
tbl_analysis_tickets[[#This Row],[agent_experience_years]]&lt;=2,"Junior",
tbl_analysis_tickets[[#This Row],[agent_experience_years]]&lt;=5,"Mid-Level",
tbl_analysis_tickets[[#This Row],[agent_experience_years]]&lt;=8,"Senior",
tbl_analysis_tickets[[#This Row],[agent_experience_years]]&gt;8,"Expert"
)</f>
        <v>Mid-Level</v>
      </c>
      <c r="P861" cm="1">
        <f t="array" ref="P861">_xlfn.SWITCH(tbl_analysis_tickets[[#This Row],[customer_satisfaction]],
"Low",1,
"Medium",2,
"High",3
)</f>
        <v>1</v>
      </c>
      <c r="Q861">
        <f>IF(tbl_analysis_tickets[[#This Row],[reopened]]="Yes",1,0)</f>
        <v>0</v>
      </c>
      <c r="R861" t="str" cm="1">
        <f t="array" ref="R861">_xlfn.IFS(
tbl_analysis_tickets[[#This Row],[first_response_minutes]]&lt;=30,"Very Fast",
tbl_analysis_tickets[[#This Row],[first_response_minutes]]&lt;=120,"Acceptable",
tbl_analysis_tickets[[#This Row],[first_response_minutes]]&lt;=240,"Slow",
tbl_analysis_tickets[[#This Row],[first_response_minutes]]&gt;240,"Very Slow"
)</f>
        <v>Slow</v>
      </c>
      <c r="S861" t="str" cm="1">
        <f t="array" ref="S86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861" t="str">
        <f>TEXT(tbl_analysis_tickets[[#This Row],[created_date]],"mmm-yyyy")</f>
        <v>May-2024</v>
      </c>
      <c r="U861" t="str">
        <f>TEXT(tbl_analysis_tickets[[#This Row],[created_date]],"dddd")</f>
        <v>Saturday</v>
      </c>
      <c r="V861" cm="1">
        <f t="array" ref="V861">_xlfn.SWITCH(tbl_analysis_tickets[[#This Row],[priority]],
"Urgent",1,
"High",2,
"Medium",3,
"Low",4
)</f>
        <v>1</v>
      </c>
    </row>
    <row r="862" spans="1:22" x14ac:dyDescent="0.25">
      <c r="A862">
        <v>861</v>
      </c>
      <c r="B862" s="1">
        <v>45629</v>
      </c>
      <c r="C862" t="s">
        <v>10</v>
      </c>
      <c r="D862" t="s">
        <v>17</v>
      </c>
      <c r="E862">
        <v>129</v>
      </c>
      <c r="F862">
        <v>72</v>
      </c>
      <c r="G862">
        <v>4</v>
      </c>
      <c r="H862" t="s">
        <v>12</v>
      </c>
      <c r="I862" t="s">
        <v>16</v>
      </c>
      <c r="J862" t="s">
        <v>11</v>
      </c>
      <c r="K862">
        <f>_xlfn.XLOOKUP(tbl_analysis_tickets[[#This Row],[priority]],tbl_sla[priority],tbl_sla[Resolution SLA Hours])</f>
        <v>8</v>
      </c>
      <c r="L862">
        <f>_xlfn.XLOOKUP(tbl_analysis_tickets[[#This Row],[priority]],tbl_sla[priority],tbl_sla[First Response SLA Minutes])</f>
        <v>30</v>
      </c>
      <c r="M862" t="str">
        <f>IF(tbl_analysis_tickets[[#This Row],[resolution_time_hours]]&gt;tbl_analysis_tickets[[#This Row],[Resolution SLA Hours]],"Breached","Within SLA")</f>
        <v>Breached</v>
      </c>
      <c r="N862" t="str">
        <f>IF(tbl_analysis_tickets[[#This Row],[first_response_minutes]]&gt;tbl_analysis_tickets[[#This Row],[First Response SLA Minutes]],"Breached","Within SLA")</f>
        <v>Breached</v>
      </c>
      <c r="O862" t="str" cm="1">
        <f t="array" ref="O862">_xlfn.IFS(
tbl_analysis_tickets[[#This Row],[agent_experience_years]]&lt;=2,"Junior",
tbl_analysis_tickets[[#This Row],[agent_experience_years]]&lt;=5,"Mid-Level",
tbl_analysis_tickets[[#This Row],[agent_experience_years]]&lt;=8,"Senior",
tbl_analysis_tickets[[#This Row],[agent_experience_years]]&gt;8,"Expert"
)</f>
        <v>Mid-Level</v>
      </c>
      <c r="P862" cm="1">
        <f t="array" ref="P862">_xlfn.SWITCH(tbl_analysis_tickets[[#This Row],[customer_satisfaction]],
"Low",1,
"Medium",2,
"High",3
)</f>
        <v>1</v>
      </c>
      <c r="Q862">
        <f>IF(tbl_analysis_tickets[[#This Row],[reopened]]="Yes",1,0)</f>
        <v>1</v>
      </c>
      <c r="R862" t="str" cm="1">
        <f t="array" ref="R862">_xlfn.IFS(
tbl_analysis_tickets[[#This Row],[first_response_minutes]]&lt;=30,"Very Fast",
tbl_analysis_tickets[[#This Row],[first_response_minutes]]&lt;=120,"Acceptable",
tbl_analysis_tickets[[#This Row],[first_response_minutes]]&lt;=240,"Slow",
tbl_analysis_tickets[[#This Row],[first_response_minutes]]&gt;240,"Very Slow"
)</f>
        <v>Slow</v>
      </c>
      <c r="S862" t="str" cm="1">
        <f t="array" ref="S86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862" t="str">
        <f>TEXT(tbl_analysis_tickets[[#This Row],[created_date]],"mmm-yyyy")</f>
        <v>Dec-2024</v>
      </c>
      <c r="U862" t="str">
        <f>TEXT(tbl_analysis_tickets[[#This Row],[created_date]],"dddd")</f>
        <v>Tuesday</v>
      </c>
      <c r="V862" cm="1">
        <f t="array" ref="V862">_xlfn.SWITCH(tbl_analysis_tickets[[#This Row],[priority]],
"Urgent",1,
"High",2,
"Medium",3,
"Low",4
)</f>
        <v>1</v>
      </c>
    </row>
    <row r="863" spans="1:22" x14ac:dyDescent="0.25">
      <c r="A863">
        <v>862</v>
      </c>
      <c r="B863" s="1">
        <v>45499</v>
      </c>
      <c r="C863" t="s">
        <v>23</v>
      </c>
      <c r="D863" t="s">
        <v>17</v>
      </c>
      <c r="E863">
        <v>210</v>
      </c>
      <c r="F863">
        <v>68</v>
      </c>
      <c r="G863">
        <v>9</v>
      </c>
      <c r="H863" t="s">
        <v>12</v>
      </c>
      <c r="I863" t="s">
        <v>16</v>
      </c>
      <c r="J863" t="s">
        <v>11</v>
      </c>
      <c r="K863">
        <f>_xlfn.XLOOKUP(tbl_analysis_tickets[[#This Row],[priority]],tbl_sla[priority],tbl_sla[Resolution SLA Hours])</f>
        <v>8</v>
      </c>
      <c r="L863">
        <f>_xlfn.XLOOKUP(tbl_analysis_tickets[[#This Row],[priority]],tbl_sla[priority],tbl_sla[First Response SLA Minutes])</f>
        <v>30</v>
      </c>
      <c r="M863" t="str">
        <f>IF(tbl_analysis_tickets[[#This Row],[resolution_time_hours]]&gt;tbl_analysis_tickets[[#This Row],[Resolution SLA Hours]],"Breached","Within SLA")</f>
        <v>Breached</v>
      </c>
      <c r="N863" t="str">
        <f>IF(tbl_analysis_tickets[[#This Row],[first_response_minutes]]&gt;tbl_analysis_tickets[[#This Row],[First Response SLA Minutes]],"Breached","Within SLA")</f>
        <v>Breached</v>
      </c>
      <c r="O863" t="str" cm="1">
        <f t="array" ref="O863">_xlfn.IFS(
tbl_analysis_tickets[[#This Row],[agent_experience_years]]&lt;=2,"Junior",
tbl_analysis_tickets[[#This Row],[agent_experience_years]]&lt;=5,"Mid-Level",
tbl_analysis_tickets[[#This Row],[agent_experience_years]]&lt;=8,"Senior",
tbl_analysis_tickets[[#This Row],[agent_experience_years]]&gt;8,"Expert"
)</f>
        <v>Expert</v>
      </c>
      <c r="P863" cm="1">
        <f t="array" ref="P863">_xlfn.SWITCH(tbl_analysis_tickets[[#This Row],[customer_satisfaction]],
"Low",1,
"Medium",2,
"High",3
)</f>
        <v>1</v>
      </c>
      <c r="Q863">
        <f>IF(tbl_analysis_tickets[[#This Row],[reopened]]="Yes",1,0)</f>
        <v>1</v>
      </c>
      <c r="R863" t="str" cm="1">
        <f t="array" ref="R863">_xlfn.IFS(
tbl_analysis_tickets[[#This Row],[first_response_minutes]]&lt;=30,"Very Fast",
tbl_analysis_tickets[[#This Row],[first_response_minutes]]&lt;=120,"Acceptable",
tbl_analysis_tickets[[#This Row],[first_response_minutes]]&lt;=240,"Slow",
tbl_analysis_tickets[[#This Row],[first_response_minutes]]&gt;240,"Very Slow"
)</f>
        <v>Slow</v>
      </c>
      <c r="S863" t="str" cm="1">
        <f t="array" ref="S86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863" t="str">
        <f>TEXT(tbl_analysis_tickets[[#This Row],[created_date]],"mmm-yyyy")</f>
        <v>Jul-2024</v>
      </c>
      <c r="U863" t="str">
        <f>TEXT(tbl_analysis_tickets[[#This Row],[created_date]],"dddd")</f>
        <v>Friday</v>
      </c>
      <c r="V863" cm="1">
        <f t="array" ref="V863">_xlfn.SWITCH(tbl_analysis_tickets[[#This Row],[priority]],
"Urgent",1,
"High",2,
"Medium",3,
"Low",4
)</f>
        <v>1</v>
      </c>
    </row>
    <row r="864" spans="1:22" x14ac:dyDescent="0.25">
      <c r="A864">
        <v>863</v>
      </c>
      <c r="B864" s="1">
        <v>45529</v>
      </c>
      <c r="C864" t="s">
        <v>10</v>
      </c>
      <c r="D864" t="s">
        <v>11</v>
      </c>
      <c r="E864">
        <v>58</v>
      </c>
      <c r="F864">
        <v>66</v>
      </c>
      <c r="G864">
        <v>7.9</v>
      </c>
      <c r="H864" t="s">
        <v>18</v>
      </c>
      <c r="I864" t="s">
        <v>13</v>
      </c>
      <c r="J864" t="s">
        <v>15</v>
      </c>
      <c r="K864">
        <f>_xlfn.XLOOKUP(tbl_analysis_tickets[[#This Row],[priority]],tbl_sla[priority],tbl_sla[Resolution SLA Hours])</f>
        <v>72</v>
      </c>
      <c r="L864">
        <f>_xlfn.XLOOKUP(tbl_analysis_tickets[[#This Row],[priority]],tbl_sla[priority],tbl_sla[First Response SLA Minutes])</f>
        <v>240</v>
      </c>
      <c r="M864" t="str">
        <f>IF(tbl_analysis_tickets[[#This Row],[resolution_time_hours]]&gt;tbl_analysis_tickets[[#This Row],[Resolution SLA Hours]],"Breached","Within SLA")</f>
        <v>Within SLA</v>
      </c>
      <c r="N864" t="str">
        <f>IF(tbl_analysis_tickets[[#This Row],[first_response_minutes]]&gt;tbl_analysis_tickets[[#This Row],[First Response SLA Minutes]],"Breached","Within SLA")</f>
        <v>Within SLA</v>
      </c>
      <c r="O864" t="str" cm="1">
        <f t="array" ref="O864">_xlfn.IFS(
tbl_analysis_tickets[[#This Row],[agent_experience_years]]&lt;=2,"Junior",
tbl_analysis_tickets[[#This Row],[agent_experience_years]]&lt;=5,"Mid-Level",
tbl_analysis_tickets[[#This Row],[agent_experience_years]]&lt;=8,"Senior",
tbl_analysis_tickets[[#This Row],[agent_experience_years]]&gt;8,"Expert"
)</f>
        <v>Senior</v>
      </c>
      <c r="P864" cm="1">
        <f t="array" ref="P864">_xlfn.SWITCH(tbl_analysis_tickets[[#This Row],[customer_satisfaction]],
"Low",1,
"Medium",2,
"High",3
)</f>
        <v>2</v>
      </c>
      <c r="Q864">
        <f>IF(tbl_analysis_tickets[[#This Row],[reopened]]="Yes",1,0)</f>
        <v>0</v>
      </c>
      <c r="R864" t="str" cm="1">
        <f t="array" ref="R864">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864" t="str" cm="1">
        <f t="array" ref="S86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864" t="str">
        <f>TEXT(tbl_analysis_tickets[[#This Row],[created_date]],"mmm-yyyy")</f>
        <v>Aug-2024</v>
      </c>
      <c r="U864" t="str">
        <f>TEXT(tbl_analysis_tickets[[#This Row],[created_date]],"dddd")</f>
        <v>Sunday</v>
      </c>
      <c r="V864" cm="1">
        <f t="array" ref="V864">_xlfn.SWITCH(tbl_analysis_tickets[[#This Row],[priority]],
"Urgent",1,
"High",2,
"Medium",3,
"Low",4
)</f>
        <v>4</v>
      </c>
    </row>
    <row r="865" spans="1:22" x14ac:dyDescent="0.25">
      <c r="A865">
        <v>864</v>
      </c>
      <c r="B865" s="1">
        <v>45318</v>
      </c>
      <c r="C865" t="s">
        <v>22</v>
      </c>
      <c r="D865" t="s">
        <v>15</v>
      </c>
      <c r="E865">
        <v>183</v>
      </c>
      <c r="F865">
        <v>55</v>
      </c>
      <c r="G865">
        <v>1.2</v>
      </c>
      <c r="H865" t="s">
        <v>18</v>
      </c>
      <c r="I865" t="s">
        <v>19</v>
      </c>
      <c r="J865" t="s">
        <v>11</v>
      </c>
      <c r="K865">
        <f>_xlfn.XLOOKUP(tbl_analysis_tickets[[#This Row],[priority]],tbl_sla[priority],tbl_sla[Resolution SLA Hours])</f>
        <v>48</v>
      </c>
      <c r="L865">
        <f>_xlfn.XLOOKUP(tbl_analysis_tickets[[#This Row],[priority]],tbl_sla[priority],tbl_sla[First Response SLA Minutes])</f>
        <v>120</v>
      </c>
      <c r="M865" t="str">
        <f>IF(tbl_analysis_tickets[[#This Row],[resolution_time_hours]]&gt;tbl_analysis_tickets[[#This Row],[Resolution SLA Hours]],"Breached","Within SLA")</f>
        <v>Breached</v>
      </c>
      <c r="N865" t="str">
        <f>IF(tbl_analysis_tickets[[#This Row],[first_response_minutes]]&gt;tbl_analysis_tickets[[#This Row],[First Response SLA Minutes]],"Breached","Within SLA")</f>
        <v>Breached</v>
      </c>
      <c r="O865" t="str" cm="1">
        <f t="array" ref="O865">_xlfn.IFS(
tbl_analysis_tickets[[#This Row],[agent_experience_years]]&lt;=2,"Junior",
tbl_analysis_tickets[[#This Row],[agent_experience_years]]&lt;=5,"Mid-Level",
tbl_analysis_tickets[[#This Row],[agent_experience_years]]&lt;=8,"Senior",
tbl_analysis_tickets[[#This Row],[agent_experience_years]]&gt;8,"Expert"
)</f>
        <v>Junior</v>
      </c>
      <c r="P865" cm="1">
        <f t="array" ref="P865">_xlfn.SWITCH(tbl_analysis_tickets[[#This Row],[customer_satisfaction]],
"Low",1,
"Medium",2,
"High",3
)</f>
        <v>1</v>
      </c>
      <c r="Q865">
        <f>IF(tbl_analysis_tickets[[#This Row],[reopened]]="Yes",1,0)</f>
        <v>0</v>
      </c>
      <c r="R865" t="str" cm="1">
        <f t="array" ref="R865">_xlfn.IFS(
tbl_analysis_tickets[[#This Row],[first_response_minutes]]&lt;=30,"Very Fast",
tbl_analysis_tickets[[#This Row],[first_response_minutes]]&lt;=120,"Acceptable",
tbl_analysis_tickets[[#This Row],[first_response_minutes]]&lt;=240,"Slow",
tbl_analysis_tickets[[#This Row],[first_response_minutes]]&gt;240,"Very Slow"
)</f>
        <v>Slow</v>
      </c>
      <c r="S865" t="str" cm="1">
        <f t="array" ref="S86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865" t="str">
        <f>TEXT(tbl_analysis_tickets[[#This Row],[created_date]],"mmm-yyyy")</f>
        <v>Jan-2024</v>
      </c>
      <c r="U865" t="str">
        <f>TEXT(tbl_analysis_tickets[[#This Row],[created_date]],"dddd")</f>
        <v>Saturday</v>
      </c>
      <c r="V865" cm="1">
        <f t="array" ref="V865">_xlfn.SWITCH(tbl_analysis_tickets[[#This Row],[priority]],
"Urgent",1,
"High",2,
"Medium",3,
"Low",4
)</f>
        <v>3</v>
      </c>
    </row>
    <row r="866" spans="1:22" x14ac:dyDescent="0.25">
      <c r="A866">
        <v>865</v>
      </c>
      <c r="B866" s="1">
        <v>45393</v>
      </c>
      <c r="C866" t="s">
        <v>21</v>
      </c>
      <c r="D866" t="s">
        <v>15</v>
      </c>
      <c r="E866">
        <v>114</v>
      </c>
      <c r="F866">
        <v>54</v>
      </c>
      <c r="G866">
        <v>8.1</v>
      </c>
      <c r="H866" t="s">
        <v>12</v>
      </c>
      <c r="I866" t="s">
        <v>19</v>
      </c>
      <c r="J866" t="s">
        <v>11</v>
      </c>
      <c r="K866">
        <f>_xlfn.XLOOKUP(tbl_analysis_tickets[[#This Row],[priority]],tbl_sla[priority],tbl_sla[Resolution SLA Hours])</f>
        <v>48</v>
      </c>
      <c r="L866">
        <f>_xlfn.XLOOKUP(tbl_analysis_tickets[[#This Row],[priority]],tbl_sla[priority],tbl_sla[First Response SLA Minutes])</f>
        <v>120</v>
      </c>
      <c r="M866" t="str">
        <f>IF(tbl_analysis_tickets[[#This Row],[resolution_time_hours]]&gt;tbl_analysis_tickets[[#This Row],[Resolution SLA Hours]],"Breached","Within SLA")</f>
        <v>Breached</v>
      </c>
      <c r="N866" t="str">
        <f>IF(tbl_analysis_tickets[[#This Row],[first_response_minutes]]&gt;tbl_analysis_tickets[[#This Row],[First Response SLA Minutes]],"Breached","Within SLA")</f>
        <v>Within SLA</v>
      </c>
      <c r="O866" t="str" cm="1">
        <f t="array" ref="O866">_xlfn.IFS(
tbl_analysis_tickets[[#This Row],[agent_experience_years]]&lt;=2,"Junior",
tbl_analysis_tickets[[#This Row],[agent_experience_years]]&lt;=5,"Mid-Level",
tbl_analysis_tickets[[#This Row],[agent_experience_years]]&lt;=8,"Senior",
tbl_analysis_tickets[[#This Row],[agent_experience_years]]&gt;8,"Expert"
)</f>
        <v>Expert</v>
      </c>
      <c r="P866" cm="1">
        <f t="array" ref="P866">_xlfn.SWITCH(tbl_analysis_tickets[[#This Row],[customer_satisfaction]],
"Low",1,
"Medium",2,
"High",3
)</f>
        <v>1</v>
      </c>
      <c r="Q866">
        <f>IF(tbl_analysis_tickets[[#This Row],[reopened]]="Yes",1,0)</f>
        <v>1</v>
      </c>
      <c r="R866" t="str" cm="1">
        <f t="array" ref="R866">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866" t="str" cm="1">
        <f t="array" ref="S86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866" t="str">
        <f>TEXT(tbl_analysis_tickets[[#This Row],[created_date]],"mmm-yyyy")</f>
        <v>Apr-2024</v>
      </c>
      <c r="U866" t="str">
        <f>TEXT(tbl_analysis_tickets[[#This Row],[created_date]],"dddd")</f>
        <v>Thursday</v>
      </c>
      <c r="V866" cm="1">
        <f t="array" ref="V866">_xlfn.SWITCH(tbl_analysis_tickets[[#This Row],[priority]],
"Urgent",1,
"High",2,
"Medium",3,
"Low",4
)</f>
        <v>3</v>
      </c>
    </row>
    <row r="867" spans="1:22" x14ac:dyDescent="0.25">
      <c r="A867">
        <v>866</v>
      </c>
      <c r="B867" s="1">
        <v>45378</v>
      </c>
      <c r="C867" t="s">
        <v>14</v>
      </c>
      <c r="D867" t="s">
        <v>17</v>
      </c>
      <c r="E867">
        <v>145</v>
      </c>
      <c r="F867">
        <v>27</v>
      </c>
      <c r="G867">
        <v>7.4</v>
      </c>
      <c r="H867" t="s">
        <v>12</v>
      </c>
      <c r="I867" t="s">
        <v>13</v>
      </c>
      <c r="J867" t="s">
        <v>11</v>
      </c>
      <c r="K867">
        <f>_xlfn.XLOOKUP(tbl_analysis_tickets[[#This Row],[priority]],tbl_sla[priority],tbl_sla[Resolution SLA Hours])</f>
        <v>8</v>
      </c>
      <c r="L867">
        <f>_xlfn.XLOOKUP(tbl_analysis_tickets[[#This Row],[priority]],tbl_sla[priority],tbl_sla[First Response SLA Minutes])</f>
        <v>30</v>
      </c>
      <c r="M867" t="str">
        <f>IF(tbl_analysis_tickets[[#This Row],[resolution_time_hours]]&gt;tbl_analysis_tickets[[#This Row],[Resolution SLA Hours]],"Breached","Within SLA")</f>
        <v>Breached</v>
      </c>
      <c r="N867" t="str">
        <f>IF(tbl_analysis_tickets[[#This Row],[first_response_minutes]]&gt;tbl_analysis_tickets[[#This Row],[First Response SLA Minutes]],"Breached","Within SLA")</f>
        <v>Breached</v>
      </c>
      <c r="O867" t="str" cm="1">
        <f t="array" ref="O867">_xlfn.IFS(
tbl_analysis_tickets[[#This Row],[agent_experience_years]]&lt;=2,"Junior",
tbl_analysis_tickets[[#This Row],[agent_experience_years]]&lt;=5,"Mid-Level",
tbl_analysis_tickets[[#This Row],[agent_experience_years]]&lt;=8,"Senior",
tbl_analysis_tickets[[#This Row],[agent_experience_years]]&gt;8,"Expert"
)</f>
        <v>Senior</v>
      </c>
      <c r="P867" cm="1">
        <f t="array" ref="P867">_xlfn.SWITCH(tbl_analysis_tickets[[#This Row],[customer_satisfaction]],
"Low",1,
"Medium",2,
"High",3
)</f>
        <v>1</v>
      </c>
      <c r="Q867">
        <f>IF(tbl_analysis_tickets[[#This Row],[reopened]]="Yes",1,0)</f>
        <v>1</v>
      </c>
      <c r="R867" t="str" cm="1">
        <f t="array" ref="R867">_xlfn.IFS(
tbl_analysis_tickets[[#This Row],[first_response_minutes]]&lt;=30,"Very Fast",
tbl_analysis_tickets[[#This Row],[first_response_minutes]]&lt;=120,"Acceptable",
tbl_analysis_tickets[[#This Row],[first_response_minutes]]&lt;=240,"Slow",
tbl_analysis_tickets[[#This Row],[first_response_minutes]]&gt;240,"Very Slow"
)</f>
        <v>Slow</v>
      </c>
      <c r="S867" t="str" cm="1">
        <f t="array" ref="S86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867" t="str">
        <f>TEXT(tbl_analysis_tickets[[#This Row],[created_date]],"mmm-yyyy")</f>
        <v>Mar-2024</v>
      </c>
      <c r="U867" t="str">
        <f>TEXT(tbl_analysis_tickets[[#This Row],[created_date]],"dddd")</f>
        <v>Wednesday</v>
      </c>
      <c r="V867" cm="1">
        <f t="array" ref="V867">_xlfn.SWITCH(tbl_analysis_tickets[[#This Row],[priority]],
"Urgent",1,
"High",2,
"Medium",3,
"Low",4
)</f>
        <v>1</v>
      </c>
    </row>
    <row r="868" spans="1:22" x14ac:dyDescent="0.25">
      <c r="A868">
        <v>867</v>
      </c>
      <c r="B868" s="1">
        <v>45373</v>
      </c>
      <c r="C868" t="s">
        <v>21</v>
      </c>
      <c r="D868" t="s">
        <v>17</v>
      </c>
      <c r="E868">
        <v>79</v>
      </c>
      <c r="F868">
        <v>50</v>
      </c>
      <c r="G868">
        <v>3.7</v>
      </c>
      <c r="H868" t="s">
        <v>12</v>
      </c>
      <c r="I868" t="s">
        <v>13</v>
      </c>
      <c r="J868" t="s">
        <v>11</v>
      </c>
      <c r="K868">
        <f>_xlfn.XLOOKUP(tbl_analysis_tickets[[#This Row],[priority]],tbl_sla[priority],tbl_sla[Resolution SLA Hours])</f>
        <v>8</v>
      </c>
      <c r="L868">
        <f>_xlfn.XLOOKUP(tbl_analysis_tickets[[#This Row],[priority]],tbl_sla[priority],tbl_sla[First Response SLA Minutes])</f>
        <v>30</v>
      </c>
      <c r="M868" t="str">
        <f>IF(tbl_analysis_tickets[[#This Row],[resolution_time_hours]]&gt;tbl_analysis_tickets[[#This Row],[Resolution SLA Hours]],"Breached","Within SLA")</f>
        <v>Breached</v>
      </c>
      <c r="N868" t="str">
        <f>IF(tbl_analysis_tickets[[#This Row],[first_response_minutes]]&gt;tbl_analysis_tickets[[#This Row],[First Response SLA Minutes]],"Breached","Within SLA")</f>
        <v>Breached</v>
      </c>
      <c r="O868" t="str" cm="1">
        <f t="array" ref="O868">_xlfn.IFS(
tbl_analysis_tickets[[#This Row],[agent_experience_years]]&lt;=2,"Junior",
tbl_analysis_tickets[[#This Row],[agent_experience_years]]&lt;=5,"Mid-Level",
tbl_analysis_tickets[[#This Row],[agent_experience_years]]&lt;=8,"Senior",
tbl_analysis_tickets[[#This Row],[agent_experience_years]]&gt;8,"Expert"
)</f>
        <v>Mid-Level</v>
      </c>
      <c r="P868" cm="1">
        <f t="array" ref="P868">_xlfn.SWITCH(tbl_analysis_tickets[[#This Row],[customer_satisfaction]],
"Low",1,
"Medium",2,
"High",3
)</f>
        <v>1</v>
      </c>
      <c r="Q868">
        <f>IF(tbl_analysis_tickets[[#This Row],[reopened]]="Yes",1,0)</f>
        <v>1</v>
      </c>
      <c r="R868" t="str" cm="1">
        <f t="array" ref="R868">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868" t="str" cm="1">
        <f t="array" ref="S86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868" t="str">
        <f>TEXT(tbl_analysis_tickets[[#This Row],[created_date]],"mmm-yyyy")</f>
        <v>Mar-2024</v>
      </c>
      <c r="U868" t="str">
        <f>TEXT(tbl_analysis_tickets[[#This Row],[created_date]],"dddd")</f>
        <v>Friday</v>
      </c>
      <c r="V868" cm="1">
        <f t="array" ref="V868">_xlfn.SWITCH(tbl_analysis_tickets[[#This Row],[priority]],
"Urgent",1,
"High",2,
"Medium",3,
"Low",4
)</f>
        <v>1</v>
      </c>
    </row>
    <row r="869" spans="1:22" x14ac:dyDescent="0.25">
      <c r="A869">
        <v>868</v>
      </c>
      <c r="B869" s="1">
        <v>45301</v>
      </c>
      <c r="C869" t="s">
        <v>14</v>
      </c>
      <c r="D869" t="s">
        <v>20</v>
      </c>
      <c r="E869">
        <v>100</v>
      </c>
      <c r="F869">
        <v>38</v>
      </c>
      <c r="G869">
        <v>9.1</v>
      </c>
      <c r="H869" t="s">
        <v>12</v>
      </c>
      <c r="I869" t="s">
        <v>19</v>
      </c>
      <c r="J869" t="s">
        <v>11</v>
      </c>
      <c r="K869">
        <f>_xlfn.XLOOKUP(tbl_analysis_tickets[[#This Row],[priority]],tbl_sla[priority],tbl_sla[Resolution SLA Hours])</f>
        <v>24</v>
      </c>
      <c r="L869">
        <f>_xlfn.XLOOKUP(tbl_analysis_tickets[[#This Row],[priority]],tbl_sla[priority],tbl_sla[First Response SLA Minutes])</f>
        <v>60</v>
      </c>
      <c r="M869" t="str">
        <f>IF(tbl_analysis_tickets[[#This Row],[resolution_time_hours]]&gt;tbl_analysis_tickets[[#This Row],[Resolution SLA Hours]],"Breached","Within SLA")</f>
        <v>Breached</v>
      </c>
      <c r="N869" t="str">
        <f>IF(tbl_analysis_tickets[[#This Row],[first_response_minutes]]&gt;tbl_analysis_tickets[[#This Row],[First Response SLA Minutes]],"Breached","Within SLA")</f>
        <v>Breached</v>
      </c>
      <c r="O869" t="str" cm="1">
        <f t="array" ref="O869">_xlfn.IFS(
tbl_analysis_tickets[[#This Row],[agent_experience_years]]&lt;=2,"Junior",
tbl_analysis_tickets[[#This Row],[agent_experience_years]]&lt;=5,"Mid-Level",
tbl_analysis_tickets[[#This Row],[agent_experience_years]]&lt;=8,"Senior",
tbl_analysis_tickets[[#This Row],[agent_experience_years]]&gt;8,"Expert"
)</f>
        <v>Expert</v>
      </c>
      <c r="P869" cm="1">
        <f t="array" ref="P869">_xlfn.SWITCH(tbl_analysis_tickets[[#This Row],[customer_satisfaction]],
"Low",1,
"Medium",2,
"High",3
)</f>
        <v>1</v>
      </c>
      <c r="Q869">
        <f>IF(tbl_analysis_tickets[[#This Row],[reopened]]="Yes",1,0)</f>
        <v>1</v>
      </c>
      <c r="R869" t="str" cm="1">
        <f t="array" ref="R869">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869" t="str" cm="1">
        <f t="array" ref="S86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869" t="str">
        <f>TEXT(tbl_analysis_tickets[[#This Row],[created_date]],"mmm-yyyy")</f>
        <v>Jan-2024</v>
      </c>
      <c r="U869" t="str">
        <f>TEXT(tbl_analysis_tickets[[#This Row],[created_date]],"dddd")</f>
        <v>Wednesday</v>
      </c>
      <c r="V869" cm="1">
        <f t="array" ref="V869">_xlfn.SWITCH(tbl_analysis_tickets[[#This Row],[priority]],
"Urgent",1,
"High",2,
"Medium",3,
"Low",4
)</f>
        <v>2</v>
      </c>
    </row>
    <row r="870" spans="1:22" x14ac:dyDescent="0.25">
      <c r="A870">
        <v>869</v>
      </c>
      <c r="B870" s="1">
        <v>45565</v>
      </c>
      <c r="C870" t="s">
        <v>14</v>
      </c>
      <c r="D870" t="s">
        <v>20</v>
      </c>
      <c r="E870">
        <v>230</v>
      </c>
      <c r="F870">
        <v>45</v>
      </c>
      <c r="G870">
        <v>2.9</v>
      </c>
      <c r="H870" t="s">
        <v>12</v>
      </c>
      <c r="I870" t="s">
        <v>16</v>
      </c>
      <c r="J870" t="s">
        <v>11</v>
      </c>
      <c r="K870">
        <f>_xlfn.XLOOKUP(tbl_analysis_tickets[[#This Row],[priority]],tbl_sla[priority],tbl_sla[Resolution SLA Hours])</f>
        <v>24</v>
      </c>
      <c r="L870">
        <f>_xlfn.XLOOKUP(tbl_analysis_tickets[[#This Row],[priority]],tbl_sla[priority],tbl_sla[First Response SLA Minutes])</f>
        <v>60</v>
      </c>
      <c r="M870" t="str">
        <f>IF(tbl_analysis_tickets[[#This Row],[resolution_time_hours]]&gt;tbl_analysis_tickets[[#This Row],[Resolution SLA Hours]],"Breached","Within SLA")</f>
        <v>Breached</v>
      </c>
      <c r="N870" t="str">
        <f>IF(tbl_analysis_tickets[[#This Row],[first_response_minutes]]&gt;tbl_analysis_tickets[[#This Row],[First Response SLA Minutes]],"Breached","Within SLA")</f>
        <v>Breached</v>
      </c>
      <c r="O870" t="str" cm="1">
        <f t="array" ref="O870">_xlfn.IFS(
tbl_analysis_tickets[[#This Row],[agent_experience_years]]&lt;=2,"Junior",
tbl_analysis_tickets[[#This Row],[agent_experience_years]]&lt;=5,"Mid-Level",
tbl_analysis_tickets[[#This Row],[agent_experience_years]]&lt;=8,"Senior",
tbl_analysis_tickets[[#This Row],[agent_experience_years]]&gt;8,"Expert"
)</f>
        <v>Mid-Level</v>
      </c>
      <c r="P870" cm="1">
        <f t="array" ref="P870">_xlfn.SWITCH(tbl_analysis_tickets[[#This Row],[customer_satisfaction]],
"Low",1,
"Medium",2,
"High",3
)</f>
        <v>1</v>
      </c>
      <c r="Q870">
        <f>IF(tbl_analysis_tickets[[#This Row],[reopened]]="Yes",1,0)</f>
        <v>1</v>
      </c>
      <c r="R870" t="str" cm="1">
        <f t="array" ref="R870">_xlfn.IFS(
tbl_analysis_tickets[[#This Row],[first_response_minutes]]&lt;=30,"Very Fast",
tbl_analysis_tickets[[#This Row],[first_response_minutes]]&lt;=120,"Acceptable",
tbl_analysis_tickets[[#This Row],[first_response_minutes]]&lt;=240,"Slow",
tbl_analysis_tickets[[#This Row],[first_response_minutes]]&gt;240,"Very Slow"
)</f>
        <v>Slow</v>
      </c>
      <c r="S870" t="str" cm="1">
        <f t="array" ref="S87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870" t="str">
        <f>TEXT(tbl_analysis_tickets[[#This Row],[created_date]],"mmm-yyyy")</f>
        <v>Sep-2024</v>
      </c>
      <c r="U870" t="str">
        <f>TEXT(tbl_analysis_tickets[[#This Row],[created_date]],"dddd")</f>
        <v>Monday</v>
      </c>
      <c r="V870" cm="1">
        <f t="array" ref="V870">_xlfn.SWITCH(tbl_analysis_tickets[[#This Row],[priority]],
"Urgent",1,
"High",2,
"Medium",3,
"Low",4
)</f>
        <v>2</v>
      </c>
    </row>
    <row r="871" spans="1:22" x14ac:dyDescent="0.25">
      <c r="A871">
        <v>870</v>
      </c>
      <c r="B871" s="1">
        <v>45410</v>
      </c>
      <c r="C871" t="s">
        <v>10</v>
      </c>
      <c r="D871" t="s">
        <v>17</v>
      </c>
      <c r="E871">
        <v>192</v>
      </c>
      <c r="F871">
        <v>19</v>
      </c>
      <c r="G871">
        <v>6.6</v>
      </c>
      <c r="H871" t="s">
        <v>12</v>
      </c>
      <c r="I871" t="s">
        <v>16</v>
      </c>
      <c r="J871" t="s">
        <v>11</v>
      </c>
      <c r="K871">
        <f>_xlfn.XLOOKUP(tbl_analysis_tickets[[#This Row],[priority]],tbl_sla[priority],tbl_sla[Resolution SLA Hours])</f>
        <v>8</v>
      </c>
      <c r="L871">
        <f>_xlfn.XLOOKUP(tbl_analysis_tickets[[#This Row],[priority]],tbl_sla[priority],tbl_sla[First Response SLA Minutes])</f>
        <v>30</v>
      </c>
      <c r="M871" t="str">
        <f>IF(tbl_analysis_tickets[[#This Row],[resolution_time_hours]]&gt;tbl_analysis_tickets[[#This Row],[Resolution SLA Hours]],"Breached","Within SLA")</f>
        <v>Breached</v>
      </c>
      <c r="N871" t="str">
        <f>IF(tbl_analysis_tickets[[#This Row],[first_response_minutes]]&gt;tbl_analysis_tickets[[#This Row],[First Response SLA Minutes]],"Breached","Within SLA")</f>
        <v>Breached</v>
      </c>
      <c r="O871" t="str" cm="1">
        <f t="array" ref="O871">_xlfn.IFS(
tbl_analysis_tickets[[#This Row],[agent_experience_years]]&lt;=2,"Junior",
tbl_analysis_tickets[[#This Row],[agent_experience_years]]&lt;=5,"Mid-Level",
tbl_analysis_tickets[[#This Row],[agent_experience_years]]&lt;=8,"Senior",
tbl_analysis_tickets[[#This Row],[agent_experience_years]]&gt;8,"Expert"
)</f>
        <v>Senior</v>
      </c>
      <c r="P871" cm="1">
        <f t="array" ref="P871">_xlfn.SWITCH(tbl_analysis_tickets[[#This Row],[customer_satisfaction]],
"Low",1,
"Medium",2,
"High",3
)</f>
        <v>1</v>
      </c>
      <c r="Q871">
        <f>IF(tbl_analysis_tickets[[#This Row],[reopened]]="Yes",1,0)</f>
        <v>1</v>
      </c>
      <c r="R871" t="str" cm="1">
        <f t="array" ref="R871">_xlfn.IFS(
tbl_analysis_tickets[[#This Row],[first_response_minutes]]&lt;=30,"Very Fast",
tbl_analysis_tickets[[#This Row],[first_response_minutes]]&lt;=120,"Acceptable",
tbl_analysis_tickets[[#This Row],[first_response_minutes]]&lt;=240,"Slow",
tbl_analysis_tickets[[#This Row],[first_response_minutes]]&gt;240,"Very Slow"
)</f>
        <v>Slow</v>
      </c>
      <c r="S871" t="str" cm="1">
        <f t="array" ref="S87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871" t="str">
        <f>TEXT(tbl_analysis_tickets[[#This Row],[created_date]],"mmm-yyyy")</f>
        <v>Apr-2024</v>
      </c>
      <c r="U871" t="str">
        <f>TEXT(tbl_analysis_tickets[[#This Row],[created_date]],"dddd")</f>
        <v>Sunday</v>
      </c>
      <c r="V871" cm="1">
        <f t="array" ref="V871">_xlfn.SWITCH(tbl_analysis_tickets[[#This Row],[priority]],
"Urgent",1,
"High",2,
"Medium",3,
"Low",4
)</f>
        <v>1</v>
      </c>
    </row>
    <row r="872" spans="1:22" x14ac:dyDescent="0.25">
      <c r="A872">
        <v>871</v>
      </c>
      <c r="B872" s="1">
        <v>45634</v>
      </c>
      <c r="C872" t="s">
        <v>14</v>
      </c>
      <c r="D872" t="s">
        <v>17</v>
      </c>
      <c r="E872">
        <v>198</v>
      </c>
      <c r="F872">
        <v>54</v>
      </c>
      <c r="G872">
        <v>9.3000000000000007</v>
      </c>
      <c r="H872" t="s">
        <v>12</v>
      </c>
      <c r="I872" t="s">
        <v>19</v>
      </c>
      <c r="J872" t="s">
        <v>11</v>
      </c>
      <c r="K872">
        <f>_xlfn.XLOOKUP(tbl_analysis_tickets[[#This Row],[priority]],tbl_sla[priority],tbl_sla[Resolution SLA Hours])</f>
        <v>8</v>
      </c>
      <c r="L872">
        <f>_xlfn.XLOOKUP(tbl_analysis_tickets[[#This Row],[priority]],tbl_sla[priority],tbl_sla[First Response SLA Minutes])</f>
        <v>30</v>
      </c>
      <c r="M872" t="str">
        <f>IF(tbl_analysis_tickets[[#This Row],[resolution_time_hours]]&gt;tbl_analysis_tickets[[#This Row],[Resolution SLA Hours]],"Breached","Within SLA")</f>
        <v>Breached</v>
      </c>
      <c r="N872" t="str">
        <f>IF(tbl_analysis_tickets[[#This Row],[first_response_minutes]]&gt;tbl_analysis_tickets[[#This Row],[First Response SLA Minutes]],"Breached","Within SLA")</f>
        <v>Breached</v>
      </c>
      <c r="O872" t="str" cm="1">
        <f t="array" ref="O872">_xlfn.IFS(
tbl_analysis_tickets[[#This Row],[agent_experience_years]]&lt;=2,"Junior",
tbl_analysis_tickets[[#This Row],[agent_experience_years]]&lt;=5,"Mid-Level",
tbl_analysis_tickets[[#This Row],[agent_experience_years]]&lt;=8,"Senior",
tbl_analysis_tickets[[#This Row],[agent_experience_years]]&gt;8,"Expert"
)</f>
        <v>Expert</v>
      </c>
      <c r="P872" cm="1">
        <f t="array" ref="P872">_xlfn.SWITCH(tbl_analysis_tickets[[#This Row],[customer_satisfaction]],
"Low",1,
"Medium",2,
"High",3
)</f>
        <v>1</v>
      </c>
      <c r="Q872">
        <f>IF(tbl_analysis_tickets[[#This Row],[reopened]]="Yes",1,0)</f>
        <v>1</v>
      </c>
      <c r="R872" t="str" cm="1">
        <f t="array" ref="R872">_xlfn.IFS(
tbl_analysis_tickets[[#This Row],[first_response_minutes]]&lt;=30,"Very Fast",
tbl_analysis_tickets[[#This Row],[first_response_minutes]]&lt;=120,"Acceptable",
tbl_analysis_tickets[[#This Row],[first_response_minutes]]&lt;=240,"Slow",
tbl_analysis_tickets[[#This Row],[first_response_minutes]]&gt;240,"Very Slow"
)</f>
        <v>Slow</v>
      </c>
      <c r="S872" t="str" cm="1">
        <f t="array" ref="S87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872" t="str">
        <f>TEXT(tbl_analysis_tickets[[#This Row],[created_date]],"mmm-yyyy")</f>
        <v>Dec-2024</v>
      </c>
      <c r="U872" t="str">
        <f>TEXT(tbl_analysis_tickets[[#This Row],[created_date]],"dddd")</f>
        <v>Sunday</v>
      </c>
      <c r="V872" cm="1">
        <f t="array" ref="V872">_xlfn.SWITCH(tbl_analysis_tickets[[#This Row],[priority]],
"Urgent",1,
"High",2,
"Medium",3,
"Low",4
)</f>
        <v>1</v>
      </c>
    </row>
    <row r="873" spans="1:22" x14ac:dyDescent="0.25">
      <c r="A873">
        <v>872</v>
      </c>
      <c r="B873" s="1">
        <v>45537</v>
      </c>
      <c r="C873" t="s">
        <v>22</v>
      </c>
      <c r="D873" t="s">
        <v>15</v>
      </c>
      <c r="E873">
        <v>33</v>
      </c>
      <c r="F873">
        <v>12</v>
      </c>
      <c r="G873">
        <v>2.2999999999999998</v>
      </c>
      <c r="H873" t="s">
        <v>18</v>
      </c>
      <c r="I873" t="s">
        <v>19</v>
      </c>
      <c r="J873" t="s">
        <v>11</v>
      </c>
      <c r="K873">
        <f>_xlfn.XLOOKUP(tbl_analysis_tickets[[#This Row],[priority]],tbl_sla[priority],tbl_sla[Resolution SLA Hours])</f>
        <v>48</v>
      </c>
      <c r="L873">
        <f>_xlfn.XLOOKUP(tbl_analysis_tickets[[#This Row],[priority]],tbl_sla[priority],tbl_sla[First Response SLA Minutes])</f>
        <v>120</v>
      </c>
      <c r="M873" t="str">
        <f>IF(tbl_analysis_tickets[[#This Row],[resolution_time_hours]]&gt;tbl_analysis_tickets[[#This Row],[Resolution SLA Hours]],"Breached","Within SLA")</f>
        <v>Within SLA</v>
      </c>
      <c r="N873" t="str">
        <f>IF(tbl_analysis_tickets[[#This Row],[first_response_minutes]]&gt;tbl_analysis_tickets[[#This Row],[First Response SLA Minutes]],"Breached","Within SLA")</f>
        <v>Within SLA</v>
      </c>
      <c r="O873" t="str" cm="1">
        <f t="array" ref="O873">_xlfn.IFS(
tbl_analysis_tickets[[#This Row],[agent_experience_years]]&lt;=2,"Junior",
tbl_analysis_tickets[[#This Row],[agent_experience_years]]&lt;=5,"Mid-Level",
tbl_analysis_tickets[[#This Row],[agent_experience_years]]&lt;=8,"Senior",
tbl_analysis_tickets[[#This Row],[agent_experience_years]]&gt;8,"Expert"
)</f>
        <v>Mid-Level</v>
      </c>
      <c r="P873" cm="1">
        <f t="array" ref="P873">_xlfn.SWITCH(tbl_analysis_tickets[[#This Row],[customer_satisfaction]],
"Low",1,
"Medium",2,
"High",3
)</f>
        <v>1</v>
      </c>
      <c r="Q873">
        <f>IF(tbl_analysis_tickets[[#This Row],[reopened]]="Yes",1,0)</f>
        <v>0</v>
      </c>
      <c r="R873" t="str" cm="1">
        <f t="array" ref="R873">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873" t="str" cm="1">
        <f t="array" ref="S87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873" t="str">
        <f>TEXT(tbl_analysis_tickets[[#This Row],[created_date]],"mmm-yyyy")</f>
        <v>Sep-2024</v>
      </c>
      <c r="U873" t="str">
        <f>TEXT(tbl_analysis_tickets[[#This Row],[created_date]],"dddd")</f>
        <v>Monday</v>
      </c>
      <c r="V873" cm="1">
        <f t="array" ref="V873">_xlfn.SWITCH(tbl_analysis_tickets[[#This Row],[priority]],
"Urgent",1,
"High",2,
"Medium",3,
"Low",4
)</f>
        <v>3</v>
      </c>
    </row>
    <row r="874" spans="1:22" x14ac:dyDescent="0.25">
      <c r="A874">
        <v>873</v>
      </c>
      <c r="B874" s="1">
        <v>45407</v>
      </c>
      <c r="C874" t="s">
        <v>23</v>
      </c>
      <c r="D874" t="s">
        <v>17</v>
      </c>
      <c r="E874">
        <v>205</v>
      </c>
      <c r="F874">
        <v>38</v>
      </c>
      <c r="G874">
        <v>2.5</v>
      </c>
      <c r="H874" t="s">
        <v>12</v>
      </c>
      <c r="I874" t="s">
        <v>13</v>
      </c>
      <c r="J874" t="s">
        <v>11</v>
      </c>
      <c r="K874">
        <f>_xlfn.XLOOKUP(tbl_analysis_tickets[[#This Row],[priority]],tbl_sla[priority],tbl_sla[Resolution SLA Hours])</f>
        <v>8</v>
      </c>
      <c r="L874">
        <f>_xlfn.XLOOKUP(tbl_analysis_tickets[[#This Row],[priority]],tbl_sla[priority],tbl_sla[First Response SLA Minutes])</f>
        <v>30</v>
      </c>
      <c r="M874" t="str">
        <f>IF(tbl_analysis_tickets[[#This Row],[resolution_time_hours]]&gt;tbl_analysis_tickets[[#This Row],[Resolution SLA Hours]],"Breached","Within SLA")</f>
        <v>Breached</v>
      </c>
      <c r="N874" t="str">
        <f>IF(tbl_analysis_tickets[[#This Row],[first_response_minutes]]&gt;tbl_analysis_tickets[[#This Row],[First Response SLA Minutes]],"Breached","Within SLA")</f>
        <v>Breached</v>
      </c>
      <c r="O874" t="str" cm="1">
        <f t="array" ref="O874">_xlfn.IFS(
tbl_analysis_tickets[[#This Row],[agent_experience_years]]&lt;=2,"Junior",
tbl_analysis_tickets[[#This Row],[agent_experience_years]]&lt;=5,"Mid-Level",
tbl_analysis_tickets[[#This Row],[agent_experience_years]]&lt;=8,"Senior",
tbl_analysis_tickets[[#This Row],[agent_experience_years]]&gt;8,"Expert"
)</f>
        <v>Mid-Level</v>
      </c>
      <c r="P874" cm="1">
        <f t="array" ref="P874">_xlfn.SWITCH(tbl_analysis_tickets[[#This Row],[customer_satisfaction]],
"Low",1,
"Medium",2,
"High",3
)</f>
        <v>1</v>
      </c>
      <c r="Q874">
        <f>IF(tbl_analysis_tickets[[#This Row],[reopened]]="Yes",1,0)</f>
        <v>1</v>
      </c>
      <c r="R874" t="str" cm="1">
        <f t="array" ref="R874">_xlfn.IFS(
tbl_analysis_tickets[[#This Row],[first_response_minutes]]&lt;=30,"Very Fast",
tbl_analysis_tickets[[#This Row],[first_response_minutes]]&lt;=120,"Acceptable",
tbl_analysis_tickets[[#This Row],[first_response_minutes]]&lt;=240,"Slow",
tbl_analysis_tickets[[#This Row],[first_response_minutes]]&gt;240,"Very Slow"
)</f>
        <v>Slow</v>
      </c>
      <c r="S874" t="str" cm="1">
        <f t="array" ref="S87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874" t="str">
        <f>TEXT(tbl_analysis_tickets[[#This Row],[created_date]],"mmm-yyyy")</f>
        <v>Apr-2024</v>
      </c>
      <c r="U874" t="str">
        <f>TEXT(tbl_analysis_tickets[[#This Row],[created_date]],"dddd")</f>
        <v>Thursday</v>
      </c>
      <c r="V874" cm="1">
        <f t="array" ref="V874">_xlfn.SWITCH(tbl_analysis_tickets[[#This Row],[priority]],
"Urgent",1,
"High",2,
"Medium",3,
"Low",4
)</f>
        <v>1</v>
      </c>
    </row>
    <row r="875" spans="1:22" x14ac:dyDescent="0.25">
      <c r="A875">
        <v>874</v>
      </c>
      <c r="B875" s="1">
        <v>45312</v>
      </c>
      <c r="C875" t="s">
        <v>22</v>
      </c>
      <c r="D875" t="s">
        <v>20</v>
      </c>
      <c r="E875">
        <v>189</v>
      </c>
      <c r="F875">
        <v>45</v>
      </c>
      <c r="G875">
        <v>8</v>
      </c>
      <c r="H875" t="s">
        <v>12</v>
      </c>
      <c r="I875" t="s">
        <v>19</v>
      </c>
      <c r="J875" t="s">
        <v>11</v>
      </c>
      <c r="K875">
        <f>_xlfn.XLOOKUP(tbl_analysis_tickets[[#This Row],[priority]],tbl_sla[priority],tbl_sla[Resolution SLA Hours])</f>
        <v>24</v>
      </c>
      <c r="L875">
        <f>_xlfn.XLOOKUP(tbl_analysis_tickets[[#This Row],[priority]],tbl_sla[priority],tbl_sla[First Response SLA Minutes])</f>
        <v>60</v>
      </c>
      <c r="M875" t="str">
        <f>IF(tbl_analysis_tickets[[#This Row],[resolution_time_hours]]&gt;tbl_analysis_tickets[[#This Row],[Resolution SLA Hours]],"Breached","Within SLA")</f>
        <v>Breached</v>
      </c>
      <c r="N875" t="str">
        <f>IF(tbl_analysis_tickets[[#This Row],[first_response_minutes]]&gt;tbl_analysis_tickets[[#This Row],[First Response SLA Minutes]],"Breached","Within SLA")</f>
        <v>Breached</v>
      </c>
      <c r="O875" t="str" cm="1">
        <f t="array" ref="O875">_xlfn.IFS(
tbl_analysis_tickets[[#This Row],[agent_experience_years]]&lt;=2,"Junior",
tbl_analysis_tickets[[#This Row],[agent_experience_years]]&lt;=5,"Mid-Level",
tbl_analysis_tickets[[#This Row],[agent_experience_years]]&lt;=8,"Senior",
tbl_analysis_tickets[[#This Row],[agent_experience_years]]&gt;8,"Expert"
)</f>
        <v>Senior</v>
      </c>
      <c r="P875" cm="1">
        <f t="array" ref="P875">_xlfn.SWITCH(tbl_analysis_tickets[[#This Row],[customer_satisfaction]],
"Low",1,
"Medium",2,
"High",3
)</f>
        <v>1</v>
      </c>
      <c r="Q875">
        <f>IF(tbl_analysis_tickets[[#This Row],[reopened]]="Yes",1,0)</f>
        <v>1</v>
      </c>
      <c r="R875" t="str" cm="1">
        <f t="array" ref="R875">_xlfn.IFS(
tbl_analysis_tickets[[#This Row],[first_response_minutes]]&lt;=30,"Very Fast",
tbl_analysis_tickets[[#This Row],[first_response_minutes]]&lt;=120,"Acceptable",
tbl_analysis_tickets[[#This Row],[first_response_minutes]]&lt;=240,"Slow",
tbl_analysis_tickets[[#This Row],[first_response_minutes]]&gt;240,"Very Slow"
)</f>
        <v>Slow</v>
      </c>
      <c r="S875" t="str" cm="1">
        <f t="array" ref="S87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875" t="str">
        <f>TEXT(tbl_analysis_tickets[[#This Row],[created_date]],"mmm-yyyy")</f>
        <v>Jan-2024</v>
      </c>
      <c r="U875" t="str">
        <f>TEXT(tbl_analysis_tickets[[#This Row],[created_date]],"dddd")</f>
        <v>Sunday</v>
      </c>
      <c r="V875" cm="1">
        <f t="array" ref="V875">_xlfn.SWITCH(tbl_analysis_tickets[[#This Row],[priority]],
"Urgent",1,
"High",2,
"Medium",3,
"Low",4
)</f>
        <v>2</v>
      </c>
    </row>
    <row r="876" spans="1:22" x14ac:dyDescent="0.25">
      <c r="A876">
        <v>875</v>
      </c>
      <c r="B876" s="1">
        <v>45647</v>
      </c>
      <c r="C876" t="s">
        <v>10</v>
      </c>
      <c r="D876" t="s">
        <v>20</v>
      </c>
      <c r="E876">
        <v>46</v>
      </c>
      <c r="F876">
        <v>25</v>
      </c>
      <c r="G876">
        <v>9.9</v>
      </c>
      <c r="H876" t="s">
        <v>18</v>
      </c>
      <c r="I876" t="s">
        <v>13</v>
      </c>
      <c r="J876" t="s">
        <v>11</v>
      </c>
      <c r="K876">
        <f>_xlfn.XLOOKUP(tbl_analysis_tickets[[#This Row],[priority]],tbl_sla[priority],tbl_sla[Resolution SLA Hours])</f>
        <v>24</v>
      </c>
      <c r="L876">
        <f>_xlfn.XLOOKUP(tbl_analysis_tickets[[#This Row],[priority]],tbl_sla[priority],tbl_sla[First Response SLA Minutes])</f>
        <v>60</v>
      </c>
      <c r="M876" t="str">
        <f>IF(tbl_analysis_tickets[[#This Row],[resolution_time_hours]]&gt;tbl_analysis_tickets[[#This Row],[Resolution SLA Hours]],"Breached","Within SLA")</f>
        <v>Breached</v>
      </c>
      <c r="N876" t="str">
        <f>IF(tbl_analysis_tickets[[#This Row],[first_response_minutes]]&gt;tbl_analysis_tickets[[#This Row],[First Response SLA Minutes]],"Breached","Within SLA")</f>
        <v>Within SLA</v>
      </c>
      <c r="O876" t="str" cm="1">
        <f t="array" ref="O876">_xlfn.IFS(
tbl_analysis_tickets[[#This Row],[agent_experience_years]]&lt;=2,"Junior",
tbl_analysis_tickets[[#This Row],[agent_experience_years]]&lt;=5,"Mid-Level",
tbl_analysis_tickets[[#This Row],[agent_experience_years]]&lt;=8,"Senior",
tbl_analysis_tickets[[#This Row],[agent_experience_years]]&gt;8,"Expert"
)</f>
        <v>Expert</v>
      </c>
      <c r="P876" cm="1">
        <f t="array" ref="P876">_xlfn.SWITCH(tbl_analysis_tickets[[#This Row],[customer_satisfaction]],
"Low",1,
"Medium",2,
"High",3
)</f>
        <v>1</v>
      </c>
      <c r="Q876">
        <f>IF(tbl_analysis_tickets[[#This Row],[reopened]]="Yes",1,0)</f>
        <v>0</v>
      </c>
      <c r="R876" t="str" cm="1">
        <f t="array" ref="R876">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876" t="str" cm="1">
        <f t="array" ref="S87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876" t="str">
        <f>TEXT(tbl_analysis_tickets[[#This Row],[created_date]],"mmm-yyyy")</f>
        <v>Dec-2024</v>
      </c>
      <c r="U876" t="str">
        <f>TEXT(tbl_analysis_tickets[[#This Row],[created_date]],"dddd")</f>
        <v>Saturday</v>
      </c>
      <c r="V876" cm="1">
        <f t="array" ref="V876">_xlfn.SWITCH(tbl_analysis_tickets[[#This Row],[priority]],
"Urgent",1,
"High",2,
"Medium",3,
"Low",4
)</f>
        <v>2</v>
      </c>
    </row>
    <row r="877" spans="1:22" x14ac:dyDescent="0.25">
      <c r="A877">
        <v>876</v>
      </c>
      <c r="B877" s="1">
        <v>45350</v>
      </c>
      <c r="C877" t="s">
        <v>23</v>
      </c>
      <c r="D877" t="s">
        <v>17</v>
      </c>
      <c r="E877">
        <v>193</v>
      </c>
      <c r="F877">
        <v>21</v>
      </c>
      <c r="G877">
        <v>3.2</v>
      </c>
      <c r="H877" t="s">
        <v>12</v>
      </c>
      <c r="I877" t="s">
        <v>13</v>
      </c>
      <c r="J877" t="s">
        <v>11</v>
      </c>
      <c r="K877">
        <f>_xlfn.XLOOKUP(tbl_analysis_tickets[[#This Row],[priority]],tbl_sla[priority],tbl_sla[Resolution SLA Hours])</f>
        <v>8</v>
      </c>
      <c r="L877">
        <f>_xlfn.XLOOKUP(tbl_analysis_tickets[[#This Row],[priority]],tbl_sla[priority],tbl_sla[First Response SLA Minutes])</f>
        <v>30</v>
      </c>
      <c r="M877" t="str">
        <f>IF(tbl_analysis_tickets[[#This Row],[resolution_time_hours]]&gt;tbl_analysis_tickets[[#This Row],[Resolution SLA Hours]],"Breached","Within SLA")</f>
        <v>Breached</v>
      </c>
      <c r="N877" t="str">
        <f>IF(tbl_analysis_tickets[[#This Row],[first_response_minutes]]&gt;tbl_analysis_tickets[[#This Row],[First Response SLA Minutes]],"Breached","Within SLA")</f>
        <v>Breached</v>
      </c>
      <c r="O877" t="str" cm="1">
        <f t="array" ref="O877">_xlfn.IFS(
tbl_analysis_tickets[[#This Row],[agent_experience_years]]&lt;=2,"Junior",
tbl_analysis_tickets[[#This Row],[agent_experience_years]]&lt;=5,"Mid-Level",
tbl_analysis_tickets[[#This Row],[agent_experience_years]]&lt;=8,"Senior",
tbl_analysis_tickets[[#This Row],[agent_experience_years]]&gt;8,"Expert"
)</f>
        <v>Mid-Level</v>
      </c>
      <c r="P877" cm="1">
        <f t="array" ref="P877">_xlfn.SWITCH(tbl_analysis_tickets[[#This Row],[customer_satisfaction]],
"Low",1,
"Medium",2,
"High",3
)</f>
        <v>1</v>
      </c>
      <c r="Q877">
        <f>IF(tbl_analysis_tickets[[#This Row],[reopened]]="Yes",1,0)</f>
        <v>1</v>
      </c>
      <c r="R877" t="str" cm="1">
        <f t="array" ref="R877">_xlfn.IFS(
tbl_analysis_tickets[[#This Row],[first_response_minutes]]&lt;=30,"Very Fast",
tbl_analysis_tickets[[#This Row],[first_response_minutes]]&lt;=120,"Acceptable",
tbl_analysis_tickets[[#This Row],[first_response_minutes]]&lt;=240,"Slow",
tbl_analysis_tickets[[#This Row],[first_response_minutes]]&gt;240,"Very Slow"
)</f>
        <v>Slow</v>
      </c>
      <c r="S877" t="str" cm="1">
        <f t="array" ref="S87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877" t="str">
        <f>TEXT(tbl_analysis_tickets[[#This Row],[created_date]],"mmm-yyyy")</f>
        <v>Feb-2024</v>
      </c>
      <c r="U877" t="str">
        <f>TEXT(tbl_analysis_tickets[[#This Row],[created_date]],"dddd")</f>
        <v>Wednesday</v>
      </c>
      <c r="V877" cm="1">
        <f t="array" ref="V877">_xlfn.SWITCH(tbl_analysis_tickets[[#This Row],[priority]],
"Urgent",1,
"High",2,
"Medium",3,
"Low",4
)</f>
        <v>1</v>
      </c>
    </row>
    <row r="878" spans="1:22" x14ac:dyDescent="0.25">
      <c r="A878">
        <v>877</v>
      </c>
      <c r="B878" s="1">
        <v>45519</v>
      </c>
      <c r="C878" t="s">
        <v>10</v>
      </c>
      <c r="D878" t="s">
        <v>15</v>
      </c>
      <c r="E878">
        <v>152</v>
      </c>
      <c r="F878">
        <v>7</v>
      </c>
      <c r="G878">
        <v>1.2</v>
      </c>
      <c r="H878" t="s">
        <v>18</v>
      </c>
      <c r="I878" t="s">
        <v>16</v>
      </c>
      <c r="J878" t="s">
        <v>11</v>
      </c>
      <c r="K878">
        <f>_xlfn.XLOOKUP(tbl_analysis_tickets[[#This Row],[priority]],tbl_sla[priority],tbl_sla[Resolution SLA Hours])</f>
        <v>48</v>
      </c>
      <c r="L878">
        <f>_xlfn.XLOOKUP(tbl_analysis_tickets[[#This Row],[priority]],tbl_sla[priority],tbl_sla[First Response SLA Minutes])</f>
        <v>120</v>
      </c>
      <c r="M878" t="str">
        <f>IF(tbl_analysis_tickets[[#This Row],[resolution_time_hours]]&gt;tbl_analysis_tickets[[#This Row],[Resolution SLA Hours]],"Breached","Within SLA")</f>
        <v>Within SLA</v>
      </c>
      <c r="N878" t="str">
        <f>IF(tbl_analysis_tickets[[#This Row],[first_response_minutes]]&gt;tbl_analysis_tickets[[#This Row],[First Response SLA Minutes]],"Breached","Within SLA")</f>
        <v>Breached</v>
      </c>
      <c r="O878" t="str" cm="1">
        <f t="array" ref="O878">_xlfn.IFS(
tbl_analysis_tickets[[#This Row],[agent_experience_years]]&lt;=2,"Junior",
tbl_analysis_tickets[[#This Row],[agent_experience_years]]&lt;=5,"Mid-Level",
tbl_analysis_tickets[[#This Row],[agent_experience_years]]&lt;=8,"Senior",
tbl_analysis_tickets[[#This Row],[agent_experience_years]]&gt;8,"Expert"
)</f>
        <v>Junior</v>
      </c>
      <c r="P878" cm="1">
        <f t="array" ref="P878">_xlfn.SWITCH(tbl_analysis_tickets[[#This Row],[customer_satisfaction]],
"Low",1,
"Medium",2,
"High",3
)</f>
        <v>1</v>
      </c>
      <c r="Q878">
        <f>IF(tbl_analysis_tickets[[#This Row],[reopened]]="Yes",1,0)</f>
        <v>0</v>
      </c>
      <c r="R878" t="str" cm="1">
        <f t="array" ref="R878">_xlfn.IFS(
tbl_analysis_tickets[[#This Row],[first_response_minutes]]&lt;=30,"Very Fast",
tbl_analysis_tickets[[#This Row],[first_response_minutes]]&lt;=120,"Acceptable",
tbl_analysis_tickets[[#This Row],[first_response_minutes]]&lt;=240,"Slow",
tbl_analysis_tickets[[#This Row],[first_response_minutes]]&gt;240,"Very Slow"
)</f>
        <v>Slow</v>
      </c>
      <c r="S878" t="str" cm="1">
        <f t="array" ref="S87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878" t="str">
        <f>TEXT(tbl_analysis_tickets[[#This Row],[created_date]],"mmm-yyyy")</f>
        <v>Aug-2024</v>
      </c>
      <c r="U878" t="str">
        <f>TEXT(tbl_analysis_tickets[[#This Row],[created_date]],"dddd")</f>
        <v>Thursday</v>
      </c>
      <c r="V878" cm="1">
        <f t="array" ref="V878">_xlfn.SWITCH(tbl_analysis_tickets[[#This Row],[priority]],
"Urgent",1,
"High",2,
"Medium",3,
"Low",4
)</f>
        <v>3</v>
      </c>
    </row>
    <row r="879" spans="1:22" x14ac:dyDescent="0.25">
      <c r="A879">
        <v>878</v>
      </c>
      <c r="B879" s="1">
        <v>45411</v>
      </c>
      <c r="C879" t="s">
        <v>23</v>
      </c>
      <c r="D879" t="s">
        <v>15</v>
      </c>
      <c r="E879">
        <v>230</v>
      </c>
      <c r="F879">
        <v>3</v>
      </c>
      <c r="G879">
        <v>7.1</v>
      </c>
      <c r="H879" t="s">
        <v>18</v>
      </c>
      <c r="I879" t="s">
        <v>13</v>
      </c>
      <c r="J879" t="s">
        <v>20</v>
      </c>
      <c r="K879">
        <f>_xlfn.XLOOKUP(tbl_analysis_tickets[[#This Row],[priority]],tbl_sla[priority],tbl_sla[Resolution SLA Hours])</f>
        <v>48</v>
      </c>
      <c r="L879">
        <f>_xlfn.XLOOKUP(tbl_analysis_tickets[[#This Row],[priority]],tbl_sla[priority],tbl_sla[First Response SLA Minutes])</f>
        <v>120</v>
      </c>
      <c r="M879" t="str">
        <f>IF(tbl_analysis_tickets[[#This Row],[resolution_time_hours]]&gt;tbl_analysis_tickets[[#This Row],[Resolution SLA Hours]],"Breached","Within SLA")</f>
        <v>Within SLA</v>
      </c>
      <c r="N879" t="str">
        <f>IF(tbl_analysis_tickets[[#This Row],[first_response_minutes]]&gt;tbl_analysis_tickets[[#This Row],[First Response SLA Minutes]],"Breached","Within SLA")</f>
        <v>Breached</v>
      </c>
      <c r="O879" t="str" cm="1">
        <f t="array" ref="O879">_xlfn.IFS(
tbl_analysis_tickets[[#This Row],[agent_experience_years]]&lt;=2,"Junior",
tbl_analysis_tickets[[#This Row],[agent_experience_years]]&lt;=5,"Mid-Level",
tbl_analysis_tickets[[#This Row],[agent_experience_years]]&lt;=8,"Senior",
tbl_analysis_tickets[[#This Row],[agent_experience_years]]&gt;8,"Expert"
)</f>
        <v>Senior</v>
      </c>
      <c r="P879" cm="1">
        <f t="array" ref="P879">_xlfn.SWITCH(tbl_analysis_tickets[[#This Row],[customer_satisfaction]],
"Low",1,
"Medium",2,
"High",3
)</f>
        <v>3</v>
      </c>
      <c r="Q879">
        <f>IF(tbl_analysis_tickets[[#This Row],[reopened]]="Yes",1,0)</f>
        <v>0</v>
      </c>
      <c r="R879" t="str" cm="1">
        <f t="array" ref="R879">_xlfn.IFS(
tbl_analysis_tickets[[#This Row],[first_response_minutes]]&lt;=30,"Very Fast",
tbl_analysis_tickets[[#This Row],[first_response_minutes]]&lt;=120,"Acceptable",
tbl_analysis_tickets[[#This Row],[first_response_minutes]]&lt;=240,"Slow",
tbl_analysis_tickets[[#This Row],[first_response_minutes]]&gt;240,"Very Slow"
)</f>
        <v>Slow</v>
      </c>
      <c r="S879" t="str" cm="1">
        <f t="array" ref="S87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879" t="str">
        <f>TEXT(tbl_analysis_tickets[[#This Row],[created_date]],"mmm-yyyy")</f>
        <v>Apr-2024</v>
      </c>
      <c r="U879" t="str">
        <f>TEXT(tbl_analysis_tickets[[#This Row],[created_date]],"dddd")</f>
        <v>Monday</v>
      </c>
      <c r="V879" cm="1">
        <f t="array" ref="V879">_xlfn.SWITCH(tbl_analysis_tickets[[#This Row],[priority]],
"Urgent",1,
"High",2,
"Medium",3,
"Low",4
)</f>
        <v>3</v>
      </c>
    </row>
    <row r="880" spans="1:22" x14ac:dyDescent="0.25">
      <c r="A880">
        <v>879</v>
      </c>
      <c r="B880" s="1">
        <v>45435</v>
      </c>
      <c r="C880" t="s">
        <v>23</v>
      </c>
      <c r="D880" t="s">
        <v>11</v>
      </c>
      <c r="E880">
        <v>60</v>
      </c>
      <c r="F880">
        <v>6</v>
      </c>
      <c r="G880">
        <v>2.2000000000000002</v>
      </c>
      <c r="H880" t="s">
        <v>12</v>
      </c>
      <c r="I880" t="s">
        <v>16</v>
      </c>
      <c r="J880" t="s">
        <v>15</v>
      </c>
      <c r="K880">
        <f>_xlfn.XLOOKUP(tbl_analysis_tickets[[#This Row],[priority]],tbl_sla[priority],tbl_sla[Resolution SLA Hours])</f>
        <v>72</v>
      </c>
      <c r="L880">
        <f>_xlfn.XLOOKUP(tbl_analysis_tickets[[#This Row],[priority]],tbl_sla[priority],tbl_sla[First Response SLA Minutes])</f>
        <v>240</v>
      </c>
      <c r="M880" t="str">
        <f>IF(tbl_analysis_tickets[[#This Row],[resolution_time_hours]]&gt;tbl_analysis_tickets[[#This Row],[Resolution SLA Hours]],"Breached","Within SLA")</f>
        <v>Within SLA</v>
      </c>
      <c r="N880" t="str">
        <f>IF(tbl_analysis_tickets[[#This Row],[first_response_minutes]]&gt;tbl_analysis_tickets[[#This Row],[First Response SLA Minutes]],"Breached","Within SLA")</f>
        <v>Within SLA</v>
      </c>
      <c r="O880" t="str" cm="1">
        <f t="array" ref="O880">_xlfn.IFS(
tbl_analysis_tickets[[#This Row],[agent_experience_years]]&lt;=2,"Junior",
tbl_analysis_tickets[[#This Row],[agent_experience_years]]&lt;=5,"Mid-Level",
tbl_analysis_tickets[[#This Row],[agent_experience_years]]&lt;=8,"Senior",
tbl_analysis_tickets[[#This Row],[agent_experience_years]]&gt;8,"Expert"
)</f>
        <v>Mid-Level</v>
      </c>
      <c r="P880" cm="1">
        <f t="array" ref="P880">_xlfn.SWITCH(tbl_analysis_tickets[[#This Row],[customer_satisfaction]],
"Low",1,
"Medium",2,
"High",3
)</f>
        <v>2</v>
      </c>
      <c r="Q880">
        <f>IF(tbl_analysis_tickets[[#This Row],[reopened]]="Yes",1,0)</f>
        <v>1</v>
      </c>
      <c r="R880" t="str" cm="1">
        <f t="array" ref="R880">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880" t="str" cm="1">
        <f t="array" ref="S88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880" t="str">
        <f>TEXT(tbl_analysis_tickets[[#This Row],[created_date]],"mmm-yyyy")</f>
        <v>May-2024</v>
      </c>
      <c r="U880" t="str">
        <f>TEXT(tbl_analysis_tickets[[#This Row],[created_date]],"dddd")</f>
        <v>Thursday</v>
      </c>
      <c r="V880" cm="1">
        <f t="array" ref="V880">_xlfn.SWITCH(tbl_analysis_tickets[[#This Row],[priority]],
"Urgent",1,
"High",2,
"Medium",3,
"Low",4
)</f>
        <v>4</v>
      </c>
    </row>
    <row r="881" spans="1:22" x14ac:dyDescent="0.25">
      <c r="A881">
        <v>880</v>
      </c>
      <c r="B881" s="1">
        <v>45437</v>
      </c>
      <c r="C881" t="s">
        <v>14</v>
      </c>
      <c r="D881" t="s">
        <v>20</v>
      </c>
      <c r="E881">
        <v>165</v>
      </c>
      <c r="F881">
        <v>60</v>
      </c>
      <c r="G881">
        <v>4.8</v>
      </c>
      <c r="H881" t="s">
        <v>18</v>
      </c>
      <c r="I881" t="s">
        <v>13</v>
      </c>
      <c r="J881" t="s">
        <v>11</v>
      </c>
      <c r="K881">
        <f>_xlfn.XLOOKUP(tbl_analysis_tickets[[#This Row],[priority]],tbl_sla[priority],tbl_sla[Resolution SLA Hours])</f>
        <v>24</v>
      </c>
      <c r="L881">
        <f>_xlfn.XLOOKUP(tbl_analysis_tickets[[#This Row],[priority]],tbl_sla[priority],tbl_sla[First Response SLA Minutes])</f>
        <v>60</v>
      </c>
      <c r="M881" t="str">
        <f>IF(tbl_analysis_tickets[[#This Row],[resolution_time_hours]]&gt;tbl_analysis_tickets[[#This Row],[Resolution SLA Hours]],"Breached","Within SLA")</f>
        <v>Breached</v>
      </c>
      <c r="N881" t="str">
        <f>IF(tbl_analysis_tickets[[#This Row],[first_response_minutes]]&gt;tbl_analysis_tickets[[#This Row],[First Response SLA Minutes]],"Breached","Within SLA")</f>
        <v>Breached</v>
      </c>
      <c r="O881" t="str" cm="1">
        <f t="array" ref="O881">_xlfn.IFS(
tbl_analysis_tickets[[#This Row],[agent_experience_years]]&lt;=2,"Junior",
tbl_analysis_tickets[[#This Row],[agent_experience_years]]&lt;=5,"Mid-Level",
tbl_analysis_tickets[[#This Row],[agent_experience_years]]&lt;=8,"Senior",
tbl_analysis_tickets[[#This Row],[agent_experience_years]]&gt;8,"Expert"
)</f>
        <v>Mid-Level</v>
      </c>
      <c r="P881" cm="1">
        <f t="array" ref="P881">_xlfn.SWITCH(tbl_analysis_tickets[[#This Row],[customer_satisfaction]],
"Low",1,
"Medium",2,
"High",3
)</f>
        <v>1</v>
      </c>
      <c r="Q881">
        <f>IF(tbl_analysis_tickets[[#This Row],[reopened]]="Yes",1,0)</f>
        <v>0</v>
      </c>
      <c r="R881" t="str" cm="1">
        <f t="array" ref="R881">_xlfn.IFS(
tbl_analysis_tickets[[#This Row],[first_response_minutes]]&lt;=30,"Very Fast",
tbl_analysis_tickets[[#This Row],[first_response_minutes]]&lt;=120,"Acceptable",
tbl_analysis_tickets[[#This Row],[first_response_minutes]]&lt;=240,"Slow",
tbl_analysis_tickets[[#This Row],[first_response_minutes]]&gt;240,"Very Slow"
)</f>
        <v>Slow</v>
      </c>
      <c r="S881" t="str" cm="1">
        <f t="array" ref="S88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881" t="str">
        <f>TEXT(tbl_analysis_tickets[[#This Row],[created_date]],"mmm-yyyy")</f>
        <v>May-2024</v>
      </c>
      <c r="U881" t="str">
        <f>TEXT(tbl_analysis_tickets[[#This Row],[created_date]],"dddd")</f>
        <v>Saturday</v>
      </c>
      <c r="V881" cm="1">
        <f t="array" ref="V881">_xlfn.SWITCH(tbl_analysis_tickets[[#This Row],[priority]],
"Urgent",1,
"High",2,
"Medium",3,
"Low",4
)</f>
        <v>2</v>
      </c>
    </row>
    <row r="882" spans="1:22" x14ac:dyDescent="0.25">
      <c r="A882">
        <v>881</v>
      </c>
      <c r="B882" s="1">
        <v>45305</v>
      </c>
      <c r="C882" t="s">
        <v>23</v>
      </c>
      <c r="D882" t="s">
        <v>11</v>
      </c>
      <c r="E882">
        <v>160</v>
      </c>
      <c r="F882">
        <v>53</v>
      </c>
      <c r="G882">
        <v>6.2</v>
      </c>
      <c r="H882" t="s">
        <v>18</v>
      </c>
      <c r="I882" t="s">
        <v>19</v>
      </c>
      <c r="J882" t="s">
        <v>15</v>
      </c>
      <c r="K882">
        <f>_xlfn.XLOOKUP(tbl_analysis_tickets[[#This Row],[priority]],tbl_sla[priority],tbl_sla[Resolution SLA Hours])</f>
        <v>72</v>
      </c>
      <c r="L882">
        <f>_xlfn.XLOOKUP(tbl_analysis_tickets[[#This Row],[priority]],tbl_sla[priority],tbl_sla[First Response SLA Minutes])</f>
        <v>240</v>
      </c>
      <c r="M882" t="str">
        <f>IF(tbl_analysis_tickets[[#This Row],[resolution_time_hours]]&gt;tbl_analysis_tickets[[#This Row],[Resolution SLA Hours]],"Breached","Within SLA")</f>
        <v>Within SLA</v>
      </c>
      <c r="N882" t="str">
        <f>IF(tbl_analysis_tickets[[#This Row],[first_response_minutes]]&gt;tbl_analysis_tickets[[#This Row],[First Response SLA Minutes]],"Breached","Within SLA")</f>
        <v>Within SLA</v>
      </c>
      <c r="O882" t="str" cm="1">
        <f t="array" ref="O882">_xlfn.IFS(
tbl_analysis_tickets[[#This Row],[agent_experience_years]]&lt;=2,"Junior",
tbl_analysis_tickets[[#This Row],[agent_experience_years]]&lt;=5,"Mid-Level",
tbl_analysis_tickets[[#This Row],[agent_experience_years]]&lt;=8,"Senior",
tbl_analysis_tickets[[#This Row],[agent_experience_years]]&gt;8,"Expert"
)</f>
        <v>Senior</v>
      </c>
      <c r="P882" cm="1">
        <f t="array" ref="P882">_xlfn.SWITCH(tbl_analysis_tickets[[#This Row],[customer_satisfaction]],
"Low",1,
"Medium",2,
"High",3
)</f>
        <v>2</v>
      </c>
      <c r="Q882">
        <f>IF(tbl_analysis_tickets[[#This Row],[reopened]]="Yes",1,0)</f>
        <v>0</v>
      </c>
      <c r="R882" t="str" cm="1">
        <f t="array" ref="R882">_xlfn.IFS(
tbl_analysis_tickets[[#This Row],[first_response_minutes]]&lt;=30,"Very Fast",
tbl_analysis_tickets[[#This Row],[first_response_minutes]]&lt;=120,"Acceptable",
tbl_analysis_tickets[[#This Row],[first_response_minutes]]&lt;=240,"Slow",
tbl_analysis_tickets[[#This Row],[first_response_minutes]]&gt;240,"Very Slow"
)</f>
        <v>Slow</v>
      </c>
      <c r="S882" t="str" cm="1">
        <f t="array" ref="S88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882" t="str">
        <f>TEXT(tbl_analysis_tickets[[#This Row],[created_date]],"mmm-yyyy")</f>
        <v>Jan-2024</v>
      </c>
      <c r="U882" t="str">
        <f>TEXT(tbl_analysis_tickets[[#This Row],[created_date]],"dddd")</f>
        <v>Sunday</v>
      </c>
      <c r="V882" cm="1">
        <f t="array" ref="V882">_xlfn.SWITCH(tbl_analysis_tickets[[#This Row],[priority]],
"Urgent",1,
"High",2,
"Medium",3,
"Low",4
)</f>
        <v>4</v>
      </c>
    </row>
    <row r="883" spans="1:22" x14ac:dyDescent="0.25">
      <c r="A883">
        <v>882</v>
      </c>
      <c r="B883" s="1">
        <v>45626</v>
      </c>
      <c r="C883" t="s">
        <v>21</v>
      </c>
      <c r="D883" t="s">
        <v>20</v>
      </c>
      <c r="E883">
        <v>157</v>
      </c>
      <c r="F883">
        <v>72</v>
      </c>
      <c r="G883">
        <v>0.8</v>
      </c>
      <c r="H883" t="s">
        <v>12</v>
      </c>
      <c r="I883" t="s">
        <v>16</v>
      </c>
      <c r="J883" t="s">
        <v>11</v>
      </c>
      <c r="K883">
        <f>_xlfn.XLOOKUP(tbl_analysis_tickets[[#This Row],[priority]],tbl_sla[priority],tbl_sla[Resolution SLA Hours])</f>
        <v>24</v>
      </c>
      <c r="L883">
        <f>_xlfn.XLOOKUP(tbl_analysis_tickets[[#This Row],[priority]],tbl_sla[priority],tbl_sla[First Response SLA Minutes])</f>
        <v>60</v>
      </c>
      <c r="M883" t="str">
        <f>IF(tbl_analysis_tickets[[#This Row],[resolution_time_hours]]&gt;tbl_analysis_tickets[[#This Row],[Resolution SLA Hours]],"Breached","Within SLA")</f>
        <v>Breached</v>
      </c>
      <c r="N883" t="str">
        <f>IF(tbl_analysis_tickets[[#This Row],[first_response_minutes]]&gt;tbl_analysis_tickets[[#This Row],[First Response SLA Minutes]],"Breached","Within SLA")</f>
        <v>Breached</v>
      </c>
      <c r="O883" t="str" cm="1">
        <f t="array" ref="O883">_xlfn.IFS(
tbl_analysis_tickets[[#This Row],[agent_experience_years]]&lt;=2,"Junior",
tbl_analysis_tickets[[#This Row],[agent_experience_years]]&lt;=5,"Mid-Level",
tbl_analysis_tickets[[#This Row],[agent_experience_years]]&lt;=8,"Senior",
tbl_analysis_tickets[[#This Row],[agent_experience_years]]&gt;8,"Expert"
)</f>
        <v>Junior</v>
      </c>
      <c r="P883" cm="1">
        <f t="array" ref="P883">_xlfn.SWITCH(tbl_analysis_tickets[[#This Row],[customer_satisfaction]],
"Low",1,
"Medium",2,
"High",3
)</f>
        <v>1</v>
      </c>
      <c r="Q883">
        <f>IF(tbl_analysis_tickets[[#This Row],[reopened]]="Yes",1,0)</f>
        <v>1</v>
      </c>
      <c r="R883" t="str" cm="1">
        <f t="array" ref="R883">_xlfn.IFS(
tbl_analysis_tickets[[#This Row],[first_response_minutes]]&lt;=30,"Very Fast",
tbl_analysis_tickets[[#This Row],[first_response_minutes]]&lt;=120,"Acceptable",
tbl_analysis_tickets[[#This Row],[first_response_minutes]]&lt;=240,"Slow",
tbl_analysis_tickets[[#This Row],[first_response_minutes]]&gt;240,"Very Slow"
)</f>
        <v>Slow</v>
      </c>
      <c r="S883" t="str" cm="1">
        <f t="array" ref="S88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883" t="str">
        <f>TEXT(tbl_analysis_tickets[[#This Row],[created_date]],"mmm-yyyy")</f>
        <v>Nov-2024</v>
      </c>
      <c r="U883" t="str">
        <f>TEXT(tbl_analysis_tickets[[#This Row],[created_date]],"dddd")</f>
        <v>Saturday</v>
      </c>
      <c r="V883" cm="1">
        <f t="array" ref="V883">_xlfn.SWITCH(tbl_analysis_tickets[[#This Row],[priority]],
"Urgent",1,
"High",2,
"Medium",3,
"Low",4
)</f>
        <v>2</v>
      </c>
    </row>
    <row r="884" spans="1:22" x14ac:dyDescent="0.25">
      <c r="A884">
        <v>883</v>
      </c>
      <c r="B884" s="1">
        <v>45416</v>
      </c>
      <c r="C884" t="s">
        <v>22</v>
      </c>
      <c r="D884" t="s">
        <v>20</v>
      </c>
      <c r="E884">
        <v>150</v>
      </c>
      <c r="F884">
        <v>47</v>
      </c>
      <c r="G884">
        <v>5.5</v>
      </c>
      <c r="H884" t="s">
        <v>18</v>
      </c>
      <c r="I884" t="s">
        <v>19</v>
      </c>
      <c r="J884" t="s">
        <v>11</v>
      </c>
      <c r="K884">
        <f>_xlfn.XLOOKUP(tbl_analysis_tickets[[#This Row],[priority]],tbl_sla[priority],tbl_sla[Resolution SLA Hours])</f>
        <v>24</v>
      </c>
      <c r="L884">
        <f>_xlfn.XLOOKUP(tbl_analysis_tickets[[#This Row],[priority]],tbl_sla[priority],tbl_sla[First Response SLA Minutes])</f>
        <v>60</v>
      </c>
      <c r="M884" t="str">
        <f>IF(tbl_analysis_tickets[[#This Row],[resolution_time_hours]]&gt;tbl_analysis_tickets[[#This Row],[Resolution SLA Hours]],"Breached","Within SLA")</f>
        <v>Breached</v>
      </c>
      <c r="N884" t="str">
        <f>IF(tbl_analysis_tickets[[#This Row],[first_response_minutes]]&gt;tbl_analysis_tickets[[#This Row],[First Response SLA Minutes]],"Breached","Within SLA")</f>
        <v>Breached</v>
      </c>
      <c r="O884" t="str" cm="1">
        <f t="array" ref="O884">_xlfn.IFS(
tbl_analysis_tickets[[#This Row],[agent_experience_years]]&lt;=2,"Junior",
tbl_analysis_tickets[[#This Row],[agent_experience_years]]&lt;=5,"Mid-Level",
tbl_analysis_tickets[[#This Row],[agent_experience_years]]&lt;=8,"Senior",
tbl_analysis_tickets[[#This Row],[agent_experience_years]]&gt;8,"Expert"
)</f>
        <v>Senior</v>
      </c>
      <c r="P884" cm="1">
        <f t="array" ref="P884">_xlfn.SWITCH(tbl_analysis_tickets[[#This Row],[customer_satisfaction]],
"Low",1,
"Medium",2,
"High",3
)</f>
        <v>1</v>
      </c>
      <c r="Q884">
        <f>IF(tbl_analysis_tickets[[#This Row],[reopened]]="Yes",1,0)</f>
        <v>0</v>
      </c>
      <c r="R884" t="str" cm="1">
        <f t="array" ref="R884">_xlfn.IFS(
tbl_analysis_tickets[[#This Row],[first_response_minutes]]&lt;=30,"Very Fast",
tbl_analysis_tickets[[#This Row],[first_response_minutes]]&lt;=120,"Acceptable",
tbl_analysis_tickets[[#This Row],[first_response_minutes]]&lt;=240,"Slow",
tbl_analysis_tickets[[#This Row],[first_response_minutes]]&gt;240,"Very Slow"
)</f>
        <v>Slow</v>
      </c>
      <c r="S884" t="str" cm="1">
        <f t="array" ref="S88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884" t="str">
        <f>TEXT(tbl_analysis_tickets[[#This Row],[created_date]],"mmm-yyyy")</f>
        <v>May-2024</v>
      </c>
      <c r="U884" t="str">
        <f>TEXT(tbl_analysis_tickets[[#This Row],[created_date]],"dddd")</f>
        <v>Saturday</v>
      </c>
      <c r="V884" cm="1">
        <f t="array" ref="V884">_xlfn.SWITCH(tbl_analysis_tickets[[#This Row],[priority]],
"Urgent",1,
"High",2,
"Medium",3,
"Low",4
)</f>
        <v>2</v>
      </c>
    </row>
    <row r="885" spans="1:22" x14ac:dyDescent="0.25">
      <c r="A885">
        <v>884</v>
      </c>
      <c r="B885" s="1">
        <v>45383</v>
      </c>
      <c r="C885" t="s">
        <v>10</v>
      </c>
      <c r="D885" t="s">
        <v>20</v>
      </c>
      <c r="E885">
        <v>39</v>
      </c>
      <c r="F885">
        <v>56</v>
      </c>
      <c r="G885">
        <v>0.9</v>
      </c>
      <c r="H885" t="s">
        <v>18</v>
      </c>
      <c r="I885" t="s">
        <v>19</v>
      </c>
      <c r="J885" t="s">
        <v>11</v>
      </c>
      <c r="K885">
        <f>_xlfn.XLOOKUP(tbl_analysis_tickets[[#This Row],[priority]],tbl_sla[priority],tbl_sla[Resolution SLA Hours])</f>
        <v>24</v>
      </c>
      <c r="L885">
        <f>_xlfn.XLOOKUP(tbl_analysis_tickets[[#This Row],[priority]],tbl_sla[priority],tbl_sla[First Response SLA Minutes])</f>
        <v>60</v>
      </c>
      <c r="M885" t="str">
        <f>IF(tbl_analysis_tickets[[#This Row],[resolution_time_hours]]&gt;tbl_analysis_tickets[[#This Row],[Resolution SLA Hours]],"Breached","Within SLA")</f>
        <v>Breached</v>
      </c>
      <c r="N885" t="str">
        <f>IF(tbl_analysis_tickets[[#This Row],[first_response_minutes]]&gt;tbl_analysis_tickets[[#This Row],[First Response SLA Minutes]],"Breached","Within SLA")</f>
        <v>Within SLA</v>
      </c>
      <c r="O885" t="str" cm="1">
        <f t="array" ref="O885">_xlfn.IFS(
tbl_analysis_tickets[[#This Row],[agent_experience_years]]&lt;=2,"Junior",
tbl_analysis_tickets[[#This Row],[agent_experience_years]]&lt;=5,"Mid-Level",
tbl_analysis_tickets[[#This Row],[agent_experience_years]]&lt;=8,"Senior",
tbl_analysis_tickets[[#This Row],[agent_experience_years]]&gt;8,"Expert"
)</f>
        <v>Junior</v>
      </c>
      <c r="P885" cm="1">
        <f t="array" ref="P885">_xlfn.SWITCH(tbl_analysis_tickets[[#This Row],[customer_satisfaction]],
"Low",1,
"Medium",2,
"High",3
)</f>
        <v>1</v>
      </c>
      <c r="Q885">
        <f>IF(tbl_analysis_tickets[[#This Row],[reopened]]="Yes",1,0)</f>
        <v>0</v>
      </c>
      <c r="R885" t="str" cm="1">
        <f t="array" ref="R885">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885" t="str" cm="1">
        <f t="array" ref="S88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885" t="str">
        <f>TEXT(tbl_analysis_tickets[[#This Row],[created_date]],"mmm-yyyy")</f>
        <v>Apr-2024</v>
      </c>
      <c r="U885" t="str">
        <f>TEXT(tbl_analysis_tickets[[#This Row],[created_date]],"dddd")</f>
        <v>Monday</v>
      </c>
      <c r="V885" cm="1">
        <f t="array" ref="V885">_xlfn.SWITCH(tbl_analysis_tickets[[#This Row],[priority]],
"Urgent",1,
"High",2,
"Medium",3,
"Low",4
)</f>
        <v>2</v>
      </c>
    </row>
    <row r="886" spans="1:22" x14ac:dyDescent="0.25">
      <c r="A886">
        <v>885</v>
      </c>
      <c r="B886" s="1">
        <v>45445</v>
      </c>
      <c r="C886" t="s">
        <v>10</v>
      </c>
      <c r="D886" t="s">
        <v>20</v>
      </c>
      <c r="E886">
        <v>78</v>
      </c>
      <c r="F886">
        <v>21</v>
      </c>
      <c r="G886">
        <v>8.9</v>
      </c>
      <c r="H886" t="s">
        <v>18</v>
      </c>
      <c r="I886" t="s">
        <v>13</v>
      </c>
      <c r="J886" t="s">
        <v>11</v>
      </c>
      <c r="K886">
        <f>_xlfn.XLOOKUP(tbl_analysis_tickets[[#This Row],[priority]],tbl_sla[priority],tbl_sla[Resolution SLA Hours])</f>
        <v>24</v>
      </c>
      <c r="L886">
        <f>_xlfn.XLOOKUP(tbl_analysis_tickets[[#This Row],[priority]],tbl_sla[priority],tbl_sla[First Response SLA Minutes])</f>
        <v>60</v>
      </c>
      <c r="M886" t="str">
        <f>IF(tbl_analysis_tickets[[#This Row],[resolution_time_hours]]&gt;tbl_analysis_tickets[[#This Row],[Resolution SLA Hours]],"Breached","Within SLA")</f>
        <v>Within SLA</v>
      </c>
      <c r="N886" t="str">
        <f>IF(tbl_analysis_tickets[[#This Row],[first_response_minutes]]&gt;tbl_analysis_tickets[[#This Row],[First Response SLA Minutes]],"Breached","Within SLA")</f>
        <v>Breached</v>
      </c>
      <c r="O886" t="str" cm="1">
        <f t="array" ref="O886">_xlfn.IFS(
tbl_analysis_tickets[[#This Row],[agent_experience_years]]&lt;=2,"Junior",
tbl_analysis_tickets[[#This Row],[agent_experience_years]]&lt;=5,"Mid-Level",
tbl_analysis_tickets[[#This Row],[agent_experience_years]]&lt;=8,"Senior",
tbl_analysis_tickets[[#This Row],[agent_experience_years]]&gt;8,"Expert"
)</f>
        <v>Expert</v>
      </c>
      <c r="P886" cm="1">
        <f t="array" ref="P886">_xlfn.SWITCH(tbl_analysis_tickets[[#This Row],[customer_satisfaction]],
"Low",1,
"Medium",2,
"High",3
)</f>
        <v>1</v>
      </c>
      <c r="Q886">
        <f>IF(tbl_analysis_tickets[[#This Row],[reopened]]="Yes",1,0)</f>
        <v>0</v>
      </c>
      <c r="R886" t="str" cm="1">
        <f t="array" ref="R886">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886" t="str" cm="1">
        <f t="array" ref="S88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886" t="str">
        <f>TEXT(tbl_analysis_tickets[[#This Row],[created_date]],"mmm-yyyy")</f>
        <v>Jun-2024</v>
      </c>
      <c r="U886" t="str">
        <f>TEXT(tbl_analysis_tickets[[#This Row],[created_date]],"dddd")</f>
        <v>Sunday</v>
      </c>
      <c r="V886" cm="1">
        <f t="array" ref="V886">_xlfn.SWITCH(tbl_analysis_tickets[[#This Row],[priority]],
"Urgent",1,
"High",2,
"Medium",3,
"Low",4
)</f>
        <v>2</v>
      </c>
    </row>
    <row r="887" spans="1:22" x14ac:dyDescent="0.25">
      <c r="A887">
        <v>886</v>
      </c>
      <c r="B887" s="1">
        <v>45366</v>
      </c>
      <c r="C887" t="s">
        <v>21</v>
      </c>
      <c r="D887" t="s">
        <v>11</v>
      </c>
      <c r="E887">
        <v>106</v>
      </c>
      <c r="F887">
        <v>37</v>
      </c>
      <c r="G887">
        <v>5.6</v>
      </c>
      <c r="H887" t="s">
        <v>12</v>
      </c>
      <c r="I887" t="s">
        <v>13</v>
      </c>
      <c r="J887" t="s">
        <v>11</v>
      </c>
      <c r="K887">
        <f>_xlfn.XLOOKUP(tbl_analysis_tickets[[#This Row],[priority]],tbl_sla[priority],tbl_sla[Resolution SLA Hours])</f>
        <v>72</v>
      </c>
      <c r="L887">
        <f>_xlfn.XLOOKUP(tbl_analysis_tickets[[#This Row],[priority]],tbl_sla[priority],tbl_sla[First Response SLA Minutes])</f>
        <v>240</v>
      </c>
      <c r="M887" t="str">
        <f>IF(tbl_analysis_tickets[[#This Row],[resolution_time_hours]]&gt;tbl_analysis_tickets[[#This Row],[Resolution SLA Hours]],"Breached","Within SLA")</f>
        <v>Within SLA</v>
      </c>
      <c r="N887" t="str">
        <f>IF(tbl_analysis_tickets[[#This Row],[first_response_minutes]]&gt;tbl_analysis_tickets[[#This Row],[First Response SLA Minutes]],"Breached","Within SLA")</f>
        <v>Within SLA</v>
      </c>
      <c r="O887" t="str" cm="1">
        <f t="array" ref="O887">_xlfn.IFS(
tbl_analysis_tickets[[#This Row],[agent_experience_years]]&lt;=2,"Junior",
tbl_analysis_tickets[[#This Row],[agent_experience_years]]&lt;=5,"Mid-Level",
tbl_analysis_tickets[[#This Row],[agent_experience_years]]&lt;=8,"Senior",
tbl_analysis_tickets[[#This Row],[agent_experience_years]]&gt;8,"Expert"
)</f>
        <v>Senior</v>
      </c>
      <c r="P887" cm="1">
        <f t="array" ref="P887">_xlfn.SWITCH(tbl_analysis_tickets[[#This Row],[customer_satisfaction]],
"Low",1,
"Medium",2,
"High",3
)</f>
        <v>1</v>
      </c>
      <c r="Q887">
        <f>IF(tbl_analysis_tickets[[#This Row],[reopened]]="Yes",1,0)</f>
        <v>1</v>
      </c>
      <c r="R887" t="str" cm="1">
        <f t="array" ref="R887">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887" t="str" cm="1">
        <f t="array" ref="S88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887" t="str">
        <f>TEXT(tbl_analysis_tickets[[#This Row],[created_date]],"mmm-yyyy")</f>
        <v>Mar-2024</v>
      </c>
      <c r="U887" t="str">
        <f>TEXT(tbl_analysis_tickets[[#This Row],[created_date]],"dddd")</f>
        <v>Friday</v>
      </c>
      <c r="V887" cm="1">
        <f t="array" ref="V887">_xlfn.SWITCH(tbl_analysis_tickets[[#This Row],[priority]],
"Urgent",1,
"High",2,
"Medium",3,
"Low",4
)</f>
        <v>4</v>
      </c>
    </row>
    <row r="888" spans="1:22" x14ac:dyDescent="0.25">
      <c r="A888">
        <v>887</v>
      </c>
      <c r="B888" s="1">
        <v>45452</v>
      </c>
      <c r="C888" t="s">
        <v>10</v>
      </c>
      <c r="D888" t="s">
        <v>20</v>
      </c>
      <c r="E888">
        <v>19</v>
      </c>
      <c r="F888">
        <v>8</v>
      </c>
      <c r="G888">
        <v>9</v>
      </c>
      <c r="H888" t="s">
        <v>18</v>
      </c>
      <c r="I888" t="s">
        <v>16</v>
      </c>
      <c r="J888" t="s">
        <v>15</v>
      </c>
      <c r="K888">
        <f>_xlfn.XLOOKUP(tbl_analysis_tickets[[#This Row],[priority]],tbl_sla[priority],tbl_sla[Resolution SLA Hours])</f>
        <v>24</v>
      </c>
      <c r="L888">
        <f>_xlfn.XLOOKUP(tbl_analysis_tickets[[#This Row],[priority]],tbl_sla[priority],tbl_sla[First Response SLA Minutes])</f>
        <v>60</v>
      </c>
      <c r="M888" t="str">
        <f>IF(tbl_analysis_tickets[[#This Row],[resolution_time_hours]]&gt;tbl_analysis_tickets[[#This Row],[Resolution SLA Hours]],"Breached","Within SLA")</f>
        <v>Within SLA</v>
      </c>
      <c r="N888" t="str">
        <f>IF(tbl_analysis_tickets[[#This Row],[first_response_minutes]]&gt;tbl_analysis_tickets[[#This Row],[First Response SLA Minutes]],"Breached","Within SLA")</f>
        <v>Within SLA</v>
      </c>
      <c r="O888" t="str" cm="1">
        <f t="array" ref="O888">_xlfn.IFS(
tbl_analysis_tickets[[#This Row],[agent_experience_years]]&lt;=2,"Junior",
tbl_analysis_tickets[[#This Row],[agent_experience_years]]&lt;=5,"Mid-Level",
tbl_analysis_tickets[[#This Row],[agent_experience_years]]&lt;=8,"Senior",
tbl_analysis_tickets[[#This Row],[agent_experience_years]]&gt;8,"Expert"
)</f>
        <v>Expert</v>
      </c>
      <c r="P888" cm="1">
        <f t="array" ref="P888">_xlfn.SWITCH(tbl_analysis_tickets[[#This Row],[customer_satisfaction]],
"Low",1,
"Medium",2,
"High",3
)</f>
        <v>2</v>
      </c>
      <c r="Q888">
        <f>IF(tbl_analysis_tickets[[#This Row],[reopened]]="Yes",1,0)</f>
        <v>0</v>
      </c>
      <c r="R888" t="str" cm="1">
        <f t="array" ref="R888">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888" t="str" cm="1">
        <f t="array" ref="S88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888" t="str">
        <f>TEXT(tbl_analysis_tickets[[#This Row],[created_date]],"mmm-yyyy")</f>
        <v>Jun-2024</v>
      </c>
      <c r="U888" t="str">
        <f>TEXT(tbl_analysis_tickets[[#This Row],[created_date]],"dddd")</f>
        <v>Sunday</v>
      </c>
      <c r="V888" cm="1">
        <f t="array" ref="V888">_xlfn.SWITCH(tbl_analysis_tickets[[#This Row],[priority]],
"Urgent",1,
"High",2,
"Medium",3,
"Low",4
)</f>
        <v>2</v>
      </c>
    </row>
    <row r="889" spans="1:22" x14ac:dyDescent="0.25">
      <c r="A889">
        <v>888</v>
      </c>
      <c r="B889" s="1">
        <v>45525</v>
      </c>
      <c r="C889" t="s">
        <v>21</v>
      </c>
      <c r="D889" t="s">
        <v>15</v>
      </c>
      <c r="E889">
        <v>38</v>
      </c>
      <c r="F889">
        <v>41</v>
      </c>
      <c r="G889">
        <v>9.8000000000000007</v>
      </c>
      <c r="H889" t="s">
        <v>12</v>
      </c>
      <c r="I889" t="s">
        <v>13</v>
      </c>
      <c r="J889" t="s">
        <v>11</v>
      </c>
      <c r="K889">
        <f>_xlfn.XLOOKUP(tbl_analysis_tickets[[#This Row],[priority]],tbl_sla[priority],tbl_sla[Resolution SLA Hours])</f>
        <v>48</v>
      </c>
      <c r="L889">
        <f>_xlfn.XLOOKUP(tbl_analysis_tickets[[#This Row],[priority]],tbl_sla[priority],tbl_sla[First Response SLA Minutes])</f>
        <v>120</v>
      </c>
      <c r="M889" t="str">
        <f>IF(tbl_analysis_tickets[[#This Row],[resolution_time_hours]]&gt;tbl_analysis_tickets[[#This Row],[Resolution SLA Hours]],"Breached","Within SLA")</f>
        <v>Within SLA</v>
      </c>
      <c r="N889" t="str">
        <f>IF(tbl_analysis_tickets[[#This Row],[first_response_minutes]]&gt;tbl_analysis_tickets[[#This Row],[First Response SLA Minutes]],"Breached","Within SLA")</f>
        <v>Within SLA</v>
      </c>
      <c r="O889" t="str" cm="1">
        <f t="array" ref="O889">_xlfn.IFS(
tbl_analysis_tickets[[#This Row],[agent_experience_years]]&lt;=2,"Junior",
tbl_analysis_tickets[[#This Row],[agent_experience_years]]&lt;=5,"Mid-Level",
tbl_analysis_tickets[[#This Row],[agent_experience_years]]&lt;=8,"Senior",
tbl_analysis_tickets[[#This Row],[agent_experience_years]]&gt;8,"Expert"
)</f>
        <v>Expert</v>
      </c>
      <c r="P889" cm="1">
        <f t="array" ref="P889">_xlfn.SWITCH(tbl_analysis_tickets[[#This Row],[customer_satisfaction]],
"Low",1,
"Medium",2,
"High",3
)</f>
        <v>1</v>
      </c>
      <c r="Q889">
        <f>IF(tbl_analysis_tickets[[#This Row],[reopened]]="Yes",1,0)</f>
        <v>1</v>
      </c>
      <c r="R889" t="str" cm="1">
        <f t="array" ref="R889">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889" t="str" cm="1">
        <f t="array" ref="S88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889" t="str">
        <f>TEXT(tbl_analysis_tickets[[#This Row],[created_date]],"mmm-yyyy")</f>
        <v>Aug-2024</v>
      </c>
      <c r="U889" t="str">
        <f>TEXT(tbl_analysis_tickets[[#This Row],[created_date]],"dddd")</f>
        <v>Wednesday</v>
      </c>
      <c r="V889" cm="1">
        <f t="array" ref="V889">_xlfn.SWITCH(tbl_analysis_tickets[[#This Row],[priority]],
"Urgent",1,
"High",2,
"Medium",3,
"Low",4
)</f>
        <v>3</v>
      </c>
    </row>
    <row r="890" spans="1:22" x14ac:dyDescent="0.25">
      <c r="A890">
        <v>889</v>
      </c>
      <c r="B890" s="1">
        <v>45365</v>
      </c>
      <c r="C890" t="s">
        <v>23</v>
      </c>
      <c r="D890" t="s">
        <v>17</v>
      </c>
      <c r="E890">
        <v>83</v>
      </c>
      <c r="F890">
        <v>38</v>
      </c>
      <c r="G890">
        <v>5.0999999999999996</v>
      </c>
      <c r="H890" t="s">
        <v>12</v>
      </c>
      <c r="I890" t="s">
        <v>13</v>
      </c>
      <c r="J890" t="s">
        <v>11</v>
      </c>
      <c r="K890">
        <f>_xlfn.XLOOKUP(tbl_analysis_tickets[[#This Row],[priority]],tbl_sla[priority],tbl_sla[Resolution SLA Hours])</f>
        <v>8</v>
      </c>
      <c r="L890">
        <f>_xlfn.XLOOKUP(tbl_analysis_tickets[[#This Row],[priority]],tbl_sla[priority],tbl_sla[First Response SLA Minutes])</f>
        <v>30</v>
      </c>
      <c r="M890" t="str">
        <f>IF(tbl_analysis_tickets[[#This Row],[resolution_time_hours]]&gt;tbl_analysis_tickets[[#This Row],[Resolution SLA Hours]],"Breached","Within SLA")</f>
        <v>Breached</v>
      </c>
      <c r="N890" t="str">
        <f>IF(tbl_analysis_tickets[[#This Row],[first_response_minutes]]&gt;tbl_analysis_tickets[[#This Row],[First Response SLA Minutes]],"Breached","Within SLA")</f>
        <v>Breached</v>
      </c>
      <c r="O890" t="str" cm="1">
        <f t="array" ref="O890">_xlfn.IFS(
tbl_analysis_tickets[[#This Row],[agent_experience_years]]&lt;=2,"Junior",
tbl_analysis_tickets[[#This Row],[agent_experience_years]]&lt;=5,"Mid-Level",
tbl_analysis_tickets[[#This Row],[agent_experience_years]]&lt;=8,"Senior",
tbl_analysis_tickets[[#This Row],[agent_experience_years]]&gt;8,"Expert"
)</f>
        <v>Senior</v>
      </c>
      <c r="P890" cm="1">
        <f t="array" ref="P890">_xlfn.SWITCH(tbl_analysis_tickets[[#This Row],[customer_satisfaction]],
"Low",1,
"Medium",2,
"High",3
)</f>
        <v>1</v>
      </c>
      <c r="Q890">
        <f>IF(tbl_analysis_tickets[[#This Row],[reopened]]="Yes",1,0)</f>
        <v>1</v>
      </c>
      <c r="R890" t="str" cm="1">
        <f t="array" ref="R890">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890" t="str" cm="1">
        <f t="array" ref="S89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890" t="str">
        <f>TEXT(tbl_analysis_tickets[[#This Row],[created_date]],"mmm-yyyy")</f>
        <v>Mar-2024</v>
      </c>
      <c r="U890" t="str">
        <f>TEXT(tbl_analysis_tickets[[#This Row],[created_date]],"dddd")</f>
        <v>Thursday</v>
      </c>
      <c r="V890" cm="1">
        <f t="array" ref="V890">_xlfn.SWITCH(tbl_analysis_tickets[[#This Row],[priority]],
"Urgent",1,
"High",2,
"Medium",3,
"Low",4
)</f>
        <v>1</v>
      </c>
    </row>
    <row r="891" spans="1:22" x14ac:dyDescent="0.25">
      <c r="A891">
        <v>890</v>
      </c>
      <c r="B891" s="1">
        <v>45644</v>
      </c>
      <c r="C891" t="s">
        <v>22</v>
      </c>
      <c r="D891" t="s">
        <v>20</v>
      </c>
      <c r="E891">
        <v>103</v>
      </c>
      <c r="F891">
        <v>37</v>
      </c>
      <c r="G891">
        <v>9.5</v>
      </c>
      <c r="H891" t="s">
        <v>12</v>
      </c>
      <c r="I891" t="s">
        <v>13</v>
      </c>
      <c r="J891" t="s">
        <v>11</v>
      </c>
      <c r="K891">
        <f>_xlfn.XLOOKUP(tbl_analysis_tickets[[#This Row],[priority]],tbl_sla[priority],tbl_sla[Resolution SLA Hours])</f>
        <v>24</v>
      </c>
      <c r="L891">
        <f>_xlfn.XLOOKUP(tbl_analysis_tickets[[#This Row],[priority]],tbl_sla[priority],tbl_sla[First Response SLA Minutes])</f>
        <v>60</v>
      </c>
      <c r="M891" t="str">
        <f>IF(tbl_analysis_tickets[[#This Row],[resolution_time_hours]]&gt;tbl_analysis_tickets[[#This Row],[Resolution SLA Hours]],"Breached","Within SLA")</f>
        <v>Breached</v>
      </c>
      <c r="N891" t="str">
        <f>IF(tbl_analysis_tickets[[#This Row],[first_response_minutes]]&gt;tbl_analysis_tickets[[#This Row],[First Response SLA Minutes]],"Breached","Within SLA")</f>
        <v>Breached</v>
      </c>
      <c r="O891" t="str" cm="1">
        <f t="array" ref="O891">_xlfn.IFS(
tbl_analysis_tickets[[#This Row],[agent_experience_years]]&lt;=2,"Junior",
tbl_analysis_tickets[[#This Row],[agent_experience_years]]&lt;=5,"Mid-Level",
tbl_analysis_tickets[[#This Row],[agent_experience_years]]&lt;=8,"Senior",
tbl_analysis_tickets[[#This Row],[agent_experience_years]]&gt;8,"Expert"
)</f>
        <v>Expert</v>
      </c>
      <c r="P891" cm="1">
        <f t="array" ref="P891">_xlfn.SWITCH(tbl_analysis_tickets[[#This Row],[customer_satisfaction]],
"Low",1,
"Medium",2,
"High",3
)</f>
        <v>1</v>
      </c>
      <c r="Q891">
        <f>IF(tbl_analysis_tickets[[#This Row],[reopened]]="Yes",1,0)</f>
        <v>1</v>
      </c>
      <c r="R891" t="str" cm="1">
        <f t="array" ref="R891">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891" t="str" cm="1">
        <f t="array" ref="S89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891" t="str">
        <f>TEXT(tbl_analysis_tickets[[#This Row],[created_date]],"mmm-yyyy")</f>
        <v>Dec-2024</v>
      </c>
      <c r="U891" t="str">
        <f>TEXT(tbl_analysis_tickets[[#This Row],[created_date]],"dddd")</f>
        <v>Wednesday</v>
      </c>
      <c r="V891" cm="1">
        <f t="array" ref="V891">_xlfn.SWITCH(tbl_analysis_tickets[[#This Row],[priority]],
"Urgent",1,
"High",2,
"Medium",3,
"Low",4
)</f>
        <v>2</v>
      </c>
    </row>
    <row r="892" spans="1:22" x14ac:dyDescent="0.25">
      <c r="A892">
        <v>891</v>
      </c>
      <c r="B892" s="1">
        <v>45436</v>
      </c>
      <c r="C892" t="s">
        <v>10</v>
      </c>
      <c r="D892" t="s">
        <v>20</v>
      </c>
      <c r="E892">
        <v>20</v>
      </c>
      <c r="F892">
        <v>70</v>
      </c>
      <c r="G892">
        <v>2.6</v>
      </c>
      <c r="H892" t="s">
        <v>12</v>
      </c>
      <c r="I892" t="s">
        <v>13</v>
      </c>
      <c r="J892" t="s">
        <v>11</v>
      </c>
      <c r="K892">
        <f>_xlfn.XLOOKUP(tbl_analysis_tickets[[#This Row],[priority]],tbl_sla[priority],tbl_sla[Resolution SLA Hours])</f>
        <v>24</v>
      </c>
      <c r="L892">
        <f>_xlfn.XLOOKUP(tbl_analysis_tickets[[#This Row],[priority]],tbl_sla[priority],tbl_sla[First Response SLA Minutes])</f>
        <v>60</v>
      </c>
      <c r="M892" t="str">
        <f>IF(tbl_analysis_tickets[[#This Row],[resolution_time_hours]]&gt;tbl_analysis_tickets[[#This Row],[Resolution SLA Hours]],"Breached","Within SLA")</f>
        <v>Breached</v>
      </c>
      <c r="N892" t="str">
        <f>IF(tbl_analysis_tickets[[#This Row],[first_response_minutes]]&gt;tbl_analysis_tickets[[#This Row],[First Response SLA Minutes]],"Breached","Within SLA")</f>
        <v>Within SLA</v>
      </c>
      <c r="O892" t="str" cm="1">
        <f t="array" ref="O892">_xlfn.IFS(
tbl_analysis_tickets[[#This Row],[agent_experience_years]]&lt;=2,"Junior",
tbl_analysis_tickets[[#This Row],[agent_experience_years]]&lt;=5,"Mid-Level",
tbl_analysis_tickets[[#This Row],[agent_experience_years]]&lt;=8,"Senior",
tbl_analysis_tickets[[#This Row],[agent_experience_years]]&gt;8,"Expert"
)</f>
        <v>Mid-Level</v>
      </c>
      <c r="P892" cm="1">
        <f t="array" ref="P892">_xlfn.SWITCH(tbl_analysis_tickets[[#This Row],[customer_satisfaction]],
"Low",1,
"Medium",2,
"High",3
)</f>
        <v>1</v>
      </c>
      <c r="Q892">
        <f>IF(tbl_analysis_tickets[[#This Row],[reopened]]="Yes",1,0)</f>
        <v>1</v>
      </c>
      <c r="R892" t="str" cm="1">
        <f t="array" ref="R892">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892" t="str" cm="1">
        <f t="array" ref="S89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892" t="str">
        <f>TEXT(tbl_analysis_tickets[[#This Row],[created_date]],"mmm-yyyy")</f>
        <v>May-2024</v>
      </c>
      <c r="U892" t="str">
        <f>TEXT(tbl_analysis_tickets[[#This Row],[created_date]],"dddd")</f>
        <v>Friday</v>
      </c>
      <c r="V892" cm="1">
        <f t="array" ref="V892">_xlfn.SWITCH(tbl_analysis_tickets[[#This Row],[priority]],
"Urgent",1,
"High",2,
"Medium",3,
"Low",4
)</f>
        <v>2</v>
      </c>
    </row>
    <row r="893" spans="1:22" x14ac:dyDescent="0.25">
      <c r="A893">
        <v>892</v>
      </c>
      <c r="B893" s="1">
        <v>45417</v>
      </c>
      <c r="C893" t="s">
        <v>22</v>
      </c>
      <c r="D893" t="s">
        <v>11</v>
      </c>
      <c r="E893">
        <v>42</v>
      </c>
      <c r="F893">
        <v>67</v>
      </c>
      <c r="G893">
        <v>5.4</v>
      </c>
      <c r="H893" t="s">
        <v>12</v>
      </c>
      <c r="I893" t="s">
        <v>16</v>
      </c>
      <c r="J893" t="s">
        <v>11</v>
      </c>
      <c r="K893">
        <f>_xlfn.XLOOKUP(tbl_analysis_tickets[[#This Row],[priority]],tbl_sla[priority],tbl_sla[Resolution SLA Hours])</f>
        <v>72</v>
      </c>
      <c r="L893">
        <f>_xlfn.XLOOKUP(tbl_analysis_tickets[[#This Row],[priority]],tbl_sla[priority],tbl_sla[First Response SLA Minutes])</f>
        <v>240</v>
      </c>
      <c r="M893" t="str">
        <f>IF(tbl_analysis_tickets[[#This Row],[resolution_time_hours]]&gt;tbl_analysis_tickets[[#This Row],[Resolution SLA Hours]],"Breached","Within SLA")</f>
        <v>Within SLA</v>
      </c>
      <c r="N893" t="str">
        <f>IF(tbl_analysis_tickets[[#This Row],[first_response_minutes]]&gt;tbl_analysis_tickets[[#This Row],[First Response SLA Minutes]],"Breached","Within SLA")</f>
        <v>Within SLA</v>
      </c>
      <c r="O893" t="str" cm="1">
        <f t="array" ref="O893">_xlfn.IFS(
tbl_analysis_tickets[[#This Row],[agent_experience_years]]&lt;=2,"Junior",
tbl_analysis_tickets[[#This Row],[agent_experience_years]]&lt;=5,"Mid-Level",
tbl_analysis_tickets[[#This Row],[agent_experience_years]]&lt;=8,"Senior",
tbl_analysis_tickets[[#This Row],[agent_experience_years]]&gt;8,"Expert"
)</f>
        <v>Senior</v>
      </c>
      <c r="P893" cm="1">
        <f t="array" ref="P893">_xlfn.SWITCH(tbl_analysis_tickets[[#This Row],[customer_satisfaction]],
"Low",1,
"Medium",2,
"High",3
)</f>
        <v>1</v>
      </c>
      <c r="Q893">
        <f>IF(tbl_analysis_tickets[[#This Row],[reopened]]="Yes",1,0)</f>
        <v>1</v>
      </c>
      <c r="R893" t="str" cm="1">
        <f t="array" ref="R893">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893" t="str" cm="1">
        <f t="array" ref="S89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893" t="str">
        <f>TEXT(tbl_analysis_tickets[[#This Row],[created_date]],"mmm-yyyy")</f>
        <v>May-2024</v>
      </c>
      <c r="U893" t="str">
        <f>TEXT(tbl_analysis_tickets[[#This Row],[created_date]],"dddd")</f>
        <v>Sunday</v>
      </c>
      <c r="V893" cm="1">
        <f t="array" ref="V893">_xlfn.SWITCH(tbl_analysis_tickets[[#This Row],[priority]],
"Urgent",1,
"High",2,
"Medium",3,
"Low",4
)</f>
        <v>4</v>
      </c>
    </row>
    <row r="894" spans="1:22" x14ac:dyDescent="0.25">
      <c r="A894">
        <v>893</v>
      </c>
      <c r="B894" s="1">
        <v>45377</v>
      </c>
      <c r="C894" t="s">
        <v>22</v>
      </c>
      <c r="D894" t="s">
        <v>17</v>
      </c>
      <c r="E894">
        <v>206</v>
      </c>
      <c r="F894">
        <v>25</v>
      </c>
      <c r="G894">
        <v>3.8</v>
      </c>
      <c r="H894" t="s">
        <v>12</v>
      </c>
      <c r="I894" t="s">
        <v>16</v>
      </c>
      <c r="J894" t="s">
        <v>11</v>
      </c>
      <c r="K894">
        <f>_xlfn.XLOOKUP(tbl_analysis_tickets[[#This Row],[priority]],tbl_sla[priority],tbl_sla[Resolution SLA Hours])</f>
        <v>8</v>
      </c>
      <c r="L894">
        <f>_xlfn.XLOOKUP(tbl_analysis_tickets[[#This Row],[priority]],tbl_sla[priority],tbl_sla[First Response SLA Minutes])</f>
        <v>30</v>
      </c>
      <c r="M894" t="str">
        <f>IF(tbl_analysis_tickets[[#This Row],[resolution_time_hours]]&gt;tbl_analysis_tickets[[#This Row],[Resolution SLA Hours]],"Breached","Within SLA")</f>
        <v>Breached</v>
      </c>
      <c r="N894" t="str">
        <f>IF(tbl_analysis_tickets[[#This Row],[first_response_minutes]]&gt;tbl_analysis_tickets[[#This Row],[First Response SLA Minutes]],"Breached","Within SLA")</f>
        <v>Breached</v>
      </c>
      <c r="O894" t="str" cm="1">
        <f t="array" ref="O894">_xlfn.IFS(
tbl_analysis_tickets[[#This Row],[agent_experience_years]]&lt;=2,"Junior",
tbl_analysis_tickets[[#This Row],[agent_experience_years]]&lt;=5,"Mid-Level",
tbl_analysis_tickets[[#This Row],[agent_experience_years]]&lt;=8,"Senior",
tbl_analysis_tickets[[#This Row],[agent_experience_years]]&gt;8,"Expert"
)</f>
        <v>Mid-Level</v>
      </c>
      <c r="P894" cm="1">
        <f t="array" ref="P894">_xlfn.SWITCH(tbl_analysis_tickets[[#This Row],[customer_satisfaction]],
"Low",1,
"Medium",2,
"High",3
)</f>
        <v>1</v>
      </c>
      <c r="Q894">
        <f>IF(tbl_analysis_tickets[[#This Row],[reopened]]="Yes",1,0)</f>
        <v>1</v>
      </c>
      <c r="R894" t="str" cm="1">
        <f t="array" ref="R894">_xlfn.IFS(
tbl_analysis_tickets[[#This Row],[first_response_minutes]]&lt;=30,"Very Fast",
tbl_analysis_tickets[[#This Row],[first_response_minutes]]&lt;=120,"Acceptable",
tbl_analysis_tickets[[#This Row],[first_response_minutes]]&lt;=240,"Slow",
tbl_analysis_tickets[[#This Row],[first_response_minutes]]&gt;240,"Very Slow"
)</f>
        <v>Slow</v>
      </c>
      <c r="S894" t="str" cm="1">
        <f t="array" ref="S89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894" t="str">
        <f>TEXT(tbl_analysis_tickets[[#This Row],[created_date]],"mmm-yyyy")</f>
        <v>Mar-2024</v>
      </c>
      <c r="U894" t="str">
        <f>TEXT(tbl_analysis_tickets[[#This Row],[created_date]],"dddd")</f>
        <v>Tuesday</v>
      </c>
      <c r="V894" cm="1">
        <f t="array" ref="V894">_xlfn.SWITCH(tbl_analysis_tickets[[#This Row],[priority]],
"Urgent",1,
"High",2,
"Medium",3,
"Low",4
)</f>
        <v>1</v>
      </c>
    </row>
    <row r="895" spans="1:22" x14ac:dyDescent="0.25">
      <c r="A895">
        <v>894</v>
      </c>
      <c r="B895" s="1">
        <v>45331</v>
      </c>
      <c r="C895" t="s">
        <v>14</v>
      </c>
      <c r="D895" t="s">
        <v>15</v>
      </c>
      <c r="E895">
        <v>216</v>
      </c>
      <c r="F895">
        <v>46</v>
      </c>
      <c r="G895">
        <v>8</v>
      </c>
      <c r="H895" t="s">
        <v>12</v>
      </c>
      <c r="I895" t="s">
        <v>19</v>
      </c>
      <c r="J895" t="s">
        <v>11</v>
      </c>
      <c r="K895">
        <f>_xlfn.XLOOKUP(tbl_analysis_tickets[[#This Row],[priority]],tbl_sla[priority],tbl_sla[Resolution SLA Hours])</f>
        <v>48</v>
      </c>
      <c r="L895">
        <f>_xlfn.XLOOKUP(tbl_analysis_tickets[[#This Row],[priority]],tbl_sla[priority],tbl_sla[First Response SLA Minutes])</f>
        <v>120</v>
      </c>
      <c r="M895" t="str">
        <f>IF(tbl_analysis_tickets[[#This Row],[resolution_time_hours]]&gt;tbl_analysis_tickets[[#This Row],[Resolution SLA Hours]],"Breached","Within SLA")</f>
        <v>Within SLA</v>
      </c>
      <c r="N895" t="str">
        <f>IF(tbl_analysis_tickets[[#This Row],[first_response_minutes]]&gt;tbl_analysis_tickets[[#This Row],[First Response SLA Minutes]],"Breached","Within SLA")</f>
        <v>Breached</v>
      </c>
      <c r="O895" t="str" cm="1">
        <f t="array" ref="O895">_xlfn.IFS(
tbl_analysis_tickets[[#This Row],[agent_experience_years]]&lt;=2,"Junior",
tbl_analysis_tickets[[#This Row],[agent_experience_years]]&lt;=5,"Mid-Level",
tbl_analysis_tickets[[#This Row],[agent_experience_years]]&lt;=8,"Senior",
tbl_analysis_tickets[[#This Row],[agent_experience_years]]&gt;8,"Expert"
)</f>
        <v>Senior</v>
      </c>
      <c r="P895" cm="1">
        <f t="array" ref="P895">_xlfn.SWITCH(tbl_analysis_tickets[[#This Row],[customer_satisfaction]],
"Low",1,
"Medium",2,
"High",3
)</f>
        <v>1</v>
      </c>
      <c r="Q895">
        <f>IF(tbl_analysis_tickets[[#This Row],[reopened]]="Yes",1,0)</f>
        <v>1</v>
      </c>
      <c r="R895" t="str" cm="1">
        <f t="array" ref="R895">_xlfn.IFS(
tbl_analysis_tickets[[#This Row],[first_response_minutes]]&lt;=30,"Very Fast",
tbl_analysis_tickets[[#This Row],[first_response_minutes]]&lt;=120,"Acceptable",
tbl_analysis_tickets[[#This Row],[first_response_minutes]]&lt;=240,"Slow",
tbl_analysis_tickets[[#This Row],[first_response_minutes]]&gt;240,"Very Slow"
)</f>
        <v>Slow</v>
      </c>
      <c r="S895" t="str" cm="1">
        <f t="array" ref="S89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895" t="str">
        <f>TEXT(tbl_analysis_tickets[[#This Row],[created_date]],"mmm-yyyy")</f>
        <v>Feb-2024</v>
      </c>
      <c r="U895" t="str">
        <f>TEXT(tbl_analysis_tickets[[#This Row],[created_date]],"dddd")</f>
        <v>Friday</v>
      </c>
      <c r="V895" cm="1">
        <f t="array" ref="V895">_xlfn.SWITCH(tbl_analysis_tickets[[#This Row],[priority]],
"Urgent",1,
"High",2,
"Medium",3,
"Low",4
)</f>
        <v>3</v>
      </c>
    </row>
    <row r="896" spans="1:22" x14ac:dyDescent="0.25">
      <c r="A896">
        <v>895</v>
      </c>
      <c r="B896" s="1">
        <v>45365</v>
      </c>
      <c r="C896" t="s">
        <v>14</v>
      </c>
      <c r="D896" t="s">
        <v>11</v>
      </c>
      <c r="E896">
        <v>52</v>
      </c>
      <c r="F896">
        <v>42</v>
      </c>
      <c r="G896">
        <v>1.9</v>
      </c>
      <c r="H896" t="s">
        <v>18</v>
      </c>
      <c r="I896" t="s">
        <v>19</v>
      </c>
      <c r="J896" t="s">
        <v>11</v>
      </c>
      <c r="K896">
        <f>_xlfn.XLOOKUP(tbl_analysis_tickets[[#This Row],[priority]],tbl_sla[priority],tbl_sla[Resolution SLA Hours])</f>
        <v>72</v>
      </c>
      <c r="L896">
        <f>_xlfn.XLOOKUP(tbl_analysis_tickets[[#This Row],[priority]],tbl_sla[priority],tbl_sla[First Response SLA Minutes])</f>
        <v>240</v>
      </c>
      <c r="M896" t="str">
        <f>IF(tbl_analysis_tickets[[#This Row],[resolution_time_hours]]&gt;tbl_analysis_tickets[[#This Row],[Resolution SLA Hours]],"Breached","Within SLA")</f>
        <v>Within SLA</v>
      </c>
      <c r="N896" t="str">
        <f>IF(tbl_analysis_tickets[[#This Row],[first_response_minutes]]&gt;tbl_analysis_tickets[[#This Row],[First Response SLA Minutes]],"Breached","Within SLA")</f>
        <v>Within SLA</v>
      </c>
      <c r="O896" t="str" cm="1">
        <f t="array" ref="O896">_xlfn.IFS(
tbl_analysis_tickets[[#This Row],[agent_experience_years]]&lt;=2,"Junior",
tbl_analysis_tickets[[#This Row],[agent_experience_years]]&lt;=5,"Mid-Level",
tbl_analysis_tickets[[#This Row],[agent_experience_years]]&lt;=8,"Senior",
tbl_analysis_tickets[[#This Row],[agent_experience_years]]&gt;8,"Expert"
)</f>
        <v>Junior</v>
      </c>
      <c r="P896" cm="1">
        <f t="array" ref="P896">_xlfn.SWITCH(tbl_analysis_tickets[[#This Row],[customer_satisfaction]],
"Low",1,
"Medium",2,
"High",3
)</f>
        <v>1</v>
      </c>
      <c r="Q896">
        <f>IF(tbl_analysis_tickets[[#This Row],[reopened]]="Yes",1,0)</f>
        <v>0</v>
      </c>
      <c r="R896" t="str" cm="1">
        <f t="array" ref="R896">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896" t="str" cm="1">
        <f t="array" ref="S89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896" t="str">
        <f>TEXT(tbl_analysis_tickets[[#This Row],[created_date]],"mmm-yyyy")</f>
        <v>Mar-2024</v>
      </c>
      <c r="U896" t="str">
        <f>TEXT(tbl_analysis_tickets[[#This Row],[created_date]],"dddd")</f>
        <v>Thursday</v>
      </c>
      <c r="V896" cm="1">
        <f t="array" ref="V896">_xlfn.SWITCH(tbl_analysis_tickets[[#This Row],[priority]],
"Urgent",1,
"High",2,
"Medium",3,
"Low",4
)</f>
        <v>4</v>
      </c>
    </row>
    <row r="897" spans="1:22" x14ac:dyDescent="0.25">
      <c r="A897">
        <v>896</v>
      </c>
      <c r="B897" s="1">
        <v>45509</v>
      </c>
      <c r="C897" t="s">
        <v>10</v>
      </c>
      <c r="D897" t="s">
        <v>17</v>
      </c>
      <c r="E897">
        <v>162</v>
      </c>
      <c r="F897">
        <v>62</v>
      </c>
      <c r="G897">
        <v>7</v>
      </c>
      <c r="H897" t="s">
        <v>18</v>
      </c>
      <c r="I897" t="s">
        <v>13</v>
      </c>
      <c r="J897" t="s">
        <v>11</v>
      </c>
      <c r="K897">
        <f>_xlfn.XLOOKUP(tbl_analysis_tickets[[#This Row],[priority]],tbl_sla[priority],tbl_sla[Resolution SLA Hours])</f>
        <v>8</v>
      </c>
      <c r="L897">
        <f>_xlfn.XLOOKUP(tbl_analysis_tickets[[#This Row],[priority]],tbl_sla[priority],tbl_sla[First Response SLA Minutes])</f>
        <v>30</v>
      </c>
      <c r="M897" t="str">
        <f>IF(tbl_analysis_tickets[[#This Row],[resolution_time_hours]]&gt;tbl_analysis_tickets[[#This Row],[Resolution SLA Hours]],"Breached","Within SLA")</f>
        <v>Breached</v>
      </c>
      <c r="N897" t="str">
        <f>IF(tbl_analysis_tickets[[#This Row],[first_response_minutes]]&gt;tbl_analysis_tickets[[#This Row],[First Response SLA Minutes]],"Breached","Within SLA")</f>
        <v>Breached</v>
      </c>
      <c r="O897" t="str" cm="1">
        <f t="array" ref="O897">_xlfn.IFS(
tbl_analysis_tickets[[#This Row],[agent_experience_years]]&lt;=2,"Junior",
tbl_analysis_tickets[[#This Row],[agent_experience_years]]&lt;=5,"Mid-Level",
tbl_analysis_tickets[[#This Row],[agent_experience_years]]&lt;=8,"Senior",
tbl_analysis_tickets[[#This Row],[agent_experience_years]]&gt;8,"Expert"
)</f>
        <v>Senior</v>
      </c>
      <c r="P897" cm="1">
        <f t="array" ref="P897">_xlfn.SWITCH(tbl_analysis_tickets[[#This Row],[customer_satisfaction]],
"Low",1,
"Medium",2,
"High",3
)</f>
        <v>1</v>
      </c>
      <c r="Q897">
        <f>IF(tbl_analysis_tickets[[#This Row],[reopened]]="Yes",1,0)</f>
        <v>0</v>
      </c>
      <c r="R897" t="str" cm="1">
        <f t="array" ref="R897">_xlfn.IFS(
tbl_analysis_tickets[[#This Row],[first_response_minutes]]&lt;=30,"Very Fast",
tbl_analysis_tickets[[#This Row],[first_response_minutes]]&lt;=120,"Acceptable",
tbl_analysis_tickets[[#This Row],[first_response_minutes]]&lt;=240,"Slow",
tbl_analysis_tickets[[#This Row],[first_response_minutes]]&gt;240,"Very Slow"
)</f>
        <v>Slow</v>
      </c>
      <c r="S897" t="str" cm="1">
        <f t="array" ref="S89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897" t="str">
        <f>TEXT(tbl_analysis_tickets[[#This Row],[created_date]],"mmm-yyyy")</f>
        <v>Aug-2024</v>
      </c>
      <c r="U897" t="str">
        <f>TEXT(tbl_analysis_tickets[[#This Row],[created_date]],"dddd")</f>
        <v>Monday</v>
      </c>
      <c r="V897" cm="1">
        <f t="array" ref="V897">_xlfn.SWITCH(tbl_analysis_tickets[[#This Row],[priority]],
"Urgent",1,
"High",2,
"Medium",3,
"Low",4
)</f>
        <v>1</v>
      </c>
    </row>
    <row r="898" spans="1:22" x14ac:dyDescent="0.25">
      <c r="A898">
        <v>897</v>
      </c>
      <c r="B898" s="1">
        <v>45352</v>
      </c>
      <c r="C898" t="s">
        <v>22</v>
      </c>
      <c r="D898" t="s">
        <v>15</v>
      </c>
      <c r="E898">
        <v>179</v>
      </c>
      <c r="F898">
        <v>23</v>
      </c>
      <c r="G898">
        <v>6.3</v>
      </c>
      <c r="H898" t="s">
        <v>18</v>
      </c>
      <c r="I898" t="s">
        <v>13</v>
      </c>
      <c r="J898" t="s">
        <v>15</v>
      </c>
      <c r="K898">
        <f>_xlfn.XLOOKUP(tbl_analysis_tickets[[#This Row],[priority]],tbl_sla[priority],tbl_sla[Resolution SLA Hours])</f>
        <v>48</v>
      </c>
      <c r="L898">
        <f>_xlfn.XLOOKUP(tbl_analysis_tickets[[#This Row],[priority]],tbl_sla[priority],tbl_sla[First Response SLA Minutes])</f>
        <v>120</v>
      </c>
      <c r="M898" t="str">
        <f>IF(tbl_analysis_tickets[[#This Row],[resolution_time_hours]]&gt;tbl_analysis_tickets[[#This Row],[Resolution SLA Hours]],"Breached","Within SLA")</f>
        <v>Within SLA</v>
      </c>
      <c r="N898" t="str">
        <f>IF(tbl_analysis_tickets[[#This Row],[first_response_minutes]]&gt;tbl_analysis_tickets[[#This Row],[First Response SLA Minutes]],"Breached","Within SLA")</f>
        <v>Breached</v>
      </c>
      <c r="O898" t="str" cm="1">
        <f t="array" ref="O898">_xlfn.IFS(
tbl_analysis_tickets[[#This Row],[agent_experience_years]]&lt;=2,"Junior",
tbl_analysis_tickets[[#This Row],[agent_experience_years]]&lt;=5,"Mid-Level",
tbl_analysis_tickets[[#This Row],[agent_experience_years]]&lt;=8,"Senior",
tbl_analysis_tickets[[#This Row],[agent_experience_years]]&gt;8,"Expert"
)</f>
        <v>Senior</v>
      </c>
      <c r="P898" cm="1">
        <f t="array" ref="P898">_xlfn.SWITCH(tbl_analysis_tickets[[#This Row],[customer_satisfaction]],
"Low",1,
"Medium",2,
"High",3
)</f>
        <v>2</v>
      </c>
      <c r="Q898">
        <f>IF(tbl_analysis_tickets[[#This Row],[reopened]]="Yes",1,0)</f>
        <v>0</v>
      </c>
      <c r="R898" t="str" cm="1">
        <f t="array" ref="R898">_xlfn.IFS(
tbl_analysis_tickets[[#This Row],[first_response_minutes]]&lt;=30,"Very Fast",
tbl_analysis_tickets[[#This Row],[first_response_minutes]]&lt;=120,"Acceptable",
tbl_analysis_tickets[[#This Row],[first_response_minutes]]&lt;=240,"Slow",
tbl_analysis_tickets[[#This Row],[first_response_minutes]]&gt;240,"Very Slow"
)</f>
        <v>Slow</v>
      </c>
      <c r="S898" t="str" cm="1">
        <f t="array" ref="S89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898" t="str">
        <f>TEXT(tbl_analysis_tickets[[#This Row],[created_date]],"mmm-yyyy")</f>
        <v>Mar-2024</v>
      </c>
      <c r="U898" t="str">
        <f>TEXT(tbl_analysis_tickets[[#This Row],[created_date]],"dddd")</f>
        <v>Friday</v>
      </c>
      <c r="V898" cm="1">
        <f t="array" ref="V898">_xlfn.SWITCH(tbl_analysis_tickets[[#This Row],[priority]],
"Urgent",1,
"High",2,
"Medium",3,
"Low",4
)</f>
        <v>3</v>
      </c>
    </row>
    <row r="899" spans="1:22" x14ac:dyDescent="0.25">
      <c r="A899">
        <v>898</v>
      </c>
      <c r="B899" s="1">
        <v>45451</v>
      </c>
      <c r="C899" t="s">
        <v>10</v>
      </c>
      <c r="D899" t="s">
        <v>11</v>
      </c>
      <c r="E899">
        <v>110</v>
      </c>
      <c r="F899">
        <v>13</v>
      </c>
      <c r="G899">
        <v>8.1</v>
      </c>
      <c r="H899" t="s">
        <v>12</v>
      </c>
      <c r="I899" t="s">
        <v>16</v>
      </c>
      <c r="J899" t="s">
        <v>11</v>
      </c>
      <c r="K899">
        <f>_xlfn.XLOOKUP(tbl_analysis_tickets[[#This Row],[priority]],tbl_sla[priority],tbl_sla[Resolution SLA Hours])</f>
        <v>72</v>
      </c>
      <c r="L899">
        <f>_xlfn.XLOOKUP(tbl_analysis_tickets[[#This Row],[priority]],tbl_sla[priority],tbl_sla[First Response SLA Minutes])</f>
        <v>240</v>
      </c>
      <c r="M899" t="str">
        <f>IF(tbl_analysis_tickets[[#This Row],[resolution_time_hours]]&gt;tbl_analysis_tickets[[#This Row],[Resolution SLA Hours]],"Breached","Within SLA")</f>
        <v>Within SLA</v>
      </c>
      <c r="N899" t="str">
        <f>IF(tbl_analysis_tickets[[#This Row],[first_response_minutes]]&gt;tbl_analysis_tickets[[#This Row],[First Response SLA Minutes]],"Breached","Within SLA")</f>
        <v>Within SLA</v>
      </c>
      <c r="O899" t="str" cm="1">
        <f t="array" ref="O899">_xlfn.IFS(
tbl_analysis_tickets[[#This Row],[agent_experience_years]]&lt;=2,"Junior",
tbl_analysis_tickets[[#This Row],[agent_experience_years]]&lt;=5,"Mid-Level",
tbl_analysis_tickets[[#This Row],[agent_experience_years]]&lt;=8,"Senior",
tbl_analysis_tickets[[#This Row],[agent_experience_years]]&gt;8,"Expert"
)</f>
        <v>Expert</v>
      </c>
      <c r="P899" cm="1">
        <f t="array" ref="P899">_xlfn.SWITCH(tbl_analysis_tickets[[#This Row],[customer_satisfaction]],
"Low",1,
"Medium",2,
"High",3
)</f>
        <v>1</v>
      </c>
      <c r="Q899">
        <f>IF(tbl_analysis_tickets[[#This Row],[reopened]]="Yes",1,0)</f>
        <v>1</v>
      </c>
      <c r="R899" t="str" cm="1">
        <f t="array" ref="R899">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899" t="str" cm="1">
        <f t="array" ref="S89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899" t="str">
        <f>TEXT(tbl_analysis_tickets[[#This Row],[created_date]],"mmm-yyyy")</f>
        <v>Jun-2024</v>
      </c>
      <c r="U899" t="str">
        <f>TEXT(tbl_analysis_tickets[[#This Row],[created_date]],"dddd")</f>
        <v>Saturday</v>
      </c>
      <c r="V899" cm="1">
        <f t="array" ref="V899">_xlfn.SWITCH(tbl_analysis_tickets[[#This Row],[priority]],
"Urgent",1,
"High",2,
"Medium",3,
"Low",4
)</f>
        <v>4</v>
      </c>
    </row>
    <row r="900" spans="1:22" x14ac:dyDescent="0.25">
      <c r="A900">
        <v>899</v>
      </c>
      <c r="B900" s="1">
        <v>45435</v>
      </c>
      <c r="C900" t="s">
        <v>10</v>
      </c>
      <c r="D900" t="s">
        <v>17</v>
      </c>
      <c r="E900">
        <v>220</v>
      </c>
      <c r="F900">
        <v>22</v>
      </c>
      <c r="G900">
        <v>4</v>
      </c>
      <c r="H900" t="s">
        <v>18</v>
      </c>
      <c r="I900" t="s">
        <v>13</v>
      </c>
      <c r="J900" t="s">
        <v>11</v>
      </c>
      <c r="K900">
        <f>_xlfn.XLOOKUP(tbl_analysis_tickets[[#This Row],[priority]],tbl_sla[priority],tbl_sla[Resolution SLA Hours])</f>
        <v>8</v>
      </c>
      <c r="L900">
        <f>_xlfn.XLOOKUP(tbl_analysis_tickets[[#This Row],[priority]],tbl_sla[priority],tbl_sla[First Response SLA Minutes])</f>
        <v>30</v>
      </c>
      <c r="M900" t="str">
        <f>IF(tbl_analysis_tickets[[#This Row],[resolution_time_hours]]&gt;tbl_analysis_tickets[[#This Row],[Resolution SLA Hours]],"Breached","Within SLA")</f>
        <v>Breached</v>
      </c>
      <c r="N900" t="str">
        <f>IF(tbl_analysis_tickets[[#This Row],[first_response_minutes]]&gt;tbl_analysis_tickets[[#This Row],[First Response SLA Minutes]],"Breached","Within SLA")</f>
        <v>Breached</v>
      </c>
      <c r="O900" t="str" cm="1">
        <f t="array" ref="O900">_xlfn.IFS(
tbl_analysis_tickets[[#This Row],[agent_experience_years]]&lt;=2,"Junior",
tbl_analysis_tickets[[#This Row],[agent_experience_years]]&lt;=5,"Mid-Level",
tbl_analysis_tickets[[#This Row],[agent_experience_years]]&lt;=8,"Senior",
tbl_analysis_tickets[[#This Row],[agent_experience_years]]&gt;8,"Expert"
)</f>
        <v>Mid-Level</v>
      </c>
      <c r="P900" cm="1">
        <f t="array" ref="P900">_xlfn.SWITCH(tbl_analysis_tickets[[#This Row],[customer_satisfaction]],
"Low",1,
"Medium",2,
"High",3
)</f>
        <v>1</v>
      </c>
      <c r="Q900">
        <f>IF(tbl_analysis_tickets[[#This Row],[reopened]]="Yes",1,0)</f>
        <v>0</v>
      </c>
      <c r="R900" t="str" cm="1">
        <f t="array" ref="R900">_xlfn.IFS(
tbl_analysis_tickets[[#This Row],[first_response_minutes]]&lt;=30,"Very Fast",
tbl_analysis_tickets[[#This Row],[first_response_minutes]]&lt;=120,"Acceptable",
tbl_analysis_tickets[[#This Row],[first_response_minutes]]&lt;=240,"Slow",
tbl_analysis_tickets[[#This Row],[first_response_minutes]]&gt;240,"Very Slow"
)</f>
        <v>Slow</v>
      </c>
      <c r="S900" t="str" cm="1">
        <f t="array" ref="S90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900" t="str">
        <f>TEXT(tbl_analysis_tickets[[#This Row],[created_date]],"mmm-yyyy")</f>
        <v>May-2024</v>
      </c>
      <c r="U900" t="str">
        <f>TEXT(tbl_analysis_tickets[[#This Row],[created_date]],"dddd")</f>
        <v>Thursday</v>
      </c>
      <c r="V900" cm="1">
        <f t="array" ref="V900">_xlfn.SWITCH(tbl_analysis_tickets[[#This Row],[priority]],
"Urgent",1,
"High",2,
"Medium",3,
"Low",4
)</f>
        <v>1</v>
      </c>
    </row>
    <row r="901" spans="1:22" x14ac:dyDescent="0.25">
      <c r="A901">
        <v>900</v>
      </c>
      <c r="B901" s="1">
        <v>45394</v>
      </c>
      <c r="C901" t="s">
        <v>23</v>
      </c>
      <c r="D901" t="s">
        <v>11</v>
      </c>
      <c r="E901">
        <v>32</v>
      </c>
      <c r="F901">
        <v>31</v>
      </c>
      <c r="G901">
        <v>4.4000000000000004</v>
      </c>
      <c r="H901" t="s">
        <v>12</v>
      </c>
      <c r="I901" t="s">
        <v>16</v>
      </c>
      <c r="J901" t="s">
        <v>11</v>
      </c>
      <c r="K901">
        <f>_xlfn.XLOOKUP(tbl_analysis_tickets[[#This Row],[priority]],tbl_sla[priority],tbl_sla[Resolution SLA Hours])</f>
        <v>72</v>
      </c>
      <c r="L901">
        <f>_xlfn.XLOOKUP(tbl_analysis_tickets[[#This Row],[priority]],tbl_sla[priority],tbl_sla[First Response SLA Minutes])</f>
        <v>240</v>
      </c>
      <c r="M901" t="str">
        <f>IF(tbl_analysis_tickets[[#This Row],[resolution_time_hours]]&gt;tbl_analysis_tickets[[#This Row],[Resolution SLA Hours]],"Breached","Within SLA")</f>
        <v>Within SLA</v>
      </c>
      <c r="N901" t="str">
        <f>IF(tbl_analysis_tickets[[#This Row],[first_response_minutes]]&gt;tbl_analysis_tickets[[#This Row],[First Response SLA Minutes]],"Breached","Within SLA")</f>
        <v>Within SLA</v>
      </c>
      <c r="O901" t="str" cm="1">
        <f t="array" ref="O901">_xlfn.IFS(
tbl_analysis_tickets[[#This Row],[agent_experience_years]]&lt;=2,"Junior",
tbl_analysis_tickets[[#This Row],[agent_experience_years]]&lt;=5,"Mid-Level",
tbl_analysis_tickets[[#This Row],[agent_experience_years]]&lt;=8,"Senior",
tbl_analysis_tickets[[#This Row],[agent_experience_years]]&gt;8,"Expert"
)</f>
        <v>Mid-Level</v>
      </c>
      <c r="P901" cm="1">
        <f t="array" ref="P901">_xlfn.SWITCH(tbl_analysis_tickets[[#This Row],[customer_satisfaction]],
"Low",1,
"Medium",2,
"High",3
)</f>
        <v>1</v>
      </c>
      <c r="Q901">
        <f>IF(tbl_analysis_tickets[[#This Row],[reopened]]="Yes",1,0)</f>
        <v>1</v>
      </c>
      <c r="R901" t="str" cm="1">
        <f t="array" ref="R901">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901" t="str" cm="1">
        <f t="array" ref="S90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901" t="str">
        <f>TEXT(tbl_analysis_tickets[[#This Row],[created_date]],"mmm-yyyy")</f>
        <v>Apr-2024</v>
      </c>
      <c r="U901" t="str">
        <f>TEXT(tbl_analysis_tickets[[#This Row],[created_date]],"dddd")</f>
        <v>Friday</v>
      </c>
      <c r="V901" cm="1">
        <f t="array" ref="V901">_xlfn.SWITCH(tbl_analysis_tickets[[#This Row],[priority]],
"Urgent",1,
"High",2,
"Medium",3,
"Low",4
)</f>
        <v>4</v>
      </c>
    </row>
    <row r="902" spans="1:22" x14ac:dyDescent="0.25">
      <c r="A902">
        <v>901</v>
      </c>
      <c r="B902" s="1">
        <v>45383</v>
      </c>
      <c r="C902" t="s">
        <v>22</v>
      </c>
      <c r="D902" t="s">
        <v>20</v>
      </c>
      <c r="E902">
        <v>144</v>
      </c>
      <c r="F902">
        <v>22</v>
      </c>
      <c r="G902">
        <v>5</v>
      </c>
      <c r="H902" t="s">
        <v>12</v>
      </c>
      <c r="I902" t="s">
        <v>19</v>
      </c>
      <c r="J902" t="s">
        <v>11</v>
      </c>
      <c r="K902">
        <f>_xlfn.XLOOKUP(tbl_analysis_tickets[[#This Row],[priority]],tbl_sla[priority],tbl_sla[Resolution SLA Hours])</f>
        <v>24</v>
      </c>
      <c r="L902">
        <f>_xlfn.XLOOKUP(tbl_analysis_tickets[[#This Row],[priority]],tbl_sla[priority],tbl_sla[First Response SLA Minutes])</f>
        <v>60</v>
      </c>
      <c r="M902" t="str">
        <f>IF(tbl_analysis_tickets[[#This Row],[resolution_time_hours]]&gt;tbl_analysis_tickets[[#This Row],[Resolution SLA Hours]],"Breached","Within SLA")</f>
        <v>Within SLA</v>
      </c>
      <c r="N902" t="str">
        <f>IF(tbl_analysis_tickets[[#This Row],[first_response_minutes]]&gt;tbl_analysis_tickets[[#This Row],[First Response SLA Minutes]],"Breached","Within SLA")</f>
        <v>Breached</v>
      </c>
      <c r="O902" t="str" cm="1">
        <f t="array" ref="O902">_xlfn.IFS(
tbl_analysis_tickets[[#This Row],[agent_experience_years]]&lt;=2,"Junior",
tbl_analysis_tickets[[#This Row],[agent_experience_years]]&lt;=5,"Mid-Level",
tbl_analysis_tickets[[#This Row],[agent_experience_years]]&lt;=8,"Senior",
tbl_analysis_tickets[[#This Row],[agent_experience_years]]&gt;8,"Expert"
)</f>
        <v>Mid-Level</v>
      </c>
      <c r="P902" cm="1">
        <f t="array" ref="P902">_xlfn.SWITCH(tbl_analysis_tickets[[#This Row],[customer_satisfaction]],
"Low",1,
"Medium",2,
"High",3
)</f>
        <v>1</v>
      </c>
      <c r="Q902">
        <f>IF(tbl_analysis_tickets[[#This Row],[reopened]]="Yes",1,0)</f>
        <v>1</v>
      </c>
      <c r="R902" t="str" cm="1">
        <f t="array" ref="R902">_xlfn.IFS(
tbl_analysis_tickets[[#This Row],[first_response_minutes]]&lt;=30,"Very Fast",
tbl_analysis_tickets[[#This Row],[first_response_minutes]]&lt;=120,"Acceptable",
tbl_analysis_tickets[[#This Row],[first_response_minutes]]&lt;=240,"Slow",
tbl_analysis_tickets[[#This Row],[first_response_minutes]]&gt;240,"Very Slow"
)</f>
        <v>Slow</v>
      </c>
      <c r="S902" t="str" cm="1">
        <f t="array" ref="S90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902" t="str">
        <f>TEXT(tbl_analysis_tickets[[#This Row],[created_date]],"mmm-yyyy")</f>
        <v>Apr-2024</v>
      </c>
      <c r="U902" t="str">
        <f>TEXT(tbl_analysis_tickets[[#This Row],[created_date]],"dddd")</f>
        <v>Monday</v>
      </c>
      <c r="V902" cm="1">
        <f t="array" ref="V902">_xlfn.SWITCH(tbl_analysis_tickets[[#This Row],[priority]],
"Urgent",1,
"High",2,
"Medium",3,
"Low",4
)</f>
        <v>2</v>
      </c>
    </row>
    <row r="903" spans="1:22" x14ac:dyDescent="0.25">
      <c r="A903">
        <v>902</v>
      </c>
      <c r="B903" s="1">
        <v>45489</v>
      </c>
      <c r="C903" t="s">
        <v>23</v>
      </c>
      <c r="D903" t="s">
        <v>20</v>
      </c>
      <c r="E903">
        <v>188</v>
      </c>
      <c r="F903">
        <v>68</v>
      </c>
      <c r="G903">
        <v>2.1</v>
      </c>
      <c r="H903" t="s">
        <v>18</v>
      </c>
      <c r="I903" t="s">
        <v>19</v>
      </c>
      <c r="J903" t="s">
        <v>11</v>
      </c>
      <c r="K903">
        <f>_xlfn.XLOOKUP(tbl_analysis_tickets[[#This Row],[priority]],tbl_sla[priority],tbl_sla[Resolution SLA Hours])</f>
        <v>24</v>
      </c>
      <c r="L903">
        <f>_xlfn.XLOOKUP(tbl_analysis_tickets[[#This Row],[priority]],tbl_sla[priority],tbl_sla[First Response SLA Minutes])</f>
        <v>60</v>
      </c>
      <c r="M903" t="str">
        <f>IF(tbl_analysis_tickets[[#This Row],[resolution_time_hours]]&gt;tbl_analysis_tickets[[#This Row],[Resolution SLA Hours]],"Breached","Within SLA")</f>
        <v>Breached</v>
      </c>
      <c r="N903" t="str">
        <f>IF(tbl_analysis_tickets[[#This Row],[first_response_minutes]]&gt;tbl_analysis_tickets[[#This Row],[First Response SLA Minutes]],"Breached","Within SLA")</f>
        <v>Breached</v>
      </c>
      <c r="O903" t="str" cm="1">
        <f t="array" ref="O903">_xlfn.IFS(
tbl_analysis_tickets[[#This Row],[agent_experience_years]]&lt;=2,"Junior",
tbl_analysis_tickets[[#This Row],[agent_experience_years]]&lt;=5,"Mid-Level",
tbl_analysis_tickets[[#This Row],[agent_experience_years]]&lt;=8,"Senior",
tbl_analysis_tickets[[#This Row],[agent_experience_years]]&gt;8,"Expert"
)</f>
        <v>Mid-Level</v>
      </c>
      <c r="P903" cm="1">
        <f t="array" ref="P903">_xlfn.SWITCH(tbl_analysis_tickets[[#This Row],[customer_satisfaction]],
"Low",1,
"Medium",2,
"High",3
)</f>
        <v>1</v>
      </c>
      <c r="Q903">
        <f>IF(tbl_analysis_tickets[[#This Row],[reopened]]="Yes",1,0)</f>
        <v>0</v>
      </c>
      <c r="R903" t="str" cm="1">
        <f t="array" ref="R903">_xlfn.IFS(
tbl_analysis_tickets[[#This Row],[first_response_minutes]]&lt;=30,"Very Fast",
tbl_analysis_tickets[[#This Row],[first_response_minutes]]&lt;=120,"Acceptable",
tbl_analysis_tickets[[#This Row],[first_response_minutes]]&lt;=240,"Slow",
tbl_analysis_tickets[[#This Row],[first_response_minutes]]&gt;240,"Very Slow"
)</f>
        <v>Slow</v>
      </c>
      <c r="S903" t="str" cm="1">
        <f t="array" ref="S90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903" t="str">
        <f>TEXT(tbl_analysis_tickets[[#This Row],[created_date]],"mmm-yyyy")</f>
        <v>Jul-2024</v>
      </c>
      <c r="U903" t="str">
        <f>TEXT(tbl_analysis_tickets[[#This Row],[created_date]],"dddd")</f>
        <v>Tuesday</v>
      </c>
      <c r="V903" cm="1">
        <f t="array" ref="V903">_xlfn.SWITCH(tbl_analysis_tickets[[#This Row],[priority]],
"Urgent",1,
"High",2,
"Medium",3,
"Low",4
)</f>
        <v>2</v>
      </c>
    </row>
    <row r="904" spans="1:22" x14ac:dyDescent="0.25">
      <c r="A904">
        <v>903</v>
      </c>
      <c r="B904" s="1">
        <v>45531</v>
      </c>
      <c r="C904" t="s">
        <v>22</v>
      </c>
      <c r="D904" t="s">
        <v>15</v>
      </c>
      <c r="E904">
        <v>14</v>
      </c>
      <c r="F904">
        <v>6</v>
      </c>
      <c r="G904">
        <v>3.4</v>
      </c>
      <c r="H904" t="s">
        <v>18</v>
      </c>
      <c r="I904" t="s">
        <v>16</v>
      </c>
      <c r="J904" t="s">
        <v>20</v>
      </c>
      <c r="K904">
        <f>_xlfn.XLOOKUP(tbl_analysis_tickets[[#This Row],[priority]],tbl_sla[priority],tbl_sla[Resolution SLA Hours])</f>
        <v>48</v>
      </c>
      <c r="L904">
        <f>_xlfn.XLOOKUP(tbl_analysis_tickets[[#This Row],[priority]],tbl_sla[priority],tbl_sla[First Response SLA Minutes])</f>
        <v>120</v>
      </c>
      <c r="M904" t="str">
        <f>IF(tbl_analysis_tickets[[#This Row],[resolution_time_hours]]&gt;tbl_analysis_tickets[[#This Row],[Resolution SLA Hours]],"Breached","Within SLA")</f>
        <v>Within SLA</v>
      </c>
      <c r="N904" t="str">
        <f>IF(tbl_analysis_tickets[[#This Row],[first_response_minutes]]&gt;tbl_analysis_tickets[[#This Row],[First Response SLA Minutes]],"Breached","Within SLA")</f>
        <v>Within SLA</v>
      </c>
      <c r="O904" t="str" cm="1">
        <f t="array" ref="O904">_xlfn.IFS(
tbl_analysis_tickets[[#This Row],[agent_experience_years]]&lt;=2,"Junior",
tbl_analysis_tickets[[#This Row],[agent_experience_years]]&lt;=5,"Mid-Level",
tbl_analysis_tickets[[#This Row],[agent_experience_years]]&lt;=8,"Senior",
tbl_analysis_tickets[[#This Row],[agent_experience_years]]&gt;8,"Expert"
)</f>
        <v>Mid-Level</v>
      </c>
      <c r="P904" cm="1">
        <f t="array" ref="P904">_xlfn.SWITCH(tbl_analysis_tickets[[#This Row],[customer_satisfaction]],
"Low",1,
"Medium",2,
"High",3
)</f>
        <v>3</v>
      </c>
      <c r="Q904">
        <f>IF(tbl_analysis_tickets[[#This Row],[reopened]]="Yes",1,0)</f>
        <v>0</v>
      </c>
      <c r="R904" t="str" cm="1">
        <f t="array" ref="R904">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904" t="str" cm="1">
        <f t="array" ref="S90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904" t="str">
        <f>TEXT(tbl_analysis_tickets[[#This Row],[created_date]],"mmm-yyyy")</f>
        <v>Aug-2024</v>
      </c>
      <c r="U904" t="str">
        <f>TEXT(tbl_analysis_tickets[[#This Row],[created_date]],"dddd")</f>
        <v>Tuesday</v>
      </c>
      <c r="V904" cm="1">
        <f t="array" ref="V904">_xlfn.SWITCH(tbl_analysis_tickets[[#This Row],[priority]],
"Urgent",1,
"High",2,
"Medium",3,
"Low",4
)</f>
        <v>3</v>
      </c>
    </row>
    <row r="905" spans="1:22" x14ac:dyDescent="0.25">
      <c r="A905">
        <v>904</v>
      </c>
      <c r="B905" s="1">
        <v>45292</v>
      </c>
      <c r="C905" t="s">
        <v>14</v>
      </c>
      <c r="D905" t="s">
        <v>20</v>
      </c>
      <c r="E905">
        <v>171</v>
      </c>
      <c r="F905">
        <v>5</v>
      </c>
      <c r="G905">
        <v>1.5</v>
      </c>
      <c r="H905" t="s">
        <v>12</v>
      </c>
      <c r="I905" t="s">
        <v>13</v>
      </c>
      <c r="J905" t="s">
        <v>11</v>
      </c>
      <c r="K905">
        <f>_xlfn.XLOOKUP(tbl_analysis_tickets[[#This Row],[priority]],tbl_sla[priority],tbl_sla[Resolution SLA Hours])</f>
        <v>24</v>
      </c>
      <c r="L905">
        <f>_xlfn.XLOOKUP(tbl_analysis_tickets[[#This Row],[priority]],tbl_sla[priority],tbl_sla[First Response SLA Minutes])</f>
        <v>60</v>
      </c>
      <c r="M905" t="str">
        <f>IF(tbl_analysis_tickets[[#This Row],[resolution_time_hours]]&gt;tbl_analysis_tickets[[#This Row],[Resolution SLA Hours]],"Breached","Within SLA")</f>
        <v>Within SLA</v>
      </c>
      <c r="N905" t="str">
        <f>IF(tbl_analysis_tickets[[#This Row],[first_response_minutes]]&gt;tbl_analysis_tickets[[#This Row],[First Response SLA Minutes]],"Breached","Within SLA")</f>
        <v>Breached</v>
      </c>
      <c r="O905" t="str" cm="1">
        <f t="array" ref="O905">_xlfn.IFS(
tbl_analysis_tickets[[#This Row],[agent_experience_years]]&lt;=2,"Junior",
tbl_analysis_tickets[[#This Row],[agent_experience_years]]&lt;=5,"Mid-Level",
tbl_analysis_tickets[[#This Row],[agent_experience_years]]&lt;=8,"Senior",
tbl_analysis_tickets[[#This Row],[agent_experience_years]]&gt;8,"Expert"
)</f>
        <v>Junior</v>
      </c>
      <c r="P905" cm="1">
        <f t="array" ref="P905">_xlfn.SWITCH(tbl_analysis_tickets[[#This Row],[customer_satisfaction]],
"Low",1,
"Medium",2,
"High",3
)</f>
        <v>1</v>
      </c>
      <c r="Q905">
        <f>IF(tbl_analysis_tickets[[#This Row],[reopened]]="Yes",1,0)</f>
        <v>1</v>
      </c>
      <c r="R905" t="str" cm="1">
        <f t="array" ref="R905">_xlfn.IFS(
tbl_analysis_tickets[[#This Row],[first_response_minutes]]&lt;=30,"Very Fast",
tbl_analysis_tickets[[#This Row],[first_response_minutes]]&lt;=120,"Acceptable",
tbl_analysis_tickets[[#This Row],[first_response_minutes]]&lt;=240,"Slow",
tbl_analysis_tickets[[#This Row],[first_response_minutes]]&gt;240,"Very Slow"
)</f>
        <v>Slow</v>
      </c>
      <c r="S905" t="str" cm="1">
        <f t="array" ref="S90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905" t="str">
        <f>TEXT(tbl_analysis_tickets[[#This Row],[created_date]],"mmm-yyyy")</f>
        <v>Jan-2024</v>
      </c>
      <c r="U905" t="str">
        <f>TEXT(tbl_analysis_tickets[[#This Row],[created_date]],"dddd")</f>
        <v>Monday</v>
      </c>
      <c r="V905" cm="1">
        <f t="array" ref="V905">_xlfn.SWITCH(tbl_analysis_tickets[[#This Row],[priority]],
"Urgent",1,
"High",2,
"Medium",3,
"Low",4
)</f>
        <v>2</v>
      </c>
    </row>
    <row r="906" spans="1:22" x14ac:dyDescent="0.25">
      <c r="A906">
        <v>905</v>
      </c>
      <c r="B906" s="1">
        <v>45574</v>
      </c>
      <c r="C906" t="s">
        <v>23</v>
      </c>
      <c r="D906" t="s">
        <v>17</v>
      </c>
      <c r="E906">
        <v>10</v>
      </c>
      <c r="F906">
        <v>56</v>
      </c>
      <c r="G906">
        <v>8.8000000000000007</v>
      </c>
      <c r="H906" t="s">
        <v>18</v>
      </c>
      <c r="I906" t="s">
        <v>19</v>
      </c>
      <c r="J906" t="s">
        <v>15</v>
      </c>
      <c r="K906">
        <f>_xlfn.XLOOKUP(tbl_analysis_tickets[[#This Row],[priority]],tbl_sla[priority],tbl_sla[Resolution SLA Hours])</f>
        <v>8</v>
      </c>
      <c r="L906">
        <f>_xlfn.XLOOKUP(tbl_analysis_tickets[[#This Row],[priority]],tbl_sla[priority],tbl_sla[First Response SLA Minutes])</f>
        <v>30</v>
      </c>
      <c r="M906" t="str">
        <f>IF(tbl_analysis_tickets[[#This Row],[resolution_time_hours]]&gt;tbl_analysis_tickets[[#This Row],[Resolution SLA Hours]],"Breached","Within SLA")</f>
        <v>Breached</v>
      </c>
      <c r="N906" t="str">
        <f>IF(tbl_analysis_tickets[[#This Row],[first_response_minutes]]&gt;tbl_analysis_tickets[[#This Row],[First Response SLA Minutes]],"Breached","Within SLA")</f>
        <v>Within SLA</v>
      </c>
      <c r="O906" t="str" cm="1">
        <f t="array" ref="O906">_xlfn.IFS(
tbl_analysis_tickets[[#This Row],[agent_experience_years]]&lt;=2,"Junior",
tbl_analysis_tickets[[#This Row],[agent_experience_years]]&lt;=5,"Mid-Level",
tbl_analysis_tickets[[#This Row],[agent_experience_years]]&lt;=8,"Senior",
tbl_analysis_tickets[[#This Row],[agent_experience_years]]&gt;8,"Expert"
)</f>
        <v>Expert</v>
      </c>
      <c r="P906" cm="1">
        <f t="array" ref="P906">_xlfn.SWITCH(tbl_analysis_tickets[[#This Row],[customer_satisfaction]],
"Low",1,
"Medium",2,
"High",3
)</f>
        <v>2</v>
      </c>
      <c r="Q906">
        <f>IF(tbl_analysis_tickets[[#This Row],[reopened]]="Yes",1,0)</f>
        <v>0</v>
      </c>
      <c r="R906" t="str" cm="1">
        <f t="array" ref="R906">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906" t="str" cm="1">
        <f t="array" ref="S90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906" t="str">
        <f>TEXT(tbl_analysis_tickets[[#This Row],[created_date]],"mmm-yyyy")</f>
        <v>Oct-2024</v>
      </c>
      <c r="U906" t="str">
        <f>TEXT(tbl_analysis_tickets[[#This Row],[created_date]],"dddd")</f>
        <v>Wednesday</v>
      </c>
      <c r="V906" cm="1">
        <f t="array" ref="V906">_xlfn.SWITCH(tbl_analysis_tickets[[#This Row],[priority]],
"Urgent",1,
"High",2,
"Medium",3,
"Low",4
)</f>
        <v>1</v>
      </c>
    </row>
    <row r="907" spans="1:22" x14ac:dyDescent="0.25">
      <c r="A907">
        <v>906</v>
      </c>
      <c r="B907" s="1">
        <v>45543</v>
      </c>
      <c r="C907" t="s">
        <v>14</v>
      </c>
      <c r="D907" t="s">
        <v>17</v>
      </c>
      <c r="E907">
        <v>185</v>
      </c>
      <c r="F907">
        <v>66</v>
      </c>
      <c r="G907">
        <v>1.2</v>
      </c>
      <c r="H907" t="s">
        <v>18</v>
      </c>
      <c r="I907" t="s">
        <v>13</v>
      </c>
      <c r="J907" t="s">
        <v>11</v>
      </c>
      <c r="K907">
        <f>_xlfn.XLOOKUP(tbl_analysis_tickets[[#This Row],[priority]],tbl_sla[priority],tbl_sla[Resolution SLA Hours])</f>
        <v>8</v>
      </c>
      <c r="L907">
        <f>_xlfn.XLOOKUP(tbl_analysis_tickets[[#This Row],[priority]],tbl_sla[priority],tbl_sla[First Response SLA Minutes])</f>
        <v>30</v>
      </c>
      <c r="M907" t="str">
        <f>IF(tbl_analysis_tickets[[#This Row],[resolution_time_hours]]&gt;tbl_analysis_tickets[[#This Row],[Resolution SLA Hours]],"Breached","Within SLA")</f>
        <v>Breached</v>
      </c>
      <c r="N907" t="str">
        <f>IF(tbl_analysis_tickets[[#This Row],[first_response_minutes]]&gt;tbl_analysis_tickets[[#This Row],[First Response SLA Minutes]],"Breached","Within SLA")</f>
        <v>Breached</v>
      </c>
      <c r="O907" t="str" cm="1">
        <f t="array" ref="O907">_xlfn.IFS(
tbl_analysis_tickets[[#This Row],[agent_experience_years]]&lt;=2,"Junior",
tbl_analysis_tickets[[#This Row],[agent_experience_years]]&lt;=5,"Mid-Level",
tbl_analysis_tickets[[#This Row],[agent_experience_years]]&lt;=8,"Senior",
tbl_analysis_tickets[[#This Row],[agent_experience_years]]&gt;8,"Expert"
)</f>
        <v>Junior</v>
      </c>
      <c r="P907" cm="1">
        <f t="array" ref="P907">_xlfn.SWITCH(tbl_analysis_tickets[[#This Row],[customer_satisfaction]],
"Low",1,
"Medium",2,
"High",3
)</f>
        <v>1</v>
      </c>
      <c r="Q907">
        <f>IF(tbl_analysis_tickets[[#This Row],[reopened]]="Yes",1,0)</f>
        <v>0</v>
      </c>
      <c r="R907" t="str" cm="1">
        <f t="array" ref="R907">_xlfn.IFS(
tbl_analysis_tickets[[#This Row],[first_response_minutes]]&lt;=30,"Very Fast",
tbl_analysis_tickets[[#This Row],[first_response_minutes]]&lt;=120,"Acceptable",
tbl_analysis_tickets[[#This Row],[first_response_minutes]]&lt;=240,"Slow",
tbl_analysis_tickets[[#This Row],[first_response_minutes]]&gt;240,"Very Slow"
)</f>
        <v>Slow</v>
      </c>
      <c r="S907" t="str" cm="1">
        <f t="array" ref="S90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907" t="str">
        <f>TEXT(tbl_analysis_tickets[[#This Row],[created_date]],"mmm-yyyy")</f>
        <v>Sep-2024</v>
      </c>
      <c r="U907" t="str">
        <f>TEXT(tbl_analysis_tickets[[#This Row],[created_date]],"dddd")</f>
        <v>Sunday</v>
      </c>
      <c r="V907" cm="1">
        <f t="array" ref="V907">_xlfn.SWITCH(tbl_analysis_tickets[[#This Row],[priority]],
"Urgent",1,
"High",2,
"Medium",3,
"Low",4
)</f>
        <v>1</v>
      </c>
    </row>
    <row r="908" spans="1:22" x14ac:dyDescent="0.25">
      <c r="A908">
        <v>907</v>
      </c>
      <c r="B908" s="1">
        <v>45366</v>
      </c>
      <c r="C908" t="s">
        <v>22</v>
      </c>
      <c r="D908" t="s">
        <v>15</v>
      </c>
      <c r="E908">
        <v>22</v>
      </c>
      <c r="F908">
        <v>3</v>
      </c>
      <c r="G908">
        <v>2.2999999999999998</v>
      </c>
      <c r="H908" t="s">
        <v>18</v>
      </c>
      <c r="I908" t="s">
        <v>13</v>
      </c>
      <c r="J908" t="s">
        <v>20</v>
      </c>
      <c r="K908">
        <f>_xlfn.XLOOKUP(tbl_analysis_tickets[[#This Row],[priority]],tbl_sla[priority],tbl_sla[Resolution SLA Hours])</f>
        <v>48</v>
      </c>
      <c r="L908">
        <f>_xlfn.XLOOKUP(tbl_analysis_tickets[[#This Row],[priority]],tbl_sla[priority],tbl_sla[First Response SLA Minutes])</f>
        <v>120</v>
      </c>
      <c r="M908" t="str">
        <f>IF(tbl_analysis_tickets[[#This Row],[resolution_time_hours]]&gt;tbl_analysis_tickets[[#This Row],[Resolution SLA Hours]],"Breached","Within SLA")</f>
        <v>Within SLA</v>
      </c>
      <c r="N908" t="str">
        <f>IF(tbl_analysis_tickets[[#This Row],[first_response_minutes]]&gt;tbl_analysis_tickets[[#This Row],[First Response SLA Minutes]],"Breached","Within SLA")</f>
        <v>Within SLA</v>
      </c>
      <c r="O908" t="str" cm="1">
        <f t="array" ref="O908">_xlfn.IFS(
tbl_analysis_tickets[[#This Row],[agent_experience_years]]&lt;=2,"Junior",
tbl_analysis_tickets[[#This Row],[agent_experience_years]]&lt;=5,"Mid-Level",
tbl_analysis_tickets[[#This Row],[agent_experience_years]]&lt;=8,"Senior",
tbl_analysis_tickets[[#This Row],[agent_experience_years]]&gt;8,"Expert"
)</f>
        <v>Mid-Level</v>
      </c>
      <c r="P908" cm="1">
        <f t="array" ref="P908">_xlfn.SWITCH(tbl_analysis_tickets[[#This Row],[customer_satisfaction]],
"Low",1,
"Medium",2,
"High",3
)</f>
        <v>3</v>
      </c>
      <c r="Q908">
        <f>IF(tbl_analysis_tickets[[#This Row],[reopened]]="Yes",1,0)</f>
        <v>0</v>
      </c>
      <c r="R908" t="str" cm="1">
        <f t="array" ref="R908">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908" t="str" cm="1">
        <f t="array" ref="S90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908" t="str">
        <f>TEXT(tbl_analysis_tickets[[#This Row],[created_date]],"mmm-yyyy")</f>
        <v>Mar-2024</v>
      </c>
      <c r="U908" t="str">
        <f>TEXT(tbl_analysis_tickets[[#This Row],[created_date]],"dddd")</f>
        <v>Friday</v>
      </c>
      <c r="V908" cm="1">
        <f t="array" ref="V908">_xlfn.SWITCH(tbl_analysis_tickets[[#This Row],[priority]],
"Urgent",1,
"High",2,
"Medium",3,
"Low",4
)</f>
        <v>3</v>
      </c>
    </row>
    <row r="909" spans="1:22" x14ac:dyDescent="0.25">
      <c r="A909">
        <v>908</v>
      </c>
      <c r="B909" s="1">
        <v>45497</v>
      </c>
      <c r="C909" t="s">
        <v>23</v>
      </c>
      <c r="D909" t="s">
        <v>11</v>
      </c>
      <c r="E909">
        <v>198</v>
      </c>
      <c r="F909">
        <v>10</v>
      </c>
      <c r="G909">
        <v>2.7</v>
      </c>
      <c r="H909" t="s">
        <v>18</v>
      </c>
      <c r="I909" t="s">
        <v>19</v>
      </c>
      <c r="J909" t="s">
        <v>11</v>
      </c>
      <c r="K909">
        <f>_xlfn.XLOOKUP(tbl_analysis_tickets[[#This Row],[priority]],tbl_sla[priority],tbl_sla[Resolution SLA Hours])</f>
        <v>72</v>
      </c>
      <c r="L909">
        <f>_xlfn.XLOOKUP(tbl_analysis_tickets[[#This Row],[priority]],tbl_sla[priority],tbl_sla[First Response SLA Minutes])</f>
        <v>240</v>
      </c>
      <c r="M909" t="str">
        <f>IF(tbl_analysis_tickets[[#This Row],[resolution_time_hours]]&gt;tbl_analysis_tickets[[#This Row],[Resolution SLA Hours]],"Breached","Within SLA")</f>
        <v>Within SLA</v>
      </c>
      <c r="N909" t="str">
        <f>IF(tbl_analysis_tickets[[#This Row],[first_response_minutes]]&gt;tbl_analysis_tickets[[#This Row],[First Response SLA Minutes]],"Breached","Within SLA")</f>
        <v>Within SLA</v>
      </c>
      <c r="O909" t="str" cm="1">
        <f t="array" ref="O909">_xlfn.IFS(
tbl_analysis_tickets[[#This Row],[agent_experience_years]]&lt;=2,"Junior",
tbl_analysis_tickets[[#This Row],[agent_experience_years]]&lt;=5,"Mid-Level",
tbl_analysis_tickets[[#This Row],[agent_experience_years]]&lt;=8,"Senior",
tbl_analysis_tickets[[#This Row],[agent_experience_years]]&gt;8,"Expert"
)</f>
        <v>Mid-Level</v>
      </c>
      <c r="P909" cm="1">
        <f t="array" ref="P909">_xlfn.SWITCH(tbl_analysis_tickets[[#This Row],[customer_satisfaction]],
"Low",1,
"Medium",2,
"High",3
)</f>
        <v>1</v>
      </c>
      <c r="Q909">
        <f>IF(tbl_analysis_tickets[[#This Row],[reopened]]="Yes",1,0)</f>
        <v>0</v>
      </c>
      <c r="R909" t="str" cm="1">
        <f t="array" ref="R909">_xlfn.IFS(
tbl_analysis_tickets[[#This Row],[first_response_minutes]]&lt;=30,"Very Fast",
tbl_analysis_tickets[[#This Row],[first_response_minutes]]&lt;=120,"Acceptable",
tbl_analysis_tickets[[#This Row],[first_response_minutes]]&lt;=240,"Slow",
tbl_analysis_tickets[[#This Row],[first_response_minutes]]&gt;240,"Very Slow"
)</f>
        <v>Slow</v>
      </c>
      <c r="S909" t="str" cm="1">
        <f t="array" ref="S90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909" t="str">
        <f>TEXT(tbl_analysis_tickets[[#This Row],[created_date]],"mmm-yyyy")</f>
        <v>Jul-2024</v>
      </c>
      <c r="U909" t="str">
        <f>TEXT(tbl_analysis_tickets[[#This Row],[created_date]],"dddd")</f>
        <v>Wednesday</v>
      </c>
      <c r="V909" cm="1">
        <f t="array" ref="V909">_xlfn.SWITCH(tbl_analysis_tickets[[#This Row],[priority]],
"Urgent",1,
"High",2,
"Medium",3,
"Low",4
)</f>
        <v>4</v>
      </c>
    </row>
    <row r="910" spans="1:22" x14ac:dyDescent="0.25">
      <c r="A910">
        <v>909</v>
      </c>
      <c r="B910" s="1">
        <v>45363</v>
      </c>
      <c r="C910" t="s">
        <v>10</v>
      </c>
      <c r="D910" t="s">
        <v>20</v>
      </c>
      <c r="E910">
        <v>24</v>
      </c>
      <c r="F910">
        <v>10</v>
      </c>
      <c r="G910">
        <v>6.5</v>
      </c>
      <c r="H910" t="s">
        <v>18</v>
      </c>
      <c r="I910" t="s">
        <v>13</v>
      </c>
      <c r="J910" t="s">
        <v>15</v>
      </c>
      <c r="K910">
        <f>_xlfn.XLOOKUP(tbl_analysis_tickets[[#This Row],[priority]],tbl_sla[priority],tbl_sla[Resolution SLA Hours])</f>
        <v>24</v>
      </c>
      <c r="L910">
        <f>_xlfn.XLOOKUP(tbl_analysis_tickets[[#This Row],[priority]],tbl_sla[priority],tbl_sla[First Response SLA Minutes])</f>
        <v>60</v>
      </c>
      <c r="M910" t="str">
        <f>IF(tbl_analysis_tickets[[#This Row],[resolution_time_hours]]&gt;tbl_analysis_tickets[[#This Row],[Resolution SLA Hours]],"Breached","Within SLA")</f>
        <v>Within SLA</v>
      </c>
      <c r="N910" t="str">
        <f>IF(tbl_analysis_tickets[[#This Row],[first_response_minutes]]&gt;tbl_analysis_tickets[[#This Row],[First Response SLA Minutes]],"Breached","Within SLA")</f>
        <v>Within SLA</v>
      </c>
      <c r="O910" t="str" cm="1">
        <f t="array" ref="O910">_xlfn.IFS(
tbl_analysis_tickets[[#This Row],[agent_experience_years]]&lt;=2,"Junior",
tbl_analysis_tickets[[#This Row],[agent_experience_years]]&lt;=5,"Mid-Level",
tbl_analysis_tickets[[#This Row],[agent_experience_years]]&lt;=8,"Senior",
tbl_analysis_tickets[[#This Row],[agent_experience_years]]&gt;8,"Expert"
)</f>
        <v>Senior</v>
      </c>
      <c r="P910" cm="1">
        <f t="array" ref="P910">_xlfn.SWITCH(tbl_analysis_tickets[[#This Row],[customer_satisfaction]],
"Low",1,
"Medium",2,
"High",3
)</f>
        <v>2</v>
      </c>
      <c r="Q910">
        <f>IF(tbl_analysis_tickets[[#This Row],[reopened]]="Yes",1,0)</f>
        <v>0</v>
      </c>
      <c r="R910" t="str" cm="1">
        <f t="array" ref="R910">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910" t="str" cm="1">
        <f t="array" ref="S91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910" t="str">
        <f>TEXT(tbl_analysis_tickets[[#This Row],[created_date]],"mmm-yyyy")</f>
        <v>Mar-2024</v>
      </c>
      <c r="U910" t="str">
        <f>TEXT(tbl_analysis_tickets[[#This Row],[created_date]],"dddd")</f>
        <v>Tuesday</v>
      </c>
      <c r="V910" cm="1">
        <f t="array" ref="V910">_xlfn.SWITCH(tbl_analysis_tickets[[#This Row],[priority]],
"Urgent",1,
"High",2,
"Medium",3,
"Low",4
)</f>
        <v>2</v>
      </c>
    </row>
    <row r="911" spans="1:22" x14ac:dyDescent="0.25">
      <c r="A911">
        <v>910</v>
      </c>
      <c r="B911" s="1">
        <v>45648</v>
      </c>
      <c r="C911" t="s">
        <v>10</v>
      </c>
      <c r="D911" t="s">
        <v>17</v>
      </c>
      <c r="E911">
        <v>29</v>
      </c>
      <c r="F911">
        <v>64</v>
      </c>
      <c r="G911">
        <v>0.5</v>
      </c>
      <c r="H911" t="s">
        <v>12</v>
      </c>
      <c r="I911" t="s">
        <v>16</v>
      </c>
      <c r="J911" t="s">
        <v>11</v>
      </c>
      <c r="K911">
        <f>_xlfn.XLOOKUP(tbl_analysis_tickets[[#This Row],[priority]],tbl_sla[priority],tbl_sla[Resolution SLA Hours])</f>
        <v>8</v>
      </c>
      <c r="L911">
        <f>_xlfn.XLOOKUP(tbl_analysis_tickets[[#This Row],[priority]],tbl_sla[priority],tbl_sla[First Response SLA Minutes])</f>
        <v>30</v>
      </c>
      <c r="M911" t="str">
        <f>IF(tbl_analysis_tickets[[#This Row],[resolution_time_hours]]&gt;tbl_analysis_tickets[[#This Row],[Resolution SLA Hours]],"Breached","Within SLA")</f>
        <v>Breached</v>
      </c>
      <c r="N911" t="str">
        <f>IF(tbl_analysis_tickets[[#This Row],[first_response_minutes]]&gt;tbl_analysis_tickets[[#This Row],[First Response SLA Minutes]],"Breached","Within SLA")</f>
        <v>Within SLA</v>
      </c>
      <c r="O911" t="str" cm="1">
        <f t="array" ref="O911">_xlfn.IFS(
tbl_analysis_tickets[[#This Row],[agent_experience_years]]&lt;=2,"Junior",
tbl_analysis_tickets[[#This Row],[agent_experience_years]]&lt;=5,"Mid-Level",
tbl_analysis_tickets[[#This Row],[agent_experience_years]]&lt;=8,"Senior",
tbl_analysis_tickets[[#This Row],[agent_experience_years]]&gt;8,"Expert"
)</f>
        <v>Junior</v>
      </c>
      <c r="P911" cm="1">
        <f t="array" ref="P911">_xlfn.SWITCH(tbl_analysis_tickets[[#This Row],[customer_satisfaction]],
"Low",1,
"Medium",2,
"High",3
)</f>
        <v>1</v>
      </c>
      <c r="Q911">
        <f>IF(tbl_analysis_tickets[[#This Row],[reopened]]="Yes",1,0)</f>
        <v>1</v>
      </c>
      <c r="R911" t="str" cm="1">
        <f t="array" ref="R911">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911" t="str" cm="1">
        <f t="array" ref="S91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911" t="str">
        <f>TEXT(tbl_analysis_tickets[[#This Row],[created_date]],"mmm-yyyy")</f>
        <v>Dec-2024</v>
      </c>
      <c r="U911" t="str">
        <f>TEXT(tbl_analysis_tickets[[#This Row],[created_date]],"dddd")</f>
        <v>Sunday</v>
      </c>
      <c r="V911" cm="1">
        <f t="array" ref="V911">_xlfn.SWITCH(tbl_analysis_tickets[[#This Row],[priority]],
"Urgent",1,
"High",2,
"Medium",3,
"Low",4
)</f>
        <v>1</v>
      </c>
    </row>
    <row r="912" spans="1:22" x14ac:dyDescent="0.25">
      <c r="A912">
        <v>911</v>
      </c>
      <c r="B912" s="1">
        <v>45653</v>
      </c>
      <c r="C912" t="s">
        <v>14</v>
      </c>
      <c r="D912" t="s">
        <v>11</v>
      </c>
      <c r="E912">
        <v>157</v>
      </c>
      <c r="F912">
        <v>44</v>
      </c>
      <c r="G912">
        <v>6.4</v>
      </c>
      <c r="H912" t="s">
        <v>12</v>
      </c>
      <c r="I912" t="s">
        <v>13</v>
      </c>
      <c r="J912" t="s">
        <v>11</v>
      </c>
      <c r="K912">
        <f>_xlfn.XLOOKUP(tbl_analysis_tickets[[#This Row],[priority]],tbl_sla[priority],tbl_sla[Resolution SLA Hours])</f>
        <v>72</v>
      </c>
      <c r="L912">
        <f>_xlfn.XLOOKUP(tbl_analysis_tickets[[#This Row],[priority]],tbl_sla[priority],tbl_sla[First Response SLA Minutes])</f>
        <v>240</v>
      </c>
      <c r="M912" t="str">
        <f>IF(tbl_analysis_tickets[[#This Row],[resolution_time_hours]]&gt;tbl_analysis_tickets[[#This Row],[Resolution SLA Hours]],"Breached","Within SLA")</f>
        <v>Within SLA</v>
      </c>
      <c r="N912" t="str">
        <f>IF(tbl_analysis_tickets[[#This Row],[first_response_minutes]]&gt;tbl_analysis_tickets[[#This Row],[First Response SLA Minutes]],"Breached","Within SLA")</f>
        <v>Within SLA</v>
      </c>
      <c r="O912" t="str" cm="1">
        <f t="array" ref="O912">_xlfn.IFS(
tbl_analysis_tickets[[#This Row],[agent_experience_years]]&lt;=2,"Junior",
tbl_analysis_tickets[[#This Row],[agent_experience_years]]&lt;=5,"Mid-Level",
tbl_analysis_tickets[[#This Row],[agent_experience_years]]&lt;=8,"Senior",
tbl_analysis_tickets[[#This Row],[agent_experience_years]]&gt;8,"Expert"
)</f>
        <v>Senior</v>
      </c>
      <c r="P912" cm="1">
        <f t="array" ref="P912">_xlfn.SWITCH(tbl_analysis_tickets[[#This Row],[customer_satisfaction]],
"Low",1,
"Medium",2,
"High",3
)</f>
        <v>1</v>
      </c>
      <c r="Q912">
        <f>IF(tbl_analysis_tickets[[#This Row],[reopened]]="Yes",1,0)</f>
        <v>1</v>
      </c>
      <c r="R912" t="str" cm="1">
        <f t="array" ref="R912">_xlfn.IFS(
tbl_analysis_tickets[[#This Row],[first_response_minutes]]&lt;=30,"Very Fast",
tbl_analysis_tickets[[#This Row],[first_response_minutes]]&lt;=120,"Acceptable",
tbl_analysis_tickets[[#This Row],[first_response_minutes]]&lt;=240,"Slow",
tbl_analysis_tickets[[#This Row],[first_response_minutes]]&gt;240,"Very Slow"
)</f>
        <v>Slow</v>
      </c>
      <c r="S912" t="str" cm="1">
        <f t="array" ref="S91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912" t="str">
        <f>TEXT(tbl_analysis_tickets[[#This Row],[created_date]],"mmm-yyyy")</f>
        <v>Dec-2024</v>
      </c>
      <c r="U912" t="str">
        <f>TEXT(tbl_analysis_tickets[[#This Row],[created_date]],"dddd")</f>
        <v>Friday</v>
      </c>
      <c r="V912" cm="1">
        <f t="array" ref="V912">_xlfn.SWITCH(tbl_analysis_tickets[[#This Row],[priority]],
"Urgent",1,
"High",2,
"Medium",3,
"Low",4
)</f>
        <v>4</v>
      </c>
    </row>
    <row r="913" spans="1:22" x14ac:dyDescent="0.25">
      <c r="A913">
        <v>912</v>
      </c>
      <c r="B913" s="1">
        <v>45311</v>
      </c>
      <c r="C913" t="s">
        <v>21</v>
      </c>
      <c r="D913" t="s">
        <v>20</v>
      </c>
      <c r="E913">
        <v>167</v>
      </c>
      <c r="F913">
        <v>20</v>
      </c>
      <c r="G913">
        <v>7.8</v>
      </c>
      <c r="H913" t="s">
        <v>12</v>
      </c>
      <c r="I913" t="s">
        <v>13</v>
      </c>
      <c r="J913" t="s">
        <v>11</v>
      </c>
      <c r="K913">
        <f>_xlfn.XLOOKUP(tbl_analysis_tickets[[#This Row],[priority]],tbl_sla[priority],tbl_sla[Resolution SLA Hours])</f>
        <v>24</v>
      </c>
      <c r="L913">
        <f>_xlfn.XLOOKUP(tbl_analysis_tickets[[#This Row],[priority]],tbl_sla[priority],tbl_sla[First Response SLA Minutes])</f>
        <v>60</v>
      </c>
      <c r="M913" t="str">
        <f>IF(tbl_analysis_tickets[[#This Row],[resolution_time_hours]]&gt;tbl_analysis_tickets[[#This Row],[Resolution SLA Hours]],"Breached","Within SLA")</f>
        <v>Within SLA</v>
      </c>
      <c r="N913" t="str">
        <f>IF(tbl_analysis_tickets[[#This Row],[first_response_minutes]]&gt;tbl_analysis_tickets[[#This Row],[First Response SLA Minutes]],"Breached","Within SLA")</f>
        <v>Breached</v>
      </c>
      <c r="O913" t="str" cm="1">
        <f t="array" ref="O913">_xlfn.IFS(
tbl_analysis_tickets[[#This Row],[agent_experience_years]]&lt;=2,"Junior",
tbl_analysis_tickets[[#This Row],[agent_experience_years]]&lt;=5,"Mid-Level",
tbl_analysis_tickets[[#This Row],[agent_experience_years]]&lt;=8,"Senior",
tbl_analysis_tickets[[#This Row],[agent_experience_years]]&gt;8,"Expert"
)</f>
        <v>Senior</v>
      </c>
      <c r="P913" cm="1">
        <f t="array" ref="P913">_xlfn.SWITCH(tbl_analysis_tickets[[#This Row],[customer_satisfaction]],
"Low",1,
"Medium",2,
"High",3
)</f>
        <v>1</v>
      </c>
      <c r="Q913">
        <f>IF(tbl_analysis_tickets[[#This Row],[reopened]]="Yes",1,0)</f>
        <v>1</v>
      </c>
      <c r="R913" t="str" cm="1">
        <f t="array" ref="R913">_xlfn.IFS(
tbl_analysis_tickets[[#This Row],[first_response_minutes]]&lt;=30,"Very Fast",
tbl_analysis_tickets[[#This Row],[first_response_minutes]]&lt;=120,"Acceptable",
tbl_analysis_tickets[[#This Row],[first_response_minutes]]&lt;=240,"Slow",
tbl_analysis_tickets[[#This Row],[first_response_minutes]]&gt;240,"Very Slow"
)</f>
        <v>Slow</v>
      </c>
      <c r="S913" t="str" cm="1">
        <f t="array" ref="S91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913" t="str">
        <f>TEXT(tbl_analysis_tickets[[#This Row],[created_date]],"mmm-yyyy")</f>
        <v>Jan-2024</v>
      </c>
      <c r="U913" t="str">
        <f>TEXT(tbl_analysis_tickets[[#This Row],[created_date]],"dddd")</f>
        <v>Saturday</v>
      </c>
      <c r="V913" cm="1">
        <f t="array" ref="V913">_xlfn.SWITCH(tbl_analysis_tickets[[#This Row],[priority]],
"Urgent",1,
"High",2,
"Medium",3,
"Low",4
)</f>
        <v>2</v>
      </c>
    </row>
    <row r="914" spans="1:22" x14ac:dyDescent="0.25">
      <c r="A914">
        <v>913</v>
      </c>
      <c r="B914" s="1">
        <v>45621</v>
      </c>
      <c r="C914" t="s">
        <v>22</v>
      </c>
      <c r="D914" t="s">
        <v>15</v>
      </c>
      <c r="E914">
        <v>186</v>
      </c>
      <c r="F914">
        <v>49</v>
      </c>
      <c r="G914">
        <v>5.9</v>
      </c>
      <c r="H914" t="s">
        <v>18</v>
      </c>
      <c r="I914" t="s">
        <v>16</v>
      </c>
      <c r="J914" t="s">
        <v>15</v>
      </c>
      <c r="K914">
        <f>_xlfn.XLOOKUP(tbl_analysis_tickets[[#This Row],[priority]],tbl_sla[priority],tbl_sla[Resolution SLA Hours])</f>
        <v>48</v>
      </c>
      <c r="L914">
        <f>_xlfn.XLOOKUP(tbl_analysis_tickets[[#This Row],[priority]],tbl_sla[priority],tbl_sla[First Response SLA Minutes])</f>
        <v>120</v>
      </c>
      <c r="M914" t="str">
        <f>IF(tbl_analysis_tickets[[#This Row],[resolution_time_hours]]&gt;tbl_analysis_tickets[[#This Row],[Resolution SLA Hours]],"Breached","Within SLA")</f>
        <v>Breached</v>
      </c>
      <c r="N914" t="str">
        <f>IF(tbl_analysis_tickets[[#This Row],[first_response_minutes]]&gt;tbl_analysis_tickets[[#This Row],[First Response SLA Minutes]],"Breached","Within SLA")</f>
        <v>Breached</v>
      </c>
      <c r="O914" t="str" cm="1">
        <f t="array" ref="O914">_xlfn.IFS(
tbl_analysis_tickets[[#This Row],[agent_experience_years]]&lt;=2,"Junior",
tbl_analysis_tickets[[#This Row],[agent_experience_years]]&lt;=5,"Mid-Level",
tbl_analysis_tickets[[#This Row],[agent_experience_years]]&lt;=8,"Senior",
tbl_analysis_tickets[[#This Row],[agent_experience_years]]&gt;8,"Expert"
)</f>
        <v>Senior</v>
      </c>
      <c r="P914" cm="1">
        <f t="array" ref="P914">_xlfn.SWITCH(tbl_analysis_tickets[[#This Row],[customer_satisfaction]],
"Low",1,
"Medium",2,
"High",3
)</f>
        <v>2</v>
      </c>
      <c r="Q914">
        <f>IF(tbl_analysis_tickets[[#This Row],[reopened]]="Yes",1,0)</f>
        <v>0</v>
      </c>
      <c r="R914" t="str" cm="1">
        <f t="array" ref="R914">_xlfn.IFS(
tbl_analysis_tickets[[#This Row],[first_response_minutes]]&lt;=30,"Very Fast",
tbl_analysis_tickets[[#This Row],[first_response_minutes]]&lt;=120,"Acceptable",
tbl_analysis_tickets[[#This Row],[first_response_minutes]]&lt;=240,"Slow",
tbl_analysis_tickets[[#This Row],[first_response_minutes]]&gt;240,"Very Slow"
)</f>
        <v>Slow</v>
      </c>
      <c r="S914" t="str" cm="1">
        <f t="array" ref="S91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914" t="str">
        <f>TEXT(tbl_analysis_tickets[[#This Row],[created_date]],"mmm-yyyy")</f>
        <v>Nov-2024</v>
      </c>
      <c r="U914" t="str">
        <f>TEXT(tbl_analysis_tickets[[#This Row],[created_date]],"dddd")</f>
        <v>Monday</v>
      </c>
      <c r="V914" cm="1">
        <f t="array" ref="V914">_xlfn.SWITCH(tbl_analysis_tickets[[#This Row],[priority]],
"Urgent",1,
"High",2,
"Medium",3,
"Low",4
)</f>
        <v>3</v>
      </c>
    </row>
    <row r="915" spans="1:22" x14ac:dyDescent="0.25">
      <c r="A915">
        <v>914</v>
      </c>
      <c r="B915" s="1">
        <v>45477</v>
      </c>
      <c r="C915" t="s">
        <v>10</v>
      </c>
      <c r="D915" t="s">
        <v>17</v>
      </c>
      <c r="E915">
        <v>45</v>
      </c>
      <c r="F915">
        <v>26</v>
      </c>
      <c r="G915">
        <v>1.2</v>
      </c>
      <c r="H915" t="s">
        <v>12</v>
      </c>
      <c r="I915" t="s">
        <v>13</v>
      </c>
      <c r="J915" t="s">
        <v>11</v>
      </c>
      <c r="K915">
        <f>_xlfn.XLOOKUP(tbl_analysis_tickets[[#This Row],[priority]],tbl_sla[priority],tbl_sla[Resolution SLA Hours])</f>
        <v>8</v>
      </c>
      <c r="L915">
        <f>_xlfn.XLOOKUP(tbl_analysis_tickets[[#This Row],[priority]],tbl_sla[priority],tbl_sla[First Response SLA Minutes])</f>
        <v>30</v>
      </c>
      <c r="M915" t="str">
        <f>IF(tbl_analysis_tickets[[#This Row],[resolution_time_hours]]&gt;tbl_analysis_tickets[[#This Row],[Resolution SLA Hours]],"Breached","Within SLA")</f>
        <v>Breached</v>
      </c>
      <c r="N915" t="str">
        <f>IF(tbl_analysis_tickets[[#This Row],[first_response_minutes]]&gt;tbl_analysis_tickets[[#This Row],[First Response SLA Minutes]],"Breached","Within SLA")</f>
        <v>Breached</v>
      </c>
      <c r="O915" t="str" cm="1">
        <f t="array" ref="O915">_xlfn.IFS(
tbl_analysis_tickets[[#This Row],[agent_experience_years]]&lt;=2,"Junior",
tbl_analysis_tickets[[#This Row],[agent_experience_years]]&lt;=5,"Mid-Level",
tbl_analysis_tickets[[#This Row],[agent_experience_years]]&lt;=8,"Senior",
tbl_analysis_tickets[[#This Row],[agent_experience_years]]&gt;8,"Expert"
)</f>
        <v>Junior</v>
      </c>
      <c r="P915" cm="1">
        <f t="array" ref="P915">_xlfn.SWITCH(tbl_analysis_tickets[[#This Row],[customer_satisfaction]],
"Low",1,
"Medium",2,
"High",3
)</f>
        <v>1</v>
      </c>
      <c r="Q915">
        <f>IF(tbl_analysis_tickets[[#This Row],[reopened]]="Yes",1,0)</f>
        <v>1</v>
      </c>
      <c r="R915" t="str" cm="1">
        <f t="array" ref="R915">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915" t="str" cm="1">
        <f t="array" ref="S91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915" t="str">
        <f>TEXT(tbl_analysis_tickets[[#This Row],[created_date]],"mmm-yyyy")</f>
        <v>Jul-2024</v>
      </c>
      <c r="U915" t="str">
        <f>TEXT(tbl_analysis_tickets[[#This Row],[created_date]],"dddd")</f>
        <v>Thursday</v>
      </c>
      <c r="V915" cm="1">
        <f t="array" ref="V915">_xlfn.SWITCH(tbl_analysis_tickets[[#This Row],[priority]],
"Urgent",1,
"High",2,
"Medium",3,
"Low",4
)</f>
        <v>1</v>
      </c>
    </row>
    <row r="916" spans="1:22" x14ac:dyDescent="0.25">
      <c r="A916">
        <v>915</v>
      </c>
      <c r="B916" s="1">
        <v>45341</v>
      </c>
      <c r="C916" t="s">
        <v>23</v>
      </c>
      <c r="D916" t="s">
        <v>20</v>
      </c>
      <c r="E916">
        <v>128</v>
      </c>
      <c r="F916">
        <v>6</v>
      </c>
      <c r="G916">
        <v>0.9</v>
      </c>
      <c r="H916" t="s">
        <v>18</v>
      </c>
      <c r="I916" t="s">
        <v>13</v>
      </c>
      <c r="J916" t="s">
        <v>15</v>
      </c>
      <c r="K916">
        <f>_xlfn.XLOOKUP(tbl_analysis_tickets[[#This Row],[priority]],tbl_sla[priority],tbl_sla[Resolution SLA Hours])</f>
        <v>24</v>
      </c>
      <c r="L916">
        <f>_xlfn.XLOOKUP(tbl_analysis_tickets[[#This Row],[priority]],tbl_sla[priority],tbl_sla[First Response SLA Minutes])</f>
        <v>60</v>
      </c>
      <c r="M916" t="str">
        <f>IF(tbl_analysis_tickets[[#This Row],[resolution_time_hours]]&gt;tbl_analysis_tickets[[#This Row],[Resolution SLA Hours]],"Breached","Within SLA")</f>
        <v>Within SLA</v>
      </c>
      <c r="N916" t="str">
        <f>IF(tbl_analysis_tickets[[#This Row],[first_response_minutes]]&gt;tbl_analysis_tickets[[#This Row],[First Response SLA Minutes]],"Breached","Within SLA")</f>
        <v>Breached</v>
      </c>
      <c r="O916" t="str" cm="1">
        <f t="array" ref="O916">_xlfn.IFS(
tbl_analysis_tickets[[#This Row],[agent_experience_years]]&lt;=2,"Junior",
tbl_analysis_tickets[[#This Row],[agent_experience_years]]&lt;=5,"Mid-Level",
tbl_analysis_tickets[[#This Row],[agent_experience_years]]&lt;=8,"Senior",
tbl_analysis_tickets[[#This Row],[agent_experience_years]]&gt;8,"Expert"
)</f>
        <v>Junior</v>
      </c>
      <c r="P916" cm="1">
        <f t="array" ref="P916">_xlfn.SWITCH(tbl_analysis_tickets[[#This Row],[customer_satisfaction]],
"Low",1,
"Medium",2,
"High",3
)</f>
        <v>2</v>
      </c>
      <c r="Q916">
        <f>IF(tbl_analysis_tickets[[#This Row],[reopened]]="Yes",1,0)</f>
        <v>0</v>
      </c>
      <c r="R916" t="str" cm="1">
        <f t="array" ref="R916">_xlfn.IFS(
tbl_analysis_tickets[[#This Row],[first_response_minutes]]&lt;=30,"Very Fast",
tbl_analysis_tickets[[#This Row],[first_response_minutes]]&lt;=120,"Acceptable",
tbl_analysis_tickets[[#This Row],[first_response_minutes]]&lt;=240,"Slow",
tbl_analysis_tickets[[#This Row],[first_response_minutes]]&gt;240,"Very Slow"
)</f>
        <v>Slow</v>
      </c>
      <c r="S916" t="str" cm="1">
        <f t="array" ref="S91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916" t="str">
        <f>TEXT(tbl_analysis_tickets[[#This Row],[created_date]],"mmm-yyyy")</f>
        <v>Feb-2024</v>
      </c>
      <c r="U916" t="str">
        <f>TEXT(tbl_analysis_tickets[[#This Row],[created_date]],"dddd")</f>
        <v>Monday</v>
      </c>
      <c r="V916" cm="1">
        <f t="array" ref="V916">_xlfn.SWITCH(tbl_analysis_tickets[[#This Row],[priority]],
"Urgent",1,
"High",2,
"Medium",3,
"Low",4
)</f>
        <v>2</v>
      </c>
    </row>
    <row r="917" spans="1:22" x14ac:dyDescent="0.25">
      <c r="A917">
        <v>916</v>
      </c>
      <c r="B917" s="1">
        <v>45396</v>
      </c>
      <c r="C917" t="s">
        <v>22</v>
      </c>
      <c r="D917" t="s">
        <v>11</v>
      </c>
      <c r="E917">
        <v>54</v>
      </c>
      <c r="F917">
        <v>61</v>
      </c>
      <c r="G917">
        <v>6.9</v>
      </c>
      <c r="H917" t="s">
        <v>18</v>
      </c>
      <c r="I917" t="s">
        <v>13</v>
      </c>
      <c r="J917" t="s">
        <v>15</v>
      </c>
      <c r="K917">
        <f>_xlfn.XLOOKUP(tbl_analysis_tickets[[#This Row],[priority]],tbl_sla[priority],tbl_sla[Resolution SLA Hours])</f>
        <v>72</v>
      </c>
      <c r="L917">
        <f>_xlfn.XLOOKUP(tbl_analysis_tickets[[#This Row],[priority]],tbl_sla[priority],tbl_sla[First Response SLA Minutes])</f>
        <v>240</v>
      </c>
      <c r="M917" t="str">
        <f>IF(tbl_analysis_tickets[[#This Row],[resolution_time_hours]]&gt;tbl_analysis_tickets[[#This Row],[Resolution SLA Hours]],"Breached","Within SLA")</f>
        <v>Within SLA</v>
      </c>
      <c r="N917" t="str">
        <f>IF(tbl_analysis_tickets[[#This Row],[first_response_minutes]]&gt;tbl_analysis_tickets[[#This Row],[First Response SLA Minutes]],"Breached","Within SLA")</f>
        <v>Within SLA</v>
      </c>
      <c r="O917" t="str" cm="1">
        <f t="array" ref="O917">_xlfn.IFS(
tbl_analysis_tickets[[#This Row],[agent_experience_years]]&lt;=2,"Junior",
tbl_analysis_tickets[[#This Row],[agent_experience_years]]&lt;=5,"Mid-Level",
tbl_analysis_tickets[[#This Row],[agent_experience_years]]&lt;=8,"Senior",
tbl_analysis_tickets[[#This Row],[agent_experience_years]]&gt;8,"Expert"
)</f>
        <v>Senior</v>
      </c>
      <c r="P917" cm="1">
        <f t="array" ref="P917">_xlfn.SWITCH(tbl_analysis_tickets[[#This Row],[customer_satisfaction]],
"Low",1,
"Medium",2,
"High",3
)</f>
        <v>2</v>
      </c>
      <c r="Q917">
        <f>IF(tbl_analysis_tickets[[#This Row],[reopened]]="Yes",1,0)</f>
        <v>0</v>
      </c>
      <c r="R917" t="str" cm="1">
        <f t="array" ref="R917">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917" t="str" cm="1">
        <f t="array" ref="S91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917" t="str">
        <f>TEXT(tbl_analysis_tickets[[#This Row],[created_date]],"mmm-yyyy")</f>
        <v>Apr-2024</v>
      </c>
      <c r="U917" t="str">
        <f>TEXT(tbl_analysis_tickets[[#This Row],[created_date]],"dddd")</f>
        <v>Sunday</v>
      </c>
      <c r="V917" cm="1">
        <f t="array" ref="V917">_xlfn.SWITCH(tbl_analysis_tickets[[#This Row],[priority]],
"Urgent",1,
"High",2,
"Medium",3,
"Low",4
)</f>
        <v>4</v>
      </c>
    </row>
    <row r="918" spans="1:22" x14ac:dyDescent="0.25">
      <c r="A918">
        <v>917</v>
      </c>
      <c r="B918" s="1">
        <v>45592</v>
      </c>
      <c r="C918" t="s">
        <v>23</v>
      </c>
      <c r="D918" t="s">
        <v>17</v>
      </c>
      <c r="E918">
        <v>39</v>
      </c>
      <c r="F918">
        <v>9</v>
      </c>
      <c r="G918">
        <v>0.7</v>
      </c>
      <c r="H918" t="s">
        <v>18</v>
      </c>
      <c r="I918" t="s">
        <v>19</v>
      </c>
      <c r="J918" t="s">
        <v>11</v>
      </c>
      <c r="K918">
        <f>_xlfn.XLOOKUP(tbl_analysis_tickets[[#This Row],[priority]],tbl_sla[priority],tbl_sla[Resolution SLA Hours])</f>
        <v>8</v>
      </c>
      <c r="L918">
        <f>_xlfn.XLOOKUP(tbl_analysis_tickets[[#This Row],[priority]],tbl_sla[priority],tbl_sla[First Response SLA Minutes])</f>
        <v>30</v>
      </c>
      <c r="M918" t="str">
        <f>IF(tbl_analysis_tickets[[#This Row],[resolution_time_hours]]&gt;tbl_analysis_tickets[[#This Row],[Resolution SLA Hours]],"Breached","Within SLA")</f>
        <v>Breached</v>
      </c>
      <c r="N918" t="str">
        <f>IF(tbl_analysis_tickets[[#This Row],[first_response_minutes]]&gt;tbl_analysis_tickets[[#This Row],[First Response SLA Minutes]],"Breached","Within SLA")</f>
        <v>Breached</v>
      </c>
      <c r="O918" t="str" cm="1">
        <f t="array" ref="O918">_xlfn.IFS(
tbl_analysis_tickets[[#This Row],[agent_experience_years]]&lt;=2,"Junior",
tbl_analysis_tickets[[#This Row],[agent_experience_years]]&lt;=5,"Mid-Level",
tbl_analysis_tickets[[#This Row],[agent_experience_years]]&lt;=8,"Senior",
tbl_analysis_tickets[[#This Row],[agent_experience_years]]&gt;8,"Expert"
)</f>
        <v>Junior</v>
      </c>
      <c r="P918" cm="1">
        <f t="array" ref="P918">_xlfn.SWITCH(tbl_analysis_tickets[[#This Row],[customer_satisfaction]],
"Low",1,
"Medium",2,
"High",3
)</f>
        <v>1</v>
      </c>
      <c r="Q918">
        <f>IF(tbl_analysis_tickets[[#This Row],[reopened]]="Yes",1,0)</f>
        <v>0</v>
      </c>
      <c r="R918" t="str" cm="1">
        <f t="array" ref="R918">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918" t="str" cm="1">
        <f t="array" ref="S91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918" t="str">
        <f>TEXT(tbl_analysis_tickets[[#This Row],[created_date]],"mmm-yyyy")</f>
        <v>Oct-2024</v>
      </c>
      <c r="U918" t="str">
        <f>TEXT(tbl_analysis_tickets[[#This Row],[created_date]],"dddd")</f>
        <v>Sunday</v>
      </c>
      <c r="V918" cm="1">
        <f t="array" ref="V918">_xlfn.SWITCH(tbl_analysis_tickets[[#This Row],[priority]],
"Urgent",1,
"High",2,
"Medium",3,
"Low",4
)</f>
        <v>1</v>
      </c>
    </row>
    <row r="919" spans="1:22" x14ac:dyDescent="0.25">
      <c r="A919">
        <v>918</v>
      </c>
      <c r="B919" s="1">
        <v>45467</v>
      </c>
      <c r="C919" t="s">
        <v>10</v>
      </c>
      <c r="D919" t="s">
        <v>17</v>
      </c>
      <c r="E919">
        <v>196</v>
      </c>
      <c r="F919">
        <v>32</v>
      </c>
      <c r="G919">
        <v>0.8</v>
      </c>
      <c r="H919" t="s">
        <v>18</v>
      </c>
      <c r="I919" t="s">
        <v>13</v>
      </c>
      <c r="J919" t="s">
        <v>11</v>
      </c>
      <c r="K919">
        <f>_xlfn.XLOOKUP(tbl_analysis_tickets[[#This Row],[priority]],tbl_sla[priority],tbl_sla[Resolution SLA Hours])</f>
        <v>8</v>
      </c>
      <c r="L919">
        <f>_xlfn.XLOOKUP(tbl_analysis_tickets[[#This Row],[priority]],tbl_sla[priority],tbl_sla[First Response SLA Minutes])</f>
        <v>30</v>
      </c>
      <c r="M919" t="str">
        <f>IF(tbl_analysis_tickets[[#This Row],[resolution_time_hours]]&gt;tbl_analysis_tickets[[#This Row],[Resolution SLA Hours]],"Breached","Within SLA")</f>
        <v>Breached</v>
      </c>
      <c r="N919" t="str">
        <f>IF(tbl_analysis_tickets[[#This Row],[first_response_minutes]]&gt;tbl_analysis_tickets[[#This Row],[First Response SLA Minutes]],"Breached","Within SLA")</f>
        <v>Breached</v>
      </c>
      <c r="O919" t="str" cm="1">
        <f t="array" ref="O919">_xlfn.IFS(
tbl_analysis_tickets[[#This Row],[agent_experience_years]]&lt;=2,"Junior",
tbl_analysis_tickets[[#This Row],[agent_experience_years]]&lt;=5,"Mid-Level",
tbl_analysis_tickets[[#This Row],[agent_experience_years]]&lt;=8,"Senior",
tbl_analysis_tickets[[#This Row],[agent_experience_years]]&gt;8,"Expert"
)</f>
        <v>Junior</v>
      </c>
      <c r="P919" cm="1">
        <f t="array" ref="P919">_xlfn.SWITCH(tbl_analysis_tickets[[#This Row],[customer_satisfaction]],
"Low",1,
"Medium",2,
"High",3
)</f>
        <v>1</v>
      </c>
      <c r="Q919">
        <f>IF(tbl_analysis_tickets[[#This Row],[reopened]]="Yes",1,0)</f>
        <v>0</v>
      </c>
      <c r="R919" t="str" cm="1">
        <f t="array" ref="R919">_xlfn.IFS(
tbl_analysis_tickets[[#This Row],[first_response_minutes]]&lt;=30,"Very Fast",
tbl_analysis_tickets[[#This Row],[first_response_minutes]]&lt;=120,"Acceptable",
tbl_analysis_tickets[[#This Row],[first_response_minutes]]&lt;=240,"Slow",
tbl_analysis_tickets[[#This Row],[first_response_minutes]]&gt;240,"Very Slow"
)</f>
        <v>Slow</v>
      </c>
      <c r="S919" t="str" cm="1">
        <f t="array" ref="S91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919" t="str">
        <f>TEXT(tbl_analysis_tickets[[#This Row],[created_date]],"mmm-yyyy")</f>
        <v>Jun-2024</v>
      </c>
      <c r="U919" t="str">
        <f>TEXT(tbl_analysis_tickets[[#This Row],[created_date]],"dddd")</f>
        <v>Monday</v>
      </c>
      <c r="V919" cm="1">
        <f t="array" ref="V919">_xlfn.SWITCH(tbl_analysis_tickets[[#This Row],[priority]],
"Urgent",1,
"High",2,
"Medium",3,
"Low",4
)</f>
        <v>1</v>
      </c>
    </row>
    <row r="920" spans="1:22" x14ac:dyDescent="0.25">
      <c r="A920">
        <v>919</v>
      </c>
      <c r="B920" s="1">
        <v>45544</v>
      </c>
      <c r="C920" t="s">
        <v>21</v>
      </c>
      <c r="D920" t="s">
        <v>17</v>
      </c>
      <c r="E920">
        <v>89</v>
      </c>
      <c r="F920">
        <v>66</v>
      </c>
      <c r="G920">
        <v>9.8000000000000007</v>
      </c>
      <c r="H920" t="s">
        <v>18</v>
      </c>
      <c r="I920" t="s">
        <v>13</v>
      </c>
      <c r="J920" t="s">
        <v>11</v>
      </c>
      <c r="K920">
        <f>_xlfn.XLOOKUP(tbl_analysis_tickets[[#This Row],[priority]],tbl_sla[priority],tbl_sla[Resolution SLA Hours])</f>
        <v>8</v>
      </c>
      <c r="L920">
        <f>_xlfn.XLOOKUP(tbl_analysis_tickets[[#This Row],[priority]],tbl_sla[priority],tbl_sla[First Response SLA Minutes])</f>
        <v>30</v>
      </c>
      <c r="M920" t="str">
        <f>IF(tbl_analysis_tickets[[#This Row],[resolution_time_hours]]&gt;tbl_analysis_tickets[[#This Row],[Resolution SLA Hours]],"Breached","Within SLA")</f>
        <v>Breached</v>
      </c>
      <c r="N920" t="str">
        <f>IF(tbl_analysis_tickets[[#This Row],[first_response_minutes]]&gt;tbl_analysis_tickets[[#This Row],[First Response SLA Minutes]],"Breached","Within SLA")</f>
        <v>Breached</v>
      </c>
      <c r="O920" t="str" cm="1">
        <f t="array" ref="O920">_xlfn.IFS(
tbl_analysis_tickets[[#This Row],[agent_experience_years]]&lt;=2,"Junior",
tbl_analysis_tickets[[#This Row],[agent_experience_years]]&lt;=5,"Mid-Level",
tbl_analysis_tickets[[#This Row],[agent_experience_years]]&lt;=8,"Senior",
tbl_analysis_tickets[[#This Row],[agent_experience_years]]&gt;8,"Expert"
)</f>
        <v>Expert</v>
      </c>
      <c r="P920" cm="1">
        <f t="array" ref="P920">_xlfn.SWITCH(tbl_analysis_tickets[[#This Row],[customer_satisfaction]],
"Low",1,
"Medium",2,
"High",3
)</f>
        <v>1</v>
      </c>
      <c r="Q920">
        <f>IF(tbl_analysis_tickets[[#This Row],[reopened]]="Yes",1,0)</f>
        <v>0</v>
      </c>
      <c r="R920" t="str" cm="1">
        <f t="array" ref="R920">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920" t="str" cm="1">
        <f t="array" ref="S92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920" t="str">
        <f>TEXT(tbl_analysis_tickets[[#This Row],[created_date]],"mmm-yyyy")</f>
        <v>Sep-2024</v>
      </c>
      <c r="U920" t="str">
        <f>TEXT(tbl_analysis_tickets[[#This Row],[created_date]],"dddd")</f>
        <v>Monday</v>
      </c>
      <c r="V920" cm="1">
        <f t="array" ref="V920">_xlfn.SWITCH(tbl_analysis_tickets[[#This Row],[priority]],
"Urgent",1,
"High",2,
"Medium",3,
"Low",4
)</f>
        <v>1</v>
      </c>
    </row>
    <row r="921" spans="1:22" x14ac:dyDescent="0.25">
      <c r="A921">
        <v>920</v>
      </c>
      <c r="B921" s="1">
        <v>45602</v>
      </c>
      <c r="C921" t="s">
        <v>14</v>
      </c>
      <c r="D921" t="s">
        <v>15</v>
      </c>
      <c r="E921">
        <v>214</v>
      </c>
      <c r="F921">
        <v>67</v>
      </c>
      <c r="G921">
        <v>4.5999999999999996</v>
      </c>
      <c r="H921" t="s">
        <v>12</v>
      </c>
      <c r="I921" t="s">
        <v>19</v>
      </c>
      <c r="J921" t="s">
        <v>11</v>
      </c>
      <c r="K921">
        <f>_xlfn.XLOOKUP(tbl_analysis_tickets[[#This Row],[priority]],tbl_sla[priority],tbl_sla[Resolution SLA Hours])</f>
        <v>48</v>
      </c>
      <c r="L921">
        <f>_xlfn.XLOOKUP(tbl_analysis_tickets[[#This Row],[priority]],tbl_sla[priority],tbl_sla[First Response SLA Minutes])</f>
        <v>120</v>
      </c>
      <c r="M921" t="str">
        <f>IF(tbl_analysis_tickets[[#This Row],[resolution_time_hours]]&gt;tbl_analysis_tickets[[#This Row],[Resolution SLA Hours]],"Breached","Within SLA")</f>
        <v>Breached</v>
      </c>
      <c r="N921" t="str">
        <f>IF(tbl_analysis_tickets[[#This Row],[first_response_minutes]]&gt;tbl_analysis_tickets[[#This Row],[First Response SLA Minutes]],"Breached","Within SLA")</f>
        <v>Breached</v>
      </c>
      <c r="O921" t="str" cm="1">
        <f t="array" ref="O921">_xlfn.IFS(
tbl_analysis_tickets[[#This Row],[agent_experience_years]]&lt;=2,"Junior",
tbl_analysis_tickets[[#This Row],[agent_experience_years]]&lt;=5,"Mid-Level",
tbl_analysis_tickets[[#This Row],[agent_experience_years]]&lt;=8,"Senior",
tbl_analysis_tickets[[#This Row],[agent_experience_years]]&gt;8,"Expert"
)</f>
        <v>Mid-Level</v>
      </c>
      <c r="P921" cm="1">
        <f t="array" ref="P921">_xlfn.SWITCH(tbl_analysis_tickets[[#This Row],[customer_satisfaction]],
"Low",1,
"Medium",2,
"High",3
)</f>
        <v>1</v>
      </c>
      <c r="Q921">
        <f>IF(tbl_analysis_tickets[[#This Row],[reopened]]="Yes",1,0)</f>
        <v>1</v>
      </c>
      <c r="R921" t="str" cm="1">
        <f t="array" ref="R921">_xlfn.IFS(
tbl_analysis_tickets[[#This Row],[first_response_minutes]]&lt;=30,"Very Fast",
tbl_analysis_tickets[[#This Row],[first_response_minutes]]&lt;=120,"Acceptable",
tbl_analysis_tickets[[#This Row],[first_response_minutes]]&lt;=240,"Slow",
tbl_analysis_tickets[[#This Row],[first_response_minutes]]&gt;240,"Very Slow"
)</f>
        <v>Slow</v>
      </c>
      <c r="S921" t="str" cm="1">
        <f t="array" ref="S92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921" t="str">
        <f>TEXT(tbl_analysis_tickets[[#This Row],[created_date]],"mmm-yyyy")</f>
        <v>Nov-2024</v>
      </c>
      <c r="U921" t="str">
        <f>TEXT(tbl_analysis_tickets[[#This Row],[created_date]],"dddd")</f>
        <v>Wednesday</v>
      </c>
      <c r="V921" cm="1">
        <f t="array" ref="V921">_xlfn.SWITCH(tbl_analysis_tickets[[#This Row],[priority]],
"Urgent",1,
"High",2,
"Medium",3,
"Low",4
)</f>
        <v>3</v>
      </c>
    </row>
    <row r="922" spans="1:22" x14ac:dyDescent="0.25">
      <c r="A922">
        <v>921</v>
      </c>
      <c r="B922" s="1">
        <v>45500</v>
      </c>
      <c r="C922" t="s">
        <v>14</v>
      </c>
      <c r="D922" t="s">
        <v>11</v>
      </c>
      <c r="E922">
        <v>232</v>
      </c>
      <c r="F922">
        <v>53</v>
      </c>
      <c r="G922">
        <v>3.1</v>
      </c>
      <c r="H922" t="s">
        <v>12</v>
      </c>
      <c r="I922" t="s">
        <v>13</v>
      </c>
      <c r="J922" t="s">
        <v>11</v>
      </c>
      <c r="K922">
        <f>_xlfn.XLOOKUP(tbl_analysis_tickets[[#This Row],[priority]],tbl_sla[priority],tbl_sla[Resolution SLA Hours])</f>
        <v>72</v>
      </c>
      <c r="L922">
        <f>_xlfn.XLOOKUP(tbl_analysis_tickets[[#This Row],[priority]],tbl_sla[priority],tbl_sla[First Response SLA Minutes])</f>
        <v>240</v>
      </c>
      <c r="M922" t="str">
        <f>IF(tbl_analysis_tickets[[#This Row],[resolution_time_hours]]&gt;tbl_analysis_tickets[[#This Row],[Resolution SLA Hours]],"Breached","Within SLA")</f>
        <v>Within SLA</v>
      </c>
      <c r="N922" t="str">
        <f>IF(tbl_analysis_tickets[[#This Row],[first_response_minutes]]&gt;tbl_analysis_tickets[[#This Row],[First Response SLA Minutes]],"Breached","Within SLA")</f>
        <v>Within SLA</v>
      </c>
      <c r="O922" t="str" cm="1">
        <f t="array" ref="O922">_xlfn.IFS(
tbl_analysis_tickets[[#This Row],[agent_experience_years]]&lt;=2,"Junior",
tbl_analysis_tickets[[#This Row],[agent_experience_years]]&lt;=5,"Mid-Level",
tbl_analysis_tickets[[#This Row],[agent_experience_years]]&lt;=8,"Senior",
tbl_analysis_tickets[[#This Row],[agent_experience_years]]&gt;8,"Expert"
)</f>
        <v>Mid-Level</v>
      </c>
      <c r="P922" cm="1">
        <f t="array" ref="P922">_xlfn.SWITCH(tbl_analysis_tickets[[#This Row],[customer_satisfaction]],
"Low",1,
"Medium",2,
"High",3
)</f>
        <v>1</v>
      </c>
      <c r="Q922">
        <f>IF(tbl_analysis_tickets[[#This Row],[reopened]]="Yes",1,0)</f>
        <v>1</v>
      </c>
      <c r="R922" t="str" cm="1">
        <f t="array" ref="R922">_xlfn.IFS(
tbl_analysis_tickets[[#This Row],[first_response_minutes]]&lt;=30,"Very Fast",
tbl_analysis_tickets[[#This Row],[first_response_minutes]]&lt;=120,"Acceptable",
tbl_analysis_tickets[[#This Row],[first_response_minutes]]&lt;=240,"Slow",
tbl_analysis_tickets[[#This Row],[first_response_minutes]]&gt;240,"Very Slow"
)</f>
        <v>Slow</v>
      </c>
      <c r="S922" t="str" cm="1">
        <f t="array" ref="S92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922" t="str">
        <f>TEXT(tbl_analysis_tickets[[#This Row],[created_date]],"mmm-yyyy")</f>
        <v>Jul-2024</v>
      </c>
      <c r="U922" t="str">
        <f>TEXT(tbl_analysis_tickets[[#This Row],[created_date]],"dddd")</f>
        <v>Saturday</v>
      </c>
      <c r="V922" cm="1">
        <f t="array" ref="V922">_xlfn.SWITCH(tbl_analysis_tickets[[#This Row],[priority]],
"Urgent",1,
"High",2,
"Medium",3,
"Low",4
)</f>
        <v>4</v>
      </c>
    </row>
    <row r="923" spans="1:22" x14ac:dyDescent="0.25">
      <c r="A923">
        <v>922</v>
      </c>
      <c r="B923" s="1">
        <v>45602</v>
      </c>
      <c r="C923" t="s">
        <v>21</v>
      </c>
      <c r="D923" t="s">
        <v>20</v>
      </c>
      <c r="E923">
        <v>114</v>
      </c>
      <c r="F923">
        <v>63</v>
      </c>
      <c r="G923">
        <v>5.8</v>
      </c>
      <c r="H923" t="s">
        <v>18</v>
      </c>
      <c r="I923" t="s">
        <v>13</v>
      </c>
      <c r="J923" t="s">
        <v>11</v>
      </c>
      <c r="K923">
        <f>_xlfn.XLOOKUP(tbl_analysis_tickets[[#This Row],[priority]],tbl_sla[priority],tbl_sla[Resolution SLA Hours])</f>
        <v>24</v>
      </c>
      <c r="L923">
        <f>_xlfn.XLOOKUP(tbl_analysis_tickets[[#This Row],[priority]],tbl_sla[priority],tbl_sla[First Response SLA Minutes])</f>
        <v>60</v>
      </c>
      <c r="M923" t="str">
        <f>IF(tbl_analysis_tickets[[#This Row],[resolution_time_hours]]&gt;tbl_analysis_tickets[[#This Row],[Resolution SLA Hours]],"Breached","Within SLA")</f>
        <v>Breached</v>
      </c>
      <c r="N923" t="str">
        <f>IF(tbl_analysis_tickets[[#This Row],[first_response_minutes]]&gt;tbl_analysis_tickets[[#This Row],[First Response SLA Minutes]],"Breached","Within SLA")</f>
        <v>Breached</v>
      </c>
      <c r="O923" t="str" cm="1">
        <f t="array" ref="O923">_xlfn.IFS(
tbl_analysis_tickets[[#This Row],[agent_experience_years]]&lt;=2,"Junior",
tbl_analysis_tickets[[#This Row],[agent_experience_years]]&lt;=5,"Mid-Level",
tbl_analysis_tickets[[#This Row],[agent_experience_years]]&lt;=8,"Senior",
tbl_analysis_tickets[[#This Row],[agent_experience_years]]&gt;8,"Expert"
)</f>
        <v>Senior</v>
      </c>
      <c r="P923" cm="1">
        <f t="array" ref="P923">_xlfn.SWITCH(tbl_analysis_tickets[[#This Row],[customer_satisfaction]],
"Low",1,
"Medium",2,
"High",3
)</f>
        <v>1</v>
      </c>
      <c r="Q923">
        <f>IF(tbl_analysis_tickets[[#This Row],[reopened]]="Yes",1,0)</f>
        <v>0</v>
      </c>
      <c r="R923" t="str" cm="1">
        <f t="array" ref="R923">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923" t="str" cm="1">
        <f t="array" ref="S92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923" t="str">
        <f>TEXT(tbl_analysis_tickets[[#This Row],[created_date]],"mmm-yyyy")</f>
        <v>Nov-2024</v>
      </c>
      <c r="U923" t="str">
        <f>TEXT(tbl_analysis_tickets[[#This Row],[created_date]],"dddd")</f>
        <v>Wednesday</v>
      </c>
      <c r="V923" cm="1">
        <f t="array" ref="V923">_xlfn.SWITCH(tbl_analysis_tickets[[#This Row],[priority]],
"Urgent",1,
"High",2,
"Medium",3,
"Low",4
)</f>
        <v>2</v>
      </c>
    </row>
    <row r="924" spans="1:22" x14ac:dyDescent="0.25">
      <c r="A924">
        <v>923</v>
      </c>
      <c r="B924" s="1">
        <v>45572</v>
      </c>
      <c r="C924" t="s">
        <v>23</v>
      </c>
      <c r="D924" t="s">
        <v>11</v>
      </c>
      <c r="E924">
        <v>41</v>
      </c>
      <c r="F924">
        <v>66</v>
      </c>
      <c r="G924">
        <v>6.4</v>
      </c>
      <c r="H924" t="s">
        <v>12</v>
      </c>
      <c r="I924" t="s">
        <v>13</v>
      </c>
      <c r="J924" t="s">
        <v>11</v>
      </c>
      <c r="K924">
        <f>_xlfn.XLOOKUP(tbl_analysis_tickets[[#This Row],[priority]],tbl_sla[priority],tbl_sla[Resolution SLA Hours])</f>
        <v>72</v>
      </c>
      <c r="L924">
        <f>_xlfn.XLOOKUP(tbl_analysis_tickets[[#This Row],[priority]],tbl_sla[priority],tbl_sla[First Response SLA Minutes])</f>
        <v>240</v>
      </c>
      <c r="M924" t="str">
        <f>IF(tbl_analysis_tickets[[#This Row],[resolution_time_hours]]&gt;tbl_analysis_tickets[[#This Row],[Resolution SLA Hours]],"Breached","Within SLA")</f>
        <v>Within SLA</v>
      </c>
      <c r="N924" t="str">
        <f>IF(tbl_analysis_tickets[[#This Row],[first_response_minutes]]&gt;tbl_analysis_tickets[[#This Row],[First Response SLA Minutes]],"Breached","Within SLA")</f>
        <v>Within SLA</v>
      </c>
      <c r="O924" t="str" cm="1">
        <f t="array" ref="O924">_xlfn.IFS(
tbl_analysis_tickets[[#This Row],[agent_experience_years]]&lt;=2,"Junior",
tbl_analysis_tickets[[#This Row],[agent_experience_years]]&lt;=5,"Mid-Level",
tbl_analysis_tickets[[#This Row],[agent_experience_years]]&lt;=8,"Senior",
tbl_analysis_tickets[[#This Row],[agent_experience_years]]&gt;8,"Expert"
)</f>
        <v>Senior</v>
      </c>
      <c r="P924" cm="1">
        <f t="array" ref="P924">_xlfn.SWITCH(tbl_analysis_tickets[[#This Row],[customer_satisfaction]],
"Low",1,
"Medium",2,
"High",3
)</f>
        <v>1</v>
      </c>
      <c r="Q924">
        <f>IF(tbl_analysis_tickets[[#This Row],[reopened]]="Yes",1,0)</f>
        <v>1</v>
      </c>
      <c r="R924" t="str" cm="1">
        <f t="array" ref="R924">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924" t="str" cm="1">
        <f t="array" ref="S92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924" t="str">
        <f>TEXT(tbl_analysis_tickets[[#This Row],[created_date]],"mmm-yyyy")</f>
        <v>Oct-2024</v>
      </c>
      <c r="U924" t="str">
        <f>TEXT(tbl_analysis_tickets[[#This Row],[created_date]],"dddd")</f>
        <v>Monday</v>
      </c>
      <c r="V924" cm="1">
        <f t="array" ref="V924">_xlfn.SWITCH(tbl_analysis_tickets[[#This Row],[priority]],
"Urgent",1,
"High",2,
"Medium",3,
"Low",4
)</f>
        <v>4</v>
      </c>
    </row>
    <row r="925" spans="1:22" x14ac:dyDescent="0.25">
      <c r="A925">
        <v>924</v>
      </c>
      <c r="B925" s="1">
        <v>45480</v>
      </c>
      <c r="C925" t="s">
        <v>14</v>
      </c>
      <c r="D925" t="s">
        <v>11</v>
      </c>
      <c r="E925">
        <v>145</v>
      </c>
      <c r="F925">
        <v>31</v>
      </c>
      <c r="G925">
        <v>1.2</v>
      </c>
      <c r="H925" t="s">
        <v>18</v>
      </c>
      <c r="I925" t="s">
        <v>16</v>
      </c>
      <c r="J925" t="s">
        <v>11</v>
      </c>
      <c r="K925">
        <f>_xlfn.XLOOKUP(tbl_analysis_tickets[[#This Row],[priority]],tbl_sla[priority],tbl_sla[Resolution SLA Hours])</f>
        <v>72</v>
      </c>
      <c r="L925">
        <f>_xlfn.XLOOKUP(tbl_analysis_tickets[[#This Row],[priority]],tbl_sla[priority],tbl_sla[First Response SLA Minutes])</f>
        <v>240</v>
      </c>
      <c r="M925" t="str">
        <f>IF(tbl_analysis_tickets[[#This Row],[resolution_time_hours]]&gt;tbl_analysis_tickets[[#This Row],[Resolution SLA Hours]],"Breached","Within SLA")</f>
        <v>Within SLA</v>
      </c>
      <c r="N925" t="str">
        <f>IF(tbl_analysis_tickets[[#This Row],[first_response_minutes]]&gt;tbl_analysis_tickets[[#This Row],[First Response SLA Minutes]],"Breached","Within SLA")</f>
        <v>Within SLA</v>
      </c>
      <c r="O925" t="str" cm="1">
        <f t="array" ref="O925">_xlfn.IFS(
tbl_analysis_tickets[[#This Row],[agent_experience_years]]&lt;=2,"Junior",
tbl_analysis_tickets[[#This Row],[agent_experience_years]]&lt;=5,"Mid-Level",
tbl_analysis_tickets[[#This Row],[agent_experience_years]]&lt;=8,"Senior",
tbl_analysis_tickets[[#This Row],[agent_experience_years]]&gt;8,"Expert"
)</f>
        <v>Junior</v>
      </c>
      <c r="P925" cm="1">
        <f t="array" ref="P925">_xlfn.SWITCH(tbl_analysis_tickets[[#This Row],[customer_satisfaction]],
"Low",1,
"Medium",2,
"High",3
)</f>
        <v>1</v>
      </c>
      <c r="Q925">
        <f>IF(tbl_analysis_tickets[[#This Row],[reopened]]="Yes",1,0)</f>
        <v>0</v>
      </c>
      <c r="R925" t="str" cm="1">
        <f t="array" ref="R925">_xlfn.IFS(
tbl_analysis_tickets[[#This Row],[first_response_minutes]]&lt;=30,"Very Fast",
tbl_analysis_tickets[[#This Row],[first_response_minutes]]&lt;=120,"Acceptable",
tbl_analysis_tickets[[#This Row],[first_response_minutes]]&lt;=240,"Slow",
tbl_analysis_tickets[[#This Row],[first_response_minutes]]&gt;240,"Very Slow"
)</f>
        <v>Slow</v>
      </c>
      <c r="S925" t="str" cm="1">
        <f t="array" ref="S92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925" t="str">
        <f>TEXT(tbl_analysis_tickets[[#This Row],[created_date]],"mmm-yyyy")</f>
        <v>Jul-2024</v>
      </c>
      <c r="U925" t="str">
        <f>TEXT(tbl_analysis_tickets[[#This Row],[created_date]],"dddd")</f>
        <v>Sunday</v>
      </c>
      <c r="V925" cm="1">
        <f t="array" ref="V925">_xlfn.SWITCH(tbl_analysis_tickets[[#This Row],[priority]],
"Urgent",1,
"High",2,
"Medium",3,
"Low",4
)</f>
        <v>4</v>
      </c>
    </row>
    <row r="926" spans="1:22" x14ac:dyDescent="0.25">
      <c r="A926">
        <v>925</v>
      </c>
      <c r="B926" s="1">
        <v>45311</v>
      </c>
      <c r="C926" t="s">
        <v>10</v>
      </c>
      <c r="D926" t="s">
        <v>11</v>
      </c>
      <c r="E926">
        <v>202</v>
      </c>
      <c r="F926">
        <v>26</v>
      </c>
      <c r="G926">
        <v>5</v>
      </c>
      <c r="H926" t="s">
        <v>18</v>
      </c>
      <c r="I926" t="s">
        <v>13</v>
      </c>
      <c r="J926" t="s">
        <v>15</v>
      </c>
      <c r="K926">
        <f>_xlfn.XLOOKUP(tbl_analysis_tickets[[#This Row],[priority]],tbl_sla[priority],tbl_sla[Resolution SLA Hours])</f>
        <v>72</v>
      </c>
      <c r="L926">
        <f>_xlfn.XLOOKUP(tbl_analysis_tickets[[#This Row],[priority]],tbl_sla[priority],tbl_sla[First Response SLA Minutes])</f>
        <v>240</v>
      </c>
      <c r="M926" t="str">
        <f>IF(tbl_analysis_tickets[[#This Row],[resolution_time_hours]]&gt;tbl_analysis_tickets[[#This Row],[Resolution SLA Hours]],"Breached","Within SLA")</f>
        <v>Within SLA</v>
      </c>
      <c r="N926" t="str">
        <f>IF(tbl_analysis_tickets[[#This Row],[first_response_minutes]]&gt;tbl_analysis_tickets[[#This Row],[First Response SLA Minutes]],"Breached","Within SLA")</f>
        <v>Within SLA</v>
      </c>
      <c r="O926" t="str" cm="1">
        <f t="array" ref="O926">_xlfn.IFS(
tbl_analysis_tickets[[#This Row],[agent_experience_years]]&lt;=2,"Junior",
tbl_analysis_tickets[[#This Row],[agent_experience_years]]&lt;=5,"Mid-Level",
tbl_analysis_tickets[[#This Row],[agent_experience_years]]&lt;=8,"Senior",
tbl_analysis_tickets[[#This Row],[agent_experience_years]]&gt;8,"Expert"
)</f>
        <v>Mid-Level</v>
      </c>
      <c r="P926" cm="1">
        <f t="array" ref="P926">_xlfn.SWITCH(tbl_analysis_tickets[[#This Row],[customer_satisfaction]],
"Low",1,
"Medium",2,
"High",3
)</f>
        <v>2</v>
      </c>
      <c r="Q926">
        <f>IF(tbl_analysis_tickets[[#This Row],[reopened]]="Yes",1,0)</f>
        <v>0</v>
      </c>
      <c r="R926" t="str" cm="1">
        <f t="array" ref="R926">_xlfn.IFS(
tbl_analysis_tickets[[#This Row],[first_response_minutes]]&lt;=30,"Very Fast",
tbl_analysis_tickets[[#This Row],[first_response_minutes]]&lt;=120,"Acceptable",
tbl_analysis_tickets[[#This Row],[first_response_minutes]]&lt;=240,"Slow",
tbl_analysis_tickets[[#This Row],[first_response_minutes]]&gt;240,"Very Slow"
)</f>
        <v>Slow</v>
      </c>
      <c r="S926" t="str" cm="1">
        <f t="array" ref="S92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926" t="str">
        <f>TEXT(tbl_analysis_tickets[[#This Row],[created_date]],"mmm-yyyy")</f>
        <v>Jan-2024</v>
      </c>
      <c r="U926" t="str">
        <f>TEXT(tbl_analysis_tickets[[#This Row],[created_date]],"dddd")</f>
        <v>Saturday</v>
      </c>
      <c r="V926" cm="1">
        <f t="array" ref="V926">_xlfn.SWITCH(tbl_analysis_tickets[[#This Row],[priority]],
"Urgent",1,
"High",2,
"Medium",3,
"Low",4
)</f>
        <v>4</v>
      </c>
    </row>
    <row r="927" spans="1:22" x14ac:dyDescent="0.25">
      <c r="A927">
        <v>926</v>
      </c>
      <c r="B927" s="1">
        <v>45595</v>
      </c>
      <c r="C927" t="s">
        <v>23</v>
      </c>
      <c r="D927" t="s">
        <v>15</v>
      </c>
      <c r="E927">
        <v>87</v>
      </c>
      <c r="F927">
        <v>26</v>
      </c>
      <c r="G927">
        <v>0.6</v>
      </c>
      <c r="H927" t="s">
        <v>18</v>
      </c>
      <c r="I927" t="s">
        <v>16</v>
      </c>
      <c r="J927" t="s">
        <v>11</v>
      </c>
      <c r="K927">
        <f>_xlfn.XLOOKUP(tbl_analysis_tickets[[#This Row],[priority]],tbl_sla[priority],tbl_sla[Resolution SLA Hours])</f>
        <v>48</v>
      </c>
      <c r="L927">
        <f>_xlfn.XLOOKUP(tbl_analysis_tickets[[#This Row],[priority]],tbl_sla[priority],tbl_sla[First Response SLA Minutes])</f>
        <v>120</v>
      </c>
      <c r="M927" t="str">
        <f>IF(tbl_analysis_tickets[[#This Row],[resolution_time_hours]]&gt;tbl_analysis_tickets[[#This Row],[Resolution SLA Hours]],"Breached","Within SLA")</f>
        <v>Within SLA</v>
      </c>
      <c r="N927" t="str">
        <f>IF(tbl_analysis_tickets[[#This Row],[first_response_minutes]]&gt;tbl_analysis_tickets[[#This Row],[First Response SLA Minutes]],"Breached","Within SLA")</f>
        <v>Within SLA</v>
      </c>
      <c r="O927" t="str" cm="1">
        <f t="array" ref="O927">_xlfn.IFS(
tbl_analysis_tickets[[#This Row],[agent_experience_years]]&lt;=2,"Junior",
tbl_analysis_tickets[[#This Row],[agent_experience_years]]&lt;=5,"Mid-Level",
tbl_analysis_tickets[[#This Row],[agent_experience_years]]&lt;=8,"Senior",
tbl_analysis_tickets[[#This Row],[agent_experience_years]]&gt;8,"Expert"
)</f>
        <v>Junior</v>
      </c>
      <c r="P927" cm="1">
        <f t="array" ref="P927">_xlfn.SWITCH(tbl_analysis_tickets[[#This Row],[customer_satisfaction]],
"Low",1,
"Medium",2,
"High",3
)</f>
        <v>1</v>
      </c>
      <c r="Q927">
        <f>IF(tbl_analysis_tickets[[#This Row],[reopened]]="Yes",1,0)</f>
        <v>0</v>
      </c>
      <c r="R927" t="str" cm="1">
        <f t="array" ref="R927">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927" t="str" cm="1">
        <f t="array" ref="S92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927" t="str">
        <f>TEXT(tbl_analysis_tickets[[#This Row],[created_date]],"mmm-yyyy")</f>
        <v>Oct-2024</v>
      </c>
      <c r="U927" t="str">
        <f>TEXT(tbl_analysis_tickets[[#This Row],[created_date]],"dddd")</f>
        <v>Wednesday</v>
      </c>
      <c r="V927" cm="1">
        <f t="array" ref="V927">_xlfn.SWITCH(tbl_analysis_tickets[[#This Row],[priority]],
"Urgent",1,
"High",2,
"Medium",3,
"Low",4
)</f>
        <v>3</v>
      </c>
    </row>
    <row r="928" spans="1:22" x14ac:dyDescent="0.25">
      <c r="A928">
        <v>927</v>
      </c>
      <c r="B928" s="1">
        <v>45387</v>
      </c>
      <c r="C928" t="s">
        <v>22</v>
      </c>
      <c r="D928" t="s">
        <v>15</v>
      </c>
      <c r="E928">
        <v>104</v>
      </c>
      <c r="F928">
        <v>12</v>
      </c>
      <c r="G928">
        <v>5.7</v>
      </c>
      <c r="H928" t="s">
        <v>18</v>
      </c>
      <c r="I928" t="s">
        <v>16</v>
      </c>
      <c r="J928" t="s">
        <v>15</v>
      </c>
      <c r="K928">
        <f>_xlfn.XLOOKUP(tbl_analysis_tickets[[#This Row],[priority]],tbl_sla[priority],tbl_sla[Resolution SLA Hours])</f>
        <v>48</v>
      </c>
      <c r="L928">
        <f>_xlfn.XLOOKUP(tbl_analysis_tickets[[#This Row],[priority]],tbl_sla[priority],tbl_sla[First Response SLA Minutes])</f>
        <v>120</v>
      </c>
      <c r="M928" t="str">
        <f>IF(tbl_analysis_tickets[[#This Row],[resolution_time_hours]]&gt;tbl_analysis_tickets[[#This Row],[Resolution SLA Hours]],"Breached","Within SLA")</f>
        <v>Within SLA</v>
      </c>
      <c r="N928" t="str">
        <f>IF(tbl_analysis_tickets[[#This Row],[first_response_minutes]]&gt;tbl_analysis_tickets[[#This Row],[First Response SLA Minutes]],"Breached","Within SLA")</f>
        <v>Within SLA</v>
      </c>
      <c r="O928" t="str" cm="1">
        <f t="array" ref="O928">_xlfn.IFS(
tbl_analysis_tickets[[#This Row],[agent_experience_years]]&lt;=2,"Junior",
tbl_analysis_tickets[[#This Row],[agent_experience_years]]&lt;=5,"Mid-Level",
tbl_analysis_tickets[[#This Row],[agent_experience_years]]&lt;=8,"Senior",
tbl_analysis_tickets[[#This Row],[agent_experience_years]]&gt;8,"Expert"
)</f>
        <v>Senior</v>
      </c>
      <c r="P928" cm="1">
        <f t="array" ref="P928">_xlfn.SWITCH(tbl_analysis_tickets[[#This Row],[customer_satisfaction]],
"Low",1,
"Medium",2,
"High",3
)</f>
        <v>2</v>
      </c>
      <c r="Q928">
        <f>IF(tbl_analysis_tickets[[#This Row],[reopened]]="Yes",1,0)</f>
        <v>0</v>
      </c>
      <c r="R928" t="str" cm="1">
        <f t="array" ref="R928">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928" t="str" cm="1">
        <f t="array" ref="S92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928" t="str">
        <f>TEXT(tbl_analysis_tickets[[#This Row],[created_date]],"mmm-yyyy")</f>
        <v>Apr-2024</v>
      </c>
      <c r="U928" t="str">
        <f>TEXT(tbl_analysis_tickets[[#This Row],[created_date]],"dddd")</f>
        <v>Friday</v>
      </c>
      <c r="V928" cm="1">
        <f t="array" ref="V928">_xlfn.SWITCH(tbl_analysis_tickets[[#This Row],[priority]],
"Urgent",1,
"High",2,
"Medium",3,
"Low",4
)</f>
        <v>3</v>
      </c>
    </row>
    <row r="929" spans="1:22" x14ac:dyDescent="0.25">
      <c r="A929">
        <v>928</v>
      </c>
      <c r="B929" s="1">
        <v>45348</v>
      </c>
      <c r="C929" t="s">
        <v>14</v>
      </c>
      <c r="D929" t="s">
        <v>15</v>
      </c>
      <c r="E929">
        <v>92</v>
      </c>
      <c r="F929">
        <v>56</v>
      </c>
      <c r="G929">
        <v>1.3</v>
      </c>
      <c r="H929" t="s">
        <v>18</v>
      </c>
      <c r="I929" t="s">
        <v>19</v>
      </c>
      <c r="J929" t="s">
        <v>11</v>
      </c>
      <c r="K929">
        <f>_xlfn.XLOOKUP(tbl_analysis_tickets[[#This Row],[priority]],tbl_sla[priority],tbl_sla[Resolution SLA Hours])</f>
        <v>48</v>
      </c>
      <c r="L929">
        <f>_xlfn.XLOOKUP(tbl_analysis_tickets[[#This Row],[priority]],tbl_sla[priority],tbl_sla[First Response SLA Minutes])</f>
        <v>120</v>
      </c>
      <c r="M929" t="str">
        <f>IF(tbl_analysis_tickets[[#This Row],[resolution_time_hours]]&gt;tbl_analysis_tickets[[#This Row],[Resolution SLA Hours]],"Breached","Within SLA")</f>
        <v>Breached</v>
      </c>
      <c r="N929" t="str">
        <f>IF(tbl_analysis_tickets[[#This Row],[first_response_minutes]]&gt;tbl_analysis_tickets[[#This Row],[First Response SLA Minutes]],"Breached","Within SLA")</f>
        <v>Within SLA</v>
      </c>
      <c r="O929" t="str" cm="1">
        <f t="array" ref="O929">_xlfn.IFS(
tbl_analysis_tickets[[#This Row],[agent_experience_years]]&lt;=2,"Junior",
tbl_analysis_tickets[[#This Row],[agent_experience_years]]&lt;=5,"Mid-Level",
tbl_analysis_tickets[[#This Row],[agent_experience_years]]&lt;=8,"Senior",
tbl_analysis_tickets[[#This Row],[agent_experience_years]]&gt;8,"Expert"
)</f>
        <v>Junior</v>
      </c>
      <c r="P929" cm="1">
        <f t="array" ref="P929">_xlfn.SWITCH(tbl_analysis_tickets[[#This Row],[customer_satisfaction]],
"Low",1,
"Medium",2,
"High",3
)</f>
        <v>1</v>
      </c>
      <c r="Q929">
        <f>IF(tbl_analysis_tickets[[#This Row],[reopened]]="Yes",1,0)</f>
        <v>0</v>
      </c>
      <c r="R929" t="str" cm="1">
        <f t="array" ref="R929">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929" t="str" cm="1">
        <f t="array" ref="S92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929" t="str">
        <f>TEXT(tbl_analysis_tickets[[#This Row],[created_date]],"mmm-yyyy")</f>
        <v>Feb-2024</v>
      </c>
      <c r="U929" t="str">
        <f>TEXT(tbl_analysis_tickets[[#This Row],[created_date]],"dddd")</f>
        <v>Monday</v>
      </c>
      <c r="V929" cm="1">
        <f t="array" ref="V929">_xlfn.SWITCH(tbl_analysis_tickets[[#This Row],[priority]],
"Urgent",1,
"High",2,
"Medium",3,
"Low",4
)</f>
        <v>3</v>
      </c>
    </row>
    <row r="930" spans="1:22" x14ac:dyDescent="0.25">
      <c r="A930">
        <v>929</v>
      </c>
      <c r="B930" s="1">
        <v>45649</v>
      </c>
      <c r="C930" t="s">
        <v>23</v>
      </c>
      <c r="D930" t="s">
        <v>17</v>
      </c>
      <c r="E930">
        <v>186</v>
      </c>
      <c r="F930">
        <v>53</v>
      </c>
      <c r="G930">
        <v>8.1</v>
      </c>
      <c r="H930" t="s">
        <v>12</v>
      </c>
      <c r="I930" t="s">
        <v>13</v>
      </c>
      <c r="J930" t="s">
        <v>11</v>
      </c>
      <c r="K930">
        <f>_xlfn.XLOOKUP(tbl_analysis_tickets[[#This Row],[priority]],tbl_sla[priority],tbl_sla[Resolution SLA Hours])</f>
        <v>8</v>
      </c>
      <c r="L930">
        <f>_xlfn.XLOOKUP(tbl_analysis_tickets[[#This Row],[priority]],tbl_sla[priority],tbl_sla[First Response SLA Minutes])</f>
        <v>30</v>
      </c>
      <c r="M930" t="str">
        <f>IF(tbl_analysis_tickets[[#This Row],[resolution_time_hours]]&gt;tbl_analysis_tickets[[#This Row],[Resolution SLA Hours]],"Breached","Within SLA")</f>
        <v>Breached</v>
      </c>
      <c r="N930" t="str">
        <f>IF(tbl_analysis_tickets[[#This Row],[first_response_minutes]]&gt;tbl_analysis_tickets[[#This Row],[First Response SLA Minutes]],"Breached","Within SLA")</f>
        <v>Breached</v>
      </c>
      <c r="O930" t="str" cm="1">
        <f t="array" ref="O930">_xlfn.IFS(
tbl_analysis_tickets[[#This Row],[agent_experience_years]]&lt;=2,"Junior",
tbl_analysis_tickets[[#This Row],[agent_experience_years]]&lt;=5,"Mid-Level",
tbl_analysis_tickets[[#This Row],[agent_experience_years]]&lt;=8,"Senior",
tbl_analysis_tickets[[#This Row],[agent_experience_years]]&gt;8,"Expert"
)</f>
        <v>Expert</v>
      </c>
      <c r="P930" cm="1">
        <f t="array" ref="P930">_xlfn.SWITCH(tbl_analysis_tickets[[#This Row],[customer_satisfaction]],
"Low",1,
"Medium",2,
"High",3
)</f>
        <v>1</v>
      </c>
      <c r="Q930">
        <f>IF(tbl_analysis_tickets[[#This Row],[reopened]]="Yes",1,0)</f>
        <v>1</v>
      </c>
      <c r="R930" t="str" cm="1">
        <f t="array" ref="R930">_xlfn.IFS(
tbl_analysis_tickets[[#This Row],[first_response_minutes]]&lt;=30,"Very Fast",
tbl_analysis_tickets[[#This Row],[first_response_minutes]]&lt;=120,"Acceptable",
tbl_analysis_tickets[[#This Row],[first_response_minutes]]&lt;=240,"Slow",
tbl_analysis_tickets[[#This Row],[first_response_minutes]]&gt;240,"Very Slow"
)</f>
        <v>Slow</v>
      </c>
      <c r="S930" t="str" cm="1">
        <f t="array" ref="S93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930" t="str">
        <f>TEXT(tbl_analysis_tickets[[#This Row],[created_date]],"mmm-yyyy")</f>
        <v>Dec-2024</v>
      </c>
      <c r="U930" t="str">
        <f>TEXT(tbl_analysis_tickets[[#This Row],[created_date]],"dddd")</f>
        <v>Monday</v>
      </c>
      <c r="V930" cm="1">
        <f t="array" ref="V930">_xlfn.SWITCH(tbl_analysis_tickets[[#This Row],[priority]],
"Urgent",1,
"High",2,
"Medium",3,
"Low",4
)</f>
        <v>1</v>
      </c>
    </row>
    <row r="931" spans="1:22" x14ac:dyDescent="0.25">
      <c r="A931">
        <v>930</v>
      </c>
      <c r="B931" s="1">
        <v>45579</v>
      </c>
      <c r="C931" t="s">
        <v>22</v>
      </c>
      <c r="D931" t="s">
        <v>17</v>
      </c>
      <c r="E931">
        <v>176</v>
      </c>
      <c r="F931">
        <v>9</v>
      </c>
      <c r="G931">
        <v>2</v>
      </c>
      <c r="H931" t="s">
        <v>12</v>
      </c>
      <c r="I931" t="s">
        <v>13</v>
      </c>
      <c r="J931" t="s">
        <v>11</v>
      </c>
      <c r="K931">
        <f>_xlfn.XLOOKUP(tbl_analysis_tickets[[#This Row],[priority]],tbl_sla[priority],tbl_sla[Resolution SLA Hours])</f>
        <v>8</v>
      </c>
      <c r="L931">
        <f>_xlfn.XLOOKUP(tbl_analysis_tickets[[#This Row],[priority]],tbl_sla[priority],tbl_sla[First Response SLA Minutes])</f>
        <v>30</v>
      </c>
      <c r="M931" t="str">
        <f>IF(tbl_analysis_tickets[[#This Row],[resolution_time_hours]]&gt;tbl_analysis_tickets[[#This Row],[Resolution SLA Hours]],"Breached","Within SLA")</f>
        <v>Breached</v>
      </c>
      <c r="N931" t="str">
        <f>IF(tbl_analysis_tickets[[#This Row],[first_response_minutes]]&gt;tbl_analysis_tickets[[#This Row],[First Response SLA Minutes]],"Breached","Within SLA")</f>
        <v>Breached</v>
      </c>
      <c r="O931" t="str" cm="1">
        <f t="array" ref="O931">_xlfn.IFS(
tbl_analysis_tickets[[#This Row],[agent_experience_years]]&lt;=2,"Junior",
tbl_analysis_tickets[[#This Row],[agent_experience_years]]&lt;=5,"Mid-Level",
tbl_analysis_tickets[[#This Row],[agent_experience_years]]&lt;=8,"Senior",
tbl_analysis_tickets[[#This Row],[agent_experience_years]]&gt;8,"Expert"
)</f>
        <v>Junior</v>
      </c>
      <c r="P931" cm="1">
        <f t="array" ref="P931">_xlfn.SWITCH(tbl_analysis_tickets[[#This Row],[customer_satisfaction]],
"Low",1,
"Medium",2,
"High",3
)</f>
        <v>1</v>
      </c>
      <c r="Q931">
        <f>IF(tbl_analysis_tickets[[#This Row],[reopened]]="Yes",1,0)</f>
        <v>1</v>
      </c>
      <c r="R931" t="str" cm="1">
        <f t="array" ref="R931">_xlfn.IFS(
tbl_analysis_tickets[[#This Row],[first_response_minutes]]&lt;=30,"Very Fast",
tbl_analysis_tickets[[#This Row],[first_response_minutes]]&lt;=120,"Acceptable",
tbl_analysis_tickets[[#This Row],[first_response_minutes]]&lt;=240,"Slow",
tbl_analysis_tickets[[#This Row],[first_response_minutes]]&gt;240,"Very Slow"
)</f>
        <v>Slow</v>
      </c>
      <c r="S931" t="str" cm="1">
        <f t="array" ref="S93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931" t="str">
        <f>TEXT(tbl_analysis_tickets[[#This Row],[created_date]],"mmm-yyyy")</f>
        <v>Oct-2024</v>
      </c>
      <c r="U931" t="str">
        <f>TEXT(tbl_analysis_tickets[[#This Row],[created_date]],"dddd")</f>
        <v>Monday</v>
      </c>
      <c r="V931" cm="1">
        <f t="array" ref="V931">_xlfn.SWITCH(tbl_analysis_tickets[[#This Row],[priority]],
"Urgent",1,
"High",2,
"Medium",3,
"Low",4
)</f>
        <v>1</v>
      </c>
    </row>
    <row r="932" spans="1:22" x14ac:dyDescent="0.25">
      <c r="A932">
        <v>931</v>
      </c>
      <c r="B932" s="1">
        <v>45470</v>
      </c>
      <c r="C932" t="s">
        <v>23</v>
      </c>
      <c r="D932" t="s">
        <v>20</v>
      </c>
      <c r="E932">
        <v>55</v>
      </c>
      <c r="F932">
        <v>9</v>
      </c>
      <c r="G932">
        <v>0.5</v>
      </c>
      <c r="H932" t="s">
        <v>18</v>
      </c>
      <c r="I932" t="s">
        <v>13</v>
      </c>
      <c r="J932" t="s">
        <v>11</v>
      </c>
      <c r="K932">
        <f>_xlfn.XLOOKUP(tbl_analysis_tickets[[#This Row],[priority]],tbl_sla[priority],tbl_sla[Resolution SLA Hours])</f>
        <v>24</v>
      </c>
      <c r="L932">
        <f>_xlfn.XLOOKUP(tbl_analysis_tickets[[#This Row],[priority]],tbl_sla[priority],tbl_sla[First Response SLA Minutes])</f>
        <v>60</v>
      </c>
      <c r="M932" t="str">
        <f>IF(tbl_analysis_tickets[[#This Row],[resolution_time_hours]]&gt;tbl_analysis_tickets[[#This Row],[Resolution SLA Hours]],"Breached","Within SLA")</f>
        <v>Within SLA</v>
      </c>
      <c r="N932" t="str">
        <f>IF(tbl_analysis_tickets[[#This Row],[first_response_minutes]]&gt;tbl_analysis_tickets[[#This Row],[First Response SLA Minutes]],"Breached","Within SLA")</f>
        <v>Within SLA</v>
      </c>
      <c r="O932" t="str" cm="1">
        <f t="array" ref="O932">_xlfn.IFS(
tbl_analysis_tickets[[#This Row],[agent_experience_years]]&lt;=2,"Junior",
tbl_analysis_tickets[[#This Row],[agent_experience_years]]&lt;=5,"Mid-Level",
tbl_analysis_tickets[[#This Row],[agent_experience_years]]&lt;=8,"Senior",
tbl_analysis_tickets[[#This Row],[agent_experience_years]]&gt;8,"Expert"
)</f>
        <v>Junior</v>
      </c>
      <c r="P932" cm="1">
        <f t="array" ref="P932">_xlfn.SWITCH(tbl_analysis_tickets[[#This Row],[customer_satisfaction]],
"Low",1,
"Medium",2,
"High",3
)</f>
        <v>1</v>
      </c>
      <c r="Q932">
        <f>IF(tbl_analysis_tickets[[#This Row],[reopened]]="Yes",1,0)</f>
        <v>0</v>
      </c>
      <c r="R932" t="str" cm="1">
        <f t="array" ref="R932">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932" t="str" cm="1">
        <f t="array" ref="S93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932" t="str">
        <f>TEXT(tbl_analysis_tickets[[#This Row],[created_date]],"mmm-yyyy")</f>
        <v>Jun-2024</v>
      </c>
      <c r="U932" t="str">
        <f>TEXT(tbl_analysis_tickets[[#This Row],[created_date]],"dddd")</f>
        <v>Thursday</v>
      </c>
      <c r="V932" cm="1">
        <f t="array" ref="V932">_xlfn.SWITCH(tbl_analysis_tickets[[#This Row],[priority]],
"Urgent",1,
"High",2,
"Medium",3,
"Low",4
)</f>
        <v>2</v>
      </c>
    </row>
    <row r="933" spans="1:22" x14ac:dyDescent="0.25">
      <c r="A933">
        <v>932</v>
      </c>
      <c r="B933" s="1">
        <v>45421</v>
      </c>
      <c r="C933" t="s">
        <v>14</v>
      </c>
      <c r="D933" t="s">
        <v>11</v>
      </c>
      <c r="E933">
        <v>72</v>
      </c>
      <c r="F933">
        <v>34</v>
      </c>
      <c r="G933">
        <v>0.5</v>
      </c>
      <c r="H933" t="s">
        <v>12</v>
      </c>
      <c r="I933" t="s">
        <v>19</v>
      </c>
      <c r="J933" t="s">
        <v>11</v>
      </c>
      <c r="K933">
        <f>_xlfn.XLOOKUP(tbl_analysis_tickets[[#This Row],[priority]],tbl_sla[priority],tbl_sla[Resolution SLA Hours])</f>
        <v>72</v>
      </c>
      <c r="L933">
        <f>_xlfn.XLOOKUP(tbl_analysis_tickets[[#This Row],[priority]],tbl_sla[priority],tbl_sla[First Response SLA Minutes])</f>
        <v>240</v>
      </c>
      <c r="M933" t="str">
        <f>IF(tbl_analysis_tickets[[#This Row],[resolution_time_hours]]&gt;tbl_analysis_tickets[[#This Row],[Resolution SLA Hours]],"Breached","Within SLA")</f>
        <v>Within SLA</v>
      </c>
      <c r="N933" t="str">
        <f>IF(tbl_analysis_tickets[[#This Row],[first_response_minutes]]&gt;tbl_analysis_tickets[[#This Row],[First Response SLA Minutes]],"Breached","Within SLA")</f>
        <v>Within SLA</v>
      </c>
      <c r="O933" t="str" cm="1">
        <f t="array" ref="O933">_xlfn.IFS(
tbl_analysis_tickets[[#This Row],[agent_experience_years]]&lt;=2,"Junior",
tbl_analysis_tickets[[#This Row],[agent_experience_years]]&lt;=5,"Mid-Level",
tbl_analysis_tickets[[#This Row],[agent_experience_years]]&lt;=8,"Senior",
tbl_analysis_tickets[[#This Row],[agent_experience_years]]&gt;8,"Expert"
)</f>
        <v>Junior</v>
      </c>
      <c r="P933" cm="1">
        <f t="array" ref="P933">_xlfn.SWITCH(tbl_analysis_tickets[[#This Row],[customer_satisfaction]],
"Low",1,
"Medium",2,
"High",3
)</f>
        <v>1</v>
      </c>
      <c r="Q933">
        <f>IF(tbl_analysis_tickets[[#This Row],[reopened]]="Yes",1,0)</f>
        <v>1</v>
      </c>
      <c r="R933" t="str" cm="1">
        <f t="array" ref="R933">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933" t="str" cm="1">
        <f t="array" ref="S93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933" t="str">
        <f>TEXT(tbl_analysis_tickets[[#This Row],[created_date]],"mmm-yyyy")</f>
        <v>May-2024</v>
      </c>
      <c r="U933" t="str">
        <f>TEXT(tbl_analysis_tickets[[#This Row],[created_date]],"dddd")</f>
        <v>Thursday</v>
      </c>
      <c r="V933" cm="1">
        <f t="array" ref="V933">_xlfn.SWITCH(tbl_analysis_tickets[[#This Row],[priority]],
"Urgent",1,
"High",2,
"Medium",3,
"Low",4
)</f>
        <v>4</v>
      </c>
    </row>
    <row r="934" spans="1:22" x14ac:dyDescent="0.25">
      <c r="A934">
        <v>933</v>
      </c>
      <c r="B934" s="1">
        <v>45555</v>
      </c>
      <c r="C934" t="s">
        <v>22</v>
      </c>
      <c r="D934" t="s">
        <v>17</v>
      </c>
      <c r="E934">
        <v>212</v>
      </c>
      <c r="F934">
        <v>25</v>
      </c>
      <c r="G934">
        <v>9.6999999999999993</v>
      </c>
      <c r="H934" t="s">
        <v>18</v>
      </c>
      <c r="I934" t="s">
        <v>16</v>
      </c>
      <c r="J934" t="s">
        <v>11</v>
      </c>
      <c r="K934">
        <f>_xlfn.XLOOKUP(tbl_analysis_tickets[[#This Row],[priority]],tbl_sla[priority],tbl_sla[Resolution SLA Hours])</f>
        <v>8</v>
      </c>
      <c r="L934">
        <f>_xlfn.XLOOKUP(tbl_analysis_tickets[[#This Row],[priority]],tbl_sla[priority],tbl_sla[First Response SLA Minutes])</f>
        <v>30</v>
      </c>
      <c r="M934" t="str">
        <f>IF(tbl_analysis_tickets[[#This Row],[resolution_time_hours]]&gt;tbl_analysis_tickets[[#This Row],[Resolution SLA Hours]],"Breached","Within SLA")</f>
        <v>Breached</v>
      </c>
      <c r="N934" t="str">
        <f>IF(tbl_analysis_tickets[[#This Row],[first_response_minutes]]&gt;tbl_analysis_tickets[[#This Row],[First Response SLA Minutes]],"Breached","Within SLA")</f>
        <v>Breached</v>
      </c>
      <c r="O934" t="str" cm="1">
        <f t="array" ref="O934">_xlfn.IFS(
tbl_analysis_tickets[[#This Row],[agent_experience_years]]&lt;=2,"Junior",
tbl_analysis_tickets[[#This Row],[agent_experience_years]]&lt;=5,"Mid-Level",
tbl_analysis_tickets[[#This Row],[agent_experience_years]]&lt;=8,"Senior",
tbl_analysis_tickets[[#This Row],[agent_experience_years]]&gt;8,"Expert"
)</f>
        <v>Expert</v>
      </c>
      <c r="P934" cm="1">
        <f t="array" ref="P934">_xlfn.SWITCH(tbl_analysis_tickets[[#This Row],[customer_satisfaction]],
"Low",1,
"Medium",2,
"High",3
)</f>
        <v>1</v>
      </c>
      <c r="Q934">
        <f>IF(tbl_analysis_tickets[[#This Row],[reopened]]="Yes",1,0)</f>
        <v>0</v>
      </c>
      <c r="R934" t="str" cm="1">
        <f t="array" ref="R934">_xlfn.IFS(
tbl_analysis_tickets[[#This Row],[first_response_minutes]]&lt;=30,"Very Fast",
tbl_analysis_tickets[[#This Row],[first_response_minutes]]&lt;=120,"Acceptable",
tbl_analysis_tickets[[#This Row],[first_response_minutes]]&lt;=240,"Slow",
tbl_analysis_tickets[[#This Row],[first_response_minutes]]&gt;240,"Very Slow"
)</f>
        <v>Slow</v>
      </c>
      <c r="S934" t="str" cm="1">
        <f t="array" ref="S93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934" t="str">
        <f>TEXT(tbl_analysis_tickets[[#This Row],[created_date]],"mmm-yyyy")</f>
        <v>Sep-2024</v>
      </c>
      <c r="U934" t="str">
        <f>TEXT(tbl_analysis_tickets[[#This Row],[created_date]],"dddd")</f>
        <v>Friday</v>
      </c>
      <c r="V934" cm="1">
        <f t="array" ref="V934">_xlfn.SWITCH(tbl_analysis_tickets[[#This Row],[priority]],
"Urgent",1,
"High",2,
"Medium",3,
"Low",4
)</f>
        <v>1</v>
      </c>
    </row>
    <row r="935" spans="1:22" x14ac:dyDescent="0.25">
      <c r="A935">
        <v>934</v>
      </c>
      <c r="B935" s="1">
        <v>45640</v>
      </c>
      <c r="C935" t="s">
        <v>21</v>
      </c>
      <c r="D935" t="s">
        <v>11</v>
      </c>
      <c r="E935">
        <v>130</v>
      </c>
      <c r="F935">
        <v>32</v>
      </c>
      <c r="G935">
        <v>9.3000000000000007</v>
      </c>
      <c r="H935" t="s">
        <v>18</v>
      </c>
      <c r="I935" t="s">
        <v>16</v>
      </c>
      <c r="J935" t="s">
        <v>15</v>
      </c>
      <c r="K935">
        <f>_xlfn.XLOOKUP(tbl_analysis_tickets[[#This Row],[priority]],tbl_sla[priority],tbl_sla[Resolution SLA Hours])</f>
        <v>72</v>
      </c>
      <c r="L935">
        <f>_xlfn.XLOOKUP(tbl_analysis_tickets[[#This Row],[priority]],tbl_sla[priority],tbl_sla[First Response SLA Minutes])</f>
        <v>240</v>
      </c>
      <c r="M935" t="str">
        <f>IF(tbl_analysis_tickets[[#This Row],[resolution_time_hours]]&gt;tbl_analysis_tickets[[#This Row],[Resolution SLA Hours]],"Breached","Within SLA")</f>
        <v>Within SLA</v>
      </c>
      <c r="N935" t="str">
        <f>IF(tbl_analysis_tickets[[#This Row],[first_response_minutes]]&gt;tbl_analysis_tickets[[#This Row],[First Response SLA Minutes]],"Breached","Within SLA")</f>
        <v>Within SLA</v>
      </c>
      <c r="O935" t="str" cm="1">
        <f t="array" ref="O935">_xlfn.IFS(
tbl_analysis_tickets[[#This Row],[agent_experience_years]]&lt;=2,"Junior",
tbl_analysis_tickets[[#This Row],[agent_experience_years]]&lt;=5,"Mid-Level",
tbl_analysis_tickets[[#This Row],[agent_experience_years]]&lt;=8,"Senior",
tbl_analysis_tickets[[#This Row],[agent_experience_years]]&gt;8,"Expert"
)</f>
        <v>Expert</v>
      </c>
      <c r="P935" cm="1">
        <f t="array" ref="P935">_xlfn.SWITCH(tbl_analysis_tickets[[#This Row],[customer_satisfaction]],
"Low",1,
"Medium",2,
"High",3
)</f>
        <v>2</v>
      </c>
      <c r="Q935">
        <f>IF(tbl_analysis_tickets[[#This Row],[reopened]]="Yes",1,0)</f>
        <v>0</v>
      </c>
      <c r="R935" t="str" cm="1">
        <f t="array" ref="R935">_xlfn.IFS(
tbl_analysis_tickets[[#This Row],[first_response_minutes]]&lt;=30,"Very Fast",
tbl_analysis_tickets[[#This Row],[first_response_minutes]]&lt;=120,"Acceptable",
tbl_analysis_tickets[[#This Row],[first_response_minutes]]&lt;=240,"Slow",
tbl_analysis_tickets[[#This Row],[first_response_minutes]]&gt;240,"Very Slow"
)</f>
        <v>Slow</v>
      </c>
      <c r="S935" t="str" cm="1">
        <f t="array" ref="S93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935" t="str">
        <f>TEXT(tbl_analysis_tickets[[#This Row],[created_date]],"mmm-yyyy")</f>
        <v>Dec-2024</v>
      </c>
      <c r="U935" t="str">
        <f>TEXT(tbl_analysis_tickets[[#This Row],[created_date]],"dddd")</f>
        <v>Saturday</v>
      </c>
      <c r="V935" cm="1">
        <f t="array" ref="V935">_xlfn.SWITCH(tbl_analysis_tickets[[#This Row],[priority]],
"Urgent",1,
"High",2,
"Medium",3,
"Low",4
)</f>
        <v>4</v>
      </c>
    </row>
    <row r="936" spans="1:22" x14ac:dyDescent="0.25">
      <c r="A936">
        <v>935</v>
      </c>
      <c r="B936" s="1">
        <v>45366</v>
      </c>
      <c r="C936" t="s">
        <v>21</v>
      </c>
      <c r="D936" t="s">
        <v>15</v>
      </c>
      <c r="E936">
        <v>111</v>
      </c>
      <c r="F936">
        <v>59</v>
      </c>
      <c r="G936">
        <v>4.5999999999999996</v>
      </c>
      <c r="H936" t="s">
        <v>18</v>
      </c>
      <c r="I936" t="s">
        <v>13</v>
      </c>
      <c r="J936" t="s">
        <v>11</v>
      </c>
      <c r="K936">
        <f>_xlfn.XLOOKUP(tbl_analysis_tickets[[#This Row],[priority]],tbl_sla[priority],tbl_sla[Resolution SLA Hours])</f>
        <v>48</v>
      </c>
      <c r="L936">
        <f>_xlfn.XLOOKUP(tbl_analysis_tickets[[#This Row],[priority]],tbl_sla[priority],tbl_sla[First Response SLA Minutes])</f>
        <v>120</v>
      </c>
      <c r="M936" t="str">
        <f>IF(tbl_analysis_tickets[[#This Row],[resolution_time_hours]]&gt;tbl_analysis_tickets[[#This Row],[Resolution SLA Hours]],"Breached","Within SLA")</f>
        <v>Breached</v>
      </c>
      <c r="N936" t="str">
        <f>IF(tbl_analysis_tickets[[#This Row],[first_response_minutes]]&gt;tbl_analysis_tickets[[#This Row],[First Response SLA Minutes]],"Breached","Within SLA")</f>
        <v>Within SLA</v>
      </c>
      <c r="O936" t="str" cm="1">
        <f t="array" ref="O936">_xlfn.IFS(
tbl_analysis_tickets[[#This Row],[agent_experience_years]]&lt;=2,"Junior",
tbl_analysis_tickets[[#This Row],[agent_experience_years]]&lt;=5,"Mid-Level",
tbl_analysis_tickets[[#This Row],[agent_experience_years]]&lt;=8,"Senior",
tbl_analysis_tickets[[#This Row],[agent_experience_years]]&gt;8,"Expert"
)</f>
        <v>Mid-Level</v>
      </c>
      <c r="P936" cm="1">
        <f t="array" ref="P936">_xlfn.SWITCH(tbl_analysis_tickets[[#This Row],[customer_satisfaction]],
"Low",1,
"Medium",2,
"High",3
)</f>
        <v>1</v>
      </c>
      <c r="Q936">
        <f>IF(tbl_analysis_tickets[[#This Row],[reopened]]="Yes",1,0)</f>
        <v>0</v>
      </c>
      <c r="R936" t="str" cm="1">
        <f t="array" ref="R936">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936" t="str" cm="1">
        <f t="array" ref="S93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936" t="str">
        <f>TEXT(tbl_analysis_tickets[[#This Row],[created_date]],"mmm-yyyy")</f>
        <v>Mar-2024</v>
      </c>
      <c r="U936" t="str">
        <f>TEXT(tbl_analysis_tickets[[#This Row],[created_date]],"dddd")</f>
        <v>Friday</v>
      </c>
      <c r="V936" cm="1">
        <f t="array" ref="V936">_xlfn.SWITCH(tbl_analysis_tickets[[#This Row],[priority]],
"Urgent",1,
"High",2,
"Medium",3,
"Low",4
)</f>
        <v>3</v>
      </c>
    </row>
    <row r="937" spans="1:22" x14ac:dyDescent="0.25">
      <c r="A937">
        <v>936</v>
      </c>
      <c r="B937" s="1">
        <v>45398</v>
      </c>
      <c r="C937" t="s">
        <v>10</v>
      </c>
      <c r="D937" t="s">
        <v>17</v>
      </c>
      <c r="E937">
        <v>203</v>
      </c>
      <c r="F937">
        <v>47</v>
      </c>
      <c r="G937">
        <v>3.2</v>
      </c>
      <c r="H937" t="s">
        <v>12</v>
      </c>
      <c r="I937" t="s">
        <v>13</v>
      </c>
      <c r="J937" t="s">
        <v>11</v>
      </c>
      <c r="K937">
        <f>_xlfn.XLOOKUP(tbl_analysis_tickets[[#This Row],[priority]],tbl_sla[priority],tbl_sla[Resolution SLA Hours])</f>
        <v>8</v>
      </c>
      <c r="L937">
        <f>_xlfn.XLOOKUP(tbl_analysis_tickets[[#This Row],[priority]],tbl_sla[priority],tbl_sla[First Response SLA Minutes])</f>
        <v>30</v>
      </c>
      <c r="M937" t="str">
        <f>IF(tbl_analysis_tickets[[#This Row],[resolution_time_hours]]&gt;tbl_analysis_tickets[[#This Row],[Resolution SLA Hours]],"Breached","Within SLA")</f>
        <v>Breached</v>
      </c>
      <c r="N937" t="str">
        <f>IF(tbl_analysis_tickets[[#This Row],[first_response_minutes]]&gt;tbl_analysis_tickets[[#This Row],[First Response SLA Minutes]],"Breached","Within SLA")</f>
        <v>Breached</v>
      </c>
      <c r="O937" t="str" cm="1">
        <f t="array" ref="O937">_xlfn.IFS(
tbl_analysis_tickets[[#This Row],[agent_experience_years]]&lt;=2,"Junior",
tbl_analysis_tickets[[#This Row],[agent_experience_years]]&lt;=5,"Mid-Level",
tbl_analysis_tickets[[#This Row],[agent_experience_years]]&lt;=8,"Senior",
tbl_analysis_tickets[[#This Row],[agent_experience_years]]&gt;8,"Expert"
)</f>
        <v>Mid-Level</v>
      </c>
      <c r="P937" cm="1">
        <f t="array" ref="P937">_xlfn.SWITCH(tbl_analysis_tickets[[#This Row],[customer_satisfaction]],
"Low",1,
"Medium",2,
"High",3
)</f>
        <v>1</v>
      </c>
      <c r="Q937">
        <f>IF(tbl_analysis_tickets[[#This Row],[reopened]]="Yes",1,0)</f>
        <v>1</v>
      </c>
      <c r="R937" t="str" cm="1">
        <f t="array" ref="R937">_xlfn.IFS(
tbl_analysis_tickets[[#This Row],[first_response_minutes]]&lt;=30,"Very Fast",
tbl_analysis_tickets[[#This Row],[first_response_minutes]]&lt;=120,"Acceptable",
tbl_analysis_tickets[[#This Row],[first_response_minutes]]&lt;=240,"Slow",
tbl_analysis_tickets[[#This Row],[first_response_minutes]]&gt;240,"Very Slow"
)</f>
        <v>Slow</v>
      </c>
      <c r="S937" t="str" cm="1">
        <f t="array" ref="S93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937" t="str">
        <f>TEXT(tbl_analysis_tickets[[#This Row],[created_date]],"mmm-yyyy")</f>
        <v>Apr-2024</v>
      </c>
      <c r="U937" t="str">
        <f>TEXT(tbl_analysis_tickets[[#This Row],[created_date]],"dddd")</f>
        <v>Tuesday</v>
      </c>
      <c r="V937" cm="1">
        <f t="array" ref="V937">_xlfn.SWITCH(tbl_analysis_tickets[[#This Row],[priority]],
"Urgent",1,
"High",2,
"Medium",3,
"Low",4
)</f>
        <v>1</v>
      </c>
    </row>
    <row r="938" spans="1:22" x14ac:dyDescent="0.25">
      <c r="A938">
        <v>937</v>
      </c>
      <c r="B938" s="1">
        <v>45643</v>
      </c>
      <c r="C938" t="s">
        <v>23</v>
      </c>
      <c r="D938" t="s">
        <v>11</v>
      </c>
      <c r="E938">
        <v>184</v>
      </c>
      <c r="F938">
        <v>62</v>
      </c>
      <c r="G938">
        <v>7.1</v>
      </c>
      <c r="H938" t="s">
        <v>18</v>
      </c>
      <c r="I938" t="s">
        <v>13</v>
      </c>
      <c r="J938" t="s">
        <v>15</v>
      </c>
      <c r="K938">
        <f>_xlfn.XLOOKUP(tbl_analysis_tickets[[#This Row],[priority]],tbl_sla[priority],tbl_sla[Resolution SLA Hours])</f>
        <v>72</v>
      </c>
      <c r="L938">
        <f>_xlfn.XLOOKUP(tbl_analysis_tickets[[#This Row],[priority]],tbl_sla[priority],tbl_sla[First Response SLA Minutes])</f>
        <v>240</v>
      </c>
      <c r="M938" t="str">
        <f>IF(tbl_analysis_tickets[[#This Row],[resolution_time_hours]]&gt;tbl_analysis_tickets[[#This Row],[Resolution SLA Hours]],"Breached","Within SLA")</f>
        <v>Within SLA</v>
      </c>
      <c r="N938" t="str">
        <f>IF(tbl_analysis_tickets[[#This Row],[first_response_minutes]]&gt;tbl_analysis_tickets[[#This Row],[First Response SLA Minutes]],"Breached","Within SLA")</f>
        <v>Within SLA</v>
      </c>
      <c r="O938" t="str" cm="1">
        <f t="array" ref="O938">_xlfn.IFS(
tbl_analysis_tickets[[#This Row],[agent_experience_years]]&lt;=2,"Junior",
tbl_analysis_tickets[[#This Row],[agent_experience_years]]&lt;=5,"Mid-Level",
tbl_analysis_tickets[[#This Row],[agent_experience_years]]&lt;=8,"Senior",
tbl_analysis_tickets[[#This Row],[agent_experience_years]]&gt;8,"Expert"
)</f>
        <v>Senior</v>
      </c>
      <c r="P938" cm="1">
        <f t="array" ref="P938">_xlfn.SWITCH(tbl_analysis_tickets[[#This Row],[customer_satisfaction]],
"Low",1,
"Medium",2,
"High",3
)</f>
        <v>2</v>
      </c>
      <c r="Q938">
        <f>IF(tbl_analysis_tickets[[#This Row],[reopened]]="Yes",1,0)</f>
        <v>0</v>
      </c>
      <c r="R938" t="str" cm="1">
        <f t="array" ref="R938">_xlfn.IFS(
tbl_analysis_tickets[[#This Row],[first_response_minutes]]&lt;=30,"Very Fast",
tbl_analysis_tickets[[#This Row],[first_response_minutes]]&lt;=120,"Acceptable",
tbl_analysis_tickets[[#This Row],[first_response_minutes]]&lt;=240,"Slow",
tbl_analysis_tickets[[#This Row],[first_response_minutes]]&gt;240,"Very Slow"
)</f>
        <v>Slow</v>
      </c>
      <c r="S938" t="str" cm="1">
        <f t="array" ref="S93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938" t="str">
        <f>TEXT(tbl_analysis_tickets[[#This Row],[created_date]],"mmm-yyyy")</f>
        <v>Dec-2024</v>
      </c>
      <c r="U938" t="str">
        <f>TEXT(tbl_analysis_tickets[[#This Row],[created_date]],"dddd")</f>
        <v>Tuesday</v>
      </c>
      <c r="V938" cm="1">
        <f t="array" ref="V938">_xlfn.SWITCH(tbl_analysis_tickets[[#This Row],[priority]],
"Urgent",1,
"High",2,
"Medium",3,
"Low",4
)</f>
        <v>4</v>
      </c>
    </row>
    <row r="939" spans="1:22" x14ac:dyDescent="0.25">
      <c r="A939">
        <v>938</v>
      </c>
      <c r="B939" s="1">
        <v>45359</v>
      </c>
      <c r="C939" t="s">
        <v>14</v>
      </c>
      <c r="D939" t="s">
        <v>11</v>
      </c>
      <c r="E939">
        <v>18</v>
      </c>
      <c r="F939">
        <v>41</v>
      </c>
      <c r="G939">
        <v>3.1</v>
      </c>
      <c r="H939" t="s">
        <v>18</v>
      </c>
      <c r="I939" t="s">
        <v>19</v>
      </c>
      <c r="J939" t="s">
        <v>15</v>
      </c>
      <c r="K939">
        <f>_xlfn.XLOOKUP(tbl_analysis_tickets[[#This Row],[priority]],tbl_sla[priority],tbl_sla[Resolution SLA Hours])</f>
        <v>72</v>
      </c>
      <c r="L939">
        <f>_xlfn.XLOOKUP(tbl_analysis_tickets[[#This Row],[priority]],tbl_sla[priority],tbl_sla[First Response SLA Minutes])</f>
        <v>240</v>
      </c>
      <c r="M939" t="str">
        <f>IF(tbl_analysis_tickets[[#This Row],[resolution_time_hours]]&gt;tbl_analysis_tickets[[#This Row],[Resolution SLA Hours]],"Breached","Within SLA")</f>
        <v>Within SLA</v>
      </c>
      <c r="N939" t="str">
        <f>IF(tbl_analysis_tickets[[#This Row],[first_response_minutes]]&gt;tbl_analysis_tickets[[#This Row],[First Response SLA Minutes]],"Breached","Within SLA")</f>
        <v>Within SLA</v>
      </c>
      <c r="O939" t="str" cm="1">
        <f t="array" ref="O939">_xlfn.IFS(
tbl_analysis_tickets[[#This Row],[agent_experience_years]]&lt;=2,"Junior",
tbl_analysis_tickets[[#This Row],[agent_experience_years]]&lt;=5,"Mid-Level",
tbl_analysis_tickets[[#This Row],[agent_experience_years]]&lt;=8,"Senior",
tbl_analysis_tickets[[#This Row],[agent_experience_years]]&gt;8,"Expert"
)</f>
        <v>Mid-Level</v>
      </c>
      <c r="P939" cm="1">
        <f t="array" ref="P939">_xlfn.SWITCH(tbl_analysis_tickets[[#This Row],[customer_satisfaction]],
"Low",1,
"Medium",2,
"High",3
)</f>
        <v>2</v>
      </c>
      <c r="Q939">
        <f>IF(tbl_analysis_tickets[[#This Row],[reopened]]="Yes",1,0)</f>
        <v>0</v>
      </c>
      <c r="R939" t="str" cm="1">
        <f t="array" ref="R939">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939" t="str" cm="1">
        <f t="array" ref="S93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939" t="str">
        <f>TEXT(tbl_analysis_tickets[[#This Row],[created_date]],"mmm-yyyy")</f>
        <v>Mar-2024</v>
      </c>
      <c r="U939" t="str">
        <f>TEXT(tbl_analysis_tickets[[#This Row],[created_date]],"dddd")</f>
        <v>Friday</v>
      </c>
      <c r="V939" cm="1">
        <f t="array" ref="V939">_xlfn.SWITCH(tbl_analysis_tickets[[#This Row],[priority]],
"Urgent",1,
"High",2,
"Medium",3,
"Low",4
)</f>
        <v>4</v>
      </c>
    </row>
    <row r="940" spans="1:22" x14ac:dyDescent="0.25">
      <c r="A940">
        <v>939</v>
      </c>
      <c r="B940" s="1">
        <v>45464</v>
      </c>
      <c r="C940" t="s">
        <v>10</v>
      </c>
      <c r="D940" t="s">
        <v>20</v>
      </c>
      <c r="E940">
        <v>44</v>
      </c>
      <c r="F940">
        <v>16</v>
      </c>
      <c r="G940">
        <v>2.6</v>
      </c>
      <c r="H940" t="s">
        <v>18</v>
      </c>
      <c r="I940" t="s">
        <v>16</v>
      </c>
      <c r="J940" t="s">
        <v>11</v>
      </c>
      <c r="K940">
        <f>_xlfn.XLOOKUP(tbl_analysis_tickets[[#This Row],[priority]],tbl_sla[priority],tbl_sla[Resolution SLA Hours])</f>
        <v>24</v>
      </c>
      <c r="L940">
        <f>_xlfn.XLOOKUP(tbl_analysis_tickets[[#This Row],[priority]],tbl_sla[priority],tbl_sla[First Response SLA Minutes])</f>
        <v>60</v>
      </c>
      <c r="M940" t="str">
        <f>IF(tbl_analysis_tickets[[#This Row],[resolution_time_hours]]&gt;tbl_analysis_tickets[[#This Row],[Resolution SLA Hours]],"Breached","Within SLA")</f>
        <v>Within SLA</v>
      </c>
      <c r="N940" t="str">
        <f>IF(tbl_analysis_tickets[[#This Row],[first_response_minutes]]&gt;tbl_analysis_tickets[[#This Row],[First Response SLA Minutes]],"Breached","Within SLA")</f>
        <v>Within SLA</v>
      </c>
      <c r="O940" t="str" cm="1">
        <f t="array" ref="O940">_xlfn.IFS(
tbl_analysis_tickets[[#This Row],[agent_experience_years]]&lt;=2,"Junior",
tbl_analysis_tickets[[#This Row],[agent_experience_years]]&lt;=5,"Mid-Level",
tbl_analysis_tickets[[#This Row],[agent_experience_years]]&lt;=8,"Senior",
tbl_analysis_tickets[[#This Row],[agent_experience_years]]&gt;8,"Expert"
)</f>
        <v>Mid-Level</v>
      </c>
      <c r="P940" cm="1">
        <f t="array" ref="P940">_xlfn.SWITCH(tbl_analysis_tickets[[#This Row],[customer_satisfaction]],
"Low",1,
"Medium",2,
"High",3
)</f>
        <v>1</v>
      </c>
      <c r="Q940">
        <f>IF(tbl_analysis_tickets[[#This Row],[reopened]]="Yes",1,0)</f>
        <v>0</v>
      </c>
      <c r="R940" t="str" cm="1">
        <f t="array" ref="R940">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940" t="str" cm="1">
        <f t="array" ref="S94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940" t="str">
        <f>TEXT(tbl_analysis_tickets[[#This Row],[created_date]],"mmm-yyyy")</f>
        <v>Jun-2024</v>
      </c>
      <c r="U940" t="str">
        <f>TEXT(tbl_analysis_tickets[[#This Row],[created_date]],"dddd")</f>
        <v>Friday</v>
      </c>
      <c r="V940" cm="1">
        <f t="array" ref="V940">_xlfn.SWITCH(tbl_analysis_tickets[[#This Row],[priority]],
"Urgent",1,
"High",2,
"Medium",3,
"Low",4
)</f>
        <v>2</v>
      </c>
    </row>
    <row r="941" spans="1:22" x14ac:dyDescent="0.25">
      <c r="A941">
        <v>940</v>
      </c>
      <c r="B941" s="1">
        <v>45329</v>
      </c>
      <c r="C941" t="s">
        <v>21</v>
      </c>
      <c r="D941" t="s">
        <v>15</v>
      </c>
      <c r="E941">
        <v>27</v>
      </c>
      <c r="F941">
        <v>35</v>
      </c>
      <c r="G941">
        <v>1.7</v>
      </c>
      <c r="H941" t="s">
        <v>18</v>
      </c>
      <c r="I941" t="s">
        <v>19</v>
      </c>
      <c r="J941" t="s">
        <v>15</v>
      </c>
      <c r="K941">
        <f>_xlfn.XLOOKUP(tbl_analysis_tickets[[#This Row],[priority]],tbl_sla[priority],tbl_sla[Resolution SLA Hours])</f>
        <v>48</v>
      </c>
      <c r="L941">
        <f>_xlfn.XLOOKUP(tbl_analysis_tickets[[#This Row],[priority]],tbl_sla[priority],tbl_sla[First Response SLA Minutes])</f>
        <v>120</v>
      </c>
      <c r="M941" t="str">
        <f>IF(tbl_analysis_tickets[[#This Row],[resolution_time_hours]]&gt;tbl_analysis_tickets[[#This Row],[Resolution SLA Hours]],"Breached","Within SLA")</f>
        <v>Within SLA</v>
      </c>
      <c r="N941" t="str">
        <f>IF(tbl_analysis_tickets[[#This Row],[first_response_minutes]]&gt;tbl_analysis_tickets[[#This Row],[First Response SLA Minutes]],"Breached","Within SLA")</f>
        <v>Within SLA</v>
      </c>
      <c r="O941" t="str" cm="1">
        <f t="array" ref="O941">_xlfn.IFS(
tbl_analysis_tickets[[#This Row],[agent_experience_years]]&lt;=2,"Junior",
tbl_analysis_tickets[[#This Row],[agent_experience_years]]&lt;=5,"Mid-Level",
tbl_analysis_tickets[[#This Row],[agent_experience_years]]&lt;=8,"Senior",
tbl_analysis_tickets[[#This Row],[agent_experience_years]]&gt;8,"Expert"
)</f>
        <v>Junior</v>
      </c>
      <c r="P941" cm="1">
        <f t="array" ref="P941">_xlfn.SWITCH(tbl_analysis_tickets[[#This Row],[customer_satisfaction]],
"Low",1,
"Medium",2,
"High",3
)</f>
        <v>2</v>
      </c>
      <c r="Q941">
        <f>IF(tbl_analysis_tickets[[#This Row],[reopened]]="Yes",1,0)</f>
        <v>0</v>
      </c>
      <c r="R941" t="str" cm="1">
        <f t="array" ref="R941">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941" t="str" cm="1">
        <f t="array" ref="S94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941" t="str">
        <f>TEXT(tbl_analysis_tickets[[#This Row],[created_date]],"mmm-yyyy")</f>
        <v>Feb-2024</v>
      </c>
      <c r="U941" t="str">
        <f>TEXT(tbl_analysis_tickets[[#This Row],[created_date]],"dddd")</f>
        <v>Wednesday</v>
      </c>
      <c r="V941" cm="1">
        <f t="array" ref="V941">_xlfn.SWITCH(tbl_analysis_tickets[[#This Row],[priority]],
"Urgent",1,
"High",2,
"Medium",3,
"Low",4
)</f>
        <v>3</v>
      </c>
    </row>
    <row r="942" spans="1:22" x14ac:dyDescent="0.25">
      <c r="A942">
        <v>941</v>
      </c>
      <c r="B942" s="1">
        <v>45440</v>
      </c>
      <c r="C942" t="s">
        <v>14</v>
      </c>
      <c r="D942" t="s">
        <v>17</v>
      </c>
      <c r="E942">
        <v>18</v>
      </c>
      <c r="F942">
        <v>57</v>
      </c>
      <c r="G942">
        <v>2.6</v>
      </c>
      <c r="H942" t="s">
        <v>18</v>
      </c>
      <c r="I942" t="s">
        <v>16</v>
      </c>
      <c r="J942" t="s">
        <v>15</v>
      </c>
      <c r="K942">
        <f>_xlfn.XLOOKUP(tbl_analysis_tickets[[#This Row],[priority]],tbl_sla[priority],tbl_sla[Resolution SLA Hours])</f>
        <v>8</v>
      </c>
      <c r="L942">
        <f>_xlfn.XLOOKUP(tbl_analysis_tickets[[#This Row],[priority]],tbl_sla[priority],tbl_sla[First Response SLA Minutes])</f>
        <v>30</v>
      </c>
      <c r="M942" t="str">
        <f>IF(tbl_analysis_tickets[[#This Row],[resolution_time_hours]]&gt;tbl_analysis_tickets[[#This Row],[Resolution SLA Hours]],"Breached","Within SLA")</f>
        <v>Breached</v>
      </c>
      <c r="N942" t="str">
        <f>IF(tbl_analysis_tickets[[#This Row],[first_response_minutes]]&gt;tbl_analysis_tickets[[#This Row],[First Response SLA Minutes]],"Breached","Within SLA")</f>
        <v>Within SLA</v>
      </c>
      <c r="O942" t="str" cm="1">
        <f t="array" ref="O942">_xlfn.IFS(
tbl_analysis_tickets[[#This Row],[agent_experience_years]]&lt;=2,"Junior",
tbl_analysis_tickets[[#This Row],[agent_experience_years]]&lt;=5,"Mid-Level",
tbl_analysis_tickets[[#This Row],[agent_experience_years]]&lt;=8,"Senior",
tbl_analysis_tickets[[#This Row],[agent_experience_years]]&gt;8,"Expert"
)</f>
        <v>Mid-Level</v>
      </c>
      <c r="P942" cm="1">
        <f t="array" ref="P942">_xlfn.SWITCH(tbl_analysis_tickets[[#This Row],[customer_satisfaction]],
"Low",1,
"Medium",2,
"High",3
)</f>
        <v>2</v>
      </c>
      <c r="Q942">
        <f>IF(tbl_analysis_tickets[[#This Row],[reopened]]="Yes",1,0)</f>
        <v>0</v>
      </c>
      <c r="R942" t="str" cm="1">
        <f t="array" ref="R942">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942" t="str" cm="1">
        <f t="array" ref="S94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942" t="str">
        <f>TEXT(tbl_analysis_tickets[[#This Row],[created_date]],"mmm-yyyy")</f>
        <v>May-2024</v>
      </c>
      <c r="U942" t="str">
        <f>TEXT(tbl_analysis_tickets[[#This Row],[created_date]],"dddd")</f>
        <v>Tuesday</v>
      </c>
      <c r="V942" cm="1">
        <f t="array" ref="V942">_xlfn.SWITCH(tbl_analysis_tickets[[#This Row],[priority]],
"Urgent",1,
"High",2,
"Medium",3,
"Low",4
)</f>
        <v>1</v>
      </c>
    </row>
    <row r="943" spans="1:22" x14ac:dyDescent="0.25">
      <c r="A943">
        <v>942</v>
      </c>
      <c r="B943" s="1">
        <v>45587</v>
      </c>
      <c r="C943" t="s">
        <v>10</v>
      </c>
      <c r="D943" t="s">
        <v>20</v>
      </c>
      <c r="E943">
        <v>13</v>
      </c>
      <c r="F943">
        <v>27</v>
      </c>
      <c r="G943">
        <v>6.4</v>
      </c>
      <c r="H943" t="s">
        <v>18</v>
      </c>
      <c r="I943" t="s">
        <v>13</v>
      </c>
      <c r="J943" t="s">
        <v>15</v>
      </c>
      <c r="K943">
        <f>_xlfn.XLOOKUP(tbl_analysis_tickets[[#This Row],[priority]],tbl_sla[priority],tbl_sla[Resolution SLA Hours])</f>
        <v>24</v>
      </c>
      <c r="L943">
        <f>_xlfn.XLOOKUP(tbl_analysis_tickets[[#This Row],[priority]],tbl_sla[priority],tbl_sla[First Response SLA Minutes])</f>
        <v>60</v>
      </c>
      <c r="M943" t="str">
        <f>IF(tbl_analysis_tickets[[#This Row],[resolution_time_hours]]&gt;tbl_analysis_tickets[[#This Row],[Resolution SLA Hours]],"Breached","Within SLA")</f>
        <v>Breached</v>
      </c>
      <c r="N943" t="str">
        <f>IF(tbl_analysis_tickets[[#This Row],[first_response_minutes]]&gt;tbl_analysis_tickets[[#This Row],[First Response SLA Minutes]],"Breached","Within SLA")</f>
        <v>Within SLA</v>
      </c>
      <c r="O943" t="str" cm="1">
        <f t="array" ref="O943">_xlfn.IFS(
tbl_analysis_tickets[[#This Row],[agent_experience_years]]&lt;=2,"Junior",
tbl_analysis_tickets[[#This Row],[agent_experience_years]]&lt;=5,"Mid-Level",
tbl_analysis_tickets[[#This Row],[agent_experience_years]]&lt;=8,"Senior",
tbl_analysis_tickets[[#This Row],[agent_experience_years]]&gt;8,"Expert"
)</f>
        <v>Senior</v>
      </c>
      <c r="P943" cm="1">
        <f t="array" ref="P943">_xlfn.SWITCH(tbl_analysis_tickets[[#This Row],[customer_satisfaction]],
"Low",1,
"Medium",2,
"High",3
)</f>
        <v>2</v>
      </c>
      <c r="Q943">
        <f>IF(tbl_analysis_tickets[[#This Row],[reopened]]="Yes",1,0)</f>
        <v>0</v>
      </c>
      <c r="R943" t="str" cm="1">
        <f t="array" ref="R943">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943" t="str" cm="1">
        <f t="array" ref="S94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943" t="str">
        <f>TEXT(tbl_analysis_tickets[[#This Row],[created_date]],"mmm-yyyy")</f>
        <v>Oct-2024</v>
      </c>
      <c r="U943" t="str">
        <f>TEXT(tbl_analysis_tickets[[#This Row],[created_date]],"dddd")</f>
        <v>Tuesday</v>
      </c>
      <c r="V943" cm="1">
        <f t="array" ref="V943">_xlfn.SWITCH(tbl_analysis_tickets[[#This Row],[priority]],
"Urgent",1,
"High",2,
"Medium",3,
"Low",4
)</f>
        <v>2</v>
      </c>
    </row>
    <row r="944" spans="1:22" x14ac:dyDescent="0.25">
      <c r="A944">
        <v>943</v>
      </c>
      <c r="B944" s="1">
        <v>45370</v>
      </c>
      <c r="C944" t="s">
        <v>22</v>
      </c>
      <c r="D944" t="s">
        <v>17</v>
      </c>
      <c r="E944">
        <v>152</v>
      </c>
      <c r="F944">
        <v>28</v>
      </c>
      <c r="G944">
        <v>8.6999999999999993</v>
      </c>
      <c r="H944" t="s">
        <v>18</v>
      </c>
      <c r="I944" t="s">
        <v>13</v>
      </c>
      <c r="J944" t="s">
        <v>11</v>
      </c>
      <c r="K944">
        <f>_xlfn.XLOOKUP(tbl_analysis_tickets[[#This Row],[priority]],tbl_sla[priority],tbl_sla[Resolution SLA Hours])</f>
        <v>8</v>
      </c>
      <c r="L944">
        <f>_xlfn.XLOOKUP(tbl_analysis_tickets[[#This Row],[priority]],tbl_sla[priority],tbl_sla[First Response SLA Minutes])</f>
        <v>30</v>
      </c>
      <c r="M944" t="str">
        <f>IF(tbl_analysis_tickets[[#This Row],[resolution_time_hours]]&gt;tbl_analysis_tickets[[#This Row],[Resolution SLA Hours]],"Breached","Within SLA")</f>
        <v>Breached</v>
      </c>
      <c r="N944" t="str">
        <f>IF(tbl_analysis_tickets[[#This Row],[first_response_minutes]]&gt;tbl_analysis_tickets[[#This Row],[First Response SLA Minutes]],"Breached","Within SLA")</f>
        <v>Breached</v>
      </c>
      <c r="O944" t="str" cm="1">
        <f t="array" ref="O944">_xlfn.IFS(
tbl_analysis_tickets[[#This Row],[agent_experience_years]]&lt;=2,"Junior",
tbl_analysis_tickets[[#This Row],[agent_experience_years]]&lt;=5,"Mid-Level",
tbl_analysis_tickets[[#This Row],[agent_experience_years]]&lt;=8,"Senior",
tbl_analysis_tickets[[#This Row],[agent_experience_years]]&gt;8,"Expert"
)</f>
        <v>Expert</v>
      </c>
      <c r="P944" cm="1">
        <f t="array" ref="P944">_xlfn.SWITCH(tbl_analysis_tickets[[#This Row],[customer_satisfaction]],
"Low",1,
"Medium",2,
"High",3
)</f>
        <v>1</v>
      </c>
      <c r="Q944">
        <f>IF(tbl_analysis_tickets[[#This Row],[reopened]]="Yes",1,0)</f>
        <v>0</v>
      </c>
      <c r="R944" t="str" cm="1">
        <f t="array" ref="R944">_xlfn.IFS(
tbl_analysis_tickets[[#This Row],[first_response_minutes]]&lt;=30,"Very Fast",
tbl_analysis_tickets[[#This Row],[first_response_minutes]]&lt;=120,"Acceptable",
tbl_analysis_tickets[[#This Row],[first_response_minutes]]&lt;=240,"Slow",
tbl_analysis_tickets[[#This Row],[first_response_minutes]]&gt;240,"Very Slow"
)</f>
        <v>Slow</v>
      </c>
      <c r="S944" t="str" cm="1">
        <f t="array" ref="S94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944" t="str">
        <f>TEXT(tbl_analysis_tickets[[#This Row],[created_date]],"mmm-yyyy")</f>
        <v>Mar-2024</v>
      </c>
      <c r="U944" t="str">
        <f>TEXT(tbl_analysis_tickets[[#This Row],[created_date]],"dddd")</f>
        <v>Tuesday</v>
      </c>
      <c r="V944" cm="1">
        <f t="array" ref="V944">_xlfn.SWITCH(tbl_analysis_tickets[[#This Row],[priority]],
"Urgent",1,
"High",2,
"Medium",3,
"Low",4
)</f>
        <v>1</v>
      </c>
    </row>
    <row r="945" spans="1:22" x14ac:dyDescent="0.25">
      <c r="A945">
        <v>944</v>
      </c>
      <c r="B945" s="1">
        <v>45544</v>
      </c>
      <c r="C945" t="s">
        <v>21</v>
      </c>
      <c r="D945" t="s">
        <v>15</v>
      </c>
      <c r="E945">
        <v>165</v>
      </c>
      <c r="F945">
        <v>21</v>
      </c>
      <c r="G945">
        <v>4.3</v>
      </c>
      <c r="H945" t="s">
        <v>18</v>
      </c>
      <c r="I945" t="s">
        <v>13</v>
      </c>
      <c r="J945" t="s">
        <v>11</v>
      </c>
      <c r="K945">
        <f>_xlfn.XLOOKUP(tbl_analysis_tickets[[#This Row],[priority]],tbl_sla[priority],tbl_sla[Resolution SLA Hours])</f>
        <v>48</v>
      </c>
      <c r="L945">
        <f>_xlfn.XLOOKUP(tbl_analysis_tickets[[#This Row],[priority]],tbl_sla[priority],tbl_sla[First Response SLA Minutes])</f>
        <v>120</v>
      </c>
      <c r="M945" t="str">
        <f>IF(tbl_analysis_tickets[[#This Row],[resolution_time_hours]]&gt;tbl_analysis_tickets[[#This Row],[Resolution SLA Hours]],"Breached","Within SLA")</f>
        <v>Within SLA</v>
      </c>
      <c r="N945" t="str">
        <f>IF(tbl_analysis_tickets[[#This Row],[first_response_minutes]]&gt;tbl_analysis_tickets[[#This Row],[First Response SLA Minutes]],"Breached","Within SLA")</f>
        <v>Breached</v>
      </c>
      <c r="O945" t="str" cm="1">
        <f t="array" ref="O945">_xlfn.IFS(
tbl_analysis_tickets[[#This Row],[agent_experience_years]]&lt;=2,"Junior",
tbl_analysis_tickets[[#This Row],[agent_experience_years]]&lt;=5,"Mid-Level",
tbl_analysis_tickets[[#This Row],[agent_experience_years]]&lt;=8,"Senior",
tbl_analysis_tickets[[#This Row],[agent_experience_years]]&gt;8,"Expert"
)</f>
        <v>Mid-Level</v>
      </c>
      <c r="P945" cm="1">
        <f t="array" ref="P945">_xlfn.SWITCH(tbl_analysis_tickets[[#This Row],[customer_satisfaction]],
"Low",1,
"Medium",2,
"High",3
)</f>
        <v>1</v>
      </c>
      <c r="Q945">
        <f>IF(tbl_analysis_tickets[[#This Row],[reopened]]="Yes",1,0)</f>
        <v>0</v>
      </c>
      <c r="R945" t="str" cm="1">
        <f t="array" ref="R945">_xlfn.IFS(
tbl_analysis_tickets[[#This Row],[first_response_minutes]]&lt;=30,"Very Fast",
tbl_analysis_tickets[[#This Row],[first_response_minutes]]&lt;=120,"Acceptable",
tbl_analysis_tickets[[#This Row],[first_response_minutes]]&lt;=240,"Slow",
tbl_analysis_tickets[[#This Row],[first_response_minutes]]&gt;240,"Very Slow"
)</f>
        <v>Slow</v>
      </c>
      <c r="S945" t="str" cm="1">
        <f t="array" ref="S94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945" t="str">
        <f>TEXT(tbl_analysis_tickets[[#This Row],[created_date]],"mmm-yyyy")</f>
        <v>Sep-2024</v>
      </c>
      <c r="U945" t="str">
        <f>TEXT(tbl_analysis_tickets[[#This Row],[created_date]],"dddd")</f>
        <v>Monday</v>
      </c>
      <c r="V945" cm="1">
        <f t="array" ref="V945">_xlfn.SWITCH(tbl_analysis_tickets[[#This Row],[priority]],
"Urgent",1,
"High",2,
"Medium",3,
"Low",4
)</f>
        <v>3</v>
      </c>
    </row>
    <row r="946" spans="1:22" x14ac:dyDescent="0.25">
      <c r="A946">
        <v>945</v>
      </c>
      <c r="B946" s="1">
        <v>45616</v>
      </c>
      <c r="C946" t="s">
        <v>22</v>
      </c>
      <c r="D946" t="s">
        <v>20</v>
      </c>
      <c r="E946">
        <v>238</v>
      </c>
      <c r="F946">
        <v>68</v>
      </c>
      <c r="G946">
        <v>6.6</v>
      </c>
      <c r="H946" t="s">
        <v>18</v>
      </c>
      <c r="I946" t="s">
        <v>16</v>
      </c>
      <c r="J946" t="s">
        <v>11</v>
      </c>
      <c r="K946">
        <f>_xlfn.XLOOKUP(tbl_analysis_tickets[[#This Row],[priority]],tbl_sla[priority],tbl_sla[Resolution SLA Hours])</f>
        <v>24</v>
      </c>
      <c r="L946">
        <f>_xlfn.XLOOKUP(tbl_analysis_tickets[[#This Row],[priority]],tbl_sla[priority],tbl_sla[First Response SLA Minutes])</f>
        <v>60</v>
      </c>
      <c r="M946" t="str">
        <f>IF(tbl_analysis_tickets[[#This Row],[resolution_time_hours]]&gt;tbl_analysis_tickets[[#This Row],[Resolution SLA Hours]],"Breached","Within SLA")</f>
        <v>Breached</v>
      </c>
      <c r="N946" t="str">
        <f>IF(tbl_analysis_tickets[[#This Row],[first_response_minutes]]&gt;tbl_analysis_tickets[[#This Row],[First Response SLA Minutes]],"Breached","Within SLA")</f>
        <v>Breached</v>
      </c>
      <c r="O946" t="str" cm="1">
        <f t="array" ref="O946">_xlfn.IFS(
tbl_analysis_tickets[[#This Row],[agent_experience_years]]&lt;=2,"Junior",
tbl_analysis_tickets[[#This Row],[agent_experience_years]]&lt;=5,"Mid-Level",
tbl_analysis_tickets[[#This Row],[agent_experience_years]]&lt;=8,"Senior",
tbl_analysis_tickets[[#This Row],[agent_experience_years]]&gt;8,"Expert"
)</f>
        <v>Senior</v>
      </c>
      <c r="P946" cm="1">
        <f t="array" ref="P946">_xlfn.SWITCH(tbl_analysis_tickets[[#This Row],[customer_satisfaction]],
"Low",1,
"Medium",2,
"High",3
)</f>
        <v>1</v>
      </c>
      <c r="Q946">
        <f>IF(tbl_analysis_tickets[[#This Row],[reopened]]="Yes",1,0)</f>
        <v>0</v>
      </c>
      <c r="R946" t="str" cm="1">
        <f t="array" ref="R946">_xlfn.IFS(
tbl_analysis_tickets[[#This Row],[first_response_minutes]]&lt;=30,"Very Fast",
tbl_analysis_tickets[[#This Row],[first_response_minutes]]&lt;=120,"Acceptable",
tbl_analysis_tickets[[#This Row],[first_response_minutes]]&lt;=240,"Slow",
tbl_analysis_tickets[[#This Row],[first_response_minutes]]&gt;240,"Very Slow"
)</f>
        <v>Slow</v>
      </c>
      <c r="S946" t="str" cm="1">
        <f t="array" ref="S94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946" t="str">
        <f>TEXT(tbl_analysis_tickets[[#This Row],[created_date]],"mmm-yyyy")</f>
        <v>Nov-2024</v>
      </c>
      <c r="U946" t="str">
        <f>TEXT(tbl_analysis_tickets[[#This Row],[created_date]],"dddd")</f>
        <v>Wednesday</v>
      </c>
      <c r="V946" cm="1">
        <f t="array" ref="V946">_xlfn.SWITCH(tbl_analysis_tickets[[#This Row],[priority]],
"Urgent",1,
"High",2,
"Medium",3,
"Low",4
)</f>
        <v>2</v>
      </c>
    </row>
    <row r="947" spans="1:22" x14ac:dyDescent="0.25">
      <c r="A947">
        <v>946</v>
      </c>
      <c r="B947" s="1">
        <v>45418</v>
      </c>
      <c r="C947" t="s">
        <v>23</v>
      </c>
      <c r="D947" t="s">
        <v>11</v>
      </c>
      <c r="E947">
        <v>98</v>
      </c>
      <c r="F947">
        <v>19</v>
      </c>
      <c r="G947">
        <v>1.8</v>
      </c>
      <c r="H947" t="s">
        <v>18</v>
      </c>
      <c r="I947" t="s">
        <v>19</v>
      </c>
      <c r="J947" t="s">
        <v>11</v>
      </c>
      <c r="K947">
        <f>_xlfn.XLOOKUP(tbl_analysis_tickets[[#This Row],[priority]],tbl_sla[priority],tbl_sla[Resolution SLA Hours])</f>
        <v>72</v>
      </c>
      <c r="L947">
        <f>_xlfn.XLOOKUP(tbl_analysis_tickets[[#This Row],[priority]],tbl_sla[priority],tbl_sla[First Response SLA Minutes])</f>
        <v>240</v>
      </c>
      <c r="M947" t="str">
        <f>IF(tbl_analysis_tickets[[#This Row],[resolution_time_hours]]&gt;tbl_analysis_tickets[[#This Row],[Resolution SLA Hours]],"Breached","Within SLA")</f>
        <v>Within SLA</v>
      </c>
      <c r="N947" t="str">
        <f>IF(tbl_analysis_tickets[[#This Row],[first_response_minutes]]&gt;tbl_analysis_tickets[[#This Row],[First Response SLA Minutes]],"Breached","Within SLA")</f>
        <v>Within SLA</v>
      </c>
      <c r="O947" t="str" cm="1">
        <f t="array" ref="O947">_xlfn.IFS(
tbl_analysis_tickets[[#This Row],[agent_experience_years]]&lt;=2,"Junior",
tbl_analysis_tickets[[#This Row],[agent_experience_years]]&lt;=5,"Mid-Level",
tbl_analysis_tickets[[#This Row],[agent_experience_years]]&lt;=8,"Senior",
tbl_analysis_tickets[[#This Row],[agent_experience_years]]&gt;8,"Expert"
)</f>
        <v>Junior</v>
      </c>
      <c r="P947" cm="1">
        <f t="array" ref="P947">_xlfn.SWITCH(tbl_analysis_tickets[[#This Row],[customer_satisfaction]],
"Low",1,
"Medium",2,
"High",3
)</f>
        <v>1</v>
      </c>
      <c r="Q947">
        <f>IF(tbl_analysis_tickets[[#This Row],[reopened]]="Yes",1,0)</f>
        <v>0</v>
      </c>
      <c r="R947" t="str" cm="1">
        <f t="array" ref="R947">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947" t="str" cm="1">
        <f t="array" ref="S94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947" t="str">
        <f>TEXT(tbl_analysis_tickets[[#This Row],[created_date]],"mmm-yyyy")</f>
        <v>May-2024</v>
      </c>
      <c r="U947" t="str">
        <f>TEXT(tbl_analysis_tickets[[#This Row],[created_date]],"dddd")</f>
        <v>Monday</v>
      </c>
      <c r="V947" cm="1">
        <f t="array" ref="V947">_xlfn.SWITCH(tbl_analysis_tickets[[#This Row],[priority]],
"Urgent",1,
"High",2,
"Medium",3,
"Low",4
)</f>
        <v>4</v>
      </c>
    </row>
    <row r="948" spans="1:22" x14ac:dyDescent="0.25">
      <c r="A948">
        <v>947</v>
      </c>
      <c r="B948" s="1">
        <v>45419</v>
      </c>
      <c r="C948" t="s">
        <v>14</v>
      </c>
      <c r="D948" t="s">
        <v>11</v>
      </c>
      <c r="E948">
        <v>198</v>
      </c>
      <c r="F948">
        <v>3</v>
      </c>
      <c r="G948">
        <v>8.1999999999999993</v>
      </c>
      <c r="H948" t="s">
        <v>18</v>
      </c>
      <c r="I948" t="s">
        <v>16</v>
      </c>
      <c r="J948" t="s">
        <v>20</v>
      </c>
      <c r="K948">
        <f>_xlfn.XLOOKUP(tbl_analysis_tickets[[#This Row],[priority]],tbl_sla[priority],tbl_sla[Resolution SLA Hours])</f>
        <v>72</v>
      </c>
      <c r="L948">
        <f>_xlfn.XLOOKUP(tbl_analysis_tickets[[#This Row],[priority]],tbl_sla[priority],tbl_sla[First Response SLA Minutes])</f>
        <v>240</v>
      </c>
      <c r="M948" t="str">
        <f>IF(tbl_analysis_tickets[[#This Row],[resolution_time_hours]]&gt;tbl_analysis_tickets[[#This Row],[Resolution SLA Hours]],"Breached","Within SLA")</f>
        <v>Within SLA</v>
      </c>
      <c r="N948" t="str">
        <f>IF(tbl_analysis_tickets[[#This Row],[first_response_minutes]]&gt;tbl_analysis_tickets[[#This Row],[First Response SLA Minutes]],"Breached","Within SLA")</f>
        <v>Within SLA</v>
      </c>
      <c r="O948" t="str" cm="1">
        <f t="array" ref="O948">_xlfn.IFS(
tbl_analysis_tickets[[#This Row],[agent_experience_years]]&lt;=2,"Junior",
tbl_analysis_tickets[[#This Row],[agent_experience_years]]&lt;=5,"Mid-Level",
tbl_analysis_tickets[[#This Row],[agent_experience_years]]&lt;=8,"Senior",
tbl_analysis_tickets[[#This Row],[agent_experience_years]]&gt;8,"Expert"
)</f>
        <v>Expert</v>
      </c>
      <c r="P948" cm="1">
        <f t="array" ref="P948">_xlfn.SWITCH(tbl_analysis_tickets[[#This Row],[customer_satisfaction]],
"Low",1,
"Medium",2,
"High",3
)</f>
        <v>3</v>
      </c>
      <c r="Q948">
        <f>IF(tbl_analysis_tickets[[#This Row],[reopened]]="Yes",1,0)</f>
        <v>0</v>
      </c>
      <c r="R948" t="str" cm="1">
        <f t="array" ref="R948">_xlfn.IFS(
tbl_analysis_tickets[[#This Row],[first_response_minutes]]&lt;=30,"Very Fast",
tbl_analysis_tickets[[#This Row],[first_response_minutes]]&lt;=120,"Acceptable",
tbl_analysis_tickets[[#This Row],[first_response_minutes]]&lt;=240,"Slow",
tbl_analysis_tickets[[#This Row],[first_response_minutes]]&gt;240,"Very Slow"
)</f>
        <v>Slow</v>
      </c>
      <c r="S948" t="str" cm="1">
        <f t="array" ref="S94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948" t="str">
        <f>TEXT(tbl_analysis_tickets[[#This Row],[created_date]],"mmm-yyyy")</f>
        <v>May-2024</v>
      </c>
      <c r="U948" t="str">
        <f>TEXT(tbl_analysis_tickets[[#This Row],[created_date]],"dddd")</f>
        <v>Tuesday</v>
      </c>
      <c r="V948" cm="1">
        <f t="array" ref="V948">_xlfn.SWITCH(tbl_analysis_tickets[[#This Row],[priority]],
"Urgent",1,
"High",2,
"Medium",3,
"Low",4
)</f>
        <v>4</v>
      </c>
    </row>
    <row r="949" spans="1:22" x14ac:dyDescent="0.25">
      <c r="A949">
        <v>948</v>
      </c>
      <c r="B949" s="1">
        <v>45322</v>
      </c>
      <c r="C949" t="s">
        <v>10</v>
      </c>
      <c r="D949" t="s">
        <v>15</v>
      </c>
      <c r="E949">
        <v>69</v>
      </c>
      <c r="F949">
        <v>38</v>
      </c>
      <c r="G949">
        <v>2.5</v>
      </c>
      <c r="H949" t="s">
        <v>18</v>
      </c>
      <c r="I949" t="s">
        <v>19</v>
      </c>
      <c r="J949" t="s">
        <v>11</v>
      </c>
      <c r="K949">
        <f>_xlfn.XLOOKUP(tbl_analysis_tickets[[#This Row],[priority]],tbl_sla[priority],tbl_sla[Resolution SLA Hours])</f>
        <v>48</v>
      </c>
      <c r="L949">
        <f>_xlfn.XLOOKUP(tbl_analysis_tickets[[#This Row],[priority]],tbl_sla[priority],tbl_sla[First Response SLA Minutes])</f>
        <v>120</v>
      </c>
      <c r="M949" t="str">
        <f>IF(tbl_analysis_tickets[[#This Row],[resolution_time_hours]]&gt;tbl_analysis_tickets[[#This Row],[Resolution SLA Hours]],"Breached","Within SLA")</f>
        <v>Within SLA</v>
      </c>
      <c r="N949" t="str">
        <f>IF(tbl_analysis_tickets[[#This Row],[first_response_minutes]]&gt;tbl_analysis_tickets[[#This Row],[First Response SLA Minutes]],"Breached","Within SLA")</f>
        <v>Within SLA</v>
      </c>
      <c r="O949" t="str" cm="1">
        <f t="array" ref="O949">_xlfn.IFS(
tbl_analysis_tickets[[#This Row],[agent_experience_years]]&lt;=2,"Junior",
tbl_analysis_tickets[[#This Row],[agent_experience_years]]&lt;=5,"Mid-Level",
tbl_analysis_tickets[[#This Row],[agent_experience_years]]&lt;=8,"Senior",
tbl_analysis_tickets[[#This Row],[agent_experience_years]]&gt;8,"Expert"
)</f>
        <v>Mid-Level</v>
      </c>
      <c r="P949" cm="1">
        <f t="array" ref="P949">_xlfn.SWITCH(tbl_analysis_tickets[[#This Row],[customer_satisfaction]],
"Low",1,
"Medium",2,
"High",3
)</f>
        <v>1</v>
      </c>
      <c r="Q949">
        <f>IF(tbl_analysis_tickets[[#This Row],[reopened]]="Yes",1,0)</f>
        <v>0</v>
      </c>
      <c r="R949" t="str" cm="1">
        <f t="array" ref="R949">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949" t="str" cm="1">
        <f t="array" ref="S94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949" t="str">
        <f>TEXT(tbl_analysis_tickets[[#This Row],[created_date]],"mmm-yyyy")</f>
        <v>Jan-2024</v>
      </c>
      <c r="U949" t="str">
        <f>TEXT(tbl_analysis_tickets[[#This Row],[created_date]],"dddd")</f>
        <v>Wednesday</v>
      </c>
      <c r="V949" cm="1">
        <f t="array" ref="V949">_xlfn.SWITCH(tbl_analysis_tickets[[#This Row],[priority]],
"Urgent",1,
"High",2,
"Medium",3,
"Low",4
)</f>
        <v>3</v>
      </c>
    </row>
    <row r="950" spans="1:22" x14ac:dyDescent="0.25">
      <c r="A950">
        <v>949</v>
      </c>
      <c r="B950" s="1">
        <v>45294</v>
      </c>
      <c r="C950" t="s">
        <v>10</v>
      </c>
      <c r="D950" t="s">
        <v>11</v>
      </c>
      <c r="E950">
        <v>38</v>
      </c>
      <c r="F950">
        <v>32</v>
      </c>
      <c r="G950">
        <v>2</v>
      </c>
      <c r="H950" t="s">
        <v>18</v>
      </c>
      <c r="I950" t="s">
        <v>16</v>
      </c>
      <c r="J950" t="s">
        <v>11</v>
      </c>
      <c r="K950">
        <f>_xlfn.XLOOKUP(tbl_analysis_tickets[[#This Row],[priority]],tbl_sla[priority],tbl_sla[Resolution SLA Hours])</f>
        <v>72</v>
      </c>
      <c r="L950">
        <f>_xlfn.XLOOKUP(tbl_analysis_tickets[[#This Row],[priority]],tbl_sla[priority],tbl_sla[First Response SLA Minutes])</f>
        <v>240</v>
      </c>
      <c r="M950" t="str">
        <f>IF(tbl_analysis_tickets[[#This Row],[resolution_time_hours]]&gt;tbl_analysis_tickets[[#This Row],[Resolution SLA Hours]],"Breached","Within SLA")</f>
        <v>Within SLA</v>
      </c>
      <c r="N950" t="str">
        <f>IF(tbl_analysis_tickets[[#This Row],[first_response_minutes]]&gt;tbl_analysis_tickets[[#This Row],[First Response SLA Minutes]],"Breached","Within SLA")</f>
        <v>Within SLA</v>
      </c>
      <c r="O950" t="str" cm="1">
        <f t="array" ref="O950">_xlfn.IFS(
tbl_analysis_tickets[[#This Row],[agent_experience_years]]&lt;=2,"Junior",
tbl_analysis_tickets[[#This Row],[agent_experience_years]]&lt;=5,"Mid-Level",
tbl_analysis_tickets[[#This Row],[agent_experience_years]]&lt;=8,"Senior",
tbl_analysis_tickets[[#This Row],[agent_experience_years]]&gt;8,"Expert"
)</f>
        <v>Junior</v>
      </c>
      <c r="P950" cm="1">
        <f t="array" ref="P950">_xlfn.SWITCH(tbl_analysis_tickets[[#This Row],[customer_satisfaction]],
"Low",1,
"Medium",2,
"High",3
)</f>
        <v>1</v>
      </c>
      <c r="Q950">
        <f>IF(tbl_analysis_tickets[[#This Row],[reopened]]="Yes",1,0)</f>
        <v>0</v>
      </c>
      <c r="R950" t="str" cm="1">
        <f t="array" ref="R950">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950" t="str" cm="1">
        <f t="array" ref="S95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950" t="str">
        <f>TEXT(tbl_analysis_tickets[[#This Row],[created_date]],"mmm-yyyy")</f>
        <v>Jan-2024</v>
      </c>
      <c r="U950" t="str">
        <f>TEXT(tbl_analysis_tickets[[#This Row],[created_date]],"dddd")</f>
        <v>Wednesday</v>
      </c>
      <c r="V950" cm="1">
        <f t="array" ref="V950">_xlfn.SWITCH(tbl_analysis_tickets[[#This Row],[priority]],
"Urgent",1,
"High",2,
"Medium",3,
"Low",4
)</f>
        <v>4</v>
      </c>
    </row>
    <row r="951" spans="1:22" x14ac:dyDescent="0.25">
      <c r="A951">
        <v>950</v>
      </c>
      <c r="B951" s="1">
        <v>45434</v>
      </c>
      <c r="C951" t="s">
        <v>21</v>
      </c>
      <c r="D951" t="s">
        <v>11</v>
      </c>
      <c r="E951">
        <v>19</v>
      </c>
      <c r="F951">
        <v>7</v>
      </c>
      <c r="G951">
        <v>1.2</v>
      </c>
      <c r="H951" t="s">
        <v>12</v>
      </c>
      <c r="I951" t="s">
        <v>13</v>
      </c>
      <c r="J951" t="s">
        <v>15</v>
      </c>
      <c r="K951">
        <f>_xlfn.XLOOKUP(tbl_analysis_tickets[[#This Row],[priority]],tbl_sla[priority],tbl_sla[Resolution SLA Hours])</f>
        <v>72</v>
      </c>
      <c r="L951">
        <f>_xlfn.XLOOKUP(tbl_analysis_tickets[[#This Row],[priority]],tbl_sla[priority],tbl_sla[First Response SLA Minutes])</f>
        <v>240</v>
      </c>
      <c r="M951" t="str">
        <f>IF(tbl_analysis_tickets[[#This Row],[resolution_time_hours]]&gt;tbl_analysis_tickets[[#This Row],[Resolution SLA Hours]],"Breached","Within SLA")</f>
        <v>Within SLA</v>
      </c>
      <c r="N951" t="str">
        <f>IF(tbl_analysis_tickets[[#This Row],[first_response_minutes]]&gt;tbl_analysis_tickets[[#This Row],[First Response SLA Minutes]],"Breached","Within SLA")</f>
        <v>Within SLA</v>
      </c>
      <c r="O951" t="str" cm="1">
        <f t="array" ref="O951">_xlfn.IFS(
tbl_analysis_tickets[[#This Row],[agent_experience_years]]&lt;=2,"Junior",
tbl_analysis_tickets[[#This Row],[agent_experience_years]]&lt;=5,"Mid-Level",
tbl_analysis_tickets[[#This Row],[agent_experience_years]]&lt;=8,"Senior",
tbl_analysis_tickets[[#This Row],[agent_experience_years]]&gt;8,"Expert"
)</f>
        <v>Junior</v>
      </c>
      <c r="P951" cm="1">
        <f t="array" ref="P951">_xlfn.SWITCH(tbl_analysis_tickets[[#This Row],[customer_satisfaction]],
"Low",1,
"Medium",2,
"High",3
)</f>
        <v>2</v>
      </c>
      <c r="Q951">
        <f>IF(tbl_analysis_tickets[[#This Row],[reopened]]="Yes",1,0)</f>
        <v>1</v>
      </c>
      <c r="R951" t="str" cm="1">
        <f t="array" ref="R951">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951" t="str" cm="1">
        <f t="array" ref="S95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951" t="str">
        <f>TEXT(tbl_analysis_tickets[[#This Row],[created_date]],"mmm-yyyy")</f>
        <v>May-2024</v>
      </c>
      <c r="U951" t="str">
        <f>TEXT(tbl_analysis_tickets[[#This Row],[created_date]],"dddd")</f>
        <v>Wednesday</v>
      </c>
      <c r="V951" cm="1">
        <f t="array" ref="V951">_xlfn.SWITCH(tbl_analysis_tickets[[#This Row],[priority]],
"Urgent",1,
"High",2,
"Medium",3,
"Low",4
)</f>
        <v>4</v>
      </c>
    </row>
    <row r="952" spans="1:22" x14ac:dyDescent="0.25">
      <c r="A952">
        <v>951</v>
      </c>
      <c r="B952" s="1">
        <v>45490</v>
      </c>
      <c r="C952" t="s">
        <v>22</v>
      </c>
      <c r="D952" t="s">
        <v>17</v>
      </c>
      <c r="E952">
        <v>56</v>
      </c>
      <c r="F952">
        <v>36</v>
      </c>
      <c r="G952">
        <v>5.5</v>
      </c>
      <c r="H952" t="s">
        <v>12</v>
      </c>
      <c r="I952" t="s">
        <v>16</v>
      </c>
      <c r="J952" t="s">
        <v>11</v>
      </c>
      <c r="K952">
        <f>_xlfn.XLOOKUP(tbl_analysis_tickets[[#This Row],[priority]],tbl_sla[priority],tbl_sla[Resolution SLA Hours])</f>
        <v>8</v>
      </c>
      <c r="L952">
        <f>_xlfn.XLOOKUP(tbl_analysis_tickets[[#This Row],[priority]],tbl_sla[priority],tbl_sla[First Response SLA Minutes])</f>
        <v>30</v>
      </c>
      <c r="M952" t="str">
        <f>IF(tbl_analysis_tickets[[#This Row],[resolution_time_hours]]&gt;tbl_analysis_tickets[[#This Row],[Resolution SLA Hours]],"Breached","Within SLA")</f>
        <v>Breached</v>
      </c>
      <c r="N952" t="str">
        <f>IF(tbl_analysis_tickets[[#This Row],[first_response_minutes]]&gt;tbl_analysis_tickets[[#This Row],[First Response SLA Minutes]],"Breached","Within SLA")</f>
        <v>Breached</v>
      </c>
      <c r="O952" t="str" cm="1">
        <f t="array" ref="O952">_xlfn.IFS(
tbl_analysis_tickets[[#This Row],[agent_experience_years]]&lt;=2,"Junior",
tbl_analysis_tickets[[#This Row],[agent_experience_years]]&lt;=5,"Mid-Level",
tbl_analysis_tickets[[#This Row],[agent_experience_years]]&lt;=8,"Senior",
tbl_analysis_tickets[[#This Row],[agent_experience_years]]&gt;8,"Expert"
)</f>
        <v>Senior</v>
      </c>
      <c r="P952" cm="1">
        <f t="array" ref="P952">_xlfn.SWITCH(tbl_analysis_tickets[[#This Row],[customer_satisfaction]],
"Low",1,
"Medium",2,
"High",3
)</f>
        <v>1</v>
      </c>
      <c r="Q952">
        <f>IF(tbl_analysis_tickets[[#This Row],[reopened]]="Yes",1,0)</f>
        <v>1</v>
      </c>
      <c r="R952" t="str" cm="1">
        <f t="array" ref="R952">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952" t="str" cm="1">
        <f t="array" ref="S95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952" t="str">
        <f>TEXT(tbl_analysis_tickets[[#This Row],[created_date]],"mmm-yyyy")</f>
        <v>Jul-2024</v>
      </c>
      <c r="U952" t="str">
        <f>TEXT(tbl_analysis_tickets[[#This Row],[created_date]],"dddd")</f>
        <v>Wednesday</v>
      </c>
      <c r="V952" cm="1">
        <f t="array" ref="V952">_xlfn.SWITCH(tbl_analysis_tickets[[#This Row],[priority]],
"Urgent",1,
"High",2,
"Medium",3,
"Low",4
)</f>
        <v>1</v>
      </c>
    </row>
    <row r="953" spans="1:22" x14ac:dyDescent="0.25">
      <c r="A953">
        <v>952</v>
      </c>
      <c r="B953" s="1">
        <v>45325</v>
      </c>
      <c r="C953" t="s">
        <v>21</v>
      </c>
      <c r="D953" t="s">
        <v>20</v>
      </c>
      <c r="E953">
        <v>231</v>
      </c>
      <c r="F953">
        <v>26</v>
      </c>
      <c r="G953">
        <v>8.3000000000000007</v>
      </c>
      <c r="H953" t="s">
        <v>18</v>
      </c>
      <c r="I953" t="s">
        <v>13</v>
      </c>
      <c r="J953" t="s">
        <v>11</v>
      </c>
      <c r="K953">
        <f>_xlfn.XLOOKUP(tbl_analysis_tickets[[#This Row],[priority]],tbl_sla[priority],tbl_sla[Resolution SLA Hours])</f>
        <v>24</v>
      </c>
      <c r="L953">
        <f>_xlfn.XLOOKUP(tbl_analysis_tickets[[#This Row],[priority]],tbl_sla[priority],tbl_sla[First Response SLA Minutes])</f>
        <v>60</v>
      </c>
      <c r="M953" t="str">
        <f>IF(tbl_analysis_tickets[[#This Row],[resolution_time_hours]]&gt;tbl_analysis_tickets[[#This Row],[Resolution SLA Hours]],"Breached","Within SLA")</f>
        <v>Breached</v>
      </c>
      <c r="N953" t="str">
        <f>IF(tbl_analysis_tickets[[#This Row],[first_response_minutes]]&gt;tbl_analysis_tickets[[#This Row],[First Response SLA Minutes]],"Breached","Within SLA")</f>
        <v>Breached</v>
      </c>
      <c r="O953" t="str" cm="1">
        <f t="array" ref="O953">_xlfn.IFS(
tbl_analysis_tickets[[#This Row],[agent_experience_years]]&lt;=2,"Junior",
tbl_analysis_tickets[[#This Row],[agent_experience_years]]&lt;=5,"Mid-Level",
tbl_analysis_tickets[[#This Row],[agent_experience_years]]&lt;=8,"Senior",
tbl_analysis_tickets[[#This Row],[agent_experience_years]]&gt;8,"Expert"
)</f>
        <v>Expert</v>
      </c>
      <c r="P953" cm="1">
        <f t="array" ref="P953">_xlfn.SWITCH(tbl_analysis_tickets[[#This Row],[customer_satisfaction]],
"Low",1,
"Medium",2,
"High",3
)</f>
        <v>1</v>
      </c>
      <c r="Q953">
        <f>IF(tbl_analysis_tickets[[#This Row],[reopened]]="Yes",1,0)</f>
        <v>0</v>
      </c>
      <c r="R953" t="str" cm="1">
        <f t="array" ref="R953">_xlfn.IFS(
tbl_analysis_tickets[[#This Row],[first_response_minutes]]&lt;=30,"Very Fast",
tbl_analysis_tickets[[#This Row],[first_response_minutes]]&lt;=120,"Acceptable",
tbl_analysis_tickets[[#This Row],[first_response_minutes]]&lt;=240,"Slow",
tbl_analysis_tickets[[#This Row],[first_response_minutes]]&gt;240,"Very Slow"
)</f>
        <v>Slow</v>
      </c>
      <c r="S953" t="str" cm="1">
        <f t="array" ref="S95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953" t="str">
        <f>TEXT(tbl_analysis_tickets[[#This Row],[created_date]],"mmm-yyyy")</f>
        <v>Feb-2024</v>
      </c>
      <c r="U953" t="str">
        <f>TEXT(tbl_analysis_tickets[[#This Row],[created_date]],"dddd")</f>
        <v>Saturday</v>
      </c>
      <c r="V953" cm="1">
        <f t="array" ref="V953">_xlfn.SWITCH(tbl_analysis_tickets[[#This Row],[priority]],
"Urgent",1,
"High",2,
"Medium",3,
"Low",4
)</f>
        <v>2</v>
      </c>
    </row>
    <row r="954" spans="1:22" x14ac:dyDescent="0.25">
      <c r="A954">
        <v>953</v>
      </c>
      <c r="B954" s="1">
        <v>45644</v>
      </c>
      <c r="C954" t="s">
        <v>21</v>
      </c>
      <c r="D954" t="s">
        <v>15</v>
      </c>
      <c r="E954">
        <v>66</v>
      </c>
      <c r="F954">
        <v>4</v>
      </c>
      <c r="G954">
        <v>8.8000000000000007</v>
      </c>
      <c r="H954" t="s">
        <v>12</v>
      </c>
      <c r="I954" t="s">
        <v>16</v>
      </c>
      <c r="J954" t="s">
        <v>15</v>
      </c>
      <c r="K954">
        <f>_xlfn.XLOOKUP(tbl_analysis_tickets[[#This Row],[priority]],tbl_sla[priority],tbl_sla[Resolution SLA Hours])</f>
        <v>48</v>
      </c>
      <c r="L954">
        <f>_xlfn.XLOOKUP(tbl_analysis_tickets[[#This Row],[priority]],tbl_sla[priority],tbl_sla[First Response SLA Minutes])</f>
        <v>120</v>
      </c>
      <c r="M954" t="str">
        <f>IF(tbl_analysis_tickets[[#This Row],[resolution_time_hours]]&gt;tbl_analysis_tickets[[#This Row],[Resolution SLA Hours]],"Breached","Within SLA")</f>
        <v>Within SLA</v>
      </c>
      <c r="N954" t="str">
        <f>IF(tbl_analysis_tickets[[#This Row],[first_response_minutes]]&gt;tbl_analysis_tickets[[#This Row],[First Response SLA Minutes]],"Breached","Within SLA")</f>
        <v>Within SLA</v>
      </c>
      <c r="O954" t="str" cm="1">
        <f t="array" ref="O954">_xlfn.IFS(
tbl_analysis_tickets[[#This Row],[agent_experience_years]]&lt;=2,"Junior",
tbl_analysis_tickets[[#This Row],[agent_experience_years]]&lt;=5,"Mid-Level",
tbl_analysis_tickets[[#This Row],[agent_experience_years]]&lt;=8,"Senior",
tbl_analysis_tickets[[#This Row],[agent_experience_years]]&gt;8,"Expert"
)</f>
        <v>Expert</v>
      </c>
      <c r="P954" cm="1">
        <f t="array" ref="P954">_xlfn.SWITCH(tbl_analysis_tickets[[#This Row],[customer_satisfaction]],
"Low",1,
"Medium",2,
"High",3
)</f>
        <v>2</v>
      </c>
      <c r="Q954">
        <f>IF(tbl_analysis_tickets[[#This Row],[reopened]]="Yes",1,0)</f>
        <v>1</v>
      </c>
      <c r="R954" t="str" cm="1">
        <f t="array" ref="R954">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954" t="str" cm="1">
        <f t="array" ref="S95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954" t="str">
        <f>TEXT(tbl_analysis_tickets[[#This Row],[created_date]],"mmm-yyyy")</f>
        <v>Dec-2024</v>
      </c>
      <c r="U954" t="str">
        <f>TEXT(tbl_analysis_tickets[[#This Row],[created_date]],"dddd")</f>
        <v>Wednesday</v>
      </c>
      <c r="V954" cm="1">
        <f t="array" ref="V954">_xlfn.SWITCH(tbl_analysis_tickets[[#This Row],[priority]],
"Urgent",1,
"High",2,
"Medium",3,
"Low",4
)</f>
        <v>3</v>
      </c>
    </row>
    <row r="955" spans="1:22" x14ac:dyDescent="0.25">
      <c r="A955">
        <v>954</v>
      </c>
      <c r="B955" s="1">
        <v>45415</v>
      </c>
      <c r="C955" t="s">
        <v>21</v>
      </c>
      <c r="D955" t="s">
        <v>11</v>
      </c>
      <c r="E955">
        <v>55</v>
      </c>
      <c r="F955">
        <v>15</v>
      </c>
      <c r="G955">
        <v>1.8</v>
      </c>
      <c r="H955" t="s">
        <v>18</v>
      </c>
      <c r="I955" t="s">
        <v>13</v>
      </c>
      <c r="J955" t="s">
        <v>11</v>
      </c>
      <c r="K955">
        <f>_xlfn.XLOOKUP(tbl_analysis_tickets[[#This Row],[priority]],tbl_sla[priority],tbl_sla[Resolution SLA Hours])</f>
        <v>72</v>
      </c>
      <c r="L955">
        <f>_xlfn.XLOOKUP(tbl_analysis_tickets[[#This Row],[priority]],tbl_sla[priority],tbl_sla[First Response SLA Minutes])</f>
        <v>240</v>
      </c>
      <c r="M955" t="str">
        <f>IF(tbl_analysis_tickets[[#This Row],[resolution_time_hours]]&gt;tbl_analysis_tickets[[#This Row],[Resolution SLA Hours]],"Breached","Within SLA")</f>
        <v>Within SLA</v>
      </c>
      <c r="N955" t="str">
        <f>IF(tbl_analysis_tickets[[#This Row],[first_response_minutes]]&gt;tbl_analysis_tickets[[#This Row],[First Response SLA Minutes]],"Breached","Within SLA")</f>
        <v>Within SLA</v>
      </c>
      <c r="O955" t="str" cm="1">
        <f t="array" ref="O955">_xlfn.IFS(
tbl_analysis_tickets[[#This Row],[agent_experience_years]]&lt;=2,"Junior",
tbl_analysis_tickets[[#This Row],[agent_experience_years]]&lt;=5,"Mid-Level",
tbl_analysis_tickets[[#This Row],[agent_experience_years]]&lt;=8,"Senior",
tbl_analysis_tickets[[#This Row],[agent_experience_years]]&gt;8,"Expert"
)</f>
        <v>Junior</v>
      </c>
      <c r="P955" cm="1">
        <f t="array" ref="P955">_xlfn.SWITCH(tbl_analysis_tickets[[#This Row],[customer_satisfaction]],
"Low",1,
"Medium",2,
"High",3
)</f>
        <v>1</v>
      </c>
      <c r="Q955">
        <f>IF(tbl_analysis_tickets[[#This Row],[reopened]]="Yes",1,0)</f>
        <v>0</v>
      </c>
      <c r="R955" t="str" cm="1">
        <f t="array" ref="R955">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955" t="str" cm="1">
        <f t="array" ref="S95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955" t="str">
        <f>TEXT(tbl_analysis_tickets[[#This Row],[created_date]],"mmm-yyyy")</f>
        <v>May-2024</v>
      </c>
      <c r="U955" t="str">
        <f>TEXT(tbl_analysis_tickets[[#This Row],[created_date]],"dddd")</f>
        <v>Friday</v>
      </c>
      <c r="V955" cm="1">
        <f t="array" ref="V955">_xlfn.SWITCH(tbl_analysis_tickets[[#This Row],[priority]],
"Urgent",1,
"High",2,
"Medium",3,
"Low",4
)</f>
        <v>4</v>
      </c>
    </row>
    <row r="956" spans="1:22" x14ac:dyDescent="0.25">
      <c r="A956">
        <v>955</v>
      </c>
      <c r="B956" s="1">
        <v>45650</v>
      </c>
      <c r="C956" t="s">
        <v>23</v>
      </c>
      <c r="D956" t="s">
        <v>15</v>
      </c>
      <c r="E956">
        <v>99</v>
      </c>
      <c r="F956">
        <v>68</v>
      </c>
      <c r="G956">
        <v>3.5</v>
      </c>
      <c r="H956" t="s">
        <v>18</v>
      </c>
      <c r="I956" t="s">
        <v>16</v>
      </c>
      <c r="J956" t="s">
        <v>11</v>
      </c>
      <c r="K956">
        <f>_xlfn.XLOOKUP(tbl_analysis_tickets[[#This Row],[priority]],tbl_sla[priority],tbl_sla[Resolution SLA Hours])</f>
        <v>48</v>
      </c>
      <c r="L956">
        <f>_xlfn.XLOOKUP(tbl_analysis_tickets[[#This Row],[priority]],tbl_sla[priority],tbl_sla[First Response SLA Minutes])</f>
        <v>120</v>
      </c>
      <c r="M956" t="str">
        <f>IF(tbl_analysis_tickets[[#This Row],[resolution_time_hours]]&gt;tbl_analysis_tickets[[#This Row],[Resolution SLA Hours]],"Breached","Within SLA")</f>
        <v>Breached</v>
      </c>
      <c r="N956" t="str">
        <f>IF(tbl_analysis_tickets[[#This Row],[first_response_minutes]]&gt;tbl_analysis_tickets[[#This Row],[First Response SLA Minutes]],"Breached","Within SLA")</f>
        <v>Within SLA</v>
      </c>
      <c r="O956" t="str" cm="1">
        <f t="array" ref="O956">_xlfn.IFS(
tbl_analysis_tickets[[#This Row],[agent_experience_years]]&lt;=2,"Junior",
tbl_analysis_tickets[[#This Row],[agent_experience_years]]&lt;=5,"Mid-Level",
tbl_analysis_tickets[[#This Row],[agent_experience_years]]&lt;=8,"Senior",
tbl_analysis_tickets[[#This Row],[agent_experience_years]]&gt;8,"Expert"
)</f>
        <v>Mid-Level</v>
      </c>
      <c r="P956" cm="1">
        <f t="array" ref="P956">_xlfn.SWITCH(tbl_analysis_tickets[[#This Row],[customer_satisfaction]],
"Low",1,
"Medium",2,
"High",3
)</f>
        <v>1</v>
      </c>
      <c r="Q956">
        <f>IF(tbl_analysis_tickets[[#This Row],[reopened]]="Yes",1,0)</f>
        <v>0</v>
      </c>
      <c r="R956" t="str" cm="1">
        <f t="array" ref="R956">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956" t="str" cm="1">
        <f t="array" ref="S95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956" t="str">
        <f>TEXT(tbl_analysis_tickets[[#This Row],[created_date]],"mmm-yyyy")</f>
        <v>Dec-2024</v>
      </c>
      <c r="U956" t="str">
        <f>TEXT(tbl_analysis_tickets[[#This Row],[created_date]],"dddd")</f>
        <v>Tuesday</v>
      </c>
      <c r="V956" cm="1">
        <f t="array" ref="V956">_xlfn.SWITCH(tbl_analysis_tickets[[#This Row],[priority]],
"Urgent",1,
"High",2,
"Medium",3,
"Low",4
)</f>
        <v>3</v>
      </c>
    </row>
    <row r="957" spans="1:22" x14ac:dyDescent="0.25">
      <c r="A957">
        <v>956</v>
      </c>
      <c r="B957" s="1">
        <v>45621</v>
      </c>
      <c r="C957" t="s">
        <v>22</v>
      </c>
      <c r="D957" t="s">
        <v>20</v>
      </c>
      <c r="E957">
        <v>185</v>
      </c>
      <c r="F957">
        <v>53</v>
      </c>
      <c r="G957">
        <v>0.8</v>
      </c>
      <c r="H957" t="s">
        <v>18</v>
      </c>
      <c r="I957" t="s">
        <v>19</v>
      </c>
      <c r="J957" t="s">
        <v>11</v>
      </c>
      <c r="K957">
        <f>_xlfn.XLOOKUP(tbl_analysis_tickets[[#This Row],[priority]],tbl_sla[priority],tbl_sla[Resolution SLA Hours])</f>
        <v>24</v>
      </c>
      <c r="L957">
        <f>_xlfn.XLOOKUP(tbl_analysis_tickets[[#This Row],[priority]],tbl_sla[priority],tbl_sla[First Response SLA Minutes])</f>
        <v>60</v>
      </c>
      <c r="M957" t="str">
        <f>IF(tbl_analysis_tickets[[#This Row],[resolution_time_hours]]&gt;tbl_analysis_tickets[[#This Row],[Resolution SLA Hours]],"Breached","Within SLA")</f>
        <v>Breached</v>
      </c>
      <c r="N957" t="str">
        <f>IF(tbl_analysis_tickets[[#This Row],[first_response_minutes]]&gt;tbl_analysis_tickets[[#This Row],[First Response SLA Minutes]],"Breached","Within SLA")</f>
        <v>Breached</v>
      </c>
      <c r="O957" t="str" cm="1">
        <f t="array" ref="O957">_xlfn.IFS(
tbl_analysis_tickets[[#This Row],[agent_experience_years]]&lt;=2,"Junior",
tbl_analysis_tickets[[#This Row],[agent_experience_years]]&lt;=5,"Mid-Level",
tbl_analysis_tickets[[#This Row],[agent_experience_years]]&lt;=8,"Senior",
tbl_analysis_tickets[[#This Row],[agent_experience_years]]&gt;8,"Expert"
)</f>
        <v>Junior</v>
      </c>
      <c r="P957" cm="1">
        <f t="array" ref="P957">_xlfn.SWITCH(tbl_analysis_tickets[[#This Row],[customer_satisfaction]],
"Low",1,
"Medium",2,
"High",3
)</f>
        <v>1</v>
      </c>
      <c r="Q957">
        <f>IF(tbl_analysis_tickets[[#This Row],[reopened]]="Yes",1,0)</f>
        <v>0</v>
      </c>
      <c r="R957" t="str" cm="1">
        <f t="array" ref="R957">_xlfn.IFS(
tbl_analysis_tickets[[#This Row],[first_response_minutes]]&lt;=30,"Very Fast",
tbl_analysis_tickets[[#This Row],[first_response_minutes]]&lt;=120,"Acceptable",
tbl_analysis_tickets[[#This Row],[first_response_minutes]]&lt;=240,"Slow",
tbl_analysis_tickets[[#This Row],[first_response_minutes]]&gt;240,"Very Slow"
)</f>
        <v>Slow</v>
      </c>
      <c r="S957" t="str" cm="1">
        <f t="array" ref="S95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957" t="str">
        <f>TEXT(tbl_analysis_tickets[[#This Row],[created_date]],"mmm-yyyy")</f>
        <v>Nov-2024</v>
      </c>
      <c r="U957" t="str">
        <f>TEXT(tbl_analysis_tickets[[#This Row],[created_date]],"dddd")</f>
        <v>Monday</v>
      </c>
      <c r="V957" cm="1">
        <f t="array" ref="V957">_xlfn.SWITCH(tbl_analysis_tickets[[#This Row],[priority]],
"Urgent",1,
"High",2,
"Medium",3,
"Low",4
)</f>
        <v>2</v>
      </c>
    </row>
    <row r="958" spans="1:22" x14ac:dyDescent="0.25">
      <c r="A958">
        <v>957</v>
      </c>
      <c r="B958" s="1">
        <v>45427</v>
      </c>
      <c r="C958" t="s">
        <v>23</v>
      </c>
      <c r="D958" t="s">
        <v>11</v>
      </c>
      <c r="E958">
        <v>98</v>
      </c>
      <c r="F958">
        <v>72</v>
      </c>
      <c r="G958">
        <v>6.6</v>
      </c>
      <c r="H958" t="s">
        <v>12</v>
      </c>
      <c r="I958" t="s">
        <v>16</v>
      </c>
      <c r="J958" t="s">
        <v>11</v>
      </c>
      <c r="K958">
        <f>_xlfn.XLOOKUP(tbl_analysis_tickets[[#This Row],[priority]],tbl_sla[priority],tbl_sla[Resolution SLA Hours])</f>
        <v>72</v>
      </c>
      <c r="L958">
        <f>_xlfn.XLOOKUP(tbl_analysis_tickets[[#This Row],[priority]],tbl_sla[priority],tbl_sla[First Response SLA Minutes])</f>
        <v>240</v>
      </c>
      <c r="M958" t="str">
        <f>IF(tbl_analysis_tickets[[#This Row],[resolution_time_hours]]&gt;tbl_analysis_tickets[[#This Row],[Resolution SLA Hours]],"Breached","Within SLA")</f>
        <v>Within SLA</v>
      </c>
      <c r="N958" t="str">
        <f>IF(tbl_analysis_tickets[[#This Row],[first_response_minutes]]&gt;tbl_analysis_tickets[[#This Row],[First Response SLA Minutes]],"Breached","Within SLA")</f>
        <v>Within SLA</v>
      </c>
      <c r="O958" t="str" cm="1">
        <f t="array" ref="O958">_xlfn.IFS(
tbl_analysis_tickets[[#This Row],[agent_experience_years]]&lt;=2,"Junior",
tbl_analysis_tickets[[#This Row],[agent_experience_years]]&lt;=5,"Mid-Level",
tbl_analysis_tickets[[#This Row],[agent_experience_years]]&lt;=8,"Senior",
tbl_analysis_tickets[[#This Row],[agent_experience_years]]&gt;8,"Expert"
)</f>
        <v>Senior</v>
      </c>
      <c r="P958" cm="1">
        <f t="array" ref="P958">_xlfn.SWITCH(tbl_analysis_tickets[[#This Row],[customer_satisfaction]],
"Low",1,
"Medium",2,
"High",3
)</f>
        <v>1</v>
      </c>
      <c r="Q958">
        <f>IF(tbl_analysis_tickets[[#This Row],[reopened]]="Yes",1,0)</f>
        <v>1</v>
      </c>
      <c r="R958" t="str" cm="1">
        <f t="array" ref="R958">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958" t="str" cm="1">
        <f t="array" ref="S95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958" t="str">
        <f>TEXT(tbl_analysis_tickets[[#This Row],[created_date]],"mmm-yyyy")</f>
        <v>May-2024</v>
      </c>
      <c r="U958" t="str">
        <f>TEXT(tbl_analysis_tickets[[#This Row],[created_date]],"dddd")</f>
        <v>Wednesday</v>
      </c>
      <c r="V958" cm="1">
        <f t="array" ref="V958">_xlfn.SWITCH(tbl_analysis_tickets[[#This Row],[priority]],
"Urgent",1,
"High",2,
"Medium",3,
"Low",4
)</f>
        <v>4</v>
      </c>
    </row>
    <row r="959" spans="1:22" x14ac:dyDescent="0.25">
      <c r="A959">
        <v>958</v>
      </c>
      <c r="B959" s="1">
        <v>45506</v>
      </c>
      <c r="C959" t="s">
        <v>22</v>
      </c>
      <c r="D959" t="s">
        <v>17</v>
      </c>
      <c r="E959">
        <v>22</v>
      </c>
      <c r="F959">
        <v>59</v>
      </c>
      <c r="G959">
        <v>7.5</v>
      </c>
      <c r="H959" t="s">
        <v>18</v>
      </c>
      <c r="I959" t="s">
        <v>13</v>
      </c>
      <c r="J959" t="s">
        <v>15</v>
      </c>
      <c r="K959">
        <f>_xlfn.XLOOKUP(tbl_analysis_tickets[[#This Row],[priority]],tbl_sla[priority],tbl_sla[Resolution SLA Hours])</f>
        <v>8</v>
      </c>
      <c r="L959">
        <f>_xlfn.XLOOKUP(tbl_analysis_tickets[[#This Row],[priority]],tbl_sla[priority],tbl_sla[First Response SLA Minutes])</f>
        <v>30</v>
      </c>
      <c r="M959" t="str">
        <f>IF(tbl_analysis_tickets[[#This Row],[resolution_time_hours]]&gt;tbl_analysis_tickets[[#This Row],[Resolution SLA Hours]],"Breached","Within SLA")</f>
        <v>Breached</v>
      </c>
      <c r="N959" t="str">
        <f>IF(tbl_analysis_tickets[[#This Row],[first_response_minutes]]&gt;tbl_analysis_tickets[[#This Row],[First Response SLA Minutes]],"Breached","Within SLA")</f>
        <v>Within SLA</v>
      </c>
      <c r="O959" t="str" cm="1">
        <f t="array" ref="O959">_xlfn.IFS(
tbl_analysis_tickets[[#This Row],[agent_experience_years]]&lt;=2,"Junior",
tbl_analysis_tickets[[#This Row],[agent_experience_years]]&lt;=5,"Mid-Level",
tbl_analysis_tickets[[#This Row],[agent_experience_years]]&lt;=8,"Senior",
tbl_analysis_tickets[[#This Row],[agent_experience_years]]&gt;8,"Expert"
)</f>
        <v>Senior</v>
      </c>
      <c r="P959" cm="1">
        <f t="array" ref="P959">_xlfn.SWITCH(tbl_analysis_tickets[[#This Row],[customer_satisfaction]],
"Low",1,
"Medium",2,
"High",3
)</f>
        <v>2</v>
      </c>
      <c r="Q959">
        <f>IF(tbl_analysis_tickets[[#This Row],[reopened]]="Yes",1,0)</f>
        <v>0</v>
      </c>
      <c r="R959" t="str" cm="1">
        <f t="array" ref="R959">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959" t="str" cm="1">
        <f t="array" ref="S95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959" t="str">
        <f>TEXT(tbl_analysis_tickets[[#This Row],[created_date]],"mmm-yyyy")</f>
        <v>Aug-2024</v>
      </c>
      <c r="U959" t="str">
        <f>TEXT(tbl_analysis_tickets[[#This Row],[created_date]],"dddd")</f>
        <v>Friday</v>
      </c>
      <c r="V959" cm="1">
        <f t="array" ref="V959">_xlfn.SWITCH(tbl_analysis_tickets[[#This Row],[priority]],
"Urgent",1,
"High",2,
"Medium",3,
"Low",4
)</f>
        <v>1</v>
      </c>
    </row>
    <row r="960" spans="1:22" x14ac:dyDescent="0.25">
      <c r="A960">
        <v>959</v>
      </c>
      <c r="B960" s="1">
        <v>45369</v>
      </c>
      <c r="C960" t="s">
        <v>14</v>
      </c>
      <c r="D960" t="s">
        <v>11</v>
      </c>
      <c r="E960">
        <v>22</v>
      </c>
      <c r="F960">
        <v>50</v>
      </c>
      <c r="G960">
        <v>10</v>
      </c>
      <c r="H960" t="s">
        <v>12</v>
      </c>
      <c r="I960" t="s">
        <v>16</v>
      </c>
      <c r="J960" t="s">
        <v>15</v>
      </c>
      <c r="K960">
        <f>_xlfn.XLOOKUP(tbl_analysis_tickets[[#This Row],[priority]],tbl_sla[priority],tbl_sla[Resolution SLA Hours])</f>
        <v>72</v>
      </c>
      <c r="L960">
        <f>_xlfn.XLOOKUP(tbl_analysis_tickets[[#This Row],[priority]],tbl_sla[priority],tbl_sla[First Response SLA Minutes])</f>
        <v>240</v>
      </c>
      <c r="M960" t="str">
        <f>IF(tbl_analysis_tickets[[#This Row],[resolution_time_hours]]&gt;tbl_analysis_tickets[[#This Row],[Resolution SLA Hours]],"Breached","Within SLA")</f>
        <v>Within SLA</v>
      </c>
      <c r="N960" t="str">
        <f>IF(tbl_analysis_tickets[[#This Row],[first_response_minutes]]&gt;tbl_analysis_tickets[[#This Row],[First Response SLA Minutes]],"Breached","Within SLA")</f>
        <v>Within SLA</v>
      </c>
      <c r="O960" t="str" cm="1">
        <f t="array" ref="O960">_xlfn.IFS(
tbl_analysis_tickets[[#This Row],[agent_experience_years]]&lt;=2,"Junior",
tbl_analysis_tickets[[#This Row],[agent_experience_years]]&lt;=5,"Mid-Level",
tbl_analysis_tickets[[#This Row],[agent_experience_years]]&lt;=8,"Senior",
tbl_analysis_tickets[[#This Row],[agent_experience_years]]&gt;8,"Expert"
)</f>
        <v>Expert</v>
      </c>
      <c r="P960" cm="1">
        <f t="array" ref="P960">_xlfn.SWITCH(tbl_analysis_tickets[[#This Row],[customer_satisfaction]],
"Low",1,
"Medium",2,
"High",3
)</f>
        <v>2</v>
      </c>
      <c r="Q960">
        <f>IF(tbl_analysis_tickets[[#This Row],[reopened]]="Yes",1,0)</f>
        <v>1</v>
      </c>
      <c r="R960" t="str" cm="1">
        <f t="array" ref="R960">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960" t="str" cm="1">
        <f t="array" ref="S96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960" t="str">
        <f>TEXT(tbl_analysis_tickets[[#This Row],[created_date]],"mmm-yyyy")</f>
        <v>Mar-2024</v>
      </c>
      <c r="U960" t="str">
        <f>TEXT(tbl_analysis_tickets[[#This Row],[created_date]],"dddd")</f>
        <v>Monday</v>
      </c>
      <c r="V960" cm="1">
        <f t="array" ref="V960">_xlfn.SWITCH(tbl_analysis_tickets[[#This Row],[priority]],
"Urgent",1,
"High",2,
"Medium",3,
"Low",4
)</f>
        <v>4</v>
      </c>
    </row>
    <row r="961" spans="1:22" x14ac:dyDescent="0.25">
      <c r="A961">
        <v>960</v>
      </c>
      <c r="B961" s="1">
        <v>45514</v>
      </c>
      <c r="C961" t="s">
        <v>14</v>
      </c>
      <c r="D961" t="s">
        <v>11</v>
      </c>
      <c r="E961">
        <v>110</v>
      </c>
      <c r="F961">
        <v>51</v>
      </c>
      <c r="G961">
        <v>4.0999999999999996</v>
      </c>
      <c r="H961" t="s">
        <v>12</v>
      </c>
      <c r="I961" t="s">
        <v>19</v>
      </c>
      <c r="J961" t="s">
        <v>11</v>
      </c>
      <c r="K961">
        <f>_xlfn.XLOOKUP(tbl_analysis_tickets[[#This Row],[priority]],tbl_sla[priority],tbl_sla[Resolution SLA Hours])</f>
        <v>72</v>
      </c>
      <c r="L961">
        <f>_xlfn.XLOOKUP(tbl_analysis_tickets[[#This Row],[priority]],tbl_sla[priority],tbl_sla[First Response SLA Minutes])</f>
        <v>240</v>
      </c>
      <c r="M961" t="str">
        <f>IF(tbl_analysis_tickets[[#This Row],[resolution_time_hours]]&gt;tbl_analysis_tickets[[#This Row],[Resolution SLA Hours]],"Breached","Within SLA")</f>
        <v>Within SLA</v>
      </c>
      <c r="N961" t="str">
        <f>IF(tbl_analysis_tickets[[#This Row],[first_response_minutes]]&gt;tbl_analysis_tickets[[#This Row],[First Response SLA Minutes]],"Breached","Within SLA")</f>
        <v>Within SLA</v>
      </c>
      <c r="O961" t="str" cm="1">
        <f t="array" ref="O961">_xlfn.IFS(
tbl_analysis_tickets[[#This Row],[agent_experience_years]]&lt;=2,"Junior",
tbl_analysis_tickets[[#This Row],[agent_experience_years]]&lt;=5,"Mid-Level",
tbl_analysis_tickets[[#This Row],[agent_experience_years]]&lt;=8,"Senior",
tbl_analysis_tickets[[#This Row],[agent_experience_years]]&gt;8,"Expert"
)</f>
        <v>Mid-Level</v>
      </c>
      <c r="P961" cm="1">
        <f t="array" ref="P961">_xlfn.SWITCH(tbl_analysis_tickets[[#This Row],[customer_satisfaction]],
"Low",1,
"Medium",2,
"High",3
)</f>
        <v>1</v>
      </c>
      <c r="Q961">
        <f>IF(tbl_analysis_tickets[[#This Row],[reopened]]="Yes",1,0)</f>
        <v>1</v>
      </c>
      <c r="R961" t="str" cm="1">
        <f t="array" ref="R961">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961" t="str" cm="1">
        <f t="array" ref="S96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961" t="str">
        <f>TEXT(tbl_analysis_tickets[[#This Row],[created_date]],"mmm-yyyy")</f>
        <v>Aug-2024</v>
      </c>
      <c r="U961" t="str">
        <f>TEXT(tbl_analysis_tickets[[#This Row],[created_date]],"dddd")</f>
        <v>Saturday</v>
      </c>
      <c r="V961" cm="1">
        <f t="array" ref="V961">_xlfn.SWITCH(tbl_analysis_tickets[[#This Row],[priority]],
"Urgent",1,
"High",2,
"Medium",3,
"Low",4
)</f>
        <v>4</v>
      </c>
    </row>
    <row r="962" spans="1:22" x14ac:dyDescent="0.25">
      <c r="A962">
        <v>961</v>
      </c>
      <c r="B962" s="1">
        <v>45389</v>
      </c>
      <c r="C962" t="s">
        <v>14</v>
      </c>
      <c r="D962" t="s">
        <v>17</v>
      </c>
      <c r="E962">
        <v>85</v>
      </c>
      <c r="F962">
        <v>59</v>
      </c>
      <c r="G962">
        <v>5.7</v>
      </c>
      <c r="H962" t="s">
        <v>18</v>
      </c>
      <c r="I962" t="s">
        <v>19</v>
      </c>
      <c r="J962" t="s">
        <v>11</v>
      </c>
      <c r="K962">
        <f>_xlfn.XLOOKUP(tbl_analysis_tickets[[#This Row],[priority]],tbl_sla[priority],tbl_sla[Resolution SLA Hours])</f>
        <v>8</v>
      </c>
      <c r="L962">
        <f>_xlfn.XLOOKUP(tbl_analysis_tickets[[#This Row],[priority]],tbl_sla[priority],tbl_sla[First Response SLA Minutes])</f>
        <v>30</v>
      </c>
      <c r="M962" t="str">
        <f>IF(tbl_analysis_tickets[[#This Row],[resolution_time_hours]]&gt;tbl_analysis_tickets[[#This Row],[Resolution SLA Hours]],"Breached","Within SLA")</f>
        <v>Breached</v>
      </c>
      <c r="N962" t="str">
        <f>IF(tbl_analysis_tickets[[#This Row],[first_response_minutes]]&gt;tbl_analysis_tickets[[#This Row],[First Response SLA Minutes]],"Breached","Within SLA")</f>
        <v>Breached</v>
      </c>
      <c r="O962" t="str" cm="1">
        <f t="array" ref="O962">_xlfn.IFS(
tbl_analysis_tickets[[#This Row],[agent_experience_years]]&lt;=2,"Junior",
tbl_analysis_tickets[[#This Row],[agent_experience_years]]&lt;=5,"Mid-Level",
tbl_analysis_tickets[[#This Row],[agent_experience_years]]&lt;=8,"Senior",
tbl_analysis_tickets[[#This Row],[agent_experience_years]]&gt;8,"Expert"
)</f>
        <v>Senior</v>
      </c>
      <c r="P962" cm="1">
        <f t="array" ref="P962">_xlfn.SWITCH(tbl_analysis_tickets[[#This Row],[customer_satisfaction]],
"Low",1,
"Medium",2,
"High",3
)</f>
        <v>1</v>
      </c>
      <c r="Q962">
        <f>IF(tbl_analysis_tickets[[#This Row],[reopened]]="Yes",1,0)</f>
        <v>0</v>
      </c>
      <c r="R962" t="str" cm="1">
        <f t="array" ref="R962">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962" t="str" cm="1">
        <f t="array" ref="S96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962" t="str">
        <f>TEXT(tbl_analysis_tickets[[#This Row],[created_date]],"mmm-yyyy")</f>
        <v>Apr-2024</v>
      </c>
      <c r="U962" t="str">
        <f>TEXT(tbl_analysis_tickets[[#This Row],[created_date]],"dddd")</f>
        <v>Sunday</v>
      </c>
      <c r="V962" cm="1">
        <f t="array" ref="V962">_xlfn.SWITCH(tbl_analysis_tickets[[#This Row],[priority]],
"Urgent",1,
"High",2,
"Medium",3,
"Low",4
)</f>
        <v>1</v>
      </c>
    </row>
    <row r="963" spans="1:22" x14ac:dyDescent="0.25">
      <c r="A963">
        <v>962</v>
      </c>
      <c r="B963" s="1">
        <v>45531</v>
      </c>
      <c r="C963" t="s">
        <v>23</v>
      </c>
      <c r="D963" t="s">
        <v>11</v>
      </c>
      <c r="E963">
        <v>217</v>
      </c>
      <c r="F963">
        <v>67</v>
      </c>
      <c r="G963">
        <v>5.5</v>
      </c>
      <c r="H963" t="s">
        <v>12</v>
      </c>
      <c r="I963" t="s">
        <v>13</v>
      </c>
      <c r="J963" t="s">
        <v>11</v>
      </c>
      <c r="K963">
        <f>_xlfn.XLOOKUP(tbl_analysis_tickets[[#This Row],[priority]],tbl_sla[priority],tbl_sla[Resolution SLA Hours])</f>
        <v>72</v>
      </c>
      <c r="L963">
        <f>_xlfn.XLOOKUP(tbl_analysis_tickets[[#This Row],[priority]],tbl_sla[priority],tbl_sla[First Response SLA Minutes])</f>
        <v>240</v>
      </c>
      <c r="M963" t="str">
        <f>IF(tbl_analysis_tickets[[#This Row],[resolution_time_hours]]&gt;tbl_analysis_tickets[[#This Row],[Resolution SLA Hours]],"Breached","Within SLA")</f>
        <v>Within SLA</v>
      </c>
      <c r="N963" t="str">
        <f>IF(tbl_analysis_tickets[[#This Row],[first_response_minutes]]&gt;tbl_analysis_tickets[[#This Row],[First Response SLA Minutes]],"Breached","Within SLA")</f>
        <v>Within SLA</v>
      </c>
      <c r="O963" t="str" cm="1">
        <f t="array" ref="O963">_xlfn.IFS(
tbl_analysis_tickets[[#This Row],[agent_experience_years]]&lt;=2,"Junior",
tbl_analysis_tickets[[#This Row],[agent_experience_years]]&lt;=5,"Mid-Level",
tbl_analysis_tickets[[#This Row],[agent_experience_years]]&lt;=8,"Senior",
tbl_analysis_tickets[[#This Row],[agent_experience_years]]&gt;8,"Expert"
)</f>
        <v>Senior</v>
      </c>
      <c r="P963" cm="1">
        <f t="array" ref="P963">_xlfn.SWITCH(tbl_analysis_tickets[[#This Row],[customer_satisfaction]],
"Low",1,
"Medium",2,
"High",3
)</f>
        <v>1</v>
      </c>
      <c r="Q963">
        <f>IF(tbl_analysis_tickets[[#This Row],[reopened]]="Yes",1,0)</f>
        <v>1</v>
      </c>
      <c r="R963" t="str" cm="1">
        <f t="array" ref="R963">_xlfn.IFS(
tbl_analysis_tickets[[#This Row],[first_response_minutes]]&lt;=30,"Very Fast",
tbl_analysis_tickets[[#This Row],[first_response_minutes]]&lt;=120,"Acceptable",
tbl_analysis_tickets[[#This Row],[first_response_minutes]]&lt;=240,"Slow",
tbl_analysis_tickets[[#This Row],[first_response_minutes]]&gt;240,"Very Slow"
)</f>
        <v>Slow</v>
      </c>
      <c r="S963" t="str" cm="1">
        <f t="array" ref="S96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963" t="str">
        <f>TEXT(tbl_analysis_tickets[[#This Row],[created_date]],"mmm-yyyy")</f>
        <v>Aug-2024</v>
      </c>
      <c r="U963" t="str">
        <f>TEXT(tbl_analysis_tickets[[#This Row],[created_date]],"dddd")</f>
        <v>Tuesday</v>
      </c>
      <c r="V963" cm="1">
        <f t="array" ref="V963">_xlfn.SWITCH(tbl_analysis_tickets[[#This Row],[priority]],
"Urgent",1,
"High",2,
"Medium",3,
"Low",4
)</f>
        <v>4</v>
      </c>
    </row>
    <row r="964" spans="1:22" x14ac:dyDescent="0.25">
      <c r="A964">
        <v>963</v>
      </c>
      <c r="B964" s="1">
        <v>45453</v>
      </c>
      <c r="C964" t="s">
        <v>10</v>
      </c>
      <c r="D964" t="s">
        <v>11</v>
      </c>
      <c r="E964">
        <v>5</v>
      </c>
      <c r="F964">
        <v>26</v>
      </c>
      <c r="G964">
        <v>1.8</v>
      </c>
      <c r="H964" t="s">
        <v>12</v>
      </c>
      <c r="I964" t="s">
        <v>19</v>
      </c>
      <c r="J964" t="s">
        <v>15</v>
      </c>
      <c r="K964">
        <f>_xlfn.XLOOKUP(tbl_analysis_tickets[[#This Row],[priority]],tbl_sla[priority],tbl_sla[Resolution SLA Hours])</f>
        <v>72</v>
      </c>
      <c r="L964">
        <f>_xlfn.XLOOKUP(tbl_analysis_tickets[[#This Row],[priority]],tbl_sla[priority],tbl_sla[First Response SLA Minutes])</f>
        <v>240</v>
      </c>
      <c r="M964" t="str">
        <f>IF(tbl_analysis_tickets[[#This Row],[resolution_time_hours]]&gt;tbl_analysis_tickets[[#This Row],[Resolution SLA Hours]],"Breached","Within SLA")</f>
        <v>Within SLA</v>
      </c>
      <c r="N964" t="str">
        <f>IF(tbl_analysis_tickets[[#This Row],[first_response_minutes]]&gt;tbl_analysis_tickets[[#This Row],[First Response SLA Minutes]],"Breached","Within SLA")</f>
        <v>Within SLA</v>
      </c>
      <c r="O964" t="str" cm="1">
        <f t="array" ref="O964">_xlfn.IFS(
tbl_analysis_tickets[[#This Row],[agent_experience_years]]&lt;=2,"Junior",
tbl_analysis_tickets[[#This Row],[agent_experience_years]]&lt;=5,"Mid-Level",
tbl_analysis_tickets[[#This Row],[agent_experience_years]]&lt;=8,"Senior",
tbl_analysis_tickets[[#This Row],[agent_experience_years]]&gt;8,"Expert"
)</f>
        <v>Junior</v>
      </c>
      <c r="P964" cm="1">
        <f t="array" ref="P964">_xlfn.SWITCH(tbl_analysis_tickets[[#This Row],[customer_satisfaction]],
"Low",1,
"Medium",2,
"High",3
)</f>
        <v>2</v>
      </c>
      <c r="Q964">
        <f>IF(tbl_analysis_tickets[[#This Row],[reopened]]="Yes",1,0)</f>
        <v>1</v>
      </c>
      <c r="R964" t="str" cm="1">
        <f t="array" ref="R964">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964" t="str" cm="1">
        <f t="array" ref="S96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964" t="str">
        <f>TEXT(tbl_analysis_tickets[[#This Row],[created_date]],"mmm-yyyy")</f>
        <v>Jun-2024</v>
      </c>
      <c r="U964" t="str">
        <f>TEXT(tbl_analysis_tickets[[#This Row],[created_date]],"dddd")</f>
        <v>Monday</v>
      </c>
      <c r="V964" cm="1">
        <f t="array" ref="V964">_xlfn.SWITCH(tbl_analysis_tickets[[#This Row],[priority]],
"Urgent",1,
"High",2,
"Medium",3,
"Low",4
)</f>
        <v>4</v>
      </c>
    </row>
    <row r="965" spans="1:22" x14ac:dyDescent="0.25">
      <c r="A965">
        <v>964</v>
      </c>
      <c r="B965" s="1">
        <v>45374</v>
      </c>
      <c r="C965" t="s">
        <v>22</v>
      </c>
      <c r="D965" t="s">
        <v>11</v>
      </c>
      <c r="E965">
        <v>147</v>
      </c>
      <c r="F965">
        <v>32</v>
      </c>
      <c r="G965">
        <v>6.9</v>
      </c>
      <c r="H965" t="s">
        <v>18</v>
      </c>
      <c r="I965" t="s">
        <v>19</v>
      </c>
      <c r="J965" t="s">
        <v>15</v>
      </c>
      <c r="K965">
        <f>_xlfn.XLOOKUP(tbl_analysis_tickets[[#This Row],[priority]],tbl_sla[priority],tbl_sla[Resolution SLA Hours])</f>
        <v>72</v>
      </c>
      <c r="L965">
        <f>_xlfn.XLOOKUP(tbl_analysis_tickets[[#This Row],[priority]],tbl_sla[priority],tbl_sla[First Response SLA Minutes])</f>
        <v>240</v>
      </c>
      <c r="M965" t="str">
        <f>IF(tbl_analysis_tickets[[#This Row],[resolution_time_hours]]&gt;tbl_analysis_tickets[[#This Row],[Resolution SLA Hours]],"Breached","Within SLA")</f>
        <v>Within SLA</v>
      </c>
      <c r="N965" t="str">
        <f>IF(tbl_analysis_tickets[[#This Row],[first_response_minutes]]&gt;tbl_analysis_tickets[[#This Row],[First Response SLA Minutes]],"Breached","Within SLA")</f>
        <v>Within SLA</v>
      </c>
      <c r="O965" t="str" cm="1">
        <f t="array" ref="O965">_xlfn.IFS(
tbl_analysis_tickets[[#This Row],[agent_experience_years]]&lt;=2,"Junior",
tbl_analysis_tickets[[#This Row],[agent_experience_years]]&lt;=5,"Mid-Level",
tbl_analysis_tickets[[#This Row],[agent_experience_years]]&lt;=8,"Senior",
tbl_analysis_tickets[[#This Row],[agent_experience_years]]&gt;8,"Expert"
)</f>
        <v>Senior</v>
      </c>
      <c r="P965" cm="1">
        <f t="array" ref="P965">_xlfn.SWITCH(tbl_analysis_tickets[[#This Row],[customer_satisfaction]],
"Low",1,
"Medium",2,
"High",3
)</f>
        <v>2</v>
      </c>
      <c r="Q965">
        <f>IF(tbl_analysis_tickets[[#This Row],[reopened]]="Yes",1,0)</f>
        <v>0</v>
      </c>
      <c r="R965" t="str" cm="1">
        <f t="array" ref="R965">_xlfn.IFS(
tbl_analysis_tickets[[#This Row],[first_response_minutes]]&lt;=30,"Very Fast",
tbl_analysis_tickets[[#This Row],[first_response_minutes]]&lt;=120,"Acceptable",
tbl_analysis_tickets[[#This Row],[first_response_minutes]]&lt;=240,"Slow",
tbl_analysis_tickets[[#This Row],[first_response_minutes]]&gt;240,"Very Slow"
)</f>
        <v>Slow</v>
      </c>
      <c r="S965" t="str" cm="1">
        <f t="array" ref="S96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965" t="str">
        <f>TEXT(tbl_analysis_tickets[[#This Row],[created_date]],"mmm-yyyy")</f>
        <v>Mar-2024</v>
      </c>
      <c r="U965" t="str">
        <f>TEXT(tbl_analysis_tickets[[#This Row],[created_date]],"dddd")</f>
        <v>Saturday</v>
      </c>
      <c r="V965" cm="1">
        <f t="array" ref="V965">_xlfn.SWITCH(tbl_analysis_tickets[[#This Row],[priority]],
"Urgent",1,
"High",2,
"Medium",3,
"Low",4
)</f>
        <v>4</v>
      </c>
    </row>
    <row r="966" spans="1:22" x14ac:dyDescent="0.25">
      <c r="A966">
        <v>965</v>
      </c>
      <c r="B966" s="1">
        <v>45409</v>
      </c>
      <c r="C966" t="s">
        <v>10</v>
      </c>
      <c r="D966" t="s">
        <v>20</v>
      </c>
      <c r="E966">
        <v>170</v>
      </c>
      <c r="F966">
        <v>70</v>
      </c>
      <c r="G966">
        <v>6</v>
      </c>
      <c r="H966" t="s">
        <v>12</v>
      </c>
      <c r="I966" t="s">
        <v>13</v>
      </c>
      <c r="J966" t="s">
        <v>11</v>
      </c>
      <c r="K966">
        <f>_xlfn.XLOOKUP(tbl_analysis_tickets[[#This Row],[priority]],tbl_sla[priority],tbl_sla[Resolution SLA Hours])</f>
        <v>24</v>
      </c>
      <c r="L966">
        <f>_xlfn.XLOOKUP(tbl_analysis_tickets[[#This Row],[priority]],tbl_sla[priority],tbl_sla[First Response SLA Minutes])</f>
        <v>60</v>
      </c>
      <c r="M966" t="str">
        <f>IF(tbl_analysis_tickets[[#This Row],[resolution_time_hours]]&gt;tbl_analysis_tickets[[#This Row],[Resolution SLA Hours]],"Breached","Within SLA")</f>
        <v>Breached</v>
      </c>
      <c r="N966" t="str">
        <f>IF(tbl_analysis_tickets[[#This Row],[first_response_minutes]]&gt;tbl_analysis_tickets[[#This Row],[First Response SLA Minutes]],"Breached","Within SLA")</f>
        <v>Breached</v>
      </c>
      <c r="O966" t="str" cm="1">
        <f t="array" ref="O966">_xlfn.IFS(
tbl_analysis_tickets[[#This Row],[agent_experience_years]]&lt;=2,"Junior",
tbl_analysis_tickets[[#This Row],[agent_experience_years]]&lt;=5,"Mid-Level",
tbl_analysis_tickets[[#This Row],[agent_experience_years]]&lt;=8,"Senior",
tbl_analysis_tickets[[#This Row],[agent_experience_years]]&gt;8,"Expert"
)</f>
        <v>Senior</v>
      </c>
      <c r="P966" cm="1">
        <f t="array" ref="P966">_xlfn.SWITCH(tbl_analysis_tickets[[#This Row],[customer_satisfaction]],
"Low",1,
"Medium",2,
"High",3
)</f>
        <v>1</v>
      </c>
      <c r="Q966">
        <f>IF(tbl_analysis_tickets[[#This Row],[reopened]]="Yes",1,0)</f>
        <v>1</v>
      </c>
      <c r="R966" t="str" cm="1">
        <f t="array" ref="R966">_xlfn.IFS(
tbl_analysis_tickets[[#This Row],[first_response_minutes]]&lt;=30,"Very Fast",
tbl_analysis_tickets[[#This Row],[first_response_minutes]]&lt;=120,"Acceptable",
tbl_analysis_tickets[[#This Row],[first_response_minutes]]&lt;=240,"Slow",
tbl_analysis_tickets[[#This Row],[first_response_minutes]]&gt;240,"Very Slow"
)</f>
        <v>Slow</v>
      </c>
      <c r="S966" t="str" cm="1">
        <f t="array" ref="S96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966" t="str">
        <f>TEXT(tbl_analysis_tickets[[#This Row],[created_date]],"mmm-yyyy")</f>
        <v>Apr-2024</v>
      </c>
      <c r="U966" t="str">
        <f>TEXT(tbl_analysis_tickets[[#This Row],[created_date]],"dddd")</f>
        <v>Saturday</v>
      </c>
      <c r="V966" cm="1">
        <f t="array" ref="V966">_xlfn.SWITCH(tbl_analysis_tickets[[#This Row],[priority]],
"Urgent",1,
"High",2,
"Medium",3,
"Low",4
)</f>
        <v>2</v>
      </c>
    </row>
    <row r="967" spans="1:22" x14ac:dyDescent="0.25">
      <c r="A967">
        <v>966</v>
      </c>
      <c r="B967" s="1">
        <v>45303</v>
      </c>
      <c r="C967" t="s">
        <v>14</v>
      </c>
      <c r="D967" t="s">
        <v>20</v>
      </c>
      <c r="E967">
        <v>16</v>
      </c>
      <c r="F967">
        <v>7</v>
      </c>
      <c r="G967">
        <v>5.8</v>
      </c>
      <c r="H967" t="s">
        <v>12</v>
      </c>
      <c r="I967" t="s">
        <v>19</v>
      </c>
      <c r="J967" t="s">
        <v>15</v>
      </c>
      <c r="K967">
        <f>_xlfn.XLOOKUP(tbl_analysis_tickets[[#This Row],[priority]],tbl_sla[priority],tbl_sla[Resolution SLA Hours])</f>
        <v>24</v>
      </c>
      <c r="L967">
        <f>_xlfn.XLOOKUP(tbl_analysis_tickets[[#This Row],[priority]],tbl_sla[priority],tbl_sla[First Response SLA Minutes])</f>
        <v>60</v>
      </c>
      <c r="M967" t="str">
        <f>IF(tbl_analysis_tickets[[#This Row],[resolution_time_hours]]&gt;tbl_analysis_tickets[[#This Row],[Resolution SLA Hours]],"Breached","Within SLA")</f>
        <v>Within SLA</v>
      </c>
      <c r="N967" t="str">
        <f>IF(tbl_analysis_tickets[[#This Row],[first_response_minutes]]&gt;tbl_analysis_tickets[[#This Row],[First Response SLA Minutes]],"Breached","Within SLA")</f>
        <v>Within SLA</v>
      </c>
      <c r="O967" t="str" cm="1">
        <f t="array" ref="O967">_xlfn.IFS(
tbl_analysis_tickets[[#This Row],[agent_experience_years]]&lt;=2,"Junior",
tbl_analysis_tickets[[#This Row],[agent_experience_years]]&lt;=5,"Mid-Level",
tbl_analysis_tickets[[#This Row],[agent_experience_years]]&lt;=8,"Senior",
tbl_analysis_tickets[[#This Row],[agent_experience_years]]&gt;8,"Expert"
)</f>
        <v>Senior</v>
      </c>
      <c r="P967" cm="1">
        <f t="array" ref="P967">_xlfn.SWITCH(tbl_analysis_tickets[[#This Row],[customer_satisfaction]],
"Low",1,
"Medium",2,
"High",3
)</f>
        <v>2</v>
      </c>
      <c r="Q967">
        <f>IF(tbl_analysis_tickets[[#This Row],[reopened]]="Yes",1,0)</f>
        <v>1</v>
      </c>
      <c r="R967" t="str" cm="1">
        <f t="array" ref="R967">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967" t="str" cm="1">
        <f t="array" ref="S96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967" t="str">
        <f>TEXT(tbl_analysis_tickets[[#This Row],[created_date]],"mmm-yyyy")</f>
        <v>Jan-2024</v>
      </c>
      <c r="U967" t="str">
        <f>TEXT(tbl_analysis_tickets[[#This Row],[created_date]],"dddd")</f>
        <v>Friday</v>
      </c>
      <c r="V967" cm="1">
        <f t="array" ref="V967">_xlfn.SWITCH(tbl_analysis_tickets[[#This Row],[priority]],
"Urgent",1,
"High",2,
"Medium",3,
"Low",4
)</f>
        <v>2</v>
      </c>
    </row>
    <row r="968" spans="1:22" x14ac:dyDescent="0.25">
      <c r="A968">
        <v>967</v>
      </c>
      <c r="B968" s="1">
        <v>45552</v>
      </c>
      <c r="C968" t="s">
        <v>14</v>
      </c>
      <c r="D968" t="s">
        <v>15</v>
      </c>
      <c r="E968">
        <v>101</v>
      </c>
      <c r="F968">
        <v>29</v>
      </c>
      <c r="G968">
        <v>2.4</v>
      </c>
      <c r="H968" t="s">
        <v>12</v>
      </c>
      <c r="I968" t="s">
        <v>16</v>
      </c>
      <c r="J968" t="s">
        <v>11</v>
      </c>
      <c r="K968">
        <f>_xlfn.XLOOKUP(tbl_analysis_tickets[[#This Row],[priority]],tbl_sla[priority],tbl_sla[Resolution SLA Hours])</f>
        <v>48</v>
      </c>
      <c r="L968">
        <f>_xlfn.XLOOKUP(tbl_analysis_tickets[[#This Row],[priority]],tbl_sla[priority],tbl_sla[First Response SLA Minutes])</f>
        <v>120</v>
      </c>
      <c r="M968" t="str">
        <f>IF(tbl_analysis_tickets[[#This Row],[resolution_time_hours]]&gt;tbl_analysis_tickets[[#This Row],[Resolution SLA Hours]],"Breached","Within SLA")</f>
        <v>Within SLA</v>
      </c>
      <c r="N968" t="str">
        <f>IF(tbl_analysis_tickets[[#This Row],[first_response_minutes]]&gt;tbl_analysis_tickets[[#This Row],[First Response SLA Minutes]],"Breached","Within SLA")</f>
        <v>Within SLA</v>
      </c>
      <c r="O968" t="str" cm="1">
        <f t="array" ref="O968">_xlfn.IFS(
tbl_analysis_tickets[[#This Row],[agent_experience_years]]&lt;=2,"Junior",
tbl_analysis_tickets[[#This Row],[agent_experience_years]]&lt;=5,"Mid-Level",
tbl_analysis_tickets[[#This Row],[agent_experience_years]]&lt;=8,"Senior",
tbl_analysis_tickets[[#This Row],[agent_experience_years]]&gt;8,"Expert"
)</f>
        <v>Mid-Level</v>
      </c>
      <c r="P968" cm="1">
        <f t="array" ref="P968">_xlfn.SWITCH(tbl_analysis_tickets[[#This Row],[customer_satisfaction]],
"Low",1,
"Medium",2,
"High",3
)</f>
        <v>1</v>
      </c>
      <c r="Q968">
        <f>IF(tbl_analysis_tickets[[#This Row],[reopened]]="Yes",1,0)</f>
        <v>1</v>
      </c>
      <c r="R968" t="str" cm="1">
        <f t="array" ref="R968">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968" t="str" cm="1">
        <f t="array" ref="S96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968" t="str">
        <f>TEXT(tbl_analysis_tickets[[#This Row],[created_date]],"mmm-yyyy")</f>
        <v>Sep-2024</v>
      </c>
      <c r="U968" t="str">
        <f>TEXT(tbl_analysis_tickets[[#This Row],[created_date]],"dddd")</f>
        <v>Tuesday</v>
      </c>
      <c r="V968" cm="1">
        <f t="array" ref="V968">_xlfn.SWITCH(tbl_analysis_tickets[[#This Row],[priority]],
"Urgent",1,
"High",2,
"Medium",3,
"Low",4
)</f>
        <v>3</v>
      </c>
    </row>
    <row r="969" spans="1:22" x14ac:dyDescent="0.25">
      <c r="A969">
        <v>968</v>
      </c>
      <c r="B969" s="1">
        <v>45377</v>
      </c>
      <c r="C969" t="s">
        <v>22</v>
      </c>
      <c r="D969" t="s">
        <v>11</v>
      </c>
      <c r="E969">
        <v>62</v>
      </c>
      <c r="F969">
        <v>37</v>
      </c>
      <c r="G969">
        <v>6.6</v>
      </c>
      <c r="H969" t="s">
        <v>12</v>
      </c>
      <c r="I969" t="s">
        <v>19</v>
      </c>
      <c r="J969" t="s">
        <v>11</v>
      </c>
      <c r="K969">
        <f>_xlfn.XLOOKUP(tbl_analysis_tickets[[#This Row],[priority]],tbl_sla[priority],tbl_sla[Resolution SLA Hours])</f>
        <v>72</v>
      </c>
      <c r="L969">
        <f>_xlfn.XLOOKUP(tbl_analysis_tickets[[#This Row],[priority]],tbl_sla[priority],tbl_sla[First Response SLA Minutes])</f>
        <v>240</v>
      </c>
      <c r="M969" t="str">
        <f>IF(tbl_analysis_tickets[[#This Row],[resolution_time_hours]]&gt;tbl_analysis_tickets[[#This Row],[Resolution SLA Hours]],"Breached","Within SLA")</f>
        <v>Within SLA</v>
      </c>
      <c r="N969" t="str">
        <f>IF(tbl_analysis_tickets[[#This Row],[first_response_minutes]]&gt;tbl_analysis_tickets[[#This Row],[First Response SLA Minutes]],"Breached","Within SLA")</f>
        <v>Within SLA</v>
      </c>
      <c r="O969" t="str" cm="1">
        <f t="array" ref="O969">_xlfn.IFS(
tbl_analysis_tickets[[#This Row],[agent_experience_years]]&lt;=2,"Junior",
tbl_analysis_tickets[[#This Row],[agent_experience_years]]&lt;=5,"Mid-Level",
tbl_analysis_tickets[[#This Row],[agent_experience_years]]&lt;=8,"Senior",
tbl_analysis_tickets[[#This Row],[agent_experience_years]]&gt;8,"Expert"
)</f>
        <v>Senior</v>
      </c>
      <c r="P969" cm="1">
        <f t="array" ref="P969">_xlfn.SWITCH(tbl_analysis_tickets[[#This Row],[customer_satisfaction]],
"Low",1,
"Medium",2,
"High",3
)</f>
        <v>1</v>
      </c>
      <c r="Q969">
        <f>IF(tbl_analysis_tickets[[#This Row],[reopened]]="Yes",1,0)</f>
        <v>1</v>
      </c>
      <c r="R969" t="str" cm="1">
        <f t="array" ref="R969">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969" t="str" cm="1">
        <f t="array" ref="S96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969" t="str">
        <f>TEXT(tbl_analysis_tickets[[#This Row],[created_date]],"mmm-yyyy")</f>
        <v>Mar-2024</v>
      </c>
      <c r="U969" t="str">
        <f>TEXT(tbl_analysis_tickets[[#This Row],[created_date]],"dddd")</f>
        <v>Tuesday</v>
      </c>
      <c r="V969" cm="1">
        <f t="array" ref="V969">_xlfn.SWITCH(tbl_analysis_tickets[[#This Row],[priority]],
"Urgent",1,
"High",2,
"Medium",3,
"Low",4
)</f>
        <v>4</v>
      </c>
    </row>
    <row r="970" spans="1:22" x14ac:dyDescent="0.25">
      <c r="A970">
        <v>969</v>
      </c>
      <c r="B970" s="1">
        <v>45312</v>
      </c>
      <c r="C970" t="s">
        <v>14</v>
      </c>
      <c r="D970" t="s">
        <v>20</v>
      </c>
      <c r="E970">
        <v>82</v>
      </c>
      <c r="F970">
        <v>63</v>
      </c>
      <c r="G970">
        <v>7</v>
      </c>
      <c r="H970" t="s">
        <v>18</v>
      </c>
      <c r="I970" t="s">
        <v>19</v>
      </c>
      <c r="J970" t="s">
        <v>11</v>
      </c>
      <c r="K970">
        <f>_xlfn.XLOOKUP(tbl_analysis_tickets[[#This Row],[priority]],tbl_sla[priority],tbl_sla[Resolution SLA Hours])</f>
        <v>24</v>
      </c>
      <c r="L970">
        <f>_xlfn.XLOOKUP(tbl_analysis_tickets[[#This Row],[priority]],tbl_sla[priority],tbl_sla[First Response SLA Minutes])</f>
        <v>60</v>
      </c>
      <c r="M970" t="str">
        <f>IF(tbl_analysis_tickets[[#This Row],[resolution_time_hours]]&gt;tbl_analysis_tickets[[#This Row],[Resolution SLA Hours]],"Breached","Within SLA")</f>
        <v>Breached</v>
      </c>
      <c r="N970" t="str">
        <f>IF(tbl_analysis_tickets[[#This Row],[first_response_minutes]]&gt;tbl_analysis_tickets[[#This Row],[First Response SLA Minutes]],"Breached","Within SLA")</f>
        <v>Breached</v>
      </c>
      <c r="O970" t="str" cm="1">
        <f t="array" ref="O970">_xlfn.IFS(
tbl_analysis_tickets[[#This Row],[agent_experience_years]]&lt;=2,"Junior",
tbl_analysis_tickets[[#This Row],[agent_experience_years]]&lt;=5,"Mid-Level",
tbl_analysis_tickets[[#This Row],[agent_experience_years]]&lt;=8,"Senior",
tbl_analysis_tickets[[#This Row],[agent_experience_years]]&gt;8,"Expert"
)</f>
        <v>Senior</v>
      </c>
      <c r="P970" cm="1">
        <f t="array" ref="P970">_xlfn.SWITCH(tbl_analysis_tickets[[#This Row],[customer_satisfaction]],
"Low",1,
"Medium",2,
"High",3
)</f>
        <v>1</v>
      </c>
      <c r="Q970">
        <f>IF(tbl_analysis_tickets[[#This Row],[reopened]]="Yes",1,0)</f>
        <v>0</v>
      </c>
      <c r="R970" t="str" cm="1">
        <f t="array" ref="R970">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970" t="str" cm="1">
        <f t="array" ref="S97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970" t="str">
        <f>TEXT(tbl_analysis_tickets[[#This Row],[created_date]],"mmm-yyyy")</f>
        <v>Jan-2024</v>
      </c>
      <c r="U970" t="str">
        <f>TEXT(tbl_analysis_tickets[[#This Row],[created_date]],"dddd")</f>
        <v>Sunday</v>
      </c>
      <c r="V970" cm="1">
        <f t="array" ref="V970">_xlfn.SWITCH(tbl_analysis_tickets[[#This Row],[priority]],
"Urgent",1,
"High",2,
"Medium",3,
"Low",4
)</f>
        <v>2</v>
      </c>
    </row>
    <row r="971" spans="1:22" x14ac:dyDescent="0.25">
      <c r="A971">
        <v>970</v>
      </c>
      <c r="B971" s="1">
        <v>45346</v>
      </c>
      <c r="C971" t="s">
        <v>22</v>
      </c>
      <c r="D971" t="s">
        <v>11</v>
      </c>
      <c r="E971">
        <v>226</v>
      </c>
      <c r="F971">
        <v>47</v>
      </c>
      <c r="G971">
        <v>3.9</v>
      </c>
      <c r="H971" t="s">
        <v>12</v>
      </c>
      <c r="I971" t="s">
        <v>16</v>
      </c>
      <c r="J971" t="s">
        <v>11</v>
      </c>
      <c r="K971">
        <f>_xlfn.XLOOKUP(tbl_analysis_tickets[[#This Row],[priority]],tbl_sla[priority],tbl_sla[Resolution SLA Hours])</f>
        <v>72</v>
      </c>
      <c r="L971">
        <f>_xlfn.XLOOKUP(tbl_analysis_tickets[[#This Row],[priority]],tbl_sla[priority],tbl_sla[First Response SLA Minutes])</f>
        <v>240</v>
      </c>
      <c r="M971" t="str">
        <f>IF(tbl_analysis_tickets[[#This Row],[resolution_time_hours]]&gt;tbl_analysis_tickets[[#This Row],[Resolution SLA Hours]],"Breached","Within SLA")</f>
        <v>Within SLA</v>
      </c>
      <c r="N971" t="str">
        <f>IF(tbl_analysis_tickets[[#This Row],[first_response_minutes]]&gt;tbl_analysis_tickets[[#This Row],[First Response SLA Minutes]],"Breached","Within SLA")</f>
        <v>Within SLA</v>
      </c>
      <c r="O971" t="str" cm="1">
        <f t="array" ref="O971">_xlfn.IFS(
tbl_analysis_tickets[[#This Row],[agent_experience_years]]&lt;=2,"Junior",
tbl_analysis_tickets[[#This Row],[agent_experience_years]]&lt;=5,"Mid-Level",
tbl_analysis_tickets[[#This Row],[agent_experience_years]]&lt;=8,"Senior",
tbl_analysis_tickets[[#This Row],[agent_experience_years]]&gt;8,"Expert"
)</f>
        <v>Mid-Level</v>
      </c>
      <c r="P971" cm="1">
        <f t="array" ref="P971">_xlfn.SWITCH(tbl_analysis_tickets[[#This Row],[customer_satisfaction]],
"Low",1,
"Medium",2,
"High",3
)</f>
        <v>1</v>
      </c>
      <c r="Q971">
        <f>IF(tbl_analysis_tickets[[#This Row],[reopened]]="Yes",1,0)</f>
        <v>1</v>
      </c>
      <c r="R971" t="str" cm="1">
        <f t="array" ref="R971">_xlfn.IFS(
tbl_analysis_tickets[[#This Row],[first_response_minutes]]&lt;=30,"Very Fast",
tbl_analysis_tickets[[#This Row],[first_response_minutes]]&lt;=120,"Acceptable",
tbl_analysis_tickets[[#This Row],[first_response_minutes]]&lt;=240,"Slow",
tbl_analysis_tickets[[#This Row],[first_response_minutes]]&gt;240,"Very Slow"
)</f>
        <v>Slow</v>
      </c>
      <c r="S971" t="str" cm="1">
        <f t="array" ref="S97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971" t="str">
        <f>TEXT(tbl_analysis_tickets[[#This Row],[created_date]],"mmm-yyyy")</f>
        <v>Feb-2024</v>
      </c>
      <c r="U971" t="str">
        <f>TEXT(tbl_analysis_tickets[[#This Row],[created_date]],"dddd")</f>
        <v>Saturday</v>
      </c>
      <c r="V971" cm="1">
        <f t="array" ref="V971">_xlfn.SWITCH(tbl_analysis_tickets[[#This Row],[priority]],
"Urgent",1,
"High",2,
"Medium",3,
"Low",4
)</f>
        <v>4</v>
      </c>
    </row>
    <row r="972" spans="1:22" x14ac:dyDescent="0.25">
      <c r="A972">
        <v>971</v>
      </c>
      <c r="B972" s="1">
        <v>45349</v>
      </c>
      <c r="C972" t="s">
        <v>10</v>
      </c>
      <c r="D972" t="s">
        <v>17</v>
      </c>
      <c r="E972">
        <v>206</v>
      </c>
      <c r="F972">
        <v>44</v>
      </c>
      <c r="G972">
        <v>1</v>
      </c>
      <c r="H972" t="s">
        <v>12</v>
      </c>
      <c r="I972" t="s">
        <v>13</v>
      </c>
      <c r="J972" t="s">
        <v>11</v>
      </c>
      <c r="K972">
        <f>_xlfn.XLOOKUP(tbl_analysis_tickets[[#This Row],[priority]],tbl_sla[priority],tbl_sla[Resolution SLA Hours])</f>
        <v>8</v>
      </c>
      <c r="L972">
        <f>_xlfn.XLOOKUP(tbl_analysis_tickets[[#This Row],[priority]],tbl_sla[priority],tbl_sla[First Response SLA Minutes])</f>
        <v>30</v>
      </c>
      <c r="M972" t="str">
        <f>IF(tbl_analysis_tickets[[#This Row],[resolution_time_hours]]&gt;tbl_analysis_tickets[[#This Row],[Resolution SLA Hours]],"Breached","Within SLA")</f>
        <v>Breached</v>
      </c>
      <c r="N972" t="str">
        <f>IF(tbl_analysis_tickets[[#This Row],[first_response_minutes]]&gt;tbl_analysis_tickets[[#This Row],[First Response SLA Minutes]],"Breached","Within SLA")</f>
        <v>Breached</v>
      </c>
      <c r="O972" t="str" cm="1">
        <f t="array" ref="O972">_xlfn.IFS(
tbl_analysis_tickets[[#This Row],[agent_experience_years]]&lt;=2,"Junior",
tbl_analysis_tickets[[#This Row],[agent_experience_years]]&lt;=5,"Mid-Level",
tbl_analysis_tickets[[#This Row],[agent_experience_years]]&lt;=8,"Senior",
tbl_analysis_tickets[[#This Row],[agent_experience_years]]&gt;8,"Expert"
)</f>
        <v>Junior</v>
      </c>
      <c r="P972" cm="1">
        <f t="array" ref="P972">_xlfn.SWITCH(tbl_analysis_tickets[[#This Row],[customer_satisfaction]],
"Low",1,
"Medium",2,
"High",3
)</f>
        <v>1</v>
      </c>
      <c r="Q972">
        <f>IF(tbl_analysis_tickets[[#This Row],[reopened]]="Yes",1,0)</f>
        <v>1</v>
      </c>
      <c r="R972" t="str" cm="1">
        <f t="array" ref="R972">_xlfn.IFS(
tbl_analysis_tickets[[#This Row],[first_response_minutes]]&lt;=30,"Very Fast",
tbl_analysis_tickets[[#This Row],[first_response_minutes]]&lt;=120,"Acceptable",
tbl_analysis_tickets[[#This Row],[first_response_minutes]]&lt;=240,"Slow",
tbl_analysis_tickets[[#This Row],[first_response_minutes]]&gt;240,"Very Slow"
)</f>
        <v>Slow</v>
      </c>
      <c r="S972" t="str" cm="1">
        <f t="array" ref="S97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972" t="str">
        <f>TEXT(tbl_analysis_tickets[[#This Row],[created_date]],"mmm-yyyy")</f>
        <v>Feb-2024</v>
      </c>
      <c r="U972" t="str">
        <f>TEXT(tbl_analysis_tickets[[#This Row],[created_date]],"dddd")</f>
        <v>Tuesday</v>
      </c>
      <c r="V972" cm="1">
        <f t="array" ref="V972">_xlfn.SWITCH(tbl_analysis_tickets[[#This Row],[priority]],
"Urgent",1,
"High",2,
"Medium",3,
"Low",4
)</f>
        <v>1</v>
      </c>
    </row>
    <row r="973" spans="1:22" x14ac:dyDescent="0.25">
      <c r="A973">
        <v>972</v>
      </c>
      <c r="B973" s="1">
        <v>45403</v>
      </c>
      <c r="C973" t="s">
        <v>21</v>
      </c>
      <c r="D973" t="s">
        <v>15</v>
      </c>
      <c r="E973">
        <v>189</v>
      </c>
      <c r="F973">
        <v>4</v>
      </c>
      <c r="G973">
        <v>2.9</v>
      </c>
      <c r="H973" t="s">
        <v>12</v>
      </c>
      <c r="I973" t="s">
        <v>13</v>
      </c>
      <c r="J973" t="s">
        <v>15</v>
      </c>
      <c r="K973">
        <f>_xlfn.XLOOKUP(tbl_analysis_tickets[[#This Row],[priority]],tbl_sla[priority],tbl_sla[Resolution SLA Hours])</f>
        <v>48</v>
      </c>
      <c r="L973">
        <f>_xlfn.XLOOKUP(tbl_analysis_tickets[[#This Row],[priority]],tbl_sla[priority],tbl_sla[First Response SLA Minutes])</f>
        <v>120</v>
      </c>
      <c r="M973" t="str">
        <f>IF(tbl_analysis_tickets[[#This Row],[resolution_time_hours]]&gt;tbl_analysis_tickets[[#This Row],[Resolution SLA Hours]],"Breached","Within SLA")</f>
        <v>Within SLA</v>
      </c>
      <c r="N973" t="str">
        <f>IF(tbl_analysis_tickets[[#This Row],[first_response_minutes]]&gt;tbl_analysis_tickets[[#This Row],[First Response SLA Minutes]],"Breached","Within SLA")</f>
        <v>Breached</v>
      </c>
      <c r="O973" t="str" cm="1">
        <f t="array" ref="O973">_xlfn.IFS(
tbl_analysis_tickets[[#This Row],[agent_experience_years]]&lt;=2,"Junior",
tbl_analysis_tickets[[#This Row],[agent_experience_years]]&lt;=5,"Mid-Level",
tbl_analysis_tickets[[#This Row],[agent_experience_years]]&lt;=8,"Senior",
tbl_analysis_tickets[[#This Row],[agent_experience_years]]&gt;8,"Expert"
)</f>
        <v>Mid-Level</v>
      </c>
      <c r="P973" cm="1">
        <f t="array" ref="P973">_xlfn.SWITCH(tbl_analysis_tickets[[#This Row],[customer_satisfaction]],
"Low",1,
"Medium",2,
"High",3
)</f>
        <v>2</v>
      </c>
      <c r="Q973">
        <f>IF(tbl_analysis_tickets[[#This Row],[reopened]]="Yes",1,0)</f>
        <v>1</v>
      </c>
      <c r="R973" t="str" cm="1">
        <f t="array" ref="R973">_xlfn.IFS(
tbl_analysis_tickets[[#This Row],[first_response_minutes]]&lt;=30,"Very Fast",
tbl_analysis_tickets[[#This Row],[first_response_minutes]]&lt;=120,"Acceptable",
tbl_analysis_tickets[[#This Row],[first_response_minutes]]&lt;=240,"Slow",
tbl_analysis_tickets[[#This Row],[first_response_minutes]]&gt;240,"Very Slow"
)</f>
        <v>Slow</v>
      </c>
      <c r="S973" t="str" cm="1">
        <f t="array" ref="S97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973" t="str">
        <f>TEXT(tbl_analysis_tickets[[#This Row],[created_date]],"mmm-yyyy")</f>
        <v>Apr-2024</v>
      </c>
      <c r="U973" t="str">
        <f>TEXT(tbl_analysis_tickets[[#This Row],[created_date]],"dddd")</f>
        <v>Sunday</v>
      </c>
      <c r="V973" cm="1">
        <f t="array" ref="V973">_xlfn.SWITCH(tbl_analysis_tickets[[#This Row],[priority]],
"Urgent",1,
"High",2,
"Medium",3,
"Low",4
)</f>
        <v>3</v>
      </c>
    </row>
    <row r="974" spans="1:22" x14ac:dyDescent="0.25">
      <c r="A974">
        <v>973</v>
      </c>
      <c r="B974" s="1">
        <v>45459</v>
      </c>
      <c r="C974" t="s">
        <v>23</v>
      </c>
      <c r="D974" t="s">
        <v>17</v>
      </c>
      <c r="E974">
        <v>93</v>
      </c>
      <c r="F974">
        <v>46</v>
      </c>
      <c r="G974">
        <v>1.7</v>
      </c>
      <c r="H974" t="s">
        <v>12</v>
      </c>
      <c r="I974" t="s">
        <v>13</v>
      </c>
      <c r="J974" t="s">
        <v>11</v>
      </c>
      <c r="K974">
        <f>_xlfn.XLOOKUP(tbl_analysis_tickets[[#This Row],[priority]],tbl_sla[priority],tbl_sla[Resolution SLA Hours])</f>
        <v>8</v>
      </c>
      <c r="L974">
        <f>_xlfn.XLOOKUP(tbl_analysis_tickets[[#This Row],[priority]],tbl_sla[priority],tbl_sla[First Response SLA Minutes])</f>
        <v>30</v>
      </c>
      <c r="M974" t="str">
        <f>IF(tbl_analysis_tickets[[#This Row],[resolution_time_hours]]&gt;tbl_analysis_tickets[[#This Row],[Resolution SLA Hours]],"Breached","Within SLA")</f>
        <v>Breached</v>
      </c>
      <c r="N974" t="str">
        <f>IF(tbl_analysis_tickets[[#This Row],[first_response_minutes]]&gt;tbl_analysis_tickets[[#This Row],[First Response SLA Minutes]],"Breached","Within SLA")</f>
        <v>Breached</v>
      </c>
      <c r="O974" t="str" cm="1">
        <f t="array" ref="O974">_xlfn.IFS(
tbl_analysis_tickets[[#This Row],[agent_experience_years]]&lt;=2,"Junior",
tbl_analysis_tickets[[#This Row],[agent_experience_years]]&lt;=5,"Mid-Level",
tbl_analysis_tickets[[#This Row],[agent_experience_years]]&lt;=8,"Senior",
tbl_analysis_tickets[[#This Row],[agent_experience_years]]&gt;8,"Expert"
)</f>
        <v>Junior</v>
      </c>
      <c r="P974" cm="1">
        <f t="array" ref="P974">_xlfn.SWITCH(tbl_analysis_tickets[[#This Row],[customer_satisfaction]],
"Low",1,
"Medium",2,
"High",3
)</f>
        <v>1</v>
      </c>
      <c r="Q974">
        <f>IF(tbl_analysis_tickets[[#This Row],[reopened]]="Yes",1,0)</f>
        <v>1</v>
      </c>
      <c r="R974" t="str" cm="1">
        <f t="array" ref="R974">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974" t="str" cm="1">
        <f t="array" ref="S97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974" t="str">
        <f>TEXT(tbl_analysis_tickets[[#This Row],[created_date]],"mmm-yyyy")</f>
        <v>Jun-2024</v>
      </c>
      <c r="U974" t="str">
        <f>TEXT(tbl_analysis_tickets[[#This Row],[created_date]],"dddd")</f>
        <v>Sunday</v>
      </c>
      <c r="V974" cm="1">
        <f t="array" ref="V974">_xlfn.SWITCH(tbl_analysis_tickets[[#This Row],[priority]],
"Urgent",1,
"High",2,
"Medium",3,
"Low",4
)</f>
        <v>1</v>
      </c>
    </row>
    <row r="975" spans="1:22" x14ac:dyDescent="0.25">
      <c r="A975">
        <v>974</v>
      </c>
      <c r="B975" s="1">
        <v>45570</v>
      </c>
      <c r="C975" t="s">
        <v>23</v>
      </c>
      <c r="D975" t="s">
        <v>17</v>
      </c>
      <c r="E975">
        <v>26</v>
      </c>
      <c r="F975">
        <v>9</v>
      </c>
      <c r="G975">
        <v>2.7</v>
      </c>
      <c r="H975" t="s">
        <v>12</v>
      </c>
      <c r="I975" t="s">
        <v>16</v>
      </c>
      <c r="J975" t="s">
        <v>11</v>
      </c>
      <c r="K975">
        <f>_xlfn.XLOOKUP(tbl_analysis_tickets[[#This Row],[priority]],tbl_sla[priority],tbl_sla[Resolution SLA Hours])</f>
        <v>8</v>
      </c>
      <c r="L975">
        <f>_xlfn.XLOOKUP(tbl_analysis_tickets[[#This Row],[priority]],tbl_sla[priority],tbl_sla[First Response SLA Minutes])</f>
        <v>30</v>
      </c>
      <c r="M975" t="str">
        <f>IF(tbl_analysis_tickets[[#This Row],[resolution_time_hours]]&gt;tbl_analysis_tickets[[#This Row],[Resolution SLA Hours]],"Breached","Within SLA")</f>
        <v>Breached</v>
      </c>
      <c r="N975" t="str">
        <f>IF(tbl_analysis_tickets[[#This Row],[first_response_minutes]]&gt;tbl_analysis_tickets[[#This Row],[First Response SLA Minutes]],"Breached","Within SLA")</f>
        <v>Within SLA</v>
      </c>
      <c r="O975" t="str" cm="1">
        <f t="array" ref="O975">_xlfn.IFS(
tbl_analysis_tickets[[#This Row],[agent_experience_years]]&lt;=2,"Junior",
tbl_analysis_tickets[[#This Row],[agent_experience_years]]&lt;=5,"Mid-Level",
tbl_analysis_tickets[[#This Row],[agent_experience_years]]&lt;=8,"Senior",
tbl_analysis_tickets[[#This Row],[agent_experience_years]]&gt;8,"Expert"
)</f>
        <v>Mid-Level</v>
      </c>
      <c r="P975" cm="1">
        <f t="array" ref="P975">_xlfn.SWITCH(tbl_analysis_tickets[[#This Row],[customer_satisfaction]],
"Low",1,
"Medium",2,
"High",3
)</f>
        <v>1</v>
      </c>
      <c r="Q975">
        <f>IF(tbl_analysis_tickets[[#This Row],[reopened]]="Yes",1,0)</f>
        <v>1</v>
      </c>
      <c r="R975" t="str" cm="1">
        <f t="array" ref="R975">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975" t="str" cm="1">
        <f t="array" ref="S97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975" t="str">
        <f>TEXT(tbl_analysis_tickets[[#This Row],[created_date]],"mmm-yyyy")</f>
        <v>Oct-2024</v>
      </c>
      <c r="U975" t="str">
        <f>TEXT(tbl_analysis_tickets[[#This Row],[created_date]],"dddd")</f>
        <v>Saturday</v>
      </c>
      <c r="V975" cm="1">
        <f t="array" ref="V975">_xlfn.SWITCH(tbl_analysis_tickets[[#This Row],[priority]],
"Urgent",1,
"High",2,
"Medium",3,
"Low",4
)</f>
        <v>1</v>
      </c>
    </row>
    <row r="976" spans="1:22" x14ac:dyDescent="0.25">
      <c r="A976">
        <v>975</v>
      </c>
      <c r="B976" s="1">
        <v>45521</v>
      </c>
      <c r="C976" t="s">
        <v>14</v>
      </c>
      <c r="D976" t="s">
        <v>20</v>
      </c>
      <c r="E976">
        <v>142</v>
      </c>
      <c r="F976">
        <v>15</v>
      </c>
      <c r="G976">
        <v>3.3</v>
      </c>
      <c r="H976" t="s">
        <v>12</v>
      </c>
      <c r="I976" t="s">
        <v>13</v>
      </c>
      <c r="J976" t="s">
        <v>11</v>
      </c>
      <c r="K976">
        <f>_xlfn.XLOOKUP(tbl_analysis_tickets[[#This Row],[priority]],tbl_sla[priority],tbl_sla[Resolution SLA Hours])</f>
        <v>24</v>
      </c>
      <c r="L976">
        <f>_xlfn.XLOOKUP(tbl_analysis_tickets[[#This Row],[priority]],tbl_sla[priority],tbl_sla[First Response SLA Minutes])</f>
        <v>60</v>
      </c>
      <c r="M976" t="str">
        <f>IF(tbl_analysis_tickets[[#This Row],[resolution_time_hours]]&gt;tbl_analysis_tickets[[#This Row],[Resolution SLA Hours]],"Breached","Within SLA")</f>
        <v>Within SLA</v>
      </c>
      <c r="N976" t="str">
        <f>IF(tbl_analysis_tickets[[#This Row],[first_response_minutes]]&gt;tbl_analysis_tickets[[#This Row],[First Response SLA Minutes]],"Breached","Within SLA")</f>
        <v>Breached</v>
      </c>
      <c r="O976" t="str" cm="1">
        <f t="array" ref="O976">_xlfn.IFS(
tbl_analysis_tickets[[#This Row],[agent_experience_years]]&lt;=2,"Junior",
tbl_analysis_tickets[[#This Row],[agent_experience_years]]&lt;=5,"Mid-Level",
tbl_analysis_tickets[[#This Row],[agent_experience_years]]&lt;=8,"Senior",
tbl_analysis_tickets[[#This Row],[agent_experience_years]]&gt;8,"Expert"
)</f>
        <v>Mid-Level</v>
      </c>
      <c r="P976" cm="1">
        <f t="array" ref="P976">_xlfn.SWITCH(tbl_analysis_tickets[[#This Row],[customer_satisfaction]],
"Low",1,
"Medium",2,
"High",3
)</f>
        <v>1</v>
      </c>
      <c r="Q976">
        <f>IF(tbl_analysis_tickets[[#This Row],[reopened]]="Yes",1,0)</f>
        <v>1</v>
      </c>
      <c r="R976" t="str" cm="1">
        <f t="array" ref="R976">_xlfn.IFS(
tbl_analysis_tickets[[#This Row],[first_response_minutes]]&lt;=30,"Very Fast",
tbl_analysis_tickets[[#This Row],[first_response_minutes]]&lt;=120,"Acceptable",
tbl_analysis_tickets[[#This Row],[first_response_minutes]]&lt;=240,"Slow",
tbl_analysis_tickets[[#This Row],[first_response_minutes]]&gt;240,"Very Slow"
)</f>
        <v>Slow</v>
      </c>
      <c r="S976" t="str" cm="1">
        <f t="array" ref="S97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976" t="str">
        <f>TEXT(tbl_analysis_tickets[[#This Row],[created_date]],"mmm-yyyy")</f>
        <v>Aug-2024</v>
      </c>
      <c r="U976" t="str">
        <f>TEXT(tbl_analysis_tickets[[#This Row],[created_date]],"dddd")</f>
        <v>Saturday</v>
      </c>
      <c r="V976" cm="1">
        <f t="array" ref="V976">_xlfn.SWITCH(tbl_analysis_tickets[[#This Row],[priority]],
"Urgent",1,
"High",2,
"Medium",3,
"Low",4
)</f>
        <v>2</v>
      </c>
    </row>
    <row r="977" spans="1:22" x14ac:dyDescent="0.25">
      <c r="A977">
        <v>976</v>
      </c>
      <c r="B977" s="1">
        <v>45392</v>
      </c>
      <c r="C977" t="s">
        <v>23</v>
      </c>
      <c r="D977" t="s">
        <v>15</v>
      </c>
      <c r="E977">
        <v>147</v>
      </c>
      <c r="F977">
        <v>41</v>
      </c>
      <c r="G977">
        <v>5.3</v>
      </c>
      <c r="H977" t="s">
        <v>12</v>
      </c>
      <c r="I977" t="s">
        <v>19</v>
      </c>
      <c r="J977" t="s">
        <v>11</v>
      </c>
      <c r="K977">
        <f>_xlfn.XLOOKUP(tbl_analysis_tickets[[#This Row],[priority]],tbl_sla[priority],tbl_sla[Resolution SLA Hours])</f>
        <v>48</v>
      </c>
      <c r="L977">
        <f>_xlfn.XLOOKUP(tbl_analysis_tickets[[#This Row],[priority]],tbl_sla[priority],tbl_sla[First Response SLA Minutes])</f>
        <v>120</v>
      </c>
      <c r="M977" t="str">
        <f>IF(tbl_analysis_tickets[[#This Row],[resolution_time_hours]]&gt;tbl_analysis_tickets[[#This Row],[Resolution SLA Hours]],"Breached","Within SLA")</f>
        <v>Within SLA</v>
      </c>
      <c r="N977" t="str">
        <f>IF(tbl_analysis_tickets[[#This Row],[first_response_minutes]]&gt;tbl_analysis_tickets[[#This Row],[First Response SLA Minutes]],"Breached","Within SLA")</f>
        <v>Breached</v>
      </c>
      <c r="O977" t="str" cm="1">
        <f t="array" ref="O977">_xlfn.IFS(
tbl_analysis_tickets[[#This Row],[agent_experience_years]]&lt;=2,"Junior",
tbl_analysis_tickets[[#This Row],[agent_experience_years]]&lt;=5,"Mid-Level",
tbl_analysis_tickets[[#This Row],[agent_experience_years]]&lt;=8,"Senior",
tbl_analysis_tickets[[#This Row],[agent_experience_years]]&gt;8,"Expert"
)</f>
        <v>Senior</v>
      </c>
      <c r="P977" cm="1">
        <f t="array" ref="P977">_xlfn.SWITCH(tbl_analysis_tickets[[#This Row],[customer_satisfaction]],
"Low",1,
"Medium",2,
"High",3
)</f>
        <v>1</v>
      </c>
      <c r="Q977">
        <f>IF(tbl_analysis_tickets[[#This Row],[reopened]]="Yes",1,0)</f>
        <v>1</v>
      </c>
      <c r="R977" t="str" cm="1">
        <f t="array" ref="R977">_xlfn.IFS(
tbl_analysis_tickets[[#This Row],[first_response_minutes]]&lt;=30,"Very Fast",
tbl_analysis_tickets[[#This Row],[first_response_minutes]]&lt;=120,"Acceptable",
tbl_analysis_tickets[[#This Row],[first_response_minutes]]&lt;=240,"Slow",
tbl_analysis_tickets[[#This Row],[first_response_minutes]]&gt;240,"Very Slow"
)</f>
        <v>Slow</v>
      </c>
      <c r="S977" t="str" cm="1">
        <f t="array" ref="S97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977" t="str">
        <f>TEXT(tbl_analysis_tickets[[#This Row],[created_date]],"mmm-yyyy")</f>
        <v>Apr-2024</v>
      </c>
      <c r="U977" t="str">
        <f>TEXT(tbl_analysis_tickets[[#This Row],[created_date]],"dddd")</f>
        <v>Wednesday</v>
      </c>
      <c r="V977" cm="1">
        <f t="array" ref="V977">_xlfn.SWITCH(tbl_analysis_tickets[[#This Row],[priority]],
"Urgent",1,
"High",2,
"Medium",3,
"Low",4
)</f>
        <v>3</v>
      </c>
    </row>
    <row r="978" spans="1:22" x14ac:dyDescent="0.25">
      <c r="A978">
        <v>977</v>
      </c>
      <c r="B978" s="1">
        <v>45298</v>
      </c>
      <c r="C978" t="s">
        <v>22</v>
      </c>
      <c r="D978" t="s">
        <v>17</v>
      </c>
      <c r="E978">
        <v>230</v>
      </c>
      <c r="F978">
        <v>31</v>
      </c>
      <c r="G978">
        <v>9</v>
      </c>
      <c r="H978" t="s">
        <v>12</v>
      </c>
      <c r="I978" t="s">
        <v>13</v>
      </c>
      <c r="J978" t="s">
        <v>11</v>
      </c>
      <c r="K978">
        <f>_xlfn.XLOOKUP(tbl_analysis_tickets[[#This Row],[priority]],tbl_sla[priority],tbl_sla[Resolution SLA Hours])</f>
        <v>8</v>
      </c>
      <c r="L978">
        <f>_xlfn.XLOOKUP(tbl_analysis_tickets[[#This Row],[priority]],tbl_sla[priority],tbl_sla[First Response SLA Minutes])</f>
        <v>30</v>
      </c>
      <c r="M978" t="str">
        <f>IF(tbl_analysis_tickets[[#This Row],[resolution_time_hours]]&gt;tbl_analysis_tickets[[#This Row],[Resolution SLA Hours]],"Breached","Within SLA")</f>
        <v>Breached</v>
      </c>
      <c r="N978" t="str">
        <f>IF(tbl_analysis_tickets[[#This Row],[first_response_minutes]]&gt;tbl_analysis_tickets[[#This Row],[First Response SLA Minutes]],"Breached","Within SLA")</f>
        <v>Breached</v>
      </c>
      <c r="O978" t="str" cm="1">
        <f t="array" ref="O978">_xlfn.IFS(
tbl_analysis_tickets[[#This Row],[agent_experience_years]]&lt;=2,"Junior",
tbl_analysis_tickets[[#This Row],[agent_experience_years]]&lt;=5,"Mid-Level",
tbl_analysis_tickets[[#This Row],[agent_experience_years]]&lt;=8,"Senior",
tbl_analysis_tickets[[#This Row],[agent_experience_years]]&gt;8,"Expert"
)</f>
        <v>Expert</v>
      </c>
      <c r="P978" cm="1">
        <f t="array" ref="P978">_xlfn.SWITCH(tbl_analysis_tickets[[#This Row],[customer_satisfaction]],
"Low",1,
"Medium",2,
"High",3
)</f>
        <v>1</v>
      </c>
      <c r="Q978">
        <f>IF(tbl_analysis_tickets[[#This Row],[reopened]]="Yes",1,0)</f>
        <v>1</v>
      </c>
      <c r="R978" t="str" cm="1">
        <f t="array" ref="R978">_xlfn.IFS(
tbl_analysis_tickets[[#This Row],[first_response_minutes]]&lt;=30,"Very Fast",
tbl_analysis_tickets[[#This Row],[first_response_minutes]]&lt;=120,"Acceptable",
tbl_analysis_tickets[[#This Row],[first_response_minutes]]&lt;=240,"Slow",
tbl_analysis_tickets[[#This Row],[first_response_minutes]]&gt;240,"Very Slow"
)</f>
        <v>Slow</v>
      </c>
      <c r="S978" t="str" cm="1">
        <f t="array" ref="S97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978" t="str">
        <f>TEXT(tbl_analysis_tickets[[#This Row],[created_date]],"mmm-yyyy")</f>
        <v>Jan-2024</v>
      </c>
      <c r="U978" t="str">
        <f>TEXT(tbl_analysis_tickets[[#This Row],[created_date]],"dddd")</f>
        <v>Sunday</v>
      </c>
      <c r="V978" cm="1">
        <f t="array" ref="V978">_xlfn.SWITCH(tbl_analysis_tickets[[#This Row],[priority]],
"Urgent",1,
"High",2,
"Medium",3,
"Low",4
)</f>
        <v>1</v>
      </c>
    </row>
    <row r="979" spans="1:22" x14ac:dyDescent="0.25">
      <c r="A979">
        <v>978</v>
      </c>
      <c r="B979" s="1">
        <v>45569</v>
      </c>
      <c r="C979" t="s">
        <v>14</v>
      </c>
      <c r="D979" t="s">
        <v>15</v>
      </c>
      <c r="E979">
        <v>139</v>
      </c>
      <c r="F979">
        <v>52</v>
      </c>
      <c r="G979">
        <v>4.7</v>
      </c>
      <c r="H979" t="s">
        <v>18</v>
      </c>
      <c r="I979" t="s">
        <v>16</v>
      </c>
      <c r="J979" t="s">
        <v>11</v>
      </c>
      <c r="K979">
        <f>_xlfn.XLOOKUP(tbl_analysis_tickets[[#This Row],[priority]],tbl_sla[priority],tbl_sla[Resolution SLA Hours])</f>
        <v>48</v>
      </c>
      <c r="L979">
        <f>_xlfn.XLOOKUP(tbl_analysis_tickets[[#This Row],[priority]],tbl_sla[priority],tbl_sla[First Response SLA Minutes])</f>
        <v>120</v>
      </c>
      <c r="M979" t="str">
        <f>IF(tbl_analysis_tickets[[#This Row],[resolution_time_hours]]&gt;tbl_analysis_tickets[[#This Row],[Resolution SLA Hours]],"Breached","Within SLA")</f>
        <v>Breached</v>
      </c>
      <c r="N979" t="str">
        <f>IF(tbl_analysis_tickets[[#This Row],[first_response_minutes]]&gt;tbl_analysis_tickets[[#This Row],[First Response SLA Minutes]],"Breached","Within SLA")</f>
        <v>Breached</v>
      </c>
      <c r="O979" t="str" cm="1">
        <f t="array" ref="O979">_xlfn.IFS(
tbl_analysis_tickets[[#This Row],[agent_experience_years]]&lt;=2,"Junior",
tbl_analysis_tickets[[#This Row],[agent_experience_years]]&lt;=5,"Mid-Level",
tbl_analysis_tickets[[#This Row],[agent_experience_years]]&lt;=8,"Senior",
tbl_analysis_tickets[[#This Row],[agent_experience_years]]&gt;8,"Expert"
)</f>
        <v>Mid-Level</v>
      </c>
      <c r="P979" cm="1">
        <f t="array" ref="P979">_xlfn.SWITCH(tbl_analysis_tickets[[#This Row],[customer_satisfaction]],
"Low",1,
"Medium",2,
"High",3
)</f>
        <v>1</v>
      </c>
      <c r="Q979">
        <f>IF(tbl_analysis_tickets[[#This Row],[reopened]]="Yes",1,0)</f>
        <v>0</v>
      </c>
      <c r="R979" t="str" cm="1">
        <f t="array" ref="R979">_xlfn.IFS(
tbl_analysis_tickets[[#This Row],[first_response_minutes]]&lt;=30,"Very Fast",
tbl_analysis_tickets[[#This Row],[first_response_minutes]]&lt;=120,"Acceptable",
tbl_analysis_tickets[[#This Row],[first_response_minutes]]&lt;=240,"Slow",
tbl_analysis_tickets[[#This Row],[first_response_minutes]]&gt;240,"Very Slow"
)</f>
        <v>Slow</v>
      </c>
      <c r="S979" t="str" cm="1">
        <f t="array" ref="S97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979" t="str">
        <f>TEXT(tbl_analysis_tickets[[#This Row],[created_date]],"mmm-yyyy")</f>
        <v>Oct-2024</v>
      </c>
      <c r="U979" t="str">
        <f>TEXT(tbl_analysis_tickets[[#This Row],[created_date]],"dddd")</f>
        <v>Friday</v>
      </c>
      <c r="V979" cm="1">
        <f t="array" ref="V979">_xlfn.SWITCH(tbl_analysis_tickets[[#This Row],[priority]],
"Urgent",1,
"High",2,
"Medium",3,
"Low",4
)</f>
        <v>3</v>
      </c>
    </row>
    <row r="980" spans="1:22" x14ac:dyDescent="0.25">
      <c r="A980">
        <v>979</v>
      </c>
      <c r="B980" s="1">
        <v>45633</v>
      </c>
      <c r="C980" t="s">
        <v>14</v>
      </c>
      <c r="D980" t="s">
        <v>11</v>
      </c>
      <c r="E980">
        <v>13</v>
      </c>
      <c r="F980">
        <v>25</v>
      </c>
      <c r="G980">
        <v>1.1000000000000001</v>
      </c>
      <c r="H980" t="s">
        <v>12</v>
      </c>
      <c r="I980" t="s">
        <v>19</v>
      </c>
      <c r="J980" t="s">
        <v>15</v>
      </c>
      <c r="K980">
        <f>_xlfn.XLOOKUP(tbl_analysis_tickets[[#This Row],[priority]],tbl_sla[priority],tbl_sla[Resolution SLA Hours])</f>
        <v>72</v>
      </c>
      <c r="L980">
        <f>_xlfn.XLOOKUP(tbl_analysis_tickets[[#This Row],[priority]],tbl_sla[priority],tbl_sla[First Response SLA Minutes])</f>
        <v>240</v>
      </c>
      <c r="M980" t="str">
        <f>IF(tbl_analysis_tickets[[#This Row],[resolution_time_hours]]&gt;tbl_analysis_tickets[[#This Row],[Resolution SLA Hours]],"Breached","Within SLA")</f>
        <v>Within SLA</v>
      </c>
      <c r="N980" t="str">
        <f>IF(tbl_analysis_tickets[[#This Row],[first_response_minutes]]&gt;tbl_analysis_tickets[[#This Row],[First Response SLA Minutes]],"Breached","Within SLA")</f>
        <v>Within SLA</v>
      </c>
      <c r="O980" t="str" cm="1">
        <f t="array" ref="O980">_xlfn.IFS(
tbl_analysis_tickets[[#This Row],[agent_experience_years]]&lt;=2,"Junior",
tbl_analysis_tickets[[#This Row],[agent_experience_years]]&lt;=5,"Mid-Level",
tbl_analysis_tickets[[#This Row],[agent_experience_years]]&lt;=8,"Senior",
tbl_analysis_tickets[[#This Row],[agent_experience_years]]&gt;8,"Expert"
)</f>
        <v>Junior</v>
      </c>
      <c r="P980" cm="1">
        <f t="array" ref="P980">_xlfn.SWITCH(tbl_analysis_tickets[[#This Row],[customer_satisfaction]],
"Low",1,
"Medium",2,
"High",3
)</f>
        <v>2</v>
      </c>
      <c r="Q980">
        <f>IF(tbl_analysis_tickets[[#This Row],[reopened]]="Yes",1,0)</f>
        <v>1</v>
      </c>
      <c r="R980" t="str" cm="1">
        <f t="array" ref="R980">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980" t="str" cm="1">
        <f t="array" ref="S98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980" t="str">
        <f>TEXT(tbl_analysis_tickets[[#This Row],[created_date]],"mmm-yyyy")</f>
        <v>Dec-2024</v>
      </c>
      <c r="U980" t="str">
        <f>TEXT(tbl_analysis_tickets[[#This Row],[created_date]],"dddd")</f>
        <v>Saturday</v>
      </c>
      <c r="V980" cm="1">
        <f t="array" ref="V980">_xlfn.SWITCH(tbl_analysis_tickets[[#This Row],[priority]],
"Urgent",1,
"High",2,
"Medium",3,
"Low",4
)</f>
        <v>4</v>
      </c>
    </row>
    <row r="981" spans="1:22" x14ac:dyDescent="0.25">
      <c r="A981">
        <v>980</v>
      </c>
      <c r="B981" s="1">
        <v>45377</v>
      </c>
      <c r="C981" t="s">
        <v>14</v>
      </c>
      <c r="D981" t="s">
        <v>20</v>
      </c>
      <c r="E981">
        <v>197</v>
      </c>
      <c r="F981">
        <v>41</v>
      </c>
      <c r="G981">
        <v>4.0999999999999996</v>
      </c>
      <c r="H981" t="s">
        <v>18</v>
      </c>
      <c r="I981" t="s">
        <v>13</v>
      </c>
      <c r="J981" t="s">
        <v>11</v>
      </c>
      <c r="K981">
        <f>_xlfn.XLOOKUP(tbl_analysis_tickets[[#This Row],[priority]],tbl_sla[priority],tbl_sla[Resolution SLA Hours])</f>
        <v>24</v>
      </c>
      <c r="L981">
        <f>_xlfn.XLOOKUP(tbl_analysis_tickets[[#This Row],[priority]],tbl_sla[priority],tbl_sla[First Response SLA Minutes])</f>
        <v>60</v>
      </c>
      <c r="M981" t="str">
        <f>IF(tbl_analysis_tickets[[#This Row],[resolution_time_hours]]&gt;tbl_analysis_tickets[[#This Row],[Resolution SLA Hours]],"Breached","Within SLA")</f>
        <v>Breached</v>
      </c>
      <c r="N981" t="str">
        <f>IF(tbl_analysis_tickets[[#This Row],[first_response_minutes]]&gt;tbl_analysis_tickets[[#This Row],[First Response SLA Minutes]],"Breached","Within SLA")</f>
        <v>Breached</v>
      </c>
      <c r="O981" t="str" cm="1">
        <f t="array" ref="O981">_xlfn.IFS(
tbl_analysis_tickets[[#This Row],[agent_experience_years]]&lt;=2,"Junior",
tbl_analysis_tickets[[#This Row],[agent_experience_years]]&lt;=5,"Mid-Level",
tbl_analysis_tickets[[#This Row],[agent_experience_years]]&lt;=8,"Senior",
tbl_analysis_tickets[[#This Row],[agent_experience_years]]&gt;8,"Expert"
)</f>
        <v>Mid-Level</v>
      </c>
      <c r="P981" cm="1">
        <f t="array" ref="P981">_xlfn.SWITCH(tbl_analysis_tickets[[#This Row],[customer_satisfaction]],
"Low",1,
"Medium",2,
"High",3
)</f>
        <v>1</v>
      </c>
      <c r="Q981">
        <f>IF(tbl_analysis_tickets[[#This Row],[reopened]]="Yes",1,0)</f>
        <v>0</v>
      </c>
      <c r="R981" t="str" cm="1">
        <f t="array" ref="R981">_xlfn.IFS(
tbl_analysis_tickets[[#This Row],[first_response_minutes]]&lt;=30,"Very Fast",
tbl_analysis_tickets[[#This Row],[first_response_minutes]]&lt;=120,"Acceptable",
tbl_analysis_tickets[[#This Row],[first_response_minutes]]&lt;=240,"Slow",
tbl_analysis_tickets[[#This Row],[first_response_minutes]]&gt;240,"Very Slow"
)</f>
        <v>Slow</v>
      </c>
      <c r="S981" t="str" cm="1">
        <f t="array" ref="S98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981" t="str">
        <f>TEXT(tbl_analysis_tickets[[#This Row],[created_date]],"mmm-yyyy")</f>
        <v>Mar-2024</v>
      </c>
      <c r="U981" t="str">
        <f>TEXT(tbl_analysis_tickets[[#This Row],[created_date]],"dddd")</f>
        <v>Tuesday</v>
      </c>
      <c r="V981" cm="1">
        <f t="array" ref="V981">_xlfn.SWITCH(tbl_analysis_tickets[[#This Row],[priority]],
"Urgent",1,
"High",2,
"Medium",3,
"Low",4
)</f>
        <v>2</v>
      </c>
    </row>
    <row r="982" spans="1:22" x14ac:dyDescent="0.25">
      <c r="A982">
        <v>981</v>
      </c>
      <c r="B982" s="1">
        <v>45333</v>
      </c>
      <c r="C982" t="s">
        <v>14</v>
      </c>
      <c r="D982" t="s">
        <v>11</v>
      </c>
      <c r="E982">
        <v>36</v>
      </c>
      <c r="F982">
        <v>33</v>
      </c>
      <c r="G982">
        <v>3.8</v>
      </c>
      <c r="H982" t="s">
        <v>12</v>
      </c>
      <c r="I982" t="s">
        <v>19</v>
      </c>
      <c r="J982" t="s">
        <v>11</v>
      </c>
      <c r="K982">
        <f>_xlfn.XLOOKUP(tbl_analysis_tickets[[#This Row],[priority]],tbl_sla[priority],tbl_sla[Resolution SLA Hours])</f>
        <v>72</v>
      </c>
      <c r="L982">
        <f>_xlfn.XLOOKUP(tbl_analysis_tickets[[#This Row],[priority]],tbl_sla[priority],tbl_sla[First Response SLA Minutes])</f>
        <v>240</v>
      </c>
      <c r="M982" t="str">
        <f>IF(tbl_analysis_tickets[[#This Row],[resolution_time_hours]]&gt;tbl_analysis_tickets[[#This Row],[Resolution SLA Hours]],"Breached","Within SLA")</f>
        <v>Within SLA</v>
      </c>
      <c r="N982" t="str">
        <f>IF(tbl_analysis_tickets[[#This Row],[first_response_minutes]]&gt;tbl_analysis_tickets[[#This Row],[First Response SLA Minutes]],"Breached","Within SLA")</f>
        <v>Within SLA</v>
      </c>
      <c r="O982" t="str" cm="1">
        <f t="array" ref="O982">_xlfn.IFS(
tbl_analysis_tickets[[#This Row],[agent_experience_years]]&lt;=2,"Junior",
tbl_analysis_tickets[[#This Row],[agent_experience_years]]&lt;=5,"Mid-Level",
tbl_analysis_tickets[[#This Row],[agent_experience_years]]&lt;=8,"Senior",
tbl_analysis_tickets[[#This Row],[agent_experience_years]]&gt;8,"Expert"
)</f>
        <v>Mid-Level</v>
      </c>
      <c r="P982" cm="1">
        <f t="array" ref="P982">_xlfn.SWITCH(tbl_analysis_tickets[[#This Row],[customer_satisfaction]],
"Low",1,
"Medium",2,
"High",3
)</f>
        <v>1</v>
      </c>
      <c r="Q982">
        <f>IF(tbl_analysis_tickets[[#This Row],[reopened]]="Yes",1,0)</f>
        <v>1</v>
      </c>
      <c r="R982" t="str" cm="1">
        <f t="array" ref="R982">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982" t="str" cm="1">
        <f t="array" ref="S98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982" t="str">
        <f>TEXT(tbl_analysis_tickets[[#This Row],[created_date]],"mmm-yyyy")</f>
        <v>Feb-2024</v>
      </c>
      <c r="U982" t="str">
        <f>TEXT(tbl_analysis_tickets[[#This Row],[created_date]],"dddd")</f>
        <v>Sunday</v>
      </c>
      <c r="V982" cm="1">
        <f t="array" ref="V982">_xlfn.SWITCH(tbl_analysis_tickets[[#This Row],[priority]],
"Urgent",1,
"High",2,
"Medium",3,
"Low",4
)</f>
        <v>4</v>
      </c>
    </row>
    <row r="983" spans="1:22" x14ac:dyDescent="0.25">
      <c r="A983">
        <v>982</v>
      </c>
      <c r="B983" s="1">
        <v>45531</v>
      </c>
      <c r="C983" t="s">
        <v>23</v>
      </c>
      <c r="D983" t="s">
        <v>17</v>
      </c>
      <c r="E983">
        <v>136</v>
      </c>
      <c r="F983">
        <v>59</v>
      </c>
      <c r="G983">
        <v>7.3</v>
      </c>
      <c r="H983" t="s">
        <v>12</v>
      </c>
      <c r="I983" t="s">
        <v>16</v>
      </c>
      <c r="J983" t="s">
        <v>11</v>
      </c>
      <c r="K983">
        <f>_xlfn.XLOOKUP(tbl_analysis_tickets[[#This Row],[priority]],tbl_sla[priority],tbl_sla[Resolution SLA Hours])</f>
        <v>8</v>
      </c>
      <c r="L983">
        <f>_xlfn.XLOOKUP(tbl_analysis_tickets[[#This Row],[priority]],tbl_sla[priority],tbl_sla[First Response SLA Minutes])</f>
        <v>30</v>
      </c>
      <c r="M983" t="str">
        <f>IF(tbl_analysis_tickets[[#This Row],[resolution_time_hours]]&gt;tbl_analysis_tickets[[#This Row],[Resolution SLA Hours]],"Breached","Within SLA")</f>
        <v>Breached</v>
      </c>
      <c r="N983" t="str">
        <f>IF(tbl_analysis_tickets[[#This Row],[first_response_minutes]]&gt;tbl_analysis_tickets[[#This Row],[First Response SLA Minutes]],"Breached","Within SLA")</f>
        <v>Breached</v>
      </c>
      <c r="O983" t="str" cm="1">
        <f t="array" ref="O983">_xlfn.IFS(
tbl_analysis_tickets[[#This Row],[agent_experience_years]]&lt;=2,"Junior",
tbl_analysis_tickets[[#This Row],[agent_experience_years]]&lt;=5,"Mid-Level",
tbl_analysis_tickets[[#This Row],[agent_experience_years]]&lt;=8,"Senior",
tbl_analysis_tickets[[#This Row],[agent_experience_years]]&gt;8,"Expert"
)</f>
        <v>Senior</v>
      </c>
      <c r="P983" cm="1">
        <f t="array" ref="P983">_xlfn.SWITCH(tbl_analysis_tickets[[#This Row],[customer_satisfaction]],
"Low",1,
"Medium",2,
"High",3
)</f>
        <v>1</v>
      </c>
      <c r="Q983">
        <f>IF(tbl_analysis_tickets[[#This Row],[reopened]]="Yes",1,0)</f>
        <v>1</v>
      </c>
      <c r="R983" t="str" cm="1">
        <f t="array" ref="R983">_xlfn.IFS(
tbl_analysis_tickets[[#This Row],[first_response_minutes]]&lt;=30,"Very Fast",
tbl_analysis_tickets[[#This Row],[first_response_minutes]]&lt;=120,"Acceptable",
tbl_analysis_tickets[[#This Row],[first_response_minutes]]&lt;=240,"Slow",
tbl_analysis_tickets[[#This Row],[first_response_minutes]]&gt;240,"Very Slow"
)</f>
        <v>Slow</v>
      </c>
      <c r="S983" t="str" cm="1">
        <f t="array" ref="S98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983" t="str">
        <f>TEXT(tbl_analysis_tickets[[#This Row],[created_date]],"mmm-yyyy")</f>
        <v>Aug-2024</v>
      </c>
      <c r="U983" t="str">
        <f>TEXT(tbl_analysis_tickets[[#This Row],[created_date]],"dddd")</f>
        <v>Tuesday</v>
      </c>
      <c r="V983" cm="1">
        <f t="array" ref="V983">_xlfn.SWITCH(tbl_analysis_tickets[[#This Row],[priority]],
"Urgent",1,
"High",2,
"Medium",3,
"Low",4
)</f>
        <v>1</v>
      </c>
    </row>
    <row r="984" spans="1:22" x14ac:dyDescent="0.25">
      <c r="A984">
        <v>983</v>
      </c>
      <c r="B984" s="1">
        <v>45507</v>
      </c>
      <c r="C984" t="s">
        <v>22</v>
      </c>
      <c r="D984" t="s">
        <v>20</v>
      </c>
      <c r="E984">
        <v>202</v>
      </c>
      <c r="F984">
        <v>3</v>
      </c>
      <c r="G984">
        <v>4.5</v>
      </c>
      <c r="H984" t="s">
        <v>18</v>
      </c>
      <c r="I984" t="s">
        <v>13</v>
      </c>
      <c r="J984" t="s">
        <v>15</v>
      </c>
      <c r="K984">
        <f>_xlfn.XLOOKUP(tbl_analysis_tickets[[#This Row],[priority]],tbl_sla[priority],tbl_sla[Resolution SLA Hours])</f>
        <v>24</v>
      </c>
      <c r="L984">
        <f>_xlfn.XLOOKUP(tbl_analysis_tickets[[#This Row],[priority]],tbl_sla[priority],tbl_sla[First Response SLA Minutes])</f>
        <v>60</v>
      </c>
      <c r="M984" t="str">
        <f>IF(tbl_analysis_tickets[[#This Row],[resolution_time_hours]]&gt;tbl_analysis_tickets[[#This Row],[Resolution SLA Hours]],"Breached","Within SLA")</f>
        <v>Within SLA</v>
      </c>
      <c r="N984" t="str">
        <f>IF(tbl_analysis_tickets[[#This Row],[first_response_minutes]]&gt;tbl_analysis_tickets[[#This Row],[First Response SLA Minutes]],"Breached","Within SLA")</f>
        <v>Breached</v>
      </c>
      <c r="O984" t="str" cm="1">
        <f t="array" ref="O984">_xlfn.IFS(
tbl_analysis_tickets[[#This Row],[agent_experience_years]]&lt;=2,"Junior",
tbl_analysis_tickets[[#This Row],[agent_experience_years]]&lt;=5,"Mid-Level",
tbl_analysis_tickets[[#This Row],[agent_experience_years]]&lt;=8,"Senior",
tbl_analysis_tickets[[#This Row],[agent_experience_years]]&gt;8,"Expert"
)</f>
        <v>Mid-Level</v>
      </c>
      <c r="P984" cm="1">
        <f t="array" ref="P984">_xlfn.SWITCH(tbl_analysis_tickets[[#This Row],[customer_satisfaction]],
"Low",1,
"Medium",2,
"High",3
)</f>
        <v>2</v>
      </c>
      <c r="Q984">
        <f>IF(tbl_analysis_tickets[[#This Row],[reopened]]="Yes",1,0)</f>
        <v>0</v>
      </c>
      <c r="R984" t="str" cm="1">
        <f t="array" ref="R984">_xlfn.IFS(
tbl_analysis_tickets[[#This Row],[first_response_minutes]]&lt;=30,"Very Fast",
tbl_analysis_tickets[[#This Row],[first_response_minutes]]&lt;=120,"Acceptable",
tbl_analysis_tickets[[#This Row],[first_response_minutes]]&lt;=240,"Slow",
tbl_analysis_tickets[[#This Row],[first_response_minutes]]&gt;240,"Very Slow"
)</f>
        <v>Slow</v>
      </c>
      <c r="S984" t="str" cm="1">
        <f t="array" ref="S98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984" t="str">
        <f>TEXT(tbl_analysis_tickets[[#This Row],[created_date]],"mmm-yyyy")</f>
        <v>Aug-2024</v>
      </c>
      <c r="U984" t="str">
        <f>TEXT(tbl_analysis_tickets[[#This Row],[created_date]],"dddd")</f>
        <v>Saturday</v>
      </c>
      <c r="V984" cm="1">
        <f t="array" ref="V984">_xlfn.SWITCH(tbl_analysis_tickets[[#This Row],[priority]],
"Urgent",1,
"High",2,
"Medium",3,
"Low",4
)</f>
        <v>2</v>
      </c>
    </row>
    <row r="985" spans="1:22" x14ac:dyDescent="0.25">
      <c r="A985">
        <v>984</v>
      </c>
      <c r="B985" s="1">
        <v>45368</v>
      </c>
      <c r="C985" t="s">
        <v>10</v>
      </c>
      <c r="D985" t="s">
        <v>17</v>
      </c>
      <c r="E985">
        <v>92</v>
      </c>
      <c r="F985">
        <v>62</v>
      </c>
      <c r="G985">
        <v>9.6999999999999993</v>
      </c>
      <c r="H985" t="s">
        <v>18</v>
      </c>
      <c r="I985" t="s">
        <v>19</v>
      </c>
      <c r="J985" t="s">
        <v>11</v>
      </c>
      <c r="K985">
        <f>_xlfn.XLOOKUP(tbl_analysis_tickets[[#This Row],[priority]],tbl_sla[priority],tbl_sla[Resolution SLA Hours])</f>
        <v>8</v>
      </c>
      <c r="L985">
        <f>_xlfn.XLOOKUP(tbl_analysis_tickets[[#This Row],[priority]],tbl_sla[priority],tbl_sla[First Response SLA Minutes])</f>
        <v>30</v>
      </c>
      <c r="M985" t="str">
        <f>IF(tbl_analysis_tickets[[#This Row],[resolution_time_hours]]&gt;tbl_analysis_tickets[[#This Row],[Resolution SLA Hours]],"Breached","Within SLA")</f>
        <v>Breached</v>
      </c>
      <c r="N985" t="str">
        <f>IF(tbl_analysis_tickets[[#This Row],[first_response_minutes]]&gt;tbl_analysis_tickets[[#This Row],[First Response SLA Minutes]],"Breached","Within SLA")</f>
        <v>Breached</v>
      </c>
      <c r="O985" t="str" cm="1">
        <f t="array" ref="O985">_xlfn.IFS(
tbl_analysis_tickets[[#This Row],[agent_experience_years]]&lt;=2,"Junior",
tbl_analysis_tickets[[#This Row],[agent_experience_years]]&lt;=5,"Mid-Level",
tbl_analysis_tickets[[#This Row],[agent_experience_years]]&lt;=8,"Senior",
tbl_analysis_tickets[[#This Row],[agent_experience_years]]&gt;8,"Expert"
)</f>
        <v>Expert</v>
      </c>
      <c r="P985" cm="1">
        <f t="array" ref="P985">_xlfn.SWITCH(tbl_analysis_tickets[[#This Row],[customer_satisfaction]],
"Low",1,
"Medium",2,
"High",3
)</f>
        <v>1</v>
      </c>
      <c r="Q985">
        <f>IF(tbl_analysis_tickets[[#This Row],[reopened]]="Yes",1,0)</f>
        <v>0</v>
      </c>
      <c r="R985" t="str" cm="1">
        <f t="array" ref="R985">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985" t="str" cm="1">
        <f t="array" ref="S98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985" t="str">
        <f>TEXT(tbl_analysis_tickets[[#This Row],[created_date]],"mmm-yyyy")</f>
        <v>Mar-2024</v>
      </c>
      <c r="U985" t="str">
        <f>TEXT(tbl_analysis_tickets[[#This Row],[created_date]],"dddd")</f>
        <v>Sunday</v>
      </c>
      <c r="V985" cm="1">
        <f t="array" ref="V985">_xlfn.SWITCH(tbl_analysis_tickets[[#This Row],[priority]],
"Urgent",1,
"High",2,
"Medium",3,
"Low",4
)</f>
        <v>1</v>
      </c>
    </row>
    <row r="986" spans="1:22" x14ac:dyDescent="0.25">
      <c r="A986">
        <v>985</v>
      </c>
      <c r="B986" s="1">
        <v>45610</v>
      </c>
      <c r="C986" t="s">
        <v>21</v>
      </c>
      <c r="D986" t="s">
        <v>20</v>
      </c>
      <c r="E986">
        <v>20</v>
      </c>
      <c r="F986">
        <v>23</v>
      </c>
      <c r="G986">
        <v>4.5999999999999996</v>
      </c>
      <c r="H986" t="s">
        <v>12</v>
      </c>
      <c r="I986" t="s">
        <v>13</v>
      </c>
      <c r="J986" t="s">
        <v>11</v>
      </c>
      <c r="K986">
        <f>_xlfn.XLOOKUP(tbl_analysis_tickets[[#This Row],[priority]],tbl_sla[priority],tbl_sla[Resolution SLA Hours])</f>
        <v>24</v>
      </c>
      <c r="L986">
        <f>_xlfn.XLOOKUP(tbl_analysis_tickets[[#This Row],[priority]],tbl_sla[priority],tbl_sla[First Response SLA Minutes])</f>
        <v>60</v>
      </c>
      <c r="M986" t="str">
        <f>IF(tbl_analysis_tickets[[#This Row],[resolution_time_hours]]&gt;tbl_analysis_tickets[[#This Row],[Resolution SLA Hours]],"Breached","Within SLA")</f>
        <v>Within SLA</v>
      </c>
      <c r="N986" t="str">
        <f>IF(tbl_analysis_tickets[[#This Row],[first_response_minutes]]&gt;tbl_analysis_tickets[[#This Row],[First Response SLA Minutes]],"Breached","Within SLA")</f>
        <v>Within SLA</v>
      </c>
      <c r="O986" t="str" cm="1">
        <f t="array" ref="O986">_xlfn.IFS(
tbl_analysis_tickets[[#This Row],[agent_experience_years]]&lt;=2,"Junior",
tbl_analysis_tickets[[#This Row],[agent_experience_years]]&lt;=5,"Mid-Level",
tbl_analysis_tickets[[#This Row],[agent_experience_years]]&lt;=8,"Senior",
tbl_analysis_tickets[[#This Row],[agent_experience_years]]&gt;8,"Expert"
)</f>
        <v>Mid-Level</v>
      </c>
      <c r="P986" cm="1">
        <f t="array" ref="P986">_xlfn.SWITCH(tbl_analysis_tickets[[#This Row],[customer_satisfaction]],
"Low",1,
"Medium",2,
"High",3
)</f>
        <v>1</v>
      </c>
      <c r="Q986">
        <f>IF(tbl_analysis_tickets[[#This Row],[reopened]]="Yes",1,0)</f>
        <v>1</v>
      </c>
      <c r="R986" t="str" cm="1">
        <f t="array" ref="R986">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986" t="str" cm="1">
        <f t="array" ref="S98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986" t="str">
        <f>TEXT(tbl_analysis_tickets[[#This Row],[created_date]],"mmm-yyyy")</f>
        <v>Nov-2024</v>
      </c>
      <c r="U986" t="str">
        <f>TEXT(tbl_analysis_tickets[[#This Row],[created_date]],"dddd")</f>
        <v>Thursday</v>
      </c>
      <c r="V986" cm="1">
        <f t="array" ref="V986">_xlfn.SWITCH(tbl_analysis_tickets[[#This Row],[priority]],
"Urgent",1,
"High",2,
"Medium",3,
"Low",4
)</f>
        <v>2</v>
      </c>
    </row>
    <row r="987" spans="1:22" x14ac:dyDescent="0.25">
      <c r="A987">
        <v>986</v>
      </c>
      <c r="B987" s="1">
        <v>45427</v>
      </c>
      <c r="C987" t="s">
        <v>14</v>
      </c>
      <c r="D987" t="s">
        <v>11</v>
      </c>
      <c r="E987">
        <v>226</v>
      </c>
      <c r="F987">
        <v>68</v>
      </c>
      <c r="G987">
        <v>9.5</v>
      </c>
      <c r="H987" t="s">
        <v>18</v>
      </c>
      <c r="I987" t="s">
        <v>16</v>
      </c>
      <c r="J987" t="s">
        <v>15</v>
      </c>
      <c r="K987">
        <f>_xlfn.XLOOKUP(tbl_analysis_tickets[[#This Row],[priority]],tbl_sla[priority],tbl_sla[Resolution SLA Hours])</f>
        <v>72</v>
      </c>
      <c r="L987">
        <f>_xlfn.XLOOKUP(tbl_analysis_tickets[[#This Row],[priority]],tbl_sla[priority],tbl_sla[First Response SLA Minutes])</f>
        <v>240</v>
      </c>
      <c r="M987" t="str">
        <f>IF(tbl_analysis_tickets[[#This Row],[resolution_time_hours]]&gt;tbl_analysis_tickets[[#This Row],[Resolution SLA Hours]],"Breached","Within SLA")</f>
        <v>Within SLA</v>
      </c>
      <c r="N987" t="str">
        <f>IF(tbl_analysis_tickets[[#This Row],[first_response_minutes]]&gt;tbl_analysis_tickets[[#This Row],[First Response SLA Minutes]],"Breached","Within SLA")</f>
        <v>Within SLA</v>
      </c>
      <c r="O987" t="str" cm="1">
        <f t="array" ref="O987">_xlfn.IFS(
tbl_analysis_tickets[[#This Row],[agent_experience_years]]&lt;=2,"Junior",
tbl_analysis_tickets[[#This Row],[agent_experience_years]]&lt;=5,"Mid-Level",
tbl_analysis_tickets[[#This Row],[agent_experience_years]]&lt;=8,"Senior",
tbl_analysis_tickets[[#This Row],[agent_experience_years]]&gt;8,"Expert"
)</f>
        <v>Expert</v>
      </c>
      <c r="P987" cm="1">
        <f t="array" ref="P987">_xlfn.SWITCH(tbl_analysis_tickets[[#This Row],[customer_satisfaction]],
"Low",1,
"Medium",2,
"High",3
)</f>
        <v>2</v>
      </c>
      <c r="Q987">
        <f>IF(tbl_analysis_tickets[[#This Row],[reopened]]="Yes",1,0)</f>
        <v>0</v>
      </c>
      <c r="R987" t="str" cm="1">
        <f t="array" ref="R987">_xlfn.IFS(
tbl_analysis_tickets[[#This Row],[first_response_minutes]]&lt;=30,"Very Fast",
tbl_analysis_tickets[[#This Row],[first_response_minutes]]&lt;=120,"Acceptable",
tbl_analysis_tickets[[#This Row],[first_response_minutes]]&lt;=240,"Slow",
tbl_analysis_tickets[[#This Row],[first_response_minutes]]&gt;240,"Very Slow"
)</f>
        <v>Slow</v>
      </c>
      <c r="S987" t="str" cm="1">
        <f t="array" ref="S98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987" t="str">
        <f>TEXT(tbl_analysis_tickets[[#This Row],[created_date]],"mmm-yyyy")</f>
        <v>May-2024</v>
      </c>
      <c r="U987" t="str">
        <f>TEXT(tbl_analysis_tickets[[#This Row],[created_date]],"dddd")</f>
        <v>Wednesday</v>
      </c>
      <c r="V987" cm="1">
        <f t="array" ref="V987">_xlfn.SWITCH(tbl_analysis_tickets[[#This Row],[priority]],
"Urgent",1,
"High",2,
"Medium",3,
"Low",4
)</f>
        <v>4</v>
      </c>
    </row>
    <row r="988" spans="1:22" x14ac:dyDescent="0.25">
      <c r="A988">
        <v>987</v>
      </c>
      <c r="B988" s="1">
        <v>45568</v>
      </c>
      <c r="C988" t="s">
        <v>14</v>
      </c>
      <c r="D988" t="s">
        <v>15</v>
      </c>
      <c r="E988">
        <v>152</v>
      </c>
      <c r="F988">
        <v>44</v>
      </c>
      <c r="G988">
        <v>6.7</v>
      </c>
      <c r="H988" t="s">
        <v>12</v>
      </c>
      <c r="I988" t="s">
        <v>19</v>
      </c>
      <c r="J988" t="s">
        <v>11</v>
      </c>
      <c r="K988">
        <f>_xlfn.XLOOKUP(tbl_analysis_tickets[[#This Row],[priority]],tbl_sla[priority],tbl_sla[Resolution SLA Hours])</f>
        <v>48</v>
      </c>
      <c r="L988">
        <f>_xlfn.XLOOKUP(tbl_analysis_tickets[[#This Row],[priority]],tbl_sla[priority],tbl_sla[First Response SLA Minutes])</f>
        <v>120</v>
      </c>
      <c r="M988" t="str">
        <f>IF(tbl_analysis_tickets[[#This Row],[resolution_time_hours]]&gt;tbl_analysis_tickets[[#This Row],[Resolution SLA Hours]],"Breached","Within SLA")</f>
        <v>Within SLA</v>
      </c>
      <c r="N988" t="str">
        <f>IF(tbl_analysis_tickets[[#This Row],[first_response_minutes]]&gt;tbl_analysis_tickets[[#This Row],[First Response SLA Minutes]],"Breached","Within SLA")</f>
        <v>Breached</v>
      </c>
      <c r="O988" t="str" cm="1">
        <f t="array" ref="O988">_xlfn.IFS(
tbl_analysis_tickets[[#This Row],[agent_experience_years]]&lt;=2,"Junior",
tbl_analysis_tickets[[#This Row],[agent_experience_years]]&lt;=5,"Mid-Level",
tbl_analysis_tickets[[#This Row],[agent_experience_years]]&lt;=8,"Senior",
tbl_analysis_tickets[[#This Row],[agent_experience_years]]&gt;8,"Expert"
)</f>
        <v>Senior</v>
      </c>
      <c r="P988" cm="1">
        <f t="array" ref="P988">_xlfn.SWITCH(tbl_analysis_tickets[[#This Row],[customer_satisfaction]],
"Low",1,
"Medium",2,
"High",3
)</f>
        <v>1</v>
      </c>
      <c r="Q988">
        <f>IF(tbl_analysis_tickets[[#This Row],[reopened]]="Yes",1,0)</f>
        <v>1</v>
      </c>
      <c r="R988" t="str" cm="1">
        <f t="array" ref="R988">_xlfn.IFS(
tbl_analysis_tickets[[#This Row],[first_response_minutes]]&lt;=30,"Very Fast",
tbl_analysis_tickets[[#This Row],[first_response_minutes]]&lt;=120,"Acceptable",
tbl_analysis_tickets[[#This Row],[first_response_minutes]]&lt;=240,"Slow",
tbl_analysis_tickets[[#This Row],[first_response_minutes]]&gt;240,"Very Slow"
)</f>
        <v>Slow</v>
      </c>
      <c r="S988" t="str" cm="1">
        <f t="array" ref="S98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988" t="str">
        <f>TEXT(tbl_analysis_tickets[[#This Row],[created_date]],"mmm-yyyy")</f>
        <v>Oct-2024</v>
      </c>
      <c r="U988" t="str">
        <f>TEXT(tbl_analysis_tickets[[#This Row],[created_date]],"dddd")</f>
        <v>Thursday</v>
      </c>
      <c r="V988" cm="1">
        <f t="array" ref="V988">_xlfn.SWITCH(tbl_analysis_tickets[[#This Row],[priority]],
"Urgent",1,
"High",2,
"Medium",3,
"Low",4
)</f>
        <v>3</v>
      </c>
    </row>
    <row r="989" spans="1:22" x14ac:dyDescent="0.25">
      <c r="A989">
        <v>988</v>
      </c>
      <c r="B989" s="1">
        <v>45627</v>
      </c>
      <c r="C989" t="s">
        <v>14</v>
      </c>
      <c r="D989" t="s">
        <v>15</v>
      </c>
      <c r="E989">
        <v>152</v>
      </c>
      <c r="F989">
        <v>70</v>
      </c>
      <c r="G989">
        <v>9</v>
      </c>
      <c r="H989" t="s">
        <v>18</v>
      </c>
      <c r="I989" t="s">
        <v>13</v>
      </c>
      <c r="J989" t="s">
        <v>15</v>
      </c>
      <c r="K989">
        <f>_xlfn.XLOOKUP(tbl_analysis_tickets[[#This Row],[priority]],tbl_sla[priority],tbl_sla[Resolution SLA Hours])</f>
        <v>48</v>
      </c>
      <c r="L989">
        <f>_xlfn.XLOOKUP(tbl_analysis_tickets[[#This Row],[priority]],tbl_sla[priority],tbl_sla[First Response SLA Minutes])</f>
        <v>120</v>
      </c>
      <c r="M989" t="str">
        <f>IF(tbl_analysis_tickets[[#This Row],[resolution_time_hours]]&gt;tbl_analysis_tickets[[#This Row],[Resolution SLA Hours]],"Breached","Within SLA")</f>
        <v>Breached</v>
      </c>
      <c r="N989" t="str">
        <f>IF(tbl_analysis_tickets[[#This Row],[first_response_minutes]]&gt;tbl_analysis_tickets[[#This Row],[First Response SLA Minutes]],"Breached","Within SLA")</f>
        <v>Breached</v>
      </c>
      <c r="O989" t="str" cm="1">
        <f t="array" ref="O989">_xlfn.IFS(
tbl_analysis_tickets[[#This Row],[agent_experience_years]]&lt;=2,"Junior",
tbl_analysis_tickets[[#This Row],[agent_experience_years]]&lt;=5,"Mid-Level",
tbl_analysis_tickets[[#This Row],[agent_experience_years]]&lt;=8,"Senior",
tbl_analysis_tickets[[#This Row],[agent_experience_years]]&gt;8,"Expert"
)</f>
        <v>Expert</v>
      </c>
      <c r="P989" cm="1">
        <f t="array" ref="P989">_xlfn.SWITCH(tbl_analysis_tickets[[#This Row],[customer_satisfaction]],
"Low",1,
"Medium",2,
"High",3
)</f>
        <v>2</v>
      </c>
      <c r="Q989">
        <f>IF(tbl_analysis_tickets[[#This Row],[reopened]]="Yes",1,0)</f>
        <v>0</v>
      </c>
      <c r="R989" t="str" cm="1">
        <f t="array" ref="R989">_xlfn.IFS(
tbl_analysis_tickets[[#This Row],[first_response_minutes]]&lt;=30,"Very Fast",
tbl_analysis_tickets[[#This Row],[first_response_minutes]]&lt;=120,"Acceptable",
tbl_analysis_tickets[[#This Row],[first_response_minutes]]&lt;=240,"Slow",
tbl_analysis_tickets[[#This Row],[first_response_minutes]]&gt;240,"Very Slow"
)</f>
        <v>Slow</v>
      </c>
      <c r="S989" t="str" cm="1">
        <f t="array" ref="S98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989" t="str">
        <f>TEXT(tbl_analysis_tickets[[#This Row],[created_date]],"mmm-yyyy")</f>
        <v>Dec-2024</v>
      </c>
      <c r="U989" t="str">
        <f>TEXT(tbl_analysis_tickets[[#This Row],[created_date]],"dddd")</f>
        <v>Sunday</v>
      </c>
      <c r="V989" cm="1">
        <f t="array" ref="V989">_xlfn.SWITCH(tbl_analysis_tickets[[#This Row],[priority]],
"Urgent",1,
"High",2,
"Medium",3,
"Low",4
)</f>
        <v>3</v>
      </c>
    </row>
    <row r="990" spans="1:22" x14ac:dyDescent="0.25">
      <c r="A990">
        <v>989</v>
      </c>
      <c r="B990" s="1">
        <v>45657</v>
      </c>
      <c r="C990" t="s">
        <v>21</v>
      </c>
      <c r="D990" t="s">
        <v>15</v>
      </c>
      <c r="E990">
        <v>18</v>
      </c>
      <c r="F990">
        <v>46</v>
      </c>
      <c r="G990">
        <v>8.6</v>
      </c>
      <c r="H990" t="s">
        <v>18</v>
      </c>
      <c r="I990" t="s">
        <v>19</v>
      </c>
      <c r="J990" t="s">
        <v>20</v>
      </c>
      <c r="K990">
        <f>_xlfn.XLOOKUP(tbl_analysis_tickets[[#This Row],[priority]],tbl_sla[priority],tbl_sla[Resolution SLA Hours])</f>
        <v>48</v>
      </c>
      <c r="L990">
        <f>_xlfn.XLOOKUP(tbl_analysis_tickets[[#This Row],[priority]],tbl_sla[priority],tbl_sla[First Response SLA Minutes])</f>
        <v>120</v>
      </c>
      <c r="M990" t="str">
        <f>IF(tbl_analysis_tickets[[#This Row],[resolution_time_hours]]&gt;tbl_analysis_tickets[[#This Row],[Resolution SLA Hours]],"Breached","Within SLA")</f>
        <v>Within SLA</v>
      </c>
      <c r="N990" t="str">
        <f>IF(tbl_analysis_tickets[[#This Row],[first_response_minutes]]&gt;tbl_analysis_tickets[[#This Row],[First Response SLA Minutes]],"Breached","Within SLA")</f>
        <v>Within SLA</v>
      </c>
      <c r="O990" t="str" cm="1">
        <f t="array" ref="O990">_xlfn.IFS(
tbl_analysis_tickets[[#This Row],[agent_experience_years]]&lt;=2,"Junior",
tbl_analysis_tickets[[#This Row],[agent_experience_years]]&lt;=5,"Mid-Level",
tbl_analysis_tickets[[#This Row],[agent_experience_years]]&lt;=8,"Senior",
tbl_analysis_tickets[[#This Row],[agent_experience_years]]&gt;8,"Expert"
)</f>
        <v>Expert</v>
      </c>
      <c r="P990" cm="1">
        <f t="array" ref="P990">_xlfn.SWITCH(tbl_analysis_tickets[[#This Row],[customer_satisfaction]],
"Low",1,
"Medium",2,
"High",3
)</f>
        <v>3</v>
      </c>
      <c r="Q990">
        <f>IF(tbl_analysis_tickets[[#This Row],[reopened]]="Yes",1,0)</f>
        <v>0</v>
      </c>
      <c r="R990" t="str" cm="1">
        <f t="array" ref="R990">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990" t="str" cm="1">
        <f t="array" ref="S99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990" t="str">
        <f>TEXT(tbl_analysis_tickets[[#This Row],[created_date]],"mmm-yyyy")</f>
        <v>Dec-2024</v>
      </c>
      <c r="U990" t="str">
        <f>TEXT(tbl_analysis_tickets[[#This Row],[created_date]],"dddd")</f>
        <v>Tuesday</v>
      </c>
      <c r="V990" cm="1">
        <f t="array" ref="V990">_xlfn.SWITCH(tbl_analysis_tickets[[#This Row],[priority]],
"Urgent",1,
"High",2,
"Medium",3,
"Low",4
)</f>
        <v>3</v>
      </c>
    </row>
    <row r="991" spans="1:22" x14ac:dyDescent="0.25">
      <c r="A991">
        <v>990</v>
      </c>
      <c r="B991" s="1">
        <v>45488</v>
      </c>
      <c r="C991" t="s">
        <v>22</v>
      </c>
      <c r="D991" t="s">
        <v>11</v>
      </c>
      <c r="E991">
        <v>18</v>
      </c>
      <c r="F991">
        <v>45</v>
      </c>
      <c r="G991">
        <v>8.3000000000000007</v>
      </c>
      <c r="H991" t="s">
        <v>18</v>
      </c>
      <c r="I991" t="s">
        <v>16</v>
      </c>
      <c r="J991" t="s">
        <v>20</v>
      </c>
      <c r="K991">
        <f>_xlfn.XLOOKUP(tbl_analysis_tickets[[#This Row],[priority]],tbl_sla[priority],tbl_sla[Resolution SLA Hours])</f>
        <v>72</v>
      </c>
      <c r="L991">
        <f>_xlfn.XLOOKUP(tbl_analysis_tickets[[#This Row],[priority]],tbl_sla[priority],tbl_sla[First Response SLA Minutes])</f>
        <v>240</v>
      </c>
      <c r="M991" t="str">
        <f>IF(tbl_analysis_tickets[[#This Row],[resolution_time_hours]]&gt;tbl_analysis_tickets[[#This Row],[Resolution SLA Hours]],"Breached","Within SLA")</f>
        <v>Within SLA</v>
      </c>
      <c r="N991" t="str">
        <f>IF(tbl_analysis_tickets[[#This Row],[first_response_minutes]]&gt;tbl_analysis_tickets[[#This Row],[First Response SLA Minutes]],"Breached","Within SLA")</f>
        <v>Within SLA</v>
      </c>
      <c r="O991" t="str" cm="1">
        <f t="array" ref="O991">_xlfn.IFS(
tbl_analysis_tickets[[#This Row],[agent_experience_years]]&lt;=2,"Junior",
tbl_analysis_tickets[[#This Row],[agent_experience_years]]&lt;=5,"Mid-Level",
tbl_analysis_tickets[[#This Row],[agent_experience_years]]&lt;=8,"Senior",
tbl_analysis_tickets[[#This Row],[agent_experience_years]]&gt;8,"Expert"
)</f>
        <v>Expert</v>
      </c>
      <c r="P991" cm="1">
        <f t="array" ref="P991">_xlfn.SWITCH(tbl_analysis_tickets[[#This Row],[customer_satisfaction]],
"Low",1,
"Medium",2,
"High",3
)</f>
        <v>3</v>
      </c>
      <c r="Q991">
        <f>IF(tbl_analysis_tickets[[#This Row],[reopened]]="Yes",1,0)</f>
        <v>0</v>
      </c>
      <c r="R991" t="str" cm="1">
        <f t="array" ref="R991">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991" t="str" cm="1">
        <f t="array" ref="S99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991" t="str">
        <f>TEXT(tbl_analysis_tickets[[#This Row],[created_date]],"mmm-yyyy")</f>
        <v>Jul-2024</v>
      </c>
      <c r="U991" t="str">
        <f>TEXT(tbl_analysis_tickets[[#This Row],[created_date]],"dddd")</f>
        <v>Monday</v>
      </c>
      <c r="V991" cm="1">
        <f t="array" ref="V991">_xlfn.SWITCH(tbl_analysis_tickets[[#This Row],[priority]],
"Urgent",1,
"High",2,
"Medium",3,
"Low",4
)</f>
        <v>4</v>
      </c>
    </row>
    <row r="992" spans="1:22" x14ac:dyDescent="0.25">
      <c r="A992">
        <v>991</v>
      </c>
      <c r="B992" s="1">
        <v>45600</v>
      </c>
      <c r="C992" t="s">
        <v>21</v>
      </c>
      <c r="D992" t="s">
        <v>11</v>
      </c>
      <c r="E992">
        <v>199</v>
      </c>
      <c r="F992">
        <v>71</v>
      </c>
      <c r="G992">
        <v>8.6999999999999993</v>
      </c>
      <c r="H992" t="s">
        <v>18</v>
      </c>
      <c r="I992" t="s">
        <v>13</v>
      </c>
      <c r="J992" t="s">
        <v>15</v>
      </c>
      <c r="K992">
        <f>_xlfn.XLOOKUP(tbl_analysis_tickets[[#This Row],[priority]],tbl_sla[priority],tbl_sla[Resolution SLA Hours])</f>
        <v>72</v>
      </c>
      <c r="L992">
        <f>_xlfn.XLOOKUP(tbl_analysis_tickets[[#This Row],[priority]],tbl_sla[priority],tbl_sla[First Response SLA Minutes])</f>
        <v>240</v>
      </c>
      <c r="M992" t="str">
        <f>IF(tbl_analysis_tickets[[#This Row],[resolution_time_hours]]&gt;tbl_analysis_tickets[[#This Row],[Resolution SLA Hours]],"Breached","Within SLA")</f>
        <v>Within SLA</v>
      </c>
      <c r="N992" t="str">
        <f>IF(tbl_analysis_tickets[[#This Row],[first_response_minutes]]&gt;tbl_analysis_tickets[[#This Row],[First Response SLA Minutes]],"Breached","Within SLA")</f>
        <v>Within SLA</v>
      </c>
      <c r="O992" t="str" cm="1">
        <f t="array" ref="O992">_xlfn.IFS(
tbl_analysis_tickets[[#This Row],[agent_experience_years]]&lt;=2,"Junior",
tbl_analysis_tickets[[#This Row],[agent_experience_years]]&lt;=5,"Mid-Level",
tbl_analysis_tickets[[#This Row],[agent_experience_years]]&lt;=8,"Senior",
tbl_analysis_tickets[[#This Row],[agent_experience_years]]&gt;8,"Expert"
)</f>
        <v>Expert</v>
      </c>
      <c r="P992" cm="1">
        <f t="array" ref="P992">_xlfn.SWITCH(tbl_analysis_tickets[[#This Row],[customer_satisfaction]],
"Low",1,
"Medium",2,
"High",3
)</f>
        <v>2</v>
      </c>
      <c r="Q992">
        <f>IF(tbl_analysis_tickets[[#This Row],[reopened]]="Yes",1,0)</f>
        <v>0</v>
      </c>
      <c r="R992" t="str" cm="1">
        <f t="array" ref="R992">_xlfn.IFS(
tbl_analysis_tickets[[#This Row],[first_response_minutes]]&lt;=30,"Very Fast",
tbl_analysis_tickets[[#This Row],[first_response_minutes]]&lt;=120,"Acceptable",
tbl_analysis_tickets[[#This Row],[first_response_minutes]]&lt;=240,"Slow",
tbl_analysis_tickets[[#This Row],[first_response_minutes]]&gt;240,"Very Slow"
)</f>
        <v>Slow</v>
      </c>
      <c r="S992" t="str" cm="1">
        <f t="array" ref="S99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992" t="str">
        <f>TEXT(tbl_analysis_tickets[[#This Row],[created_date]],"mmm-yyyy")</f>
        <v>Nov-2024</v>
      </c>
      <c r="U992" t="str">
        <f>TEXT(tbl_analysis_tickets[[#This Row],[created_date]],"dddd")</f>
        <v>Monday</v>
      </c>
      <c r="V992" cm="1">
        <f t="array" ref="V992">_xlfn.SWITCH(tbl_analysis_tickets[[#This Row],[priority]],
"Urgent",1,
"High",2,
"Medium",3,
"Low",4
)</f>
        <v>4</v>
      </c>
    </row>
    <row r="993" spans="1:22" x14ac:dyDescent="0.25">
      <c r="A993">
        <v>992</v>
      </c>
      <c r="B993" s="1">
        <v>45319</v>
      </c>
      <c r="C993" t="s">
        <v>21</v>
      </c>
      <c r="D993" t="s">
        <v>11</v>
      </c>
      <c r="E993">
        <v>51</v>
      </c>
      <c r="F993">
        <v>24</v>
      </c>
      <c r="G993">
        <v>7</v>
      </c>
      <c r="H993" t="s">
        <v>12</v>
      </c>
      <c r="I993" t="s">
        <v>13</v>
      </c>
      <c r="J993" t="s">
        <v>11</v>
      </c>
      <c r="K993">
        <f>_xlfn.XLOOKUP(tbl_analysis_tickets[[#This Row],[priority]],tbl_sla[priority],tbl_sla[Resolution SLA Hours])</f>
        <v>72</v>
      </c>
      <c r="L993">
        <f>_xlfn.XLOOKUP(tbl_analysis_tickets[[#This Row],[priority]],tbl_sla[priority],tbl_sla[First Response SLA Minutes])</f>
        <v>240</v>
      </c>
      <c r="M993" t="str">
        <f>IF(tbl_analysis_tickets[[#This Row],[resolution_time_hours]]&gt;tbl_analysis_tickets[[#This Row],[Resolution SLA Hours]],"Breached","Within SLA")</f>
        <v>Within SLA</v>
      </c>
      <c r="N993" t="str">
        <f>IF(tbl_analysis_tickets[[#This Row],[first_response_minutes]]&gt;tbl_analysis_tickets[[#This Row],[First Response SLA Minutes]],"Breached","Within SLA")</f>
        <v>Within SLA</v>
      </c>
      <c r="O993" t="str" cm="1">
        <f t="array" ref="O993">_xlfn.IFS(
tbl_analysis_tickets[[#This Row],[agent_experience_years]]&lt;=2,"Junior",
tbl_analysis_tickets[[#This Row],[agent_experience_years]]&lt;=5,"Mid-Level",
tbl_analysis_tickets[[#This Row],[agent_experience_years]]&lt;=8,"Senior",
tbl_analysis_tickets[[#This Row],[agent_experience_years]]&gt;8,"Expert"
)</f>
        <v>Senior</v>
      </c>
      <c r="P993" cm="1">
        <f t="array" ref="P993">_xlfn.SWITCH(tbl_analysis_tickets[[#This Row],[customer_satisfaction]],
"Low",1,
"Medium",2,
"High",3
)</f>
        <v>1</v>
      </c>
      <c r="Q993">
        <f>IF(tbl_analysis_tickets[[#This Row],[reopened]]="Yes",1,0)</f>
        <v>1</v>
      </c>
      <c r="R993" t="str" cm="1">
        <f t="array" ref="R993">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993" t="str" cm="1">
        <f t="array" ref="S99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993" t="str">
        <f>TEXT(tbl_analysis_tickets[[#This Row],[created_date]],"mmm-yyyy")</f>
        <v>Jan-2024</v>
      </c>
      <c r="U993" t="str">
        <f>TEXT(tbl_analysis_tickets[[#This Row],[created_date]],"dddd")</f>
        <v>Sunday</v>
      </c>
      <c r="V993" cm="1">
        <f t="array" ref="V993">_xlfn.SWITCH(tbl_analysis_tickets[[#This Row],[priority]],
"Urgent",1,
"High",2,
"Medium",3,
"Low",4
)</f>
        <v>4</v>
      </c>
    </row>
    <row r="994" spans="1:22" x14ac:dyDescent="0.25">
      <c r="A994">
        <v>993</v>
      </c>
      <c r="B994" s="1">
        <v>45370</v>
      </c>
      <c r="C994" t="s">
        <v>10</v>
      </c>
      <c r="D994" t="s">
        <v>17</v>
      </c>
      <c r="E994">
        <v>179</v>
      </c>
      <c r="F994">
        <v>11</v>
      </c>
      <c r="G994">
        <v>1.7</v>
      </c>
      <c r="H994" t="s">
        <v>18</v>
      </c>
      <c r="I994" t="s">
        <v>16</v>
      </c>
      <c r="J994" t="s">
        <v>11</v>
      </c>
      <c r="K994">
        <f>_xlfn.XLOOKUP(tbl_analysis_tickets[[#This Row],[priority]],tbl_sla[priority],tbl_sla[Resolution SLA Hours])</f>
        <v>8</v>
      </c>
      <c r="L994">
        <f>_xlfn.XLOOKUP(tbl_analysis_tickets[[#This Row],[priority]],tbl_sla[priority],tbl_sla[First Response SLA Minutes])</f>
        <v>30</v>
      </c>
      <c r="M994" t="str">
        <f>IF(tbl_analysis_tickets[[#This Row],[resolution_time_hours]]&gt;tbl_analysis_tickets[[#This Row],[Resolution SLA Hours]],"Breached","Within SLA")</f>
        <v>Breached</v>
      </c>
      <c r="N994" t="str">
        <f>IF(tbl_analysis_tickets[[#This Row],[first_response_minutes]]&gt;tbl_analysis_tickets[[#This Row],[First Response SLA Minutes]],"Breached","Within SLA")</f>
        <v>Breached</v>
      </c>
      <c r="O994" t="str" cm="1">
        <f t="array" ref="O994">_xlfn.IFS(
tbl_analysis_tickets[[#This Row],[agent_experience_years]]&lt;=2,"Junior",
tbl_analysis_tickets[[#This Row],[agent_experience_years]]&lt;=5,"Mid-Level",
tbl_analysis_tickets[[#This Row],[agent_experience_years]]&lt;=8,"Senior",
tbl_analysis_tickets[[#This Row],[agent_experience_years]]&gt;8,"Expert"
)</f>
        <v>Junior</v>
      </c>
      <c r="P994" cm="1">
        <f t="array" ref="P994">_xlfn.SWITCH(tbl_analysis_tickets[[#This Row],[customer_satisfaction]],
"Low",1,
"Medium",2,
"High",3
)</f>
        <v>1</v>
      </c>
      <c r="Q994">
        <f>IF(tbl_analysis_tickets[[#This Row],[reopened]]="Yes",1,0)</f>
        <v>0</v>
      </c>
      <c r="R994" t="str" cm="1">
        <f t="array" ref="R994">_xlfn.IFS(
tbl_analysis_tickets[[#This Row],[first_response_minutes]]&lt;=30,"Very Fast",
tbl_analysis_tickets[[#This Row],[first_response_minutes]]&lt;=120,"Acceptable",
tbl_analysis_tickets[[#This Row],[first_response_minutes]]&lt;=240,"Slow",
tbl_analysis_tickets[[#This Row],[first_response_minutes]]&gt;240,"Very Slow"
)</f>
        <v>Slow</v>
      </c>
      <c r="S994" t="str" cm="1">
        <f t="array" ref="S99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994" t="str">
        <f>TEXT(tbl_analysis_tickets[[#This Row],[created_date]],"mmm-yyyy")</f>
        <v>Mar-2024</v>
      </c>
      <c r="U994" t="str">
        <f>TEXT(tbl_analysis_tickets[[#This Row],[created_date]],"dddd")</f>
        <v>Tuesday</v>
      </c>
      <c r="V994" cm="1">
        <f t="array" ref="V994">_xlfn.SWITCH(tbl_analysis_tickets[[#This Row],[priority]],
"Urgent",1,
"High",2,
"Medium",3,
"Low",4
)</f>
        <v>1</v>
      </c>
    </row>
    <row r="995" spans="1:22" x14ac:dyDescent="0.25">
      <c r="A995">
        <v>994</v>
      </c>
      <c r="B995" s="1">
        <v>45521</v>
      </c>
      <c r="C995" t="s">
        <v>21</v>
      </c>
      <c r="D995" t="s">
        <v>20</v>
      </c>
      <c r="E995">
        <v>162</v>
      </c>
      <c r="F995">
        <v>2</v>
      </c>
      <c r="G995">
        <v>7.9</v>
      </c>
      <c r="H995" t="s">
        <v>12</v>
      </c>
      <c r="I995" t="s">
        <v>19</v>
      </c>
      <c r="J995" t="s">
        <v>15</v>
      </c>
      <c r="K995">
        <f>_xlfn.XLOOKUP(tbl_analysis_tickets[[#This Row],[priority]],tbl_sla[priority],tbl_sla[Resolution SLA Hours])</f>
        <v>24</v>
      </c>
      <c r="L995">
        <f>_xlfn.XLOOKUP(tbl_analysis_tickets[[#This Row],[priority]],tbl_sla[priority],tbl_sla[First Response SLA Minutes])</f>
        <v>60</v>
      </c>
      <c r="M995" t="str">
        <f>IF(tbl_analysis_tickets[[#This Row],[resolution_time_hours]]&gt;tbl_analysis_tickets[[#This Row],[Resolution SLA Hours]],"Breached","Within SLA")</f>
        <v>Within SLA</v>
      </c>
      <c r="N995" t="str">
        <f>IF(tbl_analysis_tickets[[#This Row],[first_response_minutes]]&gt;tbl_analysis_tickets[[#This Row],[First Response SLA Minutes]],"Breached","Within SLA")</f>
        <v>Breached</v>
      </c>
      <c r="O995" t="str" cm="1">
        <f t="array" ref="O995">_xlfn.IFS(
tbl_analysis_tickets[[#This Row],[agent_experience_years]]&lt;=2,"Junior",
tbl_analysis_tickets[[#This Row],[agent_experience_years]]&lt;=5,"Mid-Level",
tbl_analysis_tickets[[#This Row],[agent_experience_years]]&lt;=8,"Senior",
tbl_analysis_tickets[[#This Row],[agent_experience_years]]&gt;8,"Expert"
)</f>
        <v>Senior</v>
      </c>
      <c r="P995" cm="1">
        <f t="array" ref="P995">_xlfn.SWITCH(tbl_analysis_tickets[[#This Row],[customer_satisfaction]],
"Low",1,
"Medium",2,
"High",3
)</f>
        <v>2</v>
      </c>
      <c r="Q995">
        <f>IF(tbl_analysis_tickets[[#This Row],[reopened]]="Yes",1,0)</f>
        <v>1</v>
      </c>
      <c r="R995" t="str" cm="1">
        <f t="array" ref="R995">_xlfn.IFS(
tbl_analysis_tickets[[#This Row],[first_response_minutes]]&lt;=30,"Very Fast",
tbl_analysis_tickets[[#This Row],[first_response_minutes]]&lt;=120,"Acceptable",
tbl_analysis_tickets[[#This Row],[first_response_minutes]]&lt;=240,"Slow",
tbl_analysis_tickets[[#This Row],[first_response_minutes]]&gt;240,"Very Slow"
)</f>
        <v>Slow</v>
      </c>
      <c r="S995" t="str" cm="1">
        <f t="array" ref="S99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995" t="str">
        <f>TEXT(tbl_analysis_tickets[[#This Row],[created_date]],"mmm-yyyy")</f>
        <v>Aug-2024</v>
      </c>
      <c r="U995" t="str">
        <f>TEXT(tbl_analysis_tickets[[#This Row],[created_date]],"dddd")</f>
        <v>Saturday</v>
      </c>
      <c r="V995" cm="1">
        <f t="array" ref="V995">_xlfn.SWITCH(tbl_analysis_tickets[[#This Row],[priority]],
"Urgent",1,
"High",2,
"Medium",3,
"Low",4
)</f>
        <v>2</v>
      </c>
    </row>
    <row r="996" spans="1:22" x14ac:dyDescent="0.25">
      <c r="A996">
        <v>995</v>
      </c>
      <c r="B996" s="1">
        <v>45458</v>
      </c>
      <c r="C996" t="s">
        <v>21</v>
      </c>
      <c r="D996" t="s">
        <v>17</v>
      </c>
      <c r="E996">
        <v>106</v>
      </c>
      <c r="F996">
        <v>26</v>
      </c>
      <c r="G996">
        <v>5</v>
      </c>
      <c r="H996" t="s">
        <v>12</v>
      </c>
      <c r="I996" t="s">
        <v>19</v>
      </c>
      <c r="J996" t="s">
        <v>11</v>
      </c>
      <c r="K996">
        <f>_xlfn.XLOOKUP(tbl_analysis_tickets[[#This Row],[priority]],tbl_sla[priority],tbl_sla[Resolution SLA Hours])</f>
        <v>8</v>
      </c>
      <c r="L996">
        <f>_xlfn.XLOOKUP(tbl_analysis_tickets[[#This Row],[priority]],tbl_sla[priority],tbl_sla[First Response SLA Minutes])</f>
        <v>30</v>
      </c>
      <c r="M996" t="str">
        <f>IF(tbl_analysis_tickets[[#This Row],[resolution_time_hours]]&gt;tbl_analysis_tickets[[#This Row],[Resolution SLA Hours]],"Breached","Within SLA")</f>
        <v>Breached</v>
      </c>
      <c r="N996" t="str">
        <f>IF(tbl_analysis_tickets[[#This Row],[first_response_minutes]]&gt;tbl_analysis_tickets[[#This Row],[First Response SLA Minutes]],"Breached","Within SLA")</f>
        <v>Breached</v>
      </c>
      <c r="O996" t="str" cm="1">
        <f t="array" ref="O996">_xlfn.IFS(
tbl_analysis_tickets[[#This Row],[agent_experience_years]]&lt;=2,"Junior",
tbl_analysis_tickets[[#This Row],[agent_experience_years]]&lt;=5,"Mid-Level",
tbl_analysis_tickets[[#This Row],[agent_experience_years]]&lt;=8,"Senior",
tbl_analysis_tickets[[#This Row],[agent_experience_years]]&gt;8,"Expert"
)</f>
        <v>Mid-Level</v>
      </c>
      <c r="P996" cm="1">
        <f t="array" ref="P996">_xlfn.SWITCH(tbl_analysis_tickets[[#This Row],[customer_satisfaction]],
"Low",1,
"Medium",2,
"High",3
)</f>
        <v>1</v>
      </c>
      <c r="Q996">
        <f>IF(tbl_analysis_tickets[[#This Row],[reopened]]="Yes",1,0)</f>
        <v>1</v>
      </c>
      <c r="R996" t="str" cm="1">
        <f t="array" ref="R996">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996" t="str" cm="1">
        <f t="array" ref="S99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996" t="str">
        <f>TEXT(tbl_analysis_tickets[[#This Row],[created_date]],"mmm-yyyy")</f>
        <v>Jun-2024</v>
      </c>
      <c r="U996" t="str">
        <f>TEXT(tbl_analysis_tickets[[#This Row],[created_date]],"dddd")</f>
        <v>Saturday</v>
      </c>
      <c r="V996" cm="1">
        <f t="array" ref="V996">_xlfn.SWITCH(tbl_analysis_tickets[[#This Row],[priority]],
"Urgent",1,
"High",2,
"Medium",3,
"Low",4
)</f>
        <v>1</v>
      </c>
    </row>
    <row r="997" spans="1:22" x14ac:dyDescent="0.25">
      <c r="A997">
        <v>996</v>
      </c>
      <c r="B997" s="1">
        <v>45500</v>
      </c>
      <c r="C997" t="s">
        <v>21</v>
      </c>
      <c r="D997" t="s">
        <v>15</v>
      </c>
      <c r="E997">
        <v>174</v>
      </c>
      <c r="F997">
        <v>68</v>
      </c>
      <c r="G997">
        <v>1.5</v>
      </c>
      <c r="H997" t="s">
        <v>12</v>
      </c>
      <c r="I997" t="s">
        <v>13</v>
      </c>
      <c r="J997" t="s">
        <v>11</v>
      </c>
      <c r="K997">
        <f>_xlfn.XLOOKUP(tbl_analysis_tickets[[#This Row],[priority]],tbl_sla[priority],tbl_sla[Resolution SLA Hours])</f>
        <v>48</v>
      </c>
      <c r="L997">
        <f>_xlfn.XLOOKUP(tbl_analysis_tickets[[#This Row],[priority]],tbl_sla[priority],tbl_sla[First Response SLA Minutes])</f>
        <v>120</v>
      </c>
      <c r="M997" t="str">
        <f>IF(tbl_analysis_tickets[[#This Row],[resolution_time_hours]]&gt;tbl_analysis_tickets[[#This Row],[Resolution SLA Hours]],"Breached","Within SLA")</f>
        <v>Breached</v>
      </c>
      <c r="N997" t="str">
        <f>IF(tbl_analysis_tickets[[#This Row],[first_response_minutes]]&gt;tbl_analysis_tickets[[#This Row],[First Response SLA Minutes]],"Breached","Within SLA")</f>
        <v>Breached</v>
      </c>
      <c r="O997" t="str" cm="1">
        <f t="array" ref="O997">_xlfn.IFS(
tbl_analysis_tickets[[#This Row],[agent_experience_years]]&lt;=2,"Junior",
tbl_analysis_tickets[[#This Row],[agent_experience_years]]&lt;=5,"Mid-Level",
tbl_analysis_tickets[[#This Row],[agent_experience_years]]&lt;=8,"Senior",
tbl_analysis_tickets[[#This Row],[agent_experience_years]]&gt;8,"Expert"
)</f>
        <v>Junior</v>
      </c>
      <c r="P997" cm="1">
        <f t="array" ref="P997">_xlfn.SWITCH(tbl_analysis_tickets[[#This Row],[customer_satisfaction]],
"Low",1,
"Medium",2,
"High",3
)</f>
        <v>1</v>
      </c>
      <c r="Q997">
        <f>IF(tbl_analysis_tickets[[#This Row],[reopened]]="Yes",1,0)</f>
        <v>1</v>
      </c>
      <c r="R997" t="str" cm="1">
        <f t="array" ref="R997">_xlfn.IFS(
tbl_analysis_tickets[[#This Row],[first_response_minutes]]&lt;=30,"Very Fast",
tbl_analysis_tickets[[#This Row],[first_response_minutes]]&lt;=120,"Acceptable",
tbl_analysis_tickets[[#This Row],[first_response_minutes]]&lt;=240,"Slow",
tbl_analysis_tickets[[#This Row],[first_response_minutes]]&gt;240,"Very Slow"
)</f>
        <v>Slow</v>
      </c>
      <c r="S997" t="str" cm="1">
        <f t="array" ref="S99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997" t="str">
        <f>TEXT(tbl_analysis_tickets[[#This Row],[created_date]],"mmm-yyyy")</f>
        <v>Jul-2024</v>
      </c>
      <c r="U997" t="str">
        <f>TEXT(tbl_analysis_tickets[[#This Row],[created_date]],"dddd")</f>
        <v>Saturday</v>
      </c>
      <c r="V997" cm="1">
        <f t="array" ref="V997">_xlfn.SWITCH(tbl_analysis_tickets[[#This Row],[priority]],
"Urgent",1,
"High",2,
"Medium",3,
"Low",4
)</f>
        <v>3</v>
      </c>
    </row>
    <row r="998" spans="1:22" x14ac:dyDescent="0.25">
      <c r="A998">
        <v>997</v>
      </c>
      <c r="B998" s="1">
        <v>45357</v>
      </c>
      <c r="C998" t="s">
        <v>21</v>
      </c>
      <c r="D998" t="s">
        <v>17</v>
      </c>
      <c r="E998">
        <v>9</v>
      </c>
      <c r="F998">
        <v>48</v>
      </c>
      <c r="G998">
        <v>0.5</v>
      </c>
      <c r="H998" t="s">
        <v>12</v>
      </c>
      <c r="I998" t="s">
        <v>16</v>
      </c>
      <c r="J998" t="s">
        <v>11</v>
      </c>
      <c r="K998">
        <f>_xlfn.XLOOKUP(tbl_analysis_tickets[[#This Row],[priority]],tbl_sla[priority],tbl_sla[Resolution SLA Hours])</f>
        <v>8</v>
      </c>
      <c r="L998">
        <f>_xlfn.XLOOKUP(tbl_analysis_tickets[[#This Row],[priority]],tbl_sla[priority],tbl_sla[First Response SLA Minutes])</f>
        <v>30</v>
      </c>
      <c r="M998" t="str">
        <f>IF(tbl_analysis_tickets[[#This Row],[resolution_time_hours]]&gt;tbl_analysis_tickets[[#This Row],[Resolution SLA Hours]],"Breached","Within SLA")</f>
        <v>Breached</v>
      </c>
      <c r="N998" t="str">
        <f>IF(tbl_analysis_tickets[[#This Row],[first_response_minutes]]&gt;tbl_analysis_tickets[[#This Row],[First Response SLA Minutes]],"Breached","Within SLA")</f>
        <v>Within SLA</v>
      </c>
      <c r="O998" t="str" cm="1">
        <f t="array" ref="O998">_xlfn.IFS(
tbl_analysis_tickets[[#This Row],[agent_experience_years]]&lt;=2,"Junior",
tbl_analysis_tickets[[#This Row],[agent_experience_years]]&lt;=5,"Mid-Level",
tbl_analysis_tickets[[#This Row],[agent_experience_years]]&lt;=8,"Senior",
tbl_analysis_tickets[[#This Row],[agent_experience_years]]&gt;8,"Expert"
)</f>
        <v>Junior</v>
      </c>
      <c r="P998" cm="1">
        <f t="array" ref="P998">_xlfn.SWITCH(tbl_analysis_tickets[[#This Row],[customer_satisfaction]],
"Low",1,
"Medium",2,
"High",3
)</f>
        <v>1</v>
      </c>
      <c r="Q998">
        <f>IF(tbl_analysis_tickets[[#This Row],[reopened]]="Yes",1,0)</f>
        <v>1</v>
      </c>
      <c r="R998" t="str" cm="1">
        <f t="array" ref="R998">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998" t="str" cm="1">
        <f t="array" ref="S99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998" t="str">
        <f>TEXT(tbl_analysis_tickets[[#This Row],[created_date]],"mmm-yyyy")</f>
        <v>Mar-2024</v>
      </c>
      <c r="U998" t="str">
        <f>TEXT(tbl_analysis_tickets[[#This Row],[created_date]],"dddd")</f>
        <v>Wednesday</v>
      </c>
      <c r="V998" cm="1">
        <f t="array" ref="V998">_xlfn.SWITCH(tbl_analysis_tickets[[#This Row],[priority]],
"Urgent",1,
"High",2,
"Medium",3,
"Low",4
)</f>
        <v>1</v>
      </c>
    </row>
    <row r="999" spans="1:22" x14ac:dyDescent="0.25">
      <c r="A999">
        <v>998</v>
      </c>
      <c r="B999" s="1">
        <v>45567</v>
      </c>
      <c r="C999" t="s">
        <v>10</v>
      </c>
      <c r="D999" t="s">
        <v>11</v>
      </c>
      <c r="E999">
        <v>123</v>
      </c>
      <c r="F999">
        <v>61</v>
      </c>
      <c r="G999">
        <v>3.4</v>
      </c>
      <c r="H999" t="s">
        <v>18</v>
      </c>
      <c r="I999" t="s">
        <v>19</v>
      </c>
      <c r="J999" t="s">
        <v>11</v>
      </c>
      <c r="K999">
        <f>_xlfn.XLOOKUP(tbl_analysis_tickets[[#This Row],[priority]],tbl_sla[priority],tbl_sla[Resolution SLA Hours])</f>
        <v>72</v>
      </c>
      <c r="L999">
        <f>_xlfn.XLOOKUP(tbl_analysis_tickets[[#This Row],[priority]],tbl_sla[priority],tbl_sla[First Response SLA Minutes])</f>
        <v>240</v>
      </c>
      <c r="M999" t="str">
        <f>IF(tbl_analysis_tickets[[#This Row],[resolution_time_hours]]&gt;tbl_analysis_tickets[[#This Row],[Resolution SLA Hours]],"Breached","Within SLA")</f>
        <v>Within SLA</v>
      </c>
      <c r="N999" t="str">
        <f>IF(tbl_analysis_tickets[[#This Row],[first_response_minutes]]&gt;tbl_analysis_tickets[[#This Row],[First Response SLA Minutes]],"Breached","Within SLA")</f>
        <v>Within SLA</v>
      </c>
      <c r="O999" t="str" cm="1">
        <f t="array" ref="O999">_xlfn.IFS(
tbl_analysis_tickets[[#This Row],[agent_experience_years]]&lt;=2,"Junior",
tbl_analysis_tickets[[#This Row],[agent_experience_years]]&lt;=5,"Mid-Level",
tbl_analysis_tickets[[#This Row],[agent_experience_years]]&lt;=8,"Senior",
tbl_analysis_tickets[[#This Row],[agent_experience_years]]&gt;8,"Expert"
)</f>
        <v>Mid-Level</v>
      </c>
      <c r="P999" cm="1">
        <f t="array" ref="P999">_xlfn.SWITCH(tbl_analysis_tickets[[#This Row],[customer_satisfaction]],
"Low",1,
"Medium",2,
"High",3
)</f>
        <v>1</v>
      </c>
      <c r="Q999">
        <f>IF(tbl_analysis_tickets[[#This Row],[reopened]]="Yes",1,0)</f>
        <v>0</v>
      </c>
      <c r="R999" t="str" cm="1">
        <f t="array" ref="R999">_xlfn.IFS(
tbl_analysis_tickets[[#This Row],[first_response_minutes]]&lt;=30,"Very Fast",
tbl_analysis_tickets[[#This Row],[first_response_minutes]]&lt;=120,"Acceptable",
tbl_analysis_tickets[[#This Row],[first_response_minutes]]&lt;=240,"Slow",
tbl_analysis_tickets[[#This Row],[first_response_minutes]]&gt;240,"Very Slow"
)</f>
        <v>Slow</v>
      </c>
      <c r="S999" t="str" cm="1">
        <f t="array" ref="S99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999" t="str">
        <f>TEXT(tbl_analysis_tickets[[#This Row],[created_date]],"mmm-yyyy")</f>
        <v>Oct-2024</v>
      </c>
      <c r="U999" t="str">
        <f>TEXT(tbl_analysis_tickets[[#This Row],[created_date]],"dddd")</f>
        <v>Wednesday</v>
      </c>
      <c r="V999" cm="1">
        <f t="array" ref="V999">_xlfn.SWITCH(tbl_analysis_tickets[[#This Row],[priority]],
"Urgent",1,
"High",2,
"Medium",3,
"Low",4
)</f>
        <v>4</v>
      </c>
    </row>
    <row r="1000" spans="1:22" x14ac:dyDescent="0.25">
      <c r="A1000">
        <v>999</v>
      </c>
      <c r="B1000" s="1">
        <v>45445</v>
      </c>
      <c r="C1000" t="s">
        <v>14</v>
      </c>
      <c r="D1000" t="s">
        <v>20</v>
      </c>
      <c r="E1000">
        <v>175</v>
      </c>
      <c r="F1000">
        <v>43</v>
      </c>
      <c r="G1000">
        <v>8.8000000000000007</v>
      </c>
      <c r="H1000" t="s">
        <v>18</v>
      </c>
      <c r="I1000" t="s">
        <v>16</v>
      </c>
      <c r="J1000" t="s">
        <v>11</v>
      </c>
      <c r="K1000">
        <f>_xlfn.XLOOKUP(tbl_analysis_tickets[[#This Row],[priority]],tbl_sla[priority],tbl_sla[Resolution SLA Hours])</f>
        <v>24</v>
      </c>
      <c r="L1000">
        <f>_xlfn.XLOOKUP(tbl_analysis_tickets[[#This Row],[priority]],tbl_sla[priority],tbl_sla[First Response SLA Minutes])</f>
        <v>60</v>
      </c>
      <c r="M1000" t="str">
        <f>IF(tbl_analysis_tickets[[#This Row],[resolution_time_hours]]&gt;tbl_analysis_tickets[[#This Row],[Resolution SLA Hours]],"Breached","Within SLA")</f>
        <v>Breached</v>
      </c>
      <c r="N1000" t="str">
        <f>IF(tbl_analysis_tickets[[#This Row],[first_response_minutes]]&gt;tbl_analysis_tickets[[#This Row],[First Response SLA Minutes]],"Breached","Within SLA")</f>
        <v>Breached</v>
      </c>
      <c r="O1000" t="str" cm="1">
        <f t="array" ref="O1000">_xlfn.IFS(
tbl_analysis_tickets[[#This Row],[agent_experience_years]]&lt;=2,"Junior",
tbl_analysis_tickets[[#This Row],[agent_experience_years]]&lt;=5,"Mid-Level",
tbl_analysis_tickets[[#This Row],[agent_experience_years]]&lt;=8,"Senior",
tbl_analysis_tickets[[#This Row],[agent_experience_years]]&gt;8,"Expert"
)</f>
        <v>Expert</v>
      </c>
      <c r="P1000" cm="1">
        <f t="array" ref="P1000">_xlfn.SWITCH(tbl_analysis_tickets[[#This Row],[customer_satisfaction]],
"Low",1,
"Medium",2,
"High",3
)</f>
        <v>1</v>
      </c>
      <c r="Q1000">
        <f>IF(tbl_analysis_tickets[[#This Row],[reopened]]="Yes",1,0)</f>
        <v>0</v>
      </c>
      <c r="R1000" t="str" cm="1">
        <f t="array" ref="R1000">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000" t="str" cm="1">
        <f t="array" ref="S100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000" t="str">
        <f>TEXT(tbl_analysis_tickets[[#This Row],[created_date]],"mmm-yyyy")</f>
        <v>Jun-2024</v>
      </c>
      <c r="U1000" t="str">
        <f>TEXT(tbl_analysis_tickets[[#This Row],[created_date]],"dddd")</f>
        <v>Sunday</v>
      </c>
      <c r="V1000" cm="1">
        <f t="array" ref="V1000">_xlfn.SWITCH(tbl_analysis_tickets[[#This Row],[priority]],
"Urgent",1,
"High",2,
"Medium",3,
"Low",4
)</f>
        <v>2</v>
      </c>
    </row>
    <row r="1001" spans="1:22" x14ac:dyDescent="0.25">
      <c r="A1001">
        <v>1000</v>
      </c>
      <c r="B1001" s="1">
        <v>45367</v>
      </c>
      <c r="C1001" t="s">
        <v>22</v>
      </c>
      <c r="D1001" t="s">
        <v>17</v>
      </c>
      <c r="E1001">
        <v>55</v>
      </c>
      <c r="F1001">
        <v>51</v>
      </c>
      <c r="G1001">
        <v>9.5</v>
      </c>
      <c r="H1001" t="s">
        <v>18</v>
      </c>
      <c r="I1001" t="s">
        <v>19</v>
      </c>
      <c r="J1001" t="s">
        <v>11</v>
      </c>
      <c r="K1001">
        <f>_xlfn.XLOOKUP(tbl_analysis_tickets[[#This Row],[priority]],tbl_sla[priority],tbl_sla[Resolution SLA Hours])</f>
        <v>8</v>
      </c>
      <c r="L1001">
        <f>_xlfn.XLOOKUP(tbl_analysis_tickets[[#This Row],[priority]],tbl_sla[priority],tbl_sla[First Response SLA Minutes])</f>
        <v>30</v>
      </c>
      <c r="M1001" t="str">
        <f>IF(tbl_analysis_tickets[[#This Row],[resolution_time_hours]]&gt;tbl_analysis_tickets[[#This Row],[Resolution SLA Hours]],"Breached","Within SLA")</f>
        <v>Breached</v>
      </c>
      <c r="N1001" t="str">
        <f>IF(tbl_analysis_tickets[[#This Row],[first_response_minutes]]&gt;tbl_analysis_tickets[[#This Row],[First Response SLA Minutes]],"Breached","Within SLA")</f>
        <v>Breached</v>
      </c>
      <c r="O1001" t="str" cm="1">
        <f t="array" ref="O1001">_xlfn.IFS(
tbl_analysis_tickets[[#This Row],[agent_experience_years]]&lt;=2,"Junior",
tbl_analysis_tickets[[#This Row],[agent_experience_years]]&lt;=5,"Mid-Level",
tbl_analysis_tickets[[#This Row],[agent_experience_years]]&lt;=8,"Senior",
tbl_analysis_tickets[[#This Row],[agent_experience_years]]&gt;8,"Expert"
)</f>
        <v>Expert</v>
      </c>
      <c r="P1001" cm="1">
        <f t="array" ref="P1001">_xlfn.SWITCH(tbl_analysis_tickets[[#This Row],[customer_satisfaction]],
"Low",1,
"Medium",2,
"High",3
)</f>
        <v>1</v>
      </c>
      <c r="Q1001">
        <f>IF(tbl_analysis_tickets[[#This Row],[reopened]]="Yes",1,0)</f>
        <v>0</v>
      </c>
      <c r="R1001" t="str" cm="1">
        <f t="array" ref="R1001">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001" t="str" cm="1">
        <f t="array" ref="S100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001" t="str">
        <f>TEXT(tbl_analysis_tickets[[#This Row],[created_date]],"mmm-yyyy")</f>
        <v>Mar-2024</v>
      </c>
      <c r="U1001" t="str">
        <f>TEXT(tbl_analysis_tickets[[#This Row],[created_date]],"dddd")</f>
        <v>Saturday</v>
      </c>
      <c r="V1001" cm="1">
        <f t="array" ref="V1001">_xlfn.SWITCH(tbl_analysis_tickets[[#This Row],[priority]],
"Urgent",1,
"High",2,
"Medium",3,
"Low",4
)</f>
        <v>1</v>
      </c>
    </row>
    <row r="1002" spans="1:22" x14ac:dyDescent="0.25">
      <c r="A1002">
        <v>1001</v>
      </c>
      <c r="B1002" s="1">
        <v>45548</v>
      </c>
      <c r="C1002" t="s">
        <v>22</v>
      </c>
      <c r="D1002" t="s">
        <v>17</v>
      </c>
      <c r="E1002">
        <v>130</v>
      </c>
      <c r="F1002">
        <v>33</v>
      </c>
      <c r="G1002">
        <v>1.5</v>
      </c>
      <c r="H1002" t="s">
        <v>12</v>
      </c>
      <c r="I1002" t="s">
        <v>16</v>
      </c>
      <c r="J1002" t="s">
        <v>11</v>
      </c>
      <c r="K1002">
        <f>_xlfn.XLOOKUP(tbl_analysis_tickets[[#This Row],[priority]],tbl_sla[priority],tbl_sla[Resolution SLA Hours])</f>
        <v>8</v>
      </c>
      <c r="L1002">
        <f>_xlfn.XLOOKUP(tbl_analysis_tickets[[#This Row],[priority]],tbl_sla[priority],tbl_sla[First Response SLA Minutes])</f>
        <v>30</v>
      </c>
      <c r="M1002" t="str">
        <f>IF(tbl_analysis_tickets[[#This Row],[resolution_time_hours]]&gt;tbl_analysis_tickets[[#This Row],[Resolution SLA Hours]],"Breached","Within SLA")</f>
        <v>Breached</v>
      </c>
      <c r="N1002" t="str">
        <f>IF(tbl_analysis_tickets[[#This Row],[first_response_minutes]]&gt;tbl_analysis_tickets[[#This Row],[First Response SLA Minutes]],"Breached","Within SLA")</f>
        <v>Breached</v>
      </c>
      <c r="O1002" t="str" cm="1">
        <f t="array" ref="O1002">_xlfn.IFS(
tbl_analysis_tickets[[#This Row],[agent_experience_years]]&lt;=2,"Junior",
tbl_analysis_tickets[[#This Row],[agent_experience_years]]&lt;=5,"Mid-Level",
tbl_analysis_tickets[[#This Row],[agent_experience_years]]&lt;=8,"Senior",
tbl_analysis_tickets[[#This Row],[agent_experience_years]]&gt;8,"Expert"
)</f>
        <v>Junior</v>
      </c>
      <c r="P1002" cm="1">
        <f t="array" ref="P1002">_xlfn.SWITCH(tbl_analysis_tickets[[#This Row],[customer_satisfaction]],
"Low",1,
"Medium",2,
"High",3
)</f>
        <v>1</v>
      </c>
      <c r="Q1002">
        <f>IF(tbl_analysis_tickets[[#This Row],[reopened]]="Yes",1,0)</f>
        <v>1</v>
      </c>
      <c r="R1002" t="str" cm="1">
        <f t="array" ref="R1002">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002" t="str" cm="1">
        <f t="array" ref="S100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002" t="str">
        <f>TEXT(tbl_analysis_tickets[[#This Row],[created_date]],"mmm-yyyy")</f>
        <v>Sep-2024</v>
      </c>
      <c r="U1002" t="str">
        <f>TEXT(tbl_analysis_tickets[[#This Row],[created_date]],"dddd")</f>
        <v>Friday</v>
      </c>
      <c r="V1002" cm="1">
        <f t="array" ref="V1002">_xlfn.SWITCH(tbl_analysis_tickets[[#This Row],[priority]],
"Urgent",1,
"High",2,
"Medium",3,
"Low",4
)</f>
        <v>1</v>
      </c>
    </row>
    <row r="1003" spans="1:22" x14ac:dyDescent="0.25">
      <c r="A1003">
        <v>1002</v>
      </c>
      <c r="B1003" s="1">
        <v>45608</v>
      </c>
      <c r="C1003" t="s">
        <v>14</v>
      </c>
      <c r="D1003" t="s">
        <v>20</v>
      </c>
      <c r="E1003">
        <v>100</v>
      </c>
      <c r="F1003">
        <v>47</v>
      </c>
      <c r="G1003">
        <v>3.1</v>
      </c>
      <c r="H1003" t="s">
        <v>12</v>
      </c>
      <c r="I1003" t="s">
        <v>19</v>
      </c>
      <c r="J1003" t="s">
        <v>11</v>
      </c>
      <c r="K1003">
        <f>_xlfn.XLOOKUP(tbl_analysis_tickets[[#This Row],[priority]],tbl_sla[priority],tbl_sla[Resolution SLA Hours])</f>
        <v>24</v>
      </c>
      <c r="L1003">
        <f>_xlfn.XLOOKUP(tbl_analysis_tickets[[#This Row],[priority]],tbl_sla[priority],tbl_sla[First Response SLA Minutes])</f>
        <v>60</v>
      </c>
      <c r="M1003" t="str">
        <f>IF(tbl_analysis_tickets[[#This Row],[resolution_time_hours]]&gt;tbl_analysis_tickets[[#This Row],[Resolution SLA Hours]],"Breached","Within SLA")</f>
        <v>Breached</v>
      </c>
      <c r="N1003" t="str">
        <f>IF(tbl_analysis_tickets[[#This Row],[first_response_minutes]]&gt;tbl_analysis_tickets[[#This Row],[First Response SLA Minutes]],"Breached","Within SLA")</f>
        <v>Breached</v>
      </c>
      <c r="O1003" t="str" cm="1">
        <f t="array" ref="O1003">_xlfn.IFS(
tbl_analysis_tickets[[#This Row],[agent_experience_years]]&lt;=2,"Junior",
tbl_analysis_tickets[[#This Row],[agent_experience_years]]&lt;=5,"Mid-Level",
tbl_analysis_tickets[[#This Row],[agent_experience_years]]&lt;=8,"Senior",
tbl_analysis_tickets[[#This Row],[agent_experience_years]]&gt;8,"Expert"
)</f>
        <v>Mid-Level</v>
      </c>
      <c r="P1003" cm="1">
        <f t="array" ref="P1003">_xlfn.SWITCH(tbl_analysis_tickets[[#This Row],[customer_satisfaction]],
"Low",1,
"Medium",2,
"High",3
)</f>
        <v>1</v>
      </c>
      <c r="Q1003">
        <f>IF(tbl_analysis_tickets[[#This Row],[reopened]]="Yes",1,0)</f>
        <v>1</v>
      </c>
      <c r="R1003" t="str" cm="1">
        <f t="array" ref="R1003">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003" t="str" cm="1">
        <f t="array" ref="S100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003" t="str">
        <f>TEXT(tbl_analysis_tickets[[#This Row],[created_date]],"mmm-yyyy")</f>
        <v>Nov-2024</v>
      </c>
      <c r="U1003" t="str">
        <f>TEXT(tbl_analysis_tickets[[#This Row],[created_date]],"dddd")</f>
        <v>Tuesday</v>
      </c>
      <c r="V1003" cm="1">
        <f t="array" ref="V1003">_xlfn.SWITCH(tbl_analysis_tickets[[#This Row],[priority]],
"Urgent",1,
"High",2,
"Medium",3,
"Low",4
)</f>
        <v>2</v>
      </c>
    </row>
    <row r="1004" spans="1:22" x14ac:dyDescent="0.25">
      <c r="A1004">
        <v>1003</v>
      </c>
      <c r="B1004" s="1">
        <v>45610</v>
      </c>
      <c r="C1004" t="s">
        <v>21</v>
      </c>
      <c r="D1004" t="s">
        <v>15</v>
      </c>
      <c r="E1004">
        <v>33</v>
      </c>
      <c r="F1004">
        <v>7</v>
      </c>
      <c r="G1004">
        <v>4.5999999999999996</v>
      </c>
      <c r="H1004" t="s">
        <v>18</v>
      </c>
      <c r="I1004" t="s">
        <v>19</v>
      </c>
      <c r="J1004" t="s">
        <v>11</v>
      </c>
      <c r="K1004">
        <f>_xlfn.XLOOKUP(tbl_analysis_tickets[[#This Row],[priority]],tbl_sla[priority],tbl_sla[Resolution SLA Hours])</f>
        <v>48</v>
      </c>
      <c r="L1004">
        <f>_xlfn.XLOOKUP(tbl_analysis_tickets[[#This Row],[priority]],tbl_sla[priority],tbl_sla[First Response SLA Minutes])</f>
        <v>120</v>
      </c>
      <c r="M1004" t="str">
        <f>IF(tbl_analysis_tickets[[#This Row],[resolution_time_hours]]&gt;tbl_analysis_tickets[[#This Row],[Resolution SLA Hours]],"Breached","Within SLA")</f>
        <v>Within SLA</v>
      </c>
      <c r="N1004" t="str">
        <f>IF(tbl_analysis_tickets[[#This Row],[first_response_minutes]]&gt;tbl_analysis_tickets[[#This Row],[First Response SLA Minutes]],"Breached","Within SLA")</f>
        <v>Within SLA</v>
      </c>
      <c r="O1004" t="str" cm="1">
        <f t="array" ref="O1004">_xlfn.IFS(
tbl_analysis_tickets[[#This Row],[agent_experience_years]]&lt;=2,"Junior",
tbl_analysis_tickets[[#This Row],[agent_experience_years]]&lt;=5,"Mid-Level",
tbl_analysis_tickets[[#This Row],[agent_experience_years]]&lt;=8,"Senior",
tbl_analysis_tickets[[#This Row],[agent_experience_years]]&gt;8,"Expert"
)</f>
        <v>Mid-Level</v>
      </c>
      <c r="P1004" cm="1">
        <f t="array" ref="P1004">_xlfn.SWITCH(tbl_analysis_tickets[[#This Row],[customer_satisfaction]],
"Low",1,
"Medium",2,
"High",3
)</f>
        <v>1</v>
      </c>
      <c r="Q1004">
        <f>IF(tbl_analysis_tickets[[#This Row],[reopened]]="Yes",1,0)</f>
        <v>0</v>
      </c>
      <c r="R1004" t="str" cm="1">
        <f t="array" ref="R1004">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004" t="str" cm="1">
        <f t="array" ref="S100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1004" t="str">
        <f>TEXT(tbl_analysis_tickets[[#This Row],[created_date]],"mmm-yyyy")</f>
        <v>Nov-2024</v>
      </c>
      <c r="U1004" t="str">
        <f>TEXT(tbl_analysis_tickets[[#This Row],[created_date]],"dddd")</f>
        <v>Thursday</v>
      </c>
      <c r="V1004" cm="1">
        <f t="array" ref="V1004">_xlfn.SWITCH(tbl_analysis_tickets[[#This Row],[priority]],
"Urgent",1,
"High",2,
"Medium",3,
"Low",4
)</f>
        <v>3</v>
      </c>
    </row>
    <row r="1005" spans="1:22" x14ac:dyDescent="0.25">
      <c r="A1005">
        <v>1004</v>
      </c>
      <c r="B1005" s="1">
        <v>45306</v>
      </c>
      <c r="C1005" t="s">
        <v>23</v>
      </c>
      <c r="D1005" t="s">
        <v>20</v>
      </c>
      <c r="E1005">
        <v>238</v>
      </c>
      <c r="F1005">
        <v>47</v>
      </c>
      <c r="G1005">
        <v>3.2</v>
      </c>
      <c r="H1005" t="s">
        <v>18</v>
      </c>
      <c r="I1005" t="s">
        <v>13</v>
      </c>
      <c r="J1005" t="s">
        <v>11</v>
      </c>
      <c r="K1005">
        <f>_xlfn.XLOOKUP(tbl_analysis_tickets[[#This Row],[priority]],tbl_sla[priority],tbl_sla[Resolution SLA Hours])</f>
        <v>24</v>
      </c>
      <c r="L1005">
        <f>_xlfn.XLOOKUP(tbl_analysis_tickets[[#This Row],[priority]],tbl_sla[priority],tbl_sla[First Response SLA Minutes])</f>
        <v>60</v>
      </c>
      <c r="M1005" t="str">
        <f>IF(tbl_analysis_tickets[[#This Row],[resolution_time_hours]]&gt;tbl_analysis_tickets[[#This Row],[Resolution SLA Hours]],"Breached","Within SLA")</f>
        <v>Breached</v>
      </c>
      <c r="N1005" t="str">
        <f>IF(tbl_analysis_tickets[[#This Row],[first_response_minutes]]&gt;tbl_analysis_tickets[[#This Row],[First Response SLA Minutes]],"Breached","Within SLA")</f>
        <v>Breached</v>
      </c>
      <c r="O1005" t="str" cm="1">
        <f t="array" ref="O1005">_xlfn.IFS(
tbl_analysis_tickets[[#This Row],[agent_experience_years]]&lt;=2,"Junior",
tbl_analysis_tickets[[#This Row],[agent_experience_years]]&lt;=5,"Mid-Level",
tbl_analysis_tickets[[#This Row],[agent_experience_years]]&lt;=8,"Senior",
tbl_analysis_tickets[[#This Row],[agent_experience_years]]&gt;8,"Expert"
)</f>
        <v>Mid-Level</v>
      </c>
      <c r="P1005" cm="1">
        <f t="array" ref="P1005">_xlfn.SWITCH(tbl_analysis_tickets[[#This Row],[customer_satisfaction]],
"Low",1,
"Medium",2,
"High",3
)</f>
        <v>1</v>
      </c>
      <c r="Q1005">
        <f>IF(tbl_analysis_tickets[[#This Row],[reopened]]="Yes",1,0)</f>
        <v>0</v>
      </c>
      <c r="R1005" t="str" cm="1">
        <f t="array" ref="R1005">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005" t="str" cm="1">
        <f t="array" ref="S100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005" t="str">
        <f>TEXT(tbl_analysis_tickets[[#This Row],[created_date]],"mmm-yyyy")</f>
        <v>Jan-2024</v>
      </c>
      <c r="U1005" t="str">
        <f>TEXT(tbl_analysis_tickets[[#This Row],[created_date]],"dddd")</f>
        <v>Monday</v>
      </c>
      <c r="V1005" cm="1">
        <f t="array" ref="V1005">_xlfn.SWITCH(tbl_analysis_tickets[[#This Row],[priority]],
"Urgent",1,
"High",2,
"Medium",3,
"Low",4
)</f>
        <v>2</v>
      </c>
    </row>
    <row r="1006" spans="1:22" x14ac:dyDescent="0.25">
      <c r="A1006">
        <v>1005</v>
      </c>
      <c r="B1006" s="1">
        <v>45347</v>
      </c>
      <c r="C1006" t="s">
        <v>22</v>
      </c>
      <c r="D1006" t="s">
        <v>15</v>
      </c>
      <c r="E1006">
        <v>8</v>
      </c>
      <c r="F1006">
        <v>28</v>
      </c>
      <c r="G1006">
        <v>0.8</v>
      </c>
      <c r="H1006" t="s">
        <v>18</v>
      </c>
      <c r="I1006" t="s">
        <v>19</v>
      </c>
      <c r="J1006" t="s">
        <v>15</v>
      </c>
      <c r="K1006">
        <f>_xlfn.XLOOKUP(tbl_analysis_tickets[[#This Row],[priority]],tbl_sla[priority],tbl_sla[Resolution SLA Hours])</f>
        <v>48</v>
      </c>
      <c r="L1006">
        <f>_xlfn.XLOOKUP(tbl_analysis_tickets[[#This Row],[priority]],tbl_sla[priority],tbl_sla[First Response SLA Minutes])</f>
        <v>120</v>
      </c>
      <c r="M1006" t="str">
        <f>IF(tbl_analysis_tickets[[#This Row],[resolution_time_hours]]&gt;tbl_analysis_tickets[[#This Row],[Resolution SLA Hours]],"Breached","Within SLA")</f>
        <v>Within SLA</v>
      </c>
      <c r="N1006" t="str">
        <f>IF(tbl_analysis_tickets[[#This Row],[first_response_minutes]]&gt;tbl_analysis_tickets[[#This Row],[First Response SLA Minutes]],"Breached","Within SLA")</f>
        <v>Within SLA</v>
      </c>
      <c r="O1006" t="str" cm="1">
        <f t="array" ref="O1006">_xlfn.IFS(
tbl_analysis_tickets[[#This Row],[agent_experience_years]]&lt;=2,"Junior",
tbl_analysis_tickets[[#This Row],[agent_experience_years]]&lt;=5,"Mid-Level",
tbl_analysis_tickets[[#This Row],[agent_experience_years]]&lt;=8,"Senior",
tbl_analysis_tickets[[#This Row],[agent_experience_years]]&gt;8,"Expert"
)</f>
        <v>Junior</v>
      </c>
      <c r="P1006" cm="1">
        <f t="array" ref="P1006">_xlfn.SWITCH(tbl_analysis_tickets[[#This Row],[customer_satisfaction]],
"Low",1,
"Medium",2,
"High",3
)</f>
        <v>2</v>
      </c>
      <c r="Q1006">
        <f>IF(tbl_analysis_tickets[[#This Row],[reopened]]="Yes",1,0)</f>
        <v>0</v>
      </c>
      <c r="R1006" t="str" cm="1">
        <f t="array" ref="R1006">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1006" t="str" cm="1">
        <f t="array" ref="S100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006" t="str">
        <f>TEXT(tbl_analysis_tickets[[#This Row],[created_date]],"mmm-yyyy")</f>
        <v>Feb-2024</v>
      </c>
      <c r="U1006" t="str">
        <f>TEXT(tbl_analysis_tickets[[#This Row],[created_date]],"dddd")</f>
        <v>Sunday</v>
      </c>
      <c r="V1006" cm="1">
        <f t="array" ref="V1006">_xlfn.SWITCH(tbl_analysis_tickets[[#This Row],[priority]],
"Urgent",1,
"High",2,
"Medium",3,
"Low",4
)</f>
        <v>3</v>
      </c>
    </row>
    <row r="1007" spans="1:22" x14ac:dyDescent="0.25">
      <c r="A1007">
        <v>1006</v>
      </c>
      <c r="B1007" s="1">
        <v>45334</v>
      </c>
      <c r="C1007" t="s">
        <v>14</v>
      </c>
      <c r="D1007" t="s">
        <v>11</v>
      </c>
      <c r="E1007">
        <v>155</v>
      </c>
      <c r="F1007">
        <v>45</v>
      </c>
      <c r="G1007">
        <v>5.4</v>
      </c>
      <c r="H1007" t="s">
        <v>12</v>
      </c>
      <c r="I1007" t="s">
        <v>19</v>
      </c>
      <c r="J1007" t="s">
        <v>11</v>
      </c>
      <c r="K1007">
        <f>_xlfn.XLOOKUP(tbl_analysis_tickets[[#This Row],[priority]],tbl_sla[priority],tbl_sla[Resolution SLA Hours])</f>
        <v>72</v>
      </c>
      <c r="L1007">
        <f>_xlfn.XLOOKUP(tbl_analysis_tickets[[#This Row],[priority]],tbl_sla[priority],tbl_sla[First Response SLA Minutes])</f>
        <v>240</v>
      </c>
      <c r="M1007" t="str">
        <f>IF(tbl_analysis_tickets[[#This Row],[resolution_time_hours]]&gt;tbl_analysis_tickets[[#This Row],[Resolution SLA Hours]],"Breached","Within SLA")</f>
        <v>Within SLA</v>
      </c>
      <c r="N1007" t="str">
        <f>IF(tbl_analysis_tickets[[#This Row],[first_response_minutes]]&gt;tbl_analysis_tickets[[#This Row],[First Response SLA Minutes]],"Breached","Within SLA")</f>
        <v>Within SLA</v>
      </c>
      <c r="O1007" t="str" cm="1">
        <f t="array" ref="O1007">_xlfn.IFS(
tbl_analysis_tickets[[#This Row],[agent_experience_years]]&lt;=2,"Junior",
tbl_analysis_tickets[[#This Row],[agent_experience_years]]&lt;=5,"Mid-Level",
tbl_analysis_tickets[[#This Row],[agent_experience_years]]&lt;=8,"Senior",
tbl_analysis_tickets[[#This Row],[agent_experience_years]]&gt;8,"Expert"
)</f>
        <v>Senior</v>
      </c>
      <c r="P1007" cm="1">
        <f t="array" ref="P1007">_xlfn.SWITCH(tbl_analysis_tickets[[#This Row],[customer_satisfaction]],
"Low",1,
"Medium",2,
"High",3
)</f>
        <v>1</v>
      </c>
      <c r="Q1007">
        <f>IF(tbl_analysis_tickets[[#This Row],[reopened]]="Yes",1,0)</f>
        <v>1</v>
      </c>
      <c r="R1007" t="str" cm="1">
        <f t="array" ref="R1007">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007" t="str" cm="1">
        <f t="array" ref="S100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007" t="str">
        <f>TEXT(tbl_analysis_tickets[[#This Row],[created_date]],"mmm-yyyy")</f>
        <v>Feb-2024</v>
      </c>
      <c r="U1007" t="str">
        <f>TEXT(tbl_analysis_tickets[[#This Row],[created_date]],"dddd")</f>
        <v>Monday</v>
      </c>
      <c r="V1007" cm="1">
        <f t="array" ref="V1007">_xlfn.SWITCH(tbl_analysis_tickets[[#This Row],[priority]],
"Urgent",1,
"High",2,
"Medium",3,
"Low",4
)</f>
        <v>4</v>
      </c>
    </row>
    <row r="1008" spans="1:22" x14ac:dyDescent="0.25">
      <c r="A1008">
        <v>1007</v>
      </c>
      <c r="B1008" s="1">
        <v>45468</v>
      </c>
      <c r="C1008" t="s">
        <v>22</v>
      </c>
      <c r="D1008" t="s">
        <v>15</v>
      </c>
      <c r="E1008">
        <v>82</v>
      </c>
      <c r="F1008">
        <v>25</v>
      </c>
      <c r="G1008">
        <v>3.6</v>
      </c>
      <c r="H1008" t="s">
        <v>12</v>
      </c>
      <c r="I1008" t="s">
        <v>13</v>
      </c>
      <c r="J1008" t="s">
        <v>11</v>
      </c>
      <c r="K1008">
        <f>_xlfn.XLOOKUP(tbl_analysis_tickets[[#This Row],[priority]],tbl_sla[priority],tbl_sla[Resolution SLA Hours])</f>
        <v>48</v>
      </c>
      <c r="L1008">
        <f>_xlfn.XLOOKUP(tbl_analysis_tickets[[#This Row],[priority]],tbl_sla[priority],tbl_sla[First Response SLA Minutes])</f>
        <v>120</v>
      </c>
      <c r="M1008" t="str">
        <f>IF(tbl_analysis_tickets[[#This Row],[resolution_time_hours]]&gt;tbl_analysis_tickets[[#This Row],[Resolution SLA Hours]],"Breached","Within SLA")</f>
        <v>Within SLA</v>
      </c>
      <c r="N1008" t="str">
        <f>IF(tbl_analysis_tickets[[#This Row],[first_response_minutes]]&gt;tbl_analysis_tickets[[#This Row],[First Response SLA Minutes]],"Breached","Within SLA")</f>
        <v>Within SLA</v>
      </c>
      <c r="O1008" t="str" cm="1">
        <f t="array" ref="O1008">_xlfn.IFS(
tbl_analysis_tickets[[#This Row],[agent_experience_years]]&lt;=2,"Junior",
tbl_analysis_tickets[[#This Row],[agent_experience_years]]&lt;=5,"Mid-Level",
tbl_analysis_tickets[[#This Row],[agent_experience_years]]&lt;=8,"Senior",
tbl_analysis_tickets[[#This Row],[agent_experience_years]]&gt;8,"Expert"
)</f>
        <v>Mid-Level</v>
      </c>
      <c r="P1008" cm="1">
        <f t="array" ref="P1008">_xlfn.SWITCH(tbl_analysis_tickets[[#This Row],[customer_satisfaction]],
"Low",1,
"Medium",2,
"High",3
)</f>
        <v>1</v>
      </c>
      <c r="Q1008">
        <f>IF(tbl_analysis_tickets[[#This Row],[reopened]]="Yes",1,0)</f>
        <v>1</v>
      </c>
      <c r="R1008" t="str" cm="1">
        <f t="array" ref="R1008">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008" t="str" cm="1">
        <f t="array" ref="S100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008" t="str">
        <f>TEXT(tbl_analysis_tickets[[#This Row],[created_date]],"mmm-yyyy")</f>
        <v>Jun-2024</v>
      </c>
      <c r="U1008" t="str">
        <f>TEXT(tbl_analysis_tickets[[#This Row],[created_date]],"dddd")</f>
        <v>Tuesday</v>
      </c>
      <c r="V1008" cm="1">
        <f t="array" ref="V1008">_xlfn.SWITCH(tbl_analysis_tickets[[#This Row],[priority]],
"Urgent",1,
"High",2,
"Medium",3,
"Low",4
)</f>
        <v>3</v>
      </c>
    </row>
    <row r="1009" spans="1:22" x14ac:dyDescent="0.25">
      <c r="A1009">
        <v>1008</v>
      </c>
      <c r="B1009" s="1">
        <v>45444</v>
      </c>
      <c r="C1009" t="s">
        <v>21</v>
      </c>
      <c r="D1009" t="s">
        <v>11</v>
      </c>
      <c r="E1009">
        <v>18</v>
      </c>
      <c r="F1009">
        <v>45</v>
      </c>
      <c r="G1009">
        <v>3.5</v>
      </c>
      <c r="H1009" t="s">
        <v>18</v>
      </c>
      <c r="I1009" t="s">
        <v>16</v>
      </c>
      <c r="J1009" t="s">
        <v>15</v>
      </c>
      <c r="K1009">
        <f>_xlfn.XLOOKUP(tbl_analysis_tickets[[#This Row],[priority]],tbl_sla[priority],tbl_sla[Resolution SLA Hours])</f>
        <v>72</v>
      </c>
      <c r="L1009">
        <f>_xlfn.XLOOKUP(tbl_analysis_tickets[[#This Row],[priority]],tbl_sla[priority],tbl_sla[First Response SLA Minutes])</f>
        <v>240</v>
      </c>
      <c r="M1009" t="str">
        <f>IF(tbl_analysis_tickets[[#This Row],[resolution_time_hours]]&gt;tbl_analysis_tickets[[#This Row],[Resolution SLA Hours]],"Breached","Within SLA")</f>
        <v>Within SLA</v>
      </c>
      <c r="N1009" t="str">
        <f>IF(tbl_analysis_tickets[[#This Row],[first_response_minutes]]&gt;tbl_analysis_tickets[[#This Row],[First Response SLA Minutes]],"Breached","Within SLA")</f>
        <v>Within SLA</v>
      </c>
      <c r="O1009" t="str" cm="1">
        <f t="array" ref="O1009">_xlfn.IFS(
tbl_analysis_tickets[[#This Row],[agent_experience_years]]&lt;=2,"Junior",
tbl_analysis_tickets[[#This Row],[agent_experience_years]]&lt;=5,"Mid-Level",
tbl_analysis_tickets[[#This Row],[agent_experience_years]]&lt;=8,"Senior",
tbl_analysis_tickets[[#This Row],[agent_experience_years]]&gt;8,"Expert"
)</f>
        <v>Mid-Level</v>
      </c>
      <c r="P1009" cm="1">
        <f t="array" ref="P1009">_xlfn.SWITCH(tbl_analysis_tickets[[#This Row],[customer_satisfaction]],
"Low",1,
"Medium",2,
"High",3
)</f>
        <v>2</v>
      </c>
      <c r="Q1009">
        <f>IF(tbl_analysis_tickets[[#This Row],[reopened]]="Yes",1,0)</f>
        <v>0</v>
      </c>
      <c r="R1009" t="str" cm="1">
        <f t="array" ref="R1009">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1009" t="str" cm="1">
        <f t="array" ref="S100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009" t="str">
        <f>TEXT(tbl_analysis_tickets[[#This Row],[created_date]],"mmm-yyyy")</f>
        <v>Jun-2024</v>
      </c>
      <c r="U1009" t="str">
        <f>TEXT(tbl_analysis_tickets[[#This Row],[created_date]],"dddd")</f>
        <v>Saturday</v>
      </c>
      <c r="V1009" cm="1">
        <f t="array" ref="V1009">_xlfn.SWITCH(tbl_analysis_tickets[[#This Row],[priority]],
"Urgent",1,
"High",2,
"Medium",3,
"Low",4
)</f>
        <v>4</v>
      </c>
    </row>
    <row r="1010" spans="1:22" x14ac:dyDescent="0.25">
      <c r="A1010">
        <v>1009</v>
      </c>
      <c r="B1010" s="1">
        <v>45521</v>
      </c>
      <c r="C1010" t="s">
        <v>23</v>
      </c>
      <c r="D1010" t="s">
        <v>11</v>
      </c>
      <c r="E1010">
        <v>174</v>
      </c>
      <c r="F1010">
        <v>38</v>
      </c>
      <c r="G1010">
        <v>6.5</v>
      </c>
      <c r="H1010" t="s">
        <v>18</v>
      </c>
      <c r="I1010" t="s">
        <v>19</v>
      </c>
      <c r="J1010" t="s">
        <v>15</v>
      </c>
      <c r="K1010">
        <f>_xlfn.XLOOKUP(tbl_analysis_tickets[[#This Row],[priority]],tbl_sla[priority],tbl_sla[Resolution SLA Hours])</f>
        <v>72</v>
      </c>
      <c r="L1010">
        <f>_xlfn.XLOOKUP(tbl_analysis_tickets[[#This Row],[priority]],tbl_sla[priority],tbl_sla[First Response SLA Minutes])</f>
        <v>240</v>
      </c>
      <c r="M1010" t="str">
        <f>IF(tbl_analysis_tickets[[#This Row],[resolution_time_hours]]&gt;tbl_analysis_tickets[[#This Row],[Resolution SLA Hours]],"Breached","Within SLA")</f>
        <v>Within SLA</v>
      </c>
      <c r="N1010" t="str">
        <f>IF(tbl_analysis_tickets[[#This Row],[first_response_minutes]]&gt;tbl_analysis_tickets[[#This Row],[First Response SLA Minutes]],"Breached","Within SLA")</f>
        <v>Within SLA</v>
      </c>
      <c r="O1010" t="str" cm="1">
        <f t="array" ref="O1010">_xlfn.IFS(
tbl_analysis_tickets[[#This Row],[agent_experience_years]]&lt;=2,"Junior",
tbl_analysis_tickets[[#This Row],[agent_experience_years]]&lt;=5,"Mid-Level",
tbl_analysis_tickets[[#This Row],[agent_experience_years]]&lt;=8,"Senior",
tbl_analysis_tickets[[#This Row],[agent_experience_years]]&gt;8,"Expert"
)</f>
        <v>Senior</v>
      </c>
      <c r="P1010" cm="1">
        <f t="array" ref="P1010">_xlfn.SWITCH(tbl_analysis_tickets[[#This Row],[customer_satisfaction]],
"Low",1,
"Medium",2,
"High",3
)</f>
        <v>2</v>
      </c>
      <c r="Q1010">
        <f>IF(tbl_analysis_tickets[[#This Row],[reopened]]="Yes",1,0)</f>
        <v>0</v>
      </c>
      <c r="R1010" t="str" cm="1">
        <f t="array" ref="R1010">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010" t="str" cm="1">
        <f t="array" ref="S101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010" t="str">
        <f>TEXT(tbl_analysis_tickets[[#This Row],[created_date]],"mmm-yyyy")</f>
        <v>Aug-2024</v>
      </c>
      <c r="U1010" t="str">
        <f>TEXT(tbl_analysis_tickets[[#This Row],[created_date]],"dddd")</f>
        <v>Saturday</v>
      </c>
      <c r="V1010" cm="1">
        <f t="array" ref="V1010">_xlfn.SWITCH(tbl_analysis_tickets[[#This Row],[priority]],
"Urgent",1,
"High",2,
"Medium",3,
"Low",4
)</f>
        <v>4</v>
      </c>
    </row>
    <row r="1011" spans="1:22" x14ac:dyDescent="0.25">
      <c r="A1011">
        <v>1010</v>
      </c>
      <c r="B1011" s="1">
        <v>45639</v>
      </c>
      <c r="C1011" t="s">
        <v>21</v>
      </c>
      <c r="D1011" t="s">
        <v>17</v>
      </c>
      <c r="E1011">
        <v>29</v>
      </c>
      <c r="F1011">
        <v>44</v>
      </c>
      <c r="G1011">
        <v>1.5</v>
      </c>
      <c r="H1011" t="s">
        <v>12</v>
      </c>
      <c r="I1011" t="s">
        <v>13</v>
      </c>
      <c r="J1011" t="s">
        <v>11</v>
      </c>
      <c r="K1011">
        <f>_xlfn.XLOOKUP(tbl_analysis_tickets[[#This Row],[priority]],tbl_sla[priority],tbl_sla[Resolution SLA Hours])</f>
        <v>8</v>
      </c>
      <c r="L1011">
        <f>_xlfn.XLOOKUP(tbl_analysis_tickets[[#This Row],[priority]],tbl_sla[priority],tbl_sla[First Response SLA Minutes])</f>
        <v>30</v>
      </c>
      <c r="M1011" t="str">
        <f>IF(tbl_analysis_tickets[[#This Row],[resolution_time_hours]]&gt;tbl_analysis_tickets[[#This Row],[Resolution SLA Hours]],"Breached","Within SLA")</f>
        <v>Breached</v>
      </c>
      <c r="N1011" t="str">
        <f>IF(tbl_analysis_tickets[[#This Row],[first_response_minutes]]&gt;tbl_analysis_tickets[[#This Row],[First Response SLA Minutes]],"Breached","Within SLA")</f>
        <v>Within SLA</v>
      </c>
      <c r="O1011" t="str" cm="1">
        <f t="array" ref="O1011">_xlfn.IFS(
tbl_analysis_tickets[[#This Row],[agent_experience_years]]&lt;=2,"Junior",
tbl_analysis_tickets[[#This Row],[agent_experience_years]]&lt;=5,"Mid-Level",
tbl_analysis_tickets[[#This Row],[agent_experience_years]]&lt;=8,"Senior",
tbl_analysis_tickets[[#This Row],[agent_experience_years]]&gt;8,"Expert"
)</f>
        <v>Junior</v>
      </c>
      <c r="P1011" cm="1">
        <f t="array" ref="P1011">_xlfn.SWITCH(tbl_analysis_tickets[[#This Row],[customer_satisfaction]],
"Low",1,
"Medium",2,
"High",3
)</f>
        <v>1</v>
      </c>
      <c r="Q1011">
        <f>IF(tbl_analysis_tickets[[#This Row],[reopened]]="Yes",1,0)</f>
        <v>1</v>
      </c>
      <c r="R1011" t="str" cm="1">
        <f t="array" ref="R1011">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1011" t="str" cm="1">
        <f t="array" ref="S101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011" t="str">
        <f>TEXT(tbl_analysis_tickets[[#This Row],[created_date]],"mmm-yyyy")</f>
        <v>Dec-2024</v>
      </c>
      <c r="U1011" t="str">
        <f>TEXT(tbl_analysis_tickets[[#This Row],[created_date]],"dddd")</f>
        <v>Friday</v>
      </c>
      <c r="V1011" cm="1">
        <f t="array" ref="V1011">_xlfn.SWITCH(tbl_analysis_tickets[[#This Row],[priority]],
"Urgent",1,
"High",2,
"Medium",3,
"Low",4
)</f>
        <v>1</v>
      </c>
    </row>
    <row r="1012" spans="1:22" x14ac:dyDescent="0.25">
      <c r="A1012">
        <v>1011</v>
      </c>
      <c r="B1012" s="1">
        <v>45410</v>
      </c>
      <c r="C1012" t="s">
        <v>14</v>
      </c>
      <c r="D1012" t="s">
        <v>20</v>
      </c>
      <c r="E1012">
        <v>69</v>
      </c>
      <c r="F1012">
        <v>3</v>
      </c>
      <c r="G1012">
        <v>7.2</v>
      </c>
      <c r="H1012" t="s">
        <v>18</v>
      </c>
      <c r="I1012" t="s">
        <v>16</v>
      </c>
      <c r="J1012" t="s">
        <v>15</v>
      </c>
      <c r="K1012">
        <f>_xlfn.XLOOKUP(tbl_analysis_tickets[[#This Row],[priority]],tbl_sla[priority],tbl_sla[Resolution SLA Hours])</f>
        <v>24</v>
      </c>
      <c r="L1012">
        <f>_xlfn.XLOOKUP(tbl_analysis_tickets[[#This Row],[priority]],tbl_sla[priority],tbl_sla[First Response SLA Minutes])</f>
        <v>60</v>
      </c>
      <c r="M1012" t="str">
        <f>IF(tbl_analysis_tickets[[#This Row],[resolution_time_hours]]&gt;tbl_analysis_tickets[[#This Row],[Resolution SLA Hours]],"Breached","Within SLA")</f>
        <v>Within SLA</v>
      </c>
      <c r="N1012" t="str">
        <f>IF(tbl_analysis_tickets[[#This Row],[first_response_minutes]]&gt;tbl_analysis_tickets[[#This Row],[First Response SLA Minutes]],"Breached","Within SLA")</f>
        <v>Breached</v>
      </c>
      <c r="O1012" t="str" cm="1">
        <f t="array" ref="O1012">_xlfn.IFS(
tbl_analysis_tickets[[#This Row],[agent_experience_years]]&lt;=2,"Junior",
tbl_analysis_tickets[[#This Row],[agent_experience_years]]&lt;=5,"Mid-Level",
tbl_analysis_tickets[[#This Row],[agent_experience_years]]&lt;=8,"Senior",
tbl_analysis_tickets[[#This Row],[agent_experience_years]]&gt;8,"Expert"
)</f>
        <v>Senior</v>
      </c>
      <c r="P1012" cm="1">
        <f t="array" ref="P1012">_xlfn.SWITCH(tbl_analysis_tickets[[#This Row],[customer_satisfaction]],
"Low",1,
"Medium",2,
"High",3
)</f>
        <v>2</v>
      </c>
      <c r="Q1012">
        <f>IF(tbl_analysis_tickets[[#This Row],[reopened]]="Yes",1,0)</f>
        <v>0</v>
      </c>
      <c r="R1012" t="str" cm="1">
        <f t="array" ref="R1012">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012" t="str" cm="1">
        <f t="array" ref="S101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1012" t="str">
        <f>TEXT(tbl_analysis_tickets[[#This Row],[created_date]],"mmm-yyyy")</f>
        <v>Apr-2024</v>
      </c>
      <c r="U1012" t="str">
        <f>TEXT(tbl_analysis_tickets[[#This Row],[created_date]],"dddd")</f>
        <v>Sunday</v>
      </c>
      <c r="V1012" cm="1">
        <f t="array" ref="V1012">_xlfn.SWITCH(tbl_analysis_tickets[[#This Row],[priority]],
"Urgent",1,
"High",2,
"Medium",3,
"Low",4
)</f>
        <v>2</v>
      </c>
    </row>
    <row r="1013" spans="1:22" x14ac:dyDescent="0.25">
      <c r="A1013">
        <v>1012</v>
      </c>
      <c r="B1013" s="1">
        <v>45388</v>
      </c>
      <c r="C1013" t="s">
        <v>14</v>
      </c>
      <c r="D1013" t="s">
        <v>20</v>
      </c>
      <c r="E1013">
        <v>47</v>
      </c>
      <c r="F1013">
        <v>27</v>
      </c>
      <c r="G1013">
        <v>1.8</v>
      </c>
      <c r="H1013" t="s">
        <v>12</v>
      </c>
      <c r="I1013" t="s">
        <v>13</v>
      </c>
      <c r="J1013" t="s">
        <v>11</v>
      </c>
      <c r="K1013">
        <f>_xlfn.XLOOKUP(tbl_analysis_tickets[[#This Row],[priority]],tbl_sla[priority],tbl_sla[Resolution SLA Hours])</f>
        <v>24</v>
      </c>
      <c r="L1013">
        <f>_xlfn.XLOOKUP(tbl_analysis_tickets[[#This Row],[priority]],tbl_sla[priority],tbl_sla[First Response SLA Minutes])</f>
        <v>60</v>
      </c>
      <c r="M1013" t="str">
        <f>IF(tbl_analysis_tickets[[#This Row],[resolution_time_hours]]&gt;tbl_analysis_tickets[[#This Row],[Resolution SLA Hours]],"Breached","Within SLA")</f>
        <v>Breached</v>
      </c>
      <c r="N1013" t="str">
        <f>IF(tbl_analysis_tickets[[#This Row],[first_response_minutes]]&gt;tbl_analysis_tickets[[#This Row],[First Response SLA Minutes]],"Breached","Within SLA")</f>
        <v>Within SLA</v>
      </c>
      <c r="O1013" t="str" cm="1">
        <f t="array" ref="O1013">_xlfn.IFS(
tbl_analysis_tickets[[#This Row],[agent_experience_years]]&lt;=2,"Junior",
tbl_analysis_tickets[[#This Row],[agent_experience_years]]&lt;=5,"Mid-Level",
tbl_analysis_tickets[[#This Row],[agent_experience_years]]&lt;=8,"Senior",
tbl_analysis_tickets[[#This Row],[agent_experience_years]]&gt;8,"Expert"
)</f>
        <v>Junior</v>
      </c>
      <c r="P1013" cm="1">
        <f t="array" ref="P1013">_xlfn.SWITCH(tbl_analysis_tickets[[#This Row],[customer_satisfaction]],
"Low",1,
"Medium",2,
"High",3
)</f>
        <v>1</v>
      </c>
      <c r="Q1013">
        <f>IF(tbl_analysis_tickets[[#This Row],[reopened]]="Yes",1,0)</f>
        <v>1</v>
      </c>
      <c r="R1013" t="str" cm="1">
        <f t="array" ref="R1013">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013" t="str" cm="1">
        <f t="array" ref="S101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013" t="str">
        <f>TEXT(tbl_analysis_tickets[[#This Row],[created_date]],"mmm-yyyy")</f>
        <v>Apr-2024</v>
      </c>
      <c r="U1013" t="str">
        <f>TEXT(tbl_analysis_tickets[[#This Row],[created_date]],"dddd")</f>
        <v>Saturday</v>
      </c>
      <c r="V1013" cm="1">
        <f t="array" ref="V1013">_xlfn.SWITCH(tbl_analysis_tickets[[#This Row],[priority]],
"Urgent",1,
"High",2,
"Medium",3,
"Low",4
)</f>
        <v>2</v>
      </c>
    </row>
    <row r="1014" spans="1:22" x14ac:dyDescent="0.25">
      <c r="A1014">
        <v>1013</v>
      </c>
      <c r="B1014" s="1">
        <v>45418</v>
      </c>
      <c r="C1014" t="s">
        <v>10</v>
      </c>
      <c r="D1014" t="s">
        <v>15</v>
      </c>
      <c r="E1014">
        <v>134</v>
      </c>
      <c r="F1014">
        <v>72</v>
      </c>
      <c r="G1014">
        <v>4.4000000000000004</v>
      </c>
      <c r="H1014" t="s">
        <v>18</v>
      </c>
      <c r="I1014" t="s">
        <v>19</v>
      </c>
      <c r="J1014" t="s">
        <v>11</v>
      </c>
      <c r="K1014">
        <f>_xlfn.XLOOKUP(tbl_analysis_tickets[[#This Row],[priority]],tbl_sla[priority],tbl_sla[Resolution SLA Hours])</f>
        <v>48</v>
      </c>
      <c r="L1014">
        <f>_xlfn.XLOOKUP(tbl_analysis_tickets[[#This Row],[priority]],tbl_sla[priority],tbl_sla[First Response SLA Minutes])</f>
        <v>120</v>
      </c>
      <c r="M1014" t="str">
        <f>IF(tbl_analysis_tickets[[#This Row],[resolution_time_hours]]&gt;tbl_analysis_tickets[[#This Row],[Resolution SLA Hours]],"Breached","Within SLA")</f>
        <v>Breached</v>
      </c>
      <c r="N1014" t="str">
        <f>IF(tbl_analysis_tickets[[#This Row],[first_response_minutes]]&gt;tbl_analysis_tickets[[#This Row],[First Response SLA Minutes]],"Breached","Within SLA")</f>
        <v>Breached</v>
      </c>
      <c r="O1014" t="str" cm="1">
        <f t="array" ref="O1014">_xlfn.IFS(
tbl_analysis_tickets[[#This Row],[agent_experience_years]]&lt;=2,"Junior",
tbl_analysis_tickets[[#This Row],[agent_experience_years]]&lt;=5,"Mid-Level",
tbl_analysis_tickets[[#This Row],[agent_experience_years]]&lt;=8,"Senior",
tbl_analysis_tickets[[#This Row],[agent_experience_years]]&gt;8,"Expert"
)</f>
        <v>Mid-Level</v>
      </c>
      <c r="P1014" cm="1">
        <f t="array" ref="P1014">_xlfn.SWITCH(tbl_analysis_tickets[[#This Row],[customer_satisfaction]],
"Low",1,
"Medium",2,
"High",3
)</f>
        <v>1</v>
      </c>
      <c r="Q1014">
        <f>IF(tbl_analysis_tickets[[#This Row],[reopened]]="Yes",1,0)</f>
        <v>0</v>
      </c>
      <c r="R1014" t="str" cm="1">
        <f t="array" ref="R1014">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014" t="str" cm="1">
        <f t="array" ref="S101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014" t="str">
        <f>TEXT(tbl_analysis_tickets[[#This Row],[created_date]],"mmm-yyyy")</f>
        <v>May-2024</v>
      </c>
      <c r="U1014" t="str">
        <f>TEXT(tbl_analysis_tickets[[#This Row],[created_date]],"dddd")</f>
        <v>Monday</v>
      </c>
      <c r="V1014" cm="1">
        <f t="array" ref="V1014">_xlfn.SWITCH(tbl_analysis_tickets[[#This Row],[priority]],
"Urgent",1,
"High",2,
"Medium",3,
"Low",4
)</f>
        <v>3</v>
      </c>
    </row>
    <row r="1015" spans="1:22" x14ac:dyDescent="0.25">
      <c r="A1015">
        <v>1014</v>
      </c>
      <c r="B1015" s="1">
        <v>45341</v>
      </c>
      <c r="C1015" t="s">
        <v>14</v>
      </c>
      <c r="D1015" t="s">
        <v>20</v>
      </c>
      <c r="E1015">
        <v>92</v>
      </c>
      <c r="F1015">
        <v>17</v>
      </c>
      <c r="G1015">
        <v>1.4</v>
      </c>
      <c r="H1015" t="s">
        <v>12</v>
      </c>
      <c r="I1015" t="s">
        <v>16</v>
      </c>
      <c r="J1015" t="s">
        <v>11</v>
      </c>
      <c r="K1015">
        <f>_xlfn.XLOOKUP(tbl_analysis_tickets[[#This Row],[priority]],tbl_sla[priority],tbl_sla[Resolution SLA Hours])</f>
        <v>24</v>
      </c>
      <c r="L1015">
        <f>_xlfn.XLOOKUP(tbl_analysis_tickets[[#This Row],[priority]],tbl_sla[priority],tbl_sla[First Response SLA Minutes])</f>
        <v>60</v>
      </c>
      <c r="M1015" t="str">
        <f>IF(tbl_analysis_tickets[[#This Row],[resolution_time_hours]]&gt;tbl_analysis_tickets[[#This Row],[Resolution SLA Hours]],"Breached","Within SLA")</f>
        <v>Within SLA</v>
      </c>
      <c r="N1015" t="str">
        <f>IF(tbl_analysis_tickets[[#This Row],[first_response_minutes]]&gt;tbl_analysis_tickets[[#This Row],[First Response SLA Minutes]],"Breached","Within SLA")</f>
        <v>Breached</v>
      </c>
      <c r="O1015" t="str" cm="1">
        <f t="array" ref="O1015">_xlfn.IFS(
tbl_analysis_tickets[[#This Row],[agent_experience_years]]&lt;=2,"Junior",
tbl_analysis_tickets[[#This Row],[agent_experience_years]]&lt;=5,"Mid-Level",
tbl_analysis_tickets[[#This Row],[agent_experience_years]]&lt;=8,"Senior",
tbl_analysis_tickets[[#This Row],[agent_experience_years]]&gt;8,"Expert"
)</f>
        <v>Junior</v>
      </c>
      <c r="P1015" cm="1">
        <f t="array" ref="P1015">_xlfn.SWITCH(tbl_analysis_tickets[[#This Row],[customer_satisfaction]],
"Low",1,
"Medium",2,
"High",3
)</f>
        <v>1</v>
      </c>
      <c r="Q1015">
        <f>IF(tbl_analysis_tickets[[#This Row],[reopened]]="Yes",1,0)</f>
        <v>1</v>
      </c>
      <c r="R1015" t="str" cm="1">
        <f t="array" ref="R1015">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015" t="str" cm="1">
        <f t="array" ref="S101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015" t="str">
        <f>TEXT(tbl_analysis_tickets[[#This Row],[created_date]],"mmm-yyyy")</f>
        <v>Feb-2024</v>
      </c>
      <c r="U1015" t="str">
        <f>TEXT(tbl_analysis_tickets[[#This Row],[created_date]],"dddd")</f>
        <v>Monday</v>
      </c>
      <c r="V1015" cm="1">
        <f t="array" ref="V1015">_xlfn.SWITCH(tbl_analysis_tickets[[#This Row],[priority]],
"Urgent",1,
"High",2,
"Medium",3,
"Low",4
)</f>
        <v>2</v>
      </c>
    </row>
    <row r="1016" spans="1:22" x14ac:dyDescent="0.25">
      <c r="A1016">
        <v>1015</v>
      </c>
      <c r="B1016" s="1">
        <v>45344</v>
      </c>
      <c r="C1016" t="s">
        <v>23</v>
      </c>
      <c r="D1016" t="s">
        <v>17</v>
      </c>
      <c r="E1016">
        <v>230</v>
      </c>
      <c r="F1016">
        <v>32</v>
      </c>
      <c r="G1016">
        <v>2.5</v>
      </c>
      <c r="H1016" t="s">
        <v>18</v>
      </c>
      <c r="I1016" t="s">
        <v>19</v>
      </c>
      <c r="J1016" t="s">
        <v>11</v>
      </c>
      <c r="K1016">
        <f>_xlfn.XLOOKUP(tbl_analysis_tickets[[#This Row],[priority]],tbl_sla[priority],tbl_sla[Resolution SLA Hours])</f>
        <v>8</v>
      </c>
      <c r="L1016">
        <f>_xlfn.XLOOKUP(tbl_analysis_tickets[[#This Row],[priority]],tbl_sla[priority],tbl_sla[First Response SLA Minutes])</f>
        <v>30</v>
      </c>
      <c r="M1016" t="str">
        <f>IF(tbl_analysis_tickets[[#This Row],[resolution_time_hours]]&gt;tbl_analysis_tickets[[#This Row],[Resolution SLA Hours]],"Breached","Within SLA")</f>
        <v>Breached</v>
      </c>
      <c r="N1016" t="str">
        <f>IF(tbl_analysis_tickets[[#This Row],[first_response_minutes]]&gt;tbl_analysis_tickets[[#This Row],[First Response SLA Minutes]],"Breached","Within SLA")</f>
        <v>Breached</v>
      </c>
      <c r="O1016" t="str" cm="1">
        <f t="array" ref="O1016">_xlfn.IFS(
tbl_analysis_tickets[[#This Row],[agent_experience_years]]&lt;=2,"Junior",
tbl_analysis_tickets[[#This Row],[agent_experience_years]]&lt;=5,"Mid-Level",
tbl_analysis_tickets[[#This Row],[agent_experience_years]]&lt;=8,"Senior",
tbl_analysis_tickets[[#This Row],[agent_experience_years]]&gt;8,"Expert"
)</f>
        <v>Mid-Level</v>
      </c>
      <c r="P1016" cm="1">
        <f t="array" ref="P1016">_xlfn.SWITCH(tbl_analysis_tickets[[#This Row],[customer_satisfaction]],
"Low",1,
"Medium",2,
"High",3
)</f>
        <v>1</v>
      </c>
      <c r="Q1016">
        <f>IF(tbl_analysis_tickets[[#This Row],[reopened]]="Yes",1,0)</f>
        <v>0</v>
      </c>
      <c r="R1016" t="str" cm="1">
        <f t="array" ref="R1016">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016" t="str" cm="1">
        <f t="array" ref="S101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016" t="str">
        <f>TEXT(tbl_analysis_tickets[[#This Row],[created_date]],"mmm-yyyy")</f>
        <v>Feb-2024</v>
      </c>
      <c r="U1016" t="str">
        <f>TEXT(tbl_analysis_tickets[[#This Row],[created_date]],"dddd")</f>
        <v>Thursday</v>
      </c>
      <c r="V1016" cm="1">
        <f t="array" ref="V1016">_xlfn.SWITCH(tbl_analysis_tickets[[#This Row],[priority]],
"Urgent",1,
"High",2,
"Medium",3,
"Low",4
)</f>
        <v>1</v>
      </c>
    </row>
    <row r="1017" spans="1:22" x14ac:dyDescent="0.25">
      <c r="A1017">
        <v>1016</v>
      </c>
      <c r="B1017" s="1">
        <v>45546</v>
      </c>
      <c r="C1017" t="s">
        <v>22</v>
      </c>
      <c r="D1017" t="s">
        <v>17</v>
      </c>
      <c r="E1017">
        <v>230</v>
      </c>
      <c r="F1017">
        <v>6</v>
      </c>
      <c r="G1017">
        <v>9.5</v>
      </c>
      <c r="H1017" t="s">
        <v>12</v>
      </c>
      <c r="I1017" t="s">
        <v>19</v>
      </c>
      <c r="J1017" t="s">
        <v>15</v>
      </c>
      <c r="K1017">
        <f>_xlfn.XLOOKUP(tbl_analysis_tickets[[#This Row],[priority]],tbl_sla[priority],tbl_sla[Resolution SLA Hours])</f>
        <v>8</v>
      </c>
      <c r="L1017">
        <f>_xlfn.XLOOKUP(tbl_analysis_tickets[[#This Row],[priority]],tbl_sla[priority],tbl_sla[First Response SLA Minutes])</f>
        <v>30</v>
      </c>
      <c r="M1017" t="str">
        <f>IF(tbl_analysis_tickets[[#This Row],[resolution_time_hours]]&gt;tbl_analysis_tickets[[#This Row],[Resolution SLA Hours]],"Breached","Within SLA")</f>
        <v>Within SLA</v>
      </c>
      <c r="N1017" t="str">
        <f>IF(tbl_analysis_tickets[[#This Row],[first_response_minutes]]&gt;tbl_analysis_tickets[[#This Row],[First Response SLA Minutes]],"Breached","Within SLA")</f>
        <v>Breached</v>
      </c>
      <c r="O1017" t="str" cm="1">
        <f t="array" ref="O1017">_xlfn.IFS(
tbl_analysis_tickets[[#This Row],[agent_experience_years]]&lt;=2,"Junior",
tbl_analysis_tickets[[#This Row],[agent_experience_years]]&lt;=5,"Mid-Level",
tbl_analysis_tickets[[#This Row],[agent_experience_years]]&lt;=8,"Senior",
tbl_analysis_tickets[[#This Row],[agent_experience_years]]&gt;8,"Expert"
)</f>
        <v>Expert</v>
      </c>
      <c r="P1017" cm="1">
        <f t="array" ref="P1017">_xlfn.SWITCH(tbl_analysis_tickets[[#This Row],[customer_satisfaction]],
"Low",1,
"Medium",2,
"High",3
)</f>
        <v>2</v>
      </c>
      <c r="Q1017">
        <f>IF(tbl_analysis_tickets[[#This Row],[reopened]]="Yes",1,0)</f>
        <v>1</v>
      </c>
      <c r="R1017" t="str" cm="1">
        <f t="array" ref="R1017">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017" t="str" cm="1">
        <f t="array" ref="S101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1017" t="str">
        <f>TEXT(tbl_analysis_tickets[[#This Row],[created_date]],"mmm-yyyy")</f>
        <v>Sep-2024</v>
      </c>
      <c r="U1017" t="str">
        <f>TEXT(tbl_analysis_tickets[[#This Row],[created_date]],"dddd")</f>
        <v>Wednesday</v>
      </c>
      <c r="V1017" cm="1">
        <f t="array" ref="V1017">_xlfn.SWITCH(tbl_analysis_tickets[[#This Row],[priority]],
"Urgent",1,
"High",2,
"Medium",3,
"Low",4
)</f>
        <v>1</v>
      </c>
    </row>
    <row r="1018" spans="1:22" x14ac:dyDescent="0.25">
      <c r="A1018">
        <v>1017</v>
      </c>
      <c r="B1018" s="1">
        <v>45444</v>
      </c>
      <c r="C1018" t="s">
        <v>14</v>
      </c>
      <c r="D1018" t="s">
        <v>17</v>
      </c>
      <c r="E1018">
        <v>148</v>
      </c>
      <c r="F1018">
        <v>65</v>
      </c>
      <c r="G1018">
        <v>4.8</v>
      </c>
      <c r="H1018" t="s">
        <v>18</v>
      </c>
      <c r="I1018" t="s">
        <v>16</v>
      </c>
      <c r="J1018" t="s">
        <v>11</v>
      </c>
      <c r="K1018">
        <f>_xlfn.XLOOKUP(tbl_analysis_tickets[[#This Row],[priority]],tbl_sla[priority],tbl_sla[Resolution SLA Hours])</f>
        <v>8</v>
      </c>
      <c r="L1018">
        <f>_xlfn.XLOOKUP(tbl_analysis_tickets[[#This Row],[priority]],tbl_sla[priority],tbl_sla[First Response SLA Minutes])</f>
        <v>30</v>
      </c>
      <c r="M1018" t="str">
        <f>IF(tbl_analysis_tickets[[#This Row],[resolution_time_hours]]&gt;tbl_analysis_tickets[[#This Row],[Resolution SLA Hours]],"Breached","Within SLA")</f>
        <v>Breached</v>
      </c>
      <c r="N1018" t="str">
        <f>IF(tbl_analysis_tickets[[#This Row],[first_response_minutes]]&gt;tbl_analysis_tickets[[#This Row],[First Response SLA Minutes]],"Breached","Within SLA")</f>
        <v>Breached</v>
      </c>
      <c r="O1018" t="str" cm="1">
        <f t="array" ref="O1018">_xlfn.IFS(
tbl_analysis_tickets[[#This Row],[agent_experience_years]]&lt;=2,"Junior",
tbl_analysis_tickets[[#This Row],[agent_experience_years]]&lt;=5,"Mid-Level",
tbl_analysis_tickets[[#This Row],[agent_experience_years]]&lt;=8,"Senior",
tbl_analysis_tickets[[#This Row],[agent_experience_years]]&gt;8,"Expert"
)</f>
        <v>Mid-Level</v>
      </c>
      <c r="P1018" cm="1">
        <f t="array" ref="P1018">_xlfn.SWITCH(tbl_analysis_tickets[[#This Row],[customer_satisfaction]],
"Low",1,
"Medium",2,
"High",3
)</f>
        <v>1</v>
      </c>
      <c r="Q1018">
        <f>IF(tbl_analysis_tickets[[#This Row],[reopened]]="Yes",1,0)</f>
        <v>0</v>
      </c>
      <c r="R1018" t="str" cm="1">
        <f t="array" ref="R1018">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018" t="str" cm="1">
        <f t="array" ref="S101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018" t="str">
        <f>TEXT(tbl_analysis_tickets[[#This Row],[created_date]],"mmm-yyyy")</f>
        <v>Jun-2024</v>
      </c>
      <c r="U1018" t="str">
        <f>TEXT(tbl_analysis_tickets[[#This Row],[created_date]],"dddd")</f>
        <v>Saturday</v>
      </c>
      <c r="V1018" cm="1">
        <f t="array" ref="V1018">_xlfn.SWITCH(tbl_analysis_tickets[[#This Row],[priority]],
"Urgent",1,
"High",2,
"Medium",3,
"Low",4
)</f>
        <v>1</v>
      </c>
    </row>
    <row r="1019" spans="1:22" x14ac:dyDescent="0.25">
      <c r="A1019">
        <v>1018</v>
      </c>
      <c r="B1019" s="1">
        <v>45597</v>
      </c>
      <c r="C1019" t="s">
        <v>14</v>
      </c>
      <c r="D1019" t="s">
        <v>11</v>
      </c>
      <c r="E1019">
        <v>108</v>
      </c>
      <c r="F1019">
        <v>6</v>
      </c>
      <c r="G1019">
        <v>8.1999999999999993</v>
      </c>
      <c r="H1019" t="s">
        <v>18</v>
      </c>
      <c r="I1019" t="s">
        <v>16</v>
      </c>
      <c r="J1019" t="s">
        <v>20</v>
      </c>
      <c r="K1019">
        <f>_xlfn.XLOOKUP(tbl_analysis_tickets[[#This Row],[priority]],tbl_sla[priority],tbl_sla[Resolution SLA Hours])</f>
        <v>72</v>
      </c>
      <c r="L1019">
        <f>_xlfn.XLOOKUP(tbl_analysis_tickets[[#This Row],[priority]],tbl_sla[priority],tbl_sla[First Response SLA Minutes])</f>
        <v>240</v>
      </c>
      <c r="M1019" t="str">
        <f>IF(tbl_analysis_tickets[[#This Row],[resolution_time_hours]]&gt;tbl_analysis_tickets[[#This Row],[Resolution SLA Hours]],"Breached","Within SLA")</f>
        <v>Within SLA</v>
      </c>
      <c r="N1019" t="str">
        <f>IF(tbl_analysis_tickets[[#This Row],[first_response_minutes]]&gt;tbl_analysis_tickets[[#This Row],[First Response SLA Minutes]],"Breached","Within SLA")</f>
        <v>Within SLA</v>
      </c>
      <c r="O1019" t="str" cm="1">
        <f t="array" ref="O1019">_xlfn.IFS(
tbl_analysis_tickets[[#This Row],[agent_experience_years]]&lt;=2,"Junior",
tbl_analysis_tickets[[#This Row],[agent_experience_years]]&lt;=5,"Mid-Level",
tbl_analysis_tickets[[#This Row],[agent_experience_years]]&lt;=8,"Senior",
tbl_analysis_tickets[[#This Row],[agent_experience_years]]&gt;8,"Expert"
)</f>
        <v>Expert</v>
      </c>
      <c r="P1019" cm="1">
        <f t="array" ref="P1019">_xlfn.SWITCH(tbl_analysis_tickets[[#This Row],[customer_satisfaction]],
"Low",1,
"Medium",2,
"High",3
)</f>
        <v>3</v>
      </c>
      <c r="Q1019">
        <f>IF(tbl_analysis_tickets[[#This Row],[reopened]]="Yes",1,0)</f>
        <v>0</v>
      </c>
      <c r="R1019" t="str" cm="1">
        <f t="array" ref="R1019">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019" t="str" cm="1">
        <f t="array" ref="S101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1019" t="str">
        <f>TEXT(tbl_analysis_tickets[[#This Row],[created_date]],"mmm-yyyy")</f>
        <v>Nov-2024</v>
      </c>
      <c r="U1019" t="str">
        <f>TEXT(tbl_analysis_tickets[[#This Row],[created_date]],"dddd")</f>
        <v>Friday</v>
      </c>
      <c r="V1019" cm="1">
        <f t="array" ref="V1019">_xlfn.SWITCH(tbl_analysis_tickets[[#This Row],[priority]],
"Urgent",1,
"High",2,
"Medium",3,
"Low",4
)</f>
        <v>4</v>
      </c>
    </row>
    <row r="1020" spans="1:22" x14ac:dyDescent="0.25">
      <c r="A1020">
        <v>1019</v>
      </c>
      <c r="B1020" s="1">
        <v>45524</v>
      </c>
      <c r="C1020" t="s">
        <v>10</v>
      </c>
      <c r="D1020" t="s">
        <v>17</v>
      </c>
      <c r="E1020">
        <v>55</v>
      </c>
      <c r="F1020">
        <v>4</v>
      </c>
      <c r="G1020">
        <v>7.3</v>
      </c>
      <c r="H1020" t="s">
        <v>12</v>
      </c>
      <c r="I1020" t="s">
        <v>19</v>
      </c>
      <c r="J1020" t="s">
        <v>15</v>
      </c>
      <c r="K1020">
        <f>_xlfn.XLOOKUP(tbl_analysis_tickets[[#This Row],[priority]],tbl_sla[priority],tbl_sla[Resolution SLA Hours])</f>
        <v>8</v>
      </c>
      <c r="L1020">
        <f>_xlfn.XLOOKUP(tbl_analysis_tickets[[#This Row],[priority]],tbl_sla[priority],tbl_sla[First Response SLA Minutes])</f>
        <v>30</v>
      </c>
      <c r="M1020" t="str">
        <f>IF(tbl_analysis_tickets[[#This Row],[resolution_time_hours]]&gt;tbl_analysis_tickets[[#This Row],[Resolution SLA Hours]],"Breached","Within SLA")</f>
        <v>Within SLA</v>
      </c>
      <c r="N1020" t="str">
        <f>IF(tbl_analysis_tickets[[#This Row],[first_response_minutes]]&gt;tbl_analysis_tickets[[#This Row],[First Response SLA Minutes]],"Breached","Within SLA")</f>
        <v>Breached</v>
      </c>
      <c r="O1020" t="str" cm="1">
        <f t="array" ref="O1020">_xlfn.IFS(
tbl_analysis_tickets[[#This Row],[agent_experience_years]]&lt;=2,"Junior",
tbl_analysis_tickets[[#This Row],[agent_experience_years]]&lt;=5,"Mid-Level",
tbl_analysis_tickets[[#This Row],[agent_experience_years]]&lt;=8,"Senior",
tbl_analysis_tickets[[#This Row],[agent_experience_years]]&gt;8,"Expert"
)</f>
        <v>Senior</v>
      </c>
      <c r="P1020" cm="1">
        <f t="array" ref="P1020">_xlfn.SWITCH(tbl_analysis_tickets[[#This Row],[customer_satisfaction]],
"Low",1,
"Medium",2,
"High",3
)</f>
        <v>2</v>
      </c>
      <c r="Q1020">
        <f>IF(tbl_analysis_tickets[[#This Row],[reopened]]="Yes",1,0)</f>
        <v>1</v>
      </c>
      <c r="R1020" t="str" cm="1">
        <f t="array" ref="R1020">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020" t="str" cm="1">
        <f t="array" ref="S102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1020" t="str">
        <f>TEXT(tbl_analysis_tickets[[#This Row],[created_date]],"mmm-yyyy")</f>
        <v>Aug-2024</v>
      </c>
      <c r="U1020" t="str">
        <f>TEXT(tbl_analysis_tickets[[#This Row],[created_date]],"dddd")</f>
        <v>Tuesday</v>
      </c>
      <c r="V1020" cm="1">
        <f t="array" ref="V1020">_xlfn.SWITCH(tbl_analysis_tickets[[#This Row],[priority]],
"Urgent",1,
"High",2,
"Medium",3,
"Low",4
)</f>
        <v>1</v>
      </c>
    </row>
    <row r="1021" spans="1:22" x14ac:dyDescent="0.25">
      <c r="A1021">
        <v>1020</v>
      </c>
      <c r="B1021" s="1">
        <v>45370</v>
      </c>
      <c r="C1021" t="s">
        <v>10</v>
      </c>
      <c r="D1021" t="s">
        <v>20</v>
      </c>
      <c r="E1021">
        <v>139</v>
      </c>
      <c r="F1021">
        <v>59</v>
      </c>
      <c r="G1021">
        <v>7.7</v>
      </c>
      <c r="H1021" t="s">
        <v>18</v>
      </c>
      <c r="I1021" t="s">
        <v>19</v>
      </c>
      <c r="J1021" t="s">
        <v>11</v>
      </c>
      <c r="K1021">
        <f>_xlfn.XLOOKUP(tbl_analysis_tickets[[#This Row],[priority]],tbl_sla[priority],tbl_sla[Resolution SLA Hours])</f>
        <v>24</v>
      </c>
      <c r="L1021">
        <f>_xlfn.XLOOKUP(tbl_analysis_tickets[[#This Row],[priority]],tbl_sla[priority],tbl_sla[First Response SLA Minutes])</f>
        <v>60</v>
      </c>
      <c r="M1021" t="str">
        <f>IF(tbl_analysis_tickets[[#This Row],[resolution_time_hours]]&gt;tbl_analysis_tickets[[#This Row],[Resolution SLA Hours]],"Breached","Within SLA")</f>
        <v>Breached</v>
      </c>
      <c r="N1021" t="str">
        <f>IF(tbl_analysis_tickets[[#This Row],[first_response_minutes]]&gt;tbl_analysis_tickets[[#This Row],[First Response SLA Minutes]],"Breached","Within SLA")</f>
        <v>Breached</v>
      </c>
      <c r="O1021" t="str" cm="1">
        <f t="array" ref="O1021">_xlfn.IFS(
tbl_analysis_tickets[[#This Row],[agent_experience_years]]&lt;=2,"Junior",
tbl_analysis_tickets[[#This Row],[agent_experience_years]]&lt;=5,"Mid-Level",
tbl_analysis_tickets[[#This Row],[agent_experience_years]]&lt;=8,"Senior",
tbl_analysis_tickets[[#This Row],[agent_experience_years]]&gt;8,"Expert"
)</f>
        <v>Senior</v>
      </c>
      <c r="P1021" cm="1">
        <f t="array" ref="P1021">_xlfn.SWITCH(tbl_analysis_tickets[[#This Row],[customer_satisfaction]],
"Low",1,
"Medium",2,
"High",3
)</f>
        <v>1</v>
      </c>
      <c r="Q1021">
        <f>IF(tbl_analysis_tickets[[#This Row],[reopened]]="Yes",1,0)</f>
        <v>0</v>
      </c>
      <c r="R1021" t="str" cm="1">
        <f t="array" ref="R1021">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021" t="str" cm="1">
        <f t="array" ref="S102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021" t="str">
        <f>TEXT(tbl_analysis_tickets[[#This Row],[created_date]],"mmm-yyyy")</f>
        <v>Mar-2024</v>
      </c>
      <c r="U1021" t="str">
        <f>TEXT(tbl_analysis_tickets[[#This Row],[created_date]],"dddd")</f>
        <v>Tuesday</v>
      </c>
      <c r="V1021" cm="1">
        <f t="array" ref="V1021">_xlfn.SWITCH(tbl_analysis_tickets[[#This Row],[priority]],
"Urgent",1,
"High",2,
"Medium",3,
"Low",4
)</f>
        <v>2</v>
      </c>
    </row>
    <row r="1022" spans="1:22" x14ac:dyDescent="0.25">
      <c r="A1022">
        <v>1021</v>
      </c>
      <c r="B1022" s="1">
        <v>45503</v>
      </c>
      <c r="C1022" t="s">
        <v>14</v>
      </c>
      <c r="D1022" t="s">
        <v>20</v>
      </c>
      <c r="E1022">
        <v>236</v>
      </c>
      <c r="F1022">
        <v>9</v>
      </c>
      <c r="G1022">
        <v>1.8</v>
      </c>
      <c r="H1022" t="s">
        <v>18</v>
      </c>
      <c r="I1022" t="s">
        <v>19</v>
      </c>
      <c r="J1022" t="s">
        <v>11</v>
      </c>
      <c r="K1022">
        <f>_xlfn.XLOOKUP(tbl_analysis_tickets[[#This Row],[priority]],tbl_sla[priority],tbl_sla[Resolution SLA Hours])</f>
        <v>24</v>
      </c>
      <c r="L1022">
        <f>_xlfn.XLOOKUP(tbl_analysis_tickets[[#This Row],[priority]],tbl_sla[priority],tbl_sla[First Response SLA Minutes])</f>
        <v>60</v>
      </c>
      <c r="M1022" t="str">
        <f>IF(tbl_analysis_tickets[[#This Row],[resolution_time_hours]]&gt;tbl_analysis_tickets[[#This Row],[Resolution SLA Hours]],"Breached","Within SLA")</f>
        <v>Within SLA</v>
      </c>
      <c r="N1022" t="str">
        <f>IF(tbl_analysis_tickets[[#This Row],[first_response_minutes]]&gt;tbl_analysis_tickets[[#This Row],[First Response SLA Minutes]],"Breached","Within SLA")</f>
        <v>Breached</v>
      </c>
      <c r="O1022" t="str" cm="1">
        <f t="array" ref="O1022">_xlfn.IFS(
tbl_analysis_tickets[[#This Row],[agent_experience_years]]&lt;=2,"Junior",
tbl_analysis_tickets[[#This Row],[agent_experience_years]]&lt;=5,"Mid-Level",
tbl_analysis_tickets[[#This Row],[agent_experience_years]]&lt;=8,"Senior",
tbl_analysis_tickets[[#This Row],[agent_experience_years]]&gt;8,"Expert"
)</f>
        <v>Junior</v>
      </c>
      <c r="P1022" cm="1">
        <f t="array" ref="P1022">_xlfn.SWITCH(tbl_analysis_tickets[[#This Row],[customer_satisfaction]],
"Low",1,
"Medium",2,
"High",3
)</f>
        <v>1</v>
      </c>
      <c r="Q1022">
        <f>IF(tbl_analysis_tickets[[#This Row],[reopened]]="Yes",1,0)</f>
        <v>0</v>
      </c>
      <c r="R1022" t="str" cm="1">
        <f t="array" ref="R1022">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022" t="str" cm="1">
        <f t="array" ref="S102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022" t="str">
        <f>TEXT(tbl_analysis_tickets[[#This Row],[created_date]],"mmm-yyyy")</f>
        <v>Jul-2024</v>
      </c>
      <c r="U1022" t="str">
        <f>TEXT(tbl_analysis_tickets[[#This Row],[created_date]],"dddd")</f>
        <v>Tuesday</v>
      </c>
      <c r="V1022" cm="1">
        <f t="array" ref="V1022">_xlfn.SWITCH(tbl_analysis_tickets[[#This Row],[priority]],
"Urgent",1,
"High",2,
"Medium",3,
"Low",4
)</f>
        <v>2</v>
      </c>
    </row>
    <row r="1023" spans="1:22" x14ac:dyDescent="0.25">
      <c r="A1023">
        <v>1022</v>
      </c>
      <c r="B1023" s="1">
        <v>45642</v>
      </c>
      <c r="C1023" t="s">
        <v>14</v>
      </c>
      <c r="D1023" t="s">
        <v>11</v>
      </c>
      <c r="E1023">
        <v>72</v>
      </c>
      <c r="F1023">
        <v>59</v>
      </c>
      <c r="G1023">
        <v>9.4</v>
      </c>
      <c r="H1023" t="s">
        <v>12</v>
      </c>
      <c r="I1023" t="s">
        <v>16</v>
      </c>
      <c r="J1023" t="s">
        <v>11</v>
      </c>
      <c r="K1023">
        <f>_xlfn.XLOOKUP(tbl_analysis_tickets[[#This Row],[priority]],tbl_sla[priority],tbl_sla[Resolution SLA Hours])</f>
        <v>72</v>
      </c>
      <c r="L1023">
        <f>_xlfn.XLOOKUP(tbl_analysis_tickets[[#This Row],[priority]],tbl_sla[priority],tbl_sla[First Response SLA Minutes])</f>
        <v>240</v>
      </c>
      <c r="M1023" t="str">
        <f>IF(tbl_analysis_tickets[[#This Row],[resolution_time_hours]]&gt;tbl_analysis_tickets[[#This Row],[Resolution SLA Hours]],"Breached","Within SLA")</f>
        <v>Within SLA</v>
      </c>
      <c r="N1023" t="str">
        <f>IF(tbl_analysis_tickets[[#This Row],[first_response_minutes]]&gt;tbl_analysis_tickets[[#This Row],[First Response SLA Minutes]],"Breached","Within SLA")</f>
        <v>Within SLA</v>
      </c>
      <c r="O1023" t="str" cm="1">
        <f t="array" ref="O1023">_xlfn.IFS(
tbl_analysis_tickets[[#This Row],[agent_experience_years]]&lt;=2,"Junior",
tbl_analysis_tickets[[#This Row],[agent_experience_years]]&lt;=5,"Mid-Level",
tbl_analysis_tickets[[#This Row],[agent_experience_years]]&lt;=8,"Senior",
tbl_analysis_tickets[[#This Row],[agent_experience_years]]&gt;8,"Expert"
)</f>
        <v>Expert</v>
      </c>
      <c r="P1023" cm="1">
        <f t="array" ref="P1023">_xlfn.SWITCH(tbl_analysis_tickets[[#This Row],[customer_satisfaction]],
"Low",1,
"Medium",2,
"High",3
)</f>
        <v>1</v>
      </c>
      <c r="Q1023">
        <f>IF(tbl_analysis_tickets[[#This Row],[reopened]]="Yes",1,0)</f>
        <v>1</v>
      </c>
      <c r="R1023" t="str" cm="1">
        <f t="array" ref="R1023">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023" t="str" cm="1">
        <f t="array" ref="S102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023" t="str">
        <f>TEXT(tbl_analysis_tickets[[#This Row],[created_date]],"mmm-yyyy")</f>
        <v>Dec-2024</v>
      </c>
      <c r="U1023" t="str">
        <f>TEXT(tbl_analysis_tickets[[#This Row],[created_date]],"dddd")</f>
        <v>Monday</v>
      </c>
      <c r="V1023" cm="1">
        <f t="array" ref="V1023">_xlfn.SWITCH(tbl_analysis_tickets[[#This Row],[priority]],
"Urgent",1,
"High",2,
"Medium",3,
"Low",4
)</f>
        <v>4</v>
      </c>
    </row>
    <row r="1024" spans="1:22" x14ac:dyDescent="0.25">
      <c r="A1024">
        <v>1023</v>
      </c>
      <c r="B1024" s="1">
        <v>45533</v>
      </c>
      <c r="C1024" t="s">
        <v>23</v>
      </c>
      <c r="D1024" t="s">
        <v>17</v>
      </c>
      <c r="E1024">
        <v>211</v>
      </c>
      <c r="F1024">
        <v>67</v>
      </c>
      <c r="G1024">
        <v>7.9</v>
      </c>
      <c r="H1024" t="s">
        <v>18</v>
      </c>
      <c r="I1024" t="s">
        <v>19</v>
      </c>
      <c r="J1024" t="s">
        <v>11</v>
      </c>
      <c r="K1024">
        <f>_xlfn.XLOOKUP(tbl_analysis_tickets[[#This Row],[priority]],tbl_sla[priority],tbl_sla[Resolution SLA Hours])</f>
        <v>8</v>
      </c>
      <c r="L1024">
        <f>_xlfn.XLOOKUP(tbl_analysis_tickets[[#This Row],[priority]],tbl_sla[priority],tbl_sla[First Response SLA Minutes])</f>
        <v>30</v>
      </c>
      <c r="M1024" t="str">
        <f>IF(tbl_analysis_tickets[[#This Row],[resolution_time_hours]]&gt;tbl_analysis_tickets[[#This Row],[Resolution SLA Hours]],"Breached","Within SLA")</f>
        <v>Breached</v>
      </c>
      <c r="N1024" t="str">
        <f>IF(tbl_analysis_tickets[[#This Row],[first_response_minutes]]&gt;tbl_analysis_tickets[[#This Row],[First Response SLA Minutes]],"Breached","Within SLA")</f>
        <v>Breached</v>
      </c>
      <c r="O1024" t="str" cm="1">
        <f t="array" ref="O1024">_xlfn.IFS(
tbl_analysis_tickets[[#This Row],[agent_experience_years]]&lt;=2,"Junior",
tbl_analysis_tickets[[#This Row],[agent_experience_years]]&lt;=5,"Mid-Level",
tbl_analysis_tickets[[#This Row],[agent_experience_years]]&lt;=8,"Senior",
tbl_analysis_tickets[[#This Row],[agent_experience_years]]&gt;8,"Expert"
)</f>
        <v>Senior</v>
      </c>
      <c r="P1024" cm="1">
        <f t="array" ref="P1024">_xlfn.SWITCH(tbl_analysis_tickets[[#This Row],[customer_satisfaction]],
"Low",1,
"Medium",2,
"High",3
)</f>
        <v>1</v>
      </c>
      <c r="Q1024">
        <f>IF(tbl_analysis_tickets[[#This Row],[reopened]]="Yes",1,0)</f>
        <v>0</v>
      </c>
      <c r="R1024" t="str" cm="1">
        <f t="array" ref="R1024">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024" t="str" cm="1">
        <f t="array" ref="S102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024" t="str">
        <f>TEXT(tbl_analysis_tickets[[#This Row],[created_date]],"mmm-yyyy")</f>
        <v>Aug-2024</v>
      </c>
      <c r="U1024" t="str">
        <f>TEXT(tbl_analysis_tickets[[#This Row],[created_date]],"dddd")</f>
        <v>Thursday</v>
      </c>
      <c r="V1024" cm="1">
        <f t="array" ref="V1024">_xlfn.SWITCH(tbl_analysis_tickets[[#This Row],[priority]],
"Urgent",1,
"High",2,
"Medium",3,
"Low",4
)</f>
        <v>1</v>
      </c>
    </row>
    <row r="1025" spans="1:22" x14ac:dyDescent="0.25">
      <c r="A1025">
        <v>1024</v>
      </c>
      <c r="B1025" s="1">
        <v>45569</v>
      </c>
      <c r="C1025" t="s">
        <v>14</v>
      </c>
      <c r="D1025" t="s">
        <v>20</v>
      </c>
      <c r="E1025">
        <v>167</v>
      </c>
      <c r="F1025">
        <v>60</v>
      </c>
      <c r="G1025">
        <v>6.4</v>
      </c>
      <c r="H1025" t="s">
        <v>12</v>
      </c>
      <c r="I1025" t="s">
        <v>19</v>
      </c>
      <c r="J1025" t="s">
        <v>11</v>
      </c>
      <c r="K1025">
        <f>_xlfn.XLOOKUP(tbl_analysis_tickets[[#This Row],[priority]],tbl_sla[priority],tbl_sla[Resolution SLA Hours])</f>
        <v>24</v>
      </c>
      <c r="L1025">
        <f>_xlfn.XLOOKUP(tbl_analysis_tickets[[#This Row],[priority]],tbl_sla[priority],tbl_sla[First Response SLA Minutes])</f>
        <v>60</v>
      </c>
      <c r="M1025" t="str">
        <f>IF(tbl_analysis_tickets[[#This Row],[resolution_time_hours]]&gt;tbl_analysis_tickets[[#This Row],[Resolution SLA Hours]],"Breached","Within SLA")</f>
        <v>Breached</v>
      </c>
      <c r="N1025" t="str">
        <f>IF(tbl_analysis_tickets[[#This Row],[first_response_minutes]]&gt;tbl_analysis_tickets[[#This Row],[First Response SLA Minutes]],"Breached","Within SLA")</f>
        <v>Breached</v>
      </c>
      <c r="O1025" t="str" cm="1">
        <f t="array" ref="O1025">_xlfn.IFS(
tbl_analysis_tickets[[#This Row],[agent_experience_years]]&lt;=2,"Junior",
tbl_analysis_tickets[[#This Row],[agent_experience_years]]&lt;=5,"Mid-Level",
tbl_analysis_tickets[[#This Row],[agent_experience_years]]&lt;=8,"Senior",
tbl_analysis_tickets[[#This Row],[agent_experience_years]]&gt;8,"Expert"
)</f>
        <v>Senior</v>
      </c>
      <c r="P1025" cm="1">
        <f t="array" ref="P1025">_xlfn.SWITCH(tbl_analysis_tickets[[#This Row],[customer_satisfaction]],
"Low",1,
"Medium",2,
"High",3
)</f>
        <v>1</v>
      </c>
      <c r="Q1025">
        <f>IF(tbl_analysis_tickets[[#This Row],[reopened]]="Yes",1,0)</f>
        <v>1</v>
      </c>
      <c r="R1025" t="str" cm="1">
        <f t="array" ref="R1025">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025" t="str" cm="1">
        <f t="array" ref="S102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025" t="str">
        <f>TEXT(tbl_analysis_tickets[[#This Row],[created_date]],"mmm-yyyy")</f>
        <v>Oct-2024</v>
      </c>
      <c r="U1025" t="str">
        <f>TEXT(tbl_analysis_tickets[[#This Row],[created_date]],"dddd")</f>
        <v>Friday</v>
      </c>
      <c r="V1025" cm="1">
        <f t="array" ref="V1025">_xlfn.SWITCH(tbl_analysis_tickets[[#This Row],[priority]],
"Urgent",1,
"High",2,
"Medium",3,
"Low",4
)</f>
        <v>2</v>
      </c>
    </row>
    <row r="1026" spans="1:22" x14ac:dyDescent="0.25">
      <c r="A1026">
        <v>1025</v>
      </c>
      <c r="B1026" s="1">
        <v>45370</v>
      </c>
      <c r="C1026" t="s">
        <v>22</v>
      </c>
      <c r="D1026" t="s">
        <v>11</v>
      </c>
      <c r="E1026">
        <v>82</v>
      </c>
      <c r="F1026">
        <v>66</v>
      </c>
      <c r="G1026">
        <v>0.7</v>
      </c>
      <c r="H1026" t="s">
        <v>12</v>
      </c>
      <c r="I1026" t="s">
        <v>13</v>
      </c>
      <c r="J1026" t="s">
        <v>11</v>
      </c>
      <c r="K1026">
        <f>_xlfn.XLOOKUP(tbl_analysis_tickets[[#This Row],[priority]],tbl_sla[priority],tbl_sla[Resolution SLA Hours])</f>
        <v>72</v>
      </c>
      <c r="L1026">
        <f>_xlfn.XLOOKUP(tbl_analysis_tickets[[#This Row],[priority]],tbl_sla[priority],tbl_sla[First Response SLA Minutes])</f>
        <v>240</v>
      </c>
      <c r="M1026" t="str">
        <f>IF(tbl_analysis_tickets[[#This Row],[resolution_time_hours]]&gt;tbl_analysis_tickets[[#This Row],[Resolution SLA Hours]],"Breached","Within SLA")</f>
        <v>Within SLA</v>
      </c>
      <c r="N1026" t="str">
        <f>IF(tbl_analysis_tickets[[#This Row],[first_response_minutes]]&gt;tbl_analysis_tickets[[#This Row],[First Response SLA Minutes]],"Breached","Within SLA")</f>
        <v>Within SLA</v>
      </c>
      <c r="O1026" t="str" cm="1">
        <f t="array" ref="O1026">_xlfn.IFS(
tbl_analysis_tickets[[#This Row],[agent_experience_years]]&lt;=2,"Junior",
tbl_analysis_tickets[[#This Row],[agent_experience_years]]&lt;=5,"Mid-Level",
tbl_analysis_tickets[[#This Row],[agent_experience_years]]&lt;=8,"Senior",
tbl_analysis_tickets[[#This Row],[agent_experience_years]]&gt;8,"Expert"
)</f>
        <v>Junior</v>
      </c>
      <c r="P1026" cm="1">
        <f t="array" ref="P1026">_xlfn.SWITCH(tbl_analysis_tickets[[#This Row],[customer_satisfaction]],
"Low",1,
"Medium",2,
"High",3
)</f>
        <v>1</v>
      </c>
      <c r="Q1026">
        <f>IF(tbl_analysis_tickets[[#This Row],[reopened]]="Yes",1,0)</f>
        <v>1</v>
      </c>
      <c r="R1026" t="str" cm="1">
        <f t="array" ref="R1026">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026" t="str" cm="1">
        <f t="array" ref="S102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026" t="str">
        <f>TEXT(tbl_analysis_tickets[[#This Row],[created_date]],"mmm-yyyy")</f>
        <v>Mar-2024</v>
      </c>
      <c r="U1026" t="str">
        <f>TEXT(tbl_analysis_tickets[[#This Row],[created_date]],"dddd")</f>
        <v>Tuesday</v>
      </c>
      <c r="V1026" cm="1">
        <f t="array" ref="V1026">_xlfn.SWITCH(tbl_analysis_tickets[[#This Row],[priority]],
"Urgent",1,
"High",2,
"Medium",3,
"Low",4
)</f>
        <v>4</v>
      </c>
    </row>
    <row r="1027" spans="1:22" x14ac:dyDescent="0.25">
      <c r="A1027">
        <v>1026</v>
      </c>
      <c r="B1027" s="1">
        <v>45495</v>
      </c>
      <c r="C1027" t="s">
        <v>21</v>
      </c>
      <c r="D1027" t="s">
        <v>15</v>
      </c>
      <c r="E1027">
        <v>23</v>
      </c>
      <c r="F1027">
        <v>61</v>
      </c>
      <c r="G1027">
        <v>8.5</v>
      </c>
      <c r="H1027" t="s">
        <v>12</v>
      </c>
      <c r="I1027" t="s">
        <v>13</v>
      </c>
      <c r="J1027" t="s">
        <v>15</v>
      </c>
      <c r="K1027">
        <f>_xlfn.XLOOKUP(tbl_analysis_tickets[[#This Row],[priority]],tbl_sla[priority],tbl_sla[Resolution SLA Hours])</f>
        <v>48</v>
      </c>
      <c r="L1027">
        <f>_xlfn.XLOOKUP(tbl_analysis_tickets[[#This Row],[priority]],tbl_sla[priority],tbl_sla[First Response SLA Minutes])</f>
        <v>120</v>
      </c>
      <c r="M1027" t="str">
        <f>IF(tbl_analysis_tickets[[#This Row],[resolution_time_hours]]&gt;tbl_analysis_tickets[[#This Row],[Resolution SLA Hours]],"Breached","Within SLA")</f>
        <v>Breached</v>
      </c>
      <c r="N1027" t="str">
        <f>IF(tbl_analysis_tickets[[#This Row],[first_response_minutes]]&gt;tbl_analysis_tickets[[#This Row],[First Response SLA Minutes]],"Breached","Within SLA")</f>
        <v>Within SLA</v>
      </c>
      <c r="O1027" t="str" cm="1">
        <f t="array" ref="O1027">_xlfn.IFS(
tbl_analysis_tickets[[#This Row],[agent_experience_years]]&lt;=2,"Junior",
tbl_analysis_tickets[[#This Row],[agent_experience_years]]&lt;=5,"Mid-Level",
tbl_analysis_tickets[[#This Row],[agent_experience_years]]&lt;=8,"Senior",
tbl_analysis_tickets[[#This Row],[agent_experience_years]]&gt;8,"Expert"
)</f>
        <v>Expert</v>
      </c>
      <c r="P1027" cm="1">
        <f t="array" ref="P1027">_xlfn.SWITCH(tbl_analysis_tickets[[#This Row],[customer_satisfaction]],
"Low",1,
"Medium",2,
"High",3
)</f>
        <v>2</v>
      </c>
      <c r="Q1027">
        <f>IF(tbl_analysis_tickets[[#This Row],[reopened]]="Yes",1,0)</f>
        <v>1</v>
      </c>
      <c r="R1027" t="str" cm="1">
        <f t="array" ref="R1027">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1027" t="str" cm="1">
        <f t="array" ref="S102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027" t="str">
        <f>TEXT(tbl_analysis_tickets[[#This Row],[created_date]],"mmm-yyyy")</f>
        <v>Jul-2024</v>
      </c>
      <c r="U1027" t="str">
        <f>TEXT(tbl_analysis_tickets[[#This Row],[created_date]],"dddd")</f>
        <v>Monday</v>
      </c>
      <c r="V1027" cm="1">
        <f t="array" ref="V1027">_xlfn.SWITCH(tbl_analysis_tickets[[#This Row],[priority]],
"Urgent",1,
"High",2,
"Medium",3,
"Low",4
)</f>
        <v>3</v>
      </c>
    </row>
    <row r="1028" spans="1:22" x14ac:dyDescent="0.25">
      <c r="A1028">
        <v>1027</v>
      </c>
      <c r="B1028" s="1">
        <v>45401</v>
      </c>
      <c r="C1028" t="s">
        <v>14</v>
      </c>
      <c r="D1028" t="s">
        <v>17</v>
      </c>
      <c r="E1028">
        <v>122</v>
      </c>
      <c r="F1028">
        <v>29</v>
      </c>
      <c r="G1028">
        <v>4.0999999999999996</v>
      </c>
      <c r="H1028" t="s">
        <v>12</v>
      </c>
      <c r="I1028" t="s">
        <v>19</v>
      </c>
      <c r="J1028" t="s">
        <v>11</v>
      </c>
      <c r="K1028">
        <f>_xlfn.XLOOKUP(tbl_analysis_tickets[[#This Row],[priority]],tbl_sla[priority],tbl_sla[Resolution SLA Hours])</f>
        <v>8</v>
      </c>
      <c r="L1028">
        <f>_xlfn.XLOOKUP(tbl_analysis_tickets[[#This Row],[priority]],tbl_sla[priority],tbl_sla[First Response SLA Minutes])</f>
        <v>30</v>
      </c>
      <c r="M1028" t="str">
        <f>IF(tbl_analysis_tickets[[#This Row],[resolution_time_hours]]&gt;tbl_analysis_tickets[[#This Row],[Resolution SLA Hours]],"Breached","Within SLA")</f>
        <v>Breached</v>
      </c>
      <c r="N1028" t="str">
        <f>IF(tbl_analysis_tickets[[#This Row],[first_response_minutes]]&gt;tbl_analysis_tickets[[#This Row],[First Response SLA Minutes]],"Breached","Within SLA")</f>
        <v>Breached</v>
      </c>
      <c r="O1028" t="str" cm="1">
        <f t="array" ref="O1028">_xlfn.IFS(
tbl_analysis_tickets[[#This Row],[agent_experience_years]]&lt;=2,"Junior",
tbl_analysis_tickets[[#This Row],[agent_experience_years]]&lt;=5,"Mid-Level",
tbl_analysis_tickets[[#This Row],[agent_experience_years]]&lt;=8,"Senior",
tbl_analysis_tickets[[#This Row],[agent_experience_years]]&gt;8,"Expert"
)</f>
        <v>Mid-Level</v>
      </c>
      <c r="P1028" cm="1">
        <f t="array" ref="P1028">_xlfn.SWITCH(tbl_analysis_tickets[[#This Row],[customer_satisfaction]],
"Low",1,
"Medium",2,
"High",3
)</f>
        <v>1</v>
      </c>
      <c r="Q1028">
        <f>IF(tbl_analysis_tickets[[#This Row],[reopened]]="Yes",1,0)</f>
        <v>1</v>
      </c>
      <c r="R1028" t="str" cm="1">
        <f t="array" ref="R1028">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028" t="str" cm="1">
        <f t="array" ref="S102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028" t="str">
        <f>TEXT(tbl_analysis_tickets[[#This Row],[created_date]],"mmm-yyyy")</f>
        <v>Apr-2024</v>
      </c>
      <c r="U1028" t="str">
        <f>TEXT(tbl_analysis_tickets[[#This Row],[created_date]],"dddd")</f>
        <v>Friday</v>
      </c>
      <c r="V1028" cm="1">
        <f t="array" ref="V1028">_xlfn.SWITCH(tbl_analysis_tickets[[#This Row],[priority]],
"Urgent",1,
"High",2,
"Medium",3,
"Low",4
)</f>
        <v>1</v>
      </c>
    </row>
    <row r="1029" spans="1:22" x14ac:dyDescent="0.25">
      <c r="A1029">
        <v>1028</v>
      </c>
      <c r="B1029" s="1">
        <v>45297</v>
      </c>
      <c r="C1029" t="s">
        <v>10</v>
      </c>
      <c r="D1029" t="s">
        <v>11</v>
      </c>
      <c r="E1029">
        <v>6</v>
      </c>
      <c r="F1029">
        <v>58</v>
      </c>
      <c r="G1029">
        <v>7.1</v>
      </c>
      <c r="H1029" t="s">
        <v>12</v>
      </c>
      <c r="I1029" t="s">
        <v>13</v>
      </c>
      <c r="J1029" t="s">
        <v>15</v>
      </c>
      <c r="K1029">
        <f>_xlfn.XLOOKUP(tbl_analysis_tickets[[#This Row],[priority]],tbl_sla[priority],tbl_sla[Resolution SLA Hours])</f>
        <v>72</v>
      </c>
      <c r="L1029">
        <f>_xlfn.XLOOKUP(tbl_analysis_tickets[[#This Row],[priority]],tbl_sla[priority],tbl_sla[First Response SLA Minutes])</f>
        <v>240</v>
      </c>
      <c r="M1029" t="str">
        <f>IF(tbl_analysis_tickets[[#This Row],[resolution_time_hours]]&gt;tbl_analysis_tickets[[#This Row],[Resolution SLA Hours]],"Breached","Within SLA")</f>
        <v>Within SLA</v>
      </c>
      <c r="N1029" t="str">
        <f>IF(tbl_analysis_tickets[[#This Row],[first_response_minutes]]&gt;tbl_analysis_tickets[[#This Row],[First Response SLA Minutes]],"Breached","Within SLA")</f>
        <v>Within SLA</v>
      </c>
      <c r="O1029" t="str" cm="1">
        <f t="array" ref="O1029">_xlfn.IFS(
tbl_analysis_tickets[[#This Row],[agent_experience_years]]&lt;=2,"Junior",
tbl_analysis_tickets[[#This Row],[agent_experience_years]]&lt;=5,"Mid-Level",
tbl_analysis_tickets[[#This Row],[agent_experience_years]]&lt;=8,"Senior",
tbl_analysis_tickets[[#This Row],[agent_experience_years]]&gt;8,"Expert"
)</f>
        <v>Senior</v>
      </c>
      <c r="P1029" cm="1">
        <f t="array" ref="P1029">_xlfn.SWITCH(tbl_analysis_tickets[[#This Row],[customer_satisfaction]],
"Low",1,
"Medium",2,
"High",3
)</f>
        <v>2</v>
      </c>
      <c r="Q1029">
        <f>IF(tbl_analysis_tickets[[#This Row],[reopened]]="Yes",1,0)</f>
        <v>1</v>
      </c>
      <c r="R1029" t="str" cm="1">
        <f t="array" ref="R1029">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1029" t="str" cm="1">
        <f t="array" ref="S102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029" t="str">
        <f>TEXT(tbl_analysis_tickets[[#This Row],[created_date]],"mmm-yyyy")</f>
        <v>Jan-2024</v>
      </c>
      <c r="U1029" t="str">
        <f>TEXT(tbl_analysis_tickets[[#This Row],[created_date]],"dddd")</f>
        <v>Saturday</v>
      </c>
      <c r="V1029" cm="1">
        <f t="array" ref="V1029">_xlfn.SWITCH(tbl_analysis_tickets[[#This Row],[priority]],
"Urgent",1,
"High",2,
"Medium",3,
"Low",4
)</f>
        <v>4</v>
      </c>
    </row>
    <row r="1030" spans="1:22" x14ac:dyDescent="0.25">
      <c r="A1030">
        <v>1029</v>
      </c>
      <c r="B1030" s="1">
        <v>45469</v>
      </c>
      <c r="C1030" t="s">
        <v>21</v>
      </c>
      <c r="D1030" t="s">
        <v>20</v>
      </c>
      <c r="E1030">
        <v>203</v>
      </c>
      <c r="F1030">
        <v>41</v>
      </c>
      <c r="G1030">
        <v>2.7</v>
      </c>
      <c r="H1030" t="s">
        <v>18</v>
      </c>
      <c r="I1030" t="s">
        <v>16</v>
      </c>
      <c r="J1030" t="s">
        <v>11</v>
      </c>
      <c r="K1030">
        <f>_xlfn.XLOOKUP(tbl_analysis_tickets[[#This Row],[priority]],tbl_sla[priority],tbl_sla[Resolution SLA Hours])</f>
        <v>24</v>
      </c>
      <c r="L1030">
        <f>_xlfn.XLOOKUP(tbl_analysis_tickets[[#This Row],[priority]],tbl_sla[priority],tbl_sla[First Response SLA Minutes])</f>
        <v>60</v>
      </c>
      <c r="M1030" t="str">
        <f>IF(tbl_analysis_tickets[[#This Row],[resolution_time_hours]]&gt;tbl_analysis_tickets[[#This Row],[Resolution SLA Hours]],"Breached","Within SLA")</f>
        <v>Breached</v>
      </c>
      <c r="N1030" t="str">
        <f>IF(tbl_analysis_tickets[[#This Row],[first_response_minutes]]&gt;tbl_analysis_tickets[[#This Row],[First Response SLA Minutes]],"Breached","Within SLA")</f>
        <v>Breached</v>
      </c>
      <c r="O1030" t="str" cm="1">
        <f t="array" ref="O1030">_xlfn.IFS(
tbl_analysis_tickets[[#This Row],[agent_experience_years]]&lt;=2,"Junior",
tbl_analysis_tickets[[#This Row],[agent_experience_years]]&lt;=5,"Mid-Level",
tbl_analysis_tickets[[#This Row],[agent_experience_years]]&lt;=8,"Senior",
tbl_analysis_tickets[[#This Row],[agent_experience_years]]&gt;8,"Expert"
)</f>
        <v>Mid-Level</v>
      </c>
      <c r="P1030" cm="1">
        <f t="array" ref="P1030">_xlfn.SWITCH(tbl_analysis_tickets[[#This Row],[customer_satisfaction]],
"Low",1,
"Medium",2,
"High",3
)</f>
        <v>1</v>
      </c>
      <c r="Q1030">
        <f>IF(tbl_analysis_tickets[[#This Row],[reopened]]="Yes",1,0)</f>
        <v>0</v>
      </c>
      <c r="R1030" t="str" cm="1">
        <f t="array" ref="R1030">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030" t="str" cm="1">
        <f t="array" ref="S103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030" t="str">
        <f>TEXT(tbl_analysis_tickets[[#This Row],[created_date]],"mmm-yyyy")</f>
        <v>Jun-2024</v>
      </c>
      <c r="U1030" t="str">
        <f>TEXT(tbl_analysis_tickets[[#This Row],[created_date]],"dddd")</f>
        <v>Wednesday</v>
      </c>
      <c r="V1030" cm="1">
        <f t="array" ref="V1030">_xlfn.SWITCH(tbl_analysis_tickets[[#This Row],[priority]],
"Urgent",1,
"High",2,
"Medium",3,
"Low",4
)</f>
        <v>2</v>
      </c>
    </row>
    <row r="1031" spans="1:22" x14ac:dyDescent="0.25">
      <c r="A1031">
        <v>1030</v>
      </c>
      <c r="B1031" s="1">
        <v>45393</v>
      </c>
      <c r="C1031" t="s">
        <v>23</v>
      </c>
      <c r="D1031" t="s">
        <v>20</v>
      </c>
      <c r="E1031">
        <v>19</v>
      </c>
      <c r="F1031">
        <v>55</v>
      </c>
      <c r="G1031">
        <v>8.3000000000000007</v>
      </c>
      <c r="H1031" t="s">
        <v>18</v>
      </c>
      <c r="I1031" t="s">
        <v>13</v>
      </c>
      <c r="J1031" t="s">
        <v>15</v>
      </c>
      <c r="K1031">
        <f>_xlfn.XLOOKUP(tbl_analysis_tickets[[#This Row],[priority]],tbl_sla[priority],tbl_sla[Resolution SLA Hours])</f>
        <v>24</v>
      </c>
      <c r="L1031">
        <f>_xlfn.XLOOKUP(tbl_analysis_tickets[[#This Row],[priority]],tbl_sla[priority],tbl_sla[First Response SLA Minutes])</f>
        <v>60</v>
      </c>
      <c r="M1031" t="str">
        <f>IF(tbl_analysis_tickets[[#This Row],[resolution_time_hours]]&gt;tbl_analysis_tickets[[#This Row],[Resolution SLA Hours]],"Breached","Within SLA")</f>
        <v>Breached</v>
      </c>
      <c r="N1031" t="str">
        <f>IF(tbl_analysis_tickets[[#This Row],[first_response_minutes]]&gt;tbl_analysis_tickets[[#This Row],[First Response SLA Minutes]],"Breached","Within SLA")</f>
        <v>Within SLA</v>
      </c>
      <c r="O1031" t="str" cm="1">
        <f t="array" ref="O1031">_xlfn.IFS(
tbl_analysis_tickets[[#This Row],[agent_experience_years]]&lt;=2,"Junior",
tbl_analysis_tickets[[#This Row],[agent_experience_years]]&lt;=5,"Mid-Level",
tbl_analysis_tickets[[#This Row],[agent_experience_years]]&lt;=8,"Senior",
tbl_analysis_tickets[[#This Row],[agent_experience_years]]&gt;8,"Expert"
)</f>
        <v>Expert</v>
      </c>
      <c r="P1031" cm="1">
        <f t="array" ref="P1031">_xlfn.SWITCH(tbl_analysis_tickets[[#This Row],[customer_satisfaction]],
"Low",1,
"Medium",2,
"High",3
)</f>
        <v>2</v>
      </c>
      <c r="Q1031">
        <f>IF(tbl_analysis_tickets[[#This Row],[reopened]]="Yes",1,0)</f>
        <v>0</v>
      </c>
      <c r="R1031" t="str" cm="1">
        <f t="array" ref="R1031">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1031" t="str" cm="1">
        <f t="array" ref="S103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031" t="str">
        <f>TEXT(tbl_analysis_tickets[[#This Row],[created_date]],"mmm-yyyy")</f>
        <v>Apr-2024</v>
      </c>
      <c r="U1031" t="str">
        <f>TEXT(tbl_analysis_tickets[[#This Row],[created_date]],"dddd")</f>
        <v>Thursday</v>
      </c>
      <c r="V1031" cm="1">
        <f t="array" ref="V1031">_xlfn.SWITCH(tbl_analysis_tickets[[#This Row],[priority]],
"Urgent",1,
"High",2,
"Medium",3,
"Low",4
)</f>
        <v>2</v>
      </c>
    </row>
    <row r="1032" spans="1:22" x14ac:dyDescent="0.25">
      <c r="A1032">
        <v>1031</v>
      </c>
      <c r="B1032" s="1">
        <v>45480</v>
      </c>
      <c r="C1032" t="s">
        <v>14</v>
      </c>
      <c r="D1032" t="s">
        <v>17</v>
      </c>
      <c r="E1032">
        <v>171</v>
      </c>
      <c r="F1032">
        <v>2</v>
      </c>
      <c r="G1032">
        <v>8.4</v>
      </c>
      <c r="H1032" t="s">
        <v>18</v>
      </c>
      <c r="I1032" t="s">
        <v>16</v>
      </c>
      <c r="J1032" t="s">
        <v>15</v>
      </c>
      <c r="K1032">
        <f>_xlfn.XLOOKUP(tbl_analysis_tickets[[#This Row],[priority]],tbl_sla[priority],tbl_sla[Resolution SLA Hours])</f>
        <v>8</v>
      </c>
      <c r="L1032">
        <f>_xlfn.XLOOKUP(tbl_analysis_tickets[[#This Row],[priority]],tbl_sla[priority],tbl_sla[First Response SLA Minutes])</f>
        <v>30</v>
      </c>
      <c r="M1032" t="str">
        <f>IF(tbl_analysis_tickets[[#This Row],[resolution_time_hours]]&gt;tbl_analysis_tickets[[#This Row],[Resolution SLA Hours]],"Breached","Within SLA")</f>
        <v>Within SLA</v>
      </c>
      <c r="N1032" t="str">
        <f>IF(tbl_analysis_tickets[[#This Row],[first_response_minutes]]&gt;tbl_analysis_tickets[[#This Row],[First Response SLA Minutes]],"Breached","Within SLA")</f>
        <v>Breached</v>
      </c>
      <c r="O1032" t="str" cm="1">
        <f t="array" ref="O1032">_xlfn.IFS(
tbl_analysis_tickets[[#This Row],[agent_experience_years]]&lt;=2,"Junior",
tbl_analysis_tickets[[#This Row],[agent_experience_years]]&lt;=5,"Mid-Level",
tbl_analysis_tickets[[#This Row],[agent_experience_years]]&lt;=8,"Senior",
tbl_analysis_tickets[[#This Row],[agent_experience_years]]&gt;8,"Expert"
)</f>
        <v>Expert</v>
      </c>
      <c r="P1032" cm="1">
        <f t="array" ref="P1032">_xlfn.SWITCH(tbl_analysis_tickets[[#This Row],[customer_satisfaction]],
"Low",1,
"Medium",2,
"High",3
)</f>
        <v>2</v>
      </c>
      <c r="Q1032">
        <f>IF(tbl_analysis_tickets[[#This Row],[reopened]]="Yes",1,0)</f>
        <v>0</v>
      </c>
      <c r="R1032" t="str" cm="1">
        <f t="array" ref="R1032">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032" t="str" cm="1">
        <f t="array" ref="S103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1032" t="str">
        <f>TEXT(tbl_analysis_tickets[[#This Row],[created_date]],"mmm-yyyy")</f>
        <v>Jul-2024</v>
      </c>
      <c r="U1032" t="str">
        <f>TEXT(tbl_analysis_tickets[[#This Row],[created_date]],"dddd")</f>
        <v>Sunday</v>
      </c>
      <c r="V1032" cm="1">
        <f t="array" ref="V1032">_xlfn.SWITCH(tbl_analysis_tickets[[#This Row],[priority]],
"Urgent",1,
"High",2,
"Medium",3,
"Low",4
)</f>
        <v>1</v>
      </c>
    </row>
    <row r="1033" spans="1:22" x14ac:dyDescent="0.25">
      <c r="A1033">
        <v>1032</v>
      </c>
      <c r="B1033" s="1">
        <v>45644</v>
      </c>
      <c r="C1033" t="s">
        <v>22</v>
      </c>
      <c r="D1033" t="s">
        <v>11</v>
      </c>
      <c r="E1033">
        <v>66</v>
      </c>
      <c r="F1033">
        <v>7</v>
      </c>
      <c r="G1033">
        <v>5.7</v>
      </c>
      <c r="H1033" t="s">
        <v>18</v>
      </c>
      <c r="I1033" t="s">
        <v>19</v>
      </c>
      <c r="J1033" t="s">
        <v>15</v>
      </c>
      <c r="K1033">
        <f>_xlfn.XLOOKUP(tbl_analysis_tickets[[#This Row],[priority]],tbl_sla[priority],tbl_sla[Resolution SLA Hours])</f>
        <v>72</v>
      </c>
      <c r="L1033">
        <f>_xlfn.XLOOKUP(tbl_analysis_tickets[[#This Row],[priority]],tbl_sla[priority],tbl_sla[First Response SLA Minutes])</f>
        <v>240</v>
      </c>
      <c r="M1033" t="str">
        <f>IF(tbl_analysis_tickets[[#This Row],[resolution_time_hours]]&gt;tbl_analysis_tickets[[#This Row],[Resolution SLA Hours]],"Breached","Within SLA")</f>
        <v>Within SLA</v>
      </c>
      <c r="N1033" t="str">
        <f>IF(tbl_analysis_tickets[[#This Row],[first_response_minutes]]&gt;tbl_analysis_tickets[[#This Row],[First Response SLA Minutes]],"Breached","Within SLA")</f>
        <v>Within SLA</v>
      </c>
      <c r="O1033" t="str" cm="1">
        <f t="array" ref="O1033">_xlfn.IFS(
tbl_analysis_tickets[[#This Row],[agent_experience_years]]&lt;=2,"Junior",
tbl_analysis_tickets[[#This Row],[agent_experience_years]]&lt;=5,"Mid-Level",
tbl_analysis_tickets[[#This Row],[agent_experience_years]]&lt;=8,"Senior",
tbl_analysis_tickets[[#This Row],[agent_experience_years]]&gt;8,"Expert"
)</f>
        <v>Senior</v>
      </c>
      <c r="P1033" cm="1">
        <f t="array" ref="P1033">_xlfn.SWITCH(tbl_analysis_tickets[[#This Row],[customer_satisfaction]],
"Low",1,
"Medium",2,
"High",3
)</f>
        <v>2</v>
      </c>
      <c r="Q1033">
        <f>IF(tbl_analysis_tickets[[#This Row],[reopened]]="Yes",1,0)</f>
        <v>0</v>
      </c>
      <c r="R1033" t="str" cm="1">
        <f t="array" ref="R1033">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033" t="str" cm="1">
        <f t="array" ref="S103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1033" t="str">
        <f>TEXT(tbl_analysis_tickets[[#This Row],[created_date]],"mmm-yyyy")</f>
        <v>Dec-2024</v>
      </c>
      <c r="U1033" t="str">
        <f>TEXT(tbl_analysis_tickets[[#This Row],[created_date]],"dddd")</f>
        <v>Wednesday</v>
      </c>
      <c r="V1033" cm="1">
        <f t="array" ref="V1033">_xlfn.SWITCH(tbl_analysis_tickets[[#This Row],[priority]],
"Urgent",1,
"High",2,
"Medium",3,
"Low",4
)</f>
        <v>4</v>
      </c>
    </row>
    <row r="1034" spans="1:22" x14ac:dyDescent="0.25">
      <c r="A1034">
        <v>1033</v>
      </c>
      <c r="B1034" s="1">
        <v>45525</v>
      </c>
      <c r="C1034" t="s">
        <v>10</v>
      </c>
      <c r="D1034" t="s">
        <v>20</v>
      </c>
      <c r="E1034">
        <v>10</v>
      </c>
      <c r="F1034">
        <v>55</v>
      </c>
      <c r="G1034">
        <v>6.8</v>
      </c>
      <c r="H1034" t="s">
        <v>12</v>
      </c>
      <c r="I1034" t="s">
        <v>19</v>
      </c>
      <c r="J1034" t="s">
        <v>15</v>
      </c>
      <c r="K1034">
        <f>_xlfn.XLOOKUP(tbl_analysis_tickets[[#This Row],[priority]],tbl_sla[priority],tbl_sla[Resolution SLA Hours])</f>
        <v>24</v>
      </c>
      <c r="L1034">
        <f>_xlfn.XLOOKUP(tbl_analysis_tickets[[#This Row],[priority]],tbl_sla[priority],tbl_sla[First Response SLA Minutes])</f>
        <v>60</v>
      </c>
      <c r="M1034" t="str">
        <f>IF(tbl_analysis_tickets[[#This Row],[resolution_time_hours]]&gt;tbl_analysis_tickets[[#This Row],[Resolution SLA Hours]],"Breached","Within SLA")</f>
        <v>Breached</v>
      </c>
      <c r="N1034" t="str">
        <f>IF(tbl_analysis_tickets[[#This Row],[first_response_minutes]]&gt;tbl_analysis_tickets[[#This Row],[First Response SLA Minutes]],"Breached","Within SLA")</f>
        <v>Within SLA</v>
      </c>
      <c r="O1034" t="str" cm="1">
        <f t="array" ref="O1034">_xlfn.IFS(
tbl_analysis_tickets[[#This Row],[agent_experience_years]]&lt;=2,"Junior",
tbl_analysis_tickets[[#This Row],[agent_experience_years]]&lt;=5,"Mid-Level",
tbl_analysis_tickets[[#This Row],[agent_experience_years]]&lt;=8,"Senior",
tbl_analysis_tickets[[#This Row],[agent_experience_years]]&gt;8,"Expert"
)</f>
        <v>Senior</v>
      </c>
      <c r="P1034" cm="1">
        <f t="array" ref="P1034">_xlfn.SWITCH(tbl_analysis_tickets[[#This Row],[customer_satisfaction]],
"Low",1,
"Medium",2,
"High",3
)</f>
        <v>2</v>
      </c>
      <c r="Q1034">
        <f>IF(tbl_analysis_tickets[[#This Row],[reopened]]="Yes",1,0)</f>
        <v>1</v>
      </c>
      <c r="R1034" t="str" cm="1">
        <f t="array" ref="R1034">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1034" t="str" cm="1">
        <f t="array" ref="S103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034" t="str">
        <f>TEXT(tbl_analysis_tickets[[#This Row],[created_date]],"mmm-yyyy")</f>
        <v>Aug-2024</v>
      </c>
      <c r="U1034" t="str">
        <f>TEXT(tbl_analysis_tickets[[#This Row],[created_date]],"dddd")</f>
        <v>Wednesday</v>
      </c>
      <c r="V1034" cm="1">
        <f t="array" ref="V1034">_xlfn.SWITCH(tbl_analysis_tickets[[#This Row],[priority]],
"Urgent",1,
"High",2,
"Medium",3,
"Low",4
)</f>
        <v>2</v>
      </c>
    </row>
    <row r="1035" spans="1:22" x14ac:dyDescent="0.25">
      <c r="A1035">
        <v>1034</v>
      </c>
      <c r="B1035" s="1">
        <v>45323</v>
      </c>
      <c r="C1035" t="s">
        <v>21</v>
      </c>
      <c r="D1035" t="s">
        <v>17</v>
      </c>
      <c r="E1035">
        <v>114</v>
      </c>
      <c r="F1035">
        <v>5</v>
      </c>
      <c r="G1035">
        <v>6.7</v>
      </c>
      <c r="H1035" t="s">
        <v>12</v>
      </c>
      <c r="I1035" t="s">
        <v>13</v>
      </c>
      <c r="J1035" t="s">
        <v>15</v>
      </c>
      <c r="K1035">
        <f>_xlfn.XLOOKUP(tbl_analysis_tickets[[#This Row],[priority]],tbl_sla[priority],tbl_sla[Resolution SLA Hours])</f>
        <v>8</v>
      </c>
      <c r="L1035">
        <f>_xlfn.XLOOKUP(tbl_analysis_tickets[[#This Row],[priority]],tbl_sla[priority],tbl_sla[First Response SLA Minutes])</f>
        <v>30</v>
      </c>
      <c r="M1035" t="str">
        <f>IF(tbl_analysis_tickets[[#This Row],[resolution_time_hours]]&gt;tbl_analysis_tickets[[#This Row],[Resolution SLA Hours]],"Breached","Within SLA")</f>
        <v>Within SLA</v>
      </c>
      <c r="N1035" t="str">
        <f>IF(tbl_analysis_tickets[[#This Row],[first_response_minutes]]&gt;tbl_analysis_tickets[[#This Row],[First Response SLA Minutes]],"Breached","Within SLA")</f>
        <v>Breached</v>
      </c>
      <c r="O1035" t="str" cm="1">
        <f t="array" ref="O1035">_xlfn.IFS(
tbl_analysis_tickets[[#This Row],[agent_experience_years]]&lt;=2,"Junior",
tbl_analysis_tickets[[#This Row],[agent_experience_years]]&lt;=5,"Mid-Level",
tbl_analysis_tickets[[#This Row],[agent_experience_years]]&lt;=8,"Senior",
tbl_analysis_tickets[[#This Row],[agent_experience_years]]&gt;8,"Expert"
)</f>
        <v>Senior</v>
      </c>
      <c r="P1035" cm="1">
        <f t="array" ref="P1035">_xlfn.SWITCH(tbl_analysis_tickets[[#This Row],[customer_satisfaction]],
"Low",1,
"Medium",2,
"High",3
)</f>
        <v>2</v>
      </c>
      <c r="Q1035">
        <f>IF(tbl_analysis_tickets[[#This Row],[reopened]]="Yes",1,0)</f>
        <v>1</v>
      </c>
      <c r="R1035" t="str" cm="1">
        <f t="array" ref="R1035">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035" t="str" cm="1">
        <f t="array" ref="S103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1035" t="str">
        <f>TEXT(tbl_analysis_tickets[[#This Row],[created_date]],"mmm-yyyy")</f>
        <v>Feb-2024</v>
      </c>
      <c r="U1035" t="str">
        <f>TEXT(tbl_analysis_tickets[[#This Row],[created_date]],"dddd")</f>
        <v>Thursday</v>
      </c>
      <c r="V1035" cm="1">
        <f t="array" ref="V1035">_xlfn.SWITCH(tbl_analysis_tickets[[#This Row],[priority]],
"Urgent",1,
"High",2,
"Medium",3,
"Low",4
)</f>
        <v>1</v>
      </c>
    </row>
    <row r="1036" spans="1:22" x14ac:dyDescent="0.25">
      <c r="A1036">
        <v>1035</v>
      </c>
      <c r="B1036" s="1">
        <v>45371</v>
      </c>
      <c r="C1036" t="s">
        <v>23</v>
      </c>
      <c r="D1036" t="s">
        <v>11</v>
      </c>
      <c r="E1036">
        <v>7</v>
      </c>
      <c r="F1036">
        <v>14</v>
      </c>
      <c r="G1036">
        <v>4.3</v>
      </c>
      <c r="H1036" t="s">
        <v>12</v>
      </c>
      <c r="I1036" t="s">
        <v>16</v>
      </c>
      <c r="J1036" t="s">
        <v>15</v>
      </c>
      <c r="K1036">
        <f>_xlfn.XLOOKUP(tbl_analysis_tickets[[#This Row],[priority]],tbl_sla[priority],tbl_sla[Resolution SLA Hours])</f>
        <v>72</v>
      </c>
      <c r="L1036">
        <f>_xlfn.XLOOKUP(tbl_analysis_tickets[[#This Row],[priority]],tbl_sla[priority],tbl_sla[First Response SLA Minutes])</f>
        <v>240</v>
      </c>
      <c r="M1036" t="str">
        <f>IF(tbl_analysis_tickets[[#This Row],[resolution_time_hours]]&gt;tbl_analysis_tickets[[#This Row],[Resolution SLA Hours]],"Breached","Within SLA")</f>
        <v>Within SLA</v>
      </c>
      <c r="N1036" t="str">
        <f>IF(tbl_analysis_tickets[[#This Row],[first_response_minutes]]&gt;tbl_analysis_tickets[[#This Row],[First Response SLA Minutes]],"Breached","Within SLA")</f>
        <v>Within SLA</v>
      </c>
      <c r="O1036" t="str" cm="1">
        <f t="array" ref="O1036">_xlfn.IFS(
tbl_analysis_tickets[[#This Row],[agent_experience_years]]&lt;=2,"Junior",
tbl_analysis_tickets[[#This Row],[agent_experience_years]]&lt;=5,"Mid-Level",
tbl_analysis_tickets[[#This Row],[agent_experience_years]]&lt;=8,"Senior",
tbl_analysis_tickets[[#This Row],[agent_experience_years]]&gt;8,"Expert"
)</f>
        <v>Mid-Level</v>
      </c>
      <c r="P1036" cm="1">
        <f t="array" ref="P1036">_xlfn.SWITCH(tbl_analysis_tickets[[#This Row],[customer_satisfaction]],
"Low",1,
"Medium",2,
"High",3
)</f>
        <v>2</v>
      </c>
      <c r="Q1036">
        <f>IF(tbl_analysis_tickets[[#This Row],[reopened]]="Yes",1,0)</f>
        <v>1</v>
      </c>
      <c r="R1036" t="str" cm="1">
        <f t="array" ref="R1036">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1036" t="str" cm="1">
        <f t="array" ref="S103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036" t="str">
        <f>TEXT(tbl_analysis_tickets[[#This Row],[created_date]],"mmm-yyyy")</f>
        <v>Mar-2024</v>
      </c>
      <c r="U1036" t="str">
        <f>TEXT(tbl_analysis_tickets[[#This Row],[created_date]],"dddd")</f>
        <v>Wednesday</v>
      </c>
      <c r="V1036" cm="1">
        <f t="array" ref="V1036">_xlfn.SWITCH(tbl_analysis_tickets[[#This Row],[priority]],
"Urgent",1,
"High",2,
"Medium",3,
"Low",4
)</f>
        <v>4</v>
      </c>
    </row>
    <row r="1037" spans="1:22" x14ac:dyDescent="0.25">
      <c r="A1037">
        <v>1036</v>
      </c>
      <c r="B1037" s="1">
        <v>45585</v>
      </c>
      <c r="C1037" t="s">
        <v>22</v>
      </c>
      <c r="D1037" t="s">
        <v>17</v>
      </c>
      <c r="E1037">
        <v>235</v>
      </c>
      <c r="F1037">
        <v>8</v>
      </c>
      <c r="G1037">
        <v>2</v>
      </c>
      <c r="H1037" t="s">
        <v>18</v>
      </c>
      <c r="I1037" t="s">
        <v>13</v>
      </c>
      <c r="J1037" t="s">
        <v>11</v>
      </c>
      <c r="K1037">
        <f>_xlfn.XLOOKUP(tbl_analysis_tickets[[#This Row],[priority]],tbl_sla[priority],tbl_sla[Resolution SLA Hours])</f>
        <v>8</v>
      </c>
      <c r="L1037">
        <f>_xlfn.XLOOKUP(tbl_analysis_tickets[[#This Row],[priority]],tbl_sla[priority],tbl_sla[First Response SLA Minutes])</f>
        <v>30</v>
      </c>
      <c r="M1037" t="str">
        <f>IF(tbl_analysis_tickets[[#This Row],[resolution_time_hours]]&gt;tbl_analysis_tickets[[#This Row],[Resolution SLA Hours]],"Breached","Within SLA")</f>
        <v>Within SLA</v>
      </c>
      <c r="N1037" t="str">
        <f>IF(tbl_analysis_tickets[[#This Row],[first_response_minutes]]&gt;tbl_analysis_tickets[[#This Row],[First Response SLA Minutes]],"Breached","Within SLA")</f>
        <v>Breached</v>
      </c>
      <c r="O1037" t="str" cm="1">
        <f t="array" ref="O1037">_xlfn.IFS(
tbl_analysis_tickets[[#This Row],[agent_experience_years]]&lt;=2,"Junior",
tbl_analysis_tickets[[#This Row],[agent_experience_years]]&lt;=5,"Mid-Level",
tbl_analysis_tickets[[#This Row],[agent_experience_years]]&lt;=8,"Senior",
tbl_analysis_tickets[[#This Row],[agent_experience_years]]&gt;8,"Expert"
)</f>
        <v>Junior</v>
      </c>
      <c r="P1037" cm="1">
        <f t="array" ref="P1037">_xlfn.SWITCH(tbl_analysis_tickets[[#This Row],[customer_satisfaction]],
"Low",1,
"Medium",2,
"High",3
)</f>
        <v>1</v>
      </c>
      <c r="Q1037">
        <f>IF(tbl_analysis_tickets[[#This Row],[reopened]]="Yes",1,0)</f>
        <v>0</v>
      </c>
      <c r="R1037" t="str" cm="1">
        <f t="array" ref="R1037">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037" t="str" cm="1">
        <f t="array" ref="S103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1037" t="str">
        <f>TEXT(tbl_analysis_tickets[[#This Row],[created_date]],"mmm-yyyy")</f>
        <v>Oct-2024</v>
      </c>
      <c r="U1037" t="str">
        <f>TEXT(tbl_analysis_tickets[[#This Row],[created_date]],"dddd")</f>
        <v>Sunday</v>
      </c>
      <c r="V1037" cm="1">
        <f t="array" ref="V1037">_xlfn.SWITCH(tbl_analysis_tickets[[#This Row],[priority]],
"Urgent",1,
"High",2,
"Medium",3,
"Low",4
)</f>
        <v>1</v>
      </c>
    </row>
    <row r="1038" spans="1:22" x14ac:dyDescent="0.25">
      <c r="A1038">
        <v>1037</v>
      </c>
      <c r="B1038" s="1">
        <v>45596</v>
      </c>
      <c r="C1038" t="s">
        <v>23</v>
      </c>
      <c r="D1038" t="s">
        <v>11</v>
      </c>
      <c r="E1038">
        <v>21</v>
      </c>
      <c r="F1038">
        <v>14</v>
      </c>
      <c r="G1038">
        <v>5.7</v>
      </c>
      <c r="H1038" t="s">
        <v>12</v>
      </c>
      <c r="I1038" t="s">
        <v>16</v>
      </c>
      <c r="J1038" t="s">
        <v>15</v>
      </c>
      <c r="K1038">
        <f>_xlfn.XLOOKUP(tbl_analysis_tickets[[#This Row],[priority]],tbl_sla[priority],tbl_sla[Resolution SLA Hours])</f>
        <v>72</v>
      </c>
      <c r="L1038">
        <f>_xlfn.XLOOKUP(tbl_analysis_tickets[[#This Row],[priority]],tbl_sla[priority],tbl_sla[First Response SLA Minutes])</f>
        <v>240</v>
      </c>
      <c r="M1038" t="str">
        <f>IF(tbl_analysis_tickets[[#This Row],[resolution_time_hours]]&gt;tbl_analysis_tickets[[#This Row],[Resolution SLA Hours]],"Breached","Within SLA")</f>
        <v>Within SLA</v>
      </c>
      <c r="N1038" t="str">
        <f>IF(tbl_analysis_tickets[[#This Row],[first_response_minutes]]&gt;tbl_analysis_tickets[[#This Row],[First Response SLA Minutes]],"Breached","Within SLA")</f>
        <v>Within SLA</v>
      </c>
      <c r="O1038" t="str" cm="1">
        <f t="array" ref="O1038">_xlfn.IFS(
tbl_analysis_tickets[[#This Row],[agent_experience_years]]&lt;=2,"Junior",
tbl_analysis_tickets[[#This Row],[agent_experience_years]]&lt;=5,"Mid-Level",
tbl_analysis_tickets[[#This Row],[agent_experience_years]]&lt;=8,"Senior",
tbl_analysis_tickets[[#This Row],[agent_experience_years]]&gt;8,"Expert"
)</f>
        <v>Senior</v>
      </c>
      <c r="P1038" cm="1">
        <f t="array" ref="P1038">_xlfn.SWITCH(tbl_analysis_tickets[[#This Row],[customer_satisfaction]],
"Low",1,
"Medium",2,
"High",3
)</f>
        <v>2</v>
      </c>
      <c r="Q1038">
        <f>IF(tbl_analysis_tickets[[#This Row],[reopened]]="Yes",1,0)</f>
        <v>1</v>
      </c>
      <c r="R1038" t="str" cm="1">
        <f t="array" ref="R1038">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1038" t="str" cm="1">
        <f t="array" ref="S103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038" t="str">
        <f>TEXT(tbl_analysis_tickets[[#This Row],[created_date]],"mmm-yyyy")</f>
        <v>Oct-2024</v>
      </c>
      <c r="U1038" t="str">
        <f>TEXT(tbl_analysis_tickets[[#This Row],[created_date]],"dddd")</f>
        <v>Thursday</v>
      </c>
      <c r="V1038" cm="1">
        <f t="array" ref="V1038">_xlfn.SWITCH(tbl_analysis_tickets[[#This Row],[priority]],
"Urgent",1,
"High",2,
"Medium",3,
"Low",4
)</f>
        <v>4</v>
      </c>
    </row>
    <row r="1039" spans="1:22" x14ac:dyDescent="0.25">
      <c r="A1039">
        <v>1038</v>
      </c>
      <c r="B1039" s="1">
        <v>45306</v>
      </c>
      <c r="C1039" t="s">
        <v>22</v>
      </c>
      <c r="D1039" t="s">
        <v>17</v>
      </c>
      <c r="E1039">
        <v>173</v>
      </c>
      <c r="F1039">
        <v>17</v>
      </c>
      <c r="G1039">
        <v>2.1</v>
      </c>
      <c r="H1039" t="s">
        <v>12</v>
      </c>
      <c r="I1039" t="s">
        <v>19</v>
      </c>
      <c r="J1039" t="s">
        <v>11</v>
      </c>
      <c r="K1039">
        <f>_xlfn.XLOOKUP(tbl_analysis_tickets[[#This Row],[priority]],tbl_sla[priority],tbl_sla[Resolution SLA Hours])</f>
        <v>8</v>
      </c>
      <c r="L1039">
        <f>_xlfn.XLOOKUP(tbl_analysis_tickets[[#This Row],[priority]],tbl_sla[priority],tbl_sla[First Response SLA Minutes])</f>
        <v>30</v>
      </c>
      <c r="M1039" t="str">
        <f>IF(tbl_analysis_tickets[[#This Row],[resolution_time_hours]]&gt;tbl_analysis_tickets[[#This Row],[Resolution SLA Hours]],"Breached","Within SLA")</f>
        <v>Breached</v>
      </c>
      <c r="N1039" t="str">
        <f>IF(tbl_analysis_tickets[[#This Row],[first_response_minutes]]&gt;tbl_analysis_tickets[[#This Row],[First Response SLA Minutes]],"Breached","Within SLA")</f>
        <v>Breached</v>
      </c>
      <c r="O1039" t="str" cm="1">
        <f t="array" ref="O1039">_xlfn.IFS(
tbl_analysis_tickets[[#This Row],[agent_experience_years]]&lt;=2,"Junior",
tbl_analysis_tickets[[#This Row],[agent_experience_years]]&lt;=5,"Mid-Level",
tbl_analysis_tickets[[#This Row],[agent_experience_years]]&lt;=8,"Senior",
tbl_analysis_tickets[[#This Row],[agent_experience_years]]&gt;8,"Expert"
)</f>
        <v>Mid-Level</v>
      </c>
      <c r="P1039" cm="1">
        <f t="array" ref="P1039">_xlfn.SWITCH(tbl_analysis_tickets[[#This Row],[customer_satisfaction]],
"Low",1,
"Medium",2,
"High",3
)</f>
        <v>1</v>
      </c>
      <c r="Q1039">
        <f>IF(tbl_analysis_tickets[[#This Row],[reopened]]="Yes",1,0)</f>
        <v>1</v>
      </c>
      <c r="R1039" t="str" cm="1">
        <f t="array" ref="R1039">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039" t="str" cm="1">
        <f t="array" ref="S103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039" t="str">
        <f>TEXT(tbl_analysis_tickets[[#This Row],[created_date]],"mmm-yyyy")</f>
        <v>Jan-2024</v>
      </c>
      <c r="U1039" t="str">
        <f>TEXT(tbl_analysis_tickets[[#This Row],[created_date]],"dddd")</f>
        <v>Monday</v>
      </c>
      <c r="V1039" cm="1">
        <f t="array" ref="V1039">_xlfn.SWITCH(tbl_analysis_tickets[[#This Row],[priority]],
"Urgent",1,
"High",2,
"Medium",3,
"Low",4
)</f>
        <v>1</v>
      </c>
    </row>
    <row r="1040" spans="1:22" x14ac:dyDescent="0.25">
      <c r="A1040">
        <v>1039</v>
      </c>
      <c r="B1040" s="1">
        <v>45478</v>
      </c>
      <c r="C1040" t="s">
        <v>23</v>
      </c>
      <c r="D1040" t="s">
        <v>11</v>
      </c>
      <c r="E1040">
        <v>157</v>
      </c>
      <c r="F1040">
        <v>2</v>
      </c>
      <c r="G1040">
        <v>8.1999999999999993</v>
      </c>
      <c r="H1040" t="s">
        <v>18</v>
      </c>
      <c r="I1040" t="s">
        <v>19</v>
      </c>
      <c r="J1040" t="s">
        <v>20</v>
      </c>
      <c r="K1040">
        <f>_xlfn.XLOOKUP(tbl_analysis_tickets[[#This Row],[priority]],tbl_sla[priority],tbl_sla[Resolution SLA Hours])</f>
        <v>72</v>
      </c>
      <c r="L1040">
        <f>_xlfn.XLOOKUP(tbl_analysis_tickets[[#This Row],[priority]],tbl_sla[priority],tbl_sla[First Response SLA Minutes])</f>
        <v>240</v>
      </c>
      <c r="M1040" t="str">
        <f>IF(tbl_analysis_tickets[[#This Row],[resolution_time_hours]]&gt;tbl_analysis_tickets[[#This Row],[Resolution SLA Hours]],"Breached","Within SLA")</f>
        <v>Within SLA</v>
      </c>
      <c r="N1040" t="str">
        <f>IF(tbl_analysis_tickets[[#This Row],[first_response_minutes]]&gt;tbl_analysis_tickets[[#This Row],[First Response SLA Minutes]],"Breached","Within SLA")</f>
        <v>Within SLA</v>
      </c>
      <c r="O1040" t="str" cm="1">
        <f t="array" ref="O1040">_xlfn.IFS(
tbl_analysis_tickets[[#This Row],[agent_experience_years]]&lt;=2,"Junior",
tbl_analysis_tickets[[#This Row],[agent_experience_years]]&lt;=5,"Mid-Level",
tbl_analysis_tickets[[#This Row],[agent_experience_years]]&lt;=8,"Senior",
tbl_analysis_tickets[[#This Row],[agent_experience_years]]&gt;8,"Expert"
)</f>
        <v>Expert</v>
      </c>
      <c r="P1040" cm="1">
        <f t="array" ref="P1040">_xlfn.SWITCH(tbl_analysis_tickets[[#This Row],[customer_satisfaction]],
"Low",1,
"Medium",2,
"High",3
)</f>
        <v>3</v>
      </c>
      <c r="Q1040">
        <f>IF(tbl_analysis_tickets[[#This Row],[reopened]]="Yes",1,0)</f>
        <v>0</v>
      </c>
      <c r="R1040" t="str" cm="1">
        <f t="array" ref="R1040">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040" t="str" cm="1">
        <f t="array" ref="S104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1040" t="str">
        <f>TEXT(tbl_analysis_tickets[[#This Row],[created_date]],"mmm-yyyy")</f>
        <v>Jul-2024</v>
      </c>
      <c r="U1040" t="str">
        <f>TEXT(tbl_analysis_tickets[[#This Row],[created_date]],"dddd")</f>
        <v>Friday</v>
      </c>
      <c r="V1040" cm="1">
        <f t="array" ref="V1040">_xlfn.SWITCH(tbl_analysis_tickets[[#This Row],[priority]],
"Urgent",1,
"High",2,
"Medium",3,
"Low",4
)</f>
        <v>4</v>
      </c>
    </row>
    <row r="1041" spans="1:22" x14ac:dyDescent="0.25">
      <c r="A1041">
        <v>1040</v>
      </c>
      <c r="B1041" s="1">
        <v>45400</v>
      </c>
      <c r="C1041" t="s">
        <v>23</v>
      </c>
      <c r="D1041" t="s">
        <v>15</v>
      </c>
      <c r="E1041">
        <v>161</v>
      </c>
      <c r="F1041">
        <v>57</v>
      </c>
      <c r="G1041">
        <v>3.7</v>
      </c>
      <c r="H1041" t="s">
        <v>18</v>
      </c>
      <c r="I1041" t="s">
        <v>13</v>
      </c>
      <c r="J1041" t="s">
        <v>11</v>
      </c>
      <c r="K1041">
        <f>_xlfn.XLOOKUP(tbl_analysis_tickets[[#This Row],[priority]],tbl_sla[priority],tbl_sla[Resolution SLA Hours])</f>
        <v>48</v>
      </c>
      <c r="L1041">
        <f>_xlfn.XLOOKUP(tbl_analysis_tickets[[#This Row],[priority]],tbl_sla[priority],tbl_sla[First Response SLA Minutes])</f>
        <v>120</v>
      </c>
      <c r="M1041" t="str">
        <f>IF(tbl_analysis_tickets[[#This Row],[resolution_time_hours]]&gt;tbl_analysis_tickets[[#This Row],[Resolution SLA Hours]],"Breached","Within SLA")</f>
        <v>Breached</v>
      </c>
      <c r="N1041" t="str">
        <f>IF(tbl_analysis_tickets[[#This Row],[first_response_minutes]]&gt;tbl_analysis_tickets[[#This Row],[First Response SLA Minutes]],"Breached","Within SLA")</f>
        <v>Breached</v>
      </c>
      <c r="O1041" t="str" cm="1">
        <f t="array" ref="O1041">_xlfn.IFS(
tbl_analysis_tickets[[#This Row],[agent_experience_years]]&lt;=2,"Junior",
tbl_analysis_tickets[[#This Row],[agent_experience_years]]&lt;=5,"Mid-Level",
tbl_analysis_tickets[[#This Row],[agent_experience_years]]&lt;=8,"Senior",
tbl_analysis_tickets[[#This Row],[agent_experience_years]]&gt;8,"Expert"
)</f>
        <v>Mid-Level</v>
      </c>
      <c r="P1041" cm="1">
        <f t="array" ref="P1041">_xlfn.SWITCH(tbl_analysis_tickets[[#This Row],[customer_satisfaction]],
"Low",1,
"Medium",2,
"High",3
)</f>
        <v>1</v>
      </c>
      <c r="Q1041">
        <f>IF(tbl_analysis_tickets[[#This Row],[reopened]]="Yes",1,0)</f>
        <v>0</v>
      </c>
      <c r="R1041" t="str" cm="1">
        <f t="array" ref="R1041">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041" t="str" cm="1">
        <f t="array" ref="S104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041" t="str">
        <f>TEXT(tbl_analysis_tickets[[#This Row],[created_date]],"mmm-yyyy")</f>
        <v>Apr-2024</v>
      </c>
      <c r="U1041" t="str">
        <f>TEXT(tbl_analysis_tickets[[#This Row],[created_date]],"dddd")</f>
        <v>Thursday</v>
      </c>
      <c r="V1041" cm="1">
        <f t="array" ref="V1041">_xlfn.SWITCH(tbl_analysis_tickets[[#This Row],[priority]],
"Urgent",1,
"High",2,
"Medium",3,
"Low",4
)</f>
        <v>3</v>
      </c>
    </row>
    <row r="1042" spans="1:22" x14ac:dyDescent="0.25">
      <c r="A1042">
        <v>1041</v>
      </c>
      <c r="B1042" s="1">
        <v>45450</v>
      </c>
      <c r="C1042" t="s">
        <v>22</v>
      </c>
      <c r="D1042" t="s">
        <v>15</v>
      </c>
      <c r="E1042">
        <v>73</v>
      </c>
      <c r="F1042">
        <v>44</v>
      </c>
      <c r="G1042">
        <v>9</v>
      </c>
      <c r="H1042" t="s">
        <v>12</v>
      </c>
      <c r="I1042" t="s">
        <v>13</v>
      </c>
      <c r="J1042" t="s">
        <v>11</v>
      </c>
      <c r="K1042">
        <f>_xlfn.XLOOKUP(tbl_analysis_tickets[[#This Row],[priority]],tbl_sla[priority],tbl_sla[Resolution SLA Hours])</f>
        <v>48</v>
      </c>
      <c r="L1042">
        <f>_xlfn.XLOOKUP(tbl_analysis_tickets[[#This Row],[priority]],tbl_sla[priority],tbl_sla[First Response SLA Minutes])</f>
        <v>120</v>
      </c>
      <c r="M1042" t="str">
        <f>IF(tbl_analysis_tickets[[#This Row],[resolution_time_hours]]&gt;tbl_analysis_tickets[[#This Row],[Resolution SLA Hours]],"Breached","Within SLA")</f>
        <v>Within SLA</v>
      </c>
      <c r="N1042" t="str">
        <f>IF(tbl_analysis_tickets[[#This Row],[first_response_minutes]]&gt;tbl_analysis_tickets[[#This Row],[First Response SLA Minutes]],"Breached","Within SLA")</f>
        <v>Within SLA</v>
      </c>
      <c r="O1042" t="str" cm="1">
        <f t="array" ref="O1042">_xlfn.IFS(
tbl_analysis_tickets[[#This Row],[agent_experience_years]]&lt;=2,"Junior",
tbl_analysis_tickets[[#This Row],[agent_experience_years]]&lt;=5,"Mid-Level",
tbl_analysis_tickets[[#This Row],[agent_experience_years]]&lt;=8,"Senior",
tbl_analysis_tickets[[#This Row],[agent_experience_years]]&gt;8,"Expert"
)</f>
        <v>Expert</v>
      </c>
      <c r="P1042" cm="1">
        <f t="array" ref="P1042">_xlfn.SWITCH(tbl_analysis_tickets[[#This Row],[customer_satisfaction]],
"Low",1,
"Medium",2,
"High",3
)</f>
        <v>1</v>
      </c>
      <c r="Q1042">
        <f>IF(tbl_analysis_tickets[[#This Row],[reopened]]="Yes",1,0)</f>
        <v>1</v>
      </c>
      <c r="R1042" t="str" cm="1">
        <f t="array" ref="R1042">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042" t="str" cm="1">
        <f t="array" ref="S104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042" t="str">
        <f>TEXT(tbl_analysis_tickets[[#This Row],[created_date]],"mmm-yyyy")</f>
        <v>Jun-2024</v>
      </c>
      <c r="U1042" t="str">
        <f>TEXT(tbl_analysis_tickets[[#This Row],[created_date]],"dddd")</f>
        <v>Friday</v>
      </c>
      <c r="V1042" cm="1">
        <f t="array" ref="V1042">_xlfn.SWITCH(tbl_analysis_tickets[[#This Row],[priority]],
"Urgent",1,
"High",2,
"Medium",3,
"Low",4
)</f>
        <v>3</v>
      </c>
    </row>
    <row r="1043" spans="1:22" x14ac:dyDescent="0.25">
      <c r="A1043">
        <v>1042</v>
      </c>
      <c r="B1043" s="1">
        <v>45646</v>
      </c>
      <c r="C1043" t="s">
        <v>10</v>
      </c>
      <c r="D1043" t="s">
        <v>20</v>
      </c>
      <c r="E1043">
        <v>139</v>
      </c>
      <c r="F1043">
        <v>46</v>
      </c>
      <c r="G1043">
        <v>2.2999999999999998</v>
      </c>
      <c r="H1043" t="s">
        <v>18</v>
      </c>
      <c r="I1043" t="s">
        <v>16</v>
      </c>
      <c r="J1043" t="s">
        <v>11</v>
      </c>
      <c r="K1043">
        <f>_xlfn.XLOOKUP(tbl_analysis_tickets[[#This Row],[priority]],tbl_sla[priority],tbl_sla[Resolution SLA Hours])</f>
        <v>24</v>
      </c>
      <c r="L1043">
        <f>_xlfn.XLOOKUP(tbl_analysis_tickets[[#This Row],[priority]],tbl_sla[priority],tbl_sla[First Response SLA Minutes])</f>
        <v>60</v>
      </c>
      <c r="M1043" t="str">
        <f>IF(tbl_analysis_tickets[[#This Row],[resolution_time_hours]]&gt;tbl_analysis_tickets[[#This Row],[Resolution SLA Hours]],"Breached","Within SLA")</f>
        <v>Breached</v>
      </c>
      <c r="N1043" t="str">
        <f>IF(tbl_analysis_tickets[[#This Row],[first_response_minutes]]&gt;tbl_analysis_tickets[[#This Row],[First Response SLA Minutes]],"Breached","Within SLA")</f>
        <v>Breached</v>
      </c>
      <c r="O1043" t="str" cm="1">
        <f t="array" ref="O1043">_xlfn.IFS(
tbl_analysis_tickets[[#This Row],[agent_experience_years]]&lt;=2,"Junior",
tbl_analysis_tickets[[#This Row],[agent_experience_years]]&lt;=5,"Mid-Level",
tbl_analysis_tickets[[#This Row],[agent_experience_years]]&lt;=8,"Senior",
tbl_analysis_tickets[[#This Row],[agent_experience_years]]&gt;8,"Expert"
)</f>
        <v>Mid-Level</v>
      </c>
      <c r="P1043" cm="1">
        <f t="array" ref="P1043">_xlfn.SWITCH(tbl_analysis_tickets[[#This Row],[customer_satisfaction]],
"Low",1,
"Medium",2,
"High",3
)</f>
        <v>1</v>
      </c>
      <c r="Q1043">
        <f>IF(tbl_analysis_tickets[[#This Row],[reopened]]="Yes",1,0)</f>
        <v>0</v>
      </c>
      <c r="R1043" t="str" cm="1">
        <f t="array" ref="R1043">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043" t="str" cm="1">
        <f t="array" ref="S104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043" t="str">
        <f>TEXT(tbl_analysis_tickets[[#This Row],[created_date]],"mmm-yyyy")</f>
        <v>Dec-2024</v>
      </c>
      <c r="U1043" t="str">
        <f>TEXT(tbl_analysis_tickets[[#This Row],[created_date]],"dddd")</f>
        <v>Friday</v>
      </c>
      <c r="V1043" cm="1">
        <f t="array" ref="V1043">_xlfn.SWITCH(tbl_analysis_tickets[[#This Row],[priority]],
"Urgent",1,
"High",2,
"Medium",3,
"Low",4
)</f>
        <v>2</v>
      </c>
    </row>
    <row r="1044" spans="1:22" x14ac:dyDescent="0.25">
      <c r="A1044">
        <v>1043</v>
      </c>
      <c r="B1044" s="1">
        <v>45452</v>
      </c>
      <c r="C1044" t="s">
        <v>23</v>
      </c>
      <c r="D1044" t="s">
        <v>17</v>
      </c>
      <c r="E1044">
        <v>19</v>
      </c>
      <c r="F1044">
        <v>1</v>
      </c>
      <c r="G1044">
        <v>4.0999999999999996</v>
      </c>
      <c r="H1044" t="s">
        <v>12</v>
      </c>
      <c r="I1044" t="s">
        <v>13</v>
      </c>
      <c r="J1044" t="s">
        <v>15</v>
      </c>
      <c r="K1044">
        <f>_xlfn.XLOOKUP(tbl_analysis_tickets[[#This Row],[priority]],tbl_sla[priority],tbl_sla[Resolution SLA Hours])</f>
        <v>8</v>
      </c>
      <c r="L1044">
        <f>_xlfn.XLOOKUP(tbl_analysis_tickets[[#This Row],[priority]],tbl_sla[priority],tbl_sla[First Response SLA Minutes])</f>
        <v>30</v>
      </c>
      <c r="M1044" t="str">
        <f>IF(tbl_analysis_tickets[[#This Row],[resolution_time_hours]]&gt;tbl_analysis_tickets[[#This Row],[Resolution SLA Hours]],"Breached","Within SLA")</f>
        <v>Within SLA</v>
      </c>
      <c r="N1044" t="str">
        <f>IF(tbl_analysis_tickets[[#This Row],[first_response_minutes]]&gt;tbl_analysis_tickets[[#This Row],[First Response SLA Minutes]],"Breached","Within SLA")</f>
        <v>Within SLA</v>
      </c>
      <c r="O1044" t="str" cm="1">
        <f t="array" ref="O1044">_xlfn.IFS(
tbl_analysis_tickets[[#This Row],[agent_experience_years]]&lt;=2,"Junior",
tbl_analysis_tickets[[#This Row],[agent_experience_years]]&lt;=5,"Mid-Level",
tbl_analysis_tickets[[#This Row],[agent_experience_years]]&lt;=8,"Senior",
tbl_analysis_tickets[[#This Row],[agent_experience_years]]&gt;8,"Expert"
)</f>
        <v>Mid-Level</v>
      </c>
      <c r="P1044" cm="1">
        <f t="array" ref="P1044">_xlfn.SWITCH(tbl_analysis_tickets[[#This Row],[customer_satisfaction]],
"Low",1,
"Medium",2,
"High",3
)</f>
        <v>2</v>
      </c>
      <c r="Q1044">
        <f>IF(tbl_analysis_tickets[[#This Row],[reopened]]="Yes",1,0)</f>
        <v>1</v>
      </c>
      <c r="R1044" t="str" cm="1">
        <f t="array" ref="R1044">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1044" t="str" cm="1">
        <f t="array" ref="S104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1044" t="str">
        <f>TEXT(tbl_analysis_tickets[[#This Row],[created_date]],"mmm-yyyy")</f>
        <v>Jun-2024</v>
      </c>
      <c r="U1044" t="str">
        <f>TEXT(tbl_analysis_tickets[[#This Row],[created_date]],"dddd")</f>
        <v>Sunday</v>
      </c>
      <c r="V1044" cm="1">
        <f t="array" ref="V1044">_xlfn.SWITCH(tbl_analysis_tickets[[#This Row],[priority]],
"Urgent",1,
"High",2,
"Medium",3,
"Low",4
)</f>
        <v>1</v>
      </c>
    </row>
    <row r="1045" spans="1:22" x14ac:dyDescent="0.25">
      <c r="A1045">
        <v>1044</v>
      </c>
      <c r="B1045" s="1">
        <v>45541</v>
      </c>
      <c r="C1045" t="s">
        <v>10</v>
      </c>
      <c r="D1045" t="s">
        <v>15</v>
      </c>
      <c r="E1045">
        <v>233</v>
      </c>
      <c r="F1045">
        <v>71</v>
      </c>
      <c r="G1045">
        <v>3</v>
      </c>
      <c r="H1045" t="s">
        <v>12</v>
      </c>
      <c r="I1045" t="s">
        <v>19</v>
      </c>
      <c r="J1045" t="s">
        <v>11</v>
      </c>
      <c r="K1045">
        <f>_xlfn.XLOOKUP(tbl_analysis_tickets[[#This Row],[priority]],tbl_sla[priority],tbl_sla[Resolution SLA Hours])</f>
        <v>48</v>
      </c>
      <c r="L1045">
        <f>_xlfn.XLOOKUP(tbl_analysis_tickets[[#This Row],[priority]],tbl_sla[priority],tbl_sla[First Response SLA Minutes])</f>
        <v>120</v>
      </c>
      <c r="M1045" t="str">
        <f>IF(tbl_analysis_tickets[[#This Row],[resolution_time_hours]]&gt;tbl_analysis_tickets[[#This Row],[Resolution SLA Hours]],"Breached","Within SLA")</f>
        <v>Breached</v>
      </c>
      <c r="N1045" t="str">
        <f>IF(tbl_analysis_tickets[[#This Row],[first_response_minutes]]&gt;tbl_analysis_tickets[[#This Row],[First Response SLA Minutes]],"Breached","Within SLA")</f>
        <v>Breached</v>
      </c>
      <c r="O1045" t="str" cm="1">
        <f t="array" ref="O1045">_xlfn.IFS(
tbl_analysis_tickets[[#This Row],[agent_experience_years]]&lt;=2,"Junior",
tbl_analysis_tickets[[#This Row],[agent_experience_years]]&lt;=5,"Mid-Level",
tbl_analysis_tickets[[#This Row],[agent_experience_years]]&lt;=8,"Senior",
tbl_analysis_tickets[[#This Row],[agent_experience_years]]&gt;8,"Expert"
)</f>
        <v>Mid-Level</v>
      </c>
      <c r="P1045" cm="1">
        <f t="array" ref="P1045">_xlfn.SWITCH(tbl_analysis_tickets[[#This Row],[customer_satisfaction]],
"Low",1,
"Medium",2,
"High",3
)</f>
        <v>1</v>
      </c>
      <c r="Q1045">
        <f>IF(tbl_analysis_tickets[[#This Row],[reopened]]="Yes",1,0)</f>
        <v>1</v>
      </c>
      <c r="R1045" t="str" cm="1">
        <f t="array" ref="R1045">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045" t="str" cm="1">
        <f t="array" ref="S104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045" t="str">
        <f>TEXT(tbl_analysis_tickets[[#This Row],[created_date]],"mmm-yyyy")</f>
        <v>Sep-2024</v>
      </c>
      <c r="U1045" t="str">
        <f>TEXT(tbl_analysis_tickets[[#This Row],[created_date]],"dddd")</f>
        <v>Friday</v>
      </c>
      <c r="V1045" cm="1">
        <f t="array" ref="V1045">_xlfn.SWITCH(tbl_analysis_tickets[[#This Row],[priority]],
"Urgent",1,
"High",2,
"Medium",3,
"Low",4
)</f>
        <v>3</v>
      </c>
    </row>
    <row r="1046" spans="1:22" x14ac:dyDescent="0.25">
      <c r="A1046">
        <v>1045</v>
      </c>
      <c r="B1046" s="1">
        <v>45311</v>
      </c>
      <c r="C1046" t="s">
        <v>23</v>
      </c>
      <c r="D1046" t="s">
        <v>20</v>
      </c>
      <c r="E1046">
        <v>240</v>
      </c>
      <c r="F1046">
        <v>14</v>
      </c>
      <c r="G1046">
        <v>6.8</v>
      </c>
      <c r="H1046" t="s">
        <v>12</v>
      </c>
      <c r="I1046" t="s">
        <v>19</v>
      </c>
      <c r="J1046" t="s">
        <v>11</v>
      </c>
      <c r="K1046">
        <f>_xlfn.XLOOKUP(tbl_analysis_tickets[[#This Row],[priority]],tbl_sla[priority],tbl_sla[Resolution SLA Hours])</f>
        <v>24</v>
      </c>
      <c r="L1046">
        <f>_xlfn.XLOOKUP(tbl_analysis_tickets[[#This Row],[priority]],tbl_sla[priority],tbl_sla[First Response SLA Minutes])</f>
        <v>60</v>
      </c>
      <c r="M1046" t="str">
        <f>IF(tbl_analysis_tickets[[#This Row],[resolution_time_hours]]&gt;tbl_analysis_tickets[[#This Row],[Resolution SLA Hours]],"Breached","Within SLA")</f>
        <v>Within SLA</v>
      </c>
      <c r="N1046" t="str">
        <f>IF(tbl_analysis_tickets[[#This Row],[first_response_minutes]]&gt;tbl_analysis_tickets[[#This Row],[First Response SLA Minutes]],"Breached","Within SLA")</f>
        <v>Breached</v>
      </c>
      <c r="O1046" t="str" cm="1">
        <f t="array" ref="O1046">_xlfn.IFS(
tbl_analysis_tickets[[#This Row],[agent_experience_years]]&lt;=2,"Junior",
tbl_analysis_tickets[[#This Row],[agent_experience_years]]&lt;=5,"Mid-Level",
tbl_analysis_tickets[[#This Row],[agent_experience_years]]&lt;=8,"Senior",
tbl_analysis_tickets[[#This Row],[agent_experience_years]]&gt;8,"Expert"
)</f>
        <v>Senior</v>
      </c>
      <c r="P1046" cm="1">
        <f t="array" ref="P1046">_xlfn.SWITCH(tbl_analysis_tickets[[#This Row],[customer_satisfaction]],
"Low",1,
"Medium",2,
"High",3
)</f>
        <v>1</v>
      </c>
      <c r="Q1046">
        <f>IF(tbl_analysis_tickets[[#This Row],[reopened]]="Yes",1,0)</f>
        <v>1</v>
      </c>
      <c r="R1046" t="str" cm="1">
        <f t="array" ref="R1046">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046" t="str" cm="1">
        <f t="array" ref="S104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046" t="str">
        <f>TEXT(tbl_analysis_tickets[[#This Row],[created_date]],"mmm-yyyy")</f>
        <v>Jan-2024</v>
      </c>
      <c r="U1046" t="str">
        <f>TEXT(tbl_analysis_tickets[[#This Row],[created_date]],"dddd")</f>
        <v>Saturday</v>
      </c>
      <c r="V1046" cm="1">
        <f t="array" ref="V1046">_xlfn.SWITCH(tbl_analysis_tickets[[#This Row],[priority]],
"Urgent",1,
"High",2,
"Medium",3,
"Low",4
)</f>
        <v>2</v>
      </c>
    </row>
    <row r="1047" spans="1:22" x14ac:dyDescent="0.25">
      <c r="A1047">
        <v>1046</v>
      </c>
      <c r="B1047" s="1">
        <v>45501</v>
      </c>
      <c r="C1047" t="s">
        <v>10</v>
      </c>
      <c r="D1047" t="s">
        <v>20</v>
      </c>
      <c r="E1047">
        <v>147</v>
      </c>
      <c r="F1047">
        <v>72</v>
      </c>
      <c r="G1047">
        <v>1.3</v>
      </c>
      <c r="H1047" t="s">
        <v>12</v>
      </c>
      <c r="I1047" t="s">
        <v>16</v>
      </c>
      <c r="J1047" t="s">
        <v>11</v>
      </c>
      <c r="K1047">
        <f>_xlfn.XLOOKUP(tbl_analysis_tickets[[#This Row],[priority]],tbl_sla[priority],tbl_sla[Resolution SLA Hours])</f>
        <v>24</v>
      </c>
      <c r="L1047">
        <f>_xlfn.XLOOKUP(tbl_analysis_tickets[[#This Row],[priority]],tbl_sla[priority],tbl_sla[First Response SLA Minutes])</f>
        <v>60</v>
      </c>
      <c r="M1047" t="str">
        <f>IF(tbl_analysis_tickets[[#This Row],[resolution_time_hours]]&gt;tbl_analysis_tickets[[#This Row],[Resolution SLA Hours]],"Breached","Within SLA")</f>
        <v>Breached</v>
      </c>
      <c r="N1047" t="str">
        <f>IF(tbl_analysis_tickets[[#This Row],[first_response_minutes]]&gt;tbl_analysis_tickets[[#This Row],[First Response SLA Minutes]],"Breached","Within SLA")</f>
        <v>Breached</v>
      </c>
      <c r="O1047" t="str" cm="1">
        <f t="array" ref="O1047">_xlfn.IFS(
tbl_analysis_tickets[[#This Row],[agent_experience_years]]&lt;=2,"Junior",
tbl_analysis_tickets[[#This Row],[agent_experience_years]]&lt;=5,"Mid-Level",
tbl_analysis_tickets[[#This Row],[agent_experience_years]]&lt;=8,"Senior",
tbl_analysis_tickets[[#This Row],[agent_experience_years]]&gt;8,"Expert"
)</f>
        <v>Junior</v>
      </c>
      <c r="P1047" cm="1">
        <f t="array" ref="P1047">_xlfn.SWITCH(tbl_analysis_tickets[[#This Row],[customer_satisfaction]],
"Low",1,
"Medium",2,
"High",3
)</f>
        <v>1</v>
      </c>
      <c r="Q1047">
        <f>IF(tbl_analysis_tickets[[#This Row],[reopened]]="Yes",1,0)</f>
        <v>1</v>
      </c>
      <c r="R1047" t="str" cm="1">
        <f t="array" ref="R1047">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047" t="str" cm="1">
        <f t="array" ref="S104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047" t="str">
        <f>TEXT(tbl_analysis_tickets[[#This Row],[created_date]],"mmm-yyyy")</f>
        <v>Jul-2024</v>
      </c>
      <c r="U1047" t="str">
        <f>TEXT(tbl_analysis_tickets[[#This Row],[created_date]],"dddd")</f>
        <v>Sunday</v>
      </c>
      <c r="V1047" cm="1">
        <f t="array" ref="V1047">_xlfn.SWITCH(tbl_analysis_tickets[[#This Row],[priority]],
"Urgent",1,
"High",2,
"Medium",3,
"Low",4
)</f>
        <v>2</v>
      </c>
    </row>
    <row r="1048" spans="1:22" x14ac:dyDescent="0.25">
      <c r="A1048">
        <v>1047</v>
      </c>
      <c r="B1048" s="1">
        <v>45441</v>
      </c>
      <c r="C1048" t="s">
        <v>10</v>
      </c>
      <c r="D1048" t="s">
        <v>20</v>
      </c>
      <c r="E1048">
        <v>192</v>
      </c>
      <c r="F1048">
        <v>27</v>
      </c>
      <c r="G1048">
        <v>6.4</v>
      </c>
      <c r="H1048" t="s">
        <v>12</v>
      </c>
      <c r="I1048" t="s">
        <v>19</v>
      </c>
      <c r="J1048" t="s">
        <v>11</v>
      </c>
      <c r="K1048">
        <f>_xlfn.XLOOKUP(tbl_analysis_tickets[[#This Row],[priority]],tbl_sla[priority],tbl_sla[Resolution SLA Hours])</f>
        <v>24</v>
      </c>
      <c r="L1048">
        <f>_xlfn.XLOOKUP(tbl_analysis_tickets[[#This Row],[priority]],tbl_sla[priority],tbl_sla[First Response SLA Minutes])</f>
        <v>60</v>
      </c>
      <c r="M1048" t="str">
        <f>IF(tbl_analysis_tickets[[#This Row],[resolution_time_hours]]&gt;tbl_analysis_tickets[[#This Row],[Resolution SLA Hours]],"Breached","Within SLA")</f>
        <v>Breached</v>
      </c>
      <c r="N1048" t="str">
        <f>IF(tbl_analysis_tickets[[#This Row],[first_response_minutes]]&gt;tbl_analysis_tickets[[#This Row],[First Response SLA Minutes]],"Breached","Within SLA")</f>
        <v>Breached</v>
      </c>
      <c r="O1048" t="str" cm="1">
        <f t="array" ref="O1048">_xlfn.IFS(
tbl_analysis_tickets[[#This Row],[agent_experience_years]]&lt;=2,"Junior",
tbl_analysis_tickets[[#This Row],[agent_experience_years]]&lt;=5,"Mid-Level",
tbl_analysis_tickets[[#This Row],[agent_experience_years]]&lt;=8,"Senior",
tbl_analysis_tickets[[#This Row],[agent_experience_years]]&gt;8,"Expert"
)</f>
        <v>Senior</v>
      </c>
      <c r="P1048" cm="1">
        <f t="array" ref="P1048">_xlfn.SWITCH(tbl_analysis_tickets[[#This Row],[customer_satisfaction]],
"Low",1,
"Medium",2,
"High",3
)</f>
        <v>1</v>
      </c>
      <c r="Q1048">
        <f>IF(tbl_analysis_tickets[[#This Row],[reopened]]="Yes",1,0)</f>
        <v>1</v>
      </c>
      <c r="R1048" t="str" cm="1">
        <f t="array" ref="R1048">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048" t="str" cm="1">
        <f t="array" ref="S104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048" t="str">
        <f>TEXT(tbl_analysis_tickets[[#This Row],[created_date]],"mmm-yyyy")</f>
        <v>May-2024</v>
      </c>
      <c r="U1048" t="str">
        <f>TEXT(tbl_analysis_tickets[[#This Row],[created_date]],"dddd")</f>
        <v>Wednesday</v>
      </c>
      <c r="V1048" cm="1">
        <f t="array" ref="V1048">_xlfn.SWITCH(tbl_analysis_tickets[[#This Row],[priority]],
"Urgent",1,
"High",2,
"Medium",3,
"Low",4
)</f>
        <v>2</v>
      </c>
    </row>
    <row r="1049" spans="1:22" x14ac:dyDescent="0.25">
      <c r="A1049">
        <v>1048</v>
      </c>
      <c r="B1049" s="1">
        <v>45465</v>
      </c>
      <c r="C1049" t="s">
        <v>22</v>
      </c>
      <c r="D1049" t="s">
        <v>15</v>
      </c>
      <c r="E1049">
        <v>70</v>
      </c>
      <c r="F1049">
        <v>60</v>
      </c>
      <c r="G1049">
        <v>2.8</v>
      </c>
      <c r="H1049" t="s">
        <v>12</v>
      </c>
      <c r="I1049" t="s">
        <v>13</v>
      </c>
      <c r="J1049" t="s">
        <v>11</v>
      </c>
      <c r="K1049">
        <f>_xlfn.XLOOKUP(tbl_analysis_tickets[[#This Row],[priority]],tbl_sla[priority],tbl_sla[Resolution SLA Hours])</f>
        <v>48</v>
      </c>
      <c r="L1049">
        <f>_xlfn.XLOOKUP(tbl_analysis_tickets[[#This Row],[priority]],tbl_sla[priority],tbl_sla[First Response SLA Minutes])</f>
        <v>120</v>
      </c>
      <c r="M1049" t="str">
        <f>IF(tbl_analysis_tickets[[#This Row],[resolution_time_hours]]&gt;tbl_analysis_tickets[[#This Row],[Resolution SLA Hours]],"Breached","Within SLA")</f>
        <v>Breached</v>
      </c>
      <c r="N1049" t="str">
        <f>IF(tbl_analysis_tickets[[#This Row],[first_response_minutes]]&gt;tbl_analysis_tickets[[#This Row],[First Response SLA Minutes]],"Breached","Within SLA")</f>
        <v>Within SLA</v>
      </c>
      <c r="O1049" t="str" cm="1">
        <f t="array" ref="O1049">_xlfn.IFS(
tbl_analysis_tickets[[#This Row],[agent_experience_years]]&lt;=2,"Junior",
tbl_analysis_tickets[[#This Row],[agent_experience_years]]&lt;=5,"Mid-Level",
tbl_analysis_tickets[[#This Row],[agent_experience_years]]&lt;=8,"Senior",
tbl_analysis_tickets[[#This Row],[agent_experience_years]]&gt;8,"Expert"
)</f>
        <v>Mid-Level</v>
      </c>
      <c r="P1049" cm="1">
        <f t="array" ref="P1049">_xlfn.SWITCH(tbl_analysis_tickets[[#This Row],[customer_satisfaction]],
"Low",1,
"Medium",2,
"High",3
)</f>
        <v>1</v>
      </c>
      <c r="Q1049">
        <f>IF(tbl_analysis_tickets[[#This Row],[reopened]]="Yes",1,0)</f>
        <v>1</v>
      </c>
      <c r="R1049" t="str" cm="1">
        <f t="array" ref="R1049">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049" t="str" cm="1">
        <f t="array" ref="S104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049" t="str">
        <f>TEXT(tbl_analysis_tickets[[#This Row],[created_date]],"mmm-yyyy")</f>
        <v>Jun-2024</v>
      </c>
      <c r="U1049" t="str">
        <f>TEXT(tbl_analysis_tickets[[#This Row],[created_date]],"dddd")</f>
        <v>Saturday</v>
      </c>
      <c r="V1049" cm="1">
        <f t="array" ref="V1049">_xlfn.SWITCH(tbl_analysis_tickets[[#This Row],[priority]],
"Urgent",1,
"High",2,
"Medium",3,
"Low",4
)</f>
        <v>3</v>
      </c>
    </row>
    <row r="1050" spans="1:22" x14ac:dyDescent="0.25">
      <c r="A1050">
        <v>1049</v>
      </c>
      <c r="B1050" s="1">
        <v>45344</v>
      </c>
      <c r="C1050" t="s">
        <v>21</v>
      </c>
      <c r="D1050" t="s">
        <v>20</v>
      </c>
      <c r="E1050">
        <v>86</v>
      </c>
      <c r="F1050">
        <v>52</v>
      </c>
      <c r="G1050">
        <v>8.9</v>
      </c>
      <c r="H1050" t="s">
        <v>12</v>
      </c>
      <c r="I1050" t="s">
        <v>16</v>
      </c>
      <c r="J1050" t="s">
        <v>11</v>
      </c>
      <c r="K1050">
        <f>_xlfn.XLOOKUP(tbl_analysis_tickets[[#This Row],[priority]],tbl_sla[priority],tbl_sla[Resolution SLA Hours])</f>
        <v>24</v>
      </c>
      <c r="L1050">
        <f>_xlfn.XLOOKUP(tbl_analysis_tickets[[#This Row],[priority]],tbl_sla[priority],tbl_sla[First Response SLA Minutes])</f>
        <v>60</v>
      </c>
      <c r="M1050" t="str">
        <f>IF(tbl_analysis_tickets[[#This Row],[resolution_time_hours]]&gt;tbl_analysis_tickets[[#This Row],[Resolution SLA Hours]],"Breached","Within SLA")</f>
        <v>Breached</v>
      </c>
      <c r="N1050" t="str">
        <f>IF(tbl_analysis_tickets[[#This Row],[first_response_minutes]]&gt;tbl_analysis_tickets[[#This Row],[First Response SLA Minutes]],"Breached","Within SLA")</f>
        <v>Breached</v>
      </c>
      <c r="O1050" t="str" cm="1">
        <f t="array" ref="O1050">_xlfn.IFS(
tbl_analysis_tickets[[#This Row],[agent_experience_years]]&lt;=2,"Junior",
tbl_analysis_tickets[[#This Row],[agent_experience_years]]&lt;=5,"Mid-Level",
tbl_analysis_tickets[[#This Row],[agent_experience_years]]&lt;=8,"Senior",
tbl_analysis_tickets[[#This Row],[agent_experience_years]]&gt;8,"Expert"
)</f>
        <v>Expert</v>
      </c>
      <c r="P1050" cm="1">
        <f t="array" ref="P1050">_xlfn.SWITCH(tbl_analysis_tickets[[#This Row],[customer_satisfaction]],
"Low",1,
"Medium",2,
"High",3
)</f>
        <v>1</v>
      </c>
      <c r="Q1050">
        <f>IF(tbl_analysis_tickets[[#This Row],[reopened]]="Yes",1,0)</f>
        <v>1</v>
      </c>
      <c r="R1050" t="str" cm="1">
        <f t="array" ref="R1050">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050" t="str" cm="1">
        <f t="array" ref="S105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050" t="str">
        <f>TEXT(tbl_analysis_tickets[[#This Row],[created_date]],"mmm-yyyy")</f>
        <v>Feb-2024</v>
      </c>
      <c r="U1050" t="str">
        <f>TEXT(tbl_analysis_tickets[[#This Row],[created_date]],"dddd")</f>
        <v>Thursday</v>
      </c>
      <c r="V1050" cm="1">
        <f t="array" ref="V1050">_xlfn.SWITCH(tbl_analysis_tickets[[#This Row],[priority]],
"Urgent",1,
"High",2,
"Medium",3,
"Low",4
)</f>
        <v>2</v>
      </c>
    </row>
    <row r="1051" spans="1:22" x14ac:dyDescent="0.25">
      <c r="A1051">
        <v>1050</v>
      </c>
      <c r="B1051" s="1">
        <v>45395</v>
      </c>
      <c r="C1051" t="s">
        <v>10</v>
      </c>
      <c r="D1051" t="s">
        <v>20</v>
      </c>
      <c r="E1051">
        <v>107</v>
      </c>
      <c r="F1051">
        <v>9</v>
      </c>
      <c r="G1051">
        <v>3.2</v>
      </c>
      <c r="H1051" t="s">
        <v>12</v>
      </c>
      <c r="I1051" t="s">
        <v>16</v>
      </c>
      <c r="J1051" t="s">
        <v>11</v>
      </c>
      <c r="K1051">
        <f>_xlfn.XLOOKUP(tbl_analysis_tickets[[#This Row],[priority]],tbl_sla[priority],tbl_sla[Resolution SLA Hours])</f>
        <v>24</v>
      </c>
      <c r="L1051">
        <f>_xlfn.XLOOKUP(tbl_analysis_tickets[[#This Row],[priority]],tbl_sla[priority],tbl_sla[First Response SLA Minutes])</f>
        <v>60</v>
      </c>
      <c r="M1051" t="str">
        <f>IF(tbl_analysis_tickets[[#This Row],[resolution_time_hours]]&gt;tbl_analysis_tickets[[#This Row],[Resolution SLA Hours]],"Breached","Within SLA")</f>
        <v>Within SLA</v>
      </c>
      <c r="N1051" t="str">
        <f>IF(tbl_analysis_tickets[[#This Row],[first_response_minutes]]&gt;tbl_analysis_tickets[[#This Row],[First Response SLA Minutes]],"Breached","Within SLA")</f>
        <v>Breached</v>
      </c>
      <c r="O1051" t="str" cm="1">
        <f t="array" ref="O1051">_xlfn.IFS(
tbl_analysis_tickets[[#This Row],[agent_experience_years]]&lt;=2,"Junior",
tbl_analysis_tickets[[#This Row],[agent_experience_years]]&lt;=5,"Mid-Level",
tbl_analysis_tickets[[#This Row],[agent_experience_years]]&lt;=8,"Senior",
tbl_analysis_tickets[[#This Row],[agent_experience_years]]&gt;8,"Expert"
)</f>
        <v>Mid-Level</v>
      </c>
      <c r="P1051" cm="1">
        <f t="array" ref="P1051">_xlfn.SWITCH(tbl_analysis_tickets[[#This Row],[customer_satisfaction]],
"Low",1,
"Medium",2,
"High",3
)</f>
        <v>1</v>
      </c>
      <c r="Q1051">
        <f>IF(tbl_analysis_tickets[[#This Row],[reopened]]="Yes",1,0)</f>
        <v>1</v>
      </c>
      <c r="R1051" t="str" cm="1">
        <f t="array" ref="R1051">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051" t="str" cm="1">
        <f t="array" ref="S105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051" t="str">
        <f>TEXT(tbl_analysis_tickets[[#This Row],[created_date]],"mmm-yyyy")</f>
        <v>Apr-2024</v>
      </c>
      <c r="U1051" t="str">
        <f>TEXT(tbl_analysis_tickets[[#This Row],[created_date]],"dddd")</f>
        <v>Saturday</v>
      </c>
      <c r="V1051" cm="1">
        <f t="array" ref="V1051">_xlfn.SWITCH(tbl_analysis_tickets[[#This Row],[priority]],
"Urgent",1,
"High",2,
"Medium",3,
"Low",4
)</f>
        <v>2</v>
      </c>
    </row>
    <row r="1052" spans="1:22" x14ac:dyDescent="0.25">
      <c r="A1052">
        <v>1051</v>
      </c>
      <c r="B1052" s="1">
        <v>45299</v>
      </c>
      <c r="C1052" t="s">
        <v>14</v>
      </c>
      <c r="D1052" t="s">
        <v>17</v>
      </c>
      <c r="E1052">
        <v>152</v>
      </c>
      <c r="F1052">
        <v>58</v>
      </c>
      <c r="G1052">
        <v>2.2999999999999998</v>
      </c>
      <c r="H1052" t="s">
        <v>12</v>
      </c>
      <c r="I1052" t="s">
        <v>19</v>
      </c>
      <c r="J1052" t="s">
        <v>11</v>
      </c>
      <c r="K1052">
        <f>_xlfn.XLOOKUP(tbl_analysis_tickets[[#This Row],[priority]],tbl_sla[priority],tbl_sla[Resolution SLA Hours])</f>
        <v>8</v>
      </c>
      <c r="L1052">
        <f>_xlfn.XLOOKUP(tbl_analysis_tickets[[#This Row],[priority]],tbl_sla[priority],tbl_sla[First Response SLA Minutes])</f>
        <v>30</v>
      </c>
      <c r="M1052" t="str">
        <f>IF(tbl_analysis_tickets[[#This Row],[resolution_time_hours]]&gt;tbl_analysis_tickets[[#This Row],[Resolution SLA Hours]],"Breached","Within SLA")</f>
        <v>Breached</v>
      </c>
      <c r="N1052" t="str">
        <f>IF(tbl_analysis_tickets[[#This Row],[first_response_minutes]]&gt;tbl_analysis_tickets[[#This Row],[First Response SLA Minutes]],"Breached","Within SLA")</f>
        <v>Breached</v>
      </c>
      <c r="O1052" t="str" cm="1">
        <f t="array" ref="O1052">_xlfn.IFS(
tbl_analysis_tickets[[#This Row],[agent_experience_years]]&lt;=2,"Junior",
tbl_analysis_tickets[[#This Row],[agent_experience_years]]&lt;=5,"Mid-Level",
tbl_analysis_tickets[[#This Row],[agent_experience_years]]&lt;=8,"Senior",
tbl_analysis_tickets[[#This Row],[agent_experience_years]]&gt;8,"Expert"
)</f>
        <v>Mid-Level</v>
      </c>
      <c r="P1052" cm="1">
        <f t="array" ref="P1052">_xlfn.SWITCH(tbl_analysis_tickets[[#This Row],[customer_satisfaction]],
"Low",1,
"Medium",2,
"High",3
)</f>
        <v>1</v>
      </c>
      <c r="Q1052">
        <f>IF(tbl_analysis_tickets[[#This Row],[reopened]]="Yes",1,0)</f>
        <v>1</v>
      </c>
      <c r="R1052" t="str" cm="1">
        <f t="array" ref="R1052">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052" t="str" cm="1">
        <f t="array" ref="S105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052" t="str">
        <f>TEXT(tbl_analysis_tickets[[#This Row],[created_date]],"mmm-yyyy")</f>
        <v>Jan-2024</v>
      </c>
      <c r="U1052" t="str">
        <f>TEXT(tbl_analysis_tickets[[#This Row],[created_date]],"dddd")</f>
        <v>Monday</v>
      </c>
      <c r="V1052" cm="1">
        <f t="array" ref="V1052">_xlfn.SWITCH(tbl_analysis_tickets[[#This Row],[priority]],
"Urgent",1,
"High",2,
"Medium",3,
"Low",4
)</f>
        <v>1</v>
      </c>
    </row>
    <row r="1053" spans="1:22" x14ac:dyDescent="0.25">
      <c r="A1053">
        <v>1052</v>
      </c>
      <c r="B1053" s="1">
        <v>45508</v>
      </c>
      <c r="C1053" t="s">
        <v>22</v>
      </c>
      <c r="D1053" t="s">
        <v>20</v>
      </c>
      <c r="E1053">
        <v>135</v>
      </c>
      <c r="F1053">
        <v>24</v>
      </c>
      <c r="G1053">
        <v>6.9</v>
      </c>
      <c r="H1053" t="s">
        <v>18</v>
      </c>
      <c r="I1053" t="s">
        <v>16</v>
      </c>
      <c r="J1053" t="s">
        <v>11</v>
      </c>
      <c r="K1053">
        <f>_xlfn.XLOOKUP(tbl_analysis_tickets[[#This Row],[priority]],tbl_sla[priority],tbl_sla[Resolution SLA Hours])</f>
        <v>24</v>
      </c>
      <c r="L1053">
        <f>_xlfn.XLOOKUP(tbl_analysis_tickets[[#This Row],[priority]],tbl_sla[priority],tbl_sla[First Response SLA Minutes])</f>
        <v>60</v>
      </c>
      <c r="M1053" t="str">
        <f>IF(tbl_analysis_tickets[[#This Row],[resolution_time_hours]]&gt;tbl_analysis_tickets[[#This Row],[Resolution SLA Hours]],"Breached","Within SLA")</f>
        <v>Within SLA</v>
      </c>
      <c r="N1053" t="str">
        <f>IF(tbl_analysis_tickets[[#This Row],[first_response_minutes]]&gt;tbl_analysis_tickets[[#This Row],[First Response SLA Minutes]],"Breached","Within SLA")</f>
        <v>Breached</v>
      </c>
      <c r="O1053" t="str" cm="1">
        <f t="array" ref="O1053">_xlfn.IFS(
tbl_analysis_tickets[[#This Row],[agent_experience_years]]&lt;=2,"Junior",
tbl_analysis_tickets[[#This Row],[agent_experience_years]]&lt;=5,"Mid-Level",
tbl_analysis_tickets[[#This Row],[agent_experience_years]]&lt;=8,"Senior",
tbl_analysis_tickets[[#This Row],[agent_experience_years]]&gt;8,"Expert"
)</f>
        <v>Senior</v>
      </c>
      <c r="P1053" cm="1">
        <f t="array" ref="P1053">_xlfn.SWITCH(tbl_analysis_tickets[[#This Row],[customer_satisfaction]],
"Low",1,
"Medium",2,
"High",3
)</f>
        <v>1</v>
      </c>
      <c r="Q1053">
        <f>IF(tbl_analysis_tickets[[#This Row],[reopened]]="Yes",1,0)</f>
        <v>0</v>
      </c>
      <c r="R1053" t="str" cm="1">
        <f t="array" ref="R1053">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053" t="str" cm="1">
        <f t="array" ref="S105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053" t="str">
        <f>TEXT(tbl_analysis_tickets[[#This Row],[created_date]],"mmm-yyyy")</f>
        <v>Aug-2024</v>
      </c>
      <c r="U1053" t="str">
        <f>TEXT(tbl_analysis_tickets[[#This Row],[created_date]],"dddd")</f>
        <v>Sunday</v>
      </c>
      <c r="V1053" cm="1">
        <f t="array" ref="V1053">_xlfn.SWITCH(tbl_analysis_tickets[[#This Row],[priority]],
"Urgent",1,
"High",2,
"Medium",3,
"Low",4
)</f>
        <v>2</v>
      </c>
    </row>
    <row r="1054" spans="1:22" x14ac:dyDescent="0.25">
      <c r="A1054">
        <v>1053</v>
      </c>
      <c r="B1054" s="1">
        <v>45324</v>
      </c>
      <c r="C1054" t="s">
        <v>21</v>
      </c>
      <c r="D1054" t="s">
        <v>15</v>
      </c>
      <c r="E1054">
        <v>215</v>
      </c>
      <c r="F1054">
        <v>3</v>
      </c>
      <c r="G1054">
        <v>1.8</v>
      </c>
      <c r="H1054" t="s">
        <v>18</v>
      </c>
      <c r="I1054" t="s">
        <v>16</v>
      </c>
      <c r="J1054" t="s">
        <v>15</v>
      </c>
      <c r="K1054">
        <f>_xlfn.XLOOKUP(tbl_analysis_tickets[[#This Row],[priority]],tbl_sla[priority],tbl_sla[Resolution SLA Hours])</f>
        <v>48</v>
      </c>
      <c r="L1054">
        <f>_xlfn.XLOOKUP(tbl_analysis_tickets[[#This Row],[priority]],tbl_sla[priority],tbl_sla[First Response SLA Minutes])</f>
        <v>120</v>
      </c>
      <c r="M1054" t="str">
        <f>IF(tbl_analysis_tickets[[#This Row],[resolution_time_hours]]&gt;tbl_analysis_tickets[[#This Row],[Resolution SLA Hours]],"Breached","Within SLA")</f>
        <v>Within SLA</v>
      </c>
      <c r="N1054" t="str">
        <f>IF(tbl_analysis_tickets[[#This Row],[first_response_minutes]]&gt;tbl_analysis_tickets[[#This Row],[First Response SLA Minutes]],"Breached","Within SLA")</f>
        <v>Breached</v>
      </c>
      <c r="O1054" t="str" cm="1">
        <f t="array" ref="O1054">_xlfn.IFS(
tbl_analysis_tickets[[#This Row],[agent_experience_years]]&lt;=2,"Junior",
tbl_analysis_tickets[[#This Row],[agent_experience_years]]&lt;=5,"Mid-Level",
tbl_analysis_tickets[[#This Row],[agent_experience_years]]&lt;=8,"Senior",
tbl_analysis_tickets[[#This Row],[agent_experience_years]]&gt;8,"Expert"
)</f>
        <v>Junior</v>
      </c>
      <c r="P1054" cm="1">
        <f t="array" ref="P1054">_xlfn.SWITCH(tbl_analysis_tickets[[#This Row],[customer_satisfaction]],
"Low",1,
"Medium",2,
"High",3
)</f>
        <v>2</v>
      </c>
      <c r="Q1054">
        <f>IF(tbl_analysis_tickets[[#This Row],[reopened]]="Yes",1,0)</f>
        <v>0</v>
      </c>
      <c r="R1054" t="str" cm="1">
        <f t="array" ref="R1054">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054" t="str" cm="1">
        <f t="array" ref="S105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1054" t="str">
        <f>TEXT(tbl_analysis_tickets[[#This Row],[created_date]],"mmm-yyyy")</f>
        <v>Feb-2024</v>
      </c>
      <c r="U1054" t="str">
        <f>TEXT(tbl_analysis_tickets[[#This Row],[created_date]],"dddd")</f>
        <v>Friday</v>
      </c>
      <c r="V1054" cm="1">
        <f t="array" ref="V1054">_xlfn.SWITCH(tbl_analysis_tickets[[#This Row],[priority]],
"Urgent",1,
"High",2,
"Medium",3,
"Low",4
)</f>
        <v>3</v>
      </c>
    </row>
    <row r="1055" spans="1:22" x14ac:dyDescent="0.25">
      <c r="A1055">
        <v>1054</v>
      </c>
      <c r="B1055" s="1">
        <v>45335</v>
      </c>
      <c r="C1055" t="s">
        <v>10</v>
      </c>
      <c r="D1055" t="s">
        <v>15</v>
      </c>
      <c r="E1055">
        <v>218</v>
      </c>
      <c r="F1055">
        <v>26</v>
      </c>
      <c r="G1055">
        <v>5.5</v>
      </c>
      <c r="H1055" t="s">
        <v>18</v>
      </c>
      <c r="I1055" t="s">
        <v>19</v>
      </c>
      <c r="J1055" t="s">
        <v>15</v>
      </c>
      <c r="K1055">
        <f>_xlfn.XLOOKUP(tbl_analysis_tickets[[#This Row],[priority]],tbl_sla[priority],tbl_sla[Resolution SLA Hours])</f>
        <v>48</v>
      </c>
      <c r="L1055">
        <f>_xlfn.XLOOKUP(tbl_analysis_tickets[[#This Row],[priority]],tbl_sla[priority],tbl_sla[First Response SLA Minutes])</f>
        <v>120</v>
      </c>
      <c r="M1055" t="str">
        <f>IF(tbl_analysis_tickets[[#This Row],[resolution_time_hours]]&gt;tbl_analysis_tickets[[#This Row],[Resolution SLA Hours]],"Breached","Within SLA")</f>
        <v>Within SLA</v>
      </c>
      <c r="N1055" t="str">
        <f>IF(tbl_analysis_tickets[[#This Row],[first_response_minutes]]&gt;tbl_analysis_tickets[[#This Row],[First Response SLA Minutes]],"Breached","Within SLA")</f>
        <v>Breached</v>
      </c>
      <c r="O1055" t="str" cm="1">
        <f t="array" ref="O1055">_xlfn.IFS(
tbl_analysis_tickets[[#This Row],[agent_experience_years]]&lt;=2,"Junior",
tbl_analysis_tickets[[#This Row],[agent_experience_years]]&lt;=5,"Mid-Level",
tbl_analysis_tickets[[#This Row],[agent_experience_years]]&lt;=8,"Senior",
tbl_analysis_tickets[[#This Row],[agent_experience_years]]&gt;8,"Expert"
)</f>
        <v>Senior</v>
      </c>
      <c r="P1055" cm="1">
        <f t="array" ref="P1055">_xlfn.SWITCH(tbl_analysis_tickets[[#This Row],[customer_satisfaction]],
"Low",1,
"Medium",2,
"High",3
)</f>
        <v>2</v>
      </c>
      <c r="Q1055">
        <f>IF(tbl_analysis_tickets[[#This Row],[reopened]]="Yes",1,0)</f>
        <v>0</v>
      </c>
      <c r="R1055" t="str" cm="1">
        <f t="array" ref="R1055">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055" t="str" cm="1">
        <f t="array" ref="S105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055" t="str">
        <f>TEXT(tbl_analysis_tickets[[#This Row],[created_date]],"mmm-yyyy")</f>
        <v>Feb-2024</v>
      </c>
      <c r="U1055" t="str">
        <f>TEXT(tbl_analysis_tickets[[#This Row],[created_date]],"dddd")</f>
        <v>Tuesday</v>
      </c>
      <c r="V1055" cm="1">
        <f t="array" ref="V1055">_xlfn.SWITCH(tbl_analysis_tickets[[#This Row],[priority]],
"Urgent",1,
"High",2,
"Medium",3,
"Low",4
)</f>
        <v>3</v>
      </c>
    </row>
    <row r="1056" spans="1:22" x14ac:dyDescent="0.25">
      <c r="A1056">
        <v>1055</v>
      </c>
      <c r="B1056" s="1">
        <v>45496</v>
      </c>
      <c r="C1056" t="s">
        <v>10</v>
      </c>
      <c r="D1056" t="s">
        <v>20</v>
      </c>
      <c r="E1056">
        <v>97</v>
      </c>
      <c r="F1056">
        <v>1</v>
      </c>
      <c r="G1056">
        <v>0.6</v>
      </c>
      <c r="H1056" t="s">
        <v>18</v>
      </c>
      <c r="I1056" t="s">
        <v>19</v>
      </c>
      <c r="J1056" t="s">
        <v>15</v>
      </c>
      <c r="K1056">
        <f>_xlfn.XLOOKUP(tbl_analysis_tickets[[#This Row],[priority]],tbl_sla[priority],tbl_sla[Resolution SLA Hours])</f>
        <v>24</v>
      </c>
      <c r="L1056">
        <f>_xlfn.XLOOKUP(tbl_analysis_tickets[[#This Row],[priority]],tbl_sla[priority],tbl_sla[First Response SLA Minutes])</f>
        <v>60</v>
      </c>
      <c r="M1056" t="str">
        <f>IF(tbl_analysis_tickets[[#This Row],[resolution_time_hours]]&gt;tbl_analysis_tickets[[#This Row],[Resolution SLA Hours]],"Breached","Within SLA")</f>
        <v>Within SLA</v>
      </c>
      <c r="N1056" t="str">
        <f>IF(tbl_analysis_tickets[[#This Row],[first_response_minutes]]&gt;tbl_analysis_tickets[[#This Row],[First Response SLA Minutes]],"Breached","Within SLA")</f>
        <v>Breached</v>
      </c>
      <c r="O1056" t="str" cm="1">
        <f t="array" ref="O1056">_xlfn.IFS(
tbl_analysis_tickets[[#This Row],[agent_experience_years]]&lt;=2,"Junior",
tbl_analysis_tickets[[#This Row],[agent_experience_years]]&lt;=5,"Mid-Level",
tbl_analysis_tickets[[#This Row],[agent_experience_years]]&lt;=8,"Senior",
tbl_analysis_tickets[[#This Row],[agent_experience_years]]&gt;8,"Expert"
)</f>
        <v>Junior</v>
      </c>
      <c r="P1056" cm="1">
        <f t="array" ref="P1056">_xlfn.SWITCH(tbl_analysis_tickets[[#This Row],[customer_satisfaction]],
"Low",1,
"Medium",2,
"High",3
)</f>
        <v>2</v>
      </c>
      <c r="Q1056">
        <f>IF(tbl_analysis_tickets[[#This Row],[reopened]]="Yes",1,0)</f>
        <v>0</v>
      </c>
      <c r="R1056" t="str" cm="1">
        <f t="array" ref="R1056">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056" t="str" cm="1">
        <f t="array" ref="S105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1056" t="str">
        <f>TEXT(tbl_analysis_tickets[[#This Row],[created_date]],"mmm-yyyy")</f>
        <v>Jul-2024</v>
      </c>
      <c r="U1056" t="str">
        <f>TEXT(tbl_analysis_tickets[[#This Row],[created_date]],"dddd")</f>
        <v>Tuesday</v>
      </c>
      <c r="V1056" cm="1">
        <f t="array" ref="V1056">_xlfn.SWITCH(tbl_analysis_tickets[[#This Row],[priority]],
"Urgent",1,
"High",2,
"Medium",3,
"Low",4
)</f>
        <v>2</v>
      </c>
    </row>
    <row r="1057" spans="1:22" x14ac:dyDescent="0.25">
      <c r="A1057">
        <v>1056</v>
      </c>
      <c r="B1057" s="1">
        <v>45501</v>
      </c>
      <c r="C1057" t="s">
        <v>23</v>
      </c>
      <c r="D1057" t="s">
        <v>17</v>
      </c>
      <c r="E1057">
        <v>108</v>
      </c>
      <c r="F1057">
        <v>48</v>
      </c>
      <c r="G1057">
        <v>5.2</v>
      </c>
      <c r="H1057" t="s">
        <v>18</v>
      </c>
      <c r="I1057" t="s">
        <v>13</v>
      </c>
      <c r="J1057" t="s">
        <v>11</v>
      </c>
      <c r="K1057">
        <f>_xlfn.XLOOKUP(tbl_analysis_tickets[[#This Row],[priority]],tbl_sla[priority],tbl_sla[Resolution SLA Hours])</f>
        <v>8</v>
      </c>
      <c r="L1057">
        <f>_xlfn.XLOOKUP(tbl_analysis_tickets[[#This Row],[priority]],tbl_sla[priority],tbl_sla[First Response SLA Minutes])</f>
        <v>30</v>
      </c>
      <c r="M1057" t="str">
        <f>IF(tbl_analysis_tickets[[#This Row],[resolution_time_hours]]&gt;tbl_analysis_tickets[[#This Row],[Resolution SLA Hours]],"Breached","Within SLA")</f>
        <v>Breached</v>
      </c>
      <c r="N1057" t="str">
        <f>IF(tbl_analysis_tickets[[#This Row],[first_response_minutes]]&gt;tbl_analysis_tickets[[#This Row],[First Response SLA Minutes]],"Breached","Within SLA")</f>
        <v>Breached</v>
      </c>
      <c r="O1057" t="str" cm="1">
        <f t="array" ref="O1057">_xlfn.IFS(
tbl_analysis_tickets[[#This Row],[agent_experience_years]]&lt;=2,"Junior",
tbl_analysis_tickets[[#This Row],[agent_experience_years]]&lt;=5,"Mid-Level",
tbl_analysis_tickets[[#This Row],[agent_experience_years]]&lt;=8,"Senior",
tbl_analysis_tickets[[#This Row],[agent_experience_years]]&gt;8,"Expert"
)</f>
        <v>Senior</v>
      </c>
      <c r="P1057" cm="1">
        <f t="array" ref="P1057">_xlfn.SWITCH(tbl_analysis_tickets[[#This Row],[customer_satisfaction]],
"Low",1,
"Medium",2,
"High",3
)</f>
        <v>1</v>
      </c>
      <c r="Q1057">
        <f>IF(tbl_analysis_tickets[[#This Row],[reopened]]="Yes",1,0)</f>
        <v>0</v>
      </c>
      <c r="R1057" t="str" cm="1">
        <f t="array" ref="R1057">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057" t="str" cm="1">
        <f t="array" ref="S105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057" t="str">
        <f>TEXT(tbl_analysis_tickets[[#This Row],[created_date]],"mmm-yyyy")</f>
        <v>Jul-2024</v>
      </c>
      <c r="U1057" t="str">
        <f>TEXT(tbl_analysis_tickets[[#This Row],[created_date]],"dddd")</f>
        <v>Sunday</v>
      </c>
      <c r="V1057" cm="1">
        <f t="array" ref="V1057">_xlfn.SWITCH(tbl_analysis_tickets[[#This Row],[priority]],
"Urgent",1,
"High",2,
"Medium",3,
"Low",4
)</f>
        <v>1</v>
      </c>
    </row>
    <row r="1058" spans="1:22" x14ac:dyDescent="0.25">
      <c r="A1058">
        <v>1057</v>
      </c>
      <c r="B1058" s="1">
        <v>45312</v>
      </c>
      <c r="C1058" t="s">
        <v>21</v>
      </c>
      <c r="D1058" t="s">
        <v>11</v>
      </c>
      <c r="E1058">
        <v>84</v>
      </c>
      <c r="F1058">
        <v>41</v>
      </c>
      <c r="G1058">
        <v>10</v>
      </c>
      <c r="H1058" t="s">
        <v>18</v>
      </c>
      <c r="I1058" t="s">
        <v>16</v>
      </c>
      <c r="J1058" t="s">
        <v>15</v>
      </c>
      <c r="K1058">
        <f>_xlfn.XLOOKUP(tbl_analysis_tickets[[#This Row],[priority]],tbl_sla[priority],tbl_sla[Resolution SLA Hours])</f>
        <v>72</v>
      </c>
      <c r="L1058">
        <f>_xlfn.XLOOKUP(tbl_analysis_tickets[[#This Row],[priority]],tbl_sla[priority],tbl_sla[First Response SLA Minutes])</f>
        <v>240</v>
      </c>
      <c r="M1058" t="str">
        <f>IF(tbl_analysis_tickets[[#This Row],[resolution_time_hours]]&gt;tbl_analysis_tickets[[#This Row],[Resolution SLA Hours]],"Breached","Within SLA")</f>
        <v>Within SLA</v>
      </c>
      <c r="N1058" t="str">
        <f>IF(tbl_analysis_tickets[[#This Row],[first_response_minutes]]&gt;tbl_analysis_tickets[[#This Row],[First Response SLA Minutes]],"Breached","Within SLA")</f>
        <v>Within SLA</v>
      </c>
      <c r="O1058" t="str" cm="1">
        <f t="array" ref="O1058">_xlfn.IFS(
tbl_analysis_tickets[[#This Row],[agent_experience_years]]&lt;=2,"Junior",
tbl_analysis_tickets[[#This Row],[agent_experience_years]]&lt;=5,"Mid-Level",
tbl_analysis_tickets[[#This Row],[agent_experience_years]]&lt;=8,"Senior",
tbl_analysis_tickets[[#This Row],[agent_experience_years]]&gt;8,"Expert"
)</f>
        <v>Expert</v>
      </c>
      <c r="P1058" cm="1">
        <f t="array" ref="P1058">_xlfn.SWITCH(tbl_analysis_tickets[[#This Row],[customer_satisfaction]],
"Low",1,
"Medium",2,
"High",3
)</f>
        <v>2</v>
      </c>
      <c r="Q1058">
        <f>IF(tbl_analysis_tickets[[#This Row],[reopened]]="Yes",1,0)</f>
        <v>0</v>
      </c>
      <c r="R1058" t="str" cm="1">
        <f t="array" ref="R1058">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058" t="str" cm="1">
        <f t="array" ref="S105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058" t="str">
        <f>TEXT(tbl_analysis_tickets[[#This Row],[created_date]],"mmm-yyyy")</f>
        <v>Jan-2024</v>
      </c>
      <c r="U1058" t="str">
        <f>TEXT(tbl_analysis_tickets[[#This Row],[created_date]],"dddd")</f>
        <v>Sunday</v>
      </c>
      <c r="V1058" cm="1">
        <f t="array" ref="V1058">_xlfn.SWITCH(tbl_analysis_tickets[[#This Row],[priority]],
"Urgent",1,
"High",2,
"Medium",3,
"Low",4
)</f>
        <v>4</v>
      </c>
    </row>
    <row r="1059" spans="1:22" x14ac:dyDescent="0.25">
      <c r="A1059">
        <v>1058</v>
      </c>
      <c r="B1059" s="1">
        <v>45385</v>
      </c>
      <c r="C1059" t="s">
        <v>14</v>
      </c>
      <c r="D1059" t="s">
        <v>11</v>
      </c>
      <c r="E1059">
        <v>139</v>
      </c>
      <c r="F1059">
        <v>47</v>
      </c>
      <c r="G1059">
        <v>8.6999999999999993</v>
      </c>
      <c r="H1059" t="s">
        <v>12</v>
      </c>
      <c r="I1059" t="s">
        <v>16</v>
      </c>
      <c r="J1059" t="s">
        <v>11</v>
      </c>
      <c r="K1059">
        <f>_xlfn.XLOOKUP(tbl_analysis_tickets[[#This Row],[priority]],tbl_sla[priority],tbl_sla[Resolution SLA Hours])</f>
        <v>72</v>
      </c>
      <c r="L1059">
        <f>_xlfn.XLOOKUP(tbl_analysis_tickets[[#This Row],[priority]],tbl_sla[priority],tbl_sla[First Response SLA Minutes])</f>
        <v>240</v>
      </c>
      <c r="M1059" t="str">
        <f>IF(tbl_analysis_tickets[[#This Row],[resolution_time_hours]]&gt;tbl_analysis_tickets[[#This Row],[Resolution SLA Hours]],"Breached","Within SLA")</f>
        <v>Within SLA</v>
      </c>
      <c r="N1059" t="str">
        <f>IF(tbl_analysis_tickets[[#This Row],[first_response_minutes]]&gt;tbl_analysis_tickets[[#This Row],[First Response SLA Minutes]],"Breached","Within SLA")</f>
        <v>Within SLA</v>
      </c>
      <c r="O1059" t="str" cm="1">
        <f t="array" ref="O1059">_xlfn.IFS(
tbl_analysis_tickets[[#This Row],[agent_experience_years]]&lt;=2,"Junior",
tbl_analysis_tickets[[#This Row],[agent_experience_years]]&lt;=5,"Mid-Level",
tbl_analysis_tickets[[#This Row],[agent_experience_years]]&lt;=8,"Senior",
tbl_analysis_tickets[[#This Row],[agent_experience_years]]&gt;8,"Expert"
)</f>
        <v>Expert</v>
      </c>
      <c r="P1059" cm="1">
        <f t="array" ref="P1059">_xlfn.SWITCH(tbl_analysis_tickets[[#This Row],[customer_satisfaction]],
"Low",1,
"Medium",2,
"High",3
)</f>
        <v>1</v>
      </c>
      <c r="Q1059">
        <f>IF(tbl_analysis_tickets[[#This Row],[reopened]]="Yes",1,0)</f>
        <v>1</v>
      </c>
      <c r="R1059" t="str" cm="1">
        <f t="array" ref="R1059">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059" t="str" cm="1">
        <f t="array" ref="S105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059" t="str">
        <f>TEXT(tbl_analysis_tickets[[#This Row],[created_date]],"mmm-yyyy")</f>
        <v>Apr-2024</v>
      </c>
      <c r="U1059" t="str">
        <f>TEXT(tbl_analysis_tickets[[#This Row],[created_date]],"dddd")</f>
        <v>Wednesday</v>
      </c>
      <c r="V1059" cm="1">
        <f t="array" ref="V1059">_xlfn.SWITCH(tbl_analysis_tickets[[#This Row],[priority]],
"Urgent",1,
"High",2,
"Medium",3,
"Low",4
)</f>
        <v>4</v>
      </c>
    </row>
    <row r="1060" spans="1:22" x14ac:dyDescent="0.25">
      <c r="A1060">
        <v>1059</v>
      </c>
      <c r="B1060" s="1">
        <v>45543</v>
      </c>
      <c r="C1060" t="s">
        <v>23</v>
      </c>
      <c r="D1060" t="s">
        <v>20</v>
      </c>
      <c r="E1060">
        <v>30</v>
      </c>
      <c r="F1060">
        <v>49</v>
      </c>
      <c r="G1060">
        <v>4.5</v>
      </c>
      <c r="H1060" t="s">
        <v>12</v>
      </c>
      <c r="I1060" t="s">
        <v>19</v>
      </c>
      <c r="J1060" t="s">
        <v>11</v>
      </c>
      <c r="K1060">
        <f>_xlfn.XLOOKUP(tbl_analysis_tickets[[#This Row],[priority]],tbl_sla[priority],tbl_sla[Resolution SLA Hours])</f>
        <v>24</v>
      </c>
      <c r="L1060">
        <f>_xlfn.XLOOKUP(tbl_analysis_tickets[[#This Row],[priority]],tbl_sla[priority],tbl_sla[First Response SLA Minutes])</f>
        <v>60</v>
      </c>
      <c r="M1060" t="str">
        <f>IF(tbl_analysis_tickets[[#This Row],[resolution_time_hours]]&gt;tbl_analysis_tickets[[#This Row],[Resolution SLA Hours]],"Breached","Within SLA")</f>
        <v>Breached</v>
      </c>
      <c r="N1060" t="str">
        <f>IF(tbl_analysis_tickets[[#This Row],[first_response_minutes]]&gt;tbl_analysis_tickets[[#This Row],[First Response SLA Minutes]],"Breached","Within SLA")</f>
        <v>Within SLA</v>
      </c>
      <c r="O1060" t="str" cm="1">
        <f t="array" ref="O1060">_xlfn.IFS(
tbl_analysis_tickets[[#This Row],[agent_experience_years]]&lt;=2,"Junior",
tbl_analysis_tickets[[#This Row],[agent_experience_years]]&lt;=5,"Mid-Level",
tbl_analysis_tickets[[#This Row],[agent_experience_years]]&lt;=8,"Senior",
tbl_analysis_tickets[[#This Row],[agent_experience_years]]&gt;8,"Expert"
)</f>
        <v>Mid-Level</v>
      </c>
      <c r="P1060" cm="1">
        <f t="array" ref="P1060">_xlfn.SWITCH(tbl_analysis_tickets[[#This Row],[customer_satisfaction]],
"Low",1,
"Medium",2,
"High",3
)</f>
        <v>1</v>
      </c>
      <c r="Q1060">
        <f>IF(tbl_analysis_tickets[[#This Row],[reopened]]="Yes",1,0)</f>
        <v>1</v>
      </c>
      <c r="R1060" t="str" cm="1">
        <f t="array" ref="R1060">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1060" t="str" cm="1">
        <f t="array" ref="S106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060" t="str">
        <f>TEXT(tbl_analysis_tickets[[#This Row],[created_date]],"mmm-yyyy")</f>
        <v>Sep-2024</v>
      </c>
      <c r="U1060" t="str">
        <f>TEXT(tbl_analysis_tickets[[#This Row],[created_date]],"dddd")</f>
        <v>Sunday</v>
      </c>
      <c r="V1060" cm="1">
        <f t="array" ref="V1060">_xlfn.SWITCH(tbl_analysis_tickets[[#This Row],[priority]],
"Urgent",1,
"High",2,
"Medium",3,
"Low",4
)</f>
        <v>2</v>
      </c>
    </row>
    <row r="1061" spans="1:22" x14ac:dyDescent="0.25">
      <c r="A1061">
        <v>1060</v>
      </c>
      <c r="B1061" s="1">
        <v>45355</v>
      </c>
      <c r="C1061" t="s">
        <v>10</v>
      </c>
      <c r="D1061" t="s">
        <v>17</v>
      </c>
      <c r="E1061">
        <v>61</v>
      </c>
      <c r="F1061">
        <v>56</v>
      </c>
      <c r="G1061">
        <v>8.1999999999999993</v>
      </c>
      <c r="H1061" t="s">
        <v>12</v>
      </c>
      <c r="I1061" t="s">
        <v>13</v>
      </c>
      <c r="J1061" t="s">
        <v>11</v>
      </c>
      <c r="K1061">
        <f>_xlfn.XLOOKUP(tbl_analysis_tickets[[#This Row],[priority]],tbl_sla[priority],tbl_sla[Resolution SLA Hours])</f>
        <v>8</v>
      </c>
      <c r="L1061">
        <f>_xlfn.XLOOKUP(tbl_analysis_tickets[[#This Row],[priority]],tbl_sla[priority],tbl_sla[First Response SLA Minutes])</f>
        <v>30</v>
      </c>
      <c r="M1061" t="str">
        <f>IF(tbl_analysis_tickets[[#This Row],[resolution_time_hours]]&gt;tbl_analysis_tickets[[#This Row],[Resolution SLA Hours]],"Breached","Within SLA")</f>
        <v>Breached</v>
      </c>
      <c r="N1061" t="str">
        <f>IF(tbl_analysis_tickets[[#This Row],[first_response_minutes]]&gt;tbl_analysis_tickets[[#This Row],[First Response SLA Minutes]],"Breached","Within SLA")</f>
        <v>Breached</v>
      </c>
      <c r="O1061" t="str" cm="1">
        <f t="array" ref="O1061">_xlfn.IFS(
tbl_analysis_tickets[[#This Row],[agent_experience_years]]&lt;=2,"Junior",
tbl_analysis_tickets[[#This Row],[agent_experience_years]]&lt;=5,"Mid-Level",
tbl_analysis_tickets[[#This Row],[agent_experience_years]]&lt;=8,"Senior",
tbl_analysis_tickets[[#This Row],[agent_experience_years]]&gt;8,"Expert"
)</f>
        <v>Expert</v>
      </c>
      <c r="P1061" cm="1">
        <f t="array" ref="P1061">_xlfn.SWITCH(tbl_analysis_tickets[[#This Row],[customer_satisfaction]],
"Low",1,
"Medium",2,
"High",3
)</f>
        <v>1</v>
      </c>
      <c r="Q1061">
        <f>IF(tbl_analysis_tickets[[#This Row],[reopened]]="Yes",1,0)</f>
        <v>1</v>
      </c>
      <c r="R1061" t="str" cm="1">
        <f t="array" ref="R1061">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061" t="str" cm="1">
        <f t="array" ref="S106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061" t="str">
        <f>TEXT(tbl_analysis_tickets[[#This Row],[created_date]],"mmm-yyyy")</f>
        <v>Mar-2024</v>
      </c>
      <c r="U1061" t="str">
        <f>TEXT(tbl_analysis_tickets[[#This Row],[created_date]],"dddd")</f>
        <v>Monday</v>
      </c>
      <c r="V1061" cm="1">
        <f t="array" ref="V1061">_xlfn.SWITCH(tbl_analysis_tickets[[#This Row],[priority]],
"Urgent",1,
"High",2,
"Medium",3,
"Low",4
)</f>
        <v>1</v>
      </c>
    </row>
    <row r="1062" spans="1:22" x14ac:dyDescent="0.25">
      <c r="A1062">
        <v>1061</v>
      </c>
      <c r="B1062" s="1">
        <v>45629</v>
      </c>
      <c r="C1062" t="s">
        <v>23</v>
      </c>
      <c r="D1062" t="s">
        <v>11</v>
      </c>
      <c r="E1062">
        <v>154</v>
      </c>
      <c r="F1062">
        <v>71</v>
      </c>
      <c r="G1062">
        <v>2.7</v>
      </c>
      <c r="H1062" t="s">
        <v>12</v>
      </c>
      <c r="I1062" t="s">
        <v>16</v>
      </c>
      <c r="J1062" t="s">
        <v>11</v>
      </c>
      <c r="K1062">
        <f>_xlfn.XLOOKUP(tbl_analysis_tickets[[#This Row],[priority]],tbl_sla[priority],tbl_sla[Resolution SLA Hours])</f>
        <v>72</v>
      </c>
      <c r="L1062">
        <f>_xlfn.XLOOKUP(tbl_analysis_tickets[[#This Row],[priority]],tbl_sla[priority],tbl_sla[First Response SLA Minutes])</f>
        <v>240</v>
      </c>
      <c r="M1062" t="str">
        <f>IF(tbl_analysis_tickets[[#This Row],[resolution_time_hours]]&gt;tbl_analysis_tickets[[#This Row],[Resolution SLA Hours]],"Breached","Within SLA")</f>
        <v>Within SLA</v>
      </c>
      <c r="N1062" t="str">
        <f>IF(tbl_analysis_tickets[[#This Row],[first_response_minutes]]&gt;tbl_analysis_tickets[[#This Row],[First Response SLA Minutes]],"Breached","Within SLA")</f>
        <v>Within SLA</v>
      </c>
      <c r="O1062" t="str" cm="1">
        <f t="array" ref="O1062">_xlfn.IFS(
tbl_analysis_tickets[[#This Row],[agent_experience_years]]&lt;=2,"Junior",
tbl_analysis_tickets[[#This Row],[agent_experience_years]]&lt;=5,"Mid-Level",
tbl_analysis_tickets[[#This Row],[agent_experience_years]]&lt;=8,"Senior",
tbl_analysis_tickets[[#This Row],[agent_experience_years]]&gt;8,"Expert"
)</f>
        <v>Mid-Level</v>
      </c>
      <c r="P1062" cm="1">
        <f t="array" ref="P1062">_xlfn.SWITCH(tbl_analysis_tickets[[#This Row],[customer_satisfaction]],
"Low",1,
"Medium",2,
"High",3
)</f>
        <v>1</v>
      </c>
      <c r="Q1062">
        <f>IF(tbl_analysis_tickets[[#This Row],[reopened]]="Yes",1,0)</f>
        <v>1</v>
      </c>
      <c r="R1062" t="str" cm="1">
        <f t="array" ref="R1062">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062" t="str" cm="1">
        <f t="array" ref="S106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062" t="str">
        <f>TEXT(tbl_analysis_tickets[[#This Row],[created_date]],"mmm-yyyy")</f>
        <v>Dec-2024</v>
      </c>
      <c r="U1062" t="str">
        <f>TEXT(tbl_analysis_tickets[[#This Row],[created_date]],"dddd")</f>
        <v>Tuesday</v>
      </c>
      <c r="V1062" cm="1">
        <f t="array" ref="V1062">_xlfn.SWITCH(tbl_analysis_tickets[[#This Row],[priority]],
"Urgent",1,
"High",2,
"Medium",3,
"Low",4
)</f>
        <v>4</v>
      </c>
    </row>
    <row r="1063" spans="1:22" x14ac:dyDescent="0.25">
      <c r="A1063">
        <v>1062</v>
      </c>
      <c r="B1063" s="1">
        <v>45427</v>
      </c>
      <c r="C1063" t="s">
        <v>22</v>
      </c>
      <c r="D1063" t="s">
        <v>11</v>
      </c>
      <c r="E1063">
        <v>68</v>
      </c>
      <c r="F1063">
        <v>39</v>
      </c>
      <c r="G1063">
        <v>1.7</v>
      </c>
      <c r="H1063" t="s">
        <v>12</v>
      </c>
      <c r="I1063" t="s">
        <v>16</v>
      </c>
      <c r="J1063" t="s">
        <v>11</v>
      </c>
      <c r="K1063">
        <f>_xlfn.XLOOKUP(tbl_analysis_tickets[[#This Row],[priority]],tbl_sla[priority],tbl_sla[Resolution SLA Hours])</f>
        <v>72</v>
      </c>
      <c r="L1063">
        <f>_xlfn.XLOOKUP(tbl_analysis_tickets[[#This Row],[priority]],tbl_sla[priority],tbl_sla[First Response SLA Minutes])</f>
        <v>240</v>
      </c>
      <c r="M1063" t="str">
        <f>IF(tbl_analysis_tickets[[#This Row],[resolution_time_hours]]&gt;tbl_analysis_tickets[[#This Row],[Resolution SLA Hours]],"Breached","Within SLA")</f>
        <v>Within SLA</v>
      </c>
      <c r="N1063" t="str">
        <f>IF(tbl_analysis_tickets[[#This Row],[first_response_minutes]]&gt;tbl_analysis_tickets[[#This Row],[First Response SLA Minutes]],"Breached","Within SLA")</f>
        <v>Within SLA</v>
      </c>
      <c r="O1063" t="str" cm="1">
        <f t="array" ref="O1063">_xlfn.IFS(
tbl_analysis_tickets[[#This Row],[agent_experience_years]]&lt;=2,"Junior",
tbl_analysis_tickets[[#This Row],[agent_experience_years]]&lt;=5,"Mid-Level",
tbl_analysis_tickets[[#This Row],[agent_experience_years]]&lt;=8,"Senior",
tbl_analysis_tickets[[#This Row],[agent_experience_years]]&gt;8,"Expert"
)</f>
        <v>Junior</v>
      </c>
      <c r="P1063" cm="1">
        <f t="array" ref="P1063">_xlfn.SWITCH(tbl_analysis_tickets[[#This Row],[customer_satisfaction]],
"Low",1,
"Medium",2,
"High",3
)</f>
        <v>1</v>
      </c>
      <c r="Q1063">
        <f>IF(tbl_analysis_tickets[[#This Row],[reopened]]="Yes",1,0)</f>
        <v>1</v>
      </c>
      <c r="R1063" t="str" cm="1">
        <f t="array" ref="R1063">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063" t="str" cm="1">
        <f t="array" ref="S106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063" t="str">
        <f>TEXT(tbl_analysis_tickets[[#This Row],[created_date]],"mmm-yyyy")</f>
        <v>May-2024</v>
      </c>
      <c r="U1063" t="str">
        <f>TEXT(tbl_analysis_tickets[[#This Row],[created_date]],"dddd")</f>
        <v>Wednesday</v>
      </c>
      <c r="V1063" cm="1">
        <f t="array" ref="V1063">_xlfn.SWITCH(tbl_analysis_tickets[[#This Row],[priority]],
"Urgent",1,
"High",2,
"Medium",3,
"Low",4
)</f>
        <v>4</v>
      </c>
    </row>
    <row r="1064" spans="1:22" x14ac:dyDescent="0.25">
      <c r="A1064">
        <v>1063</v>
      </c>
      <c r="B1064" s="1">
        <v>45554</v>
      </c>
      <c r="C1064" t="s">
        <v>22</v>
      </c>
      <c r="D1064" t="s">
        <v>15</v>
      </c>
      <c r="E1064">
        <v>130</v>
      </c>
      <c r="F1064">
        <v>64</v>
      </c>
      <c r="G1064">
        <v>5.2</v>
      </c>
      <c r="H1064" t="s">
        <v>12</v>
      </c>
      <c r="I1064" t="s">
        <v>19</v>
      </c>
      <c r="J1064" t="s">
        <v>11</v>
      </c>
      <c r="K1064">
        <f>_xlfn.XLOOKUP(tbl_analysis_tickets[[#This Row],[priority]],tbl_sla[priority],tbl_sla[Resolution SLA Hours])</f>
        <v>48</v>
      </c>
      <c r="L1064">
        <f>_xlfn.XLOOKUP(tbl_analysis_tickets[[#This Row],[priority]],tbl_sla[priority],tbl_sla[First Response SLA Minutes])</f>
        <v>120</v>
      </c>
      <c r="M1064" t="str">
        <f>IF(tbl_analysis_tickets[[#This Row],[resolution_time_hours]]&gt;tbl_analysis_tickets[[#This Row],[Resolution SLA Hours]],"Breached","Within SLA")</f>
        <v>Breached</v>
      </c>
      <c r="N1064" t="str">
        <f>IF(tbl_analysis_tickets[[#This Row],[first_response_minutes]]&gt;tbl_analysis_tickets[[#This Row],[First Response SLA Minutes]],"Breached","Within SLA")</f>
        <v>Breached</v>
      </c>
      <c r="O1064" t="str" cm="1">
        <f t="array" ref="O1064">_xlfn.IFS(
tbl_analysis_tickets[[#This Row],[agent_experience_years]]&lt;=2,"Junior",
tbl_analysis_tickets[[#This Row],[agent_experience_years]]&lt;=5,"Mid-Level",
tbl_analysis_tickets[[#This Row],[agent_experience_years]]&lt;=8,"Senior",
tbl_analysis_tickets[[#This Row],[agent_experience_years]]&gt;8,"Expert"
)</f>
        <v>Senior</v>
      </c>
      <c r="P1064" cm="1">
        <f t="array" ref="P1064">_xlfn.SWITCH(tbl_analysis_tickets[[#This Row],[customer_satisfaction]],
"Low",1,
"Medium",2,
"High",3
)</f>
        <v>1</v>
      </c>
      <c r="Q1064">
        <f>IF(tbl_analysis_tickets[[#This Row],[reopened]]="Yes",1,0)</f>
        <v>1</v>
      </c>
      <c r="R1064" t="str" cm="1">
        <f t="array" ref="R1064">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064" t="str" cm="1">
        <f t="array" ref="S106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064" t="str">
        <f>TEXT(tbl_analysis_tickets[[#This Row],[created_date]],"mmm-yyyy")</f>
        <v>Sep-2024</v>
      </c>
      <c r="U1064" t="str">
        <f>TEXT(tbl_analysis_tickets[[#This Row],[created_date]],"dddd")</f>
        <v>Thursday</v>
      </c>
      <c r="V1064" cm="1">
        <f t="array" ref="V1064">_xlfn.SWITCH(tbl_analysis_tickets[[#This Row],[priority]],
"Urgent",1,
"High",2,
"Medium",3,
"Low",4
)</f>
        <v>3</v>
      </c>
    </row>
    <row r="1065" spans="1:22" x14ac:dyDescent="0.25">
      <c r="A1065">
        <v>1064</v>
      </c>
      <c r="B1065" s="1">
        <v>45642</v>
      </c>
      <c r="C1065" t="s">
        <v>23</v>
      </c>
      <c r="D1065" t="s">
        <v>11</v>
      </c>
      <c r="E1065">
        <v>153</v>
      </c>
      <c r="F1065">
        <v>18</v>
      </c>
      <c r="G1065">
        <v>0.9</v>
      </c>
      <c r="H1065" t="s">
        <v>18</v>
      </c>
      <c r="I1065" t="s">
        <v>13</v>
      </c>
      <c r="J1065" t="s">
        <v>11</v>
      </c>
      <c r="K1065">
        <f>_xlfn.XLOOKUP(tbl_analysis_tickets[[#This Row],[priority]],tbl_sla[priority],tbl_sla[Resolution SLA Hours])</f>
        <v>72</v>
      </c>
      <c r="L1065">
        <f>_xlfn.XLOOKUP(tbl_analysis_tickets[[#This Row],[priority]],tbl_sla[priority],tbl_sla[First Response SLA Minutes])</f>
        <v>240</v>
      </c>
      <c r="M1065" t="str">
        <f>IF(tbl_analysis_tickets[[#This Row],[resolution_time_hours]]&gt;tbl_analysis_tickets[[#This Row],[Resolution SLA Hours]],"Breached","Within SLA")</f>
        <v>Within SLA</v>
      </c>
      <c r="N1065" t="str">
        <f>IF(tbl_analysis_tickets[[#This Row],[first_response_minutes]]&gt;tbl_analysis_tickets[[#This Row],[First Response SLA Minutes]],"Breached","Within SLA")</f>
        <v>Within SLA</v>
      </c>
      <c r="O1065" t="str" cm="1">
        <f t="array" ref="O1065">_xlfn.IFS(
tbl_analysis_tickets[[#This Row],[agent_experience_years]]&lt;=2,"Junior",
tbl_analysis_tickets[[#This Row],[agent_experience_years]]&lt;=5,"Mid-Level",
tbl_analysis_tickets[[#This Row],[agent_experience_years]]&lt;=8,"Senior",
tbl_analysis_tickets[[#This Row],[agent_experience_years]]&gt;8,"Expert"
)</f>
        <v>Junior</v>
      </c>
      <c r="P1065" cm="1">
        <f t="array" ref="P1065">_xlfn.SWITCH(tbl_analysis_tickets[[#This Row],[customer_satisfaction]],
"Low",1,
"Medium",2,
"High",3
)</f>
        <v>1</v>
      </c>
      <c r="Q1065">
        <f>IF(tbl_analysis_tickets[[#This Row],[reopened]]="Yes",1,0)</f>
        <v>0</v>
      </c>
      <c r="R1065" t="str" cm="1">
        <f t="array" ref="R1065">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065" t="str" cm="1">
        <f t="array" ref="S106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065" t="str">
        <f>TEXT(tbl_analysis_tickets[[#This Row],[created_date]],"mmm-yyyy")</f>
        <v>Dec-2024</v>
      </c>
      <c r="U1065" t="str">
        <f>TEXT(tbl_analysis_tickets[[#This Row],[created_date]],"dddd")</f>
        <v>Monday</v>
      </c>
      <c r="V1065" cm="1">
        <f t="array" ref="V1065">_xlfn.SWITCH(tbl_analysis_tickets[[#This Row],[priority]],
"Urgent",1,
"High",2,
"Medium",3,
"Low",4
)</f>
        <v>4</v>
      </c>
    </row>
    <row r="1066" spans="1:22" x14ac:dyDescent="0.25">
      <c r="A1066">
        <v>1065</v>
      </c>
      <c r="B1066" s="1">
        <v>45405</v>
      </c>
      <c r="C1066" t="s">
        <v>14</v>
      </c>
      <c r="D1066" t="s">
        <v>11</v>
      </c>
      <c r="E1066">
        <v>25</v>
      </c>
      <c r="F1066">
        <v>20</v>
      </c>
      <c r="G1066">
        <v>1.2</v>
      </c>
      <c r="H1066" t="s">
        <v>12</v>
      </c>
      <c r="I1066" t="s">
        <v>13</v>
      </c>
      <c r="J1066" t="s">
        <v>15</v>
      </c>
      <c r="K1066">
        <f>_xlfn.XLOOKUP(tbl_analysis_tickets[[#This Row],[priority]],tbl_sla[priority],tbl_sla[Resolution SLA Hours])</f>
        <v>72</v>
      </c>
      <c r="L1066">
        <f>_xlfn.XLOOKUP(tbl_analysis_tickets[[#This Row],[priority]],tbl_sla[priority],tbl_sla[First Response SLA Minutes])</f>
        <v>240</v>
      </c>
      <c r="M1066" t="str">
        <f>IF(tbl_analysis_tickets[[#This Row],[resolution_time_hours]]&gt;tbl_analysis_tickets[[#This Row],[Resolution SLA Hours]],"Breached","Within SLA")</f>
        <v>Within SLA</v>
      </c>
      <c r="N1066" t="str">
        <f>IF(tbl_analysis_tickets[[#This Row],[first_response_minutes]]&gt;tbl_analysis_tickets[[#This Row],[First Response SLA Minutes]],"Breached","Within SLA")</f>
        <v>Within SLA</v>
      </c>
      <c r="O1066" t="str" cm="1">
        <f t="array" ref="O1066">_xlfn.IFS(
tbl_analysis_tickets[[#This Row],[agent_experience_years]]&lt;=2,"Junior",
tbl_analysis_tickets[[#This Row],[agent_experience_years]]&lt;=5,"Mid-Level",
tbl_analysis_tickets[[#This Row],[agent_experience_years]]&lt;=8,"Senior",
tbl_analysis_tickets[[#This Row],[agent_experience_years]]&gt;8,"Expert"
)</f>
        <v>Junior</v>
      </c>
      <c r="P1066" cm="1">
        <f t="array" ref="P1066">_xlfn.SWITCH(tbl_analysis_tickets[[#This Row],[customer_satisfaction]],
"Low",1,
"Medium",2,
"High",3
)</f>
        <v>2</v>
      </c>
      <c r="Q1066">
        <f>IF(tbl_analysis_tickets[[#This Row],[reopened]]="Yes",1,0)</f>
        <v>1</v>
      </c>
      <c r="R1066" t="str" cm="1">
        <f t="array" ref="R1066">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1066" t="str" cm="1">
        <f t="array" ref="S106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066" t="str">
        <f>TEXT(tbl_analysis_tickets[[#This Row],[created_date]],"mmm-yyyy")</f>
        <v>Apr-2024</v>
      </c>
      <c r="U1066" t="str">
        <f>TEXT(tbl_analysis_tickets[[#This Row],[created_date]],"dddd")</f>
        <v>Tuesday</v>
      </c>
      <c r="V1066" cm="1">
        <f t="array" ref="V1066">_xlfn.SWITCH(tbl_analysis_tickets[[#This Row],[priority]],
"Urgent",1,
"High",2,
"Medium",3,
"Low",4
)</f>
        <v>4</v>
      </c>
    </row>
    <row r="1067" spans="1:22" x14ac:dyDescent="0.25">
      <c r="A1067">
        <v>1066</v>
      </c>
      <c r="B1067" s="1">
        <v>45322</v>
      </c>
      <c r="C1067" t="s">
        <v>10</v>
      </c>
      <c r="D1067" t="s">
        <v>20</v>
      </c>
      <c r="E1067">
        <v>32</v>
      </c>
      <c r="F1067">
        <v>71</v>
      </c>
      <c r="G1067">
        <v>2.9</v>
      </c>
      <c r="H1067" t="s">
        <v>18</v>
      </c>
      <c r="I1067" t="s">
        <v>19</v>
      </c>
      <c r="J1067" t="s">
        <v>11</v>
      </c>
      <c r="K1067">
        <f>_xlfn.XLOOKUP(tbl_analysis_tickets[[#This Row],[priority]],tbl_sla[priority],tbl_sla[Resolution SLA Hours])</f>
        <v>24</v>
      </c>
      <c r="L1067">
        <f>_xlfn.XLOOKUP(tbl_analysis_tickets[[#This Row],[priority]],tbl_sla[priority],tbl_sla[First Response SLA Minutes])</f>
        <v>60</v>
      </c>
      <c r="M1067" t="str">
        <f>IF(tbl_analysis_tickets[[#This Row],[resolution_time_hours]]&gt;tbl_analysis_tickets[[#This Row],[Resolution SLA Hours]],"Breached","Within SLA")</f>
        <v>Breached</v>
      </c>
      <c r="N1067" t="str">
        <f>IF(tbl_analysis_tickets[[#This Row],[first_response_minutes]]&gt;tbl_analysis_tickets[[#This Row],[First Response SLA Minutes]],"Breached","Within SLA")</f>
        <v>Within SLA</v>
      </c>
      <c r="O1067" t="str" cm="1">
        <f t="array" ref="O1067">_xlfn.IFS(
tbl_analysis_tickets[[#This Row],[agent_experience_years]]&lt;=2,"Junior",
tbl_analysis_tickets[[#This Row],[agent_experience_years]]&lt;=5,"Mid-Level",
tbl_analysis_tickets[[#This Row],[agent_experience_years]]&lt;=8,"Senior",
tbl_analysis_tickets[[#This Row],[agent_experience_years]]&gt;8,"Expert"
)</f>
        <v>Mid-Level</v>
      </c>
      <c r="P1067" cm="1">
        <f t="array" ref="P1067">_xlfn.SWITCH(tbl_analysis_tickets[[#This Row],[customer_satisfaction]],
"Low",1,
"Medium",2,
"High",3
)</f>
        <v>1</v>
      </c>
      <c r="Q1067">
        <f>IF(tbl_analysis_tickets[[#This Row],[reopened]]="Yes",1,0)</f>
        <v>0</v>
      </c>
      <c r="R1067" t="str" cm="1">
        <f t="array" ref="R1067">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067" t="str" cm="1">
        <f t="array" ref="S106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067" t="str">
        <f>TEXT(tbl_analysis_tickets[[#This Row],[created_date]],"mmm-yyyy")</f>
        <v>Jan-2024</v>
      </c>
      <c r="U1067" t="str">
        <f>TEXT(tbl_analysis_tickets[[#This Row],[created_date]],"dddd")</f>
        <v>Wednesday</v>
      </c>
      <c r="V1067" cm="1">
        <f t="array" ref="V1067">_xlfn.SWITCH(tbl_analysis_tickets[[#This Row],[priority]],
"Urgent",1,
"High",2,
"Medium",3,
"Low",4
)</f>
        <v>2</v>
      </c>
    </row>
    <row r="1068" spans="1:22" x14ac:dyDescent="0.25">
      <c r="A1068">
        <v>1067</v>
      </c>
      <c r="B1068" s="1">
        <v>45457</v>
      </c>
      <c r="C1068" t="s">
        <v>23</v>
      </c>
      <c r="D1068" t="s">
        <v>11</v>
      </c>
      <c r="E1068">
        <v>27</v>
      </c>
      <c r="F1068">
        <v>6</v>
      </c>
      <c r="G1068">
        <v>8.1</v>
      </c>
      <c r="H1068" t="s">
        <v>12</v>
      </c>
      <c r="I1068" t="s">
        <v>16</v>
      </c>
      <c r="J1068" t="s">
        <v>20</v>
      </c>
      <c r="K1068">
        <f>_xlfn.XLOOKUP(tbl_analysis_tickets[[#This Row],[priority]],tbl_sla[priority],tbl_sla[Resolution SLA Hours])</f>
        <v>72</v>
      </c>
      <c r="L1068">
        <f>_xlfn.XLOOKUP(tbl_analysis_tickets[[#This Row],[priority]],tbl_sla[priority],tbl_sla[First Response SLA Minutes])</f>
        <v>240</v>
      </c>
      <c r="M1068" t="str">
        <f>IF(tbl_analysis_tickets[[#This Row],[resolution_time_hours]]&gt;tbl_analysis_tickets[[#This Row],[Resolution SLA Hours]],"Breached","Within SLA")</f>
        <v>Within SLA</v>
      </c>
      <c r="N1068" t="str">
        <f>IF(tbl_analysis_tickets[[#This Row],[first_response_minutes]]&gt;tbl_analysis_tickets[[#This Row],[First Response SLA Minutes]],"Breached","Within SLA")</f>
        <v>Within SLA</v>
      </c>
      <c r="O1068" t="str" cm="1">
        <f t="array" ref="O1068">_xlfn.IFS(
tbl_analysis_tickets[[#This Row],[agent_experience_years]]&lt;=2,"Junior",
tbl_analysis_tickets[[#This Row],[agent_experience_years]]&lt;=5,"Mid-Level",
tbl_analysis_tickets[[#This Row],[agent_experience_years]]&lt;=8,"Senior",
tbl_analysis_tickets[[#This Row],[agent_experience_years]]&gt;8,"Expert"
)</f>
        <v>Expert</v>
      </c>
      <c r="P1068" cm="1">
        <f t="array" ref="P1068">_xlfn.SWITCH(tbl_analysis_tickets[[#This Row],[customer_satisfaction]],
"Low",1,
"Medium",2,
"High",3
)</f>
        <v>3</v>
      </c>
      <c r="Q1068">
        <f>IF(tbl_analysis_tickets[[#This Row],[reopened]]="Yes",1,0)</f>
        <v>1</v>
      </c>
      <c r="R1068" t="str" cm="1">
        <f t="array" ref="R1068">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1068" t="str" cm="1">
        <f t="array" ref="S106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1068" t="str">
        <f>TEXT(tbl_analysis_tickets[[#This Row],[created_date]],"mmm-yyyy")</f>
        <v>Jun-2024</v>
      </c>
      <c r="U1068" t="str">
        <f>TEXT(tbl_analysis_tickets[[#This Row],[created_date]],"dddd")</f>
        <v>Friday</v>
      </c>
      <c r="V1068" cm="1">
        <f t="array" ref="V1068">_xlfn.SWITCH(tbl_analysis_tickets[[#This Row],[priority]],
"Urgent",1,
"High",2,
"Medium",3,
"Low",4
)</f>
        <v>4</v>
      </c>
    </row>
    <row r="1069" spans="1:22" x14ac:dyDescent="0.25">
      <c r="A1069">
        <v>1068</v>
      </c>
      <c r="B1069" s="1">
        <v>45513</v>
      </c>
      <c r="C1069" t="s">
        <v>23</v>
      </c>
      <c r="D1069" t="s">
        <v>11</v>
      </c>
      <c r="E1069">
        <v>94</v>
      </c>
      <c r="F1069">
        <v>64</v>
      </c>
      <c r="G1069">
        <v>4</v>
      </c>
      <c r="H1069" t="s">
        <v>18</v>
      </c>
      <c r="I1069" t="s">
        <v>16</v>
      </c>
      <c r="J1069" t="s">
        <v>11</v>
      </c>
      <c r="K1069">
        <f>_xlfn.XLOOKUP(tbl_analysis_tickets[[#This Row],[priority]],tbl_sla[priority],tbl_sla[Resolution SLA Hours])</f>
        <v>72</v>
      </c>
      <c r="L1069">
        <f>_xlfn.XLOOKUP(tbl_analysis_tickets[[#This Row],[priority]],tbl_sla[priority],tbl_sla[First Response SLA Minutes])</f>
        <v>240</v>
      </c>
      <c r="M1069" t="str">
        <f>IF(tbl_analysis_tickets[[#This Row],[resolution_time_hours]]&gt;tbl_analysis_tickets[[#This Row],[Resolution SLA Hours]],"Breached","Within SLA")</f>
        <v>Within SLA</v>
      </c>
      <c r="N1069" t="str">
        <f>IF(tbl_analysis_tickets[[#This Row],[first_response_minutes]]&gt;tbl_analysis_tickets[[#This Row],[First Response SLA Minutes]],"Breached","Within SLA")</f>
        <v>Within SLA</v>
      </c>
      <c r="O1069" t="str" cm="1">
        <f t="array" ref="O1069">_xlfn.IFS(
tbl_analysis_tickets[[#This Row],[agent_experience_years]]&lt;=2,"Junior",
tbl_analysis_tickets[[#This Row],[agent_experience_years]]&lt;=5,"Mid-Level",
tbl_analysis_tickets[[#This Row],[agent_experience_years]]&lt;=8,"Senior",
tbl_analysis_tickets[[#This Row],[agent_experience_years]]&gt;8,"Expert"
)</f>
        <v>Mid-Level</v>
      </c>
      <c r="P1069" cm="1">
        <f t="array" ref="P1069">_xlfn.SWITCH(tbl_analysis_tickets[[#This Row],[customer_satisfaction]],
"Low",1,
"Medium",2,
"High",3
)</f>
        <v>1</v>
      </c>
      <c r="Q1069">
        <f>IF(tbl_analysis_tickets[[#This Row],[reopened]]="Yes",1,0)</f>
        <v>0</v>
      </c>
      <c r="R1069" t="str" cm="1">
        <f t="array" ref="R1069">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069" t="str" cm="1">
        <f t="array" ref="S106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069" t="str">
        <f>TEXT(tbl_analysis_tickets[[#This Row],[created_date]],"mmm-yyyy")</f>
        <v>Aug-2024</v>
      </c>
      <c r="U1069" t="str">
        <f>TEXT(tbl_analysis_tickets[[#This Row],[created_date]],"dddd")</f>
        <v>Friday</v>
      </c>
      <c r="V1069" cm="1">
        <f t="array" ref="V1069">_xlfn.SWITCH(tbl_analysis_tickets[[#This Row],[priority]],
"Urgent",1,
"High",2,
"Medium",3,
"Low",4
)</f>
        <v>4</v>
      </c>
    </row>
    <row r="1070" spans="1:22" x14ac:dyDescent="0.25">
      <c r="A1070">
        <v>1069</v>
      </c>
      <c r="B1070" s="1">
        <v>45479</v>
      </c>
      <c r="C1070" t="s">
        <v>22</v>
      </c>
      <c r="D1070" t="s">
        <v>11</v>
      </c>
      <c r="E1070">
        <v>54</v>
      </c>
      <c r="F1070">
        <v>15</v>
      </c>
      <c r="G1070">
        <v>8.4</v>
      </c>
      <c r="H1070" t="s">
        <v>18</v>
      </c>
      <c r="I1070" t="s">
        <v>13</v>
      </c>
      <c r="J1070" t="s">
        <v>15</v>
      </c>
      <c r="K1070">
        <f>_xlfn.XLOOKUP(tbl_analysis_tickets[[#This Row],[priority]],tbl_sla[priority],tbl_sla[Resolution SLA Hours])</f>
        <v>72</v>
      </c>
      <c r="L1070">
        <f>_xlfn.XLOOKUP(tbl_analysis_tickets[[#This Row],[priority]],tbl_sla[priority],tbl_sla[First Response SLA Minutes])</f>
        <v>240</v>
      </c>
      <c r="M1070" t="str">
        <f>IF(tbl_analysis_tickets[[#This Row],[resolution_time_hours]]&gt;tbl_analysis_tickets[[#This Row],[Resolution SLA Hours]],"Breached","Within SLA")</f>
        <v>Within SLA</v>
      </c>
      <c r="N1070" t="str">
        <f>IF(tbl_analysis_tickets[[#This Row],[first_response_minutes]]&gt;tbl_analysis_tickets[[#This Row],[First Response SLA Minutes]],"Breached","Within SLA")</f>
        <v>Within SLA</v>
      </c>
      <c r="O1070" t="str" cm="1">
        <f t="array" ref="O1070">_xlfn.IFS(
tbl_analysis_tickets[[#This Row],[agent_experience_years]]&lt;=2,"Junior",
tbl_analysis_tickets[[#This Row],[agent_experience_years]]&lt;=5,"Mid-Level",
tbl_analysis_tickets[[#This Row],[agent_experience_years]]&lt;=8,"Senior",
tbl_analysis_tickets[[#This Row],[agent_experience_years]]&gt;8,"Expert"
)</f>
        <v>Expert</v>
      </c>
      <c r="P1070" cm="1">
        <f t="array" ref="P1070">_xlfn.SWITCH(tbl_analysis_tickets[[#This Row],[customer_satisfaction]],
"Low",1,
"Medium",2,
"High",3
)</f>
        <v>2</v>
      </c>
      <c r="Q1070">
        <f>IF(tbl_analysis_tickets[[#This Row],[reopened]]="Yes",1,0)</f>
        <v>0</v>
      </c>
      <c r="R1070" t="str" cm="1">
        <f t="array" ref="R1070">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070" t="str" cm="1">
        <f t="array" ref="S107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070" t="str">
        <f>TEXT(tbl_analysis_tickets[[#This Row],[created_date]],"mmm-yyyy")</f>
        <v>Jul-2024</v>
      </c>
      <c r="U1070" t="str">
        <f>TEXT(tbl_analysis_tickets[[#This Row],[created_date]],"dddd")</f>
        <v>Saturday</v>
      </c>
      <c r="V1070" cm="1">
        <f t="array" ref="V1070">_xlfn.SWITCH(tbl_analysis_tickets[[#This Row],[priority]],
"Urgent",1,
"High",2,
"Medium",3,
"Low",4
)</f>
        <v>4</v>
      </c>
    </row>
    <row r="1071" spans="1:22" x14ac:dyDescent="0.25">
      <c r="A1071">
        <v>1070</v>
      </c>
      <c r="B1071" s="1">
        <v>45521</v>
      </c>
      <c r="C1071" t="s">
        <v>10</v>
      </c>
      <c r="D1071" t="s">
        <v>15</v>
      </c>
      <c r="E1071">
        <v>170</v>
      </c>
      <c r="F1071">
        <v>55</v>
      </c>
      <c r="G1071">
        <v>5.4</v>
      </c>
      <c r="H1071" t="s">
        <v>18</v>
      </c>
      <c r="I1071" t="s">
        <v>19</v>
      </c>
      <c r="J1071" t="s">
        <v>15</v>
      </c>
      <c r="K1071">
        <f>_xlfn.XLOOKUP(tbl_analysis_tickets[[#This Row],[priority]],tbl_sla[priority],tbl_sla[Resolution SLA Hours])</f>
        <v>48</v>
      </c>
      <c r="L1071">
        <f>_xlfn.XLOOKUP(tbl_analysis_tickets[[#This Row],[priority]],tbl_sla[priority],tbl_sla[First Response SLA Minutes])</f>
        <v>120</v>
      </c>
      <c r="M1071" t="str">
        <f>IF(tbl_analysis_tickets[[#This Row],[resolution_time_hours]]&gt;tbl_analysis_tickets[[#This Row],[Resolution SLA Hours]],"Breached","Within SLA")</f>
        <v>Breached</v>
      </c>
      <c r="N1071" t="str">
        <f>IF(tbl_analysis_tickets[[#This Row],[first_response_minutes]]&gt;tbl_analysis_tickets[[#This Row],[First Response SLA Minutes]],"Breached","Within SLA")</f>
        <v>Breached</v>
      </c>
      <c r="O1071" t="str" cm="1">
        <f t="array" ref="O1071">_xlfn.IFS(
tbl_analysis_tickets[[#This Row],[agent_experience_years]]&lt;=2,"Junior",
tbl_analysis_tickets[[#This Row],[agent_experience_years]]&lt;=5,"Mid-Level",
tbl_analysis_tickets[[#This Row],[agent_experience_years]]&lt;=8,"Senior",
tbl_analysis_tickets[[#This Row],[agent_experience_years]]&gt;8,"Expert"
)</f>
        <v>Senior</v>
      </c>
      <c r="P1071" cm="1">
        <f t="array" ref="P1071">_xlfn.SWITCH(tbl_analysis_tickets[[#This Row],[customer_satisfaction]],
"Low",1,
"Medium",2,
"High",3
)</f>
        <v>2</v>
      </c>
      <c r="Q1071">
        <f>IF(tbl_analysis_tickets[[#This Row],[reopened]]="Yes",1,0)</f>
        <v>0</v>
      </c>
      <c r="R1071" t="str" cm="1">
        <f t="array" ref="R1071">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071" t="str" cm="1">
        <f t="array" ref="S107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071" t="str">
        <f>TEXT(tbl_analysis_tickets[[#This Row],[created_date]],"mmm-yyyy")</f>
        <v>Aug-2024</v>
      </c>
      <c r="U1071" t="str">
        <f>TEXT(tbl_analysis_tickets[[#This Row],[created_date]],"dddd")</f>
        <v>Saturday</v>
      </c>
      <c r="V1071" cm="1">
        <f t="array" ref="V1071">_xlfn.SWITCH(tbl_analysis_tickets[[#This Row],[priority]],
"Urgent",1,
"High",2,
"Medium",3,
"Low",4
)</f>
        <v>3</v>
      </c>
    </row>
    <row r="1072" spans="1:22" x14ac:dyDescent="0.25">
      <c r="A1072">
        <v>1071</v>
      </c>
      <c r="B1072" s="1">
        <v>45425</v>
      </c>
      <c r="C1072" t="s">
        <v>21</v>
      </c>
      <c r="D1072" t="s">
        <v>15</v>
      </c>
      <c r="E1072">
        <v>115</v>
      </c>
      <c r="F1072">
        <v>37</v>
      </c>
      <c r="G1072">
        <v>6</v>
      </c>
      <c r="H1072" t="s">
        <v>12</v>
      </c>
      <c r="I1072" t="s">
        <v>16</v>
      </c>
      <c r="J1072" t="s">
        <v>11</v>
      </c>
      <c r="K1072">
        <f>_xlfn.XLOOKUP(tbl_analysis_tickets[[#This Row],[priority]],tbl_sla[priority],tbl_sla[Resolution SLA Hours])</f>
        <v>48</v>
      </c>
      <c r="L1072">
        <f>_xlfn.XLOOKUP(tbl_analysis_tickets[[#This Row],[priority]],tbl_sla[priority],tbl_sla[First Response SLA Minutes])</f>
        <v>120</v>
      </c>
      <c r="M1072" t="str">
        <f>IF(tbl_analysis_tickets[[#This Row],[resolution_time_hours]]&gt;tbl_analysis_tickets[[#This Row],[Resolution SLA Hours]],"Breached","Within SLA")</f>
        <v>Within SLA</v>
      </c>
      <c r="N1072" t="str">
        <f>IF(tbl_analysis_tickets[[#This Row],[first_response_minutes]]&gt;tbl_analysis_tickets[[#This Row],[First Response SLA Minutes]],"Breached","Within SLA")</f>
        <v>Within SLA</v>
      </c>
      <c r="O1072" t="str" cm="1">
        <f t="array" ref="O1072">_xlfn.IFS(
tbl_analysis_tickets[[#This Row],[agent_experience_years]]&lt;=2,"Junior",
tbl_analysis_tickets[[#This Row],[agent_experience_years]]&lt;=5,"Mid-Level",
tbl_analysis_tickets[[#This Row],[agent_experience_years]]&lt;=8,"Senior",
tbl_analysis_tickets[[#This Row],[agent_experience_years]]&gt;8,"Expert"
)</f>
        <v>Senior</v>
      </c>
      <c r="P1072" cm="1">
        <f t="array" ref="P1072">_xlfn.SWITCH(tbl_analysis_tickets[[#This Row],[customer_satisfaction]],
"Low",1,
"Medium",2,
"High",3
)</f>
        <v>1</v>
      </c>
      <c r="Q1072">
        <f>IF(tbl_analysis_tickets[[#This Row],[reopened]]="Yes",1,0)</f>
        <v>1</v>
      </c>
      <c r="R1072" t="str" cm="1">
        <f t="array" ref="R1072">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072" t="str" cm="1">
        <f t="array" ref="S107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072" t="str">
        <f>TEXT(tbl_analysis_tickets[[#This Row],[created_date]],"mmm-yyyy")</f>
        <v>May-2024</v>
      </c>
      <c r="U1072" t="str">
        <f>TEXT(tbl_analysis_tickets[[#This Row],[created_date]],"dddd")</f>
        <v>Monday</v>
      </c>
      <c r="V1072" cm="1">
        <f t="array" ref="V1072">_xlfn.SWITCH(tbl_analysis_tickets[[#This Row],[priority]],
"Urgent",1,
"High",2,
"Medium",3,
"Low",4
)</f>
        <v>3</v>
      </c>
    </row>
    <row r="1073" spans="1:22" x14ac:dyDescent="0.25">
      <c r="A1073">
        <v>1072</v>
      </c>
      <c r="B1073" s="1">
        <v>45362</v>
      </c>
      <c r="C1073" t="s">
        <v>10</v>
      </c>
      <c r="D1073" t="s">
        <v>11</v>
      </c>
      <c r="E1073">
        <v>139</v>
      </c>
      <c r="F1073">
        <v>18</v>
      </c>
      <c r="G1073">
        <v>6.2</v>
      </c>
      <c r="H1073" t="s">
        <v>12</v>
      </c>
      <c r="I1073" t="s">
        <v>19</v>
      </c>
      <c r="J1073" t="s">
        <v>11</v>
      </c>
      <c r="K1073">
        <f>_xlfn.XLOOKUP(tbl_analysis_tickets[[#This Row],[priority]],tbl_sla[priority],tbl_sla[Resolution SLA Hours])</f>
        <v>72</v>
      </c>
      <c r="L1073">
        <f>_xlfn.XLOOKUP(tbl_analysis_tickets[[#This Row],[priority]],tbl_sla[priority],tbl_sla[First Response SLA Minutes])</f>
        <v>240</v>
      </c>
      <c r="M1073" t="str">
        <f>IF(tbl_analysis_tickets[[#This Row],[resolution_time_hours]]&gt;tbl_analysis_tickets[[#This Row],[Resolution SLA Hours]],"Breached","Within SLA")</f>
        <v>Within SLA</v>
      </c>
      <c r="N1073" t="str">
        <f>IF(tbl_analysis_tickets[[#This Row],[first_response_minutes]]&gt;tbl_analysis_tickets[[#This Row],[First Response SLA Minutes]],"Breached","Within SLA")</f>
        <v>Within SLA</v>
      </c>
      <c r="O1073" t="str" cm="1">
        <f t="array" ref="O1073">_xlfn.IFS(
tbl_analysis_tickets[[#This Row],[agent_experience_years]]&lt;=2,"Junior",
tbl_analysis_tickets[[#This Row],[agent_experience_years]]&lt;=5,"Mid-Level",
tbl_analysis_tickets[[#This Row],[agent_experience_years]]&lt;=8,"Senior",
tbl_analysis_tickets[[#This Row],[agent_experience_years]]&gt;8,"Expert"
)</f>
        <v>Senior</v>
      </c>
      <c r="P1073" cm="1">
        <f t="array" ref="P1073">_xlfn.SWITCH(tbl_analysis_tickets[[#This Row],[customer_satisfaction]],
"Low",1,
"Medium",2,
"High",3
)</f>
        <v>1</v>
      </c>
      <c r="Q1073">
        <f>IF(tbl_analysis_tickets[[#This Row],[reopened]]="Yes",1,0)</f>
        <v>1</v>
      </c>
      <c r="R1073" t="str" cm="1">
        <f t="array" ref="R1073">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073" t="str" cm="1">
        <f t="array" ref="S107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073" t="str">
        <f>TEXT(tbl_analysis_tickets[[#This Row],[created_date]],"mmm-yyyy")</f>
        <v>Mar-2024</v>
      </c>
      <c r="U1073" t="str">
        <f>TEXT(tbl_analysis_tickets[[#This Row],[created_date]],"dddd")</f>
        <v>Monday</v>
      </c>
      <c r="V1073" cm="1">
        <f t="array" ref="V1073">_xlfn.SWITCH(tbl_analysis_tickets[[#This Row],[priority]],
"Urgent",1,
"High",2,
"Medium",3,
"Low",4
)</f>
        <v>4</v>
      </c>
    </row>
    <row r="1074" spans="1:22" x14ac:dyDescent="0.25">
      <c r="A1074">
        <v>1073</v>
      </c>
      <c r="B1074" s="1">
        <v>45294</v>
      </c>
      <c r="C1074" t="s">
        <v>23</v>
      </c>
      <c r="D1074" t="s">
        <v>20</v>
      </c>
      <c r="E1074">
        <v>85</v>
      </c>
      <c r="F1074">
        <v>60</v>
      </c>
      <c r="G1074">
        <v>4.2</v>
      </c>
      <c r="H1074" t="s">
        <v>12</v>
      </c>
      <c r="I1074" t="s">
        <v>19</v>
      </c>
      <c r="J1074" t="s">
        <v>11</v>
      </c>
      <c r="K1074">
        <f>_xlfn.XLOOKUP(tbl_analysis_tickets[[#This Row],[priority]],tbl_sla[priority],tbl_sla[Resolution SLA Hours])</f>
        <v>24</v>
      </c>
      <c r="L1074">
        <f>_xlfn.XLOOKUP(tbl_analysis_tickets[[#This Row],[priority]],tbl_sla[priority],tbl_sla[First Response SLA Minutes])</f>
        <v>60</v>
      </c>
      <c r="M1074" t="str">
        <f>IF(tbl_analysis_tickets[[#This Row],[resolution_time_hours]]&gt;tbl_analysis_tickets[[#This Row],[Resolution SLA Hours]],"Breached","Within SLA")</f>
        <v>Breached</v>
      </c>
      <c r="N1074" t="str">
        <f>IF(tbl_analysis_tickets[[#This Row],[first_response_minutes]]&gt;tbl_analysis_tickets[[#This Row],[First Response SLA Minutes]],"Breached","Within SLA")</f>
        <v>Breached</v>
      </c>
      <c r="O1074" t="str" cm="1">
        <f t="array" ref="O1074">_xlfn.IFS(
tbl_analysis_tickets[[#This Row],[agent_experience_years]]&lt;=2,"Junior",
tbl_analysis_tickets[[#This Row],[agent_experience_years]]&lt;=5,"Mid-Level",
tbl_analysis_tickets[[#This Row],[agent_experience_years]]&lt;=8,"Senior",
tbl_analysis_tickets[[#This Row],[agent_experience_years]]&gt;8,"Expert"
)</f>
        <v>Mid-Level</v>
      </c>
      <c r="P1074" cm="1">
        <f t="array" ref="P1074">_xlfn.SWITCH(tbl_analysis_tickets[[#This Row],[customer_satisfaction]],
"Low",1,
"Medium",2,
"High",3
)</f>
        <v>1</v>
      </c>
      <c r="Q1074">
        <f>IF(tbl_analysis_tickets[[#This Row],[reopened]]="Yes",1,0)</f>
        <v>1</v>
      </c>
      <c r="R1074" t="str" cm="1">
        <f t="array" ref="R1074">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074" t="str" cm="1">
        <f t="array" ref="S107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074" t="str">
        <f>TEXT(tbl_analysis_tickets[[#This Row],[created_date]],"mmm-yyyy")</f>
        <v>Jan-2024</v>
      </c>
      <c r="U1074" t="str">
        <f>TEXT(tbl_analysis_tickets[[#This Row],[created_date]],"dddd")</f>
        <v>Wednesday</v>
      </c>
      <c r="V1074" cm="1">
        <f t="array" ref="V1074">_xlfn.SWITCH(tbl_analysis_tickets[[#This Row],[priority]],
"Urgent",1,
"High",2,
"Medium",3,
"Low",4
)</f>
        <v>2</v>
      </c>
    </row>
    <row r="1075" spans="1:22" x14ac:dyDescent="0.25">
      <c r="A1075">
        <v>1074</v>
      </c>
      <c r="B1075" s="1">
        <v>45530</v>
      </c>
      <c r="C1075" t="s">
        <v>21</v>
      </c>
      <c r="D1075" t="s">
        <v>20</v>
      </c>
      <c r="E1075">
        <v>235</v>
      </c>
      <c r="F1075">
        <v>45</v>
      </c>
      <c r="G1075">
        <v>5.7</v>
      </c>
      <c r="H1075" t="s">
        <v>12</v>
      </c>
      <c r="I1075" t="s">
        <v>13</v>
      </c>
      <c r="J1075" t="s">
        <v>11</v>
      </c>
      <c r="K1075">
        <f>_xlfn.XLOOKUP(tbl_analysis_tickets[[#This Row],[priority]],tbl_sla[priority],tbl_sla[Resolution SLA Hours])</f>
        <v>24</v>
      </c>
      <c r="L1075">
        <f>_xlfn.XLOOKUP(tbl_analysis_tickets[[#This Row],[priority]],tbl_sla[priority],tbl_sla[First Response SLA Minutes])</f>
        <v>60</v>
      </c>
      <c r="M1075" t="str">
        <f>IF(tbl_analysis_tickets[[#This Row],[resolution_time_hours]]&gt;tbl_analysis_tickets[[#This Row],[Resolution SLA Hours]],"Breached","Within SLA")</f>
        <v>Breached</v>
      </c>
      <c r="N1075" t="str">
        <f>IF(tbl_analysis_tickets[[#This Row],[first_response_minutes]]&gt;tbl_analysis_tickets[[#This Row],[First Response SLA Minutes]],"Breached","Within SLA")</f>
        <v>Breached</v>
      </c>
      <c r="O1075" t="str" cm="1">
        <f t="array" ref="O1075">_xlfn.IFS(
tbl_analysis_tickets[[#This Row],[agent_experience_years]]&lt;=2,"Junior",
tbl_analysis_tickets[[#This Row],[agent_experience_years]]&lt;=5,"Mid-Level",
tbl_analysis_tickets[[#This Row],[agent_experience_years]]&lt;=8,"Senior",
tbl_analysis_tickets[[#This Row],[agent_experience_years]]&gt;8,"Expert"
)</f>
        <v>Senior</v>
      </c>
      <c r="P1075" cm="1">
        <f t="array" ref="P1075">_xlfn.SWITCH(tbl_analysis_tickets[[#This Row],[customer_satisfaction]],
"Low",1,
"Medium",2,
"High",3
)</f>
        <v>1</v>
      </c>
      <c r="Q1075">
        <f>IF(tbl_analysis_tickets[[#This Row],[reopened]]="Yes",1,0)</f>
        <v>1</v>
      </c>
      <c r="R1075" t="str" cm="1">
        <f t="array" ref="R1075">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075" t="str" cm="1">
        <f t="array" ref="S107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075" t="str">
        <f>TEXT(tbl_analysis_tickets[[#This Row],[created_date]],"mmm-yyyy")</f>
        <v>Aug-2024</v>
      </c>
      <c r="U1075" t="str">
        <f>TEXT(tbl_analysis_tickets[[#This Row],[created_date]],"dddd")</f>
        <v>Monday</v>
      </c>
      <c r="V1075" cm="1">
        <f t="array" ref="V1075">_xlfn.SWITCH(tbl_analysis_tickets[[#This Row],[priority]],
"Urgent",1,
"High",2,
"Medium",3,
"Low",4
)</f>
        <v>2</v>
      </c>
    </row>
    <row r="1076" spans="1:22" x14ac:dyDescent="0.25">
      <c r="A1076">
        <v>1075</v>
      </c>
      <c r="B1076" s="1">
        <v>45565</v>
      </c>
      <c r="C1076" t="s">
        <v>14</v>
      </c>
      <c r="D1076" t="s">
        <v>17</v>
      </c>
      <c r="E1076">
        <v>206</v>
      </c>
      <c r="F1076">
        <v>43</v>
      </c>
      <c r="G1076">
        <v>5.7</v>
      </c>
      <c r="H1076" t="s">
        <v>18</v>
      </c>
      <c r="I1076" t="s">
        <v>19</v>
      </c>
      <c r="J1076" t="s">
        <v>11</v>
      </c>
      <c r="K1076">
        <f>_xlfn.XLOOKUP(tbl_analysis_tickets[[#This Row],[priority]],tbl_sla[priority],tbl_sla[Resolution SLA Hours])</f>
        <v>8</v>
      </c>
      <c r="L1076">
        <f>_xlfn.XLOOKUP(tbl_analysis_tickets[[#This Row],[priority]],tbl_sla[priority],tbl_sla[First Response SLA Minutes])</f>
        <v>30</v>
      </c>
      <c r="M1076" t="str">
        <f>IF(tbl_analysis_tickets[[#This Row],[resolution_time_hours]]&gt;tbl_analysis_tickets[[#This Row],[Resolution SLA Hours]],"Breached","Within SLA")</f>
        <v>Breached</v>
      </c>
      <c r="N1076" t="str">
        <f>IF(tbl_analysis_tickets[[#This Row],[first_response_minutes]]&gt;tbl_analysis_tickets[[#This Row],[First Response SLA Minutes]],"Breached","Within SLA")</f>
        <v>Breached</v>
      </c>
      <c r="O1076" t="str" cm="1">
        <f t="array" ref="O1076">_xlfn.IFS(
tbl_analysis_tickets[[#This Row],[agent_experience_years]]&lt;=2,"Junior",
tbl_analysis_tickets[[#This Row],[agent_experience_years]]&lt;=5,"Mid-Level",
tbl_analysis_tickets[[#This Row],[agent_experience_years]]&lt;=8,"Senior",
tbl_analysis_tickets[[#This Row],[agent_experience_years]]&gt;8,"Expert"
)</f>
        <v>Senior</v>
      </c>
      <c r="P1076" cm="1">
        <f t="array" ref="P1076">_xlfn.SWITCH(tbl_analysis_tickets[[#This Row],[customer_satisfaction]],
"Low",1,
"Medium",2,
"High",3
)</f>
        <v>1</v>
      </c>
      <c r="Q1076">
        <f>IF(tbl_analysis_tickets[[#This Row],[reopened]]="Yes",1,0)</f>
        <v>0</v>
      </c>
      <c r="R1076" t="str" cm="1">
        <f t="array" ref="R1076">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076" t="str" cm="1">
        <f t="array" ref="S107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076" t="str">
        <f>TEXT(tbl_analysis_tickets[[#This Row],[created_date]],"mmm-yyyy")</f>
        <v>Sep-2024</v>
      </c>
      <c r="U1076" t="str">
        <f>TEXT(tbl_analysis_tickets[[#This Row],[created_date]],"dddd")</f>
        <v>Monday</v>
      </c>
      <c r="V1076" cm="1">
        <f t="array" ref="V1076">_xlfn.SWITCH(tbl_analysis_tickets[[#This Row],[priority]],
"Urgent",1,
"High",2,
"Medium",3,
"Low",4
)</f>
        <v>1</v>
      </c>
    </row>
    <row r="1077" spans="1:22" x14ac:dyDescent="0.25">
      <c r="A1077">
        <v>1076</v>
      </c>
      <c r="B1077" s="1">
        <v>45511</v>
      </c>
      <c r="C1077" t="s">
        <v>22</v>
      </c>
      <c r="D1077" t="s">
        <v>17</v>
      </c>
      <c r="E1077">
        <v>240</v>
      </c>
      <c r="F1077">
        <v>54</v>
      </c>
      <c r="G1077">
        <v>1.7</v>
      </c>
      <c r="H1077" t="s">
        <v>18</v>
      </c>
      <c r="I1077" t="s">
        <v>19</v>
      </c>
      <c r="J1077" t="s">
        <v>11</v>
      </c>
      <c r="K1077">
        <f>_xlfn.XLOOKUP(tbl_analysis_tickets[[#This Row],[priority]],tbl_sla[priority],tbl_sla[Resolution SLA Hours])</f>
        <v>8</v>
      </c>
      <c r="L1077">
        <f>_xlfn.XLOOKUP(tbl_analysis_tickets[[#This Row],[priority]],tbl_sla[priority],tbl_sla[First Response SLA Minutes])</f>
        <v>30</v>
      </c>
      <c r="M1077" t="str">
        <f>IF(tbl_analysis_tickets[[#This Row],[resolution_time_hours]]&gt;tbl_analysis_tickets[[#This Row],[Resolution SLA Hours]],"Breached","Within SLA")</f>
        <v>Breached</v>
      </c>
      <c r="N1077" t="str">
        <f>IF(tbl_analysis_tickets[[#This Row],[first_response_minutes]]&gt;tbl_analysis_tickets[[#This Row],[First Response SLA Minutes]],"Breached","Within SLA")</f>
        <v>Breached</v>
      </c>
      <c r="O1077" t="str" cm="1">
        <f t="array" ref="O1077">_xlfn.IFS(
tbl_analysis_tickets[[#This Row],[agent_experience_years]]&lt;=2,"Junior",
tbl_analysis_tickets[[#This Row],[agent_experience_years]]&lt;=5,"Mid-Level",
tbl_analysis_tickets[[#This Row],[agent_experience_years]]&lt;=8,"Senior",
tbl_analysis_tickets[[#This Row],[agent_experience_years]]&gt;8,"Expert"
)</f>
        <v>Junior</v>
      </c>
      <c r="P1077" cm="1">
        <f t="array" ref="P1077">_xlfn.SWITCH(tbl_analysis_tickets[[#This Row],[customer_satisfaction]],
"Low",1,
"Medium",2,
"High",3
)</f>
        <v>1</v>
      </c>
      <c r="Q1077">
        <f>IF(tbl_analysis_tickets[[#This Row],[reopened]]="Yes",1,0)</f>
        <v>0</v>
      </c>
      <c r="R1077" t="str" cm="1">
        <f t="array" ref="R1077">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077" t="str" cm="1">
        <f t="array" ref="S107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077" t="str">
        <f>TEXT(tbl_analysis_tickets[[#This Row],[created_date]],"mmm-yyyy")</f>
        <v>Aug-2024</v>
      </c>
      <c r="U1077" t="str">
        <f>TEXT(tbl_analysis_tickets[[#This Row],[created_date]],"dddd")</f>
        <v>Wednesday</v>
      </c>
      <c r="V1077" cm="1">
        <f t="array" ref="V1077">_xlfn.SWITCH(tbl_analysis_tickets[[#This Row],[priority]],
"Urgent",1,
"High",2,
"Medium",3,
"Low",4
)</f>
        <v>1</v>
      </c>
    </row>
    <row r="1078" spans="1:22" x14ac:dyDescent="0.25">
      <c r="A1078">
        <v>1077</v>
      </c>
      <c r="B1078" s="1">
        <v>45575</v>
      </c>
      <c r="C1078" t="s">
        <v>23</v>
      </c>
      <c r="D1078" t="s">
        <v>11</v>
      </c>
      <c r="E1078">
        <v>200</v>
      </c>
      <c r="F1078">
        <v>33</v>
      </c>
      <c r="G1078">
        <v>4.2</v>
      </c>
      <c r="H1078" t="s">
        <v>18</v>
      </c>
      <c r="I1078" t="s">
        <v>13</v>
      </c>
      <c r="J1078" t="s">
        <v>11</v>
      </c>
      <c r="K1078">
        <f>_xlfn.XLOOKUP(tbl_analysis_tickets[[#This Row],[priority]],tbl_sla[priority],tbl_sla[Resolution SLA Hours])</f>
        <v>72</v>
      </c>
      <c r="L1078">
        <f>_xlfn.XLOOKUP(tbl_analysis_tickets[[#This Row],[priority]],tbl_sla[priority],tbl_sla[First Response SLA Minutes])</f>
        <v>240</v>
      </c>
      <c r="M1078" t="str">
        <f>IF(tbl_analysis_tickets[[#This Row],[resolution_time_hours]]&gt;tbl_analysis_tickets[[#This Row],[Resolution SLA Hours]],"Breached","Within SLA")</f>
        <v>Within SLA</v>
      </c>
      <c r="N1078" t="str">
        <f>IF(tbl_analysis_tickets[[#This Row],[first_response_minutes]]&gt;tbl_analysis_tickets[[#This Row],[First Response SLA Minutes]],"Breached","Within SLA")</f>
        <v>Within SLA</v>
      </c>
      <c r="O1078" t="str" cm="1">
        <f t="array" ref="O1078">_xlfn.IFS(
tbl_analysis_tickets[[#This Row],[agent_experience_years]]&lt;=2,"Junior",
tbl_analysis_tickets[[#This Row],[agent_experience_years]]&lt;=5,"Mid-Level",
tbl_analysis_tickets[[#This Row],[agent_experience_years]]&lt;=8,"Senior",
tbl_analysis_tickets[[#This Row],[agent_experience_years]]&gt;8,"Expert"
)</f>
        <v>Mid-Level</v>
      </c>
      <c r="P1078" cm="1">
        <f t="array" ref="P1078">_xlfn.SWITCH(tbl_analysis_tickets[[#This Row],[customer_satisfaction]],
"Low",1,
"Medium",2,
"High",3
)</f>
        <v>1</v>
      </c>
      <c r="Q1078">
        <f>IF(tbl_analysis_tickets[[#This Row],[reopened]]="Yes",1,0)</f>
        <v>0</v>
      </c>
      <c r="R1078" t="str" cm="1">
        <f t="array" ref="R1078">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078" t="str" cm="1">
        <f t="array" ref="S107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078" t="str">
        <f>TEXT(tbl_analysis_tickets[[#This Row],[created_date]],"mmm-yyyy")</f>
        <v>Oct-2024</v>
      </c>
      <c r="U1078" t="str">
        <f>TEXT(tbl_analysis_tickets[[#This Row],[created_date]],"dddd")</f>
        <v>Thursday</v>
      </c>
      <c r="V1078" cm="1">
        <f t="array" ref="V1078">_xlfn.SWITCH(tbl_analysis_tickets[[#This Row],[priority]],
"Urgent",1,
"High",2,
"Medium",3,
"Low",4
)</f>
        <v>4</v>
      </c>
    </row>
    <row r="1079" spans="1:22" x14ac:dyDescent="0.25">
      <c r="A1079">
        <v>1078</v>
      </c>
      <c r="B1079" s="1">
        <v>45540</v>
      </c>
      <c r="C1079" t="s">
        <v>23</v>
      </c>
      <c r="D1079" t="s">
        <v>15</v>
      </c>
      <c r="E1079">
        <v>75</v>
      </c>
      <c r="F1079">
        <v>33</v>
      </c>
      <c r="G1079">
        <v>2.2999999999999998</v>
      </c>
      <c r="H1079" t="s">
        <v>18</v>
      </c>
      <c r="I1079" t="s">
        <v>13</v>
      </c>
      <c r="J1079" t="s">
        <v>11</v>
      </c>
      <c r="K1079">
        <f>_xlfn.XLOOKUP(tbl_analysis_tickets[[#This Row],[priority]],tbl_sla[priority],tbl_sla[Resolution SLA Hours])</f>
        <v>48</v>
      </c>
      <c r="L1079">
        <f>_xlfn.XLOOKUP(tbl_analysis_tickets[[#This Row],[priority]],tbl_sla[priority],tbl_sla[First Response SLA Minutes])</f>
        <v>120</v>
      </c>
      <c r="M1079" t="str">
        <f>IF(tbl_analysis_tickets[[#This Row],[resolution_time_hours]]&gt;tbl_analysis_tickets[[#This Row],[Resolution SLA Hours]],"Breached","Within SLA")</f>
        <v>Within SLA</v>
      </c>
      <c r="N1079" t="str">
        <f>IF(tbl_analysis_tickets[[#This Row],[first_response_minutes]]&gt;tbl_analysis_tickets[[#This Row],[First Response SLA Minutes]],"Breached","Within SLA")</f>
        <v>Within SLA</v>
      </c>
      <c r="O1079" t="str" cm="1">
        <f t="array" ref="O1079">_xlfn.IFS(
tbl_analysis_tickets[[#This Row],[agent_experience_years]]&lt;=2,"Junior",
tbl_analysis_tickets[[#This Row],[agent_experience_years]]&lt;=5,"Mid-Level",
tbl_analysis_tickets[[#This Row],[agent_experience_years]]&lt;=8,"Senior",
tbl_analysis_tickets[[#This Row],[agent_experience_years]]&gt;8,"Expert"
)</f>
        <v>Mid-Level</v>
      </c>
      <c r="P1079" cm="1">
        <f t="array" ref="P1079">_xlfn.SWITCH(tbl_analysis_tickets[[#This Row],[customer_satisfaction]],
"Low",1,
"Medium",2,
"High",3
)</f>
        <v>1</v>
      </c>
      <c r="Q1079">
        <f>IF(tbl_analysis_tickets[[#This Row],[reopened]]="Yes",1,0)</f>
        <v>0</v>
      </c>
      <c r="R1079" t="str" cm="1">
        <f t="array" ref="R1079">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079" t="str" cm="1">
        <f t="array" ref="S107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079" t="str">
        <f>TEXT(tbl_analysis_tickets[[#This Row],[created_date]],"mmm-yyyy")</f>
        <v>Sep-2024</v>
      </c>
      <c r="U1079" t="str">
        <f>TEXT(tbl_analysis_tickets[[#This Row],[created_date]],"dddd")</f>
        <v>Thursday</v>
      </c>
      <c r="V1079" cm="1">
        <f t="array" ref="V1079">_xlfn.SWITCH(tbl_analysis_tickets[[#This Row],[priority]],
"Urgent",1,
"High",2,
"Medium",3,
"Low",4
)</f>
        <v>3</v>
      </c>
    </row>
    <row r="1080" spans="1:22" x14ac:dyDescent="0.25">
      <c r="A1080">
        <v>1079</v>
      </c>
      <c r="B1080" s="1">
        <v>45361</v>
      </c>
      <c r="C1080" t="s">
        <v>23</v>
      </c>
      <c r="D1080" t="s">
        <v>11</v>
      </c>
      <c r="E1080">
        <v>49</v>
      </c>
      <c r="F1080">
        <v>40</v>
      </c>
      <c r="G1080">
        <v>2</v>
      </c>
      <c r="H1080" t="s">
        <v>12</v>
      </c>
      <c r="I1080" t="s">
        <v>16</v>
      </c>
      <c r="J1080" t="s">
        <v>11</v>
      </c>
      <c r="K1080">
        <f>_xlfn.XLOOKUP(tbl_analysis_tickets[[#This Row],[priority]],tbl_sla[priority],tbl_sla[Resolution SLA Hours])</f>
        <v>72</v>
      </c>
      <c r="L1080">
        <f>_xlfn.XLOOKUP(tbl_analysis_tickets[[#This Row],[priority]],tbl_sla[priority],tbl_sla[First Response SLA Minutes])</f>
        <v>240</v>
      </c>
      <c r="M1080" t="str">
        <f>IF(tbl_analysis_tickets[[#This Row],[resolution_time_hours]]&gt;tbl_analysis_tickets[[#This Row],[Resolution SLA Hours]],"Breached","Within SLA")</f>
        <v>Within SLA</v>
      </c>
      <c r="N1080" t="str">
        <f>IF(tbl_analysis_tickets[[#This Row],[first_response_minutes]]&gt;tbl_analysis_tickets[[#This Row],[First Response SLA Minutes]],"Breached","Within SLA")</f>
        <v>Within SLA</v>
      </c>
      <c r="O1080" t="str" cm="1">
        <f t="array" ref="O1080">_xlfn.IFS(
tbl_analysis_tickets[[#This Row],[agent_experience_years]]&lt;=2,"Junior",
tbl_analysis_tickets[[#This Row],[agent_experience_years]]&lt;=5,"Mid-Level",
tbl_analysis_tickets[[#This Row],[agent_experience_years]]&lt;=8,"Senior",
tbl_analysis_tickets[[#This Row],[agent_experience_years]]&gt;8,"Expert"
)</f>
        <v>Junior</v>
      </c>
      <c r="P1080" cm="1">
        <f t="array" ref="P1080">_xlfn.SWITCH(tbl_analysis_tickets[[#This Row],[customer_satisfaction]],
"Low",1,
"Medium",2,
"High",3
)</f>
        <v>1</v>
      </c>
      <c r="Q1080">
        <f>IF(tbl_analysis_tickets[[#This Row],[reopened]]="Yes",1,0)</f>
        <v>1</v>
      </c>
      <c r="R1080" t="str" cm="1">
        <f t="array" ref="R1080">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080" t="str" cm="1">
        <f t="array" ref="S108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080" t="str">
        <f>TEXT(tbl_analysis_tickets[[#This Row],[created_date]],"mmm-yyyy")</f>
        <v>Mar-2024</v>
      </c>
      <c r="U1080" t="str">
        <f>TEXT(tbl_analysis_tickets[[#This Row],[created_date]],"dddd")</f>
        <v>Sunday</v>
      </c>
      <c r="V1080" cm="1">
        <f t="array" ref="V1080">_xlfn.SWITCH(tbl_analysis_tickets[[#This Row],[priority]],
"Urgent",1,
"High",2,
"Medium",3,
"Low",4
)</f>
        <v>4</v>
      </c>
    </row>
    <row r="1081" spans="1:22" x14ac:dyDescent="0.25">
      <c r="A1081">
        <v>1080</v>
      </c>
      <c r="B1081" s="1">
        <v>45533</v>
      </c>
      <c r="C1081" t="s">
        <v>14</v>
      </c>
      <c r="D1081" t="s">
        <v>11</v>
      </c>
      <c r="E1081">
        <v>80</v>
      </c>
      <c r="F1081">
        <v>24</v>
      </c>
      <c r="G1081">
        <v>6.6</v>
      </c>
      <c r="H1081" t="s">
        <v>18</v>
      </c>
      <c r="I1081" t="s">
        <v>16</v>
      </c>
      <c r="J1081" t="s">
        <v>15</v>
      </c>
      <c r="K1081">
        <f>_xlfn.XLOOKUP(tbl_analysis_tickets[[#This Row],[priority]],tbl_sla[priority],tbl_sla[Resolution SLA Hours])</f>
        <v>72</v>
      </c>
      <c r="L1081">
        <f>_xlfn.XLOOKUP(tbl_analysis_tickets[[#This Row],[priority]],tbl_sla[priority],tbl_sla[First Response SLA Minutes])</f>
        <v>240</v>
      </c>
      <c r="M1081" t="str">
        <f>IF(tbl_analysis_tickets[[#This Row],[resolution_time_hours]]&gt;tbl_analysis_tickets[[#This Row],[Resolution SLA Hours]],"Breached","Within SLA")</f>
        <v>Within SLA</v>
      </c>
      <c r="N1081" t="str">
        <f>IF(tbl_analysis_tickets[[#This Row],[first_response_minutes]]&gt;tbl_analysis_tickets[[#This Row],[First Response SLA Minutes]],"Breached","Within SLA")</f>
        <v>Within SLA</v>
      </c>
      <c r="O1081" t="str" cm="1">
        <f t="array" ref="O1081">_xlfn.IFS(
tbl_analysis_tickets[[#This Row],[agent_experience_years]]&lt;=2,"Junior",
tbl_analysis_tickets[[#This Row],[agent_experience_years]]&lt;=5,"Mid-Level",
tbl_analysis_tickets[[#This Row],[agent_experience_years]]&lt;=8,"Senior",
tbl_analysis_tickets[[#This Row],[agent_experience_years]]&gt;8,"Expert"
)</f>
        <v>Senior</v>
      </c>
      <c r="P1081" cm="1">
        <f t="array" ref="P1081">_xlfn.SWITCH(tbl_analysis_tickets[[#This Row],[customer_satisfaction]],
"Low",1,
"Medium",2,
"High",3
)</f>
        <v>2</v>
      </c>
      <c r="Q1081">
        <f>IF(tbl_analysis_tickets[[#This Row],[reopened]]="Yes",1,0)</f>
        <v>0</v>
      </c>
      <c r="R1081" t="str" cm="1">
        <f t="array" ref="R1081">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081" t="str" cm="1">
        <f t="array" ref="S108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081" t="str">
        <f>TEXT(tbl_analysis_tickets[[#This Row],[created_date]],"mmm-yyyy")</f>
        <v>Aug-2024</v>
      </c>
      <c r="U1081" t="str">
        <f>TEXT(tbl_analysis_tickets[[#This Row],[created_date]],"dddd")</f>
        <v>Thursday</v>
      </c>
      <c r="V1081" cm="1">
        <f t="array" ref="V1081">_xlfn.SWITCH(tbl_analysis_tickets[[#This Row],[priority]],
"Urgent",1,
"High",2,
"Medium",3,
"Low",4
)</f>
        <v>4</v>
      </c>
    </row>
    <row r="1082" spans="1:22" x14ac:dyDescent="0.25">
      <c r="A1082">
        <v>1081</v>
      </c>
      <c r="B1082" s="1">
        <v>45385</v>
      </c>
      <c r="C1082" t="s">
        <v>14</v>
      </c>
      <c r="D1082" t="s">
        <v>15</v>
      </c>
      <c r="E1082">
        <v>131</v>
      </c>
      <c r="F1082">
        <v>60</v>
      </c>
      <c r="G1082">
        <v>6.6</v>
      </c>
      <c r="H1082" t="s">
        <v>18</v>
      </c>
      <c r="I1082" t="s">
        <v>16</v>
      </c>
      <c r="J1082" t="s">
        <v>15</v>
      </c>
      <c r="K1082">
        <f>_xlfn.XLOOKUP(tbl_analysis_tickets[[#This Row],[priority]],tbl_sla[priority],tbl_sla[Resolution SLA Hours])</f>
        <v>48</v>
      </c>
      <c r="L1082">
        <f>_xlfn.XLOOKUP(tbl_analysis_tickets[[#This Row],[priority]],tbl_sla[priority],tbl_sla[First Response SLA Minutes])</f>
        <v>120</v>
      </c>
      <c r="M1082" t="str">
        <f>IF(tbl_analysis_tickets[[#This Row],[resolution_time_hours]]&gt;tbl_analysis_tickets[[#This Row],[Resolution SLA Hours]],"Breached","Within SLA")</f>
        <v>Breached</v>
      </c>
      <c r="N1082" t="str">
        <f>IF(tbl_analysis_tickets[[#This Row],[first_response_minutes]]&gt;tbl_analysis_tickets[[#This Row],[First Response SLA Minutes]],"Breached","Within SLA")</f>
        <v>Breached</v>
      </c>
      <c r="O1082" t="str" cm="1">
        <f t="array" ref="O1082">_xlfn.IFS(
tbl_analysis_tickets[[#This Row],[agent_experience_years]]&lt;=2,"Junior",
tbl_analysis_tickets[[#This Row],[agent_experience_years]]&lt;=5,"Mid-Level",
tbl_analysis_tickets[[#This Row],[agent_experience_years]]&lt;=8,"Senior",
tbl_analysis_tickets[[#This Row],[agent_experience_years]]&gt;8,"Expert"
)</f>
        <v>Senior</v>
      </c>
      <c r="P1082" cm="1">
        <f t="array" ref="P1082">_xlfn.SWITCH(tbl_analysis_tickets[[#This Row],[customer_satisfaction]],
"Low",1,
"Medium",2,
"High",3
)</f>
        <v>2</v>
      </c>
      <c r="Q1082">
        <f>IF(tbl_analysis_tickets[[#This Row],[reopened]]="Yes",1,0)</f>
        <v>0</v>
      </c>
      <c r="R1082" t="str" cm="1">
        <f t="array" ref="R1082">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082" t="str" cm="1">
        <f t="array" ref="S108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082" t="str">
        <f>TEXT(tbl_analysis_tickets[[#This Row],[created_date]],"mmm-yyyy")</f>
        <v>Apr-2024</v>
      </c>
      <c r="U1082" t="str">
        <f>TEXT(tbl_analysis_tickets[[#This Row],[created_date]],"dddd")</f>
        <v>Wednesday</v>
      </c>
      <c r="V1082" cm="1">
        <f t="array" ref="V1082">_xlfn.SWITCH(tbl_analysis_tickets[[#This Row],[priority]],
"Urgent",1,
"High",2,
"Medium",3,
"Low",4
)</f>
        <v>3</v>
      </c>
    </row>
    <row r="1083" spans="1:22" x14ac:dyDescent="0.25">
      <c r="A1083">
        <v>1082</v>
      </c>
      <c r="B1083" s="1">
        <v>45539</v>
      </c>
      <c r="C1083" t="s">
        <v>22</v>
      </c>
      <c r="D1083" t="s">
        <v>15</v>
      </c>
      <c r="E1083">
        <v>46</v>
      </c>
      <c r="F1083">
        <v>58</v>
      </c>
      <c r="G1083">
        <v>1.4</v>
      </c>
      <c r="H1083" t="s">
        <v>12</v>
      </c>
      <c r="I1083" t="s">
        <v>16</v>
      </c>
      <c r="J1083" t="s">
        <v>11</v>
      </c>
      <c r="K1083">
        <f>_xlfn.XLOOKUP(tbl_analysis_tickets[[#This Row],[priority]],tbl_sla[priority],tbl_sla[Resolution SLA Hours])</f>
        <v>48</v>
      </c>
      <c r="L1083">
        <f>_xlfn.XLOOKUP(tbl_analysis_tickets[[#This Row],[priority]],tbl_sla[priority],tbl_sla[First Response SLA Minutes])</f>
        <v>120</v>
      </c>
      <c r="M1083" t="str">
        <f>IF(tbl_analysis_tickets[[#This Row],[resolution_time_hours]]&gt;tbl_analysis_tickets[[#This Row],[Resolution SLA Hours]],"Breached","Within SLA")</f>
        <v>Breached</v>
      </c>
      <c r="N1083" t="str">
        <f>IF(tbl_analysis_tickets[[#This Row],[first_response_minutes]]&gt;tbl_analysis_tickets[[#This Row],[First Response SLA Minutes]],"Breached","Within SLA")</f>
        <v>Within SLA</v>
      </c>
      <c r="O1083" t="str" cm="1">
        <f t="array" ref="O1083">_xlfn.IFS(
tbl_analysis_tickets[[#This Row],[agent_experience_years]]&lt;=2,"Junior",
tbl_analysis_tickets[[#This Row],[agent_experience_years]]&lt;=5,"Mid-Level",
tbl_analysis_tickets[[#This Row],[agent_experience_years]]&lt;=8,"Senior",
tbl_analysis_tickets[[#This Row],[agent_experience_years]]&gt;8,"Expert"
)</f>
        <v>Junior</v>
      </c>
      <c r="P1083" cm="1">
        <f t="array" ref="P1083">_xlfn.SWITCH(tbl_analysis_tickets[[#This Row],[customer_satisfaction]],
"Low",1,
"Medium",2,
"High",3
)</f>
        <v>1</v>
      </c>
      <c r="Q1083">
        <f>IF(tbl_analysis_tickets[[#This Row],[reopened]]="Yes",1,0)</f>
        <v>1</v>
      </c>
      <c r="R1083" t="str" cm="1">
        <f t="array" ref="R1083">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083" t="str" cm="1">
        <f t="array" ref="S108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083" t="str">
        <f>TEXT(tbl_analysis_tickets[[#This Row],[created_date]],"mmm-yyyy")</f>
        <v>Sep-2024</v>
      </c>
      <c r="U1083" t="str">
        <f>TEXT(tbl_analysis_tickets[[#This Row],[created_date]],"dddd")</f>
        <v>Wednesday</v>
      </c>
      <c r="V1083" cm="1">
        <f t="array" ref="V1083">_xlfn.SWITCH(tbl_analysis_tickets[[#This Row],[priority]],
"Urgent",1,
"High",2,
"Medium",3,
"Low",4
)</f>
        <v>3</v>
      </c>
    </row>
    <row r="1084" spans="1:22" x14ac:dyDescent="0.25">
      <c r="A1084">
        <v>1083</v>
      </c>
      <c r="B1084" s="1">
        <v>45425</v>
      </c>
      <c r="C1084" t="s">
        <v>22</v>
      </c>
      <c r="D1084" t="s">
        <v>17</v>
      </c>
      <c r="E1084">
        <v>39</v>
      </c>
      <c r="F1084">
        <v>11</v>
      </c>
      <c r="G1084">
        <v>8.6999999999999993</v>
      </c>
      <c r="H1084" t="s">
        <v>18</v>
      </c>
      <c r="I1084" t="s">
        <v>19</v>
      </c>
      <c r="J1084" t="s">
        <v>11</v>
      </c>
      <c r="K1084">
        <f>_xlfn.XLOOKUP(tbl_analysis_tickets[[#This Row],[priority]],tbl_sla[priority],tbl_sla[Resolution SLA Hours])</f>
        <v>8</v>
      </c>
      <c r="L1084">
        <f>_xlfn.XLOOKUP(tbl_analysis_tickets[[#This Row],[priority]],tbl_sla[priority],tbl_sla[First Response SLA Minutes])</f>
        <v>30</v>
      </c>
      <c r="M1084" t="str">
        <f>IF(tbl_analysis_tickets[[#This Row],[resolution_time_hours]]&gt;tbl_analysis_tickets[[#This Row],[Resolution SLA Hours]],"Breached","Within SLA")</f>
        <v>Breached</v>
      </c>
      <c r="N1084" t="str">
        <f>IF(tbl_analysis_tickets[[#This Row],[first_response_minutes]]&gt;tbl_analysis_tickets[[#This Row],[First Response SLA Minutes]],"Breached","Within SLA")</f>
        <v>Breached</v>
      </c>
      <c r="O1084" t="str" cm="1">
        <f t="array" ref="O1084">_xlfn.IFS(
tbl_analysis_tickets[[#This Row],[agent_experience_years]]&lt;=2,"Junior",
tbl_analysis_tickets[[#This Row],[agent_experience_years]]&lt;=5,"Mid-Level",
tbl_analysis_tickets[[#This Row],[agent_experience_years]]&lt;=8,"Senior",
tbl_analysis_tickets[[#This Row],[agent_experience_years]]&gt;8,"Expert"
)</f>
        <v>Expert</v>
      </c>
      <c r="P1084" cm="1">
        <f t="array" ref="P1084">_xlfn.SWITCH(tbl_analysis_tickets[[#This Row],[customer_satisfaction]],
"Low",1,
"Medium",2,
"High",3
)</f>
        <v>1</v>
      </c>
      <c r="Q1084">
        <f>IF(tbl_analysis_tickets[[#This Row],[reopened]]="Yes",1,0)</f>
        <v>0</v>
      </c>
      <c r="R1084" t="str" cm="1">
        <f t="array" ref="R1084">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084" t="str" cm="1">
        <f t="array" ref="S108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084" t="str">
        <f>TEXT(tbl_analysis_tickets[[#This Row],[created_date]],"mmm-yyyy")</f>
        <v>May-2024</v>
      </c>
      <c r="U1084" t="str">
        <f>TEXT(tbl_analysis_tickets[[#This Row],[created_date]],"dddd")</f>
        <v>Monday</v>
      </c>
      <c r="V1084" cm="1">
        <f t="array" ref="V1084">_xlfn.SWITCH(tbl_analysis_tickets[[#This Row],[priority]],
"Urgent",1,
"High",2,
"Medium",3,
"Low",4
)</f>
        <v>1</v>
      </c>
    </row>
    <row r="1085" spans="1:22" x14ac:dyDescent="0.25">
      <c r="A1085">
        <v>1084</v>
      </c>
      <c r="B1085" s="1">
        <v>45323</v>
      </c>
      <c r="C1085" t="s">
        <v>10</v>
      </c>
      <c r="D1085" t="s">
        <v>11</v>
      </c>
      <c r="E1085">
        <v>149</v>
      </c>
      <c r="F1085">
        <v>21</v>
      </c>
      <c r="G1085">
        <v>8.6</v>
      </c>
      <c r="H1085" t="s">
        <v>18</v>
      </c>
      <c r="I1085" t="s">
        <v>19</v>
      </c>
      <c r="J1085" t="s">
        <v>15</v>
      </c>
      <c r="K1085">
        <f>_xlfn.XLOOKUP(tbl_analysis_tickets[[#This Row],[priority]],tbl_sla[priority],tbl_sla[Resolution SLA Hours])</f>
        <v>72</v>
      </c>
      <c r="L1085">
        <f>_xlfn.XLOOKUP(tbl_analysis_tickets[[#This Row],[priority]],tbl_sla[priority],tbl_sla[First Response SLA Minutes])</f>
        <v>240</v>
      </c>
      <c r="M1085" t="str">
        <f>IF(tbl_analysis_tickets[[#This Row],[resolution_time_hours]]&gt;tbl_analysis_tickets[[#This Row],[Resolution SLA Hours]],"Breached","Within SLA")</f>
        <v>Within SLA</v>
      </c>
      <c r="N1085" t="str">
        <f>IF(tbl_analysis_tickets[[#This Row],[first_response_minutes]]&gt;tbl_analysis_tickets[[#This Row],[First Response SLA Minutes]],"Breached","Within SLA")</f>
        <v>Within SLA</v>
      </c>
      <c r="O1085" t="str" cm="1">
        <f t="array" ref="O1085">_xlfn.IFS(
tbl_analysis_tickets[[#This Row],[agent_experience_years]]&lt;=2,"Junior",
tbl_analysis_tickets[[#This Row],[agent_experience_years]]&lt;=5,"Mid-Level",
tbl_analysis_tickets[[#This Row],[agent_experience_years]]&lt;=8,"Senior",
tbl_analysis_tickets[[#This Row],[agent_experience_years]]&gt;8,"Expert"
)</f>
        <v>Expert</v>
      </c>
      <c r="P1085" cm="1">
        <f t="array" ref="P1085">_xlfn.SWITCH(tbl_analysis_tickets[[#This Row],[customer_satisfaction]],
"Low",1,
"Medium",2,
"High",3
)</f>
        <v>2</v>
      </c>
      <c r="Q1085">
        <f>IF(tbl_analysis_tickets[[#This Row],[reopened]]="Yes",1,0)</f>
        <v>0</v>
      </c>
      <c r="R1085" t="str" cm="1">
        <f t="array" ref="R1085">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085" t="str" cm="1">
        <f t="array" ref="S108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085" t="str">
        <f>TEXT(tbl_analysis_tickets[[#This Row],[created_date]],"mmm-yyyy")</f>
        <v>Feb-2024</v>
      </c>
      <c r="U1085" t="str">
        <f>TEXT(tbl_analysis_tickets[[#This Row],[created_date]],"dddd")</f>
        <v>Thursday</v>
      </c>
      <c r="V1085" cm="1">
        <f t="array" ref="V1085">_xlfn.SWITCH(tbl_analysis_tickets[[#This Row],[priority]],
"Urgent",1,
"High",2,
"Medium",3,
"Low",4
)</f>
        <v>4</v>
      </c>
    </row>
    <row r="1086" spans="1:22" x14ac:dyDescent="0.25">
      <c r="A1086">
        <v>1085</v>
      </c>
      <c r="B1086" s="1">
        <v>45552</v>
      </c>
      <c r="C1086" t="s">
        <v>14</v>
      </c>
      <c r="D1086" t="s">
        <v>17</v>
      </c>
      <c r="E1086">
        <v>117</v>
      </c>
      <c r="F1086">
        <v>71</v>
      </c>
      <c r="G1086">
        <v>6.9</v>
      </c>
      <c r="H1086" t="s">
        <v>12</v>
      </c>
      <c r="I1086" t="s">
        <v>16</v>
      </c>
      <c r="J1086" t="s">
        <v>11</v>
      </c>
      <c r="K1086">
        <f>_xlfn.XLOOKUP(tbl_analysis_tickets[[#This Row],[priority]],tbl_sla[priority],tbl_sla[Resolution SLA Hours])</f>
        <v>8</v>
      </c>
      <c r="L1086">
        <f>_xlfn.XLOOKUP(tbl_analysis_tickets[[#This Row],[priority]],tbl_sla[priority],tbl_sla[First Response SLA Minutes])</f>
        <v>30</v>
      </c>
      <c r="M1086" t="str">
        <f>IF(tbl_analysis_tickets[[#This Row],[resolution_time_hours]]&gt;tbl_analysis_tickets[[#This Row],[Resolution SLA Hours]],"Breached","Within SLA")</f>
        <v>Breached</v>
      </c>
      <c r="N1086" t="str">
        <f>IF(tbl_analysis_tickets[[#This Row],[first_response_minutes]]&gt;tbl_analysis_tickets[[#This Row],[First Response SLA Minutes]],"Breached","Within SLA")</f>
        <v>Breached</v>
      </c>
      <c r="O1086" t="str" cm="1">
        <f t="array" ref="O1086">_xlfn.IFS(
tbl_analysis_tickets[[#This Row],[agent_experience_years]]&lt;=2,"Junior",
tbl_analysis_tickets[[#This Row],[agent_experience_years]]&lt;=5,"Mid-Level",
tbl_analysis_tickets[[#This Row],[agent_experience_years]]&lt;=8,"Senior",
tbl_analysis_tickets[[#This Row],[agent_experience_years]]&gt;8,"Expert"
)</f>
        <v>Senior</v>
      </c>
      <c r="P1086" cm="1">
        <f t="array" ref="P1086">_xlfn.SWITCH(tbl_analysis_tickets[[#This Row],[customer_satisfaction]],
"Low",1,
"Medium",2,
"High",3
)</f>
        <v>1</v>
      </c>
      <c r="Q1086">
        <f>IF(tbl_analysis_tickets[[#This Row],[reopened]]="Yes",1,0)</f>
        <v>1</v>
      </c>
      <c r="R1086" t="str" cm="1">
        <f t="array" ref="R1086">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086" t="str" cm="1">
        <f t="array" ref="S108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086" t="str">
        <f>TEXT(tbl_analysis_tickets[[#This Row],[created_date]],"mmm-yyyy")</f>
        <v>Sep-2024</v>
      </c>
      <c r="U1086" t="str">
        <f>TEXT(tbl_analysis_tickets[[#This Row],[created_date]],"dddd")</f>
        <v>Tuesday</v>
      </c>
      <c r="V1086" cm="1">
        <f t="array" ref="V1086">_xlfn.SWITCH(tbl_analysis_tickets[[#This Row],[priority]],
"Urgent",1,
"High",2,
"Medium",3,
"Low",4
)</f>
        <v>1</v>
      </c>
    </row>
    <row r="1087" spans="1:22" x14ac:dyDescent="0.25">
      <c r="A1087">
        <v>1086</v>
      </c>
      <c r="B1087" s="1">
        <v>45596</v>
      </c>
      <c r="C1087" t="s">
        <v>10</v>
      </c>
      <c r="D1087" t="s">
        <v>15</v>
      </c>
      <c r="E1087">
        <v>9</v>
      </c>
      <c r="F1087">
        <v>34</v>
      </c>
      <c r="G1087">
        <v>7.1</v>
      </c>
      <c r="H1087" t="s">
        <v>12</v>
      </c>
      <c r="I1087" t="s">
        <v>13</v>
      </c>
      <c r="J1087" t="s">
        <v>15</v>
      </c>
      <c r="K1087">
        <f>_xlfn.XLOOKUP(tbl_analysis_tickets[[#This Row],[priority]],tbl_sla[priority],tbl_sla[Resolution SLA Hours])</f>
        <v>48</v>
      </c>
      <c r="L1087">
        <f>_xlfn.XLOOKUP(tbl_analysis_tickets[[#This Row],[priority]],tbl_sla[priority],tbl_sla[First Response SLA Minutes])</f>
        <v>120</v>
      </c>
      <c r="M1087" t="str">
        <f>IF(tbl_analysis_tickets[[#This Row],[resolution_time_hours]]&gt;tbl_analysis_tickets[[#This Row],[Resolution SLA Hours]],"Breached","Within SLA")</f>
        <v>Within SLA</v>
      </c>
      <c r="N1087" t="str">
        <f>IF(tbl_analysis_tickets[[#This Row],[first_response_minutes]]&gt;tbl_analysis_tickets[[#This Row],[First Response SLA Minutes]],"Breached","Within SLA")</f>
        <v>Within SLA</v>
      </c>
      <c r="O1087" t="str" cm="1">
        <f t="array" ref="O1087">_xlfn.IFS(
tbl_analysis_tickets[[#This Row],[agent_experience_years]]&lt;=2,"Junior",
tbl_analysis_tickets[[#This Row],[agent_experience_years]]&lt;=5,"Mid-Level",
tbl_analysis_tickets[[#This Row],[agent_experience_years]]&lt;=8,"Senior",
tbl_analysis_tickets[[#This Row],[agent_experience_years]]&gt;8,"Expert"
)</f>
        <v>Senior</v>
      </c>
      <c r="P1087" cm="1">
        <f t="array" ref="P1087">_xlfn.SWITCH(tbl_analysis_tickets[[#This Row],[customer_satisfaction]],
"Low",1,
"Medium",2,
"High",3
)</f>
        <v>2</v>
      </c>
      <c r="Q1087">
        <f>IF(tbl_analysis_tickets[[#This Row],[reopened]]="Yes",1,0)</f>
        <v>1</v>
      </c>
      <c r="R1087" t="str" cm="1">
        <f t="array" ref="R1087">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1087" t="str" cm="1">
        <f t="array" ref="S108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087" t="str">
        <f>TEXT(tbl_analysis_tickets[[#This Row],[created_date]],"mmm-yyyy")</f>
        <v>Oct-2024</v>
      </c>
      <c r="U1087" t="str">
        <f>TEXT(tbl_analysis_tickets[[#This Row],[created_date]],"dddd")</f>
        <v>Thursday</v>
      </c>
      <c r="V1087" cm="1">
        <f t="array" ref="V1087">_xlfn.SWITCH(tbl_analysis_tickets[[#This Row],[priority]],
"Urgent",1,
"High",2,
"Medium",3,
"Low",4
)</f>
        <v>3</v>
      </c>
    </row>
    <row r="1088" spans="1:22" x14ac:dyDescent="0.25">
      <c r="A1088">
        <v>1087</v>
      </c>
      <c r="B1088" s="1">
        <v>45383</v>
      </c>
      <c r="C1088" t="s">
        <v>21</v>
      </c>
      <c r="D1088" t="s">
        <v>20</v>
      </c>
      <c r="E1088">
        <v>79</v>
      </c>
      <c r="F1088">
        <v>65</v>
      </c>
      <c r="G1088">
        <v>2</v>
      </c>
      <c r="H1088" t="s">
        <v>12</v>
      </c>
      <c r="I1088" t="s">
        <v>13</v>
      </c>
      <c r="J1088" t="s">
        <v>11</v>
      </c>
      <c r="K1088">
        <f>_xlfn.XLOOKUP(tbl_analysis_tickets[[#This Row],[priority]],tbl_sla[priority],tbl_sla[Resolution SLA Hours])</f>
        <v>24</v>
      </c>
      <c r="L1088">
        <f>_xlfn.XLOOKUP(tbl_analysis_tickets[[#This Row],[priority]],tbl_sla[priority],tbl_sla[First Response SLA Minutes])</f>
        <v>60</v>
      </c>
      <c r="M1088" t="str">
        <f>IF(tbl_analysis_tickets[[#This Row],[resolution_time_hours]]&gt;tbl_analysis_tickets[[#This Row],[Resolution SLA Hours]],"Breached","Within SLA")</f>
        <v>Breached</v>
      </c>
      <c r="N1088" t="str">
        <f>IF(tbl_analysis_tickets[[#This Row],[first_response_minutes]]&gt;tbl_analysis_tickets[[#This Row],[First Response SLA Minutes]],"Breached","Within SLA")</f>
        <v>Breached</v>
      </c>
      <c r="O1088" t="str" cm="1">
        <f t="array" ref="O1088">_xlfn.IFS(
tbl_analysis_tickets[[#This Row],[agent_experience_years]]&lt;=2,"Junior",
tbl_analysis_tickets[[#This Row],[agent_experience_years]]&lt;=5,"Mid-Level",
tbl_analysis_tickets[[#This Row],[agent_experience_years]]&lt;=8,"Senior",
tbl_analysis_tickets[[#This Row],[agent_experience_years]]&gt;8,"Expert"
)</f>
        <v>Junior</v>
      </c>
      <c r="P1088" cm="1">
        <f t="array" ref="P1088">_xlfn.SWITCH(tbl_analysis_tickets[[#This Row],[customer_satisfaction]],
"Low",1,
"Medium",2,
"High",3
)</f>
        <v>1</v>
      </c>
      <c r="Q1088">
        <f>IF(tbl_analysis_tickets[[#This Row],[reopened]]="Yes",1,0)</f>
        <v>1</v>
      </c>
      <c r="R1088" t="str" cm="1">
        <f t="array" ref="R1088">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088" t="str" cm="1">
        <f t="array" ref="S108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088" t="str">
        <f>TEXT(tbl_analysis_tickets[[#This Row],[created_date]],"mmm-yyyy")</f>
        <v>Apr-2024</v>
      </c>
      <c r="U1088" t="str">
        <f>TEXT(tbl_analysis_tickets[[#This Row],[created_date]],"dddd")</f>
        <v>Monday</v>
      </c>
      <c r="V1088" cm="1">
        <f t="array" ref="V1088">_xlfn.SWITCH(tbl_analysis_tickets[[#This Row],[priority]],
"Urgent",1,
"High",2,
"Medium",3,
"Low",4
)</f>
        <v>2</v>
      </c>
    </row>
    <row r="1089" spans="1:22" x14ac:dyDescent="0.25">
      <c r="A1089">
        <v>1088</v>
      </c>
      <c r="B1089" s="1">
        <v>45400</v>
      </c>
      <c r="C1089" t="s">
        <v>14</v>
      </c>
      <c r="D1089" t="s">
        <v>11</v>
      </c>
      <c r="E1089">
        <v>230</v>
      </c>
      <c r="F1089">
        <v>20</v>
      </c>
      <c r="G1089">
        <v>3.8</v>
      </c>
      <c r="H1089" t="s">
        <v>12</v>
      </c>
      <c r="I1089" t="s">
        <v>16</v>
      </c>
      <c r="J1089" t="s">
        <v>11</v>
      </c>
      <c r="K1089">
        <f>_xlfn.XLOOKUP(tbl_analysis_tickets[[#This Row],[priority]],tbl_sla[priority],tbl_sla[Resolution SLA Hours])</f>
        <v>72</v>
      </c>
      <c r="L1089">
        <f>_xlfn.XLOOKUP(tbl_analysis_tickets[[#This Row],[priority]],tbl_sla[priority],tbl_sla[First Response SLA Minutes])</f>
        <v>240</v>
      </c>
      <c r="M1089" t="str">
        <f>IF(tbl_analysis_tickets[[#This Row],[resolution_time_hours]]&gt;tbl_analysis_tickets[[#This Row],[Resolution SLA Hours]],"Breached","Within SLA")</f>
        <v>Within SLA</v>
      </c>
      <c r="N1089" t="str">
        <f>IF(tbl_analysis_tickets[[#This Row],[first_response_minutes]]&gt;tbl_analysis_tickets[[#This Row],[First Response SLA Minutes]],"Breached","Within SLA")</f>
        <v>Within SLA</v>
      </c>
      <c r="O1089" t="str" cm="1">
        <f t="array" ref="O1089">_xlfn.IFS(
tbl_analysis_tickets[[#This Row],[agent_experience_years]]&lt;=2,"Junior",
tbl_analysis_tickets[[#This Row],[agent_experience_years]]&lt;=5,"Mid-Level",
tbl_analysis_tickets[[#This Row],[agent_experience_years]]&lt;=8,"Senior",
tbl_analysis_tickets[[#This Row],[agent_experience_years]]&gt;8,"Expert"
)</f>
        <v>Mid-Level</v>
      </c>
      <c r="P1089" cm="1">
        <f t="array" ref="P1089">_xlfn.SWITCH(tbl_analysis_tickets[[#This Row],[customer_satisfaction]],
"Low",1,
"Medium",2,
"High",3
)</f>
        <v>1</v>
      </c>
      <c r="Q1089">
        <f>IF(tbl_analysis_tickets[[#This Row],[reopened]]="Yes",1,0)</f>
        <v>1</v>
      </c>
      <c r="R1089" t="str" cm="1">
        <f t="array" ref="R1089">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089" t="str" cm="1">
        <f t="array" ref="S108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089" t="str">
        <f>TEXT(tbl_analysis_tickets[[#This Row],[created_date]],"mmm-yyyy")</f>
        <v>Apr-2024</v>
      </c>
      <c r="U1089" t="str">
        <f>TEXT(tbl_analysis_tickets[[#This Row],[created_date]],"dddd")</f>
        <v>Thursday</v>
      </c>
      <c r="V1089" cm="1">
        <f t="array" ref="V1089">_xlfn.SWITCH(tbl_analysis_tickets[[#This Row],[priority]],
"Urgent",1,
"High",2,
"Medium",3,
"Low",4
)</f>
        <v>4</v>
      </c>
    </row>
    <row r="1090" spans="1:22" x14ac:dyDescent="0.25">
      <c r="A1090">
        <v>1089</v>
      </c>
      <c r="B1090" s="1">
        <v>45349</v>
      </c>
      <c r="C1090" t="s">
        <v>23</v>
      </c>
      <c r="D1090" t="s">
        <v>15</v>
      </c>
      <c r="E1090">
        <v>193</v>
      </c>
      <c r="F1090">
        <v>12</v>
      </c>
      <c r="G1090">
        <v>2.2000000000000002</v>
      </c>
      <c r="H1090" t="s">
        <v>18</v>
      </c>
      <c r="I1090" t="s">
        <v>13</v>
      </c>
      <c r="J1090" t="s">
        <v>11</v>
      </c>
      <c r="K1090">
        <f>_xlfn.XLOOKUP(tbl_analysis_tickets[[#This Row],[priority]],tbl_sla[priority],tbl_sla[Resolution SLA Hours])</f>
        <v>48</v>
      </c>
      <c r="L1090">
        <f>_xlfn.XLOOKUP(tbl_analysis_tickets[[#This Row],[priority]],tbl_sla[priority],tbl_sla[First Response SLA Minutes])</f>
        <v>120</v>
      </c>
      <c r="M1090" t="str">
        <f>IF(tbl_analysis_tickets[[#This Row],[resolution_time_hours]]&gt;tbl_analysis_tickets[[#This Row],[Resolution SLA Hours]],"Breached","Within SLA")</f>
        <v>Within SLA</v>
      </c>
      <c r="N1090" t="str">
        <f>IF(tbl_analysis_tickets[[#This Row],[first_response_minutes]]&gt;tbl_analysis_tickets[[#This Row],[First Response SLA Minutes]],"Breached","Within SLA")</f>
        <v>Breached</v>
      </c>
      <c r="O1090" t="str" cm="1">
        <f t="array" ref="O1090">_xlfn.IFS(
tbl_analysis_tickets[[#This Row],[agent_experience_years]]&lt;=2,"Junior",
tbl_analysis_tickets[[#This Row],[agent_experience_years]]&lt;=5,"Mid-Level",
tbl_analysis_tickets[[#This Row],[agent_experience_years]]&lt;=8,"Senior",
tbl_analysis_tickets[[#This Row],[agent_experience_years]]&gt;8,"Expert"
)</f>
        <v>Mid-Level</v>
      </c>
      <c r="P1090" cm="1">
        <f t="array" ref="P1090">_xlfn.SWITCH(tbl_analysis_tickets[[#This Row],[customer_satisfaction]],
"Low",1,
"Medium",2,
"High",3
)</f>
        <v>1</v>
      </c>
      <c r="Q1090">
        <f>IF(tbl_analysis_tickets[[#This Row],[reopened]]="Yes",1,0)</f>
        <v>0</v>
      </c>
      <c r="R1090" t="str" cm="1">
        <f t="array" ref="R1090">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090" t="str" cm="1">
        <f t="array" ref="S109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090" t="str">
        <f>TEXT(tbl_analysis_tickets[[#This Row],[created_date]],"mmm-yyyy")</f>
        <v>Feb-2024</v>
      </c>
      <c r="U1090" t="str">
        <f>TEXT(tbl_analysis_tickets[[#This Row],[created_date]],"dddd")</f>
        <v>Tuesday</v>
      </c>
      <c r="V1090" cm="1">
        <f t="array" ref="V1090">_xlfn.SWITCH(tbl_analysis_tickets[[#This Row],[priority]],
"Urgent",1,
"High",2,
"Medium",3,
"Low",4
)</f>
        <v>3</v>
      </c>
    </row>
    <row r="1091" spans="1:22" x14ac:dyDescent="0.25">
      <c r="A1091">
        <v>1090</v>
      </c>
      <c r="B1091" s="1">
        <v>45366</v>
      </c>
      <c r="C1091" t="s">
        <v>22</v>
      </c>
      <c r="D1091" t="s">
        <v>11</v>
      </c>
      <c r="E1091">
        <v>35</v>
      </c>
      <c r="F1091">
        <v>25</v>
      </c>
      <c r="G1091">
        <v>1.1000000000000001</v>
      </c>
      <c r="H1091" t="s">
        <v>12</v>
      </c>
      <c r="I1091" t="s">
        <v>16</v>
      </c>
      <c r="J1091" t="s">
        <v>11</v>
      </c>
      <c r="K1091">
        <f>_xlfn.XLOOKUP(tbl_analysis_tickets[[#This Row],[priority]],tbl_sla[priority],tbl_sla[Resolution SLA Hours])</f>
        <v>72</v>
      </c>
      <c r="L1091">
        <f>_xlfn.XLOOKUP(tbl_analysis_tickets[[#This Row],[priority]],tbl_sla[priority],tbl_sla[First Response SLA Minutes])</f>
        <v>240</v>
      </c>
      <c r="M1091" t="str">
        <f>IF(tbl_analysis_tickets[[#This Row],[resolution_time_hours]]&gt;tbl_analysis_tickets[[#This Row],[Resolution SLA Hours]],"Breached","Within SLA")</f>
        <v>Within SLA</v>
      </c>
      <c r="N1091" t="str">
        <f>IF(tbl_analysis_tickets[[#This Row],[first_response_minutes]]&gt;tbl_analysis_tickets[[#This Row],[First Response SLA Minutes]],"Breached","Within SLA")</f>
        <v>Within SLA</v>
      </c>
      <c r="O1091" t="str" cm="1">
        <f t="array" ref="O1091">_xlfn.IFS(
tbl_analysis_tickets[[#This Row],[agent_experience_years]]&lt;=2,"Junior",
tbl_analysis_tickets[[#This Row],[agent_experience_years]]&lt;=5,"Mid-Level",
tbl_analysis_tickets[[#This Row],[agent_experience_years]]&lt;=8,"Senior",
tbl_analysis_tickets[[#This Row],[agent_experience_years]]&gt;8,"Expert"
)</f>
        <v>Junior</v>
      </c>
      <c r="P1091" cm="1">
        <f t="array" ref="P1091">_xlfn.SWITCH(tbl_analysis_tickets[[#This Row],[customer_satisfaction]],
"Low",1,
"Medium",2,
"High",3
)</f>
        <v>1</v>
      </c>
      <c r="Q1091">
        <f>IF(tbl_analysis_tickets[[#This Row],[reopened]]="Yes",1,0)</f>
        <v>1</v>
      </c>
      <c r="R1091" t="str" cm="1">
        <f t="array" ref="R1091">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091" t="str" cm="1">
        <f t="array" ref="S109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091" t="str">
        <f>TEXT(tbl_analysis_tickets[[#This Row],[created_date]],"mmm-yyyy")</f>
        <v>Mar-2024</v>
      </c>
      <c r="U1091" t="str">
        <f>TEXT(tbl_analysis_tickets[[#This Row],[created_date]],"dddd")</f>
        <v>Friday</v>
      </c>
      <c r="V1091" cm="1">
        <f t="array" ref="V1091">_xlfn.SWITCH(tbl_analysis_tickets[[#This Row],[priority]],
"Urgent",1,
"High",2,
"Medium",3,
"Low",4
)</f>
        <v>4</v>
      </c>
    </row>
    <row r="1092" spans="1:22" x14ac:dyDescent="0.25">
      <c r="A1092">
        <v>1091</v>
      </c>
      <c r="B1092" s="1">
        <v>45376</v>
      </c>
      <c r="C1092" t="s">
        <v>21</v>
      </c>
      <c r="D1092" t="s">
        <v>11</v>
      </c>
      <c r="E1092">
        <v>197</v>
      </c>
      <c r="F1092">
        <v>38</v>
      </c>
      <c r="G1092">
        <v>2.4</v>
      </c>
      <c r="H1092" t="s">
        <v>12</v>
      </c>
      <c r="I1092" t="s">
        <v>19</v>
      </c>
      <c r="J1092" t="s">
        <v>11</v>
      </c>
      <c r="K1092">
        <f>_xlfn.XLOOKUP(tbl_analysis_tickets[[#This Row],[priority]],tbl_sla[priority],tbl_sla[Resolution SLA Hours])</f>
        <v>72</v>
      </c>
      <c r="L1092">
        <f>_xlfn.XLOOKUP(tbl_analysis_tickets[[#This Row],[priority]],tbl_sla[priority],tbl_sla[First Response SLA Minutes])</f>
        <v>240</v>
      </c>
      <c r="M1092" t="str">
        <f>IF(tbl_analysis_tickets[[#This Row],[resolution_time_hours]]&gt;tbl_analysis_tickets[[#This Row],[Resolution SLA Hours]],"Breached","Within SLA")</f>
        <v>Within SLA</v>
      </c>
      <c r="N1092" t="str">
        <f>IF(tbl_analysis_tickets[[#This Row],[first_response_minutes]]&gt;tbl_analysis_tickets[[#This Row],[First Response SLA Minutes]],"Breached","Within SLA")</f>
        <v>Within SLA</v>
      </c>
      <c r="O1092" t="str" cm="1">
        <f t="array" ref="O1092">_xlfn.IFS(
tbl_analysis_tickets[[#This Row],[agent_experience_years]]&lt;=2,"Junior",
tbl_analysis_tickets[[#This Row],[agent_experience_years]]&lt;=5,"Mid-Level",
tbl_analysis_tickets[[#This Row],[agent_experience_years]]&lt;=8,"Senior",
tbl_analysis_tickets[[#This Row],[agent_experience_years]]&gt;8,"Expert"
)</f>
        <v>Mid-Level</v>
      </c>
      <c r="P1092" cm="1">
        <f t="array" ref="P1092">_xlfn.SWITCH(tbl_analysis_tickets[[#This Row],[customer_satisfaction]],
"Low",1,
"Medium",2,
"High",3
)</f>
        <v>1</v>
      </c>
      <c r="Q1092">
        <f>IF(tbl_analysis_tickets[[#This Row],[reopened]]="Yes",1,0)</f>
        <v>1</v>
      </c>
      <c r="R1092" t="str" cm="1">
        <f t="array" ref="R1092">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092" t="str" cm="1">
        <f t="array" ref="S109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092" t="str">
        <f>TEXT(tbl_analysis_tickets[[#This Row],[created_date]],"mmm-yyyy")</f>
        <v>Mar-2024</v>
      </c>
      <c r="U1092" t="str">
        <f>TEXT(tbl_analysis_tickets[[#This Row],[created_date]],"dddd")</f>
        <v>Monday</v>
      </c>
      <c r="V1092" cm="1">
        <f t="array" ref="V1092">_xlfn.SWITCH(tbl_analysis_tickets[[#This Row],[priority]],
"Urgent",1,
"High",2,
"Medium",3,
"Low",4
)</f>
        <v>4</v>
      </c>
    </row>
    <row r="1093" spans="1:22" x14ac:dyDescent="0.25">
      <c r="A1093">
        <v>1092</v>
      </c>
      <c r="B1093" s="1">
        <v>45461</v>
      </c>
      <c r="C1093" t="s">
        <v>23</v>
      </c>
      <c r="D1093" t="s">
        <v>11</v>
      </c>
      <c r="E1093">
        <v>164</v>
      </c>
      <c r="F1093">
        <v>59</v>
      </c>
      <c r="G1093">
        <v>6.8</v>
      </c>
      <c r="H1093" t="s">
        <v>12</v>
      </c>
      <c r="I1093" t="s">
        <v>13</v>
      </c>
      <c r="J1093" t="s">
        <v>11</v>
      </c>
      <c r="K1093">
        <f>_xlfn.XLOOKUP(tbl_analysis_tickets[[#This Row],[priority]],tbl_sla[priority],tbl_sla[Resolution SLA Hours])</f>
        <v>72</v>
      </c>
      <c r="L1093">
        <f>_xlfn.XLOOKUP(tbl_analysis_tickets[[#This Row],[priority]],tbl_sla[priority],tbl_sla[First Response SLA Minutes])</f>
        <v>240</v>
      </c>
      <c r="M1093" t="str">
        <f>IF(tbl_analysis_tickets[[#This Row],[resolution_time_hours]]&gt;tbl_analysis_tickets[[#This Row],[Resolution SLA Hours]],"Breached","Within SLA")</f>
        <v>Within SLA</v>
      </c>
      <c r="N1093" t="str">
        <f>IF(tbl_analysis_tickets[[#This Row],[first_response_minutes]]&gt;tbl_analysis_tickets[[#This Row],[First Response SLA Minutes]],"Breached","Within SLA")</f>
        <v>Within SLA</v>
      </c>
      <c r="O1093" t="str" cm="1">
        <f t="array" ref="O1093">_xlfn.IFS(
tbl_analysis_tickets[[#This Row],[agent_experience_years]]&lt;=2,"Junior",
tbl_analysis_tickets[[#This Row],[agent_experience_years]]&lt;=5,"Mid-Level",
tbl_analysis_tickets[[#This Row],[agent_experience_years]]&lt;=8,"Senior",
tbl_analysis_tickets[[#This Row],[agent_experience_years]]&gt;8,"Expert"
)</f>
        <v>Senior</v>
      </c>
      <c r="P1093" cm="1">
        <f t="array" ref="P1093">_xlfn.SWITCH(tbl_analysis_tickets[[#This Row],[customer_satisfaction]],
"Low",1,
"Medium",2,
"High",3
)</f>
        <v>1</v>
      </c>
      <c r="Q1093">
        <f>IF(tbl_analysis_tickets[[#This Row],[reopened]]="Yes",1,0)</f>
        <v>1</v>
      </c>
      <c r="R1093" t="str" cm="1">
        <f t="array" ref="R1093">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093" t="str" cm="1">
        <f t="array" ref="S109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093" t="str">
        <f>TEXT(tbl_analysis_tickets[[#This Row],[created_date]],"mmm-yyyy")</f>
        <v>Jun-2024</v>
      </c>
      <c r="U1093" t="str">
        <f>TEXT(tbl_analysis_tickets[[#This Row],[created_date]],"dddd")</f>
        <v>Tuesday</v>
      </c>
      <c r="V1093" cm="1">
        <f t="array" ref="V1093">_xlfn.SWITCH(tbl_analysis_tickets[[#This Row],[priority]],
"Urgent",1,
"High",2,
"Medium",3,
"Low",4
)</f>
        <v>4</v>
      </c>
    </row>
    <row r="1094" spans="1:22" x14ac:dyDescent="0.25">
      <c r="A1094">
        <v>1093</v>
      </c>
      <c r="B1094" s="1">
        <v>45475</v>
      </c>
      <c r="C1094" t="s">
        <v>22</v>
      </c>
      <c r="D1094" t="s">
        <v>20</v>
      </c>
      <c r="E1094">
        <v>9</v>
      </c>
      <c r="F1094">
        <v>55</v>
      </c>
      <c r="G1094">
        <v>8.6</v>
      </c>
      <c r="H1094" t="s">
        <v>12</v>
      </c>
      <c r="I1094" t="s">
        <v>19</v>
      </c>
      <c r="J1094" t="s">
        <v>15</v>
      </c>
      <c r="K1094">
        <f>_xlfn.XLOOKUP(tbl_analysis_tickets[[#This Row],[priority]],tbl_sla[priority],tbl_sla[Resolution SLA Hours])</f>
        <v>24</v>
      </c>
      <c r="L1094">
        <f>_xlfn.XLOOKUP(tbl_analysis_tickets[[#This Row],[priority]],tbl_sla[priority],tbl_sla[First Response SLA Minutes])</f>
        <v>60</v>
      </c>
      <c r="M1094" t="str">
        <f>IF(tbl_analysis_tickets[[#This Row],[resolution_time_hours]]&gt;tbl_analysis_tickets[[#This Row],[Resolution SLA Hours]],"Breached","Within SLA")</f>
        <v>Breached</v>
      </c>
      <c r="N1094" t="str">
        <f>IF(tbl_analysis_tickets[[#This Row],[first_response_minutes]]&gt;tbl_analysis_tickets[[#This Row],[First Response SLA Minutes]],"Breached","Within SLA")</f>
        <v>Within SLA</v>
      </c>
      <c r="O1094" t="str" cm="1">
        <f t="array" ref="O1094">_xlfn.IFS(
tbl_analysis_tickets[[#This Row],[agent_experience_years]]&lt;=2,"Junior",
tbl_analysis_tickets[[#This Row],[agent_experience_years]]&lt;=5,"Mid-Level",
tbl_analysis_tickets[[#This Row],[agent_experience_years]]&lt;=8,"Senior",
tbl_analysis_tickets[[#This Row],[agent_experience_years]]&gt;8,"Expert"
)</f>
        <v>Expert</v>
      </c>
      <c r="P1094" cm="1">
        <f t="array" ref="P1094">_xlfn.SWITCH(tbl_analysis_tickets[[#This Row],[customer_satisfaction]],
"Low",1,
"Medium",2,
"High",3
)</f>
        <v>2</v>
      </c>
      <c r="Q1094">
        <f>IF(tbl_analysis_tickets[[#This Row],[reopened]]="Yes",1,0)</f>
        <v>1</v>
      </c>
      <c r="R1094" t="str" cm="1">
        <f t="array" ref="R1094">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1094" t="str" cm="1">
        <f t="array" ref="S109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094" t="str">
        <f>TEXT(tbl_analysis_tickets[[#This Row],[created_date]],"mmm-yyyy")</f>
        <v>Jul-2024</v>
      </c>
      <c r="U1094" t="str">
        <f>TEXT(tbl_analysis_tickets[[#This Row],[created_date]],"dddd")</f>
        <v>Tuesday</v>
      </c>
      <c r="V1094" cm="1">
        <f t="array" ref="V1094">_xlfn.SWITCH(tbl_analysis_tickets[[#This Row],[priority]],
"Urgent",1,
"High",2,
"Medium",3,
"Low",4
)</f>
        <v>2</v>
      </c>
    </row>
    <row r="1095" spans="1:22" x14ac:dyDescent="0.25">
      <c r="A1095">
        <v>1094</v>
      </c>
      <c r="B1095" s="1">
        <v>45613</v>
      </c>
      <c r="C1095" t="s">
        <v>21</v>
      </c>
      <c r="D1095" t="s">
        <v>11</v>
      </c>
      <c r="E1095">
        <v>160</v>
      </c>
      <c r="F1095">
        <v>56</v>
      </c>
      <c r="G1095">
        <v>5.5</v>
      </c>
      <c r="H1095" t="s">
        <v>18</v>
      </c>
      <c r="I1095" t="s">
        <v>13</v>
      </c>
      <c r="J1095" t="s">
        <v>15</v>
      </c>
      <c r="K1095">
        <f>_xlfn.XLOOKUP(tbl_analysis_tickets[[#This Row],[priority]],tbl_sla[priority],tbl_sla[Resolution SLA Hours])</f>
        <v>72</v>
      </c>
      <c r="L1095">
        <f>_xlfn.XLOOKUP(tbl_analysis_tickets[[#This Row],[priority]],tbl_sla[priority],tbl_sla[First Response SLA Minutes])</f>
        <v>240</v>
      </c>
      <c r="M1095" t="str">
        <f>IF(tbl_analysis_tickets[[#This Row],[resolution_time_hours]]&gt;tbl_analysis_tickets[[#This Row],[Resolution SLA Hours]],"Breached","Within SLA")</f>
        <v>Within SLA</v>
      </c>
      <c r="N1095" t="str">
        <f>IF(tbl_analysis_tickets[[#This Row],[first_response_minutes]]&gt;tbl_analysis_tickets[[#This Row],[First Response SLA Minutes]],"Breached","Within SLA")</f>
        <v>Within SLA</v>
      </c>
      <c r="O1095" t="str" cm="1">
        <f t="array" ref="O1095">_xlfn.IFS(
tbl_analysis_tickets[[#This Row],[agent_experience_years]]&lt;=2,"Junior",
tbl_analysis_tickets[[#This Row],[agent_experience_years]]&lt;=5,"Mid-Level",
tbl_analysis_tickets[[#This Row],[agent_experience_years]]&lt;=8,"Senior",
tbl_analysis_tickets[[#This Row],[agent_experience_years]]&gt;8,"Expert"
)</f>
        <v>Senior</v>
      </c>
      <c r="P1095" cm="1">
        <f t="array" ref="P1095">_xlfn.SWITCH(tbl_analysis_tickets[[#This Row],[customer_satisfaction]],
"Low",1,
"Medium",2,
"High",3
)</f>
        <v>2</v>
      </c>
      <c r="Q1095">
        <f>IF(tbl_analysis_tickets[[#This Row],[reopened]]="Yes",1,0)</f>
        <v>0</v>
      </c>
      <c r="R1095" t="str" cm="1">
        <f t="array" ref="R1095">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095" t="str" cm="1">
        <f t="array" ref="S109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095" t="str">
        <f>TEXT(tbl_analysis_tickets[[#This Row],[created_date]],"mmm-yyyy")</f>
        <v>Nov-2024</v>
      </c>
      <c r="U1095" t="str">
        <f>TEXT(tbl_analysis_tickets[[#This Row],[created_date]],"dddd")</f>
        <v>Sunday</v>
      </c>
      <c r="V1095" cm="1">
        <f t="array" ref="V1095">_xlfn.SWITCH(tbl_analysis_tickets[[#This Row],[priority]],
"Urgent",1,
"High",2,
"Medium",3,
"Low",4
)</f>
        <v>4</v>
      </c>
    </row>
    <row r="1096" spans="1:22" x14ac:dyDescent="0.25">
      <c r="A1096">
        <v>1095</v>
      </c>
      <c r="B1096" s="1">
        <v>45534</v>
      </c>
      <c r="C1096" t="s">
        <v>21</v>
      </c>
      <c r="D1096" t="s">
        <v>15</v>
      </c>
      <c r="E1096">
        <v>5</v>
      </c>
      <c r="F1096">
        <v>25</v>
      </c>
      <c r="G1096">
        <v>5.6</v>
      </c>
      <c r="H1096" t="s">
        <v>18</v>
      </c>
      <c r="I1096" t="s">
        <v>16</v>
      </c>
      <c r="J1096" t="s">
        <v>20</v>
      </c>
      <c r="K1096">
        <f>_xlfn.XLOOKUP(tbl_analysis_tickets[[#This Row],[priority]],tbl_sla[priority],tbl_sla[Resolution SLA Hours])</f>
        <v>48</v>
      </c>
      <c r="L1096">
        <f>_xlfn.XLOOKUP(tbl_analysis_tickets[[#This Row],[priority]],tbl_sla[priority],tbl_sla[First Response SLA Minutes])</f>
        <v>120</v>
      </c>
      <c r="M1096" t="str">
        <f>IF(tbl_analysis_tickets[[#This Row],[resolution_time_hours]]&gt;tbl_analysis_tickets[[#This Row],[Resolution SLA Hours]],"Breached","Within SLA")</f>
        <v>Within SLA</v>
      </c>
      <c r="N1096" t="str">
        <f>IF(tbl_analysis_tickets[[#This Row],[first_response_minutes]]&gt;tbl_analysis_tickets[[#This Row],[First Response SLA Minutes]],"Breached","Within SLA")</f>
        <v>Within SLA</v>
      </c>
      <c r="O1096" t="str" cm="1">
        <f t="array" ref="O1096">_xlfn.IFS(
tbl_analysis_tickets[[#This Row],[agent_experience_years]]&lt;=2,"Junior",
tbl_analysis_tickets[[#This Row],[agent_experience_years]]&lt;=5,"Mid-Level",
tbl_analysis_tickets[[#This Row],[agent_experience_years]]&lt;=8,"Senior",
tbl_analysis_tickets[[#This Row],[agent_experience_years]]&gt;8,"Expert"
)</f>
        <v>Senior</v>
      </c>
      <c r="P1096" cm="1">
        <f t="array" ref="P1096">_xlfn.SWITCH(tbl_analysis_tickets[[#This Row],[customer_satisfaction]],
"Low",1,
"Medium",2,
"High",3
)</f>
        <v>3</v>
      </c>
      <c r="Q1096">
        <f>IF(tbl_analysis_tickets[[#This Row],[reopened]]="Yes",1,0)</f>
        <v>0</v>
      </c>
      <c r="R1096" t="str" cm="1">
        <f t="array" ref="R1096">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1096" t="str" cm="1">
        <f t="array" ref="S109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096" t="str">
        <f>TEXT(tbl_analysis_tickets[[#This Row],[created_date]],"mmm-yyyy")</f>
        <v>Aug-2024</v>
      </c>
      <c r="U1096" t="str">
        <f>TEXT(tbl_analysis_tickets[[#This Row],[created_date]],"dddd")</f>
        <v>Friday</v>
      </c>
      <c r="V1096" cm="1">
        <f t="array" ref="V1096">_xlfn.SWITCH(tbl_analysis_tickets[[#This Row],[priority]],
"Urgent",1,
"High",2,
"Medium",3,
"Low",4
)</f>
        <v>3</v>
      </c>
    </row>
    <row r="1097" spans="1:22" x14ac:dyDescent="0.25">
      <c r="A1097">
        <v>1096</v>
      </c>
      <c r="B1097" s="1">
        <v>45436</v>
      </c>
      <c r="C1097" t="s">
        <v>10</v>
      </c>
      <c r="D1097" t="s">
        <v>20</v>
      </c>
      <c r="E1097">
        <v>215</v>
      </c>
      <c r="F1097">
        <v>2</v>
      </c>
      <c r="G1097">
        <v>9.6999999999999993</v>
      </c>
      <c r="H1097" t="s">
        <v>12</v>
      </c>
      <c r="I1097" t="s">
        <v>16</v>
      </c>
      <c r="J1097" t="s">
        <v>15</v>
      </c>
      <c r="K1097">
        <f>_xlfn.XLOOKUP(tbl_analysis_tickets[[#This Row],[priority]],tbl_sla[priority],tbl_sla[Resolution SLA Hours])</f>
        <v>24</v>
      </c>
      <c r="L1097">
        <f>_xlfn.XLOOKUP(tbl_analysis_tickets[[#This Row],[priority]],tbl_sla[priority],tbl_sla[First Response SLA Minutes])</f>
        <v>60</v>
      </c>
      <c r="M1097" t="str">
        <f>IF(tbl_analysis_tickets[[#This Row],[resolution_time_hours]]&gt;tbl_analysis_tickets[[#This Row],[Resolution SLA Hours]],"Breached","Within SLA")</f>
        <v>Within SLA</v>
      </c>
      <c r="N1097" t="str">
        <f>IF(tbl_analysis_tickets[[#This Row],[first_response_minutes]]&gt;tbl_analysis_tickets[[#This Row],[First Response SLA Minutes]],"Breached","Within SLA")</f>
        <v>Breached</v>
      </c>
      <c r="O1097" t="str" cm="1">
        <f t="array" ref="O1097">_xlfn.IFS(
tbl_analysis_tickets[[#This Row],[agent_experience_years]]&lt;=2,"Junior",
tbl_analysis_tickets[[#This Row],[agent_experience_years]]&lt;=5,"Mid-Level",
tbl_analysis_tickets[[#This Row],[agent_experience_years]]&lt;=8,"Senior",
tbl_analysis_tickets[[#This Row],[agent_experience_years]]&gt;8,"Expert"
)</f>
        <v>Expert</v>
      </c>
      <c r="P1097" cm="1">
        <f t="array" ref="P1097">_xlfn.SWITCH(tbl_analysis_tickets[[#This Row],[customer_satisfaction]],
"Low",1,
"Medium",2,
"High",3
)</f>
        <v>2</v>
      </c>
      <c r="Q1097">
        <f>IF(tbl_analysis_tickets[[#This Row],[reopened]]="Yes",1,0)</f>
        <v>1</v>
      </c>
      <c r="R1097" t="str" cm="1">
        <f t="array" ref="R1097">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097" t="str" cm="1">
        <f t="array" ref="S109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1097" t="str">
        <f>TEXT(tbl_analysis_tickets[[#This Row],[created_date]],"mmm-yyyy")</f>
        <v>May-2024</v>
      </c>
      <c r="U1097" t="str">
        <f>TEXT(tbl_analysis_tickets[[#This Row],[created_date]],"dddd")</f>
        <v>Friday</v>
      </c>
      <c r="V1097" cm="1">
        <f t="array" ref="V1097">_xlfn.SWITCH(tbl_analysis_tickets[[#This Row],[priority]],
"Urgent",1,
"High",2,
"Medium",3,
"Low",4
)</f>
        <v>2</v>
      </c>
    </row>
    <row r="1098" spans="1:22" x14ac:dyDescent="0.25">
      <c r="A1098">
        <v>1097</v>
      </c>
      <c r="B1098" s="1">
        <v>45517</v>
      </c>
      <c r="C1098" t="s">
        <v>14</v>
      </c>
      <c r="D1098" t="s">
        <v>11</v>
      </c>
      <c r="E1098">
        <v>129</v>
      </c>
      <c r="F1098">
        <v>44</v>
      </c>
      <c r="G1098">
        <v>2.9</v>
      </c>
      <c r="H1098" t="s">
        <v>18</v>
      </c>
      <c r="I1098" t="s">
        <v>16</v>
      </c>
      <c r="J1098" t="s">
        <v>11</v>
      </c>
      <c r="K1098">
        <f>_xlfn.XLOOKUP(tbl_analysis_tickets[[#This Row],[priority]],tbl_sla[priority],tbl_sla[Resolution SLA Hours])</f>
        <v>72</v>
      </c>
      <c r="L1098">
        <f>_xlfn.XLOOKUP(tbl_analysis_tickets[[#This Row],[priority]],tbl_sla[priority],tbl_sla[First Response SLA Minutes])</f>
        <v>240</v>
      </c>
      <c r="M1098" t="str">
        <f>IF(tbl_analysis_tickets[[#This Row],[resolution_time_hours]]&gt;tbl_analysis_tickets[[#This Row],[Resolution SLA Hours]],"Breached","Within SLA")</f>
        <v>Within SLA</v>
      </c>
      <c r="N1098" t="str">
        <f>IF(tbl_analysis_tickets[[#This Row],[first_response_minutes]]&gt;tbl_analysis_tickets[[#This Row],[First Response SLA Minutes]],"Breached","Within SLA")</f>
        <v>Within SLA</v>
      </c>
      <c r="O1098" t="str" cm="1">
        <f t="array" ref="O1098">_xlfn.IFS(
tbl_analysis_tickets[[#This Row],[agent_experience_years]]&lt;=2,"Junior",
tbl_analysis_tickets[[#This Row],[agent_experience_years]]&lt;=5,"Mid-Level",
tbl_analysis_tickets[[#This Row],[agent_experience_years]]&lt;=8,"Senior",
tbl_analysis_tickets[[#This Row],[agent_experience_years]]&gt;8,"Expert"
)</f>
        <v>Mid-Level</v>
      </c>
      <c r="P1098" cm="1">
        <f t="array" ref="P1098">_xlfn.SWITCH(tbl_analysis_tickets[[#This Row],[customer_satisfaction]],
"Low",1,
"Medium",2,
"High",3
)</f>
        <v>1</v>
      </c>
      <c r="Q1098">
        <f>IF(tbl_analysis_tickets[[#This Row],[reopened]]="Yes",1,0)</f>
        <v>0</v>
      </c>
      <c r="R1098" t="str" cm="1">
        <f t="array" ref="R1098">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098" t="str" cm="1">
        <f t="array" ref="S109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098" t="str">
        <f>TEXT(tbl_analysis_tickets[[#This Row],[created_date]],"mmm-yyyy")</f>
        <v>Aug-2024</v>
      </c>
      <c r="U1098" t="str">
        <f>TEXT(tbl_analysis_tickets[[#This Row],[created_date]],"dddd")</f>
        <v>Tuesday</v>
      </c>
      <c r="V1098" cm="1">
        <f t="array" ref="V1098">_xlfn.SWITCH(tbl_analysis_tickets[[#This Row],[priority]],
"Urgent",1,
"High",2,
"Medium",3,
"Low",4
)</f>
        <v>4</v>
      </c>
    </row>
    <row r="1099" spans="1:22" x14ac:dyDescent="0.25">
      <c r="A1099">
        <v>1098</v>
      </c>
      <c r="B1099" s="1">
        <v>45574</v>
      </c>
      <c r="C1099" t="s">
        <v>10</v>
      </c>
      <c r="D1099" t="s">
        <v>17</v>
      </c>
      <c r="E1099">
        <v>158</v>
      </c>
      <c r="F1099">
        <v>6</v>
      </c>
      <c r="G1099">
        <v>3.8</v>
      </c>
      <c r="H1099" t="s">
        <v>12</v>
      </c>
      <c r="I1099" t="s">
        <v>19</v>
      </c>
      <c r="J1099" t="s">
        <v>11</v>
      </c>
      <c r="K1099">
        <f>_xlfn.XLOOKUP(tbl_analysis_tickets[[#This Row],[priority]],tbl_sla[priority],tbl_sla[Resolution SLA Hours])</f>
        <v>8</v>
      </c>
      <c r="L1099">
        <f>_xlfn.XLOOKUP(tbl_analysis_tickets[[#This Row],[priority]],tbl_sla[priority],tbl_sla[First Response SLA Minutes])</f>
        <v>30</v>
      </c>
      <c r="M1099" t="str">
        <f>IF(tbl_analysis_tickets[[#This Row],[resolution_time_hours]]&gt;tbl_analysis_tickets[[#This Row],[Resolution SLA Hours]],"Breached","Within SLA")</f>
        <v>Within SLA</v>
      </c>
      <c r="N1099" t="str">
        <f>IF(tbl_analysis_tickets[[#This Row],[first_response_minutes]]&gt;tbl_analysis_tickets[[#This Row],[First Response SLA Minutes]],"Breached","Within SLA")</f>
        <v>Breached</v>
      </c>
      <c r="O1099" t="str" cm="1">
        <f t="array" ref="O1099">_xlfn.IFS(
tbl_analysis_tickets[[#This Row],[agent_experience_years]]&lt;=2,"Junior",
tbl_analysis_tickets[[#This Row],[agent_experience_years]]&lt;=5,"Mid-Level",
tbl_analysis_tickets[[#This Row],[agent_experience_years]]&lt;=8,"Senior",
tbl_analysis_tickets[[#This Row],[agent_experience_years]]&gt;8,"Expert"
)</f>
        <v>Mid-Level</v>
      </c>
      <c r="P1099" cm="1">
        <f t="array" ref="P1099">_xlfn.SWITCH(tbl_analysis_tickets[[#This Row],[customer_satisfaction]],
"Low",1,
"Medium",2,
"High",3
)</f>
        <v>1</v>
      </c>
      <c r="Q1099">
        <f>IF(tbl_analysis_tickets[[#This Row],[reopened]]="Yes",1,0)</f>
        <v>1</v>
      </c>
      <c r="R1099" t="str" cm="1">
        <f t="array" ref="R1099">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099" t="str" cm="1">
        <f t="array" ref="S109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1099" t="str">
        <f>TEXT(tbl_analysis_tickets[[#This Row],[created_date]],"mmm-yyyy")</f>
        <v>Oct-2024</v>
      </c>
      <c r="U1099" t="str">
        <f>TEXT(tbl_analysis_tickets[[#This Row],[created_date]],"dddd")</f>
        <v>Wednesday</v>
      </c>
      <c r="V1099" cm="1">
        <f t="array" ref="V1099">_xlfn.SWITCH(tbl_analysis_tickets[[#This Row],[priority]],
"Urgent",1,
"High",2,
"Medium",3,
"Low",4
)</f>
        <v>1</v>
      </c>
    </row>
    <row r="1100" spans="1:22" x14ac:dyDescent="0.25">
      <c r="A1100">
        <v>1099</v>
      </c>
      <c r="B1100" s="1">
        <v>45318</v>
      </c>
      <c r="C1100" t="s">
        <v>22</v>
      </c>
      <c r="D1100" t="s">
        <v>17</v>
      </c>
      <c r="E1100">
        <v>140</v>
      </c>
      <c r="F1100">
        <v>31</v>
      </c>
      <c r="G1100">
        <v>8</v>
      </c>
      <c r="H1100" t="s">
        <v>18</v>
      </c>
      <c r="I1100" t="s">
        <v>13</v>
      </c>
      <c r="J1100" t="s">
        <v>11</v>
      </c>
      <c r="K1100">
        <f>_xlfn.XLOOKUP(tbl_analysis_tickets[[#This Row],[priority]],tbl_sla[priority],tbl_sla[Resolution SLA Hours])</f>
        <v>8</v>
      </c>
      <c r="L1100">
        <f>_xlfn.XLOOKUP(tbl_analysis_tickets[[#This Row],[priority]],tbl_sla[priority],tbl_sla[First Response SLA Minutes])</f>
        <v>30</v>
      </c>
      <c r="M1100" t="str">
        <f>IF(tbl_analysis_tickets[[#This Row],[resolution_time_hours]]&gt;tbl_analysis_tickets[[#This Row],[Resolution SLA Hours]],"Breached","Within SLA")</f>
        <v>Breached</v>
      </c>
      <c r="N1100" t="str">
        <f>IF(tbl_analysis_tickets[[#This Row],[first_response_minutes]]&gt;tbl_analysis_tickets[[#This Row],[First Response SLA Minutes]],"Breached","Within SLA")</f>
        <v>Breached</v>
      </c>
      <c r="O1100" t="str" cm="1">
        <f t="array" ref="O1100">_xlfn.IFS(
tbl_analysis_tickets[[#This Row],[agent_experience_years]]&lt;=2,"Junior",
tbl_analysis_tickets[[#This Row],[agent_experience_years]]&lt;=5,"Mid-Level",
tbl_analysis_tickets[[#This Row],[agent_experience_years]]&lt;=8,"Senior",
tbl_analysis_tickets[[#This Row],[agent_experience_years]]&gt;8,"Expert"
)</f>
        <v>Senior</v>
      </c>
      <c r="P1100" cm="1">
        <f t="array" ref="P1100">_xlfn.SWITCH(tbl_analysis_tickets[[#This Row],[customer_satisfaction]],
"Low",1,
"Medium",2,
"High",3
)</f>
        <v>1</v>
      </c>
      <c r="Q1100">
        <f>IF(tbl_analysis_tickets[[#This Row],[reopened]]="Yes",1,0)</f>
        <v>0</v>
      </c>
      <c r="R1100" t="str" cm="1">
        <f t="array" ref="R1100">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100" t="str" cm="1">
        <f t="array" ref="S110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100" t="str">
        <f>TEXT(tbl_analysis_tickets[[#This Row],[created_date]],"mmm-yyyy")</f>
        <v>Jan-2024</v>
      </c>
      <c r="U1100" t="str">
        <f>TEXT(tbl_analysis_tickets[[#This Row],[created_date]],"dddd")</f>
        <v>Saturday</v>
      </c>
      <c r="V1100" cm="1">
        <f t="array" ref="V1100">_xlfn.SWITCH(tbl_analysis_tickets[[#This Row],[priority]],
"Urgent",1,
"High",2,
"Medium",3,
"Low",4
)</f>
        <v>1</v>
      </c>
    </row>
    <row r="1101" spans="1:22" x14ac:dyDescent="0.25">
      <c r="A1101">
        <v>1100</v>
      </c>
      <c r="B1101" s="1">
        <v>45330</v>
      </c>
      <c r="C1101" t="s">
        <v>23</v>
      </c>
      <c r="D1101" t="s">
        <v>11</v>
      </c>
      <c r="E1101">
        <v>98</v>
      </c>
      <c r="F1101">
        <v>30</v>
      </c>
      <c r="G1101">
        <v>6.3</v>
      </c>
      <c r="H1101" t="s">
        <v>18</v>
      </c>
      <c r="I1101" t="s">
        <v>19</v>
      </c>
      <c r="J1101" t="s">
        <v>15</v>
      </c>
      <c r="K1101">
        <f>_xlfn.XLOOKUP(tbl_analysis_tickets[[#This Row],[priority]],tbl_sla[priority],tbl_sla[Resolution SLA Hours])</f>
        <v>72</v>
      </c>
      <c r="L1101">
        <f>_xlfn.XLOOKUP(tbl_analysis_tickets[[#This Row],[priority]],tbl_sla[priority],tbl_sla[First Response SLA Minutes])</f>
        <v>240</v>
      </c>
      <c r="M1101" t="str">
        <f>IF(tbl_analysis_tickets[[#This Row],[resolution_time_hours]]&gt;tbl_analysis_tickets[[#This Row],[Resolution SLA Hours]],"Breached","Within SLA")</f>
        <v>Within SLA</v>
      </c>
      <c r="N1101" t="str">
        <f>IF(tbl_analysis_tickets[[#This Row],[first_response_minutes]]&gt;tbl_analysis_tickets[[#This Row],[First Response SLA Minutes]],"Breached","Within SLA")</f>
        <v>Within SLA</v>
      </c>
      <c r="O1101" t="str" cm="1">
        <f t="array" ref="O1101">_xlfn.IFS(
tbl_analysis_tickets[[#This Row],[agent_experience_years]]&lt;=2,"Junior",
tbl_analysis_tickets[[#This Row],[agent_experience_years]]&lt;=5,"Mid-Level",
tbl_analysis_tickets[[#This Row],[agent_experience_years]]&lt;=8,"Senior",
tbl_analysis_tickets[[#This Row],[agent_experience_years]]&gt;8,"Expert"
)</f>
        <v>Senior</v>
      </c>
      <c r="P1101" cm="1">
        <f t="array" ref="P1101">_xlfn.SWITCH(tbl_analysis_tickets[[#This Row],[customer_satisfaction]],
"Low",1,
"Medium",2,
"High",3
)</f>
        <v>2</v>
      </c>
      <c r="Q1101">
        <f>IF(tbl_analysis_tickets[[#This Row],[reopened]]="Yes",1,0)</f>
        <v>0</v>
      </c>
      <c r="R1101" t="str" cm="1">
        <f t="array" ref="R1101">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101" t="str" cm="1">
        <f t="array" ref="S110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101" t="str">
        <f>TEXT(tbl_analysis_tickets[[#This Row],[created_date]],"mmm-yyyy")</f>
        <v>Feb-2024</v>
      </c>
      <c r="U1101" t="str">
        <f>TEXT(tbl_analysis_tickets[[#This Row],[created_date]],"dddd")</f>
        <v>Thursday</v>
      </c>
      <c r="V1101" cm="1">
        <f t="array" ref="V1101">_xlfn.SWITCH(tbl_analysis_tickets[[#This Row],[priority]],
"Urgent",1,
"High",2,
"Medium",3,
"Low",4
)</f>
        <v>4</v>
      </c>
    </row>
    <row r="1102" spans="1:22" x14ac:dyDescent="0.25">
      <c r="A1102">
        <v>1101</v>
      </c>
      <c r="B1102" s="1">
        <v>45563</v>
      </c>
      <c r="C1102" t="s">
        <v>14</v>
      </c>
      <c r="D1102" t="s">
        <v>20</v>
      </c>
      <c r="E1102">
        <v>233</v>
      </c>
      <c r="F1102">
        <v>54</v>
      </c>
      <c r="G1102">
        <v>3</v>
      </c>
      <c r="H1102" t="s">
        <v>18</v>
      </c>
      <c r="I1102" t="s">
        <v>16</v>
      </c>
      <c r="J1102" t="s">
        <v>11</v>
      </c>
      <c r="K1102">
        <f>_xlfn.XLOOKUP(tbl_analysis_tickets[[#This Row],[priority]],tbl_sla[priority],tbl_sla[Resolution SLA Hours])</f>
        <v>24</v>
      </c>
      <c r="L1102">
        <f>_xlfn.XLOOKUP(tbl_analysis_tickets[[#This Row],[priority]],tbl_sla[priority],tbl_sla[First Response SLA Minutes])</f>
        <v>60</v>
      </c>
      <c r="M1102" t="str">
        <f>IF(tbl_analysis_tickets[[#This Row],[resolution_time_hours]]&gt;tbl_analysis_tickets[[#This Row],[Resolution SLA Hours]],"Breached","Within SLA")</f>
        <v>Breached</v>
      </c>
      <c r="N1102" t="str">
        <f>IF(tbl_analysis_tickets[[#This Row],[first_response_minutes]]&gt;tbl_analysis_tickets[[#This Row],[First Response SLA Minutes]],"Breached","Within SLA")</f>
        <v>Breached</v>
      </c>
      <c r="O1102" t="str" cm="1">
        <f t="array" ref="O1102">_xlfn.IFS(
tbl_analysis_tickets[[#This Row],[agent_experience_years]]&lt;=2,"Junior",
tbl_analysis_tickets[[#This Row],[agent_experience_years]]&lt;=5,"Mid-Level",
tbl_analysis_tickets[[#This Row],[agent_experience_years]]&lt;=8,"Senior",
tbl_analysis_tickets[[#This Row],[agent_experience_years]]&gt;8,"Expert"
)</f>
        <v>Mid-Level</v>
      </c>
      <c r="P1102" cm="1">
        <f t="array" ref="P1102">_xlfn.SWITCH(tbl_analysis_tickets[[#This Row],[customer_satisfaction]],
"Low",1,
"Medium",2,
"High",3
)</f>
        <v>1</v>
      </c>
      <c r="Q1102">
        <f>IF(tbl_analysis_tickets[[#This Row],[reopened]]="Yes",1,0)</f>
        <v>0</v>
      </c>
      <c r="R1102" t="str" cm="1">
        <f t="array" ref="R1102">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102" t="str" cm="1">
        <f t="array" ref="S110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102" t="str">
        <f>TEXT(tbl_analysis_tickets[[#This Row],[created_date]],"mmm-yyyy")</f>
        <v>Sep-2024</v>
      </c>
      <c r="U1102" t="str">
        <f>TEXT(tbl_analysis_tickets[[#This Row],[created_date]],"dddd")</f>
        <v>Saturday</v>
      </c>
      <c r="V1102" cm="1">
        <f t="array" ref="V1102">_xlfn.SWITCH(tbl_analysis_tickets[[#This Row],[priority]],
"Urgent",1,
"High",2,
"Medium",3,
"Low",4
)</f>
        <v>2</v>
      </c>
    </row>
    <row r="1103" spans="1:22" x14ac:dyDescent="0.25">
      <c r="A1103">
        <v>1102</v>
      </c>
      <c r="B1103" s="1">
        <v>45572</v>
      </c>
      <c r="C1103" t="s">
        <v>21</v>
      </c>
      <c r="D1103" t="s">
        <v>20</v>
      </c>
      <c r="E1103">
        <v>152</v>
      </c>
      <c r="F1103">
        <v>44</v>
      </c>
      <c r="G1103">
        <v>4</v>
      </c>
      <c r="H1103" t="s">
        <v>12</v>
      </c>
      <c r="I1103" t="s">
        <v>19</v>
      </c>
      <c r="J1103" t="s">
        <v>11</v>
      </c>
      <c r="K1103">
        <f>_xlfn.XLOOKUP(tbl_analysis_tickets[[#This Row],[priority]],tbl_sla[priority],tbl_sla[Resolution SLA Hours])</f>
        <v>24</v>
      </c>
      <c r="L1103">
        <f>_xlfn.XLOOKUP(tbl_analysis_tickets[[#This Row],[priority]],tbl_sla[priority],tbl_sla[First Response SLA Minutes])</f>
        <v>60</v>
      </c>
      <c r="M1103" t="str">
        <f>IF(tbl_analysis_tickets[[#This Row],[resolution_time_hours]]&gt;tbl_analysis_tickets[[#This Row],[Resolution SLA Hours]],"Breached","Within SLA")</f>
        <v>Breached</v>
      </c>
      <c r="N1103" t="str">
        <f>IF(tbl_analysis_tickets[[#This Row],[first_response_minutes]]&gt;tbl_analysis_tickets[[#This Row],[First Response SLA Minutes]],"Breached","Within SLA")</f>
        <v>Breached</v>
      </c>
      <c r="O1103" t="str" cm="1">
        <f t="array" ref="O1103">_xlfn.IFS(
tbl_analysis_tickets[[#This Row],[agent_experience_years]]&lt;=2,"Junior",
tbl_analysis_tickets[[#This Row],[agent_experience_years]]&lt;=5,"Mid-Level",
tbl_analysis_tickets[[#This Row],[agent_experience_years]]&lt;=8,"Senior",
tbl_analysis_tickets[[#This Row],[agent_experience_years]]&gt;8,"Expert"
)</f>
        <v>Mid-Level</v>
      </c>
      <c r="P1103" cm="1">
        <f t="array" ref="P1103">_xlfn.SWITCH(tbl_analysis_tickets[[#This Row],[customer_satisfaction]],
"Low",1,
"Medium",2,
"High",3
)</f>
        <v>1</v>
      </c>
      <c r="Q1103">
        <f>IF(tbl_analysis_tickets[[#This Row],[reopened]]="Yes",1,0)</f>
        <v>1</v>
      </c>
      <c r="R1103" t="str" cm="1">
        <f t="array" ref="R1103">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103" t="str" cm="1">
        <f t="array" ref="S110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103" t="str">
        <f>TEXT(tbl_analysis_tickets[[#This Row],[created_date]],"mmm-yyyy")</f>
        <v>Oct-2024</v>
      </c>
      <c r="U1103" t="str">
        <f>TEXT(tbl_analysis_tickets[[#This Row],[created_date]],"dddd")</f>
        <v>Monday</v>
      </c>
      <c r="V1103" cm="1">
        <f t="array" ref="V1103">_xlfn.SWITCH(tbl_analysis_tickets[[#This Row],[priority]],
"Urgent",1,
"High",2,
"Medium",3,
"Low",4
)</f>
        <v>2</v>
      </c>
    </row>
    <row r="1104" spans="1:22" x14ac:dyDescent="0.25">
      <c r="A1104">
        <v>1103</v>
      </c>
      <c r="B1104" s="1">
        <v>45602</v>
      </c>
      <c r="C1104" t="s">
        <v>14</v>
      </c>
      <c r="D1104" t="s">
        <v>15</v>
      </c>
      <c r="E1104">
        <v>107</v>
      </c>
      <c r="F1104">
        <v>34</v>
      </c>
      <c r="G1104">
        <v>2.1</v>
      </c>
      <c r="H1104" t="s">
        <v>18</v>
      </c>
      <c r="I1104" t="s">
        <v>19</v>
      </c>
      <c r="J1104" t="s">
        <v>11</v>
      </c>
      <c r="K1104">
        <f>_xlfn.XLOOKUP(tbl_analysis_tickets[[#This Row],[priority]],tbl_sla[priority],tbl_sla[Resolution SLA Hours])</f>
        <v>48</v>
      </c>
      <c r="L1104">
        <f>_xlfn.XLOOKUP(tbl_analysis_tickets[[#This Row],[priority]],tbl_sla[priority],tbl_sla[First Response SLA Minutes])</f>
        <v>120</v>
      </c>
      <c r="M1104" t="str">
        <f>IF(tbl_analysis_tickets[[#This Row],[resolution_time_hours]]&gt;tbl_analysis_tickets[[#This Row],[Resolution SLA Hours]],"Breached","Within SLA")</f>
        <v>Within SLA</v>
      </c>
      <c r="N1104" t="str">
        <f>IF(tbl_analysis_tickets[[#This Row],[first_response_minutes]]&gt;tbl_analysis_tickets[[#This Row],[First Response SLA Minutes]],"Breached","Within SLA")</f>
        <v>Within SLA</v>
      </c>
      <c r="O1104" t="str" cm="1">
        <f t="array" ref="O1104">_xlfn.IFS(
tbl_analysis_tickets[[#This Row],[agent_experience_years]]&lt;=2,"Junior",
tbl_analysis_tickets[[#This Row],[agent_experience_years]]&lt;=5,"Mid-Level",
tbl_analysis_tickets[[#This Row],[agent_experience_years]]&lt;=8,"Senior",
tbl_analysis_tickets[[#This Row],[agent_experience_years]]&gt;8,"Expert"
)</f>
        <v>Mid-Level</v>
      </c>
      <c r="P1104" cm="1">
        <f t="array" ref="P1104">_xlfn.SWITCH(tbl_analysis_tickets[[#This Row],[customer_satisfaction]],
"Low",1,
"Medium",2,
"High",3
)</f>
        <v>1</v>
      </c>
      <c r="Q1104">
        <f>IF(tbl_analysis_tickets[[#This Row],[reopened]]="Yes",1,0)</f>
        <v>0</v>
      </c>
      <c r="R1104" t="str" cm="1">
        <f t="array" ref="R1104">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104" t="str" cm="1">
        <f t="array" ref="S110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104" t="str">
        <f>TEXT(tbl_analysis_tickets[[#This Row],[created_date]],"mmm-yyyy")</f>
        <v>Nov-2024</v>
      </c>
      <c r="U1104" t="str">
        <f>TEXT(tbl_analysis_tickets[[#This Row],[created_date]],"dddd")</f>
        <v>Wednesday</v>
      </c>
      <c r="V1104" cm="1">
        <f t="array" ref="V1104">_xlfn.SWITCH(tbl_analysis_tickets[[#This Row],[priority]],
"Urgent",1,
"High",2,
"Medium",3,
"Low",4
)</f>
        <v>3</v>
      </c>
    </row>
    <row r="1105" spans="1:22" x14ac:dyDescent="0.25">
      <c r="A1105">
        <v>1104</v>
      </c>
      <c r="B1105" s="1">
        <v>45473</v>
      </c>
      <c r="C1105" t="s">
        <v>23</v>
      </c>
      <c r="D1105" t="s">
        <v>17</v>
      </c>
      <c r="E1105">
        <v>127</v>
      </c>
      <c r="F1105">
        <v>27</v>
      </c>
      <c r="G1105">
        <v>5.3</v>
      </c>
      <c r="H1105" t="s">
        <v>18</v>
      </c>
      <c r="I1105" t="s">
        <v>13</v>
      </c>
      <c r="J1105" t="s">
        <v>11</v>
      </c>
      <c r="K1105">
        <f>_xlfn.XLOOKUP(tbl_analysis_tickets[[#This Row],[priority]],tbl_sla[priority],tbl_sla[Resolution SLA Hours])</f>
        <v>8</v>
      </c>
      <c r="L1105">
        <f>_xlfn.XLOOKUP(tbl_analysis_tickets[[#This Row],[priority]],tbl_sla[priority],tbl_sla[First Response SLA Minutes])</f>
        <v>30</v>
      </c>
      <c r="M1105" t="str">
        <f>IF(tbl_analysis_tickets[[#This Row],[resolution_time_hours]]&gt;tbl_analysis_tickets[[#This Row],[Resolution SLA Hours]],"Breached","Within SLA")</f>
        <v>Breached</v>
      </c>
      <c r="N1105" t="str">
        <f>IF(tbl_analysis_tickets[[#This Row],[first_response_minutes]]&gt;tbl_analysis_tickets[[#This Row],[First Response SLA Minutes]],"Breached","Within SLA")</f>
        <v>Breached</v>
      </c>
      <c r="O1105" t="str" cm="1">
        <f t="array" ref="O1105">_xlfn.IFS(
tbl_analysis_tickets[[#This Row],[agent_experience_years]]&lt;=2,"Junior",
tbl_analysis_tickets[[#This Row],[agent_experience_years]]&lt;=5,"Mid-Level",
tbl_analysis_tickets[[#This Row],[agent_experience_years]]&lt;=8,"Senior",
tbl_analysis_tickets[[#This Row],[agent_experience_years]]&gt;8,"Expert"
)</f>
        <v>Senior</v>
      </c>
      <c r="P1105" cm="1">
        <f t="array" ref="P1105">_xlfn.SWITCH(tbl_analysis_tickets[[#This Row],[customer_satisfaction]],
"Low",1,
"Medium",2,
"High",3
)</f>
        <v>1</v>
      </c>
      <c r="Q1105">
        <f>IF(tbl_analysis_tickets[[#This Row],[reopened]]="Yes",1,0)</f>
        <v>0</v>
      </c>
      <c r="R1105" t="str" cm="1">
        <f t="array" ref="R1105">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105" t="str" cm="1">
        <f t="array" ref="S110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105" t="str">
        <f>TEXT(tbl_analysis_tickets[[#This Row],[created_date]],"mmm-yyyy")</f>
        <v>Jun-2024</v>
      </c>
      <c r="U1105" t="str">
        <f>TEXT(tbl_analysis_tickets[[#This Row],[created_date]],"dddd")</f>
        <v>Sunday</v>
      </c>
      <c r="V1105" cm="1">
        <f t="array" ref="V1105">_xlfn.SWITCH(tbl_analysis_tickets[[#This Row],[priority]],
"Urgent",1,
"High",2,
"Medium",3,
"Low",4
)</f>
        <v>1</v>
      </c>
    </row>
    <row r="1106" spans="1:22" x14ac:dyDescent="0.25">
      <c r="A1106">
        <v>1105</v>
      </c>
      <c r="B1106" s="1">
        <v>45432</v>
      </c>
      <c r="C1106" t="s">
        <v>22</v>
      </c>
      <c r="D1106" t="s">
        <v>20</v>
      </c>
      <c r="E1106">
        <v>151</v>
      </c>
      <c r="F1106">
        <v>37</v>
      </c>
      <c r="G1106">
        <v>6.2</v>
      </c>
      <c r="H1106" t="s">
        <v>18</v>
      </c>
      <c r="I1106" t="s">
        <v>16</v>
      </c>
      <c r="J1106" t="s">
        <v>11</v>
      </c>
      <c r="K1106">
        <f>_xlfn.XLOOKUP(tbl_analysis_tickets[[#This Row],[priority]],tbl_sla[priority],tbl_sla[Resolution SLA Hours])</f>
        <v>24</v>
      </c>
      <c r="L1106">
        <f>_xlfn.XLOOKUP(tbl_analysis_tickets[[#This Row],[priority]],tbl_sla[priority],tbl_sla[First Response SLA Minutes])</f>
        <v>60</v>
      </c>
      <c r="M1106" t="str">
        <f>IF(tbl_analysis_tickets[[#This Row],[resolution_time_hours]]&gt;tbl_analysis_tickets[[#This Row],[Resolution SLA Hours]],"Breached","Within SLA")</f>
        <v>Breached</v>
      </c>
      <c r="N1106" t="str">
        <f>IF(tbl_analysis_tickets[[#This Row],[first_response_minutes]]&gt;tbl_analysis_tickets[[#This Row],[First Response SLA Minutes]],"Breached","Within SLA")</f>
        <v>Breached</v>
      </c>
      <c r="O1106" t="str" cm="1">
        <f t="array" ref="O1106">_xlfn.IFS(
tbl_analysis_tickets[[#This Row],[agent_experience_years]]&lt;=2,"Junior",
tbl_analysis_tickets[[#This Row],[agent_experience_years]]&lt;=5,"Mid-Level",
tbl_analysis_tickets[[#This Row],[agent_experience_years]]&lt;=8,"Senior",
tbl_analysis_tickets[[#This Row],[agent_experience_years]]&gt;8,"Expert"
)</f>
        <v>Senior</v>
      </c>
      <c r="P1106" cm="1">
        <f t="array" ref="P1106">_xlfn.SWITCH(tbl_analysis_tickets[[#This Row],[customer_satisfaction]],
"Low",1,
"Medium",2,
"High",3
)</f>
        <v>1</v>
      </c>
      <c r="Q1106">
        <f>IF(tbl_analysis_tickets[[#This Row],[reopened]]="Yes",1,0)</f>
        <v>0</v>
      </c>
      <c r="R1106" t="str" cm="1">
        <f t="array" ref="R1106">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106" t="str" cm="1">
        <f t="array" ref="S110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106" t="str">
        <f>TEXT(tbl_analysis_tickets[[#This Row],[created_date]],"mmm-yyyy")</f>
        <v>May-2024</v>
      </c>
      <c r="U1106" t="str">
        <f>TEXT(tbl_analysis_tickets[[#This Row],[created_date]],"dddd")</f>
        <v>Monday</v>
      </c>
      <c r="V1106" cm="1">
        <f t="array" ref="V1106">_xlfn.SWITCH(tbl_analysis_tickets[[#This Row],[priority]],
"Urgent",1,
"High",2,
"Medium",3,
"Low",4
)</f>
        <v>2</v>
      </c>
    </row>
    <row r="1107" spans="1:22" x14ac:dyDescent="0.25">
      <c r="A1107">
        <v>1106</v>
      </c>
      <c r="B1107" s="1">
        <v>45353</v>
      </c>
      <c r="C1107" t="s">
        <v>23</v>
      </c>
      <c r="D1107" t="s">
        <v>11</v>
      </c>
      <c r="E1107">
        <v>110</v>
      </c>
      <c r="F1107">
        <v>71</v>
      </c>
      <c r="G1107">
        <v>3.4</v>
      </c>
      <c r="H1107" t="s">
        <v>18</v>
      </c>
      <c r="I1107" t="s">
        <v>16</v>
      </c>
      <c r="J1107" t="s">
        <v>11</v>
      </c>
      <c r="K1107">
        <f>_xlfn.XLOOKUP(tbl_analysis_tickets[[#This Row],[priority]],tbl_sla[priority],tbl_sla[Resolution SLA Hours])</f>
        <v>72</v>
      </c>
      <c r="L1107">
        <f>_xlfn.XLOOKUP(tbl_analysis_tickets[[#This Row],[priority]],tbl_sla[priority],tbl_sla[First Response SLA Minutes])</f>
        <v>240</v>
      </c>
      <c r="M1107" t="str">
        <f>IF(tbl_analysis_tickets[[#This Row],[resolution_time_hours]]&gt;tbl_analysis_tickets[[#This Row],[Resolution SLA Hours]],"Breached","Within SLA")</f>
        <v>Within SLA</v>
      </c>
      <c r="N1107" t="str">
        <f>IF(tbl_analysis_tickets[[#This Row],[first_response_minutes]]&gt;tbl_analysis_tickets[[#This Row],[First Response SLA Minutes]],"Breached","Within SLA")</f>
        <v>Within SLA</v>
      </c>
      <c r="O1107" t="str" cm="1">
        <f t="array" ref="O1107">_xlfn.IFS(
tbl_analysis_tickets[[#This Row],[agent_experience_years]]&lt;=2,"Junior",
tbl_analysis_tickets[[#This Row],[agent_experience_years]]&lt;=5,"Mid-Level",
tbl_analysis_tickets[[#This Row],[agent_experience_years]]&lt;=8,"Senior",
tbl_analysis_tickets[[#This Row],[agent_experience_years]]&gt;8,"Expert"
)</f>
        <v>Mid-Level</v>
      </c>
      <c r="P1107" cm="1">
        <f t="array" ref="P1107">_xlfn.SWITCH(tbl_analysis_tickets[[#This Row],[customer_satisfaction]],
"Low",1,
"Medium",2,
"High",3
)</f>
        <v>1</v>
      </c>
      <c r="Q1107">
        <f>IF(tbl_analysis_tickets[[#This Row],[reopened]]="Yes",1,0)</f>
        <v>0</v>
      </c>
      <c r="R1107" t="str" cm="1">
        <f t="array" ref="R1107">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107" t="str" cm="1">
        <f t="array" ref="S110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107" t="str">
        <f>TEXT(tbl_analysis_tickets[[#This Row],[created_date]],"mmm-yyyy")</f>
        <v>Mar-2024</v>
      </c>
      <c r="U1107" t="str">
        <f>TEXT(tbl_analysis_tickets[[#This Row],[created_date]],"dddd")</f>
        <v>Saturday</v>
      </c>
      <c r="V1107" cm="1">
        <f t="array" ref="V1107">_xlfn.SWITCH(tbl_analysis_tickets[[#This Row],[priority]],
"Urgent",1,
"High",2,
"Medium",3,
"Low",4
)</f>
        <v>4</v>
      </c>
    </row>
    <row r="1108" spans="1:22" x14ac:dyDescent="0.25">
      <c r="A1108">
        <v>1107</v>
      </c>
      <c r="B1108" s="1">
        <v>45368</v>
      </c>
      <c r="C1108" t="s">
        <v>10</v>
      </c>
      <c r="D1108" t="s">
        <v>20</v>
      </c>
      <c r="E1108">
        <v>180</v>
      </c>
      <c r="F1108">
        <v>70</v>
      </c>
      <c r="G1108">
        <v>4.5</v>
      </c>
      <c r="H1108" t="s">
        <v>18</v>
      </c>
      <c r="I1108" t="s">
        <v>13</v>
      </c>
      <c r="J1108" t="s">
        <v>11</v>
      </c>
      <c r="K1108">
        <f>_xlfn.XLOOKUP(tbl_analysis_tickets[[#This Row],[priority]],tbl_sla[priority],tbl_sla[Resolution SLA Hours])</f>
        <v>24</v>
      </c>
      <c r="L1108">
        <f>_xlfn.XLOOKUP(tbl_analysis_tickets[[#This Row],[priority]],tbl_sla[priority],tbl_sla[First Response SLA Minutes])</f>
        <v>60</v>
      </c>
      <c r="M1108" t="str">
        <f>IF(tbl_analysis_tickets[[#This Row],[resolution_time_hours]]&gt;tbl_analysis_tickets[[#This Row],[Resolution SLA Hours]],"Breached","Within SLA")</f>
        <v>Breached</v>
      </c>
      <c r="N1108" t="str">
        <f>IF(tbl_analysis_tickets[[#This Row],[first_response_minutes]]&gt;tbl_analysis_tickets[[#This Row],[First Response SLA Minutes]],"Breached","Within SLA")</f>
        <v>Breached</v>
      </c>
      <c r="O1108" t="str" cm="1">
        <f t="array" ref="O1108">_xlfn.IFS(
tbl_analysis_tickets[[#This Row],[agent_experience_years]]&lt;=2,"Junior",
tbl_analysis_tickets[[#This Row],[agent_experience_years]]&lt;=5,"Mid-Level",
tbl_analysis_tickets[[#This Row],[agent_experience_years]]&lt;=8,"Senior",
tbl_analysis_tickets[[#This Row],[agent_experience_years]]&gt;8,"Expert"
)</f>
        <v>Mid-Level</v>
      </c>
      <c r="P1108" cm="1">
        <f t="array" ref="P1108">_xlfn.SWITCH(tbl_analysis_tickets[[#This Row],[customer_satisfaction]],
"Low",1,
"Medium",2,
"High",3
)</f>
        <v>1</v>
      </c>
      <c r="Q1108">
        <f>IF(tbl_analysis_tickets[[#This Row],[reopened]]="Yes",1,0)</f>
        <v>0</v>
      </c>
      <c r="R1108" t="str" cm="1">
        <f t="array" ref="R1108">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108" t="str" cm="1">
        <f t="array" ref="S110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108" t="str">
        <f>TEXT(tbl_analysis_tickets[[#This Row],[created_date]],"mmm-yyyy")</f>
        <v>Mar-2024</v>
      </c>
      <c r="U1108" t="str">
        <f>TEXT(tbl_analysis_tickets[[#This Row],[created_date]],"dddd")</f>
        <v>Sunday</v>
      </c>
      <c r="V1108" cm="1">
        <f t="array" ref="V1108">_xlfn.SWITCH(tbl_analysis_tickets[[#This Row],[priority]],
"Urgent",1,
"High",2,
"Medium",3,
"Low",4
)</f>
        <v>2</v>
      </c>
    </row>
    <row r="1109" spans="1:22" x14ac:dyDescent="0.25">
      <c r="A1109">
        <v>1108</v>
      </c>
      <c r="B1109" s="1">
        <v>45446</v>
      </c>
      <c r="C1109" t="s">
        <v>10</v>
      </c>
      <c r="D1109" t="s">
        <v>15</v>
      </c>
      <c r="E1109">
        <v>99</v>
      </c>
      <c r="F1109">
        <v>61</v>
      </c>
      <c r="G1109">
        <v>10</v>
      </c>
      <c r="H1109" t="s">
        <v>12</v>
      </c>
      <c r="I1109" t="s">
        <v>16</v>
      </c>
      <c r="J1109" t="s">
        <v>11</v>
      </c>
      <c r="K1109">
        <f>_xlfn.XLOOKUP(tbl_analysis_tickets[[#This Row],[priority]],tbl_sla[priority],tbl_sla[Resolution SLA Hours])</f>
        <v>48</v>
      </c>
      <c r="L1109">
        <f>_xlfn.XLOOKUP(tbl_analysis_tickets[[#This Row],[priority]],tbl_sla[priority],tbl_sla[First Response SLA Minutes])</f>
        <v>120</v>
      </c>
      <c r="M1109" t="str">
        <f>IF(tbl_analysis_tickets[[#This Row],[resolution_time_hours]]&gt;tbl_analysis_tickets[[#This Row],[Resolution SLA Hours]],"Breached","Within SLA")</f>
        <v>Breached</v>
      </c>
      <c r="N1109" t="str">
        <f>IF(tbl_analysis_tickets[[#This Row],[first_response_minutes]]&gt;tbl_analysis_tickets[[#This Row],[First Response SLA Minutes]],"Breached","Within SLA")</f>
        <v>Within SLA</v>
      </c>
      <c r="O1109" t="str" cm="1">
        <f t="array" ref="O1109">_xlfn.IFS(
tbl_analysis_tickets[[#This Row],[agent_experience_years]]&lt;=2,"Junior",
tbl_analysis_tickets[[#This Row],[agent_experience_years]]&lt;=5,"Mid-Level",
tbl_analysis_tickets[[#This Row],[agent_experience_years]]&lt;=8,"Senior",
tbl_analysis_tickets[[#This Row],[agent_experience_years]]&gt;8,"Expert"
)</f>
        <v>Expert</v>
      </c>
      <c r="P1109" cm="1">
        <f t="array" ref="P1109">_xlfn.SWITCH(tbl_analysis_tickets[[#This Row],[customer_satisfaction]],
"Low",1,
"Medium",2,
"High",3
)</f>
        <v>1</v>
      </c>
      <c r="Q1109">
        <f>IF(tbl_analysis_tickets[[#This Row],[reopened]]="Yes",1,0)</f>
        <v>1</v>
      </c>
      <c r="R1109" t="str" cm="1">
        <f t="array" ref="R1109">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109" t="str" cm="1">
        <f t="array" ref="S110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109" t="str">
        <f>TEXT(tbl_analysis_tickets[[#This Row],[created_date]],"mmm-yyyy")</f>
        <v>Jun-2024</v>
      </c>
      <c r="U1109" t="str">
        <f>TEXT(tbl_analysis_tickets[[#This Row],[created_date]],"dddd")</f>
        <v>Monday</v>
      </c>
      <c r="V1109" cm="1">
        <f t="array" ref="V1109">_xlfn.SWITCH(tbl_analysis_tickets[[#This Row],[priority]],
"Urgent",1,
"High",2,
"Medium",3,
"Low",4
)</f>
        <v>3</v>
      </c>
    </row>
    <row r="1110" spans="1:22" x14ac:dyDescent="0.25">
      <c r="A1110">
        <v>1109</v>
      </c>
      <c r="B1110" s="1">
        <v>45444</v>
      </c>
      <c r="C1110" t="s">
        <v>21</v>
      </c>
      <c r="D1110" t="s">
        <v>20</v>
      </c>
      <c r="E1110">
        <v>33</v>
      </c>
      <c r="F1110">
        <v>56</v>
      </c>
      <c r="G1110">
        <v>9.5</v>
      </c>
      <c r="H1110" t="s">
        <v>12</v>
      </c>
      <c r="I1110" t="s">
        <v>16</v>
      </c>
      <c r="J1110" t="s">
        <v>11</v>
      </c>
      <c r="K1110">
        <f>_xlfn.XLOOKUP(tbl_analysis_tickets[[#This Row],[priority]],tbl_sla[priority],tbl_sla[Resolution SLA Hours])</f>
        <v>24</v>
      </c>
      <c r="L1110">
        <f>_xlfn.XLOOKUP(tbl_analysis_tickets[[#This Row],[priority]],tbl_sla[priority],tbl_sla[First Response SLA Minutes])</f>
        <v>60</v>
      </c>
      <c r="M1110" t="str">
        <f>IF(tbl_analysis_tickets[[#This Row],[resolution_time_hours]]&gt;tbl_analysis_tickets[[#This Row],[Resolution SLA Hours]],"Breached","Within SLA")</f>
        <v>Breached</v>
      </c>
      <c r="N1110" t="str">
        <f>IF(tbl_analysis_tickets[[#This Row],[first_response_minutes]]&gt;tbl_analysis_tickets[[#This Row],[First Response SLA Minutes]],"Breached","Within SLA")</f>
        <v>Within SLA</v>
      </c>
      <c r="O1110" t="str" cm="1">
        <f t="array" ref="O1110">_xlfn.IFS(
tbl_analysis_tickets[[#This Row],[agent_experience_years]]&lt;=2,"Junior",
tbl_analysis_tickets[[#This Row],[agent_experience_years]]&lt;=5,"Mid-Level",
tbl_analysis_tickets[[#This Row],[agent_experience_years]]&lt;=8,"Senior",
tbl_analysis_tickets[[#This Row],[agent_experience_years]]&gt;8,"Expert"
)</f>
        <v>Expert</v>
      </c>
      <c r="P1110" cm="1">
        <f t="array" ref="P1110">_xlfn.SWITCH(tbl_analysis_tickets[[#This Row],[customer_satisfaction]],
"Low",1,
"Medium",2,
"High",3
)</f>
        <v>1</v>
      </c>
      <c r="Q1110">
        <f>IF(tbl_analysis_tickets[[#This Row],[reopened]]="Yes",1,0)</f>
        <v>1</v>
      </c>
      <c r="R1110" t="str" cm="1">
        <f t="array" ref="R1110">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110" t="str" cm="1">
        <f t="array" ref="S111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110" t="str">
        <f>TEXT(tbl_analysis_tickets[[#This Row],[created_date]],"mmm-yyyy")</f>
        <v>Jun-2024</v>
      </c>
      <c r="U1110" t="str">
        <f>TEXT(tbl_analysis_tickets[[#This Row],[created_date]],"dddd")</f>
        <v>Saturday</v>
      </c>
      <c r="V1110" cm="1">
        <f t="array" ref="V1110">_xlfn.SWITCH(tbl_analysis_tickets[[#This Row],[priority]],
"Urgent",1,
"High",2,
"Medium",3,
"Low",4
)</f>
        <v>2</v>
      </c>
    </row>
    <row r="1111" spans="1:22" x14ac:dyDescent="0.25">
      <c r="A1111">
        <v>1110</v>
      </c>
      <c r="B1111" s="1">
        <v>45569</v>
      </c>
      <c r="C1111" t="s">
        <v>14</v>
      </c>
      <c r="D1111" t="s">
        <v>15</v>
      </c>
      <c r="E1111">
        <v>133</v>
      </c>
      <c r="F1111">
        <v>29</v>
      </c>
      <c r="G1111">
        <v>6</v>
      </c>
      <c r="H1111" t="s">
        <v>12</v>
      </c>
      <c r="I1111" t="s">
        <v>19</v>
      </c>
      <c r="J1111" t="s">
        <v>11</v>
      </c>
      <c r="K1111">
        <f>_xlfn.XLOOKUP(tbl_analysis_tickets[[#This Row],[priority]],tbl_sla[priority],tbl_sla[Resolution SLA Hours])</f>
        <v>48</v>
      </c>
      <c r="L1111">
        <f>_xlfn.XLOOKUP(tbl_analysis_tickets[[#This Row],[priority]],tbl_sla[priority],tbl_sla[First Response SLA Minutes])</f>
        <v>120</v>
      </c>
      <c r="M1111" t="str">
        <f>IF(tbl_analysis_tickets[[#This Row],[resolution_time_hours]]&gt;tbl_analysis_tickets[[#This Row],[Resolution SLA Hours]],"Breached","Within SLA")</f>
        <v>Within SLA</v>
      </c>
      <c r="N1111" t="str">
        <f>IF(tbl_analysis_tickets[[#This Row],[first_response_minutes]]&gt;tbl_analysis_tickets[[#This Row],[First Response SLA Minutes]],"Breached","Within SLA")</f>
        <v>Breached</v>
      </c>
      <c r="O1111" t="str" cm="1">
        <f t="array" ref="O1111">_xlfn.IFS(
tbl_analysis_tickets[[#This Row],[agent_experience_years]]&lt;=2,"Junior",
tbl_analysis_tickets[[#This Row],[agent_experience_years]]&lt;=5,"Mid-Level",
tbl_analysis_tickets[[#This Row],[agent_experience_years]]&lt;=8,"Senior",
tbl_analysis_tickets[[#This Row],[agent_experience_years]]&gt;8,"Expert"
)</f>
        <v>Senior</v>
      </c>
      <c r="P1111" cm="1">
        <f t="array" ref="P1111">_xlfn.SWITCH(tbl_analysis_tickets[[#This Row],[customer_satisfaction]],
"Low",1,
"Medium",2,
"High",3
)</f>
        <v>1</v>
      </c>
      <c r="Q1111">
        <f>IF(tbl_analysis_tickets[[#This Row],[reopened]]="Yes",1,0)</f>
        <v>1</v>
      </c>
      <c r="R1111" t="str" cm="1">
        <f t="array" ref="R1111">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111" t="str" cm="1">
        <f t="array" ref="S111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111" t="str">
        <f>TEXT(tbl_analysis_tickets[[#This Row],[created_date]],"mmm-yyyy")</f>
        <v>Oct-2024</v>
      </c>
      <c r="U1111" t="str">
        <f>TEXT(tbl_analysis_tickets[[#This Row],[created_date]],"dddd")</f>
        <v>Friday</v>
      </c>
      <c r="V1111" cm="1">
        <f t="array" ref="V1111">_xlfn.SWITCH(tbl_analysis_tickets[[#This Row],[priority]],
"Urgent",1,
"High",2,
"Medium",3,
"Low",4
)</f>
        <v>3</v>
      </c>
    </row>
    <row r="1112" spans="1:22" x14ac:dyDescent="0.25">
      <c r="A1112">
        <v>1111</v>
      </c>
      <c r="B1112" s="1">
        <v>45459</v>
      </c>
      <c r="C1112" t="s">
        <v>21</v>
      </c>
      <c r="D1112" t="s">
        <v>20</v>
      </c>
      <c r="E1112">
        <v>237</v>
      </c>
      <c r="F1112">
        <v>47</v>
      </c>
      <c r="G1112">
        <v>1.9</v>
      </c>
      <c r="H1112" t="s">
        <v>12</v>
      </c>
      <c r="I1112" t="s">
        <v>19</v>
      </c>
      <c r="J1112" t="s">
        <v>11</v>
      </c>
      <c r="K1112">
        <f>_xlfn.XLOOKUP(tbl_analysis_tickets[[#This Row],[priority]],tbl_sla[priority],tbl_sla[Resolution SLA Hours])</f>
        <v>24</v>
      </c>
      <c r="L1112">
        <f>_xlfn.XLOOKUP(tbl_analysis_tickets[[#This Row],[priority]],tbl_sla[priority],tbl_sla[First Response SLA Minutes])</f>
        <v>60</v>
      </c>
      <c r="M1112" t="str">
        <f>IF(tbl_analysis_tickets[[#This Row],[resolution_time_hours]]&gt;tbl_analysis_tickets[[#This Row],[Resolution SLA Hours]],"Breached","Within SLA")</f>
        <v>Breached</v>
      </c>
      <c r="N1112" t="str">
        <f>IF(tbl_analysis_tickets[[#This Row],[first_response_minutes]]&gt;tbl_analysis_tickets[[#This Row],[First Response SLA Minutes]],"Breached","Within SLA")</f>
        <v>Breached</v>
      </c>
      <c r="O1112" t="str" cm="1">
        <f t="array" ref="O1112">_xlfn.IFS(
tbl_analysis_tickets[[#This Row],[agent_experience_years]]&lt;=2,"Junior",
tbl_analysis_tickets[[#This Row],[agent_experience_years]]&lt;=5,"Mid-Level",
tbl_analysis_tickets[[#This Row],[agent_experience_years]]&lt;=8,"Senior",
tbl_analysis_tickets[[#This Row],[agent_experience_years]]&gt;8,"Expert"
)</f>
        <v>Junior</v>
      </c>
      <c r="P1112" cm="1">
        <f t="array" ref="P1112">_xlfn.SWITCH(tbl_analysis_tickets[[#This Row],[customer_satisfaction]],
"Low",1,
"Medium",2,
"High",3
)</f>
        <v>1</v>
      </c>
      <c r="Q1112">
        <f>IF(tbl_analysis_tickets[[#This Row],[reopened]]="Yes",1,0)</f>
        <v>1</v>
      </c>
      <c r="R1112" t="str" cm="1">
        <f t="array" ref="R1112">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112" t="str" cm="1">
        <f t="array" ref="S111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112" t="str">
        <f>TEXT(tbl_analysis_tickets[[#This Row],[created_date]],"mmm-yyyy")</f>
        <v>Jun-2024</v>
      </c>
      <c r="U1112" t="str">
        <f>TEXT(tbl_analysis_tickets[[#This Row],[created_date]],"dddd")</f>
        <v>Sunday</v>
      </c>
      <c r="V1112" cm="1">
        <f t="array" ref="V1112">_xlfn.SWITCH(tbl_analysis_tickets[[#This Row],[priority]],
"Urgent",1,
"High",2,
"Medium",3,
"Low",4
)</f>
        <v>2</v>
      </c>
    </row>
    <row r="1113" spans="1:22" x14ac:dyDescent="0.25">
      <c r="A1113">
        <v>1112</v>
      </c>
      <c r="B1113" s="1">
        <v>45312</v>
      </c>
      <c r="C1113" t="s">
        <v>14</v>
      </c>
      <c r="D1113" t="s">
        <v>11</v>
      </c>
      <c r="E1113">
        <v>149</v>
      </c>
      <c r="F1113">
        <v>48</v>
      </c>
      <c r="G1113">
        <v>5.5</v>
      </c>
      <c r="H1113" t="s">
        <v>18</v>
      </c>
      <c r="I1113" t="s">
        <v>13</v>
      </c>
      <c r="J1113" t="s">
        <v>15</v>
      </c>
      <c r="K1113">
        <f>_xlfn.XLOOKUP(tbl_analysis_tickets[[#This Row],[priority]],tbl_sla[priority],tbl_sla[Resolution SLA Hours])</f>
        <v>72</v>
      </c>
      <c r="L1113">
        <f>_xlfn.XLOOKUP(tbl_analysis_tickets[[#This Row],[priority]],tbl_sla[priority],tbl_sla[First Response SLA Minutes])</f>
        <v>240</v>
      </c>
      <c r="M1113" t="str">
        <f>IF(tbl_analysis_tickets[[#This Row],[resolution_time_hours]]&gt;tbl_analysis_tickets[[#This Row],[Resolution SLA Hours]],"Breached","Within SLA")</f>
        <v>Within SLA</v>
      </c>
      <c r="N1113" t="str">
        <f>IF(tbl_analysis_tickets[[#This Row],[first_response_minutes]]&gt;tbl_analysis_tickets[[#This Row],[First Response SLA Minutes]],"Breached","Within SLA")</f>
        <v>Within SLA</v>
      </c>
      <c r="O1113" t="str" cm="1">
        <f t="array" ref="O1113">_xlfn.IFS(
tbl_analysis_tickets[[#This Row],[agent_experience_years]]&lt;=2,"Junior",
tbl_analysis_tickets[[#This Row],[agent_experience_years]]&lt;=5,"Mid-Level",
tbl_analysis_tickets[[#This Row],[agent_experience_years]]&lt;=8,"Senior",
tbl_analysis_tickets[[#This Row],[agent_experience_years]]&gt;8,"Expert"
)</f>
        <v>Senior</v>
      </c>
      <c r="P1113" cm="1">
        <f t="array" ref="P1113">_xlfn.SWITCH(tbl_analysis_tickets[[#This Row],[customer_satisfaction]],
"Low",1,
"Medium",2,
"High",3
)</f>
        <v>2</v>
      </c>
      <c r="Q1113">
        <f>IF(tbl_analysis_tickets[[#This Row],[reopened]]="Yes",1,0)</f>
        <v>0</v>
      </c>
      <c r="R1113" t="str" cm="1">
        <f t="array" ref="R1113">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113" t="str" cm="1">
        <f t="array" ref="S111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113" t="str">
        <f>TEXT(tbl_analysis_tickets[[#This Row],[created_date]],"mmm-yyyy")</f>
        <v>Jan-2024</v>
      </c>
      <c r="U1113" t="str">
        <f>TEXT(tbl_analysis_tickets[[#This Row],[created_date]],"dddd")</f>
        <v>Sunday</v>
      </c>
      <c r="V1113" cm="1">
        <f t="array" ref="V1113">_xlfn.SWITCH(tbl_analysis_tickets[[#This Row],[priority]],
"Urgent",1,
"High",2,
"Medium",3,
"Low",4
)</f>
        <v>4</v>
      </c>
    </row>
    <row r="1114" spans="1:22" x14ac:dyDescent="0.25">
      <c r="A1114">
        <v>1113</v>
      </c>
      <c r="B1114" s="1">
        <v>45467</v>
      </c>
      <c r="C1114" t="s">
        <v>10</v>
      </c>
      <c r="D1114" t="s">
        <v>20</v>
      </c>
      <c r="E1114">
        <v>171</v>
      </c>
      <c r="F1114">
        <v>63</v>
      </c>
      <c r="G1114">
        <v>4.8</v>
      </c>
      <c r="H1114" t="s">
        <v>18</v>
      </c>
      <c r="I1114" t="s">
        <v>13</v>
      </c>
      <c r="J1114" t="s">
        <v>11</v>
      </c>
      <c r="K1114">
        <f>_xlfn.XLOOKUP(tbl_analysis_tickets[[#This Row],[priority]],tbl_sla[priority],tbl_sla[Resolution SLA Hours])</f>
        <v>24</v>
      </c>
      <c r="L1114">
        <f>_xlfn.XLOOKUP(tbl_analysis_tickets[[#This Row],[priority]],tbl_sla[priority],tbl_sla[First Response SLA Minutes])</f>
        <v>60</v>
      </c>
      <c r="M1114" t="str">
        <f>IF(tbl_analysis_tickets[[#This Row],[resolution_time_hours]]&gt;tbl_analysis_tickets[[#This Row],[Resolution SLA Hours]],"Breached","Within SLA")</f>
        <v>Breached</v>
      </c>
      <c r="N1114" t="str">
        <f>IF(tbl_analysis_tickets[[#This Row],[first_response_minutes]]&gt;tbl_analysis_tickets[[#This Row],[First Response SLA Minutes]],"Breached","Within SLA")</f>
        <v>Breached</v>
      </c>
      <c r="O1114" t="str" cm="1">
        <f t="array" ref="O1114">_xlfn.IFS(
tbl_analysis_tickets[[#This Row],[agent_experience_years]]&lt;=2,"Junior",
tbl_analysis_tickets[[#This Row],[agent_experience_years]]&lt;=5,"Mid-Level",
tbl_analysis_tickets[[#This Row],[agent_experience_years]]&lt;=8,"Senior",
tbl_analysis_tickets[[#This Row],[agent_experience_years]]&gt;8,"Expert"
)</f>
        <v>Mid-Level</v>
      </c>
      <c r="P1114" cm="1">
        <f t="array" ref="P1114">_xlfn.SWITCH(tbl_analysis_tickets[[#This Row],[customer_satisfaction]],
"Low",1,
"Medium",2,
"High",3
)</f>
        <v>1</v>
      </c>
      <c r="Q1114">
        <f>IF(tbl_analysis_tickets[[#This Row],[reopened]]="Yes",1,0)</f>
        <v>0</v>
      </c>
      <c r="R1114" t="str" cm="1">
        <f t="array" ref="R1114">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114" t="str" cm="1">
        <f t="array" ref="S111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114" t="str">
        <f>TEXT(tbl_analysis_tickets[[#This Row],[created_date]],"mmm-yyyy")</f>
        <v>Jun-2024</v>
      </c>
      <c r="U1114" t="str">
        <f>TEXT(tbl_analysis_tickets[[#This Row],[created_date]],"dddd")</f>
        <v>Monday</v>
      </c>
      <c r="V1114" cm="1">
        <f t="array" ref="V1114">_xlfn.SWITCH(tbl_analysis_tickets[[#This Row],[priority]],
"Urgent",1,
"High",2,
"Medium",3,
"Low",4
)</f>
        <v>2</v>
      </c>
    </row>
    <row r="1115" spans="1:22" x14ac:dyDescent="0.25">
      <c r="A1115">
        <v>1114</v>
      </c>
      <c r="B1115" s="1">
        <v>45457</v>
      </c>
      <c r="C1115" t="s">
        <v>10</v>
      </c>
      <c r="D1115" t="s">
        <v>20</v>
      </c>
      <c r="E1115">
        <v>222</v>
      </c>
      <c r="F1115">
        <v>3</v>
      </c>
      <c r="G1115">
        <v>3.2</v>
      </c>
      <c r="H1115" t="s">
        <v>12</v>
      </c>
      <c r="I1115" t="s">
        <v>13</v>
      </c>
      <c r="J1115" t="s">
        <v>11</v>
      </c>
      <c r="K1115">
        <f>_xlfn.XLOOKUP(tbl_analysis_tickets[[#This Row],[priority]],tbl_sla[priority],tbl_sla[Resolution SLA Hours])</f>
        <v>24</v>
      </c>
      <c r="L1115">
        <f>_xlfn.XLOOKUP(tbl_analysis_tickets[[#This Row],[priority]],tbl_sla[priority],tbl_sla[First Response SLA Minutes])</f>
        <v>60</v>
      </c>
      <c r="M1115" t="str">
        <f>IF(tbl_analysis_tickets[[#This Row],[resolution_time_hours]]&gt;tbl_analysis_tickets[[#This Row],[Resolution SLA Hours]],"Breached","Within SLA")</f>
        <v>Within SLA</v>
      </c>
      <c r="N1115" t="str">
        <f>IF(tbl_analysis_tickets[[#This Row],[first_response_minutes]]&gt;tbl_analysis_tickets[[#This Row],[First Response SLA Minutes]],"Breached","Within SLA")</f>
        <v>Breached</v>
      </c>
      <c r="O1115" t="str" cm="1">
        <f t="array" ref="O1115">_xlfn.IFS(
tbl_analysis_tickets[[#This Row],[agent_experience_years]]&lt;=2,"Junior",
tbl_analysis_tickets[[#This Row],[agent_experience_years]]&lt;=5,"Mid-Level",
tbl_analysis_tickets[[#This Row],[agent_experience_years]]&lt;=8,"Senior",
tbl_analysis_tickets[[#This Row],[agent_experience_years]]&gt;8,"Expert"
)</f>
        <v>Mid-Level</v>
      </c>
      <c r="P1115" cm="1">
        <f t="array" ref="P1115">_xlfn.SWITCH(tbl_analysis_tickets[[#This Row],[customer_satisfaction]],
"Low",1,
"Medium",2,
"High",3
)</f>
        <v>1</v>
      </c>
      <c r="Q1115">
        <f>IF(tbl_analysis_tickets[[#This Row],[reopened]]="Yes",1,0)</f>
        <v>1</v>
      </c>
      <c r="R1115" t="str" cm="1">
        <f t="array" ref="R1115">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115" t="str" cm="1">
        <f t="array" ref="S111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1115" t="str">
        <f>TEXT(tbl_analysis_tickets[[#This Row],[created_date]],"mmm-yyyy")</f>
        <v>Jun-2024</v>
      </c>
      <c r="U1115" t="str">
        <f>TEXT(tbl_analysis_tickets[[#This Row],[created_date]],"dddd")</f>
        <v>Friday</v>
      </c>
      <c r="V1115" cm="1">
        <f t="array" ref="V1115">_xlfn.SWITCH(tbl_analysis_tickets[[#This Row],[priority]],
"Urgent",1,
"High",2,
"Medium",3,
"Low",4
)</f>
        <v>2</v>
      </c>
    </row>
    <row r="1116" spans="1:22" x14ac:dyDescent="0.25">
      <c r="A1116">
        <v>1115</v>
      </c>
      <c r="B1116" s="1">
        <v>45417</v>
      </c>
      <c r="C1116" t="s">
        <v>14</v>
      </c>
      <c r="D1116" t="s">
        <v>20</v>
      </c>
      <c r="E1116">
        <v>205</v>
      </c>
      <c r="F1116">
        <v>54</v>
      </c>
      <c r="G1116">
        <v>9.5</v>
      </c>
      <c r="H1116" t="s">
        <v>12</v>
      </c>
      <c r="I1116" t="s">
        <v>16</v>
      </c>
      <c r="J1116" t="s">
        <v>11</v>
      </c>
      <c r="K1116">
        <f>_xlfn.XLOOKUP(tbl_analysis_tickets[[#This Row],[priority]],tbl_sla[priority],tbl_sla[Resolution SLA Hours])</f>
        <v>24</v>
      </c>
      <c r="L1116">
        <f>_xlfn.XLOOKUP(tbl_analysis_tickets[[#This Row],[priority]],tbl_sla[priority],tbl_sla[First Response SLA Minutes])</f>
        <v>60</v>
      </c>
      <c r="M1116" t="str">
        <f>IF(tbl_analysis_tickets[[#This Row],[resolution_time_hours]]&gt;tbl_analysis_tickets[[#This Row],[Resolution SLA Hours]],"Breached","Within SLA")</f>
        <v>Breached</v>
      </c>
      <c r="N1116" t="str">
        <f>IF(tbl_analysis_tickets[[#This Row],[first_response_minutes]]&gt;tbl_analysis_tickets[[#This Row],[First Response SLA Minutes]],"Breached","Within SLA")</f>
        <v>Breached</v>
      </c>
      <c r="O1116" t="str" cm="1">
        <f t="array" ref="O1116">_xlfn.IFS(
tbl_analysis_tickets[[#This Row],[agent_experience_years]]&lt;=2,"Junior",
tbl_analysis_tickets[[#This Row],[agent_experience_years]]&lt;=5,"Mid-Level",
tbl_analysis_tickets[[#This Row],[agent_experience_years]]&lt;=8,"Senior",
tbl_analysis_tickets[[#This Row],[agent_experience_years]]&gt;8,"Expert"
)</f>
        <v>Expert</v>
      </c>
      <c r="P1116" cm="1">
        <f t="array" ref="P1116">_xlfn.SWITCH(tbl_analysis_tickets[[#This Row],[customer_satisfaction]],
"Low",1,
"Medium",2,
"High",3
)</f>
        <v>1</v>
      </c>
      <c r="Q1116">
        <f>IF(tbl_analysis_tickets[[#This Row],[reopened]]="Yes",1,0)</f>
        <v>1</v>
      </c>
      <c r="R1116" t="str" cm="1">
        <f t="array" ref="R1116">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116" t="str" cm="1">
        <f t="array" ref="S111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116" t="str">
        <f>TEXT(tbl_analysis_tickets[[#This Row],[created_date]],"mmm-yyyy")</f>
        <v>May-2024</v>
      </c>
      <c r="U1116" t="str">
        <f>TEXT(tbl_analysis_tickets[[#This Row],[created_date]],"dddd")</f>
        <v>Sunday</v>
      </c>
      <c r="V1116" cm="1">
        <f t="array" ref="V1116">_xlfn.SWITCH(tbl_analysis_tickets[[#This Row],[priority]],
"Urgent",1,
"High",2,
"Medium",3,
"Low",4
)</f>
        <v>2</v>
      </c>
    </row>
    <row r="1117" spans="1:22" x14ac:dyDescent="0.25">
      <c r="A1117">
        <v>1116</v>
      </c>
      <c r="B1117" s="1">
        <v>45339</v>
      </c>
      <c r="C1117" t="s">
        <v>22</v>
      </c>
      <c r="D1117" t="s">
        <v>20</v>
      </c>
      <c r="E1117">
        <v>194</v>
      </c>
      <c r="F1117">
        <v>67</v>
      </c>
      <c r="G1117">
        <v>8.6999999999999993</v>
      </c>
      <c r="H1117" t="s">
        <v>18</v>
      </c>
      <c r="I1117" t="s">
        <v>16</v>
      </c>
      <c r="J1117" t="s">
        <v>11</v>
      </c>
      <c r="K1117">
        <f>_xlfn.XLOOKUP(tbl_analysis_tickets[[#This Row],[priority]],tbl_sla[priority],tbl_sla[Resolution SLA Hours])</f>
        <v>24</v>
      </c>
      <c r="L1117">
        <f>_xlfn.XLOOKUP(tbl_analysis_tickets[[#This Row],[priority]],tbl_sla[priority],tbl_sla[First Response SLA Minutes])</f>
        <v>60</v>
      </c>
      <c r="M1117" t="str">
        <f>IF(tbl_analysis_tickets[[#This Row],[resolution_time_hours]]&gt;tbl_analysis_tickets[[#This Row],[Resolution SLA Hours]],"Breached","Within SLA")</f>
        <v>Breached</v>
      </c>
      <c r="N1117" t="str">
        <f>IF(tbl_analysis_tickets[[#This Row],[first_response_minutes]]&gt;tbl_analysis_tickets[[#This Row],[First Response SLA Minutes]],"Breached","Within SLA")</f>
        <v>Breached</v>
      </c>
      <c r="O1117" t="str" cm="1">
        <f t="array" ref="O1117">_xlfn.IFS(
tbl_analysis_tickets[[#This Row],[agent_experience_years]]&lt;=2,"Junior",
tbl_analysis_tickets[[#This Row],[agent_experience_years]]&lt;=5,"Mid-Level",
tbl_analysis_tickets[[#This Row],[agent_experience_years]]&lt;=8,"Senior",
tbl_analysis_tickets[[#This Row],[agent_experience_years]]&gt;8,"Expert"
)</f>
        <v>Expert</v>
      </c>
      <c r="P1117" cm="1">
        <f t="array" ref="P1117">_xlfn.SWITCH(tbl_analysis_tickets[[#This Row],[customer_satisfaction]],
"Low",1,
"Medium",2,
"High",3
)</f>
        <v>1</v>
      </c>
      <c r="Q1117">
        <f>IF(tbl_analysis_tickets[[#This Row],[reopened]]="Yes",1,0)</f>
        <v>0</v>
      </c>
      <c r="R1117" t="str" cm="1">
        <f t="array" ref="R1117">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117" t="str" cm="1">
        <f t="array" ref="S111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117" t="str">
        <f>TEXT(tbl_analysis_tickets[[#This Row],[created_date]],"mmm-yyyy")</f>
        <v>Feb-2024</v>
      </c>
      <c r="U1117" t="str">
        <f>TEXT(tbl_analysis_tickets[[#This Row],[created_date]],"dddd")</f>
        <v>Saturday</v>
      </c>
      <c r="V1117" cm="1">
        <f t="array" ref="V1117">_xlfn.SWITCH(tbl_analysis_tickets[[#This Row],[priority]],
"Urgent",1,
"High",2,
"Medium",3,
"Low",4
)</f>
        <v>2</v>
      </c>
    </row>
    <row r="1118" spans="1:22" x14ac:dyDescent="0.25">
      <c r="A1118">
        <v>1117</v>
      </c>
      <c r="B1118" s="1">
        <v>45316</v>
      </c>
      <c r="C1118" t="s">
        <v>23</v>
      </c>
      <c r="D1118" t="s">
        <v>20</v>
      </c>
      <c r="E1118">
        <v>38</v>
      </c>
      <c r="F1118">
        <v>20</v>
      </c>
      <c r="G1118">
        <v>2.5</v>
      </c>
      <c r="H1118" t="s">
        <v>18</v>
      </c>
      <c r="I1118" t="s">
        <v>13</v>
      </c>
      <c r="J1118" t="s">
        <v>11</v>
      </c>
      <c r="K1118">
        <f>_xlfn.XLOOKUP(tbl_analysis_tickets[[#This Row],[priority]],tbl_sla[priority],tbl_sla[Resolution SLA Hours])</f>
        <v>24</v>
      </c>
      <c r="L1118">
        <f>_xlfn.XLOOKUP(tbl_analysis_tickets[[#This Row],[priority]],tbl_sla[priority],tbl_sla[First Response SLA Minutes])</f>
        <v>60</v>
      </c>
      <c r="M1118" t="str">
        <f>IF(tbl_analysis_tickets[[#This Row],[resolution_time_hours]]&gt;tbl_analysis_tickets[[#This Row],[Resolution SLA Hours]],"Breached","Within SLA")</f>
        <v>Within SLA</v>
      </c>
      <c r="N1118" t="str">
        <f>IF(tbl_analysis_tickets[[#This Row],[first_response_minutes]]&gt;tbl_analysis_tickets[[#This Row],[First Response SLA Minutes]],"Breached","Within SLA")</f>
        <v>Within SLA</v>
      </c>
      <c r="O1118" t="str" cm="1">
        <f t="array" ref="O1118">_xlfn.IFS(
tbl_analysis_tickets[[#This Row],[agent_experience_years]]&lt;=2,"Junior",
tbl_analysis_tickets[[#This Row],[agent_experience_years]]&lt;=5,"Mid-Level",
tbl_analysis_tickets[[#This Row],[agent_experience_years]]&lt;=8,"Senior",
tbl_analysis_tickets[[#This Row],[agent_experience_years]]&gt;8,"Expert"
)</f>
        <v>Mid-Level</v>
      </c>
      <c r="P1118" cm="1">
        <f t="array" ref="P1118">_xlfn.SWITCH(tbl_analysis_tickets[[#This Row],[customer_satisfaction]],
"Low",1,
"Medium",2,
"High",3
)</f>
        <v>1</v>
      </c>
      <c r="Q1118">
        <f>IF(tbl_analysis_tickets[[#This Row],[reopened]]="Yes",1,0)</f>
        <v>0</v>
      </c>
      <c r="R1118" t="str" cm="1">
        <f t="array" ref="R1118">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118" t="str" cm="1">
        <f t="array" ref="S111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118" t="str">
        <f>TEXT(tbl_analysis_tickets[[#This Row],[created_date]],"mmm-yyyy")</f>
        <v>Jan-2024</v>
      </c>
      <c r="U1118" t="str">
        <f>TEXT(tbl_analysis_tickets[[#This Row],[created_date]],"dddd")</f>
        <v>Thursday</v>
      </c>
      <c r="V1118" cm="1">
        <f t="array" ref="V1118">_xlfn.SWITCH(tbl_analysis_tickets[[#This Row],[priority]],
"Urgent",1,
"High",2,
"Medium",3,
"Low",4
)</f>
        <v>2</v>
      </c>
    </row>
    <row r="1119" spans="1:22" x14ac:dyDescent="0.25">
      <c r="A1119">
        <v>1118</v>
      </c>
      <c r="B1119" s="1">
        <v>45456</v>
      </c>
      <c r="C1119" t="s">
        <v>14</v>
      </c>
      <c r="D1119" t="s">
        <v>20</v>
      </c>
      <c r="E1119">
        <v>105</v>
      </c>
      <c r="F1119">
        <v>30</v>
      </c>
      <c r="G1119">
        <v>2.1</v>
      </c>
      <c r="H1119" t="s">
        <v>12</v>
      </c>
      <c r="I1119" t="s">
        <v>13</v>
      </c>
      <c r="J1119" t="s">
        <v>11</v>
      </c>
      <c r="K1119">
        <f>_xlfn.XLOOKUP(tbl_analysis_tickets[[#This Row],[priority]],tbl_sla[priority],tbl_sla[Resolution SLA Hours])</f>
        <v>24</v>
      </c>
      <c r="L1119">
        <f>_xlfn.XLOOKUP(tbl_analysis_tickets[[#This Row],[priority]],tbl_sla[priority],tbl_sla[First Response SLA Minutes])</f>
        <v>60</v>
      </c>
      <c r="M1119" t="str">
        <f>IF(tbl_analysis_tickets[[#This Row],[resolution_time_hours]]&gt;tbl_analysis_tickets[[#This Row],[Resolution SLA Hours]],"Breached","Within SLA")</f>
        <v>Breached</v>
      </c>
      <c r="N1119" t="str">
        <f>IF(tbl_analysis_tickets[[#This Row],[first_response_minutes]]&gt;tbl_analysis_tickets[[#This Row],[First Response SLA Minutes]],"Breached","Within SLA")</f>
        <v>Breached</v>
      </c>
      <c r="O1119" t="str" cm="1">
        <f t="array" ref="O1119">_xlfn.IFS(
tbl_analysis_tickets[[#This Row],[agent_experience_years]]&lt;=2,"Junior",
tbl_analysis_tickets[[#This Row],[agent_experience_years]]&lt;=5,"Mid-Level",
tbl_analysis_tickets[[#This Row],[agent_experience_years]]&lt;=8,"Senior",
tbl_analysis_tickets[[#This Row],[agent_experience_years]]&gt;8,"Expert"
)</f>
        <v>Mid-Level</v>
      </c>
      <c r="P1119" cm="1">
        <f t="array" ref="P1119">_xlfn.SWITCH(tbl_analysis_tickets[[#This Row],[customer_satisfaction]],
"Low",1,
"Medium",2,
"High",3
)</f>
        <v>1</v>
      </c>
      <c r="Q1119">
        <f>IF(tbl_analysis_tickets[[#This Row],[reopened]]="Yes",1,0)</f>
        <v>1</v>
      </c>
      <c r="R1119" t="str" cm="1">
        <f t="array" ref="R1119">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119" t="str" cm="1">
        <f t="array" ref="S111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119" t="str">
        <f>TEXT(tbl_analysis_tickets[[#This Row],[created_date]],"mmm-yyyy")</f>
        <v>Jun-2024</v>
      </c>
      <c r="U1119" t="str">
        <f>TEXT(tbl_analysis_tickets[[#This Row],[created_date]],"dddd")</f>
        <v>Thursday</v>
      </c>
      <c r="V1119" cm="1">
        <f t="array" ref="V1119">_xlfn.SWITCH(tbl_analysis_tickets[[#This Row],[priority]],
"Urgent",1,
"High",2,
"Medium",3,
"Low",4
)</f>
        <v>2</v>
      </c>
    </row>
    <row r="1120" spans="1:22" x14ac:dyDescent="0.25">
      <c r="A1120">
        <v>1119</v>
      </c>
      <c r="B1120" s="1">
        <v>45461</v>
      </c>
      <c r="C1120" t="s">
        <v>22</v>
      </c>
      <c r="D1120" t="s">
        <v>11</v>
      </c>
      <c r="E1120">
        <v>162</v>
      </c>
      <c r="F1120">
        <v>23</v>
      </c>
      <c r="G1120">
        <v>9.9</v>
      </c>
      <c r="H1120" t="s">
        <v>18</v>
      </c>
      <c r="I1120" t="s">
        <v>19</v>
      </c>
      <c r="J1120" t="s">
        <v>15</v>
      </c>
      <c r="K1120">
        <f>_xlfn.XLOOKUP(tbl_analysis_tickets[[#This Row],[priority]],tbl_sla[priority],tbl_sla[Resolution SLA Hours])</f>
        <v>72</v>
      </c>
      <c r="L1120">
        <f>_xlfn.XLOOKUP(tbl_analysis_tickets[[#This Row],[priority]],tbl_sla[priority],tbl_sla[First Response SLA Minutes])</f>
        <v>240</v>
      </c>
      <c r="M1120" t="str">
        <f>IF(tbl_analysis_tickets[[#This Row],[resolution_time_hours]]&gt;tbl_analysis_tickets[[#This Row],[Resolution SLA Hours]],"Breached","Within SLA")</f>
        <v>Within SLA</v>
      </c>
      <c r="N1120" t="str">
        <f>IF(tbl_analysis_tickets[[#This Row],[first_response_minutes]]&gt;tbl_analysis_tickets[[#This Row],[First Response SLA Minutes]],"Breached","Within SLA")</f>
        <v>Within SLA</v>
      </c>
      <c r="O1120" t="str" cm="1">
        <f t="array" ref="O1120">_xlfn.IFS(
tbl_analysis_tickets[[#This Row],[agent_experience_years]]&lt;=2,"Junior",
tbl_analysis_tickets[[#This Row],[agent_experience_years]]&lt;=5,"Mid-Level",
tbl_analysis_tickets[[#This Row],[agent_experience_years]]&lt;=8,"Senior",
tbl_analysis_tickets[[#This Row],[agent_experience_years]]&gt;8,"Expert"
)</f>
        <v>Expert</v>
      </c>
      <c r="P1120" cm="1">
        <f t="array" ref="P1120">_xlfn.SWITCH(tbl_analysis_tickets[[#This Row],[customer_satisfaction]],
"Low",1,
"Medium",2,
"High",3
)</f>
        <v>2</v>
      </c>
      <c r="Q1120">
        <f>IF(tbl_analysis_tickets[[#This Row],[reopened]]="Yes",1,0)</f>
        <v>0</v>
      </c>
      <c r="R1120" t="str" cm="1">
        <f t="array" ref="R1120">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120" t="str" cm="1">
        <f t="array" ref="S112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120" t="str">
        <f>TEXT(tbl_analysis_tickets[[#This Row],[created_date]],"mmm-yyyy")</f>
        <v>Jun-2024</v>
      </c>
      <c r="U1120" t="str">
        <f>TEXT(tbl_analysis_tickets[[#This Row],[created_date]],"dddd")</f>
        <v>Tuesday</v>
      </c>
      <c r="V1120" cm="1">
        <f t="array" ref="V1120">_xlfn.SWITCH(tbl_analysis_tickets[[#This Row],[priority]],
"Urgent",1,
"High",2,
"Medium",3,
"Low",4
)</f>
        <v>4</v>
      </c>
    </row>
    <row r="1121" spans="1:22" x14ac:dyDescent="0.25">
      <c r="A1121">
        <v>1120</v>
      </c>
      <c r="B1121" s="1">
        <v>45587</v>
      </c>
      <c r="C1121" t="s">
        <v>14</v>
      </c>
      <c r="D1121" t="s">
        <v>17</v>
      </c>
      <c r="E1121">
        <v>123</v>
      </c>
      <c r="F1121">
        <v>8</v>
      </c>
      <c r="G1121">
        <v>9.6999999999999993</v>
      </c>
      <c r="H1121" t="s">
        <v>18</v>
      </c>
      <c r="I1121" t="s">
        <v>16</v>
      </c>
      <c r="J1121" t="s">
        <v>11</v>
      </c>
      <c r="K1121">
        <f>_xlfn.XLOOKUP(tbl_analysis_tickets[[#This Row],[priority]],tbl_sla[priority],tbl_sla[Resolution SLA Hours])</f>
        <v>8</v>
      </c>
      <c r="L1121">
        <f>_xlfn.XLOOKUP(tbl_analysis_tickets[[#This Row],[priority]],tbl_sla[priority],tbl_sla[First Response SLA Minutes])</f>
        <v>30</v>
      </c>
      <c r="M1121" t="str">
        <f>IF(tbl_analysis_tickets[[#This Row],[resolution_time_hours]]&gt;tbl_analysis_tickets[[#This Row],[Resolution SLA Hours]],"Breached","Within SLA")</f>
        <v>Within SLA</v>
      </c>
      <c r="N1121" t="str">
        <f>IF(tbl_analysis_tickets[[#This Row],[first_response_minutes]]&gt;tbl_analysis_tickets[[#This Row],[First Response SLA Minutes]],"Breached","Within SLA")</f>
        <v>Breached</v>
      </c>
      <c r="O1121" t="str" cm="1">
        <f t="array" ref="O1121">_xlfn.IFS(
tbl_analysis_tickets[[#This Row],[agent_experience_years]]&lt;=2,"Junior",
tbl_analysis_tickets[[#This Row],[agent_experience_years]]&lt;=5,"Mid-Level",
tbl_analysis_tickets[[#This Row],[agent_experience_years]]&lt;=8,"Senior",
tbl_analysis_tickets[[#This Row],[agent_experience_years]]&gt;8,"Expert"
)</f>
        <v>Expert</v>
      </c>
      <c r="P1121" cm="1">
        <f t="array" ref="P1121">_xlfn.SWITCH(tbl_analysis_tickets[[#This Row],[customer_satisfaction]],
"Low",1,
"Medium",2,
"High",3
)</f>
        <v>1</v>
      </c>
      <c r="Q1121">
        <f>IF(tbl_analysis_tickets[[#This Row],[reopened]]="Yes",1,0)</f>
        <v>0</v>
      </c>
      <c r="R1121" t="str" cm="1">
        <f t="array" ref="R1121">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121" t="str" cm="1">
        <f t="array" ref="S112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1121" t="str">
        <f>TEXT(tbl_analysis_tickets[[#This Row],[created_date]],"mmm-yyyy")</f>
        <v>Oct-2024</v>
      </c>
      <c r="U1121" t="str">
        <f>TEXT(tbl_analysis_tickets[[#This Row],[created_date]],"dddd")</f>
        <v>Tuesday</v>
      </c>
      <c r="V1121" cm="1">
        <f t="array" ref="V1121">_xlfn.SWITCH(tbl_analysis_tickets[[#This Row],[priority]],
"Urgent",1,
"High",2,
"Medium",3,
"Low",4
)</f>
        <v>1</v>
      </c>
    </row>
    <row r="1122" spans="1:22" x14ac:dyDescent="0.25">
      <c r="A1122">
        <v>1121</v>
      </c>
      <c r="B1122" s="1">
        <v>45407</v>
      </c>
      <c r="C1122" t="s">
        <v>14</v>
      </c>
      <c r="D1122" t="s">
        <v>11</v>
      </c>
      <c r="E1122">
        <v>54</v>
      </c>
      <c r="F1122">
        <v>58</v>
      </c>
      <c r="G1122">
        <v>0.8</v>
      </c>
      <c r="H1122" t="s">
        <v>12</v>
      </c>
      <c r="I1122" t="s">
        <v>19</v>
      </c>
      <c r="J1122" t="s">
        <v>11</v>
      </c>
      <c r="K1122">
        <f>_xlfn.XLOOKUP(tbl_analysis_tickets[[#This Row],[priority]],tbl_sla[priority],tbl_sla[Resolution SLA Hours])</f>
        <v>72</v>
      </c>
      <c r="L1122">
        <f>_xlfn.XLOOKUP(tbl_analysis_tickets[[#This Row],[priority]],tbl_sla[priority],tbl_sla[First Response SLA Minutes])</f>
        <v>240</v>
      </c>
      <c r="M1122" t="str">
        <f>IF(tbl_analysis_tickets[[#This Row],[resolution_time_hours]]&gt;tbl_analysis_tickets[[#This Row],[Resolution SLA Hours]],"Breached","Within SLA")</f>
        <v>Within SLA</v>
      </c>
      <c r="N1122" t="str">
        <f>IF(tbl_analysis_tickets[[#This Row],[first_response_minutes]]&gt;tbl_analysis_tickets[[#This Row],[First Response SLA Minutes]],"Breached","Within SLA")</f>
        <v>Within SLA</v>
      </c>
      <c r="O1122" t="str" cm="1">
        <f t="array" ref="O1122">_xlfn.IFS(
tbl_analysis_tickets[[#This Row],[agent_experience_years]]&lt;=2,"Junior",
tbl_analysis_tickets[[#This Row],[agent_experience_years]]&lt;=5,"Mid-Level",
tbl_analysis_tickets[[#This Row],[agent_experience_years]]&lt;=8,"Senior",
tbl_analysis_tickets[[#This Row],[agent_experience_years]]&gt;8,"Expert"
)</f>
        <v>Junior</v>
      </c>
      <c r="P1122" cm="1">
        <f t="array" ref="P1122">_xlfn.SWITCH(tbl_analysis_tickets[[#This Row],[customer_satisfaction]],
"Low",1,
"Medium",2,
"High",3
)</f>
        <v>1</v>
      </c>
      <c r="Q1122">
        <f>IF(tbl_analysis_tickets[[#This Row],[reopened]]="Yes",1,0)</f>
        <v>1</v>
      </c>
      <c r="R1122" t="str" cm="1">
        <f t="array" ref="R1122">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122" t="str" cm="1">
        <f t="array" ref="S112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122" t="str">
        <f>TEXT(tbl_analysis_tickets[[#This Row],[created_date]],"mmm-yyyy")</f>
        <v>Apr-2024</v>
      </c>
      <c r="U1122" t="str">
        <f>TEXT(tbl_analysis_tickets[[#This Row],[created_date]],"dddd")</f>
        <v>Thursday</v>
      </c>
      <c r="V1122" cm="1">
        <f t="array" ref="V1122">_xlfn.SWITCH(tbl_analysis_tickets[[#This Row],[priority]],
"Urgent",1,
"High",2,
"Medium",3,
"Low",4
)</f>
        <v>4</v>
      </c>
    </row>
    <row r="1123" spans="1:22" x14ac:dyDescent="0.25">
      <c r="A1123">
        <v>1122</v>
      </c>
      <c r="B1123" s="1">
        <v>45619</v>
      </c>
      <c r="C1123" t="s">
        <v>23</v>
      </c>
      <c r="D1123" t="s">
        <v>20</v>
      </c>
      <c r="E1123">
        <v>68</v>
      </c>
      <c r="F1123">
        <v>1</v>
      </c>
      <c r="G1123">
        <v>8.8000000000000007</v>
      </c>
      <c r="H1123" t="s">
        <v>18</v>
      </c>
      <c r="I1123" t="s">
        <v>13</v>
      </c>
      <c r="J1123" t="s">
        <v>15</v>
      </c>
      <c r="K1123">
        <f>_xlfn.XLOOKUP(tbl_analysis_tickets[[#This Row],[priority]],tbl_sla[priority],tbl_sla[Resolution SLA Hours])</f>
        <v>24</v>
      </c>
      <c r="L1123">
        <f>_xlfn.XLOOKUP(tbl_analysis_tickets[[#This Row],[priority]],tbl_sla[priority],tbl_sla[First Response SLA Minutes])</f>
        <v>60</v>
      </c>
      <c r="M1123" t="str">
        <f>IF(tbl_analysis_tickets[[#This Row],[resolution_time_hours]]&gt;tbl_analysis_tickets[[#This Row],[Resolution SLA Hours]],"Breached","Within SLA")</f>
        <v>Within SLA</v>
      </c>
      <c r="N1123" t="str">
        <f>IF(tbl_analysis_tickets[[#This Row],[first_response_minutes]]&gt;tbl_analysis_tickets[[#This Row],[First Response SLA Minutes]],"Breached","Within SLA")</f>
        <v>Breached</v>
      </c>
      <c r="O1123" t="str" cm="1">
        <f t="array" ref="O1123">_xlfn.IFS(
tbl_analysis_tickets[[#This Row],[agent_experience_years]]&lt;=2,"Junior",
tbl_analysis_tickets[[#This Row],[agent_experience_years]]&lt;=5,"Mid-Level",
tbl_analysis_tickets[[#This Row],[agent_experience_years]]&lt;=8,"Senior",
tbl_analysis_tickets[[#This Row],[agent_experience_years]]&gt;8,"Expert"
)</f>
        <v>Expert</v>
      </c>
      <c r="P1123" cm="1">
        <f t="array" ref="P1123">_xlfn.SWITCH(tbl_analysis_tickets[[#This Row],[customer_satisfaction]],
"Low",1,
"Medium",2,
"High",3
)</f>
        <v>2</v>
      </c>
      <c r="Q1123">
        <f>IF(tbl_analysis_tickets[[#This Row],[reopened]]="Yes",1,0)</f>
        <v>0</v>
      </c>
      <c r="R1123" t="str" cm="1">
        <f t="array" ref="R1123">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123" t="str" cm="1">
        <f t="array" ref="S112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1123" t="str">
        <f>TEXT(tbl_analysis_tickets[[#This Row],[created_date]],"mmm-yyyy")</f>
        <v>Nov-2024</v>
      </c>
      <c r="U1123" t="str">
        <f>TEXT(tbl_analysis_tickets[[#This Row],[created_date]],"dddd")</f>
        <v>Saturday</v>
      </c>
      <c r="V1123" cm="1">
        <f t="array" ref="V1123">_xlfn.SWITCH(tbl_analysis_tickets[[#This Row],[priority]],
"Urgent",1,
"High",2,
"Medium",3,
"Low",4
)</f>
        <v>2</v>
      </c>
    </row>
    <row r="1124" spans="1:22" x14ac:dyDescent="0.25">
      <c r="A1124">
        <v>1123</v>
      </c>
      <c r="B1124" s="1">
        <v>45358</v>
      </c>
      <c r="C1124" t="s">
        <v>14</v>
      </c>
      <c r="D1124" t="s">
        <v>20</v>
      </c>
      <c r="E1124">
        <v>198</v>
      </c>
      <c r="F1124">
        <v>57</v>
      </c>
      <c r="G1124">
        <v>0.8</v>
      </c>
      <c r="H1124" t="s">
        <v>18</v>
      </c>
      <c r="I1124" t="s">
        <v>13</v>
      </c>
      <c r="J1124" t="s">
        <v>11</v>
      </c>
      <c r="K1124">
        <f>_xlfn.XLOOKUP(tbl_analysis_tickets[[#This Row],[priority]],tbl_sla[priority],tbl_sla[Resolution SLA Hours])</f>
        <v>24</v>
      </c>
      <c r="L1124">
        <f>_xlfn.XLOOKUP(tbl_analysis_tickets[[#This Row],[priority]],tbl_sla[priority],tbl_sla[First Response SLA Minutes])</f>
        <v>60</v>
      </c>
      <c r="M1124" t="str">
        <f>IF(tbl_analysis_tickets[[#This Row],[resolution_time_hours]]&gt;tbl_analysis_tickets[[#This Row],[Resolution SLA Hours]],"Breached","Within SLA")</f>
        <v>Breached</v>
      </c>
      <c r="N1124" t="str">
        <f>IF(tbl_analysis_tickets[[#This Row],[first_response_minutes]]&gt;tbl_analysis_tickets[[#This Row],[First Response SLA Minutes]],"Breached","Within SLA")</f>
        <v>Breached</v>
      </c>
      <c r="O1124" t="str" cm="1">
        <f t="array" ref="O1124">_xlfn.IFS(
tbl_analysis_tickets[[#This Row],[agent_experience_years]]&lt;=2,"Junior",
tbl_analysis_tickets[[#This Row],[agent_experience_years]]&lt;=5,"Mid-Level",
tbl_analysis_tickets[[#This Row],[agent_experience_years]]&lt;=8,"Senior",
tbl_analysis_tickets[[#This Row],[agent_experience_years]]&gt;8,"Expert"
)</f>
        <v>Junior</v>
      </c>
      <c r="P1124" cm="1">
        <f t="array" ref="P1124">_xlfn.SWITCH(tbl_analysis_tickets[[#This Row],[customer_satisfaction]],
"Low",1,
"Medium",2,
"High",3
)</f>
        <v>1</v>
      </c>
      <c r="Q1124">
        <f>IF(tbl_analysis_tickets[[#This Row],[reopened]]="Yes",1,0)</f>
        <v>0</v>
      </c>
      <c r="R1124" t="str" cm="1">
        <f t="array" ref="R1124">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124" t="str" cm="1">
        <f t="array" ref="S112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124" t="str">
        <f>TEXT(tbl_analysis_tickets[[#This Row],[created_date]],"mmm-yyyy")</f>
        <v>Mar-2024</v>
      </c>
      <c r="U1124" t="str">
        <f>TEXT(tbl_analysis_tickets[[#This Row],[created_date]],"dddd")</f>
        <v>Thursday</v>
      </c>
      <c r="V1124" cm="1">
        <f t="array" ref="V1124">_xlfn.SWITCH(tbl_analysis_tickets[[#This Row],[priority]],
"Urgent",1,
"High",2,
"Medium",3,
"Low",4
)</f>
        <v>2</v>
      </c>
    </row>
    <row r="1125" spans="1:22" x14ac:dyDescent="0.25">
      <c r="A1125">
        <v>1124</v>
      </c>
      <c r="B1125" s="1">
        <v>45651</v>
      </c>
      <c r="C1125" t="s">
        <v>23</v>
      </c>
      <c r="D1125" t="s">
        <v>17</v>
      </c>
      <c r="E1125">
        <v>135</v>
      </c>
      <c r="F1125">
        <v>3</v>
      </c>
      <c r="G1125">
        <v>9.9</v>
      </c>
      <c r="H1125" t="s">
        <v>12</v>
      </c>
      <c r="I1125" t="s">
        <v>19</v>
      </c>
      <c r="J1125" t="s">
        <v>15</v>
      </c>
      <c r="K1125">
        <f>_xlfn.XLOOKUP(tbl_analysis_tickets[[#This Row],[priority]],tbl_sla[priority],tbl_sla[Resolution SLA Hours])</f>
        <v>8</v>
      </c>
      <c r="L1125">
        <f>_xlfn.XLOOKUP(tbl_analysis_tickets[[#This Row],[priority]],tbl_sla[priority],tbl_sla[First Response SLA Minutes])</f>
        <v>30</v>
      </c>
      <c r="M1125" t="str">
        <f>IF(tbl_analysis_tickets[[#This Row],[resolution_time_hours]]&gt;tbl_analysis_tickets[[#This Row],[Resolution SLA Hours]],"Breached","Within SLA")</f>
        <v>Within SLA</v>
      </c>
      <c r="N1125" t="str">
        <f>IF(tbl_analysis_tickets[[#This Row],[first_response_minutes]]&gt;tbl_analysis_tickets[[#This Row],[First Response SLA Minutes]],"Breached","Within SLA")</f>
        <v>Breached</v>
      </c>
      <c r="O1125" t="str" cm="1">
        <f t="array" ref="O1125">_xlfn.IFS(
tbl_analysis_tickets[[#This Row],[agent_experience_years]]&lt;=2,"Junior",
tbl_analysis_tickets[[#This Row],[agent_experience_years]]&lt;=5,"Mid-Level",
tbl_analysis_tickets[[#This Row],[agent_experience_years]]&lt;=8,"Senior",
tbl_analysis_tickets[[#This Row],[agent_experience_years]]&gt;8,"Expert"
)</f>
        <v>Expert</v>
      </c>
      <c r="P1125" cm="1">
        <f t="array" ref="P1125">_xlfn.SWITCH(tbl_analysis_tickets[[#This Row],[customer_satisfaction]],
"Low",1,
"Medium",2,
"High",3
)</f>
        <v>2</v>
      </c>
      <c r="Q1125">
        <f>IF(tbl_analysis_tickets[[#This Row],[reopened]]="Yes",1,0)</f>
        <v>1</v>
      </c>
      <c r="R1125" t="str" cm="1">
        <f t="array" ref="R1125">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125" t="str" cm="1">
        <f t="array" ref="S112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1125" t="str">
        <f>TEXT(tbl_analysis_tickets[[#This Row],[created_date]],"mmm-yyyy")</f>
        <v>Dec-2024</v>
      </c>
      <c r="U1125" t="str">
        <f>TEXT(tbl_analysis_tickets[[#This Row],[created_date]],"dddd")</f>
        <v>Wednesday</v>
      </c>
      <c r="V1125" cm="1">
        <f t="array" ref="V1125">_xlfn.SWITCH(tbl_analysis_tickets[[#This Row],[priority]],
"Urgent",1,
"High",2,
"Medium",3,
"Low",4
)</f>
        <v>1</v>
      </c>
    </row>
    <row r="1126" spans="1:22" x14ac:dyDescent="0.25">
      <c r="A1126">
        <v>1125</v>
      </c>
      <c r="B1126" s="1">
        <v>45352</v>
      </c>
      <c r="C1126" t="s">
        <v>14</v>
      </c>
      <c r="D1126" t="s">
        <v>15</v>
      </c>
      <c r="E1126">
        <v>223</v>
      </c>
      <c r="F1126">
        <v>66</v>
      </c>
      <c r="G1126">
        <v>1.9</v>
      </c>
      <c r="H1126" t="s">
        <v>12</v>
      </c>
      <c r="I1126" t="s">
        <v>19</v>
      </c>
      <c r="J1126" t="s">
        <v>11</v>
      </c>
      <c r="K1126">
        <f>_xlfn.XLOOKUP(tbl_analysis_tickets[[#This Row],[priority]],tbl_sla[priority],tbl_sla[Resolution SLA Hours])</f>
        <v>48</v>
      </c>
      <c r="L1126">
        <f>_xlfn.XLOOKUP(tbl_analysis_tickets[[#This Row],[priority]],tbl_sla[priority],tbl_sla[First Response SLA Minutes])</f>
        <v>120</v>
      </c>
      <c r="M1126" t="str">
        <f>IF(tbl_analysis_tickets[[#This Row],[resolution_time_hours]]&gt;tbl_analysis_tickets[[#This Row],[Resolution SLA Hours]],"Breached","Within SLA")</f>
        <v>Breached</v>
      </c>
      <c r="N1126" t="str">
        <f>IF(tbl_analysis_tickets[[#This Row],[first_response_minutes]]&gt;tbl_analysis_tickets[[#This Row],[First Response SLA Minutes]],"Breached","Within SLA")</f>
        <v>Breached</v>
      </c>
      <c r="O1126" t="str" cm="1">
        <f t="array" ref="O1126">_xlfn.IFS(
tbl_analysis_tickets[[#This Row],[agent_experience_years]]&lt;=2,"Junior",
tbl_analysis_tickets[[#This Row],[agent_experience_years]]&lt;=5,"Mid-Level",
tbl_analysis_tickets[[#This Row],[agent_experience_years]]&lt;=8,"Senior",
tbl_analysis_tickets[[#This Row],[agent_experience_years]]&gt;8,"Expert"
)</f>
        <v>Junior</v>
      </c>
      <c r="P1126" cm="1">
        <f t="array" ref="P1126">_xlfn.SWITCH(tbl_analysis_tickets[[#This Row],[customer_satisfaction]],
"Low",1,
"Medium",2,
"High",3
)</f>
        <v>1</v>
      </c>
      <c r="Q1126">
        <f>IF(tbl_analysis_tickets[[#This Row],[reopened]]="Yes",1,0)</f>
        <v>1</v>
      </c>
      <c r="R1126" t="str" cm="1">
        <f t="array" ref="R1126">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126" t="str" cm="1">
        <f t="array" ref="S112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126" t="str">
        <f>TEXT(tbl_analysis_tickets[[#This Row],[created_date]],"mmm-yyyy")</f>
        <v>Mar-2024</v>
      </c>
      <c r="U1126" t="str">
        <f>TEXT(tbl_analysis_tickets[[#This Row],[created_date]],"dddd")</f>
        <v>Friday</v>
      </c>
      <c r="V1126" cm="1">
        <f t="array" ref="V1126">_xlfn.SWITCH(tbl_analysis_tickets[[#This Row],[priority]],
"Urgent",1,
"High",2,
"Medium",3,
"Low",4
)</f>
        <v>3</v>
      </c>
    </row>
    <row r="1127" spans="1:22" x14ac:dyDescent="0.25">
      <c r="A1127">
        <v>1126</v>
      </c>
      <c r="B1127" s="1">
        <v>45366</v>
      </c>
      <c r="C1127" t="s">
        <v>14</v>
      </c>
      <c r="D1127" t="s">
        <v>11</v>
      </c>
      <c r="E1127">
        <v>116</v>
      </c>
      <c r="F1127">
        <v>11</v>
      </c>
      <c r="G1127">
        <v>3.9</v>
      </c>
      <c r="H1127" t="s">
        <v>12</v>
      </c>
      <c r="I1127" t="s">
        <v>13</v>
      </c>
      <c r="J1127" t="s">
        <v>11</v>
      </c>
      <c r="K1127">
        <f>_xlfn.XLOOKUP(tbl_analysis_tickets[[#This Row],[priority]],tbl_sla[priority],tbl_sla[Resolution SLA Hours])</f>
        <v>72</v>
      </c>
      <c r="L1127">
        <f>_xlfn.XLOOKUP(tbl_analysis_tickets[[#This Row],[priority]],tbl_sla[priority],tbl_sla[First Response SLA Minutes])</f>
        <v>240</v>
      </c>
      <c r="M1127" t="str">
        <f>IF(tbl_analysis_tickets[[#This Row],[resolution_time_hours]]&gt;tbl_analysis_tickets[[#This Row],[Resolution SLA Hours]],"Breached","Within SLA")</f>
        <v>Within SLA</v>
      </c>
      <c r="N1127" t="str">
        <f>IF(tbl_analysis_tickets[[#This Row],[first_response_minutes]]&gt;tbl_analysis_tickets[[#This Row],[First Response SLA Minutes]],"Breached","Within SLA")</f>
        <v>Within SLA</v>
      </c>
      <c r="O1127" t="str" cm="1">
        <f t="array" ref="O1127">_xlfn.IFS(
tbl_analysis_tickets[[#This Row],[agent_experience_years]]&lt;=2,"Junior",
tbl_analysis_tickets[[#This Row],[agent_experience_years]]&lt;=5,"Mid-Level",
tbl_analysis_tickets[[#This Row],[agent_experience_years]]&lt;=8,"Senior",
tbl_analysis_tickets[[#This Row],[agent_experience_years]]&gt;8,"Expert"
)</f>
        <v>Mid-Level</v>
      </c>
      <c r="P1127" cm="1">
        <f t="array" ref="P1127">_xlfn.SWITCH(tbl_analysis_tickets[[#This Row],[customer_satisfaction]],
"Low",1,
"Medium",2,
"High",3
)</f>
        <v>1</v>
      </c>
      <c r="Q1127">
        <f>IF(tbl_analysis_tickets[[#This Row],[reopened]]="Yes",1,0)</f>
        <v>1</v>
      </c>
      <c r="R1127" t="str" cm="1">
        <f t="array" ref="R1127">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127" t="str" cm="1">
        <f t="array" ref="S112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127" t="str">
        <f>TEXT(tbl_analysis_tickets[[#This Row],[created_date]],"mmm-yyyy")</f>
        <v>Mar-2024</v>
      </c>
      <c r="U1127" t="str">
        <f>TEXT(tbl_analysis_tickets[[#This Row],[created_date]],"dddd")</f>
        <v>Friday</v>
      </c>
      <c r="V1127" cm="1">
        <f t="array" ref="V1127">_xlfn.SWITCH(tbl_analysis_tickets[[#This Row],[priority]],
"Urgent",1,
"High",2,
"Medium",3,
"Low",4
)</f>
        <v>4</v>
      </c>
    </row>
    <row r="1128" spans="1:22" x14ac:dyDescent="0.25">
      <c r="A1128">
        <v>1127</v>
      </c>
      <c r="B1128" s="1">
        <v>45558</v>
      </c>
      <c r="C1128" t="s">
        <v>23</v>
      </c>
      <c r="D1128" t="s">
        <v>11</v>
      </c>
      <c r="E1128">
        <v>191</v>
      </c>
      <c r="F1128">
        <v>32</v>
      </c>
      <c r="G1128">
        <v>6.7</v>
      </c>
      <c r="H1128" t="s">
        <v>18</v>
      </c>
      <c r="I1128" t="s">
        <v>19</v>
      </c>
      <c r="J1128" t="s">
        <v>15</v>
      </c>
      <c r="K1128">
        <f>_xlfn.XLOOKUP(tbl_analysis_tickets[[#This Row],[priority]],tbl_sla[priority],tbl_sla[Resolution SLA Hours])</f>
        <v>72</v>
      </c>
      <c r="L1128">
        <f>_xlfn.XLOOKUP(tbl_analysis_tickets[[#This Row],[priority]],tbl_sla[priority],tbl_sla[First Response SLA Minutes])</f>
        <v>240</v>
      </c>
      <c r="M1128" t="str">
        <f>IF(tbl_analysis_tickets[[#This Row],[resolution_time_hours]]&gt;tbl_analysis_tickets[[#This Row],[Resolution SLA Hours]],"Breached","Within SLA")</f>
        <v>Within SLA</v>
      </c>
      <c r="N1128" t="str">
        <f>IF(tbl_analysis_tickets[[#This Row],[first_response_minutes]]&gt;tbl_analysis_tickets[[#This Row],[First Response SLA Minutes]],"Breached","Within SLA")</f>
        <v>Within SLA</v>
      </c>
      <c r="O1128" t="str" cm="1">
        <f t="array" ref="O1128">_xlfn.IFS(
tbl_analysis_tickets[[#This Row],[agent_experience_years]]&lt;=2,"Junior",
tbl_analysis_tickets[[#This Row],[agent_experience_years]]&lt;=5,"Mid-Level",
tbl_analysis_tickets[[#This Row],[agent_experience_years]]&lt;=8,"Senior",
tbl_analysis_tickets[[#This Row],[agent_experience_years]]&gt;8,"Expert"
)</f>
        <v>Senior</v>
      </c>
      <c r="P1128" cm="1">
        <f t="array" ref="P1128">_xlfn.SWITCH(tbl_analysis_tickets[[#This Row],[customer_satisfaction]],
"Low",1,
"Medium",2,
"High",3
)</f>
        <v>2</v>
      </c>
      <c r="Q1128">
        <f>IF(tbl_analysis_tickets[[#This Row],[reopened]]="Yes",1,0)</f>
        <v>0</v>
      </c>
      <c r="R1128" t="str" cm="1">
        <f t="array" ref="R1128">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128" t="str" cm="1">
        <f t="array" ref="S112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128" t="str">
        <f>TEXT(tbl_analysis_tickets[[#This Row],[created_date]],"mmm-yyyy")</f>
        <v>Sep-2024</v>
      </c>
      <c r="U1128" t="str">
        <f>TEXT(tbl_analysis_tickets[[#This Row],[created_date]],"dddd")</f>
        <v>Monday</v>
      </c>
      <c r="V1128" cm="1">
        <f t="array" ref="V1128">_xlfn.SWITCH(tbl_analysis_tickets[[#This Row],[priority]],
"Urgent",1,
"High",2,
"Medium",3,
"Low",4
)</f>
        <v>4</v>
      </c>
    </row>
    <row r="1129" spans="1:22" x14ac:dyDescent="0.25">
      <c r="A1129">
        <v>1128</v>
      </c>
      <c r="B1129" s="1">
        <v>45616</v>
      </c>
      <c r="C1129" t="s">
        <v>22</v>
      </c>
      <c r="D1129" t="s">
        <v>11</v>
      </c>
      <c r="E1129">
        <v>48</v>
      </c>
      <c r="F1129">
        <v>70</v>
      </c>
      <c r="G1129">
        <v>6</v>
      </c>
      <c r="H1129" t="s">
        <v>12</v>
      </c>
      <c r="I1129" t="s">
        <v>19</v>
      </c>
      <c r="J1129" t="s">
        <v>11</v>
      </c>
      <c r="K1129">
        <f>_xlfn.XLOOKUP(tbl_analysis_tickets[[#This Row],[priority]],tbl_sla[priority],tbl_sla[Resolution SLA Hours])</f>
        <v>72</v>
      </c>
      <c r="L1129">
        <f>_xlfn.XLOOKUP(tbl_analysis_tickets[[#This Row],[priority]],tbl_sla[priority],tbl_sla[First Response SLA Minutes])</f>
        <v>240</v>
      </c>
      <c r="M1129" t="str">
        <f>IF(tbl_analysis_tickets[[#This Row],[resolution_time_hours]]&gt;tbl_analysis_tickets[[#This Row],[Resolution SLA Hours]],"Breached","Within SLA")</f>
        <v>Within SLA</v>
      </c>
      <c r="N1129" t="str">
        <f>IF(tbl_analysis_tickets[[#This Row],[first_response_minutes]]&gt;tbl_analysis_tickets[[#This Row],[First Response SLA Minutes]],"Breached","Within SLA")</f>
        <v>Within SLA</v>
      </c>
      <c r="O1129" t="str" cm="1">
        <f t="array" ref="O1129">_xlfn.IFS(
tbl_analysis_tickets[[#This Row],[agent_experience_years]]&lt;=2,"Junior",
tbl_analysis_tickets[[#This Row],[agent_experience_years]]&lt;=5,"Mid-Level",
tbl_analysis_tickets[[#This Row],[agent_experience_years]]&lt;=8,"Senior",
tbl_analysis_tickets[[#This Row],[agent_experience_years]]&gt;8,"Expert"
)</f>
        <v>Senior</v>
      </c>
      <c r="P1129" cm="1">
        <f t="array" ref="P1129">_xlfn.SWITCH(tbl_analysis_tickets[[#This Row],[customer_satisfaction]],
"Low",1,
"Medium",2,
"High",3
)</f>
        <v>1</v>
      </c>
      <c r="Q1129">
        <f>IF(tbl_analysis_tickets[[#This Row],[reopened]]="Yes",1,0)</f>
        <v>1</v>
      </c>
      <c r="R1129" t="str" cm="1">
        <f t="array" ref="R1129">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129" t="str" cm="1">
        <f t="array" ref="S112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129" t="str">
        <f>TEXT(tbl_analysis_tickets[[#This Row],[created_date]],"mmm-yyyy")</f>
        <v>Nov-2024</v>
      </c>
      <c r="U1129" t="str">
        <f>TEXT(tbl_analysis_tickets[[#This Row],[created_date]],"dddd")</f>
        <v>Wednesday</v>
      </c>
      <c r="V1129" cm="1">
        <f t="array" ref="V1129">_xlfn.SWITCH(tbl_analysis_tickets[[#This Row],[priority]],
"Urgent",1,
"High",2,
"Medium",3,
"Low",4
)</f>
        <v>4</v>
      </c>
    </row>
    <row r="1130" spans="1:22" x14ac:dyDescent="0.25">
      <c r="A1130">
        <v>1129</v>
      </c>
      <c r="B1130" s="1">
        <v>45447</v>
      </c>
      <c r="C1130" t="s">
        <v>22</v>
      </c>
      <c r="D1130" t="s">
        <v>17</v>
      </c>
      <c r="E1130">
        <v>171</v>
      </c>
      <c r="F1130">
        <v>43</v>
      </c>
      <c r="G1130">
        <v>4</v>
      </c>
      <c r="H1130" t="s">
        <v>18</v>
      </c>
      <c r="I1130" t="s">
        <v>13</v>
      </c>
      <c r="J1130" t="s">
        <v>11</v>
      </c>
      <c r="K1130">
        <f>_xlfn.XLOOKUP(tbl_analysis_tickets[[#This Row],[priority]],tbl_sla[priority],tbl_sla[Resolution SLA Hours])</f>
        <v>8</v>
      </c>
      <c r="L1130">
        <f>_xlfn.XLOOKUP(tbl_analysis_tickets[[#This Row],[priority]],tbl_sla[priority],tbl_sla[First Response SLA Minutes])</f>
        <v>30</v>
      </c>
      <c r="M1130" t="str">
        <f>IF(tbl_analysis_tickets[[#This Row],[resolution_time_hours]]&gt;tbl_analysis_tickets[[#This Row],[Resolution SLA Hours]],"Breached","Within SLA")</f>
        <v>Breached</v>
      </c>
      <c r="N1130" t="str">
        <f>IF(tbl_analysis_tickets[[#This Row],[first_response_minutes]]&gt;tbl_analysis_tickets[[#This Row],[First Response SLA Minutes]],"Breached","Within SLA")</f>
        <v>Breached</v>
      </c>
      <c r="O1130" t="str" cm="1">
        <f t="array" ref="O1130">_xlfn.IFS(
tbl_analysis_tickets[[#This Row],[agent_experience_years]]&lt;=2,"Junior",
tbl_analysis_tickets[[#This Row],[agent_experience_years]]&lt;=5,"Mid-Level",
tbl_analysis_tickets[[#This Row],[agent_experience_years]]&lt;=8,"Senior",
tbl_analysis_tickets[[#This Row],[agent_experience_years]]&gt;8,"Expert"
)</f>
        <v>Mid-Level</v>
      </c>
      <c r="P1130" cm="1">
        <f t="array" ref="P1130">_xlfn.SWITCH(tbl_analysis_tickets[[#This Row],[customer_satisfaction]],
"Low",1,
"Medium",2,
"High",3
)</f>
        <v>1</v>
      </c>
      <c r="Q1130">
        <f>IF(tbl_analysis_tickets[[#This Row],[reopened]]="Yes",1,0)</f>
        <v>0</v>
      </c>
      <c r="R1130" t="str" cm="1">
        <f t="array" ref="R1130">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130" t="str" cm="1">
        <f t="array" ref="S113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130" t="str">
        <f>TEXT(tbl_analysis_tickets[[#This Row],[created_date]],"mmm-yyyy")</f>
        <v>Jun-2024</v>
      </c>
      <c r="U1130" t="str">
        <f>TEXT(tbl_analysis_tickets[[#This Row],[created_date]],"dddd")</f>
        <v>Tuesday</v>
      </c>
      <c r="V1130" cm="1">
        <f t="array" ref="V1130">_xlfn.SWITCH(tbl_analysis_tickets[[#This Row],[priority]],
"Urgent",1,
"High",2,
"Medium",3,
"Low",4
)</f>
        <v>1</v>
      </c>
    </row>
    <row r="1131" spans="1:22" x14ac:dyDescent="0.25">
      <c r="A1131">
        <v>1130</v>
      </c>
      <c r="B1131" s="1">
        <v>45378</v>
      </c>
      <c r="C1131" t="s">
        <v>21</v>
      </c>
      <c r="D1131" t="s">
        <v>11</v>
      </c>
      <c r="E1131">
        <v>240</v>
      </c>
      <c r="F1131">
        <v>20</v>
      </c>
      <c r="G1131">
        <v>1.7</v>
      </c>
      <c r="H1131" t="s">
        <v>18</v>
      </c>
      <c r="I1131" t="s">
        <v>13</v>
      </c>
      <c r="J1131" t="s">
        <v>11</v>
      </c>
      <c r="K1131">
        <f>_xlfn.XLOOKUP(tbl_analysis_tickets[[#This Row],[priority]],tbl_sla[priority],tbl_sla[Resolution SLA Hours])</f>
        <v>72</v>
      </c>
      <c r="L1131">
        <f>_xlfn.XLOOKUP(tbl_analysis_tickets[[#This Row],[priority]],tbl_sla[priority],tbl_sla[First Response SLA Minutes])</f>
        <v>240</v>
      </c>
      <c r="M1131" t="str">
        <f>IF(tbl_analysis_tickets[[#This Row],[resolution_time_hours]]&gt;tbl_analysis_tickets[[#This Row],[Resolution SLA Hours]],"Breached","Within SLA")</f>
        <v>Within SLA</v>
      </c>
      <c r="N1131" t="str">
        <f>IF(tbl_analysis_tickets[[#This Row],[first_response_minutes]]&gt;tbl_analysis_tickets[[#This Row],[First Response SLA Minutes]],"Breached","Within SLA")</f>
        <v>Within SLA</v>
      </c>
      <c r="O1131" t="str" cm="1">
        <f t="array" ref="O1131">_xlfn.IFS(
tbl_analysis_tickets[[#This Row],[agent_experience_years]]&lt;=2,"Junior",
tbl_analysis_tickets[[#This Row],[agent_experience_years]]&lt;=5,"Mid-Level",
tbl_analysis_tickets[[#This Row],[agent_experience_years]]&lt;=8,"Senior",
tbl_analysis_tickets[[#This Row],[agent_experience_years]]&gt;8,"Expert"
)</f>
        <v>Junior</v>
      </c>
      <c r="P1131" cm="1">
        <f t="array" ref="P1131">_xlfn.SWITCH(tbl_analysis_tickets[[#This Row],[customer_satisfaction]],
"Low",1,
"Medium",2,
"High",3
)</f>
        <v>1</v>
      </c>
      <c r="Q1131">
        <f>IF(tbl_analysis_tickets[[#This Row],[reopened]]="Yes",1,0)</f>
        <v>0</v>
      </c>
      <c r="R1131" t="str" cm="1">
        <f t="array" ref="R1131">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131" t="str" cm="1">
        <f t="array" ref="S113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131" t="str">
        <f>TEXT(tbl_analysis_tickets[[#This Row],[created_date]],"mmm-yyyy")</f>
        <v>Mar-2024</v>
      </c>
      <c r="U1131" t="str">
        <f>TEXT(tbl_analysis_tickets[[#This Row],[created_date]],"dddd")</f>
        <v>Wednesday</v>
      </c>
      <c r="V1131" cm="1">
        <f t="array" ref="V1131">_xlfn.SWITCH(tbl_analysis_tickets[[#This Row],[priority]],
"Urgent",1,
"High",2,
"Medium",3,
"Low",4
)</f>
        <v>4</v>
      </c>
    </row>
    <row r="1132" spans="1:22" x14ac:dyDescent="0.25">
      <c r="A1132">
        <v>1131</v>
      </c>
      <c r="B1132" s="1">
        <v>45413</v>
      </c>
      <c r="C1132" t="s">
        <v>23</v>
      </c>
      <c r="D1132" t="s">
        <v>11</v>
      </c>
      <c r="E1132">
        <v>150</v>
      </c>
      <c r="F1132">
        <v>36</v>
      </c>
      <c r="G1132">
        <v>5</v>
      </c>
      <c r="H1132" t="s">
        <v>18</v>
      </c>
      <c r="I1132" t="s">
        <v>19</v>
      </c>
      <c r="J1132" t="s">
        <v>15</v>
      </c>
      <c r="K1132">
        <f>_xlfn.XLOOKUP(tbl_analysis_tickets[[#This Row],[priority]],tbl_sla[priority],tbl_sla[Resolution SLA Hours])</f>
        <v>72</v>
      </c>
      <c r="L1132">
        <f>_xlfn.XLOOKUP(tbl_analysis_tickets[[#This Row],[priority]],tbl_sla[priority],tbl_sla[First Response SLA Minutes])</f>
        <v>240</v>
      </c>
      <c r="M1132" t="str">
        <f>IF(tbl_analysis_tickets[[#This Row],[resolution_time_hours]]&gt;tbl_analysis_tickets[[#This Row],[Resolution SLA Hours]],"Breached","Within SLA")</f>
        <v>Within SLA</v>
      </c>
      <c r="N1132" t="str">
        <f>IF(tbl_analysis_tickets[[#This Row],[first_response_minutes]]&gt;tbl_analysis_tickets[[#This Row],[First Response SLA Minutes]],"Breached","Within SLA")</f>
        <v>Within SLA</v>
      </c>
      <c r="O1132" t="str" cm="1">
        <f t="array" ref="O1132">_xlfn.IFS(
tbl_analysis_tickets[[#This Row],[agent_experience_years]]&lt;=2,"Junior",
tbl_analysis_tickets[[#This Row],[agent_experience_years]]&lt;=5,"Mid-Level",
tbl_analysis_tickets[[#This Row],[agent_experience_years]]&lt;=8,"Senior",
tbl_analysis_tickets[[#This Row],[agent_experience_years]]&gt;8,"Expert"
)</f>
        <v>Mid-Level</v>
      </c>
      <c r="P1132" cm="1">
        <f t="array" ref="P1132">_xlfn.SWITCH(tbl_analysis_tickets[[#This Row],[customer_satisfaction]],
"Low",1,
"Medium",2,
"High",3
)</f>
        <v>2</v>
      </c>
      <c r="Q1132">
        <f>IF(tbl_analysis_tickets[[#This Row],[reopened]]="Yes",1,0)</f>
        <v>0</v>
      </c>
      <c r="R1132" t="str" cm="1">
        <f t="array" ref="R1132">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132" t="str" cm="1">
        <f t="array" ref="S113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132" t="str">
        <f>TEXT(tbl_analysis_tickets[[#This Row],[created_date]],"mmm-yyyy")</f>
        <v>May-2024</v>
      </c>
      <c r="U1132" t="str">
        <f>TEXT(tbl_analysis_tickets[[#This Row],[created_date]],"dddd")</f>
        <v>Wednesday</v>
      </c>
      <c r="V1132" cm="1">
        <f t="array" ref="V1132">_xlfn.SWITCH(tbl_analysis_tickets[[#This Row],[priority]],
"Urgent",1,
"High",2,
"Medium",3,
"Low",4
)</f>
        <v>4</v>
      </c>
    </row>
    <row r="1133" spans="1:22" x14ac:dyDescent="0.25">
      <c r="A1133">
        <v>1132</v>
      </c>
      <c r="B1133" s="1">
        <v>45389</v>
      </c>
      <c r="C1133" t="s">
        <v>23</v>
      </c>
      <c r="D1133" t="s">
        <v>17</v>
      </c>
      <c r="E1133">
        <v>223</v>
      </c>
      <c r="F1133">
        <v>6</v>
      </c>
      <c r="G1133">
        <v>6.1</v>
      </c>
      <c r="H1133" t="s">
        <v>18</v>
      </c>
      <c r="I1133" t="s">
        <v>16</v>
      </c>
      <c r="J1133" t="s">
        <v>15</v>
      </c>
      <c r="K1133">
        <f>_xlfn.XLOOKUP(tbl_analysis_tickets[[#This Row],[priority]],tbl_sla[priority],tbl_sla[Resolution SLA Hours])</f>
        <v>8</v>
      </c>
      <c r="L1133">
        <f>_xlfn.XLOOKUP(tbl_analysis_tickets[[#This Row],[priority]],tbl_sla[priority],tbl_sla[First Response SLA Minutes])</f>
        <v>30</v>
      </c>
      <c r="M1133" t="str">
        <f>IF(tbl_analysis_tickets[[#This Row],[resolution_time_hours]]&gt;tbl_analysis_tickets[[#This Row],[Resolution SLA Hours]],"Breached","Within SLA")</f>
        <v>Within SLA</v>
      </c>
      <c r="N1133" t="str">
        <f>IF(tbl_analysis_tickets[[#This Row],[first_response_minutes]]&gt;tbl_analysis_tickets[[#This Row],[First Response SLA Minutes]],"Breached","Within SLA")</f>
        <v>Breached</v>
      </c>
      <c r="O1133" t="str" cm="1">
        <f t="array" ref="O1133">_xlfn.IFS(
tbl_analysis_tickets[[#This Row],[agent_experience_years]]&lt;=2,"Junior",
tbl_analysis_tickets[[#This Row],[agent_experience_years]]&lt;=5,"Mid-Level",
tbl_analysis_tickets[[#This Row],[agent_experience_years]]&lt;=8,"Senior",
tbl_analysis_tickets[[#This Row],[agent_experience_years]]&gt;8,"Expert"
)</f>
        <v>Senior</v>
      </c>
      <c r="P1133" cm="1">
        <f t="array" ref="P1133">_xlfn.SWITCH(tbl_analysis_tickets[[#This Row],[customer_satisfaction]],
"Low",1,
"Medium",2,
"High",3
)</f>
        <v>2</v>
      </c>
      <c r="Q1133">
        <f>IF(tbl_analysis_tickets[[#This Row],[reopened]]="Yes",1,0)</f>
        <v>0</v>
      </c>
      <c r="R1133" t="str" cm="1">
        <f t="array" ref="R1133">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133" t="str" cm="1">
        <f t="array" ref="S113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1133" t="str">
        <f>TEXT(tbl_analysis_tickets[[#This Row],[created_date]],"mmm-yyyy")</f>
        <v>Apr-2024</v>
      </c>
      <c r="U1133" t="str">
        <f>TEXT(tbl_analysis_tickets[[#This Row],[created_date]],"dddd")</f>
        <v>Sunday</v>
      </c>
      <c r="V1133" cm="1">
        <f t="array" ref="V1133">_xlfn.SWITCH(tbl_analysis_tickets[[#This Row],[priority]],
"Urgent",1,
"High",2,
"Medium",3,
"Low",4
)</f>
        <v>1</v>
      </c>
    </row>
    <row r="1134" spans="1:22" x14ac:dyDescent="0.25">
      <c r="A1134">
        <v>1133</v>
      </c>
      <c r="B1134" s="1">
        <v>45430</v>
      </c>
      <c r="C1134" t="s">
        <v>21</v>
      </c>
      <c r="D1134" t="s">
        <v>20</v>
      </c>
      <c r="E1134">
        <v>183</v>
      </c>
      <c r="F1134">
        <v>27</v>
      </c>
      <c r="G1134">
        <v>2.8</v>
      </c>
      <c r="H1134" t="s">
        <v>12</v>
      </c>
      <c r="I1134" t="s">
        <v>19</v>
      </c>
      <c r="J1134" t="s">
        <v>11</v>
      </c>
      <c r="K1134">
        <f>_xlfn.XLOOKUP(tbl_analysis_tickets[[#This Row],[priority]],tbl_sla[priority],tbl_sla[Resolution SLA Hours])</f>
        <v>24</v>
      </c>
      <c r="L1134">
        <f>_xlfn.XLOOKUP(tbl_analysis_tickets[[#This Row],[priority]],tbl_sla[priority],tbl_sla[First Response SLA Minutes])</f>
        <v>60</v>
      </c>
      <c r="M1134" t="str">
        <f>IF(tbl_analysis_tickets[[#This Row],[resolution_time_hours]]&gt;tbl_analysis_tickets[[#This Row],[Resolution SLA Hours]],"Breached","Within SLA")</f>
        <v>Breached</v>
      </c>
      <c r="N1134" t="str">
        <f>IF(tbl_analysis_tickets[[#This Row],[first_response_minutes]]&gt;tbl_analysis_tickets[[#This Row],[First Response SLA Minutes]],"Breached","Within SLA")</f>
        <v>Breached</v>
      </c>
      <c r="O1134" t="str" cm="1">
        <f t="array" ref="O1134">_xlfn.IFS(
tbl_analysis_tickets[[#This Row],[agent_experience_years]]&lt;=2,"Junior",
tbl_analysis_tickets[[#This Row],[agent_experience_years]]&lt;=5,"Mid-Level",
tbl_analysis_tickets[[#This Row],[agent_experience_years]]&lt;=8,"Senior",
tbl_analysis_tickets[[#This Row],[agent_experience_years]]&gt;8,"Expert"
)</f>
        <v>Mid-Level</v>
      </c>
      <c r="P1134" cm="1">
        <f t="array" ref="P1134">_xlfn.SWITCH(tbl_analysis_tickets[[#This Row],[customer_satisfaction]],
"Low",1,
"Medium",2,
"High",3
)</f>
        <v>1</v>
      </c>
      <c r="Q1134">
        <f>IF(tbl_analysis_tickets[[#This Row],[reopened]]="Yes",1,0)</f>
        <v>1</v>
      </c>
      <c r="R1134" t="str" cm="1">
        <f t="array" ref="R1134">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134" t="str" cm="1">
        <f t="array" ref="S113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134" t="str">
        <f>TEXT(tbl_analysis_tickets[[#This Row],[created_date]],"mmm-yyyy")</f>
        <v>May-2024</v>
      </c>
      <c r="U1134" t="str">
        <f>TEXT(tbl_analysis_tickets[[#This Row],[created_date]],"dddd")</f>
        <v>Saturday</v>
      </c>
      <c r="V1134" cm="1">
        <f t="array" ref="V1134">_xlfn.SWITCH(tbl_analysis_tickets[[#This Row],[priority]],
"Urgent",1,
"High",2,
"Medium",3,
"Low",4
)</f>
        <v>2</v>
      </c>
    </row>
    <row r="1135" spans="1:22" x14ac:dyDescent="0.25">
      <c r="A1135">
        <v>1134</v>
      </c>
      <c r="B1135" s="1">
        <v>45326</v>
      </c>
      <c r="C1135" t="s">
        <v>22</v>
      </c>
      <c r="D1135" t="s">
        <v>17</v>
      </c>
      <c r="E1135">
        <v>200</v>
      </c>
      <c r="F1135">
        <v>44</v>
      </c>
      <c r="G1135">
        <v>8.4</v>
      </c>
      <c r="H1135" t="s">
        <v>18</v>
      </c>
      <c r="I1135" t="s">
        <v>16</v>
      </c>
      <c r="J1135" t="s">
        <v>11</v>
      </c>
      <c r="K1135">
        <f>_xlfn.XLOOKUP(tbl_analysis_tickets[[#This Row],[priority]],tbl_sla[priority],tbl_sla[Resolution SLA Hours])</f>
        <v>8</v>
      </c>
      <c r="L1135">
        <f>_xlfn.XLOOKUP(tbl_analysis_tickets[[#This Row],[priority]],tbl_sla[priority],tbl_sla[First Response SLA Minutes])</f>
        <v>30</v>
      </c>
      <c r="M1135" t="str">
        <f>IF(tbl_analysis_tickets[[#This Row],[resolution_time_hours]]&gt;tbl_analysis_tickets[[#This Row],[Resolution SLA Hours]],"Breached","Within SLA")</f>
        <v>Breached</v>
      </c>
      <c r="N1135" t="str">
        <f>IF(tbl_analysis_tickets[[#This Row],[first_response_minutes]]&gt;tbl_analysis_tickets[[#This Row],[First Response SLA Minutes]],"Breached","Within SLA")</f>
        <v>Breached</v>
      </c>
      <c r="O1135" t="str" cm="1">
        <f t="array" ref="O1135">_xlfn.IFS(
tbl_analysis_tickets[[#This Row],[agent_experience_years]]&lt;=2,"Junior",
tbl_analysis_tickets[[#This Row],[agent_experience_years]]&lt;=5,"Mid-Level",
tbl_analysis_tickets[[#This Row],[agent_experience_years]]&lt;=8,"Senior",
tbl_analysis_tickets[[#This Row],[agent_experience_years]]&gt;8,"Expert"
)</f>
        <v>Expert</v>
      </c>
      <c r="P1135" cm="1">
        <f t="array" ref="P1135">_xlfn.SWITCH(tbl_analysis_tickets[[#This Row],[customer_satisfaction]],
"Low",1,
"Medium",2,
"High",3
)</f>
        <v>1</v>
      </c>
      <c r="Q1135">
        <f>IF(tbl_analysis_tickets[[#This Row],[reopened]]="Yes",1,0)</f>
        <v>0</v>
      </c>
      <c r="R1135" t="str" cm="1">
        <f t="array" ref="R1135">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135" t="str" cm="1">
        <f t="array" ref="S113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135" t="str">
        <f>TEXT(tbl_analysis_tickets[[#This Row],[created_date]],"mmm-yyyy")</f>
        <v>Feb-2024</v>
      </c>
      <c r="U1135" t="str">
        <f>TEXT(tbl_analysis_tickets[[#This Row],[created_date]],"dddd")</f>
        <v>Sunday</v>
      </c>
      <c r="V1135" cm="1">
        <f t="array" ref="V1135">_xlfn.SWITCH(tbl_analysis_tickets[[#This Row],[priority]],
"Urgent",1,
"High",2,
"Medium",3,
"Low",4
)</f>
        <v>1</v>
      </c>
    </row>
    <row r="1136" spans="1:22" x14ac:dyDescent="0.25">
      <c r="A1136">
        <v>1135</v>
      </c>
      <c r="B1136" s="1">
        <v>45453</v>
      </c>
      <c r="C1136" t="s">
        <v>21</v>
      </c>
      <c r="D1136" t="s">
        <v>15</v>
      </c>
      <c r="E1136">
        <v>22</v>
      </c>
      <c r="F1136">
        <v>4</v>
      </c>
      <c r="G1136">
        <v>4.7</v>
      </c>
      <c r="H1136" t="s">
        <v>12</v>
      </c>
      <c r="I1136" t="s">
        <v>19</v>
      </c>
      <c r="J1136" t="s">
        <v>20</v>
      </c>
      <c r="K1136">
        <f>_xlfn.XLOOKUP(tbl_analysis_tickets[[#This Row],[priority]],tbl_sla[priority],tbl_sla[Resolution SLA Hours])</f>
        <v>48</v>
      </c>
      <c r="L1136">
        <f>_xlfn.XLOOKUP(tbl_analysis_tickets[[#This Row],[priority]],tbl_sla[priority],tbl_sla[First Response SLA Minutes])</f>
        <v>120</v>
      </c>
      <c r="M1136" t="str">
        <f>IF(tbl_analysis_tickets[[#This Row],[resolution_time_hours]]&gt;tbl_analysis_tickets[[#This Row],[Resolution SLA Hours]],"Breached","Within SLA")</f>
        <v>Within SLA</v>
      </c>
      <c r="N1136" t="str">
        <f>IF(tbl_analysis_tickets[[#This Row],[first_response_minutes]]&gt;tbl_analysis_tickets[[#This Row],[First Response SLA Minutes]],"Breached","Within SLA")</f>
        <v>Within SLA</v>
      </c>
      <c r="O1136" t="str" cm="1">
        <f t="array" ref="O1136">_xlfn.IFS(
tbl_analysis_tickets[[#This Row],[agent_experience_years]]&lt;=2,"Junior",
tbl_analysis_tickets[[#This Row],[agent_experience_years]]&lt;=5,"Mid-Level",
tbl_analysis_tickets[[#This Row],[agent_experience_years]]&lt;=8,"Senior",
tbl_analysis_tickets[[#This Row],[agent_experience_years]]&gt;8,"Expert"
)</f>
        <v>Mid-Level</v>
      </c>
      <c r="P1136" cm="1">
        <f t="array" ref="P1136">_xlfn.SWITCH(tbl_analysis_tickets[[#This Row],[customer_satisfaction]],
"Low",1,
"Medium",2,
"High",3
)</f>
        <v>3</v>
      </c>
      <c r="Q1136">
        <f>IF(tbl_analysis_tickets[[#This Row],[reopened]]="Yes",1,0)</f>
        <v>1</v>
      </c>
      <c r="R1136" t="str" cm="1">
        <f t="array" ref="R1136">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1136" t="str" cm="1">
        <f t="array" ref="S113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1136" t="str">
        <f>TEXT(tbl_analysis_tickets[[#This Row],[created_date]],"mmm-yyyy")</f>
        <v>Jun-2024</v>
      </c>
      <c r="U1136" t="str">
        <f>TEXT(tbl_analysis_tickets[[#This Row],[created_date]],"dddd")</f>
        <v>Monday</v>
      </c>
      <c r="V1136" cm="1">
        <f t="array" ref="V1136">_xlfn.SWITCH(tbl_analysis_tickets[[#This Row],[priority]],
"Urgent",1,
"High",2,
"Medium",3,
"Low",4
)</f>
        <v>3</v>
      </c>
    </row>
    <row r="1137" spans="1:22" x14ac:dyDescent="0.25">
      <c r="A1137">
        <v>1136</v>
      </c>
      <c r="B1137" s="1">
        <v>45610</v>
      </c>
      <c r="C1137" t="s">
        <v>21</v>
      </c>
      <c r="D1137" t="s">
        <v>15</v>
      </c>
      <c r="E1137">
        <v>88</v>
      </c>
      <c r="F1137">
        <v>30</v>
      </c>
      <c r="G1137">
        <v>6.3</v>
      </c>
      <c r="H1137" t="s">
        <v>18</v>
      </c>
      <c r="I1137" t="s">
        <v>16</v>
      </c>
      <c r="J1137" t="s">
        <v>15</v>
      </c>
      <c r="K1137">
        <f>_xlfn.XLOOKUP(tbl_analysis_tickets[[#This Row],[priority]],tbl_sla[priority],tbl_sla[Resolution SLA Hours])</f>
        <v>48</v>
      </c>
      <c r="L1137">
        <f>_xlfn.XLOOKUP(tbl_analysis_tickets[[#This Row],[priority]],tbl_sla[priority],tbl_sla[First Response SLA Minutes])</f>
        <v>120</v>
      </c>
      <c r="M1137" t="str">
        <f>IF(tbl_analysis_tickets[[#This Row],[resolution_time_hours]]&gt;tbl_analysis_tickets[[#This Row],[Resolution SLA Hours]],"Breached","Within SLA")</f>
        <v>Within SLA</v>
      </c>
      <c r="N1137" t="str">
        <f>IF(tbl_analysis_tickets[[#This Row],[first_response_minutes]]&gt;tbl_analysis_tickets[[#This Row],[First Response SLA Minutes]],"Breached","Within SLA")</f>
        <v>Within SLA</v>
      </c>
      <c r="O1137" t="str" cm="1">
        <f t="array" ref="O1137">_xlfn.IFS(
tbl_analysis_tickets[[#This Row],[agent_experience_years]]&lt;=2,"Junior",
tbl_analysis_tickets[[#This Row],[agent_experience_years]]&lt;=5,"Mid-Level",
tbl_analysis_tickets[[#This Row],[agent_experience_years]]&lt;=8,"Senior",
tbl_analysis_tickets[[#This Row],[agent_experience_years]]&gt;8,"Expert"
)</f>
        <v>Senior</v>
      </c>
      <c r="P1137" cm="1">
        <f t="array" ref="P1137">_xlfn.SWITCH(tbl_analysis_tickets[[#This Row],[customer_satisfaction]],
"Low",1,
"Medium",2,
"High",3
)</f>
        <v>2</v>
      </c>
      <c r="Q1137">
        <f>IF(tbl_analysis_tickets[[#This Row],[reopened]]="Yes",1,0)</f>
        <v>0</v>
      </c>
      <c r="R1137" t="str" cm="1">
        <f t="array" ref="R1137">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137" t="str" cm="1">
        <f t="array" ref="S113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137" t="str">
        <f>TEXT(tbl_analysis_tickets[[#This Row],[created_date]],"mmm-yyyy")</f>
        <v>Nov-2024</v>
      </c>
      <c r="U1137" t="str">
        <f>TEXT(tbl_analysis_tickets[[#This Row],[created_date]],"dddd")</f>
        <v>Thursday</v>
      </c>
      <c r="V1137" cm="1">
        <f t="array" ref="V1137">_xlfn.SWITCH(tbl_analysis_tickets[[#This Row],[priority]],
"Urgent",1,
"High",2,
"Medium",3,
"Low",4
)</f>
        <v>3</v>
      </c>
    </row>
    <row r="1138" spans="1:22" x14ac:dyDescent="0.25">
      <c r="A1138">
        <v>1137</v>
      </c>
      <c r="B1138" s="1">
        <v>45411</v>
      </c>
      <c r="C1138" t="s">
        <v>10</v>
      </c>
      <c r="D1138" t="s">
        <v>20</v>
      </c>
      <c r="E1138">
        <v>84</v>
      </c>
      <c r="F1138">
        <v>46</v>
      </c>
      <c r="G1138">
        <v>1.8</v>
      </c>
      <c r="H1138" t="s">
        <v>18</v>
      </c>
      <c r="I1138" t="s">
        <v>16</v>
      </c>
      <c r="J1138" t="s">
        <v>11</v>
      </c>
      <c r="K1138">
        <f>_xlfn.XLOOKUP(tbl_analysis_tickets[[#This Row],[priority]],tbl_sla[priority],tbl_sla[Resolution SLA Hours])</f>
        <v>24</v>
      </c>
      <c r="L1138">
        <f>_xlfn.XLOOKUP(tbl_analysis_tickets[[#This Row],[priority]],tbl_sla[priority],tbl_sla[First Response SLA Minutes])</f>
        <v>60</v>
      </c>
      <c r="M1138" t="str">
        <f>IF(tbl_analysis_tickets[[#This Row],[resolution_time_hours]]&gt;tbl_analysis_tickets[[#This Row],[Resolution SLA Hours]],"Breached","Within SLA")</f>
        <v>Breached</v>
      </c>
      <c r="N1138" t="str">
        <f>IF(tbl_analysis_tickets[[#This Row],[first_response_minutes]]&gt;tbl_analysis_tickets[[#This Row],[First Response SLA Minutes]],"Breached","Within SLA")</f>
        <v>Breached</v>
      </c>
      <c r="O1138" t="str" cm="1">
        <f t="array" ref="O1138">_xlfn.IFS(
tbl_analysis_tickets[[#This Row],[agent_experience_years]]&lt;=2,"Junior",
tbl_analysis_tickets[[#This Row],[agent_experience_years]]&lt;=5,"Mid-Level",
tbl_analysis_tickets[[#This Row],[agent_experience_years]]&lt;=8,"Senior",
tbl_analysis_tickets[[#This Row],[agent_experience_years]]&gt;8,"Expert"
)</f>
        <v>Junior</v>
      </c>
      <c r="P1138" cm="1">
        <f t="array" ref="P1138">_xlfn.SWITCH(tbl_analysis_tickets[[#This Row],[customer_satisfaction]],
"Low",1,
"Medium",2,
"High",3
)</f>
        <v>1</v>
      </c>
      <c r="Q1138">
        <f>IF(tbl_analysis_tickets[[#This Row],[reopened]]="Yes",1,0)</f>
        <v>0</v>
      </c>
      <c r="R1138" t="str" cm="1">
        <f t="array" ref="R1138">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138" t="str" cm="1">
        <f t="array" ref="S113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138" t="str">
        <f>TEXT(tbl_analysis_tickets[[#This Row],[created_date]],"mmm-yyyy")</f>
        <v>Apr-2024</v>
      </c>
      <c r="U1138" t="str">
        <f>TEXT(tbl_analysis_tickets[[#This Row],[created_date]],"dddd")</f>
        <v>Monday</v>
      </c>
      <c r="V1138" cm="1">
        <f t="array" ref="V1138">_xlfn.SWITCH(tbl_analysis_tickets[[#This Row],[priority]],
"Urgent",1,
"High",2,
"Medium",3,
"Low",4
)</f>
        <v>2</v>
      </c>
    </row>
    <row r="1139" spans="1:22" x14ac:dyDescent="0.25">
      <c r="A1139">
        <v>1138</v>
      </c>
      <c r="B1139" s="1">
        <v>45579</v>
      </c>
      <c r="C1139" t="s">
        <v>10</v>
      </c>
      <c r="D1139" t="s">
        <v>20</v>
      </c>
      <c r="E1139">
        <v>183</v>
      </c>
      <c r="F1139">
        <v>15</v>
      </c>
      <c r="G1139">
        <v>0.5</v>
      </c>
      <c r="H1139" t="s">
        <v>18</v>
      </c>
      <c r="I1139" t="s">
        <v>13</v>
      </c>
      <c r="J1139" t="s">
        <v>11</v>
      </c>
      <c r="K1139">
        <f>_xlfn.XLOOKUP(tbl_analysis_tickets[[#This Row],[priority]],tbl_sla[priority],tbl_sla[Resolution SLA Hours])</f>
        <v>24</v>
      </c>
      <c r="L1139">
        <f>_xlfn.XLOOKUP(tbl_analysis_tickets[[#This Row],[priority]],tbl_sla[priority],tbl_sla[First Response SLA Minutes])</f>
        <v>60</v>
      </c>
      <c r="M1139" t="str">
        <f>IF(tbl_analysis_tickets[[#This Row],[resolution_time_hours]]&gt;tbl_analysis_tickets[[#This Row],[Resolution SLA Hours]],"Breached","Within SLA")</f>
        <v>Within SLA</v>
      </c>
      <c r="N1139" t="str">
        <f>IF(tbl_analysis_tickets[[#This Row],[first_response_minutes]]&gt;tbl_analysis_tickets[[#This Row],[First Response SLA Minutes]],"Breached","Within SLA")</f>
        <v>Breached</v>
      </c>
      <c r="O1139" t="str" cm="1">
        <f t="array" ref="O1139">_xlfn.IFS(
tbl_analysis_tickets[[#This Row],[agent_experience_years]]&lt;=2,"Junior",
tbl_analysis_tickets[[#This Row],[agent_experience_years]]&lt;=5,"Mid-Level",
tbl_analysis_tickets[[#This Row],[agent_experience_years]]&lt;=8,"Senior",
tbl_analysis_tickets[[#This Row],[agent_experience_years]]&gt;8,"Expert"
)</f>
        <v>Junior</v>
      </c>
      <c r="P1139" cm="1">
        <f t="array" ref="P1139">_xlfn.SWITCH(tbl_analysis_tickets[[#This Row],[customer_satisfaction]],
"Low",1,
"Medium",2,
"High",3
)</f>
        <v>1</v>
      </c>
      <c r="Q1139">
        <f>IF(tbl_analysis_tickets[[#This Row],[reopened]]="Yes",1,0)</f>
        <v>0</v>
      </c>
      <c r="R1139" t="str" cm="1">
        <f t="array" ref="R1139">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139" t="str" cm="1">
        <f t="array" ref="S113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139" t="str">
        <f>TEXT(tbl_analysis_tickets[[#This Row],[created_date]],"mmm-yyyy")</f>
        <v>Oct-2024</v>
      </c>
      <c r="U1139" t="str">
        <f>TEXT(tbl_analysis_tickets[[#This Row],[created_date]],"dddd")</f>
        <v>Monday</v>
      </c>
      <c r="V1139" cm="1">
        <f t="array" ref="V1139">_xlfn.SWITCH(tbl_analysis_tickets[[#This Row],[priority]],
"Urgent",1,
"High",2,
"Medium",3,
"Low",4
)</f>
        <v>2</v>
      </c>
    </row>
    <row r="1140" spans="1:22" x14ac:dyDescent="0.25">
      <c r="A1140">
        <v>1139</v>
      </c>
      <c r="B1140" s="1">
        <v>45352</v>
      </c>
      <c r="C1140" t="s">
        <v>21</v>
      </c>
      <c r="D1140" t="s">
        <v>11</v>
      </c>
      <c r="E1140">
        <v>213</v>
      </c>
      <c r="F1140">
        <v>57</v>
      </c>
      <c r="G1140">
        <v>2.2000000000000002</v>
      </c>
      <c r="H1140" t="s">
        <v>12</v>
      </c>
      <c r="I1140" t="s">
        <v>16</v>
      </c>
      <c r="J1140" t="s">
        <v>11</v>
      </c>
      <c r="K1140">
        <f>_xlfn.XLOOKUP(tbl_analysis_tickets[[#This Row],[priority]],tbl_sla[priority],tbl_sla[Resolution SLA Hours])</f>
        <v>72</v>
      </c>
      <c r="L1140">
        <f>_xlfn.XLOOKUP(tbl_analysis_tickets[[#This Row],[priority]],tbl_sla[priority],tbl_sla[First Response SLA Minutes])</f>
        <v>240</v>
      </c>
      <c r="M1140" t="str">
        <f>IF(tbl_analysis_tickets[[#This Row],[resolution_time_hours]]&gt;tbl_analysis_tickets[[#This Row],[Resolution SLA Hours]],"Breached","Within SLA")</f>
        <v>Within SLA</v>
      </c>
      <c r="N1140" t="str">
        <f>IF(tbl_analysis_tickets[[#This Row],[first_response_minutes]]&gt;tbl_analysis_tickets[[#This Row],[First Response SLA Minutes]],"Breached","Within SLA")</f>
        <v>Within SLA</v>
      </c>
      <c r="O1140" t="str" cm="1">
        <f t="array" ref="O1140">_xlfn.IFS(
tbl_analysis_tickets[[#This Row],[agent_experience_years]]&lt;=2,"Junior",
tbl_analysis_tickets[[#This Row],[agent_experience_years]]&lt;=5,"Mid-Level",
tbl_analysis_tickets[[#This Row],[agent_experience_years]]&lt;=8,"Senior",
tbl_analysis_tickets[[#This Row],[agent_experience_years]]&gt;8,"Expert"
)</f>
        <v>Mid-Level</v>
      </c>
      <c r="P1140" cm="1">
        <f t="array" ref="P1140">_xlfn.SWITCH(tbl_analysis_tickets[[#This Row],[customer_satisfaction]],
"Low",1,
"Medium",2,
"High",3
)</f>
        <v>1</v>
      </c>
      <c r="Q1140">
        <f>IF(tbl_analysis_tickets[[#This Row],[reopened]]="Yes",1,0)</f>
        <v>1</v>
      </c>
      <c r="R1140" t="str" cm="1">
        <f t="array" ref="R1140">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140" t="str" cm="1">
        <f t="array" ref="S114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140" t="str">
        <f>TEXT(tbl_analysis_tickets[[#This Row],[created_date]],"mmm-yyyy")</f>
        <v>Mar-2024</v>
      </c>
      <c r="U1140" t="str">
        <f>TEXT(tbl_analysis_tickets[[#This Row],[created_date]],"dddd")</f>
        <v>Friday</v>
      </c>
      <c r="V1140" cm="1">
        <f t="array" ref="V1140">_xlfn.SWITCH(tbl_analysis_tickets[[#This Row],[priority]],
"Urgent",1,
"High",2,
"Medium",3,
"Low",4
)</f>
        <v>4</v>
      </c>
    </row>
    <row r="1141" spans="1:22" x14ac:dyDescent="0.25">
      <c r="A1141">
        <v>1140</v>
      </c>
      <c r="B1141" s="1">
        <v>45586</v>
      </c>
      <c r="C1141" t="s">
        <v>23</v>
      </c>
      <c r="D1141" t="s">
        <v>15</v>
      </c>
      <c r="E1141">
        <v>112</v>
      </c>
      <c r="F1141">
        <v>29</v>
      </c>
      <c r="G1141">
        <v>4.3</v>
      </c>
      <c r="H1141" t="s">
        <v>12</v>
      </c>
      <c r="I1141" t="s">
        <v>19</v>
      </c>
      <c r="J1141" t="s">
        <v>11</v>
      </c>
      <c r="K1141">
        <f>_xlfn.XLOOKUP(tbl_analysis_tickets[[#This Row],[priority]],tbl_sla[priority],tbl_sla[Resolution SLA Hours])</f>
        <v>48</v>
      </c>
      <c r="L1141">
        <f>_xlfn.XLOOKUP(tbl_analysis_tickets[[#This Row],[priority]],tbl_sla[priority],tbl_sla[First Response SLA Minutes])</f>
        <v>120</v>
      </c>
      <c r="M1141" t="str">
        <f>IF(tbl_analysis_tickets[[#This Row],[resolution_time_hours]]&gt;tbl_analysis_tickets[[#This Row],[Resolution SLA Hours]],"Breached","Within SLA")</f>
        <v>Within SLA</v>
      </c>
      <c r="N1141" t="str">
        <f>IF(tbl_analysis_tickets[[#This Row],[first_response_minutes]]&gt;tbl_analysis_tickets[[#This Row],[First Response SLA Minutes]],"Breached","Within SLA")</f>
        <v>Within SLA</v>
      </c>
      <c r="O1141" t="str" cm="1">
        <f t="array" ref="O1141">_xlfn.IFS(
tbl_analysis_tickets[[#This Row],[agent_experience_years]]&lt;=2,"Junior",
tbl_analysis_tickets[[#This Row],[agent_experience_years]]&lt;=5,"Mid-Level",
tbl_analysis_tickets[[#This Row],[agent_experience_years]]&lt;=8,"Senior",
tbl_analysis_tickets[[#This Row],[agent_experience_years]]&gt;8,"Expert"
)</f>
        <v>Mid-Level</v>
      </c>
      <c r="P1141" cm="1">
        <f t="array" ref="P1141">_xlfn.SWITCH(tbl_analysis_tickets[[#This Row],[customer_satisfaction]],
"Low",1,
"Medium",2,
"High",3
)</f>
        <v>1</v>
      </c>
      <c r="Q1141">
        <f>IF(tbl_analysis_tickets[[#This Row],[reopened]]="Yes",1,0)</f>
        <v>1</v>
      </c>
      <c r="R1141" t="str" cm="1">
        <f t="array" ref="R1141">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141" t="str" cm="1">
        <f t="array" ref="S114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141" t="str">
        <f>TEXT(tbl_analysis_tickets[[#This Row],[created_date]],"mmm-yyyy")</f>
        <v>Oct-2024</v>
      </c>
      <c r="U1141" t="str">
        <f>TEXT(tbl_analysis_tickets[[#This Row],[created_date]],"dddd")</f>
        <v>Monday</v>
      </c>
      <c r="V1141" cm="1">
        <f t="array" ref="V1141">_xlfn.SWITCH(tbl_analysis_tickets[[#This Row],[priority]],
"Urgent",1,
"High",2,
"Medium",3,
"Low",4
)</f>
        <v>3</v>
      </c>
    </row>
    <row r="1142" spans="1:22" x14ac:dyDescent="0.25">
      <c r="A1142">
        <v>1141</v>
      </c>
      <c r="B1142" s="1">
        <v>45443</v>
      </c>
      <c r="C1142" t="s">
        <v>21</v>
      </c>
      <c r="D1142" t="s">
        <v>15</v>
      </c>
      <c r="E1142">
        <v>139</v>
      </c>
      <c r="F1142">
        <v>60</v>
      </c>
      <c r="G1142">
        <v>10</v>
      </c>
      <c r="H1142" t="s">
        <v>18</v>
      </c>
      <c r="I1142" t="s">
        <v>16</v>
      </c>
      <c r="J1142" t="s">
        <v>15</v>
      </c>
      <c r="K1142">
        <f>_xlfn.XLOOKUP(tbl_analysis_tickets[[#This Row],[priority]],tbl_sla[priority],tbl_sla[Resolution SLA Hours])</f>
        <v>48</v>
      </c>
      <c r="L1142">
        <f>_xlfn.XLOOKUP(tbl_analysis_tickets[[#This Row],[priority]],tbl_sla[priority],tbl_sla[First Response SLA Minutes])</f>
        <v>120</v>
      </c>
      <c r="M1142" t="str">
        <f>IF(tbl_analysis_tickets[[#This Row],[resolution_time_hours]]&gt;tbl_analysis_tickets[[#This Row],[Resolution SLA Hours]],"Breached","Within SLA")</f>
        <v>Breached</v>
      </c>
      <c r="N1142" t="str">
        <f>IF(tbl_analysis_tickets[[#This Row],[first_response_minutes]]&gt;tbl_analysis_tickets[[#This Row],[First Response SLA Minutes]],"Breached","Within SLA")</f>
        <v>Breached</v>
      </c>
      <c r="O1142" t="str" cm="1">
        <f t="array" ref="O1142">_xlfn.IFS(
tbl_analysis_tickets[[#This Row],[agent_experience_years]]&lt;=2,"Junior",
tbl_analysis_tickets[[#This Row],[agent_experience_years]]&lt;=5,"Mid-Level",
tbl_analysis_tickets[[#This Row],[agent_experience_years]]&lt;=8,"Senior",
tbl_analysis_tickets[[#This Row],[agent_experience_years]]&gt;8,"Expert"
)</f>
        <v>Expert</v>
      </c>
      <c r="P1142" cm="1">
        <f t="array" ref="P1142">_xlfn.SWITCH(tbl_analysis_tickets[[#This Row],[customer_satisfaction]],
"Low",1,
"Medium",2,
"High",3
)</f>
        <v>2</v>
      </c>
      <c r="Q1142">
        <f>IF(tbl_analysis_tickets[[#This Row],[reopened]]="Yes",1,0)</f>
        <v>0</v>
      </c>
      <c r="R1142" t="str" cm="1">
        <f t="array" ref="R1142">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142" t="str" cm="1">
        <f t="array" ref="S114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142" t="str">
        <f>TEXT(tbl_analysis_tickets[[#This Row],[created_date]],"mmm-yyyy")</f>
        <v>May-2024</v>
      </c>
      <c r="U1142" t="str">
        <f>TEXT(tbl_analysis_tickets[[#This Row],[created_date]],"dddd")</f>
        <v>Friday</v>
      </c>
      <c r="V1142" cm="1">
        <f t="array" ref="V1142">_xlfn.SWITCH(tbl_analysis_tickets[[#This Row],[priority]],
"Urgent",1,
"High",2,
"Medium",3,
"Low",4
)</f>
        <v>3</v>
      </c>
    </row>
    <row r="1143" spans="1:22" x14ac:dyDescent="0.25">
      <c r="A1143">
        <v>1142</v>
      </c>
      <c r="B1143" s="1">
        <v>45407</v>
      </c>
      <c r="C1143" t="s">
        <v>10</v>
      </c>
      <c r="D1143" t="s">
        <v>15</v>
      </c>
      <c r="E1143">
        <v>216</v>
      </c>
      <c r="F1143">
        <v>24</v>
      </c>
      <c r="G1143">
        <v>9.1999999999999993</v>
      </c>
      <c r="H1143" t="s">
        <v>12</v>
      </c>
      <c r="I1143" t="s">
        <v>16</v>
      </c>
      <c r="J1143" t="s">
        <v>11</v>
      </c>
      <c r="K1143">
        <f>_xlfn.XLOOKUP(tbl_analysis_tickets[[#This Row],[priority]],tbl_sla[priority],tbl_sla[Resolution SLA Hours])</f>
        <v>48</v>
      </c>
      <c r="L1143">
        <f>_xlfn.XLOOKUP(tbl_analysis_tickets[[#This Row],[priority]],tbl_sla[priority],tbl_sla[First Response SLA Minutes])</f>
        <v>120</v>
      </c>
      <c r="M1143" t="str">
        <f>IF(tbl_analysis_tickets[[#This Row],[resolution_time_hours]]&gt;tbl_analysis_tickets[[#This Row],[Resolution SLA Hours]],"Breached","Within SLA")</f>
        <v>Within SLA</v>
      </c>
      <c r="N1143" t="str">
        <f>IF(tbl_analysis_tickets[[#This Row],[first_response_minutes]]&gt;tbl_analysis_tickets[[#This Row],[First Response SLA Minutes]],"Breached","Within SLA")</f>
        <v>Breached</v>
      </c>
      <c r="O1143" t="str" cm="1">
        <f t="array" ref="O1143">_xlfn.IFS(
tbl_analysis_tickets[[#This Row],[agent_experience_years]]&lt;=2,"Junior",
tbl_analysis_tickets[[#This Row],[agent_experience_years]]&lt;=5,"Mid-Level",
tbl_analysis_tickets[[#This Row],[agent_experience_years]]&lt;=8,"Senior",
tbl_analysis_tickets[[#This Row],[agent_experience_years]]&gt;8,"Expert"
)</f>
        <v>Expert</v>
      </c>
      <c r="P1143" cm="1">
        <f t="array" ref="P1143">_xlfn.SWITCH(tbl_analysis_tickets[[#This Row],[customer_satisfaction]],
"Low",1,
"Medium",2,
"High",3
)</f>
        <v>1</v>
      </c>
      <c r="Q1143">
        <f>IF(tbl_analysis_tickets[[#This Row],[reopened]]="Yes",1,0)</f>
        <v>1</v>
      </c>
      <c r="R1143" t="str" cm="1">
        <f t="array" ref="R1143">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143" t="str" cm="1">
        <f t="array" ref="S114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143" t="str">
        <f>TEXT(tbl_analysis_tickets[[#This Row],[created_date]],"mmm-yyyy")</f>
        <v>Apr-2024</v>
      </c>
      <c r="U1143" t="str">
        <f>TEXT(tbl_analysis_tickets[[#This Row],[created_date]],"dddd")</f>
        <v>Thursday</v>
      </c>
      <c r="V1143" cm="1">
        <f t="array" ref="V1143">_xlfn.SWITCH(tbl_analysis_tickets[[#This Row],[priority]],
"Urgent",1,
"High",2,
"Medium",3,
"Low",4
)</f>
        <v>3</v>
      </c>
    </row>
    <row r="1144" spans="1:22" x14ac:dyDescent="0.25">
      <c r="A1144">
        <v>1143</v>
      </c>
      <c r="B1144" s="1">
        <v>45622</v>
      </c>
      <c r="C1144" t="s">
        <v>21</v>
      </c>
      <c r="D1144" t="s">
        <v>17</v>
      </c>
      <c r="E1144">
        <v>219</v>
      </c>
      <c r="F1144">
        <v>33</v>
      </c>
      <c r="G1144">
        <v>2</v>
      </c>
      <c r="H1144" t="s">
        <v>18</v>
      </c>
      <c r="I1144" t="s">
        <v>19</v>
      </c>
      <c r="J1144" t="s">
        <v>11</v>
      </c>
      <c r="K1144">
        <f>_xlfn.XLOOKUP(tbl_analysis_tickets[[#This Row],[priority]],tbl_sla[priority],tbl_sla[Resolution SLA Hours])</f>
        <v>8</v>
      </c>
      <c r="L1144">
        <f>_xlfn.XLOOKUP(tbl_analysis_tickets[[#This Row],[priority]],tbl_sla[priority],tbl_sla[First Response SLA Minutes])</f>
        <v>30</v>
      </c>
      <c r="M1144" t="str">
        <f>IF(tbl_analysis_tickets[[#This Row],[resolution_time_hours]]&gt;tbl_analysis_tickets[[#This Row],[Resolution SLA Hours]],"Breached","Within SLA")</f>
        <v>Breached</v>
      </c>
      <c r="N1144" t="str">
        <f>IF(tbl_analysis_tickets[[#This Row],[first_response_minutes]]&gt;tbl_analysis_tickets[[#This Row],[First Response SLA Minutes]],"Breached","Within SLA")</f>
        <v>Breached</v>
      </c>
      <c r="O1144" t="str" cm="1">
        <f t="array" ref="O1144">_xlfn.IFS(
tbl_analysis_tickets[[#This Row],[agent_experience_years]]&lt;=2,"Junior",
tbl_analysis_tickets[[#This Row],[agent_experience_years]]&lt;=5,"Mid-Level",
tbl_analysis_tickets[[#This Row],[agent_experience_years]]&lt;=8,"Senior",
tbl_analysis_tickets[[#This Row],[agent_experience_years]]&gt;8,"Expert"
)</f>
        <v>Junior</v>
      </c>
      <c r="P1144" cm="1">
        <f t="array" ref="P1144">_xlfn.SWITCH(tbl_analysis_tickets[[#This Row],[customer_satisfaction]],
"Low",1,
"Medium",2,
"High",3
)</f>
        <v>1</v>
      </c>
      <c r="Q1144">
        <f>IF(tbl_analysis_tickets[[#This Row],[reopened]]="Yes",1,0)</f>
        <v>0</v>
      </c>
      <c r="R1144" t="str" cm="1">
        <f t="array" ref="R1144">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144" t="str" cm="1">
        <f t="array" ref="S114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144" t="str">
        <f>TEXT(tbl_analysis_tickets[[#This Row],[created_date]],"mmm-yyyy")</f>
        <v>Nov-2024</v>
      </c>
      <c r="U1144" t="str">
        <f>TEXT(tbl_analysis_tickets[[#This Row],[created_date]],"dddd")</f>
        <v>Tuesday</v>
      </c>
      <c r="V1144" cm="1">
        <f t="array" ref="V1144">_xlfn.SWITCH(tbl_analysis_tickets[[#This Row],[priority]],
"Urgent",1,
"High",2,
"Medium",3,
"Low",4
)</f>
        <v>1</v>
      </c>
    </row>
    <row r="1145" spans="1:22" x14ac:dyDescent="0.25">
      <c r="A1145">
        <v>1144</v>
      </c>
      <c r="B1145" s="1">
        <v>45520</v>
      </c>
      <c r="C1145" t="s">
        <v>10</v>
      </c>
      <c r="D1145" t="s">
        <v>20</v>
      </c>
      <c r="E1145">
        <v>29</v>
      </c>
      <c r="F1145">
        <v>26</v>
      </c>
      <c r="G1145">
        <v>1.8</v>
      </c>
      <c r="H1145" t="s">
        <v>12</v>
      </c>
      <c r="I1145" t="s">
        <v>19</v>
      </c>
      <c r="J1145" t="s">
        <v>11</v>
      </c>
      <c r="K1145">
        <f>_xlfn.XLOOKUP(tbl_analysis_tickets[[#This Row],[priority]],tbl_sla[priority],tbl_sla[Resolution SLA Hours])</f>
        <v>24</v>
      </c>
      <c r="L1145">
        <f>_xlfn.XLOOKUP(tbl_analysis_tickets[[#This Row],[priority]],tbl_sla[priority],tbl_sla[First Response SLA Minutes])</f>
        <v>60</v>
      </c>
      <c r="M1145" t="str">
        <f>IF(tbl_analysis_tickets[[#This Row],[resolution_time_hours]]&gt;tbl_analysis_tickets[[#This Row],[Resolution SLA Hours]],"Breached","Within SLA")</f>
        <v>Breached</v>
      </c>
      <c r="N1145" t="str">
        <f>IF(tbl_analysis_tickets[[#This Row],[first_response_minutes]]&gt;tbl_analysis_tickets[[#This Row],[First Response SLA Minutes]],"Breached","Within SLA")</f>
        <v>Within SLA</v>
      </c>
      <c r="O1145" t="str" cm="1">
        <f t="array" ref="O1145">_xlfn.IFS(
tbl_analysis_tickets[[#This Row],[agent_experience_years]]&lt;=2,"Junior",
tbl_analysis_tickets[[#This Row],[agent_experience_years]]&lt;=5,"Mid-Level",
tbl_analysis_tickets[[#This Row],[agent_experience_years]]&lt;=8,"Senior",
tbl_analysis_tickets[[#This Row],[agent_experience_years]]&gt;8,"Expert"
)</f>
        <v>Junior</v>
      </c>
      <c r="P1145" cm="1">
        <f t="array" ref="P1145">_xlfn.SWITCH(tbl_analysis_tickets[[#This Row],[customer_satisfaction]],
"Low",1,
"Medium",2,
"High",3
)</f>
        <v>1</v>
      </c>
      <c r="Q1145">
        <f>IF(tbl_analysis_tickets[[#This Row],[reopened]]="Yes",1,0)</f>
        <v>1</v>
      </c>
      <c r="R1145" t="str" cm="1">
        <f t="array" ref="R1145">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1145" t="str" cm="1">
        <f t="array" ref="S114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145" t="str">
        <f>TEXT(tbl_analysis_tickets[[#This Row],[created_date]],"mmm-yyyy")</f>
        <v>Aug-2024</v>
      </c>
      <c r="U1145" t="str">
        <f>TEXT(tbl_analysis_tickets[[#This Row],[created_date]],"dddd")</f>
        <v>Friday</v>
      </c>
      <c r="V1145" cm="1">
        <f t="array" ref="V1145">_xlfn.SWITCH(tbl_analysis_tickets[[#This Row],[priority]],
"Urgent",1,
"High",2,
"Medium",3,
"Low",4
)</f>
        <v>2</v>
      </c>
    </row>
    <row r="1146" spans="1:22" x14ac:dyDescent="0.25">
      <c r="A1146">
        <v>1145</v>
      </c>
      <c r="B1146" s="1">
        <v>45637</v>
      </c>
      <c r="C1146" t="s">
        <v>10</v>
      </c>
      <c r="D1146" t="s">
        <v>17</v>
      </c>
      <c r="E1146">
        <v>98</v>
      </c>
      <c r="F1146">
        <v>51</v>
      </c>
      <c r="G1146">
        <v>4.9000000000000004</v>
      </c>
      <c r="H1146" t="s">
        <v>18</v>
      </c>
      <c r="I1146" t="s">
        <v>19</v>
      </c>
      <c r="J1146" t="s">
        <v>11</v>
      </c>
      <c r="K1146">
        <f>_xlfn.XLOOKUP(tbl_analysis_tickets[[#This Row],[priority]],tbl_sla[priority],tbl_sla[Resolution SLA Hours])</f>
        <v>8</v>
      </c>
      <c r="L1146">
        <f>_xlfn.XLOOKUP(tbl_analysis_tickets[[#This Row],[priority]],tbl_sla[priority],tbl_sla[First Response SLA Minutes])</f>
        <v>30</v>
      </c>
      <c r="M1146" t="str">
        <f>IF(tbl_analysis_tickets[[#This Row],[resolution_time_hours]]&gt;tbl_analysis_tickets[[#This Row],[Resolution SLA Hours]],"Breached","Within SLA")</f>
        <v>Breached</v>
      </c>
      <c r="N1146" t="str">
        <f>IF(tbl_analysis_tickets[[#This Row],[first_response_minutes]]&gt;tbl_analysis_tickets[[#This Row],[First Response SLA Minutes]],"Breached","Within SLA")</f>
        <v>Breached</v>
      </c>
      <c r="O1146" t="str" cm="1">
        <f t="array" ref="O1146">_xlfn.IFS(
tbl_analysis_tickets[[#This Row],[agent_experience_years]]&lt;=2,"Junior",
tbl_analysis_tickets[[#This Row],[agent_experience_years]]&lt;=5,"Mid-Level",
tbl_analysis_tickets[[#This Row],[agent_experience_years]]&lt;=8,"Senior",
tbl_analysis_tickets[[#This Row],[agent_experience_years]]&gt;8,"Expert"
)</f>
        <v>Mid-Level</v>
      </c>
      <c r="P1146" cm="1">
        <f t="array" ref="P1146">_xlfn.SWITCH(tbl_analysis_tickets[[#This Row],[customer_satisfaction]],
"Low",1,
"Medium",2,
"High",3
)</f>
        <v>1</v>
      </c>
      <c r="Q1146">
        <f>IF(tbl_analysis_tickets[[#This Row],[reopened]]="Yes",1,0)</f>
        <v>0</v>
      </c>
      <c r="R1146" t="str" cm="1">
        <f t="array" ref="R1146">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146" t="str" cm="1">
        <f t="array" ref="S114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146" t="str">
        <f>TEXT(tbl_analysis_tickets[[#This Row],[created_date]],"mmm-yyyy")</f>
        <v>Dec-2024</v>
      </c>
      <c r="U1146" t="str">
        <f>TEXT(tbl_analysis_tickets[[#This Row],[created_date]],"dddd")</f>
        <v>Wednesday</v>
      </c>
      <c r="V1146" cm="1">
        <f t="array" ref="V1146">_xlfn.SWITCH(tbl_analysis_tickets[[#This Row],[priority]],
"Urgent",1,
"High",2,
"Medium",3,
"Low",4
)</f>
        <v>1</v>
      </c>
    </row>
    <row r="1147" spans="1:22" x14ac:dyDescent="0.25">
      <c r="A1147">
        <v>1146</v>
      </c>
      <c r="B1147" s="1">
        <v>45362</v>
      </c>
      <c r="C1147" t="s">
        <v>14</v>
      </c>
      <c r="D1147" t="s">
        <v>15</v>
      </c>
      <c r="E1147">
        <v>152</v>
      </c>
      <c r="F1147">
        <v>9</v>
      </c>
      <c r="G1147">
        <v>2</v>
      </c>
      <c r="H1147" t="s">
        <v>18</v>
      </c>
      <c r="I1147" t="s">
        <v>13</v>
      </c>
      <c r="J1147" t="s">
        <v>11</v>
      </c>
      <c r="K1147">
        <f>_xlfn.XLOOKUP(tbl_analysis_tickets[[#This Row],[priority]],tbl_sla[priority],tbl_sla[Resolution SLA Hours])</f>
        <v>48</v>
      </c>
      <c r="L1147">
        <f>_xlfn.XLOOKUP(tbl_analysis_tickets[[#This Row],[priority]],tbl_sla[priority],tbl_sla[First Response SLA Minutes])</f>
        <v>120</v>
      </c>
      <c r="M1147" t="str">
        <f>IF(tbl_analysis_tickets[[#This Row],[resolution_time_hours]]&gt;tbl_analysis_tickets[[#This Row],[Resolution SLA Hours]],"Breached","Within SLA")</f>
        <v>Within SLA</v>
      </c>
      <c r="N1147" t="str">
        <f>IF(tbl_analysis_tickets[[#This Row],[first_response_minutes]]&gt;tbl_analysis_tickets[[#This Row],[First Response SLA Minutes]],"Breached","Within SLA")</f>
        <v>Breached</v>
      </c>
      <c r="O1147" t="str" cm="1">
        <f t="array" ref="O1147">_xlfn.IFS(
tbl_analysis_tickets[[#This Row],[agent_experience_years]]&lt;=2,"Junior",
tbl_analysis_tickets[[#This Row],[agent_experience_years]]&lt;=5,"Mid-Level",
tbl_analysis_tickets[[#This Row],[agent_experience_years]]&lt;=8,"Senior",
tbl_analysis_tickets[[#This Row],[agent_experience_years]]&gt;8,"Expert"
)</f>
        <v>Junior</v>
      </c>
      <c r="P1147" cm="1">
        <f t="array" ref="P1147">_xlfn.SWITCH(tbl_analysis_tickets[[#This Row],[customer_satisfaction]],
"Low",1,
"Medium",2,
"High",3
)</f>
        <v>1</v>
      </c>
      <c r="Q1147">
        <f>IF(tbl_analysis_tickets[[#This Row],[reopened]]="Yes",1,0)</f>
        <v>0</v>
      </c>
      <c r="R1147" t="str" cm="1">
        <f t="array" ref="R1147">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147" t="str" cm="1">
        <f t="array" ref="S114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147" t="str">
        <f>TEXT(tbl_analysis_tickets[[#This Row],[created_date]],"mmm-yyyy")</f>
        <v>Mar-2024</v>
      </c>
      <c r="U1147" t="str">
        <f>TEXT(tbl_analysis_tickets[[#This Row],[created_date]],"dddd")</f>
        <v>Monday</v>
      </c>
      <c r="V1147" cm="1">
        <f t="array" ref="V1147">_xlfn.SWITCH(tbl_analysis_tickets[[#This Row],[priority]],
"Urgent",1,
"High",2,
"Medium",3,
"Low",4
)</f>
        <v>3</v>
      </c>
    </row>
    <row r="1148" spans="1:22" x14ac:dyDescent="0.25">
      <c r="A1148">
        <v>1147</v>
      </c>
      <c r="B1148" s="1">
        <v>45345</v>
      </c>
      <c r="C1148" t="s">
        <v>22</v>
      </c>
      <c r="D1148" t="s">
        <v>17</v>
      </c>
      <c r="E1148">
        <v>110</v>
      </c>
      <c r="F1148">
        <v>26</v>
      </c>
      <c r="G1148">
        <v>2</v>
      </c>
      <c r="H1148" t="s">
        <v>12</v>
      </c>
      <c r="I1148" t="s">
        <v>19</v>
      </c>
      <c r="J1148" t="s">
        <v>11</v>
      </c>
      <c r="K1148">
        <f>_xlfn.XLOOKUP(tbl_analysis_tickets[[#This Row],[priority]],tbl_sla[priority],tbl_sla[Resolution SLA Hours])</f>
        <v>8</v>
      </c>
      <c r="L1148">
        <f>_xlfn.XLOOKUP(tbl_analysis_tickets[[#This Row],[priority]],tbl_sla[priority],tbl_sla[First Response SLA Minutes])</f>
        <v>30</v>
      </c>
      <c r="M1148" t="str">
        <f>IF(tbl_analysis_tickets[[#This Row],[resolution_time_hours]]&gt;tbl_analysis_tickets[[#This Row],[Resolution SLA Hours]],"Breached","Within SLA")</f>
        <v>Breached</v>
      </c>
      <c r="N1148" t="str">
        <f>IF(tbl_analysis_tickets[[#This Row],[first_response_minutes]]&gt;tbl_analysis_tickets[[#This Row],[First Response SLA Minutes]],"Breached","Within SLA")</f>
        <v>Breached</v>
      </c>
      <c r="O1148" t="str" cm="1">
        <f t="array" ref="O1148">_xlfn.IFS(
tbl_analysis_tickets[[#This Row],[agent_experience_years]]&lt;=2,"Junior",
tbl_analysis_tickets[[#This Row],[agent_experience_years]]&lt;=5,"Mid-Level",
tbl_analysis_tickets[[#This Row],[agent_experience_years]]&lt;=8,"Senior",
tbl_analysis_tickets[[#This Row],[agent_experience_years]]&gt;8,"Expert"
)</f>
        <v>Junior</v>
      </c>
      <c r="P1148" cm="1">
        <f t="array" ref="P1148">_xlfn.SWITCH(tbl_analysis_tickets[[#This Row],[customer_satisfaction]],
"Low",1,
"Medium",2,
"High",3
)</f>
        <v>1</v>
      </c>
      <c r="Q1148">
        <f>IF(tbl_analysis_tickets[[#This Row],[reopened]]="Yes",1,0)</f>
        <v>1</v>
      </c>
      <c r="R1148" t="str" cm="1">
        <f t="array" ref="R1148">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148" t="str" cm="1">
        <f t="array" ref="S114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148" t="str">
        <f>TEXT(tbl_analysis_tickets[[#This Row],[created_date]],"mmm-yyyy")</f>
        <v>Feb-2024</v>
      </c>
      <c r="U1148" t="str">
        <f>TEXT(tbl_analysis_tickets[[#This Row],[created_date]],"dddd")</f>
        <v>Friday</v>
      </c>
      <c r="V1148" cm="1">
        <f t="array" ref="V1148">_xlfn.SWITCH(tbl_analysis_tickets[[#This Row],[priority]],
"Urgent",1,
"High",2,
"Medium",3,
"Low",4
)</f>
        <v>1</v>
      </c>
    </row>
    <row r="1149" spans="1:22" x14ac:dyDescent="0.25">
      <c r="A1149">
        <v>1148</v>
      </c>
      <c r="B1149" s="1">
        <v>45618</v>
      </c>
      <c r="C1149" t="s">
        <v>14</v>
      </c>
      <c r="D1149" t="s">
        <v>11</v>
      </c>
      <c r="E1149">
        <v>61</v>
      </c>
      <c r="F1149">
        <v>28</v>
      </c>
      <c r="G1149">
        <v>9.4</v>
      </c>
      <c r="H1149" t="s">
        <v>12</v>
      </c>
      <c r="I1149" t="s">
        <v>19</v>
      </c>
      <c r="J1149" t="s">
        <v>11</v>
      </c>
      <c r="K1149">
        <f>_xlfn.XLOOKUP(tbl_analysis_tickets[[#This Row],[priority]],tbl_sla[priority],tbl_sla[Resolution SLA Hours])</f>
        <v>72</v>
      </c>
      <c r="L1149">
        <f>_xlfn.XLOOKUP(tbl_analysis_tickets[[#This Row],[priority]],tbl_sla[priority],tbl_sla[First Response SLA Minutes])</f>
        <v>240</v>
      </c>
      <c r="M1149" t="str">
        <f>IF(tbl_analysis_tickets[[#This Row],[resolution_time_hours]]&gt;tbl_analysis_tickets[[#This Row],[Resolution SLA Hours]],"Breached","Within SLA")</f>
        <v>Within SLA</v>
      </c>
      <c r="N1149" t="str">
        <f>IF(tbl_analysis_tickets[[#This Row],[first_response_minutes]]&gt;tbl_analysis_tickets[[#This Row],[First Response SLA Minutes]],"Breached","Within SLA")</f>
        <v>Within SLA</v>
      </c>
      <c r="O1149" t="str" cm="1">
        <f t="array" ref="O1149">_xlfn.IFS(
tbl_analysis_tickets[[#This Row],[agent_experience_years]]&lt;=2,"Junior",
tbl_analysis_tickets[[#This Row],[agent_experience_years]]&lt;=5,"Mid-Level",
tbl_analysis_tickets[[#This Row],[agent_experience_years]]&lt;=8,"Senior",
tbl_analysis_tickets[[#This Row],[agent_experience_years]]&gt;8,"Expert"
)</f>
        <v>Expert</v>
      </c>
      <c r="P1149" cm="1">
        <f t="array" ref="P1149">_xlfn.SWITCH(tbl_analysis_tickets[[#This Row],[customer_satisfaction]],
"Low",1,
"Medium",2,
"High",3
)</f>
        <v>1</v>
      </c>
      <c r="Q1149">
        <f>IF(tbl_analysis_tickets[[#This Row],[reopened]]="Yes",1,0)</f>
        <v>1</v>
      </c>
      <c r="R1149" t="str" cm="1">
        <f t="array" ref="R1149">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149" t="str" cm="1">
        <f t="array" ref="S114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149" t="str">
        <f>TEXT(tbl_analysis_tickets[[#This Row],[created_date]],"mmm-yyyy")</f>
        <v>Nov-2024</v>
      </c>
      <c r="U1149" t="str">
        <f>TEXT(tbl_analysis_tickets[[#This Row],[created_date]],"dddd")</f>
        <v>Friday</v>
      </c>
      <c r="V1149" cm="1">
        <f t="array" ref="V1149">_xlfn.SWITCH(tbl_analysis_tickets[[#This Row],[priority]],
"Urgent",1,
"High",2,
"Medium",3,
"Low",4
)</f>
        <v>4</v>
      </c>
    </row>
    <row r="1150" spans="1:22" x14ac:dyDescent="0.25">
      <c r="A1150">
        <v>1149</v>
      </c>
      <c r="B1150" s="1">
        <v>45410</v>
      </c>
      <c r="C1150" t="s">
        <v>23</v>
      </c>
      <c r="D1150" t="s">
        <v>20</v>
      </c>
      <c r="E1150">
        <v>58</v>
      </c>
      <c r="F1150">
        <v>38</v>
      </c>
      <c r="G1150">
        <v>4.3</v>
      </c>
      <c r="H1150" t="s">
        <v>18</v>
      </c>
      <c r="I1150" t="s">
        <v>13</v>
      </c>
      <c r="J1150" t="s">
        <v>11</v>
      </c>
      <c r="K1150">
        <f>_xlfn.XLOOKUP(tbl_analysis_tickets[[#This Row],[priority]],tbl_sla[priority],tbl_sla[Resolution SLA Hours])</f>
        <v>24</v>
      </c>
      <c r="L1150">
        <f>_xlfn.XLOOKUP(tbl_analysis_tickets[[#This Row],[priority]],tbl_sla[priority],tbl_sla[First Response SLA Minutes])</f>
        <v>60</v>
      </c>
      <c r="M1150" t="str">
        <f>IF(tbl_analysis_tickets[[#This Row],[resolution_time_hours]]&gt;tbl_analysis_tickets[[#This Row],[Resolution SLA Hours]],"Breached","Within SLA")</f>
        <v>Breached</v>
      </c>
      <c r="N1150" t="str">
        <f>IF(tbl_analysis_tickets[[#This Row],[first_response_minutes]]&gt;tbl_analysis_tickets[[#This Row],[First Response SLA Minutes]],"Breached","Within SLA")</f>
        <v>Within SLA</v>
      </c>
      <c r="O1150" t="str" cm="1">
        <f t="array" ref="O1150">_xlfn.IFS(
tbl_analysis_tickets[[#This Row],[agent_experience_years]]&lt;=2,"Junior",
tbl_analysis_tickets[[#This Row],[agent_experience_years]]&lt;=5,"Mid-Level",
tbl_analysis_tickets[[#This Row],[agent_experience_years]]&lt;=8,"Senior",
tbl_analysis_tickets[[#This Row],[agent_experience_years]]&gt;8,"Expert"
)</f>
        <v>Mid-Level</v>
      </c>
      <c r="P1150" cm="1">
        <f t="array" ref="P1150">_xlfn.SWITCH(tbl_analysis_tickets[[#This Row],[customer_satisfaction]],
"Low",1,
"Medium",2,
"High",3
)</f>
        <v>1</v>
      </c>
      <c r="Q1150">
        <f>IF(tbl_analysis_tickets[[#This Row],[reopened]]="Yes",1,0)</f>
        <v>0</v>
      </c>
      <c r="R1150" t="str" cm="1">
        <f t="array" ref="R1150">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150" t="str" cm="1">
        <f t="array" ref="S115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150" t="str">
        <f>TEXT(tbl_analysis_tickets[[#This Row],[created_date]],"mmm-yyyy")</f>
        <v>Apr-2024</v>
      </c>
      <c r="U1150" t="str">
        <f>TEXT(tbl_analysis_tickets[[#This Row],[created_date]],"dddd")</f>
        <v>Sunday</v>
      </c>
      <c r="V1150" cm="1">
        <f t="array" ref="V1150">_xlfn.SWITCH(tbl_analysis_tickets[[#This Row],[priority]],
"Urgent",1,
"High",2,
"Medium",3,
"Low",4
)</f>
        <v>2</v>
      </c>
    </row>
    <row r="1151" spans="1:22" x14ac:dyDescent="0.25">
      <c r="A1151">
        <v>1150</v>
      </c>
      <c r="B1151" s="1">
        <v>45600</v>
      </c>
      <c r="C1151" t="s">
        <v>23</v>
      </c>
      <c r="D1151" t="s">
        <v>17</v>
      </c>
      <c r="E1151">
        <v>51</v>
      </c>
      <c r="F1151">
        <v>68</v>
      </c>
      <c r="G1151">
        <v>0.8</v>
      </c>
      <c r="H1151" t="s">
        <v>18</v>
      </c>
      <c r="I1151" t="s">
        <v>13</v>
      </c>
      <c r="J1151" t="s">
        <v>11</v>
      </c>
      <c r="K1151">
        <f>_xlfn.XLOOKUP(tbl_analysis_tickets[[#This Row],[priority]],tbl_sla[priority],tbl_sla[Resolution SLA Hours])</f>
        <v>8</v>
      </c>
      <c r="L1151">
        <f>_xlfn.XLOOKUP(tbl_analysis_tickets[[#This Row],[priority]],tbl_sla[priority],tbl_sla[First Response SLA Minutes])</f>
        <v>30</v>
      </c>
      <c r="M1151" t="str">
        <f>IF(tbl_analysis_tickets[[#This Row],[resolution_time_hours]]&gt;tbl_analysis_tickets[[#This Row],[Resolution SLA Hours]],"Breached","Within SLA")</f>
        <v>Breached</v>
      </c>
      <c r="N1151" t="str">
        <f>IF(tbl_analysis_tickets[[#This Row],[first_response_minutes]]&gt;tbl_analysis_tickets[[#This Row],[First Response SLA Minutes]],"Breached","Within SLA")</f>
        <v>Breached</v>
      </c>
      <c r="O1151" t="str" cm="1">
        <f t="array" ref="O1151">_xlfn.IFS(
tbl_analysis_tickets[[#This Row],[agent_experience_years]]&lt;=2,"Junior",
tbl_analysis_tickets[[#This Row],[agent_experience_years]]&lt;=5,"Mid-Level",
tbl_analysis_tickets[[#This Row],[agent_experience_years]]&lt;=8,"Senior",
tbl_analysis_tickets[[#This Row],[agent_experience_years]]&gt;8,"Expert"
)</f>
        <v>Junior</v>
      </c>
      <c r="P1151" cm="1">
        <f t="array" ref="P1151">_xlfn.SWITCH(tbl_analysis_tickets[[#This Row],[customer_satisfaction]],
"Low",1,
"Medium",2,
"High",3
)</f>
        <v>1</v>
      </c>
      <c r="Q1151">
        <f>IF(tbl_analysis_tickets[[#This Row],[reopened]]="Yes",1,0)</f>
        <v>0</v>
      </c>
      <c r="R1151" t="str" cm="1">
        <f t="array" ref="R1151">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151" t="str" cm="1">
        <f t="array" ref="S115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151" t="str">
        <f>TEXT(tbl_analysis_tickets[[#This Row],[created_date]],"mmm-yyyy")</f>
        <v>Nov-2024</v>
      </c>
      <c r="U1151" t="str">
        <f>TEXT(tbl_analysis_tickets[[#This Row],[created_date]],"dddd")</f>
        <v>Monday</v>
      </c>
      <c r="V1151" cm="1">
        <f t="array" ref="V1151">_xlfn.SWITCH(tbl_analysis_tickets[[#This Row],[priority]],
"Urgent",1,
"High",2,
"Medium",3,
"Low",4
)</f>
        <v>1</v>
      </c>
    </row>
    <row r="1152" spans="1:22" x14ac:dyDescent="0.25">
      <c r="A1152">
        <v>1151</v>
      </c>
      <c r="B1152" s="1">
        <v>45405</v>
      </c>
      <c r="C1152" t="s">
        <v>14</v>
      </c>
      <c r="D1152" t="s">
        <v>11</v>
      </c>
      <c r="E1152">
        <v>72</v>
      </c>
      <c r="F1152">
        <v>41</v>
      </c>
      <c r="G1152">
        <v>2.5</v>
      </c>
      <c r="H1152" t="s">
        <v>12</v>
      </c>
      <c r="I1152" t="s">
        <v>13</v>
      </c>
      <c r="J1152" t="s">
        <v>11</v>
      </c>
      <c r="K1152">
        <f>_xlfn.XLOOKUP(tbl_analysis_tickets[[#This Row],[priority]],tbl_sla[priority],tbl_sla[Resolution SLA Hours])</f>
        <v>72</v>
      </c>
      <c r="L1152">
        <f>_xlfn.XLOOKUP(tbl_analysis_tickets[[#This Row],[priority]],tbl_sla[priority],tbl_sla[First Response SLA Minutes])</f>
        <v>240</v>
      </c>
      <c r="M1152" t="str">
        <f>IF(tbl_analysis_tickets[[#This Row],[resolution_time_hours]]&gt;tbl_analysis_tickets[[#This Row],[Resolution SLA Hours]],"Breached","Within SLA")</f>
        <v>Within SLA</v>
      </c>
      <c r="N1152" t="str">
        <f>IF(tbl_analysis_tickets[[#This Row],[first_response_minutes]]&gt;tbl_analysis_tickets[[#This Row],[First Response SLA Minutes]],"Breached","Within SLA")</f>
        <v>Within SLA</v>
      </c>
      <c r="O1152" t="str" cm="1">
        <f t="array" ref="O1152">_xlfn.IFS(
tbl_analysis_tickets[[#This Row],[agent_experience_years]]&lt;=2,"Junior",
tbl_analysis_tickets[[#This Row],[agent_experience_years]]&lt;=5,"Mid-Level",
tbl_analysis_tickets[[#This Row],[agent_experience_years]]&lt;=8,"Senior",
tbl_analysis_tickets[[#This Row],[agent_experience_years]]&gt;8,"Expert"
)</f>
        <v>Mid-Level</v>
      </c>
      <c r="P1152" cm="1">
        <f t="array" ref="P1152">_xlfn.SWITCH(tbl_analysis_tickets[[#This Row],[customer_satisfaction]],
"Low",1,
"Medium",2,
"High",3
)</f>
        <v>1</v>
      </c>
      <c r="Q1152">
        <f>IF(tbl_analysis_tickets[[#This Row],[reopened]]="Yes",1,0)</f>
        <v>1</v>
      </c>
      <c r="R1152" t="str" cm="1">
        <f t="array" ref="R1152">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152" t="str" cm="1">
        <f t="array" ref="S115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152" t="str">
        <f>TEXT(tbl_analysis_tickets[[#This Row],[created_date]],"mmm-yyyy")</f>
        <v>Apr-2024</v>
      </c>
      <c r="U1152" t="str">
        <f>TEXT(tbl_analysis_tickets[[#This Row],[created_date]],"dddd")</f>
        <v>Tuesday</v>
      </c>
      <c r="V1152" cm="1">
        <f t="array" ref="V1152">_xlfn.SWITCH(tbl_analysis_tickets[[#This Row],[priority]],
"Urgent",1,
"High",2,
"Medium",3,
"Low",4
)</f>
        <v>4</v>
      </c>
    </row>
    <row r="1153" spans="1:22" x14ac:dyDescent="0.25">
      <c r="A1153">
        <v>1152</v>
      </c>
      <c r="B1153" s="1">
        <v>45351</v>
      </c>
      <c r="C1153" t="s">
        <v>10</v>
      </c>
      <c r="D1153" t="s">
        <v>11</v>
      </c>
      <c r="E1153">
        <v>148</v>
      </c>
      <c r="F1153">
        <v>47</v>
      </c>
      <c r="G1153">
        <v>1.3</v>
      </c>
      <c r="H1153" t="s">
        <v>12</v>
      </c>
      <c r="I1153" t="s">
        <v>16</v>
      </c>
      <c r="J1153" t="s">
        <v>11</v>
      </c>
      <c r="K1153">
        <f>_xlfn.XLOOKUP(tbl_analysis_tickets[[#This Row],[priority]],tbl_sla[priority],tbl_sla[Resolution SLA Hours])</f>
        <v>72</v>
      </c>
      <c r="L1153">
        <f>_xlfn.XLOOKUP(tbl_analysis_tickets[[#This Row],[priority]],tbl_sla[priority],tbl_sla[First Response SLA Minutes])</f>
        <v>240</v>
      </c>
      <c r="M1153" t="str">
        <f>IF(tbl_analysis_tickets[[#This Row],[resolution_time_hours]]&gt;tbl_analysis_tickets[[#This Row],[Resolution SLA Hours]],"Breached","Within SLA")</f>
        <v>Within SLA</v>
      </c>
      <c r="N1153" t="str">
        <f>IF(tbl_analysis_tickets[[#This Row],[first_response_minutes]]&gt;tbl_analysis_tickets[[#This Row],[First Response SLA Minutes]],"Breached","Within SLA")</f>
        <v>Within SLA</v>
      </c>
      <c r="O1153" t="str" cm="1">
        <f t="array" ref="O1153">_xlfn.IFS(
tbl_analysis_tickets[[#This Row],[agent_experience_years]]&lt;=2,"Junior",
tbl_analysis_tickets[[#This Row],[agent_experience_years]]&lt;=5,"Mid-Level",
tbl_analysis_tickets[[#This Row],[agent_experience_years]]&lt;=8,"Senior",
tbl_analysis_tickets[[#This Row],[agent_experience_years]]&gt;8,"Expert"
)</f>
        <v>Junior</v>
      </c>
      <c r="P1153" cm="1">
        <f t="array" ref="P1153">_xlfn.SWITCH(tbl_analysis_tickets[[#This Row],[customer_satisfaction]],
"Low",1,
"Medium",2,
"High",3
)</f>
        <v>1</v>
      </c>
      <c r="Q1153">
        <f>IF(tbl_analysis_tickets[[#This Row],[reopened]]="Yes",1,0)</f>
        <v>1</v>
      </c>
      <c r="R1153" t="str" cm="1">
        <f t="array" ref="R1153">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153" t="str" cm="1">
        <f t="array" ref="S115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153" t="str">
        <f>TEXT(tbl_analysis_tickets[[#This Row],[created_date]],"mmm-yyyy")</f>
        <v>Feb-2024</v>
      </c>
      <c r="U1153" t="str">
        <f>TEXT(tbl_analysis_tickets[[#This Row],[created_date]],"dddd")</f>
        <v>Thursday</v>
      </c>
      <c r="V1153" cm="1">
        <f t="array" ref="V1153">_xlfn.SWITCH(tbl_analysis_tickets[[#This Row],[priority]],
"Urgent",1,
"High",2,
"Medium",3,
"Low",4
)</f>
        <v>4</v>
      </c>
    </row>
    <row r="1154" spans="1:22" x14ac:dyDescent="0.25">
      <c r="A1154">
        <v>1153</v>
      </c>
      <c r="B1154" s="1">
        <v>45552</v>
      </c>
      <c r="C1154" t="s">
        <v>10</v>
      </c>
      <c r="D1154" t="s">
        <v>17</v>
      </c>
      <c r="E1154">
        <v>68</v>
      </c>
      <c r="F1154">
        <v>65</v>
      </c>
      <c r="G1154">
        <v>7</v>
      </c>
      <c r="H1154" t="s">
        <v>18</v>
      </c>
      <c r="I1154" t="s">
        <v>19</v>
      </c>
      <c r="J1154" t="s">
        <v>11</v>
      </c>
      <c r="K1154">
        <f>_xlfn.XLOOKUP(tbl_analysis_tickets[[#This Row],[priority]],tbl_sla[priority],tbl_sla[Resolution SLA Hours])</f>
        <v>8</v>
      </c>
      <c r="L1154">
        <f>_xlfn.XLOOKUP(tbl_analysis_tickets[[#This Row],[priority]],tbl_sla[priority],tbl_sla[First Response SLA Minutes])</f>
        <v>30</v>
      </c>
      <c r="M1154" t="str">
        <f>IF(tbl_analysis_tickets[[#This Row],[resolution_time_hours]]&gt;tbl_analysis_tickets[[#This Row],[Resolution SLA Hours]],"Breached","Within SLA")</f>
        <v>Breached</v>
      </c>
      <c r="N1154" t="str">
        <f>IF(tbl_analysis_tickets[[#This Row],[first_response_minutes]]&gt;tbl_analysis_tickets[[#This Row],[First Response SLA Minutes]],"Breached","Within SLA")</f>
        <v>Breached</v>
      </c>
      <c r="O1154" t="str" cm="1">
        <f t="array" ref="O1154">_xlfn.IFS(
tbl_analysis_tickets[[#This Row],[agent_experience_years]]&lt;=2,"Junior",
tbl_analysis_tickets[[#This Row],[agent_experience_years]]&lt;=5,"Mid-Level",
tbl_analysis_tickets[[#This Row],[agent_experience_years]]&lt;=8,"Senior",
tbl_analysis_tickets[[#This Row],[agent_experience_years]]&gt;8,"Expert"
)</f>
        <v>Senior</v>
      </c>
      <c r="P1154" cm="1">
        <f t="array" ref="P1154">_xlfn.SWITCH(tbl_analysis_tickets[[#This Row],[customer_satisfaction]],
"Low",1,
"Medium",2,
"High",3
)</f>
        <v>1</v>
      </c>
      <c r="Q1154">
        <f>IF(tbl_analysis_tickets[[#This Row],[reopened]]="Yes",1,0)</f>
        <v>0</v>
      </c>
      <c r="R1154" t="str" cm="1">
        <f t="array" ref="R1154">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154" t="str" cm="1">
        <f t="array" ref="S115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154" t="str">
        <f>TEXT(tbl_analysis_tickets[[#This Row],[created_date]],"mmm-yyyy")</f>
        <v>Sep-2024</v>
      </c>
      <c r="U1154" t="str">
        <f>TEXT(tbl_analysis_tickets[[#This Row],[created_date]],"dddd")</f>
        <v>Tuesday</v>
      </c>
      <c r="V1154" cm="1">
        <f t="array" ref="V1154">_xlfn.SWITCH(tbl_analysis_tickets[[#This Row],[priority]],
"Urgent",1,
"High",2,
"Medium",3,
"Low",4
)</f>
        <v>1</v>
      </c>
    </row>
    <row r="1155" spans="1:22" x14ac:dyDescent="0.25">
      <c r="A1155">
        <v>1154</v>
      </c>
      <c r="B1155" s="1">
        <v>45569</v>
      </c>
      <c r="C1155" t="s">
        <v>21</v>
      </c>
      <c r="D1155" t="s">
        <v>11</v>
      </c>
      <c r="E1155">
        <v>178</v>
      </c>
      <c r="F1155">
        <v>33</v>
      </c>
      <c r="G1155">
        <v>6.1</v>
      </c>
      <c r="H1155" t="s">
        <v>12</v>
      </c>
      <c r="I1155" t="s">
        <v>13</v>
      </c>
      <c r="J1155" t="s">
        <v>11</v>
      </c>
      <c r="K1155">
        <f>_xlfn.XLOOKUP(tbl_analysis_tickets[[#This Row],[priority]],tbl_sla[priority],tbl_sla[Resolution SLA Hours])</f>
        <v>72</v>
      </c>
      <c r="L1155">
        <f>_xlfn.XLOOKUP(tbl_analysis_tickets[[#This Row],[priority]],tbl_sla[priority],tbl_sla[First Response SLA Minutes])</f>
        <v>240</v>
      </c>
      <c r="M1155" t="str">
        <f>IF(tbl_analysis_tickets[[#This Row],[resolution_time_hours]]&gt;tbl_analysis_tickets[[#This Row],[Resolution SLA Hours]],"Breached","Within SLA")</f>
        <v>Within SLA</v>
      </c>
      <c r="N1155" t="str">
        <f>IF(tbl_analysis_tickets[[#This Row],[first_response_minutes]]&gt;tbl_analysis_tickets[[#This Row],[First Response SLA Minutes]],"Breached","Within SLA")</f>
        <v>Within SLA</v>
      </c>
      <c r="O1155" t="str" cm="1">
        <f t="array" ref="O1155">_xlfn.IFS(
tbl_analysis_tickets[[#This Row],[agent_experience_years]]&lt;=2,"Junior",
tbl_analysis_tickets[[#This Row],[agent_experience_years]]&lt;=5,"Mid-Level",
tbl_analysis_tickets[[#This Row],[agent_experience_years]]&lt;=8,"Senior",
tbl_analysis_tickets[[#This Row],[agent_experience_years]]&gt;8,"Expert"
)</f>
        <v>Senior</v>
      </c>
      <c r="P1155" cm="1">
        <f t="array" ref="P1155">_xlfn.SWITCH(tbl_analysis_tickets[[#This Row],[customer_satisfaction]],
"Low",1,
"Medium",2,
"High",3
)</f>
        <v>1</v>
      </c>
      <c r="Q1155">
        <f>IF(tbl_analysis_tickets[[#This Row],[reopened]]="Yes",1,0)</f>
        <v>1</v>
      </c>
      <c r="R1155" t="str" cm="1">
        <f t="array" ref="R1155">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155" t="str" cm="1">
        <f t="array" ref="S115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155" t="str">
        <f>TEXT(tbl_analysis_tickets[[#This Row],[created_date]],"mmm-yyyy")</f>
        <v>Oct-2024</v>
      </c>
      <c r="U1155" t="str">
        <f>TEXT(tbl_analysis_tickets[[#This Row],[created_date]],"dddd")</f>
        <v>Friday</v>
      </c>
      <c r="V1155" cm="1">
        <f t="array" ref="V1155">_xlfn.SWITCH(tbl_analysis_tickets[[#This Row],[priority]],
"Urgent",1,
"High",2,
"Medium",3,
"Low",4
)</f>
        <v>4</v>
      </c>
    </row>
    <row r="1156" spans="1:22" x14ac:dyDescent="0.25">
      <c r="A1156">
        <v>1155</v>
      </c>
      <c r="B1156" s="1">
        <v>45357</v>
      </c>
      <c r="C1156" t="s">
        <v>10</v>
      </c>
      <c r="D1156" t="s">
        <v>17</v>
      </c>
      <c r="E1156">
        <v>61</v>
      </c>
      <c r="F1156">
        <v>33</v>
      </c>
      <c r="G1156">
        <v>9.9</v>
      </c>
      <c r="H1156" t="s">
        <v>12</v>
      </c>
      <c r="I1156" t="s">
        <v>19</v>
      </c>
      <c r="J1156" t="s">
        <v>11</v>
      </c>
      <c r="K1156">
        <f>_xlfn.XLOOKUP(tbl_analysis_tickets[[#This Row],[priority]],tbl_sla[priority],tbl_sla[Resolution SLA Hours])</f>
        <v>8</v>
      </c>
      <c r="L1156">
        <f>_xlfn.XLOOKUP(tbl_analysis_tickets[[#This Row],[priority]],tbl_sla[priority],tbl_sla[First Response SLA Minutes])</f>
        <v>30</v>
      </c>
      <c r="M1156" t="str">
        <f>IF(tbl_analysis_tickets[[#This Row],[resolution_time_hours]]&gt;tbl_analysis_tickets[[#This Row],[Resolution SLA Hours]],"Breached","Within SLA")</f>
        <v>Breached</v>
      </c>
      <c r="N1156" t="str">
        <f>IF(tbl_analysis_tickets[[#This Row],[first_response_minutes]]&gt;tbl_analysis_tickets[[#This Row],[First Response SLA Minutes]],"Breached","Within SLA")</f>
        <v>Breached</v>
      </c>
      <c r="O1156" t="str" cm="1">
        <f t="array" ref="O1156">_xlfn.IFS(
tbl_analysis_tickets[[#This Row],[agent_experience_years]]&lt;=2,"Junior",
tbl_analysis_tickets[[#This Row],[agent_experience_years]]&lt;=5,"Mid-Level",
tbl_analysis_tickets[[#This Row],[agent_experience_years]]&lt;=8,"Senior",
tbl_analysis_tickets[[#This Row],[agent_experience_years]]&gt;8,"Expert"
)</f>
        <v>Expert</v>
      </c>
      <c r="P1156" cm="1">
        <f t="array" ref="P1156">_xlfn.SWITCH(tbl_analysis_tickets[[#This Row],[customer_satisfaction]],
"Low",1,
"Medium",2,
"High",3
)</f>
        <v>1</v>
      </c>
      <c r="Q1156">
        <f>IF(tbl_analysis_tickets[[#This Row],[reopened]]="Yes",1,0)</f>
        <v>1</v>
      </c>
      <c r="R1156" t="str" cm="1">
        <f t="array" ref="R1156">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156" t="str" cm="1">
        <f t="array" ref="S115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156" t="str">
        <f>TEXT(tbl_analysis_tickets[[#This Row],[created_date]],"mmm-yyyy")</f>
        <v>Mar-2024</v>
      </c>
      <c r="U1156" t="str">
        <f>TEXT(tbl_analysis_tickets[[#This Row],[created_date]],"dddd")</f>
        <v>Wednesday</v>
      </c>
      <c r="V1156" cm="1">
        <f t="array" ref="V1156">_xlfn.SWITCH(tbl_analysis_tickets[[#This Row],[priority]],
"Urgent",1,
"High",2,
"Medium",3,
"Low",4
)</f>
        <v>1</v>
      </c>
    </row>
    <row r="1157" spans="1:22" x14ac:dyDescent="0.25">
      <c r="A1157">
        <v>1156</v>
      </c>
      <c r="B1157" s="1">
        <v>45484</v>
      </c>
      <c r="C1157" t="s">
        <v>21</v>
      </c>
      <c r="D1157" t="s">
        <v>17</v>
      </c>
      <c r="E1157">
        <v>95</v>
      </c>
      <c r="F1157">
        <v>47</v>
      </c>
      <c r="G1157">
        <v>7.1</v>
      </c>
      <c r="H1157" t="s">
        <v>12</v>
      </c>
      <c r="I1157" t="s">
        <v>19</v>
      </c>
      <c r="J1157" t="s">
        <v>11</v>
      </c>
      <c r="K1157">
        <f>_xlfn.XLOOKUP(tbl_analysis_tickets[[#This Row],[priority]],tbl_sla[priority],tbl_sla[Resolution SLA Hours])</f>
        <v>8</v>
      </c>
      <c r="L1157">
        <f>_xlfn.XLOOKUP(tbl_analysis_tickets[[#This Row],[priority]],tbl_sla[priority],tbl_sla[First Response SLA Minutes])</f>
        <v>30</v>
      </c>
      <c r="M1157" t="str">
        <f>IF(tbl_analysis_tickets[[#This Row],[resolution_time_hours]]&gt;tbl_analysis_tickets[[#This Row],[Resolution SLA Hours]],"Breached","Within SLA")</f>
        <v>Breached</v>
      </c>
      <c r="N1157" t="str">
        <f>IF(tbl_analysis_tickets[[#This Row],[first_response_minutes]]&gt;tbl_analysis_tickets[[#This Row],[First Response SLA Minutes]],"Breached","Within SLA")</f>
        <v>Breached</v>
      </c>
      <c r="O1157" t="str" cm="1">
        <f t="array" ref="O1157">_xlfn.IFS(
tbl_analysis_tickets[[#This Row],[agent_experience_years]]&lt;=2,"Junior",
tbl_analysis_tickets[[#This Row],[agent_experience_years]]&lt;=5,"Mid-Level",
tbl_analysis_tickets[[#This Row],[agent_experience_years]]&lt;=8,"Senior",
tbl_analysis_tickets[[#This Row],[agent_experience_years]]&gt;8,"Expert"
)</f>
        <v>Senior</v>
      </c>
      <c r="P1157" cm="1">
        <f t="array" ref="P1157">_xlfn.SWITCH(tbl_analysis_tickets[[#This Row],[customer_satisfaction]],
"Low",1,
"Medium",2,
"High",3
)</f>
        <v>1</v>
      </c>
      <c r="Q1157">
        <f>IF(tbl_analysis_tickets[[#This Row],[reopened]]="Yes",1,0)</f>
        <v>1</v>
      </c>
      <c r="R1157" t="str" cm="1">
        <f t="array" ref="R1157">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157" t="str" cm="1">
        <f t="array" ref="S115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157" t="str">
        <f>TEXT(tbl_analysis_tickets[[#This Row],[created_date]],"mmm-yyyy")</f>
        <v>Jul-2024</v>
      </c>
      <c r="U1157" t="str">
        <f>TEXT(tbl_analysis_tickets[[#This Row],[created_date]],"dddd")</f>
        <v>Thursday</v>
      </c>
      <c r="V1157" cm="1">
        <f t="array" ref="V1157">_xlfn.SWITCH(tbl_analysis_tickets[[#This Row],[priority]],
"Urgent",1,
"High",2,
"Medium",3,
"Low",4
)</f>
        <v>1</v>
      </c>
    </row>
    <row r="1158" spans="1:22" x14ac:dyDescent="0.25">
      <c r="A1158">
        <v>1157</v>
      </c>
      <c r="B1158" s="1">
        <v>45395</v>
      </c>
      <c r="C1158" t="s">
        <v>10</v>
      </c>
      <c r="D1158" t="s">
        <v>20</v>
      </c>
      <c r="E1158">
        <v>58</v>
      </c>
      <c r="F1158">
        <v>24</v>
      </c>
      <c r="G1158">
        <v>8.4</v>
      </c>
      <c r="H1158" t="s">
        <v>18</v>
      </c>
      <c r="I1158" t="s">
        <v>19</v>
      </c>
      <c r="J1158" t="s">
        <v>11</v>
      </c>
      <c r="K1158">
        <f>_xlfn.XLOOKUP(tbl_analysis_tickets[[#This Row],[priority]],tbl_sla[priority],tbl_sla[Resolution SLA Hours])</f>
        <v>24</v>
      </c>
      <c r="L1158">
        <f>_xlfn.XLOOKUP(tbl_analysis_tickets[[#This Row],[priority]],tbl_sla[priority],tbl_sla[First Response SLA Minutes])</f>
        <v>60</v>
      </c>
      <c r="M1158" t="str">
        <f>IF(tbl_analysis_tickets[[#This Row],[resolution_time_hours]]&gt;tbl_analysis_tickets[[#This Row],[Resolution SLA Hours]],"Breached","Within SLA")</f>
        <v>Within SLA</v>
      </c>
      <c r="N1158" t="str">
        <f>IF(tbl_analysis_tickets[[#This Row],[first_response_minutes]]&gt;tbl_analysis_tickets[[#This Row],[First Response SLA Minutes]],"Breached","Within SLA")</f>
        <v>Within SLA</v>
      </c>
      <c r="O1158" t="str" cm="1">
        <f t="array" ref="O1158">_xlfn.IFS(
tbl_analysis_tickets[[#This Row],[agent_experience_years]]&lt;=2,"Junior",
tbl_analysis_tickets[[#This Row],[agent_experience_years]]&lt;=5,"Mid-Level",
tbl_analysis_tickets[[#This Row],[agent_experience_years]]&lt;=8,"Senior",
tbl_analysis_tickets[[#This Row],[agent_experience_years]]&gt;8,"Expert"
)</f>
        <v>Expert</v>
      </c>
      <c r="P1158" cm="1">
        <f t="array" ref="P1158">_xlfn.SWITCH(tbl_analysis_tickets[[#This Row],[customer_satisfaction]],
"Low",1,
"Medium",2,
"High",3
)</f>
        <v>1</v>
      </c>
      <c r="Q1158">
        <f>IF(tbl_analysis_tickets[[#This Row],[reopened]]="Yes",1,0)</f>
        <v>0</v>
      </c>
      <c r="R1158" t="str" cm="1">
        <f t="array" ref="R1158">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158" t="str" cm="1">
        <f t="array" ref="S115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158" t="str">
        <f>TEXT(tbl_analysis_tickets[[#This Row],[created_date]],"mmm-yyyy")</f>
        <v>Apr-2024</v>
      </c>
      <c r="U1158" t="str">
        <f>TEXT(tbl_analysis_tickets[[#This Row],[created_date]],"dddd")</f>
        <v>Saturday</v>
      </c>
      <c r="V1158" cm="1">
        <f t="array" ref="V1158">_xlfn.SWITCH(tbl_analysis_tickets[[#This Row],[priority]],
"Urgent",1,
"High",2,
"Medium",3,
"Low",4
)</f>
        <v>2</v>
      </c>
    </row>
    <row r="1159" spans="1:22" x14ac:dyDescent="0.25">
      <c r="A1159">
        <v>1158</v>
      </c>
      <c r="B1159" s="1">
        <v>45474</v>
      </c>
      <c r="C1159" t="s">
        <v>21</v>
      </c>
      <c r="D1159" t="s">
        <v>20</v>
      </c>
      <c r="E1159">
        <v>144</v>
      </c>
      <c r="F1159">
        <v>53</v>
      </c>
      <c r="G1159">
        <v>8.4</v>
      </c>
      <c r="H1159" t="s">
        <v>18</v>
      </c>
      <c r="I1159" t="s">
        <v>16</v>
      </c>
      <c r="J1159" t="s">
        <v>11</v>
      </c>
      <c r="K1159">
        <f>_xlfn.XLOOKUP(tbl_analysis_tickets[[#This Row],[priority]],tbl_sla[priority],tbl_sla[Resolution SLA Hours])</f>
        <v>24</v>
      </c>
      <c r="L1159">
        <f>_xlfn.XLOOKUP(tbl_analysis_tickets[[#This Row],[priority]],tbl_sla[priority],tbl_sla[First Response SLA Minutes])</f>
        <v>60</v>
      </c>
      <c r="M1159" t="str">
        <f>IF(tbl_analysis_tickets[[#This Row],[resolution_time_hours]]&gt;tbl_analysis_tickets[[#This Row],[Resolution SLA Hours]],"Breached","Within SLA")</f>
        <v>Breached</v>
      </c>
      <c r="N1159" t="str">
        <f>IF(tbl_analysis_tickets[[#This Row],[first_response_minutes]]&gt;tbl_analysis_tickets[[#This Row],[First Response SLA Minutes]],"Breached","Within SLA")</f>
        <v>Breached</v>
      </c>
      <c r="O1159" t="str" cm="1">
        <f t="array" ref="O1159">_xlfn.IFS(
tbl_analysis_tickets[[#This Row],[agent_experience_years]]&lt;=2,"Junior",
tbl_analysis_tickets[[#This Row],[agent_experience_years]]&lt;=5,"Mid-Level",
tbl_analysis_tickets[[#This Row],[agent_experience_years]]&lt;=8,"Senior",
tbl_analysis_tickets[[#This Row],[agent_experience_years]]&gt;8,"Expert"
)</f>
        <v>Expert</v>
      </c>
      <c r="P1159" cm="1">
        <f t="array" ref="P1159">_xlfn.SWITCH(tbl_analysis_tickets[[#This Row],[customer_satisfaction]],
"Low",1,
"Medium",2,
"High",3
)</f>
        <v>1</v>
      </c>
      <c r="Q1159">
        <f>IF(tbl_analysis_tickets[[#This Row],[reopened]]="Yes",1,0)</f>
        <v>0</v>
      </c>
      <c r="R1159" t="str" cm="1">
        <f t="array" ref="R1159">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159" t="str" cm="1">
        <f t="array" ref="S115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159" t="str">
        <f>TEXT(tbl_analysis_tickets[[#This Row],[created_date]],"mmm-yyyy")</f>
        <v>Jul-2024</v>
      </c>
      <c r="U1159" t="str">
        <f>TEXT(tbl_analysis_tickets[[#This Row],[created_date]],"dddd")</f>
        <v>Monday</v>
      </c>
      <c r="V1159" cm="1">
        <f t="array" ref="V1159">_xlfn.SWITCH(tbl_analysis_tickets[[#This Row],[priority]],
"Urgent",1,
"High",2,
"Medium",3,
"Low",4
)</f>
        <v>2</v>
      </c>
    </row>
    <row r="1160" spans="1:22" x14ac:dyDescent="0.25">
      <c r="A1160">
        <v>1159</v>
      </c>
      <c r="B1160" s="1">
        <v>45617</v>
      </c>
      <c r="C1160" t="s">
        <v>10</v>
      </c>
      <c r="D1160" t="s">
        <v>15</v>
      </c>
      <c r="E1160">
        <v>99</v>
      </c>
      <c r="F1160">
        <v>16</v>
      </c>
      <c r="G1160">
        <v>5.4</v>
      </c>
      <c r="H1160" t="s">
        <v>18</v>
      </c>
      <c r="I1160" t="s">
        <v>19</v>
      </c>
      <c r="J1160" t="s">
        <v>15</v>
      </c>
      <c r="K1160">
        <f>_xlfn.XLOOKUP(tbl_analysis_tickets[[#This Row],[priority]],tbl_sla[priority],tbl_sla[Resolution SLA Hours])</f>
        <v>48</v>
      </c>
      <c r="L1160">
        <f>_xlfn.XLOOKUP(tbl_analysis_tickets[[#This Row],[priority]],tbl_sla[priority],tbl_sla[First Response SLA Minutes])</f>
        <v>120</v>
      </c>
      <c r="M1160" t="str">
        <f>IF(tbl_analysis_tickets[[#This Row],[resolution_time_hours]]&gt;tbl_analysis_tickets[[#This Row],[Resolution SLA Hours]],"Breached","Within SLA")</f>
        <v>Within SLA</v>
      </c>
      <c r="N1160" t="str">
        <f>IF(tbl_analysis_tickets[[#This Row],[first_response_minutes]]&gt;tbl_analysis_tickets[[#This Row],[First Response SLA Minutes]],"Breached","Within SLA")</f>
        <v>Within SLA</v>
      </c>
      <c r="O1160" t="str" cm="1">
        <f t="array" ref="O1160">_xlfn.IFS(
tbl_analysis_tickets[[#This Row],[agent_experience_years]]&lt;=2,"Junior",
tbl_analysis_tickets[[#This Row],[agent_experience_years]]&lt;=5,"Mid-Level",
tbl_analysis_tickets[[#This Row],[agent_experience_years]]&lt;=8,"Senior",
tbl_analysis_tickets[[#This Row],[agent_experience_years]]&gt;8,"Expert"
)</f>
        <v>Senior</v>
      </c>
      <c r="P1160" cm="1">
        <f t="array" ref="P1160">_xlfn.SWITCH(tbl_analysis_tickets[[#This Row],[customer_satisfaction]],
"Low",1,
"Medium",2,
"High",3
)</f>
        <v>2</v>
      </c>
      <c r="Q1160">
        <f>IF(tbl_analysis_tickets[[#This Row],[reopened]]="Yes",1,0)</f>
        <v>0</v>
      </c>
      <c r="R1160" t="str" cm="1">
        <f t="array" ref="R1160">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160" t="str" cm="1">
        <f t="array" ref="S116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160" t="str">
        <f>TEXT(tbl_analysis_tickets[[#This Row],[created_date]],"mmm-yyyy")</f>
        <v>Nov-2024</v>
      </c>
      <c r="U1160" t="str">
        <f>TEXT(tbl_analysis_tickets[[#This Row],[created_date]],"dddd")</f>
        <v>Thursday</v>
      </c>
      <c r="V1160" cm="1">
        <f t="array" ref="V1160">_xlfn.SWITCH(tbl_analysis_tickets[[#This Row],[priority]],
"Urgent",1,
"High",2,
"Medium",3,
"Low",4
)</f>
        <v>3</v>
      </c>
    </row>
    <row r="1161" spans="1:22" x14ac:dyDescent="0.25">
      <c r="A1161">
        <v>1160</v>
      </c>
      <c r="B1161" s="1">
        <v>45607</v>
      </c>
      <c r="C1161" t="s">
        <v>21</v>
      </c>
      <c r="D1161" t="s">
        <v>20</v>
      </c>
      <c r="E1161">
        <v>60</v>
      </c>
      <c r="F1161">
        <v>42</v>
      </c>
      <c r="G1161">
        <v>7.2</v>
      </c>
      <c r="H1161" t="s">
        <v>12</v>
      </c>
      <c r="I1161" t="s">
        <v>13</v>
      </c>
      <c r="J1161" t="s">
        <v>11</v>
      </c>
      <c r="K1161">
        <f>_xlfn.XLOOKUP(tbl_analysis_tickets[[#This Row],[priority]],tbl_sla[priority],tbl_sla[Resolution SLA Hours])</f>
        <v>24</v>
      </c>
      <c r="L1161">
        <f>_xlfn.XLOOKUP(tbl_analysis_tickets[[#This Row],[priority]],tbl_sla[priority],tbl_sla[First Response SLA Minutes])</f>
        <v>60</v>
      </c>
      <c r="M1161" t="str">
        <f>IF(tbl_analysis_tickets[[#This Row],[resolution_time_hours]]&gt;tbl_analysis_tickets[[#This Row],[Resolution SLA Hours]],"Breached","Within SLA")</f>
        <v>Breached</v>
      </c>
      <c r="N1161" t="str">
        <f>IF(tbl_analysis_tickets[[#This Row],[first_response_minutes]]&gt;tbl_analysis_tickets[[#This Row],[First Response SLA Minutes]],"Breached","Within SLA")</f>
        <v>Within SLA</v>
      </c>
      <c r="O1161" t="str" cm="1">
        <f t="array" ref="O1161">_xlfn.IFS(
tbl_analysis_tickets[[#This Row],[agent_experience_years]]&lt;=2,"Junior",
tbl_analysis_tickets[[#This Row],[agent_experience_years]]&lt;=5,"Mid-Level",
tbl_analysis_tickets[[#This Row],[agent_experience_years]]&lt;=8,"Senior",
tbl_analysis_tickets[[#This Row],[agent_experience_years]]&gt;8,"Expert"
)</f>
        <v>Senior</v>
      </c>
      <c r="P1161" cm="1">
        <f t="array" ref="P1161">_xlfn.SWITCH(tbl_analysis_tickets[[#This Row],[customer_satisfaction]],
"Low",1,
"Medium",2,
"High",3
)</f>
        <v>1</v>
      </c>
      <c r="Q1161">
        <f>IF(tbl_analysis_tickets[[#This Row],[reopened]]="Yes",1,0)</f>
        <v>1</v>
      </c>
      <c r="R1161" t="str" cm="1">
        <f t="array" ref="R1161">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161" t="str" cm="1">
        <f t="array" ref="S116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161" t="str">
        <f>TEXT(tbl_analysis_tickets[[#This Row],[created_date]],"mmm-yyyy")</f>
        <v>Nov-2024</v>
      </c>
      <c r="U1161" t="str">
        <f>TEXT(tbl_analysis_tickets[[#This Row],[created_date]],"dddd")</f>
        <v>Monday</v>
      </c>
      <c r="V1161" cm="1">
        <f t="array" ref="V1161">_xlfn.SWITCH(tbl_analysis_tickets[[#This Row],[priority]],
"Urgent",1,
"High",2,
"Medium",3,
"Low",4
)</f>
        <v>2</v>
      </c>
    </row>
    <row r="1162" spans="1:22" x14ac:dyDescent="0.25">
      <c r="A1162">
        <v>1161</v>
      </c>
      <c r="B1162" s="1">
        <v>45520</v>
      </c>
      <c r="C1162" t="s">
        <v>23</v>
      </c>
      <c r="D1162" t="s">
        <v>11</v>
      </c>
      <c r="E1162">
        <v>226</v>
      </c>
      <c r="F1162">
        <v>15</v>
      </c>
      <c r="G1162">
        <v>3.7</v>
      </c>
      <c r="H1162" t="s">
        <v>18</v>
      </c>
      <c r="I1162" t="s">
        <v>19</v>
      </c>
      <c r="J1162" t="s">
        <v>11</v>
      </c>
      <c r="K1162">
        <f>_xlfn.XLOOKUP(tbl_analysis_tickets[[#This Row],[priority]],tbl_sla[priority],tbl_sla[Resolution SLA Hours])</f>
        <v>72</v>
      </c>
      <c r="L1162">
        <f>_xlfn.XLOOKUP(tbl_analysis_tickets[[#This Row],[priority]],tbl_sla[priority],tbl_sla[First Response SLA Minutes])</f>
        <v>240</v>
      </c>
      <c r="M1162" t="str">
        <f>IF(tbl_analysis_tickets[[#This Row],[resolution_time_hours]]&gt;tbl_analysis_tickets[[#This Row],[Resolution SLA Hours]],"Breached","Within SLA")</f>
        <v>Within SLA</v>
      </c>
      <c r="N1162" t="str">
        <f>IF(tbl_analysis_tickets[[#This Row],[first_response_minutes]]&gt;tbl_analysis_tickets[[#This Row],[First Response SLA Minutes]],"Breached","Within SLA")</f>
        <v>Within SLA</v>
      </c>
      <c r="O1162" t="str" cm="1">
        <f t="array" ref="O1162">_xlfn.IFS(
tbl_analysis_tickets[[#This Row],[agent_experience_years]]&lt;=2,"Junior",
tbl_analysis_tickets[[#This Row],[agent_experience_years]]&lt;=5,"Mid-Level",
tbl_analysis_tickets[[#This Row],[agent_experience_years]]&lt;=8,"Senior",
tbl_analysis_tickets[[#This Row],[agent_experience_years]]&gt;8,"Expert"
)</f>
        <v>Mid-Level</v>
      </c>
      <c r="P1162" cm="1">
        <f t="array" ref="P1162">_xlfn.SWITCH(tbl_analysis_tickets[[#This Row],[customer_satisfaction]],
"Low",1,
"Medium",2,
"High",3
)</f>
        <v>1</v>
      </c>
      <c r="Q1162">
        <f>IF(tbl_analysis_tickets[[#This Row],[reopened]]="Yes",1,0)</f>
        <v>0</v>
      </c>
      <c r="R1162" t="str" cm="1">
        <f t="array" ref="R1162">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162" t="str" cm="1">
        <f t="array" ref="S116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162" t="str">
        <f>TEXT(tbl_analysis_tickets[[#This Row],[created_date]],"mmm-yyyy")</f>
        <v>Aug-2024</v>
      </c>
      <c r="U1162" t="str">
        <f>TEXT(tbl_analysis_tickets[[#This Row],[created_date]],"dddd")</f>
        <v>Friday</v>
      </c>
      <c r="V1162" cm="1">
        <f t="array" ref="V1162">_xlfn.SWITCH(tbl_analysis_tickets[[#This Row],[priority]],
"Urgent",1,
"High",2,
"Medium",3,
"Low",4
)</f>
        <v>4</v>
      </c>
    </row>
    <row r="1163" spans="1:22" x14ac:dyDescent="0.25">
      <c r="A1163">
        <v>1162</v>
      </c>
      <c r="B1163" s="1">
        <v>45639</v>
      </c>
      <c r="C1163" t="s">
        <v>10</v>
      </c>
      <c r="D1163" t="s">
        <v>20</v>
      </c>
      <c r="E1163">
        <v>168</v>
      </c>
      <c r="F1163">
        <v>47</v>
      </c>
      <c r="G1163">
        <v>2.2999999999999998</v>
      </c>
      <c r="H1163" t="s">
        <v>12</v>
      </c>
      <c r="I1163" t="s">
        <v>16</v>
      </c>
      <c r="J1163" t="s">
        <v>11</v>
      </c>
      <c r="K1163">
        <f>_xlfn.XLOOKUP(tbl_analysis_tickets[[#This Row],[priority]],tbl_sla[priority],tbl_sla[Resolution SLA Hours])</f>
        <v>24</v>
      </c>
      <c r="L1163">
        <f>_xlfn.XLOOKUP(tbl_analysis_tickets[[#This Row],[priority]],tbl_sla[priority],tbl_sla[First Response SLA Minutes])</f>
        <v>60</v>
      </c>
      <c r="M1163" t="str">
        <f>IF(tbl_analysis_tickets[[#This Row],[resolution_time_hours]]&gt;tbl_analysis_tickets[[#This Row],[Resolution SLA Hours]],"Breached","Within SLA")</f>
        <v>Breached</v>
      </c>
      <c r="N1163" t="str">
        <f>IF(tbl_analysis_tickets[[#This Row],[first_response_minutes]]&gt;tbl_analysis_tickets[[#This Row],[First Response SLA Minutes]],"Breached","Within SLA")</f>
        <v>Breached</v>
      </c>
      <c r="O1163" t="str" cm="1">
        <f t="array" ref="O1163">_xlfn.IFS(
tbl_analysis_tickets[[#This Row],[agent_experience_years]]&lt;=2,"Junior",
tbl_analysis_tickets[[#This Row],[agent_experience_years]]&lt;=5,"Mid-Level",
tbl_analysis_tickets[[#This Row],[agent_experience_years]]&lt;=8,"Senior",
tbl_analysis_tickets[[#This Row],[agent_experience_years]]&gt;8,"Expert"
)</f>
        <v>Mid-Level</v>
      </c>
      <c r="P1163" cm="1">
        <f t="array" ref="P1163">_xlfn.SWITCH(tbl_analysis_tickets[[#This Row],[customer_satisfaction]],
"Low",1,
"Medium",2,
"High",3
)</f>
        <v>1</v>
      </c>
      <c r="Q1163">
        <f>IF(tbl_analysis_tickets[[#This Row],[reopened]]="Yes",1,0)</f>
        <v>1</v>
      </c>
      <c r="R1163" t="str" cm="1">
        <f t="array" ref="R1163">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163" t="str" cm="1">
        <f t="array" ref="S116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163" t="str">
        <f>TEXT(tbl_analysis_tickets[[#This Row],[created_date]],"mmm-yyyy")</f>
        <v>Dec-2024</v>
      </c>
      <c r="U1163" t="str">
        <f>TEXT(tbl_analysis_tickets[[#This Row],[created_date]],"dddd")</f>
        <v>Friday</v>
      </c>
      <c r="V1163" cm="1">
        <f t="array" ref="V1163">_xlfn.SWITCH(tbl_analysis_tickets[[#This Row],[priority]],
"Urgent",1,
"High",2,
"Medium",3,
"Low",4
)</f>
        <v>2</v>
      </c>
    </row>
    <row r="1164" spans="1:22" x14ac:dyDescent="0.25">
      <c r="A1164">
        <v>1163</v>
      </c>
      <c r="B1164" s="1">
        <v>45355</v>
      </c>
      <c r="C1164" t="s">
        <v>23</v>
      </c>
      <c r="D1164" t="s">
        <v>17</v>
      </c>
      <c r="E1164">
        <v>166</v>
      </c>
      <c r="F1164">
        <v>56</v>
      </c>
      <c r="G1164">
        <v>0.8</v>
      </c>
      <c r="H1164" t="s">
        <v>18</v>
      </c>
      <c r="I1164" t="s">
        <v>13</v>
      </c>
      <c r="J1164" t="s">
        <v>11</v>
      </c>
      <c r="K1164">
        <f>_xlfn.XLOOKUP(tbl_analysis_tickets[[#This Row],[priority]],tbl_sla[priority],tbl_sla[Resolution SLA Hours])</f>
        <v>8</v>
      </c>
      <c r="L1164">
        <f>_xlfn.XLOOKUP(tbl_analysis_tickets[[#This Row],[priority]],tbl_sla[priority],tbl_sla[First Response SLA Minutes])</f>
        <v>30</v>
      </c>
      <c r="M1164" t="str">
        <f>IF(tbl_analysis_tickets[[#This Row],[resolution_time_hours]]&gt;tbl_analysis_tickets[[#This Row],[Resolution SLA Hours]],"Breached","Within SLA")</f>
        <v>Breached</v>
      </c>
      <c r="N1164" t="str">
        <f>IF(tbl_analysis_tickets[[#This Row],[first_response_minutes]]&gt;tbl_analysis_tickets[[#This Row],[First Response SLA Minutes]],"Breached","Within SLA")</f>
        <v>Breached</v>
      </c>
      <c r="O1164" t="str" cm="1">
        <f t="array" ref="O1164">_xlfn.IFS(
tbl_analysis_tickets[[#This Row],[agent_experience_years]]&lt;=2,"Junior",
tbl_analysis_tickets[[#This Row],[agent_experience_years]]&lt;=5,"Mid-Level",
tbl_analysis_tickets[[#This Row],[agent_experience_years]]&lt;=8,"Senior",
tbl_analysis_tickets[[#This Row],[agent_experience_years]]&gt;8,"Expert"
)</f>
        <v>Junior</v>
      </c>
      <c r="P1164" cm="1">
        <f t="array" ref="P1164">_xlfn.SWITCH(tbl_analysis_tickets[[#This Row],[customer_satisfaction]],
"Low",1,
"Medium",2,
"High",3
)</f>
        <v>1</v>
      </c>
      <c r="Q1164">
        <f>IF(tbl_analysis_tickets[[#This Row],[reopened]]="Yes",1,0)</f>
        <v>0</v>
      </c>
      <c r="R1164" t="str" cm="1">
        <f t="array" ref="R1164">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164" t="str" cm="1">
        <f t="array" ref="S116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164" t="str">
        <f>TEXT(tbl_analysis_tickets[[#This Row],[created_date]],"mmm-yyyy")</f>
        <v>Mar-2024</v>
      </c>
      <c r="U1164" t="str">
        <f>TEXT(tbl_analysis_tickets[[#This Row],[created_date]],"dddd")</f>
        <v>Monday</v>
      </c>
      <c r="V1164" cm="1">
        <f t="array" ref="V1164">_xlfn.SWITCH(tbl_analysis_tickets[[#This Row],[priority]],
"Urgent",1,
"High",2,
"Medium",3,
"Low",4
)</f>
        <v>1</v>
      </c>
    </row>
    <row r="1165" spans="1:22" x14ac:dyDescent="0.25">
      <c r="A1165">
        <v>1164</v>
      </c>
      <c r="B1165" s="1">
        <v>45458</v>
      </c>
      <c r="C1165" t="s">
        <v>21</v>
      </c>
      <c r="D1165" t="s">
        <v>11</v>
      </c>
      <c r="E1165">
        <v>237</v>
      </c>
      <c r="F1165">
        <v>52</v>
      </c>
      <c r="G1165">
        <v>8.5</v>
      </c>
      <c r="H1165" t="s">
        <v>18</v>
      </c>
      <c r="I1165" t="s">
        <v>13</v>
      </c>
      <c r="J1165" t="s">
        <v>15</v>
      </c>
      <c r="K1165">
        <f>_xlfn.XLOOKUP(tbl_analysis_tickets[[#This Row],[priority]],tbl_sla[priority],tbl_sla[Resolution SLA Hours])</f>
        <v>72</v>
      </c>
      <c r="L1165">
        <f>_xlfn.XLOOKUP(tbl_analysis_tickets[[#This Row],[priority]],tbl_sla[priority],tbl_sla[First Response SLA Minutes])</f>
        <v>240</v>
      </c>
      <c r="M1165" t="str">
        <f>IF(tbl_analysis_tickets[[#This Row],[resolution_time_hours]]&gt;tbl_analysis_tickets[[#This Row],[Resolution SLA Hours]],"Breached","Within SLA")</f>
        <v>Within SLA</v>
      </c>
      <c r="N1165" t="str">
        <f>IF(tbl_analysis_tickets[[#This Row],[first_response_minutes]]&gt;tbl_analysis_tickets[[#This Row],[First Response SLA Minutes]],"Breached","Within SLA")</f>
        <v>Within SLA</v>
      </c>
      <c r="O1165" t="str" cm="1">
        <f t="array" ref="O1165">_xlfn.IFS(
tbl_analysis_tickets[[#This Row],[agent_experience_years]]&lt;=2,"Junior",
tbl_analysis_tickets[[#This Row],[agent_experience_years]]&lt;=5,"Mid-Level",
tbl_analysis_tickets[[#This Row],[agent_experience_years]]&lt;=8,"Senior",
tbl_analysis_tickets[[#This Row],[agent_experience_years]]&gt;8,"Expert"
)</f>
        <v>Expert</v>
      </c>
      <c r="P1165" cm="1">
        <f t="array" ref="P1165">_xlfn.SWITCH(tbl_analysis_tickets[[#This Row],[customer_satisfaction]],
"Low",1,
"Medium",2,
"High",3
)</f>
        <v>2</v>
      </c>
      <c r="Q1165">
        <f>IF(tbl_analysis_tickets[[#This Row],[reopened]]="Yes",1,0)</f>
        <v>0</v>
      </c>
      <c r="R1165" t="str" cm="1">
        <f t="array" ref="R1165">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165" t="str" cm="1">
        <f t="array" ref="S116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165" t="str">
        <f>TEXT(tbl_analysis_tickets[[#This Row],[created_date]],"mmm-yyyy")</f>
        <v>Jun-2024</v>
      </c>
      <c r="U1165" t="str">
        <f>TEXT(tbl_analysis_tickets[[#This Row],[created_date]],"dddd")</f>
        <v>Saturday</v>
      </c>
      <c r="V1165" cm="1">
        <f t="array" ref="V1165">_xlfn.SWITCH(tbl_analysis_tickets[[#This Row],[priority]],
"Urgent",1,
"High",2,
"Medium",3,
"Low",4
)</f>
        <v>4</v>
      </c>
    </row>
    <row r="1166" spans="1:22" x14ac:dyDescent="0.25">
      <c r="A1166">
        <v>1165</v>
      </c>
      <c r="B1166" s="1">
        <v>45520</v>
      </c>
      <c r="C1166" t="s">
        <v>10</v>
      </c>
      <c r="D1166" t="s">
        <v>11</v>
      </c>
      <c r="E1166">
        <v>182</v>
      </c>
      <c r="F1166">
        <v>58</v>
      </c>
      <c r="G1166">
        <v>7.8</v>
      </c>
      <c r="H1166" t="s">
        <v>12</v>
      </c>
      <c r="I1166" t="s">
        <v>13</v>
      </c>
      <c r="J1166" t="s">
        <v>11</v>
      </c>
      <c r="K1166">
        <f>_xlfn.XLOOKUP(tbl_analysis_tickets[[#This Row],[priority]],tbl_sla[priority],tbl_sla[Resolution SLA Hours])</f>
        <v>72</v>
      </c>
      <c r="L1166">
        <f>_xlfn.XLOOKUP(tbl_analysis_tickets[[#This Row],[priority]],tbl_sla[priority],tbl_sla[First Response SLA Minutes])</f>
        <v>240</v>
      </c>
      <c r="M1166" t="str">
        <f>IF(tbl_analysis_tickets[[#This Row],[resolution_time_hours]]&gt;tbl_analysis_tickets[[#This Row],[Resolution SLA Hours]],"Breached","Within SLA")</f>
        <v>Within SLA</v>
      </c>
      <c r="N1166" t="str">
        <f>IF(tbl_analysis_tickets[[#This Row],[first_response_minutes]]&gt;tbl_analysis_tickets[[#This Row],[First Response SLA Minutes]],"Breached","Within SLA")</f>
        <v>Within SLA</v>
      </c>
      <c r="O1166" t="str" cm="1">
        <f t="array" ref="O1166">_xlfn.IFS(
tbl_analysis_tickets[[#This Row],[agent_experience_years]]&lt;=2,"Junior",
tbl_analysis_tickets[[#This Row],[agent_experience_years]]&lt;=5,"Mid-Level",
tbl_analysis_tickets[[#This Row],[agent_experience_years]]&lt;=8,"Senior",
tbl_analysis_tickets[[#This Row],[agent_experience_years]]&gt;8,"Expert"
)</f>
        <v>Senior</v>
      </c>
      <c r="P1166" cm="1">
        <f t="array" ref="P1166">_xlfn.SWITCH(tbl_analysis_tickets[[#This Row],[customer_satisfaction]],
"Low",1,
"Medium",2,
"High",3
)</f>
        <v>1</v>
      </c>
      <c r="Q1166">
        <f>IF(tbl_analysis_tickets[[#This Row],[reopened]]="Yes",1,0)</f>
        <v>1</v>
      </c>
      <c r="R1166" t="str" cm="1">
        <f t="array" ref="R1166">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166" t="str" cm="1">
        <f t="array" ref="S116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166" t="str">
        <f>TEXT(tbl_analysis_tickets[[#This Row],[created_date]],"mmm-yyyy")</f>
        <v>Aug-2024</v>
      </c>
      <c r="U1166" t="str">
        <f>TEXT(tbl_analysis_tickets[[#This Row],[created_date]],"dddd")</f>
        <v>Friday</v>
      </c>
      <c r="V1166" cm="1">
        <f t="array" ref="V1166">_xlfn.SWITCH(tbl_analysis_tickets[[#This Row],[priority]],
"Urgent",1,
"High",2,
"Medium",3,
"Low",4
)</f>
        <v>4</v>
      </c>
    </row>
    <row r="1167" spans="1:22" x14ac:dyDescent="0.25">
      <c r="A1167">
        <v>1166</v>
      </c>
      <c r="B1167" s="1">
        <v>45616</v>
      </c>
      <c r="C1167" t="s">
        <v>10</v>
      </c>
      <c r="D1167" t="s">
        <v>11</v>
      </c>
      <c r="E1167">
        <v>154</v>
      </c>
      <c r="F1167">
        <v>9</v>
      </c>
      <c r="G1167">
        <v>8</v>
      </c>
      <c r="H1167" t="s">
        <v>12</v>
      </c>
      <c r="I1167" t="s">
        <v>19</v>
      </c>
      <c r="J1167" t="s">
        <v>11</v>
      </c>
      <c r="K1167">
        <f>_xlfn.XLOOKUP(tbl_analysis_tickets[[#This Row],[priority]],tbl_sla[priority],tbl_sla[Resolution SLA Hours])</f>
        <v>72</v>
      </c>
      <c r="L1167">
        <f>_xlfn.XLOOKUP(tbl_analysis_tickets[[#This Row],[priority]],tbl_sla[priority],tbl_sla[First Response SLA Minutes])</f>
        <v>240</v>
      </c>
      <c r="M1167" t="str">
        <f>IF(tbl_analysis_tickets[[#This Row],[resolution_time_hours]]&gt;tbl_analysis_tickets[[#This Row],[Resolution SLA Hours]],"Breached","Within SLA")</f>
        <v>Within SLA</v>
      </c>
      <c r="N1167" t="str">
        <f>IF(tbl_analysis_tickets[[#This Row],[first_response_minutes]]&gt;tbl_analysis_tickets[[#This Row],[First Response SLA Minutes]],"Breached","Within SLA")</f>
        <v>Within SLA</v>
      </c>
      <c r="O1167" t="str" cm="1">
        <f t="array" ref="O1167">_xlfn.IFS(
tbl_analysis_tickets[[#This Row],[agent_experience_years]]&lt;=2,"Junior",
tbl_analysis_tickets[[#This Row],[agent_experience_years]]&lt;=5,"Mid-Level",
tbl_analysis_tickets[[#This Row],[agent_experience_years]]&lt;=8,"Senior",
tbl_analysis_tickets[[#This Row],[agent_experience_years]]&gt;8,"Expert"
)</f>
        <v>Senior</v>
      </c>
      <c r="P1167" cm="1">
        <f t="array" ref="P1167">_xlfn.SWITCH(tbl_analysis_tickets[[#This Row],[customer_satisfaction]],
"Low",1,
"Medium",2,
"High",3
)</f>
        <v>1</v>
      </c>
      <c r="Q1167">
        <f>IF(tbl_analysis_tickets[[#This Row],[reopened]]="Yes",1,0)</f>
        <v>1</v>
      </c>
      <c r="R1167" t="str" cm="1">
        <f t="array" ref="R1167">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167" t="str" cm="1">
        <f t="array" ref="S116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167" t="str">
        <f>TEXT(tbl_analysis_tickets[[#This Row],[created_date]],"mmm-yyyy")</f>
        <v>Nov-2024</v>
      </c>
      <c r="U1167" t="str">
        <f>TEXT(tbl_analysis_tickets[[#This Row],[created_date]],"dddd")</f>
        <v>Wednesday</v>
      </c>
      <c r="V1167" cm="1">
        <f t="array" ref="V1167">_xlfn.SWITCH(tbl_analysis_tickets[[#This Row],[priority]],
"Urgent",1,
"High",2,
"Medium",3,
"Low",4
)</f>
        <v>4</v>
      </c>
    </row>
    <row r="1168" spans="1:22" x14ac:dyDescent="0.25">
      <c r="A1168">
        <v>1167</v>
      </c>
      <c r="B1168" s="1">
        <v>45449</v>
      </c>
      <c r="C1168" t="s">
        <v>22</v>
      </c>
      <c r="D1168" t="s">
        <v>11</v>
      </c>
      <c r="E1168">
        <v>182</v>
      </c>
      <c r="F1168">
        <v>19</v>
      </c>
      <c r="G1168">
        <v>8.1</v>
      </c>
      <c r="H1168" t="s">
        <v>18</v>
      </c>
      <c r="I1168" t="s">
        <v>16</v>
      </c>
      <c r="J1168" t="s">
        <v>15</v>
      </c>
      <c r="K1168">
        <f>_xlfn.XLOOKUP(tbl_analysis_tickets[[#This Row],[priority]],tbl_sla[priority],tbl_sla[Resolution SLA Hours])</f>
        <v>72</v>
      </c>
      <c r="L1168">
        <f>_xlfn.XLOOKUP(tbl_analysis_tickets[[#This Row],[priority]],tbl_sla[priority],tbl_sla[First Response SLA Minutes])</f>
        <v>240</v>
      </c>
      <c r="M1168" t="str">
        <f>IF(tbl_analysis_tickets[[#This Row],[resolution_time_hours]]&gt;tbl_analysis_tickets[[#This Row],[Resolution SLA Hours]],"Breached","Within SLA")</f>
        <v>Within SLA</v>
      </c>
      <c r="N1168" t="str">
        <f>IF(tbl_analysis_tickets[[#This Row],[first_response_minutes]]&gt;tbl_analysis_tickets[[#This Row],[First Response SLA Minutes]],"Breached","Within SLA")</f>
        <v>Within SLA</v>
      </c>
      <c r="O1168" t="str" cm="1">
        <f t="array" ref="O1168">_xlfn.IFS(
tbl_analysis_tickets[[#This Row],[agent_experience_years]]&lt;=2,"Junior",
tbl_analysis_tickets[[#This Row],[agent_experience_years]]&lt;=5,"Mid-Level",
tbl_analysis_tickets[[#This Row],[agent_experience_years]]&lt;=8,"Senior",
tbl_analysis_tickets[[#This Row],[agent_experience_years]]&gt;8,"Expert"
)</f>
        <v>Expert</v>
      </c>
      <c r="P1168" cm="1">
        <f t="array" ref="P1168">_xlfn.SWITCH(tbl_analysis_tickets[[#This Row],[customer_satisfaction]],
"Low",1,
"Medium",2,
"High",3
)</f>
        <v>2</v>
      </c>
      <c r="Q1168">
        <f>IF(tbl_analysis_tickets[[#This Row],[reopened]]="Yes",1,0)</f>
        <v>0</v>
      </c>
      <c r="R1168" t="str" cm="1">
        <f t="array" ref="R1168">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168" t="str" cm="1">
        <f t="array" ref="S116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168" t="str">
        <f>TEXT(tbl_analysis_tickets[[#This Row],[created_date]],"mmm-yyyy")</f>
        <v>Jun-2024</v>
      </c>
      <c r="U1168" t="str">
        <f>TEXT(tbl_analysis_tickets[[#This Row],[created_date]],"dddd")</f>
        <v>Thursday</v>
      </c>
      <c r="V1168" cm="1">
        <f t="array" ref="V1168">_xlfn.SWITCH(tbl_analysis_tickets[[#This Row],[priority]],
"Urgent",1,
"High",2,
"Medium",3,
"Low",4
)</f>
        <v>4</v>
      </c>
    </row>
    <row r="1169" spans="1:22" x14ac:dyDescent="0.25">
      <c r="A1169">
        <v>1168</v>
      </c>
      <c r="B1169" s="1">
        <v>45649</v>
      </c>
      <c r="C1169" t="s">
        <v>22</v>
      </c>
      <c r="D1169" t="s">
        <v>20</v>
      </c>
      <c r="E1169">
        <v>104</v>
      </c>
      <c r="F1169">
        <v>47</v>
      </c>
      <c r="G1169">
        <v>9.3000000000000007</v>
      </c>
      <c r="H1169" t="s">
        <v>18</v>
      </c>
      <c r="I1169" t="s">
        <v>19</v>
      </c>
      <c r="J1169" t="s">
        <v>11</v>
      </c>
      <c r="K1169">
        <f>_xlfn.XLOOKUP(tbl_analysis_tickets[[#This Row],[priority]],tbl_sla[priority],tbl_sla[Resolution SLA Hours])</f>
        <v>24</v>
      </c>
      <c r="L1169">
        <f>_xlfn.XLOOKUP(tbl_analysis_tickets[[#This Row],[priority]],tbl_sla[priority],tbl_sla[First Response SLA Minutes])</f>
        <v>60</v>
      </c>
      <c r="M1169" t="str">
        <f>IF(tbl_analysis_tickets[[#This Row],[resolution_time_hours]]&gt;tbl_analysis_tickets[[#This Row],[Resolution SLA Hours]],"Breached","Within SLA")</f>
        <v>Breached</v>
      </c>
      <c r="N1169" t="str">
        <f>IF(tbl_analysis_tickets[[#This Row],[first_response_minutes]]&gt;tbl_analysis_tickets[[#This Row],[First Response SLA Minutes]],"Breached","Within SLA")</f>
        <v>Breached</v>
      </c>
      <c r="O1169" t="str" cm="1">
        <f t="array" ref="O1169">_xlfn.IFS(
tbl_analysis_tickets[[#This Row],[agent_experience_years]]&lt;=2,"Junior",
tbl_analysis_tickets[[#This Row],[agent_experience_years]]&lt;=5,"Mid-Level",
tbl_analysis_tickets[[#This Row],[agent_experience_years]]&lt;=8,"Senior",
tbl_analysis_tickets[[#This Row],[agent_experience_years]]&gt;8,"Expert"
)</f>
        <v>Expert</v>
      </c>
      <c r="P1169" cm="1">
        <f t="array" ref="P1169">_xlfn.SWITCH(tbl_analysis_tickets[[#This Row],[customer_satisfaction]],
"Low",1,
"Medium",2,
"High",3
)</f>
        <v>1</v>
      </c>
      <c r="Q1169">
        <f>IF(tbl_analysis_tickets[[#This Row],[reopened]]="Yes",1,0)</f>
        <v>0</v>
      </c>
      <c r="R1169" t="str" cm="1">
        <f t="array" ref="R1169">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169" t="str" cm="1">
        <f t="array" ref="S116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169" t="str">
        <f>TEXT(tbl_analysis_tickets[[#This Row],[created_date]],"mmm-yyyy")</f>
        <v>Dec-2024</v>
      </c>
      <c r="U1169" t="str">
        <f>TEXT(tbl_analysis_tickets[[#This Row],[created_date]],"dddd")</f>
        <v>Monday</v>
      </c>
      <c r="V1169" cm="1">
        <f t="array" ref="V1169">_xlfn.SWITCH(tbl_analysis_tickets[[#This Row],[priority]],
"Urgent",1,
"High",2,
"Medium",3,
"Low",4
)</f>
        <v>2</v>
      </c>
    </row>
    <row r="1170" spans="1:22" x14ac:dyDescent="0.25">
      <c r="A1170">
        <v>1169</v>
      </c>
      <c r="B1170" s="1">
        <v>45439</v>
      </c>
      <c r="C1170" t="s">
        <v>14</v>
      </c>
      <c r="D1170" t="s">
        <v>17</v>
      </c>
      <c r="E1170">
        <v>100</v>
      </c>
      <c r="F1170">
        <v>28</v>
      </c>
      <c r="G1170">
        <v>3.1</v>
      </c>
      <c r="H1170" t="s">
        <v>18</v>
      </c>
      <c r="I1170" t="s">
        <v>16</v>
      </c>
      <c r="J1170" t="s">
        <v>11</v>
      </c>
      <c r="K1170">
        <f>_xlfn.XLOOKUP(tbl_analysis_tickets[[#This Row],[priority]],tbl_sla[priority],tbl_sla[Resolution SLA Hours])</f>
        <v>8</v>
      </c>
      <c r="L1170">
        <f>_xlfn.XLOOKUP(tbl_analysis_tickets[[#This Row],[priority]],tbl_sla[priority],tbl_sla[First Response SLA Minutes])</f>
        <v>30</v>
      </c>
      <c r="M1170" t="str">
        <f>IF(tbl_analysis_tickets[[#This Row],[resolution_time_hours]]&gt;tbl_analysis_tickets[[#This Row],[Resolution SLA Hours]],"Breached","Within SLA")</f>
        <v>Breached</v>
      </c>
      <c r="N1170" t="str">
        <f>IF(tbl_analysis_tickets[[#This Row],[first_response_minutes]]&gt;tbl_analysis_tickets[[#This Row],[First Response SLA Minutes]],"Breached","Within SLA")</f>
        <v>Breached</v>
      </c>
      <c r="O1170" t="str" cm="1">
        <f t="array" ref="O1170">_xlfn.IFS(
tbl_analysis_tickets[[#This Row],[agent_experience_years]]&lt;=2,"Junior",
tbl_analysis_tickets[[#This Row],[agent_experience_years]]&lt;=5,"Mid-Level",
tbl_analysis_tickets[[#This Row],[agent_experience_years]]&lt;=8,"Senior",
tbl_analysis_tickets[[#This Row],[agent_experience_years]]&gt;8,"Expert"
)</f>
        <v>Mid-Level</v>
      </c>
      <c r="P1170" cm="1">
        <f t="array" ref="P1170">_xlfn.SWITCH(tbl_analysis_tickets[[#This Row],[customer_satisfaction]],
"Low",1,
"Medium",2,
"High",3
)</f>
        <v>1</v>
      </c>
      <c r="Q1170">
        <f>IF(tbl_analysis_tickets[[#This Row],[reopened]]="Yes",1,0)</f>
        <v>0</v>
      </c>
      <c r="R1170" t="str" cm="1">
        <f t="array" ref="R1170">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170" t="str" cm="1">
        <f t="array" ref="S117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170" t="str">
        <f>TEXT(tbl_analysis_tickets[[#This Row],[created_date]],"mmm-yyyy")</f>
        <v>May-2024</v>
      </c>
      <c r="U1170" t="str">
        <f>TEXT(tbl_analysis_tickets[[#This Row],[created_date]],"dddd")</f>
        <v>Monday</v>
      </c>
      <c r="V1170" cm="1">
        <f t="array" ref="V1170">_xlfn.SWITCH(tbl_analysis_tickets[[#This Row],[priority]],
"Urgent",1,
"High",2,
"Medium",3,
"Low",4
)</f>
        <v>1</v>
      </c>
    </row>
    <row r="1171" spans="1:22" x14ac:dyDescent="0.25">
      <c r="A1171">
        <v>1170</v>
      </c>
      <c r="B1171" s="1">
        <v>45620</v>
      </c>
      <c r="C1171" t="s">
        <v>14</v>
      </c>
      <c r="D1171" t="s">
        <v>20</v>
      </c>
      <c r="E1171">
        <v>12</v>
      </c>
      <c r="F1171">
        <v>11</v>
      </c>
      <c r="G1171">
        <v>1.8</v>
      </c>
      <c r="H1171" t="s">
        <v>18</v>
      </c>
      <c r="I1171" t="s">
        <v>13</v>
      </c>
      <c r="J1171" t="s">
        <v>15</v>
      </c>
      <c r="K1171">
        <f>_xlfn.XLOOKUP(tbl_analysis_tickets[[#This Row],[priority]],tbl_sla[priority],tbl_sla[Resolution SLA Hours])</f>
        <v>24</v>
      </c>
      <c r="L1171">
        <f>_xlfn.XLOOKUP(tbl_analysis_tickets[[#This Row],[priority]],tbl_sla[priority],tbl_sla[First Response SLA Minutes])</f>
        <v>60</v>
      </c>
      <c r="M1171" t="str">
        <f>IF(tbl_analysis_tickets[[#This Row],[resolution_time_hours]]&gt;tbl_analysis_tickets[[#This Row],[Resolution SLA Hours]],"Breached","Within SLA")</f>
        <v>Within SLA</v>
      </c>
      <c r="N1171" t="str">
        <f>IF(tbl_analysis_tickets[[#This Row],[first_response_minutes]]&gt;tbl_analysis_tickets[[#This Row],[First Response SLA Minutes]],"Breached","Within SLA")</f>
        <v>Within SLA</v>
      </c>
      <c r="O1171" t="str" cm="1">
        <f t="array" ref="O1171">_xlfn.IFS(
tbl_analysis_tickets[[#This Row],[agent_experience_years]]&lt;=2,"Junior",
tbl_analysis_tickets[[#This Row],[agent_experience_years]]&lt;=5,"Mid-Level",
tbl_analysis_tickets[[#This Row],[agent_experience_years]]&lt;=8,"Senior",
tbl_analysis_tickets[[#This Row],[agent_experience_years]]&gt;8,"Expert"
)</f>
        <v>Junior</v>
      </c>
      <c r="P1171" cm="1">
        <f t="array" ref="P1171">_xlfn.SWITCH(tbl_analysis_tickets[[#This Row],[customer_satisfaction]],
"Low",1,
"Medium",2,
"High",3
)</f>
        <v>2</v>
      </c>
      <c r="Q1171">
        <f>IF(tbl_analysis_tickets[[#This Row],[reopened]]="Yes",1,0)</f>
        <v>0</v>
      </c>
      <c r="R1171" t="str" cm="1">
        <f t="array" ref="R1171">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1171" t="str" cm="1">
        <f t="array" ref="S117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171" t="str">
        <f>TEXT(tbl_analysis_tickets[[#This Row],[created_date]],"mmm-yyyy")</f>
        <v>Nov-2024</v>
      </c>
      <c r="U1171" t="str">
        <f>TEXT(tbl_analysis_tickets[[#This Row],[created_date]],"dddd")</f>
        <v>Sunday</v>
      </c>
      <c r="V1171" cm="1">
        <f t="array" ref="V1171">_xlfn.SWITCH(tbl_analysis_tickets[[#This Row],[priority]],
"Urgent",1,
"High",2,
"Medium",3,
"Low",4
)</f>
        <v>2</v>
      </c>
    </row>
    <row r="1172" spans="1:22" x14ac:dyDescent="0.25">
      <c r="A1172">
        <v>1171</v>
      </c>
      <c r="B1172" s="1">
        <v>45460</v>
      </c>
      <c r="C1172" t="s">
        <v>14</v>
      </c>
      <c r="D1172" t="s">
        <v>15</v>
      </c>
      <c r="E1172">
        <v>108</v>
      </c>
      <c r="F1172">
        <v>69</v>
      </c>
      <c r="G1172">
        <v>3.2</v>
      </c>
      <c r="H1172" t="s">
        <v>18</v>
      </c>
      <c r="I1172" t="s">
        <v>13</v>
      </c>
      <c r="J1172" t="s">
        <v>11</v>
      </c>
      <c r="K1172">
        <f>_xlfn.XLOOKUP(tbl_analysis_tickets[[#This Row],[priority]],tbl_sla[priority],tbl_sla[Resolution SLA Hours])</f>
        <v>48</v>
      </c>
      <c r="L1172">
        <f>_xlfn.XLOOKUP(tbl_analysis_tickets[[#This Row],[priority]],tbl_sla[priority],tbl_sla[First Response SLA Minutes])</f>
        <v>120</v>
      </c>
      <c r="M1172" t="str">
        <f>IF(tbl_analysis_tickets[[#This Row],[resolution_time_hours]]&gt;tbl_analysis_tickets[[#This Row],[Resolution SLA Hours]],"Breached","Within SLA")</f>
        <v>Breached</v>
      </c>
      <c r="N1172" t="str">
        <f>IF(tbl_analysis_tickets[[#This Row],[first_response_minutes]]&gt;tbl_analysis_tickets[[#This Row],[First Response SLA Minutes]],"Breached","Within SLA")</f>
        <v>Within SLA</v>
      </c>
      <c r="O1172" t="str" cm="1">
        <f t="array" ref="O1172">_xlfn.IFS(
tbl_analysis_tickets[[#This Row],[agent_experience_years]]&lt;=2,"Junior",
tbl_analysis_tickets[[#This Row],[agent_experience_years]]&lt;=5,"Mid-Level",
tbl_analysis_tickets[[#This Row],[agent_experience_years]]&lt;=8,"Senior",
tbl_analysis_tickets[[#This Row],[agent_experience_years]]&gt;8,"Expert"
)</f>
        <v>Mid-Level</v>
      </c>
      <c r="P1172" cm="1">
        <f t="array" ref="P1172">_xlfn.SWITCH(tbl_analysis_tickets[[#This Row],[customer_satisfaction]],
"Low",1,
"Medium",2,
"High",3
)</f>
        <v>1</v>
      </c>
      <c r="Q1172">
        <f>IF(tbl_analysis_tickets[[#This Row],[reopened]]="Yes",1,0)</f>
        <v>0</v>
      </c>
      <c r="R1172" t="str" cm="1">
        <f t="array" ref="R1172">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172" t="str" cm="1">
        <f t="array" ref="S117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172" t="str">
        <f>TEXT(tbl_analysis_tickets[[#This Row],[created_date]],"mmm-yyyy")</f>
        <v>Jun-2024</v>
      </c>
      <c r="U1172" t="str">
        <f>TEXT(tbl_analysis_tickets[[#This Row],[created_date]],"dddd")</f>
        <v>Monday</v>
      </c>
      <c r="V1172" cm="1">
        <f t="array" ref="V1172">_xlfn.SWITCH(tbl_analysis_tickets[[#This Row],[priority]],
"Urgent",1,
"High",2,
"Medium",3,
"Low",4
)</f>
        <v>3</v>
      </c>
    </row>
    <row r="1173" spans="1:22" x14ac:dyDescent="0.25">
      <c r="A1173">
        <v>1172</v>
      </c>
      <c r="B1173" s="1">
        <v>45362</v>
      </c>
      <c r="C1173" t="s">
        <v>22</v>
      </c>
      <c r="D1173" t="s">
        <v>11</v>
      </c>
      <c r="E1173">
        <v>169</v>
      </c>
      <c r="F1173">
        <v>49</v>
      </c>
      <c r="G1173">
        <v>6.9</v>
      </c>
      <c r="H1173" t="s">
        <v>12</v>
      </c>
      <c r="I1173" t="s">
        <v>13</v>
      </c>
      <c r="J1173" t="s">
        <v>11</v>
      </c>
      <c r="K1173">
        <f>_xlfn.XLOOKUP(tbl_analysis_tickets[[#This Row],[priority]],tbl_sla[priority],tbl_sla[Resolution SLA Hours])</f>
        <v>72</v>
      </c>
      <c r="L1173">
        <f>_xlfn.XLOOKUP(tbl_analysis_tickets[[#This Row],[priority]],tbl_sla[priority],tbl_sla[First Response SLA Minutes])</f>
        <v>240</v>
      </c>
      <c r="M1173" t="str">
        <f>IF(tbl_analysis_tickets[[#This Row],[resolution_time_hours]]&gt;tbl_analysis_tickets[[#This Row],[Resolution SLA Hours]],"Breached","Within SLA")</f>
        <v>Within SLA</v>
      </c>
      <c r="N1173" t="str">
        <f>IF(tbl_analysis_tickets[[#This Row],[first_response_minutes]]&gt;tbl_analysis_tickets[[#This Row],[First Response SLA Minutes]],"Breached","Within SLA")</f>
        <v>Within SLA</v>
      </c>
      <c r="O1173" t="str" cm="1">
        <f t="array" ref="O1173">_xlfn.IFS(
tbl_analysis_tickets[[#This Row],[agent_experience_years]]&lt;=2,"Junior",
tbl_analysis_tickets[[#This Row],[agent_experience_years]]&lt;=5,"Mid-Level",
tbl_analysis_tickets[[#This Row],[agent_experience_years]]&lt;=8,"Senior",
tbl_analysis_tickets[[#This Row],[agent_experience_years]]&gt;8,"Expert"
)</f>
        <v>Senior</v>
      </c>
      <c r="P1173" cm="1">
        <f t="array" ref="P1173">_xlfn.SWITCH(tbl_analysis_tickets[[#This Row],[customer_satisfaction]],
"Low",1,
"Medium",2,
"High",3
)</f>
        <v>1</v>
      </c>
      <c r="Q1173">
        <f>IF(tbl_analysis_tickets[[#This Row],[reopened]]="Yes",1,0)</f>
        <v>1</v>
      </c>
      <c r="R1173" t="str" cm="1">
        <f t="array" ref="R1173">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173" t="str" cm="1">
        <f t="array" ref="S117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173" t="str">
        <f>TEXT(tbl_analysis_tickets[[#This Row],[created_date]],"mmm-yyyy")</f>
        <v>Mar-2024</v>
      </c>
      <c r="U1173" t="str">
        <f>TEXT(tbl_analysis_tickets[[#This Row],[created_date]],"dddd")</f>
        <v>Monday</v>
      </c>
      <c r="V1173" cm="1">
        <f t="array" ref="V1173">_xlfn.SWITCH(tbl_analysis_tickets[[#This Row],[priority]],
"Urgent",1,
"High",2,
"Medium",3,
"Low",4
)</f>
        <v>4</v>
      </c>
    </row>
    <row r="1174" spans="1:22" x14ac:dyDescent="0.25">
      <c r="A1174">
        <v>1173</v>
      </c>
      <c r="B1174" s="1">
        <v>45573</v>
      </c>
      <c r="C1174" t="s">
        <v>14</v>
      </c>
      <c r="D1174" t="s">
        <v>17</v>
      </c>
      <c r="E1174">
        <v>195</v>
      </c>
      <c r="F1174">
        <v>28</v>
      </c>
      <c r="G1174">
        <v>6.5</v>
      </c>
      <c r="H1174" t="s">
        <v>18</v>
      </c>
      <c r="I1174" t="s">
        <v>19</v>
      </c>
      <c r="J1174" t="s">
        <v>11</v>
      </c>
      <c r="K1174">
        <f>_xlfn.XLOOKUP(tbl_analysis_tickets[[#This Row],[priority]],tbl_sla[priority],tbl_sla[Resolution SLA Hours])</f>
        <v>8</v>
      </c>
      <c r="L1174">
        <f>_xlfn.XLOOKUP(tbl_analysis_tickets[[#This Row],[priority]],tbl_sla[priority],tbl_sla[First Response SLA Minutes])</f>
        <v>30</v>
      </c>
      <c r="M1174" t="str">
        <f>IF(tbl_analysis_tickets[[#This Row],[resolution_time_hours]]&gt;tbl_analysis_tickets[[#This Row],[Resolution SLA Hours]],"Breached","Within SLA")</f>
        <v>Breached</v>
      </c>
      <c r="N1174" t="str">
        <f>IF(tbl_analysis_tickets[[#This Row],[first_response_minutes]]&gt;tbl_analysis_tickets[[#This Row],[First Response SLA Minutes]],"Breached","Within SLA")</f>
        <v>Breached</v>
      </c>
      <c r="O1174" t="str" cm="1">
        <f t="array" ref="O1174">_xlfn.IFS(
tbl_analysis_tickets[[#This Row],[agent_experience_years]]&lt;=2,"Junior",
tbl_analysis_tickets[[#This Row],[agent_experience_years]]&lt;=5,"Mid-Level",
tbl_analysis_tickets[[#This Row],[agent_experience_years]]&lt;=8,"Senior",
tbl_analysis_tickets[[#This Row],[agent_experience_years]]&gt;8,"Expert"
)</f>
        <v>Senior</v>
      </c>
      <c r="P1174" cm="1">
        <f t="array" ref="P1174">_xlfn.SWITCH(tbl_analysis_tickets[[#This Row],[customer_satisfaction]],
"Low",1,
"Medium",2,
"High",3
)</f>
        <v>1</v>
      </c>
      <c r="Q1174">
        <f>IF(tbl_analysis_tickets[[#This Row],[reopened]]="Yes",1,0)</f>
        <v>0</v>
      </c>
      <c r="R1174" t="str" cm="1">
        <f t="array" ref="R1174">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174" t="str" cm="1">
        <f t="array" ref="S117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174" t="str">
        <f>TEXT(tbl_analysis_tickets[[#This Row],[created_date]],"mmm-yyyy")</f>
        <v>Oct-2024</v>
      </c>
      <c r="U1174" t="str">
        <f>TEXT(tbl_analysis_tickets[[#This Row],[created_date]],"dddd")</f>
        <v>Tuesday</v>
      </c>
      <c r="V1174" cm="1">
        <f t="array" ref="V1174">_xlfn.SWITCH(tbl_analysis_tickets[[#This Row],[priority]],
"Urgent",1,
"High",2,
"Medium",3,
"Low",4
)</f>
        <v>1</v>
      </c>
    </row>
    <row r="1175" spans="1:22" x14ac:dyDescent="0.25">
      <c r="A1175">
        <v>1174</v>
      </c>
      <c r="B1175" s="1">
        <v>45322</v>
      </c>
      <c r="C1175" t="s">
        <v>10</v>
      </c>
      <c r="D1175" t="s">
        <v>17</v>
      </c>
      <c r="E1175">
        <v>159</v>
      </c>
      <c r="F1175">
        <v>48</v>
      </c>
      <c r="G1175">
        <v>5</v>
      </c>
      <c r="H1175" t="s">
        <v>18</v>
      </c>
      <c r="I1175" t="s">
        <v>16</v>
      </c>
      <c r="J1175" t="s">
        <v>11</v>
      </c>
      <c r="K1175">
        <f>_xlfn.XLOOKUP(tbl_analysis_tickets[[#This Row],[priority]],tbl_sla[priority],tbl_sla[Resolution SLA Hours])</f>
        <v>8</v>
      </c>
      <c r="L1175">
        <f>_xlfn.XLOOKUP(tbl_analysis_tickets[[#This Row],[priority]],tbl_sla[priority],tbl_sla[First Response SLA Minutes])</f>
        <v>30</v>
      </c>
      <c r="M1175" t="str">
        <f>IF(tbl_analysis_tickets[[#This Row],[resolution_time_hours]]&gt;tbl_analysis_tickets[[#This Row],[Resolution SLA Hours]],"Breached","Within SLA")</f>
        <v>Breached</v>
      </c>
      <c r="N1175" t="str">
        <f>IF(tbl_analysis_tickets[[#This Row],[first_response_minutes]]&gt;tbl_analysis_tickets[[#This Row],[First Response SLA Minutes]],"Breached","Within SLA")</f>
        <v>Breached</v>
      </c>
      <c r="O1175" t="str" cm="1">
        <f t="array" ref="O1175">_xlfn.IFS(
tbl_analysis_tickets[[#This Row],[agent_experience_years]]&lt;=2,"Junior",
tbl_analysis_tickets[[#This Row],[agent_experience_years]]&lt;=5,"Mid-Level",
tbl_analysis_tickets[[#This Row],[agent_experience_years]]&lt;=8,"Senior",
tbl_analysis_tickets[[#This Row],[agent_experience_years]]&gt;8,"Expert"
)</f>
        <v>Mid-Level</v>
      </c>
      <c r="P1175" cm="1">
        <f t="array" ref="P1175">_xlfn.SWITCH(tbl_analysis_tickets[[#This Row],[customer_satisfaction]],
"Low",1,
"Medium",2,
"High",3
)</f>
        <v>1</v>
      </c>
      <c r="Q1175">
        <f>IF(tbl_analysis_tickets[[#This Row],[reopened]]="Yes",1,0)</f>
        <v>0</v>
      </c>
      <c r="R1175" t="str" cm="1">
        <f t="array" ref="R1175">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175" t="str" cm="1">
        <f t="array" ref="S117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175" t="str">
        <f>TEXT(tbl_analysis_tickets[[#This Row],[created_date]],"mmm-yyyy")</f>
        <v>Jan-2024</v>
      </c>
      <c r="U1175" t="str">
        <f>TEXT(tbl_analysis_tickets[[#This Row],[created_date]],"dddd")</f>
        <v>Wednesday</v>
      </c>
      <c r="V1175" cm="1">
        <f t="array" ref="V1175">_xlfn.SWITCH(tbl_analysis_tickets[[#This Row],[priority]],
"Urgent",1,
"High",2,
"Medium",3,
"Low",4
)</f>
        <v>1</v>
      </c>
    </row>
    <row r="1176" spans="1:22" x14ac:dyDescent="0.25">
      <c r="A1176">
        <v>1175</v>
      </c>
      <c r="B1176" s="1">
        <v>45438</v>
      </c>
      <c r="C1176" t="s">
        <v>23</v>
      </c>
      <c r="D1176" t="s">
        <v>11</v>
      </c>
      <c r="E1176">
        <v>101</v>
      </c>
      <c r="F1176">
        <v>14</v>
      </c>
      <c r="G1176">
        <v>6.3</v>
      </c>
      <c r="H1176" t="s">
        <v>18</v>
      </c>
      <c r="I1176" t="s">
        <v>13</v>
      </c>
      <c r="J1176" t="s">
        <v>15</v>
      </c>
      <c r="K1176">
        <f>_xlfn.XLOOKUP(tbl_analysis_tickets[[#This Row],[priority]],tbl_sla[priority],tbl_sla[Resolution SLA Hours])</f>
        <v>72</v>
      </c>
      <c r="L1176">
        <f>_xlfn.XLOOKUP(tbl_analysis_tickets[[#This Row],[priority]],tbl_sla[priority],tbl_sla[First Response SLA Minutes])</f>
        <v>240</v>
      </c>
      <c r="M1176" t="str">
        <f>IF(tbl_analysis_tickets[[#This Row],[resolution_time_hours]]&gt;tbl_analysis_tickets[[#This Row],[Resolution SLA Hours]],"Breached","Within SLA")</f>
        <v>Within SLA</v>
      </c>
      <c r="N1176" t="str">
        <f>IF(tbl_analysis_tickets[[#This Row],[first_response_minutes]]&gt;tbl_analysis_tickets[[#This Row],[First Response SLA Minutes]],"Breached","Within SLA")</f>
        <v>Within SLA</v>
      </c>
      <c r="O1176" t="str" cm="1">
        <f t="array" ref="O1176">_xlfn.IFS(
tbl_analysis_tickets[[#This Row],[agent_experience_years]]&lt;=2,"Junior",
tbl_analysis_tickets[[#This Row],[agent_experience_years]]&lt;=5,"Mid-Level",
tbl_analysis_tickets[[#This Row],[agent_experience_years]]&lt;=8,"Senior",
tbl_analysis_tickets[[#This Row],[agent_experience_years]]&gt;8,"Expert"
)</f>
        <v>Senior</v>
      </c>
      <c r="P1176" cm="1">
        <f t="array" ref="P1176">_xlfn.SWITCH(tbl_analysis_tickets[[#This Row],[customer_satisfaction]],
"Low",1,
"Medium",2,
"High",3
)</f>
        <v>2</v>
      </c>
      <c r="Q1176">
        <f>IF(tbl_analysis_tickets[[#This Row],[reopened]]="Yes",1,0)</f>
        <v>0</v>
      </c>
      <c r="R1176" t="str" cm="1">
        <f t="array" ref="R1176">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176" t="str" cm="1">
        <f t="array" ref="S117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176" t="str">
        <f>TEXT(tbl_analysis_tickets[[#This Row],[created_date]],"mmm-yyyy")</f>
        <v>May-2024</v>
      </c>
      <c r="U1176" t="str">
        <f>TEXT(tbl_analysis_tickets[[#This Row],[created_date]],"dddd")</f>
        <v>Sunday</v>
      </c>
      <c r="V1176" cm="1">
        <f t="array" ref="V1176">_xlfn.SWITCH(tbl_analysis_tickets[[#This Row],[priority]],
"Urgent",1,
"High",2,
"Medium",3,
"Low",4
)</f>
        <v>4</v>
      </c>
    </row>
    <row r="1177" spans="1:22" x14ac:dyDescent="0.25">
      <c r="A1177">
        <v>1176</v>
      </c>
      <c r="B1177" s="1">
        <v>45406</v>
      </c>
      <c r="C1177" t="s">
        <v>23</v>
      </c>
      <c r="D1177" t="s">
        <v>11</v>
      </c>
      <c r="E1177">
        <v>122</v>
      </c>
      <c r="F1177">
        <v>52</v>
      </c>
      <c r="G1177">
        <v>8.3000000000000007</v>
      </c>
      <c r="H1177" t="s">
        <v>18</v>
      </c>
      <c r="I1177" t="s">
        <v>16</v>
      </c>
      <c r="J1177" t="s">
        <v>15</v>
      </c>
      <c r="K1177">
        <f>_xlfn.XLOOKUP(tbl_analysis_tickets[[#This Row],[priority]],tbl_sla[priority],tbl_sla[Resolution SLA Hours])</f>
        <v>72</v>
      </c>
      <c r="L1177">
        <f>_xlfn.XLOOKUP(tbl_analysis_tickets[[#This Row],[priority]],tbl_sla[priority],tbl_sla[First Response SLA Minutes])</f>
        <v>240</v>
      </c>
      <c r="M1177" t="str">
        <f>IF(tbl_analysis_tickets[[#This Row],[resolution_time_hours]]&gt;tbl_analysis_tickets[[#This Row],[Resolution SLA Hours]],"Breached","Within SLA")</f>
        <v>Within SLA</v>
      </c>
      <c r="N1177" t="str">
        <f>IF(tbl_analysis_tickets[[#This Row],[first_response_minutes]]&gt;tbl_analysis_tickets[[#This Row],[First Response SLA Minutes]],"Breached","Within SLA")</f>
        <v>Within SLA</v>
      </c>
      <c r="O1177" t="str" cm="1">
        <f t="array" ref="O1177">_xlfn.IFS(
tbl_analysis_tickets[[#This Row],[agent_experience_years]]&lt;=2,"Junior",
tbl_analysis_tickets[[#This Row],[agent_experience_years]]&lt;=5,"Mid-Level",
tbl_analysis_tickets[[#This Row],[agent_experience_years]]&lt;=8,"Senior",
tbl_analysis_tickets[[#This Row],[agent_experience_years]]&gt;8,"Expert"
)</f>
        <v>Expert</v>
      </c>
      <c r="P1177" cm="1">
        <f t="array" ref="P1177">_xlfn.SWITCH(tbl_analysis_tickets[[#This Row],[customer_satisfaction]],
"Low",1,
"Medium",2,
"High",3
)</f>
        <v>2</v>
      </c>
      <c r="Q1177">
        <f>IF(tbl_analysis_tickets[[#This Row],[reopened]]="Yes",1,0)</f>
        <v>0</v>
      </c>
      <c r="R1177" t="str" cm="1">
        <f t="array" ref="R1177">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177" t="str" cm="1">
        <f t="array" ref="S117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177" t="str">
        <f>TEXT(tbl_analysis_tickets[[#This Row],[created_date]],"mmm-yyyy")</f>
        <v>Apr-2024</v>
      </c>
      <c r="U1177" t="str">
        <f>TEXT(tbl_analysis_tickets[[#This Row],[created_date]],"dddd")</f>
        <v>Wednesday</v>
      </c>
      <c r="V1177" cm="1">
        <f t="array" ref="V1177">_xlfn.SWITCH(tbl_analysis_tickets[[#This Row],[priority]],
"Urgent",1,
"High",2,
"Medium",3,
"Low",4
)</f>
        <v>4</v>
      </c>
    </row>
    <row r="1178" spans="1:22" x14ac:dyDescent="0.25">
      <c r="A1178">
        <v>1177</v>
      </c>
      <c r="B1178" s="1">
        <v>45539</v>
      </c>
      <c r="C1178" t="s">
        <v>23</v>
      </c>
      <c r="D1178" t="s">
        <v>17</v>
      </c>
      <c r="E1178">
        <v>73</v>
      </c>
      <c r="F1178">
        <v>27</v>
      </c>
      <c r="G1178">
        <v>9.6</v>
      </c>
      <c r="H1178" t="s">
        <v>18</v>
      </c>
      <c r="I1178" t="s">
        <v>13</v>
      </c>
      <c r="J1178" t="s">
        <v>11</v>
      </c>
      <c r="K1178">
        <f>_xlfn.XLOOKUP(tbl_analysis_tickets[[#This Row],[priority]],tbl_sla[priority],tbl_sla[Resolution SLA Hours])</f>
        <v>8</v>
      </c>
      <c r="L1178">
        <f>_xlfn.XLOOKUP(tbl_analysis_tickets[[#This Row],[priority]],tbl_sla[priority],tbl_sla[First Response SLA Minutes])</f>
        <v>30</v>
      </c>
      <c r="M1178" t="str">
        <f>IF(tbl_analysis_tickets[[#This Row],[resolution_time_hours]]&gt;tbl_analysis_tickets[[#This Row],[Resolution SLA Hours]],"Breached","Within SLA")</f>
        <v>Breached</v>
      </c>
      <c r="N1178" t="str">
        <f>IF(tbl_analysis_tickets[[#This Row],[first_response_minutes]]&gt;tbl_analysis_tickets[[#This Row],[First Response SLA Minutes]],"Breached","Within SLA")</f>
        <v>Breached</v>
      </c>
      <c r="O1178" t="str" cm="1">
        <f t="array" ref="O1178">_xlfn.IFS(
tbl_analysis_tickets[[#This Row],[agent_experience_years]]&lt;=2,"Junior",
tbl_analysis_tickets[[#This Row],[agent_experience_years]]&lt;=5,"Mid-Level",
tbl_analysis_tickets[[#This Row],[agent_experience_years]]&lt;=8,"Senior",
tbl_analysis_tickets[[#This Row],[agent_experience_years]]&gt;8,"Expert"
)</f>
        <v>Expert</v>
      </c>
      <c r="P1178" cm="1">
        <f t="array" ref="P1178">_xlfn.SWITCH(tbl_analysis_tickets[[#This Row],[customer_satisfaction]],
"Low",1,
"Medium",2,
"High",3
)</f>
        <v>1</v>
      </c>
      <c r="Q1178">
        <f>IF(tbl_analysis_tickets[[#This Row],[reopened]]="Yes",1,0)</f>
        <v>0</v>
      </c>
      <c r="R1178" t="str" cm="1">
        <f t="array" ref="R1178">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178" t="str" cm="1">
        <f t="array" ref="S117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178" t="str">
        <f>TEXT(tbl_analysis_tickets[[#This Row],[created_date]],"mmm-yyyy")</f>
        <v>Sep-2024</v>
      </c>
      <c r="U1178" t="str">
        <f>TEXT(tbl_analysis_tickets[[#This Row],[created_date]],"dddd")</f>
        <v>Wednesday</v>
      </c>
      <c r="V1178" cm="1">
        <f t="array" ref="V1178">_xlfn.SWITCH(tbl_analysis_tickets[[#This Row],[priority]],
"Urgent",1,
"High",2,
"Medium",3,
"Low",4
)</f>
        <v>1</v>
      </c>
    </row>
    <row r="1179" spans="1:22" x14ac:dyDescent="0.25">
      <c r="A1179">
        <v>1178</v>
      </c>
      <c r="B1179" s="1">
        <v>45302</v>
      </c>
      <c r="C1179" t="s">
        <v>22</v>
      </c>
      <c r="D1179" t="s">
        <v>17</v>
      </c>
      <c r="E1179">
        <v>128</v>
      </c>
      <c r="F1179">
        <v>10</v>
      </c>
      <c r="G1179">
        <v>2.9</v>
      </c>
      <c r="H1179" t="s">
        <v>12</v>
      </c>
      <c r="I1179" t="s">
        <v>16</v>
      </c>
      <c r="J1179" t="s">
        <v>11</v>
      </c>
      <c r="K1179">
        <f>_xlfn.XLOOKUP(tbl_analysis_tickets[[#This Row],[priority]],tbl_sla[priority],tbl_sla[Resolution SLA Hours])</f>
        <v>8</v>
      </c>
      <c r="L1179">
        <f>_xlfn.XLOOKUP(tbl_analysis_tickets[[#This Row],[priority]],tbl_sla[priority],tbl_sla[First Response SLA Minutes])</f>
        <v>30</v>
      </c>
      <c r="M1179" t="str">
        <f>IF(tbl_analysis_tickets[[#This Row],[resolution_time_hours]]&gt;tbl_analysis_tickets[[#This Row],[Resolution SLA Hours]],"Breached","Within SLA")</f>
        <v>Breached</v>
      </c>
      <c r="N1179" t="str">
        <f>IF(tbl_analysis_tickets[[#This Row],[first_response_minutes]]&gt;tbl_analysis_tickets[[#This Row],[First Response SLA Minutes]],"Breached","Within SLA")</f>
        <v>Breached</v>
      </c>
      <c r="O1179" t="str" cm="1">
        <f t="array" ref="O1179">_xlfn.IFS(
tbl_analysis_tickets[[#This Row],[agent_experience_years]]&lt;=2,"Junior",
tbl_analysis_tickets[[#This Row],[agent_experience_years]]&lt;=5,"Mid-Level",
tbl_analysis_tickets[[#This Row],[agent_experience_years]]&lt;=8,"Senior",
tbl_analysis_tickets[[#This Row],[agent_experience_years]]&gt;8,"Expert"
)</f>
        <v>Mid-Level</v>
      </c>
      <c r="P1179" cm="1">
        <f t="array" ref="P1179">_xlfn.SWITCH(tbl_analysis_tickets[[#This Row],[customer_satisfaction]],
"Low",1,
"Medium",2,
"High",3
)</f>
        <v>1</v>
      </c>
      <c r="Q1179">
        <f>IF(tbl_analysis_tickets[[#This Row],[reopened]]="Yes",1,0)</f>
        <v>1</v>
      </c>
      <c r="R1179" t="str" cm="1">
        <f t="array" ref="R1179">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179" t="str" cm="1">
        <f t="array" ref="S117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179" t="str">
        <f>TEXT(tbl_analysis_tickets[[#This Row],[created_date]],"mmm-yyyy")</f>
        <v>Jan-2024</v>
      </c>
      <c r="U1179" t="str">
        <f>TEXT(tbl_analysis_tickets[[#This Row],[created_date]],"dddd")</f>
        <v>Thursday</v>
      </c>
      <c r="V1179" cm="1">
        <f t="array" ref="V1179">_xlfn.SWITCH(tbl_analysis_tickets[[#This Row],[priority]],
"Urgent",1,
"High",2,
"Medium",3,
"Low",4
)</f>
        <v>1</v>
      </c>
    </row>
    <row r="1180" spans="1:22" x14ac:dyDescent="0.25">
      <c r="A1180">
        <v>1179</v>
      </c>
      <c r="B1180" s="1">
        <v>45553</v>
      </c>
      <c r="C1180" t="s">
        <v>22</v>
      </c>
      <c r="D1180" t="s">
        <v>15</v>
      </c>
      <c r="E1180">
        <v>39</v>
      </c>
      <c r="F1180">
        <v>3</v>
      </c>
      <c r="G1180">
        <v>4</v>
      </c>
      <c r="H1180" t="s">
        <v>18</v>
      </c>
      <c r="I1180" t="s">
        <v>13</v>
      </c>
      <c r="J1180" t="s">
        <v>15</v>
      </c>
      <c r="K1180">
        <f>_xlfn.XLOOKUP(tbl_analysis_tickets[[#This Row],[priority]],tbl_sla[priority],tbl_sla[Resolution SLA Hours])</f>
        <v>48</v>
      </c>
      <c r="L1180">
        <f>_xlfn.XLOOKUP(tbl_analysis_tickets[[#This Row],[priority]],tbl_sla[priority],tbl_sla[First Response SLA Minutes])</f>
        <v>120</v>
      </c>
      <c r="M1180" t="str">
        <f>IF(tbl_analysis_tickets[[#This Row],[resolution_time_hours]]&gt;tbl_analysis_tickets[[#This Row],[Resolution SLA Hours]],"Breached","Within SLA")</f>
        <v>Within SLA</v>
      </c>
      <c r="N1180" t="str">
        <f>IF(tbl_analysis_tickets[[#This Row],[first_response_minutes]]&gt;tbl_analysis_tickets[[#This Row],[First Response SLA Minutes]],"Breached","Within SLA")</f>
        <v>Within SLA</v>
      </c>
      <c r="O1180" t="str" cm="1">
        <f t="array" ref="O1180">_xlfn.IFS(
tbl_analysis_tickets[[#This Row],[agent_experience_years]]&lt;=2,"Junior",
tbl_analysis_tickets[[#This Row],[agent_experience_years]]&lt;=5,"Mid-Level",
tbl_analysis_tickets[[#This Row],[agent_experience_years]]&lt;=8,"Senior",
tbl_analysis_tickets[[#This Row],[agent_experience_years]]&gt;8,"Expert"
)</f>
        <v>Mid-Level</v>
      </c>
      <c r="P1180" cm="1">
        <f t="array" ref="P1180">_xlfn.SWITCH(tbl_analysis_tickets[[#This Row],[customer_satisfaction]],
"Low",1,
"Medium",2,
"High",3
)</f>
        <v>2</v>
      </c>
      <c r="Q1180">
        <f>IF(tbl_analysis_tickets[[#This Row],[reopened]]="Yes",1,0)</f>
        <v>0</v>
      </c>
      <c r="R1180" t="str" cm="1">
        <f t="array" ref="R1180">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180" t="str" cm="1">
        <f t="array" ref="S118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1180" t="str">
        <f>TEXT(tbl_analysis_tickets[[#This Row],[created_date]],"mmm-yyyy")</f>
        <v>Sep-2024</v>
      </c>
      <c r="U1180" t="str">
        <f>TEXT(tbl_analysis_tickets[[#This Row],[created_date]],"dddd")</f>
        <v>Wednesday</v>
      </c>
      <c r="V1180" cm="1">
        <f t="array" ref="V1180">_xlfn.SWITCH(tbl_analysis_tickets[[#This Row],[priority]],
"Urgent",1,
"High",2,
"Medium",3,
"Low",4
)</f>
        <v>3</v>
      </c>
    </row>
    <row r="1181" spans="1:22" x14ac:dyDescent="0.25">
      <c r="A1181">
        <v>1180</v>
      </c>
      <c r="B1181" s="1">
        <v>45481</v>
      </c>
      <c r="C1181" t="s">
        <v>23</v>
      </c>
      <c r="D1181" t="s">
        <v>11</v>
      </c>
      <c r="E1181">
        <v>105</v>
      </c>
      <c r="F1181">
        <v>5</v>
      </c>
      <c r="G1181">
        <v>4.4000000000000004</v>
      </c>
      <c r="H1181" t="s">
        <v>18</v>
      </c>
      <c r="I1181" t="s">
        <v>13</v>
      </c>
      <c r="J1181" t="s">
        <v>15</v>
      </c>
      <c r="K1181">
        <f>_xlfn.XLOOKUP(tbl_analysis_tickets[[#This Row],[priority]],tbl_sla[priority],tbl_sla[Resolution SLA Hours])</f>
        <v>72</v>
      </c>
      <c r="L1181">
        <f>_xlfn.XLOOKUP(tbl_analysis_tickets[[#This Row],[priority]],tbl_sla[priority],tbl_sla[First Response SLA Minutes])</f>
        <v>240</v>
      </c>
      <c r="M1181" t="str">
        <f>IF(tbl_analysis_tickets[[#This Row],[resolution_time_hours]]&gt;tbl_analysis_tickets[[#This Row],[Resolution SLA Hours]],"Breached","Within SLA")</f>
        <v>Within SLA</v>
      </c>
      <c r="N1181" t="str">
        <f>IF(tbl_analysis_tickets[[#This Row],[first_response_minutes]]&gt;tbl_analysis_tickets[[#This Row],[First Response SLA Minutes]],"Breached","Within SLA")</f>
        <v>Within SLA</v>
      </c>
      <c r="O1181" t="str" cm="1">
        <f t="array" ref="O1181">_xlfn.IFS(
tbl_analysis_tickets[[#This Row],[agent_experience_years]]&lt;=2,"Junior",
tbl_analysis_tickets[[#This Row],[agent_experience_years]]&lt;=5,"Mid-Level",
tbl_analysis_tickets[[#This Row],[agent_experience_years]]&lt;=8,"Senior",
tbl_analysis_tickets[[#This Row],[agent_experience_years]]&gt;8,"Expert"
)</f>
        <v>Mid-Level</v>
      </c>
      <c r="P1181" cm="1">
        <f t="array" ref="P1181">_xlfn.SWITCH(tbl_analysis_tickets[[#This Row],[customer_satisfaction]],
"Low",1,
"Medium",2,
"High",3
)</f>
        <v>2</v>
      </c>
      <c r="Q1181">
        <f>IF(tbl_analysis_tickets[[#This Row],[reopened]]="Yes",1,0)</f>
        <v>0</v>
      </c>
      <c r="R1181" t="str" cm="1">
        <f t="array" ref="R1181">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181" t="str" cm="1">
        <f t="array" ref="S118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1181" t="str">
        <f>TEXT(tbl_analysis_tickets[[#This Row],[created_date]],"mmm-yyyy")</f>
        <v>Jul-2024</v>
      </c>
      <c r="U1181" t="str">
        <f>TEXT(tbl_analysis_tickets[[#This Row],[created_date]],"dddd")</f>
        <v>Monday</v>
      </c>
      <c r="V1181" cm="1">
        <f t="array" ref="V1181">_xlfn.SWITCH(tbl_analysis_tickets[[#This Row],[priority]],
"Urgent",1,
"High",2,
"Medium",3,
"Low",4
)</f>
        <v>4</v>
      </c>
    </row>
    <row r="1182" spans="1:22" x14ac:dyDescent="0.25">
      <c r="A1182">
        <v>1181</v>
      </c>
      <c r="B1182" s="1">
        <v>45339</v>
      </c>
      <c r="C1182" t="s">
        <v>10</v>
      </c>
      <c r="D1182" t="s">
        <v>15</v>
      </c>
      <c r="E1182">
        <v>166</v>
      </c>
      <c r="F1182">
        <v>54</v>
      </c>
      <c r="G1182">
        <v>2.7</v>
      </c>
      <c r="H1182" t="s">
        <v>18</v>
      </c>
      <c r="I1182" t="s">
        <v>19</v>
      </c>
      <c r="J1182" t="s">
        <v>11</v>
      </c>
      <c r="K1182">
        <f>_xlfn.XLOOKUP(tbl_analysis_tickets[[#This Row],[priority]],tbl_sla[priority],tbl_sla[Resolution SLA Hours])</f>
        <v>48</v>
      </c>
      <c r="L1182">
        <f>_xlfn.XLOOKUP(tbl_analysis_tickets[[#This Row],[priority]],tbl_sla[priority],tbl_sla[First Response SLA Minutes])</f>
        <v>120</v>
      </c>
      <c r="M1182" t="str">
        <f>IF(tbl_analysis_tickets[[#This Row],[resolution_time_hours]]&gt;tbl_analysis_tickets[[#This Row],[Resolution SLA Hours]],"Breached","Within SLA")</f>
        <v>Breached</v>
      </c>
      <c r="N1182" t="str">
        <f>IF(tbl_analysis_tickets[[#This Row],[first_response_minutes]]&gt;tbl_analysis_tickets[[#This Row],[First Response SLA Minutes]],"Breached","Within SLA")</f>
        <v>Breached</v>
      </c>
      <c r="O1182" t="str" cm="1">
        <f t="array" ref="O1182">_xlfn.IFS(
tbl_analysis_tickets[[#This Row],[agent_experience_years]]&lt;=2,"Junior",
tbl_analysis_tickets[[#This Row],[agent_experience_years]]&lt;=5,"Mid-Level",
tbl_analysis_tickets[[#This Row],[agent_experience_years]]&lt;=8,"Senior",
tbl_analysis_tickets[[#This Row],[agent_experience_years]]&gt;8,"Expert"
)</f>
        <v>Mid-Level</v>
      </c>
      <c r="P1182" cm="1">
        <f t="array" ref="P1182">_xlfn.SWITCH(tbl_analysis_tickets[[#This Row],[customer_satisfaction]],
"Low",1,
"Medium",2,
"High",3
)</f>
        <v>1</v>
      </c>
      <c r="Q1182">
        <f>IF(tbl_analysis_tickets[[#This Row],[reopened]]="Yes",1,0)</f>
        <v>0</v>
      </c>
      <c r="R1182" t="str" cm="1">
        <f t="array" ref="R1182">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182" t="str" cm="1">
        <f t="array" ref="S118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182" t="str">
        <f>TEXT(tbl_analysis_tickets[[#This Row],[created_date]],"mmm-yyyy")</f>
        <v>Feb-2024</v>
      </c>
      <c r="U1182" t="str">
        <f>TEXT(tbl_analysis_tickets[[#This Row],[created_date]],"dddd")</f>
        <v>Saturday</v>
      </c>
      <c r="V1182" cm="1">
        <f t="array" ref="V1182">_xlfn.SWITCH(tbl_analysis_tickets[[#This Row],[priority]],
"Urgent",1,
"High",2,
"Medium",3,
"Low",4
)</f>
        <v>3</v>
      </c>
    </row>
    <row r="1183" spans="1:22" x14ac:dyDescent="0.25">
      <c r="A1183">
        <v>1182</v>
      </c>
      <c r="B1183" s="1">
        <v>45342</v>
      </c>
      <c r="C1183" t="s">
        <v>22</v>
      </c>
      <c r="D1183" t="s">
        <v>11</v>
      </c>
      <c r="E1183">
        <v>235</v>
      </c>
      <c r="F1183">
        <v>56</v>
      </c>
      <c r="G1183">
        <v>0.6</v>
      </c>
      <c r="H1183" t="s">
        <v>12</v>
      </c>
      <c r="I1183" t="s">
        <v>13</v>
      </c>
      <c r="J1183" t="s">
        <v>11</v>
      </c>
      <c r="K1183">
        <f>_xlfn.XLOOKUP(tbl_analysis_tickets[[#This Row],[priority]],tbl_sla[priority],tbl_sla[Resolution SLA Hours])</f>
        <v>72</v>
      </c>
      <c r="L1183">
        <f>_xlfn.XLOOKUP(tbl_analysis_tickets[[#This Row],[priority]],tbl_sla[priority],tbl_sla[First Response SLA Minutes])</f>
        <v>240</v>
      </c>
      <c r="M1183" t="str">
        <f>IF(tbl_analysis_tickets[[#This Row],[resolution_time_hours]]&gt;tbl_analysis_tickets[[#This Row],[Resolution SLA Hours]],"Breached","Within SLA")</f>
        <v>Within SLA</v>
      </c>
      <c r="N1183" t="str">
        <f>IF(tbl_analysis_tickets[[#This Row],[first_response_minutes]]&gt;tbl_analysis_tickets[[#This Row],[First Response SLA Minutes]],"Breached","Within SLA")</f>
        <v>Within SLA</v>
      </c>
      <c r="O1183" t="str" cm="1">
        <f t="array" ref="O1183">_xlfn.IFS(
tbl_analysis_tickets[[#This Row],[agent_experience_years]]&lt;=2,"Junior",
tbl_analysis_tickets[[#This Row],[agent_experience_years]]&lt;=5,"Mid-Level",
tbl_analysis_tickets[[#This Row],[agent_experience_years]]&lt;=8,"Senior",
tbl_analysis_tickets[[#This Row],[agent_experience_years]]&gt;8,"Expert"
)</f>
        <v>Junior</v>
      </c>
      <c r="P1183" cm="1">
        <f t="array" ref="P1183">_xlfn.SWITCH(tbl_analysis_tickets[[#This Row],[customer_satisfaction]],
"Low",1,
"Medium",2,
"High",3
)</f>
        <v>1</v>
      </c>
      <c r="Q1183">
        <f>IF(tbl_analysis_tickets[[#This Row],[reopened]]="Yes",1,0)</f>
        <v>1</v>
      </c>
      <c r="R1183" t="str" cm="1">
        <f t="array" ref="R1183">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183" t="str" cm="1">
        <f t="array" ref="S118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183" t="str">
        <f>TEXT(tbl_analysis_tickets[[#This Row],[created_date]],"mmm-yyyy")</f>
        <v>Feb-2024</v>
      </c>
      <c r="U1183" t="str">
        <f>TEXT(tbl_analysis_tickets[[#This Row],[created_date]],"dddd")</f>
        <v>Tuesday</v>
      </c>
      <c r="V1183" cm="1">
        <f t="array" ref="V1183">_xlfn.SWITCH(tbl_analysis_tickets[[#This Row],[priority]],
"Urgent",1,
"High",2,
"Medium",3,
"Low",4
)</f>
        <v>4</v>
      </c>
    </row>
    <row r="1184" spans="1:22" x14ac:dyDescent="0.25">
      <c r="A1184">
        <v>1183</v>
      </c>
      <c r="B1184" s="1">
        <v>45418</v>
      </c>
      <c r="C1184" t="s">
        <v>14</v>
      </c>
      <c r="D1184" t="s">
        <v>20</v>
      </c>
      <c r="E1184">
        <v>197</v>
      </c>
      <c r="F1184">
        <v>6</v>
      </c>
      <c r="G1184">
        <v>7</v>
      </c>
      <c r="H1184" t="s">
        <v>12</v>
      </c>
      <c r="I1184" t="s">
        <v>13</v>
      </c>
      <c r="J1184" t="s">
        <v>15</v>
      </c>
      <c r="K1184">
        <f>_xlfn.XLOOKUP(tbl_analysis_tickets[[#This Row],[priority]],tbl_sla[priority],tbl_sla[Resolution SLA Hours])</f>
        <v>24</v>
      </c>
      <c r="L1184">
        <f>_xlfn.XLOOKUP(tbl_analysis_tickets[[#This Row],[priority]],tbl_sla[priority],tbl_sla[First Response SLA Minutes])</f>
        <v>60</v>
      </c>
      <c r="M1184" t="str">
        <f>IF(tbl_analysis_tickets[[#This Row],[resolution_time_hours]]&gt;tbl_analysis_tickets[[#This Row],[Resolution SLA Hours]],"Breached","Within SLA")</f>
        <v>Within SLA</v>
      </c>
      <c r="N1184" t="str">
        <f>IF(tbl_analysis_tickets[[#This Row],[first_response_minutes]]&gt;tbl_analysis_tickets[[#This Row],[First Response SLA Minutes]],"Breached","Within SLA")</f>
        <v>Breached</v>
      </c>
      <c r="O1184" t="str" cm="1">
        <f t="array" ref="O1184">_xlfn.IFS(
tbl_analysis_tickets[[#This Row],[agent_experience_years]]&lt;=2,"Junior",
tbl_analysis_tickets[[#This Row],[agent_experience_years]]&lt;=5,"Mid-Level",
tbl_analysis_tickets[[#This Row],[agent_experience_years]]&lt;=8,"Senior",
tbl_analysis_tickets[[#This Row],[agent_experience_years]]&gt;8,"Expert"
)</f>
        <v>Senior</v>
      </c>
      <c r="P1184" cm="1">
        <f t="array" ref="P1184">_xlfn.SWITCH(tbl_analysis_tickets[[#This Row],[customer_satisfaction]],
"Low",1,
"Medium",2,
"High",3
)</f>
        <v>2</v>
      </c>
      <c r="Q1184">
        <f>IF(tbl_analysis_tickets[[#This Row],[reopened]]="Yes",1,0)</f>
        <v>1</v>
      </c>
      <c r="R1184" t="str" cm="1">
        <f t="array" ref="R1184">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184" t="str" cm="1">
        <f t="array" ref="S118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1184" t="str">
        <f>TEXT(tbl_analysis_tickets[[#This Row],[created_date]],"mmm-yyyy")</f>
        <v>May-2024</v>
      </c>
      <c r="U1184" t="str">
        <f>TEXT(tbl_analysis_tickets[[#This Row],[created_date]],"dddd")</f>
        <v>Monday</v>
      </c>
      <c r="V1184" cm="1">
        <f t="array" ref="V1184">_xlfn.SWITCH(tbl_analysis_tickets[[#This Row],[priority]],
"Urgent",1,
"High",2,
"Medium",3,
"Low",4
)</f>
        <v>2</v>
      </c>
    </row>
    <row r="1185" spans="1:22" x14ac:dyDescent="0.25">
      <c r="A1185">
        <v>1184</v>
      </c>
      <c r="B1185" s="1">
        <v>45431</v>
      </c>
      <c r="C1185" t="s">
        <v>23</v>
      </c>
      <c r="D1185" t="s">
        <v>15</v>
      </c>
      <c r="E1185">
        <v>85</v>
      </c>
      <c r="F1185">
        <v>41</v>
      </c>
      <c r="G1185">
        <v>5.6</v>
      </c>
      <c r="H1185" t="s">
        <v>18</v>
      </c>
      <c r="I1185" t="s">
        <v>13</v>
      </c>
      <c r="J1185" t="s">
        <v>15</v>
      </c>
      <c r="K1185">
        <f>_xlfn.XLOOKUP(tbl_analysis_tickets[[#This Row],[priority]],tbl_sla[priority],tbl_sla[Resolution SLA Hours])</f>
        <v>48</v>
      </c>
      <c r="L1185">
        <f>_xlfn.XLOOKUP(tbl_analysis_tickets[[#This Row],[priority]],tbl_sla[priority],tbl_sla[First Response SLA Minutes])</f>
        <v>120</v>
      </c>
      <c r="M1185" t="str">
        <f>IF(tbl_analysis_tickets[[#This Row],[resolution_time_hours]]&gt;tbl_analysis_tickets[[#This Row],[Resolution SLA Hours]],"Breached","Within SLA")</f>
        <v>Within SLA</v>
      </c>
      <c r="N1185" t="str">
        <f>IF(tbl_analysis_tickets[[#This Row],[first_response_minutes]]&gt;tbl_analysis_tickets[[#This Row],[First Response SLA Minutes]],"Breached","Within SLA")</f>
        <v>Within SLA</v>
      </c>
      <c r="O1185" t="str" cm="1">
        <f t="array" ref="O1185">_xlfn.IFS(
tbl_analysis_tickets[[#This Row],[agent_experience_years]]&lt;=2,"Junior",
tbl_analysis_tickets[[#This Row],[agent_experience_years]]&lt;=5,"Mid-Level",
tbl_analysis_tickets[[#This Row],[agent_experience_years]]&lt;=8,"Senior",
tbl_analysis_tickets[[#This Row],[agent_experience_years]]&gt;8,"Expert"
)</f>
        <v>Senior</v>
      </c>
      <c r="P1185" cm="1">
        <f t="array" ref="P1185">_xlfn.SWITCH(tbl_analysis_tickets[[#This Row],[customer_satisfaction]],
"Low",1,
"Medium",2,
"High",3
)</f>
        <v>2</v>
      </c>
      <c r="Q1185">
        <f>IF(tbl_analysis_tickets[[#This Row],[reopened]]="Yes",1,0)</f>
        <v>0</v>
      </c>
      <c r="R1185" t="str" cm="1">
        <f t="array" ref="R1185">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185" t="str" cm="1">
        <f t="array" ref="S118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185" t="str">
        <f>TEXT(tbl_analysis_tickets[[#This Row],[created_date]],"mmm-yyyy")</f>
        <v>May-2024</v>
      </c>
      <c r="U1185" t="str">
        <f>TEXT(tbl_analysis_tickets[[#This Row],[created_date]],"dddd")</f>
        <v>Sunday</v>
      </c>
      <c r="V1185" cm="1">
        <f t="array" ref="V1185">_xlfn.SWITCH(tbl_analysis_tickets[[#This Row],[priority]],
"Urgent",1,
"High",2,
"Medium",3,
"Low",4
)</f>
        <v>3</v>
      </c>
    </row>
    <row r="1186" spans="1:22" x14ac:dyDescent="0.25">
      <c r="A1186">
        <v>1185</v>
      </c>
      <c r="B1186" s="1">
        <v>45651</v>
      </c>
      <c r="C1186" t="s">
        <v>21</v>
      </c>
      <c r="D1186" t="s">
        <v>20</v>
      </c>
      <c r="E1186">
        <v>7</v>
      </c>
      <c r="F1186">
        <v>48</v>
      </c>
      <c r="G1186">
        <v>7.1</v>
      </c>
      <c r="H1186" t="s">
        <v>12</v>
      </c>
      <c r="I1186" t="s">
        <v>16</v>
      </c>
      <c r="J1186" t="s">
        <v>15</v>
      </c>
      <c r="K1186">
        <f>_xlfn.XLOOKUP(tbl_analysis_tickets[[#This Row],[priority]],tbl_sla[priority],tbl_sla[Resolution SLA Hours])</f>
        <v>24</v>
      </c>
      <c r="L1186">
        <f>_xlfn.XLOOKUP(tbl_analysis_tickets[[#This Row],[priority]],tbl_sla[priority],tbl_sla[First Response SLA Minutes])</f>
        <v>60</v>
      </c>
      <c r="M1186" t="str">
        <f>IF(tbl_analysis_tickets[[#This Row],[resolution_time_hours]]&gt;tbl_analysis_tickets[[#This Row],[Resolution SLA Hours]],"Breached","Within SLA")</f>
        <v>Breached</v>
      </c>
      <c r="N1186" t="str">
        <f>IF(tbl_analysis_tickets[[#This Row],[first_response_minutes]]&gt;tbl_analysis_tickets[[#This Row],[First Response SLA Minutes]],"Breached","Within SLA")</f>
        <v>Within SLA</v>
      </c>
      <c r="O1186" t="str" cm="1">
        <f t="array" ref="O1186">_xlfn.IFS(
tbl_analysis_tickets[[#This Row],[agent_experience_years]]&lt;=2,"Junior",
tbl_analysis_tickets[[#This Row],[agent_experience_years]]&lt;=5,"Mid-Level",
tbl_analysis_tickets[[#This Row],[agent_experience_years]]&lt;=8,"Senior",
tbl_analysis_tickets[[#This Row],[agent_experience_years]]&gt;8,"Expert"
)</f>
        <v>Senior</v>
      </c>
      <c r="P1186" cm="1">
        <f t="array" ref="P1186">_xlfn.SWITCH(tbl_analysis_tickets[[#This Row],[customer_satisfaction]],
"Low",1,
"Medium",2,
"High",3
)</f>
        <v>2</v>
      </c>
      <c r="Q1186">
        <f>IF(tbl_analysis_tickets[[#This Row],[reopened]]="Yes",1,0)</f>
        <v>1</v>
      </c>
      <c r="R1186" t="str" cm="1">
        <f t="array" ref="R1186">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1186" t="str" cm="1">
        <f t="array" ref="S118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186" t="str">
        <f>TEXT(tbl_analysis_tickets[[#This Row],[created_date]],"mmm-yyyy")</f>
        <v>Dec-2024</v>
      </c>
      <c r="U1186" t="str">
        <f>TEXT(tbl_analysis_tickets[[#This Row],[created_date]],"dddd")</f>
        <v>Wednesday</v>
      </c>
      <c r="V1186" cm="1">
        <f t="array" ref="V1186">_xlfn.SWITCH(tbl_analysis_tickets[[#This Row],[priority]],
"Urgent",1,
"High",2,
"Medium",3,
"Low",4
)</f>
        <v>2</v>
      </c>
    </row>
    <row r="1187" spans="1:22" x14ac:dyDescent="0.25">
      <c r="A1187">
        <v>1186</v>
      </c>
      <c r="B1187" s="1">
        <v>45607</v>
      </c>
      <c r="C1187" t="s">
        <v>23</v>
      </c>
      <c r="D1187" t="s">
        <v>17</v>
      </c>
      <c r="E1187">
        <v>11</v>
      </c>
      <c r="F1187">
        <v>43</v>
      </c>
      <c r="G1187">
        <v>6.7</v>
      </c>
      <c r="H1187" t="s">
        <v>12</v>
      </c>
      <c r="I1187" t="s">
        <v>13</v>
      </c>
      <c r="J1187" t="s">
        <v>15</v>
      </c>
      <c r="K1187">
        <f>_xlfn.XLOOKUP(tbl_analysis_tickets[[#This Row],[priority]],tbl_sla[priority],tbl_sla[Resolution SLA Hours])</f>
        <v>8</v>
      </c>
      <c r="L1187">
        <f>_xlfn.XLOOKUP(tbl_analysis_tickets[[#This Row],[priority]],tbl_sla[priority],tbl_sla[First Response SLA Minutes])</f>
        <v>30</v>
      </c>
      <c r="M1187" t="str">
        <f>IF(tbl_analysis_tickets[[#This Row],[resolution_time_hours]]&gt;tbl_analysis_tickets[[#This Row],[Resolution SLA Hours]],"Breached","Within SLA")</f>
        <v>Breached</v>
      </c>
      <c r="N1187" t="str">
        <f>IF(tbl_analysis_tickets[[#This Row],[first_response_minutes]]&gt;tbl_analysis_tickets[[#This Row],[First Response SLA Minutes]],"Breached","Within SLA")</f>
        <v>Within SLA</v>
      </c>
      <c r="O1187" t="str" cm="1">
        <f t="array" ref="O1187">_xlfn.IFS(
tbl_analysis_tickets[[#This Row],[agent_experience_years]]&lt;=2,"Junior",
tbl_analysis_tickets[[#This Row],[agent_experience_years]]&lt;=5,"Mid-Level",
tbl_analysis_tickets[[#This Row],[agent_experience_years]]&lt;=8,"Senior",
tbl_analysis_tickets[[#This Row],[agent_experience_years]]&gt;8,"Expert"
)</f>
        <v>Senior</v>
      </c>
      <c r="P1187" cm="1">
        <f t="array" ref="P1187">_xlfn.SWITCH(tbl_analysis_tickets[[#This Row],[customer_satisfaction]],
"Low",1,
"Medium",2,
"High",3
)</f>
        <v>2</v>
      </c>
      <c r="Q1187">
        <f>IF(tbl_analysis_tickets[[#This Row],[reopened]]="Yes",1,0)</f>
        <v>1</v>
      </c>
      <c r="R1187" t="str" cm="1">
        <f t="array" ref="R1187">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1187" t="str" cm="1">
        <f t="array" ref="S118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187" t="str">
        <f>TEXT(tbl_analysis_tickets[[#This Row],[created_date]],"mmm-yyyy")</f>
        <v>Nov-2024</v>
      </c>
      <c r="U1187" t="str">
        <f>TEXT(tbl_analysis_tickets[[#This Row],[created_date]],"dddd")</f>
        <v>Monday</v>
      </c>
      <c r="V1187" cm="1">
        <f t="array" ref="V1187">_xlfn.SWITCH(tbl_analysis_tickets[[#This Row],[priority]],
"Urgent",1,
"High",2,
"Medium",3,
"Low",4
)</f>
        <v>1</v>
      </c>
    </row>
    <row r="1188" spans="1:22" x14ac:dyDescent="0.25">
      <c r="A1188">
        <v>1187</v>
      </c>
      <c r="B1188" s="1">
        <v>45563</v>
      </c>
      <c r="C1188" t="s">
        <v>22</v>
      </c>
      <c r="D1188" t="s">
        <v>20</v>
      </c>
      <c r="E1188">
        <v>66</v>
      </c>
      <c r="F1188">
        <v>32</v>
      </c>
      <c r="G1188">
        <v>6.2</v>
      </c>
      <c r="H1188" t="s">
        <v>18</v>
      </c>
      <c r="I1188" t="s">
        <v>16</v>
      </c>
      <c r="J1188" t="s">
        <v>11</v>
      </c>
      <c r="K1188">
        <f>_xlfn.XLOOKUP(tbl_analysis_tickets[[#This Row],[priority]],tbl_sla[priority],tbl_sla[Resolution SLA Hours])</f>
        <v>24</v>
      </c>
      <c r="L1188">
        <f>_xlfn.XLOOKUP(tbl_analysis_tickets[[#This Row],[priority]],tbl_sla[priority],tbl_sla[First Response SLA Minutes])</f>
        <v>60</v>
      </c>
      <c r="M1188" t="str">
        <f>IF(tbl_analysis_tickets[[#This Row],[resolution_time_hours]]&gt;tbl_analysis_tickets[[#This Row],[Resolution SLA Hours]],"Breached","Within SLA")</f>
        <v>Breached</v>
      </c>
      <c r="N1188" t="str">
        <f>IF(tbl_analysis_tickets[[#This Row],[first_response_minutes]]&gt;tbl_analysis_tickets[[#This Row],[First Response SLA Minutes]],"Breached","Within SLA")</f>
        <v>Breached</v>
      </c>
      <c r="O1188" t="str" cm="1">
        <f t="array" ref="O1188">_xlfn.IFS(
tbl_analysis_tickets[[#This Row],[agent_experience_years]]&lt;=2,"Junior",
tbl_analysis_tickets[[#This Row],[agent_experience_years]]&lt;=5,"Mid-Level",
tbl_analysis_tickets[[#This Row],[agent_experience_years]]&lt;=8,"Senior",
tbl_analysis_tickets[[#This Row],[agent_experience_years]]&gt;8,"Expert"
)</f>
        <v>Senior</v>
      </c>
      <c r="P1188" cm="1">
        <f t="array" ref="P1188">_xlfn.SWITCH(tbl_analysis_tickets[[#This Row],[customer_satisfaction]],
"Low",1,
"Medium",2,
"High",3
)</f>
        <v>1</v>
      </c>
      <c r="Q1188">
        <f>IF(tbl_analysis_tickets[[#This Row],[reopened]]="Yes",1,0)</f>
        <v>0</v>
      </c>
      <c r="R1188" t="str" cm="1">
        <f t="array" ref="R1188">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188" t="str" cm="1">
        <f t="array" ref="S118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188" t="str">
        <f>TEXT(tbl_analysis_tickets[[#This Row],[created_date]],"mmm-yyyy")</f>
        <v>Sep-2024</v>
      </c>
      <c r="U1188" t="str">
        <f>TEXT(tbl_analysis_tickets[[#This Row],[created_date]],"dddd")</f>
        <v>Saturday</v>
      </c>
      <c r="V1188" cm="1">
        <f t="array" ref="V1188">_xlfn.SWITCH(tbl_analysis_tickets[[#This Row],[priority]],
"Urgent",1,
"High",2,
"Medium",3,
"Low",4
)</f>
        <v>2</v>
      </c>
    </row>
    <row r="1189" spans="1:22" x14ac:dyDescent="0.25">
      <c r="A1189">
        <v>1188</v>
      </c>
      <c r="B1189" s="1">
        <v>45648</v>
      </c>
      <c r="C1189" t="s">
        <v>10</v>
      </c>
      <c r="D1189" t="s">
        <v>11</v>
      </c>
      <c r="E1189">
        <v>213</v>
      </c>
      <c r="F1189">
        <v>72</v>
      </c>
      <c r="G1189">
        <v>3.3</v>
      </c>
      <c r="H1189" t="s">
        <v>18</v>
      </c>
      <c r="I1189" t="s">
        <v>19</v>
      </c>
      <c r="J1189" t="s">
        <v>11</v>
      </c>
      <c r="K1189">
        <f>_xlfn.XLOOKUP(tbl_analysis_tickets[[#This Row],[priority]],tbl_sla[priority],tbl_sla[Resolution SLA Hours])</f>
        <v>72</v>
      </c>
      <c r="L1189">
        <f>_xlfn.XLOOKUP(tbl_analysis_tickets[[#This Row],[priority]],tbl_sla[priority],tbl_sla[First Response SLA Minutes])</f>
        <v>240</v>
      </c>
      <c r="M1189" t="str">
        <f>IF(tbl_analysis_tickets[[#This Row],[resolution_time_hours]]&gt;tbl_analysis_tickets[[#This Row],[Resolution SLA Hours]],"Breached","Within SLA")</f>
        <v>Within SLA</v>
      </c>
      <c r="N1189" t="str">
        <f>IF(tbl_analysis_tickets[[#This Row],[first_response_minutes]]&gt;tbl_analysis_tickets[[#This Row],[First Response SLA Minutes]],"Breached","Within SLA")</f>
        <v>Within SLA</v>
      </c>
      <c r="O1189" t="str" cm="1">
        <f t="array" ref="O1189">_xlfn.IFS(
tbl_analysis_tickets[[#This Row],[agent_experience_years]]&lt;=2,"Junior",
tbl_analysis_tickets[[#This Row],[agent_experience_years]]&lt;=5,"Mid-Level",
tbl_analysis_tickets[[#This Row],[agent_experience_years]]&lt;=8,"Senior",
tbl_analysis_tickets[[#This Row],[agent_experience_years]]&gt;8,"Expert"
)</f>
        <v>Mid-Level</v>
      </c>
      <c r="P1189" cm="1">
        <f t="array" ref="P1189">_xlfn.SWITCH(tbl_analysis_tickets[[#This Row],[customer_satisfaction]],
"Low",1,
"Medium",2,
"High",3
)</f>
        <v>1</v>
      </c>
      <c r="Q1189">
        <f>IF(tbl_analysis_tickets[[#This Row],[reopened]]="Yes",1,0)</f>
        <v>0</v>
      </c>
      <c r="R1189" t="str" cm="1">
        <f t="array" ref="R1189">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189" t="str" cm="1">
        <f t="array" ref="S118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189" t="str">
        <f>TEXT(tbl_analysis_tickets[[#This Row],[created_date]],"mmm-yyyy")</f>
        <v>Dec-2024</v>
      </c>
      <c r="U1189" t="str">
        <f>TEXT(tbl_analysis_tickets[[#This Row],[created_date]],"dddd")</f>
        <v>Sunday</v>
      </c>
      <c r="V1189" cm="1">
        <f t="array" ref="V1189">_xlfn.SWITCH(tbl_analysis_tickets[[#This Row],[priority]],
"Urgent",1,
"High",2,
"Medium",3,
"Low",4
)</f>
        <v>4</v>
      </c>
    </row>
    <row r="1190" spans="1:22" x14ac:dyDescent="0.25">
      <c r="A1190">
        <v>1189</v>
      </c>
      <c r="B1190" s="1">
        <v>45497</v>
      </c>
      <c r="C1190" t="s">
        <v>14</v>
      </c>
      <c r="D1190" t="s">
        <v>15</v>
      </c>
      <c r="E1190">
        <v>66</v>
      </c>
      <c r="F1190">
        <v>27</v>
      </c>
      <c r="G1190">
        <v>8</v>
      </c>
      <c r="H1190" t="s">
        <v>18</v>
      </c>
      <c r="I1190" t="s">
        <v>19</v>
      </c>
      <c r="J1190" t="s">
        <v>15</v>
      </c>
      <c r="K1190">
        <f>_xlfn.XLOOKUP(tbl_analysis_tickets[[#This Row],[priority]],tbl_sla[priority],tbl_sla[Resolution SLA Hours])</f>
        <v>48</v>
      </c>
      <c r="L1190">
        <f>_xlfn.XLOOKUP(tbl_analysis_tickets[[#This Row],[priority]],tbl_sla[priority],tbl_sla[First Response SLA Minutes])</f>
        <v>120</v>
      </c>
      <c r="M1190" t="str">
        <f>IF(tbl_analysis_tickets[[#This Row],[resolution_time_hours]]&gt;tbl_analysis_tickets[[#This Row],[Resolution SLA Hours]],"Breached","Within SLA")</f>
        <v>Within SLA</v>
      </c>
      <c r="N1190" t="str">
        <f>IF(tbl_analysis_tickets[[#This Row],[first_response_minutes]]&gt;tbl_analysis_tickets[[#This Row],[First Response SLA Minutes]],"Breached","Within SLA")</f>
        <v>Within SLA</v>
      </c>
      <c r="O1190" t="str" cm="1">
        <f t="array" ref="O1190">_xlfn.IFS(
tbl_analysis_tickets[[#This Row],[agent_experience_years]]&lt;=2,"Junior",
tbl_analysis_tickets[[#This Row],[agent_experience_years]]&lt;=5,"Mid-Level",
tbl_analysis_tickets[[#This Row],[agent_experience_years]]&lt;=8,"Senior",
tbl_analysis_tickets[[#This Row],[agent_experience_years]]&gt;8,"Expert"
)</f>
        <v>Senior</v>
      </c>
      <c r="P1190" cm="1">
        <f t="array" ref="P1190">_xlfn.SWITCH(tbl_analysis_tickets[[#This Row],[customer_satisfaction]],
"Low",1,
"Medium",2,
"High",3
)</f>
        <v>2</v>
      </c>
      <c r="Q1190">
        <f>IF(tbl_analysis_tickets[[#This Row],[reopened]]="Yes",1,0)</f>
        <v>0</v>
      </c>
      <c r="R1190" t="str" cm="1">
        <f t="array" ref="R1190">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190" t="str" cm="1">
        <f t="array" ref="S119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190" t="str">
        <f>TEXT(tbl_analysis_tickets[[#This Row],[created_date]],"mmm-yyyy")</f>
        <v>Jul-2024</v>
      </c>
      <c r="U1190" t="str">
        <f>TEXT(tbl_analysis_tickets[[#This Row],[created_date]],"dddd")</f>
        <v>Wednesday</v>
      </c>
      <c r="V1190" cm="1">
        <f t="array" ref="V1190">_xlfn.SWITCH(tbl_analysis_tickets[[#This Row],[priority]],
"Urgent",1,
"High",2,
"Medium",3,
"Low",4
)</f>
        <v>3</v>
      </c>
    </row>
    <row r="1191" spans="1:22" x14ac:dyDescent="0.25">
      <c r="A1191">
        <v>1190</v>
      </c>
      <c r="B1191" s="1">
        <v>45549</v>
      </c>
      <c r="C1191" t="s">
        <v>22</v>
      </c>
      <c r="D1191" t="s">
        <v>11</v>
      </c>
      <c r="E1191">
        <v>156</v>
      </c>
      <c r="F1191">
        <v>35</v>
      </c>
      <c r="G1191">
        <v>2</v>
      </c>
      <c r="H1191" t="s">
        <v>12</v>
      </c>
      <c r="I1191" t="s">
        <v>19</v>
      </c>
      <c r="J1191" t="s">
        <v>11</v>
      </c>
      <c r="K1191">
        <f>_xlfn.XLOOKUP(tbl_analysis_tickets[[#This Row],[priority]],tbl_sla[priority],tbl_sla[Resolution SLA Hours])</f>
        <v>72</v>
      </c>
      <c r="L1191">
        <f>_xlfn.XLOOKUP(tbl_analysis_tickets[[#This Row],[priority]],tbl_sla[priority],tbl_sla[First Response SLA Minutes])</f>
        <v>240</v>
      </c>
      <c r="M1191" t="str">
        <f>IF(tbl_analysis_tickets[[#This Row],[resolution_time_hours]]&gt;tbl_analysis_tickets[[#This Row],[Resolution SLA Hours]],"Breached","Within SLA")</f>
        <v>Within SLA</v>
      </c>
      <c r="N1191" t="str">
        <f>IF(tbl_analysis_tickets[[#This Row],[first_response_minutes]]&gt;tbl_analysis_tickets[[#This Row],[First Response SLA Minutes]],"Breached","Within SLA")</f>
        <v>Within SLA</v>
      </c>
      <c r="O1191" t="str" cm="1">
        <f t="array" ref="O1191">_xlfn.IFS(
tbl_analysis_tickets[[#This Row],[agent_experience_years]]&lt;=2,"Junior",
tbl_analysis_tickets[[#This Row],[agent_experience_years]]&lt;=5,"Mid-Level",
tbl_analysis_tickets[[#This Row],[agent_experience_years]]&lt;=8,"Senior",
tbl_analysis_tickets[[#This Row],[agent_experience_years]]&gt;8,"Expert"
)</f>
        <v>Junior</v>
      </c>
      <c r="P1191" cm="1">
        <f t="array" ref="P1191">_xlfn.SWITCH(tbl_analysis_tickets[[#This Row],[customer_satisfaction]],
"Low",1,
"Medium",2,
"High",3
)</f>
        <v>1</v>
      </c>
      <c r="Q1191">
        <f>IF(tbl_analysis_tickets[[#This Row],[reopened]]="Yes",1,0)</f>
        <v>1</v>
      </c>
      <c r="R1191" t="str" cm="1">
        <f t="array" ref="R1191">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191" t="str" cm="1">
        <f t="array" ref="S119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191" t="str">
        <f>TEXT(tbl_analysis_tickets[[#This Row],[created_date]],"mmm-yyyy")</f>
        <v>Sep-2024</v>
      </c>
      <c r="U1191" t="str">
        <f>TEXT(tbl_analysis_tickets[[#This Row],[created_date]],"dddd")</f>
        <v>Saturday</v>
      </c>
      <c r="V1191" cm="1">
        <f t="array" ref="V1191">_xlfn.SWITCH(tbl_analysis_tickets[[#This Row],[priority]],
"Urgent",1,
"High",2,
"Medium",3,
"Low",4
)</f>
        <v>4</v>
      </c>
    </row>
    <row r="1192" spans="1:22" x14ac:dyDescent="0.25">
      <c r="A1192">
        <v>1191</v>
      </c>
      <c r="B1192" s="1">
        <v>45588</v>
      </c>
      <c r="C1192" t="s">
        <v>10</v>
      </c>
      <c r="D1192" t="s">
        <v>15</v>
      </c>
      <c r="E1192">
        <v>120</v>
      </c>
      <c r="F1192">
        <v>28</v>
      </c>
      <c r="G1192">
        <v>7.7</v>
      </c>
      <c r="H1192" t="s">
        <v>12</v>
      </c>
      <c r="I1192" t="s">
        <v>16</v>
      </c>
      <c r="J1192" t="s">
        <v>11</v>
      </c>
      <c r="K1192">
        <f>_xlfn.XLOOKUP(tbl_analysis_tickets[[#This Row],[priority]],tbl_sla[priority],tbl_sla[Resolution SLA Hours])</f>
        <v>48</v>
      </c>
      <c r="L1192">
        <f>_xlfn.XLOOKUP(tbl_analysis_tickets[[#This Row],[priority]],tbl_sla[priority],tbl_sla[First Response SLA Minutes])</f>
        <v>120</v>
      </c>
      <c r="M1192" t="str">
        <f>IF(tbl_analysis_tickets[[#This Row],[resolution_time_hours]]&gt;tbl_analysis_tickets[[#This Row],[Resolution SLA Hours]],"Breached","Within SLA")</f>
        <v>Within SLA</v>
      </c>
      <c r="N1192" t="str">
        <f>IF(tbl_analysis_tickets[[#This Row],[first_response_minutes]]&gt;tbl_analysis_tickets[[#This Row],[First Response SLA Minutes]],"Breached","Within SLA")</f>
        <v>Within SLA</v>
      </c>
      <c r="O1192" t="str" cm="1">
        <f t="array" ref="O1192">_xlfn.IFS(
tbl_analysis_tickets[[#This Row],[agent_experience_years]]&lt;=2,"Junior",
tbl_analysis_tickets[[#This Row],[agent_experience_years]]&lt;=5,"Mid-Level",
tbl_analysis_tickets[[#This Row],[agent_experience_years]]&lt;=8,"Senior",
tbl_analysis_tickets[[#This Row],[agent_experience_years]]&gt;8,"Expert"
)</f>
        <v>Senior</v>
      </c>
      <c r="P1192" cm="1">
        <f t="array" ref="P1192">_xlfn.SWITCH(tbl_analysis_tickets[[#This Row],[customer_satisfaction]],
"Low",1,
"Medium",2,
"High",3
)</f>
        <v>1</v>
      </c>
      <c r="Q1192">
        <f>IF(tbl_analysis_tickets[[#This Row],[reopened]]="Yes",1,0)</f>
        <v>1</v>
      </c>
      <c r="R1192" t="str" cm="1">
        <f t="array" ref="R1192">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192" t="str" cm="1">
        <f t="array" ref="S119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192" t="str">
        <f>TEXT(tbl_analysis_tickets[[#This Row],[created_date]],"mmm-yyyy")</f>
        <v>Oct-2024</v>
      </c>
      <c r="U1192" t="str">
        <f>TEXT(tbl_analysis_tickets[[#This Row],[created_date]],"dddd")</f>
        <v>Wednesday</v>
      </c>
      <c r="V1192" cm="1">
        <f t="array" ref="V1192">_xlfn.SWITCH(tbl_analysis_tickets[[#This Row],[priority]],
"Urgent",1,
"High",2,
"Medium",3,
"Low",4
)</f>
        <v>3</v>
      </c>
    </row>
    <row r="1193" spans="1:22" x14ac:dyDescent="0.25">
      <c r="A1193">
        <v>1192</v>
      </c>
      <c r="B1193" s="1">
        <v>45447</v>
      </c>
      <c r="C1193" t="s">
        <v>23</v>
      </c>
      <c r="D1193" t="s">
        <v>17</v>
      </c>
      <c r="E1193">
        <v>155</v>
      </c>
      <c r="F1193">
        <v>36</v>
      </c>
      <c r="G1193">
        <v>5</v>
      </c>
      <c r="H1193" t="s">
        <v>12</v>
      </c>
      <c r="I1193" t="s">
        <v>13</v>
      </c>
      <c r="J1193" t="s">
        <v>11</v>
      </c>
      <c r="K1193">
        <f>_xlfn.XLOOKUP(tbl_analysis_tickets[[#This Row],[priority]],tbl_sla[priority],tbl_sla[Resolution SLA Hours])</f>
        <v>8</v>
      </c>
      <c r="L1193">
        <f>_xlfn.XLOOKUP(tbl_analysis_tickets[[#This Row],[priority]],tbl_sla[priority],tbl_sla[First Response SLA Minutes])</f>
        <v>30</v>
      </c>
      <c r="M1193" t="str">
        <f>IF(tbl_analysis_tickets[[#This Row],[resolution_time_hours]]&gt;tbl_analysis_tickets[[#This Row],[Resolution SLA Hours]],"Breached","Within SLA")</f>
        <v>Breached</v>
      </c>
      <c r="N1193" t="str">
        <f>IF(tbl_analysis_tickets[[#This Row],[first_response_minutes]]&gt;tbl_analysis_tickets[[#This Row],[First Response SLA Minutes]],"Breached","Within SLA")</f>
        <v>Breached</v>
      </c>
      <c r="O1193" t="str" cm="1">
        <f t="array" ref="O1193">_xlfn.IFS(
tbl_analysis_tickets[[#This Row],[agent_experience_years]]&lt;=2,"Junior",
tbl_analysis_tickets[[#This Row],[agent_experience_years]]&lt;=5,"Mid-Level",
tbl_analysis_tickets[[#This Row],[agent_experience_years]]&lt;=8,"Senior",
tbl_analysis_tickets[[#This Row],[agent_experience_years]]&gt;8,"Expert"
)</f>
        <v>Mid-Level</v>
      </c>
      <c r="P1193" cm="1">
        <f t="array" ref="P1193">_xlfn.SWITCH(tbl_analysis_tickets[[#This Row],[customer_satisfaction]],
"Low",1,
"Medium",2,
"High",3
)</f>
        <v>1</v>
      </c>
      <c r="Q1193">
        <f>IF(tbl_analysis_tickets[[#This Row],[reopened]]="Yes",1,0)</f>
        <v>1</v>
      </c>
      <c r="R1193" t="str" cm="1">
        <f t="array" ref="R1193">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193" t="str" cm="1">
        <f t="array" ref="S119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193" t="str">
        <f>TEXT(tbl_analysis_tickets[[#This Row],[created_date]],"mmm-yyyy")</f>
        <v>Jun-2024</v>
      </c>
      <c r="U1193" t="str">
        <f>TEXT(tbl_analysis_tickets[[#This Row],[created_date]],"dddd")</f>
        <v>Tuesday</v>
      </c>
      <c r="V1193" cm="1">
        <f t="array" ref="V1193">_xlfn.SWITCH(tbl_analysis_tickets[[#This Row],[priority]],
"Urgent",1,
"High",2,
"Medium",3,
"Low",4
)</f>
        <v>1</v>
      </c>
    </row>
    <row r="1194" spans="1:22" x14ac:dyDescent="0.25">
      <c r="A1194">
        <v>1193</v>
      </c>
      <c r="B1194" s="1">
        <v>45601</v>
      </c>
      <c r="C1194" t="s">
        <v>23</v>
      </c>
      <c r="D1194" t="s">
        <v>17</v>
      </c>
      <c r="E1194">
        <v>82</v>
      </c>
      <c r="F1194">
        <v>41</v>
      </c>
      <c r="G1194">
        <v>6.1</v>
      </c>
      <c r="H1194" t="s">
        <v>12</v>
      </c>
      <c r="I1194" t="s">
        <v>19</v>
      </c>
      <c r="J1194" t="s">
        <v>11</v>
      </c>
      <c r="K1194">
        <f>_xlfn.XLOOKUP(tbl_analysis_tickets[[#This Row],[priority]],tbl_sla[priority],tbl_sla[Resolution SLA Hours])</f>
        <v>8</v>
      </c>
      <c r="L1194">
        <f>_xlfn.XLOOKUP(tbl_analysis_tickets[[#This Row],[priority]],tbl_sla[priority],tbl_sla[First Response SLA Minutes])</f>
        <v>30</v>
      </c>
      <c r="M1194" t="str">
        <f>IF(tbl_analysis_tickets[[#This Row],[resolution_time_hours]]&gt;tbl_analysis_tickets[[#This Row],[Resolution SLA Hours]],"Breached","Within SLA")</f>
        <v>Breached</v>
      </c>
      <c r="N1194" t="str">
        <f>IF(tbl_analysis_tickets[[#This Row],[first_response_minutes]]&gt;tbl_analysis_tickets[[#This Row],[First Response SLA Minutes]],"Breached","Within SLA")</f>
        <v>Breached</v>
      </c>
      <c r="O1194" t="str" cm="1">
        <f t="array" ref="O1194">_xlfn.IFS(
tbl_analysis_tickets[[#This Row],[agent_experience_years]]&lt;=2,"Junior",
tbl_analysis_tickets[[#This Row],[agent_experience_years]]&lt;=5,"Mid-Level",
tbl_analysis_tickets[[#This Row],[agent_experience_years]]&lt;=8,"Senior",
tbl_analysis_tickets[[#This Row],[agent_experience_years]]&gt;8,"Expert"
)</f>
        <v>Senior</v>
      </c>
      <c r="P1194" cm="1">
        <f t="array" ref="P1194">_xlfn.SWITCH(tbl_analysis_tickets[[#This Row],[customer_satisfaction]],
"Low",1,
"Medium",2,
"High",3
)</f>
        <v>1</v>
      </c>
      <c r="Q1194">
        <f>IF(tbl_analysis_tickets[[#This Row],[reopened]]="Yes",1,0)</f>
        <v>1</v>
      </c>
      <c r="R1194" t="str" cm="1">
        <f t="array" ref="R1194">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194" t="str" cm="1">
        <f t="array" ref="S119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194" t="str">
        <f>TEXT(tbl_analysis_tickets[[#This Row],[created_date]],"mmm-yyyy")</f>
        <v>Nov-2024</v>
      </c>
      <c r="U1194" t="str">
        <f>TEXT(tbl_analysis_tickets[[#This Row],[created_date]],"dddd")</f>
        <v>Tuesday</v>
      </c>
      <c r="V1194" cm="1">
        <f t="array" ref="V1194">_xlfn.SWITCH(tbl_analysis_tickets[[#This Row],[priority]],
"Urgent",1,
"High",2,
"Medium",3,
"Low",4
)</f>
        <v>1</v>
      </c>
    </row>
    <row r="1195" spans="1:22" x14ac:dyDescent="0.25">
      <c r="A1195">
        <v>1194</v>
      </c>
      <c r="B1195" s="1">
        <v>45553</v>
      </c>
      <c r="C1195" t="s">
        <v>22</v>
      </c>
      <c r="D1195" t="s">
        <v>17</v>
      </c>
      <c r="E1195">
        <v>65</v>
      </c>
      <c r="F1195">
        <v>62</v>
      </c>
      <c r="G1195">
        <v>7.2</v>
      </c>
      <c r="H1195" t="s">
        <v>18</v>
      </c>
      <c r="I1195" t="s">
        <v>16</v>
      </c>
      <c r="J1195" t="s">
        <v>11</v>
      </c>
      <c r="K1195">
        <f>_xlfn.XLOOKUP(tbl_analysis_tickets[[#This Row],[priority]],tbl_sla[priority],tbl_sla[Resolution SLA Hours])</f>
        <v>8</v>
      </c>
      <c r="L1195">
        <f>_xlfn.XLOOKUP(tbl_analysis_tickets[[#This Row],[priority]],tbl_sla[priority],tbl_sla[First Response SLA Minutes])</f>
        <v>30</v>
      </c>
      <c r="M1195" t="str">
        <f>IF(tbl_analysis_tickets[[#This Row],[resolution_time_hours]]&gt;tbl_analysis_tickets[[#This Row],[Resolution SLA Hours]],"Breached","Within SLA")</f>
        <v>Breached</v>
      </c>
      <c r="N1195" t="str">
        <f>IF(tbl_analysis_tickets[[#This Row],[first_response_minutes]]&gt;tbl_analysis_tickets[[#This Row],[First Response SLA Minutes]],"Breached","Within SLA")</f>
        <v>Breached</v>
      </c>
      <c r="O1195" t="str" cm="1">
        <f t="array" ref="O1195">_xlfn.IFS(
tbl_analysis_tickets[[#This Row],[agent_experience_years]]&lt;=2,"Junior",
tbl_analysis_tickets[[#This Row],[agent_experience_years]]&lt;=5,"Mid-Level",
tbl_analysis_tickets[[#This Row],[agent_experience_years]]&lt;=8,"Senior",
tbl_analysis_tickets[[#This Row],[agent_experience_years]]&gt;8,"Expert"
)</f>
        <v>Senior</v>
      </c>
      <c r="P1195" cm="1">
        <f t="array" ref="P1195">_xlfn.SWITCH(tbl_analysis_tickets[[#This Row],[customer_satisfaction]],
"Low",1,
"Medium",2,
"High",3
)</f>
        <v>1</v>
      </c>
      <c r="Q1195">
        <f>IF(tbl_analysis_tickets[[#This Row],[reopened]]="Yes",1,0)</f>
        <v>0</v>
      </c>
      <c r="R1195" t="str" cm="1">
        <f t="array" ref="R1195">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195" t="str" cm="1">
        <f t="array" ref="S119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195" t="str">
        <f>TEXT(tbl_analysis_tickets[[#This Row],[created_date]],"mmm-yyyy")</f>
        <v>Sep-2024</v>
      </c>
      <c r="U1195" t="str">
        <f>TEXT(tbl_analysis_tickets[[#This Row],[created_date]],"dddd")</f>
        <v>Wednesday</v>
      </c>
      <c r="V1195" cm="1">
        <f t="array" ref="V1195">_xlfn.SWITCH(tbl_analysis_tickets[[#This Row],[priority]],
"Urgent",1,
"High",2,
"Medium",3,
"Low",4
)</f>
        <v>1</v>
      </c>
    </row>
    <row r="1196" spans="1:22" x14ac:dyDescent="0.25">
      <c r="A1196">
        <v>1195</v>
      </c>
      <c r="B1196" s="1">
        <v>45463</v>
      </c>
      <c r="C1196" t="s">
        <v>10</v>
      </c>
      <c r="D1196" t="s">
        <v>20</v>
      </c>
      <c r="E1196">
        <v>36</v>
      </c>
      <c r="F1196">
        <v>7</v>
      </c>
      <c r="G1196">
        <v>1.3</v>
      </c>
      <c r="H1196" t="s">
        <v>12</v>
      </c>
      <c r="I1196" t="s">
        <v>16</v>
      </c>
      <c r="J1196" t="s">
        <v>11</v>
      </c>
      <c r="K1196">
        <f>_xlfn.XLOOKUP(tbl_analysis_tickets[[#This Row],[priority]],tbl_sla[priority],tbl_sla[Resolution SLA Hours])</f>
        <v>24</v>
      </c>
      <c r="L1196">
        <f>_xlfn.XLOOKUP(tbl_analysis_tickets[[#This Row],[priority]],tbl_sla[priority],tbl_sla[First Response SLA Minutes])</f>
        <v>60</v>
      </c>
      <c r="M1196" t="str">
        <f>IF(tbl_analysis_tickets[[#This Row],[resolution_time_hours]]&gt;tbl_analysis_tickets[[#This Row],[Resolution SLA Hours]],"Breached","Within SLA")</f>
        <v>Within SLA</v>
      </c>
      <c r="N1196" t="str">
        <f>IF(tbl_analysis_tickets[[#This Row],[first_response_minutes]]&gt;tbl_analysis_tickets[[#This Row],[First Response SLA Minutes]],"Breached","Within SLA")</f>
        <v>Within SLA</v>
      </c>
      <c r="O1196" t="str" cm="1">
        <f t="array" ref="O1196">_xlfn.IFS(
tbl_analysis_tickets[[#This Row],[agent_experience_years]]&lt;=2,"Junior",
tbl_analysis_tickets[[#This Row],[agent_experience_years]]&lt;=5,"Mid-Level",
tbl_analysis_tickets[[#This Row],[agent_experience_years]]&lt;=8,"Senior",
tbl_analysis_tickets[[#This Row],[agent_experience_years]]&gt;8,"Expert"
)</f>
        <v>Junior</v>
      </c>
      <c r="P1196" cm="1">
        <f t="array" ref="P1196">_xlfn.SWITCH(tbl_analysis_tickets[[#This Row],[customer_satisfaction]],
"Low",1,
"Medium",2,
"High",3
)</f>
        <v>1</v>
      </c>
      <c r="Q1196">
        <f>IF(tbl_analysis_tickets[[#This Row],[reopened]]="Yes",1,0)</f>
        <v>1</v>
      </c>
      <c r="R1196" t="str" cm="1">
        <f t="array" ref="R1196">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196" t="str" cm="1">
        <f t="array" ref="S119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1196" t="str">
        <f>TEXT(tbl_analysis_tickets[[#This Row],[created_date]],"mmm-yyyy")</f>
        <v>Jun-2024</v>
      </c>
      <c r="U1196" t="str">
        <f>TEXT(tbl_analysis_tickets[[#This Row],[created_date]],"dddd")</f>
        <v>Thursday</v>
      </c>
      <c r="V1196" cm="1">
        <f t="array" ref="V1196">_xlfn.SWITCH(tbl_analysis_tickets[[#This Row],[priority]],
"Urgent",1,
"High",2,
"Medium",3,
"Low",4
)</f>
        <v>2</v>
      </c>
    </row>
    <row r="1197" spans="1:22" x14ac:dyDescent="0.25">
      <c r="A1197">
        <v>1196</v>
      </c>
      <c r="B1197" s="1">
        <v>45560</v>
      </c>
      <c r="C1197" t="s">
        <v>21</v>
      </c>
      <c r="D1197" t="s">
        <v>20</v>
      </c>
      <c r="E1197">
        <v>78</v>
      </c>
      <c r="F1197">
        <v>1</v>
      </c>
      <c r="G1197">
        <v>1.3</v>
      </c>
      <c r="H1197" t="s">
        <v>12</v>
      </c>
      <c r="I1197" t="s">
        <v>19</v>
      </c>
      <c r="J1197" t="s">
        <v>11</v>
      </c>
      <c r="K1197">
        <f>_xlfn.XLOOKUP(tbl_analysis_tickets[[#This Row],[priority]],tbl_sla[priority],tbl_sla[Resolution SLA Hours])</f>
        <v>24</v>
      </c>
      <c r="L1197">
        <f>_xlfn.XLOOKUP(tbl_analysis_tickets[[#This Row],[priority]],tbl_sla[priority],tbl_sla[First Response SLA Minutes])</f>
        <v>60</v>
      </c>
      <c r="M1197" t="str">
        <f>IF(tbl_analysis_tickets[[#This Row],[resolution_time_hours]]&gt;tbl_analysis_tickets[[#This Row],[Resolution SLA Hours]],"Breached","Within SLA")</f>
        <v>Within SLA</v>
      </c>
      <c r="N1197" t="str">
        <f>IF(tbl_analysis_tickets[[#This Row],[first_response_minutes]]&gt;tbl_analysis_tickets[[#This Row],[First Response SLA Minutes]],"Breached","Within SLA")</f>
        <v>Breached</v>
      </c>
      <c r="O1197" t="str" cm="1">
        <f t="array" ref="O1197">_xlfn.IFS(
tbl_analysis_tickets[[#This Row],[agent_experience_years]]&lt;=2,"Junior",
tbl_analysis_tickets[[#This Row],[agent_experience_years]]&lt;=5,"Mid-Level",
tbl_analysis_tickets[[#This Row],[agent_experience_years]]&lt;=8,"Senior",
tbl_analysis_tickets[[#This Row],[agent_experience_years]]&gt;8,"Expert"
)</f>
        <v>Junior</v>
      </c>
      <c r="P1197" cm="1">
        <f t="array" ref="P1197">_xlfn.SWITCH(tbl_analysis_tickets[[#This Row],[customer_satisfaction]],
"Low",1,
"Medium",2,
"High",3
)</f>
        <v>1</v>
      </c>
      <c r="Q1197">
        <f>IF(tbl_analysis_tickets[[#This Row],[reopened]]="Yes",1,0)</f>
        <v>1</v>
      </c>
      <c r="R1197" t="str" cm="1">
        <f t="array" ref="R1197">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197" t="str" cm="1">
        <f t="array" ref="S119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1197" t="str">
        <f>TEXT(tbl_analysis_tickets[[#This Row],[created_date]],"mmm-yyyy")</f>
        <v>Sep-2024</v>
      </c>
      <c r="U1197" t="str">
        <f>TEXT(tbl_analysis_tickets[[#This Row],[created_date]],"dddd")</f>
        <v>Wednesday</v>
      </c>
      <c r="V1197" cm="1">
        <f t="array" ref="V1197">_xlfn.SWITCH(tbl_analysis_tickets[[#This Row],[priority]],
"Urgent",1,
"High",2,
"Medium",3,
"Low",4
)</f>
        <v>2</v>
      </c>
    </row>
    <row r="1198" spans="1:22" x14ac:dyDescent="0.25">
      <c r="A1198">
        <v>1197</v>
      </c>
      <c r="B1198" s="1">
        <v>45584</v>
      </c>
      <c r="C1198" t="s">
        <v>22</v>
      </c>
      <c r="D1198" t="s">
        <v>11</v>
      </c>
      <c r="E1198">
        <v>151</v>
      </c>
      <c r="F1198">
        <v>61</v>
      </c>
      <c r="G1198">
        <v>4.5</v>
      </c>
      <c r="H1198" t="s">
        <v>18</v>
      </c>
      <c r="I1198" t="s">
        <v>16</v>
      </c>
      <c r="J1198" t="s">
        <v>11</v>
      </c>
      <c r="K1198">
        <f>_xlfn.XLOOKUP(tbl_analysis_tickets[[#This Row],[priority]],tbl_sla[priority],tbl_sla[Resolution SLA Hours])</f>
        <v>72</v>
      </c>
      <c r="L1198">
        <f>_xlfn.XLOOKUP(tbl_analysis_tickets[[#This Row],[priority]],tbl_sla[priority],tbl_sla[First Response SLA Minutes])</f>
        <v>240</v>
      </c>
      <c r="M1198" t="str">
        <f>IF(tbl_analysis_tickets[[#This Row],[resolution_time_hours]]&gt;tbl_analysis_tickets[[#This Row],[Resolution SLA Hours]],"Breached","Within SLA")</f>
        <v>Within SLA</v>
      </c>
      <c r="N1198" t="str">
        <f>IF(tbl_analysis_tickets[[#This Row],[first_response_minutes]]&gt;tbl_analysis_tickets[[#This Row],[First Response SLA Minutes]],"Breached","Within SLA")</f>
        <v>Within SLA</v>
      </c>
      <c r="O1198" t="str" cm="1">
        <f t="array" ref="O1198">_xlfn.IFS(
tbl_analysis_tickets[[#This Row],[agent_experience_years]]&lt;=2,"Junior",
tbl_analysis_tickets[[#This Row],[agent_experience_years]]&lt;=5,"Mid-Level",
tbl_analysis_tickets[[#This Row],[agent_experience_years]]&lt;=8,"Senior",
tbl_analysis_tickets[[#This Row],[agent_experience_years]]&gt;8,"Expert"
)</f>
        <v>Mid-Level</v>
      </c>
      <c r="P1198" cm="1">
        <f t="array" ref="P1198">_xlfn.SWITCH(tbl_analysis_tickets[[#This Row],[customer_satisfaction]],
"Low",1,
"Medium",2,
"High",3
)</f>
        <v>1</v>
      </c>
      <c r="Q1198">
        <f>IF(tbl_analysis_tickets[[#This Row],[reopened]]="Yes",1,0)</f>
        <v>0</v>
      </c>
      <c r="R1198" t="str" cm="1">
        <f t="array" ref="R1198">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198" t="str" cm="1">
        <f t="array" ref="S119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198" t="str">
        <f>TEXT(tbl_analysis_tickets[[#This Row],[created_date]],"mmm-yyyy")</f>
        <v>Oct-2024</v>
      </c>
      <c r="U1198" t="str">
        <f>TEXT(tbl_analysis_tickets[[#This Row],[created_date]],"dddd")</f>
        <v>Saturday</v>
      </c>
      <c r="V1198" cm="1">
        <f t="array" ref="V1198">_xlfn.SWITCH(tbl_analysis_tickets[[#This Row],[priority]],
"Urgent",1,
"High",2,
"Medium",3,
"Low",4
)</f>
        <v>4</v>
      </c>
    </row>
    <row r="1199" spans="1:22" x14ac:dyDescent="0.25">
      <c r="A1199">
        <v>1198</v>
      </c>
      <c r="B1199" s="1">
        <v>45308</v>
      </c>
      <c r="C1199" t="s">
        <v>14</v>
      </c>
      <c r="D1199" t="s">
        <v>11</v>
      </c>
      <c r="E1199">
        <v>116</v>
      </c>
      <c r="F1199">
        <v>71</v>
      </c>
      <c r="G1199">
        <v>9.6999999999999993</v>
      </c>
      <c r="H1199" t="s">
        <v>12</v>
      </c>
      <c r="I1199" t="s">
        <v>19</v>
      </c>
      <c r="J1199" t="s">
        <v>11</v>
      </c>
      <c r="K1199">
        <f>_xlfn.XLOOKUP(tbl_analysis_tickets[[#This Row],[priority]],tbl_sla[priority],tbl_sla[Resolution SLA Hours])</f>
        <v>72</v>
      </c>
      <c r="L1199">
        <f>_xlfn.XLOOKUP(tbl_analysis_tickets[[#This Row],[priority]],tbl_sla[priority],tbl_sla[First Response SLA Minutes])</f>
        <v>240</v>
      </c>
      <c r="M1199" t="str">
        <f>IF(tbl_analysis_tickets[[#This Row],[resolution_time_hours]]&gt;tbl_analysis_tickets[[#This Row],[Resolution SLA Hours]],"Breached","Within SLA")</f>
        <v>Within SLA</v>
      </c>
      <c r="N1199" t="str">
        <f>IF(tbl_analysis_tickets[[#This Row],[first_response_minutes]]&gt;tbl_analysis_tickets[[#This Row],[First Response SLA Minutes]],"Breached","Within SLA")</f>
        <v>Within SLA</v>
      </c>
      <c r="O1199" t="str" cm="1">
        <f t="array" ref="O1199">_xlfn.IFS(
tbl_analysis_tickets[[#This Row],[agent_experience_years]]&lt;=2,"Junior",
tbl_analysis_tickets[[#This Row],[agent_experience_years]]&lt;=5,"Mid-Level",
tbl_analysis_tickets[[#This Row],[agent_experience_years]]&lt;=8,"Senior",
tbl_analysis_tickets[[#This Row],[agent_experience_years]]&gt;8,"Expert"
)</f>
        <v>Expert</v>
      </c>
      <c r="P1199" cm="1">
        <f t="array" ref="P1199">_xlfn.SWITCH(tbl_analysis_tickets[[#This Row],[customer_satisfaction]],
"Low",1,
"Medium",2,
"High",3
)</f>
        <v>1</v>
      </c>
      <c r="Q1199">
        <f>IF(tbl_analysis_tickets[[#This Row],[reopened]]="Yes",1,0)</f>
        <v>1</v>
      </c>
      <c r="R1199" t="str" cm="1">
        <f t="array" ref="R1199">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199" t="str" cm="1">
        <f t="array" ref="S119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199" t="str">
        <f>TEXT(tbl_analysis_tickets[[#This Row],[created_date]],"mmm-yyyy")</f>
        <v>Jan-2024</v>
      </c>
      <c r="U1199" t="str">
        <f>TEXT(tbl_analysis_tickets[[#This Row],[created_date]],"dddd")</f>
        <v>Wednesday</v>
      </c>
      <c r="V1199" cm="1">
        <f t="array" ref="V1199">_xlfn.SWITCH(tbl_analysis_tickets[[#This Row],[priority]],
"Urgent",1,
"High",2,
"Medium",3,
"Low",4
)</f>
        <v>4</v>
      </c>
    </row>
    <row r="1200" spans="1:22" x14ac:dyDescent="0.25">
      <c r="A1200">
        <v>1199</v>
      </c>
      <c r="B1200" s="1">
        <v>45646</v>
      </c>
      <c r="C1200" t="s">
        <v>14</v>
      </c>
      <c r="D1200" t="s">
        <v>15</v>
      </c>
      <c r="E1200">
        <v>95</v>
      </c>
      <c r="F1200">
        <v>23</v>
      </c>
      <c r="G1200">
        <v>3.5</v>
      </c>
      <c r="H1200" t="s">
        <v>18</v>
      </c>
      <c r="I1200" t="s">
        <v>16</v>
      </c>
      <c r="J1200" t="s">
        <v>11</v>
      </c>
      <c r="K1200">
        <f>_xlfn.XLOOKUP(tbl_analysis_tickets[[#This Row],[priority]],tbl_sla[priority],tbl_sla[Resolution SLA Hours])</f>
        <v>48</v>
      </c>
      <c r="L1200">
        <f>_xlfn.XLOOKUP(tbl_analysis_tickets[[#This Row],[priority]],tbl_sla[priority],tbl_sla[First Response SLA Minutes])</f>
        <v>120</v>
      </c>
      <c r="M1200" t="str">
        <f>IF(tbl_analysis_tickets[[#This Row],[resolution_time_hours]]&gt;tbl_analysis_tickets[[#This Row],[Resolution SLA Hours]],"Breached","Within SLA")</f>
        <v>Within SLA</v>
      </c>
      <c r="N1200" t="str">
        <f>IF(tbl_analysis_tickets[[#This Row],[first_response_minutes]]&gt;tbl_analysis_tickets[[#This Row],[First Response SLA Minutes]],"Breached","Within SLA")</f>
        <v>Within SLA</v>
      </c>
      <c r="O1200" t="str" cm="1">
        <f t="array" ref="O1200">_xlfn.IFS(
tbl_analysis_tickets[[#This Row],[agent_experience_years]]&lt;=2,"Junior",
tbl_analysis_tickets[[#This Row],[agent_experience_years]]&lt;=5,"Mid-Level",
tbl_analysis_tickets[[#This Row],[agent_experience_years]]&lt;=8,"Senior",
tbl_analysis_tickets[[#This Row],[agent_experience_years]]&gt;8,"Expert"
)</f>
        <v>Mid-Level</v>
      </c>
      <c r="P1200" cm="1">
        <f t="array" ref="P1200">_xlfn.SWITCH(tbl_analysis_tickets[[#This Row],[customer_satisfaction]],
"Low",1,
"Medium",2,
"High",3
)</f>
        <v>1</v>
      </c>
      <c r="Q1200">
        <f>IF(tbl_analysis_tickets[[#This Row],[reopened]]="Yes",1,0)</f>
        <v>0</v>
      </c>
      <c r="R1200" t="str" cm="1">
        <f t="array" ref="R1200">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200" t="str" cm="1">
        <f t="array" ref="S120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200" t="str">
        <f>TEXT(tbl_analysis_tickets[[#This Row],[created_date]],"mmm-yyyy")</f>
        <v>Dec-2024</v>
      </c>
      <c r="U1200" t="str">
        <f>TEXT(tbl_analysis_tickets[[#This Row],[created_date]],"dddd")</f>
        <v>Friday</v>
      </c>
      <c r="V1200" cm="1">
        <f t="array" ref="V1200">_xlfn.SWITCH(tbl_analysis_tickets[[#This Row],[priority]],
"Urgent",1,
"High",2,
"Medium",3,
"Low",4
)</f>
        <v>3</v>
      </c>
    </row>
    <row r="1201" spans="1:22" x14ac:dyDescent="0.25">
      <c r="A1201">
        <v>1200</v>
      </c>
      <c r="B1201" s="1">
        <v>45454</v>
      </c>
      <c r="C1201" t="s">
        <v>14</v>
      </c>
      <c r="D1201" t="s">
        <v>17</v>
      </c>
      <c r="E1201">
        <v>153</v>
      </c>
      <c r="F1201">
        <v>72</v>
      </c>
      <c r="G1201">
        <v>2.5</v>
      </c>
      <c r="H1201" t="s">
        <v>18</v>
      </c>
      <c r="I1201" t="s">
        <v>16</v>
      </c>
      <c r="J1201" t="s">
        <v>11</v>
      </c>
      <c r="K1201">
        <f>_xlfn.XLOOKUP(tbl_analysis_tickets[[#This Row],[priority]],tbl_sla[priority],tbl_sla[Resolution SLA Hours])</f>
        <v>8</v>
      </c>
      <c r="L1201">
        <f>_xlfn.XLOOKUP(tbl_analysis_tickets[[#This Row],[priority]],tbl_sla[priority],tbl_sla[First Response SLA Minutes])</f>
        <v>30</v>
      </c>
      <c r="M1201" t="str">
        <f>IF(tbl_analysis_tickets[[#This Row],[resolution_time_hours]]&gt;tbl_analysis_tickets[[#This Row],[Resolution SLA Hours]],"Breached","Within SLA")</f>
        <v>Breached</v>
      </c>
      <c r="N1201" t="str">
        <f>IF(tbl_analysis_tickets[[#This Row],[first_response_minutes]]&gt;tbl_analysis_tickets[[#This Row],[First Response SLA Minutes]],"Breached","Within SLA")</f>
        <v>Breached</v>
      </c>
      <c r="O1201" t="str" cm="1">
        <f t="array" ref="O1201">_xlfn.IFS(
tbl_analysis_tickets[[#This Row],[agent_experience_years]]&lt;=2,"Junior",
tbl_analysis_tickets[[#This Row],[agent_experience_years]]&lt;=5,"Mid-Level",
tbl_analysis_tickets[[#This Row],[agent_experience_years]]&lt;=8,"Senior",
tbl_analysis_tickets[[#This Row],[agent_experience_years]]&gt;8,"Expert"
)</f>
        <v>Mid-Level</v>
      </c>
      <c r="P1201" cm="1">
        <f t="array" ref="P1201">_xlfn.SWITCH(tbl_analysis_tickets[[#This Row],[customer_satisfaction]],
"Low",1,
"Medium",2,
"High",3
)</f>
        <v>1</v>
      </c>
      <c r="Q1201">
        <f>IF(tbl_analysis_tickets[[#This Row],[reopened]]="Yes",1,0)</f>
        <v>0</v>
      </c>
      <c r="R1201" t="str" cm="1">
        <f t="array" ref="R1201">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201" t="str" cm="1">
        <f t="array" ref="S120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201" t="str">
        <f>TEXT(tbl_analysis_tickets[[#This Row],[created_date]],"mmm-yyyy")</f>
        <v>Jun-2024</v>
      </c>
      <c r="U1201" t="str">
        <f>TEXT(tbl_analysis_tickets[[#This Row],[created_date]],"dddd")</f>
        <v>Tuesday</v>
      </c>
      <c r="V1201" cm="1">
        <f t="array" ref="V1201">_xlfn.SWITCH(tbl_analysis_tickets[[#This Row],[priority]],
"Urgent",1,
"High",2,
"Medium",3,
"Low",4
)</f>
        <v>1</v>
      </c>
    </row>
    <row r="1202" spans="1:22" x14ac:dyDescent="0.25">
      <c r="A1202">
        <v>1201</v>
      </c>
      <c r="B1202" s="1">
        <v>45541</v>
      </c>
      <c r="C1202" t="s">
        <v>10</v>
      </c>
      <c r="D1202" t="s">
        <v>20</v>
      </c>
      <c r="E1202">
        <v>229</v>
      </c>
      <c r="F1202">
        <v>46</v>
      </c>
      <c r="G1202">
        <v>2.2000000000000002</v>
      </c>
      <c r="H1202" t="s">
        <v>12</v>
      </c>
      <c r="I1202" t="s">
        <v>16</v>
      </c>
      <c r="J1202" t="s">
        <v>11</v>
      </c>
      <c r="K1202">
        <f>_xlfn.XLOOKUP(tbl_analysis_tickets[[#This Row],[priority]],tbl_sla[priority],tbl_sla[Resolution SLA Hours])</f>
        <v>24</v>
      </c>
      <c r="L1202">
        <f>_xlfn.XLOOKUP(tbl_analysis_tickets[[#This Row],[priority]],tbl_sla[priority],tbl_sla[First Response SLA Minutes])</f>
        <v>60</v>
      </c>
      <c r="M1202" t="str">
        <f>IF(tbl_analysis_tickets[[#This Row],[resolution_time_hours]]&gt;tbl_analysis_tickets[[#This Row],[Resolution SLA Hours]],"Breached","Within SLA")</f>
        <v>Breached</v>
      </c>
      <c r="N1202" t="str">
        <f>IF(tbl_analysis_tickets[[#This Row],[first_response_minutes]]&gt;tbl_analysis_tickets[[#This Row],[First Response SLA Minutes]],"Breached","Within SLA")</f>
        <v>Breached</v>
      </c>
      <c r="O1202" t="str" cm="1">
        <f t="array" ref="O1202">_xlfn.IFS(
tbl_analysis_tickets[[#This Row],[agent_experience_years]]&lt;=2,"Junior",
tbl_analysis_tickets[[#This Row],[agent_experience_years]]&lt;=5,"Mid-Level",
tbl_analysis_tickets[[#This Row],[agent_experience_years]]&lt;=8,"Senior",
tbl_analysis_tickets[[#This Row],[agent_experience_years]]&gt;8,"Expert"
)</f>
        <v>Mid-Level</v>
      </c>
      <c r="P1202" cm="1">
        <f t="array" ref="P1202">_xlfn.SWITCH(tbl_analysis_tickets[[#This Row],[customer_satisfaction]],
"Low",1,
"Medium",2,
"High",3
)</f>
        <v>1</v>
      </c>
      <c r="Q1202">
        <f>IF(tbl_analysis_tickets[[#This Row],[reopened]]="Yes",1,0)</f>
        <v>1</v>
      </c>
      <c r="R1202" t="str" cm="1">
        <f t="array" ref="R1202">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202" t="str" cm="1">
        <f t="array" ref="S120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202" t="str">
        <f>TEXT(tbl_analysis_tickets[[#This Row],[created_date]],"mmm-yyyy")</f>
        <v>Sep-2024</v>
      </c>
      <c r="U1202" t="str">
        <f>TEXT(tbl_analysis_tickets[[#This Row],[created_date]],"dddd")</f>
        <v>Friday</v>
      </c>
      <c r="V1202" cm="1">
        <f t="array" ref="V1202">_xlfn.SWITCH(tbl_analysis_tickets[[#This Row],[priority]],
"Urgent",1,
"High",2,
"Medium",3,
"Low",4
)</f>
        <v>2</v>
      </c>
    </row>
    <row r="1203" spans="1:22" x14ac:dyDescent="0.25">
      <c r="A1203">
        <v>1202</v>
      </c>
      <c r="B1203" s="1">
        <v>45564</v>
      </c>
      <c r="C1203" t="s">
        <v>21</v>
      </c>
      <c r="D1203" t="s">
        <v>17</v>
      </c>
      <c r="E1203">
        <v>200</v>
      </c>
      <c r="F1203">
        <v>62</v>
      </c>
      <c r="G1203">
        <v>2.2999999999999998</v>
      </c>
      <c r="H1203" t="s">
        <v>12</v>
      </c>
      <c r="I1203" t="s">
        <v>19</v>
      </c>
      <c r="J1203" t="s">
        <v>11</v>
      </c>
      <c r="K1203">
        <f>_xlfn.XLOOKUP(tbl_analysis_tickets[[#This Row],[priority]],tbl_sla[priority],tbl_sla[Resolution SLA Hours])</f>
        <v>8</v>
      </c>
      <c r="L1203">
        <f>_xlfn.XLOOKUP(tbl_analysis_tickets[[#This Row],[priority]],tbl_sla[priority],tbl_sla[First Response SLA Minutes])</f>
        <v>30</v>
      </c>
      <c r="M1203" t="str">
        <f>IF(tbl_analysis_tickets[[#This Row],[resolution_time_hours]]&gt;tbl_analysis_tickets[[#This Row],[Resolution SLA Hours]],"Breached","Within SLA")</f>
        <v>Breached</v>
      </c>
      <c r="N1203" t="str">
        <f>IF(tbl_analysis_tickets[[#This Row],[first_response_minutes]]&gt;tbl_analysis_tickets[[#This Row],[First Response SLA Minutes]],"Breached","Within SLA")</f>
        <v>Breached</v>
      </c>
      <c r="O1203" t="str" cm="1">
        <f t="array" ref="O1203">_xlfn.IFS(
tbl_analysis_tickets[[#This Row],[agent_experience_years]]&lt;=2,"Junior",
tbl_analysis_tickets[[#This Row],[agent_experience_years]]&lt;=5,"Mid-Level",
tbl_analysis_tickets[[#This Row],[agent_experience_years]]&lt;=8,"Senior",
tbl_analysis_tickets[[#This Row],[agent_experience_years]]&gt;8,"Expert"
)</f>
        <v>Mid-Level</v>
      </c>
      <c r="P1203" cm="1">
        <f t="array" ref="P1203">_xlfn.SWITCH(tbl_analysis_tickets[[#This Row],[customer_satisfaction]],
"Low",1,
"Medium",2,
"High",3
)</f>
        <v>1</v>
      </c>
      <c r="Q1203">
        <f>IF(tbl_analysis_tickets[[#This Row],[reopened]]="Yes",1,0)</f>
        <v>1</v>
      </c>
      <c r="R1203" t="str" cm="1">
        <f t="array" ref="R1203">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203" t="str" cm="1">
        <f t="array" ref="S120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203" t="str">
        <f>TEXT(tbl_analysis_tickets[[#This Row],[created_date]],"mmm-yyyy")</f>
        <v>Sep-2024</v>
      </c>
      <c r="U1203" t="str">
        <f>TEXT(tbl_analysis_tickets[[#This Row],[created_date]],"dddd")</f>
        <v>Sunday</v>
      </c>
      <c r="V1203" cm="1">
        <f t="array" ref="V1203">_xlfn.SWITCH(tbl_analysis_tickets[[#This Row],[priority]],
"Urgent",1,
"High",2,
"Medium",3,
"Low",4
)</f>
        <v>1</v>
      </c>
    </row>
    <row r="1204" spans="1:22" x14ac:dyDescent="0.25">
      <c r="A1204">
        <v>1203</v>
      </c>
      <c r="B1204" s="1">
        <v>45450</v>
      </c>
      <c r="C1204" t="s">
        <v>10</v>
      </c>
      <c r="D1204" t="s">
        <v>17</v>
      </c>
      <c r="E1204">
        <v>124</v>
      </c>
      <c r="F1204">
        <v>31</v>
      </c>
      <c r="G1204">
        <v>4.2</v>
      </c>
      <c r="H1204" t="s">
        <v>12</v>
      </c>
      <c r="I1204" t="s">
        <v>19</v>
      </c>
      <c r="J1204" t="s">
        <v>11</v>
      </c>
      <c r="K1204">
        <f>_xlfn.XLOOKUP(tbl_analysis_tickets[[#This Row],[priority]],tbl_sla[priority],tbl_sla[Resolution SLA Hours])</f>
        <v>8</v>
      </c>
      <c r="L1204">
        <f>_xlfn.XLOOKUP(tbl_analysis_tickets[[#This Row],[priority]],tbl_sla[priority],tbl_sla[First Response SLA Minutes])</f>
        <v>30</v>
      </c>
      <c r="M1204" t="str">
        <f>IF(tbl_analysis_tickets[[#This Row],[resolution_time_hours]]&gt;tbl_analysis_tickets[[#This Row],[Resolution SLA Hours]],"Breached","Within SLA")</f>
        <v>Breached</v>
      </c>
      <c r="N1204" t="str">
        <f>IF(tbl_analysis_tickets[[#This Row],[first_response_minutes]]&gt;tbl_analysis_tickets[[#This Row],[First Response SLA Minutes]],"Breached","Within SLA")</f>
        <v>Breached</v>
      </c>
      <c r="O1204" t="str" cm="1">
        <f t="array" ref="O1204">_xlfn.IFS(
tbl_analysis_tickets[[#This Row],[agent_experience_years]]&lt;=2,"Junior",
tbl_analysis_tickets[[#This Row],[agent_experience_years]]&lt;=5,"Mid-Level",
tbl_analysis_tickets[[#This Row],[agent_experience_years]]&lt;=8,"Senior",
tbl_analysis_tickets[[#This Row],[agent_experience_years]]&gt;8,"Expert"
)</f>
        <v>Mid-Level</v>
      </c>
      <c r="P1204" cm="1">
        <f t="array" ref="P1204">_xlfn.SWITCH(tbl_analysis_tickets[[#This Row],[customer_satisfaction]],
"Low",1,
"Medium",2,
"High",3
)</f>
        <v>1</v>
      </c>
      <c r="Q1204">
        <f>IF(tbl_analysis_tickets[[#This Row],[reopened]]="Yes",1,0)</f>
        <v>1</v>
      </c>
      <c r="R1204" t="str" cm="1">
        <f t="array" ref="R1204">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204" t="str" cm="1">
        <f t="array" ref="S120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204" t="str">
        <f>TEXT(tbl_analysis_tickets[[#This Row],[created_date]],"mmm-yyyy")</f>
        <v>Jun-2024</v>
      </c>
      <c r="U1204" t="str">
        <f>TEXT(tbl_analysis_tickets[[#This Row],[created_date]],"dddd")</f>
        <v>Friday</v>
      </c>
      <c r="V1204" cm="1">
        <f t="array" ref="V1204">_xlfn.SWITCH(tbl_analysis_tickets[[#This Row],[priority]],
"Urgent",1,
"High",2,
"Medium",3,
"Low",4
)</f>
        <v>1</v>
      </c>
    </row>
    <row r="1205" spans="1:22" x14ac:dyDescent="0.25">
      <c r="A1205">
        <v>1204</v>
      </c>
      <c r="B1205" s="1">
        <v>45523</v>
      </c>
      <c r="C1205" t="s">
        <v>14</v>
      </c>
      <c r="D1205" t="s">
        <v>17</v>
      </c>
      <c r="E1205">
        <v>97</v>
      </c>
      <c r="F1205">
        <v>68</v>
      </c>
      <c r="G1205">
        <v>8.4</v>
      </c>
      <c r="H1205" t="s">
        <v>12</v>
      </c>
      <c r="I1205" t="s">
        <v>13</v>
      </c>
      <c r="J1205" t="s">
        <v>11</v>
      </c>
      <c r="K1205">
        <f>_xlfn.XLOOKUP(tbl_analysis_tickets[[#This Row],[priority]],tbl_sla[priority],tbl_sla[Resolution SLA Hours])</f>
        <v>8</v>
      </c>
      <c r="L1205">
        <f>_xlfn.XLOOKUP(tbl_analysis_tickets[[#This Row],[priority]],tbl_sla[priority],tbl_sla[First Response SLA Minutes])</f>
        <v>30</v>
      </c>
      <c r="M1205" t="str">
        <f>IF(tbl_analysis_tickets[[#This Row],[resolution_time_hours]]&gt;tbl_analysis_tickets[[#This Row],[Resolution SLA Hours]],"Breached","Within SLA")</f>
        <v>Breached</v>
      </c>
      <c r="N1205" t="str">
        <f>IF(tbl_analysis_tickets[[#This Row],[first_response_minutes]]&gt;tbl_analysis_tickets[[#This Row],[First Response SLA Minutes]],"Breached","Within SLA")</f>
        <v>Breached</v>
      </c>
      <c r="O1205" t="str" cm="1">
        <f t="array" ref="O1205">_xlfn.IFS(
tbl_analysis_tickets[[#This Row],[agent_experience_years]]&lt;=2,"Junior",
tbl_analysis_tickets[[#This Row],[agent_experience_years]]&lt;=5,"Mid-Level",
tbl_analysis_tickets[[#This Row],[agent_experience_years]]&lt;=8,"Senior",
tbl_analysis_tickets[[#This Row],[agent_experience_years]]&gt;8,"Expert"
)</f>
        <v>Expert</v>
      </c>
      <c r="P1205" cm="1">
        <f t="array" ref="P1205">_xlfn.SWITCH(tbl_analysis_tickets[[#This Row],[customer_satisfaction]],
"Low",1,
"Medium",2,
"High",3
)</f>
        <v>1</v>
      </c>
      <c r="Q1205">
        <f>IF(tbl_analysis_tickets[[#This Row],[reopened]]="Yes",1,0)</f>
        <v>1</v>
      </c>
      <c r="R1205" t="str" cm="1">
        <f t="array" ref="R1205">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205" t="str" cm="1">
        <f t="array" ref="S120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205" t="str">
        <f>TEXT(tbl_analysis_tickets[[#This Row],[created_date]],"mmm-yyyy")</f>
        <v>Aug-2024</v>
      </c>
      <c r="U1205" t="str">
        <f>TEXT(tbl_analysis_tickets[[#This Row],[created_date]],"dddd")</f>
        <v>Monday</v>
      </c>
      <c r="V1205" cm="1">
        <f t="array" ref="V1205">_xlfn.SWITCH(tbl_analysis_tickets[[#This Row],[priority]],
"Urgent",1,
"High",2,
"Medium",3,
"Low",4
)</f>
        <v>1</v>
      </c>
    </row>
    <row r="1206" spans="1:22" x14ac:dyDescent="0.25">
      <c r="A1206">
        <v>1205</v>
      </c>
      <c r="B1206" s="1">
        <v>45656</v>
      </c>
      <c r="C1206" t="s">
        <v>21</v>
      </c>
      <c r="D1206" t="s">
        <v>17</v>
      </c>
      <c r="E1206">
        <v>43</v>
      </c>
      <c r="F1206">
        <v>1</v>
      </c>
      <c r="G1206">
        <v>5.0999999999999996</v>
      </c>
      <c r="H1206" t="s">
        <v>18</v>
      </c>
      <c r="I1206" t="s">
        <v>13</v>
      </c>
      <c r="J1206" t="s">
        <v>15</v>
      </c>
      <c r="K1206">
        <f>_xlfn.XLOOKUP(tbl_analysis_tickets[[#This Row],[priority]],tbl_sla[priority],tbl_sla[Resolution SLA Hours])</f>
        <v>8</v>
      </c>
      <c r="L1206">
        <f>_xlfn.XLOOKUP(tbl_analysis_tickets[[#This Row],[priority]],tbl_sla[priority],tbl_sla[First Response SLA Minutes])</f>
        <v>30</v>
      </c>
      <c r="M1206" t="str">
        <f>IF(tbl_analysis_tickets[[#This Row],[resolution_time_hours]]&gt;tbl_analysis_tickets[[#This Row],[Resolution SLA Hours]],"Breached","Within SLA")</f>
        <v>Within SLA</v>
      </c>
      <c r="N1206" t="str">
        <f>IF(tbl_analysis_tickets[[#This Row],[first_response_minutes]]&gt;tbl_analysis_tickets[[#This Row],[First Response SLA Minutes]],"Breached","Within SLA")</f>
        <v>Breached</v>
      </c>
      <c r="O1206" t="str" cm="1">
        <f t="array" ref="O1206">_xlfn.IFS(
tbl_analysis_tickets[[#This Row],[agent_experience_years]]&lt;=2,"Junior",
tbl_analysis_tickets[[#This Row],[agent_experience_years]]&lt;=5,"Mid-Level",
tbl_analysis_tickets[[#This Row],[agent_experience_years]]&lt;=8,"Senior",
tbl_analysis_tickets[[#This Row],[agent_experience_years]]&gt;8,"Expert"
)</f>
        <v>Senior</v>
      </c>
      <c r="P1206" cm="1">
        <f t="array" ref="P1206">_xlfn.SWITCH(tbl_analysis_tickets[[#This Row],[customer_satisfaction]],
"Low",1,
"Medium",2,
"High",3
)</f>
        <v>2</v>
      </c>
      <c r="Q1206">
        <f>IF(tbl_analysis_tickets[[#This Row],[reopened]]="Yes",1,0)</f>
        <v>0</v>
      </c>
      <c r="R1206" t="str" cm="1">
        <f t="array" ref="R1206">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206" t="str" cm="1">
        <f t="array" ref="S120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1206" t="str">
        <f>TEXT(tbl_analysis_tickets[[#This Row],[created_date]],"mmm-yyyy")</f>
        <v>Dec-2024</v>
      </c>
      <c r="U1206" t="str">
        <f>TEXT(tbl_analysis_tickets[[#This Row],[created_date]],"dddd")</f>
        <v>Monday</v>
      </c>
      <c r="V1206" cm="1">
        <f t="array" ref="V1206">_xlfn.SWITCH(tbl_analysis_tickets[[#This Row],[priority]],
"Urgent",1,
"High",2,
"Medium",3,
"Low",4
)</f>
        <v>1</v>
      </c>
    </row>
    <row r="1207" spans="1:22" x14ac:dyDescent="0.25">
      <c r="A1207">
        <v>1206</v>
      </c>
      <c r="B1207" s="1">
        <v>45422</v>
      </c>
      <c r="C1207" t="s">
        <v>22</v>
      </c>
      <c r="D1207" t="s">
        <v>17</v>
      </c>
      <c r="E1207">
        <v>165</v>
      </c>
      <c r="F1207">
        <v>9</v>
      </c>
      <c r="G1207">
        <v>7.4</v>
      </c>
      <c r="H1207" t="s">
        <v>12</v>
      </c>
      <c r="I1207" t="s">
        <v>19</v>
      </c>
      <c r="J1207" t="s">
        <v>11</v>
      </c>
      <c r="K1207">
        <f>_xlfn.XLOOKUP(tbl_analysis_tickets[[#This Row],[priority]],tbl_sla[priority],tbl_sla[Resolution SLA Hours])</f>
        <v>8</v>
      </c>
      <c r="L1207">
        <f>_xlfn.XLOOKUP(tbl_analysis_tickets[[#This Row],[priority]],tbl_sla[priority],tbl_sla[First Response SLA Minutes])</f>
        <v>30</v>
      </c>
      <c r="M1207" t="str">
        <f>IF(tbl_analysis_tickets[[#This Row],[resolution_time_hours]]&gt;tbl_analysis_tickets[[#This Row],[Resolution SLA Hours]],"Breached","Within SLA")</f>
        <v>Breached</v>
      </c>
      <c r="N1207" t="str">
        <f>IF(tbl_analysis_tickets[[#This Row],[first_response_minutes]]&gt;tbl_analysis_tickets[[#This Row],[First Response SLA Minutes]],"Breached","Within SLA")</f>
        <v>Breached</v>
      </c>
      <c r="O1207" t="str" cm="1">
        <f t="array" ref="O1207">_xlfn.IFS(
tbl_analysis_tickets[[#This Row],[agent_experience_years]]&lt;=2,"Junior",
tbl_analysis_tickets[[#This Row],[agent_experience_years]]&lt;=5,"Mid-Level",
tbl_analysis_tickets[[#This Row],[agent_experience_years]]&lt;=8,"Senior",
tbl_analysis_tickets[[#This Row],[agent_experience_years]]&gt;8,"Expert"
)</f>
        <v>Senior</v>
      </c>
      <c r="P1207" cm="1">
        <f t="array" ref="P1207">_xlfn.SWITCH(tbl_analysis_tickets[[#This Row],[customer_satisfaction]],
"Low",1,
"Medium",2,
"High",3
)</f>
        <v>1</v>
      </c>
      <c r="Q1207">
        <f>IF(tbl_analysis_tickets[[#This Row],[reopened]]="Yes",1,0)</f>
        <v>1</v>
      </c>
      <c r="R1207" t="str" cm="1">
        <f t="array" ref="R1207">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207" t="str" cm="1">
        <f t="array" ref="S120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207" t="str">
        <f>TEXT(tbl_analysis_tickets[[#This Row],[created_date]],"mmm-yyyy")</f>
        <v>May-2024</v>
      </c>
      <c r="U1207" t="str">
        <f>TEXT(tbl_analysis_tickets[[#This Row],[created_date]],"dddd")</f>
        <v>Friday</v>
      </c>
      <c r="V1207" cm="1">
        <f t="array" ref="V1207">_xlfn.SWITCH(tbl_analysis_tickets[[#This Row],[priority]],
"Urgent",1,
"High",2,
"Medium",3,
"Low",4
)</f>
        <v>1</v>
      </c>
    </row>
    <row r="1208" spans="1:22" x14ac:dyDescent="0.25">
      <c r="A1208">
        <v>1207</v>
      </c>
      <c r="B1208" s="1">
        <v>45646</v>
      </c>
      <c r="C1208" t="s">
        <v>23</v>
      </c>
      <c r="D1208" t="s">
        <v>15</v>
      </c>
      <c r="E1208">
        <v>78</v>
      </c>
      <c r="F1208">
        <v>54</v>
      </c>
      <c r="G1208">
        <v>8.6</v>
      </c>
      <c r="H1208" t="s">
        <v>18</v>
      </c>
      <c r="I1208" t="s">
        <v>16</v>
      </c>
      <c r="J1208" t="s">
        <v>15</v>
      </c>
      <c r="K1208">
        <f>_xlfn.XLOOKUP(tbl_analysis_tickets[[#This Row],[priority]],tbl_sla[priority],tbl_sla[Resolution SLA Hours])</f>
        <v>48</v>
      </c>
      <c r="L1208">
        <f>_xlfn.XLOOKUP(tbl_analysis_tickets[[#This Row],[priority]],tbl_sla[priority],tbl_sla[First Response SLA Minutes])</f>
        <v>120</v>
      </c>
      <c r="M1208" t="str">
        <f>IF(tbl_analysis_tickets[[#This Row],[resolution_time_hours]]&gt;tbl_analysis_tickets[[#This Row],[Resolution SLA Hours]],"Breached","Within SLA")</f>
        <v>Breached</v>
      </c>
      <c r="N1208" t="str">
        <f>IF(tbl_analysis_tickets[[#This Row],[first_response_minutes]]&gt;tbl_analysis_tickets[[#This Row],[First Response SLA Minutes]],"Breached","Within SLA")</f>
        <v>Within SLA</v>
      </c>
      <c r="O1208" t="str" cm="1">
        <f t="array" ref="O1208">_xlfn.IFS(
tbl_analysis_tickets[[#This Row],[agent_experience_years]]&lt;=2,"Junior",
tbl_analysis_tickets[[#This Row],[agent_experience_years]]&lt;=5,"Mid-Level",
tbl_analysis_tickets[[#This Row],[agent_experience_years]]&lt;=8,"Senior",
tbl_analysis_tickets[[#This Row],[agent_experience_years]]&gt;8,"Expert"
)</f>
        <v>Expert</v>
      </c>
      <c r="P1208" cm="1">
        <f t="array" ref="P1208">_xlfn.SWITCH(tbl_analysis_tickets[[#This Row],[customer_satisfaction]],
"Low",1,
"Medium",2,
"High",3
)</f>
        <v>2</v>
      </c>
      <c r="Q1208">
        <f>IF(tbl_analysis_tickets[[#This Row],[reopened]]="Yes",1,0)</f>
        <v>0</v>
      </c>
      <c r="R1208" t="str" cm="1">
        <f t="array" ref="R1208">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208" t="str" cm="1">
        <f t="array" ref="S120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208" t="str">
        <f>TEXT(tbl_analysis_tickets[[#This Row],[created_date]],"mmm-yyyy")</f>
        <v>Dec-2024</v>
      </c>
      <c r="U1208" t="str">
        <f>TEXT(tbl_analysis_tickets[[#This Row],[created_date]],"dddd")</f>
        <v>Friday</v>
      </c>
      <c r="V1208" cm="1">
        <f t="array" ref="V1208">_xlfn.SWITCH(tbl_analysis_tickets[[#This Row],[priority]],
"Urgent",1,
"High",2,
"Medium",3,
"Low",4
)</f>
        <v>3</v>
      </c>
    </row>
    <row r="1209" spans="1:22" x14ac:dyDescent="0.25">
      <c r="A1209">
        <v>1208</v>
      </c>
      <c r="B1209" s="1">
        <v>45439</v>
      </c>
      <c r="C1209" t="s">
        <v>23</v>
      </c>
      <c r="D1209" t="s">
        <v>17</v>
      </c>
      <c r="E1209">
        <v>124</v>
      </c>
      <c r="F1209">
        <v>68</v>
      </c>
      <c r="G1209">
        <v>7.9</v>
      </c>
      <c r="H1209" t="s">
        <v>18</v>
      </c>
      <c r="I1209" t="s">
        <v>13</v>
      </c>
      <c r="J1209" t="s">
        <v>11</v>
      </c>
      <c r="K1209">
        <f>_xlfn.XLOOKUP(tbl_analysis_tickets[[#This Row],[priority]],tbl_sla[priority],tbl_sla[Resolution SLA Hours])</f>
        <v>8</v>
      </c>
      <c r="L1209">
        <f>_xlfn.XLOOKUP(tbl_analysis_tickets[[#This Row],[priority]],tbl_sla[priority],tbl_sla[First Response SLA Minutes])</f>
        <v>30</v>
      </c>
      <c r="M1209" t="str">
        <f>IF(tbl_analysis_tickets[[#This Row],[resolution_time_hours]]&gt;tbl_analysis_tickets[[#This Row],[Resolution SLA Hours]],"Breached","Within SLA")</f>
        <v>Breached</v>
      </c>
      <c r="N1209" t="str">
        <f>IF(tbl_analysis_tickets[[#This Row],[first_response_minutes]]&gt;tbl_analysis_tickets[[#This Row],[First Response SLA Minutes]],"Breached","Within SLA")</f>
        <v>Breached</v>
      </c>
      <c r="O1209" t="str" cm="1">
        <f t="array" ref="O1209">_xlfn.IFS(
tbl_analysis_tickets[[#This Row],[agent_experience_years]]&lt;=2,"Junior",
tbl_analysis_tickets[[#This Row],[agent_experience_years]]&lt;=5,"Mid-Level",
tbl_analysis_tickets[[#This Row],[agent_experience_years]]&lt;=8,"Senior",
tbl_analysis_tickets[[#This Row],[agent_experience_years]]&gt;8,"Expert"
)</f>
        <v>Senior</v>
      </c>
      <c r="P1209" cm="1">
        <f t="array" ref="P1209">_xlfn.SWITCH(tbl_analysis_tickets[[#This Row],[customer_satisfaction]],
"Low",1,
"Medium",2,
"High",3
)</f>
        <v>1</v>
      </c>
      <c r="Q1209">
        <f>IF(tbl_analysis_tickets[[#This Row],[reopened]]="Yes",1,0)</f>
        <v>0</v>
      </c>
      <c r="R1209" t="str" cm="1">
        <f t="array" ref="R1209">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209" t="str" cm="1">
        <f t="array" ref="S120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209" t="str">
        <f>TEXT(tbl_analysis_tickets[[#This Row],[created_date]],"mmm-yyyy")</f>
        <v>May-2024</v>
      </c>
      <c r="U1209" t="str">
        <f>TEXT(tbl_analysis_tickets[[#This Row],[created_date]],"dddd")</f>
        <v>Monday</v>
      </c>
      <c r="V1209" cm="1">
        <f t="array" ref="V1209">_xlfn.SWITCH(tbl_analysis_tickets[[#This Row],[priority]],
"Urgent",1,
"High",2,
"Medium",3,
"Low",4
)</f>
        <v>1</v>
      </c>
    </row>
    <row r="1210" spans="1:22" x14ac:dyDescent="0.25">
      <c r="A1210">
        <v>1209</v>
      </c>
      <c r="B1210" s="1">
        <v>45294</v>
      </c>
      <c r="C1210" t="s">
        <v>21</v>
      </c>
      <c r="D1210" t="s">
        <v>11</v>
      </c>
      <c r="E1210">
        <v>180</v>
      </c>
      <c r="F1210">
        <v>72</v>
      </c>
      <c r="G1210">
        <v>2.2000000000000002</v>
      </c>
      <c r="H1210" t="s">
        <v>18</v>
      </c>
      <c r="I1210" t="s">
        <v>13</v>
      </c>
      <c r="J1210" t="s">
        <v>11</v>
      </c>
      <c r="K1210">
        <f>_xlfn.XLOOKUP(tbl_analysis_tickets[[#This Row],[priority]],tbl_sla[priority],tbl_sla[Resolution SLA Hours])</f>
        <v>72</v>
      </c>
      <c r="L1210">
        <f>_xlfn.XLOOKUP(tbl_analysis_tickets[[#This Row],[priority]],tbl_sla[priority],tbl_sla[First Response SLA Minutes])</f>
        <v>240</v>
      </c>
      <c r="M1210" t="str">
        <f>IF(tbl_analysis_tickets[[#This Row],[resolution_time_hours]]&gt;tbl_analysis_tickets[[#This Row],[Resolution SLA Hours]],"Breached","Within SLA")</f>
        <v>Within SLA</v>
      </c>
      <c r="N1210" t="str">
        <f>IF(tbl_analysis_tickets[[#This Row],[first_response_minutes]]&gt;tbl_analysis_tickets[[#This Row],[First Response SLA Minutes]],"Breached","Within SLA")</f>
        <v>Within SLA</v>
      </c>
      <c r="O1210" t="str" cm="1">
        <f t="array" ref="O1210">_xlfn.IFS(
tbl_analysis_tickets[[#This Row],[agent_experience_years]]&lt;=2,"Junior",
tbl_analysis_tickets[[#This Row],[agent_experience_years]]&lt;=5,"Mid-Level",
tbl_analysis_tickets[[#This Row],[agent_experience_years]]&lt;=8,"Senior",
tbl_analysis_tickets[[#This Row],[agent_experience_years]]&gt;8,"Expert"
)</f>
        <v>Mid-Level</v>
      </c>
      <c r="P1210" cm="1">
        <f t="array" ref="P1210">_xlfn.SWITCH(tbl_analysis_tickets[[#This Row],[customer_satisfaction]],
"Low",1,
"Medium",2,
"High",3
)</f>
        <v>1</v>
      </c>
      <c r="Q1210">
        <f>IF(tbl_analysis_tickets[[#This Row],[reopened]]="Yes",1,0)</f>
        <v>0</v>
      </c>
      <c r="R1210" t="str" cm="1">
        <f t="array" ref="R1210">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210" t="str" cm="1">
        <f t="array" ref="S121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210" t="str">
        <f>TEXT(tbl_analysis_tickets[[#This Row],[created_date]],"mmm-yyyy")</f>
        <v>Jan-2024</v>
      </c>
      <c r="U1210" t="str">
        <f>TEXT(tbl_analysis_tickets[[#This Row],[created_date]],"dddd")</f>
        <v>Wednesday</v>
      </c>
      <c r="V1210" cm="1">
        <f t="array" ref="V1210">_xlfn.SWITCH(tbl_analysis_tickets[[#This Row],[priority]],
"Urgent",1,
"High",2,
"Medium",3,
"Low",4
)</f>
        <v>4</v>
      </c>
    </row>
    <row r="1211" spans="1:22" x14ac:dyDescent="0.25">
      <c r="A1211">
        <v>1210</v>
      </c>
      <c r="B1211" s="1">
        <v>45329</v>
      </c>
      <c r="C1211" t="s">
        <v>23</v>
      </c>
      <c r="D1211" t="s">
        <v>15</v>
      </c>
      <c r="E1211">
        <v>163</v>
      </c>
      <c r="F1211">
        <v>35</v>
      </c>
      <c r="G1211">
        <v>6.9</v>
      </c>
      <c r="H1211" t="s">
        <v>18</v>
      </c>
      <c r="I1211" t="s">
        <v>16</v>
      </c>
      <c r="J1211" t="s">
        <v>15</v>
      </c>
      <c r="K1211">
        <f>_xlfn.XLOOKUP(tbl_analysis_tickets[[#This Row],[priority]],tbl_sla[priority],tbl_sla[Resolution SLA Hours])</f>
        <v>48</v>
      </c>
      <c r="L1211">
        <f>_xlfn.XLOOKUP(tbl_analysis_tickets[[#This Row],[priority]],tbl_sla[priority],tbl_sla[First Response SLA Minutes])</f>
        <v>120</v>
      </c>
      <c r="M1211" t="str">
        <f>IF(tbl_analysis_tickets[[#This Row],[resolution_time_hours]]&gt;tbl_analysis_tickets[[#This Row],[Resolution SLA Hours]],"Breached","Within SLA")</f>
        <v>Within SLA</v>
      </c>
      <c r="N1211" t="str">
        <f>IF(tbl_analysis_tickets[[#This Row],[first_response_minutes]]&gt;tbl_analysis_tickets[[#This Row],[First Response SLA Minutes]],"Breached","Within SLA")</f>
        <v>Breached</v>
      </c>
      <c r="O1211" t="str" cm="1">
        <f t="array" ref="O1211">_xlfn.IFS(
tbl_analysis_tickets[[#This Row],[agent_experience_years]]&lt;=2,"Junior",
tbl_analysis_tickets[[#This Row],[agent_experience_years]]&lt;=5,"Mid-Level",
tbl_analysis_tickets[[#This Row],[agent_experience_years]]&lt;=8,"Senior",
tbl_analysis_tickets[[#This Row],[agent_experience_years]]&gt;8,"Expert"
)</f>
        <v>Senior</v>
      </c>
      <c r="P1211" cm="1">
        <f t="array" ref="P1211">_xlfn.SWITCH(tbl_analysis_tickets[[#This Row],[customer_satisfaction]],
"Low",1,
"Medium",2,
"High",3
)</f>
        <v>2</v>
      </c>
      <c r="Q1211">
        <f>IF(tbl_analysis_tickets[[#This Row],[reopened]]="Yes",1,0)</f>
        <v>0</v>
      </c>
      <c r="R1211" t="str" cm="1">
        <f t="array" ref="R1211">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211" t="str" cm="1">
        <f t="array" ref="S121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211" t="str">
        <f>TEXT(tbl_analysis_tickets[[#This Row],[created_date]],"mmm-yyyy")</f>
        <v>Feb-2024</v>
      </c>
      <c r="U1211" t="str">
        <f>TEXT(tbl_analysis_tickets[[#This Row],[created_date]],"dddd")</f>
        <v>Wednesday</v>
      </c>
      <c r="V1211" cm="1">
        <f t="array" ref="V1211">_xlfn.SWITCH(tbl_analysis_tickets[[#This Row],[priority]],
"Urgent",1,
"High",2,
"Medium",3,
"Low",4
)</f>
        <v>3</v>
      </c>
    </row>
    <row r="1212" spans="1:22" x14ac:dyDescent="0.25">
      <c r="A1212">
        <v>1211</v>
      </c>
      <c r="B1212" s="1">
        <v>45449</v>
      </c>
      <c r="C1212" t="s">
        <v>22</v>
      </c>
      <c r="D1212" t="s">
        <v>20</v>
      </c>
      <c r="E1212">
        <v>187</v>
      </c>
      <c r="F1212">
        <v>71</v>
      </c>
      <c r="G1212">
        <v>9</v>
      </c>
      <c r="H1212" t="s">
        <v>18</v>
      </c>
      <c r="I1212" t="s">
        <v>13</v>
      </c>
      <c r="J1212" t="s">
        <v>11</v>
      </c>
      <c r="K1212">
        <f>_xlfn.XLOOKUP(tbl_analysis_tickets[[#This Row],[priority]],tbl_sla[priority],tbl_sla[Resolution SLA Hours])</f>
        <v>24</v>
      </c>
      <c r="L1212">
        <f>_xlfn.XLOOKUP(tbl_analysis_tickets[[#This Row],[priority]],tbl_sla[priority],tbl_sla[First Response SLA Minutes])</f>
        <v>60</v>
      </c>
      <c r="M1212" t="str">
        <f>IF(tbl_analysis_tickets[[#This Row],[resolution_time_hours]]&gt;tbl_analysis_tickets[[#This Row],[Resolution SLA Hours]],"Breached","Within SLA")</f>
        <v>Breached</v>
      </c>
      <c r="N1212" t="str">
        <f>IF(tbl_analysis_tickets[[#This Row],[first_response_minutes]]&gt;tbl_analysis_tickets[[#This Row],[First Response SLA Minutes]],"Breached","Within SLA")</f>
        <v>Breached</v>
      </c>
      <c r="O1212" t="str" cm="1">
        <f t="array" ref="O1212">_xlfn.IFS(
tbl_analysis_tickets[[#This Row],[agent_experience_years]]&lt;=2,"Junior",
tbl_analysis_tickets[[#This Row],[agent_experience_years]]&lt;=5,"Mid-Level",
tbl_analysis_tickets[[#This Row],[agent_experience_years]]&lt;=8,"Senior",
tbl_analysis_tickets[[#This Row],[agent_experience_years]]&gt;8,"Expert"
)</f>
        <v>Expert</v>
      </c>
      <c r="P1212" cm="1">
        <f t="array" ref="P1212">_xlfn.SWITCH(tbl_analysis_tickets[[#This Row],[customer_satisfaction]],
"Low",1,
"Medium",2,
"High",3
)</f>
        <v>1</v>
      </c>
      <c r="Q1212">
        <f>IF(tbl_analysis_tickets[[#This Row],[reopened]]="Yes",1,0)</f>
        <v>0</v>
      </c>
      <c r="R1212" t="str" cm="1">
        <f t="array" ref="R1212">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212" t="str" cm="1">
        <f t="array" ref="S121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212" t="str">
        <f>TEXT(tbl_analysis_tickets[[#This Row],[created_date]],"mmm-yyyy")</f>
        <v>Jun-2024</v>
      </c>
      <c r="U1212" t="str">
        <f>TEXT(tbl_analysis_tickets[[#This Row],[created_date]],"dddd")</f>
        <v>Thursday</v>
      </c>
      <c r="V1212" cm="1">
        <f t="array" ref="V1212">_xlfn.SWITCH(tbl_analysis_tickets[[#This Row],[priority]],
"Urgent",1,
"High",2,
"Medium",3,
"Low",4
)</f>
        <v>2</v>
      </c>
    </row>
    <row r="1213" spans="1:22" x14ac:dyDescent="0.25">
      <c r="A1213">
        <v>1212</v>
      </c>
      <c r="B1213" s="1">
        <v>45558</v>
      </c>
      <c r="C1213" t="s">
        <v>14</v>
      </c>
      <c r="D1213" t="s">
        <v>11</v>
      </c>
      <c r="E1213">
        <v>176</v>
      </c>
      <c r="F1213">
        <v>27</v>
      </c>
      <c r="G1213">
        <v>5.5</v>
      </c>
      <c r="H1213" t="s">
        <v>12</v>
      </c>
      <c r="I1213" t="s">
        <v>16</v>
      </c>
      <c r="J1213" t="s">
        <v>11</v>
      </c>
      <c r="K1213">
        <f>_xlfn.XLOOKUP(tbl_analysis_tickets[[#This Row],[priority]],tbl_sla[priority],tbl_sla[Resolution SLA Hours])</f>
        <v>72</v>
      </c>
      <c r="L1213">
        <f>_xlfn.XLOOKUP(tbl_analysis_tickets[[#This Row],[priority]],tbl_sla[priority],tbl_sla[First Response SLA Minutes])</f>
        <v>240</v>
      </c>
      <c r="M1213" t="str">
        <f>IF(tbl_analysis_tickets[[#This Row],[resolution_time_hours]]&gt;tbl_analysis_tickets[[#This Row],[Resolution SLA Hours]],"Breached","Within SLA")</f>
        <v>Within SLA</v>
      </c>
      <c r="N1213" t="str">
        <f>IF(tbl_analysis_tickets[[#This Row],[first_response_minutes]]&gt;tbl_analysis_tickets[[#This Row],[First Response SLA Minutes]],"Breached","Within SLA")</f>
        <v>Within SLA</v>
      </c>
      <c r="O1213" t="str" cm="1">
        <f t="array" ref="O1213">_xlfn.IFS(
tbl_analysis_tickets[[#This Row],[agent_experience_years]]&lt;=2,"Junior",
tbl_analysis_tickets[[#This Row],[agent_experience_years]]&lt;=5,"Mid-Level",
tbl_analysis_tickets[[#This Row],[agent_experience_years]]&lt;=8,"Senior",
tbl_analysis_tickets[[#This Row],[agent_experience_years]]&gt;8,"Expert"
)</f>
        <v>Senior</v>
      </c>
      <c r="P1213" cm="1">
        <f t="array" ref="P1213">_xlfn.SWITCH(tbl_analysis_tickets[[#This Row],[customer_satisfaction]],
"Low",1,
"Medium",2,
"High",3
)</f>
        <v>1</v>
      </c>
      <c r="Q1213">
        <f>IF(tbl_analysis_tickets[[#This Row],[reopened]]="Yes",1,0)</f>
        <v>1</v>
      </c>
      <c r="R1213" t="str" cm="1">
        <f t="array" ref="R1213">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213" t="str" cm="1">
        <f t="array" ref="S121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213" t="str">
        <f>TEXT(tbl_analysis_tickets[[#This Row],[created_date]],"mmm-yyyy")</f>
        <v>Sep-2024</v>
      </c>
      <c r="U1213" t="str">
        <f>TEXT(tbl_analysis_tickets[[#This Row],[created_date]],"dddd")</f>
        <v>Monday</v>
      </c>
      <c r="V1213" cm="1">
        <f t="array" ref="V1213">_xlfn.SWITCH(tbl_analysis_tickets[[#This Row],[priority]],
"Urgent",1,
"High",2,
"Medium",3,
"Low",4
)</f>
        <v>4</v>
      </c>
    </row>
    <row r="1214" spans="1:22" x14ac:dyDescent="0.25">
      <c r="A1214">
        <v>1213</v>
      </c>
      <c r="B1214" s="1">
        <v>45461</v>
      </c>
      <c r="C1214" t="s">
        <v>23</v>
      </c>
      <c r="D1214" t="s">
        <v>11</v>
      </c>
      <c r="E1214">
        <v>202</v>
      </c>
      <c r="F1214">
        <v>3</v>
      </c>
      <c r="G1214">
        <v>8.4</v>
      </c>
      <c r="H1214" t="s">
        <v>12</v>
      </c>
      <c r="I1214" t="s">
        <v>16</v>
      </c>
      <c r="J1214" t="s">
        <v>15</v>
      </c>
      <c r="K1214">
        <f>_xlfn.XLOOKUP(tbl_analysis_tickets[[#This Row],[priority]],tbl_sla[priority],tbl_sla[Resolution SLA Hours])</f>
        <v>72</v>
      </c>
      <c r="L1214">
        <f>_xlfn.XLOOKUP(tbl_analysis_tickets[[#This Row],[priority]],tbl_sla[priority],tbl_sla[First Response SLA Minutes])</f>
        <v>240</v>
      </c>
      <c r="M1214" t="str">
        <f>IF(tbl_analysis_tickets[[#This Row],[resolution_time_hours]]&gt;tbl_analysis_tickets[[#This Row],[Resolution SLA Hours]],"Breached","Within SLA")</f>
        <v>Within SLA</v>
      </c>
      <c r="N1214" t="str">
        <f>IF(tbl_analysis_tickets[[#This Row],[first_response_minutes]]&gt;tbl_analysis_tickets[[#This Row],[First Response SLA Minutes]],"Breached","Within SLA")</f>
        <v>Within SLA</v>
      </c>
      <c r="O1214" t="str" cm="1">
        <f t="array" ref="O1214">_xlfn.IFS(
tbl_analysis_tickets[[#This Row],[agent_experience_years]]&lt;=2,"Junior",
tbl_analysis_tickets[[#This Row],[agent_experience_years]]&lt;=5,"Mid-Level",
tbl_analysis_tickets[[#This Row],[agent_experience_years]]&lt;=8,"Senior",
tbl_analysis_tickets[[#This Row],[agent_experience_years]]&gt;8,"Expert"
)</f>
        <v>Expert</v>
      </c>
      <c r="P1214" cm="1">
        <f t="array" ref="P1214">_xlfn.SWITCH(tbl_analysis_tickets[[#This Row],[customer_satisfaction]],
"Low",1,
"Medium",2,
"High",3
)</f>
        <v>2</v>
      </c>
      <c r="Q1214">
        <f>IF(tbl_analysis_tickets[[#This Row],[reopened]]="Yes",1,0)</f>
        <v>1</v>
      </c>
      <c r="R1214" t="str" cm="1">
        <f t="array" ref="R1214">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214" t="str" cm="1">
        <f t="array" ref="S121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1214" t="str">
        <f>TEXT(tbl_analysis_tickets[[#This Row],[created_date]],"mmm-yyyy")</f>
        <v>Jun-2024</v>
      </c>
      <c r="U1214" t="str">
        <f>TEXT(tbl_analysis_tickets[[#This Row],[created_date]],"dddd")</f>
        <v>Tuesday</v>
      </c>
      <c r="V1214" cm="1">
        <f t="array" ref="V1214">_xlfn.SWITCH(tbl_analysis_tickets[[#This Row],[priority]],
"Urgent",1,
"High",2,
"Medium",3,
"Low",4
)</f>
        <v>4</v>
      </c>
    </row>
    <row r="1215" spans="1:22" x14ac:dyDescent="0.25">
      <c r="A1215">
        <v>1214</v>
      </c>
      <c r="B1215" s="1">
        <v>45371</v>
      </c>
      <c r="C1215" t="s">
        <v>21</v>
      </c>
      <c r="D1215" t="s">
        <v>20</v>
      </c>
      <c r="E1215">
        <v>212</v>
      </c>
      <c r="F1215">
        <v>5</v>
      </c>
      <c r="G1215">
        <v>9.3000000000000007</v>
      </c>
      <c r="H1215" t="s">
        <v>18</v>
      </c>
      <c r="I1215" t="s">
        <v>19</v>
      </c>
      <c r="J1215" t="s">
        <v>15</v>
      </c>
      <c r="K1215">
        <f>_xlfn.XLOOKUP(tbl_analysis_tickets[[#This Row],[priority]],tbl_sla[priority],tbl_sla[Resolution SLA Hours])</f>
        <v>24</v>
      </c>
      <c r="L1215">
        <f>_xlfn.XLOOKUP(tbl_analysis_tickets[[#This Row],[priority]],tbl_sla[priority],tbl_sla[First Response SLA Minutes])</f>
        <v>60</v>
      </c>
      <c r="M1215" t="str">
        <f>IF(tbl_analysis_tickets[[#This Row],[resolution_time_hours]]&gt;tbl_analysis_tickets[[#This Row],[Resolution SLA Hours]],"Breached","Within SLA")</f>
        <v>Within SLA</v>
      </c>
      <c r="N1215" t="str">
        <f>IF(tbl_analysis_tickets[[#This Row],[first_response_minutes]]&gt;tbl_analysis_tickets[[#This Row],[First Response SLA Minutes]],"Breached","Within SLA")</f>
        <v>Breached</v>
      </c>
      <c r="O1215" t="str" cm="1">
        <f t="array" ref="O1215">_xlfn.IFS(
tbl_analysis_tickets[[#This Row],[agent_experience_years]]&lt;=2,"Junior",
tbl_analysis_tickets[[#This Row],[agent_experience_years]]&lt;=5,"Mid-Level",
tbl_analysis_tickets[[#This Row],[agent_experience_years]]&lt;=8,"Senior",
tbl_analysis_tickets[[#This Row],[agent_experience_years]]&gt;8,"Expert"
)</f>
        <v>Expert</v>
      </c>
      <c r="P1215" cm="1">
        <f t="array" ref="P1215">_xlfn.SWITCH(tbl_analysis_tickets[[#This Row],[customer_satisfaction]],
"Low",1,
"Medium",2,
"High",3
)</f>
        <v>2</v>
      </c>
      <c r="Q1215">
        <f>IF(tbl_analysis_tickets[[#This Row],[reopened]]="Yes",1,0)</f>
        <v>0</v>
      </c>
      <c r="R1215" t="str" cm="1">
        <f t="array" ref="R1215">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215" t="str" cm="1">
        <f t="array" ref="S121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1215" t="str">
        <f>TEXT(tbl_analysis_tickets[[#This Row],[created_date]],"mmm-yyyy")</f>
        <v>Mar-2024</v>
      </c>
      <c r="U1215" t="str">
        <f>TEXT(tbl_analysis_tickets[[#This Row],[created_date]],"dddd")</f>
        <v>Wednesday</v>
      </c>
      <c r="V1215" cm="1">
        <f t="array" ref="V1215">_xlfn.SWITCH(tbl_analysis_tickets[[#This Row],[priority]],
"Urgent",1,
"High",2,
"Medium",3,
"Low",4
)</f>
        <v>2</v>
      </c>
    </row>
    <row r="1216" spans="1:22" x14ac:dyDescent="0.25">
      <c r="A1216">
        <v>1215</v>
      </c>
      <c r="B1216" s="1">
        <v>45376</v>
      </c>
      <c r="C1216" t="s">
        <v>14</v>
      </c>
      <c r="D1216" t="s">
        <v>17</v>
      </c>
      <c r="E1216">
        <v>23</v>
      </c>
      <c r="F1216">
        <v>42</v>
      </c>
      <c r="G1216">
        <v>3.1</v>
      </c>
      <c r="H1216" t="s">
        <v>12</v>
      </c>
      <c r="I1216" t="s">
        <v>16</v>
      </c>
      <c r="J1216" t="s">
        <v>11</v>
      </c>
      <c r="K1216">
        <f>_xlfn.XLOOKUP(tbl_analysis_tickets[[#This Row],[priority]],tbl_sla[priority],tbl_sla[Resolution SLA Hours])</f>
        <v>8</v>
      </c>
      <c r="L1216">
        <f>_xlfn.XLOOKUP(tbl_analysis_tickets[[#This Row],[priority]],tbl_sla[priority],tbl_sla[First Response SLA Minutes])</f>
        <v>30</v>
      </c>
      <c r="M1216" t="str">
        <f>IF(tbl_analysis_tickets[[#This Row],[resolution_time_hours]]&gt;tbl_analysis_tickets[[#This Row],[Resolution SLA Hours]],"Breached","Within SLA")</f>
        <v>Breached</v>
      </c>
      <c r="N1216" t="str">
        <f>IF(tbl_analysis_tickets[[#This Row],[first_response_minutes]]&gt;tbl_analysis_tickets[[#This Row],[First Response SLA Minutes]],"Breached","Within SLA")</f>
        <v>Within SLA</v>
      </c>
      <c r="O1216" t="str" cm="1">
        <f t="array" ref="O1216">_xlfn.IFS(
tbl_analysis_tickets[[#This Row],[agent_experience_years]]&lt;=2,"Junior",
tbl_analysis_tickets[[#This Row],[agent_experience_years]]&lt;=5,"Mid-Level",
tbl_analysis_tickets[[#This Row],[agent_experience_years]]&lt;=8,"Senior",
tbl_analysis_tickets[[#This Row],[agent_experience_years]]&gt;8,"Expert"
)</f>
        <v>Mid-Level</v>
      </c>
      <c r="P1216" cm="1">
        <f t="array" ref="P1216">_xlfn.SWITCH(tbl_analysis_tickets[[#This Row],[customer_satisfaction]],
"Low",1,
"Medium",2,
"High",3
)</f>
        <v>1</v>
      </c>
      <c r="Q1216">
        <f>IF(tbl_analysis_tickets[[#This Row],[reopened]]="Yes",1,0)</f>
        <v>1</v>
      </c>
      <c r="R1216" t="str" cm="1">
        <f t="array" ref="R1216">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1216" t="str" cm="1">
        <f t="array" ref="S121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216" t="str">
        <f>TEXT(tbl_analysis_tickets[[#This Row],[created_date]],"mmm-yyyy")</f>
        <v>Mar-2024</v>
      </c>
      <c r="U1216" t="str">
        <f>TEXT(tbl_analysis_tickets[[#This Row],[created_date]],"dddd")</f>
        <v>Monday</v>
      </c>
      <c r="V1216" cm="1">
        <f t="array" ref="V1216">_xlfn.SWITCH(tbl_analysis_tickets[[#This Row],[priority]],
"Urgent",1,
"High",2,
"Medium",3,
"Low",4
)</f>
        <v>1</v>
      </c>
    </row>
    <row r="1217" spans="1:22" x14ac:dyDescent="0.25">
      <c r="A1217">
        <v>1216</v>
      </c>
      <c r="B1217" s="1">
        <v>45432</v>
      </c>
      <c r="C1217" t="s">
        <v>23</v>
      </c>
      <c r="D1217" t="s">
        <v>17</v>
      </c>
      <c r="E1217">
        <v>35</v>
      </c>
      <c r="F1217">
        <v>45</v>
      </c>
      <c r="G1217">
        <v>4.5999999999999996</v>
      </c>
      <c r="H1217" t="s">
        <v>12</v>
      </c>
      <c r="I1217" t="s">
        <v>16</v>
      </c>
      <c r="J1217" t="s">
        <v>11</v>
      </c>
      <c r="K1217">
        <f>_xlfn.XLOOKUP(tbl_analysis_tickets[[#This Row],[priority]],tbl_sla[priority],tbl_sla[Resolution SLA Hours])</f>
        <v>8</v>
      </c>
      <c r="L1217">
        <f>_xlfn.XLOOKUP(tbl_analysis_tickets[[#This Row],[priority]],tbl_sla[priority],tbl_sla[First Response SLA Minutes])</f>
        <v>30</v>
      </c>
      <c r="M1217" t="str">
        <f>IF(tbl_analysis_tickets[[#This Row],[resolution_time_hours]]&gt;tbl_analysis_tickets[[#This Row],[Resolution SLA Hours]],"Breached","Within SLA")</f>
        <v>Breached</v>
      </c>
      <c r="N1217" t="str">
        <f>IF(tbl_analysis_tickets[[#This Row],[first_response_minutes]]&gt;tbl_analysis_tickets[[#This Row],[First Response SLA Minutes]],"Breached","Within SLA")</f>
        <v>Breached</v>
      </c>
      <c r="O1217" t="str" cm="1">
        <f t="array" ref="O1217">_xlfn.IFS(
tbl_analysis_tickets[[#This Row],[agent_experience_years]]&lt;=2,"Junior",
tbl_analysis_tickets[[#This Row],[agent_experience_years]]&lt;=5,"Mid-Level",
tbl_analysis_tickets[[#This Row],[agent_experience_years]]&lt;=8,"Senior",
tbl_analysis_tickets[[#This Row],[agent_experience_years]]&gt;8,"Expert"
)</f>
        <v>Mid-Level</v>
      </c>
      <c r="P1217" cm="1">
        <f t="array" ref="P1217">_xlfn.SWITCH(tbl_analysis_tickets[[#This Row],[customer_satisfaction]],
"Low",1,
"Medium",2,
"High",3
)</f>
        <v>1</v>
      </c>
      <c r="Q1217">
        <f>IF(tbl_analysis_tickets[[#This Row],[reopened]]="Yes",1,0)</f>
        <v>1</v>
      </c>
      <c r="R1217" t="str" cm="1">
        <f t="array" ref="R1217">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217" t="str" cm="1">
        <f t="array" ref="S121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217" t="str">
        <f>TEXT(tbl_analysis_tickets[[#This Row],[created_date]],"mmm-yyyy")</f>
        <v>May-2024</v>
      </c>
      <c r="U1217" t="str">
        <f>TEXT(tbl_analysis_tickets[[#This Row],[created_date]],"dddd")</f>
        <v>Monday</v>
      </c>
      <c r="V1217" cm="1">
        <f t="array" ref="V1217">_xlfn.SWITCH(tbl_analysis_tickets[[#This Row],[priority]],
"Urgent",1,
"High",2,
"Medium",3,
"Low",4
)</f>
        <v>1</v>
      </c>
    </row>
    <row r="1218" spans="1:22" x14ac:dyDescent="0.25">
      <c r="A1218">
        <v>1217</v>
      </c>
      <c r="B1218" s="1">
        <v>45654</v>
      </c>
      <c r="C1218" t="s">
        <v>14</v>
      </c>
      <c r="D1218" t="s">
        <v>20</v>
      </c>
      <c r="E1218">
        <v>64</v>
      </c>
      <c r="F1218">
        <v>48</v>
      </c>
      <c r="G1218">
        <v>7.8</v>
      </c>
      <c r="H1218" t="s">
        <v>18</v>
      </c>
      <c r="I1218" t="s">
        <v>16</v>
      </c>
      <c r="J1218" t="s">
        <v>11</v>
      </c>
      <c r="K1218">
        <f>_xlfn.XLOOKUP(tbl_analysis_tickets[[#This Row],[priority]],tbl_sla[priority],tbl_sla[Resolution SLA Hours])</f>
        <v>24</v>
      </c>
      <c r="L1218">
        <f>_xlfn.XLOOKUP(tbl_analysis_tickets[[#This Row],[priority]],tbl_sla[priority],tbl_sla[First Response SLA Minutes])</f>
        <v>60</v>
      </c>
      <c r="M1218" t="str">
        <f>IF(tbl_analysis_tickets[[#This Row],[resolution_time_hours]]&gt;tbl_analysis_tickets[[#This Row],[Resolution SLA Hours]],"Breached","Within SLA")</f>
        <v>Breached</v>
      </c>
      <c r="N1218" t="str">
        <f>IF(tbl_analysis_tickets[[#This Row],[first_response_minutes]]&gt;tbl_analysis_tickets[[#This Row],[First Response SLA Minutes]],"Breached","Within SLA")</f>
        <v>Breached</v>
      </c>
      <c r="O1218" t="str" cm="1">
        <f t="array" ref="O1218">_xlfn.IFS(
tbl_analysis_tickets[[#This Row],[agent_experience_years]]&lt;=2,"Junior",
tbl_analysis_tickets[[#This Row],[agent_experience_years]]&lt;=5,"Mid-Level",
tbl_analysis_tickets[[#This Row],[agent_experience_years]]&lt;=8,"Senior",
tbl_analysis_tickets[[#This Row],[agent_experience_years]]&gt;8,"Expert"
)</f>
        <v>Senior</v>
      </c>
      <c r="P1218" cm="1">
        <f t="array" ref="P1218">_xlfn.SWITCH(tbl_analysis_tickets[[#This Row],[customer_satisfaction]],
"Low",1,
"Medium",2,
"High",3
)</f>
        <v>1</v>
      </c>
      <c r="Q1218">
        <f>IF(tbl_analysis_tickets[[#This Row],[reopened]]="Yes",1,0)</f>
        <v>0</v>
      </c>
      <c r="R1218" t="str" cm="1">
        <f t="array" ref="R1218">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218" t="str" cm="1">
        <f t="array" ref="S121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218" t="str">
        <f>TEXT(tbl_analysis_tickets[[#This Row],[created_date]],"mmm-yyyy")</f>
        <v>Dec-2024</v>
      </c>
      <c r="U1218" t="str">
        <f>TEXT(tbl_analysis_tickets[[#This Row],[created_date]],"dddd")</f>
        <v>Saturday</v>
      </c>
      <c r="V1218" cm="1">
        <f t="array" ref="V1218">_xlfn.SWITCH(tbl_analysis_tickets[[#This Row],[priority]],
"Urgent",1,
"High",2,
"Medium",3,
"Low",4
)</f>
        <v>2</v>
      </c>
    </row>
    <row r="1219" spans="1:22" x14ac:dyDescent="0.25">
      <c r="A1219">
        <v>1218</v>
      </c>
      <c r="B1219" s="1">
        <v>45371</v>
      </c>
      <c r="C1219" t="s">
        <v>22</v>
      </c>
      <c r="D1219" t="s">
        <v>15</v>
      </c>
      <c r="E1219">
        <v>168</v>
      </c>
      <c r="F1219">
        <v>1</v>
      </c>
      <c r="G1219">
        <v>1</v>
      </c>
      <c r="H1219" t="s">
        <v>12</v>
      </c>
      <c r="I1219" t="s">
        <v>19</v>
      </c>
      <c r="J1219" t="s">
        <v>15</v>
      </c>
      <c r="K1219">
        <f>_xlfn.XLOOKUP(tbl_analysis_tickets[[#This Row],[priority]],tbl_sla[priority],tbl_sla[Resolution SLA Hours])</f>
        <v>48</v>
      </c>
      <c r="L1219">
        <f>_xlfn.XLOOKUP(tbl_analysis_tickets[[#This Row],[priority]],tbl_sla[priority],tbl_sla[First Response SLA Minutes])</f>
        <v>120</v>
      </c>
      <c r="M1219" t="str">
        <f>IF(tbl_analysis_tickets[[#This Row],[resolution_time_hours]]&gt;tbl_analysis_tickets[[#This Row],[Resolution SLA Hours]],"Breached","Within SLA")</f>
        <v>Within SLA</v>
      </c>
      <c r="N1219" t="str">
        <f>IF(tbl_analysis_tickets[[#This Row],[first_response_minutes]]&gt;tbl_analysis_tickets[[#This Row],[First Response SLA Minutes]],"Breached","Within SLA")</f>
        <v>Breached</v>
      </c>
      <c r="O1219" t="str" cm="1">
        <f t="array" ref="O1219">_xlfn.IFS(
tbl_analysis_tickets[[#This Row],[agent_experience_years]]&lt;=2,"Junior",
tbl_analysis_tickets[[#This Row],[agent_experience_years]]&lt;=5,"Mid-Level",
tbl_analysis_tickets[[#This Row],[agent_experience_years]]&lt;=8,"Senior",
tbl_analysis_tickets[[#This Row],[agent_experience_years]]&gt;8,"Expert"
)</f>
        <v>Junior</v>
      </c>
      <c r="P1219" cm="1">
        <f t="array" ref="P1219">_xlfn.SWITCH(tbl_analysis_tickets[[#This Row],[customer_satisfaction]],
"Low",1,
"Medium",2,
"High",3
)</f>
        <v>2</v>
      </c>
      <c r="Q1219">
        <f>IF(tbl_analysis_tickets[[#This Row],[reopened]]="Yes",1,0)</f>
        <v>1</v>
      </c>
      <c r="R1219" t="str" cm="1">
        <f t="array" ref="R1219">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219" t="str" cm="1">
        <f t="array" ref="S121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1219" t="str">
        <f>TEXT(tbl_analysis_tickets[[#This Row],[created_date]],"mmm-yyyy")</f>
        <v>Mar-2024</v>
      </c>
      <c r="U1219" t="str">
        <f>TEXT(tbl_analysis_tickets[[#This Row],[created_date]],"dddd")</f>
        <v>Wednesday</v>
      </c>
      <c r="V1219" cm="1">
        <f t="array" ref="V1219">_xlfn.SWITCH(tbl_analysis_tickets[[#This Row],[priority]],
"Urgent",1,
"High",2,
"Medium",3,
"Low",4
)</f>
        <v>3</v>
      </c>
    </row>
    <row r="1220" spans="1:22" x14ac:dyDescent="0.25">
      <c r="A1220">
        <v>1219</v>
      </c>
      <c r="B1220" s="1">
        <v>45479</v>
      </c>
      <c r="C1220" t="s">
        <v>22</v>
      </c>
      <c r="D1220" t="s">
        <v>11</v>
      </c>
      <c r="E1220">
        <v>142</v>
      </c>
      <c r="F1220">
        <v>26</v>
      </c>
      <c r="G1220">
        <v>0.6</v>
      </c>
      <c r="H1220" t="s">
        <v>18</v>
      </c>
      <c r="I1220" t="s">
        <v>19</v>
      </c>
      <c r="J1220" t="s">
        <v>11</v>
      </c>
      <c r="K1220">
        <f>_xlfn.XLOOKUP(tbl_analysis_tickets[[#This Row],[priority]],tbl_sla[priority],tbl_sla[Resolution SLA Hours])</f>
        <v>72</v>
      </c>
      <c r="L1220">
        <f>_xlfn.XLOOKUP(tbl_analysis_tickets[[#This Row],[priority]],tbl_sla[priority],tbl_sla[First Response SLA Minutes])</f>
        <v>240</v>
      </c>
      <c r="M1220" t="str">
        <f>IF(tbl_analysis_tickets[[#This Row],[resolution_time_hours]]&gt;tbl_analysis_tickets[[#This Row],[Resolution SLA Hours]],"Breached","Within SLA")</f>
        <v>Within SLA</v>
      </c>
      <c r="N1220" t="str">
        <f>IF(tbl_analysis_tickets[[#This Row],[first_response_minutes]]&gt;tbl_analysis_tickets[[#This Row],[First Response SLA Minutes]],"Breached","Within SLA")</f>
        <v>Within SLA</v>
      </c>
      <c r="O1220" t="str" cm="1">
        <f t="array" ref="O1220">_xlfn.IFS(
tbl_analysis_tickets[[#This Row],[agent_experience_years]]&lt;=2,"Junior",
tbl_analysis_tickets[[#This Row],[agent_experience_years]]&lt;=5,"Mid-Level",
tbl_analysis_tickets[[#This Row],[agent_experience_years]]&lt;=8,"Senior",
tbl_analysis_tickets[[#This Row],[agent_experience_years]]&gt;8,"Expert"
)</f>
        <v>Junior</v>
      </c>
      <c r="P1220" cm="1">
        <f t="array" ref="P1220">_xlfn.SWITCH(tbl_analysis_tickets[[#This Row],[customer_satisfaction]],
"Low",1,
"Medium",2,
"High",3
)</f>
        <v>1</v>
      </c>
      <c r="Q1220">
        <f>IF(tbl_analysis_tickets[[#This Row],[reopened]]="Yes",1,0)</f>
        <v>0</v>
      </c>
      <c r="R1220" t="str" cm="1">
        <f t="array" ref="R1220">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220" t="str" cm="1">
        <f t="array" ref="S122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220" t="str">
        <f>TEXT(tbl_analysis_tickets[[#This Row],[created_date]],"mmm-yyyy")</f>
        <v>Jul-2024</v>
      </c>
      <c r="U1220" t="str">
        <f>TEXT(tbl_analysis_tickets[[#This Row],[created_date]],"dddd")</f>
        <v>Saturday</v>
      </c>
      <c r="V1220" cm="1">
        <f t="array" ref="V1220">_xlfn.SWITCH(tbl_analysis_tickets[[#This Row],[priority]],
"Urgent",1,
"High",2,
"Medium",3,
"Low",4
)</f>
        <v>4</v>
      </c>
    </row>
    <row r="1221" spans="1:22" x14ac:dyDescent="0.25">
      <c r="A1221">
        <v>1220</v>
      </c>
      <c r="B1221" s="1">
        <v>45439</v>
      </c>
      <c r="C1221" t="s">
        <v>22</v>
      </c>
      <c r="D1221" t="s">
        <v>15</v>
      </c>
      <c r="E1221">
        <v>209</v>
      </c>
      <c r="F1221">
        <v>13</v>
      </c>
      <c r="G1221">
        <v>5.8</v>
      </c>
      <c r="H1221" t="s">
        <v>12</v>
      </c>
      <c r="I1221" t="s">
        <v>16</v>
      </c>
      <c r="J1221" t="s">
        <v>11</v>
      </c>
      <c r="K1221">
        <f>_xlfn.XLOOKUP(tbl_analysis_tickets[[#This Row],[priority]],tbl_sla[priority],tbl_sla[Resolution SLA Hours])</f>
        <v>48</v>
      </c>
      <c r="L1221">
        <f>_xlfn.XLOOKUP(tbl_analysis_tickets[[#This Row],[priority]],tbl_sla[priority],tbl_sla[First Response SLA Minutes])</f>
        <v>120</v>
      </c>
      <c r="M1221" t="str">
        <f>IF(tbl_analysis_tickets[[#This Row],[resolution_time_hours]]&gt;tbl_analysis_tickets[[#This Row],[Resolution SLA Hours]],"Breached","Within SLA")</f>
        <v>Within SLA</v>
      </c>
      <c r="N1221" t="str">
        <f>IF(tbl_analysis_tickets[[#This Row],[first_response_minutes]]&gt;tbl_analysis_tickets[[#This Row],[First Response SLA Minutes]],"Breached","Within SLA")</f>
        <v>Breached</v>
      </c>
      <c r="O1221" t="str" cm="1">
        <f t="array" ref="O1221">_xlfn.IFS(
tbl_analysis_tickets[[#This Row],[agent_experience_years]]&lt;=2,"Junior",
tbl_analysis_tickets[[#This Row],[agent_experience_years]]&lt;=5,"Mid-Level",
tbl_analysis_tickets[[#This Row],[agent_experience_years]]&lt;=8,"Senior",
tbl_analysis_tickets[[#This Row],[agent_experience_years]]&gt;8,"Expert"
)</f>
        <v>Senior</v>
      </c>
      <c r="P1221" cm="1">
        <f t="array" ref="P1221">_xlfn.SWITCH(tbl_analysis_tickets[[#This Row],[customer_satisfaction]],
"Low",1,
"Medium",2,
"High",3
)</f>
        <v>1</v>
      </c>
      <c r="Q1221">
        <f>IF(tbl_analysis_tickets[[#This Row],[reopened]]="Yes",1,0)</f>
        <v>1</v>
      </c>
      <c r="R1221" t="str" cm="1">
        <f t="array" ref="R1221">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221" t="str" cm="1">
        <f t="array" ref="S122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221" t="str">
        <f>TEXT(tbl_analysis_tickets[[#This Row],[created_date]],"mmm-yyyy")</f>
        <v>May-2024</v>
      </c>
      <c r="U1221" t="str">
        <f>TEXT(tbl_analysis_tickets[[#This Row],[created_date]],"dddd")</f>
        <v>Monday</v>
      </c>
      <c r="V1221" cm="1">
        <f t="array" ref="V1221">_xlfn.SWITCH(tbl_analysis_tickets[[#This Row],[priority]],
"Urgent",1,
"High",2,
"Medium",3,
"Low",4
)</f>
        <v>3</v>
      </c>
    </row>
    <row r="1222" spans="1:22" x14ac:dyDescent="0.25">
      <c r="A1222">
        <v>1221</v>
      </c>
      <c r="B1222" s="1">
        <v>45507</v>
      </c>
      <c r="C1222" t="s">
        <v>21</v>
      </c>
      <c r="D1222" t="s">
        <v>11</v>
      </c>
      <c r="E1222">
        <v>88</v>
      </c>
      <c r="F1222">
        <v>9</v>
      </c>
      <c r="G1222">
        <v>1.8</v>
      </c>
      <c r="H1222" t="s">
        <v>18</v>
      </c>
      <c r="I1222" t="s">
        <v>19</v>
      </c>
      <c r="J1222" t="s">
        <v>11</v>
      </c>
      <c r="K1222">
        <f>_xlfn.XLOOKUP(tbl_analysis_tickets[[#This Row],[priority]],tbl_sla[priority],tbl_sla[Resolution SLA Hours])</f>
        <v>72</v>
      </c>
      <c r="L1222">
        <f>_xlfn.XLOOKUP(tbl_analysis_tickets[[#This Row],[priority]],tbl_sla[priority],tbl_sla[First Response SLA Minutes])</f>
        <v>240</v>
      </c>
      <c r="M1222" t="str">
        <f>IF(tbl_analysis_tickets[[#This Row],[resolution_time_hours]]&gt;tbl_analysis_tickets[[#This Row],[Resolution SLA Hours]],"Breached","Within SLA")</f>
        <v>Within SLA</v>
      </c>
      <c r="N1222" t="str">
        <f>IF(tbl_analysis_tickets[[#This Row],[first_response_minutes]]&gt;tbl_analysis_tickets[[#This Row],[First Response SLA Minutes]],"Breached","Within SLA")</f>
        <v>Within SLA</v>
      </c>
      <c r="O1222" t="str" cm="1">
        <f t="array" ref="O1222">_xlfn.IFS(
tbl_analysis_tickets[[#This Row],[agent_experience_years]]&lt;=2,"Junior",
tbl_analysis_tickets[[#This Row],[agent_experience_years]]&lt;=5,"Mid-Level",
tbl_analysis_tickets[[#This Row],[agent_experience_years]]&lt;=8,"Senior",
tbl_analysis_tickets[[#This Row],[agent_experience_years]]&gt;8,"Expert"
)</f>
        <v>Junior</v>
      </c>
      <c r="P1222" cm="1">
        <f t="array" ref="P1222">_xlfn.SWITCH(tbl_analysis_tickets[[#This Row],[customer_satisfaction]],
"Low",1,
"Medium",2,
"High",3
)</f>
        <v>1</v>
      </c>
      <c r="Q1222">
        <f>IF(tbl_analysis_tickets[[#This Row],[reopened]]="Yes",1,0)</f>
        <v>0</v>
      </c>
      <c r="R1222" t="str" cm="1">
        <f t="array" ref="R1222">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222" t="str" cm="1">
        <f t="array" ref="S122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222" t="str">
        <f>TEXT(tbl_analysis_tickets[[#This Row],[created_date]],"mmm-yyyy")</f>
        <v>Aug-2024</v>
      </c>
      <c r="U1222" t="str">
        <f>TEXT(tbl_analysis_tickets[[#This Row],[created_date]],"dddd")</f>
        <v>Saturday</v>
      </c>
      <c r="V1222" cm="1">
        <f t="array" ref="V1222">_xlfn.SWITCH(tbl_analysis_tickets[[#This Row],[priority]],
"Urgent",1,
"High",2,
"Medium",3,
"Low",4
)</f>
        <v>4</v>
      </c>
    </row>
    <row r="1223" spans="1:22" x14ac:dyDescent="0.25">
      <c r="A1223">
        <v>1222</v>
      </c>
      <c r="B1223" s="1">
        <v>45429</v>
      </c>
      <c r="C1223" t="s">
        <v>23</v>
      </c>
      <c r="D1223" t="s">
        <v>15</v>
      </c>
      <c r="E1223">
        <v>169</v>
      </c>
      <c r="F1223">
        <v>40</v>
      </c>
      <c r="G1223">
        <v>6.2</v>
      </c>
      <c r="H1223" t="s">
        <v>18</v>
      </c>
      <c r="I1223" t="s">
        <v>13</v>
      </c>
      <c r="J1223" t="s">
        <v>15</v>
      </c>
      <c r="K1223">
        <f>_xlfn.XLOOKUP(tbl_analysis_tickets[[#This Row],[priority]],tbl_sla[priority],tbl_sla[Resolution SLA Hours])</f>
        <v>48</v>
      </c>
      <c r="L1223">
        <f>_xlfn.XLOOKUP(tbl_analysis_tickets[[#This Row],[priority]],tbl_sla[priority],tbl_sla[First Response SLA Minutes])</f>
        <v>120</v>
      </c>
      <c r="M1223" t="str">
        <f>IF(tbl_analysis_tickets[[#This Row],[resolution_time_hours]]&gt;tbl_analysis_tickets[[#This Row],[Resolution SLA Hours]],"Breached","Within SLA")</f>
        <v>Within SLA</v>
      </c>
      <c r="N1223" t="str">
        <f>IF(tbl_analysis_tickets[[#This Row],[first_response_minutes]]&gt;tbl_analysis_tickets[[#This Row],[First Response SLA Minutes]],"Breached","Within SLA")</f>
        <v>Breached</v>
      </c>
      <c r="O1223" t="str" cm="1">
        <f t="array" ref="O1223">_xlfn.IFS(
tbl_analysis_tickets[[#This Row],[agent_experience_years]]&lt;=2,"Junior",
tbl_analysis_tickets[[#This Row],[agent_experience_years]]&lt;=5,"Mid-Level",
tbl_analysis_tickets[[#This Row],[agent_experience_years]]&lt;=8,"Senior",
tbl_analysis_tickets[[#This Row],[agent_experience_years]]&gt;8,"Expert"
)</f>
        <v>Senior</v>
      </c>
      <c r="P1223" cm="1">
        <f t="array" ref="P1223">_xlfn.SWITCH(tbl_analysis_tickets[[#This Row],[customer_satisfaction]],
"Low",1,
"Medium",2,
"High",3
)</f>
        <v>2</v>
      </c>
      <c r="Q1223">
        <f>IF(tbl_analysis_tickets[[#This Row],[reopened]]="Yes",1,0)</f>
        <v>0</v>
      </c>
      <c r="R1223" t="str" cm="1">
        <f t="array" ref="R1223">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223" t="str" cm="1">
        <f t="array" ref="S122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223" t="str">
        <f>TEXT(tbl_analysis_tickets[[#This Row],[created_date]],"mmm-yyyy")</f>
        <v>May-2024</v>
      </c>
      <c r="U1223" t="str">
        <f>TEXT(tbl_analysis_tickets[[#This Row],[created_date]],"dddd")</f>
        <v>Friday</v>
      </c>
      <c r="V1223" cm="1">
        <f t="array" ref="V1223">_xlfn.SWITCH(tbl_analysis_tickets[[#This Row],[priority]],
"Urgent",1,
"High",2,
"Medium",3,
"Low",4
)</f>
        <v>3</v>
      </c>
    </row>
    <row r="1224" spans="1:22" x14ac:dyDescent="0.25">
      <c r="A1224">
        <v>1223</v>
      </c>
      <c r="B1224" s="1">
        <v>45383</v>
      </c>
      <c r="C1224" t="s">
        <v>23</v>
      </c>
      <c r="D1224" t="s">
        <v>20</v>
      </c>
      <c r="E1224">
        <v>151</v>
      </c>
      <c r="F1224">
        <v>19</v>
      </c>
      <c r="G1224">
        <v>5.5</v>
      </c>
      <c r="H1224" t="s">
        <v>12</v>
      </c>
      <c r="I1224" t="s">
        <v>13</v>
      </c>
      <c r="J1224" t="s">
        <v>11</v>
      </c>
      <c r="K1224">
        <f>_xlfn.XLOOKUP(tbl_analysis_tickets[[#This Row],[priority]],tbl_sla[priority],tbl_sla[Resolution SLA Hours])</f>
        <v>24</v>
      </c>
      <c r="L1224">
        <f>_xlfn.XLOOKUP(tbl_analysis_tickets[[#This Row],[priority]],tbl_sla[priority],tbl_sla[First Response SLA Minutes])</f>
        <v>60</v>
      </c>
      <c r="M1224" t="str">
        <f>IF(tbl_analysis_tickets[[#This Row],[resolution_time_hours]]&gt;tbl_analysis_tickets[[#This Row],[Resolution SLA Hours]],"Breached","Within SLA")</f>
        <v>Within SLA</v>
      </c>
      <c r="N1224" t="str">
        <f>IF(tbl_analysis_tickets[[#This Row],[first_response_minutes]]&gt;tbl_analysis_tickets[[#This Row],[First Response SLA Minutes]],"Breached","Within SLA")</f>
        <v>Breached</v>
      </c>
      <c r="O1224" t="str" cm="1">
        <f t="array" ref="O1224">_xlfn.IFS(
tbl_analysis_tickets[[#This Row],[agent_experience_years]]&lt;=2,"Junior",
tbl_analysis_tickets[[#This Row],[agent_experience_years]]&lt;=5,"Mid-Level",
tbl_analysis_tickets[[#This Row],[agent_experience_years]]&lt;=8,"Senior",
tbl_analysis_tickets[[#This Row],[agent_experience_years]]&gt;8,"Expert"
)</f>
        <v>Senior</v>
      </c>
      <c r="P1224" cm="1">
        <f t="array" ref="P1224">_xlfn.SWITCH(tbl_analysis_tickets[[#This Row],[customer_satisfaction]],
"Low",1,
"Medium",2,
"High",3
)</f>
        <v>1</v>
      </c>
      <c r="Q1224">
        <f>IF(tbl_analysis_tickets[[#This Row],[reopened]]="Yes",1,0)</f>
        <v>1</v>
      </c>
      <c r="R1224" t="str" cm="1">
        <f t="array" ref="R1224">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224" t="str" cm="1">
        <f t="array" ref="S122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224" t="str">
        <f>TEXT(tbl_analysis_tickets[[#This Row],[created_date]],"mmm-yyyy")</f>
        <v>Apr-2024</v>
      </c>
      <c r="U1224" t="str">
        <f>TEXT(tbl_analysis_tickets[[#This Row],[created_date]],"dddd")</f>
        <v>Monday</v>
      </c>
      <c r="V1224" cm="1">
        <f t="array" ref="V1224">_xlfn.SWITCH(tbl_analysis_tickets[[#This Row],[priority]],
"Urgent",1,
"High",2,
"Medium",3,
"Low",4
)</f>
        <v>2</v>
      </c>
    </row>
    <row r="1225" spans="1:22" x14ac:dyDescent="0.25">
      <c r="A1225">
        <v>1224</v>
      </c>
      <c r="B1225" s="1">
        <v>45461</v>
      </c>
      <c r="C1225" t="s">
        <v>21</v>
      </c>
      <c r="D1225" t="s">
        <v>15</v>
      </c>
      <c r="E1225">
        <v>102</v>
      </c>
      <c r="F1225">
        <v>53</v>
      </c>
      <c r="G1225">
        <v>8.3000000000000007</v>
      </c>
      <c r="H1225" t="s">
        <v>12</v>
      </c>
      <c r="I1225" t="s">
        <v>16</v>
      </c>
      <c r="J1225" t="s">
        <v>11</v>
      </c>
      <c r="K1225">
        <f>_xlfn.XLOOKUP(tbl_analysis_tickets[[#This Row],[priority]],tbl_sla[priority],tbl_sla[Resolution SLA Hours])</f>
        <v>48</v>
      </c>
      <c r="L1225">
        <f>_xlfn.XLOOKUP(tbl_analysis_tickets[[#This Row],[priority]],tbl_sla[priority],tbl_sla[First Response SLA Minutes])</f>
        <v>120</v>
      </c>
      <c r="M1225" t="str">
        <f>IF(tbl_analysis_tickets[[#This Row],[resolution_time_hours]]&gt;tbl_analysis_tickets[[#This Row],[Resolution SLA Hours]],"Breached","Within SLA")</f>
        <v>Breached</v>
      </c>
      <c r="N1225" t="str">
        <f>IF(tbl_analysis_tickets[[#This Row],[first_response_minutes]]&gt;tbl_analysis_tickets[[#This Row],[First Response SLA Minutes]],"Breached","Within SLA")</f>
        <v>Within SLA</v>
      </c>
      <c r="O1225" t="str" cm="1">
        <f t="array" ref="O1225">_xlfn.IFS(
tbl_analysis_tickets[[#This Row],[agent_experience_years]]&lt;=2,"Junior",
tbl_analysis_tickets[[#This Row],[agent_experience_years]]&lt;=5,"Mid-Level",
tbl_analysis_tickets[[#This Row],[agent_experience_years]]&lt;=8,"Senior",
tbl_analysis_tickets[[#This Row],[agent_experience_years]]&gt;8,"Expert"
)</f>
        <v>Expert</v>
      </c>
      <c r="P1225" cm="1">
        <f t="array" ref="P1225">_xlfn.SWITCH(tbl_analysis_tickets[[#This Row],[customer_satisfaction]],
"Low",1,
"Medium",2,
"High",3
)</f>
        <v>1</v>
      </c>
      <c r="Q1225">
        <f>IF(tbl_analysis_tickets[[#This Row],[reopened]]="Yes",1,0)</f>
        <v>1</v>
      </c>
      <c r="R1225" t="str" cm="1">
        <f t="array" ref="R1225">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225" t="str" cm="1">
        <f t="array" ref="S122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225" t="str">
        <f>TEXT(tbl_analysis_tickets[[#This Row],[created_date]],"mmm-yyyy")</f>
        <v>Jun-2024</v>
      </c>
      <c r="U1225" t="str">
        <f>TEXT(tbl_analysis_tickets[[#This Row],[created_date]],"dddd")</f>
        <v>Tuesday</v>
      </c>
      <c r="V1225" cm="1">
        <f t="array" ref="V1225">_xlfn.SWITCH(tbl_analysis_tickets[[#This Row],[priority]],
"Urgent",1,
"High",2,
"Medium",3,
"Low",4
)</f>
        <v>3</v>
      </c>
    </row>
    <row r="1226" spans="1:22" x14ac:dyDescent="0.25">
      <c r="A1226">
        <v>1225</v>
      </c>
      <c r="B1226" s="1">
        <v>45322</v>
      </c>
      <c r="C1226" t="s">
        <v>21</v>
      </c>
      <c r="D1226" t="s">
        <v>20</v>
      </c>
      <c r="E1226">
        <v>126</v>
      </c>
      <c r="F1226">
        <v>1</v>
      </c>
      <c r="G1226">
        <v>2.6</v>
      </c>
      <c r="H1226" t="s">
        <v>18</v>
      </c>
      <c r="I1226" t="s">
        <v>19</v>
      </c>
      <c r="J1226" t="s">
        <v>15</v>
      </c>
      <c r="K1226">
        <f>_xlfn.XLOOKUP(tbl_analysis_tickets[[#This Row],[priority]],tbl_sla[priority],tbl_sla[Resolution SLA Hours])</f>
        <v>24</v>
      </c>
      <c r="L1226">
        <f>_xlfn.XLOOKUP(tbl_analysis_tickets[[#This Row],[priority]],tbl_sla[priority],tbl_sla[First Response SLA Minutes])</f>
        <v>60</v>
      </c>
      <c r="M1226" t="str">
        <f>IF(tbl_analysis_tickets[[#This Row],[resolution_time_hours]]&gt;tbl_analysis_tickets[[#This Row],[Resolution SLA Hours]],"Breached","Within SLA")</f>
        <v>Within SLA</v>
      </c>
      <c r="N1226" t="str">
        <f>IF(tbl_analysis_tickets[[#This Row],[first_response_minutes]]&gt;tbl_analysis_tickets[[#This Row],[First Response SLA Minutes]],"Breached","Within SLA")</f>
        <v>Breached</v>
      </c>
      <c r="O1226" t="str" cm="1">
        <f t="array" ref="O1226">_xlfn.IFS(
tbl_analysis_tickets[[#This Row],[agent_experience_years]]&lt;=2,"Junior",
tbl_analysis_tickets[[#This Row],[agent_experience_years]]&lt;=5,"Mid-Level",
tbl_analysis_tickets[[#This Row],[agent_experience_years]]&lt;=8,"Senior",
tbl_analysis_tickets[[#This Row],[agent_experience_years]]&gt;8,"Expert"
)</f>
        <v>Mid-Level</v>
      </c>
      <c r="P1226" cm="1">
        <f t="array" ref="P1226">_xlfn.SWITCH(tbl_analysis_tickets[[#This Row],[customer_satisfaction]],
"Low",1,
"Medium",2,
"High",3
)</f>
        <v>2</v>
      </c>
      <c r="Q1226">
        <f>IF(tbl_analysis_tickets[[#This Row],[reopened]]="Yes",1,0)</f>
        <v>0</v>
      </c>
      <c r="R1226" t="str" cm="1">
        <f t="array" ref="R1226">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226" t="str" cm="1">
        <f t="array" ref="S122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1226" t="str">
        <f>TEXT(tbl_analysis_tickets[[#This Row],[created_date]],"mmm-yyyy")</f>
        <v>Jan-2024</v>
      </c>
      <c r="U1226" t="str">
        <f>TEXT(tbl_analysis_tickets[[#This Row],[created_date]],"dddd")</f>
        <v>Wednesday</v>
      </c>
      <c r="V1226" cm="1">
        <f t="array" ref="V1226">_xlfn.SWITCH(tbl_analysis_tickets[[#This Row],[priority]],
"Urgent",1,
"High",2,
"Medium",3,
"Low",4
)</f>
        <v>2</v>
      </c>
    </row>
    <row r="1227" spans="1:22" x14ac:dyDescent="0.25">
      <c r="A1227">
        <v>1226</v>
      </c>
      <c r="B1227" s="1">
        <v>45523</v>
      </c>
      <c r="C1227" t="s">
        <v>21</v>
      </c>
      <c r="D1227" t="s">
        <v>20</v>
      </c>
      <c r="E1227">
        <v>24</v>
      </c>
      <c r="F1227">
        <v>47</v>
      </c>
      <c r="G1227">
        <v>3.9</v>
      </c>
      <c r="H1227" t="s">
        <v>18</v>
      </c>
      <c r="I1227" t="s">
        <v>16</v>
      </c>
      <c r="J1227" t="s">
        <v>15</v>
      </c>
      <c r="K1227">
        <f>_xlfn.XLOOKUP(tbl_analysis_tickets[[#This Row],[priority]],tbl_sla[priority],tbl_sla[Resolution SLA Hours])</f>
        <v>24</v>
      </c>
      <c r="L1227">
        <f>_xlfn.XLOOKUP(tbl_analysis_tickets[[#This Row],[priority]],tbl_sla[priority],tbl_sla[First Response SLA Minutes])</f>
        <v>60</v>
      </c>
      <c r="M1227" t="str">
        <f>IF(tbl_analysis_tickets[[#This Row],[resolution_time_hours]]&gt;tbl_analysis_tickets[[#This Row],[Resolution SLA Hours]],"Breached","Within SLA")</f>
        <v>Breached</v>
      </c>
      <c r="N1227" t="str">
        <f>IF(tbl_analysis_tickets[[#This Row],[first_response_minutes]]&gt;tbl_analysis_tickets[[#This Row],[First Response SLA Minutes]],"Breached","Within SLA")</f>
        <v>Within SLA</v>
      </c>
      <c r="O1227" t="str" cm="1">
        <f t="array" ref="O1227">_xlfn.IFS(
tbl_analysis_tickets[[#This Row],[agent_experience_years]]&lt;=2,"Junior",
tbl_analysis_tickets[[#This Row],[agent_experience_years]]&lt;=5,"Mid-Level",
tbl_analysis_tickets[[#This Row],[agent_experience_years]]&lt;=8,"Senior",
tbl_analysis_tickets[[#This Row],[agent_experience_years]]&gt;8,"Expert"
)</f>
        <v>Mid-Level</v>
      </c>
      <c r="P1227" cm="1">
        <f t="array" ref="P1227">_xlfn.SWITCH(tbl_analysis_tickets[[#This Row],[customer_satisfaction]],
"Low",1,
"Medium",2,
"High",3
)</f>
        <v>2</v>
      </c>
      <c r="Q1227">
        <f>IF(tbl_analysis_tickets[[#This Row],[reopened]]="Yes",1,0)</f>
        <v>0</v>
      </c>
      <c r="R1227" t="str" cm="1">
        <f t="array" ref="R1227">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1227" t="str" cm="1">
        <f t="array" ref="S122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227" t="str">
        <f>TEXT(tbl_analysis_tickets[[#This Row],[created_date]],"mmm-yyyy")</f>
        <v>Aug-2024</v>
      </c>
      <c r="U1227" t="str">
        <f>TEXT(tbl_analysis_tickets[[#This Row],[created_date]],"dddd")</f>
        <v>Monday</v>
      </c>
      <c r="V1227" cm="1">
        <f t="array" ref="V1227">_xlfn.SWITCH(tbl_analysis_tickets[[#This Row],[priority]],
"Urgent",1,
"High",2,
"Medium",3,
"Low",4
)</f>
        <v>2</v>
      </c>
    </row>
    <row r="1228" spans="1:22" x14ac:dyDescent="0.25">
      <c r="A1228">
        <v>1227</v>
      </c>
      <c r="B1228" s="1">
        <v>45631</v>
      </c>
      <c r="C1228" t="s">
        <v>23</v>
      </c>
      <c r="D1228" t="s">
        <v>15</v>
      </c>
      <c r="E1228">
        <v>48</v>
      </c>
      <c r="F1228">
        <v>18</v>
      </c>
      <c r="G1228">
        <v>6</v>
      </c>
      <c r="H1228" t="s">
        <v>12</v>
      </c>
      <c r="I1228" t="s">
        <v>13</v>
      </c>
      <c r="J1228" t="s">
        <v>11</v>
      </c>
      <c r="K1228">
        <f>_xlfn.XLOOKUP(tbl_analysis_tickets[[#This Row],[priority]],tbl_sla[priority],tbl_sla[Resolution SLA Hours])</f>
        <v>48</v>
      </c>
      <c r="L1228">
        <f>_xlfn.XLOOKUP(tbl_analysis_tickets[[#This Row],[priority]],tbl_sla[priority],tbl_sla[First Response SLA Minutes])</f>
        <v>120</v>
      </c>
      <c r="M1228" t="str">
        <f>IF(tbl_analysis_tickets[[#This Row],[resolution_time_hours]]&gt;tbl_analysis_tickets[[#This Row],[Resolution SLA Hours]],"Breached","Within SLA")</f>
        <v>Within SLA</v>
      </c>
      <c r="N1228" t="str">
        <f>IF(tbl_analysis_tickets[[#This Row],[first_response_minutes]]&gt;tbl_analysis_tickets[[#This Row],[First Response SLA Minutes]],"Breached","Within SLA")</f>
        <v>Within SLA</v>
      </c>
      <c r="O1228" t="str" cm="1">
        <f t="array" ref="O1228">_xlfn.IFS(
tbl_analysis_tickets[[#This Row],[agent_experience_years]]&lt;=2,"Junior",
tbl_analysis_tickets[[#This Row],[agent_experience_years]]&lt;=5,"Mid-Level",
tbl_analysis_tickets[[#This Row],[agent_experience_years]]&lt;=8,"Senior",
tbl_analysis_tickets[[#This Row],[agent_experience_years]]&gt;8,"Expert"
)</f>
        <v>Senior</v>
      </c>
      <c r="P1228" cm="1">
        <f t="array" ref="P1228">_xlfn.SWITCH(tbl_analysis_tickets[[#This Row],[customer_satisfaction]],
"Low",1,
"Medium",2,
"High",3
)</f>
        <v>1</v>
      </c>
      <c r="Q1228">
        <f>IF(tbl_analysis_tickets[[#This Row],[reopened]]="Yes",1,0)</f>
        <v>1</v>
      </c>
      <c r="R1228" t="str" cm="1">
        <f t="array" ref="R1228">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228" t="str" cm="1">
        <f t="array" ref="S122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228" t="str">
        <f>TEXT(tbl_analysis_tickets[[#This Row],[created_date]],"mmm-yyyy")</f>
        <v>Dec-2024</v>
      </c>
      <c r="U1228" t="str">
        <f>TEXT(tbl_analysis_tickets[[#This Row],[created_date]],"dddd")</f>
        <v>Thursday</v>
      </c>
      <c r="V1228" cm="1">
        <f t="array" ref="V1228">_xlfn.SWITCH(tbl_analysis_tickets[[#This Row],[priority]],
"Urgent",1,
"High",2,
"Medium",3,
"Low",4
)</f>
        <v>3</v>
      </c>
    </row>
    <row r="1229" spans="1:22" x14ac:dyDescent="0.25">
      <c r="A1229">
        <v>1228</v>
      </c>
      <c r="B1229" s="1">
        <v>45395</v>
      </c>
      <c r="C1229" t="s">
        <v>22</v>
      </c>
      <c r="D1229" t="s">
        <v>17</v>
      </c>
      <c r="E1229">
        <v>83</v>
      </c>
      <c r="F1229">
        <v>66</v>
      </c>
      <c r="G1229">
        <v>7.4</v>
      </c>
      <c r="H1229" t="s">
        <v>18</v>
      </c>
      <c r="I1229" t="s">
        <v>19</v>
      </c>
      <c r="J1229" t="s">
        <v>11</v>
      </c>
      <c r="K1229">
        <f>_xlfn.XLOOKUP(tbl_analysis_tickets[[#This Row],[priority]],tbl_sla[priority],tbl_sla[Resolution SLA Hours])</f>
        <v>8</v>
      </c>
      <c r="L1229">
        <f>_xlfn.XLOOKUP(tbl_analysis_tickets[[#This Row],[priority]],tbl_sla[priority],tbl_sla[First Response SLA Minutes])</f>
        <v>30</v>
      </c>
      <c r="M1229" t="str">
        <f>IF(tbl_analysis_tickets[[#This Row],[resolution_time_hours]]&gt;tbl_analysis_tickets[[#This Row],[Resolution SLA Hours]],"Breached","Within SLA")</f>
        <v>Breached</v>
      </c>
      <c r="N1229" t="str">
        <f>IF(tbl_analysis_tickets[[#This Row],[first_response_minutes]]&gt;tbl_analysis_tickets[[#This Row],[First Response SLA Minutes]],"Breached","Within SLA")</f>
        <v>Breached</v>
      </c>
      <c r="O1229" t="str" cm="1">
        <f t="array" ref="O1229">_xlfn.IFS(
tbl_analysis_tickets[[#This Row],[agent_experience_years]]&lt;=2,"Junior",
tbl_analysis_tickets[[#This Row],[agent_experience_years]]&lt;=5,"Mid-Level",
tbl_analysis_tickets[[#This Row],[agent_experience_years]]&lt;=8,"Senior",
tbl_analysis_tickets[[#This Row],[agent_experience_years]]&gt;8,"Expert"
)</f>
        <v>Senior</v>
      </c>
      <c r="P1229" cm="1">
        <f t="array" ref="P1229">_xlfn.SWITCH(tbl_analysis_tickets[[#This Row],[customer_satisfaction]],
"Low",1,
"Medium",2,
"High",3
)</f>
        <v>1</v>
      </c>
      <c r="Q1229">
        <f>IF(tbl_analysis_tickets[[#This Row],[reopened]]="Yes",1,0)</f>
        <v>0</v>
      </c>
      <c r="R1229" t="str" cm="1">
        <f t="array" ref="R1229">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229" t="str" cm="1">
        <f t="array" ref="S122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229" t="str">
        <f>TEXT(tbl_analysis_tickets[[#This Row],[created_date]],"mmm-yyyy")</f>
        <v>Apr-2024</v>
      </c>
      <c r="U1229" t="str">
        <f>TEXT(tbl_analysis_tickets[[#This Row],[created_date]],"dddd")</f>
        <v>Saturday</v>
      </c>
      <c r="V1229" cm="1">
        <f t="array" ref="V1229">_xlfn.SWITCH(tbl_analysis_tickets[[#This Row],[priority]],
"Urgent",1,
"High",2,
"Medium",3,
"Low",4
)</f>
        <v>1</v>
      </c>
    </row>
    <row r="1230" spans="1:22" x14ac:dyDescent="0.25">
      <c r="A1230">
        <v>1229</v>
      </c>
      <c r="B1230" s="1">
        <v>45584</v>
      </c>
      <c r="C1230" t="s">
        <v>22</v>
      </c>
      <c r="D1230" t="s">
        <v>15</v>
      </c>
      <c r="E1230">
        <v>161</v>
      </c>
      <c r="F1230">
        <v>11</v>
      </c>
      <c r="G1230">
        <v>6.9</v>
      </c>
      <c r="H1230" t="s">
        <v>12</v>
      </c>
      <c r="I1230" t="s">
        <v>19</v>
      </c>
      <c r="J1230" t="s">
        <v>11</v>
      </c>
      <c r="K1230">
        <f>_xlfn.XLOOKUP(tbl_analysis_tickets[[#This Row],[priority]],tbl_sla[priority],tbl_sla[Resolution SLA Hours])</f>
        <v>48</v>
      </c>
      <c r="L1230">
        <f>_xlfn.XLOOKUP(tbl_analysis_tickets[[#This Row],[priority]],tbl_sla[priority],tbl_sla[First Response SLA Minutes])</f>
        <v>120</v>
      </c>
      <c r="M1230" t="str">
        <f>IF(tbl_analysis_tickets[[#This Row],[resolution_time_hours]]&gt;tbl_analysis_tickets[[#This Row],[Resolution SLA Hours]],"Breached","Within SLA")</f>
        <v>Within SLA</v>
      </c>
      <c r="N1230" t="str">
        <f>IF(tbl_analysis_tickets[[#This Row],[first_response_minutes]]&gt;tbl_analysis_tickets[[#This Row],[First Response SLA Minutes]],"Breached","Within SLA")</f>
        <v>Breached</v>
      </c>
      <c r="O1230" t="str" cm="1">
        <f t="array" ref="O1230">_xlfn.IFS(
tbl_analysis_tickets[[#This Row],[agent_experience_years]]&lt;=2,"Junior",
tbl_analysis_tickets[[#This Row],[agent_experience_years]]&lt;=5,"Mid-Level",
tbl_analysis_tickets[[#This Row],[agent_experience_years]]&lt;=8,"Senior",
tbl_analysis_tickets[[#This Row],[agent_experience_years]]&gt;8,"Expert"
)</f>
        <v>Senior</v>
      </c>
      <c r="P1230" cm="1">
        <f t="array" ref="P1230">_xlfn.SWITCH(tbl_analysis_tickets[[#This Row],[customer_satisfaction]],
"Low",1,
"Medium",2,
"High",3
)</f>
        <v>1</v>
      </c>
      <c r="Q1230">
        <f>IF(tbl_analysis_tickets[[#This Row],[reopened]]="Yes",1,0)</f>
        <v>1</v>
      </c>
      <c r="R1230" t="str" cm="1">
        <f t="array" ref="R1230">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230" t="str" cm="1">
        <f t="array" ref="S123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230" t="str">
        <f>TEXT(tbl_analysis_tickets[[#This Row],[created_date]],"mmm-yyyy")</f>
        <v>Oct-2024</v>
      </c>
      <c r="U1230" t="str">
        <f>TEXT(tbl_analysis_tickets[[#This Row],[created_date]],"dddd")</f>
        <v>Saturday</v>
      </c>
      <c r="V1230" cm="1">
        <f t="array" ref="V1230">_xlfn.SWITCH(tbl_analysis_tickets[[#This Row],[priority]],
"Urgent",1,
"High",2,
"Medium",3,
"Low",4
)</f>
        <v>3</v>
      </c>
    </row>
    <row r="1231" spans="1:22" x14ac:dyDescent="0.25">
      <c r="A1231">
        <v>1230</v>
      </c>
      <c r="B1231" s="1">
        <v>45471</v>
      </c>
      <c r="C1231" t="s">
        <v>22</v>
      </c>
      <c r="D1231" t="s">
        <v>20</v>
      </c>
      <c r="E1231">
        <v>136</v>
      </c>
      <c r="F1231">
        <v>55</v>
      </c>
      <c r="G1231">
        <v>8</v>
      </c>
      <c r="H1231" t="s">
        <v>12</v>
      </c>
      <c r="I1231" t="s">
        <v>13</v>
      </c>
      <c r="J1231" t="s">
        <v>11</v>
      </c>
      <c r="K1231">
        <f>_xlfn.XLOOKUP(tbl_analysis_tickets[[#This Row],[priority]],tbl_sla[priority],tbl_sla[Resolution SLA Hours])</f>
        <v>24</v>
      </c>
      <c r="L1231">
        <f>_xlfn.XLOOKUP(tbl_analysis_tickets[[#This Row],[priority]],tbl_sla[priority],tbl_sla[First Response SLA Minutes])</f>
        <v>60</v>
      </c>
      <c r="M1231" t="str">
        <f>IF(tbl_analysis_tickets[[#This Row],[resolution_time_hours]]&gt;tbl_analysis_tickets[[#This Row],[Resolution SLA Hours]],"Breached","Within SLA")</f>
        <v>Breached</v>
      </c>
      <c r="N1231" t="str">
        <f>IF(tbl_analysis_tickets[[#This Row],[first_response_minutes]]&gt;tbl_analysis_tickets[[#This Row],[First Response SLA Minutes]],"Breached","Within SLA")</f>
        <v>Breached</v>
      </c>
      <c r="O1231" t="str" cm="1">
        <f t="array" ref="O1231">_xlfn.IFS(
tbl_analysis_tickets[[#This Row],[agent_experience_years]]&lt;=2,"Junior",
tbl_analysis_tickets[[#This Row],[agent_experience_years]]&lt;=5,"Mid-Level",
tbl_analysis_tickets[[#This Row],[agent_experience_years]]&lt;=8,"Senior",
tbl_analysis_tickets[[#This Row],[agent_experience_years]]&gt;8,"Expert"
)</f>
        <v>Senior</v>
      </c>
      <c r="P1231" cm="1">
        <f t="array" ref="P1231">_xlfn.SWITCH(tbl_analysis_tickets[[#This Row],[customer_satisfaction]],
"Low",1,
"Medium",2,
"High",3
)</f>
        <v>1</v>
      </c>
      <c r="Q1231">
        <f>IF(tbl_analysis_tickets[[#This Row],[reopened]]="Yes",1,0)</f>
        <v>1</v>
      </c>
      <c r="R1231" t="str" cm="1">
        <f t="array" ref="R1231">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231" t="str" cm="1">
        <f t="array" ref="S123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231" t="str">
        <f>TEXT(tbl_analysis_tickets[[#This Row],[created_date]],"mmm-yyyy")</f>
        <v>Jun-2024</v>
      </c>
      <c r="U1231" t="str">
        <f>TEXT(tbl_analysis_tickets[[#This Row],[created_date]],"dddd")</f>
        <v>Friday</v>
      </c>
      <c r="V1231" cm="1">
        <f t="array" ref="V1231">_xlfn.SWITCH(tbl_analysis_tickets[[#This Row],[priority]],
"Urgent",1,
"High",2,
"Medium",3,
"Low",4
)</f>
        <v>2</v>
      </c>
    </row>
    <row r="1232" spans="1:22" x14ac:dyDescent="0.25">
      <c r="A1232">
        <v>1231</v>
      </c>
      <c r="B1232" s="1">
        <v>45449</v>
      </c>
      <c r="C1232" t="s">
        <v>14</v>
      </c>
      <c r="D1232" t="s">
        <v>20</v>
      </c>
      <c r="E1232">
        <v>112</v>
      </c>
      <c r="F1232">
        <v>39</v>
      </c>
      <c r="G1232">
        <v>4.5999999999999996</v>
      </c>
      <c r="H1232" t="s">
        <v>18</v>
      </c>
      <c r="I1232" t="s">
        <v>13</v>
      </c>
      <c r="J1232" t="s">
        <v>11</v>
      </c>
      <c r="K1232">
        <f>_xlfn.XLOOKUP(tbl_analysis_tickets[[#This Row],[priority]],tbl_sla[priority],tbl_sla[Resolution SLA Hours])</f>
        <v>24</v>
      </c>
      <c r="L1232">
        <f>_xlfn.XLOOKUP(tbl_analysis_tickets[[#This Row],[priority]],tbl_sla[priority],tbl_sla[First Response SLA Minutes])</f>
        <v>60</v>
      </c>
      <c r="M1232" t="str">
        <f>IF(tbl_analysis_tickets[[#This Row],[resolution_time_hours]]&gt;tbl_analysis_tickets[[#This Row],[Resolution SLA Hours]],"Breached","Within SLA")</f>
        <v>Breached</v>
      </c>
      <c r="N1232" t="str">
        <f>IF(tbl_analysis_tickets[[#This Row],[first_response_minutes]]&gt;tbl_analysis_tickets[[#This Row],[First Response SLA Minutes]],"Breached","Within SLA")</f>
        <v>Breached</v>
      </c>
      <c r="O1232" t="str" cm="1">
        <f t="array" ref="O1232">_xlfn.IFS(
tbl_analysis_tickets[[#This Row],[agent_experience_years]]&lt;=2,"Junior",
tbl_analysis_tickets[[#This Row],[agent_experience_years]]&lt;=5,"Mid-Level",
tbl_analysis_tickets[[#This Row],[agent_experience_years]]&lt;=8,"Senior",
tbl_analysis_tickets[[#This Row],[agent_experience_years]]&gt;8,"Expert"
)</f>
        <v>Mid-Level</v>
      </c>
      <c r="P1232" cm="1">
        <f t="array" ref="P1232">_xlfn.SWITCH(tbl_analysis_tickets[[#This Row],[customer_satisfaction]],
"Low",1,
"Medium",2,
"High",3
)</f>
        <v>1</v>
      </c>
      <c r="Q1232">
        <f>IF(tbl_analysis_tickets[[#This Row],[reopened]]="Yes",1,0)</f>
        <v>0</v>
      </c>
      <c r="R1232" t="str" cm="1">
        <f t="array" ref="R1232">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232" t="str" cm="1">
        <f t="array" ref="S123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232" t="str">
        <f>TEXT(tbl_analysis_tickets[[#This Row],[created_date]],"mmm-yyyy")</f>
        <v>Jun-2024</v>
      </c>
      <c r="U1232" t="str">
        <f>TEXT(tbl_analysis_tickets[[#This Row],[created_date]],"dddd")</f>
        <v>Thursday</v>
      </c>
      <c r="V1232" cm="1">
        <f t="array" ref="V1232">_xlfn.SWITCH(tbl_analysis_tickets[[#This Row],[priority]],
"Urgent",1,
"High",2,
"Medium",3,
"Low",4
)</f>
        <v>2</v>
      </c>
    </row>
    <row r="1233" spans="1:22" x14ac:dyDescent="0.25">
      <c r="A1233">
        <v>1232</v>
      </c>
      <c r="B1233" s="1">
        <v>45465</v>
      </c>
      <c r="C1233" t="s">
        <v>22</v>
      </c>
      <c r="D1233" t="s">
        <v>17</v>
      </c>
      <c r="E1233">
        <v>125</v>
      </c>
      <c r="F1233">
        <v>37</v>
      </c>
      <c r="G1233">
        <v>9.6999999999999993</v>
      </c>
      <c r="H1233" t="s">
        <v>18</v>
      </c>
      <c r="I1233" t="s">
        <v>16</v>
      </c>
      <c r="J1233" t="s">
        <v>11</v>
      </c>
      <c r="K1233">
        <f>_xlfn.XLOOKUP(tbl_analysis_tickets[[#This Row],[priority]],tbl_sla[priority],tbl_sla[Resolution SLA Hours])</f>
        <v>8</v>
      </c>
      <c r="L1233">
        <f>_xlfn.XLOOKUP(tbl_analysis_tickets[[#This Row],[priority]],tbl_sla[priority],tbl_sla[First Response SLA Minutes])</f>
        <v>30</v>
      </c>
      <c r="M1233" t="str">
        <f>IF(tbl_analysis_tickets[[#This Row],[resolution_time_hours]]&gt;tbl_analysis_tickets[[#This Row],[Resolution SLA Hours]],"Breached","Within SLA")</f>
        <v>Breached</v>
      </c>
      <c r="N1233" t="str">
        <f>IF(tbl_analysis_tickets[[#This Row],[first_response_minutes]]&gt;tbl_analysis_tickets[[#This Row],[First Response SLA Minutes]],"Breached","Within SLA")</f>
        <v>Breached</v>
      </c>
      <c r="O1233" t="str" cm="1">
        <f t="array" ref="O1233">_xlfn.IFS(
tbl_analysis_tickets[[#This Row],[agent_experience_years]]&lt;=2,"Junior",
tbl_analysis_tickets[[#This Row],[agent_experience_years]]&lt;=5,"Mid-Level",
tbl_analysis_tickets[[#This Row],[agent_experience_years]]&lt;=8,"Senior",
tbl_analysis_tickets[[#This Row],[agent_experience_years]]&gt;8,"Expert"
)</f>
        <v>Expert</v>
      </c>
      <c r="P1233" cm="1">
        <f t="array" ref="P1233">_xlfn.SWITCH(tbl_analysis_tickets[[#This Row],[customer_satisfaction]],
"Low",1,
"Medium",2,
"High",3
)</f>
        <v>1</v>
      </c>
      <c r="Q1233">
        <f>IF(tbl_analysis_tickets[[#This Row],[reopened]]="Yes",1,0)</f>
        <v>0</v>
      </c>
      <c r="R1233" t="str" cm="1">
        <f t="array" ref="R1233">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233" t="str" cm="1">
        <f t="array" ref="S123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233" t="str">
        <f>TEXT(tbl_analysis_tickets[[#This Row],[created_date]],"mmm-yyyy")</f>
        <v>Jun-2024</v>
      </c>
      <c r="U1233" t="str">
        <f>TEXT(tbl_analysis_tickets[[#This Row],[created_date]],"dddd")</f>
        <v>Saturday</v>
      </c>
      <c r="V1233" cm="1">
        <f t="array" ref="V1233">_xlfn.SWITCH(tbl_analysis_tickets[[#This Row],[priority]],
"Urgent",1,
"High",2,
"Medium",3,
"Low",4
)</f>
        <v>1</v>
      </c>
    </row>
    <row r="1234" spans="1:22" x14ac:dyDescent="0.25">
      <c r="A1234">
        <v>1233</v>
      </c>
      <c r="B1234" s="1">
        <v>45543</v>
      </c>
      <c r="C1234" t="s">
        <v>21</v>
      </c>
      <c r="D1234" t="s">
        <v>15</v>
      </c>
      <c r="E1234">
        <v>8</v>
      </c>
      <c r="F1234">
        <v>72</v>
      </c>
      <c r="G1234">
        <v>7.8</v>
      </c>
      <c r="H1234" t="s">
        <v>18</v>
      </c>
      <c r="I1234" t="s">
        <v>13</v>
      </c>
      <c r="J1234" t="s">
        <v>20</v>
      </c>
      <c r="K1234">
        <f>_xlfn.XLOOKUP(tbl_analysis_tickets[[#This Row],[priority]],tbl_sla[priority],tbl_sla[Resolution SLA Hours])</f>
        <v>48</v>
      </c>
      <c r="L1234">
        <f>_xlfn.XLOOKUP(tbl_analysis_tickets[[#This Row],[priority]],tbl_sla[priority],tbl_sla[First Response SLA Minutes])</f>
        <v>120</v>
      </c>
      <c r="M1234" t="str">
        <f>IF(tbl_analysis_tickets[[#This Row],[resolution_time_hours]]&gt;tbl_analysis_tickets[[#This Row],[Resolution SLA Hours]],"Breached","Within SLA")</f>
        <v>Breached</v>
      </c>
      <c r="N1234" t="str">
        <f>IF(tbl_analysis_tickets[[#This Row],[first_response_minutes]]&gt;tbl_analysis_tickets[[#This Row],[First Response SLA Minutes]],"Breached","Within SLA")</f>
        <v>Within SLA</v>
      </c>
      <c r="O1234" t="str" cm="1">
        <f t="array" ref="O1234">_xlfn.IFS(
tbl_analysis_tickets[[#This Row],[agent_experience_years]]&lt;=2,"Junior",
tbl_analysis_tickets[[#This Row],[agent_experience_years]]&lt;=5,"Mid-Level",
tbl_analysis_tickets[[#This Row],[agent_experience_years]]&lt;=8,"Senior",
tbl_analysis_tickets[[#This Row],[agent_experience_years]]&gt;8,"Expert"
)</f>
        <v>Senior</v>
      </c>
      <c r="P1234" cm="1">
        <f t="array" ref="P1234">_xlfn.SWITCH(tbl_analysis_tickets[[#This Row],[customer_satisfaction]],
"Low",1,
"Medium",2,
"High",3
)</f>
        <v>3</v>
      </c>
      <c r="Q1234">
        <f>IF(tbl_analysis_tickets[[#This Row],[reopened]]="Yes",1,0)</f>
        <v>0</v>
      </c>
      <c r="R1234" t="str" cm="1">
        <f t="array" ref="R1234">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1234" t="str" cm="1">
        <f t="array" ref="S123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234" t="str">
        <f>TEXT(tbl_analysis_tickets[[#This Row],[created_date]],"mmm-yyyy")</f>
        <v>Sep-2024</v>
      </c>
      <c r="U1234" t="str">
        <f>TEXT(tbl_analysis_tickets[[#This Row],[created_date]],"dddd")</f>
        <v>Sunday</v>
      </c>
      <c r="V1234" cm="1">
        <f t="array" ref="V1234">_xlfn.SWITCH(tbl_analysis_tickets[[#This Row],[priority]],
"Urgent",1,
"High",2,
"Medium",3,
"Low",4
)</f>
        <v>3</v>
      </c>
    </row>
    <row r="1235" spans="1:22" x14ac:dyDescent="0.25">
      <c r="A1235">
        <v>1234</v>
      </c>
      <c r="B1235" s="1">
        <v>45466</v>
      </c>
      <c r="C1235" t="s">
        <v>14</v>
      </c>
      <c r="D1235" t="s">
        <v>15</v>
      </c>
      <c r="E1235">
        <v>77</v>
      </c>
      <c r="F1235">
        <v>52</v>
      </c>
      <c r="G1235">
        <v>6.1</v>
      </c>
      <c r="H1235" t="s">
        <v>18</v>
      </c>
      <c r="I1235" t="s">
        <v>13</v>
      </c>
      <c r="J1235" t="s">
        <v>15</v>
      </c>
      <c r="K1235">
        <f>_xlfn.XLOOKUP(tbl_analysis_tickets[[#This Row],[priority]],tbl_sla[priority],tbl_sla[Resolution SLA Hours])</f>
        <v>48</v>
      </c>
      <c r="L1235">
        <f>_xlfn.XLOOKUP(tbl_analysis_tickets[[#This Row],[priority]],tbl_sla[priority],tbl_sla[First Response SLA Minutes])</f>
        <v>120</v>
      </c>
      <c r="M1235" t="str">
        <f>IF(tbl_analysis_tickets[[#This Row],[resolution_time_hours]]&gt;tbl_analysis_tickets[[#This Row],[Resolution SLA Hours]],"Breached","Within SLA")</f>
        <v>Breached</v>
      </c>
      <c r="N1235" t="str">
        <f>IF(tbl_analysis_tickets[[#This Row],[first_response_minutes]]&gt;tbl_analysis_tickets[[#This Row],[First Response SLA Minutes]],"Breached","Within SLA")</f>
        <v>Within SLA</v>
      </c>
      <c r="O1235" t="str" cm="1">
        <f t="array" ref="O1235">_xlfn.IFS(
tbl_analysis_tickets[[#This Row],[agent_experience_years]]&lt;=2,"Junior",
tbl_analysis_tickets[[#This Row],[agent_experience_years]]&lt;=5,"Mid-Level",
tbl_analysis_tickets[[#This Row],[agent_experience_years]]&lt;=8,"Senior",
tbl_analysis_tickets[[#This Row],[agent_experience_years]]&gt;8,"Expert"
)</f>
        <v>Senior</v>
      </c>
      <c r="P1235" cm="1">
        <f t="array" ref="P1235">_xlfn.SWITCH(tbl_analysis_tickets[[#This Row],[customer_satisfaction]],
"Low",1,
"Medium",2,
"High",3
)</f>
        <v>2</v>
      </c>
      <c r="Q1235">
        <f>IF(tbl_analysis_tickets[[#This Row],[reopened]]="Yes",1,0)</f>
        <v>0</v>
      </c>
      <c r="R1235" t="str" cm="1">
        <f t="array" ref="R1235">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235" t="str" cm="1">
        <f t="array" ref="S123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235" t="str">
        <f>TEXT(tbl_analysis_tickets[[#This Row],[created_date]],"mmm-yyyy")</f>
        <v>Jun-2024</v>
      </c>
      <c r="U1235" t="str">
        <f>TEXT(tbl_analysis_tickets[[#This Row],[created_date]],"dddd")</f>
        <v>Sunday</v>
      </c>
      <c r="V1235" cm="1">
        <f t="array" ref="V1235">_xlfn.SWITCH(tbl_analysis_tickets[[#This Row],[priority]],
"Urgent",1,
"High",2,
"Medium",3,
"Low",4
)</f>
        <v>3</v>
      </c>
    </row>
    <row r="1236" spans="1:22" x14ac:dyDescent="0.25">
      <c r="A1236">
        <v>1235</v>
      </c>
      <c r="B1236" s="1">
        <v>45634</v>
      </c>
      <c r="C1236" t="s">
        <v>22</v>
      </c>
      <c r="D1236" t="s">
        <v>11</v>
      </c>
      <c r="E1236">
        <v>98</v>
      </c>
      <c r="F1236">
        <v>27</v>
      </c>
      <c r="G1236">
        <v>3.6</v>
      </c>
      <c r="H1236" t="s">
        <v>18</v>
      </c>
      <c r="I1236" t="s">
        <v>16</v>
      </c>
      <c r="J1236" t="s">
        <v>11</v>
      </c>
      <c r="K1236">
        <f>_xlfn.XLOOKUP(tbl_analysis_tickets[[#This Row],[priority]],tbl_sla[priority],tbl_sla[Resolution SLA Hours])</f>
        <v>72</v>
      </c>
      <c r="L1236">
        <f>_xlfn.XLOOKUP(tbl_analysis_tickets[[#This Row],[priority]],tbl_sla[priority],tbl_sla[First Response SLA Minutes])</f>
        <v>240</v>
      </c>
      <c r="M1236" t="str">
        <f>IF(tbl_analysis_tickets[[#This Row],[resolution_time_hours]]&gt;tbl_analysis_tickets[[#This Row],[Resolution SLA Hours]],"Breached","Within SLA")</f>
        <v>Within SLA</v>
      </c>
      <c r="N1236" t="str">
        <f>IF(tbl_analysis_tickets[[#This Row],[first_response_minutes]]&gt;tbl_analysis_tickets[[#This Row],[First Response SLA Minutes]],"Breached","Within SLA")</f>
        <v>Within SLA</v>
      </c>
      <c r="O1236" t="str" cm="1">
        <f t="array" ref="O1236">_xlfn.IFS(
tbl_analysis_tickets[[#This Row],[agent_experience_years]]&lt;=2,"Junior",
tbl_analysis_tickets[[#This Row],[agent_experience_years]]&lt;=5,"Mid-Level",
tbl_analysis_tickets[[#This Row],[agent_experience_years]]&lt;=8,"Senior",
tbl_analysis_tickets[[#This Row],[agent_experience_years]]&gt;8,"Expert"
)</f>
        <v>Mid-Level</v>
      </c>
      <c r="P1236" cm="1">
        <f t="array" ref="P1236">_xlfn.SWITCH(tbl_analysis_tickets[[#This Row],[customer_satisfaction]],
"Low",1,
"Medium",2,
"High",3
)</f>
        <v>1</v>
      </c>
      <c r="Q1236">
        <f>IF(tbl_analysis_tickets[[#This Row],[reopened]]="Yes",1,0)</f>
        <v>0</v>
      </c>
      <c r="R1236" t="str" cm="1">
        <f t="array" ref="R1236">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236" t="str" cm="1">
        <f t="array" ref="S123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236" t="str">
        <f>TEXT(tbl_analysis_tickets[[#This Row],[created_date]],"mmm-yyyy")</f>
        <v>Dec-2024</v>
      </c>
      <c r="U1236" t="str">
        <f>TEXT(tbl_analysis_tickets[[#This Row],[created_date]],"dddd")</f>
        <v>Sunday</v>
      </c>
      <c r="V1236" cm="1">
        <f t="array" ref="V1236">_xlfn.SWITCH(tbl_analysis_tickets[[#This Row],[priority]],
"Urgent",1,
"High",2,
"Medium",3,
"Low",4
)</f>
        <v>4</v>
      </c>
    </row>
    <row r="1237" spans="1:22" x14ac:dyDescent="0.25">
      <c r="A1237">
        <v>1236</v>
      </c>
      <c r="B1237" s="1">
        <v>45296</v>
      </c>
      <c r="C1237" t="s">
        <v>23</v>
      </c>
      <c r="D1237" t="s">
        <v>11</v>
      </c>
      <c r="E1237">
        <v>124</v>
      </c>
      <c r="F1237">
        <v>63</v>
      </c>
      <c r="G1237">
        <v>8</v>
      </c>
      <c r="H1237" t="s">
        <v>18</v>
      </c>
      <c r="I1237" t="s">
        <v>13</v>
      </c>
      <c r="J1237" t="s">
        <v>15</v>
      </c>
      <c r="K1237">
        <f>_xlfn.XLOOKUP(tbl_analysis_tickets[[#This Row],[priority]],tbl_sla[priority],tbl_sla[Resolution SLA Hours])</f>
        <v>72</v>
      </c>
      <c r="L1237">
        <f>_xlfn.XLOOKUP(tbl_analysis_tickets[[#This Row],[priority]],tbl_sla[priority],tbl_sla[First Response SLA Minutes])</f>
        <v>240</v>
      </c>
      <c r="M1237" t="str">
        <f>IF(tbl_analysis_tickets[[#This Row],[resolution_time_hours]]&gt;tbl_analysis_tickets[[#This Row],[Resolution SLA Hours]],"Breached","Within SLA")</f>
        <v>Within SLA</v>
      </c>
      <c r="N1237" t="str">
        <f>IF(tbl_analysis_tickets[[#This Row],[first_response_minutes]]&gt;tbl_analysis_tickets[[#This Row],[First Response SLA Minutes]],"Breached","Within SLA")</f>
        <v>Within SLA</v>
      </c>
      <c r="O1237" t="str" cm="1">
        <f t="array" ref="O1237">_xlfn.IFS(
tbl_analysis_tickets[[#This Row],[agent_experience_years]]&lt;=2,"Junior",
tbl_analysis_tickets[[#This Row],[agent_experience_years]]&lt;=5,"Mid-Level",
tbl_analysis_tickets[[#This Row],[agent_experience_years]]&lt;=8,"Senior",
tbl_analysis_tickets[[#This Row],[agent_experience_years]]&gt;8,"Expert"
)</f>
        <v>Senior</v>
      </c>
      <c r="P1237" cm="1">
        <f t="array" ref="P1237">_xlfn.SWITCH(tbl_analysis_tickets[[#This Row],[customer_satisfaction]],
"Low",1,
"Medium",2,
"High",3
)</f>
        <v>2</v>
      </c>
      <c r="Q1237">
        <f>IF(tbl_analysis_tickets[[#This Row],[reopened]]="Yes",1,0)</f>
        <v>0</v>
      </c>
      <c r="R1237" t="str" cm="1">
        <f t="array" ref="R1237">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237" t="str" cm="1">
        <f t="array" ref="S123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237" t="str">
        <f>TEXT(tbl_analysis_tickets[[#This Row],[created_date]],"mmm-yyyy")</f>
        <v>Jan-2024</v>
      </c>
      <c r="U1237" t="str">
        <f>TEXT(tbl_analysis_tickets[[#This Row],[created_date]],"dddd")</f>
        <v>Friday</v>
      </c>
      <c r="V1237" cm="1">
        <f t="array" ref="V1237">_xlfn.SWITCH(tbl_analysis_tickets[[#This Row],[priority]],
"Urgent",1,
"High",2,
"Medium",3,
"Low",4
)</f>
        <v>4</v>
      </c>
    </row>
    <row r="1238" spans="1:22" x14ac:dyDescent="0.25">
      <c r="A1238">
        <v>1237</v>
      </c>
      <c r="B1238" s="1">
        <v>45501</v>
      </c>
      <c r="C1238" t="s">
        <v>23</v>
      </c>
      <c r="D1238" t="s">
        <v>11</v>
      </c>
      <c r="E1238">
        <v>7</v>
      </c>
      <c r="F1238">
        <v>9</v>
      </c>
      <c r="G1238">
        <v>3.7</v>
      </c>
      <c r="H1238" t="s">
        <v>18</v>
      </c>
      <c r="I1238" t="s">
        <v>13</v>
      </c>
      <c r="J1238" t="s">
        <v>15</v>
      </c>
      <c r="K1238">
        <f>_xlfn.XLOOKUP(tbl_analysis_tickets[[#This Row],[priority]],tbl_sla[priority],tbl_sla[Resolution SLA Hours])</f>
        <v>72</v>
      </c>
      <c r="L1238">
        <f>_xlfn.XLOOKUP(tbl_analysis_tickets[[#This Row],[priority]],tbl_sla[priority],tbl_sla[First Response SLA Minutes])</f>
        <v>240</v>
      </c>
      <c r="M1238" t="str">
        <f>IF(tbl_analysis_tickets[[#This Row],[resolution_time_hours]]&gt;tbl_analysis_tickets[[#This Row],[Resolution SLA Hours]],"Breached","Within SLA")</f>
        <v>Within SLA</v>
      </c>
      <c r="N1238" t="str">
        <f>IF(tbl_analysis_tickets[[#This Row],[first_response_minutes]]&gt;tbl_analysis_tickets[[#This Row],[First Response SLA Minutes]],"Breached","Within SLA")</f>
        <v>Within SLA</v>
      </c>
      <c r="O1238" t="str" cm="1">
        <f t="array" ref="O1238">_xlfn.IFS(
tbl_analysis_tickets[[#This Row],[agent_experience_years]]&lt;=2,"Junior",
tbl_analysis_tickets[[#This Row],[agent_experience_years]]&lt;=5,"Mid-Level",
tbl_analysis_tickets[[#This Row],[agent_experience_years]]&lt;=8,"Senior",
tbl_analysis_tickets[[#This Row],[agent_experience_years]]&gt;8,"Expert"
)</f>
        <v>Mid-Level</v>
      </c>
      <c r="P1238" cm="1">
        <f t="array" ref="P1238">_xlfn.SWITCH(tbl_analysis_tickets[[#This Row],[customer_satisfaction]],
"Low",1,
"Medium",2,
"High",3
)</f>
        <v>2</v>
      </c>
      <c r="Q1238">
        <f>IF(tbl_analysis_tickets[[#This Row],[reopened]]="Yes",1,0)</f>
        <v>0</v>
      </c>
      <c r="R1238" t="str" cm="1">
        <f t="array" ref="R1238">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1238" t="str" cm="1">
        <f t="array" ref="S123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238" t="str">
        <f>TEXT(tbl_analysis_tickets[[#This Row],[created_date]],"mmm-yyyy")</f>
        <v>Jul-2024</v>
      </c>
      <c r="U1238" t="str">
        <f>TEXT(tbl_analysis_tickets[[#This Row],[created_date]],"dddd")</f>
        <v>Sunday</v>
      </c>
      <c r="V1238" cm="1">
        <f t="array" ref="V1238">_xlfn.SWITCH(tbl_analysis_tickets[[#This Row],[priority]],
"Urgent",1,
"High",2,
"Medium",3,
"Low",4
)</f>
        <v>4</v>
      </c>
    </row>
    <row r="1239" spans="1:22" x14ac:dyDescent="0.25">
      <c r="A1239">
        <v>1238</v>
      </c>
      <c r="B1239" s="1">
        <v>45631</v>
      </c>
      <c r="C1239" t="s">
        <v>21</v>
      </c>
      <c r="D1239" t="s">
        <v>17</v>
      </c>
      <c r="E1239">
        <v>131</v>
      </c>
      <c r="F1239">
        <v>47</v>
      </c>
      <c r="G1239">
        <v>4.5999999999999996</v>
      </c>
      <c r="H1239" t="s">
        <v>18</v>
      </c>
      <c r="I1239" t="s">
        <v>13</v>
      </c>
      <c r="J1239" t="s">
        <v>11</v>
      </c>
      <c r="K1239">
        <f>_xlfn.XLOOKUP(tbl_analysis_tickets[[#This Row],[priority]],tbl_sla[priority],tbl_sla[Resolution SLA Hours])</f>
        <v>8</v>
      </c>
      <c r="L1239">
        <f>_xlfn.XLOOKUP(tbl_analysis_tickets[[#This Row],[priority]],tbl_sla[priority],tbl_sla[First Response SLA Minutes])</f>
        <v>30</v>
      </c>
      <c r="M1239" t="str">
        <f>IF(tbl_analysis_tickets[[#This Row],[resolution_time_hours]]&gt;tbl_analysis_tickets[[#This Row],[Resolution SLA Hours]],"Breached","Within SLA")</f>
        <v>Breached</v>
      </c>
      <c r="N1239" t="str">
        <f>IF(tbl_analysis_tickets[[#This Row],[first_response_minutes]]&gt;tbl_analysis_tickets[[#This Row],[First Response SLA Minutes]],"Breached","Within SLA")</f>
        <v>Breached</v>
      </c>
      <c r="O1239" t="str" cm="1">
        <f t="array" ref="O1239">_xlfn.IFS(
tbl_analysis_tickets[[#This Row],[agent_experience_years]]&lt;=2,"Junior",
tbl_analysis_tickets[[#This Row],[agent_experience_years]]&lt;=5,"Mid-Level",
tbl_analysis_tickets[[#This Row],[agent_experience_years]]&lt;=8,"Senior",
tbl_analysis_tickets[[#This Row],[agent_experience_years]]&gt;8,"Expert"
)</f>
        <v>Mid-Level</v>
      </c>
      <c r="P1239" cm="1">
        <f t="array" ref="P1239">_xlfn.SWITCH(tbl_analysis_tickets[[#This Row],[customer_satisfaction]],
"Low",1,
"Medium",2,
"High",3
)</f>
        <v>1</v>
      </c>
      <c r="Q1239">
        <f>IF(tbl_analysis_tickets[[#This Row],[reopened]]="Yes",1,0)</f>
        <v>0</v>
      </c>
      <c r="R1239" t="str" cm="1">
        <f t="array" ref="R1239">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239" t="str" cm="1">
        <f t="array" ref="S123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239" t="str">
        <f>TEXT(tbl_analysis_tickets[[#This Row],[created_date]],"mmm-yyyy")</f>
        <v>Dec-2024</v>
      </c>
      <c r="U1239" t="str">
        <f>TEXT(tbl_analysis_tickets[[#This Row],[created_date]],"dddd")</f>
        <v>Thursday</v>
      </c>
      <c r="V1239" cm="1">
        <f t="array" ref="V1239">_xlfn.SWITCH(tbl_analysis_tickets[[#This Row],[priority]],
"Urgent",1,
"High",2,
"Medium",3,
"Low",4
)</f>
        <v>1</v>
      </c>
    </row>
    <row r="1240" spans="1:22" x14ac:dyDescent="0.25">
      <c r="A1240">
        <v>1239</v>
      </c>
      <c r="B1240" s="1">
        <v>45356</v>
      </c>
      <c r="C1240" t="s">
        <v>10</v>
      </c>
      <c r="D1240" t="s">
        <v>20</v>
      </c>
      <c r="E1240">
        <v>136</v>
      </c>
      <c r="F1240">
        <v>67</v>
      </c>
      <c r="G1240">
        <v>8.3000000000000007</v>
      </c>
      <c r="H1240" t="s">
        <v>12</v>
      </c>
      <c r="I1240" t="s">
        <v>13</v>
      </c>
      <c r="J1240" t="s">
        <v>11</v>
      </c>
      <c r="K1240">
        <f>_xlfn.XLOOKUP(tbl_analysis_tickets[[#This Row],[priority]],tbl_sla[priority],tbl_sla[Resolution SLA Hours])</f>
        <v>24</v>
      </c>
      <c r="L1240">
        <f>_xlfn.XLOOKUP(tbl_analysis_tickets[[#This Row],[priority]],tbl_sla[priority],tbl_sla[First Response SLA Minutes])</f>
        <v>60</v>
      </c>
      <c r="M1240" t="str">
        <f>IF(tbl_analysis_tickets[[#This Row],[resolution_time_hours]]&gt;tbl_analysis_tickets[[#This Row],[Resolution SLA Hours]],"Breached","Within SLA")</f>
        <v>Breached</v>
      </c>
      <c r="N1240" t="str">
        <f>IF(tbl_analysis_tickets[[#This Row],[first_response_minutes]]&gt;tbl_analysis_tickets[[#This Row],[First Response SLA Minutes]],"Breached","Within SLA")</f>
        <v>Breached</v>
      </c>
      <c r="O1240" t="str" cm="1">
        <f t="array" ref="O1240">_xlfn.IFS(
tbl_analysis_tickets[[#This Row],[agent_experience_years]]&lt;=2,"Junior",
tbl_analysis_tickets[[#This Row],[agent_experience_years]]&lt;=5,"Mid-Level",
tbl_analysis_tickets[[#This Row],[agent_experience_years]]&lt;=8,"Senior",
tbl_analysis_tickets[[#This Row],[agent_experience_years]]&gt;8,"Expert"
)</f>
        <v>Expert</v>
      </c>
      <c r="P1240" cm="1">
        <f t="array" ref="P1240">_xlfn.SWITCH(tbl_analysis_tickets[[#This Row],[customer_satisfaction]],
"Low",1,
"Medium",2,
"High",3
)</f>
        <v>1</v>
      </c>
      <c r="Q1240">
        <f>IF(tbl_analysis_tickets[[#This Row],[reopened]]="Yes",1,0)</f>
        <v>1</v>
      </c>
      <c r="R1240" t="str" cm="1">
        <f t="array" ref="R1240">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240" t="str" cm="1">
        <f t="array" ref="S124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240" t="str">
        <f>TEXT(tbl_analysis_tickets[[#This Row],[created_date]],"mmm-yyyy")</f>
        <v>Mar-2024</v>
      </c>
      <c r="U1240" t="str">
        <f>TEXT(tbl_analysis_tickets[[#This Row],[created_date]],"dddd")</f>
        <v>Tuesday</v>
      </c>
      <c r="V1240" cm="1">
        <f t="array" ref="V1240">_xlfn.SWITCH(tbl_analysis_tickets[[#This Row],[priority]],
"Urgent",1,
"High",2,
"Medium",3,
"Low",4
)</f>
        <v>2</v>
      </c>
    </row>
    <row r="1241" spans="1:22" x14ac:dyDescent="0.25">
      <c r="A1241">
        <v>1240</v>
      </c>
      <c r="B1241" s="1">
        <v>45640</v>
      </c>
      <c r="C1241" t="s">
        <v>22</v>
      </c>
      <c r="D1241" t="s">
        <v>15</v>
      </c>
      <c r="E1241">
        <v>239</v>
      </c>
      <c r="F1241">
        <v>11</v>
      </c>
      <c r="G1241">
        <v>6.6</v>
      </c>
      <c r="H1241" t="s">
        <v>18</v>
      </c>
      <c r="I1241" t="s">
        <v>19</v>
      </c>
      <c r="J1241" t="s">
        <v>15</v>
      </c>
      <c r="K1241">
        <f>_xlfn.XLOOKUP(tbl_analysis_tickets[[#This Row],[priority]],tbl_sla[priority],tbl_sla[Resolution SLA Hours])</f>
        <v>48</v>
      </c>
      <c r="L1241">
        <f>_xlfn.XLOOKUP(tbl_analysis_tickets[[#This Row],[priority]],tbl_sla[priority],tbl_sla[First Response SLA Minutes])</f>
        <v>120</v>
      </c>
      <c r="M1241" t="str">
        <f>IF(tbl_analysis_tickets[[#This Row],[resolution_time_hours]]&gt;tbl_analysis_tickets[[#This Row],[Resolution SLA Hours]],"Breached","Within SLA")</f>
        <v>Within SLA</v>
      </c>
      <c r="N1241" t="str">
        <f>IF(tbl_analysis_tickets[[#This Row],[first_response_minutes]]&gt;tbl_analysis_tickets[[#This Row],[First Response SLA Minutes]],"Breached","Within SLA")</f>
        <v>Breached</v>
      </c>
      <c r="O1241" t="str" cm="1">
        <f t="array" ref="O1241">_xlfn.IFS(
tbl_analysis_tickets[[#This Row],[agent_experience_years]]&lt;=2,"Junior",
tbl_analysis_tickets[[#This Row],[agent_experience_years]]&lt;=5,"Mid-Level",
tbl_analysis_tickets[[#This Row],[agent_experience_years]]&lt;=8,"Senior",
tbl_analysis_tickets[[#This Row],[agent_experience_years]]&gt;8,"Expert"
)</f>
        <v>Senior</v>
      </c>
      <c r="P1241" cm="1">
        <f t="array" ref="P1241">_xlfn.SWITCH(tbl_analysis_tickets[[#This Row],[customer_satisfaction]],
"Low",1,
"Medium",2,
"High",3
)</f>
        <v>2</v>
      </c>
      <c r="Q1241">
        <f>IF(tbl_analysis_tickets[[#This Row],[reopened]]="Yes",1,0)</f>
        <v>0</v>
      </c>
      <c r="R1241" t="str" cm="1">
        <f t="array" ref="R1241">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241" t="str" cm="1">
        <f t="array" ref="S124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241" t="str">
        <f>TEXT(tbl_analysis_tickets[[#This Row],[created_date]],"mmm-yyyy")</f>
        <v>Dec-2024</v>
      </c>
      <c r="U1241" t="str">
        <f>TEXT(tbl_analysis_tickets[[#This Row],[created_date]],"dddd")</f>
        <v>Saturday</v>
      </c>
      <c r="V1241" cm="1">
        <f t="array" ref="V1241">_xlfn.SWITCH(tbl_analysis_tickets[[#This Row],[priority]],
"Urgent",1,
"High",2,
"Medium",3,
"Low",4
)</f>
        <v>3</v>
      </c>
    </row>
    <row r="1242" spans="1:22" x14ac:dyDescent="0.25">
      <c r="A1242">
        <v>1241</v>
      </c>
      <c r="B1242" s="1">
        <v>45297</v>
      </c>
      <c r="C1242" t="s">
        <v>10</v>
      </c>
      <c r="D1242" t="s">
        <v>17</v>
      </c>
      <c r="E1242">
        <v>184</v>
      </c>
      <c r="F1242">
        <v>46</v>
      </c>
      <c r="G1242">
        <v>6</v>
      </c>
      <c r="H1242" t="s">
        <v>12</v>
      </c>
      <c r="I1242" t="s">
        <v>19</v>
      </c>
      <c r="J1242" t="s">
        <v>11</v>
      </c>
      <c r="K1242">
        <f>_xlfn.XLOOKUP(tbl_analysis_tickets[[#This Row],[priority]],tbl_sla[priority],tbl_sla[Resolution SLA Hours])</f>
        <v>8</v>
      </c>
      <c r="L1242">
        <f>_xlfn.XLOOKUP(tbl_analysis_tickets[[#This Row],[priority]],tbl_sla[priority],tbl_sla[First Response SLA Minutes])</f>
        <v>30</v>
      </c>
      <c r="M1242" t="str">
        <f>IF(tbl_analysis_tickets[[#This Row],[resolution_time_hours]]&gt;tbl_analysis_tickets[[#This Row],[Resolution SLA Hours]],"Breached","Within SLA")</f>
        <v>Breached</v>
      </c>
      <c r="N1242" t="str">
        <f>IF(tbl_analysis_tickets[[#This Row],[first_response_minutes]]&gt;tbl_analysis_tickets[[#This Row],[First Response SLA Minutes]],"Breached","Within SLA")</f>
        <v>Breached</v>
      </c>
      <c r="O1242" t="str" cm="1">
        <f t="array" ref="O1242">_xlfn.IFS(
tbl_analysis_tickets[[#This Row],[agent_experience_years]]&lt;=2,"Junior",
tbl_analysis_tickets[[#This Row],[agent_experience_years]]&lt;=5,"Mid-Level",
tbl_analysis_tickets[[#This Row],[agent_experience_years]]&lt;=8,"Senior",
tbl_analysis_tickets[[#This Row],[agent_experience_years]]&gt;8,"Expert"
)</f>
        <v>Senior</v>
      </c>
      <c r="P1242" cm="1">
        <f t="array" ref="P1242">_xlfn.SWITCH(tbl_analysis_tickets[[#This Row],[customer_satisfaction]],
"Low",1,
"Medium",2,
"High",3
)</f>
        <v>1</v>
      </c>
      <c r="Q1242">
        <f>IF(tbl_analysis_tickets[[#This Row],[reopened]]="Yes",1,0)</f>
        <v>1</v>
      </c>
      <c r="R1242" t="str" cm="1">
        <f t="array" ref="R1242">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242" t="str" cm="1">
        <f t="array" ref="S124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242" t="str">
        <f>TEXT(tbl_analysis_tickets[[#This Row],[created_date]],"mmm-yyyy")</f>
        <v>Jan-2024</v>
      </c>
      <c r="U1242" t="str">
        <f>TEXT(tbl_analysis_tickets[[#This Row],[created_date]],"dddd")</f>
        <v>Saturday</v>
      </c>
      <c r="V1242" cm="1">
        <f t="array" ref="V1242">_xlfn.SWITCH(tbl_analysis_tickets[[#This Row],[priority]],
"Urgent",1,
"High",2,
"Medium",3,
"Low",4
)</f>
        <v>1</v>
      </c>
    </row>
    <row r="1243" spans="1:22" x14ac:dyDescent="0.25">
      <c r="A1243">
        <v>1242</v>
      </c>
      <c r="B1243" s="1">
        <v>45309</v>
      </c>
      <c r="C1243" t="s">
        <v>21</v>
      </c>
      <c r="D1243" t="s">
        <v>11</v>
      </c>
      <c r="E1243">
        <v>218</v>
      </c>
      <c r="F1243">
        <v>2</v>
      </c>
      <c r="G1243">
        <v>3.5</v>
      </c>
      <c r="H1243" t="s">
        <v>12</v>
      </c>
      <c r="I1243" t="s">
        <v>13</v>
      </c>
      <c r="J1243" t="s">
        <v>15</v>
      </c>
      <c r="K1243">
        <f>_xlfn.XLOOKUP(tbl_analysis_tickets[[#This Row],[priority]],tbl_sla[priority],tbl_sla[Resolution SLA Hours])</f>
        <v>72</v>
      </c>
      <c r="L1243">
        <f>_xlfn.XLOOKUP(tbl_analysis_tickets[[#This Row],[priority]],tbl_sla[priority],tbl_sla[First Response SLA Minutes])</f>
        <v>240</v>
      </c>
      <c r="M1243" t="str">
        <f>IF(tbl_analysis_tickets[[#This Row],[resolution_time_hours]]&gt;tbl_analysis_tickets[[#This Row],[Resolution SLA Hours]],"Breached","Within SLA")</f>
        <v>Within SLA</v>
      </c>
      <c r="N1243" t="str">
        <f>IF(tbl_analysis_tickets[[#This Row],[first_response_minutes]]&gt;tbl_analysis_tickets[[#This Row],[First Response SLA Minutes]],"Breached","Within SLA")</f>
        <v>Within SLA</v>
      </c>
      <c r="O1243" t="str" cm="1">
        <f t="array" ref="O1243">_xlfn.IFS(
tbl_analysis_tickets[[#This Row],[agent_experience_years]]&lt;=2,"Junior",
tbl_analysis_tickets[[#This Row],[agent_experience_years]]&lt;=5,"Mid-Level",
tbl_analysis_tickets[[#This Row],[agent_experience_years]]&lt;=8,"Senior",
tbl_analysis_tickets[[#This Row],[agent_experience_years]]&gt;8,"Expert"
)</f>
        <v>Mid-Level</v>
      </c>
      <c r="P1243" cm="1">
        <f t="array" ref="P1243">_xlfn.SWITCH(tbl_analysis_tickets[[#This Row],[customer_satisfaction]],
"Low",1,
"Medium",2,
"High",3
)</f>
        <v>2</v>
      </c>
      <c r="Q1243">
        <f>IF(tbl_analysis_tickets[[#This Row],[reopened]]="Yes",1,0)</f>
        <v>1</v>
      </c>
      <c r="R1243" t="str" cm="1">
        <f t="array" ref="R1243">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243" t="str" cm="1">
        <f t="array" ref="S124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1243" t="str">
        <f>TEXT(tbl_analysis_tickets[[#This Row],[created_date]],"mmm-yyyy")</f>
        <v>Jan-2024</v>
      </c>
      <c r="U1243" t="str">
        <f>TEXT(tbl_analysis_tickets[[#This Row],[created_date]],"dddd")</f>
        <v>Thursday</v>
      </c>
      <c r="V1243" cm="1">
        <f t="array" ref="V1243">_xlfn.SWITCH(tbl_analysis_tickets[[#This Row],[priority]],
"Urgent",1,
"High",2,
"Medium",3,
"Low",4
)</f>
        <v>4</v>
      </c>
    </row>
    <row r="1244" spans="1:22" x14ac:dyDescent="0.25">
      <c r="A1244">
        <v>1243</v>
      </c>
      <c r="B1244" s="1">
        <v>45596</v>
      </c>
      <c r="C1244" t="s">
        <v>14</v>
      </c>
      <c r="D1244" t="s">
        <v>11</v>
      </c>
      <c r="E1244">
        <v>60</v>
      </c>
      <c r="F1244">
        <v>26</v>
      </c>
      <c r="G1244">
        <v>3.6</v>
      </c>
      <c r="H1244" t="s">
        <v>12</v>
      </c>
      <c r="I1244" t="s">
        <v>13</v>
      </c>
      <c r="J1244" t="s">
        <v>11</v>
      </c>
      <c r="K1244">
        <f>_xlfn.XLOOKUP(tbl_analysis_tickets[[#This Row],[priority]],tbl_sla[priority],tbl_sla[Resolution SLA Hours])</f>
        <v>72</v>
      </c>
      <c r="L1244">
        <f>_xlfn.XLOOKUP(tbl_analysis_tickets[[#This Row],[priority]],tbl_sla[priority],tbl_sla[First Response SLA Minutes])</f>
        <v>240</v>
      </c>
      <c r="M1244" t="str">
        <f>IF(tbl_analysis_tickets[[#This Row],[resolution_time_hours]]&gt;tbl_analysis_tickets[[#This Row],[Resolution SLA Hours]],"Breached","Within SLA")</f>
        <v>Within SLA</v>
      </c>
      <c r="N1244" t="str">
        <f>IF(tbl_analysis_tickets[[#This Row],[first_response_minutes]]&gt;tbl_analysis_tickets[[#This Row],[First Response SLA Minutes]],"Breached","Within SLA")</f>
        <v>Within SLA</v>
      </c>
      <c r="O1244" t="str" cm="1">
        <f t="array" ref="O1244">_xlfn.IFS(
tbl_analysis_tickets[[#This Row],[agent_experience_years]]&lt;=2,"Junior",
tbl_analysis_tickets[[#This Row],[agent_experience_years]]&lt;=5,"Mid-Level",
tbl_analysis_tickets[[#This Row],[agent_experience_years]]&lt;=8,"Senior",
tbl_analysis_tickets[[#This Row],[agent_experience_years]]&gt;8,"Expert"
)</f>
        <v>Mid-Level</v>
      </c>
      <c r="P1244" cm="1">
        <f t="array" ref="P1244">_xlfn.SWITCH(tbl_analysis_tickets[[#This Row],[customer_satisfaction]],
"Low",1,
"Medium",2,
"High",3
)</f>
        <v>1</v>
      </c>
      <c r="Q1244">
        <f>IF(tbl_analysis_tickets[[#This Row],[reopened]]="Yes",1,0)</f>
        <v>1</v>
      </c>
      <c r="R1244" t="str" cm="1">
        <f t="array" ref="R1244">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244" t="str" cm="1">
        <f t="array" ref="S124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244" t="str">
        <f>TEXT(tbl_analysis_tickets[[#This Row],[created_date]],"mmm-yyyy")</f>
        <v>Oct-2024</v>
      </c>
      <c r="U1244" t="str">
        <f>TEXT(tbl_analysis_tickets[[#This Row],[created_date]],"dddd")</f>
        <v>Thursday</v>
      </c>
      <c r="V1244" cm="1">
        <f t="array" ref="V1244">_xlfn.SWITCH(tbl_analysis_tickets[[#This Row],[priority]],
"Urgent",1,
"High",2,
"Medium",3,
"Low",4
)</f>
        <v>4</v>
      </c>
    </row>
    <row r="1245" spans="1:22" x14ac:dyDescent="0.25">
      <c r="A1245">
        <v>1244</v>
      </c>
      <c r="B1245" s="1">
        <v>45307</v>
      </c>
      <c r="C1245" t="s">
        <v>14</v>
      </c>
      <c r="D1245" t="s">
        <v>15</v>
      </c>
      <c r="E1245">
        <v>69</v>
      </c>
      <c r="F1245">
        <v>57</v>
      </c>
      <c r="G1245">
        <v>2.6</v>
      </c>
      <c r="H1245" t="s">
        <v>12</v>
      </c>
      <c r="I1245" t="s">
        <v>16</v>
      </c>
      <c r="J1245" t="s">
        <v>11</v>
      </c>
      <c r="K1245">
        <f>_xlfn.XLOOKUP(tbl_analysis_tickets[[#This Row],[priority]],tbl_sla[priority],tbl_sla[Resolution SLA Hours])</f>
        <v>48</v>
      </c>
      <c r="L1245">
        <f>_xlfn.XLOOKUP(tbl_analysis_tickets[[#This Row],[priority]],tbl_sla[priority],tbl_sla[First Response SLA Minutes])</f>
        <v>120</v>
      </c>
      <c r="M1245" t="str">
        <f>IF(tbl_analysis_tickets[[#This Row],[resolution_time_hours]]&gt;tbl_analysis_tickets[[#This Row],[Resolution SLA Hours]],"Breached","Within SLA")</f>
        <v>Breached</v>
      </c>
      <c r="N1245" t="str">
        <f>IF(tbl_analysis_tickets[[#This Row],[first_response_minutes]]&gt;tbl_analysis_tickets[[#This Row],[First Response SLA Minutes]],"Breached","Within SLA")</f>
        <v>Within SLA</v>
      </c>
      <c r="O1245" t="str" cm="1">
        <f t="array" ref="O1245">_xlfn.IFS(
tbl_analysis_tickets[[#This Row],[agent_experience_years]]&lt;=2,"Junior",
tbl_analysis_tickets[[#This Row],[agent_experience_years]]&lt;=5,"Mid-Level",
tbl_analysis_tickets[[#This Row],[agent_experience_years]]&lt;=8,"Senior",
tbl_analysis_tickets[[#This Row],[agent_experience_years]]&gt;8,"Expert"
)</f>
        <v>Mid-Level</v>
      </c>
      <c r="P1245" cm="1">
        <f t="array" ref="P1245">_xlfn.SWITCH(tbl_analysis_tickets[[#This Row],[customer_satisfaction]],
"Low",1,
"Medium",2,
"High",3
)</f>
        <v>1</v>
      </c>
      <c r="Q1245">
        <f>IF(tbl_analysis_tickets[[#This Row],[reopened]]="Yes",1,0)</f>
        <v>1</v>
      </c>
      <c r="R1245" t="str" cm="1">
        <f t="array" ref="R1245">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245" t="str" cm="1">
        <f t="array" ref="S124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245" t="str">
        <f>TEXT(tbl_analysis_tickets[[#This Row],[created_date]],"mmm-yyyy")</f>
        <v>Jan-2024</v>
      </c>
      <c r="U1245" t="str">
        <f>TEXT(tbl_analysis_tickets[[#This Row],[created_date]],"dddd")</f>
        <v>Tuesday</v>
      </c>
      <c r="V1245" cm="1">
        <f t="array" ref="V1245">_xlfn.SWITCH(tbl_analysis_tickets[[#This Row],[priority]],
"Urgent",1,
"High",2,
"Medium",3,
"Low",4
)</f>
        <v>3</v>
      </c>
    </row>
    <row r="1246" spans="1:22" x14ac:dyDescent="0.25">
      <c r="A1246">
        <v>1245</v>
      </c>
      <c r="B1246" s="1">
        <v>45549</v>
      </c>
      <c r="C1246" t="s">
        <v>14</v>
      </c>
      <c r="D1246" t="s">
        <v>15</v>
      </c>
      <c r="E1246">
        <v>188</v>
      </c>
      <c r="F1246">
        <v>50</v>
      </c>
      <c r="G1246">
        <v>7.6</v>
      </c>
      <c r="H1246" t="s">
        <v>18</v>
      </c>
      <c r="I1246" t="s">
        <v>13</v>
      </c>
      <c r="J1246" t="s">
        <v>15</v>
      </c>
      <c r="K1246">
        <f>_xlfn.XLOOKUP(tbl_analysis_tickets[[#This Row],[priority]],tbl_sla[priority],tbl_sla[Resolution SLA Hours])</f>
        <v>48</v>
      </c>
      <c r="L1246">
        <f>_xlfn.XLOOKUP(tbl_analysis_tickets[[#This Row],[priority]],tbl_sla[priority],tbl_sla[First Response SLA Minutes])</f>
        <v>120</v>
      </c>
      <c r="M1246" t="str">
        <f>IF(tbl_analysis_tickets[[#This Row],[resolution_time_hours]]&gt;tbl_analysis_tickets[[#This Row],[Resolution SLA Hours]],"Breached","Within SLA")</f>
        <v>Breached</v>
      </c>
      <c r="N1246" t="str">
        <f>IF(tbl_analysis_tickets[[#This Row],[first_response_minutes]]&gt;tbl_analysis_tickets[[#This Row],[First Response SLA Minutes]],"Breached","Within SLA")</f>
        <v>Breached</v>
      </c>
      <c r="O1246" t="str" cm="1">
        <f t="array" ref="O1246">_xlfn.IFS(
tbl_analysis_tickets[[#This Row],[agent_experience_years]]&lt;=2,"Junior",
tbl_analysis_tickets[[#This Row],[agent_experience_years]]&lt;=5,"Mid-Level",
tbl_analysis_tickets[[#This Row],[agent_experience_years]]&lt;=8,"Senior",
tbl_analysis_tickets[[#This Row],[agent_experience_years]]&gt;8,"Expert"
)</f>
        <v>Senior</v>
      </c>
      <c r="P1246" cm="1">
        <f t="array" ref="P1246">_xlfn.SWITCH(tbl_analysis_tickets[[#This Row],[customer_satisfaction]],
"Low",1,
"Medium",2,
"High",3
)</f>
        <v>2</v>
      </c>
      <c r="Q1246">
        <f>IF(tbl_analysis_tickets[[#This Row],[reopened]]="Yes",1,0)</f>
        <v>0</v>
      </c>
      <c r="R1246" t="str" cm="1">
        <f t="array" ref="R1246">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246" t="str" cm="1">
        <f t="array" ref="S124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246" t="str">
        <f>TEXT(tbl_analysis_tickets[[#This Row],[created_date]],"mmm-yyyy")</f>
        <v>Sep-2024</v>
      </c>
      <c r="U1246" t="str">
        <f>TEXT(tbl_analysis_tickets[[#This Row],[created_date]],"dddd")</f>
        <v>Saturday</v>
      </c>
      <c r="V1246" cm="1">
        <f t="array" ref="V1246">_xlfn.SWITCH(tbl_analysis_tickets[[#This Row],[priority]],
"Urgent",1,
"High",2,
"Medium",3,
"Low",4
)</f>
        <v>3</v>
      </c>
    </row>
    <row r="1247" spans="1:22" x14ac:dyDescent="0.25">
      <c r="A1247">
        <v>1246</v>
      </c>
      <c r="B1247" s="1">
        <v>45431</v>
      </c>
      <c r="C1247" t="s">
        <v>10</v>
      </c>
      <c r="D1247" t="s">
        <v>11</v>
      </c>
      <c r="E1247">
        <v>86</v>
      </c>
      <c r="F1247">
        <v>19</v>
      </c>
      <c r="G1247">
        <v>2.2999999999999998</v>
      </c>
      <c r="H1247" t="s">
        <v>12</v>
      </c>
      <c r="I1247" t="s">
        <v>13</v>
      </c>
      <c r="J1247" t="s">
        <v>11</v>
      </c>
      <c r="K1247">
        <f>_xlfn.XLOOKUP(tbl_analysis_tickets[[#This Row],[priority]],tbl_sla[priority],tbl_sla[Resolution SLA Hours])</f>
        <v>72</v>
      </c>
      <c r="L1247">
        <f>_xlfn.XLOOKUP(tbl_analysis_tickets[[#This Row],[priority]],tbl_sla[priority],tbl_sla[First Response SLA Minutes])</f>
        <v>240</v>
      </c>
      <c r="M1247" t="str">
        <f>IF(tbl_analysis_tickets[[#This Row],[resolution_time_hours]]&gt;tbl_analysis_tickets[[#This Row],[Resolution SLA Hours]],"Breached","Within SLA")</f>
        <v>Within SLA</v>
      </c>
      <c r="N1247" t="str">
        <f>IF(tbl_analysis_tickets[[#This Row],[first_response_minutes]]&gt;tbl_analysis_tickets[[#This Row],[First Response SLA Minutes]],"Breached","Within SLA")</f>
        <v>Within SLA</v>
      </c>
      <c r="O1247" t="str" cm="1">
        <f t="array" ref="O1247">_xlfn.IFS(
tbl_analysis_tickets[[#This Row],[agent_experience_years]]&lt;=2,"Junior",
tbl_analysis_tickets[[#This Row],[agent_experience_years]]&lt;=5,"Mid-Level",
tbl_analysis_tickets[[#This Row],[agent_experience_years]]&lt;=8,"Senior",
tbl_analysis_tickets[[#This Row],[agent_experience_years]]&gt;8,"Expert"
)</f>
        <v>Mid-Level</v>
      </c>
      <c r="P1247" cm="1">
        <f t="array" ref="P1247">_xlfn.SWITCH(tbl_analysis_tickets[[#This Row],[customer_satisfaction]],
"Low",1,
"Medium",2,
"High",3
)</f>
        <v>1</v>
      </c>
      <c r="Q1247">
        <f>IF(tbl_analysis_tickets[[#This Row],[reopened]]="Yes",1,0)</f>
        <v>1</v>
      </c>
      <c r="R1247" t="str" cm="1">
        <f t="array" ref="R1247">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247" t="str" cm="1">
        <f t="array" ref="S124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247" t="str">
        <f>TEXT(tbl_analysis_tickets[[#This Row],[created_date]],"mmm-yyyy")</f>
        <v>May-2024</v>
      </c>
      <c r="U1247" t="str">
        <f>TEXT(tbl_analysis_tickets[[#This Row],[created_date]],"dddd")</f>
        <v>Sunday</v>
      </c>
      <c r="V1247" cm="1">
        <f t="array" ref="V1247">_xlfn.SWITCH(tbl_analysis_tickets[[#This Row],[priority]],
"Urgent",1,
"High",2,
"Medium",3,
"Low",4
)</f>
        <v>4</v>
      </c>
    </row>
    <row r="1248" spans="1:22" x14ac:dyDescent="0.25">
      <c r="A1248">
        <v>1247</v>
      </c>
      <c r="B1248" s="1">
        <v>45559</v>
      </c>
      <c r="C1248" t="s">
        <v>23</v>
      </c>
      <c r="D1248" t="s">
        <v>20</v>
      </c>
      <c r="E1248">
        <v>49</v>
      </c>
      <c r="F1248">
        <v>31</v>
      </c>
      <c r="G1248">
        <v>4.3</v>
      </c>
      <c r="H1248" t="s">
        <v>18</v>
      </c>
      <c r="I1248" t="s">
        <v>16</v>
      </c>
      <c r="J1248" t="s">
        <v>11</v>
      </c>
      <c r="K1248">
        <f>_xlfn.XLOOKUP(tbl_analysis_tickets[[#This Row],[priority]],tbl_sla[priority],tbl_sla[Resolution SLA Hours])</f>
        <v>24</v>
      </c>
      <c r="L1248">
        <f>_xlfn.XLOOKUP(tbl_analysis_tickets[[#This Row],[priority]],tbl_sla[priority],tbl_sla[First Response SLA Minutes])</f>
        <v>60</v>
      </c>
      <c r="M1248" t="str">
        <f>IF(tbl_analysis_tickets[[#This Row],[resolution_time_hours]]&gt;tbl_analysis_tickets[[#This Row],[Resolution SLA Hours]],"Breached","Within SLA")</f>
        <v>Breached</v>
      </c>
      <c r="N1248" t="str">
        <f>IF(tbl_analysis_tickets[[#This Row],[first_response_minutes]]&gt;tbl_analysis_tickets[[#This Row],[First Response SLA Minutes]],"Breached","Within SLA")</f>
        <v>Within SLA</v>
      </c>
      <c r="O1248" t="str" cm="1">
        <f t="array" ref="O1248">_xlfn.IFS(
tbl_analysis_tickets[[#This Row],[agent_experience_years]]&lt;=2,"Junior",
tbl_analysis_tickets[[#This Row],[agent_experience_years]]&lt;=5,"Mid-Level",
tbl_analysis_tickets[[#This Row],[agent_experience_years]]&lt;=8,"Senior",
tbl_analysis_tickets[[#This Row],[agent_experience_years]]&gt;8,"Expert"
)</f>
        <v>Mid-Level</v>
      </c>
      <c r="P1248" cm="1">
        <f t="array" ref="P1248">_xlfn.SWITCH(tbl_analysis_tickets[[#This Row],[customer_satisfaction]],
"Low",1,
"Medium",2,
"High",3
)</f>
        <v>1</v>
      </c>
      <c r="Q1248">
        <f>IF(tbl_analysis_tickets[[#This Row],[reopened]]="Yes",1,0)</f>
        <v>0</v>
      </c>
      <c r="R1248" t="str" cm="1">
        <f t="array" ref="R1248">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248" t="str" cm="1">
        <f t="array" ref="S124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248" t="str">
        <f>TEXT(tbl_analysis_tickets[[#This Row],[created_date]],"mmm-yyyy")</f>
        <v>Sep-2024</v>
      </c>
      <c r="U1248" t="str">
        <f>TEXT(tbl_analysis_tickets[[#This Row],[created_date]],"dddd")</f>
        <v>Tuesday</v>
      </c>
      <c r="V1248" cm="1">
        <f t="array" ref="V1248">_xlfn.SWITCH(tbl_analysis_tickets[[#This Row],[priority]],
"Urgent",1,
"High",2,
"Medium",3,
"Low",4
)</f>
        <v>2</v>
      </c>
    </row>
    <row r="1249" spans="1:22" x14ac:dyDescent="0.25">
      <c r="A1249">
        <v>1248</v>
      </c>
      <c r="B1249" s="1">
        <v>45439</v>
      </c>
      <c r="C1249" t="s">
        <v>21</v>
      </c>
      <c r="D1249" t="s">
        <v>17</v>
      </c>
      <c r="E1249">
        <v>134</v>
      </c>
      <c r="F1249">
        <v>22</v>
      </c>
      <c r="G1249">
        <v>4</v>
      </c>
      <c r="H1249" t="s">
        <v>18</v>
      </c>
      <c r="I1249" t="s">
        <v>16</v>
      </c>
      <c r="J1249" t="s">
        <v>11</v>
      </c>
      <c r="K1249">
        <f>_xlfn.XLOOKUP(tbl_analysis_tickets[[#This Row],[priority]],tbl_sla[priority],tbl_sla[Resolution SLA Hours])</f>
        <v>8</v>
      </c>
      <c r="L1249">
        <f>_xlfn.XLOOKUP(tbl_analysis_tickets[[#This Row],[priority]],tbl_sla[priority],tbl_sla[First Response SLA Minutes])</f>
        <v>30</v>
      </c>
      <c r="M1249" t="str">
        <f>IF(tbl_analysis_tickets[[#This Row],[resolution_time_hours]]&gt;tbl_analysis_tickets[[#This Row],[Resolution SLA Hours]],"Breached","Within SLA")</f>
        <v>Breached</v>
      </c>
      <c r="N1249" t="str">
        <f>IF(tbl_analysis_tickets[[#This Row],[first_response_minutes]]&gt;tbl_analysis_tickets[[#This Row],[First Response SLA Minutes]],"Breached","Within SLA")</f>
        <v>Breached</v>
      </c>
      <c r="O1249" t="str" cm="1">
        <f t="array" ref="O1249">_xlfn.IFS(
tbl_analysis_tickets[[#This Row],[agent_experience_years]]&lt;=2,"Junior",
tbl_analysis_tickets[[#This Row],[agent_experience_years]]&lt;=5,"Mid-Level",
tbl_analysis_tickets[[#This Row],[agent_experience_years]]&lt;=8,"Senior",
tbl_analysis_tickets[[#This Row],[agent_experience_years]]&gt;8,"Expert"
)</f>
        <v>Mid-Level</v>
      </c>
      <c r="P1249" cm="1">
        <f t="array" ref="P1249">_xlfn.SWITCH(tbl_analysis_tickets[[#This Row],[customer_satisfaction]],
"Low",1,
"Medium",2,
"High",3
)</f>
        <v>1</v>
      </c>
      <c r="Q1249">
        <f>IF(tbl_analysis_tickets[[#This Row],[reopened]]="Yes",1,0)</f>
        <v>0</v>
      </c>
      <c r="R1249" t="str" cm="1">
        <f t="array" ref="R1249">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249" t="str" cm="1">
        <f t="array" ref="S124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249" t="str">
        <f>TEXT(tbl_analysis_tickets[[#This Row],[created_date]],"mmm-yyyy")</f>
        <v>May-2024</v>
      </c>
      <c r="U1249" t="str">
        <f>TEXT(tbl_analysis_tickets[[#This Row],[created_date]],"dddd")</f>
        <v>Monday</v>
      </c>
      <c r="V1249" cm="1">
        <f t="array" ref="V1249">_xlfn.SWITCH(tbl_analysis_tickets[[#This Row],[priority]],
"Urgent",1,
"High",2,
"Medium",3,
"Low",4
)</f>
        <v>1</v>
      </c>
    </row>
    <row r="1250" spans="1:22" x14ac:dyDescent="0.25">
      <c r="A1250">
        <v>1249</v>
      </c>
      <c r="B1250" s="1">
        <v>45453</v>
      </c>
      <c r="C1250" t="s">
        <v>22</v>
      </c>
      <c r="D1250" t="s">
        <v>15</v>
      </c>
      <c r="E1250">
        <v>230</v>
      </c>
      <c r="F1250">
        <v>65</v>
      </c>
      <c r="G1250">
        <v>5.8</v>
      </c>
      <c r="H1250" t="s">
        <v>12</v>
      </c>
      <c r="I1250" t="s">
        <v>13</v>
      </c>
      <c r="J1250" t="s">
        <v>11</v>
      </c>
      <c r="K1250">
        <f>_xlfn.XLOOKUP(tbl_analysis_tickets[[#This Row],[priority]],tbl_sla[priority],tbl_sla[Resolution SLA Hours])</f>
        <v>48</v>
      </c>
      <c r="L1250">
        <f>_xlfn.XLOOKUP(tbl_analysis_tickets[[#This Row],[priority]],tbl_sla[priority],tbl_sla[First Response SLA Minutes])</f>
        <v>120</v>
      </c>
      <c r="M1250" t="str">
        <f>IF(tbl_analysis_tickets[[#This Row],[resolution_time_hours]]&gt;tbl_analysis_tickets[[#This Row],[Resolution SLA Hours]],"Breached","Within SLA")</f>
        <v>Breached</v>
      </c>
      <c r="N1250" t="str">
        <f>IF(tbl_analysis_tickets[[#This Row],[first_response_minutes]]&gt;tbl_analysis_tickets[[#This Row],[First Response SLA Minutes]],"Breached","Within SLA")</f>
        <v>Breached</v>
      </c>
      <c r="O1250" t="str" cm="1">
        <f t="array" ref="O1250">_xlfn.IFS(
tbl_analysis_tickets[[#This Row],[agent_experience_years]]&lt;=2,"Junior",
tbl_analysis_tickets[[#This Row],[agent_experience_years]]&lt;=5,"Mid-Level",
tbl_analysis_tickets[[#This Row],[agent_experience_years]]&lt;=8,"Senior",
tbl_analysis_tickets[[#This Row],[agent_experience_years]]&gt;8,"Expert"
)</f>
        <v>Senior</v>
      </c>
      <c r="P1250" cm="1">
        <f t="array" ref="P1250">_xlfn.SWITCH(tbl_analysis_tickets[[#This Row],[customer_satisfaction]],
"Low",1,
"Medium",2,
"High",3
)</f>
        <v>1</v>
      </c>
      <c r="Q1250">
        <f>IF(tbl_analysis_tickets[[#This Row],[reopened]]="Yes",1,0)</f>
        <v>1</v>
      </c>
      <c r="R1250" t="str" cm="1">
        <f t="array" ref="R1250">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250" t="str" cm="1">
        <f t="array" ref="S125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250" t="str">
        <f>TEXT(tbl_analysis_tickets[[#This Row],[created_date]],"mmm-yyyy")</f>
        <v>Jun-2024</v>
      </c>
      <c r="U1250" t="str">
        <f>TEXT(tbl_analysis_tickets[[#This Row],[created_date]],"dddd")</f>
        <v>Monday</v>
      </c>
      <c r="V1250" cm="1">
        <f t="array" ref="V1250">_xlfn.SWITCH(tbl_analysis_tickets[[#This Row],[priority]],
"Urgent",1,
"High",2,
"Medium",3,
"Low",4
)</f>
        <v>3</v>
      </c>
    </row>
    <row r="1251" spans="1:22" x14ac:dyDescent="0.25">
      <c r="A1251">
        <v>1250</v>
      </c>
      <c r="B1251" s="1">
        <v>45415</v>
      </c>
      <c r="C1251" t="s">
        <v>14</v>
      </c>
      <c r="D1251" t="s">
        <v>15</v>
      </c>
      <c r="E1251">
        <v>132</v>
      </c>
      <c r="F1251">
        <v>12</v>
      </c>
      <c r="G1251">
        <v>1.5</v>
      </c>
      <c r="H1251" t="s">
        <v>12</v>
      </c>
      <c r="I1251" t="s">
        <v>19</v>
      </c>
      <c r="J1251" t="s">
        <v>11</v>
      </c>
      <c r="K1251">
        <f>_xlfn.XLOOKUP(tbl_analysis_tickets[[#This Row],[priority]],tbl_sla[priority],tbl_sla[Resolution SLA Hours])</f>
        <v>48</v>
      </c>
      <c r="L1251">
        <f>_xlfn.XLOOKUP(tbl_analysis_tickets[[#This Row],[priority]],tbl_sla[priority],tbl_sla[First Response SLA Minutes])</f>
        <v>120</v>
      </c>
      <c r="M1251" t="str">
        <f>IF(tbl_analysis_tickets[[#This Row],[resolution_time_hours]]&gt;tbl_analysis_tickets[[#This Row],[Resolution SLA Hours]],"Breached","Within SLA")</f>
        <v>Within SLA</v>
      </c>
      <c r="N1251" t="str">
        <f>IF(tbl_analysis_tickets[[#This Row],[first_response_minutes]]&gt;tbl_analysis_tickets[[#This Row],[First Response SLA Minutes]],"Breached","Within SLA")</f>
        <v>Breached</v>
      </c>
      <c r="O1251" t="str" cm="1">
        <f t="array" ref="O1251">_xlfn.IFS(
tbl_analysis_tickets[[#This Row],[agent_experience_years]]&lt;=2,"Junior",
tbl_analysis_tickets[[#This Row],[agent_experience_years]]&lt;=5,"Mid-Level",
tbl_analysis_tickets[[#This Row],[agent_experience_years]]&lt;=8,"Senior",
tbl_analysis_tickets[[#This Row],[agent_experience_years]]&gt;8,"Expert"
)</f>
        <v>Junior</v>
      </c>
      <c r="P1251" cm="1">
        <f t="array" ref="P1251">_xlfn.SWITCH(tbl_analysis_tickets[[#This Row],[customer_satisfaction]],
"Low",1,
"Medium",2,
"High",3
)</f>
        <v>1</v>
      </c>
      <c r="Q1251">
        <f>IF(tbl_analysis_tickets[[#This Row],[reopened]]="Yes",1,0)</f>
        <v>1</v>
      </c>
      <c r="R1251" t="str" cm="1">
        <f t="array" ref="R1251">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251" t="str" cm="1">
        <f t="array" ref="S125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251" t="str">
        <f>TEXT(tbl_analysis_tickets[[#This Row],[created_date]],"mmm-yyyy")</f>
        <v>May-2024</v>
      </c>
      <c r="U1251" t="str">
        <f>TEXT(tbl_analysis_tickets[[#This Row],[created_date]],"dddd")</f>
        <v>Friday</v>
      </c>
      <c r="V1251" cm="1">
        <f t="array" ref="V1251">_xlfn.SWITCH(tbl_analysis_tickets[[#This Row],[priority]],
"Urgent",1,
"High",2,
"Medium",3,
"Low",4
)</f>
        <v>3</v>
      </c>
    </row>
    <row r="1252" spans="1:22" x14ac:dyDescent="0.25">
      <c r="A1252">
        <v>1251</v>
      </c>
      <c r="B1252" s="1">
        <v>45608</v>
      </c>
      <c r="C1252" t="s">
        <v>22</v>
      </c>
      <c r="D1252" t="s">
        <v>15</v>
      </c>
      <c r="E1252">
        <v>202</v>
      </c>
      <c r="F1252">
        <v>37</v>
      </c>
      <c r="G1252">
        <v>4.5999999999999996</v>
      </c>
      <c r="H1252" t="s">
        <v>12</v>
      </c>
      <c r="I1252" t="s">
        <v>19</v>
      </c>
      <c r="J1252" t="s">
        <v>11</v>
      </c>
      <c r="K1252">
        <f>_xlfn.XLOOKUP(tbl_analysis_tickets[[#This Row],[priority]],tbl_sla[priority],tbl_sla[Resolution SLA Hours])</f>
        <v>48</v>
      </c>
      <c r="L1252">
        <f>_xlfn.XLOOKUP(tbl_analysis_tickets[[#This Row],[priority]],tbl_sla[priority],tbl_sla[First Response SLA Minutes])</f>
        <v>120</v>
      </c>
      <c r="M1252" t="str">
        <f>IF(tbl_analysis_tickets[[#This Row],[resolution_time_hours]]&gt;tbl_analysis_tickets[[#This Row],[Resolution SLA Hours]],"Breached","Within SLA")</f>
        <v>Within SLA</v>
      </c>
      <c r="N1252" t="str">
        <f>IF(tbl_analysis_tickets[[#This Row],[first_response_minutes]]&gt;tbl_analysis_tickets[[#This Row],[First Response SLA Minutes]],"Breached","Within SLA")</f>
        <v>Breached</v>
      </c>
      <c r="O1252" t="str" cm="1">
        <f t="array" ref="O1252">_xlfn.IFS(
tbl_analysis_tickets[[#This Row],[agent_experience_years]]&lt;=2,"Junior",
tbl_analysis_tickets[[#This Row],[agent_experience_years]]&lt;=5,"Mid-Level",
tbl_analysis_tickets[[#This Row],[agent_experience_years]]&lt;=8,"Senior",
tbl_analysis_tickets[[#This Row],[agent_experience_years]]&gt;8,"Expert"
)</f>
        <v>Mid-Level</v>
      </c>
      <c r="P1252" cm="1">
        <f t="array" ref="P1252">_xlfn.SWITCH(tbl_analysis_tickets[[#This Row],[customer_satisfaction]],
"Low",1,
"Medium",2,
"High",3
)</f>
        <v>1</v>
      </c>
      <c r="Q1252">
        <f>IF(tbl_analysis_tickets[[#This Row],[reopened]]="Yes",1,0)</f>
        <v>1</v>
      </c>
      <c r="R1252" t="str" cm="1">
        <f t="array" ref="R1252">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252" t="str" cm="1">
        <f t="array" ref="S125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252" t="str">
        <f>TEXT(tbl_analysis_tickets[[#This Row],[created_date]],"mmm-yyyy")</f>
        <v>Nov-2024</v>
      </c>
      <c r="U1252" t="str">
        <f>TEXT(tbl_analysis_tickets[[#This Row],[created_date]],"dddd")</f>
        <v>Tuesday</v>
      </c>
      <c r="V1252" cm="1">
        <f t="array" ref="V1252">_xlfn.SWITCH(tbl_analysis_tickets[[#This Row],[priority]],
"Urgent",1,
"High",2,
"Medium",3,
"Low",4
)</f>
        <v>3</v>
      </c>
    </row>
    <row r="1253" spans="1:22" x14ac:dyDescent="0.25">
      <c r="A1253">
        <v>1252</v>
      </c>
      <c r="B1253" s="1">
        <v>45292</v>
      </c>
      <c r="C1253" t="s">
        <v>22</v>
      </c>
      <c r="D1253" t="s">
        <v>11</v>
      </c>
      <c r="E1253">
        <v>50</v>
      </c>
      <c r="F1253">
        <v>67</v>
      </c>
      <c r="G1253">
        <v>2.2000000000000002</v>
      </c>
      <c r="H1253" t="s">
        <v>12</v>
      </c>
      <c r="I1253" t="s">
        <v>13</v>
      </c>
      <c r="J1253" t="s">
        <v>11</v>
      </c>
      <c r="K1253">
        <f>_xlfn.XLOOKUP(tbl_analysis_tickets[[#This Row],[priority]],tbl_sla[priority],tbl_sla[Resolution SLA Hours])</f>
        <v>72</v>
      </c>
      <c r="L1253">
        <f>_xlfn.XLOOKUP(tbl_analysis_tickets[[#This Row],[priority]],tbl_sla[priority],tbl_sla[First Response SLA Minutes])</f>
        <v>240</v>
      </c>
      <c r="M1253" t="str">
        <f>IF(tbl_analysis_tickets[[#This Row],[resolution_time_hours]]&gt;tbl_analysis_tickets[[#This Row],[Resolution SLA Hours]],"Breached","Within SLA")</f>
        <v>Within SLA</v>
      </c>
      <c r="N1253" t="str">
        <f>IF(tbl_analysis_tickets[[#This Row],[first_response_minutes]]&gt;tbl_analysis_tickets[[#This Row],[First Response SLA Minutes]],"Breached","Within SLA")</f>
        <v>Within SLA</v>
      </c>
      <c r="O1253" t="str" cm="1">
        <f t="array" ref="O1253">_xlfn.IFS(
tbl_analysis_tickets[[#This Row],[agent_experience_years]]&lt;=2,"Junior",
tbl_analysis_tickets[[#This Row],[agent_experience_years]]&lt;=5,"Mid-Level",
tbl_analysis_tickets[[#This Row],[agent_experience_years]]&lt;=8,"Senior",
tbl_analysis_tickets[[#This Row],[agent_experience_years]]&gt;8,"Expert"
)</f>
        <v>Mid-Level</v>
      </c>
      <c r="P1253" cm="1">
        <f t="array" ref="P1253">_xlfn.SWITCH(tbl_analysis_tickets[[#This Row],[customer_satisfaction]],
"Low",1,
"Medium",2,
"High",3
)</f>
        <v>1</v>
      </c>
      <c r="Q1253">
        <f>IF(tbl_analysis_tickets[[#This Row],[reopened]]="Yes",1,0)</f>
        <v>1</v>
      </c>
      <c r="R1253" t="str" cm="1">
        <f t="array" ref="R1253">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253" t="str" cm="1">
        <f t="array" ref="S125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253" t="str">
        <f>TEXT(tbl_analysis_tickets[[#This Row],[created_date]],"mmm-yyyy")</f>
        <v>Jan-2024</v>
      </c>
      <c r="U1253" t="str">
        <f>TEXT(tbl_analysis_tickets[[#This Row],[created_date]],"dddd")</f>
        <v>Monday</v>
      </c>
      <c r="V1253" cm="1">
        <f t="array" ref="V1253">_xlfn.SWITCH(tbl_analysis_tickets[[#This Row],[priority]],
"Urgent",1,
"High",2,
"Medium",3,
"Low",4
)</f>
        <v>4</v>
      </c>
    </row>
    <row r="1254" spans="1:22" x14ac:dyDescent="0.25">
      <c r="A1254">
        <v>1253</v>
      </c>
      <c r="B1254" s="1">
        <v>45416</v>
      </c>
      <c r="C1254" t="s">
        <v>21</v>
      </c>
      <c r="D1254" t="s">
        <v>15</v>
      </c>
      <c r="E1254">
        <v>89</v>
      </c>
      <c r="F1254">
        <v>18</v>
      </c>
      <c r="G1254">
        <v>0.9</v>
      </c>
      <c r="H1254" t="s">
        <v>18</v>
      </c>
      <c r="I1254" t="s">
        <v>13</v>
      </c>
      <c r="J1254" t="s">
        <v>11</v>
      </c>
      <c r="K1254">
        <f>_xlfn.XLOOKUP(tbl_analysis_tickets[[#This Row],[priority]],tbl_sla[priority],tbl_sla[Resolution SLA Hours])</f>
        <v>48</v>
      </c>
      <c r="L1254">
        <f>_xlfn.XLOOKUP(tbl_analysis_tickets[[#This Row],[priority]],tbl_sla[priority],tbl_sla[First Response SLA Minutes])</f>
        <v>120</v>
      </c>
      <c r="M1254" t="str">
        <f>IF(tbl_analysis_tickets[[#This Row],[resolution_time_hours]]&gt;tbl_analysis_tickets[[#This Row],[Resolution SLA Hours]],"Breached","Within SLA")</f>
        <v>Within SLA</v>
      </c>
      <c r="N1254" t="str">
        <f>IF(tbl_analysis_tickets[[#This Row],[first_response_minutes]]&gt;tbl_analysis_tickets[[#This Row],[First Response SLA Minutes]],"Breached","Within SLA")</f>
        <v>Within SLA</v>
      </c>
      <c r="O1254" t="str" cm="1">
        <f t="array" ref="O1254">_xlfn.IFS(
tbl_analysis_tickets[[#This Row],[agent_experience_years]]&lt;=2,"Junior",
tbl_analysis_tickets[[#This Row],[agent_experience_years]]&lt;=5,"Mid-Level",
tbl_analysis_tickets[[#This Row],[agent_experience_years]]&lt;=8,"Senior",
tbl_analysis_tickets[[#This Row],[agent_experience_years]]&gt;8,"Expert"
)</f>
        <v>Junior</v>
      </c>
      <c r="P1254" cm="1">
        <f t="array" ref="P1254">_xlfn.SWITCH(tbl_analysis_tickets[[#This Row],[customer_satisfaction]],
"Low",1,
"Medium",2,
"High",3
)</f>
        <v>1</v>
      </c>
      <c r="Q1254">
        <f>IF(tbl_analysis_tickets[[#This Row],[reopened]]="Yes",1,0)</f>
        <v>0</v>
      </c>
      <c r="R1254" t="str" cm="1">
        <f t="array" ref="R1254">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254" t="str" cm="1">
        <f t="array" ref="S125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254" t="str">
        <f>TEXT(tbl_analysis_tickets[[#This Row],[created_date]],"mmm-yyyy")</f>
        <v>May-2024</v>
      </c>
      <c r="U1254" t="str">
        <f>TEXT(tbl_analysis_tickets[[#This Row],[created_date]],"dddd")</f>
        <v>Saturday</v>
      </c>
      <c r="V1254" cm="1">
        <f t="array" ref="V1254">_xlfn.SWITCH(tbl_analysis_tickets[[#This Row],[priority]],
"Urgent",1,
"High",2,
"Medium",3,
"Low",4
)</f>
        <v>3</v>
      </c>
    </row>
    <row r="1255" spans="1:22" x14ac:dyDescent="0.25">
      <c r="A1255">
        <v>1254</v>
      </c>
      <c r="B1255" s="1">
        <v>45358</v>
      </c>
      <c r="C1255" t="s">
        <v>21</v>
      </c>
      <c r="D1255" t="s">
        <v>20</v>
      </c>
      <c r="E1255">
        <v>206</v>
      </c>
      <c r="F1255">
        <v>25</v>
      </c>
      <c r="G1255">
        <v>4.3</v>
      </c>
      <c r="H1255" t="s">
        <v>12</v>
      </c>
      <c r="I1255" t="s">
        <v>19</v>
      </c>
      <c r="J1255" t="s">
        <v>11</v>
      </c>
      <c r="K1255">
        <f>_xlfn.XLOOKUP(tbl_analysis_tickets[[#This Row],[priority]],tbl_sla[priority],tbl_sla[Resolution SLA Hours])</f>
        <v>24</v>
      </c>
      <c r="L1255">
        <f>_xlfn.XLOOKUP(tbl_analysis_tickets[[#This Row],[priority]],tbl_sla[priority],tbl_sla[First Response SLA Minutes])</f>
        <v>60</v>
      </c>
      <c r="M1255" t="str">
        <f>IF(tbl_analysis_tickets[[#This Row],[resolution_time_hours]]&gt;tbl_analysis_tickets[[#This Row],[Resolution SLA Hours]],"Breached","Within SLA")</f>
        <v>Breached</v>
      </c>
      <c r="N1255" t="str">
        <f>IF(tbl_analysis_tickets[[#This Row],[first_response_minutes]]&gt;tbl_analysis_tickets[[#This Row],[First Response SLA Minutes]],"Breached","Within SLA")</f>
        <v>Breached</v>
      </c>
      <c r="O1255" t="str" cm="1">
        <f t="array" ref="O1255">_xlfn.IFS(
tbl_analysis_tickets[[#This Row],[agent_experience_years]]&lt;=2,"Junior",
tbl_analysis_tickets[[#This Row],[agent_experience_years]]&lt;=5,"Mid-Level",
tbl_analysis_tickets[[#This Row],[agent_experience_years]]&lt;=8,"Senior",
tbl_analysis_tickets[[#This Row],[agent_experience_years]]&gt;8,"Expert"
)</f>
        <v>Mid-Level</v>
      </c>
      <c r="P1255" cm="1">
        <f t="array" ref="P1255">_xlfn.SWITCH(tbl_analysis_tickets[[#This Row],[customer_satisfaction]],
"Low",1,
"Medium",2,
"High",3
)</f>
        <v>1</v>
      </c>
      <c r="Q1255">
        <f>IF(tbl_analysis_tickets[[#This Row],[reopened]]="Yes",1,0)</f>
        <v>1</v>
      </c>
      <c r="R1255" t="str" cm="1">
        <f t="array" ref="R1255">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255" t="str" cm="1">
        <f t="array" ref="S125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255" t="str">
        <f>TEXT(tbl_analysis_tickets[[#This Row],[created_date]],"mmm-yyyy")</f>
        <v>Mar-2024</v>
      </c>
      <c r="U1255" t="str">
        <f>TEXT(tbl_analysis_tickets[[#This Row],[created_date]],"dddd")</f>
        <v>Thursday</v>
      </c>
      <c r="V1255" cm="1">
        <f t="array" ref="V1255">_xlfn.SWITCH(tbl_analysis_tickets[[#This Row],[priority]],
"Urgent",1,
"High",2,
"Medium",3,
"Low",4
)</f>
        <v>2</v>
      </c>
    </row>
    <row r="1256" spans="1:22" x14ac:dyDescent="0.25">
      <c r="A1256">
        <v>1255</v>
      </c>
      <c r="B1256" s="1">
        <v>45623</v>
      </c>
      <c r="C1256" t="s">
        <v>23</v>
      </c>
      <c r="D1256" t="s">
        <v>17</v>
      </c>
      <c r="E1256">
        <v>62</v>
      </c>
      <c r="F1256">
        <v>52</v>
      </c>
      <c r="G1256">
        <v>4.7</v>
      </c>
      <c r="H1256" t="s">
        <v>18</v>
      </c>
      <c r="I1256" t="s">
        <v>19</v>
      </c>
      <c r="J1256" t="s">
        <v>11</v>
      </c>
      <c r="K1256">
        <f>_xlfn.XLOOKUP(tbl_analysis_tickets[[#This Row],[priority]],tbl_sla[priority],tbl_sla[Resolution SLA Hours])</f>
        <v>8</v>
      </c>
      <c r="L1256">
        <f>_xlfn.XLOOKUP(tbl_analysis_tickets[[#This Row],[priority]],tbl_sla[priority],tbl_sla[First Response SLA Minutes])</f>
        <v>30</v>
      </c>
      <c r="M1256" t="str">
        <f>IF(tbl_analysis_tickets[[#This Row],[resolution_time_hours]]&gt;tbl_analysis_tickets[[#This Row],[Resolution SLA Hours]],"Breached","Within SLA")</f>
        <v>Breached</v>
      </c>
      <c r="N1256" t="str">
        <f>IF(tbl_analysis_tickets[[#This Row],[first_response_minutes]]&gt;tbl_analysis_tickets[[#This Row],[First Response SLA Minutes]],"Breached","Within SLA")</f>
        <v>Breached</v>
      </c>
      <c r="O1256" t="str" cm="1">
        <f t="array" ref="O1256">_xlfn.IFS(
tbl_analysis_tickets[[#This Row],[agent_experience_years]]&lt;=2,"Junior",
tbl_analysis_tickets[[#This Row],[agent_experience_years]]&lt;=5,"Mid-Level",
tbl_analysis_tickets[[#This Row],[agent_experience_years]]&lt;=8,"Senior",
tbl_analysis_tickets[[#This Row],[agent_experience_years]]&gt;8,"Expert"
)</f>
        <v>Mid-Level</v>
      </c>
      <c r="P1256" cm="1">
        <f t="array" ref="P1256">_xlfn.SWITCH(tbl_analysis_tickets[[#This Row],[customer_satisfaction]],
"Low",1,
"Medium",2,
"High",3
)</f>
        <v>1</v>
      </c>
      <c r="Q1256">
        <f>IF(tbl_analysis_tickets[[#This Row],[reopened]]="Yes",1,0)</f>
        <v>0</v>
      </c>
      <c r="R1256" t="str" cm="1">
        <f t="array" ref="R1256">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256" t="str" cm="1">
        <f t="array" ref="S125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256" t="str">
        <f>TEXT(tbl_analysis_tickets[[#This Row],[created_date]],"mmm-yyyy")</f>
        <v>Nov-2024</v>
      </c>
      <c r="U1256" t="str">
        <f>TEXT(tbl_analysis_tickets[[#This Row],[created_date]],"dddd")</f>
        <v>Wednesday</v>
      </c>
      <c r="V1256" cm="1">
        <f t="array" ref="V1256">_xlfn.SWITCH(tbl_analysis_tickets[[#This Row],[priority]],
"Urgent",1,
"High",2,
"Medium",3,
"Low",4
)</f>
        <v>1</v>
      </c>
    </row>
    <row r="1257" spans="1:22" x14ac:dyDescent="0.25">
      <c r="A1257">
        <v>1256</v>
      </c>
      <c r="B1257" s="1">
        <v>45318</v>
      </c>
      <c r="C1257" t="s">
        <v>22</v>
      </c>
      <c r="D1257" t="s">
        <v>11</v>
      </c>
      <c r="E1257">
        <v>155</v>
      </c>
      <c r="F1257">
        <v>51</v>
      </c>
      <c r="G1257">
        <v>1.1000000000000001</v>
      </c>
      <c r="H1257" t="s">
        <v>18</v>
      </c>
      <c r="I1257" t="s">
        <v>19</v>
      </c>
      <c r="J1257" t="s">
        <v>11</v>
      </c>
      <c r="K1257">
        <f>_xlfn.XLOOKUP(tbl_analysis_tickets[[#This Row],[priority]],tbl_sla[priority],tbl_sla[Resolution SLA Hours])</f>
        <v>72</v>
      </c>
      <c r="L1257">
        <f>_xlfn.XLOOKUP(tbl_analysis_tickets[[#This Row],[priority]],tbl_sla[priority],tbl_sla[First Response SLA Minutes])</f>
        <v>240</v>
      </c>
      <c r="M1257" t="str">
        <f>IF(tbl_analysis_tickets[[#This Row],[resolution_time_hours]]&gt;tbl_analysis_tickets[[#This Row],[Resolution SLA Hours]],"Breached","Within SLA")</f>
        <v>Within SLA</v>
      </c>
      <c r="N1257" t="str">
        <f>IF(tbl_analysis_tickets[[#This Row],[first_response_minutes]]&gt;tbl_analysis_tickets[[#This Row],[First Response SLA Minutes]],"Breached","Within SLA")</f>
        <v>Within SLA</v>
      </c>
      <c r="O1257" t="str" cm="1">
        <f t="array" ref="O1257">_xlfn.IFS(
tbl_analysis_tickets[[#This Row],[agent_experience_years]]&lt;=2,"Junior",
tbl_analysis_tickets[[#This Row],[agent_experience_years]]&lt;=5,"Mid-Level",
tbl_analysis_tickets[[#This Row],[agent_experience_years]]&lt;=8,"Senior",
tbl_analysis_tickets[[#This Row],[agent_experience_years]]&gt;8,"Expert"
)</f>
        <v>Junior</v>
      </c>
      <c r="P1257" cm="1">
        <f t="array" ref="P1257">_xlfn.SWITCH(tbl_analysis_tickets[[#This Row],[customer_satisfaction]],
"Low",1,
"Medium",2,
"High",3
)</f>
        <v>1</v>
      </c>
      <c r="Q1257">
        <f>IF(tbl_analysis_tickets[[#This Row],[reopened]]="Yes",1,0)</f>
        <v>0</v>
      </c>
      <c r="R1257" t="str" cm="1">
        <f t="array" ref="R1257">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257" t="str" cm="1">
        <f t="array" ref="S125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257" t="str">
        <f>TEXT(tbl_analysis_tickets[[#This Row],[created_date]],"mmm-yyyy")</f>
        <v>Jan-2024</v>
      </c>
      <c r="U1257" t="str">
        <f>TEXT(tbl_analysis_tickets[[#This Row],[created_date]],"dddd")</f>
        <v>Saturday</v>
      </c>
      <c r="V1257" cm="1">
        <f t="array" ref="V1257">_xlfn.SWITCH(tbl_analysis_tickets[[#This Row],[priority]],
"Urgent",1,
"High",2,
"Medium",3,
"Low",4
)</f>
        <v>4</v>
      </c>
    </row>
    <row r="1258" spans="1:22" x14ac:dyDescent="0.25">
      <c r="A1258">
        <v>1257</v>
      </c>
      <c r="B1258" s="1">
        <v>45534</v>
      </c>
      <c r="C1258" t="s">
        <v>14</v>
      </c>
      <c r="D1258" t="s">
        <v>17</v>
      </c>
      <c r="E1258">
        <v>215</v>
      </c>
      <c r="F1258">
        <v>32</v>
      </c>
      <c r="G1258">
        <v>4.9000000000000004</v>
      </c>
      <c r="H1258" t="s">
        <v>18</v>
      </c>
      <c r="I1258" t="s">
        <v>16</v>
      </c>
      <c r="J1258" t="s">
        <v>11</v>
      </c>
      <c r="K1258">
        <f>_xlfn.XLOOKUP(tbl_analysis_tickets[[#This Row],[priority]],tbl_sla[priority],tbl_sla[Resolution SLA Hours])</f>
        <v>8</v>
      </c>
      <c r="L1258">
        <f>_xlfn.XLOOKUP(tbl_analysis_tickets[[#This Row],[priority]],tbl_sla[priority],tbl_sla[First Response SLA Minutes])</f>
        <v>30</v>
      </c>
      <c r="M1258" t="str">
        <f>IF(tbl_analysis_tickets[[#This Row],[resolution_time_hours]]&gt;tbl_analysis_tickets[[#This Row],[Resolution SLA Hours]],"Breached","Within SLA")</f>
        <v>Breached</v>
      </c>
      <c r="N1258" t="str">
        <f>IF(tbl_analysis_tickets[[#This Row],[first_response_minutes]]&gt;tbl_analysis_tickets[[#This Row],[First Response SLA Minutes]],"Breached","Within SLA")</f>
        <v>Breached</v>
      </c>
      <c r="O1258" t="str" cm="1">
        <f t="array" ref="O1258">_xlfn.IFS(
tbl_analysis_tickets[[#This Row],[agent_experience_years]]&lt;=2,"Junior",
tbl_analysis_tickets[[#This Row],[agent_experience_years]]&lt;=5,"Mid-Level",
tbl_analysis_tickets[[#This Row],[agent_experience_years]]&lt;=8,"Senior",
tbl_analysis_tickets[[#This Row],[agent_experience_years]]&gt;8,"Expert"
)</f>
        <v>Mid-Level</v>
      </c>
      <c r="P1258" cm="1">
        <f t="array" ref="P1258">_xlfn.SWITCH(tbl_analysis_tickets[[#This Row],[customer_satisfaction]],
"Low",1,
"Medium",2,
"High",3
)</f>
        <v>1</v>
      </c>
      <c r="Q1258">
        <f>IF(tbl_analysis_tickets[[#This Row],[reopened]]="Yes",1,0)</f>
        <v>0</v>
      </c>
      <c r="R1258" t="str" cm="1">
        <f t="array" ref="R1258">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258" t="str" cm="1">
        <f t="array" ref="S125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258" t="str">
        <f>TEXT(tbl_analysis_tickets[[#This Row],[created_date]],"mmm-yyyy")</f>
        <v>Aug-2024</v>
      </c>
      <c r="U1258" t="str">
        <f>TEXT(tbl_analysis_tickets[[#This Row],[created_date]],"dddd")</f>
        <v>Friday</v>
      </c>
      <c r="V1258" cm="1">
        <f t="array" ref="V1258">_xlfn.SWITCH(tbl_analysis_tickets[[#This Row],[priority]],
"Urgent",1,
"High",2,
"Medium",3,
"Low",4
)</f>
        <v>1</v>
      </c>
    </row>
    <row r="1259" spans="1:22" x14ac:dyDescent="0.25">
      <c r="A1259">
        <v>1258</v>
      </c>
      <c r="B1259" s="1">
        <v>45628</v>
      </c>
      <c r="C1259" t="s">
        <v>21</v>
      </c>
      <c r="D1259" t="s">
        <v>17</v>
      </c>
      <c r="E1259">
        <v>119</v>
      </c>
      <c r="F1259">
        <v>35</v>
      </c>
      <c r="G1259">
        <v>9.4</v>
      </c>
      <c r="H1259" t="s">
        <v>18</v>
      </c>
      <c r="I1259" t="s">
        <v>16</v>
      </c>
      <c r="J1259" t="s">
        <v>11</v>
      </c>
      <c r="K1259">
        <f>_xlfn.XLOOKUP(tbl_analysis_tickets[[#This Row],[priority]],tbl_sla[priority],tbl_sla[Resolution SLA Hours])</f>
        <v>8</v>
      </c>
      <c r="L1259">
        <f>_xlfn.XLOOKUP(tbl_analysis_tickets[[#This Row],[priority]],tbl_sla[priority],tbl_sla[First Response SLA Minutes])</f>
        <v>30</v>
      </c>
      <c r="M1259" t="str">
        <f>IF(tbl_analysis_tickets[[#This Row],[resolution_time_hours]]&gt;tbl_analysis_tickets[[#This Row],[Resolution SLA Hours]],"Breached","Within SLA")</f>
        <v>Breached</v>
      </c>
      <c r="N1259" t="str">
        <f>IF(tbl_analysis_tickets[[#This Row],[first_response_minutes]]&gt;tbl_analysis_tickets[[#This Row],[First Response SLA Minutes]],"Breached","Within SLA")</f>
        <v>Breached</v>
      </c>
      <c r="O1259" t="str" cm="1">
        <f t="array" ref="O1259">_xlfn.IFS(
tbl_analysis_tickets[[#This Row],[agent_experience_years]]&lt;=2,"Junior",
tbl_analysis_tickets[[#This Row],[agent_experience_years]]&lt;=5,"Mid-Level",
tbl_analysis_tickets[[#This Row],[agent_experience_years]]&lt;=8,"Senior",
tbl_analysis_tickets[[#This Row],[agent_experience_years]]&gt;8,"Expert"
)</f>
        <v>Expert</v>
      </c>
      <c r="P1259" cm="1">
        <f t="array" ref="P1259">_xlfn.SWITCH(tbl_analysis_tickets[[#This Row],[customer_satisfaction]],
"Low",1,
"Medium",2,
"High",3
)</f>
        <v>1</v>
      </c>
      <c r="Q1259">
        <f>IF(tbl_analysis_tickets[[#This Row],[reopened]]="Yes",1,0)</f>
        <v>0</v>
      </c>
      <c r="R1259" t="str" cm="1">
        <f t="array" ref="R1259">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259" t="str" cm="1">
        <f t="array" ref="S125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259" t="str">
        <f>TEXT(tbl_analysis_tickets[[#This Row],[created_date]],"mmm-yyyy")</f>
        <v>Dec-2024</v>
      </c>
      <c r="U1259" t="str">
        <f>TEXT(tbl_analysis_tickets[[#This Row],[created_date]],"dddd")</f>
        <v>Monday</v>
      </c>
      <c r="V1259" cm="1">
        <f t="array" ref="V1259">_xlfn.SWITCH(tbl_analysis_tickets[[#This Row],[priority]],
"Urgent",1,
"High",2,
"Medium",3,
"Low",4
)</f>
        <v>1</v>
      </c>
    </row>
    <row r="1260" spans="1:22" x14ac:dyDescent="0.25">
      <c r="A1260">
        <v>1259</v>
      </c>
      <c r="B1260" s="1">
        <v>45555</v>
      </c>
      <c r="C1260" t="s">
        <v>10</v>
      </c>
      <c r="D1260" t="s">
        <v>11</v>
      </c>
      <c r="E1260">
        <v>35</v>
      </c>
      <c r="F1260">
        <v>72</v>
      </c>
      <c r="G1260">
        <v>5</v>
      </c>
      <c r="H1260" t="s">
        <v>18</v>
      </c>
      <c r="I1260" t="s">
        <v>19</v>
      </c>
      <c r="J1260" t="s">
        <v>15</v>
      </c>
      <c r="K1260">
        <f>_xlfn.XLOOKUP(tbl_analysis_tickets[[#This Row],[priority]],tbl_sla[priority],tbl_sla[Resolution SLA Hours])</f>
        <v>72</v>
      </c>
      <c r="L1260">
        <f>_xlfn.XLOOKUP(tbl_analysis_tickets[[#This Row],[priority]],tbl_sla[priority],tbl_sla[First Response SLA Minutes])</f>
        <v>240</v>
      </c>
      <c r="M1260" t="str">
        <f>IF(tbl_analysis_tickets[[#This Row],[resolution_time_hours]]&gt;tbl_analysis_tickets[[#This Row],[Resolution SLA Hours]],"Breached","Within SLA")</f>
        <v>Within SLA</v>
      </c>
      <c r="N1260" t="str">
        <f>IF(tbl_analysis_tickets[[#This Row],[first_response_minutes]]&gt;tbl_analysis_tickets[[#This Row],[First Response SLA Minutes]],"Breached","Within SLA")</f>
        <v>Within SLA</v>
      </c>
      <c r="O1260" t="str" cm="1">
        <f t="array" ref="O1260">_xlfn.IFS(
tbl_analysis_tickets[[#This Row],[agent_experience_years]]&lt;=2,"Junior",
tbl_analysis_tickets[[#This Row],[agent_experience_years]]&lt;=5,"Mid-Level",
tbl_analysis_tickets[[#This Row],[agent_experience_years]]&lt;=8,"Senior",
tbl_analysis_tickets[[#This Row],[agent_experience_years]]&gt;8,"Expert"
)</f>
        <v>Mid-Level</v>
      </c>
      <c r="P1260" cm="1">
        <f t="array" ref="P1260">_xlfn.SWITCH(tbl_analysis_tickets[[#This Row],[customer_satisfaction]],
"Low",1,
"Medium",2,
"High",3
)</f>
        <v>2</v>
      </c>
      <c r="Q1260">
        <f>IF(tbl_analysis_tickets[[#This Row],[reopened]]="Yes",1,0)</f>
        <v>0</v>
      </c>
      <c r="R1260" t="str" cm="1">
        <f t="array" ref="R1260">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260" t="str" cm="1">
        <f t="array" ref="S126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260" t="str">
        <f>TEXT(tbl_analysis_tickets[[#This Row],[created_date]],"mmm-yyyy")</f>
        <v>Sep-2024</v>
      </c>
      <c r="U1260" t="str">
        <f>TEXT(tbl_analysis_tickets[[#This Row],[created_date]],"dddd")</f>
        <v>Friday</v>
      </c>
      <c r="V1260" cm="1">
        <f t="array" ref="V1260">_xlfn.SWITCH(tbl_analysis_tickets[[#This Row],[priority]],
"Urgent",1,
"High",2,
"Medium",3,
"Low",4
)</f>
        <v>4</v>
      </c>
    </row>
    <row r="1261" spans="1:22" x14ac:dyDescent="0.25">
      <c r="A1261">
        <v>1260</v>
      </c>
      <c r="B1261" s="1">
        <v>45517</v>
      </c>
      <c r="C1261" t="s">
        <v>21</v>
      </c>
      <c r="D1261" t="s">
        <v>15</v>
      </c>
      <c r="E1261">
        <v>87</v>
      </c>
      <c r="F1261">
        <v>71</v>
      </c>
      <c r="G1261">
        <v>6.7</v>
      </c>
      <c r="H1261" t="s">
        <v>12</v>
      </c>
      <c r="I1261" t="s">
        <v>16</v>
      </c>
      <c r="J1261" t="s">
        <v>11</v>
      </c>
      <c r="K1261">
        <f>_xlfn.XLOOKUP(tbl_analysis_tickets[[#This Row],[priority]],tbl_sla[priority],tbl_sla[Resolution SLA Hours])</f>
        <v>48</v>
      </c>
      <c r="L1261">
        <f>_xlfn.XLOOKUP(tbl_analysis_tickets[[#This Row],[priority]],tbl_sla[priority],tbl_sla[First Response SLA Minutes])</f>
        <v>120</v>
      </c>
      <c r="M1261" t="str">
        <f>IF(tbl_analysis_tickets[[#This Row],[resolution_time_hours]]&gt;tbl_analysis_tickets[[#This Row],[Resolution SLA Hours]],"Breached","Within SLA")</f>
        <v>Breached</v>
      </c>
      <c r="N1261" t="str">
        <f>IF(tbl_analysis_tickets[[#This Row],[first_response_minutes]]&gt;tbl_analysis_tickets[[#This Row],[First Response SLA Minutes]],"Breached","Within SLA")</f>
        <v>Within SLA</v>
      </c>
      <c r="O1261" t="str" cm="1">
        <f t="array" ref="O1261">_xlfn.IFS(
tbl_analysis_tickets[[#This Row],[agent_experience_years]]&lt;=2,"Junior",
tbl_analysis_tickets[[#This Row],[agent_experience_years]]&lt;=5,"Mid-Level",
tbl_analysis_tickets[[#This Row],[agent_experience_years]]&lt;=8,"Senior",
tbl_analysis_tickets[[#This Row],[agent_experience_years]]&gt;8,"Expert"
)</f>
        <v>Senior</v>
      </c>
      <c r="P1261" cm="1">
        <f t="array" ref="P1261">_xlfn.SWITCH(tbl_analysis_tickets[[#This Row],[customer_satisfaction]],
"Low",1,
"Medium",2,
"High",3
)</f>
        <v>1</v>
      </c>
      <c r="Q1261">
        <f>IF(tbl_analysis_tickets[[#This Row],[reopened]]="Yes",1,0)</f>
        <v>1</v>
      </c>
      <c r="R1261" t="str" cm="1">
        <f t="array" ref="R1261">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261" t="str" cm="1">
        <f t="array" ref="S126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261" t="str">
        <f>TEXT(tbl_analysis_tickets[[#This Row],[created_date]],"mmm-yyyy")</f>
        <v>Aug-2024</v>
      </c>
      <c r="U1261" t="str">
        <f>TEXT(tbl_analysis_tickets[[#This Row],[created_date]],"dddd")</f>
        <v>Tuesday</v>
      </c>
      <c r="V1261" cm="1">
        <f t="array" ref="V1261">_xlfn.SWITCH(tbl_analysis_tickets[[#This Row],[priority]],
"Urgent",1,
"High",2,
"Medium",3,
"Low",4
)</f>
        <v>3</v>
      </c>
    </row>
    <row r="1262" spans="1:22" x14ac:dyDescent="0.25">
      <c r="A1262">
        <v>1261</v>
      </c>
      <c r="B1262" s="1">
        <v>45408</v>
      </c>
      <c r="C1262" t="s">
        <v>21</v>
      </c>
      <c r="D1262" t="s">
        <v>15</v>
      </c>
      <c r="E1262">
        <v>72</v>
      </c>
      <c r="F1262">
        <v>50</v>
      </c>
      <c r="G1262">
        <v>6.1</v>
      </c>
      <c r="H1262" t="s">
        <v>18</v>
      </c>
      <c r="I1262" t="s">
        <v>19</v>
      </c>
      <c r="J1262" t="s">
        <v>15</v>
      </c>
      <c r="K1262">
        <f>_xlfn.XLOOKUP(tbl_analysis_tickets[[#This Row],[priority]],tbl_sla[priority],tbl_sla[Resolution SLA Hours])</f>
        <v>48</v>
      </c>
      <c r="L1262">
        <f>_xlfn.XLOOKUP(tbl_analysis_tickets[[#This Row],[priority]],tbl_sla[priority],tbl_sla[First Response SLA Minutes])</f>
        <v>120</v>
      </c>
      <c r="M1262" t="str">
        <f>IF(tbl_analysis_tickets[[#This Row],[resolution_time_hours]]&gt;tbl_analysis_tickets[[#This Row],[Resolution SLA Hours]],"Breached","Within SLA")</f>
        <v>Breached</v>
      </c>
      <c r="N1262" t="str">
        <f>IF(tbl_analysis_tickets[[#This Row],[first_response_minutes]]&gt;tbl_analysis_tickets[[#This Row],[First Response SLA Minutes]],"Breached","Within SLA")</f>
        <v>Within SLA</v>
      </c>
      <c r="O1262" t="str" cm="1">
        <f t="array" ref="O1262">_xlfn.IFS(
tbl_analysis_tickets[[#This Row],[agent_experience_years]]&lt;=2,"Junior",
tbl_analysis_tickets[[#This Row],[agent_experience_years]]&lt;=5,"Mid-Level",
tbl_analysis_tickets[[#This Row],[agent_experience_years]]&lt;=8,"Senior",
tbl_analysis_tickets[[#This Row],[agent_experience_years]]&gt;8,"Expert"
)</f>
        <v>Senior</v>
      </c>
      <c r="P1262" cm="1">
        <f t="array" ref="P1262">_xlfn.SWITCH(tbl_analysis_tickets[[#This Row],[customer_satisfaction]],
"Low",1,
"Medium",2,
"High",3
)</f>
        <v>2</v>
      </c>
      <c r="Q1262">
        <f>IF(tbl_analysis_tickets[[#This Row],[reopened]]="Yes",1,0)</f>
        <v>0</v>
      </c>
      <c r="R1262" t="str" cm="1">
        <f t="array" ref="R1262">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262" t="str" cm="1">
        <f t="array" ref="S126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262" t="str">
        <f>TEXT(tbl_analysis_tickets[[#This Row],[created_date]],"mmm-yyyy")</f>
        <v>Apr-2024</v>
      </c>
      <c r="U1262" t="str">
        <f>TEXT(tbl_analysis_tickets[[#This Row],[created_date]],"dddd")</f>
        <v>Friday</v>
      </c>
      <c r="V1262" cm="1">
        <f t="array" ref="V1262">_xlfn.SWITCH(tbl_analysis_tickets[[#This Row],[priority]],
"Urgent",1,
"High",2,
"Medium",3,
"Low",4
)</f>
        <v>3</v>
      </c>
    </row>
    <row r="1263" spans="1:22" x14ac:dyDescent="0.25">
      <c r="A1263">
        <v>1262</v>
      </c>
      <c r="B1263" s="1">
        <v>45461</v>
      </c>
      <c r="C1263" t="s">
        <v>21</v>
      </c>
      <c r="D1263" t="s">
        <v>11</v>
      </c>
      <c r="E1263">
        <v>201</v>
      </c>
      <c r="F1263">
        <v>66</v>
      </c>
      <c r="G1263">
        <v>1.3</v>
      </c>
      <c r="H1263" t="s">
        <v>18</v>
      </c>
      <c r="I1263" t="s">
        <v>16</v>
      </c>
      <c r="J1263" t="s">
        <v>11</v>
      </c>
      <c r="K1263">
        <f>_xlfn.XLOOKUP(tbl_analysis_tickets[[#This Row],[priority]],tbl_sla[priority],tbl_sla[Resolution SLA Hours])</f>
        <v>72</v>
      </c>
      <c r="L1263">
        <f>_xlfn.XLOOKUP(tbl_analysis_tickets[[#This Row],[priority]],tbl_sla[priority],tbl_sla[First Response SLA Minutes])</f>
        <v>240</v>
      </c>
      <c r="M1263" t="str">
        <f>IF(tbl_analysis_tickets[[#This Row],[resolution_time_hours]]&gt;tbl_analysis_tickets[[#This Row],[Resolution SLA Hours]],"Breached","Within SLA")</f>
        <v>Within SLA</v>
      </c>
      <c r="N1263" t="str">
        <f>IF(tbl_analysis_tickets[[#This Row],[first_response_minutes]]&gt;tbl_analysis_tickets[[#This Row],[First Response SLA Minutes]],"Breached","Within SLA")</f>
        <v>Within SLA</v>
      </c>
      <c r="O1263" t="str" cm="1">
        <f t="array" ref="O1263">_xlfn.IFS(
tbl_analysis_tickets[[#This Row],[agent_experience_years]]&lt;=2,"Junior",
tbl_analysis_tickets[[#This Row],[agent_experience_years]]&lt;=5,"Mid-Level",
tbl_analysis_tickets[[#This Row],[agent_experience_years]]&lt;=8,"Senior",
tbl_analysis_tickets[[#This Row],[agent_experience_years]]&gt;8,"Expert"
)</f>
        <v>Junior</v>
      </c>
      <c r="P1263" cm="1">
        <f t="array" ref="P1263">_xlfn.SWITCH(tbl_analysis_tickets[[#This Row],[customer_satisfaction]],
"Low",1,
"Medium",2,
"High",3
)</f>
        <v>1</v>
      </c>
      <c r="Q1263">
        <f>IF(tbl_analysis_tickets[[#This Row],[reopened]]="Yes",1,0)</f>
        <v>0</v>
      </c>
      <c r="R1263" t="str" cm="1">
        <f t="array" ref="R1263">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263" t="str" cm="1">
        <f t="array" ref="S126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263" t="str">
        <f>TEXT(tbl_analysis_tickets[[#This Row],[created_date]],"mmm-yyyy")</f>
        <v>Jun-2024</v>
      </c>
      <c r="U1263" t="str">
        <f>TEXT(tbl_analysis_tickets[[#This Row],[created_date]],"dddd")</f>
        <v>Tuesday</v>
      </c>
      <c r="V1263" cm="1">
        <f t="array" ref="V1263">_xlfn.SWITCH(tbl_analysis_tickets[[#This Row],[priority]],
"Urgent",1,
"High",2,
"Medium",3,
"Low",4
)</f>
        <v>4</v>
      </c>
    </row>
    <row r="1264" spans="1:22" x14ac:dyDescent="0.25">
      <c r="A1264">
        <v>1263</v>
      </c>
      <c r="B1264" s="1">
        <v>45575</v>
      </c>
      <c r="C1264" t="s">
        <v>22</v>
      </c>
      <c r="D1264" t="s">
        <v>11</v>
      </c>
      <c r="E1264">
        <v>42</v>
      </c>
      <c r="F1264">
        <v>4</v>
      </c>
      <c r="G1264">
        <v>9.9</v>
      </c>
      <c r="H1264" t="s">
        <v>12</v>
      </c>
      <c r="I1264" t="s">
        <v>13</v>
      </c>
      <c r="J1264" t="s">
        <v>15</v>
      </c>
      <c r="K1264">
        <f>_xlfn.XLOOKUP(tbl_analysis_tickets[[#This Row],[priority]],tbl_sla[priority],tbl_sla[Resolution SLA Hours])</f>
        <v>72</v>
      </c>
      <c r="L1264">
        <f>_xlfn.XLOOKUP(tbl_analysis_tickets[[#This Row],[priority]],tbl_sla[priority],tbl_sla[First Response SLA Minutes])</f>
        <v>240</v>
      </c>
      <c r="M1264" t="str">
        <f>IF(tbl_analysis_tickets[[#This Row],[resolution_time_hours]]&gt;tbl_analysis_tickets[[#This Row],[Resolution SLA Hours]],"Breached","Within SLA")</f>
        <v>Within SLA</v>
      </c>
      <c r="N1264" t="str">
        <f>IF(tbl_analysis_tickets[[#This Row],[first_response_minutes]]&gt;tbl_analysis_tickets[[#This Row],[First Response SLA Minutes]],"Breached","Within SLA")</f>
        <v>Within SLA</v>
      </c>
      <c r="O1264" t="str" cm="1">
        <f t="array" ref="O1264">_xlfn.IFS(
tbl_analysis_tickets[[#This Row],[agent_experience_years]]&lt;=2,"Junior",
tbl_analysis_tickets[[#This Row],[agent_experience_years]]&lt;=5,"Mid-Level",
tbl_analysis_tickets[[#This Row],[agent_experience_years]]&lt;=8,"Senior",
tbl_analysis_tickets[[#This Row],[agent_experience_years]]&gt;8,"Expert"
)</f>
        <v>Expert</v>
      </c>
      <c r="P1264" cm="1">
        <f t="array" ref="P1264">_xlfn.SWITCH(tbl_analysis_tickets[[#This Row],[customer_satisfaction]],
"Low",1,
"Medium",2,
"High",3
)</f>
        <v>2</v>
      </c>
      <c r="Q1264">
        <f>IF(tbl_analysis_tickets[[#This Row],[reopened]]="Yes",1,0)</f>
        <v>1</v>
      </c>
      <c r="R1264" t="str" cm="1">
        <f t="array" ref="R1264">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264" t="str" cm="1">
        <f t="array" ref="S126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1264" t="str">
        <f>TEXT(tbl_analysis_tickets[[#This Row],[created_date]],"mmm-yyyy")</f>
        <v>Oct-2024</v>
      </c>
      <c r="U1264" t="str">
        <f>TEXT(tbl_analysis_tickets[[#This Row],[created_date]],"dddd")</f>
        <v>Thursday</v>
      </c>
      <c r="V1264" cm="1">
        <f t="array" ref="V1264">_xlfn.SWITCH(tbl_analysis_tickets[[#This Row],[priority]],
"Urgent",1,
"High",2,
"Medium",3,
"Low",4
)</f>
        <v>4</v>
      </c>
    </row>
    <row r="1265" spans="1:22" x14ac:dyDescent="0.25">
      <c r="A1265">
        <v>1264</v>
      </c>
      <c r="B1265" s="1">
        <v>45369</v>
      </c>
      <c r="C1265" t="s">
        <v>21</v>
      </c>
      <c r="D1265" t="s">
        <v>20</v>
      </c>
      <c r="E1265">
        <v>146</v>
      </c>
      <c r="F1265">
        <v>57</v>
      </c>
      <c r="G1265">
        <v>4.5999999999999996</v>
      </c>
      <c r="H1265" t="s">
        <v>12</v>
      </c>
      <c r="I1265" t="s">
        <v>13</v>
      </c>
      <c r="J1265" t="s">
        <v>11</v>
      </c>
      <c r="K1265">
        <f>_xlfn.XLOOKUP(tbl_analysis_tickets[[#This Row],[priority]],tbl_sla[priority],tbl_sla[Resolution SLA Hours])</f>
        <v>24</v>
      </c>
      <c r="L1265">
        <f>_xlfn.XLOOKUP(tbl_analysis_tickets[[#This Row],[priority]],tbl_sla[priority],tbl_sla[First Response SLA Minutes])</f>
        <v>60</v>
      </c>
      <c r="M1265" t="str">
        <f>IF(tbl_analysis_tickets[[#This Row],[resolution_time_hours]]&gt;tbl_analysis_tickets[[#This Row],[Resolution SLA Hours]],"Breached","Within SLA")</f>
        <v>Breached</v>
      </c>
      <c r="N1265" t="str">
        <f>IF(tbl_analysis_tickets[[#This Row],[first_response_minutes]]&gt;tbl_analysis_tickets[[#This Row],[First Response SLA Minutes]],"Breached","Within SLA")</f>
        <v>Breached</v>
      </c>
      <c r="O1265" t="str" cm="1">
        <f t="array" ref="O1265">_xlfn.IFS(
tbl_analysis_tickets[[#This Row],[agent_experience_years]]&lt;=2,"Junior",
tbl_analysis_tickets[[#This Row],[agent_experience_years]]&lt;=5,"Mid-Level",
tbl_analysis_tickets[[#This Row],[agent_experience_years]]&lt;=8,"Senior",
tbl_analysis_tickets[[#This Row],[agent_experience_years]]&gt;8,"Expert"
)</f>
        <v>Mid-Level</v>
      </c>
      <c r="P1265" cm="1">
        <f t="array" ref="P1265">_xlfn.SWITCH(tbl_analysis_tickets[[#This Row],[customer_satisfaction]],
"Low",1,
"Medium",2,
"High",3
)</f>
        <v>1</v>
      </c>
      <c r="Q1265">
        <f>IF(tbl_analysis_tickets[[#This Row],[reopened]]="Yes",1,0)</f>
        <v>1</v>
      </c>
      <c r="R1265" t="str" cm="1">
        <f t="array" ref="R1265">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265" t="str" cm="1">
        <f t="array" ref="S126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265" t="str">
        <f>TEXT(tbl_analysis_tickets[[#This Row],[created_date]],"mmm-yyyy")</f>
        <v>Mar-2024</v>
      </c>
      <c r="U1265" t="str">
        <f>TEXT(tbl_analysis_tickets[[#This Row],[created_date]],"dddd")</f>
        <v>Monday</v>
      </c>
      <c r="V1265" cm="1">
        <f t="array" ref="V1265">_xlfn.SWITCH(tbl_analysis_tickets[[#This Row],[priority]],
"Urgent",1,
"High",2,
"Medium",3,
"Low",4
)</f>
        <v>2</v>
      </c>
    </row>
    <row r="1266" spans="1:22" x14ac:dyDescent="0.25">
      <c r="A1266">
        <v>1265</v>
      </c>
      <c r="B1266" s="1">
        <v>45506</v>
      </c>
      <c r="C1266" t="s">
        <v>23</v>
      </c>
      <c r="D1266" t="s">
        <v>15</v>
      </c>
      <c r="E1266">
        <v>189</v>
      </c>
      <c r="F1266">
        <v>42</v>
      </c>
      <c r="G1266">
        <v>1.4</v>
      </c>
      <c r="H1266" t="s">
        <v>12</v>
      </c>
      <c r="I1266" t="s">
        <v>16</v>
      </c>
      <c r="J1266" t="s">
        <v>11</v>
      </c>
      <c r="K1266">
        <f>_xlfn.XLOOKUP(tbl_analysis_tickets[[#This Row],[priority]],tbl_sla[priority],tbl_sla[Resolution SLA Hours])</f>
        <v>48</v>
      </c>
      <c r="L1266">
        <f>_xlfn.XLOOKUP(tbl_analysis_tickets[[#This Row],[priority]],tbl_sla[priority],tbl_sla[First Response SLA Minutes])</f>
        <v>120</v>
      </c>
      <c r="M1266" t="str">
        <f>IF(tbl_analysis_tickets[[#This Row],[resolution_time_hours]]&gt;tbl_analysis_tickets[[#This Row],[Resolution SLA Hours]],"Breached","Within SLA")</f>
        <v>Within SLA</v>
      </c>
      <c r="N1266" t="str">
        <f>IF(tbl_analysis_tickets[[#This Row],[first_response_minutes]]&gt;tbl_analysis_tickets[[#This Row],[First Response SLA Minutes]],"Breached","Within SLA")</f>
        <v>Breached</v>
      </c>
      <c r="O1266" t="str" cm="1">
        <f t="array" ref="O1266">_xlfn.IFS(
tbl_analysis_tickets[[#This Row],[agent_experience_years]]&lt;=2,"Junior",
tbl_analysis_tickets[[#This Row],[agent_experience_years]]&lt;=5,"Mid-Level",
tbl_analysis_tickets[[#This Row],[agent_experience_years]]&lt;=8,"Senior",
tbl_analysis_tickets[[#This Row],[agent_experience_years]]&gt;8,"Expert"
)</f>
        <v>Junior</v>
      </c>
      <c r="P1266" cm="1">
        <f t="array" ref="P1266">_xlfn.SWITCH(tbl_analysis_tickets[[#This Row],[customer_satisfaction]],
"Low",1,
"Medium",2,
"High",3
)</f>
        <v>1</v>
      </c>
      <c r="Q1266">
        <f>IF(tbl_analysis_tickets[[#This Row],[reopened]]="Yes",1,0)</f>
        <v>1</v>
      </c>
      <c r="R1266" t="str" cm="1">
        <f t="array" ref="R1266">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266" t="str" cm="1">
        <f t="array" ref="S126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266" t="str">
        <f>TEXT(tbl_analysis_tickets[[#This Row],[created_date]],"mmm-yyyy")</f>
        <v>Aug-2024</v>
      </c>
      <c r="U1266" t="str">
        <f>TEXT(tbl_analysis_tickets[[#This Row],[created_date]],"dddd")</f>
        <v>Friday</v>
      </c>
      <c r="V1266" cm="1">
        <f t="array" ref="V1266">_xlfn.SWITCH(tbl_analysis_tickets[[#This Row],[priority]],
"Urgent",1,
"High",2,
"Medium",3,
"Low",4
)</f>
        <v>3</v>
      </c>
    </row>
    <row r="1267" spans="1:22" x14ac:dyDescent="0.25">
      <c r="A1267">
        <v>1266</v>
      </c>
      <c r="B1267" s="1">
        <v>45542</v>
      </c>
      <c r="C1267" t="s">
        <v>23</v>
      </c>
      <c r="D1267" t="s">
        <v>15</v>
      </c>
      <c r="E1267">
        <v>156</v>
      </c>
      <c r="F1267">
        <v>47</v>
      </c>
      <c r="G1267">
        <v>3.8</v>
      </c>
      <c r="H1267" t="s">
        <v>12</v>
      </c>
      <c r="I1267" t="s">
        <v>16</v>
      </c>
      <c r="J1267" t="s">
        <v>11</v>
      </c>
      <c r="K1267">
        <f>_xlfn.XLOOKUP(tbl_analysis_tickets[[#This Row],[priority]],tbl_sla[priority],tbl_sla[Resolution SLA Hours])</f>
        <v>48</v>
      </c>
      <c r="L1267">
        <f>_xlfn.XLOOKUP(tbl_analysis_tickets[[#This Row],[priority]],tbl_sla[priority],tbl_sla[First Response SLA Minutes])</f>
        <v>120</v>
      </c>
      <c r="M1267" t="str">
        <f>IF(tbl_analysis_tickets[[#This Row],[resolution_time_hours]]&gt;tbl_analysis_tickets[[#This Row],[Resolution SLA Hours]],"Breached","Within SLA")</f>
        <v>Within SLA</v>
      </c>
      <c r="N1267" t="str">
        <f>IF(tbl_analysis_tickets[[#This Row],[first_response_minutes]]&gt;tbl_analysis_tickets[[#This Row],[First Response SLA Minutes]],"Breached","Within SLA")</f>
        <v>Breached</v>
      </c>
      <c r="O1267" t="str" cm="1">
        <f t="array" ref="O1267">_xlfn.IFS(
tbl_analysis_tickets[[#This Row],[agent_experience_years]]&lt;=2,"Junior",
tbl_analysis_tickets[[#This Row],[agent_experience_years]]&lt;=5,"Mid-Level",
tbl_analysis_tickets[[#This Row],[agent_experience_years]]&lt;=8,"Senior",
tbl_analysis_tickets[[#This Row],[agent_experience_years]]&gt;8,"Expert"
)</f>
        <v>Mid-Level</v>
      </c>
      <c r="P1267" cm="1">
        <f t="array" ref="P1267">_xlfn.SWITCH(tbl_analysis_tickets[[#This Row],[customer_satisfaction]],
"Low",1,
"Medium",2,
"High",3
)</f>
        <v>1</v>
      </c>
      <c r="Q1267">
        <f>IF(tbl_analysis_tickets[[#This Row],[reopened]]="Yes",1,0)</f>
        <v>1</v>
      </c>
      <c r="R1267" t="str" cm="1">
        <f t="array" ref="R1267">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267" t="str" cm="1">
        <f t="array" ref="S126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267" t="str">
        <f>TEXT(tbl_analysis_tickets[[#This Row],[created_date]],"mmm-yyyy")</f>
        <v>Sep-2024</v>
      </c>
      <c r="U1267" t="str">
        <f>TEXT(tbl_analysis_tickets[[#This Row],[created_date]],"dddd")</f>
        <v>Saturday</v>
      </c>
      <c r="V1267" cm="1">
        <f t="array" ref="V1267">_xlfn.SWITCH(tbl_analysis_tickets[[#This Row],[priority]],
"Urgent",1,
"High",2,
"Medium",3,
"Low",4
)</f>
        <v>3</v>
      </c>
    </row>
    <row r="1268" spans="1:22" x14ac:dyDescent="0.25">
      <c r="A1268">
        <v>1267</v>
      </c>
      <c r="B1268" s="1">
        <v>45573</v>
      </c>
      <c r="C1268" t="s">
        <v>14</v>
      </c>
      <c r="D1268" t="s">
        <v>20</v>
      </c>
      <c r="E1268">
        <v>150</v>
      </c>
      <c r="F1268">
        <v>39</v>
      </c>
      <c r="G1268">
        <v>3</v>
      </c>
      <c r="H1268" t="s">
        <v>18</v>
      </c>
      <c r="I1268" t="s">
        <v>13</v>
      </c>
      <c r="J1268" t="s">
        <v>11</v>
      </c>
      <c r="K1268">
        <f>_xlfn.XLOOKUP(tbl_analysis_tickets[[#This Row],[priority]],tbl_sla[priority],tbl_sla[Resolution SLA Hours])</f>
        <v>24</v>
      </c>
      <c r="L1268">
        <f>_xlfn.XLOOKUP(tbl_analysis_tickets[[#This Row],[priority]],tbl_sla[priority],tbl_sla[First Response SLA Minutes])</f>
        <v>60</v>
      </c>
      <c r="M1268" t="str">
        <f>IF(tbl_analysis_tickets[[#This Row],[resolution_time_hours]]&gt;tbl_analysis_tickets[[#This Row],[Resolution SLA Hours]],"Breached","Within SLA")</f>
        <v>Breached</v>
      </c>
      <c r="N1268" t="str">
        <f>IF(tbl_analysis_tickets[[#This Row],[first_response_minutes]]&gt;tbl_analysis_tickets[[#This Row],[First Response SLA Minutes]],"Breached","Within SLA")</f>
        <v>Breached</v>
      </c>
      <c r="O1268" t="str" cm="1">
        <f t="array" ref="O1268">_xlfn.IFS(
tbl_analysis_tickets[[#This Row],[agent_experience_years]]&lt;=2,"Junior",
tbl_analysis_tickets[[#This Row],[agent_experience_years]]&lt;=5,"Mid-Level",
tbl_analysis_tickets[[#This Row],[agent_experience_years]]&lt;=8,"Senior",
tbl_analysis_tickets[[#This Row],[agent_experience_years]]&gt;8,"Expert"
)</f>
        <v>Mid-Level</v>
      </c>
      <c r="P1268" cm="1">
        <f t="array" ref="P1268">_xlfn.SWITCH(tbl_analysis_tickets[[#This Row],[customer_satisfaction]],
"Low",1,
"Medium",2,
"High",3
)</f>
        <v>1</v>
      </c>
      <c r="Q1268">
        <f>IF(tbl_analysis_tickets[[#This Row],[reopened]]="Yes",1,0)</f>
        <v>0</v>
      </c>
      <c r="R1268" t="str" cm="1">
        <f t="array" ref="R1268">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268" t="str" cm="1">
        <f t="array" ref="S126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268" t="str">
        <f>TEXT(tbl_analysis_tickets[[#This Row],[created_date]],"mmm-yyyy")</f>
        <v>Oct-2024</v>
      </c>
      <c r="U1268" t="str">
        <f>TEXT(tbl_analysis_tickets[[#This Row],[created_date]],"dddd")</f>
        <v>Tuesday</v>
      </c>
      <c r="V1268" cm="1">
        <f t="array" ref="V1268">_xlfn.SWITCH(tbl_analysis_tickets[[#This Row],[priority]],
"Urgent",1,
"High",2,
"Medium",3,
"Low",4
)</f>
        <v>2</v>
      </c>
    </row>
    <row r="1269" spans="1:22" x14ac:dyDescent="0.25">
      <c r="A1269">
        <v>1268</v>
      </c>
      <c r="B1269" s="1">
        <v>45603</v>
      </c>
      <c r="C1269" t="s">
        <v>22</v>
      </c>
      <c r="D1269" t="s">
        <v>17</v>
      </c>
      <c r="E1269">
        <v>201</v>
      </c>
      <c r="F1269">
        <v>51</v>
      </c>
      <c r="G1269">
        <v>0.9</v>
      </c>
      <c r="H1269" t="s">
        <v>12</v>
      </c>
      <c r="I1269" t="s">
        <v>13</v>
      </c>
      <c r="J1269" t="s">
        <v>11</v>
      </c>
      <c r="K1269">
        <f>_xlfn.XLOOKUP(tbl_analysis_tickets[[#This Row],[priority]],tbl_sla[priority],tbl_sla[Resolution SLA Hours])</f>
        <v>8</v>
      </c>
      <c r="L1269">
        <f>_xlfn.XLOOKUP(tbl_analysis_tickets[[#This Row],[priority]],tbl_sla[priority],tbl_sla[First Response SLA Minutes])</f>
        <v>30</v>
      </c>
      <c r="M1269" t="str">
        <f>IF(tbl_analysis_tickets[[#This Row],[resolution_time_hours]]&gt;tbl_analysis_tickets[[#This Row],[Resolution SLA Hours]],"Breached","Within SLA")</f>
        <v>Breached</v>
      </c>
      <c r="N1269" t="str">
        <f>IF(tbl_analysis_tickets[[#This Row],[first_response_minutes]]&gt;tbl_analysis_tickets[[#This Row],[First Response SLA Minutes]],"Breached","Within SLA")</f>
        <v>Breached</v>
      </c>
      <c r="O1269" t="str" cm="1">
        <f t="array" ref="O1269">_xlfn.IFS(
tbl_analysis_tickets[[#This Row],[agent_experience_years]]&lt;=2,"Junior",
tbl_analysis_tickets[[#This Row],[agent_experience_years]]&lt;=5,"Mid-Level",
tbl_analysis_tickets[[#This Row],[agent_experience_years]]&lt;=8,"Senior",
tbl_analysis_tickets[[#This Row],[agent_experience_years]]&gt;8,"Expert"
)</f>
        <v>Junior</v>
      </c>
      <c r="P1269" cm="1">
        <f t="array" ref="P1269">_xlfn.SWITCH(tbl_analysis_tickets[[#This Row],[customer_satisfaction]],
"Low",1,
"Medium",2,
"High",3
)</f>
        <v>1</v>
      </c>
      <c r="Q1269">
        <f>IF(tbl_analysis_tickets[[#This Row],[reopened]]="Yes",1,0)</f>
        <v>1</v>
      </c>
      <c r="R1269" t="str" cm="1">
        <f t="array" ref="R1269">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269" t="str" cm="1">
        <f t="array" ref="S126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269" t="str">
        <f>TEXT(tbl_analysis_tickets[[#This Row],[created_date]],"mmm-yyyy")</f>
        <v>Nov-2024</v>
      </c>
      <c r="U1269" t="str">
        <f>TEXT(tbl_analysis_tickets[[#This Row],[created_date]],"dddd")</f>
        <v>Thursday</v>
      </c>
      <c r="V1269" cm="1">
        <f t="array" ref="V1269">_xlfn.SWITCH(tbl_analysis_tickets[[#This Row],[priority]],
"Urgent",1,
"High",2,
"Medium",3,
"Low",4
)</f>
        <v>1</v>
      </c>
    </row>
    <row r="1270" spans="1:22" x14ac:dyDescent="0.25">
      <c r="A1270">
        <v>1269</v>
      </c>
      <c r="B1270" s="1">
        <v>45431</v>
      </c>
      <c r="C1270" t="s">
        <v>21</v>
      </c>
      <c r="D1270" t="s">
        <v>11</v>
      </c>
      <c r="E1270">
        <v>214</v>
      </c>
      <c r="F1270">
        <v>17</v>
      </c>
      <c r="G1270">
        <v>3.2</v>
      </c>
      <c r="H1270" t="s">
        <v>18</v>
      </c>
      <c r="I1270" t="s">
        <v>16</v>
      </c>
      <c r="J1270" t="s">
        <v>11</v>
      </c>
      <c r="K1270">
        <f>_xlfn.XLOOKUP(tbl_analysis_tickets[[#This Row],[priority]],tbl_sla[priority],tbl_sla[Resolution SLA Hours])</f>
        <v>72</v>
      </c>
      <c r="L1270">
        <f>_xlfn.XLOOKUP(tbl_analysis_tickets[[#This Row],[priority]],tbl_sla[priority],tbl_sla[First Response SLA Minutes])</f>
        <v>240</v>
      </c>
      <c r="M1270" t="str">
        <f>IF(tbl_analysis_tickets[[#This Row],[resolution_time_hours]]&gt;tbl_analysis_tickets[[#This Row],[Resolution SLA Hours]],"Breached","Within SLA")</f>
        <v>Within SLA</v>
      </c>
      <c r="N1270" t="str">
        <f>IF(tbl_analysis_tickets[[#This Row],[first_response_minutes]]&gt;tbl_analysis_tickets[[#This Row],[First Response SLA Minutes]],"Breached","Within SLA")</f>
        <v>Within SLA</v>
      </c>
      <c r="O1270" t="str" cm="1">
        <f t="array" ref="O1270">_xlfn.IFS(
tbl_analysis_tickets[[#This Row],[agent_experience_years]]&lt;=2,"Junior",
tbl_analysis_tickets[[#This Row],[agent_experience_years]]&lt;=5,"Mid-Level",
tbl_analysis_tickets[[#This Row],[agent_experience_years]]&lt;=8,"Senior",
tbl_analysis_tickets[[#This Row],[agent_experience_years]]&gt;8,"Expert"
)</f>
        <v>Mid-Level</v>
      </c>
      <c r="P1270" cm="1">
        <f t="array" ref="P1270">_xlfn.SWITCH(tbl_analysis_tickets[[#This Row],[customer_satisfaction]],
"Low",1,
"Medium",2,
"High",3
)</f>
        <v>1</v>
      </c>
      <c r="Q1270">
        <f>IF(tbl_analysis_tickets[[#This Row],[reopened]]="Yes",1,0)</f>
        <v>0</v>
      </c>
      <c r="R1270" t="str" cm="1">
        <f t="array" ref="R1270">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270" t="str" cm="1">
        <f t="array" ref="S127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270" t="str">
        <f>TEXT(tbl_analysis_tickets[[#This Row],[created_date]],"mmm-yyyy")</f>
        <v>May-2024</v>
      </c>
      <c r="U1270" t="str">
        <f>TEXT(tbl_analysis_tickets[[#This Row],[created_date]],"dddd")</f>
        <v>Sunday</v>
      </c>
      <c r="V1270" cm="1">
        <f t="array" ref="V1270">_xlfn.SWITCH(tbl_analysis_tickets[[#This Row],[priority]],
"Urgent",1,
"High",2,
"Medium",3,
"Low",4
)</f>
        <v>4</v>
      </c>
    </row>
    <row r="1271" spans="1:22" x14ac:dyDescent="0.25">
      <c r="A1271">
        <v>1270</v>
      </c>
      <c r="B1271" s="1">
        <v>45388</v>
      </c>
      <c r="C1271" t="s">
        <v>23</v>
      </c>
      <c r="D1271" t="s">
        <v>20</v>
      </c>
      <c r="E1271">
        <v>55</v>
      </c>
      <c r="F1271">
        <v>5</v>
      </c>
      <c r="G1271">
        <v>2.1</v>
      </c>
      <c r="H1271" t="s">
        <v>12</v>
      </c>
      <c r="I1271" t="s">
        <v>16</v>
      </c>
      <c r="J1271" t="s">
        <v>11</v>
      </c>
      <c r="K1271">
        <f>_xlfn.XLOOKUP(tbl_analysis_tickets[[#This Row],[priority]],tbl_sla[priority],tbl_sla[Resolution SLA Hours])</f>
        <v>24</v>
      </c>
      <c r="L1271">
        <f>_xlfn.XLOOKUP(tbl_analysis_tickets[[#This Row],[priority]],tbl_sla[priority],tbl_sla[First Response SLA Minutes])</f>
        <v>60</v>
      </c>
      <c r="M1271" t="str">
        <f>IF(tbl_analysis_tickets[[#This Row],[resolution_time_hours]]&gt;tbl_analysis_tickets[[#This Row],[Resolution SLA Hours]],"Breached","Within SLA")</f>
        <v>Within SLA</v>
      </c>
      <c r="N1271" t="str">
        <f>IF(tbl_analysis_tickets[[#This Row],[first_response_minutes]]&gt;tbl_analysis_tickets[[#This Row],[First Response SLA Minutes]],"Breached","Within SLA")</f>
        <v>Within SLA</v>
      </c>
      <c r="O1271" t="str" cm="1">
        <f t="array" ref="O1271">_xlfn.IFS(
tbl_analysis_tickets[[#This Row],[agent_experience_years]]&lt;=2,"Junior",
tbl_analysis_tickets[[#This Row],[agent_experience_years]]&lt;=5,"Mid-Level",
tbl_analysis_tickets[[#This Row],[agent_experience_years]]&lt;=8,"Senior",
tbl_analysis_tickets[[#This Row],[agent_experience_years]]&gt;8,"Expert"
)</f>
        <v>Mid-Level</v>
      </c>
      <c r="P1271" cm="1">
        <f t="array" ref="P1271">_xlfn.SWITCH(tbl_analysis_tickets[[#This Row],[customer_satisfaction]],
"Low",1,
"Medium",2,
"High",3
)</f>
        <v>1</v>
      </c>
      <c r="Q1271">
        <f>IF(tbl_analysis_tickets[[#This Row],[reopened]]="Yes",1,0)</f>
        <v>1</v>
      </c>
      <c r="R1271" t="str" cm="1">
        <f t="array" ref="R1271">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271" t="str" cm="1">
        <f t="array" ref="S127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1271" t="str">
        <f>TEXT(tbl_analysis_tickets[[#This Row],[created_date]],"mmm-yyyy")</f>
        <v>Apr-2024</v>
      </c>
      <c r="U1271" t="str">
        <f>TEXT(tbl_analysis_tickets[[#This Row],[created_date]],"dddd")</f>
        <v>Saturday</v>
      </c>
      <c r="V1271" cm="1">
        <f t="array" ref="V1271">_xlfn.SWITCH(tbl_analysis_tickets[[#This Row],[priority]],
"Urgent",1,
"High",2,
"Medium",3,
"Low",4
)</f>
        <v>2</v>
      </c>
    </row>
    <row r="1272" spans="1:22" x14ac:dyDescent="0.25">
      <c r="A1272">
        <v>1271</v>
      </c>
      <c r="B1272" s="1">
        <v>45492</v>
      </c>
      <c r="C1272" t="s">
        <v>22</v>
      </c>
      <c r="D1272" t="s">
        <v>20</v>
      </c>
      <c r="E1272">
        <v>112</v>
      </c>
      <c r="F1272">
        <v>12</v>
      </c>
      <c r="G1272">
        <v>2.9</v>
      </c>
      <c r="H1272" t="s">
        <v>12</v>
      </c>
      <c r="I1272" t="s">
        <v>19</v>
      </c>
      <c r="J1272" t="s">
        <v>11</v>
      </c>
      <c r="K1272">
        <f>_xlfn.XLOOKUP(tbl_analysis_tickets[[#This Row],[priority]],tbl_sla[priority],tbl_sla[Resolution SLA Hours])</f>
        <v>24</v>
      </c>
      <c r="L1272">
        <f>_xlfn.XLOOKUP(tbl_analysis_tickets[[#This Row],[priority]],tbl_sla[priority],tbl_sla[First Response SLA Minutes])</f>
        <v>60</v>
      </c>
      <c r="M1272" t="str">
        <f>IF(tbl_analysis_tickets[[#This Row],[resolution_time_hours]]&gt;tbl_analysis_tickets[[#This Row],[Resolution SLA Hours]],"Breached","Within SLA")</f>
        <v>Within SLA</v>
      </c>
      <c r="N1272" t="str">
        <f>IF(tbl_analysis_tickets[[#This Row],[first_response_minutes]]&gt;tbl_analysis_tickets[[#This Row],[First Response SLA Minutes]],"Breached","Within SLA")</f>
        <v>Breached</v>
      </c>
      <c r="O1272" t="str" cm="1">
        <f t="array" ref="O1272">_xlfn.IFS(
tbl_analysis_tickets[[#This Row],[agent_experience_years]]&lt;=2,"Junior",
tbl_analysis_tickets[[#This Row],[agent_experience_years]]&lt;=5,"Mid-Level",
tbl_analysis_tickets[[#This Row],[agent_experience_years]]&lt;=8,"Senior",
tbl_analysis_tickets[[#This Row],[agent_experience_years]]&gt;8,"Expert"
)</f>
        <v>Mid-Level</v>
      </c>
      <c r="P1272" cm="1">
        <f t="array" ref="P1272">_xlfn.SWITCH(tbl_analysis_tickets[[#This Row],[customer_satisfaction]],
"Low",1,
"Medium",2,
"High",3
)</f>
        <v>1</v>
      </c>
      <c r="Q1272">
        <f>IF(tbl_analysis_tickets[[#This Row],[reopened]]="Yes",1,0)</f>
        <v>1</v>
      </c>
      <c r="R1272" t="str" cm="1">
        <f t="array" ref="R1272">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272" t="str" cm="1">
        <f t="array" ref="S127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272" t="str">
        <f>TEXT(tbl_analysis_tickets[[#This Row],[created_date]],"mmm-yyyy")</f>
        <v>Jul-2024</v>
      </c>
      <c r="U1272" t="str">
        <f>TEXT(tbl_analysis_tickets[[#This Row],[created_date]],"dddd")</f>
        <v>Friday</v>
      </c>
      <c r="V1272" cm="1">
        <f t="array" ref="V1272">_xlfn.SWITCH(tbl_analysis_tickets[[#This Row],[priority]],
"Urgent",1,
"High",2,
"Medium",3,
"Low",4
)</f>
        <v>2</v>
      </c>
    </row>
    <row r="1273" spans="1:22" x14ac:dyDescent="0.25">
      <c r="A1273">
        <v>1272</v>
      </c>
      <c r="B1273" s="1">
        <v>45556</v>
      </c>
      <c r="C1273" t="s">
        <v>21</v>
      </c>
      <c r="D1273" t="s">
        <v>15</v>
      </c>
      <c r="E1273">
        <v>201</v>
      </c>
      <c r="F1273">
        <v>10</v>
      </c>
      <c r="G1273">
        <v>4.3</v>
      </c>
      <c r="H1273" t="s">
        <v>18</v>
      </c>
      <c r="I1273" t="s">
        <v>13</v>
      </c>
      <c r="J1273" t="s">
        <v>11</v>
      </c>
      <c r="K1273">
        <f>_xlfn.XLOOKUP(tbl_analysis_tickets[[#This Row],[priority]],tbl_sla[priority],tbl_sla[Resolution SLA Hours])</f>
        <v>48</v>
      </c>
      <c r="L1273">
        <f>_xlfn.XLOOKUP(tbl_analysis_tickets[[#This Row],[priority]],tbl_sla[priority],tbl_sla[First Response SLA Minutes])</f>
        <v>120</v>
      </c>
      <c r="M1273" t="str">
        <f>IF(tbl_analysis_tickets[[#This Row],[resolution_time_hours]]&gt;tbl_analysis_tickets[[#This Row],[Resolution SLA Hours]],"Breached","Within SLA")</f>
        <v>Within SLA</v>
      </c>
      <c r="N1273" t="str">
        <f>IF(tbl_analysis_tickets[[#This Row],[first_response_minutes]]&gt;tbl_analysis_tickets[[#This Row],[First Response SLA Minutes]],"Breached","Within SLA")</f>
        <v>Breached</v>
      </c>
      <c r="O1273" t="str" cm="1">
        <f t="array" ref="O1273">_xlfn.IFS(
tbl_analysis_tickets[[#This Row],[agent_experience_years]]&lt;=2,"Junior",
tbl_analysis_tickets[[#This Row],[agent_experience_years]]&lt;=5,"Mid-Level",
tbl_analysis_tickets[[#This Row],[agent_experience_years]]&lt;=8,"Senior",
tbl_analysis_tickets[[#This Row],[agent_experience_years]]&gt;8,"Expert"
)</f>
        <v>Mid-Level</v>
      </c>
      <c r="P1273" cm="1">
        <f t="array" ref="P1273">_xlfn.SWITCH(tbl_analysis_tickets[[#This Row],[customer_satisfaction]],
"Low",1,
"Medium",2,
"High",3
)</f>
        <v>1</v>
      </c>
      <c r="Q1273">
        <f>IF(tbl_analysis_tickets[[#This Row],[reopened]]="Yes",1,0)</f>
        <v>0</v>
      </c>
      <c r="R1273" t="str" cm="1">
        <f t="array" ref="R1273">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273" t="str" cm="1">
        <f t="array" ref="S127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273" t="str">
        <f>TEXT(tbl_analysis_tickets[[#This Row],[created_date]],"mmm-yyyy")</f>
        <v>Sep-2024</v>
      </c>
      <c r="U1273" t="str">
        <f>TEXT(tbl_analysis_tickets[[#This Row],[created_date]],"dddd")</f>
        <v>Saturday</v>
      </c>
      <c r="V1273" cm="1">
        <f t="array" ref="V1273">_xlfn.SWITCH(tbl_analysis_tickets[[#This Row],[priority]],
"Urgent",1,
"High",2,
"Medium",3,
"Low",4
)</f>
        <v>3</v>
      </c>
    </row>
    <row r="1274" spans="1:22" x14ac:dyDescent="0.25">
      <c r="A1274">
        <v>1273</v>
      </c>
      <c r="B1274" s="1">
        <v>45304</v>
      </c>
      <c r="C1274" t="s">
        <v>21</v>
      </c>
      <c r="D1274" t="s">
        <v>20</v>
      </c>
      <c r="E1274">
        <v>25</v>
      </c>
      <c r="F1274">
        <v>14</v>
      </c>
      <c r="G1274">
        <v>4.5999999999999996</v>
      </c>
      <c r="H1274" t="s">
        <v>18</v>
      </c>
      <c r="I1274" t="s">
        <v>16</v>
      </c>
      <c r="J1274" t="s">
        <v>15</v>
      </c>
      <c r="K1274">
        <f>_xlfn.XLOOKUP(tbl_analysis_tickets[[#This Row],[priority]],tbl_sla[priority],tbl_sla[Resolution SLA Hours])</f>
        <v>24</v>
      </c>
      <c r="L1274">
        <f>_xlfn.XLOOKUP(tbl_analysis_tickets[[#This Row],[priority]],tbl_sla[priority],tbl_sla[First Response SLA Minutes])</f>
        <v>60</v>
      </c>
      <c r="M1274" t="str">
        <f>IF(tbl_analysis_tickets[[#This Row],[resolution_time_hours]]&gt;tbl_analysis_tickets[[#This Row],[Resolution SLA Hours]],"Breached","Within SLA")</f>
        <v>Within SLA</v>
      </c>
      <c r="N1274" t="str">
        <f>IF(tbl_analysis_tickets[[#This Row],[first_response_minutes]]&gt;tbl_analysis_tickets[[#This Row],[First Response SLA Minutes]],"Breached","Within SLA")</f>
        <v>Within SLA</v>
      </c>
      <c r="O1274" t="str" cm="1">
        <f t="array" ref="O1274">_xlfn.IFS(
tbl_analysis_tickets[[#This Row],[agent_experience_years]]&lt;=2,"Junior",
tbl_analysis_tickets[[#This Row],[agent_experience_years]]&lt;=5,"Mid-Level",
tbl_analysis_tickets[[#This Row],[agent_experience_years]]&lt;=8,"Senior",
tbl_analysis_tickets[[#This Row],[agent_experience_years]]&gt;8,"Expert"
)</f>
        <v>Mid-Level</v>
      </c>
      <c r="P1274" cm="1">
        <f t="array" ref="P1274">_xlfn.SWITCH(tbl_analysis_tickets[[#This Row],[customer_satisfaction]],
"Low",1,
"Medium",2,
"High",3
)</f>
        <v>2</v>
      </c>
      <c r="Q1274">
        <f>IF(tbl_analysis_tickets[[#This Row],[reopened]]="Yes",1,0)</f>
        <v>0</v>
      </c>
      <c r="R1274" t="str" cm="1">
        <f t="array" ref="R1274">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1274" t="str" cm="1">
        <f t="array" ref="S127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274" t="str">
        <f>TEXT(tbl_analysis_tickets[[#This Row],[created_date]],"mmm-yyyy")</f>
        <v>Jan-2024</v>
      </c>
      <c r="U1274" t="str">
        <f>TEXT(tbl_analysis_tickets[[#This Row],[created_date]],"dddd")</f>
        <v>Saturday</v>
      </c>
      <c r="V1274" cm="1">
        <f t="array" ref="V1274">_xlfn.SWITCH(tbl_analysis_tickets[[#This Row],[priority]],
"Urgent",1,
"High",2,
"Medium",3,
"Low",4
)</f>
        <v>2</v>
      </c>
    </row>
    <row r="1275" spans="1:22" x14ac:dyDescent="0.25">
      <c r="A1275">
        <v>1274</v>
      </c>
      <c r="B1275" s="1">
        <v>45511</v>
      </c>
      <c r="C1275" t="s">
        <v>23</v>
      </c>
      <c r="D1275" t="s">
        <v>11</v>
      </c>
      <c r="E1275">
        <v>134</v>
      </c>
      <c r="F1275">
        <v>33</v>
      </c>
      <c r="G1275">
        <v>0.7</v>
      </c>
      <c r="H1275" t="s">
        <v>12</v>
      </c>
      <c r="I1275" t="s">
        <v>13</v>
      </c>
      <c r="J1275" t="s">
        <v>11</v>
      </c>
      <c r="K1275">
        <f>_xlfn.XLOOKUP(tbl_analysis_tickets[[#This Row],[priority]],tbl_sla[priority],tbl_sla[Resolution SLA Hours])</f>
        <v>72</v>
      </c>
      <c r="L1275">
        <f>_xlfn.XLOOKUP(tbl_analysis_tickets[[#This Row],[priority]],tbl_sla[priority],tbl_sla[First Response SLA Minutes])</f>
        <v>240</v>
      </c>
      <c r="M1275" t="str">
        <f>IF(tbl_analysis_tickets[[#This Row],[resolution_time_hours]]&gt;tbl_analysis_tickets[[#This Row],[Resolution SLA Hours]],"Breached","Within SLA")</f>
        <v>Within SLA</v>
      </c>
      <c r="N1275" t="str">
        <f>IF(tbl_analysis_tickets[[#This Row],[first_response_minutes]]&gt;tbl_analysis_tickets[[#This Row],[First Response SLA Minutes]],"Breached","Within SLA")</f>
        <v>Within SLA</v>
      </c>
      <c r="O1275" t="str" cm="1">
        <f t="array" ref="O1275">_xlfn.IFS(
tbl_analysis_tickets[[#This Row],[agent_experience_years]]&lt;=2,"Junior",
tbl_analysis_tickets[[#This Row],[agent_experience_years]]&lt;=5,"Mid-Level",
tbl_analysis_tickets[[#This Row],[agent_experience_years]]&lt;=8,"Senior",
tbl_analysis_tickets[[#This Row],[agent_experience_years]]&gt;8,"Expert"
)</f>
        <v>Junior</v>
      </c>
      <c r="P1275" cm="1">
        <f t="array" ref="P1275">_xlfn.SWITCH(tbl_analysis_tickets[[#This Row],[customer_satisfaction]],
"Low",1,
"Medium",2,
"High",3
)</f>
        <v>1</v>
      </c>
      <c r="Q1275">
        <f>IF(tbl_analysis_tickets[[#This Row],[reopened]]="Yes",1,0)</f>
        <v>1</v>
      </c>
      <c r="R1275" t="str" cm="1">
        <f t="array" ref="R1275">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275" t="str" cm="1">
        <f t="array" ref="S127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275" t="str">
        <f>TEXT(tbl_analysis_tickets[[#This Row],[created_date]],"mmm-yyyy")</f>
        <v>Aug-2024</v>
      </c>
      <c r="U1275" t="str">
        <f>TEXT(tbl_analysis_tickets[[#This Row],[created_date]],"dddd")</f>
        <v>Wednesday</v>
      </c>
      <c r="V1275" cm="1">
        <f t="array" ref="V1275">_xlfn.SWITCH(tbl_analysis_tickets[[#This Row],[priority]],
"Urgent",1,
"High",2,
"Medium",3,
"Low",4
)</f>
        <v>4</v>
      </c>
    </row>
    <row r="1276" spans="1:22" x14ac:dyDescent="0.25">
      <c r="A1276">
        <v>1275</v>
      </c>
      <c r="B1276" s="1">
        <v>45639</v>
      </c>
      <c r="C1276" t="s">
        <v>22</v>
      </c>
      <c r="D1276" t="s">
        <v>17</v>
      </c>
      <c r="E1276">
        <v>80</v>
      </c>
      <c r="F1276">
        <v>36</v>
      </c>
      <c r="G1276">
        <v>4.8</v>
      </c>
      <c r="H1276" t="s">
        <v>18</v>
      </c>
      <c r="I1276" t="s">
        <v>19</v>
      </c>
      <c r="J1276" t="s">
        <v>11</v>
      </c>
      <c r="K1276">
        <f>_xlfn.XLOOKUP(tbl_analysis_tickets[[#This Row],[priority]],tbl_sla[priority],tbl_sla[Resolution SLA Hours])</f>
        <v>8</v>
      </c>
      <c r="L1276">
        <f>_xlfn.XLOOKUP(tbl_analysis_tickets[[#This Row],[priority]],tbl_sla[priority],tbl_sla[First Response SLA Minutes])</f>
        <v>30</v>
      </c>
      <c r="M1276" t="str">
        <f>IF(tbl_analysis_tickets[[#This Row],[resolution_time_hours]]&gt;tbl_analysis_tickets[[#This Row],[Resolution SLA Hours]],"Breached","Within SLA")</f>
        <v>Breached</v>
      </c>
      <c r="N1276" t="str">
        <f>IF(tbl_analysis_tickets[[#This Row],[first_response_minutes]]&gt;tbl_analysis_tickets[[#This Row],[First Response SLA Minutes]],"Breached","Within SLA")</f>
        <v>Breached</v>
      </c>
      <c r="O1276" t="str" cm="1">
        <f t="array" ref="O1276">_xlfn.IFS(
tbl_analysis_tickets[[#This Row],[agent_experience_years]]&lt;=2,"Junior",
tbl_analysis_tickets[[#This Row],[agent_experience_years]]&lt;=5,"Mid-Level",
tbl_analysis_tickets[[#This Row],[agent_experience_years]]&lt;=8,"Senior",
tbl_analysis_tickets[[#This Row],[agent_experience_years]]&gt;8,"Expert"
)</f>
        <v>Mid-Level</v>
      </c>
      <c r="P1276" cm="1">
        <f t="array" ref="P1276">_xlfn.SWITCH(tbl_analysis_tickets[[#This Row],[customer_satisfaction]],
"Low",1,
"Medium",2,
"High",3
)</f>
        <v>1</v>
      </c>
      <c r="Q1276">
        <f>IF(tbl_analysis_tickets[[#This Row],[reopened]]="Yes",1,0)</f>
        <v>0</v>
      </c>
      <c r="R1276" t="str" cm="1">
        <f t="array" ref="R1276">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276" t="str" cm="1">
        <f t="array" ref="S127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276" t="str">
        <f>TEXT(tbl_analysis_tickets[[#This Row],[created_date]],"mmm-yyyy")</f>
        <v>Dec-2024</v>
      </c>
      <c r="U1276" t="str">
        <f>TEXT(tbl_analysis_tickets[[#This Row],[created_date]],"dddd")</f>
        <v>Friday</v>
      </c>
      <c r="V1276" cm="1">
        <f t="array" ref="V1276">_xlfn.SWITCH(tbl_analysis_tickets[[#This Row],[priority]],
"Urgent",1,
"High",2,
"Medium",3,
"Low",4
)</f>
        <v>1</v>
      </c>
    </row>
    <row r="1277" spans="1:22" x14ac:dyDescent="0.25">
      <c r="A1277">
        <v>1276</v>
      </c>
      <c r="B1277" s="1">
        <v>45492</v>
      </c>
      <c r="C1277" t="s">
        <v>21</v>
      </c>
      <c r="D1277" t="s">
        <v>17</v>
      </c>
      <c r="E1277">
        <v>123</v>
      </c>
      <c r="F1277">
        <v>61</v>
      </c>
      <c r="G1277">
        <v>0.8</v>
      </c>
      <c r="H1277" t="s">
        <v>12</v>
      </c>
      <c r="I1277" t="s">
        <v>16</v>
      </c>
      <c r="J1277" t="s">
        <v>11</v>
      </c>
      <c r="K1277">
        <f>_xlfn.XLOOKUP(tbl_analysis_tickets[[#This Row],[priority]],tbl_sla[priority],tbl_sla[Resolution SLA Hours])</f>
        <v>8</v>
      </c>
      <c r="L1277">
        <f>_xlfn.XLOOKUP(tbl_analysis_tickets[[#This Row],[priority]],tbl_sla[priority],tbl_sla[First Response SLA Minutes])</f>
        <v>30</v>
      </c>
      <c r="M1277" t="str">
        <f>IF(tbl_analysis_tickets[[#This Row],[resolution_time_hours]]&gt;tbl_analysis_tickets[[#This Row],[Resolution SLA Hours]],"Breached","Within SLA")</f>
        <v>Breached</v>
      </c>
      <c r="N1277" t="str">
        <f>IF(tbl_analysis_tickets[[#This Row],[first_response_minutes]]&gt;tbl_analysis_tickets[[#This Row],[First Response SLA Minutes]],"Breached","Within SLA")</f>
        <v>Breached</v>
      </c>
      <c r="O1277" t="str" cm="1">
        <f t="array" ref="O1277">_xlfn.IFS(
tbl_analysis_tickets[[#This Row],[agent_experience_years]]&lt;=2,"Junior",
tbl_analysis_tickets[[#This Row],[agent_experience_years]]&lt;=5,"Mid-Level",
tbl_analysis_tickets[[#This Row],[agent_experience_years]]&lt;=8,"Senior",
tbl_analysis_tickets[[#This Row],[agent_experience_years]]&gt;8,"Expert"
)</f>
        <v>Junior</v>
      </c>
      <c r="P1277" cm="1">
        <f t="array" ref="P1277">_xlfn.SWITCH(tbl_analysis_tickets[[#This Row],[customer_satisfaction]],
"Low",1,
"Medium",2,
"High",3
)</f>
        <v>1</v>
      </c>
      <c r="Q1277">
        <f>IF(tbl_analysis_tickets[[#This Row],[reopened]]="Yes",1,0)</f>
        <v>1</v>
      </c>
      <c r="R1277" t="str" cm="1">
        <f t="array" ref="R1277">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277" t="str" cm="1">
        <f t="array" ref="S127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277" t="str">
        <f>TEXT(tbl_analysis_tickets[[#This Row],[created_date]],"mmm-yyyy")</f>
        <v>Jul-2024</v>
      </c>
      <c r="U1277" t="str">
        <f>TEXT(tbl_analysis_tickets[[#This Row],[created_date]],"dddd")</f>
        <v>Friday</v>
      </c>
      <c r="V1277" cm="1">
        <f t="array" ref="V1277">_xlfn.SWITCH(tbl_analysis_tickets[[#This Row],[priority]],
"Urgent",1,
"High",2,
"Medium",3,
"Low",4
)</f>
        <v>1</v>
      </c>
    </row>
    <row r="1278" spans="1:22" x14ac:dyDescent="0.25">
      <c r="A1278">
        <v>1277</v>
      </c>
      <c r="B1278" s="1">
        <v>45353</v>
      </c>
      <c r="C1278" t="s">
        <v>14</v>
      </c>
      <c r="D1278" t="s">
        <v>11</v>
      </c>
      <c r="E1278">
        <v>174</v>
      </c>
      <c r="F1278">
        <v>57</v>
      </c>
      <c r="G1278">
        <v>6.4</v>
      </c>
      <c r="H1278" t="s">
        <v>12</v>
      </c>
      <c r="I1278" t="s">
        <v>13</v>
      </c>
      <c r="J1278" t="s">
        <v>11</v>
      </c>
      <c r="K1278">
        <f>_xlfn.XLOOKUP(tbl_analysis_tickets[[#This Row],[priority]],tbl_sla[priority],tbl_sla[Resolution SLA Hours])</f>
        <v>72</v>
      </c>
      <c r="L1278">
        <f>_xlfn.XLOOKUP(tbl_analysis_tickets[[#This Row],[priority]],tbl_sla[priority],tbl_sla[First Response SLA Minutes])</f>
        <v>240</v>
      </c>
      <c r="M1278" t="str">
        <f>IF(tbl_analysis_tickets[[#This Row],[resolution_time_hours]]&gt;tbl_analysis_tickets[[#This Row],[Resolution SLA Hours]],"Breached","Within SLA")</f>
        <v>Within SLA</v>
      </c>
      <c r="N1278" t="str">
        <f>IF(tbl_analysis_tickets[[#This Row],[first_response_minutes]]&gt;tbl_analysis_tickets[[#This Row],[First Response SLA Minutes]],"Breached","Within SLA")</f>
        <v>Within SLA</v>
      </c>
      <c r="O1278" t="str" cm="1">
        <f t="array" ref="O1278">_xlfn.IFS(
tbl_analysis_tickets[[#This Row],[agent_experience_years]]&lt;=2,"Junior",
tbl_analysis_tickets[[#This Row],[agent_experience_years]]&lt;=5,"Mid-Level",
tbl_analysis_tickets[[#This Row],[agent_experience_years]]&lt;=8,"Senior",
tbl_analysis_tickets[[#This Row],[agent_experience_years]]&gt;8,"Expert"
)</f>
        <v>Senior</v>
      </c>
      <c r="P1278" cm="1">
        <f t="array" ref="P1278">_xlfn.SWITCH(tbl_analysis_tickets[[#This Row],[customer_satisfaction]],
"Low",1,
"Medium",2,
"High",3
)</f>
        <v>1</v>
      </c>
      <c r="Q1278">
        <f>IF(tbl_analysis_tickets[[#This Row],[reopened]]="Yes",1,0)</f>
        <v>1</v>
      </c>
      <c r="R1278" t="str" cm="1">
        <f t="array" ref="R1278">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278" t="str" cm="1">
        <f t="array" ref="S127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278" t="str">
        <f>TEXT(tbl_analysis_tickets[[#This Row],[created_date]],"mmm-yyyy")</f>
        <v>Mar-2024</v>
      </c>
      <c r="U1278" t="str">
        <f>TEXT(tbl_analysis_tickets[[#This Row],[created_date]],"dddd")</f>
        <v>Saturday</v>
      </c>
      <c r="V1278" cm="1">
        <f t="array" ref="V1278">_xlfn.SWITCH(tbl_analysis_tickets[[#This Row],[priority]],
"Urgent",1,
"High",2,
"Medium",3,
"Low",4
)</f>
        <v>4</v>
      </c>
    </row>
    <row r="1279" spans="1:22" x14ac:dyDescent="0.25">
      <c r="A1279">
        <v>1278</v>
      </c>
      <c r="B1279" s="1">
        <v>45507</v>
      </c>
      <c r="C1279" t="s">
        <v>21</v>
      </c>
      <c r="D1279" t="s">
        <v>15</v>
      </c>
      <c r="E1279">
        <v>93</v>
      </c>
      <c r="F1279">
        <v>13</v>
      </c>
      <c r="G1279">
        <v>2.5</v>
      </c>
      <c r="H1279" t="s">
        <v>12</v>
      </c>
      <c r="I1279" t="s">
        <v>13</v>
      </c>
      <c r="J1279" t="s">
        <v>11</v>
      </c>
      <c r="K1279">
        <f>_xlfn.XLOOKUP(tbl_analysis_tickets[[#This Row],[priority]],tbl_sla[priority],tbl_sla[Resolution SLA Hours])</f>
        <v>48</v>
      </c>
      <c r="L1279">
        <f>_xlfn.XLOOKUP(tbl_analysis_tickets[[#This Row],[priority]],tbl_sla[priority],tbl_sla[First Response SLA Minutes])</f>
        <v>120</v>
      </c>
      <c r="M1279" t="str">
        <f>IF(tbl_analysis_tickets[[#This Row],[resolution_time_hours]]&gt;tbl_analysis_tickets[[#This Row],[Resolution SLA Hours]],"Breached","Within SLA")</f>
        <v>Within SLA</v>
      </c>
      <c r="N1279" t="str">
        <f>IF(tbl_analysis_tickets[[#This Row],[first_response_minutes]]&gt;tbl_analysis_tickets[[#This Row],[First Response SLA Minutes]],"Breached","Within SLA")</f>
        <v>Within SLA</v>
      </c>
      <c r="O1279" t="str" cm="1">
        <f t="array" ref="O1279">_xlfn.IFS(
tbl_analysis_tickets[[#This Row],[agent_experience_years]]&lt;=2,"Junior",
tbl_analysis_tickets[[#This Row],[agent_experience_years]]&lt;=5,"Mid-Level",
tbl_analysis_tickets[[#This Row],[agent_experience_years]]&lt;=8,"Senior",
tbl_analysis_tickets[[#This Row],[agent_experience_years]]&gt;8,"Expert"
)</f>
        <v>Mid-Level</v>
      </c>
      <c r="P1279" cm="1">
        <f t="array" ref="P1279">_xlfn.SWITCH(tbl_analysis_tickets[[#This Row],[customer_satisfaction]],
"Low",1,
"Medium",2,
"High",3
)</f>
        <v>1</v>
      </c>
      <c r="Q1279">
        <f>IF(tbl_analysis_tickets[[#This Row],[reopened]]="Yes",1,0)</f>
        <v>1</v>
      </c>
      <c r="R1279" t="str" cm="1">
        <f t="array" ref="R1279">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279" t="str" cm="1">
        <f t="array" ref="S127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279" t="str">
        <f>TEXT(tbl_analysis_tickets[[#This Row],[created_date]],"mmm-yyyy")</f>
        <v>Aug-2024</v>
      </c>
      <c r="U1279" t="str">
        <f>TEXT(tbl_analysis_tickets[[#This Row],[created_date]],"dddd")</f>
        <v>Saturday</v>
      </c>
      <c r="V1279" cm="1">
        <f t="array" ref="V1279">_xlfn.SWITCH(tbl_analysis_tickets[[#This Row],[priority]],
"Urgent",1,
"High",2,
"Medium",3,
"Low",4
)</f>
        <v>3</v>
      </c>
    </row>
    <row r="1280" spans="1:22" x14ac:dyDescent="0.25">
      <c r="A1280">
        <v>1279</v>
      </c>
      <c r="B1280" s="1">
        <v>45633</v>
      </c>
      <c r="C1280" t="s">
        <v>14</v>
      </c>
      <c r="D1280" t="s">
        <v>11</v>
      </c>
      <c r="E1280">
        <v>197</v>
      </c>
      <c r="F1280">
        <v>63</v>
      </c>
      <c r="G1280">
        <v>5.8</v>
      </c>
      <c r="H1280" t="s">
        <v>18</v>
      </c>
      <c r="I1280" t="s">
        <v>13</v>
      </c>
      <c r="J1280" t="s">
        <v>15</v>
      </c>
      <c r="K1280">
        <f>_xlfn.XLOOKUP(tbl_analysis_tickets[[#This Row],[priority]],tbl_sla[priority],tbl_sla[Resolution SLA Hours])</f>
        <v>72</v>
      </c>
      <c r="L1280">
        <f>_xlfn.XLOOKUP(tbl_analysis_tickets[[#This Row],[priority]],tbl_sla[priority],tbl_sla[First Response SLA Minutes])</f>
        <v>240</v>
      </c>
      <c r="M1280" t="str">
        <f>IF(tbl_analysis_tickets[[#This Row],[resolution_time_hours]]&gt;tbl_analysis_tickets[[#This Row],[Resolution SLA Hours]],"Breached","Within SLA")</f>
        <v>Within SLA</v>
      </c>
      <c r="N1280" t="str">
        <f>IF(tbl_analysis_tickets[[#This Row],[first_response_minutes]]&gt;tbl_analysis_tickets[[#This Row],[First Response SLA Minutes]],"Breached","Within SLA")</f>
        <v>Within SLA</v>
      </c>
      <c r="O1280" t="str" cm="1">
        <f t="array" ref="O1280">_xlfn.IFS(
tbl_analysis_tickets[[#This Row],[agent_experience_years]]&lt;=2,"Junior",
tbl_analysis_tickets[[#This Row],[agent_experience_years]]&lt;=5,"Mid-Level",
tbl_analysis_tickets[[#This Row],[agent_experience_years]]&lt;=8,"Senior",
tbl_analysis_tickets[[#This Row],[agent_experience_years]]&gt;8,"Expert"
)</f>
        <v>Senior</v>
      </c>
      <c r="P1280" cm="1">
        <f t="array" ref="P1280">_xlfn.SWITCH(tbl_analysis_tickets[[#This Row],[customer_satisfaction]],
"Low",1,
"Medium",2,
"High",3
)</f>
        <v>2</v>
      </c>
      <c r="Q1280">
        <f>IF(tbl_analysis_tickets[[#This Row],[reopened]]="Yes",1,0)</f>
        <v>0</v>
      </c>
      <c r="R1280" t="str" cm="1">
        <f t="array" ref="R1280">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280" t="str" cm="1">
        <f t="array" ref="S128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280" t="str">
        <f>TEXT(tbl_analysis_tickets[[#This Row],[created_date]],"mmm-yyyy")</f>
        <v>Dec-2024</v>
      </c>
      <c r="U1280" t="str">
        <f>TEXT(tbl_analysis_tickets[[#This Row],[created_date]],"dddd")</f>
        <v>Saturday</v>
      </c>
      <c r="V1280" cm="1">
        <f t="array" ref="V1280">_xlfn.SWITCH(tbl_analysis_tickets[[#This Row],[priority]],
"Urgent",1,
"High",2,
"Medium",3,
"Low",4
)</f>
        <v>4</v>
      </c>
    </row>
    <row r="1281" spans="1:22" x14ac:dyDescent="0.25">
      <c r="A1281">
        <v>1280</v>
      </c>
      <c r="B1281" s="1">
        <v>45347</v>
      </c>
      <c r="C1281" t="s">
        <v>22</v>
      </c>
      <c r="D1281" t="s">
        <v>20</v>
      </c>
      <c r="E1281">
        <v>80</v>
      </c>
      <c r="F1281">
        <v>61</v>
      </c>
      <c r="G1281">
        <v>2.4</v>
      </c>
      <c r="H1281" t="s">
        <v>18</v>
      </c>
      <c r="I1281" t="s">
        <v>19</v>
      </c>
      <c r="J1281" t="s">
        <v>11</v>
      </c>
      <c r="K1281">
        <f>_xlfn.XLOOKUP(tbl_analysis_tickets[[#This Row],[priority]],tbl_sla[priority],tbl_sla[Resolution SLA Hours])</f>
        <v>24</v>
      </c>
      <c r="L1281">
        <f>_xlfn.XLOOKUP(tbl_analysis_tickets[[#This Row],[priority]],tbl_sla[priority],tbl_sla[First Response SLA Minutes])</f>
        <v>60</v>
      </c>
      <c r="M1281" t="str">
        <f>IF(tbl_analysis_tickets[[#This Row],[resolution_time_hours]]&gt;tbl_analysis_tickets[[#This Row],[Resolution SLA Hours]],"Breached","Within SLA")</f>
        <v>Breached</v>
      </c>
      <c r="N1281" t="str">
        <f>IF(tbl_analysis_tickets[[#This Row],[first_response_minutes]]&gt;tbl_analysis_tickets[[#This Row],[First Response SLA Minutes]],"Breached","Within SLA")</f>
        <v>Breached</v>
      </c>
      <c r="O1281" t="str" cm="1">
        <f t="array" ref="O1281">_xlfn.IFS(
tbl_analysis_tickets[[#This Row],[agent_experience_years]]&lt;=2,"Junior",
tbl_analysis_tickets[[#This Row],[agent_experience_years]]&lt;=5,"Mid-Level",
tbl_analysis_tickets[[#This Row],[agent_experience_years]]&lt;=8,"Senior",
tbl_analysis_tickets[[#This Row],[agent_experience_years]]&gt;8,"Expert"
)</f>
        <v>Mid-Level</v>
      </c>
      <c r="P1281" cm="1">
        <f t="array" ref="P1281">_xlfn.SWITCH(tbl_analysis_tickets[[#This Row],[customer_satisfaction]],
"Low",1,
"Medium",2,
"High",3
)</f>
        <v>1</v>
      </c>
      <c r="Q1281">
        <f>IF(tbl_analysis_tickets[[#This Row],[reopened]]="Yes",1,0)</f>
        <v>0</v>
      </c>
      <c r="R1281" t="str" cm="1">
        <f t="array" ref="R1281">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281" t="str" cm="1">
        <f t="array" ref="S128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281" t="str">
        <f>TEXT(tbl_analysis_tickets[[#This Row],[created_date]],"mmm-yyyy")</f>
        <v>Feb-2024</v>
      </c>
      <c r="U1281" t="str">
        <f>TEXT(tbl_analysis_tickets[[#This Row],[created_date]],"dddd")</f>
        <v>Sunday</v>
      </c>
      <c r="V1281" cm="1">
        <f t="array" ref="V1281">_xlfn.SWITCH(tbl_analysis_tickets[[#This Row],[priority]],
"Urgent",1,
"High",2,
"Medium",3,
"Low",4
)</f>
        <v>2</v>
      </c>
    </row>
    <row r="1282" spans="1:22" x14ac:dyDescent="0.25">
      <c r="A1282">
        <v>1281</v>
      </c>
      <c r="B1282" s="1">
        <v>45598</v>
      </c>
      <c r="C1282" t="s">
        <v>22</v>
      </c>
      <c r="D1282" t="s">
        <v>11</v>
      </c>
      <c r="E1282">
        <v>185</v>
      </c>
      <c r="F1282">
        <v>46</v>
      </c>
      <c r="G1282">
        <v>0.7</v>
      </c>
      <c r="H1282" t="s">
        <v>12</v>
      </c>
      <c r="I1282" t="s">
        <v>19</v>
      </c>
      <c r="J1282" t="s">
        <v>11</v>
      </c>
      <c r="K1282">
        <f>_xlfn.XLOOKUP(tbl_analysis_tickets[[#This Row],[priority]],tbl_sla[priority],tbl_sla[Resolution SLA Hours])</f>
        <v>72</v>
      </c>
      <c r="L1282">
        <f>_xlfn.XLOOKUP(tbl_analysis_tickets[[#This Row],[priority]],tbl_sla[priority],tbl_sla[First Response SLA Minutes])</f>
        <v>240</v>
      </c>
      <c r="M1282" t="str">
        <f>IF(tbl_analysis_tickets[[#This Row],[resolution_time_hours]]&gt;tbl_analysis_tickets[[#This Row],[Resolution SLA Hours]],"Breached","Within SLA")</f>
        <v>Within SLA</v>
      </c>
      <c r="N1282" t="str">
        <f>IF(tbl_analysis_tickets[[#This Row],[first_response_minutes]]&gt;tbl_analysis_tickets[[#This Row],[First Response SLA Minutes]],"Breached","Within SLA")</f>
        <v>Within SLA</v>
      </c>
      <c r="O1282" t="str" cm="1">
        <f t="array" ref="O1282">_xlfn.IFS(
tbl_analysis_tickets[[#This Row],[agent_experience_years]]&lt;=2,"Junior",
tbl_analysis_tickets[[#This Row],[agent_experience_years]]&lt;=5,"Mid-Level",
tbl_analysis_tickets[[#This Row],[agent_experience_years]]&lt;=8,"Senior",
tbl_analysis_tickets[[#This Row],[agent_experience_years]]&gt;8,"Expert"
)</f>
        <v>Junior</v>
      </c>
      <c r="P1282" cm="1">
        <f t="array" ref="P1282">_xlfn.SWITCH(tbl_analysis_tickets[[#This Row],[customer_satisfaction]],
"Low",1,
"Medium",2,
"High",3
)</f>
        <v>1</v>
      </c>
      <c r="Q1282">
        <f>IF(tbl_analysis_tickets[[#This Row],[reopened]]="Yes",1,0)</f>
        <v>1</v>
      </c>
      <c r="R1282" t="str" cm="1">
        <f t="array" ref="R1282">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282" t="str" cm="1">
        <f t="array" ref="S128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282" t="str">
        <f>TEXT(tbl_analysis_tickets[[#This Row],[created_date]],"mmm-yyyy")</f>
        <v>Nov-2024</v>
      </c>
      <c r="U1282" t="str">
        <f>TEXT(tbl_analysis_tickets[[#This Row],[created_date]],"dddd")</f>
        <v>Saturday</v>
      </c>
      <c r="V1282" cm="1">
        <f t="array" ref="V1282">_xlfn.SWITCH(tbl_analysis_tickets[[#This Row],[priority]],
"Urgent",1,
"High",2,
"Medium",3,
"Low",4
)</f>
        <v>4</v>
      </c>
    </row>
    <row r="1283" spans="1:22" x14ac:dyDescent="0.25">
      <c r="A1283">
        <v>1282</v>
      </c>
      <c r="B1283" s="1">
        <v>45378</v>
      </c>
      <c r="C1283" t="s">
        <v>10</v>
      </c>
      <c r="D1283" t="s">
        <v>11</v>
      </c>
      <c r="E1283">
        <v>35</v>
      </c>
      <c r="F1283">
        <v>15</v>
      </c>
      <c r="G1283">
        <v>2.8</v>
      </c>
      <c r="H1283" t="s">
        <v>12</v>
      </c>
      <c r="I1283" t="s">
        <v>19</v>
      </c>
      <c r="J1283" t="s">
        <v>11</v>
      </c>
      <c r="K1283">
        <f>_xlfn.XLOOKUP(tbl_analysis_tickets[[#This Row],[priority]],tbl_sla[priority],tbl_sla[Resolution SLA Hours])</f>
        <v>72</v>
      </c>
      <c r="L1283">
        <f>_xlfn.XLOOKUP(tbl_analysis_tickets[[#This Row],[priority]],tbl_sla[priority],tbl_sla[First Response SLA Minutes])</f>
        <v>240</v>
      </c>
      <c r="M1283" t="str">
        <f>IF(tbl_analysis_tickets[[#This Row],[resolution_time_hours]]&gt;tbl_analysis_tickets[[#This Row],[Resolution SLA Hours]],"Breached","Within SLA")</f>
        <v>Within SLA</v>
      </c>
      <c r="N1283" t="str">
        <f>IF(tbl_analysis_tickets[[#This Row],[first_response_minutes]]&gt;tbl_analysis_tickets[[#This Row],[First Response SLA Minutes]],"Breached","Within SLA")</f>
        <v>Within SLA</v>
      </c>
      <c r="O1283" t="str" cm="1">
        <f t="array" ref="O1283">_xlfn.IFS(
tbl_analysis_tickets[[#This Row],[agent_experience_years]]&lt;=2,"Junior",
tbl_analysis_tickets[[#This Row],[agent_experience_years]]&lt;=5,"Mid-Level",
tbl_analysis_tickets[[#This Row],[agent_experience_years]]&lt;=8,"Senior",
tbl_analysis_tickets[[#This Row],[agent_experience_years]]&gt;8,"Expert"
)</f>
        <v>Mid-Level</v>
      </c>
      <c r="P1283" cm="1">
        <f t="array" ref="P1283">_xlfn.SWITCH(tbl_analysis_tickets[[#This Row],[customer_satisfaction]],
"Low",1,
"Medium",2,
"High",3
)</f>
        <v>1</v>
      </c>
      <c r="Q1283">
        <f>IF(tbl_analysis_tickets[[#This Row],[reopened]]="Yes",1,0)</f>
        <v>1</v>
      </c>
      <c r="R1283" t="str" cm="1">
        <f t="array" ref="R1283">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283" t="str" cm="1">
        <f t="array" ref="S128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283" t="str">
        <f>TEXT(tbl_analysis_tickets[[#This Row],[created_date]],"mmm-yyyy")</f>
        <v>Mar-2024</v>
      </c>
      <c r="U1283" t="str">
        <f>TEXT(tbl_analysis_tickets[[#This Row],[created_date]],"dddd")</f>
        <v>Wednesday</v>
      </c>
      <c r="V1283" cm="1">
        <f t="array" ref="V1283">_xlfn.SWITCH(tbl_analysis_tickets[[#This Row],[priority]],
"Urgent",1,
"High",2,
"Medium",3,
"Low",4
)</f>
        <v>4</v>
      </c>
    </row>
    <row r="1284" spans="1:22" x14ac:dyDescent="0.25">
      <c r="A1284">
        <v>1283</v>
      </c>
      <c r="B1284" s="1">
        <v>45556</v>
      </c>
      <c r="C1284" t="s">
        <v>22</v>
      </c>
      <c r="D1284" t="s">
        <v>17</v>
      </c>
      <c r="E1284">
        <v>35</v>
      </c>
      <c r="F1284">
        <v>4</v>
      </c>
      <c r="G1284">
        <v>4.5999999999999996</v>
      </c>
      <c r="H1284" t="s">
        <v>18</v>
      </c>
      <c r="I1284" t="s">
        <v>16</v>
      </c>
      <c r="J1284" t="s">
        <v>15</v>
      </c>
      <c r="K1284">
        <f>_xlfn.XLOOKUP(tbl_analysis_tickets[[#This Row],[priority]],tbl_sla[priority],tbl_sla[Resolution SLA Hours])</f>
        <v>8</v>
      </c>
      <c r="L1284">
        <f>_xlfn.XLOOKUP(tbl_analysis_tickets[[#This Row],[priority]],tbl_sla[priority],tbl_sla[First Response SLA Minutes])</f>
        <v>30</v>
      </c>
      <c r="M1284" t="str">
        <f>IF(tbl_analysis_tickets[[#This Row],[resolution_time_hours]]&gt;tbl_analysis_tickets[[#This Row],[Resolution SLA Hours]],"Breached","Within SLA")</f>
        <v>Within SLA</v>
      </c>
      <c r="N1284" t="str">
        <f>IF(tbl_analysis_tickets[[#This Row],[first_response_minutes]]&gt;tbl_analysis_tickets[[#This Row],[First Response SLA Minutes]],"Breached","Within SLA")</f>
        <v>Breached</v>
      </c>
      <c r="O1284" t="str" cm="1">
        <f t="array" ref="O1284">_xlfn.IFS(
tbl_analysis_tickets[[#This Row],[agent_experience_years]]&lt;=2,"Junior",
tbl_analysis_tickets[[#This Row],[agent_experience_years]]&lt;=5,"Mid-Level",
tbl_analysis_tickets[[#This Row],[agent_experience_years]]&lt;=8,"Senior",
tbl_analysis_tickets[[#This Row],[agent_experience_years]]&gt;8,"Expert"
)</f>
        <v>Mid-Level</v>
      </c>
      <c r="P1284" cm="1">
        <f t="array" ref="P1284">_xlfn.SWITCH(tbl_analysis_tickets[[#This Row],[customer_satisfaction]],
"Low",1,
"Medium",2,
"High",3
)</f>
        <v>2</v>
      </c>
      <c r="Q1284">
        <f>IF(tbl_analysis_tickets[[#This Row],[reopened]]="Yes",1,0)</f>
        <v>0</v>
      </c>
      <c r="R1284" t="str" cm="1">
        <f t="array" ref="R1284">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284" t="str" cm="1">
        <f t="array" ref="S128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1284" t="str">
        <f>TEXT(tbl_analysis_tickets[[#This Row],[created_date]],"mmm-yyyy")</f>
        <v>Sep-2024</v>
      </c>
      <c r="U1284" t="str">
        <f>TEXT(tbl_analysis_tickets[[#This Row],[created_date]],"dddd")</f>
        <v>Saturday</v>
      </c>
      <c r="V1284" cm="1">
        <f t="array" ref="V1284">_xlfn.SWITCH(tbl_analysis_tickets[[#This Row],[priority]],
"Urgent",1,
"High",2,
"Medium",3,
"Low",4
)</f>
        <v>1</v>
      </c>
    </row>
    <row r="1285" spans="1:22" x14ac:dyDescent="0.25">
      <c r="A1285">
        <v>1284</v>
      </c>
      <c r="B1285" s="1">
        <v>45475</v>
      </c>
      <c r="C1285" t="s">
        <v>14</v>
      </c>
      <c r="D1285" t="s">
        <v>20</v>
      </c>
      <c r="E1285">
        <v>234</v>
      </c>
      <c r="F1285">
        <v>39</v>
      </c>
      <c r="G1285">
        <v>1.9</v>
      </c>
      <c r="H1285" t="s">
        <v>18</v>
      </c>
      <c r="I1285" t="s">
        <v>13</v>
      </c>
      <c r="J1285" t="s">
        <v>11</v>
      </c>
      <c r="K1285">
        <f>_xlfn.XLOOKUP(tbl_analysis_tickets[[#This Row],[priority]],tbl_sla[priority],tbl_sla[Resolution SLA Hours])</f>
        <v>24</v>
      </c>
      <c r="L1285">
        <f>_xlfn.XLOOKUP(tbl_analysis_tickets[[#This Row],[priority]],tbl_sla[priority],tbl_sla[First Response SLA Minutes])</f>
        <v>60</v>
      </c>
      <c r="M1285" t="str">
        <f>IF(tbl_analysis_tickets[[#This Row],[resolution_time_hours]]&gt;tbl_analysis_tickets[[#This Row],[Resolution SLA Hours]],"Breached","Within SLA")</f>
        <v>Breached</v>
      </c>
      <c r="N1285" t="str">
        <f>IF(tbl_analysis_tickets[[#This Row],[first_response_minutes]]&gt;tbl_analysis_tickets[[#This Row],[First Response SLA Minutes]],"Breached","Within SLA")</f>
        <v>Breached</v>
      </c>
      <c r="O1285" t="str" cm="1">
        <f t="array" ref="O1285">_xlfn.IFS(
tbl_analysis_tickets[[#This Row],[agent_experience_years]]&lt;=2,"Junior",
tbl_analysis_tickets[[#This Row],[agent_experience_years]]&lt;=5,"Mid-Level",
tbl_analysis_tickets[[#This Row],[agent_experience_years]]&lt;=8,"Senior",
tbl_analysis_tickets[[#This Row],[agent_experience_years]]&gt;8,"Expert"
)</f>
        <v>Junior</v>
      </c>
      <c r="P1285" cm="1">
        <f t="array" ref="P1285">_xlfn.SWITCH(tbl_analysis_tickets[[#This Row],[customer_satisfaction]],
"Low",1,
"Medium",2,
"High",3
)</f>
        <v>1</v>
      </c>
      <c r="Q1285">
        <f>IF(tbl_analysis_tickets[[#This Row],[reopened]]="Yes",1,0)</f>
        <v>0</v>
      </c>
      <c r="R1285" t="str" cm="1">
        <f t="array" ref="R1285">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285" t="str" cm="1">
        <f t="array" ref="S128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285" t="str">
        <f>TEXT(tbl_analysis_tickets[[#This Row],[created_date]],"mmm-yyyy")</f>
        <v>Jul-2024</v>
      </c>
      <c r="U1285" t="str">
        <f>TEXT(tbl_analysis_tickets[[#This Row],[created_date]],"dddd")</f>
        <v>Tuesday</v>
      </c>
      <c r="V1285" cm="1">
        <f t="array" ref="V1285">_xlfn.SWITCH(tbl_analysis_tickets[[#This Row],[priority]],
"Urgent",1,
"High",2,
"Medium",3,
"Low",4
)</f>
        <v>2</v>
      </c>
    </row>
    <row r="1286" spans="1:22" x14ac:dyDescent="0.25">
      <c r="A1286">
        <v>1285</v>
      </c>
      <c r="B1286" s="1">
        <v>45608</v>
      </c>
      <c r="C1286" t="s">
        <v>21</v>
      </c>
      <c r="D1286" t="s">
        <v>15</v>
      </c>
      <c r="E1286">
        <v>201</v>
      </c>
      <c r="F1286">
        <v>15</v>
      </c>
      <c r="G1286">
        <v>4.2</v>
      </c>
      <c r="H1286" t="s">
        <v>12</v>
      </c>
      <c r="I1286" t="s">
        <v>19</v>
      </c>
      <c r="J1286" t="s">
        <v>11</v>
      </c>
      <c r="K1286">
        <f>_xlfn.XLOOKUP(tbl_analysis_tickets[[#This Row],[priority]],tbl_sla[priority],tbl_sla[Resolution SLA Hours])</f>
        <v>48</v>
      </c>
      <c r="L1286">
        <f>_xlfn.XLOOKUP(tbl_analysis_tickets[[#This Row],[priority]],tbl_sla[priority],tbl_sla[First Response SLA Minutes])</f>
        <v>120</v>
      </c>
      <c r="M1286" t="str">
        <f>IF(tbl_analysis_tickets[[#This Row],[resolution_time_hours]]&gt;tbl_analysis_tickets[[#This Row],[Resolution SLA Hours]],"Breached","Within SLA")</f>
        <v>Within SLA</v>
      </c>
      <c r="N1286" t="str">
        <f>IF(tbl_analysis_tickets[[#This Row],[first_response_minutes]]&gt;tbl_analysis_tickets[[#This Row],[First Response SLA Minutes]],"Breached","Within SLA")</f>
        <v>Breached</v>
      </c>
      <c r="O1286" t="str" cm="1">
        <f t="array" ref="O1286">_xlfn.IFS(
tbl_analysis_tickets[[#This Row],[agent_experience_years]]&lt;=2,"Junior",
tbl_analysis_tickets[[#This Row],[agent_experience_years]]&lt;=5,"Mid-Level",
tbl_analysis_tickets[[#This Row],[agent_experience_years]]&lt;=8,"Senior",
tbl_analysis_tickets[[#This Row],[agent_experience_years]]&gt;8,"Expert"
)</f>
        <v>Mid-Level</v>
      </c>
      <c r="P1286" cm="1">
        <f t="array" ref="P1286">_xlfn.SWITCH(tbl_analysis_tickets[[#This Row],[customer_satisfaction]],
"Low",1,
"Medium",2,
"High",3
)</f>
        <v>1</v>
      </c>
      <c r="Q1286">
        <f>IF(tbl_analysis_tickets[[#This Row],[reopened]]="Yes",1,0)</f>
        <v>1</v>
      </c>
      <c r="R1286" t="str" cm="1">
        <f t="array" ref="R1286">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286" t="str" cm="1">
        <f t="array" ref="S128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286" t="str">
        <f>TEXT(tbl_analysis_tickets[[#This Row],[created_date]],"mmm-yyyy")</f>
        <v>Nov-2024</v>
      </c>
      <c r="U1286" t="str">
        <f>TEXT(tbl_analysis_tickets[[#This Row],[created_date]],"dddd")</f>
        <v>Tuesday</v>
      </c>
      <c r="V1286" cm="1">
        <f t="array" ref="V1286">_xlfn.SWITCH(tbl_analysis_tickets[[#This Row],[priority]],
"Urgent",1,
"High",2,
"Medium",3,
"Low",4
)</f>
        <v>3</v>
      </c>
    </row>
    <row r="1287" spans="1:22" x14ac:dyDescent="0.25">
      <c r="A1287">
        <v>1286</v>
      </c>
      <c r="B1287" s="1">
        <v>45417</v>
      </c>
      <c r="C1287" t="s">
        <v>14</v>
      </c>
      <c r="D1287" t="s">
        <v>11</v>
      </c>
      <c r="E1287">
        <v>35</v>
      </c>
      <c r="F1287">
        <v>39</v>
      </c>
      <c r="G1287">
        <v>4.4000000000000004</v>
      </c>
      <c r="H1287" t="s">
        <v>18</v>
      </c>
      <c r="I1287" t="s">
        <v>16</v>
      </c>
      <c r="J1287" t="s">
        <v>11</v>
      </c>
      <c r="K1287">
        <f>_xlfn.XLOOKUP(tbl_analysis_tickets[[#This Row],[priority]],tbl_sla[priority],tbl_sla[Resolution SLA Hours])</f>
        <v>72</v>
      </c>
      <c r="L1287">
        <f>_xlfn.XLOOKUP(tbl_analysis_tickets[[#This Row],[priority]],tbl_sla[priority],tbl_sla[First Response SLA Minutes])</f>
        <v>240</v>
      </c>
      <c r="M1287" t="str">
        <f>IF(tbl_analysis_tickets[[#This Row],[resolution_time_hours]]&gt;tbl_analysis_tickets[[#This Row],[Resolution SLA Hours]],"Breached","Within SLA")</f>
        <v>Within SLA</v>
      </c>
      <c r="N1287" t="str">
        <f>IF(tbl_analysis_tickets[[#This Row],[first_response_minutes]]&gt;tbl_analysis_tickets[[#This Row],[First Response SLA Minutes]],"Breached","Within SLA")</f>
        <v>Within SLA</v>
      </c>
      <c r="O1287" t="str" cm="1">
        <f t="array" ref="O1287">_xlfn.IFS(
tbl_analysis_tickets[[#This Row],[agent_experience_years]]&lt;=2,"Junior",
tbl_analysis_tickets[[#This Row],[agent_experience_years]]&lt;=5,"Mid-Level",
tbl_analysis_tickets[[#This Row],[agent_experience_years]]&lt;=8,"Senior",
tbl_analysis_tickets[[#This Row],[agent_experience_years]]&gt;8,"Expert"
)</f>
        <v>Mid-Level</v>
      </c>
      <c r="P1287" cm="1">
        <f t="array" ref="P1287">_xlfn.SWITCH(tbl_analysis_tickets[[#This Row],[customer_satisfaction]],
"Low",1,
"Medium",2,
"High",3
)</f>
        <v>1</v>
      </c>
      <c r="Q1287">
        <f>IF(tbl_analysis_tickets[[#This Row],[reopened]]="Yes",1,0)</f>
        <v>0</v>
      </c>
      <c r="R1287" t="str" cm="1">
        <f t="array" ref="R1287">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287" t="str" cm="1">
        <f t="array" ref="S128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287" t="str">
        <f>TEXT(tbl_analysis_tickets[[#This Row],[created_date]],"mmm-yyyy")</f>
        <v>May-2024</v>
      </c>
      <c r="U1287" t="str">
        <f>TEXT(tbl_analysis_tickets[[#This Row],[created_date]],"dddd")</f>
        <v>Sunday</v>
      </c>
      <c r="V1287" cm="1">
        <f t="array" ref="V1287">_xlfn.SWITCH(tbl_analysis_tickets[[#This Row],[priority]],
"Urgent",1,
"High",2,
"Medium",3,
"Low",4
)</f>
        <v>4</v>
      </c>
    </row>
    <row r="1288" spans="1:22" x14ac:dyDescent="0.25">
      <c r="A1288">
        <v>1287</v>
      </c>
      <c r="B1288" s="1">
        <v>45508</v>
      </c>
      <c r="C1288" t="s">
        <v>23</v>
      </c>
      <c r="D1288" t="s">
        <v>17</v>
      </c>
      <c r="E1288">
        <v>93</v>
      </c>
      <c r="F1288">
        <v>35</v>
      </c>
      <c r="G1288">
        <v>7.2</v>
      </c>
      <c r="H1288" t="s">
        <v>18</v>
      </c>
      <c r="I1288" t="s">
        <v>16</v>
      </c>
      <c r="J1288" t="s">
        <v>11</v>
      </c>
      <c r="K1288">
        <f>_xlfn.XLOOKUP(tbl_analysis_tickets[[#This Row],[priority]],tbl_sla[priority],tbl_sla[Resolution SLA Hours])</f>
        <v>8</v>
      </c>
      <c r="L1288">
        <f>_xlfn.XLOOKUP(tbl_analysis_tickets[[#This Row],[priority]],tbl_sla[priority],tbl_sla[First Response SLA Minutes])</f>
        <v>30</v>
      </c>
      <c r="M1288" t="str">
        <f>IF(tbl_analysis_tickets[[#This Row],[resolution_time_hours]]&gt;tbl_analysis_tickets[[#This Row],[Resolution SLA Hours]],"Breached","Within SLA")</f>
        <v>Breached</v>
      </c>
      <c r="N1288" t="str">
        <f>IF(tbl_analysis_tickets[[#This Row],[first_response_minutes]]&gt;tbl_analysis_tickets[[#This Row],[First Response SLA Minutes]],"Breached","Within SLA")</f>
        <v>Breached</v>
      </c>
      <c r="O1288" t="str" cm="1">
        <f t="array" ref="O1288">_xlfn.IFS(
tbl_analysis_tickets[[#This Row],[agent_experience_years]]&lt;=2,"Junior",
tbl_analysis_tickets[[#This Row],[agent_experience_years]]&lt;=5,"Mid-Level",
tbl_analysis_tickets[[#This Row],[agent_experience_years]]&lt;=8,"Senior",
tbl_analysis_tickets[[#This Row],[agent_experience_years]]&gt;8,"Expert"
)</f>
        <v>Senior</v>
      </c>
      <c r="P1288" cm="1">
        <f t="array" ref="P1288">_xlfn.SWITCH(tbl_analysis_tickets[[#This Row],[customer_satisfaction]],
"Low",1,
"Medium",2,
"High",3
)</f>
        <v>1</v>
      </c>
      <c r="Q1288">
        <f>IF(tbl_analysis_tickets[[#This Row],[reopened]]="Yes",1,0)</f>
        <v>0</v>
      </c>
      <c r="R1288" t="str" cm="1">
        <f t="array" ref="R1288">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288" t="str" cm="1">
        <f t="array" ref="S128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288" t="str">
        <f>TEXT(tbl_analysis_tickets[[#This Row],[created_date]],"mmm-yyyy")</f>
        <v>Aug-2024</v>
      </c>
      <c r="U1288" t="str">
        <f>TEXT(tbl_analysis_tickets[[#This Row],[created_date]],"dddd")</f>
        <v>Sunday</v>
      </c>
      <c r="V1288" cm="1">
        <f t="array" ref="V1288">_xlfn.SWITCH(tbl_analysis_tickets[[#This Row],[priority]],
"Urgent",1,
"High",2,
"Medium",3,
"Low",4
)</f>
        <v>1</v>
      </c>
    </row>
    <row r="1289" spans="1:22" x14ac:dyDescent="0.25">
      <c r="A1289">
        <v>1288</v>
      </c>
      <c r="B1289" s="1">
        <v>45483</v>
      </c>
      <c r="C1289" t="s">
        <v>23</v>
      </c>
      <c r="D1289" t="s">
        <v>17</v>
      </c>
      <c r="E1289">
        <v>10</v>
      </c>
      <c r="F1289">
        <v>26</v>
      </c>
      <c r="G1289">
        <v>3.5</v>
      </c>
      <c r="H1289" t="s">
        <v>18</v>
      </c>
      <c r="I1289" t="s">
        <v>13</v>
      </c>
      <c r="J1289" t="s">
        <v>15</v>
      </c>
      <c r="K1289">
        <f>_xlfn.XLOOKUP(tbl_analysis_tickets[[#This Row],[priority]],tbl_sla[priority],tbl_sla[Resolution SLA Hours])</f>
        <v>8</v>
      </c>
      <c r="L1289">
        <f>_xlfn.XLOOKUP(tbl_analysis_tickets[[#This Row],[priority]],tbl_sla[priority],tbl_sla[First Response SLA Minutes])</f>
        <v>30</v>
      </c>
      <c r="M1289" t="str">
        <f>IF(tbl_analysis_tickets[[#This Row],[resolution_time_hours]]&gt;tbl_analysis_tickets[[#This Row],[Resolution SLA Hours]],"Breached","Within SLA")</f>
        <v>Breached</v>
      </c>
      <c r="N1289" t="str">
        <f>IF(tbl_analysis_tickets[[#This Row],[first_response_minutes]]&gt;tbl_analysis_tickets[[#This Row],[First Response SLA Minutes]],"Breached","Within SLA")</f>
        <v>Within SLA</v>
      </c>
      <c r="O1289" t="str" cm="1">
        <f t="array" ref="O1289">_xlfn.IFS(
tbl_analysis_tickets[[#This Row],[agent_experience_years]]&lt;=2,"Junior",
tbl_analysis_tickets[[#This Row],[agent_experience_years]]&lt;=5,"Mid-Level",
tbl_analysis_tickets[[#This Row],[agent_experience_years]]&lt;=8,"Senior",
tbl_analysis_tickets[[#This Row],[agent_experience_years]]&gt;8,"Expert"
)</f>
        <v>Mid-Level</v>
      </c>
      <c r="P1289" cm="1">
        <f t="array" ref="P1289">_xlfn.SWITCH(tbl_analysis_tickets[[#This Row],[customer_satisfaction]],
"Low",1,
"Medium",2,
"High",3
)</f>
        <v>2</v>
      </c>
      <c r="Q1289">
        <f>IF(tbl_analysis_tickets[[#This Row],[reopened]]="Yes",1,0)</f>
        <v>0</v>
      </c>
      <c r="R1289" t="str" cm="1">
        <f t="array" ref="R1289">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1289" t="str" cm="1">
        <f t="array" ref="S128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289" t="str">
        <f>TEXT(tbl_analysis_tickets[[#This Row],[created_date]],"mmm-yyyy")</f>
        <v>Jul-2024</v>
      </c>
      <c r="U1289" t="str">
        <f>TEXT(tbl_analysis_tickets[[#This Row],[created_date]],"dddd")</f>
        <v>Wednesday</v>
      </c>
      <c r="V1289" cm="1">
        <f t="array" ref="V1289">_xlfn.SWITCH(tbl_analysis_tickets[[#This Row],[priority]],
"Urgent",1,
"High",2,
"Medium",3,
"Low",4
)</f>
        <v>1</v>
      </c>
    </row>
    <row r="1290" spans="1:22" x14ac:dyDescent="0.25">
      <c r="A1290">
        <v>1289</v>
      </c>
      <c r="B1290" s="1">
        <v>45509</v>
      </c>
      <c r="C1290" t="s">
        <v>21</v>
      </c>
      <c r="D1290" t="s">
        <v>11</v>
      </c>
      <c r="E1290">
        <v>171</v>
      </c>
      <c r="F1290">
        <v>38</v>
      </c>
      <c r="G1290">
        <v>6.9</v>
      </c>
      <c r="H1290" t="s">
        <v>18</v>
      </c>
      <c r="I1290" t="s">
        <v>16</v>
      </c>
      <c r="J1290" t="s">
        <v>15</v>
      </c>
      <c r="K1290">
        <f>_xlfn.XLOOKUP(tbl_analysis_tickets[[#This Row],[priority]],tbl_sla[priority],tbl_sla[Resolution SLA Hours])</f>
        <v>72</v>
      </c>
      <c r="L1290">
        <f>_xlfn.XLOOKUP(tbl_analysis_tickets[[#This Row],[priority]],tbl_sla[priority],tbl_sla[First Response SLA Minutes])</f>
        <v>240</v>
      </c>
      <c r="M1290" t="str">
        <f>IF(tbl_analysis_tickets[[#This Row],[resolution_time_hours]]&gt;tbl_analysis_tickets[[#This Row],[Resolution SLA Hours]],"Breached","Within SLA")</f>
        <v>Within SLA</v>
      </c>
      <c r="N1290" t="str">
        <f>IF(tbl_analysis_tickets[[#This Row],[first_response_minutes]]&gt;tbl_analysis_tickets[[#This Row],[First Response SLA Minutes]],"Breached","Within SLA")</f>
        <v>Within SLA</v>
      </c>
      <c r="O1290" t="str" cm="1">
        <f t="array" ref="O1290">_xlfn.IFS(
tbl_analysis_tickets[[#This Row],[agent_experience_years]]&lt;=2,"Junior",
tbl_analysis_tickets[[#This Row],[agent_experience_years]]&lt;=5,"Mid-Level",
tbl_analysis_tickets[[#This Row],[agent_experience_years]]&lt;=8,"Senior",
tbl_analysis_tickets[[#This Row],[agent_experience_years]]&gt;8,"Expert"
)</f>
        <v>Senior</v>
      </c>
      <c r="P1290" cm="1">
        <f t="array" ref="P1290">_xlfn.SWITCH(tbl_analysis_tickets[[#This Row],[customer_satisfaction]],
"Low",1,
"Medium",2,
"High",3
)</f>
        <v>2</v>
      </c>
      <c r="Q1290">
        <f>IF(tbl_analysis_tickets[[#This Row],[reopened]]="Yes",1,0)</f>
        <v>0</v>
      </c>
      <c r="R1290" t="str" cm="1">
        <f t="array" ref="R1290">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290" t="str" cm="1">
        <f t="array" ref="S129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290" t="str">
        <f>TEXT(tbl_analysis_tickets[[#This Row],[created_date]],"mmm-yyyy")</f>
        <v>Aug-2024</v>
      </c>
      <c r="U1290" t="str">
        <f>TEXT(tbl_analysis_tickets[[#This Row],[created_date]],"dddd")</f>
        <v>Monday</v>
      </c>
      <c r="V1290" cm="1">
        <f t="array" ref="V1290">_xlfn.SWITCH(tbl_analysis_tickets[[#This Row],[priority]],
"Urgent",1,
"High",2,
"Medium",3,
"Low",4
)</f>
        <v>4</v>
      </c>
    </row>
    <row r="1291" spans="1:22" x14ac:dyDescent="0.25">
      <c r="A1291">
        <v>1290</v>
      </c>
      <c r="B1291" s="1">
        <v>45609</v>
      </c>
      <c r="C1291" t="s">
        <v>23</v>
      </c>
      <c r="D1291" t="s">
        <v>11</v>
      </c>
      <c r="E1291">
        <v>171</v>
      </c>
      <c r="F1291">
        <v>44</v>
      </c>
      <c r="G1291">
        <v>0.8</v>
      </c>
      <c r="H1291" t="s">
        <v>18</v>
      </c>
      <c r="I1291" t="s">
        <v>13</v>
      </c>
      <c r="J1291" t="s">
        <v>11</v>
      </c>
      <c r="K1291">
        <f>_xlfn.XLOOKUP(tbl_analysis_tickets[[#This Row],[priority]],tbl_sla[priority],tbl_sla[Resolution SLA Hours])</f>
        <v>72</v>
      </c>
      <c r="L1291">
        <f>_xlfn.XLOOKUP(tbl_analysis_tickets[[#This Row],[priority]],tbl_sla[priority],tbl_sla[First Response SLA Minutes])</f>
        <v>240</v>
      </c>
      <c r="M1291" t="str">
        <f>IF(tbl_analysis_tickets[[#This Row],[resolution_time_hours]]&gt;tbl_analysis_tickets[[#This Row],[Resolution SLA Hours]],"Breached","Within SLA")</f>
        <v>Within SLA</v>
      </c>
      <c r="N1291" t="str">
        <f>IF(tbl_analysis_tickets[[#This Row],[first_response_minutes]]&gt;tbl_analysis_tickets[[#This Row],[First Response SLA Minutes]],"Breached","Within SLA")</f>
        <v>Within SLA</v>
      </c>
      <c r="O1291" t="str" cm="1">
        <f t="array" ref="O1291">_xlfn.IFS(
tbl_analysis_tickets[[#This Row],[agent_experience_years]]&lt;=2,"Junior",
tbl_analysis_tickets[[#This Row],[agent_experience_years]]&lt;=5,"Mid-Level",
tbl_analysis_tickets[[#This Row],[agent_experience_years]]&lt;=8,"Senior",
tbl_analysis_tickets[[#This Row],[agent_experience_years]]&gt;8,"Expert"
)</f>
        <v>Junior</v>
      </c>
      <c r="P1291" cm="1">
        <f t="array" ref="P1291">_xlfn.SWITCH(tbl_analysis_tickets[[#This Row],[customer_satisfaction]],
"Low",1,
"Medium",2,
"High",3
)</f>
        <v>1</v>
      </c>
      <c r="Q1291">
        <f>IF(tbl_analysis_tickets[[#This Row],[reopened]]="Yes",1,0)</f>
        <v>0</v>
      </c>
      <c r="R1291" t="str" cm="1">
        <f t="array" ref="R1291">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291" t="str" cm="1">
        <f t="array" ref="S129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291" t="str">
        <f>TEXT(tbl_analysis_tickets[[#This Row],[created_date]],"mmm-yyyy")</f>
        <v>Nov-2024</v>
      </c>
      <c r="U1291" t="str">
        <f>TEXT(tbl_analysis_tickets[[#This Row],[created_date]],"dddd")</f>
        <v>Wednesday</v>
      </c>
      <c r="V1291" cm="1">
        <f t="array" ref="V1291">_xlfn.SWITCH(tbl_analysis_tickets[[#This Row],[priority]],
"Urgent",1,
"High",2,
"Medium",3,
"Low",4
)</f>
        <v>4</v>
      </c>
    </row>
    <row r="1292" spans="1:22" x14ac:dyDescent="0.25">
      <c r="A1292">
        <v>1291</v>
      </c>
      <c r="B1292" s="1">
        <v>45536</v>
      </c>
      <c r="C1292" t="s">
        <v>22</v>
      </c>
      <c r="D1292" t="s">
        <v>17</v>
      </c>
      <c r="E1292">
        <v>178</v>
      </c>
      <c r="F1292">
        <v>59</v>
      </c>
      <c r="G1292">
        <v>8</v>
      </c>
      <c r="H1292" t="s">
        <v>18</v>
      </c>
      <c r="I1292" t="s">
        <v>16</v>
      </c>
      <c r="J1292" t="s">
        <v>11</v>
      </c>
      <c r="K1292">
        <f>_xlfn.XLOOKUP(tbl_analysis_tickets[[#This Row],[priority]],tbl_sla[priority],tbl_sla[Resolution SLA Hours])</f>
        <v>8</v>
      </c>
      <c r="L1292">
        <f>_xlfn.XLOOKUP(tbl_analysis_tickets[[#This Row],[priority]],tbl_sla[priority],tbl_sla[First Response SLA Minutes])</f>
        <v>30</v>
      </c>
      <c r="M1292" t="str">
        <f>IF(tbl_analysis_tickets[[#This Row],[resolution_time_hours]]&gt;tbl_analysis_tickets[[#This Row],[Resolution SLA Hours]],"Breached","Within SLA")</f>
        <v>Breached</v>
      </c>
      <c r="N1292" t="str">
        <f>IF(tbl_analysis_tickets[[#This Row],[first_response_minutes]]&gt;tbl_analysis_tickets[[#This Row],[First Response SLA Minutes]],"Breached","Within SLA")</f>
        <v>Breached</v>
      </c>
      <c r="O1292" t="str" cm="1">
        <f t="array" ref="O1292">_xlfn.IFS(
tbl_analysis_tickets[[#This Row],[agent_experience_years]]&lt;=2,"Junior",
tbl_analysis_tickets[[#This Row],[agent_experience_years]]&lt;=5,"Mid-Level",
tbl_analysis_tickets[[#This Row],[agent_experience_years]]&lt;=8,"Senior",
tbl_analysis_tickets[[#This Row],[agent_experience_years]]&gt;8,"Expert"
)</f>
        <v>Senior</v>
      </c>
      <c r="P1292" cm="1">
        <f t="array" ref="P1292">_xlfn.SWITCH(tbl_analysis_tickets[[#This Row],[customer_satisfaction]],
"Low",1,
"Medium",2,
"High",3
)</f>
        <v>1</v>
      </c>
      <c r="Q1292">
        <f>IF(tbl_analysis_tickets[[#This Row],[reopened]]="Yes",1,0)</f>
        <v>0</v>
      </c>
      <c r="R1292" t="str" cm="1">
        <f t="array" ref="R1292">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292" t="str" cm="1">
        <f t="array" ref="S129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292" t="str">
        <f>TEXT(tbl_analysis_tickets[[#This Row],[created_date]],"mmm-yyyy")</f>
        <v>Sep-2024</v>
      </c>
      <c r="U1292" t="str">
        <f>TEXT(tbl_analysis_tickets[[#This Row],[created_date]],"dddd")</f>
        <v>Sunday</v>
      </c>
      <c r="V1292" cm="1">
        <f t="array" ref="V1292">_xlfn.SWITCH(tbl_analysis_tickets[[#This Row],[priority]],
"Urgent",1,
"High",2,
"Medium",3,
"Low",4
)</f>
        <v>1</v>
      </c>
    </row>
    <row r="1293" spans="1:22" x14ac:dyDescent="0.25">
      <c r="A1293">
        <v>1292</v>
      </c>
      <c r="B1293" s="1">
        <v>45579</v>
      </c>
      <c r="C1293" t="s">
        <v>14</v>
      </c>
      <c r="D1293" t="s">
        <v>15</v>
      </c>
      <c r="E1293">
        <v>73</v>
      </c>
      <c r="F1293">
        <v>51</v>
      </c>
      <c r="G1293">
        <v>3.2</v>
      </c>
      <c r="H1293" t="s">
        <v>12</v>
      </c>
      <c r="I1293" t="s">
        <v>19</v>
      </c>
      <c r="J1293" t="s">
        <v>11</v>
      </c>
      <c r="K1293">
        <f>_xlfn.XLOOKUP(tbl_analysis_tickets[[#This Row],[priority]],tbl_sla[priority],tbl_sla[Resolution SLA Hours])</f>
        <v>48</v>
      </c>
      <c r="L1293">
        <f>_xlfn.XLOOKUP(tbl_analysis_tickets[[#This Row],[priority]],tbl_sla[priority],tbl_sla[First Response SLA Minutes])</f>
        <v>120</v>
      </c>
      <c r="M1293" t="str">
        <f>IF(tbl_analysis_tickets[[#This Row],[resolution_time_hours]]&gt;tbl_analysis_tickets[[#This Row],[Resolution SLA Hours]],"Breached","Within SLA")</f>
        <v>Breached</v>
      </c>
      <c r="N1293" t="str">
        <f>IF(tbl_analysis_tickets[[#This Row],[first_response_minutes]]&gt;tbl_analysis_tickets[[#This Row],[First Response SLA Minutes]],"Breached","Within SLA")</f>
        <v>Within SLA</v>
      </c>
      <c r="O1293" t="str" cm="1">
        <f t="array" ref="O1293">_xlfn.IFS(
tbl_analysis_tickets[[#This Row],[agent_experience_years]]&lt;=2,"Junior",
tbl_analysis_tickets[[#This Row],[agent_experience_years]]&lt;=5,"Mid-Level",
tbl_analysis_tickets[[#This Row],[agent_experience_years]]&lt;=8,"Senior",
tbl_analysis_tickets[[#This Row],[agent_experience_years]]&gt;8,"Expert"
)</f>
        <v>Mid-Level</v>
      </c>
      <c r="P1293" cm="1">
        <f t="array" ref="P1293">_xlfn.SWITCH(tbl_analysis_tickets[[#This Row],[customer_satisfaction]],
"Low",1,
"Medium",2,
"High",3
)</f>
        <v>1</v>
      </c>
      <c r="Q1293">
        <f>IF(tbl_analysis_tickets[[#This Row],[reopened]]="Yes",1,0)</f>
        <v>1</v>
      </c>
      <c r="R1293" t="str" cm="1">
        <f t="array" ref="R1293">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293" t="str" cm="1">
        <f t="array" ref="S129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293" t="str">
        <f>TEXT(tbl_analysis_tickets[[#This Row],[created_date]],"mmm-yyyy")</f>
        <v>Oct-2024</v>
      </c>
      <c r="U1293" t="str">
        <f>TEXT(tbl_analysis_tickets[[#This Row],[created_date]],"dddd")</f>
        <v>Monday</v>
      </c>
      <c r="V1293" cm="1">
        <f t="array" ref="V1293">_xlfn.SWITCH(tbl_analysis_tickets[[#This Row],[priority]],
"Urgent",1,
"High",2,
"Medium",3,
"Low",4
)</f>
        <v>3</v>
      </c>
    </row>
    <row r="1294" spans="1:22" x14ac:dyDescent="0.25">
      <c r="A1294">
        <v>1293</v>
      </c>
      <c r="B1294" s="1">
        <v>45556</v>
      </c>
      <c r="C1294" t="s">
        <v>23</v>
      </c>
      <c r="D1294" t="s">
        <v>15</v>
      </c>
      <c r="E1294">
        <v>115</v>
      </c>
      <c r="F1294">
        <v>49</v>
      </c>
      <c r="G1294">
        <v>6.6</v>
      </c>
      <c r="H1294" t="s">
        <v>12</v>
      </c>
      <c r="I1294" t="s">
        <v>13</v>
      </c>
      <c r="J1294" t="s">
        <v>11</v>
      </c>
      <c r="K1294">
        <f>_xlfn.XLOOKUP(tbl_analysis_tickets[[#This Row],[priority]],tbl_sla[priority],tbl_sla[Resolution SLA Hours])</f>
        <v>48</v>
      </c>
      <c r="L1294">
        <f>_xlfn.XLOOKUP(tbl_analysis_tickets[[#This Row],[priority]],tbl_sla[priority],tbl_sla[First Response SLA Minutes])</f>
        <v>120</v>
      </c>
      <c r="M1294" t="str">
        <f>IF(tbl_analysis_tickets[[#This Row],[resolution_time_hours]]&gt;tbl_analysis_tickets[[#This Row],[Resolution SLA Hours]],"Breached","Within SLA")</f>
        <v>Breached</v>
      </c>
      <c r="N1294" t="str">
        <f>IF(tbl_analysis_tickets[[#This Row],[first_response_minutes]]&gt;tbl_analysis_tickets[[#This Row],[First Response SLA Minutes]],"Breached","Within SLA")</f>
        <v>Within SLA</v>
      </c>
      <c r="O1294" t="str" cm="1">
        <f t="array" ref="O1294">_xlfn.IFS(
tbl_analysis_tickets[[#This Row],[agent_experience_years]]&lt;=2,"Junior",
tbl_analysis_tickets[[#This Row],[agent_experience_years]]&lt;=5,"Mid-Level",
tbl_analysis_tickets[[#This Row],[agent_experience_years]]&lt;=8,"Senior",
tbl_analysis_tickets[[#This Row],[agent_experience_years]]&gt;8,"Expert"
)</f>
        <v>Senior</v>
      </c>
      <c r="P1294" cm="1">
        <f t="array" ref="P1294">_xlfn.SWITCH(tbl_analysis_tickets[[#This Row],[customer_satisfaction]],
"Low",1,
"Medium",2,
"High",3
)</f>
        <v>1</v>
      </c>
      <c r="Q1294">
        <f>IF(tbl_analysis_tickets[[#This Row],[reopened]]="Yes",1,0)</f>
        <v>1</v>
      </c>
      <c r="R1294" t="str" cm="1">
        <f t="array" ref="R1294">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294" t="str" cm="1">
        <f t="array" ref="S129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294" t="str">
        <f>TEXT(tbl_analysis_tickets[[#This Row],[created_date]],"mmm-yyyy")</f>
        <v>Sep-2024</v>
      </c>
      <c r="U1294" t="str">
        <f>TEXT(tbl_analysis_tickets[[#This Row],[created_date]],"dddd")</f>
        <v>Saturday</v>
      </c>
      <c r="V1294" cm="1">
        <f t="array" ref="V1294">_xlfn.SWITCH(tbl_analysis_tickets[[#This Row],[priority]],
"Urgent",1,
"High",2,
"Medium",3,
"Low",4
)</f>
        <v>3</v>
      </c>
    </row>
    <row r="1295" spans="1:22" x14ac:dyDescent="0.25">
      <c r="A1295">
        <v>1294</v>
      </c>
      <c r="B1295" s="1">
        <v>45613</v>
      </c>
      <c r="C1295" t="s">
        <v>10</v>
      </c>
      <c r="D1295" t="s">
        <v>20</v>
      </c>
      <c r="E1295">
        <v>147</v>
      </c>
      <c r="F1295">
        <v>23</v>
      </c>
      <c r="G1295">
        <v>1</v>
      </c>
      <c r="H1295" t="s">
        <v>12</v>
      </c>
      <c r="I1295" t="s">
        <v>16</v>
      </c>
      <c r="J1295" t="s">
        <v>11</v>
      </c>
      <c r="K1295">
        <f>_xlfn.XLOOKUP(tbl_analysis_tickets[[#This Row],[priority]],tbl_sla[priority],tbl_sla[Resolution SLA Hours])</f>
        <v>24</v>
      </c>
      <c r="L1295">
        <f>_xlfn.XLOOKUP(tbl_analysis_tickets[[#This Row],[priority]],tbl_sla[priority],tbl_sla[First Response SLA Minutes])</f>
        <v>60</v>
      </c>
      <c r="M1295" t="str">
        <f>IF(tbl_analysis_tickets[[#This Row],[resolution_time_hours]]&gt;tbl_analysis_tickets[[#This Row],[Resolution SLA Hours]],"Breached","Within SLA")</f>
        <v>Within SLA</v>
      </c>
      <c r="N1295" t="str">
        <f>IF(tbl_analysis_tickets[[#This Row],[first_response_minutes]]&gt;tbl_analysis_tickets[[#This Row],[First Response SLA Minutes]],"Breached","Within SLA")</f>
        <v>Breached</v>
      </c>
      <c r="O1295" t="str" cm="1">
        <f t="array" ref="O1295">_xlfn.IFS(
tbl_analysis_tickets[[#This Row],[agent_experience_years]]&lt;=2,"Junior",
tbl_analysis_tickets[[#This Row],[agent_experience_years]]&lt;=5,"Mid-Level",
tbl_analysis_tickets[[#This Row],[agent_experience_years]]&lt;=8,"Senior",
tbl_analysis_tickets[[#This Row],[agent_experience_years]]&gt;8,"Expert"
)</f>
        <v>Junior</v>
      </c>
      <c r="P1295" cm="1">
        <f t="array" ref="P1295">_xlfn.SWITCH(tbl_analysis_tickets[[#This Row],[customer_satisfaction]],
"Low",1,
"Medium",2,
"High",3
)</f>
        <v>1</v>
      </c>
      <c r="Q1295">
        <f>IF(tbl_analysis_tickets[[#This Row],[reopened]]="Yes",1,0)</f>
        <v>1</v>
      </c>
      <c r="R1295" t="str" cm="1">
        <f t="array" ref="R1295">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295" t="str" cm="1">
        <f t="array" ref="S129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295" t="str">
        <f>TEXT(tbl_analysis_tickets[[#This Row],[created_date]],"mmm-yyyy")</f>
        <v>Nov-2024</v>
      </c>
      <c r="U1295" t="str">
        <f>TEXT(tbl_analysis_tickets[[#This Row],[created_date]],"dddd")</f>
        <v>Sunday</v>
      </c>
      <c r="V1295" cm="1">
        <f t="array" ref="V1295">_xlfn.SWITCH(tbl_analysis_tickets[[#This Row],[priority]],
"Urgent",1,
"High",2,
"Medium",3,
"Low",4
)</f>
        <v>2</v>
      </c>
    </row>
    <row r="1296" spans="1:22" x14ac:dyDescent="0.25">
      <c r="A1296">
        <v>1295</v>
      </c>
      <c r="B1296" s="1">
        <v>45335</v>
      </c>
      <c r="C1296" t="s">
        <v>10</v>
      </c>
      <c r="D1296" t="s">
        <v>15</v>
      </c>
      <c r="E1296">
        <v>26</v>
      </c>
      <c r="F1296">
        <v>9</v>
      </c>
      <c r="G1296">
        <v>1.4</v>
      </c>
      <c r="H1296" t="s">
        <v>12</v>
      </c>
      <c r="I1296" t="s">
        <v>13</v>
      </c>
      <c r="J1296" t="s">
        <v>15</v>
      </c>
      <c r="K1296">
        <f>_xlfn.XLOOKUP(tbl_analysis_tickets[[#This Row],[priority]],tbl_sla[priority],tbl_sla[Resolution SLA Hours])</f>
        <v>48</v>
      </c>
      <c r="L1296">
        <f>_xlfn.XLOOKUP(tbl_analysis_tickets[[#This Row],[priority]],tbl_sla[priority],tbl_sla[First Response SLA Minutes])</f>
        <v>120</v>
      </c>
      <c r="M1296" t="str">
        <f>IF(tbl_analysis_tickets[[#This Row],[resolution_time_hours]]&gt;tbl_analysis_tickets[[#This Row],[Resolution SLA Hours]],"Breached","Within SLA")</f>
        <v>Within SLA</v>
      </c>
      <c r="N1296" t="str">
        <f>IF(tbl_analysis_tickets[[#This Row],[first_response_minutes]]&gt;tbl_analysis_tickets[[#This Row],[First Response SLA Minutes]],"Breached","Within SLA")</f>
        <v>Within SLA</v>
      </c>
      <c r="O1296" t="str" cm="1">
        <f t="array" ref="O1296">_xlfn.IFS(
tbl_analysis_tickets[[#This Row],[agent_experience_years]]&lt;=2,"Junior",
tbl_analysis_tickets[[#This Row],[agent_experience_years]]&lt;=5,"Mid-Level",
tbl_analysis_tickets[[#This Row],[agent_experience_years]]&lt;=8,"Senior",
tbl_analysis_tickets[[#This Row],[agent_experience_years]]&gt;8,"Expert"
)</f>
        <v>Junior</v>
      </c>
      <c r="P1296" cm="1">
        <f t="array" ref="P1296">_xlfn.SWITCH(tbl_analysis_tickets[[#This Row],[customer_satisfaction]],
"Low",1,
"Medium",2,
"High",3
)</f>
        <v>2</v>
      </c>
      <c r="Q1296">
        <f>IF(tbl_analysis_tickets[[#This Row],[reopened]]="Yes",1,0)</f>
        <v>1</v>
      </c>
      <c r="R1296" t="str" cm="1">
        <f t="array" ref="R1296">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1296" t="str" cm="1">
        <f t="array" ref="S129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296" t="str">
        <f>TEXT(tbl_analysis_tickets[[#This Row],[created_date]],"mmm-yyyy")</f>
        <v>Feb-2024</v>
      </c>
      <c r="U1296" t="str">
        <f>TEXT(tbl_analysis_tickets[[#This Row],[created_date]],"dddd")</f>
        <v>Tuesday</v>
      </c>
      <c r="V1296" cm="1">
        <f t="array" ref="V1296">_xlfn.SWITCH(tbl_analysis_tickets[[#This Row],[priority]],
"Urgent",1,
"High",2,
"Medium",3,
"Low",4
)</f>
        <v>3</v>
      </c>
    </row>
    <row r="1297" spans="1:22" x14ac:dyDescent="0.25">
      <c r="A1297">
        <v>1296</v>
      </c>
      <c r="B1297" s="1">
        <v>45433</v>
      </c>
      <c r="C1297" t="s">
        <v>10</v>
      </c>
      <c r="D1297" t="s">
        <v>20</v>
      </c>
      <c r="E1297">
        <v>82</v>
      </c>
      <c r="F1297">
        <v>6</v>
      </c>
      <c r="G1297">
        <v>7.7</v>
      </c>
      <c r="H1297" t="s">
        <v>12</v>
      </c>
      <c r="I1297" t="s">
        <v>16</v>
      </c>
      <c r="J1297" t="s">
        <v>15</v>
      </c>
      <c r="K1297">
        <f>_xlfn.XLOOKUP(tbl_analysis_tickets[[#This Row],[priority]],tbl_sla[priority],tbl_sla[Resolution SLA Hours])</f>
        <v>24</v>
      </c>
      <c r="L1297">
        <f>_xlfn.XLOOKUP(tbl_analysis_tickets[[#This Row],[priority]],tbl_sla[priority],tbl_sla[First Response SLA Minutes])</f>
        <v>60</v>
      </c>
      <c r="M1297" t="str">
        <f>IF(tbl_analysis_tickets[[#This Row],[resolution_time_hours]]&gt;tbl_analysis_tickets[[#This Row],[Resolution SLA Hours]],"Breached","Within SLA")</f>
        <v>Within SLA</v>
      </c>
      <c r="N1297" t="str">
        <f>IF(tbl_analysis_tickets[[#This Row],[first_response_minutes]]&gt;tbl_analysis_tickets[[#This Row],[First Response SLA Minutes]],"Breached","Within SLA")</f>
        <v>Breached</v>
      </c>
      <c r="O1297" t="str" cm="1">
        <f t="array" ref="O1297">_xlfn.IFS(
tbl_analysis_tickets[[#This Row],[agent_experience_years]]&lt;=2,"Junior",
tbl_analysis_tickets[[#This Row],[agent_experience_years]]&lt;=5,"Mid-Level",
tbl_analysis_tickets[[#This Row],[agent_experience_years]]&lt;=8,"Senior",
tbl_analysis_tickets[[#This Row],[agent_experience_years]]&gt;8,"Expert"
)</f>
        <v>Senior</v>
      </c>
      <c r="P1297" cm="1">
        <f t="array" ref="P1297">_xlfn.SWITCH(tbl_analysis_tickets[[#This Row],[customer_satisfaction]],
"Low",1,
"Medium",2,
"High",3
)</f>
        <v>2</v>
      </c>
      <c r="Q1297">
        <f>IF(tbl_analysis_tickets[[#This Row],[reopened]]="Yes",1,0)</f>
        <v>1</v>
      </c>
      <c r="R1297" t="str" cm="1">
        <f t="array" ref="R1297">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297" t="str" cm="1">
        <f t="array" ref="S129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1297" t="str">
        <f>TEXT(tbl_analysis_tickets[[#This Row],[created_date]],"mmm-yyyy")</f>
        <v>May-2024</v>
      </c>
      <c r="U1297" t="str">
        <f>TEXT(tbl_analysis_tickets[[#This Row],[created_date]],"dddd")</f>
        <v>Tuesday</v>
      </c>
      <c r="V1297" cm="1">
        <f t="array" ref="V1297">_xlfn.SWITCH(tbl_analysis_tickets[[#This Row],[priority]],
"Urgent",1,
"High",2,
"Medium",3,
"Low",4
)</f>
        <v>2</v>
      </c>
    </row>
    <row r="1298" spans="1:22" x14ac:dyDescent="0.25">
      <c r="A1298">
        <v>1297</v>
      </c>
      <c r="B1298" s="1">
        <v>45435</v>
      </c>
      <c r="C1298" t="s">
        <v>22</v>
      </c>
      <c r="D1298" t="s">
        <v>17</v>
      </c>
      <c r="E1298">
        <v>112</v>
      </c>
      <c r="F1298">
        <v>45</v>
      </c>
      <c r="G1298">
        <v>8</v>
      </c>
      <c r="H1298" t="s">
        <v>12</v>
      </c>
      <c r="I1298" t="s">
        <v>16</v>
      </c>
      <c r="J1298" t="s">
        <v>11</v>
      </c>
      <c r="K1298">
        <f>_xlfn.XLOOKUP(tbl_analysis_tickets[[#This Row],[priority]],tbl_sla[priority],tbl_sla[Resolution SLA Hours])</f>
        <v>8</v>
      </c>
      <c r="L1298">
        <f>_xlfn.XLOOKUP(tbl_analysis_tickets[[#This Row],[priority]],tbl_sla[priority],tbl_sla[First Response SLA Minutes])</f>
        <v>30</v>
      </c>
      <c r="M1298" t="str">
        <f>IF(tbl_analysis_tickets[[#This Row],[resolution_time_hours]]&gt;tbl_analysis_tickets[[#This Row],[Resolution SLA Hours]],"Breached","Within SLA")</f>
        <v>Breached</v>
      </c>
      <c r="N1298" t="str">
        <f>IF(tbl_analysis_tickets[[#This Row],[first_response_minutes]]&gt;tbl_analysis_tickets[[#This Row],[First Response SLA Minutes]],"Breached","Within SLA")</f>
        <v>Breached</v>
      </c>
      <c r="O1298" t="str" cm="1">
        <f t="array" ref="O1298">_xlfn.IFS(
tbl_analysis_tickets[[#This Row],[agent_experience_years]]&lt;=2,"Junior",
tbl_analysis_tickets[[#This Row],[agent_experience_years]]&lt;=5,"Mid-Level",
tbl_analysis_tickets[[#This Row],[agent_experience_years]]&lt;=8,"Senior",
tbl_analysis_tickets[[#This Row],[agent_experience_years]]&gt;8,"Expert"
)</f>
        <v>Senior</v>
      </c>
      <c r="P1298" cm="1">
        <f t="array" ref="P1298">_xlfn.SWITCH(tbl_analysis_tickets[[#This Row],[customer_satisfaction]],
"Low",1,
"Medium",2,
"High",3
)</f>
        <v>1</v>
      </c>
      <c r="Q1298">
        <f>IF(tbl_analysis_tickets[[#This Row],[reopened]]="Yes",1,0)</f>
        <v>1</v>
      </c>
      <c r="R1298" t="str" cm="1">
        <f t="array" ref="R1298">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298" t="str" cm="1">
        <f t="array" ref="S129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298" t="str">
        <f>TEXT(tbl_analysis_tickets[[#This Row],[created_date]],"mmm-yyyy")</f>
        <v>May-2024</v>
      </c>
      <c r="U1298" t="str">
        <f>TEXT(tbl_analysis_tickets[[#This Row],[created_date]],"dddd")</f>
        <v>Thursday</v>
      </c>
      <c r="V1298" cm="1">
        <f t="array" ref="V1298">_xlfn.SWITCH(tbl_analysis_tickets[[#This Row],[priority]],
"Urgent",1,
"High",2,
"Medium",3,
"Low",4
)</f>
        <v>1</v>
      </c>
    </row>
    <row r="1299" spans="1:22" x14ac:dyDescent="0.25">
      <c r="A1299">
        <v>1298</v>
      </c>
      <c r="B1299" s="1">
        <v>45612</v>
      </c>
      <c r="C1299" t="s">
        <v>21</v>
      </c>
      <c r="D1299" t="s">
        <v>15</v>
      </c>
      <c r="E1299">
        <v>36</v>
      </c>
      <c r="F1299">
        <v>71</v>
      </c>
      <c r="G1299">
        <v>1.2</v>
      </c>
      <c r="H1299" t="s">
        <v>12</v>
      </c>
      <c r="I1299" t="s">
        <v>19</v>
      </c>
      <c r="J1299" t="s">
        <v>11</v>
      </c>
      <c r="K1299">
        <f>_xlfn.XLOOKUP(tbl_analysis_tickets[[#This Row],[priority]],tbl_sla[priority],tbl_sla[Resolution SLA Hours])</f>
        <v>48</v>
      </c>
      <c r="L1299">
        <f>_xlfn.XLOOKUP(tbl_analysis_tickets[[#This Row],[priority]],tbl_sla[priority],tbl_sla[First Response SLA Minutes])</f>
        <v>120</v>
      </c>
      <c r="M1299" t="str">
        <f>IF(tbl_analysis_tickets[[#This Row],[resolution_time_hours]]&gt;tbl_analysis_tickets[[#This Row],[Resolution SLA Hours]],"Breached","Within SLA")</f>
        <v>Breached</v>
      </c>
      <c r="N1299" t="str">
        <f>IF(tbl_analysis_tickets[[#This Row],[first_response_minutes]]&gt;tbl_analysis_tickets[[#This Row],[First Response SLA Minutes]],"Breached","Within SLA")</f>
        <v>Within SLA</v>
      </c>
      <c r="O1299" t="str" cm="1">
        <f t="array" ref="O1299">_xlfn.IFS(
tbl_analysis_tickets[[#This Row],[agent_experience_years]]&lt;=2,"Junior",
tbl_analysis_tickets[[#This Row],[agent_experience_years]]&lt;=5,"Mid-Level",
tbl_analysis_tickets[[#This Row],[agent_experience_years]]&lt;=8,"Senior",
tbl_analysis_tickets[[#This Row],[agent_experience_years]]&gt;8,"Expert"
)</f>
        <v>Junior</v>
      </c>
      <c r="P1299" cm="1">
        <f t="array" ref="P1299">_xlfn.SWITCH(tbl_analysis_tickets[[#This Row],[customer_satisfaction]],
"Low",1,
"Medium",2,
"High",3
)</f>
        <v>1</v>
      </c>
      <c r="Q1299">
        <f>IF(tbl_analysis_tickets[[#This Row],[reopened]]="Yes",1,0)</f>
        <v>1</v>
      </c>
      <c r="R1299" t="str" cm="1">
        <f t="array" ref="R1299">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299" t="str" cm="1">
        <f t="array" ref="S129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299" t="str">
        <f>TEXT(tbl_analysis_tickets[[#This Row],[created_date]],"mmm-yyyy")</f>
        <v>Nov-2024</v>
      </c>
      <c r="U1299" t="str">
        <f>TEXT(tbl_analysis_tickets[[#This Row],[created_date]],"dddd")</f>
        <v>Saturday</v>
      </c>
      <c r="V1299" cm="1">
        <f t="array" ref="V1299">_xlfn.SWITCH(tbl_analysis_tickets[[#This Row],[priority]],
"Urgent",1,
"High",2,
"Medium",3,
"Low",4
)</f>
        <v>3</v>
      </c>
    </row>
    <row r="1300" spans="1:22" x14ac:dyDescent="0.25">
      <c r="A1300">
        <v>1299</v>
      </c>
      <c r="B1300" s="1">
        <v>45300</v>
      </c>
      <c r="C1300" t="s">
        <v>22</v>
      </c>
      <c r="D1300" t="s">
        <v>20</v>
      </c>
      <c r="E1300">
        <v>47</v>
      </c>
      <c r="F1300">
        <v>3</v>
      </c>
      <c r="G1300">
        <v>6.4</v>
      </c>
      <c r="H1300" t="s">
        <v>12</v>
      </c>
      <c r="I1300" t="s">
        <v>16</v>
      </c>
      <c r="J1300" t="s">
        <v>15</v>
      </c>
      <c r="K1300">
        <f>_xlfn.XLOOKUP(tbl_analysis_tickets[[#This Row],[priority]],tbl_sla[priority],tbl_sla[Resolution SLA Hours])</f>
        <v>24</v>
      </c>
      <c r="L1300">
        <f>_xlfn.XLOOKUP(tbl_analysis_tickets[[#This Row],[priority]],tbl_sla[priority],tbl_sla[First Response SLA Minutes])</f>
        <v>60</v>
      </c>
      <c r="M1300" t="str">
        <f>IF(tbl_analysis_tickets[[#This Row],[resolution_time_hours]]&gt;tbl_analysis_tickets[[#This Row],[Resolution SLA Hours]],"Breached","Within SLA")</f>
        <v>Within SLA</v>
      </c>
      <c r="N1300" t="str">
        <f>IF(tbl_analysis_tickets[[#This Row],[first_response_minutes]]&gt;tbl_analysis_tickets[[#This Row],[First Response SLA Minutes]],"Breached","Within SLA")</f>
        <v>Within SLA</v>
      </c>
      <c r="O1300" t="str" cm="1">
        <f t="array" ref="O1300">_xlfn.IFS(
tbl_analysis_tickets[[#This Row],[agent_experience_years]]&lt;=2,"Junior",
tbl_analysis_tickets[[#This Row],[agent_experience_years]]&lt;=5,"Mid-Level",
tbl_analysis_tickets[[#This Row],[agent_experience_years]]&lt;=8,"Senior",
tbl_analysis_tickets[[#This Row],[agent_experience_years]]&gt;8,"Expert"
)</f>
        <v>Senior</v>
      </c>
      <c r="P1300" cm="1">
        <f t="array" ref="P1300">_xlfn.SWITCH(tbl_analysis_tickets[[#This Row],[customer_satisfaction]],
"Low",1,
"Medium",2,
"High",3
)</f>
        <v>2</v>
      </c>
      <c r="Q1300">
        <f>IF(tbl_analysis_tickets[[#This Row],[reopened]]="Yes",1,0)</f>
        <v>1</v>
      </c>
      <c r="R1300" t="str" cm="1">
        <f t="array" ref="R1300">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300" t="str" cm="1">
        <f t="array" ref="S130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1300" t="str">
        <f>TEXT(tbl_analysis_tickets[[#This Row],[created_date]],"mmm-yyyy")</f>
        <v>Jan-2024</v>
      </c>
      <c r="U1300" t="str">
        <f>TEXT(tbl_analysis_tickets[[#This Row],[created_date]],"dddd")</f>
        <v>Tuesday</v>
      </c>
      <c r="V1300" cm="1">
        <f t="array" ref="V1300">_xlfn.SWITCH(tbl_analysis_tickets[[#This Row],[priority]],
"Urgent",1,
"High",2,
"Medium",3,
"Low",4
)</f>
        <v>2</v>
      </c>
    </row>
    <row r="1301" spans="1:22" x14ac:dyDescent="0.25">
      <c r="A1301">
        <v>1300</v>
      </c>
      <c r="B1301" s="1">
        <v>45552</v>
      </c>
      <c r="C1301" t="s">
        <v>10</v>
      </c>
      <c r="D1301" t="s">
        <v>17</v>
      </c>
      <c r="E1301">
        <v>152</v>
      </c>
      <c r="F1301">
        <v>50</v>
      </c>
      <c r="G1301">
        <v>9.6999999999999993</v>
      </c>
      <c r="H1301" t="s">
        <v>12</v>
      </c>
      <c r="I1301" t="s">
        <v>16</v>
      </c>
      <c r="J1301" t="s">
        <v>11</v>
      </c>
      <c r="K1301">
        <f>_xlfn.XLOOKUP(tbl_analysis_tickets[[#This Row],[priority]],tbl_sla[priority],tbl_sla[Resolution SLA Hours])</f>
        <v>8</v>
      </c>
      <c r="L1301">
        <f>_xlfn.XLOOKUP(tbl_analysis_tickets[[#This Row],[priority]],tbl_sla[priority],tbl_sla[First Response SLA Minutes])</f>
        <v>30</v>
      </c>
      <c r="M1301" t="str">
        <f>IF(tbl_analysis_tickets[[#This Row],[resolution_time_hours]]&gt;tbl_analysis_tickets[[#This Row],[Resolution SLA Hours]],"Breached","Within SLA")</f>
        <v>Breached</v>
      </c>
      <c r="N1301" t="str">
        <f>IF(tbl_analysis_tickets[[#This Row],[first_response_minutes]]&gt;tbl_analysis_tickets[[#This Row],[First Response SLA Minutes]],"Breached","Within SLA")</f>
        <v>Breached</v>
      </c>
      <c r="O1301" t="str" cm="1">
        <f t="array" ref="O1301">_xlfn.IFS(
tbl_analysis_tickets[[#This Row],[agent_experience_years]]&lt;=2,"Junior",
tbl_analysis_tickets[[#This Row],[agent_experience_years]]&lt;=5,"Mid-Level",
tbl_analysis_tickets[[#This Row],[agent_experience_years]]&lt;=8,"Senior",
tbl_analysis_tickets[[#This Row],[agent_experience_years]]&gt;8,"Expert"
)</f>
        <v>Expert</v>
      </c>
      <c r="P1301" cm="1">
        <f t="array" ref="P1301">_xlfn.SWITCH(tbl_analysis_tickets[[#This Row],[customer_satisfaction]],
"Low",1,
"Medium",2,
"High",3
)</f>
        <v>1</v>
      </c>
      <c r="Q1301">
        <f>IF(tbl_analysis_tickets[[#This Row],[reopened]]="Yes",1,0)</f>
        <v>1</v>
      </c>
      <c r="R1301" t="str" cm="1">
        <f t="array" ref="R1301">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301" t="str" cm="1">
        <f t="array" ref="S130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301" t="str">
        <f>TEXT(tbl_analysis_tickets[[#This Row],[created_date]],"mmm-yyyy")</f>
        <v>Sep-2024</v>
      </c>
      <c r="U1301" t="str">
        <f>TEXT(tbl_analysis_tickets[[#This Row],[created_date]],"dddd")</f>
        <v>Tuesday</v>
      </c>
      <c r="V1301" cm="1">
        <f t="array" ref="V1301">_xlfn.SWITCH(tbl_analysis_tickets[[#This Row],[priority]],
"Urgent",1,
"High",2,
"Medium",3,
"Low",4
)</f>
        <v>1</v>
      </c>
    </row>
    <row r="1302" spans="1:22" x14ac:dyDescent="0.25">
      <c r="A1302">
        <v>1301</v>
      </c>
      <c r="B1302" s="1">
        <v>45381</v>
      </c>
      <c r="C1302" t="s">
        <v>21</v>
      </c>
      <c r="D1302" t="s">
        <v>17</v>
      </c>
      <c r="E1302">
        <v>223</v>
      </c>
      <c r="F1302">
        <v>60</v>
      </c>
      <c r="G1302">
        <v>8.8000000000000007</v>
      </c>
      <c r="H1302" t="s">
        <v>18</v>
      </c>
      <c r="I1302" t="s">
        <v>19</v>
      </c>
      <c r="J1302" t="s">
        <v>11</v>
      </c>
      <c r="K1302">
        <f>_xlfn.XLOOKUP(tbl_analysis_tickets[[#This Row],[priority]],tbl_sla[priority],tbl_sla[Resolution SLA Hours])</f>
        <v>8</v>
      </c>
      <c r="L1302">
        <f>_xlfn.XLOOKUP(tbl_analysis_tickets[[#This Row],[priority]],tbl_sla[priority],tbl_sla[First Response SLA Minutes])</f>
        <v>30</v>
      </c>
      <c r="M1302" t="str">
        <f>IF(tbl_analysis_tickets[[#This Row],[resolution_time_hours]]&gt;tbl_analysis_tickets[[#This Row],[Resolution SLA Hours]],"Breached","Within SLA")</f>
        <v>Breached</v>
      </c>
      <c r="N1302" t="str">
        <f>IF(tbl_analysis_tickets[[#This Row],[first_response_minutes]]&gt;tbl_analysis_tickets[[#This Row],[First Response SLA Minutes]],"Breached","Within SLA")</f>
        <v>Breached</v>
      </c>
      <c r="O1302" t="str" cm="1">
        <f t="array" ref="O1302">_xlfn.IFS(
tbl_analysis_tickets[[#This Row],[agent_experience_years]]&lt;=2,"Junior",
tbl_analysis_tickets[[#This Row],[agent_experience_years]]&lt;=5,"Mid-Level",
tbl_analysis_tickets[[#This Row],[agent_experience_years]]&lt;=8,"Senior",
tbl_analysis_tickets[[#This Row],[agent_experience_years]]&gt;8,"Expert"
)</f>
        <v>Expert</v>
      </c>
      <c r="P1302" cm="1">
        <f t="array" ref="P1302">_xlfn.SWITCH(tbl_analysis_tickets[[#This Row],[customer_satisfaction]],
"Low",1,
"Medium",2,
"High",3
)</f>
        <v>1</v>
      </c>
      <c r="Q1302">
        <f>IF(tbl_analysis_tickets[[#This Row],[reopened]]="Yes",1,0)</f>
        <v>0</v>
      </c>
      <c r="R1302" t="str" cm="1">
        <f t="array" ref="R1302">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302" t="str" cm="1">
        <f t="array" ref="S130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302" t="str">
        <f>TEXT(tbl_analysis_tickets[[#This Row],[created_date]],"mmm-yyyy")</f>
        <v>Mar-2024</v>
      </c>
      <c r="U1302" t="str">
        <f>TEXT(tbl_analysis_tickets[[#This Row],[created_date]],"dddd")</f>
        <v>Saturday</v>
      </c>
      <c r="V1302" cm="1">
        <f t="array" ref="V1302">_xlfn.SWITCH(tbl_analysis_tickets[[#This Row],[priority]],
"Urgent",1,
"High",2,
"Medium",3,
"Low",4
)</f>
        <v>1</v>
      </c>
    </row>
    <row r="1303" spans="1:22" x14ac:dyDescent="0.25">
      <c r="A1303">
        <v>1302</v>
      </c>
      <c r="B1303" s="1">
        <v>45456</v>
      </c>
      <c r="C1303" t="s">
        <v>10</v>
      </c>
      <c r="D1303" t="s">
        <v>11</v>
      </c>
      <c r="E1303">
        <v>77</v>
      </c>
      <c r="F1303">
        <v>63</v>
      </c>
      <c r="G1303">
        <v>1.6</v>
      </c>
      <c r="H1303" t="s">
        <v>18</v>
      </c>
      <c r="I1303" t="s">
        <v>19</v>
      </c>
      <c r="J1303" t="s">
        <v>11</v>
      </c>
      <c r="K1303">
        <f>_xlfn.XLOOKUP(tbl_analysis_tickets[[#This Row],[priority]],tbl_sla[priority],tbl_sla[Resolution SLA Hours])</f>
        <v>72</v>
      </c>
      <c r="L1303">
        <f>_xlfn.XLOOKUP(tbl_analysis_tickets[[#This Row],[priority]],tbl_sla[priority],tbl_sla[First Response SLA Minutes])</f>
        <v>240</v>
      </c>
      <c r="M1303" t="str">
        <f>IF(tbl_analysis_tickets[[#This Row],[resolution_time_hours]]&gt;tbl_analysis_tickets[[#This Row],[Resolution SLA Hours]],"Breached","Within SLA")</f>
        <v>Within SLA</v>
      </c>
      <c r="N1303" t="str">
        <f>IF(tbl_analysis_tickets[[#This Row],[first_response_minutes]]&gt;tbl_analysis_tickets[[#This Row],[First Response SLA Minutes]],"Breached","Within SLA")</f>
        <v>Within SLA</v>
      </c>
      <c r="O1303" t="str" cm="1">
        <f t="array" ref="O1303">_xlfn.IFS(
tbl_analysis_tickets[[#This Row],[agent_experience_years]]&lt;=2,"Junior",
tbl_analysis_tickets[[#This Row],[agent_experience_years]]&lt;=5,"Mid-Level",
tbl_analysis_tickets[[#This Row],[agent_experience_years]]&lt;=8,"Senior",
tbl_analysis_tickets[[#This Row],[agent_experience_years]]&gt;8,"Expert"
)</f>
        <v>Junior</v>
      </c>
      <c r="P1303" cm="1">
        <f t="array" ref="P1303">_xlfn.SWITCH(tbl_analysis_tickets[[#This Row],[customer_satisfaction]],
"Low",1,
"Medium",2,
"High",3
)</f>
        <v>1</v>
      </c>
      <c r="Q1303">
        <f>IF(tbl_analysis_tickets[[#This Row],[reopened]]="Yes",1,0)</f>
        <v>0</v>
      </c>
      <c r="R1303" t="str" cm="1">
        <f t="array" ref="R1303">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303" t="str" cm="1">
        <f t="array" ref="S130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303" t="str">
        <f>TEXT(tbl_analysis_tickets[[#This Row],[created_date]],"mmm-yyyy")</f>
        <v>Jun-2024</v>
      </c>
      <c r="U1303" t="str">
        <f>TEXT(tbl_analysis_tickets[[#This Row],[created_date]],"dddd")</f>
        <v>Thursday</v>
      </c>
      <c r="V1303" cm="1">
        <f t="array" ref="V1303">_xlfn.SWITCH(tbl_analysis_tickets[[#This Row],[priority]],
"Urgent",1,
"High",2,
"Medium",3,
"Low",4
)</f>
        <v>4</v>
      </c>
    </row>
    <row r="1304" spans="1:22" x14ac:dyDescent="0.25">
      <c r="A1304">
        <v>1303</v>
      </c>
      <c r="B1304" s="1">
        <v>45446</v>
      </c>
      <c r="C1304" t="s">
        <v>23</v>
      </c>
      <c r="D1304" t="s">
        <v>15</v>
      </c>
      <c r="E1304">
        <v>218</v>
      </c>
      <c r="F1304">
        <v>45</v>
      </c>
      <c r="G1304">
        <v>3</v>
      </c>
      <c r="H1304" t="s">
        <v>12</v>
      </c>
      <c r="I1304" t="s">
        <v>16</v>
      </c>
      <c r="J1304" t="s">
        <v>11</v>
      </c>
      <c r="K1304">
        <f>_xlfn.XLOOKUP(tbl_analysis_tickets[[#This Row],[priority]],tbl_sla[priority],tbl_sla[Resolution SLA Hours])</f>
        <v>48</v>
      </c>
      <c r="L1304">
        <f>_xlfn.XLOOKUP(tbl_analysis_tickets[[#This Row],[priority]],tbl_sla[priority],tbl_sla[First Response SLA Minutes])</f>
        <v>120</v>
      </c>
      <c r="M1304" t="str">
        <f>IF(tbl_analysis_tickets[[#This Row],[resolution_time_hours]]&gt;tbl_analysis_tickets[[#This Row],[Resolution SLA Hours]],"Breached","Within SLA")</f>
        <v>Within SLA</v>
      </c>
      <c r="N1304" t="str">
        <f>IF(tbl_analysis_tickets[[#This Row],[first_response_minutes]]&gt;tbl_analysis_tickets[[#This Row],[First Response SLA Minutes]],"Breached","Within SLA")</f>
        <v>Breached</v>
      </c>
      <c r="O1304" t="str" cm="1">
        <f t="array" ref="O1304">_xlfn.IFS(
tbl_analysis_tickets[[#This Row],[agent_experience_years]]&lt;=2,"Junior",
tbl_analysis_tickets[[#This Row],[agent_experience_years]]&lt;=5,"Mid-Level",
tbl_analysis_tickets[[#This Row],[agent_experience_years]]&lt;=8,"Senior",
tbl_analysis_tickets[[#This Row],[agent_experience_years]]&gt;8,"Expert"
)</f>
        <v>Mid-Level</v>
      </c>
      <c r="P1304" cm="1">
        <f t="array" ref="P1304">_xlfn.SWITCH(tbl_analysis_tickets[[#This Row],[customer_satisfaction]],
"Low",1,
"Medium",2,
"High",3
)</f>
        <v>1</v>
      </c>
      <c r="Q1304">
        <f>IF(tbl_analysis_tickets[[#This Row],[reopened]]="Yes",1,0)</f>
        <v>1</v>
      </c>
      <c r="R1304" t="str" cm="1">
        <f t="array" ref="R1304">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304" t="str" cm="1">
        <f t="array" ref="S130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304" t="str">
        <f>TEXT(tbl_analysis_tickets[[#This Row],[created_date]],"mmm-yyyy")</f>
        <v>Jun-2024</v>
      </c>
      <c r="U1304" t="str">
        <f>TEXT(tbl_analysis_tickets[[#This Row],[created_date]],"dddd")</f>
        <v>Monday</v>
      </c>
      <c r="V1304" cm="1">
        <f t="array" ref="V1304">_xlfn.SWITCH(tbl_analysis_tickets[[#This Row],[priority]],
"Urgent",1,
"High",2,
"Medium",3,
"Low",4
)</f>
        <v>3</v>
      </c>
    </row>
    <row r="1305" spans="1:22" x14ac:dyDescent="0.25">
      <c r="A1305">
        <v>1304</v>
      </c>
      <c r="B1305" s="1">
        <v>45613</v>
      </c>
      <c r="C1305" t="s">
        <v>10</v>
      </c>
      <c r="D1305" t="s">
        <v>17</v>
      </c>
      <c r="E1305">
        <v>83</v>
      </c>
      <c r="F1305">
        <v>10</v>
      </c>
      <c r="G1305">
        <v>6.3</v>
      </c>
      <c r="H1305" t="s">
        <v>18</v>
      </c>
      <c r="I1305" t="s">
        <v>16</v>
      </c>
      <c r="J1305" t="s">
        <v>11</v>
      </c>
      <c r="K1305">
        <f>_xlfn.XLOOKUP(tbl_analysis_tickets[[#This Row],[priority]],tbl_sla[priority],tbl_sla[Resolution SLA Hours])</f>
        <v>8</v>
      </c>
      <c r="L1305">
        <f>_xlfn.XLOOKUP(tbl_analysis_tickets[[#This Row],[priority]],tbl_sla[priority],tbl_sla[First Response SLA Minutes])</f>
        <v>30</v>
      </c>
      <c r="M1305" t="str">
        <f>IF(tbl_analysis_tickets[[#This Row],[resolution_time_hours]]&gt;tbl_analysis_tickets[[#This Row],[Resolution SLA Hours]],"Breached","Within SLA")</f>
        <v>Breached</v>
      </c>
      <c r="N1305" t="str">
        <f>IF(tbl_analysis_tickets[[#This Row],[first_response_minutes]]&gt;tbl_analysis_tickets[[#This Row],[First Response SLA Minutes]],"Breached","Within SLA")</f>
        <v>Breached</v>
      </c>
      <c r="O1305" t="str" cm="1">
        <f t="array" ref="O1305">_xlfn.IFS(
tbl_analysis_tickets[[#This Row],[agent_experience_years]]&lt;=2,"Junior",
tbl_analysis_tickets[[#This Row],[agent_experience_years]]&lt;=5,"Mid-Level",
tbl_analysis_tickets[[#This Row],[agent_experience_years]]&lt;=8,"Senior",
tbl_analysis_tickets[[#This Row],[agent_experience_years]]&gt;8,"Expert"
)</f>
        <v>Senior</v>
      </c>
      <c r="P1305" cm="1">
        <f t="array" ref="P1305">_xlfn.SWITCH(tbl_analysis_tickets[[#This Row],[customer_satisfaction]],
"Low",1,
"Medium",2,
"High",3
)</f>
        <v>1</v>
      </c>
      <c r="Q1305">
        <f>IF(tbl_analysis_tickets[[#This Row],[reopened]]="Yes",1,0)</f>
        <v>0</v>
      </c>
      <c r="R1305" t="str" cm="1">
        <f t="array" ref="R1305">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305" t="str" cm="1">
        <f t="array" ref="S130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305" t="str">
        <f>TEXT(tbl_analysis_tickets[[#This Row],[created_date]],"mmm-yyyy")</f>
        <v>Nov-2024</v>
      </c>
      <c r="U1305" t="str">
        <f>TEXT(tbl_analysis_tickets[[#This Row],[created_date]],"dddd")</f>
        <v>Sunday</v>
      </c>
      <c r="V1305" cm="1">
        <f t="array" ref="V1305">_xlfn.SWITCH(tbl_analysis_tickets[[#This Row],[priority]],
"Urgent",1,
"High",2,
"Medium",3,
"Low",4
)</f>
        <v>1</v>
      </c>
    </row>
    <row r="1306" spans="1:22" x14ac:dyDescent="0.25">
      <c r="A1306">
        <v>1305</v>
      </c>
      <c r="B1306" s="1">
        <v>45354</v>
      </c>
      <c r="C1306" t="s">
        <v>23</v>
      </c>
      <c r="D1306" t="s">
        <v>20</v>
      </c>
      <c r="E1306">
        <v>18</v>
      </c>
      <c r="F1306">
        <v>57</v>
      </c>
      <c r="G1306">
        <v>5.7</v>
      </c>
      <c r="H1306" t="s">
        <v>18</v>
      </c>
      <c r="I1306" t="s">
        <v>16</v>
      </c>
      <c r="J1306" t="s">
        <v>15</v>
      </c>
      <c r="K1306">
        <f>_xlfn.XLOOKUP(tbl_analysis_tickets[[#This Row],[priority]],tbl_sla[priority],tbl_sla[Resolution SLA Hours])</f>
        <v>24</v>
      </c>
      <c r="L1306">
        <f>_xlfn.XLOOKUP(tbl_analysis_tickets[[#This Row],[priority]],tbl_sla[priority],tbl_sla[First Response SLA Minutes])</f>
        <v>60</v>
      </c>
      <c r="M1306" t="str">
        <f>IF(tbl_analysis_tickets[[#This Row],[resolution_time_hours]]&gt;tbl_analysis_tickets[[#This Row],[Resolution SLA Hours]],"Breached","Within SLA")</f>
        <v>Breached</v>
      </c>
      <c r="N1306" t="str">
        <f>IF(tbl_analysis_tickets[[#This Row],[first_response_minutes]]&gt;tbl_analysis_tickets[[#This Row],[First Response SLA Minutes]],"Breached","Within SLA")</f>
        <v>Within SLA</v>
      </c>
      <c r="O1306" t="str" cm="1">
        <f t="array" ref="O1306">_xlfn.IFS(
tbl_analysis_tickets[[#This Row],[agent_experience_years]]&lt;=2,"Junior",
tbl_analysis_tickets[[#This Row],[agent_experience_years]]&lt;=5,"Mid-Level",
tbl_analysis_tickets[[#This Row],[agent_experience_years]]&lt;=8,"Senior",
tbl_analysis_tickets[[#This Row],[agent_experience_years]]&gt;8,"Expert"
)</f>
        <v>Senior</v>
      </c>
      <c r="P1306" cm="1">
        <f t="array" ref="P1306">_xlfn.SWITCH(tbl_analysis_tickets[[#This Row],[customer_satisfaction]],
"Low",1,
"Medium",2,
"High",3
)</f>
        <v>2</v>
      </c>
      <c r="Q1306">
        <f>IF(tbl_analysis_tickets[[#This Row],[reopened]]="Yes",1,0)</f>
        <v>0</v>
      </c>
      <c r="R1306" t="str" cm="1">
        <f t="array" ref="R1306">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1306" t="str" cm="1">
        <f t="array" ref="S130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306" t="str">
        <f>TEXT(tbl_analysis_tickets[[#This Row],[created_date]],"mmm-yyyy")</f>
        <v>Mar-2024</v>
      </c>
      <c r="U1306" t="str">
        <f>TEXT(tbl_analysis_tickets[[#This Row],[created_date]],"dddd")</f>
        <v>Sunday</v>
      </c>
      <c r="V1306" cm="1">
        <f t="array" ref="V1306">_xlfn.SWITCH(tbl_analysis_tickets[[#This Row],[priority]],
"Urgent",1,
"High",2,
"Medium",3,
"Low",4
)</f>
        <v>2</v>
      </c>
    </row>
    <row r="1307" spans="1:22" x14ac:dyDescent="0.25">
      <c r="A1307">
        <v>1306</v>
      </c>
      <c r="B1307" s="1">
        <v>45444</v>
      </c>
      <c r="C1307" t="s">
        <v>14</v>
      </c>
      <c r="D1307" t="s">
        <v>20</v>
      </c>
      <c r="E1307">
        <v>28</v>
      </c>
      <c r="F1307">
        <v>56</v>
      </c>
      <c r="G1307">
        <v>7.1</v>
      </c>
      <c r="H1307" t="s">
        <v>18</v>
      </c>
      <c r="I1307" t="s">
        <v>13</v>
      </c>
      <c r="J1307" t="s">
        <v>15</v>
      </c>
      <c r="K1307">
        <f>_xlfn.XLOOKUP(tbl_analysis_tickets[[#This Row],[priority]],tbl_sla[priority],tbl_sla[Resolution SLA Hours])</f>
        <v>24</v>
      </c>
      <c r="L1307">
        <f>_xlfn.XLOOKUP(tbl_analysis_tickets[[#This Row],[priority]],tbl_sla[priority],tbl_sla[First Response SLA Minutes])</f>
        <v>60</v>
      </c>
      <c r="M1307" t="str">
        <f>IF(tbl_analysis_tickets[[#This Row],[resolution_time_hours]]&gt;tbl_analysis_tickets[[#This Row],[Resolution SLA Hours]],"Breached","Within SLA")</f>
        <v>Breached</v>
      </c>
      <c r="N1307" t="str">
        <f>IF(tbl_analysis_tickets[[#This Row],[first_response_minutes]]&gt;tbl_analysis_tickets[[#This Row],[First Response SLA Minutes]],"Breached","Within SLA")</f>
        <v>Within SLA</v>
      </c>
      <c r="O1307" t="str" cm="1">
        <f t="array" ref="O1307">_xlfn.IFS(
tbl_analysis_tickets[[#This Row],[agent_experience_years]]&lt;=2,"Junior",
tbl_analysis_tickets[[#This Row],[agent_experience_years]]&lt;=5,"Mid-Level",
tbl_analysis_tickets[[#This Row],[agent_experience_years]]&lt;=8,"Senior",
tbl_analysis_tickets[[#This Row],[agent_experience_years]]&gt;8,"Expert"
)</f>
        <v>Senior</v>
      </c>
      <c r="P1307" cm="1">
        <f t="array" ref="P1307">_xlfn.SWITCH(tbl_analysis_tickets[[#This Row],[customer_satisfaction]],
"Low",1,
"Medium",2,
"High",3
)</f>
        <v>2</v>
      </c>
      <c r="Q1307">
        <f>IF(tbl_analysis_tickets[[#This Row],[reopened]]="Yes",1,0)</f>
        <v>0</v>
      </c>
      <c r="R1307" t="str" cm="1">
        <f t="array" ref="R1307">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1307" t="str" cm="1">
        <f t="array" ref="S130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307" t="str">
        <f>TEXT(tbl_analysis_tickets[[#This Row],[created_date]],"mmm-yyyy")</f>
        <v>Jun-2024</v>
      </c>
      <c r="U1307" t="str">
        <f>TEXT(tbl_analysis_tickets[[#This Row],[created_date]],"dddd")</f>
        <v>Saturday</v>
      </c>
      <c r="V1307" cm="1">
        <f t="array" ref="V1307">_xlfn.SWITCH(tbl_analysis_tickets[[#This Row],[priority]],
"Urgent",1,
"High",2,
"Medium",3,
"Low",4
)</f>
        <v>2</v>
      </c>
    </row>
    <row r="1308" spans="1:22" x14ac:dyDescent="0.25">
      <c r="A1308">
        <v>1307</v>
      </c>
      <c r="B1308" s="1">
        <v>45531</v>
      </c>
      <c r="C1308" t="s">
        <v>22</v>
      </c>
      <c r="D1308" t="s">
        <v>20</v>
      </c>
      <c r="E1308">
        <v>149</v>
      </c>
      <c r="F1308">
        <v>13</v>
      </c>
      <c r="G1308">
        <v>6.2</v>
      </c>
      <c r="H1308" t="s">
        <v>12</v>
      </c>
      <c r="I1308" t="s">
        <v>19</v>
      </c>
      <c r="J1308" t="s">
        <v>11</v>
      </c>
      <c r="K1308">
        <f>_xlfn.XLOOKUP(tbl_analysis_tickets[[#This Row],[priority]],tbl_sla[priority],tbl_sla[Resolution SLA Hours])</f>
        <v>24</v>
      </c>
      <c r="L1308">
        <f>_xlfn.XLOOKUP(tbl_analysis_tickets[[#This Row],[priority]],tbl_sla[priority],tbl_sla[First Response SLA Minutes])</f>
        <v>60</v>
      </c>
      <c r="M1308" t="str">
        <f>IF(tbl_analysis_tickets[[#This Row],[resolution_time_hours]]&gt;tbl_analysis_tickets[[#This Row],[Resolution SLA Hours]],"Breached","Within SLA")</f>
        <v>Within SLA</v>
      </c>
      <c r="N1308" t="str">
        <f>IF(tbl_analysis_tickets[[#This Row],[first_response_minutes]]&gt;tbl_analysis_tickets[[#This Row],[First Response SLA Minutes]],"Breached","Within SLA")</f>
        <v>Breached</v>
      </c>
      <c r="O1308" t="str" cm="1">
        <f t="array" ref="O1308">_xlfn.IFS(
tbl_analysis_tickets[[#This Row],[agent_experience_years]]&lt;=2,"Junior",
tbl_analysis_tickets[[#This Row],[agent_experience_years]]&lt;=5,"Mid-Level",
tbl_analysis_tickets[[#This Row],[agent_experience_years]]&lt;=8,"Senior",
tbl_analysis_tickets[[#This Row],[agent_experience_years]]&gt;8,"Expert"
)</f>
        <v>Senior</v>
      </c>
      <c r="P1308" cm="1">
        <f t="array" ref="P1308">_xlfn.SWITCH(tbl_analysis_tickets[[#This Row],[customer_satisfaction]],
"Low",1,
"Medium",2,
"High",3
)</f>
        <v>1</v>
      </c>
      <c r="Q1308">
        <f>IF(tbl_analysis_tickets[[#This Row],[reopened]]="Yes",1,0)</f>
        <v>1</v>
      </c>
      <c r="R1308" t="str" cm="1">
        <f t="array" ref="R1308">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308" t="str" cm="1">
        <f t="array" ref="S130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308" t="str">
        <f>TEXT(tbl_analysis_tickets[[#This Row],[created_date]],"mmm-yyyy")</f>
        <v>Aug-2024</v>
      </c>
      <c r="U1308" t="str">
        <f>TEXT(tbl_analysis_tickets[[#This Row],[created_date]],"dddd")</f>
        <v>Tuesday</v>
      </c>
      <c r="V1308" cm="1">
        <f t="array" ref="V1308">_xlfn.SWITCH(tbl_analysis_tickets[[#This Row],[priority]],
"Urgent",1,
"High",2,
"Medium",3,
"Low",4
)</f>
        <v>2</v>
      </c>
    </row>
    <row r="1309" spans="1:22" x14ac:dyDescent="0.25">
      <c r="A1309">
        <v>1308</v>
      </c>
      <c r="B1309" s="1">
        <v>45635</v>
      </c>
      <c r="C1309" t="s">
        <v>23</v>
      </c>
      <c r="D1309" t="s">
        <v>11</v>
      </c>
      <c r="E1309">
        <v>188</v>
      </c>
      <c r="F1309">
        <v>8</v>
      </c>
      <c r="G1309">
        <v>4.9000000000000004</v>
      </c>
      <c r="H1309" t="s">
        <v>12</v>
      </c>
      <c r="I1309" t="s">
        <v>13</v>
      </c>
      <c r="J1309" t="s">
        <v>11</v>
      </c>
      <c r="K1309">
        <f>_xlfn.XLOOKUP(tbl_analysis_tickets[[#This Row],[priority]],tbl_sla[priority],tbl_sla[Resolution SLA Hours])</f>
        <v>72</v>
      </c>
      <c r="L1309">
        <f>_xlfn.XLOOKUP(tbl_analysis_tickets[[#This Row],[priority]],tbl_sla[priority],tbl_sla[First Response SLA Minutes])</f>
        <v>240</v>
      </c>
      <c r="M1309" t="str">
        <f>IF(tbl_analysis_tickets[[#This Row],[resolution_time_hours]]&gt;tbl_analysis_tickets[[#This Row],[Resolution SLA Hours]],"Breached","Within SLA")</f>
        <v>Within SLA</v>
      </c>
      <c r="N1309" t="str">
        <f>IF(tbl_analysis_tickets[[#This Row],[first_response_minutes]]&gt;tbl_analysis_tickets[[#This Row],[First Response SLA Minutes]],"Breached","Within SLA")</f>
        <v>Within SLA</v>
      </c>
      <c r="O1309" t="str" cm="1">
        <f t="array" ref="O1309">_xlfn.IFS(
tbl_analysis_tickets[[#This Row],[agent_experience_years]]&lt;=2,"Junior",
tbl_analysis_tickets[[#This Row],[agent_experience_years]]&lt;=5,"Mid-Level",
tbl_analysis_tickets[[#This Row],[agent_experience_years]]&lt;=8,"Senior",
tbl_analysis_tickets[[#This Row],[agent_experience_years]]&gt;8,"Expert"
)</f>
        <v>Mid-Level</v>
      </c>
      <c r="P1309" cm="1">
        <f t="array" ref="P1309">_xlfn.SWITCH(tbl_analysis_tickets[[#This Row],[customer_satisfaction]],
"Low",1,
"Medium",2,
"High",3
)</f>
        <v>1</v>
      </c>
      <c r="Q1309">
        <f>IF(tbl_analysis_tickets[[#This Row],[reopened]]="Yes",1,0)</f>
        <v>1</v>
      </c>
      <c r="R1309" t="str" cm="1">
        <f t="array" ref="R1309">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309" t="str" cm="1">
        <f t="array" ref="S130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1309" t="str">
        <f>TEXT(tbl_analysis_tickets[[#This Row],[created_date]],"mmm-yyyy")</f>
        <v>Dec-2024</v>
      </c>
      <c r="U1309" t="str">
        <f>TEXT(tbl_analysis_tickets[[#This Row],[created_date]],"dddd")</f>
        <v>Monday</v>
      </c>
      <c r="V1309" cm="1">
        <f t="array" ref="V1309">_xlfn.SWITCH(tbl_analysis_tickets[[#This Row],[priority]],
"Urgent",1,
"High",2,
"Medium",3,
"Low",4
)</f>
        <v>4</v>
      </c>
    </row>
    <row r="1310" spans="1:22" x14ac:dyDescent="0.25">
      <c r="A1310">
        <v>1309</v>
      </c>
      <c r="B1310" s="1">
        <v>45567</v>
      </c>
      <c r="C1310" t="s">
        <v>23</v>
      </c>
      <c r="D1310" t="s">
        <v>20</v>
      </c>
      <c r="E1310">
        <v>28</v>
      </c>
      <c r="F1310">
        <v>4</v>
      </c>
      <c r="G1310">
        <v>9.5</v>
      </c>
      <c r="H1310" t="s">
        <v>18</v>
      </c>
      <c r="I1310" t="s">
        <v>16</v>
      </c>
      <c r="J1310" t="s">
        <v>20</v>
      </c>
      <c r="K1310">
        <f>_xlfn.XLOOKUP(tbl_analysis_tickets[[#This Row],[priority]],tbl_sla[priority],tbl_sla[Resolution SLA Hours])</f>
        <v>24</v>
      </c>
      <c r="L1310">
        <f>_xlfn.XLOOKUP(tbl_analysis_tickets[[#This Row],[priority]],tbl_sla[priority],tbl_sla[First Response SLA Minutes])</f>
        <v>60</v>
      </c>
      <c r="M1310" t="str">
        <f>IF(tbl_analysis_tickets[[#This Row],[resolution_time_hours]]&gt;tbl_analysis_tickets[[#This Row],[Resolution SLA Hours]],"Breached","Within SLA")</f>
        <v>Within SLA</v>
      </c>
      <c r="N1310" t="str">
        <f>IF(tbl_analysis_tickets[[#This Row],[first_response_minutes]]&gt;tbl_analysis_tickets[[#This Row],[First Response SLA Minutes]],"Breached","Within SLA")</f>
        <v>Within SLA</v>
      </c>
      <c r="O1310" t="str" cm="1">
        <f t="array" ref="O1310">_xlfn.IFS(
tbl_analysis_tickets[[#This Row],[agent_experience_years]]&lt;=2,"Junior",
tbl_analysis_tickets[[#This Row],[agent_experience_years]]&lt;=5,"Mid-Level",
tbl_analysis_tickets[[#This Row],[agent_experience_years]]&lt;=8,"Senior",
tbl_analysis_tickets[[#This Row],[agent_experience_years]]&gt;8,"Expert"
)</f>
        <v>Expert</v>
      </c>
      <c r="P1310" cm="1">
        <f t="array" ref="P1310">_xlfn.SWITCH(tbl_analysis_tickets[[#This Row],[customer_satisfaction]],
"Low",1,
"Medium",2,
"High",3
)</f>
        <v>3</v>
      </c>
      <c r="Q1310">
        <f>IF(tbl_analysis_tickets[[#This Row],[reopened]]="Yes",1,0)</f>
        <v>0</v>
      </c>
      <c r="R1310" t="str" cm="1">
        <f t="array" ref="R1310">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1310" t="str" cm="1">
        <f t="array" ref="S131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1310" t="str">
        <f>TEXT(tbl_analysis_tickets[[#This Row],[created_date]],"mmm-yyyy")</f>
        <v>Oct-2024</v>
      </c>
      <c r="U1310" t="str">
        <f>TEXT(tbl_analysis_tickets[[#This Row],[created_date]],"dddd")</f>
        <v>Wednesday</v>
      </c>
      <c r="V1310" cm="1">
        <f t="array" ref="V1310">_xlfn.SWITCH(tbl_analysis_tickets[[#This Row],[priority]],
"Urgent",1,
"High",2,
"Medium",3,
"Low",4
)</f>
        <v>2</v>
      </c>
    </row>
    <row r="1311" spans="1:22" x14ac:dyDescent="0.25">
      <c r="A1311">
        <v>1310</v>
      </c>
      <c r="B1311" s="1">
        <v>45560</v>
      </c>
      <c r="C1311" t="s">
        <v>23</v>
      </c>
      <c r="D1311" t="s">
        <v>15</v>
      </c>
      <c r="E1311">
        <v>51</v>
      </c>
      <c r="F1311">
        <v>59</v>
      </c>
      <c r="G1311">
        <v>8.1</v>
      </c>
      <c r="H1311" t="s">
        <v>12</v>
      </c>
      <c r="I1311" t="s">
        <v>19</v>
      </c>
      <c r="J1311" t="s">
        <v>11</v>
      </c>
      <c r="K1311">
        <f>_xlfn.XLOOKUP(tbl_analysis_tickets[[#This Row],[priority]],tbl_sla[priority],tbl_sla[Resolution SLA Hours])</f>
        <v>48</v>
      </c>
      <c r="L1311">
        <f>_xlfn.XLOOKUP(tbl_analysis_tickets[[#This Row],[priority]],tbl_sla[priority],tbl_sla[First Response SLA Minutes])</f>
        <v>120</v>
      </c>
      <c r="M1311" t="str">
        <f>IF(tbl_analysis_tickets[[#This Row],[resolution_time_hours]]&gt;tbl_analysis_tickets[[#This Row],[Resolution SLA Hours]],"Breached","Within SLA")</f>
        <v>Breached</v>
      </c>
      <c r="N1311" t="str">
        <f>IF(tbl_analysis_tickets[[#This Row],[first_response_minutes]]&gt;tbl_analysis_tickets[[#This Row],[First Response SLA Minutes]],"Breached","Within SLA")</f>
        <v>Within SLA</v>
      </c>
      <c r="O1311" t="str" cm="1">
        <f t="array" ref="O1311">_xlfn.IFS(
tbl_analysis_tickets[[#This Row],[agent_experience_years]]&lt;=2,"Junior",
tbl_analysis_tickets[[#This Row],[agent_experience_years]]&lt;=5,"Mid-Level",
tbl_analysis_tickets[[#This Row],[agent_experience_years]]&lt;=8,"Senior",
tbl_analysis_tickets[[#This Row],[agent_experience_years]]&gt;8,"Expert"
)</f>
        <v>Expert</v>
      </c>
      <c r="P1311" cm="1">
        <f t="array" ref="P1311">_xlfn.SWITCH(tbl_analysis_tickets[[#This Row],[customer_satisfaction]],
"Low",1,
"Medium",2,
"High",3
)</f>
        <v>1</v>
      </c>
      <c r="Q1311">
        <f>IF(tbl_analysis_tickets[[#This Row],[reopened]]="Yes",1,0)</f>
        <v>1</v>
      </c>
      <c r="R1311" t="str" cm="1">
        <f t="array" ref="R1311">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311" t="str" cm="1">
        <f t="array" ref="S131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311" t="str">
        <f>TEXT(tbl_analysis_tickets[[#This Row],[created_date]],"mmm-yyyy")</f>
        <v>Sep-2024</v>
      </c>
      <c r="U1311" t="str">
        <f>TEXT(tbl_analysis_tickets[[#This Row],[created_date]],"dddd")</f>
        <v>Wednesday</v>
      </c>
      <c r="V1311" cm="1">
        <f t="array" ref="V1311">_xlfn.SWITCH(tbl_analysis_tickets[[#This Row],[priority]],
"Urgent",1,
"High",2,
"Medium",3,
"Low",4
)</f>
        <v>3</v>
      </c>
    </row>
    <row r="1312" spans="1:22" x14ac:dyDescent="0.25">
      <c r="A1312">
        <v>1311</v>
      </c>
      <c r="B1312" s="1">
        <v>45570</v>
      </c>
      <c r="C1312" t="s">
        <v>21</v>
      </c>
      <c r="D1312" t="s">
        <v>20</v>
      </c>
      <c r="E1312">
        <v>152</v>
      </c>
      <c r="F1312">
        <v>17</v>
      </c>
      <c r="G1312">
        <v>4.2</v>
      </c>
      <c r="H1312" t="s">
        <v>12</v>
      </c>
      <c r="I1312" t="s">
        <v>13</v>
      </c>
      <c r="J1312" t="s">
        <v>11</v>
      </c>
      <c r="K1312">
        <f>_xlfn.XLOOKUP(tbl_analysis_tickets[[#This Row],[priority]],tbl_sla[priority],tbl_sla[Resolution SLA Hours])</f>
        <v>24</v>
      </c>
      <c r="L1312">
        <f>_xlfn.XLOOKUP(tbl_analysis_tickets[[#This Row],[priority]],tbl_sla[priority],tbl_sla[First Response SLA Minutes])</f>
        <v>60</v>
      </c>
      <c r="M1312" t="str">
        <f>IF(tbl_analysis_tickets[[#This Row],[resolution_time_hours]]&gt;tbl_analysis_tickets[[#This Row],[Resolution SLA Hours]],"Breached","Within SLA")</f>
        <v>Within SLA</v>
      </c>
      <c r="N1312" t="str">
        <f>IF(tbl_analysis_tickets[[#This Row],[first_response_minutes]]&gt;tbl_analysis_tickets[[#This Row],[First Response SLA Minutes]],"Breached","Within SLA")</f>
        <v>Breached</v>
      </c>
      <c r="O1312" t="str" cm="1">
        <f t="array" ref="O1312">_xlfn.IFS(
tbl_analysis_tickets[[#This Row],[agent_experience_years]]&lt;=2,"Junior",
tbl_analysis_tickets[[#This Row],[agent_experience_years]]&lt;=5,"Mid-Level",
tbl_analysis_tickets[[#This Row],[agent_experience_years]]&lt;=8,"Senior",
tbl_analysis_tickets[[#This Row],[agent_experience_years]]&gt;8,"Expert"
)</f>
        <v>Mid-Level</v>
      </c>
      <c r="P1312" cm="1">
        <f t="array" ref="P1312">_xlfn.SWITCH(tbl_analysis_tickets[[#This Row],[customer_satisfaction]],
"Low",1,
"Medium",2,
"High",3
)</f>
        <v>1</v>
      </c>
      <c r="Q1312">
        <f>IF(tbl_analysis_tickets[[#This Row],[reopened]]="Yes",1,0)</f>
        <v>1</v>
      </c>
      <c r="R1312" t="str" cm="1">
        <f t="array" ref="R1312">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312" t="str" cm="1">
        <f t="array" ref="S131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312" t="str">
        <f>TEXT(tbl_analysis_tickets[[#This Row],[created_date]],"mmm-yyyy")</f>
        <v>Oct-2024</v>
      </c>
      <c r="U1312" t="str">
        <f>TEXT(tbl_analysis_tickets[[#This Row],[created_date]],"dddd")</f>
        <v>Saturday</v>
      </c>
      <c r="V1312" cm="1">
        <f t="array" ref="V1312">_xlfn.SWITCH(tbl_analysis_tickets[[#This Row],[priority]],
"Urgent",1,
"High",2,
"Medium",3,
"Low",4
)</f>
        <v>2</v>
      </c>
    </row>
    <row r="1313" spans="1:22" x14ac:dyDescent="0.25">
      <c r="A1313">
        <v>1312</v>
      </c>
      <c r="B1313" s="1">
        <v>45644</v>
      </c>
      <c r="C1313" t="s">
        <v>14</v>
      </c>
      <c r="D1313" t="s">
        <v>17</v>
      </c>
      <c r="E1313">
        <v>179</v>
      </c>
      <c r="F1313">
        <v>17</v>
      </c>
      <c r="G1313">
        <v>8.5</v>
      </c>
      <c r="H1313" t="s">
        <v>18</v>
      </c>
      <c r="I1313" t="s">
        <v>19</v>
      </c>
      <c r="J1313" t="s">
        <v>11</v>
      </c>
      <c r="K1313">
        <f>_xlfn.XLOOKUP(tbl_analysis_tickets[[#This Row],[priority]],tbl_sla[priority],tbl_sla[Resolution SLA Hours])</f>
        <v>8</v>
      </c>
      <c r="L1313">
        <f>_xlfn.XLOOKUP(tbl_analysis_tickets[[#This Row],[priority]],tbl_sla[priority],tbl_sla[First Response SLA Minutes])</f>
        <v>30</v>
      </c>
      <c r="M1313" t="str">
        <f>IF(tbl_analysis_tickets[[#This Row],[resolution_time_hours]]&gt;tbl_analysis_tickets[[#This Row],[Resolution SLA Hours]],"Breached","Within SLA")</f>
        <v>Breached</v>
      </c>
      <c r="N1313" t="str">
        <f>IF(tbl_analysis_tickets[[#This Row],[first_response_minutes]]&gt;tbl_analysis_tickets[[#This Row],[First Response SLA Minutes]],"Breached","Within SLA")</f>
        <v>Breached</v>
      </c>
      <c r="O1313" t="str" cm="1">
        <f t="array" ref="O1313">_xlfn.IFS(
tbl_analysis_tickets[[#This Row],[agent_experience_years]]&lt;=2,"Junior",
tbl_analysis_tickets[[#This Row],[agent_experience_years]]&lt;=5,"Mid-Level",
tbl_analysis_tickets[[#This Row],[agent_experience_years]]&lt;=8,"Senior",
tbl_analysis_tickets[[#This Row],[agent_experience_years]]&gt;8,"Expert"
)</f>
        <v>Expert</v>
      </c>
      <c r="P1313" cm="1">
        <f t="array" ref="P1313">_xlfn.SWITCH(tbl_analysis_tickets[[#This Row],[customer_satisfaction]],
"Low",1,
"Medium",2,
"High",3
)</f>
        <v>1</v>
      </c>
      <c r="Q1313">
        <f>IF(tbl_analysis_tickets[[#This Row],[reopened]]="Yes",1,0)</f>
        <v>0</v>
      </c>
      <c r="R1313" t="str" cm="1">
        <f t="array" ref="R1313">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313" t="str" cm="1">
        <f t="array" ref="S131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313" t="str">
        <f>TEXT(tbl_analysis_tickets[[#This Row],[created_date]],"mmm-yyyy")</f>
        <v>Dec-2024</v>
      </c>
      <c r="U1313" t="str">
        <f>TEXT(tbl_analysis_tickets[[#This Row],[created_date]],"dddd")</f>
        <v>Wednesday</v>
      </c>
      <c r="V1313" cm="1">
        <f t="array" ref="V1313">_xlfn.SWITCH(tbl_analysis_tickets[[#This Row],[priority]],
"Urgent",1,
"High",2,
"Medium",3,
"Low",4
)</f>
        <v>1</v>
      </c>
    </row>
    <row r="1314" spans="1:22" x14ac:dyDescent="0.25">
      <c r="A1314">
        <v>1313</v>
      </c>
      <c r="B1314" s="1">
        <v>45441</v>
      </c>
      <c r="C1314" t="s">
        <v>14</v>
      </c>
      <c r="D1314" t="s">
        <v>11</v>
      </c>
      <c r="E1314">
        <v>131</v>
      </c>
      <c r="F1314">
        <v>12</v>
      </c>
      <c r="G1314">
        <v>1.8</v>
      </c>
      <c r="H1314" t="s">
        <v>18</v>
      </c>
      <c r="I1314" t="s">
        <v>13</v>
      </c>
      <c r="J1314" t="s">
        <v>11</v>
      </c>
      <c r="K1314">
        <f>_xlfn.XLOOKUP(tbl_analysis_tickets[[#This Row],[priority]],tbl_sla[priority],tbl_sla[Resolution SLA Hours])</f>
        <v>72</v>
      </c>
      <c r="L1314">
        <f>_xlfn.XLOOKUP(tbl_analysis_tickets[[#This Row],[priority]],tbl_sla[priority],tbl_sla[First Response SLA Minutes])</f>
        <v>240</v>
      </c>
      <c r="M1314" t="str">
        <f>IF(tbl_analysis_tickets[[#This Row],[resolution_time_hours]]&gt;tbl_analysis_tickets[[#This Row],[Resolution SLA Hours]],"Breached","Within SLA")</f>
        <v>Within SLA</v>
      </c>
      <c r="N1314" t="str">
        <f>IF(tbl_analysis_tickets[[#This Row],[first_response_minutes]]&gt;tbl_analysis_tickets[[#This Row],[First Response SLA Minutes]],"Breached","Within SLA")</f>
        <v>Within SLA</v>
      </c>
      <c r="O1314" t="str" cm="1">
        <f t="array" ref="O1314">_xlfn.IFS(
tbl_analysis_tickets[[#This Row],[agent_experience_years]]&lt;=2,"Junior",
tbl_analysis_tickets[[#This Row],[agent_experience_years]]&lt;=5,"Mid-Level",
tbl_analysis_tickets[[#This Row],[agent_experience_years]]&lt;=8,"Senior",
tbl_analysis_tickets[[#This Row],[agent_experience_years]]&gt;8,"Expert"
)</f>
        <v>Junior</v>
      </c>
      <c r="P1314" cm="1">
        <f t="array" ref="P1314">_xlfn.SWITCH(tbl_analysis_tickets[[#This Row],[customer_satisfaction]],
"Low",1,
"Medium",2,
"High",3
)</f>
        <v>1</v>
      </c>
      <c r="Q1314">
        <f>IF(tbl_analysis_tickets[[#This Row],[reopened]]="Yes",1,0)</f>
        <v>0</v>
      </c>
      <c r="R1314" t="str" cm="1">
        <f t="array" ref="R1314">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314" t="str" cm="1">
        <f t="array" ref="S131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314" t="str">
        <f>TEXT(tbl_analysis_tickets[[#This Row],[created_date]],"mmm-yyyy")</f>
        <v>May-2024</v>
      </c>
      <c r="U1314" t="str">
        <f>TEXT(tbl_analysis_tickets[[#This Row],[created_date]],"dddd")</f>
        <v>Wednesday</v>
      </c>
      <c r="V1314" cm="1">
        <f t="array" ref="V1314">_xlfn.SWITCH(tbl_analysis_tickets[[#This Row],[priority]],
"Urgent",1,
"High",2,
"Medium",3,
"Low",4
)</f>
        <v>4</v>
      </c>
    </row>
    <row r="1315" spans="1:22" x14ac:dyDescent="0.25">
      <c r="A1315">
        <v>1314</v>
      </c>
      <c r="B1315" s="1">
        <v>45603</v>
      </c>
      <c r="C1315" t="s">
        <v>14</v>
      </c>
      <c r="D1315" t="s">
        <v>17</v>
      </c>
      <c r="E1315">
        <v>24</v>
      </c>
      <c r="F1315">
        <v>6</v>
      </c>
      <c r="G1315">
        <v>1.1000000000000001</v>
      </c>
      <c r="H1315" t="s">
        <v>12</v>
      </c>
      <c r="I1315" t="s">
        <v>13</v>
      </c>
      <c r="J1315" t="s">
        <v>15</v>
      </c>
      <c r="K1315">
        <f>_xlfn.XLOOKUP(tbl_analysis_tickets[[#This Row],[priority]],tbl_sla[priority],tbl_sla[Resolution SLA Hours])</f>
        <v>8</v>
      </c>
      <c r="L1315">
        <f>_xlfn.XLOOKUP(tbl_analysis_tickets[[#This Row],[priority]],tbl_sla[priority],tbl_sla[First Response SLA Minutes])</f>
        <v>30</v>
      </c>
      <c r="M1315" t="str">
        <f>IF(tbl_analysis_tickets[[#This Row],[resolution_time_hours]]&gt;tbl_analysis_tickets[[#This Row],[Resolution SLA Hours]],"Breached","Within SLA")</f>
        <v>Within SLA</v>
      </c>
      <c r="N1315" t="str">
        <f>IF(tbl_analysis_tickets[[#This Row],[first_response_minutes]]&gt;tbl_analysis_tickets[[#This Row],[First Response SLA Minutes]],"Breached","Within SLA")</f>
        <v>Within SLA</v>
      </c>
      <c r="O1315" t="str" cm="1">
        <f t="array" ref="O1315">_xlfn.IFS(
tbl_analysis_tickets[[#This Row],[agent_experience_years]]&lt;=2,"Junior",
tbl_analysis_tickets[[#This Row],[agent_experience_years]]&lt;=5,"Mid-Level",
tbl_analysis_tickets[[#This Row],[agent_experience_years]]&lt;=8,"Senior",
tbl_analysis_tickets[[#This Row],[agent_experience_years]]&gt;8,"Expert"
)</f>
        <v>Junior</v>
      </c>
      <c r="P1315" cm="1">
        <f t="array" ref="P1315">_xlfn.SWITCH(tbl_analysis_tickets[[#This Row],[customer_satisfaction]],
"Low",1,
"Medium",2,
"High",3
)</f>
        <v>2</v>
      </c>
      <c r="Q1315">
        <f>IF(tbl_analysis_tickets[[#This Row],[reopened]]="Yes",1,0)</f>
        <v>1</v>
      </c>
      <c r="R1315" t="str" cm="1">
        <f t="array" ref="R1315">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1315" t="str" cm="1">
        <f t="array" ref="S131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1315" t="str">
        <f>TEXT(tbl_analysis_tickets[[#This Row],[created_date]],"mmm-yyyy")</f>
        <v>Nov-2024</v>
      </c>
      <c r="U1315" t="str">
        <f>TEXT(tbl_analysis_tickets[[#This Row],[created_date]],"dddd")</f>
        <v>Thursday</v>
      </c>
      <c r="V1315" cm="1">
        <f t="array" ref="V1315">_xlfn.SWITCH(tbl_analysis_tickets[[#This Row],[priority]],
"Urgent",1,
"High",2,
"Medium",3,
"Low",4
)</f>
        <v>1</v>
      </c>
    </row>
    <row r="1316" spans="1:22" x14ac:dyDescent="0.25">
      <c r="A1316">
        <v>1315</v>
      </c>
      <c r="B1316" s="1">
        <v>45604</v>
      </c>
      <c r="C1316" t="s">
        <v>10</v>
      </c>
      <c r="D1316" t="s">
        <v>17</v>
      </c>
      <c r="E1316">
        <v>41</v>
      </c>
      <c r="F1316">
        <v>18</v>
      </c>
      <c r="G1316">
        <v>3.9</v>
      </c>
      <c r="H1316" t="s">
        <v>18</v>
      </c>
      <c r="I1316" t="s">
        <v>19</v>
      </c>
      <c r="J1316" t="s">
        <v>11</v>
      </c>
      <c r="K1316">
        <f>_xlfn.XLOOKUP(tbl_analysis_tickets[[#This Row],[priority]],tbl_sla[priority],tbl_sla[Resolution SLA Hours])</f>
        <v>8</v>
      </c>
      <c r="L1316">
        <f>_xlfn.XLOOKUP(tbl_analysis_tickets[[#This Row],[priority]],tbl_sla[priority],tbl_sla[First Response SLA Minutes])</f>
        <v>30</v>
      </c>
      <c r="M1316" t="str">
        <f>IF(tbl_analysis_tickets[[#This Row],[resolution_time_hours]]&gt;tbl_analysis_tickets[[#This Row],[Resolution SLA Hours]],"Breached","Within SLA")</f>
        <v>Breached</v>
      </c>
      <c r="N1316" t="str">
        <f>IF(tbl_analysis_tickets[[#This Row],[first_response_minutes]]&gt;tbl_analysis_tickets[[#This Row],[First Response SLA Minutes]],"Breached","Within SLA")</f>
        <v>Breached</v>
      </c>
      <c r="O1316" t="str" cm="1">
        <f t="array" ref="O1316">_xlfn.IFS(
tbl_analysis_tickets[[#This Row],[agent_experience_years]]&lt;=2,"Junior",
tbl_analysis_tickets[[#This Row],[agent_experience_years]]&lt;=5,"Mid-Level",
tbl_analysis_tickets[[#This Row],[agent_experience_years]]&lt;=8,"Senior",
tbl_analysis_tickets[[#This Row],[agent_experience_years]]&gt;8,"Expert"
)</f>
        <v>Mid-Level</v>
      </c>
      <c r="P1316" cm="1">
        <f t="array" ref="P1316">_xlfn.SWITCH(tbl_analysis_tickets[[#This Row],[customer_satisfaction]],
"Low",1,
"Medium",2,
"High",3
)</f>
        <v>1</v>
      </c>
      <c r="Q1316">
        <f>IF(tbl_analysis_tickets[[#This Row],[reopened]]="Yes",1,0)</f>
        <v>0</v>
      </c>
      <c r="R1316" t="str" cm="1">
        <f t="array" ref="R1316">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316" t="str" cm="1">
        <f t="array" ref="S131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316" t="str">
        <f>TEXT(tbl_analysis_tickets[[#This Row],[created_date]],"mmm-yyyy")</f>
        <v>Nov-2024</v>
      </c>
      <c r="U1316" t="str">
        <f>TEXT(tbl_analysis_tickets[[#This Row],[created_date]],"dddd")</f>
        <v>Friday</v>
      </c>
      <c r="V1316" cm="1">
        <f t="array" ref="V1316">_xlfn.SWITCH(tbl_analysis_tickets[[#This Row],[priority]],
"Urgent",1,
"High",2,
"Medium",3,
"Low",4
)</f>
        <v>1</v>
      </c>
    </row>
    <row r="1317" spans="1:22" x14ac:dyDescent="0.25">
      <c r="A1317">
        <v>1316</v>
      </c>
      <c r="B1317" s="1">
        <v>45502</v>
      </c>
      <c r="C1317" t="s">
        <v>21</v>
      </c>
      <c r="D1317" t="s">
        <v>11</v>
      </c>
      <c r="E1317">
        <v>227</v>
      </c>
      <c r="F1317">
        <v>44</v>
      </c>
      <c r="G1317">
        <v>3.7</v>
      </c>
      <c r="H1317" t="s">
        <v>18</v>
      </c>
      <c r="I1317" t="s">
        <v>13</v>
      </c>
      <c r="J1317" t="s">
        <v>11</v>
      </c>
      <c r="K1317">
        <f>_xlfn.XLOOKUP(tbl_analysis_tickets[[#This Row],[priority]],tbl_sla[priority],tbl_sla[Resolution SLA Hours])</f>
        <v>72</v>
      </c>
      <c r="L1317">
        <f>_xlfn.XLOOKUP(tbl_analysis_tickets[[#This Row],[priority]],tbl_sla[priority],tbl_sla[First Response SLA Minutes])</f>
        <v>240</v>
      </c>
      <c r="M1317" t="str">
        <f>IF(tbl_analysis_tickets[[#This Row],[resolution_time_hours]]&gt;tbl_analysis_tickets[[#This Row],[Resolution SLA Hours]],"Breached","Within SLA")</f>
        <v>Within SLA</v>
      </c>
      <c r="N1317" t="str">
        <f>IF(tbl_analysis_tickets[[#This Row],[first_response_minutes]]&gt;tbl_analysis_tickets[[#This Row],[First Response SLA Minutes]],"Breached","Within SLA")</f>
        <v>Within SLA</v>
      </c>
      <c r="O1317" t="str" cm="1">
        <f t="array" ref="O1317">_xlfn.IFS(
tbl_analysis_tickets[[#This Row],[agent_experience_years]]&lt;=2,"Junior",
tbl_analysis_tickets[[#This Row],[agent_experience_years]]&lt;=5,"Mid-Level",
tbl_analysis_tickets[[#This Row],[agent_experience_years]]&lt;=8,"Senior",
tbl_analysis_tickets[[#This Row],[agent_experience_years]]&gt;8,"Expert"
)</f>
        <v>Mid-Level</v>
      </c>
      <c r="P1317" cm="1">
        <f t="array" ref="P1317">_xlfn.SWITCH(tbl_analysis_tickets[[#This Row],[customer_satisfaction]],
"Low",1,
"Medium",2,
"High",3
)</f>
        <v>1</v>
      </c>
      <c r="Q1317">
        <f>IF(tbl_analysis_tickets[[#This Row],[reopened]]="Yes",1,0)</f>
        <v>0</v>
      </c>
      <c r="R1317" t="str" cm="1">
        <f t="array" ref="R1317">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317" t="str" cm="1">
        <f t="array" ref="S131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317" t="str">
        <f>TEXT(tbl_analysis_tickets[[#This Row],[created_date]],"mmm-yyyy")</f>
        <v>Jul-2024</v>
      </c>
      <c r="U1317" t="str">
        <f>TEXT(tbl_analysis_tickets[[#This Row],[created_date]],"dddd")</f>
        <v>Monday</v>
      </c>
      <c r="V1317" cm="1">
        <f t="array" ref="V1317">_xlfn.SWITCH(tbl_analysis_tickets[[#This Row],[priority]],
"Urgent",1,
"High",2,
"Medium",3,
"Low",4
)</f>
        <v>4</v>
      </c>
    </row>
    <row r="1318" spans="1:22" x14ac:dyDescent="0.25">
      <c r="A1318">
        <v>1317</v>
      </c>
      <c r="B1318" s="1">
        <v>45487</v>
      </c>
      <c r="C1318" t="s">
        <v>22</v>
      </c>
      <c r="D1318" t="s">
        <v>15</v>
      </c>
      <c r="E1318">
        <v>208</v>
      </c>
      <c r="F1318">
        <v>50</v>
      </c>
      <c r="G1318">
        <v>9.1</v>
      </c>
      <c r="H1318" t="s">
        <v>12</v>
      </c>
      <c r="I1318" t="s">
        <v>19</v>
      </c>
      <c r="J1318" t="s">
        <v>11</v>
      </c>
      <c r="K1318">
        <f>_xlfn.XLOOKUP(tbl_analysis_tickets[[#This Row],[priority]],tbl_sla[priority],tbl_sla[Resolution SLA Hours])</f>
        <v>48</v>
      </c>
      <c r="L1318">
        <f>_xlfn.XLOOKUP(tbl_analysis_tickets[[#This Row],[priority]],tbl_sla[priority],tbl_sla[First Response SLA Minutes])</f>
        <v>120</v>
      </c>
      <c r="M1318" t="str">
        <f>IF(tbl_analysis_tickets[[#This Row],[resolution_time_hours]]&gt;tbl_analysis_tickets[[#This Row],[Resolution SLA Hours]],"Breached","Within SLA")</f>
        <v>Breached</v>
      </c>
      <c r="N1318" t="str">
        <f>IF(tbl_analysis_tickets[[#This Row],[first_response_minutes]]&gt;tbl_analysis_tickets[[#This Row],[First Response SLA Minutes]],"Breached","Within SLA")</f>
        <v>Breached</v>
      </c>
      <c r="O1318" t="str" cm="1">
        <f t="array" ref="O1318">_xlfn.IFS(
tbl_analysis_tickets[[#This Row],[agent_experience_years]]&lt;=2,"Junior",
tbl_analysis_tickets[[#This Row],[agent_experience_years]]&lt;=5,"Mid-Level",
tbl_analysis_tickets[[#This Row],[agent_experience_years]]&lt;=8,"Senior",
tbl_analysis_tickets[[#This Row],[agent_experience_years]]&gt;8,"Expert"
)</f>
        <v>Expert</v>
      </c>
      <c r="P1318" cm="1">
        <f t="array" ref="P1318">_xlfn.SWITCH(tbl_analysis_tickets[[#This Row],[customer_satisfaction]],
"Low",1,
"Medium",2,
"High",3
)</f>
        <v>1</v>
      </c>
      <c r="Q1318">
        <f>IF(tbl_analysis_tickets[[#This Row],[reopened]]="Yes",1,0)</f>
        <v>1</v>
      </c>
      <c r="R1318" t="str" cm="1">
        <f t="array" ref="R1318">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318" t="str" cm="1">
        <f t="array" ref="S131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318" t="str">
        <f>TEXT(tbl_analysis_tickets[[#This Row],[created_date]],"mmm-yyyy")</f>
        <v>Jul-2024</v>
      </c>
      <c r="U1318" t="str">
        <f>TEXT(tbl_analysis_tickets[[#This Row],[created_date]],"dddd")</f>
        <v>Sunday</v>
      </c>
      <c r="V1318" cm="1">
        <f t="array" ref="V1318">_xlfn.SWITCH(tbl_analysis_tickets[[#This Row],[priority]],
"Urgent",1,
"High",2,
"Medium",3,
"Low",4
)</f>
        <v>3</v>
      </c>
    </row>
    <row r="1319" spans="1:22" x14ac:dyDescent="0.25">
      <c r="A1319">
        <v>1318</v>
      </c>
      <c r="B1319" s="1">
        <v>45506</v>
      </c>
      <c r="C1319" t="s">
        <v>14</v>
      </c>
      <c r="D1319" t="s">
        <v>20</v>
      </c>
      <c r="E1319">
        <v>77</v>
      </c>
      <c r="F1319">
        <v>26</v>
      </c>
      <c r="G1319">
        <v>5.2</v>
      </c>
      <c r="H1319" t="s">
        <v>18</v>
      </c>
      <c r="I1319" t="s">
        <v>16</v>
      </c>
      <c r="J1319" t="s">
        <v>11</v>
      </c>
      <c r="K1319">
        <f>_xlfn.XLOOKUP(tbl_analysis_tickets[[#This Row],[priority]],tbl_sla[priority],tbl_sla[Resolution SLA Hours])</f>
        <v>24</v>
      </c>
      <c r="L1319">
        <f>_xlfn.XLOOKUP(tbl_analysis_tickets[[#This Row],[priority]],tbl_sla[priority],tbl_sla[First Response SLA Minutes])</f>
        <v>60</v>
      </c>
      <c r="M1319" t="str">
        <f>IF(tbl_analysis_tickets[[#This Row],[resolution_time_hours]]&gt;tbl_analysis_tickets[[#This Row],[Resolution SLA Hours]],"Breached","Within SLA")</f>
        <v>Breached</v>
      </c>
      <c r="N1319" t="str">
        <f>IF(tbl_analysis_tickets[[#This Row],[first_response_minutes]]&gt;tbl_analysis_tickets[[#This Row],[First Response SLA Minutes]],"Breached","Within SLA")</f>
        <v>Breached</v>
      </c>
      <c r="O1319" t="str" cm="1">
        <f t="array" ref="O1319">_xlfn.IFS(
tbl_analysis_tickets[[#This Row],[agent_experience_years]]&lt;=2,"Junior",
tbl_analysis_tickets[[#This Row],[agent_experience_years]]&lt;=5,"Mid-Level",
tbl_analysis_tickets[[#This Row],[agent_experience_years]]&lt;=8,"Senior",
tbl_analysis_tickets[[#This Row],[agent_experience_years]]&gt;8,"Expert"
)</f>
        <v>Senior</v>
      </c>
      <c r="P1319" cm="1">
        <f t="array" ref="P1319">_xlfn.SWITCH(tbl_analysis_tickets[[#This Row],[customer_satisfaction]],
"Low",1,
"Medium",2,
"High",3
)</f>
        <v>1</v>
      </c>
      <c r="Q1319">
        <f>IF(tbl_analysis_tickets[[#This Row],[reopened]]="Yes",1,0)</f>
        <v>0</v>
      </c>
      <c r="R1319" t="str" cm="1">
        <f t="array" ref="R1319">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319" t="str" cm="1">
        <f t="array" ref="S131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319" t="str">
        <f>TEXT(tbl_analysis_tickets[[#This Row],[created_date]],"mmm-yyyy")</f>
        <v>Aug-2024</v>
      </c>
      <c r="U1319" t="str">
        <f>TEXT(tbl_analysis_tickets[[#This Row],[created_date]],"dddd")</f>
        <v>Friday</v>
      </c>
      <c r="V1319" cm="1">
        <f t="array" ref="V1319">_xlfn.SWITCH(tbl_analysis_tickets[[#This Row],[priority]],
"Urgent",1,
"High",2,
"Medium",3,
"Low",4
)</f>
        <v>2</v>
      </c>
    </row>
    <row r="1320" spans="1:22" x14ac:dyDescent="0.25">
      <c r="A1320">
        <v>1319</v>
      </c>
      <c r="B1320" s="1">
        <v>45500</v>
      </c>
      <c r="C1320" t="s">
        <v>23</v>
      </c>
      <c r="D1320" t="s">
        <v>11</v>
      </c>
      <c r="E1320">
        <v>233</v>
      </c>
      <c r="F1320">
        <v>15</v>
      </c>
      <c r="G1320">
        <v>0.9</v>
      </c>
      <c r="H1320" t="s">
        <v>12</v>
      </c>
      <c r="I1320" t="s">
        <v>19</v>
      </c>
      <c r="J1320" t="s">
        <v>11</v>
      </c>
      <c r="K1320">
        <f>_xlfn.XLOOKUP(tbl_analysis_tickets[[#This Row],[priority]],tbl_sla[priority],tbl_sla[Resolution SLA Hours])</f>
        <v>72</v>
      </c>
      <c r="L1320">
        <f>_xlfn.XLOOKUP(tbl_analysis_tickets[[#This Row],[priority]],tbl_sla[priority],tbl_sla[First Response SLA Minutes])</f>
        <v>240</v>
      </c>
      <c r="M1320" t="str">
        <f>IF(tbl_analysis_tickets[[#This Row],[resolution_time_hours]]&gt;tbl_analysis_tickets[[#This Row],[Resolution SLA Hours]],"Breached","Within SLA")</f>
        <v>Within SLA</v>
      </c>
      <c r="N1320" t="str">
        <f>IF(tbl_analysis_tickets[[#This Row],[first_response_minutes]]&gt;tbl_analysis_tickets[[#This Row],[First Response SLA Minutes]],"Breached","Within SLA")</f>
        <v>Within SLA</v>
      </c>
      <c r="O1320" t="str" cm="1">
        <f t="array" ref="O1320">_xlfn.IFS(
tbl_analysis_tickets[[#This Row],[agent_experience_years]]&lt;=2,"Junior",
tbl_analysis_tickets[[#This Row],[agent_experience_years]]&lt;=5,"Mid-Level",
tbl_analysis_tickets[[#This Row],[agent_experience_years]]&lt;=8,"Senior",
tbl_analysis_tickets[[#This Row],[agent_experience_years]]&gt;8,"Expert"
)</f>
        <v>Junior</v>
      </c>
      <c r="P1320" cm="1">
        <f t="array" ref="P1320">_xlfn.SWITCH(tbl_analysis_tickets[[#This Row],[customer_satisfaction]],
"Low",1,
"Medium",2,
"High",3
)</f>
        <v>1</v>
      </c>
      <c r="Q1320">
        <f>IF(tbl_analysis_tickets[[#This Row],[reopened]]="Yes",1,0)</f>
        <v>1</v>
      </c>
      <c r="R1320" t="str" cm="1">
        <f t="array" ref="R1320">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320" t="str" cm="1">
        <f t="array" ref="S132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320" t="str">
        <f>TEXT(tbl_analysis_tickets[[#This Row],[created_date]],"mmm-yyyy")</f>
        <v>Jul-2024</v>
      </c>
      <c r="U1320" t="str">
        <f>TEXT(tbl_analysis_tickets[[#This Row],[created_date]],"dddd")</f>
        <v>Saturday</v>
      </c>
      <c r="V1320" cm="1">
        <f t="array" ref="V1320">_xlfn.SWITCH(tbl_analysis_tickets[[#This Row],[priority]],
"Urgent",1,
"High",2,
"Medium",3,
"Low",4
)</f>
        <v>4</v>
      </c>
    </row>
    <row r="1321" spans="1:22" x14ac:dyDescent="0.25">
      <c r="A1321">
        <v>1320</v>
      </c>
      <c r="B1321" s="1">
        <v>45561</v>
      </c>
      <c r="C1321" t="s">
        <v>21</v>
      </c>
      <c r="D1321" t="s">
        <v>20</v>
      </c>
      <c r="E1321">
        <v>60</v>
      </c>
      <c r="F1321">
        <v>68</v>
      </c>
      <c r="G1321">
        <v>6.9</v>
      </c>
      <c r="H1321" t="s">
        <v>18</v>
      </c>
      <c r="I1321" t="s">
        <v>16</v>
      </c>
      <c r="J1321" t="s">
        <v>11</v>
      </c>
      <c r="K1321">
        <f>_xlfn.XLOOKUP(tbl_analysis_tickets[[#This Row],[priority]],tbl_sla[priority],tbl_sla[Resolution SLA Hours])</f>
        <v>24</v>
      </c>
      <c r="L1321">
        <f>_xlfn.XLOOKUP(tbl_analysis_tickets[[#This Row],[priority]],tbl_sla[priority],tbl_sla[First Response SLA Minutes])</f>
        <v>60</v>
      </c>
      <c r="M1321" t="str">
        <f>IF(tbl_analysis_tickets[[#This Row],[resolution_time_hours]]&gt;tbl_analysis_tickets[[#This Row],[Resolution SLA Hours]],"Breached","Within SLA")</f>
        <v>Breached</v>
      </c>
      <c r="N1321" t="str">
        <f>IF(tbl_analysis_tickets[[#This Row],[first_response_minutes]]&gt;tbl_analysis_tickets[[#This Row],[First Response SLA Minutes]],"Breached","Within SLA")</f>
        <v>Within SLA</v>
      </c>
      <c r="O1321" t="str" cm="1">
        <f t="array" ref="O1321">_xlfn.IFS(
tbl_analysis_tickets[[#This Row],[agent_experience_years]]&lt;=2,"Junior",
tbl_analysis_tickets[[#This Row],[agent_experience_years]]&lt;=5,"Mid-Level",
tbl_analysis_tickets[[#This Row],[agent_experience_years]]&lt;=8,"Senior",
tbl_analysis_tickets[[#This Row],[agent_experience_years]]&gt;8,"Expert"
)</f>
        <v>Senior</v>
      </c>
      <c r="P1321" cm="1">
        <f t="array" ref="P1321">_xlfn.SWITCH(tbl_analysis_tickets[[#This Row],[customer_satisfaction]],
"Low",1,
"Medium",2,
"High",3
)</f>
        <v>1</v>
      </c>
      <c r="Q1321">
        <f>IF(tbl_analysis_tickets[[#This Row],[reopened]]="Yes",1,0)</f>
        <v>0</v>
      </c>
      <c r="R1321" t="str" cm="1">
        <f t="array" ref="R1321">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321" t="str" cm="1">
        <f t="array" ref="S132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321" t="str">
        <f>TEXT(tbl_analysis_tickets[[#This Row],[created_date]],"mmm-yyyy")</f>
        <v>Sep-2024</v>
      </c>
      <c r="U1321" t="str">
        <f>TEXT(tbl_analysis_tickets[[#This Row],[created_date]],"dddd")</f>
        <v>Thursday</v>
      </c>
      <c r="V1321" cm="1">
        <f t="array" ref="V1321">_xlfn.SWITCH(tbl_analysis_tickets[[#This Row],[priority]],
"Urgent",1,
"High",2,
"Medium",3,
"Low",4
)</f>
        <v>2</v>
      </c>
    </row>
    <row r="1322" spans="1:22" x14ac:dyDescent="0.25">
      <c r="A1322">
        <v>1321</v>
      </c>
      <c r="B1322" s="1">
        <v>45343</v>
      </c>
      <c r="C1322" t="s">
        <v>14</v>
      </c>
      <c r="D1322" t="s">
        <v>11</v>
      </c>
      <c r="E1322">
        <v>132</v>
      </c>
      <c r="F1322">
        <v>27</v>
      </c>
      <c r="G1322">
        <v>4.2</v>
      </c>
      <c r="H1322" t="s">
        <v>18</v>
      </c>
      <c r="I1322" t="s">
        <v>19</v>
      </c>
      <c r="J1322" t="s">
        <v>11</v>
      </c>
      <c r="K1322">
        <f>_xlfn.XLOOKUP(tbl_analysis_tickets[[#This Row],[priority]],tbl_sla[priority],tbl_sla[Resolution SLA Hours])</f>
        <v>72</v>
      </c>
      <c r="L1322">
        <f>_xlfn.XLOOKUP(tbl_analysis_tickets[[#This Row],[priority]],tbl_sla[priority],tbl_sla[First Response SLA Minutes])</f>
        <v>240</v>
      </c>
      <c r="M1322" t="str">
        <f>IF(tbl_analysis_tickets[[#This Row],[resolution_time_hours]]&gt;tbl_analysis_tickets[[#This Row],[Resolution SLA Hours]],"Breached","Within SLA")</f>
        <v>Within SLA</v>
      </c>
      <c r="N1322" t="str">
        <f>IF(tbl_analysis_tickets[[#This Row],[first_response_minutes]]&gt;tbl_analysis_tickets[[#This Row],[First Response SLA Minutes]],"Breached","Within SLA")</f>
        <v>Within SLA</v>
      </c>
      <c r="O1322" t="str" cm="1">
        <f t="array" ref="O1322">_xlfn.IFS(
tbl_analysis_tickets[[#This Row],[agent_experience_years]]&lt;=2,"Junior",
tbl_analysis_tickets[[#This Row],[agent_experience_years]]&lt;=5,"Mid-Level",
tbl_analysis_tickets[[#This Row],[agent_experience_years]]&lt;=8,"Senior",
tbl_analysis_tickets[[#This Row],[agent_experience_years]]&gt;8,"Expert"
)</f>
        <v>Mid-Level</v>
      </c>
      <c r="P1322" cm="1">
        <f t="array" ref="P1322">_xlfn.SWITCH(tbl_analysis_tickets[[#This Row],[customer_satisfaction]],
"Low",1,
"Medium",2,
"High",3
)</f>
        <v>1</v>
      </c>
      <c r="Q1322">
        <f>IF(tbl_analysis_tickets[[#This Row],[reopened]]="Yes",1,0)</f>
        <v>0</v>
      </c>
      <c r="R1322" t="str" cm="1">
        <f t="array" ref="R1322">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322" t="str" cm="1">
        <f t="array" ref="S132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322" t="str">
        <f>TEXT(tbl_analysis_tickets[[#This Row],[created_date]],"mmm-yyyy")</f>
        <v>Feb-2024</v>
      </c>
      <c r="U1322" t="str">
        <f>TEXT(tbl_analysis_tickets[[#This Row],[created_date]],"dddd")</f>
        <v>Wednesday</v>
      </c>
      <c r="V1322" cm="1">
        <f t="array" ref="V1322">_xlfn.SWITCH(tbl_analysis_tickets[[#This Row],[priority]],
"Urgent",1,
"High",2,
"Medium",3,
"Low",4
)</f>
        <v>4</v>
      </c>
    </row>
    <row r="1323" spans="1:22" x14ac:dyDescent="0.25">
      <c r="A1323">
        <v>1322</v>
      </c>
      <c r="B1323" s="1">
        <v>45580</v>
      </c>
      <c r="C1323" t="s">
        <v>14</v>
      </c>
      <c r="D1323" t="s">
        <v>11</v>
      </c>
      <c r="E1323">
        <v>193</v>
      </c>
      <c r="F1323">
        <v>58</v>
      </c>
      <c r="G1323">
        <v>5.0999999999999996</v>
      </c>
      <c r="H1323" t="s">
        <v>12</v>
      </c>
      <c r="I1323" t="s">
        <v>13</v>
      </c>
      <c r="J1323" t="s">
        <v>11</v>
      </c>
      <c r="K1323">
        <f>_xlfn.XLOOKUP(tbl_analysis_tickets[[#This Row],[priority]],tbl_sla[priority],tbl_sla[Resolution SLA Hours])</f>
        <v>72</v>
      </c>
      <c r="L1323">
        <f>_xlfn.XLOOKUP(tbl_analysis_tickets[[#This Row],[priority]],tbl_sla[priority],tbl_sla[First Response SLA Minutes])</f>
        <v>240</v>
      </c>
      <c r="M1323" t="str">
        <f>IF(tbl_analysis_tickets[[#This Row],[resolution_time_hours]]&gt;tbl_analysis_tickets[[#This Row],[Resolution SLA Hours]],"Breached","Within SLA")</f>
        <v>Within SLA</v>
      </c>
      <c r="N1323" t="str">
        <f>IF(tbl_analysis_tickets[[#This Row],[first_response_minutes]]&gt;tbl_analysis_tickets[[#This Row],[First Response SLA Minutes]],"Breached","Within SLA")</f>
        <v>Within SLA</v>
      </c>
      <c r="O1323" t="str" cm="1">
        <f t="array" ref="O1323">_xlfn.IFS(
tbl_analysis_tickets[[#This Row],[agent_experience_years]]&lt;=2,"Junior",
tbl_analysis_tickets[[#This Row],[agent_experience_years]]&lt;=5,"Mid-Level",
tbl_analysis_tickets[[#This Row],[agent_experience_years]]&lt;=8,"Senior",
tbl_analysis_tickets[[#This Row],[agent_experience_years]]&gt;8,"Expert"
)</f>
        <v>Senior</v>
      </c>
      <c r="P1323" cm="1">
        <f t="array" ref="P1323">_xlfn.SWITCH(tbl_analysis_tickets[[#This Row],[customer_satisfaction]],
"Low",1,
"Medium",2,
"High",3
)</f>
        <v>1</v>
      </c>
      <c r="Q1323">
        <f>IF(tbl_analysis_tickets[[#This Row],[reopened]]="Yes",1,0)</f>
        <v>1</v>
      </c>
      <c r="R1323" t="str" cm="1">
        <f t="array" ref="R1323">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323" t="str" cm="1">
        <f t="array" ref="S132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323" t="str">
        <f>TEXT(tbl_analysis_tickets[[#This Row],[created_date]],"mmm-yyyy")</f>
        <v>Oct-2024</v>
      </c>
      <c r="U1323" t="str">
        <f>TEXT(tbl_analysis_tickets[[#This Row],[created_date]],"dddd")</f>
        <v>Tuesday</v>
      </c>
      <c r="V1323" cm="1">
        <f t="array" ref="V1323">_xlfn.SWITCH(tbl_analysis_tickets[[#This Row],[priority]],
"Urgent",1,
"High",2,
"Medium",3,
"Low",4
)</f>
        <v>4</v>
      </c>
    </row>
    <row r="1324" spans="1:22" x14ac:dyDescent="0.25">
      <c r="A1324">
        <v>1323</v>
      </c>
      <c r="B1324" s="1">
        <v>45327</v>
      </c>
      <c r="C1324" t="s">
        <v>23</v>
      </c>
      <c r="D1324" t="s">
        <v>20</v>
      </c>
      <c r="E1324">
        <v>119</v>
      </c>
      <c r="F1324">
        <v>19</v>
      </c>
      <c r="G1324">
        <v>8.1999999999999993</v>
      </c>
      <c r="H1324" t="s">
        <v>18</v>
      </c>
      <c r="I1324" t="s">
        <v>13</v>
      </c>
      <c r="J1324" t="s">
        <v>11</v>
      </c>
      <c r="K1324">
        <f>_xlfn.XLOOKUP(tbl_analysis_tickets[[#This Row],[priority]],tbl_sla[priority],tbl_sla[Resolution SLA Hours])</f>
        <v>24</v>
      </c>
      <c r="L1324">
        <f>_xlfn.XLOOKUP(tbl_analysis_tickets[[#This Row],[priority]],tbl_sla[priority],tbl_sla[First Response SLA Minutes])</f>
        <v>60</v>
      </c>
      <c r="M1324" t="str">
        <f>IF(tbl_analysis_tickets[[#This Row],[resolution_time_hours]]&gt;tbl_analysis_tickets[[#This Row],[Resolution SLA Hours]],"Breached","Within SLA")</f>
        <v>Within SLA</v>
      </c>
      <c r="N1324" t="str">
        <f>IF(tbl_analysis_tickets[[#This Row],[first_response_minutes]]&gt;tbl_analysis_tickets[[#This Row],[First Response SLA Minutes]],"Breached","Within SLA")</f>
        <v>Breached</v>
      </c>
      <c r="O1324" t="str" cm="1">
        <f t="array" ref="O1324">_xlfn.IFS(
tbl_analysis_tickets[[#This Row],[agent_experience_years]]&lt;=2,"Junior",
tbl_analysis_tickets[[#This Row],[agent_experience_years]]&lt;=5,"Mid-Level",
tbl_analysis_tickets[[#This Row],[agent_experience_years]]&lt;=8,"Senior",
tbl_analysis_tickets[[#This Row],[agent_experience_years]]&gt;8,"Expert"
)</f>
        <v>Expert</v>
      </c>
      <c r="P1324" cm="1">
        <f t="array" ref="P1324">_xlfn.SWITCH(tbl_analysis_tickets[[#This Row],[customer_satisfaction]],
"Low",1,
"Medium",2,
"High",3
)</f>
        <v>1</v>
      </c>
      <c r="Q1324">
        <f>IF(tbl_analysis_tickets[[#This Row],[reopened]]="Yes",1,0)</f>
        <v>0</v>
      </c>
      <c r="R1324" t="str" cm="1">
        <f t="array" ref="R1324">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324" t="str" cm="1">
        <f t="array" ref="S132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324" t="str">
        <f>TEXT(tbl_analysis_tickets[[#This Row],[created_date]],"mmm-yyyy")</f>
        <v>Feb-2024</v>
      </c>
      <c r="U1324" t="str">
        <f>TEXT(tbl_analysis_tickets[[#This Row],[created_date]],"dddd")</f>
        <v>Monday</v>
      </c>
      <c r="V1324" cm="1">
        <f t="array" ref="V1324">_xlfn.SWITCH(tbl_analysis_tickets[[#This Row],[priority]],
"Urgent",1,
"High",2,
"Medium",3,
"Low",4
)</f>
        <v>2</v>
      </c>
    </row>
    <row r="1325" spans="1:22" x14ac:dyDescent="0.25">
      <c r="A1325">
        <v>1324</v>
      </c>
      <c r="B1325" s="1">
        <v>45538</v>
      </c>
      <c r="C1325" t="s">
        <v>21</v>
      </c>
      <c r="D1325" t="s">
        <v>20</v>
      </c>
      <c r="E1325">
        <v>48</v>
      </c>
      <c r="F1325">
        <v>9</v>
      </c>
      <c r="G1325">
        <v>9.8000000000000007</v>
      </c>
      <c r="H1325" t="s">
        <v>18</v>
      </c>
      <c r="I1325" t="s">
        <v>13</v>
      </c>
      <c r="J1325" t="s">
        <v>11</v>
      </c>
      <c r="K1325">
        <f>_xlfn.XLOOKUP(tbl_analysis_tickets[[#This Row],[priority]],tbl_sla[priority],tbl_sla[Resolution SLA Hours])</f>
        <v>24</v>
      </c>
      <c r="L1325">
        <f>_xlfn.XLOOKUP(tbl_analysis_tickets[[#This Row],[priority]],tbl_sla[priority],tbl_sla[First Response SLA Minutes])</f>
        <v>60</v>
      </c>
      <c r="M1325" t="str">
        <f>IF(tbl_analysis_tickets[[#This Row],[resolution_time_hours]]&gt;tbl_analysis_tickets[[#This Row],[Resolution SLA Hours]],"Breached","Within SLA")</f>
        <v>Within SLA</v>
      </c>
      <c r="N1325" t="str">
        <f>IF(tbl_analysis_tickets[[#This Row],[first_response_minutes]]&gt;tbl_analysis_tickets[[#This Row],[First Response SLA Minutes]],"Breached","Within SLA")</f>
        <v>Within SLA</v>
      </c>
      <c r="O1325" t="str" cm="1">
        <f t="array" ref="O1325">_xlfn.IFS(
tbl_analysis_tickets[[#This Row],[agent_experience_years]]&lt;=2,"Junior",
tbl_analysis_tickets[[#This Row],[agent_experience_years]]&lt;=5,"Mid-Level",
tbl_analysis_tickets[[#This Row],[agent_experience_years]]&lt;=8,"Senior",
tbl_analysis_tickets[[#This Row],[agent_experience_years]]&gt;8,"Expert"
)</f>
        <v>Expert</v>
      </c>
      <c r="P1325" cm="1">
        <f t="array" ref="P1325">_xlfn.SWITCH(tbl_analysis_tickets[[#This Row],[customer_satisfaction]],
"Low",1,
"Medium",2,
"High",3
)</f>
        <v>1</v>
      </c>
      <c r="Q1325">
        <f>IF(tbl_analysis_tickets[[#This Row],[reopened]]="Yes",1,0)</f>
        <v>0</v>
      </c>
      <c r="R1325" t="str" cm="1">
        <f t="array" ref="R1325">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325" t="str" cm="1">
        <f t="array" ref="S132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325" t="str">
        <f>TEXT(tbl_analysis_tickets[[#This Row],[created_date]],"mmm-yyyy")</f>
        <v>Sep-2024</v>
      </c>
      <c r="U1325" t="str">
        <f>TEXT(tbl_analysis_tickets[[#This Row],[created_date]],"dddd")</f>
        <v>Tuesday</v>
      </c>
      <c r="V1325" cm="1">
        <f t="array" ref="V1325">_xlfn.SWITCH(tbl_analysis_tickets[[#This Row],[priority]],
"Urgent",1,
"High",2,
"Medium",3,
"Low",4
)</f>
        <v>2</v>
      </c>
    </row>
    <row r="1326" spans="1:22" x14ac:dyDescent="0.25">
      <c r="A1326">
        <v>1325</v>
      </c>
      <c r="B1326" s="1">
        <v>45454</v>
      </c>
      <c r="C1326" t="s">
        <v>23</v>
      </c>
      <c r="D1326" t="s">
        <v>15</v>
      </c>
      <c r="E1326">
        <v>158</v>
      </c>
      <c r="F1326">
        <v>10</v>
      </c>
      <c r="G1326">
        <v>5.7</v>
      </c>
      <c r="H1326" t="s">
        <v>18</v>
      </c>
      <c r="I1326" t="s">
        <v>16</v>
      </c>
      <c r="J1326" t="s">
        <v>15</v>
      </c>
      <c r="K1326">
        <f>_xlfn.XLOOKUP(tbl_analysis_tickets[[#This Row],[priority]],tbl_sla[priority],tbl_sla[Resolution SLA Hours])</f>
        <v>48</v>
      </c>
      <c r="L1326">
        <f>_xlfn.XLOOKUP(tbl_analysis_tickets[[#This Row],[priority]],tbl_sla[priority],tbl_sla[First Response SLA Minutes])</f>
        <v>120</v>
      </c>
      <c r="M1326" t="str">
        <f>IF(tbl_analysis_tickets[[#This Row],[resolution_time_hours]]&gt;tbl_analysis_tickets[[#This Row],[Resolution SLA Hours]],"Breached","Within SLA")</f>
        <v>Within SLA</v>
      </c>
      <c r="N1326" t="str">
        <f>IF(tbl_analysis_tickets[[#This Row],[first_response_minutes]]&gt;tbl_analysis_tickets[[#This Row],[First Response SLA Minutes]],"Breached","Within SLA")</f>
        <v>Breached</v>
      </c>
      <c r="O1326" t="str" cm="1">
        <f t="array" ref="O1326">_xlfn.IFS(
tbl_analysis_tickets[[#This Row],[agent_experience_years]]&lt;=2,"Junior",
tbl_analysis_tickets[[#This Row],[agent_experience_years]]&lt;=5,"Mid-Level",
tbl_analysis_tickets[[#This Row],[agent_experience_years]]&lt;=8,"Senior",
tbl_analysis_tickets[[#This Row],[agent_experience_years]]&gt;8,"Expert"
)</f>
        <v>Senior</v>
      </c>
      <c r="P1326" cm="1">
        <f t="array" ref="P1326">_xlfn.SWITCH(tbl_analysis_tickets[[#This Row],[customer_satisfaction]],
"Low",1,
"Medium",2,
"High",3
)</f>
        <v>2</v>
      </c>
      <c r="Q1326">
        <f>IF(tbl_analysis_tickets[[#This Row],[reopened]]="Yes",1,0)</f>
        <v>0</v>
      </c>
      <c r="R1326" t="str" cm="1">
        <f t="array" ref="R1326">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326" t="str" cm="1">
        <f t="array" ref="S132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326" t="str">
        <f>TEXT(tbl_analysis_tickets[[#This Row],[created_date]],"mmm-yyyy")</f>
        <v>Jun-2024</v>
      </c>
      <c r="U1326" t="str">
        <f>TEXT(tbl_analysis_tickets[[#This Row],[created_date]],"dddd")</f>
        <v>Tuesday</v>
      </c>
      <c r="V1326" cm="1">
        <f t="array" ref="V1326">_xlfn.SWITCH(tbl_analysis_tickets[[#This Row],[priority]],
"Urgent",1,
"High",2,
"Medium",3,
"Low",4
)</f>
        <v>3</v>
      </c>
    </row>
    <row r="1327" spans="1:22" x14ac:dyDescent="0.25">
      <c r="A1327">
        <v>1326</v>
      </c>
      <c r="B1327" s="1">
        <v>45553</v>
      </c>
      <c r="C1327" t="s">
        <v>21</v>
      </c>
      <c r="D1327" t="s">
        <v>17</v>
      </c>
      <c r="E1327">
        <v>72</v>
      </c>
      <c r="F1327">
        <v>62</v>
      </c>
      <c r="G1327">
        <v>5.4</v>
      </c>
      <c r="H1327" t="s">
        <v>18</v>
      </c>
      <c r="I1327" t="s">
        <v>19</v>
      </c>
      <c r="J1327" t="s">
        <v>11</v>
      </c>
      <c r="K1327">
        <f>_xlfn.XLOOKUP(tbl_analysis_tickets[[#This Row],[priority]],tbl_sla[priority],tbl_sla[Resolution SLA Hours])</f>
        <v>8</v>
      </c>
      <c r="L1327">
        <f>_xlfn.XLOOKUP(tbl_analysis_tickets[[#This Row],[priority]],tbl_sla[priority],tbl_sla[First Response SLA Minutes])</f>
        <v>30</v>
      </c>
      <c r="M1327" t="str">
        <f>IF(tbl_analysis_tickets[[#This Row],[resolution_time_hours]]&gt;tbl_analysis_tickets[[#This Row],[Resolution SLA Hours]],"Breached","Within SLA")</f>
        <v>Breached</v>
      </c>
      <c r="N1327" t="str">
        <f>IF(tbl_analysis_tickets[[#This Row],[first_response_minutes]]&gt;tbl_analysis_tickets[[#This Row],[First Response SLA Minutes]],"Breached","Within SLA")</f>
        <v>Breached</v>
      </c>
      <c r="O1327" t="str" cm="1">
        <f t="array" ref="O1327">_xlfn.IFS(
tbl_analysis_tickets[[#This Row],[agent_experience_years]]&lt;=2,"Junior",
tbl_analysis_tickets[[#This Row],[agent_experience_years]]&lt;=5,"Mid-Level",
tbl_analysis_tickets[[#This Row],[agent_experience_years]]&lt;=8,"Senior",
tbl_analysis_tickets[[#This Row],[agent_experience_years]]&gt;8,"Expert"
)</f>
        <v>Senior</v>
      </c>
      <c r="P1327" cm="1">
        <f t="array" ref="P1327">_xlfn.SWITCH(tbl_analysis_tickets[[#This Row],[customer_satisfaction]],
"Low",1,
"Medium",2,
"High",3
)</f>
        <v>1</v>
      </c>
      <c r="Q1327">
        <f>IF(tbl_analysis_tickets[[#This Row],[reopened]]="Yes",1,0)</f>
        <v>0</v>
      </c>
      <c r="R1327" t="str" cm="1">
        <f t="array" ref="R1327">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327" t="str" cm="1">
        <f t="array" ref="S132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327" t="str">
        <f>TEXT(tbl_analysis_tickets[[#This Row],[created_date]],"mmm-yyyy")</f>
        <v>Sep-2024</v>
      </c>
      <c r="U1327" t="str">
        <f>TEXT(tbl_analysis_tickets[[#This Row],[created_date]],"dddd")</f>
        <v>Wednesday</v>
      </c>
      <c r="V1327" cm="1">
        <f t="array" ref="V1327">_xlfn.SWITCH(tbl_analysis_tickets[[#This Row],[priority]],
"Urgent",1,
"High",2,
"Medium",3,
"Low",4
)</f>
        <v>1</v>
      </c>
    </row>
    <row r="1328" spans="1:22" x14ac:dyDescent="0.25">
      <c r="A1328">
        <v>1327</v>
      </c>
      <c r="B1328" s="1">
        <v>45298</v>
      </c>
      <c r="C1328" t="s">
        <v>10</v>
      </c>
      <c r="D1328" t="s">
        <v>20</v>
      </c>
      <c r="E1328">
        <v>117</v>
      </c>
      <c r="F1328">
        <v>68</v>
      </c>
      <c r="G1328">
        <v>1.6</v>
      </c>
      <c r="H1328" t="s">
        <v>12</v>
      </c>
      <c r="I1328" t="s">
        <v>19</v>
      </c>
      <c r="J1328" t="s">
        <v>11</v>
      </c>
      <c r="K1328">
        <f>_xlfn.XLOOKUP(tbl_analysis_tickets[[#This Row],[priority]],tbl_sla[priority],tbl_sla[Resolution SLA Hours])</f>
        <v>24</v>
      </c>
      <c r="L1328">
        <f>_xlfn.XLOOKUP(tbl_analysis_tickets[[#This Row],[priority]],tbl_sla[priority],tbl_sla[First Response SLA Minutes])</f>
        <v>60</v>
      </c>
      <c r="M1328" t="str">
        <f>IF(tbl_analysis_tickets[[#This Row],[resolution_time_hours]]&gt;tbl_analysis_tickets[[#This Row],[Resolution SLA Hours]],"Breached","Within SLA")</f>
        <v>Breached</v>
      </c>
      <c r="N1328" t="str">
        <f>IF(tbl_analysis_tickets[[#This Row],[first_response_minutes]]&gt;tbl_analysis_tickets[[#This Row],[First Response SLA Minutes]],"Breached","Within SLA")</f>
        <v>Breached</v>
      </c>
      <c r="O1328" t="str" cm="1">
        <f t="array" ref="O1328">_xlfn.IFS(
tbl_analysis_tickets[[#This Row],[agent_experience_years]]&lt;=2,"Junior",
tbl_analysis_tickets[[#This Row],[agent_experience_years]]&lt;=5,"Mid-Level",
tbl_analysis_tickets[[#This Row],[agent_experience_years]]&lt;=8,"Senior",
tbl_analysis_tickets[[#This Row],[agent_experience_years]]&gt;8,"Expert"
)</f>
        <v>Junior</v>
      </c>
      <c r="P1328" cm="1">
        <f t="array" ref="P1328">_xlfn.SWITCH(tbl_analysis_tickets[[#This Row],[customer_satisfaction]],
"Low",1,
"Medium",2,
"High",3
)</f>
        <v>1</v>
      </c>
      <c r="Q1328">
        <f>IF(tbl_analysis_tickets[[#This Row],[reopened]]="Yes",1,0)</f>
        <v>1</v>
      </c>
      <c r="R1328" t="str" cm="1">
        <f t="array" ref="R1328">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328" t="str" cm="1">
        <f t="array" ref="S132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328" t="str">
        <f>TEXT(tbl_analysis_tickets[[#This Row],[created_date]],"mmm-yyyy")</f>
        <v>Jan-2024</v>
      </c>
      <c r="U1328" t="str">
        <f>TEXT(tbl_analysis_tickets[[#This Row],[created_date]],"dddd")</f>
        <v>Sunday</v>
      </c>
      <c r="V1328" cm="1">
        <f t="array" ref="V1328">_xlfn.SWITCH(tbl_analysis_tickets[[#This Row],[priority]],
"Urgent",1,
"High",2,
"Medium",3,
"Low",4
)</f>
        <v>2</v>
      </c>
    </row>
    <row r="1329" spans="1:22" x14ac:dyDescent="0.25">
      <c r="A1329">
        <v>1328</v>
      </c>
      <c r="B1329" s="1">
        <v>45477</v>
      </c>
      <c r="C1329" t="s">
        <v>23</v>
      </c>
      <c r="D1329" t="s">
        <v>11</v>
      </c>
      <c r="E1329">
        <v>186</v>
      </c>
      <c r="F1329">
        <v>7</v>
      </c>
      <c r="G1329">
        <v>1</v>
      </c>
      <c r="H1329" t="s">
        <v>12</v>
      </c>
      <c r="I1329" t="s">
        <v>13</v>
      </c>
      <c r="J1329" t="s">
        <v>11</v>
      </c>
      <c r="K1329">
        <f>_xlfn.XLOOKUP(tbl_analysis_tickets[[#This Row],[priority]],tbl_sla[priority],tbl_sla[Resolution SLA Hours])</f>
        <v>72</v>
      </c>
      <c r="L1329">
        <f>_xlfn.XLOOKUP(tbl_analysis_tickets[[#This Row],[priority]],tbl_sla[priority],tbl_sla[First Response SLA Minutes])</f>
        <v>240</v>
      </c>
      <c r="M1329" t="str">
        <f>IF(tbl_analysis_tickets[[#This Row],[resolution_time_hours]]&gt;tbl_analysis_tickets[[#This Row],[Resolution SLA Hours]],"Breached","Within SLA")</f>
        <v>Within SLA</v>
      </c>
      <c r="N1329" t="str">
        <f>IF(tbl_analysis_tickets[[#This Row],[first_response_minutes]]&gt;tbl_analysis_tickets[[#This Row],[First Response SLA Minutes]],"Breached","Within SLA")</f>
        <v>Within SLA</v>
      </c>
      <c r="O1329" t="str" cm="1">
        <f t="array" ref="O1329">_xlfn.IFS(
tbl_analysis_tickets[[#This Row],[agent_experience_years]]&lt;=2,"Junior",
tbl_analysis_tickets[[#This Row],[agent_experience_years]]&lt;=5,"Mid-Level",
tbl_analysis_tickets[[#This Row],[agent_experience_years]]&lt;=8,"Senior",
tbl_analysis_tickets[[#This Row],[agent_experience_years]]&gt;8,"Expert"
)</f>
        <v>Junior</v>
      </c>
      <c r="P1329" cm="1">
        <f t="array" ref="P1329">_xlfn.SWITCH(tbl_analysis_tickets[[#This Row],[customer_satisfaction]],
"Low",1,
"Medium",2,
"High",3
)</f>
        <v>1</v>
      </c>
      <c r="Q1329">
        <f>IF(tbl_analysis_tickets[[#This Row],[reopened]]="Yes",1,0)</f>
        <v>1</v>
      </c>
      <c r="R1329" t="str" cm="1">
        <f t="array" ref="R1329">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329" t="str" cm="1">
        <f t="array" ref="S132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1329" t="str">
        <f>TEXT(tbl_analysis_tickets[[#This Row],[created_date]],"mmm-yyyy")</f>
        <v>Jul-2024</v>
      </c>
      <c r="U1329" t="str">
        <f>TEXT(tbl_analysis_tickets[[#This Row],[created_date]],"dddd")</f>
        <v>Thursday</v>
      </c>
      <c r="V1329" cm="1">
        <f t="array" ref="V1329">_xlfn.SWITCH(tbl_analysis_tickets[[#This Row],[priority]],
"Urgent",1,
"High",2,
"Medium",3,
"Low",4
)</f>
        <v>4</v>
      </c>
    </row>
    <row r="1330" spans="1:22" x14ac:dyDescent="0.25">
      <c r="A1330">
        <v>1329</v>
      </c>
      <c r="B1330" s="1">
        <v>45538</v>
      </c>
      <c r="C1330" t="s">
        <v>14</v>
      </c>
      <c r="D1330" t="s">
        <v>17</v>
      </c>
      <c r="E1330">
        <v>94</v>
      </c>
      <c r="F1330">
        <v>40</v>
      </c>
      <c r="G1330">
        <v>4.2</v>
      </c>
      <c r="H1330" t="s">
        <v>12</v>
      </c>
      <c r="I1330" t="s">
        <v>19</v>
      </c>
      <c r="J1330" t="s">
        <v>11</v>
      </c>
      <c r="K1330">
        <f>_xlfn.XLOOKUP(tbl_analysis_tickets[[#This Row],[priority]],tbl_sla[priority],tbl_sla[Resolution SLA Hours])</f>
        <v>8</v>
      </c>
      <c r="L1330">
        <f>_xlfn.XLOOKUP(tbl_analysis_tickets[[#This Row],[priority]],tbl_sla[priority],tbl_sla[First Response SLA Minutes])</f>
        <v>30</v>
      </c>
      <c r="M1330" t="str">
        <f>IF(tbl_analysis_tickets[[#This Row],[resolution_time_hours]]&gt;tbl_analysis_tickets[[#This Row],[Resolution SLA Hours]],"Breached","Within SLA")</f>
        <v>Breached</v>
      </c>
      <c r="N1330" t="str">
        <f>IF(tbl_analysis_tickets[[#This Row],[first_response_minutes]]&gt;tbl_analysis_tickets[[#This Row],[First Response SLA Minutes]],"Breached","Within SLA")</f>
        <v>Breached</v>
      </c>
      <c r="O1330" t="str" cm="1">
        <f t="array" ref="O1330">_xlfn.IFS(
tbl_analysis_tickets[[#This Row],[agent_experience_years]]&lt;=2,"Junior",
tbl_analysis_tickets[[#This Row],[agent_experience_years]]&lt;=5,"Mid-Level",
tbl_analysis_tickets[[#This Row],[agent_experience_years]]&lt;=8,"Senior",
tbl_analysis_tickets[[#This Row],[agent_experience_years]]&gt;8,"Expert"
)</f>
        <v>Mid-Level</v>
      </c>
      <c r="P1330" cm="1">
        <f t="array" ref="P1330">_xlfn.SWITCH(tbl_analysis_tickets[[#This Row],[customer_satisfaction]],
"Low",1,
"Medium",2,
"High",3
)</f>
        <v>1</v>
      </c>
      <c r="Q1330">
        <f>IF(tbl_analysis_tickets[[#This Row],[reopened]]="Yes",1,0)</f>
        <v>1</v>
      </c>
      <c r="R1330" t="str" cm="1">
        <f t="array" ref="R1330">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330" t="str" cm="1">
        <f t="array" ref="S133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330" t="str">
        <f>TEXT(tbl_analysis_tickets[[#This Row],[created_date]],"mmm-yyyy")</f>
        <v>Sep-2024</v>
      </c>
      <c r="U1330" t="str">
        <f>TEXT(tbl_analysis_tickets[[#This Row],[created_date]],"dddd")</f>
        <v>Tuesday</v>
      </c>
      <c r="V1330" cm="1">
        <f t="array" ref="V1330">_xlfn.SWITCH(tbl_analysis_tickets[[#This Row],[priority]],
"Urgent",1,
"High",2,
"Medium",3,
"Low",4
)</f>
        <v>1</v>
      </c>
    </row>
    <row r="1331" spans="1:22" x14ac:dyDescent="0.25">
      <c r="A1331">
        <v>1330</v>
      </c>
      <c r="B1331" s="1">
        <v>45297</v>
      </c>
      <c r="C1331" t="s">
        <v>14</v>
      </c>
      <c r="D1331" t="s">
        <v>15</v>
      </c>
      <c r="E1331">
        <v>166</v>
      </c>
      <c r="F1331">
        <v>51</v>
      </c>
      <c r="G1331">
        <v>9.9</v>
      </c>
      <c r="H1331" t="s">
        <v>12</v>
      </c>
      <c r="I1331" t="s">
        <v>13</v>
      </c>
      <c r="J1331" t="s">
        <v>11</v>
      </c>
      <c r="K1331">
        <f>_xlfn.XLOOKUP(tbl_analysis_tickets[[#This Row],[priority]],tbl_sla[priority],tbl_sla[Resolution SLA Hours])</f>
        <v>48</v>
      </c>
      <c r="L1331">
        <f>_xlfn.XLOOKUP(tbl_analysis_tickets[[#This Row],[priority]],tbl_sla[priority],tbl_sla[First Response SLA Minutes])</f>
        <v>120</v>
      </c>
      <c r="M1331" t="str">
        <f>IF(tbl_analysis_tickets[[#This Row],[resolution_time_hours]]&gt;tbl_analysis_tickets[[#This Row],[Resolution SLA Hours]],"Breached","Within SLA")</f>
        <v>Breached</v>
      </c>
      <c r="N1331" t="str">
        <f>IF(tbl_analysis_tickets[[#This Row],[first_response_minutes]]&gt;tbl_analysis_tickets[[#This Row],[First Response SLA Minutes]],"Breached","Within SLA")</f>
        <v>Breached</v>
      </c>
      <c r="O1331" t="str" cm="1">
        <f t="array" ref="O1331">_xlfn.IFS(
tbl_analysis_tickets[[#This Row],[agent_experience_years]]&lt;=2,"Junior",
tbl_analysis_tickets[[#This Row],[agent_experience_years]]&lt;=5,"Mid-Level",
tbl_analysis_tickets[[#This Row],[agent_experience_years]]&lt;=8,"Senior",
tbl_analysis_tickets[[#This Row],[agent_experience_years]]&gt;8,"Expert"
)</f>
        <v>Expert</v>
      </c>
      <c r="P1331" cm="1">
        <f t="array" ref="P1331">_xlfn.SWITCH(tbl_analysis_tickets[[#This Row],[customer_satisfaction]],
"Low",1,
"Medium",2,
"High",3
)</f>
        <v>1</v>
      </c>
      <c r="Q1331">
        <f>IF(tbl_analysis_tickets[[#This Row],[reopened]]="Yes",1,0)</f>
        <v>1</v>
      </c>
      <c r="R1331" t="str" cm="1">
        <f t="array" ref="R1331">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331" t="str" cm="1">
        <f t="array" ref="S133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331" t="str">
        <f>TEXT(tbl_analysis_tickets[[#This Row],[created_date]],"mmm-yyyy")</f>
        <v>Jan-2024</v>
      </c>
      <c r="U1331" t="str">
        <f>TEXT(tbl_analysis_tickets[[#This Row],[created_date]],"dddd")</f>
        <v>Saturday</v>
      </c>
      <c r="V1331" cm="1">
        <f t="array" ref="V1331">_xlfn.SWITCH(tbl_analysis_tickets[[#This Row],[priority]],
"Urgent",1,
"High",2,
"Medium",3,
"Low",4
)</f>
        <v>3</v>
      </c>
    </row>
    <row r="1332" spans="1:22" x14ac:dyDescent="0.25">
      <c r="A1332">
        <v>1331</v>
      </c>
      <c r="B1332" s="1">
        <v>45467</v>
      </c>
      <c r="C1332" t="s">
        <v>14</v>
      </c>
      <c r="D1332" t="s">
        <v>11</v>
      </c>
      <c r="E1332">
        <v>146</v>
      </c>
      <c r="F1332">
        <v>53</v>
      </c>
      <c r="G1332">
        <v>7.4</v>
      </c>
      <c r="H1332" t="s">
        <v>18</v>
      </c>
      <c r="I1332" t="s">
        <v>19</v>
      </c>
      <c r="J1332" t="s">
        <v>15</v>
      </c>
      <c r="K1332">
        <f>_xlfn.XLOOKUP(tbl_analysis_tickets[[#This Row],[priority]],tbl_sla[priority],tbl_sla[Resolution SLA Hours])</f>
        <v>72</v>
      </c>
      <c r="L1332">
        <f>_xlfn.XLOOKUP(tbl_analysis_tickets[[#This Row],[priority]],tbl_sla[priority],tbl_sla[First Response SLA Minutes])</f>
        <v>240</v>
      </c>
      <c r="M1332" t="str">
        <f>IF(tbl_analysis_tickets[[#This Row],[resolution_time_hours]]&gt;tbl_analysis_tickets[[#This Row],[Resolution SLA Hours]],"Breached","Within SLA")</f>
        <v>Within SLA</v>
      </c>
      <c r="N1332" t="str">
        <f>IF(tbl_analysis_tickets[[#This Row],[first_response_minutes]]&gt;tbl_analysis_tickets[[#This Row],[First Response SLA Minutes]],"Breached","Within SLA")</f>
        <v>Within SLA</v>
      </c>
      <c r="O1332" t="str" cm="1">
        <f t="array" ref="O1332">_xlfn.IFS(
tbl_analysis_tickets[[#This Row],[agent_experience_years]]&lt;=2,"Junior",
tbl_analysis_tickets[[#This Row],[agent_experience_years]]&lt;=5,"Mid-Level",
tbl_analysis_tickets[[#This Row],[agent_experience_years]]&lt;=8,"Senior",
tbl_analysis_tickets[[#This Row],[agent_experience_years]]&gt;8,"Expert"
)</f>
        <v>Senior</v>
      </c>
      <c r="P1332" cm="1">
        <f t="array" ref="P1332">_xlfn.SWITCH(tbl_analysis_tickets[[#This Row],[customer_satisfaction]],
"Low",1,
"Medium",2,
"High",3
)</f>
        <v>2</v>
      </c>
      <c r="Q1332">
        <f>IF(tbl_analysis_tickets[[#This Row],[reopened]]="Yes",1,0)</f>
        <v>0</v>
      </c>
      <c r="R1332" t="str" cm="1">
        <f t="array" ref="R1332">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332" t="str" cm="1">
        <f t="array" ref="S133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332" t="str">
        <f>TEXT(tbl_analysis_tickets[[#This Row],[created_date]],"mmm-yyyy")</f>
        <v>Jun-2024</v>
      </c>
      <c r="U1332" t="str">
        <f>TEXT(tbl_analysis_tickets[[#This Row],[created_date]],"dddd")</f>
        <v>Monday</v>
      </c>
      <c r="V1332" cm="1">
        <f t="array" ref="V1332">_xlfn.SWITCH(tbl_analysis_tickets[[#This Row],[priority]],
"Urgent",1,
"High",2,
"Medium",3,
"Low",4
)</f>
        <v>4</v>
      </c>
    </row>
    <row r="1333" spans="1:22" x14ac:dyDescent="0.25">
      <c r="A1333">
        <v>1332</v>
      </c>
      <c r="B1333" s="1">
        <v>45641</v>
      </c>
      <c r="C1333" t="s">
        <v>23</v>
      </c>
      <c r="D1333" t="s">
        <v>20</v>
      </c>
      <c r="E1333">
        <v>206</v>
      </c>
      <c r="F1333">
        <v>51</v>
      </c>
      <c r="G1333">
        <v>3.9</v>
      </c>
      <c r="H1333" t="s">
        <v>18</v>
      </c>
      <c r="I1333" t="s">
        <v>13</v>
      </c>
      <c r="J1333" t="s">
        <v>11</v>
      </c>
      <c r="K1333">
        <f>_xlfn.XLOOKUP(tbl_analysis_tickets[[#This Row],[priority]],tbl_sla[priority],tbl_sla[Resolution SLA Hours])</f>
        <v>24</v>
      </c>
      <c r="L1333">
        <f>_xlfn.XLOOKUP(tbl_analysis_tickets[[#This Row],[priority]],tbl_sla[priority],tbl_sla[First Response SLA Minutes])</f>
        <v>60</v>
      </c>
      <c r="M1333" t="str">
        <f>IF(tbl_analysis_tickets[[#This Row],[resolution_time_hours]]&gt;tbl_analysis_tickets[[#This Row],[Resolution SLA Hours]],"Breached","Within SLA")</f>
        <v>Breached</v>
      </c>
      <c r="N1333" t="str">
        <f>IF(tbl_analysis_tickets[[#This Row],[first_response_minutes]]&gt;tbl_analysis_tickets[[#This Row],[First Response SLA Minutes]],"Breached","Within SLA")</f>
        <v>Breached</v>
      </c>
      <c r="O1333" t="str" cm="1">
        <f t="array" ref="O1333">_xlfn.IFS(
tbl_analysis_tickets[[#This Row],[agent_experience_years]]&lt;=2,"Junior",
tbl_analysis_tickets[[#This Row],[agent_experience_years]]&lt;=5,"Mid-Level",
tbl_analysis_tickets[[#This Row],[agent_experience_years]]&lt;=8,"Senior",
tbl_analysis_tickets[[#This Row],[agent_experience_years]]&gt;8,"Expert"
)</f>
        <v>Mid-Level</v>
      </c>
      <c r="P1333" cm="1">
        <f t="array" ref="P1333">_xlfn.SWITCH(tbl_analysis_tickets[[#This Row],[customer_satisfaction]],
"Low",1,
"Medium",2,
"High",3
)</f>
        <v>1</v>
      </c>
      <c r="Q1333">
        <f>IF(tbl_analysis_tickets[[#This Row],[reopened]]="Yes",1,0)</f>
        <v>0</v>
      </c>
      <c r="R1333" t="str" cm="1">
        <f t="array" ref="R1333">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333" t="str" cm="1">
        <f t="array" ref="S133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333" t="str">
        <f>TEXT(tbl_analysis_tickets[[#This Row],[created_date]],"mmm-yyyy")</f>
        <v>Dec-2024</v>
      </c>
      <c r="U1333" t="str">
        <f>TEXT(tbl_analysis_tickets[[#This Row],[created_date]],"dddd")</f>
        <v>Sunday</v>
      </c>
      <c r="V1333" cm="1">
        <f t="array" ref="V1333">_xlfn.SWITCH(tbl_analysis_tickets[[#This Row],[priority]],
"Urgent",1,
"High",2,
"Medium",3,
"Low",4
)</f>
        <v>2</v>
      </c>
    </row>
    <row r="1334" spans="1:22" x14ac:dyDescent="0.25">
      <c r="A1334">
        <v>1333</v>
      </c>
      <c r="B1334" s="1">
        <v>45539</v>
      </c>
      <c r="C1334" t="s">
        <v>21</v>
      </c>
      <c r="D1334" t="s">
        <v>20</v>
      </c>
      <c r="E1334">
        <v>47</v>
      </c>
      <c r="F1334">
        <v>4</v>
      </c>
      <c r="G1334">
        <v>4.4000000000000004</v>
      </c>
      <c r="H1334" t="s">
        <v>18</v>
      </c>
      <c r="I1334" t="s">
        <v>16</v>
      </c>
      <c r="J1334" t="s">
        <v>15</v>
      </c>
      <c r="K1334">
        <f>_xlfn.XLOOKUP(tbl_analysis_tickets[[#This Row],[priority]],tbl_sla[priority],tbl_sla[Resolution SLA Hours])</f>
        <v>24</v>
      </c>
      <c r="L1334">
        <f>_xlfn.XLOOKUP(tbl_analysis_tickets[[#This Row],[priority]],tbl_sla[priority],tbl_sla[First Response SLA Minutes])</f>
        <v>60</v>
      </c>
      <c r="M1334" t="str">
        <f>IF(tbl_analysis_tickets[[#This Row],[resolution_time_hours]]&gt;tbl_analysis_tickets[[#This Row],[Resolution SLA Hours]],"Breached","Within SLA")</f>
        <v>Within SLA</v>
      </c>
      <c r="N1334" t="str">
        <f>IF(tbl_analysis_tickets[[#This Row],[first_response_minutes]]&gt;tbl_analysis_tickets[[#This Row],[First Response SLA Minutes]],"Breached","Within SLA")</f>
        <v>Within SLA</v>
      </c>
      <c r="O1334" t="str" cm="1">
        <f t="array" ref="O1334">_xlfn.IFS(
tbl_analysis_tickets[[#This Row],[agent_experience_years]]&lt;=2,"Junior",
tbl_analysis_tickets[[#This Row],[agent_experience_years]]&lt;=5,"Mid-Level",
tbl_analysis_tickets[[#This Row],[agent_experience_years]]&lt;=8,"Senior",
tbl_analysis_tickets[[#This Row],[agent_experience_years]]&gt;8,"Expert"
)</f>
        <v>Mid-Level</v>
      </c>
      <c r="P1334" cm="1">
        <f t="array" ref="P1334">_xlfn.SWITCH(tbl_analysis_tickets[[#This Row],[customer_satisfaction]],
"Low",1,
"Medium",2,
"High",3
)</f>
        <v>2</v>
      </c>
      <c r="Q1334">
        <f>IF(tbl_analysis_tickets[[#This Row],[reopened]]="Yes",1,0)</f>
        <v>0</v>
      </c>
      <c r="R1334" t="str" cm="1">
        <f t="array" ref="R1334">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334" t="str" cm="1">
        <f t="array" ref="S133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1334" t="str">
        <f>TEXT(tbl_analysis_tickets[[#This Row],[created_date]],"mmm-yyyy")</f>
        <v>Sep-2024</v>
      </c>
      <c r="U1334" t="str">
        <f>TEXT(tbl_analysis_tickets[[#This Row],[created_date]],"dddd")</f>
        <v>Wednesday</v>
      </c>
      <c r="V1334" cm="1">
        <f t="array" ref="V1334">_xlfn.SWITCH(tbl_analysis_tickets[[#This Row],[priority]],
"Urgent",1,
"High",2,
"Medium",3,
"Low",4
)</f>
        <v>2</v>
      </c>
    </row>
    <row r="1335" spans="1:22" x14ac:dyDescent="0.25">
      <c r="A1335">
        <v>1334</v>
      </c>
      <c r="B1335" s="1">
        <v>45594</v>
      </c>
      <c r="C1335" t="s">
        <v>22</v>
      </c>
      <c r="D1335" t="s">
        <v>20</v>
      </c>
      <c r="E1335">
        <v>78</v>
      </c>
      <c r="F1335">
        <v>12</v>
      </c>
      <c r="G1335">
        <v>5.6</v>
      </c>
      <c r="H1335" t="s">
        <v>12</v>
      </c>
      <c r="I1335" t="s">
        <v>19</v>
      </c>
      <c r="J1335" t="s">
        <v>11</v>
      </c>
      <c r="K1335">
        <f>_xlfn.XLOOKUP(tbl_analysis_tickets[[#This Row],[priority]],tbl_sla[priority],tbl_sla[Resolution SLA Hours])</f>
        <v>24</v>
      </c>
      <c r="L1335">
        <f>_xlfn.XLOOKUP(tbl_analysis_tickets[[#This Row],[priority]],tbl_sla[priority],tbl_sla[First Response SLA Minutes])</f>
        <v>60</v>
      </c>
      <c r="M1335" t="str">
        <f>IF(tbl_analysis_tickets[[#This Row],[resolution_time_hours]]&gt;tbl_analysis_tickets[[#This Row],[Resolution SLA Hours]],"Breached","Within SLA")</f>
        <v>Within SLA</v>
      </c>
      <c r="N1335" t="str">
        <f>IF(tbl_analysis_tickets[[#This Row],[first_response_minutes]]&gt;tbl_analysis_tickets[[#This Row],[First Response SLA Minutes]],"Breached","Within SLA")</f>
        <v>Breached</v>
      </c>
      <c r="O1335" t="str" cm="1">
        <f t="array" ref="O1335">_xlfn.IFS(
tbl_analysis_tickets[[#This Row],[agent_experience_years]]&lt;=2,"Junior",
tbl_analysis_tickets[[#This Row],[agent_experience_years]]&lt;=5,"Mid-Level",
tbl_analysis_tickets[[#This Row],[agent_experience_years]]&lt;=8,"Senior",
tbl_analysis_tickets[[#This Row],[agent_experience_years]]&gt;8,"Expert"
)</f>
        <v>Senior</v>
      </c>
      <c r="P1335" cm="1">
        <f t="array" ref="P1335">_xlfn.SWITCH(tbl_analysis_tickets[[#This Row],[customer_satisfaction]],
"Low",1,
"Medium",2,
"High",3
)</f>
        <v>1</v>
      </c>
      <c r="Q1335">
        <f>IF(tbl_analysis_tickets[[#This Row],[reopened]]="Yes",1,0)</f>
        <v>1</v>
      </c>
      <c r="R1335" t="str" cm="1">
        <f t="array" ref="R1335">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335" t="str" cm="1">
        <f t="array" ref="S133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335" t="str">
        <f>TEXT(tbl_analysis_tickets[[#This Row],[created_date]],"mmm-yyyy")</f>
        <v>Oct-2024</v>
      </c>
      <c r="U1335" t="str">
        <f>TEXT(tbl_analysis_tickets[[#This Row],[created_date]],"dddd")</f>
        <v>Tuesday</v>
      </c>
      <c r="V1335" cm="1">
        <f t="array" ref="V1335">_xlfn.SWITCH(tbl_analysis_tickets[[#This Row],[priority]],
"Urgent",1,
"High",2,
"Medium",3,
"Low",4
)</f>
        <v>2</v>
      </c>
    </row>
    <row r="1336" spans="1:22" x14ac:dyDescent="0.25">
      <c r="A1336">
        <v>1335</v>
      </c>
      <c r="B1336" s="1">
        <v>45405</v>
      </c>
      <c r="C1336" t="s">
        <v>10</v>
      </c>
      <c r="D1336" t="s">
        <v>11</v>
      </c>
      <c r="E1336">
        <v>221</v>
      </c>
      <c r="F1336">
        <v>31</v>
      </c>
      <c r="G1336">
        <v>6.8</v>
      </c>
      <c r="H1336" t="s">
        <v>12</v>
      </c>
      <c r="I1336" t="s">
        <v>16</v>
      </c>
      <c r="J1336" t="s">
        <v>11</v>
      </c>
      <c r="K1336">
        <f>_xlfn.XLOOKUP(tbl_analysis_tickets[[#This Row],[priority]],tbl_sla[priority],tbl_sla[Resolution SLA Hours])</f>
        <v>72</v>
      </c>
      <c r="L1336">
        <f>_xlfn.XLOOKUP(tbl_analysis_tickets[[#This Row],[priority]],tbl_sla[priority],tbl_sla[First Response SLA Minutes])</f>
        <v>240</v>
      </c>
      <c r="M1336" t="str">
        <f>IF(tbl_analysis_tickets[[#This Row],[resolution_time_hours]]&gt;tbl_analysis_tickets[[#This Row],[Resolution SLA Hours]],"Breached","Within SLA")</f>
        <v>Within SLA</v>
      </c>
      <c r="N1336" t="str">
        <f>IF(tbl_analysis_tickets[[#This Row],[first_response_minutes]]&gt;tbl_analysis_tickets[[#This Row],[First Response SLA Minutes]],"Breached","Within SLA")</f>
        <v>Within SLA</v>
      </c>
      <c r="O1336" t="str" cm="1">
        <f t="array" ref="O1336">_xlfn.IFS(
tbl_analysis_tickets[[#This Row],[agent_experience_years]]&lt;=2,"Junior",
tbl_analysis_tickets[[#This Row],[agent_experience_years]]&lt;=5,"Mid-Level",
tbl_analysis_tickets[[#This Row],[agent_experience_years]]&lt;=8,"Senior",
tbl_analysis_tickets[[#This Row],[agent_experience_years]]&gt;8,"Expert"
)</f>
        <v>Senior</v>
      </c>
      <c r="P1336" cm="1">
        <f t="array" ref="P1336">_xlfn.SWITCH(tbl_analysis_tickets[[#This Row],[customer_satisfaction]],
"Low",1,
"Medium",2,
"High",3
)</f>
        <v>1</v>
      </c>
      <c r="Q1336">
        <f>IF(tbl_analysis_tickets[[#This Row],[reopened]]="Yes",1,0)</f>
        <v>1</v>
      </c>
      <c r="R1336" t="str" cm="1">
        <f t="array" ref="R1336">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336" t="str" cm="1">
        <f t="array" ref="S133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336" t="str">
        <f>TEXT(tbl_analysis_tickets[[#This Row],[created_date]],"mmm-yyyy")</f>
        <v>Apr-2024</v>
      </c>
      <c r="U1336" t="str">
        <f>TEXT(tbl_analysis_tickets[[#This Row],[created_date]],"dddd")</f>
        <v>Tuesday</v>
      </c>
      <c r="V1336" cm="1">
        <f t="array" ref="V1336">_xlfn.SWITCH(tbl_analysis_tickets[[#This Row],[priority]],
"Urgent",1,
"High",2,
"Medium",3,
"Low",4
)</f>
        <v>4</v>
      </c>
    </row>
    <row r="1337" spans="1:22" x14ac:dyDescent="0.25">
      <c r="A1337">
        <v>1336</v>
      </c>
      <c r="B1337" s="1">
        <v>45613</v>
      </c>
      <c r="C1337" t="s">
        <v>22</v>
      </c>
      <c r="D1337" t="s">
        <v>20</v>
      </c>
      <c r="E1337">
        <v>37</v>
      </c>
      <c r="F1337">
        <v>2</v>
      </c>
      <c r="G1337">
        <v>4.5999999999999996</v>
      </c>
      <c r="H1337" t="s">
        <v>18</v>
      </c>
      <c r="I1337" t="s">
        <v>16</v>
      </c>
      <c r="J1337" t="s">
        <v>15</v>
      </c>
      <c r="K1337">
        <f>_xlfn.XLOOKUP(tbl_analysis_tickets[[#This Row],[priority]],tbl_sla[priority],tbl_sla[Resolution SLA Hours])</f>
        <v>24</v>
      </c>
      <c r="L1337">
        <f>_xlfn.XLOOKUP(tbl_analysis_tickets[[#This Row],[priority]],tbl_sla[priority],tbl_sla[First Response SLA Minutes])</f>
        <v>60</v>
      </c>
      <c r="M1337" t="str">
        <f>IF(tbl_analysis_tickets[[#This Row],[resolution_time_hours]]&gt;tbl_analysis_tickets[[#This Row],[Resolution SLA Hours]],"Breached","Within SLA")</f>
        <v>Within SLA</v>
      </c>
      <c r="N1337" t="str">
        <f>IF(tbl_analysis_tickets[[#This Row],[first_response_minutes]]&gt;tbl_analysis_tickets[[#This Row],[First Response SLA Minutes]],"Breached","Within SLA")</f>
        <v>Within SLA</v>
      </c>
      <c r="O1337" t="str" cm="1">
        <f t="array" ref="O1337">_xlfn.IFS(
tbl_analysis_tickets[[#This Row],[agent_experience_years]]&lt;=2,"Junior",
tbl_analysis_tickets[[#This Row],[agent_experience_years]]&lt;=5,"Mid-Level",
tbl_analysis_tickets[[#This Row],[agent_experience_years]]&lt;=8,"Senior",
tbl_analysis_tickets[[#This Row],[agent_experience_years]]&gt;8,"Expert"
)</f>
        <v>Mid-Level</v>
      </c>
      <c r="P1337" cm="1">
        <f t="array" ref="P1337">_xlfn.SWITCH(tbl_analysis_tickets[[#This Row],[customer_satisfaction]],
"Low",1,
"Medium",2,
"High",3
)</f>
        <v>2</v>
      </c>
      <c r="Q1337">
        <f>IF(tbl_analysis_tickets[[#This Row],[reopened]]="Yes",1,0)</f>
        <v>0</v>
      </c>
      <c r="R1337" t="str" cm="1">
        <f t="array" ref="R1337">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337" t="str" cm="1">
        <f t="array" ref="S133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1337" t="str">
        <f>TEXT(tbl_analysis_tickets[[#This Row],[created_date]],"mmm-yyyy")</f>
        <v>Nov-2024</v>
      </c>
      <c r="U1337" t="str">
        <f>TEXT(tbl_analysis_tickets[[#This Row],[created_date]],"dddd")</f>
        <v>Sunday</v>
      </c>
      <c r="V1337" cm="1">
        <f t="array" ref="V1337">_xlfn.SWITCH(tbl_analysis_tickets[[#This Row],[priority]],
"Urgent",1,
"High",2,
"Medium",3,
"Low",4
)</f>
        <v>2</v>
      </c>
    </row>
    <row r="1338" spans="1:22" x14ac:dyDescent="0.25">
      <c r="A1338">
        <v>1337</v>
      </c>
      <c r="B1338" s="1">
        <v>45323</v>
      </c>
      <c r="C1338" t="s">
        <v>23</v>
      </c>
      <c r="D1338" t="s">
        <v>15</v>
      </c>
      <c r="E1338">
        <v>148</v>
      </c>
      <c r="F1338">
        <v>22</v>
      </c>
      <c r="G1338">
        <v>6.1</v>
      </c>
      <c r="H1338" t="s">
        <v>12</v>
      </c>
      <c r="I1338" t="s">
        <v>13</v>
      </c>
      <c r="J1338" t="s">
        <v>11</v>
      </c>
      <c r="K1338">
        <f>_xlfn.XLOOKUP(tbl_analysis_tickets[[#This Row],[priority]],tbl_sla[priority],tbl_sla[Resolution SLA Hours])</f>
        <v>48</v>
      </c>
      <c r="L1338">
        <f>_xlfn.XLOOKUP(tbl_analysis_tickets[[#This Row],[priority]],tbl_sla[priority],tbl_sla[First Response SLA Minutes])</f>
        <v>120</v>
      </c>
      <c r="M1338" t="str">
        <f>IF(tbl_analysis_tickets[[#This Row],[resolution_time_hours]]&gt;tbl_analysis_tickets[[#This Row],[Resolution SLA Hours]],"Breached","Within SLA")</f>
        <v>Within SLA</v>
      </c>
      <c r="N1338" t="str">
        <f>IF(tbl_analysis_tickets[[#This Row],[first_response_minutes]]&gt;tbl_analysis_tickets[[#This Row],[First Response SLA Minutes]],"Breached","Within SLA")</f>
        <v>Breached</v>
      </c>
      <c r="O1338" t="str" cm="1">
        <f t="array" ref="O1338">_xlfn.IFS(
tbl_analysis_tickets[[#This Row],[agent_experience_years]]&lt;=2,"Junior",
tbl_analysis_tickets[[#This Row],[agent_experience_years]]&lt;=5,"Mid-Level",
tbl_analysis_tickets[[#This Row],[agent_experience_years]]&lt;=8,"Senior",
tbl_analysis_tickets[[#This Row],[agent_experience_years]]&gt;8,"Expert"
)</f>
        <v>Senior</v>
      </c>
      <c r="P1338" cm="1">
        <f t="array" ref="P1338">_xlfn.SWITCH(tbl_analysis_tickets[[#This Row],[customer_satisfaction]],
"Low",1,
"Medium",2,
"High",3
)</f>
        <v>1</v>
      </c>
      <c r="Q1338">
        <f>IF(tbl_analysis_tickets[[#This Row],[reopened]]="Yes",1,0)</f>
        <v>1</v>
      </c>
      <c r="R1338" t="str" cm="1">
        <f t="array" ref="R1338">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338" t="str" cm="1">
        <f t="array" ref="S133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338" t="str">
        <f>TEXT(tbl_analysis_tickets[[#This Row],[created_date]],"mmm-yyyy")</f>
        <v>Feb-2024</v>
      </c>
      <c r="U1338" t="str">
        <f>TEXT(tbl_analysis_tickets[[#This Row],[created_date]],"dddd")</f>
        <v>Thursday</v>
      </c>
      <c r="V1338" cm="1">
        <f t="array" ref="V1338">_xlfn.SWITCH(tbl_analysis_tickets[[#This Row],[priority]],
"Urgent",1,
"High",2,
"Medium",3,
"Low",4
)</f>
        <v>3</v>
      </c>
    </row>
    <row r="1339" spans="1:22" x14ac:dyDescent="0.25">
      <c r="A1339">
        <v>1338</v>
      </c>
      <c r="B1339" s="1">
        <v>45392</v>
      </c>
      <c r="C1339" t="s">
        <v>10</v>
      </c>
      <c r="D1339" t="s">
        <v>15</v>
      </c>
      <c r="E1339">
        <v>19</v>
      </c>
      <c r="F1339">
        <v>32</v>
      </c>
      <c r="G1339">
        <v>9</v>
      </c>
      <c r="H1339" t="s">
        <v>18</v>
      </c>
      <c r="I1339" t="s">
        <v>19</v>
      </c>
      <c r="J1339" t="s">
        <v>20</v>
      </c>
      <c r="K1339">
        <f>_xlfn.XLOOKUP(tbl_analysis_tickets[[#This Row],[priority]],tbl_sla[priority],tbl_sla[Resolution SLA Hours])</f>
        <v>48</v>
      </c>
      <c r="L1339">
        <f>_xlfn.XLOOKUP(tbl_analysis_tickets[[#This Row],[priority]],tbl_sla[priority],tbl_sla[First Response SLA Minutes])</f>
        <v>120</v>
      </c>
      <c r="M1339" t="str">
        <f>IF(tbl_analysis_tickets[[#This Row],[resolution_time_hours]]&gt;tbl_analysis_tickets[[#This Row],[Resolution SLA Hours]],"Breached","Within SLA")</f>
        <v>Within SLA</v>
      </c>
      <c r="N1339" t="str">
        <f>IF(tbl_analysis_tickets[[#This Row],[first_response_minutes]]&gt;tbl_analysis_tickets[[#This Row],[First Response SLA Minutes]],"Breached","Within SLA")</f>
        <v>Within SLA</v>
      </c>
      <c r="O1339" t="str" cm="1">
        <f t="array" ref="O1339">_xlfn.IFS(
tbl_analysis_tickets[[#This Row],[agent_experience_years]]&lt;=2,"Junior",
tbl_analysis_tickets[[#This Row],[agent_experience_years]]&lt;=5,"Mid-Level",
tbl_analysis_tickets[[#This Row],[agent_experience_years]]&lt;=8,"Senior",
tbl_analysis_tickets[[#This Row],[agent_experience_years]]&gt;8,"Expert"
)</f>
        <v>Expert</v>
      </c>
      <c r="P1339" cm="1">
        <f t="array" ref="P1339">_xlfn.SWITCH(tbl_analysis_tickets[[#This Row],[customer_satisfaction]],
"Low",1,
"Medium",2,
"High",3
)</f>
        <v>3</v>
      </c>
      <c r="Q1339">
        <f>IF(tbl_analysis_tickets[[#This Row],[reopened]]="Yes",1,0)</f>
        <v>0</v>
      </c>
      <c r="R1339" t="str" cm="1">
        <f t="array" ref="R1339">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1339" t="str" cm="1">
        <f t="array" ref="S133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339" t="str">
        <f>TEXT(tbl_analysis_tickets[[#This Row],[created_date]],"mmm-yyyy")</f>
        <v>Apr-2024</v>
      </c>
      <c r="U1339" t="str">
        <f>TEXT(tbl_analysis_tickets[[#This Row],[created_date]],"dddd")</f>
        <v>Wednesday</v>
      </c>
      <c r="V1339" cm="1">
        <f t="array" ref="V1339">_xlfn.SWITCH(tbl_analysis_tickets[[#This Row],[priority]],
"Urgent",1,
"High",2,
"Medium",3,
"Low",4
)</f>
        <v>3</v>
      </c>
    </row>
    <row r="1340" spans="1:22" x14ac:dyDescent="0.25">
      <c r="A1340">
        <v>1339</v>
      </c>
      <c r="B1340" s="1">
        <v>45381</v>
      </c>
      <c r="C1340" t="s">
        <v>23</v>
      </c>
      <c r="D1340" t="s">
        <v>11</v>
      </c>
      <c r="E1340">
        <v>136</v>
      </c>
      <c r="F1340">
        <v>14</v>
      </c>
      <c r="G1340">
        <v>6.9</v>
      </c>
      <c r="H1340" t="s">
        <v>18</v>
      </c>
      <c r="I1340" t="s">
        <v>16</v>
      </c>
      <c r="J1340" t="s">
        <v>15</v>
      </c>
      <c r="K1340">
        <f>_xlfn.XLOOKUP(tbl_analysis_tickets[[#This Row],[priority]],tbl_sla[priority],tbl_sla[Resolution SLA Hours])</f>
        <v>72</v>
      </c>
      <c r="L1340">
        <f>_xlfn.XLOOKUP(tbl_analysis_tickets[[#This Row],[priority]],tbl_sla[priority],tbl_sla[First Response SLA Minutes])</f>
        <v>240</v>
      </c>
      <c r="M1340" t="str">
        <f>IF(tbl_analysis_tickets[[#This Row],[resolution_time_hours]]&gt;tbl_analysis_tickets[[#This Row],[Resolution SLA Hours]],"Breached","Within SLA")</f>
        <v>Within SLA</v>
      </c>
      <c r="N1340" t="str">
        <f>IF(tbl_analysis_tickets[[#This Row],[first_response_minutes]]&gt;tbl_analysis_tickets[[#This Row],[First Response SLA Minutes]],"Breached","Within SLA")</f>
        <v>Within SLA</v>
      </c>
      <c r="O1340" t="str" cm="1">
        <f t="array" ref="O1340">_xlfn.IFS(
tbl_analysis_tickets[[#This Row],[agent_experience_years]]&lt;=2,"Junior",
tbl_analysis_tickets[[#This Row],[agent_experience_years]]&lt;=5,"Mid-Level",
tbl_analysis_tickets[[#This Row],[agent_experience_years]]&lt;=8,"Senior",
tbl_analysis_tickets[[#This Row],[agent_experience_years]]&gt;8,"Expert"
)</f>
        <v>Senior</v>
      </c>
      <c r="P1340" cm="1">
        <f t="array" ref="P1340">_xlfn.SWITCH(tbl_analysis_tickets[[#This Row],[customer_satisfaction]],
"Low",1,
"Medium",2,
"High",3
)</f>
        <v>2</v>
      </c>
      <c r="Q1340">
        <f>IF(tbl_analysis_tickets[[#This Row],[reopened]]="Yes",1,0)</f>
        <v>0</v>
      </c>
      <c r="R1340" t="str" cm="1">
        <f t="array" ref="R1340">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340" t="str" cm="1">
        <f t="array" ref="S134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340" t="str">
        <f>TEXT(tbl_analysis_tickets[[#This Row],[created_date]],"mmm-yyyy")</f>
        <v>Mar-2024</v>
      </c>
      <c r="U1340" t="str">
        <f>TEXT(tbl_analysis_tickets[[#This Row],[created_date]],"dddd")</f>
        <v>Saturday</v>
      </c>
      <c r="V1340" cm="1">
        <f t="array" ref="V1340">_xlfn.SWITCH(tbl_analysis_tickets[[#This Row],[priority]],
"Urgent",1,
"High",2,
"Medium",3,
"Low",4
)</f>
        <v>4</v>
      </c>
    </row>
    <row r="1341" spans="1:22" x14ac:dyDescent="0.25">
      <c r="A1341">
        <v>1340</v>
      </c>
      <c r="B1341" s="1">
        <v>45447</v>
      </c>
      <c r="C1341" t="s">
        <v>10</v>
      </c>
      <c r="D1341" t="s">
        <v>15</v>
      </c>
      <c r="E1341">
        <v>82</v>
      </c>
      <c r="F1341">
        <v>52</v>
      </c>
      <c r="G1341">
        <v>4.5999999999999996</v>
      </c>
      <c r="H1341" t="s">
        <v>18</v>
      </c>
      <c r="I1341" t="s">
        <v>13</v>
      </c>
      <c r="J1341" t="s">
        <v>11</v>
      </c>
      <c r="K1341">
        <f>_xlfn.XLOOKUP(tbl_analysis_tickets[[#This Row],[priority]],tbl_sla[priority],tbl_sla[Resolution SLA Hours])</f>
        <v>48</v>
      </c>
      <c r="L1341">
        <f>_xlfn.XLOOKUP(tbl_analysis_tickets[[#This Row],[priority]],tbl_sla[priority],tbl_sla[First Response SLA Minutes])</f>
        <v>120</v>
      </c>
      <c r="M1341" t="str">
        <f>IF(tbl_analysis_tickets[[#This Row],[resolution_time_hours]]&gt;tbl_analysis_tickets[[#This Row],[Resolution SLA Hours]],"Breached","Within SLA")</f>
        <v>Breached</v>
      </c>
      <c r="N1341" t="str">
        <f>IF(tbl_analysis_tickets[[#This Row],[first_response_minutes]]&gt;tbl_analysis_tickets[[#This Row],[First Response SLA Minutes]],"Breached","Within SLA")</f>
        <v>Within SLA</v>
      </c>
      <c r="O1341" t="str" cm="1">
        <f t="array" ref="O1341">_xlfn.IFS(
tbl_analysis_tickets[[#This Row],[agent_experience_years]]&lt;=2,"Junior",
tbl_analysis_tickets[[#This Row],[agent_experience_years]]&lt;=5,"Mid-Level",
tbl_analysis_tickets[[#This Row],[agent_experience_years]]&lt;=8,"Senior",
tbl_analysis_tickets[[#This Row],[agent_experience_years]]&gt;8,"Expert"
)</f>
        <v>Mid-Level</v>
      </c>
      <c r="P1341" cm="1">
        <f t="array" ref="P1341">_xlfn.SWITCH(tbl_analysis_tickets[[#This Row],[customer_satisfaction]],
"Low",1,
"Medium",2,
"High",3
)</f>
        <v>1</v>
      </c>
      <c r="Q1341">
        <f>IF(tbl_analysis_tickets[[#This Row],[reopened]]="Yes",1,0)</f>
        <v>0</v>
      </c>
      <c r="R1341" t="str" cm="1">
        <f t="array" ref="R1341">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341" t="str" cm="1">
        <f t="array" ref="S134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341" t="str">
        <f>TEXT(tbl_analysis_tickets[[#This Row],[created_date]],"mmm-yyyy")</f>
        <v>Jun-2024</v>
      </c>
      <c r="U1341" t="str">
        <f>TEXT(tbl_analysis_tickets[[#This Row],[created_date]],"dddd")</f>
        <v>Tuesday</v>
      </c>
      <c r="V1341" cm="1">
        <f t="array" ref="V1341">_xlfn.SWITCH(tbl_analysis_tickets[[#This Row],[priority]],
"Urgent",1,
"High",2,
"Medium",3,
"Low",4
)</f>
        <v>3</v>
      </c>
    </row>
    <row r="1342" spans="1:22" x14ac:dyDescent="0.25">
      <c r="A1342">
        <v>1341</v>
      </c>
      <c r="B1342" s="1">
        <v>45608</v>
      </c>
      <c r="C1342" t="s">
        <v>21</v>
      </c>
      <c r="D1342" t="s">
        <v>20</v>
      </c>
      <c r="E1342">
        <v>133</v>
      </c>
      <c r="F1342">
        <v>30</v>
      </c>
      <c r="G1342">
        <v>2.9</v>
      </c>
      <c r="H1342" t="s">
        <v>12</v>
      </c>
      <c r="I1342" t="s">
        <v>16</v>
      </c>
      <c r="J1342" t="s">
        <v>11</v>
      </c>
      <c r="K1342">
        <f>_xlfn.XLOOKUP(tbl_analysis_tickets[[#This Row],[priority]],tbl_sla[priority],tbl_sla[Resolution SLA Hours])</f>
        <v>24</v>
      </c>
      <c r="L1342">
        <f>_xlfn.XLOOKUP(tbl_analysis_tickets[[#This Row],[priority]],tbl_sla[priority],tbl_sla[First Response SLA Minutes])</f>
        <v>60</v>
      </c>
      <c r="M1342" t="str">
        <f>IF(tbl_analysis_tickets[[#This Row],[resolution_time_hours]]&gt;tbl_analysis_tickets[[#This Row],[Resolution SLA Hours]],"Breached","Within SLA")</f>
        <v>Breached</v>
      </c>
      <c r="N1342" t="str">
        <f>IF(tbl_analysis_tickets[[#This Row],[first_response_minutes]]&gt;tbl_analysis_tickets[[#This Row],[First Response SLA Minutes]],"Breached","Within SLA")</f>
        <v>Breached</v>
      </c>
      <c r="O1342" t="str" cm="1">
        <f t="array" ref="O1342">_xlfn.IFS(
tbl_analysis_tickets[[#This Row],[agent_experience_years]]&lt;=2,"Junior",
tbl_analysis_tickets[[#This Row],[agent_experience_years]]&lt;=5,"Mid-Level",
tbl_analysis_tickets[[#This Row],[agent_experience_years]]&lt;=8,"Senior",
tbl_analysis_tickets[[#This Row],[agent_experience_years]]&gt;8,"Expert"
)</f>
        <v>Mid-Level</v>
      </c>
      <c r="P1342" cm="1">
        <f t="array" ref="P1342">_xlfn.SWITCH(tbl_analysis_tickets[[#This Row],[customer_satisfaction]],
"Low",1,
"Medium",2,
"High",3
)</f>
        <v>1</v>
      </c>
      <c r="Q1342">
        <f>IF(tbl_analysis_tickets[[#This Row],[reopened]]="Yes",1,0)</f>
        <v>1</v>
      </c>
      <c r="R1342" t="str" cm="1">
        <f t="array" ref="R1342">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342" t="str" cm="1">
        <f t="array" ref="S134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342" t="str">
        <f>TEXT(tbl_analysis_tickets[[#This Row],[created_date]],"mmm-yyyy")</f>
        <v>Nov-2024</v>
      </c>
      <c r="U1342" t="str">
        <f>TEXT(tbl_analysis_tickets[[#This Row],[created_date]],"dddd")</f>
        <v>Tuesday</v>
      </c>
      <c r="V1342" cm="1">
        <f t="array" ref="V1342">_xlfn.SWITCH(tbl_analysis_tickets[[#This Row],[priority]],
"Urgent",1,
"High",2,
"Medium",3,
"Low",4
)</f>
        <v>2</v>
      </c>
    </row>
    <row r="1343" spans="1:22" x14ac:dyDescent="0.25">
      <c r="A1343">
        <v>1342</v>
      </c>
      <c r="B1343" s="1">
        <v>45575</v>
      </c>
      <c r="C1343" t="s">
        <v>21</v>
      </c>
      <c r="D1343" t="s">
        <v>17</v>
      </c>
      <c r="E1343">
        <v>126</v>
      </c>
      <c r="F1343">
        <v>3</v>
      </c>
      <c r="G1343">
        <v>1</v>
      </c>
      <c r="H1343" t="s">
        <v>18</v>
      </c>
      <c r="I1343" t="s">
        <v>13</v>
      </c>
      <c r="J1343" t="s">
        <v>15</v>
      </c>
      <c r="K1343">
        <f>_xlfn.XLOOKUP(tbl_analysis_tickets[[#This Row],[priority]],tbl_sla[priority],tbl_sla[Resolution SLA Hours])</f>
        <v>8</v>
      </c>
      <c r="L1343">
        <f>_xlfn.XLOOKUP(tbl_analysis_tickets[[#This Row],[priority]],tbl_sla[priority],tbl_sla[First Response SLA Minutes])</f>
        <v>30</v>
      </c>
      <c r="M1343" t="str">
        <f>IF(tbl_analysis_tickets[[#This Row],[resolution_time_hours]]&gt;tbl_analysis_tickets[[#This Row],[Resolution SLA Hours]],"Breached","Within SLA")</f>
        <v>Within SLA</v>
      </c>
      <c r="N1343" t="str">
        <f>IF(tbl_analysis_tickets[[#This Row],[first_response_minutes]]&gt;tbl_analysis_tickets[[#This Row],[First Response SLA Minutes]],"Breached","Within SLA")</f>
        <v>Breached</v>
      </c>
      <c r="O1343" t="str" cm="1">
        <f t="array" ref="O1343">_xlfn.IFS(
tbl_analysis_tickets[[#This Row],[agent_experience_years]]&lt;=2,"Junior",
tbl_analysis_tickets[[#This Row],[agent_experience_years]]&lt;=5,"Mid-Level",
tbl_analysis_tickets[[#This Row],[agent_experience_years]]&lt;=8,"Senior",
tbl_analysis_tickets[[#This Row],[agent_experience_years]]&gt;8,"Expert"
)</f>
        <v>Junior</v>
      </c>
      <c r="P1343" cm="1">
        <f t="array" ref="P1343">_xlfn.SWITCH(tbl_analysis_tickets[[#This Row],[customer_satisfaction]],
"Low",1,
"Medium",2,
"High",3
)</f>
        <v>2</v>
      </c>
      <c r="Q1343">
        <f>IF(tbl_analysis_tickets[[#This Row],[reopened]]="Yes",1,0)</f>
        <v>0</v>
      </c>
      <c r="R1343" t="str" cm="1">
        <f t="array" ref="R1343">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343" t="str" cm="1">
        <f t="array" ref="S134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1343" t="str">
        <f>TEXT(tbl_analysis_tickets[[#This Row],[created_date]],"mmm-yyyy")</f>
        <v>Oct-2024</v>
      </c>
      <c r="U1343" t="str">
        <f>TEXT(tbl_analysis_tickets[[#This Row],[created_date]],"dddd")</f>
        <v>Thursday</v>
      </c>
      <c r="V1343" cm="1">
        <f t="array" ref="V1343">_xlfn.SWITCH(tbl_analysis_tickets[[#This Row],[priority]],
"Urgent",1,
"High",2,
"Medium",3,
"Low",4
)</f>
        <v>1</v>
      </c>
    </row>
    <row r="1344" spans="1:22" x14ac:dyDescent="0.25">
      <c r="A1344">
        <v>1343</v>
      </c>
      <c r="B1344" s="1">
        <v>45645</v>
      </c>
      <c r="C1344" t="s">
        <v>22</v>
      </c>
      <c r="D1344" t="s">
        <v>20</v>
      </c>
      <c r="E1344">
        <v>80</v>
      </c>
      <c r="F1344">
        <v>34</v>
      </c>
      <c r="G1344">
        <v>3.5</v>
      </c>
      <c r="H1344" t="s">
        <v>12</v>
      </c>
      <c r="I1344" t="s">
        <v>16</v>
      </c>
      <c r="J1344" t="s">
        <v>11</v>
      </c>
      <c r="K1344">
        <f>_xlfn.XLOOKUP(tbl_analysis_tickets[[#This Row],[priority]],tbl_sla[priority],tbl_sla[Resolution SLA Hours])</f>
        <v>24</v>
      </c>
      <c r="L1344">
        <f>_xlfn.XLOOKUP(tbl_analysis_tickets[[#This Row],[priority]],tbl_sla[priority],tbl_sla[First Response SLA Minutes])</f>
        <v>60</v>
      </c>
      <c r="M1344" t="str">
        <f>IF(tbl_analysis_tickets[[#This Row],[resolution_time_hours]]&gt;tbl_analysis_tickets[[#This Row],[Resolution SLA Hours]],"Breached","Within SLA")</f>
        <v>Breached</v>
      </c>
      <c r="N1344" t="str">
        <f>IF(tbl_analysis_tickets[[#This Row],[first_response_minutes]]&gt;tbl_analysis_tickets[[#This Row],[First Response SLA Minutes]],"Breached","Within SLA")</f>
        <v>Breached</v>
      </c>
      <c r="O1344" t="str" cm="1">
        <f t="array" ref="O1344">_xlfn.IFS(
tbl_analysis_tickets[[#This Row],[agent_experience_years]]&lt;=2,"Junior",
tbl_analysis_tickets[[#This Row],[agent_experience_years]]&lt;=5,"Mid-Level",
tbl_analysis_tickets[[#This Row],[agent_experience_years]]&lt;=8,"Senior",
tbl_analysis_tickets[[#This Row],[agent_experience_years]]&gt;8,"Expert"
)</f>
        <v>Mid-Level</v>
      </c>
      <c r="P1344" cm="1">
        <f t="array" ref="P1344">_xlfn.SWITCH(tbl_analysis_tickets[[#This Row],[customer_satisfaction]],
"Low",1,
"Medium",2,
"High",3
)</f>
        <v>1</v>
      </c>
      <c r="Q1344">
        <f>IF(tbl_analysis_tickets[[#This Row],[reopened]]="Yes",1,0)</f>
        <v>1</v>
      </c>
      <c r="R1344" t="str" cm="1">
        <f t="array" ref="R1344">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344" t="str" cm="1">
        <f t="array" ref="S134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344" t="str">
        <f>TEXT(tbl_analysis_tickets[[#This Row],[created_date]],"mmm-yyyy")</f>
        <v>Dec-2024</v>
      </c>
      <c r="U1344" t="str">
        <f>TEXT(tbl_analysis_tickets[[#This Row],[created_date]],"dddd")</f>
        <v>Thursday</v>
      </c>
      <c r="V1344" cm="1">
        <f t="array" ref="V1344">_xlfn.SWITCH(tbl_analysis_tickets[[#This Row],[priority]],
"Urgent",1,
"High",2,
"Medium",3,
"Low",4
)</f>
        <v>2</v>
      </c>
    </row>
    <row r="1345" spans="1:22" x14ac:dyDescent="0.25">
      <c r="A1345">
        <v>1344</v>
      </c>
      <c r="B1345" s="1">
        <v>45366</v>
      </c>
      <c r="C1345" t="s">
        <v>22</v>
      </c>
      <c r="D1345" t="s">
        <v>11</v>
      </c>
      <c r="E1345">
        <v>163</v>
      </c>
      <c r="F1345">
        <v>58</v>
      </c>
      <c r="G1345">
        <v>5.0999999999999996</v>
      </c>
      <c r="H1345" t="s">
        <v>18</v>
      </c>
      <c r="I1345" t="s">
        <v>16</v>
      </c>
      <c r="J1345" t="s">
        <v>15</v>
      </c>
      <c r="K1345">
        <f>_xlfn.XLOOKUP(tbl_analysis_tickets[[#This Row],[priority]],tbl_sla[priority],tbl_sla[Resolution SLA Hours])</f>
        <v>72</v>
      </c>
      <c r="L1345">
        <f>_xlfn.XLOOKUP(tbl_analysis_tickets[[#This Row],[priority]],tbl_sla[priority],tbl_sla[First Response SLA Minutes])</f>
        <v>240</v>
      </c>
      <c r="M1345" t="str">
        <f>IF(tbl_analysis_tickets[[#This Row],[resolution_time_hours]]&gt;tbl_analysis_tickets[[#This Row],[Resolution SLA Hours]],"Breached","Within SLA")</f>
        <v>Within SLA</v>
      </c>
      <c r="N1345" t="str">
        <f>IF(tbl_analysis_tickets[[#This Row],[first_response_minutes]]&gt;tbl_analysis_tickets[[#This Row],[First Response SLA Minutes]],"Breached","Within SLA")</f>
        <v>Within SLA</v>
      </c>
      <c r="O1345" t="str" cm="1">
        <f t="array" ref="O1345">_xlfn.IFS(
tbl_analysis_tickets[[#This Row],[agent_experience_years]]&lt;=2,"Junior",
tbl_analysis_tickets[[#This Row],[agent_experience_years]]&lt;=5,"Mid-Level",
tbl_analysis_tickets[[#This Row],[agent_experience_years]]&lt;=8,"Senior",
tbl_analysis_tickets[[#This Row],[agent_experience_years]]&gt;8,"Expert"
)</f>
        <v>Senior</v>
      </c>
      <c r="P1345" cm="1">
        <f t="array" ref="P1345">_xlfn.SWITCH(tbl_analysis_tickets[[#This Row],[customer_satisfaction]],
"Low",1,
"Medium",2,
"High",3
)</f>
        <v>2</v>
      </c>
      <c r="Q1345">
        <f>IF(tbl_analysis_tickets[[#This Row],[reopened]]="Yes",1,0)</f>
        <v>0</v>
      </c>
      <c r="R1345" t="str" cm="1">
        <f t="array" ref="R1345">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345" t="str" cm="1">
        <f t="array" ref="S134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345" t="str">
        <f>TEXT(tbl_analysis_tickets[[#This Row],[created_date]],"mmm-yyyy")</f>
        <v>Mar-2024</v>
      </c>
      <c r="U1345" t="str">
        <f>TEXT(tbl_analysis_tickets[[#This Row],[created_date]],"dddd")</f>
        <v>Friday</v>
      </c>
      <c r="V1345" cm="1">
        <f t="array" ref="V1345">_xlfn.SWITCH(tbl_analysis_tickets[[#This Row],[priority]],
"Urgent",1,
"High",2,
"Medium",3,
"Low",4
)</f>
        <v>4</v>
      </c>
    </row>
    <row r="1346" spans="1:22" x14ac:dyDescent="0.25">
      <c r="A1346">
        <v>1345</v>
      </c>
      <c r="B1346" s="1">
        <v>45629</v>
      </c>
      <c r="C1346" t="s">
        <v>23</v>
      </c>
      <c r="D1346" t="s">
        <v>11</v>
      </c>
      <c r="E1346">
        <v>180</v>
      </c>
      <c r="F1346">
        <v>32</v>
      </c>
      <c r="G1346">
        <v>1.8</v>
      </c>
      <c r="H1346" t="s">
        <v>12</v>
      </c>
      <c r="I1346" t="s">
        <v>13</v>
      </c>
      <c r="J1346" t="s">
        <v>11</v>
      </c>
      <c r="K1346">
        <f>_xlfn.XLOOKUP(tbl_analysis_tickets[[#This Row],[priority]],tbl_sla[priority],tbl_sla[Resolution SLA Hours])</f>
        <v>72</v>
      </c>
      <c r="L1346">
        <f>_xlfn.XLOOKUP(tbl_analysis_tickets[[#This Row],[priority]],tbl_sla[priority],tbl_sla[First Response SLA Minutes])</f>
        <v>240</v>
      </c>
      <c r="M1346" t="str">
        <f>IF(tbl_analysis_tickets[[#This Row],[resolution_time_hours]]&gt;tbl_analysis_tickets[[#This Row],[Resolution SLA Hours]],"Breached","Within SLA")</f>
        <v>Within SLA</v>
      </c>
      <c r="N1346" t="str">
        <f>IF(tbl_analysis_tickets[[#This Row],[first_response_minutes]]&gt;tbl_analysis_tickets[[#This Row],[First Response SLA Minutes]],"Breached","Within SLA")</f>
        <v>Within SLA</v>
      </c>
      <c r="O1346" t="str" cm="1">
        <f t="array" ref="O1346">_xlfn.IFS(
tbl_analysis_tickets[[#This Row],[agent_experience_years]]&lt;=2,"Junior",
tbl_analysis_tickets[[#This Row],[agent_experience_years]]&lt;=5,"Mid-Level",
tbl_analysis_tickets[[#This Row],[agent_experience_years]]&lt;=8,"Senior",
tbl_analysis_tickets[[#This Row],[agent_experience_years]]&gt;8,"Expert"
)</f>
        <v>Junior</v>
      </c>
      <c r="P1346" cm="1">
        <f t="array" ref="P1346">_xlfn.SWITCH(tbl_analysis_tickets[[#This Row],[customer_satisfaction]],
"Low",1,
"Medium",2,
"High",3
)</f>
        <v>1</v>
      </c>
      <c r="Q1346">
        <f>IF(tbl_analysis_tickets[[#This Row],[reopened]]="Yes",1,0)</f>
        <v>1</v>
      </c>
      <c r="R1346" t="str" cm="1">
        <f t="array" ref="R1346">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346" t="str" cm="1">
        <f t="array" ref="S134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346" t="str">
        <f>TEXT(tbl_analysis_tickets[[#This Row],[created_date]],"mmm-yyyy")</f>
        <v>Dec-2024</v>
      </c>
      <c r="U1346" t="str">
        <f>TEXT(tbl_analysis_tickets[[#This Row],[created_date]],"dddd")</f>
        <v>Tuesday</v>
      </c>
      <c r="V1346" cm="1">
        <f t="array" ref="V1346">_xlfn.SWITCH(tbl_analysis_tickets[[#This Row],[priority]],
"Urgent",1,
"High",2,
"Medium",3,
"Low",4
)</f>
        <v>4</v>
      </c>
    </row>
    <row r="1347" spans="1:22" x14ac:dyDescent="0.25">
      <c r="A1347">
        <v>1346</v>
      </c>
      <c r="B1347" s="1">
        <v>45393</v>
      </c>
      <c r="C1347" t="s">
        <v>22</v>
      </c>
      <c r="D1347" t="s">
        <v>20</v>
      </c>
      <c r="E1347">
        <v>153</v>
      </c>
      <c r="F1347">
        <v>7</v>
      </c>
      <c r="G1347">
        <v>0.9</v>
      </c>
      <c r="H1347" t="s">
        <v>12</v>
      </c>
      <c r="I1347" t="s">
        <v>16</v>
      </c>
      <c r="J1347" t="s">
        <v>11</v>
      </c>
      <c r="K1347">
        <f>_xlfn.XLOOKUP(tbl_analysis_tickets[[#This Row],[priority]],tbl_sla[priority],tbl_sla[Resolution SLA Hours])</f>
        <v>24</v>
      </c>
      <c r="L1347">
        <f>_xlfn.XLOOKUP(tbl_analysis_tickets[[#This Row],[priority]],tbl_sla[priority],tbl_sla[First Response SLA Minutes])</f>
        <v>60</v>
      </c>
      <c r="M1347" t="str">
        <f>IF(tbl_analysis_tickets[[#This Row],[resolution_time_hours]]&gt;tbl_analysis_tickets[[#This Row],[Resolution SLA Hours]],"Breached","Within SLA")</f>
        <v>Within SLA</v>
      </c>
      <c r="N1347" t="str">
        <f>IF(tbl_analysis_tickets[[#This Row],[first_response_minutes]]&gt;tbl_analysis_tickets[[#This Row],[First Response SLA Minutes]],"Breached","Within SLA")</f>
        <v>Breached</v>
      </c>
      <c r="O1347" t="str" cm="1">
        <f t="array" ref="O1347">_xlfn.IFS(
tbl_analysis_tickets[[#This Row],[agent_experience_years]]&lt;=2,"Junior",
tbl_analysis_tickets[[#This Row],[agent_experience_years]]&lt;=5,"Mid-Level",
tbl_analysis_tickets[[#This Row],[agent_experience_years]]&lt;=8,"Senior",
tbl_analysis_tickets[[#This Row],[agent_experience_years]]&gt;8,"Expert"
)</f>
        <v>Junior</v>
      </c>
      <c r="P1347" cm="1">
        <f t="array" ref="P1347">_xlfn.SWITCH(tbl_analysis_tickets[[#This Row],[customer_satisfaction]],
"Low",1,
"Medium",2,
"High",3
)</f>
        <v>1</v>
      </c>
      <c r="Q1347">
        <f>IF(tbl_analysis_tickets[[#This Row],[reopened]]="Yes",1,0)</f>
        <v>1</v>
      </c>
      <c r="R1347" t="str" cm="1">
        <f t="array" ref="R1347">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347" t="str" cm="1">
        <f t="array" ref="S134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1347" t="str">
        <f>TEXT(tbl_analysis_tickets[[#This Row],[created_date]],"mmm-yyyy")</f>
        <v>Apr-2024</v>
      </c>
      <c r="U1347" t="str">
        <f>TEXT(tbl_analysis_tickets[[#This Row],[created_date]],"dddd")</f>
        <v>Thursday</v>
      </c>
      <c r="V1347" cm="1">
        <f t="array" ref="V1347">_xlfn.SWITCH(tbl_analysis_tickets[[#This Row],[priority]],
"Urgent",1,
"High",2,
"Medium",3,
"Low",4
)</f>
        <v>2</v>
      </c>
    </row>
    <row r="1348" spans="1:22" x14ac:dyDescent="0.25">
      <c r="A1348">
        <v>1347</v>
      </c>
      <c r="B1348" s="1">
        <v>45457</v>
      </c>
      <c r="C1348" t="s">
        <v>23</v>
      </c>
      <c r="D1348" t="s">
        <v>11</v>
      </c>
      <c r="E1348">
        <v>62</v>
      </c>
      <c r="F1348">
        <v>18</v>
      </c>
      <c r="G1348">
        <v>1.8</v>
      </c>
      <c r="H1348" t="s">
        <v>18</v>
      </c>
      <c r="I1348" t="s">
        <v>19</v>
      </c>
      <c r="J1348" t="s">
        <v>11</v>
      </c>
      <c r="K1348">
        <f>_xlfn.XLOOKUP(tbl_analysis_tickets[[#This Row],[priority]],tbl_sla[priority],tbl_sla[Resolution SLA Hours])</f>
        <v>72</v>
      </c>
      <c r="L1348">
        <f>_xlfn.XLOOKUP(tbl_analysis_tickets[[#This Row],[priority]],tbl_sla[priority],tbl_sla[First Response SLA Minutes])</f>
        <v>240</v>
      </c>
      <c r="M1348" t="str">
        <f>IF(tbl_analysis_tickets[[#This Row],[resolution_time_hours]]&gt;tbl_analysis_tickets[[#This Row],[Resolution SLA Hours]],"Breached","Within SLA")</f>
        <v>Within SLA</v>
      </c>
      <c r="N1348" t="str">
        <f>IF(tbl_analysis_tickets[[#This Row],[first_response_minutes]]&gt;tbl_analysis_tickets[[#This Row],[First Response SLA Minutes]],"Breached","Within SLA")</f>
        <v>Within SLA</v>
      </c>
      <c r="O1348" t="str" cm="1">
        <f t="array" ref="O1348">_xlfn.IFS(
tbl_analysis_tickets[[#This Row],[agent_experience_years]]&lt;=2,"Junior",
tbl_analysis_tickets[[#This Row],[agent_experience_years]]&lt;=5,"Mid-Level",
tbl_analysis_tickets[[#This Row],[agent_experience_years]]&lt;=8,"Senior",
tbl_analysis_tickets[[#This Row],[agent_experience_years]]&gt;8,"Expert"
)</f>
        <v>Junior</v>
      </c>
      <c r="P1348" cm="1">
        <f t="array" ref="P1348">_xlfn.SWITCH(tbl_analysis_tickets[[#This Row],[customer_satisfaction]],
"Low",1,
"Medium",2,
"High",3
)</f>
        <v>1</v>
      </c>
      <c r="Q1348">
        <f>IF(tbl_analysis_tickets[[#This Row],[reopened]]="Yes",1,0)</f>
        <v>0</v>
      </c>
      <c r="R1348" t="str" cm="1">
        <f t="array" ref="R1348">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348" t="str" cm="1">
        <f t="array" ref="S134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348" t="str">
        <f>TEXT(tbl_analysis_tickets[[#This Row],[created_date]],"mmm-yyyy")</f>
        <v>Jun-2024</v>
      </c>
      <c r="U1348" t="str">
        <f>TEXT(tbl_analysis_tickets[[#This Row],[created_date]],"dddd")</f>
        <v>Friday</v>
      </c>
      <c r="V1348" cm="1">
        <f t="array" ref="V1348">_xlfn.SWITCH(tbl_analysis_tickets[[#This Row],[priority]],
"Urgent",1,
"High",2,
"Medium",3,
"Low",4
)</f>
        <v>4</v>
      </c>
    </row>
    <row r="1349" spans="1:22" x14ac:dyDescent="0.25">
      <c r="A1349">
        <v>1348</v>
      </c>
      <c r="B1349" s="1">
        <v>45303</v>
      </c>
      <c r="C1349" t="s">
        <v>21</v>
      </c>
      <c r="D1349" t="s">
        <v>17</v>
      </c>
      <c r="E1349">
        <v>168</v>
      </c>
      <c r="F1349">
        <v>47</v>
      </c>
      <c r="G1349">
        <v>3.4</v>
      </c>
      <c r="H1349" t="s">
        <v>12</v>
      </c>
      <c r="I1349" t="s">
        <v>19</v>
      </c>
      <c r="J1349" t="s">
        <v>11</v>
      </c>
      <c r="K1349">
        <f>_xlfn.XLOOKUP(tbl_analysis_tickets[[#This Row],[priority]],tbl_sla[priority],tbl_sla[Resolution SLA Hours])</f>
        <v>8</v>
      </c>
      <c r="L1349">
        <f>_xlfn.XLOOKUP(tbl_analysis_tickets[[#This Row],[priority]],tbl_sla[priority],tbl_sla[First Response SLA Minutes])</f>
        <v>30</v>
      </c>
      <c r="M1349" t="str">
        <f>IF(tbl_analysis_tickets[[#This Row],[resolution_time_hours]]&gt;tbl_analysis_tickets[[#This Row],[Resolution SLA Hours]],"Breached","Within SLA")</f>
        <v>Breached</v>
      </c>
      <c r="N1349" t="str">
        <f>IF(tbl_analysis_tickets[[#This Row],[first_response_minutes]]&gt;tbl_analysis_tickets[[#This Row],[First Response SLA Minutes]],"Breached","Within SLA")</f>
        <v>Breached</v>
      </c>
      <c r="O1349" t="str" cm="1">
        <f t="array" ref="O1349">_xlfn.IFS(
tbl_analysis_tickets[[#This Row],[agent_experience_years]]&lt;=2,"Junior",
tbl_analysis_tickets[[#This Row],[agent_experience_years]]&lt;=5,"Mid-Level",
tbl_analysis_tickets[[#This Row],[agent_experience_years]]&lt;=8,"Senior",
tbl_analysis_tickets[[#This Row],[agent_experience_years]]&gt;8,"Expert"
)</f>
        <v>Mid-Level</v>
      </c>
      <c r="P1349" cm="1">
        <f t="array" ref="P1349">_xlfn.SWITCH(tbl_analysis_tickets[[#This Row],[customer_satisfaction]],
"Low",1,
"Medium",2,
"High",3
)</f>
        <v>1</v>
      </c>
      <c r="Q1349">
        <f>IF(tbl_analysis_tickets[[#This Row],[reopened]]="Yes",1,0)</f>
        <v>1</v>
      </c>
      <c r="R1349" t="str" cm="1">
        <f t="array" ref="R1349">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349" t="str" cm="1">
        <f t="array" ref="S134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349" t="str">
        <f>TEXT(tbl_analysis_tickets[[#This Row],[created_date]],"mmm-yyyy")</f>
        <v>Jan-2024</v>
      </c>
      <c r="U1349" t="str">
        <f>TEXT(tbl_analysis_tickets[[#This Row],[created_date]],"dddd")</f>
        <v>Friday</v>
      </c>
      <c r="V1349" cm="1">
        <f t="array" ref="V1349">_xlfn.SWITCH(tbl_analysis_tickets[[#This Row],[priority]],
"Urgent",1,
"High",2,
"Medium",3,
"Low",4
)</f>
        <v>1</v>
      </c>
    </row>
    <row r="1350" spans="1:22" x14ac:dyDescent="0.25">
      <c r="A1350">
        <v>1349</v>
      </c>
      <c r="B1350" s="1">
        <v>45417</v>
      </c>
      <c r="C1350" t="s">
        <v>23</v>
      </c>
      <c r="D1350" t="s">
        <v>11</v>
      </c>
      <c r="E1350">
        <v>164</v>
      </c>
      <c r="F1350">
        <v>31</v>
      </c>
      <c r="G1350">
        <v>3.8</v>
      </c>
      <c r="H1350" t="s">
        <v>18</v>
      </c>
      <c r="I1350" t="s">
        <v>19</v>
      </c>
      <c r="J1350" t="s">
        <v>11</v>
      </c>
      <c r="K1350">
        <f>_xlfn.XLOOKUP(tbl_analysis_tickets[[#This Row],[priority]],tbl_sla[priority],tbl_sla[Resolution SLA Hours])</f>
        <v>72</v>
      </c>
      <c r="L1350">
        <f>_xlfn.XLOOKUP(tbl_analysis_tickets[[#This Row],[priority]],tbl_sla[priority],tbl_sla[First Response SLA Minutes])</f>
        <v>240</v>
      </c>
      <c r="M1350" t="str">
        <f>IF(tbl_analysis_tickets[[#This Row],[resolution_time_hours]]&gt;tbl_analysis_tickets[[#This Row],[Resolution SLA Hours]],"Breached","Within SLA")</f>
        <v>Within SLA</v>
      </c>
      <c r="N1350" t="str">
        <f>IF(tbl_analysis_tickets[[#This Row],[first_response_minutes]]&gt;tbl_analysis_tickets[[#This Row],[First Response SLA Minutes]],"Breached","Within SLA")</f>
        <v>Within SLA</v>
      </c>
      <c r="O1350" t="str" cm="1">
        <f t="array" ref="O1350">_xlfn.IFS(
tbl_analysis_tickets[[#This Row],[agent_experience_years]]&lt;=2,"Junior",
tbl_analysis_tickets[[#This Row],[agent_experience_years]]&lt;=5,"Mid-Level",
tbl_analysis_tickets[[#This Row],[agent_experience_years]]&lt;=8,"Senior",
tbl_analysis_tickets[[#This Row],[agent_experience_years]]&gt;8,"Expert"
)</f>
        <v>Mid-Level</v>
      </c>
      <c r="P1350" cm="1">
        <f t="array" ref="P1350">_xlfn.SWITCH(tbl_analysis_tickets[[#This Row],[customer_satisfaction]],
"Low",1,
"Medium",2,
"High",3
)</f>
        <v>1</v>
      </c>
      <c r="Q1350">
        <f>IF(tbl_analysis_tickets[[#This Row],[reopened]]="Yes",1,0)</f>
        <v>0</v>
      </c>
      <c r="R1350" t="str" cm="1">
        <f t="array" ref="R1350">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350" t="str" cm="1">
        <f t="array" ref="S135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350" t="str">
        <f>TEXT(tbl_analysis_tickets[[#This Row],[created_date]],"mmm-yyyy")</f>
        <v>May-2024</v>
      </c>
      <c r="U1350" t="str">
        <f>TEXT(tbl_analysis_tickets[[#This Row],[created_date]],"dddd")</f>
        <v>Sunday</v>
      </c>
      <c r="V1350" cm="1">
        <f t="array" ref="V1350">_xlfn.SWITCH(tbl_analysis_tickets[[#This Row],[priority]],
"Urgent",1,
"High",2,
"Medium",3,
"Low",4
)</f>
        <v>4</v>
      </c>
    </row>
    <row r="1351" spans="1:22" x14ac:dyDescent="0.25">
      <c r="A1351">
        <v>1350</v>
      </c>
      <c r="B1351" s="1">
        <v>45616</v>
      </c>
      <c r="C1351" t="s">
        <v>10</v>
      </c>
      <c r="D1351" t="s">
        <v>15</v>
      </c>
      <c r="E1351">
        <v>231</v>
      </c>
      <c r="F1351">
        <v>51</v>
      </c>
      <c r="G1351">
        <v>8.4</v>
      </c>
      <c r="H1351" t="s">
        <v>18</v>
      </c>
      <c r="I1351" t="s">
        <v>16</v>
      </c>
      <c r="J1351" t="s">
        <v>15</v>
      </c>
      <c r="K1351">
        <f>_xlfn.XLOOKUP(tbl_analysis_tickets[[#This Row],[priority]],tbl_sla[priority],tbl_sla[Resolution SLA Hours])</f>
        <v>48</v>
      </c>
      <c r="L1351">
        <f>_xlfn.XLOOKUP(tbl_analysis_tickets[[#This Row],[priority]],tbl_sla[priority],tbl_sla[First Response SLA Minutes])</f>
        <v>120</v>
      </c>
      <c r="M1351" t="str">
        <f>IF(tbl_analysis_tickets[[#This Row],[resolution_time_hours]]&gt;tbl_analysis_tickets[[#This Row],[Resolution SLA Hours]],"Breached","Within SLA")</f>
        <v>Breached</v>
      </c>
      <c r="N1351" t="str">
        <f>IF(tbl_analysis_tickets[[#This Row],[first_response_minutes]]&gt;tbl_analysis_tickets[[#This Row],[First Response SLA Minutes]],"Breached","Within SLA")</f>
        <v>Breached</v>
      </c>
      <c r="O1351" t="str" cm="1">
        <f t="array" ref="O1351">_xlfn.IFS(
tbl_analysis_tickets[[#This Row],[agent_experience_years]]&lt;=2,"Junior",
tbl_analysis_tickets[[#This Row],[agent_experience_years]]&lt;=5,"Mid-Level",
tbl_analysis_tickets[[#This Row],[agent_experience_years]]&lt;=8,"Senior",
tbl_analysis_tickets[[#This Row],[agent_experience_years]]&gt;8,"Expert"
)</f>
        <v>Expert</v>
      </c>
      <c r="P1351" cm="1">
        <f t="array" ref="P1351">_xlfn.SWITCH(tbl_analysis_tickets[[#This Row],[customer_satisfaction]],
"Low",1,
"Medium",2,
"High",3
)</f>
        <v>2</v>
      </c>
      <c r="Q1351">
        <f>IF(tbl_analysis_tickets[[#This Row],[reopened]]="Yes",1,0)</f>
        <v>0</v>
      </c>
      <c r="R1351" t="str" cm="1">
        <f t="array" ref="R1351">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351" t="str" cm="1">
        <f t="array" ref="S135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351" t="str">
        <f>TEXT(tbl_analysis_tickets[[#This Row],[created_date]],"mmm-yyyy")</f>
        <v>Nov-2024</v>
      </c>
      <c r="U1351" t="str">
        <f>TEXT(tbl_analysis_tickets[[#This Row],[created_date]],"dddd")</f>
        <v>Wednesday</v>
      </c>
      <c r="V1351" cm="1">
        <f t="array" ref="V1351">_xlfn.SWITCH(tbl_analysis_tickets[[#This Row],[priority]],
"Urgent",1,
"High",2,
"Medium",3,
"Low",4
)</f>
        <v>3</v>
      </c>
    </row>
    <row r="1352" spans="1:22" x14ac:dyDescent="0.25">
      <c r="A1352">
        <v>1351</v>
      </c>
      <c r="B1352" s="1">
        <v>45305</v>
      </c>
      <c r="C1352" t="s">
        <v>21</v>
      </c>
      <c r="D1352" t="s">
        <v>20</v>
      </c>
      <c r="E1352">
        <v>107</v>
      </c>
      <c r="F1352">
        <v>61</v>
      </c>
      <c r="G1352">
        <v>2.1</v>
      </c>
      <c r="H1352" t="s">
        <v>18</v>
      </c>
      <c r="I1352" t="s">
        <v>19</v>
      </c>
      <c r="J1352" t="s">
        <v>11</v>
      </c>
      <c r="K1352">
        <f>_xlfn.XLOOKUP(tbl_analysis_tickets[[#This Row],[priority]],tbl_sla[priority],tbl_sla[Resolution SLA Hours])</f>
        <v>24</v>
      </c>
      <c r="L1352">
        <f>_xlfn.XLOOKUP(tbl_analysis_tickets[[#This Row],[priority]],tbl_sla[priority],tbl_sla[First Response SLA Minutes])</f>
        <v>60</v>
      </c>
      <c r="M1352" t="str">
        <f>IF(tbl_analysis_tickets[[#This Row],[resolution_time_hours]]&gt;tbl_analysis_tickets[[#This Row],[Resolution SLA Hours]],"Breached","Within SLA")</f>
        <v>Breached</v>
      </c>
      <c r="N1352" t="str">
        <f>IF(tbl_analysis_tickets[[#This Row],[first_response_minutes]]&gt;tbl_analysis_tickets[[#This Row],[First Response SLA Minutes]],"Breached","Within SLA")</f>
        <v>Breached</v>
      </c>
      <c r="O1352" t="str" cm="1">
        <f t="array" ref="O1352">_xlfn.IFS(
tbl_analysis_tickets[[#This Row],[agent_experience_years]]&lt;=2,"Junior",
tbl_analysis_tickets[[#This Row],[agent_experience_years]]&lt;=5,"Mid-Level",
tbl_analysis_tickets[[#This Row],[agent_experience_years]]&lt;=8,"Senior",
tbl_analysis_tickets[[#This Row],[agent_experience_years]]&gt;8,"Expert"
)</f>
        <v>Mid-Level</v>
      </c>
      <c r="P1352" cm="1">
        <f t="array" ref="P1352">_xlfn.SWITCH(tbl_analysis_tickets[[#This Row],[customer_satisfaction]],
"Low",1,
"Medium",2,
"High",3
)</f>
        <v>1</v>
      </c>
      <c r="Q1352">
        <f>IF(tbl_analysis_tickets[[#This Row],[reopened]]="Yes",1,0)</f>
        <v>0</v>
      </c>
      <c r="R1352" t="str" cm="1">
        <f t="array" ref="R1352">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352" t="str" cm="1">
        <f t="array" ref="S135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352" t="str">
        <f>TEXT(tbl_analysis_tickets[[#This Row],[created_date]],"mmm-yyyy")</f>
        <v>Jan-2024</v>
      </c>
      <c r="U1352" t="str">
        <f>TEXT(tbl_analysis_tickets[[#This Row],[created_date]],"dddd")</f>
        <v>Sunday</v>
      </c>
      <c r="V1352" cm="1">
        <f t="array" ref="V1352">_xlfn.SWITCH(tbl_analysis_tickets[[#This Row],[priority]],
"Urgent",1,
"High",2,
"Medium",3,
"Low",4
)</f>
        <v>2</v>
      </c>
    </row>
    <row r="1353" spans="1:22" x14ac:dyDescent="0.25">
      <c r="A1353">
        <v>1352</v>
      </c>
      <c r="B1353" s="1">
        <v>45381</v>
      </c>
      <c r="C1353" t="s">
        <v>23</v>
      </c>
      <c r="D1353" t="s">
        <v>11</v>
      </c>
      <c r="E1353">
        <v>64</v>
      </c>
      <c r="F1353">
        <v>58</v>
      </c>
      <c r="G1353">
        <v>1</v>
      </c>
      <c r="H1353" t="s">
        <v>12</v>
      </c>
      <c r="I1353" t="s">
        <v>19</v>
      </c>
      <c r="J1353" t="s">
        <v>11</v>
      </c>
      <c r="K1353">
        <f>_xlfn.XLOOKUP(tbl_analysis_tickets[[#This Row],[priority]],tbl_sla[priority],tbl_sla[Resolution SLA Hours])</f>
        <v>72</v>
      </c>
      <c r="L1353">
        <f>_xlfn.XLOOKUP(tbl_analysis_tickets[[#This Row],[priority]],tbl_sla[priority],tbl_sla[First Response SLA Minutes])</f>
        <v>240</v>
      </c>
      <c r="M1353" t="str">
        <f>IF(tbl_analysis_tickets[[#This Row],[resolution_time_hours]]&gt;tbl_analysis_tickets[[#This Row],[Resolution SLA Hours]],"Breached","Within SLA")</f>
        <v>Within SLA</v>
      </c>
      <c r="N1353" t="str">
        <f>IF(tbl_analysis_tickets[[#This Row],[first_response_minutes]]&gt;tbl_analysis_tickets[[#This Row],[First Response SLA Minutes]],"Breached","Within SLA")</f>
        <v>Within SLA</v>
      </c>
      <c r="O1353" t="str" cm="1">
        <f t="array" ref="O1353">_xlfn.IFS(
tbl_analysis_tickets[[#This Row],[agent_experience_years]]&lt;=2,"Junior",
tbl_analysis_tickets[[#This Row],[agent_experience_years]]&lt;=5,"Mid-Level",
tbl_analysis_tickets[[#This Row],[agent_experience_years]]&lt;=8,"Senior",
tbl_analysis_tickets[[#This Row],[agent_experience_years]]&gt;8,"Expert"
)</f>
        <v>Junior</v>
      </c>
      <c r="P1353" cm="1">
        <f t="array" ref="P1353">_xlfn.SWITCH(tbl_analysis_tickets[[#This Row],[customer_satisfaction]],
"Low",1,
"Medium",2,
"High",3
)</f>
        <v>1</v>
      </c>
      <c r="Q1353">
        <f>IF(tbl_analysis_tickets[[#This Row],[reopened]]="Yes",1,0)</f>
        <v>1</v>
      </c>
      <c r="R1353" t="str" cm="1">
        <f t="array" ref="R1353">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353" t="str" cm="1">
        <f t="array" ref="S135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353" t="str">
        <f>TEXT(tbl_analysis_tickets[[#This Row],[created_date]],"mmm-yyyy")</f>
        <v>Mar-2024</v>
      </c>
      <c r="U1353" t="str">
        <f>TEXT(tbl_analysis_tickets[[#This Row],[created_date]],"dddd")</f>
        <v>Saturday</v>
      </c>
      <c r="V1353" cm="1">
        <f t="array" ref="V1353">_xlfn.SWITCH(tbl_analysis_tickets[[#This Row],[priority]],
"Urgent",1,
"High",2,
"Medium",3,
"Low",4
)</f>
        <v>4</v>
      </c>
    </row>
    <row r="1354" spans="1:22" x14ac:dyDescent="0.25">
      <c r="A1354">
        <v>1353</v>
      </c>
      <c r="B1354" s="1">
        <v>45544</v>
      </c>
      <c r="C1354" t="s">
        <v>14</v>
      </c>
      <c r="D1354" t="s">
        <v>11</v>
      </c>
      <c r="E1354">
        <v>51</v>
      </c>
      <c r="F1354">
        <v>54</v>
      </c>
      <c r="G1354">
        <v>7</v>
      </c>
      <c r="H1354" t="s">
        <v>12</v>
      </c>
      <c r="I1354" t="s">
        <v>19</v>
      </c>
      <c r="J1354" t="s">
        <v>11</v>
      </c>
      <c r="K1354">
        <f>_xlfn.XLOOKUP(tbl_analysis_tickets[[#This Row],[priority]],tbl_sla[priority],tbl_sla[Resolution SLA Hours])</f>
        <v>72</v>
      </c>
      <c r="L1354">
        <f>_xlfn.XLOOKUP(tbl_analysis_tickets[[#This Row],[priority]],tbl_sla[priority],tbl_sla[First Response SLA Minutes])</f>
        <v>240</v>
      </c>
      <c r="M1354" t="str">
        <f>IF(tbl_analysis_tickets[[#This Row],[resolution_time_hours]]&gt;tbl_analysis_tickets[[#This Row],[Resolution SLA Hours]],"Breached","Within SLA")</f>
        <v>Within SLA</v>
      </c>
      <c r="N1354" t="str">
        <f>IF(tbl_analysis_tickets[[#This Row],[first_response_minutes]]&gt;tbl_analysis_tickets[[#This Row],[First Response SLA Minutes]],"Breached","Within SLA")</f>
        <v>Within SLA</v>
      </c>
      <c r="O1354" t="str" cm="1">
        <f t="array" ref="O1354">_xlfn.IFS(
tbl_analysis_tickets[[#This Row],[agent_experience_years]]&lt;=2,"Junior",
tbl_analysis_tickets[[#This Row],[agent_experience_years]]&lt;=5,"Mid-Level",
tbl_analysis_tickets[[#This Row],[agent_experience_years]]&lt;=8,"Senior",
tbl_analysis_tickets[[#This Row],[agent_experience_years]]&gt;8,"Expert"
)</f>
        <v>Senior</v>
      </c>
      <c r="P1354" cm="1">
        <f t="array" ref="P1354">_xlfn.SWITCH(tbl_analysis_tickets[[#This Row],[customer_satisfaction]],
"Low",1,
"Medium",2,
"High",3
)</f>
        <v>1</v>
      </c>
      <c r="Q1354">
        <f>IF(tbl_analysis_tickets[[#This Row],[reopened]]="Yes",1,0)</f>
        <v>1</v>
      </c>
      <c r="R1354" t="str" cm="1">
        <f t="array" ref="R1354">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354" t="str" cm="1">
        <f t="array" ref="S135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354" t="str">
        <f>TEXT(tbl_analysis_tickets[[#This Row],[created_date]],"mmm-yyyy")</f>
        <v>Sep-2024</v>
      </c>
      <c r="U1354" t="str">
        <f>TEXT(tbl_analysis_tickets[[#This Row],[created_date]],"dddd")</f>
        <v>Monday</v>
      </c>
      <c r="V1354" cm="1">
        <f t="array" ref="V1354">_xlfn.SWITCH(tbl_analysis_tickets[[#This Row],[priority]],
"Urgent",1,
"High",2,
"Medium",3,
"Low",4
)</f>
        <v>4</v>
      </c>
    </row>
    <row r="1355" spans="1:22" x14ac:dyDescent="0.25">
      <c r="A1355">
        <v>1354</v>
      </c>
      <c r="B1355" s="1">
        <v>45354</v>
      </c>
      <c r="C1355" t="s">
        <v>22</v>
      </c>
      <c r="D1355" t="s">
        <v>20</v>
      </c>
      <c r="E1355">
        <v>59</v>
      </c>
      <c r="F1355">
        <v>62</v>
      </c>
      <c r="G1355">
        <v>6.7</v>
      </c>
      <c r="H1355" t="s">
        <v>12</v>
      </c>
      <c r="I1355" t="s">
        <v>19</v>
      </c>
      <c r="J1355" t="s">
        <v>11</v>
      </c>
      <c r="K1355">
        <f>_xlfn.XLOOKUP(tbl_analysis_tickets[[#This Row],[priority]],tbl_sla[priority],tbl_sla[Resolution SLA Hours])</f>
        <v>24</v>
      </c>
      <c r="L1355">
        <f>_xlfn.XLOOKUP(tbl_analysis_tickets[[#This Row],[priority]],tbl_sla[priority],tbl_sla[First Response SLA Minutes])</f>
        <v>60</v>
      </c>
      <c r="M1355" t="str">
        <f>IF(tbl_analysis_tickets[[#This Row],[resolution_time_hours]]&gt;tbl_analysis_tickets[[#This Row],[Resolution SLA Hours]],"Breached","Within SLA")</f>
        <v>Breached</v>
      </c>
      <c r="N1355" t="str">
        <f>IF(tbl_analysis_tickets[[#This Row],[first_response_minutes]]&gt;tbl_analysis_tickets[[#This Row],[First Response SLA Minutes]],"Breached","Within SLA")</f>
        <v>Within SLA</v>
      </c>
      <c r="O1355" t="str" cm="1">
        <f t="array" ref="O1355">_xlfn.IFS(
tbl_analysis_tickets[[#This Row],[agent_experience_years]]&lt;=2,"Junior",
tbl_analysis_tickets[[#This Row],[agent_experience_years]]&lt;=5,"Mid-Level",
tbl_analysis_tickets[[#This Row],[agent_experience_years]]&lt;=8,"Senior",
tbl_analysis_tickets[[#This Row],[agent_experience_years]]&gt;8,"Expert"
)</f>
        <v>Senior</v>
      </c>
      <c r="P1355" cm="1">
        <f t="array" ref="P1355">_xlfn.SWITCH(tbl_analysis_tickets[[#This Row],[customer_satisfaction]],
"Low",1,
"Medium",2,
"High",3
)</f>
        <v>1</v>
      </c>
      <c r="Q1355">
        <f>IF(tbl_analysis_tickets[[#This Row],[reopened]]="Yes",1,0)</f>
        <v>1</v>
      </c>
      <c r="R1355" t="str" cm="1">
        <f t="array" ref="R1355">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355" t="str" cm="1">
        <f t="array" ref="S135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355" t="str">
        <f>TEXT(tbl_analysis_tickets[[#This Row],[created_date]],"mmm-yyyy")</f>
        <v>Mar-2024</v>
      </c>
      <c r="U1355" t="str">
        <f>TEXT(tbl_analysis_tickets[[#This Row],[created_date]],"dddd")</f>
        <v>Sunday</v>
      </c>
      <c r="V1355" cm="1">
        <f t="array" ref="V1355">_xlfn.SWITCH(tbl_analysis_tickets[[#This Row],[priority]],
"Urgent",1,
"High",2,
"Medium",3,
"Low",4
)</f>
        <v>2</v>
      </c>
    </row>
    <row r="1356" spans="1:22" x14ac:dyDescent="0.25">
      <c r="A1356">
        <v>1355</v>
      </c>
      <c r="B1356" s="1">
        <v>45581</v>
      </c>
      <c r="C1356" t="s">
        <v>14</v>
      </c>
      <c r="D1356" t="s">
        <v>11</v>
      </c>
      <c r="E1356">
        <v>75</v>
      </c>
      <c r="F1356">
        <v>65</v>
      </c>
      <c r="G1356">
        <v>9.9</v>
      </c>
      <c r="H1356" t="s">
        <v>18</v>
      </c>
      <c r="I1356" t="s">
        <v>19</v>
      </c>
      <c r="J1356" t="s">
        <v>15</v>
      </c>
      <c r="K1356">
        <f>_xlfn.XLOOKUP(tbl_analysis_tickets[[#This Row],[priority]],tbl_sla[priority],tbl_sla[Resolution SLA Hours])</f>
        <v>72</v>
      </c>
      <c r="L1356">
        <f>_xlfn.XLOOKUP(tbl_analysis_tickets[[#This Row],[priority]],tbl_sla[priority],tbl_sla[First Response SLA Minutes])</f>
        <v>240</v>
      </c>
      <c r="M1356" t="str">
        <f>IF(tbl_analysis_tickets[[#This Row],[resolution_time_hours]]&gt;tbl_analysis_tickets[[#This Row],[Resolution SLA Hours]],"Breached","Within SLA")</f>
        <v>Within SLA</v>
      </c>
      <c r="N1356" t="str">
        <f>IF(tbl_analysis_tickets[[#This Row],[first_response_minutes]]&gt;tbl_analysis_tickets[[#This Row],[First Response SLA Minutes]],"Breached","Within SLA")</f>
        <v>Within SLA</v>
      </c>
      <c r="O1356" t="str" cm="1">
        <f t="array" ref="O1356">_xlfn.IFS(
tbl_analysis_tickets[[#This Row],[agent_experience_years]]&lt;=2,"Junior",
tbl_analysis_tickets[[#This Row],[agent_experience_years]]&lt;=5,"Mid-Level",
tbl_analysis_tickets[[#This Row],[agent_experience_years]]&lt;=8,"Senior",
tbl_analysis_tickets[[#This Row],[agent_experience_years]]&gt;8,"Expert"
)</f>
        <v>Expert</v>
      </c>
      <c r="P1356" cm="1">
        <f t="array" ref="P1356">_xlfn.SWITCH(tbl_analysis_tickets[[#This Row],[customer_satisfaction]],
"Low",1,
"Medium",2,
"High",3
)</f>
        <v>2</v>
      </c>
      <c r="Q1356">
        <f>IF(tbl_analysis_tickets[[#This Row],[reopened]]="Yes",1,0)</f>
        <v>0</v>
      </c>
      <c r="R1356" t="str" cm="1">
        <f t="array" ref="R1356">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356" t="str" cm="1">
        <f t="array" ref="S135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356" t="str">
        <f>TEXT(tbl_analysis_tickets[[#This Row],[created_date]],"mmm-yyyy")</f>
        <v>Oct-2024</v>
      </c>
      <c r="U1356" t="str">
        <f>TEXT(tbl_analysis_tickets[[#This Row],[created_date]],"dddd")</f>
        <v>Wednesday</v>
      </c>
      <c r="V1356" cm="1">
        <f t="array" ref="V1356">_xlfn.SWITCH(tbl_analysis_tickets[[#This Row],[priority]],
"Urgent",1,
"High",2,
"Medium",3,
"Low",4
)</f>
        <v>4</v>
      </c>
    </row>
    <row r="1357" spans="1:22" x14ac:dyDescent="0.25">
      <c r="A1357">
        <v>1356</v>
      </c>
      <c r="B1357" s="1">
        <v>45374</v>
      </c>
      <c r="C1357" t="s">
        <v>10</v>
      </c>
      <c r="D1357" t="s">
        <v>11</v>
      </c>
      <c r="E1357">
        <v>85</v>
      </c>
      <c r="F1357">
        <v>20</v>
      </c>
      <c r="G1357">
        <v>1.1000000000000001</v>
      </c>
      <c r="H1357" t="s">
        <v>12</v>
      </c>
      <c r="I1357" t="s">
        <v>19</v>
      </c>
      <c r="J1357" t="s">
        <v>11</v>
      </c>
      <c r="K1357">
        <f>_xlfn.XLOOKUP(tbl_analysis_tickets[[#This Row],[priority]],tbl_sla[priority],tbl_sla[Resolution SLA Hours])</f>
        <v>72</v>
      </c>
      <c r="L1357">
        <f>_xlfn.XLOOKUP(tbl_analysis_tickets[[#This Row],[priority]],tbl_sla[priority],tbl_sla[First Response SLA Minutes])</f>
        <v>240</v>
      </c>
      <c r="M1357" t="str">
        <f>IF(tbl_analysis_tickets[[#This Row],[resolution_time_hours]]&gt;tbl_analysis_tickets[[#This Row],[Resolution SLA Hours]],"Breached","Within SLA")</f>
        <v>Within SLA</v>
      </c>
      <c r="N1357" t="str">
        <f>IF(tbl_analysis_tickets[[#This Row],[first_response_minutes]]&gt;tbl_analysis_tickets[[#This Row],[First Response SLA Minutes]],"Breached","Within SLA")</f>
        <v>Within SLA</v>
      </c>
      <c r="O1357" t="str" cm="1">
        <f t="array" ref="O1357">_xlfn.IFS(
tbl_analysis_tickets[[#This Row],[agent_experience_years]]&lt;=2,"Junior",
tbl_analysis_tickets[[#This Row],[agent_experience_years]]&lt;=5,"Mid-Level",
tbl_analysis_tickets[[#This Row],[agent_experience_years]]&lt;=8,"Senior",
tbl_analysis_tickets[[#This Row],[agent_experience_years]]&gt;8,"Expert"
)</f>
        <v>Junior</v>
      </c>
      <c r="P1357" cm="1">
        <f t="array" ref="P1357">_xlfn.SWITCH(tbl_analysis_tickets[[#This Row],[customer_satisfaction]],
"Low",1,
"Medium",2,
"High",3
)</f>
        <v>1</v>
      </c>
      <c r="Q1357">
        <f>IF(tbl_analysis_tickets[[#This Row],[reopened]]="Yes",1,0)</f>
        <v>1</v>
      </c>
      <c r="R1357" t="str" cm="1">
        <f t="array" ref="R1357">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357" t="str" cm="1">
        <f t="array" ref="S135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357" t="str">
        <f>TEXT(tbl_analysis_tickets[[#This Row],[created_date]],"mmm-yyyy")</f>
        <v>Mar-2024</v>
      </c>
      <c r="U1357" t="str">
        <f>TEXT(tbl_analysis_tickets[[#This Row],[created_date]],"dddd")</f>
        <v>Saturday</v>
      </c>
      <c r="V1357" cm="1">
        <f t="array" ref="V1357">_xlfn.SWITCH(tbl_analysis_tickets[[#This Row],[priority]],
"Urgent",1,
"High",2,
"Medium",3,
"Low",4
)</f>
        <v>4</v>
      </c>
    </row>
    <row r="1358" spans="1:22" x14ac:dyDescent="0.25">
      <c r="A1358">
        <v>1357</v>
      </c>
      <c r="B1358" s="1">
        <v>45420</v>
      </c>
      <c r="C1358" t="s">
        <v>14</v>
      </c>
      <c r="D1358" t="s">
        <v>17</v>
      </c>
      <c r="E1358">
        <v>119</v>
      </c>
      <c r="F1358">
        <v>63</v>
      </c>
      <c r="G1358">
        <v>8.4</v>
      </c>
      <c r="H1358" t="s">
        <v>18</v>
      </c>
      <c r="I1358" t="s">
        <v>13</v>
      </c>
      <c r="J1358" t="s">
        <v>11</v>
      </c>
      <c r="K1358">
        <f>_xlfn.XLOOKUP(tbl_analysis_tickets[[#This Row],[priority]],tbl_sla[priority],tbl_sla[Resolution SLA Hours])</f>
        <v>8</v>
      </c>
      <c r="L1358">
        <f>_xlfn.XLOOKUP(tbl_analysis_tickets[[#This Row],[priority]],tbl_sla[priority],tbl_sla[First Response SLA Minutes])</f>
        <v>30</v>
      </c>
      <c r="M1358" t="str">
        <f>IF(tbl_analysis_tickets[[#This Row],[resolution_time_hours]]&gt;tbl_analysis_tickets[[#This Row],[Resolution SLA Hours]],"Breached","Within SLA")</f>
        <v>Breached</v>
      </c>
      <c r="N1358" t="str">
        <f>IF(tbl_analysis_tickets[[#This Row],[first_response_minutes]]&gt;tbl_analysis_tickets[[#This Row],[First Response SLA Minutes]],"Breached","Within SLA")</f>
        <v>Breached</v>
      </c>
      <c r="O1358" t="str" cm="1">
        <f t="array" ref="O1358">_xlfn.IFS(
tbl_analysis_tickets[[#This Row],[agent_experience_years]]&lt;=2,"Junior",
tbl_analysis_tickets[[#This Row],[agent_experience_years]]&lt;=5,"Mid-Level",
tbl_analysis_tickets[[#This Row],[agent_experience_years]]&lt;=8,"Senior",
tbl_analysis_tickets[[#This Row],[agent_experience_years]]&gt;8,"Expert"
)</f>
        <v>Expert</v>
      </c>
      <c r="P1358" cm="1">
        <f t="array" ref="P1358">_xlfn.SWITCH(tbl_analysis_tickets[[#This Row],[customer_satisfaction]],
"Low",1,
"Medium",2,
"High",3
)</f>
        <v>1</v>
      </c>
      <c r="Q1358">
        <f>IF(tbl_analysis_tickets[[#This Row],[reopened]]="Yes",1,0)</f>
        <v>0</v>
      </c>
      <c r="R1358" t="str" cm="1">
        <f t="array" ref="R1358">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358" t="str" cm="1">
        <f t="array" ref="S135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358" t="str">
        <f>TEXT(tbl_analysis_tickets[[#This Row],[created_date]],"mmm-yyyy")</f>
        <v>May-2024</v>
      </c>
      <c r="U1358" t="str">
        <f>TEXT(tbl_analysis_tickets[[#This Row],[created_date]],"dddd")</f>
        <v>Wednesday</v>
      </c>
      <c r="V1358" cm="1">
        <f t="array" ref="V1358">_xlfn.SWITCH(tbl_analysis_tickets[[#This Row],[priority]],
"Urgent",1,
"High",2,
"Medium",3,
"Low",4
)</f>
        <v>1</v>
      </c>
    </row>
    <row r="1359" spans="1:22" x14ac:dyDescent="0.25">
      <c r="A1359">
        <v>1358</v>
      </c>
      <c r="B1359" s="1">
        <v>45322</v>
      </c>
      <c r="C1359" t="s">
        <v>23</v>
      </c>
      <c r="D1359" t="s">
        <v>15</v>
      </c>
      <c r="E1359">
        <v>166</v>
      </c>
      <c r="F1359">
        <v>26</v>
      </c>
      <c r="G1359">
        <v>9.1</v>
      </c>
      <c r="H1359" t="s">
        <v>12</v>
      </c>
      <c r="I1359" t="s">
        <v>19</v>
      </c>
      <c r="J1359" t="s">
        <v>11</v>
      </c>
      <c r="K1359">
        <f>_xlfn.XLOOKUP(tbl_analysis_tickets[[#This Row],[priority]],tbl_sla[priority],tbl_sla[Resolution SLA Hours])</f>
        <v>48</v>
      </c>
      <c r="L1359">
        <f>_xlfn.XLOOKUP(tbl_analysis_tickets[[#This Row],[priority]],tbl_sla[priority],tbl_sla[First Response SLA Minutes])</f>
        <v>120</v>
      </c>
      <c r="M1359" t="str">
        <f>IF(tbl_analysis_tickets[[#This Row],[resolution_time_hours]]&gt;tbl_analysis_tickets[[#This Row],[Resolution SLA Hours]],"Breached","Within SLA")</f>
        <v>Within SLA</v>
      </c>
      <c r="N1359" t="str">
        <f>IF(tbl_analysis_tickets[[#This Row],[first_response_minutes]]&gt;tbl_analysis_tickets[[#This Row],[First Response SLA Minutes]],"Breached","Within SLA")</f>
        <v>Breached</v>
      </c>
      <c r="O1359" t="str" cm="1">
        <f t="array" ref="O1359">_xlfn.IFS(
tbl_analysis_tickets[[#This Row],[agent_experience_years]]&lt;=2,"Junior",
tbl_analysis_tickets[[#This Row],[agent_experience_years]]&lt;=5,"Mid-Level",
tbl_analysis_tickets[[#This Row],[agent_experience_years]]&lt;=8,"Senior",
tbl_analysis_tickets[[#This Row],[agent_experience_years]]&gt;8,"Expert"
)</f>
        <v>Expert</v>
      </c>
      <c r="P1359" cm="1">
        <f t="array" ref="P1359">_xlfn.SWITCH(tbl_analysis_tickets[[#This Row],[customer_satisfaction]],
"Low",1,
"Medium",2,
"High",3
)</f>
        <v>1</v>
      </c>
      <c r="Q1359">
        <f>IF(tbl_analysis_tickets[[#This Row],[reopened]]="Yes",1,0)</f>
        <v>1</v>
      </c>
      <c r="R1359" t="str" cm="1">
        <f t="array" ref="R1359">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359" t="str" cm="1">
        <f t="array" ref="S135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359" t="str">
        <f>TEXT(tbl_analysis_tickets[[#This Row],[created_date]],"mmm-yyyy")</f>
        <v>Jan-2024</v>
      </c>
      <c r="U1359" t="str">
        <f>TEXT(tbl_analysis_tickets[[#This Row],[created_date]],"dddd")</f>
        <v>Wednesday</v>
      </c>
      <c r="V1359" cm="1">
        <f t="array" ref="V1359">_xlfn.SWITCH(tbl_analysis_tickets[[#This Row],[priority]],
"Urgent",1,
"High",2,
"Medium",3,
"Low",4
)</f>
        <v>3</v>
      </c>
    </row>
    <row r="1360" spans="1:22" x14ac:dyDescent="0.25">
      <c r="A1360">
        <v>1359</v>
      </c>
      <c r="B1360" s="1">
        <v>45514</v>
      </c>
      <c r="C1360" t="s">
        <v>10</v>
      </c>
      <c r="D1360" t="s">
        <v>15</v>
      </c>
      <c r="E1360">
        <v>196</v>
      </c>
      <c r="F1360">
        <v>11</v>
      </c>
      <c r="G1360">
        <v>8.1999999999999993</v>
      </c>
      <c r="H1360" t="s">
        <v>18</v>
      </c>
      <c r="I1360" t="s">
        <v>19</v>
      </c>
      <c r="J1360" t="s">
        <v>15</v>
      </c>
      <c r="K1360">
        <f>_xlfn.XLOOKUP(tbl_analysis_tickets[[#This Row],[priority]],tbl_sla[priority],tbl_sla[Resolution SLA Hours])</f>
        <v>48</v>
      </c>
      <c r="L1360">
        <f>_xlfn.XLOOKUP(tbl_analysis_tickets[[#This Row],[priority]],tbl_sla[priority],tbl_sla[First Response SLA Minutes])</f>
        <v>120</v>
      </c>
      <c r="M1360" t="str">
        <f>IF(tbl_analysis_tickets[[#This Row],[resolution_time_hours]]&gt;tbl_analysis_tickets[[#This Row],[Resolution SLA Hours]],"Breached","Within SLA")</f>
        <v>Within SLA</v>
      </c>
      <c r="N1360" t="str">
        <f>IF(tbl_analysis_tickets[[#This Row],[first_response_minutes]]&gt;tbl_analysis_tickets[[#This Row],[First Response SLA Minutes]],"Breached","Within SLA")</f>
        <v>Breached</v>
      </c>
      <c r="O1360" t="str" cm="1">
        <f t="array" ref="O1360">_xlfn.IFS(
tbl_analysis_tickets[[#This Row],[agent_experience_years]]&lt;=2,"Junior",
tbl_analysis_tickets[[#This Row],[agent_experience_years]]&lt;=5,"Mid-Level",
tbl_analysis_tickets[[#This Row],[agent_experience_years]]&lt;=8,"Senior",
tbl_analysis_tickets[[#This Row],[agent_experience_years]]&gt;8,"Expert"
)</f>
        <v>Expert</v>
      </c>
      <c r="P1360" cm="1">
        <f t="array" ref="P1360">_xlfn.SWITCH(tbl_analysis_tickets[[#This Row],[customer_satisfaction]],
"Low",1,
"Medium",2,
"High",3
)</f>
        <v>2</v>
      </c>
      <c r="Q1360">
        <f>IF(tbl_analysis_tickets[[#This Row],[reopened]]="Yes",1,0)</f>
        <v>0</v>
      </c>
      <c r="R1360" t="str" cm="1">
        <f t="array" ref="R1360">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360" t="str" cm="1">
        <f t="array" ref="S136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360" t="str">
        <f>TEXT(tbl_analysis_tickets[[#This Row],[created_date]],"mmm-yyyy")</f>
        <v>Aug-2024</v>
      </c>
      <c r="U1360" t="str">
        <f>TEXT(tbl_analysis_tickets[[#This Row],[created_date]],"dddd")</f>
        <v>Saturday</v>
      </c>
      <c r="V1360" cm="1">
        <f t="array" ref="V1360">_xlfn.SWITCH(tbl_analysis_tickets[[#This Row],[priority]],
"Urgent",1,
"High",2,
"Medium",3,
"Low",4
)</f>
        <v>3</v>
      </c>
    </row>
    <row r="1361" spans="1:22" x14ac:dyDescent="0.25">
      <c r="A1361">
        <v>1360</v>
      </c>
      <c r="B1361" s="1">
        <v>45479</v>
      </c>
      <c r="C1361" t="s">
        <v>14</v>
      </c>
      <c r="D1361" t="s">
        <v>11</v>
      </c>
      <c r="E1361">
        <v>233</v>
      </c>
      <c r="F1361">
        <v>51</v>
      </c>
      <c r="G1361">
        <v>10</v>
      </c>
      <c r="H1361" t="s">
        <v>12</v>
      </c>
      <c r="I1361" t="s">
        <v>19</v>
      </c>
      <c r="J1361" t="s">
        <v>11</v>
      </c>
      <c r="K1361">
        <f>_xlfn.XLOOKUP(tbl_analysis_tickets[[#This Row],[priority]],tbl_sla[priority],tbl_sla[Resolution SLA Hours])</f>
        <v>72</v>
      </c>
      <c r="L1361">
        <f>_xlfn.XLOOKUP(tbl_analysis_tickets[[#This Row],[priority]],tbl_sla[priority],tbl_sla[First Response SLA Minutes])</f>
        <v>240</v>
      </c>
      <c r="M1361" t="str">
        <f>IF(tbl_analysis_tickets[[#This Row],[resolution_time_hours]]&gt;tbl_analysis_tickets[[#This Row],[Resolution SLA Hours]],"Breached","Within SLA")</f>
        <v>Within SLA</v>
      </c>
      <c r="N1361" t="str">
        <f>IF(tbl_analysis_tickets[[#This Row],[first_response_minutes]]&gt;tbl_analysis_tickets[[#This Row],[First Response SLA Minutes]],"Breached","Within SLA")</f>
        <v>Within SLA</v>
      </c>
      <c r="O1361" t="str" cm="1">
        <f t="array" ref="O1361">_xlfn.IFS(
tbl_analysis_tickets[[#This Row],[agent_experience_years]]&lt;=2,"Junior",
tbl_analysis_tickets[[#This Row],[agent_experience_years]]&lt;=5,"Mid-Level",
tbl_analysis_tickets[[#This Row],[agent_experience_years]]&lt;=8,"Senior",
tbl_analysis_tickets[[#This Row],[agent_experience_years]]&gt;8,"Expert"
)</f>
        <v>Expert</v>
      </c>
      <c r="P1361" cm="1">
        <f t="array" ref="P1361">_xlfn.SWITCH(tbl_analysis_tickets[[#This Row],[customer_satisfaction]],
"Low",1,
"Medium",2,
"High",3
)</f>
        <v>1</v>
      </c>
      <c r="Q1361">
        <f>IF(tbl_analysis_tickets[[#This Row],[reopened]]="Yes",1,0)</f>
        <v>1</v>
      </c>
      <c r="R1361" t="str" cm="1">
        <f t="array" ref="R1361">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361" t="str" cm="1">
        <f t="array" ref="S136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361" t="str">
        <f>TEXT(tbl_analysis_tickets[[#This Row],[created_date]],"mmm-yyyy")</f>
        <v>Jul-2024</v>
      </c>
      <c r="U1361" t="str">
        <f>TEXT(tbl_analysis_tickets[[#This Row],[created_date]],"dddd")</f>
        <v>Saturday</v>
      </c>
      <c r="V1361" cm="1">
        <f t="array" ref="V1361">_xlfn.SWITCH(tbl_analysis_tickets[[#This Row],[priority]],
"Urgent",1,
"High",2,
"Medium",3,
"Low",4
)</f>
        <v>4</v>
      </c>
    </row>
    <row r="1362" spans="1:22" x14ac:dyDescent="0.25">
      <c r="A1362">
        <v>1361</v>
      </c>
      <c r="B1362" s="1">
        <v>45626</v>
      </c>
      <c r="C1362" t="s">
        <v>21</v>
      </c>
      <c r="D1362" t="s">
        <v>15</v>
      </c>
      <c r="E1362">
        <v>237</v>
      </c>
      <c r="F1362">
        <v>49</v>
      </c>
      <c r="G1362">
        <v>0.9</v>
      </c>
      <c r="H1362" t="s">
        <v>18</v>
      </c>
      <c r="I1362" t="s">
        <v>16</v>
      </c>
      <c r="J1362" t="s">
        <v>11</v>
      </c>
      <c r="K1362">
        <f>_xlfn.XLOOKUP(tbl_analysis_tickets[[#This Row],[priority]],tbl_sla[priority],tbl_sla[Resolution SLA Hours])</f>
        <v>48</v>
      </c>
      <c r="L1362">
        <f>_xlfn.XLOOKUP(tbl_analysis_tickets[[#This Row],[priority]],tbl_sla[priority],tbl_sla[First Response SLA Minutes])</f>
        <v>120</v>
      </c>
      <c r="M1362" t="str">
        <f>IF(tbl_analysis_tickets[[#This Row],[resolution_time_hours]]&gt;tbl_analysis_tickets[[#This Row],[Resolution SLA Hours]],"Breached","Within SLA")</f>
        <v>Breached</v>
      </c>
      <c r="N1362" t="str">
        <f>IF(tbl_analysis_tickets[[#This Row],[first_response_minutes]]&gt;tbl_analysis_tickets[[#This Row],[First Response SLA Minutes]],"Breached","Within SLA")</f>
        <v>Breached</v>
      </c>
      <c r="O1362" t="str" cm="1">
        <f t="array" ref="O1362">_xlfn.IFS(
tbl_analysis_tickets[[#This Row],[agent_experience_years]]&lt;=2,"Junior",
tbl_analysis_tickets[[#This Row],[agent_experience_years]]&lt;=5,"Mid-Level",
tbl_analysis_tickets[[#This Row],[agent_experience_years]]&lt;=8,"Senior",
tbl_analysis_tickets[[#This Row],[agent_experience_years]]&gt;8,"Expert"
)</f>
        <v>Junior</v>
      </c>
      <c r="P1362" cm="1">
        <f t="array" ref="P1362">_xlfn.SWITCH(tbl_analysis_tickets[[#This Row],[customer_satisfaction]],
"Low",1,
"Medium",2,
"High",3
)</f>
        <v>1</v>
      </c>
      <c r="Q1362">
        <f>IF(tbl_analysis_tickets[[#This Row],[reopened]]="Yes",1,0)</f>
        <v>0</v>
      </c>
      <c r="R1362" t="str" cm="1">
        <f t="array" ref="R1362">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362" t="str" cm="1">
        <f t="array" ref="S136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362" t="str">
        <f>TEXT(tbl_analysis_tickets[[#This Row],[created_date]],"mmm-yyyy")</f>
        <v>Nov-2024</v>
      </c>
      <c r="U1362" t="str">
        <f>TEXT(tbl_analysis_tickets[[#This Row],[created_date]],"dddd")</f>
        <v>Saturday</v>
      </c>
      <c r="V1362" cm="1">
        <f t="array" ref="V1362">_xlfn.SWITCH(tbl_analysis_tickets[[#This Row],[priority]],
"Urgent",1,
"High",2,
"Medium",3,
"Low",4
)</f>
        <v>3</v>
      </c>
    </row>
    <row r="1363" spans="1:22" x14ac:dyDescent="0.25">
      <c r="A1363">
        <v>1362</v>
      </c>
      <c r="B1363" s="1">
        <v>45583</v>
      </c>
      <c r="C1363" t="s">
        <v>14</v>
      </c>
      <c r="D1363" t="s">
        <v>20</v>
      </c>
      <c r="E1363">
        <v>14</v>
      </c>
      <c r="F1363">
        <v>59</v>
      </c>
      <c r="G1363">
        <v>2.1</v>
      </c>
      <c r="H1363" t="s">
        <v>18</v>
      </c>
      <c r="I1363" t="s">
        <v>13</v>
      </c>
      <c r="J1363" t="s">
        <v>15</v>
      </c>
      <c r="K1363">
        <f>_xlfn.XLOOKUP(tbl_analysis_tickets[[#This Row],[priority]],tbl_sla[priority],tbl_sla[Resolution SLA Hours])</f>
        <v>24</v>
      </c>
      <c r="L1363">
        <f>_xlfn.XLOOKUP(tbl_analysis_tickets[[#This Row],[priority]],tbl_sla[priority],tbl_sla[First Response SLA Minutes])</f>
        <v>60</v>
      </c>
      <c r="M1363" t="str">
        <f>IF(tbl_analysis_tickets[[#This Row],[resolution_time_hours]]&gt;tbl_analysis_tickets[[#This Row],[Resolution SLA Hours]],"Breached","Within SLA")</f>
        <v>Breached</v>
      </c>
      <c r="N1363" t="str">
        <f>IF(tbl_analysis_tickets[[#This Row],[first_response_minutes]]&gt;tbl_analysis_tickets[[#This Row],[First Response SLA Minutes]],"Breached","Within SLA")</f>
        <v>Within SLA</v>
      </c>
      <c r="O1363" t="str" cm="1">
        <f t="array" ref="O1363">_xlfn.IFS(
tbl_analysis_tickets[[#This Row],[agent_experience_years]]&lt;=2,"Junior",
tbl_analysis_tickets[[#This Row],[agent_experience_years]]&lt;=5,"Mid-Level",
tbl_analysis_tickets[[#This Row],[agent_experience_years]]&lt;=8,"Senior",
tbl_analysis_tickets[[#This Row],[agent_experience_years]]&gt;8,"Expert"
)</f>
        <v>Mid-Level</v>
      </c>
      <c r="P1363" cm="1">
        <f t="array" ref="P1363">_xlfn.SWITCH(tbl_analysis_tickets[[#This Row],[customer_satisfaction]],
"Low",1,
"Medium",2,
"High",3
)</f>
        <v>2</v>
      </c>
      <c r="Q1363">
        <f>IF(tbl_analysis_tickets[[#This Row],[reopened]]="Yes",1,0)</f>
        <v>0</v>
      </c>
      <c r="R1363" t="str" cm="1">
        <f t="array" ref="R1363">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1363" t="str" cm="1">
        <f t="array" ref="S136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363" t="str">
        <f>TEXT(tbl_analysis_tickets[[#This Row],[created_date]],"mmm-yyyy")</f>
        <v>Oct-2024</v>
      </c>
      <c r="U1363" t="str">
        <f>TEXT(tbl_analysis_tickets[[#This Row],[created_date]],"dddd")</f>
        <v>Friday</v>
      </c>
      <c r="V1363" cm="1">
        <f t="array" ref="V1363">_xlfn.SWITCH(tbl_analysis_tickets[[#This Row],[priority]],
"Urgent",1,
"High",2,
"Medium",3,
"Low",4
)</f>
        <v>2</v>
      </c>
    </row>
    <row r="1364" spans="1:22" x14ac:dyDescent="0.25">
      <c r="A1364">
        <v>1363</v>
      </c>
      <c r="B1364" s="1">
        <v>45587</v>
      </c>
      <c r="C1364" t="s">
        <v>21</v>
      </c>
      <c r="D1364" t="s">
        <v>20</v>
      </c>
      <c r="E1364">
        <v>111</v>
      </c>
      <c r="F1364">
        <v>29</v>
      </c>
      <c r="G1364">
        <v>4.7</v>
      </c>
      <c r="H1364" t="s">
        <v>12</v>
      </c>
      <c r="I1364" t="s">
        <v>19</v>
      </c>
      <c r="J1364" t="s">
        <v>11</v>
      </c>
      <c r="K1364">
        <f>_xlfn.XLOOKUP(tbl_analysis_tickets[[#This Row],[priority]],tbl_sla[priority],tbl_sla[Resolution SLA Hours])</f>
        <v>24</v>
      </c>
      <c r="L1364">
        <f>_xlfn.XLOOKUP(tbl_analysis_tickets[[#This Row],[priority]],tbl_sla[priority],tbl_sla[First Response SLA Minutes])</f>
        <v>60</v>
      </c>
      <c r="M1364" t="str">
        <f>IF(tbl_analysis_tickets[[#This Row],[resolution_time_hours]]&gt;tbl_analysis_tickets[[#This Row],[Resolution SLA Hours]],"Breached","Within SLA")</f>
        <v>Breached</v>
      </c>
      <c r="N1364" t="str">
        <f>IF(tbl_analysis_tickets[[#This Row],[first_response_minutes]]&gt;tbl_analysis_tickets[[#This Row],[First Response SLA Minutes]],"Breached","Within SLA")</f>
        <v>Breached</v>
      </c>
      <c r="O1364" t="str" cm="1">
        <f t="array" ref="O1364">_xlfn.IFS(
tbl_analysis_tickets[[#This Row],[agent_experience_years]]&lt;=2,"Junior",
tbl_analysis_tickets[[#This Row],[agent_experience_years]]&lt;=5,"Mid-Level",
tbl_analysis_tickets[[#This Row],[agent_experience_years]]&lt;=8,"Senior",
tbl_analysis_tickets[[#This Row],[agent_experience_years]]&gt;8,"Expert"
)</f>
        <v>Mid-Level</v>
      </c>
      <c r="P1364" cm="1">
        <f t="array" ref="P1364">_xlfn.SWITCH(tbl_analysis_tickets[[#This Row],[customer_satisfaction]],
"Low",1,
"Medium",2,
"High",3
)</f>
        <v>1</v>
      </c>
      <c r="Q1364">
        <f>IF(tbl_analysis_tickets[[#This Row],[reopened]]="Yes",1,0)</f>
        <v>1</v>
      </c>
      <c r="R1364" t="str" cm="1">
        <f t="array" ref="R1364">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364" t="str" cm="1">
        <f t="array" ref="S136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364" t="str">
        <f>TEXT(tbl_analysis_tickets[[#This Row],[created_date]],"mmm-yyyy")</f>
        <v>Oct-2024</v>
      </c>
      <c r="U1364" t="str">
        <f>TEXT(tbl_analysis_tickets[[#This Row],[created_date]],"dddd")</f>
        <v>Tuesday</v>
      </c>
      <c r="V1364" cm="1">
        <f t="array" ref="V1364">_xlfn.SWITCH(tbl_analysis_tickets[[#This Row],[priority]],
"Urgent",1,
"High",2,
"Medium",3,
"Low",4
)</f>
        <v>2</v>
      </c>
    </row>
    <row r="1365" spans="1:22" x14ac:dyDescent="0.25">
      <c r="A1365">
        <v>1364</v>
      </c>
      <c r="B1365" s="1">
        <v>45395</v>
      </c>
      <c r="C1365" t="s">
        <v>14</v>
      </c>
      <c r="D1365" t="s">
        <v>11</v>
      </c>
      <c r="E1365">
        <v>61</v>
      </c>
      <c r="F1365">
        <v>60</v>
      </c>
      <c r="G1365">
        <v>6.1</v>
      </c>
      <c r="H1365" t="s">
        <v>12</v>
      </c>
      <c r="I1365" t="s">
        <v>19</v>
      </c>
      <c r="J1365" t="s">
        <v>11</v>
      </c>
      <c r="K1365">
        <f>_xlfn.XLOOKUP(tbl_analysis_tickets[[#This Row],[priority]],tbl_sla[priority],tbl_sla[Resolution SLA Hours])</f>
        <v>72</v>
      </c>
      <c r="L1365">
        <f>_xlfn.XLOOKUP(tbl_analysis_tickets[[#This Row],[priority]],tbl_sla[priority],tbl_sla[First Response SLA Minutes])</f>
        <v>240</v>
      </c>
      <c r="M1365" t="str">
        <f>IF(tbl_analysis_tickets[[#This Row],[resolution_time_hours]]&gt;tbl_analysis_tickets[[#This Row],[Resolution SLA Hours]],"Breached","Within SLA")</f>
        <v>Within SLA</v>
      </c>
      <c r="N1365" t="str">
        <f>IF(tbl_analysis_tickets[[#This Row],[first_response_minutes]]&gt;tbl_analysis_tickets[[#This Row],[First Response SLA Minutes]],"Breached","Within SLA")</f>
        <v>Within SLA</v>
      </c>
      <c r="O1365" t="str" cm="1">
        <f t="array" ref="O1365">_xlfn.IFS(
tbl_analysis_tickets[[#This Row],[agent_experience_years]]&lt;=2,"Junior",
tbl_analysis_tickets[[#This Row],[agent_experience_years]]&lt;=5,"Mid-Level",
tbl_analysis_tickets[[#This Row],[agent_experience_years]]&lt;=8,"Senior",
tbl_analysis_tickets[[#This Row],[agent_experience_years]]&gt;8,"Expert"
)</f>
        <v>Senior</v>
      </c>
      <c r="P1365" cm="1">
        <f t="array" ref="P1365">_xlfn.SWITCH(tbl_analysis_tickets[[#This Row],[customer_satisfaction]],
"Low",1,
"Medium",2,
"High",3
)</f>
        <v>1</v>
      </c>
      <c r="Q1365">
        <f>IF(tbl_analysis_tickets[[#This Row],[reopened]]="Yes",1,0)</f>
        <v>1</v>
      </c>
      <c r="R1365" t="str" cm="1">
        <f t="array" ref="R1365">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365" t="str" cm="1">
        <f t="array" ref="S136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365" t="str">
        <f>TEXT(tbl_analysis_tickets[[#This Row],[created_date]],"mmm-yyyy")</f>
        <v>Apr-2024</v>
      </c>
      <c r="U1365" t="str">
        <f>TEXT(tbl_analysis_tickets[[#This Row],[created_date]],"dddd")</f>
        <v>Saturday</v>
      </c>
      <c r="V1365" cm="1">
        <f t="array" ref="V1365">_xlfn.SWITCH(tbl_analysis_tickets[[#This Row],[priority]],
"Urgent",1,
"High",2,
"Medium",3,
"Low",4
)</f>
        <v>4</v>
      </c>
    </row>
    <row r="1366" spans="1:22" x14ac:dyDescent="0.25">
      <c r="A1366">
        <v>1365</v>
      </c>
      <c r="B1366" s="1">
        <v>45299</v>
      </c>
      <c r="C1366" t="s">
        <v>22</v>
      </c>
      <c r="D1366" t="s">
        <v>17</v>
      </c>
      <c r="E1366">
        <v>204</v>
      </c>
      <c r="F1366">
        <v>50</v>
      </c>
      <c r="G1366">
        <v>8.4</v>
      </c>
      <c r="H1366" t="s">
        <v>18</v>
      </c>
      <c r="I1366" t="s">
        <v>13</v>
      </c>
      <c r="J1366" t="s">
        <v>11</v>
      </c>
      <c r="K1366">
        <f>_xlfn.XLOOKUP(tbl_analysis_tickets[[#This Row],[priority]],tbl_sla[priority],tbl_sla[Resolution SLA Hours])</f>
        <v>8</v>
      </c>
      <c r="L1366">
        <f>_xlfn.XLOOKUP(tbl_analysis_tickets[[#This Row],[priority]],tbl_sla[priority],tbl_sla[First Response SLA Minutes])</f>
        <v>30</v>
      </c>
      <c r="M1366" t="str">
        <f>IF(tbl_analysis_tickets[[#This Row],[resolution_time_hours]]&gt;tbl_analysis_tickets[[#This Row],[Resolution SLA Hours]],"Breached","Within SLA")</f>
        <v>Breached</v>
      </c>
      <c r="N1366" t="str">
        <f>IF(tbl_analysis_tickets[[#This Row],[first_response_minutes]]&gt;tbl_analysis_tickets[[#This Row],[First Response SLA Minutes]],"Breached","Within SLA")</f>
        <v>Breached</v>
      </c>
      <c r="O1366" t="str" cm="1">
        <f t="array" ref="O1366">_xlfn.IFS(
tbl_analysis_tickets[[#This Row],[agent_experience_years]]&lt;=2,"Junior",
tbl_analysis_tickets[[#This Row],[agent_experience_years]]&lt;=5,"Mid-Level",
tbl_analysis_tickets[[#This Row],[agent_experience_years]]&lt;=8,"Senior",
tbl_analysis_tickets[[#This Row],[agent_experience_years]]&gt;8,"Expert"
)</f>
        <v>Expert</v>
      </c>
      <c r="P1366" cm="1">
        <f t="array" ref="P1366">_xlfn.SWITCH(tbl_analysis_tickets[[#This Row],[customer_satisfaction]],
"Low",1,
"Medium",2,
"High",3
)</f>
        <v>1</v>
      </c>
      <c r="Q1366">
        <f>IF(tbl_analysis_tickets[[#This Row],[reopened]]="Yes",1,0)</f>
        <v>0</v>
      </c>
      <c r="R1366" t="str" cm="1">
        <f t="array" ref="R1366">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366" t="str" cm="1">
        <f t="array" ref="S136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366" t="str">
        <f>TEXT(tbl_analysis_tickets[[#This Row],[created_date]],"mmm-yyyy")</f>
        <v>Jan-2024</v>
      </c>
      <c r="U1366" t="str">
        <f>TEXT(tbl_analysis_tickets[[#This Row],[created_date]],"dddd")</f>
        <v>Monday</v>
      </c>
      <c r="V1366" cm="1">
        <f t="array" ref="V1366">_xlfn.SWITCH(tbl_analysis_tickets[[#This Row],[priority]],
"Urgent",1,
"High",2,
"Medium",3,
"Low",4
)</f>
        <v>1</v>
      </c>
    </row>
    <row r="1367" spans="1:22" x14ac:dyDescent="0.25">
      <c r="A1367">
        <v>1366</v>
      </c>
      <c r="B1367" s="1">
        <v>45389</v>
      </c>
      <c r="C1367" t="s">
        <v>21</v>
      </c>
      <c r="D1367" t="s">
        <v>20</v>
      </c>
      <c r="E1367">
        <v>195</v>
      </c>
      <c r="F1367">
        <v>4</v>
      </c>
      <c r="G1367">
        <v>6.6</v>
      </c>
      <c r="H1367" t="s">
        <v>18</v>
      </c>
      <c r="I1367" t="s">
        <v>13</v>
      </c>
      <c r="J1367" t="s">
        <v>15</v>
      </c>
      <c r="K1367">
        <f>_xlfn.XLOOKUP(tbl_analysis_tickets[[#This Row],[priority]],tbl_sla[priority],tbl_sla[Resolution SLA Hours])</f>
        <v>24</v>
      </c>
      <c r="L1367">
        <f>_xlfn.XLOOKUP(tbl_analysis_tickets[[#This Row],[priority]],tbl_sla[priority],tbl_sla[First Response SLA Minutes])</f>
        <v>60</v>
      </c>
      <c r="M1367" t="str">
        <f>IF(tbl_analysis_tickets[[#This Row],[resolution_time_hours]]&gt;tbl_analysis_tickets[[#This Row],[Resolution SLA Hours]],"Breached","Within SLA")</f>
        <v>Within SLA</v>
      </c>
      <c r="N1367" t="str">
        <f>IF(tbl_analysis_tickets[[#This Row],[first_response_minutes]]&gt;tbl_analysis_tickets[[#This Row],[First Response SLA Minutes]],"Breached","Within SLA")</f>
        <v>Breached</v>
      </c>
      <c r="O1367" t="str" cm="1">
        <f t="array" ref="O1367">_xlfn.IFS(
tbl_analysis_tickets[[#This Row],[agent_experience_years]]&lt;=2,"Junior",
tbl_analysis_tickets[[#This Row],[agent_experience_years]]&lt;=5,"Mid-Level",
tbl_analysis_tickets[[#This Row],[agent_experience_years]]&lt;=8,"Senior",
tbl_analysis_tickets[[#This Row],[agent_experience_years]]&gt;8,"Expert"
)</f>
        <v>Senior</v>
      </c>
      <c r="P1367" cm="1">
        <f t="array" ref="P1367">_xlfn.SWITCH(tbl_analysis_tickets[[#This Row],[customer_satisfaction]],
"Low",1,
"Medium",2,
"High",3
)</f>
        <v>2</v>
      </c>
      <c r="Q1367">
        <f>IF(tbl_analysis_tickets[[#This Row],[reopened]]="Yes",1,0)</f>
        <v>0</v>
      </c>
      <c r="R1367" t="str" cm="1">
        <f t="array" ref="R1367">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367" t="str" cm="1">
        <f t="array" ref="S136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1367" t="str">
        <f>TEXT(tbl_analysis_tickets[[#This Row],[created_date]],"mmm-yyyy")</f>
        <v>Apr-2024</v>
      </c>
      <c r="U1367" t="str">
        <f>TEXT(tbl_analysis_tickets[[#This Row],[created_date]],"dddd")</f>
        <v>Sunday</v>
      </c>
      <c r="V1367" cm="1">
        <f t="array" ref="V1367">_xlfn.SWITCH(tbl_analysis_tickets[[#This Row],[priority]],
"Urgent",1,
"High",2,
"Medium",3,
"Low",4
)</f>
        <v>2</v>
      </c>
    </row>
    <row r="1368" spans="1:22" x14ac:dyDescent="0.25">
      <c r="A1368">
        <v>1367</v>
      </c>
      <c r="B1368" s="1">
        <v>45415</v>
      </c>
      <c r="C1368" t="s">
        <v>14</v>
      </c>
      <c r="D1368" t="s">
        <v>11</v>
      </c>
      <c r="E1368">
        <v>83</v>
      </c>
      <c r="F1368">
        <v>6</v>
      </c>
      <c r="G1368">
        <v>2.4</v>
      </c>
      <c r="H1368" t="s">
        <v>18</v>
      </c>
      <c r="I1368" t="s">
        <v>16</v>
      </c>
      <c r="J1368" t="s">
        <v>15</v>
      </c>
      <c r="K1368">
        <f>_xlfn.XLOOKUP(tbl_analysis_tickets[[#This Row],[priority]],tbl_sla[priority],tbl_sla[Resolution SLA Hours])</f>
        <v>72</v>
      </c>
      <c r="L1368">
        <f>_xlfn.XLOOKUP(tbl_analysis_tickets[[#This Row],[priority]],tbl_sla[priority],tbl_sla[First Response SLA Minutes])</f>
        <v>240</v>
      </c>
      <c r="M1368" t="str">
        <f>IF(tbl_analysis_tickets[[#This Row],[resolution_time_hours]]&gt;tbl_analysis_tickets[[#This Row],[Resolution SLA Hours]],"Breached","Within SLA")</f>
        <v>Within SLA</v>
      </c>
      <c r="N1368" t="str">
        <f>IF(tbl_analysis_tickets[[#This Row],[first_response_minutes]]&gt;tbl_analysis_tickets[[#This Row],[First Response SLA Minutes]],"Breached","Within SLA")</f>
        <v>Within SLA</v>
      </c>
      <c r="O1368" t="str" cm="1">
        <f t="array" ref="O1368">_xlfn.IFS(
tbl_analysis_tickets[[#This Row],[agent_experience_years]]&lt;=2,"Junior",
tbl_analysis_tickets[[#This Row],[agent_experience_years]]&lt;=5,"Mid-Level",
tbl_analysis_tickets[[#This Row],[agent_experience_years]]&lt;=8,"Senior",
tbl_analysis_tickets[[#This Row],[agent_experience_years]]&gt;8,"Expert"
)</f>
        <v>Mid-Level</v>
      </c>
      <c r="P1368" cm="1">
        <f t="array" ref="P1368">_xlfn.SWITCH(tbl_analysis_tickets[[#This Row],[customer_satisfaction]],
"Low",1,
"Medium",2,
"High",3
)</f>
        <v>2</v>
      </c>
      <c r="Q1368">
        <f>IF(tbl_analysis_tickets[[#This Row],[reopened]]="Yes",1,0)</f>
        <v>0</v>
      </c>
      <c r="R1368" t="str" cm="1">
        <f t="array" ref="R1368">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368" t="str" cm="1">
        <f t="array" ref="S136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1368" t="str">
        <f>TEXT(tbl_analysis_tickets[[#This Row],[created_date]],"mmm-yyyy")</f>
        <v>May-2024</v>
      </c>
      <c r="U1368" t="str">
        <f>TEXT(tbl_analysis_tickets[[#This Row],[created_date]],"dddd")</f>
        <v>Friday</v>
      </c>
      <c r="V1368" cm="1">
        <f t="array" ref="V1368">_xlfn.SWITCH(tbl_analysis_tickets[[#This Row],[priority]],
"Urgent",1,
"High",2,
"Medium",3,
"Low",4
)</f>
        <v>4</v>
      </c>
    </row>
    <row r="1369" spans="1:22" x14ac:dyDescent="0.25">
      <c r="A1369">
        <v>1368</v>
      </c>
      <c r="B1369" s="1">
        <v>45400</v>
      </c>
      <c r="C1369" t="s">
        <v>22</v>
      </c>
      <c r="D1369" t="s">
        <v>17</v>
      </c>
      <c r="E1369">
        <v>186</v>
      </c>
      <c r="F1369">
        <v>60</v>
      </c>
      <c r="G1369">
        <v>2.2000000000000002</v>
      </c>
      <c r="H1369" t="s">
        <v>18</v>
      </c>
      <c r="I1369" t="s">
        <v>13</v>
      </c>
      <c r="J1369" t="s">
        <v>11</v>
      </c>
      <c r="K1369">
        <f>_xlfn.XLOOKUP(tbl_analysis_tickets[[#This Row],[priority]],tbl_sla[priority],tbl_sla[Resolution SLA Hours])</f>
        <v>8</v>
      </c>
      <c r="L1369">
        <f>_xlfn.XLOOKUP(tbl_analysis_tickets[[#This Row],[priority]],tbl_sla[priority],tbl_sla[First Response SLA Minutes])</f>
        <v>30</v>
      </c>
      <c r="M1369" t="str">
        <f>IF(tbl_analysis_tickets[[#This Row],[resolution_time_hours]]&gt;tbl_analysis_tickets[[#This Row],[Resolution SLA Hours]],"Breached","Within SLA")</f>
        <v>Breached</v>
      </c>
      <c r="N1369" t="str">
        <f>IF(tbl_analysis_tickets[[#This Row],[first_response_minutes]]&gt;tbl_analysis_tickets[[#This Row],[First Response SLA Minutes]],"Breached","Within SLA")</f>
        <v>Breached</v>
      </c>
      <c r="O1369" t="str" cm="1">
        <f t="array" ref="O1369">_xlfn.IFS(
tbl_analysis_tickets[[#This Row],[agent_experience_years]]&lt;=2,"Junior",
tbl_analysis_tickets[[#This Row],[agent_experience_years]]&lt;=5,"Mid-Level",
tbl_analysis_tickets[[#This Row],[agent_experience_years]]&lt;=8,"Senior",
tbl_analysis_tickets[[#This Row],[agent_experience_years]]&gt;8,"Expert"
)</f>
        <v>Mid-Level</v>
      </c>
      <c r="P1369" cm="1">
        <f t="array" ref="P1369">_xlfn.SWITCH(tbl_analysis_tickets[[#This Row],[customer_satisfaction]],
"Low",1,
"Medium",2,
"High",3
)</f>
        <v>1</v>
      </c>
      <c r="Q1369">
        <f>IF(tbl_analysis_tickets[[#This Row],[reopened]]="Yes",1,0)</f>
        <v>0</v>
      </c>
      <c r="R1369" t="str" cm="1">
        <f t="array" ref="R1369">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369" t="str" cm="1">
        <f t="array" ref="S136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369" t="str">
        <f>TEXT(tbl_analysis_tickets[[#This Row],[created_date]],"mmm-yyyy")</f>
        <v>Apr-2024</v>
      </c>
      <c r="U1369" t="str">
        <f>TEXT(tbl_analysis_tickets[[#This Row],[created_date]],"dddd")</f>
        <v>Thursday</v>
      </c>
      <c r="V1369" cm="1">
        <f t="array" ref="V1369">_xlfn.SWITCH(tbl_analysis_tickets[[#This Row],[priority]],
"Urgent",1,
"High",2,
"Medium",3,
"Low",4
)</f>
        <v>1</v>
      </c>
    </row>
    <row r="1370" spans="1:22" x14ac:dyDescent="0.25">
      <c r="A1370">
        <v>1369</v>
      </c>
      <c r="B1370" s="1">
        <v>45527</v>
      </c>
      <c r="C1370" t="s">
        <v>21</v>
      </c>
      <c r="D1370" t="s">
        <v>20</v>
      </c>
      <c r="E1370">
        <v>166</v>
      </c>
      <c r="F1370">
        <v>18</v>
      </c>
      <c r="G1370">
        <v>4.2</v>
      </c>
      <c r="H1370" t="s">
        <v>18</v>
      </c>
      <c r="I1370" t="s">
        <v>19</v>
      </c>
      <c r="J1370" t="s">
        <v>11</v>
      </c>
      <c r="K1370">
        <f>_xlfn.XLOOKUP(tbl_analysis_tickets[[#This Row],[priority]],tbl_sla[priority],tbl_sla[Resolution SLA Hours])</f>
        <v>24</v>
      </c>
      <c r="L1370">
        <f>_xlfn.XLOOKUP(tbl_analysis_tickets[[#This Row],[priority]],tbl_sla[priority],tbl_sla[First Response SLA Minutes])</f>
        <v>60</v>
      </c>
      <c r="M1370" t="str">
        <f>IF(tbl_analysis_tickets[[#This Row],[resolution_time_hours]]&gt;tbl_analysis_tickets[[#This Row],[Resolution SLA Hours]],"Breached","Within SLA")</f>
        <v>Within SLA</v>
      </c>
      <c r="N1370" t="str">
        <f>IF(tbl_analysis_tickets[[#This Row],[first_response_minutes]]&gt;tbl_analysis_tickets[[#This Row],[First Response SLA Minutes]],"Breached","Within SLA")</f>
        <v>Breached</v>
      </c>
      <c r="O1370" t="str" cm="1">
        <f t="array" ref="O1370">_xlfn.IFS(
tbl_analysis_tickets[[#This Row],[agent_experience_years]]&lt;=2,"Junior",
tbl_analysis_tickets[[#This Row],[agent_experience_years]]&lt;=5,"Mid-Level",
tbl_analysis_tickets[[#This Row],[agent_experience_years]]&lt;=8,"Senior",
tbl_analysis_tickets[[#This Row],[agent_experience_years]]&gt;8,"Expert"
)</f>
        <v>Mid-Level</v>
      </c>
      <c r="P1370" cm="1">
        <f t="array" ref="P1370">_xlfn.SWITCH(tbl_analysis_tickets[[#This Row],[customer_satisfaction]],
"Low",1,
"Medium",2,
"High",3
)</f>
        <v>1</v>
      </c>
      <c r="Q1370">
        <f>IF(tbl_analysis_tickets[[#This Row],[reopened]]="Yes",1,0)</f>
        <v>0</v>
      </c>
      <c r="R1370" t="str" cm="1">
        <f t="array" ref="R1370">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370" t="str" cm="1">
        <f t="array" ref="S137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370" t="str">
        <f>TEXT(tbl_analysis_tickets[[#This Row],[created_date]],"mmm-yyyy")</f>
        <v>Aug-2024</v>
      </c>
      <c r="U1370" t="str">
        <f>TEXT(tbl_analysis_tickets[[#This Row],[created_date]],"dddd")</f>
        <v>Friday</v>
      </c>
      <c r="V1370" cm="1">
        <f t="array" ref="V1370">_xlfn.SWITCH(tbl_analysis_tickets[[#This Row],[priority]],
"Urgent",1,
"High",2,
"Medium",3,
"Low",4
)</f>
        <v>2</v>
      </c>
    </row>
    <row r="1371" spans="1:22" x14ac:dyDescent="0.25">
      <c r="A1371">
        <v>1370</v>
      </c>
      <c r="B1371" s="1">
        <v>45531</v>
      </c>
      <c r="C1371" t="s">
        <v>22</v>
      </c>
      <c r="D1371" t="s">
        <v>15</v>
      </c>
      <c r="E1371">
        <v>224</v>
      </c>
      <c r="F1371">
        <v>57</v>
      </c>
      <c r="G1371">
        <v>5.4</v>
      </c>
      <c r="H1371" t="s">
        <v>18</v>
      </c>
      <c r="I1371" t="s">
        <v>13</v>
      </c>
      <c r="J1371" t="s">
        <v>15</v>
      </c>
      <c r="K1371">
        <f>_xlfn.XLOOKUP(tbl_analysis_tickets[[#This Row],[priority]],tbl_sla[priority],tbl_sla[Resolution SLA Hours])</f>
        <v>48</v>
      </c>
      <c r="L1371">
        <f>_xlfn.XLOOKUP(tbl_analysis_tickets[[#This Row],[priority]],tbl_sla[priority],tbl_sla[First Response SLA Minutes])</f>
        <v>120</v>
      </c>
      <c r="M1371" t="str">
        <f>IF(tbl_analysis_tickets[[#This Row],[resolution_time_hours]]&gt;tbl_analysis_tickets[[#This Row],[Resolution SLA Hours]],"Breached","Within SLA")</f>
        <v>Breached</v>
      </c>
      <c r="N1371" t="str">
        <f>IF(tbl_analysis_tickets[[#This Row],[first_response_minutes]]&gt;tbl_analysis_tickets[[#This Row],[First Response SLA Minutes]],"Breached","Within SLA")</f>
        <v>Breached</v>
      </c>
      <c r="O1371" t="str" cm="1">
        <f t="array" ref="O1371">_xlfn.IFS(
tbl_analysis_tickets[[#This Row],[agent_experience_years]]&lt;=2,"Junior",
tbl_analysis_tickets[[#This Row],[agent_experience_years]]&lt;=5,"Mid-Level",
tbl_analysis_tickets[[#This Row],[agent_experience_years]]&lt;=8,"Senior",
tbl_analysis_tickets[[#This Row],[agent_experience_years]]&gt;8,"Expert"
)</f>
        <v>Senior</v>
      </c>
      <c r="P1371" cm="1">
        <f t="array" ref="P1371">_xlfn.SWITCH(tbl_analysis_tickets[[#This Row],[customer_satisfaction]],
"Low",1,
"Medium",2,
"High",3
)</f>
        <v>2</v>
      </c>
      <c r="Q1371">
        <f>IF(tbl_analysis_tickets[[#This Row],[reopened]]="Yes",1,0)</f>
        <v>0</v>
      </c>
      <c r="R1371" t="str" cm="1">
        <f t="array" ref="R1371">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371" t="str" cm="1">
        <f t="array" ref="S137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371" t="str">
        <f>TEXT(tbl_analysis_tickets[[#This Row],[created_date]],"mmm-yyyy")</f>
        <v>Aug-2024</v>
      </c>
      <c r="U1371" t="str">
        <f>TEXT(tbl_analysis_tickets[[#This Row],[created_date]],"dddd")</f>
        <v>Tuesday</v>
      </c>
      <c r="V1371" cm="1">
        <f t="array" ref="V1371">_xlfn.SWITCH(tbl_analysis_tickets[[#This Row],[priority]],
"Urgent",1,
"High",2,
"Medium",3,
"Low",4
)</f>
        <v>3</v>
      </c>
    </row>
    <row r="1372" spans="1:22" x14ac:dyDescent="0.25">
      <c r="A1372">
        <v>1371</v>
      </c>
      <c r="B1372" s="1">
        <v>45600</v>
      </c>
      <c r="C1372" t="s">
        <v>23</v>
      </c>
      <c r="D1372" t="s">
        <v>15</v>
      </c>
      <c r="E1372">
        <v>6</v>
      </c>
      <c r="F1372">
        <v>57</v>
      </c>
      <c r="G1372">
        <v>2.1</v>
      </c>
      <c r="H1372" t="s">
        <v>12</v>
      </c>
      <c r="I1372" t="s">
        <v>16</v>
      </c>
      <c r="J1372" t="s">
        <v>15</v>
      </c>
      <c r="K1372">
        <f>_xlfn.XLOOKUP(tbl_analysis_tickets[[#This Row],[priority]],tbl_sla[priority],tbl_sla[Resolution SLA Hours])</f>
        <v>48</v>
      </c>
      <c r="L1372">
        <f>_xlfn.XLOOKUP(tbl_analysis_tickets[[#This Row],[priority]],tbl_sla[priority],tbl_sla[First Response SLA Minutes])</f>
        <v>120</v>
      </c>
      <c r="M1372" t="str">
        <f>IF(tbl_analysis_tickets[[#This Row],[resolution_time_hours]]&gt;tbl_analysis_tickets[[#This Row],[Resolution SLA Hours]],"Breached","Within SLA")</f>
        <v>Breached</v>
      </c>
      <c r="N1372" t="str">
        <f>IF(tbl_analysis_tickets[[#This Row],[first_response_minutes]]&gt;tbl_analysis_tickets[[#This Row],[First Response SLA Minutes]],"Breached","Within SLA")</f>
        <v>Within SLA</v>
      </c>
      <c r="O1372" t="str" cm="1">
        <f t="array" ref="O1372">_xlfn.IFS(
tbl_analysis_tickets[[#This Row],[agent_experience_years]]&lt;=2,"Junior",
tbl_analysis_tickets[[#This Row],[agent_experience_years]]&lt;=5,"Mid-Level",
tbl_analysis_tickets[[#This Row],[agent_experience_years]]&lt;=8,"Senior",
tbl_analysis_tickets[[#This Row],[agent_experience_years]]&gt;8,"Expert"
)</f>
        <v>Mid-Level</v>
      </c>
      <c r="P1372" cm="1">
        <f t="array" ref="P1372">_xlfn.SWITCH(tbl_analysis_tickets[[#This Row],[customer_satisfaction]],
"Low",1,
"Medium",2,
"High",3
)</f>
        <v>2</v>
      </c>
      <c r="Q1372">
        <f>IF(tbl_analysis_tickets[[#This Row],[reopened]]="Yes",1,0)</f>
        <v>1</v>
      </c>
      <c r="R1372" t="str" cm="1">
        <f t="array" ref="R1372">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1372" t="str" cm="1">
        <f t="array" ref="S137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372" t="str">
        <f>TEXT(tbl_analysis_tickets[[#This Row],[created_date]],"mmm-yyyy")</f>
        <v>Nov-2024</v>
      </c>
      <c r="U1372" t="str">
        <f>TEXT(tbl_analysis_tickets[[#This Row],[created_date]],"dddd")</f>
        <v>Monday</v>
      </c>
      <c r="V1372" cm="1">
        <f t="array" ref="V1372">_xlfn.SWITCH(tbl_analysis_tickets[[#This Row],[priority]],
"Urgent",1,
"High",2,
"Medium",3,
"Low",4
)</f>
        <v>3</v>
      </c>
    </row>
    <row r="1373" spans="1:22" x14ac:dyDescent="0.25">
      <c r="A1373">
        <v>1372</v>
      </c>
      <c r="B1373" s="1">
        <v>45472</v>
      </c>
      <c r="C1373" t="s">
        <v>14</v>
      </c>
      <c r="D1373" t="s">
        <v>11</v>
      </c>
      <c r="E1373">
        <v>125</v>
      </c>
      <c r="F1373">
        <v>72</v>
      </c>
      <c r="G1373">
        <v>7.9</v>
      </c>
      <c r="H1373" t="s">
        <v>12</v>
      </c>
      <c r="I1373" t="s">
        <v>13</v>
      </c>
      <c r="J1373" t="s">
        <v>11</v>
      </c>
      <c r="K1373">
        <f>_xlfn.XLOOKUP(tbl_analysis_tickets[[#This Row],[priority]],tbl_sla[priority],tbl_sla[Resolution SLA Hours])</f>
        <v>72</v>
      </c>
      <c r="L1373">
        <f>_xlfn.XLOOKUP(tbl_analysis_tickets[[#This Row],[priority]],tbl_sla[priority],tbl_sla[First Response SLA Minutes])</f>
        <v>240</v>
      </c>
      <c r="M1373" t="str">
        <f>IF(tbl_analysis_tickets[[#This Row],[resolution_time_hours]]&gt;tbl_analysis_tickets[[#This Row],[Resolution SLA Hours]],"Breached","Within SLA")</f>
        <v>Within SLA</v>
      </c>
      <c r="N1373" t="str">
        <f>IF(tbl_analysis_tickets[[#This Row],[first_response_minutes]]&gt;tbl_analysis_tickets[[#This Row],[First Response SLA Minutes]],"Breached","Within SLA")</f>
        <v>Within SLA</v>
      </c>
      <c r="O1373" t="str" cm="1">
        <f t="array" ref="O1373">_xlfn.IFS(
tbl_analysis_tickets[[#This Row],[agent_experience_years]]&lt;=2,"Junior",
tbl_analysis_tickets[[#This Row],[agent_experience_years]]&lt;=5,"Mid-Level",
tbl_analysis_tickets[[#This Row],[agent_experience_years]]&lt;=8,"Senior",
tbl_analysis_tickets[[#This Row],[agent_experience_years]]&gt;8,"Expert"
)</f>
        <v>Senior</v>
      </c>
      <c r="P1373" cm="1">
        <f t="array" ref="P1373">_xlfn.SWITCH(tbl_analysis_tickets[[#This Row],[customer_satisfaction]],
"Low",1,
"Medium",2,
"High",3
)</f>
        <v>1</v>
      </c>
      <c r="Q1373">
        <f>IF(tbl_analysis_tickets[[#This Row],[reopened]]="Yes",1,0)</f>
        <v>1</v>
      </c>
      <c r="R1373" t="str" cm="1">
        <f t="array" ref="R1373">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373" t="str" cm="1">
        <f t="array" ref="S137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373" t="str">
        <f>TEXT(tbl_analysis_tickets[[#This Row],[created_date]],"mmm-yyyy")</f>
        <v>Jun-2024</v>
      </c>
      <c r="U1373" t="str">
        <f>TEXT(tbl_analysis_tickets[[#This Row],[created_date]],"dddd")</f>
        <v>Saturday</v>
      </c>
      <c r="V1373" cm="1">
        <f t="array" ref="V1373">_xlfn.SWITCH(tbl_analysis_tickets[[#This Row],[priority]],
"Urgent",1,
"High",2,
"Medium",3,
"Low",4
)</f>
        <v>4</v>
      </c>
    </row>
    <row r="1374" spans="1:22" x14ac:dyDescent="0.25">
      <c r="A1374">
        <v>1373</v>
      </c>
      <c r="B1374" s="1">
        <v>45442</v>
      </c>
      <c r="C1374" t="s">
        <v>21</v>
      </c>
      <c r="D1374" t="s">
        <v>11</v>
      </c>
      <c r="E1374">
        <v>101</v>
      </c>
      <c r="F1374">
        <v>41</v>
      </c>
      <c r="G1374">
        <v>3.2</v>
      </c>
      <c r="H1374" t="s">
        <v>12</v>
      </c>
      <c r="I1374" t="s">
        <v>19</v>
      </c>
      <c r="J1374" t="s">
        <v>11</v>
      </c>
      <c r="K1374">
        <f>_xlfn.XLOOKUP(tbl_analysis_tickets[[#This Row],[priority]],tbl_sla[priority],tbl_sla[Resolution SLA Hours])</f>
        <v>72</v>
      </c>
      <c r="L1374">
        <f>_xlfn.XLOOKUP(tbl_analysis_tickets[[#This Row],[priority]],tbl_sla[priority],tbl_sla[First Response SLA Minutes])</f>
        <v>240</v>
      </c>
      <c r="M1374" t="str">
        <f>IF(tbl_analysis_tickets[[#This Row],[resolution_time_hours]]&gt;tbl_analysis_tickets[[#This Row],[Resolution SLA Hours]],"Breached","Within SLA")</f>
        <v>Within SLA</v>
      </c>
      <c r="N1374" t="str">
        <f>IF(tbl_analysis_tickets[[#This Row],[first_response_minutes]]&gt;tbl_analysis_tickets[[#This Row],[First Response SLA Minutes]],"Breached","Within SLA")</f>
        <v>Within SLA</v>
      </c>
      <c r="O1374" t="str" cm="1">
        <f t="array" ref="O1374">_xlfn.IFS(
tbl_analysis_tickets[[#This Row],[agent_experience_years]]&lt;=2,"Junior",
tbl_analysis_tickets[[#This Row],[agent_experience_years]]&lt;=5,"Mid-Level",
tbl_analysis_tickets[[#This Row],[agent_experience_years]]&lt;=8,"Senior",
tbl_analysis_tickets[[#This Row],[agent_experience_years]]&gt;8,"Expert"
)</f>
        <v>Mid-Level</v>
      </c>
      <c r="P1374" cm="1">
        <f t="array" ref="P1374">_xlfn.SWITCH(tbl_analysis_tickets[[#This Row],[customer_satisfaction]],
"Low",1,
"Medium",2,
"High",3
)</f>
        <v>1</v>
      </c>
      <c r="Q1374">
        <f>IF(tbl_analysis_tickets[[#This Row],[reopened]]="Yes",1,0)</f>
        <v>1</v>
      </c>
      <c r="R1374" t="str" cm="1">
        <f t="array" ref="R1374">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374" t="str" cm="1">
        <f t="array" ref="S137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374" t="str">
        <f>TEXT(tbl_analysis_tickets[[#This Row],[created_date]],"mmm-yyyy")</f>
        <v>May-2024</v>
      </c>
      <c r="U1374" t="str">
        <f>TEXT(tbl_analysis_tickets[[#This Row],[created_date]],"dddd")</f>
        <v>Thursday</v>
      </c>
      <c r="V1374" cm="1">
        <f t="array" ref="V1374">_xlfn.SWITCH(tbl_analysis_tickets[[#This Row],[priority]],
"Urgent",1,
"High",2,
"Medium",3,
"Low",4
)</f>
        <v>4</v>
      </c>
    </row>
    <row r="1375" spans="1:22" x14ac:dyDescent="0.25">
      <c r="A1375">
        <v>1374</v>
      </c>
      <c r="B1375" s="1">
        <v>45597</v>
      </c>
      <c r="C1375" t="s">
        <v>14</v>
      </c>
      <c r="D1375" t="s">
        <v>17</v>
      </c>
      <c r="E1375">
        <v>75</v>
      </c>
      <c r="F1375">
        <v>40</v>
      </c>
      <c r="G1375">
        <v>3.9</v>
      </c>
      <c r="H1375" t="s">
        <v>12</v>
      </c>
      <c r="I1375" t="s">
        <v>19</v>
      </c>
      <c r="J1375" t="s">
        <v>11</v>
      </c>
      <c r="K1375">
        <f>_xlfn.XLOOKUP(tbl_analysis_tickets[[#This Row],[priority]],tbl_sla[priority],tbl_sla[Resolution SLA Hours])</f>
        <v>8</v>
      </c>
      <c r="L1375">
        <f>_xlfn.XLOOKUP(tbl_analysis_tickets[[#This Row],[priority]],tbl_sla[priority],tbl_sla[First Response SLA Minutes])</f>
        <v>30</v>
      </c>
      <c r="M1375" t="str">
        <f>IF(tbl_analysis_tickets[[#This Row],[resolution_time_hours]]&gt;tbl_analysis_tickets[[#This Row],[Resolution SLA Hours]],"Breached","Within SLA")</f>
        <v>Breached</v>
      </c>
      <c r="N1375" t="str">
        <f>IF(tbl_analysis_tickets[[#This Row],[first_response_minutes]]&gt;tbl_analysis_tickets[[#This Row],[First Response SLA Minutes]],"Breached","Within SLA")</f>
        <v>Breached</v>
      </c>
      <c r="O1375" t="str" cm="1">
        <f t="array" ref="O1375">_xlfn.IFS(
tbl_analysis_tickets[[#This Row],[agent_experience_years]]&lt;=2,"Junior",
tbl_analysis_tickets[[#This Row],[agent_experience_years]]&lt;=5,"Mid-Level",
tbl_analysis_tickets[[#This Row],[agent_experience_years]]&lt;=8,"Senior",
tbl_analysis_tickets[[#This Row],[agent_experience_years]]&gt;8,"Expert"
)</f>
        <v>Mid-Level</v>
      </c>
      <c r="P1375" cm="1">
        <f t="array" ref="P1375">_xlfn.SWITCH(tbl_analysis_tickets[[#This Row],[customer_satisfaction]],
"Low",1,
"Medium",2,
"High",3
)</f>
        <v>1</v>
      </c>
      <c r="Q1375">
        <f>IF(tbl_analysis_tickets[[#This Row],[reopened]]="Yes",1,0)</f>
        <v>1</v>
      </c>
      <c r="R1375" t="str" cm="1">
        <f t="array" ref="R1375">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375" t="str" cm="1">
        <f t="array" ref="S137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375" t="str">
        <f>TEXT(tbl_analysis_tickets[[#This Row],[created_date]],"mmm-yyyy")</f>
        <v>Nov-2024</v>
      </c>
      <c r="U1375" t="str">
        <f>TEXT(tbl_analysis_tickets[[#This Row],[created_date]],"dddd")</f>
        <v>Friday</v>
      </c>
      <c r="V1375" cm="1">
        <f t="array" ref="V1375">_xlfn.SWITCH(tbl_analysis_tickets[[#This Row],[priority]],
"Urgent",1,
"High",2,
"Medium",3,
"Low",4
)</f>
        <v>1</v>
      </c>
    </row>
    <row r="1376" spans="1:22" x14ac:dyDescent="0.25">
      <c r="A1376">
        <v>1375</v>
      </c>
      <c r="B1376" s="1">
        <v>45307</v>
      </c>
      <c r="C1376" t="s">
        <v>21</v>
      </c>
      <c r="D1376" t="s">
        <v>15</v>
      </c>
      <c r="E1376">
        <v>203</v>
      </c>
      <c r="F1376">
        <v>62</v>
      </c>
      <c r="G1376">
        <v>6.8</v>
      </c>
      <c r="H1376" t="s">
        <v>18</v>
      </c>
      <c r="I1376" t="s">
        <v>19</v>
      </c>
      <c r="J1376" t="s">
        <v>15</v>
      </c>
      <c r="K1376">
        <f>_xlfn.XLOOKUP(tbl_analysis_tickets[[#This Row],[priority]],tbl_sla[priority],tbl_sla[Resolution SLA Hours])</f>
        <v>48</v>
      </c>
      <c r="L1376">
        <f>_xlfn.XLOOKUP(tbl_analysis_tickets[[#This Row],[priority]],tbl_sla[priority],tbl_sla[First Response SLA Minutes])</f>
        <v>120</v>
      </c>
      <c r="M1376" t="str">
        <f>IF(tbl_analysis_tickets[[#This Row],[resolution_time_hours]]&gt;tbl_analysis_tickets[[#This Row],[Resolution SLA Hours]],"Breached","Within SLA")</f>
        <v>Breached</v>
      </c>
      <c r="N1376" t="str">
        <f>IF(tbl_analysis_tickets[[#This Row],[first_response_minutes]]&gt;tbl_analysis_tickets[[#This Row],[First Response SLA Minutes]],"Breached","Within SLA")</f>
        <v>Breached</v>
      </c>
      <c r="O1376" t="str" cm="1">
        <f t="array" ref="O1376">_xlfn.IFS(
tbl_analysis_tickets[[#This Row],[agent_experience_years]]&lt;=2,"Junior",
tbl_analysis_tickets[[#This Row],[agent_experience_years]]&lt;=5,"Mid-Level",
tbl_analysis_tickets[[#This Row],[agent_experience_years]]&lt;=8,"Senior",
tbl_analysis_tickets[[#This Row],[agent_experience_years]]&gt;8,"Expert"
)</f>
        <v>Senior</v>
      </c>
      <c r="P1376" cm="1">
        <f t="array" ref="P1376">_xlfn.SWITCH(tbl_analysis_tickets[[#This Row],[customer_satisfaction]],
"Low",1,
"Medium",2,
"High",3
)</f>
        <v>2</v>
      </c>
      <c r="Q1376">
        <f>IF(tbl_analysis_tickets[[#This Row],[reopened]]="Yes",1,0)</f>
        <v>0</v>
      </c>
      <c r="R1376" t="str" cm="1">
        <f t="array" ref="R1376">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376" t="str" cm="1">
        <f t="array" ref="S137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376" t="str">
        <f>TEXT(tbl_analysis_tickets[[#This Row],[created_date]],"mmm-yyyy")</f>
        <v>Jan-2024</v>
      </c>
      <c r="U1376" t="str">
        <f>TEXT(tbl_analysis_tickets[[#This Row],[created_date]],"dddd")</f>
        <v>Tuesday</v>
      </c>
      <c r="V1376" cm="1">
        <f t="array" ref="V1376">_xlfn.SWITCH(tbl_analysis_tickets[[#This Row],[priority]],
"Urgent",1,
"High",2,
"Medium",3,
"Low",4
)</f>
        <v>3</v>
      </c>
    </row>
    <row r="1377" spans="1:22" x14ac:dyDescent="0.25">
      <c r="A1377">
        <v>1376</v>
      </c>
      <c r="B1377" s="1">
        <v>45490</v>
      </c>
      <c r="C1377" t="s">
        <v>21</v>
      </c>
      <c r="D1377" t="s">
        <v>15</v>
      </c>
      <c r="E1377">
        <v>111</v>
      </c>
      <c r="F1377">
        <v>57</v>
      </c>
      <c r="G1377">
        <v>4.5</v>
      </c>
      <c r="H1377" t="s">
        <v>12</v>
      </c>
      <c r="I1377" t="s">
        <v>19</v>
      </c>
      <c r="J1377" t="s">
        <v>11</v>
      </c>
      <c r="K1377">
        <f>_xlfn.XLOOKUP(tbl_analysis_tickets[[#This Row],[priority]],tbl_sla[priority],tbl_sla[Resolution SLA Hours])</f>
        <v>48</v>
      </c>
      <c r="L1377">
        <f>_xlfn.XLOOKUP(tbl_analysis_tickets[[#This Row],[priority]],tbl_sla[priority],tbl_sla[First Response SLA Minutes])</f>
        <v>120</v>
      </c>
      <c r="M1377" t="str">
        <f>IF(tbl_analysis_tickets[[#This Row],[resolution_time_hours]]&gt;tbl_analysis_tickets[[#This Row],[Resolution SLA Hours]],"Breached","Within SLA")</f>
        <v>Breached</v>
      </c>
      <c r="N1377" t="str">
        <f>IF(tbl_analysis_tickets[[#This Row],[first_response_minutes]]&gt;tbl_analysis_tickets[[#This Row],[First Response SLA Minutes]],"Breached","Within SLA")</f>
        <v>Within SLA</v>
      </c>
      <c r="O1377" t="str" cm="1">
        <f t="array" ref="O1377">_xlfn.IFS(
tbl_analysis_tickets[[#This Row],[agent_experience_years]]&lt;=2,"Junior",
tbl_analysis_tickets[[#This Row],[agent_experience_years]]&lt;=5,"Mid-Level",
tbl_analysis_tickets[[#This Row],[agent_experience_years]]&lt;=8,"Senior",
tbl_analysis_tickets[[#This Row],[agent_experience_years]]&gt;8,"Expert"
)</f>
        <v>Mid-Level</v>
      </c>
      <c r="P1377" cm="1">
        <f t="array" ref="P1377">_xlfn.SWITCH(tbl_analysis_tickets[[#This Row],[customer_satisfaction]],
"Low",1,
"Medium",2,
"High",3
)</f>
        <v>1</v>
      </c>
      <c r="Q1377">
        <f>IF(tbl_analysis_tickets[[#This Row],[reopened]]="Yes",1,0)</f>
        <v>1</v>
      </c>
      <c r="R1377" t="str" cm="1">
        <f t="array" ref="R1377">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377" t="str" cm="1">
        <f t="array" ref="S137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377" t="str">
        <f>TEXT(tbl_analysis_tickets[[#This Row],[created_date]],"mmm-yyyy")</f>
        <v>Jul-2024</v>
      </c>
      <c r="U1377" t="str">
        <f>TEXT(tbl_analysis_tickets[[#This Row],[created_date]],"dddd")</f>
        <v>Wednesday</v>
      </c>
      <c r="V1377" cm="1">
        <f t="array" ref="V1377">_xlfn.SWITCH(tbl_analysis_tickets[[#This Row],[priority]],
"Urgent",1,
"High",2,
"Medium",3,
"Low",4
)</f>
        <v>3</v>
      </c>
    </row>
    <row r="1378" spans="1:22" x14ac:dyDescent="0.25">
      <c r="A1378">
        <v>1377</v>
      </c>
      <c r="B1378" s="1">
        <v>45657</v>
      </c>
      <c r="C1378" t="s">
        <v>22</v>
      </c>
      <c r="D1378" t="s">
        <v>15</v>
      </c>
      <c r="E1378">
        <v>54</v>
      </c>
      <c r="F1378">
        <v>69</v>
      </c>
      <c r="G1378">
        <v>2</v>
      </c>
      <c r="H1378" t="s">
        <v>12</v>
      </c>
      <c r="I1378" t="s">
        <v>16</v>
      </c>
      <c r="J1378" t="s">
        <v>11</v>
      </c>
      <c r="K1378">
        <f>_xlfn.XLOOKUP(tbl_analysis_tickets[[#This Row],[priority]],tbl_sla[priority],tbl_sla[Resolution SLA Hours])</f>
        <v>48</v>
      </c>
      <c r="L1378">
        <f>_xlfn.XLOOKUP(tbl_analysis_tickets[[#This Row],[priority]],tbl_sla[priority],tbl_sla[First Response SLA Minutes])</f>
        <v>120</v>
      </c>
      <c r="M1378" t="str">
        <f>IF(tbl_analysis_tickets[[#This Row],[resolution_time_hours]]&gt;tbl_analysis_tickets[[#This Row],[Resolution SLA Hours]],"Breached","Within SLA")</f>
        <v>Breached</v>
      </c>
      <c r="N1378" t="str">
        <f>IF(tbl_analysis_tickets[[#This Row],[first_response_minutes]]&gt;tbl_analysis_tickets[[#This Row],[First Response SLA Minutes]],"Breached","Within SLA")</f>
        <v>Within SLA</v>
      </c>
      <c r="O1378" t="str" cm="1">
        <f t="array" ref="O1378">_xlfn.IFS(
tbl_analysis_tickets[[#This Row],[agent_experience_years]]&lt;=2,"Junior",
tbl_analysis_tickets[[#This Row],[agent_experience_years]]&lt;=5,"Mid-Level",
tbl_analysis_tickets[[#This Row],[agent_experience_years]]&lt;=8,"Senior",
tbl_analysis_tickets[[#This Row],[agent_experience_years]]&gt;8,"Expert"
)</f>
        <v>Junior</v>
      </c>
      <c r="P1378" cm="1">
        <f t="array" ref="P1378">_xlfn.SWITCH(tbl_analysis_tickets[[#This Row],[customer_satisfaction]],
"Low",1,
"Medium",2,
"High",3
)</f>
        <v>1</v>
      </c>
      <c r="Q1378">
        <f>IF(tbl_analysis_tickets[[#This Row],[reopened]]="Yes",1,0)</f>
        <v>1</v>
      </c>
      <c r="R1378" t="str" cm="1">
        <f t="array" ref="R1378">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378" t="str" cm="1">
        <f t="array" ref="S137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378" t="str">
        <f>TEXT(tbl_analysis_tickets[[#This Row],[created_date]],"mmm-yyyy")</f>
        <v>Dec-2024</v>
      </c>
      <c r="U1378" t="str">
        <f>TEXT(tbl_analysis_tickets[[#This Row],[created_date]],"dddd")</f>
        <v>Tuesday</v>
      </c>
      <c r="V1378" cm="1">
        <f t="array" ref="V1378">_xlfn.SWITCH(tbl_analysis_tickets[[#This Row],[priority]],
"Urgent",1,
"High",2,
"Medium",3,
"Low",4
)</f>
        <v>3</v>
      </c>
    </row>
    <row r="1379" spans="1:22" x14ac:dyDescent="0.25">
      <c r="A1379">
        <v>1378</v>
      </c>
      <c r="B1379" s="1">
        <v>45555</v>
      </c>
      <c r="C1379" t="s">
        <v>14</v>
      </c>
      <c r="D1379" t="s">
        <v>15</v>
      </c>
      <c r="E1379">
        <v>165</v>
      </c>
      <c r="F1379">
        <v>54</v>
      </c>
      <c r="G1379">
        <v>5.0999999999999996</v>
      </c>
      <c r="H1379" t="s">
        <v>18</v>
      </c>
      <c r="I1379" t="s">
        <v>19</v>
      </c>
      <c r="J1379" t="s">
        <v>15</v>
      </c>
      <c r="K1379">
        <f>_xlfn.XLOOKUP(tbl_analysis_tickets[[#This Row],[priority]],tbl_sla[priority],tbl_sla[Resolution SLA Hours])</f>
        <v>48</v>
      </c>
      <c r="L1379">
        <f>_xlfn.XLOOKUP(tbl_analysis_tickets[[#This Row],[priority]],tbl_sla[priority],tbl_sla[First Response SLA Minutes])</f>
        <v>120</v>
      </c>
      <c r="M1379" t="str">
        <f>IF(tbl_analysis_tickets[[#This Row],[resolution_time_hours]]&gt;tbl_analysis_tickets[[#This Row],[Resolution SLA Hours]],"Breached","Within SLA")</f>
        <v>Breached</v>
      </c>
      <c r="N1379" t="str">
        <f>IF(tbl_analysis_tickets[[#This Row],[first_response_minutes]]&gt;tbl_analysis_tickets[[#This Row],[First Response SLA Minutes]],"Breached","Within SLA")</f>
        <v>Breached</v>
      </c>
      <c r="O1379" t="str" cm="1">
        <f t="array" ref="O1379">_xlfn.IFS(
tbl_analysis_tickets[[#This Row],[agent_experience_years]]&lt;=2,"Junior",
tbl_analysis_tickets[[#This Row],[agent_experience_years]]&lt;=5,"Mid-Level",
tbl_analysis_tickets[[#This Row],[agent_experience_years]]&lt;=8,"Senior",
tbl_analysis_tickets[[#This Row],[agent_experience_years]]&gt;8,"Expert"
)</f>
        <v>Senior</v>
      </c>
      <c r="P1379" cm="1">
        <f t="array" ref="P1379">_xlfn.SWITCH(tbl_analysis_tickets[[#This Row],[customer_satisfaction]],
"Low",1,
"Medium",2,
"High",3
)</f>
        <v>2</v>
      </c>
      <c r="Q1379">
        <f>IF(tbl_analysis_tickets[[#This Row],[reopened]]="Yes",1,0)</f>
        <v>0</v>
      </c>
      <c r="R1379" t="str" cm="1">
        <f t="array" ref="R1379">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379" t="str" cm="1">
        <f t="array" ref="S137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379" t="str">
        <f>TEXT(tbl_analysis_tickets[[#This Row],[created_date]],"mmm-yyyy")</f>
        <v>Sep-2024</v>
      </c>
      <c r="U1379" t="str">
        <f>TEXT(tbl_analysis_tickets[[#This Row],[created_date]],"dddd")</f>
        <v>Friday</v>
      </c>
      <c r="V1379" cm="1">
        <f t="array" ref="V1379">_xlfn.SWITCH(tbl_analysis_tickets[[#This Row],[priority]],
"Urgent",1,
"High",2,
"Medium",3,
"Low",4
)</f>
        <v>3</v>
      </c>
    </row>
    <row r="1380" spans="1:22" x14ac:dyDescent="0.25">
      <c r="A1380">
        <v>1379</v>
      </c>
      <c r="B1380" s="1">
        <v>45456</v>
      </c>
      <c r="C1380" t="s">
        <v>23</v>
      </c>
      <c r="D1380" t="s">
        <v>20</v>
      </c>
      <c r="E1380">
        <v>65</v>
      </c>
      <c r="F1380">
        <v>20</v>
      </c>
      <c r="G1380">
        <v>8.6</v>
      </c>
      <c r="H1380" t="s">
        <v>18</v>
      </c>
      <c r="I1380" t="s">
        <v>19</v>
      </c>
      <c r="J1380" t="s">
        <v>11</v>
      </c>
      <c r="K1380">
        <f>_xlfn.XLOOKUP(tbl_analysis_tickets[[#This Row],[priority]],tbl_sla[priority],tbl_sla[Resolution SLA Hours])</f>
        <v>24</v>
      </c>
      <c r="L1380">
        <f>_xlfn.XLOOKUP(tbl_analysis_tickets[[#This Row],[priority]],tbl_sla[priority],tbl_sla[First Response SLA Minutes])</f>
        <v>60</v>
      </c>
      <c r="M1380" t="str">
        <f>IF(tbl_analysis_tickets[[#This Row],[resolution_time_hours]]&gt;tbl_analysis_tickets[[#This Row],[Resolution SLA Hours]],"Breached","Within SLA")</f>
        <v>Within SLA</v>
      </c>
      <c r="N1380" t="str">
        <f>IF(tbl_analysis_tickets[[#This Row],[first_response_minutes]]&gt;tbl_analysis_tickets[[#This Row],[First Response SLA Minutes]],"Breached","Within SLA")</f>
        <v>Breached</v>
      </c>
      <c r="O1380" t="str" cm="1">
        <f t="array" ref="O1380">_xlfn.IFS(
tbl_analysis_tickets[[#This Row],[agent_experience_years]]&lt;=2,"Junior",
tbl_analysis_tickets[[#This Row],[agent_experience_years]]&lt;=5,"Mid-Level",
tbl_analysis_tickets[[#This Row],[agent_experience_years]]&lt;=8,"Senior",
tbl_analysis_tickets[[#This Row],[agent_experience_years]]&gt;8,"Expert"
)</f>
        <v>Expert</v>
      </c>
      <c r="P1380" cm="1">
        <f t="array" ref="P1380">_xlfn.SWITCH(tbl_analysis_tickets[[#This Row],[customer_satisfaction]],
"Low",1,
"Medium",2,
"High",3
)</f>
        <v>1</v>
      </c>
      <c r="Q1380">
        <f>IF(tbl_analysis_tickets[[#This Row],[reopened]]="Yes",1,0)</f>
        <v>0</v>
      </c>
      <c r="R1380" t="str" cm="1">
        <f t="array" ref="R1380">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380" t="str" cm="1">
        <f t="array" ref="S138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380" t="str">
        <f>TEXT(tbl_analysis_tickets[[#This Row],[created_date]],"mmm-yyyy")</f>
        <v>Jun-2024</v>
      </c>
      <c r="U1380" t="str">
        <f>TEXT(tbl_analysis_tickets[[#This Row],[created_date]],"dddd")</f>
        <v>Thursday</v>
      </c>
      <c r="V1380" cm="1">
        <f t="array" ref="V1380">_xlfn.SWITCH(tbl_analysis_tickets[[#This Row],[priority]],
"Urgent",1,
"High",2,
"Medium",3,
"Low",4
)</f>
        <v>2</v>
      </c>
    </row>
    <row r="1381" spans="1:22" x14ac:dyDescent="0.25">
      <c r="A1381">
        <v>1380</v>
      </c>
      <c r="B1381" s="1">
        <v>45480</v>
      </c>
      <c r="C1381" t="s">
        <v>23</v>
      </c>
      <c r="D1381" t="s">
        <v>15</v>
      </c>
      <c r="E1381">
        <v>7</v>
      </c>
      <c r="F1381">
        <v>19</v>
      </c>
      <c r="G1381">
        <v>3.3</v>
      </c>
      <c r="H1381" t="s">
        <v>12</v>
      </c>
      <c r="I1381" t="s">
        <v>16</v>
      </c>
      <c r="J1381" t="s">
        <v>15</v>
      </c>
      <c r="K1381">
        <f>_xlfn.XLOOKUP(tbl_analysis_tickets[[#This Row],[priority]],tbl_sla[priority],tbl_sla[Resolution SLA Hours])</f>
        <v>48</v>
      </c>
      <c r="L1381">
        <f>_xlfn.XLOOKUP(tbl_analysis_tickets[[#This Row],[priority]],tbl_sla[priority],tbl_sla[First Response SLA Minutes])</f>
        <v>120</v>
      </c>
      <c r="M1381" t="str">
        <f>IF(tbl_analysis_tickets[[#This Row],[resolution_time_hours]]&gt;tbl_analysis_tickets[[#This Row],[Resolution SLA Hours]],"Breached","Within SLA")</f>
        <v>Within SLA</v>
      </c>
      <c r="N1381" t="str">
        <f>IF(tbl_analysis_tickets[[#This Row],[first_response_minutes]]&gt;tbl_analysis_tickets[[#This Row],[First Response SLA Minutes]],"Breached","Within SLA")</f>
        <v>Within SLA</v>
      </c>
      <c r="O1381" t="str" cm="1">
        <f t="array" ref="O1381">_xlfn.IFS(
tbl_analysis_tickets[[#This Row],[agent_experience_years]]&lt;=2,"Junior",
tbl_analysis_tickets[[#This Row],[agent_experience_years]]&lt;=5,"Mid-Level",
tbl_analysis_tickets[[#This Row],[agent_experience_years]]&lt;=8,"Senior",
tbl_analysis_tickets[[#This Row],[agent_experience_years]]&gt;8,"Expert"
)</f>
        <v>Mid-Level</v>
      </c>
      <c r="P1381" cm="1">
        <f t="array" ref="P1381">_xlfn.SWITCH(tbl_analysis_tickets[[#This Row],[customer_satisfaction]],
"Low",1,
"Medium",2,
"High",3
)</f>
        <v>2</v>
      </c>
      <c r="Q1381">
        <f>IF(tbl_analysis_tickets[[#This Row],[reopened]]="Yes",1,0)</f>
        <v>1</v>
      </c>
      <c r="R1381" t="str" cm="1">
        <f t="array" ref="R1381">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1381" t="str" cm="1">
        <f t="array" ref="S138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381" t="str">
        <f>TEXT(tbl_analysis_tickets[[#This Row],[created_date]],"mmm-yyyy")</f>
        <v>Jul-2024</v>
      </c>
      <c r="U1381" t="str">
        <f>TEXT(tbl_analysis_tickets[[#This Row],[created_date]],"dddd")</f>
        <v>Sunday</v>
      </c>
      <c r="V1381" cm="1">
        <f t="array" ref="V1381">_xlfn.SWITCH(tbl_analysis_tickets[[#This Row],[priority]],
"Urgent",1,
"High",2,
"Medium",3,
"Low",4
)</f>
        <v>3</v>
      </c>
    </row>
    <row r="1382" spans="1:22" x14ac:dyDescent="0.25">
      <c r="A1382">
        <v>1381</v>
      </c>
      <c r="B1382" s="1">
        <v>45620</v>
      </c>
      <c r="C1382" t="s">
        <v>22</v>
      </c>
      <c r="D1382" t="s">
        <v>20</v>
      </c>
      <c r="E1382">
        <v>134</v>
      </c>
      <c r="F1382">
        <v>9</v>
      </c>
      <c r="G1382">
        <v>2</v>
      </c>
      <c r="H1382" t="s">
        <v>12</v>
      </c>
      <c r="I1382" t="s">
        <v>13</v>
      </c>
      <c r="J1382" t="s">
        <v>11</v>
      </c>
      <c r="K1382">
        <f>_xlfn.XLOOKUP(tbl_analysis_tickets[[#This Row],[priority]],tbl_sla[priority],tbl_sla[Resolution SLA Hours])</f>
        <v>24</v>
      </c>
      <c r="L1382">
        <f>_xlfn.XLOOKUP(tbl_analysis_tickets[[#This Row],[priority]],tbl_sla[priority],tbl_sla[First Response SLA Minutes])</f>
        <v>60</v>
      </c>
      <c r="M1382" t="str">
        <f>IF(tbl_analysis_tickets[[#This Row],[resolution_time_hours]]&gt;tbl_analysis_tickets[[#This Row],[Resolution SLA Hours]],"Breached","Within SLA")</f>
        <v>Within SLA</v>
      </c>
      <c r="N1382" t="str">
        <f>IF(tbl_analysis_tickets[[#This Row],[first_response_minutes]]&gt;tbl_analysis_tickets[[#This Row],[First Response SLA Minutes]],"Breached","Within SLA")</f>
        <v>Breached</v>
      </c>
      <c r="O1382" t="str" cm="1">
        <f t="array" ref="O1382">_xlfn.IFS(
tbl_analysis_tickets[[#This Row],[agent_experience_years]]&lt;=2,"Junior",
tbl_analysis_tickets[[#This Row],[agent_experience_years]]&lt;=5,"Mid-Level",
tbl_analysis_tickets[[#This Row],[agent_experience_years]]&lt;=8,"Senior",
tbl_analysis_tickets[[#This Row],[agent_experience_years]]&gt;8,"Expert"
)</f>
        <v>Junior</v>
      </c>
      <c r="P1382" cm="1">
        <f t="array" ref="P1382">_xlfn.SWITCH(tbl_analysis_tickets[[#This Row],[customer_satisfaction]],
"Low",1,
"Medium",2,
"High",3
)</f>
        <v>1</v>
      </c>
      <c r="Q1382">
        <f>IF(tbl_analysis_tickets[[#This Row],[reopened]]="Yes",1,0)</f>
        <v>1</v>
      </c>
      <c r="R1382" t="str" cm="1">
        <f t="array" ref="R1382">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382" t="str" cm="1">
        <f t="array" ref="S138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382" t="str">
        <f>TEXT(tbl_analysis_tickets[[#This Row],[created_date]],"mmm-yyyy")</f>
        <v>Nov-2024</v>
      </c>
      <c r="U1382" t="str">
        <f>TEXT(tbl_analysis_tickets[[#This Row],[created_date]],"dddd")</f>
        <v>Sunday</v>
      </c>
      <c r="V1382" cm="1">
        <f t="array" ref="V1382">_xlfn.SWITCH(tbl_analysis_tickets[[#This Row],[priority]],
"Urgent",1,
"High",2,
"Medium",3,
"Low",4
)</f>
        <v>2</v>
      </c>
    </row>
    <row r="1383" spans="1:22" x14ac:dyDescent="0.25">
      <c r="A1383">
        <v>1382</v>
      </c>
      <c r="B1383" s="1">
        <v>45647</v>
      </c>
      <c r="C1383" t="s">
        <v>22</v>
      </c>
      <c r="D1383" t="s">
        <v>20</v>
      </c>
      <c r="E1383">
        <v>177</v>
      </c>
      <c r="F1383">
        <v>59</v>
      </c>
      <c r="G1383">
        <v>5.2</v>
      </c>
      <c r="H1383" t="s">
        <v>18</v>
      </c>
      <c r="I1383" t="s">
        <v>16</v>
      </c>
      <c r="J1383" t="s">
        <v>11</v>
      </c>
      <c r="K1383">
        <f>_xlfn.XLOOKUP(tbl_analysis_tickets[[#This Row],[priority]],tbl_sla[priority],tbl_sla[Resolution SLA Hours])</f>
        <v>24</v>
      </c>
      <c r="L1383">
        <f>_xlfn.XLOOKUP(tbl_analysis_tickets[[#This Row],[priority]],tbl_sla[priority],tbl_sla[First Response SLA Minutes])</f>
        <v>60</v>
      </c>
      <c r="M1383" t="str">
        <f>IF(tbl_analysis_tickets[[#This Row],[resolution_time_hours]]&gt;tbl_analysis_tickets[[#This Row],[Resolution SLA Hours]],"Breached","Within SLA")</f>
        <v>Breached</v>
      </c>
      <c r="N1383" t="str">
        <f>IF(tbl_analysis_tickets[[#This Row],[first_response_minutes]]&gt;tbl_analysis_tickets[[#This Row],[First Response SLA Minutes]],"Breached","Within SLA")</f>
        <v>Breached</v>
      </c>
      <c r="O1383" t="str" cm="1">
        <f t="array" ref="O1383">_xlfn.IFS(
tbl_analysis_tickets[[#This Row],[agent_experience_years]]&lt;=2,"Junior",
tbl_analysis_tickets[[#This Row],[agent_experience_years]]&lt;=5,"Mid-Level",
tbl_analysis_tickets[[#This Row],[agent_experience_years]]&lt;=8,"Senior",
tbl_analysis_tickets[[#This Row],[agent_experience_years]]&gt;8,"Expert"
)</f>
        <v>Senior</v>
      </c>
      <c r="P1383" cm="1">
        <f t="array" ref="P1383">_xlfn.SWITCH(tbl_analysis_tickets[[#This Row],[customer_satisfaction]],
"Low",1,
"Medium",2,
"High",3
)</f>
        <v>1</v>
      </c>
      <c r="Q1383">
        <f>IF(tbl_analysis_tickets[[#This Row],[reopened]]="Yes",1,0)</f>
        <v>0</v>
      </c>
      <c r="R1383" t="str" cm="1">
        <f t="array" ref="R1383">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383" t="str" cm="1">
        <f t="array" ref="S138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383" t="str">
        <f>TEXT(tbl_analysis_tickets[[#This Row],[created_date]],"mmm-yyyy")</f>
        <v>Dec-2024</v>
      </c>
      <c r="U1383" t="str">
        <f>TEXT(tbl_analysis_tickets[[#This Row],[created_date]],"dddd")</f>
        <v>Saturday</v>
      </c>
      <c r="V1383" cm="1">
        <f t="array" ref="V1383">_xlfn.SWITCH(tbl_analysis_tickets[[#This Row],[priority]],
"Urgent",1,
"High",2,
"Medium",3,
"Low",4
)</f>
        <v>2</v>
      </c>
    </row>
    <row r="1384" spans="1:22" x14ac:dyDescent="0.25">
      <c r="A1384">
        <v>1383</v>
      </c>
      <c r="B1384" s="1">
        <v>45645</v>
      </c>
      <c r="C1384" t="s">
        <v>23</v>
      </c>
      <c r="D1384" t="s">
        <v>15</v>
      </c>
      <c r="E1384">
        <v>45</v>
      </c>
      <c r="F1384">
        <v>25</v>
      </c>
      <c r="G1384">
        <v>9.6</v>
      </c>
      <c r="H1384" t="s">
        <v>12</v>
      </c>
      <c r="I1384" t="s">
        <v>19</v>
      </c>
      <c r="J1384" t="s">
        <v>11</v>
      </c>
      <c r="K1384">
        <f>_xlfn.XLOOKUP(tbl_analysis_tickets[[#This Row],[priority]],tbl_sla[priority],tbl_sla[Resolution SLA Hours])</f>
        <v>48</v>
      </c>
      <c r="L1384">
        <f>_xlfn.XLOOKUP(tbl_analysis_tickets[[#This Row],[priority]],tbl_sla[priority],tbl_sla[First Response SLA Minutes])</f>
        <v>120</v>
      </c>
      <c r="M1384" t="str">
        <f>IF(tbl_analysis_tickets[[#This Row],[resolution_time_hours]]&gt;tbl_analysis_tickets[[#This Row],[Resolution SLA Hours]],"Breached","Within SLA")</f>
        <v>Within SLA</v>
      </c>
      <c r="N1384" t="str">
        <f>IF(tbl_analysis_tickets[[#This Row],[first_response_minutes]]&gt;tbl_analysis_tickets[[#This Row],[First Response SLA Minutes]],"Breached","Within SLA")</f>
        <v>Within SLA</v>
      </c>
      <c r="O1384" t="str" cm="1">
        <f t="array" ref="O1384">_xlfn.IFS(
tbl_analysis_tickets[[#This Row],[agent_experience_years]]&lt;=2,"Junior",
tbl_analysis_tickets[[#This Row],[agent_experience_years]]&lt;=5,"Mid-Level",
tbl_analysis_tickets[[#This Row],[agent_experience_years]]&lt;=8,"Senior",
tbl_analysis_tickets[[#This Row],[agent_experience_years]]&gt;8,"Expert"
)</f>
        <v>Expert</v>
      </c>
      <c r="P1384" cm="1">
        <f t="array" ref="P1384">_xlfn.SWITCH(tbl_analysis_tickets[[#This Row],[customer_satisfaction]],
"Low",1,
"Medium",2,
"High",3
)</f>
        <v>1</v>
      </c>
      <c r="Q1384">
        <f>IF(tbl_analysis_tickets[[#This Row],[reopened]]="Yes",1,0)</f>
        <v>1</v>
      </c>
      <c r="R1384" t="str" cm="1">
        <f t="array" ref="R1384">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384" t="str" cm="1">
        <f t="array" ref="S138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384" t="str">
        <f>TEXT(tbl_analysis_tickets[[#This Row],[created_date]],"mmm-yyyy")</f>
        <v>Dec-2024</v>
      </c>
      <c r="U1384" t="str">
        <f>TEXT(tbl_analysis_tickets[[#This Row],[created_date]],"dddd")</f>
        <v>Thursday</v>
      </c>
      <c r="V1384" cm="1">
        <f t="array" ref="V1384">_xlfn.SWITCH(tbl_analysis_tickets[[#This Row],[priority]],
"Urgent",1,
"High",2,
"Medium",3,
"Low",4
)</f>
        <v>3</v>
      </c>
    </row>
    <row r="1385" spans="1:22" x14ac:dyDescent="0.25">
      <c r="A1385">
        <v>1384</v>
      </c>
      <c r="B1385" s="1">
        <v>45399</v>
      </c>
      <c r="C1385" t="s">
        <v>23</v>
      </c>
      <c r="D1385" t="s">
        <v>20</v>
      </c>
      <c r="E1385">
        <v>144</v>
      </c>
      <c r="F1385">
        <v>49</v>
      </c>
      <c r="G1385">
        <v>9.1</v>
      </c>
      <c r="H1385" t="s">
        <v>12</v>
      </c>
      <c r="I1385" t="s">
        <v>19</v>
      </c>
      <c r="J1385" t="s">
        <v>11</v>
      </c>
      <c r="K1385">
        <f>_xlfn.XLOOKUP(tbl_analysis_tickets[[#This Row],[priority]],tbl_sla[priority],tbl_sla[Resolution SLA Hours])</f>
        <v>24</v>
      </c>
      <c r="L1385">
        <f>_xlfn.XLOOKUP(tbl_analysis_tickets[[#This Row],[priority]],tbl_sla[priority],tbl_sla[First Response SLA Minutes])</f>
        <v>60</v>
      </c>
      <c r="M1385" t="str">
        <f>IF(tbl_analysis_tickets[[#This Row],[resolution_time_hours]]&gt;tbl_analysis_tickets[[#This Row],[Resolution SLA Hours]],"Breached","Within SLA")</f>
        <v>Breached</v>
      </c>
      <c r="N1385" t="str">
        <f>IF(tbl_analysis_tickets[[#This Row],[first_response_minutes]]&gt;tbl_analysis_tickets[[#This Row],[First Response SLA Minutes]],"Breached","Within SLA")</f>
        <v>Breached</v>
      </c>
      <c r="O1385" t="str" cm="1">
        <f t="array" ref="O1385">_xlfn.IFS(
tbl_analysis_tickets[[#This Row],[agent_experience_years]]&lt;=2,"Junior",
tbl_analysis_tickets[[#This Row],[agent_experience_years]]&lt;=5,"Mid-Level",
tbl_analysis_tickets[[#This Row],[agent_experience_years]]&lt;=8,"Senior",
tbl_analysis_tickets[[#This Row],[agent_experience_years]]&gt;8,"Expert"
)</f>
        <v>Expert</v>
      </c>
      <c r="P1385" cm="1">
        <f t="array" ref="P1385">_xlfn.SWITCH(tbl_analysis_tickets[[#This Row],[customer_satisfaction]],
"Low",1,
"Medium",2,
"High",3
)</f>
        <v>1</v>
      </c>
      <c r="Q1385">
        <f>IF(tbl_analysis_tickets[[#This Row],[reopened]]="Yes",1,0)</f>
        <v>1</v>
      </c>
      <c r="R1385" t="str" cm="1">
        <f t="array" ref="R1385">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385" t="str" cm="1">
        <f t="array" ref="S138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385" t="str">
        <f>TEXT(tbl_analysis_tickets[[#This Row],[created_date]],"mmm-yyyy")</f>
        <v>Apr-2024</v>
      </c>
      <c r="U1385" t="str">
        <f>TEXT(tbl_analysis_tickets[[#This Row],[created_date]],"dddd")</f>
        <v>Wednesday</v>
      </c>
      <c r="V1385" cm="1">
        <f t="array" ref="V1385">_xlfn.SWITCH(tbl_analysis_tickets[[#This Row],[priority]],
"Urgent",1,
"High",2,
"Medium",3,
"Low",4
)</f>
        <v>2</v>
      </c>
    </row>
    <row r="1386" spans="1:22" x14ac:dyDescent="0.25">
      <c r="A1386">
        <v>1385</v>
      </c>
      <c r="B1386" s="1">
        <v>45456</v>
      </c>
      <c r="C1386" t="s">
        <v>23</v>
      </c>
      <c r="D1386" t="s">
        <v>15</v>
      </c>
      <c r="E1386">
        <v>104</v>
      </c>
      <c r="F1386">
        <v>1</v>
      </c>
      <c r="G1386">
        <v>1.3</v>
      </c>
      <c r="H1386" t="s">
        <v>18</v>
      </c>
      <c r="I1386" t="s">
        <v>16</v>
      </c>
      <c r="J1386" t="s">
        <v>15</v>
      </c>
      <c r="K1386">
        <f>_xlfn.XLOOKUP(tbl_analysis_tickets[[#This Row],[priority]],tbl_sla[priority],tbl_sla[Resolution SLA Hours])</f>
        <v>48</v>
      </c>
      <c r="L1386">
        <f>_xlfn.XLOOKUP(tbl_analysis_tickets[[#This Row],[priority]],tbl_sla[priority],tbl_sla[First Response SLA Minutes])</f>
        <v>120</v>
      </c>
      <c r="M1386" t="str">
        <f>IF(tbl_analysis_tickets[[#This Row],[resolution_time_hours]]&gt;tbl_analysis_tickets[[#This Row],[Resolution SLA Hours]],"Breached","Within SLA")</f>
        <v>Within SLA</v>
      </c>
      <c r="N1386" t="str">
        <f>IF(tbl_analysis_tickets[[#This Row],[first_response_minutes]]&gt;tbl_analysis_tickets[[#This Row],[First Response SLA Minutes]],"Breached","Within SLA")</f>
        <v>Within SLA</v>
      </c>
      <c r="O1386" t="str" cm="1">
        <f t="array" ref="O1386">_xlfn.IFS(
tbl_analysis_tickets[[#This Row],[agent_experience_years]]&lt;=2,"Junior",
tbl_analysis_tickets[[#This Row],[agent_experience_years]]&lt;=5,"Mid-Level",
tbl_analysis_tickets[[#This Row],[agent_experience_years]]&lt;=8,"Senior",
tbl_analysis_tickets[[#This Row],[agent_experience_years]]&gt;8,"Expert"
)</f>
        <v>Junior</v>
      </c>
      <c r="P1386" cm="1">
        <f t="array" ref="P1386">_xlfn.SWITCH(tbl_analysis_tickets[[#This Row],[customer_satisfaction]],
"Low",1,
"Medium",2,
"High",3
)</f>
        <v>2</v>
      </c>
      <c r="Q1386">
        <f>IF(tbl_analysis_tickets[[#This Row],[reopened]]="Yes",1,0)</f>
        <v>0</v>
      </c>
      <c r="R1386" t="str" cm="1">
        <f t="array" ref="R1386">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386" t="str" cm="1">
        <f t="array" ref="S138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1386" t="str">
        <f>TEXT(tbl_analysis_tickets[[#This Row],[created_date]],"mmm-yyyy")</f>
        <v>Jun-2024</v>
      </c>
      <c r="U1386" t="str">
        <f>TEXT(tbl_analysis_tickets[[#This Row],[created_date]],"dddd")</f>
        <v>Thursday</v>
      </c>
      <c r="V1386" cm="1">
        <f t="array" ref="V1386">_xlfn.SWITCH(tbl_analysis_tickets[[#This Row],[priority]],
"Urgent",1,
"High",2,
"Medium",3,
"Low",4
)</f>
        <v>3</v>
      </c>
    </row>
    <row r="1387" spans="1:22" x14ac:dyDescent="0.25">
      <c r="A1387">
        <v>1386</v>
      </c>
      <c r="B1387" s="1">
        <v>45457</v>
      </c>
      <c r="C1387" t="s">
        <v>10</v>
      </c>
      <c r="D1387" t="s">
        <v>15</v>
      </c>
      <c r="E1387">
        <v>240</v>
      </c>
      <c r="F1387">
        <v>2</v>
      </c>
      <c r="G1387">
        <v>2.6</v>
      </c>
      <c r="H1387" t="s">
        <v>12</v>
      </c>
      <c r="I1387" t="s">
        <v>16</v>
      </c>
      <c r="J1387" t="s">
        <v>15</v>
      </c>
      <c r="K1387">
        <f>_xlfn.XLOOKUP(tbl_analysis_tickets[[#This Row],[priority]],tbl_sla[priority],tbl_sla[Resolution SLA Hours])</f>
        <v>48</v>
      </c>
      <c r="L1387">
        <f>_xlfn.XLOOKUP(tbl_analysis_tickets[[#This Row],[priority]],tbl_sla[priority],tbl_sla[First Response SLA Minutes])</f>
        <v>120</v>
      </c>
      <c r="M1387" t="str">
        <f>IF(tbl_analysis_tickets[[#This Row],[resolution_time_hours]]&gt;tbl_analysis_tickets[[#This Row],[Resolution SLA Hours]],"Breached","Within SLA")</f>
        <v>Within SLA</v>
      </c>
      <c r="N1387" t="str">
        <f>IF(tbl_analysis_tickets[[#This Row],[first_response_minutes]]&gt;tbl_analysis_tickets[[#This Row],[First Response SLA Minutes]],"Breached","Within SLA")</f>
        <v>Breached</v>
      </c>
      <c r="O1387" t="str" cm="1">
        <f t="array" ref="O1387">_xlfn.IFS(
tbl_analysis_tickets[[#This Row],[agent_experience_years]]&lt;=2,"Junior",
tbl_analysis_tickets[[#This Row],[agent_experience_years]]&lt;=5,"Mid-Level",
tbl_analysis_tickets[[#This Row],[agent_experience_years]]&lt;=8,"Senior",
tbl_analysis_tickets[[#This Row],[agent_experience_years]]&gt;8,"Expert"
)</f>
        <v>Mid-Level</v>
      </c>
      <c r="P1387" cm="1">
        <f t="array" ref="P1387">_xlfn.SWITCH(tbl_analysis_tickets[[#This Row],[customer_satisfaction]],
"Low",1,
"Medium",2,
"High",3
)</f>
        <v>2</v>
      </c>
      <c r="Q1387">
        <f>IF(tbl_analysis_tickets[[#This Row],[reopened]]="Yes",1,0)</f>
        <v>1</v>
      </c>
      <c r="R1387" t="str" cm="1">
        <f t="array" ref="R1387">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387" t="str" cm="1">
        <f t="array" ref="S138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1387" t="str">
        <f>TEXT(tbl_analysis_tickets[[#This Row],[created_date]],"mmm-yyyy")</f>
        <v>Jun-2024</v>
      </c>
      <c r="U1387" t="str">
        <f>TEXT(tbl_analysis_tickets[[#This Row],[created_date]],"dddd")</f>
        <v>Friday</v>
      </c>
      <c r="V1387" cm="1">
        <f t="array" ref="V1387">_xlfn.SWITCH(tbl_analysis_tickets[[#This Row],[priority]],
"Urgent",1,
"High",2,
"Medium",3,
"Low",4
)</f>
        <v>3</v>
      </c>
    </row>
    <row r="1388" spans="1:22" x14ac:dyDescent="0.25">
      <c r="A1388">
        <v>1387</v>
      </c>
      <c r="B1388" s="1">
        <v>45552</v>
      </c>
      <c r="C1388" t="s">
        <v>10</v>
      </c>
      <c r="D1388" t="s">
        <v>15</v>
      </c>
      <c r="E1388">
        <v>197</v>
      </c>
      <c r="F1388">
        <v>66</v>
      </c>
      <c r="G1388">
        <v>9.1</v>
      </c>
      <c r="H1388" t="s">
        <v>18</v>
      </c>
      <c r="I1388" t="s">
        <v>16</v>
      </c>
      <c r="J1388" t="s">
        <v>15</v>
      </c>
      <c r="K1388">
        <f>_xlfn.XLOOKUP(tbl_analysis_tickets[[#This Row],[priority]],tbl_sla[priority],tbl_sla[Resolution SLA Hours])</f>
        <v>48</v>
      </c>
      <c r="L1388">
        <f>_xlfn.XLOOKUP(tbl_analysis_tickets[[#This Row],[priority]],tbl_sla[priority],tbl_sla[First Response SLA Minutes])</f>
        <v>120</v>
      </c>
      <c r="M1388" t="str">
        <f>IF(tbl_analysis_tickets[[#This Row],[resolution_time_hours]]&gt;tbl_analysis_tickets[[#This Row],[Resolution SLA Hours]],"Breached","Within SLA")</f>
        <v>Breached</v>
      </c>
      <c r="N1388" t="str">
        <f>IF(tbl_analysis_tickets[[#This Row],[first_response_minutes]]&gt;tbl_analysis_tickets[[#This Row],[First Response SLA Minutes]],"Breached","Within SLA")</f>
        <v>Breached</v>
      </c>
      <c r="O1388" t="str" cm="1">
        <f t="array" ref="O1388">_xlfn.IFS(
tbl_analysis_tickets[[#This Row],[agent_experience_years]]&lt;=2,"Junior",
tbl_analysis_tickets[[#This Row],[agent_experience_years]]&lt;=5,"Mid-Level",
tbl_analysis_tickets[[#This Row],[agent_experience_years]]&lt;=8,"Senior",
tbl_analysis_tickets[[#This Row],[agent_experience_years]]&gt;8,"Expert"
)</f>
        <v>Expert</v>
      </c>
      <c r="P1388" cm="1">
        <f t="array" ref="P1388">_xlfn.SWITCH(tbl_analysis_tickets[[#This Row],[customer_satisfaction]],
"Low",1,
"Medium",2,
"High",3
)</f>
        <v>2</v>
      </c>
      <c r="Q1388">
        <f>IF(tbl_analysis_tickets[[#This Row],[reopened]]="Yes",1,0)</f>
        <v>0</v>
      </c>
      <c r="R1388" t="str" cm="1">
        <f t="array" ref="R1388">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388" t="str" cm="1">
        <f t="array" ref="S138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388" t="str">
        <f>TEXT(tbl_analysis_tickets[[#This Row],[created_date]],"mmm-yyyy")</f>
        <v>Sep-2024</v>
      </c>
      <c r="U1388" t="str">
        <f>TEXT(tbl_analysis_tickets[[#This Row],[created_date]],"dddd")</f>
        <v>Tuesday</v>
      </c>
      <c r="V1388" cm="1">
        <f t="array" ref="V1388">_xlfn.SWITCH(tbl_analysis_tickets[[#This Row],[priority]],
"Urgent",1,
"High",2,
"Medium",3,
"Low",4
)</f>
        <v>3</v>
      </c>
    </row>
    <row r="1389" spans="1:22" x14ac:dyDescent="0.25">
      <c r="A1389">
        <v>1388</v>
      </c>
      <c r="B1389" s="1">
        <v>45450</v>
      </c>
      <c r="C1389" t="s">
        <v>21</v>
      </c>
      <c r="D1389" t="s">
        <v>20</v>
      </c>
      <c r="E1389">
        <v>68</v>
      </c>
      <c r="F1389">
        <v>29</v>
      </c>
      <c r="G1389">
        <v>7.8</v>
      </c>
      <c r="H1389" t="s">
        <v>12</v>
      </c>
      <c r="I1389" t="s">
        <v>19</v>
      </c>
      <c r="J1389" t="s">
        <v>11</v>
      </c>
      <c r="K1389">
        <f>_xlfn.XLOOKUP(tbl_analysis_tickets[[#This Row],[priority]],tbl_sla[priority],tbl_sla[Resolution SLA Hours])</f>
        <v>24</v>
      </c>
      <c r="L1389">
        <f>_xlfn.XLOOKUP(tbl_analysis_tickets[[#This Row],[priority]],tbl_sla[priority],tbl_sla[First Response SLA Minutes])</f>
        <v>60</v>
      </c>
      <c r="M1389" t="str">
        <f>IF(tbl_analysis_tickets[[#This Row],[resolution_time_hours]]&gt;tbl_analysis_tickets[[#This Row],[Resolution SLA Hours]],"Breached","Within SLA")</f>
        <v>Breached</v>
      </c>
      <c r="N1389" t="str">
        <f>IF(tbl_analysis_tickets[[#This Row],[first_response_minutes]]&gt;tbl_analysis_tickets[[#This Row],[First Response SLA Minutes]],"Breached","Within SLA")</f>
        <v>Breached</v>
      </c>
      <c r="O1389" t="str" cm="1">
        <f t="array" ref="O1389">_xlfn.IFS(
tbl_analysis_tickets[[#This Row],[agent_experience_years]]&lt;=2,"Junior",
tbl_analysis_tickets[[#This Row],[agent_experience_years]]&lt;=5,"Mid-Level",
tbl_analysis_tickets[[#This Row],[agent_experience_years]]&lt;=8,"Senior",
tbl_analysis_tickets[[#This Row],[agent_experience_years]]&gt;8,"Expert"
)</f>
        <v>Senior</v>
      </c>
      <c r="P1389" cm="1">
        <f t="array" ref="P1389">_xlfn.SWITCH(tbl_analysis_tickets[[#This Row],[customer_satisfaction]],
"Low",1,
"Medium",2,
"High",3
)</f>
        <v>1</v>
      </c>
      <c r="Q1389">
        <f>IF(tbl_analysis_tickets[[#This Row],[reopened]]="Yes",1,0)</f>
        <v>1</v>
      </c>
      <c r="R1389" t="str" cm="1">
        <f t="array" ref="R1389">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389" t="str" cm="1">
        <f t="array" ref="S138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389" t="str">
        <f>TEXT(tbl_analysis_tickets[[#This Row],[created_date]],"mmm-yyyy")</f>
        <v>Jun-2024</v>
      </c>
      <c r="U1389" t="str">
        <f>TEXT(tbl_analysis_tickets[[#This Row],[created_date]],"dddd")</f>
        <v>Friday</v>
      </c>
      <c r="V1389" cm="1">
        <f t="array" ref="V1389">_xlfn.SWITCH(tbl_analysis_tickets[[#This Row],[priority]],
"Urgent",1,
"High",2,
"Medium",3,
"Low",4
)</f>
        <v>2</v>
      </c>
    </row>
    <row r="1390" spans="1:22" x14ac:dyDescent="0.25">
      <c r="A1390">
        <v>1389</v>
      </c>
      <c r="B1390" s="1">
        <v>45315</v>
      </c>
      <c r="C1390" t="s">
        <v>23</v>
      </c>
      <c r="D1390" t="s">
        <v>20</v>
      </c>
      <c r="E1390">
        <v>186</v>
      </c>
      <c r="F1390">
        <v>14</v>
      </c>
      <c r="G1390">
        <v>3.1</v>
      </c>
      <c r="H1390" t="s">
        <v>12</v>
      </c>
      <c r="I1390" t="s">
        <v>13</v>
      </c>
      <c r="J1390" t="s">
        <v>11</v>
      </c>
      <c r="K1390">
        <f>_xlfn.XLOOKUP(tbl_analysis_tickets[[#This Row],[priority]],tbl_sla[priority],tbl_sla[Resolution SLA Hours])</f>
        <v>24</v>
      </c>
      <c r="L1390">
        <f>_xlfn.XLOOKUP(tbl_analysis_tickets[[#This Row],[priority]],tbl_sla[priority],tbl_sla[First Response SLA Minutes])</f>
        <v>60</v>
      </c>
      <c r="M1390" t="str">
        <f>IF(tbl_analysis_tickets[[#This Row],[resolution_time_hours]]&gt;tbl_analysis_tickets[[#This Row],[Resolution SLA Hours]],"Breached","Within SLA")</f>
        <v>Within SLA</v>
      </c>
      <c r="N1390" t="str">
        <f>IF(tbl_analysis_tickets[[#This Row],[first_response_minutes]]&gt;tbl_analysis_tickets[[#This Row],[First Response SLA Minutes]],"Breached","Within SLA")</f>
        <v>Breached</v>
      </c>
      <c r="O1390" t="str" cm="1">
        <f t="array" ref="O1390">_xlfn.IFS(
tbl_analysis_tickets[[#This Row],[agent_experience_years]]&lt;=2,"Junior",
tbl_analysis_tickets[[#This Row],[agent_experience_years]]&lt;=5,"Mid-Level",
tbl_analysis_tickets[[#This Row],[agent_experience_years]]&lt;=8,"Senior",
tbl_analysis_tickets[[#This Row],[agent_experience_years]]&gt;8,"Expert"
)</f>
        <v>Mid-Level</v>
      </c>
      <c r="P1390" cm="1">
        <f t="array" ref="P1390">_xlfn.SWITCH(tbl_analysis_tickets[[#This Row],[customer_satisfaction]],
"Low",1,
"Medium",2,
"High",3
)</f>
        <v>1</v>
      </c>
      <c r="Q1390">
        <f>IF(tbl_analysis_tickets[[#This Row],[reopened]]="Yes",1,0)</f>
        <v>1</v>
      </c>
      <c r="R1390" t="str" cm="1">
        <f t="array" ref="R1390">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390" t="str" cm="1">
        <f t="array" ref="S139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390" t="str">
        <f>TEXT(tbl_analysis_tickets[[#This Row],[created_date]],"mmm-yyyy")</f>
        <v>Jan-2024</v>
      </c>
      <c r="U1390" t="str">
        <f>TEXT(tbl_analysis_tickets[[#This Row],[created_date]],"dddd")</f>
        <v>Wednesday</v>
      </c>
      <c r="V1390" cm="1">
        <f t="array" ref="V1390">_xlfn.SWITCH(tbl_analysis_tickets[[#This Row],[priority]],
"Urgent",1,
"High",2,
"Medium",3,
"Low",4
)</f>
        <v>2</v>
      </c>
    </row>
    <row r="1391" spans="1:22" x14ac:dyDescent="0.25">
      <c r="A1391">
        <v>1390</v>
      </c>
      <c r="B1391" s="1">
        <v>45502</v>
      </c>
      <c r="C1391" t="s">
        <v>14</v>
      </c>
      <c r="D1391" t="s">
        <v>11</v>
      </c>
      <c r="E1391">
        <v>7</v>
      </c>
      <c r="F1391">
        <v>71</v>
      </c>
      <c r="G1391">
        <v>5.5</v>
      </c>
      <c r="H1391" t="s">
        <v>18</v>
      </c>
      <c r="I1391" t="s">
        <v>13</v>
      </c>
      <c r="J1391" t="s">
        <v>20</v>
      </c>
      <c r="K1391">
        <f>_xlfn.XLOOKUP(tbl_analysis_tickets[[#This Row],[priority]],tbl_sla[priority],tbl_sla[Resolution SLA Hours])</f>
        <v>72</v>
      </c>
      <c r="L1391">
        <f>_xlfn.XLOOKUP(tbl_analysis_tickets[[#This Row],[priority]],tbl_sla[priority],tbl_sla[First Response SLA Minutes])</f>
        <v>240</v>
      </c>
      <c r="M1391" t="str">
        <f>IF(tbl_analysis_tickets[[#This Row],[resolution_time_hours]]&gt;tbl_analysis_tickets[[#This Row],[Resolution SLA Hours]],"Breached","Within SLA")</f>
        <v>Within SLA</v>
      </c>
      <c r="N1391" t="str">
        <f>IF(tbl_analysis_tickets[[#This Row],[first_response_minutes]]&gt;tbl_analysis_tickets[[#This Row],[First Response SLA Minutes]],"Breached","Within SLA")</f>
        <v>Within SLA</v>
      </c>
      <c r="O1391" t="str" cm="1">
        <f t="array" ref="O1391">_xlfn.IFS(
tbl_analysis_tickets[[#This Row],[agent_experience_years]]&lt;=2,"Junior",
tbl_analysis_tickets[[#This Row],[agent_experience_years]]&lt;=5,"Mid-Level",
tbl_analysis_tickets[[#This Row],[agent_experience_years]]&lt;=8,"Senior",
tbl_analysis_tickets[[#This Row],[agent_experience_years]]&gt;8,"Expert"
)</f>
        <v>Senior</v>
      </c>
      <c r="P1391" cm="1">
        <f t="array" ref="P1391">_xlfn.SWITCH(tbl_analysis_tickets[[#This Row],[customer_satisfaction]],
"Low",1,
"Medium",2,
"High",3
)</f>
        <v>3</v>
      </c>
      <c r="Q1391">
        <f>IF(tbl_analysis_tickets[[#This Row],[reopened]]="Yes",1,0)</f>
        <v>0</v>
      </c>
      <c r="R1391" t="str" cm="1">
        <f t="array" ref="R1391">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1391" t="str" cm="1">
        <f t="array" ref="S139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391" t="str">
        <f>TEXT(tbl_analysis_tickets[[#This Row],[created_date]],"mmm-yyyy")</f>
        <v>Jul-2024</v>
      </c>
      <c r="U1391" t="str">
        <f>TEXT(tbl_analysis_tickets[[#This Row],[created_date]],"dddd")</f>
        <v>Monday</v>
      </c>
      <c r="V1391" cm="1">
        <f t="array" ref="V1391">_xlfn.SWITCH(tbl_analysis_tickets[[#This Row],[priority]],
"Urgent",1,
"High",2,
"Medium",3,
"Low",4
)</f>
        <v>4</v>
      </c>
    </row>
    <row r="1392" spans="1:22" x14ac:dyDescent="0.25">
      <c r="A1392">
        <v>1391</v>
      </c>
      <c r="B1392" s="1">
        <v>45393</v>
      </c>
      <c r="C1392" t="s">
        <v>22</v>
      </c>
      <c r="D1392" t="s">
        <v>11</v>
      </c>
      <c r="E1392">
        <v>169</v>
      </c>
      <c r="F1392">
        <v>29</v>
      </c>
      <c r="G1392">
        <v>9.1</v>
      </c>
      <c r="H1392" t="s">
        <v>18</v>
      </c>
      <c r="I1392" t="s">
        <v>13</v>
      </c>
      <c r="J1392" t="s">
        <v>15</v>
      </c>
      <c r="K1392">
        <f>_xlfn.XLOOKUP(tbl_analysis_tickets[[#This Row],[priority]],tbl_sla[priority],tbl_sla[Resolution SLA Hours])</f>
        <v>72</v>
      </c>
      <c r="L1392">
        <f>_xlfn.XLOOKUP(tbl_analysis_tickets[[#This Row],[priority]],tbl_sla[priority],tbl_sla[First Response SLA Minutes])</f>
        <v>240</v>
      </c>
      <c r="M1392" t="str">
        <f>IF(tbl_analysis_tickets[[#This Row],[resolution_time_hours]]&gt;tbl_analysis_tickets[[#This Row],[Resolution SLA Hours]],"Breached","Within SLA")</f>
        <v>Within SLA</v>
      </c>
      <c r="N1392" t="str">
        <f>IF(tbl_analysis_tickets[[#This Row],[first_response_minutes]]&gt;tbl_analysis_tickets[[#This Row],[First Response SLA Minutes]],"Breached","Within SLA")</f>
        <v>Within SLA</v>
      </c>
      <c r="O1392" t="str" cm="1">
        <f t="array" ref="O1392">_xlfn.IFS(
tbl_analysis_tickets[[#This Row],[agent_experience_years]]&lt;=2,"Junior",
tbl_analysis_tickets[[#This Row],[agent_experience_years]]&lt;=5,"Mid-Level",
tbl_analysis_tickets[[#This Row],[agent_experience_years]]&lt;=8,"Senior",
tbl_analysis_tickets[[#This Row],[agent_experience_years]]&gt;8,"Expert"
)</f>
        <v>Expert</v>
      </c>
      <c r="P1392" cm="1">
        <f t="array" ref="P1392">_xlfn.SWITCH(tbl_analysis_tickets[[#This Row],[customer_satisfaction]],
"Low",1,
"Medium",2,
"High",3
)</f>
        <v>2</v>
      </c>
      <c r="Q1392">
        <f>IF(tbl_analysis_tickets[[#This Row],[reopened]]="Yes",1,0)</f>
        <v>0</v>
      </c>
      <c r="R1392" t="str" cm="1">
        <f t="array" ref="R1392">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392" t="str" cm="1">
        <f t="array" ref="S139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392" t="str">
        <f>TEXT(tbl_analysis_tickets[[#This Row],[created_date]],"mmm-yyyy")</f>
        <v>Apr-2024</v>
      </c>
      <c r="U1392" t="str">
        <f>TEXT(tbl_analysis_tickets[[#This Row],[created_date]],"dddd")</f>
        <v>Thursday</v>
      </c>
      <c r="V1392" cm="1">
        <f t="array" ref="V1392">_xlfn.SWITCH(tbl_analysis_tickets[[#This Row],[priority]],
"Urgent",1,
"High",2,
"Medium",3,
"Low",4
)</f>
        <v>4</v>
      </c>
    </row>
    <row r="1393" spans="1:22" x14ac:dyDescent="0.25">
      <c r="A1393">
        <v>1392</v>
      </c>
      <c r="B1393" s="1">
        <v>45548</v>
      </c>
      <c r="C1393" t="s">
        <v>22</v>
      </c>
      <c r="D1393" t="s">
        <v>15</v>
      </c>
      <c r="E1393">
        <v>140</v>
      </c>
      <c r="F1393">
        <v>6</v>
      </c>
      <c r="G1393">
        <v>2.9</v>
      </c>
      <c r="H1393" t="s">
        <v>18</v>
      </c>
      <c r="I1393" t="s">
        <v>13</v>
      </c>
      <c r="J1393" t="s">
        <v>15</v>
      </c>
      <c r="K1393">
        <f>_xlfn.XLOOKUP(tbl_analysis_tickets[[#This Row],[priority]],tbl_sla[priority],tbl_sla[Resolution SLA Hours])</f>
        <v>48</v>
      </c>
      <c r="L1393">
        <f>_xlfn.XLOOKUP(tbl_analysis_tickets[[#This Row],[priority]],tbl_sla[priority],tbl_sla[First Response SLA Minutes])</f>
        <v>120</v>
      </c>
      <c r="M1393" t="str">
        <f>IF(tbl_analysis_tickets[[#This Row],[resolution_time_hours]]&gt;tbl_analysis_tickets[[#This Row],[Resolution SLA Hours]],"Breached","Within SLA")</f>
        <v>Within SLA</v>
      </c>
      <c r="N1393" t="str">
        <f>IF(tbl_analysis_tickets[[#This Row],[first_response_minutes]]&gt;tbl_analysis_tickets[[#This Row],[First Response SLA Minutes]],"Breached","Within SLA")</f>
        <v>Breached</v>
      </c>
      <c r="O1393" t="str" cm="1">
        <f t="array" ref="O1393">_xlfn.IFS(
tbl_analysis_tickets[[#This Row],[agent_experience_years]]&lt;=2,"Junior",
tbl_analysis_tickets[[#This Row],[agent_experience_years]]&lt;=5,"Mid-Level",
tbl_analysis_tickets[[#This Row],[agent_experience_years]]&lt;=8,"Senior",
tbl_analysis_tickets[[#This Row],[agent_experience_years]]&gt;8,"Expert"
)</f>
        <v>Mid-Level</v>
      </c>
      <c r="P1393" cm="1">
        <f t="array" ref="P1393">_xlfn.SWITCH(tbl_analysis_tickets[[#This Row],[customer_satisfaction]],
"Low",1,
"Medium",2,
"High",3
)</f>
        <v>2</v>
      </c>
      <c r="Q1393">
        <f>IF(tbl_analysis_tickets[[#This Row],[reopened]]="Yes",1,0)</f>
        <v>0</v>
      </c>
      <c r="R1393" t="str" cm="1">
        <f t="array" ref="R1393">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393" t="str" cm="1">
        <f t="array" ref="S139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1393" t="str">
        <f>TEXT(tbl_analysis_tickets[[#This Row],[created_date]],"mmm-yyyy")</f>
        <v>Sep-2024</v>
      </c>
      <c r="U1393" t="str">
        <f>TEXT(tbl_analysis_tickets[[#This Row],[created_date]],"dddd")</f>
        <v>Friday</v>
      </c>
      <c r="V1393" cm="1">
        <f t="array" ref="V1393">_xlfn.SWITCH(tbl_analysis_tickets[[#This Row],[priority]],
"Urgent",1,
"High",2,
"Medium",3,
"Low",4
)</f>
        <v>3</v>
      </c>
    </row>
    <row r="1394" spans="1:22" x14ac:dyDescent="0.25">
      <c r="A1394">
        <v>1393</v>
      </c>
      <c r="B1394" s="1">
        <v>45611</v>
      </c>
      <c r="C1394" t="s">
        <v>10</v>
      </c>
      <c r="D1394" t="s">
        <v>20</v>
      </c>
      <c r="E1394">
        <v>132</v>
      </c>
      <c r="F1394">
        <v>2</v>
      </c>
      <c r="G1394">
        <v>9.6999999999999993</v>
      </c>
      <c r="H1394" t="s">
        <v>12</v>
      </c>
      <c r="I1394" t="s">
        <v>16</v>
      </c>
      <c r="J1394" t="s">
        <v>15</v>
      </c>
      <c r="K1394">
        <f>_xlfn.XLOOKUP(tbl_analysis_tickets[[#This Row],[priority]],tbl_sla[priority],tbl_sla[Resolution SLA Hours])</f>
        <v>24</v>
      </c>
      <c r="L1394">
        <f>_xlfn.XLOOKUP(tbl_analysis_tickets[[#This Row],[priority]],tbl_sla[priority],tbl_sla[First Response SLA Minutes])</f>
        <v>60</v>
      </c>
      <c r="M1394" t="str">
        <f>IF(tbl_analysis_tickets[[#This Row],[resolution_time_hours]]&gt;tbl_analysis_tickets[[#This Row],[Resolution SLA Hours]],"Breached","Within SLA")</f>
        <v>Within SLA</v>
      </c>
      <c r="N1394" t="str">
        <f>IF(tbl_analysis_tickets[[#This Row],[first_response_minutes]]&gt;tbl_analysis_tickets[[#This Row],[First Response SLA Minutes]],"Breached","Within SLA")</f>
        <v>Breached</v>
      </c>
      <c r="O1394" t="str" cm="1">
        <f t="array" ref="O1394">_xlfn.IFS(
tbl_analysis_tickets[[#This Row],[agent_experience_years]]&lt;=2,"Junior",
tbl_analysis_tickets[[#This Row],[agent_experience_years]]&lt;=5,"Mid-Level",
tbl_analysis_tickets[[#This Row],[agent_experience_years]]&lt;=8,"Senior",
tbl_analysis_tickets[[#This Row],[agent_experience_years]]&gt;8,"Expert"
)</f>
        <v>Expert</v>
      </c>
      <c r="P1394" cm="1">
        <f t="array" ref="P1394">_xlfn.SWITCH(tbl_analysis_tickets[[#This Row],[customer_satisfaction]],
"Low",1,
"Medium",2,
"High",3
)</f>
        <v>2</v>
      </c>
      <c r="Q1394">
        <f>IF(tbl_analysis_tickets[[#This Row],[reopened]]="Yes",1,0)</f>
        <v>1</v>
      </c>
      <c r="R1394" t="str" cm="1">
        <f t="array" ref="R1394">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394" t="str" cm="1">
        <f t="array" ref="S139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1394" t="str">
        <f>TEXT(tbl_analysis_tickets[[#This Row],[created_date]],"mmm-yyyy")</f>
        <v>Nov-2024</v>
      </c>
      <c r="U1394" t="str">
        <f>TEXT(tbl_analysis_tickets[[#This Row],[created_date]],"dddd")</f>
        <v>Friday</v>
      </c>
      <c r="V1394" cm="1">
        <f t="array" ref="V1394">_xlfn.SWITCH(tbl_analysis_tickets[[#This Row],[priority]],
"Urgent",1,
"High",2,
"Medium",3,
"Low",4
)</f>
        <v>2</v>
      </c>
    </row>
    <row r="1395" spans="1:22" x14ac:dyDescent="0.25">
      <c r="A1395">
        <v>1394</v>
      </c>
      <c r="B1395" s="1">
        <v>45339</v>
      </c>
      <c r="C1395" t="s">
        <v>14</v>
      </c>
      <c r="D1395" t="s">
        <v>15</v>
      </c>
      <c r="E1395">
        <v>68</v>
      </c>
      <c r="F1395">
        <v>45</v>
      </c>
      <c r="G1395">
        <v>7.3</v>
      </c>
      <c r="H1395" t="s">
        <v>18</v>
      </c>
      <c r="I1395" t="s">
        <v>16</v>
      </c>
      <c r="J1395" t="s">
        <v>15</v>
      </c>
      <c r="K1395">
        <f>_xlfn.XLOOKUP(tbl_analysis_tickets[[#This Row],[priority]],tbl_sla[priority],tbl_sla[Resolution SLA Hours])</f>
        <v>48</v>
      </c>
      <c r="L1395">
        <f>_xlfn.XLOOKUP(tbl_analysis_tickets[[#This Row],[priority]],tbl_sla[priority],tbl_sla[First Response SLA Minutes])</f>
        <v>120</v>
      </c>
      <c r="M1395" t="str">
        <f>IF(tbl_analysis_tickets[[#This Row],[resolution_time_hours]]&gt;tbl_analysis_tickets[[#This Row],[Resolution SLA Hours]],"Breached","Within SLA")</f>
        <v>Within SLA</v>
      </c>
      <c r="N1395" t="str">
        <f>IF(tbl_analysis_tickets[[#This Row],[first_response_minutes]]&gt;tbl_analysis_tickets[[#This Row],[First Response SLA Minutes]],"Breached","Within SLA")</f>
        <v>Within SLA</v>
      </c>
      <c r="O1395" t="str" cm="1">
        <f t="array" ref="O1395">_xlfn.IFS(
tbl_analysis_tickets[[#This Row],[agent_experience_years]]&lt;=2,"Junior",
tbl_analysis_tickets[[#This Row],[agent_experience_years]]&lt;=5,"Mid-Level",
tbl_analysis_tickets[[#This Row],[agent_experience_years]]&lt;=8,"Senior",
tbl_analysis_tickets[[#This Row],[agent_experience_years]]&gt;8,"Expert"
)</f>
        <v>Senior</v>
      </c>
      <c r="P1395" cm="1">
        <f t="array" ref="P1395">_xlfn.SWITCH(tbl_analysis_tickets[[#This Row],[customer_satisfaction]],
"Low",1,
"Medium",2,
"High",3
)</f>
        <v>2</v>
      </c>
      <c r="Q1395">
        <f>IF(tbl_analysis_tickets[[#This Row],[reopened]]="Yes",1,0)</f>
        <v>0</v>
      </c>
      <c r="R1395" t="str" cm="1">
        <f t="array" ref="R1395">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395" t="str" cm="1">
        <f t="array" ref="S139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395" t="str">
        <f>TEXT(tbl_analysis_tickets[[#This Row],[created_date]],"mmm-yyyy")</f>
        <v>Feb-2024</v>
      </c>
      <c r="U1395" t="str">
        <f>TEXT(tbl_analysis_tickets[[#This Row],[created_date]],"dddd")</f>
        <v>Saturday</v>
      </c>
      <c r="V1395" cm="1">
        <f t="array" ref="V1395">_xlfn.SWITCH(tbl_analysis_tickets[[#This Row],[priority]],
"Urgent",1,
"High",2,
"Medium",3,
"Low",4
)</f>
        <v>3</v>
      </c>
    </row>
    <row r="1396" spans="1:22" x14ac:dyDescent="0.25">
      <c r="A1396">
        <v>1395</v>
      </c>
      <c r="B1396" s="1">
        <v>45367</v>
      </c>
      <c r="C1396" t="s">
        <v>22</v>
      </c>
      <c r="D1396" t="s">
        <v>15</v>
      </c>
      <c r="E1396">
        <v>201</v>
      </c>
      <c r="F1396">
        <v>32</v>
      </c>
      <c r="G1396">
        <v>3.3</v>
      </c>
      <c r="H1396" t="s">
        <v>12</v>
      </c>
      <c r="I1396" t="s">
        <v>19</v>
      </c>
      <c r="J1396" t="s">
        <v>11</v>
      </c>
      <c r="K1396">
        <f>_xlfn.XLOOKUP(tbl_analysis_tickets[[#This Row],[priority]],tbl_sla[priority],tbl_sla[Resolution SLA Hours])</f>
        <v>48</v>
      </c>
      <c r="L1396">
        <f>_xlfn.XLOOKUP(tbl_analysis_tickets[[#This Row],[priority]],tbl_sla[priority],tbl_sla[First Response SLA Minutes])</f>
        <v>120</v>
      </c>
      <c r="M1396" t="str">
        <f>IF(tbl_analysis_tickets[[#This Row],[resolution_time_hours]]&gt;tbl_analysis_tickets[[#This Row],[Resolution SLA Hours]],"Breached","Within SLA")</f>
        <v>Within SLA</v>
      </c>
      <c r="N1396" t="str">
        <f>IF(tbl_analysis_tickets[[#This Row],[first_response_minutes]]&gt;tbl_analysis_tickets[[#This Row],[First Response SLA Minutes]],"Breached","Within SLA")</f>
        <v>Breached</v>
      </c>
      <c r="O1396" t="str" cm="1">
        <f t="array" ref="O1396">_xlfn.IFS(
tbl_analysis_tickets[[#This Row],[agent_experience_years]]&lt;=2,"Junior",
tbl_analysis_tickets[[#This Row],[agent_experience_years]]&lt;=5,"Mid-Level",
tbl_analysis_tickets[[#This Row],[agent_experience_years]]&lt;=8,"Senior",
tbl_analysis_tickets[[#This Row],[agent_experience_years]]&gt;8,"Expert"
)</f>
        <v>Mid-Level</v>
      </c>
      <c r="P1396" cm="1">
        <f t="array" ref="P1396">_xlfn.SWITCH(tbl_analysis_tickets[[#This Row],[customer_satisfaction]],
"Low",1,
"Medium",2,
"High",3
)</f>
        <v>1</v>
      </c>
      <c r="Q1396">
        <f>IF(tbl_analysis_tickets[[#This Row],[reopened]]="Yes",1,0)</f>
        <v>1</v>
      </c>
      <c r="R1396" t="str" cm="1">
        <f t="array" ref="R1396">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396" t="str" cm="1">
        <f t="array" ref="S139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396" t="str">
        <f>TEXT(tbl_analysis_tickets[[#This Row],[created_date]],"mmm-yyyy")</f>
        <v>Mar-2024</v>
      </c>
      <c r="U1396" t="str">
        <f>TEXT(tbl_analysis_tickets[[#This Row],[created_date]],"dddd")</f>
        <v>Saturday</v>
      </c>
      <c r="V1396" cm="1">
        <f t="array" ref="V1396">_xlfn.SWITCH(tbl_analysis_tickets[[#This Row],[priority]],
"Urgent",1,
"High",2,
"Medium",3,
"Low",4
)</f>
        <v>3</v>
      </c>
    </row>
    <row r="1397" spans="1:22" x14ac:dyDescent="0.25">
      <c r="A1397">
        <v>1396</v>
      </c>
      <c r="B1397" s="1">
        <v>45501</v>
      </c>
      <c r="C1397" t="s">
        <v>10</v>
      </c>
      <c r="D1397" t="s">
        <v>20</v>
      </c>
      <c r="E1397">
        <v>9</v>
      </c>
      <c r="F1397">
        <v>25</v>
      </c>
      <c r="G1397">
        <v>5.4</v>
      </c>
      <c r="H1397" t="s">
        <v>18</v>
      </c>
      <c r="I1397" t="s">
        <v>19</v>
      </c>
      <c r="J1397" t="s">
        <v>15</v>
      </c>
      <c r="K1397">
        <f>_xlfn.XLOOKUP(tbl_analysis_tickets[[#This Row],[priority]],tbl_sla[priority],tbl_sla[Resolution SLA Hours])</f>
        <v>24</v>
      </c>
      <c r="L1397">
        <f>_xlfn.XLOOKUP(tbl_analysis_tickets[[#This Row],[priority]],tbl_sla[priority],tbl_sla[First Response SLA Minutes])</f>
        <v>60</v>
      </c>
      <c r="M1397" t="str">
        <f>IF(tbl_analysis_tickets[[#This Row],[resolution_time_hours]]&gt;tbl_analysis_tickets[[#This Row],[Resolution SLA Hours]],"Breached","Within SLA")</f>
        <v>Breached</v>
      </c>
      <c r="N1397" t="str">
        <f>IF(tbl_analysis_tickets[[#This Row],[first_response_minutes]]&gt;tbl_analysis_tickets[[#This Row],[First Response SLA Minutes]],"Breached","Within SLA")</f>
        <v>Within SLA</v>
      </c>
      <c r="O1397" t="str" cm="1">
        <f t="array" ref="O1397">_xlfn.IFS(
tbl_analysis_tickets[[#This Row],[agent_experience_years]]&lt;=2,"Junior",
tbl_analysis_tickets[[#This Row],[agent_experience_years]]&lt;=5,"Mid-Level",
tbl_analysis_tickets[[#This Row],[agent_experience_years]]&lt;=8,"Senior",
tbl_analysis_tickets[[#This Row],[agent_experience_years]]&gt;8,"Expert"
)</f>
        <v>Senior</v>
      </c>
      <c r="P1397" cm="1">
        <f t="array" ref="P1397">_xlfn.SWITCH(tbl_analysis_tickets[[#This Row],[customer_satisfaction]],
"Low",1,
"Medium",2,
"High",3
)</f>
        <v>2</v>
      </c>
      <c r="Q1397">
        <f>IF(tbl_analysis_tickets[[#This Row],[reopened]]="Yes",1,0)</f>
        <v>0</v>
      </c>
      <c r="R1397" t="str" cm="1">
        <f t="array" ref="R1397">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1397" t="str" cm="1">
        <f t="array" ref="S139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397" t="str">
        <f>TEXT(tbl_analysis_tickets[[#This Row],[created_date]],"mmm-yyyy")</f>
        <v>Jul-2024</v>
      </c>
      <c r="U1397" t="str">
        <f>TEXT(tbl_analysis_tickets[[#This Row],[created_date]],"dddd")</f>
        <v>Sunday</v>
      </c>
      <c r="V1397" cm="1">
        <f t="array" ref="V1397">_xlfn.SWITCH(tbl_analysis_tickets[[#This Row],[priority]],
"Urgent",1,
"High",2,
"Medium",3,
"Low",4
)</f>
        <v>2</v>
      </c>
    </row>
    <row r="1398" spans="1:22" x14ac:dyDescent="0.25">
      <c r="A1398">
        <v>1397</v>
      </c>
      <c r="B1398" s="1">
        <v>45333</v>
      </c>
      <c r="C1398" t="s">
        <v>23</v>
      </c>
      <c r="D1398" t="s">
        <v>15</v>
      </c>
      <c r="E1398">
        <v>101</v>
      </c>
      <c r="F1398">
        <v>37</v>
      </c>
      <c r="G1398">
        <v>7.3</v>
      </c>
      <c r="H1398" t="s">
        <v>18</v>
      </c>
      <c r="I1398" t="s">
        <v>19</v>
      </c>
      <c r="J1398" t="s">
        <v>15</v>
      </c>
      <c r="K1398">
        <f>_xlfn.XLOOKUP(tbl_analysis_tickets[[#This Row],[priority]],tbl_sla[priority],tbl_sla[Resolution SLA Hours])</f>
        <v>48</v>
      </c>
      <c r="L1398">
        <f>_xlfn.XLOOKUP(tbl_analysis_tickets[[#This Row],[priority]],tbl_sla[priority],tbl_sla[First Response SLA Minutes])</f>
        <v>120</v>
      </c>
      <c r="M1398" t="str">
        <f>IF(tbl_analysis_tickets[[#This Row],[resolution_time_hours]]&gt;tbl_analysis_tickets[[#This Row],[Resolution SLA Hours]],"Breached","Within SLA")</f>
        <v>Within SLA</v>
      </c>
      <c r="N1398" t="str">
        <f>IF(tbl_analysis_tickets[[#This Row],[first_response_minutes]]&gt;tbl_analysis_tickets[[#This Row],[First Response SLA Minutes]],"Breached","Within SLA")</f>
        <v>Within SLA</v>
      </c>
      <c r="O1398" t="str" cm="1">
        <f t="array" ref="O1398">_xlfn.IFS(
tbl_analysis_tickets[[#This Row],[agent_experience_years]]&lt;=2,"Junior",
tbl_analysis_tickets[[#This Row],[agent_experience_years]]&lt;=5,"Mid-Level",
tbl_analysis_tickets[[#This Row],[agent_experience_years]]&lt;=8,"Senior",
tbl_analysis_tickets[[#This Row],[agent_experience_years]]&gt;8,"Expert"
)</f>
        <v>Senior</v>
      </c>
      <c r="P1398" cm="1">
        <f t="array" ref="P1398">_xlfn.SWITCH(tbl_analysis_tickets[[#This Row],[customer_satisfaction]],
"Low",1,
"Medium",2,
"High",3
)</f>
        <v>2</v>
      </c>
      <c r="Q1398">
        <f>IF(tbl_analysis_tickets[[#This Row],[reopened]]="Yes",1,0)</f>
        <v>0</v>
      </c>
      <c r="R1398" t="str" cm="1">
        <f t="array" ref="R1398">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398" t="str" cm="1">
        <f t="array" ref="S139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398" t="str">
        <f>TEXT(tbl_analysis_tickets[[#This Row],[created_date]],"mmm-yyyy")</f>
        <v>Feb-2024</v>
      </c>
      <c r="U1398" t="str">
        <f>TEXT(tbl_analysis_tickets[[#This Row],[created_date]],"dddd")</f>
        <v>Sunday</v>
      </c>
      <c r="V1398" cm="1">
        <f t="array" ref="V1398">_xlfn.SWITCH(tbl_analysis_tickets[[#This Row],[priority]],
"Urgent",1,
"High",2,
"Medium",3,
"Low",4
)</f>
        <v>3</v>
      </c>
    </row>
    <row r="1399" spans="1:22" x14ac:dyDescent="0.25">
      <c r="A1399">
        <v>1398</v>
      </c>
      <c r="B1399" s="1">
        <v>45637</v>
      </c>
      <c r="C1399" t="s">
        <v>10</v>
      </c>
      <c r="D1399" t="s">
        <v>15</v>
      </c>
      <c r="E1399">
        <v>128</v>
      </c>
      <c r="F1399">
        <v>12</v>
      </c>
      <c r="G1399">
        <v>9.6</v>
      </c>
      <c r="H1399" t="s">
        <v>18</v>
      </c>
      <c r="I1399" t="s">
        <v>19</v>
      </c>
      <c r="J1399" t="s">
        <v>15</v>
      </c>
      <c r="K1399">
        <f>_xlfn.XLOOKUP(tbl_analysis_tickets[[#This Row],[priority]],tbl_sla[priority],tbl_sla[Resolution SLA Hours])</f>
        <v>48</v>
      </c>
      <c r="L1399">
        <f>_xlfn.XLOOKUP(tbl_analysis_tickets[[#This Row],[priority]],tbl_sla[priority],tbl_sla[First Response SLA Minutes])</f>
        <v>120</v>
      </c>
      <c r="M1399" t="str">
        <f>IF(tbl_analysis_tickets[[#This Row],[resolution_time_hours]]&gt;tbl_analysis_tickets[[#This Row],[Resolution SLA Hours]],"Breached","Within SLA")</f>
        <v>Within SLA</v>
      </c>
      <c r="N1399" t="str">
        <f>IF(tbl_analysis_tickets[[#This Row],[first_response_minutes]]&gt;tbl_analysis_tickets[[#This Row],[First Response SLA Minutes]],"Breached","Within SLA")</f>
        <v>Breached</v>
      </c>
      <c r="O1399" t="str" cm="1">
        <f t="array" ref="O1399">_xlfn.IFS(
tbl_analysis_tickets[[#This Row],[agent_experience_years]]&lt;=2,"Junior",
tbl_analysis_tickets[[#This Row],[agent_experience_years]]&lt;=5,"Mid-Level",
tbl_analysis_tickets[[#This Row],[agent_experience_years]]&lt;=8,"Senior",
tbl_analysis_tickets[[#This Row],[agent_experience_years]]&gt;8,"Expert"
)</f>
        <v>Expert</v>
      </c>
      <c r="P1399" cm="1">
        <f t="array" ref="P1399">_xlfn.SWITCH(tbl_analysis_tickets[[#This Row],[customer_satisfaction]],
"Low",1,
"Medium",2,
"High",3
)</f>
        <v>2</v>
      </c>
      <c r="Q1399">
        <f>IF(tbl_analysis_tickets[[#This Row],[reopened]]="Yes",1,0)</f>
        <v>0</v>
      </c>
      <c r="R1399" t="str" cm="1">
        <f t="array" ref="R1399">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399" t="str" cm="1">
        <f t="array" ref="S139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399" t="str">
        <f>TEXT(tbl_analysis_tickets[[#This Row],[created_date]],"mmm-yyyy")</f>
        <v>Dec-2024</v>
      </c>
      <c r="U1399" t="str">
        <f>TEXT(tbl_analysis_tickets[[#This Row],[created_date]],"dddd")</f>
        <v>Wednesday</v>
      </c>
      <c r="V1399" cm="1">
        <f t="array" ref="V1399">_xlfn.SWITCH(tbl_analysis_tickets[[#This Row],[priority]],
"Urgent",1,
"High",2,
"Medium",3,
"Low",4
)</f>
        <v>3</v>
      </c>
    </row>
    <row r="1400" spans="1:22" x14ac:dyDescent="0.25">
      <c r="A1400">
        <v>1399</v>
      </c>
      <c r="B1400" s="1">
        <v>45511</v>
      </c>
      <c r="C1400" t="s">
        <v>21</v>
      </c>
      <c r="D1400" t="s">
        <v>15</v>
      </c>
      <c r="E1400">
        <v>233</v>
      </c>
      <c r="F1400">
        <v>37</v>
      </c>
      <c r="G1400">
        <v>3.6</v>
      </c>
      <c r="H1400" t="s">
        <v>18</v>
      </c>
      <c r="I1400" t="s">
        <v>16</v>
      </c>
      <c r="J1400" t="s">
        <v>11</v>
      </c>
      <c r="K1400">
        <f>_xlfn.XLOOKUP(tbl_analysis_tickets[[#This Row],[priority]],tbl_sla[priority],tbl_sla[Resolution SLA Hours])</f>
        <v>48</v>
      </c>
      <c r="L1400">
        <f>_xlfn.XLOOKUP(tbl_analysis_tickets[[#This Row],[priority]],tbl_sla[priority],tbl_sla[First Response SLA Minutes])</f>
        <v>120</v>
      </c>
      <c r="M1400" t="str">
        <f>IF(tbl_analysis_tickets[[#This Row],[resolution_time_hours]]&gt;tbl_analysis_tickets[[#This Row],[Resolution SLA Hours]],"Breached","Within SLA")</f>
        <v>Within SLA</v>
      </c>
      <c r="N1400" t="str">
        <f>IF(tbl_analysis_tickets[[#This Row],[first_response_minutes]]&gt;tbl_analysis_tickets[[#This Row],[First Response SLA Minutes]],"Breached","Within SLA")</f>
        <v>Breached</v>
      </c>
      <c r="O1400" t="str" cm="1">
        <f t="array" ref="O1400">_xlfn.IFS(
tbl_analysis_tickets[[#This Row],[agent_experience_years]]&lt;=2,"Junior",
tbl_analysis_tickets[[#This Row],[agent_experience_years]]&lt;=5,"Mid-Level",
tbl_analysis_tickets[[#This Row],[agent_experience_years]]&lt;=8,"Senior",
tbl_analysis_tickets[[#This Row],[agent_experience_years]]&gt;8,"Expert"
)</f>
        <v>Mid-Level</v>
      </c>
      <c r="P1400" cm="1">
        <f t="array" ref="P1400">_xlfn.SWITCH(tbl_analysis_tickets[[#This Row],[customer_satisfaction]],
"Low",1,
"Medium",2,
"High",3
)</f>
        <v>1</v>
      </c>
      <c r="Q1400">
        <f>IF(tbl_analysis_tickets[[#This Row],[reopened]]="Yes",1,0)</f>
        <v>0</v>
      </c>
      <c r="R1400" t="str" cm="1">
        <f t="array" ref="R1400">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400" t="str" cm="1">
        <f t="array" ref="S140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400" t="str">
        <f>TEXT(tbl_analysis_tickets[[#This Row],[created_date]],"mmm-yyyy")</f>
        <v>Aug-2024</v>
      </c>
      <c r="U1400" t="str">
        <f>TEXT(tbl_analysis_tickets[[#This Row],[created_date]],"dddd")</f>
        <v>Wednesday</v>
      </c>
      <c r="V1400" cm="1">
        <f t="array" ref="V1400">_xlfn.SWITCH(tbl_analysis_tickets[[#This Row],[priority]],
"Urgent",1,
"High",2,
"Medium",3,
"Low",4
)</f>
        <v>3</v>
      </c>
    </row>
    <row r="1401" spans="1:22" x14ac:dyDescent="0.25">
      <c r="A1401">
        <v>1400</v>
      </c>
      <c r="B1401" s="1">
        <v>45457</v>
      </c>
      <c r="C1401" t="s">
        <v>10</v>
      </c>
      <c r="D1401" t="s">
        <v>15</v>
      </c>
      <c r="E1401">
        <v>116</v>
      </c>
      <c r="F1401">
        <v>44</v>
      </c>
      <c r="G1401">
        <v>5.2</v>
      </c>
      <c r="H1401" t="s">
        <v>12</v>
      </c>
      <c r="I1401" t="s">
        <v>16</v>
      </c>
      <c r="J1401" t="s">
        <v>11</v>
      </c>
      <c r="K1401">
        <f>_xlfn.XLOOKUP(tbl_analysis_tickets[[#This Row],[priority]],tbl_sla[priority],tbl_sla[Resolution SLA Hours])</f>
        <v>48</v>
      </c>
      <c r="L1401">
        <f>_xlfn.XLOOKUP(tbl_analysis_tickets[[#This Row],[priority]],tbl_sla[priority],tbl_sla[First Response SLA Minutes])</f>
        <v>120</v>
      </c>
      <c r="M1401" t="str">
        <f>IF(tbl_analysis_tickets[[#This Row],[resolution_time_hours]]&gt;tbl_analysis_tickets[[#This Row],[Resolution SLA Hours]],"Breached","Within SLA")</f>
        <v>Within SLA</v>
      </c>
      <c r="N1401" t="str">
        <f>IF(tbl_analysis_tickets[[#This Row],[first_response_minutes]]&gt;tbl_analysis_tickets[[#This Row],[First Response SLA Minutes]],"Breached","Within SLA")</f>
        <v>Within SLA</v>
      </c>
      <c r="O1401" t="str" cm="1">
        <f t="array" ref="O1401">_xlfn.IFS(
tbl_analysis_tickets[[#This Row],[agent_experience_years]]&lt;=2,"Junior",
tbl_analysis_tickets[[#This Row],[agent_experience_years]]&lt;=5,"Mid-Level",
tbl_analysis_tickets[[#This Row],[agent_experience_years]]&lt;=8,"Senior",
tbl_analysis_tickets[[#This Row],[agent_experience_years]]&gt;8,"Expert"
)</f>
        <v>Senior</v>
      </c>
      <c r="P1401" cm="1">
        <f t="array" ref="P1401">_xlfn.SWITCH(tbl_analysis_tickets[[#This Row],[customer_satisfaction]],
"Low",1,
"Medium",2,
"High",3
)</f>
        <v>1</v>
      </c>
      <c r="Q1401">
        <f>IF(tbl_analysis_tickets[[#This Row],[reopened]]="Yes",1,0)</f>
        <v>1</v>
      </c>
      <c r="R1401" t="str" cm="1">
        <f t="array" ref="R1401">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401" t="str" cm="1">
        <f t="array" ref="S140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401" t="str">
        <f>TEXT(tbl_analysis_tickets[[#This Row],[created_date]],"mmm-yyyy")</f>
        <v>Jun-2024</v>
      </c>
      <c r="U1401" t="str">
        <f>TEXT(tbl_analysis_tickets[[#This Row],[created_date]],"dddd")</f>
        <v>Friday</v>
      </c>
      <c r="V1401" cm="1">
        <f t="array" ref="V1401">_xlfn.SWITCH(tbl_analysis_tickets[[#This Row],[priority]],
"Urgent",1,
"High",2,
"Medium",3,
"Low",4
)</f>
        <v>3</v>
      </c>
    </row>
    <row r="1402" spans="1:22" x14ac:dyDescent="0.25">
      <c r="A1402">
        <v>1401</v>
      </c>
      <c r="B1402" s="1">
        <v>45604</v>
      </c>
      <c r="C1402" t="s">
        <v>21</v>
      </c>
      <c r="D1402" t="s">
        <v>17</v>
      </c>
      <c r="E1402">
        <v>12</v>
      </c>
      <c r="F1402">
        <v>19</v>
      </c>
      <c r="G1402">
        <v>4.8</v>
      </c>
      <c r="H1402" t="s">
        <v>18</v>
      </c>
      <c r="I1402" t="s">
        <v>13</v>
      </c>
      <c r="J1402" t="s">
        <v>15</v>
      </c>
      <c r="K1402">
        <f>_xlfn.XLOOKUP(tbl_analysis_tickets[[#This Row],[priority]],tbl_sla[priority],tbl_sla[Resolution SLA Hours])</f>
        <v>8</v>
      </c>
      <c r="L1402">
        <f>_xlfn.XLOOKUP(tbl_analysis_tickets[[#This Row],[priority]],tbl_sla[priority],tbl_sla[First Response SLA Minutes])</f>
        <v>30</v>
      </c>
      <c r="M1402" t="str">
        <f>IF(tbl_analysis_tickets[[#This Row],[resolution_time_hours]]&gt;tbl_analysis_tickets[[#This Row],[Resolution SLA Hours]],"Breached","Within SLA")</f>
        <v>Breached</v>
      </c>
      <c r="N1402" t="str">
        <f>IF(tbl_analysis_tickets[[#This Row],[first_response_minutes]]&gt;tbl_analysis_tickets[[#This Row],[First Response SLA Minutes]],"Breached","Within SLA")</f>
        <v>Within SLA</v>
      </c>
      <c r="O1402" t="str" cm="1">
        <f t="array" ref="O1402">_xlfn.IFS(
tbl_analysis_tickets[[#This Row],[agent_experience_years]]&lt;=2,"Junior",
tbl_analysis_tickets[[#This Row],[agent_experience_years]]&lt;=5,"Mid-Level",
tbl_analysis_tickets[[#This Row],[agent_experience_years]]&lt;=8,"Senior",
tbl_analysis_tickets[[#This Row],[agent_experience_years]]&gt;8,"Expert"
)</f>
        <v>Mid-Level</v>
      </c>
      <c r="P1402" cm="1">
        <f t="array" ref="P1402">_xlfn.SWITCH(tbl_analysis_tickets[[#This Row],[customer_satisfaction]],
"Low",1,
"Medium",2,
"High",3
)</f>
        <v>2</v>
      </c>
      <c r="Q1402">
        <f>IF(tbl_analysis_tickets[[#This Row],[reopened]]="Yes",1,0)</f>
        <v>0</v>
      </c>
      <c r="R1402" t="str" cm="1">
        <f t="array" ref="R1402">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1402" t="str" cm="1">
        <f t="array" ref="S140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402" t="str">
        <f>TEXT(tbl_analysis_tickets[[#This Row],[created_date]],"mmm-yyyy")</f>
        <v>Nov-2024</v>
      </c>
      <c r="U1402" t="str">
        <f>TEXT(tbl_analysis_tickets[[#This Row],[created_date]],"dddd")</f>
        <v>Friday</v>
      </c>
      <c r="V1402" cm="1">
        <f t="array" ref="V1402">_xlfn.SWITCH(tbl_analysis_tickets[[#This Row],[priority]],
"Urgent",1,
"High",2,
"Medium",3,
"Low",4
)</f>
        <v>1</v>
      </c>
    </row>
    <row r="1403" spans="1:22" x14ac:dyDescent="0.25">
      <c r="A1403">
        <v>1402</v>
      </c>
      <c r="B1403" s="1">
        <v>45601</v>
      </c>
      <c r="C1403" t="s">
        <v>14</v>
      </c>
      <c r="D1403" t="s">
        <v>20</v>
      </c>
      <c r="E1403">
        <v>209</v>
      </c>
      <c r="F1403">
        <v>7</v>
      </c>
      <c r="G1403">
        <v>4.0999999999999996</v>
      </c>
      <c r="H1403" t="s">
        <v>18</v>
      </c>
      <c r="I1403" t="s">
        <v>16</v>
      </c>
      <c r="J1403" t="s">
        <v>11</v>
      </c>
      <c r="K1403">
        <f>_xlfn.XLOOKUP(tbl_analysis_tickets[[#This Row],[priority]],tbl_sla[priority],tbl_sla[Resolution SLA Hours])</f>
        <v>24</v>
      </c>
      <c r="L1403">
        <f>_xlfn.XLOOKUP(tbl_analysis_tickets[[#This Row],[priority]],tbl_sla[priority],tbl_sla[First Response SLA Minutes])</f>
        <v>60</v>
      </c>
      <c r="M1403" t="str">
        <f>IF(tbl_analysis_tickets[[#This Row],[resolution_time_hours]]&gt;tbl_analysis_tickets[[#This Row],[Resolution SLA Hours]],"Breached","Within SLA")</f>
        <v>Within SLA</v>
      </c>
      <c r="N1403" t="str">
        <f>IF(tbl_analysis_tickets[[#This Row],[first_response_minutes]]&gt;tbl_analysis_tickets[[#This Row],[First Response SLA Minutes]],"Breached","Within SLA")</f>
        <v>Breached</v>
      </c>
      <c r="O1403" t="str" cm="1">
        <f t="array" ref="O1403">_xlfn.IFS(
tbl_analysis_tickets[[#This Row],[agent_experience_years]]&lt;=2,"Junior",
tbl_analysis_tickets[[#This Row],[agent_experience_years]]&lt;=5,"Mid-Level",
tbl_analysis_tickets[[#This Row],[agent_experience_years]]&lt;=8,"Senior",
tbl_analysis_tickets[[#This Row],[agent_experience_years]]&gt;8,"Expert"
)</f>
        <v>Mid-Level</v>
      </c>
      <c r="P1403" cm="1">
        <f t="array" ref="P1403">_xlfn.SWITCH(tbl_analysis_tickets[[#This Row],[customer_satisfaction]],
"Low",1,
"Medium",2,
"High",3
)</f>
        <v>1</v>
      </c>
      <c r="Q1403">
        <f>IF(tbl_analysis_tickets[[#This Row],[reopened]]="Yes",1,0)</f>
        <v>0</v>
      </c>
      <c r="R1403" t="str" cm="1">
        <f t="array" ref="R1403">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403" t="str" cm="1">
        <f t="array" ref="S140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1403" t="str">
        <f>TEXT(tbl_analysis_tickets[[#This Row],[created_date]],"mmm-yyyy")</f>
        <v>Nov-2024</v>
      </c>
      <c r="U1403" t="str">
        <f>TEXT(tbl_analysis_tickets[[#This Row],[created_date]],"dddd")</f>
        <v>Tuesday</v>
      </c>
      <c r="V1403" cm="1">
        <f t="array" ref="V1403">_xlfn.SWITCH(tbl_analysis_tickets[[#This Row],[priority]],
"Urgent",1,
"High",2,
"Medium",3,
"Low",4
)</f>
        <v>2</v>
      </c>
    </row>
    <row r="1404" spans="1:22" x14ac:dyDescent="0.25">
      <c r="A1404">
        <v>1403</v>
      </c>
      <c r="B1404" s="1">
        <v>45654</v>
      </c>
      <c r="C1404" t="s">
        <v>21</v>
      </c>
      <c r="D1404" t="s">
        <v>17</v>
      </c>
      <c r="E1404">
        <v>196</v>
      </c>
      <c r="F1404">
        <v>8</v>
      </c>
      <c r="G1404">
        <v>7.8</v>
      </c>
      <c r="H1404" t="s">
        <v>18</v>
      </c>
      <c r="I1404" t="s">
        <v>13</v>
      </c>
      <c r="J1404" t="s">
        <v>11</v>
      </c>
      <c r="K1404">
        <f>_xlfn.XLOOKUP(tbl_analysis_tickets[[#This Row],[priority]],tbl_sla[priority],tbl_sla[Resolution SLA Hours])</f>
        <v>8</v>
      </c>
      <c r="L1404">
        <f>_xlfn.XLOOKUP(tbl_analysis_tickets[[#This Row],[priority]],tbl_sla[priority],tbl_sla[First Response SLA Minutes])</f>
        <v>30</v>
      </c>
      <c r="M1404" t="str">
        <f>IF(tbl_analysis_tickets[[#This Row],[resolution_time_hours]]&gt;tbl_analysis_tickets[[#This Row],[Resolution SLA Hours]],"Breached","Within SLA")</f>
        <v>Within SLA</v>
      </c>
      <c r="N1404" t="str">
        <f>IF(tbl_analysis_tickets[[#This Row],[first_response_minutes]]&gt;tbl_analysis_tickets[[#This Row],[First Response SLA Minutes]],"Breached","Within SLA")</f>
        <v>Breached</v>
      </c>
      <c r="O1404" t="str" cm="1">
        <f t="array" ref="O1404">_xlfn.IFS(
tbl_analysis_tickets[[#This Row],[agent_experience_years]]&lt;=2,"Junior",
tbl_analysis_tickets[[#This Row],[agent_experience_years]]&lt;=5,"Mid-Level",
tbl_analysis_tickets[[#This Row],[agent_experience_years]]&lt;=8,"Senior",
tbl_analysis_tickets[[#This Row],[agent_experience_years]]&gt;8,"Expert"
)</f>
        <v>Senior</v>
      </c>
      <c r="P1404" cm="1">
        <f t="array" ref="P1404">_xlfn.SWITCH(tbl_analysis_tickets[[#This Row],[customer_satisfaction]],
"Low",1,
"Medium",2,
"High",3
)</f>
        <v>1</v>
      </c>
      <c r="Q1404">
        <f>IF(tbl_analysis_tickets[[#This Row],[reopened]]="Yes",1,0)</f>
        <v>0</v>
      </c>
      <c r="R1404" t="str" cm="1">
        <f t="array" ref="R1404">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404" t="str" cm="1">
        <f t="array" ref="S140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1404" t="str">
        <f>TEXT(tbl_analysis_tickets[[#This Row],[created_date]],"mmm-yyyy")</f>
        <v>Dec-2024</v>
      </c>
      <c r="U1404" t="str">
        <f>TEXT(tbl_analysis_tickets[[#This Row],[created_date]],"dddd")</f>
        <v>Saturday</v>
      </c>
      <c r="V1404" cm="1">
        <f t="array" ref="V1404">_xlfn.SWITCH(tbl_analysis_tickets[[#This Row],[priority]],
"Urgent",1,
"High",2,
"Medium",3,
"Low",4
)</f>
        <v>1</v>
      </c>
    </row>
    <row r="1405" spans="1:22" x14ac:dyDescent="0.25">
      <c r="A1405">
        <v>1404</v>
      </c>
      <c r="B1405" s="1">
        <v>45405</v>
      </c>
      <c r="C1405" t="s">
        <v>14</v>
      </c>
      <c r="D1405" t="s">
        <v>17</v>
      </c>
      <c r="E1405">
        <v>47</v>
      </c>
      <c r="F1405">
        <v>52</v>
      </c>
      <c r="G1405">
        <v>4.9000000000000004</v>
      </c>
      <c r="H1405" t="s">
        <v>18</v>
      </c>
      <c r="I1405" t="s">
        <v>19</v>
      </c>
      <c r="J1405" t="s">
        <v>11</v>
      </c>
      <c r="K1405">
        <f>_xlfn.XLOOKUP(tbl_analysis_tickets[[#This Row],[priority]],tbl_sla[priority],tbl_sla[Resolution SLA Hours])</f>
        <v>8</v>
      </c>
      <c r="L1405">
        <f>_xlfn.XLOOKUP(tbl_analysis_tickets[[#This Row],[priority]],tbl_sla[priority],tbl_sla[First Response SLA Minutes])</f>
        <v>30</v>
      </c>
      <c r="M1405" t="str">
        <f>IF(tbl_analysis_tickets[[#This Row],[resolution_time_hours]]&gt;tbl_analysis_tickets[[#This Row],[Resolution SLA Hours]],"Breached","Within SLA")</f>
        <v>Breached</v>
      </c>
      <c r="N1405" t="str">
        <f>IF(tbl_analysis_tickets[[#This Row],[first_response_minutes]]&gt;tbl_analysis_tickets[[#This Row],[First Response SLA Minutes]],"Breached","Within SLA")</f>
        <v>Breached</v>
      </c>
      <c r="O1405" t="str" cm="1">
        <f t="array" ref="O1405">_xlfn.IFS(
tbl_analysis_tickets[[#This Row],[agent_experience_years]]&lt;=2,"Junior",
tbl_analysis_tickets[[#This Row],[agent_experience_years]]&lt;=5,"Mid-Level",
tbl_analysis_tickets[[#This Row],[agent_experience_years]]&lt;=8,"Senior",
tbl_analysis_tickets[[#This Row],[agent_experience_years]]&gt;8,"Expert"
)</f>
        <v>Mid-Level</v>
      </c>
      <c r="P1405" cm="1">
        <f t="array" ref="P1405">_xlfn.SWITCH(tbl_analysis_tickets[[#This Row],[customer_satisfaction]],
"Low",1,
"Medium",2,
"High",3
)</f>
        <v>1</v>
      </c>
      <c r="Q1405">
        <f>IF(tbl_analysis_tickets[[#This Row],[reopened]]="Yes",1,0)</f>
        <v>0</v>
      </c>
      <c r="R1405" t="str" cm="1">
        <f t="array" ref="R1405">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405" t="str" cm="1">
        <f t="array" ref="S140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405" t="str">
        <f>TEXT(tbl_analysis_tickets[[#This Row],[created_date]],"mmm-yyyy")</f>
        <v>Apr-2024</v>
      </c>
      <c r="U1405" t="str">
        <f>TEXT(tbl_analysis_tickets[[#This Row],[created_date]],"dddd")</f>
        <v>Tuesday</v>
      </c>
      <c r="V1405" cm="1">
        <f t="array" ref="V1405">_xlfn.SWITCH(tbl_analysis_tickets[[#This Row],[priority]],
"Urgent",1,
"High",2,
"Medium",3,
"Low",4
)</f>
        <v>1</v>
      </c>
    </row>
    <row r="1406" spans="1:22" x14ac:dyDescent="0.25">
      <c r="A1406">
        <v>1405</v>
      </c>
      <c r="B1406" s="1">
        <v>45418</v>
      </c>
      <c r="C1406" t="s">
        <v>23</v>
      </c>
      <c r="D1406" t="s">
        <v>11</v>
      </c>
      <c r="E1406">
        <v>231</v>
      </c>
      <c r="F1406">
        <v>50</v>
      </c>
      <c r="G1406">
        <v>4.8</v>
      </c>
      <c r="H1406" t="s">
        <v>18</v>
      </c>
      <c r="I1406" t="s">
        <v>13</v>
      </c>
      <c r="J1406" t="s">
        <v>11</v>
      </c>
      <c r="K1406">
        <f>_xlfn.XLOOKUP(tbl_analysis_tickets[[#This Row],[priority]],tbl_sla[priority],tbl_sla[Resolution SLA Hours])</f>
        <v>72</v>
      </c>
      <c r="L1406">
        <f>_xlfn.XLOOKUP(tbl_analysis_tickets[[#This Row],[priority]],tbl_sla[priority],tbl_sla[First Response SLA Minutes])</f>
        <v>240</v>
      </c>
      <c r="M1406" t="str">
        <f>IF(tbl_analysis_tickets[[#This Row],[resolution_time_hours]]&gt;tbl_analysis_tickets[[#This Row],[Resolution SLA Hours]],"Breached","Within SLA")</f>
        <v>Within SLA</v>
      </c>
      <c r="N1406" t="str">
        <f>IF(tbl_analysis_tickets[[#This Row],[first_response_minutes]]&gt;tbl_analysis_tickets[[#This Row],[First Response SLA Minutes]],"Breached","Within SLA")</f>
        <v>Within SLA</v>
      </c>
      <c r="O1406" t="str" cm="1">
        <f t="array" ref="O1406">_xlfn.IFS(
tbl_analysis_tickets[[#This Row],[agent_experience_years]]&lt;=2,"Junior",
tbl_analysis_tickets[[#This Row],[agent_experience_years]]&lt;=5,"Mid-Level",
tbl_analysis_tickets[[#This Row],[agent_experience_years]]&lt;=8,"Senior",
tbl_analysis_tickets[[#This Row],[agent_experience_years]]&gt;8,"Expert"
)</f>
        <v>Mid-Level</v>
      </c>
      <c r="P1406" cm="1">
        <f t="array" ref="P1406">_xlfn.SWITCH(tbl_analysis_tickets[[#This Row],[customer_satisfaction]],
"Low",1,
"Medium",2,
"High",3
)</f>
        <v>1</v>
      </c>
      <c r="Q1406">
        <f>IF(tbl_analysis_tickets[[#This Row],[reopened]]="Yes",1,0)</f>
        <v>0</v>
      </c>
      <c r="R1406" t="str" cm="1">
        <f t="array" ref="R1406">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406" t="str" cm="1">
        <f t="array" ref="S140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406" t="str">
        <f>TEXT(tbl_analysis_tickets[[#This Row],[created_date]],"mmm-yyyy")</f>
        <v>May-2024</v>
      </c>
      <c r="U1406" t="str">
        <f>TEXT(tbl_analysis_tickets[[#This Row],[created_date]],"dddd")</f>
        <v>Monday</v>
      </c>
      <c r="V1406" cm="1">
        <f t="array" ref="V1406">_xlfn.SWITCH(tbl_analysis_tickets[[#This Row],[priority]],
"Urgent",1,
"High",2,
"Medium",3,
"Low",4
)</f>
        <v>4</v>
      </c>
    </row>
    <row r="1407" spans="1:22" x14ac:dyDescent="0.25">
      <c r="A1407">
        <v>1406</v>
      </c>
      <c r="B1407" s="1">
        <v>45520</v>
      </c>
      <c r="C1407" t="s">
        <v>22</v>
      </c>
      <c r="D1407" t="s">
        <v>11</v>
      </c>
      <c r="E1407">
        <v>233</v>
      </c>
      <c r="F1407">
        <v>7</v>
      </c>
      <c r="G1407">
        <v>9.3000000000000007</v>
      </c>
      <c r="H1407" t="s">
        <v>18</v>
      </c>
      <c r="I1407" t="s">
        <v>16</v>
      </c>
      <c r="J1407" t="s">
        <v>15</v>
      </c>
      <c r="K1407">
        <f>_xlfn.XLOOKUP(tbl_analysis_tickets[[#This Row],[priority]],tbl_sla[priority],tbl_sla[Resolution SLA Hours])</f>
        <v>72</v>
      </c>
      <c r="L1407">
        <f>_xlfn.XLOOKUP(tbl_analysis_tickets[[#This Row],[priority]],tbl_sla[priority],tbl_sla[First Response SLA Minutes])</f>
        <v>240</v>
      </c>
      <c r="M1407" t="str">
        <f>IF(tbl_analysis_tickets[[#This Row],[resolution_time_hours]]&gt;tbl_analysis_tickets[[#This Row],[Resolution SLA Hours]],"Breached","Within SLA")</f>
        <v>Within SLA</v>
      </c>
      <c r="N1407" t="str">
        <f>IF(tbl_analysis_tickets[[#This Row],[first_response_minutes]]&gt;tbl_analysis_tickets[[#This Row],[First Response SLA Minutes]],"Breached","Within SLA")</f>
        <v>Within SLA</v>
      </c>
      <c r="O1407" t="str" cm="1">
        <f t="array" ref="O1407">_xlfn.IFS(
tbl_analysis_tickets[[#This Row],[agent_experience_years]]&lt;=2,"Junior",
tbl_analysis_tickets[[#This Row],[agent_experience_years]]&lt;=5,"Mid-Level",
tbl_analysis_tickets[[#This Row],[agent_experience_years]]&lt;=8,"Senior",
tbl_analysis_tickets[[#This Row],[agent_experience_years]]&gt;8,"Expert"
)</f>
        <v>Expert</v>
      </c>
      <c r="P1407" cm="1">
        <f t="array" ref="P1407">_xlfn.SWITCH(tbl_analysis_tickets[[#This Row],[customer_satisfaction]],
"Low",1,
"Medium",2,
"High",3
)</f>
        <v>2</v>
      </c>
      <c r="Q1407">
        <f>IF(tbl_analysis_tickets[[#This Row],[reopened]]="Yes",1,0)</f>
        <v>0</v>
      </c>
      <c r="R1407" t="str" cm="1">
        <f t="array" ref="R1407">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407" t="str" cm="1">
        <f t="array" ref="S140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1407" t="str">
        <f>TEXT(tbl_analysis_tickets[[#This Row],[created_date]],"mmm-yyyy")</f>
        <v>Aug-2024</v>
      </c>
      <c r="U1407" t="str">
        <f>TEXT(tbl_analysis_tickets[[#This Row],[created_date]],"dddd")</f>
        <v>Friday</v>
      </c>
      <c r="V1407" cm="1">
        <f t="array" ref="V1407">_xlfn.SWITCH(tbl_analysis_tickets[[#This Row],[priority]],
"Urgent",1,
"High",2,
"Medium",3,
"Low",4
)</f>
        <v>4</v>
      </c>
    </row>
    <row r="1408" spans="1:22" x14ac:dyDescent="0.25">
      <c r="A1408">
        <v>1407</v>
      </c>
      <c r="B1408" s="1">
        <v>45380</v>
      </c>
      <c r="C1408" t="s">
        <v>23</v>
      </c>
      <c r="D1408" t="s">
        <v>17</v>
      </c>
      <c r="E1408">
        <v>203</v>
      </c>
      <c r="F1408">
        <v>7</v>
      </c>
      <c r="G1408">
        <v>3.5</v>
      </c>
      <c r="H1408" t="s">
        <v>18</v>
      </c>
      <c r="I1408" t="s">
        <v>16</v>
      </c>
      <c r="J1408" t="s">
        <v>11</v>
      </c>
      <c r="K1408">
        <f>_xlfn.XLOOKUP(tbl_analysis_tickets[[#This Row],[priority]],tbl_sla[priority],tbl_sla[Resolution SLA Hours])</f>
        <v>8</v>
      </c>
      <c r="L1408">
        <f>_xlfn.XLOOKUP(tbl_analysis_tickets[[#This Row],[priority]],tbl_sla[priority],tbl_sla[First Response SLA Minutes])</f>
        <v>30</v>
      </c>
      <c r="M1408" t="str">
        <f>IF(tbl_analysis_tickets[[#This Row],[resolution_time_hours]]&gt;tbl_analysis_tickets[[#This Row],[Resolution SLA Hours]],"Breached","Within SLA")</f>
        <v>Within SLA</v>
      </c>
      <c r="N1408" t="str">
        <f>IF(tbl_analysis_tickets[[#This Row],[first_response_minutes]]&gt;tbl_analysis_tickets[[#This Row],[First Response SLA Minutes]],"Breached","Within SLA")</f>
        <v>Breached</v>
      </c>
      <c r="O1408" t="str" cm="1">
        <f t="array" ref="O1408">_xlfn.IFS(
tbl_analysis_tickets[[#This Row],[agent_experience_years]]&lt;=2,"Junior",
tbl_analysis_tickets[[#This Row],[agent_experience_years]]&lt;=5,"Mid-Level",
tbl_analysis_tickets[[#This Row],[agent_experience_years]]&lt;=8,"Senior",
tbl_analysis_tickets[[#This Row],[agent_experience_years]]&gt;8,"Expert"
)</f>
        <v>Mid-Level</v>
      </c>
      <c r="P1408" cm="1">
        <f t="array" ref="P1408">_xlfn.SWITCH(tbl_analysis_tickets[[#This Row],[customer_satisfaction]],
"Low",1,
"Medium",2,
"High",3
)</f>
        <v>1</v>
      </c>
      <c r="Q1408">
        <f>IF(tbl_analysis_tickets[[#This Row],[reopened]]="Yes",1,0)</f>
        <v>0</v>
      </c>
      <c r="R1408" t="str" cm="1">
        <f t="array" ref="R1408">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408" t="str" cm="1">
        <f t="array" ref="S140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1408" t="str">
        <f>TEXT(tbl_analysis_tickets[[#This Row],[created_date]],"mmm-yyyy")</f>
        <v>Mar-2024</v>
      </c>
      <c r="U1408" t="str">
        <f>TEXT(tbl_analysis_tickets[[#This Row],[created_date]],"dddd")</f>
        <v>Friday</v>
      </c>
      <c r="V1408" cm="1">
        <f t="array" ref="V1408">_xlfn.SWITCH(tbl_analysis_tickets[[#This Row],[priority]],
"Urgent",1,
"High",2,
"Medium",3,
"Low",4
)</f>
        <v>1</v>
      </c>
    </row>
    <row r="1409" spans="1:22" x14ac:dyDescent="0.25">
      <c r="A1409">
        <v>1408</v>
      </c>
      <c r="B1409" s="1">
        <v>45492</v>
      </c>
      <c r="C1409" t="s">
        <v>14</v>
      </c>
      <c r="D1409" t="s">
        <v>11</v>
      </c>
      <c r="E1409">
        <v>127</v>
      </c>
      <c r="F1409">
        <v>69</v>
      </c>
      <c r="G1409">
        <v>3.1</v>
      </c>
      <c r="H1409" t="s">
        <v>12</v>
      </c>
      <c r="I1409" t="s">
        <v>16</v>
      </c>
      <c r="J1409" t="s">
        <v>11</v>
      </c>
      <c r="K1409">
        <f>_xlfn.XLOOKUP(tbl_analysis_tickets[[#This Row],[priority]],tbl_sla[priority],tbl_sla[Resolution SLA Hours])</f>
        <v>72</v>
      </c>
      <c r="L1409">
        <f>_xlfn.XLOOKUP(tbl_analysis_tickets[[#This Row],[priority]],tbl_sla[priority],tbl_sla[First Response SLA Minutes])</f>
        <v>240</v>
      </c>
      <c r="M1409" t="str">
        <f>IF(tbl_analysis_tickets[[#This Row],[resolution_time_hours]]&gt;tbl_analysis_tickets[[#This Row],[Resolution SLA Hours]],"Breached","Within SLA")</f>
        <v>Within SLA</v>
      </c>
      <c r="N1409" t="str">
        <f>IF(tbl_analysis_tickets[[#This Row],[first_response_minutes]]&gt;tbl_analysis_tickets[[#This Row],[First Response SLA Minutes]],"Breached","Within SLA")</f>
        <v>Within SLA</v>
      </c>
      <c r="O1409" t="str" cm="1">
        <f t="array" ref="O1409">_xlfn.IFS(
tbl_analysis_tickets[[#This Row],[agent_experience_years]]&lt;=2,"Junior",
tbl_analysis_tickets[[#This Row],[agent_experience_years]]&lt;=5,"Mid-Level",
tbl_analysis_tickets[[#This Row],[agent_experience_years]]&lt;=8,"Senior",
tbl_analysis_tickets[[#This Row],[agent_experience_years]]&gt;8,"Expert"
)</f>
        <v>Mid-Level</v>
      </c>
      <c r="P1409" cm="1">
        <f t="array" ref="P1409">_xlfn.SWITCH(tbl_analysis_tickets[[#This Row],[customer_satisfaction]],
"Low",1,
"Medium",2,
"High",3
)</f>
        <v>1</v>
      </c>
      <c r="Q1409">
        <f>IF(tbl_analysis_tickets[[#This Row],[reopened]]="Yes",1,0)</f>
        <v>1</v>
      </c>
      <c r="R1409" t="str" cm="1">
        <f t="array" ref="R1409">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409" t="str" cm="1">
        <f t="array" ref="S140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409" t="str">
        <f>TEXT(tbl_analysis_tickets[[#This Row],[created_date]],"mmm-yyyy")</f>
        <v>Jul-2024</v>
      </c>
      <c r="U1409" t="str">
        <f>TEXT(tbl_analysis_tickets[[#This Row],[created_date]],"dddd")</f>
        <v>Friday</v>
      </c>
      <c r="V1409" cm="1">
        <f t="array" ref="V1409">_xlfn.SWITCH(tbl_analysis_tickets[[#This Row],[priority]],
"Urgent",1,
"High",2,
"Medium",3,
"Low",4
)</f>
        <v>4</v>
      </c>
    </row>
    <row r="1410" spans="1:22" x14ac:dyDescent="0.25">
      <c r="A1410">
        <v>1409</v>
      </c>
      <c r="B1410" s="1">
        <v>45496</v>
      </c>
      <c r="C1410" t="s">
        <v>22</v>
      </c>
      <c r="D1410" t="s">
        <v>20</v>
      </c>
      <c r="E1410">
        <v>239</v>
      </c>
      <c r="F1410">
        <v>17</v>
      </c>
      <c r="G1410">
        <v>9.6</v>
      </c>
      <c r="H1410" t="s">
        <v>18</v>
      </c>
      <c r="I1410" t="s">
        <v>16</v>
      </c>
      <c r="J1410" t="s">
        <v>11</v>
      </c>
      <c r="K1410">
        <f>_xlfn.XLOOKUP(tbl_analysis_tickets[[#This Row],[priority]],tbl_sla[priority],tbl_sla[Resolution SLA Hours])</f>
        <v>24</v>
      </c>
      <c r="L1410">
        <f>_xlfn.XLOOKUP(tbl_analysis_tickets[[#This Row],[priority]],tbl_sla[priority],tbl_sla[First Response SLA Minutes])</f>
        <v>60</v>
      </c>
      <c r="M1410" t="str">
        <f>IF(tbl_analysis_tickets[[#This Row],[resolution_time_hours]]&gt;tbl_analysis_tickets[[#This Row],[Resolution SLA Hours]],"Breached","Within SLA")</f>
        <v>Within SLA</v>
      </c>
      <c r="N1410" t="str">
        <f>IF(tbl_analysis_tickets[[#This Row],[first_response_minutes]]&gt;tbl_analysis_tickets[[#This Row],[First Response SLA Minutes]],"Breached","Within SLA")</f>
        <v>Breached</v>
      </c>
      <c r="O1410" t="str" cm="1">
        <f t="array" ref="O1410">_xlfn.IFS(
tbl_analysis_tickets[[#This Row],[agent_experience_years]]&lt;=2,"Junior",
tbl_analysis_tickets[[#This Row],[agent_experience_years]]&lt;=5,"Mid-Level",
tbl_analysis_tickets[[#This Row],[agent_experience_years]]&lt;=8,"Senior",
tbl_analysis_tickets[[#This Row],[agent_experience_years]]&gt;8,"Expert"
)</f>
        <v>Expert</v>
      </c>
      <c r="P1410" cm="1">
        <f t="array" ref="P1410">_xlfn.SWITCH(tbl_analysis_tickets[[#This Row],[customer_satisfaction]],
"Low",1,
"Medium",2,
"High",3
)</f>
        <v>1</v>
      </c>
      <c r="Q1410">
        <f>IF(tbl_analysis_tickets[[#This Row],[reopened]]="Yes",1,0)</f>
        <v>0</v>
      </c>
      <c r="R1410" t="str" cm="1">
        <f t="array" ref="R1410">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410" t="str" cm="1">
        <f t="array" ref="S141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410" t="str">
        <f>TEXT(tbl_analysis_tickets[[#This Row],[created_date]],"mmm-yyyy")</f>
        <v>Jul-2024</v>
      </c>
      <c r="U1410" t="str">
        <f>TEXT(tbl_analysis_tickets[[#This Row],[created_date]],"dddd")</f>
        <v>Tuesday</v>
      </c>
      <c r="V1410" cm="1">
        <f t="array" ref="V1410">_xlfn.SWITCH(tbl_analysis_tickets[[#This Row],[priority]],
"Urgent",1,
"High",2,
"Medium",3,
"Low",4
)</f>
        <v>2</v>
      </c>
    </row>
    <row r="1411" spans="1:22" x14ac:dyDescent="0.25">
      <c r="A1411">
        <v>1410</v>
      </c>
      <c r="B1411" s="1">
        <v>45390</v>
      </c>
      <c r="C1411" t="s">
        <v>21</v>
      </c>
      <c r="D1411" t="s">
        <v>20</v>
      </c>
      <c r="E1411">
        <v>159</v>
      </c>
      <c r="F1411">
        <v>4</v>
      </c>
      <c r="G1411">
        <v>9.1</v>
      </c>
      <c r="H1411" t="s">
        <v>18</v>
      </c>
      <c r="I1411" t="s">
        <v>13</v>
      </c>
      <c r="J1411" t="s">
        <v>15</v>
      </c>
      <c r="K1411">
        <f>_xlfn.XLOOKUP(tbl_analysis_tickets[[#This Row],[priority]],tbl_sla[priority],tbl_sla[Resolution SLA Hours])</f>
        <v>24</v>
      </c>
      <c r="L1411">
        <f>_xlfn.XLOOKUP(tbl_analysis_tickets[[#This Row],[priority]],tbl_sla[priority],tbl_sla[First Response SLA Minutes])</f>
        <v>60</v>
      </c>
      <c r="M1411" t="str">
        <f>IF(tbl_analysis_tickets[[#This Row],[resolution_time_hours]]&gt;tbl_analysis_tickets[[#This Row],[Resolution SLA Hours]],"Breached","Within SLA")</f>
        <v>Within SLA</v>
      </c>
      <c r="N1411" t="str">
        <f>IF(tbl_analysis_tickets[[#This Row],[first_response_minutes]]&gt;tbl_analysis_tickets[[#This Row],[First Response SLA Minutes]],"Breached","Within SLA")</f>
        <v>Breached</v>
      </c>
      <c r="O1411" t="str" cm="1">
        <f t="array" ref="O1411">_xlfn.IFS(
tbl_analysis_tickets[[#This Row],[agent_experience_years]]&lt;=2,"Junior",
tbl_analysis_tickets[[#This Row],[agent_experience_years]]&lt;=5,"Mid-Level",
tbl_analysis_tickets[[#This Row],[agent_experience_years]]&lt;=8,"Senior",
tbl_analysis_tickets[[#This Row],[agent_experience_years]]&gt;8,"Expert"
)</f>
        <v>Expert</v>
      </c>
      <c r="P1411" cm="1">
        <f t="array" ref="P1411">_xlfn.SWITCH(tbl_analysis_tickets[[#This Row],[customer_satisfaction]],
"Low",1,
"Medium",2,
"High",3
)</f>
        <v>2</v>
      </c>
      <c r="Q1411">
        <f>IF(tbl_analysis_tickets[[#This Row],[reopened]]="Yes",1,0)</f>
        <v>0</v>
      </c>
      <c r="R1411" t="str" cm="1">
        <f t="array" ref="R1411">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411" t="str" cm="1">
        <f t="array" ref="S141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1411" t="str">
        <f>TEXT(tbl_analysis_tickets[[#This Row],[created_date]],"mmm-yyyy")</f>
        <v>Apr-2024</v>
      </c>
      <c r="U1411" t="str">
        <f>TEXT(tbl_analysis_tickets[[#This Row],[created_date]],"dddd")</f>
        <v>Monday</v>
      </c>
      <c r="V1411" cm="1">
        <f t="array" ref="V1411">_xlfn.SWITCH(tbl_analysis_tickets[[#This Row],[priority]],
"Urgent",1,
"High",2,
"Medium",3,
"Low",4
)</f>
        <v>2</v>
      </c>
    </row>
    <row r="1412" spans="1:22" x14ac:dyDescent="0.25">
      <c r="A1412">
        <v>1411</v>
      </c>
      <c r="B1412" s="1">
        <v>45481</v>
      </c>
      <c r="C1412" t="s">
        <v>21</v>
      </c>
      <c r="D1412" t="s">
        <v>20</v>
      </c>
      <c r="E1412">
        <v>5</v>
      </c>
      <c r="F1412">
        <v>58</v>
      </c>
      <c r="G1412">
        <v>7.2</v>
      </c>
      <c r="H1412" t="s">
        <v>18</v>
      </c>
      <c r="I1412" t="s">
        <v>19</v>
      </c>
      <c r="J1412" t="s">
        <v>15</v>
      </c>
      <c r="K1412">
        <f>_xlfn.XLOOKUP(tbl_analysis_tickets[[#This Row],[priority]],tbl_sla[priority],tbl_sla[Resolution SLA Hours])</f>
        <v>24</v>
      </c>
      <c r="L1412">
        <f>_xlfn.XLOOKUP(tbl_analysis_tickets[[#This Row],[priority]],tbl_sla[priority],tbl_sla[First Response SLA Minutes])</f>
        <v>60</v>
      </c>
      <c r="M1412" t="str">
        <f>IF(tbl_analysis_tickets[[#This Row],[resolution_time_hours]]&gt;tbl_analysis_tickets[[#This Row],[Resolution SLA Hours]],"Breached","Within SLA")</f>
        <v>Breached</v>
      </c>
      <c r="N1412" t="str">
        <f>IF(tbl_analysis_tickets[[#This Row],[first_response_minutes]]&gt;tbl_analysis_tickets[[#This Row],[First Response SLA Minutes]],"Breached","Within SLA")</f>
        <v>Within SLA</v>
      </c>
      <c r="O1412" t="str" cm="1">
        <f t="array" ref="O1412">_xlfn.IFS(
tbl_analysis_tickets[[#This Row],[agent_experience_years]]&lt;=2,"Junior",
tbl_analysis_tickets[[#This Row],[agent_experience_years]]&lt;=5,"Mid-Level",
tbl_analysis_tickets[[#This Row],[agent_experience_years]]&lt;=8,"Senior",
tbl_analysis_tickets[[#This Row],[agent_experience_years]]&gt;8,"Expert"
)</f>
        <v>Senior</v>
      </c>
      <c r="P1412" cm="1">
        <f t="array" ref="P1412">_xlfn.SWITCH(tbl_analysis_tickets[[#This Row],[customer_satisfaction]],
"Low",1,
"Medium",2,
"High",3
)</f>
        <v>2</v>
      </c>
      <c r="Q1412">
        <f>IF(tbl_analysis_tickets[[#This Row],[reopened]]="Yes",1,0)</f>
        <v>0</v>
      </c>
      <c r="R1412" t="str" cm="1">
        <f t="array" ref="R1412">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1412" t="str" cm="1">
        <f t="array" ref="S141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412" t="str">
        <f>TEXT(tbl_analysis_tickets[[#This Row],[created_date]],"mmm-yyyy")</f>
        <v>Jul-2024</v>
      </c>
      <c r="U1412" t="str">
        <f>TEXT(tbl_analysis_tickets[[#This Row],[created_date]],"dddd")</f>
        <v>Monday</v>
      </c>
      <c r="V1412" cm="1">
        <f t="array" ref="V1412">_xlfn.SWITCH(tbl_analysis_tickets[[#This Row],[priority]],
"Urgent",1,
"High",2,
"Medium",3,
"Low",4
)</f>
        <v>2</v>
      </c>
    </row>
    <row r="1413" spans="1:22" x14ac:dyDescent="0.25">
      <c r="A1413">
        <v>1412</v>
      </c>
      <c r="B1413" s="1">
        <v>45503</v>
      </c>
      <c r="C1413" t="s">
        <v>23</v>
      </c>
      <c r="D1413" t="s">
        <v>20</v>
      </c>
      <c r="E1413">
        <v>153</v>
      </c>
      <c r="F1413">
        <v>51</v>
      </c>
      <c r="G1413">
        <v>8</v>
      </c>
      <c r="H1413" t="s">
        <v>12</v>
      </c>
      <c r="I1413" t="s">
        <v>16</v>
      </c>
      <c r="J1413" t="s">
        <v>11</v>
      </c>
      <c r="K1413">
        <f>_xlfn.XLOOKUP(tbl_analysis_tickets[[#This Row],[priority]],tbl_sla[priority],tbl_sla[Resolution SLA Hours])</f>
        <v>24</v>
      </c>
      <c r="L1413">
        <f>_xlfn.XLOOKUP(tbl_analysis_tickets[[#This Row],[priority]],tbl_sla[priority],tbl_sla[First Response SLA Minutes])</f>
        <v>60</v>
      </c>
      <c r="M1413" t="str">
        <f>IF(tbl_analysis_tickets[[#This Row],[resolution_time_hours]]&gt;tbl_analysis_tickets[[#This Row],[Resolution SLA Hours]],"Breached","Within SLA")</f>
        <v>Breached</v>
      </c>
      <c r="N1413" t="str">
        <f>IF(tbl_analysis_tickets[[#This Row],[first_response_minutes]]&gt;tbl_analysis_tickets[[#This Row],[First Response SLA Minutes]],"Breached","Within SLA")</f>
        <v>Breached</v>
      </c>
      <c r="O1413" t="str" cm="1">
        <f t="array" ref="O1413">_xlfn.IFS(
tbl_analysis_tickets[[#This Row],[agent_experience_years]]&lt;=2,"Junior",
tbl_analysis_tickets[[#This Row],[agent_experience_years]]&lt;=5,"Mid-Level",
tbl_analysis_tickets[[#This Row],[agent_experience_years]]&lt;=8,"Senior",
tbl_analysis_tickets[[#This Row],[agent_experience_years]]&gt;8,"Expert"
)</f>
        <v>Senior</v>
      </c>
      <c r="P1413" cm="1">
        <f t="array" ref="P1413">_xlfn.SWITCH(tbl_analysis_tickets[[#This Row],[customer_satisfaction]],
"Low",1,
"Medium",2,
"High",3
)</f>
        <v>1</v>
      </c>
      <c r="Q1413">
        <f>IF(tbl_analysis_tickets[[#This Row],[reopened]]="Yes",1,0)</f>
        <v>1</v>
      </c>
      <c r="R1413" t="str" cm="1">
        <f t="array" ref="R1413">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413" t="str" cm="1">
        <f t="array" ref="S141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413" t="str">
        <f>TEXT(tbl_analysis_tickets[[#This Row],[created_date]],"mmm-yyyy")</f>
        <v>Jul-2024</v>
      </c>
      <c r="U1413" t="str">
        <f>TEXT(tbl_analysis_tickets[[#This Row],[created_date]],"dddd")</f>
        <v>Tuesday</v>
      </c>
      <c r="V1413" cm="1">
        <f t="array" ref="V1413">_xlfn.SWITCH(tbl_analysis_tickets[[#This Row],[priority]],
"Urgent",1,
"High",2,
"Medium",3,
"Low",4
)</f>
        <v>2</v>
      </c>
    </row>
    <row r="1414" spans="1:22" x14ac:dyDescent="0.25">
      <c r="A1414">
        <v>1413</v>
      </c>
      <c r="B1414" s="1">
        <v>45455</v>
      </c>
      <c r="C1414" t="s">
        <v>10</v>
      </c>
      <c r="D1414" t="s">
        <v>20</v>
      </c>
      <c r="E1414">
        <v>147</v>
      </c>
      <c r="F1414">
        <v>43</v>
      </c>
      <c r="G1414">
        <v>8.5</v>
      </c>
      <c r="H1414" t="s">
        <v>18</v>
      </c>
      <c r="I1414" t="s">
        <v>19</v>
      </c>
      <c r="J1414" t="s">
        <v>11</v>
      </c>
      <c r="K1414">
        <f>_xlfn.XLOOKUP(tbl_analysis_tickets[[#This Row],[priority]],tbl_sla[priority],tbl_sla[Resolution SLA Hours])</f>
        <v>24</v>
      </c>
      <c r="L1414">
        <f>_xlfn.XLOOKUP(tbl_analysis_tickets[[#This Row],[priority]],tbl_sla[priority],tbl_sla[First Response SLA Minutes])</f>
        <v>60</v>
      </c>
      <c r="M1414" t="str">
        <f>IF(tbl_analysis_tickets[[#This Row],[resolution_time_hours]]&gt;tbl_analysis_tickets[[#This Row],[Resolution SLA Hours]],"Breached","Within SLA")</f>
        <v>Breached</v>
      </c>
      <c r="N1414" t="str">
        <f>IF(tbl_analysis_tickets[[#This Row],[first_response_minutes]]&gt;tbl_analysis_tickets[[#This Row],[First Response SLA Minutes]],"Breached","Within SLA")</f>
        <v>Breached</v>
      </c>
      <c r="O1414" t="str" cm="1">
        <f t="array" ref="O1414">_xlfn.IFS(
tbl_analysis_tickets[[#This Row],[agent_experience_years]]&lt;=2,"Junior",
tbl_analysis_tickets[[#This Row],[agent_experience_years]]&lt;=5,"Mid-Level",
tbl_analysis_tickets[[#This Row],[agent_experience_years]]&lt;=8,"Senior",
tbl_analysis_tickets[[#This Row],[agent_experience_years]]&gt;8,"Expert"
)</f>
        <v>Expert</v>
      </c>
      <c r="P1414" cm="1">
        <f t="array" ref="P1414">_xlfn.SWITCH(tbl_analysis_tickets[[#This Row],[customer_satisfaction]],
"Low",1,
"Medium",2,
"High",3
)</f>
        <v>1</v>
      </c>
      <c r="Q1414">
        <f>IF(tbl_analysis_tickets[[#This Row],[reopened]]="Yes",1,0)</f>
        <v>0</v>
      </c>
      <c r="R1414" t="str" cm="1">
        <f t="array" ref="R1414">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414" t="str" cm="1">
        <f t="array" ref="S141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414" t="str">
        <f>TEXT(tbl_analysis_tickets[[#This Row],[created_date]],"mmm-yyyy")</f>
        <v>Jun-2024</v>
      </c>
      <c r="U1414" t="str">
        <f>TEXT(tbl_analysis_tickets[[#This Row],[created_date]],"dddd")</f>
        <v>Wednesday</v>
      </c>
      <c r="V1414" cm="1">
        <f t="array" ref="V1414">_xlfn.SWITCH(tbl_analysis_tickets[[#This Row],[priority]],
"Urgent",1,
"High",2,
"Medium",3,
"Low",4
)</f>
        <v>2</v>
      </c>
    </row>
    <row r="1415" spans="1:22" x14ac:dyDescent="0.25">
      <c r="A1415">
        <v>1414</v>
      </c>
      <c r="B1415" s="1">
        <v>45531</v>
      </c>
      <c r="C1415" t="s">
        <v>10</v>
      </c>
      <c r="D1415" t="s">
        <v>17</v>
      </c>
      <c r="E1415">
        <v>128</v>
      </c>
      <c r="F1415">
        <v>24</v>
      </c>
      <c r="G1415">
        <v>9.1</v>
      </c>
      <c r="H1415" t="s">
        <v>12</v>
      </c>
      <c r="I1415" t="s">
        <v>16</v>
      </c>
      <c r="J1415" t="s">
        <v>11</v>
      </c>
      <c r="K1415">
        <f>_xlfn.XLOOKUP(tbl_analysis_tickets[[#This Row],[priority]],tbl_sla[priority],tbl_sla[Resolution SLA Hours])</f>
        <v>8</v>
      </c>
      <c r="L1415">
        <f>_xlfn.XLOOKUP(tbl_analysis_tickets[[#This Row],[priority]],tbl_sla[priority],tbl_sla[First Response SLA Minutes])</f>
        <v>30</v>
      </c>
      <c r="M1415" t="str">
        <f>IF(tbl_analysis_tickets[[#This Row],[resolution_time_hours]]&gt;tbl_analysis_tickets[[#This Row],[Resolution SLA Hours]],"Breached","Within SLA")</f>
        <v>Breached</v>
      </c>
      <c r="N1415" t="str">
        <f>IF(tbl_analysis_tickets[[#This Row],[first_response_minutes]]&gt;tbl_analysis_tickets[[#This Row],[First Response SLA Minutes]],"Breached","Within SLA")</f>
        <v>Breached</v>
      </c>
      <c r="O1415" t="str" cm="1">
        <f t="array" ref="O1415">_xlfn.IFS(
tbl_analysis_tickets[[#This Row],[agent_experience_years]]&lt;=2,"Junior",
tbl_analysis_tickets[[#This Row],[agent_experience_years]]&lt;=5,"Mid-Level",
tbl_analysis_tickets[[#This Row],[agent_experience_years]]&lt;=8,"Senior",
tbl_analysis_tickets[[#This Row],[agent_experience_years]]&gt;8,"Expert"
)</f>
        <v>Expert</v>
      </c>
      <c r="P1415" cm="1">
        <f t="array" ref="P1415">_xlfn.SWITCH(tbl_analysis_tickets[[#This Row],[customer_satisfaction]],
"Low",1,
"Medium",2,
"High",3
)</f>
        <v>1</v>
      </c>
      <c r="Q1415">
        <f>IF(tbl_analysis_tickets[[#This Row],[reopened]]="Yes",1,0)</f>
        <v>1</v>
      </c>
      <c r="R1415" t="str" cm="1">
        <f t="array" ref="R1415">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415" t="str" cm="1">
        <f t="array" ref="S141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415" t="str">
        <f>TEXT(tbl_analysis_tickets[[#This Row],[created_date]],"mmm-yyyy")</f>
        <v>Aug-2024</v>
      </c>
      <c r="U1415" t="str">
        <f>TEXT(tbl_analysis_tickets[[#This Row],[created_date]],"dddd")</f>
        <v>Tuesday</v>
      </c>
      <c r="V1415" cm="1">
        <f t="array" ref="V1415">_xlfn.SWITCH(tbl_analysis_tickets[[#This Row],[priority]],
"Urgent",1,
"High",2,
"Medium",3,
"Low",4
)</f>
        <v>1</v>
      </c>
    </row>
    <row r="1416" spans="1:22" x14ac:dyDescent="0.25">
      <c r="A1416">
        <v>1415</v>
      </c>
      <c r="B1416" s="1">
        <v>45500</v>
      </c>
      <c r="C1416" t="s">
        <v>14</v>
      </c>
      <c r="D1416" t="s">
        <v>15</v>
      </c>
      <c r="E1416">
        <v>137</v>
      </c>
      <c r="F1416">
        <v>3</v>
      </c>
      <c r="G1416">
        <v>6.6</v>
      </c>
      <c r="H1416" t="s">
        <v>12</v>
      </c>
      <c r="I1416" t="s">
        <v>19</v>
      </c>
      <c r="J1416" t="s">
        <v>15</v>
      </c>
      <c r="K1416">
        <f>_xlfn.XLOOKUP(tbl_analysis_tickets[[#This Row],[priority]],tbl_sla[priority],tbl_sla[Resolution SLA Hours])</f>
        <v>48</v>
      </c>
      <c r="L1416">
        <f>_xlfn.XLOOKUP(tbl_analysis_tickets[[#This Row],[priority]],tbl_sla[priority],tbl_sla[First Response SLA Minutes])</f>
        <v>120</v>
      </c>
      <c r="M1416" t="str">
        <f>IF(tbl_analysis_tickets[[#This Row],[resolution_time_hours]]&gt;tbl_analysis_tickets[[#This Row],[Resolution SLA Hours]],"Breached","Within SLA")</f>
        <v>Within SLA</v>
      </c>
      <c r="N1416" t="str">
        <f>IF(tbl_analysis_tickets[[#This Row],[first_response_minutes]]&gt;tbl_analysis_tickets[[#This Row],[First Response SLA Minutes]],"Breached","Within SLA")</f>
        <v>Breached</v>
      </c>
      <c r="O1416" t="str" cm="1">
        <f t="array" ref="O1416">_xlfn.IFS(
tbl_analysis_tickets[[#This Row],[agent_experience_years]]&lt;=2,"Junior",
tbl_analysis_tickets[[#This Row],[agent_experience_years]]&lt;=5,"Mid-Level",
tbl_analysis_tickets[[#This Row],[agent_experience_years]]&lt;=8,"Senior",
tbl_analysis_tickets[[#This Row],[agent_experience_years]]&gt;8,"Expert"
)</f>
        <v>Senior</v>
      </c>
      <c r="P1416" cm="1">
        <f t="array" ref="P1416">_xlfn.SWITCH(tbl_analysis_tickets[[#This Row],[customer_satisfaction]],
"Low",1,
"Medium",2,
"High",3
)</f>
        <v>2</v>
      </c>
      <c r="Q1416">
        <f>IF(tbl_analysis_tickets[[#This Row],[reopened]]="Yes",1,0)</f>
        <v>1</v>
      </c>
      <c r="R1416" t="str" cm="1">
        <f t="array" ref="R1416">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416" t="str" cm="1">
        <f t="array" ref="S141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1416" t="str">
        <f>TEXT(tbl_analysis_tickets[[#This Row],[created_date]],"mmm-yyyy")</f>
        <v>Jul-2024</v>
      </c>
      <c r="U1416" t="str">
        <f>TEXT(tbl_analysis_tickets[[#This Row],[created_date]],"dddd")</f>
        <v>Saturday</v>
      </c>
      <c r="V1416" cm="1">
        <f t="array" ref="V1416">_xlfn.SWITCH(tbl_analysis_tickets[[#This Row],[priority]],
"Urgent",1,
"High",2,
"Medium",3,
"Low",4
)</f>
        <v>3</v>
      </c>
    </row>
    <row r="1417" spans="1:22" x14ac:dyDescent="0.25">
      <c r="A1417">
        <v>1416</v>
      </c>
      <c r="B1417" s="1">
        <v>45317</v>
      </c>
      <c r="C1417" t="s">
        <v>21</v>
      </c>
      <c r="D1417" t="s">
        <v>17</v>
      </c>
      <c r="E1417">
        <v>68</v>
      </c>
      <c r="F1417">
        <v>56</v>
      </c>
      <c r="G1417">
        <v>7.8</v>
      </c>
      <c r="H1417" t="s">
        <v>18</v>
      </c>
      <c r="I1417" t="s">
        <v>19</v>
      </c>
      <c r="J1417" t="s">
        <v>11</v>
      </c>
      <c r="K1417">
        <f>_xlfn.XLOOKUP(tbl_analysis_tickets[[#This Row],[priority]],tbl_sla[priority],tbl_sla[Resolution SLA Hours])</f>
        <v>8</v>
      </c>
      <c r="L1417">
        <f>_xlfn.XLOOKUP(tbl_analysis_tickets[[#This Row],[priority]],tbl_sla[priority],tbl_sla[First Response SLA Minutes])</f>
        <v>30</v>
      </c>
      <c r="M1417" t="str">
        <f>IF(tbl_analysis_tickets[[#This Row],[resolution_time_hours]]&gt;tbl_analysis_tickets[[#This Row],[Resolution SLA Hours]],"Breached","Within SLA")</f>
        <v>Breached</v>
      </c>
      <c r="N1417" t="str">
        <f>IF(tbl_analysis_tickets[[#This Row],[first_response_minutes]]&gt;tbl_analysis_tickets[[#This Row],[First Response SLA Minutes]],"Breached","Within SLA")</f>
        <v>Breached</v>
      </c>
      <c r="O1417" t="str" cm="1">
        <f t="array" ref="O1417">_xlfn.IFS(
tbl_analysis_tickets[[#This Row],[agent_experience_years]]&lt;=2,"Junior",
tbl_analysis_tickets[[#This Row],[agent_experience_years]]&lt;=5,"Mid-Level",
tbl_analysis_tickets[[#This Row],[agent_experience_years]]&lt;=8,"Senior",
tbl_analysis_tickets[[#This Row],[agent_experience_years]]&gt;8,"Expert"
)</f>
        <v>Senior</v>
      </c>
      <c r="P1417" cm="1">
        <f t="array" ref="P1417">_xlfn.SWITCH(tbl_analysis_tickets[[#This Row],[customer_satisfaction]],
"Low",1,
"Medium",2,
"High",3
)</f>
        <v>1</v>
      </c>
      <c r="Q1417">
        <f>IF(tbl_analysis_tickets[[#This Row],[reopened]]="Yes",1,0)</f>
        <v>0</v>
      </c>
      <c r="R1417" t="str" cm="1">
        <f t="array" ref="R1417">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417" t="str" cm="1">
        <f t="array" ref="S141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417" t="str">
        <f>TEXT(tbl_analysis_tickets[[#This Row],[created_date]],"mmm-yyyy")</f>
        <v>Jan-2024</v>
      </c>
      <c r="U1417" t="str">
        <f>TEXT(tbl_analysis_tickets[[#This Row],[created_date]],"dddd")</f>
        <v>Friday</v>
      </c>
      <c r="V1417" cm="1">
        <f t="array" ref="V1417">_xlfn.SWITCH(tbl_analysis_tickets[[#This Row],[priority]],
"Urgent",1,
"High",2,
"Medium",3,
"Low",4
)</f>
        <v>1</v>
      </c>
    </row>
    <row r="1418" spans="1:22" x14ac:dyDescent="0.25">
      <c r="A1418">
        <v>1417</v>
      </c>
      <c r="B1418" s="1">
        <v>45548</v>
      </c>
      <c r="C1418" t="s">
        <v>14</v>
      </c>
      <c r="D1418" t="s">
        <v>15</v>
      </c>
      <c r="E1418">
        <v>206</v>
      </c>
      <c r="F1418">
        <v>10</v>
      </c>
      <c r="G1418">
        <v>2.9</v>
      </c>
      <c r="H1418" t="s">
        <v>12</v>
      </c>
      <c r="I1418" t="s">
        <v>16</v>
      </c>
      <c r="J1418" t="s">
        <v>11</v>
      </c>
      <c r="K1418">
        <f>_xlfn.XLOOKUP(tbl_analysis_tickets[[#This Row],[priority]],tbl_sla[priority],tbl_sla[Resolution SLA Hours])</f>
        <v>48</v>
      </c>
      <c r="L1418">
        <f>_xlfn.XLOOKUP(tbl_analysis_tickets[[#This Row],[priority]],tbl_sla[priority],tbl_sla[First Response SLA Minutes])</f>
        <v>120</v>
      </c>
      <c r="M1418" t="str">
        <f>IF(tbl_analysis_tickets[[#This Row],[resolution_time_hours]]&gt;tbl_analysis_tickets[[#This Row],[Resolution SLA Hours]],"Breached","Within SLA")</f>
        <v>Within SLA</v>
      </c>
      <c r="N1418" t="str">
        <f>IF(tbl_analysis_tickets[[#This Row],[first_response_minutes]]&gt;tbl_analysis_tickets[[#This Row],[First Response SLA Minutes]],"Breached","Within SLA")</f>
        <v>Breached</v>
      </c>
      <c r="O1418" t="str" cm="1">
        <f t="array" ref="O1418">_xlfn.IFS(
tbl_analysis_tickets[[#This Row],[agent_experience_years]]&lt;=2,"Junior",
tbl_analysis_tickets[[#This Row],[agent_experience_years]]&lt;=5,"Mid-Level",
tbl_analysis_tickets[[#This Row],[agent_experience_years]]&lt;=8,"Senior",
tbl_analysis_tickets[[#This Row],[agent_experience_years]]&gt;8,"Expert"
)</f>
        <v>Mid-Level</v>
      </c>
      <c r="P1418" cm="1">
        <f t="array" ref="P1418">_xlfn.SWITCH(tbl_analysis_tickets[[#This Row],[customer_satisfaction]],
"Low",1,
"Medium",2,
"High",3
)</f>
        <v>1</v>
      </c>
      <c r="Q1418">
        <f>IF(tbl_analysis_tickets[[#This Row],[reopened]]="Yes",1,0)</f>
        <v>1</v>
      </c>
      <c r="R1418" t="str" cm="1">
        <f t="array" ref="R1418">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418" t="str" cm="1">
        <f t="array" ref="S141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418" t="str">
        <f>TEXT(tbl_analysis_tickets[[#This Row],[created_date]],"mmm-yyyy")</f>
        <v>Sep-2024</v>
      </c>
      <c r="U1418" t="str">
        <f>TEXT(tbl_analysis_tickets[[#This Row],[created_date]],"dddd")</f>
        <v>Friday</v>
      </c>
      <c r="V1418" cm="1">
        <f t="array" ref="V1418">_xlfn.SWITCH(tbl_analysis_tickets[[#This Row],[priority]],
"Urgent",1,
"High",2,
"Medium",3,
"Low",4
)</f>
        <v>3</v>
      </c>
    </row>
    <row r="1419" spans="1:22" x14ac:dyDescent="0.25">
      <c r="A1419">
        <v>1418</v>
      </c>
      <c r="B1419" s="1">
        <v>45469</v>
      </c>
      <c r="C1419" t="s">
        <v>22</v>
      </c>
      <c r="D1419" t="s">
        <v>20</v>
      </c>
      <c r="E1419">
        <v>151</v>
      </c>
      <c r="F1419">
        <v>32</v>
      </c>
      <c r="G1419">
        <v>2.2000000000000002</v>
      </c>
      <c r="H1419" t="s">
        <v>12</v>
      </c>
      <c r="I1419" t="s">
        <v>19</v>
      </c>
      <c r="J1419" t="s">
        <v>11</v>
      </c>
      <c r="K1419">
        <f>_xlfn.XLOOKUP(tbl_analysis_tickets[[#This Row],[priority]],tbl_sla[priority],tbl_sla[Resolution SLA Hours])</f>
        <v>24</v>
      </c>
      <c r="L1419">
        <f>_xlfn.XLOOKUP(tbl_analysis_tickets[[#This Row],[priority]],tbl_sla[priority],tbl_sla[First Response SLA Minutes])</f>
        <v>60</v>
      </c>
      <c r="M1419" t="str">
        <f>IF(tbl_analysis_tickets[[#This Row],[resolution_time_hours]]&gt;tbl_analysis_tickets[[#This Row],[Resolution SLA Hours]],"Breached","Within SLA")</f>
        <v>Breached</v>
      </c>
      <c r="N1419" t="str">
        <f>IF(tbl_analysis_tickets[[#This Row],[first_response_minutes]]&gt;tbl_analysis_tickets[[#This Row],[First Response SLA Minutes]],"Breached","Within SLA")</f>
        <v>Breached</v>
      </c>
      <c r="O1419" t="str" cm="1">
        <f t="array" ref="O1419">_xlfn.IFS(
tbl_analysis_tickets[[#This Row],[agent_experience_years]]&lt;=2,"Junior",
tbl_analysis_tickets[[#This Row],[agent_experience_years]]&lt;=5,"Mid-Level",
tbl_analysis_tickets[[#This Row],[agent_experience_years]]&lt;=8,"Senior",
tbl_analysis_tickets[[#This Row],[agent_experience_years]]&gt;8,"Expert"
)</f>
        <v>Mid-Level</v>
      </c>
      <c r="P1419" cm="1">
        <f t="array" ref="P1419">_xlfn.SWITCH(tbl_analysis_tickets[[#This Row],[customer_satisfaction]],
"Low",1,
"Medium",2,
"High",3
)</f>
        <v>1</v>
      </c>
      <c r="Q1419">
        <f>IF(tbl_analysis_tickets[[#This Row],[reopened]]="Yes",1,0)</f>
        <v>1</v>
      </c>
      <c r="R1419" t="str" cm="1">
        <f t="array" ref="R1419">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419" t="str" cm="1">
        <f t="array" ref="S141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419" t="str">
        <f>TEXT(tbl_analysis_tickets[[#This Row],[created_date]],"mmm-yyyy")</f>
        <v>Jun-2024</v>
      </c>
      <c r="U1419" t="str">
        <f>TEXT(tbl_analysis_tickets[[#This Row],[created_date]],"dddd")</f>
        <v>Wednesday</v>
      </c>
      <c r="V1419" cm="1">
        <f t="array" ref="V1419">_xlfn.SWITCH(tbl_analysis_tickets[[#This Row],[priority]],
"Urgent",1,
"High",2,
"Medium",3,
"Low",4
)</f>
        <v>2</v>
      </c>
    </row>
    <row r="1420" spans="1:22" x14ac:dyDescent="0.25">
      <c r="A1420">
        <v>1419</v>
      </c>
      <c r="B1420" s="1">
        <v>45398</v>
      </c>
      <c r="C1420" t="s">
        <v>23</v>
      </c>
      <c r="D1420" t="s">
        <v>17</v>
      </c>
      <c r="E1420">
        <v>140</v>
      </c>
      <c r="F1420">
        <v>10</v>
      </c>
      <c r="G1420">
        <v>6.1</v>
      </c>
      <c r="H1420" t="s">
        <v>12</v>
      </c>
      <c r="I1420" t="s">
        <v>16</v>
      </c>
      <c r="J1420" t="s">
        <v>11</v>
      </c>
      <c r="K1420">
        <f>_xlfn.XLOOKUP(tbl_analysis_tickets[[#This Row],[priority]],tbl_sla[priority],tbl_sla[Resolution SLA Hours])</f>
        <v>8</v>
      </c>
      <c r="L1420">
        <f>_xlfn.XLOOKUP(tbl_analysis_tickets[[#This Row],[priority]],tbl_sla[priority],tbl_sla[First Response SLA Minutes])</f>
        <v>30</v>
      </c>
      <c r="M1420" t="str">
        <f>IF(tbl_analysis_tickets[[#This Row],[resolution_time_hours]]&gt;tbl_analysis_tickets[[#This Row],[Resolution SLA Hours]],"Breached","Within SLA")</f>
        <v>Breached</v>
      </c>
      <c r="N1420" t="str">
        <f>IF(tbl_analysis_tickets[[#This Row],[first_response_minutes]]&gt;tbl_analysis_tickets[[#This Row],[First Response SLA Minutes]],"Breached","Within SLA")</f>
        <v>Breached</v>
      </c>
      <c r="O1420" t="str" cm="1">
        <f t="array" ref="O1420">_xlfn.IFS(
tbl_analysis_tickets[[#This Row],[agent_experience_years]]&lt;=2,"Junior",
tbl_analysis_tickets[[#This Row],[agent_experience_years]]&lt;=5,"Mid-Level",
tbl_analysis_tickets[[#This Row],[agent_experience_years]]&lt;=8,"Senior",
tbl_analysis_tickets[[#This Row],[agent_experience_years]]&gt;8,"Expert"
)</f>
        <v>Senior</v>
      </c>
      <c r="P1420" cm="1">
        <f t="array" ref="P1420">_xlfn.SWITCH(tbl_analysis_tickets[[#This Row],[customer_satisfaction]],
"Low",1,
"Medium",2,
"High",3
)</f>
        <v>1</v>
      </c>
      <c r="Q1420">
        <f>IF(tbl_analysis_tickets[[#This Row],[reopened]]="Yes",1,0)</f>
        <v>1</v>
      </c>
      <c r="R1420" t="str" cm="1">
        <f t="array" ref="R1420">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420" t="str" cm="1">
        <f t="array" ref="S142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420" t="str">
        <f>TEXT(tbl_analysis_tickets[[#This Row],[created_date]],"mmm-yyyy")</f>
        <v>Apr-2024</v>
      </c>
      <c r="U1420" t="str">
        <f>TEXT(tbl_analysis_tickets[[#This Row],[created_date]],"dddd")</f>
        <v>Tuesday</v>
      </c>
      <c r="V1420" cm="1">
        <f t="array" ref="V1420">_xlfn.SWITCH(tbl_analysis_tickets[[#This Row],[priority]],
"Urgent",1,
"High",2,
"Medium",3,
"Low",4
)</f>
        <v>1</v>
      </c>
    </row>
    <row r="1421" spans="1:22" x14ac:dyDescent="0.25">
      <c r="A1421">
        <v>1420</v>
      </c>
      <c r="B1421" s="1">
        <v>45463</v>
      </c>
      <c r="C1421" t="s">
        <v>14</v>
      </c>
      <c r="D1421" t="s">
        <v>15</v>
      </c>
      <c r="E1421">
        <v>93</v>
      </c>
      <c r="F1421">
        <v>32</v>
      </c>
      <c r="G1421">
        <v>7.1</v>
      </c>
      <c r="H1421" t="s">
        <v>18</v>
      </c>
      <c r="I1421" t="s">
        <v>13</v>
      </c>
      <c r="J1421" t="s">
        <v>15</v>
      </c>
      <c r="K1421">
        <f>_xlfn.XLOOKUP(tbl_analysis_tickets[[#This Row],[priority]],tbl_sla[priority],tbl_sla[Resolution SLA Hours])</f>
        <v>48</v>
      </c>
      <c r="L1421">
        <f>_xlfn.XLOOKUP(tbl_analysis_tickets[[#This Row],[priority]],tbl_sla[priority],tbl_sla[First Response SLA Minutes])</f>
        <v>120</v>
      </c>
      <c r="M1421" t="str">
        <f>IF(tbl_analysis_tickets[[#This Row],[resolution_time_hours]]&gt;tbl_analysis_tickets[[#This Row],[Resolution SLA Hours]],"Breached","Within SLA")</f>
        <v>Within SLA</v>
      </c>
      <c r="N1421" t="str">
        <f>IF(tbl_analysis_tickets[[#This Row],[first_response_minutes]]&gt;tbl_analysis_tickets[[#This Row],[First Response SLA Minutes]],"Breached","Within SLA")</f>
        <v>Within SLA</v>
      </c>
      <c r="O1421" t="str" cm="1">
        <f t="array" ref="O1421">_xlfn.IFS(
tbl_analysis_tickets[[#This Row],[agent_experience_years]]&lt;=2,"Junior",
tbl_analysis_tickets[[#This Row],[agent_experience_years]]&lt;=5,"Mid-Level",
tbl_analysis_tickets[[#This Row],[agent_experience_years]]&lt;=8,"Senior",
tbl_analysis_tickets[[#This Row],[agent_experience_years]]&gt;8,"Expert"
)</f>
        <v>Senior</v>
      </c>
      <c r="P1421" cm="1">
        <f t="array" ref="P1421">_xlfn.SWITCH(tbl_analysis_tickets[[#This Row],[customer_satisfaction]],
"Low",1,
"Medium",2,
"High",3
)</f>
        <v>2</v>
      </c>
      <c r="Q1421">
        <f>IF(tbl_analysis_tickets[[#This Row],[reopened]]="Yes",1,0)</f>
        <v>0</v>
      </c>
      <c r="R1421" t="str" cm="1">
        <f t="array" ref="R1421">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421" t="str" cm="1">
        <f t="array" ref="S142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421" t="str">
        <f>TEXT(tbl_analysis_tickets[[#This Row],[created_date]],"mmm-yyyy")</f>
        <v>Jun-2024</v>
      </c>
      <c r="U1421" t="str">
        <f>TEXT(tbl_analysis_tickets[[#This Row],[created_date]],"dddd")</f>
        <v>Thursday</v>
      </c>
      <c r="V1421" cm="1">
        <f t="array" ref="V1421">_xlfn.SWITCH(tbl_analysis_tickets[[#This Row],[priority]],
"Urgent",1,
"High",2,
"Medium",3,
"Low",4
)</f>
        <v>3</v>
      </c>
    </row>
    <row r="1422" spans="1:22" x14ac:dyDescent="0.25">
      <c r="A1422">
        <v>1421</v>
      </c>
      <c r="B1422" s="1">
        <v>45478</v>
      </c>
      <c r="C1422" t="s">
        <v>22</v>
      </c>
      <c r="D1422" t="s">
        <v>11</v>
      </c>
      <c r="E1422">
        <v>49</v>
      </c>
      <c r="F1422">
        <v>39</v>
      </c>
      <c r="G1422">
        <v>6.3</v>
      </c>
      <c r="H1422" t="s">
        <v>18</v>
      </c>
      <c r="I1422" t="s">
        <v>19</v>
      </c>
      <c r="J1422" t="s">
        <v>15</v>
      </c>
      <c r="K1422">
        <f>_xlfn.XLOOKUP(tbl_analysis_tickets[[#This Row],[priority]],tbl_sla[priority],tbl_sla[Resolution SLA Hours])</f>
        <v>72</v>
      </c>
      <c r="L1422">
        <f>_xlfn.XLOOKUP(tbl_analysis_tickets[[#This Row],[priority]],tbl_sla[priority],tbl_sla[First Response SLA Minutes])</f>
        <v>240</v>
      </c>
      <c r="M1422" t="str">
        <f>IF(tbl_analysis_tickets[[#This Row],[resolution_time_hours]]&gt;tbl_analysis_tickets[[#This Row],[Resolution SLA Hours]],"Breached","Within SLA")</f>
        <v>Within SLA</v>
      </c>
      <c r="N1422" t="str">
        <f>IF(tbl_analysis_tickets[[#This Row],[first_response_minutes]]&gt;tbl_analysis_tickets[[#This Row],[First Response SLA Minutes]],"Breached","Within SLA")</f>
        <v>Within SLA</v>
      </c>
      <c r="O1422" t="str" cm="1">
        <f t="array" ref="O1422">_xlfn.IFS(
tbl_analysis_tickets[[#This Row],[agent_experience_years]]&lt;=2,"Junior",
tbl_analysis_tickets[[#This Row],[agent_experience_years]]&lt;=5,"Mid-Level",
tbl_analysis_tickets[[#This Row],[agent_experience_years]]&lt;=8,"Senior",
tbl_analysis_tickets[[#This Row],[agent_experience_years]]&gt;8,"Expert"
)</f>
        <v>Senior</v>
      </c>
      <c r="P1422" cm="1">
        <f t="array" ref="P1422">_xlfn.SWITCH(tbl_analysis_tickets[[#This Row],[customer_satisfaction]],
"Low",1,
"Medium",2,
"High",3
)</f>
        <v>2</v>
      </c>
      <c r="Q1422">
        <f>IF(tbl_analysis_tickets[[#This Row],[reopened]]="Yes",1,0)</f>
        <v>0</v>
      </c>
      <c r="R1422" t="str" cm="1">
        <f t="array" ref="R1422">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422" t="str" cm="1">
        <f t="array" ref="S142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422" t="str">
        <f>TEXT(tbl_analysis_tickets[[#This Row],[created_date]],"mmm-yyyy")</f>
        <v>Jul-2024</v>
      </c>
      <c r="U1422" t="str">
        <f>TEXT(tbl_analysis_tickets[[#This Row],[created_date]],"dddd")</f>
        <v>Friday</v>
      </c>
      <c r="V1422" cm="1">
        <f t="array" ref="V1422">_xlfn.SWITCH(tbl_analysis_tickets[[#This Row],[priority]],
"Urgent",1,
"High",2,
"Medium",3,
"Low",4
)</f>
        <v>4</v>
      </c>
    </row>
    <row r="1423" spans="1:22" x14ac:dyDescent="0.25">
      <c r="A1423">
        <v>1422</v>
      </c>
      <c r="B1423" s="1">
        <v>45455</v>
      </c>
      <c r="C1423" t="s">
        <v>23</v>
      </c>
      <c r="D1423" t="s">
        <v>17</v>
      </c>
      <c r="E1423">
        <v>132</v>
      </c>
      <c r="F1423">
        <v>12</v>
      </c>
      <c r="G1423">
        <v>6.5</v>
      </c>
      <c r="H1423" t="s">
        <v>12</v>
      </c>
      <c r="I1423" t="s">
        <v>16</v>
      </c>
      <c r="J1423" t="s">
        <v>11</v>
      </c>
      <c r="K1423">
        <f>_xlfn.XLOOKUP(tbl_analysis_tickets[[#This Row],[priority]],tbl_sla[priority],tbl_sla[Resolution SLA Hours])</f>
        <v>8</v>
      </c>
      <c r="L1423">
        <f>_xlfn.XLOOKUP(tbl_analysis_tickets[[#This Row],[priority]],tbl_sla[priority],tbl_sla[First Response SLA Minutes])</f>
        <v>30</v>
      </c>
      <c r="M1423" t="str">
        <f>IF(tbl_analysis_tickets[[#This Row],[resolution_time_hours]]&gt;tbl_analysis_tickets[[#This Row],[Resolution SLA Hours]],"Breached","Within SLA")</f>
        <v>Breached</v>
      </c>
      <c r="N1423" t="str">
        <f>IF(tbl_analysis_tickets[[#This Row],[first_response_minutes]]&gt;tbl_analysis_tickets[[#This Row],[First Response SLA Minutes]],"Breached","Within SLA")</f>
        <v>Breached</v>
      </c>
      <c r="O1423" t="str" cm="1">
        <f t="array" ref="O1423">_xlfn.IFS(
tbl_analysis_tickets[[#This Row],[agent_experience_years]]&lt;=2,"Junior",
tbl_analysis_tickets[[#This Row],[agent_experience_years]]&lt;=5,"Mid-Level",
tbl_analysis_tickets[[#This Row],[agent_experience_years]]&lt;=8,"Senior",
tbl_analysis_tickets[[#This Row],[agent_experience_years]]&gt;8,"Expert"
)</f>
        <v>Senior</v>
      </c>
      <c r="P1423" cm="1">
        <f t="array" ref="P1423">_xlfn.SWITCH(tbl_analysis_tickets[[#This Row],[customer_satisfaction]],
"Low",1,
"Medium",2,
"High",3
)</f>
        <v>1</v>
      </c>
      <c r="Q1423">
        <f>IF(tbl_analysis_tickets[[#This Row],[reopened]]="Yes",1,0)</f>
        <v>1</v>
      </c>
      <c r="R1423" t="str" cm="1">
        <f t="array" ref="R1423">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423" t="str" cm="1">
        <f t="array" ref="S142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423" t="str">
        <f>TEXT(tbl_analysis_tickets[[#This Row],[created_date]],"mmm-yyyy")</f>
        <v>Jun-2024</v>
      </c>
      <c r="U1423" t="str">
        <f>TEXT(tbl_analysis_tickets[[#This Row],[created_date]],"dddd")</f>
        <v>Wednesday</v>
      </c>
      <c r="V1423" cm="1">
        <f t="array" ref="V1423">_xlfn.SWITCH(tbl_analysis_tickets[[#This Row],[priority]],
"Urgent",1,
"High",2,
"Medium",3,
"Low",4
)</f>
        <v>1</v>
      </c>
    </row>
    <row r="1424" spans="1:22" x14ac:dyDescent="0.25">
      <c r="A1424">
        <v>1423</v>
      </c>
      <c r="B1424" s="1">
        <v>45554</v>
      </c>
      <c r="C1424" t="s">
        <v>14</v>
      </c>
      <c r="D1424" t="s">
        <v>11</v>
      </c>
      <c r="E1424">
        <v>186</v>
      </c>
      <c r="F1424">
        <v>56</v>
      </c>
      <c r="G1424">
        <v>7</v>
      </c>
      <c r="H1424" t="s">
        <v>12</v>
      </c>
      <c r="I1424" t="s">
        <v>19</v>
      </c>
      <c r="J1424" t="s">
        <v>11</v>
      </c>
      <c r="K1424">
        <f>_xlfn.XLOOKUP(tbl_analysis_tickets[[#This Row],[priority]],tbl_sla[priority],tbl_sla[Resolution SLA Hours])</f>
        <v>72</v>
      </c>
      <c r="L1424">
        <f>_xlfn.XLOOKUP(tbl_analysis_tickets[[#This Row],[priority]],tbl_sla[priority],tbl_sla[First Response SLA Minutes])</f>
        <v>240</v>
      </c>
      <c r="M1424" t="str">
        <f>IF(tbl_analysis_tickets[[#This Row],[resolution_time_hours]]&gt;tbl_analysis_tickets[[#This Row],[Resolution SLA Hours]],"Breached","Within SLA")</f>
        <v>Within SLA</v>
      </c>
      <c r="N1424" t="str">
        <f>IF(tbl_analysis_tickets[[#This Row],[first_response_minutes]]&gt;tbl_analysis_tickets[[#This Row],[First Response SLA Minutes]],"Breached","Within SLA")</f>
        <v>Within SLA</v>
      </c>
      <c r="O1424" t="str" cm="1">
        <f t="array" ref="O1424">_xlfn.IFS(
tbl_analysis_tickets[[#This Row],[agent_experience_years]]&lt;=2,"Junior",
tbl_analysis_tickets[[#This Row],[agent_experience_years]]&lt;=5,"Mid-Level",
tbl_analysis_tickets[[#This Row],[agent_experience_years]]&lt;=8,"Senior",
tbl_analysis_tickets[[#This Row],[agent_experience_years]]&gt;8,"Expert"
)</f>
        <v>Senior</v>
      </c>
      <c r="P1424" cm="1">
        <f t="array" ref="P1424">_xlfn.SWITCH(tbl_analysis_tickets[[#This Row],[customer_satisfaction]],
"Low",1,
"Medium",2,
"High",3
)</f>
        <v>1</v>
      </c>
      <c r="Q1424">
        <f>IF(tbl_analysis_tickets[[#This Row],[reopened]]="Yes",1,0)</f>
        <v>1</v>
      </c>
      <c r="R1424" t="str" cm="1">
        <f t="array" ref="R1424">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424" t="str" cm="1">
        <f t="array" ref="S142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424" t="str">
        <f>TEXT(tbl_analysis_tickets[[#This Row],[created_date]],"mmm-yyyy")</f>
        <v>Sep-2024</v>
      </c>
      <c r="U1424" t="str">
        <f>TEXT(tbl_analysis_tickets[[#This Row],[created_date]],"dddd")</f>
        <v>Thursday</v>
      </c>
      <c r="V1424" cm="1">
        <f t="array" ref="V1424">_xlfn.SWITCH(tbl_analysis_tickets[[#This Row],[priority]],
"Urgent",1,
"High",2,
"Medium",3,
"Low",4
)</f>
        <v>4</v>
      </c>
    </row>
    <row r="1425" spans="1:22" x14ac:dyDescent="0.25">
      <c r="A1425">
        <v>1424</v>
      </c>
      <c r="B1425" s="1">
        <v>45517</v>
      </c>
      <c r="C1425" t="s">
        <v>22</v>
      </c>
      <c r="D1425" t="s">
        <v>20</v>
      </c>
      <c r="E1425">
        <v>167</v>
      </c>
      <c r="F1425">
        <v>1</v>
      </c>
      <c r="G1425">
        <v>3.8</v>
      </c>
      <c r="H1425" t="s">
        <v>12</v>
      </c>
      <c r="I1425" t="s">
        <v>13</v>
      </c>
      <c r="J1425" t="s">
        <v>11</v>
      </c>
      <c r="K1425">
        <f>_xlfn.XLOOKUP(tbl_analysis_tickets[[#This Row],[priority]],tbl_sla[priority],tbl_sla[Resolution SLA Hours])</f>
        <v>24</v>
      </c>
      <c r="L1425">
        <f>_xlfn.XLOOKUP(tbl_analysis_tickets[[#This Row],[priority]],tbl_sla[priority],tbl_sla[First Response SLA Minutes])</f>
        <v>60</v>
      </c>
      <c r="M1425" t="str">
        <f>IF(tbl_analysis_tickets[[#This Row],[resolution_time_hours]]&gt;tbl_analysis_tickets[[#This Row],[Resolution SLA Hours]],"Breached","Within SLA")</f>
        <v>Within SLA</v>
      </c>
      <c r="N1425" t="str">
        <f>IF(tbl_analysis_tickets[[#This Row],[first_response_minutes]]&gt;tbl_analysis_tickets[[#This Row],[First Response SLA Minutes]],"Breached","Within SLA")</f>
        <v>Breached</v>
      </c>
      <c r="O1425" t="str" cm="1">
        <f t="array" ref="O1425">_xlfn.IFS(
tbl_analysis_tickets[[#This Row],[agent_experience_years]]&lt;=2,"Junior",
tbl_analysis_tickets[[#This Row],[agent_experience_years]]&lt;=5,"Mid-Level",
tbl_analysis_tickets[[#This Row],[agent_experience_years]]&lt;=8,"Senior",
tbl_analysis_tickets[[#This Row],[agent_experience_years]]&gt;8,"Expert"
)</f>
        <v>Mid-Level</v>
      </c>
      <c r="P1425" cm="1">
        <f t="array" ref="P1425">_xlfn.SWITCH(tbl_analysis_tickets[[#This Row],[customer_satisfaction]],
"Low",1,
"Medium",2,
"High",3
)</f>
        <v>1</v>
      </c>
      <c r="Q1425">
        <f>IF(tbl_analysis_tickets[[#This Row],[reopened]]="Yes",1,0)</f>
        <v>1</v>
      </c>
      <c r="R1425" t="str" cm="1">
        <f t="array" ref="R1425">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425" t="str" cm="1">
        <f t="array" ref="S142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1425" t="str">
        <f>TEXT(tbl_analysis_tickets[[#This Row],[created_date]],"mmm-yyyy")</f>
        <v>Aug-2024</v>
      </c>
      <c r="U1425" t="str">
        <f>TEXT(tbl_analysis_tickets[[#This Row],[created_date]],"dddd")</f>
        <v>Tuesday</v>
      </c>
      <c r="V1425" cm="1">
        <f t="array" ref="V1425">_xlfn.SWITCH(tbl_analysis_tickets[[#This Row],[priority]],
"Urgent",1,
"High",2,
"Medium",3,
"Low",4
)</f>
        <v>2</v>
      </c>
    </row>
    <row r="1426" spans="1:22" x14ac:dyDescent="0.25">
      <c r="A1426">
        <v>1425</v>
      </c>
      <c r="B1426" s="1">
        <v>45397</v>
      </c>
      <c r="C1426" t="s">
        <v>21</v>
      </c>
      <c r="D1426" t="s">
        <v>15</v>
      </c>
      <c r="E1426">
        <v>79</v>
      </c>
      <c r="F1426">
        <v>70</v>
      </c>
      <c r="G1426">
        <v>6.1</v>
      </c>
      <c r="H1426" t="s">
        <v>12</v>
      </c>
      <c r="I1426" t="s">
        <v>16</v>
      </c>
      <c r="J1426" t="s">
        <v>11</v>
      </c>
      <c r="K1426">
        <f>_xlfn.XLOOKUP(tbl_analysis_tickets[[#This Row],[priority]],tbl_sla[priority],tbl_sla[Resolution SLA Hours])</f>
        <v>48</v>
      </c>
      <c r="L1426">
        <f>_xlfn.XLOOKUP(tbl_analysis_tickets[[#This Row],[priority]],tbl_sla[priority],tbl_sla[First Response SLA Minutes])</f>
        <v>120</v>
      </c>
      <c r="M1426" t="str">
        <f>IF(tbl_analysis_tickets[[#This Row],[resolution_time_hours]]&gt;tbl_analysis_tickets[[#This Row],[Resolution SLA Hours]],"Breached","Within SLA")</f>
        <v>Breached</v>
      </c>
      <c r="N1426" t="str">
        <f>IF(tbl_analysis_tickets[[#This Row],[first_response_minutes]]&gt;tbl_analysis_tickets[[#This Row],[First Response SLA Minutes]],"Breached","Within SLA")</f>
        <v>Within SLA</v>
      </c>
      <c r="O1426" t="str" cm="1">
        <f t="array" ref="O1426">_xlfn.IFS(
tbl_analysis_tickets[[#This Row],[agent_experience_years]]&lt;=2,"Junior",
tbl_analysis_tickets[[#This Row],[agent_experience_years]]&lt;=5,"Mid-Level",
tbl_analysis_tickets[[#This Row],[agent_experience_years]]&lt;=8,"Senior",
tbl_analysis_tickets[[#This Row],[agent_experience_years]]&gt;8,"Expert"
)</f>
        <v>Senior</v>
      </c>
      <c r="P1426" cm="1">
        <f t="array" ref="P1426">_xlfn.SWITCH(tbl_analysis_tickets[[#This Row],[customer_satisfaction]],
"Low",1,
"Medium",2,
"High",3
)</f>
        <v>1</v>
      </c>
      <c r="Q1426">
        <f>IF(tbl_analysis_tickets[[#This Row],[reopened]]="Yes",1,0)</f>
        <v>1</v>
      </c>
      <c r="R1426" t="str" cm="1">
        <f t="array" ref="R1426">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426" t="str" cm="1">
        <f t="array" ref="S142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426" t="str">
        <f>TEXT(tbl_analysis_tickets[[#This Row],[created_date]],"mmm-yyyy")</f>
        <v>Apr-2024</v>
      </c>
      <c r="U1426" t="str">
        <f>TEXT(tbl_analysis_tickets[[#This Row],[created_date]],"dddd")</f>
        <v>Monday</v>
      </c>
      <c r="V1426" cm="1">
        <f t="array" ref="V1426">_xlfn.SWITCH(tbl_analysis_tickets[[#This Row],[priority]],
"Urgent",1,
"High",2,
"Medium",3,
"Low",4
)</f>
        <v>3</v>
      </c>
    </row>
    <row r="1427" spans="1:22" x14ac:dyDescent="0.25">
      <c r="A1427">
        <v>1426</v>
      </c>
      <c r="B1427" s="1">
        <v>45311</v>
      </c>
      <c r="C1427" t="s">
        <v>14</v>
      </c>
      <c r="D1427" t="s">
        <v>17</v>
      </c>
      <c r="E1427">
        <v>229</v>
      </c>
      <c r="F1427">
        <v>42</v>
      </c>
      <c r="G1427">
        <v>6.6</v>
      </c>
      <c r="H1427" t="s">
        <v>18</v>
      </c>
      <c r="I1427" t="s">
        <v>19</v>
      </c>
      <c r="J1427" t="s">
        <v>11</v>
      </c>
      <c r="K1427">
        <f>_xlfn.XLOOKUP(tbl_analysis_tickets[[#This Row],[priority]],tbl_sla[priority],tbl_sla[Resolution SLA Hours])</f>
        <v>8</v>
      </c>
      <c r="L1427">
        <f>_xlfn.XLOOKUP(tbl_analysis_tickets[[#This Row],[priority]],tbl_sla[priority],tbl_sla[First Response SLA Minutes])</f>
        <v>30</v>
      </c>
      <c r="M1427" t="str">
        <f>IF(tbl_analysis_tickets[[#This Row],[resolution_time_hours]]&gt;tbl_analysis_tickets[[#This Row],[Resolution SLA Hours]],"Breached","Within SLA")</f>
        <v>Breached</v>
      </c>
      <c r="N1427" t="str">
        <f>IF(tbl_analysis_tickets[[#This Row],[first_response_minutes]]&gt;tbl_analysis_tickets[[#This Row],[First Response SLA Minutes]],"Breached","Within SLA")</f>
        <v>Breached</v>
      </c>
      <c r="O1427" t="str" cm="1">
        <f t="array" ref="O1427">_xlfn.IFS(
tbl_analysis_tickets[[#This Row],[agent_experience_years]]&lt;=2,"Junior",
tbl_analysis_tickets[[#This Row],[agent_experience_years]]&lt;=5,"Mid-Level",
tbl_analysis_tickets[[#This Row],[agent_experience_years]]&lt;=8,"Senior",
tbl_analysis_tickets[[#This Row],[agent_experience_years]]&gt;8,"Expert"
)</f>
        <v>Senior</v>
      </c>
      <c r="P1427" cm="1">
        <f t="array" ref="P1427">_xlfn.SWITCH(tbl_analysis_tickets[[#This Row],[customer_satisfaction]],
"Low",1,
"Medium",2,
"High",3
)</f>
        <v>1</v>
      </c>
      <c r="Q1427">
        <f>IF(tbl_analysis_tickets[[#This Row],[reopened]]="Yes",1,0)</f>
        <v>0</v>
      </c>
      <c r="R1427" t="str" cm="1">
        <f t="array" ref="R1427">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427" t="str" cm="1">
        <f t="array" ref="S142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427" t="str">
        <f>TEXT(tbl_analysis_tickets[[#This Row],[created_date]],"mmm-yyyy")</f>
        <v>Jan-2024</v>
      </c>
      <c r="U1427" t="str">
        <f>TEXT(tbl_analysis_tickets[[#This Row],[created_date]],"dddd")</f>
        <v>Saturday</v>
      </c>
      <c r="V1427" cm="1">
        <f t="array" ref="V1427">_xlfn.SWITCH(tbl_analysis_tickets[[#This Row],[priority]],
"Urgent",1,
"High",2,
"Medium",3,
"Low",4
)</f>
        <v>1</v>
      </c>
    </row>
    <row r="1428" spans="1:22" x14ac:dyDescent="0.25">
      <c r="A1428">
        <v>1427</v>
      </c>
      <c r="B1428" s="1">
        <v>45653</v>
      </c>
      <c r="C1428" t="s">
        <v>14</v>
      </c>
      <c r="D1428" t="s">
        <v>17</v>
      </c>
      <c r="E1428">
        <v>213</v>
      </c>
      <c r="F1428">
        <v>51</v>
      </c>
      <c r="G1428">
        <v>9.3000000000000007</v>
      </c>
      <c r="H1428" t="s">
        <v>12</v>
      </c>
      <c r="I1428" t="s">
        <v>13</v>
      </c>
      <c r="J1428" t="s">
        <v>11</v>
      </c>
      <c r="K1428">
        <f>_xlfn.XLOOKUP(tbl_analysis_tickets[[#This Row],[priority]],tbl_sla[priority],tbl_sla[Resolution SLA Hours])</f>
        <v>8</v>
      </c>
      <c r="L1428">
        <f>_xlfn.XLOOKUP(tbl_analysis_tickets[[#This Row],[priority]],tbl_sla[priority],tbl_sla[First Response SLA Minutes])</f>
        <v>30</v>
      </c>
      <c r="M1428" t="str">
        <f>IF(tbl_analysis_tickets[[#This Row],[resolution_time_hours]]&gt;tbl_analysis_tickets[[#This Row],[Resolution SLA Hours]],"Breached","Within SLA")</f>
        <v>Breached</v>
      </c>
      <c r="N1428" t="str">
        <f>IF(tbl_analysis_tickets[[#This Row],[first_response_minutes]]&gt;tbl_analysis_tickets[[#This Row],[First Response SLA Minutes]],"Breached","Within SLA")</f>
        <v>Breached</v>
      </c>
      <c r="O1428" t="str" cm="1">
        <f t="array" ref="O1428">_xlfn.IFS(
tbl_analysis_tickets[[#This Row],[agent_experience_years]]&lt;=2,"Junior",
tbl_analysis_tickets[[#This Row],[agent_experience_years]]&lt;=5,"Mid-Level",
tbl_analysis_tickets[[#This Row],[agent_experience_years]]&lt;=8,"Senior",
tbl_analysis_tickets[[#This Row],[agent_experience_years]]&gt;8,"Expert"
)</f>
        <v>Expert</v>
      </c>
      <c r="P1428" cm="1">
        <f t="array" ref="P1428">_xlfn.SWITCH(tbl_analysis_tickets[[#This Row],[customer_satisfaction]],
"Low",1,
"Medium",2,
"High",3
)</f>
        <v>1</v>
      </c>
      <c r="Q1428">
        <f>IF(tbl_analysis_tickets[[#This Row],[reopened]]="Yes",1,0)</f>
        <v>1</v>
      </c>
      <c r="R1428" t="str" cm="1">
        <f t="array" ref="R1428">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428" t="str" cm="1">
        <f t="array" ref="S142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428" t="str">
        <f>TEXT(tbl_analysis_tickets[[#This Row],[created_date]],"mmm-yyyy")</f>
        <v>Dec-2024</v>
      </c>
      <c r="U1428" t="str">
        <f>TEXT(tbl_analysis_tickets[[#This Row],[created_date]],"dddd")</f>
        <v>Friday</v>
      </c>
      <c r="V1428" cm="1">
        <f t="array" ref="V1428">_xlfn.SWITCH(tbl_analysis_tickets[[#This Row],[priority]],
"Urgent",1,
"High",2,
"Medium",3,
"Low",4
)</f>
        <v>1</v>
      </c>
    </row>
    <row r="1429" spans="1:22" x14ac:dyDescent="0.25">
      <c r="A1429">
        <v>1428</v>
      </c>
      <c r="B1429" s="1">
        <v>45362</v>
      </c>
      <c r="C1429" t="s">
        <v>22</v>
      </c>
      <c r="D1429" t="s">
        <v>11</v>
      </c>
      <c r="E1429">
        <v>80</v>
      </c>
      <c r="F1429">
        <v>50</v>
      </c>
      <c r="G1429">
        <v>7.4</v>
      </c>
      <c r="H1429" t="s">
        <v>12</v>
      </c>
      <c r="I1429" t="s">
        <v>19</v>
      </c>
      <c r="J1429" t="s">
        <v>11</v>
      </c>
      <c r="K1429">
        <f>_xlfn.XLOOKUP(tbl_analysis_tickets[[#This Row],[priority]],tbl_sla[priority],tbl_sla[Resolution SLA Hours])</f>
        <v>72</v>
      </c>
      <c r="L1429">
        <f>_xlfn.XLOOKUP(tbl_analysis_tickets[[#This Row],[priority]],tbl_sla[priority],tbl_sla[First Response SLA Minutes])</f>
        <v>240</v>
      </c>
      <c r="M1429" t="str">
        <f>IF(tbl_analysis_tickets[[#This Row],[resolution_time_hours]]&gt;tbl_analysis_tickets[[#This Row],[Resolution SLA Hours]],"Breached","Within SLA")</f>
        <v>Within SLA</v>
      </c>
      <c r="N1429" t="str">
        <f>IF(tbl_analysis_tickets[[#This Row],[first_response_minutes]]&gt;tbl_analysis_tickets[[#This Row],[First Response SLA Minutes]],"Breached","Within SLA")</f>
        <v>Within SLA</v>
      </c>
      <c r="O1429" t="str" cm="1">
        <f t="array" ref="O1429">_xlfn.IFS(
tbl_analysis_tickets[[#This Row],[agent_experience_years]]&lt;=2,"Junior",
tbl_analysis_tickets[[#This Row],[agent_experience_years]]&lt;=5,"Mid-Level",
tbl_analysis_tickets[[#This Row],[agent_experience_years]]&lt;=8,"Senior",
tbl_analysis_tickets[[#This Row],[agent_experience_years]]&gt;8,"Expert"
)</f>
        <v>Senior</v>
      </c>
      <c r="P1429" cm="1">
        <f t="array" ref="P1429">_xlfn.SWITCH(tbl_analysis_tickets[[#This Row],[customer_satisfaction]],
"Low",1,
"Medium",2,
"High",3
)</f>
        <v>1</v>
      </c>
      <c r="Q1429">
        <f>IF(tbl_analysis_tickets[[#This Row],[reopened]]="Yes",1,0)</f>
        <v>1</v>
      </c>
      <c r="R1429" t="str" cm="1">
        <f t="array" ref="R1429">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429" t="str" cm="1">
        <f t="array" ref="S142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429" t="str">
        <f>TEXT(tbl_analysis_tickets[[#This Row],[created_date]],"mmm-yyyy")</f>
        <v>Mar-2024</v>
      </c>
      <c r="U1429" t="str">
        <f>TEXT(tbl_analysis_tickets[[#This Row],[created_date]],"dddd")</f>
        <v>Monday</v>
      </c>
      <c r="V1429" cm="1">
        <f t="array" ref="V1429">_xlfn.SWITCH(tbl_analysis_tickets[[#This Row],[priority]],
"Urgent",1,
"High",2,
"Medium",3,
"Low",4
)</f>
        <v>4</v>
      </c>
    </row>
    <row r="1430" spans="1:22" x14ac:dyDescent="0.25">
      <c r="A1430">
        <v>1429</v>
      </c>
      <c r="B1430" s="1">
        <v>45309</v>
      </c>
      <c r="C1430" t="s">
        <v>10</v>
      </c>
      <c r="D1430" t="s">
        <v>11</v>
      </c>
      <c r="E1430">
        <v>104</v>
      </c>
      <c r="F1430">
        <v>12</v>
      </c>
      <c r="G1430">
        <v>4.8</v>
      </c>
      <c r="H1430" t="s">
        <v>18</v>
      </c>
      <c r="I1430" t="s">
        <v>13</v>
      </c>
      <c r="J1430" t="s">
        <v>11</v>
      </c>
      <c r="K1430">
        <f>_xlfn.XLOOKUP(tbl_analysis_tickets[[#This Row],[priority]],tbl_sla[priority],tbl_sla[Resolution SLA Hours])</f>
        <v>72</v>
      </c>
      <c r="L1430">
        <f>_xlfn.XLOOKUP(tbl_analysis_tickets[[#This Row],[priority]],tbl_sla[priority],tbl_sla[First Response SLA Minutes])</f>
        <v>240</v>
      </c>
      <c r="M1430" t="str">
        <f>IF(tbl_analysis_tickets[[#This Row],[resolution_time_hours]]&gt;tbl_analysis_tickets[[#This Row],[Resolution SLA Hours]],"Breached","Within SLA")</f>
        <v>Within SLA</v>
      </c>
      <c r="N1430" t="str">
        <f>IF(tbl_analysis_tickets[[#This Row],[first_response_minutes]]&gt;tbl_analysis_tickets[[#This Row],[First Response SLA Minutes]],"Breached","Within SLA")</f>
        <v>Within SLA</v>
      </c>
      <c r="O1430" t="str" cm="1">
        <f t="array" ref="O1430">_xlfn.IFS(
tbl_analysis_tickets[[#This Row],[agent_experience_years]]&lt;=2,"Junior",
tbl_analysis_tickets[[#This Row],[agent_experience_years]]&lt;=5,"Mid-Level",
tbl_analysis_tickets[[#This Row],[agent_experience_years]]&lt;=8,"Senior",
tbl_analysis_tickets[[#This Row],[agent_experience_years]]&gt;8,"Expert"
)</f>
        <v>Mid-Level</v>
      </c>
      <c r="P1430" cm="1">
        <f t="array" ref="P1430">_xlfn.SWITCH(tbl_analysis_tickets[[#This Row],[customer_satisfaction]],
"Low",1,
"Medium",2,
"High",3
)</f>
        <v>1</v>
      </c>
      <c r="Q1430">
        <f>IF(tbl_analysis_tickets[[#This Row],[reopened]]="Yes",1,0)</f>
        <v>0</v>
      </c>
      <c r="R1430" t="str" cm="1">
        <f t="array" ref="R1430">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430" t="str" cm="1">
        <f t="array" ref="S143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430" t="str">
        <f>TEXT(tbl_analysis_tickets[[#This Row],[created_date]],"mmm-yyyy")</f>
        <v>Jan-2024</v>
      </c>
      <c r="U1430" t="str">
        <f>TEXT(tbl_analysis_tickets[[#This Row],[created_date]],"dddd")</f>
        <v>Thursday</v>
      </c>
      <c r="V1430" cm="1">
        <f t="array" ref="V1430">_xlfn.SWITCH(tbl_analysis_tickets[[#This Row],[priority]],
"Urgent",1,
"High",2,
"Medium",3,
"Low",4
)</f>
        <v>4</v>
      </c>
    </row>
    <row r="1431" spans="1:22" x14ac:dyDescent="0.25">
      <c r="A1431">
        <v>1430</v>
      </c>
      <c r="B1431" s="1">
        <v>45619</v>
      </c>
      <c r="C1431" t="s">
        <v>14</v>
      </c>
      <c r="D1431" t="s">
        <v>11</v>
      </c>
      <c r="E1431">
        <v>121</v>
      </c>
      <c r="F1431">
        <v>29</v>
      </c>
      <c r="G1431">
        <v>7.9</v>
      </c>
      <c r="H1431" t="s">
        <v>12</v>
      </c>
      <c r="I1431" t="s">
        <v>13</v>
      </c>
      <c r="J1431" t="s">
        <v>11</v>
      </c>
      <c r="K1431">
        <f>_xlfn.XLOOKUP(tbl_analysis_tickets[[#This Row],[priority]],tbl_sla[priority],tbl_sla[Resolution SLA Hours])</f>
        <v>72</v>
      </c>
      <c r="L1431">
        <f>_xlfn.XLOOKUP(tbl_analysis_tickets[[#This Row],[priority]],tbl_sla[priority],tbl_sla[First Response SLA Minutes])</f>
        <v>240</v>
      </c>
      <c r="M1431" t="str">
        <f>IF(tbl_analysis_tickets[[#This Row],[resolution_time_hours]]&gt;tbl_analysis_tickets[[#This Row],[Resolution SLA Hours]],"Breached","Within SLA")</f>
        <v>Within SLA</v>
      </c>
      <c r="N1431" t="str">
        <f>IF(tbl_analysis_tickets[[#This Row],[first_response_minutes]]&gt;tbl_analysis_tickets[[#This Row],[First Response SLA Minutes]],"Breached","Within SLA")</f>
        <v>Within SLA</v>
      </c>
      <c r="O1431" t="str" cm="1">
        <f t="array" ref="O1431">_xlfn.IFS(
tbl_analysis_tickets[[#This Row],[agent_experience_years]]&lt;=2,"Junior",
tbl_analysis_tickets[[#This Row],[agent_experience_years]]&lt;=5,"Mid-Level",
tbl_analysis_tickets[[#This Row],[agent_experience_years]]&lt;=8,"Senior",
tbl_analysis_tickets[[#This Row],[agent_experience_years]]&gt;8,"Expert"
)</f>
        <v>Senior</v>
      </c>
      <c r="P1431" cm="1">
        <f t="array" ref="P1431">_xlfn.SWITCH(tbl_analysis_tickets[[#This Row],[customer_satisfaction]],
"Low",1,
"Medium",2,
"High",3
)</f>
        <v>1</v>
      </c>
      <c r="Q1431">
        <f>IF(tbl_analysis_tickets[[#This Row],[reopened]]="Yes",1,0)</f>
        <v>1</v>
      </c>
      <c r="R1431" t="str" cm="1">
        <f t="array" ref="R1431">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431" t="str" cm="1">
        <f t="array" ref="S143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431" t="str">
        <f>TEXT(tbl_analysis_tickets[[#This Row],[created_date]],"mmm-yyyy")</f>
        <v>Nov-2024</v>
      </c>
      <c r="U1431" t="str">
        <f>TEXT(tbl_analysis_tickets[[#This Row],[created_date]],"dddd")</f>
        <v>Saturday</v>
      </c>
      <c r="V1431" cm="1">
        <f t="array" ref="V1431">_xlfn.SWITCH(tbl_analysis_tickets[[#This Row],[priority]],
"Urgent",1,
"High",2,
"Medium",3,
"Low",4
)</f>
        <v>4</v>
      </c>
    </row>
    <row r="1432" spans="1:22" x14ac:dyDescent="0.25">
      <c r="A1432">
        <v>1431</v>
      </c>
      <c r="B1432" s="1">
        <v>45530</v>
      </c>
      <c r="C1432" t="s">
        <v>10</v>
      </c>
      <c r="D1432" t="s">
        <v>11</v>
      </c>
      <c r="E1432">
        <v>167</v>
      </c>
      <c r="F1432">
        <v>69</v>
      </c>
      <c r="G1432">
        <v>9.1999999999999993</v>
      </c>
      <c r="H1432" t="s">
        <v>12</v>
      </c>
      <c r="I1432" t="s">
        <v>13</v>
      </c>
      <c r="J1432" t="s">
        <v>11</v>
      </c>
      <c r="K1432">
        <f>_xlfn.XLOOKUP(tbl_analysis_tickets[[#This Row],[priority]],tbl_sla[priority],tbl_sla[Resolution SLA Hours])</f>
        <v>72</v>
      </c>
      <c r="L1432">
        <f>_xlfn.XLOOKUP(tbl_analysis_tickets[[#This Row],[priority]],tbl_sla[priority],tbl_sla[First Response SLA Minutes])</f>
        <v>240</v>
      </c>
      <c r="M1432" t="str">
        <f>IF(tbl_analysis_tickets[[#This Row],[resolution_time_hours]]&gt;tbl_analysis_tickets[[#This Row],[Resolution SLA Hours]],"Breached","Within SLA")</f>
        <v>Within SLA</v>
      </c>
      <c r="N1432" t="str">
        <f>IF(tbl_analysis_tickets[[#This Row],[first_response_minutes]]&gt;tbl_analysis_tickets[[#This Row],[First Response SLA Minutes]],"Breached","Within SLA")</f>
        <v>Within SLA</v>
      </c>
      <c r="O1432" t="str" cm="1">
        <f t="array" ref="O1432">_xlfn.IFS(
tbl_analysis_tickets[[#This Row],[agent_experience_years]]&lt;=2,"Junior",
tbl_analysis_tickets[[#This Row],[agent_experience_years]]&lt;=5,"Mid-Level",
tbl_analysis_tickets[[#This Row],[agent_experience_years]]&lt;=8,"Senior",
tbl_analysis_tickets[[#This Row],[agent_experience_years]]&gt;8,"Expert"
)</f>
        <v>Expert</v>
      </c>
      <c r="P1432" cm="1">
        <f t="array" ref="P1432">_xlfn.SWITCH(tbl_analysis_tickets[[#This Row],[customer_satisfaction]],
"Low",1,
"Medium",2,
"High",3
)</f>
        <v>1</v>
      </c>
      <c r="Q1432">
        <f>IF(tbl_analysis_tickets[[#This Row],[reopened]]="Yes",1,0)</f>
        <v>1</v>
      </c>
      <c r="R1432" t="str" cm="1">
        <f t="array" ref="R1432">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432" t="str" cm="1">
        <f t="array" ref="S143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432" t="str">
        <f>TEXT(tbl_analysis_tickets[[#This Row],[created_date]],"mmm-yyyy")</f>
        <v>Aug-2024</v>
      </c>
      <c r="U1432" t="str">
        <f>TEXT(tbl_analysis_tickets[[#This Row],[created_date]],"dddd")</f>
        <v>Monday</v>
      </c>
      <c r="V1432" cm="1">
        <f t="array" ref="V1432">_xlfn.SWITCH(tbl_analysis_tickets[[#This Row],[priority]],
"Urgent",1,
"High",2,
"Medium",3,
"Low",4
)</f>
        <v>4</v>
      </c>
    </row>
    <row r="1433" spans="1:22" x14ac:dyDescent="0.25">
      <c r="A1433">
        <v>1432</v>
      </c>
      <c r="B1433" s="1">
        <v>45510</v>
      </c>
      <c r="C1433" t="s">
        <v>22</v>
      </c>
      <c r="D1433" t="s">
        <v>11</v>
      </c>
      <c r="E1433">
        <v>218</v>
      </c>
      <c r="F1433">
        <v>13</v>
      </c>
      <c r="G1433">
        <v>5.6</v>
      </c>
      <c r="H1433" t="s">
        <v>12</v>
      </c>
      <c r="I1433" t="s">
        <v>13</v>
      </c>
      <c r="J1433" t="s">
        <v>11</v>
      </c>
      <c r="K1433">
        <f>_xlfn.XLOOKUP(tbl_analysis_tickets[[#This Row],[priority]],tbl_sla[priority],tbl_sla[Resolution SLA Hours])</f>
        <v>72</v>
      </c>
      <c r="L1433">
        <f>_xlfn.XLOOKUP(tbl_analysis_tickets[[#This Row],[priority]],tbl_sla[priority],tbl_sla[First Response SLA Minutes])</f>
        <v>240</v>
      </c>
      <c r="M1433" t="str">
        <f>IF(tbl_analysis_tickets[[#This Row],[resolution_time_hours]]&gt;tbl_analysis_tickets[[#This Row],[Resolution SLA Hours]],"Breached","Within SLA")</f>
        <v>Within SLA</v>
      </c>
      <c r="N1433" t="str">
        <f>IF(tbl_analysis_tickets[[#This Row],[first_response_minutes]]&gt;tbl_analysis_tickets[[#This Row],[First Response SLA Minutes]],"Breached","Within SLA")</f>
        <v>Within SLA</v>
      </c>
      <c r="O1433" t="str" cm="1">
        <f t="array" ref="O1433">_xlfn.IFS(
tbl_analysis_tickets[[#This Row],[agent_experience_years]]&lt;=2,"Junior",
tbl_analysis_tickets[[#This Row],[agent_experience_years]]&lt;=5,"Mid-Level",
tbl_analysis_tickets[[#This Row],[agent_experience_years]]&lt;=8,"Senior",
tbl_analysis_tickets[[#This Row],[agent_experience_years]]&gt;8,"Expert"
)</f>
        <v>Senior</v>
      </c>
      <c r="P1433" cm="1">
        <f t="array" ref="P1433">_xlfn.SWITCH(tbl_analysis_tickets[[#This Row],[customer_satisfaction]],
"Low",1,
"Medium",2,
"High",3
)</f>
        <v>1</v>
      </c>
      <c r="Q1433">
        <f>IF(tbl_analysis_tickets[[#This Row],[reopened]]="Yes",1,0)</f>
        <v>1</v>
      </c>
      <c r="R1433" t="str" cm="1">
        <f t="array" ref="R1433">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433" t="str" cm="1">
        <f t="array" ref="S143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433" t="str">
        <f>TEXT(tbl_analysis_tickets[[#This Row],[created_date]],"mmm-yyyy")</f>
        <v>Aug-2024</v>
      </c>
      <c r="U1433" t="str">
        <f>TEXT(tbl_analysis_tickets[[#This Row],[created_date]],"dddd")</f>
        <v>Tuesday</v>
      </c>
      <c r="V1433" cm="1">
        <f t="array" ref="V1433">_xlfn.SWITCH(tbl_analysis_tickets[[#This Row],[priority]],
"Urgent",1,
"High",2,
"Medium",3,
"Low",4
)</f>
        <v>4</v>
      </c>
    </row>
    <row r="1434" spans="1:22" x14ac:dyDescent="0.25">
      <c r="A1434">
        <v>1433</v>
      </c>
      <c r="B1434" s="1">
        <v>45536</v>
      </c>
      <c r="C1434" t="s">
        <v>14</v>
      </c>
      <c r="D1434" t="s">
        <v>17</v>
      </c>
      <c r="E1434">
        <v>144</v>
      </c>
      <c r="F1434">
        <v>50</v>
      </c>
      <c r="G1434">
        <v>3</v>
      </c>
      <c r="H1434" t="s">
        <v>18</v>
      </c>
      <c r="I1434" t="s">
        <v>19</v>
      </c>
      <c r="J1434" t="s">
        <v>11</v>
      </c>
      <c r="K1434">
        <f>_xlfn.XLOOKUP(tbl_analysis_tickets[[#This Row],[priority]],tbl_sla[priority],tbl_sla[Resolution SLA Hours])</f>
        <v>8</v>
      </c>
      <c r="L1434">
        <f>_xlfn.XLOOKUP(tbl_analysis_tickets[[#This Row],[priority]],tbl_sla[priority],tbl_sla[First Response SLA Minutes])</f>
        <v>30</v>
      </c>
      <c r="M1434" t="str">
        <f>IF(tbl_analysis_tickets[[#This Row],[resolution_time_hours]]&gt;tbl_analysis_tickets[[#This Row],[Resolution SLA Hours]],"Breached","Within SLA")</f>
        <v>Breached</v>
      </c>
      <c r="N1434" t="str">
        <f>IF(tbl_analysis_tickets[[#This Row],[first_response_minutes]]&gt;tbl_analysis_tickets[[#This Row],[First Response SLA Minutes]],"Breached","Within SLA")</f>
        <v>Breached</v>
      </c>
      <c r="O1434" t="str" cm="1">
        <f t="array" ref="O1434">_xlfn.IFS(
tbl_analysis_tickets[[#This Row],[agent_experience_years]]&lt;=2,"Junior",
tbl_analysis_tickets[[#This Row],[agent_experience_years]]&lt;=5,"Mid-Level",
tbl_analysis_tickets[[#This Row],[agent_experience_years]]&lt;=8,"Senior",
tbl_analysis_tickets[[#This Row],[agent_experience_years]]&gt;8,"Expert"
)</f>
        <v>Mid-Level</v>
      </c>
      <c r="P1434" cm="1">
        <f t="array" ref="P1434">_xlfn.SWITCH(tbl_analysis_tickets[[#This Row],[customer_satisfaction]],
"Low",1,
"Medium",2,
"High",3
)</f>
        <v>1</v>
      </c>
      <c r="Q1434">
        <f>IF(tbl_analysis_tickets[[#This Row],[reopened]]="Yes",1,0)</f>
        <v>0</v>
      </c>
      <c r="R1434" t="str" cm="1">
        <f t="array" ref="R1434">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434" t="str" cm="1">
        <f t="array" ref="S143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434" t="str">
        <f>TEXT(tbl_analysis_tickets[[#This Row],[created_date]],"mmm-yyyy")</f>
        <v>Sep-2024</v>
      </c>
      <c r="U1434" t="str">
        <f>TEXT(tbl_analysis_tickets[[#This Row],[created_date]],"dddd")</f>
        <v>Sunday</v>
      </c>
      <c r="V1434" cm="1">
        <f t="array" ref="V1434">_xlfn.SWITCH(tbl_analysis_tickets[[#This Row],[priority]],
"Urgent",1,
"High",2,
"Medium",3,
"Low",4
)</f>
        <v>1</v>
      </c>
    </row>
    <row r="1435" spans="1:22" x14ac:dyDescent="0.25">
      <c r="A1435">
        <v>1434</v>
      </c>
      <c r="B1435" s="1">
        <v>45616</v>
      </c>
      <c r="C1435" t="s">
        <v>21</v>
      </c>
      <c r="D1435" t="s">
        <v>20</v>
      </c>
      <c r="E1435">
        <v>98</v>
      </c>
      <c r="F1435">
        <v>34</v>
      </c>
      <c r="G1435">
        <v>3.9</v>
      </c>
      <c r="H1435" t="s">
        <v>12</v>
      </c>
      <c r="I1435" t="s">
        <v>19</v>
      </c>
      <c r="J1435" t="s">
        <v>11</v>
      </c>
      <c r="K1435">
        <f>_xlfn.XLOOKUP(tbl_analysis_tickets[[#This Row],[priority]],tbl_sla[priority],tbl_sla[Resolution SLA Hours])</f>
        <v>24</v>
      </c>
      <c r="L1435">
        <f>_xlfn.XLOOKUP(tbl_analysis_tickets[[#This Row],[priority]],tbl_sla[priority],tbl_sla[First Response SLA Minutes])</f>
        <v>60</v>
      </c>
      <c r="M1435" t="str">
        <f>IF(tbl_analysis_tickets[[#This Row],[resolution_time_hours]]&gt;tbl_analysis_tickets[[#This Row],[Resolution SLA Hours]],"Breached","Within SLA")</f>
        <v>Breached</v>
      </c>
      <c r="N1435" t="str">
        <f>IF(tbl_analysis_tickets[[#This Row],[first_response_minutes]]&gt;tbl_analysis_tickets[[#This Row],[First Response SLA Minutes]],"Breached","Within SLA")</f>
        <v>Breached</v>
      </c>
      <c r="O1435" t="str" cm="1">
        <f t="array" ref="O1435">_xlfn.IFS(
tbl_analysis_tickets[[#This Row],[agent_experience_years]]&lt;=2,"Junior",
tbl_analysis_tickets[[#This Row],[agent_experience_years]]&lt;=5,"Mid-Level",
tbl_analysis_tickets[[#This Row],[agent_experience_years]]&lt;=8,"Senior",
tbl_analysis_tickets[[#This Row],[agent_experience_years]]&gt;8,"Expert"
)</f>
        <v>Mid-Level</v>
      </c>
      <c r="P1435" cm="1">
        <f t="array" ref="P1435">_xlfn.SWITCH(tbl_analysis_tickets[[#This Row],[customer_satisfaction]],
"Low",1,
"Medium",2,
"High",3
)</f>
        <v>1</v>
      </c>
      <c r="Q1435">
        <f>IF(tbl_analysis_tickets[[#This Row],[reopened]]="Yes",1,0)</f>
        <v>1</v>
      </c>
      <c r="R1435" t="str" cm="1">
        <f t="array" ref="R1435">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435" t="str" cm="1">
        <f t="array" ref="S143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435" t="str">
        <f>TEXT(tbl_analysis_tickets[[#This Row],[created_date]],"mmm-yyyy")</f>
        <v>Nov-2024</v>
      </c>
      <c r="U1435" t="str">
        <f>TEXT(tbl_analysis_tickets[[#This Row],[created_date]],"dddd")</f>
        <v>Wednesday</v>
      </c>
      <c r="V1435" cm="1">
        <f t="array" ref="V1435">_xlfn.SWITCH(tbl_analysis_tickets[[#This Row],[priority]],
"Urgent",1,
"High",2,
"Medium",3,
"Low",4
)</f>
        <v>2</v>
      </c>
    </row>
    <row r="1436" spans="1:22" x14ac:dyDescent="0.25">
      <c r="A1436">
        <v>1435</v>
      </c>
      <c r="B1436" s="1">
        <v>45384</v>
      </c>
      <c r="C1436" t="s">
        <v>22</v>
      </c>
      <c r="D1436" t="s">
        <v>17</v>
      </c>
      <c r="E1436">
        <v>213</v>
      </c>
      <c r="F1436">
        <v>3</v>
      </c>
      <c r="G1436">
        <v>6.1</v>
      </c>
      <c r="H1436" t="s">
        <v>18</v>
      </c>
      <c r="I1436" t="s">
        <v>19</v>
      </c>
      <c r="J1436" t="s">
        <v>15</v>
      </c>
      <c r="K1436">
        <f>_xlfn.XLOOKUP(tbl_analysis_tickets[[#This Row],[priority]],tbl_sla[priority],tbl_sla[Resolution SLA Hours])</f>
        <v>8</v>
      </c>
      <c r="L1436">
        <f>_xlfn.XLOOKUP(tbl_analysis_tickets[[#This Row],[priority]],tbl_sla[priority],tbl_sla[First Response SLA Minutes])</f>
        <v>30</v>
      </c>
      <c r="M1436" t="str">
        <f>IF(tbl_analysis_tickets[[#This Row],[resolution_time_hours]]&gt;tbl_analysis_tickets[[#This Row],[Resolution SLA Hours]],"Breached","Within SLA")</f>
        <v>Within SLA</v>
      </c>
      <c r="N1436" t="str">
        <f>IF(tbl_analysis_tickets[[#This Row],[first_response_minutes]]&gt;tbl_analysis_tickets[[#This Row],[First Response SLA Minutes]],"Breached","Within SLA")</f>
        <v>Breached</v>
      </c>
      <c r="O1436" t="str" cm="1">
        <f t="array" ref="O1436">_xlfn.IFS(
tbl_analysis_tickets[[#This Row],[agent_experience_years]]&lt;=2,"Junior",
tbl_analysis_tickets[[#This Row],[agent_experience_years]]&lt;=5,"Mid-Level",
tbl_analysis_tickets[[#This Row],[agent_experience_years]]&lt;=8,"Senior",
tbl_analysis_tickets[[#This Row],[agent_experience_years]]&gt;8,"Expert"
)</f>
        <v>Senior</v>
      </c>
      <c r="P1436" cm="1">
        <f t="array" ref="P1436">_xlfn.SWITCH(tbl_analysis_tickets[[#This Row],[customer_satisfaction]],
"Low",1,
"Medium",2,
"High",3
)</f>
        <v>2</v>
      </c>
      <c r="Q1436">
        <f>IF(tbl_analysis_tickets[[#This Row],[reopened]]="Yes",1,0)</f>
        <v>0</v>
      </c>
      <c r="R1436" t="str" cm="1">
        <f t="array" ref="R1436">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436" t="str" cm="1">
        <f t="array" ref="S143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1436" t="str">
        <f>TEXT(tbl_analysis_tickets[[#This Row],[created_date]],"mmm-yyyy")</f>
        <v>Apr-2024</v>
      </c>
      <c r="U1436" t="str">
        <f>TEXT(tbl_analysis_tickets[[#This Row],[created_date]],"dddd")</f>
        <v>Tuesday</v>
      </c>
      <c r="V1436" cm="1">
        <f t="array" ref="V1436">_xlfn.SWITCH(tbl_analysis_tickets[[#This Row],[priority]],
"Urgent",1,
"High",2,
"Medium",3,
"Low",4
)</f>
        <v>1</v>
      </c>
    </row>
    <row r="1437" spans="1:22" x14ac:dyDescent="0.25">
      <c r="A1437">
        <v>1436</v>
      </c>
      <c r="B1437" s="1">
        <v>45538</v>
      </c>
      <c r="C1437" t="s">
        <v>21</v>
      </c>
      <c r="D1437" t="s">
        <v>17</v>
      </c>
      <c r="E1437">
        <v>154</v>
      </c>
      <c r="F1437">
        <v>53</v>
      </c>
      <c r="G1437">
        <v>7.9</v>
      </c>
      <c r="H1437" t="s">
        <v>18</v>
      </c>
      <c r="I1437" t="s">
        <v>19</v>
      </c>
      <c r="J1437" t="s">
        <v>11</v>
      </c>
      <c r="K1437">
        <f>_xlfn.XLOOKUP(tbl_analysis_tickets[[#This Row],[priority]],tbl_sla[priority],tbl_sla[Resolution SLA Hours])</f>
        <v>8</v>
      </c>
      <c r="L1437">
        <f>_xlfn.XLOOKUP(tbl_analysis_tickets[[#This Row],[priority]],tbl_sla[priority],tbl_sla[First Response SLA Minutes])</f>
        <v>30</v>
      </c>
      <c r="M1437" t="str">
        <f>IF(tbl_analysis_tickets[[#This Row],[resolution_time_hours]]&gt;tbl_analysis_tickets[[#This Row],[Resolution SLA Hours]],"Breached","Within SLA")</f>
        <v>Breached</v>
      </c>
      <c r="N1437" t="str">
        <f>IF(tbl_analysis_tickets[[#This Row],[first_response_minutes]]&gt;tbl_analysis_tickets[[#This Row],[First Response SLA Minutes]],"Breached","Within SLA")</f>
        <v>Breached</v>
      </c>
      <c r="O1437" t="str" cm="1">
        <f t="array" ref="O1437">_xlfn.IFS(
tbl_analysis_tickets[[#This Row],[agent_experience_years]]&lt;=2,"Junior",
tbl_analysis_tickets[[#This Row],[agent_experience_years]]&lt;=5,"Mid-Level",
tbl_analysis_tickets[[#This Row],[agent_experience_years]]&lt;=8,"Senior",
tbl_analysis_tickets[[#This Row],[agent_experience_years]]&gt;8,"Expert"
)</f>
        <v>Senior</v>
      </c>
      <c r="P1437" cm="1">
        <f t="array" ref="P1437">_xlfn.SWITCH(tbl_analysis_tickets[[#This Row],[customer_satisfaction]],
"Low",1,
"Medium",2,
"High",3
)</f>
        <v>1</v>
      </c>
      <c r="Q1437">
        <f>IF(tbl_analysis_tickets[[#This Row],[reopened]]="Yes",1,0)</f>
        <v>0</v>
      </c>
      <c r="R1437" t="str" cm="1">
        <f t="array" ref="R1437">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437" t="str" cm="1">
        <f t="array" ref="S143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437" t="str">
        <f>TEXT(tbl_analysis_tickets[[#This Row],[created_date]],"mmm-yyyy")</f>
        <v>Sep-2024</v>
      </c>
      <c r="U1437" t="str">
        <f>TEXT(tbl_analysis_tickets[[#This Row],[created_date]],"dddd")</f>
        <v>Tuesday</v>
      </c>
      <c r="V1437" cm="1">
        <f t="array" ref="V1437">_xlfn.SWITCH(tbl_analysis_tickets[[#This Row],[priority]],
"Urgent",1,
"High",2,
"Medium",3,
"Low",4
)</f>
        <v>1</v>
      </c>
    </row>
    <row r="1438" spans="1:22" x14ac:dyDescent="0.25">
      <c r="A1438">
        <v>1437</v>
      </c>
      <c r="B1438" s="1">
        <v>45492</v>
      </c>
      <c r="C1438" t="s">
        <v>22</v>
      </c>
      <c r="D1438" t="s">
        <v>20</v>
      </c>
      <c r="E1438">
        <v>115</v>
      </c>
      <c r="F1438">
        <v>10</v>
      </c>
      <c r="G1438">
        <v>1.5</v>
      </c>
      <c r="H1438" t="s">
        <v>12</v>
      </c>
      <c r="I1438" t="s">
        <v>19</v>
      </c>
      <c r="J1438" t="s">
        <v>11</v>
      </c>
      <c r="K1438">
        <f>_xlfn.XLOOKUP(tbl_analysis_tickets[[#This Row],[priority]],tbl_sla[priority],tbl_sla[Resolution SLA Hours])</f>
        <v>24</v>
      </c>
      <c r="L1438">
        <f>_xlfn.XLOOKUP(tbl_analysis_tickets[[#This Row],[priority]],tbl_sla[priority],tbl_sla[First Response SLA Minutes])</f>
        <v>60</v>
      </c>
      <c r="M1438" t="str">
        <f>IF(tbl_analysis_tickets[[#This Row],[resolution_time_hours]]&gt;tbl_analysis_tickets[[#This Row],[Resolution SLA Hours]],"Breached","Within SLA")</f>
        <v>Within SLA</v>
      </c>
      <c r="N1438" t="str">
        <f>IF(tbl_analysis_tickets[[#This Row],[first_response_minutes]]&gt;tbl_analysis_tickets[[#This Row],[First Response SLA Minutes]],"Breached","Within SLA")</f>
        <v>Breached</v>
      </c>
      <c r="O1438" t="str" cm="1">
        <f t="array" ref="O1438">_xlfn.IFS(
tbl_analysis_tickets[[#This Row],[agent_experience_years]]&lt;=2,"Junior",
tbl_analysis_tickets[[#This Row],[agent_experience_years]]&lt;=5,"Mid-Level",
tbl_analysis_tickets[[#This Row],[agent_experience_years]]&lt;=8,"Senior",
tbl_analysis_tickets[[#This Row],[agent_experience_years]]&gt;8,"Expert"
)</f>
        <v>Junior</v>
      </c>
      <c r="P1438" cm="1">
        <f t="array" ref="P1438">_xlfn.SWITCH(tbl_analysis_tickets[[#This Row],[customer_satisfaction]],
"Low",1,
"Medium",2,
"High",3
)</f>
        <v>1</v>
      </c>
      <c r="Q1438">
        <f>IF(tbl_analysis_tickets[[#This Row],[reopened]]="Yes",1,0)</f>
        <v>1</v>
      </c>
      <c r="R1438" t="str" cm="1">
        <f t="array" ref="R1438">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438" t="str" cm="1">
        <f t="array" ref="S143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438" t="str">
        <f>TEXT(tbl_analysis_tickets[[#This Row],[created_date]],"mmm-yyyy")</f>
        <v>Jul-2024</v>
      </c>
      <c r="U1438" t="str">
        <f>TEXT(tbl_analysis_tickets[[#This Row],[created_date]],"dddd")</f>
        <v>Friday</v>
      </c>
      <c r="V1438" cm="1">
        <f t="array" ref="V1438">_xlfn.SWITCH(tbl_analysis_tickets[[#This Row],[priority]],
"Urgent",1,
"High",2,
"Medium",3,
"Low",4
)</f>
        <v>2</v>
      </c>
    </row>
    <row r="1439" spans="1:22" x14ac:dyDescent="0.25">
      <c r="A1439">
        <v>1438</v>
      </c>
      <c r="B1439" s="1">
        <v>45450</v>
      </c>
      <c r="C1439" t="s">
        <v>10</v>
      </c>
      <c r="D1439" t="s">
        <v>20</v>
      </c>
      <c r="E1439">
        <v>65</v>
      </c>
      <c r="F1439">
        <v>18</v>
      </c>
      <c r="G1439">
        <v>1</v>
      </c>
      <c r="H1439" t="s">
        <v>18</v>
      </c>
      <c r="I1439" t="s">
        <v>16</v>
      </c>
      <c r="J1439" t="s">
        <v>11</v>
      </c>
      <c r="K1439">
        <f>_xlfn.XLOOKUP(tbl_analysis_tickets[[#This Row],[priority]],tbl_sla[priority],tbl_sla[Resolution SLA Hours])</f>
        <v>24</v>
      </c>
      <c r="L1439">
        <f>_xlfn.XLOOKUP(tbl_analysis_tickets[[#This Row],[priority]],tbl_sla[priority],tbl_sla[First Response SLA Minutes])</f>
        <v>60</v>
      </c>
      <c r="M1439" t="str">
        <f>IF(tbl_analysis_tickets[[#This Row],[resolution_time_hours]]&gt;tbl_analysis_tickets[[#This Row],[Resolution SLA Hours]],"Breached","Within SLA")</f>
        <v>Within SLA</v>
      </c>
      <c r="N1439" t="str">
        <f>IF(tbl_analysis_tickets[[#This Row],[first_response_minutes]]&gt;tbl_analysis_tickets[[#This Row],[First Response SLA Minutes]],"Breached","Within SLA")</f>
        <v>Breached</v>
      </c>
      <c r="O1439" t="str" cm="1">
        <f t="array" ref="O1439">_xlfn.IFS(
tbl_analysis_tickets[[#This Row],[agent_experience_years]]&lt;=2,"Junior",
tbl_analysis_tickets[[#This Row],[agent_experience_years]]&lt;=5,"Mid-Level",
tbl_analysis_tickets[[#This Row],[agent_experience_years]]&lt;=8,"Senior",
tbl_analysis_tickets[[#This Row],[agent_experience_years]]&gt;8,"Expert"
)</f>
        <v>Junior</v>
      </c>
      <c r="P1439" cm="1">
        <f t="array" ref="P1439">_xlfn.SWITCH(tbl_analysis_tickets[[#This Row],[customer_satisfaction]],
"Low",1,
"Medium",2,
"High",3
)</f>
        <v>1</v>
      </c>
      <c r="Q1439">
        <f>IF(tbl_analysis_tickets[[#This Row],[reopened]]="Yes",1,0)</f>
        <v>0</v>
      </c>
      <c r="R1439" t="str" cm="1">
        <f t="array" ref="R1439">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439" t="str" cm="1">
        <f t="array" ref="S143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439" t="str">
        <f>TEXT(tbl_analysis_tickets[[#This Row],[created_date]],"mmm-yyyy")</f>
        <v>Jun-2024</v>
      </c>
      <c r="U1439" t="str">
        <f>TEXT(tbl_analysis_tickets[[#This Row],[created_date]],"dddd")</f>
        <v>Friday</v>
      </c>
      <c r="V1439" cm="1">
        <f t="array" ref="V1439">_xlfn.SWITCH(tbl_analysis_tickets[[#This Row],[priority]],
"Urgent",1,
"High",2,
"Medium",3,
"Low",4
)</f>
        <v>2</v>
      </c>
    </row>
    <row r="1440" spans="1:22" x14ac:dyDescent="0.25">
      <c r="A1440">
        <v>1439</v>
      </c>
      <c r="B1440" s="1">
        <v>45389</v>
      </c>
      <c r="C1440" t="s">
        <v>21</v>
      </c>
      <c r="D1440" t="s">
        <v>20</v>
      </c>
      <c r="E1440">
        <v>16</v>
      </c>
      <c r="F1440">
        <v>21</v>
      </c>
      <c r="G1440">
        <v>1.5</v>
      </c>
      <c r="H1440" t="s">
        <v>18</v>
      </c>
      <c r="I1440" t="s">
        <v>19</v>
      </c>
      <c r="J1440" t="s">
        <v>15</v>
      </c>
      <c r="K1440">
        <f>_xlfn.XLOOKUP(tbl_analysis_tickets[[#This Row],[priority]],tbl_sla[priority],tbl_sla[Resolution SLA Hours])</f>
        <v>24</v>
      </c>
      <c r="L1440">
        <f>_xlfn.XLOOKUP(tbl_analysis_tickets[[#This Row],[priority]],tbl_sla[priority],tbl_sla[First Response SLA Minutes])</f>
        <v>60</v>
      </c>
      <c r="M1440" t="str">
        <f>IF(tbl_analysis_tickets[[#This Row],[resolution_time_hours]]&gt;tbl_analysis_tickets[[#This Row],[Resolution SLA Hours]],"Breached","Within SLA")</f>
        <v>Within SLA</v>
      </c>
      <c r="N1440" t="str">
        <f>IF(tbl_analysis_tickets[[#This Row],[first_response_minutes]]&gt;tbl_analysis_tickets[[#This Row],[First Response SLA Minutes]],"Breached","Within SLA")</f>
        <v>Within SLA</v>
      </c>
      <c r="O1440" t="str" cm="1">
        <f t="array" ref="O1440">_xlfn.IFS(
tbl_analysis_tickets[[#This Row],[agent_experience_years]]&lt;=2,"Junior",
tbl_analysis_tickets[[#This Row],[agent_experience_years]]&lt;=5,"Mid-Level",
tbl_analysis_tickets[[#This Row],[agent_experience_years]]&lt;=8,"Senior",
tbl_analysis_tickets[[#This Row],[agent_experience_years]]&gt;8,"Expert"
)</f>
        <v>Junior</v>
      </c>
      <c r="P1440" cm="1">
        <f t="array" ref="P1440">_xlfn.SWITCH(tbl_analysis_tickets[[#This Row],[customer_satisfaction]],
"Low",1,
"Medium",2,
"High",3
)</f>
        <v>2</v>
      </c>
      <c r="Q1440">
        <f>IF(tbl_analysis_tickets[[#This Row],[reopened]]="Yes",1,0)</f>
        <v>0</v>
      </c>
      <c r="R1440" t="str" cm="1">
        <f t="array" ref="R1440">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1440" t="str" cm="1">
        <f t="array" ref="S144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440" t="str">
        <f>TEXT(tbl_analysis_tickets[[#This Row],[created_date]],"mmm-yyyy")</f>
        <v>Apr-2024</v>
      </c>
      <c r="U1440" t="str">
        <f>TEXT(tbl_analysis_tickets[[#This Row],[created_date]],"dddd")</f>
        <v>Sunday</v>
      </c>
      <c r="V1440" cm="1">
        <f t="array" ref="V1440">_xlfn.SWITCH(tbl_analysis_tickets[[#This Row],[priority]],
"Urgent",1,
"High",2,
"Medium",3,
"Low",4
)</f>
        <v>2</v>
      </c>
    </row>
    <row r="1441" spans="1:22" x14ac:dyDescent="0.25">
      <c r="A1441">
        <v>1440</v>
      </c>
      <c r="B1441" s="1">
        <v>45537</v>
      </c>
      <c r="C1441" t="s">
        <v>23</v>
      </c>
      <c r="D1441" t="s">
        <v>17</v>
      </c>
      <c r="E1441">
        <v>19</v>
      </c>
      <c r="F1441">
        <v>25</v>
      </c>
      <c r="G1441">
        <v>9.5</v>
      </c>
      <c r="H1441" t="s">
        <v>12</v>
      </c>
      <c r="I1441" t="s">
        <v>16</v>
      </c>
      <c r="J1441" t="s">
        <v>15</v>
      </c>
      <c r="K1441">
        <f>_xlfn.XLOOKUP(tbl_analysis_tickets[[#This Row],[priority]],tbl_sla[priority],tbl_sla[Resolution SLA Hours])</f>
        <v>8</v>
      </c>
      <c r="L1441">
        <f>_xlfn.XLOOKUP(tbl_analysis_tickets[[#This Row],[priority]],tbl_sla[priority],tbl_sla[First Response SLA Minutes])</f>
        <v>30</v>
      </c>
      <c r="M1441" t="str">
        <f>IF(tbl_analysis_tickets[[#This Row],[resolution_time_hours]]&gt;tbl_analysis_tickets[[#This Row],[Resolution SLA Hours]],"Breached","Within SLA")</f>
        <v>Breached</v>
      </c>
      <c r="N1441" t="str">
        <f>IF(tbl_analysis_tickets[[#This Row],[first_response_minutes]]&gt;tbl_analysis_tickets[[#This Row],[First Response SLA Minutes]],"Breached","Within SLA")</f>
        <v>Within SLA</v>
      </c>
      <c r="O1441" t="str" cm="1">
        <f t="array" ref="O1441">_xlfn.IFS(
tbl_analysis_tickets[[#This Row],[agent_experience_years]]&lt;=2,"Junior",
tbl_analysis_tickets[[#This Row],[agent_experience_years]]&lt;=5,"Mid-Level",
tbl_analysis_tickets[[#This Row],[agent_experience_years]]&lt;=8,"Senior",
tbl_analysis_tickets[[#This Row],[agent_experience_years]]&gt;8,"Expert"
)</f>
        <v>Expert</v>
      </c>
      <c r="P1441" cm="1">
        <f t="array" ref="P1441">_xlfn.SWITCH(tbl_analysis_tickets[[#This Row],[customer_satisfaction]],
"Low",1,
"Medium",2,
"High",3
)</f>
        <v>2</v>
      </c>
      <c r="Q1441">
        <f>IF(tbl_analysis_tickets[[#This Row],[reopened]]="Yes",1,0)</f>
        <v>1</v>
      </c>
      <c r="R1441" t="str" cm="1">
        <f t="array" ref="R1441">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1441" t="str" cm="1">
        <f t="array" ref="S144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441" t="str">
        <f>TEXT(tbl_analysis_tickets[[#This Row],[created_date]],"mmm-yyyy")</f>
        <v>Sep-2024</v>
      </c>
      <c r="U1441" t="str">
        <f>TEXT(tbl_analysis_tickets[[#This Row],[created_date]],"dddd")</f>
        <v>Monday</v>
      </c>
      <c r="V1441" cm="1">
        <f t="array" ref="V1441">_xlfn.SWITCH(tbl_analysis_tickets[[#This Row],[priority]],
"Urgent",1,
"High",2,
"Medium",3,
"Low",4
)</f>
        <v>1</v>
      </c>
    </row>
    <row r="1442" spans="1:22" x14ac:dyDescent="0.25">
      <c r="A1442">
        <v>1441</v>
      </c>
      <c r="B1442" s="1">
        <v>45332</v>
      </c>
      <c r="C1442" t="s">
        <v>10</v>
      </c>
      <c r="D1442" t="s">
        <v>20</v>
      </c>
      <c r="E1442">
        <v>90</v>
      </c>
      <c r="F1442">
        <v>26</v>
      </c>
      <c r="G1442">
        <v>6.6</v>
      </c>
      <c r="H1442" t="s">
        <v>12</v>
      </c>
      <c r="I1442" t="s">
        <v>13</v>
      </c>
      <c r="J1442" t="s">
        <v>11</v>
      </c>
      <c r="K1442">
        <f>_xlfn.XLOOKUP(tbl_analysis_tickets[[#This Row],[priority]],tbl_sla[priority],tbl_sla[Resolution SLA Hours])</f>
        <v>24</v>
      </c>
      <c r="L1442">
        <f>_xlfn.XLOOKUP(tbl_analysis_tickets[[#This Row],[priority]],tbl_sla[priority],tbl_sla[First Response SLA Minutes])</f>
        <v>60</v>
      </c>
      <c r="M1442" t="str">
        <f>IF(tbl_analysis_tickets[[#This Row],[resolution_time_hours]]&gt;tbl_analysis_tickets[[#This Row],[Resolution SLA Hours]],"Breached","Within SLA")</f>
        <v>Breached</v>
      </c>
      <c r="N1442" t="str">
        <f>IF(tbl_analysis_tickets[[#This Row],[first_response_minutes]]&gt;tbl_analysis_tickets[[#This Row],[First Response SLA Minutes]],"Breached","Within SLA")</f>
        <v>Breached</v>
      </c>
      <c r="O1442" t="str" cm="1">
        <f t="array" ref="O1442">_xlfn.IFS(
tbl_analysis_tickets[[#This Row],[agent_experience_years]]&lt;=2,"Junior",
tbl_analysis_tickets[[#This Row],[agent_experience_years]]&lt;=5,"Mid-Level",
tbl_analysis_tickets[[#This Row],[agent_experience_years]]&lt;=8,"Senior",
tbl_analysis_tickets[[#This Row],[agent_experience_years]]&gt;8,"Expert"
)</f>
        <v>Senior</v>
      </c>
      <c r="P1442" cm="1">
        <f t="array" ref="P1442">_xlfn.SWITCH(tbl_analysis_tickets[[#This Row],[customer_satisfaction]],
"Low",1,
"Medium",2,
"High",3
)</f>
        <v>1</v>
      </c>
      <c r="Q1442">
        <f>IF(tbl_analysis_tickets[[#This Row],[reopened]]="Yes",1,0)</f>
        <v>1</v>
      </c>
      <c r="R1442" t="str" cm="1">
        <f t="array" ref="R1442">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442" t="str" cm="1">
        <f t="array" ref="S144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442" t="str">
        <f>TEXT(tbl_analysis_tickets[[#This Row],[created_date]],"mmm-yyyy")</f>
        <v>Feb-2024</v>
      </c>
      <c r="U1442" t="str">
        <f>TEXT(tbl_analysis_tickets[[#This Row],[created_date]],"dddd")</f>
        <v>Saturday</v>
      </c>
      <c r="V1442" cm="1">
        <f t="array" ref="V1442">_xlfn.SWITCH(tbl_analysis_tickets[[#This Row],[priority]],
"Urgent",1,
"High",2,
"Medium",3,
"Low",4
)</f>
        <v>2</v>
      </c>
    </row>
    <row r="1443" spans="1:22" x14ac:dyDescent="0.25">
      <c r="A1443">
        <v>1442</v>
      </c>
      <c r="B1443" s="1">
        <v>45610</v>
      </c>
      <c r="C1443" t="s">
        <v>14</v>
      </c>
      <c r="D1443" t="s">
        <v>11</v>
      </c>
      <c r="E1443">
        <v>17</v>
      </c>
      <c r="F1443">
        <v>68</v>
      </c>
      <c r="G1443">
        <v>6.9</v>
      </c>
      <c r="H1443" t="s">
        <v>18</v>
      </c>
      <c r="I1443" t="s">
        <v>16</v>
      </c>
      <c r="J1443" t="s">
        <v>20</v>
      </c>
      <c r="K1443">
        <f>_xlfn.XLOOKUP(tbl_analysis_tickets[[#This Row],[priority]],tbl_sla[priority],tbl_sla[Resolution SLA Hours])</f>
        <v>72</v>
      </c>
      <c r="L1443">
        <f>_xlfn.XLOOKUP(tbl_analysis_tickets[[#This Row],[priority]],tbl_sla[priority],tbl_sla[First Response SLA Minutes])</f>
        <v>240</v>
      </c>
      <c r="M1443" t="str">
        <f>IF(tbl_analysis_tickets[[#This Row],[resolution_time_hours]]&gt;tbl_analysis_tickets[[#This Row],[Resolution SLA Hours]],"Breached","Within SLA")</f>
        <v>Within SLA</v>
      </c>
      <c r="N1443" t="str">
        <f>IF(tbl_analysis_tickets[[#This Row],[first_response_minutes]]&gt;tbl_analysis_tickets[[#This Row],[First Response SLA Minutes]],"Breached","Within SLA")</f>
        <v>Within SLA</v>
      </c>
      <c r="O1443" t="str" cm="1">
        <f t="array" ref="O1443">_xlfn.IFS(
tbl_analysis_tickets[[#This Row],[agent_experience_years]]&lt;=2,"Junior",
tbl_analysis_tickets[[#This Row],[agent_experience_years]]&lt;=5,"Mid-Level",
tbl_analysis_tickets[[#This Row],[agent_experience_years]]&lt;=8,"Senior",
tbl_analysis_tickets[[#This Row],[agent_experience_years]]&gt;8,"Expert"
)</f>
        <v>Senior</v>
      </c>
      <c r="P1443" cm="1">
        <f t="array" ref="P1443">_xlfn.SWITCH(tbl_analysis_tickets[[#This Row],[customer_satisfaction]],
"Low",1,
"Medium",2,
"High",3
)</f>
        <v>3</v>
      </c>
      <c r="Q1443">
        <f>IF(tbl_analysis_tickets[[#This Row],[reopened]]="Yes",1,0)</f>
        <v>0</v>
      </c>
      <c r="R1443" t="str" cm="1">
        <f t="array" ref="R1443">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1443" t="str" cm="1">
        <f t="array" ref="S144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443" t="str">
        <f>TEXT(tbl_analysis_tickets[[#This Row],[created_date]],"mmm-yyyy")</f>
        <v>Nov-2024</v>
      </c>
      <c r="U1443" t="str">
        <f>TEXT(tbl_analysis_tickets[[#This Row],[created_date]],"dddd")</f>
        <v>Thursday</v>
      </c>
      <c r="V1443" cm="1">
        <f t="array" ref="V1443">_xlfn.SWITCH(tbl_analysis_tickets[[#This Row],[priority]],
"Urgent",1,
"High",2,
"Medium",3,
"Low",4
)</f>
        <v>4</v>
      </c>
    </row>
    <row r="1444" spans="1:22" x14ac:dyDescent="0.25">
      <c r="A1444">
        <v>1443</v>
      </c>
      <c r="B1444" s="1">
        <v>45466</v>
      </c>
      <c r="C1444" t="s">
        <v>23</v>
      </c>
      <c r="D1444" t="s">
        <v>17</v>
      </c>
      <c r="E1444">
        <v>122</v>
      </c>
      <c r="F1444">
        <v>3</v>
      </c>
      <c r="G1444">
        <v>5.4</v>
      </c>
      <c r="H1444" t="s">
        <v>12</v>
      </c>
      <c r="I1444" t="s">
        <v>19</v>
      </c>
      <c r="J1444" t="s">
        <v>15</v>
      </c>
      <c r="K1444">
        <f>_xlfn.XLOOKUP(tbl_analysis_tickets[[#This Row],[priority]],tbl_sla[priority],tbl_sla[Resolution SLA Hours])</f>
        <v>8</v>
      </c>
      <c r="L1444">
        <f>_xlfn.XLOOKUP(tbl_analysis_tickets[[#This Row],[priority]],tbl_sla[priority],tbl_sla[First Response SLA Minutes])</f>
        <v>30</v>
      </c>
      <c r="M1444" t="str">
        <f>IF(tbl_analysis_tickets[[#This Row],[resolution_time_hours]]&gt;tbl_analysis_tickets[[#This Row],[Resolution SLA Hours]],"Breached","Within SLA")</f>
        <v>Within SLA</v>
      </c>
      <c r="N1444" t="str">
        <f>IF(tbl_analysis_tickets[[#This Row],[first_response_minutes]]&gt;tbl_analysis_tickets[[#This Row],[First Response SLA Minutes]],"Breached","Within SLA")</f>
        <v>Breached</v>
      </c>
      <c r="O1444" t="str" cm="1">
        <f t="array" ref="O1444">_xlfn.IFS(
tbl_analysis_tickets[[#This Row],[agent_experience_years]]&lt;=2,"Junior",
tbl_analysis_tickets[[#This Row],[agent_experience_years]]&lt;=5,"Mid-Level",
tbl_analysis_tickets[[#This Row],[agent_experience_years]]&lt;=8,"Senior",
tbl_analysis_tickets[[#This Row],[agent_experience_years]]&gt;8,"Expert"
)</f>
        <v>Senior</v>
      </c>
      <c r="P1444" cm="1">
        <f t="array" ref="P1444">_xlfn.SWITCH(tbl_analysis_tickets[[#This Row],[customer_satisfaction]],
"Low",1,
"Medium",2,
"High",3
)</f>
        <v>2</v>
      </c>
      <c r="Q1444">
        <f>IF(tbl_analysis_tickets[[#This Row],[reopened]]="Yes",1,0)</f>
        <v>1</v>
      </c>
      <c r="R1444" t="str" cm="1">
        <f t="array" ref="R1444">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444" t="str" cm="1">
        <f t="array" ref="S144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1444" t="str">
        <f>TEXT(tbl_analysis_tickets[[#This Row],[created_date]],"mmm-yyyy")</f>
        <v>Jun-2024</v>
      </c>
      <c r="U1444" t="str">
        <f>TEXT(tbl_analysis_tickets[[#This Row],[created_date]],"dddd")</f>
        <v>Sunday</v>
      </c>
      <c r="V1444" cm="1">
        <f t="array" ref="V1444">_xlfn.SWITCH(tbl_analysis_tickets[[#This Row],[priority]],
"Urgent",1,
"High",2,
"Medium",3,
"Low",4
)</f>
        <v>1</v>
      </c>
    </row>
    <row r="1445" spans="1:22" x14ac:dyDescent="0.25">
      <c r="A1445">
        <v>1444</v>
      </c>
      <c r="B1445" s="1">
        <v>45512</v>
      </c>
      <c r="C1445" t="s">
        <v>22</v>
      </c>
      <c r="D1445" t="s">
        <v>20</v>
      </c>
      <c r="E1445">
        <v>43</v>
      </c>
      <c r="F1445">
        <v>66</v>
      </c>
      <c r="G1445">
        <v>4.3</v>
      </c>
      <c r="H1445" t="s">
        <v>12</v>
      </c>
      <c r="I1445" t="s">
        <v>13</v>
      </c>
      <c r="J1445" t="s">
        <v>11</v>
      </c>
      <c r="K1445">
        <f>_xlfn.XLOOKUP(tbl_analysis_tickets[[#This Row],[priority]],tbl_sla[priority],tbl_sla[Resolution SLA Hours])</f>
        <v>24</v>
      </c>
      <c r="L1445">
        <f>_xlfn.XLOOKUP(tbl_analysis_tickets[[#This Row],[priority]],tbl_sla[priority],tbl_sla[First Response SLA Minutes])</f>
        <v>60</v>
      </c>
      <c r="M1445" t="str">
        <f>IF(tbl_analysis_tickets[[#This Row],[resolution_time_hours]]&gt;tbl_analysis_tickets[[#This Row],[Resolution SLA Hours]],"Breached","Within SLA")</f>
        <v>Breached</v>
      </c>
      <c r="N1445" t="str">
        <f>IF(tbl_analysis_tickets[[#This Row],[first_response_minutes]]&gt;tbl_analysis_tickets[[#This Row],[First Response SLA Minutes]],"Breached","Within SLA")</f>
        <v>Within SLA</v>
      </c>
      <c r="O1445" t="str" cm="1">
        <f t="array" ref="O1445">_xlfn.IFS(
tbl_analysis_tickets[[#This Row],[agent_experience_years]]&lt;=2,"Junior",
tbl_analysis_tickets[[#This Row],[agent_experience_years]]&lt;=5,"Mid-Level",
tbl_analysis_tickets[[#This Row],[agent_experience_years]]&lt;=8,"Senior",
tbl_analysis_tickets[[#This Row],[agent_experience_years]]&gt;8,"Expert"
)</f>
        <v>Mid-Level</v>
      </c>
      <c r="P1445" cm="1">
        <f t="array" ref="P1445">_xlfn.SWITCH(tbl_analysis_tickets[[#This Row],[customer_satisfaction]],
"Low",1,
"Medium",2,
"High",3
)</f>
        <v>1</v>
      </c>
      <c r="Q1445">
        <f>IF(tbl_analysis_tickets[[#This Row],[reopened]]="Yes",1,0)</f>
        <v>1</v>
      </c>
      <c r="R1445" t="str" cm="1">
        <f t="array" ref="R1445">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445" t="str" cm="1">
        <f t="array" ref="S144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445" t="str">
        <f>TEXT(tbl_analysis_tickets[[#This Row],[created_date]],"mmm-yyyy")</f>
        <v>Aug-2024</v>
      </c>
      <c r="U1445" t="str">
        <f>TEXT(tbl_analysis_tickets[[#This Row],[created_date]],"dddd")</f>
        <v>Thursday</v>
      </c>
      <c r="V1445" cm="1">
        <f t="array" ref="V1445">_xlfn.SWITCH(tbl_analysis_tickets[[#This Row],[priority]],
"Urgent",1,
"High",2,
"Medium",3,
"Low",4
)</f>
        <v>2</v>
      </c>
    </row>
    <row r="1446" spans="1:22" x14ac:dyDescent="0.25">
      <c r="A1446">
        <v>1445</v>
      </c>
      <c r="B1446" s="1">
        <v>45618</v>
      </c>
      <c r="C1446" t="s">
        <v>23</v>
      </c>
      <c r="D1446" t="s">
        <v>20</v>
      </c>
      <c r="E1446">
        <v>109</v>
      </c>
      <c r="F1446">
        <v>37</v>
      </c>
      <c r="G1446">
        <v>3.1</v>
      </c>
      <c r="H1446" t="s">
        <v>12</v>
      </c>
      <c r="I1446" t="s">
        <v>19</v>
      </c>
      <c r="J1446" t="s">
        <v>11</v>
      </c>
      <c r="K1446">
        <f>_xlfn.XLOOKUP(tbl_analysis_tickets[[#This Row],[priority]],tbl_sla[priority],tbl_sla[Resolution SLA Hours])</f>
        <v>24</v>
      </c>
      <c r="L1446">
        <f>_xlfn.XLOOKUP(tbl_analysis_tickets[[#This Row],[priority]],tbl_sla[priority],tbl_sla[First Response SLA Minutes])</f>
        <v>60</v>
      </c>
      <c r="M1446" t="str">
        <f>IF(tbl_analysis_tickets[[#This Row],[resolution_time_hours]]&gt;tbl_analysis_tickets[[#This Row],[Resolution SLA Hours]],"Breached","Within SLA")</f>
        <v>Breached</v>
      </c>
      <c r="N1446" t="str">
        <f>IF(tbl_analysis_tickets[[#This Row],[first_response_minutes]]&gt;tbl_analysis_tickets[[#This Row],[First Response SLA Minutes]],"Breached","Within SLA")</f>
        <v>Breached</v>
      </c>
      <c r="O1446" t="str" cm="1">
        <f t="array" ref="O1446">_xlfn.IFS(
tbl_analysis_tickets[[#This Row],[agent_experience_years]]&lt;=2,"Junior",
tbl_analysis_tickets[[#This Row],[agent_experience_years]]&lt;=5,"Mid-Level",
tbl_analysis_tickets[[#This Row],[agent_experience_years]]&lt;=8,"Senior",
tbl_analysis_tickets[[#This Row],[agent_experience_years]]&gt;8,"Expert"
)</f>
        <v>Mid-Level</v>
      </c>
      <c r="P1446" cm="1">
        <f t="array" ref="P1446">_xlfn.SWITCH(tbl_analysis_tickets[[#This Row],[customer_satisfaction]],
"Low",1,
"Medium",2,
"High",3
)</f>
        <v>1</v>
      </c>
      <c r="Q1446">
        <f>IF(tbl_analysis_tickets[[#This Row],[reopened]]="Yes",1,0)</f>
        <v>1</v>
      </c>
      <c r="R1446" t="str" cm="1">
        <f t="array" ref="R1446">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446" t="str" cm="1">
        <f t="array" ref="S144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446" t="str">
        <f>TEXT(tbl_analysis_tickets[[#This Row],[created_date]],"mmm-yyyy")</f>
        <v>Nov-2024</v>
      </c>
      <c r="U1446" t="str">
        <f>TEXT(tbl_analysis_tickets[[#This Row],[created_date]],"dddd")</f>
        <v>Friday</v>
      </c>
      <c r="V1446" cm="1">
        <f t="array" ref="V1446">_xlfn.SWITCH(tbl_analysis_tickets[[#This Row],[priority]],
"Urgent",1,
"High",2,
"Medium",3,
"Low",4
)</f>
        <v>2</v>
      </c>
    </row>
    <row r="1447" spans="1:22" x14ac:dyDescent="0.25">
      <c r="A1447">
        <v>1446</v>
      </c>
      <c r="B1447" s="1">
        <v>45343</v>
      </c>
      <c r="C1447" t="s">
        <v>10</v>
      </c>
      <c r="D1447" t="s">
        <v>11</v>
      </c>
      <c r="E1447">
        <v>120</v>
      </c>
      <c r="F1447">
        <v>13</v>
      </c>
      <c r="G1447">
        <v>9.5</v>
      </c>
      <c r="H1447" t="s">
        <v>12</v>
      </c>
      <c r="I1447" t="s">
        <v>19</v>
      </c>
      <c r="J1447" t="s">
        <v>11</v>
      </c>
      <c r="K1447">
        <f>_xlfn.XLOOKUP(tbl_analysis_tickets[[#This Row],[priority]],tbl_sla[priority],tbl_sla[Resolution SLA Hours])</f>
        <v>72</v>
      </c>
      <c r="L1447">
        <f>_xlfn.XLOOKUP(tbl_analysis_tickets[[#This Row],[priority]],tbl_sla[priority],tbl_sla[First Response SLA Minutes])</f>
        <v>240</v>
      </c>
      <c r="M1447" t="str">
        <f>IF(tbl_analysis_tickets[[#This Row],[resolution_time_hours]]&gt;tbl_analysis_tickets[[#This Row],[Resolution SLA Hours]],"Breached","Within SLA")</f>
        <v>Within SLA</v>
      </c>
      <c r="N1447" t="str">
        <f>IF(tbl_analysis_tickets[[#This Row],[first_response_minutes]]&gt;tbl_analysis_tickets[[#This Row],[First Response SLA Minutes]],"Breached","Within SLA")</f>
        <v>Within SLA</v>
      </c>
      <c r="O1447" t="str" cm="1">
        <f t="array" ref="O1447">_xlfn.IFS(
tbl_analysis_tickets[[#This Row],[agent_experience_years]]&lt;=2,"Junior",
tbl_analysis_tickets[[#This Row],[agent_experience_years]]&lt;=5,"Mid-Level",
tbl_analysis_tickets[[#This Row],[agent_experience_years]]&lt;=8,"Senior",
tbl_analysis_tickets[[#This Row],[agent_experience_years]]&gt;8,"Expert"
)</f>
        <v>Expert</v>
      </c>
      <c r="P1447" cm="1">
        <f t="array" ref="P1447">_xlfn.SWITCH(tbl_analysis_tickets[[#This Row],[customer_satisfaction]],
"Low",1,
"Medium",2,
"High",3
)</f>
        <v>1</v>
      </c>
      <c r="Q1447">
        <f>IF(tbl_analysis_tickets[[#This Row],[reopened]]="Yes",1,0)</f>
        <v>1</v>
      </c>
      <c r="R1447" t="str" cm="1">
        <f t="array" ref="R1447">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447" t="str" cm="1">
        <f t="array" ref="S144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447" t="str">
        <f>TEXT(tbl_analysis_tickets[[#This Row],[created_date]],"mmm-yyyy")</f>
        <v>Feb-2024</v>
      </c>
      <c r="U1447" t="str">
        <f>TEXT(tbl_analysis_tickets[[#This Row],[created_date]],"dddd")</f>
        <v>Wednesday</v>
      </c>
      <c r="V1447" cm="1">
        <f t="array" ref="V1447">_xlfn.SWITCH(tbl_analysis_tickets[[#This Row],[priority]],
"Urgent",1,
"High",2,
"Medium",3,
"Low",4
)</f>
        <v>4</v>
      </c>
    </row>
    <row r="1448" spans="1:22" x14ac:dyDescent="0.25">
      <c r="A1448">
        <v>1447</v>
      </c>
      <c r="B1448" s="1">
        <v>45518</v>
      </c>
      <c r="C1448" t="s">
        <v>10</v>
      </c>
      <c r="D1448" t="s">
        <v>15</v>
      </c>
      <c r="E1448">
        <v>172</v>
      </c>
      <c r="F1448">
        <v>13</v>
      </c>
      <c r="G1448">
        <v>6.6</v>
      </c>
      <c r="H1448" t="s">
        <v>12</v>
      </c>
      <c r="I1448" t="s">
        <v>16</v>
      </c>
      <c r="J1448" t="s">
        <v>11</v>
      </c>
      <c r="K1448">
        <f>_xlfn.XLOOKUP(tbl_analysis_tickets[[#This Row],[priority]],tbl_sla[priority],tbl_sla[Resolution SLA Hours])</f>
        <v>48</v>
      </c>
      <c r="L1448">
        <f>_xlfn.XLOOKUP(tbl_analysis_tickets[[#This Row],[priority]],tbl_sla[priority],tbl_sla[First Response SLA Minutes])</f>
        <v>120</v>
      </c>
      <c r="M1448" t="str">
        <f>IF(tbl_analysis_tickets[[#This Row],[resolution_time_hours]]&gt;tbl_analysis_tickets[[#This Row],[Resolution SLA Hours]],"Breached","Within SLA")</f>
        <v>Within SLA</v>
      </c>
      <c r="N1448" t="str">
        <f>IF(tbl_analysis_tickets[[#This Row],[first_response_minutes]]&gt;tbl_analysis_tickets[[#This Row],[First Response SLA Minutes]],"Breached","Within SLA")</f>
        <v>Breached</v>
      </c>
      <c r="O1448" t="str" cm="1">
        <f t="array" ref="O1448">_xlfn.IFS(
tbl_analysis_tickets[[#This Row],[agent_experience_years]]&lt;=2,"Junior",
tbl_analysis_tickets[[#This Row],[agent_experience_years]]&lt;=5,"Mid-Level",
tbl_analysis_tickets[[#This Row],[agent_experience_years]]&lt;=8,"Senior",
tbl_analysis_tickets[[#This Row],[agent_experience_years]]&gt;8,"Expert"
)</f>
        <v>Senior</v>
      </c>
      <c r="P1448" cm="1">
        <f t="array" ref="P1448">_xlfn.SWITCH(tbl_analysis_tickets[[#This Row],[customer_satisfaction]],
"Low",1,
"Medium",2,
"High",3
)</f>
        <v>1</v>
      </c>
      <c r="Q1448">
        <f>IF(tbl_analysis_tickets[[#This Row],[reopened]]="Yes",1,0)</f>
        <v>1</v>
      </c>
      <c r="R1448" t="str" cm="1">
        <f t="array" ref="R1448">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448" t="str" cm="1">
        <f t="array" ref="S144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448" t="str">
        <f>TEXT(tbl_analysis_tickets[[#This Row],[created_date]],"mmm-yyyy")</f>
        <v>Aug-2024</v>
      </c>
      <c r="U1448" t="str">
        <f>TEXT(tbl_analysis_tickets[[#This Row],[created_date]],"dddd")</f>
        <v>Wednesday</v>
      </c>
      <c r="V1448" cm="1">
        <f t="array" ref="V1448">_xlfn.SWITCH(tbl_analysis_tickets[[#This Row],[priority]],
"Urgent",1,
"High",2,
"Medium",3,
"Low",4
)</f>
        <v>3</v>
      </c>
    </row>
    <row r="1449" spans="1:22" x14ac:dyDescent="0.25">
      <c r="A1449">
        <v>1448</v>
      </c>
      <c r="B1449" s="1">
        <v>45590</v>
      </c>
      <c r="C1449" t="s">
        <v>21</v>
      </c>
      <c r="D1449" t="s">
        <v>11</v>
      </c>
      <c r="E1449">
        <v>187</v>
      </c>
      <c r="F1449">
        <v>13</v>
      </c>
      <c r="G1449">
        <v>0.8</v>
      </c>
      <c r="H1449" t="s">
        <v>18</v>
      </c>
      <c r="I1449" t="s">
        <v>19</v>
      </c>
      <c r="J1449" t="s">
        <v>11</v>
      </c>
      <c r="K1449">
        <f>_xlfn.XLOOKUP(tbl_analysis_tickets[[#This Row],[priority]],tbl_sla[priority],tbl_sla[Resolution SLA Hours])</f>
        <v>72</v>
      </c>
      <c r="L1449">
        <f>_xlfn.XLOOKUP(tbl_analysis_tickets[[#This Row],[priority]],tbl_sla[priority],tbl_sla[First Response SLA Minutes])</f>
        <v>240</v>
      </c>
      <c r="M1449" t="str">
        <f>IF(tbl_analysis_tickets[[#This Row],[resolution_time_hours]]&gt;tbl_analysis_tickets[[#This Row],[Resolution SLA Hours]],"Breached","Within SLA")</f>
        <v>Within SLA</v>
      </c>
      <c r="N1449" t="str">
        <f>IF(tbl_analysis_tickets[[#This Row],[first_response_minutes]]&gt;tbl_analysis_tickets[[#This Row],[First Response SLA Minutes]],"Breached","Within SLA")</f>
        <v>Within SLA</v>
      </c>
      <c r="O1449" t="str" cm="1">
        <f t="array" ref="O1449">_xlfn.IFS(
tbl_analysis_tickets[[#This Row],[agent_experience_years]]&lt;=2,"Junior",
tbl_analysis_tickets[[#This Row],[agent_experience_years]]&lt;=5,"Mid-Level",
tbl_analysis_tickets[[#This Row],[agent_experience_years]]&lt;=8,"Senior",
tbl_analysis_tickets[[#This Row],[agent_experience_years]]&gt;8,"Expert"
)</f>
        <v>Junior</v>
      </c>
      <c r="P1449" cm="1">
        <f t="array" ref="P1449">_xlfn.SWITCH(tbl_analysis_tickets[[#This Row],[customer_satisfaction]],
"Low",1,
"Medium",2,
"High",3
)</f>
        <v>1</v>
      </c>
      <c r="Q1449">
        <f>IF(tbl_analysis_tickets[[#This Row],[reopened]]="Yes",1,0)</f>
        <v>0</v>
      </c>
      <c r="R1449" t="str" cm="1">
        <f t="array" ref="R1449">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449" t="str" cm="1">
        <f t="array" ref="S144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449" t="str">
        <f>TEXT(tbl_analysis_tickets[[#This Row],[created_date]],"mmm-yyyy")</f>
        <v>Oct-2024</v>
      </c>
      <c r="U1449" t="str">
        <f>TEXT(tbl_analysis_tickets[[#This Row],[created_date]],"dddd")</f>
        <v>Friday</v>
      </c>
      <c r="V1449" cm="1">
        <f t="array" ref="V1449">_xlfn.SWITCH(tbl_analysis_tickets[[#This Row],[priority]],
"Urgent",1,
"High",2,
"Medium",3,
"Low",4
)</f>
        <v>4</v>
      </c>
    </row>
    <row r="1450" spans="1:22" x14ac:dyDescent="0.25">
      <c r="A1450">
        <v>1449</v>
      </c>
      <c r="B1450" s="1">
        <v>45577</v>
      </c>
      <c r="C1450" t="s">
        <v>21</v>
      </c>
      <c r="D1450" t="s">
        <v>20</v>
      </c>
      <c r="E1450">
        <v>166</v>
      </c>
      <c r="F1450">
        <v>24</v>
      </c>
      <c r="G1450">
        <v>8.1999999999999993</v>
      </c>
      <c r="H1450" t="s">
        <v>12</v>
      </c>
      <c r="I1450" t="s">
        <v>16</v>
      </c>
      <c r="J1450" t="s">
        <v>11</v>
      </c>
      <c r="K1450">
        <f>_xlfn.XLOOKUP(tbl_analysis_tickets[[#This Row],[priority]],tbl_sla[priority],tbl_sla[Resolution SLA Hours])</f>
        <v>24</v>
      </c>
      <c r="L1450">
        <f>_xlfn.XLOOKUP(tbl_analysis_tickets[[#This Row],[priority]],tbl_sla[priority],tbl_sla[First Response SLA Minutes])</f>
        <v>60</v>
      </c>
      <c r="M1450" t="str">
        <f>IF(tbl_analysis_tickets[[#This Row],[resolution_time_hours]]&gt;tbl_analysis_tickets[[#This Row],[Resolution SLA Hours]],"Breached","Within SLA")</f>
        <v>Within SLA</v>
      </c>
      <c r="N1450" t="str">
        <f>IF(tbl_analysis_tickets[[#This Row],[first_response_minutes]]&gt;tbl_analysis_tickets[[#This Row],[First Response SLA Minutes]],"Breached","Within SLA")</f>
        <v>Breached</v>
      </c>
      <c r="O1450" t="str" cm="1">
        <f t="array" ref="O1450">_xlfn.IFS(
tbl_analysis_tickets[[#This Row],[agent_experience_years]]&lt;=2,"Junior",
tbl_analysis_tickets[[#This Row],[agent_experience_years]]&lt;=5,"Mid-Level",
tbl_analysis_tickets[[#This Row],[agent_experience_years]]&lt;=8,"Senior",
tbl_analysis_tickets[[#This Row],[agent_experience_years]]&gt;8,"Expert"
)</f>
        <v>Expert</v>
      </c>
      <c r="P1450" cm="1">
        <f t="array" ref="P1450">_xlfn.SWITCH(tbl_analysis_tickets[[#This Row],[customer_satisfaction]],
"Low",1,
"Medium",2,
"High",3
)</f>
        <v>1</v>
      </c>
      <c r="Q1450">
        <f>IF(tbl_analysis_tickets[[#This Row],[reopened]]="Yes",1,0)</f>
        <v>1</v>
      </c>
      <c r="R1450" t="str" cm="1">
        <f t="array" ref="R1450">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450" t="str" cm="1">
        <f t="array" ref="S145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450" t="str">
        <f>TEXT(tbl_analysis_tickets[[#This Row],[created_date]],"mmm-yyyy")</f>
        <v>Oct-2024</v>
      </c>
      <c r="U1450" t="str">
        <f>TEXT(tbl_analysis_tickets[[#This Row],[created_date]],"dddd")</f>
        <v>Saturday</v>
      </c>
      <c r="V1450" cm="1">
        <f t="array" ref="V1450">_xlfn.SWITCH(tbl_analysis_tickets[[#This Row],[priority]],
"Urgent",1,
"High",2,
"Medium",3,
"Low",4
)</f>
        <v>2</v>
      </c>
    </row>
    <row r="1451" spans="1:22" x14ac:dyDescent="0.25">
      <c r="A1451">
        <v>1450</v>
      </c>
      <c r="B1451" s="1">
        <v>45554</v>
      </c>
      <c r="C1451" t="s">
        <v>10</v>
      </c>
      <c r="D1451" t="s">
        <v>15</v>
      </c>
      <c r="E1451">
        <v>8</v>
      </c>
      <c r="F1451">
        <v>61</v>
      </c>
      <c r="G1451">
        <v>5</v>
      </c>
      <c r="H1451" t="s">
        <v>12</v>
      </c>
      <c r="I1451" t="s">
        <v>16</v>
      </c>
      <c r="J1451" t="s">
        <v>15</v>
      </c>
      <c r="K1451">
        <f>_xlfn.XLOOKUP(tbl_analysis_tickets[[#This Row],[priority]],tbl_sla[priority],tbl_sla[Resolution SLA Hours])</f>
        <v>48</v>
      </c>
      <c r="L1451">
        <f>_xlfn.XLOOKUP(tbl_analysis_tickets[[#This Row],[priority]],tbl_sla[priority],tbl_sla[First Response SLA Minutes])</f>
        <v>120</v>
      </c>
      <c r="M1451" t="str">
        <f>IF(tbl_analysis_tickets[[#This Row],[resolution_time_hours]]&gt;tbl_analysis_tickets[[#This Row],[Resolution SLA Hours]],"Breached","Within SLA")</f>
        <v>Breached</v>
      </c>
      <c r="N1451" t="str">
        <f>IF(tbl_analysis_tickets[[#This Row],[first_response_minutes]]&gt;tbl_analysis_tickets[[#This Row],[First Response SLA Minutes]],"Breached","Within SLA")</f>
        <v>Within SLA</v>
      </c>
      <c r="O1451" t="str" cm="1">
        <f t="array" ref="O1451">_xlfn.IFS(
tbl_analysis_tickets[[#This Row],[agent_experience_years]]&lt;=2,"Junior",
tbl_analysis_tickets[[#This Row],[agent_experience_years]]&lt;=5,"Mid-Level",
tbl_analysis_tickets[[#This Row],[agent_experience_years]]&lt;=8,"Senior",
tbl_analysis_tickets[[#This Row],[agent_experience_years]]&gt;8,"Expert"
)</f>
        <v>Mid-Level</v>
      </c>
      <c r="P1451" cm="1">
        <f t="array" ref="P1451">_xlfn.SWITCH(tbl_analysis_tickets[[#This Row],[customer_satisfaction]],
"Low",1,
"Medium",2,
"High",3
)</f>
        <v>2</v>
      </c>
      <c r="Q1451">
        <f>IF(tbl_analysis_tickets[[#This Row],[reopened]]="Yes",1,0)</f>
        <v>1</v>
      </c>
      <c r="R1451" t="str" cm="1">
        <f t="array" ref="R1451">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1451" t="str" cm="1">
        <f t="array" ref="S145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451" t="str">
        <f>TEXT(tbl_analysis_tickets[[#This Row],[created_date]],"mmm-yyyy")</f>
        <v>Sep-2024</v>
      </c>
      <c r="U1451" t="str">
        <f>TEXT(tbl_analysis_tickets[[#This Row],[created_date]],"dddd")</f>
        <v>Thursday</v>
      </c>
      <c r="V1451" cm="1">
        <f t="array" ref="V1451">_xlfn.SWITCH(tbl_analysis_tickets[[#This Row],[priority]],
"Urgent",1,
"High",2,
"Medium",3,
"Low",4
)</f>
        <v>3</v>
      </c>
    </row>
    <row r="1452" spans="1:22" x14ac:dyDescent="0.25">
      <c r="A1452">
        <v>1451</v>
      </c>
      <c r="B1452" s="1">
        <v>45517</v>
      </c>
      <c r="C1452" t="s">
        <v>10</v>
      </c>
      <c r="D1452" t="s">
        <v>20</v>
      </c>
      <c r="E1452">
        <v>116</v>
      </c>
      <c r="F1452">
        <v>48</v>
      </c>
      <c r="G1452">
        <v>9.1999999999999993</v>
      </c>
      <c r="H1452" t="s">
        <v>12</v>
      </c>
      <c r="I1452" t="s">
        <v>13</v>
      </c>
      <c r="J1452" t="s">
        <v>11</v>
      </c>
      <c r="K1452">
        <f>_xlfn.XLOOKUP(tbl_analysis_tickets[[#This Row],[priority]],tbl_sla[priority],tbl_sla[Resolution SLA Hours])</f>
        <v>24</v>
      </c>
      <c r="L1452">
        <f>_xlfn.XLOOKUP(tbl_analysis_tickets[[#This Row],[priority]],tbl_sla[priority],tbl_sla[First Response SLA Minutes])</f>
        <v>60</v>
      </c>
      <c r="M1452" t="str">
        <f>IF(tbl_analysis_tickets[[#This Row],[resolution_time_hours]]&gt;tbl_analysis_tickets[[#This Row],[Resolution SLA Hours]],"Breached","Within SLA")</f>
        <v>Breached</v>
      </c>
      <c r="N1452" t="str">
        <f>IF(tbl_analysis_tickets[[#This Row],[first_response_minutes]]&gt;tbl_analysis_tickets[[#This Row],[First Response SLA Minutes]],"Breached","Within SLA")</f>
        <v>Breached</v>
      </c>
      <c r="O1452" t="str" cm="1">
        <f t="array" ref="O1452">_xlfn.IFS(
tbl_analysis_tickets[[#This Row],[agent_experience_years]]&lt;=2,"Junior",
tbl_analysis_tickets[[#This Row],[agent_experience_years]]&lt;=5,"Mid-Level",
tbl_analysis_tickets[[#This Row],[agent_experience_years]]&lt;=8,"Senior",
tbl_analysis_tickets[[#This Row],[agent_experience_years]]&gt;8,"Expert"
)</f>
        <v>Expert</v>
      </c>
      <c r="P1452" cm="1">
        <f t="array" ref="P1452">_xlfn.SWITCH(tbl_analysis_tickets[[#This Row],[customer_satisfaction]],
"Low",1,
"Medium",2,
"High",3
)</f>
        <v>1</v>
      </c>
      <c r="Q1452">
        <f>IF(tbl_analysis_tickets[[#This Row],[reopened]]="Yes",1,0)</f>
        <v>1</v>
      </c>
      <c r="R1452" t="str" cm="1">
        <f t="array" ref="R1452">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452" t="str" cm="1">
        <f t="array" ref="S145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452" t="str">
        <f>TEXT(tbl_analysis_tickets[[#This Row],[created_date]],"mmm-yyyy")</f>
        <v>Aug-2024</v>
      </c>
      <c r="U1452" t="str">
        <f>TEXT(tbl_analysis_tickets[[#This Row],[created_date]],"dddd")</f>
        <v>Tuesday</v>
      </c>
      <c r="V1452" cm="1">
        <f t="array" ref="V1452">_xlfn.SWITCH(tbl_analysis_tickets[[#This Row],[priority]],
"Urgent",1,
"High",2,
"Medium",3,
"Low",4
)</f>
        <v>2</v>
      </c>
    </row>
    <row r="1453" spans="1:22" x14ac:dyDescent="0.25">
      <c r="A1453">
        <v>1452</v>
      </c>
      <c r="B1453" s="1">
        <v>45631</v>
      </c>
      <c r="C1453" t="s">
        <v>21</v>
      </c>
      <c r="D1453" t="s">
        <v>17</v>
      </c>
      <c r="E1453">
        <v>212</v>
      </c>
      <c r="F1453">
        <v>32</v>
      </c>
      <c r="G1453">
        <v>3.7</v>
      </c>
      <c r="H1453" t="s">
        <v>12</v>
      </c>
      <c r="I1453" t="s">
        <v>16</v>
      </c>
      <c r="J1453" t="s">
        <v>11</v>
      </c>
      <c r="K1453">
        <f>_xlfn.XLOOKUP(tbl_analysis_tickets[[#This Row],[priority]],tbl_sla[priority],tbl_sla[Resolution SLA Hours])</f>
        <v>8</v>
      </c>
      <c r="L1453">
        <f>_xlfn.XLOOKUP(tbl_analysis_tickets[[#This Row],[priority]],tbl_sla[priority],tbl_sla[First Response SLA Minutes])</f>
        <v>30</v>
      </c>
      <c r="M1453" t="str">
        <f>IF(tbl_analysis_tickets[[#This Row],[resolution_time_hours]]&gt;tbl_analysis_tickets[[#This Row],[Resolution SLA Hours]],"Breached","Within SLA")</f>
        <v>Breached</v>
      </c>
      <c r="N1453" t="str">
        <f>IF(tbl_analysis_tickets[[#This Row],[first_response_minutes]]&gt;tbl_analysis_tickets[[#This Row],[First Response SLA Minutes]],"Breached","Within SLA")</f>
        <v>Breached</v>
      </c>
      <c r="O1453" t="str" cm="1">
        <f t="array" ref="O1453">_xlfn.IFS(
tbl_analysis_tickets[[#This Row],[agent_experience_years]]&lt;=2,"Junior",
tbl_analysis_tickets[[#This Row],[agent_experience_years]]&lt;=5,"Mid-Level",
tbl_analysis_tickets[[#This Row],[agent_experience_years]]&lt;=8,"Senior",
tbl_analysis_tickets[[#This Row],[agent_experience_years]]&gt;8,"Expert"
)</f>
        <v>Mid-Level</v>
      </c>
      <c r="P1453" cm="1">
        <f t="array" ref="P1453">_xlfn.SWITCH(tbl_analysis_tickets[[#This Row],[customer_satisfaction]],
"Low",1,
"Medium",2,
"High",3
)</f>
        <v>1</v>
      </c>
      <c r="Q1453">
        <f>IF(tbl_analysis_tickets[[#This Row],[reopened]]="Yes",1,0)</f>
        <v>1</v>
      </c>
      <c r="R1453" t="str" cm="1">
        <f t="array" ref="R1453">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453" t="str" cm="1">
        <f t="array" ref="S145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453" t="str">
        <f>TEXT(tbl_analysis_tickets[[#This Row],[created_date]],"mmm-yyyy")</f>
        <v>Dec-2024</v>
      </c>
      <c r="U1453" t="str">
        <f>TEXT(tbl_analysis_tickets[[#This Row],[created_date]],"dddd")</f>
        <v>Thursday</v>
      </c>
      <c r="V1453" cm="1">
        <f t="array" ref="V1453">_xlfn.SWITCH(tbl_analysis_tickets[[#This Row],[priority]],
"Urgent",1,
"High",2,
"Medium",3,
"Low",4
)</f>
        <v>1</v>
      </c>
    </row>
    <row r="1454" spans="1:22" x14ac:dyDescent="0.25">
      <c r="A1454">
        <v>1453</v>
      </c>
      <c r="B1454" s="1">
        <v>45382</v>
      </c>
      <c r="C1454" t="s">
        <v>23</v>
      </c>
      <c r="D1454" t="s">
        <v>11</v>
      </c>
      <c r="E1454">
        <v>167</v>
      </c>
      <c r="F1454">
        <v>63</v>
      </c>
      <c r="G1454">
        <v>6.1</v>
      </c>
      <c r="H1454" t="s">
        <v>18</v>
      </c>
      <c r="I1454" t="s">
        <v>16</v>
      </c>
      <c r="J1454" t="s">
        <v>15</v>
      </c>
      <c r="K1454">
        <f>_xlfn.XLOOKUP(tbl_analysis_tickets[[#This Row],[priority]],tbl_sla[priority],tbl_sla[Resolution SLA Hours])</f>
        <v>72</v>
      </c>
      <c r="L1454">
        <f>_xlfn.XLOOKUP(tbl_analysis_tickets[[#This Row],[priority]],tbl_sla[priority],tbl_sla[First Response SLA Minutes])</f>
        <v>240</v>
      </c>
      <c r="M1454" t="str">
        <f>IF(tbl_analysis_tickets[[#This Row],[resolution_time_hours]]&gt;tbl_analysis_tickets[[#This Row],[Resolution SLA Hours]],"Breached","Within SLA")</f>
        <v>Within SLA</v>
      </c>
      <c r="N1454" t="str">
        <f>IF(tbl_analysis_tickets[[#This Row],[first_response_minutes]]&gt;tbl_analysis_tickets[[#This Row],[First Response SLA Minutes]],"Breached","Within SLA")</f>
        <v>Within SLA</v>
      </c>
      <c r="O1454" t="str" cm="1">
        <f t="array" ref="O1454">_xlfn.IFS(
tbl_analysis_tickets[[#This Row],[agent_experience_years]]&lt;=2,"Junior",
tbl_analysis_tickets[[#This Row],[agent_experience_years]]&lt;=5,"Mid-Level",
tbl_analysis_tickets[[#This Row],[agent_experience_years]]&lt;=8,"Senior",
tbl_analysis_tickets[[#This Row],[agent_experience_years]]&gt;8,"Expert"
)</f>
        <v>Senior</v>
      </c>
      <c r="P1454" cm="1">
        <f t="array" ref="P1454">_xlfn.SWITCH(tbl_analysis_tickets[[#This Row],[customer_satisfaction]],
"Low",1,
"Medium",2,
"High",3
)</f>
        <v>2</v>
      </c>
      <c r="Q1454">
        <f>IF(tbl_analysis_tickets[[#This Row],[reopened]]="Yes",1,0)</f>
        <v>0</v>
      </c>
      <c r="R1454" t="str" cm="1">
        <f t="array" ref="R1454">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454" t="str" cm="1">
        <f t="array" ref="S145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454" t="str">
        <f>TEXT(tbl_analysis_tickets[[#This Row],[created_date]],"mmm-yyyy")</f>
        <v>Mar-2024</v>
      </c>
      <c r="U1454" t="str">
        <f>TEXT(tbl_analysis_tickets[[#This Row],[created_date]],"dddd")</f>
        <v>Sunday</v>
      </c>
      <c r="V1454" cm="1">
        <f t="array" ref="V1454">_xlfn.SWITCH(tbl_analysis_tickets[[#This Row],[priority]],
"Urgent",1,
"High",2,
"Medium",3,
"Low",4
)</f>
        <v>4</v>
      </c>
    </row>
    <row r="1455" spans="1:22" x14ac:dyDescent="0.25">
      <c r="A1455">
        <v>1454</v>
      </c>
      <c r="B1455" s="1">
        <v>45391</v>
      </c>
      <c r="C1455" t="s">
        <v>22</v>
      </c>
      <c r="D1455" t="s">
        <v>11</v>
      </c>
      <c r="E1455">
        <v>106</v>
      </c>
      <c r="F1455">
        <v>65</v>
      </c>
      <c r="G1455">
        <v>8</v>
      </c>
      <c r="H1455" t="s">
        <v>18</v>
      </c>
      <c r="I1455" t="s">
        <v>16</v>
      </c>
      <c r="J1455" t="s">
        <v>15</v>
      </c>
      <c r="K1455">
        <f>_xlfn.XLOOKUP(tbl_analysis_tickets[[#This Row],[priority]],tbl_sla[priority],tbl_sla[Resolution SLA Hours])</f>
        <v>72</v>
      </c>
      <c r="L1455">
        <f>_xlfn.XLOOKUP(tbl_analysis_tickets[[#This Row],[priority]],tbl_sla[priority],tbl_sla[First Response SLA Minutes])</f>
        <v>240</v>
      </c>
      <c r="M1455" t="str">
        <f>IF(tbl_analysis_tickets[[#This Row],[resolution_time_hours]]&gt;tbl_analysis_tickets[[#This Row],[Resolution SLA Hours]],"Breached","Within SLA")</f>
        <v>Within SLA</v>
      </c>
      <c r="N1455" t="str">
        <f>IF(tbl_analysis_tickets[[#This Row],[first_response_minutes]]&gt;tbl_analysis_tickets[[#This Row],[First Response SLA Minutes]],"Breached","Within SLA")</f>
        <v>Within SLA</v>
      </c>
      <c r="O1455" t="str" cm="1">
        <f t="array" ref="O1455">_xlfn.IFS(
tbl_analysis_tickets[[#This Row],[agent_experience_years]]&lt;=2,"Junior",
tbl_analysis_tickets[[#This Row],[agent_experience_years]]&lt;=5,"Mid-Level",
tbl_analysis_tickets[[#This Row],[agent_experience_years]]&lt;=8,"Senior",
tbl_analysis_tickets[[#This Row],[agent_experience_years]]&gt;8,"Expert"
)</f>
        <v>Senior</v>
      </c>
      <c r="P1455" cm="1">
        <f t="array" ref="P1455">_xlfn.SWITCH(tbl_analysis_tickets[[#This Row],[customer_satisfaction]],
"Low",1,
"Medium",2,
"High",3
)</f>
        <v>2</v>
      </c>
      <c r="Q1455">
        <f>IF(tbl_analysis_tickets[[#This Row],[reopened]]="Yes",1,0)</f>
        <v>0</v>
      </c>
      <c r="R1455" t="str" cm="1">
        <f t="array" ref="R1455">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455" t="str" cm="1">
        <f t="array" ref="S145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455" t="str">
        <f>TEXT(tbl_analysis_tickets[[#This Row],[created_date]],"mmm-yyyy")</f>
        <v>Apr-2024</v>
      </c>
      <c r="U1455" t="str">
        <f>TEXT(tbl_analysis_tickets[[#This Row],[created_date]],"dddd")</f>
        <v>Tuesday</v>
      </c>
      <c r="V1455" cm="1">
        <f t="array" ref="V1455">_xlfn.SWITCH(tbl_analysis_tickets[[#This Row],[priority]],
"Urgent",1,
"High",2,
"Medium",3,
"Low",4
)</f>
        <v>4</v>
      </c>
    </row>
    <row r="1456" spans="1:22" x14ac:dyDescent="0.25">
      <c r="A1456">
        <v>1455</v>
      </c>
      <c r="B1456" s="1">
        <v>45398</v>
      </c>
      <c r="C1456" t="s">
        <v>22</v>
      </c>
      <c r="D1456" t="s">
        <v>11</v>
      </c>
      <c r="E1456">
        <v>149</v>
      </c>
      <c r="F1456">
        <v>8</v>
      </c>
      <c r="G1456">
        <v>2.8</v>
      </c>
      <c r="H1456" t="s">
        <v>12</v>
      </c>
      <c r="I1456" t="s">
        <v>19</v>
      </c>
      <c r="J1456" t="s">
        <v>11</v>
      </c>
      <c r="K1456">
        <f>_xlfn.XLOOKUP(tbl_analysis_tickets[[#This Row],[priority]],tbl_sla[priority],tbl_sla[Resolution SLA Hours])</f>
        <v>72</v>
      </c>
      <c r="L1456">
        <f>_xlfn.XLOOKUP(tbl_analysis_tickets[[#This Row],[priority]],tbl_sla[priority],tbl_sla[First Response SLA Minutes])</f>
        <v>240</v>
      </c>
      <c r="M1456" t="str">
        <f>IF(tbl_analysis_tickets[[#This Row],[resolution_time_hours]]&gt;tbl_analysis_tickets[[#This Row],[Resolution SLA Hours]],"Breached","Within SLA")</f>
        <v>Within SLA</v>
      </c>
      <c r="N1456" t="str">
        <f>IF(tbl_analysis_tickets[[#This Row],[first_response_minutes]]&gt;tbl_analysis_tickets[[#This Row],[First Response SLA Minutes]],"Breached","Within SLA")</f>
        <v>Within SLA</v>
      </c>
      <c r="O1456" t="str" cm="1">
        <f t="array" ref="O1456">_xlfn.IFS(
tbl_analysis_tickets[[#This Row],[agent_experience_years]]&lt;=2,"Junior",
tbl_analysis_tickets[[#This Row],[agent_experience_years]]&lt;=5,"Mid-Level",
tbl_analysis_tickets[[#This Row],[agent_experience_years]]&lt;=8,"Senior",
tbl_analysis_tickets[[#This Row],[agent_experience_years]]&gt;8,"Expert"
)</f>
        <v>Mid-Level</v>
      </c>
      <c r="P1456" cm="1">
        <f t="array" ref="P1456">_xlfn.SWITCH(tbl_analysis_tickets[[#This Row],[customer_satisfaction]],
"Low",1,
"Medium",2,
"High",3
)</f>
        <v>1</v>
      </c>
      <c r="Q1456">
        <f>IF(tbl_analysis_tickets[[#This Row],[reopened]]="Yes",1,0)</f>
        <v>1</v>
      </c>
      <c r="R1456" t="str" cm="1">
        <f t="array" ref="R1456">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456" t="str" cm="1">
        <f t="array" ref="S145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1456" t="str">
        <f>TEXT(tbl_analysis_tickets[[#This Row],[created_date]],"mmm-yyyy")</f>
        <v>Apr-2024</v>
      </c>
      <c r="U1456" t="str">
        <f>TEXT(tbl_analysis_tickets[[#This Row],[created_date]],"dddd")</f>
        <v>Tuesday</v>
      </c>
      <c r="V1456" cm="1">
        <f t="array" ref="V1456">_xlfn.SWITCH(tbl_analysis_tickets[[#This Row],[priority]],
"Urgent",1,
"High",2,
"Medium",3,
"Low",4
)</f>
        <v>4</v>
      </c>
    </row>
    <row r="1457" spans="1:22" x14ac:dyDescent="0.25">
      <c r="A1457">
        <v>1456</v>
      </c>
      <c r="B1457" s="1">
        <v>45605</v>
      </c>
      <c r="C1457" t="s">
        <v>21</v>
      </c>
      <c r="D1457" t="s">
        <v>20</v>
      </c>
      <c r="E1457">
        <v>200</v>
      </c>
      <c r="F1457">
        <v>14</v>
      </c>
      <c r="G1457">
        <v>6</v>
      </c>
      <c r="H1457" t="s">
        <v>18</v>
      </c>
      <c r="I1457" t="s">
        <v>13</v>
      </c>
      <c r="J1457" t="s">
        <v>11</v>
      </c>
      <c r="K1457">
        <f>_xlfn.XLOOKUP(tbl_analysis_tickets[[#This Row],[priority]],tbl_sla[priority],tbl_sla[Resolution SLA Hours])</f>
        <v>24</v>
      </c>
      <c r="L1457">
        <f>_xlfn.XLOOKUP(tbl_analysis_tickets[[#This Row],[priority]],tbl_sla[priority],tbl_sla[First Response SLA Minutes])</f>
        <v>60</v>
      </c>
      <c r="M1457" t="str">
        <f>IF(tbl_analysis_tickets[[#This Row],[resolution_time_hours]]&gt;tbl_analysis_tickets[[#This Row],[Resolution SLA Hours]],"Breached","Within SLA")</f>
        <v>Within SLA</v>
      </c>
      <c r="N1457" t="str">
        <f>IF(tbl_analysis_tickets[[#This Row],[first_response_minutes]]&gt;tbl_analysis_tickets[[#This Row],[First Response SLA Minutes]],"Breached","Within SLA")</f>
        <v>Breached</v>
      </c>
      <c r="O1457" t="str" cm="1">
        <f t="array" ref="O1457">_xlfn.IFS(
tbl_analysis_tickets[[#This Row],[agent_experience_years]]&lt;=2,"Junior",
tbl_analysis_tickets[[#This Row],[agent_experience_years]]&lt;=5,"Mid-Level",
tbl_analysis_tickets[[#This Row],[agent_experience_years]]&lt;=8,"Senior",
tbl_analysis_tickets[[#This Row],[agent_experience_years]]&gt;8,"Expert"
)</f>
        <v>Senior</v>
      </c>
      <c r="P1457" cm="1">
        <f t="array" ref="P1457">_xlfn.SWITCH(tbl_analysis_tickets[[#This Row],[customer_satisfaction]],
"Low",1,
"Medium",2,
"High",3
)</f>
        <v>1</v>
      </c>
      <c r="Q1457">
        <f>IF(tbl_analysis_tickets[[#This Row],[reopened]]="Yes",1,0)</f>
        <v>0</v>
      </c>
      <c r="R1457" t="str" cm="1">
        <f t="array" ref="R1457">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457" t="str" cm="1">
        <f t="array" ref="S145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457" t="str">
        <f>TEXT(tbl_analysis_tickets[[#This Row],[created_date]],"mmm-yyyy")</f>
        <v>Nov-2024</v>
      </c>
      <c r="U1457" t="str">
        <f>TEXT(tbl_analysis_tickets[[#This Row],[created_date]],"dddd")</f>
        <v>Saturday</v>
      </c>
      <c r="V1457" cm="1">
        <f t="array" ref="V1457">_xlfn.SWITCH(tbl_analysis_tickets[[#This Row],[priority]],
"Urgent",1,
"High",2,
"Medium",3,
"Low",4
)</f>
        <v>2</v>
      </c>
    </row>
    <row r="1458" spans="1:22" x14ac:dyDescent="0.25">
      <c r="A1458">
        <v>1457</v>
      </c>
      <c r="B1458" s="1">
        <v>45347</v>
      </c>
      <c r="C1458" t="s">
        <v>23</v>
      </c>
      <c r="D1458" t="s">
        <v>20</v>
      </c>
      <c r="E1458">
        <v>161</v>
      </c>
      <c r="F1458">
        <v>67</v>
      </c>
      <c r="G1458">
        <v>8.6</v>
      </c>
      <c r="H1458" t="s">
        <v>12</v>
      </c>
      <c r="I1458" t="s">
        <v>16</v>
      </c>
      <c r="J1458" t="s">
        <v>11</v>
      </c>
      <c r="K1458">
        <f>_xlfn.XLOOKUP(tbl_analysis_tickets[[#This Row],[priority]],tbl_sla[priority],tbl_sla[Resolution SLA Hours])</f>
        <v>24</v>
      </c>
      <c r="L1458">
        <f>_xlfn.XLOOKUP(tbl_analysis_tickets[[#This Row],[priority]],tbl_sla[priority],tbl_sla[First Response SLA Minutes])</f>
        <v>60</v>
      </c>
      <c r="M1458" t="str">
        <f>IF(tbl_analysis_tickets[[#This Row],[resolution_time_hours]]&gt;tbl_analysis_tickets[[#This Row],[Resolution SLA Hours]],"Breached","Within SLA")</f>
        <v>Breached</v>
      </c>
      <c r="N1458" t="str">
        <f>IF(tbl_analysis_tickets[[#This Row],[first_response_minutes]]&gt;tbl_analysis_tickets[[#This Row],[First Response SLA Minutes]],"Breached","Within SLA")</f>
        <v>Breached</v>
      </c>
      <c r="O1458" t="str" cm="1">
        <f t="array" ref="O1458">_xlfn.IFS(
tbl_analysis_tickets[[#This Row],[agent_experience_years]]&lt;=2,"Junior",
tbl_analysis_tickets[[#This Row],[agent_experience_years]]&lt;=5,"Mid-Level",
tbl_analysis_tickets[[#This Row],[agent_experience_years]]&lt;=8,"Senior",
tbl_analysis_tickets[[#This Row],[agent_experience_years]]&gt;8,"Expert"
)</f>
        <v>Expert</v>
      </c>
      <c r="P1458" cm="1">
        <f t="array" ref="P1458">_xlfn.SWITCH(tbl_analysis_tickets[[#This Row],[customer_satisfaction]],
"Low",1,
"Medium",2,
"High",3
)</f>
        <v>1</v>
      </c>
      <c r="Q1458">
        <f>IF(tbl_analysis_tickets[[#This Row],[reopened]]="Yes",1,0)</f>
        <v>1</v>
      </c>
      <c r="R1458" t="str" cm="1">
        <f t="array" ref="R1458">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458" t="str" cm="1">
        <f t="array" ref="S145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458" t="str">
        <f>TEXT(tbl_analysis_tickets[[#This Row],[created_date]],"mmm-yyyy")</f>
        <v>Feb-2024</v>
      </c>
      <c r="U1458" t="str">
        <f>TEXT(tbl_analysis_tickets[[#This Row],[created_date]],"dddd")</f>
        <v>Sunday</v>
      </c>
      <c r="V1458" cm="1">
        <f t="array" ref="V1458">_xlfn.SWITCH(tbl_analysis_tickets[[#This Row],[priority]],
"Urgent",1,
"High",2,
"Medium",3,
"Low",4
)</f>
        <v>2</v>
      </c>
    </row>
    <row r="1459" spans="1:22" x14ac:dyDescent="0.25">
      <c r="A1459">
        <v>1458</v>
      </c>
      <c r="B1459" s="1">
        <v>45536</v>
      </c>
      <c r="C1459" t="s">
        <v>21</v>
      </c>
      <c r="D1459" t="s">
        <v>15</v>
      </c>
      <c r="E1459">
        <v>181</v>
      </c>
      <c r="F1459">
        <v>37</v>
      </c>
      <c r="G1459">
        <v>5.3</v>
      </c>
      <c r="H1459" t="s">
        <v>18</v>
      </c>
      <c r="I1459" t="s">
        <v>19</v>
      </c>
      <c r="J1459" t="s">
        <v>15</v>
      </c>
      <c r="K1459">
        <f>_xlfn.XLOOKUP(tbl_analysis_tickets[[#This Row],[priority]],tbl_sla[priority],tbl_sla[Resolution SLA Hours])</f>
        <v>48</v>
      </c>
      <c r="L1459">
        <f>_xlfn.XLOOKUP(tbl_analysis_tickets[[#This Row],[priority]],tbl_sla[priority],tbl_sla[First Response SLA Minutes])</f>
        <v>120</v>
      </c>
      <c r="M1459" t="str">
        <f>IF(tbl_analysis_tickets[[#This Row],[resolution_time_hours]]&gt;tbl_analysis_tickets[[#This Row],[Resolution SLA Hours]],"Breached","Within SLA")</f>
        <v>Within SLA</v>
      </c>
      <c r="N1459" t="str">
        <f>IF(tbl_analysis_tickets[[#This Row],[first_response_minutes]]&gt;tbl_analysis_tickets[[#This Row],[First Response SLA Minutes]],"Breached","Within SLA")</f>
        <v>Breached</v>
      </c>
      <c r="O1459" t="str" cm="1">
        <f t="array" ref="O1459">_xlfn.IFS(
tbl_analysis_tickets[[#This Row],[agent_experience_years]]&lt;=2,"Junior",
tbl_analysis_tickets[[#This Row],[agent_experience_years]]&lt;=5,"Mid-Level",
tbl_analysis_tickets[[#This Row],[agent_experience_years]]&lt;=8,"Senior",
tbl_analysis_tickets[[#This Row],[agent_experience_years]]&gt;8,"Expert"
)</f>
        <v>Senior</v>
      </c>
      <c r="P1459" cm="1">
        <f t="array" ref="P1459">_xlfn.SWITCH(tbl_analysis_tickets[[#This Row],[customer_satisfaction]],
"Low",1,
"Medium",2,
"High",3
)</f>
        <v>2</v>
      </c>
      <c r="Q1459">
        <f>IF(tbl_analysis_tickets[[#This Row],[reopened]]="Yes",1,0)</f>
        <v>0</v>
      </c>
      <c r="R1459" t="str" cm="1">
        <f t="array" ref="R1459">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459" t="str" cm="1">
        <f t="array" ref="S145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459" t="str">
        <f>TEXT(tbl_analysis_tickets[[#This Row],[created_date]],"mmm-yyyy")</f>
        <v>Sep-2024</v>
      </c>
      <c r="U1459" t="str">
        <f>TEXT(tbl_analysis_tickets[[#This Row],[created_date]],"dddd")</f>
        <v>Sunday</v>
      </c>
      <c r="V1459" cm="1">
        <f t="array" ref="V1459">_xlfn.SWITCH(tbl_analysis_tickets[[#This Row],[priority]],
"Urgent",1,
"High",2,
"Medium",3,
"Low",4
)</f>
        <v>3</v>
      </c>
    </row>
    <row r="1460" spans="1:22" x14ac:dyDescent="0.25">
      <c r="A1460">
        <v>1459</v>
      </c>
      <c r="B1460" s="1">
        <v>45410</v>
      </c>
      <c r="C1460" t="s">
        <v>21</v>
      </c>
      <c r="D1460" t="s">
        <v>20</v>
      </c>
      <c r="E1460">
        <v>188</v>
      </c>
      <c r="F1460">
        <v>23</v>
      </c>
      <c r="G1460">
        <v>1.4</v>
      </c>
      <c r="H1460" t="s">
        <v>18</v>
      </c>
      <c r="I1460" t="s">
        <v>13</v>
      </c>
      <c r="J1460" t="s">
        <v>11</v>
      </c>
      <c r="K1460">
        <f>_xlfn.XLOOKUP(tbl_analysis_tickets[[#This Row],[priority]],tbl_sla[priority],tbl_sla[Resolution SLA Hours])</f>
        <v>24</v>
      </c>
      <c r="L1460">
        <f>_xlfn.XLOOKUP(tbl_analysis_tickets[[#This Row],[priority]],tbl_sla[priority],tbl_sla[First Response SLA Minutes])</f>
        <v>60</v>
      </c>
      <c r="M1460" t="str">
        <f>IF(tbl_analysis_tickets[[#This Row],[resolution_time_hours]]&gt;tbl_analysis_tickets[[#This Row],[Resolution SLA Hours]],"Breached","Within SLA")</f>
        <v>Within SLA</v>
      </c>
      <c r="N1460" t="str">
        <f>IF(tbl_analysis_tickets[[#This Row],[first_response_minutes]]&gt;tbl_analysis_tickets[[#This Row],[First Response SLA Minutes]],"Breached","Within SLA")</f>
        <v>Breached</v>
      </c>
      <c r="O1460" t="str" cm="1">
        <f t="array" ref="O1460">_xlfn.IFS(
tbl_analysis_tickets[[#This Row],[agent_experience_years]]&lt;=2,"Junior",
tbl_analysis_tickets[[#This Row],[agent_experience_years]]&lt;=5,"Mid-Level",
tbl_analysis_tickets[[#This Row],[agent_experience_years]]&lt;=8,"Senior",
tbl_analysis_tickets[[#This Row],[agent_experience_years]]&gt;8,"Expert"
)</f>
        <v>Junior</v>
      </c>
      <c r="P1460" cm="1">
        <f t="array" ref="P1460">_xlfn.SWITCH(tbl_analysis_tickets[[#This Row],[customer_satisfaction]],
"Low",1,
"Medium",2,
"High",3
)</f>
        <v>1</v>
      </c>
      <c r="Q1460">
        <f>IF(tbl_analysis_tickets[[#This Row],[reopened]]="Yes",1,0)</f>
        <v>0</v>
      </c>
      <c r="R1460" t="str" cm="1">
        <f t="array" ref="R1460">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460" t="str" cm="1">
        <f t="array" ref="S146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460" t="str">
        <f>TEXT(tbl_analysis_tickets[[#This Row],[created_date]],"mmm-yyyy")</f>
        <v>Apr-2024</v>
      </c>
      <c r="U1460" t="str">
        <f>TEXT(tbl_analysis_tickets[[#This Row],[created_date]],"dddd")</f>
        <v>Sunday</v>
      </c>
      <c r="V1460" cm="1">
        <f t="array" ref="V1460">_xlfn.SWITCH(tbl_analysis_tickets[[#This Row],[priority]],
"Urgent",1,
"High",2,
"Medium",3,
"Low",4
)</f>
        <v>2</v>
      </c>
    </row>
    <row r="1461" spans="1:22" x14ac:dyDescent="0.25">
      <c r="A1461">
        <v>1460</v>
      </c>
      <c r="B1461" s="1">
        <v>45469</v>
      </c>
      <c r="C1461" t="s">
        <v>14</v>
      </c>
      <c r="D1461" t="s">
        <v>20</v>
      </c>
      <c r="E1461">
        <v>145</v>
      </c>
      <c r="F1461">
        <v>9</v>
      </c>
      <c r="G1461">
        <v>5.4</v>
      </c>
      <c r="H1461" t="s">
        <v>12</v>
      </c>
      <c r="I1461" t="s">
        <v>13</v>
      </c>
      <c r="J1461" t="s">
        <v>11</v>
      </c>
      <c r="K1461">
        <f>_xlfn.XLOOKUP(tbl_analysis_tickets[[#This Row],[priority]],tbl_sla[priority],tbl_sla[Resolution SLA Hours])</f>
        <v>24</v>
      </c>
      <c r="L1461">
        <f>_xlfn.XLOOKUP(tbl_analysis_tickets[[#This Row],[priority]],tbl_sla[priority],tbl_sla[First Response SLA Minutes])</f>
        <v>60</v>
      </c>
      <c r="M1461" t="str">
        <f>IF(tbl_analysis_tickets[[#This Row],[resolution_time_hours]]&gt;tbl_analysis_tickets[[#This Row],[Resolution SLA Hours]],"Breached","Within SLA")</f>
        <v>Within SLA</v>
      </c>
      <c r="N1461" t="str">
        <f>IF(tbl_analysis_tickets[[#This Row],[first_response_minutes]]&gt;tbl_analysis_tickets[[#This Row],[First Response SLA Minutes]],"Breached","Within SLA")</f>
        <v>Breached</v>
      </c>
      <c r="O1461" t="str" cm="1">
        <f t="array" ref="O1461">_xlfn.IFS(
tbl_analysis_tickets[[#This Row],[agent_experience_years]]&lt;=2,"Junior",
tbl_analysis_tickets[[#This Row],[agent_experience_years]]&lt;=5,"Mid-Level",
tbl_analysis_tickets[[#This Row],[agent_experience_years]]&lt;=8,"Senior",
tbl_analysis_tickets[[#This Row],[agent_experience_years]]&gt;8,"Expert"
)</f>
        <v>Senior</v>
      </c>
      <c r="P1461" cm="1">
        <f t="array" ref="P1461">_xlfn.SWITCH(tbl_analysis_tickets[[#This Row],[customer_satisfaction]],
"Low",1,
"Medium",2,
"High",3
)</f>
        <v>1</v>
      </c>
      <c r="Q1461">
        <f>IF(tbl_analysis_tickets[[#This Row],[reopened]]="Yes",1,0)</f>
        <v>1</v>
      </c>
      <c r="R1461" t="str" cm="1">
        <f t="array" ref="R1461">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461" t="str" cm="1">
        <f t="array" ref="S146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461" t="str">
        <f>TEXT(tbl_analysis_tickets[[#This Row],[created_date]],"mmm-yyyy")</f>
        <v>Jun-2024</v>
      </c>
      <c r="U1461" t="str">
        <f>TEXT(tbl_analysis_tickets[[#This Row],[created_date]],"dddd")</f>
        <v>Wednesday</v>
      </c>
      <c r="V1461" cm="1">
        <f t="array" ref="V1461">_xlfn.SWITCH(tbl_analysis_tickets[[#This Row],[priority]],
"Urgent",1,
"High",2,
"Medium",3,
"Low",4
)</f>
        <v>2</v>
      </c>
    </row>
    <row r="1462" spans="1:22" x14ac:dyDescent="0.25">
      <c r="A1462">
        <v>1461</v>
      </c>
      <c r="B1462" s="1">
        <v>45656</v>
      </c>
      <c r="C1462" t="s">
        <v>22</v>
      </c>
      <c r="D1462" t="s">
        <v>17</v>
      </c>
      <c r="E1462">
        <v>188</v>
      </c>
      <c r="F1462">
        <v>26</v>
      </c>
      <c r="G1462">
        <v>3.9</v>
      </c>
      <c r="H1462" t="s">
        <v>12</v>
      </c>
      <c r="I1462" t="s">
        <v>19</v>
      </c>
      <c r="J1462" t="s">
        <v>11</v>
      </c>
      <c r="K1462">
        <f>_xlfn.XLOOKUP(tbl_analysis_tickets[[#This Row],[priority]],tbl_sla[priority],tbl_sla[Resolution SLA Hours])</f>
        <v>8</v>
      </c>
      <c r="L1462">
        <f>_xlfn.XLOOKUP(tbl_analysis_tickets[[#This Row],[priority]],tbl_sla[priority],tbl_sla[First Response SLA Minutes])</f>
        <v>30</v>
      </c>
      <c r="M1462" t="str">
        <f>IF(tbl_analysis_tickets[[#This Row],[resolution_time_hours]]&gt;tbl_analysis_tickets[[#This Row],[Resolution SLA Hours]],"Breached","Within SLA")</f>
        <v>Breached</v>
      </c>
      <c r="N1462" t="str">
        <f>IF(tbl_analysis_tickets[[#This Row],[first_response_minutes]]&gt;tbl_analysis_tickets[[#This Row],[First Response SLA Minutes]],"Breached","Within SLA")</f>
        <v>Breached</v>
      </c>
      <c r="O1462" t="str" cm="1">
        <f t="array" ref="O1462">_xlfn.IFS(
tbl_analysis_tickets[[#This Row],[agent_experience_years]]&lt;=2,"Junior",
tbl_analysis_tickets[[#This Row],[agent_experience_years]]&lt;=5,"Mid-Level",
tbl_analysis_tickets[[#This Row],[agent_experience_years]]&lt;=8,"Senior",
tbl_analysis_tickets[[#This Row],[agent_experience_years]]&gt;8,"Expert"
)</f>
        <v>Mid-Level</v>
      </c>
      <c r="P1462" cm="1">
        <f t="array" ref="P1462">_xlfn.SWITCH(tbl_analysis_tickets[[#This Row],[customer_satisfaction]],
"Low",1,
"Medium",2,
"High",3
)</f>
        <v>1</v>
      </c>
      <c r="Q1462">
        <f>IF(tbl_analysis_tickets[[#This Row],[reopened]]="Yes",1,0)</f>
        <v>1</v>
      </c>
      <c r="R1462" t="str" cm="1">
        <f t="array" ref="R1462">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462" t="str" cm="1">
        <f t="array" ref="S146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462" t="str">
        <f>TEXT(tbl_analysis_tickets[[#This Row],[created_date]],"mmm-yyyy")</f>
        <v>Dec-2024</v>
      </c>
      <c r="U1462" t="str">
        <f>TEXT(tbl_analysis_tickets[[#This Row],[created_date]],"dddd")</f>
        <v>Monday</v>
      </c>
      <c r="V1462" cm="1">
        <f t="array" ref="V1462">_xlfn.SWITCH(tbl_analysis_tickets[[#This Row],[priority]],
"Urgent",1,
"High",2,
"Medium",3,
"Low",4
)</f>
        <v>1</v>
      </c>
    </row>
    <row r="1463" spans="1:22" x14ac:dyDescent="0.25">
      <c r="A1463">
        <v>1462</v>
      </c>
      <c r="B1463" s="1">
        <v>45640</v>
      </c>
      <c r="C1463" t="s">
        <v>10</v>
      </c>
      <c r="D1463" t="s">
        <v>20</v>
      </c>
      <c r="E1463">
        <v>185</v>
      </c>
      <c r="F1463">
        <v>44</v>
      </c>
      <c r="G1463">
        <v>7.2</v>
      </c>
      <c r="H1463" t="s">
        <v>12</v>
      </c>
      <c r="I1463" t="s">
        <v>13</v>
      </c>
      <c r="J1463" t="s">
        <v>11</v>
      </c>
      <c r="K1463">
        <f>_xlfn.XLOOKUP(tbl_analysis_tickets[[#This Row],[priority]],tbl_sla[priority],tbl_sla[Resolution SLA Hours])</f>
        <v>24</v>
      </c>
      <c r="L1463">
        <f>_xlfn.XLOOKUP(tbl_analysis_tickets[[#This Row],[priority]],tbl_sla[priority],tbl_sla[First Response SLA Minutes])</f>
        <v>60</v>
      </c>
      <c r="M1463" t="str">
        <f>IF(tbl_analysis_tickets[[#This Row],[resolution_time_hours]]&gt;tbl_analysis_tickets[[#This Row],[Resolution SLA Hours]],"Breached","Within SLA")</f>
        <v>Breached</v>
      </c>
      <c r="N1463" t="str">
        <f>IF(tbl_analysis_tickets[[#This Row],[first_response_minutes]]&gt;tbl_analysis_tickets[[#This Row],[First Response SLA Minutes]],"Breached","Within SLA")</f>
        <v>Breached</v>
      </c>
      <c r="O1463" t="str" cm="1">
        <f t="array" ref="O1463">_xlfn.IFS(
tbl_analysis_tickets[[#This Row],[agent_experience_years]]&lt;=2,"Junior",
tbl_analysis_tickets[[#This Row],[agent_experience_years]]&lt;=5,"Mid-Level",
tbl_analysis_tickets[[#This Row],[agent_experience_years]]&lt;=8,"Senior",
tbl_analysis_tickets[[#This Row],[agent_experience_years]]&gt;8,"Expert"
)</f>
        <v>Senior</v>
      </c>
      <c r="P1463" cm="1">
        <f t="array" ref="P1463">_xlfn.SWITCH(tbl_analysis_tickets[[#This Row],[customer_satisfaction]],
"Low",1,
"Medium",2,
"High",3
)</f>
        <v>1</v>
      </c>
      <c r="Q1463">
        <f>IF(tbl_analysis_tickets[[#This Row],[reopened]]="Yes",1,0)</f>
        <v>1</v>
      </c>
      <c r="R1463" t="str" cm="1">
        <f t="array" ref="R1463">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463" t="str" cm="1">
        <f t="array" ref="S146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463" t="str">
        <f>TEXT(tbl_analysis_tickets[[#This Row],[created_date]],"mmm-yyyy")</f>
        <v>Dec-2024</v>
      </c>
      <c r="U1463" t="str">
        <f>TEXT(tbl_analysis_tickets[[#This Row],[created_date]],"dddd")</f>
        <v>Saturday</v>
      </c>
      <c r="V1463" cm="1">
        <f t="array" ref="V1463">_xlfn.SWITCH(tbl_analysis_tickets[[#This Row],[priority]],
"Urgent",1,
"High",2,
"Medium",3,
"Low",4
)</f>
        <v>2</v>
      </c>
    </row>
    <row r="1464" spans="1:22" x14ac:dyDescent="0.25">
      <c r="A1464">
        <v>1463</v>
      </c>
      <c r="B1464" s="1">
        <v>45532</v>
      </c>
      <c r="C1464" t="s">
        <v>22</v>
      </c>
      <c r="D1464" t="s">
        <v>15</v>
      </c>
      <c r="E1464">
        <v>22</v>
      </c>
      <c r="F1464">
        <v>45</v>
      </c>
      <c r="G1464">
        <v>2.7</v>
      </c>
      <c r="H1464" t="s">
        <v>12</v>
      </c>
      <c r="I1464" t="s">
        <v>13</v>
      </c>
      <c r="J1464" t="s">
        <v>15</v>
      </c>
      <c r="K1464">
        <f>_xlfn.XLOOKUP(tbl_analysis_tickets[[#This Row],[priority]],tbl_sla[priority],tbl_sla[Resolution SLA Hours])</f>
        <v>48</v>
      </c>
      <c r="L1464">
        <f>_xlfn.XLOOKUP(tbl_analysis_tickets[[#This Row],[priority]],tbl_sla[priority],tbl_sla[First Response SLA Minutes])</f>
        <v>120</v>
      </c>
      <c r="M1464" t="str">
        <f>IF(tbl_analysis_tickets[[#This Row],[resolution_time_hours]]&gt;tbl_analysis_tickets[[#This Row],[Resolution SLA Hours]],"Breached","Within SLA")</f>
        <v>Within SLA</v>
      </c>
      <c r="N1464" t="str">
        <f>IF(tbl_analysis_tickets[[#This Row],[first_response_minutes]]&gt;tbl_analysis_tickets[[#This Row],[First Response SLA Minutes]],"Breached","Within SLA")</f>
        <v>Within SLA</v>
      </c>
      <c r="O1464" t="str" cm="1">
        <f t="array" ref="O1464">_xlfn.IFS(
tbl_analysis_tickets[[#This Row],[agent_experience_years]]&lt;=2,"Junior",
tbl_analysis_tickets[[#This Row],[agent_experience_years]]&lt;=5,"Mid-Level",
tbl_analysis_tickets[[#This Row],[agent_experience_years]]&lt;=8,"Senior",
tbl_analysis_tickets[[#This Row],[agent_experience_years]]&gt;8,"Expert"
)</f>
        <v>Mid-Level</v>
      </c>
      <c r="P1464" cm="1">
        <f t="array" ref="P1464">_xlfn.SWITCH(tbl_analysis_tickets[[#This Row],[customer_satisfaction]],
"Low",1,
"Medium",2,
"High",3
)</f>
        <v>2</v>
      </c>
      <c r="Q1464">
        <f>IF(tbl_analysis_tickets[[#This Row],[reopened]]="Yes",1,0)</f>
        <v>1</v>
      </c>
      <c r="R1464" t="str" cm="1">
        <f t="array" ref="R1464">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1464" t="str" cm="1">
        <f t="array" ref="S146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464" t="str">
        <f>TEXT(tbl_analysis_tickets[[#This Row],[created_date]],"mmm-yyyy")</f>
        <v>Aug-2024</v>
      </c>
      <c r="U1464" t="str">
        <f>TEXT(tbl_analysis_tickets[[#This Row],[created_date]],"dddd")</f>
        <v>Wednesday</v>
      </c>
      <c r="V1464" cm="1">
        <f t="array" ref="V1464">_xlfn.SWITCH(tbl_analysis_tickets[[#This Row],[priority]],
"Urgent",1,
"High",2,
"Medium",3,
"Low",4
)</f>
        <v>3</v>
      </c>
    </row>
    <row r="1465" spans="1:22" x14ac:dyDescent="0.25">
      <c r="A1465">
        <v>1464</v>
      </c>
      <c r="B1465" s="1">
        <v>45510</v>
      </c>
      <c r="C1465" t="s">
        <v>21</v>
      </c>
      <c r="D1465" t="s">
        <v>17</v>
      </c>
      <c r="E1465">
        <v>85</v>
      </c>
      <c r="F1465">
        <v>28</v>
      </c>
      <c r="G1465">
        <v>3.2</v>
      </c>
      <c r="H1465" t="s">
        <v>12</v>
      </c>
      <c r="I1465" t="s">
        <v>13</v>
      </c>
      <c r="J1465" t="s">
        <v>11</v>
      </c>
      <c r="K1465">
        <f>_xlfn.XLOOKUP(tbl_analysis_tickets[[#This Row],[priority]],tbl_sla[priority],tbl_sla[Resolution SLA Hours])</f>
        <v>8</v>
      </c>
      <c r="L1465">
        <f>_xlfn.XLOOKUP(tbl_analysis_tickets[[#This Row],[priority]],tbl_sla[priority],tbl_sla[First Response SLA Minutes])</f>
        <v>30</v>
      </c>
      <c r="M1465" t="str">
        <f>IF(tbl_analysis_tickets[[#This Row],[resolution_time_hours]]&gt;tbl_analysis_tickets[[#This Row],[Resolution SLA Hours]],"Breached","Within SLA")</f>
        <v>Breached</v>
      </c>
      <c r="N1465" t="str">
        <f>IF(tbl_analysis_tickets[[#This Row],[first_response_minutes]]&gt;tbl_analysis_tickets[[#This Row],[First Response SLA Minutes]],"Breached","Within SLA")</f>
        <v>Breached</v>
      </c>
      <c r="O1465" t="str" cm="1">
        <f t="array" ref="O1465">_xlfn.IFS(
tbl_analysis_tickets[[#This Row],[agent_experience_years]]&lt;=2,"Junior",
tbl_analysis_tickets[[#This Row],[agent_experience_years]]&lt;=5,"Mid-Level",
tbl_analysis_tickets[[#This Row],[agent_experience_years]]&lt;=8,"Senior",
tbl_analysis_tickets[[#This Row],[agent_experience_years]]&gt;8,"Expert"
)</f>
        <v>Mid-Level</v>
      </c>
      <c r="P1465" cm="1">
        <f t="array" ref="P1465">_xlfn.SWITCH(tbl_analysis_tickets[[#This Row],[customer_satisfaction]],
"Low",1,
"Medium",2,
"High",3
)</f>
        <v>1</v>
      </c>
      <c r="Q1465">
        <f>IF(tbl_analysis_tickets[[#This Row],[reopened]]="Yes",1,0)</f>
        <v>1</v>
      </c>
      <c r="R1465" t="str" cm="1">
        <f t="array" ref="R1465">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465" t="str" cm="1">
        <f t="array" ref="S146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465" t="str">
        <f>TEXT(tbl_analysis_tickets[[#This Row],[created_date]],"mmm-yyyy")</f>
        <v>Aug-2024</v>
      </c>
      <c r="U1465" t="str">
        <f>TEXT(tbl_analysis_tickets[[#This Row],[created_date]],"dddd")</f>
        <v>Tuesday</v>
      </c>
      <c r="V1465" cm="1">
        <f t="array" ref="V1465">_xlfn.SWITCH(tbl_analysis_tickets[[#This Row],[priority]],
"Urgent",1,
"High",2,
"Medium",3,
"Low",4
)</f>
        <v>1</v>
      </c>
    </row>
    <row r="1466" spans="1:22" x14ac:dyDescent="0.25">
      <c r="A1466">
        <v>1465</v>
      </c>
      <c r="B1466" s="1">
        <v>45303</v>
      </c>
      <c r="C1466" t="s">
        <v>21</v>
      </c>
      <c r="D1466" t="s">
        <v>15</v>
      </c>
      <c r="E1466">
        <v>112</v>
      </c>
      <c r="F1466">
        <v>19</v>
      </c>
      <c r="G1466">
        <v>2</v>
      </c>
      <c r="H1466" t="s">
        <v>12</v>
      </c>
      <c r="I1466" t="s">
        <v>16</v>
      </c>
      <c r="J1466" t="s">
        <v>11</v>
      </c>
      <c r="K1466">
        <f>_xlfn.XLOOKUP(tbl_analysis_tickets[[#This Row],[priority]],tbl_sla[priority],tbl_sla[Resolution SLA Hours])</f>
        <v>48</v>
      </c>
      <c r="L1466">
        <f>_xlfn.XLOOKUP(tbl_analysis_tickets[[#This Row],[priority]],tbl_sla[priority],tbl_sla[First Response SLA Minutes])</f>
        <v>120</v>
      </c>
      <c r="M1466" t="str">
        <f>IF(tbl_analysis_tickets[[#This Row],[resolution_time_hours]]&gt;tbl_analysis_tickets[[#This Row],[Resolution SLA Hours]],"Breached","Within SLA")</f>
        <v>Within SLA</v>
      </c>
      <c r="N1466" t="str">
        <f>IF(tbl_analysis_tickets[[#This Row],[first_response_minutes]]&gt;tbl_analysis_tickets[[#This Row],[First Response SLA Minutes]],"Breached","Within SLA")</f>
        <v>Within SLA</v>
      </c>
      <c r="O1466" t="str" cm="1">
        <f t="array" ref="O1466">_xlfn.IFS(
tbl_analysis_tickets[[#This Row],[agent_experience_years]]&lt;=2,"Junior",
tbl_analysis_tickets[[#This Row],[agent_experience_years]]&lt;=5,"Mid-Level",
tbl_analysis_tickets[[#This Row],[agent_experience_years]]&lt;=8,"Senior",
tbl_analysis_tickets[[#This Row],[agent_experience_years]]&gt;8,"Expert"
)</f>
        <v>Junior</v>
      </c>
      <c r="P1466" cm="1">
        <f t="array" ref="P1466">_xlfn.SWITCH(tbl_analysis_tickets[[#This Row],[customer_satisfaction]],
"Low",1,
"Medium",2,
"High",3
)</f>
        <v>1</v>
      </c>
      <c r="Q1466">
        <f>IF(tbl_analysis_tickets[[#This Row],[reopened]]="Yes",1,0)</f>
        <v>1</v>
      </c>
      <c r="R1466" t="str" cm="1">
        <f t="array" ref="R1466">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466" t="str" cm="1">
        <f t="array" ref="S146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466" t="str">
        <f>TEXT(tbl_analysis_tickets[[#This Row],[created_date]],"mmm-yyyy")</f>
        <v>Jan-2024</v>
      </c>
      <c r="U1466" t="str">
        <f>TEXT(tbl_analysis_tickets[[#This Row],[created_date]],"dddd")</f>
        <v>Friday</v>
      </c>
      <c r="V1466" cm="1">
        <f t="array" ref="V1466">_xlfn.SWITCH(tbl_analysis_tickets[[#This Row],[priority]],
"Urgent",1,
"High",2,
"Medium",3,
"Low",4
)</f>
        <v>3</v>
      </c>
    </row>
    <row r="1467" spans="1:22" x14ac:dyDescent="0.25">
      <c r="A1467">
        <v>1466</v>
      </c>
      <c r="B1467" s="1">
        <v>45587</v>
      </c>
      <c r="C1467" t="s">
        <v>10</v>
      </c>
      <c r="D1467" t="s">
        <v>15</v>
      </c>
      <c r="E1467">
        <v>227</v>
      </c>
      <c r="F1467">
        <v>20</v>
      </c>
      <c r="G1467">
        <v>1.8</v>
      </c>
      <c r="H1467" t="s">
        <v>18</v>
      </c>
      <c r="I1467" t="s">
        <v>13</v>
      </c>
      <c r="J1467" t="s">
        <v>11</v>
      </c>
      <c r="K1467">
        <f>_xlfn.XLOOKUP(tbl_analysis_tickets[[#This Row],[priority]],tbl_sla[priority],tbl_sla[Resolution SLA Hours])</f>
        <v>48</v>
      </c>
      <c r="L1467">
        <f>_xlfn.XLOOKUP(tbl_analysis_tickets[[#This Row],[priority]],tbl_sla[priority],tbl_sla[First Response SLA Minutes])</f>
        <v>120</v>
      </c>
      <c r="M1467" t="str">
        <f>IF(tbl_analysis_tickets[[#This Row],[resolution_time_hours]]&gt;tbl_analysis_tickets[[#This Row],[Resolution SLA Hours]],"Breached","Within SLA")</f>
        <v>Within SLA</v>
      </c>
      <c r="N1467" t="str">
        <f>IF(tbl_analysis_tickets[[#This Row],[first_response_minutes]]&gt;tbl_analysis_tickets[[#This Row],[First Response SLA Minutes]],"Breached","Within SLA")</f>
        <v>Breached</v>
      </c>
      <c r="O1467" t="str" cm="1">
        <f t="array" ref="O1467">_xlfn.IFS(
tbl_analysis_tickets[[#This Row],[agent_experience_years]]&lt;=2,"Junior",
tbl_analysis_tickets[[#This Row],[agent_experience_years]]&lt;=5,"Mid-Level",
tbl_analysis_tickets[[#This Row],[agent_experience_years]]&lt;=8,"Senior",
tbl_analysis_tickets[[#This Row],[agent_experience_years]]&gt;8,"Expert"
)</f>
        <v>Junior</v>
      </c>
      <c r="P1467" cm="1">
        <f t="array" ref="P1467">_xlfn.SWITCH(tbl_analysis_tickets[[#This Row],[customer_satisfaction]],
"Low",1,
"Medium",2,
"High",3
)</f>
        <v>1</v>
      </c>
      <c r="Q1467">
        <f>IF(tbl_analysis_tickets[[#This Row],[reopened]]="Yes",1,0)</f>
        <v>0</v>
      </c>
      <c r="R1467" t="str" cm="1">
        <f t="array" ref="R1467">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467" t="str" cm="1">
        <f t="array" ref="S146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467" t="str">
        <f>TEXT(tbl_analysis_tickets[[#This Row],[created_date]],"mmm-yyyy")</f>
        <v>Oct-2024</v>
      </c>
      <c r="U1467" t="str">
        <f>TEXT(tbl_analysis_tickets[[#This Row],[created_date]],"dddd")</f>
        <v>Tuesday</v>
      </c>
      <c r="V1467" cm="1">
        <f t="array" ref="V1467">_xlfn.SWITCH(tbl_analysis_tickets[[#This Row],[priority]],
"Urgent",1,
"High",2,
"Medium",3,
"Low",4
)</f>
        <v>3</v>
      </c>
    </row>
    <row r="1468" spans="1:22" x14ac:dyDescent="0.25">
      <c r="A1468">
        <v>1467</v>
      </c>
      <c r="B1468" s="1">
        <v>45427</v>
      </c>
      <c r="C1468" t="s">
        <v>23</v>
      </c>
      <c r="D1468" t="s">
        <v>20</v>
      </c>
      <c r="E1468">
        <v>86</v>
      </c>
      <c r="F1468">
        <v>16</v>
      </c>
      <c r="G1468">
        <v>8.4</v>
      </c>
      <c r="H1468" t="s">
        <v>12</v>
      </c>
      <c r="I1468" t="s">
        <v>13</v>
      </c>
      <c r="J1468" t="s">
        <v>11</v>
      </c>
      <c r="K1468">
        <f>_xlfn.XLOOKUP(tbl_analysis_tickets[[#This Row],[priority]],tbl_sla[priority],tbl_sla[Resolution SLA Hours])</f>
        <v>24</v>
      </c>
      <c r="L1468">
        <f>_xlfn.XLOOKUP(tbl_analysis_tickets[[#This Row],[priority]],tbl_sla[priority],tbl_sla[First Response SLA Minutes])</f>
        <v>60</v>
      </c>
      <c r="M1468" t="str">
        <f>IF(tbl_analysis_tickets[[#This Row],[resolution_time_hours]]&gt;tbl_analysis_tickets[[#This Row],[Resolution SLA Hours]],"Breached","Within SLA")</f>
        <v>Within SLA</v>
      </c>
      <c r="N1468" t="str">
        <f>IF(tbl_analysis_tickets[[#This Row],[first_response_minutes]]&gt;tbl_analysis_tickets[[#This Row],[First Response SLA Minutes]],"Breached","Within SLA")</f>
        <v>Breached</v>
      </c>
      <c r="O1468" t="str" cm="1">
        <f t="array" ref="O1468">_xlfn.IFS(
tbl_analysis_tickets[[#This Row],[agent_experience_years]]&lt;=2,"Junior",
tbl_analysis_tickets[[#This Row],[agent_experience_years]]&lt;=5,"Mid-Level",
tbl_analysis_tickets[[#This Row],[agent_experience_years]]&lt;=8,"Senior",
tbl_analysis_tickets[[#This Row],[agent_experience_years]]&gt;8,"Expert"
)</f>
        <v>Expert</v>
      </c>
      <c r="P1468" cm="1">
        <f t="array" ref="P1468">_xlfn.SWITCH(tbl_analysis_tickets[[#This Row],[customer_satisfaction]],
"Low",1,
"Medium",2,
"High",3
)</f>
        <v>1</v>
      </c>
      <c r="Q1468">
        <f>IF(tbl_analysis_tickets[[#This Row],[reopened]]="Yes",1,0)</f>
        <v>1</v>
      </c>
      <c r="R1468" t="str" cm="1">
        <f t="array" ref="R1468">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468" t="str" cm="1">
        <f t="array" ref="S146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468" t="str">
        <f>TEXT(tbl_analysis_tickets[[#This Row],[created_date]],"mmm-yyyy")</f>
        <v>May-2024</v>
      </c>
      <c r="U1468" t="str">
        <f>TEXT(tbl_analysis_tickets[[#This Row],[created_date]],"dddd")</f>
        <v>Wednesday</v>
      </c>
      <c r="V1468" cm="1">
        <f t="array" ref="V1468">_xlfn.SWITCH(tbl_analysis_tickets[[#This Row],[priority]],
"Urgent",1,
"High",2,
"Medium",3,
"Low",4
)</f>
        <v>2</v>
      </c>
    </row>
    <row r="1469" spans="1:22" x14ac:dyDescent="0.25">
      <c r="A1469">
        <v>1468</v>
      </c>
      <c r="B1469" s="1">
        <v>45618</v>
      </c>
      <c r="C1469" t="s">
        <v>10</v>
      </c>
      <c r="D1469" t="s">
        <v>11</v>
      </c>
      <c r="E1469">
        <v>124</v>
      </c>
      <c r="F1469">
        <v>12</v>
      </c>
      <c r="G1469">
        <v>5.6</v>
      </c>
      <c r="H1469" t="s">
        <v>18</v>
      </c>
      <c r="I1469" t="s">
        <v>19</v>
      </c>
      <c r="J1469" t="s">
        <v>15</v>
      </c>
      <c r="K1469">
        <f>_xlfn.XLOOKUP(tbl_analysis_tickets[[#This Row],[priority]],tbl_sla[priority],tbl_sla[Resolution SLA Hours])</f>
        <v>72</v>
      </c>
      <c r="L1469">
        <f>_xlfn.XLOOKUP(tbl_analysis_tickets[[#This Row],[priority]],tbl_sla[priority],tbl_sla[First Response SLA Minutes])</f>
        <v>240</v>
      </c>
      <c r="M1469" t="str">
        <f>IF(tbl_analysis_tickets[[#This Row],[resolution_time_hours]]&gt;tbl_analysis_tickets[[#This Row],[Resolution SLA Hours]],"Breached","Within SLA")</f>
        <v>Within SLA</v>
      </c>
      <c r="N1469" t="str">
        <f>IF(tbl_analysis_tickets[[#This Row],[first_response_minutes]]&gt;tbl_analysis_tickets[[#This Row],[First Response SLA Minutes]],"Breached","Within SLA")</f>
        <v>Within SLA</v>
      </c>
      <c r="O1469" t="str" cm="1">
        <f t="array" ref="O1469">_xlfn.IFS(
tbl_analysis_tickets[[#This Row],[agent_experience_years]]&lt;=2,"Junior",
tbl_analysis_tickets[[#This Row],[agent_experience_years]]&lt;=5,"Mid-Level",
tbl_analysis_tickets[[#This Row],[agent_experience_years]]&lt;=8,"Senior",
tbl_analysis_tickets[[#This Row],[agent_experience_years]]&gt;8,"Expert"
)</f>
        <v>Senior</v>
      </c>
      <c r="P1469" cm="1">
        <f t="array" ref="P1469">_xlfn.SWITCH(tbl_analysis_tickets[[#This Row],[customer_satisfaction]],
"Low",1,
"Medium",2,
"High",3
)</f>
        <v>2</v>
      </c>
      <c r="Q1469">
        <f>IF(tbl_analysis_tickets[[#This Row],[reopened]]="Yes",1,0)</f>
        <v>0</v>
      </c>
      <c r="R1469" t="str" cm="1">
        <f t="array" ref="R1469">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469" t="str" cm="1">
        <f t="array" ref="S146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469" t="str">
        <f>TEXT(tbl_analysis_tickets[[#This Row],[created_date]],"mmm-yyyy")</f>
        <v>Nov-2024</v>
      </c>
      <c r="U1469" t="str">
        <f>TEXT(tbl_analysis_tickets[[#This Row],[created_date]],"dddd")</f>
        <v>Friday</v>
      </c>
      <c r="V1469" cm="1">
        <f t="array" ref="V1469">_xlfn.SWITCH(tbl_analysis_tickets[[#This Row],[priority]],
"Urgent",1,
"High",2,
"Medium",3,
"Low",4
)</f>
        <v>4</v>
      </c>
    </row>
    <row r="1470" spans="1:22" x14ac:dyDescent="0.25">
      <c r="A1470">
        <v>1469</v>
      </c>
      <c r="B1470" s="1">
        <v>45357</v>
      </c>
      <c r="C1470" t="s">
        <v>10</v>
      </c>
      <c r="D1470" t="s">
        <v>17</v>
      </c>
      <c r="E1470">
        <v>139</v>
      </c>
      <c r="F1470">
        <v>58</v>
      </c>
      <c r="G1470">
        <v>9.3000000000000007</v>
      </c>
      <c r="H1470" t="s">
        <v>12</v>
      </c>
      <c r="I1470" t="s">
        <v>19</v>
      </c>
      <c r="J1470" t="s">
        <v>11</v>
      </c>
      <c r="K1470">
        <f>_xlfn.XLOOKUP(tbl_analysis_tickets[[#This Row],[priority]],tbl_sla[priority],tbl_sla[Resolution SLA Hours])</f>
        <v>8</v>
      </c>
      <c r="L1470">
        <f>_xlfn.XLOOKUP(tbl_analysis_tickets[[#This Row],[priority]],tbl_sla[priority],tbl_sla[First Response SLA Minutes])</f>
        <v>30</v>
      </c>
      <c r="M1470" t="str">
        <f>IF(tbl_analysis_tickets[[#This Row],[resolution_time_hours]]&gt;tbl_analysis_tickets[[#This Row],[Resolution SLA Hours]],"Breached","Within SLA")</f>
        <v>Breached</v>
      </c>
      <c r="N1470" t="str">
        <f>IF(tbl_analysis_tickets[[#This Row],[first_response_minutes]]&gt;tbl_analysis_tickets[[#This Row],[First Response SLA Minutes]],"Breached","Within SLA")</f>
        <v>Breached</v>
      </c>
      <c r="O1470" t="str" cm="1">
        <f t="array" ref="O1470">_xlfn.IFS(
tbl_analysis_tickets[[#This Row],[agent_experience_years]]&lt;=2,"Junior",
tbl_analysis_tickets[[#This Row],[agent_experience_years]]&lt;=5,"Mid-Level",
tbl_analysis_tickets[[#This Row],[agent_experience_years]]&lt;=8,"Senior",
tbl_analysis_tickets[[#This Row],[agent_experience_years]]&gt;8,"Expert"
)</f>
        <v>Expert</v>
      </c>
      <c r="P1470" cm="1">
        <f t="array" ref="P1470">_xlfn.SWITCH(tbl_analysis_tickets[[#This Row],[customer_satisfaction]],
"Low",1,
"Medium",2,
"High",3
)</f>
        <v>1</v>
      </c>
      <c r="Q1470">
        <f>IF(tbl_analysis_tickets[[#This Row],[reopened]]="Yes",1,0)</f>
        <v>1</v>
      </c>
      <c r="R1470" t="str" cm="1">
        <f t="array" ref="R1470">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470" t="str" cm="1">
        <f t="array" ref="S147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470" t="str">
        <f>TEXT(tbl_analysis_tickets[[#This Row],[created_date]],"mmm-yyyy")</f>
        <v>Mar-2024</v>
      </c>
      <c r="U1470" t="str">
        <f>TEXT(tbl_analysis_tickets[[#This Row],[created_date]],"dddd")</f>
        <v>Wednesday</v>
      </c>
      <c r="V1470" cm="1">
        <f t="array" ref="V1470">_xlfn.SWITCH(tbl_analysis_tickets[[#This Row],[priority]],
"Urgent",1,
"High",2,
"Medium",3,
"Low",4
)</f>
        <v>1</v>
      </c>
    </row>
    <row r="1471" spans="1:22" x14ac:dyDescent="0.25">
      <c r="A1471">
        <v>1470</v>
      </c>
      <c r="B1471" s="1">
        <v>45337</v>
      </c>
      <c r="C1471" t="s">
        <v>23</v>
      </c>
      <c r="D1471" t="s">
        <v>20</v>
      </c>
      <c r="E1471">
        <v>119</v>
      </c>
      <c r="F1471">
        <v>70</v>
      </c>
      <c r="G1471">
        <v>2.2999999999999998</v>
      </c>
      <c r="H1471" t="s">
        <v>18</v>
      </c>
      <c r="I1471" t="s">
        <v>13</v>
      </c>
      <c r="J1471" t="s">
        <v>11</v>
      </c>
      <c r="K1471">
        <f>_xlfn.XLOOKUP(tbl_analysis_tickets[[#This Row],[priority]],tbl_sla[priority],tbl_sla[Resolution SLA Hours])</f>
        <v>24</v>
      </c>
      <c r="L1471">
        <f>_xlfn.XLOOKUP(tbl_analysis_tickets[[#This Row],[priority]],tbl_sla[priority],tbl_sla[First Response SLA Minutes])</f>
        <v>60</v>
      </c>
      <c r="M1471" t="str">
        <f>IF(tbl_analysis_tickets[[#This Row],[resolution_time_hours]]&gt;tbl_analysis_tickets[[#This Row],[Resolution SLA Hours]],"Breached","Within SLA")</f>
        <v>Breached</v>
      </c>
      <c r="N1471" t="str">
        <f>IF(tbl_analysis_tickets[[#This Row],[first_response_minutes]]&gt;tbl_analysis_tickets[[#This Row],[First Response SLA Minutes]],"Breached","Within SLA")</f>
        <v>Breached</v>
      </c>
      <c r="O1471" t="str" cm="1">
        <f t="array" ref="O1471">_xlfn.IFS(
tbl_analysis_tickets[[#This Row],[agent_experience_years]]&lt;=2,"Junior",
tbl_analysis_tickets[[#This Row],[agent_experience_years]]&lt;=5,"Mid-Level",
tbl_analysis_tickets[[#This Row],[agent_experience_years]]&lt;=8,"Senior",
tbl_analysis_tickets[[#This Row],[agent_experience_years]]&gt;8,"Expert"
)</f>
        <v>Mid-Level</v>
      </c>
      <c r="P1471" cm="1">
        <f t="array" ref="P1471">_xlfn.SWITCH(tbl_analysis_tickets[[#This Row],[customer_satisfaction]],
"Low",1,
"Medium",2,
"High",3
)</f>
        <v>1</v>
      </c>
      <c r="Q1471">
        <f>IF(tbl_analysis_tickets[[#This Row],[reopened]]="Yes",1,0)</f>
        <v>0</v>
      </c>
      <c r="R1471" t="str" cm="1">
        <f t="array" ref="R1471">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471" t="str" cm="1">
        <f t="array" ref="S147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471" t="str">
        <f>TEXT(tbl_analysis_tickets[[#This Row],[created_date]],"mmm-yyyy")</f>
        <v>Feb-2024</v>
      </c>
      <c r="U1471" t="str">
        <f>TEXT(tbl_analysis_tickets[[#This Row],[created_date]],"dddd")</f>
        <v>Thursday</v>
      </c>
      <c r="V1471" cm="1">
        <f t="array" ref="V1471">_xlfn.SWITCH(tbl_analysis_tickets[[#This Row],[priority]],
"Urgent",1,
"High",2,
"Medium",3,
"Low",4
)</f>
        <v>2</v>
      </c>
    </row>
    <row r="1472" spans="1:22" x14ac:dyDescent="0.25">
      <c r="A1472">
        <v>1471</v>
      </c>
      <c r="B1472" s="1">
        <v>45492</v>
      </c>
      <c r="C1472" t="s">
        <v>21</v>
      </c>
      <c r="D1472" t="s">
        <v>20</v>
      </c>
      <c r="E1472">
        <v>8</v>
      </c>
      <c r="F1472">
        <v>53</v>
      </c>
      <c r="G1472">
        <v>3.7</v>
      </c>
      <c r="H1472" t="s">
        <v>12</v>
      </c>
      <c r="I1472" t="s">
        <v>13</v>
      </c>
      <c r="J1472" t="s">
        <v>11</v>
      </c>
      <c r="K1472">
        <f>_xlfn.XLOOKUP(tbl_analysis_tickets[[#This Row],[priority]],tbl_sla[priority],tbl_sla[Resolution SLA Hours])</f>
        <v>24</v>
      </c>
      <c r="L1472">
        <f>_xlfn.XLOOKUP(tbl_analysis_tickets[[#This Row],[priority]],tbl_sla[priority],tbl_sla[First Response SLA Minutes])</f>
        <v>60</v>
      </c>
      <c r="M1472" t="str">
        <f>IF(tbl_analysis_tickets[[#This Row],[resolution_time_hours]]&gt;tbl_analysis_tickets[[#This Row],[Resolution SLA Hours]],"Breached","Within SLA")</f>
        <v>Breached</v>
      </c>
      <c r="N1472" t="str">
        <f>IF(tbl_analysis_tickets[[#This Row],[first_response_minutes]]&gt;tbl_analysis_tickets[[#This Row],[First Response SLA Minutes]],"Breached","Within SLA")</f>
        <v>Within SLA</v>
      </c>
      <c r="O1472" t="str" cm="1">
        <f t="array" ref="O1472">_xlfn.IFS(
tbl_analysis_tickets[[#This Row],[agent_experience_years]]&lt;=2,"Junior",
tbl_analysis_tickets[[#This Row],[agent_experience_years]]&lt;=5,"Mid-Level",
tbl_analysis_tickets[[#This Row],[agent_experience_years]]&lt;=8,"Senior",
tbl_analysis_tickets[[#This Row],[agent_experience_years]]&gt;8,"Expert"
)</f>
        <v>Mid-Level</v>
      </c>
      <c r="P1472" cm="1">
        <f t="array" ref="P1472">_xlfn.SWITCH(tbl_analysis_tickets[[#This Row],[customer_satisfaction]],
"Low",1,
"Medium",2,
"High",3
)</f>
        <v>1</v>
      </c>
      <c r="Q1472">
        <f>IF(tbl_analysis_tickets[[#This Row],[reopened]]="Yes",1,0)</f>
        <v>1</v>
      </c>
      <c r="R1472" t="str" cm="1">
        <f t="array" ref="R1472">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1472" t="str" cm="1">
        <f t="array" ref="S147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472" t="str">
        <f>TEXT(tbl_analysis_tickets[[#This Row],[created_date]],"mmm-yyyy")</f>
        <v>Jul-2024</v>
      </c>
      <c r="U1472" t="str">
        <f>TEXT(tbl_analysis_tickets[[#This Row],[created_date]],"dddd")</f>
        <v>Friday</v>
      </c>
      <c r="V1472" cm="1">
        <f t="array" ref="V1472">_xlfn.SWITCH(tbl_analysis_tickets[[#This Row],[priority]],
"Urgent",1,
"High",2,
"Medium",3,
"Low",4
)</f>
        <v>2</v>
      </c>
    </row>
    <row r="1473" spans="1:22" x14ac:dyDescent="0.25">
      <c r="A1473">
        <v>1472</v>
      </c>
      <c r="B1473" s="1">
        <v>45296</v>
      </c>
      <c r="C1473" t="s">
        <v>10</v>
      </c>
      <c r="D1473" t="s">
        <v>11</v>
      </c>
      <c r="E1473">
        <v>190</v>
      </c>
      <c r="F1473">
        <v>34</v>
      </c>
      <c r="G1473">
        <v>3.5</v>
      </c>
      <c r="H1473" t="s">
        <v>18</v>
      </c>
      <c r="I1473" t="s">
        <v>19</v>
      </c>
      <c r="J1473" t="s">
        <v>11</v>
      </c>
      <c r="K1473">
        <f>_xlfn.XLOOKUP(tbl_analysis_tickets[[#This Row],[priority]],tbl_sla[priority],tbl_sla[Resolution SLA Hours])</f>
        <v>72</v>
      </c>
      <c r="L1473">
        <f>_xlfn.XLOOKUP(tbl_analysis_tickets[[#This Row],[priority]],tbl_sla[priority],tbl_sla[First Response SLA Minutes])</f>
        <v>240</v>
      </c>
      <c r="M1473" t="str">
        <f>IF(tbl_analysis_tickets[[#This Row],[resolution_time_hours]]&gt;tbl_analysis_tickets[[#This Row],[Resolution SLA Hours]],"Breached","Within SLA")</f>
        <v>Within SLA</v>
      </c>
      <c r="N1473" t="str">
        <f>IF(tbl_analysis_tickets[[#This Row],[first_response_minutes]]&gt;tbl_analysis_tickets[[#This Row],[First Response SLA Minutes]],"Breached","Within SLA")</f>
        <v>Within SLA</v>
      </c>
      <c r="O1473" t="str" cm="1">
        <f t="array" ref="O1473">_xlfn.IFS(
tbl_analysis_tickets[[#This Row],[agent_experience_years]]&lt;=2,"Junior",
tbl_analysis_tickets[[#This Row],[agent_experience_years]]&lt;=5,"Mid-Level",
tbl_analysis_tickets[[#This Row],[agent_experience_years]]&lt;=8,"Senior",
tbl_analysis_tickets[[#This Row],[agent_experience_years]]&gt;8,"Expert"
)</f>
        <v>Mid-Level</v>
      </c>
      <c r="P1473" cm="1">
        <f t="array" ref="P1473">_xlfn.SWITCH(tbl_analysis_tickets[[#This Row],[customer_satisfaction]],
"Low",1,
"Medium",2,
"High",3
)</f>
        <v>1</v>
      </c>
      <c r="Q1473">
        <f>IF(tbl_analysis_tickets[[#This Row],[reopened]]="Yes",1,0)</f>
        <v>0</v>
      </c>
      <c r="R1473" t="str" cm="1">
        <f t="array" ref="R1473">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473" t="str" cm="1">
        <f t="array" ref="S147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473" t="str">
        <f>TEXT(tbl_analysis_tickets[[#This Row],[created_date]],"mmm-yyyy")</f>
        <v>Jan-2024</v>
      </c>
      <c r="U1473" t="str">
        <f>TEXT(tbl_analysis_tickets[[#This Row],[created_date]],"dddd")</f>
        <v>Friday</v>
      </c>
      <c r="V1473" cm="1">
        <f t="array" ref="V1473">_xlfn.SWITCH(tbl_analysis_tickets[[#This Row],[priority]],
"Urgent",1,
"High",2,
"Medium",3,
"Low",4
)</f>
        <v>4</v>
      </c>
    </row>
    <row r="1474" spans="1:22" x14ac:dyDescent="0.25">
      <c r="A1474">
        <v>1473</v>
      </c>
      <c r="B1474" s="1">
        <v>45293</v>
      </c>
      <c r="C1474" t="s">
        <v>22</v>
      </c>
      <c r="D1474" t="s">
        <v>20</v>
      </c>
      <c r="E1474">
        <v>7</v>
      </c>
      <c r="F1474">
        <v>6</v>
      </c>
      <c r="G1474">
        <v>3.1</v>
      </c>
      <c r="H1474" t="s">
        <v>18</v>
      </c>
      <c r="I1474" t="s">
        <v>13</v>
      </c>
      <c r="J1474" t="s">
        <v>20</v>
      </c>
      <c r="K1474">
        <f>_xlfn.XLOOKUP(tbl_analysis_tickets[[#This Row],[priority]],tbl_sla[priority],tbl_sla[Resolution SLA Hours])</f>
        <v>24</v>
      </c>
      <c r="L1474">
        <f>_xlfn.XLOOKUP(tbl_analysis_tickets[[#This Row],[priority]],tbl_sla[priority],tbl_sla[First Response SLA Minutes])</f>
        <v>60</v>
      </c>
      <c r="M1474" t="str">
        <f>IF(tbl_analysis_tickets[[#This Row],[resolution_time_hours]]&gt;tbl_analysis_tickets[[#This Row],[Resolution SLA Hours]],"Breached","Within SLA")</f>
        <v>Within SLA</v>
      </c>
      <c r="N1474" t="str">
        <f>IF(tbl_analysis_tickets[[#This Row],[first_response_minutes]]&gt;tbl_analysis_tickets[[#This Row],[First Response SLA Minutes]],"Breached","Within SLA")</f>
        <v>Within SLA</v>
      </c>
      <c r="O1474" t="str" cm="1">
        <f t="array" ref="O1474">_xlfn.IFS(
tbl_analysis_tickets[[#This Row],[agent_experience_years]]&lt;=2,"Junior",
tbl_analysis_tickets[[#This Row],[agent_experience_years]]&lt;=5,"Mid-Level",
tbl_analysis_tickets[[#This Row],[agent_experience_years]]&lt;=8,"Senior",
tbl_analysis_tickets[[#This Row],[agent_experience_years]]&gt;8,"Expert"
)</f>
        <v>Mid-Level</v>
      </c>
      <c r="P1474" cm="1">
        <f t="array" ref="P1474">_xlfn.SWITCH(tbl_analysis_tickets[[#This Row],[customer_satisfaction]],
"Low",1,
"Medium",2,
"High",3
)</f>
        <v>3</v>
      </c>
      <c r="Q1474">
        <f>IF(tbl_analysis_tickets[[#This Row],[reopened]]="Yes",1,0)</f>
        <v>0</v>
      </c>
      <c r="R1474" t="str" cm="1">
        <f t="array" ref="R1474">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1474" t="str" cm="1">
        <f t="array" ref="S147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1474" t="str">
        <f>TEXT(tbl_analysis_tickets[[#This Row],[created_date]],"mmm-yyyy")</f>
        <v>Jan-2024</v>
      </c>
      <c r="U1474" t="str">
        <f>TEXT(tbl_analysis_tickets[[#This Row],[created_date]],"dddd")</f>
        <v>Tuesday</v>
      </c>
      <c r="V1474" cm="1">
        <f t="array" ref="V1474">_xlfn.SWITCH(tbl_analysis_tickets[[#This Row],[priority]],
"Urgent",1,
"High",2,
"Medium",3,
"Low",4
)</f>
        <v>2</v>
      </c>
    </row>
    <row r="1475" spans="1:22" x14ac:dyDescent="0.25">
      <c r="A1475">
        <v>1474</v>
      </c>
      <c r="B1475" s="1">
        <v>45458</v>
      </c>
      <c r="C1475" t="s">
        <v>14</v>
      </c>
      <c r="D1475" t="s">
        <v>11</v>
      </c>
      <c r="E1475">
        <v>127</v>
      </c>
      <c r="F1475">
        <v>37</v>
      </c>
      <c r="G1475">
        <v>3.5</v>
      </c>
      <c r="H1475" t="s">
        <v>18</v>
      </c>
      <c r="I1475" t="s">
        <v>19</v>
      </c>
      <c r="J1475" t="s">
        <v>11</v>
      </c>
      <c r="K1475">
        <f>_xlfn.XLOOKUP(tbl_analysis_tickets[[#This Row],[priority]],tbl_sla[priority],tbl_sla[Resolution SLA Hours])</f>
        <v>72</v>
      </c>
      <c r="L1475">
        <f>_xlfn.XLOOKUP(tbl_analysis_tickets[[#This Row],[priority]],tbl_sla[priority],tbl_sla[First Response SLA Minutes])</f>
        <v>240</v>
      </c>
      <c r="M1475" t="str">
        <f>IF(tbl_analysis_tickets[[#This Row],[resolution_time_hours]]&gt;tbl_analysis_tickets[[#This Row],[Resolution SLA Hours]],"Breached","Within SLA")</f>
        <v>Within SLA</v>
      </c>
      <c r="N1475" t="str">
        <f>IF(tbl_analysis_tickets[[#This Row],[first_response_minutes]]&gt;tbl_analysis_tickets[[#This Row],[First Response SLA Minutes]],"Breached","Within SLA")</f>
        <v>Within SLA</v>
      </c>
      <c r="O1475" t="str" cm="1">
        <f t="array" ref="O1475">_xlfn.IFS(
tbl_analysis_tickets[[#This Row],[agent_experience_years]]&lt;=2,"Junior",
tbl_analysis_tickets[[#This Row],[agent_experience_years]]&lt;=5,"Mid-Level",
tbl_analysis_tickets[[#This Row],[agent_experience_years]]&lt;=8,"Senior",
tbl_analysis_tickets[[#This Row],[agent_experience_years]]&gt;8,"Expert"
)</f>
        <v>Mid-Level</v>
      </c>
      <c r="P1475" cm="1">
        <f t="array" ref="P1475">_xlfn.SWITCH(tbl_analysis_tickets[[#This Row],[customer_satisfaction]],
"Low",1,
"Medium",2,
"High",3
)</f>
        <v>1</v>
      </c>
      <c r="Q1475">
        <f>IF(tbl_analysis_tickets[[#This Row],[reopened]]="Yes",1,0)</f>
        <v>0</v>
      </c>
      <c r="R1475" t="str" cm="1">
        <f t="array" ref="R1475">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475" t="str" cm="1">
        <f t="array" ref="S147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475" t="str">
        <f>TEXT(tbl_analysis_tickets[[#This Row],[created_date]],"mmm-yyyy")</f>
        <v>Jun-2024</v>
      </c>
      <c r="U1475" t="str">
        <f>TEXT(tbl_analysis_tickets[[#This Row],[created_date]],"dddd")</f>
        <v>Saturday</v>
      </c>
      <c r="V1475" cm="1">
        <f t="array" ref="V1475">_xlfn.SWITCH(tbl_analysis_tickets[[#This Row],[priority]],
"Urgent",1,
"High",2,
"Medium",3,
"Low",4
)</f>
        <v>4</v>
      </c>
    </row>
    <row r="1476" spans="1:22" x14ac:dyDescent="0.25">
      <c r="A1476">
        <v>1475</v>
      </c>
      <c r="B1476" s="1">
        <v>45527</v>
      </c>
      <c r="C1476" t="s">
        <v>21</v>
      </c>
      <c r="D1476" t="s">
        <v>17</v>
      </c>
      <c r="E1476">
        <v>182</v>
      </c>
      <c r="F1476">
        <v>38</v>
      </c>
      <c r="G1476">
        <v>3.1</v>
      </c>
      <c r="H1476" t="s">
        <v>18</v>
      </c>
      <c r="I1476" t="s">
        <v>13</v>
      </c>
      <c r="J1476" t="s">
        <v>11</v>
      </c>
      <c r="K1476">
        <f>_xlfn.XLOOKUP(tbl_analysis_tickets[[#This Row],[priority]],tbl_sla[priority],tbl_sla[Resolution SLA Hours])</f>
        <v>8</v>
      </c>
      <c r="L1476">
        <f>_xlfn.XLOOKUP(tbl_analysis_tickets[[#This Row],[priority]],tbl_sla[priority],tbl_sla[First Response SLA Minutes])</f>
        <v>30</v>
      </c>
      <c r="M1476" t="str">
        <f>IF(tbl_analysis_tickets[[#This Row],[resolution_time_hours]]&gt;tbl_analysis_tickets[[#This Row],[Resolution SLA Hours]],"Breached","Within SLA")</f>
        <v>Breached</v>
      </c>
      <c r="N1476" t="str">
        <f>IF(tbl_analysis_tickets[[#This Row],[first_response_minutes]]&gt;tbl_analysis_tickets[[#This Row],[First Response SLA Minutes]],"Breached","Within SLA")</f>
        <v>Breached</v>
      </c>
      <c r="O1476" t="str" cm="1">
        <f t="array" ref="O1476">_xlfn.IFS(
tbl_analysis_tickets[[#This Row],[agent_experience_years]]&lt;=2,"Junior",
tbl_analysis_tickets[[#This Row],[agent_experience_years]]&lt;=5,"Mid-Level",
tbl_analysis_tickets[[#This Row],[agent_experience_years]]&lt;=8,"Senior",
tbl_analysis_tickets[[#This Row],[agent_experience_years]]&gt;8,"Expert"
)</f>
        <v>Mid-Level</v>
      </c>
      <c r="P1476" cm="1">
        <f t="array" ref="P1476">_xlfn.SWITCH(tbl_analysis_tickets[[#This Row],[customer_satisfaction]],
"Low",1,
"Medium",2,
"High",3
)</f>
        <v>1</v>
      </c>
      <c r="Q1476">
        <f>IF(tbl_analysis_tickets[[#This Row],[reopened]]="Yes",1,0)</f>
        <v>0</v>
      </c>
      <c r="R1476" t="str" cm="1">
        <f t="array" ref="R1476">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476" t="str" cm="1">
        <f t="array" ref="S147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476" t="str">
        <f>TEXT(tbl_analysis_tickets[[#This Row],[created_date]],"mmm-yyyy")</f>
        <v>Aug-2024</v>
      </c>
      <c r="U1476" t="str">
        <f>TEXT(tbl_analysis_tickets[[#This Row],[created_date]],"dddd")</f>
        <v>Friday</v>
      </c>
      <c r="V1476" cm="1">
        <f t="array" ref="V1476">_xlfn.SWITCH(tbl_analysis_tickets[[#This Row],[priority]],
"Urgent",1,
"High",2,
"Medium",3,
"Low",4
)</f>
        <v>1</v>
      </c>
    </row>
    <row r="1477" spans="1:22" x14ac:dyDescent="0.25">
      <c r="A1477">
        <v>1476</v>
      </c>
      <c r="B1477" s="1">
        <v>45398</v>
      </c>
      <c r="C1477" t="s">
        <v>23</v>
      </c>
      <c r="D1477" t="s">
        <v>17</v>
      </c>
      <c r="E1477">
        <v>177</v>
      </c>
      <c r="F1477">
        <v>2</v>
      </c>
      <c r="G1477">
        <v>4.4000000000000004</v>
      </c>
      <c r="H1477" t="s">
        <v>12</v>
      </c>
      <c r="I1477" t="s">
        <v>16</v>
      </c>
      <c r="J1477" t="s">
        <v>11</v>
      </c>
      <c r="K1477">
        <f>_xlfn.XLOOKUP(tbl_analysis_tickets[[#This Row],[priority]],tbl_sla[priority],tbl_sla[Resolution SLA Hours])</f>
        <v>8</v>
      </c>
      <c r="L1477">
        <f>_xlfn.XLOOKUP(tbl_analysis_tickets[[#This Row],[priority]],tbl_sla[priority],tbl_sla[First Response SLA Minutes])</f>
        <v>30</v>
      </c>
      <c r="M1477" t="str">
        <f>IF(tbl_analysis_tickets[[#This Row],[resolution_time_hours]]&gt;tbl_analysis_tickets[[#This Row],[Resolution SLA Hours]],"Breached","Within SLA")</f>
        <v>Within SLA</v>
      </c>
      <c r="N1477" t="str">
        <f>IF(tbl_analysis_tickets[[#This Row],[first_response_minutes]]&gt;tbl_analysis_tickets[[#This Row],[First Response SLA Minutes]],"Breached","Within SLA")</f>
        <v>Breached</v>
      </c>
      <c r="O1477" t="str" cm="1">
        <f t="array" ref="O1477">_xlfn.IFS(
tbl_analysis_tickets[[#This Row],[agent_experience_years]]&lt;=2,"Junior",
tbl_analysis_tickets[[#This Row],[agent_experience_years]]&lt;=5,"Mid-Level",
tbl_analysis_tickets[[#This Row],[agent_experience_years]]&lt;=8,"Senior",
tbl_analysis_tickets[[#This Row],[agent_experience_years]]&gt;8,"Expert"
)</f>
        <v>Mid-Level</v>
      </c>
      <c r="P1477" cm="1">
        <f t="array" ref="P1477">_xlfn.SWITCH(tbl_analysis_tickets[[#This Row],[customer_satisfaction]],
"Low",1,
"Medium",2,
"High",3
)</f>
        <v>1</v>
      </c>
      <c r="Q1477">
        <f>IF(tbl_analysis_tickets[[#This Row],[reopened]]="Yes",1,0)</f>
        <v>1</v>
      </c>
      <c r="R1477" t="str" cm="1">
        <f t="array" ref="R1477">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477" t="str" cm="1">
        <f t="array" ref="S147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1477" t="str">
        <f>TEXT(tbl_analysis_tickets[[#This Row],[created_date]],"mmm-yyyy")</f>
        <v>Apr-2024</v>
      </c>
      <c r="U1477" t="str">
        <f>TEXT(tbl_analysis_tickets[[#This Row],[created_date]],"dddd")</f>
        <v>Tuesday</v>
      </c>
      <c r="V1477" cm="1">
        <f t="array" ref="V1477">_xlfn.SWITCH(tbl_analysis_tickets[[#This Row],[priority]],
"Urgent",1,
"High",2,
"Medium",3,
"Low",4
)</f>
        <v>1</v>
      </c>
    </row>
    <row r="1478" spans="1:22" x14ac:dyDescent="0.25">
      <c r="A1478">
        <v>1477</v>
      </c>
      <c r="B1478" s="1">
        <v>45399</v>
      </c>
      <c r="C1478" t="s">
        <v>22</v>
      </c>
      <c r="D1478" t="s">
        <v>11</v>
      </c>
      <c r="E1478">
        <v>125</v>
      </c>
      <c r="F1478">
        <v>64</v>
      </c>
      <c r="G1478">
        <v>8</v>
      </c>
      <c r="H1478" t="s">
        <v>12</v>
      </c>
      <c r="I1478" t="s">
        <v>19</v>
      </c>
      <c r="J1478" t="s">
        <v>11</v>
      </c>
      <c r="K1478">
        <f>_xlfn.XLOOKUP(tbl_analysis_tickets[[#This Row],[priority]],tbl_sla[priority],tbl_sla[Resolution SLA Hours])</f>
        <v>72</v>
      </c>
      <c r="L1478">
        <f>_xlfn.XLOOKUP(tbl_analysis_tickets[[#This Row],[priority]],tbl_sla[priority],tbl_sla[First Response SLA Minutes])</f>
        <v>240</v>
      </c>
      <c r="M1478" t="str">
        <f>IF(tbl_analysis_tickets[[#This Row],[resolution_time_hours]]&gt;tbl_analysis_tickets[[#This Row],[Resolution SLA Hours]],"Breached","Within SLA")</f>
        <v>Within SLA</v>
      </c>
      <c r="N1478" t="str">
        <f>IF(tbl_analysis_tickets[[#This Row],[first_response_minutes]]&gt;tbl_analysis_tickets[[#This Row],[First Response SLA Minutes]],"Breached","Within SLA")</f>
        <v>Within SLA</v>
      </c>
      <c r="O1478" t="str" cm="1">
        <f t="array" ref="O1478">_xlfn.IFS(
tbl_analysis_tickets[[#This Row],[agent_experience_years]]&lt;=2,"Junior",
tbl_analysis_tickets[[#This Row],[agent_experience_years]]&lt;=5,"Mid-Level",
tbl_analysis_tickets[[#This Row],[agent_experience_years]]&lt;=8,"Senior",
tbl_analysis_tickets[[#This Row],[agent_experience_years]]&gt;8,"Expert"
)</f>
        <v>Senior</v>
      </c>
      <c r="P1478" cm="1">
        <f t="array" ref="P1478">_xlfn.SWITCH(tbl_analysis_tickets[[#This Row],[customer_satisfaction]],
"Low",1,
"Medium",2,
"High",3
)</f>
        <v>1</v>
      </c>
      <c r="Q1478">
        <f>IF(tbl_analysis_tickets[[#This Row],[reopened]]="Yes",1,0)</f>
        <v>1</v>
      </c>
      <c r="R1478" t="str" cm="1">
        <f t="array" ref="R1478">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478" t="str" cm="1">
        <f t="array" ref="S147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478" t="str">
        <f>TEXT(tbl_analysis_tickets[[#This Row],[created_date]],"mmm-yyyy")</f>
        <v>Apr-2024</v>
      </c>
      <c r="U1478" t="str">
        <f>TEXT(tbl_analysis_tickets[[#This Row],[created_date]],"dddd")</f>
        <v>Wednesday</v>
      </c>
      <c r="V1478" cm="1">
        <f t="array" ref="V1478">_xlfn.SWITCH(tbl_analysis_tickets[[#This Row],[priority]],
"Urgent",1,
"High",2,
"Medium",3,
"Low",4
)</f>
        <v>4</v>
      </c>
    </row>
    <row r="1479" spans="1:22" x14ac:dyDescent="0.25">
      <c r="A1479">
        <v>1478</v>
      </c>
      <c r="B1479" s="1">
        <v>45302</v>
      </c>
      <c r="C1479" t="s">
        <v>21</v>
      </c>
      <c r="D1479" t="s">
        <v>11</v>
      </c>
      <c r="E1479">
        <v>159</v>
      </c>
      <c r="F1479">
        <v>32</v>
      </c>
      <c r="G1479">
        <v>5</v>
      </c>
      <c r="H1479" t="s">
        <v>18</v>
      </c>
      <c r="I1479" t="s">
        <v>19</v>
      </c>
      <c r="J1479" t="s">
        <v>15</v>
      </c>
      <c r="K1479">
        <f>_xlfn.XLOOKUP(tbl_analysis_tickets[[#This Row],[priority]],tbl_sla[priority],tbl_sla[Resolution SLA Hours])</f>
        <v>72</v>
      </c>
      <c r="L1479">
        <f>_xlfn.XLOOKUP(tbl_analysis_tickets[[#This Row],[priority]],tbl_sla[priority],tbl_sla[First Response SLA Minutes])</f>
        <v>240</v>
      </c>
      <c r="M1479" t="str">
        <f>IF(tbl_analysis_tickets[[#This Row],[resolution_time_hours]]&gt;tbl_analysis_tickets[[#This Row],[Resolution SLA Hours]],"Breached","Within SLA")</f>
        <v>Within SLA</v>
      </c>
      <c r="N1479" t="str">
        <f>IF(tbl_analysis_tickets[[#This Row],[first_response_minutes]]&gt;tbl_analysis_tickets[[#This Row],[First Response SLA Minutes]],"Breached","Within SLA")</f>
        <v>Within SLA</v>
      </c>
      <c r="O1479" t="str" cm="1">
        <f t="array" ref="O1479">_xlfn.IFS(
tbl_analysis_tickets[[#This Row],[agent_experience_years]]&lt;=2,"Junior",
tbl_analysis_tickets[[#This Row],[agent_experience_years]]&lt;=5,"Mid-Level",
tbl_analysis_tickets[[#This Row],[agent_experience_years]]&lt;=8,"Senior",
tbl_analysis_tickets[[#This Row],[agent_experience_years]]&gt;8,"Expert"
)</f>
        <v>Mid-Level</v>
      </c>
      <c r="P1479" cm="1">
        <f t="array" ref="P1479">_xlfn.SWITCH(tbl_analysis_tickets[[#This Row],[customer_satisfaction]],
"Low",1,
"Medium",2,
"High",3
)</f>
        <v>2</v>
      </c>
      <c r="Q1479">
        <f>IF(tbl_analysis_tickets[[#This Row],[reopened]]="Yes",1,0)</f>
        <v>0</v>
      </c>
      <c r="R1479" t="str" cm="1">
        <f t="array" ref="R1479">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479" t="str" cm="1">
        <f t="array" ref="S147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479" t="str">
        <f>TEXT(tbl_analysis_tickets[[#This Row],[created_date]],"mmm-yyyy")</f>
        <v>Jan-2024</v>
      </c>
      <c r="U1479" t="str">
        <f>TEXT(tbl_analysis_tickets[[#This Row],[created_date]],"dddd")</f>
        <v>Thursday</v>
      </c>
      <c r="V1479" cm="1">
        <f t="array" ref="V1479">_xlfn.SWITCH(tbl_analysis_tickets[[#This Row],[priority]],
"Urgent",1,
"High",2,
"Medium",3,
"Low",4
)</f>
        <v>4</v>
      </c>
    </row>
    <row r="1480" spans="1:22" x14ac:dyDescent="0.25">
      <c r="A1480">
        <v>1479</v>
      </c>
      <c r="B1480" s="1">
        <v>45400</v>
      </c>
      <c r="C1480" t="s">
        <v>14</v>
      </c>
      <c r="D1480" t="s">
        <v>17</v>
      </c>
      <c r="E1480">
        <v>54</v>
      </c>
      <c r="F1480">
        <v>26</v>
      </c>
      <c r="G1480">
        <v>3</v>
      </c>
      <c r="H1480" t="s">
        <v>18</v>
      </c>
      <c r="I1480" t="s">
        <v>19</v>
      </c>
      <c r="J1480" t="s">
        <v>11</v>
      </c>
      <c r="K1480">
        <f>_xlfn.XLOOKUP(tbl_analysis_tickets[[#This Row],[priority]],tbl_sla[priority],tbl_sla[Resolution SLA Hours])</f>
        <v>8</v>
      </c>
      <c r="L1480">
        <f>_xlfn.XLOOKUP(tbl_analysis_tickets[[#This Row],[priority]],tbl_sla[priority],tbl_sla[First Response SLA Minutes])</f>
        <v>30</v>
      </c>
      <c r="M1480" t="str">
        <f>IF(tbl_analysis_tickets[[#This Row],[resolution_time_hours]]&gt;tbl_analysis_tickets[[#This Row],[Resolution SLA Hours]],"Breached","Within SLA")</f>
        <v>Breached</v>
      </c>
      <c r="N1480" t="str">
        <f>IF(tbl_analysis_tickets[[#This Row],[first_response_minutes]]&gt;tbl_analysis_tickets[[#This Row],[First Response SLA Minutes]],"Breached","Within SLA")</f>
        <v>Breached</v>
      </c>
      <c r="O1480" t="str" cm="1">
        <f t="array" ref="O1480">_xlfn.IFS(
tbl_analysis_tickets[[#This Row],[agent_experience_years]]&lt;=2,"Junior",
tbl_analysis_tickets[[#This Row],[agent_experience_years]]&lt;=5,"Mid-Level",
tbl_analysis_tickets[[#This Row],[agent_experience_years]]&lt;=8,"Senior",
tbl_analysis_tickets[[#This Row],[agent_experience_years]]&gt;8,"Expert"
)</f>
        <v>Mid-Level</v>
      </c>
      <c r="P1480" cm="1">
        <f t="array" ref="P1480">_xlfn.SWITCH(tbl_analysis_tickets[[#This Row],[customer_satisfaction]],
"Low",1,
"Medium",2,
"High",3
)</f>
        <v>1</v>
      </c>
      <c r="Q1480">
        <f>IF(tbl_analysis_tickets[[#This Row],[reopened]]="Yes",1,0)</f>
        <v>0</v>
      </c>
      <c r="R1480" t="str" cm="1">
        <f t="array" ref="R1480">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480" t="str" cm="1">
        <f t="array" ref="S148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480" t="str">
        <f>TEXT(tbl_analysis_tickets[[#This Row],[created_date]],"mmm-yyyy")</f>
        <v>Apr-2024</v>
      </c>
      <c r="U1480" t="str">
        <f>TEXT(tbl_analysis_tickets[[#This Row],[created_date]],"dddd")</f>
        <v>Thursday</v>
      </c>
      <c r="V1480" cm="1">
        <f t="array" ref="V1480">_xlfn.SWITCH(tbl_analysis_tickets[[#This Row],[priority]],
"Urgent",1,
"High",2,
"Medium",3,
"Low",4
)</f>
        <v>1</v>
      </c>
    </row>
    <row r="1481" spans="1:22" x14ac:dyDescent="0.25">
      <c r="A1481">
        <v>1480</v>
      </c>
      <c r="B1481" s="1">
        <v>45340</v>
      </c>
      <c r="C1481" t="s">
        <v>10</v>
      </c>
      <c r="D1481" t="s">
        <v>15</v>
      </c>
      <c r="E1481">
        <v>11</v>
      </c>
      <c r="F1481">
        <v>64</v>
      </c>
      <c r="G1481">
        <v>9.8000000000000007</v>
      </c>
      <c r="H1481" t="s">
        <v>18</v>
      </c>
      <c r="I1481" t="s">
        <v>16</v>
      </c>
      <c r="J1481" t="s">
        <v>20</v>
      </c>
      <c r="K1481">
        <f>_xlfn.XLOOKUP(tbl_analysis_tickets[[#This Row],[priority]],tbl_sla[priority],tbl_sla[Resolution SLA Hours])</f>
        <v>48</v>
      </c>
      <c r="L1481">
        <f>_xlfn.XLOOKUP(tbl_analysis_tickets[[#This Row],[priority]],tbl_sla[priority],tbl_sla[First Response SLA Minutes])</f>
        <v>120</v>
      </c>
      <c r="M1481" t="str">
        <f>IF(tbl_analysis_tickets[[#This Row],[resolution_time_hours]]&gt;tbl_analysis_tickets[[#This Row],[Resolution SLA Hours]],"Breached","Within SLA")</f>
        <v>Breached</v>
      </c>
      <c r="N1481" t="str">
        <f>IF(tbl_analysis_tickets[[#This Row],[first_response_minutes]]&gt;tbl_analysis_tickets[[#This Row],[First Response SLA Minutes]],"Breached","Within SLA")</f>
        <v>Within SLA</v>
      </c>
      <c r="O1481" t="str" cm="1">
        <f t="array" ref="O1481">_xlfn.IFS(
tbl_analysis_tickets[[#This Row],[agent_experience_years]]&lt;=2,"Junior",
tbl_analysis_tickets[[#This Row],[agent_experience_years]]&lt;=5,"Mid-Level",
tbl_analysis_tickets[[#This Row],[agent_experience_years]]&lt;=8,"Senior",
tbl_analysis_tickets[[#This Row],[agent_experience_years]]&gt;8,"Expert"
)</f>
        <v>Expert</v>
      </c>
      <c r="P1481" cm="1">
        <f t="array" ref="P1481">_xlfn.SWITCH(tbl_analysis_tickets[[#This Row],[customer_satisfaction]],
"Low",1,
"Medium",2,
"High",3
)</f>
        <v>3</v>
      </c>
      <c r="Q1481">
        <f>IF(tbl_analysis_tickets[[#This Row],[reopened]]="Yes",1,0)</f>
        <v>0</v>
      </c>
      <c r="R1481" t="str" cm="1">
        <f t="array" ref="R1481">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1481" t="str" cm="1">
        <f t="array" ref="S148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481" t="str">
        <f>TEXT(tbl_analysis_tickets[[#This Row],[created_date]],"mmm-yyyy")</f>
        <v>Feb-2024</v>
      </c>
      <c r="U1481" t="str">
        <f>TEXT(tbl_analysis_tickets[[#This Row],[created_date]],"dddd")</f>
        <v>Sunday</v>
      </c>
      <c r="V1481" cm="1">
        <f t="array" ref="V1481">_xlfn.SWITCH(tbl_analysis_tickets[[#This Row],[priority]],
"Urgent",1,
"High",2,
"Medium",3,
"Low",4
)</f>
        <v>3</v>
      </c>
    </row>
    <row r="1482" spans="1:22" x14ac:dyDescent="0.25">
      <c r="A1482">
        <v>1481</v>
      </c>
      <c r="B1482" s="1">
        <v>45356</v>
      </c>
      <c r="C1482" t="s">
        <v>23</v>
      </c>
      <c r="D1482" t="s">
        <v>17</v>
      </c>
      <c r="E1482">
        <v>238</v>
      </c>
      <c r="F1482">
        <v>8</v>
      </c>
      <c r="G1482">
        <v>4.5999999999999996</v>
      </c>
      <c r="H1482" t="s">
        <v>12</v>
      </c>
      <c r="I1482" t="s">
        <v>16</v>
      </c>
      <c r="J1482" t="s">
        <v>11</v>
      </c>
      <c r="K1482">
        <f>_xlfn.XLOOKUP(tbl_analysis_tickets[[#This Row],[priority]],tbl_sla[priority],tbl_sla[Resolution SLA Hours])</f>
        <v>8</v>
      </c>
      <c r="L1482">
        <f>_xlfn.XLOOKUP(tbl_analysis_tickets[[#This Row],[priority]],tbl_sla[priority],tbl_sla[First Response SLA Minutes])</f>
        <v>30</v>
      </c>
      <c r="M1482" t="str">
        <f>IF(tbl_analysis_tickets[[#This Row],[resolution_time_hours]]&gt;tbl_analysis_tickets[[#This Row],[Resolution SLA Hours]],"Breached","Within SLA")</f>
        <v>Within SLA</v>
      </c>
      <c r="N1482" t="str">
        <f>IF(tbl_analysis_tickets[[#This Row],[first_response_minutes]]&gt;tbl_analysis_tickets[[#This Row],[First Response SLA Minutes]],"Breached","Within SLA")</f>
        <v>Breached</v>
      </c>
      <c r="O1482" t="str" cm="1">
        <f t="array" ref="O1482">_xlfn.IFS(
tbl_analysis_tickets[[#This Row],[agent_experience_years]]&lt;=2,"Junior",
tbl_analysis_tickets[[#This Row],[agent_experience_years]]&lt;=5,"Mid-Level",
tbl_analysis_tickets[[#This Row],[agent_experience_years]]&lt;=8,"Senior",
tbl_analysis_tickets[[#This Row],[agent_experience_years]]&gt;8,"Expert"
)</f>
        <v>Mid-Level</v>
      </c>
      <c r="P1482" cm="1">
        <f t="array" ref="P1482">_xlfn.SWITCH(tbl_analysis_tickets[[#This Row],[customer_satisfaction]],
"Low",1,
"Medium",2,
"High",3
)</f>
        <v>1</v>
      </c>
      <c r="Q1482">
        <f>IF(tbl_analysis_tickets[[#This Row],[reopened]]="Yes",1,0)</f>
        <v>1</v>
      </c>
      <c r="R1482" t="str" cm="1">
        <f t="array" ref="R1482">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482" t="str" cm="1">
        <f t="array" ref="S148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1482" t="str">
        <f>TEXT(tbl_analysis_tickets[[#This Row],[created_date]],"mmm-yyyy")</f>
        <v>Mar-2024</v>
      </c>
      <c r="U1482" t="str">
        <f>TEXT(tbl_analysis_tickets[[#This Row],[created_date]],"dddd")</f>
        <v>Tuesday</v>
      </c>
      <c r="V1482" cm="1">
        <f t="array" ref="V1482">_xlfn.SWITCH(tbl_analysis_tickets[[#This Row],[priority]],
"Urgent",1,
"High",2,
"Medium",3,
"Low",4
)</f>
        <v>1</v>
      </c>
    </row>
    <row r="1483" spans="1:22" x14ac:dyDescent="0.25">
      <c r="A1483">
        <v>1482</v>
      </c>
      <c r="B1483" s="1">
        <v>45618</v>
      </c>
      <c r="C1483" t="s">
        <v>21</v>
      </c>
      <c r="D1483" t="s">
        <v>20</v>
      </c>
      <c r="E1483">
        <v>91</v>
      </c>
      <c r="F1483">
        <v>17</v>
      </c>
      <c r="G1483">
        <v>0.8</v>
      </c>
      <c r="H1483" t="s">
        <v>18</v>
      </c>
      <c r="I1483" t="s">
        <v>16</v>
      </c>
      <c r="J1483" t="s">
        <v>11</v>
      </c>
      <c r="K1483">
        <f>_xlfn.XLOOKUP(tbl_analysis_tickets[[#This Row],[priority]],tbl_sla[priority],tbl_sla[Resolution SLA Hours])</f>
        <v>24</v>
      </c>
      <c r="L1483">
        <f>_xlfn.XLOOKUP(tbl_analysis_tickets[[#This Row],[priority]],tbl_sla[priority],tbl_sla[First Response SLA Minutes])</f>
        <v>60</v>
      </c>
      <c r="M1483" t="str">
        <f>IF(tbl_analysis_tickets[[#This Row],[resolution_time_hours]]&gt;tbl_analysis_tickets[[#This Row],[Resolution SLA Hours]],"Breached","Within SLA")</f>
        <v>Within SLA</v>
      </c>
      <c r="N1483" t="str">
        <f>IF(tbl_analysis_tickets[[#This Row],[first_response_minutes]]&gt;tbl_analysis_tickets[[#This Row],[First Response SLA Minutes]],"Breached","Within SLA")</f>
        <v>Breached</v>
      </c>
      <c r="O1483" t="str" cm="1">
        <f t="array" ref="O1483">_xlfn.IFS(
tbl_analysis_tickets[[#This Row],[agent_experience_years]]&lt;=2,"Junior",
tbl_analysis_tickets[[#This Row],[agent_experience_years]]&lt;=5,"Mid-Level",
tbl_analysis_tickets[[#This Row],[agent_experience_years]]&lt;=8,"Senior",
tbl_analysis_tickets[[#This Row],[agent_experience_years]]&gt;8,"Expert"
)</f>
        <v>Junior</v>
      </c>
      <c r="P1483" cm="1">
        <f t="array" ref="P1483">_xlfn.SWITCH(tbl_analysis_tickets[[#This Row],[customer_satisfaction]],
"Low",1,
"Medium",2,
"High",3
)</f>
        <v>1</v>
      </c>
      <c r="Q1483">
        <f>IF(tbl_analysis_tickets[[#This Row],[reopened]]="Yes",1,0)</f>
        <v>0</v>
      </c>
      <c r="R1483" t="str" cm="1">
        <f t="array" ref="R1483">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483" t="str" cm="1">
        <f t="array" ref="S148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483" t="str">
        <f>TEXT(tbl_analysis_tickets[[#This Row],[created_date]],"mmm-yyyy")</f>
        <v>Nov-2024</v>
      </c>
      <c r="U1483" t="str">
        <f>TEXT(tbl_analysis_tickets[[#This Row],[created_date]],"dddd")</f>
        <v>Friday</v>
      </c>
      <c r="V1483" cm="1">
        <f t="array" ref="V1483">_xlfn.SWITCH(tbl_analysis_tickets[[#This Row],[priority]],
"Urgent",1,
"High",2,
"Medium",3,
"Low",4
)</f>
        <v>2</v>
      </c>
    </row>
    <row r="1484" spans="1:22" x14ac:dyDescent="0.25">
      <c r="A1484">
        <v>1483</v>
      </c>
      <c r="B1484" s="1">
        <v>45544</v>
      </c>
      <c r="C1484" t="s">
        <v>14</v>
      </c>
      <c r="D1484" t="s">
        <v>20</v>
      </c>
      <c r="E1484">
        <v>68</v>
      </c>
      <c r="F1484">
        <v>55</v>
      </c>
      <c r="G1484">
        <v>7.2</v>
      </c>
      <c r="H1484" t="s">
        <v>18</v>
      </c>
      <c r="I1484" t="s">
        <v>13</v>
      </c>
      <c r="J1484" t="s">
        <v>11</v>
      </c>
      <c r="K1484">
        <f>_xlfn.XLOOKUP(tbl_analysis_tickets[[#This Row],[priority]],tbl_sla[priority],tbl_sla[Resolution SLA Hours])</f>
        <v>24</v>
      </c>
      <c r="L1484">
        <f>_xlfn.XLOOKUP(tbl_analysis_tickets[[#This Row],[priority]],tbl_sla[priority],tbl_sla[First Response SLA Minutes])</f>
        <v>60</v>
      </c>
      <c r="M1484" t="str">
        <f>IF(tbl_analysis_tickets[[#This Row],[resolution_time_hours]]&gt;tbl_analysis_tickets[[#This Row],[Resolution SLA Hours]],"Breached","Within SLA")</f>
        <v>Breached</v>
      </c>
      <c r="N1484" t="str">
        <f>IF(tbl_analysis_tickets[[#This Row],[first_response_minutes]]&gt;tbl_analysis_tickets[[#This Row],[First Response SLA Minutes]],"Breached","Within SLA")</f>
        <v>Breached</v>
      </c>
      <c r="O1484" t="str" cm="1">
        <f t="array" ref="O1484">_xlfn.IFS(
tbl_analysis_tickets[[#This Row],[agent_experience_years]]&lt;=2,"Junior",
tbl_analysis_tickets[[#This Row],[agent_experience_years]]&lt;=5,"Mid-Level",
tbl_analysis_tickets[[#This Row],[agent_experience_years]]&lt;=8,"Senior",
tbl_analysis_tickets[[#This Row],[agent_experience_years]]&gt;8,"Expert"
)</f>
        <v>Senior</v>
      </c>
      <c r="P1484" cm="1">
        <f t="array" ref="P1484">_xlfn.SWITCH(tbl_analysis_tickets[[#This Row],[customer_satisfaction]],
"Low",1,
"Medium",2,
"High",3
)</f>
        <v>1</v>
      </c>
      <c r="Q1484">
        <f>IF(tbl_analysis_tickets[[#This Row],[reopened]]="Yes",1,0)</f>
        <v>0</v>
      </c>
      <c r="R1484" t="str" cm="1">
        <f t="array" ref="R1484">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484" t="str" cm="1">
        <f t="array" ref="S148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484" t="str">
        <f>TEXT(tbl_analysis_tickets[[#This Row],[created_date]],"mmm-yyyy")</f>
        <v>Sep-2024</v>
      </c>
      <c r="U1484" t="str">
        <f>TEXT(tbl_analysis_tickets[[#This Row],[created_date]],"dddd")</f>
        <v>Monday</v>
      </c>
      <c r="V1484" cm="1">
        <f t="array" ref="V1484">_xlfn.SWITCH(tbl_analysis_tickets[[#This Row],[priority]],
"Urgent",1,
"High",2,
"Medium",3,
"Low",4
)</f>
        <v>2</v>
      </c>
    </row>
    <row r="1485" spans="1:22" x14ac:dyDescent="0.25">
      <c r="A1485">
        <v>1484</v>
      </c>
      <c r="B1485" s="1">
        <v>45426</v>
      </c>
      <c r="C1485" t="s">
        <v>10</v>
      </c>
      <c r="D1485" t="s">
        <v>15</v>
      </c>
      <c r="E1485">
        <v>193</v>
      </c>
      <c r="F1485">
        <v>55</v>
      </c>
      <c r="G1485">
        <v>5.8</v>
      </c>
      <c r="H1485" t="s">
        <v>12</v>
      </c>
      <c r="I1485" t="s">
        <v>19</v>
      </c>
      <c r="J1485" t="s">
        <v>11</v>
      </c>
      <c r="K1485">
        <f>_xlfn.XLOOKUP(tbl_analysis_tickets[[#This Row],[priority]],tbl_sla[priority],tbl_sla[Resolution SLA Hours])</f>
        <v>48</v>
      </c>
      <c r="L1485">
        <f>_xlfn.XLOOKUP(tbl_analysis_tickets[[#This Row],[priority]],tbl_sla[priority],tbl_sla[First Response SLA Minutes])</f>
        <v>120</v>
      </c>
      <c r="M1485" t="str">
        <f>IF(tbl_analysis_tickets[[#This Row],[resolution_time_hours]]&gt;tbl_analysis_tickets[[#This Row],[Resolution SLA Hours]],"Breached","Within SLA")</f>
        <v>Breached</v>
      </c>
      <c r="N1485" t="str">
        <f>IF(tbl_analysis_tickets[[#This Row],[first_response_minutes]]&gt;tbl_analysis_tickets[[#This Row],[First Response SLA Minutes]],"Breached","Within SLA")</f>
        <v>Breached</v>
      </c>
      <c r="O1485" t="str" cm="1">
        <f t="array" ref="O1485">_xlfn.IFS(
tbl_analysis_tickets[[#This Row],[agent_experience_years]]&lt;=2,"Junior",
tbl_analysis_tickets[[#This Row],[agent_experience_years]]&lt;=5,"Mid-Level",
tbl_analysis_tickets[[#This Row],[agent_experience_years]]&lt;=8,"Senior",
tbl_analysis_tickets[[#This Row],[agent_experience_years]]&gt;8,"Expert"
)</f>
        <v>Senior</v>
      </c>
      <c r="P1485" cm="1">
        <f t="array" ref="P1485">_xlfn.SWITCH(tbl_analysis_tickets[[#This Row],[customer_satisfaction]],
"Low",1,
"Medium",2,
"High",3
)</f>
        <v>1</v>
      </c>
      <c r="Q1485">
        <f>IF(tbl_analysis_tickets[[#This Row],[reopened]]="Yes",1,0)</f>
        <v>1</v>
      </c>
      <c r="R1485" t="str" cm="1">
        <f t="array" ref="R1485">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485" t="str" cm="1">
        <f t="array" ref="S148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485" t="str">
        <f>TEXT(tbl_analysis_tickets[[#This Row],[created_date]],"mmm-yyyy")</f>
        <v>May-2024</v>
      </c>
      <c r="U1485" t="str">
        <f>TEXT(tbl_analysis_tickets[[#This Row],[created_date]],"dddd")</f>
        <v>Tuesday</v>
      </c>
      <c r="V1485" cm="1">
        <f t="array" ref="V1485">_xlfn.SWITCH(tbl_analysis_tickets[[#This Row],[priority]],
"Urgent",1,
"High",2,
"Medium",3,
"Low",4
)</f>
        <v>3</v>
      </c>
    </row>
    <row r="1486" spans="1:22" x14ac:dyDescent="0.25">
      <c r="A1486">
        <v>1485</v>
      </c>
      <c r="B1486" s="1">
        <v>45518</v>
      </c>
      <c r="C1486" t="s">
        <v>21</v>
      </c>
      <c r="D1486" t="s">
        <v>11</v>
      </c>
      <c r="E1486">
        <v>35</v>
      </c>
      <c r="F1486">
        <v>34</v>
      </c>
      <c r="G1486">
        <v>1.1000000000000001</v>
      </c>
      <c r="H1486" t="s">
        <v>18</v>
      </c>
      <c r="I1486" t="s">
        <v>13</v>
      </c>
      <c r="J1486" t="s">
        <v>11</v>
      </c>
      <c r="K1486">
        <f>_xlfn.XLOOKUP(tbl_analysis_tickets[[#This Row],[priority]],tbl_sla[priority],tbl_sla[Resolution SLA Hours])</f>
        <v>72</v>
      </c>
      <c r="L1486">
        <f>_xlfn.XLOOKUP(tbl_analysis_tickets[[#This Row],[priority]],tbl_sla[priority],tbl_sla[First Response SLA Minutes])</f>
        <v>240</v>
      </c>
      <c r="M1486" t="str">
        <f>IF(tbl_analysis_tickets[[#This Row],[resolution_time_hours]]&gt;tbl_analysis_tickets[[#This Row],[Resolution SLA Hours]],"Breached","Within SLA")</f>
        <v>Within SLA</v>
      </c>
      <c r="N1486" t="str">
        <f>IF(tbl_analysis_tickets[[#This Row],[first_response_minutes]]&gt;tbl_analysis_tickets[[#This Row],[First Response SLA Minutes]],"Breached","Within SLA")</f>
        <v>Within SLA</v>
      </c>
      <c r="O1486" t="str" cm="1">
        <f t="array" ref="O1486">_xlfn.IFS(
tbl_analysis_tickets[[#This Row],[agent_experience_years]]&lt;=2,"Junior",
tbl_analysis_tickets[[#This Row],[agent_experience_years]]&lt;=5,"Mid-Level",
tbl_analysis_tickets[[#This Row],[agent_experience_years]]&lt;=8,"Senior",
tbl_analysis_tickets[[#This Row],[agent_experience_years]]&gt;8,"Expert"
)</f>
        <v>Junior</v>
      </c>
      <c r="P1486" cm="1">
        <f t="array" ref="P1486">_xlfn.SWITCH(tbl_analysis_tickets[[#This Row],[customer_satisfaction]],
"Low",1,
"Medium",2,
"High",3
)</f>
        <v>1</v>
      </c>
      <c r="Q1486">
        <f>IF(tbl_analysis_tickets[[#This Row],[reopened]]="Yes",1,0)</f>
        <v>0</v>
      </c>
      <c r="R1486" t="str" cm="1">
        <f t="array" ref="R1486">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486" t="str" cm="1">
        <f t="array" ref="S148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486" t="str">
        <f>TEXT(tbl_analysis_tickets[[#This Row],[created_date]],"mmm-yyyy")</f>
        <v>Aug-2024</v>
      </c>
      <c r="U1486" t="str">
        <f>TEXT(tbl_analysis_tickets[[#This Row],[created_date]],"dddd")</f>
        <v>Wednesday</v>
      </c>
      <c r="V1486" cm="1">
        <f t="array" ref="V1486">_xlfn.SWITCH(tbl_analysis_tickets[[#This Row],[priority]],
"Urgent",1,
"High",2,
"Medium",3,
"Low",4
)</f>
        <v>4</v>
      </c>
    </row>
    <row r="1487" spans="1:22" x14ac:dyDescent="0.25">
      <c r="A1487">
        <v>1486</v>
      </c>
      <c r="B1487" s="1">
        <v>45367</v>
      </c>
      <c r="C1487" t="s">
        <v>21</v>
      </c>
      <c r="D1487" t="s">
        <v>17</v>
      </c>
      <c r="E1487">
        <v>99</v>
      </c>
      <c r="F1487">
        <v>63</v>
      </c>
      <c r="G1487">
        <v>6.1</v>
      </c>
      <c r="H1487" t="s">
        <v>12</v>
      </c>
      <c r="I1487" t="s">
        <v>16</v>
      </c>
      <c r="J1487" t="s">
        <v>11</v>
      </c>
      <c r="K1487">
        <f>_xlfn.XLOOKUP(tbl_analysis_tickets[[#This Row],[priority]],tbl_sla[priority],tbl_sla[Resolution SLA Hours])</f>
        <v>8</v>
      </c>
      <c r="L1487">
        <f>_xlfn.XLOOKUP(tbl_analysis_tickets[[#This Row],[priority]],tbl_sla[priority],tbl_sla[First Response SLA Minutes])</f>
        <v>30</v>
      </c>
      <c r="M1487" t="str">
        <f>IF(tbl_analysis_tickets[[#This Row],[resolution_time_hours]]&gt;tbl_analysis_tickets[[#This Row],[Resolution SLA Hours]],"Breached","Within SLA")</f>
        <v>Breached</v>
      </c>
      <c r="N1487" t="str">
        <f>IF(tbl_analysis_tickets[[#This Row],[first_response_minutes]]&gt;tbl_analysis_tickets[[#This Row],[First Response SLA Minutes]],"Breached","Within SLA")</f>
        <v>Breached</v>
      </c>
      <c r="O1487" t="str" cm="1">
        <f t="array" ref="O1487">_xlfn.IFS(
tbl_analysis_tickets[[#This Row],[agent_experience_years]]&lt;=2,"Junior",
tbl_analysis_tickets[[#This Row],[agent_experience_years]]&lt;=5,"Mid-Level",
tbl_analysis_tickets[[#This Row],[agent_experience_years]]&lt;=8,"Senior",
tbl_analysis_tickets[[#This Row],[agent_experience_years]]&gt;8,"Expert"
)</f>
        <v>Senior</v>
      </c>
      <c r="P1487" cm="1">
        <f t="array" ref="P1487">_xlfn.SWITCH(tbl_analysis_tickets[[#This Row],[customer_satisfaction]],
"Low",1,
"Medium",2,
"High",3
)</f>
        <v>1</v>
      </c>
      <c r="Q1487">
        <f>IF(tbl_analysis_tickets[[#This Row],[reopened]]="Yes",1,0)</f>
        <v>1</v>
      </c>
      <c r="R1487" t="str" cm="1">
        <f t="array" ref="R1487">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487" t="str" cm="1">
        <f t="array" ref="S148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487" t="str">
        <f>TEXT(tbl_analysis_tickets[[#This Row],[created_date]],"mmm-yyyy")</f>
        <v>Mar-2024</v>
      </c>
      <c r="U1487" t="str">
        <f>TEXT(tbl_analysis_tickets[[#This Row],[created_date]],"dddd")</f>
        <v>Saturday</v>
      </c>
      <c r="V1487" cm="1">
        <f t="array" ref="V1487">_xlfn.SWITCH(tbl_analysis_tickets[[#This Row],[priority]],
"Urgent",1,
"High",2,
"Medium",3,
"Low",4
)</f>
        <v>1</v>
      </c>
    </row>
    <row r="1488" spans="1:22" x14ac:dyDescent="0.25">
      <c r="A1488">
        <v>1487</v>
      </c>
      <c r="B1488" s="1">
        <v>45492</v>
      </c>
      <c r="C1488" t="s">
        <v>10</v>
      </c>
      <c r="D1488" t="s">
        <v>11</v>
      </c>
      <c r="E1488">
        <v>72</v>
      </c>
      <c r="F1488">
        <v>54</v>
      </c>
      <c r="G1488">
        <v>8.5</v>
      </c>
      <c r="H1488" t="s">
        <v>12</v>
      </c>
      <c r="I1488" t="s">
        <v>16</v>
      </c>
      <c r="J1488" t="s">
        <v>11</v>
      </c>
      <c r="K1488">
        <f>_xlfn.XLOOKUP(tbl_analysis_tickets[[#This Row],[priority]],tbl_sla[priority],tbl_sla[Resolution SLA Hours])</f>
        <v>72</v>
      </c>
      <c r="L1488">
        <f>_xlfn.XLOOKUP(tbl_analysis_tickets[[#This Row],[priority]],tbl_sla[priority],tbl_sla[First Response SLA Minutes])</f>
        <v>240</v>
      </c>
      <c r="M1488" t="str">
        <f>IF(tbl_analysis_tickets[[#This Row],[resolution_time_hours]]&gt;tbl_analysis_tickets[[#This Row],[Resolution SLA Hours]],"Breached","Within SLA")</f>
        <v>Within SLA</v>
      </c>
      <c r="N1488" t="str">
        <f>IF(tbl_analysis_tickets[[#This Row],[first_response_minutes]]&gt;tbl_analysis_tickets[[#This Row],[First Response SLA Minutes]],"Breached","Within SLA")</f>
        <v>Within SLA</v>
      </c>
      <c r="O1488" t="str" cm="1">
        <f t="array" ref="O1488">_xlfn.IFS(
tbl_analysis_tickets[[#This Row],[agent_experience_years]]&lt;=2,"Junior",
tbl_analysis_tickets[[#This Row],[agent_experience_years]]&lt;=5,"Mid-Level",
tbl_analysis_tickets[[#This Row],[agent_experience_years]]&lt;=8,"Senior",
tbl_analysis_tickets[[#This Row],[agent_experience_years]]&gt;8,"Expert"
)</f>
        <v>Expert</v>
      </c>
      <c r="P1488" cm="1">
        <f t="array" ref="P1488">_xlfn.SWITCH(tbl_analysis_tickets[[#This Row],[customer_satisfaction]],
"Low",1,
"Medium",2,
"High",3
)</f>
        <v>1</v>
      </c>
      <c r="Q1488">
        <f>IF(tbl_analysis_tickets[[#This Row],[reopened]]="Yes",1,0)</f>
        <v>1</v>
      </c>
      <c r="R1488" t="str" cm="1">
        <f t="array" ref="R1488">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488" t="str" cm="1">
        <f t="array" ref="S148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488" t="str">
        <f>TEXT(tbl_analysis_tickets[[#This Row],[created_date]],"mmm-yyyy")</f>
        <v>Jul-2024</v>
      </c>
      <c r="U1488" t="str">
        <f>TEXT(tbl_analysis_tickets[[#This Row],[created_date]],"dddd")</f>
        <v>Friday</v>
      </c>
      <c r="V1488" cm="1">
        <f t="array" ref="V1488">_xlfn.SWITCH(tbl_analysis_tickets[[#This Row],[priority]],
"Urgent",1,
"High",2,
"Medium",3,
"Low",4
)</f>
        <v>4</v>
      </c>
    </row>
    <row r="1489" spans="1:22" x14ac:dyDescent="0.25">
      <c r="A1489">
        <v>1488</v>
      </c>
      <c r="B1489" s="1">
        <v>45553</v>
      </c>
      <c r="C1489" t="s">
        <v>22</v>
      </c>
      <c r="D1489" t="s">
        <v>15</v>
      </c>
      <c r="E1489">
        <v>122</v>
      </c>
      <c r="F1489">
        <v>43</v>
      </c>
      <c r="G1489">
        <v>5.4</v>
      </c>
      <c r="H1489" t="s">
        <v>18</v>
      </c>
      <c r="I1489" t="s">
        <v>13</v>
      </c>
      <c r="J1489" t="s">
        <v>15</v>
      </c>
      <c r="K1489">
        <f>_xlfn.XLOOKUP(tbl_analysis_tickets[[#This Row],[priority]],tbl_sla[priority],tbl_sla[Resolution SLA Hours])</f>
        <v>48</v>
      </c>
      <c r="L1489">
        <f>_xlfn.XLOOKUP(tbl_analysis_tickets[[#This Row],[priority]],tbl_sla[priority],tbl_sla[First Response SLA Minutes])</f>
        <v>120</v>
      </c>
      <c r="M1489" t="str">
        <f>IF(tbl_analysis_tickets[[#This Row],[resolution_time_hours]]&gt;tbl_analysis_tickets[[#This Row],[Resolution SLA Hours]],"Breached","Within SLA")</f>
        <v>Within SLA</v>
      </c>
      <c r="N1489" t="str">
        <f>IF(tbl_analysis_tickets[[#This Row],[first_response_minutes]]&gt;tbl_analysis_tickets[[#This Row],[First Response SLA Minutes]],"Breached","Within SLA")</f>
        <v>Breached</v>
      </c>
      <c r="O1489" t="str" cm="1">
        <f t="array" ref="O1489">_xlfn.IFS(
tbl_analysis_tickets[[#This Row],[agent_experience_years]]&lt;=2,"Junior",
tbl_analysis_tickets[[#This Row],[agent_experience_years]]&lt;=5,"Mid-Level",
tbl_analysis_tickets[[#This Row],[agent_experience_years]]&lt;=8,"Senior",
tbl_analysis_tickets[[#This Row],[agent_experience_years]]&gt;8,"Expert"
)</f>
        <v>Senior</v>
      </c>
      <c r="P1489" cm="1">
        <f t="array" ref="P1489">_xlfn.SWITCH(tbl_analysis_tickets[[#This Row],[customer_satisfaction]],
"Low",1,
"Medium",2,
"High",3
)</f>
        <v>2</v>
      </c>
      <c r="Q1489">
        <f>IF(tbl_analysis_tickets[[#This Row],[reopened]]="Yes",1,0)</f>
        <v>0</v>
      </c>
      <c r="R1489" t="str" cm="1">
        <f t="array" ref="R1489">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489" t="str" cm="1">
        <f t="array" ref="S148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489" t="str">
        <f>TEXT(tbl_analysis_tickets[[#This Row],[created_date]],"mmm-yyyy")</f>
        <v>Sep-2024</v>
      </c>
      <c r="U1489" t="str">
        <f>TEXT(tbl_analysis_tickets[[#This Row],[created_date]],"dddd")</f>
        <v>Wednesday</v>
      </c>
      <c r="V1489" cm="1">
        <f t="array" ref="V1489">_xlfn.SWITCH(tbl_analysis_tickets[[#This Row],[priority]],
"Urgent",1,
"High",2,
"Medium",3,
"Low",4
)</f>
        <v>3</v>
      </c>
    </row>
    <row r="1490" spans="1:22" x14ac:dyDescent="0.25">
      <c r="A1490">
        <v>1489</v>
      </c>
      <c r="B1490" s="1">
        <v>45575</v>
      </c>
      <c r="C1490" t="s">
        <v>21</v>
      </c>
      <c r="D1490" t="s">
        <v>11</v>
      </c>
      <c r="E1490">
        <v>70</v>
      </c>
      <c r="F1490">
        <v>43</v>
      </c>
      <c r="G1490">
        <v>6.8</v>
      </c>
      <c r="H1490" t="s">
        <v>18</v>
      </c>
      <c r="I1490" t="s">
        <v>19</v>
      </c>
      <c r="J1490" t="s">
        <v>15</v>
      </c>
      <c r="K1490">
        <f>_xlfn.XLOOKUP(tbl_analysis_tickets[[#This Row],[priority]],tbl_sla[priority],tbl_sla[Resolution SLA Hours])</f>
        <v>72</v>
      </c>
      <c r="L1490">
        <f>_xlfn.XLOOKUP(tbl_analysis_tickets[[#This Row],[priority]],tbl_sla[priority],tbl_sla[First Response SLA Minutes])</f>
        <v>240</v>
      </c>
      <c r="M1490" t="str">
        <f>IF(tbl_analysis_tickets[[#This Row],[resolution_time_hours]]&gt;tbl_analysis_tickets[[#This Row],[Resolution SLA Hours]],"Breached","Within SLA")</f>
        <v>Within SLA</v>
      </c>
      <c r="N1490" t="str">
        <f>IF(tbl_analysis_tickets[[#This Row],[first_response_minutes]]&gt;tbl_analysis_tickets[[#This Row],[First Response SLA Minutes]],"Breached","Within SLA")</f>
        <v>Within SLA</v>
      </c>
      <c r="O1490" t="str" cm="1">
        <f t="array" ref="O1490">_xlfn.IFS(
tbl_analysis_tickets[[#This Row],[agent_experience_years]]&lt;=2,"Junior",
tbl_analysis_tickets[[#This Row],[agent_experience_years]]&lt;=5,"Mid-Level",
tbl_analysis_tickets[[#This Row],[agent_experience_years]]&lt;=8,"Senior",
tbl_analysis_tickets[[#This Row],[agent_experience_years]]&gt;8,"Expert"
)</f>
        <v>Senior</v>
      </c>
      <c r="P1490" cm="1">
        <f t="array" ref="P1490">_xlfn.SWITCH(tbl_analysis_tickets[[#This Row],[customer_satisfaction]],
"Low",1,
"Medium",2,
"High",3
)</f>
        <v>2</v>
      </c>
      <c r="Q1490">
        <f>IF(tbl_analysis_tickets[[#This Row],[reopened]]="Yes",1,0)</f>
        <v>0</v>
      </c>
      <c r="R1490" t="str" cm="1">
        <f t="array" ref="R1490">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490" t="str" cm="1">
        <f t="array" ref="S149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490" t="str">
        <f>TEXT(tbl_analysis_tickets[[#This Row],[created_date]],"mmm-yyyy")</f>
        <v>Oct-2024</v>
      </c>
      <c r="U1490" t="str">
        <f>TEXT(tbl_analysis_tickets[[#This Row],[created_date]],"dddd")</f>
        <v>Thursday</v>
      </c>
      <c r="V1490" cm="1">
        <f t="array" ref="V1490">_xlfn.SWITCH(tbl_analysis_tickets[[#This Row],[priority]],
"Urgent",1,
"High",2,
"Medium",3,
"Low",4
)</f>
        <v>4</v>
      </c>
    </row>
    <row r="1491" spans="1:22" x14ac:dyDescent="0.25">
      <c r="A1491">
        <v>1490</v>
      </c>
      <c r="B1491" s="1">
        <v>45639</v>
      </c>
      <c r="C1491" t="s">
        <v>14</v>
      </c>
      <c r="D1491" t="s">
        <v>17</v>
      </c>
      <c r="E1491">
        <v>176</v>
      </c>
      <c r="F1491">
        <v>61</v>
      </c>
      <c r="G1491">
        <v>7.6</v>
      </c>
      <c r="H1491" t="s">
        <v>18</v>
      </c>
      <c r="I1491" t="s">
        <v>13</v>
      </c>
      <c r="J1491" t="s">
        <v>11</v>
      </c>
      <c r="K1491">
        <f>_xlfn.XLOOKUP(tbl_analysis_tickets[[#This Row],[priority]],tbl_sla[priority],tbl_sla[Resolution SLA Hours])</f>
        <v>8</v>
      </c>
      <c r="L1491">
        <f>_xlfn.XLOOKUP(tbl_analysis_tickets[[#This Row],[priority]],tbl_sla[priority],tbl_sla[First Response SLA Minutes])</f>
        <v>30</v>
      </c>
      <c r="M1491" t="str">
        <f>IF(tbl_analysis_tickets[[#This Row],[resolution_time_hours]]&gt;tbl_analysis_tickets[[#This Row],[Resolution SLA Hours]],"Breached","Within SLA")</f>
        <v>Breached</v>
      </c>
      <c r="N1491" t="str">
        <f>IF(tbl_analysis_tickets[[#This Row],[first_response_minutes]]&gt;tbl_analysis_tickets[[#This Row],[First Response SLA Minutes]],"Breached","Within SLA")</f>
        <v>Breached</v>
      </c>
      <c r="O1491" t="str" cm="1">
        <f t="array" ref="O1491">_xlfn.IFS(
tbl_analysis_tickets[[#This Row],[agent_experience_years]]&lt;=2,"Junior",
tbl_analysis_tickets[[#This Row],[agent_experience_years]]&lt;=5,"Mid-Level",
tbl_analysis_tickets[[#This Row],[agent_experience_years]]&lt;=8,"Senior",
tbl_analysis_tickets[[#This Row],[agent_experience_years]]&gt;8,"Expert"
)</f>
        <v>Senior</v>
      </c>
      <c r="P1491" cm="1">
        <f t="array" ref="P1491">_xlfn.SWITCH(tbl_analysis_tickets[[#This Row],[customer_satisfaction]],
"Low",1,
"Medium",2,
"High",3
)</f>
        <v>1</v>
      </c>
      <c r="Q1491">
        <f>IF(tbl_analysis_tickets[[#This Row],[reopened]]="Yes",1,0)</f>
        <v>0</v>
      </c>
      <c r="R1491" t="str" cm="1">
        <f t="array" ref="R1491">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491" t="str" cm="1">
        <f t="array" ref="S149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491" t="str">
        <f>TEXT(tbl_analysis_tickets[[#This Row],[created_date]],"mmm-yyyy")</f>
        <v>Dec-2024</v>
      </c>
      <c r="U1491" t="str">
        <f>TEXT(tbl_analysis_tickets[[#This Row],[created_date]],"dddd")</f>
        <v>Friday</v>
      </c>
      <c r="V1491" cm="1">
        <f t="array" ref="V1491">_xlfn.SWITCH(tbl_analysis_tickets[[#This Row],[priority]],
"Urgent",1,
"High",2,
"Medium",3,
"Low",4
)</f>
        <v>1</v>
      </c>
    </row>
    <row r="1492" spans="1:22" x14ac:dyDescent="0.25">
      <c r="A1492">
        <v>1491</v>
      </c>
      <c r="B1492" s="1">
        <v>45605</v>
      </c>
      <c r="C1492" t="s">
        <v>23</v>
      </c>
      <c r="D1492" t="s">
        <v>11</v>
      </c>
      <c r="E1492">
        <v>164</v>
      </c>
      <c r="F1492">
        <v>60</v>
      </c>
      <c r="G1492">
        <v>0.7</v>
      </c>
      <c r="H1492" t="s">
        <v>12</v>
      </c>
      <c r="I1492" t="s">
        <v>13</v>
      </c>
      <c r="J1492" t="s">
        <v>11</v>
      </c>
      <c r="K1492">
        <f>_xlfn.XLOOKUP(tbl_analysis_tickets[[#This Row],[priority]],tbl_sla[priority],tbl_sla[Resolution SLA Hours])</f>
        <v>72</v>
      </c>
      <c r="L1492">
        <f>_xlfn.XLOOKUP(tbl_analysis_tickets[[#This Row],[priority]],tbl_sla[priority],tbl_sla[First Response SLA Minutes])</f>
        <v>240</v>
      </c>
      <c r="M1492" t="str">
        <f>IF(tbl_analysis_tickets[[#This Row],[resolution_time_hours]]&gt;tbl_analysis_tickets[[#This Row],[Resolution SLA Hours]],"Breached","Within SLA")</f>
        <v>Within SLA</v>
      </c>
      <c r="N1492" t="str">
        <f>IF(tbl_analysis_tickets[[#This Row],[first_response_minutes]]&gt;tbl_analysis_tickets[[#This Row],[First Response SLA Minutes]],"Breached","Within SLA")</f>
        <v>Within SLA</v>
      </c>
      <c r="O1492" t="str" cm="1">
        <f t="array" ref="O1492">_xlfn.IFS(
tbl_analysis_tickets[[#This Row],[agent_experience_years]]&lt;=2,"Junior",
tbl_analysis_tickets[[#This Row],[agent_experience_years]]&lt;=5,"Mid-Level",
tbl_analysis_tickets[[#This Row],[agent_experience_years]]&lt;=8,"Senior",
tbl_analysis_tickets[[#This Row],[agent_experience_years]]&gt;8,"Expert"
)</f>
        <v>Junior</v>
      </c>
      <c r="P1492" cm="1">
        <f t="array" ref="P1492">_xlfn.SWITCH(tbl_analysis_tickets[[#This Row],[customer_satisfaction]],
"Low",1,
"Medium",2,
"High",3
)</f>
        <v>1</v>
      </c>
      <c r="Q1492">
        <f>IF(tbl_analysis_tickets[[#This Row],[reopened]]="Yes",1,0)</f>
        <v>1</v>
      </c>
      <c r="R1492" t="str" cm="1">
        <f t="array" ref="R1492">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492" t="str" cm="1">
        <f t="array" ref="S149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492" t="str">
        <f>TEXT(tbl_analysis_tickets[[#This Row],[created_date]],"mmm-yyyy")</f>
        <v>Nov-2024</v>
      </c>
      <c r="U1492" t="str">
        <f>TEXT(tbl_analysis_tickets[[#This Row],[created_date]],"dddd")</f>
        <v>Saturday</v>
      </c>
      <c r="V1492" cm="1">
        <f t="array" ref="V1492">_xlfn.SWITCH(tbl_analysis_tickets[[#This Row],[priority]],
"Urgent",1,
"High",2,
"Medium",3,
"Low",4
)</f>
        <v>4</v>
      </c>
    </row>
    <row r="1493" spans="1:22" x14ac:dyDescent="0.25">
      <c r="A1493">
        <v>1492</v>
      </c>
      <c r="B1493" s="1">
        <v>45544</v>
      </c>
      <c r="C1493" t="s">
        <v>14</v>
      </c>
      <c r="D1493" t="s">
        <v>17</v>
      </c>
      <c r="E1493">
        <v>188</v>
      </c>
      <c r="F1493">
        <v>37</v>
      </c>
      <c r="G1493">
        <v>3.1</v>
      </c>
      <c r="H1493" t="s">
        <v>12</v>
      </c>
      <c r="I1493" t="s">
        <v>13</v>
      </c>
      <c r="J1493" t="s">
        <v>11</v>
      </c>
      <c r="K1493">
        <f>_xlfn.XLOOKUP(tbl_analysis_tickets[[#This Row],[priority]],tbl_sla[priority],tbl_sla[Resolution SLA Hours])</f>
        <v>8</v>
      </c>
      <c r="L1493">
        <f>_xlfn.XLOOKUP(tbl_analysis_tickets[[#This Row],[priority]],tbl_sla[priority],tbl_sla[First Response SLA Minutes])</f>
        <v>30</v>
      </c>
      <c r="M1493" t="str">
        <f>IF(tbl_analysis_tickets[[#This Row],[resolution_time_hours]]&gt;tbl_analysis_tickets[[#This Row],[Resolution SLA Hours]],"Breached","Within SLA")</f>
        <v>Breached</v>
      </c>
      <c r="N1493" t="str">
        <f>IF(tbl_analysis_tickets[[#This Row],[first_response_minutes]]&gt;tbl_analysis_tickets[[#This Row],[First Response SLA Minutes]],"Breached","Within SLA")</f>
        <v>Breached</v>
      </c>
      <c r="O1493" t="str" cm="1">
        <f t="array" ref="O1493">_xlfn.IFS(
tbl_analysis_tickets[[#This Row],[agent_experience_years]]&lt;=2,"Junior",
tbl_analysis_tickets[[#This Row],[agent_experience_years]]&lt;=5,"Mid-Level",
tbl_analysis_tickets[[#This Row],[agent_experience_years]]&lt;=8,"Senior",
tbl_analysis_tickets[[#This Row],[agent_experience_years]]&gt;8,"Expert"
)</f>
        <v>Mid-Level</v>
      </c>
      <c r="P1493" cm="1">
        <f t="array" ref="P1493">_xlfn.SWITCH(tbl_analysis_tickets[[#This Row],[customer_satisfaction]],
"Low",1,
"Medium",2,
"High",3
)</f>
        <v>1</v>
      </c>
      <c r="Q1493">
        <f>IF(tbl_analysis_tickets[[#This Row],[reopened]]="Yes",1,0)</f>
        <v>1</v>
      </c>
      <c r="R1493" t="str" cm="1">
        <f t="array" ref="R1493">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493" t="str" cm="1">
        <f t="array" ref="S149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493" t="str">
        <f>TEXT(tbl_analysis_tickets[[#This Row],[created_date]],"mmm-yyyy")</f>
        <v>Sep-2024</v>
      </c>
      <c r="U1493" t="str">
        <f>TEXT(tbl_analysis_tickets[[#This Row],[created_date]],"dddd")</f>
        <v>Monday</v>
      </c>
      <c r="V1493" cm="1">
        <f t="array" ref="V1493">_xlfn.SWITCH(tbl_analysis_tickets[[#This Row],[priority]],
"Urgent",1,
"High",2,
"Medium",3,
"Low",4
)</f>
        <v>1</v>
      </c>
    </row>
    <row r="1494" spans="1:22" x14ac:dyDescent="0.25">
      <c r="A1494">
        <v>1493</v>
      </c>
      <c r="B1494" s="1">
        <v>45338</v>
      </c>
      <c r="C1494" t="s">
        <v>22</v>
      </c>
      <c r="D1494" t="s">
        <v>20</v>
      </c>
      <c r="E1494">
        <v>20</v>
      </c>
      <c r="F1494">
        <v>67</v>
      </c>
      <c r="G1494">
        <v>2.9</v>
      </c>
      <c r="H1494" t="s">
        <v>18</v>
      </c>
      <c r="I1494" t="s">
        <v>13</v>
      </c>
      <c r="J1494" t="s">
        <v>15</v>
      </c>
      <c r="K1494">
        <f>_xlfn.XLOOKUP(tbl_analysis_tickets[[#This Row],[priority]],tbl_sla[priority],tbl_sla[Resolution SLA Hours])</f>
        <v>24</v>
      </c>
      <c r="L1494">
        <f>_xlfn.XLOOKUP(tbl_analysis_tickets[[#This Row],[priority]],tbl_sla[priority],tbl_sla[First Response SLA Minutes])</f>
        <v>60</v>
      </c>
      <c r="M1494" t="str">
        <f>IF(tbl_analysis_tickets[[#This Row],[resolution_time_hours]]&gt;tbl_analysis_tickets[[#This Row],[Resolution SLA Hours]],"Breached","Within SLA")</f>
        <v>Breached</v>
      </c>
      <c r="N1494" t="str">
        <f>IF(tbl_analysis_tickets[[#This Row],[first_response_minutes]]&gt;tbl_analysis_tickets[[#This Row],[First Response SLA Minutes]],"Breached","Within SLA")</f>
        <v>Within SLA</v>
      </c>
      <c r="O1494" t="str" cm="1">
        <f t="array" ref="O1494">_xlfn.IFS(
tbl_analysis_tickets[[#This Row],[agent_experience_years]]&lt;=2,"Junior",
tbl_analysis_tickets[[#This Row],[agent_experience_years]]&lt;=5,"Mid-Level",
tbl_analysis_tickets[[#This Row],[agent_experience_years]]&lt;=8,"Senior",
tbl_analysis_tickets[[#This Row],[agent_experience_years]]&gt;8,"Expert"
)</f>
        <v>Mid-Level</v>
      </c>
      <c r="P1494" cm="1">
        <f t="array" ref="P1494">_xlfn.SWITCH(tbl_analysis_tickets[[#This Row],[customer_satisfaction]],
"Low",1,
"Medium",2,
"High",3
)</f>
        <v>2</v>
      </c>
      <c r="Q1494">
        <f>IF(tbl_analysis_tickets[[#This Row],[reopened]]="Yes",1,0)</f>
        <v>0</v>
      </c>
      <c r="R1494" t="str" cm="1">
        <f t="array" ref="R1494">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1494" t="str" cm="1">
        <f t="array" ref="S149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494" t="str">
        <f>TEXT(tbl_analysis_tickets[[#This Row],[created_date]],"mmm-yyyy")</f>
        <v>Feb-2024</v>
      </c>
      <c r="U1494" t="str">
        <f>TEXT(tbl_analysis_tickets[[#This Row],[created_date]],"dddd")</f>
        <v>Friday</v>
      </c>
      <c r="V1494" cm="1">
        <f t="array" ref="V1494">_xlfn.SWITCH(tbl_analysis_tickets[[#This Row],[priority]],
"Urgent",1,
"High",2,
"Medium",3,
"Low",4
)</f>
        <v>2</v>
      </c>
    </row>
    <row r="1495" spans="1:22" x14ac:dyDescent="0.25">
      <c r="A1495">
        <v>1494</v>
      </c>
      <c r="B1495" s="1">
        <v>45584</v>
      </c>
      <c r="C1495" t="s">
        <v>21</v>
      </c>
      <c r="D1495" t="s">
        <v>11</v>
      </c>
      <c r="E1495">
        <v>8</v>
      </c>
      <c r="F1495">
        <v>2</v>
      </c>
      <c r="G1495">
        <v>2.8</v>
      </c>
      <c r="H1495" t="s">
        <v>18</v>
      </c>
      <c r="I1495" t="s">
        <v>13</v>
      </c>
      <c r="J1495" t="s">
        <v>20</v>
      </c>
      <c r="K1495">
        <f>_xlfn.XLOOKUP(tbl_analysis_tickets[[#This Row],[priority]],tbl_sla[priority],tbl_sla[Resolution SLA Hours])</f>
        <v>72</v>
      </c>
      <c r="L1495">
        <f>_xlfn.XLOOKUP(tbl_analysis_tickets[[#This Row],[priority]],tbl_sla[priority],tbl_sla[First Response SLA Minutes])</f>
        <v>240</v>
      </c>
      <c r="M1495" t="str">
        <f>IF(tbl_analysis_tickets[[#This Row],[resolution_time_hours]]&gt;tbl_analysis_tickets[[#This Row],[Resolution SLA Hours]],"Breached","Within SLA")</f>
        <v>Within SLA</v>
      </c>
      <c r="N1495" t="str">
        <f>IF(tbl_analysis_tickets[[#This Row],[first_response_minutes]]&gt;tbl_analysis_tickets[[#This Row],[First Response SLA Minutes]],"Breached","Within SLA")</f>
        <v>Within SLA</v>
      </c>
      <c r="O1495" t="str" cm="1">
        <f t="array" ref="O1495">_xlfn.IFS(
tbl_analysis_tickets[[#This Row],[agent_experience_years]]&lt;=2,"Junior",
tbl_analysis_tickets[[#This Row],[agent_experience_years]]&lt;=5,"Mid-Level",
tbl_analysis_tickets[[#This Row],[agent_experience_years]]&lt;=8,"Senior",
tbl_analysis_tickets[[#This Row],[agent_experience_years]]&gt;8,"Expert"
)</f>
        <v>Mid-Level</v>
      </c>
      <c r="P1495" cm="1">
        <f t="array" ref="P1495">_xlfn.SWITCH(tbl_analysis_tickets[[#This Row],[customer_satisfaction]],
"Low",1,
"Medium",2,
"High",3
)</f>
        <v>3</v>
      </c>
      <c r="Q1495">
        <f>IF(tbl_analysis_tickets[[#This Row],[reopened]]="Yes",1,0)</f>
        <v>0</v>
      </c>
      <c r="R1495" t="str" cm="1">
        <f t="array" ref="R1495">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1495" t="str" cm="1">
        <f t="array" ref="S149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1495" t="str">
        <f>TEXT(tbl_analysis_tickets[[#This Row],[created_date]],"mmm-yyyy")</f>
        <v>Oct-2024</v>
      </c>
      <c r="U1495" t="str">
        <f>TEXT(tbl_analysis_tickets[[#This Row],[created_date]],"dddd")</f>
        <v>Saturday</v>
      </c>
      <c r="V1495" cm="1">
        <f t="array" ref="V1495">_xlfn.SWITCH(tbl_analysis_tickets[[#This Row],[priority]],
"Urgent",1,
"High",2,
"Medium",3,
"Low",4
)</f>
        <v>4</v>
      </c>
    </row>
    <row r="1496" spans="1:22" x14ac:dyDescent="0.25">
      <c r="A1496">
        <v>1495</v>
      </c>
      <c r="B1496" s="1">
        <v>45528</v>
      </c>
      <c r="C1496" t="s">
        <v>23</v>
      </c>
      <c r="D1496" t="s">
        <v>15</v>
      </c>
      <c r="E1496">
        <v>236</v>
      </c>
      <c r="F1496">
        <v>68</v>
      </c>
      <c r="G1496">
        <v>2.8</v>
      </c>
      <c r="H1496" t="s">
        <v>12</v>
      </c>
      <c r="I1496" t="s">
        <v>13</v>
      </c>
      <c r="J1496" t="s">
        <v>11</v>
      </c>
      <c r="K1496">
        <f>_xlfn.XLOOKUP(tbl_analysis_tickets[[#This Row],[priority]],tbl_sla[priority],tbl_sla[Resolution SLA Hours])</f>
        <v>48</v>
      </c>
      <c r="L1496">
        <f>_xlfn.XLOOKUP(tbl_analysis_tickets[[#This Row],[priority]],tbl_sla[priority],tbl_sla[First Response SLA Minutes])</f>
        <v>120</v>
      </c>
      <c r="M1496" t="str">
        <f>IF(tbl_analysis_tickets[[#This Row],[resolution_time_hours]]&gt;tbl_analysis_tickets[[#This Row],[Resolution SLA Hours]],"Breached","Within SLA")</f>
        <v>Breached</v>
      </c>
      <c r="N1496" t="str">
        <f>IF(tbl_analysis_tickets[[#This Row],[first_response_minutes]]&gt;tbl_analysis_tickets[[#This Row],[First Response SLA Minutes]],"Breached","Within SLA")</f>
        <v>Breached</v>
      </c>
      <c r="O1496" t="str" cm="1">
        <f t="array" ref="O1496">_xlfn.IFS(
tbl_analysis_tickets[[#This Row],[agent_experience_years]]&lt;=2,"Junior",
tbl_analysis_tickets[[#This Row],[agent_experience_years]]&lt;=5,"Mid-Level",
tbl_analysis_tickets[[#This Row],[agent_experience_years]]&lt;=8,"Senior",
tbl_analysis_tickets[[#This Row],[agent_experience_years]]&gt;8,"Expert"
)</f>
        <v>Mid-Level</v>
      </c>
      <c r="P1496" cm="1">
        <f t="array" ref="P1496">_xlfn.SWITCH(tbl_analysis_tickets[[#This Row],[customer_satisfaction]],
"Low",1,
"Medium",2,
"High",3
)</f>
        <v>1</v>
      </c>
      <c r="Q1496">
        <f>IF(tbl_analysis_tickets[[#This Row],[reopened]]="Yes",1,0)</f>
        <v>1</v>
      </c>
      <c r="R1496" t="str" cm="1">
        <f t="array" ref="R1496">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496" t="str" cm="1">
        <f t="array" ref="S149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496" t="str">
        <f>TEXT(tbl_analysis_tickets[[#This Row],[created_date]],"mmm-yyyy")</f>
        <v>Aug-2024</v>
      </c>
      <c r="U1496" t="str">
        <f>TEXT(tbl_analysis_tickets[[#This Row],[created_date]],"dddd")</f>
        <v>Saturday</v>
      </c>
      <c r="V1496" cm="1">
        <f t="array" ref="V1496">_xlfn.SWITCH(tbl_analysis_tickets[[#This Row],[priority]],
"Urgent",1,
"High",2,
"Medium",3,
"Low",4
)</f>
        <v>3</v>
      </c>
    </row>
    <row r="1497" spans="1:22" x14ac:dyDescent="0.25">
      <c r="A1497">
        <v>1496</v>
      </c>
      <c r="B1497" s="1">
        <v>45314</v>
      </c>
      <c r="C1497" t="s">
        <v>23</v>
      </c>
      <c r="D1497" t="s">
        <v>17</v>
      </c>
      <c r="E1497">
        <v>20</v>
      </c>
      <c r="F1497">
        <v>13</v>
      </c>
      <c r="G1497">
        <v>9.6999999999999993</v>
      </c>
      <c r="H1497" t="s">
        <v>18</v>
      </c>
      <c r="I1497" t="s">
        <v>19</v>
      </c>
      <c r="J1497" t="s">
        <v>15</v>
      </c>
      <c r="K1497">
        <f>_xlfn.XLOOKUP(tbl_analysis_tickets[[#This Row],[priority]],tbl_sla[priority],tbl_sla[Resolution SLA Hours])</f>
        <v>8</v>
      </c>
      <c r="L1497">
        <f>_xlfn.XLOOKUP(tbl_analysis_tickets[[#This Row],[priority]],tbl_sla[priority],tbl_sla[First Response SLA Minutes])</f>
        <v>30</v>
      </c>
      <c r="M1497" t="str">
        <f>IF(tbl_analysis_tickets[[#This Row],[resolution_time_hours]]&gt;tbl_analysis_tickets[[#This Row],[Resolution SLA Hours]],"Breached","Within SLA")</f>
        <v>Breached</v>
      </c>
      <c r="N1497" t="str">
        <f>IF(tbl_analysis_tickets[[#This Row],[first_response_minutes]]&gt;tbl_analysis_tickets[[#This Row],[First Response SLA Minutes]],"Breached","Within SLA")</f>
        <v>Within SLA</v>
      </c>
      <c r="O1497" t="str" cm="1">
        <f t="array" ref="O1497">_xlfn.IFS(
tbl_analysis_tickets[[#This Row],[agent_experience_years]]&lt;=2,"Junior",
tbl_analysis_tickets[[#This Row],[agent_experience_years]]&lt;=5,"Mid-Level",
tbl_analysis_tickets[[#This Row],[agent_experience_years]]&lt;=8,"Senior",
tbl_analysis_tickets[[#This Row],[agent_experience_years]]&gt;8,"Expert"
)</f>
        <v>Expert</v>
      </c>
      <c r="P1497" cm="1">
        <f t="array" ref="P1497">_xlfn.SWITCH(tbl_analysis_tickets[[#This Row],[customer_satisfaction]],
"Low",1,
"Medium",2,
"High",3
)</f>
        <v>2</v>
      </c>
      <c r="Q1497">
        <f>IF(tbl_analysis_tickets[[#This Row],[reopened]]="Yes",1,0)</f>
        <v>0</v>
      </c>
      <c r="R1497" t="str" cm="1">
        <f t="array" ref="R1497">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1497" t="str" cm="1">
        <f t="array" ref="S149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497" t="str">
        <f>TEXT(tbl_analysis_tickets[[#This Row],[created_date]],"mmm-yyyy")</f>
        <v>Jan-2024</v>
      </c>
      <c r="U1497" t="str">
        <f>TEXT(tbl_analysis_tickets[[#This Row],[created_date]],"dddd")</f>
        <v>Tuesday</v>
      </c>
      <c r="V1497" cm="1">
        <f t="array" ref="V1497">_xlfn.SWITCH(tbl_analysis_tickets[[#This Row],[priority]],
"Urgent",1,
"High",2,
"Medium",3,
"Low",4
)</f>
        <v>1</v>
      </c>
    </row>
    <row r="1498" spans="1:22" x14ac:dyDescent="0.25">
      <c r="A1498">
        <v>1497</v>
      </c>
      <c r="B1498" s="1">
        <v>45621</v>
      </c>
      <c r="C1498" t="s">
        <v>14</v>
      </c>
      <c r="D1498" t="s">
        <v>15</v>
      </c>
      <c r="E1498">
        <v>194</v>
      </c>
      <c r="F1498">
        <v>70</v>
      </c>
      <c r="G1498">
        <v>2.8</v>
      </c>
      <c r="H1498" t="s">
        <v>18</v>
      </c>
      <c r="I1498" t="s">
        <v>16</v>
      </c>
      <c r="J1498" t="s">
        <v>11</v>
      </c>
      <c r="K1498">
        <f>_xlfn.XLOOKUP(tbl_analysis_tickets[[#This Row],[priority]],tbl_sla[priority],tbl_sla[Resolution SLA Hours])</f>
        <v>48</v>
      </c>
      <c r="L1498">
        <f>_xlfn.XLOOKUP(tbl_analysis_tickets[[#This Row],[priority]],tbl_sla[priority],tbl_sla[First Response SLA Minutes])</f>
        <v>120</v>
      </c>
      <c r="M1498" t="str">
        <f>IF(tbl_analysis_tickets[[#This Row],[resolution_time_hours]]&gt;tbl_analysis_tickets[[#This Row],[Resolution SLA Hours]],"Breached","Within SLA")</f>
        <v>Breached</v>
      </c>
      <c r="N1498" t="str">
        <f>IF(tbl_analysis_tickets[[#This Row],[first_response_minutes]]&gt;tbl_analysis_tickets[[#This Row],[First Response SLA Minutes]],"Breached","Within SLA")</f>
        <v>Breached</v>
      </c>
      <c r="O1498" t="str" cm="1">
        <f t="array" ref="O1498">_xlfn.IFS(
tbl_analysis_tickets[[#This Row],[agent_experience_years]]&lt;=2,"Junior",
tbl_analysis_tickets[[#This Row],[agent_experience_years]]&lt;=5,"Mid-Level",
tbl_analysis_tickets[[#This Row],[agent_experience_years]]&lt;=8,"Senior",
tbl_analysis_tickets[[#This Row],[agent_experience_years]]&gt;8,"Expert"
)</f>
        <v>Mid-Level</v>
      </c>
      <c r="P1498" cm="1">
        <f t="array" ref="P1498">_xlfn.SWITCH(tbl_analysis_tickets[[#This Row],[customer_satisfaction]],
"Low",1,
"Medium",2,
"High",3
)</f>
        <v>1</v>
      </c>
      <c r="Q1498">
        <f>IF(tbl_analysis_tickets[[#This Row],[reopened]]="Yes",1,0)</f>
        <v>0</v>
      </c>
      <c r="R1498" t="str" cm="1">
        <f t="array" ref="R1498">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498" t="str" cm="1">
        <f t="array" ref="S149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498" t="str">
        <f>TEXT(tbl_analysis_tickets[[#This Row],[created_date]],"mmm-yyyy")</f>
        <v>Nov-2024</v>
      </c>
      <c r="U1498" t="str">
        <f>TEXT(tbl_analysis_tickets[[#This Row],[created_date]],"dddd")</f>
        <v>Monday</v>
      </c>
      <c r="V1498" cm="1">
        <f t="array" ref="V1498">_xlfn.SWITCH(tbl_analysis_tickets[[#This Row],[priority]],
"Urgent",1,
"High",2,
"Medium",3,
"Low",4
)</f>
        <v>3</v>
      </c>
    </row>
    <row r="1499" spans="1:22" x14ac:dyDescent="0.25">
      <c r="A1499">
        <v>1498</v>
      </c>
      <c r="B1499" s="1">
        <v>45643</v>
      </c>
      <c r="C1499" t="s">
        <v>22</v>
      </c>
      <c r="D1499" t="s">
        <v>11</v>
      </c>
      <c r="E1499">
        <v>46</v>
      </c>
      <c r="F1499">
        <v>58</v>
      </c>
      <c r="G1499">
        <v>4.9000000000000004</v>
      </c>
      <c r="H1499" t="s">
        <v>12</v>
      </c>
      <c r="I1499" t="s">
        <v>16</v>
      </c>
      <c r="J1499" t="s">
        <v>11</v>
      </c>
      <c r="K1499">
        <f>_xlfn.XLOOKUP(tbl_analysis_tickets[[#This Row],[priority]],tbl_sla[priority],tbl_sla[Resolution SLA Hours])</f>
        <v>72</v>
      </c>
      <c r="L1499">
        <f>_xlfn.XLOOKUP(tbl_analysis_tickets[[#This Row],[priority]],tbl_sla[priority],tbl_sla[First Response SLA Minutes])</f>
        <v>240</v>
      </c>
      <c r="M1499" t="str">
        <f>IF(tbl_analysis_tickets[[#This Row],[resolution_time_hours]]&gt;tbl_analysis_tickets[[#This Row],[Resolution SLA Hours]],"Breached","Within SLA")</f>
        <v>Within SLA</v>
      </c>
      <c r="N1499" t="str">
        <f>IF(tbl_analysis_tickets[[#This Row],[first_response_minutes]]&gt;tbl_analysis_tickets[[#This Row],[First Response SLA Minutes]],"Breached","Within SLA")</f>
        <v>Within SLA</v>
      </c>
      <c r="O1499" t="str" cm="1">
        <f t="array" ref="O1499">_xlfn.IFS(
tbl_analysis_tickets[[#This Row],[agent_experience_years]]&lt;=2,"Junior",
tbl_analysis_tickets[[#This Row],[agent_experience_years]]&lt;=5,"Mid-Level",
tbl_analysis_tickets[[#This Row],[agent_experience_years]]&lt;=8,"Senior",
tbl_analysis_tickets[[#This Row],[agent_experience_years]]&gt;8,"Expert"
)</f>
        <v>Mid-Level</v>
      </c>
      <c r="P1499" cm="1">
        <f t="array" ref="P1499">_xlfn.SWITCH(tbl_analysis_tickets[[#This Row],[customer_satisfaction]],
"Low",1,
"Medium",2,
"High",3
)</f>
        <v>1</v>
      </c>
      <c r="Q1499">
        <f>IF(tbl_analysis_tickets[[#This Row],[reopened]]="Yes",1,0)</f>
        <v>1</v>
      </c>
      <c r="R1499" t="str" cm="1">
        <f t="array" ref="R1499">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499" t="str" cm="1">
        <f t="array" ref="S149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499" t="str">
        <f>TEXT(tbl_analysis_tickets[[#This Row],[created_date]],"mmm-yyyy")</f>
        <v>Dec-2024</v>
      </c>
      <c r="U1499" t="str">
        <f>TEXT(tbl_analysis_tickets[[#This Row],[created_date]],"dddd")</f>
        <v>Tuesday</v>
      </c>
      <c r="V1499" cm="1">
        <f t="array" ref="V1499">_xlfn.SWITCH(tbl_analysis_tickets[[#This Row],[priority]],
"Urgent",1,
"High",2,
"Medium",3,
"Low",4
)</f>
        <v>4</v>
      </c>
    </row>
    <row r="1500" spans="1:22" x14ac:dyDescent="0.25">
      <c r="A1500">
        <v>1499</v>
      </c>
      <c r="B1500" s="1">
        <v>45331</v>
      </c>
      <c r="C1500" t="s">
        <v>23</v>
      </c>
      <c r="D1500" t="s">
        <v>15</v>
      </c>
      <c r="E1500">
        <v>21</v>
      </c>
      <c r="F1500">
        <v>27</v>
      </c>
      <c r="G1500">
        <v>7.5</v>
      </c>
      <c r="H1500" t="s">
        <v>18</v>
      </c>
      <c r="I1500" t="s">
        <v>13</v>
      </c>
      <c r="J1500" t="s">
        <v>20</v>
      </c>
      <c r="K1500">
        <f>_xlfn.XLOOKUP(tbl_analysis_tickets[[#This Row],[priority]],tbl_sla[priority],tbl_sla[Resolution SLA Hours])</f>
        <v>48</v>
      </c>
      <c r="L1500">
        <f>_xlfn.XLOOKUP(tbl_analysis_tickets[[#This Row],[priority]],tbl_sla[priority],tbl_sla[First Response SLA Minutes])</f>
        <v>120</v>
      </c>
      <c r="M1500" t="str">
        <f>IF(tbl_analysis_tickets[[#This Row],[resolution_time_hours]]&gt;tbl_analysis_tickets[[#This Row],[Resolution SLA Hours]],"Breached","Within SLA")</f>
        <v>Within SLA</v>
      </c>
      <c r="N1500" t="str">
        <f>IF(tbl_analysis_tickets[[#This Row],[first_response_minutes]]&gt;tbl_analysis_tickets[[#This Row],[First Response SLA Minutes]],"Breached","Within SLA")</f>
        <v>Within SLA</v>
      </c>
      <c r="O1500" t="str" cm="1">
        <f t="array" ref="O1500">_xlfn.IFS(
tbl_analysis_tickets[[#This Row],[agent_experience_years]]&lt;=2,"Junior",
tbl_analysis_tickets[[#This Row],[agent_experience_years]]&lt;=5,"Mid-Level",
tbl_analysis_tickets[[#This Row],[agent_experience_years]]&lt;=8,"Senior",
tbl_analysis_tickets[[#This Row],[agent_experience_years]]&gt;8,"Expert"
)</f>
        <v>Senior</v>
      </c>
      <c r="P1500" cm="1">
        <f t="array" ref="P1500">_xlfn.SWITCH(tbl_analysis_tickets[[#This Row],[customer_satisfaction]],
"Low",1,
"Medium",2,
"High",3
)</f>
        <v>3</v>
      </c>
      <c r="Q1500">
        <f>IF(tbl_analysis_tickets[[#This Row],[reopened]]="Yes",1,0)</f>
        <v>0</v>
      </c>
      <c r="R1500" t="str" cm="1">
        <f t="array" ref="R1500">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1500" t="str" cm="1">
        <f t="array" ref="S150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500" t="str">
        <f>TEXT(tbl_analysis_tickets[[#This Row],[created_date]],"mmm-yyyy")</f>
        <v>Feb-2024</v>
      </c>
      <c r="U1500" t="str">
        <f>TEXT(tbl_analysis_tickets[[#This Row],[created_date]],"dddd")</f>
        <v>Friday</v>
      </c>
      <c r="V1500" cm="1">
        <f t="array" ref="V1500">_xlfn.SWITCH(tbl_analysis_tickets[[#This Row],[priority]],
"Urgent",1,
"High",2,
"Medium",3,
"Low",4
)</f>
        <v>3</v>
      </c>
    </row>
    <row r="1501" spans="1:22" x14ac:dyDescent="0.25">
      <c r="A1501">
        <v>1500</v>
      </c>
      <c r="B1501" s="1">
        <v>45383</v>
      </c>
      <c r="C1501" t="s">
        <v>23</v>
      </c>
      <c r="D1501" t="s">
        <v>17</v>
      </c>
      <c r="E1501">
        <v>76</v>
      </c>
      <c r="F1501">
        <v>70</v>
      </c>
      <c r="G1501">
        <v>9</v>
      </c>
      <c r="H1501" t="s">
        <v>12</v>
      </c>
      <c r="I1501" t="s">
        <v>19</v>
      </c>
      <c r="J1501" t="s">
        <v>11</v>
      </c>
      <c r="K1501">
        <f>_xlfn.XLOOKUP(tbl_analysis_tickets[[#This Row],[priority]],tbl_sla[priority],tbl_sla[Resolution SLA Hours])</f>
        <v>8</v>
      </c>
      <c r="L1501">
        <f>_xlfn.XLOOKUP(tbl_analysis_tickets[[#This Row],[priority]],tbl_sla[priority],tbl_sla[First Response SLA Minutes])</f>
        <v>30</v>
      </c>
      <c r="M1501" t="str">
        <f>IF(tbl_analysis_tickets[[#This Row],[resolution_time_hours]]&gt;tbl_analysis_tickets[[#This Row],[Resolution SLA Hours]],"Breached","Within SLA")</f>
        <v>Breached</v>
      </c>
      <c r="N1501" t="str">
        <f>IF(tbl_analysis_tickets[[#This Row],[first_response_minutes]]&gt;tbl_analysis_tickets[[#This Row],[First Response SLA Minutes]],"Breached","Within SLA")</f>
        <v>Breached</v>
      </c>
      <c r="O1501" t="str" cm="1">
        <f t="array" ref="O1501">_xlfn.IFS(
tbl_analysis_tickets[[#This Row],[agent_experience_years]]&lt;=2,"Junior",
tbl_analysis_tickets[[#This Row],[agent_experience_years]]&lt;=5,"Mid-Level",
tbl_analysis_tickets[[#This Row],[agent_experience_years]]&lt;=8,"Senior",
tbl_analysis_tickets[[#This Row],[agent_experience_years]]&gt;8,"Expert"
)</f>
        <v>Expert</v>
      </c>
      <c r="P1501" cm="1">
        <f t="array" ref="P1501">_xlfn.SWITCH(tbl_analysis_tickets[[#This Row],[customer_satisfaction]],
"Low",1,
"Medium",2,
"High",3
)</f>
        <v>1</v>
      </c>
      <c r="Q1501">
        <f>IF(tbl_analysis_tickets[[#This Row],[reopened]]="Yes",1,0)</f>
        <v>1</v>
      </c>
      <c r="R1501" t="str" cm="1">
        <f t="array" ref="R1501">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501" t="str" cm="1">
        <f t="array" ref="S150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501" t="str">
        <f>TEXT(tbl_analysis_tickets[[#This Row],[created_date]],"mmm-yyyy")</f>
        <v>Apr-2024</v>
      </c>
      <c r="U1501" t="str">
        <f>TEXT(tbl_analysis_tickets[[#This Row],[created_date]],"dddd")</f>
        <v>Monday</v>
      </c>
      <c r="V1501" cm="1">
        <f t="array" ref="V1501">_xlfn.SWITCH(tbl_analysis_tickets[[#This Row],[priority]],
"Urgent",1,
"High",2,
"Medium",3,
"Low",4
)</f>
        <v>1</v>
      </c>
    </row>
    <row r="1502" spans="1:22" x14ac:dyDescent="0.25">
      <c r="A1502">
        <v>1501</v>
      </c>
      <c r="B1502" s="1">
        <v>45351</v>
      </c>
      <c r="C1502" t="s">
        <v>14</v>
      </c>
      <c r="D1502" t="s">
        <v>20</v>
      </c>
      <c r="E1502">
        <v>123</v>
      </c>
      <c r="F1502">
        <v>32</v>
      </c>
      <c r="G1502">
        <v>9.3000000000000007</v>
      </c>
      <c r="H1502" t="s">
        <v>12</v>
      </c>
      <c r="I1502" t="s">
        <v>13</v>
      </c>
      <c r="J1502" t="s">
        <v>11</v>
      </c>
      <c r="K1502">
        <f>_xlfn.XLOOKUP(tbl_analysis_tickets[[#This Row],[priority]],tbl_sla[priority],tbl_sla[Resolution SLA Hours])</f>
        <v>24</v>
      </c>
      <c r="L1502">
        <f>_xlfn.XLOOKUP(tbl_analysis_tickets[[#This Row],[priority]],tbl_sla[priority],tbl_sla[First Response SLA Minutes])</f>
        <v>60</v>
      </c>
      <c r="M1502" t="str">
        <f>IF(tbl_analysis_tickets[[#This Row],[resolution_time_hours]]&gt;tbl_analysis_tickets[[#This Row],[Resolution SLA Hours]],"Breached","Within SLA")</f>
        <v>Breached</v>
      </c>
      <c r="N1502" t="str">
        <f>IF(tbl_analysis_tickets[[#This Row],[first_response_minutes]]&gt;tbl_analysis_tickets[[#This Row],[First Response SLA Minutes]],"Breached","Within SLA")</f>
        <v>Breached</v>
      </c>
      <c r="O1502" t="str" cm="1">
        <f t="array" ref="O1502">_xlfn.IFS(
tbl_analysis_tickets[[#This Row],[agent_experience_years]]&lt;=2,"Junior",
tbl_analysis_tickets[[#This Row],[agent_experience_years]]&lt;=5,"Mid-Level",
tbl_analysis_tickets[[#This Row],[agent_experience_years]]&lt;=8,"Senior",
tbl_analysis_tickets[[#This Row],[agent_experience_years]]&gt;8,"Expert"
)</f>
        <v>Expert</v>
      </c>
      <c r="P1502" cm="1">
        <f t="array" ref="P1502">_xlfn.SWITCH(tbl_analysis_tickets[[#This Row],[customer_satisfaction]],
"Low",1,
"Medium",2,
"High",3
)</f>
        <v>1</v>
      </c>
      <c r="Q1502">
        <f>IF(tbl_analysis_tickets[[#This Row],[reopened]]="Yes",1,0)</f>
        <v>1</v>
      </c>
      <c r="R1502" t="str" cm="1">
        <f t="array" ref="R1502">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502" t="str" cm="1">
        <f t="array" ref="S150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502" t="str">
        <f>TEXT(tbl_analysis_tickets[[#This Row],[created_date]],"mmm-yyyy")</f>
        <v>Feb-2024</v>
      </c>
      <c r="U1502" t="str">
        <f>TEXT(tbl_analysis_tickets[[#This Row],[created_date]],"dddd")</f>
        <v>Thursday</v>
      </c>
      <c r="V1502" cm="1">
        <f t="array" ref="V1502">_xlfn.SWITCH(tbl_analysis_tickets[[#This Row],[priority]],
"Urgent",1,
"High",2,
"Medium",3,
"Low",4
)</f>
        <v>2</v>
      </c>
    </row>
    <row r="1503" spans="1:22" x14ac:dyDescent="0.25">
      <c r="A1503">
        <v>1502</v>
      </c>
      <c r="B1503" s="1">
        <v>45516</v>
      </c>
      <c r="C1503" t="s">
        <v>21</v>
      </c>
      <c r="D1503" t="s">
        <v>15</v>
      </c>
      <c r="E1503">
        <v>27</v>
      </c>
      <c r="F1503">
        <v>64</v>
      </c>
      <c r="G1503">
        <v>2.5</v>
      </c>
      <c r="H1503" t="s">
        <v>12</v>
      </c>
      <c r="I1503" t="s">
        <v>13</v>
      </c>
      <c r="J1503" t="s">
        <v>15</v>
      </c>
      <c r="K1503">
        <f>_xlfn.XLOOKUP(tbl_analysis_tickets[[#This Row],[priority]],tbl_sla[priority],tbl_sla[Resolution SLA Hours])</f>
        <v>48</v>
      </c>
      <c r="L1503">
        <f>_xlfn.XLOOKUP(tbl_analysis_tickets[[#This Row],[priority]],tbl_sla[priority],tbl_sla[First Response SLA Minutes])</f>
        <v>120</v>
      </c>
      <c r="M1503" t="str">
        <f>IF(tbl_analysis_tickets[[#This Row],[resolution_time_hours]]&gt;tbl_analysis_tickets[[#This Row],[Resolution SLA Hours]],"Breached","Within SLA")</f>
        <v>Breached</v>
      </c>
      <c r="N1503" t="str">
        <f>IF(tbl_analysis_tickets[[#This Row],[first_response_minutes]]&gt;tbl_analysis_tickets[[#This Row],[First Response SLA Minutes]],"Breached","Within SLA")</f>
        <v>Within SLA</v>
      </c>
      <c r="O1503" t="str" cm="1">
        <f t="array" ref="O1503">_xlfn.IFS(
tbl_analysis_tickets[[#This Row],[agent_experience_years]]&lt;=2,"Junior",
tbl_analysis_tickets[[#This Row],[agent_experience_years]]&lt;=5,"Mid-Level",
tbl_analysis_tickets[[#This Row],[agent_experience_years]]&lt;=8,"Senior",
tbl_analysis_tickets[[#This Row],[agent_experience_years]]&gt;8,"Expert"
)</f>
        <v>Mid-Level</v>
      </c>
      <c r="P1503" cm="1">
        <f t="array" ref="P1503">_xlfn.SWITCH(tbl_analysis_tickets[[#This Row],[customer_satisfaction]],
"Low",1,
"Medium",2,
"High",3
)</f>
        <v>2</v>
      </c>
      <c r="Q1503">
        <f>IF(tbl_analysis_tickets[[#This Row],[reopened]]="Yes",1,0)</f>
        <v>1</v>
      </c>
      <c r="R1503" t="str" cm="1">
        <f t="array" ref="R1503">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1503" t="str" cm="1">
        <f t="array" ref="S150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503" t="str">
        <f>TEXT(tbl_analysis_tickets[[#This Row],[created_date]],"mmm-yyyy")</f>
        <v>Aug-2024</v>
      </c>
      <c r="U1503" t="str">
        <f>TEXT(tbl_analysis_tickets[[#This Row],[created_date]],"dddd")</f>
        <v>Monday</v>
      </c>
      <c r="V1503" cm="1">
        <f t="array" ref="V1503">_xlfn.SWITCH(tbl_analysis_tickets[[#This Row],[priority]],
"Urgent",1,
"High",2,
"Medium",3,
"Low",4
)</f>
        <v>3</v>
      </c>
    </row>
    <row r="1504" spans="1:22" x14ac:dyDescent="0.25">
      <c r="A1504">
        <v>1503</v>
      </c>
      <c r="B1504" s="1">
        <v>45457</v>
      </c>
      <c r="C1504" t="s">
        <v>23</v>
      </c>
      <c r="D1504" t="s">
        <v>15</v>
      </c>
      <c r="E1504">
        <v>22</v>
      </c>
      <c r="F1504">
        <v>42</v>
      </c>
      <c r="G1504">
        <v>8.1</v>
      </c>
      <c r="H1504" t="s">
        <v>12</v>
      </c>
      <c r="I1504" t="s">
        <v>19</v>
      </c>
      <c r="J1504" t="s">
        <v>15</v>
      </c>
      <c r="K1504">
        <f>_xlfn.XLOOKUP(tbl_analysis_tickets[[#This Row],[priority]],tbl_sla[priority],tbl_sla[Resolution SLA Hours])</f>
        <v>48</v>
      </c>
      <c r="L1504">
        <f>_xlfn.XLOOKUP(tbl_analysis_tickets[[#This Row],[priority]],tbl_sla[priority],tbl_sla[First Response SLA Minutes])</f>
        <v>120</v>
      </c>
      <c r="M1504" t="str">
        <f>IF(tbl_analysis_tickets[[#This Row],[resolution_time_hours]]&gt;tbl_analysis_tickets[[#This Row],[Resolution SLA Hours]],"Breached","Within SLA")</f>
        <v>Within SLA</v>
      </c>
      <c r="N1504" t="str">
        <f>IF(tbl_analysis_tickets[[#This Row],[first_response_minutes]]&gt;tbl_analysis_tickets[[#This Row],[First Response SLA Minutes]],"Breached","Within SLA")</f>
        <v>Within SLA</v>
      </c>
      <c r="O1504" t="str" cm="1">
        <f t="array" ref="O1504">_xlfn.IFS(
tbl_analysis_tickets[[#This Row],[agent_experience_years]]&lt;=2,"Junior",
tbl_analysis_tickets[[#This Row],[agent_experience_years]]&lt;=5,"Mid-Level",
tbl_analysis_tickets[[#This Row],[agent_experience_years]]&lt;=8,"Senior",
tbl_analysis_tickets[[#This Row],[agent_experience_years]]&gt;8,"Expert"
)</f>
        <v>Expert</v>
      </c>
      <c r="P1504" cm="1">
        <f t="array" ref="P1504">_xlfn.SWITCH(tbl_analysis_tickets[[#This Row],[customer_satisfaction]],
"Low",1,
"Medium",2,
"High",3
)</f>
        <v>2</v>
      </c>
      <c r="Q1504">
        <f>IF(tbl_analysis_tickets[[#This Row],[reopened]]="Yes",1,0)</f>
        <v>1</v>
      </c>
      <c r="R1504" t="str" cm="1">
        <f t="array" ref="R1504">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1504" t="str" cm="1">
        <f t="array" ref="S150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504" t="str">
        <f>TEXT(tbl_analysis_tickets[[#This Row],[created_date]],"mmm-yyyy")</f>
        <v>Jun-2024</v>
      </c>
      <c r="U1504" t="str">
        <f>TEXT(tbl_analysis_tickets[[#This Row],[created_date]],"dddd")</f>
        <v>Friday</v>
      </c>
      <c r="V1504" cm="1">
        <f t="array" ref="V1504">_xlfn.SWITCH(tbl_analysis_tickets[[#This Row],[priority]],
"Urgent",1,
"High",2,
"Medium",3,
"Low",4
)</f>
        <v>3</v>
      </c>
    </row>
    <row r="1505" spans="1:22" x14ac:dyDescent="0.25">
      <c r="A1505">
        <v>1504</v>
      </c>
      <c r="B1505" s="1">
        <v>45430</v>
      </c>
      <c r="C1505" t="s">
        <v>10</v>
      </c>
      <c r="D1505" t="s">
        <v>20</v>
      </c>
      <c r="E1505">
        <v>81</v>
      </c>
      <c r="F1505">
        <v>66</v>
      </c>
      <c r="G1505">
        <v>5.4</v>
      </c>
      <c r="H1505" t="s">
        <v>12</v>
      </c>
      <c r="I1505" t="s">
        <v>13</v>
      </c>
      <c r="J1505" t="s">
        <v>11</v>
      </c>
      <c r="K1505">
        <f>_xlfn.XLOOKUP(tbl_analysis_tickets[[#This Row],[priority]],tbl_sla[priority],tbl_sla[Resolution SLA Hours])</f>
        <v>24</v>
      </c>
      <c r="L1505">
        <f>_xlfn.XLOOKUP(tbl_analysis_tickets[[#This Row],[priority]],tbl_sla[priority],tbl_sla[First Response SLA Minutes])</f>
        <v>60</v>
      </c>
      <c r="M1505" t="str">
        <f>IF(tbl_analysis_tickets[[#This Row],[resolution_time_hours]]&gt;tbl_analysis_tickets[[#This Row],[Resolution SLA Hours]],"Breached","Within SLA")</f>
        <v>Breached</v>
      </c>
      <c r="N1505" t="str">
        <f>IF(tbl_analysis_tickets[[#This Row],[first_response_minutes]]&gt;tbl_analysis_tickets[[#This Row],[First Response SLA Minutes]],"Breached","Within SLA")</f>
        <v>Breached</v>
      </c>
      <c r="O1505" t="str" cm="1">
        <f t="array" ref="O1505">_xlfn.IFS(
tbl_analysis_tickets[[#This Row],[agent_experience_years]]&lt;=2,"Junior",
tbl_analysis_tickets[[#This Row],[agent_experience_years]]&lt;=5,"Mid-Level",
tbl_analysis_tickets[[#This Row],[agent_experience_years]]&lt;=8,"Senior",
tbl_analysis_tickets[[#This Row],[agent_experience_years]]&gt;8,"Expert"
)</f>
        <v>Senior</v>
      </c>
      <c r="P1505" cm="1">
        <f t="array" ref="P1505">_xlfn.SWITCH(tbl_analysis_tickets[[#This Row],[customer_satisfaction]],
"Low",1,
"Medium",2,
"High",3
)</f>
        <v>1</v>
      </c>
      <c r="Q1505">
        <f>IF(tbl_analysis_tickets[[#This Row],[reopened]]="Yes",1,0)</f>
        <v>1</v>
      </c>
      <c r="R1505" t="str" cm="1">
        <f t="array" ref="R1505">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505" t="str" cm="1">
        <f t="array" ref="S150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505" t="str">
        <f>TEXT(tbl_analysis_tickets[[#This Row],[created_date]],"mmm-yyyy")</f>
        <v>May-2024</v>
      </c>
      <c r="U1505" t="str">
        <f>TEXT(tbl_analysis_tickets[[#This Row],[created_date]],"dddd")</f>
        <v>Saturday</v>
      </c>
      <c r="V1505" cm="1">
        <f t="array" ref="V1505">_xlfn.SWITCH(tbl_analysis_tickets[[#This Row],[priority]],
"Urgent",1,
"High",2,
"Medium",3,
"Low",4
)</f>
        <v>2</v>
      </c>
    </row>
    <row r="1506" spans="1:22" x14ac:dyDescent="0.25">
      <c r="A1506">
        <v>1505</v>
      </c>
      <c r="B1506" s="1">
        <v>45540</v>
      </c>
      <c r="C1506" t="s">
        <v>22</v>
      </c>
      <c r="D1506" t="s">
        <v>20</v>
      </c>
      <c r="E1506">
        <v>189</v>
      </c>
      <c r="F1506">
        <v>13</v>
      </c>
      <c r="G1506">
        <v>6.1</v>
      </c>
      <c r="H1506" t="s">
        <v>12</v>
      </c>
      <c r="I1506" t="s">
        <v>19</v>
      </c>
      <c r="J1506" t="s">
        <v>11</v>
      </c>
      <c r="K1506">
        <f>_xlfn.XLOOKUP(tbl_analysis_tickets[[#This Row],[priority]],tbl_sla[priority],tbl_sla[Resolution SLA Hours])</f>
        <v>24</v>
      </c>
      <c r="L1506">
        <f>_xlfn.XLOOKUP(tbl_analysis_tickets[[#This Row],[priority]],tbl_sla[priority],tbl_sla[First Response SLA Minutes])</f>
        <v>60</v>
      </c>
      <c r="M1506" t="str">
        <f>IF(tbl_analysis_tickets[[#This Row],[resolution_time_hours]]&gt;tbl_analysis_tickets[[#This Row],[Resolution SLA Hours]],"Breached","Within SLA")</f>
        <v>Within SLA</v>
      </c>
      <c r="N1506" t="str">
        <f>IF(tbl_analysis_tickets[[#This Row],[first_response_minutes]]&gt;tbl_analysis_tickets[[#This Row],[First Response SLA Minutes]],"Breached","Within SLA")</f>
        <v>Breached</v>
      </c>
      <c r="O1506" t="str" cm="1">
        <f t="array" ref="O1506">_xlfn.IFS(
tbl_analysis_tickets[[#This Row],[agent_experience_years]]&lt;=2,"Junior",
tbl_analysis_tickets[[#This Row],[agent_experience_years]]&lt;=5,"Mid-Level",
tbl_analysis_tickets[[#This Row],[agent_experience_years]]&lt;=8,"Senior",
tbl_analysis_tickets[[#This Row],[agent_experience_years]]&gt;8,"Expert"
)</f>
        <v>Senior</v>
      </c>
      <c r="P1506" cm="1">
        <f t="array" ref="P1506">_xlfn.SWITCH(tbl_analysis_tickets[[#This Row],[customer_satisfaction]],
"Low",1,
"Medium",2,
"High",3
)</f>
        <v>1</v>
      </c>
      <c r="Q1506">
        <f>IF(tbl_analysis_tickets[[#This Row],[reopened]]="Yes",1,0)</f>
        <v>1</v>
      </c>
      <c r="R1506" t="str" cm="1">
        <f t="array" ref="R1506">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506" t="str" cm="1">
        <f t="array" ref="S150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506" t="str">
        <f>TEXT(tbl_analysis_tickets[[#This Row],[created_date]],"mmm-yyyy")</f>
        <v>Sep-2024</v>
      </c>
      <c r="U1506" t="str">
        <f>TEXT(tbl_analysis_tickets[[#This Row],[created_date]],"dddd")</f>
        <v>Thursday</v>
      </c>
      <c r="V1506" cm="1">
        <f t="array" ref="V1506">_xlfn.SWITCH(tbl_analysis_tickets[[#This Row],[priority]],
"Urgent",1,
"High",2,
"Medium",3,
"Low",4
)</f>
        <v>2</v>
      </c>
    </row>
    <row r="1507" spans="1:22" x14ac:dyDescent="0.25">
      <c r="A1507">
        <v>1506</v>
      </c>
      <c r="B1507" s="1">
        <v>45419</v>
      </c>
      <c r="C1507" t="s">
        <v>23</v>
      </c>
      <c r="D1507" t="s">
        <v>17</v>
      </c>
      <c r="E1507">
        <v>26</v>
      </c>
      <c r="F1507">
        <v>25</v>
      </c>
      <c r="G1507">
        <v>3.1</v>
      </c>
      <c r="H1507" t="s">
        <v>18</v>
      </c>
      <c r="I1507" t="s">
        <v>16</v>
      </c>
      <c r="J1507" t="s">
        <v>15</v>
      </c>
      <c r="K1507">
        <f>_xlfn.XLOOKUP(tbl_analysis_tickets[[#This Row],[priority]],tbl_sla[priority],tbl_sla[Resolution SLA Hours])</f>
        <v>8</v>
      </c>
      <c r="L1507">
        <f>_xlfn.XLOOKUP(tbl_analysis_tickets[[#This Row],[priority]],tbl_sla[priority],tbl_sla[First Response SLA Minutes])</f>
        <v>30</v>
      </c>
      <c r="M1507" t="str">
        <f>IF(tbl_analysis_tickets[[#This Row],[resolution_time_hours]]&gt;tbl_analysis_tickets[[#This Row],[Resolution SLA Hours]],"Breached","Within SLA")</f>
        <v>Breached</v>
      </c>
      <c r="N1507" t="str">
        <f>IF(tbl_analysis_tickets[[#This Row],[first_response_minutes]]&gt;tbl_analysis_tickets[[#This Row],[First Response SLA Minutes]],"Breached","Within SLA")</f>
        <v>Within SLA</v>
      </c>
      <c r="O1507" t="str" cm="1">
        <f t="array" ref="O1507">_xlfn.IFS(
tbl_analysis_tickets[[#This Row],[agent_experience_years]]&lt;=2,"Junior",
tbl_analysis_tickets[[#This Row],[agent_experience_years]]&lt;=5,"Mid-Level",
tbl_analysis_tickets[[#This Row],[agent_experience_years]]&lt;=8,"Senior",
tbl_analysis_tickets[[#This Row],[agent_experience_years]]&gt;8,"Expert"
)</f>
        <v>Mid-Level</v>
      </c>
      <c r="P1507" cm="1">
        <f t="array" ref="P1507">_xlfn.SWITCH(tbl_analysis_tickets[[#This Row],[customer_satisfaction]],
"Low",1,
"Medium",2,
"High",3
)</f>
        <v>2</v>
      </c>
      <c r="Q1507">
        <f>IF(tbl_analysis_tickets[[#This Row],[reopened]]="Yes",1,0)</f>
        <v>0</v>
      </c>
      <c r="R1507" t="str" cm="1">
        <f t="array" ref="R1507">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1507" t="str" cm="1">
        <f t="array" ref="S150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507" t="str">
        <f>TEXT(tbl_analysis_tickets[[#This Row],[created_date]],"mmm-yyyy")</f>
        <v>May-2024</v>
      </c>
      <c r="U1507" t="str">
        <f>TEXT(tbl_analysis_tickets[[#This Row],[created_date]],"dddd")</f>
        <v>Tuesday</v>
      </c>
      <c r="V1507" cm="1">
        <f t="array" ref="V1507">_xlfn.SWITCH(tbl_analysis_tickets[[#This Row],[priority]],
"Urgent",1,
"High",2,
"Medium",3,
"Low",4
)</f>
        <v>1</v>
      </c>
    </row>
    <row r="1508" spans="1:22" x14ac:dyDescent="0.25">
      <c r="A1508">
        <v>1507</v>
      </c>
      <c r="B1508" s="1">
        <v>45497</v>
      </c>
      <c r="C1508" t="s">
        <v>23</v>
      </c>
      <c r="D1508" t="s">
        <v>17</v>
      </c>
      <c r="E1508">
        <v>73</v>
      </c>
      <c r="F1508">
        <v>30</v>
      </c>
      <c r="G1508">
        <v>3.4</v>
      </c>
      <c r="H1508" t="s">
        <v>12</v>
      </c>
      <c r="I1508" t="s">
        <v>16</v>
      </c>
      <c r="J1508" t="s">
        <v>11</v>
      </c>
      <c r="K1508">
        <f>_xlfn.XLOOKUP(tbl_analysis_tickets[[#This Row],[priority]],tbl_sla[priority],tbl_sla[Resolution SLA Hours])</f>
        <v>8</v>
      </c>
      <c r="L1508">
        <f>_xlfn.XLOOKUP(tbl_analysis_tickets[[#This Row],[priority]],tbl_sla[priority],tbl_sla[First Response SLA Minutes])</f>
        <v>30</v>
      </c>
      <c r="M1508" t="str">
        <f>IF(tbl_analysis_tickets[[#This Row],[resolution_time_hours]]&gt;tbl_analysis_tickets[[#This Row],[Resolution SLA Hours]],"Breached","Within SLA")</f>
        <v>Breached</v>
      </c>
      <c r="N1508" t="str">
        <f>IF(tbl_analysis_tickets[[#This Row],[first_response_minutes]]&gt;tbl_analysis_tickets[[#This Row],[First Response SLA Minutes]],"Breached","Within SLA")</f>
        <v>Breached</v>
      </c>
      <c r="O1508" t="str" cm="1">
        <f t="array" ref="O1508">_xlfn.IFS(
tbl_analysis_tickets[[#This Row],[agent_experience_years]]&lt;=2,"Junior",
tbl_analysis_tickets[[#This Row],[agent_experience_years]]&lt;=5,"Mid-Level",
tbl_analysis_tickets[[#This Row],[agent_experience_years]]&lt;=8,"Senior",
tbl_analysis_tickets[[#This Row],[agent_experience_years]]&gt;8,"Expert"
)</f>
        <v>Mid-Level</v>
      </c>
      <c r="P1508" cm="1">
        <f t="array" ref="P1508">_xlfn.SWITCH(tbl_analysis_tickets[[#This Row],[customer_satisfaction]],
"Low",1,
"Medium",2,
"High",3
)</f>
        <v>1</v>
      </c>
      <c r="Q1508">
        <f>IF(tbl_analysis_tickets[[#This Row],[reopened]]="Yes",1,0)</f>
        <v>1</v>
      </c>
      <c r="R1508" t="str" cm="1">
        <f t="array" ref="R1508">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508" t="str" cm="1">
        <f t="array" ref="S150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508" t="str">
        <f>TEXT(tbl_analysis_tickets[[#This Row],[created_date]],"mmm-yyyy")</f>
        <v>Jul-2024</v>
      </c>
      <c r="U1508" t="str">
        <f>TEXT(tbl_analysis_tickets[[#This Row],[created_date]],"dddd")</f>
        <v>Wednesday</v>
      </c>
      <c r="V1508" cm="1">
        <f t="array" ref="V1508">_xlfn.SWITCH(tbl_analysis_tickets[[#This Row],[priority]],
"Urgent",1,
"High",2,
"Medium",3,
"Low",4
)</f>
        <v>1</v>
      </c>
    </row>
    <row r="1509" spans="1:22" x14ac:dyDescent="0.25">
      <c r="A1509">
        <v>1508</v>
      </c>
      <c r="B1509" s="1">
        <v>45300</v>
      </c>
      <c r="C1509" t="s">
        <v>22</v>
      </c>
      <c r="D1509" t="s">
        <v>17</v>
      </c>
      <c r="E1509">
        <v>180</v>
      </c>
      <c r="F1509">
        <v>10</v>
      </c>
      <c r="G1509">
        <v>5.2</v>
      </c>
      <c r="H1509" t="s">
        <v>12</v>
      </c>
      <c r="I1509" t="s">
        <v>13</v>
      </c>
      <c r="J1509" t="s">
        <v>11</v>
      </c>
      <c r="K1509">
        <f>_xlfn.XLOOKUP(tbl_analysis_tickets[[#This Row],[priority]],tbl_sla[priority],tbl_sla[Resolution SLA Hours])</f>
        <v>8</v>
      </c>
      <c r="L1509">
        <f>_xlfn.XLOOKUP(tbl_analysis_tickets[[#This Row],[priority]],tbl_sla[priority],tbl_sla[First Response SLA Minutes])</f>
        <v>30</v>
      </c>
      <c r="M1509" t="str">
        <f>IF(tbl_analysis_tickets[[#This Row],[resolution_time_hours]]&gt;tbl_analysis_tickets[[#This Row],[Resolution SLA Hours]],"Breached","Within SLA")</f>
        <v>Breached</v>
      </c>
      <c r="N1509" t="str">
        <f>IF(tbl_analysis_tickets[[#This Row],[first_response_minutes]]&gt;tbl_analysis_tickets[[#This Row],[First Response SLA Minutes]],"Breached","Within SLA")</f>
        <v>Breached</v>
      </c>
      <c r="O1509" t="str" cm="1">
        <f t="array" ref="O1509">_xlfn.IFS(
tbl_analysis_tickets[[#This Row],[agent_experience_years]]&lt;=2,"Junior",
tbl_analysis_tickets[[#This Row],[agent_experience_years]]&lt;=5,"Mid-Level",
tbl_analysis_tickets[[#This Row],[agent_experience_years]]&lt;=8,"Senior",
tbl_analysis_tickets[[#This Row],[agent_experience_years]]&gt;8,"Expert"
)</f>
        <v>Senior</v>
      </c>
      <c r="P1509" cm="1">
        <f t="array" ref="P1509">_xlfn.SWITCH(tbl_analysis_tickets[[#This Row],[customer_satisfaction]],
"Low",1,
"Medium",2,
"High",3
)</f>
        <v>1</v>
      </c>
      <c r="Q1509">
        <f>IF(tbl_analysis_tickets[[#This Row],[reopened]]="Yes",1,0)</f>
        <v>1</v>
      </c>
      <c r="R1509" t="str" cm="1">
        <f t="array" ref="R1509">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509" t="str" cm="1">
        <f t="array" ref="S150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509" t="str">
        <f>TEXT(tbl_analysis_tickets[[#This Row],[created_date]],"mmm-yyyy")</f>
        <v>Jan-2024</v>
      </c>
      <c r="U1509" t="str">
        <f>TEXT(tbl_analysis_tickets[[#This Row],[created_date]],"dddd")</f>
        <v>Tuesday</v>
      </c>
      <c r="V1509" cm="1">
        <f t="array" ref="V1509">_xlfn.SWITCH(tbl_analysis_tickets[[#This Row],[priority]],
"Urgent",1,
"High",2,
"Medium",3,
"Low",4
)</f>
        <v>1</v>
      </c>
    </row>
    <row r="1510" spans="1:22" x14ac:dyDescent="0.25">
      <c r="A1510">
        <v>1509</v>
      </c>
      <c r="B1510" s="1">
        <v>45554</v>
      </c>
      <c r="C1510" t="s">
        <v>23</v>
      </c>
      <c r="D1510" t="s">
        <v>17</v>
      </c>
      <c r="E1510">
        <v>49</v>
      </c>
      <c r="F1510">
        <v>23</v>
      </c>
      <c r="G1510">
        <v>4.5</v>
      </c>
      <c r="H1510" t="s">
        <v>18</v>
      </c>
      <c r="I1510" t="s">
        <v>19</v>
      </c>
      <c r="J1510" t="s">
        <v>11</v>
      </c>
      <c r="K1510">
        <f>_xlfn.XLOOKUP(tbl_analysis_tickets[[#This Row],[priority]],tbl_sla[priority],tbl_sla[Resolution SLA Hours])</f>
        <v>8</v>
      </c>
      <c r="L1510">
        <f>_xlfn.XLOOKUP(tbl_analysis_tickets[[#This Row],[priority]],tbl_sla[priority],tbl_sla[First Response SLA Minutes])</f>
        <v>30</v>
      </c>
      <c r="M1510" t="str">
        <f>IF(tbl_analysis_tickets[[#This Row],[resolution_time_hours]]&gt;tbl_analysis_tickets[[#This Row],[Resolution SLA Hours]],"Breached","Within SLA")</f>
        <v>Breached</v>
      </c>
      <c r="N1510" t="str">
        <f>IF(tbl_analysis_tickets[[#This Row],[first_response_minutes]]&gt;tbl_analysis_tickets[[#This Row],[First Response SLA Minutes]],"Breached","Within SLA")</f>
        <v>Breached</v>
      </c>
      <c r="O1510" t="str" cm="1">
        <f t="array" ref="O1510">_xlfn.IFS(
tbl_analysis_tickets[[#This Row],[agent_experience_years]]&lt;=2,"Junior",
tbl_analysis_tickets[[#This Row],[agent_experience_years]]&lt;=5,"Mid-Level",
tbl_analysis_tickets[[#This Row],[agent_experience_years]]&lt;=8,"Senior",
tbl_analysis_tickets[[#This Row],[agent_experience_years]]&gt;8,"Expert"
)</f>
        <v>Mid-Level</v>
      </c>
      <c r="P1510" cm="1">
        <f t="array" ref="P1510">_xlfn.SWITCH(tbl_analysis_tickets[[#This Row],[customer_satisfaction]],
"Low",1,
"Medium",2,
"High",3
)</f>
        <v>1</v>
      </c>
      <c r="Q1510">
        <f>IF(tbl_analysis_tickets[[#This Row],[reopened]]="Yes",1,0)</f>
        <v>0</v>
      </c>
      <c r="R1510" t="str" cm="1">
        <f t="array" ref="R1510">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510" t="str" cm="1">
        <f t="array" ref="S151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510" t="str">
        <f>TEXT(tbl_analysis_tickets[[#This Row],[created_date]],"mmm-yyyy")</f>
        <v>Sep-2024</v>
      </c>
      <c r="U1510" t="str">
        <f>TEXT(tbl_analysis_tickets[[#This Row],[created_date]],"dddd")</f>
        <v>Thursday</v>
      </c>
      <c r="V1510" cm="1">
        <f t="array" ref="V1510">_xlfn.SWITCH(tbl_analysis_tickets[[#This Row],[priority]],
"Urgent",1,
"High",2,
"Medium",3,
"Low",4
)</f>
        <v>1</v>
      </c>
    </row>
    <row r="1511" spans="1:22" x14ac:dyDescent="0.25">
      <c r="A1511">
        <v>1510</v>
      </c>
      <c r="B1511" s="1">
        <v>45626</v>
      </c>
      <c r="C1511" t="s">
        <v>23</v>
      </c>
      <c r="D1511" t="s">
        <v>17</v>
      </c>
      <c r="E1511">
        <v>57</v>
      </c>
      <c r="F1511">
        <v>44</v>
      </c>
      <c r="G1511">
        <v>4.9000000000000004</v>
      </c>
      <c r="H1511" t="s">
        <v>18</v>
      </c>
      <c r="I1511" t="s">
        <v>13</v>
      </c>
      <c r="J1511" t="s">
        <v>11</v>
      </c>
      <c r="K1511">
        <f>_xlfn.XLOOKUP(tbl_analysis_tickets[[#This Row],[priority]],tbl_sla[priority],tbl_sla[Resolution SLA Hours])</f>
        <v>8</v>
      </c>
      <c r="L1511">
        <f>_xlfn.XLOOKUP(tbl_analysis_tickets[[#This Row],[priority]],tbl_sla[priority],tbl_sla[First Response SLA Minutes])</f>
        <v>30</v>
      </c>
      <c r="M1511" t="str">
        <f>IF(tbl_analysis_tickets[[#This Row],[resolution_time_hours]]&gt;tbl_analysis_tickets[[#This Row],[Resolution SLA Hours]],"Breached","Within SLA")</f>
        <v>Breached</v>
      </c>
      <c r="N1511" t="str">
        <f>IF(tbl_analysis_tickets[[#This Row],[first_response_minutes]]&gt;tbl_analysis_tickets[[#This Row],[First Response SLA Minutes]],"Breached","Within SLA")</f>
        <v>Breached</v>
      </c>
      <c r="O1511" t="str" cm="1">
        <f t="array" ref="O1511">_xlfn.IFS(
tbl_analysis_tickets[[#This Row],[agent_experience_years]]&lt;=2,"Junior",
tbl_analysis_tickets[[#This Row],[agent_experience_years]]&lt;=5,"Mid-Level",
tbl_analysis_tickets[[#This Row],[agent_experience_years]]&lt;=8,"Senior",
tbl_analysis_tickets[[#This Row],[agent_experience_years]]&gt;8,"Expert"
)</f>
        <v>Mid-Level</v>
      </c>
      <c r="P1511" cm="1">
        <f t="array" ref="P1511">_xlfn.SWITCH(tbl_analysis_tickets[[#This Row],[customer_satisfaction]],
"Low",1,
"Medium",2,
"High",3
)</f>
        <v>1</v>
      </c>
      <c r="Q1511">
        <f>IF(tbl_analysis_tickets[[#This Row],[reopened]]="Yes",1,0)</f>
        <v>0</v>
      </c>
      <c r="R1511" t="str" cm="1">
        <f t="array" ref="R1511">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511" t="str" cm="1">
        <f t="array" ref="S151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511" t="str">
        <f>TEXT(tbl_analysis_tickets[[#This Row],[created_date]],"mmm-yyyy")</f>
        <v>Nov-2024</v>
      </c>
      <c r="U1511" t="str">
        <f>TEXT(tbl_analysis_tickets[[#This Row],[created_date]],"dddd")</f>
        <v>Saturday</v>
      </c>
      <c r="V1511" cm="1">
        <f t="array" ref="V1511">_xlfn.SWITCH(tbl_analysis_tickets[[#This Row],[priority]],
"Urgent",1,
"High",2,
"Medium",3,
"Low",4
)</f>
        <v>1</v>
      </c>
    </row>
    <row r="1512" spans="1:22" x14ac:dyDescent="0.25">
      <c r="A1512">
        <v>1511</v>
      </c>
      <c r="B1512" s="1">
        <v>45315</v>
      </c>
      <c r="C1512" t="s">
        <v>23</v>
      </c>
      <c r="D1512" t="s">
        <v>20</v>
      </c>
      <c r="E1512">
        <v>25</v>
      </c>
      <c r="F1512">
        <v>2</v>
      </c>
      <c r="G1512">
        <v>7.7</v>
      </c>
      <c r="H1512" t="s">
        <v>18</v>
      </c>
      <c r="I1512" t="s">
        <v>16</v>
      </c>
      <c r="J1512" t="s">
        <v>20</v>
      </c>
      <c r="K1512">
        <f>_xlfn.XLOOKUP(tbl_analysis_tickets[[#This Row],[priority]],tbl_sla[priority],tbl_sla[Resolution SLA Hours])</f>
        <v>24</v>
      </c>
      <c r="L1512">
        <f>_xlfn.XLOOKUP(tbl_analysis_tickets[[#This Row],[priority]],tbl_sla[priority],tbl_sla[First Response SLA Minutes])</f>
        <v>60</v>
      </c>
      <c r="M1512" t="str">
        <f>IF(tbl_analysis_tickets[[#This Row],[resolution_time_hours]]&gt;tbl_analysis_tickets[[#This Row],[Resolution SLA Hours]],"Breached","Within SLA")</f>
        <v>Within SLA</v>
      </c>
      <c r="N1512" t="str">
        <f>IF(tbl_analysis_tickets[[#This Row],[first_response_minutes]]&gt;tbl_analysis_tickets[[#This Row],[First Response SLA Minutes]],"Breached","Within SLA")</f>
        <v>Within SLA</v>
      </c>
      <c r="O1512" t="str" cm="1">
        <f t="array" ref="O1512">_xlfn.IFS(
tbl_analysis_tickets[[#This Row],[agent_experience_years]]&lt;=2,"Junior",
tbl_analysis_tickets[[#This Row],[agent_experience_years]]&lt;=5,"Mid-Level",
tbl_analysis_tickets[[#This Row],[agent_experience_years]]&lt;=8,"Senior",
tbl_analysis_tickets[[#This Row],[agent_experience_years]]&gt;8,"Expert"
)</f>
        <v>Senior</v>
      </c>
      <c r="P1512" cm="1">
        <f t="array" ref="P1512">_xlfn.SWITCH(tbl_analysis_tickets[[#This Row],[customer_satisfaction]],
"Low",1,
"Medium",2,
"High",3
)</f>
        <v>3</v>
      </c>
      <c r="Q1512">
        <f>IF(tbl_analysis_tickets[[#This Row],[reopened]]="Yes",1,0)</f>
        <v>0</v>
      </c>
      <c r="R1512" t="str" cm="1">
        <f t="array" ref="R1512">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1512" t="str" cm="1">
        <f t="array" ref="S151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1512" t="str">
        <f>TEXT(tbl_analysis_tickets[[#This Row],[created_date]],"mmm-yyyy")</f>
        <v>Jan-2024</v>
      </c>
      <c r="U1512" t="str">
        <f>TEXT(tbl_analysis_tickets[[#This Row],[created_date]],"dddd")</f>
        <v>Wednesday</v>
      </c>
      <c r="V1512" cm="1">
        <f t="array" ref="V1512">_xlfn.SWITCH(tbl_analysis_tickets[[#This Row],[priority]],
"Urgent",1,
"High",2,
"Medium",3,
"Low",4
)</f>
        <v>2</v>
      </c>
    </row>
    <row r="1513" spans="1:22" x14ac:dyDescent="0.25">
      <c r="A1513">
        <v>1512</v>
      </c>
      <c r="B1513" s="1">
        <v>45502</v>
      </c>
      <c r="C1513" t="s">
        <v>10</v>
      </c>
      <c r="D1513" t="s">
        <v>15</v>
      </c>
      <c r="E1513">
        <v>93</v>
      </c>
      <c r="F1513">
        <v>19</v>
      </c>
      <c r="G1513">
        <v>7.4</v>
      </c>
      <c r="H1513" t="s">
        <v>18</v>
      </c>
      <c r="I1513" t="s">
        <v>13</v>
      </c>
      <c r="J1513" t="s">
        <v>15</v>
      </c>
      <c r="K1513">
        <f>_xlfn.XLOOKUP(tbl_analysis_tickets[[#This Row],[priority]],tbl_sla[priority],tbl_sla[Resolution SLA Hours])</f>
        <v>48</v>
      </c>
      <c r="L1513">
        <f>_xlfn.XLOOKUP(tbl_analysis_tickets[[#This Row],[priority]],tbl_sla[priority],tbl_sla[First Response SLA Minutes])</f>
        <v>120</v>
      </c>
      <c r="M1513" t="str">
        <f>IF(tbl_analysis_tickets[[#This Row],[resolution_time_hours]]&gt;tbl_analysis_tickets[[#This Row],[Resolution SLA Hours]],"Breached","Within SLA")</f>
        <v>Within SLA</v>
      </c>
      <c r="N1513" t="str">
        <f>IF(tbl_analysis_tickets[[#This Row],[first_response_minutes]]&gt;tbl_analysis_tickets[[#This Row],[First Response SLA Minutes]],"Breached","Within SLA")</f>
        <v>Within SLA</v>
      </c>
      <c r="O1513" t="str" cm="1">
        <f t="array" ref="O1513">_xlfn.IFS(
tbl_analysis_tickets[[#This Row],[agent_experience_years]]&lt;=2,"Junior",
tbl_analysis_tickets[[#This Row],[agent_experience_years]]&lt;=5,"Mid-Level",
tbl_analysis_tickets[[#This Row],[agent_experience_years]]&lt;=8,"Senior",
tbl_analysis_tickets[[#This Row],[agent_experience_years]]&gt;8,"Expert"
)</f>
        <v>Senior</v>
      </c>
      <c r="P1513" cm="1">
        <f t="array" ref="P1513">_xlfn.SWITCH(tbl_analysis_tickets[[#This Row],[customer_satisfaction]],
"Low",1,
"Medium",2,
"High",3
)</f>
        <v>2</v>
      </c>
      <c r="Q1513">
        <f>IF(tbl_analysis_tickets[[#This Row],[reopened]]="Yes",1,0)</f>
        <v>0</v>
      </c>
      <c r="R1513" t="str" cm="1">
        <f t="array" ref="R1513">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513" t="str" cm="1">
        <f t="array" ref="S151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513" t="str">
        <f>TEXT(tbl_analysis_tickets[[#This Row],[created_date]],"mmm-yyyy")</f>
        <v>Jul-2024</v>
      </c>
      <c r="U1513" t="str">
        <f>TEXT(tbl_analysis_tickets[[#This Row],[created_date]],"dddd")</f>
        <v>Monday</v>
      </c>
      <c r="V1513" cm="1">
        <f t="array" ref="V1513">_xlfn.SWITCH(tbl_analysis_tickets[[#This Row],[priority]],
"Urgent",1,
"High",2,
"Medium",3,
"Low",4
)</f>
        <v>3</v>
      </c>
    </row>
    <row r="1514" spans="1:22" x14ac:dyDescent="0.25">
      <c r="A1514">
        <v>1513</v>
      </c>
      <c r="B1514" s="1">
        <v>45592</v>
      </c>
      <c r="C1514" t="s">
        <v>23</v>
      </c>
      <c r="D1514" t="s">
        <v>15</v>
      </c>
      <c r="E1514">
        <v>54</v>
      </c>
      <c r="F1514">
        <v>5</v>
      </c>
      <c r="G1514">
        <v>2.8</v>
      </c>
      <c r="H1514" t="s">
        <v>12</v>
      </c>
      <c r="I1514" t="s">
        <v>13</v>
      </c>
      <c r="J1514" t="s">
        <v>15</v>
      </c>
      <c r="K1514">
        <f>_xlfn.XLOOKUP(tbl_analysis_tickets[[#This Row],[priority]],tbl_sla[priority],tbl_sla[Resolution SLA Hours])</f>
        <v>48</v>
      </c>
      <c r="L1514">
        <f>_xlfn.XLOOKUP(tbl_analysis_tickets[[#This Row],[priority]],tbl_sla[priority],tbl_sla[First Response SLA Minutes])</f>
        <v>120</v>
      </c>
      <c r="M1514" t="str">
        <f>IF(tbl_analysis_tickets[[#This Row],[resolution_time_hours]]&gt;tbl_analysis_tickets[[#This Row],[Resolution SLA Hours]],"Breached","Within SLA")</f>
        <v>Within SLA</v>
      </c>
      <c r="N1514" t="str">
        <f>IF(tbl_analysis_tickets[[#This Row],[first_response_minutes]]&gt;tbl_analysis_tickets[[#This Row],[First Response SLA Minutes]],"Breached","Within SLA")</f>
        <v>Within SLA</v>
      </c>
      <c r="O1514" t="str" cm="1">
        <f t="array" ref="O1514">_xlfn.IFS(
tbl_analysis_tickets[[#This Row],[agent_experience_years]]&lt;=2,"Junior",
tbl_analysis_tickets[[#This Row],[agent_experience_years]]&lt;=5,"Mid-Level",
tbl_analysis_tickets[[#This Row],[agent_experience_years]]&lt;=8,"Senior",
tbl_analysis_tickets[[#This Row],[agent_experience_years]]&gt;8,"Expert"
)</f>
        <v>Mid-Level</v>
      </c>
      <c r="P1514" cm="1">
        <f t="array" ref="P1514">_xlfn.SWITCH(tbl_analysis_tickets[[#This Row],[customer_satisfaction]],
"Low",1,
"Medium",2,
"High",3
)</f>
        <v>2</v>
      </c>
      <c r="Q1514">
        <f>IF(tbl_analysis_tickets[[#This Row],[reopened]]="Yes",1,0)</f>
        <v>1</v>
      </c>
      <c r="R1514" t="str" cm="1">
        <f t="array" ref="R1514">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514" t="str" cm="1">
        <f t="array" ref="S151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1514" t="str">
        <f>TEXT(tbl_analysis_tickets[[#This Row],[created_date]],"mmm-yyyy")</f>
        <v>Oct-2024</v>
      </c>
      <c r="U1514" t="str">
        <f>TEXT(tbl_analysis_tickets[[#This Row],[created_date]],"dddd")</f>
        <v>Sunday</v>
      </c>
      <c r="V1514" cm="1">
        <f t="array" ref="V1514">_xlfn.SWITCH(tbl_analysis_tickets[[#This Row],[priority]],
"Urgent",1,
"High",2,
"Medium",3,
"Low",4
)</f>
        <v>3</v>
      </c>
    </row>
    <row r="1515" spans="1:22" x14ac:dyDescent="0.25">
      <c r="A1515">
        <v>1514</v>
      </c>
      <c r="B1515" s="1">
        <v>45310</v>
      </c>
      <c r="C1515" t="s">
        <v>10</v>
      </c>
      <c r="D1515" t="s">
        <v>15</v>
      </c>
      <c r="E1515">
        <v>50</v>
      </c>
      <c r="F1515">
        <v>15</v>
      </c>
      <c r="G1515">
        <v>5.0999999999999996</v>
      </c>
      <c r="H1515" t="s">
        <v>12</v>
      </c>
      <c r="I1515" t="s">
        <v>13</v>
      </c>
      <c r="J1515" t="s">
        <v>11</v>
      </c>
      <c r="K1515">
        <f>_xlfn.XLOOKUP(tbl_analysis_tickets[[#This Row],[priority]],tbl_sla[priority],tbl_sla[Resolution SLA Hours])</f>
        <v>48</v>
      </c>
      <c r="L1515">
        <f>_xlfn.XLOOKUP(tbl_analysis_tickets[[#This Row],[priority]],tbl_sla[priority],tbl_sla[First Response SLA Minutes])</f>
        <v>120</v>
      </c>
      <c r="M1515" t="str">
        <f>IF(tbl_analysis_tickets[[#This Row],[resolution_time_hours]]&gt;tbl_analysis_tickets[[#This Row],[Resolution SLA Hours]],"Breached","Within SLA")</f>
        <v>Within SLA</v>
      </c>
      <c r="N1515" t="str">
        <f>IF(tbl_analysis_tickets[[#This Row],[first_response_minutes]]&gt;tbl_analysis_tickets[[#This Row],[First Response SLA Minutes]],"Breached","Within SLA")</f>
        <v>Within SLA</v>
      </c>
      <c r="O1515" t="str" cm="1">
        <f t="array" ref="O1515">_xlfn.IFS(
tbl_analysis_tickets[[#This Row],[agent_experience_years]]&lt;=2,"Junior",
tbl_analysis_tickets[[#This Row],[agent_experience_years]]&lt;=5,"Mid-Level",
tbl_analysis_tickets[[#This Row],[agent_experience_years]]&lt;=8,"Senior",
tbl_analysis_tickets[[#This Row],[agent_experience_years]]&gt;8,"Expert"
)</f>
        <v>Senior</v>
      </c>
      <c r="P1515" cm="1">
        <f t="array" ref="P1515">_xlfn.SWITCH(tbl_analysis_tickets[[#This Row],[customer_satisfaction]],
"Low",1,
"Medium",2,
"High",3
)</f>
        <v>1</v>
      </c>
      <c r="Q1515">
        <f>IF(tbl_analysis_tickets[[#This Row],[reopened]]="Yes",1,0)</f>
        <v>1</v>
      </c>
      <c r="R1515" t="str" cm="1">
        <f t="array" ref="R1515">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515" t="str" cm="1">
        <f t="array" ref="S151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515" t="str">
        <f>TEXT(tbl_analysis_tickets[[#This Row],[created_date]],"mmm-yyyy")</f>
        <v>Jan-2024</v>
      </c>
      <c r="U1515" t="str">
        <f>TEXT(tbl_analysis_tickets[[#This Row],[created_date]],"dddd")</f>
        <v>Friday</v>
      </c>
      <c r="V1515" cm="1">
        <f t="array" ref="V1515">_xlfn.SWITCH(tbl_analysis_tickets[[#This Row],[priority]],
"Urgent",1,
"High",2,
"Medium",3,
"Low",4
)</f>
        <v>3</v>
      </c>
    </row>
    <row r="1516" spans="1:22" x14ac:dyDescent="0.25">
      <c r="A1516">
        <v>1515</v>
      </c>
      <c r="B1516" s="1">
        <v>45314</v>
      </c>
      <c r="C1516" t="s">
        <v>21</v>
      </c>
      <c r="D1516" t="s">
        <v>20</v>
      </c>
      <c r="E1516">
        <v>53</v>
      </c>
      <c r="F1516">
        <v>71</v>
      </c>
      <c r="G1516">
        <v>7.7</v>
      </c>
      <c r="H1516" t="s">
        <v>12</v>
      </c>
      <c r="I1516" t="s">
        <v>16</v>
      </c>
      <c r="J1516" t="s">
        <v>11</v>
      </c>
      <c r="K1516">
        <f>_xlfn.XLOOKUP(tbl_analysis_tickets[[#This Row],[priority]],tbl_sla[priority],tbl_sla[Resolution SLA Hours])</f>
        <v>24</v>
      </c>
      <c r="L1516">
        <f>_xlfn.XLOOKUP(tbl_analysis_tickets[[#This Row],[priority]],tbl_sla[priority],tbl_sla[First Response SLA Minutes])</f>
        <v>60</v>
      </c>
      <c r="M1516" t="str">
        <f>IF(tbl_analysis_tickets[[#This Row],[resolution_time_hours]]&gt;tbl_analysis_tickets[[#This Row],[Resolution SLA Hours]],"Breached","Within SLA")</f>
        <v>Breached</v>
      </c>
      <c r="N1516" t="str">
        <f>IF(tbl_analysis_tickets[[#This Row],[first_response_minutes]]&gt;tbl_analysis_tickets[[#This Row],[First Response SLA Minutes]],"Breached","Within SLA")</f>
        <v>Within SLA</v>
      </c>
      <c r="O1516" t="str" cm="1">
        <f t="array" ref="O1516">_xlfn.IFS(
tbl_analysis_tickets[[#This Row],[agent_experience_years]]&lt;=2,"Junior",
tbl_analysis_tickets[[#This Row],[agent_experience_years]]&lt;=5,"Mid-Level",
tbl_analysis_tickets[[#This Row],[agent_experience_years]]&lt;=8,"Senior",
tbl_analysis_tickets[[#This Row],[agent_experience_years]]&gt;8,"Expert"
)</f>
        <v>Senior</v>
      </c>
      <c r="P1516" cm="1">
        <f t="array" ref="P1516">_xlfn.SWITCH(tbl_analysis_tickets[[#This Row],[customer_satisfaction]],
"Low",1,
"Medium",2,
"High",3
)</f>
        <v>1</v>
      </c>
      <c r="Q1516">
        <f>IF(tbl_analysis_tickets[[#This Row],[reopened]]="Yes",1,0)</f>
        <v>1</v>
      </c>
      <c r="R1516" t="str" cm="1">
        <f t="array" ref="R1516">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516" t="str" cm="1">
        <f t="array" ref="S151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516" t="str">
        <f>TEXT(tbl_analysis_tickets[[#This Row],[created_date]],"mmm-yyyy")</f>
        <v>Jan-2024</v>
      </c>
      <c r="U1516" t="str">
        <f>TEXT(tbl_analysis_tickets[[#This Row],[created_date]],"dddd")</f>
        <v>Tuesday</v>
      </c>
      <c r="V1516" cm="1">
        <f t="array" ref="V1516">_xlfn.SWITCH(tbl_analysis_tickets[[#This Row],[priority]],
"Urgent",1,
"High",2,
"Medium",3,
"Low",4
)</f>
        <v>2</v>
      </c>
    </row>
    <row r="1517" spans="1:22" x14ac:dyDescent="0.25">
      <c r="A1517">
        <v>1516</v>
      </c>
      <c r="B1517" s="1">
        <v>45431</v>
      </c>
      <c r="C1517" t="s">
        <v>14</v>
      </c>
      <c r="D1517" t="s">
        <v>15</v>
      </c>
      <c r="E1517">
        <v>115</v>
      </c>
      <c r="F1517">
        <v>19</v>
      </c>
      <c r="G1517">
        <v>9.9</v>
      </c>
      <c r="H1517" t="s">
        <v>18</v>
      </c>
      <c r="I1517" t="s">
        <v>16</v>
      </c>
      <c r="J1517" t="s">
        <v>15</v>
      </c>
      <c r="K1517">
        <f>_xlfn.XLOOKUP(tbl_analysis_tickets[[#This Row],[priority]],tbl_sla[priority],tbl_sla[Resolution SLA Hours])</f>
        <v>48</v>
      </c>
      <c r="L1517">
        <f>_xlfn.XLOOKUP(tbl_analysis_tickets[[#This Row],[priority]],tbl_sla[priority],tbl_sla[First Response SLA Minutes])</f>
        <v>120</v>
      </c>
      <c r="M1517" t="str">
        <f>IF(tbl_analysis_tickets[[#This Row],[resolution_time_hours]]&gt;tbl_analysis_tickets[[#This Row],[Resolution SLA Hours]],"Breached","Within SLA")</f>
        <v>Within SLA</v>
      </c>
      <c r="N1517" t="str">
        <f>IF(tbl_analysis_tickets[[#This Row],[first_response_minutes]]&gt;tbl_analysis_tickets[[#This Row],[First Response SLA Minutes]],"Breached","Within SLA")</f>
        <v>Within SLA</v>
      </c>
      <c r="O1517" t="str" cm="1">
        <f t="array" ref="O1517">_xlfn.IFS(
tbl_analysis_tickets[[#This Row],[agent_experience_years]]&lt;=2,"Junior",
tbl_analysis_tickets[[#This Row],[agent_experience_years]]&lt;=5,"Mid-Level",
tbl_analysis_tickets[[#This Row],[agent_experience_years]]&lt;=8,"Senior",
tbl_analysis_tickets[[#This Row],[agent_experience_years]]&gt;8,"Expert"
)</f>
        <v>Expert</v>
      </c>
      <c r="P1517" cm="1">
        <f t="array" ref="P1517">_xlfn.SWITCH(tbl_analysis_tickets[[#This Row],[customer_satisfaction]],
"Low",1,
"Medium",2,
"High",3
)</f>
        <v>2</v>
      </c>
      <c r="Q1517">
        <f>IF(tbl_analysis_tickets[[#This Row],[reopened]]="Yes",1,0)</f>
        <v>0</v>
      </c>
      <c r="R1517" t="str" cm="1">
        <f t="array" ref="R1517">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517" t="str" cm="1">
        <f t="array" ref="S151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517" t="str">
        <f>TEXT(tbl_analysis_tickets[[#This Row],[created_date]],"mmm-yyyy")</f>
        <v>May-2024</v>
      </c>
      <c r="U1517" t="str">
        <f>TEXT(tbl_analysis_tickets[[#This Row],[created_date]],"dddd")</f>
        <v>Sunday</v>
      </c>
      <c r="V1517" cm="1">
        <f t="array" ref="V1517">_xlfn.SWITCH(tbl_analysis_tickets[[#This Row],[priority]],
"Urgent",1,
"High",2,
"Medium",3,
"Low",4
)</f>
        <v>3</v>
      </c>
    </row>
    <row r="1518" spans="1:22" x14ac:dyDescent="0.25">
      <c r="A1518">
        <v>1517</v>
      </c>
      <c r="B1518" s="1">
        <v>45556</v>
      </c>
      <c r="C1518" t="s">
        <v>14</v>
      </c>
      <c r="D1518" t="s">
        <v>11</v>
      </c>
      <c r="E1518">
        <v>92</v>
      </c>
      <c r="F1518">
        <v>9</v>
      </c>
      <c r="G1518">
        <v>2.2000000000000002</v>
      </c>
      <c r="H1518" t="s">
        <v>18</v>
      </c>
      <c r="I1518" t="s">
        <v>16</v>
      </c>
      <c r="J1518" t="s">
        <v>11</v>
      </c>
      <c r="K1518">
        <f>_xlfn.XLOOKUP(tbl_analysis_tickets[[#This Row],[priority]],tbl_sla[priority],tbl_sla[Resolution SLA Hours])</f>
        <v>72</v>
      </c>
      <c r="L1518">
        <f>_xlfn.XLOOKUP(tbl_analysis_tickets[[#This Row],[priority]],tbl_sla[priority],tbl_sla[First Response SLA Minutes])</f>
        <v>240</v>
      </c>
      <c r="M1518" t="str">
        <f>IF(tbl_analysis_tickets[[#This Row],[resolution_time_hours]]&gt;tbl_analysis_tickets[[#This Row],[Resolution SLA Hours]],"Breached","Within SLA")</f>
        <v>Within SLA</v>
      </c>
      <c r="N1518" t="str">
        <f>IF(tbl_analysis_tickets[[#This Row],[first_response_minutes]]&gt;tbl_analysis_tickets[[#This Row],[First Response SLA Minutes]],"Breached","Within SLA")</f>
        <v>Within SLA</v>
      </c>
      <c r="O1518" t="str" cm="1">
        <f t="array" ref="O1518">_xlfn.IFS(
tbl_analysis_tickets[[#This Row],[agent_experience_years]]&lt;=2,"Junior",
tbl_analysis_tickets[[#This Row],[agent_experience_years]]&lt;=5,"Mid-Level",
tbl_analysis_tickets[[#This Row],[agent_experience_years]]&lt;=8,"Senior",
tbl_analysis_tickets[[#This Row],[agent_experience_years]]&gt;8,"Expert"
)</f>
        <v>Mid-Level</v>
      </c>
      <c r="P1518" cm="1">
        <f t="array" ref="P1518">_xlfn.SWITCH(tbl_analysis_tickets[[#This Row],[customer_satisfaction]],
"Low",1,
"Medium",2,
"High",3
)</f>
        <v>1</v>
      </c>
      <c r="Q1518">
        <f>IF(tbl_analysis_tickets[[#This Row],[reopened]]="Yes",1,0)</f>
        <v>0</v>
      </c>
      <c r="R1518" t="str" cm="1">
        <f t="array" ref="R1518">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518" t="str" cm="1">
        <f t="array" ref="S151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518" t="str">
        <f>TEXT(tbl_analysis_tickets[[#This Row],[created_date]],"mmm-yyyy")</f>
        <v>Sep-2024</v>
      </c>
      <c r="U1518" t="str">
        <f>TEXT(tbl_analysis_tickets[[#This Row],[created_date]],"dddd")</f>
        <v>Saturday</v>
      </c>
      <c r="V1518" cm="1">
        <f t="array" ref="V1518">_xlfn.SWITCH(tbl_analysis_tickets[[#This Row],[priority]],
"Urgent",1,
"High",2,
"Medium",3,
"Low",4
)</f>
        <v>4</v>
      </c>
    </row>
    <row r="1519" spans="1:22" x14ac:dyDescent="0.25">
      <c r="A1519">
        <v>1518</v>
      </c>
      <c r="B1519" s="1">
        <v>45601</v>
      </c>
      <c r="C1519" t="s">
        <v>23</v>
      </c>
      <c r="D1519" t="s">
        <v>15</v>
      </c>
      <c r="E1519">
        <v>92</v>
      </c>
      <c r="F1519">
        <v>11</v>
      </c>
      <c r="G1519">
        <v>8.3000000000000007</v>
      </c>
      <c r="H1519" t="s">
        <v>18</v>
      </c>
      <c r="I1519" t="s">
        <v>16</v>
      </c>
      <c r="J1519" t="s">
        <v>15</v>
      </c>
      <c r="K1519">
        <f>_xlfn.XLOOKUP(tbl_analysis_tickets[[#This Row],[priority]],tbl_sla[priority],tbl_sla[Resolution SLA Hours])</f>
        <v>48</v>
      </c>
      <c r="L1519">
        <f>_xlfn.XLOOKUP(tbl_analysis_tickets[[#This Row],[priority]],tbl_sla[priority],tbl_sla[First Response SLA Minutes])</f>
        <v>120</v>
      </c>
      <c r="M1519" t="str">
        <f>IF(tbl_analysis_tickets[[#This Row],[resolution_time_hours]]&gt;tbl_analysis_tickets[[#This Row],[Resolution SLA Hours]],"Breached","Within SLA")</f>
        <v>Within SLA</v>
      </c>
      <c r="N1519" t="str">
        <f>IF(tbl_analysis_tickets[[#This Row],[first_response_minutes]]&gt;tbl_analysis_tickets[[#This Row],[First Response SLA Minutes]],"Breached","Within SLA")</f>
        <v>Within SLA</v>
      </c>
      <c r="O1519" t="str" cm="1">
        <f t="array" ref="O1519">_xlfn.IFS(
tbl_analysis_tickets[[#This Row],[agent_experience_years]]&lt;=2,"Junior",
tbl_analysis_tickets[[#This Row],[agent_experience_years]]&lt;=5,"Mid-Level",
tbl_analysis_tickets[[#This Row],[agent_experience_years]]&lt;=8,"Senior",
tbl_analysis_tickets[[#This Row],[agent_experience_years]]&gt;8,"Expert"
)</f>
        <v>Expert</v>
      </c>
      <c r="P1519" cm="1">
        <f t="array" ref="P1519">_xlfn.SWITCH(tbl_analysis_tickets[[#This Row],[customer_satisfaction]],
"Low",1,
"Medium",2,
"High",3
)</f>
        <v>2</v>
      </c>
      <c r="Q1519">
        <f>IF(tbl_analysis_tickets[[#This Row],[reopened]]="Yes",1,0)</f>
        <v>0</v>
      </c>
      <c r="R1519" t="str" cm="1">
        <f t="array" ref="R1519">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519" t="str" cm="1">
        <f t="array" ref="S151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519" t="str">
        <f>TEXT(tbl_analysis_tickets[[#This Row],[created_date]],"mmm-yyyy")</f>
        <v>Nov-2024</v>
      </c>
      <c r="U1519" t="str">
        <f>TEXT(tbl_analysis_tickets[[#This Row],[created_date]],"dddd")</f>
        <v>Tuesday</v>
      </c>
      <c r="V1519" cm="1">
        <f t="array" ref="V1519">_xlfn.SWITCH(tbl_analysis_tickets[[#This Row],[priority]],
"Urgent",1,
"High",2,
"Medium",3,
"Low",4
)</f>
        <v>3</v>
      </c>
    </row>
    <row r="1520" spans="1:22" x14ac:dyDescent="0.25">
      <c r="A1520">
        <v>1519</v>
      </c>
      <c r="B1520" s="1">
        <v>45501</v>
      </c>
      <c r="C1520" t="s">
        <v>10</v>
      </c>
      <c r="D1520" t="s">
        <v>20</v>
      </c>
      <c r="E1520">
        <v>181</v>
      </c>
      <c r="F1520">
        <v>25</v>
      </c>
      <c r="G1520">
        <v>6.9</v>
      </c>
      <c r="H1520" t="s">
        <v>12</v>
      </c>
      <c r="I1520" t="s">
        <v>13</v>
      </c>
      <c r="J1520" t="s">
        <v>11</v>
      </c>
      <c r="K1520">
        <f>_xlfn.XLOOKUP(tbl_analysis_tickets[[#This Row],[priority]],tbl_sla[priority],tbl_sla[Resolution SLA Hours])</f>
        <v>24</v>
      </c>
      <c r="L1520">
        <f>_xlfn.XLOOKUP(tbl_analysis_tickets[[#This Row],[priority]],tbl_sla[priority],tbl_sla[First Response SLA Minutes])</f>
        <v>60</v>
      </c>
      <c r="M1520" t="str">
        <f>IF(tbl_analysis_tickets[[#This Row],[resolution_time_hours]]&gt;tbl_analysis_tickets[[#This Row],[Resolution SLA Hours]],"Breached","Within SLA")</f>
        <v>Breached</v>
      </c>
      <c r="N1520" t="str">
        <f>IF(tbl_analysis_tickets[[#This Row],[first_response_minutes]]&gt;tbl_analysis_tickets[[#This Row],[First Response SLA Minutes]],"Breached","Within SLA")</f>
        <v>Breached</v>
      </c>
      <c r="O1520" t="str" cm="1">
        <f t="array" ref="O1520">_xlfn.IFS(
tbl_analysis_tickets[[#This Row],[agent_experience_years]]&lt;=2,"Junior",
tbl_analysis_tickets[[#This Row],[agent_experience_years]]&lt;=5,"Mid-Level",
tbl_analysis_tickets[[#This Row],[agent_experience_years]]&lt;=8,"Senior",
tbl_analysis_tickets[[#This Row],[agent_experience_years]]&gt;8,"Expert"
)</f>
        <v>Senior</v>
      </c>
      <c r="P1520" cm="1">
        <f t="array" ref="P1520">_xlfn.SWITCH(tbl_analysis_tickets[[#This Row],[customer_satisfaction]],
"Low",1,
"Medium",2,
"High",3
)</f>
        <v>1</v>
      </c>
      <c r="Q1520">
        <f>IF(tbl_analysis_tickets[[#This Row],[reopened]]="Yes",1,0)</f>
        <v>1</v>
      </c>
      <c r="R1520" t="str" cm="1">
        <f t="array" ref="R1520">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520" t="str" cm="1">
        <f t="array" ref="S152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520" t="str">
        <f>TEXT(tbl_analysis_tickets[[#This Row],[created_date]],"mmm-yyyy")</f>
        <v>Jul-2024</v>
      </c>
      <c r="U1520" t="str">
        <f>TEXT(tbl_analysis_tickets[[#This Row],[created_date]],"dddd")</f>
        <v>Sunday</v>
      </c>
      <c r="V1520" cm="1">
        <f t="array" ref="V1520">_xlfn.SWITCH(tbl_analysis_tickets[[#This Row],[priority]],
"Urgent",1,
"High",2,
"Medium",3,
"Low",4
)</f>
        <v>2</v>
      </c>
    </row>
    <row r="1521" spans="1:22" x14ac:dyDescent="0.25">
      <c r="A1521">
        <v>1520</v>
      </c>
      <c r="B1521" s="1">
        <v>45473</v>
      </c>
      <c r="C1521" t="s">
        <v>14</v>
      </c>
      <c r="D1521" t="s">
        <v>20</v>
      </c>
      <c r="E1521">
        <v>71</v>
      </c>
      <c r="F1521">
        <v>9</v>
      </c>
      <c r="G1521">
        <v>1.9</v>
      </c>
      <c r="H1521" t="s">
        <v>12</v>
      </c>
      <c r="I1521" t="s">
        <v>19</v>
      </c>
      <c r="J1521" t="s">
        <v>11</v>
      </c>
      <c r="K1521">
        <f>_xlfn.XLOOKUP(tbl_analysis_tickets[[#This Row],[priority]],tbl_sla[priority],tbl_sla[Resolution SLA Hours])</f>
        <v>24</v>
      </c>
      <c r="L1521">
        <f>_xlfn.XLOOKUP(tbl_analysis_tickets[[#This Row],[priority]],tbl_sla[priority],tbl_sla[First Response SLA Minutes])</f>
        <v>60</v>
      </c>
      <c r="M1521" t="str">
        <f>IF(tbl_analysis_tickets[[#This Row],[resolution_time_hours]]&gt;tbl_analysis_tickets[[#This Row],[Resolution SLA Hours]],"Breached","Within SLA")</f>
        <v>Within SLA</v>
      </c>
      <c r="N1521" t="str">
        <f>IF(tbl_analysis_tickets[[#This Row],[first_response_minutes]]&gt;tbl_analysis_tickets[[#This Row],[First Response SLA Minutes]],"Breached","Within SLA")</f>
        <v>Breached</v>
      </c>
      <c r="O1521" t="str" cm="1">
        <f t="array" ref="O1521">_xlfn.IFS(
tbl_analysis_tickets[[#This Row],[agent_experience_years]]&lt;=2,"Junior",
tbl_analysis_tickets[[#This Row],[agent_experience_years]]&lt;=5,"Mid-Level",
tbl_analysis_tickets[[#This Row],[agent_experience_years]]&lt;=8,"Senior",
tbl_analysis_tickets[[#This Row],[agent_experience_years]]&gt;8,"Expert"
)</f>
        <v>Junior</v>
      </c>
      <c r="P1521" cm="1">
        <f t="array" ref="P1521">_xlfn.SWITCH(tbl_analysis_tickets[[#This Row],[customer_satisfaction]],
"Low",1,
"Medium",2,
"High",3
)</f>
        <v>1</v>
      </c>
      <c r="Q1521">
        <f>IF(tbl_analysis_tickets[[#This Row],[reopened]]="Yes",1,0)</f>
        <v>1</v>
      </c>
      <c r="R1521" t="str" cm="1">
        <f t="array" ref="R1521">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521" t="str" cm="1">
        <f t="array" ref="S152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521" t="str">
        <f>TEXT(tbl_analysis_tickets[[#This Row],[created_date]],"mmm-yyyy")</f>
        <v>Jun-2024</v>
      </c>
      <c r="U1521" t="str">
        <f>TEXT(tbl_analysis_tickets[[#This Row],[created_date]],"dddd")</f>
        <v>Sunday</v>
      </c>
      <c r="V1521" cm="1">
        <f t="array" ref="V1521">_xlfn.SWITCH(tbl_analysis_tickets[[#This Row],[priority]],
"Urgent",1,
"High",2,
"Medium",3,
"Low",4
)</f>
        <v>2</v>
      </c>
    </row>
    <row r="1522" spans="1:22" x14ac:dyDescent="0.25">
      <c r="A1522">
        <v>1521</v>
      </c>
      <c r="B1522" s="1">
        <v>45646</v>
      </c>
      <c r="C1522" t="s">
        <v>21</v>
      </c>
      <c r="D1522" t="s">
        <v>20</v>
      </c>
      <c r="E1522">
        <v>35</v>
      </c>
      <c r="F1522">
        <v>47</v>
      </c>
      <c r="G1522">
        <v>7.9</v>
      </c>
      <c r="H1522" t="s">
        <v>18</v>
      </c>
      <c r="I1522" t="s">
        <v>13</v>
      </c>
      <c r="J1522" t="s">
        <v>11</v>
      </c>
      <c r="K1522">
        <f>_xlfn.XLOOKUP(tbl_analysis_tickets[[#This Row],[priority]],tbl_sla[priority],tbl_sla[Resolution SLA Hours])</f>
        <v>24</v>
      </c>
      <c r="L1522">
        <f>_xlfn.XLOOKUP(tbl_analysis_tickets[[#This Row],[priority]],tbl_sla[priority],tbl_sla[First Response SLA Minutes])</f>
        <v>60</v>
      </c>
      <c r="M1522" t="str">
        <f>IF(tbl_analysis_tickets[[#This Row],[resolution_time_hours]]&gt;tbl_analysis_tickets[[#This Row],[Resolution SLA Hours]],"Breached","Within SLA")</f>
        <v>Breached</v>
      </c>
      <c r="N1522" t="str">
        <f>IF(tbl_analysis_tickets[[#This Row],[first_response_minutes]]&gt;tbl_analysis_tickets[[#This Row],[First Response SLA Minutes]],"Breached","Within SLA")</f>
        <v>Within SLA</v>
      </c>
      <c r="O1522" t="str" cm="1">
        <f t="array" ref="O1522">_xlfn.IFS(
tbl_analysis_tickets[[#This Row],[agent_experience_years]]&lt;=2,"Junior",
tbl_analysis_tickets[[#This Row],[agent_experience_years]]&lt;=5,"Mid-Level",
tbl_analysis_tickets[[#This Row],[agent_experience_years]]&lt;=8,"Senior",
tbl_analysis_tickets[[#This Row],[agent_experience_years]]&gt;8,"Expert"
)</f>
        <v>Senior</v>
      </c>
      <c r="P1522" cm="1">
        <f t="array" ref="P1522">_xlfn.SWITCH(tbl_analysis_tickets[[#This Row],[customer_satisfaction]],
"Low",1,
"Medium",2,
"High",3
)</f>
        <v>1</v>
      </c>
      <c r="Q1522">
        <f>IF(tbl_analysis_tickets[[#This Row],[reopened]]="Yes",1,0)</f>
        <v>0</v>
      </c>
      <c r="R1522" t="str" cm="1">
        <f t="array" ref="R1522">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522" t="str" cm="1">
        <f t="array" ref="S152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522" t="str">
        <f>TEXT(tbl_analysis_tickets[[#This Row],[created_date]],"mmm-yyyy")</f>
        <v>Dec-2024</v>
      </c>
      <c r="U1522" t="str">
        <f>TEXT(tbl_analysis_tickets[[#This Row],[created_date]],"dddd")</f>
        <v>Friday</v>
      </c>
      <c r="V1522" cm="1">
        <f t="array" ref="V1522">_xlfn.SWITCH(tbl_analysis_tickets[[#This Row],[priority]],
"Urgent",1,
"High",2,
"Medium",3,
"Low",4
)</f>
        <v>2</v>
      </c>
    </row>
    <row r="1523" spans="1:22" x14ac:dyDescent="0.25">
      <c r="A1523">
        <v>1522</v>
      </c>
      <c r="B1523" s="1">
        <v>45307</v>
      </c>
      <c r="C1523" t="s">
        <v>14</v>
      </c>
      <c r="D1523" t="s">
        <v>11</v>
      </c>
      <c r="E1523">
        <v>144</v>
      </c>
      <c r="F1523">
        <v>57</v>
      </c>
      <c r="G1523">
        <v>3.7</v>
      </c>
      <c r="H1523" t="s">
        <v>12</v>
      </c>
      <c r="I1523" t="s">
        <v>16</v>
      </c>
      <c r="J1523" t="s">
        <v>11</v>
      </c>
      <c r="K1523">
        <f>_xlfn.XLOOKUP(tbl_analysis_tickets[[#This Row],[priority]],tbl_sla[priority],tbl_sla[Resolution SLA Hours])</f>
        <v>72</v>
      </c>
      <c r="L1523">
        <f>_xlfn.XLOOKUP(tbl_analysis_tickets[[#This Row],[priority]],tbl_sla[priority],tbl_sla[First Response SLA Minutes])</f>
        <v>240</v>
      </c>
      <c r="M1523" t="str">
        <f>IF(tbl_analysis_tickets[[#This Row],[resolution_time_hours]]&gt;tbl_analysis_tickets[[#This Row],[Resolution SLA Hours]],"Breached","Within SLA")</f>
        <v>Within SLA</v>
      </c>
      <c r="N1523" t="str">
        <f>IF(tbl_analysis_tickets[[#This Row],[first_response_minutes]]&gt;tbl_analysis_tickets[[#This Row],[First Response SLA Minutes]],"Breached","Within SLA")</f>
        <v>Within SLA</v>
      </c>
      <c r="O1523" t="str" cm="1">
        <f t="array" ref="O1523">_xlfn.IFS(
tbl_analysis_tickets[[#This Row],[agent_experience_years]]&lt;=2,"Junior",
tbl_analysis_tickets[[#This Row],[agent_experience_years]]&lt;=5,"Mid-Level",
tbl_analysis_tickets[[#This Row],[agent_experience_years]]&lt;=8,"Senior",
tbl_analysis_tickets[[#This Row],[agent_experience_years]]&gt;8,"Expert"
)</f>
        <v>Mid-Level</v>
      </c>
      <c r="P1523" cm="1">
        <f t="array" ref="P1523">_xlfn.SWITCH(tbl_analysis_tickets[[#This Row],[customer_satisfaction]],
"Low",1,
"Medium",2,
"High",3
)</f>
        <v>1</v>
      </c>
      <c r="Q1523">
        <f>IF(tbl_analysis_tickets[[#This Row],[reopened]]="Yes",1,0)</f>
        <v>1</v>
      </c>
      <c r="R1523" t="str" cm="1">
        <f t="array" ref="R1523">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523" t="str" cm="1">
        <f t="array" ref="S152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523" t="str">
        <f>TEXT(tbl_analysis_tickets[[#This Row],[created_date]],"mmm-yyyy")</f>
        <v>Jan-2024</v>
      </c>
      <c r="U1523" t="str">
        <f>TEXT(tbl_analysis_tickets[[#This Row],[created_date]],"dddd")</f>
        <v>Tuesday</v>
      </c>
      <c r="V1523" cm="1">
        <f t="array" ref="V1523">_xlfn.SWITCH(tbl_analysis_tickets[[#This Row],[priority]],
"Urgent",1,
"High",2,
"Medium",3,
"Low",4
)</f>
        <v>4</v>
      </c>
    </row>
    <row r="1524" spans="1:22" x14ac:dyDescent="0.25">
      <c r="A1524">
        <v>1523</v>
      </c>
      <c r="B1524" s="1">
        <v>45638</v>
      </c>
      <c r="C1524" t="s">
        <v>23</v>
      </c>
      <c r="D1524" t="s">
        <v>15</v>
      </c>
      <c r="E1524">
        <v>104</v>
      </c>
      <c r="F1524">
        <v>29</v>
      </c>
      <c r="G1524">
        <v>2.7</v>
      </c>
      <c r="H1524" t="s">
        <v>12</v>
      </c>
      <c r="I1524" t="s">
        <v>13</v>
      </c>
      <c r="J1524" t="s">
        <v>11</v>
      </c>
      <c r="K1524">
        <f>_xlfn.XLOOKUP(tbl_analysis_tickets[[#This Row],[priority]],tbl_sla[priority],tbl_sla[Resolution SLA Hours])</f>
        <v>48</v>
      </c>
      <c r="L1524">
        <f>_xlfn.XLOOKUP(tbl_analysis_tickets[[#This Row],[priority]],tbl_sla[priority],tbl_sla[First Response SLA Minutes])</f>
        <v>120</v>
      </c>
      <c r="M1524" t="str">
        <f>IF(tbl_analysis_tickets[[#This Row],[resolution_time_hours]]&gt;tbl_analysis_tickets[[#This Row],[Resolution SLA Hours]],"Breached","Within SLA")</f>
        <v>Within SLA</v>
      </c>
      <c r="N1524" t="str">
        <f>IF(tbl_analysis_tickets[[#This Row],[first_response_minutes]]&gt;tbl_analysis_tickets[[#This Row],[First Response SLA Minutes]],"Breached","Within SLA")</f>
        <v>Within SLA</v>
      </c>
      <c r="O1524" t="str" cm="1">
        <f t="array" ref="O1524">_xlfn.IFS(
tbl_analysis_tickets[[#This Row],[agent_experience_years]]&lt;=2,"Junior",
tbl_analysis_tickets[[#This Row],[agent_experience_years]]&lt;=5,"Mid-Level",
tbl_analysis_tickets[[#This Row],[agent_experience_years]]&lt;=8,"Senior",
tbl_analysis_tickets[[#This Row],[agent_experience_years]]&gt;8,"Expert"
)</f>
        <v>Mid-Level</v>
      </c>
      <c r="P1524" cm="1">
        <f t="array" ref="P1524">_xlfn.SWITCH(tbl_analysis_tickets[[#This Row],[customer_satisfaction]],
"Low",1,
"Medium",2,
"High",3
)</f>
        <v>1</v>
      </c>
      <c r="Q1524">
        <f>IF(tbl_analysis_tickets[[#This Row],[reopened]]="Yes",1,0)</f>
        <v>1</v>
      </c>
      <c r="R1524" t="str" cm="1">
        <f t="array" ref="R1524">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524" t="str" cm="1">
        <f t="array" ref="S152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524" t="str">
        <f>TEXT(tbl_analysis_tickets[[#This Row],[created_date]],"mmm-yyyy")</f>
        <v>Dec-2024</v>
      </c>
      <c r="U1524" t="str">
        <f>TEXT(tbl_analysis_tickets[[#This Row],[created_date]],"dddd")</f>
        <v>Thursday</v>
      </c>
      <c r="V1524" cm="1">
        <f t="array" ref="V1524">_xlfn.SWITCH(tbl_analysis_tickets[[#This Row],[priority]],
"Urgent",1,
"High",2,
"Medium",3,
"Low",4
)</f>
        <v>3</v>
      </c>
    </row>
    <row r="1525" spans="1:22" x14ac:dyDescent="0.25">
      <c r="A1525">
        <v>1524</v>
      </c>
      <c r="B1525" s="1">
        <v>45427</v>
      </c>
      <c r="C1525" t="s">
        <v>14</v>
      </c>
      <c r="D1525" t="s">
        <v>20</v>
      </c>
      <c r="E1525">
        <v>173</v>
      </c>
      <c r="F1525">
        <v>50</v>
      </c>
      <c r="G1525">
        <v>8.6999999999999993</v>
      </c>
      <c r="H1525" t="s">
        <v>18</v>
      </c>
      <c r="I1525" t="s">
        <v>13</v>
      </c>
      <c r="J1525" t="s">
        <v>11</v>
      </c>
      <c r="K1525">
        <f>_xlfn.XLOOKUP(tbl_analysis_tickets[[#This Row],[priority]],tbl_sla[priority],tbl_sla[Resolution SLA Hours])</f>
        <v>24</v>
      </c>
      <c r="L1525">
        <f>_xlfn.XLOOKUP(tbl_analysis_tickets[[#This Row],[priority]],tbl_sla[priority],tbl_sla[First Response SLA Minutes])</f>
        <v>60</v>
      </c>
      <c r="M1525" t="str">
        <f>IF(tbl_analysis_tickets[[#This Row],[resolution_time_hours]]&gt;tbl_analysis_tickets[[#This Row],[Resolution SLA Hours]],"Breached","Within SLA")</f>
        <v>Breached</v>
      </c>
      <c r="N1525" t="str">
        <f>IF(tbl_analysis_tickets[[#This Row],[first_response_minutes]]&gt;tbl_analysis_tickets[[#This Row],[First Response SLA Minutes]],"Breached","Within SLA")</f>
        <v>Breached</v>
      </c>
      <c r="O1525" t="str" cm="1">
        <f t="array" ref="O1525">_xlfn.IFS(
tbl_analysis_tickets[[#This Row],[agent_experience_years]]&lt;=2,"Junior",
tbl_analysis_tickets[[#This Row],[agent_experience_years]]&lt;=5,"Mid-Level",
tbl_analysis_tickets[[#This Row],[agent_experience_years]]&lt;=8,"Senior",
tbl_analysis_tickets[[#This Row],[agent_experience_years]]&gt;8,"Expert"
)</f>
        <v>Expert</v>
      </c>
      <c r="P1525" cm="1">
        <f t="array" ref="P1525">_xlfn.SWITCH(tbl_analysis_tickets[[#This Row],[customer_satisfaction]],
"Low",1,
"Medium",2,
"High",3
)</f>
        <v>1</v>
      </c>
      <c r="Q1525">
        <f>IF(tbl_analysis_tickets[[#This Row],[reopened]]="Yes",1,0)</f>
        <v>0</v>
      </c>
      <c r="R1525" t="str" cm="1">
        <f t="array" ref="R1525">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525" t="str" cm="1">
        <f t="array" ref="S152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525" t="str">
        <f>TEXT(tbl_analysis_tickets[[#This Row],[created_date]],"mmm-yyyy")</f>
        <v>May-2024</v>
      </c>
      <c r="U1525" t="str">
        <f>TEXT(tbl_analysis_tickets[[#This Row],[created_date]],"dddd")</f>
        <v>Wednesday</v>
      </c>
      <c r="V1525" cm="1">
        <f t="array" ref="V1525">_xlfn.SWITCH(tbl_analysis_tickets[[#This Row],[priority]],
"Urgent",1,
"High",2,
"Medium",3,
"Low",4
)</f>
        <v>2</v>
      </c>
    </row>
    <row r="1526" spans="1:22" x14ac:dyDescent="0.25">
      <c r="A1526">
        <v>1525</v>
      </c>
      <c r="B1526" s="1">
        <v>45619</v>
      </c>
      <c r="C1526" t="s">
        <v>10</v>
      </c>
      <c r="D1526" t="s">
        <v>20</v>
      </c>
      <c r="E1526">
        <v>208</v>
      </c>
      <c r="F1526">
        <v>33</v>
      </c>
      <c r="G1526">
        <v>3</v>
      </c>
      <c r="H1526" t="s">
        <v>18</v>
      </c>
      <c r="I1526" t="s">
        <v>16</v>
      </c>
      <c r="J1526" t="s">
        <v>11</v>
      </c>
      <c r="K1526">
        <f>_xlfn.XLOOKUP(tbl_analysis_tickets[[#This Row],[priority]],tbl_sla[priority],tbl_sla[Resolution SLA Hours])</f>
        <v>24</v>
      </c>
      <c r="L1526">
        <f>_xlfn.XLOOKUP(tbl_analysis_tickets[[#This Row],[priority]],tbl_sla[priority],tbl_sla[First Response SLA Minutes])</f>
        <v>60</v>
      </c>
      <c r="M1526" t="str">
        <f>IF(tbl_analysis_tickets[[#This Row],[resolution_time_hours]]&gt;tbl_analysis_tickets[[#This Row],[Resolution SLA Hours]],"Breached","Within SLA")</f>
        <v>Breached</v>
      </c>
      <c r="N1526" t="str">
        <f>IF(tbl_analysis_tickets[[#This Row],[first_response_minutes]]&gt;tbl_analysis_tickets[[#This Row],[First Response SLA Minutes]],"Breached","Within SLA")</f>
        <v>Breached</v>
      </c>
      <c r="O1526" t="str" cm="1">
        <f t="array" ref="O1526">_xlfn.IFS(
tbl_analysis_tickets[[#This Row],[agent_experience_years]]&lt;=2,"Junior",
tbl_analysis_tickets[[#This Row],[agent_experience_years]]&lt;=5,"Mid-Level",
tbl_analysis_tickets[[#This Row],[agent_experience_years]]&lt;=8,"Senior",
tbl_analysis_tickets[[#This Row],[agent_experience_years]]&gt;8,"Expert"
)</f>
        <v>Mid-Level</v>
      </c>
      <c r="P1526" cm="1">
        <f t="array" ref="P1526">_xlfn.SWITCH(tbl_analysis_tickets[[#This Row],[customer_satisfaction]],
"Low",1,
"Medium",2,
"High",3
)</f>
        <v>1</v>
      </c>
      <c r="Q1526">
        <f>IF(tbl_analysis_tickets[[#This Row],[reopened]]="Yes",1,0)</f>
        <v>0</v>
      </c>
      <c r="R1526" t="str" cm="1">
        <f t="array" ref="R1526">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526" t="str" cm="1">
        <f t="array" ref="S152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526" t="str">
        <f>TEXT(tbl_analysis_tickets[[#This Row],[created_date]],"mmm-yyyy")</f>
        <v>Nov-2024</v>
      </c>
      <c r="U1526" t="str">
        <f>TEXT(tbl_analysis_tickets[[#This Row],[created_date]],"dddd")</f>
        <v>Saturday</v>
      </c>
      <c r="V1526" cm="1">
        <f t="array" ref="V1526">_xlfn.SWITCH(tbl_analysis_tickets[[#This Row],[priority]],
"Urgent",1,
"High",2,
"Medium",3,
"Low",4
)</f>
        <v>2</v>
      </c>
    </row>
    <row r="1527" spans="1:22" x14ac:dyDescent="0.25">
      <c r="A1527">
        <v>1526</v>
      </c>
      <c r="B1527" s="1">
        <v>45389</v>
      </c>
      <c r="C1527" t="s">
        <v>23</v>
      </c>
      <c r="D1527" t="s">
        <v>11</v>
      </c>
      <c r="E1527">
        <v>119</v>
      </c>
      <c r="F1527">
        <v>12</v>
      </c>
      <c r="G1527">
        <v>1</v>
      </c>
      <c r="H1527" t="s">
        <v>12</v>
      </c>
      <c r="I1527" t="s">
        <v>19</v>
      </c>
      <c r="J1527" t="s">
        <v>11</v>
      </c>
      <c r="K1527">
        <f>_xlfn.XLOOKUP(tbl_analysis_tickets[[#This Row],[priority]],tbl_sla[priority],tbl_sla[Resolution SLA Hours])</f>
        <v>72</v>
      </c>
      <c r="L1527">
        <f>_xlfn.XLOOKUP(tbl_analysis_tickets[[#This Row],[priority]],tbl_sla[priority],tbl_sla[First Response SLA Minutes])</f>
        <v>240</v>
      </c>
      <c r="M1527" t="str">
        <f>IF(tbl_analysis_tickets[[#This Row],[resolution_time_hours]]&gt;tbl_analysis_tickets[[#This Row],[Resolution SLA Hours]],"Breached","Within SLA")</f>
        <v>Within SLA</v>
      </c>
      <c r="N1527" t="str">
        <f>IF(tbl_analysis_tickets[[#This Row],[first_response_minutes]]&gt;tbl_analysis_tickets[[#This Row],[First Response SLA Minutes]],"Breached","Within SLA")</f>
        <v>Within SLA</v>
      </c>
      <c r="O1527" t="str" cm="1">
        <f t="array" ref="O1527">_xlfn.IFS(
tbl_analysis_tickets[[#This Row],[agent_experience_years]]&lt;=2,"Junior",
tbl_analysis_tickets[[#This Row],[agent_experience_years]]&lt;=5,"Mid-Level",
tbl_analysis_tickets[[#This Row],[agent_experience_years]]&lt;=8,"Senior",
tbl_analysis_tickets[[#This Row],[agent_experience_years]]&gt;8,"Expert"
)</f>
        <v>Junior</v>
      </c>
      <c r="P1527" cm="1">
        <f t="array" ref="P1527">_xlfn.SWITCH(tbl_analysis_tickets[[#This Row],[customer_satisfaction]],
"Low",1,
"Medium",2,
"High",3
)</f>
        <v>1</v>
      </c>
      <c r="Q1527">
        <f>IF(tbl_analysis_tickets[[#This Row],[reopened]]="Yes",1,0)</f>
        <v>1</v>
      </c>
      <c r="R1527" t="str" cm="1">
        <f t="array" ref="R1527">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527" t="str" cm="1">
        <f t="array" ref="S152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527" t="str">
        <f>TEXT(tbl_analysis_tickets[[#This Row],[created_date]],"mmm-yyyy")</f>
        <v>Apr-2024</v>
      </c>
      <c r="U1527" t="str">
        <f>TEXT(tbl_analysis_tickets[[#This Row],[created_date]],"dddd")</f>
        <v>Sunday</v>
      </c>
      <c r="V1527" cm="1">
        <f t="array" ref="V1527">_xlfn.SWITCH(tbl_analysis_tickets[[#This Row],[priority]],
"Urgent",1,
"High",2,
"Medium",3,
"Low",4
)</f>
        <v>4</v>
      </c>
    </row>
    <row r="1528" spans="1:22" x14ac:dyDescent="0.25">
      <c r="A1528">
        <v>1527</v>
      </c>
      <c r="B1528" s="1">
        <v>45439</v>
      </c>
      <c r="C1528" t="s">
        <v>23</v>
      </c>
      <c r="D1528" t="s">
        <v>15</v>
      </c>
      <c r="E1528">
        <v>143</v>
      </c>
      <c r="F1528">
        <v>13</v>
      </c>
      <c r="G1528">
        <v>6.2</v>
      </c>
      <c r="H1528" t="s">
        <v>18</v>
      </c>
      <c r="I1528" t="s">
        <v>16</v>
      </c>
      <c r="J1528" t="s">
        <v>15</v>
      </c>
      <c r="K1528">
        <f>_xlfn.XLOOKUP(tbl_analysis_tickets[[#This Row],[priority]],tbl_sla[priority],tbl_sla[Resolution SLA Hours])</f>
        <v>48</v>
      </c>
      <c r="L1528">
        <f>_xlfn.XLOOKUP(tbl_analysis_tickets[[#This Row],[priority]],tbl_sla[priority],tbl_sla[First Response SLA Minutes])</f>
        <v>120</v>
      </c>
      <c r="M1528" t="str">
        <f>IF(tbl_analysis_tickets[[#This Row],[resolution_time_hours]]&gt;tbl_analysis_tickets[[#This Row],[Resolution SLA Hours]],"Breached","Within SLA")</f>
        <v>Within SLA</v>
      </c>
      <c r="N1528" t="str">
        <f>IF(tbl_analysis_tickets[[#This Row],[first_response_minutes]]&gt;tbl_analysis_tickets[[#This Row],[First Response SLA Minutes]],"Breached","Within SLA")</f>
        <v>Breached</v>
      </c>
      <c r="O1528" t="str" cm="1">
        <f t="array" ref="O1528">_xlfn.IFS(
tbl_analysis_tickets[[#This Row],[agent_experience_years]]&lt;=2,"Junior",
tbl_analysis_tickets[[#This Row],[agent_experience_years]]&lt;=5,"Mid-Level",
tbl_analysis_tickets[[#This Row],[agent_experience_years]]&lt;=8,"Senior",
tbl_analysis_tickets[[#This Row],[agent_experience_years]]&gt;8,"Expert"
)</f>
        <v>Senior</v>
      </c>
      <c r="P1528" cm="1">
        <f t="array" ref="P1528">_xlfn.SWITCH(tbl_analysis_tickets[[#This Row],[customer_satisfaction]],
"Low",1,
"Medium",2,
"High",3
)</f>
        <v>2</v>
      </c>
      <c r="Q1528">
        <f>IF(tbl_analysis_tickets[[#This Row],[reopened]]="Yes",1,0)</f>
        <v>0</v>
      </c>
      <c r="R1528" t="str" cm="1">
        <f t="array" ref="R1528">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528" t="str" cm="1">
        <f t="array" ref="S152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528" t="str">
        <f>TEXT(tbl_analysis_tickets[[#This Row],[created_date]],"mmm-yyyy")</f>
        <v>May-2024</v>
      </c>
      <c r="U1528" t="str">
        <f>TEXT(tbl_analysis_tickets[[#This Row],[created_date]],"dddd")</f>
        <v>Monday</v>
      </c>
      <c r="V1528" cm="1">
        <f t="array" ref="V1528">_xlfn.SWITCH(tbl_analysis_tickets[[#This Row],[priority]],
"Urgent",1,
"High",2,
"Medium",3,
"Low",4
)</f>
        <v>3</v>
      </c>
    </row>
    <row r="1529" spans="1:22" x14ac:dyDescent="0.25">
      <c r="A1529">
        <v>1528</v>
      </c>
      <c r="B1529" s="1">
        <v>45310</v>
      </c>
      <c r="C1529" t="s">
        <v>21</v>
      </c>
      <c r="D1529" t="s">
        <v>11</v>
      </c>
      <c r="E1529">
        <v>50</v>
      </c>
      <c r="F1529">
        <v>40</v>
      </c>
      <c r="G1529">
        <v>2.7</v>
      </c>
      <c r="H1529" t="s">
        <v>12</v>
      </c>
      <c r="I1529" t="s">
        <v>16</v>
      </c>
      <c r="J1529" t="s">
        <v>11</v>
      </c>
      <c r="K1529">
        <f>_xlfn.XLOOKUP(tbl_analysis_tickets[[#This Row],[priority]],tbl_sla[priority],tbl_sla[Resolution SLA Hours])</f>
        <v>72</v>
      </c>
      <c r="L1529">
        <f>_xlfn.XLOOKUP(tbl_analysis_tickets[[#This Row],[priority]],tbl_sla[priority],tbl_sla[First Response SLA Minutes])</f>
        <v>240</v>
      </c>
      <c r="M1529" t="str">
        <f>IF(tbl_analysis_tickets[[#This Row],[resolution_time_hours]]&gt;tbl_analysis_tickets[[#This Row],[Resolution SLA Hours]],"Breached","Within SLA")</f>
        <v>Within SLA</v>
      </c>
      <c r="N1529" t="str">
        <f>IF(tbl_analysis_tickets[[#This Row],[first_response_minutes]]&gt;tbl_analysis_tickets[[#This Row],[First Response SLA Minutes]],"Breached","Within SLA")</f>
        <v>Within SLA</v>
      </c>
      <c r="O1529" t="str" cm="1">
        <f t="array" ref="O1529">_xlfn.IFS(
tbl_analysis_tickets[[#This Row],[agent_experience_years]]&lt;=2,"Junior",
tbl_analysis_tickets[[#This Row],[agent_experience_years]]&lt;=5,"Mid-Level",
tbl_analysis_tickets[[#This Row],[agent_experience_years]]&lt;=8,"Senior",
tbl_analysis_tickets[[#This Row],[agent_experience_years]]&gt;8,"Expert"
)</f>
        <v>Mid-Level</v>
      </c>
      <c r="P1529" cm="1">
        <f t="array" ref="P1529">_xlfn.SWITCH(tbl_analysis_tickets[[#This Row],[customer_satisfaction]],
"Low",1,
"Medium",2,
"High",3
)</f>
        <v>1</v>
      </c>
      <c r="Q1529">
        <f>IF(tbl_analysis_tickets[[#This Row],[reopened]]="Yes",1,0)</f>
        <v>1</v>
      </c>
      <c r="R1529" t="str" cm="1">
        <f t="array" ref="R1529">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529" t="str" cm="1">
        <f t="array" ref="S152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529" t="str">
        <f>TEXT(tbl_analysis_tickets[[#This Row],[created_date]],"mmm-yyyy")</f>
        <v>Jan-2024</v>
      </c>
      <c r="U1529" t="str">
        <f>TEXT(tbl_analysis_tickets[[#This Row],[created_date]],"dddd")</f>
        <v>Friday</v>
      </c>
      <c r="V1529" cm="1">
        <f t="array" ref="V1529">_xlfn.SWITCH(tbl_analysis_tickets[[#This Row],[priority]],
"Urgent",1,
"High",2,
"Medium",3,
"Low",4
)</f>
        <v>4</v>
      </c>
    </row>
    <row r="1530" spans="1:22" x14ac:dyDescent="0.25">
      <c r="A1530">
        <v>1529</v>
      </c>
      <c r="B1530" s="1">
        <v>45490</v>
      </c>
      <c r="C1530" t="s">
        <v>14</v>
      </c>
      <c r="D1530" t="s">
        <v>17</v>
      </c>
      <c r="E1530">
        <v>66</v>
      </c>
      <c r="F1530">
        <v>52</v>
      </c>
      <c r="G1530">
        <v>4.3</v>
      </c>
      <c r="H1530" t="s">
        <v>18</v>
      </c>
      <c r="I1530" t="s">
        <v>19</v>
      </c>
      <c r="J1530" t="s">
        <v>11</v>
      </c>
      <c r="K1530">
        <f>_xlfn.XLOOKUP(tbl_analysis_tickets[[#This Row],[priority]],tbl_sla[priority],tbl_sla[Resolution SLA Hours])</f>
        <v>8</v>
      </c>
      <c r="L1530">
        <f>_xlfn.XLOOKUP(tbl_analysis_tickets[[#This Row],[priority]],tbl_sla[priority],tbl_sla[First Response SLA Minutes])</f>
        <v>30</v>
      </c>
      <c r="M1530" t="str">
        <f>IF(tbl_analysis_tickets[[#This Row],[resolution_time_hours]]&gt;tbl_analysis_tickets[[#This Row],[Resolution SLA Hours]],"Breached","Within SLA")</f>
        <v>Breached</v>
      </c>
      <c r="N1530" t="str">
        <f>IF(tbl_analysis_tickets[[#This Row],[first_response_minutes]]&gt;tbl_analysis_tickets[[#This Row],[First Response SLA Minutes]],"Breached","Within SLA")</f>
        <v>Breached</v>
      </c>
      <c r="O1530" t="str" cm="1">
        <f t="array" ref="O1530">_xlfn.IFS(
tbl_analysis_tickets[[#This Row],[agent_experience_years]]&lt;=2,"Junior",
tbl_analysis_tickets[[#This Row],[agent_experience_years]]&lt;=5,"Mid-Level",
tbl_analysis_tickets[[#This Row],[agent_experience_years]]&lt;=8,"Senior",
tbl_analysis_tickets[[#This Row],[agent_experience_years]]&gt;8,"Expert"
)</f>
        <v>Mid-Level</v>
      </c>
      <c r="P1530" cm="1">
        <f t="array" ref="P1530">_xlfn.SWITCH(tbl_analysis_tickets[[#This Row],[customer_satisfaction]],
"Low",1,
"Medium",2,
"High",3
)</f>
        <v>1</v>
      </c>
      <c r="Q1530">
        <f>IF(tbl_analysis_tickets[[#This Row],[reopened]]="Yes",1,0)</f>
        <v>0</v>
      </c>
      <c r="R1530" t="str" cm="1">
        <f t="array" ref="R1530">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530" t="str" cm="1">
        <f t="array" ref="S153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530" t="str">
        <f>TEXT(tbl_analysis_tickets[[#This Row],[created_date]],"mmm-yyyy")</f>
        <v>Jul-2024</v>
      </c>
      <c r="U1530" t="str">
        <f>TEXT(tbl_analysis_tickets[[#This Row],[created_date]],"dddd")</f>
        <v>Wednesday</v>
      </c>
      <c r="V1530" cm="1">
        <f t="array" ref="V1530">_xlfn.SWITCH(tbl_analysis_tickets[[#This Row],[priority]],
"Urgent",1,
"High",2,
"Medium",3,
"Low",4
)</f>
        <v>1</v>
      </c>
    </row>
    <row r="1531" spans="1:22" x14ac:dyDescent="0.25">
      <c r="A1531">
        <v>1530</v>
      </c>
      <c r="B1531" s="1">
        <v>45585</v>
      </c>
      <c r="C1531" t="s">
        <v>22</v>
      </c>
      <c r="D1531" t="s">
        <v>15</v>
      </c>
      <c r="E1531">
        <v>229</v>
      </c>
      <c r="F1531">
        <v>72</v>
      </c>
      <c r="G1531">
        <v>1.8</v>
      </c>
      <c r="H1531" t="s">
        <v>18</v>
      </c>
      <c r="I1531" t="s">
        <v>16</v>
      </c>
      <c r="J1531" t="s">
        <v>11</v>
      </c>
      <c r="K1531">
        <f>_xlfn.XLOOKUP(tbl_analysis_tickets[[#This Row],[priority]],tbl_sla[priority],tbl_sla[Resolution SLA Hours])</f>
        <v>48</v>
      </c>
      <c r="L1531">
        <f>_xlfn.XLOOKUP(tbl_analysis_tickets[[#This Row],[priority]],tbl_sla[priority],tbl_sla[First Response SLA Minutes])</f>
        <v>120</v>
      </c>
      <c r="M1531" t="str">
        <f>IF(tbl_analysis_tickets[[#This Row],[resolution_time_hours]]&gt;tbl_analysis_tickets[[#This Row],[Resolution SLA Hours]],"Breached","Within SLA")</f>
        <v>Breached</v>
      </c>
      <c r="N1531" t="str">
        <f>IF(tbl_analysis_tickets[[#This Row],[first_response_minutes]]&gt;tbl_analysis_tickets[[#This Row],[First Response SLA Minutes]],"Breached","Within SLA")</f>
        <v>Breached</v>
      </c>
      <c r="O1531" t="str" cm="1">
        <f t="array" ref="O1531">_xlfn.IFS(
tbl_analysis_tickets[[#This Row],[agent_experience_years]]&lt;=2,"Junior",
tbl_analysis_tickets[[#This Row],[agent_experience_years]]&lt;=5,"Mid-Level",
tbl_analysis_tickets[[#This Row],[agent_experience_years]]&lt;=8,"Senior",
tbl_analysis_tickets[[#This Row],[agent_experience_years]]&gt;8,"Expert"
)</f>
        <v>Junior</v>
      </c>
      <c r="P1531" cm="1">
        <f t="array" ref="P1531">_xlfn.SWITCH(tbl_analysis_tickets[[#This Row],[customer_satisfaction]],
"Low",1,
"Medium",2,
"High",3
)</f>
        <v>1</v>
      </c>
      <c r="Q1531">
        <f>IF(tbl_analysis_tickets[[#This Row],[reopened]]="Yes",1,0)</f>
        <v>0</v>
      </c>
      <c r="R1531" t="str" cm="1">
        <f t="array" ref="R1531">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531" t="str" cm="1">
        <f t="array" ref="S153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531" t="str">
        <f>TEXT(tbl_analysis_tickets[[#This Row],[created_date]],"mmm-yyyy")</f>
        <v>Oct-2024</v>
      </c>
      <c r="U1531" t="str">
        <f>TEXT(tbl_analysis_tickets[[#This Row],[created_date]],"dddd")</f>
        <v>Sunday</v>
      </c>
      <c r="V1531" cm="1">
        <f t="array" ref="V1531">_xlfn.SWITCH(tbl_analysis_tickets[[#This Row],[priority]],
"Urgent",1,
"High",2,
"Medium",3,
"Low",4
)</f>
        <v>3</v>
      </c>
    </row>
    <row r="1532" spans="1:22" x14ac:dyDescent="0.25">
      <c r="A1532">
        <v>1531</v>
      </c>
      <c r="B1532" s="1">
        <v>45488</v>
      </c>
      <c r="C1532" t="s">
        <v>14</v>
      </c>
      <c r="D1532" t="s">
        <v>11</v>
      </c>
      <c r="E1532">
        <v>229</v>
      </c>
      <c r="F1532">
        <v>20</v>
      </c>
      <c r="G1532">
        <v>1.4</v>
      </c>
      <c r="H1532" t="s">
        <v>18</v>
      </c>
      <c r="I1532" t="s">
        <v>13</v>
      </c>
      <c r="J1532" t="s">
        <v>11</v>
      </c>
      <c r="K1532">
        <f>_xlfn.XLOOKUP(tbl_analysis_tickets[[#This Row],[priority]],tbl_sla[priority],tbl_sla[Resolution SLA Hours])</f>
        <v>72</v>
      </c>
      <c r="L1532">
        <f>_xlfn.XLOOKUP(tbl_analysis_tickets[[#This Row],[priority]],tbl_sla[priority],tbl_sla[First Response SLA Minutes])</f>
        <v>240</v>
      </c>
      <c r="M1532" t="str">
        <f>IF(tbl_analysis_tickets[[#This Row],[resolution_time_hours]]&gt;tbl_analysis_tickets[[#This Row],[Resolution SLA Hours]],"Breached","Within SLA")</f>
        <v>Within SLA</v>
      </c>
      <c r="N1532" t="str">
        <f>IF(tbl_analysis_tickets[[#This Row],[first_response_minutes]]&gt;tbl_analysis_tickets[[#This Row],[First Response SLA Minutes]],"Breached","Within SLA")</f>
        <v>Within SLA</v>
      </c>
      <c r="O1532" t="str" cm="1">
        <f t="array" ref="O1532">_xlfn.IFS(
tbl_analysis_tickets[[#This Row],[agent_experience_years]]&lt;=2,"Junior",
tbl_analysis_tickets[[#This Row],[agent_experience_years]]&lt;=5,"Mid-Level",
tbl_analysis_tickets[[#This Row],[agent_experience_years]]&lt;=8,"Senior",
tbl_analysis_tickets[[#This Row],[agent_experience_years]]&gt;8,"Expert"
)</f>
        <v>Junior</v>
      </c>
      <c r="P1532" cm="1">
        <f t="array" ref="P1532">_xlfn.SWITCH(tbl_analysis_tickets[[#This Row],[customer_satisfaction]],
"Low",1,
"Medium",2,
"High",3
)</f>
        <v>1</v>
      </c>
      <c r="Q1532">
        <f>IF(tbl_analysis_tickets[[#This Row],[reopened]]="Yes",1,0)</f>
        <v>0</v>
      </c>
      <c r="R1532" t="str" cm="1">
        <f t="array" ref="R1532">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532" t="str" cm="1">
        <f t="array" ref="S153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532" t="str">
        <f>TEXT(tbl_analysis_tickets[[#This Row],[created_date]],"mmm-yyyy")</f>
        <v>Jul-2024</v>
      </c>
      <c r="U1532" t="str">
        <f>TEXT(tbl_analysis_tickets[[#This Row],[created_date]],"dddd")</f>
        <v>Monday</v>
      </c>
      <c r="V1532" cm="1">
        <f t="array" ref="V1532">_xlfn.SWITCH(tbl_analysis_tickets[[#This Row],[priority]],
"Urgent",1,
"High",2,
"Medium",3,
"Low",4
)</f>
        <v>4</v>
      </c>
    </row>
    <row r="1533" spans="1:22" x14ac:dyDescent="0.25">
      <c r="A1533">
        <v>1532</v>
      </c>
      <c r="B1533" s="1">
        <v>45430</v>
      </c>
      <c r="C1533" t="s">
        <v>22</v>
      </c>
      <c r="D1533" t="s">
        <v>17</v>
      </c>
      <c r="E1533">
        <v>98</v>
      </c>
      <c r="F1533">
        <v>31</v>
      </c>
      <c r="G1533">
        <v>6.9</v>
      </c>
      <c r="H1533" t="s">
        <v>12</v>
      </c>
      <c r="I1533" t="s">
        <v>16</v>
      </c>
      <c r="J1533" t="s">
        <v>11</v>
      </c>
      <c r="K1533">
        <f>_xlfn.XLOOKUP(tbl_analysis_tickets[[#This Row],[priority]],tbl_sla[priority],tbl_sla[Resolution SLA Hours])</f>
        <v>8</v>
      </c>
      <c r="L1533">
        <f>_xlfn.XLOOKUP(tbl_analysis_tickets[[#This Row],[priority]],tbl_sla[priority],tbl_sla[First Response SLA Minutes])</f>
        <v>30</v>
      </c>
      <c r="M1533" t="str">
        <f>IF(tbl_analysis_tickets[[#This Row],[resolution_time_hours]]&gt;tbl_analysis_tickets[[#This Row],[Resolution SLA Hours]],"Breached","Within SLA")</f>
        <v>Breached</v>
      </c>
      <c r="N1533" t="str">
        <f>IF(tbl_analysis_tickets[[#This Row],[first_response_minutes]]&gt;tbl_analysis_tickets[[#This Row],[First Response SLA Minutes]],"Breached","Within SLA")</f>
        <v>Breached</v>
      </c>
      <c r="O1533" t="str" cm="1">
        <f t="array" ref="O1533">_xlfn.IFS(
tbl_analysis_tickets[[#This Row],[agent_experience_years]]&lt;=2,"Junior",
tbl_analysis_tickets[[#This Row],[agent_experience_years]]&lt;=5,"Mid-Level",
tbl_analysis_tickets[[#This Row],[agent_experience_years]]&lt;=8,"Senior",
tbl_analysis_tickets[[#This Row],[agent_experience_years]]&gt;8,"Expert"
)</f>
        <v>Senior</v>
      </c>
      <c r="P1533" cm="1">
        <f t="array" ref="P1533">_xlfn.SWITCH(tbl_analysis_tickets[[#This Row],[customer_satisfaction]],
"Low",1,
"Medium",2,
"High",3
)</f>
        <v>1</v>
      </c>
      <c r="Q1533">
        <f>IF(tbl_analysis_tickets[[#This Row],[reopened]]="Yes",1,0)</f>
        <v>1</v>
      </c>
      <c r="R1533" t="str" cm="1">
        <f t="array" ref="R1533">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533" t="str" cm="1">
        <f t="array" ref="S153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533" t="str">
        <f>TEXT(tbl_analysis_tickets[[#This Row],[created_date]],"mmm-yyyy")</f>
        <v>May-2024</v>
      </c>
      <c r="U1533" t="str">
        <f>TEXT(tbl_analysis_tickets[[#This Row],[created_date]],"dddd")</f>
        <v>Saturday</v>
      </c>
      <c r="V1533" cm="1">
        <f t="array" ref="V1533">_xlfn.SWITCH(tbl_analysis_tickets[[#This Row],[priority]],
"Urgent",1,
"High",2,
"Medium",3,
"Low",4
)</f>
        <v>1</v>
      </c>
    </row>
    <row r="1534" spans="1:22" x14ac:dyDescent="0.25">
      <c r="A1534">
        <v>1533</v>
      </c>
      <c r="B1534" s="1">
        <v>45368</v>
      </c>
      <c r="C1534" t="s">
        <v>10</v>
      </c>
      <c r="D1534" t="s">
        <v>20</v>
      </c>
      <c r="E1534">
        <v>149</v>
      </c>
      <c r="F1534">
        <v>23</v>
      </c>
      <c r="G1534">
        <v>5.7</v>
      </c>
      <c r="H1534" t="s">
        <v>18</v>
      </c>
      <c r="I1534" t="s">
        <v>13</v>
      </c>
      <c r="J1534" t="s">
        <v>11</v>
      </c>
      <c r="K1534">
        <f>_xlfn.XLOOKUP(tbl_analysis_tickets[[#This Row],[priority]],tbl_sla[priority],tbl_sla[Resolution SLA Hours])</f>
        <v>24</v>
      </c>
      <c r="L1534">
        <f>_xlfn.XLOOKUP(tbl_analysis_tickets[[#This Row],[priority]],tbl_sla[priority],tbl_sla[First Response SLA Minutes])</f>
        <v>60</v>
      </c>
      <c r="M1534" t="str">
        <f>IF(tbl_analysis_tickets[[#This Row],[resolution_time_hours]]&gt;tbl_analysis_tickets[[#This Row],[Resolution SLA Hours]],"Breached","Within SLA")</f>
        <v>Within SLA</v>
      </c>
      <c r="N1534" t="str">
        <f>IF(tbl_analysis_tickets[[#This Row],[first_response_minutes]]&gt;tbl_analysis_tickets[[#This Row],[First Response SLA Minutes]],"Breached","Within SLA")</f>
        <v>Breached</v>
      </c>
      <c r="O1534" t="str" cm="1">
        <f t="array" ref="O1534">_xlfn.IFS(
tbl_analysis_tickets[[#This Row],[agent_experience_years]]&lt;=2,"Junior",
tbl_analysis_tickets[[#This Row],[agent_experience_years]]&lt;=5,"Mid-Level",
tbl_analysis_tickets[[#This Row],[agent_experience_years]]&lt;=8,"Senior",
tbl_analysis_tickets[[#This Row],[agent_experience_years]]&gt;8,"Expert"
)</f>
        <v>Senior</v>
      </c>
      <c r="P1534" cm="1">
        <f t="array" ref="P1534">_xlfn.SWITCH(tbl_analysis_tickets[[#This Row],[customer_satisfaction]],
"Low",1,
"Medium",2,
"High",3
)</f>
        <v>1</v>
      </c>
      <c r="Q1534">
        <f>IF(tbl_analysis_tickets[[#This Row],[reopened]]="Yes",1,0)</f>
        <v>0</v>
      </c>
      <c r="R1534" t="str" cm="1">
        <f t="array" ref="R1534">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534" t="str" cm="1">
        <f t="array" ref="S153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534" t="str">
        <f>TEXT(tbl_analysis_tickets[[#This Row],[created_date]],"mmm-yyyy")</f>
        <v>Mar-2024</v>
      </c>
      <c r="U1534" t="str">
        <f>TEXT(tbl_analysis_tickets[[#This Row],[created_date]],"dddd")</f>
        <v>Sunday</v>
      </c>
      <c r="V1534" cm="1">
        <f t="array" ref="V1534">_xlfn.SWITCH(tbl_analysis_tickets[[#This Row],[priority]],
"Urgent",1,
"High",2,
"Medium",3,
"Low",4
)</f>
        <v>2</v>
      </c>
    </row>
    <row r="1535" spans="1:22" x14ac:dyDescent="0.25">
      <c r="A1535">
        <v>1534</v>
      </c>
      <c r="B1535" s="1">
        <v>45340</v>
      </c>
      <c r="C1535" t="s">
        <v>22</v>
      </c>
      <c r="D1535" t="s">
        <v>11</v>
      </c>
      <c r="E1535">
        <v>16</v>
      </c>
      <c r="F1535">
        <v>10</v>
      </c>
      <c r="G1535">
        <v>7.9</v>
      </c>
      <c r="H1535" t="s">
        <v>12</v>
      </c>
      <c r="I1535" t="s">
        <v>13</v>
      </c>
      <c r="J1535" t="s">
        <v>15</v>
      </c>
      <c r="K1535">
        <f>_xlfn.XLOOKUP(tbl_analysis_tickets[[#This Row],[priority]],tbl_sla[priority],tbl_sla[Resolution SLA Hours])</f>
        <v>72</v>
      </c>
      <c r="L1535">
        <f>_xlfn.XLOOKUP(tbl_analysis_tickets[[#This Row],[priority]],tbl_sla[priority],tbl_sla[First Response SLA Minutes])</f>
        <v>240</v>
      </c>
      <c r="M1535" t="str">
        <f>IF(tbl_analysis_tickets[[#This Row],[resolution_time_hours]]&gt;tbl_analysis_tickets[[#This Row],[Resolution SLA Hours]],"Breached","Within SLA")</f>
        <v>Within SLA</v>
      </c>
      <c r="N1535" t="str">
        <f>IF(tbl_analysis_tickets[[#This Row],[first_response_minutes]]&gt;tbl_analysis_tickets[[#This Row],[First Response SLA Minutes]],"Breached","Within SLA")</f>
        <v>Within SLA</v>
      </c>
      <c r="O1535" t="str" cm="1">
        <f t="array" ref="O1535">_xlfn.IFS(
tbl_analysis_tickets[[#This Row],[agent_experience_years]]&lt;=2,"Junior",
tbl_analysis_tickets[[#This Row],[agent_experience_years]]&lt;=5,"Mid-Level",
tbl_analysis_tickets[[#This Row],[agent_experience_years]]&lt;=8,"Senior",
tbl_analysis_tickets[[#This Row],[agent_experience_years]]&gt;8,"Expert"
)</f>
        <v>Senior</v>
      </c>
      <c r="P1535" cm="1">
        <f t="array" ref="P1535">_xlfn.SWITCH(tbl_analysis_tickets[[#This Row],[customer_satisfaction]],
"Low",1,
"Medium",2,
"High",3
)</f>
        <v>2</v>
      </c>
      <c r="Q1535">
        <f>IF(tbl_analysis_tickets[[#This Row],[reopened]]="Yes",1,0)</f>
        <v>1</v>
      </c>
      <c r="R1535" t="str" cm="1">
        <f t="array" ref="R1535">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1535" t="str" cm="1">
        <f t="array" ref="S153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535" t="str">
        <f>TEXT(tbl_analysis_tickets[[#This Row],[created_date]],"mmm-yyyy")</f>
        <v>Feb-2024</v>
      </c>
      <c r="U1535" t="str">
        <f>TEXT(tbl_analysis_tickets[[#This Row],[created_date]],"dddd")</f>
        <v>Sunday</v>
      </c>
      <c r="V1535" cm="1">
        <f t="array" ref="V1535">_xlfn.SWITCH(tbl_analysis_tickets[[#This Row],[priority]],
"Urgent",1,
"High",2,
"Medium",3,
"Low",4
)</f>
        <v>4</v>
      </c>
    </row>
    <row r="1536" spans="1:22" x14ac:dyDescent="0.25">
      <c r="A1536">
        <v>1535</v>
      </c>
      <c r="B1536" s="1">
        <v>45613</v>
      </c>
      <c r="C1536" t="s">
        <v>22</v>
      </c>
      <c r="D1536" t="s">
        <v>11</v>
      </c>
      <c r="E1536">
        <v>118</v>
      </c>
      <c r="F1536">
        <v>42</v>
      </c>
      <c r="G1536">
        <v>3.2</v>
      </c>
      <c r="H1536" t="s">
        <v>18</v>
      </c>
      <c r="I1536" t="s">
        <v>19</v>
      </c>
      <c r="J1536" t="s">
        <v>11</v>
      </c>
      <c r="K1536">
        <f>_xlfn.XLOOKUP(tbl_analysis_tickets[[#This Row],[priority]],tbl_sla[priority],tbl_sla[Resolution SLA Hours])</f>
        <v>72</v>
      </c>
      <c r="L1536">
        <f>_xlfn.XLOOKUP(tbl_analysis_tickets[[#This Row],[priority]],tbl_sla[priority],tbl_sla[First Response SLA Minutes])</f>
        <v>240</v>
      </c>
      <c r="M1536" t="str">
        <f>IF(tbl_analysis_tickets[[#This Row],[resolution_time_hours]]&gt;tbl_analysis_tickets[[#This Row],[Resolution SLA Hours]],"Breached","Within SLA")</f>
        <v>Within SLA</v>
      </c>
      <c r="N1536" t="str">
        <f>IF(tbl_analysis_tickets[[#This Row],[first_response_minutes]]&gt;tbl_analysis_tickets[[#This Row],[First Response SLA Minutes]],"Breached","Within SLA")</f>
        <v>Within SLA</v>
      </c>
      <c r="O1536" t="str" cm="1">
        <f t="array" ref="O1536">_xlfn.IFS(
tbl_analysis_tickets[[#This Row],[agent_experience_years]]&lt;=2,"Junior",
tbl_analysis_tickets[[#This Row],[agent_experience_years]]&lt;=5,"Mid-Level",
tbl_analysis_tickets[[#This Row],[agent_experience_years]]&lt;=8,"Senior",
tbl_analysis_tickets[[#This Row],[agent_experience_years]]&gt;8,"Expert"
)</f>
        <v>Mid-Level</v>
      </c>
      <c r="P1536" cm="1">
        <f t="array" ref="P1536">_xlfn.SWITCH(tbl_analysis_tickets[[#This Row],[customer_satisfaction]],
"Low",1,
"Medium",2,
"High",3
)</f>
        <v>1</v>
      </c>
      <c r="Q1536">
        <f>IF(tbl_analysis_tickets[[#This Row],[reopened]]="Yes",1,0)</f>
        <v>0</v>
      </c>
      <c r="R1536" t="str" cm="1">
        <f t="array" ref="R1536">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536" t="str" cm="1">
        <f t="array" ref="S153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536" t="str">
        <f>TEXT(tbl_analysis_tickets[[#This Row],[created_date]],"mmm-yyyy")</f>
        <v>Nov-2024</v>
      </c>
      <c r="U1536" t="str">
        <f>TEXT(tbl_analysis_tickets[[#This Row],[created_date]],"dddd")</f>
        <v>Sunday</v>
      </c>
      <c r="V1536" cm="1">
        <f t="array" ref="V1536">_xlfn.SWITCH(tbl_analysis_tickets[[#This Row],[priority]],
"Urgent",1,
"High",2,
"Medium",3,
"Low",4
)</f>
        <v>4</v>
      </c>
    </row>
    <row r="1537" spans="1:22" x14ac:dyDescent="0.25">
      <c r="A1537">
        <v>1536</v>
      </c>
      <c r="B1537" s="1">
        <v>45569</v>
      </c>
      <c r="C1537" t="s">
        <v>14</v>
      </c>
      <c r="D1537" t="s">
        <v>17</v>
      </c>
      <c r="E1537">
        <v>124</v>
      </c>
      <c r="F1537">
        <v>21</v>
      </c>
      <c r="G1537">
        <v>5.6</v>
      </c>
      <c r="H1537" t="s">
        <v>18</v>
      </c>
      <c r="I1537" t="s">
        <v>19</v>
      </c>
      <c r="J1537" t="s">
        <v>11</v>
      </c>
      <c r="K1537">
        <f>_xlfn.XLOOKUP(tbl_analysis_tickets[[#This Row],[priority]],tbl_sla[priority],tbl_sla[Resolution SLA Hours])</f>
        <v>8</v>
      </c>
      <c r="L1537">
        <f>_xlfn.XLOOKUP(tbl_analysis_tickets[[#This Row],[priority]],tbl_sla[priority],tbl_sla[First Response SLA Minutes])</f>
        <v>30</v>
      </c>
      <c r="M1537" t="str">
        <f>IF(tbl_analysis_tickets[[#This Row],[resolution_time_hours]]&gt;tbl_analysis_tickets[[#This Row],[Resolution SLA Hours]],"Breached","Within SLA")</f>
        <v>Breached</v>
      </c>
      <c r="N1537" t="str">
        <f>IF(tbl_analysis_tickets[[#This Row],[first_response_minutes]]&gt;tbl_analysis_tickets[[#This Row],[First Response SLA Minutes]],"Breached","Within SLA")</f>
        <v>Breached</v>
      </c>
      <c r="O1537" t="str" cm="1">
        <f t="array" ref="O1537">_xlfn.IFS(
tbl_analysis_tickets[[#This Row],[agent_experience_years]]&lt;=2,"Junior",
tbl_analysis_tickets[[#This Row],[agent_experience_years]]&lt;=5,"Mid-Level",
tbl_analysis_tickets[[#This Row],[agent_experience_years]]&lt;=8,"Senior",
tbl_analysis_tickets[[#This Row],[agent_experience_years]]&gt;8,"Expert"
)</f>
        <v>Senior</v>
      </c>
      <c r="P1537" cm="1">
        <f t="array" ref="P1537">_xlfn.SWITCH(tbl_analysis_tickets[[#This Row],[customer_satisfaction]],
"Low",1,
"Medium",2,
"High",3
)</f>
        <v>1</v>
      </c>
      <c r="Q1537">
        <f>IF(tbl_analysis_tickets[[#This Row],[reopened]]="Yes",1,0)</f>
        <v>0</v>
      </c>
      <c r="R1537" t="str" cm="1">
        <f t="array" ref="R1537">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537" t="str" cm="1">
        <f t="array" ref="S153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537" t="str">
        <f>TEXT(tbl_analysis_tickets[[#This Row],[created_date]],"mmm-yyyy")</f>
        <v>Oct-2024</v>
      </c>
      <c r="U1537" t="str">
        <f>TEXT(tbl_analysis_tickets[[#This Row],[created_date]],"dddd")</f>
        <v>Friday</v>
      </c>
      <c r="V1537" cm="1">
        <f t="array" ref="V1537">_xlfn.SWITCH(tbl_analysis_tickets[[#This Row],[priority]],
"Urgent",1,
"High",2,
"Medium",3,
"Low",4
)</f>
        <v>1</v>
      </c>
    </row>
    <row r="1538" spans="1:22" x14ac:dyDescent="0.25">
      <c r="A1538">
        <v>1537</v>
      </c>
      <c r="B1538" s="1">
        <v>45348</v>
      </c>
      <c r="C1538" t="s">
        <v>23</v>
      </c>
      <c r="D1538" t="s">
        <v>17</v>
      </c>
      <c r="E1538">
        <v>218</v>
      </c>
      <c r="F1538">
        <v>16</v>
      </c>
      <c r="G1538">
        <v>4.9000000000000004</v>
      </c>
      <c r="H1538" t="s">
        <v>18</v>
      </c>
      <c r="I1538" t="s">
        <v>19</v>
      </c>
      <c r="J1538" t="s">
        <v>11</v>
      </c>
      <c r="K1538">
        <f>_xlfn.XLOOKUP(tbl_analysis_tickets[[#This Row],[priority]],tbl_sla[priority],tbl_sla[Resolution SLA Hours])</f>
        <v>8</v>
      </c>
      <c r="L1538">
        <f>_xlfn.XLOOKUP(tbl_analysis_tickets[[#This Row],[priority]],tbl_sla[priority],tbl_sla[First Response SLA Minutes])</f>
        <v>30</v>
      </c>
      <c r="M1538" t="str">
        <f>IF(tbl_analysis_tickets[[#This Row],[resolution_time_hours]]&gt;tbl_analysis_tickets[[#This Row],[Resolution SLA Hours]],"Breached","Within SLA")</f>
        <v>Breached</v>
      </c>
      <c r="N1538" t="str">
        <f>IF(tbl_analysis_tickets[[#This Row],[first_response_minutes]]&gt;tbl_analysis_tickets[[#This Row],[First Response SLA Minutes]],"Breached","Within SLA")</f>
        <v>Breached</v>
      </c>
      <c r="O1538" t="str" cm="1">
        <f t="array" ref="O1538">_xlfn.IFS(
tbl_analysis_tickets[[#This Row],[agent_experience_years]]&lt;=2,"Junior",
tbl_analysis_tickets[[#This Row],[agent_experience_years]]&lt;=5,"Mid-Level",
tbl_analysis_tickets[[#This Row],[agent_experience_years]]&lt;=8,"Senior",
tbl_analysis_tickets[[#This Row],[agent_experience_years]]&gt;8,"Expert"
)</f>
        <v>Mid-Level</v>
      </c>
      <c r="P1538" cm="1">
        <f t="array" ref="P1538">_xlfn.SWITCH(tbl_analysis_tickets[[#This Row],[customer_satisfaction]],
"Low",1,
"Medium",2,
"High",3
)</f>
        <v>1</v>
      </c>
      <c r="Q1538">
        <f>IF(tbl_analysis_tickets[[#This Row],[reopened]]="Yes",1,0)</f>
        <v>0</v>
      </c>
      <c r="R1538" t="str" cm="1">
        <f t="array" ref="R1538">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538" t="str" cm="1">
        <f t="array" ref="S153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538" t="str">
        <f>TEXT(tbl_analysis_tickets[[#This Row],[created_date]],"mmm-yyyy")</f>
        <v>Feb-2024</v>
      </c>
      <c r="U1538" t="str">
        <f>TEXT(tbl_analysis_tickets[[#This Row],[created_date]],"dddd")</f>
        <v>Monday</v>
      </c>
      <c r="V1538" cm="1">
        <f t="array" ref="V1538">_xlfn.SWITCH(tbl_analysis_tickets[[#This Row],[priority]],
"Urgent",1,
"High",2,
"Medium",3,
"Low",4
)</f>
        <v>1</v>
      </c>
    </row>
    <row r="1539" spans="1:22" x14ac:dyDescent="0.25">
      <c r="A1539">
        <v>1538</v>
      </c>
      <c r="B1539" s="1">
        <v>45339</v>
      </c>
      <c r="C1539" t="s">
        <v>22</v>
      </c>
      <c r="D1539" t="s">
        <v>15</v>
      </c>
      <c r="E1539">
        <v>115</v>
      </c>
      <c r="F1539">
        <v>28</v>
      </c>
      <c r="G1539">
        <v>2</v>
      </c>
      <c r="H1539" t="s">
        <v>12</v>
      </c>
      <c r="I1539" t="s">
        <v>16</v>
      </c>
      <c r="J1539" t="s">
        <v>11</v>
      </c>
      <c r="K1539">
        <f>_xlfn.XLOOKUP(tbl_analysis_tickets[[#This Row],[priority]],tbl_sla[priority],tbl_sla[Resolution SLA Hours])</f>
        <v>48</v>
      </c>
      <c r="L1539">
        <f>_xlfn.XLOOKUP(tbl_analysis_tickets[[#This Row],[priority]],tbl_sla[priority],tbl_sla[First Response SLA Minutes])</f>
        <v>120</v>
      </c>
      <c r="M1539" t="str">
        <f>IF(tbl_analysis_tickets[[#This Row],[resolution_time_hours]]&gt;tbl_analysis_tickets[[#This Row],[Resolution SLA Hours]],"Breached","Within SLA")</f>
        <v>Within SLA</v>
      </c>
      <c r="N1539" t="str">
        <f>IF(tbl_analysis_tickets[[#This Row],[first_response_minutes]]&gt;tbl_analysis_tickets[[#This Row],[First Response SLA Minutes]],"Breached","Within SLA")</f>
        <v>Within SLA</v>
      </c>
      <c r="O1539" t="str" cm="1">
        <f t="array" ref="O1539">_xlfn.IFS(
tbl_analysis_tickets[[#This Row],[agent_experience_years]]&lt;=2,"Junior",
tbl_analysis_tickets[[#This Row],[agent_experience_years]]&lt;=5,"Mid-Level",
tbl_analysis_tickets[[#This Row],[agent_experience_years]]&lt;=8,"Senior",
tbl_analysis_tickets[[#This Row],[agent_experience_years]]&gt;8,"Expert"
)</f>
        <v>Junior</v>
      </c>
      <c r="P1539" cm="1">
        <f t="array" ref="P1539">_xlfn.SWITCH(tbl_analysis_tickets[[#This Row],[customer_satisfaction]],
"Low",1,
"Medium",2,
"High",3
)</f>
        <v>1</v>
      </c>
      <c r="Q1539">
        <f>IF(tbl_analysis_tickets[[#This Row],[reopened]]="Yes",1,0)</f>
        <v>1</v>
      </c>
      <c r="R1539" t="str" cm="1">
        <f t="array" ref="R1539">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539" t="str" cm="1">
        <f t="array" ref="S153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539" t="str">
        <f>TEXT(tbl_analysis_tickets[[#This Row],[created_date]],"mmm-yyyy")</f>
        <v>Feb-2024</v>
      </c>
      <c r="U1539" t="str">
        <f>TEXT(tbl_analysis_tickets[[#This Row],[created_date]],"dddd")</f>
        <v>Saturday</v>
      </c>
      <c r="V1539" cm="1">
        <f t="array" ref="V1539">_xlfn.SWITCH(tbl_analysis_tickets[[#This Row],[priority]],
"Urgent",1,
"High",2,
"Medium",3,
"Low",4
)</f>
        <v>3</v>
      </c>
    </row>
    <row r="1540" spans="1:22" x14ac:dyDescent="0.25">
      <c r="A1540">
        <v>1539</v>
      </c>
      <c r="B1540" s="1">
        <v>45325</v>
      </c>
      <c r="C1540" t="s">
        <v>23</v>
      </c>
      <c r="D1540" t="s">
        <v>11</v>
      </c>
      <c r="E1540">
        <v>122</v>
      </c>
      <c r="F1540">
        <v>24</v>
      </c>
      <c r="G1540">
        <v>4.0999999999999996</v>
      </c>
      <c r="H1540" t="s">
        <v>18</v>
      </c>
      <c r="I1540" t="s">
        <v>13</v>
      </c>
      <c r="J1540" t="s">
        <v>11</v>
      </c>
      <c r="K1540">
        <f>_xlfn.XLOOKUP(tbl_analysis_tickets[[#This Row],[priority]],tbl_sla[priority],tbl_sla[Resolution SLA Hours])</f>
        <v>72</v>
      </c>
      <c r="L1540">
        <f>_xlfn.XLOOKUP(tbl_analysis_tickets[[#This Row],[priority]],tbl_sla[priority],tbl_sla[First Response SLA Minutes])</f>
        <v>240</v>
      </c>
      <c r="M1540" t="str">
        <f>IF(tbl_analysis_tickets[[#This Row],[resolution_time_hours]]&gt;tbl_analysis_tickets[[#This Row],[Resolution SLA Hours]],"Breached","Within SLA")</f>
        <v>Within SLA</v>
      </c>
      <c r="N1540" t="str">
        <f>IF(tbl_analysis_tickets[[#This Row],[first_response_minutes]]&gt;tbl_analysis_tickets[[#This Row],[First Response SLA Minutes]],"Breached","Within SLA")</f>
        <v>Within SLA</v>
      </c>
      <c r="O1540" t="str" cm="1">
        <f t="array" ref="O1540">_xlfn.IFS(
tbl_analysis_tickets[[#This Row],[agent_experience_years]]&lt;=2,"Junior",
tbl_analysis_tickets[[#This Row],[agent_experience_years]]&lt;=5,"Mid-Level",
tbl_analysis_tickets[[#This Row],[agent_experience_years]]&lt;=8,"Senior",
tbl_analysis_tickets[[#This Row],[agent_experience_years]]&gt;8,"Expert"
)</f>
        <v>Mid-Level</v>
      </c>
      <c r="P1540" cm="1">
        <f t="array" ref="P1540">_xlfn.SWITCH(tbl_analysis_tickets[[#This Row],[customer_satisfaction]],
"Low",1,
"Medium",2,
"High",3
)</f>
        <v>1</v>
      </c>
      <c r="Q1540">
        <f>IF(tbl_analysis_tickets[[#This Row],[reopened]]="Yes",1,0)</f>
        <v>0</v>
      </c>
      <c r="R1540" t="str" cm="1">
        <f t="array" ref="R1540">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540" t="str" cm="1">
        <f t="array" ref="S154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540" t="str">
        <f>TEXT(tbl_analysis_tickets[[#This Row],[created_date]],"mmm-yyyy")</f>
        <v>Feb-2024</v>
      </c>
      <c r="U1540" t="str">
        <f>TEXT(tbl_analysis_tickets[[#This Row],[created_date]],"dddd")</f>
        <v>Saturday</v>
      </c>
      <c r="V1540" cm="1">
        <f t="array" ref="V1540">_xlfn.SWITCH(tbl_analysis_tickets[[#This Row],[priority]],
"Urgent",1,
"High",2,
"Medium",3,
"Low",4
)</f>
        <v>4</v>
      </c>
    </row>
    <row r="1541" spans="1:22" x14ac:dyDescent="0.25">
      <c r="A1541">
        <v>1540</v>
      </c>
      <c r="B1541" s="1">
        <v>45608</v>
      </c>
      <c r="C1541" t="s">
        <v>23</v>
      </c>
      <c r="D1541" t="s">
        <v>20</v>
      </c>
      <c r="E1541">
        <v>64</v>
      </c>
      <c r="F1541">
        <v>14</v>
      </c>
      <c r="G1541">
        <v>4.9000000000000004</v>
      </c>
      <c r="H1541" t="s">
        <v>18</v>
      </c>
      <c r="I1541" t="s">
        <v>19</v>
      </c>
      <c r="J1541" t="s">
        <v>11</v>
      </c>
      <c r="K1541">
        <f>_xlfn.XLOOKUP(tbl_analysis_tickets[[#This Row],[priority]],tbl_sla[priority],tbl_sla[Resolution SLA Hours])</f>
        <v>24</v>
      </c>
      <c r="L1541">
        <f>_xlfn.XLOOKUP(tbl_analysis_tickets[[#This Row],[priority]],tbl_sla[priority],tbl_sla[First Response SLA Minutes])</f>
        <v>60</v>
      </c>
      <c r="M1541" t="str">
        <f>IF(tbl_analysis_tickets[[#This Row],[resolution_time_hours]]&gt;tbl_analysis_tickets[[#This Row],[Resolution SLA Hours]],"Breached","Within SLA")</f>
        <v>Within SLA</v>
      </c>
      <c r="N1541" t="str">
        <f>IF(tbl_analysis_tickets[[#This Row],[first_response_minutes]]&gt;tbl_analysis_tickets[[#This Row],[First Response SLA Minutes]],"Breached","Within SLA")</f>
        <v>Breached</v>
      </c>
      <c r="O1541" t="str" cm="1">
        <f t="array" ref="O1541">_xlfn.IFS(
tbl_analysis_tickets[[#This Row],[agent_experience_years]]&lt;=2,"Junior",
tbl_analysis_tickets[[#This Row],[agent_experience_years]]&lt;=5,"Mid-Level",
tbl_analysis_tickets[[#This Row],[agent_experience_years]]&lt;=8,"Senior",
tbl_analysis_tickets[[#This Row],[agent_experience_years]]&gt;8,"Expert"
)</f>
        <v>Mid-Level</v>
      </c>
      <c r="P1541" cm="1">
        <f t="array" ref="P1541">_xlfn.SWITCH(tbl_analysis_tickets[[#This Row],[customer_satisfaction]],
"Low",1,
"Medium",2,
"High",3
)</f>
        <v>1</v>
      </c>
      <c r="Q1541">
        <f>IF(tbl_analysis_tickets[[#This Row],[reopened]]="Yes",1,0)</f>
        <v>0</v>
      </c>
      <c r="R1541" t="str" cm="1">
        <f t="array" ref="R1541">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541" t="str" cm="1">
        <f t="array" ref="S154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541" t="str">
        <f>TEXT(tbl_analysis_tickets[[#This Row],[created_date]],"mmm-yyyy")</f>
        <v>Nov-2024</v>
      </c>
      <c r="U1541" t="str">
        <f>TEXT(tbl_analysis_tickets[[#This Row],[created_date]],"dddd")</f>
        <v>Tuesday</v>
      </c>
      <c r="V1541" cm="1">
        <f t="array" ref="V1541">_xlfn.SWITCH(tbl_analysis_tickets[[#This Row],[priority]],
"Urgent",1,
"High",2,
"Medium",3,
"Low",4
)</f>
        <v>2</v>
      </c>
    </row>
    <row r="1542" spans="1:22" x14ac:dyDescent="0.25">
      <c r="A1542">
        <v>1541</v>
      </c>
      <c r="B1542" s="1">
        <v>45492</v>
      </c>
      <c r="C1542" t="s">
        <v>14</v>
      </c>
      <c r="D1542" t="s">
        <v>15</v>
      </c>
      <c r="E1542">
        <v>173</v>
      </c>
      <c r="F1542">
        <v>55</v>
      </c>
      <c r="G1542">
        <v>1.7</v>
      </c>
      <c r="H1542" t="s">
        <v>12</v>
      </c>
      <c r="I1542" t="s">
        <v>16</v>
      </c>
      <c r="J1542" t="s">
        <v>11</v>
      </c>
      <c r="K1542">
        <f>_xlfn.XLOOKUP(tbl_analysis_tickets[[#This Row],[priority]],tbl_sla[priority],tbl_sla[Resolution SLA Hours])</f>
        <v>48</v>
      </c>
      <c r="L1542">
        <f>_xlfn.XLOOKUP(tbl_analysis_tickets[[#This Row],[priority]],tbl_sla[priority],tbl_sla[First Response SLA Minutes])</f>
        <v>120</v>
      </c>
      <c r="M1542" t="str">
        <f>IF(tbl_analysis_tickets[[#This Row],[resolution_time_hours]]&gt;tbl_analysis_tickets[[#This Row],[Resolution SLA Hours]],"Breached","Within SLA")</f>
        <v>Breached</v>
      </c>
      <c r="N1542" t="str">
        <f>IF(tbl_analysis_tickets[[#This Row],[first_response_minutes]]&gt;tbl_analysis_tickets[[#This Row],[First Response SLA Minutes]],"Breached","Within SLA")</f>
        <v>Breached</v>
      </c>
      <c r="O1542" t="str" cm="1">
        <f t="array" ref="O1542">_xlfn.IFS(
tbl_analysis_tickets[[#This Row],[agent_experience_years]]&lt;=2,"Junior",
tbl_analysis_tickets[[#This Row],[agent_experience_years]]&lt;=5,"Mid-Level",
tbl_analysis_tickets[[#This Row],[agent_experience_years]]&lt;=8,"Senior",
tbl_analysis_tickets[[#This Row],[agent_experience_years]]&gt;8,"Expert"
)</f>
        <v>Junior</v>
      </c>
      <c r="P1542" cm="1">
        <f t="array" ref="P1542">_xlfn.SWITCH(tbl_analysis_tickets[[#This Row],[customer_satisfaction]],
"Low",1,
"Medium",2,
"High",3
)</f>
        <v>1</v>
      </c>
      <c r="Q1542">
        <f>IF(tbl_analysis_tickets[[#This Row],[reopened]]="Yes",1,0)</f>
        <v>1</v>
      </c>
      <c r="R1542" t="str" cm="1">
        <f t="array" ref="R1542">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542" t="str" cm="1">
        <f t="array" ref="S154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542" t="str">
        <f>TEXT(tbl_analysis_tickets[[#This Row],[created_date]],"mmm-yyyy")</f>
        <v>Jul-2024</v>
      </c>
      <c r="U1542" t="str">
        <f>TEXT(tbl_analysis_tickets[[#This Row],[created_date]],"dddd")</f>
        <v>Friday</v>
      </c>
      <c r="V1542" cm="1">
        <f t="array" ref="V1542">_xlfn.SWITCH(tbl_analysis_tickets[[#This Row],[priority]],
"Urgent",1,
"High",2,
"Medium",3,
"Low",4
)</f>
        <v>3</v>
      </c>
    </row>
    <row r="1543" spans="1:22" x14ac:dyDescent="0.25">
      <c r="A1543">
        <v>1542</v>
      </c>
      <c r="B1543" s="1">
        <v>45369</v>
      </c>
      <c r="C1543" t="s">
        <v>14</v>
      </c>
      <c r="D1543" t="s">
        <v>20</v>
      </c>
      <c r="E1543">
        <v>30</v>
      </c>
      <c r="F1543">
        <v>29</v>
      </c>
      <c r="G1543">
        <v>2.1</v>
      </c>
      <c r="H1543" t="s">
        <v>18</v>
      </c>
      <c r="I1543" t="s">
        <v>13</v>
      </c>
      <c r="J1543" t="s">
        <v>15</v>
      </c>
      <c r="K1543">
        <f>_xlfn.XLOOKUP(tbl_analysis_tickets[[#This Row],[priority]],tbl_sla[priority],tbl_sla[Resolution SLA Hours])</f>
        <v>24</v>
      </c>
      <c r="L1543">
        <f>_xlfn.XLOOKUP(tbl_analysis_tickets[[#This Row],[priority]],tbl_sla[priority],tbl_sla[First Response SLA Minutes])</f>
        <v>60</v>
      </c>
      <c r="M1543" t="str">
        <f>IF(tbl_analysis_tickets[[#This Row],[resolution_time_hours]]&gt;tbl_analysis_tickets[[#This Row],[Resolution SLA Hours]],"Breached","Within SLA")</f>
        <v>Breached</v>
      </c>
      <c r="N1543" t="str">
        <f>IF(tbl_analysis_tickets[[#This Row],[first_response_minutes]]&gt;tbl_analysis_tickets[[#This Row],[First Response SLA Minutes]],"Breached","Within SLA")</f>
        <v>Within SLA</v>
      </c>
      <c r="O1543" t="str" cm="1">
        <f t="array" ref="O1543">_xlfn.IFS(
tbl_analysis_tickets[[#This Row],[agent_experience_years]]&lt;=2,"Junior",
tbl_analysis_tickets[[#This Row],[agent_experience_years]]&lt;=5,"Mid-Level",
tbl_analysis_tickets[[#This Row],[agent_experience_years]]&lt;=8,"Senior",
tbl_analysis_tickets[[#This Row],[agent_experience_years]]&gt;8,"Expert"
)</f>
        <v>Mid-Level</v>
      </c>
      <c r="P1543" cm="1">
        <f t="array" ref="P1543">_xlfn.SWITCH(tbl_analysis_tickets[[#This Row],[customer_satisfaction]],
"Low",1,
"Medium",2,
"High",3
)</f>
        <v>2</v>
      </c>
      <c r="Q1543">
        <f>IF(tbl_analysis_tickets[[#This Row],[reopened]]="Yes",1,0)</f>
        <v>0</v>
      </c>
      <c r="R1543" t="str" cm="1">
        <f t="array" ref="R1543">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1543" t="str" cm="1">
        <f t="array" ref="S154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543" t="str">
        <f>TEXT(tbl_analysis_tickets[[#This Row],[created_date]],"mmm-yyyy")</f>
        <v>Mar-2024</v>
      </c>
      <c r="U1543" t="str">
        <f>TEXT(tbl_analysis_tickets[[#This Row],[created_date]],"dddd")</f>
        <v>Monday</v>
      </c>
      <c r="V1543" cm="1">
        <f t="array" ref="V1543">_xlfn.SWITCH(tbl_analysis_tickets[[#This Row],[priority]],
"Urgent",1,
"High",2,
"Medium",3,
"Low",4
)</f>
        <v>2</v>
      </c>
    </row>
    <row r="1544" spans="1:22" x14ac:dyDescent="0.25">
      <c r="A1544">
        <v>1543</v>
      </c>
      <c r="B1544" s="1">
        <v>45526</v>
      </c>
      <c r="C1544" t="s">
        <v>14</v>
      </c>
      <c r="D1544" t="s">
        <v>15</v>
      </c>
      <c r="E1544">
        <v>186</v>
      </c>
      <c r="F1544">
        <v>37</v>
      </c>
      <c r="G1544">
        <v>5.4</v>
      </c>
      <c r="H1544" t="s">
        <v>12</v>
      </c>
      <c r="I1544" t="s">
        <v>16</v>
      </c>
      <c r="J1544" t="s">
        <v>11</v>
      </c>
      <c r="K1544">
        <f>_xlfn.XLOOKUP(tbl_analysis_tickets[[#This Row],[priority]],tbl_sla[priority],tbl_sla[Resolution SLA Hours])</f>
        <v>48</v>
      </c>
      <c r="L1544">
        <f>_xlfn.XLOOKUP(tbl_analysis_tickets[[#This Row],[priority]],tbl_sla[priority],tbl_sla[First Response SLA Minutes])</f>
        <v>120</v>
      </c>
      <c r="M1544" t="str">
        <f>IF(tbl_analysis_tickets[[#This Row],[resolution_time_hours]]&gt;tbl_analysis_tickets[[#This Row],[Resolution SLA Hours]],"Breached","Within SLA")</f>
        <v>Within SLA</v>
      </c>
      <c r="N1544" t="str">
        <f>IF(tbl_analysis_tickets[[#This Row],[first_response_minutes]]&gt;tbl_analysis_tickets[[#This Row],[First Response SLA Minutes]],"Breached","Within SLA")</f>
        <v>Breached</v>
      </c>
      <c r="O1544" t="str" cm="1">
        <f t="array" ref="O1544">_xlfn.IFS(
tbl_analysis_tickets[[#This Row],[agent_experience_years]]&lt;=2,"Junior",
tbl_analysis_tickets[[#This Row],[agent_experience_years]]&lt;=5,"Mid-Level",
tbl_analysis_tickets[[#This Row],[agent_experience_years]]&lt;=8,"Senior",
tbl_analysis_tickets[[#This Row],[agent_experience_years]]&gt;8,"Expert"
)</f>
        <v>Senior</v>
      </c>
      <c r="P1544" cm="1">
        <f t="array" ref="P1544">_xlfn.SWITCH(tbl_analysis_tickets[[#This Row],[customer_satisfaction]],
"Low",1,
"Medium",2,
"High",3
)</f>
        <v>1</v>
      </c>
      <c r="Q1544">
        <f>IF(tbl_analysis_tickets[[#This Row],[reopened]]="Yes",1,0)</f>
        <v>1</v>
      </c>
      <c r="R1544" t="str" cm="1">
        <f t="array" ref="R1544">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544" t="str" cm="1">
        <f t="array" ref="S154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544" t="str">
        <f>TEXT(tbl_analysis_tickets[[#This Row],[created_date]],"mmm-yyyy")</f>
        <v>Aug-2024</v>
      </c>
      <c r="U1544" t="str">
        <f>TEXT(tbl_analysis_tickets[[#This Row],[created_date]],"dddd")</f>
        <v>Thursday</v>
      </c>
      <c r="V1544" cm="1">
        <f t="array" ref="V1544">_xlfn.SWITCH(tbl_analysis_tickets[[#This Row],[priority]],
"Urgent",1,
"High",2,
"Medium",3,
"Low",4
)</f>
        <v>3</v>
      </c>
    </row>
    <row r="1545" spans="1:22" x14ac:dyDescent="0.25">
      <c r="A1545">
        <v>1544</v>
      </c>
      <c r="B1545" s="1">
        <v>45491</v>
      </c>
      <c r="C1545" t="s">
        <v>22</v>
      </c>
      <c r="D1545" t="s">
        <v>11</v>
      </c>
      <c r="E1545">
        <v>45</v>
      </c>
      <c r="F1545">
        <v>21</v>
      </c>
      <c r="G1545">
        <v>6.6</v>
      </c>
      <c r="H1545" t="s">
        <v>18</v>
      </c>
      <c r="I1545" t="s">
        <v>19</v>
      </c>
      <c r="J1545" t="s">
        <v>15</v>
      </c>
      <c r="K1545">
        <f>_xlfn.XLOOKUP(tbl_analysis_tickets[[#This Row],[priority]],tbl_sla[priority],tbl_sla[Resolution SLA Hours])</f>
        <v>72</v>
      </c>
      <c r="L1545">
        <f>_xlfn.XLOOKUP(tbl_analysis_tickets[[#This Row],[priority]],tbl_sla[priority],tbl_sla[First Response SLA Minutes])</f>
        <v>240</v>
      </c>
      <c r="M1545" t="str">
        <f>IF(tbl_analysis_tickets[[#This Row],[resolution_time_hours]]&gt;tbl_analysis_tickets[[#This Row],[Resolution SLA Hours]],"Breached","Within SLA")</f>
        <v>Within SLA</v>
      </c>
      <c r="N1545" t="str">
        <f>IF(tbl_analysis_tickets[[#This Row],[first_response_minutes]]&gt;tbl_analysis_tickets[[#This Row],[First Response SLA Minutes]],"Breached","Within SLA")</f>
        <v>Within SLA</v>
      </c>
      <c r="O1545" t="str" cm="1">
        <f t="array" ref="O1545">_xlfn.IFS(
tbl_analysis_tickets[[#This Row],[agent_experience_years]]&lt;=2,"Junior",
tbl_analysis_tickets[[#This Row],[agent_experience_years]]&lt;=5,"Mid-Level",
tbl_analysis_tickets[[#This Row],[agent_experience_years]]&lt;=8,"Senior",
tbl_analysis_tickets[[#This Row],[agent_experience_years]]&gt;8,"Expert"
)</f>
        <v>Senior</v>
      </c>
      <c r="P1545" cm="1">
        <f t="array" ref="P1545">_xlfn.SWITCH(tbl_analysis_tickets[[#This Row],[customer_satisfaction]],
"Low",1,
"Medium",2,
"High",3
)</f>
        <v>2</v>
      </c>
      <c r="Q1545">
        <f>IF(tbl_analysis_tickets[[#This Row],[reopened]]="Yes",1,0)</f>
        <v>0</v>
      </c>
      <c r="R1545" t="str" cm="1">
        <f t="array" ref="R1545">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545" t="str" cm="1">
        <f t="array" ref="S154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545" t="str">
        <f>TEXT(tbl_analysis_tickets[[#This Row],[created_date]],"mmm-yyyy")</f>
        <v>Jul-2024</v>
      </c>
      <c r="U1545" t="str">
        <f>TEXT(tbl_analysis_tickets[[#This Row],[created_date]],"dddd")</f>
        <v>Thursday</v>
      </c>
      <c r="V1545" cm="1">
        <f t="array" ref="V1545">_xlfn.SWITCH(tbl_analysis_tickets[[#This Row],[priority]],
"Urgent",1,
"High",2,
"Medium",3,
"Low",4
)</f>
        <v>4</v>
      </c>
    </row>
    <row r="1546" spans="1:22" x14ac:dyDescent="0.25">
      <c r="A1546">
        <v>1545</v>
      </c>
      <c r="B1546" s="1">
        <v>45549</v>
      </c>
      <c r="C1546" t="s">
        <v>10</v>
      </c>
      <c r="D1546" t="s">
        <v>17</v>
      </c>
      <c r="E1546">
        <v>135</v>
      </c>
      <c r="F1546">
        <v>57</v>
      </c>
      <c r="G1546">
        <v>9.4</v>
      </c>
      <c r="H1546" t="s">
        <v>18</v>
      </c>
      <c r="I1546" t="s">
        <v>19</v>
      </c>
      <c r="J1546" t="s">
        <v>11</v>
      </c>
      <c r="K1546">
        <f>_xlfn.XLOOKUP(tbl_analysis_tickets[[#This Row],[priority]],tbl_sla[priority],tbl_sla[Resolution SLA Hours])</f>
        <v>8</v>
      </c>
      <c r="L1546">
        <f>_xlfn.XLOOKUP(tbl_analysis_tickets[[#This Row],[priority]],tbl_sla[priority],tbl_sla[First Response SLA Minutes])</f>
        <v>30</v>
      </c>
      <c r="M1546" t="str">
        <f>IF(tbl_analysis_tickets[[#This Row],[resolution_time_hours]]&gt;tbl_analysis_tickets[[#This Row],[Resolution SLA Hours]],"Breached","Within SLA")</f>
        <v>Breached</v>
      </c>
      <c r="N1546" t="str">
        <f>IF(tbl_analysis_tickets[[#This Row],[first_response_minutes]]&gt;tbl_analysis_tickets[[#This Row],[First Response SLA Minutes]],"Breached","Within SLA")</f>
        <v>Breached</v>
      </c>
      <c r="O1546" t="str" cm="1">
        <f t="array" ref="O1546">_xlfn.IFS(
tbl_analysis_tickets[[#This Row],[agent_experience_years]]&lt;=2,"Junior",
tbl_analysis_tickets[[#This Row],[agent_experience_years]]&lt;=5,"Mid-Level",
tbl_analysis_tickets[[#This Row],[agent_experience_years]]&lt;=8,"Senior",
tbl_analysis_tickets[[#This Row],[agent_experience_years]]&gt;8,"Expert"
)</f>
        <v>Expert</v>
      </c>
      <c r="P1546" cm="1">
        <f t="array" ref="P1546">_xlfn.SWITCH(tbl_analysis_tickets[[#This Row],[customer_satisfaction]],
"Low",1,
"Medium",2,
"High",3
)</f>
        <v>1</v>
      </c>
      <c r="Q1546">
        <f>IF(tbl_analysis_tickets[[#This Row],[reopened]]="Yes",1,0)</f>
        <v>0</v>
      </c>
      <c r="R1546" t="str" cm="1">
        <f t="array" ref="R1546">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546" t="str" cm="1">
        <f t="array" ref="S154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546" t="str">
        <f>TEXT(tbl_analysis_tickets[[#This Row],[created_date]],"mmm-yyyy")</f>
        <v>Sep-2024</v>
      </c>
      <c r="U1546" t="str">
        <f>TEXT(tbl_analysis_tickets[[#This Row],[created_date]],"dddd")</f>
        <v>Saturday</v>
      </c>
      <c r="V1546" cm="1">
        <f t="array" ref="V1546">_xlfn.SWITCH(tbl_analysis_tickets[[#This Row],[priority]],
"Urgent",1,
"High",2,
"Medium",3,
"Low",4
)</f>
        <v>1</v>
      </c>
    </row>
    <row r="1547" spans="1:22" x14ac:dyDescent="0.25">
      <c r="A1547">
        <v>1546</v>
      </c>
      <c r="B1547" s="1">
        <v>45646</v>
      </c>
      <c r="C1547" t="s">
        <v>10</v>
      </c>
      <c r="D1547" t="s">
        <v>20</v>
      </c>
      <c r="E1547">
        <v>186</v>
      </c>
      <c r="F1547">
        <v>61</v>
      </c>
      <c r="G1547">
        <v>4.7</v>
      </c>
      <c r="H1547" t="s">
        <v>12</v>
      </c>
      <c r="I1547" t="s">
        <v>16</v>
      </c>
      <c r="J1547" t="s">
        <v>11</v>
      </c>
      <c r="K1547">
        <f>_xlfn.XLOOKUP(tbl_analysis_tickets[[#This Row],[priority]],tbl_sla[priority],tbl_sla[Resolution SLA Hours])</f>
        <v>24</v>
      </c>
      <c r="L1547">
        <f>_xlfn.XLOOKUP(tbl_analysis_tickets[[#This Row],[priority]],tbl_sla[priority],tbl_sla[First Response SLA Minutes])</f>
        <v>60</v>
      </c>
      <c r="M1547" t="str">
        <f>IF(tbl_analysis_tickets[[#This Row],[resolution_time_hours]]&gt;tbl_analysis_tickets[[#This Row],[Resolution SLA Hours]],"Breached","Within SLA")</f>
        <v>Breached</v>
      </c>
      <c r="N1547" t="str">
        <f>IF(tbl_analysis_tickets[[#This Row],[first_response_minutes]]&gt;tbl_analysis_tickets[[#This Row],[First Response SLA Minutes]],"Breached","Within SLA")</f>
        <v>Breached</v>
      </c>
      <c r="O1547" t="str" cm="1">
        <f t="array" ref="O1547">_xlfn.IFS(
tbl_analysis_tickets[[#This Row],[agent_experience_years]]&lt;=2,"Junior",
tbl_analysis_tickets[[#This Row],[agent_experience_years]]&lt;=5,"Mid-Level",
tbl_analysis_tickets[[#This Row],[agent_experience_years]]&lt;=8,"Senior",
tbl_analysis_tickets[[#This Row],[agent_experience_years]]&gt;8,"Expert"
)</f>
        <v>Mid-Level</v>
      </c>
      <c r="P1547" cm="1">
        <f t="array" ref="P1547">_xlfn.SWITCH(tbl_analysis_tickets[[#This Row],[customer_satisfaction]],
"Low",1,
"Medium",2,
"High",3
)</f>
        <v>1</v>
      </c>
      <c r="Q1547">
        <f>IF(tbl_analysis_tickets[[#This Row],[reopened]]="Yes",1,0)</f>
        <v>1</v>
      </c>
      <c r="R1547" t="str" cm="1">
        <f t="array" ref="R1547">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547" t="str" cm="1">
        <f t="array" ref="S154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547" t="str">
        <f>TEXT(tbl_analysis_tickets[[#This Row],[created_date]],"mmm-yyyy")</f>
        <v>Dec-2024</v>
      </c>
      <c r="U1547" t="str">
        <f>TEXT(tbl_analysis_tickets[[#This Row],[created_date]],"dddd")</f>
        <v>Friday</v>
      </c>
      <c r="V1547" cm="1">
        <f t="array" ref="V1547">_xlfn.SWITCH(tbl_analysis_tickets[[#This Row],[priority]],
"Urgent",1,
"High",2,
"Medium",3,
"Low",4
)</f>
        <v>2</v>
      </c>
    </row>
    <row r="1548" spans="1:22" x14ac:dyDescent="0.25">
      <c r="A1548">
        <v>1547</v>
      </c>
      <c r="B1548" s="1">
        <v>45403</v>
      </c>
      <c r="C1548" t="s">
        <v>10</v>
      </c>
      <c r="D1548" t="s">
        <v>20</v>
      </c>
      <c r="E1548">
        <v>93</v>
      </c>
      <c r="F1548">
        <v>2</v>
      </c>
      <c r="G1548">
        <v>6.9</v>
      </c>
      <c r="H1548" t="s">
        <v>18</v>
      </c>
      <c r="I1548" t="s">
        <v>19</v>
      </c>
      <c r="J1548" t="s">
        <v>15</v>
      </c>
      <c r="K1548">
        <f>_xlfn.XLOOKUP(tbl_analysis_tickets[[#This Row],[priority]],tbl_sla[priority],tbl_sla[Resolution SLA Hours])</f>
        <v>24</v>
      </c>
      <c r="L1548">
        <f>_xlfn.XLOOKUP(tbl_analysis_tickets[[#This Row],[priority]],tbl_sla[priority],tbl_sla[First Response SLA Minutes])</f>
        <v>60</v>
      </c>
      <c r="M1548" t="str">
        <f>IF(tbl_analysis_tickets[[#This Row],[resolution_time_hours]]&gt;tbl_analysis_tickets[[#This Row],[Resolution SLA Hours]],"Breached","Within SLA")</f>
        <v>Within SLA</v>
      </c>
      <c r="N1548" t="str">
        <f>IF(tbl_analysis_tickets[[#This Row],[first_response_minutes]]&gt;tbl_analysis_tickets[[#This Row],[First Response SLA Minutes]],"Breached","Within SLA")</f>
        <v>Breached</v>
      </c>
      <c r="O1548" t="str" cm="1">
        <f t="array" ref="O1548">_xlfn.IFS(
tbl_analysis_tickets[[#This Row],[agent_experience_years]]&lt;=2,"Junior",
tbl_analysis_tickets[[#This Row],[agent_experience_years]]&lt;=5,"Mid-Level",
tbl_analysis_tickets[[#This Row],[agent_experience_years]]&lt;=8,"Senior",
tbl_analysis_tickets[[#This Row],[agent_experience_years]]&gt;8,"Expert"
)</f>
        <v>Senior</v>
      </c>
      <c r="P1548" cm="1">
        <f t="array" ref="P1548">_xlfn.SWITCH(tbl_analysis_tickets[[#This Row],[customer_satisfaction]],
"Low",1,
"Medium",2,
"High",3
)</f>
        <v>2</v>
      </c>
      <c r="Q1548">
        <f>IF(tbl_analysis_tickets[[#This Row],[reopened]]="Yes",1,0)</f>
        <v>0</v>
      </c>
      <c r="R1548" t="str" cm="1">
        <f t="array" ref="R1548">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548" t="str" cm="1">
        <f t="array" ref="S154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1548" t="str">
        <f>TEXT(tbl_analysis_tickets[[#This Row],[created_date]],"mmm-yyyy")</f>
        <v>Apr-2024</v>
      </c>
      <c r="U1548" t="str">
        <f>TEXT(tbl_analysis_tickets[[#This Row],[created_date]],"dddd")</f>
        <v>Sunday</v>
      </c>
      <c r="V1548" cm="1">
        <f t="array" ref="V1548">_xlfn.SWITCH(tbl_analysis_tickets[[#This Row],[priority]],
"Urgent",1,
"High",2,
"Medium",3,
"Low",4
)</f>
        <v>2</v>
      </c>
    </row>
    <row r="1549" spans="1:22" x14ac:dyDescent="0.25">
      <c r="A1549">
        <v>1548</v>
      </c>
      <c r="B1549" s="1">
        <v>45519</v>
      </c>
      <c r="C1549" t="s">
        <v>22</v>
      </c>
      <c r="D1549" t="s">
        <v>15</v>
      </c>
      <c r="E1549">
        <v>93</v>
      </c>
      <c r="F1549">
        <v>64</v>
      </c>
      <c r="G1549">
        <v>5.4</v>
      </c>
      <c r="H1549" t="s">
        <v>18</v>
      </c>
      <c r="I1549" t="s">
        <v>19</v>
      </c>
      <c r="J1549" t="s">
        <v>15</v>
      </c>
      <c r="K1549">
        <f>_xlfn.XLOOKUP(tbl_analysis_tickets[[#This Row],[priority]],tbl_sla[priority],tbl_sla[Resolution SLA Hours])</f>
        <v>48</v>
      </c>
      <c r="L1549">
        <f>_xlfn.XLOOKUP(tbl_analysis_tickets[[#This Row],[priority]],tbl_sla[priority],tbl_sla[First Response SLA Minutes])</f>
        <v>120</v>
      </c>
      <c r="M1549" t="str">
        <f>IF(tbl_analysis_tickets[[#This Row],[resolution_time_hours]]&gt;tbl_analysis_tickets[[#This Row],[Resolution SLA Hours]],"Breached","Within SLA")</f>
        <v>Breached</v>
      </c>
      <c r="N1549" t="str">
        <f>IF(tbl_analysis_tickets[[#This Row],[first_response_minutes]]&gt;tbl_analysis_tickets[[#This Row],[First Response SLA Minutes]],"Breached","Within SLA")</f>
        <v>Within SLA</v>
      </c>
      <c r="O1549" t="str" cm="1">
        <f t="array" ref="O1549">_xlfn.IFS(
tbl_analysis_tickets[[#This Row],[agent_experience_years]]&lt;=2,"Junior",
tbl_analysis_tickets[[#This Row],[agent_experience_years]]&lt;=5,"Mid-Level",
tbl_analysis_tickets[[#This Row],[agent_experience_years]]&lt;=8,"Senior",
tbl_analysis_tickets[[#This Row],[agent_experience_years]]&gt;8,"Expert"
)</f>
        <v>Senior</v>
      </c>
      <c r="P1549" cm="1">
        <f t="array" ref="P1549">_xlfn.SWITCH(tbl_analysis_tickets[[#This Row],[customer_satisfaction]],
"Low",1,
"Medium",2,
"High",3
)</f>
        <v>2</v>
      </c>
      <c r="Q1549">
        <f>IF(tbl_analysis_tickets[[#This Row],[reopened]]="Yes",1,0)</f>
        <v>0</v>
      </c>
      <c r="R1549" t="str" cm="1">
        <f t="array" ref="R1549">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549" t="str" cm="1">
        <f t="array" ref="S154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549" t="str">
        <f>TEXT(tbl_analysis_tickets[[#This Row],[created_date]],"mmm-yyyy")</f>
        <v>Aug-2024</v>
      </c>
      <c r="U1549" t="str">
        <f>TEXT(tbl_analysis_tickets[[#This Row],[created_date]],"dddd")</f>
        <v>Thursday</v>
      </c>
      <c r="V1549" cm="1">
        <f t="array" ref="V1549">_xlfn.SWITCH(tbl_analysis_tickets[[#This Row],[priority]],
"Urgent",1,
"High",2,
"Medium",3,
"Low",4
)</f>
        <v>3</v>
      </c>
    </row>
    <row r="1550" spans="1:22" x14ac:dyDescent="0.25">
      <c r="A1550">
        <v>1549</v>
      </c>
      <c r="B1550" s="1">
        <v>45488</v>
      </c>
      <c r="C1550" t="s">
        <v>22</v>
      </c>
      <c r="D1550" t="s">
        <v>11</v>
      </c>
      <c r="E1550">
        <v>71</v>
      </c>
      <c r="F1550">
        <v>14</v>
      </c>
      <c r="G1550">
        <v>0.9</v>
      </c>
      <c r="H1550" t="s">
        <v>18</v>
      </c>
      <c r="I1550" t="s">
        <v>16</v>
      </c>
      <c r="J1550" t="s">
        <v>11</v>
      </c>
      <c r="K1550">
        <f>_xlfn.XLOOKUP(tbl_analysis_tickets[[#This Row],[priority]],tbl_sla[priority],tbl_sla[Resolution SLA Hours])</f>
        <v>72</v>
      </c>
      <c r="L1550">
        <f>_xlfn.XLOOKUP(tbl_analysis_tickets[[#This Row],[priority]],tbl_sla[priority],tbl_sla[First Response SLA Minutes])</f>
        <v>240</v>
      </c>
      <c r="M1550" t="str">
        <f>IF(tbl_analysis_tickets[[#This Row],[resolution_time_hours]]&gt;tbl_analysis_tickets[[#This Row],[Resolution SLA Hours]],"Breached","Within SLA")</f>
        <v>Within SLA</v>
      </c>
      <c r="N1550" t="str">
        <f>IF(tbl_analysis_tickets[[#This Row],[first_response_minutes]]&gt;tbl_analysis_tickets[[#This Row],[First Response SLA Minutes]],"Breached","Within SLA")</f>
        <v>Within SLA</v>
      </c>
      <c r="O1550" t="str" cm="1">
        <f t="array" ref="O1550">_xlfn.IFS(
tbl_analysis_tickets[[#This Row],[agent_experience_years]]&lt;=2,"Junior",
tbl_analysis_tickets[[#This Row],[agent_experience_years]]&lt;=5,"Mid-Level",
tbl_analysis_tickets[[#This Row],[agent_experience_years]]&lt;=8,"Senior",
tbl_analysis_tickets[[#This Row],[agent_experience_years]]&gt;8,"Expert"
)</f>
        <v>Junior</v>
      </c>
      <c r="P1550" cm="1">
        <f t="array" ref="P1550">_xlfn.SWITCH(tbl_analysis_tickets[[#This Row],[customer_satisfaction]],
"Low",1,
"Medium",2,
"High",3
)</f>
        <v>1</v>
      </c>
      <c r="Q1550">
        <f>IF(tbl_analysis_tickets[[#This Row],[reopened]]="Yes",1,0)</f>
        <v>0</v>
      </c>
      <c r="R1550" t="str" cm="1">
        <f t="array" ref="R1550">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550" t="str" cm="1">
        <f t="array" ref="S155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550" t="str">
        <f>TEXT(tbl_analysis_tickets[[#This Row],[created_date]],"mmm-yyyy")</f>
        <v>Jul-2024</v>
      </c>
      <c r="U1550" t="str">
        <f>TEXT(tbl_analysis_tickets[[#This Row],[created_date]],"dddd")</f>
        <v>Monday</v>
      </c>
      <c r="V1550" cm="1">
        <f t="array" ref="V1550">_xlfn.SWITCH(tbl_analysis_tickets[[#This Row],[priority]],
"Urgent",1,
"High",2,
"Medium",3,
"Low",4
)</f>
        <v>4</v>
      </c>
    </row>
    <row r="1551" spans="1:22" x14ac:dyDescent="0.25">
      <c r="A1551">
        <v>1550</v>
      </c>
      <c r="B1551" s="1">
        <v>45646</v>
      </c>
      <c r="C1551" t="s">
        <v>21</v>
      </c>
      <c r="D1551" t="s">
        <v>11</v>
      </c>
      <c r="E1551">
        <v>210</v>
      </c>
      <c r="F1551">
        <v>43</v>
      </c>
      <c r="G1551">
        <v>5</v>
      </c>
      <c r="H1551" t="s">
        <v>18</v>
      </c>
      <c r="I1551" t="s">
        <v>19</v>
      </c>
      <c r="J1551" t="s">
        <v>15</v>
      </c>
      <c r="K1551">
        <f>_xlfn.XLOOKUP(tbl_analysis_tickets[[#This Row],[priority]],tbl_sla[priority],tbl_sla[Resolution SLA Hours])</f>
        <v>72</v>
      </c>
      <c r="L1551">
        <f>_xlfn.XLOOKUP(tbl_analysis_tickets[[#This Row],[priority]],tbl_sla[priority],tbl_sla[First Response SLA Minutes])</f>
        <v>240</v>
      </c>
      <c r="M1551" t="str">
        <f>IF(tbl_analysis_tickets[[#This Row],[resolution_time_hours]]&gt;tbl_analysis_tickets[[#This Row],[Resolution SLA Hours]],"Breached","Within SLA")</f>
        <v>Within SLA</v>
      </c>
      <c r="N1551" t="str">
        <f>IF(tbl_analysis_tickets[[#This Row],[first_response_minutes]]&gt;tbl_analysis_tickets[[#This Row],[First Response SLA Minutes]],"Breached","Within SLA")</f>
        <v>Within SLA</v>
      </c>
      <c r="O1551" t="str" cm="1">
        <f t="array" ref="O1551">_xlfn.IFS(
tbl_analysis_tickets[[#This Row],[agent_experience_years]]&lt;=2,"Junior",
tbl_analysis_tickets[[#This Row],[agent_experience_years]]&lt;=5,"Mid-Level",
tbl_analysis_tickets[[#This Row],[agent_experience_years]]&lt;=8,"Senior",
tbl_analysis_tickets[[#This Row],[agent_experience_years]]&gt;8,"Expert"
)</f>
        <v>Mid-Level</v>
      </c>
      <c r="P1551" cm="1">
        <f t="array" ref="P1551">_xlfn.SWITCH(tbl_analysis_tickets[[#This Row],[customer_satisfaction]],
"Low",1,
"Medium",2,
"High",3
)</f>
        <v>2</v>
      </c>
      <c r="Q1551">
        <f>IF(tbl_analysis_tickets[[#This Row],[reopened]]="Yes",1,0)</f>
        <v>0</v>
      </c>
      <c r="R1551" t="str" cm="1">
        <f t="array" ref="R1551">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551" t="str" cm="1">
        <f t="array" ref="S155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551" t="str">
        <f>TEXT(tbl_analysis_tickets[[#This Row],[created_date]],"mmm-yyyy")</f>
        <v>Dec-2024</v>
      </c>
      <c r="U1551" t="str">
        <f>TEXT(tbl_analysis_tickets[[#This Row],[created_date]],"dddd")</f>
        <v>Friday</v>
      </c>
      <c r="V1551" cm="1">
        <f t="array" ref="V1551">_xlfn.SWITCH(tbl_analysis_tickets[[#This Row],[priority]],
"Urgent",1,
"High",2,
"Medium",3,
"Low",4
)</f>
        <v>4</v>
      </c>
    </row>
    <row r="1552" spans="1:22" x14ac:dyDescent="0.25">
      <c r="A1552">
        <v>1551</v>
      </c>
      <c r="B1552" s="1">
        <v>45388</v>
      </c>
      <c r="C1552" t="s">
        <v>10</v>
      </c>
      <c r="D1552" t="s">
        <v>15</v>
      </c>
      <c r="E1552">
        <v>142</v>
      </c>
      <c r="F1552">
        <v>40</v>
      </c>
      <c r="G1552">
        <v>4.3</v>
      </c>
      <c r="H1552" t="s">
        <v>12</v>
      </c>
      <c r="I1552" t="s">
        <v>19</v>
      </c>
      <c r="J1552" t="s">
        <v>11</v>
      </c>
      <c r="K1552">
        <f>_xlfn.XLOOKUP(tbl_analysis_tickets[[#This Row],[priority]],tbl_sla[priority],tbl_sla[Resolution SLA Hours])</f>
        <v>48</v>
      </c>
      <c r="L1552">
        <f>_xlfn.XLOOKUP(tbl_analysis_tickets[[#This Row],[priority]],tbl_sla[priority],tbl_sla[First Response SLA Minutes])</f>
        <v>120</v>
      </c>
      <c r="M1552" t="str">
        <f>IF(tbl_analysis_tickets[[#This Row],[resolution_time_hours]]&gt;tbl_analysis_tickets[[#This Row],[Resolution SLA Hours]],"Breached","Within SLA")</f>
        <v>Within SLA</v>
      </c>
      <c r="N1552" t="str">
        <f>IF(tbl_analysis_tickets[[#This Row],[first_response_minutes]]&gt;tbl_analysis_tickets[[#This Row],[First Response SLA Minutes]],"Breached","Within SLA")</f>
        <v>Breached</v>
      </c>
      <c r="O1552" t="str" cm="1">
        <f t="array" ref="O1552">_xlfn.IFS(
tbl_analysis_tickets[[#This Row],[agent_experience_years]]&lt;=2,"Junior",
tbl_analysis_tickets[[#This Row],[agent_experience_years]]&lt;=5,"Mid-Level",
tbl_analysis_tickets[[#This Row],[agent_experience_years]]&lt;=8,"Senior",
tbl_analysis_tickets[[#This Row],[agent_experience_years]]&gt;8,"Expert"
)</f>
        <v>Mid-Level</v>
      </c>
      <c r="P1552" cm="1">
        <f t="array" ref="P1552">_xlfn.SWITCH(tbl_analysis_tickets[[#This Row],[customer_satisfaction]],
"Low",1,
"Medium",2,
"High",3
)</f>
        <v>1</v>
      </c>
      <c r="Q1552">
        <f>IF(tbl_analysis_tickets[[#This Row],[reopened]]="Yes",1,0)</f>
        <v>1</v>
      </c>
      <c r="R1552" t="str" cm="1">
        <f t="array" ref="R1552">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552" t="str" cm="1">
        <f t="array" ref="S155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552" t="str">
        <f>TEXT(tbl_analysis_tickets[[#This Row],[created_date]],"mmm-yyyy")</f>
        <v>Apr-2024</v>
      </c>
      <c r="U1552" t="str">
        <f>TEXT(tbl_analysis_tickets[[#This Row],[created_date]],"dddd")</f>
        <v>Saturday</v>
      </c>
      <c r="V1552" cm="1">
        <f t="array" ref="V1552">_xlfn.SWITCH(tbl_analysis_tickets[[#This Row],[priority]],
"Urgent",1,
"High",2,
"Medium",3,
"Low",4
)</f>
        <v>3</v>
      </c>
    </row>
    <row r="1553" spans="1:22" x14ac:dyDescent="0.25">
      <c r="A1553">
        <v>1552</v>
      </c>
      <c r="B1553" s="1">
        <v>45552</v>
      </c>
      <c r="C1553" t="s">
        <v>23</v>
      </c>
      <c r="D1553" t="s">
        <v>17</v>
      </c>
      <c r="E1553">
        <v>157</v>
      </c>
      <c r="F1553">
        <v>12</v>
      </c>
      <c r="G1553">
        <v>1.4</v>
      </c>
      <c r="H1553" t="s">
        <v>12</v>
      </c>
      <c r="I1553" t="s">
        <v>16</v>
      </c>
      <c r="J1553" t="s">
        <v>11</v>
      </c>
      <c r="K1553">
        <f>_xlfn.XLOOKUP(tbl_analysis_tickets[[#This Row],[priority]],tbl_sla[priority],tbl_sla[Resolution SLA Hours])</f>
        <v>8</v>
      </c>
      <c r="L1553">
        <f>_xlfn.XLOOKUP(tbl_analysis_tickets[[#This Row],[priority]],tbl_sla[priority],tbl_sla[First Response SLA Minutes])</f>
        <v>30</v>
      </c>
      <c r="M1553" t="str">
        <f>IF(tbl_analysis_tickets[[#This Row],[resolution_time_hours]]&gt;tbl_analysis_tickets[[#This Row],[Resolution SLA Hours]],"Breached","Within SLA")</f>
        <v>Breached</v>
      </c>
      <c r="N1553" t="str">
        <f>IF(tbl_analysis_tickets[[#This Row],[first_response_minutes]]&gt;tbl_analysis_tickets[[#This Row],[First Response SLA Minutes]],"Breached","Within SLA")</f>
        <v>Breached</v>
      </c>
      <c r="O1553" t="str" cm="1">
        <f t="array" ref="O1553">_xlfn.IFS(
tbl_analysis_tickets[[#This Row],[agent_experience_years]]&lt;=2,"Junior",
tbl_analysis_tickets[[#This Row],[agent_experience_years]]&lt;=5,"Mid-Level",
tbl_analysis_tickets[[#This Row],[agent_experience_years]]&lt;=8,"Senior",
tbl_analysis_tickets[[#This Row],[agent_experience_years]]&gt;8,"Expert"
)</f>
        <v>Junior</v>
      </c>
      <c r="P1553" cm="1">
        <f t="array" ref="P1553">_xlfn.SWITCH(tbl_analysis_tickets[[#This Row],[customer_satisfaction]],
"Low",1,
"Medium",2,
"High",3
)</f>
        <v>1</v>
      </c>
      <c r="Q1553">
        <f>IF(tbl_analysis_tickets[[#This Row],[reopened]]="Yes",1,0)</f>
        <v>1</v>
      </c>
      <c r="R1553" t="str" cm="1">
        <f t="array" ref="R1553">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553" t="str" cm="1">
        <f t="array" ref="S155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553" t="str">
        <f>TEXT(tbl_analysis_tickets[[#This Row],[created_date]],"mmm-yyyy")</f>
        <v>Sep-2024</v>
      </c>
      <c r="U1553" t="str">
        <f>TEXT(tbl_analysis_tickets[[#This Row],[created_date]],"dddd")</f>
        <v>Tuesday</v>
      </c>
      <c r="V1553" cm="1">
        <f t="array" ref="V1553">_xlfn.SWITCH(tbl_analysis_tickets[[#This Row],[priority]],
"Urgent",1,
"High",2,
"Medium",3,
"Low",4
)</f>
        <v>1</v>
      </c>
    </row>
    <row r="1554" spans="1:22" x14ac:dyDescent="0.25">
      <c r="A1554">
        <v>1553</v>
      </c>
      <c r="B1554" s="1">
        <v>45606</v>
      </c>
      <c r="C1554" t="s">
        <v>23</v>
      </c>
      <c r="D1554" t="s">
        <v>20</v>
      </c>
      <c r="E1554">
        <v>33</v>
      </c>
      <c r="F1554">
        <v>2</v>
      </c>
      <c r="G1554">
        <v>4</v>
      </c>
      <c r="H1554" t="s">
        <v>12</v>
      </c>
      <c r="I1554" t="s">
        <v>19</v>
      </c>
      <c r="J1554" t="s">
        <v>11</v>
      </c>
      <c r="K1554">
        <f>_xlfn.XLOOKUP(tbl_analysis_tickets[[#This Row],[priority]],tbl_sla[priority],tbl_sla[Resolution SLA Hours])</f>
        <v>24</v>
      </c>
      <c r="L1554">
        <f>_xlfn.XLOOKUP(tbl_analysis_tickets[[#This Row],[priority]],tbl_sla[priority],tbl_sla[First Response SLA Minutes])</f>
        <v>60</v>
      </c>
      <c r="M1554" t="str">
        <f>IF(tbl_analysis_tickets[[#This Row],[resolution_time_hours]]&gt;tbl_analysis_tickets[[#This Row],[Resolution SLA Hours]],"Breached","Within SLA")</f>
        <v>Within SLA</v>
      </c>
      <c r="N1554" t="str">
        <f>IF(tbl_analysis_tickets[[#This Row],[first_response_minutes]]&gt;tbl_analysis_tickets[[#This Row],[First Response SLA Minutes]],"Breached","Within SLA")</f>
        <v>Within SLA</v>
      </c>
      <c r="O1554" t="str" cm="1">
        <f t="array" ref="O1554">_xlfn.IFS(
tbl_analysis_tickets[[#This Row],[agent_experience_years]]&lt;=2,"Junior",
tbl_analysis_tickets[[#This Row],[agent_experience_years]]&lt;=5,"Mid-Level",
tbl_analysis_tickets[[#This Row],[agent_experience_years]]&lt;=8,"Senior",
tbl_analysis_tickets[[#This Row],[agent_experience_years]]&gt;8,"Expert"
)</f>
        <v>Mid-Level</v>
      </c>
      <c r="P1554" cm="1">
        <f t="array" ref="P1554">_xlfn.SWITCH(tbl_analysis_tickets[[#This Row],[customer_satisfaction]],
"Low",1,
"Medium",2,
"High",3
)</f>
        <v>1</v>
      </c>
      <c r="Q1554">
        <f>IF(tbl_analysis_tickets[[#This Row],[reopened]]="Yes",1,0)</f>
        <v>1</v>
      </c>
      <c r="R1554" t="str" cm="1">
        <f t="array" ref="R1554">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554" t="str" cm="1">
        <f t="array" ref="S155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1554" t="str">
        <f>TEXT(tbl_analysis_tickets[[#This Row],[created_date]],"mmm-yyyy")</f>
        <v>Nov-2024</v>
      </c>
      <c r="U1554" t="str">
        <f>TEXT(tbl_analysis_tickets[[#This Row],[created_date]],"dddd")</f>
        <v>Sunday</v>
      </c>
      <c r="V1554" cm="1">
        <f t="array" ref="V1554">_xlfn.SWITCH(tbl_analysis_tickets[[#This Row],[priority]],
"Urgent",1,
"High",2,
"Medium",3,
"Low",4
)</f>
        <v>2</v>
      </c>
    </row>
    <row r="1555" spans="1:22" x14ac:dyDescent="0.25">
      <c r="A1555">
        <v>1554</v>
      </c>
      <c r="B1555" s="1">
        <v>45548</v>
      </c>
      <c r="C1555" t="s">
        <v>14</v>
      </c>
      <c r="D1555" t="s">
        <v>20</v>
      </c>
      <c r="E1555">
        <v>87</v>
      </c>
      <c r="F1555">
        <v>52</v>
      </c>
      <c r="G1555">
        <v>5.5</v>
      </c>
      <c r="H1555" t="s">
        <v>12</v>
      </c>
      <c r="I1555" t="s">
        <v>16</v>
      </c>
      <c r="J1555" t="s">
        <v>11</v>
      </c>
      <c r="K1555">
        <f>_xlfn.XLOOKUP(tbl_analysis_tickets[[#This Row],[priority]],tbl_sla[priority],tbl_sla[Resolution SLA Hours])</f>
        <v>24</v>
      </c>
      <c r="L1555">
        <f>_xlfn.XLOOKUP(tbl_analysis_tickets[[#This Row],[priority]],tbl_sla[priority],tbl_sla[First Response SLA Minutes])</f>
        <v>60</v>
      </c>
      <c r="M1555" t="str">
        <f>IF(tbl_analysis_tickets[[#This Row],[resolution_time_hours]]&gt;tbl_analysis_tickets[[#This Row],[Resolution SLA Hours]],"Breached","Within SLA")</f>
        <v>Breached</v>
      </c>
      <c r="N1555" t="str">
        <f>IF(tbl_analysis_tickets[[#This Row],[first_response_minutes]]&gt;tbl_analysis_tickets[[#This Row],[First Response SLA Minutes]],"Breached","Within SLA")</f>
        <v>Breached</v>
      </c>
      <c r="O1555" t="str" cm="1">
        <f t="array" ref="O1555">_xlfn.IFS(
tbl_analysis_tickets[[#This Row],[agent_experience_years]]&lt;=2,"Junior",
tbl_analysis_tickets[[#This Row],[agent_experience_years]]&lt;=5,"Mid-Level",
tbl_analysis_tickets[[#This Row],[agent_experience_years]]&lt;=8,"Senior",
tbl_analysis_tickets[[#This Row],[agent_experience_years]]&gt;8,"Expert"
)</f>
        <v>Senior</v>
      </c>
      <c r="P1555" cm="1">
        <f t="array" ref="P1555">_xlfn.SWITCH(tbl_analysis_tickets[[#This Row],[customer_satisfaction]],
"Low",1,
"Medium",2,
"High",3
)</f>
        <v>1</v>
      </c>
      <c r="Q1555">
        <f>IF(tbl_analysis_tickets[[#This Row],[reopened]]="Yes",1,0)</f>
        <v>1</v>
      </c>
      <c r="R1555" t="str" cm="1">
        <f t="array" ref="R1555">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555" t="str" cm="1">
        <f t="array" ref="S155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555" t="str">
        <f>TEXT(tbl_analysis_tickets[[#This Row],[created_date]],"mmm-yyyy")</f>
        <v>Sep-2024</v>
      </c>
      <c r="U1555" t="str">
        <f>TEXT(tbl_analysis_tickets[[#This Row],[created_date]],"dddd")</f>
        <v>Friday</v>
      </c>
      <c r="V1555" cm="1">
        <f t="array" ref="V1555">_xlfn.SWITCH(tbl_analysis_tickets[[#This Row],[priority]],
"Urgent",1,
"High",2,
"Medium",3,
"Low",4
)</f>
        <v>2</v>
      </c>
    </row>
    <row r="1556" spans="1:22" x14ac:dyDescent="0.25">
      <c r="A1556">
        <v>1555</v>
      </c>
      <c r="B1556" s="1">
        <v>45312</v>
      </c>
      <c r="C1556" t="s">
        <v>10</v>
      </c>
      <c r="D1556" t="s">
        <v>20</v>
      </c>
      <c r="E1556">
        <v>235</v>
      </c>
      <c r="F1556">
        <v>38</v>
      </c>
      <c r="G1556">
        <v>1.1000000000000001</v>
      </c>
      <c r="H1556" t="s">
        <v>18</v>
      </c>
      <c r="I1556" t="s">
        <v>19</v>
      </c>
      <c r="J1556" t="s">
        <v>11</v>
      </c>
      <c r="K1556">
        <f>_xlfn.XLOOKUP(tbl_analysis_tickets[[#This Row],[priority]],tbl_sla[priority],tbl_sla[Resolution SLA Hours])</f>
        <v>24</v>
      </c>
      <c r="L1556">
        <f>_xlfn.XLOOKUP(tbl_analysis_tickets[[#This Row],[priority]],tbl_sla[priority],tbl_sla[First Response SLA Minutes])</f>
        <v>60</v>
      </c>
      <c r="M1556" t="str">
        <f>IF(tbl_analysis_tickets[[#This Row],[resolution_time_hours]]&gt;tbl_analysis_tickets[[#This Row],[Resolution SLA Hours]],"Breached","Within SLA")</f>
        <v>Breached</v>
      </c>
      <c r="N1556" t="str">
        <f>IF(tbl_analysis_tickets[[#This Row],[first_response_minutes]]&gt;tbl_analysis_tickets[[#This Row],[First Response SLA Minutes]],"Breached","Within SLA")</f>
        <v>Breached</v>
      </c>
      <c r="O1556" t="str" cm="1">
        <f t="array" ref="O1556">_xlfn.IFS(
tbl_analysis_tickets[[#This Row],[agent_experience_years]]&lt;=2,"Junior",
tbl_analysis_tickets[[#This Row],[agent_experience_years]]&lt;=5,"Mid-Level",
tbl_analysis_tickets[[#This Row],[agent_experience_years]]&lt;=8,"Senior",
tbl_analysis_tickets[[#This Row],[agent_experience_years]]&gt;8,"Expert"
)</f>
        <v>Junior</v>
      </c>
      <c r="P1556" cm="1">
        <f t="array" ref="P1556">_xlfn.SWITCH(tbl_analysis_tickets[[#This Row],[customer_satisfaction]],
"Low",1,
"Medium",2,
"High",3
)</f>
        <v>1</v>
      </c>
      <c r="Q1556">
        <f>IF(tbl_analysis_tickets[[#This Row],[reopened]]="Yes",1,0)</f>
        <v>0</v>
      </c>
      <c r="R1556" t="str" cm="1">
        <f t="array" ref="R1556">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556" t="str" cm="1">
        <f t="array" ref="S155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556" t="str">
        <f>TEXT(tbl_analysis_tickets[[#This Row],[created_date]],"mmm-yyyy")</f>
        <v>Jan-2024</v>
      </c>
      <c r="U1556" t="str">
        <f>TEXT(tbl_analysis_tickets[[#This Row],[created_date]],"dddd")</f>
        <v>Sunday</v>
      </c>
      <c r="V1556" cm="1">
        <f t="array" ref="V1556">_xlfn.SWITCH(tbl_analysis_tickets[[#This Row],[priority]],
"Urgent",1,
"High",2,
"Medium",3,
"Low",4
)</f>
        <v>2</v>
      </c>
    </row>
    <row r="1557" spans="1:22" x14ac:dyDescent="0.25">
      <c r="A1557">
        <v>1556</v>
      </c>
      <c r="B1557" s="1">
        <v>45609</v>
      </c>
      <c r="C1557" t="s">
        <v>10</v>
      </c>
      <c r="D1557" t="s">
        <v>11</v>
      </c>
      <c r="E1557">
        <v>13</v>
      </c>
      <c r="F1557">
        <v>63</v>
      </c>
      <c r="G1557">
        <v>3.5</v>
      </c>
      <c r="H1557" t="s">
        <v>18</v>
      </c>
      <c r="I1557" t="s">
        <v>16</v>
      </c>
      <c r="J1557" t="s">
        <v>15</v>
      </c>
      <c r="K1557">
        <f>_xlfn.XLOOKUP(tbl_analysis_tickets[[#This Row],[priority]],tbl_sla[priority],tbl_sla[Resolution SLA Hours])</f>
        <v>72</v>
      </c>
      <c r="L1557">
        <f>_xlfn.XLOOKUP(tbl_analysis_tickets[[#This Row],[priority]],tbl_sla[priority],tbl_sla[First Response SLA Minutes])</f>
        <v>240</v>
      </c>
      <c r="M1557" t="str">
        <f>IF(tbl_analysis_tickets[[#This Row],[resolution_time_hours]]&gt;tbl_analysis_tickets[[#This Row],[Resolution SLA Hours]],"Breached","Within SLA")</f>
        <v>Within SLA</v>
      </c>
      <c r="N1557" t="str">
        <f>IF(tbl_analysis_tickets[[#This Row],[first_response_minutes]]&gt;tbl_analysis_tickets[[#This Row],[First Response SLA Minutes]],"Breached","Within SLA")</f>
        <v>Within SLA</v>
      </c>
      <c r="O1557" t="str" cm="1">
        <f t="array" ref="O1557">_xlfn.IFS(
tbl_analysis_tickets[[#This Row],[agent_experience_years]]&lt;=2,"Junior",
tbl_analysis_tickets[[#This Row],[agent_experience_years]]&lt;=5,"Mid-Level",
tbl_analysis_tickets[[#This Row],[agent_experience_years]]&lt;=8,"Senior",
tbl_analysis_tickets[[#This Row],[agent_experience_years]]&gt;8,"Expert"
)</f>
        <v>Mid-Level</v>
      </c>
      <c r="P1557" cm="1">
        <f t="array" ref="P1557">_xlfn.SWITCH(tbl_analysis_tickets[[#This Row],[customer_satisfaction]],
"Low",1,
"Medium",2,
"High",3
)</f>
        <v>2</v>
      </c>
      <c r="Q1557">
        <f>IF(tbl_analysis_tickets[[#This Row],[reopened]]="Yes",1,0)</f>
        <v>0</v>
      </c>
      <c r="R1557" t="str" cm="1">
        <f t="array" ref="R1557">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1557" t="str" cm="1">
        <f t="array" ref="S155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557" t="str">
        <f>TEXT(tbl_analysis_tickets[[#This Row],[created_date]],"mmm-yyyy")</f>
        <v>Nov-2024</v>
      </c>
      <c r="U1557" t="str">
        <f>TEXT(tbl_analysis_tickets[[#This Row],[created_date]],"dddd")</f>
        <v>Wednesday</v>
      </c>
      <c r="V1557" cm="1">
        <f t="array" ref="V1557">_xlfn.SWITCH(tbl_analysis_tickets[[#This Row],[priority]],
"Urgent",1,
"High",2,
"Medium",3,
"Low",4
)</f>
        <v>4</v>
      </c>
    </row>
    <row r="1558" spans="1:22" x14ac:dyDescent="0.25">
      <c r="A1558">
        <v>1557</v>
      </c>
      <c r="B1558" s="1">
        <v>45292</v>
      </c>
      <c r="C1558" t="s">
        <v>21</v>
      </c>
      <c r="D1558" t="s">
        <v>17</v>
      </c>
      <c r="E1558">
        <v>75</v>
      </c>
      <c r="F1558">
        <v>24</v>
      </c>
      <c r="G1558">
        <v>7.1</v>
      </c>
      <c r="H1558" t="s">
        <v>18</v>
      </c>
      <c r="I1558" t="s">
        <v>13</v>
      </c>
      <c r="J1558" t="s">
        <v>11</v>
      </c>
      <c r="K1558">
        <f>_xlfn.XLOOKUP(tbl_analysis_tickets[[#This Row],[priority]],tbl_sla[priority],tbl_sla[Resolution SLA Hours])</f>
        <v>8</v>
      </c>
      <c r="L1558">
        <f>_xlfn.XLOOKUP(tbl_analysis_tickets[[#This Row],[priority]],tbl_sla[priority],tbl_sla[First Response SLA Minutes])</f>
        <v>30</v>
      </c>
      <c r="M1558" t="str">
        <f>IF(tbl_analysis_tickets[[#This Row],[resolution_time_hours]]&gt;tbl_analysis_tickets[[#This Row],[Resolution SLA Hours]],"Breached","Within SLA")</f>
        <v>Breached</v>
      </c>
      <c r="N1558" t="str">
        <f>IF(tbl_analysis_tickets[[#This Row],[first_response_minutes]]&gt;tbl_analysis_tickets[[#This Row],[First Response SLA Minutes]],"Breached","Within SLA")</f>
        <v>Breached</v>
      </c>
      <c r="O1558" t="str" cm="1">
        <f t="array" ref="O1558">_xlfn.IFS(
tbl_analysis_tickets[[#This Row],[agent_experience_years]]&lt;=2,"Junior",
tbl_analysis_tickets[[#This Row],[agent_experience_years]]&lt;=5,"Mid-Level",
tbl_analysis_tickets[[#This Row],[agent_experience_years]]&lt;=8,"Senior",
tbl_analysis_tickets[[#This Row],[agent_experience_years]]&gt;8,"Expert"
)</f>
        <v>Senior</v>
      </c>
      <c r="P1558" cm="1">
        <f t="array" ref="P1558">_xlfn.SWITCH(tbl_analysis_tickets[[#This Row],[customer_satisfaction]],
"Low",1,
"Medium",2,
"High",3
)</f>
        <v>1</v>
      </c>
      <c r="Q1558">
        <f>IF(tbl_analysis_tickets[[#This Row],[reopened]]="Yes",1,0)</f>
        <v>0</v>
      </c>
      <c r="R1558" t="str" cm="1">
        <f t="array" ref="R1558">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558" t="str" cm="1">
        <f t="array" ref="S155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558" t="str">
        <f>TEXT(tbl_analysis_tickets[[#This Row],[created_date]],"mmm-yyyy")</f>
        <v>Jan-2024</v>
      </c>
      <c r="U1558" t="str">
        <f>TEXT(tbl_analysis_tickets[[#This Row],[created_date]],"dddd")</f>
        <v>Monday</v>
      </c>
      <c r="V1558" cm="1">
        <f t="array" ref="V1558">_xlfn.SWITCH(tbl_analysis_tickets[[#This Row],[priority]],
"Urgent",1,
"High",2,
"Medium",3,
"Low",4
)</f>
        <v>1</v>
      </c>
    </row>
    <row r="1559" spans="1:22" x14ac:dyDescent="0.25">
      <c r="A1559">
        <v>1558</v>
      </c>
      <c r="B1559" s="1">
        <v>45469</v>
      </c>
      <c r="C1559" t="s">
        <v>10</v>
      </c>
      <c r="D1559" t="s">
        <v>11</v>
      </c>
      <c r="E1559">
        <v>145</v>
      </c>
      <c r="F1559">
        <v>19</v>
      </c>
      <c r="G1559">
        <v>1.7</v>
      </c>
      <c r="H1559" t="s">
        <v>18</v>
      </c>
      <c r="I1559" t="s">
        <v>16</v>
      </c>
      <c r="J1559" t="s">
        <v>11</v>
      </c>
      <c r="K1559">
        <f>_xlfn.XLOOKUP(tbl_analysis_tickets[[#This Row],[priority]],tbl_sla[priority],tbl_sla[Resolution SLA Hours])</f>
        <v>72</v>
      </c>
      <c r="L1559">
        <f>_xlfn.XLOOKUP(tbl_analysis_tickets[[#This Row],[priority]],tbl_sla[priority],tbl_sla[First Response SLA Minutes])</f>
        <v>240</v>
      </c>
      <c r="M1559" t="str">
        <f>IF(tbl_analysis_tickets[[#This Row],[resolution_time_hours]]&gt;tbl_analysis_tickets[[#This Row],[Resolution SLA Hours]],"Breached","Within SLA")</f>
        <v>Within SLA</v>
      </c>
      <c r="N1559" t="str">
        <f>IF(tbl_analysis_tickets[[#This Row],[first_response_minutes]]&gt;tbl_analysis_tickets[[#This Row],[First Response SLA Minutes]],"Breached","Within SLA")</f>
        <v>Within SLA</v>
      </c>
      <c r="O1559" t="str" cm="1">
        <f t="array" ref="O1559">_xlfn.IFS(
tbl_analysis_tickets[[#This Row],[agent_experience_years]]&lt;=2,"Junior",
tbl_analysis_tickets[[#This Row],[agent_experience_years]]&lt;=5,"Mid-Level",
tbl_analysis_tickets[[#This Row],[agent_experience_years]]&lt;=8,"Senior",
tbl_analysis_tickets[[#This Row],[agent_experience_years]]&gt;8,"Expert"
)</f>
        <v>Junior</v>
      </c>
      <c r="P1559" cm="1">
        <f t="array" ref="P1559">_xlfn.SWITCH(tbl_analysis_tickets[[#This Row],[customer_satisfaction]],
"Low",1,
"Medium",2,
"High",3
)</f>
        <v>1</v>
      </c>
      <c r="Q1559">
        <f>IF(tbl_analysis_tickets[[#This Row],[reopened]]="Yes",1,0)</f>
        <v>0</v>
      </c>
      <c r="R1559" t="str" cm="1">
        <f t="array" ref="R1559">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559" t="str" cm="1">
        <f t="array" ref="S155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559" t="str">
        <f>TEXT(tbl_analysis_tickets[[#This Row],[created_date]],"mmm-yyyy")</f>
        <v>Jun-2024</v>
      </c>
      <c r="U1559" t="str">
        <f>TEXT(tbl_analysis_tickets[[#This Row],[created_date]],"dddd")</f>
        <v>Wednesday</v>
      </c>
      <c r="V1559" cm="1">
        <f t="array" ref="V1559">_xlfn.SWITCH(tbl_analysis_tickets[[#This Row],[priority]],
"Urgent",1,
"High",2,
"Medium",3,
"Low",4
)</f>
        <v>4</v>
      </c>
    </row>
    <row r="1560" spans="1:22" x14ac:dyDescent="0.25">
      <c r="A1560">
        <v>1559</v>
      </c>
      <c r="B1560" s="1">
        <v>45384</v>
      </c>
      <c r="C1560" t="s">
        <v>21</v>
      </c>
      <c r="D1560" t="s">
        <v>15</v>
      </c>
      <c r="E1560">
        <v>173</v>
      </c>
      <c r="F1560">
        <v>13</v>
      </c>
      <c r="G1560">
        <v>4.2</v>
      </c>
      <c r="H1560" t="s">
        <v>12</v>
      </c>
      <c r="I1560" t="s">
        <v>16</v>
      </c>
      <c r="J1560" t="s">
        <v>11</v>
      </c>
      <c r="K1560">
        <f>_xlfn.XLOOKUP(tbl_analysis_tickets[[#This Row],[priority]],tbl_sla[priority],tbl_sla[Resolution SLA Hours])</f>
        <v>48</v>
      </c>
      <c r="L1560">
        <f>_xlfn.XLOOKUP(tbl_analysis_tickets[[#This Row],[priority]],tbl_sla[priority],tbl_sla[First Response SLA Minutes])</f>
        <v>120</v>
      </c>
      <c r="M1560" t="str">
        <f>IF(tbl_analysis_tickets[[#This Row],[resolution_time_hours]]&gt;tbl_analysis_tickets[[#This Row],[Resolution SLA Hours]],"Breached","Within SLA")</f>
        <v>Within SLA</v>
      </c>
      <c r="N1560" t="str">
        <f>IF(tbl_analysis_tickets[[#This Row],[first_response_minutes]]&gt;tbl_analysis_tickets[[#This Row],[First Response SLA Minutes]],"Breached","Within SLA")</f>
        <v>Breached</v>
      </c>
      <c r="O1560" t="str" cm="1">
        <f t="array" ref="O1560">_xlfn.IFS(
tbl_analysis_tickets[[#This Row],[agent_experience_years]]&lt;=2,"Junior",
tbl_analysis_tickets[[#This Row],[agent_experience_years]]&lt;=5,"Mid-Level",
tbl_analysis_tickets[[#This Row],[agent_experience_years]]&lt;=8,"Senior",
tbl_analysis_tickets[[#This Row],[agent_experience_years]]&gt;8,"Expert"
)</f>
        <v>Mid-Level</v>
      </c>
      <c r="P1560" cm="1">
        <f t="array" ref="P1560">_xlfn.SWITCH(tbl_analysis_tickets[[#This Row],[customer_satisfaction]],
"Low",1,
"Medium",2,
"High",3
)</f>
        <v>1</v>
      </c>
      <c r="Q1560">
        <f>IF(tbl_analysis_tickets[[#This Row],[reopened]]="Yes",1,0)</f>
        <v>1</v>
      </c>
      <c r="R1560" t="str" cm="1">
        <f t="array" ref="R1560">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560" t="str" cm="1">
        <f t="array" ref="S156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560" t="str">
        <f>TEXT(tbl_analysis_tickets[[#This Row],[created_date]],"mmm-yyyy")</f>
        <v>Apr-2024</v>
      </c>
      <c r="U1560" t="str">
        <f>TEXT(tbl_analysis_tickets[[#This Row],[created_date]],"dddd")</f>
        <v>Tuesday</v>
      </c>
      <c r="V1560" cm="1">
        <f t="array" ref="V1560">_xlfn.SWITCH(tbl_analysis_tickets[[#This Row],[priority]],
"Urgent",1,
"High",2,
"Medium",3,
"Low",4
)</f>
        <v>3</v>
      </c>
    </row>
    <row r="1561" spans="1:22" x14ac:dyDescent="0.25">
      <c r="A1561">
        <v>1560</v>
      </c>
      <c r="B1561" s="1">
        <v>45511</v>
      </c>
      <c r="C1561" t="s">
        <v>10</v>
      </c>
      <c r="D1561" t="s">
        <v>17</v>
      </c>
      <c r="E1561">
        <v>49</v>
      </c>
      <c r="F1561">
        <v>61</v>
      </c>
      <c r="G1561">
        <v>4.4000000000000004</v>
      </c>
      <c r="H1561" t="s">
        <v>12</v>
      </c>
      <c r="I1561" t="s">
        <v>13</v>
      </c>
      <c r="J1561" t="s">
        <v>11</v>
      </c>
      <c r="K1561">
        <f>_xlfn.XLOOKUP(tbl_analysis_tickets[[#This Row],[priority]],tbl_sla[priority],tbl_sla[Resolution SLA Hours])</f>
        <v>8</v>
      </c>
      <c r="L1561">
        <f>_xlfn.XLOOKUP(tbl_analysis_tickets[[#This Row],[priority]],tbl_sla[priority],tbl_sla[First Response SLA Minutes])</f>
        <v>30</v>
      </c>
      <c r="M1561" t="str">
        <f>IF(tbl_analysis_tickets[[#This Row],[resolution_time_hours]]&gt;tbl_analysis_tickets[[#This Row],[Resolution SLA Hours]],"Breached","Within SLA")</f>
        <v>Breached</v>
      </c>
      <c r="N1561" t="str">
        <f>IF(tbl_analysis_tickets[[#This Row],[first_response_minutes]]&gt;tbl_analysis_tickets[[#This Row],[First Response SLA Minutes]],"Breached","Within SLA")</f>
        <v>Breached</v>
      </c>
      <c r="O1561" t="str" cm="1">
        <f t="array" ref="O1561">_xlfn.IFS(
tbl_analysis_tickets[[#This Row],[agent_experience_years]]&lt;=2,"Junior",
tbl_analysis_tickets[[#This Row],[agent_experience_years]]&lt;=5,"Mid-Level",
tbl_analysis_tickets[[#This Row],[agent_experience_years]]&lt;=8,"Senior",
tbl_analysis_tickets[[#This Row],[agent_experience_years]]&gt;8,"Expert"
)</f>
        <v>Mid-Level</v>
      </c>
      <c r="P1561" cm="1">
        <f t="array" ref="P1561">_xlfn.SWITCH(tbl_analysis_tickets[[#This Row],[customer_satisfaction]],
"Low",1,
"Medium",2,
"High",3
)</f>
        <v>1</v>
      </c>
      <c r="Q1561">
        <f>IF(tbl_analysis_tickets[[#This Row],[reopened]]="Yes",1,0)</f>
        <v>1</v>
      </c>
      <c r="R1561" t="str" cm="1">
        <f t="array" ref="R1561">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561" t="str" cm="1">
        <f t="array" ref="S156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561" t="str">
        <f>TEXT(tbl_analysis_tickets[[#This Row],[created_date]],"mmm-yyyy")</f>
        <v>Aug-2024</v>
      </c>
      <c r="U1561" t="str">
        <f>TEXT(tbl_analysis_tickets[[#This Row],[created_date]],"dddd")</f>
        <v>Wednesday</v>
      </c>
      <c r="V1561" cm="1">
        <f t="array" ref="V1561">_xlfn.SWITCH(tbl_analysis_tickets[[#This Row],[priority]],
"Urgent",1,
"High",2,
"Medium",3,
"Low",4
)</f>
        <v>1</v>
      </c>
    </row>
    <row r="1562" spans="1:22" x14ac:dyDescent="0.25">
      <c r="A1562">
        <v>1561</v>
      </c>
      <c r="B1562" s="1">
        <v>45297</v>
      </c>
      <c r="C1562" t="s">
        <v>10</v>
      </c>
      <c r="D1562" t="s">
        <v>20</v>
      </c>
      <c r="E1562">
        <v>146</v>
      </c>
      <c r="F1562">
        <v>16</v>
      </c>
      <c r="G1562">
        <v>8.8000000000000007</v>
      </c>
      <c r="H1562" t="s">
        <v>18</v>
      </c>
      <c r="I1562" t="s">
        <v>13</v>
      </c>
      <c r="J1562" t="s">
        <v>11</v>
      </c>
      <c r="K1562">
        <f>_xlfn.XLOOKUP(tbl_analysis_tickets[[#This Row],[priority]],tbl_sla[priority],tbl_sla[Resolution SLA Hours])</f>
        <v>24</v>
      </c>
      <c r="L1562">
        <f>_xlfn.XLOOKUP(tbl_analysis_tickets[[#This Row],[priority]],tbl_sla[priority],tbl_sla[First Response SLA Minutes])</f>
        <v>60</v>
      </c>
      <c r="M1562" t="str">
        <f>IF(tbl_analysis_tickets[[#This Row],[resolution_time_hours]]&gt;tbl_analysis_tickets[[#This Row],[Resolution SLA Hours]],"Breached","Within SLA")</f>
        <v>Within SLA</v>
      </c>
      <c r="N1562" t="str">
        <f>IF(tbl_analysis_tickets[[#This Row],[first_response_minutes]]&gt;tbl_analysis_tickets[[#This Row],[First Response SLA Minutes]],"Breached","Within SLA")</f>
        <v>Breached</v>
      </c>
      <c r="O1562" t="str" cm="1">
        <f t="array" ref="O1562">_xlfn.IFS(
tbl_analysis_tickets[[#This Row],[agent_experience_years]]&lt;=2,"Junior",
tbl_analysis_tickets[[#This Row],[agent_experience_years]]&lt;=5,"Mid-Level",
tbl_analysis_tickets[[#This Row],[agent_experience_years]]&lt;=8,"Senior",
tbl_analysis_tickets[[#This Row],[agent_experience_years]]&gt;8,"Expert"
)</f>
        <v>Expert</v>
      </c>
      <c r="P1562" cm="1">
        <f t="array" ref="P1562">_xlfn.SWITCH(tbl_analysis_tickets[[#This Row],[customer_satisfaction]],
"Low",1,
"Medium",2,
"High",3
)</f>
        <v>1</v>
      </c>
      <c r="Q1562">
        <f>IF(tbl_analysis_tickets[[#This Row],[reopened]]="Yes",1,0)</f>
        <v>0</v>
      </c>
      <c r="R1562" t="str" cm="1">
        <f t="array" ref="R1562">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562" t="str" cm="1">
        <f t="array" ref="S156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562" t="str">
        <f>TEXT(tbl_analysis_tickets[[#This Row],[created_date]],"mmm-yyyy")</f>
        <v>Jan-2024</v>
      </c>
      <c r="U1562" t="str">
        <f>TEXT(tbl_analysis_tickets[[#This Row],[created_date]],"dddd")</f>
        <v>Saturday</v>
      </c>
      <c r="V1562" cm="1">
        <f t="array" ref="V1562">_xlfn.SWITCH(tbl_analysis_tickets[[#This Row],[priority]],
"Urgent",1,
"High",2,
"Medium",3,
"Low",4
)</f>
        <v>2</v>
      </c>
    </row>
    <row r="1563" spans="1:22" x14ac:dyDescent="0.25">
      <c r="A1563">
        <v>1562</v>
      </c>
      <c r="B1563" s="1">
        <v>45334</v>
      </c>
      <c r="C1563" t="s">
        <v>23</v>
      </c>
      <c r="D1563" t="s">
        <v>15</v>
      </c>
      <c r="E1563">
        <v>152</v>
      </c>
      <c r="F1563">
        <v>13</v>
      </c>
      <c r="G1563">
        <v>3.5</v>
      </c>
      <c r="H1563" t="s">
        <v>12</v>
      </c>
      <c r="I1563" t="s">
        <v>13</v>
      </c>
      <c r="J1563" t="s">
        <v>11</v>
      </c>
      <c r="K1563">
        <f>_xlfn.XLOOKUP(tbl_analysis_tickets[[#This Row],[priority]],tbl_sla[priority],tbl_sla[Resolution SLA Hours])</f>
        <v>48</v>
      </c>
      <c r="L1563">
        <f>_xlfn.XLOOKUP(tbl_analysis_tickets[[#This Row],[priority]],tbl_sla[priority],tbl_sla[First Response SLA Minutes])</f>
        <v>120</v>
      </c>
      <c r="M1563" t="str">
        <f>IF(tbl_analysis_tickets[[#This Row],[resolution_time_hours]]&gt;tbl_analysis_tickets[[#This Row],[Resolution SLA Hours]],"Breached","Within SLA")</f>
        <v>Within SLA</v>
      </c>
      <c r="N1563" t="str">
        <f>IF(tbl_analysis_tickets[[#This Row],[first_response_minutes]]&gt;tbl_analysis_tickets[[#This Row],[First Response SLA Minutes]],"Breached","Within SLA")</f>
        <v>Breached</v>
      </c>
      <c r="O1563" t="str" cm="1">
        <f t="array" ref="O1563">_xlfn.IFS(
tbl_analysis_tickets[[#This Row],[agent_experience_years]]&lt;=2,"Junior",
tbl_analysis_tickets[[#This Row],[agent_experience_years]]&lt;=5,"Mid-Level",
tbl_analysis_tickets[[#This Row],[agent_experience_years]]&lt;=8,"Senior",
tbl_analysis_tickets[[#This Row],[agent_experience_years]]&gt;8,"Expert"
)</f>
        <v>Mid-Level</v>
      </c>
      <c r="P1563" cm="1">
        <f t="array" ref="P1563">_xlfn.SWITCH(tbl_analysis_tickets[[#This Row],[customer_satisfaction]],
"Low",1,
"Medium",2,
"High",3
)</f>
        <v>1</v>
      </c>
      <c r="Q1563">
        <f>IF(tbl_analysis_tickets[[#This Row],[reopened]]="Yes",1,0)</f>
        <v>1</v>
      </c>
      <c r="R1563" t="str" cm="1">
        <f t="array" ref="R1563">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563" t="str" cm="1">
        <f t="array" ref="S156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563" t="str">
        <f>TEXT(tbl_analysis_tickets[[#This Row],[created_date]],"mmm-yyyy")</f>
        <v>Feb-2024</v>
      </c>
      <c r="U1563" t="str">
        <f>TEXT(tbl_analysis_tickets[[#This Row],[created_date]],"dddd")</f>
        <v>Monday</v>
      </c>
      <c r="V1563" cm="1">
        <f t="array" ref="V1563">_xlfn.SWITCH(tbl_analysis_tickets[[#This Row],[priority]],
"Urgent",1,
"High",2,
"Medium",3,
"Low",4
)</f>
        <v>3</v>
      </c>
    </row>
    <row r="1564" spans="1:22" x14ac:dyDescent="0.25">
      <c r="A1564">
        <v>1563</v>
      </c>
      <c r="B1564" s="1">
        <v>45637</v>
      </c>
      <c r="C1564" t="s">
        <v>23</v>
      </c>
      <c r="D1564" t="s">
        <v>20</v>
      </c>
      <c r="E1564">
        <v>78</v>
      </c>
      <c r="F1564">
        <v>15</v>
      </c>
      <c r="G1564">
        <v>9.6</v>
      </c>
      <c r="H1564" t="s">
        <v>18</v>
      </c>
      <c r="I1564" t="s">
        <v>19</v>
      </c>
      <c r="J1564" t="s">
        <v>11</v>
      </c>
      <c r="K1564">
        <f>_xlfn.XLOOKUP(tbl_analysis_tickets[[#This Row],[priority]],tbl_sla[priority],tbl_sla[Resolution SLA Hours])</f>
        <v>24</v>
      </c>
      <c r="L1564">
        <f>_xlfn.XLOOKUP(tbl_analysis_tickets[[#This Row],[priority]],tbl_sla[priority],tbl_sla[First Response SLA Minutes])</f>
        <v>60</v>
      </c>
      <c r="M1564" t="str">
        <f>IF(tbl_analysis_tickets[[#This Row],[resolution_time_hours]]&gt;tbl_analysis_tickets[[#This Row],[Resolution SLA Hours]],"Breached","Within SLA")</f>
        <v>Within SLA</v>
      </c>
      <c r="N1564" t="str">
        <f>IF(tbl_analysis_tickets[[#This Row],[first_response_minutes]]&gt;tbl_analysis_tickets[[#This Row],[First Response SLA Minutes]],"Breached","Within SLA")</f>
        <v>Breached</v>
      </c>
      <c r="O1564" t="str" cm="1">
        <f t="array" ref="O1564">_xlfn.IFS(
tbl_analysis_tickets[[#This Row],[agent_experience_years]]&lt;=2,"Junior",
tbl_analysis_tickets[[#This Row],[agent_experience_years]]&lt;=5,"Mid-Level",
tbl_analysis_tickets[[#This Row],[agent_experience_years]]&lt;=8,"Senior",
tbl_analysis_tickets[[#This Row],[agent_experience_years]]&gt;8,"Expert"
)</f>
        <v>Expert</v>
      </c>
      <c r="P1564" cm="1">
        <f t="array" ref="P1564">_xlfn.SWITCH(tbl_analysis_tickets[[#This Row],[customer_satisfaction]],
"Low",1,
"Medium",2,
"High",3
)</f>
        <v>1</v>
      </c>
      <c r="Q1564">
        <f>IF(tbl_analysis_tickets[[#This Row],[reopened]]="Yes",1,0)</f>
        <v>0</v>
      </c>
      <c r="R1564" t="str" cm="1">
        <f t="array" ref="R1564">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564" t="str" cm="1">
        <f t="array" ref="S156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564" t="str">
        <f>TEXT(tbl_analysis_tickets[[#This Row],[created_date]],"mmm-yyyy")</f>
        <v>Dec-2024</v>
      </c>
      <c r="U1564" t="str">
        <f>TEXT(tbl_analysis_tickets[[#This Row],[created_date]],"dddd")</f>
        <v>Wednesday</v>
      </c>
      <c r="V1564" cm="1">
        <f t="array" ref="V1564">_xlfn.SWITCH(tbl_analysis_tickets[[#This Row],[priority]],
"Urgent",1,
"High",2,
"Medium",3,
"Low",4
)</f>
        <v>2</v>
      </c>
    </row>
    <row r="1565" spans="1:22" x14ac:dyDescent="0.25">
      <c r="A1565">
        <v>1564</v>
      </c>
      <c r="B1565" s="1">
        <v>45624</v>
      </c>
      <c r="C1565" t="s">
        <v>14</v>
      </c>
      <c r="D1565" t="s">
        <v>20</v>
      </c>
      <c r="E1565">
        <v>86</v>
      </c>
      <c r="F1565">
        <v>68</v>
      </c>
      <c r="G1565">
        <v>4</v>
      </c>
      <c r="H1565" t="s">
        <v>18</v>
      </c>
      <c r="I1565" t="s">
        <v>16</v>
      </c>
      <c r="J1565" t="s">
        <v>11</v>
      </c>
      <c r="K1565">
        <f>_xlfn.XLOOKUP(tbl_analysis_tickets[[#This Row],[priority]],tbl_sla[priority],tbl_sla[Resolution SLA Hours])</f>
        <v>24</v>
      </c>
      <c r="L1565">
        <f>_xlfn.XLOOKUP(tbl_analysis_tickets[[#This Row],[priority]],tbl_sla[priority],tbl_sla[First Response SLA Minutes])</f>
        <v>60</v>
      </c>
      <c r="M1565" t="str">
        <f>IF(tbl_analysis_tickets[[#This Row],[resolution_time_hours]]&gt;tbl_analysis_tickets[[#This Row],[Resolution SLA Hours]],"Breached","Within SLA")</f>
        <v>Breached</v>
      </c>
      <c r="N1565" t="str">
        <f>IF(tbl_analysis_tickets[[#This Row],[first_response_minutes]]&gt;tbl_analysis_tickets[[#This Row],[First Response SLA Minutes]],"Breached","Within SLA")</f>
        <v>Breached</v>
      </c>
      <c r="O1565" t="str" cm="1">
        <f t="array" ref="O1565">_xlfn.IFS(
tbl_analysis_tickets[[#This Row],[agent_experience_years]]&lt;=2,"Junior",
tbl_analysis_tickets[[#This Row],[agent_experience_years]]&lt;=5,"Mid-Level",
tbl_analysis_tickets[[#This Row],[agent_experience_years]]&lt;=8,"Senior",
tbl_analysis_tickets[[#This Row],[agent_experience_years]]&gt;8,"Expert"
)</f>
        <v>Mid-Level</v>
      </c>
      <c r="P1565" cm="1">
        <f t="array" ref="P1565">_xlfn.SWITCH(tbl_analysis_tickets[[#This Row],[customer_satisfaction]],
"Low",1,
"Medium",2,
"High",3
)</f>
        <v>1</v>
      </c>
      <c r="Q1565">
        <f>IF(tbl_analysis_tickets[[#This Row],[reopened]]="Yes",1,0)</f>
        <v>0</v>
      </c>
      <c r="R1565" t="str" cm="1">
        <f t="array" ref="R1565">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565" t="str" cm="1">
        <f t="array" ref="S156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565" t="str">
        <f>TEXT(tbl_analysis_tickets[[#This Row],[created_date]],"mmm-yyyy")</f>
        <v>Nov-2024</v>
      </c>
      <c r="U1565" t="str">
        <f>TEXT(tbl_analysis_tickets[[#This Row],[created_date]],"dddd")</f>
        <v>Thursday</v>
      </c>
      <c r="V1565" cm="1">
        <f t="array" ref="V1565">_xlfn.SWITCH(tbl_analysis_tickets[[#This Row],[priority]],
"Urgent",1,
"High",2,
"Medium",3,
"Low",4
)</f>
        <v>2</v>
      </c>
    </row>
    <row r="1566" spans="1:22" x14ac:dyDescent="0.25">
      <c r="A1566">
        <v>1565</v>
      </c>
      <c r="B1566" s="1">
        <v>45469</v>
      </c>
      <c r="C1566" t="s">
        <v>21</v>
      </c>
      <c r="D1566" t="s">
        <v>11</v>
      </c>
      <c r="E1566">
        <v>207</v>
      </c>
      <c r="F1566">
        <v>68</v>
      </c>
      <c r="G1566">
        <v>8.1</v>
      </c>
      <c r="H1566" t="s">
        <v>12</v>
      </c>
      <c r="I1566" t="s">
        <v>19</v>
      </c>
      <c r="J1566" t="s">
        <v>11</v>
      </c>
      <c r="K1566">
        <f>_xlfn.XLOOKUP(tbl_analysis_tickets[[#This Row],[priority]],tbl_sla[priority],tbl_sla[Resolution SLA Hours])</f>
        <v>72</v>
      </c>
      <c r="L1566">
        <f>_xlfn.XLOOKUP(tbl_analysis_tickets[[#This Row],[priority]],tbl_sla[priority],tbl_sla[First Response SLA Minutes])</f>
        <v>240</v>
      </c>
      <c r="M1566" t="str">
        <f>IF(tbl_analysis_tickets[[#This Row],[resolution_time_hours]]&gt;tbl_analysis_tickets[[#This Row],[Resolution SLA Hours]],"Breached","Within SLA")</f>
        <v>Within SLA</v>
      </c>
      <c r="N1566" t="str">
        <f>IF(tbl_analysis_tickets[[#This Row],[first_response_minutes]]&gt;tbl_analysis_tickets[[#This Row],[First Response SLA Minutes]],"Breached","Within SLA")</f>
        <v>Within SLA</v>
      </c>
      <c r="O1566" t="str" cm="1">
        <f t="array" ref="O1566">_xlfn.IFS(
tbl_analysis_tickets[[#This Row],[agent_experience_years]]&lt;=2,"Junior",
tbl_analysis_tickets[[#This Row],[agent_experience_years]]&lt;=5,"Mid-Level",
tbl_analysis_tickets[[#This Row],[agent_experience_years]]&lt;=8,"Senior",
tbl_analysis_tickets[[#This Row],[agent_experience_years]]&gt;8,"Expert"
)</f>
        <v>Expert</v>
      </c>
      <c r="P1566" cm="1">
        <f t="array" ref="P1566">_xlfn.SWITCH(tbl_analysis_tickets[[#This Row],[customer_satisfaction]],
"Low",1,
"Medium",2,
"High",3
)</f>
        <v>1</v>
      </c>
      <c r="Q1566">
        <f>IF(tbl_analysis_tickets[[#This Row],[reopened]]="Yes",1,0)</f>
        <v>1</v>
      </c>
      <c r="R1566" t="str" cm="1">
        <f t="array" ref="R1566">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566" t="str" cm="1">
        <f t="array" ref="S156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566" t="str">
        <f>TEXT(tbl_analysis_tickets[[#This Row],[created_date]],"mmm-yyyy")</f>
        <v>Jun-2024</v>
      </c>
      <c r="U1566" t="str">
        <f>TEXT(tbl_analysis_tickets[[#This Row],[created_date]],"dddd")</f>
        <v>Wednesday</v>
      </c>
      <c r="V1566" cm="1">
        <f t="array" ref="V1566">_xlfn.SWITCH(tbl_analysis_tickets[[#This Row],[priority]],
"Urgent",1,
"High",2,
"Medium",3,
"Low",4
)</f>
        <v>4</v>
      </c>
    </row>
    <row r="1567" spans="1:22" x14ac:dyDescent="0.25">
      <c r="A1567">
        <v>1566</v>
      </c>
      <c r="B1567" s="1">
        <v>45298</v>
      </c>
      <c r="C1567" t="s">
        <v>21</v>
      </c>
      <c r="D1567" t="s">
        <v>11</v>
      </c>
      <c r="E1567">
        <v>9</v>
      </c>
      <c r="F1567">
        <v>33</v>
      </c>
      <c r="G1567">
        <v>3.2</v>
      </c>
      <c r="H1567" t="s">
        <v>18</v>
      </c>
      <c r="I1567" t="s">
        <v>16</v>
      </c>
      <c r="J1567" t="s">
        <v>15</v>
      </c>
      <c r="K1567">
        <f>_xlfn.XLOOKUP(tbl_analysis_tickets[[#This Row],[priority]],tbl_sla[priority],tbl_sla[Resolution SLA Hours])</f>
        <v>72</v>
      </c>
      <c r="L1567">
        <f>_xlfn.XLOOKUP(tbl_analysis_tickets[[#This Row],[priority]],tbl_sla[priority],tbl_sla[First Response SLA Minutes])</f>
        <v>240</v>
      </c>
      <c r="M1567" t="str">
        <f>IF(tbl_analysis_tickets[[#This Row],[resolution_time_hours]]&gt;tbl_analysis_tickets[[#This Row],[Resolution SLA Hours]],"Breached","Within SLA")</f>
        <v>Within SLA</v>
      </c>
      <c r="N1567" t="str">
        <f>IF(tbl_analysis_tickets[[#This Row],[first_response_minutes]]&gt;tbl_analysis_tickets[[#This Row],[First Response SLA Minutes]],"Breached","Within SLA")</f>
        <v>Within SLA</v>
      </c>
      <c r="O1567" t="str" cm="1">
        <f t="array" ref="O1567">_xlfn.IFS(
tbl_analysis_tickets[[#This Row],[agent_experience_years]]&lt;=2,"Junior",
tbl_analysis_tickets[[#This Row],[agent_experience_years]]&lt;=5,"Mid-Level",
tbl_analysis_tickets[[#This Row],[agent_experience_years]]&lt;=8,"Senior",
tbl_analysis_tickets[[#This Row],[agent_experience_years]]&gt;8,"Expert"
)</f>
        <v>Mid-Level</v>
      </c>
      <c r="P1567" cm="1">
        <f t="array" ref="P1567">_xlfn.SWITCH(tbl_analysis_tickets[[#This Row],[customer_satisfaction]],
"Low",1,
"Medium",2,
"High",3
)</f>
        <v>2</v>
      </c>
      <c r="Q1567">
        <f>IF(tbl_analysis_tickets[[#This Row],[reopened]]="Yes",1,0)</f>
        <v>0</v>
      </c>
      <c r="R1567" t="str" cm="1">
        <f t="array" ref="R1567">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1567" t="str" cm="1">
        <f t="array" ref="S156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567" t="str">
        <f>TEXT(tbl_analysis_tickets[[#This Row],[created_date]],"mmm-yyyy")</f>
        <v>Jan-2024</v>
      </c>
      <c r="U1567" t="str">
        <f>TEXT(tbl_analysis_tickets[[#This Row],[created_date]],"dddd")</f>
        <v>Sunday</v>
      </c>
      <c r="V1567" cm="1">
        <f t="array" ref="V1567">_xlfn.SWITCH(tbl_analysis_tickets[[#This Row],[priority]],
"Urgent",1,
"High",2,
"Medium",3,
"Low",4
)</f>
        <v>4</v>
      </c>
    </row>
    <row r="1568" spans="1:22" x14ac:dyDescent="0.25">
      <c r="A1568">
        <v>1567</v>
      </c>
      <c r="B1568" s="1">
        <v>45311</v>
      </c>
      <c r="C1568" t="s">
        <v>14</v>
      </c>
      <c r="D1568" t="s">
        <v>11</v>
      </c>
      <c r="E1568">
        <v>189</v>
      </c>
      <c r="F1568">
        <v>48</v>
      </c>
      <c r="G1568">
        <v>9.6999999999999993</v>
      </c>
      <c r="H1568" t="s">
        <v>12</v>
      </c>
      <c r="I1568" t="s">
        <v>13</v>
      </c>
      <c r="J1568" t="s">
        <v>11</v>
      </c>
      <c r="K1568">
        <f>_xlfn.XLOOKUP(tbl_analysis_tickets[[#This Row],[priority]],tbl_sla[priority],tbl_sla[Resolution SLA Hours])</f>
        <v>72</v>
      </c>
      <c r="L1568">
        <f>_xlfn.XLOOKUP(tbl_analysis_tickets[[#This Row],[priority]],tbl_sla[priority],tbl_sla[First Response SLA Minutes])</f>
        <v>240</v>
      </c>
      <c r="M1568" t="str">
        <f>IF(tbl_analysis_tickets[[#This Row],[resolution_time_hours]]&gt;tbl_analysis_tickets[[#This Row],[Resolution SLA Hours]],"Breached","Within SLA")</f>
        <v>Within SLA</v>
      </c>
      <c r="N1568" t="str">
        <f>IF(tbl_analysis_tickets[[#This Row],[first_response_minutes]]&gt;tbl_analysis_tickets[[#This Row],[First Response SLA Minutes]],"Breached","Within SLA")</f>
        <v>Within SLA</v>
      </c>
      <c r="O1568" t="str" cm="1">
        <f t="array" ref="O1568">_xlfn.IFS(
tbl_analysis_tickets[[#This Row],[agent_experience_years]]&lt;=2,"Junior",
tbl_analysis_tickets[[#This Row],[agent_experience_years]]&lt;=5,"Mid-Level",
tbl_analysis_tickets[[#This Row],[agent_experience_years]]&lt;=8,"Senior",
tbl_analysis_tickets[[#This Row],[agent_experience_years]]&gt;8,"Expert"
)</f>
        <v>Expert</v>
      </c>
      <c r="P1568" cm="1">
        <f t="array" ref="P1568">_xlfn.SWITCH(tbl_analysis_tickets[[#This Row],[customer_satisfaction]],
"Low",1,
"Medium",2,
"High",3
)</f>
        <v>1</v>
      </c>
      <c r="Q1568">
        <f>IF(tbl_analysis_tickets[[#This Row],[reopened]]="Yes",1,0)</f>
        <v>1</v>
      </c>
      <c r="R1568" t="str" cm="1">
        <f t="array" ref="R1568">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568" t="str" cm="1">
        <f t="array" ref="S156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568" t="str">
        <f>TEXT(tbl_analysis_tickets[[#This Row],[created_date]],"mmm-yyyy")</f>
        <v>Jan-2024</v>
      </c>
      <c r="U1568" t="str">
        <f>TEXT(tbl_analysis_tickets[[#This Row],[created_date]],"dddd")</f>
        <v>Saturday</v>
      </c>
      <c r="V1568" cm="1">
        <f t="array" ref="V1568">_xlfn.SWITCH(tbl_analysis_tickets[[#This Row],[priority]],
"Urgent",1,
"High",2,
"Medium",3,
"Low",4
)</f>
        <v>4</v>
      </c>
    </row>
    <row r="1569" spans="1:22" x14ac:dyDescent="0.25">
      <c r="A1569">
        <v>1568</v>
      </c>
      <c r="B1569" s="1">
        <v>45578</v>
      </c>
      <c r="C1569" t="s">
        <v>21</v>
      </c>
      <c r="D1569" t="s">
        <v>11</v>
      </c>
      <c r="E1569">
        <v>153</v>
      </c>
      <c r="F1569">
        <v>20</v>
      </c>
      <c r="G1569">
        <v>2.7</v>
      </c>
      <c r="H1569" t="s">
        <v>12</v>
      </c>
      <c r="I1569" t="s">
        <v>16</v>
      </c>
      <c r="J1569" t="s">
        <v>11</v>
      </c>
      <c r="K1569">
        <f>_xlfn.XLOOKUP(tbl_analysis_tickets[[#This Row],[priority]],tbl_sla[priority],tbl_sla[Resolution SLA Hours])</f>
        <v>72</v>
      </c>
      <c r="L1569">
        <f>_xlfn.XLOOKUP(tbl_analysis_tickets[[#This Row],[priority]],tbl_sla[priority],tbl_sla[First Response SLA Minutes])</f>
        <v>240</v>
      </c>
      <c r="M1569" t="str">
        <f>IF(tbl_analysis_tickets[[#This Row],[resolution_time_hours]]&gt;tbl_analysis_tickets[[#This Row],[Resolution SLA Hours]],"Breached","Within SLA")</f>
        <v>Within SLA</v>
      </c>
      <c r="N1569" t="str">
        <f>IF(tbl_analysis_tickets[[#This Row],[first_response_minutes]]&gt;tbl_analysis_tickets[[#This Row],[First Response SLA Minutes]],"Breached","Within SLA")</f>
        <v>Within SLA</v>
      </c>
      <c r="O1569" t="str" cm="1">
        <f t="array" ref="O1569">_xlfn.IFS(
tbl_analysis_tickets[[#This Row],[agent_experience_years]]&lt;=2,"Junior",
tbl_analysis_tickets[[#This Row],[agent_experience_years]]&lt;=5,"Mid-Level",
tbl_analysis_tickets[[#This Row],[agent_experience_years]]&lt;=8,"Senior",
tbl_analysis_tickets[[#This Row],[agent_experience_years]]&gt;8,"Expert"
)</f>
        <v>Mid-Level</v>
      </c>
      <c r="P1569" cm="1">
        <f t="array" ref="P1569">_xlfn.SWITCH(tbl_analysis_tickets[[#This Row],[customer_satisfaction]],
"Low",1,
"Medium",2,
"High",3
)</f>
        <v>1</v>
      </c>
      <c r="Q1569">
        <f>IF(tbl_analysis_tickets[[#This Row],[reopened]]="Yes",1,0)</f>
        <v>1</v>
      </c>
      <c r="R1569" t="str" cm="1">
        <f t="array" ref="R1569">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569" t="str" cm="1">
        <f t="array" ref="S156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569" t="str">
        <f>TEXT(tbl_analysis_tickets[[#This Row],[created_date]],"mmm-yyyy")</f>
        <v>Oct-2024</v>
      </c>
      <c r="U1569" t="str">
        <f>TEXT(tbl_analysis_tickets[[#This Row],[created_date]],"dddd")</f>
        <v>Sunday</v>
      </c>
      <c r="V1569" cm="1">
        <f t="array" ref="V1569">_xlfn.SWITCH(tbl_analysis_tickets[[#This Row],[priority]],
"Urgent",1,
"High",2,
"Medium",3,
"Low",4
)</f>
        <v>4</v>
      </c>
    </row>
    <row r="1570" spans="1:22" x14ac:dyDescent="0.25">
      <c r="A1570">
        <v>1569</v>
      </c>
      <c r="B1570" s="1">
        <v>45570</v>
      </c>
      <c r="C1570" t="s">
        <v>23</v>
      </c>
      <c r="D1570" t="s">
        <v>17</v>
      </c>
      <c r="E1570">
        <v>150</v>
      </c>
      <c r="F1570">
        <v>63</v>
      </c>
      <c r="G1570">
        <v>9.4</v>
      </c>
      <c r="H1570" t="s">
        <v>12</v>
      </c>
      <c r="I1570" t="s">
        <v>13</v>
      </c>
      <c r="J1570" t="s">
        <v>11</v>
      </c>
      <c r="K1570">
        <f>_xlfn.XLOOKUP(tbl_analysis_tickets[[#This Row],[priority]],tbl_sla[priority],tbl_sla[Resolution SLA Hours])</f>
        <v>8</v>
      </c>
      <c r="L1570">
        <f>_xlfn.XLOOKUP(tbl_analysis_tickets[[#This Row],[priority]],tbl_sla[priority],tbl_sla[First Response SLA Minutes])</f>
        <v>30</v>
      </c>
      <c r="M1570" t="str">
        <f>IF(tbl_analysis_tickets[[#This Row],[resolution_time_hours]]&gt;tbl_analysis_tickets[[#This Row],[Resolution SLA Hours]],"Breached","Within SLA")</f>
        <v>Breached</v>
      </c>
      <c r="N1570" t="str">
        <f>IF(tbl_analysis_tickets[[#This Row],[first_response_minutes]]&gt;tbl_analysis_tickets[[#This Row],[First Response SLA Minutes]],"Breached","Within SLA")</f>
        <v>Breached</v>
      </c>
      <c r="O1570" t="str" cm="1">
        <f t="array" ref="O1570">_xlfn.IFS(
tbl_analysis_tickets[[#This Row],[agent_experience_years]]&lt;=2,"Junior",
tbl_analysis_tickets[[#This Row],[agent_experience_years]]&lt;=5,"Mid-Level",
tbl_analysis_tickets[[#This Row],[agent_experience_years]]&lt;=8,"Senior",
tbl_analysis_tickets[[#This Row],[agent_experience_years]]&gt;8,"Expert"
)</f>
        <v>Expert</v>
      </c>
      <c r="P1570" cm="1">
        <f t="array" ref="P1570">_xlfn.SWITCH(tbl_analysis_tickets[[#This Row],[customer_satisfaction]],
"Low",1,
"Medium",2,
"High",3
)</f>
        <v>1</v>
      </c>
      <c r="Q1570">
        <f>IF(tbl_analysis_tickets[[#This Row],[reopened]]="Yes",1,0)</f>
        <v>1</v>
      </c>
      <c r="R1570" t="str" cm="1">
        <f t="array" ref="R1570">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570" t="str" cm="1">
        <f t="array" ref="S157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570" t="str">
        <f>TEXT(tbl_analysis_tickets[[#This Row],[created_date]],"mmm-yyyy")</f>
        <v>Oct-2024</v>
      </c>
      <c r="U1570" t="str">
        <f>TEXT(tbl_analysis_tickets[[#This Row],[created_date]],"dddd")</f>
        <v>Saturday</v>
      </c>
      <c r="V1570" cm="1">
        <f t="array" ref="V1570">_xlfn.SWITCH(tbl_analysis_tickets[[#This Row],[priority]],
"Urgent",1,
"High",2,
"Medium",3,
"Low",4
)</f>
        <v>1</v>
      </c>
    </row>
    <row r="1571" spans="1:22" x14ac:dyDescent="0.25">
      <c r="A1571">
        <v>1570</v>
      </c>
      <c r="B1571" s="1">
        <v>45561</v>
      </c>
      <c r="C1571" t="s">
        <v>14</v>
      </c>
      <c r="D1571" t="s">
        <v>11</v>
      </c>
      <c r="E1571">
        <v>104</v>
      </c>
      <c r="F1571">
        <v>50</v>
      </c>
      <c r="G1571">
        <v>3</v>
      </c>
      <c r="H1571" t="s">
        <v>18</v>
      </c>
      <c r="I1571" t="s">
        <v>13</v>
      </c>
      <c r="J1571" t="s">
        <v>11</v>
      </c>
      <c r="K1571">
        <f>_xlfn.XLOOKUP(tbl_analysis_tickets[[#This Row],[priority]],tbl_sla[priority],tbl_sla[Resolution SLA Hours])</f>
        <v>72</v>
      </c>
      <c r="L1571">
        <f>_xlfn.XLOOKUP(tbl_analysis_tickets[[#This Row],[priority]],tbl_sla[priority],tbl_sla[First Response SLA Minutes])</f>
        <v>240</v>
      </c>
      <c r="M1571" t="str">
        <f>IF(tbl_analysis_tickets[[#This Row],[resolution_time_hours]]&gt;tbl_analysis_tickets[[#This Row],[Resolution SLA Hours]],"Breached","Within SLA")</f>
        <v>Within SLA</v>
      </c>
      <c r="N1571" t="str">
        <f>IF(tbl_analysis_tickets[[#This Row],[first_response_minutes]]&gt;tbl_analysis_tickets[[#This Row],[First Response SLA Minutes]],"Breached","Within SLA")</f>
        <v>Within SLA</v>
      </c>
      <c r="O1571" t="str" cm="1">
        <f t="array" ref="O1571">_xlfn.IFS(
tbl_analysis_tickets[[#This Row],[agent_experience_years]]&lt;=2,"Junior",
tbl_analysis_tickets[[#This Row],[agent_experience_years]]&lt;=5,"Mid-Level",
tbl_analysis_tickets[[#This Row],[agent_experience_years]]&lt;=8,"Senior",
tbl_analysis_tickets[[#This Row],[agent_experience_years]]&gt;8,"Expert"
)</f>
        <v>Mid-Level</v>
      </c>
      <c r="P1571" cm="1">
        <f t="array" ref="P1571">_xlfn.SWITCH(tbl_analysis_tickets[[#This Row],[customer_satisfaction]],
"Low",1,
"Medium",2,
"High",3
)</f>
        <v>1</v>
      </c>
      <c r="Q1571">
        <f>IF(tbl_analysis_tickets[[#This Row],[reopened]]="Yes",1,0)</f>
        <v>0</v>
      </c>
      <c r="R1571" t="str" cm="1">
        <f t="array" ref="R1571">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571" t="str" cm="1">
        <f t="array" ref="S157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571" t="str">
        <f>TEXT(tbl_analysis_tickets[[#This Row],[created_date]],"mmm-yyyy")</f>
        <v>Sep-2024</v>
      </c>
      <c r="U1571" t="str">
        <f>TEXT(tbl_analysis_tickets[[#This Row],[created_date]],"dddd")</f>
        <v>Thursday</v>
      </c>
      <c r="V1571" cm="1">
        <f t="array" ref="V1571">_xlfn.SWITCH(tbl_analysis_tickets[[#This Row],[priority]],
"Urgent",1,
"High",2,
"Medium",3,
"Low",4
)</f>
        <v>4</v>
      </c>
    </row>
    <row r="1572" spans="1:22" x14ac:dyDescent="0.25">
      <c r="A1572">
        <v>1571</v>
      </c>
      <c r="B1572" s="1">
        <v>45444</v>
      </c>
      <c r="C1572" t="s">
        <v>22</v>
      </c>
      <c r="D1572" t="s">
        <v>11</v>
      </c>
      <c r="E1572">
        <v>183</v>
      </c>
      <c r="F1572">
        <v>48</v>
      </c>
      <c r="G1572">
        <v>8.4</v>
      </c>
      <c r="H1572" t="s">
        <v>12</v>
      </c>
      <c r="I1572" t="s">
        <v>13</v>
      </c>
      <c r="J1572" t="s">
        <v>11</v>
      </c>
      <c r="K1572">
        <f>_xlfn.XLOOKUP(tbl_analysis_tickets[[#This Row],[priority]],tbl_sla[priority],tbl_sla[Resolution SLA Hours])</f>
        <v>72</v>
      </c>
      <c r="L1572">
        <f>_xlfn.XLOOKUP(tbl_analysis_tickets[[#This Row],[priority]],tbl_sla[priority],tbl_sla[First Response SLA Minutes])</f>
        <v>240</v>
      </c>
      <c r="M1572" t="str">
        <f>IF(tbl_analysis_tickets[[#This Row],[resolution_time_hours]]&gt;tbl_analysis_tickets[[#This Row],[Resolution SLA Hours]],"Breached","Within SLA")</f>
        <v>Within SLA</v>
      </c>
      <c r="N1572" t="str">
        <f>IF(tbl_analysis_tickets[[#This Row],[first_response_minutes]]&gt;tbl_analysis_tickets[[#This Row],[First Response SLA Minutes]],"Breached","Within SLA")</f>
        <v>Within SLA</v>
      </c>
      <c r="O1572" t="str" cm="1">
        <f t="array" ref="O1572">_xlfn.IFS(
tbl_analysis_tickets[[#This Row],[agent_experience_years]]&lt;=2,"Junior",
tbl_analysis_tickets[[#This Row],[agent_experience_years]]&lt;=5,"Mid-Level",
tbl_analysis_tickets[[#This Row],[agent_experience_years]]&lt;=8,"Senior",
tbl_analysis_tickets[[#This Row],[agent_experience_years]]&gt;8,"Expert"
)</f>
        <v>Expert</v>
      </c>
      <c r="P1572" cm="1">
        <f t="array" ref="P1572">_xlfn.SWITCH(tbl_analysis_tickets[[#This Row],[customer_satisfaction]],
"Low",1,
"Medium",2,
"High",3
)</f>
        <v>1</v>
      </c>
      <c r="Q1572">
        <f>IF(tbl_analysis_tickets[[#This Row],[reopened]]="Yes",1,0)</f>
        <v>1</v>
      </c>
      <c r="R1572" t="str" cm="1">
        <f t="array" ref="R1572">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572" t="str" cm="1">
        <f t="array" ref="S157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572" t="str">
        <f>TEXT(tbl_analysis_tickets[[#This Row],[created_date]],"mmm-yyyy")</f>
        <v>Jun-2024</v>
      </c>
      <c r="U1572" t="str">
        <f>TEXT(tbl_analysis_tickets[[#This Row],[created_date]],"dddd")</f>
        <v>Saturday</v>
      </c>
      <c r="V1572" cm="1">
        <f t="array" ref="V1572">_xlfn.SWITCH(tbl_analysis_tickets[[#This Row],[priority]],
"Urgent",1,
"High",2,
"Medium",3,
"Low",4
)</f>
        <v>4</v>
      </c>
    </row>
    <row r="1573" spans="1:22" x14ac:dyDescent="0.25">
      <c r="A1573">
        <v>1572</v>
      </c>
      <c r="B1573" s="1">
        <v>45409</v>
      </c>
      <c r="C1573" t="s">
        <v>10</v>
      </c>
      <c r="D1573" t="s">
        <v>17</v>
      </c>
      <c r="E1573">
        <v>162</v>
      </c>
      <c r="F1573">
        <v>45</v>
      </c>
      <c r="G1573">
        <v>5.9</v>
      </c>
      <c r="H1573" t="s">
        <v>12</v>
      </c>
      <c r="I1573" t="s">
        <v>13</v>
      </c>
      <c r="J1573" t="s">
        <v>11</v>
      </c>
      <c r="K1573">
        <f>_xlfn.XLOOKUP(tbl_analysis_tickets[[#This Row],[priority]],tbl_sla[priority],tbl_sla[Resolution SLA Hours])</f>
        <v>8</v>
      </c>
      <c r="L1573">
        <f>_xlfn.XLOOKUP(tbl_analysis_tickets[[#This Row],[priority]],tbl_sla[priority],tbl_sla[First Response SLA Minutes])</f>
        <v>30</v>
      </c>
      <c r="M1573" t="str">
        <f>IF(tbl_analysis_tickets[[#This Row],[resolution_time_hours]]&gt;tbl_analysis_tickets[[#This Row],[Resolution SLA Hours]],"Breached","Within SLA")</f>
        <v>Breached</v>
      </c>
      <c r="N1573" t="str">
        <f>IF(tbl_analysis_tickets[[#This Row],[first_response_minutes]]&gt;tbl_analysis_tickets[[#This Row],[First Response SLA Minutes]],"Breached","Within SLA")</f>
        <v>Breached</v>
      </c>
      <c r="O1573" t="str" cm="1">
        <f t="array" ref="O1573">_xlfn.IFS(
tbl_analysis_tickets[[#This Row],[agent_experience_years]]&lt;=2,"Junior",
tbl_analysis_tickets[[#This Row],[agent_experience_years]]&lt;=5,"Mid-Level",
tbl_analysis_tickets[[#This Row],[agent_experience_years]]&lt;=8,"Senior",
tbl_analysis_tickets[[#This Row],[agent_experience_years]]&gt;8,"Expert"
)</f>
        <v>Senior</v>
      </c>
      <c r="P1573" cm="1">
        <f t="array" ref="P1573">_xlfn.SWITCH(tbl_analysis_tickets[[#This Row],[customer_satisfaction]],
"Low",1,
"Medium",2,
"High",3
)</f>
        <v>1</v>
      </c>
      <c r="Q1573">
        <f>IF(tbl_analysis_tickets[[#This Row],[reopened]]="Yes",1,0)</f>
        <v>1</v>
      </c>
      <c r="R1573" t="str" cm="1">
        <f t="array" ref="R1573">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573" t="str" cm="1">
        <f t="array" ref="S157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573" t="str">
        <f>TEXT(tbl_analysis_tickets[[#This Row],[created_date]],"mmm-yyyy")</f>
        <v>Apr-2024</v>
      </c>
      <c r="U1573" t="str">
        <f>TEXT(tbl_analysis_tickets[[#This Row],[created_date]],"dddd")</f>
        <v>Saturday</v>
      </c>
      <c r="V1573" cm="1">
        <f t="array" ref="V1573">_xlfn.SWITCH(tbl_analysis_tickets[[#This Row],[priority]],
"Urgent",1,
"High",2,
"Medium",3,
"Low",4
)</f>
        <v>1</v>
      </c>
    </row>
    <row r="1574" spans="1:22" x14ac:dyDescent="0.25">
      <c r="A1574">
        <v>1573</v>
      </c>
      <c r="B1574" s="1">
        <v>45384</v>
      </c>
      <c r="C1574" t="s">
        <v>10</v>
      </c>
      <c r="D1574" t="s">
        <v>15</v>
      </c>
      <c r="E1574">
        <v>233</v>
      </c>
      <c r="F1574">
        <v>41</v>
      </c>
      <c r="G1574">
        <v>5.7</v>
      </c>
      <c r="H1574" t="s">
        <v>12</v>
      </c>
      <c r="I1574" t="s">
        <v>13</v>
      </c>
      <c r="J1574" t="s">
        <v>11</v>
      </c>
      <c r="K1574">
        <f>_xlfn.XLOOKUP(tbl_analysis_tickets[[#This Row],[priority]],tbl_sla[priority],tbl_sla[Resolution SLA Hours])</f>
        <v>48</v>
      </c>
      <c r="L1574">
        <f>_xlfn.XLOOKUP(tbl_analysis_tickets[[#This Row],[priority]],tbl_sla[priority],tbl_sla[First Response SLA Minutes])</f>
        <v>120</v>
      </c>
      <c r="M1574" t="str">
        <f>IF(tbl_analysis_tickets[[#This Row],[resolution_time_hours]]&gt;tbl_analysis_tickets[[#This Row],[Resolution SLA Hours]],"Breached","Within SLA")</f>
        <v>Within SLA</v>
      </c>
      <c r="N1574" t="str">
        <f>IF(tbl_analysis_tickets[[#This Row],[first_response_minutes]]&gt;tbl_analysis_tickets[[#This Row],[First Response SLA Minutes]],"Breached","Within SLA")</f>
        <v>Breached</v>
      </c>
      <c r="O1574" t="str" cm="1">
        <f t="array" ref="O1574">_xlfn.IFS(
tbl_analysis_tickets[[#This Row],[agent_experience_years]]&lt;=2,"Junior",
tbl_analysis_tickets[[#This Row],[agent_experience_years]]&lt;=5,"Mid-Level",
tbl_analysis_tickets[[#This Row],[agent_experience_years]]&lt;=8,"Senior",
tbl_analysis_tickets[[#This Row],[agent_experience_years]]&gt;8,"Expert"
)</f>
        <v>Senior</v>
      </c>
      <c r="P1574" cm="1">
        <f t="array" ref="P1574">_xlfn.SWITCH(tbl_analysis_tickets[[#This Row],[customer_satisfaction]],
"Low",1,
"Medium",2,
"High",3
)</f>
        <v>1</v>
      </c>
      <c r="Q1574">
        <f>IF(tbl_analysis_tickets[[#This Row],[reopened]]="Yes",1,0)</f>
        <v>1</v>
      </c>
      <c r="R1574" t="str" cm="1">
        <f t="array" ref="R1574">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574" t="str" cm="1">
        <f t="array" ref="S157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574" t="str">
        <f>TEXT(tbl_analysis_tickets[[#This Row],[created_date]],"mmm-yyyy")</f>
        <v>Apr-2024</v>
      </c>
      <c r="U1574" t="str">
        <f>TEXT(tbl_analysis_tickets[[#This Row],[created_date]],"dddd")</f>
        <v>Tuesday</v>
      </c>
      <c r="V1574" cm="1">
        <f t="array" ref="V1574">_xlfn.SWITCH(tbl_analysis_tickets[[#This Row],[priority]],
"Urgent",1,
"High",2,
"Medium",3,
"Low",4
)</f>
        <v>3</v>
      </c>
    </row>
    <row r="1575" spans="1:22" x14ac:dyDescent="0.25">
      <c r="A1575">
        <v>1574</v>
      </c>
      <c r="B1575" s="1">
        <v>45629</v>
      </c>
      <c r="C1575" t="s">
        <v>21</v>
      </c>
      <c r="D1575" t="s">
        <v>11</v>
      </c>
      <c r="E1575">
        <v>12</v>
      </c>
      <c r="F1575">
        <v>19</v>
      </c>
      <c r="G1575">
        <v>8.6999999999999993</v>
      </c>
      <c r="H1575" t="s">
        <v>18</v>
      </c>
      <c r="I1575" t="s">
        <v>13</v>
      </c>
      <c r="J1575" t="s">
        <v>20</v>
      </c>
      <c r="K1575">
        <f>_xlfn.XLOOKUP(tbl_analysis_tickets[[#This Row],[priority]],tbl_sla[priority],tbl_sla[Resolution SLA Hours])</f>
        <v>72</v>
      </c>
      <c r="L1575">
        <f>_xlfn.XLOOKUP(tbl_analysis_tickets[[#This Row],[priority]],tbl_sla[priority],tbl_sla[First Response SLA Minutes])</f>
        <v>240</v>
      </c>
      <c r="M1575" t="str">
        <f>IF(tbl_analysis_tickets[[#This Row],[resolution_time_hours]]&gt;tbl_analysis_tickets[[#This Row],[Resolution SLA Hours]],"Breached","Within SLA")</f>
        <v>Within SLA</v>
      </c>
      <c r="N1575" t="str">
        <f>IF(tbl_analysis_tickets[[#This Row],[first_response_minutes]]&gt;tbl_analysis_tickets[[#This Row],[First Response SLA Minutes]],"Breached","Within SLA")</f>
        <v>Within SLA</v>
      </c>
      <c r="O1575" t="str" cm="1">
        <f t="array" ref="O1575">_xlfn.IFS(
tbl_analysis_tickets[[#This Row],[agent_experience_years]]&lt;=2,"Junior",
tbl_analysis_tickets[[#This Row],[agent_experience_years]]&lt;=5,"Mid-Level",
tbl_analysis_tickets[[#This Row],[agent_experience_years]]&lt;=8,"Senior",
tbl_analysis_tickets[[#This Row],[agent_experience_years]]&gt;8,"Expert"
)</f>
        <v>Expert</v>
      </c>
      <c r="P1575" cm="1">
        <f t="array" ref="P1575">_xlfn.SWITCH(tbl_analysis_tickets[[#This Row],[customer_satisfaction]],
"Low",1,
"Medium",2,
"High",3
)</f>
        <v>3</v>
      </c>
      <c r="Q1575">
        <f>IF(tbl_analysis_tickets[[#This Row],[reopened]]="Yes",1,0)</f>
        <v>0</v>
      </c>
      <c r="R1575" t="str" cm="1">
        <f t="array" ref="R1575">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1575" t="str" cm="1">
        <f t="array" ref="S157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575" t="str">
        <f>TEXT(tbl_analysis_tickets[[#This Row],[created_date]],"mmm-yyyy")</f>
        <v>Dec-2024</v>
      </c>
      <c r="U1575" t="str">
        <f>TEXT(tbl_analysis_tickets[[#This Row],[created_date]],"dddd")</f>
        <v>Tuesday</v>
      </c>
      <c r="V1575" cm="1">
        <f t="array" ref="V1575">_xlfn.SWITCH(tbl_analysis_tickets[[#This Row],[priority]],
"Urgent",1,
"High",2,
"Medium",3,
"Low",4
)</f>
        <v>4</v>
      </c>
    </row>
    <row r="1576" spans="1:22" x14ac:dyDescent="0.25">
      <c r="A1576">
        <v>1575</v>
      </c>
      <c r="B1576" s="1">
        <v>45397</v>
      </c>
      <c r="C1576" t="s">
        <v>21</v>
      </c>
      <c r="D1576" t="s">
        <v>17</v>
      </c>
      <c r="E1576">
        <v>66</v>
      </c>
      <c r="F1576">
        <v>33</v>
      </c>
      <c r="G1576">
        <v>5.8</v>
      </c>
      <c r="H1576" t="s">
        <v>12</v>
      </c>
      <c r="I1576" t="s">
        <v>19</v>
      </c>
      <c r="J1576" t="s">
        <v>11</v>
      </c>
      <c r="K1576">
        <f>_xlfn.XLOOKUP(tbl_analysis_tickets[[#This Row],[priority]],tbl_sla[priority],tbl_sla[Resolution SLA Hours])</f>
        <v>8</v>
      </c>
      <c r="L1576">
        <f>_xlfn.XLOOKUP(tbl_analysis_tickets[[#This Row],[priority]],tbl_sla[priority],tbl_sla[First Response SLA Minutes])</f>
        <v>30</v>
      </c>
      <c r="M1576" t="str">
        <f>IF(tbl_analysis_tickets[[#This Row],[resolution_time_hours]]&gt;tbl_analysis_tickets[[#This Row],[Resolution SLA Hours]],"Breached","Within SLA")</f>
        <v>Breached</v>
      </c>
      <c r="N1576" t="str">
        <f>IF(tbl_analysis_tickets[[#This Row],[first_response_minutes]]&gt;tbl_analysis_tickets[[#This Row],[First Response SLA Minutes]],"Breached","Within SLA")</f>
        <v>Breached</v>
      </c>
      <c r="O1576" t="str" cm="1">
        <f t="array" ref="O1576">_xlfn.IFS(
tbl_analysis_tickets[[#This Row],[agent_experience_years]]&lt;=2,"Junior",
tbl_analysis_tickets[[#This Row],[agent_experience_years]]&lt;=5,"Mid-Level",
tbl_analysis_tickets[[#This Row],[agent_experience_years]]&lt;=8,"Senior",
tbl_analysis_tickets[[#This Row],[agent_experience_years]]&gt;8,"Expert"
)</f>
        <v>Senior</v>
      </c>
      <c r="P1576" cm="1">
        <f t="array" ref="P1576">_xlfn.SWITCH(tbl_analysis_tickets[[#This Row],[customer_satisfaction]],
"Low",1,
"Medium",2,
"High",3
)</f>
        <v>1</v>
      </c>
      <c r="Q1576">
        <f>IF(tbl_analysis_tickets[[#This Row],[reopened]]="Yes",1,0)</f>
        <v>1</v>
      </c>
      <c r="R1576" t="str" cm="1">
        <f t="array" ref="R1576">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576" t="str" cm="1">
        <f t="array" ref="S157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576" t="str">
        <f>TEXT(tbl_analysis_tickets[[#This Row],[created_date]],"mmm-yyyy")</f>
        <v>Apr-2024</v>
      </c>
      <c r="U1576" t="str">
        <f>TEXT(tbl_analysis_tickets[[#This Row],[created_date]],"dddd")</f>
        <v>Monday</v>
      </c>
      <c r="V1576" cm="1">
        <f t="array" ref="V1576">_xlfn.SWITCH(tbl_analysis_tickets[[#This Row],[priority]],
"Urgent",1,
"High",2,
"Medium",3,
"Low",4
)</f>
        <v>1</v>
      </c>
    </row>
    <row r="1577" spans="1:22" x14ac:dyDescent="0.25">
      <c r="A1577">
        <v>1576</v>
      </c>
      <c r="B1577" s="1">
        <v>45545</v>
      </c>
      <c r="C1577" t="s">
        <v>10</v>
      </c>
      <c r="D1577" t="s">
        <v>15</v>
      </c>
      <c r="E1577">
        <v>198</v>
      </c>
      <c r="F1577">
        <v>16</v>
      </c>
      <c r="G1577">
        <v>9.5</v>
      </c>
      <c r="H1577" t="s">
        <v>18</v>
      </c>
      <c r="I1577" t="s">
        <v>16</v>
      </c>
      <c r="J1577" t="s">
        <v>15</v>
      </c>
      <c r="K1577">
        <f>_xlfn.XLOOKUP(tbl_analysis_tickets[[#This Row],[priority]],tbl_sla[priority],tbl_sla[Resolution SLA Hours])</f>
        <v>48</v>
      </c>
      <c r="L1577">
        <f>_xlfn.XLOOKUP(tbl_analysis_tickets[[#This Row],[priority]],tbl_sla[priority],tbl_sla[First Response SLA Minutes])</f>
        <v>120</v>
      </c>
      <c r="M1577" t="str">
        <f>IF(tbl_analysis_tickets[[#This Row],[resolution_time_hours]]&gt;tbl_analysis_tickets[[#This Row],[Resolution SLA Hours]],"Breached","Within SLA")</f>
        <v>Within SLA</v>
      </c>
      <c r="N1577" t="str">
        <f>IF(tbl_analysis_tickets[[#This Row],[first_response_minutes]]&gt;tbl_analysis_tickets[[#This Row],[First Response SLA Minutes]],"Breached","Within SLA")</f>
        <v>Breached</v>
      </c>
      <c r="O1577" t="str" cm="1">
        <f t="array" ref="O1577">_xlfn.IFS(
tbl_analysis_tickets[[#This Row],[agent_experience_years]]&lt;=2,"Junior",
tbl_analysis_tickets[[#This Row],[agent_experience_years]]&lt;=5,"Mid-Level",
tbl_analysis_tickets[[#This Row],[agent_experience_years]]&lt;=8,"Senior",
tbl_analysis_tickets[[#This Row],[agent_experience_years]]&gt;8,"Expert"
)</f>
        <v>Expert</v>
      </c>
      <c r="P1577" cm="1">
        <f t="array" ref="P1577">_xlfn.SWITCH(tbl_analysis_tickets[[#This Row],[customer_satisfaction]],
"Low",1,
"Medium",2,
"High",3
)</f>
        <v>2</v>
      </c>
      <c r="Q1577">
        <f>IF(tbl_analysis_tickets[[#This Row],[reopened]]="Yes",1,0)</f>
        <v>0</v>
      </c>
      <c r="R1577" t="str" cm="1">
        <f t="array" ref="R1577">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577" t="str" cm="1">
        <f t="array" ref="S157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577" t="str">
        <f>TEXT(tbl_analysis_tickets[[#This Row],[created_date]],"mmm-yyyy")</f>
        <v>Sep-2024</v>
      </c>
      <c r="U1577" t="str">
        <f>TEXT(tbl_analysis_tickets[[#This Row],[created_date]],"dddd")</f>
        <v>Tuesday</v>
      </c>
      <c r="V1577" cm="1">
        <f t="array" ref="V1577">_xlfn.SWITCH(tbl_analysis_tickets[[#This Row],[priority]],
"Urgent",1,
"High",2,
"Medium",3,
"Low",4
)</f>
        <v>3</v>
      </c>
    </row>
    <row r="1578" spans="1:22" x14ac:dyDescent="0.25">
      <c r="A1578">
        <v>1577</v>
      </c>
      <c r="B1578" s="1">
        <v>45360</v>
      </c>
      <c r="C1578" t="s">
        <v>14</v>
      </c>
      <c r="D1578" t="s">
        <v>20</v>
      </c>
      <c r="E1578">
        <v>43</v>
      </c>
      <c r="F1578">
        <v>27</v>
      </c>
      <c r="G1578">
        <v>6.8</v>
      </c>
      <c r="H1578" t="s">
        <v>12</v>
      </c>
      <c r="I1578" t="s">
        <v>16</v>
      </c>
      <c r="J1578" t="s">
        <v>11</v>
      </c>
      <c r="K1578">
        <f>_xlfn.XLOOKUP(tbl_analysis_tickets[[#This Row],[priority]],tbl_sla[priority],tbl_sla[Resolution SLA Hours])</f>
        <v>24</v>
      </c>
      <c r="L1578">
        <f>_xlfn.XLOOKUP(tbl_analysis_tickets[[#This Row],[priority]],tbl_sla[priority],tbl_sla[First Response SLA Minutes])</f>
        <v>60</v>
      </c>
      <c r="M1578" t="str">
        <f>IF(tbl_analysis_tickets[[#This Row],[resolution_time_hours]]&gt;tbl_analysis_tickets[[#This Row],[Resolution SLA Hours]],"Breached","Within SLA")</f>
        <v>Breached</v>
      </c>
      <c r="N1578" t="str">
        <f>IF(tbl_analysis_tickets[[#This Row],[first_response_minutes]]&gt;tbl_analysis_tickets[[#This Row],[First Response SLA Minutes]],"Breached","Within SLA")</f>
        <v>Within SLA</v>
      </c>
      <c r="O1578" t="str" cm="1">
        <f t="array" ref="O1578">_xlfn.IFS(
tbl_analysis_tickets[[#This Row],[agent_experience_years]]&lt;=2,"Junior",
tbl_analysis_tickets[[#This Row],[agent_experience_years]]&lt;=5,"Mid-Level",
tbl_analysis_tickets[[#This Row],[agent_experience_years]]&lt;=8,"Senior",
tbl_analysis_tickets[[#This Row],[agent_experience_years]]&gt;8,"Expert"
)</f>
        <v>Senior</v>
      </c>
      <c r="P1578" cm="1">
        <f t="array" ref="P1578">_xlfn.SWITCH(tbl_analysis_tickets[[#This Row],[customer_satisfaction]],
"Low",1,
"Medium",2,
"High",3
)</f>
        <v>1</v>
      </c>
      <c r="Q1578">
        <f>IF(tbl_analysis_tickets[[#This Row],[reopened]]="Yes",1,0)</f>
        <v>1</v>
      </c>
      <c r="R1578" t="str" cm="1">
        <f t="array" ref="R1578">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578" t="str" cm="1">
        <f t="array" ref="S157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578" t="str">
        <f>TEXT(tbl_analysis_tickets[[#This Row],[created_date]],"mmm-yyyy")</f>
        <v>Mar-2024</v>
      </c>
      <c r="U1578" t="str">
        <f>TEXT(tbl_analysis_tickets[[#This Row],[created_date]],"dddd")</f>
        <v>Saturday</v>
      </c>
      <c r="V1578" cm="1">
        <f t="array" ref="V1578">_xlfn.SWITCH(tbl_analysis_tickets[[#This Row],[priority]],
"Urgent",1,
"High",2,
"Medium",3,
"Low",4
)</f>
        <v>2</v>
      </c>
    </row>
    <row r="1579" spans="1:22" x14ac:dyDescent="0.25">
      <c r="A1579">
        <v>1578</v>
      </c>
      <c r="B1579" s="1">
        <v>45507</v>
      </c>
      <c r="C1579" t="s">
        <v>10</v>
      </c>
      <c r="D1579" t="s">
        <v>17</v>
      </c>
      <c r="E1579">
        <v>135</v>
      </c>
      <c r="F1579">
        <v>28</v>
      </c>
      <c r="G1579">
        <v>2.1</v>
      </c>
      <c r="H1579" t="s">
        <v>18</v>
      </c>
      <c r="I1579" t="s">
        <v>19</v>
      </c>
      <c r="J1579" t="s">
        <v>11</v>
      </c>
      <c r="K1579">
        <f>_xlfn.XLOOKUP(tbl_analysis_tickets[[#This Row],[priority]],tbl_sla[priority],tbl_sla[Resolution SLA Hours])</f>
        <v>8</v>
      </c>
      <c r="L1579">
        <f>_xlfn.XLOOKUP(tbl_analysis_tickets[[#This Row],[priority]],tbl_sla[priority],tbl_sla[First Response SLA Minutes])</f>
        <v>30</v>
      </c>
      <c r="M1579" t="str">
        <f>IF(tbl_analysis_tickets[[#This Row],[resolution_time_hours]]&gt;tbl_analysis_tickets[[#This Row],[Resolution SLA Hours]],"Breached","Within SLA")</f>
        <v>Breached</v>
      </c>
      <c r="N1579" t="str">
        <f>IF(tbl_analysis_tickets[[#This Row],[first_response_minutes]]&gt;tbl_analysis_tickets[[#This Row],[First Response SLA Minutes]],"Breached","Within SLA")</f>
        <v>Breached</v>
      </c>
      <c r="O1579" t="str" cm="1">
        <f t="array" ref="O1579">_xlfn.IFS(
tbl_analysis_tickets[[#This Row],[agent_experience_years]]&lt;=2,"Junior",
tbl_analysis_tickets[[#This Row],[agent_experience_years]]&lt;=5,"Mid-Level",
tbl_analysis_tickets[[#This Row],[agent_experience_years]]&lt;=8,"Senior",
tbl_analysis_tickets[[#This Row],[agent_experience_years]]&gt;8,"Expert"
)</f>
        <v>Mid-Level</v>
      </c>
      <c r="P1579" cm="1">
        <f t="array" ref="P1579">_xlfn.SWITCH(tbl_analysis_tickets[[#This Row],[customer_satisfaction]],
"Low",1,
"Medium",2,
"High",3
)</f>
        <v>1</v>
      </c>
      <c r="Q1579">
        <f>IF(tbl_analysis_tickets[[#This Row],[reopened]]="Yes",1,0)</f>
        <v>0</v>
      </c>
      <c r="R1579" t="str" cm="1">
        <f t="array" ref="R1579">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579" t="str" cm="1">
        <f t="array" ref="S157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579" t="str">
        <f>TEXT(tbl_analysis_tickets[[#This Row],[created_date]],"mmm-yyyy")</f>
        <v>Aug-2024</v>
      </c>
      <c r="U1579" t="str">
        <f>TEXT(tbl_analysis_tickets[[#This Row],[created_date]],"dddd")</f>
        <v>Saturday</v>
      </c>
      <c r="V1579" cm="1">
        <f t="array" ref="V1579">_xlfn.SWITCH(tbl_analysis_tickets[[#This Row],[priority]],
"Urgent",1,
"High",2,
"Medium",3,
"Low",4
)</f>
        <v>1</v>
      </c>
    </row>
    <row r="1580" spans="1:22" x14ac:dyDescent="0.25">
      <c r="A1580">
        <v>1579</v>
      </c>
      <c r="B1580" s="1">
        <v>45468</v>
      </c>
      <c r="C1580" t="s">
        <v>21</v>
      </c>
      <c r="D1580" t="s">
        <v>15</v>
      </c>
      <c r="E1580">
        <v>223</v>
      </c>
      <c r="F1580">
        <v>65</v>
      </c>
      <c r="G1580">
        <v>4.9000000000000004</v>
      </c>
      <c r="H1580" t="s">
        <v>18</v>
      </c>
      <c r="I1580" t="s">
        <v>16</v>
      </c>
      <c r="J1580" t="s">
        <v>11</v>
      </c>
      <c r="K1580">
        <f>_xlfn.XLOOKUP(tbl_analysis_tickets[[#This Row],[priority]],tbl_sla[priority],tbl_sla[Resolution SLA Hours])</f>
        <v>48</v>
      </c>
      <c r="L1580">
        <f>_xlfn.XLOOKUP(tbl_analysis_tickets[[#This Row],[priority]],tbl_sla[priority],tbl_sla[First Response SLA Minutes])</f>
        <v>120</v>
      </c>
      <c r="M1580" t="str">
        <f>IF(tbl_analysis_tickets[[#This Row],[resolution_time_hours]]&gt;tbl_analysis_tickets[[#This Row],[Resolution SLA Hours]],"Breached","Within SLA")</f>
        <v>Breached</v>
      </c>
      <c r="N1580" t="str">
        <f>IF(tbl_analysis_tickets[[#This Row],[first_response_minutes]]&gt;tbl_analysis_tickets[[#This Row],[First Response SLA Minutes]],"Breached","Within SLA")</f>
        <v>Breached</v>
      </c>
      <c r="O1580" t="str" cm="1">
        <f t="array" ref="O1580">_xlfn.IFS(
tbl_analysis_tickets[[#This Row],[agent_experience_years]]&lt;=2,"Junior",
tbl_analysis_tickets[[#This Row],[agent_experience_years]]&lt;=5,"Mid-Level",
tbl_analysis_tickets[[#This Row],[agent_experience_years]]&lt;=8,"Senior",
tbl_analysis_tickets[[#This Row],[agent_experience_years]]&gt;8,"Expert"
)</f>
        <v>Mid-Level</v>
      </c>
      <c r="P1580" cm="1">
        <f t="array" ref="P1580">_xlfn.SWITCH(tbl_analysis_tickets[[#This Row],[customer_satisfaction]],
"Low",1,
"Medium",2,
"High",3
)</f>
        <v>1</v>
      </c>
      <c r="Q1580">
        <f>IF(tbl_analysis_tickets[[#This Row],[reopened]]="Yes",1,0)</f>
        <v>0</v>
      </c>
      <c r="R1580" t="str" cm="1">
        <f t="array" ref="R1580">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580" t="str" cm="1">
        <f t="array" ref="S158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580" t="str">
        <f>TEXT(tbl_analysis_tickets[[#This Row],[created_date]],"mmm-yyyy")</f>
        <v>Jun-2024</v>
      </c>
      <c r="U1580" t="str">
        <f>TEXT(tbl_analysis_tickets[[#This Row],[created_date]],"dddd")</f>
        <v>Tuesday</v>
      </c>
      <c r="V1580" cm="1">
        <f t="array" ref="V1580">_xlfn.SWITCH(tbl_analysis_tickets[[#This Row],[priority]],
"Urgent",1,
"High",2,
"Medium",3,
"Low",4
)</f>
        <v>3</v>
      </c>
    </row>
    <row r="1581" spans="1:22" x14ac:dyDescent="0.25">
      <c r="A1581">
        <v>1580</v>
      </c>
      <c r="B1581" s="1">
        <v>45632</v>
      </c>
      <c r="C1581" t="s">
        <v>14</v>
      </c>
      <c r="D1581" t="s">
        <v>17</v>
      </c>
      <c r="E1581">
        <v>69</v>
      </c>
      <c r="F1581">
        <v>4</v>
      </c>
      <c r="G1581">
        <v>7.9</v>
      </c>
      <c r="H1581" t="s">
        <v>12</v>
      </c>
      <c r="I1581" t="s">
        <v>19</v>
      </c>
      <c r="J1581" t="s">
        <v>15</v>
      </c>
      <c r="K1581">
        <f>_xlfn.XLOOKUP(tbl_analysis_tickets[[#This Row],[priority]],tbl_sla[priority],tbl_sla[Resolution SLA Hours])</f>
        <v>8</v>
      </c>
      <c r="L1581">
        <f>_xlfn.XLOOKUP(tbl_analysis_tickets[[#This Row],[priority]],tbl_sla[priority],tbl_sla[First Response SLA Minutes])</f>
        <v>30</v>
      </c>
      <c r="M1581" t="str">
        <f>IF(tbl_analysis_tickets[[#This Row],[resolution_time_hours]]&gt;tbl_analysis_tickets[[#This Row],[Resolution SLA Hours]],"Breached","Within SLA")</f>
        <v>Within SLA</v>
      </c>
      <c r="N1581" t="str">
        <f>IF(tbl_analysis_tickets[[#This Row],[first_response_minutes]]&gt;tbl_analysis_tickets[[#This Row],[First Response SLA Minutes]],"Breached","Within SLA")</f>
        <v>Breached</v>
      </c>
      <c r="O1581" t="str" cm="1">
        <f t="array" ref="O1581">_xlfn.IFS(
tbl_analysis_tickets[[#This Row],[agent_experience_years]]&lt;=2,"Junior",
tbl_analysis_tickets[[#This Row],[agent_experience_years]]&lt;=5,"Mid-Level",
tbl_analysis_tickets[[#This Row],[agent_experience_years]]&lt;=8,"Senior",
tbl_analysis_tickets[[#This Row],[agent_experience_years]]&gt;8,"Expert"
)</f>
        <v>Senior</v>
      </c>
      <c r="P1581" cm="1">
        <f t="array" ref="P1581">_xlfn.SWITCH(tbl_analysis_tickets[[#This Row],[customer_satisfaction]],
"Low",1,
"Medium",2,
"High",3
)</f>
        <v>2</v>
      </c>
      <c r="Q1581">
        <f>IF(tbl_analysis_tickets[[#This Row],[reopened]]="Yes",1,0)</f>
        <v>1</v>
      </c>
      <c r="R1581" t="str" cm="1">
        <f t="array" ref="R1581">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581" t="str" cm="1">
        <f t="array" ref="S158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1581" t="str">
        <f>TEXT(tbl_analysis_tickets[[#This Row],[created_date]],"mmm-yyyy")</f>
        <v>Dec-2024</v>
      </c>
      <c r="U1581" t="str">
        <f>TEXT(tbl_analysis_tickets[[#This Row],[created_date]],"dddd")</f>
        <v>Friday</v>
      </c>
      <c r="V1581" cm="1">
        <f t="array" ref="V1581">_xlfn.SWITCH(tbl_analysis_tickets[[#This Row],[priority]],
"Urgent",1,
"High",2,
"Medium",3,
"Low",4
)</f>
        <v>1</v>
      </c>
    </row>
    <row r="1582" spans="1:22" x14ac:dyDescent="0.25">
      <c r="A1582">
        <v>1581</v>
      </c>
      <c r="B1582" s="1">
        <v>45576</v>
      </c>
      <c r="C1582" t="s">
        <v>21</v>
      </c>
      <c r="D1582" t="s">
        <v>17</v>
      </c>
      <c r="E1582">
        <v>202</v>
      </c>
      <c r="F1582">
        <v>20</v>
      </c>
      <c r="G1582">
        <v>3.2</v>
      </c>
      <c r="H1582" t="s">
        <v>12</v>
      </c>
      <c r="I1582" t="s">
        <v>19</v>
      </c>
      <c r="J1582" t="s">
        <v>11</v>
      </c>
      <c r="K1582">
        <f>_xlfn.XLOOKUP(tbl_analysis_tickets[[#This Row],[priority]],tbl_sla[priority],tbl_sla[Resolution SLA Hours])</f>
        <v>8</v>
      </c>
      <c r="L1582">
        <f>_xlfn.XLOOKUP(tbl_analysis_tickets[[#This Row],[priority]],tbl_sla[priority],tbl_sla[First Response SLA Minutes])</f>
        <v>30</v>
      </c>
      <c r="M1582" t="str">
        <f>IF(tbl_analysis_tickets[[#This Row],[resolution_time_hours]]&gt;tbl_analysis_tickets[[#This Row],[Resolution SLA Hours]],"Breached","Within SLA")</f>
        <v>Breached</v>
      </c>
      <c r="N1582" t="str">
        <f>IF(tbl_analysis_tickets[[#This Row],[first_response_minutes]]&gt;tbl_analysis_tickets[[#This Row],[First Response SLA Minutes]],"Breached","Within SLA")</f>
        <v>Breached</v>
      </c>
      <c r="O1582" t="str" cm="1">
        <f t="array" ref="O1582">_xlfn.IFS(
tbl_analysis_tickets[[#This Row],[agent_experience_years]]&lt;=2,"Junior",
tbl_analysis_tickets[[#This Row],[agent_experience_years]]&lt;=5,"Mid-Level",
tbl_analysis_tickets[[#This Row],[agent_experience_years]]&lt;=8,"Senior",
tbl_analysis_tickets[[#This Row],[agent_experience_years]]&gt;8,"Expert"
)</f>
        <v>Mid-Level</v>
      </c>
      <c r="P1582" cm="1">
        <f t="array" ref="P1582">_xlfn.SWITCH(tbl_analysis_tickets[[#This Row],[customer_satisfaction]],
"Low",1,
"Medium",2,
"High",3
)</f>
        <v>1</v>
      </c>
      <c r="Q1582">
        <f>IF(tbl_analysis_tickets[[#This Row],[reopened]]="Yes",1,0)</f>
        <v>1</v>
      </c>
      <c r="R1582" t="str" cm="1">
        <f t="array" ref="R1582">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582" t="str" cm="1">
        <f t="array" ref="S158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582" t="str">
        <f>TEXT(tbl_analysis_tickets[[#This Row],[created_date]],"mmm-yyyy")</f>
        <v>Oct-2024</v>
      </c>
      <c r="U1582" t="str">
        <f>TEXT(tbl_analysis_tickets[[#This Row],[created_date]],"dddd")</f>
        <v>Friday</v>
      </c>
      <c r="V1582" cm="1">
        <f t="array" ref="V1582">_xlfn.SWITCH(tbl_analysis_tickets[[#This Row],[priority]],
"Urgent",1,
"High",2,
"Medium",3,
"Low",4
)</f>
        <v>1</v>
      </c>
    </row>
    <row r="1583" spans="1:22" x14ac:dyDescent="0.25">
      <c r="A1583">
        <v>1582</v>
      </c>
      <c r="B1583" s="1">
        <v>45377</v>
      </c>
      <c r="C1583" t="s">
        <v>21</v>
      </c>
      <c r="D1583" t="s">
        <v>17</v>
      </c>
      <c r="E1583">
        <v>182</v>
      </c>
      <c r="F1583">
        <v>64</v>
      </c>
      <c r="G1583">
        <v>9.1</v>
      </c>
      <c r="H1583" t="s">
        <v>12</v>
      </c>
      <c r="I1583" t="s">
        <v>16</v>
      </c>
      <c r="J1583" t="s">
        <v>11</v>
      </c>
      <c r="K1583">
        <f>_xlfn.XLOOKUP(tbl_analysis_tickets[[#This Row],[priority]],tbl_sla[priority],tbl_sla[Resolution SLA Hours])</f>
        <v>8</v>
      </c>
      <c r="L1583">
        <f>_xlfn.XLOOKUP(tbl_analysis_tickets[[#This Row],[priority]],tbl_sla[priority],tbl_sla[First Response SLA Minutes])</f>
        <v>30</v>
      </c>
      <c r="M1583" t="str">
        <f>IF(tbl_analysis_tickets[[#This Row],[resolution_time_hours]]&gt;tbl_analysis_tickets[[#This Row],[Resolution SLA Hours]],"Breached","Within SLA")</f>
        <v>Breached</v>
      </c>
      <c r="N1583" t="str">
        <f>IF(tbl_analysis_tickets[[#This Row],[first_response_minutes]]&gt;tbl_analysis_tickets[[#This Row],[First Response SLA Minutes]],"Breached","Within SLA")</f>
        <v>Breached</v>
      </c>
      <c r="O1583" t="str" cm="1">
        <f t="array" ref="O1583">_xlfn.IFS(
tbl_analysis_tickets[[#This Row],[agent_experience_years]]&lt;=2,"Junior",
tbl_analysis_tickets[[#This Row],[agent_experience_years]]&lt;=5,"Mid-Level",
tbl_analysis_tickets[[#This Row],[agent_experience_years]]&lt;=8,"Senior",
tbl_analysis_tickets[[#This Row],[agent_experience_years]]&gt;8,"Expert"
)</f>
        <v>Expert</v>
      </c>
      <c r="P1583" cm="1">
        <f t="array" ref="P1583">_xlfn.SWITCH(tbl_analysis_tickets[[#This Row],[customer_satisfaction]],
"Low",1,
"Medium",2,
"High",3
)</f>
        <v>1</v>
      </c>
      <c r="Q1583">
        <f>IF(tbl_analysis_tickets[[#This Row],[reopened]]="Yes",1,0)</f>
        <v>1</v>
      </c>
      <c r="R1583" t="str" cm="1">
        <f t="array" ref="R1583">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583" t="str" cm="1">
        <f t="array" ref="S158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583" t="str">
        <f>TEXT(tbl_analysis_tickets[[#This Row],[created_date]],"mmm-yyyy")</f>
        <v>Mar-2024</v>
      </c>
      <c r="U1583" t="str">
        <f>TEXT(tbl_analysis_tickets[[#This Row],[created_date]],"dddd")</f>
        <v>Tuesday</v>
      </c>
      <c r="V1583" cm="1">
        <f t="array" ref="V1583">_xlfn.SWITCH(tbl_analysis_tickets[[#This Row],[priority]],
"Urgent",1,
"High",2,
"Medium",3,
"Low",4
)</f>
        <v>1</v>
      </c>
    </row>
    <row r="1584" spans="1:22" x14ac:dyDescent="0.25">
      <c r="A1584">
        <v>1583</v>
      </c>
      <c r="B1584" s="1">
        <v>45594</v>
      </c>
      <c r="C1584" t="s">
        <v>10</v>
      </c>
      <c r="D1584" t="s">
        <v>15</v>
      </c>
      <c r="E1584">
        <v>15</v>
      </c>
      <c r="F1584">
        <v>71</v>
      </c>
      <c r="G1584">
        <v>3.2</v>
      </c>
      <c r="H1584" t="s">
        <v>18</v>
      </c>
      <c r="I1584" t="s">
        <v>13</v>
      </c>
      <c r="J1584" t="s">
        <v>15</v>
      </c>
      <c r="K1584">
        <f>_xlfn.XLOOKUP(tbl_analysis_tickets[[#This Row],[priority]],tbl_sla[priority],tbl_sla[Resolution SLA Hours])</f>
        <v>48</v>
      </c>
      <c r="L1584">
        <f>_xlfn.XLOOKUP(tbl_analysis_tickets[[#This Row],[priority]],tbl_sla[priority],tbl_sla[First Response SLA Minutes])</f>
        <v>120</v>
      </c>
      <c r="M1584" t="str">
        <f>IF(tbl_analysis_tickets[[#This Row],[resolution_time_hours]]&gt;tbl_analysis_tickets[[#This Row],[Resolution SLA Hours]],"Breached","Within SLA")</f>
        <v>Breached</v>
      </c>
      <c r="N1584" t="str">
        <f>IF(tbl_analysis_tickets[[#This Row],[first_response_minutes]]&gt;tbl_analysis_tickets[[#This Row],[First Response SLA Minutes]],"Breached","Within SLA")</f>
        <v>Within SLA</v>
      </c>
      <c r="O1584" t="str" cm="1">
        <f t="array" ref="O1584">_xlfn.IFS(
tbl_analysis_tickets[[#This Row],[agent_experience_years]]&lt;=2,"Junior",
tbl_analysis_tickets[[#This Row],[agent_experience_years]]&lt;=5,"Mid-Level",
tbl_analysis_tickets[[#This Row],[agent_experience_years]]&lt;=8,"Senior",
tbl_analysis_tickets[[#This Row],[agent_experience_years]]&gt;8,"Expert"
)</f>
        <v>Mid-Level</v>
      </c>
      <c r="P1584" cm="1">
        <f t="array" ref="P1584">_xlfn.SWITCH(tbl_analysis_tickets[[#This Row],[customer_satisfaction]],
"Low",1,
"Medium",2,
"High",3
)</f>
        <v>2</v>
      </c>
      <c r="Q1584">
        <f>IF(tbl_analysis_tickets[[#This Row],[reopened]]="Yes",1,0)</f>
        <v>0</v>
      </c>
      <c r="R1584" t="str" cm="1">
        <f t="array" ref="R1584">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1584" t="str" cm="1">
        <f t="array" ref="S158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584" t="str">
        <f>TEXT(tbl_analysis_tickets[[#This Row],[created_date]],"mmm-yyyy")</f>
        <v>Oct-2024</v>
      </c>
      <c r="U1584" t="str">
        <f>TEXT(tbl_analysis_tickets[[#This Row],[created_date]],"dddd")</f>
        <v>Tuesday</v>
      </c>
      <c r="V1584" cm="1">
        <f t="array" ref="V1584">_xlfn.SWITCH(tbl_analysis_tickets[[#This Row],[priority]],
"Urgent",1,
"High",2,
"Medium",3,
"Low",4
)</f>
        <v>3</v>
      </c>
    </row>
    <row r="1585" spans="1:22" x14ac:dyDescent="0.25">
      <c r="A1585">
        <v>1584</v>
      </c>
      <c r="B1585" s="1">
        <v>45303</v>
      </c>
      <c r="C1585" t="s">
        <v>10</v>
      </c>
      <c r="D1585" t="s">
        <v>15</v>
      </c>
      <c r="E1585">
        <v>136</v>
      </c>
      <c r="F1585">
        <v>29</v>
      </c>
      <c r="G1585">
        <v>4.5999999999999996</v>
      </c>
      <c r="H1585" t="s">
        <v>18</v>
      </c>
      <c r="I1585" t="s">
        <v>16</v>
      </c>
      <c r="J1585" t="s">
        <v>11</v>
      </c>
      <c r="K1585">
        <f>_xlfn.XLOOKUP(tbl_analysis_tickets[[#This Row],[priority]],tbl_sla[priority],tbl_sla[Resolution SLA Hours])</f>
        <v>48</v>
      </c>
      <c r="L1585">
        <f>_xlfn.XLOOKUP(tbl_analysis_tickets[[#This Row],[priority]],tbl_sla[priority],tbl_sla[First Response SLA Minutes])</f>
        <v>120</v>
      </c>
      <c r="M1585" t="str">
        <f>IF(tbl_analysis_tickets[[#This Row],[resolution_time_hours]]&gt;tbl_analysis_tickets[[#This Row],[Resolution SLA Hours]],"Breached","Within SLA")</f>
        <v>Within SLA</v>
      </c>
      <c r="N1585" t="str">
        <f>IF(tbl_analysis_tickets[[#This Row],[first_response_minutes]]&gt;tbl_analysis_tickets[[#This Row],[First Response SLA Minutes]],"Breached","Within SLA")</f>
        <v>Breached</v>
      </c>
      <c r="O1585" t="str" cm="1">
        <f t="array" ref="O1585">_xlfn.IFS(
tbl_analysis_tickets[[#This Row],[agent_experience_years]]&lt;=2,"Junior",
tbl_analysis_tickets[[#This Row],[agent_experience_years]]&lt;=5,"Mid-Level",
tbl_analysis_tickets[[#This Row],[agent_experience_years]]&lt;=8,"Senior",
tbl_analysis_tickets[[#This Row],[agent_experience_years]]&gt;8,"Expert"
)</f>
        <v>Mid-Level</v>
      </c>
      <c r="P1585" cm="1">
        <f t="array" ref="P1585">_xlfn.SWITCH(tbl_analysis_tickets[[#This Row],[customer_satisfaction]],
"Low",1,
"Medium",2,
"High",3
)</f>
        <v>1</v>
      </c>
      <c r="Q1585">
        <f>IF(tbl_analysis_tickets[[#This Row],[reopened]]="Yes",1,0)</f>
        <v>0</v>
      </c>
      <c r="R1585" t="str" cm="1">
        <f t="array" ref="R1585">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585" t="str" cm="1">
        <f t="array" ref="S158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585" t="str">
        <f>TEXT(tbl_analysis_tickets[[#This Row],[created_date]],"mmm-yyyy")</f>
        <v>Jan-2024</v>
      </c>
      <c r="U1585" t="str">
        <f>TEXT(tbl_analysis_tickets[[#This Row],[created_date]],"dddd")</f>
        <v>Friday</v>
      </c>
      <c r="V1585" cm="1">
        <f t="array" ref="V1585">_xlfn.SWITCH(tbl_analysis_tickets[[#This Row],[priority]],
"Urgent",1,
"High",2,
"Medium",3,
"Low",4
)</f>
        <v>3</v>
      </c>
    </row>
    <row r="1586" spans="1:22" x14ac:dyDescent="0.25">
      <c r="A1586">
        <v>1585</v>
      </c>
      <c r="B1586" s="1">
        <v>45583</v>
      </c>
      <c r="C1586" t="s">
        <v>22</v>
      </c>
      <c r="D1586" t="s">
        <v>11</v>
      </c>
      <c r="E1586">
        <v>150</v>
      </c>
      <c r="F1586">
        <v>41</v>
      </c>
      <c r="G1586">
        <v>3.6</v>
      </c>
      <c r="H1586" t="s">
        <v>18</v>
      </c>
      <c r="I1586" t="s">
        <v>13</v>
      </c>
      <c r="J1586" t="s">
        <v>11</v>
      </c>
      <c r="K1586">
        <f>_xlfn.XLOOKUP(tbl_analysis_tickets[[#This Row],[priority]],tbl_sla[priority],tbl_sla[Resolution SLA Hours])</f>
        <v>72</v>
      </c>
      <c r="L1586">
        <f>_xlfn.XLOOKUP(tbl_analysis_tickets[[#This Row],[priority]],tbl_sla[priority],tbl_sla[First Response SLA Minutes])</f>
        <v>240</v>
      </c>
      <c r="M1586" t="str">
        <f>IF(tbl_analysis_tickets[[#This Row],[resolution_time_hours]]&gt;tbl_analysis_tickets[[#This Row],[Resolution SLA Hours]],"Breached","Within SLA")</f>
        <v>Within SLA</v>
      </c>
      <c r="N1586" t="str">
        <f>IF(tbl_analysis_tickets[[#This Row],[first_response_minutes]]&gt;tbl_analysis_tickets[[#This Row],[First Response SLA Minutes]],"Breached","Within SLA")</f>
        <v>Within SLA</v>
      </c>
      <c r="O1586" t="str" cm="1">
        <f t="array" ref="O1586">_xlfn.IFS(
tbl_analysis_tickets[[#This Row],[agent_experience_years]]&lt;=2,"Junior",
tbl_analysis_tickets[[#This Row],[agent_experience_years]]&lt;=5,"Mid-Level",
tbl_analysis_tickets[[#This Row],[agent_experience_years]]&lt;=8,"Senior",
tbl_analysis_tickets[[#This Row],[agent_experience_years]]&gt;8,"Expert"
)</f>
        <v>Mid-Level</v>
      </c>
      <c r="P1586" cm="1">
        <f t="array" ref="P1586">_xlfn.SWITCH(tbl_analysis_tickets[[#This Row],[customer_satisfaction]],
"Low",1,
"Medium",2,
"High",3
)</f>
        <v>1</v>
      </c>
      <c r="Q1586">
        <f>IF(tbl_analysis_tickets[[#This Row],[reopened]]="Yes",1,0)</f>
        <v>0</v>
      </c>
      <c r="R1586" t="str" cm="1">
        <f t="array" ref="R1586">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586" t="str" cm="1">
        <f t="array" ref="S158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586" t="str">
        <f>TEXT(tbl_analysis_tickets[[#This Row],[created_date]],"mmm-yyyy")</f>
        <v>Oct-2024</v>
      </c>
      <c r="U1586" t="str">
        <f>TEXT(tbl_analysis_tickets[[#This Row],[created_date]],"dddd")</f>
        <v>Friday</v>
      </c>
      <c r="V1586" cm="1">
        <f t="array" ref="V1586">_xlfn.SWITCH(tbl_analysis_tickets[[#This Row],[priority]],
"Urgent",1,
"High",2,
"Medium",3,
"Low",4
)</f>
        <v>4</v>
      </c>
    </row>
    <row r="1587" spans="1:22" x14ac:dyDescent="0.25">
      <c r="A1587">
        <v>1586</v>
      </c>
      <c r="B1587" s="1">
        <v>45460</v>
      </c>
      <c r="C1587" t="s">
        <v>22</v>
      </c>
      <c r="D1587" t="s">
        <v>11</v>
      </c>
      <c r="E1587">
        <v>197</v>
      </c>
      <c r="F1587">
        <v>47</v>
      </c>
      <c r="G1587">
        <v>3.8</v>
      </c>
      <c r="H1587" t="s">
        <v>12</v>
      </c>
      <c r="I1587" t="s">
        <v>19</v>
      </c>
      <c r="J1587" t="s">
        <v>11</v>
      </c>
      <c r="K1587">
        <f>_xlfn.XLOOKUP(tbl_analysis_tickets[[#This Row],[priority]],tbl_sla[priority],tbl_sla[Resolution SLA Hours])</f>
        <v>72</v>
      </c>
      <c r="L1587">
        <f>_xlfn.XLOOKUP(tbl_analysis_tickets[[#This Row],[priority]],tbl_sla[priority],tbl_sla[First Response SLA Minutes])</f>
        <v>240</v>
      </c>
      <c r="M1587" t="str">
        <f>IF(tbl_analysis_tickets[[#This Row],[resolution_time_hours]]&gt;tbl_analysis_tickets[[#This Row],[Resolution SLA Hours]],"Breached","Within SLA")</f>
        <v>Within SLA</v>
      </c>
      <c r="N1587" t="str">
        <f>IF(tbl_analysis_tickets[[#This Row],[first_response_minutes]]&gt;tbl_analysis_tickets[[#This Row],[First Response SLA Minutes]],"Breached","Within SLA")</f>
        <v>Within SLA</v>
      </c>
      <c r="O1587" t="str" cm="1">
        <f t="array" ref="O1587">_xlfn.IFS(
tbl_analysis_tickets[[#This Row],[agent_experience_years]]&lt;=2,"Junior",
tbl_analysis_tickets[[#This Row],[agent_experience_years]]&lt;=5,"Mid-Level",
tbl_analysis_tickets[[#This Row],[agent_experience_years]]&lt;=8,"Senior",
tbl_analysis_tickets[[#This Row],[agent_experience_years]]&gt;8,"Expert"
)</f>
        <v>Mid-Level</v>
      </c>
      <c r="P1587" cm="1">
        <f t="array" ref="P1587">_xlfn.SWITCH(tbl_analysis_tickets[[#This Row],[customer_satisfaction]],
"Low",1,
"Medium",2,
"High",3
)</f>
        <v>1</v>
      </c>
      <c r="Q1587">
        <f>IF(tbl_analysis_tickets[[#This Row],[reopened]]="Yes",1,0)</f>
        <v>1</v>
      </c>
      <c r="R1587" t="str" cm="1">
        <f t="array" ref="R1587">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587" t="str" cm="1">
        <f t="array" ref="S158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587" t="str">
        <f>TEXT(tbl_analysis_tickets[[#This Row],[created_date]],"mmm-yyyy")</f>
        <v>Jun-2024</v>
      </c>
      <c r="U1587" t="str">
        <f>TEXT(tbl_analysis_tickets[[#This Row],[created_date]],"dddd")</f>
        <v>Monday</v>
      </c>
      <c r="V1587" cm="1">
        <f t="array" ref="V1587">_xlfn.SWITCH(tbl_analysis_tickets[[#This Row],[priority]],
"Urgent",1,
"High",2,
"Medium",3,
"Low",4
)</f>
        <v>4</v>
      </c>
    </row>
    <row r="1588" spans="1:22" x14ac:dyDescent="0.25">
      <c r="A1588">
        <v>1587</v>
      </c>
      <c r="B1588" s="1">
        <v>45367</v>
      </c>
      <c r="C1588" t="s">
        <v>14</v>
      </c>
      <c r="D1588" t="s">
        <v>17</v>
      </c>
      <c r="E1588">
        <v>158</v>
      </c>
      <c r="F1588">
        <v>66</v>
      </c>
      <c r="G1588">
        <v>8.4</v>
      </c>
      <c r="H1588" t="s">
        <v>12</v>
      </c>
      <c r="I1588" t="s">
        <v>13</v>
      </c>
      <c r="J1588" t="s">
        <v>11</v>
      </c>
      <c r="K1588">
        <f>_xlfn.XLOOKUP(tbl_analysis_tickets[[#This Row],[priority]],tbl_sla[priority],tbl_sla[Resolution SLA Hours])</f>
        <v>8</v>
      </c>
      <c r="L1588">
        <f>_xlfn.XLOOKUP(tbl_analysis_tickets[[#This Row],[priority]],tbl_sla[priority],tbl_sla[First Response SLA Minutes])</f>
        <v>30</v>
      </c>
      <c r="M1588" t="str">
        <f>IF(tbl_analysis_tickets[[#This Row],[resolution_time_hours]]&gt;tbl_analysis_tickets[[#This Row],[Resolution SLA Hours]],"Breached","Within SLA")</f>
        <v>Breached</v>
      </c>
      <c r="N1588" t="str">
        <f>IF(tbl_analysis_tickets[[#This Row],[first_response_minutes]]&gt;tbl_analysis_tickets[[#This Row],[First Response SLA Minutes]],"Breached","Within SLA")</f>
        <v>Breached</v>
      </c>
      <c r="O1588" t="str" cm="1">
        <f t="array" ref="O1588">_xlfn.IFS(
tbl_analysis_tickets[[#This Row],[agent_experience_years]]&lt;=2,"Junior",
tbl_analysis_tickets[[#This Row],[agent_experience_years]]&lt;=5,"Mid-Level",
tbl_analysis_tickets[[#This Row],[agent_experience_years]]&lt;=8,"Senior",
tbl_analysis_tickets[[#This Row],[agent_experience_years]]&gt;8,"Expert"
)</f>
        <v>Expert</v>
      </c>
      <c r="P1588" cm="1">
        <f t="array" ref="P1588">_xlfn.SWITCH(tbl_analysis_tickets[[#This Row],[customer_satisfaction]],
"Low",1,
"Medium",2,
"High",3
)</f>
        <v>1</v>
      </c>
      <c r="Q1588">
        <f>IF(tbl_analysis_tickets[[#This Row],[reopened]]="Yes",1,0)</f>
        <v>1</v>
      </c>
      <c r="R1588" t="str" cm="1">
        <f t="array" ref="R1588">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588" t="str" cm="1">
        <f t="array" ref="S158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588" t="str">
        <f>TEXT(tbl_analysis_tickets[[#This Row],[created_date]],"mmm-yyyy")</f>
        <v>Mar-2024</v>
      </c>
      <c r="U1588" t="str">
        <f>TEXT(tbl_analysis_tickets[[#This Row],[created_date]],"dddd")</f>
        <v>Saturday</v>
      </c>
      <c r="V1588" cm="1">
        <f t="array" ref="V1588">_xlfn.SWITCH(tbl_analysis_tickets[[#This Row],[priority]],
"Urgent",1,
"High",2,
"Medium",3,
"Low",4
)</f>
        <v>1</v>
      </c>
    </row>
    <row r="1589" spans="1:22" x14ac:dyDescent="0.25">
      <c r="A1589">
        <v>1588</v>
      </c>
      <c r="B1589" s="1">
        <v>45577</v>
      </c>
      <c r="C1589" t="s">
        <v>10</v>
      </c>
      <c r="D1589" t="s">
        <v>20</v>
      </c>
      <c r="E1589">
        <v>50</v>
      </c>
      <c r="F1589">
        <v>41</v>
      </c>
      <c r="G1589">
        <v>4.4000000000000004</v>
      </c>
      <c r="H1589" t="s">
        <v>18</v>
      </c>
      <c r="I1589" t="s">
        <v>13</v>
      </c>
      <c r="J1589" t="s">
        <v>11</v>
      </c>
      <c r="K1589">
        <f>_xlfn.XLOOKUP(tbl_analysis_tickets[[#This Row],[priority]],tbl_sla[priority],tbl_sla[Resolution SLA Hours])</f>
        <v>24</v>
      </c>
      <c r="L1589">
        <f>_xlfn.XLOOKUP(tbl_analysis_tickets[[#This Row],[priority]],tbl_sla[priority],tbl_sla[First Response SLA Minutes])</f>
        <v>60</v>
      </c>
      <c r="M1589" t="str">
        <f>IF(tbl_analysis_tickets[[#This Row],[resolution_time_hours]]&gt;tbl_analysis_tickets[[#This Row],[Resolution SLA Hours]],"Breached","Within SLA")</f>
        <v>Breached</v>
      </c>
      <c r="N1589" t="str">
        <f>IF(tbl_analysis_tickets[[#This Row],[first_response_minutes]]&gt;tbl_analysis_tickets[[#This Row],[First Response SLA Minutes]],"Breached","Within SLA")</f>
        <v>Within SLA</v>
      </c>
      <c r="O1589" t="str" cm="1">
        <f t="array" ref="O1589">_xlfn.IFS(
tbl_analysis_tickets[[#This Row],[agent_experience_years]]&lt;=2,"Junior",
tbl_analysis_tickets[[#This Row],[agent_experience_years]]&lt;=5,"Mid-Level",
tbl_analysis_tickets[[#This Row],[agent_experience_years]]&lt;=8,"Senior",
tbl_analysis_tickets[[#This Row],[agent_experience_years]]&gt;8,"Expert"
)</f>
        <v>Mid-Level</v>
      </c>
      <c r="P1589" cm="1">
        <f t="array" ref="P1589">_xlfn.SWITCH(tbl_analysis_tickets[[#This Row],[customer_satisfaction]],
"Low",1,
"Medium",2,
"High",3
)</f>
        <v>1</v>
      </c>
      <c r="Q1589">
        <f>IF(tbl_analysis_tickets[[#This Row],[reopened]]="Yes",1,0)</f>
        <v>0</v>
      </c>
      <c r="R1589" t="str" cm="1">
        <f t="array" ref="R1589">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589" t="str" cm="1">
        <f t="array" ref="S158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589" t="str">
        <f>TEXT(tbl_analysis_tickets[[#This Row],[created_date]],"mmm-yyyy")</f>
        <v>Oct-2024</v>
      </c>
      <c r="U1589" t="str">
        <f>TEXT(tbl_analysis_tickets[[#This Row],[created_date]],"dddd")</f>
        <v>Saturday</v>
      </c>
      <c r="V1589" cm="1">
        <f t="array" ref="V1589">_xlfn.SWITCH(tbl_analysis_tickets[[#This Row],[priority]],
"Urgent",1,
"High",2,
"Medium",3,
"Low",4
)</f>
        <v>2</v>
      </c>
    </row>
    <row r="1590" spans="1:22" x14ac:dyDescent="0.25">
      <c r="A1590">
        <v>1589</v>
      </c>
      <c r="B1590" s="1">
        <v>45316</v>
      </c>
      <c r="C1590" t="s">
        <v>14</v>
      </c>
      <c r="D1590" t="s">
        <v>20</v>
      </c>
      <c r="E1590">
        <v>30</v>
      </c>
      <c r="F1590">
        <v>16</v>
      </c>
      <c r="G1590">
        <v>8.6999999999999993</v>
      </c>
      <c r="H1590" t="s">
        <v>18</v>
      </c>
      <c r="I1590" t="s">
        <v>19</v>
      </c>
      <c r="J1590" t="s">
        <v>15</v>
      </c>
      <c r="K1590">
        <f>_xlfn.XLOOKUP(tbl_analysis_tickets[[#This Row],[priority]],tbl_sla[priority],tbl_sla[Resolution SLA Hours])</f>
        <v>24</v>
      </c>
      <c r="L1590">
        <f>_xlfn.XLOOKUP(tbl_analysis_tickets[[#This Row],[priority]],tbl_sla[priority],tbl_sla[First Response SLA Minutes])</f>
        <v>60</v>
      </c>
      <c r="M1590" t="str">
        <f>IF(tbl_analysis_tickets[[#This Row],[resolution_time_hours]]&gt;tbl_analysis_tickets[[#This Row],[Resolution SLA Hours]],"Breached","Within SLA")</f>
        <v>Within SLA</v>
      </c>
      <c r="N1590" t="str">
        <f>IF(tbl_analysis_tickets[[#This Row],[first_response_minutes]]&gt;tbl_analysis_tickets[[#This Row],[First Response SLA Minutes]],"Breached","Within SLA")</f>
        <v>Within SLA</v>
      </c>
      <c r="O1590" t="str" cm="1">
        <f t="array" ref="O1590">_xlfn.IFS(
tbl_analysis_tickets[[#This Row],[agent_experience_years]]&lt;=2,"Junior",
tbl_analysis_tickets[[#This Row],[agent_experience_years]]&lt;=5,"Mid-Level",
tbl_analysis_tickets[[#This Row],[agent_experience_years]]&lt;=8,"Senior",
tbl_analysis_tickets[[#This Row],[agent_experience_years]]&gt;8,"Expert"
)</f>
        <v>Expert</v>
      </c>
      <c r="P1590" cm="1">
        <f t="array" ref="P1590">_xlfn.SWITCH(tbl_analysis_tickets[[#This Row],[customer_satisfaction]],
"Low",1,
"Medium",2,
"High",3
)</f>
        <v>2</v>
      </c>
      <c r="Q1590">
        <f>IF(tbl_analysis_tickets[[#This Row],[reopened]]="Yes",1,0)</f>
        <v>0</v>
      </c>
      <c r="R1590" t="str" cm="1">
        <f t="array" ref="R1590">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1590" t="str" cm="1">
        <f t="array" ref="S159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590" t="str">
        <f>TEXT(tbl_analysis_tickets[[#This Row],[created_date]],"mmm-yyyy")</f>
        <v>Jan-2024</v>
      </c>
      <c r="U1590" t="str">
        <f>TEXT(tbl_analysis_tickets[[#This Row],[created_date]],"dddd")</f>
        <v>Thursday</v>
      </c>
      <c r="V1590" cm="1">
        <f t="array" ref="V1590">_xlfn.SWITCH(tbl_analysis_tickets[[#This Row],[priority]],
"Urgent",1,
"High",2,
"Medium",3,
"Low",4
)</f>
        <v>2</v>
      </c>
    </row>
    <row r="1591" spans="1:22" x14ac:dyDescent="0.25">
      <c r="A1591">
        <v>1590</v>
      </c>
      <c r="B1591" s="1">
        <v>45445</v>
      </c>
      <c r="C1591" t="s">
        <v>23</v>
      </c>
      <c r="D1591" t="s">
        <v>17</v>
      </c>
      <c r="E1591">
        <v>156</v>
      </c>
      <c r="F1591">
        <v>27</v>
      </c>
      <c r="G1591">
        <v>3</v>
      </c>
      <c r="H1591" t="s">
        <v>12</v>
      </c>
      <c r="I1591" t="s">
        <v>16</v>
      </c>
      <c r="J1591" t="s">
        <v>11</v>
      </c>
      <c r="K1591">
        <f>_xlfn.XLOOKUP(tbl_analysis_tickets[[#This Row],[priority]],tbl_sla[priority],tbl_sla[Resolution SLA Hours])</f>
        <v>8</v>
      </c>
      <c r="L1591">
        <f>_xlfn.XLOOKUP(tbl_analysis_tickets[[#This Row],[priority]],tbl_sla[priority],tbl_sla[First Response SLA Minutes])</f>
        <v>30</v>
      </c>
      <c r="M1591" t="str">
        <f>IF(tbl_analysis_tickets[[#This Row],[resolution_time_hours]]&gt;tbl_analysis_tickets[[#This Row],[Resolution SLA Hours]],"Breached","Within SLA")</f>
        <v>Breached</v>
      </c>
      <c r="N1591" t="str">
        <f>IF(tbl_analysis_tickets[[#This Row],[first_response_minutes]]&gt;tbl_analysis_tickets[[#This Row],[First Response SLA Minutes]],"Breached","Within SLA")</f>
        <v>Breached</v>
      </c>
      <c r="O1591" t="str" cm="1">
        <f t="array" ref="O1591">_xlfn.IFS(
tbl_analysis_tickets[[#This Row],[agent_experience_years]]&lt;=2,"Junior",
tbl_analysis_tickets[[#This Row],[agent_experience_years]]&lt;=5,"Mid-Level",
tbl_analysis_tickets[[#This Row],[agent_experience_years]]&lt;=8,"Senior",
tbl_analysis_tickets[[#This Row],[agent_experience_years]]&gt;8,"Expert"
)</f>
        <v>Mid-Level</v>
      </c>
      <c r="P1591" cm="1">
        <f t="array" ref="P1591">_xlfn.SWITCH(tbl_analysis_tickets[[#This Row],[customer_satisfaction]],
"Low",1,
"Medium",2,
"High",3
)</f>
        <v>1</v>
      </c>
      <c r="Q1591">
        <f>IF(tbl_analysis_tickets[[#This Row],[reopened]]="Yes",1,0)</f>
        <v>1</v>
      </c>
      <c r="R1591" t="str" cm="1">
        <f t="array" ref="R1591">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591" t="str" cm="1">
        <f t="array" ref="S159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591" t="str">
        <f>TEXT(tbl_analysis_tickets[[#This Row],[created_date]],"mmm-yyyy")</f>
        <v>Jun-2024</v>
      </c>
      <c r="U1591" t="str">
        <f>TEXT(tbl_analysis_tickets[[#This Row],[created_date]],"dddd")</f>
        <v>Sunday</v>
      </c>
      <c r="V1591" cm="1">
        <f t="array" ref="V1591">_xlfn.SWITCH(tbl_analysis_tickets[[#This Row],[priority]],
"Urgent",1,
"High",2,
"Medium",3,
"Low",4
)</f>
        <v>1</v>
      </c>
    </row>
    <row r="1592" spans="1:22" x14ac:dyDescent="0.25">
      <c r="A1592">
        <v>1591</v>
      </c>
      <c r="B1592" s="1">
        <v>45297</v>
      </c>
      <c r="C1592" t="s">
        <v>21</v>
      </c>
      <c r="D1592" t="s">
        <v>15</v>
      </c>
      <c r="E1592">
        <v>93</v>
      </c>
      <c r="F1592">
        <v>63</v>
      </c>
      <c r="G1592">
        <v>7</v>
      </c>
      <c r="H1592" t="s">
        <v>12</v>
      </c>
      <c r="I1592" t="s">
        <v>13</v>
      </c>
      <c r="J1592" t="s">
        <v>11</v>
      </c>
      <c r="K1592">
        <f>_xlfn.XLOOKUP(tbl_analysis_tickets[[#This Row],[priority]],tbl_sla[priority],tbl_sla[Resolution SLA Hours])</f>
        <v>48</v>
      </c>
      <c r="L1592">
        <f>_xlfn.XLOOKUP(tbl_analysis_tickets[[#This Row],[priority]],tbl_sla[priority],tbl_sla[First Response SLA Minutes])</f>
        <v>120</v>
      </c>
      <c r="M1592" t="str">
        <f>IF(tbl_analysis_tickets[[#This Row],[resolution_time_hours]]&gt;tbl_analysis_tickets[[#This Row],[Resolution SLA Hours]],"Breached","Within SLA")</f>
        <v>Breached</v>
      </c>
      <c r="N1592" t="str">
        <f>IF(tbl_analysis_tickets[[#This Row],[first_response_minutes]]&gt;tbl_analysis_tickets[[#This Row],[First Response SLA Minutes]],"Breached","Within SLA")</f>
        <v>Within SLA</v>
      </c>
      <c r="O1592" t="str" cm="1">
        <f t="array" ref="O1592">_xlfn.IFS(
tbl_analysis_tickets[[#This Row],[agent_experience_years]]&lt;=2,"Junior",
tbl_analysis_tickets[[#This Row],[agent_experience_years]]&lt;=5,"Mid-Level",
tbl_analysis_tickets[[#This Row],[agent_experience_years]]&lt;=8,"Senior",
tbl_analysis_tickets[[#This Row],[agent_experience_years]]&gt;8,"Expert"
)</f>
        <v>Senior</v>
      </c>
      <c r="P1592" cm="1">
        <f t="array" ref="P1592">_xlfn.SWITCH(tbl_analysis_tickets[[#This Row],[customer_satisfaction]],
"Low",1,
"Medium",2,
"High",3
)</f>
        <v>1</v>
      </c>
      <c r="Q1592">
        <f>IF(tbl_analysis_tickets[[#This Row],[reopened]]="Yes",1,0)</f>
        <v>1</v>
      </c>
      <c r="R1592" t="str" cm="1">
        <f t="array" ref="R1592">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592" t="str" cm="1">
        <f t="array" ref="S159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592" t="str">
        <f>TEXT(tbl_analysis_tickets[[#This Row],[created_date]],"mmm-yyyy")</f>
        <v>Jan-2024</v>
      </c>
      <c r="U1592" t="str">
        <f>TEXT(tbl_analysis_tickets[[#This Row],[created_date]],"dddd")</f>
        <v>Saturday</v>
      </c>
      <c r="V1592" cm="1">
        <f t="array" ref="V1592">_xlfn.SWITCH(tbl_analysis_tickets[[#This Row],[priority]],
"Urgent",1,
"High",2,
"Medium",3,
"Low",4
)</f>
        <v>3</v>
      </c>
    </row>
    <row r="1593" spans="1:22" x14ac:dyDescent="0.25">
      <c r="A1593">
        <v>1592</v>
      </c>
      <c r="B1593" s="1">
        <v>45648</v>
      </c>
      <c r="C1593" t="s">
        <v>21</v>
      </c>
      <c r="D1593" t="s">
        <v>17</v>
      </c>
      <c r="E1593">
        <v>212</v>
      </c>
      <c r="F1593">
        <v>56</v>
      </c>
      <c r="G1593">
        <v>2</v>
      </c>
      <c r="H1593" t="s">
        <v>12</v>
      </c>
      <c r="I1593" t="s">
        <v>16</v>
      </c>
      <c r="J1593" t="s">
        <v>11</v>
      </c>
      <c r="K1593">
        <f>_xlfn.XLOOKUP(tbl_analysis_tickets[[#This Row],[priority]],tbl_sla[priority],tbl_sla[Resolution SLA Hours])</f>
        <v>8</v>
      </c>
      <c r="L1593">
        <f>_xlfn.XLOOKUP(tbl_analysis_tickets[[#This Row],[priority]],tbl_sla[priority],tbl_sla[First Response SLA Minutes])</f>
        <v>30</v>
      </c>
      <c r="M1593" t="str">
        <f>IF(tbl_analysis_tickets[[#This Row],[resolution_time_hours]]&gt;tbl_analysis_tickets[[#This Row],[Resolution SLA Hours]],"Breached","Within SLA")</f>
        <v>Breached</v>
      </c>
      <c r="N1593" t="str">
        <f>IF(tbl_analysis_tickets[[#This Row],[first_response_minutes]]&gt;tbl_analysis_tickets[[#This Row],[First Response SLA Minutes]],"Breached","Within SLA")</f>
        <v>Breached</v>
      </c>
      <c r="O1593" t="str" cm="1">
        <f t="array" ref="O1593">_xlfn.IFS(
tbl_analysis_tickets[[#This Row],[agent_experience_years]]&lt;=2,"Junior",
tbl_analysis_tickets[[#This Row],[agent_experience_years]]&lt;=5,"Mid-Level",
tbl_analysis_tickets[[#This Row],[agent_experience_years]]&lt;=8,"Senior",
tbl_analysis_tickets[[#This Row],[agent_experience_years]]&gt;8,"Expert"
)</f>
        <v>Junior</v>
      </c>
      <c r="P1593" cm="1">
        <f t="array" ref="P1593">_xlfn.SWITCH(tbl_analysis_tickets[[#This Row],[customer_satisfaction]],
"Low",1,
"Medium",2,
"High",3
)</f>
        <v>1</v>
      </c>
      <c r="Q1593">
        <f>IF(tbl_analysis_tickets[[#This Row],[reopened]]="Yes",1,0)</f>
        <v>1</v>
      </c>
      <c r="R1593" t="str" cm="1">
        <f t="array" ref="R1593">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593" t="str" cm="1">
        <f t="array" ref="S159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593" t="str">
        <f>TEXT(tbl_analysis_tickets[[#This Row],[created_date]],"mmm-yyyy")</f>
        <v>Dec-2024</v>
      </c>
      <c r="U1593" t="str">
        <f>TEXT(tbl_analysis_tickets[[#This Row],[created_date]],"dddd")</f>
        <v>Sunday</v>
      </c>
      <c r="V1593" cm="1">
        <f t="array" ref="V1593">_xlfn.SWITCH(tbl_analysis_tickets[[#This Row],[priority]],
"Urgent",1,
"High",2,
"Medium",3,
"Low",4
)</f>
        <v>1</v>
      </c>
    </row>
    <row r="1594" spans="1:22" x14ac:dyDescent="0.25">
      <c r="A1594">
        <v>1593</v>
      </c>
      <c r="B1594" s="1">
        <v>45544</v>
      </c>
      <c r="C1594" t="s">
        <v>22</v>
      </c>
      <c r="D1594" t="s">
        <v>11</v>
      </c>
      <c r="E1594">
        <v>95</v>
      </c>
      <c r="F1594">
        <v>55</v>
      </c>
      <c r="G1594">
        <v>9.3000000000000007</v>
      </c>
      <c r="H1594" t="s">
        <v>18</v>
      </c>
      <c r="I1594" t="s">
        <v>13</v>
      </c>
      <c r="J1594" t="s">
        <v>15</v>
      </c>
      <c r="K1594">
        <f>_xlfn.XLOOKUP(tbl_analysis_tickets[[#This Row],[priority]],tbl_sla[priority],tbl_sla[Resolution SLA Hours])</f>
        <v>72</v>
      </c>
      <c r="L1594">
        <f>_xlfn.XLOOKUP(tbl_analysis_tickets[[#This Row],[priority]],tbl_sla[priority],tbl_sla[First Response SLA Minutes])</f>
        <v>240</v>
      </c>
      <c r="M1594" t="str">
        <f>IF(tbl_analysis_tickets[[#This Row],[resolution_time_hours]]&gt;tbl_analysis_tickets[[#This Row],[Resolution SLA Hours]],"Breached","Within SLA")</f>
        <v>Within SLA</v>
      </c>
      <c r="N1594" t="str">
        <f>IF(tbl_analysis_tickets[[#This Row],[first_response_minutes]]&gt;tbl_analysis_tickets[[#This Row],[First Response SLA Minutes]],"Breached","Within SLA")</f>
        <v>Within SLA</v>
      </c>
      <c r="O1594" t="str" cm="1">
        <f t="array" ref="O1594">_xlfn.IFS(
tbl_analysis_tickets[[#This Row],[agent_experience_years]]&lt;=2,"Junior",
tbl_analysis_tickets[[#This Row],[agent_experience_years]]&lt;=5,"Mid-Level",
tbl_analysis_tickets[[#This Row],[agent_experience_years]]&lt;=8,"Senior",
tbl_analysis_tickets[[#This Row],[agent_experience_years]]&gt;8,"Expert"
)</f>
        <v>Expert</v>
      </c>
      <c r="P1594" cm="1">
        <f t="array" ref="P1594">_xlfn.SWITCH(tbl_analysis_tickets[[#This Row],[customer_satisfaction]],
"Low",1,
"Medium",2,
"High",3
)</f>
        <v>2</v>
      </c>
      <c r="Q1594">
        <f>IF(tbl_analysis_tickets[[#This Row],[reopened]]="Yes",1,0)</f>
        <v>0</v>
      </c>
      <c r="R1594" t="str" cm="1">
        <f t="array" ref="R1594">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594" t="str" cm="1">
        <f t="array" ref="S159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594" t="str">
        <f>TEXT(tbl_analysis_tickets[[#This Row],[created_date]],"mmm-yyyy")</f>
        <v>Sep-2024</v>
      </c>
      <c r="U1594" t="str">
        <f>TEXT(tbl_analysis_tickets[[#This Row],[created_date]],"dddd")</f>
        <v>Monday</v>
      </c>
      <c r="V1594" cm="1">
        <f t="array" ref="V1594">_xlfn.SWITCH(tbl_analysis_tickets[[#This Row],[priority]],
"Urgent",1,
"High",2,
"Medium",3,
"Low",4
)</f>
        <v>4</v>
      </c>
    </row>
    <row r="1595" spans="1:22" x14ac:dyDescent="0.25">
      <c r="A1595">
        <v>1594</v>
      </c>
      <c r="B1595" s="1">
        <v>45415</v>
      </c>
      <c r="C1595" t="s">
        <v>22</v>
      </c>
      <c r="D1595" t="s">
        <v>15</v>
      </c>
      <c r="E1595">
        <v>105</v>
      </c>
      <c r="F1595">
        <v>33</v>
      </c>
      <c r="G1595">
        <v>6.5</v>
      </c>
      <c r="H1595" t="s">
        <v>18</v>
      </c>
      <c r="I1595" t="s">
        <v>16</v>
      </c>
      <c r="J1595" t="s">
        <v>15</v>
      </c>
      <c r="K1595">
        <f>_xlfn.XLOOKUP(tbl_analysis_tickets[[#This Row],[priority]],tbl_sla[priority],tbl_sla[Resolution SLA Hours])</f>
        <v>48</v>
      </c>
      <c r="L1595">
        <f>_xlfn.XLOOKUP(tbl_analysis_tickets[[#This Row],[priority]],tbl_sla[priority],tbl_sla[First Response SLA Minutes])</f>
        <v>120</v>
      </c>
      <c r="M1595" t="str">
        <f>IF(tbl_analysis_tickets[[#This Row],[resolution_time_hours]]&gt;tbl_analysis_tickets[[#This Row],[Resolution SLA Hours]],"Breached","Within SLA")</f>
        <v>Within SLA</v>
      </c>
      <c r="N1595" t="str">
        <f>IF(tbl_analysis_tickets[[#This Row],[first_response_minutes]]&gt;tbl_analysis_tickets[[#This Row],[First Response SLA Minutes]],"Breached","Within SLA")</f>
        <v>Within SLA</v>
      </c>
      <c r="O1595" t="str" cm="1">
        <f t="array" ref="O1595">_xlfn.IFS(
tbl_analysis_tickets[[#This Row],[agent_experience_years]]&lt;=2,"Junior",
tbl_analysis_tickets[[#This Row],[agent_experience_years]]&lt;=5,"Mid-Level",
tbl_analysis_tickets[[#This Row],[agent_experience_years]]&lt;=8,"Senior",
tbl_analysis_tickets[[#This Row],[agent_experience_years]]&gt;8,"Expert"
)</f>
        <v>Senior</v>
      </c>
      <c r="P1595" cm="1">
        <f t="array" ref="P1595">_xlfn.SWITCH(tbl_analysis_tickets[[#This Row],[customer_satisfaction]],
"Low",1,
"Medium",2,
"High",3
)</f>
        <v>2</v>
      </c>
      <c r="Q1595">
        <f>IF(tbl_analysis_tickets[[#This Row],[reopened]]="Yes",1,0)</f>
        <v>0</v>
      </c>
      <c r="R1595" t="str" cm="1">
        <f t="array" ref="R1595">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595" t="str" cm="1">
        <f t="array" ref="S159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595" t="str">
        <f>TEXT(tbl_analysis_tickets[[#This Row],[created_date]],"mmm-yyyy")</f>
        <v>May-2024</v>
      </c>
      <c r="U1595" t="str">
        <f>TEXT(tbl_analysis_tickets[[#This Row],[created_date]],"dddd")</f>
        <v>Friday</v>
      </c>
      <c r="V1595" cm="1">
        <f t="array" ref="V1595">_xlfn.SWITCH(tbl_analysis_tickets[[#This Row],[priority]],
"Urgent",1,
"High",2,
"Medium",3,
"Low",4
)</f>
        <v>3</v>
      </c>
    </row>
    <row r="1596" spans="1:22" x14ac:dyDescent="0.25">
      <c r="A1596">
        <v>1595</v>
      </c>
      <c r="B1596" s="1">
        <v>45465</v>
      </c>
      <c r="C1596" t="s">
        <v>21</v>
      </c>
      <c r="D1596" t="s">
        <v>15</v>
      </c>
      <c r="E1596">
        <v>188</v>
      </c>
      <c r="F1596">
        <v>59</v>
      </c>
      <c r="G1596">
        <v>7</v>
      </c>
      <c r="H1596" t="s">
        <v>12</v>
      </c>
      <c r="I1596" t="s">
        <v>16</v>
      </c>
      <c r="J1596" t="s">
        <v>11</v>
      </c>
      <c r="K1596">
        <f>_xlfn.XLOOKUP(tbl_analysis_tickets[[#This Row],[priority]],tbl_sla[priority],tbl_sla[Resolution SLA Hours])</f>
        <v>48</v>
      </c>
      <c r="L1596">
        <f>_xlfn.XLOOKUP(tbl_analysis_tickets[[#This Row],[priority]],tbl_sla[priority],tbl_sla[First Response SLA Minutes])</f>
        <v>120</v>
      </c>
      <c r="M1596" t="str">
        <f>IF(tbl_analysis_tickets[[#This Row],[resolution_time_hours]]&gt;tbl_analysis_tickets[[#This Row],[Resolution SLA Hours]],"Breached","Within SLA")</f>
        <v>Breached</v>
      </c>
      <c r="N1596" t="str">
        <f>IF(tbl_analysis_tickets[[#This Row],[first_response_minutes]]&gt;tbl_analysis_tickets[[#This Row],[First Response SLA Minutes]],"Breached","Within SLA")</f>
        <v>Breached</v>
      </c>
      <c r="O1596" t="str" cm="1">
        <f t="array" ref="O1596">_xlfn.IFS(
tbl_analysis_tickets[[#This Row],[agent_experience_years]]&lt;=2,"Junior",
tbl_analysis_tickets[[#This Row],[agent_experience_years]]&lt;=5,"Mid-Level",
tbl_analysis_tickets[[#This Row],[agent_experience_years]]&lt;=8,"Senior",
tbl_analysis_tickets[[#This Row],[agent_experience_years]]&gt;8,"Expert"
)</f>
        <v>Senior</v>
      </c>
      <c r="P1596" cm="1">
        <f t="array" ref="P1596">_xlfn.SWITCH(tbl_analysis_tickets[[#This Row],[customer_satisfaction]],
"Low",1,
"Medium",2,
"High",3
)</f>
        <v>1</v>
      </c>
      <c r="Q1596">
        <f>IF(tbl_analysis_tickets[[#This Row],[reopened]]="Yes",1,0)</f>
        <v>1</v>
      </c>
      <c r="R1596" t="str" cm="1">
        <f t="array" ref="R1596">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596" t="str" cm="1">
        <f t="array" ref="S159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596" t="str">
        <f>TEXT(tbl_analysis_tickets[[#This Row],[created_date]],"mmm-yyyy")</f>
        <v>Jun-2024</v>
      </c>
      <c r="U1596" t="str">
        <f>TEXT(tbl_analysis_tickets[[#This Row],[created_date]],"dddd")</f>
        <v>Saturday</v>
      </c>
      <c r="V1596" cm="1">
        <f t="array" ref="V1596">_xlfn.SWITCH(tbl_analysis_tickets[[#This Row],[priority]],
"Urgent",1,
"High",2,
"Medium",3,
"Low",4
)</f>
        <v>3</v>
      </c>
    </row>
    <row r="1597" spans="1:22" x14ac:dyDescent="0.25">
      <c r="A1597">
        <v>1596</v>
      </c>
      <c r="B1597" s="1">
        <v>45436</v>
      </c>
      <c r="C1597" t="s">
        <v>23</v>
      </c>
      <c r="D1597" t="s">
        <v>11</v>
      </c>
      <c r="E1597">
        <v>211</v>
      </c>
      <c r="F1597">
        <v>67</v>
      </c>
      <c r="G1597">
        <v>8</v>
      </c>
      <c r="H1597" t="s">
        <v>12</v>
      </c>
      <c r="I1597" t="s">
        <v>13</v>
      </c>
      <c r="J1597" t="s">
        <v>11</v>
      </c>
      <c r="K1597">
        <f>_xlfn.XLOOKUP(tbl_analysis_tickets[[#This Row],[priority]],tbl_sla[priority],tbl_sla[Resolution SLA Hours])</f>
        <v>72</v>
      </c>
      <c r="L1597">
        <f>_xlfn.XLOOKUP(tbl_analysis_tickets[[#This Row],[priority]],tbl_sla[priority],tbl_sla[First Response SLA Minutes])</f>
        <v>240</v>
      </c>
      <c r="M1597" t="str">
        <f>IF(tbl_analysis_tickets[[#This Row],[resolution_time_hours]]&gt;tbl_analysis_tickets[[#This Row],[Resolution SLA Hours]],"Breached","Within SLA")</f>
        <v>Within SLA</v>
      </c>
      <c r="N1597" t="str">
        <f>IF(tbl_analysis_tickets[[#This Row],[first_response_minutes]]&gt;tbl_analysis_tickets[[#This Row],[First Response SLA Minutes]],"Breached","Within SLA")</f>
        <v>Within SLA</v>
      </c>
      <c r="O1597" t="str" cm="1">
        <f t="array" ref="O1597">_xlfn.IFS(
tbl_analysis_tickets[[#This Row],[agent_experience_years]]&lt;=2,"Junior",
tbl_analysis_tickets[[#This Row],[agent_experience_years]]&lt;=5,"Mid-Level",
tbl_analysis_tickets[[#This Row],[agent_experience_years]]&lt;=8,"Senior",
tbl_analysis_tickets[[#This Row],[agent_experience_years]]&gt;8,"Expert"
)</f>
        <v>Senior</v>
      </c>
      <c r="P1597" cm="1">
        <f t="array" ref="P1597">_xlfn.SWITCH(tbl_analysis_tickets[[#This Row],[customer_satisfaction]],
"Low",1,
"Medium",2,
"High",3
)</f>
        <v>1</v>
      </c>
      <c r="Q1597">
        <f>IF(tbl_analysis_tickets[[#This Row],[reopened]]="Yes",1,0)</f>
        <v>1</v>
      </c>
      <c r="R1597" t="str" cm="1">
        <f t="array" ref="R1597">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597" t="str" cm="1">
        <f t="array" ref="S159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597" t="str">
        <f>TEXT(tbl_analysis_tickets[[#This Row],[created_date]],"mmm-yyyy")</f>
        <v>May-2024</v>
      </c>
      <c r="U1597" t="str">
        <f>TEXT(tbl_analysis_tickets[[#This Row],[created_date]],"dddd")</f>
        <v>Friday</v>
      </c>
      <c r="V1597" cm="1">
        <f t="array" ref="V1597">_xlfn.SWITCH(tbl_analysis_tickets[[#This Row],[priority]],
"Urgent",1,
"High",2,
"Medium",3,
"Low",4
)</f>
        <v>4</v>
      </c>
    </row>
    <row r="1598" spans="1:22" x14ac:dyDescent="0.25">
      <c r="A1598">
        <v>1597</v>
      </c>
      <c r="B1598" s="1">
        <v>45505</v>
      </c>
      <c r="C1598" t="s">
        <v>22</v>
      </c>
      <c r="D1598" t="s">
        <v>20</v>
      </c>
      <c r="E1598">
        <v>41</v>
      </c>
      <c r="F1598">
        <v>58</v>
      </c>
      <c r="G1598">
        <v>8</v>
      </c>
      <c r="H1598" t="s">
        <v>18</v>
      </c>
      <c r="I1598" t="s">
        <v>19</v>
      </c>
      <c r="J1598" t="s">
        <v>11</v>
      </c>
      <c r="K1598">
        <f>_xlfn.XLOOKUP(tbl_analysis_tickets[[#This Row],[priority]],tbl_sla[priority],tbl_sla[Resolution SLA Hours])</f>
        <v>24</v>
      </c>
      <c r="L1598">
        <f>_xlfn.XLOOKUP(tbl_analysis_tickets[[#This Row],[priority]],tbl_sla[priority],tbl_sla[First Response SLA Minutes])</f>
        <v>60</v>
      </c>
      <c r="M1598" t="str">
        <f>IF(tbl_analysis_tickets[[#This Row],[resolution_time_hours]]&gt;tbl_analysis_tickets[[#This Row],[Resolution SLA Hours]],"Breached","Within SLA")</f>
        <v>Breached</v>
      </c>
      <c r="N1598" t="str">
        <f>IF(tbl_analysis_tickets[[#This Row],[first_response_minutes]]&gt;tbl_analysis_tickets[[#This Row],[First Response SLA Minutes]],"Breached","Within SLA")</f>
        <v>Within SLA</v>
      </c>
      <c r="O1598" t="str" cm="1">
        <f t="array" ref="O1598">_xlfn.IFS(
tbl_analysis_tickets[[#This Row],[agent_experience_years]]&lt;=2,"Junior",
tbl_analysis_tickets[[#This Row],[agent_experience_years]]&lt;=5,"Mid-Level",
tbl_analysis_tickets[[#This Row],[agent_experience_years]]&lt;=8,"Senior",
tbl_analysis_tickets[[#This Row],[agent_experience_years]]&gt;8,"Expert"
)</f>
        <v>Senior</v>
      </c>
      <c r="P1598" cm="1">
        <f t="array" ref="P1598">_xlfn.SWITCH(tbl_analysis_tickets[[#This Row],[customer_satisfaction]],
"Low",1,
"Medium",2,
"High",3
)</f>
        <v>1</v>
      </c>
      <c r="Q1598">
        <f>IF(tbl_analysis_tickets[[#This Row],[reopened]]="Yes",1,0)</f>
        <v>0</v>
      </c>
      <c r="R1598" t="str" cm="1">
        <f t="array" ref="R1598">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598" t="str" cm="1">
        <f t="array" ref="S159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598" t="str">
        <f>TEXT(tbl_analysis_tickets[[#This Row],[created_date]],"mmm-yyyy")</f>
        <v>Aug-2024</v>
      </c>
      <c r="U1598" t="str">
        <f>TEXT(tbl_analysis_tickets[[#This Row],[created_date]],"dddd")</f>
        <v>Thursday</v>
      </c>
      <c r="V1598" cm="1">
        <f t="array" ref="V1598">_xlfn.SWITCH(tbl_analysis_tickets[[#This Row],[priority]],
"Urgent",1,
"High",2,
"Medium",3,
"Low",4
)</f>
        <v>2</v>
      </c>
    </row>
    <row r="1599" spans="1:22" x14ac:dyDescent="0.25">
      <c r="A1599">
        <v>1598</v>
      </c>
      <c r="B1599" s="1">
        <v>45477</v>
      </c>
      <c r="C1599" t="s">
        <v>23</v>
      </c>
      <c r="D1599" t="s">
        <v>11</v>
      </c>
      <c r="E1599">
        <v>77</v>
      </c>
      <c r="F1599">
        <v>2</v>
      </c>
      <c r="G1599">
        <v>8.1</v>
      </c>
      <c r="H1599" t="s">
        <v>18</v>
      </c>
      <c r="I1599" t="s">
        <v>13</v>
      </c>
      <c r="J1599" t="s">
        <v>20</v>
      </c>
      <c r="K1599">
        <f>_xlfn.XLOOKUP(tbl_analysis_tickets[[#This Row],[priority]],tbl_sla[priority],tbl_sla[Resolution SLA Hours])</f>
        <v>72</v>
      </c>
      <c r="L1599">
        <f>_xlfn.XLOOKUP(tbl_analysis_tickets[[#This Row],[priority]],tbl_sla[priority],tbl_sla[First Response SLA Minutes])</f>
        <v>240</v>
      </c>
      <c r="M1599" t="str">
        <f>IF(tbl_analysis_tickets[[#This Row],[resolution_time_hours]]&gt;tbl_analysis_tickets[[#This Row],[Resolution SLA Hours]],"Breached","Within SLA")</f>
        <v>Within SLA</v>
      </c>
      <c r="N1599" t="str">
        <f>IF(tbl_analysis_tickets[[#This Row],[first_response_minutes]]&gt;tbl_analysis_tickets[[#This Row],[First Response SLA Minutes]],"Breached","Within SLA")</f>
        <v>Within SLA</v>
      </c>
      <c r="O1599" t="str" cm="1">
        <f t="array" ref="O1599">_xlfn.IFS(
tbl_analysis_tickets[[#This Row],[agent_experience_years]]&lt;=2,"Junior",
tbl_analysis_tickets[[#This Row],[agent_experience_years]]&lt;=5,"Mid-Level",
tbl_analysis_tickets[[#This Row],[agent_experience_years]]&lt;=8,"Senior",
tbl_analysis_tickets[[#This Row],[agent_experience_years]]&gt;8,"Expert"
)</f>
        <v>Expert</v>
      </c>
      <c r="P1599" cm="1">
        <f t="array" ref="P1599">_xlfn.SWITCH(tbl_analysis_tickets[[#This Row],[customer_satisfaction]],
"Low",1,
"Medium",2,
"High",3
)</f>
        <v>3</v>
      </c>
      <c r="Q1599">
        <f>IF(tbl_analysis_tickets[[#This Row],[reopened]]="Yes",1,0)</f>
        <v>0</v>
      </c>
      <c r="R1599" t="str" cm="1">
        <f t="array" ref="R1599">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599" t="str" cm="1">
        <f t="array" ref="S159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1599" t="str">
        <f>TEXT(tbl_analysis_tickets[[#This Row],[created_date]],"mmm-yyyy")</f>
        <v>Jul-2024</v>
      </c>
      <c r="U1599" t="str">
        <f>TEXT(tbl_analysis_tickets[[#This Row],[created_date]],"dddd")</f>
        <v>Thursday</v>
      </c>
      <c r="V1599" cm="1">
        <f t="array" ref="V1599">_xlfn.SWITCH(tbl_analysis_tickets[[#This Row],[priority]],
"Urgent",1,
"High",2,
"Medium",3,
"Low",4
)</f>
        <v>4</v>
      </c>
    </row>
    <row r="1600" spans="1:22" x14ac:dyDescent="0.25">
      <c r="A1600">
        <v>1599</v>
      </c>
      <c r="B1600" s="1">
        <v>45603</v>
      </c>
      <c r="C1600" t="s">
        <v>14</v>
      </c>
      <c r="D1600" t="s">
        <v>11</v>
      </c>
      <c r="E1600">
        <v>222</v>
      </c>
      <c r="F1600">
        <v>34</v>
      </c>
      <c r="G1600">
        <v>4</v>
      </c>
      <c r="H1600" t="s">
        <v>12</v>
      </c>
      <c r="I1600" t="s">
        <v>16</v>
      </c>
      <c r="J1600" t="s">
        <v>11</v>
      </c>
      <c r="K1600">
        <f>_xlfn.XLOOKUP(tbl_analysis_tickets[[#This Row],[priority]],tbl_sla[priority],tbl_sla[Resolution SLA Hours])</f>
        <v>72</v>
      </c>
      <c r="L1600">
        <f>_xlfn.XLOOKUP(tbl_analysis_tickets[[#This Row],[priority]],tbl_sla[priority],tbl_sla[First Response SLA Minutes])</f>
        <v>240</v>
      </c>
      <c r="M1600" t="str">
        <f>IF(tbl_analysis_tickets[[#This Row],[resolution_time_hours]]&gt;tbl_analysis_tickets[[#This Row],[Resolution SLA Hours]],"Breached","Within SLA")</f>
        <v>Within SLA</v>
      </c>
      <c r="N1600" t="str">
        <f>IF(tbl_analysis_tickets[[#This Row],[first_response_minutes]]&gt;tbl_analysis_tickets[[#This Row],[First Response SLA Minutes]],"Breached","Within SLA")</f>
        <v>Within SLA</v>
      </c>
      <c r="O1600" t="str" cm="1">
        <f t="array" ref="O1600">_xlfn.IFS(
tbl_analysis_tickets[[#This Row],[agent_experience_years]]&lt;=2,"Junior",
tbl_analysis_tickets[[#This Row],[agent_experience_years]]&lt;=5,"Mid-Level",
tbl_analysis_tickets[[#This Row],[agent_experience_years]]&lt;=8,"Senior",
tbl_analysis_tickets[[#This Row],[agent_experience_years]]&gt;8,"Expert"
)</f>
        <v>Mid-Level</v>
      </c>
      <c r="P1600" cm="1">
        <f t="array" ref="P1600">_xlfn.SWITCH(tbl_analysis_tickets[[#This Row],[customer_satisfaction]],
"Low",1,
"Medium",2,
"High",3
)</f>
        <v>1</v>
      </c>
      <c r="Q1600">
        <f>IF(tbl_analysis_tickets[[#This Row],[reopened]]="Yes",1,0)</f>
        <v>1</v>
      </c>
      <c r="R1600" t="str" cm="1">
        <f t="array" ref="R1600">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600" t="str" cm="1">
        <f t="array" ref="S160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600" t="str">
        <f>TEXT(tbl_analysis_tickets[[#This Row],[created_date]],"mmm-yyyy")</f>
        <v>Nov-2024</v>
      </c>
      <c r="U1600" t="str">
        <f>TEXT(tbl_analysis_tickets[[#This Row],[created_date]],"dddd")</f>
        <v>Thursday</v>
      </c>
      <c r="V1600" cm="1">
        <f t="array" ref="V1600">_xlfn.SWITCH(tbl_analysis_tickets[[#This Row],[priority]],
"Urgent",1,
"High",2,
"Medium",3,
"Low",4
)</f>
        <v>4</v>
      </c>
    </row>
    <row r="1601" spans="1:22" x14ac:dyDescent="0.25">
      <c r="A1601">
        <v>1600</v>
      </c>
      <c r="B1601" s="1">
        <v>45581</v>
      </c>
      <c r="C1601" t="s">
        <v>21</v>
      </c>
      <c r="D1601" t="s">
        <v>20</v>
      </c>
      <c r="E1601">
        <v>6</v>
      </c>
      <c r="F1601">
        <v>12</v>
      </c>
      <c r="G1601">
        <v>3.8</v>
      </c>
      <c r="H1601" t="s">
        <v>18</v>
      </c>
      <c r="I1601" t="s">
        <v>16</v>
      </c>
      <c r="J1601" t="s">
        <v>15</v>
      </c>
      <c r="K1601">
        <f>_xlfn.XLOOKUP(tbl_analysis_tickets[[#This Row],[priority]],tbl_sla[priority],tbl_sla[Resolution SLA Hours])</f>
        <v>24</v>
      </c>
      <c r="L1601">
        <f>_xlfn.XLOOKUP(tbl_analysis_tickets[[#This Row],[priority]],tbl_sla[priority],tbl_sla[First Response SLA Minutes])</f>
        <v>60</v>
      </c>
      <c r="M1601" t="str">
        <f>IF(tbl_analysis_tickets[[#This Row],[resolution_time_hours]]&gt;tbl_analysis_tickets[[#This Row],[Resolution SLA Hours]],"Breached","Within SLA")</f>
        <v>Within SLA</v>
      </c>
      <c r="N1601" t="str">
        <f>IF(tbl_analysis_tickets[[#This Row],[first_response_minutes]]&gt;tbl_analysis_tickets[[#This Row],[First Response SLA Minutes]],"Breached","Within SLA")</f>
        <v>Within SLA</v>
      </c>
      <c r="O1601" t="str" cm="1">
        <f t="array" ref="O1601">_xlfn.IFS(
tbl_analysis_tickets[[#This Row],[agent_experience_years]]&lt;=2,"Junior",
tbl_analysis_tickets[[#This Row],[agent_experience_years]]&lt;=5,"Mid-Level",
tbl_analysis_tickets[[#This Row],[agent_experience_years]]&lt;=8,"Senior",
tbl_analysis_tickets[[#This Row],[agent_experience_years]]&gt;8,"Expert"
)</f>
        <v>Mid-Level</v>
      </c>
      <c r="P1601" cm="1">
        <f t="array" ref="P1601">_xlfn.SWITCH(tbl_analysis_tickets[[#This Row],[customer_satisfaction]],
"Low",1,
"Medium",2,
"High",3
)</f>
        <v>2</v>
      </c>
      <c r="Q1601">
        <f>IF(tbl_analysis_tickets[[#This Row],[reopened]]="Yes",1,0)</f>
        <v>0</v>
      </c>
      <c r="R1601" t="str" cm="1">
        <f t="array" ref="R1601">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1601" t="str" cm="1">
        <f t="array" ref="S160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601" t="str">
        <f>TEXT(tbl_analysis_tickets[[#This Row],[created_date]],"mmm-yyyy")</f>
        <v>Oct-2024</v>
      </c>
      <c r="U1601" t="str">
        <f>TEXT(tbl_analysis_tickets[[#This Row],[created_date]],"dddd")</f>
        <v>Wednesday</v>
      </c>
      <c r="V1601" cm="1">
        <f t="array" ref="V1601">_xlfn.SWITCH(tbl_analysis_tickets[[#This Row],[priority]],
"Urgent",1,
"High",2,
"Medium",3,
"Low",4
)</f>
        <v>2</v>
      </c>
    </row>
    <row r="1602" spans="1:22" x14ac:dyDescent="0.25">
      <c r="A1602">
        <v>1601</v>
      </c>
      <c r="B1602" s="1">
        <v>45333</v>
      </c>
      <c r="C1602" t="s">
        <v>14</v>
      </c>
      <c r="D1602" t="s">
        <v>17</v>
      </c>
      <c r="E1602">
        <v>220</v>
      </c>
      <c r="F1602">
        <v>51</v>
      </c>
      <c r="G1602">
        <v>1.4</v>
      </c>
      <c r="H1602" t="s">
        <v>12</v>
      </c>
      <c r="I1602" t="s">
        <v>16</v>
      </c>
      <c r="J1602" t="s">
        <v>11</v>
      </c>
      <c r="K1602">
        <f>_xlfn.XLOOKUP(tbl_analysis_tickets[[#This Row],[priority]],tbl_sla[priority],tbl_sla[Resolution SLA Hours])</f>
        <v>8</v>
      </c>
      <c r="L1602">
        <f>_xlfn.XLOOKUP(tbl_analysis_tickets[[#This Row],[priority]],tbl_sla[priority],tbl_sla[First Response SLA Minutes])</f>
        <v>30</v>
      </c>
      <c r="M1602" t="str">
        <f>IF(tbl_analysis_tickets[[#This Row],[resolution_time_hours]]&gt;tbl_analysis_tickets[[#This Row],[Resolution SLA Hours]],"Breached","Within SLA")</f>
        <v>Breached</v>
      </c>
      <c r="N1602" t="str">
        <f>IF(tbl_analysis_tickets[[#This Row],[first_response_minutes]]&gt;tbl_analysis_tickets[[#This Row],[First Response SLA Minutes]],"Breached","Within SLA")</f>
        <v>Breached</v>
      </c>
      <c r="O1602" t="str" cm="1">
        <f t="array" ref="O1602">_xlfn.IFS(
tbl_analysis_tickets[[#This Row],[agent_experience_years]]&lt;=2,"Junior",
tbl_analysis_tickets[[#This Row],[agent_experience_years]]&lt;=5,"Mid-Level",
tbl_analysis_tickets[[#This Row],[agent_experience_years]]&lt;=8,"Senior",
tbl_analysis_tickets[[#This Row],[agent_experience_years]]&gt;8,"Expert"
)</f>
        <v>Junior</v>
      </c>
      <c r="P1602" cm="1">
        <f t="array" ref="P1602">_xlfn.SWITCH(tbl_analysis_tickets[[#This Row],[customer_satisfaction]],
"Low",1,
"Medium",2,
"High",3
)</f>
        <v>1</v>
      </c>
      <c r="Q1602">
        <f>IF(tbl_analysis_tickets[[#This Row],[reopened]]="Yes",1,0)</f>
        <v>1</v>
      </c>
      <c r="R1602" t="str" cm="1">
        <f t="array" ref="R1602">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602" t="str" cm="1">
        <f t="array" ref="S160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602" t="str">
        <f>TEXT(tbl_analysis_tickets[[#This Row],[created_date]],"mmm-yyyy")</f>
        <v>Feb-2024</v>
      </c>
      <c r="U1602" t="str">
        <f>TEXT(tbl_analysis_tickets[[#This Row],[created_date]],"dddd")</f>
        <v>Sunday</v>
      </c>
      <c r="V1602" cm="1">
        <f t="array" ref="V1602">_xlfn.SWITCH(tbl_analysis_tickets[[#This Row],[priority]],
"Urgent",1,
"High",2,
"Medium",3,
"Low",4
)</f>
        <v>1</v>
      </c>
    </row>
    <row r="1603" spans="1:22" x14ac:dyDescent="0.25">
      <c r="A1603">
        <v>1602</v>
      </c>
      <c r="B1603" s="1">
        <v>45554</v>
      </c>
      <c r="C1603" t="s">
        <v>22</v>
      </c>
      <c r="D1603" t="s">
        <v>15</v>
      </c>
      <c r="E1603">
        <v>232</v>
      </c>
      <c r="F1603">
        <v>70</v>
      </c>
      <c r="G1603">
        <v>3.3</v>
      </c>
      <c r="H1603" t="s">
        <v>12</v>
      </c>
      <c r="I1603" t="s">
        <v>19</v>
      </c>
      <c r="J1603" t="s">
        <v>11</v>
      </c>
      <c r="K1603">
        <f>_xlfn.XLOOKUP(tbl_analysis_tickets[[#This Row],[priority]],tbl_sla[priority],tbl_sla[Resolution SLA Hours])</f>
        <v>48</v>
      </c>
      <c r="L1603">
        <f>_xlfn.XLOOKUP(tbl_analysis_tickets[[#This Row],[priority]],tbl_sla[priority],tbl_sla[First Response SLA Minutes])</f>
        <v>120</v>
      </c>
      <c r="M1603" t="str">
        <f>IF(tbl_analysis_tickets[[#This Row],[resolution_time_hours]]&gt;tbl_analysis_tickets[[#This Row],[Resolution SLA Hours]],"Breached","Within SLA")</f>
        <v>Breached</v>
      </c>
      <c r="N1603" t="str">
        <f>IF(tbl_analysis_tickets[[#This Row],[first_response_minutes]]&gt;tbl_analysis_tickets[[#This Row],[First Response SLA Minutes]],"Breached","Within SLA")</f>
        <v>Breached</v>
      </c>
      <c r="O1603" t="str" cm="1">
        <f t="array" ref="O1603">_xlfn.IFS(
tbl_analysis_tickets[[#This Row],[agent_experience_years]]&lt;=2,"Junior",
tbl_analysis_tickets[[#This Row],[agent_experience_years]]&lt;=5,"Mid-Level",
tbl_analysis_tickets[[#This Row],[agent_experience_years]]&lt;=8,"Senior",
tbl_analysis_tickets[[#This Row],[agent_experience_years]]&gt;8,"Expert"
)</f>
        <v>Mid-Level</v>
      </c>
      <c r="P1603" cm="1">
        <f t="array" ref="P1603">_xlfn.SWITCH(tbl_analysis_tickets[[#This Row],[customer_satisfaction]],
"Low",1,
"Medium",2,
"High",3
)</f>
        <v>1</v>
      </c>
      <c r="Q1603">
        <f>IF(tbl_analysis_tickets[[#This Row],[reopened]]="Yes",1,0)</f>
        <v>1</v>
      </c>
      <c r="R1603" t="str" cm="1">
        <f t="array" ref="R1603">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603" t="str" cm="1">
        <f t="array" ref="S160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603" t="str">
        <f>TEXT(tbl_analysis_tickets[[#This Row],[created_date]],"mmm-yyyy")</f>
        <v>Sep-2024</v>
      </c>
      <c r="U1603" t="str">
        <f>TEXT(tbl_analysis_tickets[[#This Row],[created_date]],"dddd")</f>
        <v>Thursday</v>
      </c>
      <c r="V1603" cm="1">
        <f t="array" ref="V1603">_xlfn.SWITCH(tbl_analysis_tickets[[#This Row],[priority]],
"Urgent",1,
"High",2,
"Medium",3,
"Low",4
)</f>
        <v>3</v>
      </c>
    </row>
    <row r="1604" spans="1:22" x14ac:dyDescent="0.25">
      <c r="A1604">
        <v>1603</v>
      </c>
      <c r="B1604" s="1">
        <v>45524</v>
      </c>
      <c r="C1604" t="s">
        <v>23</v>
      </c>
      <c r="D1604" t="s">
        <v>15</v>
      </c>
      <c r="E1604">
        <v>145</v>
      </c>
      <c r="F1604">
        <v>3</v>
      </c>
      <c r="G1604">
        <v>0.8</v>
      </c>
      <c r="H1604" t="s">
        <v>18</v>
      </c>
      <c r="I1604" t="s">
        <v>16</v>
      </c>
      <c r="J1604" t="s">
        <v>15</v>
      </c>
      <c r="K1604">
        <f>_xlfn.XLOOKUP(tbl_analysis_tickets[[#This Row],[priority]],tbl_sla[priority],tbl_sla[Resolution SLA Hours])</f>
        <v>48</v>
      </c>
      <c r="L1604">
        <f>_xlfn.XLOOKUP(tbl_analysis_tickets[[#This Row],[priority]],tbl_sla[priority],tbl_sla[First Response SLA Minutes])</f>
        <v>120</v>
      </c>
      <c r="M1604" t="str">
        <f>IF(tbl_analysis_tickets[[#This Row],[resolution_time_hours]]&gt;tbl_analysis_tickets[[#This Row],[Resolution SLA Hours]],"Breached","Within SLA")</f>
        <v>Within SLA</v>
      </c>
      <c r="N1604" t="str">
        <f>IF(tbl_analysis_tickets[[#This Row],[first_response_minutes]]&gt;tbl_analysis_tickets[[#This Row],[First Response SLA Minutes]],"Breached","Within SLA")</f>
        <v>Breached</v>
      </c>
      <c r="O1604" t="str" cm="1">
        <f t="array" ref="O1604">_xlfn.IFS(
tbl_analysis_tickets[[#This Row],[agent_experience_years]]&lt;=2,"Junior",
tbl_analysis_tickets[[#This Row],[agent_experience_years]]&lt;=5,"Mid-Level",
tbl_analysis_tickets[[#This Row],[agent_experience_years]]&lt;=8,"Senior",
tbl_analysis_tickets[[#This Row],[agent_experience_years]]&gt;8,"Expert"
)</f>
        <v>Junior</v>
      </c>
      <c r="P1604" cm="1">
        <f t="array" ref="P1604">_xlfn.SWITCH(tbl_analysis_tickets[[#This Row],[customer_satisfaction]],
"Low",1,
"Medium",2,
"High",3
)</f>
        <v>2</v>
      </c>
      <c r="Q1604">
        <f>IF(tbl_analysis_tickets[[#This Row],[reopened]]="Yes",1,0)</f>
        <v>0</v>
      </c>
      <c r="R1604" t="str" cm="1">
        <f t="array" ref="R1604">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604" t="str" cm="1">
        <f t="array" ref="S160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1604" t="str">
        <f>TEXT(tbl_analysis_tickets[[#This Row],[created_date]],"mmm-yyyy")</f>
        <v>Aug-2024</v>
      </c>
      <c r="U1604" t="str">
        <f>TEXT(tbl_analysis_tickets[[#This Row],[created_date]],"dddd")</f>
        <v>Tuesday</v>
      </c>
      <c r="V1604" cm="1">
        <f t="array" ref="V1604">_xlfn.SWITCH(tbl_analysis_tickets[[#This Row],[priority]],
"Urgent",1,
"High",2,
"Medium",3,
"Low",4
)</f>
        <v>3</v>
      </c>
    </row>
    <row r="1605" spans="1:22" x14ac:dyDescent="0.25">
      <c r="A1605">
        <v>1604</v>
      </c>
      <c r="B1605" s="1">
        <v>45648</v>
      </c>
      <c r="C1605" t="s">
        <v>23</v>
      </c>
      <c r="D1605" t="s">
        <v>11</v>
      </c>
      <c r="E1605">
        <v>237</v>
      </c>
      <c r="F1605">
        <v>21</v>
      </c>
      <c r="G1605">
        <v>6.9</v>
      </c>
      <c r="H1605" t="s">
        <v>18</v>
      </c>
      <c r="I1605" t="s">
        <v>13</v>
      </c>
      <c r="J1605" t="s">
        <v>15</v>
      </c>
      <c r="K1605">
        <f>_xlfn.XLOOKUP(tbl_analysis_tickets[[#This Row],[priority]],tbl_sla[priority],tbl_sla[Resolution SLA Hours])</f>
        <v>72</v>
      </c>
      <c r="L1605">
        <f>_xlfn.XLOOKUP(tbl_analysis_tickets[[#This Row],[priority]],tbl_sla[priority],tbl_sla[First Response SLA Minutes])</f>
        <v>240</v>
      </c>
      <c r="M1605" t="str">
        <f>IF(tbl_analysis_tickets[[#This Row],[resolution_time_hours]]&gt;tbl_analysis_tickets[[#This Row],[Resolution SLA Hours]],"Breached","Within SLA")</f>
        <v>Within SLA</v>
      </c>
      <c r="N1605" t="str">
        <f>IF(tbl_analysis_tickets[[#This Row],[first_response_minutes]]&gt;tbl_analysis_tickets[[#This Row],[First Response SLA Minutes]],"Breached","Within SLA")</f>
        <v>Within SLA</v>
      </c>
      <c r="O1605" t="str" cm="1">
        <f t="array" ref="O1605">_xlfn.IFS(
tbl_analysis_tickets[[#This Row],[agent_experience_years]]&lt;=2,"Junior",
tbl_analysis_tickets[[#This Row],[agent_experience_years]]&lt;=5,"Mid-Level",
tbl_analysis_tickets[[#This Row],[agent_experience_years]]&lt;=8,"Senior",
tbl_analysis_tickets[[#This Row],[agent_experience_years]]&gt;8,"Expert"
)</f>
        <v>Senior</v>
      </c>
      <c r="P1605" cm="1">
        <f t="array" ref="P1605">_xlfn.SWITCH(tbl_analysis_tickets[[#This Row],[customer_satisfaction]],
"Low",1,
"Medium",2,
"High",3
)</f>
        <v>2</v>
      </c>
      <c r="Q1605">
        <f>IF(tbl_analysis_tickets[[#This Row],[reopened]]="Yes",1,0)</f>
        <v>0</v>
      </c>
      <c r="R1605" t="str" cm="1">
        <f t="array" ref="R1605">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605" t="str" cm="1">
        <f t="array" ref="S160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605" t="str">
        <f>TEXT(tbl_analysis_tickets[[#This Row],[created_date]],"mmm-yyyy")</f>
        <v>Dec-2024</v>
      </c>
      <c r="U1605" t="str">
        <f>TEXT(tbl_analysis_tickets[[#This Row],[created_date]],"dddd")</f>
        <v>Sunday</v>
      </c>
      <c r="V1605" cm="1">
        <f t="array" ref="V1605">_xlfn.SWITCH(tbl_analysis_tickets[[#This Row],[priority]],
"Urgent",1,
"High",2,
"Medium",3,
"Low",4
)</f>
        <v>4</v>
      </c>
    </row>
    <row r="1606" spans="1:22" x14ac:dyDescent="0.25">
      <c r="A1606">
        <v>1605</v>
      </c>
      <c r="B1606" s="1">
        <v>45525</v>
      </c>
      <c r="C1606" t="s">
        <v>21</v>
      </c>
      <c r="D1606" t="s">
        <v>17</v>
      </c>
      <c r="E1606">
        <v>240</v>
      </c>
      <c r="F1606">
        <v>70</v>
      </c>
      <c r="G1606">
        <v>4.3</v>
      </c>
      <c r="H1606" t="s">
        <v>18</v>
      </c>
      <c r="I1606" t="s">
        <v>19</v>
      </c>
      <c r="J1606" t="s">
        <v>11</v>
      </c>
      <c r="K1606">
        <f>_xlfn.XLOOKUP(tbl_analysis_tickets[[#This Row],[priority]],tbl_sla[priority],tbl_sla[Resolution SLA Hours])</f>
        <v>8</v>
      </c>
      <c r="L1606">
        <f>_xlfn.XLOOKUP(tbl_analysis_tickets[[#This Row],[priority]],tbl_sla[priority],tbl_sla[First Response SLA Minutes])</f>
        <v>30</v>
      </c>
      <c r="M1606" t="str">
        <f>IF(tbl_analysis_tickets[[#This Row],[resolution_time_hours]]&gt;tbl_analysis_tickets[[#This Row],[Resolution SLA Hours]],"Breached","Within SLA")</f>
        <v>Breached</v>
      </c>
      <c r="N1606" t="str">
        <f>IF(tbl_analysis_tickets[[#This Row],[first_response_minutes]]&gt;tbl_analysis_tickets[[#This Row],[First Response SLA Minutes]],"Breached","Within SLA")</f>
        <v>Breached</v>
      </c>
      <c r="O1606" t="str" cm="1">
        <f t="array" ref="O1606">_xlfn.IFS(
tbl_analysis_tickets[[#This Row],[agent_experience_years]]&lt;=2,"Junior",
tbl_analysis_tickets[[#This Row],[agent_experience_years]]&lt;=5,"Mid-Level",
tbl_analysis_tickets[[#This Row],[agent_experience_years]]&lt;=8,"Senior",
tbl_analysis_tickets[[#This Row],[agent_experience_years]]&gt;8,"Expert"
)</f>
        <v>Mid-Level</v>
      </c>
      <c r="P1606" cm="1">
        <f t="array" ref="P1606">_xlfn.SWITCH(tbl_analysis_tickets[[#This Row],[customer_satisfaction]],
"Low",1,
"Medium",2,
"High",3
)</f>
        <v>1</v>
      </c>
      <c r="Q1606">
        <f>IF(tbl_analysis_tickets[[#This Row],[reopened]]="Yes",1,0)</f>
        <v>0</v>
      </c>
      <c r="R1606" t="str" cm="1">
        <f t="array" ref="R1606">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606" t="str" cm="1">
        <f t="array" ref="S160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606" t="str">
        <f>TEXT(tbl_analysis_tickets[[#This Row],[created_date]],"mmm-yyyy")</f>
        <v>Aug-2024</v>
      </c>
      <c r="U1606" t="str">
        <f>TEXT(tbl_analysis_tickets[[#This Row],[created_date]],"dddd")</f>
        <v>Wednesday</v>
      </c>
      <c r="V1606" cm="1">
        <f t="array" ref="V1606">_xlfn.SWITCH(tbl_analysis_tickets[[#This Row],[priority]],
"Urgent",1,
"High",2,
"Medium",3,
"Low",4
)</f>
        <v>1</v>
      </c>
    </row>
    <row r="1607" spans="1:22" x14ac:dyDescent="0.25">
      <c r="A1607">
        <v>1606</v>
      </c>
      <c r="B1607" s="1">
        <v>45416</v>
      </c>
      <c r="C1607" t="s">
        <v>21</v>
      </c>
      <c r="D1607" t="s">
        <v>11</v>
      </c>
      <c r="E1607">
        <v>94</v>
      </c>
      <c r="F1607">
        <v>23</v>
      </c>
      <c r="G1607">
        <v>3.1</v>
      </c>
      <c r="H1607" t="s">
        <v>12</v>
      </c>
      <c r="I1607" t="s">
        <v>13</v>
      </c>
      <c r="J1607" t="s">
        <v>11</v>
      </c>
      <c r="K1607">
        <f>_xlfn.XLOOKUP(tbl_analysis_tickets[[#This Row],[priority]],tbl_sla[priority],tbl_sla[Resolution SLA Hours])</f>
        <v>72</v>
      </c>
      <c r="L1607">
        <f>_xlfn.XLOOKUP(tbl_analysis_tickets[[#This Row],[priority]],tbl_sla[priority],tbl_sla[First Response SLA Minutes])</f>
        <v>240</v>
      </c>
      <c r="M1607" t="str">
        <f>IF(tbl_analysis_tickets[[#This Row],[resolution_time_hours]]&gt;tbl_analysis_tickets[[#This Row],[Resolution SLA Hours]],"Breached","Within SLA")</f>
        <v>Within SLA</v>
      </c>
      <c r="N1607" t="str">
        <f>IF(tbl_analysis_tickets[[#This Row],[first_response_minutes]]&gt;tbl_analysis_tickets[[#This Row],[First Response SLA Minutes]],"Breached","Within SLA")</f>
        <v>Within SLA</v>
      </c>
      <c r="O1607" t="str" cm="1">
        <f t="array" ref="O1607">_xlfn.IFS(
tbl_analysis_tickets[[#This Row],[agent_experience_years]]&lt;=2,"Junior",
tbl_analysis_tickets[[#This Row],[agent_experience_years]]&lt;=5,"Mid-Level",
tbl_analysis_tickets[[#This Row],[agent_experience_years]]&lt;=8,"Senior",
tbl_analysis_tickets[[#This Row],[agent_experience_years]]&gt;8,"Expert"
)</f>
        <v>Mid-Level</v>
      </c>
      <c r="P1607" cm="1">
        <f t="array" ref="P1607">_xlfn.SWITCH(tbl_analysis_tickets[[#This Row],[customer_satisfaction]],
"Low",1,
"Medium",2,
"High",3
)</f>
        <v>1</v>
      </c>
      <c r="Q1607">
        <f>IF(tbl_analysis_tickets[[#This Row],[reopened]]="Yes",1,0)</f>
        <v>1</v>
      </c>
      <c r="R1607" t="str" cm="1">
        <f t="array" ref="R1607">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607" t="str" cm="1">
        <f t="array" ref="S160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607" t="str">
        <f>TEXT(tbl_analysis_tickets[[#This Row],[created_date]],"mmm-yyyy")</f>
        <v>May-2024</v>
      </c>
      <c r="U1607" t="str">
        <f>TEXT(tbl_analysis_tickets[[#This Row],[created_date]],"dddd")</f>
        <v>Saturday</v>
      </c>
      <c r="V1607" cm="1">
        <f t="array" ref="V1607">_xlfn.SWITCH(tbl_analysis_tickets[[#This Row],[priority]],
"Urgent",1,
"High",2,
"Medium",3,
"Low",4
)</f>
        <v>4</v>
      </c>
    </row>
    <row r="1608" spans="1:22" x14ac:dyDescent="0.25">
      <c r="A1608">
        <v>1607</v>
      </c>
      <c r="B1608" s="1">
        <v>45456</v>
      </c>
      <c r="C1608" t="s">
        <v>23</v>
      </c>
      <c r="D1608" t="s">
        <v>17</v>
      </c>
      <c r="E1608">
        <v>228</v>
      </c>
      <c r="F1608">
        <v>71</v>
      </c>
      <c r="G1608">
        <v>8.9</v>
      </c>
      <c r="H1608" t="s">
        <v>18</v>
      </c>
      <c r="I1608" t="s">
        <v>16</v>
      </c>
      <c r="J1608" t="s">
        <v>11</v>
      </c>
      <c r="K1608">
        <f>_xlfn.XLOOKUP(tbl_analysis_tickets[[#This Row],[priority]],tbl_sla[priority],tbl_sla[Resolution SLA Hours])</f>
        <v>8</v>
      </c>
      <c r="L1608">
        <f>_xlfn.XLOOKUP(tbl_analysis_tickets[[#This Row],[priority]],tbl_sla[priority],tbl_sla[First Response SLA Minutes])</f>
        <v>30</v>
      </c>
      <c r="M1608" t="str">
        <f>IF(tbl_analysis_tickets[[#This Row],[resolution_time_hours]]&gt;tbl_analysis_tickets[[#This Row],[Resolution SLA Hours]],"Breached","Within SLA")</f>
        <v>Breached</v>
      </c>
      <c r="N1608" t="str">
        <f>IF(tbl_analysis_tickets[[#This Row],[first_response_minutes]]&gt;tbl_analysis_tickets[[#This Row],[First Response SLA Minutes]],"Breached","Within SLA")</f>
        <v>Breached</v>
      </c>
      <c r="O1608" t="str" cm="1">
        <f t="array" ref="O1608">_xlfn.IFS(
tbl_analysis_tickets[[#This Row],[agent_experience_years]]&lt;=2,"Junior",
tbl_analysis_tickets[[#This Row],[agent_experience_years]]&lt;=5,"Mid-Level",
tbl_analysis_tickets[[#This Row],[agent_experience_years]]&lt;=8,"Senior",
tbl_analysis_tickets[[#This Row],[agent_experience_years]]&gt;8,"Expert"
)</f>
        <v>Expert</v>
      </c>
      <c r="P1608" cm="1">
        <f t="array" ref="P1608">_xlfn.SWITCH(tbl_analysis_tickets[[#This Row],[customer_satisfaction]],
"Low",1,
"Medium",2,
"High",3
)</f>
        <v>1</v>
      </c>
      <c r="Q1608">
        <f>IF(tbl_analysis_tickets[[#This Row],[reopened]]="Yes",1,0)</f>
        <v>0</v>
      </c>
      <c r="R1608" t="str" cm="1">
        <f t="array" ref="R1608">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608" t="str" cm="1">
        <f t="array" ref="S160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608" t="str">
        <f>TEXT(tbl_analysis_tickets[[#This Row],[created_date]],"mmm-yyyy")</f>
        <v>Jun-2024</v>
      </c>
      <c r="U1608" t="str">
        <f>TEXT(tbl_analysis_tickets[[#This Row],[created_date]],"dddd")</f>
        <v>Thursday</v>
      </c>
      <c r="V1608" cm="1">
        <f t="array" ref="V1608">_xlfn.SWITCH(tbl_analysis_tickets[[#This Row],[priority]],
"Urgent",1,
"High",2,
"Medium",3,
"Low",4
)</f>
        <v>1</v>
      </c>
    </row>
    <row r="1609" spans="1:22" x14ac:dyDescent="0.25">
      <c r="A1609">
        <v>1608</v>
      </c>
      <c r="B1609" s="1">
        <v>45548</v>
      </c>
      <c r="C1609" t="s">
        <v>10</v>
      </c>
      <c r="D1609" t="s">
        <v>11</v>
      </c>
      <c r="E1609">
        <v>234</v>
      </c>
      <c r="F1609">
        <v>19</v>
      </c>
      <c r="G1609">
        <v>2.9</v>
      </c>
      <c r="H1609" t="s">
        <v>18</v>
      </c>
      <c r="I1609" t="s">
        <v>13</v>
      </c>
      <c r="J1609" t="s">
        <v>11</v>
      </c>
      <c r="K1609">
        <f>_xlfn.XLOOKUP(tbl_analysis_tickets[[#This Row],[priority]],tbl_sla[priority],tbl_sla[Resolution SLA Hours])</f>
        <v>72</v>
      </c>
      <c r="L1609">
        <f>_xlfn.XLOOKUP(tbl_analysis_tickets[[#This Row],[priority]],tbl_sla[priority],tbl_sla[First Response SLA Minutes])</f>
        <v>240</v>
      </c>
      <c r="M1609" t="str">
        <f>IF(tbl_analysis_tickets[[#This Row],[resolution_time_hours]]&gt;tbl_analysis_tickets[[#This Row],[Resolution SLA Hours]],"Breached","Within SLA")</f>
        <v>Within SLA</v>
      </c>
      <c r="N1609" t="str">
        <f>IF(tbl_analysis_tickets[[#This Row],[first_response_minutes]]&gt;tbl_analysis_tickets[[#This Row],[First Response SLA Minutes]],"Breached","Within SLA")</f>
        <v>Within SLA</v>
      </c>
      <c r="O1609" t="str" cm="1">
        <f t="array" ref="O1609">_xlfn.IFS(
tbl_analysis_tickets[[#This Row],[agent_experience_years]]&lt;=2,"Junior",
tbl_analysis_tickets[[#This Row],[agent_experience_years]]&lt;=5,"Mid-Level",
tbl_analysis_tickets[[#This Row],[agent_experience_years]]&lt;=8,"Senior",
tbl_analysis_tickets[[#This Row],[agent_experience_years]]&gt;8,"Expert"
)</f>
        <v>Mid-Level</v>
      </c>
      <c r="P1609" cm="1">
        <f t="array" ref="P1609">_xlfn.SWITCH(tbl_analysis_tickets[[#This Row],[customer_satisfaction]],
"Low",1,
"Medium",2,
"High",3
)</f>
        <v>1</v>
      </c>
      <c r="Q1609">
        <f>IF(tbl_analysis_tickets[[#This Row],[reopened]]="Yes",1,0)</f>
        <v>0</v>
      </c>
      <c r="R1609" t="str" cm="1">
        <f t="array" ref="R1609">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609" t="str" cm="1">
        <f t="array" ref="S160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609" t="str">
        <f>TEXT(tbl_analysis_tickets[[#This Row],[created_date]],"mmm-yyyy")</f>
        <v>Sep-2024</v>
      </c>
      <c r="U1609" t="str">
        <f>TEXT(tbl_analysis_tickets[[#This Row],[created_date]],"dddd")</f>
        <v>Friday</v>
      </c>
      <c r="V1609" cm="1">
        <f t="array" ref="V1609">_xlfn.SWITCH(tbl_analysis_tickets[[#This Row],[priority]],
"Urgent",1,
"High",2,
"Medium",3,
"Low",4
)</f>
        <v>4</v>
      </c>
    </row>
    <row r="1610" spans="1:22" x14ac:dyDescent="0.25">
      <c r="A1610">
        <v>1609</v>
      </c>
      <c r="B1610" s="1">
        <v>45304</v>
      </c>
      <c r="C1610" t="s">
        <v>22</v>
      </c>
      <c r="D1610" t="s">
        <v>20</v>
      </c>
      <c r="E1610">
        <v>101</v>
      </c>
      <c r="F1610">
        <v>39</v>
      </c>
      <c r="G1610">
        <v>3.7</v>
      </c>
      <c r="H1610" t="s">
        <v>18</v>
      </c>
      <c r="I1610" t="s">
        <v>19</v>
      </c>
      <c r="J1610" t="s">
        <v>11</v>
      </c>
      <c r="K1610">
        <f>_xlfn.XLOOKUP(tbl_analysis_tickets[[#This Row],[priority]],tbl_sla[priority],tbl_sla[Resolution SLA Hours])</f>
        <v>24</v>
      </c>
      <c r="L1610">
        <f>_xlfn.XLOOKUP(tbl_analysis_tickets[[#This Row],[priority]],tbl_sla[priority],tbl_sla[First Response SLA Minutes])</f>
        <v>60</v>
      </c>
      <c r="M1610" t="str">
        <f>IF(tbl_analysis_tickets[[#This Row],[resolution_time_hours]]&gt;tbl_analysis_tickets[[#This Row],[Resolution SLA Hours]],"Breached","Within SLA")</f>
        <v>Breached</v>
      </c>
      <c r="N1610" t="str">
        <f>IF(tbl_analysis_tickets[[#This Row],[first_response_minutes]]&gt;tbl_analysis_tickets[[#This Row],[First Response SLA Minutes]],"Breached","Within SLA")</f>
        <v>Breached</v>
      </c>
      <c r="O1610" t="str" cm="1">
        <f t="array" ref="O1610">_xlfn.IFS(
tbl_analysis_tickets[[#This Row],[agent_experience_years]]&lt;=2,"Junior",
tbl_analysis_tickets[[#This Row],[agent_experience_years]]&lt;=5,"Mid-Level",
tbl_analysis_tickets[[#This Row],[agent_experience_years]]&lt;=8,"Senior",
tbl_analysis_tickets[[#This Row],[agent_experience_years]]&gt;8,"Expert"
)</f>
        <v>Mid-Level</v>
      </c>
      <c r="P1610" cm="1">
        <f t="array" ref="P1610">_xlfn.SWITCH(tbl_analysis_tickets[[#This Row],[customer_satisfaction]],
"Low",1,
"Medium",2,
"High",3
)</f>
        <v>1</v>
      </c>
      <c r="Q1610">
        <f>IF(tbl_analysis_tickets[[#This Row],[reopened]]="Yes",1,0)</f>
        <v>0</v>
      </c>
      <c r="R1610" t="str" cm="1">
        <f t="array" ref="R1610">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610" t="str" cm="1">
        <f t="array" ref="S161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610" t="str">
        <f>TEXT(tbl_analysis_tickets[[#This Row],[created_date]],"mmm-yyyy")</f>
        <v>Jan-2024</v>
      </c>
      <c r="U1610" t="str">
        <f>TEXT(tbl_analysis_tickets[[#This Row],[created_date]],"dddd")</f>
        <v>Saturday</v>
      </c>
      <c r="V1610" cm="1">
        <f t="array" ref="V1610">_xlfn.SWITCH(tbl_analysis_tickets[[#This Row],[priority]],
"Urgent",1,
"High",2,
"Medium",3,
"Low",4
)</f>
        <v>2</v>
      </c>
    </row>
    <row r="1611" spans="1:22" x14ac:dyDescent="0.25">
      <c r="A1611">
        <v>1610</v>
      </c>
      <c r="B1611" s="1">
        <v>45298</v>
      </c>
      <c r="C1611" t="s">
        <v>14</v>
      </c>
      <c r="D1611" t="s">
        <v>20</v>
      </c>
      <c r="E1611">
        <v>77</v>
      </c>
      <c r="F1611">
        <v>6</v>
      </c>
      <c r="G1611">
        <v>4.0999999999999996</v>
      </c>
      <c r="H1611" t="s">
        <v>18</v>
      </c>
      <c r="I1611" t="s">
        <v>16</v>
      </c>
      <c r="J1611" t="s">
        <v>15</v>
      </c>
      <c r="K1611">
        <f>_xlfn.XLOOKUP(tbl_analysis_tickets[[#This Row],[priority]],tbl_sla[priority],tbl_sla[Resolution SLA Hours])</f>
        <v>24</v>
      </c>
      <c r="L1611">
        <f>_xlfn.XLOOKUP(tbl_analysis_tickets[[#This Row],[priority]],tbl_sla[priority],tbl_sla[First Response SLA Minutes])</f>
        <v>60</v>
      </c>
      <c r="M1611" t="str">
        <f>IF(tbl_analysis_tickets[[#This Row],[resolution_time_hours]]&gt;tbl_analysis_tickets[[#This Row],[Resolution SLA Hours]],"Breached","Within SLA")</f>
        <v>Within SLA</v>
      </c>
      <c r="N1611" t="str">
        <f>IF(tbl_analysis_tickets[[#This Row],[first_response_minutes]]&gt;tbl_analysis_tickets[[#This Row],[First Response SLA Minutes]],"Breached","Within SLA")</f>
        <v>Breached</v>
      </c>
      <c r="O1611" t="str" cm="1">
        <f t="array" ref="O1611">_xlfn.IFS(
tbl_analysis_tickets[[#This Row],[agent_experience_years]]&lt;=2,"Junior",
tbl_analysis_tickets[[#This Row],[agent_experience_years]]&lt;=5,"Mid-Level",
tbl_analysis_tickets[[#This Row],[agent_experience_years]]&lt;=8,"Senior",
tbl_analysis_tickets[[#This Row],[agent_experience_years]]&gt;8,"Expert"
)</f>
        <v>Mid-Level</v>
      </c>
      <c r="P1611" cm="1">
        <f t="array" ref="P1611">_xlfn.SWITCH(tbl_analysis_tickets[[#This Row],[customer_satisfaction]],
"Low",1,
"Medium",2,
"High",3
)</f>
        <v>2</v>
      </c>
      <c r="Q1611">
        <f>IF(tbl_analysis_tickets[[#This Row],[reopened]]="Yes",1,0)</f>
        <v>0</v>
      </c>
      <c r="R1611" t="str" cm="1">
        <f t="array" ref="R1611">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611" t="str" cm="1">
        <f t="array" ref="S161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1611" t="str">
        <f>TEXT(tbl_analysis_tickets[[#This Row],[created_date]],"mmm-yyyy")</f>
        <v>Jan-2024</v>
      </c>
      <c r="U1611" t="str">
        <f>TEXT(tbl_analysis_tickets[[#This Row],[created_date]],"dddd")</f>
        <v>Sunday</v>
      </c>
      <c r="V1611" cm="1">
        <f t="array" ref="V1611">_xlfn.SWITCH(tbl_analysis_tickets[[#This Row],[priority]],
"Urgent",1,
"High",2,
"Medium",3,
"Low",4
)</f>
        <v>2</v>
      </c>
    </row>
    <row r="1612" spans="1:22" x14ac:dyDescent="0.25">
      <c r="A1612">
        <v>1611</v>
      </c>
      <c r="B1612" s="1">
        <v>45546</v>
      </c>
      <c r="C1612" t="s">
        <v>23</v>
      </c>
      <c r="D1612" t="s">
        <v>20</v>
      </c>
      <c r="E1612">
        <v>163</v>
      </c>
      <c r="F1612">
        <v>28</v>
      </c>
      <c r="G1612">
        <v>4.0999999999999996</v>
      </c>
      <c r="H1612" t="s">
        <v>12</v>
      </c>
      <c r="I1612" t="s">
        <v>16</v>
      </c>
      <c r="J1612" t="s">
        <v>11</v>
      </c>
      <c r="K1612">
        <f>_xlfn.XLOOKUP(tbl_analysis_tickets[[#This Row],[priority]],tbl_sla[priority],tbl_sla[Resolution SLA Hours])</f>
        <v>24</v>
      </c>
      <c r="L1612">
        <f>_xlfn.XLOOKUP(tbl_analysis_tickets[[#This Row],[priority]],tbl_sla[priority],tbl_sla[First Response SLA Minutes])</f>
        <v>60</v>
      </c>
      <c r="M1612" t="str">
        <f>IF(tbl_analysis_tickets[[#This Row],[resolution_time_hours]]&gt;tbl_analysis_tickets[[#This Row],[Resolution SLA Hours]],"Breached","Within SLA")</f>
        <v>Breached</v>
      </c>
      <c r="N1612" t="str">
        <f>IF(tbl_analysis_tickets[[#This Row],[first_response_minutes]]&gt;tbl_analysis_tickets[[#This Row],[First Response SLA Minutes]],"Breached","Within SLA")</f>
        <v>Breached</v>
      </c>
      <c r="O1612" t="str" cm="1">
        <f t="array" ref="O1612">_xlfn.IFS(
tbl_analysis_tickets[[#This Row],[agent_experience_years]]&lt;=2,"Junior",
tbl_analysis_tickets[[#This Row],[agent_experience_years]]&lt;=5,"Mid-Level",
tbl_analysis_tickets[[#This Row],[agent_experience_years]]&lt;=8,"Senior",
tbl_analysis_tickets[[#This Row],[agent_experience_years]]&gt;8,"Expert"
)</f>
        <v>Mid-Level</v>
      </c>
      <c r="P1612" cm="1">
        <f t="array" ref="P1612">_xlfn.SWITCH(tbl_analysis_tickets[[#This Row],[customer_satisfaction]],
"Low",1,
"Medium",2,
"High",3
)</f>
        <v>1</v>
      </c>
      <c r="Q1612">
        <f>IF(tbl_analysis_tickets[[#This Row],[reopened]]="Yes",1,0)</f>
        <v>1</v>
      </c>
      <c r="R1612" t="str" cm="1">
        <f t="array" ref="R1612">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612" t="str" cm="1">
        <f t="array" ref="S161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612" t="str">
        <f>TEXT(tbl_analysis_tickets[[#This Row],[created_date]],"mmm-yyyy")</f>
        <v>Sep-2024</v>
      </c>
      <c r="U1612" t="str">
        <f>TEXT(tbl_analysis_tickets[[#This Row],[created_date]],"dddd")</f>
        <v>Wednesday</v>
      </c>
      <c r="V1612" cm="1">
        <f t="array" ref="V1612">_xlfn.SWITCH(tbl_analysis_tickets[[#This Row],[priority]],
"Urgent",1,
"High",2,
"Medium",3,
"Low",4
)</f>
        <v>2</v>
      </c>
    </row>
    <row r="1613" spans="1:22" x14ac:dyDescent="0.25">
      <c r="A1613">
        <v>1612</v>
      </c>
      <c r="B1613" s="1">
        <v>45479</v>
      </c>
      <c r="C1613" t="s">
        <v>22</v>
      </c>
      <c r="D1613" t="s">
        <v>15</v>
      </c>
      <c r="E1613">
        <v>110</v>
      </c>
      <c r="F1613">
        <v>63</v>
      </c>
      <c r="G1613">
        <v>7.2</v>
      </c>
      <c r="H1613" t="s">
        <v>12</v>
      </c>
      <c r="I1613" t="s">
        <v>16</v>
      </c>
      <c r="J1613" t="s">
        <v>11</v>
      </c>
      <c r="K1613">
        <f>_xlfn.XLOOKUP(tbl_analysis_tickets[[#This Row],[priority]],tbl_sla[priority],tbl_sla[Resolution SLA Hours])</f>
        <v>48</v>
      </c>
      <c r="L1613">
        <f>_xlfn.XLOOKUP(tbl_analysis_tickets[[#This Row],[priority]],tbl_sla[priority],tbl_sla[First Response SLA Minutes])</f>
        <v>120</v>
      </c>
      <c r="M1613" t="str">
        <f>IF(tbl_analysis_tickets[[#This Row],[resolution_time_hours]]&gt;tbl_analysis_tickets[[#This Row],[Resolution SLA Hours]],"Breached","Within SLA")</f>
        <v>Breached</v>
      </c>
      <c r="N1613" t="str">
        <f>IF(tbl_analysis_tickets[[#This Row],[first_response_minutes]]&gt;tbl_analysis_tickets[[#This Row],[First Response SLA Minutes]],"Breached","Within SLA")</f>
        <v>Within SLA</v>
      </c>
      <c r="O1613" t="str" cm="1">
        <f t="array" ref="O1613">_xlfn.IFS(
tbl_analysis_tickets[[#This Row],[agent_experience_years]]&lt;=2,"Junior",
tbl_analysis_tickets[[#This Row],[agent_experience_years]]&lt;=5,"Mid-Level",
tbl_analysis_tickets[[#This Row],[agent_experience_years]]&lt;=8,"Senior",
tbl_analysis_tickets[[#This Row],[agent_experience_years]]&gt;8,"Expert"
)</f>
        <v>Senior</v>
      </c>
      <c r="P1613" cm="1">
        <f t="array" ref="P1613">_xlfn.SWITCH(tbl_analysis_tickets[[#This Row],[customer_satisfaction]],
"Low",1,
"Medium",2,
"High",3
)</f>
        <v>1</v>
      </c>
      <c r="Q1613">
        <f>IF(tbl_analysis_tickets[[#This Row],[reopened]]="Yes",1,0)</f>
        <v>1</v>
      </c>
      <c r="R1613" t="str" cm="1">
        <f t="array" ref="R1613">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613" t="str" cm="1">
        <f t="array" ref="S161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613" t="str">
        <f>TEXT(tbl_analysis_tickets[[#This Row],[created_date]],"mmm-yyyy")</f>
        <v>Jul-2024</v>
      </c>
      <c r="U1613" t="str">
        <f>TEXT(tbl_analysis_tickets[[#This Row],[created_date]],"dddd")</f>
        <v>Saturday</v>
      </c>
      <c r="V1613" cm="1">
        <f t="array" ref="V1613">_xlfn.SWITCH(tbl_analysis_tickets[[#This Row],[priority]],
"Urgent",1,
"High",2,
"Medium",3,
"Low",4
)</f>
        <v>3</v>
      </c>
    </row>
    <row r="1614" spans="1:22" x14ac:dyDescent="0.25">
      <c r="A1614">
        <v>1613</v>
      </c>
      <c r="B1614" s="1">
        <v>45610</v>
      </c>
      <c r="C1614" t="s">
        <v>14</v>
      </c>
      <c r="D1614" t="s">
        <v>15</v>
      </c>
      <c r="E1614">
        <v>32</v>
      </c>
      <c r="F1614">
        <v>45</v>
      </c>
      <c r="G1614">
        <v>3.8</v>
      </c>
      <c r="H1614" t="s">
        <v>18</v>
      </c>
      <c r="I1614" t="s">
        <v>19</v>
      </c>
      <c r="J1614" t="s">
        <v>11</v>
      </c>
      <c r="K1614">
        <f>_xlfn.XLOOKUP(tbl_analysis_tickets[[#This Row],[priority]],tbl_sla[priority],tbl_sla[Resolution SLA Hours])</f>
        <v>48</v>
      </c>
      <c r="L1614">
        <f>_xlfn.XLOOKUP(tbl_analysis_tickets[[#This Row],[priority]],tbl_sla[priority],tbl_sla[First Response SLA Minutes])</f>
        <v>120</v>
      </c>
      <c r="M1614" t="str">
        <f>IF(tbl_analysis_tickets[[#This Row],[resolution_time_hours]]&gt;tbl_analysis_tickets[[#This Row],[Resolution SLA Hours]],"Breached","Within SLA")</f>
        <v>Within SLA</v>
      </c>
      <c r="N1614" t="str">
        <f>IF(tbl_analysis_tickets[[#This Row],[first_response_minutes]]&gt;tbl_analysis_tickets[[#This Row],[First Response SLA Minutes]],"Breached","Within SLA")</f>
        <v>Within SLA</v>
      </c>
      <c r="O1614" t="str" cm="1">
        <f t="array" ref="O1614">_xlfn.IFS(
tbl_analysis_tickets[[#This Row],[agent_experience_years]]&lt;=2,"Junior",
tbl_analysis_tickets[[#This Row],[agent_experience_years]]&lt;=5,"Mid-Level",
tbl_analysis_tickets[[#This Row],[agent_experience_years]]&lt;=8,"Senior",
tbl_analysis_tickets[[#This Row],[agent_experience_years]]&gt;8,"Expert"
)</f>
        <v>Mid-Level</v>
      </c>
      <c r="P1614" cm="1">
        <f t="array" ref="P1614">_xlfn.SWITCH(tbl_analysis_tickets[[#This Row],[customer_satisfaction]],
"Low",1,
"Medium",2,
"High",3
)</f>
        <v>1</v>
      </c>
      <c r="Q1614">
        <f>IF(tbl_analysis_tickets[[#This Row],[reopened]]="Yes",1,0)</f>
        <v>0</v>
      </c>
      <c r="R1614" t="str" cm="1">
        <f t="array" ref="R1614">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614" t="str" cm="1">
        <f t="array" ref="S161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614" t="str">
        <f>TEXT(tbl_analysis_tickets[[#This Row],[created_date]],"mmm-yyyy")</f>
        <v>Nov-2024</v>
      </c>
      <c r="U1614" t="str">
        <f>TEXT(tbl_analysis_tickets[[#This Row],[created_date]],"dddd")</f>
        <v>Thursday</v>
      </c>
      <c r="V1614" cm="1">
        <f t="array" ref="V1614">_xlfn.SWITCH(tbl_analysis_tickets[[#This Row],[priority]],
"Urgent",1,
"High",2,
"Medium",3,
"Low",4
)</f>
        <v>3</v>
      </c>
    </row>
    <row r="1615" spans="1:22" x14ac:dyDescent="0.25">
      <c r="A1615">
        <v>1614</v>
      </c>
      <c r="B1615" s="1">
        <v>45577</v>
      </c>
      <c r="C1615" t="s">
        <v>10</v>
      </c>
      <c r="D1615" t="s">
        <v>15</v>
      </c>
      <c r="E1615">
        <v>155</v>
      </c>
      <c r="F1615">
        <v>71</v>
      </c>
      <c r="G1615">
        <v>1.9</v>
      </c>
      <c r="H1615" t="s">
        <v>12</v>
      </c>
      <c r="I1615" t="s">
        <v>19</v>
      </c>
      <c r="J1615" t="s">
        <v>11</v>
      </c>
      <c r="K1615">
        <f>_xlfn.XLOOKUP(tbl_analysis_tickets[[#This Row],[priority]],tbl_sla[priority],tbl_sla[Resolution SLA Hours])</f>
        <v>48</v>
      </c>
      <c r="L1615">
        <f>_xlfn.XLOOKUP(tbl_analysis_tickets[[#This Row],[priority]],tbl_sla[priority],tbl_sla[First Response SLA Minutes])</f>
        <v>120</v>
      </c>
      <c r="M1615" t="str">
        <f>IF(tbl_analysis_tickets[[#This Row],[resolution_time_hours]]&gt;tbl_analysis_tickets[[#This Row],[Resolution SLA Hours]],"Breached","Within SLA")</f>
        <v>Breached</v>
      </c>
      <c r="N1615" t="str">
        <f>IF(tbl_analysis_tickets[[#This Row],[first_response_minutes]]&gt;tbl_analysis_tickets[[#This Row],[First Response SLA Minutes]],"Breached","Within SLA")</f>
        <v>Breached</v>
      </c>
      <c r="O1615" t="str" cm="1">
        <f t="array" ref="O1615">_xlfn.IFS(
tbl_analysis_tickets[[#This Row],[agent_experience_years]]&lt;=2,"Junior",
tbl_analysis_tickets[[#This Row],[agent_experience_years]]&lt;=5,"Mid-Level",
tbl_analysis_tickets[[#This Row],[agent_experience_years]]&lt;=8,"Senior",
tbl_analysis_tickets[[#This Row],[agent_experience_years]]&gt;8,"Expert"
)</f>
        <v>Junior</v>
      </c>
      <c r="P1615" cm="1">
        <f t="array" ref="P1615">_xlfn.SWITCH(tbl_analysis_tickets[[#This Row],[customer_satisfaction]],
"Low",1,
"Medium",2,
"High",3
)</f>
        <v>1</v>
      </c>
      <c r="Q1615">
        <f>IF(tbl_analysis_tickets[[#This Row],[reopened]]="Yes",1,0)</f>
        <v>1</v>
      </c>
      <c r="R1615" t="str" cm="1">
        <f t="array" ref="R1615">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615" t="str" cm="1">
        <f t="array" ref="S161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615" t="str">
        <f>TEXT(tbl_analysis_tickets[[#This Row],[created_date]],"mmm-yyyy")</f>
        <v>Oct-2024</v>
      </c>
      <c r="U1615" t="str">
        <f>TEXT(tbl_analysis_tickets[[#This Row],[created_date]],"dddd")</f>
        <v>Saturday</v>
      </c>
      <c r="V1615" cm="1">
        <f t="array" ref="V1615">_xlfn.SWITCH(tbl_analysis_tickets[[#This Row],[priority]],
"Urgent",1,
"High",2,
"Medium",3,
"Low",4
)</f>
        <v>3</v>
      </c>
    </row>
    <row r="1616" spans="1:22" x14ac:dyDescent="0.25">
      <c r="A1616">
        <v>1615</v>
      </c>
      <c r="B1616" s="1">
        <v>45474</v>
      </c>
      <c r="C1616" t="s">
        <v>21</v>
      </c>
      <c r="D1616" t="s">
        <v>15</v>
      </c>
      <c r="E1616">
        <v>90</v>
      </c>
      <c r="F1616">
        <v>41</v>
      </c>
      <c r="G1616">
        <v>3.5</v>
      </c>
      <c r="H1616" t="s">
        <v>12</v>
      </c>
      <c r="I1616" t="s">
        <v>16</v>
      </c>
      <c r="J1616" t="s">
        <v>11</v>
      </c>
      <c r="K1616">
        <f>_xlfn.XLOOKUP(tbl_analysis_tickets[[#This Row],[priority]],tbl_sla[priority],tbl_sla[Resolution SLA Hours])</f>
        <v>48</v>
      </c>
      <c r="L1616">
        <f>_xlfn.XLOOKUP(tbl_analysis_tickets[[#This Row],[priority]],tbl_sla[priority],tbl_sla[First Response SLA Minutes])</f>
        <v>120</v>
      </c>
      <c r="M1616" t="str">
        <f>IF(tbl_analysis_tickets[[#This Row],[resolution_time_hours]]&gt;tbl_analysis_tickets[[#This Row],[Resolution SLA Hours]],"Breached","Within SLA")</f>
        <v>Within SLA</v>
      </c>
      <c r="N1616" t="str">
        <f>IF(tbl_analysis_tickets[[#This Row],[first_response_minutes]]&gt;tbl_analysis_tickets[[#This Row],[First Response SLA Minutes]],"Breached","Within SLA")</f>
        <v>Within SLA</v>
      </c>
      <c r="O1616" t="str" cm="1">
        <f t="array" ref="O1616">_xlfn.IFS(
tbl_analysis_tickets[[#This Row],[agent_experience_years]]&lt;=2,"Junior",
tbl_analysis_tickets[[#This Row],[agent_experience_years]]&lt;=5,"Mid-Level",
tbl_analysis_tickets[[#This Row],[agent_experience_years]]&lt;=8,"Senior",
tbl_analysis_tickets[[#This Row],[agent_experience_years]]&gt;8,"Expert"
)</f>
        <v>Mid-Level</v>
      </c>
      <c r="P1616" cm="1">
        <f t="array" ref="P1616">_xlfn.SWITCH(tbl_analysis_tickets[[#This Row],[customer_satisfaction]],
"Low",1,
"Medium",2,
"High",3
)</f>
        <v>1</v>
      </c>
      <c r="Q1616">
        <f>IF(tbl_analysis_tickets[[#This Row],[reopened]]="Yes",1,0)</f>
        <v>1</v>
      </c>
      <c r="R1616" t="str" cm="1">
        <f t="array" ref="R1616">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616" t="str" cm="1">
        <f t="array" ref="S161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616" t="str">
        <f>TEXT(tbl_analysis_tickets[[#This Row],[created_date]],"mmm-yyyy")</f>
        <v>Jul-2024</v>
      </c>
      <c r="U1616" t="str">
        <f>TEXT(tbl_analysis_tickets[[#This Row],[created_date]],"dddd")</f>
        <v>Monday</v>
      </c>
      <c r="V1616" cm="1">
        <f t="array" ref="V1616">_xlfn.SWITCH(tbl_analysis_tickets[[#This Row],[priority]],
"Urgent",1,
"High",2,
"Medium",3,
"Low",4
)</f>
        <v>3</v>
      </c>
    </row>
    <row r="1617" spans="1:22" x14ac:dyDescent="0.25">
      <c r="A1617">
        <v>1616</v>
      </c>
      <c r="B1617" s="1">
        <v>45527</v>
      </c>
      <c r="C1617" t="s">
        <v>21</v>
      </c>
      <c r="D1617" t="s">
        <v>15</v>
      </c>
      <c r="E1617">
        <v>210</v>
      </c>
      <c r="F1617">
        <v>58</v>
      </c>
      <c r="G1617">
        <v>10</v>
      </c>
      <c r="H1617" t="s">
        <v>18</v>
      </c>
      <c r="I1617" t="s">
        <v>13</v>
      </c>
      <c r="J1617" t="s">
        <v>15</v>
      </c>
      <c r="K1617">
        <f>_xlfn.XLOOKUP(tbl_analysis_tickets[[#This Row],[priority]],tbl_sla[priority],tbl_sla[Resolution SLA Hours])</f>
        <v>48</v>
      </c>
      <c r="L1617">
        <f>_xlfn.XLOOKUP(tbl_analysis_tickets[[#This Row],[priority]],tbl_sla[priority],tbl_sla[First Response SLA Minutes])</f>
        <v>120</v>
      </c>
      <c r="M1617" t="str">
        <f>IF(tbl_analysis_tickets[[#This Row],[resolution_time_hours]]&gt;tbl_analysis_tickets[[#This Row],[Resolution SLA Hours]],"Breached","Within SLA")</f>
        <v>Breached</v>
      </c>
      <c r="N1617" t="str">
        <f>IF(tbl_analysis_tickets[[#This Row],[first_response_minutes]]&gt;tbl_analysis_tickets[[#This Row],[First Response SLA Minutes]],"Breached","Within SLA")</f>
        <v>Breached</v>
      </c>
      <c r="O1617" t="str" cm="1">
        <f t="array" ref="O1617">_xlfn.IFS(
tbl_analysis_tickets[[#This Row],[agent_experience_years]]&lt;=2,"Junior",
tbl_analysis_tickets[[#This Row],[agent_experience_years]]&lt;=5,"Mid-Level",
tbl_analysis_tickets[[#This Row],[agent_experience_years]]&lt;=8,"Senior",
tbl_analysis_tickets[[#This Row],[agent_experience_years]]&gt;8,"Expert"
)</f>
        <v>Expert</v>
      </c>
      <c r="P1617" cm="1">
        <f t="array" ref="P1617">_xlfn.SWITCH(tbl_analysis_tickets[[#This Row],[customer_satisfaction]],
"Low",1,
"Medium",2,
"High",3
)</f>
        <v>2</v>
      </c>
      <c r="Q1617">
        <f>IF(tbl_analysis_tickets[[#This Row],[reopened]]="Yes",1,0)</f>
        <v>0</v>
      </c>
      <c r="R1617" t="str" cm="1">
        <f t="array" ref="R1617">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617" t="str" cm="1">
        <f t="array" ref="S161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617" t="str">
        <f>TEXT(tbl_analysis_tickets[[#This Row],[created_date]],"mmm-yyyy")</f>
        <v>Aug-2024</v>
      </c>
      <c r="U1617" t="str">
        <f>TEXT(tbl_analysis_tickets[[#This Row],[created_date]],"dddd")</f>
        <v>Friday</v>
      </c>
      <c r="V1617" cm="1">
        <f t="array" ref="V1617">_xlfn.SWITCH(tbl_analysis_tickets[[#This Row],[priority]],
"Urgent",1,
"High",2,
"Medium",3,
"Low",4
)</f>
        <v>3</v>
      </c>
    </row>
    <row r="1618" spans="1:22" x14ac:dyDescent="0.25">
      <c r="A1618">
        <v>1617</v>
      </c>
      <c r="B1618" s="1">
        <v>45346</v>
      </c>
      <c r="C1618" t="s">
        <v>23</v>
      </c>
      <c r="D1618" t="s">
        <v>15</v>
      </c>
      <c r="E1618">
        <v>57</v>
      </c>
      <c r="F1618">
        <v>50</v>
      </c>
      <c r="G1618">
        <v>9.4</v>
      </c>
      <c r="H1618" t="s">
        <v>18</v>
      </c>
      <c r="I1618" t="s">
        <v>13</v>
      </c>
      <c r="J1618" t="s">
        <v>15</v>
      </c>
      <c r="K1618">
        <f>_xlfn.XLOOKUP(tbl_analysis_tickets[[#This Row],[priority]],tbl_sla[priority],tbl_sla[Resolution SLA Hours])</f>
        <v>48</v>
      </c>
      <c r="L1618">
        <f>_xlfn.XLOOKUP(tbl_analysis_tickets[[#This Row],[priority]],tbl_sla[priority],tbl_sla[First Response SLA Minutes])</f>
        <v>120</v>
      </c>
      <c r="M1618" t="str">
        <f>IF(tbl_analysis_tickets[[#This Row],[resolution_time_hours]]&gt;tbl_analysis_tickets[[#This Row],[Resolution SLA Hours]],"Breached","Within SLA")</f>
        <v>Breached</v>
      </c>
      <c r="N1618" t="str">
        <f>IF(tbl_analysis_tickets[[#This Row],[first_response_minutes]]&gt;tbl_analysis_tickets[[#This Row],[First Response SLA Minutes]],"Breached","Within SLA")</f>
        <v>Within SLA</v>
      </c>
      <c r="O1618" t="str" cm="1">
        <f t="array" ref="O1618">_xlfn.IFS(
tbl_analysis_tickets[[#This Row],[agent_experience_years]]&lt;=2,"Junior",
tbl_analysis_tickets[[#This Row],[agent_experience_years]]&lt;=5,"Mid-Level",
tbl_analysis_tickets[[#This Row],[agent_experience_years]]&lt;=8,"Senior",
tbl_analysis_tickets[[#This Row],[agent_experience_years]]&gt;8,"Expert"
)</f>
        <v>Expert</v>
      </c>
      <c r="P1618" cm="1">
        <f t="array" ref="P1618">_xlfn.SWITCH(tbl_analysis_tickets[[#This Row],[customer_satisfaction]],
"Low",1,
"Medium",2,
"High",3
)</f>
        <v>2</v>
      </c>
      <c r="Q1618">
        <f>IF(tbl_analysis_tickets[[#This Row],[reopened]]="Yes",1,0)</f>
        <v>0</v>
      </c>
      <c r="R1618" t="str" cm="1">
        <f t="array" ref="R1618">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618" t="str" cm="1">
        <f t="array" ref="S161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618" t="str">
        <f>TEXT(tbl_analysis_tickets[[#This Row],[created_date]],"mmm-yyyy")</f>
        <v>Feb-2024</v>
      </c>
      <c r="U1618" t="str">
        <f>TEXT(tbl_analysis_tickets[[#This Row],[created_date]],"dddd")</f>
        <v>Saturday</v>
      </c>
      <c r="V1618" cm="1">
        <f t="array" ref="V1618">_xlfn.SWITCH(tbl_analysis_tickets[[#This Row],[priority]],
"Urgent",1,
"High",2,
"Medium",3,
"Low",4
)</f>
        <v>3</v>
      </c>
    </row>
    <row r="1619" spans="1:22" x14ac:dyDescent="0.25">
      <c r="A1619">
        <v>1618</v>
      </c>
      <c r="B1619" s="1">
        <v>45526</v>
      </c>
      <c r="C1619" t="s">
        <v>10</v>
      </c>
      <c r="D1619" t="s">
        <v>11</v>
      </c>
      <c r="E1619">
        <v>63</v>
      </c>
      <c r="F1619">
        <v>10</v>
      </c>
      <c r="G1619">
        <v>7.6</v>
      </c>
      <c r="H1619" t="s">
        <v>12</v>
      </c>
      <c r="I1619" t="s">
        <v>16</v>
      </c>
      <c r="J1619" t="s">
        <v>11</v>
      </c>
      <c r="K1619">
        <f>_xlfn.XLOOKUP(tbl_analysis_tickets[[#This Row],[priority]],tbl_sla[priority],tbl_sla[Resolution SLA Hours])</f>
        <v>72</v>
      </c>
      <c r="L1619">
        <f>_xlfn.XLOOKUP(tbl_analysis_tickets[[#This Row],[priority]],tbl_sla[priority],tbl_sla[First Response SLA Minutes])</f>
        <v>240</v>
      </c>
      <c r="M1619" t="str">
        <f>IF(tbl_analysis_tickets[[#This Row],[resolution_time_hours]]&gt;tbl_analysis_tickets[[#This Row],[Resolution SLA Hours]],"Breached","Within SLA")</f>
        <v>Within SLA</v>
      </c>
      <c r="N1619" t="str">
        <f>IF(tbl_analysis_tickets[[#This Row],[first_response_minutes]]&gt;tbl_analysis_tickets[[#This Row],[First Response SLA Minutes]],"Breached","Within SLA")</f>
        <v>Within SLA</v>
      </c>
      <c r="O1619" t="str" cm="1">
        <f t="array" ref="O1619">_xlfn.IFS(
tbl_analysis_tickets[[#This Row],[agent_experience_years]]&lt;=2,"Junior",
tbl_analysis_tickets[[#This Row],[agent_experience_years]]&lt;=5,"Mid-Level",
tbl_analysis_tickets[[#This Row],[agent_experience_years]]&lt;=8,"Senior",
tbl_analysis_tickets[[#This Row],[agent_experience_years]]&gt;8,"Expert"
)</f>
        <v>Senior</v>
      </c>
      <c r="P1619" cm="1">
        <f t="array" ref="P1619">_xlfn.SWITCH(tbl_analysis_tickets[[#This Row],[customer_satisfaction]],
"Low",1,
"Medium",2,
"High",3
)</f>
        <v>1</v>
      </c>
      <c r="Q1619">
        <f>IF(tbl_analysis_tickets[[#This Row],[reopened]]="Yes",1,0)</f>
        <v>1</v>
      </c>
      <c r="R1619" t="str" cm="1">
        <f t="array" ref="R1619">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619" t="str" cm="1">
        <f t="array" ref="S161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619" t="str">
        <f>TEXT(tbl_analysis_tickets[[#This Row],[created_date]],"mmm-yyyy")</f>
        <v>Aug-2024</v>
      </c>
      <c r="U1619" t="str">
        <f>TEXT(tbl_analysis_tickets[[#This Row],[created_date]],"dddd")</f>
        <v>Thursday</v>
      </c>
      <c r="V1619" cm="1">
        <f t="array" ref="V1619">_xlfn.SWITCH(tbl_analysis_tickets[[#This Row],[priority]],
"Urgent",1,
"High",2,
"Medium",3,
"Low",4
)</f>
        <v>4</v>
      </c>
    </row>
    <row r="1620" spans="1:22" x14ac:dyDescent="0.25">
      <c r="A1620">
        <v>1619</v>
      </c>
      <c r="B1620" s="1">
        <v>45550</v>
      </c>
      <c r="C1620" t="s">
        <v>21</v>
      </c>
      <c r="D1620" t="s">
        <v>15</v>
      </c>
      <c r="E1620">
        <v>32</v>
      </c>
      <c r="F1620">
        <v>2</v>
      </c>
      <c r="G1620">
        <v>2.1</v>
      </c>
      <c r="H1620" t="s">
        <v>18</v>
      </c>
      <c r="I1620" t="s">
        <v>19</v>
      </c>
      <c r="J1620" t="s">
        <v>15</v>
      </c>
      <c r="K1620">
        <f>_xlfn.XLOOKUP(tbl_analysis_tickets[[#This Row],[priority]],tbl_sla[priority],tbl_sla[Resolution SLA Hours])</f>
        <v>48</v>
      </c>
      <c r="L1620">
        <f>_xlfn.XLOOKUP(tbl_analysis_tickets[[#This Row],[priority]],tbl_sla[priority],tbl_sla[First Response SLA Minutes])</f>
        <v>120</v>
      </c>
      <c r="M1620" t="str">
        <f>IF(tbl_analysis_tickets[[#This Row],[resolution_time_hours]]&gt;tbl_analysis_tickets[[#This Row],[Resolution SLA Hours]],"Breached","Within SLA")</f>
        <v>Within SLA</v>
      </c>
      <c r="N1620" t="str">
        <f>IF(tbl_analysis_tickets[[#This Row],[first_response_minutes]]&gt;tbl_analysis_tickets[[#This Row],[First Response SLA Minutes]],"Breached","Within SLA")</f>
        <v>Within SLA</v>
      </c>
      <c r="O1620" t="str" cm="1">
        <f t="array" ref="O1620">_xlfn.IFS(
tbl_analysis_tickets[[#This Row],[agent_experience_years]]&lt;=2,"Junior",
tbl_analysis_tickets[[#This Row],[agent_experience_years]]&lt;=5,"Mid-Level",
tbl_analysis_tickets[[#This Row],[agent_experience_years]]&lt;=8,"Senior",
tbl_analysis_tickets[[#This Row],[agent_experience_years]]&gt;8,"Expert"
)</f>
        <v>Mid-Level</v>
      </c>
      <c r="P1620" cm="1">
        <f t="array" ref="P1620">_xlfn.SWITCH(tbl_analysis_tickets[[#This Row],[customer_satisfaction]],
"Low",1,
"Medium",2,
"High",3
)</f>
        <v>2</v>
      </c>
      <c r="Q1620">
        <f>IF(tbl_analysis_tickets[[#This Row],[reopened]]="Yes",1,0)</f>
        <v>0</v>
      </c>
      <c r="R1620" t="str" cm="1">
        <f t="array" ref="R1620">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620" t="str" cm="1">
        <f t="array" ref="S162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1620" t="str">
        <f>TEXT(tbl_analysis_tickets[[#This Row],[created_date]],"mmm-yyyy")</f>
        <v>Sep-2024</v>
      </c>
      <c r="U1620" t="str">
        <f>TEXT(tbl_analysis_tickets[[#This Row],[created_date]],"dddd")</f>
        <v>Sunday</v>
      </c>
      <c r="V1620" cm="1">
        <f t="array" ref="V1620">_xlfn.SWITCH(tbl_analysis_tickets[[#This Row],[priority]],
"Urgent",1,
"High",2,
"Medium",3,
"Low",4
)</f>
        <v>3</v>
      </c>
    </row>
    <row r="1621" spans="1:22" x14ac:dyDescent="0.25">
      <c r="A1621">
        <v>1620</v>
      </c>
      <c r="B1621" s="1">
        <v>45303</v>
      </c>
      <c r="C1621" t="s">
        <v>21</v>
      </c>
      <c r="D1621" t="s">
        <v>17</v>
      </c>
      <c r="E1621">
        <v>235</v>
      </c>
      <c r="F1621">
        <v>4</v>
      </c>
      <c r="G1621">
        <v>1.4</v>
      </c>
      <c r="H1621" t="s">
        <v>12</v>
      </c>
      <c r="I1621" t="s">
        <v>13</v>
      </c>
      <c r="J1621" t="s">
        <v>11</v>
      </c>
      <c r="K1621">
        <f>_xlfn.XLOOKUP(tbl_analysis_tickets[[#This Row],[priority]],tbl_sla[priority],tbl_sla[Resolution SLA Hours])</f>
        <v>8</v>
      </c>
      <c r="L1621">
        <f>_xlfn.XLOOKUP(tbl_analysis_tickets[[#This Row],[priority]],tbl_sla[priority],tbl_sla[First Response SLA Minutes])</f>
        <v>30</v>
      </c>
      <c r="M1621" t="str">
        <f>IF(tbl_analysis_tickets[[#This Row],[resolution_time_hours]]&gt;tbl_analysis_tickets[[#This Row],[Resolution SLA Hours]],"Breached","Within SLA")</f>
        <v>Within SLA</v>
      </c>
      <c r="N1621" t="str">
        <f>IF(tbl_analysis_tickets[[#This Row],[first_response_minutes]]&gt;tbl_analysis_tickets[[#This Row],[First Response SLA Minutes]],"Breached","Within SLA")</f>
        <v>Breached</v>
      </c>
      <c r="O1621" t="str" cm="1">
        <f t="array" ref="O1621">_xlfn.IFS(
tbl_analysis_tickets[[#This Row],[agent_experience_years]]&lt;=2,"Junior",
tbl_analysis_tickets[[#This Row],[agent_experience_years]]&lt;=5,"Mid-Level",
tbl_analysis_tickets[[#This Row],[agent_experience_years]]&lt;=8,"Senior",
tbl_analysis_tickets[[#This Row],[agent_experience_years]]&gt;8,"Expert"
)</f>
        <v>Junior</v>
      </c>
      <c r="P1621" cm="1">
        <f t="array" ref="P1621">_xlfn.SWITCH(tbl_analysis_tickets[[#This Row],[customer_satisfaction]],
"Low",1,
"Medium",2,
"High",3
)</f>
        <v>1</v>
      </c>
      <c r="Q1621">
        <f>IF(tbl_analysis_tickets[[#This Row],[reopened]]="Yes",1,0)</f>
        <v>1</v>
      </c>
      <c r="R1621" t="str" cm="1">
        <f t="array" ref="R1621">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621" t="str" cm="1">
        <f t="array" ref="S162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1621" t="str">
        <f>TEXT(tbl_analysis_tickets[[#This Row],[created_date]],"mmm-yyyy")</f>
        <v>Jan-2024</v>
      </c>
      <c r="U1621" t="str">
        <f>TEXT(tbl_analysis_tickets[[#This Row],[created_date]],"dddd")</f>
        <v>Friday</v>
      </c>
      <c r="V1621" cm="1">
        <f t="array" ref="V1621">_xlfn.SWITCH(tbl_analysis_tickets[[#This Row],[priority]],
"Urgent",1,
"High",2,
"Medium",3,
"Low",4
)</f>
        <v>1</v>
      </c>
    </row>
    <row r="1622" spans="1:22" x14ac:dyDescent="0.25">
      <c r="A1622">
        <v>1621</v>
      </c>
      <c r="B1622" s="1">
        <v>45453</v>
      </c>
      <c r="C1622" t="s">
        <v>10</v>
      </c>
      <c r="D1622" t="s">
        <v>15</v>
      </c>
      <c r="E1622">
        <v>89</v>
      </c>
      <c r="F1622">
        <v>37</v>
      </c>
      <c r="G1622">
        <v>9.9</v>
      </c>
      <c r="H1622" t="s">
        <v>18</v>
      </c>
      <c r="I1622" t="s">
        <v>13</v>
      </c>
      <c r="J1622" t="s">
        <v>15</v>
      </c>
      <c r="K1622">
        <f>_xlfn.XLOOKUP(tbl_analysis_tickets[[#This Row],[priority]],tbl_sla[priority],tbl_sla[Resolution SLA Hours])</f>
        <v>48</v>
      </c>
      <c r="L1622">
        <f>_xlfn.XLOOKUP(tbl_analysis_tickets[[#This Row],[priority]],tbl_sla[priority],tbl_sla[First Response SLA Minutes])</f>
        <v>120</v>
      </c>
      <c r="M1622" t="str">
        <f>IF(tbl_analysis_tickets[[#This Row],[resolution_time_hours]]&gt;tbl_analysis_tickets[[#This Row],[Resolution SLA Hours]],"Breached","Within SLA")</f>
        <v>Within SLA</v>
      </c>
      <c r="N1622" t="str">
        <f>IF(tbl_analysis_tickets[[#This Row],[first_response_minutes]]&gt;tbl_analysis_tickets[[#This Row],[First Response SLA Minutes]],"Breached","Within SLA")</f>
        <v>Within SLA</v>
      </c>
      <c r="O1622" t="str" cm="1">
        <f t="array" ref="O1622">_xlfn.IFS(
tbl_analysis_tickets[[#This Row],[agent_experience_years]]&lt;=2,"Junior",
tbl_analysis_tickets[[#This Row],[agent_experience_years]]&lt;=5,"Mid-Level",
tbl_analysis_tickets[[#This Row],[agent_experience_years]]&lt;=8,"Senior",
tbl_analysis_tickets[[#This Row],[agent_experience_years]]&gt;8,"Expert"
)</f>
        <v>Expert</v>
      </c>
      <c r="P1622" cm="1">
        <f t="array" ref="P1622">_xlfn.SWITCH(tbl_analysis_tickets[[#This Row],[customer_satisfaction]],
"Low",1,
"Medium",2,
"High",3
)</f>
        <v>2</v>
      </c>
      <c r="Q1622">
        <f>IF(tbl_analysis_tickets[[#This Row],[reopened]]="Yes",1,0)</f>
        <v>0</v>
      </c>
      <c r="R1622" t="str" cm="1">
        <f t="array" ref="R1622">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622" t="str" cm="1">
        <f t="array" ref="S162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622" t="str">
        <f>TEXT(tbl_analysis_tickets[[#This Row],[created_date]],"mmm-yyyy")</f>
        <v>Jun-2024</v>
      </c>
      <c r="U1622" t="str">
        <f>TEXT(tbl_analysis_tickets[[#This Row],[created_date]],"dddd")</f>
        <v>Monday</v>
      </c>
      <c r="V1622" cm="1">
        <f t="array" ref="V1622">_xlfn.SWITCH(tbl_analysis_tickets[[#This Row],[priority]],
"Urgent",1,
"High",2,
"Medium",3,
"Low",4
)</f>
        <v>3</v>
      </c>
    </row>
    <row r="1623" spans="1:22" x14ac:dyDescent="0.25">
      <c r="A1623">
        <v>1622</v>
      </c>
      <c r="B1623" s="1">
        <v>45595</v>
      </c>
      <c r="C1623" t="s">
        <v>10</v>
      </c>
      <c r="D1623" t="s">
        <v>11</v>
      </c>
      <c r="E1623">
        <v>131</v>
      </c>
      <c r="F1623">
        <v>66</v>
      </c>
      <c r="G1623">
        <v>5.5</v>
      </c>
      <c r="H1623" t="s">
        <v>12</v>
      </c>
      <c r="I1623" t="s">
        <v>16</v>
      </c>
      <c r="J1623" t="s">
        <v>11</v>
      </c>
      <c r="K1623">
        <f>_xlfn.XLOOKUP(tbl_analysis_tickets[[#This Row],[priority]],tbl_sla[priority],tbl_sla[Resolution SLA Hours])</f>
        <v>72</v>
      </c>
      <c r="L1623">
        <f>_xlfn.XLOOKUP(tbl_analysis_tickets[[#This Row],[priority]],tbl_sla[priority],tbl_sla[First Response SLA Minutes])</f>
        <v>240</v>
      </c>
      <c r="M1623" t="str">
        <f>IF(tbl_analysis_tickets[[#This Row],[resolution_time_hours]]&gt;tbl_analysis_tickets[[#This Row],[Resolution SLA Hours]],"Breached","Within SLA")</f>
        <v>Within SLA</v>
      </c>
      <c r="N1623" t="str">
        <f>IF(tbl_analysis_tickets[[#This Row],[first_response_minutes]]&gt;tbl_analysis_tickets[[#This Row],[First Response SLA Minutes]],"Breached","Within SLA")</f>
        <v>Within SLA</v>
      </c>
      <c r="O1623" t="str" cm="1">
        <f t="array" ref="O1623">_xlfn.IFS(
tbl_analysis_tickets[[#This Row],[agent_experience_years]]&lt;=2,"Junior",
tbl_analysis_tickets[[#This Row],[agent_experience_years]]&lt;=5,"Mid-Level",
tbl_analysis_tickets[[#This Row],[agent_experience_years]]&lt;=8,"Senior",
tbl_analysis_tickets[[#This Row],[agent_experience_years]]&gt;8,"Expert"
)</f>
        <v>Senior</v>
      </c>
      <c r="P1623" cm="1">
        <f t="array" ref="P1623">_xlfn.SWITCH(tbl_analysis_tickets[[#This Row],[customer_satisfaction]],
"Low",1,
"Medium",2,
"High",3
)</f>
        <v>1</v>
      </c>
      <c r="Q1623">
        <f>IF(tbl_analysis_tickets[[#This Row],[reopened]]="Yes",1,0)</f>
        <v>1</v>
      </c>
      <c r="R1623" t="str" cm="1">
        <f t="array" ref="R1623">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623" t="str" cm="1">
        <f t="array" ref="S162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623" t="str">
        <f>TEXT(tbl_analysis_tickets[[#This Row],[created_date]],"mmm-yyyy")</f>
        <v>Oct-2024</v>
      </c>
      <c r="U1623" t="str">
        <f>TEXT(tbl_analysis_tickets[[#This Row],[created_date]],"dddd")</f>
        <v>Wednesday</v>
      </c>
      <c r="V1623" cm="1">
        <f t="array" ref="V1623">_xlfn.SWITCH(tbl_analysis_tickets[[#This Row],[priority]],
"Urgent",1,
"High",2,
"Medium",3,
"Low",4
)</f>
        <v>4</v>
      </c>
    </row>
    <row r="1624" spans="1:22" x14ac:dyDescent="0.25">
      <c r="A1624">
        <v>1623</v>
      </c>
      <c r="B1624" s="1">
        <v>45423</v>
      </c>
      <c r="C1624" t="s">
        <v>14</v>
      </c>
      <c r="D1624" t="s">
        <v>15</v>
      </c>
      <c r="E1624">
        <v>48</v>
      </c>
      <c r="F1624">
        <v>22</v>
      </c>
      <c r="G1624">
        <v>3.4</v>
      </c>
      <c r="H1624" t="s">
        <v>18</v>
      </c>
      <c r="I1624" t="s">
        <v>16</v>
      </c>
      <c r="J1624" t="s">
        <v>11</v>
      </c>
      <c r="K1624">
        <f>_xlfn.XLOOKUP(tbl_analysis_tickets[[#This Row],[priority]],tbl_sla[priority],tbl_sla[Resolution SLA Hours])</f>
        <v>48</v>
      </c>
      <c r="L1624">
        <f>_xlfn.XLOOKUP(tbl_analysis_tickets[[#This Row],[priority]],tbl_sla[priority],tbl_sla[First Response SLA Minutes])</f>
        <v>120</v>
      </c>
      <c r="M1624" t="str">
        <f>IF(tbl_analysis_tickets[[#This Row],[resolution_time_hours]]&gt;tbl_analysis_tickets[[#This Row],[Resolution SLA Hours]],"Breached","Within SLA")</f>
        <v>Within SLA</v>
      </c>
      <c r="N1624" t="str">
        <f>IF(tbl_analysis_tickets[[#This Row],[first_response_minutes]]&gt;tbl_analysis_tickets[[#This Row],[First Response SLA Minutes]],"Breached","Within SLA")</f>
        <v>Within SLA</v>
      </c>
      <c r="O1624" t="str" cm="1">
        <f t="array" ref="O1624">_xlfn.IFS(
tbl_analysis_tickets[[#This Row],[agent_experience_years]]&lt;=2,"Junior",
tbl_analysis_tickets[[#This Row],[agent_experience_years]]&lt;=5,"Mid-Level",
tbl_analysis_tickets[[#This Row],[agent_experience_years]]&lt;=8,"Senior",
tbl_analysis_tickets[[#This Row],[agent_experience_years]]&gt;8,"Expert"
)</f>
        <v>Mid-Level</v>
      </c>
      <c r="P1624" cm="1">
        <f t="array" ref="P1624">_xlfn.SWITCH(tbl_analysis_tickets[[#This Row],[customer_satisfaction]],
"Low",1,
"Medium",2,
"High",3
)</f>
        <v>1</v>
      </c>
      <c r="Q1624">
        <f>IF(tbl_analysis_tickets[[#This Row],[reopened]]="Yes",1,0)</f>
        <v>0</v>
      </c>
      <c r="R1624" t="str" cm="1">
        <f t="array" ref="R1624">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624" t="str" cm="1">
        <f t="array" ref="S162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624" t="str">
        <f>TEXT(tbl_analysis_tickets[[#This Row],[created_date]],"mmm-yyyy")</f>
        <v>May-2024</v>
      </c>
      <c r="U1624" t="str">
        <f>TEXT(tbl_analysis_tickets[[#This Row],[created_date]],"dddd")</f>
        <v>Saturday</v>
      </c>
      <c r="V1624" cm="1">
        <f t="array" ref="V1624">_xlfn.SWITCH(tbl_analysis_tickets[[#This Row],[priority]],
"Urgent",1,
"High",2,
"Medium",3,
"Low",4
)</f>
        <v>3</v>
      </c>
    </row>
    <row r="1625" spans="1:22" x14ac:dyDescent="0.25">
      <c r="A1625">
        <v>1624</v>
      </c>
      <c r="B1625" s="1">
        <v>45456</v>
      </c>
      <c r="C1625" t="s">
        <v>21</v>
      </c>
      <c r="D1625" t="s">
        <v>17</v>
      </c>
      <c r="E1625">
        <v>121</v>
      </c>
      <c r="F1625">
        <v>2</v>
      </c>
      <c r="G1625">
        <v>4.4000000000000004</v>
      </c>
      <c r="H1625" t="s">
        <v>12</v>
      </c>
      <c r="I1625" t="s">
        <v>16</v>
      </c>
      <c r="J1625" t="s">
        <v>11</v>
      </c>
      <c r="K1625">
        <f>_xlfn.XLOOKUP(tbl_analysis_tickets[[#This Row],[priority]],tbl_sla[priority],tbl_sla[Resolution SLA Hours])</f>
        <v>8</v>
      </c>
      <c r="L1625">
        <f>_xlfn.XLOOKUP(tbl_analysis_tickets[[#This Row],[priority]],tbl_sla[priority],tbl_sla[First Response SLA Minutes])</f>
        <v>30</v>
      </c>
      <c r="M1625" t="str">
        <f>IF(tbl_analysis_tickets[[#This Row],[resolution_time_hours]]&gt;tbl_analysis_tickets[[#This Row],[Resolution SLA Hours]],"Breached","Within SLA")</f>
        <v>Within SLA</v>
      </c>
      <c r="N1625" t="str">
        <f>IF(tbl_analysis_tickets[[#This Row],[first_response_minutes]]&gt;tbl_analysis_tickets[[#This Row],[First Response SLA Minutes]],"Breached","Within SLA")</f>
        <v>Breached</v>
      </c>
      <c r="O1625" t="str" cm="1">
        <f t="array" ref="O1625">_xlfn.IFS(
tbl_analysis_tickets[[#This Row],[agent_experience_years]]&lt;=2,"Junior",
tbl_analysis_tickets[[#This Row],[agent_experience_years]]&lt;=5,"Mid-Level",
tbl_analysis_tickets[[#This Row],[agent_experience_years]]&lt;=8,"Senior",
tbl_analysis_tickets[[#This Row],[agent_experience_years]]&gt;8,"Expert"
)</f>
        <v>Mid-Level</v>
      </c>
      <c r="P1625" cm="1">
        <f t="array" ref="P1625">_xlfn.SWITCH(tbl_analysis_tickets[[#This Row],[customer_satisfaction]],
"Low",1,
"Medium",2,
"High",3
)</f>
        <v>1</v>
      </c>
      <c r="Q1625">
        <f>IF(tbl_analysis_tickets[[#This Row],[reopened]]="Yes",1,0)</f>
        <v>1</v>
      </c>
      <c r="R1625" t="str" cm="1">
        <f t="array" ref="R1625">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625" t="str" cm="1">
        <f t="array" ref="S162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1625" t="str">
        <f>TEXT(tbl_analysis_tickets[[#This Row],[created_date]],"mmm-yyyy")</f>
        <v>Jun-2024</v>
      </c>
      <c r="U1625" t="str">
        <f>TEXT(tbl_analysis_tickets[[#This Row],[created_date]],"dddd")</f>
        <v>Thursday</v>
      </c>
      <c r="V1625" cm="1">
        <f t="array" ref="V1625">_xlfn.SWITCH(tbl_analysis_tickets[[#This Row],[priority]],
"Urgent",1,
"High",2,
"Medium",3,
"Low",4
)</f>
        <v>1</v>
      </c>
    </row>
    <row r="1626" spans="1:22" x14ac:dyDescent="0.25">
      <c r="A1626">
        <v>1625</v>
      </c>
      <c r="B1626" s="1">
        <v>45477</v>
      </c>
      <c r="C1626" t="s">
        <v>22</v>
      </c>
      <c r="D1626" t="s">
        <v>20</v>
      </c>
      <c r="E1626">
        <v>153</v>
      </c>
      <c r="F1626">
        <v>36</v>
      </c>
      <c r="G1626">
        <v>6.4</v>
      </c>
      <c r="H1626" t="s">
        <v>18</v>
      </c>
      <c r="I1626" t="s">
        <v>16</v>
      </c>
      <c r="J1626" t="s">
        <v>11</v>
      </c>
      <c r="K1626">
        <f>_xlfn.XLOOKUP(tbl_analysis_tickets[[#This Row],[priority]],tbl_sla[priority],tbl_sla[Resolution SLA Hours])</f>
        <v>24</v>
      </c>
      <c r="L1626">
        <f>_xlfn.XLOOKUP(tbl_analysis_tickets[[#This Row],[priority]],tbl_sla[priority],tbl_sla[First Response SLA Minutes])</f>
        <v>60</v>
      </c>
      <c r="M1626" t="str">
        <f>IF(tbl_analysis_tickets[[#This Row],[resolution_time_hours]]&gt;tbl_analysis_tickets[[#This Row],[Resolution SLA Hours]],"Breached","Within SLA")</f>
        <v>Breached</v>
      </c>
      <c r="N1626" t="str">
        <f>IF(tbl_analysis_tickets[[#This Row],[first_response_minutes]]&gt;tbl_analysis_tickets[[#This Row],[First Response SLA Minutes]],"Breached","Within SLA")</f>
        <v>Breached</v>
      </c>
      <c r="O1626" t="str" cm="1">
        <f t="array" ref="O1626">_xlfn.IFS(
tbl_analysis_tickets[[#This Row],[agent_experience_years]]&lt;=2,"Junior",
tbl_analysis_tickets[[#This Row],[agent_experience_years]]&lt;=5,"Mid-Level",
tbl_analysis_tickets[[#This Row],[agent_experience_years]]&lt;=8,"Senior",
tbl_analysis_tickets[[#This Row],[agent_experience_years]]&gt;8,"Expert"
)</f>
        <v>Senior</v>
      </c>
      <c r="P1626" cm="1">
        <f t="array" ref="P1626">_xlfn.SWITCH(tbl_analysis_tickets[[#This Row],[customer_satisfaction]],
"Low",1,
"Medium",2,
"High",3
)</f>
        <v>1</v>
      </c>
      <c r="Q1626">
        <f>IF(tbl_analysis_tickets[[#This Row],[reopened]]="Yes",1,0)</f>
        <v>0</v>
      </c>
      <c r="R1626" t="str" cm="1">
        <f t="array" ref="R1626">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626" t="str" cm="1">
        <f t="array" ref="S162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626" t="str">
        <f>TEXT(tbl_analysis_tickets[[#This Row],[created_date]],"mmm-yyyy")</f>
        <v>Jul-2024</v>
      </c>
      <c r="U1626" t="str">
        <f>TEXT(tbl_analysis_tickets[[#This Row],[created_date]],"dddd")</f>
        <v>Thursday</v>
      </c>
      <c r="V1626" cm="1">
        <f t="array" ref="V1626">_xlfn.SWITCH(tbl_analysis_tickets[[#This Row],[priority]],
"Urgent",1,
"High",2,
"Medium",3,
"Low",4
)</f>
        <v>2</v>
      </c>
    </row>
    <row r="1627" spans="1:22" x14ac:dyDescent="0.25">
      <c r="A1627">
        <v>1626</v>
      </c>
      <c r="B1627" s="1">
        <v>45596</v>
      </c>
      <c r="C1627" t="s">
        <v>10</v>
      </c>
      <c r="D1627" t="s">
        <v>20</v>
      </c>
      <c r="E1627">
        <v>138</v>
      </c>
      <c r="F1627">
        <v>63</v>
      </c>
      <c r="G1627">
        <v>6.1</v>
      </c>
      <c r="H1627" t="s">
        <v>12</v>
      </c>
      <c r="I1627" t="s">
        <v>16</v>
      </c>
      <c r="J1627" t="s">
        <v>11</v>
      </c>
      <c r="K1627">
        <f>_xlfn.XLOOKUP(tbl_analysis_tickets[[#This Row],[priority]],tbl_sla[priority],tbl_sla[Resolution SLA Hours])</f>
        <v>24</v>
      </c>
      <c r="L1627">
        <f>_xlfn.XLOOKUP(tbl_analysis_tickets[[#This Row],[priority]],tbl_sla[priority],tbl_sla[First Response SLA Minutes])</f>
        <v>60</v>
      </c>
      <c r="M1627" t="str">
        <f>IF(tbl_analysis_tickets[[#This Row],[resolution_time_hours]]&gt;tbl_analysis_tickets[[#This Row],[Resolution SLA Hours]],"Breached","Within SLA")</f>
        <v>Breached</v>
      </c>
      <c r="N1627" t="str">
        <f>IF(tbl_analysis_tickets[[#This Row],[first_response_minutes]]&gt;tbl_analysis_tickets[[#This Row],[First Response SLA Minutes]],"Breached","Within SLA")</f>
        <v>Breached</v>
      </c>
      <c r="O1627" t="str" cm="1">
        <f t="array" ref="O1627">_xlfn.IFS(
tbl_analysis_tickets[[#This Row],[agent_experience_years]]&lt;=2,"Junior",
tbl_analysis_tickets[[#This Row],[agent_experience_years]]&lt;=5,"Mid-Level",
tbl_analysis_tickets[[#This Row],[agent_experience_years]]&lt;=8,"Senior",
tbl_analysis_tickets[[#This Row],[agent_experience_years]]&gt;8,"Expert"
)</f>
        <v>Senior</v>
      </c>
      <c r="P1627" cm="1">
        <f t="array" ref="P1627">_xlfn.SWITCH(tbl_analysis_tickets[[#This Row],[customer_satisfaction]],
"Low",1,
"Medium",2,
"High",3
)</f>
        <v>1</v>
      </c>
      <c r="Q1627">
        <f>IF(tbl_analysis_tickets[[#This Row],[reopened]]="Yes",1,0)</f>
        <v>1</v>
      </c>
      <c r="R1627" t="str" cm="1">
        <f t="array" ref="R1627">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627" t="str" cm="1">
        <f t="array" ref="S162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627" t="str">
        <f>TEXT(tbl_analysis_tickets[[#This Row],[created_date]],"mmm-yyyy")</f>
        <v>Oct-2024</v>
      </c>
      <c r="U1627" t="str">
        <f>TEXT(tbl_analysis_tickets[[#This Row],[created_date]],"dddd")</f>
        <v>Thursday</v>
      </c>
      <c r="V1627" cm="1">
        <f t="array" ref="V1627">_xlfn.SWITCH(tbl_analysis_tickets[[#This Row],[priority]],
"Urgent",1,
"High",2,
"Medium",3,
"Low",4
)</f>
        <v>2</v>
      </c>
    </row>
    <row r="1628" spans="1:22" x14ac:dyDescent="0.25">
      <c r="A1628">
        <v>1627</v>
      </c>
      <c r="B1628" s="1">
        <v>45382</v>
      </c>
      <c r="C1628" t="s">
        <v>10</v>
      </c>
      <c r="D1628" t="s">
        <v>17</v>
      </c>
      <c r="E1628">
        <v>146</v>
      </c>
      <c r="F1628">
        <v>8</v>
      </c>
      <c r="G1628">
        <v>9.6</v>
      </c>
      <c r="H1628" t="s">
        <v>12</v>
      </c>
      <c r="I1628" t="s">
        <v>16</v>
      </c>
      <c r="J1628" t="s">
        <v>11</v>
      </c>
      <c r="K1628">
        <f>_xlfn.XLOOKUP(tbl_analysis_tickets[[#This Row],[priority]],tbl_sla[priority],tbl_sla[Resolution SLA Hours])</f>
        <v>8</v>
      </c>
      <c r="L1628">
        <f>_xlfn.XLOOKUP(tbl_analysis_tickets[[#This Row],[priority]],tbl_sla[priority],tbl_sla[First Response SLA Minutes])</f>
        <v>30</v>
      </c>
      <c r="M1628" t="str">
        <f>IF(tbl_analysis_tickets[[#This Row],[resolution_time_hours]]&gt;tbl_analysis_tickets[[#This Row],[Resolution SLA Hours]],"Breached","Within SLA")</f>
        <v>Within SLA</v>
      </c>
      <c r="N1628" t="str">
        <f>IF(tbl_analysis_tickets[[#This Row],[first_response_minutes]]&gt;tbl_analysis_tickets[[#This Row],[First Response SLA Minutes]],"Breached","Within SLA")</f>
        <v>Breached</v>
      </c>
      <c r="O1628" t="str" cm="1">
        <f t="array" ref="O1628">_xlfn.IFS(
tbl_analysis_tickets[[#This Row],[agent_experience_years]]&lt;=2,"Junior",
tbl_analysis_tickets[[#This Row],[agent_experience_years]]&lt;=5,"Mid-Level",
tbl_analysis_tickets[[#This Row],[agent_experience_years]]&lt;=8,"Senior",
tbl_analysis_tickets[[#This Row],[agent_experience_years]]&gt;8,"Expert"
)</f>
        <v>Expert</v>
      </c>
      <c r="P1628" cm="1">
        <f t="array" ref="P1628">_xlfn.SWITCH(tbl_analysis_tickets[[#This Row],[customer_satisfaction]],
"Low",1,
"Medium",2,
"High",3
)</f>
        <v>1</v>
      </c>
      <c r="Q1628">
        <f>IF(tbl_analysis_tickets[[#This Row],[reopened]]="Yes",1,0)</f>
        <v>1</v>
      </c>
      <c r="R1628" t="str" cm="1">
        <f t="array" ref="R1628">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628" t="str" cm="1">
        <f t="array" ref="S162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1628" t="str">
        <f>TEXT(tbl_analysis_tickets[[#This Row],[created_date]],"mmm-yyyy")</f>
        <v>Mar-2024</v>
      </c>
      <c r="U1628" t="str">
        <f>TEXT(tbl_analysis_tickets[[#This Row],[created_date]],"dddd")</f>
        <v>Sunday</v>
      </c>
      <c r="V1628" cm="1">
        <f t="array" ref="V1628">_xlfn.SWITCH(tbl_analysis_tickets[[#This Row],[priority]],
"Urgent",1,
"High",2,
"Medium",3,
"Low",4
)</f>
        <v>1</v>
      </c>
    </row>
    <row r="1629" spans="1:22" x14ac:dyDescent="0.25">
      <c r="A1629">
        <v>1628</v>
      </c>
      <c r="B1629" s="1">
        <v>45517</v>
      </c>
      <c r="C1629" t="s">
        <v>22</v>
      </c>
      <c r="D1629" t="s">
        <v>15</v>
      </c>
      <c r="E1629">
        <v>183</v>
      </c>
      <c r="F1629">
        <v>44</v>
      </c>
      <c r="G1629">
        <v>8</v>
      </c>
      <c r="H1629" t="s">
        <v>12</v>
      </c>
      <c r="I1629" t="s">
        <v>16</v>
      </c>
      <c r="J1629" t="s">
        <v>11</v>
      </c>
      <c r="K1629">
        <f>_xlfn.XLOOKUP(tbl_analysis_tickets[[#This Row],[priority]],tbl_sla[priority],tbl_sla[Resolution SLA Hours])</f>
        <v>48</v>
      </c>
      <c r="L1629">
        <f>_xlfn.XLOOKUP(tbl_analysis_tickets[[#This Row],[priority]],tbl_sla[priority],tbl_sla[First Response SLA Minutes])</f>
        <v>120</v>
      </c>
      <c r="M1629" t="str">
        <f>IF(tbl_analysis_tickets[[#This Row],[resolution_time_hours]]&gt;tbl_analysis_tickets[[#This Row],[Resolution SLA Hours]],"Breached","Within SLA")</f>
        <v>Within SLA</v>
      </c>
      <c r="N1629" t="str">
        <f>IF(tbl_analysis_tickets[[#This Row],[first_response_minutes]]&gt;tbl_analysis_tickets[[#This Row],[First Response SLA Minutes]],"Breached","Within SLA")</f>
        <v>Breached</v>
      </c>
      <c r="O1629" t="str" cm="1">
        <f t="array" ref="O1629">_xlfn.IFS(
tbl_analysis_tickets[[#This Row],[agent_experience_years]]&lt;=2,"Junior",
tbl_analysis_tickets[[#This Row],[agent_experience_years]]&lt;=5,"Mid-Level",
tbl_analysis_tickets[[#This Row],[agent_experience_years]]&lt;=8,"Senior",
tbl_analysis_tickets[[#This Row],[agent_experience_years]]&gt;8,"Expert"
)</f>
        <v>Senior</v>
      </c>
      <c r="P1629" cm="1">
        <f t="array" ref="P1629">_xlfn.SWITCH(tbl_analysis_tickets[[#This Row],[customer_satisfaction]],
"Low",1,
"Medium",2,
"High",3
)</f>
        <v>1</v>
      </c>
      <c r="Q1629">
        <f>IF(tbl_analysis_tickets[[#This Row],[reopened]]="Yes",1,0)</f>
        <v>1</v>
      </c>
      <c r="R1629" t="str" cm="1">
        <f t="array" ref="R1629">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629" t="str" cm="1">
        <f t="array" ref="S162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629" t="str">
        <f>TEXT(tbl_analysis_tickets[[#This Row],[created_date]],"mmm-yyyy")</f>
        <v>Aug-2024</v>
      </c>
      <c r="U1629" t="str">
        <f>TEXT(tbl_analysis_tickets[[#This Row],[created_date]],"dddd")</f>
        <v>Tuesday</v>
      </c>
      <c r="V1629" cm="1">
        <f t="array" ref="V1629">_xlfn.SWITCH(tbl_analysis_tickets[[#This Row],[priority]],
"Urgent",1,
"High",2,
"Medium",3,
"Low",4
)</f>
        <v>3</v>
      </c>
    </row>
    <row r="1630" spans="1:22" x14ac:dyDescent="0.25">
      <c r="A1630">
        <v>1629</v>
      </c>
      <c r="B1630" s="1">
        <v>45533</v>
      </c>
      <c r="C1630" t="s">
        <v>21</v>
      </c>
      <c r="D1630" t="s">
        <v>11</v>
      </c>
      <c r="E1630">
        <v>144</v>
      </c>
      <c r="F1630">
        <v>70</v>
      </c>
      <c r="G1630">
        <v>5.8</v>
      </c>
      <c r="H1630" t="s">
        <v>18</v>
      </c>
      <c r="I1630" t="s">
        <v>19</v>
      </c>
      <c r="J1630" t="s">
        <v>15</v>
      </c>
      <c r="K1630">
        <f>_xlfn.XLOOKUP(tbl_analysis_tickets[[#This Row],[priority]],tbl_sla[priority],tbl_sla[Resolution SLA Hours])</f>
        <v>72</v>
      </c>
      <c r="L1630">
        <f>_xlfn.XLOOKUP(tbl_analysis_tickets[[#This Row],[priority]],tbl_sla[priority],tbl_sla[First Response SLA Minutes])</f>
        <v>240</v>
      </c>
      <c r="M1630" t="str">
        <f>IF(tbl_analysis_tickets[[#This Row],[resolution_time_hours]]&gt;tbl_analysis_tickets[[#This Row],[Resolution SLA Hours]],"Breached","Within SLA")</f>
        <v>Within SLA</v>
      </c>
      <c r="N1630" t="str">
        <f>IF(tbl_analysis_tickets[[#This Row],[first_response_minutes]]&gt;tbl_analysis_tickets[[#This Row],[First Response SLA Minutes]],"Breached","Within SLA")</f>
        <v>Within SLA</v>
      </c>
      <c r="O1630" t="str" cm="1">
        <f t="array" ref="O1630">_xlfn.IFS(
tbl_analysis_tickets[[#This Row],[agent_experience_years]]&lt;=2,"Junior",
tbl_analysis_tickets[[#This Row],[agent_experience_years]]&lt;=5,"Mid-Level",
tbl_analysis_tickets[[#This Row],[agent_experience_years]]&lt;=8,"Senior",
tbl_analysis_tickets[[#This Row],[agent_experience_years]]&gt;8,"Expert"
)</f>
        <v>Senior</v>
      </c>
      <c r="P1630" cm="1">
        <f t="array" ref="P1630">_xlfn.SWITCH(tbl_analysis_tickets[[#This Row],[customer_satisfaction]],
"Low",1,
"Medium",2,
"High",3
)</f>
        <v>2</v>
      </c>
      <c r="Q1630">
        <f>IF(tbl_analysis_tickets[[#This Row],[reopened]]="Yes",1,0)</f>
        <v>0</v>
      </c>
      <c r="R1630" t="str" cm="1">
        <f t="array" ref="R1630">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630" t="str" cm="1">
        <f t="array" ref="S163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630" t="str">
        <f>TEXT(tbl_analysis_tickets[[#This Row],[created_date]],"mmm-yyyy")</f>
        <v>Aug-2024</v>
      </c>
      <c r="U1630" t="str">
        <f>TEXT(tbl_analysis_tickets[[#This Row],[created_date]],"dddd")</f>
        <v>Thursday</v>
      </c>
      <c r="V1630" cm="1">
        <f t="array" ref="V1630">_xlfn.SWITCH(tbl_analysis_tickets[[#This Row],[priority]],
"Urgent",1,
"High",2,
"Medium",3,
"Low",4
)</f>
        <v>4</v>
      </c>
    </row>
    <row r="1631" spans="1:22" x14ac:dyDescent="0.25">
      <c r="A1631">
        <v>1630</v>
      </c>
      <c r="B1631" s="1">
        <v>45340</v>
      </c>
      <c r="C1631" t="s">
        <v>14</v>
      </c>
      <c r="D1631" t="s">
        <v>11</v>
      </c>
      <c r="E1631">
        <v>21</v>
      </c>
      <c r="F1631">
        <v>57</v>
      </c>
      <c r="G1631">
        <v>6.9</v>
      </c>
      <c r="H1631" t="s">
        <v>12</v>
      </c>
      <c r="I1631" t="s">
        <v>16</v>
      </c>
      <c r="J1631" t="s">
        <v>15</v>
      </c>
      <c r="K1631">
        <f>_xlfn.XLOOKUP(tbl_analysis_tickets[[#This Row],[priority]],tbl_sla[priority],tbl_sla[Resolution SLA Hours])</f>
        <v>72</v>
      </c>
      <c r="L1631">
        <f>_xlfn.XLOOKUP(tbl_analysis_tickets[[#This Row],[priority]],tbl_sla[priority],tbl_sla[First Response SLA Minutes])</f>
        <v>240</v>
      </c>
      <c r="M1631" t="str">
        <f>IF(tbl_analysis_tickets[[#This Row],[resolution_time_hours]]&gt;tbl_analysis_tickets[[#This Row],[Resolution SLA Hours]],"Breached","Within SLA")</f>
        <v>Within SLA</v>
      </c>
      <c r="N1631" t="str">
        <f>IF(tbl_analysis_tickets[[#This Row],[first_response_minutes]]&gt;tbl_analysis_tickets[[#This Row],[First Response SLA Minutes]],"Breached","Within SLA")</f>
        <v>Within SLA</v>
      </c>
      <c r="O1631" t="str" cm="1">
        <f t="array" ref="O1631">_xlfn.IFS(
tbl_analysis_tickets[[#This Row],[agent_experience_years]]&lt;=2,"Junior",
tbl_analysis_tickets[[#This Row],[agent_experience_years]]&lt;=5,"Mid-Level",
tbl_analysis_tickets[[#This Row],[agent_experience_years]]&lt;=8,"Senior",
tbl_analysis_tickets[[#This Row],[agent_experience_years]]&gt;8,"Expert"
)</f>
        <v>Senior</v>
      </c>
      <c r="P1631" cm="1">
        <f t="array" ref="P1631">_xlfn.SWITCH(tbl_analysis_tickets[[#This Row],[customer_satisfaction]],
"Low",1,
"Medium",2,
"High",3
)</f>
        <v>2</v>
      </c>
      <c r="Q1631">
        <f>IF(tbl_analysis_tickets[[#This Row],[reopened]]="Yes",1,0)</f>
        <v>1</v>
      </c>
      <c r="R1631" t="str" cm="1">
        <f t="array" ref="R1631">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1631" t="str" cm="1">
        <f t="array" ref="S163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631" t="str">
        <f>TEXT(tbl_analysis_tickets[[#This Row],[created_date]],"mmm-yyyy")</f>
        <v>Feb-2024</v>
      </c>
      <c r="U1631" t="str">
        <f>TEXT(tbl_analysis_tickets[[#This Row],[created_date]],"dddd")</f>
        <v>Sunday</v>
      </c>
      <c r="V1631" cm="1">
        <f t="array" ref="V1631">_xlfn.SWITCH(tbl_analysis_tickets[[#This Row],[priority]],
"Urgent",1,
"High",2,
"Medium",3,
"Low",4
)</f>
        <v>4</v>
      </c>
    </row>
    <row r="1632" spans="1:22" x14ac:dyDescent="0.25">
      <c r="A1632">
        <v>1631</v>
      </c>
      <c r="B1632" s="1">
        <v>45511</v>
      </c>
      <c r="C1632" t="s">
        <v>10</v>
      </c>
      <c r="D1632" t="s">
        <v>11</v>
      </c>
      <c r="E1632">
        <v>227</v>
      </c>
      <c r="F1632">
        <v>44</v>
      </c>
      <c r="G1632">
        <v>7.6</v>
      </c>
      <c r="H1632" t="s">
        <v>12</v>
      </c>
      <c r="I1632" t="s">
        <v>16</v>
      </c>
      <c r="J1632" t="s">
        <v>11</v>
      </c>
      <c r="K1632">
        <f>_xlfn.XLOOKUP(tbl_analysis_tickets[[#This Row],[priority]],tbl_sla[priority],tbl_sla[Resolution SLA Hours])</f>
        <v>72</v>
      </c>
      <c r="L1632">
        <f>_xlfn.XLOOKUP(tbl_analysis_tickets[[#This Row],[priority]],tbl_sla[priority],tbl_sla[First Response SLA Minutes])</f>
        <v>240</v>
      </c>
      <c r="M1632" t="str">
        <f>IF(tbl_analysis_tickets[[#This Row],[resolution_time_hours]]&gt;tbl_analysis_tickets[[#This Row],[Resolution SLA Hours]],"Breached","Within SLA")</f>
        <v>Within SLA</v>
      </c>
      <c r="N1632" t="str">
        <f>IF(tbl_analysis_tickets[[#This Row],[first_response_minutes]]&gt;tbl_analysis_tickets[[#This Row],[First Response SLA Minutes]],"Breached","Within SLA")</f>
        <v>Within SLA</v>
      </c>
      <c r="O1632" t="str" cm="1">
        <f t="array" ref="O1632">_xlfn.IFS(
tbl_analysis_tickets[[#This Row],[agent_experience_years]]&lt;=2,"Junior",
tbl_analysis_tickets[[#This Row],[agent_experience_years]]&lt;=5,"Mid-Level",
tbl_analysis_tickets[[#This Row],[agent_experience_years]]&lt;=8,"Senior",
tbl_analysis_tickets[[#This Row],[agent_experience_years]]&gt;8,"Expert"
)</f>
        <v>Senior</v>
      </c>
      <c r="P1632" cm="1">
        <f t="array" ref="P1632">_xlfn.SWITCH(tbl_analysis_tickets[[#This Row],[customer_satisfaction]],
"Low",1,
"Medium",2,
"High",3
)</f>
        <v>1</v>
      </c>
      <c r="Q1632">
        <f>IF(tbl_analysis_tickets[[#This Row],[reopened]]="Yes",1,0)</f>
        <v>1</v>
      </c>
      <c r="R1632" t="str" cm="1">
        <f t="array" ref="R1632">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632" t="str" cm="1">
        <f t="array" ref="S163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632" t="str">
        <f>TEXT(tbl_analysis_tickets[[#This Row],[created_date]],"mmm-yyyy")</f>
        <v>Aug-2024</v>
      </c>
      <c r="U1632" t="str">
        <f>TEXT(tbl_analysis_tickets[[#This Row],[created_date]],"dddd")</f>
        <v>Wednesday</v>
      </c>
      <c r="V1632" cm="1">
        <f t="array" ref="V1632">_xlfn.SWITCH(tbl_analysis_tickets[[#This Row],[priority]],
"Urgent",1,
"High",2,
"Medium",3,
"Low",4
)</f>
        <v>4</v>
      </c>
    </row>
    <row r="1633" spans="1:22" x14ac:dyDescent="0.25">
      <c r="A1633">
        <v>1632</v>
      </c>
      <c r="B1633" s="1">
        <v>45635</v>
      </c>
      <c r="C1633" t="s">
        <v>23</v>
      </c>
      <c r="D1633" t="s">
        <v>11</v>
      </c>
      <c r="E1633">
        <v>226</v>
      </c>
      <c r="F1633">
        <v>19</v>
      </c>
      <c r="G1633">
        <v>5.0999999999999996</v>
      </c>
      <c r="H1633" t="s">
        <v>12</v>
      </c>
      <c r="I1633" t="s">
        <v>13</v>
      </c>
      <c r="J1633" t="s">
        <v>11</v>
      </c>
      <c r="K1633">
        <f>_xlfn.XLOOKUP(tbl_analysis_tickets[[#This Row],[priority]],tbl_sla[priority],tbl_sla[Resolution SLA Hours])</f>
        <v>72</v>
      </c>
      <c r="L1633">
        <f>_xlfn.XLOOKUP(tbl_analysis_tickets[[#This Row],[priority]],tbl_sla[priority],tbl_sla[First Response SLA Minutes])</f>
        <v>240</v>
      </c>
      <c r="M1633" t="str">
        <f>IF(tbl_analysis_tickets[[#This Row],[resolution_time_hours]]&gt;tbl_analysis_tickets[[#This Row],[Resolution SLA Hours]],"Breached","Within SLA")</f>
        <v>Within SLA</v>
      </c>
      <c r="N1633" t="str">
        <f>IF(tbl_analysis_tickets[[#This Row],[first_response_minutes]]&gt;tbl_analysis_tickets[[#This Row],[First Response SLA Minutes]],"Breached","Within SLA")</f>
        <v>Within SLA</v>
      </c>
      <c r="O1633" t="str" cm="1">
        <f t="array" ref="O1633">_xlfn.IFS(
tbl_analysis_tickets[[#This Row],[agent_experience_years]]&lt;=2,"Junior",
tbl_analysis_tickets[[#This Row],[agent_experience_years]]&lt;=5,"Mid-Level",
tbl_analysis_tickets[[#This Row],[agent_experience_years]]&lt;=8,"Senior",
tbl_analysis_tickets[[#This Row],[agent_experience_years]]&gt;8,"Expert"
)</f>
        <v>Senior</v>
      </c>
      <c r="P1633" cm="1">
        <f t="array" ref="P1633">_xlfn.SWITCH(tbl_analysis_tickets[[#This Row],[customer_satisfaction]],
"Low",1,
"Medium",2,
"High",3
)</f>
        <v>1</v>
      </c>
      <c r="Q1633">
        <f>IF(tbl_analysis_tickets[[#This Row],[reopened]]="Yes",1,0)</f>
        <v>1</v>
      </c>
      <c r="R1633" t="str" cm="1">
        <f t="array" ref="R1633">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633" t="str" cm="1">
        <f t="array" ref="S163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633" t="str">
        <f>TEXT(tbl_analysis_tickets[[#This Row],[created_date]],"mmm-yyyy")</f>
        <v>Dec-2024</v>
      </c>
      <c r="U1633" t="str">
        <f>TEXT(tbl_analysis_tickets[[#This Row],[created_date]],"dddd")</f>
        <v>Monday</v>
      </c>
      <c r="V1633" cm="1">
        <f t="array" ref="V1633">_xlfn.SWITCH(tbl_analysis_tickets[[#This Row],[priority]],
"Urgent",1,
"High",2,
"Medium",3,
"Low",4
)</f>
        <v>4</v>
      </c>
    </row>
    <row r="1634" spans="1:22" x14ac:dyDescent="0.25">
      <c r="A1634">
        <v>1633</v>
      </c>
      <c r="B1634" s="1">
        <v>45439</v>
      </c>
      <c r="C1634" t="s">
        <v>22</v>
      </c>
      <c r="D1634" t="s">
        <v>11</v>
      </c>
      <c r="E1634">
        <v>123</v>
      </c>
      <c r="F1634">
        <v>70</v>
      </c>
      <c r="G1634">
        <v>1</v>
      </c>
      <c r="H1634" t="s">
        <v>12</v>
      </c>
      <c r="I1634" t="s">
        <v>13</v>
      </c>
      <c r="J1634" t="s">
        <v>11</v>
      </c>
      <c r="K1634">
        <f>_xlfn.XLOOKUP(tbl_analysis_tickets[[#This Row],[priority]],tbl_sla[priority],tbl_sla[Resolution SLA Hours])</f>
        <v>72</v>
      </c>
      <c r="L1634">
        <f>_xlfn.XLOOKUP(tbl_analysis_tickets[[#This Row],[priority]],tbl_sla[priority],tbl_sla[First Response SLA Minutes])</f>
        <v>240</v>
      </c>
      <c r="M1634" t="str">
        <f>IF(tbl_analysis_tickets[[#This Row],[resolution_time_hours]]&gt;tbl_analysis_tickets[[#This Row],[Resolution SLA Hours]],"Breached","Within SLA")</f>
        <v>Within SLA</v>
      </c>
      <c r="N1634" t="str">
        <f>IF(tbl_analysis_tickets[[#This Row],[first_response_minutes]]&gt;tbl_analysis_tickets[[#This Row],[First Response SLA Minutes]],"Breached","Within SLA")</f>
        <v>Within SLA</v>
      </c>
      <c r="O1634" t="str" cm="1">
        <f t="array" ref="O1634">_xlfn.IFS(
tbl_analysis_tickets[[#This Row],[agent_experience_years]]&lt;=2,"Junior",
tbl_analysis_tickets[[#This Row],[agent_experience_years]]&lt;=5,"Mid-Level",
tbl_analysis_tickets[[#This Row],[agent_experience_years]]&lt;=8,"Senior",
tbl_analysis_tickets[[#This Row],[agent_experience_years]]&gt;8,"Expert"
)</f>
        <v>Junior</v>
      </c>
      <c r="P1634" cm="1">
        <f t="array" ref="P1634">_xlfn.SWITCH(tbl_analysis_tickets[[#This Row],[customer_satisfaction]],
"Low",1,
"Medium",2,
"High",3
)</f>
        <v>1</v>
      </c>
      <c r="Q1634">
        <f>IF(tbl_analysis_tickets[[#This Row],[reopened]]="Yes",1,0)</f>
        <v>1</v>
      </c>
      <c r="R1634" t="str" cm="1">
        <f t="array" ref="R1634">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634" t="str" cm="1">
        <f t="array" ref="S163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634" t="str">
        <f>TEXT(tbl_analysis_tickets[[#This Row],[created_date]],"mmm-yyyy")</f>
        <v>May-2024</v>
      </c>
      <c r="U1634" t="str">
        <f>TEXT(tbl_analysis_tickets[[#This Row],[created_date]],"dddd")</f>
        <v>Monday</v>
      </c>
      <c r="V1634" cm="1">
        <f t="array" ref="V1634">_xlfn.SWITCH(tbl_analysis_tickets[[#This Row],[priority]],
"Urgent",1,
"High",2,
"Medium",3,
"Low",4
)</f>
        <v>4</v>
      </c>
    </row>
    <row r="1635" spans="1:22" x14ac:dyDescent="0.25">
      <c r="A1635">
        <v>1634</v>
      </c>
      <c r="B1635" s="1">
        <v>45406</v>
      </c>
      <c r="C1635" t="s">
        <v>10</v>
      </c>
      <c r="D1635" t="s">
        <v>20</v>
      </c>
      <c r="E1635">
        <v>28</v>
      </c>
      <c r="F1635">
        <v>29</v>
      </c>
      <c r="G1635">
        <v>7.3</v>
      </c>
      <c r="H1635" t="s">
        <v>18</v>
      </c>
      <c r="I1635" t="s">
        <v>16</v>
      </c>
      <c r="J1635" t="s">
        <v>15</v>
      </c>
      <c r="K1635">
        <f>_xlfn.XLOOKUP(tbl_analysis_tickets[[#This Row],[priority]],tbl_sla[priority],tbl_sla[Resolution SLA Hours])</f>
        <v>24</v>
      </c>
      <c r="L1635">
        <f>_xlfn.XLOOKUP(tbl_analysis_tickets[[#This Row],[priority]],tbl_sla[priority],tbl_sla[First Response SLA Minutes])</f>
        <v>60</v>
      </c>
      <c r="M1635" t="str">
        <f>IF(tbl_analysis_tickets[[#This Row],[resolution_time_hours]]&gt;tbl_analysis_tickets[[#This Row],[Resolution SLA Hours]],"Breached","Within SLA")</f>
        <v>Breached</v>
      </c>
      <c r="N1635" t="str">
        <f>IF(tbl_analysis_tickets[[#This Row],[first_response_minutes]]&gt;tbl_analysis_tickets[[#This Row],[First Response SLA Minutes]],"Breached","Within SLA")</f>
        <v>Within SLA</v>
      </c>
      <c r="O1635" t="str" cm="1">
        <f t="array" ref="O1635">_xlfn.IFS(
tbl_analysis_tickets[[#This Row],[agent_experience_years]]&lt;=2,"Junior",
tbl_analysis_tickets[[#This Row],[agent_experience_years]]&lt;=5,"Mid-Level",
tbl_analysis_tickets[[#This Row],[agent_experience_years]]&lt;=8,"Senior",
tbl_analysis_tickets[[#This Row],[agent_experience_years]]&gt;8,"Expert"
)</f>
        <v>Senior</v>
      </c>
      <c r="P1635" cm="1">
        <f t="array" ref="P1635">_xlfn.SWITCH(tbl_analysis_tickets[[#This Row],[customer_satisfaction]],
"Low",1,
"Medium",2,
"High",3
)</f>
        <v>2</v>
      </c>
      <c r="Q1635">
        <f>IF(tbl_analysis_tickets[[#This Row],[reopened]]="Yes",1,0)</f>
        <v>0</v>
      </c>
      <c r="R1635" t="str" cm="1">
        <f t="array" ref="R1635">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1635" t="str" cm="1">
        <f t="array" ref="S163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635" t="str">
        <f>TEXT(tbl_analysis_tickets[[#This Row],[created_date]],"mmm-yyyy")</f>
        <v>Apr-2024</v>
      </c>
      <c r="U1635" t="str">
        <f>TEXT(tbl_analysis_tickets[[#This Row],[created_date]],"dddd")</f>
        <v>Wednesday</v>
      </c>
      <c r="V1635" cm="1">
        <f t="array" ref="V1635">_xlfn.SWITCH(tbl_analysis_tickets[[#This Row],[priority]],
"Urgent",1,
"High",2,
"Medium",3,
"Low",4
)</f>
        <v>2</v>
      </c>
    </row>
    <row r="1636" spans="1:22" x14ac:dyDescent="0.25">
      <c r="A1636">
        <v>1635</v>
      </c>
      <c r="B1636" s="1">
        <v>45519</v>
      </c>
      <c r="C1636" t="s">
        <v>22</v>
      </c>
      <c r="D1636" t="s">
        <v>20</v>
      </c>
      <c r="E1636">
        <v>66</v>
      </c>
      <c r="F1636">
        <v>26</v>
      </c>
      <c r="G1636">
        <v>1.9</v>
      </c>
      <c r="H1636" t="s">
        <v>12</v>
      </c>
      <c r="I1636" t="s">
        <v>19</v>
      </c>
      <c r="J1636" t="s">
        <v>11</v>
      </c>
      <c r="K1636">
        <f>_xlfn.XLOOKUP(tbl_analysis_tickets[[#This Row],[priority]],tbl_sla[priority],tbl_sla[Resolution SLA Hours])</f>
        <v>24</v>
      </c>
      <c r="L1636">
        <f>_xlfn.XLOOKUP(tbl_analysis_tickets[[#This Row],[priority]],tbl_sla[priority],tbl_sla[First Response SLA Minutes])</f>
        <v>60</v>
      </c>
      <c r="M1636" t="str">
        <f>IF(tbl_analysis_tickets[[#This Row],[resolution_time_hours]]&gt;tbl_analysis_tickets[[#This Row],[Resolution SLA Hours]],"Breached","Within SLA")</f>
        <v>Breached</v>
      </c>
      <c r="N1636" t="str">
        <f>IF(tbl_analysis_tickets[[#This Row],[first_response_minutes]]&gt;tbl_analysis_tickets[[#This Row],[First Response SLA Minutes]],"Breached","Within SLA")</f>
        <v>Breached</v>
      </c>
      <c r="O1636" t="str" cm="1">
        <f t="array" ref="O1636">_xlfn.IFS(
tbl_analysis_tickets[[#This Row],[agent_experience_years]]&lt;=2,"Junior",
tbl_analysis_tickets[[#This Row],[agent_experience_years]]&lt;=5,"Mid-Level",
tbl_analysis_tickets[[#This Row],[agent_experience_years]]&lt;=8,"Senior",
tbl_analysis_tickets[[#This Row],[agent_experience_years]]&gt;8,"Expert"
)</f>
        <v>Junior</v>
      </c>
      <c r="P1636" cm="1">
        <f t="array" ref="P1636">_xlfn.SWITCH(tbl_analysis_tickets[[#This Row],[customer_satisfaction]],
"Low",1,
"Medium",2,
"High",3
)</f>
        <v>1</v>
      </c>
      <c r="Q1636">
        <f>IF(tbl_analysis_tickets[[#This Row],[reopened]]="Yes",1,0)</f>
        <v>1</v>
      </c>
      <c r="R1636" t="str" cm="1">
        <f t="array" ref="R1636">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636" t="str" cm="1">
        <f t="array" ref="S163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636" t="str">
        <f>TEXT(tbl_analysis_tickets[[#This Row],[created_date]],"mmm-yyyy")</f>
        <v>Aug-2024</v>
      </c>
      <c r="U1636" t="str">
        <f>TEXT(tbl_analysis_tickets[[#This Row],[created_date]],"dddd")</f>
        <v>Thursday</v>
      </c>
      <c r="V1636" cm="1">
        <f t="array" ref="V1636">_xlfn.SWITCH(tbl_analysis_tickets[[#This Row],[priority]],
"Urgent",1,
"High",2,
"Medium",3,
"Low",4
)</f>
        <v>2</v>
      </c>
    </row>
    <row r="1637" spans="1:22" x14ac:dyDescent="0.25">
      <c r="A1637">
        <v>1636</v>
      </c>
      <c r="B1637" s="1">
        <v>45528</v>
      </c>
      <c r="C1637" t="s">
        <v>10</v>
      </c>
      <c r="D1637" t="s">
        <v>11</v>
      </c>
      <c r="E1637">
        <v>179</v>
      </c>
      <c r="F1637">
        <v>33</v>
      </c>
      <c r="G1637">
        <v>8.8000000000000007</v>
      </c>
      <c r="H1637" t="s">
        <v>18</v>
      </c>
      <c r="I1637" t="s">
        <v>16</v>
      </c>
      <c r="J1637" t="s">
        <v>15</v>
      </c>
      <c r="K1637">
        <f>_xlfn.XLOOKUP(tbl_analysis_tickets[[#This Row],[priority]],tbl_sla[priority],tbl_sla[Resolution SLA Hours])</f>
        <v>72</v>
      </c>
      <c r="L1637">
        <f>_xlfn.XLOOKUP(tbl_analysis_tickets[[#This Row],[priority]],tbl_sla[priority],tbl_sla[First Response SLA Minutes])</f>
        <v>240</v>
      </c>
      <c r="M1637" t="str">
        <f>IF(tbl_analysis_tickets[[#This Row],[resolution_time_hours]]&gt;tbl_analysis_tickets[[#This Row],[Resolution SLA Hours]],"Breached","Within SLA")</f>
        <v>Within SLA</v>
      </c>
      <c r="N1637" t="str">
        <f>IF(tbl_analysis_tickets[[#This Row],[first_response_minutes]]&gt;tbl_analysis_tickets[[#This Row],[First Response SLA Minutes]],"Breached","Within SLA")</f>
        <v>Within SLA</v>
      </c>
      <c r="O1637" t="str" cm="1">
        <f t="array" ref="O1637">_xlfn.IFS(
tbl_analysis_tickets[[#This Row],[agent_experience_years]]&lt;=2,"Junior",
tbl_analysis_tickets[[#This Row],[agent_experience_years]]&lt;=5,"Mid-Level",
tbl_analysis_tickets[[#This Row],[agent_experience_years]]&lt;=8,"Senior",
tbl_analysis_tickets[[#This Row],[agent_experience_years]]&gt;8,"Expert"
)</f>
        <v>Expert</v>
      </c>
      <c r="P1637" cm="1">
        <f t="array" ref="P1637">_xlfn.SWITCH(tbl_analysis_tickets[[#This Row],[customer_satisfaction]],
"Low",1,
"Medium",2,
"High",3
)</f>
        <v>2</v>
      </c>
      <c r="Q1637">
        <f>IF(tbl_analysis_tickets[[#This Row],[reopened]]="Yes",1,0)</f>
        <v>0</v>
      </c>
      <c r="R1637" t="str" cm="1">
        <f t="array" ref="R1637">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637" t="str" cm="1">
        <f t="array" ref="S163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637" t="str">
        <f>TEXT(tbl_analysis_tickets[[#This Row],[created_date]],"mmm-yyyy")</f>
        <v>Aug-2024</v>
      </c>
      <c r="U1637" t="str">
        <f>TEXT(tbl_analysis_tickets[[#This Row],[created_date]],"dddd")</f>
        <v>Saturday</v>
      </c>
      <c r="V1637" cm="1">
        <f t="array" ref="V1637">_xlfn.SWITCH(tbl_analysis_tickets[[#This Row],[priority]],
"Urgent",1,
"High",2,
"Medium",3,
"Low",4
)</f>
        <v>4</v>
      </c>
    </row>
    <row r="1638" spans="1:22" x14ac:dyDescent="0.25">
      <c r="A1638">
        <v>1637</v>
      </c>
      <c r="B1638" s="1">
        <v>45418</v>
      </c>
      <c r="C1638" t="s">
        <v>21</v>
      </c>
      <c r="D1638" t="s">
        <v>15</v>
      </c>
      <c r="E1638">
        <v>200</v>
      </c>
      <c r="F1638">
        <v>23</v>
      </c>
      <c r="G1638">
        <v>5.5</v>
      </c>
      <c r="H1638" t="s">
        <v>18</v>
      </c>
      <c r="I1638" t="s">
        <v>13</v>
      </c>
      <c r="J1638" t="s">
        <v>15</v>
      </c>
      <c r="K1638">
        <f>_xlfn.XLOOKUP(tbl_analysis_tickets[[#This Row],[priority]],tbl_sla[priority],tbl_sla[Resolution SLA Hours])</f>
        <v>48</v>
      </c>
      <c r="L1638">
        <f>_xlfn.XLOOKUP(tbl_analysis_tickets[[#This Row],[priority]],tbl_sla[priority],tbl_sla[First Response SLA Minutes])</f>
        <v>120</v>
      </c>
      <c r="M1638" t="str">
        <f>IF(tbl_analysis_tickets[[#This Row],[resolution_time_hours]]&gt;tbl_analysis_tickets[[#This Row],[Resolution SLA Hours]],"Breached","Within SLA")</f>
        <v>Within SLA</v>
      </c>
      <c r="N1638" t="str">
        <f>IF(tbl_analysis_tickets[[#This Row],[first_response_minutes]]&gt;tbl_analysis_tickets[[#This Row],[First Response SLA Minutes]],"Breached","Within SLA")</f>
        <v>Breached</v>
      </c>
      <c r="O1638" t="str" cm="1">
        <f t="array" ref="O1638">_xlfn.IFS(
tbl_analysis_tickets[[#This Row],[agent_experience_years]]&lt;=2,"Junior",
tbl_analysis_tickets[[#This Row],[agent_experience_years]]&lt;=5,"Mid-Level",
tbl_analysis_tickets[[#This Row],[agent_experience_years]]&lt;=8,"Senior",
tbl_analysis_tickets[[#This Row],[agent_experience_years]]&gt;8,"Expert"
)</f>
        <v>Senior</v>
      </c>
      <c r="P1638" cm="1">
        <f t="array" ref="P1638">_xlfn.SWITCH(tbl_analysis_tickets[[#This Row],[customer_satisfaction]],
"Low",1,
"Medium",2,
"High",3
)</f>
        <v>2</v>
      </c>
      <c r="Q1638">
        <f>IF(tbl_analysis_tickets[[#This Row],[reopened]]="Yes",1,0)</f>
        <v>0</v>
      </c>
      <c r="R1638" t="str" cm="1">
        <f t="array" ref="R1638">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638" t="str" cm="1">
        <f t="array" ref="S163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638" t="str">
        <f>TEXT(tbl_analysis_tickets[[#This Row],[created_date]],"mmm-yyyy")</f>
        <v>May-2024</v>
      </c>
      <c r="U1638" t="str">
        <f>TEXT(tbl_analysis_tickets[[#This Row],[created_date]],"dddd")</f>
        <v>Monday</v>
      </c>
      <c r="V1638" cm="1">
        <f t="array" ref="V1638">_xlfn.SWITCH(tbl_analysis_tickets[[#This Row],[priority]],
"Urgent",1,
"High",2,
"Medium",3,
"Low",4
)</f>
        <v>3</v>
      </c>
    </row>
    <row r="1639" spans="1:22" x14ac:dyDescent="0.25">
      <c r="A1639">
        <v>1638</v>
      </c>
      <c r="B1639" s="1">
        <v>45463</v>
      </c>
      <c r="C1639" t="s">
        <v>10</v>
      </c>
      <c r="D1639" t="s">
        <v>20</v>
      </c>
      <c r="E1639">
        <v>207</v>
      </c>
      <c r="F1639">
        <v>30</v>
      </c>
      <c r="G1639">
        <v>2.8</v>
      </c>
      <c r="H1639" t="s">
        <v>18</v>
      </c>
      <c r="I1639" t="s">
        <v>13</v>
      </c>
      <c r="J1639" t="s">
        <v>11</v>
      </c>
      <c r="K1639">
        <f>_xlfn.XLOOKUP(tbl_analysis_tickets[[#This Row],[priority]],tbl_sla[priority],tbl_sla[Resolution SLA Hours])</f>
        <v>24</v>
      </c>
      <c r="L1639">
        <f>_xlfn.XLOOKUP(tbl_analysis_tickets[[#This Row],[priority]],tbl_sla[priority],tbl_sla[First Response SLA Minutes])</f>
        <v>60</v>
      </c>
      <c r="M1639" t="str">
        <f>IF(tbl_analysis_tickets[[#This Row],[resolution_time_hours]]&gt;tbl_analysis_tickets[[#This Row],[Resolution SLA Hours]],"Breached","Within SLA")</f>
        <v>Breached</v>
      </c>
      <c r="N1639" t="str">
        <f>IF(tbl_analysis_tickets[[#This Row],[first_response_minutes]]&gt;tbl_analysis_tickets[[#This Row],[First Response SLA Minutes]],"Breached","Within SLA")</f>
        <v>Breached</v>
      </c>
      <c r="O1639" t="str" cm="1">
        <f t="array" ref="O1639">_xlfn.IFS(
tbl_analysis_tickets[[#This Row],[agent_experience_years]]&lt;=2,"Junior",
tbl_analysis_tickets[[#This Row],[agent_experience_years]]&lt;=5,"Mid-Level",
tbl_analysis_tickets[[#This Row],[agent_experience_years]]&lt;=8,"Senior",
tbl_analysis_tickets[[#This Row],[agent_experience_years]]&gt;8,"Expert"
)</f>
        <v>Mid-Level</v>
      </c>
      <c r="P1639" cm="1">
        <f t="array" ref="P1639">_xlfn.SWITCH(tbl_analysis_tickets[[#This Row],[customer_satisfaction]],
"Low",1,
"Medium",2,
"High",3
)</f>
        <v>1</v>
      </c>
      <c r="Q1639">
        <f>IF(tbl_analysis_tickets[[#This Row],[reopened]]="Yes",1,0)</f>
        <v>0</v>
      </c>
      <c r="R1639" t="str" cm="1">
        <f t="array" ref="R1639">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639" t="str" cm="1">
        <f t="array" ref="S163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639" t="str">
        <f>TEXT(tbl_analysis_tickets[[#This Row],[created_date]],"mmm-yyyy")</f>
        <v>Jun-2024</v>
      </c>
      <c r="U1639" t="str">
        <f>TEXT(tbl_analysis_tickets[[#This Row],[created_date]],"dddd")</f>
        <v>Thursday</v>
      </c>
      <c r="V1639" cm="1">
        <f t="array" ref="V1639">_xlfn.SWITCH(tbl_analysis_tickets[[#This Row],[priority]],
"Urgent",1,
"High",2,
"Medium",3,
"Low",4
)</f>
        <v>2</v>
      </c>
    </row>
    <row r="1640" spans="1:22" x14ac:dyDescent="0.25">
      <c r="A1640">
        <v>1639</v>
      </c>
      <c r="B1640" s="1">
        <v>45344</v>
      </c>
      <c r="C1640" t="s">
        <v>22</v>
      </c>
      <c r="D1640" t="s">
        <v>15</v>
      </c>
      <c r="E1640">
        <v>101</v>
      </c>
      <c r="F1640">
        <v>39</v>
      </c>
      <c r="G1640">
        <v>2.4</v>
      </c>
      <c r="H1640" t="s">
        <v>18</v>
      </c>
      <c r="I1640" t="s">
        <v>16</v>
      </c>
      <c r="J1640" t="s">
        <v>11</v>
      </c>
      <c r="K1640">
        <f>_xlfn.XLOOKUP(tbl_analysis_tickets[[#This Row],[priority]],tbl_sla[priority],tbl_sla[Resolution SLA Hours])</f>
        <v>48</v>
      </c>
      <c r="L1640">
        <f>_xlfn.XLOOKUP(tbl_analysis_tickets[[#This Row],[priority]],tbl_sla[priority],tbl_sla[First Response SLA Minutes])</f>
        <v>120</v>
      </c>
      <c r="M1640" t="str">
        <f>IF(tbl_analysis_tickets[[#This Row],[resolution_time_hours]]&gt;tbl_analysis_tickets[[#This Row],[Resolution SLA Hours]],"Breached","Within SLA")</f>
        <v>Within SLA</v>
      </c>
      <c r="N1640" t="str">
        <f>IF(tbl_analysis_tickets[[#This Row],[first_response_minutes]]&gt;tbl_analysis_tickets[[#This Row],[First Response SLA Minutes]],"Breached","Within SLA")</f>
        <v>Within SLA</v>
      </c>
      <c r="O1640" t="str" cm="1">
        <f t="array" ref="O1640">_xlfn.IFS(
tbl_analysis_tickets[[#This Row],[agent_experience_years]]&lt;=2,"Junior",
tbl_analysis_tickets[[#This Row],[agent_experience_years]]&lt;=5,"Mid-Level",
tbl_analysis_tickets[[#This Row],[agent_experience_years]]&lt;=8,"Senior",
tbl_analysis_tickets[[#This Row],[agent_experience_years]]&gt;8,"Expert"
)</f>
        <v>Mid-Level</v>
      </c>
      <c r="P1640" cm="1">
        <f t="array" ref="P1640">_xlfn.SWITCH(tbl_analysis_tickets[[#This Row],[customer_satisfaction]],
"Low",1,
"Medium",2,
"High",3
)</f>
        <v>1</v>
      </c>
      <c r="Q1640">
        <f>IF(tbl_analysis_tickets[[#This Row],[reopened]]="Yes",1,0)</f>
        <v>0</v>
      </c>
      <c r="R1640" t="str" cm="1">
        <f t="array" ref="R1640">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640" t="str" cm="1">
        <f t="array" ref="S164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640" t="str">
        <f>TEXT(tbl_analysis_tickets[[#This Row],[created_date]],"mmm-yyyy")</f>
        <v>Feb-2024</v>
      </c>
      <c r="U1640" t="str">
        <f>TEXT(tbl_analysis_tickets[[#This Row],[created_date]],"dddd")</f>
        <v>Thursday</v>
      </c>
      <c r="V1640" cm="1">
        <f t="array" ref="V1640">_xlfn.SWITCH(tbl_analysis_tickets[[#This Row],[priority]],
"Urgent",1,
"High",2,
"Medium",3,
"Low",4
)</f>
        <v>3</v>
      </c>
    </row>
    <row r="1641" spans="1:22" x14ac:dyDescent="0.25">
      <c r="A1641">
        <v>1640</v>
      </c>
      <c r="B1641" s="1">
        <v>45497</v>
      </c>
      <c r="C1641" t="s">
        <v>21</v>
      </c>
      <c r="D1641" t="s">
        <v>17</v>
      </c>
      <c r="E1641">
        <v>85</v>
      </c>
      <c r="F1641">
        <v>33</v>
      </c>
      <c r="G1641">
        <v>5.9</v>
      </c>
      <c r="H1641" t="s">
        <v>12</v>
      </c>
      <c r="I1641" t="s">
        <v>13</v>
      </c>
      <c r="J1641" t="s">
        <v>11</v>
      </c>
      <c r="K1641">
        <f>_xlfn.XLOOKUP(tbl_analysis_tickets[[#This Row],[priority]],tbl_sla[priority],tbl_sla[Resolution SLA Hours])</f>
        <v>8</v>
      </c>
      <c r="L1641">
        <f>_xlfn.XLOOKUP(tbl_analysis_tickets[[#This Row],[priority]],tbl_sla[priority],tbl_sla[First Response SLA Minutes])</f>
        <v>30</v>
      </c>
      <c r="M1641" t="str">
        <f>IF(tbl_analysis_tickets[[#This Row],[resolution_time_hours]]&gt;tbl_analysis_tickets[[#This Row],[Resolution SLA Hours]],"Breached","Within SLA")</f>
        <v>Breached</v>
      </c>
      <c r="N1641" t="str">
        <f>IF(tbl_analysis_tickets[[#This Row],[first_response_minutes]]&gt;tbl_analysis_tickets[[#This Row],[First Response SLA Minutes]],"Breached","Within SLA")</f>
        <v>Breached</v>
      </c>
      <c r="O1641" t="str" cm="1">
        <f t="array" ref="O1641">_xlfn.IFS(
tbl_analysis_tickets[[#This Row],[agent_experience_years]]&lt;=2,"Junior",
tbl_analysis_tickets[[#This Row],[agent_experience_years]]&lt;=5,"Mid-Level",
tbl_analysis_tickets[[#This Row],[agent_experience_years]]&lt;=8,"Senior",
tbl_analysis_tickets[[#This Row],[agent_experience_years]]&gt;8,"Expert"
)</f>
        <v>Senior</v>
      </c>
      <c r="P1641" cm="1">
        <f t="array" ref="P1641">_xlfn.SWITCH(tbl_analysis_tickets[[#This Row],[customer_satisfaction]],
"Low",1,
"Medium",2,
"High",3
)</f>
        <v>1</v>
      </c>
      <c r="Q1641">
        <f>IF(tbl_analysis_tickets[[#This Row],[reopened]]="Yes",1,0)</f>
        <v>1</v>
      </c>
      <c r="R1641" t="str" cm="1">
        <f t="array" ref="R1641">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641" t="str" cm="1">
        <f t="array" ref="S164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641" t="str">
        <f>TEXT(tbl_analysis_tickets[[#This Row],[created_date]],"mmm-yyyy")</f>
        <v>Jul-2024</v>
      </c>
      <c r="U1641" t="str">
        <f>TEXT(tbl_analysis_tickets[[#This Row],[created_date]],"dddd")</f>
        <v>Wednesday</v>
      </c>
      <c r="V1641" cm="1">
        <f t="array" ref="V1641">_xlfn.SWITCH(tbl_analysis_tickets[[#This Row],[priority]],
"Urgent",1,
"High",2,
"Medium",3,
"Low",4
)</f>
        <v>1</v>
      </c>
    </row>
    <row r="1642" spans="1:22" x14ac:dyDescent="0.25">
      <c r="A1642">
        <v>1641</v>
      </c>
      <c r="B1642" s="1">
        <v>45571</v>
      </c>
      <c r="C1642" t="s">
        <v>22</v>
      </c>
      <c r="D1642" t="s">
        <v>17</v>
      </c>
      <c r="E1642">
        <v>127</v>
      </c>
      <c r="F1642">
        <v>20</v>
      </c>
      <c r="G1642">
        <v>2.5</v>
      </c>
      <c r="H1642" t="s">
        <v>18</v>
      </c>
      <c r="I1642" t="s">
        <v>19</v>
      </c>
      <c r="J1642" t="s">
        <v>11</v>
      </c>
      <c r="K1642">
        <f>_xlfn.XLOOKUP(tbl_analysis_tickets[[#This Row],[priority]],tbl_sla[priority],tbl_sla[Resolution SLA Hours])</f>
        <v>8</v>
      </c>
      <c r="L1642">
        <f>_xlfn.XLOOKUP(tbl_analysis_tickets[[#This Row],[priority]],tbl_sla[priority],tbl_sla[First Response SLA Minutes])</f>
        <v>30</v>
      </c>
      <c r="M1642" t="str">
        <f>IF(tbl_analysis_tickets[[#This Row],[resolution_time_hours]]&gt;tbl_analysis_tickets[[#This Row],[Resolution SLA Hours]],"Breached","Within SLA")</f>
        <v>Breached</v>
      </c>
      <c r="N1642" t="str">
        <f>IF(tbl_analysis_tickets[[#This Row],[first_response_minutes]]&gt;tbl_analysis_tickets[[#This Row],[First Response SLA Minutes]],"Breached","Within SLA")</f>
        <v>Breached</v>
      </c>
      <c r="O1642" t="str" cm="1">
        <f t="array" ref="O1642">_xlfn.IFS(
tbl_analysis_tickets[[#This Row],[agent_experience_years]]&lt;=2,"Junior",
tbl_analysis_tickets[[#This Row],[agent_experience_years]]&lt;=5,"Mid-Level",
tbl_analysis_tickets[[#This Row],[agent_experience_years]]&lt;=8,"Senior",
tbl_analysis_tickets[[#This Row],[agent_experience_years]]&gt;8,"Expert"
)</f>
        <v>Mid-Level</v>
      </c>
      <c r="P1642" cm="1">
        <f t="array" ref="P1642">_xlfn.SWITCH(tbl_analysis_tickets[[#This Row],[customer_satisfaction]],
"Low",1,
"Medium",2,
"High",3
)</f>
        <v>1</v>
      </c>
      <c r="Q1642">
        <f>IF(tbl_analysis_tickets[[#This Row],[reopened]]="Yes",1,0)</f>
        <v>0</v>
      </c>
      <c r="R1642" t="str" cm="1">
        <f t="array" ref="R1642">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642" t="str" cm="1">
        <f t="array" ref="S164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642" t="str">
        <f>TEXT(tbl_analysis_tickets[[#This Row],[created_date]],"mmm-yyyy")</f>
        <v>Oct-2024</v>
      </c>
      <c r="U1642" t="str">
        <f>TEXT(tbl_analysis_tickets[[#This Row],[created_date]],"dddd")</f>
        <v>Sunday</v>
      </c>
      <c r="V1642" cm="1">
        <f t="array" ref="V1642">_xlfn.SWITCH(tbl_analysis_tickets[[#This Row],[priority]],
"Urgent",1,
"High",2,
"Medium",3,
"Low",4
)</f>
        <v>1</v>
      </c>
    </row>
    <row r="1643" spans="1:22" x14ac:dyDescent="0.25">
      <c r="A1643">
        <v>1642</v>
      </c>
      <c r="B1643" s="1">
        <v>45609</v>
      </c>
      <c r="C1643" t="s">
        <v>10</v>
      </c>
      <c r="D1643" t="s">
        <v>11</v>
      </c>
      <c r="E1643">
        <v>182</v>
      </c>
      <c r="F1643">
        <v>67</v>
      </c>
      <c r="G1643">
        <v>8</v>
      </c>
      <c r="H1643" t="s">
        <v>12</v>
      </c>
      <c r="I1643" t="s">
        <v>13</v>
      </c>
      <c r="J1643" t="s">
        <v>11</v>
      </c>
      <c r="K1643">
        <f>_xlfn.XLOOKUP(tbl_analysis_tickets[[#This Row],[priority]],tbl_sla[priority],tbl_sla[Resolution SLA Hours])</f>
        <v>72</v>
      </c>
      <c r="L1643">
        <f>_xlfn.XLOOKUP(tbl_analysis_tickets[[#This Row],[priority]],tbl_sla[priority],tbl_sla[First Response SLA Minutes])</f>
        <v>240</v>
      </c>
      <c r="M1643" t="str">
        <f>IF(tbl_analysis_tickets[[#This Row],[resolution_time_hours]]&gt;tbl_analysis_tickets[[#This Row],[Resolution SLA Hours]],"Breached","Within SLA")</f>
        <v>Within SLA</v>
      </c>
      <c r="N1643" t="str">
        <f>IF(tbl_analysis_tickets[[#This Row],[first_response_minutes]]&gt;tbl_analysis_tickets[[#This Row],[First Response SLA Minutes]],"Breached","Within SLA")</f>
        <v>Within SLA</v>
      </c>
      <c r="O1643" t="str" cm="1">
        <f t="array" ref="O1643">_xlfn.IFS(
tbl_analysis_tickets[[#This Row],[agent_experience_years]]&lt;=2,"Junior",
tbl_analysis_tickets[[#This Row],[agent_experience_years]]&lt;=5,"Mid-Level",
tbl_analysis_tickets[[#This Row],[agent_experience_years]]&lt;=8,"Senior",
tbl_analysis_tickets[[#This Row],[agent_experience_years]]&gt;8,"Expert"
)</f>
        <v>Senior</v>
      </c>
      <c r="P1643" cm="1">
        <f t="array" ref="P1643">_xlfn.SWITCH(tbl_analysis_tickets[[#This Row],[customer_satisfaction]],
"Low",1,
"Medium",2,
"High",3
)</f>
        <v>1</v>
      </c>
      <c r="Q1643">
        <f>IF(tbl_analysis_tickets[[#This Row],[reopened]]="Yes",1,0)</f>
        <v>1</v>
      </c>
      <c r="R1643" t="str" cm="1">
        <f t="array" ref="R1643">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643" t="str" cm="1">
        <f t="array" ref="S164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643" t="str">
        <f>TEXT(tbl_analysis_tickets[[#This Row],[created_date]],"mmm-yyyy")</f>
        <v>Nov-2024</v>
      </c>
      <c r="U1643" t="str">
        <f>TEXT(tbl_analysis_tickets[[#This Row],[created_date]],"dddd")</f>
        <v>Wednesday</v>
      </c>
      <c r="V1643" cm="1">
        <f t="array" ref="V1643">_xlfn.SWITCH(tbl_analysis_tickets[[#This Row],[priority]],
"Urgent",1,
"High",2,
"Medium",3,
"Low",4
)</f>
        <v>4</v>
      </c>
    </row>
    <row r="1644" spans="1:22" x14ac:dyDescent="0.25">
      <c r="A1644">
        <v>1643</v>
      </c>
      <c r="B1644" s="1">
        <v>45441</v>
      </c>
      <c r="C1644" t="s">
        <v>22</v>
      </c>
      <c r="D1644" t="s">
        <v>11</v>
      </c>
      <c r="E1644">
        <v>38</v>
      </c>
      <c r="F1644">
        <v>11</v>
      </c>
      <c r="G1644">
        <v>1.1000000000000001</v>
      </c>
      <c r="H1644" t="s">
        <v>18</v>
      </c>
      <c r="I1644" t="s">
        <v>19</v>
      </c>
      <c r="J1644" t="s">
        <v>11</v>
      </c>
      <c r="K1644">
        <f>_xlfn.XLOOKUP(tbl_analysis_tickets[[#This Row],[priority]],tbl_sla[priority],tbl_sla[Resolution SLA Hours])</f>
        <v>72</v>
      </c>
      <c r="L1644">
        <f>_xlfn.XLOOKUP(tbl_analysis_tickets[[#This Row],[priority]],tbl_sla[priority],tbl_sla[First Response SLA Minutes])</f>
        <v>240</v>
      </c>
      <c r="M1644" t="str">
        <f>IF(tbl_analysis_tickets[[#This Row],[resolution_time_hours]]&gt;tbl_analysis_tickets[[#This Row],[Resolution SLA Hours]],"Breached","Within SLA")</f>
        <v>Within SLA</v>
      </c>
      <c r="N1644" t="str">
        <f>IF(tbl_analysis_tickets[[#This Row],[first_response_minutes]]&gt;tbl_analysis_tickets[[#This Row],[First Response SLA Minutes]],"Breached","Within SLA")</f>
        <v>Within SLA</v>
      </c>
      <c r="O1644" t="str" cm="1">
        <f t="array" ref="O1644">_xlfn.IFS(
tbl_analysis_tickets[[#This Row],[agent_experience_years]]&lt;=2,"Junior",
tbl_analysis_tickets[[#This Row],[agent_experience_years]]&lt;=5,"Mid-Level",
tbl_analysis_tickets[[#This Row],[agent_experience_years]]&lt;=8,"Senior",
tbl_analysis_tickets[[#This Row],[agent_experience_years]]&gt;8,"Expert"
)</f>
        <v>Junior</v>
      </c>
      <c r="P1644" cm="1">
        <f t="array" ref="P1644">_xlfn.SWITCH(tbl_analysis_tickets[[#This Row],[customer_satisfaction]],
"Low",1,
"Medium",2,
"High",3
)</f>
        <v>1</v>
      </c>
      <c r="Q1644">
        <f>IF(tbl_analysis_tickets[[#This Row],[reopened]]="Yes",1,0)</f>
        <v>0</v>
      </c>
      <c r="R1644" t="str" cm="1">
        <f t="array" ref="R1644">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644" t="str" cm="1">
        <f t="array" ref="S164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644" t="str">
        <f>TEXT(tbl_analysis_tickets[[#This Row],[created_date]],"mmm-yyyy")</f>
        <v>May-2024</v>
      </c>
      <c r="U1644" t="str">
        <f>TEXT(tbl_analysis_tickets[[#This Row],[created_date]],"dddd")</f>
        <v>Wednesday</v>
      </c>
      <c r="V1644" cm="1">
        <f t="array" ref="V1644">_xlfn.SWITCH(tbl_analysis_tickets[[#This Row],[priority]],
"Urgent",1,
"High",2,
"Medium",3,
"Low",4
)</f>
        <v>4</v>
      </c>
    </row>
    <row r="1645" spans="1:22" x14ac:dyDescent="0.25">
      <c r="A1645">
        <v>1644</v>
      </c>
      <c r="B1645" s="1">
        <v>45525</v>
      </c>
      <c r="C1645" t="s">
        <v>22</v>
      </c>
      <c r="D1645" t="s">
        <v>17</v>
      </c>
      <c r="E1645">
        <v>59</v>
      </c>
      <c r="F1645">
        <v>43</v>
      </c>
      <c r="G1645">
        <v>7.7</v>
      </c>
      <c r="H1645" t="s">
        <v>18</v>
      </c>
      <c r="I1645" t="s">
        <v>19</v>
      </c>
      <c r="J1645" t="s">
        <v>11</v>
      </c>
      <c r="K1645">
        <f>_xlfn.XLOOKUP(tbl_analysis_tickets[[#This Row],[priority]],tbl_sla[priority],tbl_sla[Resolution SLA Hours])</f>
        <v>8</v>
      </c>
      <c r="L1645">
        <f>_xlfn.XLOOKUP(tbl_analysis_tickets[[#This Row],[priority]],tbl_sla[priority],tbl_sla[First Response SLA Minutes])</f>
        <v>30</v>
      </c>
      <c r="M1645" t="str">
        <f>IF(tbl_analysis_tickets[[#This Row],[resolution_time_hours]]&gt;tbl_analysis_tickets[[#This Row],[Resolution SLA Hours]],"Breached","Within SLA")</f>
        <v>Breached</v>
      </c>
      <c r="N1645" t="str">
        <f>IF(tbl_analysis_tickets[[#This Row],[first_response_minutes]]&gt;tbl_analysis_tickets[[#This Row],[First Response SLA Minutes]],"Breached","Within SLA")</f>
        <v>Breached</v>
      </c>
      <c r="O1645" t="str" cm="1">
        <f t="array" ref="O1645">_xlfn.IFS(
tbl_analysis_tickets[[#This Row],[agent_experience_years]]&lt;=2,"Junior",
tbl_analysis_tickets[[#This Row],[agent_experience_years]]&lt;=5,"Mid-Level",
tbl_analysis_tickets[[#This Row],[agent_experience_years]]&lt;=8,"Senior",
tbl_analysis_tickets[[#This Row],[agent_experience_years]]&gt;8,"Expert"
)</f>
        <v>Senior</v>
      </c>
      <c r="P1645" cm="1">
        <f t="array" ref="P1645">_xlfn.SWITCH(tbl_analysis_tickets[[#This Row],[customer_satisfaction]],
"Low",1,
"Medium",2,
"High",3
)</f>
        <v>1</v>
      </c>
      <c r="Q1645">
        <f>IF(tbl_analysis_tickets[[#This Row],[reopened]]="Yes",1,0)</f>
        <v>0</v>
      </c>
      <c r="R1645" t="str" cm="1">
        <f t="array" ref="R1645">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645" t="str" cm="1">
        <f t="array" ref="S164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645" t="str">
        <f>TEXT(tbl_analysis_tickets[[#This Row],[created_date]],"mmm-yyyy")</f>
        <v>Aug-2024</v>
      </c>
      <c r="U1645" t="str">
        <f>TEXT(tbl_analysis_tickets[[#This Row],[created_date]],"dddd")</f>
        <v>Wednesday</v>
      </c>
      <c r="V1645" cm="1">
        <f t="array" ref="V1645">_xlfn.SWITCH(tbl_analysis_tickets[[#This Row],[priority]],
"Urgent",1,
"High",2,
"Medium",3,
"Low",4
)</f>
        <v>1</v>
      </c>
    </row>
    <row r="1646" spans="1:22" x14ac:dyDescent="0.25">
      <c r="A1646">
        <v>1645</v>
      </c>
      <c r="B1646" s="1">
        <v>45499</v>
      </c>
      <c r="C1646" t="s">
        <v>10</v>
      </c>
      <c r="D1646" t="s">
        <v>20</v>
      </c>
      <c r="E1646">
        <v>8</v>
      </c>
      <c r="F1646">
        <v>26</v>
      </c>
      <c r="G1646">
        <v>5.0999999999999996</v>
      </c>
      <c r="H1646" t="s">
        <v>18</v>
      </c>
      <c r="I1646" t="s">
        <v>16</v>
      </c>
      <c r="J1646" t="s">
        <v>15</v>
      </c>
      <c r="K1646">
        <f>_xlfn.XLOOKUP(tbl_analysis_tickets[[#This Row],[priority]],tbl_sla[priority],tbl_sla[Resolution SLA Hours])</f>
        <v>24</v>
      </c>
      <c r="L1646">
        <f>_xlfn.XLOOKUP(tbl_analysis_tickets[[#This Row],[priority]],tbl_sla[priority],tbl_sla[First Response SLA Minutes])</f>
        <v>60</v>
      </c>
      <c r="M1646" t="str">
        <f>IF(tbl_analysis_tickets[[#This Row],[resolution_time_hours]]&gt;tbl_analysis_tickets[[#This Row],[Resolution SLA Hours]],"Breached","Within SLA")</f>
        <v>Breached</v>
      </c>
      <c r="N1646" t="str">
        <f>IF(tbl_analysis_tickets[[#This Row],[first_response_minutes]]&gt;tbl_analysis_tickets[[#This Row],[First Response SLA Minutes]],"Breached","Within SLA")</f>
        <v>Within SLA</v>
      </c>
      <c r="O1646" t="str" cm="1">
        <f t="array" ref="O1646">_xlfn.IFS(
tbl_analysis_tickets[[#This Row],[agent_experience_years]]&lt;=2,"Junior",
tbl_analysis_tickets[[#This Row],[agent_experience_years]]&lt;=5,"Mid-Level",
tbl_analysis_tickets[[#This Row],[agent_experience_years]]&lt;=8,"Senior",
tbl_analysis_tickets[[#This Row],[agent_experience_years]]&gt;8,"Expert"
)</f>
        <v>Senior</v>
      </c>
      <c r="P1646" cm="1">
        <f t="array" ref="P1646">_xlfn.SWITCH(tbl_analysis_tickets[[#This Row],[customer_satisfaction]],
"Low",1,
"Medium",2,
"High",3
)</f>
        <v>2</v>
      </c>
      <c r="Q1646">
        <f>IF(tbl_analysis_tickets[[#This Row],[reopened]]="Yes",1,0)</f>
        <v>0</v>
      </c>
      <c r="R1646" t="str" cm="1">
        <f t="array" ref="R1646">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1646" t="str" cm="1">
        <f t="array" ref="S164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646" t="str">
        <f>TEXT(tbl_analysis_tickets[[#This Row],[created_date]],"mmm-yyyy")</f>
        <v>Jul-2024</v>
      </c>
      <c r="U1646" t="str">
        <f>TEXT(tbl_analysis_tickets[[#This Row],[created_date]],"dddd")</f>
        <v>Friday</v>
      </c>
      <c r="V1646" cm="1">
        <f t="array" ref="V1646">_xlfn.SWITCH(tbl_analysis_tickets[[#This Row],[priority]],
"Urgent",1,
"High",2,
"Medium",3,
"Low",4
)</f>
        <v>2</v>
      </c>
    </row>
    <row r="1647" spans="1:22" x14ac:dyDescent="0.25">
      <c r="A1647">
        <v>1646</v>
      </c>
      <c r="B1647" s="1">
        <v>45566</v>
      </c>
      <c r="C1647" t="s">
        <v>22</v>
      </c>
      <c r="D1647" t="s">
        <v>15</v>
      </c>
      <c r="E1647">
        <v>205</v>
      </c>
      <c r="F1647">
        <v>31</v>
      </c>
      <c r="G1647">
        <v>7.7</v>
      </c>
      <c r="H1647" t="s">
        <v>12</v>
      </c>
      <c r="I1647" t="s">
        <v>13</v>
      </c>
      <c r="J1647" t="s">
        <v>11</v>
      </c>
      <c r="K1647">
        <f>_xlfn.XLOOKUP(tbl_analysis_tickets[[#This Row],[priority]],tbl_sla[priority],tbl_sla[Resolution SLA Hours])</f>
        <v>48</v>
      </c>
      <c r="L1647">
        <f>_xlfn.XLOOKUP(tbl_analysis_tickets[[#This Row],[priority]],tbl_sla[priority],tbl_sla[First Response SLA Minutes])</f>
        <v>120</v>
      </c>
      <c r="M1647" t="str">
        <f>IF(tbl_analysis_tickets[[#This Row],[resolution_time_hours]]&gt;tbl_analysis_tickets[[#This Row],[Resolution SLA Hours]],"Breached","Within SLA")</f>
        <v>Within SLA</v>
      </c>
      <c r="N1647" t="str">
        <f>IF(tbl_analysis_tickets[[#This Row],[first_response_minutes]]&gt;tbl_analysis_tickets[[#This Row],[First Response SLA Minutes]],"Breached","Within SLA")</f>
        <v>Breached</v>
      </c>
      <c r="O1647" t="str" cm="1">
        <f t="array" ref="O1647">_xlfn.IFS(
tbl_analysis_tickets[[#This Row],[agent_experience_years]]&lt;=2,"Junior",
tbl_analysis_tickets[[#This Row],[agent_experience_years]]&lt;=5,"Mid-Level",
tbl_analysis_tickets[[#This Row],[agent_experience_years]]&lt;=8,"Senior",
tbl_analysis_tickets[[#This Row],[agent_experience_years]]&gt;8,"Expert"
)</f>
        <v>Senior</v>
      </c>
      <c r="P1647" cm="1">
        <f t="array" ref="P1647">_xlfn.SWITCH(tbl_analysis_tickets[[#This Row],[customer_satisfaction]],
"Low",1,
"Medium",2,
"High",3
)</f>
        <v>1</v>
      </c>
      <c r="Q1647">
        <f>IF(tbl_analysis_tickets[[#This Row],[reopened]]="Yes",1,0)</f>
        <v>1</v>
      </c>
      <c r="R1647" t="str" cm="1">
        <f t="array" ref="R1647">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647" t="str" cm="1">
        <f t="array" ref="S164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647" t="str">
        <f>TEXT(tbl_analysis_tickets[[#This Row],[created_date]],"mmm-yyyy")</f>
        <v>Oct-2024</v>
      </c>
      <c r="U1647" t="str">
        <f>TEXT(tbl_analysis_tickets[[#This Row],[created_date]],"dddd")</f>
        <v>Tuesday</v>
      </c>
      <c r="V1647" cm="1">
        <f t="array" ref="V1647">_xlfn.SWITCH(tbl_analysis_tickets[[#This Row],[priority]],
"Urgent",1,
"High",2,
"Medium",3,
"Low",4
)</f>
        <v>3</v>
      </c>
    </row>
    <row r="1648" spans="1:22" x14ac:dyDescent="0.25">
      <c r="A1648">
        <v>1647</v>
      </c>
      <c r="B1648" s="1">
        <v>45462</v>
      </c>
      <c r="C1648" t="s">
        <v>21</v>
      </c>
      <c r="D1648" t="s">
        <v>17</v>
      </c>
      <c r="E1648">
        <v>30</v>
      </c>
      <c r="F1648">
        <v>64</v>
      </c>
      <c r="G1648">
        <v>0.6</v>
      </c>
      <c r="H1648" t="s">
        <v>12</v>
      </c>
      <c r="I1648" t="s">
        <v>16</v>
      </c>
      <c r="J1648" t="s">
        <v>11</v>
      </c>
      <c r="K1648">
        <f>_xlfn.XLOOKUP(tbl_analysis_tickets[[#This Row],[priority]],tbl_sla[priority],tbl_sla[Resolution SLA Hours])</f>
        <v>8</v>
      </c>
      <c r="L1648">
        <f>_xlfn.XLOOKUP(tbl_analysis_tickets[[#This Row],[priority]],tbl_sla[priority],tbl_sla[First Response SLA Minutes])</f>
        <v>30</v>
      </c>
      <c r="M1648" t="str">
        <f>IF(tbl_analysis_tickets[[#This Row],[resolution_time_hours]]&gt;tbl_analysis_tickets[[#This Row],[Resolution SLA Hours]],"Breached","Within SLA")</f>
        <v>Breached</v>
      </c>
      <c r="N1648" t="str">
        <f>IF(tbl_analysis_tickets[[#This Row],[first_response_minutes]]&gt;tbl_analysis_tickets[[#This Row],[First Response SLA Minutes]],"Breached","Within SLA")</f>
        <v>Within SLA</v>
      </c>
      <c r="O1648" t="str" cm="1">
        <f t="array" ref="O1648">_xlfn.IFS(
tbl_analysis_tickets[[#This Row],[agent_experience_years]]&lt;=2,"Junior",
tbl_analysis_tickets[[#This Row],[agent_experience_years]]&lt;=5,"Mid-Level",
tbl_analysis_tickets[[#This Row],[agent_experience_years]]&lt;=8,"Senior",
tbl_analysis_tickets[[#This Row],[agent_experience_years]]&gt;8,"Expert"
)</f>
        <v>Junior</v>
      </c>
      <c r="P1648" cm="1">
        <f t="array" ref="P1648">_xlfn.SWITCH(tbl_analysis_tickets[[#This Row],[customer_satisfaction]],
"Low",1,
"Medium",2,
"High",3
)</f>
        <v>1</v>
      </c>
      <c r="Q1648">
        <f>IF(tbl_analysis_tickets[[#This Row],[reopened]]="Yes",1,0)</f>
        <v>1</v>
      </c>
      <c r="R1648" t="str" cm="1">
        <f t="array" ref="R1648">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1648" t="str" cm="1">
        <f t="array" ref="S164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648" t="str">
        <f>TEXT(tbl_analysis_tickets[[#This Row],[created_date]],"mmm-yyyy")</f>
        <v>Jun-2024</v>
      </c>
      <c r="U1648" t="str">
        <f>TEXT(tbl_analysis_tickets[[#This Row],[created_date]],"dddd")</f>
        <v>Wednesday</v>
      </c>
      <c r="V1648" cm="1">
        <f t="array" ref="V1648">_xlfn.SWITCH(tbl_analysis_tickets[[#This Row],[priority]],
"Urgent",1,
"High",2,
"Medium",3,
"Low",4
)</f>
        <v>1</v>
      </c>
    </row>
    <row r="1649" spans="1:22" x14ac:dyDescent="0.25">
      <c r="A1649">
        <v>1648</v>
      </c>
      <c r="B1649" s="1">
        <v>45612</v>
      </c>
      <c r="C1649" t="s">
        <v>21</v>
      </c>
      <c r="D1649" t="s">
        <v>17</v>
      </c>
      <c r="E1649">
        <v>43</v>
      </c>
      <c r="F1649">
        <v>9</v>
      </c>
      <c r="G1649">
        <v>8.6</v>
      </c>
      <c r="H1649" t="s">
        <v>18</v>
      </c>
      <c r="I1649" t="s">
        <v>16</v>
      </c>
      <c r="J1649" t="s">
        <v>11</v>
      </c>
      <c r="K1649">
        <f>_xlfn.XLOOKUP(tbl_analysis_tickets[[#This Row],[priority]],tbl_sla[priority],tbl_sla[Resolution SLA Hours])</f>
        <v>8</v>
      </c>
      <c r="L1649">
        <f>_xlfn.XLOOKUP(tbl_analysis_tickets[[#This Row],[priority]],tbl_sla[priority],tbl_sla[First Response SLA Minutes])</f>
        <v>30</v>
      </c>
      <c r="M1649" t="str">
        <f>IF(tbl_analysis_tickets[[#This Row],[resolution_time_hours]]&gt;tbl_analysis_tickets[[#This Row],[Resolution SLA Hours]],"Breached","Within SLA")</f>
        <v>Breached</v>
      </c>
      <c r="N1649" t="str">
        <f>IF(tbl_analysis_tickets[[#This Row],[first_response_minutes]]&gt;tbl_analysis_tickets[[#This Row],[First Response SLA Minutes]],"Breached","Within SLA")</f>
        <v>Breached</v>
      </c>
      <c r="O1649" t="str" cm="1">
        <f t="array" ref="O1649">_xlfn.IFS(
tbl_analysis_tickets[[#This Row],[agent_experience_years]]&lt;=2,"Junior",
tbl_analysis_tickets[[#This Row],[agent_experience_years]]&lt;=5,"Mid-Level",
tbl_analysis_tickets[[#This Row],[agent_experience_years]]&lt;=8,"Senior",
tbl_analysis_tickets[[#This Row],[agent_experience_years]]&gt;8,"Expert"
)</f>
        <v>Expert</v>
      </c>
      <c r="P1649" cm="1">
        <f t="array" ref="P1649">_xlfn.SWITCH(tbl_analysis_tickets[[#This Row],[customer_satisfaction]],
"Low",1,
"Medium",2,
"High",3
)</f>
        <v>1</v>
      </c>
      <c r="Q1649">
        <f>IF(tbl_analysis_tickets[[#This Row],[reopened]]="Yes",1,0)</f>
        <v>0</v>
      </c>
      <c r="R1649" t="str" cm="1">
        <f t="array" ref="R1649">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649" t="str" cm="1">
        <f t="array" ref="S164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649" t="str">
        <f>TEXT(tbl_analysis_tickets[[#This Row],[created_date]],"mmm-yyyy")</f>
        <v>Nov-2024</v>
      </c>
      <c r="U1649" t="str">
        <f>TEXT(tbl_analysis_tickets[[#This Row],[created_date]],"dddd")</f>
        <v>Saturday</v>
      </c>
      <c r="V1649" cm="1">
        <f t="array" ref="V1649">_xlfn.SWITCH(tbl_analysis_tickets[[#This Row],[priority]],
"Urgent",1,
"High",2,
"Medium",3,
"Low",4
)</f>
        <v>1</v>
      </c>
    </row>
    <row r="1650" spans="1:22" x14ac:dyDescent="0.25">
      <c r="A1650">
        <v>1649</v>
      </c>
      <c r="B1650" s="1">
        <v>45356</v>
      </c>
      <c r="C1650" t="s">
        <v>23</v>
      </c>
      <c r="D1650" t="s">
        <v>11</v>
      </c>
      <c r="E1650">
        <v>72</v>
      </c>
      <c r="F1650">
        <v>62</v>
      </c>
      <c r="G1650">
        <v>5.7</v>
      </c>
      <c r="H1650" t="s">
        <v>12</v>
      </c>
      <c r="I1650" t="s">
        <v>13</v>
      </c>
      <c r="J1650" t="s">
        <v>11</v>
      </c>
      <c r="K1650">
        <f>_xlfn.XLOOKUP(tbl_analysis_tickets[[#This Row],[priority]],tbl_sla[priority],tbl_sla[Resolution SLA Hours])</f>
        <v>72</v>
      </c>
      <c r="L1650">
        <f>_xlfn.XLOOKUP(tbl_analysis_tickets[[#This Row],[priority]],tbl_sla[priority],tbl_sla[First Response SLA Minutes])</f>
        <v>240</v>
      </c>
      <c r="M1650" t="str">
        <f>IF(tbl_analysis_tickets[[#This Row],[resolution_time_hours]]&gt;tbl_analysis_tickets[[#This Row],[Resolution SLA Hours]],"Breached","Within SLA")</f>
        <v>Within SLA</v>
      </c>
      <c r="N1650" t="str">
        <f>IF(tbl_analysis_tickets[[#This Row],[first_response_minutes]]&gt;tbl_analysis_tickets[[#This Row],[First Response SLA Minutes]],"Breached","Within SLA")</f>
        <v>Within SLA</v>
      </c>
      <c r="O1650" t="str" cm="1">
        <f t="array" ref="O1650">_xlfn.IFS(
tbl_analysis_tickets[[#This Row],[agent_experience_years]]&lt;=2,"Junior",
tbl_analysis_tickets[[#This Row],[agent_experience_years]]&lt;=5,"Mid-Level",
tbl_analysis_tickets[[#This Row],[agent_experience_years]]&lt;=8,"Senior",
tbl_analysis_tickets[[#This Row],[agent_experience_years]]&gt;8,"Expert"
)</f>
        <v>Senior</v>
      </c>
      <c r="P1650" cm="1">
        <f t="array" ref="P1650">_xlfn.SWITCH(tbl_analysis_tickets[[#This Row],[customer_satisfaction]],
"Low",1,
"Medium",2,
"High",3
)</f>
        <v>1</v>
      </c>
      <c r="Q1650">
        <f>IF(tbl_analysis_tickets[[#This Row],[reopened]]="Yes",1,0)</f>
        <v>1</v>
      </c>
      <c r="R1650" t="str" cm="1">
        <f t="array" ref="R1650">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650" t="str" cm="1">
        <f t="array" ref="S165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650" t="str">
        <f>TEXT(tbl_analysis_tickets[[#This Row],[created_date]],"mmm-yyyy")</f>
        <v>Mar-2024</v>
      </c>
      <c r="U1650" t="str">
        <f>TEXT(tbl_analysis_tickets[[#This Row],[created_date]],"dddd")</f>
        <v>Tuesday</v>
      </c>
      <c r="V1650" cm="1">
        <f t="array" ref="V1650">_xlfn.SWITCH(tbl_analysis_tickets[[#This Row],[priority]],
"Urgent",1,
"High",2,
"Medium",3,
"Low",4
)</f>
        <v>4</v>
      </c>
    </row>
    <row r="1651" spans="1:22" x14ac:dyDescent="0.25">
      <c r="A1651">
        <v>1650</v>
      </c>
      <c r="B1651" s="1">
        <v>45306</v>
      </c>
      <c r="C1651" t="s">
        <v>21</v>
      </c>
      <c r="D1651" t="s">
        <v>15</v>
      </c>
      <c r="E1651">
        <v>156</v>
      </c>
      <c r="F1651">
        <v>7</v>
      </c>
      <c r="G1651">
        <v>5.6</v>
      </c>
      <c r="H1651" t="s">
        <v>12</v>
      </c>
      <c r="I1651" t="s">
        <v>19</v>
      </c>
      <c r="J1651" t="s">
        <v>11</v>
      </c>
      <c r="K1651">
        <f>_xlfn.XLOOKUP(tbl_analysis_tickets[[#This Row],[priority]],tbl_sla[priority],tbl_sla[Resolution SLA Hours])</f>
        <v>48</v>
      </c>
      <c r="L1651">
        <f>_xlfn.XLOOKUP(tbl_analysis_tickets[[#This Row],[priority]],tbl_sla[priority],tbl_sla[First Response SLA Minutes])</f>
        <v>120</v>
      </c>
      <c r="M1651" t="str">
        <f>IF(tbl_analysis_tickets[[#This Row],[resolution_time_hours]]&gt;tbl_analysis_tickets[[#This Row],[Resolution SLA Hours]],"Breached","Within SLA")</f>
        <v>Within SLA</v>
      </c>
      <c r="N1651" t="str">
        <f>IF(tbl_analysis_tickets[[#This Row],[first_response_minutes]]&gt;tbl_analysis_tickets[[#This Row],[First Response SLA Minutes]],"Breached","Within SLA")</f>
        <v>Breached</v>
      </c>
      <c r="O1651" t="str" cm="1">
        <f t="array" ref="O1651">_xlfn.IFS(
tbl_analysis_tickets[[#This Row],[agent_experience_years]]&lt;=2,"Junior",
tbl_analysis_tickets[[#This Row],[agent_experience_years]]&lt;=5,"Mid-Level",
tbl_analysis_tickets[[#This Row],[agent_experience_years]]&lt;=8,"Senior",
tbl_analysis_tickets[[#This Row],[agent_experience_years]]&gt;8,"Expert"
)</f>
        <v>Senior</v>
      </c>
      <c r="P1651" cm="1">
        <f t="array" ref="P1651">_xlfn.SWITCH(tbl_analysis_tickets[[#This Row],[customer_satisfaction]],
"Low",1,
"Medium",2,
"High",3
)</f>
        <v>1</v>
      </c>
      <c r="Q1651">
        <f>IF(tbl_analysis_tickets[[#This Row],[reopened]]="Yes",1,0)</f>
        <v>1</v>
      </c>
      <c r="R1651" t="str" cm="1">
        <f t="array" ref="R1651">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651" t="str" cm="1">
        <f t="array" ref="S165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1651" t="str">
        <f>TEXT(tbl_analysis_tickets[[#This Row],[created_date]],"mmm-yyyy")</f>
        <v>Jan-2024</v>
      </c>
      <c r="U1651" t="str">
        <f>TEXT(tbl_analysis_tickets[[#This Row],[created_date]],"dddd")</f>
        <v>Monday</v>
      </c>
      <c r="V1651" cm="1">
        <f t="array" ref="V1651">_xlfn.SWITCH(tbl_analysis_tickets[[#This Row],[priority]],
"Urgent",1,
"High",2,
"Medium",3,
"Low",4
)</f>
        <v>3</v>
      </c>
    </row>
    <row r="1652" spans="1:22" x14ac:dyDescent="0.25">
      <c r="A1652">
        <v>1651</v>
      </c>
      <c r="B1652" s="1">
        <v>45390</v>
      </c>
      <c r="C1652" t="s">
        <v>23</v>
      </c>
      <c r="D1652" t="s">
        <v>11</v>
      </c>
      <c r="E1652">
        <v>57</v>
      </c>
      <c r="F1652">
        <v>41</v>
      </c>
      <c r="G1652">
        <v>7.6</v>
      </c>
      <c r="H1652" t="s">
        <v>12</v>
      </c>
      <c r="I1652" t="s">
        <v>16</v>
      </c>
      <c r="J1652" t="s">
        <v>11</v>
      </c>
      <c r="K1652">
        <f>_xlfn.XLOOKUP(tbl_analysis_tickets[[#This Row],[priority]],tbl_sla[priority],tbl_sla[Resolution SLA Hours])</f>
        <v>72</v>
      </c>
      <c r="L1652">
        <f>_xlfn.XLOOKUP(tbl_analysis_tickets[[#This Row],[priority]],tbl_sla[priority],tbl_sla[First Response SLA Minutes])</f>
        <v>240</v>
      </c>
      <c r="M1652" t="str">
        <f>IF(tbl_analysis_tickets[[#This Row],[resolution_time_hours]]&gt;tbl_analysis_tickets[[#This Row],[Resolution SLA Hours]],"Breached","Within SLA")</f>
        <v>Within SLA</v>
      </c>
      <c r="N1652" t="str">
        <f>IF(tbl_analysis_tickets[[#This Row],[first_response_minutes]]&gt;tbl_analysis_tickets[[#This Row],[First Response SLA Minutes]],"Breached","Within SLA")</f>
        <v>Within SLA</v>
      </c>
      <c r="O1652" t="str" cm="1">
        <f t="array" ref="O1652">_xlfn.IFS(
tbl_analysis_tickets[[#This Row],[agent_experience_years]]&lt;=2,"Junior",
tbl_analysis_tickets[[#This Row],[agent_experience_years]]&lt;=5,"Mid-Level",
tbl_analysis_tickets[[#This Row],[agent_experience_years]]&lt;=8,"Senior",
tbl_analysis_tickets[[#This Row],[agent_experience_years]]&gt;8,"Expert"
)</f>
        <v>Senior</v>
      </c>
      <c r="P1652" cm="1">
        <f t="array" ref="P1652">_xlfn.SWITCH(tbl_analysis_tickets[[#This Row],[customer_satisfaction]],
"Low",1,
"Medium",2,
"High",3
)</f>
        <v>1</v>
      </c>
      <c r="Q1652">
        <f>IF(tbl_analysis_tickets[[#This Row],[reopened]]="Yes",1,0)</f>
        <v>1</v>
      </c>
      <c r="R1652" t="str" cm="1">
        <f t="array" ref="R1652">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652" t="str" cm="1">
        <f t="array" ref="S165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652" t="str">
        <f>TEXT(tbl_analysis_tickets[[#This Row],[created_date]],"mmm-yyyy")</f>
        <v>Apr-2024</v>
      </c>
      <c r="U1652" t="str">
        <f>TEXT(tbl_analysis_tickets[[#This Row],[created_date]],"dddd")</f>
        <v>Monday</v>
      </c>
      <c r="V1652" cm="1">
        <f t="array" ref="V1652">_xlfn.SWITCH(tbl_analysis_tickets[[#This Row],[priority]],
"Urgent",1,
"High",2,
"Medium",3,
"Low",4
)</f>
        <v>4</v>
      </c>
    </row>
    <row r="1653" spans="1:22" x14ac:dyDescent="0.25">
      <c r="A1653">
        <v>1652</v>
      </c>
      <c r="B1653" s="1">
        <v>45476</v>
      </c>
      <c r="C1653" t="s">
        <v>22</v>
      </c>
      <c r="D1653" t="s">
        <v>15</v>
      </c>
      <c r="E1653">
        <v>9</v>
      </c>
      <c r="F1653">
        <v>51</v>
      </c>
      <c r="G1653">
        <v>8.9</v>
      </c>
      <c r="H1653" t="s">
        <v>12</v>
      </c>
      <c r="I1653" t="s">
        <v>13</v>
      </c>
      <c r="J1653" t="s">
        <v>15</v>
      </c>
      <c r="K1653">
        <f>_xlfn.XLOOKUP(tbl_analysis_tickets[[#This Row],[priority]],tbl_sla[priority],tbl_sla[Resolution SLA Hours])</f>
        <v>48</v>
      </c>
      <c r="L1653">
        <f>_xlfn.XLOOKUP(tbl_analysis_tickets[[#This Row],[priority]],tbl_sla[priority],tbl_sla[First Response SLA Minutes])</f>
        <v>120</v>
      </c>
      <c r="M1653" t="str">
        <f>IF(tbl_analysis_tickets[[#This Row],[resolution_time_hours]]&gt;tbl_analysis_tickets[[#This Row],[Resolution SLA Hours]],"Breached","Within SLA")</f>
        <v>Breached</v>
      </c>
      <c r="N1653" t="str">
        <f>IF(tbl_analysis_tickets[[#This Row],[first_response_minutes]]&gt;tbl_analysis_tickets[[#This Row],[First Response SLA Minutes]],"Breached","Within SLA")</f>
        <v>Within SLA</v>
      </c>
      <c r="O1653" t="str" cm="1">
        <f t="array" ref="O1653">_xlfn.IFS(
tbl_analysis_tickets[[#This Row],[agent_experience_years]]&lt;=2,"Junior",
tbl_analysis_tickets[[#This Row],[agent_experience_years]]&lt;=5,"Mid-Level",
tbl_analysis_tickets[[#This Row],[agent_experience_years]]&lt;=8,"Senior",
tbl_analysis_tickets[[#This Row],[agent_experience_years]]&gt;8,"Expert"
)</f>
        <v>Expert</v>
      </c>
      <c r="P1653" cm="1">
        <f t="array" ref="P1653">_xlfn.SWITCH(tbl_analysis_tickets[[#This Row],[customer_satisfaction]],
"Low",1,
"Medium",2,
"High",3
)</f>
        <v>2</v>
      </c>
      <c r="Q1653">
        <f>IF(tbl_analysis_tickets[[#This Row],[reopened]]="Yes",1,0)</f>
        <v>1</v>
      </c>
      <c r="R1653" t="str" cm="1">
        <f t="array" ref="R1653">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1653" t="str" cm="1">
        <f t="array" ref="S165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653" t="str">
        <f>TEXT(tbl_analysis_tickets[[#This Row],[created_date]],"mmm-yyyy")</f>
        <v>Jul-2024</v>
      </c>
      <c r="U1653" t="str">
        <f>TEXT(tbl_analysis_tickets[[#This Row],[created_date]],"dddd")</f>
        <v>Wednesday</v>
      </c>
      <c r="V1653" cm="1">
        <f t="array" ref="V1653">_xlfn.SWITCH(tbl_analysis_tickets[[#This Row],[priority]],
"Urgent",1,
"High",2,
"Medium",3,
"Low",4
)</f>
        <v>3</v>
      </c>
    </row>
    <row r="1654" spans="1:22" x14ac:dyDescent="0.25">
      <c r="A1654">
        <v>1653</v>
      </c>
      <c r="B1654" s="1">
        <v>45357</v>
      </c>
      <c r="C1654" t="s">
        <v>22</v>
      </c>
      <c r="D1654" t="s">
        <v>11</v>
      </c>
      <c r="E1654">
        <v>240</v>
      </c>
      <c r="F1654">
        <v>38</v>
      </c>
      <c r="G1654">
        <v>0.6</v>
      </c>
      <c r="H1654" t="s">
        <v>12</v>
      </c>
      <c r="I1654" t="s">
        <v>16</v>
      </c>
      <c r="J1654" t="s">
        <v>11</v>
      </c>
      <c r="K1654">
        <f>_xlfn.XLOOKUP(tbl_analysis_tickets[[#This Row],[priority]],tbl_sla[priority],tbl_sla[Resolution SLA Hours])</f>
        <v>72</v>
      </c>
      <c r="L1654">
        <f>_xlfn.XLOOKUP(tbl_analysis_tickets[[#This Row],[priority]],tbl_sla[priority],tbl_sla[First Response SLA Minutes])</f>
        <v>240</v>
      </c>
      <c r="M1654" t="str">
        <f>IF(tbl_analysis_tickets[[#This Row],[resolution_time_hours]]&gt;tbl_analysis_tickets[[#This Row],[Resolution SLA Hours]],"Breached","Within SLA")</f>
        <v>Within SLA</v>
      </c>
      <c r="N1654" t="str">
        <f>IF(tbl_analysis_tickets[[#This Row],[first_response_minutes]]&gt;tbl_analysis_tickets[[#This Row],[First Response SLA Minutes]],"Breached","Within SLA")</f>
        <v>Within SLA</v>
      </c>
      <c r="O1654" t="str" cm="1">
        <f t="array" ref="O1654">_xlfn.IFS(
tbl_analysis_tickets[[#This Row],[agent_experience_years]]&lt;=2,"Junior",
tbl_analysis_tickets[[#This Row],[agent_experience_years]]&lt;=5,"Mid-Level",
tbl_analysis_tickets[[#This Row],[agent_experience_years]]&lt;=8,"Senior",
tbl_analysis_tickets[[#This Row],[agent_experience_years]]&gt;8,"Expert"
)</f>
        <v>Junior</v>
      </c>
      <c r="P1654" cm="1">
        <f t="array" ref="P1654">_xlfn.SWITCH(tbl_analysis_tickets[[#This Row],[customer_satisfaction]],
"Low",1,
"Medium",2,
"High",3
)</f>
        <v>1</v>
      </c>
      <c r="Q1654">
        <f>IF(tbl_analysis_tickets[[#This Row],[reopened]]="Yes",1,0)</f>
        <v>1</v>
      </c>
      <c r="R1654" t="str" cm="1">
        <f t="array" ref="R1654">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654" t="str" cm="1">
        <f t="array" ref="S165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654" t="str">
        <f>TEXT(tbl_analysis_tickets[[#This Row],[created_date]],"mmm-yyyy")</f>
        <v>Mar-2024</v>
      </c>
      <c r="U1654" t="str">
        <f>TEXT(tbl_analysis_tickets[[#This Row],[created_date]],"dddd")</f>
        <v>Wednesday</v>
      </c>
      <c r="V1654" cm="1">
        <f t="array" ref="V1654">_xlfn.SWITCH(tbl_analysis_tickets[[#This Row],[priority]],
"Urgent",1,
"High",2,
"Medium",3,
"Low",4
)</f>
        <v>4</v>
      </c>
    </row>
    <row r="1655" spans="1:22" x14ac:dyDescent="0.25">
      <c r="A1655">
        <v>1654</v>
      </c>
      <c r="B1655" s="1">
        <v>45330</v>
      </c>
      <c r="C1655" t="s">
        <v>21</v>
      </c>
      <c r="D1655" t="s">
        <v>17</v>
      </c>
      <c r="E1655">
        <v>19</v>
      </c>
      <c r="F1655">
        <v>65</v>
      </c>
      <c r="G1655">
        <v>8.6999999999999993</v>
      </c>
      <c r="H1655" t="s">
        <v>18</v>
      </c>
      <c r="I1655" t="s">
        <v>19</v>
      </c>
      <c r="J1655" t="s">
        <v>15</v>
      </c>
      <c r="K1655">
        <f>_xlfn.XLOOKUP(tbl_analysis_tickets[[#This Row],[priority]],tbl_sla[priority],tbl_sla[Resolution SLA Hours])</f>
        <v>8</v>
      </c>
      <c r="L1655">
        <f>_xlfn.XLOOKUP(tbl_analysis_tickets[[#This Row],[priority]],tbl_sla[priority],tbl_sla[First Response SLA Minutes])</f>
        <v>30</v>
      </c>
      <c r="M1655" t="str">
        <f>IF(tbl_analysis_tickets[[#This Row],[resolution_time_hours]]&gt;tbl_analysis_tickets[[#This Row],[Resolution SLA Hours]],"Breached","Within SLA")</f>
        <v>Breached</v>
      </c>
      <c r="N1655" t="str">
        <f>IF(tbl_analysis_tickets[[#This Row],[first_response_minutes]]&gt;tbl_analysis_tickets[[#This Row],[First Response SLA Minutes]],"Breached","Within SLA")</f>
        <v>Within SLA</v>
      </c>
      <c r="O1655" t="str" cm="1">
        <f t="array" ref="O1655">_xlfn.IFS(
tbl_analysis_tickets[[#This Row],[agent_experience_years]]&lt;=2,"Junior",
tbl_analysis_tickets[[#This Row],[agent_experience_years]]&lt;=5,"Mid-Level",
tbl_analysis_tickets[[#This Row],[agent_experience_years]]&lt;=8,"Senior",
tbl_analysis_tickets[[#This Row],[agent_experience_years]]&gt;8,"Expert"
)</f>
        <v>Expert</v>
      </c>
      <c r="P1655" cm="1">
        <f t="array" ref="P1655">_xlfn.SWITCH(tbl_analysis_tickets[[#This Row],[customer_satisfaction]],
"Low",1,
"Medium",2,
"High",3
)</f>
        <v>2</v>
      </c>
      <c r="Q1655">
        <f>IF(tbl_analysis_tickets[[#This Row],[reopened]]="Yes",1,0)</f>
        <v>0</v>
      </c>
      <c r="R1655" t="str" cm="1">
        <f t="array" ref="R1655">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1655" t="str" cm="1">
        <f t="array" ref="S165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655" t="str">
        <f>TEXT(tbl_analysis_tickets[[#This Row],[created_date]],"mmm-yyyy")</f>
        <v>Feb-2024</v>
      </c>
      <c r="U1655" t="str">
        <f>TEXT(tbl_analysis_tickets[[#This Row],[created_date]],"dddd")</f>
        <v>Thursday</v>
      </c>
      <c r="V1655" cm="1">
        <f t="array" ref="V1655">_xlfn.SWITCH(tbl_analysis_tickets[[#This Row],[priority]],
"Urgent",1,
"High",2,
"Medium",3,
"Low",4
)</f>
        <v>1</v>
      </c>
    </row>
    <row r="1656" spans="1:22" x14ac:dyDescent="0.25">
      <c r="A1656">
        <v>1655</v>
      </c>
      <c r="B1656" s="1">
        <v>45317</v>
      </c>
      <c r="C1656" t="s">
        <v>14</v>
      </c>
      <c r="D1656" t="s">
        <v>17</v>
      </c>
      <c r="E1656">
        <v>40</v>
      </c>
      <c r="F1656">
        <v>57</v>
      </c>
      <c r="G1656">
        <v>8.6</v>
      </c>
      <c r="H1656" t="s">
        <v>18</v>
      </c>
      <c r="I1656" t="s">
        <v>13</v>
      </c>
      <c r="J1656" t="s">
        <v>11</v>
      </c>
      <c r="K1656">
        <f>_xlfn.XLOOKUP(tbl_analysis_tickets[[#This Row],[priority]],tbl_sla[priority],tbl_sla[Resolution SLA Hours])</f>
        <v>8</v>
      </c>
      <c r="L1656">
        <f>_xlfn.XLOOKUP(tbl_analysis_tickets[[#This Row],[priority]],tbl_sla[priority],tbl_sla[First Response SLA Minutes])</f>
        <v>30</v>
      </c>
      <c r="M1656" t="str">
        <f>IF(tbl_analysis_tickets[[#This Row],[resolution_time_hours]]&gt;tbl_analysis_tickets[[#This Row],[Resolution SLA Hours]],"Breached","Within SLA")</f>
        <v>Breached</v>
      </c>
      <c r="N1656" t="str">
        <f>IF(tbl_analysis_tickets[[#This Row],[first_response_minutes]]&gt;tbl_analysis_tickets[[#This Row],[First Response SLA Minutes]],"Breached","Within SLA")</f>
        <v>Breached</v>
      </c>
      <c r="O1656" t="str" cm="1">
        <f t="array" ref="O1656">_xlfn.IFS(
tbl_analysis_tickets[[#This Row],[agent_experience_years]]&lt;=2,"Junior",
tbl_analysis_tickets[[#This Row],[agent_experience_years]]&lt;=5,"Mid-Level",
tbl_analysis_tickets[[#This Row],[agent_experience_years]]&lt;=8,"Senior",
tbl_analysis_tickets[[#This Row],[agent_experience_years]]&gt;8,"Expert"
)</f>
        <v>Expert</v>
      </c>
      <c r="P1656" cm="1">
        <f t="array" ref="P1656">_xlfn.SWITCH(tbl_analysis_tickets[[#This Row],[customer_satisfaction]],
"Low",1,
"Medium",2,
"High",3
)</f>
        <v>1</v>
      </c>
      <c r="Q1656">
        <f>IF(tbl_analysis_tickets[[#This Row],[reopened]]="Yes",1,0)</f>
        <v>0</v>
      </c>
      <c r="R1656" t="str" cm="1">
        <f t="array" ref="R1656">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656" t="str" cm="1">
        <f t="array" ref="S165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656" t="str">
        <f>TEXT(tbl_analysis_tickets[[#This Row],[created_date]],"mmm-yyyy")</f>
        <v>Jan-2024</v>
      </c>
      <c r="U1656" t="str">
        <f>TEXT(tbl_analysis_tickets[[#This Row],[created_date]],"dddd")</f>
        <v>Friday</v>
      </c>
      <c r="V1656" cm="1">
        <f t="array" ref="V1656">_xlfn.SWITCH(tbl_analysis_tickets[[#This Row],[priority]],
"Urgent",1,
"High",2,
"Medium",3,
"Low",4
)</f>
        <v>1</v>
      </c>
    </row>
    <row r="1657" spans="1:22" x14ac:dyDescent="0.25">
      <c r="A1657">
        <v>1656</v>
      </c>
      <c r="B1657" s="1">
        <v>45567</v>
      </c>
      <c r="C1657" t="s">
        <v>21</v>
      </c>
      <c r="D1657" t="s">
        <v>11</v>
      </c>
      <c r="E1657">
        <v>114</v>
      </c>
      <c r="F1657">
        <v>60</v>
      </c>
      <c r="G1657">
        <v>6.1</v>
      </c>
      <c r="H1657" t="s">
        <v>12</v>
      </c>
      <c r="I1657" t="s">
        <v>16</v>
      </c>
      <c r="J1657" t="s">
        <v>11</v>
      </c>
      <c r="K1657">
        <f>_xlfn.XLOOKUP(tbl_analysis_tickets[[#This Row],[priority]],tbl_sla[priority],tbl_sla[Resolution SLA Hours])</f>
        <v>72</v>
      </c>
      <c r="L1657">
        <f>_xlfn.XLOOKUP(tbl_analysis_tickets[[#This Row],[priority]],tbl_sla[priority],tbl_sla[First Response SLA Minutes])</f>
        <v>240</v>
      </c>
      <c r="M1657" t="str">
        <f>IF(tbl_analysis_tickets[[#This Row],[resolution_time_hours]]&gt;tbl_analysis_tickets[[#This Row],[Resolution SLA Hours]],"Breached","Within SLA")</f>
        <v>Within SLA</v>
      </c>
      <c r="N1657" t="str">
        <f>IF(tbl_analysis_tickets[[#This Row],[first_response_minutes]]&gt;tbl_analysis_tickets[[#This Row],[First Response SLA Minutes]],"Breached","Within SLA")</f>
        <v>Within SLA</v>
      </c>
      <c r="O1657" t="str" cm="1">
        <f t="array" ref="O1657">_xlfn.IFS(
tbl_analysis_tickets[[#This Row],[agent_experience_years]]&lt;=2,"Junior",
tbl_analysis_tickets[[#This Row],[agent_experience_years]]&lt;=5,"Mid-Level",
tbl_analysis_tickets[[#This Row],[agent_experience_years]]&lt;=8,"Senior",
tbl_analysis_tickets[[#This Row],[agent_experience_years]]&gt;8,"Expert"
)</f>
        <v>Senior</v>
      </c>
      <c r="P1657" cm="1">
        <f t="array" ref="P1657">_xlfn.SWITCH(tbl_analysis_tickets[[#This Row],[customer_satisfaction]],
"Low",1,
"Medium",2,
"High",3
)</f>
        <v>1</v>
      </c>
      <c r="Q1657">
        <f>IF(tbl_analysis_tickets[[#This Row],[reopened]]="Yes",1,0)</f>
        <v>1</v>
      </c>
      <c r="R1657" t="str" cm="1">
        <f t="array" ref="R1657">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657" t="str" cm="1">
        <f t="array" ref="S165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657" t="str">
        <f>TEXT(tbl_analysis_tickets[[#This Row],[created_date]],"mmm-yyyy")</f>
        <v>Oct-2024</v>
      </c>
      <c r="U1657" t="str">
        <f>TEXT(tbl_analysis_tickets[[#This Row],[created_date]],"dddd")</f>
        <v>Wednesday</v>
      </c>
      <c r="V1657" cm="1">
        <f t="array" ref="V1657">_xlfn.SWITCH(tbl_analysis_tickets[[#This Row],[priority]],
"Urgent",1,
"High",2,
"Medium",3,
"Low",4
)</f>
        <v>4</v>
      </c>
    </row>
    <row r="1658" spans="1:22" x14ac:dyDescent="0.25">
      <c r="A1658">
        <v>1657</v>
      </c>
      <c r="B1658" s="1">
        <v>45610</v>
      </c>
      <c r="C1658" t="s">
        <v>22</v>
      </c>
      <c r="D1658" t="s">
        <v>17</v>
      </c>
      <c r="E1658">
        <v>127</v>
      </c>
      <c r="F1658">
        <v>18</v>
      </c>
      <c r="G1658">
        <v>3.1</v>
      </c>
      <c r="H1658" t="s">
        <v>18</v>
      </c>
      <c r="I1658" t="s">
        <v>16</v>
      </c>
      <c r="J1658" t="s">
        <v>11</v>
      </c>
      <c r="K1658">
        <f>_xlfn.XLOOKUP(tbl_analysis_tickets[[#This Row],[priority]],tbl_sla[priority],tbl_sla[Resolution SLA Hours])</f>
        <v>8</v>
      </c>
      <c r="L1658">
        <f>_xlfn.XLOOKUP(tbl_analysis_tickets[[#This Row],[priority]],tbl_sla[priority],tbl_sla[First Response SLA Minutes])</f>
        <v>30</v>
      </c>
      <c r="M1658" t="str">
        <f>IF(tbl_analysis_tickets[[#This Row],[resolution_time_hours]]&gt;tbl_analysis_tickets[[#This Row],[Resolution SLA Hours]],"Breached","Within SLA")</f>
        <v>Breached</v>
      </c>
      <c r="N1658" t="str">
        <f>IF(tbl_analysis_tickets[[#This Row],[first_response_minutes]]&gt;tbl_analysis_tickets[[#This Row],[First Response SLA Minutes]],"Breached","Within SLA")</f>
        <v>Breached</v>
      </c>
      <c r="O1658" t="str" cm="1">
        <f t="array" ref="O1658">_xlfn.IFS(
tbl_analysis_tickets[[#This Row],[agent_experience_years]]&lt;=2,"Junior",
tbl_analysis_tickets[[#This Row],[agent_experience_years]]&lt;=5,"Mid-Level",
tbl_analysis_tickets[[#This Row],[agent_experience_years]]&lt;=8,"Senior",
tbl_analysis_tickets[[#This Row],[agent_experience_years]]&gt;8,"Expert"
)</f>
        <v>Mid-Level</v>
      </c>
      <c r="P1658" cm="1">
        <f t="array" ref="P1658">_xlfn.SWITCH(tbl_analysis_tickets[[#This Row],[customer_satisfaction]],
"Low",1,
"Medium",2,
"High",3
)</f>
        <v>1</v>
      </c>
      <c r="Q1658">
        <f>IF(tbl_analysis_tickets[[#This Row],[reopened]]="Yes",1,0)</f>
        <v>0</v>
      </c>
      <c r="R1658" t="str" cm="1">
        <f t="array" ref="R1658">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658" t="str" cm="1">
        <f t="array" ref="S165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658" t="str">
        <f>TEXT(tbl_analysis_tickets[[#This Row],[created_date]],"mmm-yyyy")</f>
        <v>Nov-2024</v>
      </c>
      <c r="U1658" t="str">
        <f>TEXT(tbl_analysis_tickets[[#This Row],[created_date]],"dddd")</f>
        <v>Thursday</v>
      </c>
      <c r="V1658" cm="1">
        <f t="array" ref="V1658">_xlfn.SWITCH(tbl_analysis_tickets[[#This Row],[priority]],
"Urgent",1,
"High",2,
"Medium",3,
"Low",4
)</f>
        <v>1</v>
      </c>
    </row>
    <row r="1659" spans="1:22" x14ac:dyDescent="0.25">
      <c r="A1659">
        <v>1658</v>
      </c>
      <c r="B1659" s="1">
        <v>45534</v>
      </c>
      <c r="C1659" t="s">
        <v>14</v>
      </c>
      <c r="D1659" t="s">
        <v>17</v>
      </c>
      <c r="E1659">
        <v>188</v>
      </c>
      <c r="F1659">
        <v>8</v>
      </c>
      <c r="G1659">
        <v>6.9</v>
      </c>
      <c r="H1659" t="s">
        <v>18</v>
      </c>
      <c r="I1659" t="s">
        <v>16</v>
      </c>
      <c r="J1659" t="s">
        <v>11</v>
      </c>
      <c r="K1659">
        <f>_xlfn.XLOOKUP(tbl_analysis_tickets[[#This Row],[priority]],tbl_sla[priority],tbl_sla[Resolution SLA Hours])</f>
        <v>8</v>
      </c>
      <c r="L1659">
        <f>_xlfn.XLOOKUP(tbl_analysis_tickets[[#This Row],[priority]],tbl_sla[priority],tbl_sla[First Response SLA Minutes])</f>
        <v>30</v>
      </c>
      <c r="M1659" t="str">
        <f>IF(tbl_analysis_tickets[[#This Row],[resolution_time_hours]]&gt;tbl_analysis_tickets[[#This Row],[Resolution SLA Hours]],"Breached","Within SLA")</f>
        <v>Within SLA</v>
      </c>
      <c r="N1659" t="str">
        <f>IF(tbl_analysis_tickets[[#This Row],[first_response_minutes]]&gt;tbl_analysis_tickets[[#This Row],[First Response SLA Minutes]],"Breached","Within SLA")</f>
        <v>Breached</v>
      </c>
      <c r="O1659" t="str" cm="1">
        <f t="array" ref="O1659">_xlfn.IFS(
tbl_analysis_tickets[[#This Row],[agent_experience_years]]&lt;=2,"Junior",
tbl_analysis_tickets[[#This Row],[agent_experience_years]]&lt;=5,"Mid-Level",
tbl_analysis_tickets[[#This Row],[agent_experience_years]]&lt;=8,"Senior",
tbl_analysis_tickets[[#This Row],[agent_experience_years]]&gt;8,"Expert"
)</f>
        <v>Senior</v>
      </c>
      <c r="P1659" cm="1">
        <f t="array" ref="P1659">_xlfn.SWITCH(tbl_analysis_tickets[[#This Row],[customer_satisfaction]],
"Low",1,
"Medium",2,
"High",3
)</f>
        <v>1</v>
      </c>
      <c r="Q1659">
        <f>IF(tbl_analysis_tickets[[#This Row],[reopened]]="Yes",1,0)</f>
        <v>0</v>
      </c>
      <c r="R1659" t="str" cm="1">
        <f t="array" ref="R1659">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659" t="str" cm="1">
        <f t="array" ref="S165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1659" t="str">
        <f>TEXT(tbl_analysis_tickets[[#This Row],[created_date]],"mmm-yyyy")</f>
        <v>Aug-2024</v>
      </c>
      <c r="U1659" t="str">
        <f>TEXT(tbl_analysis_tickets[[#This Row],[created_date]],"dddd")</f>
        <v>Friday</v>
      </c>
      <c r="V1659" cm="1">
        <f t="array" ref="V1659">_xlfn.SWITCH(tbl_analysis_tickets[[#This Row],[priority]],
"Urgent",1,
"High",2,
"Medium",3,
"Low",4
)</f>
        <v>1</v>
      </c>
    </row>
    <row r="1660" spans="1:22" x14ac:dyDescent="0.25">
      <c r="A1660">
        <v>1659</v>
      </c>
      <c r="B1660" s="1">
        <v>45502</v>
      </c>
      <c r="C1660" t="s">
        <v>23</v>
      </c>
      <c r="D1660" t="s">
        <v>20</v>
      </c>
      <c r="E1660">
        <v>77</v>
      </c>
      <c r="F1660">
        <v>52</v>
      </c>
      <c r="G1660">
        <v>5.5</v>
      </c>
      <c r="H1660" t="s">
        <v>18</v>
      </c>
      <c r="I1660" t="s">
        <v>19</v>
      </c>
      <c r="J1660" t="s">
        <v>11</v>
      </c>
      <c r="K1660">
        <f>_xlfn.XLOOKUP(tbl_analysis_tickets[[#This Row],[priority]],tbl_sla[priority],tbl_sla[Resolution SLA Hours])</f>
        <v>24</v>
      </c>
      <c r="L1660">
        <f>_xlfn.XLOOKUP(tbl_analysis_tickets[[#This Row],[priority]],tbl_sla[priority],tbl_sla[First Response SLA Minutes])</f>
        <v>60</v>
      </c>
      <c r="M1660" t="str">
        <f>IF(tbl_analysis_tickets[[#This Row],[resolution_time_hours]]&gt;tbl_analysis_tickets[[#This Row],[Resolution SLA Hours]],"Breached","Within SLA")</f>
        <v>Breached</v>
      </c>
      <c r="N1660" t="str">
        <f>IF(tbl_analysis_tickets[[#This Row],[first_response_minutes]]&gt;tbl_analysis_tickets[[#This Row],[First Response SLA Minutes]],"Breached","Within SLA")</f>
        <v>Breached</v>
      </c>
      <c r="O1660" t="str" cm="1">
        <f t="array" ref="O1660">_xlfn.IFS(
tbl_analysis_tickets[[#This Row],[agent_experience_years]]&lt;=2,"Junior",
tbl_analysis_tickets[[#This Row],[agent_experience_years]]&lt;=5,"Mid-Level",
tbl_analysis_tickets[[#This Row],[agent_experience_years]]&lt;=8,"Senior",
tbl_analysis_tickets[[#This Row],[agent_experience_years]]&gt;8,"Expert"
)</f>
        <v>Senior</v>
      </c>
      <c r="P1660" cm="1">
        <f t="array" ref="P1660">_xlfn.SWITCH(tbl_analysis_tickets[[#This Row],[customer_satisfaction]],
"Low",1,
"Medium",2,
"High",3
)</f>
        <v>1</v>
      </c>
      <c r="Q1660">
        <f>IF(tbl_analysis_tickets[[#This Row],[reopened]]="Yes",1,0)</f>
        <v>0</v>
      </c>
      <c r="R1660" t="str" cm="1">
        <f t="array" ref="R1660">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660" t="str" cm="1">
        <f t="array" ref="S166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660" t="str">
        <f>TEXT(tbl_analysis_tickets[[#This Row],[created_date]],"mmm-yyyy")</f>
        <v>Jul-2024</v>
      </c>
      <c r="U1660" t="str">
        <f>TEXT(tbl_analysis_tickets[[#This Row],[created_date]],"dddd")</f>
        <v>Monday</v>
      </c>
      <c r="V1660" cm="1">
        <f t="array" ref="V1660">_xlfn.SWITCH(tbl_analysis_tickets[[#This Row],[priority]],
"Urgent",1,
"High",2,
"Medium",3,
"Low",4
)</f>
        <v>2</v>
      </c>
    </row>
    <row r="1661" spans="1:22" x14ac:dyDescent="0.25">
      <c r="A1661">
        <v>1660</v>
      </c>
      <c r="B1661" s="1">
        <v>45467</v>
      </c>
      <c r="C1661" t="s">
        <v>10</v>
      </c>
      <c r="D1661" t="s">
        <v>11</v>
      </c>
      <c r="E1661">
        <v>175</v>
      </c>
      <c r="F1661">
        <v>36</v>
      </c>
      <c r="G1661">
        <v>7.5</v>
      </c>
      <c r="H1661" t="s">
        <v>18</v>
      </c>
      <c r="I1661" t="s">
        <v>13</v>
      </c>
      <c r="J1661" t="s">
        <v>15</v>
      </c>
      <c r="K1661">
        <f>_xlfn.XLOOKUP(tbl_analysis_tickets[[#This Row],[priority]],tbl_sla[priority],tbl_sla[Resolution SLA Hours])</f>
        <v>72</v>
      </c>
      <c r="L1661">
        <f>_xlfn.XLOOKUP(tbl_analysis_tickets[[#This Row],[priority]],tbl_sla[priority],tbl_sla[First Response SLA Minutes])</f>
        <v>240</v>
      </c>
      <c r="M1661" t="str">
        <f>IF(tbl_analysis_tickets[[#This Row],[resolution_time_hours]]&gt;tbl_analysis_tickets[[#This Row],[Resolution SLA Hours]],"Breached","Within SLA")</f>
        <v>Within SLA</v>
      </c>
      <c r="N1661" t="str">
        <f>IF(tbl_analysis_tickets[[#This Row],[first_response_minutes]]&gt;tbl_analysis_tickets[[#This Row],[First Response SLA Minutes]],"Breached","Within SLA")</f>
        <v>Within SLA</v>
      </c>
      <c r="O1661" t="str" cm="1">
        <f t="array" ref="O1661">_xlfn.IFS(
tbl_analysis_tickets[[#This Row],[agent_experience_years]]&lt;=2,"Junior",
tbl_analysis_tickets[[#This Row],[agent_experience_years]]&lt;=5,"Mid-Level",
tbl_analysis_tickets[[#This Row],[agent_experience_years]]&lt;=8,"Senior",
tbl_analysis_tickets[[#This Row],[agent_experience_years]]&gt;8,"Expert"
)</f>
        <v>Senior</v>
      </c>
      <c r="P1661" cm="1">
        <f t="array" ref="P1661">_xlfn.SWITCH(tbl_analysis_tickets[[#This Row],[customer_satisfaction]],
"Low",1,
"Medium",2,
"High",3
)</f>
        <v>2</v>
      </c>
      <c r="Q1661">
        <f>IF(tbl_analysis_tickets[[#This Row],[reopened]]="Yes",1,0)</f>
        <v>0</v>
      </c>
      <c r="R1661" t="str" cm="1">
        <f t="array" ref="R1661">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661" t="str" cm="1">
        <f t="array" ref="S166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661" t="str">
        <f>TEXT(tbl_analysis_tickets[[#This Row],[created_date]],"mmm-yyyy")</f>
        <v>Jun-2024</v>
      </c>
      <c r="U1661" t="str">
        <f>TEXT(tbl_analysis_tickets[[#This Row],[created_date]],"dddd")</f>
        <v>Monday</v>
      </c>
      <c r="V1661" cm="1">
        <f t="array" ref="V1661">_xlfn.SWITCH(tbl_analysis_tickets[[#This Row],[priority]],
"Urgent",1,
"High",2,
"Medium",3,
"Low",4
)</f>
        <v>4</v>
      </c>
    </row>
    <row r="1662" spans="1:22" x14ac:dyDescent="0.25">
      <c r="A1662">
        <v>1661</v>
      </c>
      <c r="B1662" s="1">
        <v>45419</v>
      </c>
      <c r="C1662" t="s">
        <v>14</v>
      </c>
      <c r="D1662" t="s">
        <v>20</v>
      </c>
      <c r="E1662">
        <v>94</v>
      </c>
      <c r="F1662">
        <v>68</v>
      </c>
      <c r="G1662">
        <v>3</v>
      </c>
      <c r="H1662" t="s">
        <v>12</v>
      </c>
      <c r="I1662" t="s">
        <v>13</v>
      </c>
      <c r="J1662" t="s">
        <v>11</v>
      </c>
      <c r="K1662">
        <f>_xlfn.XLOOKUP(tbl_analysis_tickets[[#This Row],[priority]],tbl_sla[priority],tbl_sla[Resolution SLA Hours])</f>
        <v>24</v>
      </c>
      <c r="L1662">
        <f>_xlfn.XLOOKUP(tbl_analysis_tickets[[#This Row],[priority]],tbl_sla[priority],tbl_sla[First Response SLA Minutes])</f>
        <v>60</v>
      </c>
      <c r="M1662" t="str">
        <f>IF(tbl_analysis_tickets[[#This Row],[resolution_time_hours]]&gt;tbl_analysis_tickets[[#This Row],[Resolution SLA Hours]],"Breached","Within SLA")</f>
        <v>Breached</v>
      </c>
      <c r="N1662" t="str">
        <f>IF(tbl_analysis_tickets[[#This Row],[first_response_minutes]]&gt;tbl_analysis_tickets[[#This Row],[First Response SLA Minutes]],"Breached","Within SLA")</f>
        <v>Breached</v>
      </c>
      <c r="O1662" t="str" cm="1">
        <f t="array" ref="O1662">_xlfn.IFS(
tbl_analysis_tickets[[#This Row],[agent_experience_years]]&lt;=2,"Junior",
tbl_analysis_tickets[[#This Row],[agent_experience_years]]&lt;=5,"Mid-Level",
tbl_analysis_tickets[[#This Row],[agent_experience_years]]&lt;=8,"Senior",
tbl_analysis_tickets[[#This Row],[agent_experience_years]]&gt;8,"Expert"
)</f>
        <v>Mid-Level</v>
      </c>
      <c r="P1662" cm="1">
        <f t="array" ref="P1662">_xlfn.SWITCH(tbl_analysis_tickets[[#This Row],[customer_satisfaction]],
"Low",1,
"Medium",2,
"High",3
)</f>
        <v>1</v>
      </c>
      <c r="Q1662">
        <f>IF(tbl_analysis_tickets[[#This Row],[reopened]]="Yes",1,0)</f>
        <v>1</v>
      </c>
      <c r="R1662" t="str" cm="1">
        <f t="array" ref="R1662">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662" t="str" cm="1">
        <f t="array" ref="S166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662" t="str">
        <f>TEXT(tbl_analysis_tickets[[#This Row],[created_date]],"mmm-yyyy")</f>
        <v>May-2024</v>
      </c>
      <c r="U1662" t="str">
        <f>TEXT(tbl_analysis_tickets[[#This Row],[created_date]],"dddd")</f>
        <v>Tuesday</v>
      </c>
      <c r="V1662" cm="1">
        <f t="array" ref="V1662">_xlfn.SWITCH(tbl_analysis_tickets[[#This Row],[priority]],
"Urgent",1,
"High",2,
"Medium",3,
"Low",4
)</f>
        <v>2</v>
      </c>
    </row>
    <row r="1663" spans="1:22" x14ac:dyDescent="0.25">
      <c r="A1663">
        <v>1662</v>
      </c>
      <c r="B1663" s="1">
        <v>45551</v>
      </c>
      <c r="C1663" t="s">
        <v>14</v>
      </c>
      <c r="D1663" t="s">
        <v>15</v>
      </c>
      <c r="E1663">
        <v>226</v>
      </c>
      <c r="F1663">
        <v>51</v>
      </c>
      <c r="G1663">
        <v>2.2000000000000002</v>
      </c>
      <c r="H1663" t="s">
        <v>12</v>
      </c>
      <c r="I1663" t="s">
        <v>16</v>
      </c>
      <c r="J1663" t="s">
        <v>11</v>
      </c>
      <c r="K1663">
        <f>_xlfn.XLOOKUP(tbl_analysis_tickets[[#This Row],[priority]],tbl_sla[priority],tbl_sla[Resolution SLA Hours])</f>
        <v>48</v>
      </c>
      <c r="L1663">
        <f>_xlfn.XLOOKUP(tbl_analysis_tickets[[#This Row],[priority]],tbl_sla[priority],tbl_sla[First Response SLA Minutes])</f>
        <v>120</v>
      </c>
      <c r="M1663" t="str">
        <f>IF(tbl_analysis_tickets[[#This Row],[resolution_time_hours]]&gt;tbl_analysis_tickets[[#This Row],[Resolution SLA Hours]],"Breached","Within SLA")</f>
        <v>Breached</v>
      </c>
      <c r="N1663" t="str">
        <f>IF(tbl_analysis_tickets[[#This Row],[first_response_minutes]]&gt;tbl_analysis_tickets[[#This Row],[First Response SLA Minutes]],"Breached","Within SLA")</f>
        <v>Breached</v>
      </c>
      <c r="O1663" t="str" cm="1">
        <f t="array" ref="O1663">_xlfn.IFS(
tbl_analysis_tickets[[#This Row],[agent_experience_years]]&lt;=2,"Junior",
tbl_analysis_tickets[[#This Row],[agent_experience_years]]&lt;=5,"Mid-Level",
tbl_analysis_tickets[[#This Row],[agent_experience_years]]&lt;=8,"Senior",
tbl_analysis_tickets[[#This Row],[agent_experience_years]]&gt;8,"Expert"
)</f>
        <v>Mid-Level</v>
      </c>
      <c r="P1663" cm="1">
        <f t="array" ref="P1663">_xlfn.SWITCH(tbl_analysis_tickets[[#This Row],[customer_satisfaction]],
"Low",1,
"Medium",2,
"High",3
)</f>
        <v>1</v>
      </c>
      <c r="Q1663">
        <f>IF(tbl_analysis_tickets[[#This Row],[reopened]]="Yes",1,0)</f>
        <v>1</v>
      </c>
      <c r="R1663" t="str" cm="1">
        <f t="array" ref="R1663">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663" t="str" cm="1">
        <f t="array" ref="S166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663" t="str">
        <f>TEXT(tbl_analysis_tickets[[#This Row],[created_date]],"mmm-yyyy")</f>
        <v>Sep-2024</v>
      </c>
      <c r="U1663" t="str">
        <f>TEXT(tbl_analysis_tickets[[#This Row],[created_date]],"dddd")</f>
        <v>Monday</v>
      </c>
      <c r="V1663" cm="1">
        <f t="array" ref="V1663">_xlfn.SWITCH(tbl_analysis_tickets[[#This Row],[priority]],
"Urgent",1,
"High",2,
"Medium",3,
"Low",4
)</f>
        <v>3</v>
      </c>
    </row>
    <row r="1664" spans="1:22" x14ac:dyDescent="0.25">
      <c r="A1664">
        <v>1663</v>
      </c>
      <c r="B1664" s="1">
        <v>45605</v>
      </c>
      <c r="C1664" t="s">
        <v>22</v>
      </c>
      <c r="D1664" t="s">
        <v>17</v>
      </c>
      <c r="E1664">
        <v>16</v>
      </c>
      <c r="F1664">
        <v>54</v>
      </c>
      <c r="G1664">
        <v>5.9</v>
      </c>
      <c r="H1664" t="s">
        <v>12</v>
      </c>
      <c r="I1664" t="s">
        <v>19</v>
      </c>
      <c r="J1664" t="s">
        <v>15</v>
      </c>
      <c r="K1664">
        <f>_xlfn.XLOOKUP(tbl_analysis_tickets[[#This Row],[priority]],tbl_sla[priority],tbl_sla[Resolution SLA Hours])</f>
        <v>8</v>
      </c>
      <c r="L1664">
        <f>_xlfn.XLOOKUP(tbl_analysis_tickets[[#This Row],[priority]],tbl_sla[priority],tbl_sla[First Response SLA Minutes])</f>
        <v>30</v>
      </c>
      <c r="M1664" t="str">
        <f>IF(tbl_analysis_tickets[[#This Row],[resolution_time_hours]]&gt;tbl_analysis_tickets[[#This Row],[Resolution SLA Hours]],"Breached","Within SLA")</f>
        <v>Breached</v>
      </c>
      <c r="N1664" t="str">
        <f>IF(tbl_analysis_tickets[[#This Row],[first_response_minutes]]&gt;tbl_analysis_tickets[[#This Row],[First Response SLA Minutes]],"Breached","Within SLA")</f>
        <v>Within SLA</v>
      </c>
      <c r="O1664" t="str" cm="1">
        <f t="array" ref="O1664">_xlfn.IFS(
tbl_analysis_tickets[[#This Row],[agent_experience_years]]&lt;=2,"Junior",
tbl_analysis_tickets[[#This Row],[agent_experience_years]]&lt;=5,"Mid-Level",
tbl_analysis_tickets[[#This Row],[agent_experience_years]]&lt;=8,"Senior",
tbl_analysis_tickets[[#This Row],[agent_experience_years]]&gt;8,"Expert"
)</f>
        <v>Senior</v>
      </c>
      <c r="P1664" cm="1">
        <f t="array" ref="P1664">_xlfn.SWITCH(tbl_analysis_tickets[[#This Row],[customer_satisfaction]],
"Low",1,
"Medium",2,
"High",3
)</f>
        <v>2</v>
      </c>
      <c r="Q1664">
        <f>IF(tbl_analysis_tickets[[#This Row],[reopened]]="Yes",1,0)</f>
        <v>1</v>
      </c>
      <c r="R1664" t="str" cm="1">
        <f t="array" ref="R1664">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1664" t="str" cm="1">
        <f t="array" ref="S166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664" t="str">
        <f>TEXT(tbl_analysis_tickets[[#This Row],[created_date]],"mmm-yyyy")</f>
        <v>Nov-2024</v>
      </c>
      <c r="U1664" t="str">
        <f>TEXT(tbl_analysis_tickets[[#This Row],[created_date]],"dddd")</f>
        <v>Saturday</v>
      </c>
      <c r="V1664" cm="1">
        <f t="array" ref="V1664">_xlfn.SWITCH(tbl_analysis_tickets[[#This Row],[priority]],
"Urgent",1,
"High",2,
"Medium",3,
"Low",4
)</f>
        <v>1</v>
      </c>
    </row>
    <row r="1665" spans="1:22" x14ac:dyDescent="0.25">
      <c r="A1665">
        <v>1664</v>
      </c>
      <c r="B1665" s="1">
        <v>45491</v>
      </c>
      <c r="C1665" t="s">
        <v>10</v>
      </c>
      <c r="D1665" t="s">
        <v>15</v>
      </c>
      <c r="E1665">
        <v>141</v>
      </c>
      <c r="F1665">
        <v>24</v>
      </c>
      <c r="G1665">
        <v>3.6</v>
      </c>
      <c r="H1665" t="s">
        <v>18</v>
      </c>
      <c r="I1665" t="s">
        <v>16</v>
      </c>
      <c r="J1665" t="s">
        <v>11</v>
      </c>
      <c r="K1665">
        <f>_xlfn.XLOOKUP(tbl_analysis_tickets[[#This Row],[priority]],tbl_sla[priority],tbl_sla[Resolution SLA Hours])</f>
        <v>48</v>
      </c>
      <c r="L1665">
        <f>_xlfn.XLOOKUP(tbl_analysis_tickets[[#This Row],[priority]],tbl_sla[priority],tbl_sla[First Response SLA Minutes])</f>
        <v>120</v>
      </c>
      <c r="M1665" t="str">
        <f>IF(tbl_analysis_tickets[[#This Row],[resolution_time_hours]]&gt;tbl_analysis_tickets[[#This Row],[Resolution SLA Hours]],"Breached","Within SLA")</f>
        <v>Within SLA</v>
      </c>
      <c r="N1665" t="str">
        <f>IF(tbl_analysis_tickets[[#This Row],[first_response_minutes]]&gt;tbl_analysis_tickets[[#This Row],[First Response SLA Minutes]],"Breached","Within SLA")</f>
        <v>Breached</v>
      </c>
      <c r="O1665" t="str" cm="1">
        <f t="array" ref="O1665">_xlfn.IFS(
tbl_analysis_tickets[[#This Row],[agent_experience_years]]&lt;=2,"Junior",
tbl_analysis_tickets[[#This Row],[agent_experience_years]]&lt;=5,"Mid-Level",
tbl_analysis_tickets[[#This Row],[agent_experience_years]]&lt;=8,"Senior",
tbl_analysis_tickets[[#This Row],[agent_experience_years]]&gt;8,"Expert"
)</f>
        <v>Mid-Level</v>
      </c>
      <c r="P1665" cm="1">
        <f t="array" ref="P1665">_xlfn.SWITCH(tbl_analysis_tickets[[#This Row],[customer_satisfaction]],
"Low",1,
"Medium",2,
"High",3
)</f>
        <v>1</v>
      </c>
      <c r="Q1665">
        <f>IF(tbl_analysis_tickets[[#This Row],[reopened]]="Yes",1,0)</f>
        <v>0</v>
      </c>
      <c r="R1665" t="str" cm="1">
        <f t="array" ref="R1665">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665" t="str" cm="1">
        <f t="array" ref="S166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665" t="str">
        <f>TEXT(tbl_analysis_tickets[[#This Row],[created_date]],"mmm-yyyy")</f>
        <v>Jul-2024</v>
      </c>
      <c r="U1665" t="str">
        <f>TEXT(tbl_analysis_tickets[[#This Row],[created_date]],"dddd")</f>
        <v>Thursday</v>
      </c>
      <c r="V1665" cm="1">
        <f t="array" ref="V1665">_xlfn.SWITCH(tbl_analysis_tickets[[#This Row],[priority]],
"Urgent",1,
"High",2,
"Medium",3,
"Low",4
)</f>
        <v>3</v>
      </c>
    </row>
    <row r="1666" spans="1:22" x14ac:dyDescent="0.25">
      <c r="A1666">
        <v>1665</v>
      </c>
      <c r="B1666" s="1">
        <v>45555</v>
      </c>
      <c r="C1666" t="s">
        <v>21</v>
      </c>
      <c r="D1666" t="s">
        <v>20</v>
      </c>
      <c r="E1666">
        <v>176</v>
      </c>
      <c r="F1666">
        <v>25</v>
      </c>
      <c r="G1666">
        <v>1</v>
      </c>
      <c r="H1666" t="s">
        <v>12</v>
      </c>
      <c r="I1666" t="s">
        <v>19</v>
      </c>
      <c r="J1666" t="s">
        <v>11</v>
      </c>
      <c r="K1666">
        <f>_xlfn.XLOOKUP(tbl_analysis_tickets[[#This Row],[priority]],tbl_sla[priority],tbl_sla[Resolution SLA Hours])</f>
        <v>24</v>
      </c>
      <c r="L1666">
        <f>_xlfn.XLOOKUP(tbl_analysis_tickets[[#This Row],[priority]],tbl_sla[priority],tbl_sla[First Response SLA Minutes])</f>
        <v>60</v>
      </c>
      <c r="M1666" t="str">
        <f>IF(tbl_analysis_tickets[[#This Row],[resolution_time_hours]]&gt;tbl_analysis_tickets[[#This Row],[Resolution SLA Hours]],"Breached","Within SLA")</f>
        <v>Breached</v>
      </c>
      <c r="N1666" t="str">
        <f>IF(tbl_analysis_tickets[[#This Row],[first_response_minutes]]&gt;tbl_analysis_tickets[[#This Row],[First Response SLA Minutes]],"Breached","Within SLA")</f>
        <v>Breached</v>
      </c>
      <c r="O1666" t="str" cm="1">
        <f t="array" ref="O1666">_xlfn.IFS(
tbl_analysis_tickets[[#This Row],[agent_experience_years]]&lt;=2,"Junior",
tbl_analysis_tickets[[#This Row],[agent_experience_years]]&lt;=5,"Mid-Level",
tbl_analysis_tickets[[#This Row],[agent_experience_years]]&lt;=8,"Senior",
tbl_analysis_tickets[[#This Row],[agent_experience_years]]&gt;8,"Expert"
)</f>
        <v>Junior</v>
      </c>
      <c r="P1666" cm="1">
        <f t="array" ref="P1666">_xlfn.SWITCH(tbl_analysis_tickets[[#This Row],[customer_satisfaction]],
"Low",1,
"Medium",2,
"High",3
)</f>
        <v>1</v>
      </c>
      <c r="Q1666">
        <f>IF(tbl_analysis_tickets[[#This Row],[reopened]]="Yes",1,0)</f>
        <v>1</v>
      </c>
      <c r="R1666" t="str" cm="1">
        <f t="array" ref="R1666">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666" t="str" cm="1">
        <f t="array" ref="S166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666" t="str">
        <f>TEXT(tbl_analysis_tickets[[#This Row],[created_date]],"mmm-yyyy")</f>
        <v>Sep-2024</v>
      </c>
      <c r="U1666" t="str">
        <f>TEXT(tbl_analysis_tickets[[#This Row],[created_date]],"dddd")</f>
        <v>Friday</v>
      </c>
      <c r="V1666" cm="1">
        <f t="array" ref="V1666">_xlfn.SWITCH(tbl_analysis_tickets[[#This Row],[priority]],
"Urgent",1,
"High",2,
"Medium",3,
"Low",4
)</f>
        <v>2</v>
      </c>
    </row>
    <row r="1667" spans="1:22" x14ac:dyDescent="0.25">
      <c r="A1667">
        <v>1666</v>
      </c>
      <c r="B1667" s="1">
        <v>45449</v>
      </c>
      <c r="C1667" t="s">
        <v>22</v>
      </c>
      <c r="D1667" t="s">
        <v>15</v>
      </c>
      <c r="E1667">
        <v>100</v>
      </c>
      <c r="F1667">
        <v>37</v>
      </c>
      <c r="G1667">
        <v>3.3</v>
      </c>
      <c r="H1667" t="s">
        <v>12</v>
      </c>
      <c r="I1667" t="s">
        <v>13</v>
      </c>
      <c r="J1667" t="s">
        <v>11</v>
      </c>
      <c r="K1667">
        <f>_xlfn.XLOOKUP(tbl_analysis_tickets[[#This Row],[priority]],tbl_sla[priority],tbl_sla[Resolution SLA Hours])</f>
        <v>48</v>
      </c>
      <c r="L1667">
        <f>_xlfn.XLOOKUP(tbl_analysis_tickets[[#This Row],[priority]],tbl_sla[priority],tbl_sla[First Response SLA Minutes])</f>
        <v>120</v>
      </c>
      <c r="M1667" t="str">
        <f>IF(tbl_analysis_tickets[[#This Row],[resolution_time_hours]]&gt;tbl_analysis_tickets[[#This Row],[Resolution SLA Hours]],"Breached","Within SLA")</f>
        <v>Within SLA</v>
      </c>
      <c r="N1667" t="str">
        <f>IF(tbl_analysis_tickets[[#This Row],[first_response_minutes]]&gt;tbl_analysis_tickets[[#This Row],[First Response SLA Minutes]],"Breached","Within SLA")</f>
        <v>Within SLA</v>
      </c>
      <c r="O1667" t="str" cm="1">
        <f t="array" ref="O1667">_xlfn.IFS(
tbl_analysis_tickets[[#This Row],[agent_experience_years]]&lt;=2,"Junior",
tbl_analysis_tickets[[#This Row],[agent_experience_years]]&lt;=5,"Mid-Level",
tbl_analysis_tickets[[#This Row],[agent_experience_years]]&lt;=8,"Senior",
tbl_analysis_tickets[[#This Row],[agent_experience_years]]&gt;8,"Expert"
)</f>
        <v>Mid-Level</v>
      </c>
      <c r="P1667" cm="1">
        <f t="array" ref="P1667">_xlfn.SWITCH(tbl_analysis_tickets[[#This Row],[customer_satisfaction]],
"Low",1,
"Medium",2,
"High",3
)</f>
        <v>1</v>
      </c>
      <c r="Q1667">
        <f>IF(tbl_analysis_tickets[[#This Row],[reopened]]="Yes",1,0)</f>
        <v>1</v>
      </c>
      <c r="R1667" t="str" cm="1">
        <f t="array" ref="R1667">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667" t="str" cm="1">
        <f t="array" ref="S166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667" t="str">
        <f>TEXT(tbl_analysis_tickets[[#This Row],[created_date]],"mmm-yyyy")</f>
        <v>Jun-2024</v>
      </c>
      <c r="U1667" t="str">
        <f>TEXT(tbl_analysis_tickets[[#This Row],[created_date]],"dddd")</f>
        <v>Thursday</v>
      </c>
      <c r="V1667" cm="1">
        <f t="array" ref="V1667">_xlfn.SWITCH(tbl_analysis_tickets[[#This Row],[priority]],
"Urgent",1,
"High",2,
"Medium",3,
"Low",4
)</f>
        <v>3</v>
      </c>
    </row>
    <row r="1668" spans="1:22" x14ac:dyDescent="0.25">
      <c r="A1668">
        <v>1667</v>
      </c>
      <c r="B1668" s="1">
        <v>45313</v>
      </c>
      <c r="C1668" t="s">
        <v>23</v>
      </c>
      <c r="D1668" t="s">
        <v>11</v>
      </c>
      <c r="E1668">
        <v>234</v>
      </c>
      <c r="F1668">
        <v>41</v>
      </c>
      <c r="G1668">
        <v>3.1</v>
      </c>
      <c r="H1668" t="s">
        <v>12</v>
      </c>
      <c r="I1668" t="s">
        <v>19</v>
      </c>
      <c r="J1668" t="s">
        <v>11</v>
      </c>
      <c r="K1668">
        <f>_xlfn.XLOOKUP(tbl_analysis_tickets[[#This Row],[priority]],tbl_sla[priority],tbl_sla[Resolution SLA Hours])</f>
        <v>72</v>
      </c>
      <c r="L1668">
        <f>_xlfn.XLOOKUP(tbl_analysis_tickets[[#This Row],[priority]],tbl_sla[priority],tbl_sla[First Response SLA Minutes])</f>
        <v>240</v>
      </c>
      <c r="M1668" t="str">
        <f>IF(tbl_analysis_tickets[[#This Row],[resolution_time_hours]]&gt;tbl_analysis_tickets[[#This Row],[Resolution SLA Hours]],"Breached","Within SLA")</f>
        <v>Within SLA</v>
      </c>
      <c r="N1668" t="str">
        <f>IF(tbl_analysis_tickets[[#This Row],[first_response_minutes]]&gt;tbl_analysis_tickets[[#This Row],[First Response SLA Minutes]],"Breached","Within SLA")</f>
        <v>Within SLA</v>
      </c>
      <c r="O1668" t="str" cm="1">
        <f t="array" ref="O1668">_xlfn.IFS(
tbl_analysis_tickets[[#This Row],[agent_experience_years]]&lt;=2,"Junior",
tbl_analysis_tickets[[#This Row],[agent_experience_years]]&lt;=5,"Mid-Level",
tbl_analysis_tickets[[#This Row],[agent_experience_years]]&lt;=8,"Senior",
tbl_analysis_tickets[[#This Row],[agent_experience_years]]&gt;8,"Expert"
)</f>
        <v>Mid-Level</v>
      </c>
      <c r="P1668" cm="1">
        <f t="array" ref="P1668">_xlfn.SWITCH(tbl_analysis_tickets[[#This Row],[customer_satisfaction]],
"Low",1,
"Medium",2,
"High",3
)</f>
        <v>1</v>
      </c>
      <c r="Q1668">
        <f>IF(tbl_analysis_tickets[[#This Row],[reopened]]="Yes",1,0)</f>
        <v>1</v>
      </c>
      <c r="R1668" t="str" cm="1">
        <f t="array" ref="R1668">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668" t="str" cm="1">
        <f t="array" ref="S166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668" t="str">
        <f>TEXT(tbl_analysis_tickets[[#This Row],[created_date]],"mmm-yyyy")</f>
        <v>Jan-2024</v>
      </c>
      <c r="U1668" t="str">
        <f>TEXT(tbl_analysis_tickets[[#This Row],[created_date]],"dddd")</f>
        <v>Monday</v>
      </c>
      <c r="V1668" cm="1">
        <f t="array" ref="V1668">_xlfn.SWITCH(tbl_analysis_tickets[[#This Row],[priority]],
"Urgent",1,
"High",2,
"Medium",3,
"Low",4
)</f>
        <v>4</v>
      </c>
    </row>
    <row r="1669" spans="1:22" x14ac:dyDescent="0.25">
      <c r="A1669">
        <v>1668</v>
      </c>
      <c r="B1669" s="1">
        <v>45505</v>
      </c>
      <c r="C1669" t="s">
        <v>23</v>
      </c>
      <c r="D1669" t="s">
        <v>11</v>
      </c>
      <c r="E1669">
        <v>238</v>
      </c>
      <c r="F1669">
        <v>72</v>
      </c>
      <c r="G1669">
        <v>8.4</v>
      </c>
      <c r="H1669" t="s">
        <v>18</v>
      </c>
      <c r="I1669" t="s">
        <v>19</v>
      </c>
      <c r="J1669" t="s">
        <v>15</v>
      </c>
      <c r="K1669">
        <f>_xlfn.XLOOKUP(tbl_analysis_tickets[[#This Row],[priority]],tbl_sla[priority],tbl_sla[Resolution SLA Hours])</f>
        <v>72</v>
      </c>
      <c r="L1669">
        <f>_xlfn.XLOOKUP(tbl_analysis_tickets[[#This Row],[priority]],tbl_sla[priority],tbl_sla[First Response SLA Minutes])</f>
        <v>240</v>
      </c>
      <c r="M1669" t="str">
        <f>IF(tbl_analysis_tickets[[#This Row],[resolution_time_hours]]&gt;tbl_analysis_tickets[[#This Row],[Resolution SLA Hours]],"Breached","Within SLA")</f>
        <v>Within SLA</v>
      </c>
      <c r="N1669" t="str">
        <f>IF(tbl_analysis_tickets[[#This Row],[first_response_minutes]]&gt;tbl_analysis_tickets[[#This Row],[First Response SLA Minutes]],"Breached","Within SLA")</f>
        <v>Within SLA</v>
      </c>
      <c r="O1669" t="str" cm="1">
        <f t="array" ref="O1669">_xlfn.IFS(
tbl_analysis_tickets[[#This Row],[agent_experience_years]]&lt;=2,"Junior",
tbl_analysis_tickets[[#This Row],[agent_experience_years]]&lt;=5,"Mid-Level",
tbl_analysis_tickets[[#This Row],[agent_experience_years]]&lt;=8,"Senior",
tbl_analysis_tickets[[#This Row],[agent_experience_years]]&gt;8,"Expert"
)</f>
        <v>Expert</v>
      </c>
      <c r="P1669" cm="1">
        <f t="array" ref="P1669">_xlfn.SWITCH(tbl_analysis_tickets[[#This Row],[customer_satisfaction]],
"Low",1,
"Medium",2,
"High",3
)</f>
        <v>2</v>
      </c>
      <c r="Q1669">
        <f>IF(tbl_analysis_tickets[[#This Row],[reopened]]="Yes",1,0)</f>
        <v>0</v>
      </c>
      <c r="R1669" t="str" cm="1">
        <f t="array" ref="R1669">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669" t="str" cm="1">
        <f t="array" ref="S166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669" t="str">
        <f>TEXT(tbl_analysis_tickets[[#This Row],[created_date]],"mmm-yyyy")</f>
        <v>Aug-2024</v>
      </c>
      <c r="U1669" t="str">
        <f>TEXT(tbl_analysis_tickets[[#This Row],[created_date]],"dddd")</f>
        <v>Thursday</v>
      </c>
      <c r="V1669" cm="1">
        <f t="array" ref="V1669">_xlfn.SWITCH(tbl_analysis_tickets[[#This Row],[priority]],
"Urgent",1,
"High",2,
"Medium",3,
"Low",4
)</f>
        <v>4</v>
      </c>
    </row>
    <row r="1670" spans="1:22" x14ac:dyDescent="0.25">
      <c r="A1670">
        <v>1669</v>
      </c>
      <c r="B1670" s="1">
        <v>45308</v>
      </c>
      <c r="C1670" t="s">
        <v>21</v>
      </c>
      <c r="D1670" t="s">
        <v>11</v>
      </c>
      <c r="E1670">
        <v>211</v>
      </c>
      <c r="F1670">
        <v>13</v>
      </c>
      <c r="G1670">
        <v>4.7</v>
      </c>
      <c r="H1670" t="s">
        <v>12</v>
      </c>
      <c r="I1670" t="s">
        <v>16</v>
      </c>
      <c r="J1670" t="s">
        <v>11</v>
      </c>
      <c r="K1670">
        <f>_xlfn.XLOOKUP(tbl_analysis_tickets[[#This Row],[priority]],tbl_sla[priority],tbl_sla[Resolution SLA Hours])</f>
        <v>72</v>
      </c>
      <c r="L1670">
        <f>_xlfn.XLOOKUP(tbl_analysis_tickets[[#This Row],[priority]],tbl_sla[priority],tbl_sla[First Response SLA Minutes])</f>
        <v>240</v>
      </c>
      <c r="M1670" t="str">
        <f>IF(tbl_analysis_tickets[[#This Row],[resolution_time_hours]]&gt;tbl_analysis_tickets[[#This Row],[Resolution SLA Hours]],"Breached","Within SLA")</f>
        <v>Within SLA</v>
      </c>
      <c r="N1670" t="str">
        <f>IF(tbl_analysis_tickets[[#This Row],[first_response_minutes]]&gt;tbl_analysis_tickets[[#This Row],[First Response SLA Minutes]],"Breached","Within SLA")</f>
        <v>Within SLA</v>
      </c>
      <c r="O1670" t="str" cm="1">
        <f t="array" ref="O1670">_xlfn.IFS(
tbl_analysis_tickets[[#This Row],[agent_experience_years]]&lt;=2,"Junior",
tbl_analysis_tickets[[#This Row],[agent_experience_years]]&lt;=5,"Mid-Level",
tbl_analysis_tickets[[#This Row],[agent_experience_years]]&lt;=8,"Senior",
tbl_analysis_tickets[[#This Row],[agent_experience_years]]&gt;8,"Expert"
)</f>
        <v>Mid-Level</v>
      </c>
      <c r="P1670" cm="1">
        <f t="array" ref="P1670">_xlfn.SWITCH(tbl_analysis_tickets[[#This Row],[customer_satisfaction]],
"Low",1,
"Medium",2,
"High",3
)</f>
        <v>1</v>
      </c>
      <c r="Q1670">
        <f>IF(tbl_analysis_tickets[[#This Row],[reopened]]="Yes",1,0)</f>
        <v>1</v>
      </c>
      <c r="R1670" t="str" cm="1">
        <f t="array" ref="R1670">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670" t="str" cm="1">
        <f t="array" ref="S167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670" t="str">
        <f>TEXT(tbl_analysis_tickets[[#This Row],[created_date]],"mmm-yyyy")</f>
        <v>Jan-2024</v>
      </c>
      <c r="U1670" t="str">
        <f>TEXT(tbl_analysis_tickets[[#This Row],[created_date]],"dddd")</f>
        <v>Wednesday</v>
      </c>
      <c r="V1670" cm="1">
        <f t="array" ref="V1670">_xlfn.SWITCH(tbl_analysis_tickets[[#This Row],[priority]],
"Urgent",1,
"High",2,
"Medium",3,
"Low",4
)</f>
        <v>4</v>
      </c>
    </row>
    <row r="1671" spans="1:22" x14ac:dyDescent="0.25">
      <c r="A1671">
        <v>1670</v>
      </c>
      <c r="B1671" s="1">
        <v>45384</v>
      </c>
      <c r="C1671" t="s">
        <v>14</v>
      </c>
      <c r="D1671" t="s">
        <v>17</v>
      </c>
      <c r="E1671">
        <v>229</v>
      </c>
      <c r="F1671">
        <v>5</v>
      </c>
      <c r="G1671">
        <v>6.1</v>
      </c>
      <c r="H1671" t="s">
        <v>18</v>
      </c>
      <c r="I1671" t="s">
        <v>13</v>
      </c>
      <c r="J1671" t="s">
        <v>15</v>
      </c>
      <c r="K1671">
        <f>_xlfn.XLOOKUP(tbl_analysis_tickets[[#This Row],[priority]],tbl_sla[priority],tbl_sla[Resolution SLA Hours])</f>
        <v>8</v>
      </c>
      <c r="L1671">
        <f>_xlfn.XLOOKUP(tbl_analysis_tickets[[#This Row],[priority]],tbl_sla[priority],tbl_sla[First Response SLA Minutes])</f>
        <v>30</v>
      </c>
      <c r="M1671" t="str">
        <f>IF(tbl_analysis_tickets[[#This Row],[resolution_time_hours]]&gt;tbl_analysis_tickets[[#This Row],[Resolution SLA Hours]],"Breached","Within SLA")</f>
        <v>Within SLA</v>
      </c>
      <c r="N1671" t="str">
        <f>IF(tbl_analysis_tickets[[#This Row],[first_response_minutes]]&gt;tbl_analysis_tickets[[#This Row],[First Response SLA Minutes]],"Breached","Within SLA")</f>
        <v>Breached</v>
      </c>
      <c r="O1671" t="str" cm="1">
        <f t="array" ref="O1671">_xlfn.IFS(
tbl_analysis_tickets[[#This Row],[agent_experience_years]]&lt;=2,"Junior",
tbl_analysis_tickets[[#This Row],[agent_experience_years]]&lt;=5,"Mid-Level",
tbl_analysis_tickets[[#This Row],[agent_experience_years]]&lt;=8,"Senior",
tbl_analysis_tickets[[#This Row],[agent_experience_years]]&gt;8,"Expert"
)</f>
        <v>Senior</v>
      </c>
      <c r="P1671" cm="1">
        <f t="array" ref="P1671">_xlfn.SWITCH(tbl_analysis_tickets[[#This Row],[customer_satisfaction]],
"Low",1,
"Medium",2,
"High",3
)</f>
        <v>2</v>
      </c>
      <c r="Q1671">
        <f>IF(tbl_analysis_tickets[[#This Row],[reopened]]="Yes",1,0)</f>
        <v>0</v>
      </c>
      <c r="R1671" t="str" cm="1">
        <f t="array" ref="R1671">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671" t="str" cm="1">
        <f t="array" ref="S167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1671" t="str">
        <f>TEXT(tbl_analysis_tickets[[#This Row],[created_date]],"mmm-yyyy")</f>
        <v>Apr-2024</v>
      </c>
      <c r="U1671" t="str">
        <f>TEXT(tbl_analysis_tickets[[#This Row],[created_date]],"dddd")</f>
        <v>Tuesday</v>
      </c>
      <c r="V1671" cm="1">
        <f t="array" ref="V1671">_xlfn.SWITCH(tbl_analysis_tickets[[#This Row],[priority]],
"Urgent",1,
"High",2,
"Medium",3,
"Low",4
)</f>
        <v>1</v>
      </c>
    </row>
    <row r="1672" spans="1:22" x14ac:dyDescent="0.25">
      <c r="A1672">
        <v>1671</v>
      </c>
      <c r="B1672" s="1">
        <v>45470</v>
      </c>
      <c r="C1672" t="s">
        <v>23</v>
      </c>
      <c r="D1672" t="s">
        <v>20</v>
      </c>
      <c r="E1672">
        <v>124</v>
      </c>
      <c r="F1672">
        <v>38</v>
      </c>
      <c r="G1672">
        <v>6.4</v>
      </c>
      <c r="H1672" t="s">
        <v>12</v>
      </c>
      <c r="I1672" t="s">
        <v>16</v>
      </c>
      <c r="J1672" t="s">
        <v>11</v>
      </c>
      <c r="K1672">
        <f>_xlfn.XLOOKUP(tbl_analysis_tickets[[#This Row],[priority]],tbl_sla[priority],tbl_sla[Resolution SLA Hours])</f>
        <v>24</v>
      </c>
      <c r="L1672">
        <f>_xlfn.XLOOKUP(tbl_analysis_tickets[[#This Row],[priority]],tbl_sla[priority],tbl_sla[First Response SLA Minutes])</f>
        <v>60</v>
      </c>
      <c r="M1672" t="str">
        <f>IF(tbl_analysis_tickets[[#This Row],[resolution_time_hours]]&gt;tbl_analysis_tickets[[#This Row],[Resolution SLA Hours]],"Breached","Within SLA")</f>
        <v>Breached</v>
      </c>
      <c r="N1672" t="str">
        <f>IF(tbl_analysis_tickets[[#This Row],[first_response_minutes]]&gt;tbl_analysis_tickets[[#This Row],[First Response SLA Minutes]],"Breached","Within SLA")</f>
        <v>Breached</v>
      </c>
      <c r="O1672" t="str" cm="1">
        <f t="array" ref="O1672">_xlfn.IFS(
tbl_analysis_tickets[[#This Row],[agent_experience_years]]&lt;=2,"Junior",
tbl_analysis_tickets[[#This Row],[agent_experience_years]]&lt;=5,"Mid-Level",
tbl_analysis_tickets[[#This Row],[agent_experience_years]]&lt;=8,"Senior",
tbl_analysis_tickets[[#This Row],[agent_experience_years]]&gt;8,"Expert"
)</f>
        <v>Senior</v>
      </c>
      <c r="P1672" cm="1">
        <f t="array" ref="P1672">_xlfn.SWITCH(tbl_analysis_tickets[[#This Row],[customer_satisfaction]],
"Low",1,
"Medium",2,
"High",3
)</f>
        <v>1</v>
      </c>
      <c r="Q1672">
        <f>IF(tbl_analysis_tickets[[#This Row],[reopened]]="Yes",1,0)</f>
        <v>1</v>
      </c>
      <c r="R1672" t="str" cm="1">
        <f t="array" ref="R1672">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672" t="str" cm="1">
        <f t="array" ref="S167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672" t="str">
        <f>TEXT(tbl_analysis_tickets[[#This Row],[created_date]],"mmm-yyyy")</f>
        <v>Jun-2024</v>
      </c>
      <c r="U1672" t="str">
        <f>TEXT(tbl_analysis_tickets[[#This Row],[created_date]],"dddd")</f>
        <v>Thursday</v>
      </c>
      <c r="V1672" cm="1">
        <f t="array" ref="V1672">_xlfn.SWITCH(tbl_analysis_tickets[[#This Row],[priority]],
"Urgent",1,
"High",2,
"Medium",3,
"Low",4
)</f>
        <v>2</v>
      </c>
    </row>
    <row r="1673" spans="1:22" x14ac:dyDescent="0.25">
      <c r="A1673">
        <v>1672</v>
      </c>
      <c r="B1673" s="1">
        <v>45542</v>
      </c>
      <c r="C1673" t="s">
        <v>14</v>
      </c>
      <c r="D1673" t="s">
        <v>17</v>
      </c>
      <c r="E1673">
        <v>8</v>
      </c>
      <c r="F1673">
        <v>67</v>
      </c>
      <c r="G1673">
        <v>1.3</v>
      </c>
      <c r="H1673" t="s">
        <v>18</v>
      </c>
      <c r="I1673" t="s">
        <v>19</v>
      </c>
      <c r="J1673" t="s">
        <v>15</v>
      </c>
      <c r="K1673">
        <f>_xlfn.XLOOKUP(tbl_analysis_tickets[[#This Row],[priority]],tbl_sla[priority],tbl_sla[Resolution SLA Hours])</f>
        <v>8</v>
      </c>
      <c r="L1673">
        <f>_xlfn.XLOOKUP(tbl_analysis_tickets[[#This Row],[priority]],tbl_sla[priority],tbl_sla[First Response SLA Minutes])</f>
        <v>30</v>
      </c>
      <c r="M1673" t="str">
        <f>IF(tbl_analysis_tickets[[#This Row],[resolution_time_hours]]&gt;tbl_analysis_tickets[[#This Row],[Resolution SLA Hours]],"Breached","Within SLA")</f>
        <v>Breached</v>
      </c>
      <c r="N1673" t="str">
        <f>IF(tbl_analysis_tickets[[#This Row],[first_response_minutes]]&gt;tbl_analysis_tickets[[#This Row],[First Response SLA Minutes]],"Breached","Within SLA")</f>
        <v>Within SLA</v>
      </c>
      <c r="O1673" t="str" cm="1">
        <f t="array" ref="O1673">_xlfn.IFS(
tbl_analysis_tickets[[#This Row],[agent_experience_years]]&lt;=2,"Junior",
tbl_analysis_tickets[[#This Row],[agent_experience_years]]&lt;=5,"Mid-Level",
tbl_analysis_tickets[[#This Row],[agent_experience_years]]&lt;=8,"Senior",
tbl_analysis_tickets[[#This Row],[agent_experience_years]]&gt;8,"Expert"
)</f>
        <v>Junior</v>
      </c>
      <c r="P1673" cm="1">
        <f t="array" ref="P1673">_xlfn.SWITCH(tbl_analysis_tickets[[#This Row],[customer_satisfaction]],
"Low",1,
"Medium",2,
"High",3
)</f>
        <v>2</v>
      </c>
      <c r="Q1673">
        <f>IF(tbl_analysis_tickets[[#This Row],[reopened]]="Yes",1,0)</f>
        <v>0</v>
      </c>
      <c r="R1673" t="str" cm="1">
        <f t="array" ref="R1673">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1673" t="str" cm="1">
        <f t="array" ref="S167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673" t="str">
        <f>TEXT(tbl_analysis_tickets[[#This Row],[created_date]],"mmm-yyyy")</f>
        <v>Sep-2024</v>
      </c>
      <c r="U1673" t="str">
        <f>TEXT(tbl_analysis_tickets[[#This Row],[created_date]],"dddd")</f>
        <v>Saturday</v>
      </c>
      <c r="V1673" cm="1">
        <f t="array" ref="V1673">_xlfn.SWITCH(tbl_analysis_tickets[[#This Row],[priority]],
"Urgent",1,
"High",2,
"Medium",3,
"Low",4
)</f>
        <v>1</v>
      </c>
    </row>
    <row r="1674" spans="1:22" x14ac:dyDescent="0.25">
      <c r="A1674">
        <v>1673</v>
      </c>
      <c r="B1674" s="1">
        <v>45427</v>
      </c>
      <c r="C1674" t="s">
        <v>10</v>
      </c>
      <c r="D1674" t="s">
        <v>17</v>
      </c>
      <c r="E1674">
        <v>142</v>
      </c>
      <c r="F1674">
        <v>33</v>
      </c>
      <c r="G1674">
        <v>7.8</v>
      </c>
      <c r="H1674" t="s">
        <v>18</v>
      </c>
      <c r="I1674" t="s">
        <v>19</v>
      </c>
      <c r="J1674" t="s">
        <v>11</v>
      </c>
      <c r="K1674">
        <f>_xlfn.XLOOKUP(tbl_analysis_tickets[[#This Row],[priority]],tbl_sla[priority],tbl_sla[Resolution SLA Hours])</f>
        <v>8</v>
      </c>
      <c r="L1674">
        <f>_xlfn.XLOOKUP(tbl_analysis_tickets[[#This Row],[priority]],tbl_sla[priority],tbl_sla[First Response SLA Minutes])</f>
        <v>30</v>
      </c>
      <c r="M1674" t="str">
        <f>IF(tbl_analysis_tickets[[#This Row],[resolution_time_hours]]&gt;tbl_analysis_tickets[[#This Row],[Resolution SLA Hours]],"Breached","Within SLA")</f>
        <v>Breached</v>
      </c>
      <c r="N1674" t="str">
        <f>IF(tbl_analysis_tickets[[#This Row],[first_response_minutes]]&gt;tbl_analysis_tickets[[#This Row],[First Response SLA Minutes]],"Breached","Within SLA")</f>
        <v>Breached</v>
      </c>
      <c r="O1674" t="str" cm="1">
        <f t="array" ref="O1674">_xlfn.IFS(
tbl_analysis_tickets[[#This Row],[agent_experience_years]]&lt;=2,"Junior",
tbl_analysis_tickets[[#This Row],[agent_experience_years]]&lt;=5,"Mid-Level",
tbl_analysis_tickets[[#This Row],[agent_experience_years]]&lt;=8,"Senior",
tbl_analysis_tickets[[#This Row],[agent_experience_years]]&gt;8,"Expert"
)</f>
        <v>Senior</v>
      </c>
      <c r="P1674" cm="1">
        <f t="array" ref="P1674">_xlfn.SWITCH(tbl_analysis_tickets[[#This Row],[customer_satisfaction]],
"Low",1,
"Medium",2,
"High",3
)</f>
        <v>1</v>
      </c>
      <c r="Q1674">
        <f>IF(tbl_analysis_tickets[[#This Row],[reopened]]="Yes",1,0)</f>
        <v>0</v>
      </c>
      <c r="R1674" t="str" cm="1">
        <f t="array" ref="R1674">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674" t="str" cm="1">
        <f t="array" ref="S167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674" t="str">
        <f>TEXT(tbl_analysis_tickets[[#This Row],[created_date]],"mmm-yyyy")</f>
        <v>May-2024</v>
      </c>
      <c r="U1674" t="str">
        <f>TEXT(tbl_analysis_tickets[[#This Row],[created_date]],"dddd")</f>
        <v>Wednesday</v>
      </c>
      <c r="V1674" cm="1">
        <f t="array" ref="V1674">_xlfn.SWITCH(tbl_analysis_tickets[[#This Row],[priority]],
"Urgent",1,
"High",2,
"Medium",3,
"Low",4
)</f>
        <v>1</v>
      </c>
    </row>
    <row r="1675" spans="1:22" x14ac:dyDescent="0.25">
      <c r="A1675">
        <v>1674</v>
      </c>
      <c r="B1675" s="1">
        <v>45293</v>
      </c>
      <c r="C1675" t="s">
        <v>23</v>
      </c>
      <c r="D1675" t="s">
        <v>11</v>
      </c>
      <c r="E1675">
        <v>131</v>
      </c>
      <c r="F1675">
        <v>57</v>
      </c>
      <c r="G1675">
        <v>9.9</v>
      </c>
      <c r="H1675" t="s">
        <v>12</v>
      </c>
      <c r="I1675" t="s">
        <v>16</v>
      </c>
      <c r="J1675" t="s">
        <v>11</v>
      </c>
      <c r="K1675">
        <f>_xlfn.XLOOKUP(tbl_analysis_tickets[[#This Row],[priority]],tbl_sla[priority],tbl_sla[Resolution SLA Hours])</f>
        <v>72</v>
      </c>
      <c r="L1675">
        <f>_xlfn.XLOOKUP(tbl_analysis_tickets[[#This Row],[priority]],tbl_sla[priority],tbl_sla[First Response SLA Minutes])</f>
        <v>240</v>
      </c>
      <c r="M1675" t="str">
        <f>IF(tbl_analysis_tickets[[#This Row],[resolution_time_hours]]&gt;tbl_analysis_tickets[[#This Row],[Resolution SLA Hours]],"Breached","Within SLA")</f>
        <v>Within SLA</v>
      </c>
      <c r="N1675" t="str">
        <f>IF(tbl_analysis_tickets[[#This Row],[first_response_minutes]]&gt;tbl_analysis_tickets[[#This Row],[First Response SLA Minutes]],"Breached","Within SLA")</f>
        <v>Within SLA</v>
      </c>
      <c r="O1675" t="str" cm="1">
        <f t="array" ref="O1675">_xlfn.IFS(
tbl_analysis_tickets[[#This Row],[agent_experience_years]]&lt;=2,"Junior",
tbl_analysis_tickets[[#This Row],[agent_experience_years]]&lt;=5,"Mid-Level",
tbl_analysis_tickets[[#This Row],[agent_experience_years]]&lt;=8,"Senior",
tbl_analysis_tickets[[#This Row],[agent_experience_years]]&gt;8,"Expert"
)</f>
        <v>Expert</v>
      </c>
      <c r="P1675" cm="1">
        <f t="array" ref="P1675">_xlfn.SWITCH(tbl_analysis_tickets[[#This Row],[customer_satisfaction]],
"Low",1,
"Medium",2,
"High",3
)</f>
        <v>1</v>
      </c>
      <c r="Q1675">
        <f>IF(tbl_analysis_tickets[[#This Row],[reopened]]="Yes",1,0)</f>
        <v>1</v>
      </c>
      <c r="R1675" t="str" cm="1">
        <f t="array" ref="R1675">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675" t="str" cm="1">
        <f t="array" ref="S167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675" t="str">
        <f>TEXT(tbl_analysis_tickets[[#This Row],[created_date]],"mmm-yyyy")</f>
        <v>Jan-2024</v>
      </c>
      <c r="U1675" t="str">
        <f>TEXT(tbl_analysis_tickets[[#This Row],[created_date]],"dddd")</f>
        <v>Tuesday</v>
      </c>
      <c r="V1675" cm="1">
        <f t="array" ref="V1675">_xlfn.SWITCH(tbl_analysis_tickets[[#This Row],[priority]],
"Urgent",1,
"High",2,
"Medium",3,
"Low",4
)</f>
        <v>4</v>
      </c>
    </row>
    <row r="1676" spans="1:22" x14ac:dyDescent="0.25">
      <c r="A1676">
        <v>1675</v>
      </c>
      <c r="B1676" s="1">
        <v>45352</v>
      </c>
      <c r="C1676" t="s">
        <v>23</v>
      </c>
      <c r="D1676" t="s">
        <v>17</v>
      </c>
      <c r="E1676">
        <v>157</v>
      </c>
      <c r="F1676">
        <v>24</v>
      </c>
      <c r="G1676">
        <v>9.6</v>
      </c>
      <c r="H1676" t="s">
        <v>12</v>
      </c>
      <c r="I1676" t="s">
        <v>16</v>
      </c>
      <c r="J1676" t="s">
        <v>11</v>
      </c>
      <c r="K1676">
        <f>_xlfn.XLOOKUP(tbl_analysis_tickets[[#This Row],[priority]],tbl_sla[priority],tbl_sla[Resolution SLA Hours])</f>
        <v>8</v>
      </c>
      <c r="L1676">
        <f>_xlfn.XLOOKUP(tbl_analysis_tickets[[#This Row],[priority]],tbl_sla[priority],tbl_sla[First Response SLA Minutes])</f>
        <v>30</v>
      </c>
      <c r="M1676" t="str">
        <f>IF(tbl_analysis_tickets[[#This Row],[resolution_time_hours]]&gt;tbl_analysis_tickets[[#This Row],[Resolution SLA Hours]],"Breached","Within SLA")</f>
        <v>Breached</v>
      </c>
      <c r="N1676" t="str">
        <f>IF(tbl_analysis_tickets[[#This Row],[first_response_minutes]]&gt;tbl_analysis_tickets[[#This Row],[First Response SLA Minutes]],"Breached","Within SLA")</f>
        <v>Breached</v>
      </c>
      <c r="O1676" t="str" cm="1">
        <f t="array" ref="O1676">_xlfn.IFS(
tbl_analysis_tickets[[#This Row],[agent_experience_years]]&lt;=2,"Junior",
tbl_analysis_tickets[[#This Row],[agent_experience_years]]&lt;=5,"Mid-Level",
tbl_analysis_tickets[[#This Row],[agent_experience_years]]&lt;=8,"Senior",
tbl_analysis_tickets[[#This Row],[agent_experience_years]]&gt;8,"Expert"
)</f>
        <v>Expert</v>
      </c>
      <c r="P1676" cm="1">
        <f t="array" ref="P1676">_xlfn.SWITCH(tbl_analysis_tickets[[#This Row],[customer_satisfaction]],
"Low",1,
"Medium",2,
"High",3
)</f>
        <v>1</v>
      </c>
      <c r="Q1676">
        <f>IF(tbl_analysis_tickets[[#This Row],[reopened]]="Yes",1,0)</f>
        <v>1</v>
      </c>
      <c r="R1676" t="str" cm="1">
        <f t="array" ref="R1676">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676" t="str" cm="1">
        <f t="array" ref="S167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676" t="str">
        <f>TEXT(tbl_analysis_tickets[[#This Row],[created_date]],"mmm-yyyy")</f>
        <v>Mar-2024</v>
      </c>
      <c r="U1676" t="str">
        <f>TEXT(tbl_analysis_tickets[[#This Row],[created_date]],"dddd")</f>
        <v>Friday</v>
      </c>
      <c r="V1676" cm="1">
        <f t="array" ref="V1676">_xlfn.SWITCH(tbl_analysis_tickets[[#This Row],[priority]],
"Urgent",1,
"High",2,
"Medium",3,
"Low",4
)</f>
        <v>1</v>
      </c>
    </row>
    <row r="1677" spans="1:22" x14ac:dyDescent="0.25">
      <c r="A1677">
        <v>1676</v>
      </c>
      <c r="B1677" s="1">
        <v>45523</v>
      </c>
      <c r="C1677" t="s">
        <v>10</v>
      </c>
      <c r="D1677" t="s">
        <v>15</v>
      </c>
      <c r="E1677">
        <v>122</v>
      </c>
      <c r="F1677">
        <v>33</v>
      </c>
      <c r="G1677">
        <v>4.8</v>
      </c>
      <c r="H1677" t="s">
        <v>12</v>
      </c>
      <c r="I1677" t="s">
        <v>19</v>
      </c>
      <c r="J1677" t="s">
        <v>11</v>
      </c>
      <c r="K1677">
        <f>_xlfn.XLOOKUP(tbl_analysis_tickets[[#This Row],[priority]],tbl_sla[priority],tbl_sla[Resolution SLA Hours])</f>
        <v>48</v>
      </c>
      <c r="L1677">
        <f>_xlfn.XLOOKUP(tbl_analysis_tickets[[#This Row],[priority]],tbl_sla[priority],tbl_sla[First Response SLA Minutes])</f>
        <v>120</v>
      </c>
      <c r="M1677" t="str">
        <f>IF(tbl_analysis_tickets[[#This Row],[resolution_time_hours]]&gt;tbl_analysis_tickets[[#This Row],[Resolution SLA Hours]],"Breached","Within SLA")</f>
        <v>Within SLA</v>
      </c>
      <c r="N1677" t="str">
        <f>IF(tbl_analysis_tickets[[#This Row],[first_response_minutes]]&gt;tbl_analysis_tickets[[#This Row],[First Response SLA Minutes]],"Breached","Within SLA")</f>
        <v>Breached</v>
      </c>
      <c r="O1677" t="str" cm="1">
        <f t="array" ref="O1677">_xlfn.IFS(
tbl_analysis_tickets[[#This Row],[agent_experience_years]]&lt;=2,"Junior",
tbl_analysis_tickets[[#This Row],[agent_experience_years]]&lt;=5,"Mid-Level",
tbl_analysis_tickets[[#This Row],[agent_experience_years]]&lt;=8,"Senior",
tbl_analysis_tickets[[#This Row],[agent_experience_years]]&gt;8,"Expert"
)</f>
        <v>Mid-Level</v>
      </c>
      <c r="P1677" cm="1">
        <f t="array" ref="P1677">_xlfn.SWITCH(tbl_analysis_tickets[[#This Row],[customer_satisfaction]],
"Low",1,
"Medium",2,
"High",3
)</f>
        <v>1</v>
      </c>
      <c r="Q1677">
        <f>IF(tbl_analysis_tickets[[#This Row],[reopened]]="Yes",1,0)</f>
        <v>1</v>
      </c>
      <c r="R1677" t="str" cm="1">
        <f t="array" ref="R1677">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677" t="str" cm="1">
        <f t="array" ref="S167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677" t="str">
        <f>TEXT(tbl_analysis_tickets[[#This Row],[created_date]],"mmm-yyyy")</f>
        <v>Aug-2024</v>
      </c>
      <c r="U1677" t="str">
        <f>TEXT(tbl_analysis_tickets[[#This Row],[created_date]],"dddd")</f>
        <v>Monday</v>
      </c>
      <c r="V1677" cm="1">
        <f t="array" ref="V1677">_xlfn.SWITCH(tbl_analysis_tickets[[#This Row],[priority]],
"Urgent",1,
"High",2,
"Medium",3,
"Low",4
)</f>
        <v>3</v>
      </c>
    </row>
    <row r="1678" spans="1:22" x14ac:dyDescent="0.25">
      <c r="A1678">
        <v>1677</v>
      </c>
      <c r="B1678" s="1">
        <v>45329</v>
      </c>
      <c r="C1678" t="s">
        <v>14</v>
      </c>
      <c r="D1678" t="s">
        <v>11</v>
      </c>
      <c r="E1678">
        <v>211</v>
      </c>
      <c r="F1678">
        <v>4</v>
      </c>
      <c r="G1678">
        <v>6.3</v>
      </c>
      <c r="H1678" t="s">
        <v>18</v>
      </c>
      <c r="I1678" t="s">
        <v>13</v>
      </c>
      <c r="J1678" t="s">
        <v>20</v>
      </c>
      <c r="K1678">
        <f>_xlfn.XLOOKUP(tbl_analysis_tickets[[#This Row],[priority]],tbl_sla[priority],tbl_sla[Resolution SLA Hours])</f>
        <v>72</v>
      </c>
      <c r="L1678">
        <f>_xlfn.XLOOKUP(tbl_analysis_tickets[[#This Row],[priority]],tbl_sla[priority],tbl_sla[First Response SLA Minutes])</f>
        <v>240</v>
      </c>
      <c r="M1678" t="str">
        <f>IF(tbl_analysis_tickets[[#This Row],[resolution_time_hours]]&gt;tbl_analysis_tickets[[#This Row],[Resolution SLA Hours]],"Breached","Within SLA")</f>
        <v>Within SLA</v>
      </c>
      <c r="N1678" t="str">
        <f>IF(tbl_analysis_tickets[[#This Row],[first_response_minutes]]&gt;tbl_analysis_tickets[[#This Row],[First Response SLA Minutes]],"Breached","Within SLA")</f>
        <v>Within SLA</v>
      </c>
      <c r="O1678" t="str" cm="1">
        <f t="array" ref="O1678">_xlfn.IFS(
tbl_analysis_tickets[[#This Row],[agent_experience_years]]&lt;=2,"Junior",
tbl_analysis_tickets[[#This Row],[agent_experience_years]]&lt;=5,"Mid-Level",
tbl_analysis_tickets[[#This Row],[agent_experience_years]]&lt;=8,"Senior",
tbl_analysis_tickets[[#This Row],[agent_experience_years]]&gt;8,"Expert"
)</f>
        <v>Senior</v>
      </c>
      <c r="P1678" cm="1">
        <f t="array" ref="P1678">_xlfn.SWITCH(tbl_analysis_tickets[[#This Row],[customer_satisfaction]],
"Low",1,
"Medium",2,
"High",3
)</f>
        <v>3</v>
      </c>
      <c r="Q1678">
        <f>IF(tbl_analysis_tickets[[#This Row],[reopened]]="Yes",1,0)</f>
        <v>0</v>
      </c>
      <c r="R1678" t="str" cm="1">
        <f t="array" ref="R1678">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678" t="str" cm="1">
        <f t="array" ref="S167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1678" t="str">
        <f>TEXT(tbl_analysis_tickets[[#This Row],[created_date]],"mmm-yyyy")</f>
        <v>Feb-2024</v>
      </c>
      <c r="U1678" t="str">
        <f>TEXT(tbl_analysis_tickets[[#This Row],[created_date]],"dddd")</f>
        <v>Wednesday</v>
      </c>
      <c r="V1678" cm="1">
        <f t="array" ref="V1678">_xlfn.SWITCH(tbl_analysis_tickets[[#This Row],[priority]],
"Urgent",1,
"High",2,
"Medium",3,
"Low",4
)</f>
        <v>4</v>
      </c>
    </row>
    <row r="1679" spans="1:22" x14ac:dyDescent="0.25">
      <c r="A1679">
        <v>1678</v>
      </c>
      <c r="B1679" s="1">
        <v>45436</v>
      </c>
      <c r="C1679" t="s">
        <v>10</v>
      </c>
      <c r="D1679" t="s">
        <v>20</v>
      </c>
      <c r="E1679">
        <v>179</v>
      </c>
      <c r="F1679">
        <v>34</v>
      </c>
      <c r="G1679">
        <v>4.2</v>
      </c>
      <c r="H1679" t="s">
        <v>18</v>
      </c>
      <c r="I1679" t="s">
        <v>16</v>
      </c>
      <c r="J1679" t="s">
        <v>11</v>
      </c>
      <c r="K1679">
        <f>_xlfn.XLOOKUP(tbl_analysis_tickets[[#This Row],[priority]],tbl_sla[priority],tbl_sla[Resolution SLA Hours])</f>
        <v>24</v>
      </c>
      <c r="L1679">
        <f>_xlfn.XLOOKUP(tbl_analysis_tickets[[#This Row],[priority]],tbl_sla[priority],tbl_sla[First Response SLA Minutes])</f>
        <v>60</v>
      </c>
      <c r="M1679" t="str">
        <f>IF(tbl_analysis_tickets[[#This Row],[resolution_time_hours]]&gt;tbl_analysis_tickets[[#This Row],[Resolution SLA Hours]],"Breached","Within SLA")</f>
        <v>Breached</v>
      </c>
      <c r="N1679" t="str">
        <f>IF(tbl_analysis_tickets[[#This Row],[first_response_minutes]]&gt;tbl_analysis_tickets[[#This Row],[First Response SLA Minutes]],"Breached","Within SLA")</f>
        <v>Breached</v>
      </c>
      <c r="O1679" t="str" cm="1">
        <f t="array" ref="O1679">_xlfn.IFS(
tbl_analysis_tickets[[#This Row],[agent_experience_years]]&lt;=2,"Junior",
tbl_analysis_tickets[[#This Row],[agent_experience_years]]&lt;=5,"Mid-Level",
tbl_analysis_tickets[[#This Row],[agent_experience_years]]&lt;=8,"Senior",
tbl_analysis_tickets[[#This Row],[agent_experience_years]]&gt;8,"Expert"
)</f>
        <v>Mid-Level</v>
      </c>
      <c r="P1679" cm="1">
        <f t="array" ref="P1679">_xlfn.SWITCH(tbl_analysis_tickets[[#This Row],[customer_satisfaction]],
"Low",1,
"Medium",2,
"High",3
)</f>
        <v>1</v>
      </c>
      <c r="Q1679">
        <f>IF(tbl_analysis_tickets[[#This Row],[reopened]]="Yes",1,0)</f>
        <v>0</v>
      </c>
      <c r="R1679" t="str" cm="1">
        <f t="array" ref="R1679">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679" t="str" cm="1">
        <f t="array" ref="S167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679" t="str">
        <f>TEXT(tbl_analysis_tickets[[#This Row],[created_date]],"mmm-yyyy")</f>
        <v>May-2024</v>
      </c>
      <c r="U1679" t="str">
        <f>TEXT(tbl_analysis_tickets[[#This Row],[created_date]],"dddd")</f>
        <v>Friday</v>
      </c>
      <c r="V1679" cm="1">
        <f t="array" ref="V1679">_xlfn.SWITCH(tbl_analysis_tickets[[#This Row],[priority]],
"Urgent",1,
"High",2,
"Medium",3,
"Low",4
)</f>
        <v>2</v>
      </c>
    </row>
    <row r="1680" spans="1:22" x14ac:dyDescent="0.25">
      <c r="A1680">
        <v>1679</v>
      </c>
      <c r="B1680" s="1">
        <v>45377</v>
      </c>
      <c r="C1680" t="s">
        <v>10</v>
      </c>
      <c r="D1680" t="s">
        <v>17</v>
      </c>
      <c r="E1680">
        <v>161</v>
      </c>
      <c r="F1680">
        <v>43</v>
      </c>
      <c r="G1680">
        <v>7.8</v>
      </c>
      <c r="H1680" t="s">
        <v>18</v>
      </c>
      <c r="I1680" t="s">
        <v>13</v>
      </c>
      <c r="J1680" t="s">
        <v>11</v>
      </c>
      <c r="K1680">
        <f>_xlfn.XLOOKUP(tbl_analysis_tickets[[#This Row],[priority]],tbl_sla[priority],tbl_sla[Resolution SLA Hours])</f>
        <v>8</v>
      </c>
      <c r="L1680">
        <f>_xlfn.XLOOKUP(tbl_analysis_tickets[[#This Row],[priority]],tbl_sla[priority],tbl_sla[First Response SLA Minutes])</f>
        <v>30</v>
      </c>
      <c r="M1680" t="str">
        <f>IF(tbl_analysis_tickets[[#This Row],[resolution_time_hours]]&gt;tbl_analysis_tickets[[#This Row],[Resolution SLA Hours]],"Breached","Within SLA")</f>
        <v>Breached</v>
      </c>
      <c r="N1680" t="str">
        <f>IF(tbl_analysis_tickets[[#This Row],[first_response_minutes]]&gt;tbl_analysis_tickets[[#This Row],[First Response SLA Minutes]],"Breached","Within SLA")</f>
        <v>Breached</v>
      </c>
      <c r="O1680" t="str" cm="1">
        <f t="array" ref="O1680">_xlfn.IFS(
tbl_analysis_tickets[[#This Row],[agent_experience_years]]&lt;=2,"Junior",
tbl_analysis_tickets[[#This Row],[agent_experience_years]]&lt;=5,"Mid-Level",
tbl_analysis_tickets[[#This Row],[agent_experience_years]]&lt;=8,"Senior",
tbl_analysis_tickets[[#This Row],[agent_experience_years]]&gt;8,"Expert"
)</f>
        <v>Senior</v>
      </c>
      <c r="P1680" cm="1">
        <f t="array" ref="P1680">_xlfn.SWITCH(tbl_analysis_tickets[[#This Row],[customer_satisfaction]],
"Low",1,
"Medium",2,
"High",3
)</f>
        <v>1</v>
      </c>
      <c r="Q1680">
        <f>IF(tbl_analysis_tickets[[#This Row],[reopened]]="Yes",1,0)</f>
        <v>0</v>
      </c>
      <c r="R1680" t="str" cm="1">
        <f t="array" ref="R1680">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680" t="str" cm="1">
        <f t="array" ref="S168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680" t="str">
        <f>TEXT(tbl_analysis_tickets[[#This Row],[created_date]],"mmm-yyyy")</f>
        <v>Mar-2024</v>
      </c>
      <c r="U1680" t="str">
        <f>TEXT(tbl_analysis_tickets[[#This Row],[created_date]],"dddd")</f>
        <v>Tuesday</v>
      </c>
      <c r="V1680" cm="1">
        <f t="array" ref="V1680">_xlfn.SWITCH(tbl_analysis_tickets[[#This Row],[priority]],
"Urgent",1,
"High",2,
"Medium",3,
"Low",4
)</f>
        <v>1</v>
      </c>
    </row>
    <row r="1681" spans="1:22" x14ac:dyDescent="0.25">
      <c r="A1681">
        <v>1680</v>
      </c>
      <c r="B1681" s="1">
        <v>45489</v>
      </c>
      <c r="C1681" t="s">
        <v>23</v>
      </c>
      <c r="D1681" t="s">
        <v>20</v>
      </c>
      <c r="E1681">
        <v>230</v>
      </c>
      <c r="F1681">
        <v>44</v>
      </c>
      <c r="G1681">
        <v>5.4</v>
      </c>
      <c r="H1681" t="s">
        <v>18</v>
      </c>
      <c r="I1681" t="s">
        <v>19</v>
      </c>
      <c r="J1681" t="s">
        <v>11</v>
      </c>
      <c r="K1681">
        <f>_xlfn.XLOOKUP(tbl_analysis_tickets[[#This Row],[priority]],tbl_sla[priority],tbl_sla[Resolution SLA Hours])</f>
        <v>24</v>
      </c>
      <c r="L1681">
        <f>_xlfn.XLOOKUP(tbl_analysis_tickets[[#This Row],[priority]],tbl_sla[priority],tbl_sla[First Response SLA Minutes])</f>
        <v>60</v>
      </c>
      <c r="M1681" t="str">
        <f>IF(tbl_analysis_tickets[[#This Row],[resolution_time_hours]]&gt;tbl_analysis_tickets[[#This Row],[Resolution SLA Hours]],"Breached","Within SLA")</f>
        <v>Breached</v>
      </c>
      <c r="N1681" t="str">
        <f>IF(tbl_analysis_tickets[[#This Row],[first_response_minutes]]&gt;tbl_analysis_tickets[[#This Row],[First Response SLA Minutes]],"Breached","Within SLA")</f>
        <v>Breached</v>
      </c>
      <c r="O1681" t="str" cm="1">
        <f t="array" ref="O1681">_xlfn.IFS(
tbl_analysis_tickets[[#This Row],[agent_experience_years]]&lt;=2,"Junior",
tbl_analysis_tickets[[#This Row],[agent_experience_years]]&lt;=5,"Mid-Level",
tbl_analysis_tickets[[#This Row],[agent_experience_years]]&lt;=8,"Senior",
tbl_analysis_tickets[[#This Row],[agent_experience_years]]&gt;8,"Expert"
)</f>
        <v>Senior</v>
      </c>
      <c r="P1681" cm="1">
        <f t="array" ref="P1681">_xlfn.SWITCH(tbl_analysis_tickets[[#This Row],[customer_satisfaction]],
"Low",1,
"Medium",2,
"High",3
)</f>
        <v>1</v>
      </c>
      <c r="Q1681">
        <f>IF(tbl_analysis_tickets[[#This Row],[reopened]]="Yes",1,0)</f>
        <v>0</v>
      </c>
      <c r="R1681" t="str" cm="1">
        <f t="array" ref="R1681">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681" t="str" cm="1">
        <f t="array" ref="S168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681" t="str">
        <f>TEXT(tbl_analysis_tickets[[#This Row],[created_date]],"mmm-yyyy")</f>
        <v>Jul-2024</v>
      </c>
      <c r="U1681" t="str">
        <f>TEXT(tbl_analysis_tickets[[#This Row],[created_date]],"dddd")</f>
        <v>Tuesday</v>
      </c>
      <c r="V1681" cm="1">
        <f t="array" ref="V1681">_xlfn.SWITCH(tbl_analysis_tickets[[#This Row],[priority]],
"Urgent",1,
"High",2,
"Medium",3,
"Low",4
)</f>
        <v>2</v>
      </c>
    </row>
    <row r="1682" spans="1:22" x14ac:dyDescent="0.25">
      <c r="A1682">
        <v>1681</v>
      </c>
      <c r="B1682" s="1">
        <v>45600</v>
      </c>
      <c r="C1682" t="s">
        <v>21</v>
      </c>
      <c r="D1682" t="s">
        <v>11</v>
      </c>
      <c r="E1682">
        <v>159</v>
      </c>
      <c r="F1682">
        <v>56</v>
      </c>
      <c r="G1682">
        <v>6.3</v>
      </c>
      <c r="H1682" t="s">
        <v>18</v>
      </c>
      <c r="I1682" t="s">
        <v>16</v>
      </c>
      <c r="J1682" t="s">
        <v>15</v>
      </c>
      <c r="K1682">
        <f>_xlfn.XLOOKUP(tbl_analysis_tickets[[#This Row],[priority]],tbl_sla[priority],tbl_sla[Resolution SLA Hours])</f>
        <v>72</v>
      </c>
      <c r="L1682">
        <f>_xlfn.XLOOKUP(tbl_analysis_tickets[[#This Row],[priority]],tbl_sla[priority],tbl_sla[First Response SLA Minutes])</f>
        <v>240</v>
      </c>
      <c r="M1682" t="str">
        <f>IF(tbl_analysis_tickets[[#This Row],[resolution_time_hours]]&gt;tbl_analysis_tickets[[#This Row],[Resolution SLA Hours]],"Breached","Within SLA")</f>
        <v>Within SLA</v>
      </c>
      <c r="N1682" t="str">
        <f>IF(tbl_analysis_tickets[[#This Row],[first_response_minutes]]&gt;tbl_analysis_tickets[[#This Row],[First Response SLA Minutes]],"Breached","Within SLA")</f>
        <v>Within SLA</v>
      </c>
      <c r="O1682" t="str" cm="1">
        <f t="array" ref="O1682">_xlfn.IFS(
tbl_analysis_tickets[[#This Row],[agent_experience_years]]&lt;=2,"Junior",
tbl_analysis_tickets[[#This Row],[agent_experience_years]]&lt;=5,"Mid-Level",
tbl_analysis_tickets[[#This Row],[agent_experience_years]]&lt;=8,"Senior",
tbl_analysis_tickets[[#This Row],[agent_experience_years]]&gt;8,"Expert"
)</f>
        <v>Senior</v>
      </c>
      <c r="P1682" cm="1">
        <f t="array" ref="P1682">_xlfn.SWITCH(tbl_analysis_tickets[[#This Row],[customer_satisfaction]],
"Low",1,
"Medium",2,
"High",3
)</f>
        <v>2</v>
      </c>
      <c r="Q1682">
        <f>IF(tbl_analysis_tickets[[#This Row],[reopened]]="Yes",1,0)</f>
        <v>0</v>
      </c>
      <c r="R1682" t="str" cm="1">
        <f t="array" ref="R1682">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682" t="str" cm="1">
        <f t="array" ref="S168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682" t="str">
        <f>TEXT(tbl_analysis_tickets[[#This Row],[created_date]],"mmm-yyyy")</f>
        <v>Nov-2024</v>
      </c>
      <c r="U1682" t="str">
        <f>TEXT(tbl_analysis_tickets[[#This Row],[created_date]],"dddd")</f>
        <v>Monday</v>
      </c>
      <c r="V1682" cm="1">
        <f t="array" ref="V1682">_xlfn.SWITCH(tbl_analysis_tickets[[#This Row],[priority]],
"Urgent",1,
"High",2,
"Medium",3,
"Low",4
)</f>
        <v>4</v>
      </c>
    </row>
    <row r="1683" spans="1:22" x14ac:dyDescent="0.25">
      <c r="A1683">
        <v>1682</v>
      </c>
      <c r="B1683" s="1">
        <v>45295</v>
      </c>
      <c r="C1683" t="s">
        <v>21</v>
      </c>
      <c r="D1683" t="s">
        <v>17</v>
      </c>
      <c r="E1683">
        <v>222</v>
      </c>
      <c r="F1683">
        <v>40</v>
      </c>
      <c r="G1683">
        <v>7.1</v>
      </c>
      <c r="H1683" t="s">
        <v>18</v>
      </c>
      <c r="I1683" t="s">
        <v>16</v>
      </c>
      <c r="J1683" t="s">
        <v>11</v>
      </c>
      <c r="K1683">
        <f>_xlfn.XLOOKUP(tbl_analysis_tickets[[#This Row],[priority]],tbl_sla[priority],tbl_sla[Resolution SLA Hours])</f>
        <v>8</v>
      </c>
      <c r="L1683">
        <f>_xlfn.XLOOKUP(tbl_analysis_tickets[[#This Row],[priority]],tbl_sla[priority],tbl_sla[First Response SLA Minutes])</f>
        <v>30</v>
      </c>
      <c r="M1683" t="str">
        <f>IF(tbl_analysis_tickets[[#This Row],[resolution_time_hours]]&gt;tbl_analysis_tickets[[#This Row],[Resolution SLA Hours]],"Breached","Within SLA")</f>
        <v>Breached</v>
      </c>
      <c r="N1683" t="str">
        <f>IF(tbl_analysis_tickets[[#This Row],[first_response_minutes]]&gt;tbl_analysis_tickets[[#This Row],[First Response SLA Minutes]],"Breached","Within SLA")</f>
        <v>Breached</v>
      </c>
      <c r="O1683" t="str" cm="1">
        <f t="array" ref="O1683">_xlfn.IFS(
tbl_analysis_tickets[[#This Row],[agent_experience_years]]&lt;=2,"Junior",
tbl_analysis_tickets[[#This Row],[agent_experience_years]]&lt;=5,"Mid-Level",
tbl_analysis_tickets[[#This Row],[agent_experience_years]]&lt;=8,"Senior",
tbl_analysis_tickets[[#This Row],[agent_experience_years]]&gt;8,"Expert"
)</f>
        <v>Senior</v>
      </c>
      <c r="P1683" cm="1">
        <f t="array" ref="P1683">_xlfn.SWITCH(tbl_analysis_tickets[[#This Row],[customer_satisfaction]],
"Low",1,
"Medium",2,
"High",3
)</f>
        <v>1</v>
      </c>
      <c r="Q1683">
        <f>IF(tbl_analysis_tickets[[#This Row],[reopened]]="Yes",1,0)</f>
        <v>0</v>
      </c>
      <c r="R1683" t="str" cm="1">
        <f t="array" ref="R1683">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683" t="str" cm="1">
        <f t="array" ref="S168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683" t="str">
        <f>TEXT(tbl_analysis_tickets[[#This Row],[created_date]],"mmm-yyyy")</f>
        <v>Jan-2024</v>
      </c>
      <c r="U1683" t="str">
        <f>TEXT(tbl_analysis_tickets[[#This Row],[created_date]],"dddd")</f>
        <v>Thursday</v>
      </c>
      <c r="V1683" cm="1">
        <f t="array" ref="V1683">_xlfn.SWITCH(tbl_analysis_tickets[[#This Row],[priority]],
"Urgent",1,
"High",2,
"Medium",3,
"Low",4
)</f>
        <v>1</v>
      </c>
    </row>
    <row r="1684" spans="1:22" x14ac:dyDescent="0.25">
      <c r="A1684">
        <v>1683</v>
      </c>
      <c r="B1684" s="1">
        <v>45370</v>
      </c>
      <c r="C1684" t="s">
        <v>10</v>
      </c>
      <c r="D1684" t="s">
        <v>11</v>
      </c>
      <c r="E1684">
        <v>81</v>
      </c>
      <c r="F1684">
        <v>16</v>
      </c>
      <c r="G1684">
        <v>9.9</v>
      </c>
      <c r="H1684" t="s">
        <v>18</v>
      </c>
      <c r="I1684" t="s">
        <v>16</v>
      </c>
      <c r="J1684" t="s">
        <v>15</v>
      </c>
      <c r="K1684">
        <f>_xlfn.XLOOKUP(tbl_analysis_tickets[[#This Row],[priority]],tbl_sla[priority],tbl_sla[Resolution SLA Hours])</f>
        <v>72</v>
      </c>
      <c r="L1684">
        <f>_xlfn.XLOOKUP(tbl_analysis_tickets[[#This Row],[priority]],tbl_sla[priority],tbl_sla[First Response SLA Minutes])</f>
        <v>240</v>
      </c>
      <c r="M1684" t="str">
        <f>IF(tbl_analysis_tickets[[#This Row],[resolution_time_hours]]&gt;tbl_analysis_tickets[[#This Row],[Resolution SLA Hours]],"Breached","Within SLA")</f>
        <v>Within SLA</v>
      </c>
      <c r="N1684" t="str">
        <f>IF(tbl_analysis_tickets[[#This Row],[first_response_minutes]]&gt;tbl_analysis_tickets[[#This Row],[First Response SLA Minutes]],"Breached","Within SLA")</f>
        <v>Within SLA</v>
      </c>
      <c r="O1684" t="str" cm="1">
        <f t="array" ref="O1684">_xlfn.IFS(
tbl_analysis_tickets[[#This Row],[agent_experience_years]]&lt;=2,"Junior",
tbl_analysis_tickets[[#This Row],[agent_experience_years]]&lt;=5,"Mid-Level",
tbl_analysis_tickets[[#This Row],[agent_experience_years]]&lt;=8,"Senior",
tbl_analysis_tickets[[#This Row],[agent_experience_years]]&gt;8,"Expert"
)</f>
        <v>Expert</v>
      </c>
      <c r="P1684" cm="1">
        <f t="array" ref="P1684">_xlfn.SWITCH(tbl_analysis_tickets[[#This Row],[customer_satisfaction]],
"Low",1,
"Medium",2,
"High",3
)</f>
        <v>2</v>
      </c>
      <c r="Q1684">
        <f>IF(tbl_analysis_tickets[[#This Row],[reopened]]="Yes",1,0)</f>
        <v>0</v>
      </c>
      <c r="R1684" t="str" cm="1">
        <f t="array" ref="R1684">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684" t="str" cm="1">
        <f t="array" ref="S168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684" t="str">
        <f>TEXT(tbl_analysis_tickets[[#This Row],[created_date]],"mmm-yyyy")</f>
        <v>Mar-2024</v>
      </c>
      <c r="U1684" t="str">
        <f>TEXT(tbl_analysis_tickets[[#This Row],[created_date]],"dddd")</f>
        <v>Tuesday</v>
      </c>
      <c r="V1684" cm="1">
        <f t="array" ref="V1684">_xlfn.SWITCH(tbl_analysis_tickets[[#This Row],[priority]],
"Urgent",1,
"High",2,
"Medium",3,
"Low",4
)</f>
        <v>4</v>
      </c>
    </row>
    <row r="1685" spans="1:22" x14ac:dyDescent="0.25">
      <c r="A1685">
        <v>1684</v>
      </c>
      <c r="B1685" s="1">
        <v>45329</v>
      </c>
      <c r="C1685" t="s">
        <v>23</v>
      </c>
      <c r="D1685" t="s">
        <v>17</v>
      </c>
      <c r="E1685">
        <v>72</v>
      </c>
      <c r="F1685">
        <v>51</v>
      </c>
      <c r="G1685">
        <v>2.9</v>
      </c>
      <c r="H1685" t="s">
        <v>12</v>
      </c>
      <c r="I1685" t="s">
        <v>16</v>
      </c>
      <c r="J1685" t="s">
        <v>11</v>
      </c>
      <c r="K1685">
        <f>_xlfn.XLOOKUP(tbl_analysis_tickets[[#This Row],[priority]],tbl_sla[priority],tbl_sla[Resolution SLA Hours])</f>
        <v>8</v>
      </c>
      <c r="L1685">
        <f>_xlfn.XLOOKUP(tbl_analysis_tickets[[#This Row],[priority]],tbl_sla[priority],tbl_sla[First Response SLA Minutes])</f>
        <v>30</v>
      </c>
      <c r="M1685" t="str">
        <f>IF(tbl_analysis_tickets[[#This Row],[resolution_time_hours]]&gt;tbl_analysis_tickets[[#This Row],[Resolution SLA Hours]],"Breached","Within SLA")</f>
        <v>Breached</v>
      </c>
      <c r="N1685" t="str">
        <f>IF(tbl_analysis_tickets[[#This Row],[first_response_minutes]]&gt;tbl_analysis_tickets[[#This Row],[First Response SLA Minutes]],"Breached","Within SLA")</f>
        <v>Breached</v>
      </c>
      <c r="O1685" t="str" cm="1">
        <f t="array" ref="O1685">_xlfn.IFS(
tbl_analysis_tickets[[#This Row],[agent_experience_years]]&lt;=2,"Junior",
tbl_analysis_tickets[[#This Row],[agent_experience_years]]&lt;=5,"Mid-Level",
tbl_analysis_tickets[[#This Row],[agent_experience_years]]&lt;=8,"Senior",
tbl_analysis_tickets[[#This Row],[agent_experience_years]]&gt;8,"Expert"
)</f>
        <v>Mid-Level</v>
      </c>
      <c r="P1685" cm="1">
        <f t="array" ref="P1685">_xlfn.SWITCH(tbl_analysis_tickets[[#This Row],[customer_satisfaction]],
"Low",1,
"Medium",2,
"High",3
)</f>
        <v>1</v>
      </c>
      <c r="Q1685">
        <f>IF(tbl_analysis_tickets[[#This Row],[reopened]]="Yes",1,0)</f>
        <v>1</v>
      </c>
      <c r="R1685" t="str" cm="1">
        <f t="array" ref="R1685">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685" t="str" cm="1">
        <f t="array" ref="S168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685" t="str">
        <f>TEXT(tbl_analysis_tickets[[#This Row],[created_date]],"mmm-yyyy")</f>
        <v>Feb-2024</v>
      </c>
      <c r="U1685" t="str">
        <f>TEXT(tbl_analysis_tickets[[#This Row],[created_date]],"dddd")</f>
        <v>Wednesday</v>
      </c>
      <c r="V1685" cm="1">
        <f t="array" ref="V1685">_xlfn.SWITCH(tbl_analysis_tickets[[#This Row],[priority]],
"Urgent",1,
"High",2,
"Medium",3,
"Low",4
)</f>
        <v>1</v>
      </c>
    </row>
    <row r="1686" spans="1:22" x14ac:dyDescent="0.25">
      <c r="A1686">
        <v>1685</v>
      </c>
      <c r="B1686" s="1">
        <v>45411</v>
      </c>
      <c r="C1686" t="s">
        <v>22</v>
      </c>
      <c r="D1686" t="s">
        <v>15</v>
      </c>
      <c r="E1686">
        <v>53</v>
      </c>
      <c r="F1686">
        <v>69</v>
      </c>
      <c r="G1686">
        <v>1.2</v>
      </c>
      <c r="H1686" t="s">
        <v>18</v>
      </c>
      <c r="I1686" t="s">
        <v>19</v>
      </c>
      <c r="J1686" t="s">
        <v>11</v>
      </c>
      <c r="K1686">
        <f>_xlfn.XLOOKUP(tbl_analysis_tickets[[#This Row],[priority]],tbl_sla[priority],tbl_sla[Resolution SLA Hours])</f>
        <v>48</v>
      </c>
      <c r="L1686">
        <f>_xlfn.XLOOKUP(tbl_analysis_tickets[[#This Row],[priority]],tbl_sla[priority],tbl_sla[First Response SLA Minutes])</f>
        <v>120</v>
      </c>
      <c r="M1686" t="str">
        <f>IF(tbl_analysis_tickets[[#This Row],[resolution_time_hours]]&gt;tbl_analysis_tickets[[#This Row],[Resolution SLA Hours]],"Breached","Within SLA")</f>
        <v>Breached</v>
      </c>
      <c r="N1686" t="str">
        <f>IF(tbl_analysis_tickets[[#This Row],[first_response_minutes]]&gt;tbl_analysis_tickets[[#This Row],[First Response SLA Minutes]],"Breached","Within SLA")</f>
        <v>Within SLA</v>
      </c>
      <c r="O1686" t="str" cm="1">
        <f t="array" ref="O1686">_xlfn.IFS(
tbl_analysis_tickets[[#This Row],[agent_experience_years]]&lt;=2,"Junior",
tbl_analysis_tickets[[#This Row],[agent_experience_years]]&lt;=5,"Mid-Level",
tbl_analysis_tickets[[#This Row],[agent_experience_years]]&lt;=8,"Senior",
tbl_analysis_tickets[[#This Row],[agent_experience_years]]&gt;8,"Expert"
)</f>
        <v>Junior</v>
      </c>
      <c r="P1686" cm="1">
        <f t="array" ref="P1686">_xlfn.SWITCH(tbl_analysis_tickets[[#This Row],[customer_satisfaction]],
"Low",1,
"Medium",2,
"High",3
)</f>
        <v>1</v>
      </c>
      <c r="Q1686">
        <f>IF(tbl_analysis_tickets[[#This Row],[reopened]]="Yes",1,0)</f>
        <v>0</v>
      </c>
      <c r="R1686" t="str" cm="1">
        <f t="array" ref="R1686">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686" t="str" cm="1">
        <f t="array" ref="S168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686" t="str">
        <f>TEXT(tbl_analysis_tickets[[#This Row],[created_date]],"mmm-yyyy")</f>
        <v>Apr-2024</v>
      </c>
      <c r="U1686" t="str">
        <f>TEXT(tbl_analysis_tickets[[#This Row],[created_date]],"dddd")</f>
        <v>Monday</v>
      </c>
      <c r="V1686" cm="1">
        <f t="array" ref="V1686">_xlfn.SWITCH(tbl_analysis_tickets[[#This Row],[priority]],
"Urgent",1,
"High",2,
"Medium",3,
"Low",4
)</f>
        <v>3</v>
      </c>
    </row>
    <row r="1687" spans="1:22" x14ac:dyDescent="0.25">
      <c r="A1687">
        <v>1686</v>
      </c>
      <c r="B1687" s="1">
        <v>45351</v>
      </c>
      <c r="C1687" t="s">
        <v>10</v>
      </c>
      <c r="D1687" t="s">
        <v>11</v>
      </c>
      <c r="E1687">
        <v>57</v>
      </c>
      <c r="F1687">
        <v>37</v>
      </c>
      <c r="G1687">
        <v>2.4</v>
      </c>
      <c r="H1687" t="s">
        <v>18</v>
      </c>
      <c r="I1687" t="s">
        <v>13</v>
      </c>
      <c r="J1687" t="s">
        <v>11</v>
      </c>
      <c r="K1687">
        <f>_xlfn.XLOOKUP(tbl_analysis_tickets[[#This Row],[priority]],tbl_sla[priority],tbl_sla[Resolution SLA Hours])</f>
        <v>72</v>
      </c>
      <c r="L1687">
        <f>_xlfn.XLOOKUP(tbl_analysis_tickets[[#This Row],[priority]],tbl_sla[priority],tbl_sla[First Response SLA Minutes])</f>
        <v>240</v>
      </c>
      <c r="M1687" t="str">
        <f>IF(tbl_analysis_tickets[[#This Row],[resolution_time_hours]]&gt;tbl_analysis_tickets[[#This Row],[Resolution SLA Hours]],"Breached","Within SLA")</f>
        <v>Within SLA</v>
      </c>
      <c r="N1687" t="str">
        <f>IF(tbl_analysis_tickets[[#This Row],[first_response_minutes]]&gt;tbl_analysis_tickets[[#This Row],[First Response SLA Minutes]],"Breached","Within SLA")</f>
        <v>Within SLA</v>
      </c>
      <c r="O1687" t="str" cm="1">
        <f t="array" ref="O1687">_xlfn.IFS(
tbl_analysis_tickets[[#This Row],[agent_experience_years]]&lt;=2,"Junior",
tbl_analysis_tickets[[#This Row],[agent_experience_years]]&lt;=5,"Mid-Level",
tbl_analysis_tickets[[#This Row],[agent_experience_years]]&lt;=8,"Senior",
tbl_analysis_tickets[[#This Row],[agent_experience_years]]&gt;8,"Expert"
)</f>
        <v>Mid-Level</v>
      </c>
      <c r="P1687" cm="1">
        <f t="array" ref="P1687">_xlfn.SWITCH(tbl_analysis_tickets[[#This Row],[customer_satisfaction]],
"Low",1,
"Medium",2,
"High",3
)</f>
        <v>1</v>
      </c>
      <c r="Q1687">
        <f>IF(tbl_analysis_tickets[[#This Row],[reopened]]="Yes",1,0)</f>
        <v>0</v>
      </c>
      <c r="R1687" t="str" cm="1">
        <f t="array" ref="R1687">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687" t="str" cm="1">
        <f t="array" ref="S168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687" t="str">
        <f>TEXT(tbl_analysis_tickets[[#This Row],[created_date]],"mmm-yyyy")</f>
        <v>Feb-2024</v>
      </c>
      <c r="U1687" t="str">
        <f>TEXT(tbl_analysis_tickets[[#This Row],[created_date]],"dddd")</f>
        <v>Thursday</v>
      </c>
      <c r="V1687" cm="1">
        <f t="array" ref="V1687">_xlfn.SWITCH(tbl_analysis_tickets[[#This Row],[priority]],
"Urgent",1,
"High",2,
"Medium",3,
"Low",4
)</f>
        <v>4</v>
      </c>
    </row>
    <row r="1688" spans="1:22" x14ac:dyDescent="0.25">
      <c r="A1688">
        <v>1687</v>
      </c>
      <c r="B1688" s="1">
        <v>45642</v>
      </c>
      <c r="C1688" t="s">
        <v>14</v>
      </c>
      <c r="D1688" t="s">
        <v>11</v>
      </c>
      <c r="E1688">
        <v>62</v>
      </c>
      <c r="F1688">
        <v>60</v>
      </c>
      <c r="G1688">
        <v>6.3</v>
      </c>
      <c r="H1688" t="s">
        <v>12</v>
      </c>
      <c r="I1688" t="s">
        <v>13</v>
      </c>
      <c r="J1688" t="s">
        <v>11</v>
      </c>
      <c r="K1688">
        <f>_xlfn.XLOOKUP(tbl_analysis_tickets[[#This Row],[priority]],tbl_sla[priority],tbl_sla[Resolution SLA Hours])</f>
        <v>72</v>
      </c>
      <c r="L1688">
        <f>_xlfn.XLOOKUP(tbl_analysis_tickets[[#This Row],[priority]],tbl_sla[priority],tbl_sla[First Response SLA Minutes])</f>
        <v>240</v>
      </c>
      <c r="M1688" t="str">
        <f>IF(tbl_analysis_tickets[[#This Row],[resolution_time_hours]]&gt;tbl_analysis_tickets[[#This Row],[Resolution SLA Hours]],"Breached","Within SLA")</f>
        <v>Within SLA</v>
      </c>
      <c r="N1688" t="str">
        <f>IF(tbl_analysis_tickets[[#This Row],[first_response_minutes]]&gt;tbl_analysis_tickets[[#This Row],[First Response SLA Minutes]],"Breached","Within SLA")</f>
        <v>Within SLA</v>
      </c>
      <c r="O1688" t="str" cm="1">
        <f t="array" ref="O1688">_xlfn.IFS(
tbl_analysis_tickets[[#This Row],[agent_experience_years]]&lt;=2,"Junior",
tbl_analysis_tickets[[#This Row],[agent_experience_years]]&lt;=5,"Mid-Level",
tbl_analysis_tickets[[#This Row],[agent_experience_years]]&lt;=8,"Senior",
tbl_analysis_tickets[[#This Row],[agent_experience_years]]&gt;8,"Expert"
)</f>
        <v>Senior</v>
      </c>
      <c r="P1688" cm="1">
        <f t="array" ref="P1688">_xlfn.SWITCH(tbl_analysis_tickets[[#This Row],[customer_satisfaction]],
"Low",1,
"Medium",2,
"High",3
)</f>
        <v>1</v>
      </c>
      <c r="Q1688">
        <f>IF(tbl_analysis_tickets[[#This Row],[reopened]]="Yes",1,0)</f>
        <v>1</v>
      </c>
      <c r="R1688" t="str" cm="1">
        <f t="array" ref="R1688">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688" t="str" cm="1">
        <f t="array" ref="S168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688" t="str">
        <f>TEXT(tbl_analysis_tickets[[#This Row],[created_date]],"mmm-yyyy")</f>
        <v>Dec-2024</v>
      </c>
      <c r="U1688" t="str">
        <f>TEXT(tbl_analysis_tickets[[#This Row],[created_date]],"dddd")</f>
        <v>Monday</v>
      </c>
      <c r="V1688" cm="1">
        <f t="array" ref="V1688">_xlfn.SWITCH(tbl_analysis_tickets[[#This Row],[priority]],
"Urgent",1,
"High",2,
"Medium",3,
"Low",4
)</f>
        <v>4</v>
      </c>
    </row>
    <row r="1689" spans="1:22" x14ac:dyDescent="0.25">
      <c r="A1689">
        <v>1688</v>
      </c>
      <c r="B1689" s="1">
        <v>45622</v>
      </c>
      <c r="C1689" t="s">
        <v>23</v>
      </c>
      <c r="D1689" t="s">
        <v>17</v>
      </c>
      <c r="E1689">
        <v>59</v>
      </c>
      <c r="F1689">
        <v>42</v>
      </c>
      <c r="G1689">
        <v>6.6</v>
      </c>
      <c r="H1689" t="s">
        <v>18</v>
      </c>
      <c r="I1689" t="s">
        <v>13</v>
      </c>
      <c r="J1689" t="s">
        <v>11</v>
      </c>
      <c r="K1689">
        <f>_xlfn.XLOOKUP(tbl_analysis_tickets[[#This Row],[priority]],tbl_sla[priority],tbl_sla[Resolution SLA Hours])</f>
        <v>8</v>
      </c>
      <c r="L1689">
        <f>_xlfn.XLOOKUP(tbl_analysis_tickets[[#This Row],[priority]],tbl_sla[priority],tbl_sla[First Response SLA Minutes])</f>
        <v>30</v>
      </c>
      <c r="M1689" t="str">
        <f>IF(tbl_analysis_tickets[[#This Row],[resolution_time_hours]]&gt;tbl_analysis_tickets[[#This Row],[Resolution SLA Hours]],"Breached","Within SLA")</f>
        <v>Breached</v>
      </c>
      <c r="N1689" t="str">
        <f>IF(tbl_analysis_tickets[[#This Row],[first_response_minutes]]&gt;tbl_analysis_tickets[[#This Row],[First Response SLA Minutes]],"Breached","Within SLA")</f>
        <v>Breached</v>
      </c>
      <c r="O1689" t="str" cm="1">
        <f t="array" ref="O1689">_xlfn.IFS(
tbl_analysis_tickets[[#This Row],[agent_experience_years]]&lt;=2,"Junior",
tbl_analysis_tickets[[#This Row],[agent_experience_years]]&lt;=5,"Mid-Level",
tbl_analysis_tickets[[#This Row],[agent_experience_years]]&lt;=8,"Senior",
tbl_analysis_tickets[[#This Row],[agent_experience_years]]&gt;8,"Expert"
)</f>
        <v>Senior</v>
      </c>
      <c r="P1689" cm="1">
        <f t="array" ref="P1689">_xlfn.SWITCH(tbl_analysis_tickets[[#This Row],[customer_satisfaction]],
"Low",1,
"Medium",2,
"High",3
)</f>
        <v>1</v>
      </c>
      <c r="Q1689">
        <f>IF(tbl_analysis_tickets[[#This Row],[reopened]]="Yes",1,0)</f>
        <v>0</v>
      </c>
      <c r="R1689" t="str" cm="1">
        <f t="array" ref="R1689">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689" t="str" cm="1">
        <f t="array" ref="S168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689" t="str">
        <f>TEXT(tbl_analysis_tickets[[#This Row],[created_date]],"mmm-yyyy")</f>
        <v>Nov-2024</v>
      </c>
      <c r="U1689" t="str">
        <f>TEXT(tbl_analysis_tickets[[#This Row],[created_date]],"dddd")</f>
        <v>Tuesday</v>
      </c>
      <c r="V1689" cm="1">
        <f t="array" ref="V1689">_xlfn.SWITCH(tbl_analysis_tickets[[#This Row],[priority]],
"Urgent",1,
"High",2,
"Medium",3,
"Low",4
)</f>
        <v>1</v>
      </c>
    </row>
    <row r="1690" spans="1:22" x14ac:dyDescent="0.25">
      <c r="A1690">
        <v>1689</v>
      </c>
      <c r="B1690" s="1">
        <v>45501</v>
      </c>
      <c r="C1690" t="s">
        <v>14</v>
      </c>
      <c r="D1690" t="s">
        <v>20</v>
      </c>
      <c r="E1690">
        <v>202</v>
      </c>
      <c r="F1690">
        <v>58</v>
      </c>
      <c r="G1690">
        <v>0.5</v>
      </c>
      <c r="H1690" t="s">
        <v>18</v>
      </c>
      <c r="I1690" t="s">
        <v>19</v>
      </c>
      <c r="J1690" t="s">
        <v>11</v>
      </c>
      <c r="K1690">
        <f>_xlfn.XLOOKUP(tbl_analysis_tickets[[#This Row],[priority]],tbl_sla[priority],tbl_sla[Resolution SLA Hours])</f>
        <v>24</v>
      </c>
      <c r="L1690">
        <f>_xlfn.XLOOKUP(tbl_analysis_tickets[[#This Row],[priority]],tbl_sla[priority],tbl_sla[First Response SLA Minutes])</f>
        <v>60</v>
      </c>
      <c r="M1690" t="str">
        <f>IF(tbl_analysis_tickets[[#This Row],[resolution_time_hours]]&gt;tbl_analysis_tickets[[#This Row],[Resolution SLA Hours]],"Breached","Within SLA")</f>
        <v>Breached</v>
      </c>
      <c r="N1690" t="str">
        <f>IF(tbl_analysis_tickets[[#This Row],[first_response_minutes]]&gt;tbl_analysis_tickets[[#This Row],[First Response SLA Minutes]],"Breached","Within SLA")</f>
        <v>Breached</v>
      </c>
      <c r="O1690" t="str" cm="1">
        <f t="array" ref="O1690">_xlfn.IFS(
tbl_analysis_tickets[[#This Row],[agent_experience_years]]&lt;=2,"Junior",
tbl_analysis_tickets[[#This Row],[agent_experience_years]]&lt;=5,"Mid-Level",
tbl_analysis_tickets[[#This Row],[agent_experience_years]]&lt;=8,"Senior",
tbl_analysis_tickets[[#This Row],[agent_experience_years]]&gt;8,"Expert"
)</f>
        <v>Junior</v>
      </c>
      <c r="P1690" cm="1">
        <f t="array" ref="P1690">_xlfn.SWITCH(tbl_analysis_tickets[[#This Row],[customer_satisfaction]],
"Low",1,
"Medium",2,
"High",3
)</f>
        <v>1</v>
      </c>
      <c r="Q1690">
        <f>IF(tbl_analysis_tickets[[#This Row],[reopened]]="Yes",1,0)</f>
        <v>0</v>
      </c>
      <c r="R1690" t="str" cm="1">
        <f t="array" ref="R1690">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690" t="str" cm="1">
        <f t="array" ref="S169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690" t="str">
        <f>TEXT(tbl_analysis_tickets[[#This Row],[created_date]],"mmm-yyyy")</f>
        <v>Jul-2024</v>
      </c>
      <c r="U1690" t="str">
        <f>TEXT(tbl_analysis_tickets[[#This Row],[created_date]],"dddd")</f>
        <v>Sunday</v>
      </c>
      <c r="V1690" cm="1">
        <f t="array" ref="V1690">_xlfn.SWITCH(tbl_analysis_tickets[[#This Row],[priority]],
"Urgent",1,
"High",2,
"Medium",3,
"Low",4
)</f>
        <v>2</v>
      </c>
    </row>
    <row r="1691" spans="1:22" x14ac:dyDescent="0.25">
      <c r="A1691">
        <v>1690</v>
      </c>
      <c r="B1691" s="1">
        <v>45523</v>
      </c>
      <c r="C1691" t="s">
        <v>21</v>
      </c>
      <c r="D1691" t="s">
        <v>20</v>
      </c>
      <c r="E1691">
        <v>63</v>
      </c>
      <c r="F1691">
        <v>16</v>
      </c>
      <c r="G1691">
        <v>9.6</v>
      </c>
      <c r="H1691" t="s">
        <v>18</v>
      </c>
      <c r="I1691" t="s">
        <v>19</v>
      </c>
      <c r="J1691" t="s">
        <v>11</v>
      </c>
      <c r="K1691">
        <f>_xlfn.XLOOKUP(tbl_analysis_tickets[[#This Row],[priority]],tbl_sla[priority],tbl_sla[Resolution SLA Hours])</f>
        <v>24</v>
      </c>
      <c r="L1691">
        <f>_xlfn.XLOOKUP(tbl_analysis_tickets[[#This Row],[priority]],tbl_sla[priority],tbl_sla[First Response SLA Minutes])</f>
        <v>60</v>
      </c>
      <c r="M1691" t="str">
        <f>IF(tbl_analysis_tickets[[#This Row],[resolution_time_hours]]&gt;tbl_analysis_tickets[[#This Row],[Resolution SLA Hours]],"Breached","Within SLA")</f>
        <v>Within SLA</v>
      </c>
      <c r="N1691" t="str">
        <f>IF(tbl_analysis_tickets[[#This Row],[first_response_minutes]]&gt;tbl_analysis_tickets[[#This Row],[First Response SLA Minutes]],"Breached","Within SLA")</f>
        <v>Breached</v>
      </c>
      <c r="O1691" t="str" cm="1">
        <f t="array" ref="O1691">_xlfn.IFS(
tbl_analysis_tickets[[#This Row],[agent_experience_years]]&lt;=2,"Junior",
tbl_analysis_tickets[[#This Row],[agent_experience_years]]&lt;=5,"Mid-Level",
tbl_analysis_tickets[[#This Row],[agent_experience_years]]&lt;=8,"Senior",
tbl_analysis_tickets[[#This Row],[agent_experience_years]]&gt;8,"Expert"
)</f>
        <v>Expert</v>
      </c>
      <c r="P1691" cm="1">
        <f t="array" ref="P1691">_xlfn.SWITCH(tbl_analysis_tickets[[#This Row],[customer_satisfaction]],
"Low",1,
"Medium",2,
"High",3
)</f>
        <v>1</v>
      </c>
      <c r="Q1691">
        <f>IF(tbl_analysis_tickets[[#This Row],[reopened]]="Yes",1,0)</f>
        <v>0</v>
      </c>
      <c r="R1691" t="str" cm="1">
        <f t="array" ref="R1691">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691" t="str" cm="1">
        <f t="array" ref="S169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691" t="str">
        <f>TEXT(tbl_analysis_tickets[[#This Row],[created_date]],"mmm-yyyy")</f>
        <v>Aug-2024</v>
      </c>
      <c r="U1691" t="str">
        <f>TEXT(tbl_analysis_tickets[[#This Row],[created_date]],"dddd")</f>
        <v>Monday</v>
      </c>
      <c r="V1691" cm="1">
        <f t="array" ref="V1691">_xlfn.SWITCH(tbl_analysis_tickets[[#This Row],[priority]],
"Urgent",1,
"High",2,
"Medium",3,
"Low",4
)</f>
        <v>2</v>
      </c>
    </row>
    <row r="1692" spans="1:22" x14ac:dyDescent="0.25">
      <c r="A1692">
        <v>1691</v>
      </c>
      <c r="B1692" s="1">
        <v>45446</v>
      </c>
      <c r="C1692" t="s">
        <v>21</v>
      </c>
      <c r="D1692" t="s">
        <v>15</v>
      </c>
      <c r="E1692">
        <v>233</v>
      </c>
      <c r="F1692">
        <v>11</v>
      </c>
      <c r="G1692">
        <v>7.3</v>
      </c>
      <c r="H1692" t="s">
        <v>18</v>
      </c>
      <c r="I1692" t="s">
        <v>13</v>
      </c>
      <c r="J1692" t="s">
        <v>15</v>
      </c>
      <c r="K1692">
        <f>_xlfn.XLOOKUP(tbl_analysis_tickets[[#This Row],[priority]],tbl_sla[priority],tbl_sla[Resolution SLA Hours])</f>
        <v>48</v>
      </c>
      <c r="L1692">
        <f>_xlfn.XLOOKUP(tbl_analysis_tickets[[#This Row],[priority]],tbl_sla[priority],tbl_sla[First Response SLA Minutes])</f>
        <v>120</v>
      </c>
      <c r="M1692" t="str">
        <f>IF(tbl_analysis_tickets[[#This Row],[resolution_time_hours]]&gt;tbl_analysis_tickets[[#This Row],[Resolution SLA Hours]],"Breached","Within SLA")</f>
        <v>Within SLA</v>
      </c>
      <c r="N1692" t="str">
        <f>IF(tbl_analysis_tickets[[#This Row],[first_response_minutes]]&gt;tbl_analysis_tickets[[#This Row],[First Response SLA Minutes]],"Breached","Within SLA")</f>
        <v>Breached</v>
      </c>
      <c r="O1692" t="str" cm="1">
        <f t="array" ref="O1692">_xlfn.IFS(
tbl_analysis_tickets[[#This Row],[agent_experience_years]]&lt;=2,"Junior",
tbl_analysis_tickets[[#This Row],[agent_experience_years]]&lt;=5,"Mid-Level",
tbl_analysis_tickets[[#This Row],[agent_experience_years]]&lt;=8,"Senior",
tbl_analysis_tickets[[#This Row],[agent_experience_years]]&gt;8,"Expert"
)</f>
        <v>Senior</v>
      </c>
      <c r="P1692" cm="1">
        <f t="array" ref="P1692">_xlfn.SWITCH(tbl_analysis_tickets[[#This Row],[customer_satisfaction]],
"Low",1,
"Medium",2,
"High",3
)</f>
        <v>2</v>
      </c>
      <c r="Q1692">
        <f>IF(tbl_analysis_tickets[[#This Row],[reopened]]="Yes",1,0)</f>
        <v>0</v>
      </c>
      <c r="R1692" t="str" cm="1">
        <f t="array" ref="R1692">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692" t="str" cm="1">
        <f t="array" ref="S169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692" t="str">
        <f>TEXT(tbl_analysis_tickets[[#This Row],[created_date]],"mmm-yyyy")</f>
        <v>Jun-2024</v>
      </c>
      <c r="U1692" t="str">
        <f>TEXT(tbl_analysis_tickets[[#This Row],[created_date]],"dddd")</f>
        <v>Monday</v>
      </c>
      <c r="V1692" cm="1">
        <f t="array" ref="V1692">_xlfn.SWITCH(tbl_analysis_tickets[[#This Row],[priority]],
"Urgent",1,
"High",2,
"Medium",3,
"Low",4
)</f>
        <v>3</v>
      </c>
    </row>
    <row r="1693" spans="1:22" x14ac:dyDescent="0.25">
      <c r="A1693">
        <v>1692</v>
      </c>
      <c r="B1693" s="1">
        <v>45436</v>
      </c>
      <c r="C1693" t="s">
        <v>23</v>
      </c>
      <c r="D1693" t="s">
        <v>11</v>
      </c>
      <c r="E1693">
        <v>24</v>
      </c>
      <c r="F1693">
        <v>44</v>
      </c>
      <c r="G1693">
        <v>7.7</v>
      </c>
      <c r="H1693" t="s">
        <v>18</v>
      </c>
      <c r="I1693" t="s">
        <v>16</v>
      </c>
      <c r="J1693" t="s">
        <v>20</v>
      </c>
      <c r="K1693">
        <f>_xlfn.XLOOKUP(tbl_analysis_tickets[[#This Row],[priority]],tbl_sla[priority],tbl_sla[Resolution SLA Hours])</f>
        <v>72</v>
      </c>
      <c r="L1693">
        <f>_xlfn.XLOOKUP(tbl_analysis_tickets[[#This Row],[priority]],tbl_sla[priority],tbl_sla[First Response SLA Minutes])</f>
        <v>240</v>
      </c>
      <c r="M1693" t="str">
        <f>IF(tbl_analysis_tickets[[#This Row],[resolution_time_hours]]&gt;tbl_analysis_tickets[[#This Row],[Resolution SLA Hours]],"Breached","Within SLA")</f>
        <v>Within SLA</v>
      </c>
      <c r="N1693" t="str">
        <f>IF(tbl_analysis_tickets[[#This Row],[first_response_minutes]]&gt;tbl_analysis_tickets[[#This Row],[First Response SLA Minutes]],"Breached","Within SLA")</f>
        <v>Within SLA</v>
      </c>
      <c r="O1693" t="str" cm="1">
        <f t="array" ref="O1693">_xlfn.IFS(
tbl_analysis_tickets[[#This Row],[agent_experience_years]]&lt;=2,"Junior",
tbl_analysis_tickets[[#This Row],[agent_experience_years]]&lt;=5,"Mid-Level",
tbl_analysis_tickets[[#This Row],[agent_experience_years]]&lt;=8,"Senior",
tbl_analysis_tickets[[#This Row],[agent_experience_years]]&gt;8,"Expert"
)</f>
        <v>Senior</v>
      </c>
      <c r="P1693" cm="1">
        <f t="array" ref="P1693">_xlfn.SWITCH(tbl_analysis_tickets[[#This Row],[customer_satisfaction]],
"Low",1,
"Medium",2,
"High",3
)</f>
        <v>3</v>
      </c>
      <c r="Q1693">
        <f>IF(tbl_analysis_tickets[[#This Row],[reopened]]="Yes",1,0)</f>
        <v>0</v>
      </c>
      <c r="R1693" t="str" cm="1">
        <f t="array" ref="R1693">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1693" t="str" cm="1">
        <f t="array" ref="S169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693" t="str">
        <f>TEXT(tbl_analysis_tickets[[#This Row],[created_date]],"mmm-yyyy")</f>
        <v>May-2024</v>
      </c>
      <c r="U1693" t="str">
        <f>TEXT(tbl_analysis_tickets[[#This Row],[created_date]],"dddd")</f>
        <v>Friday</v>
      </c>
      <c r="V1693" cm="1">
        <f t="array" ref="V1693">_xlfn.SWITCH(tbl_analysis_tickets[[#This Row],[priority]],
"Urgent",1,
"High",2,
"Medium",3,
"Low",4
)</f>
        <v>4</v>
      </c>
    </row>
    <row r="1694" spans="1:22" x14ac:dyDescent="0.25">
      <c r="A1694">
        <v>1693</v>
      </c>
      <c r="B1694" s="1">
        <v>45396</v>
      </c>
      <c r="C1694" t="s">
        <v>10</v>
      </c>
      <c r="D1694" t="s">
        <v>11</v>
      </c>
      <c r="E1694">
        <v>172</v>
      </c>
      <c r="F1694">
        <v>30</v>
      </c>
      <c r="G1694">
        <v>3.5</v>
      </c>
      <c r="H1694" t="s">
        <v>12</v>
      </c>
      <c r="I1694" t="s">
        <v>16</v>
      </c>
      <c r="J1694" t="s">
        <v>11</v>
      </c>
      <c r="K1694">
        <f>_xlfn.XLOOKUP(tbl_analysis_tickets[[#This Row],[priority]],tbl_sla[priority],tbl_sla[Resolution SLA Hours])</f>
        <v>72</v>
      </c>
      <c r="L1694">
        <f>_xlfn.XLOOKUP(tbl_analysis_tickets[[#This Row],[priority]],tbl_sla[priority],tbl_sla[First Response SLA Minutes])</f>
        <v>240</v>
      </c>
      <c r="M1694" t="str">
        <f>IF(tbl_analysis_tickets[[#This Row],[resolution_time_hours]]&gt;tbl_analysis_tickets[[#This Row],[Resolution SLA Hours]],"Breached","Within SLA")</f>
        <v>Within SLA</v>
      </c>
      <c r="N1694" t="str">
        <f>IF(tbl_analysis_tickets[[#This Row],[first_response_minutes]]&gt;tbl_analysis_tickets[[#This Row],[First Response SLA Minutes]],"Breached","Within SLA")</f>
        <v>Within SLA</v>
      </c>
      <c r="O1694" t="str" cm="1">
        <f t="array" ref="O1694">_xlfn.IFS(
tbl_analysis_tickets[[#This Row],[agent_experience_years]]&lt;=2,"Junior",
tbl_analysis_tickets[[#This Row],[agent_experience_years]]&lt;=5,"Mid-Level",
tbl_analysis_tickets[[#This Row],[agent_experience_years]]&lt;=8,"Senior",
tbl_analysis_tickets[[#This Row],[agent_experience_years]]&gt;8,"Expert"
)</f>
        <v>Mid-Level</v>
      </c>
      <c r="P1694" cm="1">
        <f t="array" ref="P1694">_xlfn.SWITCH(tbl_analysis_tickets[[#This Row],[customer_satisfaction]],
"Low",1,
"Medium",2,
"High",3
)</f>
        <v>1</v>
      </c>
      <c r="Q1694">
        <f>IF(tbl_analysis_tickets[[#This Row],[reopened]]="Yes",1,0)</f>
        <v>1</v>
      </c>
      <c r="R1694" t="str" cm="1">
        <f t="array" ref="R1694">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694" t="str" cm="1">
        <f t="array" ref="S169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694" t="str">
        <f>TEXT(tbl_analysis_tickets[[#This Row],[created_date]],"mmm-yyyy")</f>
        <v>Apr-2024</v>
      </c>
      <c r="U1694" t="str">
        <f>TEXT(tbl_analysis_tickets[[#This Row],[created_date]],"dddd")</f>
        <v>Sunday</v>
      </c>
      <c r="V1694" cm="1">
        <f t="array" ref="V1694">_xlfn.SWITCH(tbl_analysis_tickets[[#This Row],[priority]],
"Urgent",1,
"High",2,
"Medium",3,
"Low",4
)</f>
        <v>4</v>
      </c>
    </row>
    <row r="1695" spans="1:22" x14ac:dyDescent="0.25">
      <c r="A1695">
        <v>1694</v>
      </c>
      <c r="B1695" s="1">
        <v>45434</v>
      </c>
      <c r="C1695" t="s">
        <v>10</v>
      </c>
      <c r="D1695" t="s">
        <v>20</v>
      </c>
      <c r="E1695">
        <v>219</v>
      </c>
      <c r="F1695">
        <v>3</v>
      </c>
      <c r="G1695">
        <v>8.9</v>
      </c>
      <c r="H1695" t="s">
        <v>18</v>
      </c>
      <c r="I1695" t="s">
        <v>13</v>
      </c>
      <c r="J1695" t="s">
        <v>15</v>
      </c>
      <c r="K1695">
        <f>_xlfn.XLOOKUP(tbl_analysis_tickets[[#This Row],[priority]],tbl_sla[priority],tbl_sla[Resolution SLA Hours])</f>
        <v>24</v>
      </c>
      <c r="L1695">
        <f>_xlfn.XLOOKUP(tbl_analysis_tickets[[#This Row],[priority]],tbl_sla[priority],tbl_sla[First Response SLA Minutes])</f>
        <v>60</v>
      </c>
      <c r="M1695" t="str">
        <f>IF(tbl_analysis_tickets[[#This Row],[resolution_time_hours]]&gt;tbl_analysis_tickets[[#This Row],[Resolution SLA Hours]],"Breached","Within SLA")</f>
        <v>Within SLA</v>
      </c>
      <c r="N1695" t="str">
        <f>IF(tbl_analysis_tickets[[#This Row],[first_response_minutes]]&gt;tbl_analysis_tickets[[#This Row],[First Response SLA Minutes]],"Breached","Within SLA")</f>
        <v>Breached</v>
      </c>
      <c r="O1695" t="str" cm="1">
        <f t="array" ref="O1695">_xlfn.IFS(
tbl_analysis_tickets[[#This Row],[agent_experience_years]]&lt;=2,"Junior",
tbl_analysis_tickets[[#This Row],[agent_experience_years]]&lt;=5,"Mid-Level",
tbl_analysis_tickets[[#This Row],[agent_experience_years]]&lt;=8,"Senior",
tbl_analysis_tickets[[#This Row],[agent_experience_years]]&gt;8,"Expert"
)</f>
        <v>Expert</v>
      </c>
      <c r="P1695" cm="1">
        <f t="array" ref="P1695">_xlfn.SWITCH(tbl_analysis_tickets[[#This Row],[customer_satisfaction]],
"Low",1,
"Medium",2,
"High",3
)</f>
        <v>2</v>
      </c>
      <c r="Q1695">
        <f>IF(tbl_analysis_tickets[[#This Row],[reopened]]="Yes",1,0)</f>
        <v>0</v>
      </c>
      <c r="R1695" t="str" cm="1">
        <f t="array" ref="R1695">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695" t="str" cm="1">
        <f t="array" ref="S169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1695" t="str">
        <f>TEXT(tbl_analysis_tickets[[#This Row],[created_date]],"mmm-yyyy")</f>
        <v>May-2024</v>
      </c>
      <c r="U1695" t="str">
        <f>TEXT(tbl_analysis_tickets[[#This Row],[created_date]],"dddd")</f>
        <v>Wednesday</v>
      </c>
      <c r="V1695" cm="1">
        <f t="array" ref="V1695">_xlfn.SWITCH(tbl_analysis_tickets[[#This Row],[priority]],
"Urgent",1,
"High",2,
"Medium",3,
"Low",4
)</f>
        <v>2</v>
      </c>
    </row>
    <row r="1696" spans="1:22" x14ac:dyDescent="0.25">
      <c r="A1696">
        <v>1695</v>
      </c>
      <c r="B1696" s="1">
        <v>45445</v>
      </c>
      <c r="C1696" t="s">
        <v>22</v>
      </c>
      <c r="D1696" t="s">
        <v>11</v>
      </c>
      <c r="E1696">
        <v>22</v>
      </c>
      <c r="F1696">
        <v>33</v>
      </c>
      <c r="G1696">
        <v>4.9000000000000004</v>
      </c>
      <c r="H1696" t="s">
        <v>18</v>
      </c>
      <c r="I1696" t="s">
        <v>16</v>
      </c>
      <c r="J1696" t="s">
        <v>15</v>
      </c>
      <c r="K1696">
        <f>_xlfn.XLOOKUP(tbl_analysis_tickets[[#This Row],[priority]],tbl_sla[priority],tbl_sla[Resolution SLA Hours])</f>
        <v>72</v>
      </c>
      <c r="L1696">
        <f>_xlfn.XLOOKUP(tbl_analysis_tickets[[#This Row],[priority]],tbl_sla[priority],tbl_sla[First Response SLA Minutes])</f>
        <v>240</v>
      </c>
      <c r="M1696" t="str">
        <f>IF(tbl_analysis_tickets[[#This Row],[resolution_time_hours]]&gt;tbl_analysis_tickets[[#This Row],[Resolution SLA Hours]],"Breached","Within SLA")</f>
        <v>Within SLA</v>
      </c>
      <c r="N1696" t="str">
        <f>IF(tbl_analysis_tickets[[#This Row],[first_response_minutes]]&gt;tbl_analysis_tickets[[#This Row],[First Response SLA Minutes]],"Breached","Within SLA")</f>
        <v>Within SLA</v>
      </c>
      <c r="O1696" t="str" cm="1">
        <f t="array" ref="O1696">_xlfn.IFS(
tbl_analysis_tickets[[#This Row],[agent_experience_years]]&lt;=2,"Junior",
tbl_analysis_tickets[[#This Row],[agent_experience_years]]&lt;=5,"Mid-Level",
tbl_analysis_tickets[[#This Row],[agent_experience_years]]&lt;=8,"Senior",
tbl_analysis_tickets[[#This Row],[agent_experience_years]]&gt;8,"Expert"
)</f>
        <v>Mid-Level</v>
      </c>
      <c r="P1696" cm="1">
        <f t="array" ref="P1696">_xlfn.SWITCH(tbl_analysis_tickets[[#This Row],[customer_satisfaction]],
"Low",1,
"Medium",2,
"High",3
)</f>
        <v>2</v>
      </c>
      <c r="Q1696">
        <f>IF(tbl_analysis_tickets[[#This Row],[reopened]]="Yes",1,0)</f>
        <v>0</v>
      </c>
      <c r="R1696" t="str" cm="1">
        <f t="array" ref="R1696">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1696" t="str" cm="1">
        <f t="array" ref="S169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696" t="str">
        <f>TEXT(tbl_analysis_tickets[[#This Row],[created_date]],"mmm-yyyy")</f>
        <v>Jun-2024</v>
      </c>
      <c r="U1696" t="str">
        <f>TEXT(tbl_analysis_tickets[[#This Row],[created_date]],"dddd")</f>
        <v>Sunday</v>
      </c>
      <c r="V1696" cm="1">
        <f t="array" ref="V1696">_xlfn.SWITCH(tbl_analysis_tickets[[#This Row],[priority]],
"Urgent",1,
"High",2,
"Medium",3,
"Low",4
)</f>
        <v>4</v>
      </c>
    </row>
    <row r="1697" spans="1:22" x14ac:dyDescent="0.25">
      <c r="A1697">
        <v>1696</v>
      </c>
      <c r="B1697" s="1">
        <v>45369</v>
      </c>
      <c r="C1697" t="s">
        <v>23</v>
      </c>
      <c r="D1697" t="s">
        <v>20</v>
      </c>
      <c r="E1697">
        <v>146</v>
      </c>
      <c r="F1697">
        <v>72</v>
      </c>
      <c r="G1697">
        <v>4.4000000000000004</v>
      </c>
      <c r="H1697" t="s">
        <v>12</v>
      </c>
      <c r="I1697" t="s">
        <v>16</v>
      </c>
      <c r="J1697" t="s">
        <v>11</v>
      </c>
      <c r="K1697">
        <f>_xlfn.XLOOKUP(tbl_analysis_tickets[[#This Row],[priority]],tbl_sla[priority],tbl_sla[Resolution SLA Hours])</f>
        <v>24</v>
      </c>
      <c r="L1697">
        <f>_xlfn.XLOOKUP(tbl_analysis_tickets[[#This Row],[priority]],tbl_sla[priority],tbl_sla[First Response SLA Minutes])</f>
        <v>60</v>
      </c>
      <c r="M1697" t="str">
        <f>IF(tbl_analysis_tickets[[#This Row],[resolution_time_hours]]&gt;tbl_analysis_tickets[[#This Row],[Resolution SLA Hours]],"Breached","Within SLA")</f>
        <v>Breached</v>
      </c>
      <c r="N1697" t="str">
        <f>IF(tbl_analysis_tickets[[#This Row],[first_response_minutes]]&gt;tbl_analysis_tickets[[#This Row],[First Response SLA Minutes]],"Breached","Within SLA")</f>
        <v>Breached</v>
      </c>
      <c r="O1697" t="str" cm="1">
        <f t="array" ref="O1697">_xlfn.IFS(
tbl_analysis_tickets[[#This Row],[agent_experience_years]]&lt;=2,"Junior",
tbl_analysis_tickets[[#This Row],[agent_experience_years]]&lt;=5,"Mid-Level",
tbl_analysis_tickets[[#This Row],[agent_experience_years]]&lt;=8,"Senior",
tbl_analysis_tickets[[#This Row],[agent_experience_years]]&gt;8,"Expert"
)</f>
        <v>Mid-Level</v>
      </c>
      <c r="P1697" cm="1">
        <f t="array" ref="P1697">_xlfn.SWITCH(tbl_analysis_tickets[[#This Row],[customer_satisfaction]],
"Low",1,
"Medium",2,
"High",3
)</f>
        <v>1</v>
      </c>
      <c r="Q1697">
        <f>IF(tbl_analysis_tickets[[#This Row],[reopened]]="Yes",1,0)</f>
        <v>1</v>
      </c>
      <c r="R1697" t="str" cm="1">
        <f t="array" ref="R1697">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697" t="str" cm="1">
        <f t="array" ref="S169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697" t="str">
        <f>TEXT(tbl_analysis_tickets[[#This Row],[created_date]],"mmm-yyyy")</f>
        <v>Mar-2024</v>
      </c>
      <c r="U1697" t="str">
        <f>TEXT(tbl_analysis_tickets[[#This Row],[created_date]],"dddd")</f>
        <v>Monday</v>
      </c>
      <c r="V1697" cm="1">
        <f t="array" ref="V1697">_xlfn.SWITCH(tbl_analysis_tickets[[#This Row],[priority]],
"Urgent",1,
"High",2,
"Medium",3,
"Low",4
)</f>
        <v>2</v>
      </c>
    </row>
    <row r="1698" spans="1:22" x14ac:dyDescent="0.25">
      <c r="A1698">
        <v>1697</v>
      </c>
      <c r="B1698" s="1">
        <v>45591</v>
      </c>
      <c r="C1698" t="s">
        <v>10</v>
      </c>
      <c r="D1698" t="s">
        <v>11</v>
      </c>
      <c r="E1698">
        <v>134</v>
      </c>
      <c r="F1698">
        <v>61</v>
      </c>
      <c r="G1698">
        <v>5.3</v>
      </c>
      <c r="H1698" t="s">
        <v>12</v>
      </c>
      <c r="I1698" t="s">
        <v>16</v>
      </c>
      <c r="J1698" t="s">
        <v>11</v>
      </c>
      <c r="K1698">
        <f>_xlfn.XLOOKUP(tbl_analysis_tickets[[#This Row],[priority]],tbl_sla[priority],tbl_sla[Resolution SLA Hours])</f>
        <v>72</v>
      </c>
      <c r="L1698">
        <f>_xlfn.XLOOKUP(tbl_analysis_tickets[[#This Row],[priority]],tbl_sla[priority],tbl_sla[First Response SLA Minutes])</f>
        <v>240</v>
      </c>
      <c r="M1698" t="str">
        <f>IF(tbl_analysis_tickets[[#This Row],[resolution_time_hours]]&gt;tbl_analysis_tickets[[#This Row],[Resolution SLA Hours]],"Breached","Within SLA")</f>
        <v>Within SLA</v>
      </c>
      <c r="N1698" t="str">
        <f>IF(tbl_analysis_tickets[[#This Row],[first_response_minutes]]&gt;tbl_analysis_tickets[[#This Row],[First Response SLA Minutes]],"Breached","Within SLA")</f>
        <v>Within SLA</v>
      </c>
      <c r="O1698" t="str" cm="1">
        <f t="array" ref="O1698">_xlfn.IFS(
tbl_analysis_tickets[[#This Row],[agent_experience_years]]&lt;=2,"Junior",
tbl_analysis_tickets[[#This Row],[agent_experience_years]]&lt;=5,"Mid-Level",
tbl_analysis_tickets[[#This Row],[agent_experience_years]]&lt;=8,"Senior",
tbl_analysis_tickets[[#This Row],[agent_experience_years]]&gt;8,"Expert"
)</f>
        <v>Senior</v>
      </c>
      <c r="P1698" cm="1">
        <f t="array" ref="P1698">_xlfn.SWITCH(tbl_analysis_tickets[[#This Row],[customer_satisfaction]],
"Low",1,
"Medium",2,
"High",3
)</f>
        <v>1</v>
      </c>
      <c r="Q1698">
        <f>IF(tbl_analysis_tickets[[#This Row],[reopened]]="Yes",1,0)</f>
        <v>1</v>
      </c>
      <c r="R1698" t="str" cm="1">
        <f t="array" ref="R1698">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698" t="str" cm="1">
        <f t="array" ref="S169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698" t="str">
        <f>TEXT(tbl_analysis_tickets[[#This Row],[created_date]],"mmm-yyyy")</f>
        <v>Oct-2024</v>
      </c>
      <c r="U1698" t="str">
        <f>TEXT(tbl_analysis_tickets[[#This Row],[created_date]],"dddd")</f>
        <v>Saturday</v>
      </c>
      <c r="V1698" cm="1">
        <f t="array" ref="V1698">_xlfn.SWITCH(tbl_analysis_tickets[[#This Row],[priority]],
"Urgent",1,
"High",2,
"Medium",3,
"Low",4
)</f>
        <v>4</v>
      </c>
    </row>
    <row r="1699" spans="1:22" x14ac:dyDescent="0.25">
      <c r="A1699">
        <v>1698</v>
      </c>
      <c r="B1699" s="1">
        <v>45366</v>
      </c>
      <c r="C1699" t="s">
        <v>10</v>
      </c>
      <c r="D1699" t="s">
        <v>11</v>
      </c>
      <c r="E1699">
        <v>17</v>
      </c>
      <c r="F1699">
        <v>37</v>
      </c>
      <c r="G1699">
        <v>4.4000000000000004</v>
      </c>
      <c r="H1699" t="s">
        <v>18</v>
      </c>
      <c r="I1699" t="s">
        <v>19</v>
      </c>
      <c r="J1699" t="s">
        <v>15</v>
      </c>
      <c r="K1699">
        <f>_xlfn.XLOOKUP(tbl_analysis_tickets[[#This Row],[priority]],tbl_sla[priority],tbl_sla[Resolution SLA Hours])</f>
        <v>72</v>
      </c>
      <c r="L1699">
        <f>_xlfn.XLOOKUP(tbl_analysis_tickets[[#This Row],[priority]],tbl_sla[priority],tbl_sla[First Response SLA Minutes])</f>
        <v>240</v>
      </c>
      <c r="M1699" t="str">
        <f>IF(tbl_analysis_tickets[[#This Row],[resolution_time_hours]]&gt;tbl_analysis_tickets[[#This Row],[Resolution SLA Hours]],"Breached","Within SLA")</f>
        <v>Within SLA</v>
      </c>
      <c r="N1699" t="str">
        <f>IF(tbl_analysis_tickets[[#This Row],[first_response_minutes]]&gt;tbl_analysis_tickets[[#This Row],[First Response SLA Minutes]],"Breached","Within SLA")</f>
        <v>Within SLA</v>
      </c>
      <c r="O1699" t="str" cm="1">
        <f t="array" ref="O1699">_xlfn.IFS(
tbl_analysis_tickets[[#This Row],[agent_experience_years]]&lt;=2,"Junior",
tbl_analysis_tickets[[#This Row],[agent_experience_years]]&lt;=5,"Mid-Level",
tbl_analysis_tickets[[#This Row],[agent_experience_years]]&lt;=8,"Senior",
tbl_analysis_tickets[[#This Row],[agent_experience_years]]&gt;8,"Expert"
)</f>
        <v>Mid-Level</v>
      </c>
      <c r="P1699" cm="1">
        <f t="array" ref="P1699">_xlfn.SWITCH(tbl_analysis_tickets[[#This Row],[customer_satisfaction]],
"Low",1,
"Medium",2,
"High",3
)</f>
        <v>2</v>
      </c>
      <c r="Q1699">
        <f>IF(tbl_analysis_tickets[[#This Row],[reopened]]="Yes",1,0)</f>
        <v>0</v>
      </c>
      <c r="R1699" t="str" cm="1">
        <f t="array" ref="R1699">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1699" t="str" cm="1">
        <f t="array" ref="S169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699" t="str">
        <f>TEXT(tbl_analysis_tickets[[#This Row],[created_date]],"mmm-yyyy")</f>
        <v>Mar-2024</v>
      </c>
      <c r="U1699" t="str">
        <f>TEXT(tbl_analysis_tickets[[#This Row],[created_date]],"dddd")</f>
        <v>Friday</v>
      </c>
      <c r="V1699" cm="1">
        <f t="array" ref="V1699">_xlfn.SWITCH(tbl_analysis_tickets[[#This Row],[priority]],
"Urgent",1,
"High",2,
"Medium",3,
"Low",4
)</f>
        <v>4</v>
      </c>
    </row>
    <row r="1700" spans="1:22" x14ac:dyDescent="0.25">
      <c r="A1700">
        <v>1699</v>
      </c>
      <c r="B1700" s="1">
        <v>45596</v>
      </c>
      <c r="C1700" t="s">
        <v>10</v>
      </c>
      <c r="D1700" t="s">
        <v>17</v>
      </c>
      <c r="E1700">
        <v>171</v>
      </c>
      <c r="F1700">
        <v>22</v>
      </c>
      <c r="G1700">
        <v>6.7</v>
      </c>
      <c r="H1700" t="s">
        <v>18</v>
      </c>
      <c r="I1700" t="s">
        <v>19</v>
      </c>
      <c r="J1700" t="s">
        <v>11</v>
      </c>
      <c r="K1700">
        <f>_xlfn.XLOOKUP(tbl_analysis_tickets[[#This Row],[priority]],tbl_sla[priority],tbl_sla[Resolution SLA Hours])</f>
        <v>8</v>
      </c>
      <c r="L1700">
        <f>_xlfn.XLOOKUP(tbl_analysis_tickets[[#This Row],[priority]],tbl_sla[priority],tbl_sla[First Response SLA Minutes])</f>
        <v>30</v>
      </c>
      <c r="M1700" t="str">
        <f>IF(tbl_analysis_tickets[[#This Row],[resolution_time_hours]]&gt;tbl_analysis_tickets[[#This Row],[Resolution SLA Hours]],"Breached","Within SLA")</f>
        <v>Breached</v>
      </c>
      <c r="N1700" t="str">
        <f>IF(tbl_analysis_tickets[[#This Row],[first_response_minutes]]&gt;tbl_analysis_tickets[[#This Row],[First Response SLA Minutes]],"Breached","Within SLA")</f>
        <v>Breached</v>
      </c>
      <c r="O1700" t="str" cm="1">
        <f t="array" ref="O1700">_xlfn.IFS(
tbl_analysis_tickets[[#This Row],[agent_experience_years]]&lt;=2,"Junior",
tbl_analysis_tickets[[#This Row],[agent_experience_years]]&lt;=5,"Mid-Level",
tbl_analysis_tickets[[#This Row],[agent_experience_years]]&lt;=8,"Senior",
tbl_analysis_tickets[[#This Row],[agent_experience_years]]&gt;8,"Expert"
)</f>
        <v>Senior</v>
      </c>
      <c r="P1700" cm="1">
        <f t="array" ref="P1700">_xlfn.SWITCH(tbl_analysis_tickets[[#This Row],[customer_satisfaction]],
"Low",1,
"Medium",2,
"High",3
)</f>
        <v>1</v>
      </c>
      <c r="Q1700">
        <f>IF(tbl_analysis_tickets[[#This Row],[reopened]]="Yes",1,0)</f>
        <v>0</v>
      </c>
      <c r="R1700" t="str" cm="1">
        <f t="array" ref="R1700">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700" t="str" cm="1">
        <f t="array" ref="S170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700" t="str">
        <f>TEXT(tbl_analysis_tickets[[#This Row],[created_date]],"mmm-yyyy")</f>
        <v>Oct-2024</v>
      </c>
      <c r="U1700" t="str">
        <f>TEXT(tbl_analysis_tickets[[#This Row],[created_date]],"dddd")</f>
        <v>Thursday</v>
      </c>
      <c r="V1700" cm="1">
        <f t="array" ref="V1700">_xlfn.SWITCH(tbl_analysis_tickets[[#This Row],[priority]],
"Urgent",1,
"High",2,
"Medium",3,
"Low",4
)</f>
        <v>1</v>
      </c>
    </row>
    <row r="1701" spans="1:22" x14ac:dyDescent="0.25">
      <c r="A1701">
        <v>1700</v>
      </c>
      <c r="B1701" s="1">
        <v>45613</v>
      </c>
      <c r="C1701" t="s">
        <v>23</v>
      </c>
      <c r="D1701" t="s">
        <v>15</v>
      </c>
      <c r="E1701">
        <v>120</v>
      </c>
      <c r="F1701">
        <v>18</v>
      </c>
      <c r="G1701">
        <v>6.1</v>
      </c>
      <c r="H1701" t="s">
        <v>18</v>
      </c>
      <c r="I1701" t="s">
        <v>13</v>
      </c>
      <c r="J1701" t="s">
        <v>15</v>
      </c>
      <c r="K1701">
        <f>_xlfn.XLOOKUP(tbl_analysis_tickets[[#This Row],[priority]],tbl_sla[priority],tbl_sla[Resolution SLA Hours])</f>
        <v>48</v>
      </c>
      <c r="L1701">
        <f>_xlfn.XLOOKUP(tbl_analysis_tickets[[#This Row],[priority]],tbl_sla[priority],tbl_sla[First Response SLA Minutes])</f>
        <v>120</v>
      </c>
      <c r="M1701" t="str">
        <f>IF(tbl_analysis_tickets[[#This Row],[resolution_time_hours]]&gt;tbl_analysis_tickets[[#This Row],[Resolution SLA Hours]],"Breached","Within SLA")</f>
        <v>Within SLA</v>
      </c>
      <c r="N1701" t="str">
        <f>IF(tbl_analysis_tickets[[#This Row],[first_response_minutes]]&gt;tbl_analysis_tickets[[#This Row],[First Response SLA Minutes]],"Breached","Within SLA")</f>
        <v>Within SLA</v>
      </c>
      <c r="O1701" t="str" cm="1">
        <f t="array" ref="O1701">_xlfn.IFS(
tbl_analysis_tickets[[#This Row],[agent_experience_years]]&lt;=2,"Junior",
tbl_analysis_tickets[[#This Row],[agent_experience_years]]&lt;=5,"Mid-Level",
tbl_analysis_tickets[[#This Row],[agent_experience_years]]&lt;=8,"Senior",
tbl_analysis_tickets[[#This Row],[agent_experience_years]]&gt;8,"Expert"
)</f>
        <v>Senior</v>
      </c>
      <c r="P1701" cm="1">
        <f t="array" ref="P1701">_xlfn.SWITCH(tbl_analysis_tickets[[#This Row],[customer_satisfaction]],
"Low",1,
"Medium",2,
"High",3
)</f>
        <v>2</v>
      </c>
      <c r="Q1701">
        <f>IF(tbl_analysis_tickets[[#This Row],[reopened]]="Yes",1,0)</f>
        <v>0</v>
      </c>
      <c r="R1701" t="str" cm="1">
        <f t="array" ref="R1701">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701" t="str" cm="1">
        <f t="array" ref="S170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701" t="str">
        <f>TEXT(tbl_analysis_tickets[[#This Row],[created_date]],"mmm-yyyy")</f>
        <v>Nov-2024</v>
      </c>
      <c r="U1701" t="str">
        <f>TEXT(tbl_analysis_tickets[[#This Row],[created_date]],"dddd")</f>
        <v>Sunday</v>
      </c>
      <c r="V1701" cm="1">
        <f t="array" ref="V1701">_xlfn.SWITCH(tbl_analysis_tickets[[#This Row],[priority]],
"Urgent",1,
"High",2,
"Medium",3,
"Low",4
)</f>
        <v>3</v>
      </c>
    </row>
    <row r="1702" spans="1:22" x14ac:dyDescent="0.25">
      <c r="A1702">
        <v>1701</v>
      </c>
      <c r="B1702" s="1">
        <v>45450</v>
      </c>
      <c r="C1702" t="s">
        <v>14</v>
      </c>
      <c r="D1702" t="s">
        <v>11</v>
      </c>
      <c r="E1702">
        <v>45</v>
      </c>
      <c r="F1702">
        <v>37</v>
      </c>
      <c r="G1702">
        <v>5.4</v>
      </c>
      <c r="H1702" t="s">
        <v>12</v>
      </c>
      <c r="I1702" t="s">
        <v>19</v>
      </c>
      <c r="J1702" t="s">
        <v>11</v>
      </c>
      <c r="K1702">
        <f>_xlfn.XLOOKUP(tbl_analysis_tickets[[#This Row],[priority]],tbl_sla[priority],tbl_sla[Resolution SLA Hours])</f>
        <v>72</v>
      </c>
      <c r="L1702">
        <f>_xlfn.XLOOKUP(tbl_analysis_tickets[[#This Row],[priority]],tbl_sla[priority],tbl_sla[First Response SLA Minutes])</f>
        <v>240</v>
      </c>
      <c r="M1702" t="str">
        <f>IF(tbl_analysis_tickets[[#This Row],[resolution_time_hours]]&gt;tbl_analysis_tickets[[#This Row],[Resolution SLA Hours]],"Breached","Within SLA")</f>
        <v>Within SLA</v>
      </c>
      <c r="N1702" t="str">
        <f>IF(tbl_analysis_tickets[[#This Row],[first_response_minutes]]&gt;tbl_analysis_tickets[[#This Row],[First Response SLA Minutes]],"Breached","Within SLA")</f>
        <v>Within SLA</v>
      </c>
      <c r="O1702" t="str" cm="1">
        <f t="array" ref="O1702">_xlfn.IFS(
tbl_analysis_tickets[[#This Row],[agent_experience_years]]&lt;=2,"Junior",
tbl_analysis_tickets[[#This Row],[agent_experience_years]]&lt;=5,"Mid-Level",
tbl_analysis_tickets[[#This Row],[agent_experience_years]]&lt;=8,"Senior",
tbl_analysis_tickets[[#This Row],[agent_experience_years]]&gt;8,"Expert"
)</f>
        <v>Senior</v>
      </c>
      <c r="P1702" cm="1">
        <f t="array" ref="P1702">_xlfn.SWITCH(tbl_analysis_tickets[[#This Row],[customer_satisfaction]],
"Low",1,
"Medium",2,
"High",3
)</f>
        <v>1</v>
      </c>
      <c r="Q1702">
        <f>IF(tbl_analysis_tickets[[#This Row],[reopened]]="Yes",1,0)</f>
        <v>1</v>
      </c>
      <c r="R1702" t="str" cm="1">
        <f t="array" ref="R1702">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702" t="str" cm="1">
        <f t="array" ref="S170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702" t="str">
        <f>TEXT(tbl_analysis_tickets[[#This Row],[created_date]],"mmm-yyyy")</f>
        <v>Jun-2024</v>
      </c>
      <c r="U1702" t="str">
        <f>TEXT(tbl_analysis_tickets[[#This Row],[created_date]],"dddd")</f>
        <v>Friday</v>
      </c>
      <c r="V1702" cm="1">
        <f t="array" ref="V1702">_xlfn.SWITCH(tbl_analysis_tickets[[#This Row],[priority]],
"Urgent",1,
"High",2,
"Medium",3,
"Low",4
)</f>
        <v>4</v>
      </c>
    </row>
    <row r="1703" spans="1:22" x14ac:dyDescent="0.25">
      <c r="A1703">
        <v>1702</v>
      </c>
      <c r="B1703" s="1">
        <v>45389</v>
      </c>
      <c r="C1703" t="s">
        <v>10</v>
      </c>
      <c r="D1703" t="s">
        <v>11</v>
      </c>
      <c r="E1703">
        <v>62</v>
      </c>
      <c r="F1703">
        <v>17</v>
      </c>
      <c r="G1703">
        <v>9.3000000000000007</v>
      </c>
      <c r="H1703" t="s">
        <v>12</v>
      </c>
      <c r="I1703" t="s">
        <v>19</v>
      </c>
      <c r="J1703" t="s">
        <v>11</v>
      </c>
      <c r="K1703">
        <f>_xlfn.XLOOKUP(tbl_analysis_tickets[[#This Row],[priority]],tbl_sla[priority],tbl_sla[Resolution SLA Hours])</f>
        <v>72</v>
      </c>
      <c r="L1703">
        <f>_xlfn.XLOOKUP(tbl_analysis_tickets[[#This Row],[priority]],tbl_sla[priority],tbl_sla[First Response SLA Minutes])</f>
        <v>240</v>
      </c>
      <c r="M1703" t="str">
        <f>IF(tbl_analysis_tickets[[#This Row],[resolution_time_hours]]&gt;tbl_analysis_tickets[[#This Row],[Resolution SLA Hours]],"Breached","Within SLA")</f>
        <v>Within SLA</v>
      </c>
      <c r="N1703" t="str">
        <f>IF(tbl_analysis_tickets[[#This Row],[first_response_minutes]]&gt;tbl_analysis_tickets[[#This Row],[First Response SLA Minutes]],"Breached","Within SLA")</f>
        <v>Within SLA</v>
      </c>
      <c r="O1703" t="str" cm="1">
        <f t="array" ref="O1703">_xlfn.IFS(
tbl_analysis_tickets[[#This Row],[agent_experience_years]]&lt;=2,"Junior",
tbl_analysis_tickets[[#This Row],[agent_experience_years]]&lt;=5,"Mid-Level",
tbl_analysis_tickets[[#This Row],[agent_experience_years]]&lt;=8,"Senior",
tbl_analysis_tickets[[#This Row],[agent_experience_years]]&gt;8,"Expert"
)</f>
        <v>Expert</v>
      </c>
      <c r="P1703" cm="1">
        <f t="array" ref="P1703">_xlfn.SWITCH(tbl_analysis_tickets[[#This Row],[customer_satisfaction]],
"Low",1,
"Medium",2,
"High",3
)</f>
        <v>1</v>
      </c>
      <c r="Q1703">
        <f>IF(tbl_analysis_tickets[[#This Row],[reopened]]="Yes",1,0)</f>
        <v>1</v>
      </c>
      <c r="R1703" t="str" cm="1">
        <f t="array" ref="R1703">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703" t="str" cm="1">
        <f t="array" ref="S170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703" t="str">
        <f>TEXT(tbl_analysis_tickets[[#This Row],[created_date]],"mmm-yyyy")</f>
        <v>Apr-2024</v>
      </c>
      <c r="U1703" t="str">
        <f>TEXT(tbl_analysis_tickets[[#This Row],[created_date]],"dddd")</f>
        <v>Sunday</v>
      </c>
      <c r="V1703" cm="1">
        <f t="array" ref="V1703">_xlfn.SWITCH(tbl_analysis_tickets[[#This Row],[priority]],
"Urgent",1,
"High",2,
"Medium",3,
"Low",4
)</f>
        <v>4</v>
      </c>
    </row>
    <row r="1704" spans="1:22" x14ac:dyDescent="0.25">
      <c r="A1704">
        <v>1703</v>
      </c>
      <c r="B1704" s="1">
        <v>45413</v>
      </c>
      <c r="C1704" t="s">
        <v>14</v>
      </c>
      <c r="D1704" t="s">
        <v>11</v>
      </c>
      <c r="E1704">
        <v>161</v>
      </c>
      <c r="F1704">
        <v>70</v>
      </c>
      <c r="G1704">
        <v>9</v>
      </c>
      <c r="H1704" t="s">
        <v>12</v>
      </c>
      <c r="I1704" t="s">
        <v>16</v>
      </c>
      <c r="J1704" t="s">
        <v>11</v>
      </c>
      <c r="K1704">
        <f>_xlfn.XLOOKUP(tbl_analysis_tickets[[#This Row],[priority]],tbl_sla[priority],tbl_sla[Resolution SLA Hours])</f>
        <v>72</v>
      </c>
      <c r="L1704">
        <f>_xlfn.XLOOKUP(tbl_analysis_tickets[[#This Row],[priority]],tbl_sla[priority],tbl_sla[First Response SLA Minutes])</f>
        <v>240</v>
      </c>
      <c r="M1704" t="str">
        <f>IF(tbl_analysis_tickets[[#This Row],[resolution_time_hours]]&gt;tbl_analysis_tickets[[#This Row],[Resolution SLA Hours]],"Breached","Within SLA")</f>
        <v>Within SLA</v>
      </c>
      <c r="N1704" t="str">
        <f>IF(tbl_analysis_tickets[[#This Row],[first_response_minutes]]&gt;tbl_analysis_tickets[[#This Row],[First Response SLA Minutes]],"Breached","Within SLA")</f>
        <v>Within SLA</v>
      </c>
      <c r="O1704" t="str" cm="1">
        <f t="array" ref="O1704">_xlfn.IFS(
tbl_analysis_tickets[[#This Row],[agent_experience_years]]&lt;=2,"Junior",
tbl_analysis_tickets[[#This Row],[agent_experience_years]]&lt;=5,"Mid-Level",
tbl_analysis_tickets[[#This Row],[agent_experience_years]]&lt;=8,"Senior",
tbl_analysis_tickets[[#This Row],[agent_experience_years]]&gt;8,"Expert"
)</f>
        <v>Expert</v>
      </c>
      <c r="P1704" cm="1">
        <f t="array" ref="P1704">_xlfn.SWITCH(tbl_analysis_tickets[[#This Row],[customer_satisfaction]],
"Low",1,
"Medium",2,
"High",3
)</f>
        <v>1</v>
      </c>
      <c r="Q1704">
        <f>IF(tbl_analysis_tickets[[#This Row],[reopened]]="Yes",1,0)</f>
        <v>1</v>
      </c>
      <c r="R1704" t="str" cm="1">
        <f t="array" ref="R1704">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704" t="str" cm="1">
        <f t="array" ref="S170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704" t="str">
        <f>TEXT(tbl_analysis_tickets[[#This Row],[created_date]],"mmm-yyyy")</f>
        <v>May-2024</v>
      </c>
      <c r="U1704" t="str">
        <f>TEXT(tbl_analysis_tickets[[#This Row],[created_date]],"dddd")</f>
        <v>Wednesday</v>
      </c>
      <c r="V1704" cm="1">
        <f t="array" ref="V1704">_xlfn.SWITCH(tbl_analysis_tickets[[#This Row],[priority]],
"Urgent",1,
"High",2,
"Medium",3,
"Low",4
)</f>
        <v>4</v>
      </c>
    </row>
    <row r="1705" spans="1:22" x14ac:dyDescent="0.25">
      <c r="A1705">
        <v>1704</v>
      </c>
      <c r="B1705" s="1">
        <v>45451</v>
      </c>
      <c r="C1705" t="s">
        <v>10</v>
      </c>
      <c r="D1705" t="s">
        <v>17</v>
      </c>
      <c r="E1705">
        <v>22</v>
      </c>
      <c r="F1705">
        <v>64</v>
      </c>
      <c r="G1705">
        <v>0.8</v>
      </c>
      <c r="H1705" t="s">
        <v>12</v>
      </c>
      <c r="I1705" t="s">
        <v>16</v>
      </c>
      <c r="J1705" t="s">
        <v>11</v>
      </c>
      <c r="K1705">
        <f>_xlfn.XLOOKUP(tbl_analysis_tickets[[#This Row],[priority]],tbl_sla[priority],tbl_sla[Resolution SLA Hours])</f>
        <v>8</v>
      </c>
      <c r="L1705">
        <f>_xlfn.XLOOKUP(tbl_analysis_tickets[[#This Row],[priority]],tbl_sla[priority],tbl_sla[First Response SLA Minutes])</f>
        <v>30</v>
      </c>
      <c r="M1705" t="str">
        <f>IF(tbl_analysis_tickets[[#This Row],[resolution_time_hours]]&gt;tbl_analysis_tickets[[#This Row],[Resolution SLA Hours]],"Breached","Within SLA")</f>
        <v>Breached</v>
      </c>
      <c r="N1705" t="str">
        <f>IF(tbl_analysis_tickets[[#This Row],[first_response_minutes]]&gt;tbl_analysis_tickets[[#This Row],[First Response SLA Minutes]],"Breached","Within SLA")</f>
        <v>Within SLA</v>
      </c>
      <c r="O1705" t="str" cm="1">
        <f t="array" ref="O1705">_xlfn.IFS(
tbl_analysis_tickets[[#This Row],[agent_experience_years]]&lt;=2,"Junior",
tbl_analysis_tickets[[#This Row],[agent_experience_years]]&lt;=5,"Mid-Level",
tbl_analysis_tickets[[#This Row],[agent_experience_years]]&lt;=8,"Senior",
tbl_analysis_tickets[[#This Row],[agent_experience_years]]&gt;8,"Expert"
)</f>
        <v>Junior</v>
      </c>
      <c r="P1705" cm="1">
        <f t="array" ref="P1705">_xlfn.SWITCH(tbl_analysis_tickets[[#This Row],[customer_satisfaction]],
"Low",1,
"Medium",2,
"High",3
)</f>
        <v>1</v>
      </c>
      <c r="Q1705">
        <f>IF(tbl_analysis_tickets[[#This Row],[reopened]]="Yes",1,0)</f>
        <v>1</v>
      </c>
      <c r="R1705" t="str" cm="1">
        <f t="array" ref="R1705">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1705" t="str" cm="1">
        <f t="array" ref="S170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705" t="str">
        <f>TEXT(tbl_analysis_tickets[[#This Row],[created_date]],"mmm-yyyy")</f>
        <v>Jun-2024</v>
      </c>
      <c r="U1705" t="str">
        <f>TEXT(tbl_analysis_tickets[[#This Row],[created_date]],"dddd")</f>
        <v>Saturday</v>
      </c>
      <c r="V1705" cm="1">
        <f t="array" ref="V1705">_xlfn.SWITCH(tbl_analysis_tickets[[#This Row],[priority]],
"Urgent",1,
"High",2,
"Medium",3,
"Low",4
)</f>
        <v>1</v>
      </c>
    </row>
    <row r="1706" spans="1:22" x14ac:dyDescent="0.25">
      <c r="A1706">
        <v>1705</v>
      </c>
      <c r="B1706" s="1">
        <v>45584</v>
      </c>
      <c r="C1706" t="s">
        <v>14</v>
      </c>
      <c r="D1706" t="s">
        <v>17</v>
      </c>
      <c r="E1706">
        <v>95</v>
      </c>
      <c r="F1706">
        <v>64</v>
      </c>
      <c r="G1706">
        <v>3.7</v>
      </c>
      <c r="H1706" t="s">
        <v>18</v>
      </c>
      <c r="I1706" t="s">
        <v>13</v>
      </c>
      <c r="J1706" t="s">
        <v>11</v>
      </c>
      <c r="K1706">
        <f>_xlfn.XLOOKUP(tbl_analysis_tickets[[#This Row],[priority]],tbl_sla[priority],tbl_sla[Resolution SLA Hours])</f>
        <v>8</v>
      </c>
      <c r="L1706">
        <f>_xlfn.XLOOKUP(tbl_analysis_tickets[[#This Row],[priority]],tbl_sla[priority],tbl_sla[First Response SLA Minutes])</f>
        <v>30</v>
      </c>
      <c r="M1706" t="str">
        <f>IF(tbl_analysis_tickets[[#This Row],[resolution_time_hours]]&gt;tbl_analysis_tickets[[#This Row],[Resolution SLA Hours]],"Breached","Within SLA")</f>
        <v>Breached</v>
      </c>
      <c r="N1706" t="str">
        <f>IF(tbl_analysis_tickets[[#This Row],[first_response_minutes]]&gt;tbl_analysis_tickets[[#This Row],[First Response SLA Minutes]],"Breached","Within SLA")</f>
        <v>Breached</v>
      </c>
      <c r="O1706" t="str" cm="1">
        <f t="array" ref="O1706">_xlfn.IFS(
tbl_analysis_tickets[[#This Row],[agent_experience_years]]&lt;=2,"Junior",
tbl_analysis_tickets[[#This Row],[agent_experience_years]]&lt;=5,"Mid-Level",
tbl_analysis_tickets[[#This Row],[agent_experience_years]]&lt;=8,"Senior",
tbl_analysis_tickets[[#This Row],[agent_experience_years]]&gt;8,"Expert"
)</f>
        <v>Mid-Level</v>
      </c>
      <c r="P1706" cm="1">
        <f t="array" ref="P1706">_xlfn.SWITCH(tbl_analysis_tickets[[#This Row],[customer_satisfaction]],
"Low",1,
"Medium",2,
"High",3
)</f>
        <v>1</v>
      </c>
      <c r="Q1706">
        <f>IF(tbl_analysis_tickets[[#This Row],[reopened]]="Yes",1,0)</f>
        <v>0</v>
      </c>
      <c r="R1706" t="str" cm="1">
        <f t="array" ref="R1706">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706" t="str" cm="1">
        <f t="array" ref="S170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706" t="str">
        <f>TEXT(tbl_analysis_tickets[[#This Row],[created_date]],"mmm-yyyy")</f>
        <v>Oct-2024</v>
      </c>
      <c r="U1706" t="str">
        <f>TEXT(tbl_analysis_tickets[[#This Row],[created_date]],"dddd")</f>
        <v>Saturday</v>
      </c>
      <c r="V1706" cm="1">
        <f t="array" ref="V1706">_xlfn.SWITCH(tbl_analysis_tickets[[#This Row],[priority]],
"Urgent",1,
"High",2,
"Medium",3,
"Low",4
)</f>
        <v>1</v>
      </c>
    </row>
    <row r="1707" spans="1:22" x14ac:dyDescent="0.25">
      <c r="A1707">
        <v>1706</v>
      </c>
      <c r="B1707" s="1">
        <v>45430</v>
      </c>
      <c r="C1707" t="s">
        <v>23</v>
      </c>
      <c r="D1707" t="s">
        <v>17</v>
      </c>
      <c r="E1707">
        <v>168</v>
      </c>
      <c r="F1707">
        <v>22</v>
      </c>
      <c r="G1707">
        <v>9.9</v>
      </c>
      <c r="H1707" t="s">
        <v>18</v>
      </c>
      <c r="I1707" t="s">
        <v>16</v>
      </c>
      <c r="J1707" t="s">
        <v>11</v>
      </c>
      <c r="K1707">
        <f>_xlfn.XLOOKUP(tbl_analysis_tickets[[#This Row],[priority]],tbl_sla[priority],tbl_sla[Resolution SLA Hours])</f>
        <v>8</v>
      </c>
      <c r="L1707">
        <f>_xlfn.XLOOKUP(tbl_analysis_tickets[[#This Row],[priority]],tbl_sla[priority],tbl_sla[First Response SLA Minutes])</f>
        <v>30</v>
      </c>
      <c r="M1707" t="str">
        <f>IF(tbl_analysis_tickets[[#This Row],[resolution_time_hours]]&gt;tbl_analysis_tickets[[#This Row],[Resolution SLA Hours]],"Breached","Within SLA")</f>
        <v>Breached</v>
      </c>
      <c r="N1707" t="str">
        <f>IF(tbl_analysis_tickets[[#This Row],[first_response_minutes]]&gt;tbl_analysis_tickets[[#This Row],[First Response SLA Minutes]],"Breached","Within SLA")</f>
        <v>Breached</v>
      </c>
      <c r="O1707" t="str" cm="1">
        <f t="array" ref="O1707">_xlfn.IFS(
tbl_analysis_tickets[[#This Row],[agent_experience_years]]&lt;=2,"Junior",
tbl_analysis_tickets[[#This Row],[agent_experience_years]]&lt;=5,"Mid-Level",
tbl_analysis_tickets[[#This Row],[agent_experience_years]]&lt;=8,"Senior",
tbl_analysis_tickets[[#This Row],[agent_experience_years]]&gt;8,"Expert"
)</f>
        <v>Expert</v>
      </c>
      <c r="P1707" cm="1">
        <f t="array" ref="P1707">_xlfn.SWITCH(tbl_analysis_tickets[[#This Row],[customer_satisfaction]],
"Low",1,
"Medium",2,
"High",3
)</f>
        <v>1</v>
      </c>
      <c r="Q1707">
        <f>IF(tbl_analysis_tickets[[#This Row],[reopened]]="Yes",1,0)</f>
        <v>0</v>
      </c>
      <c r="R1707" t="str" cm="1">
        <f t="array" ref="R1707">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707" t="str" cm="1">
        <f t="array" ref="S170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707" t="str">
        <f>TEXT(tbl_analysis_tickets[[#This Row],[created_date]],"mmm-yyyy")</f>
        <v>May-2024</v>
      </c>
      <c r="U1707" t="str">
        <f>TEXT(tbl_analysis_tickets[[#This Row],[created_date]],"dddd")</f>
        <v>Saturday</v>
      </c>
      <c r="V1707" cm="1">
        <f t="array" ref="V1707">_xlfn.SWITCH(tbl_analysis_tickets[[#This Row],[priority]],
"Urgent",1,
"High",2,
"Medium",3,
"Low",4
)</f>
        <v>1</v>
      </c>
    </row>
    <row r="1708" spans="1:22" x14ac:dyDescent="0.25">
      <c r="A1708">
        <v>1707</v>
      </c>
      <c r="B1708" s="1">
        <v>45402</v>
      </c>
      <c r="C1708" t="s">
        <v>23</v>
      </c>
      <c r="D1708" t="s">
        <v>11</v>
      </c>
      <c r="E1708">
        <v>113</v>
      </c>
      <c r="F1708">
        <v>29</v>
      </c>
      <c r="G1708">
        <v>8.1</v>
      </c>
      <c r="H1708" t="s">
        <v>18</v>
      </c>
      <c r="I1708" t="s">
        <v>13</v>
      </c>
      <c r="J1708" t="s">
        <v>15</v>
      </c>
      <c r="K1708">
        <f>_xlfn.XLOOKUP(tbl_analysis_tickets[[#This Row],[priority]],tbl_sla[priority],tbl_sla[Resolution SLA Hours])</f>
        <v>72</v>
      </c>
      <c r="L1708">
        <f>_xlfn.XLOOKUP(tbl_analysis_tickets[[#This Row],[priority]],tbl_sla[priority],tbl_sla[First Response SLA Minutes])</f>
        <v>240</v>
      </c>
      <c r="M1708" t="str">
        <f>IF(tbl_analysis_tickets[[#This Row],[resolution_time_hours]]&gt;tbl_analysis_tickets[[#This Row],[Resolution SLA Hours]],"Breached","Within SLA")</f>
        <v>Within SLA</v>
      </c>
      <c r="N1708" t="str">
        <f>IF(tbl_analysis_tickets[[#This Row],[first_response_minutes]]&gt;tbl_analysis_tickets[[#This Row],[First Response SLA Minutes]],"Breached","Within SLA")</f>
        <v>Within SLA</v>
      </c>
      <c r="O1708" t="str" cm="1">
        <f t="array" ref="O1708">_xlfn.IFS(
tbl_analysis_tickets[[#This Row],[agent_experience_years]]&lt;=2,"Junior",
tbl_analysis_tickets[[#This Row],[agent_experience_years]]&lt;=5,"Mid-Level",
tbl_analysis_tickets[[#This Row],[agent_experience_years]]&lt;=8,"Senior",
tbl_analysis_tickets[[#This Row],[agent_experience_years]]&gt;8,"Expert"
)</f>
        <v>Expert</v>
      </c>
      <c r="P1708" cm="1">
        <f t="array" ref="P1708">_xlfn.SWITCH(tbl_analysis_tickets[[#This Row],[customer_satisfaction]],
"Low",1,
"Medium",2,
"High",3
)</f>
        <v>2</v>
      </c>
      <c r="Q1708">
        <f>IF(tbl_analysis_tickets[[#This Row],[reopened]]="Yes",1,0)</f>
        <v>0</v>
      </c>
      <c r="R1708" t="str" cm="1">
        <f t="array" ref="R1708">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708" t="str" cm="1">
        <f t="array" ref="S170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708" t="str">
        <f>TEXT(tbl_analysis_tickets[[#This Row],[created_date]],"mmm-yyyy")</f>
        <v>Apr-2024</v>
      </c>
      <c r="U1708" t="str">
        <f>TEXT(tbl_analysis_tickets[[#This Row],[created_date]],"dddd")</f>
        <v>Saturday</v>
      </c>
      <c r="V1708" cm="1">
        <f t="array" ref="V1708">_xlfn.SWITCH(tbl_analysis_tickets[[#This Row],[priority]],
"Urgent",1,
"High",2,
"Medium",3,
"Low",4
)</f>
        <v>4</v>
      </c>
    </row>
    <row r="1709" spans="1:22" x14ac:dyDescent="0.25">
      <c r="A1709">
        <v>1708</v>
      </c>
      <c r="B1709" s="1">
        <v>45608</v>
      </c>
      <c r="C1709" t="s">
        <v>22</v>
      </c>
      <c r="D1709" t="s">
        <v>20</v>
      </c>
      <c r="E1709">
        <v>202</v>
      </c>
      <c r="F1709">
        <v>48</v>
      </c>
      <c r="G1709">
        <v>6.7</v>
      </c>
      <c r="H1709" t="s">
        <v>18</v>
      </c>
      <c r="I1709" t="s">
        <v>16</v>
      </c>
      <c r="J1709" t="s">
        <v>11</v>
      </c>
      <c r="K1709">
        <f>_xlfn.XLOOKUP(tbl_analysis_tickets[[#This Row],[priority]],tbl_sla[priority],tbl_sla[Resolution SLA Hours])</f>
        <v>24</v>
      </c>
      <c r="L1709">
        <f>_xlfn.XLOOKUP(tbl_analysis_tickets[[#This Row],[priority]],tbl_sla[priority],tbl_sla[First Response SLA Minutes])</f>
        <v>60</v>
      </c>
      <c r="M1709" t="str">
        <f>IF(tbl_analysis_tickets[[#This Row],[resolution_time_hours]]&gt;tbl_analysis_tickets[[#This Row],[Resolution SLA Hours]],"Breached","Within SLA")</f>
        <v>Breached</v>
      </c>
      <c r="N1709" t="str">
        <f>IF(tbl_analysis_tickets[[#This Row],[first_response_minutes]]&gt;tbl_analysis_tickets[[#This Row],[First Response SLA Minutes]],"Breached","Within SLA")</f>
        <v>Breached</v>
      </c>
      <c r="O1709" t="str" cm="1">
        <f t="array" ref="O1709">_xlfn.IFS(
tbl_analysis_tickets[[#This Row],[agent_experience_years]]&lt;=2,"Junior",
tbl_analysis_tickets[[#This Row],[agent_experience_years]]&lt;=5,"Mid-Level",
tbl_analysis_tickets[[#This Row],[agent_experience_years]]&lt;=8,"Senior",
tbl_analysis_tickets[[#This Row],[agent_experience_years]]&gt;8,"Expert"
)</f>
        <v>Senior</v>
      </c>
      <c r="P1709" cm="1">
        <f t="array" ref="P1709">_xlfn.SWITCH(tbl_analysis_tickets[[#This Row],[customer_satisfaction]],
"Low",1,
"Medium",2,
"High",3
)</f>
        <v>1</v>
      </c>
      <c r="Q1709">
        <f>IF(tbl_analysis_tickets[[#This Row],[reopened]]="Yes",1,0)</f>
        <v>0</v>
      </c>
      <c r="R1709" t="str" cm="1">
        <f t="array" ref="R1709">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709" t="str" cm="1">
        <f t="array" ref="S170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709" t="str">
        <f>TEXT(tbl_analysis_tickets[[#This Row],[created_date]],"mmm-yyyy")</f>
        <v>Nov-2024</v>
      </c>
      <c r="U1709" t="str">
        <f>TEXT(tbl_analysis_tickets[[#This Row],[created_date]],"dddd")</f>
        <v>Tuesday</v>
      </c>
      <c r="V1709" cm="1">
        <f t="array" ref="V1709">_xlfn.SWITCH(tbl_analysis_tickets[[#This Row],[priority]],
"Urgent",1,
"High",2,
"Medium",3,
"Low",4
)</f>
        <v>2</v>
      </c>
    </row>
    <row r="1710" spans="1:22" x14ac:dyDescent="0.25">
      <c r="A1710">
        <v>1709</v>
      </c>
      <c r="B1710" s="1">
        <v>45575</v>
      </c>
      <c r="C1710" t="s">
        <v>21</v>
      </c>
      <c r="D1710" t="s">
        <v>11</v>
      </c>
      <c r="E1710">
        <v>224</v>
      </c>
      <c r="F1710">
        <v>66</v>
      </c>
      <c r="G1710">
        <v>4.5</v>
      </c>
      <c r="H1710" t="s">
        <v>18</v>
      </c>
      <c r="I1710" t="s">
        <v>19</v>
      </c>
      <c r="J1710" t="s">
        <v>11</v>
      </c>
      <c r="K1710">
        <f>_xlfn.XLOOKUP(tbl_analysis_tickets[[#This Row],[priority]],tbl_sla[priority],tbl_sla[Resolution SLA Hours])</f>
        <v>72</v>
      </c>
      <c r="L1710">
        <f>_xlfn.XLOOKUP(tbl_analysis_tickets[[#This Row],[priority]],tbl_sla[priority],tbl_sla[First Response SLA Minutes])</f>
        <v>240</v>
      </c>
      <c r="M1710" t="str">
        <f>IF(tbl_analysis_tickets[[#This Row],[resolution_time_hours]]&gt;tbl_analysis_tickets[[#This Row],[Resolution SLA Hours]],"Breached","Within SLA")</f>
        <v>Within SLA</v>
      </c>
      <c r="N1710" t="str">
        <f>IF(tbl_analysis_tickets[[#This Row],[first_response_minutes]]&gt;tbl_analysis_tickets[[#This Row],[First Response SLA Minutes]],"Breached","Within SLA")</f>
        <v>Within SLA</v>
      </c>
      <c r="O1710" t="str" cm="1">
        <f t="array" ref="O1710">_xlfn.IFS(
tbl_analysis_tickets[[#This Row],[agent_experience_years]]&lt;=2,"Junior",
tbl_analysis_tickets[[#This Row],[agent_experience_years]]&lt;=5,"Mid-Level",
tbl_analysis_tickets[[#This Row],[agent_experience_years]]&lt;=8,"Senior",
tbl_analysis_tickets[[#This Row],[agent_experience_years]]&gt;8,"Expert"
)</f>
        <v>Mid-Level</v>
      </c>
      <c r="P1710" cm="1">
        <f t="array" ref="P1710">_xlfn.SWITCH(tbl_analysis_tickets[[#This Row],[customer_satisfaction]],
"Low",1,
"Medium",2,
"High",3
)</f>
        <v>1</v>
      </c>
      <c r="Q1710">
        <f>IF(tbl_analysis_tickets[[#This Row],[reopened]]="Yes",1,0)</f>
        <v>0</v>
      </c>
      <c r="R1710" t="str" cm="1">
        <f t="array" ref="R1710">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710" t="str" cm="1">
        <f t="array" ref="S171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710" t="str">
        <f>TEXT(tbl_analysis_tickets[[#This Row],[created_date]],"mmm-yyyy")</f>
        <v>Oct-2024</v>
      </c>
      <c r="U1710" t="str">
        <f>TEXT(tbl_analysis_tickets[[#This Row],[created_date]],"dddd")</f>
        <v>Thursday</v>
      </c>
      <c r="V1710" cm="1">
        <f t="array" ref="V1710">_xlfn.SWITCH(tbl_analysis_tickets[[#This Row],[priority]],
"Urgent",1,
"High",2,
"Medium",3,
"Low",4
)</f>
        <v>4</v>
      </c>
    </row>
    <row r="1711" spans="1:22" x14ac:dyDescent="0.25">
      <c r="A1711">
        <v>1710</v>
      </c>
      <c r="B1711" s="1">
        <v>45545</v>
      </c>
      <c r="C1711" t="s">
        <v>22</v>
      </c>
      <c r="D1711" t="s">
        <v>15</v>
      </c>
      <c r="E1711">
        <v>41</v>
      </c>
      <c r="F1711">
        <v>42</v>
      </c>
      <c r="G1711">
        <v>4.5999999999999996</v>
      </c>
      <c r="H1711" t="s">
        <v>12</v>
      </c>
      <c r="I1711" t="s">
        <v>19</v>
      </c>
      <c r="J1711" t="s">
        <v>11</v>
      </c>
      <c r="K1711">
        <f>_xlfn.XLOOKUP(tbl_analysis_tickets[[#This Row],[priority]],tbl_sla[priority],tbl_sla[Resolution SLA Hours])</f>
        <v>48</v>
      </c>
      <c r="L1711">
        <f>_xlfn.XLOOKUP(tbl_analysis_tickets[[#This Row],[priority]],tbl_sla[priority],tbl_sla[First Response SLA Minutes])</f>
        <v>120</v>
      </c>
      <c r="M1711" t="str">
        <f>IF(tbl_analysis_tickets[[#This Row],[resolution_time_hours]]&gt;tbl_analysis_tickets[[#This Row],[Resolution SLA Hours]],"Breached","Within SLA")</f>
        <v>Within SLA</v>
      </c>
      <c r="N1711" t="str">
        <f>IF(tbl_analysis_tickets[[#This Row],[first_response_minutes]]&gt;tbl_analysis_tickets[[#This Row],[First Response SLA Minutes]],"Breached","Within SLA")</f>
        <v>Within SLA</v>
      </c>
      <c r="O1711" t="str" cm="1">
        <f t="array" ref="O1711">_xlfn.IFS(
tbl_analysis_tickets[[#This Row],[agent_experience_years]]&lt;=2,"Junior",
tbl_analysis_tickets[[#This Row],[agent_experience_years]]&lt;=5,"Mid-Level",
tbl_analysis_tickets[[#This Row],[agent_experience_years]]&lt;=8,"Senior",
tbl_analysis_tickets[[#This Row],[agent_experience_years]]&gt;8,"Expert"
)</f>
        <v>Mid-Level</v>
      </c>
      <c r="P1711" cm="1">
        <f t="array" ref="P1711">_xlfn.SWITCH(tbl_analysis_tickets[[#This Row],[customer_satisfaction]],
"Low",1,
"Medium",2,
"High",3
)</f>
        <v>1</v>
      </c>
      <c r="Q1711">
        <f>IF(tbl_analysis_tickets[[#This Row],[reopened]]="Yes",1,0)</f>
        <v>1</v>
      </c>
      <c r="R1711" t="str" cm="1">
        <f t="array" ref="R1711">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711" t="str" cm="1">
        <f t="array" ref="S171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711" t="str">
        <f>TEXT(tbl_analysis_tickets[[#This Row],[created_date]],"mmm-yyyy")</f>
        <v>Sep-2024</v>
      </c>
      <c r="U1711" t="str">
        <f>TEXT(tbl_analysis_tickets[[#This Row],[created_date]],"dddd")</f>
        <v>Tuesday</v>
      </c>
      <c r="V1711" cm="1">
        <f t="array" ref="V1711">_xlfn.SWITCH(tbl_analysis_tickets[[#This Row],[priority]],
"Urgent",1,
"High",2,
"Medium",3,
"Low",4
)</f>
        <v>3</v>
      </c>
    </row>
    <row r="1712" spans="1:22" x14ac:dyDescent="0.25">
      <c r="A1712">
        <v>1711</v>
      </c>
      <c r="B1712" s="1">
        <v>45355</v>
      </c>
      <c r="C1712" t="s">
        <v>10</v>
      </c>
      <c r="D1712" t="s">
        <v>15</v>
      </c>
      <c r="E1712">
        <v>136</v>
      </c>
      <c r="F1712">
        <v>15</v>
      </c>
      <c r="G1712">
        <v>1.1000000000000001</v>
      </c>
      <c r="H1712" t="s">
        <v>12</v>
      </c>
      <c r="I1712" t="s">
        <v>16</v>
      </c>
      <c r="J1712" t="s">
        <v>11</v>
      </c>
      <c r="K1712">
        <f>_xlfn.XLOOKUP(tbl_analysis_tickets[[#This Row],[priority]],tbl_sla[priority],tbl_sla[Resolution SLA Hours])</f>
        <v>48</v>
      </c>
      <c r="L1712">
        <f>_xlfn.XLOOKUP(tbl_analysis_tickets[[#This Row],[priority]],tbl_sla[priority],tbl_sla[First Response SLA Minutes])</f>
        <v>120</v>
      </c>
      <c r="M1712" t="str">
        <f>IF(tbl_analysis_tickets[[#This Row],[resolution_time_hours]]&gt;tbl_analysis_tickets[[#This Row],[Resolution SLA Hours]],"Breached","Within SLA")</f>
        <v>Within SLA</v>
      </c>
      <c r="N1712" t="str">
        <f>IF(tbl_analysis_tickets[[#This Row],[first_response_minutes]]&gt;tbl_analysis_tickets[[#This Row],[First Response SLA Minutes]],"Breached","Within SLA")</f>
        <v>Breached</v>
      </c>
      <c r="O1712" t="str" cm="1">
        <f t="array" ref="O1712">_xlfn.IFS(
tbl_analysis_tickets[[#This Row],[agent_experience_years]]&lt;=2,"Junior",
tbl_analysis_tickets[[#This Row],[agent_experience_years]]&lt;=5,"Mid-Level",
tbl_analysis_tickets[[#This Row],[agent_experience_years]]&lt;=8,"Senior",
tbl_analysis_tickets[[#This Row],[agent_experience_years]]&gt;8,"Expert"
)</f>
        <v>Junior</v>
      </c>
      <c r="P1712" cm="1">
        <f t="array" ref="P1712">_xlfn.SWITCH(tbl_analysis_tickets[[#This Row],[customer_satisfaction]],
"Low",1,
"Medium",2,
"High",3
)</f>
        <v>1</v>
      </c>
      <c r="Q1712">
        <f>IF(tbl_analysis_tickets[[#This Row],[reopened]]="Yes",1,0)</f>
        <v>1</v>
      </c>
      <c r="R1712" t="str" cm="1">
        <f t="array" ref="R1712">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712" t="str" cm="1">
        <f t="array" ref="S171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712" t="str">
        <f>TEXT(tbl_analysis_tickets[[#This Row],[created_date]],"mmm-yyyy")</f>
        <v>Mar-2024</v>
      </c>
      <c r="U1712" t="str">
        <f>TEXT(tbl_analysis_tickets[[#This Row],[created_date]],"dddd")</f>
        <v>Monday</v>
      </c>
      <c r="V1712" cm="1">
        <f t="array" ref="V1712">_xlfn.SWITCH(tbl_analysis_tickets[[#This Row],[priority]],
"Urgent",1,
"High",2,
"Medium",3,
"Low",4
)</f>
        <v>3</v>
      </c>
    </row>
    <row r="1713" spans="1:22" x14ac:dyDescent="0.25">
      <c r="A1713">
        <v>1712</v>
      </c>
      <c r="B1713" s="1">
        <v>45635</v>
      </c>
      <c r="C1713" t="s">
        <v>10</v>
      </c>
      <c r="D1713" t="s">
        <v>20</v>
      </c>
      <c r="E1713">
        <v>53</v>
      </c>
      <c r="F1713">
        <v>36</v>
      </c>
      <c r="G1713">
        <v>0.9</v>
      </c>
      <c r="H1713" t="s">
        <v>12</v>
      </c>
      <c r="I1713" t="s">
        <v>16</v>
      </c>
      <c r="J1713" t="s">
        <v>11</v>
      </c>
      <c r="K1713">
        <f>_xlfn.XLOOKUP(tbl_analysis_tickets[[#This Row],[priority]],tbl_sla[priority],tbl_sla[Resolution SLA Hours])</f>
        <v>24</v>
      </c>
      <c r="L1713">
        <f>_xlfn.XLOOKUP(tbl_analysis_tickets[[#This Row],[priority]],tbl_sla[priority],tbl_sla[First Response SLA Minutes])</f>
        <v>60</v>
      </c>
      <c r="M1713" t="str">
        <f>IF(tbl_analysis_tickets[[#This Row],[resolution_time_hours]]&gt;tbl_analysis_tickets[[#This Row],[Resolution SLA Hours]],"Breached","Within SLA")</f>
        <v>Breached</v>
      </c>
      <c r="N1713" t="str">
        <f>IF(tbl_analysis_tickets[[#This Row],[first_response_minutes]]&gt;tbl_analysis_tickets[[#This Row],[First Response SLA Minutes]],"Breached","Within SLA")</f>
        <v>Within SLA</v>
      </c>
      <c r="O1713" t="str" cm="1">
        <f t="array" ref="O1713">_xlfn.IFS(
tbl_analysis_tickets[[#This Row],[agent_experience_years]]&lt;=2,"Junior",
tbl_analysis_tickets[[#This Row],[agent_experience_years]]&lt;=5,"Mid-Level",
tbl_analysis_tickets[[#This Row],[agent_experience_years]]&lt;=8,"Senior",
tbl_analysis_tickets[[#This Row],[agent_experience_years]]&gt;8,"Expert"
)</f>
        <v>Junior</v>
      </c>
      <c r="P1713" cm="1">
        <f t="array" ref="P1713">_xlfn.SWITCH(tbl_analysis_tickets[[#This Row],[customer_satisfaction]],
"Low",1,
"Medium",2,
"High",3
)</f>
        <v>1</v>
      </c>
      <c r="Q1713">
        <f>IF(tbl_analysis_tickets[[#This Row],[reopened]]="Yes",1,0)</f>
        <v>1</v>
      </c>
      <c r="R1713" t="str" cm="1">
        <f t="array" ref="R1713">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713" t="str" cm="1">
        <f t="array" ref="S171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713" t="str">
        <f>TEXT(tbl_analysis_tickets[[#This Row],[created_date]],"mmm-yyyy")</f>
        <v>Dec-2024</v>
      </c>
      <c r="U1713" t="str">
        <f>TEXT(tbl_analysis_tickets[[#This Row],[created_date]],"dddd")</f>
        <v>Monday</v>
      </c>
      <c r="V1713" cm="1">
        <f t="array" ref="V1713">_xlfn.SWITCH(tbl_analysis_tickets[[#This Row],[priority]],
"Urgent",1,
"High",2,
"Medium",3,
"Low",4
)</f>
        <v>2</v>
      </c>
    </row>
    <row r="1714" spans="1:22" x14ac:dyDescent="0.25">
      <c r="A1714">
        <v>1713</v>
      </c>
      <c r="B1714" s="1">
        <v>45636</v>
      </c>
      <c r="C1714" t="s">
        <v>23</v>
      </c>
      <c r="D1714" t="s">
        <v>11</v>
      </c>
      <c r="E1714">
        <v>80</v>
      </c>
      <c r="F1714">
        <v>23</v>
      </c>
      <c r="G1714">
        <v>0.6</v>
      </c>
      <c r="H1714" t="s">
        <v>18</v>
      </c>
      <c r="I1714" t="s">
        <v>16</v>
      </c>
      <c r="J1714" t="s">
        <v>11</v>
      </c>
      <c r="K1714">
        <f>_xlfn.XLOOKUP(tbl_analysis_tickets[[#This Row],[priority]],tbl_sla[priority],tbl_sla[Resolution SLA Hours])</f>
        <v>72</v>
      </c>
      <c r="L1714">
        <f>_xlfn.XLOOKUP(tbl_analysis_tickets[[#This Row],[priority]],tbl_sla[priority],tbl_sla[First Response SLA Minutes])</f>
        <v>240</v>
      </c>
      <c r="M1714" t="str">
        <f>IF(tbl_analysis_tickets[[#This Row],[resolution_time_hours]]&gt;tbl_analysis_tickets[[#This Row],[Resolution SLA Hours]],"Breached","Within SLA")</f>
        <v>Within SLA</v>
      </c>
      <c r="N1714" t="str">
        <f>IF(tbl_analysis_tickets[[#This Row],[first_response_minutes]]&gt;tbl_analysis_tickets[[#This Row],[First Response SLA Minutes]],"Breached","Within SLA")</f>
        <v>Within SLA</v>
      </c>
      <c r="O1714" t="str" cm="1">
        <f t="array" ref="O1714">_xlfn.IFS(
tbl_analysis_tickets[[#This Row],[agent_experience_years]]&lt;=2,"Junior",
tbl_analysis_tickets[[#This Row],[agent_experience_years]]&lt;=5,"Mid-Level",
tbl_analysis_tickets[[#This Row],[agent_experience_years]]&lt;=8,"Senior",
tbl_analysis_tickets[[#This Row],[agent_experience_years]]&gt;8,"Expert"
)</f>
        <v>Junior</v>
      </c>
      <c r="P1714" cm="1">
        <f t="array" ref="P1714">_xlfn.SWITCH(tbl_analysis_tickets[[#This Row],[customer_satisfaction]],
"Low",1,
"Medium",2,
"High",3
)</f>
        <v>1</v>
      </c>
      <c r="Q1714">
        <f>IF(tbl_analysis_tickets[[#This Row],[reopened]]="Yes",1,0)</f>
        <v>0</v>
      </c>
      <c r="R1714" t="str" cm="1">
        <f t="array" ref="R1714">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714" t="str" cm="1">
        <f t="array" ref="S171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714" t="str">
        <f>TEXT(tbl_analysis_tickets[[#This Row],[created_date]],"mmm-yyyy")</f>
        <v>Dec-2024</v>
      </c>
      <c r="U1714" t="str">
        <f>TEXT(tbl_analysis_tickets[[#This Row],[created_date]],"dddd")</f>
        <v>Tuesday</v>
      </c>
      <c r="V1714" cm="1">
        <f t="array" ref="V1714">_xlfn.SWITCH(tbl_analysis_tickets[[#This Row],[priority]],
"Urgent",1,
"High",2,
"Medium",3,
"Low",4
)</f>
        <v>4</v>
      </c>
    </row>
    <row r="1715" spans="1:22" x14ac:dyDescent="0.25">
      <c r="A1715">
        <v>1714</v>
      </c>
      <c r="B1715" s="1">
        <v>45597</v>
      </c>
      <c r="C1715" t="s">
        <v>22</v>
      </c>
      <c r="D1715" t="s">
        <v>17</v>
      </c>
      <c r="E1715">
        <v>210</v>
      </c>
      <c r="F1715">
        <v>30</v>
      </c>
      <c r="G1715">
        <v>3.4</v>
      </c>
      <c r="H1715" t="s">
        <v>18</v>
      </c>
      <c r="I1715" t="s">
        <v>16</v>
      </c>
      <c r="J1715" t="s">
        <v>11</v>
      </c>
      <c r="K1715">
        <f>_xlfn.XLOOKUP(tbl_analysis_tickets[[#This Row],[priority]],tbl_sla[priority],tbl_sla[Resolution SLA Hours])</f>
        <v>8</v>
      </c>
      <c r="L1715">
        <f>_xlfn.XLOOKUP(tbl_analysis_tickets[[#This Row],[priority]],tbl_sla[priority],tbl_sla[First Response SLA Minutes])</f>
        <v>30</v>
      </c>
      <c r="M1715" t="str">
        <f>IF(tbl_analysis_tickets[[#This Row],[resolution_time_hours]]&gt;tbl_analysis_tickets[[#This Row],[Resolution SLA Hours]],"Breached","Within SLA")</f>
        <v>Breached</v>
      </c>
      <c r="N1715" t="str">
        <f>IF(tbl_analysis_tickets[[#This Row],[first_response_minutes]]&gt;tbl_analysis_tickets[[#This Row],[First Response SLA Minutes]],"Breached","Within SLA")</f>
        <v>Breached</v>
      </c>
      <c r="O1715" t="str" cm="1">
        <f t="array" ref="O1715">_xlfn.IFS(
tbl_analysis_tickets[[#This Row],[agent_experience_years]]&lt;=2,"Junior",
tbl_analysis_tickets[[#This Row],[agent_experience_years]]&lt;=5,"Mid-Level",
tbl_analysis_tickets[[#This Row],[agent_experience_years]]&lt;=8,"Senior",
tbl_analysis_tickets[[#This Row],[agent_experience_years]]&gt;8,"Expert"
)</f>
        <v>Mid-Level</v>
      </c>
      <c r="P1715" cm="1">
        <f t="array" ref="P1715">_xlfn.SWITCH(tbl_analysis_tickets[[#This Row],[customer_satisfaction]],
"Low",1,
"Medium",2,
"High",3
)</f>
        <v>1</v>
      </c>
      <c r="Q1715">
        <f>IF(tbl_analysis_tickets[[#This Row],[reopened]]="Yes",1,0)</f>
        <v>0</v>
      </c>
      <c r="R1715" t="str" cm="1">
        <f t="array" ref="R1715">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715" t="str" cm="1">
        <f t="array" ref="S171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715" t="str">
        <f>TEXT(tbl_analysis_tickets[[#This Row],[created_date]],"mmm-yyyy")</f>
        <v>Nov-2024</v>
      </c>
      <c r="U1715" t="str">
        <f>TEXT(tbl_analysis_tickets[[#This Row],[created_date]],"dddd")</f>
        <v>Friday</v>
      </c>
      <c r="V1715" cm="1">
        <f t="array" ref="V1715">_xlfn.SWITCH(tbl_analysis_tickets[[#This Row],[priority]],
"Urgent",1,
"High",2,
"Medium",3,
"Low",4
)</f>
        <v>1</v>
      </c>
    </row>
    <row r="1716" spans="1:22" x14ac:dyDescent="0.25">
      <c r="A1716">
        <v>1715</v>
      </c>
      <c r="B1716" s="1">
        <v>45616</v>
      </c>
      <c r="C1716" t="s">
        <v>23</v>
      </c>
      <c r="D1716" t="s">
        <v>17</v>
      </c>
      <c r="E1716">
        <v>211</v>
      </c>
      <c r="F1716">
        <v>22</v>
      </c>
      <c r="G1716">
        <v>5.8</v>
      </c>
      <c r="H1716" t="s">
        <v>18</v>
      </c>
      <c r="I1716" t="s">
        <v>16</v>
      </c>
      <c r="J1716" t="s">
        <v>11</v>
      </c>
      <c r="K1716">
        <f>_xlfn.XLOOKUP(tbl_analysis_tickets[[#This Row],[priority]],tbl_sla[priority],tbl_sla[Resolution SLA Hours])</f>
        <v>8</v>
      </c>
      <c r="L1716">
        <f>_xlfn.XLOOKUP(tbl_analysis_tickets[[#This Row],[priority]],tbl_sla[priority],tbl_sla[First Response SLA Minutes])</f>
        <v>30</v>
      </c>
      <c r="M1716" t="str">
        <f>IF(tbl_analysis_tickets[[#This Row],[resolution_time_hours]]&gt;tbl_analysis_tickets[[#This Row],[Resolution SLA Hours]],"Breached","Within SLA")</f>
        <v>Breached</v>
      </c>
      <c r="N1716" t="str">
        <f>IF(tbl_analysis_tickets[[#This Row],[first_response_minutes]]&gt;tbl_analysis_tickets[[#This Row],[First Response SLA Minutes]],"Breached","Within SLA")</f>
        <v>Breached</v>
      </c>
      <c r="O1716" t="str" cm="1">
        <f t="array" ref="O1716">_xlfn.IFS(
tbl_analysis_tickets[[#This Row],[agent_experience_years]]&lt;=2,"Junior",
tbl_analysis_tickets[[#This Row],[agent_experience_years]]&lt;=5,"Mid-Level",
tbl_analysis_tickets[[#This Row],[agent_experience_years]]&lt;=8,"Senior",
tbl_analysis_tickets[[#This Row],[agent_experience_years]]&gt;8,"Expert"
)</f>
        <v>Senior</v>
      </c>
      <c r="P1716" cm="1">
        <f t="array" ref="P1716">_xlfn.SWITCH(tbl_analysis_tickets[[#This Row],[customer_satisfaction]],
"Low",1,
"Medium",2,
"High",3
)</f>
        <v>1</v>
      </c>
      <c r="Q1716">
        <f>IF(tbl_analysis_tickets[[#This Row],[reopened]]="Yes",1,0)</f>
        <v>0</v>
      </c>
      <c r="R1716" t="str" cm="1">
        <f t="array" ref="R1716">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716" t="str" cm="1">
        <f t="array" ref="S171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716" t="str">
        <f>TEXT(tbl_analysis_tickets[[#This Row],[created_date]],"mmm-yyyy")</f>
        <v>Nov-2024</v>
      </c>
      <c r="U1716" t="str">
        <f>TEXT(tbl_analysis_tickets[[#This Row],[created_date]],"dddd")</f>
        <v>Wednesday</v>
      </c>
      <c r="V1716" cm="1">
        <f t="array" ref="V1716">_xlfn.SWITCH(tbl_analysis_tickets[[#This Row],[priority]],
"Urgent",1,
"High",2,
"Medium",3,
"Low",4
)</f>
        <v>1</v>
      </c>
    </row>
    <row r="1717" spans="1:22" x14ac:dyDescent="0.25">
      <c r="A1717">
        <v>1716</v>
      </c>
      <c r="B1717" s="1">
        <v>45328</v>
      </c>
      <c r="C1717" t="s">
        <v>21</v>
      </c>
      <c r="D1717" t="s">
        <v>15</v>
      </c>
      <c r="E1717">
        <v>69</v>
      </c>
      <c r="F1717">
        <v>15</v>
      </c>
      <c r="G1717">
        <v>4.7</v>
      </c>
      <c r="H1717" t="s">
        <v>12</v>
      </c>
      <c r="I1717" t="s">
        <v>19</v>
      </c>
      <c r="J1717" t="s">
        <v>11</v>
      </c>
      <c r="K1717">
        <f>_xlfn.XLOOKUP(tbl_analysis_tickets[[#This Row],[priority]],tbl_sla[priority],tbl_sla[Resolution SLA Hours])</f>
        <v>48</v>
      </c>
      <c r="L1717">
        <f>_xlfn.XLOOKUP(tbl_analysis_tickets[[#This Row],[priority]],tbl_sla[priority],tbl_sla[First Response SLA Minutes])</f>
        <v>120</v>
      </c>
      <c r="M1717" t="str">
        <f>IF(tbl_analysis_tickets[[#This Row],[resolution_time_hours]]&gt;tbl_analysis_tickets[[#This Row],[Resolution SLA Hours]],"Breached","Within SLA")</f>
        <v>Within SLA</v>
      </c>
      <c r="N1717" t="str">
        <f>IF(tbl_analysis_tickets[[#This Row],[first_response_minutes]]&gt;tbl_analysis_tickets[[#This Row],[First Response SLA Minutes]],"Breached","Within SLA")</f>
        <v>Within SLA</v>
      </c>
      <c r="O1717" t="str" cm="1">
        <f t="array" ref="O1717">_xlfn.IFS(
tbl_analysis_tickets[[#This Row],[agent_experience_years]]&lt;=2,"Junior",
tbl_analysis_tickets[[#This Row],[agent_experience_years]]&lt;=5,"Mid-Level",
tbl_analysis_tickets[[#This Row],[agent_experience_years]]&lt;=8,"Senior",
tbl_analysis_tickets[[#This Row],[agent_experience_years]]&gt;8,"Expert"
)</f>
        <v>Mid-Level</v>
      </c>
      <c r="P1717" cm="1">
        <f t="array" ref="P1717">_xlfn.SWITCH(tbl_analysis_tickets[[#This Row],[customer_satisfaction]],
"Low",1,
"Medium",2,
"High",3
)</f>
        <v>1</v>
      </c>
      <c r="Q1717">
        <f>IF(tbl_analysis_tickets[[#This Row],[reopened]]="Yes",1,0)</f>
        <v>1</v>
      </c>
      <c r="R1717" t="str" cm="1">
        <f t="array" ref="R1717">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717" t="str" cm="1">
        <f t="array" ref="S171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717" t="str">
        <f>TEXT(tbl_analysis_tickets[[#This Row],[created_date]],"mmm-yyyy")</f>
        <v>Feb-2024</v>
      </c>
      <c r="U1717" t="str">
        <f>TEXT(tbl_analysis_tickets[[#This Row],[created_date]],"dddd")</f>
        <v>Tuesday</v>
      </c>
      <c r="V1717" cm="1">
        <f t="array" ref="V1717">_xlfn.SWITCH(tbl_analysis_tickets[[#This Row],[priority]],
"Urgent",1,
"High",2,
"Medium",3,
"Low",4
)</f>
        <v>3</v>
      </c>
    </row>
    <row r="1718" spans="1:22" x14ac:dyDescent="0.25">
      <c r="A1718">
        <v>1717</v>
      </c>
      <c r="B1718" s="1">
        <v>45455</v>
      </c>
      <c r="C1718" t="s">
        <v>22</v>
      </c>
      <c r="D1718" t="s">
        <v>11</v>
      </c>
      <c r="E1718">
        <v>198</v>
      </c>
      <c r="F1718">
        <v>32</v>
      </c>
      <c r="G1718">
        <v>1.6</v>
      </c>
      <c r="H1718" t="s">
        <v>12</v>
      </c>
      <c r="I1718" t="s">
        <v>13</v>
      </c>
      <c r="J1718" t="s">
        <v>11</v>
      </c>
      <c r="K1718">
        <f>_xlfn.XLOOKUP(tbl_analysis_tickets[[#This Row],[priority]],tbl_sla[priority],tbl_sla[Resolution SLA Hours])</f>
        <v>72</v>
      </c>
      <c r="L1718">
        <f>_xlfn.XLOOKUP(tbl_analysis_tickets[[#This Row],[priority]],tbl_sla[priority],tbl_sla[First Response SLA Minutes])</f>
        <v>240</v>
      </c>
      <c r="M1718" t="str">
        <f>IF(tbl_analysis_tickets[[#This Row],[resolution_time_hours]]&gt;tbl_analysis_tickets[[#This Row],[Resolution SLA Hours]],"Breached","Within SLA")</f>
        <v>Within SLA</v>
      </c>
      <c r="N1718" t="str">
        <f>IF(tbl_analysis_tickets[[#This Row],[first_response_minutes]]&gt;tbl_analysis_tickets[[#This Row],[First Response SLA Minutes]],"Breached","Within SLA")</f>
        <v>Within SLA</v>
      </c>
      <c r="O1718" t="str" cm="1">
        <f t="array" ref="O1718">_xlfn.IFS(
tbl_analysis_tickets[[#This Row],[agent_experience_years]]&lt;=2,"Junior",
tbl_analysis_tickets[[#This Row],[agent_experience_years]]&lt;=5,"Mid-Level",
tbl_analysis_tickets[[#This Row],[agent_experience_years]]&lt;=8,"Senior",
tbl_analysis_tickets[[#This Row],[agent_experience_years]]&gt;8,"Expert"
)</f>
        <v>Junior</v>
      </c>
      <c r="P1718" cm="1">
        <f t="array" ref="P1718">_xlfn.SWITCH(tbl_analysis_tickets[[#This Row],[customer_satisfaction]],
"Low",1,
"Medium",2,
"High",3
)</f>
        <v>1</v>
      </c>
      <c r="Q1718">
        <f>IF(tbl_analysis_tickets[[#This Row],[reopened]]="Yes",1,0)</f>
        <v>1</v>
      </c>
      <c r="R1718" t="str" cm="1">
        <f t="array" ref="R1718">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718" t="str" cm="1">
        <f t="array" ref="S171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718" t="str">
        <f>TEXT(tbl_analysis_tickets[[#This Row],[created_date]],"mmm-yyyy")</f>
        <v>Jun-2024</v>
      </c>
      <c r="U1718" t="str">
        <f>TEXT(tbl_analysis_tickets[[#This Row],[created_date]],"dddd")</f>
        <v>Wednesday</v>
      </c>
      <c r="V1718" cm="1">
        <f t="array" ref="V1718">_xlfn.SWITCH(tbl_analysis_tickets[[#This Row],[priority]],
"Urgent",1,
"High",2,
"Medium",3,
"Low",4
)</f>
        <v>4</v>
      </c>
    </row>
    <row r="1719" spans="1:22" x14ac:dyDescent="0.25">
      <c r="A1719">
        <v>1718</v>
      </c>
      <c r="B1719" s="1">
        <v>45498</v>
      </c>
      <c r="C1719" t="s">
        <v>22</v>
      </c>
      <c r="D1719" t="s">
        <v>15</v>
      </c>
      <c r="E1719">
        <v>199</v>
      </c>
      <c r="F1719">
        <v>61</v>
      </c>
      <c r="G1719">
        <v>3.8</v>
      </c>
      <c r="H1719" t="s">
        <v>12</v>
      </c>
      <c r="I1719" t="s">
        <v>13</v>
      </c>
      <c r="J1719" t="s">
        <v>11</v>
      </c>
      <c r="K1719">
        <f>_xlfn.XLOOKUP(tbl_analysis_tickets[[#This Row],[priority]],tbl_sla[priority],tbl_sla[Resolution SLA Hours])</f>
        <v>48</v>
      </c>
      <c r="L1719">
        <f>_xlfn.XLOOKUP(tbl_analysis_tickets[[#This Row],[priority]],tbl_sla[priority],tbl_sla[First Response SLA Minutes])</f>
        <v>120</v>
      </c>
      <c r="M1719" t="str">
        <f>IF(tbl_analysis_tickets[[#This Row],[resolution_time_hours]]&gt;tbl_analysis_tickets[[#This Row],[Resolution SLA Hours]],"Breached","Within SLA")</f>
        <v>Breached</v>
      </c>
      <c r="N1719" t="str">
        <f>IF(tbl_analysis_tickets[[#This Row],[first_response_minutes]]&gt;tbl_analysis_tickets[[#This Row],[First Response SLA Minutes]],"Breached","Within SLA")</f>
        <v>Breached</v>
      </c>
      <c r="O1719" t="str" cm="1">
        <f t="array" ref="O1719">_xlfn.IFS(
tbl_analysis_tickets[[#This Row],[agent_experience_years]]&lt;=2,"Junior",
tbl_analysis_tickets[[#This Row],[agent_experience_years]]&lt;=5,"Mid-Level",
tbl_analysis_tickets[[#This Row],[agent_experience_years]]&lt;=8,"Senior",
tbl_analysis_tickets[[#This Row],[agent_experience_years]]&gt;8,"Expert"
)</f>
        <v>Mid-Level</v>
      </c>
      <c r="P1719" cm="1">
        <f t="array" ref="P1719">_xlfn.SWITCH(tbl_analysis_tickets[[#This Row],[customer_satisfaction]],
"Low",1,
"Medium",2,
"High",3
)</f>
        <v>1</v>
      </c>
      <c r="Q1719">
        <f>IF(tbl_analysis_tickets[[#This Row],[reopened]]="Yes",1,0)</f>
        <v>1</v>
      </c>
      <c r="R1719" t="str" cm="1">
        <f t="array" ref="R1719">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719" t="str" cm="1">
        <f t="array" ref="S171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719" t="str">
        <f>TEXT(tbl_analysis_tickets[[#This Row],[created_date]],"mmm-yyyy")</f>
        <v>Jul-2024</v>
      </c>
      <c r="U1719" t="str">
        <f>TEXT(tbl_analysis_tickets[[#This Row],[created_date]],"dddd")</f>
        <v>Thursday</v>
      </c>
      <c r="V1719" cm="1">
        <f t="array" ref="V1719">_xlfn.SWITCH(tbl_analysis_tickets[[#This Row],[priority]],
"Urgent",1,
"High",2,
"Medium",3,
"Low",4
)</f>
        <v>3</v>
      </c>
    </row>
    <row r="1720" spans="1:22" x14ac:dyDescent="0.25">
      <c r="A1720">
        <v>1719</v>
      </c>
      <c r="B1720" s="1">
        <v>45535</v>
      </c>
      <c r="C1720" t="s">
        <v>22</v>
      </c>
      <c r="D1720" t="s">
        <v>15</v>
      </c>
      <c r="E1720">
        <v>107</v>
      </c>
      <c r="F1720">
        <v>69</v>
      </c>
      <c r="G1720">
        <v>9.5</v>
      </c>
      <c r="H1720" t="s">
        <v>12</v>
      </c>
      <c r="I1720" t="s">
        <v>13</v>
      </c>
      <c r="J1720" t="s">
        <v>11</v>
      </c>
      <c r="K1720">
        <f>_xlfn.XLOOKUP(tbl_analysis_tickets[[#This Row],[priority]],tbl_sla[priority],tbl_sla[Resolution SLA Hours])</f>
        <v>48</v>
      </c>
      <c r="L1720">
        <f>_xlfn.XLOOKUP(tbl_analysis_tickets[[#This Row],[priority]],tbl_sla[priority],tbl_sla[First Response SLA Minutes])</f>
        <v>120</v>
      </c>
      <c r="M1720" t="str">
        <f>IF(tbl_analysis_tickets[[#This Row],[resolution_time_hours]]&gt;tbl_analysis_tickets[[#This Row],[Resolution SLA Hours]],"Breached","Within SLA")</f>
        <v>Breached</v>
      </c>
      <c r="N1720" t="str">
        <f>IF(tbl_analysis_tickets[[#This Row],[first_response_minutes]]&gt;tbl_analysis_tickets[[#This Row],[First Response SLA Minutes]],"Breached","Within SLA")</f>
        <v>Within SLA</v>
      </c>
      <c r="O1720" t="str" cm="1">
        <f t="array" ref="O1720">_xlfn.IFS(
tbl_analysis_tickets[[#This Row],[agent_experience_years]]&lt;=2,"Junior",
tbl_analysis_tickets[[#This Row],[agent_experience_years]]&lt;=5,"Mid-Level",
tbl_analysis_tickets[[#This Row],[agent_experience_years]]&lt;=8,"Senior",
tbl_analysis_tickets[[#This Row],[agent_experience_years]]&gt;8,"Expert"
)</f>
        <v>Expert</v>
      </c>
      <c r="P1720" cm="1">
        <f t="array" ref="P1720">_xlfn.SWITCH(tbl_analysis_tickets[[#This Row],[customer_satisfaction]],
"Low",1,
"Medium",2,
"High",3
)</f>
        <v>1</v>
      </c>
      <c r="Q1720">
        <f>IF(tbl_analysis_tickets[[#This Row],[reopened]]="Yes",1,0)</f>
        <v>1</v>
      </c>
      <c r="R1720" t="str" cm="1">
        <f t="array" ref="R1720">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720" t="str" cm="1">
        <f t="array" ref="S172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720" t="str">
        <f>TEXT(tbl_analysis_tickets[[#This Row],[created_date]],"mmm-yyyy")</f>
        <v>Aug-2024</v>
      </c>
      <c r="U1720" t="str">
        <f>TEXT(tbl_analysis_tickets[[#This Row],[created_date]],"dddd")</f>
        <v>Saturday</v>
      </c>
      <c r="V1720" cm="1">
        <f t="array" ref="V1720">_xlfn.SWITCH(tbl_analysis_tickets[[#This Row],[priority]],
"Urgent",1,
"High",2,
"Medium",3,
"Low",4
)</f>
        <v>3</v>
      </c>
    </row>
    <row r="1721" spans="1:22" x14ac:dyDescent="0.25">
      <c r="A1721">
        <v>1720</v>
      </c>
      <c r="B1721" s="1">
        <v>45502</v>
      </c>
      <c r="C1721" t="s">
        <v>22</v>
      </c>
      <c r="D1721" t="s">
        <v>11</v>
      </c>
      <c r="E1721">
        <v>153</v>
      </c>
      <c r="F1721">
        <v>48</v>
      </c>
      <c r="G1721">
        <v>9.1999999999999993</v>
      </c>
      <c r="H1721" t="s">
        <v>18</v>
      </c>
      <c r="I1721" t="s">
        <v>19</v>
      </c>
      <c r="J1721" t="s">
        <v>15</v>
      </c>
      <c r="K1721">
        <f>_xlfn.XLOOKUP(tbl_analysis_tickets[[#This Row],[priority]],tbl_sla[priority],tbl_sla[Resolution SLA Hours])</f>
        <v>72</v>
      </c>
      <c r="L1721">
        <f>_xlfn.XLOOKUP(tbl_analysis_tickets[[#This Row],[priority]],tbl_sla[priority],tbl_sla[First Response SLA Minutes])</f>
        <v>240</v>
      </c>
      <c r="M1721" t="str">
        <f>IF(tbl_analysis_tickets[[#This Row],[resolution_time_hours]]&gt;tbl_analysis_tickets[[#This Row],[Resolution SLA Hours]],"Breached","Within SLA")</f>
        <v>Within SLA</v>
      </c>
      <c r="N1721" t="str">
        <f>IF(tbl_analysis_tickets[[#This Row],[first_response_minutes]]&gt;tbl_analysis_tickets[[#This Row],[First Response SLA Minutes]],"Breached","Within SLA")</f>
        <v>Within SLA</v>
      </c>
      <c r="O1721" t="str" cm="1">
        <f t="array" ref="O1721">_xlfn.IFS(
tbl_analysis_tickets[[#This Row],[agent_experience_years]]&lt;=2,"Junior",
tbl_analysis_tickets[[#This Row],[agent_experience_years]]&lt;=5,"Mid-Level",
tbl_analysis_tickets[[#This Row],[agent_experience_years]]&lt;=8,"Senior",
tbl_analysis_tickets[[#This Row],[agent_experience_years]]&gt;8,"Expert"
)</f>
        <v>Expert</v>
      </c>
      <c r="P1721" cm="1">
        <f t="array" ref="P1721">_xlfn.SWITCH(tbl_analysis_tickets[[#This Row],[customer_satisfaction]],
"Low",1,
"Medium",2,
"High",3
)</f>
        <v>2</v>
      </c>
      <c r="Q1721">
        <f>IF(tbl_analysis_tickets[[#This Row],[reopened]]="Yes",1,0)</f>
        <v>0</v>
      </c>
      <c r="R1721" t="str" cm="1">
        <f t="array" ref="R1721">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721" t="str" cm="1">
        <f t="array" ref="S172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721" t="str">
        <f>TEXT(tbl_analysis_tickets[[#This Row],[created_date]],"mmm-yyyy")</f>
        <v>Jul-2024</v>
      </c>
      <c r="U1721" t="str">
        <f>TEXT(tbl_analysis_tickets[[#This Row],[created_date]],"dddd")</f>
        <v>Monday</v>
      </c>
      <c r="V1721" cm="1">
        <f t="array" ref="V1721">_xlfn.SWITCH(tbl_analysis_tickets[[#This Row],[priority]],
"Urgent",1,
"High",2,
"Medium",3,
"Low",4
)</f>
        <v>4</v>
      </c>
    </row>
    <row r="1722" spans="1:22" x14ac:dyDescent="0.25">
      <c r="A1722">
        <v>1721</v>
      </c>
      <c r="B1722" s="1">
        <v>45372</v>
      </c>
      <c r="C1722" t="s">
        <v>23</v>
      </c>
      <c r="D1722" t="s">
        <v>20</v>
      </c>
      <c r="E1722">
        <v>187</v>
      </c>
      <c r="F1722">
        <v>18</v>
      </c>
      <c r="G1722">
        <v>1.9</v>
      </c>
      <c r="H1722" t="s">
        <v>12</v>
      </c>
      <c r="I1722" t="s">
        <v>13</v>
      </c>
      <c r="J1722" t="s">
        <v>11</v>
      </c>
      <c r="K1722">
        <f>_xlfn.XLOOKUP(tbl_analysis_tickets[[#This Row],[priority]],tbl_sla[priority],tbl_sla[Resolution SLA Hours])</f>
        <v>24</v>
      </c>
      <c r="L1722">
        <f>_xlfn.XLOOKUP(tbl_analysis_tickets[[#This Row],[priority]],tbl_sla[priority],tbl_sla[First Response SLA Minutes])</f>
        <v>60</v>
      </c>
      <c r="M1722" t="str">
        <f>IF(tbl_analysis_tickets[[#This Row],[resolution_time_hours]]&gt;tbl_analysis_tickets[[#This Row],[Resolution SLA Hours]],"Breached","Within SLA")</f>
        <v>Within SLA</v>
      </c>
      <c r="N1722" t="str">
        <f>IF(tbl_analysis_tickets[[#This Row],[first_response_minutes]]&gt;tbl_analysis_tickets[[#This Row],[First Response SLA Minutes]],"Breached","Within SLA")</f>
        <v>Breached</v>
      </c>
      <c r="O1722" t="str" cm="1">
        <f t="array" ref="O1722">_xlfn.IFS(
tbl_analysis_tickets[[#This Row],[agent_experience_years]]&lt;=2,"Junior",
tbl_analysis_tickets[[#This Row],[agent_experience_years]]&lt;=5,"Mid-Level",
tbl_analysis_tickets[[#This Row],[agent_experience_years]]&lt;=8,"Senior",
tbl_analysis_tickets[[#This Row],[agent_experience_years]]&gt;8,"Expert"
)</f>
        <v>Junior</v>
      </c>
      <c r="P1722" cm="1">
        <f t="array" ref="P1722">_xlfn.SWITCH(tbl_analysis_tickets[[#This Row],[customer_satisfaction]],
"Low",1,
"Medium",2,
"High",3
)</f>
        <v>1</v>
      </c>
      <c r="Q1722">
        <f>IF(tbl_analysis_tickets[[#This Row],[reopened]]="Yes",1,0)</f>
        <v>1</v>
      </c>
      <c r="R1722" t="str" cm="1">
        <f t="array" ref="R1722">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722" t="str" cm="1">
        <f t="array" ref="S172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722" t="str">
        <f>TEXT(tbl_analysis_tickets[[#This Row],[created_date]],"mmm-yyyy")</f>
        <v>Mar-2024</v>
      </c>
      <c r="U1722" t="str">
        <f>TEXT(tbl_analysis_tickets[[#This Row],[created_date]],"dddd")</f>
        <v>Thursday</v>
      </c>
      <c r="V1722" cm="1">
        <f t="array" ref="V1722">_xlfn.SWITCH(tbl_analysis_tickets[[#This Row],[priority]],
"Urgent",1,
"High",2,
"Medium",3,
"Low",4
)</f>
        <v>2</v>
      </c>
    </row>
    <row r="1723" spans="1:22" x14ac:dyDescent="0.25">
      <c r="A1723">
        <v>1722</v>
      </c>
      <c r="B1723" s="1">
        <v>45545</v>
      </c>
      <c r="C1723" t="s">
        <v>23</v>
      </c>
      <c r="D1723" t="s">
        <v>15</v>
      </c>
      <c r="E1723">
        <v>27</v>
      </c>
      <c r="F1723">
        <v>19</v>
      </c>
      <c r="G1723">
        <v>1.6</v>
      </c>
      <c r="H1723" t="s">
        <v>12</v>
      </c>
      <c r="I1723" t="s">
        <v>19</v>
      </c>
      <c r="J1723" t="s">
        <v>15</v>
      </c>
      <c r="K1723">
        <f>_xlfn.XLOOKUP(tbl_analysis_tickets[[#This Row],[priority]],tbl_sla[priority],tbl_sla[Resolution SLA Hours])</f>
        <v>48</v>
      </c>
      <c r="L1723">
        <f>_xlfn.XLOOKUP(tbl_analysis_tickets[[#This Row],[priority]],tbl_sla[priority],tbl_sla[First Response SLA Minutes])</f>
        <v>120</v>
      </c>
      <c r="M1723" t="str">
        <f>IF(tbl_analysis_tickets[[#This Row],[resolution_time_hours]]&gt;tbl_analysis_tickets[[#This Row],[Resolution SLA Hours]],"Breached","Within SLA")</f>
        <v>Within SLA</v>
      </c>
      <c r="N1723" t="str">
        <f>IF(tbl_analysis_tickets[[#This Row],[first_response_minutes]]&gt;tbl_analysis_tickets[[#This Row],[First Response SLA Minutes]],"Breached","Within SLA")</f>
        <v>Within SLA</v>
      </c>
      <c r="O1723" t="str" cm="1">
        <f t="array" ref="O1723">_xlfn.IFS(
tbl_analysis_tickets[[#This Row],[agent_experience_years]]&lt;=2,"Junior",
tbl_analysis_tickets[[#This Row],[agent_experience_years]]&lt;=5,"Mid-Level",
tbl_analysis_tickets[[#This Row],[agent_experience_years]]&lt;=8,"Senior",
tbl_analysis_tickets[[#This Row],[agent_experience_years]]&gt;8,"Expert"
)</f>
        <v>Junior</v>
      </c>
      <c r="P1723" cm="1">
        <f t="array" ref="P1723">_xlfn.SWITCH(tbl_analysis_tickets[[#This Row],[customer_satisfaction]],
"Low",1,
"Medium",2,
"High",3
)</f>
        <v>2</v>
      </c>
      <c r="Q1723">
        <f>IF(tbl_analysis_tickets[[#This Row],[reopened]]="Yes",1,0)</f>
        <v>1</v>
      </c>
      <c r="R1723" t="str" cm="1">
        <f t="array" ref="R1723">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1723" t="str" cm="1">
        <f t="array" ref="S172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723" t="str">
        <f>TEXT(tbl_analysis_tickets[[#This Row],[created_date]],"mmm-yyyy")</f>
        <v>Sep-2024</v>
      </c>
      <c r="U1723" t="str">
        <f>TEXT(tbl_analysis_tickets[[#This Row],[created_date]],"dddd")</f>
        <v>Tuesday</v>
      </c>
      <c r="V1723" cm="1">
        <f t="array" ref="V1723">_xlfn.SWITCH(tbl_analysis_tickets[[#This Row],[priority]],
"Urgent",1,
"High",2,
"Medium",3,
"Low",4
)</f>
        <v>3</v>
      </c>
    </row>
    <row r="1724" spans="1:22" x14ac:dyDescent="0.25">
      <c r="A1724">
        <v>1723</v>
      </c>
      <c r="B1724" s="1">
        <v>45615</v>
      </c>
      <c r="C1724" t="s">
        <v>21</v>
      </c>
      <c r="D1724" t="s">
        <v>17</v>
      </c>
      <c r="E1724">
        <v>94</v>
      </c>
      <c r="F1724">
        <v>11</v>
      </c>
      <c r="G1724">
        <v>4.9000000000000004</v>
      </c>
      <c r="H1724" t="s">
        <v>12</v>
      </c>
      <c r="I1724" t="s">
        <v>13</v>
      </c>
      <c r="J1724" t="s">
        <v>11</v>
      </c>
      <c r="K1724">
        <f>_xlfn.XLOOKUP(tbl_analysis_tickets[[#This Row],[priority]],tbl_sla[priority],tbl_sla[Resolution SLA Hours])</f>
        <v>8</v>
      </c>
      <c r="L1724">
        <f>_xlfn.XLOOKUP(tbl_analysis_tickets[[#This Row],[priority]],tbl_sla[priority],tbl_sla[First Response SLA Minutes])</f>
        <v>30</v>
      </c>
      <c r="M1724" t="str">
        <f>IF(tbl_analysis_tickets[[#This Row],[resolution_time_hours]]&gt;tbl_analysis_tickets[[#This Row],[Resolution SLA Hours]],"Breached","Within SLA")</f>
        <v>Breached</v>
      </c>
      <c r="N1724" t="str">
        <f>IF(tbl_analysis_tickets[[#This Row],[first_response_minutes]]&gt;tbl_analysis_tickets[[#This Row],[First Response SLA Minutes]],"Breached","Within SLA")</f>
        <v>Breached</v>
      </c>
      <c r="O1724" t="str" cm="1">
        <f t="array" ref="O1724">_xlfn.IFS(
tbl_analysis_tickets[[#This Row],[agent_experience_years]]&lt;=2,"Junior",
tbl_analysis_tickets[[#This Row],[agent_experience_years]]&lt;=5,"Mid-Level",
tbl_analysis_tickets[[#This Row],[agent_experience_years]]&lt;=8,"Senior",
tbl_analysis_tickets[[#This Row],[agent_experience_years]]&gt;8,"Expert"
)</f>
        <v>Mid-Level</v>
      </c>
      <c r="P1724" cm="1">
        <f t="array" ref="P1724">_xlfn.SWITCH(tbl_analysis_tickets[[#This Row],[customer_satisfaction]],
"Low",1,
"Medium",2,
"High",3
)</f>
        <v>1</v>
      </c>
      <c r="Q1724">
        <f>IF(tbl_analysis_tickets[[#This Row],[reopened]]="Yes",1,0)</f>
        <v>1</v>
      </c>
      <c r="R1724" t="str" cm="1">
        <f t="array" ref="R1724">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724" t="str" cm="1">
        <f t="array" ref="S172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724" t="str">
        <f>TEXT(tbl_analysis_tickets[[#This Row],[created_date]],"mmm-yyyy")</f>
        <v>Nov-2024</v>
      </c>
      <c r="U1724" t="str">
        <f>TEXT(tbl_analysis_tickets[[#This Row],[created_date]],"dddd")</f>
        <v>Tuesday</v>
      </c>
      <c r="V1724" cm="1">
        <f t="array" ref="V1724">_xlfn.SWITCH(tbl_analysis_tickets[[#This Row],[priority]],
"Urgent",1,
"High",2,
"Medium",3,
"Low",4
)</f>
        <v>1</v>
      </c>
    </row>
    <row r="1725" spans="1:22" x14ac:dyDescent="0.25">
      <c r="A1725">
        <v>1724</v>
      </c>
      <c r="B1725" s="1">
        <v>45562</v>
      </c>
      <c r="C1725" t="s">
        <v>23</v>
      </c>
      <c r="D1725" t="s">
        <v>15</v>
      </c>
      <c r="E1725">
        <v>75</v>
      </c>
      <c r="F1725">
        <v>67</v>
      </c>
      <c r="G1725">
        <v>2.1</v>
      </c>
      <c r="H1725" t="s">
        <v>12</v>
      </c>
      <c r="I1725" t="s">
        <v>16</v>
      </c>
      <c r="J1725" t="s">
        <v>11</v>
      </c>
      <c r="K1725">
        <f>_xlfn.XLOOKUP(tbl_analysis_tickets[[#This Row],[priority]],tbl_sla[priority],tbl_sla[Resolution SLA Hours])</f>
        <v>48</v>
      </c>
      <c r="L1725">
        <f>_xlfn.XLOOKUP(tbl_analysis_tickets[[#This Row],[priority]],tbl_sla[priority],tbl_sla[First Response SLA Minutes])</f>
        <v>120</v>
      </c>
      <c r="M1725" t="str">
        <f>IF(tbl_analysis_tickets[[#This Row],[resolution_time_hours]]&gt;tbl_analysis_tickets[[#This Row],[Resolution SLA Hours]],"Breached","Within SLA")</f>
        <v>Breached</v>
      </c>
      <c r="N1725" t="str">
        <f>IF(tbl_analysis_tickets[[#This Row],[first_response_minutes]]&gt;tbl_analysis_tickets[[#This Row],[First Response SLA Minutes]],"Breached","Within SLA")</f>
        <v>Within SLA</v>
      </c>
      <c r="O1725" t="str" cm="1">
        <f t="array" ref="O1725">_xlfn.IFS(
tbl_analysis_tickets[[#This Row],[agent_experience_years]]&lt;=2,"Junior",
tbl_analysis_tickets[[#This Row],[agent_experience_years]]&lt;=5,"Mid-Level",
tbl_analysis_tickets[[#This Row],[agent_experience_years]]&lt;=8,"Senior",
tbl_analysis_tickets[[#This Row],[agent_experience_years]]&gt;8,"Expert"
)</f>
        <v>Mid-Level</v>
      </c>
      <c r="P1725" cm="1">
        <f t="array" ref="P1725">_xlfn.SWITCH(tbl_analysis_tickets[[#This Row],[customer_satisfaction]],
"Low",1,
"Medium",2,
"High",3
)</f>
        <v>1</v>
      </c>
      <c r="Q1725">
        <f>IF(tbl_analysis_tickets[[#This Row],[reopened]]="Yes",1,0)</f>
        <v>1</v>
      </c>
      <c r="R1725" t="str" cm="1">
        <f t="array" ref="R1725">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725" t="str" cm="1">
        <f t="array" ref="S172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725" t="str">
        <f>TEXT(tbl_analysis_tickets[[#This Row],[created_date]],"mmm-yyyy")</f>
        <v>Sep-2024</v>
      </c>
      <c r="U1725" t="str">
        <f>TEXT(tbl_analysis_tickets[[#This Row],[created_date]],"dddd")</f>
        <v>Friday</v>
      </c>
      <c r="V1725" cm="1">
        <f t="array" ref="V1725">_xlfn.SWITCH(tbl_analysis_tickets[[#This Row],[priority]],
"Urgent",1,
"High",2,
"Medium",3,
"Low",4
)</f>
        <v>3</v>
      </c>
    </row>
    <row r="1726" spans="1:22" x14ac:dyDescent="0.25">
      <c r="A1726">
        <v>1725</v>
      </c>
      <c r="B1726" s="1">
        <v>45645</v>
      </c>
      <c r="C1726" t="s">
        <v>22</v>
      </c>
      <c r="D1726" t="s">
        <v>15</v>
      </c>
      <c r="E1726">
        <v>76</v>
      </c>
      <c r="F1726">
        <v>72</v>
      </c>
      <c r="G1726">
        <v>8</v>
      </c>
      <c r="H1726" t="s">
        <v>12</v>
      </c>
      <c r="I1726" t="s">
        <v>13</v>
      </c>
      <c r="J1726" t="s">
        <v>11</v>
      </c>
      <c r="K1726">
        <f>_xlfn.XLOOKUP(tbl_analysis_tickets[[#This Row],[priority]],tbl_sla[priority],tbl_sla[Resolution SLA Hours])</f>
        <v>48</v>
      </c>
      <c r="L1726">
        <f>_xlfn.XLOOKUP(tbl_analysis_tickets[[#This Row],[priority]],tbl_sla[priority],tbl_sla[First Response SLA Minutes])</f>
        <v>120</v>
      </c>
      <c r="M1726" t="str">
        <f>IF(tbl_analysis_tickets[[#This Row],[resolution_time_hours]]&gt;tbl_analysis_tickets[[#This Row],[Resolution SLA Hours]],"Breached","Within SLA")</f>
        <v>Breached</v>
      </c>
      <c r="N1726" t="str">
        <f>IF(tbl_analysis_tickets[[#This Row],[first_response_minutes]]&gt;tbl_analysis_tickets[[#This Row],[First Response SLA Minutes]],"Breached","Within SLA")</f>
        <v>Within SLA</v>
      </c>
      <c r="O1726" t="str" cm="1">
        <f t="array" ref="O1726">_xlfn.IFS(
tbl_analysis_tickets[[#This Row],[agent_experience_years]]&lt;=2,"Junior",
tbl_analysis_tickets[[#This Row],[agent_experience_years]]&lt;=5,"Mid-Level",
tbl_analysis_tickets[[#This Row],[agent_experience_years]]&lt;=8,"Senior",
tbl_analysis_tickets[[#This Row],[agent_experience_years]]&gt;8,"Expert"
)</f>
        <v>Senior</v>
      </c>
      <c r="P1726" cm="1">
        <f t="array" ref="P1726">_xlfn.SWITCH(tbl_analysis_tickets[[#This Row],[customer_satisfaction]],
"Low",1,
"Medium",2,
"High",3
)</f>
        <v>1</v>
      </c>
      <c r="Q1726">
        <f>IF(tbl_analysis_tickets[[#This Row],[reopened]]="Yes",1,0)</f>
        <v>1</v>
      </c>
      <c r="R1726" t="str" cm="1">
        <f t="array" ref="R1726">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726" t="str" cm="1">
        <f t="array" ref="S172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726" t="str">
        <f>TEXT(tbl_analysis_tickets[[#This Row],[created_date]],"mmm-yyyy")</f>
        <v>Dec-2024</v>
      </c>
      <c r="U1726" t="str">
        <f>TEXT(tbl_analysis_tickets[[#This Row],[created_date]],"dddd")</f>
        <v>Thursday</v>
      </c>
      <c r="V1726" cm="1">
        <f t="array" ref="V1726">_xlfn.SWITCH(tbl_analysis_tickets[[#This Row],[priority]],
"Urgent",1,
"High",2,
"Medium",3,
"Low",4
)</f>
        <v>3</v>
      </c>
    </row>
    <row r="1727" spans="1:22" x14ac:dyDescent="0.25">
      <c r="A1727">
        <v>1726</v>
      </c>
      <c r="B1727" s="1">
        <v>45406</v>
      </c>
      <c r="C1727" t="s">
        <v>14</v>
      </c>
      <c r="D1727" t="s">
        <v>15</v>
      </c>
      <c r="E1727">
        <v>39</v>
      </c>
      <c r="F1727">
        <v>30</v>
      </c>
      <c r="G1727">
        <v>3.9</v>
      </c>
      <c r="H1727" t="s">
        <v>12</v>
      </c>
      <c r="I1727" t="s">
        <v>13</v>
      </c>
      <c r="J1727" t="s">
        <v>11</v>
      </c>
      <c r="K1727">
        <f>_xlfn.XLOOKUP(tbl_analysis_tickets[[#This Row],[priority]],tbl_sla[priority],tbl_sla[Resolution SLA Hours])</f>
        <v>48</v>
      </c>
      <c r="L1727">
        <f>_xlfn.XLOOKUP(tbl_analysis_tickets[[#This Row],[priority]],tbl_sla[priority],tbl_sla[First Response SLA Minutes])</f>
        <v>120</v>
      </c>
      <c r="M1727" t="str">
        <f>IF(tbl_analysis_tickets[[#This Row],[resolution_time_hours]]&gt;tbl_analysis_tickets[[#This Row],[Resolution SLA Hours]],"Breached","Within SLA")</f>
        <v>Within SLA</v>
      </c>
      <c r="N1727" t="str">
        <f>IF(tbl_analysis_tickets[[#This Row],[first_response_minutes]]&gt;tbl_analysis_tickets[[#This Row],[First Response SLA Minutes]],"Breached","Within SLA")</f>
        <v>Within SLA</v>
      </c>
      <c r="O1727" t="str" cm="1">
        <f t="array" ref="O1727">_xlfn.IFS(
tbl_analysis_tickets[[#This Row],[agent_experience_years]]&lt;=2,"Junior",
tbl_analysis_tickets[[#This Row],[agent_experience_years]]&lt;=5,"Mid-Level",
tbl_analysis_tickets[[#This Row],[agent_experience_years]]&lt;=8,"Senior",
tbl_analysis_tickets[[#This Row],[agent_experience_years]]&gt;8,"Expert"
)</f>
        <v>Mid-Level</v>
      </c>
      <c r="P1727" cm="1">
        <f t="array" ref="P1727">_xlfn.SWITCH(tbl_analysis_tickets[[#This Row],[customer_satisfaction]],
"Low",1,
"Medium",2,
"High",3
)</f>
        <v>1</v>
      </c>
      <c r="Q1727">
        <f>IF(tbl_analysis_tickets[[#This Row],[reopened]]="Yes",1,0)</f>
        <v>1</v>
      </c>
      <c r="R1727" t="str" cm="1">
        <f t="array" ref="R1727">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727" t="str" cm="1">
        <f t="array" ref="S172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727" t="str">
        <f>TEXT(tbl_analysis_tickets[[#This Row],[created_date]],"mmm-yyyy")</f>
        <v>Apr-2024</v>
      </c>
      <c r="U1727" t="str">
        <f>TEXT(tbl_analysis_tickets[[#This Row],[created_date]],"dddd")</f>
        <v>Wednesday</v>
      </c>
      <c r="V1727" cm="1">
        <f t="array" ref="V1727">_xlfn.SWITCH(tbl_analysis_tickets[[#This Row],[priority]],
"Urgent",1,
"High",2,
"Medium",3,
"Low",4
)</f>
        <v>3</v>
      </c>
    </row>
    <row r="1728" spans="1:22" x14ac:dyDescent="0.25">
      <c r="A1728">
        <v>1727</v>
      </c>
      <c r="B1728" s="1">
        <v>45300</v>
      </c>
      <c r="C1728" t="s">
        <v>22</v>
      </c>
      <c r="D1728" t="s">
        <v>11</v>
      </c>
      <c r="E1728">
        <v>52</v>
      </c>
      <c r="F1728">
        <v>8</v>
      </c>
      <c r="G1728">
        <v>8.8000000000000007</v>
      </c>
      <c r="H1728" t="s">
        <v>18</v>
      </c>
      <c r="I1728" t="s">
        <v>19</v>
      </c>
      <c r="J1728" t="s">
        <v>15</v>
      </c>
      <c r="K1728">
        <f>_xlfn.XLOOKUP(tbl_analysis_tickets[[#This Row],[priority]],tbl_sla[priority],tbl_sla[Resolution SLA Hours])</f>
        <v>72</v>
      </c>
      <c r="L1728">
        <f>_xlfn.XLOOKUP(tbl_analysis_tickets[[#This Row],[priority]],tbl_sla[priority],tbl_sla[First Response SLA Minutes])</f>
        <v>240</v>
      </c>
      <c r="M1728" t="str">
        <f>IF(tbl_analysis_tickets[[#This Row],[resolution_time_hours]]&gt;tbl_analysis_tickets[[#This Row],[Resolution SLA Hours]],"Breached","Within SLA")</f>
        <v>Within SLA</v>
      </c>
      <c r="N1728" t="str">
        <f>IF(tbl_analysis_tickets[[#This Row],[first_response_minutes]]&gt;tbl_analysis_tickets[[#This Row],[First Response SLA Minutes]],"Breached","Within SLA")</f>
        <v>Within SLA</v>
      </c>
      <c r="O1728" t="str" cm="1">
        <f t="array" ref="O1728">_xlfn.IFS(
tbl_analysis_tickets[[#This Row],[agent_experience_years]]&lt;=2,"Junior",
tbl_analysis_tickets[[#This Row],[agent_experience_years]]&lt;=5,"Mid-Level",
tbl_analysis_tickets[[#This Row],[agent_experience_years]]&lt;=8,"Senior",
tbl_analysis_tickets[[#This Row],[agent_experience_years]]&gt;8,"Expert"
)</f>
        <v>Expert</v>
      </c>
      <c r="P1728" cm="1">
        <f t="array" ref="P1728">_xlfn.SWITCH(tbl_analysis_tickets[[#This Row],[customer_satisfaction]],
"Low",1,
"Medium",2,
"High",3
)</f>
        <v>2</v>
      </c>
      <c r="Q1728">
        <f>IF(tbl_analysis_tickets[[#This Row],[reopened]]="Yes",1,0)</f>
        <v>0</v>
      </c>
      <c r="R1728" t="str" cm="1">
        <f t="array" ref="R1728">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728" t="str" cm="1">
        <f t="array" ref="S172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1728" t="str">
        <f>TEXT(tbl_analysis_tickets[[#This Row],[created_date]],"mmm-yyyy")</f>
        <v>Jan-2024</v>
      </c>
      <c r="U1728" t="str">
        <f>TEXT(tbl_analysis_tickets[[#This Row],[created_date]],"dddd")</f>
        <v>Tuesday</v>
      </c>
      <c r="V1728" cm="1">
        <f t="array" ref="V1728">_xlfn.SWITCH(tbl_analysis_tickets[[#This Row],[priority]],
"Urgent",1,
"High",2,
"Medium",3,
"Low",4
)</f>
        <v>4</v>
      </c>
    </row>
    <row r="1729" spans="1:22" x14ac:dyDescent="0.25">
      <c r="A1729">
        <v>1728</v>
      </c>
      <c r="B1729" s="1">
        <v>45547</v>
      </c>
      <c r="C1729" t="s">
        <v>21</v>
      </c>
      <c r="D1729" t="s">
        <v>20</v>
      </c>
      <c r="E1729">
        <v>93</v>
      </c>
      <c r="F1729">
        <v>31</v>
      </c>
      <c r="G1729">
        <v>6.5</v>
      </c>
      <c r="H1729" t="s">
        <v>18</v>
      </c>
      <c r="I1729" t="s">
        <v>19</v>
      </c>
      <c r="J1729" t="s">
        <v>11</v>
      </c>
      <c r="K1729">
        <f>_xlfn.XLOOKUP(tbl_analysis_tickets[[#This Row],[priority]],tbl_sla[priority],tbl_sla[Resolution SLA Hours])</f>
        <v>24</v>
      </c>
      <c r="L1729">
        <f>_xlfn.XLOOKUP(tbl_analysis_tickets[[#This Row],[priority]],tbl_sla[priority],tbl_sla[First Response SLA Minutes])</f>
        <v>60</v>
      </c>
      <c r="M1729" t="str">
        <f>IF(tbl_analysis_tickets[[#This Row],[resolution_time_hours]]&gt;tbl_analysis_tickets[[#This Row],[Resolution SLA Hours]],"Breached","Within SLA")</f>
        <v>Breached</v>
      </c>
      <c r="N1729" t="str">
        <f>IF(tbl_analysis_tickets[[#This Row],[first_response_minutes]]&gt;tbl_analysis_tickets[[#This Row],[First Response SLA Minutes]],"Breached","Within SLA")</f>
        <v>Breached</v>
      </c>
      <c r="O1729" t="str" cm="1">
        <f t="array" ref="O1729">_xlfn.IFS(
tbl_analysis_tickets[[#This Row],[agent_experience_years]]&lt;=2,"Junior",
tbl_analysis_tickets[[#This Row],[agent_experience_years]]&lt;=5,"Mid-Level",
tbl_analysis_tickets[[#This Row],[agent_experience_years]]&lt;=8,"Senior",
tbl_analysis_tickets[[#This Row],[agent_experience_years]]&gt;8,"Expert"
)</f>
        <v>Senior</v>
      </c>
      <c r="P1729" cm="1">
        <f t="array" ref="P1729">_xlfn.SWITCH(tbl_analysis_tickets[[#This Row],[customer_satisfaction]],
"Low",1,
"Medium",2,
"High",3
)</f>
        <v>1</v>
      </c>
      <c r="Q1729">
        <f>IF(tbl_analysis_tickets[[#This Row],[reopened]]="Yes",1,0)</f>
        <v>0</v>
      </c>
      <c r="R1729" t="str" cm="1">
        <f t="array" ref="R1729">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729" t="str" cm="1">
        <f t="array" ref="S172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729" t="str">
        <f>TEXT(tbl_analysis_tickets[[#This Row],[created_date]],"mmm-yyyy")</f>
        <v>Sep-2024</v>
      </c>
      <c r="U1729" t="str">
        <f>TEXT(tbl_analysis_tickets[[#This Row],[created_date]],"dddd")</f>
        <v>Thursday</v>
      </c>
      <c r="V1729" cm="1">
        <f t="array" ref="V1729">_xlfn.SWITCH(tbl_analysis_tickets[[#This Row],[priority]],
"Urgent",1,
"High",2,
"Medium",3,
"Low",4
)</f>
        <v>2</v>
      </c>
    </row>
    <row r="1730" spans="1:22" x14ac:dyDescent="0.25">
      <c r="A1730">
        <v>1729</v>
      </c>
      <c r="B1730" s="1">
        <v>45294</v>
      </c>
      <c r="C1730" t="s">
        <v>10</v>
      </c>
      <c r="D1730" t="s">
        <v>20</v>
      </c>
      <c r="E1730">
        <v>167</v>
      </c>
      <c r="F1730">
        <v>5</v>
      </c>
      <c r="G1730">
        <v>7.8</v>
      </c>
      <c r="H1730" t="s">
        <v>12</v>
      </c>
      <c r="I1730" t="s">
        <v>16</v>
      </c>
      <c r="J1730" t="s">
        <v>15</v>
      </c>
      <c r="K1730">
        <f>_xlfn.XLOOKUP(tbl_analysis_tickets[[#This Row],[priority]],tbl_sla[priority],tbl_sla[Resolution SLA Hours])</f>
        <v>24</v>
      </c>
      <c r="L1730">
        <f>_xlfn.XLOOKUP(tbl_analysis_tickets[[#This Row],[priority]],tbl_sla[priority],tbl_sla[First Response SLA Minutes])</f>
        <v>60</v>
      </c>
      <c r="M1730" t="str">
        <f>IF(tbl_analysis_tickets[[#This Row],[resolution_time_hours]]&gt;tbl_analysis_tickets[[#This Row],[Resolution SLA Hours]],"Breached","Within SLA")</f>
        <v>Within SLA</v>
      </c>
      <c r="N1730" t="str">
        <f>IF(tbl_analysis_tickets[[#This Row],[first_response_minutes]]&gt;tbl_analysis_tickets[[#This Row],[First Response SLA Minutes]],"Breached","Within SLA")</f>
        <v>Breached</v>
      </c>
      <c r="O1730" t="str" cm="1">
        <f t="array" ref="O1730">_xlfn.IFS(
tbl_analysis_tickets[[#This Row],[agent_experience_years]]&lt;=2,"Junior",
tbl_analysis_tickets[[#This Row],[agent_experience_years]]&lt;=5,"Mid-Level",
tbl_analysis_tickets[[#This Row],[agent_experience_years]]&lt;=8,"Senior",
tbl_analysis_tickets[[#This Row],[agent_experience_years]]&gt;8,"Expert"
)</f>
        <v>Senior</v>
      </c>
      <c r="P1730" cm="1">
        <f t="array" ref="P1730">_xlfn.SWITCH(tbl_analysis_tickets[[#This Row],[customer_satisfaction]],
"Low",1,
"Medium",2,
"High",3
)</f>
        <v>2</v>
      </c>
      <c r="Q1730">
        <f>IF(tbl_analysis_tickets[[#This Row],[reopened]]="Yes",1,0)</f>
        <v>1</v>
      </c>
      <c r="R1730" t="str" cm="1">
        <f t="array" ref="R1730">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730" t="str" cm="1">
        <f t="array" ref="S173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1730" t="str">
        <f>TEXT(tbl_analysis_tickets[[#This Row],[created_date]],"mmm-yyyy")</f>
        <v>Jan-2024</v>
      </c>
      <c r="U1730" t="str">
        <f>TEXT(tbl_analysis_tickets[[#This Row],[created_date]],"dddd")</f>
        <v>Wednesday</v>
      </c>
      <c r="V1730" cm="1">
        <f t="array" ref="V1730">_xlfn.SWITCH(tbl_analysis_tickets[[#This Row],[priority]],
"Urgent",1,
"High",2,
"Medium",3,
"Low",4
)</f>
        <v>2</v>
      </c>
    </row>
    <row r="1731" spans="1:22" x14ac:dyDescent="0.25">
      <c r="A1731">
        <v>1730</v>
      </c>
      <c r="B1731" s="1">
        <v>45453</v>
      </c>
      <c r="C1731" t="s">
        <v>22</v>
      </c>
      <c r="D1731" t="s">
        <v>20</v>
      </c>
      <c r="E1731">
        <v>23</v>
      </c>
      <c r="F1731">
        <v>47</v>
      </c>
      <c r="G1731">
        <v>6.5</v>
      </c>
      <c r="H1731" t="s">
        <v>12</v>
      </c>
      <c r="I1731" t="s">
        <v>19</v>
      </c>
      <c r="J1731" t="s">
        <v>15</v>
      </c>
      <c r="K1731">
        <f>_xlfn.XLOOKUP(tbl_analysis_tickets[[#This Row],[priority]],tbl_sla[priority],tbl_sla[Resolution SLA Hours])</f>
        <v>24</v>
      </c>
      <c r="L1731">
        <f>_xlfn.XLOOKUP(tbl_analysis_tickets[[#This Row],[priority]],tbl_sla[priority],tbl_sla[First Response SLA Minutes])</f>
        <v>60</v>
      </c>
      <c r="M1731" t="str">
        <f>IF(tbl_analysis_tickets[[#This Row],[resolution_time_hours]]&gt;tbl_analysis_tickets[[#This Row],[Resolution SLA Hours]],"Breached","Within SLA")</f>
        <v>Breached</v>
      </c>
      <c r="N1731" t="str">
        <f>IF(tbl_analysis_tickets[[#This Row],[first_response_minutes]]&gt;tbl_analysis_tickets[[#This Row],[First Response SLA Minutes]],"Breached","Within SLA")</f>
        <v>Within SLA</v>
      </c>
      <c r="O1731" t="str" cm="1">
        <f t="array" ref="O1731">_xlfn.IFS(
tbl_analysis_tickets[[#This Row],[agent_experience_years]]&lt;=2,"Junior",
tbl_analysis_tickets[[#This Row],[agent_experience_years]]&lt;=5,"Mid-Level",
tbl_analysis_tickets[[#This Row],[agent_experience_years]]&lt;=8,"Senior",
tbl_analysis_tickets[[#This Row],[agent_experience_years]]&gt;8,"Expert"
)</f>
        <v>Senior</v>
      </c>
      <c r="P1731" cm="1">
        <f t="array" ref="P1731">_xlfn.SWITCH(tbl_analysis_tickets[[#This Row],[customer_satisfaction]],
"Low",1,
"Medium",2,
"High",3
)</f>
        <v>2</v>
      </c>
      <c r="Q1731">
        <f>IF(tbl_analysis_tickets[[#This Row],[reopened]]="Yes",1,0)</f>
        <v>1</v>
      </c>
      <c r="R1731" t="str" cm="1">
        <f t="array" ref="R1731">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1731" t="str" cm="1">
        <f t="array" ref="S173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731" t="str">
        <f>TEXT(tbl_analysis_tickets[[#This Row],[created_date]],"mmm-yyyy")</f>
        <v>Jun-2024</v>
      </c>
      <c r="U1731" t="str">
        <f>TEXT(tbl_analysis_tickets[[#This Row],[created_date]],"dddd")</f>
        <v>Monday</v>
      </c>
      <c r="V1731" cm="1">
        <f t="array" ref="V1731">_xlfn.SWITCH(tbl_analysis_tickets[[#This Row],[priority]],
"Urgent",1,
"High",2,
"Medium",3,
"Low",4
)</f>
        <v>2</v>
      </c>
    </row>
    <row r="1732" spans="1:22" x14ac:dyDescent="0.25">
      <c r="A1732">
        <v>1731</v>
      </c>
      <c r="B1732" s="1">
        <v>45520</v>
      </c>
      <c r="C1732" t="s">
        <v>10</v>
      </c>
      <c r="D1732" t="s">
        <v>17</v>
      </c>
      <c r="E1732">
        <v>43</v>
      </c>
      <c r="F1732">
        <v>32</v>
      </c>
      <c r="G1732">
        <v>5.6</v>
      </c>
      <c r="H1732" t="s">
        <v>12</v>
      </c>
      <c r="I1732" t="s">
        <v>13</v>
      </c>
      <c r="J1732" t="s">
        <v>11</v>
      </c>
      <c r="K1732">
        <f>_xlfn.XLOOKUP(tbl_analysis_tickets[[#This Row],[priority]],tbl_sla[priority],tbl_sla[Resolution SLA Hours])</f>
        <v>8</v>
      </c>
      <c r="L1732">
        <f>_xlfn.XLOOKUP(tbl_analysis_tickets[[#This Row],[priority]],tbl_sla[priority],tbl_sla[First Response SLA Minutes])</f>
        <v>30</v>
      </c>
      <c r="M1732" t="str">
        <f>IF(tbl_analysis_tickets[[#This Row],[resolution_time_hours]]&gt;tbl_analysis_tickets[[#This Row],[Resolution SLA Hours]],"Breached","Within SLA")</f>
        <v>Breached</v>
      </c>
      <c r="N1732" t="str">
        <f>IF(tbl_analysis_tickets[[#This Row],[first_response_minutes]]&gt;tbl_analysis_tickets[[#This Row],[First Response SLA Minutes]],"Breached","Within SLA")</f>
        <v>Breached</v>
      </c>
      <c r="O1732" t="str" cm="1">
        <f t="array" ref="O1732">_xlfn.IFS(
tbl_analysis_tickets[[#This Row],[agent_experience_years]]&lt;=2,"Junior",
tbl_analysis_tickets[[#This Row],[agent_experience_years]]&lt;=5,"Mid-Level",
tbl_analysis_tickets[[#This Row],[agent_experience_years]]&lt;=8,"Senior",
tbl_analysis_tickets[[#This Row],[agent_experience_years]]&gt;8,"Expert"
)</f>
        <v>Senior</v>
      </c>
      <c r="P1732" cm="1">
        <f t="array" ref="P1732">_xlfn.SWITCH(tbl_analysis_tickets[[#This Row],[customer_satisfaction]],
"Low",1,
"Medium",2,
"High",3
)</f>
        <v>1</v>
      </c>
      <c r="Q1732">
        <f>IF(tbl_analysis_tickets[[#This Row],[reopened]]="Yes",1,0)</f>
        <v>1</v>
      </c>
      <c r="R1732" t="str" cm="1">
        <f t="array" ref="R1732">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732" t="str" cm="1">
        <f t="array" ref="S173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732" t="str">
        <f>TEXT(tbl_analysis_tickets[[#This Row],[created_date]],"mmm-yyyy")</f>
        <v>Aug-2024</v>
      </c>
      <c r="U1732" t="str">
        <f>TEXT(tbl_analysis_tickets[[#This Row],[created_date]],"dddd")</f>
        <v>Friday</v>
      </c>
      <c r="V1732" cm="1">
        <f t="array" ref="V1732">_xlfn.SWITCH(tbl_analysis_tickets[[#This Row],[priority]],
"Urgent",1,
"High",2,
"Medium",3,
"Low",4
)</f>
        <v>1</v>
      </c>
    </row>
    <row r="1733" spans="1:22" x14ac:dyDescent="0.25">
      <c r="A1733">
        <v>1732</v>
      </c>
      <c r="B1733" s="1">
        <v>45318</v>
      </c>
      <c r="C1733" t="s">
        <v>21</v>
      </c>
      <c r="D1733" t="s">
        <v>17</v>
      </c>
      <c r="E1733">
        <v>36</v>
      </c>
      <c r="F1733">
        <v>61</v>
      </c>
      <c r="G1733">
        <v>5.0999999999999996</v>
      </c>
      <c r="H1733" t="s">
        <v>18</v>
      </c>
      <c r="I1733" t="s">
        <v>13</v>
      </c>
      <c r="J1733" t="s">
        <v>11</v>
      </c>
      <c r="K1733">
        <f>_xlfn.XLOOKUP(tbl_analysis_tickets[[#This Row],[priority]],tbl_sla[priority],tbl_sla[Resolution SLA Hours])</f>
        <v>8</v>
      </c>
      <c r="L1733">
        <f>_xlfn.XLOOKUP(tbl_analysis_tickets[[#This Row],[priority]],tbl_sla[priority],tbl_sla[First Response SLA Minutes])</f>
        <v>30</v>
      </c>
      <c r="M1733" t="str">
        <f>IF(tbl_analysis_tickets[[#This Row],[resolution_time_hours]]&gt;tbl_analysis_tickets[[#This Row],[Resolution SLA Hours]],"Breached","Within SLA")</f>
        <v>Breached</v>
      </c>
      <c r="N1733" t="str">
        <f>IF(tbl_analysis_tickets[[#This Row],[first_response_minutes]]&gt;tbl_analysis_tickets[[#This Row],[First Response SLA Minutes]],"Breached","Within SLA")</f>
        <v>Breached</v>
      </c>
      <c r="O1733" t="str" cm="1">
        <f t="array" ref="O1733">_xlfn.IFS(
tbl_analysis_tickets[[#This Row],[agent_experience_years]]&lt;=2,"Junior",
tbl_analysis_tickets[[#This Row],[agent_experience_years]]&lt;=5,"Mid-Level",
tbl_analysis_tickets[[#This Row],[agent_experience_years]]&lt;=8,"Senior",
tbl_analysis_tickets[[#This Row],[agent_experience_years]]&gt;8,"Expert"
)</f>
        <v>Senior</v>
      </c>
      <c r="P1733" cm="1">
        <f t="array" ref="P1733">_xlfn.SWITCH(tbl_analysis_tickets[[#This Row],[customer_satisfaction]],
"Low",1,
"Medium",2,
"High",3
)</f>
        <v>1</v>
      </c>
      <c r="Q1733">
        <f>IF(tbl_analysis_tickets[[#This Row],[reopened]]="Yes",1,0)</f>
        <v>0</v>
      </c>
      <c r="R1733" t="str" cm="1">
        <f t="array" ref="R1733">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733" t="str" cm="1">
        <f t="array" ref="S173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733" t="str">
        <f>TEXT(tbl_analysis_tickets[[#This Row],[created_date]],"mmm-yyyy")</f>
        <v>Jan-2024</v>
      </c>
      <c r="U1733" t="str">
        <f>TEXT(tbl_analysis_tickets[[#This Row],[created_date]],"dddd")</f>
        <v>Saturday</v>
      </c>
      <c r="V1733" cm="1">
        <f t="array" ref="V1733">_xlfn.SWITCH(tbl_analysis_tickets[[#This Row],[priority]],
"Urgent",1,
"High",2,
"Medium",3,
"Low",4
)</f>
        <v>1</v>
      </c>
    </row>
    <row r="1734" spans="1:22" x14ac:dyDescent="0.25">
      <c r="A1734">
        <v>1733</v>
      </c>
      <c r="B1734" s="1">
        <v>45477</v>
      </c>
      <c r="C1734" t="s">
        <v>22</v>
      </c>
      <c r="D1734" t="s">
        <v>17</v>
      </c>
      <c r="E1734">
        <v>159</v>
      </c>
      <c r="F1734">
        <v>45</v>
      </c>
      <c r="G1734">
        <v>6.4</v>
      </c>
      <c r="H1734" t="s">
        <v>12</v>
      </c>
      <c r="I1734" t="s">
        <v>13</v>
      </c>
      <c r="J1734" t="s">
        <v>11</v>
      </c>
      <c r="K1734">
        <f>_xlfn.XLOOKUP(tbl_analysis_tickets[[#This Row],[priority]],tbl_sla[priority],tbl_sla[Resolution SLA Hours])</f>
        <v>8</v>
      </c>
      <c r="L1734">
        <f>_xlfn.XLOOKUP(tbl_analysis_tickets[[#This Row],[priority]],tbl_sla[priority],tbl_sla[First Response SLA Minutes])</f>
        <v>30</v>
      </c>
      <c r="M1734" t="str">
        <f>IF(tbl_analysis_tickets[[#This Row],[resolution_time_hours]]&gt;tbl_analysis_tickets[[#This Row],[Resolution SLA Hours]],"Breached","Within SLA")</f>
        <v>Breached</v>
      </c>
      <c r="N1734" t="str">
        <f>IF(tbl_analysis_tickets[[#This Row],[first_response_minutes]]&gt;tbl_analysis_tickets[[#This Row],[First Response SLA Minutes]],"Breached","Within SLA")</f>
        <v>Breached</v>
      </c>
      <c r="O1734" t="str" cm="1">
        <f t="array" ref="O1734">_xlfn.IFS(
tbl_analysis_tickets[[#This Row],[agent_experience_years]]&lt;=2,"Junior",
tbl_analysis_tickets[[#This Row],[agent_experience_years]]&lt;=5,"Mid-Level",
tbl_analysis_tickets[[#This Row],[agent_experience_years]]&lt;=8,"Senior",
tbl_analysis_tickets[[#This Row],[agent_experience_years]]&gt;8,"Expert"
)</f>
        <v>Senior</v>
      </c>
      <c r="P1734" cm="1">
        <f t="array" ref="P1734">_xlfn.SWITCH(tbl_analysis_tickets[[#This Row],[customer_satisfaction]],
"Low",1,
"Medium",2,
"High",3
)</f>
        <v>1</v>
      </c>
      <c r="Q1734">
        <f>IF(tbl_analysis_tickets[[#This Row],[reopened]]="Yes",1,0)</f>
        <v>1</v>
      </c>
      <c r="R1734" t="str" cm="1">
        <f t="array" ref="R1734">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734" t="str" cm="1">
        <f t="array" ref="S173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734" t="str">
        <f>TEXT(tbl_analysis_tickets[[#This Row],[created_date]],"mmm-yyyy")</f>
        <v>Jul-2024</v>
      </c>
      <c r="U1734" t="str">
        <f>TEXT(tbl_analysis_tickets[[#This Row],[created_date]],"dddd")</f>
        <v>Thursday</v>
      </c>
      <c r="V1734" cm="1">
        <f t="array" ref="V1734">_xlfn.SWITCH(tbl_analysis_tickets[[#This Row],[priority]],
"Urgent",1,
"High",2,
"Medium",3,
"Low",4
)</f>
        <v>1</v>
      </c>
    </row>
    <row r="1735" spans="1:22" x14ac:dyDescent="0.25">
      <c r="A1735">
        <v>1734</v>
      </c>
      <c r="B1735" s="1">
        <v>45497</v>
      </c>
      <c r="C1735" t="s">
        <v>10</v>
      </c>
      <c r="D1735" t="s">
        <v>20</v>
      </c>
      <c r="E1735">
        <v>123</v>
      </c>
      <c r="F1735">
        <v>62</v>
      </c>
      <c r="G1735">
        <v>3.2</v>
      </c>
      <c r="H1735" t="s">
        <v>12</v>
      </c>
      <c r="I1735" t="s">
        <v>13</v>
      </c>
      <c r="J1735" t="s">
        <v>11</v>
      </c>
      <c r="K1735">
        <f>_xlfn.XLOOKUP(tbl_analysis_tickets[[#This Row],[priority]],tbl_sla[priority],tbl_sla[Resolution SLA Hours])</f>
        <v>24</v>
      </c>
      <c r="L1735">
        <f>_xlfn.XLOOKUP(tbl_analysis_tickets[[#This Row],[priority]],tbl_sla[priority],tbl_sla[First Response SLA Minutes])</f>
        <v>60</v>
      </c>
      <c r="M1735" t="str">
        <f>IF(tbl_analysis_tickets[[#This Row],[resolution_time_hours]]&gt;tbl_analysis_tickets[[#This Row],[Resolution SLA Hours]],"Breached","Within SLA")</f>
        <v>Breached</v>
      </c>
      <c r="N1735" t="str">
        <f>IF(tbl_analysis_tickets[[#This Row],[first_response_minutes]]&gt;tbl_analysis_tickets[[#This Row],[First Response SLA Minutes]],"Breached","Within SLA")</f>
        <v>Breached</v>
      </c>
      <c r="O1735" t="str" cm="1">
        <f t="array" ref="O1735">_xlfn.IFS(
tbl_analysis_tickets[[#This Row],[agent_experience_years]]&lt;=2,"Junior",
tbl_analysis_tickets[[#This Row],[agent_experience_years]]&lt;=5,"Mid-Level",
tbl_analysis_tickets[[#This Row],[agent_experience_years]]&lt;=8,"Senior",
tbl_analysis_tickets[[#This Row],[agent_experience_years]]&gt;8,"Expert"
)</f>
        <v>Mid-Level</v>
      </c>
      <c r="P1735" cm="1">
        <f t="array" ref="P1735">_xlfn.SWITCH(tbl_analysis_tickets[[#This Row],[customer_satisfaction]],
"Low",1,
"Medium",2,
"High",3
)</f>
        <v>1</v>
      </c>
      <c r="Q1735">
        <f>IF(tbl_analysis_tickets[[#This Row],[reopened]]="Yes",1,0)</f>
        <v>1</v>
      </c>
      <c r="R1735" t="str" cm="1">
        <f t="array" ref="R1735">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735" t="str" cm="1">
        <f t="array" ref="S173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735" t="str">
        <f>TEXT(tbl_analysis_tickets[[#This Row],[created_date]],"mmm-yyyy")</f>
        <v>Jul-2024</v>
      </c>
      <c r="U1735" t="str">
        <f>TEXT(tbl_analysis_tickets[[#This Row],[created_date]],"dddd")</f>
        <v>Wednesday</v>
      </c>
      <c r="V1735" cm="1">
        <f t="array" ref="V1735">_xlfn.SWITCH(tbl_analysis_tickets[[#This Row],[priority]],
"Urgent",1,
"High",2,
"Medium",3,
"Low",4
)</f>
        <v>2</v>
      </c>
    </row>
    <row r="1736" spans="1:22" x14ac:dyDescent="0.25">
      <c r="A1736">
        <v>1735</v>
      </c>
      <c r="B1736" s="1">
        <v>45423</v>
      </c>
      <c r="C1736" t="s">
        <v>22</v>
      </c>
      <c r="D1736" t="s">
        <v>17</v>
      </c>
      <c r="E1736">
        <v>56</v>
      </c>
      <c r="F1736">
        <v>67</v>
      </c>
      <c r="G1736">
        <v>7.5</v>
      </c>
      <c r="H1736" t="s">
        <v>18</v>
      </c>
      <c r="I1736" t="s">
        <v>19</v>
      </c>
      <c r="J1736" t="s">
        <v>11</v>
      </c>
      <c r="K1736">
        <f>_xlfn.XLOOKUP(tbl_analysis_tickets[[#This Row],[priority]],tbl_sla[priority],tbl_sla[Resolution SLA Hours])</f>
        <v>8</v>
      </c>
      <c r="L1736">
        <f>_xlfn.XLOOKUP(tbl_analysis_tickets[[#This Row],[priority]],tbl_sla[priority],tbl_sla[First Response SLA Minutes])</f>
        <v>30</v>
      </c>
      <c r="M1736" t="str">
        <f>IF(tbl_analysis_tickets[[#This Row],[resolution_time_hours]]&gt;tbl_analysis_tickets[[#This Row],[Resolution SLA Hours]],"Breached","Within SLA")</f>
        <v>Breached</v>
      </c>
      <c r="N1736" t="str">
        <f>IF(tbl_analysis_tickets[[#This Row],[first_response_minutes]]&gt;tbl_analysis_tickets[[#This Row],[First Response SLA Minutes]],"Breached","Within SLA")</f>
        <v>Breached</v>
      </c>
      <c r="O1736" t="str" cm="1">
        <f t="array" ref="O1736">_xlfn.IFS(
tbl_analysis_tickets[[#This Row],[agent_experience_years]]&lt;=2,"Junior",
tbl_analysis_tickets[[#This Row],[agent_experience_years]]&lt;=5,"Mid-Level",
tbl_analysis_tickets[[#This Row],[agent_experience_years]]&lt;=8,"Senior",
tbl_analysis_tickets[[#This Row],[agent_experience_years]]&gt;8,"Expert"
)</f>
        <v>Senior</v>
      </c>
      <c r="P1736" cm="1">
        <f t="array" ref="P1736">_xlfn.SWITCH(tbl_analysis_tickets[[#This Row],[customer_satisfaction]],
"Low",1,
"Medium",2,
"High",3
)</f>
        <v>1</v>
      </c>
      <c r="Q1736">
        <f>IF(tbl_analysis_tickets[[#This Row],[reopened]]="Yes",1,0)</f>
        <v>0</v>
      </c>
      <c r="R1736" t="str" cm="1">
        <f t="array" ref="R1736">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736" t="str" cm="1">
        <f t="array" ref="S173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736" t="str">
        <f>TEXT(tbl_analysis_tickets[[#This Row],[created_date]],"mmm-yyyy")</f>
        <v>May-2024</v>
      </c>
      <c r="U1736" t="str">
        <f>TEXT(tbl_analysis_tickets[[#This Row],[created_date]],"dddd")</f>
        <v>Saturday</v>
      </c>
      <c r="V1736" cm="1">
        <f t="array" ref="V1736">_xlfn.SWITCH(tbl_analysis_tickets[[#This Row],[priority]],
"Urgent",1,
"High",2,
"Medium",3,
"Low",4
)</f>
        <v>1</v>
      </c>
    </row>
    <row r="1737" spans="1:22" x14ac:dyDescent="0.25">
      <c r="A1737">
        <v>1736</v>
      </c>
      <c r="B1737" s="1">
        <v>45307</v>
      </c>
      <c r="C1737" t="s">
        <v>14</v>
      </c>
      <c r="D1737" t="s">
        <v>17</v>
      </c>
      <c r="E1737">
        <v>148</v>
      </c>
      <c r="F1737">
        <v>69</v>
      </c>
      <c r="G1737">
        <v>5</v>
      </c>
      <c r="H1737" t="s">
        <v>12</v>
      </c>
      <c r="I1737" t="s">
        <v>13</v>
      </c>
      <c r="J1737" t="s">
        <v>11</v>
      </c>
      <c r="K1737">
        <f>_xlfn.XLOOKUP(tbl_analysis_tickets[[#This Row],[priority]],tbl_sla[priority],tbl_sla[Resolution SLA Hours])</f>
        <v>8</v>
      </c>
      <c r="L1737">
        <f>_xlfn.XLOOKUP(tbl_analysis_tickets[[#This Row],[priority]],tbl_sla[priority],tbl_sla[First Response SLA Minutes])</f>
        <v>30</v>
      </c>
      <c r="M1737" t="str">
        <f>IF(tbl_analysis_tickets[[#This Row],[resolution_time_hours]]&gt;tbl_analysis_tickets[[#This Row],[Resolution SLA Hours]],"Breached","Within SLA")</f>
        <v>Breached</v>
      </c>
      <c r="N1737" t="str">
        <f>IF(tbl_analysis_tickets[[#This Row],[first_response_minutes]]&gt;tbl_analysis_tickets[[#This Row],[First Response SLA Minutes]],"Breached","Within SLA")</f>
        <v>Breached</v>
      </c>
      <c r="O1737" t="str" cm="1">
        <f t="array" ref="O1737">_xlfn.IFS(
tbl_analysis_tickets[[#This Row],[agent_experience_years]]&lt;=2,"Junior",
tbl_analysis_tickets[[#This Row],[agent_experience_years]]&lt;=5,"Mid-Level",
tbl_analysis_tickets[[#This Row],[agent_experience_years]]&lt;=8,"Senior",
tbl_analysis_tickets[[#This Row],[agent_experience_years]]&gt;8,"Expert"
)</f>
        <v>Mid-Level</v>
      </c>
      <c r="P1737" cm="1">
        <f t="array" ref="P1737">_xlfn.SWITCH(tbl_analysis_tickets[[#This Row],[customer_satisfaction]],
"Low",1,
"Medium",2,
"High",3
)</f>
        <v>1</v>
      </c>
      <c r="Q1737">
        <f>IF(tbl_analysis_tickets[[#This Row],[reopened]]="Yes",1,0)</f>
        <v>1</v>
      </c>
      <c r="R1737" t="str" cm="1">
        <f t="array" ref="R1737">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737" t="str" cm="1">
        <f t="array" ref="S173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737" t="str">
        <f>TEXT(tbl_analysis_tickets[[#This Row],[created_date]],"mmm-yyyy")</f>
        <v>Jan-2024</v>
      </c>
      <c r="U1737" t="str">
        <f>TEXT(tbl_analysis_tickets[[#This Row],[created_date]],"dddd")</f>
        <v>Tuesday</v>
      </c>
      <c r="V1737" cm="1">
        <f t="array" ref="V1737">_xlfn.SWITCH(tbl_analysis_tickets[[#This Row],[priority]],
"Urgent",1,
"High",2,
"Medium",3,
"Low",4
)</f>
        <v>1</v>
      </c>
    </row>
    <row r="1738" spans="1:22" x14ac:dyDescent="0.25">
      <c r="A1738">
        <v>1737</v>
      </c>
      <c r="B1738" s="1">
        <v>45563</v>
      </c>
      <c r="C1738" t="s">
        <v>14</v>
      </c>
      <c r="D1738" t="s">
        <v>15</v>
      </c>
      <c r="E1738">
        <v>184</v>
      </c>
      <c r="F1738">
        <v>72</v>
      </c>
      <c r="G1738">
        <v>1.5</v>
      </c>
      <c r="H1738" t="s">
        <v>18</v>
      </c>
      <c r="I1738" t="s">
        <v>13</v>
      </c>
      <c r="J1738" t="s">
        <v>11</v>
      </c>
      <c r="K1738">
        <f>_xlfn.XLOOKUP(tbl_analysis_tickets[[#This Row],[priority]],tbl_sla[priority],tbl_sla[Resolution SLA Hours])</f>
        <v>48</v>
      </c>
      <c r="L1738">
        <f>_xlfn.XLOOKUP(tbl_analysis_tickets[[#This Row],[priority]],tbl_sla[priority],tbl_sla[First Response SLA Minutes])</f>
        <v>120</v>
      </c>
      <c r="M1738" t="str">
        <f>IF(tbl_analysis_tickets[[#This Row],[resolution_time_hours]]&gt;tbl_analysis_tickets[[#This Row],[Resolution SLA Hours]],"Breached","Within SLA")</f>
        <v>Breached</v>
      </c>
      <c r="N1738" t="str">
        <f>IF(tbl_analysis_tickets[[#This Row],[first_response_minutes]]&gt;tbl_analysis_tickets[[#This Row],[First Response SLA Minutes]],"Breached","Within SLA")</f>
        <v>Breached</v>
      </c>
      <c r="O1738" t="str" cm="1">
        <f t="array" ref="O1738">_xlfn.IFS(
tbl_analysis_tickets[[#This Row],[agent_experience_years]]&lt;=2,"Junior",
tbl_analysis_tickets[[#This Row],[agent_experience_years]]&lt;=5,"Mid-Level",
tbl_analysis_tickets[[#This Row],[agent_experience_years]]&lt;=8,"Senior",
tbl_analysis_tickets[[#This Row],[agent_experience_years]]&gt;8,"Expert"
)</f>
        <v>Junior</v>
      </c>
      <c r="P1738" cm="1">
        <f t="array" ref="P1738">_xlfn.SWITCH(tbl_analysis_tickets[[#This Row],[customer_satisfaction]],
"Low",1,
"Medium",2,
"High",3
)</f>
        <v>1</v>
      </c>
      <c r="Q1738">
        <f>IF(tbl_analysis_tickets[[#This Row],[reopened]]="Yes",1,0)</f>
        <v>0</v>
      </c>
      <c r="R1738" t="str" cm="1">
        <f t="array" ref="R1738">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738" t="str" cm="1">
        <f t="array" ref="S173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738" t="str">
        <f>TEXT(tbl_analysis_tickets[[#This Row],[created_date]],"mmm-yyyy")</f>
        <v>Sep-2024</v>
      </c>
      <c r="U1738" t="str">
        <f>TEXT(tbl_analysis_tickets[[#This Row],[created_date]],"dddd")</f>
        <v>Saturday</v>
      </c>
      <c r="V1738" cm="1">
        <f t="array" ref="V1738">_xlfn.SWITCH(tbl_analysis_tickets[[#This Row],[priority]],
"Urgent",1,
"High",2,
"Medium",3,
"Low",4
)</f>
        <v>3</v>
      </c>
    </row>
    <row r="1739" spans="1:22" x14ac:dyDescent="0.25">
      <c r="A1739">
        <v>1738</v>
      </c>
      <c r="B1739" s="1">
        <v>45516</v>
      </c>
      <c r="C1739" t="s">
        <v>14</v>
      </c>
      <c r="D1739" t="s">
        <v>11</v>
      </c>
      <c r="E1739">
        <v>200</v>
      </c>
      <c r="F1739">
        <v>43</v>
      </c>
      <c r="G1739">
        <v>2.8</v>
      </c>
      <c r="H1739" t="s">
        <v>18</v>
      </c>
      <c r="I1739" t="s">
        <v>16</v>
      </c>
      <c r="J1739" t="s">
        <v>11</v>
      </c>
      <c r="K1739">
        <f>_xlfn.XLOOKUP(tbl_analysis_tickets[[#This Row],[priority]],tbl_sla[priority],tbl_sla[Resolution SLA Hours])</f>
        <v>72</v>
      </c>
      <c r="L1739">
        <f>_xlfn.XLOOKUP(tbl_analysis_tickets[[#This Row],[priority]],tbl_sla[priority],tbl_sla[First Response SLA Minutes])</f>
        <v>240</v>
      </c>
      <c r="M1739" t="str">
        <f>IF(tbl_analysis_tickets[[#This Row],[resolution_time_hours]]&gt;tbl_analysis_tickets[[#This Row],[Resolution SLA Hours]],"Breached","Within SLA")</f>
        <v>Within SLA</v>
      </c>
      <c r="N1739" t="str">
        <f>IF(tbl_analysis_tickets[[#This Row],[first_response_minutes]]&gt;tbl_analysis_tickets[[#This Row],[First Response SLA Minutes]],"Breached","Within SLA")</f>
        <v>Within SLA</v>
      </c>
      <c r="O1739" t="str" cm="1">
        <f t="array" ref="O1739">_xlfn.IFS(
tbl_analysis_tickets[[#This Row],[agent_experience_years]]&lt;=2,"Junior",
tbl_analysis_tickets[[#This Row],[agent_experience_years]]&lt;=5,"Mid-Level",
tbl_analysis_tickets[[#This Row],[agent_experience_years]]&lt;=8,"Senior",
tbl_analysis_tickets[[#This Row],[agent_experience_years]]&gt;8,"Expert"
)</f>
        <v>Mid-Level</v>
      </c>
      <c r="P1739" cm="1">
        <f t="array" ref="P1739">_xlfn.SWITCH(tbl_analysis_tickets[[#This Row],[customer_satisfaction]],
"Low",1,
"Medium",2,
"High",3
)</f>
        <v>1</v>
      </c>
      <c r="Q1739">
        <f>IF(tbl_analysis_tickets[[#This Row],[reopened]]="Yes",1,0)</f>
        <v>0</v>
      </c>
      <c r="R1739" t="str" cm="1">
        <f t="array" ref="R1739">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739" t="str" cm="1">
        <f t="array" ref="S173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739" t="str">
        <f>TEXT(tbl_analysis_tickets[[#This Row],[created_date]],"mmm-yyyy")</f>
        <v>Aug-2024</v>
      </c>
      <c r="U1739" t="str">
        <f>TEXT(tbl_analysis_tickets[[#This Row],[created_date]],"dddd")</f>
        <v>Monday</v>
      </c>
      <c r="V1739" cm="1">
        <f t="array" ref="V1739">_xlfn.SWITCH(tbl_analysis_tickets[[#This Row],[priority]],
"Urgent",1,
"High",2,
"Medium",3,
"Low",4
)</f>
        <v>4</v>
      </c>
    </row>
    <row r="1740" spans="1:22" x14ac:dyDescent="0.25">
      <c r="A1740">
        <v>1739</v>
      </c>
      <c r="B1740" s="1">
        <v>45559</v>
      </c>
      <c r="C1740" t="s">
        <v>10</v>
      </c>
      <c r="D1740" t="s">
        <v>20</v>
      </c>
      <c r="E1740">
        <v>206</v>
      </c>
      <c r="F1740">
        <v>26</v>
      </c>
      <c r="G1740">
        <v>0.7</v>
      </c>
      <c r="H1740" t="s">
        <v>18</v>
      </c>
      <c r="I1740" t="s">
        <v>19</v>
      </c>
      <c r="J1740" t="s">
        <v>11</v>
      </c>
      <c r="K1740">
        <f>_xlfn.XLOOKUP(tbl_analysis_tickets[[#This Row],[priority]],tbl_sla[priority],tbl_sla[Resolution SLA Hours])</f>
        <v>24</v>
      </c>
      <c r="L1740">
        <f>_xlfn.XLOOKUP(tbl_analysis_tickets[[#This Row],[priority]],tbl_sla[priority],tbl_sla[First Response SLA Minutes])</f>
        <v>60</v>
      </c>
      <c r="M1740" t="str">
        <f>IF(tbl_analysis_tickets[[#This Row],[resolution_time_hours]]&gt;tbl_analysis_tickets[[#This Row],[Resolution SLA Hours]],"Breached","Within SLA")</f>
        <v>Breached</v>
      </c>
      <c r="N1740" t="str">
        <f>IF(tbl_analysis_tickets[[#This Row],[first_response_minutes]]&gt;tbl_analysis_tickets[[#This Row],[First Response SLA Minutes]],"Breached","Within SLA")</f>
        <v>Breached</v>
      </c>
      <c r="O1740" t="str" cm="1">
        <f t="array" ref="O1740">_xlfn.IFS(
tbl_analysis_tickets[[#This Row],[agent_experience_years]]&lt;=2,"Junior",
tbl_analysis_tickets[[#This Row],[agent_experience_years]]&lt;=5,"Mid-Level",
tbl_analysis_tickets[[#This Row],[agent_experience_years]]&lt;=8,"Senior",
tbl_analysis_tickets[[#This Row],[agent_experience_years]]&gt;8,"Expert"
)</f>
        <v>Junior</v>
      </c>
      <c r="P1740" cm="1">
        <f t="array" ref="P1740">_xlfn.SWITCH(tbl_analysis_tickets[[#This Row],[customer_satisfaction]],
"Low",1,
"Medium",2,
"High",3
)</f>
        <v>1</v>
      </c>
      <c r="Q1740">
        <f>IF(tbl_analysis_tickets[[#This Row],[reopened]]="Yes",1,0)</f>
        <v>0</v>
      </c>
      <c r="R1740" t="str" cm="1">
        <f t="array" ref="R1740">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740" t="str" cm="1">
        <f t="array" ref="S174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740" t="str">
        <f>TEXT(tbl_analysis_tickets[[#This Row],[created_date]],"mmm-yyyy")</f>
        <v>Sep-2024</v>
      </c>
      <c r="U1740" t="str">
        <f>TEXT(tbl_analysis_tickets[[#This Row],[created_date]],"dddd")</f>
        <v>Tuesday</v>
      </c>
      <c r="V1740" cm="1">
        <f t="array" ref="V1740">_xlfn.SWITCH(tbl_analysis_tickets[[#This Row],[priority]],
"Urgent",1,
"High",2,
"Medium",3,
"Low",4
)</f>
        <v>2</v>
      </c>
    </row>
    <row r="1741" spans="1:22" x14ac:dyDescent="0.25">
      <c r="A1741">
        <v>1740</v>
      </c>
      <c r="B1741" s="1">
        <v>45307</v>
      </c>
      <c r="C1741" t="s">
        <v>22</v>
      </c>
      <c r="D1741" t="s">
        <v>17</v>
      </c>
      <c r="E1741">
        <v>161</v>
      </c>
      <c r="F1741">
        <v>39</v>
      </c>
      <c r="G1741">
        <v>5.0999999999999996</v>
      </c>
      <c r="H1741" t="s">
        <v>18</v>
      </c>
      <c r="I1741" t="s">
        <v>16</v>
      </c>
      <c r="J1741" t="s">
        <v>11</v>
      </c>
      <c r="K1741">
        <f>_xlfn.XLOOKUP(tbl_analysis_tickets[[#This Row],[priority]],tbl_sla[priority],tbl_sla[Resolution SLA Hours])</f>
        <v>8</v>
      </c>
      <c r="L1741">
        <f>_xlfn.XLOOKUP(tbl_analysis_tickets[[#This Row],[priority]],tbl_sla[priority],tbl_sla[First Response SLA Minutes])</f>
        <v>30</v>
      </c>
      <c r="M1741" t="str">
        <f>IF(tbl_analysis_tickets[[#This Row],[resolution_time_hours]]&gt;tbl_analysis_tickets[[#This Row],[Resolution SLA Hours]],"Breached","Within SLA")</f>
        <v>Breached</v>
      </c>
      <c r="N1741" t="str">
        <f>IF(tbl_analysis_tickets[[#This Row],[first_response_minutes]]&gt;tbl_analysis_tickets[[#This Row],[First Response SLA Minutes]],"Breached","Within SLA")</f>
        <v>Breached</v>
      </c>
      <c r="O1741" t="str" cm="1">
        <f t="array" ref="O1741">_xlfn.IFS(
tbl_analysis_tickets[[#This Row],[agent_experience_years]]&lt;=2,"Junior",
tbl_analysis_tickets[[#This Row],[agent_experience_years]]&lt;=5,"Mid-Level",
tbl_analysis_tickets[[#This Row],[agent_experience_years]]&lt;=8,"Senior",
tbl_analysis_tickets[[#This Row],[agent_experience_years]]&gt;8,"Expert"
)</f>
        <v>Senior</v>
      </c>
      <c r="P1741" cm="1">
        <f t="array" ref="P1741">_xlfn.SWITCH(tbl_analysis_tickets[[#This Row],[customer_satisfaction]],
"Low",1,
"Medium",2,
"High",3
)</f>
        <v>1</v>
      </c>
      <c r="Q1741">
        <f>IF(tbl_analysis_tickets[[#This Row],[reopened]]="Yes",1,0)</f>
        <v>0</v>
      </c>
      <c r="R1741" t="str" cm="1">
        <f t="array" ref="R1741">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741" t="str" cm="1">
        <f t="array" ref="S174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741" t="str">
        <f>TEXT(tbl_analysis_tickets[[#This Row],[created_date]],"mmm-yyyy")</f>
        <v>Jan-2024</v>
      </c>
      <c r="U1741" t="str">
        <f>TEXT(tbl_analysis_tickets[[#This Row],[created_date]],"dddd")</f>
        <v>Tuesday</v>
      </c>
      <c r="V1741" cm="1">
        <f t="array" ref="V1741">_xlfn.SWITCH(tbl_analysis_tickets[[#This Row],[priority]],
"Urgent",1,
"High",2,
"Medium",3,
"Low",4
)</f>
        <v>1</v>
      </c>
    </row>
    <row r="1742" spans="1:22" x14ac:dyDescent="0.25">
      <c r="A1742">
        <v>1741</v>
      </c>
      <c r="B1742" s="1">
        <v>45381</v>
      </c>
      <c r="C1742" t="s">
        <v>10</v>
      </c>
      <c r="D1742" t="s">
        <v>20</v>
      </c>
      <c r="E1742">
        <v>127</v>
      </c>
      <c r="F1742">
        <v>35</v>
      </c>
      <c r="G1742">
        <v>9.1999999999999993</v>
      </c>
      <c r="H1742" t="s">
        <v>12</v>
      </c>
      <c r="I1742" t="s">
        <v>13</v>
      </c>
      <c r="J1742" t="s">
        <v>11</v>
      </c>
      <c r="K1742">
        <f>_xlfn.XLOOKUP(tbl_analysis_tickets[[#This Row],[priority]],tbl_sla[priority],tbl_sla[Resolution SLA Hours])</f>
        <v>24</v>
      </c>
      <c r="L1742">
        <f>_xlfn.XLOOKUP(tbl_analysis_tickets[[#This Row],[priority]],tbl_sla[priority],tbl_sla[First Response SLA Minutes])</f>
        <v>60</v>
      </c>
      <c r="M1742" t="str">
        <f>IF(tbl_analysis_tickets[[#This Row],[resolution_time_hours]]&gt;tbl_analysis_tickets[[#This Row],[Resolution SLA Hours]],"Breached","Within SLA")</f>
        <v>Breached</v>
      </c>
      <c r="N1742" t="str">
        <f>IF(tbl_analysis_tickets[[#This Row],[first_response_minutes]]&gt;tbl_analysis_tickets[[#This Row],[First Response SLA Minutes]],"Breached","Within SLA")</f>
        <v>Breached</v>
      </c>
      <c r="O1742" t="str" cm="1">
        <f t="array" ref="O1742">_xlfn.IFS(
tbl_analysis_tickets[[#This Row],[agent_experience_years]]&lt;=2,"Junior",
tbl_analysis_tickets[[#This Row],[agent_experience_years]]&lt;=5,"Mid-Level",
tbl_analysis_tickets[[#This Row],[agent_experience_years]]&lt;=8,"Senior",
tbl_analysis_tickets[[#This Row],[agent_experience_years]]&gt;8,"Expert"
)</f>
        <v>Expert</v>
      </c>
      <c r="P1742" cm="1">
        <f t="array" ref="P1742">_xlfn.SWITCH(tbl_analysis_tickets[[#This Row],[customer_satisfaction]],
"Low",1,
"Medium",2,
"High",3
)</f>
        <v>1</v>
      </c>
      <c r="Q1742">
        <f>IF(tbl_analysis_tickets[[#This Row],[reopened]]="Yes",1,0)</f>
        <v>1</v>
      </c>
      <c r="R1742" t="str" cm="1">
        <f t="array" ref="R1742">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742" t="str" cm="1">
        <f t="array" ref="S174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742" t="str">
        <f>TEXT(tbl_analysis_tickets[[#This Row],[created_date]],"mmm-yyyy")</f>
        <v>Mar-2024</v>
      </c>
      <c r="U1742" t="str">
        <f>TEXT(tbl_analysis_tickets[[#This Row],[created_date]],"dddd")</f>
        <v>Saturday</v>
      </c>
      <c r="V1742" cm="1">
        <f t="array" ref="V1742">_xlfn.SWITCH(tbl_analysis_tickets[[#This Row],[priority]],
"Urgent",1,
"High",2,
"Medium",3,
"Low",4
)</f>
        <v>2</v>
      </c>
    </row>
    <row r="1743" spans="1:22" x14ac:dyDescent="0.25">
      <c r="A1743">
        <v>1742</v>
      </c>
      <c r="B1743" s="1">
        <v>45543</v>
      </c>
      <c r="C1743" t="s">
        <v>10</v>
      </c>
      <c r="D1743" t="s">
        <v>20</v>
      </c>
      <c r="E1743">
        <v>199</v>
      </c>
      <c r="F1743">
        <v>54</v>
      </c>
      <c r="G1743">
        <v>8.6999999999999993</v>
      </c>
      <c r="H1743" t="s">
        <v>12</v>
      </c>
      <c r="I1743" t="s">
        <v>19</v>
      </c>
      <c r="J1743" t="s">
        <v>11</v>
      </c>
      <c r="K1743">
        <f>_xlfn.XLOOKUP(tbl_analysis_tickets[[#This Row],[priority]],tbl_sla[priority],tbl_sla[Resolution SLA Hours])</f>
        <v>24</v>
      </c>
      <c r="L1743">
        <f>_xlfn.XLOOKUP(tbl_analysis_tickets[[#This Row],[priority]],tbl_sla[priority],tbl_sla[First Response SLA Minutes])</f>
        <v>60</v>
      </c>
      <c r="M1743" t="str">
        <f>IF(tbl_analysis_tickets[[#This Row],[resolution_time_hours]]&gt;tbl_analysis_tickets[[#This Row],[Resolution SLA Hours]],"Breached","Within SLA")</f>
        <v>Breached</v>
      </c>
      <c r="N1743" t="str">
        <f>IF(tbl_analysis_tickets[[#This Row],[first_response_minutes]]&gt;tbl_analysis_tickets[[#This Row],[First Response SLA Minutes]],"Breached","Within SLA")</f>
        <v>Breached</v>
      </c>
      <c r="O1743" t="str" cm="1">
        <f t="array" ref="O1743">_xlfn.IFS(
tbl_analysis_tickets[[#This Row],[agent_experience_years]]&lt;=2,"Junior",
tbl_analysis_tickets[[#This Row],[agent_experience_years]]&lt;=5,"Mid-Level",
tbl_analysis_tickets[[#This Row],[agent_experience_years]]&lt;=8,"Senior",
tbl_analysis_tickets[[#This Row],[agent_experience_years]]&gt;8,"Expert"
)</f>
        <v>Expert</v>
      </c>
      <c r="P1743" cm="1">
        <f t="array" ref="P1743">_xlfn.SWITCH(tbl_analysis_tickets[[#This Row],[customer_satisfaction]],
"Low",1,
"Medium",2,
"High",3
)</f>
        <v>1</v>
      </c>
      <c r="Q1743">
        <f>IF(tbl_analysis_tickets[[#This Row],[reopened]]="Yes",1,0)</f>
        <v>1</v>
      </c>
      <c r="R1743" t="str" cm="1">
        <f t="array" ref="R1743">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743" t="str" cm="1">
        <f t="array" ref="S174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743" t="str">
        <f>TEXT(tbl_analysis_tickets[[#This Row],[created_date]],"mmm-yyyy")</f>
        <v>Sep-2024</v>
      </c>
      <c r="U1743" t="str">
        <f>TEXT(tbl_analysis_tickets[[#This Row],[created_date]],"dddd")</f>
        <v>Sunday</v>
      </c>
      <c r="V1743" cm="1">
        <f t="array" ref="V1743">_xlfn.SWITCH(tbl_analysis_tickets[[#This Row],[priority]],
"Urgent",1,
"High",2,
"Medium",3,
"Low",4
)</f>
        <v>2</v>
      </c>
    </row>
    <row r="1744" spans="1:22" x14ac:dyDescent="0.25">
      <c r="A1744">
        <v>1743</v>
      </c>
      <c r="B1744" s="1">
        <v>45377</v>
      </c>
      <c r="C1744" t="s">
        <v>23</v>
      </c>
      <c r="D1744" t="s">
        <v>17</v>
      </c>
      <c r="E1744">
        <v>14</v>
      </c>
      <c r="F1744">
        <v>30</v>
      </c>
      <c r="G1744">
        <v>2.9</v>
      </c>
      <c r="H1744" t="s">
        <v>18</v>
      </c>
      <c r="I1744" t="s">
        <v>16</v>
      </c>
      <c r="J1744" t="s">
        <v>15</v>
      </c>
      <c r="K1744">
        <f>_xlfn.XLOOKUP(tbl_analysis_tickets[[#This Row],[priority]],tbl_sla[priority],tbl_sla[Resolution SLA Hours])</f>
        <v>8</v>
      </c>
      <c r="L1744">
        <f>_xlfn.XLOOKUP(tbl_analysis_tickets[[#This Row],[priority]],tbl_sla[priority],tbl_sla[First Response SLA Minutes])</f>
        <v>30</v>
      </c>
      <c r="M1744" t="str">
        <f>IF(tbl_analysis_tickets[[#This Row],[resolution_time_hours]]&gt;tbl_analysis_tickets[[#This Row],[Resolution SLA Hours]],"Breached","Within SLA")</f>
        <v>Breached</v>
      </c>
      <c r="N1744" t="str">
        <f>IF(tbl_analysis_tickets[[#This Row],[first_response_minutes]]&gt;tbl_analysis_tickets[[#This Row],[First Response SLA Minutes]],"Breached","Within SLA")</f>
        <v>Within SLA</v>
      </c>
      <c r="O1744" t="str" cm="1">
        <f t="array" ref="O1744">_xlfn.IFS(
tbl_analysis_tickets[[#This Row],[agent_experience_years]]&lt;=2,"Junior",
tbl_analysis_tickets[[#This Row],[agent_experience_years]]&lt;=5,"Mid-Level",
tbl_analysis_tickets[[#This Row],[agent_experience_years]]&lt;=8,"Senior",
tbl_analysis_tickets[[#This Row],[agent_experience_years]]&gt;8,"Expert"
)</f>
        <v>Mid-Level</v>
      </c>
      <c r="P1744" cm="1">
        <f t="array" ref="P1744">_xlfn.SWITCH(tbl_analysis_tickets[[#This Row],[customer_satisfaction]],
"Low",1,
"Medium",2,
"High",3
)</f>
        <v>2</v>
      </c>
      <c r="Q1744">
        <f>IF(tbl_analysis_tickets[[#This Row],[reopened]]="Yes",1,0)</f>
        <v>0</v>
      </c>
      <c r="R1744" t="str" cm="1">
        <f t="array" ref="R1744">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1744" t="str" cm="1">
        <f t="array" ref="S174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744" t="str">
        <f>TEXT(tbl_analysis_tickets[[#This Row],[created_date]],"mmm-yyyy")</f>
        <v>Mar-2024</v>
      </c>
      <c r="U1744" t="str">
        <f>TEXT(tbl_analysis_tickets[[#This Row],[created_date]],"dddd")</f>
        <v>Tuesday</v>
      </c>
      <c r="V1744" cm="1">
        <f t="array" ref="V1744">_xlfn.SWITCH(tbl_analysis_tickets[[#This Row],[priority]],
"Urgent",1,
"High",2,
"Medium",3,
"Low",4
)</f>
        <v>1</v>
      </c>
    </row>
    <row r="1745" spans="1:22" x14ac:dyDescent="0.25">
      <c r="A1745">
        <v>1744</v>
      </c>
      <c r="B1745" s="1">
        <v>45395</v>
      </c>
      <c r="C1745" t="s">
        <v>23</v>
      </c>
      <c r="D1745" t="s">
        <v>17</v>
      </c>
      <c r="E1745">
        <v>239</v>
      </c>
      <c r="F1745">
        <v>7</v>
      </c>
      <c r="G1745">
        <v>6.7</v>
      </c>
      <c r="H1745" t="s">
        <v>12</v>
      </c>
      <c r="I1745" t="s">
        <v>19</v>
      </c>
      <c r="J1745" t="s">
        <v>11</v>
      </c>
      <c r="K1745">
        <f>_xlfn.XLOOKUP(tbl_analysis_tickets[[#This Row],[priority]],tbl_sla[priority],tbl_sla[Resolution SLA Hours])</f>
        <v>8</v>
      </c>
      <c r="L1745">
        <f>_xlfn.XLOOKUP(tbl_analysis_tickets[[#This Row],[priority]],tbl_sla[priority],tbl_sla[First Response SLA Minutes])</f>
        <v>30</v>
      </c>
      <c r="M1745" t="str">
        <f>IF(tbl_analysis_tickets[[#This Row],[resolution_time_hours]]&gt;tbl_analysis_tickets[[#This Row],[Resolution SLA Hours]],"Breached","Within SLA")</f>
        <v>Within SLA</v>
      </c>
      <c r="N1745" t="str">
        <f>IF(tbl_analysis_tickets[[#This Row],[first_response_minutes]]&gt;tbl_analysis_tickets[[#This Row],[First Response SLA Minutes]],"Breached","Within SLA")</f>
        <v>Breached</v>
      </c>
      <c r="O1745" t="str" cm="1">
        <f t="array" ref="O1745">_xlfn.IFS(
tbl_analysis_tickets[[#This Row],[agent_experience_years]]&lt;=2,"Junior",
tbl_analysis_tickets[[#This Row],[agent_experience_years]]&lt;=5,"Mid-Level",
tbl_analysis_tickets[[#This Row],[agent_experience_years]]&lt;=8,"Senior",
tbl_analysis_tickets[[#This Row],[agent_experience_years]]&gt;8,"Expert"
)</f>
        <v>Senior</v>
      </c>
      <c r="P1745" cm="1">
        <f t="array" ref="P1745">_xlfn.SWITCH(tbl_analysis_tickets[[#This Row],[customer_satisfaction]],
"Low",1,
"Medium",2,
"High",3
)</f>
        <v>1</v>
      </c>
      <c r="Q1745">
        <f>IF(tbl_analysis_tickets[[#This Row],[reopened]]="Yes",1,0)</f>
        <v>1</v>
      </c>
      <c r="R1745" t="str" cm="1">
        <f t="array" ref="R1745">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745" t="str" cm="1">
        <f t="array" ref="S174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1745" t="str">
        <f>TEXT(tbl_analysis_tickets[[#This Row],[created_date]],"mmm-yyyy")</f>
        <v>Apr-2024</v>
      </c>
      <c r="U1745" t="str">
        <f>TEXT(tbl_analysis_tickets[[#This Row],[created_date]],"dddd")</f>
        <v>Saturday</v>
      </c>
      <c r="V1745" cm="1">
        <f t="array" ref="V1745">_xlfn.SWITCH(tbl_analysis_tickets[[#This Row],[priority]],
"Urgent",1,
"High",2,
"Medium",3,
"Low",4
)</f>
        <v>1</v>
      </c>
    </row>
    <row r="1746" spans="1:22" x14ac:dyDescent="0.25">
      <c r="A1746">
        <v>1745</v>
      </c>
      <c r="B1746" s="1">
        <v>45586</v>
      </c>
      <c r="C1746" t="s">
        <v>23</v>
      </c>
      <c r="D1746" t="s">
        <v>17</v>
      </c>
      <c r="E1746">
        <v>181</v>
      </c>
      <c r="F1746">
        <v>13</v>
      </c>
      <c r="G1746">
        <v>7.7</v>
      </c>
      <c r="H1746" t="s">
        <v>18</v>
      </c>
      <c r="I1746" t="s">
        <v>16</v>
      </c>
      <c r="J1746" t="s">
        <v>11</v>
      </c>
      <c r="K1746">
        <f>_xlfn.XLOOKUP(tbl_analysis_tickets[[#This Row],[priority]],tbl_sla[priority],tbl_sla[Resolution SLA Hours])</f>
        <v>8</v>
      </c>
      <c r="L1746">
        <f>_xlfn.XLOOKUP(tbl_analysis_tickets[[#This Row],[priority]],tbl_sla[priority],tbl_sla[First Response SLA Minutes])</f>
        <v>30</v>
      </c>
      <c r="M1746" t="str">
        <f>IF(tbl_analysis_tickets[[#This Row],[resolution_time_hours]]&gt;tbl_analysis_tickets[[#This Row],[Resolution SLA Hours]],"Breached","Within SLA")</f>
        <v>Breached</v>
      </c>
      <c r="N1746" t="str">
        <f>IF(tbl_analysis_tickets[[#This Row],[first_response_minutes]]&gt;tbl_analysis_tickets[[#This Row],[First Response SLA Minutes]],"Breached","Within SLA")</f>
        <v>Breached</v>
      </c>
      <c r="O1746" t="str" cm="1">
        <f t="array" ref="O1746">_xlfn.IFS(
tbl_analysis_tickets[[#This Row],[agent_experience_years]]&lt;=2,"Junior",
tbl_analysis_tickets[[#This Row],[agent_experience_years]]&lt;=5,"Mid-Level",
tbl_analysis_tickets[[#This Row],[agent_experience_years]]&lt;=8,"Senior",
tbl_analysis_tickets[[#This Row],[agent_experience_years]]&gt;8,"Expert"
)</f>
        <v>Senior</v>
      </c>
      <c r="P1746" cm="1">
        <f t="array" ref="P1746">_xlfn.SWITCH(tbl_analysis_tickets[[#This Row],[customer_satisfaction]],
"Low",1,
"Medium",2,
"High",3
)</f>
        <v>1</v>
      </c>
      <c r="Q1746">
        <f>IF(tbl_analysis_tickets[[#This Row],[reopened]]="Yes",1,0)</f>
        <v>0</v>
      </c>
      <c r="R1746" t="str" cm="1">
        <f t="array" ref="R1746">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746" t="str" cm="1">
        <f t="array" ref="S174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746" t="str">
        <f>TEXT(tbl_analysis_tickets[[#This Row],[created_date]],"mmm-yyyy")</f>
        <v>Oct-2024</v>
      </c>
      <c r="U1746" t="str">
        <f>TEXT(tbl_analysis_tickets[[#This Row],[created_date]],"dddd")</f>
        <v>Monday</v>
      </c>
      <c r="V1746" cm="1">
        <f t="array" ref="V1746">_xlfn.SWITCH(tbl_analysis_tickets[[#This Row],[priority]],
"Urgent",1,
"High",2,
"Medium",3,
"Low",4
)</f>
        <v>1</v>
      </c>
    </row>
    <row r="1747" spans="1:22" x14ac:dyDescent="0.25">
      <c r="A1747">
        <v>1746</v>
      </c>
      <c r="B1747" s="1">
        <v>45312</v>
      </c>
      <c r="C1747" t="s">
        <v>22</v>
      </c>
      <c r="D1747" t="s">
        <v>15</v>
      </c>
      <c r="E1747">
        <v>67</v>
      </c>
      <c r="F1747">
        <v>40</v>
      </c>
      <c r="G1747">
        <v>5</v>
      </c>
      <c r="H1747" t="s">
        <v>12</v>
      </c>
      <c r="I1747" t="s">
        <v>16</v>
      </c>
      <c r="J1747" t="s">
        <v>11</v>
      </c>
      <c r="K1747">
        <f>_xlfn.XLOOKUP(tbl_analysis_tickets[[#This Row],[priority]],tbl_sla[priority],tbl_sla[Resolution SLA Hours])</f>
        <v>48</v>
      </c>
      <c r="L1747">
        <f>_xlfn.XLOOKUP(tbl_analysis_tickets[[#This Row],[priority]],tbl_sla[priority],tbl_sla[First Response SLA Minutes])</f>
        <v>120</v>
      </c>
      <c r="M1747" t="str">
        <f>IF(tbl_analysis_tickets[[#This Row],[resolution_time_hours]]&gt;tbl_analysis_tickets[[#This Row],[Resolution SLA Hours]],"Breached","Within SLA")</f>
        <v>Within SLA</v>
      </c>
      <c r="N1747" t="str">
        <f>IF(tbl_analysis_tickets[[#This Row],[first_response_minutes]]&gt;tbl_analysis_tickets[[#This Row],[First Response SLA Minutes]],"Breached","Within SLA")</f>
        <v>Within SLA</v>
      </c>
      <c r="O1747" t="str" cm="1">
        <f t="array" ref="O1747">_xlfn.IFS(
tbl_analysis_tickets[[#This Row],[agent_experience_years]]&lt;=2,"Junior",
tbl_analysis_tickets[[#This Row],[agent_experience_years]]&lt;=5,"Mid-Level",
tbl_analysis_tickets[[#This Row],[agent_experience_years]]&lt;=8,"Senior",
tbl_analysis_tickets[[#This Row],[agent_experience_years]]&gt;8,"Expert"
)</f>
        <v>Mid-Level</v>
      </c>
      <c r="P1747" cm="1">
        <f t="array" ref="P1747">_xlfn.SWITCH(tbl_analysis_tickets[[#This Row],[customer_satisfaction]],
"Low",1,
"Medium",2,
"High",3
)</f>
        <v>1</v>
      </c>
      <c r="Q1747">
        <f>IF(tbl_analysis_tickets[[#This Row],[reopened]]="Yes",1,0)</f>
        <v>1</v>
      </c>
      <c r="R1747" t="str" cm="1">
        <f t="array" ref="R1747">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747" t="str" cm="1">
        <f t="array" ref="S174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747" t="str">
        <f>TEXT(tbl_analysis_tickets[[#This Row],[created_date]],"mmm-yyyy")</f>
        <v>Jan-2024</v>
      </c>
      <c r="U1747" t="str">
        <f>TEXT(tbl_analysis_tickets[[#This Row],[created_date]],"dddd")</f>
        <v>Sunday</v>
      </c>
      <c r="V1747" cm="1">
        <f t="array" ref="V1747">_xlfn.SWITCH(tbl_analysis_tickets[[#This Row],[priority]],
"Urgent",1,
"High",2,
"Medium",3,
"Low",4
)</f>
        <v>3</v>
      </c>
    </row>
    <row r="1748" spans="1:22" x14ac:dyDescent="0.25">
      <c r="A1748">
        <v>1747</v>
      </c>
      <c r="B1748" s="1">
        <v>45489</v>
      </c>
      <c r="C1748" t="s">
        <v>23</v>
      </c>
      <c r="D1748" t="s">
        <v>15</v>
      </c>
      <c r="E1748">
        <v>220</v>
      </c>
      <c r="F1748">
        <v>21</v>
      </c>
      <c r="G1748">
        <v>3.1</v>
      </c>
      <c r="H1748" t="s">
        <v>12</v>
      </c>
      <c r="I1748" t="s">
        <v>16</v>
      </c>
      <c r="J1748" t="s">
        <v>11</v>
      </c>
      <c r="K1748">
        <f>_xlfn.XLOOKUP(tbl_analysis_tickets[[#This Row],[priority]],tbl_sla[priority],tbl_sla[Resolution SLA Hours])</f>
        <v>48</v>
      </c>
      <c r="L1748">
        <f>_xlfn.XLOOKUP(tbl_analysis_tickets[[#This Row],[priority]],tbl_sla[priority],tbl_sla[First Response SLA Minutes])</f>
        <v>120</v>
      </c>
      <c r="M1748" t="str">
        <f>IF(tbl_analysis_tickets[[#This Row],[resolution_time_hours]]&gt;tbl_analysis_tickets[[#This Row],[Resolution SLA Hours]],"Breached","Within SLA")</f>
        <v>Within SLA</v>
      </c>
      <c r="N1748" t="str">
        <f>IF(tbl_analysis_tickets[[#This Row],[first_response_minutes]]&gt;tbl_analysis_tickets[[#This Row],[First Response SLA Minutes]],"Breached","Within SLA")</f>
        <v>Breached</v>
      </c>
      <c r="O1748" t="str" cm="1">
        <f t="array" ref="O1748">_xlfn.IFS(
tbl_analysis_tickets[[#This Row],[agent_experience_years]]&lt;=2,"Junior",
tbl_analysis_tickets[[#This Row],[agent_experience_years]]&lt;=5,"Mid-Level",
tbl_analysis_tickets[[#This Row],[agent_experience_years]]&lt;=8,"Senior",
tbl_analysis_tickets[[#This Row],[agent_experience_years]]&gt;8,"Expert"
)</f>
        <v>Mid-Level</v>
      </c>
      <c r="P1748" cm="1">
        <f t="array" ref="P1748">_xlfn.SWITCH(tbl_analysis_tickets[[#This Row],[customer_satisfaction]],
"Low",1,
"Medium",2,
"High",3
)</f>
        <v>1</v>
      </c>
      <c r="Q1748">
        <f>IF(tbl_analysis_tickets[[#This Row],[reopened]]="Yes",1,0)</f>
        <v>1</v>
      </c>
      <c r="R1748" t="str" cm="1">
        <f t="array" ref="R1748">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748" t="str" cm="1">
        <f t="array" ref="S174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748" t="str">
        <f>TEXT(tbl_analysis_tickets[[#This Row],[created_date]],"mmm-yyyy")</f>
        <v>Jul-2024</v>
      </c>
      <c r="U1748" t="str">
        <f>TEXT(tbl_analysis_tickets[[#This Row],[created_date]],"dddd")</f>
        <v>Tuesday</v>
      </c>
      <c r="V1748" cm="1">
        <f t="array" ref="V1748">_xlfn.SWITCH(tbl_analysis_tickets[[#This Row],[priority]],
"Urgent",1,
"High",2,
"Medium",3,
"Low",4
)</f>
        <v>3</v>
      </c>
    </row>
    <row r="1749" spans="1:22" x14ac:dyDescent="0.25">
      <c r="A1749">
        <v>1748</v>
      </c>
      <c r="B1749" s="1">
        <v>45390</v>
      </c>
      <c r="C1749" t="s">
        <v>21</v>
      </c>
      <c r="D1749" t="s">
        <v>20</v>
      </c>
      <c r="E1749">
        <v>229</v>
      </c>
      <c r="F1749">
        <v>53</v>
      </c>
      <c r="G1749">
        <v>6.3</v>
      </c>
      <c r="H1749" t="s">
        <v>12</v>
      </c>
      <c r="I1749" t="s">
        <v>19</v>
      </c>
      <c r="J1749" t="s">
        <v>11</v>
      </c>
      <c r="K1749">
        <f>_xlfn.XLOOKUP(tbl_analysis_tickets[[#This Row],[priority]],tbl_sla[priority],tbl_sla[Resolution SLA Hours])</f>
        <v>24</v>
      </c>
      <c r="L1749">
        <f>_xlfn.XLOOKUP(tbl_analysis_tickets[[#This Row],[priority]],tbl_sla[priority],tbl_sla[First Response SLA Minutes])</f>
        <v>60</v>
      </c>
      <c r="M1749" t="str">
        <f>IF(tbl_analysis_tickets[[#This Row],[resolution_time_hours]]&gt;tbl_analysis_tickets[[#This Row],[Resolution SLA Hours]],"Breached","Within SLA")</f>
        <v>Breached</v>
      </c>
      <c r="N1749" t="str">
        <f>IF(tbl_analysis_tickets[[#This Row],[first_response_minutes]]&gt;tbl_analysis_tickets[[#This Row],[First Response SLA Minutes]],"Breached","Within SLA")</f>
        <v>Breached</v>
      </c>
      <c r="O1749" t="str" cm="1">
        <f t="array" ref="O1749">_xlfn.IFS(
tbl_analysis_tickets[[#This Row],[agent_experience_years]]&lt;=2,"Junior",
tbl_analysis_tickets[[#This Row],[agent_experience_years]]&lt;=5,"Mid-Level",
tbl_analysis_tickets[[#This Row],[agent_experience_years]]&lt;=8,"Senior",
tbl_analysis_tickets[[#This Row],[agent_experience_years]]&gt;8,"Expert"
)</f>
        <v>Senior</v>
      </c>
      <c r="P1749" cm="1">
        <f t="array" ref="P1749">_xlfn.SWITCH(tbl_analysis_tickets[[#This Row],[customer_satisfaction]],
"Low",1,
"Medium",2,
"High",3
)</f>
        <v>1</v>
      </c>
      <c r="Q1749">
        <f>IF(tbl_analysis_tickets[[#This Row],[reopened]]="Yes",1,0)</f>
        <v>1</v>
      </c>
      <c r="R1749" t="str" cm="1">
        <f t="array" ref="R1749">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749" t="str" cm="1">
        <f t="array" ref="S174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749" t="str">
        <f>TEXT(tbl_analysis_tickets[[#This Row],[created_date]],"mmm-yyyy")</f>
        <v>Apr-2024</v>
      </c>
      <c r="U1749" t="str">
        <f>TEXT(tbl_analysis_tickets[[#This Row],[created_date]],"dddd")</f>
        <v>Monday</v>
      </c>
      <c r="V1749" cm="1">
        <f t="array" ref="V1749">_xlfn.SWITCH(tbl_analysis_tickets[[#This Row],[priority]],
"Urgent",1,
"High",2,
"Medium",3,
"Low",4
)</f>
        <v>2</v>
      </c>
    </row>
    <row r="1750" spans="1:22" x14ac:dyDescent="0.25">
      <c r="A1750">
        <v>1749</v>
      </c>
      <c r="B1750" s="1">
        <v>45508</v>
      </c>
      <c r="C1750" t="s">
        <v>23</v>
      </c>
      <c r="D1750" t="s">
        <v>11</v>
      </c>
      <c r="E1750">
        <v>98</v>
      </c>
      <c r="F1750">
        <v>49</v>
      </c>
      <c r="G1750">
        <v>3.7</v>
      </c>
      <c r="H1750" t="s">
        <v>12</v>
      </c>
      <c r="I1750" t="s">
        <v>13</v>
      </c>
      <c r="J1750" t="s">
        <v>11</v>
      </c>
      <c r="K1750">
        <f>_xlfn.XLOOKUP(tbl_analysis_tickets[[#This Row],[priority]],tbl_sla[priority],tbl_sla[Resolution SLA Hours])</f>
        <v>72</v>
      </c>
      <c r="L1750">
        <f>_xlfn.XLOOKUP(tbl_analysis_tickets[[#This Row],[priority]],tbl_sla[priority],tbl_sla[First Response SLA Minutes])</f>
        <v>240</v>
      </c>
      <c r="M1750" t="str">
        <f>IF(tbl_analysis_tickets[[#This Row],[resolution_time_hours]]&gt;tbl_analysis_tickets[[#This Row],[Resolution SLA Hours]],"Breached","Within SLA")</f>
        <v>Within SLA</v>
      </c>
      <c r="N1750" t="str">
        <f>IF(tbl_analysis_tickets[[#This Row],[first_response_minutes]]&gt;tbl_analysis_tickets[[#This Row],[First Response SLA Minutes]],"Breached","Within SLA")</f>
        <v>Within SLA</v>
      </c>
      <c r="O1750" t="str" cm="1">
        <f t="array" ref="O1750">_xlfn.IFS(
tbl_analysis_tickets[[#This Row],[agent_experience_years]]&lt;=2,"Junior",
tbl_analysis_tickets[[#This Row],[agent_experience_years]]&lt;=5,"Mid-Level",
tbl_analysis_tickets[[#This Row],[agent_experience_years]]&lt;=8,"Senior",
tbl_analysis_tickets[[#This Row],[agent_experience_years]]&gt;8,"Expert"
)</f>
        <v>Mid-Level</v>
      </c>
      <c r="P1750" cm="1">
        <f t="array" ref="P1750">_xlfn.SWITCH(tbl_analysis_tickets[[#This Row],[customer_satisfaction]],
"Low",1,
"Medium",2,
"High",3
)</f>
        <v>1</v>
      </c>
      <c r="Q1750">
        <f>IF(tbl_analysis_tickets[[#This Row],[reopened]]="Yes",1,0)</f>
        <v>1</v>
      </c>
      <c r="R1750" t="str" cm="1">
        <f t="array" ref="R1750">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750" t="str" cm="1">
        <f t="array" ref="S175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750" t="str">
        <f>TEXT(tbl_analysis_tickets[[#This Row],[created_date]],"mmm-yyyy")</f>
        <v>Aug-2024</v>
      </c>
      <c r="U1750" t="str">
        <f>TEXT(tbl_analysis_tickets[[#This Row],[created_date]],"dddd")</f>
        <v>Sunday</v>
      </c>
      <c r="V1750" cm="1">
        <f t="array" ref="V1750">_xlfn.SWITCH(tbl_analysis_tickets[[#This Row],[priority]],
"Urgent",1,
"High",2,
"Medium",3,
"Low",4
)</f>
        <v>4</v>
      </c>
    </row>
    <row r="1751" spans="1:22" x14ac:dyDescent="0.25">
      <c r="A1751">
        <v>1750</v>
      </c>
      <c r="B1751" s="1">
        <v>45510</v>
      </c>
      <c r="C1751" t="s">
        <v>21</v>
      </c>
      <c r="D1751" t="s">
        <v>20</v>
      </c>
      <c r="E1751">
        <v>202</v>
      </c>
      <c r="F1751">
        <v>49</v>
      </c>
      <c r="G1751">
        <v>3.6</v>
      </c>
      <c r="H1751" t="s">
        <v>12</v>
      </c>
      <c r="I1751" t="s">
        <v>13</v>
      </c>
      <c r="J1751" t="s">
        <v>11</v>
      </c>
      <c r="K1751">
        <f>_xlfn.XLOOKUP(tbl_analysis_tickets[[#This Row],[priority]],tbl_sla[priority],tbl_sla[Resolution SLA Hours])</f>
        <v>24</v>
      </c>
      <c r="L1751">
        <f>_xlfn.XLOOKUP(tbl_analysis_tickets[[#This Row],[priority]],tbl_sla[priority],tbl_sla[First Response SLA Minutes])</f>
        <v>60</v>
      </c>
      <c r="M1751" t="str">
        <f>IF(tbl_analysis_tickets[[#This Row],[resolution_time_hours]]&gt;tbl_analysis_tickets[[#This Row],[Resolution SLA Hours]],"Breached","Within SLA")</f>
        <v>Breached</v>
      </c>
      <c r="N1751" t="str">
        <f>IF(tbl_analysis_tickets[[#This Row],[first_response_minutes]]&gt;tbl_analysis_tickets[[#This Row],[First Response SLA Minutes]],"Breached","Within SLA")</f>
        <v>Breached</v>
      </c>
      <c r="O1751" t="str" cm="1">
        <f t="array" ref="O1751">_xlfn.IFS(
tbl_analysis_tickets[[#This Row],[agent_experience_years]]&lt;=2,"Junior",
tbl_analysis_tickets[[#This Row],[agent_experience_years]]&lt;=5,"Mid-Level",
tbl_analysis_tickets[[#This Row],[agent_experience_years]]&lt;=8,"Senior",
tbl_analysis_tickets[[#This Row],[agent_experience_years]]&gt;8,"Expert"
)</f>
        <v>Mid-Level</v>
      </c>
      <c r="P1751" cm="1">
        <f t="array" ref="P1751">_xlfn.SWITCH(tbl_analysis_tickets[[#This Row],[customer_satisfaction]],
"Low",1,
"Medium",2,
"High",3
)</f>
        <v>1</v>
      </c>
      <c r="Q1751">
        <f>IF(tbl_analysis_tickets[[#This Row],[reopened]]="Yes",1,0)</f>
        <v>1</v>
      </c>
      <c r="R1751" t="str" cm="1">
        <f t="array" ref="R1751">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751" t="str" cm="1">
        <f t="array" ref="S175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751" t="str">
        <f>TEXT(tbl_analysis_tickets[[#This Row],[created_date]],"mmm-yyyy")</f>
        <v>Aug-2024</v>
      </c>
      <c r="U1751" t="str">
        <f>TEXT(tbl_analysis_tickets[[#This Row],[created_date]],"dddd")</f>
        <v>Tuesday</v>
      </c>
      <c r="V1751" cm="1">
        <f t="array" ref="V1751">_xlfn.SWITCH(tbl_analysis_tickets[[#This Row],[priority]],
"Urgent",1,
"High",2,
"Medium",3,
"Low",4
)</f>
        <v>2</v>
      </c>
    </row>
    <row r="1752" spans="1:22" x14ac:dyDescent="0.25">
      <c r="A1752">
        <v>1751</v>
      </c>
      <c r="B1752" s="1">
        <v>45601</v>
      </c>
      <c r="C1752" t="s">
        <v>14</v>
      </c>
      <c r="D1752" t="s">
        <v>20</v>
      </c>
      <c r="E1752">
        <v>202</v>
      </c>
      <c r="F1752">
        <v>36</v>
      </c>
      <c r="G1752">
        <v>1.4</v>
      </c>
      <c r="H1752" t="s">
        <v>18</v>
      </c>
      <c r="I1752" t="s">
        <v>16</v>
      </c>
      <c r="J1752" t="s">
        <v>11</v>
      </c>
      <c r="K1752">
        <f>_xlfn.XLOOKUP(tbl_analysis_tickets[[#This Row],[priority]],tbl_sla[priority],tbl_sla[Resolution SLA Hours])</f>
        <v>24</v>
      </c>
      <c r="L1752">
        <f>_xlfn.XLOOKUP(tbl_analysis_tickets[[#This Row],[priority]],tbl_sla[priority],tbl_sla[First Response SLA Minutes])</f>
        <v>60</v>
      </c>
      <c r="M1752" t="str">
        <f>IF(tbl_analysis_tickets[[#This Row],[resolution_time_hours]]&gt;tbl_analysis_tickets[[#This Row],[Resolution SLA Hours]],"Breached","Within SLA")</f>
        <v>Breached</v>
      </c>
      <c r="N1752" t="str">
        <f>IF(tbl_analysis_tickets[[#This Row],[first_response_minutes]]&gt;tbl_analysis_tickets[[#This Row],[First Response SLA Minutes]],"Breached","Within SLA")</f>
        <v>Breached</v>
      </c>
      <c r="O1752" t="str" cm="1">
        <f t="array" ref="O1752">_xlfn.IFS(
tbl_analysis_tickets[[#This Row],[agent_experience_years]]&lt;=2,"Junior",
tbl_analysis_tickets[[#This Row],[agent_experience_years]]&lt;=5,"Mid-Level",
tbl_analysis_tickets[[#This Row],[agent_experience_years]]&lt;=8,"Senior",
tbl_analysis_tickets[[#This Row],[agent_experience_years]]&gt;8,"Expert"
)</f>
        <v>Junior</v>
      </c>
      <c r="P1752" cm="1">
        <f t="array" ref="P1752">_xlfn.SWITCH(tbl_analysis_tickets[[#This Row],[customer_satisfaction]],
"Low",1,
"Medium",2,
"High",3
)</f>
        <v>1</v>
      </c>
      <c r="Q1752">
        <f>IF(tbl_analysis_tickets[[#This Row],[reopened]]="Yes",1,0)</f>
        <v>0</v>
      </c>
      <c r="R1752" t="str" cm="1">
        <f t="array" ref="R1752">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752" t="str" cm="1">
        <f t="array" ref="S175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752" t="str">
        <f>TEXT(tbl_analysis_tickets[[#This Row],[created_date]],"mmm-yyyy")</f>
        <v>Nov-2024</v>
      </c>
      <c r="U1752" t="str">
        <f>TEXT(tbl_analysis_tickets[[#This Row],[created_date]],"dddd")</f>
        <v>Tuesday</v>
      </c>
      <c r="V1752" cm="1">
        <f t="array" ref="V1752">_xlfn.SWITCH(tbl_analysis_tickets[[#This Row],[priority]],
"Urgent",1,
"High",2,
"Medium",3,
"Low",4
)</f>
        <v>2</v>
      </c>
    </row>
    <row r="1753" spans="1:22" x14ac:dyDescent="0.25">
      <c r="A1753">
        <v>1752</v>
      </c>
      <c r="B1753" s="1">
        <v>45362</v>
      </c>
      <c r="C1753" t="s">
        <v>21</v>
      </c>
      <c r="D1753" t="s">
        <v>11</v>
      </c>
      <c r="E1753">
        <v>205</v>
      </c>
      <c r="F1753">
        <v>58</v>
      </c>
      <c r="G1753">
        <v>4.7</v>
      </c>
      <c r="H1753" t="s">
        <v>12</v>
      </c>
      <c r="I1753" t="s">
        <v>19</v>
      </c>
      <c r="J1753" t="s">
        <v>11</v>
      </c>
      <c r="K1753">
        <f>_xlfn.XLOOKUP(tbl_analysis_tickets[[#This Row],[priority]],tbl_sla[priority],tbl_sla[Resolution SLA Hours])</f>
        <v>72</v>
      </c>
      <c r="L1753">
        <f>_xlfn.XLOOKUP(tbl_analysis_tickets[[#This Row],[priority]],tbl_sla[priority],tbl_sla[First Response SLA Minutes])</f>
        <v>240</v>
      </c>
      <c r="M1753" t="str">
        <f>IF(tbl_analysis_tickets[[#This Row],[resolution_time_hours]]&gt;tbl_analysis_tickets[[#This Row],[Resolution SLA Hours]],"Breached","Within SLA")</f>
        <v>Within SLA</v>
      </c>
      <c r="N1753" t="str">
        <f>IF(tbl_analysis_tickets[[#This Row],[first_response_minutes]]&gt;tbl_analysis_tickets[[#This Row],[First Response SLA Minutes]],"Breached","Within SLA")</f>
        <v>Within SLA</v>
      </c>
      <c r="O1753" t="str" cm="1">
        <f t="array" ref="O1753">_xlfn.IFS(
tbl_analysis_tickets[[#This Row],[agent_experience_years]]&lt;=2,"Junior",
tbl_analysis_tickets[[#This Row],[agent_experience_years]]&lt;=5,"Mid-Level",
tbl_analysis_tickets[[#This Row],[agent_experience_years]]&lt;=8,"Senior",
tbl_analysis_tickets[[#This Row],[agent_experience_years]]&gt;8,"Expert"
)</f>
        <v>Mid-Level</v>
      </c>
      <c r="P1753" cm="1">
        <f t="array" ref="P1753">_xlfn.SWITCH(tbl_analysis_tickets[[#This Row],[customer_satisfaction]],
"Low",1,
"Medium",2,
"High",3
)</f>
        <v>1</v>
      </c>
      <c r="Q1753">
        <f>IF(tbl_analysis_tickets[[#This Row],[reopened]]="Yes",1,0)</f>
        <v>1</v>
      </c>
      <c r="R1753" t="str" cm="1">
        <f t="array" ref="R1753">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753" t="str" cm="1">
        <f t="array" ref="S175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753" t="str">
        <f>TEXT(tbl_analysis_tickets[[#This Row],[created_date]],"mmm-yyyy")</f>
        <v>Mar-2024</v>
      </c>
      <c r="U1753" t="str">
        <f>TEXT(tbl_analysis_tickets[[#This Row],[created_date]],"dddd")</f>
        <v>Monday</v>
      </c>
      <c r="V1753" cm="1">
        <f t="array" ref="V1753">_xlfn.SWITCH(tbl_analysis_tickets[[#This Row],[priority]],
"Urgent",1,
"High",2,
"Medium",3,
"Low",4
)</f>
        <v>4</v>
      </c>
    </row>
    <row r="1754" spans="1:22" x14ac:dyDescent="0.25">
      <c r="A1754">
        <v>1753</v>
      </c>
      <c r="B1754" s="1">
        <v>45554</v>
      </c>
      <c r="C1754" t="s">
        <v>14</v>
      </c>
      <c r="D1754" t="s">
        <v>17</v>
      </c>
      <c r="E1754">
        <v>222</v>
      </c>
      <c r="F1754">
        <v>45</v>
      </c>
      <c r="G1754">
        <v>2.7</v>
      </c>
      <c r="H1754" t="s">
        <v>12</v>
      </c>
      <c r="I1754" t="s">
        <v>19</v>
      </c>
      <c r="J1754" t="s">
        <v>11</v>
      </c>
      <c r="K1754">
        <f>_xlfn.XLOOKUP(tbl_analysis_tickets[[#This Row],[priority]],tbl_sla[priority],tbl_sla[Resolution SLA Hours])</f>
        <v>8</v>
      </c>
      <c r="L1754">
        <f>_xlfn.XLOOKUP(tbl_analysis_tickets[[#This Row],[priority]],tbl_sla[priority],tbl_sla[First Response SLA Minutes])</f>
        <v>30</v>
      </c>
      <c r="M1754" t="str">
        <f>IF(tbl_analysis_tickets[[#This Row],[resolution_time_hours]]&gt;tbl_analysis_tickets[[#This Row],[Resolution SLA Hours]],"Breached","Within SLA")</f>
        <v>Breached</v>
      </c>
      <c r="N1754" t="str">
        <f>IF(tbl_analysis_tickets[[#This Row],[first_response_minutes]]&gt;tbl_analysis_tickets[[#This Row],[First Response SLA Minutes]],"Breached","Within SLA")</f>
        <v>Breached</v>
      </c>
      <c r="O1754" t="str" cm="1">
        <f t="array" ref="O1754">_xlfn.IFS(
tbl_analysis_tickets[[#This Row],[agent_experience_years]]&lt;=2,"Junior",
tbl_analysis_tickets[[#This Row],[agent_experience_years]]&lt;=5,"Mid-Level",
tbl_analysis_tickets[[#This Row],[agent_experience_years]]&lt;=8,"Senior",
tbl_analysis_tickets[[#This Row],[agent_experience_years]]&gt;8,"Expert"
)</f>
        <v>Mid-Level</v>
      </c>
      <c r="P1754" cm="1">
        <f t="array" ref="P1754">_xlfn.SWITCH(tbl_analysis_tickets[[#This Row],[customer_satisfaction]],
"Low",1,
"Medium",2,
"High",3
)</f>
        <v>1</v>
      </c>
      <c r="Q1754">
        <f>IF(tbl_analysis_tickets[[#This Row],[reopened]]="Yes",1,0)</f>
        <v>1</v>
      </c>
      <c r="R1754" t="str" cm="1">
        <f t="array" ref="R1754">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754" t="str" cm="1">
        <f t="array" ref="S175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754" t="str">
        <f>TEXT(tbl_analysis_tickets[[#This Row],[created_date]],"mmm-yyyy")</f>
        <v>Sep-2024</v>
      </c>
      <c r="U1754" t="str">
        <f>TEXT(tbl_analysis_tickets[[#This Row],[created_date]],"dddd")</f>
        <v>Thursday</v>
      </c>
      <c r="V1754" cm="1">
        <f t="array" ref="V1754">_xlfn.SWITCH(tbl_analysis_tickets[[#This Row],[priority]],
"Urgent",1,
"High",2,
"Medium",3,
"Low",4
)</f>
        <v>1</v>
      </c>
    </row>
    <row r="1755" spans="1:22" x14ac:dyDescent="0.25">
      <c r="A1755">
        <v>1754</v>
      </c>
      <c r="B1755" s="1">
        <v>45527</v>
      </c>
      <c r="C1755" t="s">
        <v>10</v>
      </c>
      <c r="D1755" t="s">
        <v>11</v>
      </c>
      <c r="E1755">
        <v>213</v>
      </c>
      <c r="F1755">
        <v>13</v>
      </c>
      <c r="G1755">
        <v>2.9</v>
      </c>
      <c r="H1755" t="s">
        <v>18</v>
      </c>
      <c r="I1755" t="s">
        <v>16</v>
      </c>
      <c r="J1755" t="s">
        <v>11</v>
      </c>
      <c r="K1755">
        <f>_xlfn.XLOOKUP(tbl_analysis_tickets[[#This Row],[priority]],tbl_sla[priority],tbl_sla[Resolution SLA Hours])</f>
        <v>72</v>
      </c>
      <c r="L1755">
        <f>_xlfn.XLOOKUP(tbl_analysis_tickets[[#This Row],[priority]],tbl_sla[priority],tbl_sla[First Response SLA Minutes])</f>
        <v>240</v>
      </c>
      <c r="M1755" t="str">
        <f>IF(tbl_analysis_tickets[[#This Row],[resolution_time_hours]]&gt;tbl_analysis_tickets[[#This Row],[Resolution SLA Hours]],"Breached","Within SLA")</f>
        <v>Within SLA</v>
      </c>
      <c r="N1755" t="str">
        <f>IF(tbl_analysis_tickets[[#This Row],[first_response_minutes]]&gt;tbl_analysis_tickets[[#This Row],[First Response SLA Minutes]],"Breached","Within SLA")</f>
        <v>Within SLA</v>
      </c>
      <c r="O1755" t="str" cm="1">
        <f t="array" ref="O1755">_xlfn.IFS(
tbl_analysis_tickets[[#This Row],[agent_experience_years]]&lt;=2,"Junior",
tbl_analysis_tickets[[#This Row],[agent_experience_years]]&lt;=5,"Mid-Level",
tbl_analysis_tickets[[#This Row],[agent_experience_years]]&lt;=8,"Senior",
tbl_analysis_tickets[[#This Row],[agent_experience_years]]&gt;8,"Expert"
)</f>
        <v>Mid-Level</v>
      </c>
      <c r="P1755" cm="1">
        <f t="array" ref="P1755">_xlfn.SWITCH(tbl_analysis_tickets[[#This Row],[customer_satisfaction]],
"Low",1,
"Medium",2,
"High",3
)</f>
        <v>1</v>
      </c>
      <c r="Q1755">
        <f>IF(tbl_analysis_tickets[[#This Row],[reopened]]="Yes",1,0)</f>
        <v>0</v>
      </c>
      <c r="R1755" t="str" cm="1">
        <f t="array" ref="R1755">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755" t="str" cm="1">
        <f t="array" ref="S175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755" t="str">
        <f>TEXT(tbl_analysis_tickets[[#This Row],[created_date]],"mmm-yyyy")</f>
        <v>Aug-2024</v>
      </c>
      <c r="U1755" t="str">
        <f>TEXT(tbl_analysis_tickets[[#This Row],[created_date]],"dddd")</f>
        <v>Friday</v>
      </c>
      <c r="V1755" cm="1">
        <f t="array" ref="V1755">_xlfn.SWITCH(tbl_analysis_tickets[[#This Row],[priority]],
"Urgent",1,
"High",2,
"Medium",3,
"Low",4
)</f>
        <v>4</v>
      </c>
    </row>
    <row r="1756" spans="1:22" x14ac:dyDescent="0.25">
      <c r="A1756">
        <v>1755</v>
      </c>
      <c r="B1756" s="1">
        <v>45626</v>
      </c>
      <c r="C1756" t="s">
        <v>22</v>
      </c>
      <c r="D1756" t="s">
        <v>20</v>
      </c>
      <c r="E1756">
        <v>110</v>
      </c>
      <c r="F1756">
        <v>12</v>
      </c>
      <c r="G1756">
        <v>6.4</v>
      </c>
      <c r="H1756" t="s">
        <v>12</v>
      </c>
      <c r="I1756" t="s">
        <v>13</v>
      </c>
      <c r="J1756" t="s">
        <v>11</v>
      </c>
      <c r="K1756">
        <f>_xlfn.XLOOKUP(tbl_analysis_tickets[[#This Row],[priority]],tbl_sla[priority],tbl_sla[Resolution SLA Hours])</f>
        <v>24</v>
      </c>
      <c r="L1756">
        <f>_xlfn.XLOOKUP(tbl_analysis_tickets[[#This Row],[priority]],tbl_sla[priority],tbl_sla[First Response SLA Minutes])</f>
        <v>60</v>
      </c>
      <c r="M1756" t="str">
        <f>IF(tbl_analysis_tickets[[#This Row],[resolution_time_hours]]&gt;tbl_analysis_tickets[[#This Row],[Resolution SLA Hours]],"Breached","Within SLA")</f>
        <v>Within SLA</v>
      </c>
      <c r="N1756" t="str">
        <f>IF(tbl_analysis_tickets[[#This Row],[first_response_minutes]]&gt;tbl_analysis_tickets[[#This Row],[First Response SLA Minutes]],"Breached","Within SLA")</f>
        <v>Breached</v>
      </c>
      <c r="O1756" t="str" cm="1">
        <f t="array" ref="O1756">_xlfn.IFS(
tbl_analysis_tickets[[#This Row],[agent_experience_years]]&lt;=2,"Junior",
tbl_analysis_tickets[[#This Row],[agent_experience_years]]&lt;=5,"Mid-Level",
tbl_analysis_tickets[[#This Row],[agent_experience_years]]&lt;=8,"Senior",
tbl_analysis_tickets[[#This Row],[agent_experience_years]]&gt;8,"Expert"
)</f>
        <v>Senior</v>
      </c>
      <c r="P1756" cm="1">
        <f t="array" ref="P1756">_xlfn.SWITCH(tbl_analysis_tickets[[#This Row],[customer_satisfaction]],
"Low",1,
"Medium",2,
"High",3
)</f>
        <v>1</v>
      </c>
      <c r="Q1756">
        <f>IF(tbl_analysis_tickets[[#This Row],[reopened]]="Yes",1,0)</f>
        <v>1</v>
      </c>
      <c r="R1756" t="str" cm="1">
        <f t="array" ref="R1756">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756" t="str" cm="1">
        <f t="array" ref="S175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756" t="str">
        <f>TEXT(tbl_analysis_tickets[[#This Row],[created_date]],"mmm-yyyy")</f>
        <v>Nov-2024</v>
      </c>
      <c r="U1756" t="str">
        <f>TEXT(tbl_analysis_tickets[[#This Row],[created_date]],"dddd")</f>
        <v>Saturday</v>
      </c>
      <c r="V1756" cm="1">
        <f t="array" ref="V1756">_xlfn.SWITCH(tbl_analysis_tickets[[#This Row],[priority]],
"Urgent",1,
"High",2,
"Medium",3,
"Low",4
)</f>
        <v>2</v>
      </c>
    </row>
    <row r="1757" spans="1:22" x14ac:dyDescent="0.25">
      <c r="A1757">
        <v>1756</v>
      </c>
      <c r="B1757" s="1">
        <v>45326</v>
      </c>
      <c r="C1757" t="s">
        <v>23</v>
      </c>
      <c r="D1757" t="s">
        <v>11</v>
      </c>
      <c r="E1757">
        <v>164</v>
      </c>
      <c r="F1757">
        <v>43</v>
      </c>
      <c r="G1757">
        <v>4.7</v>
      </c>
      <c r="H1757" t="s">
        <v>18</v>
      </c>
      <c r="I1757" t="s">
        <v>16</v>
      </c>
      <c r="J1757" t="s">
        <v>11</v>
      </c>
      <c r="K1757">
        <f>_xlfn.XLOOKUP(tbl_analysis_tickets[[#This Row],[priority]],tbl_sla[priority],tbl_sla[Resolution SLA Hours])</f>
        <v>72</v>
      </c>
      <c r="L1757">
        <f>_xlfn.XLOOKUP(tbl_analysis_tickets[[#This Row],[priority]],tbl_sla[priority],tbl_sla[First Response SLA Minutes])</f>
        <v>240</v>
      </c>
      <c r="M1757" t="str">
        <f>IF(tbl_analysis_tickets[[#This Row],[resolution_time_hours]]&gt;tbl_analysis_tickets[[#This Row],[Resolution SLA Hours]],"Breached","Within SLA")</f>
        <v>Within SLA</v>
      </c>
      <c r="N1757" t="str">
        <f>IF(tbl_analysis_tickets[[#This Row],[first_response_minutes]]&gt;tbl_analysis_tickets[[#This Row],[First Response SLA Minutes]],"Breached","Within SLA")</f>
        <v>Within SLA</v>
      </c>
      <c r="O1757" t="str" cm="1">
        <f t="array" ref="O1757">_xlfn.IFS(
tbl_analysis_tickets[[#This Row],[agent_experience_years]]&lt;=2,"Junior",
tbl_analysis_tickets[[#This Row],[agent_experience_years]]&lt;=5,"Mid-Level",
tbl_analysis_tickets[[#This Row],[agent_experience_years]]&lt;=8,"Senior",
tbl_analysis_tickets[[#This Row],[agent_experience_years]]&gt;8,"Expert"
)</f>
        <v>Mid-Level</v>
      </c>
      <c r="P1757" cm="1">
        <f t="array" ref="P1757">_xlfn.SWITCH(tbl_analysis_tickets[[#This Row],[customer_satisfaction]],
"Low",1,
"Medium",2,
"High",3
)</f>
        <v>1</v>
      </c>
      <c r="Q1757">
        <f>IF(tbl_analysis_tickets[[#This Row],[reopened]]="Yes",1,0)</f>
        <v>0</v>
      </c>
      <c r="R1757" t="str" cm="1">
        <f t="array" ref="R1757">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757" t="str" cm="1">
        <f t="array" ref="S175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757" t="str">
        <f>TEXT(tbl_analysis_tickets[[#This Row],[created_date]],"mmm-yyyy")</f>
        <v>Feb-2024</v>
      </c>
      <c r="U1757" t="str">
        <f>TEXT(tbl_analysis_tickets[[#This Row],[created_date]],"dddd")</f>
        <v>Sunday</v>
      </c>
      <c r="V1757" cm="1">
        <f t="array" ref="V1757">_xlfn.SWITCH(tbl_analysis_tickets[[#This Row],[priority]],
"Urgent",1,
"High",2,
"Medium",3,
"Low",4
)</f>
        <v>4</v>
      </c>
    </row>
    <row r="1758" spans="1:22" x14ac:dyDescent="0.25">
      <c r="A1758">
        <v>1757</v>
      </c>
      <c r="B1758" s="1">
        <v>45295</v>
      </c>
      <c r="C1758" t="s">
        <v>21</v>
      </c>
      <c r="D1758" t="s">
        <v>11</v>
      </c>
      <c r="E1758">
        <v>235</v>
      </c>
      <c r="F1758">
        <v>59</v>
      </c>
      <c r="G1758">
        <v>8.1</v>
      </c>
      <c r="H1758" t="s">
        <v>18</v>
      </c>
      <c r="I1758" t="s">
        <v>16</v>
      </c>
      <c r="J1758" t="s">
        <v>15</v>
      </c>
      <c r="K1758">
        <f>_xlfn.XLOOKUP(tbl_analysis_tickets[[#This Row],[priority]],tbl_sla[priority],tbl_sla[Resolution SLA Hours])</f>
        <v>72</v>
      </c>
      <c r="L1758">
        <f>_xlfn.XLOOKUP(tbl_analysis_tickets[[#This Row],[priority]],tbl_sla[priority],tbl_sla[First Response SLA Minutes])</f>
        <v>240</v>
      </c>
      <c r="M1758" t="str">
        <f>IF(tbl_analysis_tickets[[#This Row],[resolution_time_hours]]&gt;tbl_analysis_tickets[[#This Row],[Resolution SLA Hours]],"Breached","Within SLA")</f>
        <v>Within SLA</v>
      </c>
      <c r="N1758" t="str">
        <f>IF(tbl_analysis_tickets[[#This Row],[first_response_minutes]]&gt;tbl_analysis_tickets[[#This Row],[First Response SLA Minutes]],"Breached","Within SLA")</f>
        <v>Within SLA</v>
      </c>
      <c r="O1758" t="str" cm="1">
        <f t="array" ref="O1758">_xlfn.IFS(
tbl_analysis_tickets[[#This Row],[agent_experience_years]]&lt;=2,"Junior",
tbl_analysis_tickets[[#This Row],[agent_experience_years]]&lt;=5,"Mid-Level",
tbl_analysis_tickets[[#This Row],[agent_experience_years]]&lt;=8,"Senior",
tbl_analysis_tickets[[#This Row],[agent_experience_years]]&gt;8,"Expert"
)</f>
        <v>Expert</v>
      </c>
      <c r="P1758" cm="1">
        <f t="array" ref="P1758">_xlfn.SWITCH(tbl_analysis_tickets[[#This Row],[customer_satisfaction]],
"Low",1,
"Medium",2,
"High",3
)</f>
        <v>2</v>
      </c>
      <c r="Q1758">
        <f>IF(tbl_analysis_tickets[[#This Row],[reopened]]="Yes",1,0)</f>
        <v>0</v>
      </c>
      <c r="R1758" t="str" cm="1">
        <f t="array" ref="R1758">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758" t="str" cm="1">
        <f t="array" ref="S175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758" t="str">
        <f>TEXT(tbl_analysis_tickets[[#This Row],[created_date]],"mmm-yyyy")</f>
        <v>Jan-2024</v>
      </c>
      <c r="U1758" t="str">
        <f>TEXT(tbl_analysis_tickets[[#This Row],[created_date]],"dddd")</f>
        <v>Thursday</v>
      </c>
      <c r="V1758" cm="1">
        <f t="array" ref="V1758">_xlfn.SWITCH(tbl_analysis_tickets[[#This Row],[priority]],
"Urgent",1,
"High",2,
"Medium",3,
"Low",4
)</f>
        <v>4</v>
      </c>
    </row>
    <row r="1759" spans="1:22" x14ac:dyDescent="0.25">
      <c r="A1759">
        <v>1758</v>
      </c>
      <c r="B1759" s="1">
        <v>45552</v>
      </c>
      <c r="C1759" t="s">
        <v>14</v>
      </c>
      <c r="D1759" t="s">
        <v>11</v>
      </c>
      <c r="E1759">
        <v>150</v>
      </c>
      <c r="F1759">
        <v>67</v>
      </c>
      <c r="G1759">
        <v>4.5999999999999996</v>
      </c>
      <c r="H1759" t="s">
        <v>18</v>
      </c>
      <c r="I1759" t="s">
        <v>13</v>
      </c>
      <c r="J1759" t="s">
        <v>11</v>
      </c>
      <c r="K1759">
        <f>_xlfn.XLOOKUP(tbl_analysis_tickets[[#This Row],[priority]],tbl_sla[priority],tbl_sla[Resolution SLA Hours])</f>
        <v>72</v>
      </c>
      <c r="L1759">
        <f>_xlfn.XLOOKUP(tbl_analysis_tickets[[#This Row],[priority]],tbl_sla[priority],tbl_sla[First Response SLA Minutes])</f>
        <v>240</v>
      </c>
      <c r="M1759" t="str">
        <f>IF(tbl_analysis_tickets[[#This Row],[resolution_time_hours]]&gt;tbl_analysis_tickets[[#This Row],[Resolution SLA Hours]],"Breached","Within SLA")</f>
        <v>Within SLA</v>
      </c>
      <c r="N1759" t="str">
        <f>IF(tbl_analysis_tickets[[#This Row],[first_response_minutes]]&gt;tbl_analysis_tickets[[#This Row],[First Response SLA Minutes]],"Breached","Within SLA")</f>
        <v>Within SLA</v>
      </c>
      <c r="O1759" t="str" cm="1">
        <f t="array" ref="O1759">_xlfn.IFS(
tbl_analysis_tickets[[#This Row],[agent_experience_years]]&lt;=2,"Junior",
tbl_analysis_tickets[[#This Row],[agent_experience_years]]&lt;=5,"Mid-Level",
tbl_analysis_tickets[[#This Row],[agent_experience_years]]&lt;=8,"Senior",
tbl_analysis_tickets[[#This Row],[agent_experience_years]]&gt;8,"Expert"
)</f>
        <v>Mid-Level</v>
      </c>
      <c r="P1759" cm="1">
        <f t="array" ref="P1759">_xlfn.SWITCH(tbl_analysis_tickets[[#This Row],[customer_satisfaction]],
"Low",1,
"Medium",2,
"High",3
)</f>
        <v>1</v>
      </c>
      <c r="Q1759">
        <f>IF(tbl_analysis_tickets[[#This Row],[reopened]]="Yes",1,0)</f>
        <v>0</v>
      </c>
      <c r="R1759" t="str" cm="1">
        <f t="array" ref="R1759">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759" t="str" cm="1">
        <f t="array" ref="S175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759" t="str">
        <f>TEXT(tbl_analysis_tickets[[#This Row],[created_date]],"mmm-yyyy")</f>
        <v>Sep-2024</v>
      </c>
      <c r="U1759" t="str">
        <f>TEXT(tbl_analysis_tickets[[#This Row],[created_date]],"dddd")</f>
        <v>Tuesday</v>
      </c>
      <c r="V1759" cm="1">
        <f t="array" ref="V1759">_xlfn.SWITCH(tbl_analysis_tickets[[#This Row],[priority]],
"Urgent",1,
"High",2,
"Medium",3,
"Low",4
)</f>
        <v>4</v>
      </c>
    </row>
    <row r="1760" spans="1:22" x14ac:dyDescent="0.25">
      <c r="A1760">
        <v>1759</v>
      </c>
      <c r="B1760" s="1">
        <v>45411</v>
      </c>
      <c r="C1760" t="s">
        <v>23</v>
      </c>
      <c r="D1760" t="s">
        <v>17</v>
      </c>
      <c r="E1760">
        <v>219</v>
      </c>
      <c r="F1760">
        <v>22</v>
      </c>
      <c r="G1760">
        <v>10</v>
      </c>
      <c r="H1760" t="s">
        <v>12</v>
      </c>
      <c r="I1760" t="s">
        <v>19</v>
      </c>
      <c r="J1760" t="s">
        <v>11</v>
      </c>
      <c r="K1760">
        <f>_xlfn.XLOOKUP(tbl_analysis_tickets[[#This Row],[priority]],tbl_sla[priority],tbl_sla[Resolution SLA Hours])</f>
        <v>8</v>
      </c>
      <c r="L1760">
        <f>_xlfn.XLOOKUP(tbl_analysis_tickets[[#This Row],[priority]],tbl_sla[priority],tbl_sla[First Response SLA Minutes])</f>
        <v>30</v>
      </c>
      <c r="M1760" t="str">
        <f>IF(tbl_analysis_tickets[[#This Row],[resolution_time_hours]]&gt;tbl_analysis_tickets[[#This Row],[Resolution SLA Hours]],"Breached","Within SLA")</f>
        <v>Breached</v>
      </c>
      <c r="N1760" t="str">
        <f>IF(tbl_analysis_tickets[[#This Row],[first_response_minutes]]&gt;tbl_analysis_tickets[[#This Row],[First Response SLA Minutes]],"Breached","Within SLA")</f>
        <v>Breached</v>
      </c>
      <c r="O1760" t="str" cm="1">
        <f t="array" ref="O1760">_xlfn.IFS(
tbl_analysis_tickets[[#This Row],[agent_experience_years]]&lt;=2,"Junior",
tbl_analysis_tickets[[#This Row],[agent_experience_years]]&lt;=5,"Mid-Level",
tbl_analysis_tickets[[#This Row],[agent_experience_years]]&lt;=8,"Senior",
tbl_analysis_tickets[[#This Row],[agent_experience_years]]&gt;8,"Expert"
)</f>
        <v>Expert</v>
      </c>
      <c r="P1760" cm="1">
        <f t="array" ref="P1760">_xlfn.SWITCH(tbl_analysis_tickets[[#This Row],[customer_satisfaction]],
"Low",1,
"Medium",2,
"High",3
)</f>
        <v>1</v>
      </c>
      <c r="Q1760">
        <f>IF(tbl_analysis_tickets[[#This Row],[reopened]]="Yes",1,0)</f>
        <v>1</v>
      </c>
      <c r="R1760" t="str" cm="1">
        <f t="array" ref="R1760">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760" t="str" cm="1">
        <f t="array" ref="S176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760" t="str">
        <f>TEXT(tbl_analysis_tickets[[#This Row],[created_date]],"mmm-yyyy")</f>
        <v>Apr-2024</v>
      </c>
      <c r="U1760" t="str">
        <f>TEXT(tbl_analysis_tickets[[#This Row],[created_date]],"dddd")</f>
        <v>Monday</v>
      </c>
      <c r="V1760" cm="1">
        <f t="array" ref="V1760">_xlfn.SWITCH(tbl_analysis_tickets[[#This Row],[priority]],
"Urgent",1,
"High",2,
"Medium",3,
"Low",4
)</f>
        <v>1</v>
      </c>
    </row>
    <row r="1761" spans="1:22" x14ac:dyDescent="0.25">
      <c r="A1761">
        <v>1760</v>
      </c>
      <c r="B1761" s="1">
        <v>45300</v>
      </c>
      <c r="C1761" t="s">
        <v>14</v>
      </c>
      <c r="D1761" t="s">
        <v>11</v>
      </c>
      <c r="E1761">
        <v>157</v>
      </c>
      <c r="F1761">
        <v>22</v>
      </c>
      <c r="G1761">
        <v>8.6999999999999993</v>
      </c>
      <c r="H1761" t="s">
        <v>12</v>
      </c>
      <c r="I1761" t="s">
        <v>13</v>
      </c>
      <c r="J1761" t="s">
        <v>11</v>
      </c>
      <c r="K1761">
        <f>_xlfn.XLOOKUP(tbl_analysis_tickets[[#This Row],[priority]],tbl_sla[priority],tbl_sla[Resolution SLA Hours])</f>
        <v>72</v>
      </c>
      <c r="L1761">
        <f>_xlfn.XLOOKUP(tbl_analysis_tickets[[#This Row],[priority]],tbl_sla[priority],tbl_sla[First Response SLA Minutes])</f>
        <v>240</v>
      </c>
      <c r="M1761" t="str">
        <f>IF(tbl_analysis_tickets[[#This Row],[resolution_time_hours]]&gt;tbl_analysis_tickets[[#This Row],[Resolution SLA Hours]],"Breached","Within SLA")</f>
        <v>Within SLA</v>
      </c>
      <c r="N1761" t="str">
        <f>IF(tbl_analysis_tickets[[#This Row],[first_response_minutes]]&gt;tbl_analysis_tickets[[#This Row],[First Response SLA Minutes]],"Breached","Within SLA")</f>
        <v>Within SLA</v>
      </c>
      <c r="O1761" t="str" cm="1">
        <f t="array" ref="O1761">_xlfn.IFS(
tbl_analysis_tickets[[#This Row],[agent_experience_years]]&lt;=2,"Junior",
tbl_analysis_tickets[[#This Row],[agent_experience_years]]&lt;=5,"Mid-Level",
tbl_analysis_tickets[[#This Row],[agent_experience_years]]&lt;=8,"Senior",
tbl_analysis_tickets[[#This Row],[agent_experience_years]]&gt;8,"Expert"
)</f>
        <v>Expert</v>
      </c>
      <c r="P1761" cm="1">
        <f t="array" ref="P1761">_xlfn.SWITCH(tbl_analysis_tickets[[#This Row],[customer_satisfaction]],
"Low",1,
"Medium",2,
"High",3
)</f>
        <v>1</v>
      </c>
      <c r="Q1761">
        <f>IF(tbl_analysis_tickets[[#This Row],[reopened]]="Yes",1,0)</f>
        <v>1</v>
      </c>
      <c r="R1761" t="str" cm="1">
        <f t="array" ref="R1761">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761" t="str" cm="1">
        <f t="array" ref="S176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761" t="str">
        <f>TEXT(tbl_analysis_tickets[[#This Row],[created_date]],"mmm-yyyy")</f>
        <v>Jan-2024</v>
      </c>
      <c r="U1761" t="str">
        <f>TEXT(tbl_analysis_tickets[[#This Row],[created_date]],"dddd")</f>
        <v>Tuesday</v>
      </c>
      <c r="V1761" cm="1">
        <f t="array" ref="V1761">_xlfn.SWITCH(tbl_analysis_tickets[[#This Row],[priority]],
"Urgent",1,
"High",2,
"Medium",3,
"Low",4
)</f>
        <v>4</v>
      </c>
    </row>
    <row r="1762" spans="1:22" x14ac:dyDescent="0.25">
      <c r="A1762">
        <v>1761</v>
      </c>
      <c r="B1762" s="1">
        <v>45378</v>
      </c>
      <c r="C1762" t="s">
        <v>14</v>
      </c>
      <c r="D1762" t="s">
        <v>11</v>
      </c>
      <c r="E1762">
        <v>101</v>
      </c>
      <c r="F1762">
        <v>45</v>
      </c>
      <c r="G1762">
        <v>0.8</v>
      </c>
      <c r="H1762" t="s">
        <v>18</v>
      </c>
      <c r="I1762" t="s">
        <v>13</v>
      </c>
      <c r="J1762" t="s">
        <v>11</v>
      </c>
      <c r="K1762">
        <f>_xlfn.XLOOKUP(tbl_analysis_tickets[[#This Row],[priority]],tbl_sla[priority],tbl_sla[Resolution SLA Hours])</f>
        <v>72</v>
      </c>
      <c r="L1762">
        <f>_xlfn.XLOOKUP(tbl_analysis_tickets[[#This Row],[priority]],tbl_sla[priority],tbl_sla[First Response SLA Minutes])</f>
        <v>240</v>
      </c>
      <c r="M1762" t="str">
        <f>IF(tbl_analysis_tickets[[#This Row],[resolution_time_hours]]&gt;tbl_analysis_tickets[[#This Row],[Resolution SLA Hours]],"Breached","Within SLA")</f>
        <v>Within SLA</v>
      </c>
      <c r="N1762" t="str">
        <f>IF(tbl_analysis_tickets[[#This Row],[first_response_minutes]]&gt;tbl_analysis_tickets[[#This Row],[First Response SLA Minutes]],"Breached","Within SLA")</f>
        <v>Within SLA</v>
      </c>
      <c r="O1762" t="str" cm="1">
        <f t="array" ref="O1762">_xlfn.IFS(
tbl_analysis_tickets[[#This Row],[agent_experience_years]]&lt;=2,"Junior",
tbl_analysis_tickets[[#This Row],[agent_experience_years]]&lt;=5,"Mid-Level",
tbl_analysis_tickets[[#This Row],[agent_experience_years]]&lt;=8,"Senior",
tbl_analysis_tickets[[#This Row],[agent_experience_years]]&gt;8,"Expert"
)</f>
        <v>Junior</v>
      </c>
      <c r="P1762" cm="1">
        <f t="array" ref="P1762">_xlfn.SWITCH(tbl_analysis_tickets[[#This Row],[customer_satisfaction]],
"Low",1,
"Medium",2,
"High",3
)</f>
        <v>1</v>
      </c>
      <c r="Q1762">
        <f>IF(tbl_analysis_tickets[[#This Row],[reopened]]="Yes",1,0)</f>
        <v>0</v>
      </c>
      <c r="R1762" t="str" cm="1">
        <f t="array" ref="R1762">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762" t="str" cm="1">
        <f t="array" ref="S176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762" t="str">
        <f>TEXT(tbl_analysis_tickets[[#This Row],[created_date]],"mmm-yyyy")</f>
        <v>Mar-2024</v>
      </c>
      <c r="U1762" t="str">
        <f>TEXT(tbl_analysis_tickets[[#This Row],[created_date]],"dddd")</f>
        <v>Wednesday</v>
      </c>
      <c r="V1762" cm="1">
        <f t="array" ref="V1762">_xlfn.SWITCH(tbl_analysis_tickets[[#This Row],[priority]],
"Urgent",1,
"High",2,
"Medium",3,
"Low",4
)</f>
        <v>4</v>
      </c>
    </row>
    <row r="1763" spans="1:22" x14ac:dyDescent="0.25">
      <c r="A1763">
        <v>1762</v>
      </c>
      <c r="B1763" s="1">
        <v>45393</v>
      </c>
      <c r="C1763" t="s">
        <v>23</v>
      </c>
      <c r="D1763" t="s">
        <v>11</v>
      </c>
      <c r="E1763">
        <v>126</v>
      </c>
      <c r="F1763">
        <v>12</v>
      </c>
      <c r="G1763">
        <v>8.1</v>
      </c>
      <c r="H1763" t="s">
        <v>18</v>
      </c>
      <c r="I1763" t="s">
        <v>19</v>
      </c>
      <c r="J1763" t="s">
        <v>15</v>
      </c>
      <c r="K1763">
        <f>_xlfn.XLOOKUP(tbl_analysis_tickets[[#This Row],[priority]],tbl_sla[priority],tbl_sla[Resolution SLA Hours])</f>
        <v>72</v>
      </c>
      <c r="L1763">
        <f>_xlfn.XLOOKUP(tbl_analysis_tickets[[#This Row],[priority]],tbl_sla[priority],tbl_sla[First Response SLA Minutes])</f>
        <v>240</v>
      </c>
      <c r="M1763" t="str">
        <f>IF(tbl_analysis_tickets[[#This Row],[resolution_time_hours]]&gt;tbl_analysis_tickets[[#This Row],[Resolution SLA Hours]],"Breached","Within SLA")</f>
        <v>Within SLA</v>
      </c>
      <c r="N1763" t="str">
        <f>IF(tbl_analysis_tickets[[#This Row],[first_response_minutes]]&gt;tbl_analysis_tickets[[#This Row],[First Response SLA Minutes]],"Breached","Within SLA")</f>
        <v>Within SLA</v>
      </c>
      <c r="O1763" t="str" cm="1">
        <f t="array" ref="O1763">_xlfn.IFS(
tbl_analysis_tickets[[#This Row],[agent_experience_years]]&lt;=2,"Junior",
tbl_analysis_tickets[[#This Row],[agent_experience_years]]&lt;=5,"Mid-Level",
tbl_analysis_tickets[[#This Row],[agent_experience_years]]&lt;=8,"Senior",
tbl_analysis_tickets[[#This Row],[agent_experience_years]]&gt;8,"Expert"
)</f>
        <v>Expert</v>
      </c>
      <c r="P1763" cm="1">
        <f t="array" ref="P1763">_xlfn.SWITCH(tbl_analysis_tickets[[#This Row],[customer_satisfaction]],
"Low",1,
"Medium",2,
"High",3
)</f>
        <v>2</v>
      </c>
      <c r="Q1763">
        <f>IF(tbl_analysis_tickets[[#This Row],[reopened]]="Yes",1,0)</f>
        <v>0</v>
      </c>
      <c r="R1763" t="str" cm="1">
        <f t="array" ref="R1763">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763" t="str" cm="1">
        <f t="array" ref="S176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763" t="str">
        <f>TEXT(tbl_analysis_tickets[[#This Row],[created_date]],"mmm-yyyy")</f>
        <v>Apr-2024</v>
      </c>
      <c r="U1763" t="str">
        <f>TEXT(tbl_analysis_tickets[[#This Row],[created_date]],"dddd")</f>
        <v>Thursday</v>
      </c>
      <c r="V1763" cm="1">
        <f t="array" ref="V1763">_xlfn.SWITCH(tbl_analysis_tickets[[#This Row],[priority]],
"Urgent",1,
"High",2,
"Medium",3,
"Low",4
)</f>
        <v>4</v>
      </c>
    </row>
    <row r="1764" spans="1:22" x14ac:dyDescent="0.25">
      <c r="A1764">
        <v>1763</v>
      </c>
      <c r="B1764" s="1">
        <v>45612</v>
      </c>
      <c r="C1764" t="s">
        <v>10</v>
      </c>
      <c r="D1764" t="s">
        <v>15</v>
      </c>
      <c r="E1764">
        <v>136</v>
      </c>
      <c r="F1764">
        <v>2</v>
      </c>
      <c r="G1764">
        <v>3</v>
      </c>
      <c r="H1764" t="s">
        <v>18</v>
      </c>
      <c r="I1764" t="s">
        <v>13</v>
      </c>
      <c r="J1764" t="s">
        <v>15</v>
      </c>
      <c r="K1764">
        <f>_xlfn.XLOOKUP(tbl_analysis_tickets[[#This Row],[priority]],tbl_sla[priority],tbl_sla[Resolution SLA Hours])</f>
        <v>48</v>
      </c>
      <c r="L1764">
        <f>_xlfn.XLOOKUP(tbl_analysis_tickets[[#This Row],[priority]],tbl_sla[priority],tbl_sla[First Response SLA Minutes])</f>
        <v>120</v>
      </c>
      <c r="M1764" t="str">
        <f>IF(tbl_analysis_tickets[[#This Row],[resolution_time_hours]]&gt;tbl_analysis_tickets[[#This Row],[Resolution SLA Hours]],"Breached","Within SLA")</f>
        <v>Within SLA</v>
      </c>
      <c r="N1764" t="str">
        <f>IF(tbl_analysis_tickets[[#This Row],[first_response_minutes]]&gt;tbl_analysis_tickets[[#This Row],[First Response SLA Minutes]],"Breached","Within SLA")</f>
        <v>Breached</v>
      </c>
      <c r="O1764" t="str" cm="1">
        <f t="array" ref="O1764">_xlfn.IFS(
tbl_analysis_tickets[[#This Row],[agent_experience_years]]&lt;=2,"Junior",
tbl_analysis_tickets[[#This Row],[agent_experience_years]]&lt;=5,"Mid-Level",
tbl_analysis_tickets[[#This Row],[agent_experience_years]]&lt;=8,"Senior",
tbl_analysis_tickets[[#This Row],[agent_experience_years]]&gt;8,"Expert"
)</f>
        <v>Mid-Level</v>
      </c>
      <c r="P1764" cm="1">
        <f t="array" ref="P1764">_xlfn.SWITCH(tbl_analysis_tickets[[#This Row],[customer_satisfaction]],
"Low",1,
"Medium",2,
"High",3
)</f>
        <v>2</v>
      </c>
      <c r="Q1764">
        <f>IF(tbl_analysis_tickets[[#This Row],[reopened]]="Yes",1,0)</f>
        <v>0</v>
      </c>
      <c r="R1764" t="str" cm="1">
        <f t="array" ref="R1764">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764" t="str" cm="1">
        <f t="array" ref="S176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1764" t="str">
        <f>TEXT(tbl_analysis_tickets[[#This Row],[created_date]],"mmm-yyyy")</f>
        <v>Nov-2024</v>
      </c>
      <c r="U1764" t="str">
        <f>TEXT(tbl_analysis_tickets[[#This Row],[created_date]],"dddd")</f>
        <v>Saturday</v>
      </c>
      <c r="V1764" cm="1">
        <f t="array" ref="V1764">_xlfn.SWITCH(tbl_analysis_tickets[[#This Row],[priority]],
"Urgent",1,
"High",2,
"Medium",3,
"Low",4
)</f>
        <v>3</v>
      </c>
    </row>
    <row r="1765" spans="1:22" x14ac:dyDescent="0.25">
      <c r="A1765">
        <v>1764</v>
      </c>
      <c r="B1765" s="1">
        <v>45470</v>
      </c>
      <c r="C1765" t="s">
        <v>23</v>
      </c>
      <c r="D1765" t="s">
        <v>20</v>
      </c>
      <c r="E1765">
        <v>85</v>
      </c>
      <c r="F1765">
        <v>13</v>
      </c>
      <c r="G1765">
        <v>1.4</v>
      </c>
      <c r="H1765" t="s">
        <v>18</v>
      </c>
      <c r="I1765" t="s">
        <v>19</v>
      </c>
      <c r="J1765" t="s">
        <v>11</v>
      </c>
      <c r="K1765">
        <f>_xlfn.XLOOKUP(tbl_analysis_tickets[[#This Row],[priority]],tbl_sla[priority],tbl_sla[Resolution SLA Hours])</f>
        <v>24</v>
      </c>
      <c r="L1765">
        <f>_xlfn.XLOOKUP(tbl_analysis_tickets[[#This Row],[priority]],tbl_sla[priority],tbl_sla[First Response SLA Minutes])</f>
        <v>60</v>
      </c>
      <c r="M1765" t="str">
        <f>IF(tbl_analysis_tickets[[#This Row],[resolution_time_hours]]&gt;tbl_analysis_tickets[[#This Row],[Resolution SLA Hours]],"Breached","Within SLA")</f>
        <v>Within SLA</v>
      </c>
      <c r="N1765" t="str">
        <f>IF(tbl_analysis_tickets[[#This Row],[first_response_minutes]]&gt;tbl_analysis_tickets[[#This Row],[First Response SLA Minutes]],"Breached","Within SLA")</f>
        <v>Breached</v>
      </c>
      <c r="O1765" t="str" cm="1">
        <f t="array" ref="O1765">_xlfn.IFS(
tbl_analysis_tickets[[#This Row],[agent_experience_years]]&lt;=2,"Junior",
tbl_analysis_tickets[[#This Row],[agent_experience_years]]&lt;=5,"Mid-Level",
tbl_analysis_tickets[[#This Row],[agent_experience_years]]&lt;=8,"Senior",
tbl_analysis_tickets[[#This Row],[agent_experience_years]]&gt;8,"Expert"
)</f>
        <v>Junior</v>
      </c>
      <c r="P1765" cm="1">
        <f t="array" ref="P1765">_xlfn.SWITCH(tbl_analysis_tickets[[#This Row],[customer_satisfaction]],
"Low",1,
"Medium",2,
"High",3
)</f>
        <v>1</v>
      </c>
      <c r="Q1765">
        <f>IF(tbl_analysis_tickets[[#This Row],[reopened]]="Yes",1,0)</f>
        <v>0</v>
      </c>
      <c r="R1765" t="str" cm="1">
        <f t="array" ref="R1765">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765" t="str" cm="1">
        <f t="array" ref="S176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765" t="str">
        <f>TEXT(tbl_analysis_tickets[[#This Row],[created_date]],"mmm-yyyy")</f>
        <v>Jun-2024</v>
      </c>
      <c r="U1765" t="str">
        <f>TEXT(tbl_analysis_tickets[[#This Row],[created_date]],"dddd")</f>
        <v>Thursday</v>
      </c>
      <c r="V1765" cm="1">
        <f t="array" ref="V1765">_xlfn.SWITCH(tbl_analysis_tickets[[#This Row],[priority]],
"Urgent",1,
"High",2,
"Medium",3,
"Low",4
)</f>
        <v>2</v>
      </c>
    </row>
    <row r="1766" spans="1:22" x14ac:dyDescent="0.25">
      <c r="A1766">
        <v>1765</v>
      </c>
      <c r="B1766" s="1">
        <v>45484</v>
      </c>
      <c r="C1766" t="s">
        <v>23</v>
      </c>
      <c r="D1766" t="s">
        <v>17</v>
      </c>
      <c r="E1766">
        <v>42</v>
      </c>
      <c r="F1766">
        <v>16</v>
      </c>
      <c r="G1766">
        <v>9.9</v>
      </c>
      <c r="H1766" t="s">
        <v>18</v>
      </c>
      <c r="I1766" t="s">
        <v>16</v>
      </c>
      <c r="J1766" t="s">
        <v>11</v>
      </c>
      <c r="K1766">
        <f>_xlfn.XLOOKUP(tbl_analysis_tickets[[#This Row],[priority]],tbl_sla[priority],tbl_sla[Resolution SLA Hours])</f>
        <v>8</v>
      </c>
      <c r="L1766">
        <f>_xlfn.XLOOKUP(tbl_analysis_tickets[[#This Row],[priority]],tbl_sla[priority],tbl_sla[First Response SLA Minutes])</f>
        <v>30</v>
      </c>
      <c r="M1766" t="str">
        <f>IF(tbl_analysis_tickets[[#This Row],[resolution_time_hours]]&gt;tbl_analysis_tickets[[#This Row],[Resolution SLA Hours]],"Breached","Within SLA")</f>
        <v>Breached</v>
      </c>
      <c r="N1766" t="str">
        <f>IF(tbl_analysis_tickets[[#This Row],[first_response_minutes]]&gt;tbl_analysis_tickets[[#This Row],[First Response SLA Minutes]],"Breached","Within SLA")</f>
        <v>Breached</v>
      </c>
      <c r="O1766" t="str" cm="1">
        <f t="array" ref="O1766">_xlfn.IFS(
tbl_analysis_tickets[[#This Row],[agent_experience_years]]&lt;=2,"Junior",
tbl_analysis_tickets[[#This Row],[agent_experience_years]]&lt;=5,"Mid-Level",
tbl_analysis_tickets[[#This Row],[agent_experience_years]]&lt;=8,"Senior",
tbl_analysis_tickets[[#This Row],[agent_experience_years]]&gt;8,"Expert"
)</f>
        <v>Expert</v>
      </c>
      <c r="P1766" cm="1">
        <f t="array" ref="P1766">_xlfn.SWITCH(tbl_analysis_tickets[[#This Row],[customer_satisfaction]],
"Low",1,
"Medium",2,
"High",3
)</f>
        <v>1</v>
      </c>
      <c r="Q1766">
        <f>IF(tbl_analysis_tickets[[#This Row],[reopened]]="Yes",1,0)</f>
        <v>0</v>
      </c>
      <c r="R1766" t="str" cm="1">
        <f t="array" ref="R1766">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766" t="str" cm="1">
        <f t="array" ref="S176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766" t="str">
        <f>TEXT(tbl_analysis_tickets[[#This Row],[created_date]],"mmm-yyyy")</f>
        <v>Jul-2024</v>
      </c>
      <c r="U1766" t="str">
        <f>TEXT(tbl_analysis_tickets[[#This Row],[created_date]],"dddd")</f>
        <v>Thursday</v>
      </c>
      <c r="V1766" cm="1">
        <f t="array" ref="V1766">_xlfn.SWITCH(tbl_analysis_tickets[[#This Row],[priority]],
"Urgent",1,
"High",2,
"Medium",3,
"Low",4
)</f>
        <v>1</v>
      </c>
    </row>
    <row r="1767" spans="1:22" x14ac:dyDescent="0.25">
      <c r="A1767">
        <v>1766</v>
      </c>
      <c r="B1767" s="1">
        <v>45436</v>
      </c>
      <c r="C1767" t="s">
        <v>14</v>
      </c>
      <c r="D1767" t="s">
        <v>20</v>
      </c>
      <c r="E1767">
        <v>151</v>
      </c>
      <c r="F1767">
        <v>14</v>
      </c>
      <c r="G1767">
        <v>1</v>
      </c>
      <c r="H1767" t="s">
        <v>12</v>
      </c>
      <c r="I1767" t="s">
        <v>19</v>
      </c>
      <c r="J1767" t="s">
        <v>11</v>
      </c>
      <c r="K1767">
        <f>_xlfn.XLOOKUP(tbl_analysis_tickets[[#This Row],[priority]],tbl_sla[priority],tbl_sla[Resolution SLA Hours])</f>
        <v>24</v>
      </c>
      <c r="L1767">
        <f>_xlfn.XLOOKUP(tbl_analysis_tickets[[#This Row],[priority]],tbl_sla[priority],tbl_sla[First Response SLA Minutes])</f>
        <v>60</v>
      </c>
      <c r="M1767" t="str">
        <f>IF(tbl_analysis_tickets[[#This Row],[resolution_time_hours]]&gt;tbl_analysis_tickets[[#This Row],[Resolution SLA Hours]],"Breached","Within SLA")</f>
        <v>Within SLA</v>
      </c>
      <c r="N1767" t="str">
        <f>IF(tbl_analysis_tickets[[#This Row],[first_response_minutes]]&gt;tbl_analysis_tickets[[#This Row],[First Response SLA Minutes]],"Breached","Within SLA")</f>
        <v>Breached</v>
      </c>
      <c r="O1767" t="str" cm="1">
        <f t="array" ref="O1767">_xlfn.IFS(
tbl_analysis_tickets[[#This Row],[agent_experience_years]]&lt;=2,"Junior",
tbl_analysis_tickets[[#This Row],[agent_experience_years]]&lt;=5,"Mid-Level",
tbl_analysis_tickets[[#This Row],[agent_experience_years]]&lt;=8,"Senior",
tbl_analysis_tickets[[#This Row],[agent_experience_years]]&gt;8,"Expert"
)</f>
        <v>Junior</v>
      </c>
      <c r="P1767" cm="1">
        <f t="array" ref="P1767">_xlfn.SWITCH(tbl_analysis_tickets[[#This Row],[customer_satisfaction]],
"Low",1,
"Medium",2,
"High",3
)</f>
        <v>1</v>
      </c>
      <c r="Q1767">
        <f>IF(tbl_analysis_tickets[[#This Row],[reopened]]="Yes",1,0)</f>
        <v>1</v>
      </c>
      <c r="R1767" t="str" cm="1">
        <f t="array" ref="R1767">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767" t="str" cm="1">
        <f t="array" ref="S176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767" t="str">
        <f>TEXT(tbl_analysis_tickets[[#This Row],[created_date]],"mmm-yyyy")</f>
        <v>May-2024</v>
      </c>
      <c r="U1767" t="str">
        <f>TEXT(tbl_analysis_tickets[[#This Row],[created_date]],"dddd")</f>
        <v>Friday</v>
      </c>
      <c r="V1767" cm="1">
        <f t="array" ref="V1767">_xlfn.SWITCH(tbl_analysis_tickets[[#This Row],[priority]],
"Urgent",1,
"High",2,
"Medium",3,
"Low",4
)</f>
        <v>2</v>
      </c>
    </row>
    <row r="1768" spans="1:22" x14ac:dyDescent="0.25">
      <c r="A1768">
        <v>1767</v>
      </c>
      <c r="B1768" s="1">
        <v>45544</v>
      </c>
      <c r="C1768" t="s">
        <v>22</v>
      </c>
      <c r="D1768" t="s">
        <v>15</v>
      </c>
      <c r="E1768">
        <v>6</v>
      </c>
      <c r="F1768">
        <v>14</v>
      </c>
      <c r="G1768">
        <v>5.5</v>
      </c>
      <c r="H1768" t="s">
        <v>18</v>
      </c>
      <c r="I1768" t="s">
        <v>13</v>
      </c>
      <c r="J1768" t="s">
        <v>20</v>
      </c>
      <c r="K1768">
        <f>_xlfn.XLOOKUP(tbl_analysis_tickets[[#This Row],[priority]],tbl_sla[priority],tbl_sla[Resolution SLA Hours])</f>
        <v>48</v>
      </c>
      <c r="L1768">
        <f>_xlfn.XLOOKUP(tbl_analysis_tickets[[#This Row],[priority]],tbl_sla[priority],tbl_sla[First Response SLA Minutes])</f>
        <v>120</v>
      </c>
      <c r="M1768" t="str">
        <f>IF(tbl_analysis_tickets[[#This Row],[resolution_time_hours]]&gt;tbl_analysis_tickets[[#This Row],[Resolution SLA Hours]],"Breached","Within SLA")</f>
        <v>Within SLA</v>
      </c>
      <c r="N1768" t="str">
        <f>IF(tbl_analysis_tickets[[#This Row],[first_response_minutes]]&gt;tbl_analysis_tickets[[#This Row],[First Response SLA Minutes]],"Breached","Within SLA")</f>
        <v>Within SLA</v>
      </c>
      <c r="O1768" t="str" cm="1">
        <f t="array" ref="O1768">_xlfn.IFS(
tbl_analysis_tickets[[#This Row],[agent_experience_years]]&lt;=2,"Junior",
tbl_analysis_tickets[[#This Row],[agent_experience_years]]&lt;=5,"Mid-Level",
tbl_analysis_tickets[[#This Row],[agent_experience_years]]&lt;=8,"Senior",
tbl_analysis_tickets[[#This Row],[agent_experience_years]]&gt;8,"Expert"
)</f>
        <v>Senior</v>
      </c>
      <c r="P1768" cm="1">
        <f t="array" ref="P1768">_xlfn.SWITCH(tbl_analysis_tickets[[#This Row],[customer_satisfaction]],
"Low",1,
"Medium",2,
"High",3
)</f>
        <v>3</v>
      </c>
      <c r="Q1768">
        <f>IF(tbl_analysis_tickets[[#This Row],[reopened]]="Yes",1,0)</f>
        <v>0</v>
      </c>
      <c r="R1768" t="str" cm="1">
        <f t="array" ref="R1768">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1768" t="str" cm="1">
        <f t="array" ref="S176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768" t="str">
        <f>TEXT(tbl_analysis_tickets[[#This Row],[created_date]],"mmm-yyyy")</f>
        <v>Sep-2024</v>
      </c>
      <c r="U1768" t="str">
        <f>TEXT(tbl_analysis_tickets[[#This Row],[created_date]],"dddd")</f>
        <v>Monday</v>
      </c>
      <c r="V1768" cm="1">
        <f t="array" ref="V1768">_xlfn.SWITCH(tbl_analysis_tickets[[#This Row],[priority]],
"Urgent",1,
"High",2,
"Medium",3,
"Low",4
)</f>
        <v>3</v>
      </c>
    </row>
    <row r="1769" spans="1:22" x14ac:dyDescent="0.25">
      <c r="A1769">
        <v>1768</v>
      </c>
      <c r="B1769" s="1">
        <v>45414</v>
      </c>
      <c r="C1769" t="s">
        <v>23</v>
      </c>
      <c r="D1769" t="s">
        <v>15</v>
      </c>
      <c r="E1769">
        <v>135</v>
      </c>
      <c r="F1769">
        <v>17</v>
      </c>
      <c r="G1769">
        <v>4.5</v>
      </c>
      <c r="H1769" t="s">
        <v>18</v>
      </c>
      <c r="I1769" t="s">
        <v>16</v>
      </c>
      <c r="J1769" t="s">
        <v>11</v>
      </c>
      <c r="K1769">
        <f>_xlfn.XLOOKUP(tbl_analysis_tickets[[#This Row],[priority]],tbl_sla[priority],tbl_sla[Resolution SLA Hours])</f>
        <v>48</v>
      </c>
      <c r="L1769">
        <f>_xlfn.XLOOKUP(tbl_analysis_tickets[[#This Row],[priority]],tbl_sla[priority],tbl_sla[First Response SLA Minutes])</f>
        <v>120</v>
      </c>
      <c r="M1769" t="str">
        <f>IF(tbl_analysis_tickets[[#This Row],[resolution_time_hours]]&gt;tbl_analysis_tickets[[#This Row],[Resolution SLA Hours]],"Breached","Within SLA")</f>
        <v>Within SLA</v>
      </c>
      <c r="N1769" t="str">
        <f>IF(tbl_analysis_tickets[[#This Row],[first_response_minutes]]&gt;tbl_analysis_tickets[[#This Row],[First Response SLA Minutes]],"Breached","Within SLA")</f>
        <v>Breached</v>
      </c>
      <c r="O1769" t="str" cm="1">
        <f t="array" ref="O1769">_xlfn.IFS(
tbl_analysis_tickets[[#This Row],[agent_experience_years]]&lt;=2,"Junior",
tbl_analysis_tickets[[#This Row],[agent_experience_years]]&lt;=5,"Mid-Level",
tbl_analysis_tickets[[#This Row],[agent_experience_years]]&lt;=8,"Senior",
tbl_analysis_tickets[[#This Row],[agent_experience_years]]&gt;8,"Expert"
)</f>
        <v>Mid-Level</v>
      </c>
      <c r="P1769" cm="1">
        <f t="array" ref="P1769">_xlfn.SWITCH(tbl_analysis_tickets[[#This Row],[customer_satisfaction]],
"Low",1,
"Medium",2,
"High",3
)</f>
        <v>1</v>
      </c>
      <c r="Q1769">
        <f>IF(tbl_analysis_tickets[[#This Row],[reopened]]="Yes",1,0)</f>
        <v>0</v>
      </c>
      <c r="R1769" t="str" cm="1">
        <f t="array" ref="R1769">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769" t="str" cm="1">
        <f t="array" ref="S176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769" t="str">
        <f>TEXT(tbl_analysis_tickets[[#This Row],[created_date]],"mmm-yyyy")</f>
        <v>May-2024</v>
      </c>
      <c r="U1769" t="str">
        <f>TEXT(tbl_analysis_tickets[[#This Row],[created_date]],"dddd")</f>
        <v>Thursday</v>
      </c>
      <c r="V1769" cm="1">
        <f t="array" ref="V1769">_xlfn.SWITCH(tbl_analysis_tickets[[#This Row],[priority]],
"Urgent",1,
"High",2,
"Medium",3,
"Low",4
)</f>
        <v>3</v>
      </c>
    </row>
    <row r="1770" spans="1:22" x14ac:dyDescent="0.25">
      <c r="A1770">
        <v>1769</v>
      </c>
      <c r="B1770" s="1">
        <v>45333</v>
      </c>
      <c r="C1770" t="s">
        <v>21</v>
      </c>
      <c r="D1770" t="s">
        <v>15</v>
      </c>
      <c r="E1770">
        <v>170</v>
      </c>
      <c r="F1770">
        <v>8</v>
      </c>
      <c r="G1770">
        <v>1.2</v>
      </c>
      <c r="H1770" t="s">
        <v>12</v>
      </c>
      <c r="I1770" t="s">
        <v>13</v>
      </c>
      <c r="J1770" t="s">
        <v>11</v>
      </c>
      <c r="K1770">
        <f>_xlfn.XLOOKUP(tbl_analysis_tickets[[#This Row],[priority]],tbl_sla[priority],tbl_sla[Resolution SLA Hours])</f>
        <v>48</v>
      </c>
      <c r="L1770">
        <f>_xlfn.XLOOKUP(tbl_analysis_tickets[[#This Row],[priority]],tbl_sla[priority],tbl_sla[First Response SLA Minutes])</f>
        <v>120</v>
      </c>
      <c r="M1770" t="str">
        <f>IF(tbl_analysis_tickets[[#This Row],[resolution_time_hours]]&gt;tbl_analysis_tickets[[#This Row],[Resolution SLA Hours]],"Breached","Within SLA")</f>
        <v>Within SLA</v>
      </c>
      <c r="N1770" t="str">
        <f>IF(tbl_analysis_tickets[[#This Row],[first_response_minutes]]&gt;tbl_analysis_tickets[[#This Row],[First Response SLA Minutes]],"Breached","Within SLA")</f>
        <v>Breached</v>
      </c>
      <c r="O1770" t="str" cm="1">
        <f t="array" ref="O1770">_xlfn.IFS(
tbl_analysis_tickets[[#This Row],[agent_experience_years]]&lt;=2,"Junior",
tbl_analysis_tickets[[#This Row],[agent_experience_years]]&lt;=5,"Mid-Level",
tbl_analysis_tickets[[#This Row],[agent_experience_years]]&lt;=8,"Senior",
tbl_analysis_tickets[[#This Row],[agent_experience_years]]&gt;8,"Expert"
)</f>
        <v>Junior</v>
      </c>
      <c r="P1770" cm="1">
        <f t="array" ref="P1770">_xlfn.SWITCH(tbl_analysis_tickets[[#This Row],[customer_satisfaction]],
"Low",1,
"Medium",2,
"High",3
)</f>
        <v>1</v>
      </c>
      <c r="Q1770">
        <f>IF(tbl_analysis_tickets[[#This Row],[reopened]]="Yes",1,0)</f>
        <v>1</v>
      </c>
      <c r="R1770" t="str" cm="1">
        <f t="array" ref="R1770">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770" t="str" cm="1">
        <f t="array" ref="S177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1770" t="str">
        <f>TEXT(tbl_analysis_tickets[[#This Row],[created_date]],"mmm-yyyy")</f>
        <v>Feb-2024</v>
      </c>
      <c r="U1770" t="str">
        <f>TEXT(tbl_analysis_tickets[[#This Row],[created_date]],"dddd")</f>
        <v>Sunday</v>
      </c>
      <c r="V1770" cm="1">
        <f t="array" ref="V1770">_xlfn.SWITCH(tbl_analysis_tickets[[#This Row],[priority]],
"Urgent",1,
"High",2,
"Medium",3,
"Low",4
)</f>
        <v>3</v>
      </c>
    </row>
    <row r="1771" spans="1:22" x14ac:dyDescent="0.25">
      <c r="A1771">
        <v>1770</v>
      </c>
      <c r="B1771" s="1">
        <v>45636</v>
      </c>
      <c r="C1771" t="s">
        <v>22</v>
      </c>
      <c r="D1771" t="s">
        <v>11</v>
      </c>
      <c r="E1771">
        <v>154</v>
      </c>
      <c r="F1771">
        <v>54</v>
      </c>
      <c r="G1771">
        <v>4.5</v>
      </c>
      <c r="H1771" t="s">
        <v>12</v>
      </c>
      <c r="I1771" t="s">
        <v>16</v>
      </c>
      <c r="J1771" t="s">
        <v>11</v>
      </c>
      <c r="K1771">
        <f>_xlfn.XLOOKUP(tbl_analysis_tickets[[#This Row],[priority]],tbl_sla[priority],tbl_sla[Resolution SLA Hours])</f>
        <v>72</v>
      </c>
      <c r="L1771">
        <f>_xlfn.XLOOKUP(tbl_analysis_tickets[[#This Row],[priority]],tbl_sla[priority],tbl_sla[First Response SLA Minutes])</f>
        <v>240</v>
      </c>
      <c r="M1771" t="str">
        <f>IF(tbl_analysis_tickets[[#This Row],[resolution_time_hours]]&gt;tbl_analysis_tickets[[#This Row],[Resolution SLA Hours]],"Breached","Within SLA")</f>
        <v>Within SLA</v>
      </c>
      <c r="N1771" t="str">
        <f>IF(tbl_analysis_tickets[[#This Row],[first_response_minutes]]&gt;tbl_analysis_tickets[[#This Row],[First Response SLA Minutes]],"Breached","Within SLA")</f>
        <v>Within SLA</v>
      </c>
      <c r="O1771" t="str" cm="1">
        <f t="array" ref="O1771">_xlfn.IFS(
tbl_analysis_tickets[[#This Row],[agent_experience_years]]&lt;=2,"Junior",
tbl_analysis_tickets[[#This Row],[agent_experience_years]]&lt;=5,"Mid-Level",
tbl_analysis_tickets[[#This Row],[agent_experience_years]]&lt;=8,"Senior",
tbl_analysis_tickets[[#This Row],[agent_experience_years]]&gt;8,"Expert"
)</f>
        <v>Mid-Level</v>
      </c>
      <c r="P1771" cm="1">
        <f t="array" ref="P1771">_xlfn.SWITCH(tbl_analysis_tickets[[#This Row],[customer_satisfaction]],
"Low",1,
"Medium",2,
"High",3
)</f>
        <v>1</v>
      </c>
      <c r="Q1771">
        <f>IF(tbl_analysis_tickets[[#This Row],[reopened]]="Yes",1,0)</f>
        <v>1</v>
      </c>
      <c r="R1771" t="str" cm="1">
        <f t="array" ref="R1771">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771" t="str" cm="1">
        <f t="array" ref="S177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771" t="str">
        <f>TEXT(tbl_analysis_tickets[[#This Row],[created_date]],"mmm-yyyy")</f>
        <v>Dec-2024</v>
      </c>
      <c r="U1771" t="str">
        <f>TEXT(tbl_analysis_tickets[[#This Row],[created_date]],"dddd")</f>
        <v>Tuesday</v>
      </c>
      <c r="V1771" cm="1">
        <f t="array" ref="V1771">_xlfn.SWITCH(tbl_analysis_tickets[[#This Row],[priority]],
"Urgent",1,
"High",2,
"Medium",3,
"Low",4
)</f>
        <v>4</v>
      </c>
    </row>
    <row r="1772" spans="1:22" x14ac:dyDescent="0.25">
      <c r="A1772">
        <v>1771</v>
      </c>
      <c r="B1772" s="1">
        <v>45536</v>
      </c>
      <c r="C1772" t="s">
        <v>22</v>
      </c>
      <c r="D1772" t="s">
        <v>11</v>
      </c>
      <c r="E1772">
        <v>160</v>
      </c>
      <c r="F1772">
        <v>70</v>
      </c>
      <c r="G1772">
        <v>6.8</v>
      </c>
      <c r="H1772" t="s">
        <v>12</v>
      </c>
      <c r="I1772" t="s">
        <v>13</v>
      </c>
      <c r="J1772" t="s">
        <v>11</v>
      </c>
      <c r="K1772">
        <f>_xlfn.XLOOKUP(tbl_analysis_tickets[[#This Row],[priority]],tbl_sla[priority],tbl_sla[Resolution SLA Hours])</f>
        <v>72</v>
      </c>
      <c r="L1772">
        <f>_xlfn.XLOOKUP(tbl_analysis_tickets[[#This Row],[priority]],tbl_sla[priority],tbl_sla[First Response SLA Minutes])</f>
        <v>240</v>
      </c>
      <c r="M1772" t="str">
        <f>IF(tbl_analysis_tickets[[#This Row],[resolution_time_hours]]&gt;tbl_analysis_tickets[[#This Row],[Resolution SLA Hours]],"Breached","Within SLA")</f>
        <v>Within SLA</v>
      </c>
      <c r="N1772" t="str">
        <f>IF(tbl_analysis_tickets[[#This Row],[first_response_minutes]]&gt;tbl_analysis_tickets[[#This Row],[First Response SLA Minutes]],"Breached","Within SLA")</f>
        <v>Within SLA</v>
      </c>
      <c r="O1772" t="str" cm="1">
        <f t="array" ref="O1772">_xlfn.IFS(
tbl_analysis_tickets[[#This Row],[agent_experience_years]]&lt;=2,"Junior",
tbl_analysis_tickets[[#This Row],[agent_experience_years]]&lt;=5,"Mid-Level",
tbl_analysis_tickets[[#This Row],[agent_experience_years]]&lt;=8,"Senior",
tbl_analysis_tickets[[#This Row],[agent_experience_years]]&gt;8,"Expert"
)</f>
        <v>Senior</v>
      </c>
      <c r="P1772" cm="1">
        <f t="array" ref="P1772">_xlfn.SWITCH(tbl_analysis_tickets[[#This Row],[customer_satisfaction]],
"Low",1,
"Medium",2,
"High",3
)</f>
        <v>1</v>
      </c>
      <c r="Q1772">
        <f>IF(tbl_analysis_tickets[[#This Row],[reopened]]="Yes",1,0)</f>
        <v>1</v>
      </c>
      <c r="R1772" t="str" cm="1">
        <f t="array" ref="R1772">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772" t="str" cm="1">
        <f t="array" ref="S177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772" t="str">
        <f>TEXT(tbl_analysis_tickets[[#This Row],[created_date]],"mmm-yyyy")</f>
        <v>Sep-2024</v>
      </c>
      <c r="U1772" t="str">
        <f>TEXT(tbl_analysis_tickets[[#This Row],[created_date]],"dddd")</f>
        <v>Sunday</v>
      </c>
      <c r="V1772" cm="1">
        <f t="array" ref="V1772">_xlfn.SWITCH(tbl_analysis_tickets[[#This Row],[priority]],
"Urgent",1,
"High",2,
"Medium",3,
"Low",4
)</f>
        <v>4</v>
      </c>
    </row>
    <row r="1773" spans="1:22" x14ac:dyDescent="0.25">
      <c r="A1773">
        <v>1772</v>
      </c>
      <c r="B1773" s="1">
        <v>45451</v>
      </c>
      <c r="C1773" t="s">
        <v>23</v>
      </c>
      <c r="D1773" t="s">
        <v>17</v>
      </c>
      <c r="E1773">
        <v>16</v>
      </c>
      <c r="F1773">
        <v>31</v>
      </c>
      <c r="G1773">
        <v>3.4</v>
      </c>
      <c r="H1773" t="s">
        <v>18</v>
      </c>
      <c r="I1773" t="s">
        <v>19</v>
      </c>
      <c r="J1773" t="s">
        <v>15</v>
      </c>
      <c r="K1773">
        <f>_xlfn.XLOOKUP(tbl_analysis_tickets[[#This Row],[priority]],tbl_sla[priority],tbl_sla[Resolution SLA Hours])</f>
        <v>8</v>
      </c>
      <c r="L1773">
        <f>_xlfn.XLOOKUP(tbl_analysis_tickets[[#This Row],[priority]],tbl_sla[priority],tbl_sla[First Response SLA Minutes])</f>
        <v>30</v>
      </c>
      <c r="M1773" t="str">
        <f>IF(tbl_analysis_tickets[[#This Row],[resolution_time_hours]]&gt;tbl_analysis_tickets[[#This Row],[Resolution SLA Hours]],"Breached","Within SLA")</f>
        <v>Breached</v>
      </c>
      <c r="N1773" t="str">
        <f>IF(tbl_analysis_tickets[[#This Row],[first_response_minutes]]&gt;tbl_analysis_tickets[[#This Row],[First Response SLA Minutes]],"Breached","Within SLA")</f>
        <v>Within SLA</v>
      </c>
      <c r="O1773" t="str" cm="1">
        <f t="array" ref="O1773">_xlfn.IFS(
tbl_analysis_tickets[[#This Row],[agent_experience_years]]&lt;=2,"Junior",
tbl_analysis_tickets[[#This Row],[agent_experience_years]]&lt;=5,"Mid-Level",
tbl_analysis_tickets[[#This Row],[agent_experience_years]]&lt;=8,"Senior",
tbl_analysis_tickets[[#This Row],[agent_experience_years]]&gt;8,"Expert"
)</f>
        <v>Mid-Level</v>
      </c>
      <c r="P1773" cm="1">
        <f t="array" ref="P1773">_xlfn.SWITCH(tbl_analysis_tickets[[#This Row],[customer_satisfaction]],
"Low",1,
"Medium",2,
"High",3
)</f>
        <v>2</v>
      </c>
      <c r="Q1773">
        <f>IF(tbl_analysis_tickets[[#This Row],[reopened]]="Yes",1,0)</f>
        <v>0</v>
      </c>
      <c r="R1773" t="str" cm="1">
        <f t="array" ref="R1773">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1773" t="str" cm="1">
        <f t="array" ref="S177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773" t="str">
        <f>TEXT(tbl_analysis_tickets[[#This Row],[created_date]],"mmm-yyyy")</f>
        <v>Jun-2024</v>
      </c>
      <c r="U1773" t="str">
        <f>TEXT(tbl_analysis_tickets[[#This Row],[created_date]],"dddd")</f>
        <v>Saturday</v>
      </c>
      <c r="V1773" cm="1">
        <f t="array" ref="V1773">_xlfn.SWITCH(tbl_analysis_tickets[[#This Row],[priority]],
"Urgent",1,
"High",2,
"Medium",3,
"Low",4
)</f>
        <v>1</v>
      </c>
    </row>
    <row r="1774" spans="1:22" x14ac:dyDescent="0.25">
      <c r="A1774">
        <v>1773</v>
      </c>
      <c r="B1774" s="1">
        <v>45406</v>
      </c>
      <c r="C1774" t="s">
        <v>23</v>
      </c>
      <c r="D1774" t="s">
        <v>15</v>
      </c>
      <c r="E1774">
        <v>153</v>
      </c>
      <c r="F1774">
        <v>12</v>
      </c>
      <c r="G1774">
        <v>0.9</v>
      </c>
      <c r="H1774" t="s">
        <v>12</v>
      </c>
      <c r="I1774" t="s">
        <v>16</v>
      </c>
      <c r="J1774" t="s">
        <v>11</v>
      </c>
      <c r="K1774">
        <f>_xlfn.XLOOKUP(tbl_analysis_tickets[[#This Row],[priority]],tbl_sla[priority],tbl_sla[Resolution SLA Hours])</f>
        <v>48</v>
      </c>
      <c r="L1774">
        <f>_xlfn.XLOOKUP(tbl_analysis_tickets[[#This Row],[priority]],tbl_sla[priority],tbl_sla[First Response SLA Minutes])</f>
        <v>120</v>
      </c>
      <c r="M1774" t="str">
        <f>IF(tbl_analysis_tickets[[#This Row],[resolution_time_hours]]&gt;tbl_analysis_tickets[[#This Row],[Resolution SLA Hours]],"Breached","Within SLA")</f>
        <v>Within SLA</v>
      </c>
      <c r="N1774" t="str">
        <f>IF(tbl_analysis_tickets[[#This Row],[first_response_minutes]]&gt;tbl_analysis_tickets[[#This Row],[First Response SLA Minutes]],"Breached","Within SLA")</f>
        <v>Breached</v>
      </c>
      <c r="O1774" t="str" cm="1">
        <f t="array" ref="O1774">_xlfn.IFS(
tbl_analysis_tickets[[#This Row],[agent_experience_years]]&lt;=2,"Junior",
tbl_analysis_tickets[[#This Row],[agent_experience_years]]&lt;=5,"Mid-Level",
tbl_analysis_tickets[[#This Row],[agent_experience_years]]&lt;=8,"Senior",
tbl_analysis_tickets[[#This Row],[agent_experience_years]]&gt;8,"Expert"
)</f>
        <v>Junior</v>
      </c>
      <c r="P1774" cm="1">
        <f t="array" ref="P1774">_xlfn.SWITCH(tbl_analysis_tickets[[#This Row],[customer_satisfaction]],
"Low",1,
"Medium",2,
"High",3
)</f>
        <v>1</v>
      </c>
      <c r="Q1774">
        <f>IF(tbl_analysis_tickets[[#This Row],[reopened]]="Yes",1,0)</f>
        <v>1</v>
      </c>
      <c r="R1774" t="str" cm="1">
        <f t="array" ref="R1774">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774" t="str" cm="1">
        <f t="array" ref="S177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774" t="str">
        <f>TEXT(tbl_analysis_tickets[[#This Row],[created_date]],"mmm-yyyy")</f>
        <v>Apr-2024</v>
      </c>
      <c r="U1774" t="str">
        <f>TEXT(tbl_analysis_tickets[[#This Row],[created_date]],"dddd")</f>
        <v>Wednesday</v>
      </c>
      <c r="V1774" cm="1">
        <f t="array" ref="V1774">_xlfn.SWITCH(tbl_analysis_tickets[[#This Row],[priority]],
"Urgent",1,
"High",2,
"Medium",3,
"Low",4
)</f>
        <v>3</v>
      </c>
    </row>
    <row r="1775" spans="1:22" x14ac:dyDescent="0.25">
      <c r="A1775">
        <v>1774</v>
      </c>
      <c r="B1775" s="1">
        <v>45312</v>
      </c>
      <c r="C1775" t="s">
        <v>23</v>
      </c>
      <c r="D1775" t="s">
        <v>15</v>
      </c>
      <c r="E1775">
        <v>44</v>
      </c>
      <c r="F1775">
        <v>56</v>
      </c>
      <c r="G1775">
        <v>1.9</v>
      </c>
      <c r="H1775" t="s">
        <v>12</v>
      </c>
      <c r="I1775" t="s">
        <v>19</v>
      </c>
      <c r="J1775" t="s">
        <v>11</v>
      </c>
      <c r="K1775">
        <f>_xlfn.XLOOKUP(tbl_analysis_tickets[[#This Row],[priority]],tbl_sla[priority],tbl_sla[Resolution SLA Hours])</f>
        <v>48</v>
      </c>
      <c r="L1775">
        <f>_xlfn.XLOOKUP(tbl_analysis_tickets[[#This Row],[priority]],tbl_sla[priority],tbl_sla[First Response SLA Minutes])</f>
        <v>120</v>
      </c>
      <c r="M1775" t="str">
        <f>IF(tbl_analysis_tickets[[#This Row],[resolution_time_hours]]&gt;tbl_analysis_tickets[[#This Row],[Resolution SLA Hours]],"Breached","Within SLA")</f>
        <v>Breached</v>
      </c>
      <c r="N1775" t="str">
        <f>IF(tbl_analysis_tickets[[#This Row],[first_response_minutes]]&gt;tbl_analysis_tickets[[#This Row],[First Response SLA Minutes]],"Breached","Within SLA")</f>
        <v>Within SLA</v>
      </c>
      <c r="O1775" t="str" cm="1">
        <f t="array" ref="O1775">_xlfn.IFS(
tbl_analysis_tickets[[#This Row],[agent_experience_years]]&lt;=2,"Junior",
tbl_analysis_tickets[[#This Row],[agent_experience_years]]&lt;=5,"Mid-Level",
tbl_analysis_tickets[[#This Row],[agent_experience_years]]&lt;=8,"Senior",
tbl_analysis_tickets[[#This Row],[agent_experience_years]]&gt;8,"Expert"
)</f>
        <v>Junior</v>
      </c>
      <c r="P1775" cm="1">
        <f t="array" ref="P1775">_xlfn.SWITCH(tbl_analysis_tickets[[#This Row],[customer_satisfaction]],
"Low",1,
"Medium",2,
"High",3
)</f>
        <v>1</v>
      </c>
      <c r="Q1775">
        <f>IF(tbl_analysis_tickets[[#This Row],[reopened]]="Yes",1,0)</f>
        <v>1</v>
      </c>
      <c r="R1775" t="str" cm="1">
        <f t="array" ref="R1775">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775" t="str" cm="1">
        <f t="array" ref="S177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775" t="str">
        <f>TEXT(tbl_analysis_tickets[[#This Row],[created_date]],"mmm-yyyy")</f>
        <v>Jan-2024</v>
      </c>
      <c r="U1775" t="str">
        <f>TEXT(tbl_analysis_tickets[[#This Row],[created_date]],"dddd")</f>
        <v>Sunday</v>
      </c>
      <c r="V1775" cm="1">
        <f t="array" ref="V1775">_xlfn.SWITCH(tbl_analysis_tickets[[#This Row],[priority]],
"Urgent",1,
"High",2,
"Medium",3,
"Low",4
)</f>
        <v>3</v>
      </c>
    </row>
    <row r="1776" spans="1:22" x14ac:dyDescent="0.25">
      <c r="A1776">
        <v>1775</v>
      </c>
      <c r="B1776" s="1">
        <v>45652</v>
      </c>
      <c r="C1776" t="s">
        <v>22</v>
      </c>
      <c r="D1776" t="s">
        <v>17</v>
      </c>
      <c r="E1776">
        <v>124</v>
      </c>
      <c r="F1776">
        <v>33</v>
      </c>
      <c r="G1776">
        <v>4.5</v>
      </c>
      <c r="H1776" t="s">
        <v>12</v>
      </c>
      <c r="I1776" t="s">
        <v>16</v>
      </c>
      <c r="J1776" t="s">
        <v>11</v>
      </c>
      <c r="K1776">
        <f>_xlfn.XLOOKUP(tbl_analysis_tickets[[#This Row],[priority]],tbl_sla[priority],tbl_sla[Resolution SLA Hours])</f>
        <v>8</v>
      </c>
      <c r="L1776">
        <f>_xlfn.XLOOKUP(tbl_analysis_tickets[[#This Row],[priority]],tbl_sla[priority],tbl_sla[First Response SLA Minutes])</f>
        <v>30</v>
      </c>
      <c r="M1776" t="str">
        <f>IF(tbl_analysis_tickets[[#This Row],[resolution_time_hours]]&gt;tbl_analysis_tickets[[#This Row],[Resolution SLA Hours]],"Breached","Within SLA")</f>
        <v>Breached</v>
      </c>
      <c r="N1776" t="str">
        <f>IF(tbl_analysis_tickets[[#This Row],[first_response_minutes]]&gt;tbl_analysis_tickets[[#This Row],[First Response SLA Minutes]],"Breached","Within SLA")</f>
        <v>Breached</v>
      </c>
      <c r="O1776" t="str" cm="1">
        <f t="array" ref="O1776">_xlfn.IFS(
tbl_analysis_tickets[[#This Row],[agent_experience_years]]&lt;=2,"Junior",
tbl_analysis_tickets[[#This Row],[agent_experience_years]]&lt;=5,"Mid-Level",
tbl_analysis_tickets[[#This Row],[agent_experience_years]]&lt;=8,"Senior",
tbl_analysis_tickets[[#This Row],[agent_experience_years]]&gt;8,"Expert"
)</f>
        <v>Mid-Level</v>
      </c>
      <c r="P1776" cm="1">
        <f t="array" ref="P1776">_xlfn.SWITCH(tbl_analysis_tickets[[#This Row],[customer_satisfaction]],
"Low",1,
"Medium",2,
"High",3
)</f>
        <v>1</v>
      </c>
      <c r="Q1776">
        <f>IF(tbl_analysis_tickets[[#This Row],[reopened]]="Yes",1,0)</f>
        <v>1</v>
      </c>
      <c r="R1776" t="str" cm="1">
        <f t="array" ref="R1776">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776" t="str" cm="1">
        <f t="array" ref="S177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776" t="str">
        <f>TEXT(tbl_analysis_tickets[[#This Row],[created_date]],"mmm-yyyy")</f>
        <v>Dec-2024</v>
      </c>
      <c r="U1776" t="str">
        <f>TEXT(tbl_analysis_tickets[[#This Row],[created_date]],"dddd")</f>
        <v>Thursday</v>
      </c>
      <c r="V1776" cm="1">
        <f t="array" ref="V1776">_xlfn.SWITCH(tbl_analysis_tickets[[#This Row],[priority]],
"Urgent",1,
"High",2,
"Medium",3,
"Low",4
)</f>
        <v>1</v>
      </c>
    </row>
    <row r="1777" spans="1:22" x14ac:dyDescent="0.25">
      <c r="A1777">
        <v>1776</v>
      </c>
      <c r="B1777" s="1">
        <v>45314</v>
      </c>
      <c r="C1777" t="s">
        <v>22</v>
      </c>
      <c r="D1777" t="s">
        <v>15</v>
      </c>
      <c r="E1777">
        <v>158</v>
      </c>
      <c r="F1777">
        <v>54</v>
      </c>
      <c r="G1777">
        <v>6.2</v>
      </c>
      <c r="H1777" t="s">
        <v>12</v>
      </c>
      <c r="I1777" t="s">
        <v>16</v>
      </c>
      <c r="J1777" t="s">
        <v>11</v>
      </c>
      <c r="K1777">
        <f>_xlfn.XLOOKUP(tbl_analysis_tickets[[#This Row],[priority]],tbl_sla[priority],tbl_sla[Resolution SLA Hours])</f>
        <v>48</v>
      </c>
      <c r="L1777">
        <f>_xlfn.XLOOKUP(tbl_analysis_tickets[[#This Row],[priority]],tbl_sla[priority],tbl_sla[First Response SLA Minutes])</f>
        <v>120</v>
      </c>
      <c r="M1777" t="str">
        <f>IF(tbl_analysis_tickets[[#This Row],[resolution_time_hours]]&gt;tbl_analysis_tickets[[#This Row],[Resolution SLA Hours]],"Breached","Within SLA")</f>
        <v>Breached</v>
      </c>
      <c r="N1777" t="str">
        <f>IF(tbl_analysis_tickets[[#This Row],[first_response_minutes]]&gt;tbl_analysis_tickets[[#This Row],[First Response SLA Minutes]],"Breached","Within SLA")</f>
        <v>Breached</v>
      </c>
      <c r="O1777" t="str" cm="1">
        <f t="array" ref="O1777">_xlfn.IFS(
tbl_analysis_tickets[[#This Row],[agent_experience_years]]&lt;=2,"Junior",
tbl_analysis_tickets[[#This Row],[agent_experience_years]]&lt;=5,"Mid-Level",
tbl_analysis_tickets[[#This Row],[agent_experience_years]]&lt;=8,"Senior",
tbl_analysis_tickets[[#This Row],[agent_experience_years]]&gt;8,"Expert"
)</f>
        <v>Senior</v>
      </c>
      <c r="P1777" cm="1">
        <f t="array" ref="P1777">_xlfn.SWITCH(tbl_analysis_tickets[[#This Row],[customer_satisfaction]],
"Low",1,
"Medium",2,
"High",3
)</f>
        <v>1</v>
      </c>
      <c r="Q1777">
        <f>IF(tbl_analysis_tickets[[#This Row],[reopened]]="Yes",1,0)</f>
        <v>1</v>
      </c>
      <c r="R1777" t="str" cm="1">
        <f t="array" ref="R1777">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777" t="str" cm="1">
        <f t="array" ref="S177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777" t="str">
        <f>TEXT(tbl_analysis_tickets[[#This Row],[created_date]],"mmm-yyyy")</f>
        <v>Jan-2024</v>
      </c>
      <c r="U1777" t="str">
        <f>TEXT(tbl_analysis_tickets[[#This Row],[created_date]],"dddd")</f>
        <v>Tuesday</v>
      </c>
      <c r="V1777" cm="1">
        <f t="array" ref="V1777">_xlfn.SWITCH(tbl_analysis_tickets[[#This Row],[priority]],
"Urgent",1,
"High",2,
"Medium",3,
"Low",4
)</f>
        <v>3</v>
      </c>
    </row>
    <row r="1778" spans="1:22" x14ac:dyDescent="0.25">
      <c r="A1778">
        <v>1777</v>
      </c>
      <c r="B1778" s="1">
        <v>45332</v>
      </c>
      <c r="C1778" t="s">
        <v>10</v>
      </c>
      <c r="D1778" t="s">
        <v>20</v>
      </c>
      <c r="E1778">
        <v>154</v>
      </c>
      <c r="F1778">
        <v>61</v>
      </c>
      <c r="G1778">
        <v>5.2</v>
      </c>
      <c r="H1778" t="s">
        <v>12</v>
      </c>
      <c r="I1778" t="s">
        <v>16</v>
      </c>
      <c r="J1778" t="s">
        <v>11</v>
      </c>
      <c r="K1778">
        <f>_xlfn.XLOOKUP(tbl_analysis_tickets[[#This Row],[priority]],tbl_sla[priority],tbl_sla[Resolution SLA Hours])</f>
        <v>24</v>
      </c>
      <c r="L1778">
        <f>_xlfn.XLOOKUP(tbl_analysis_tickets[[#This Row],[priority]],tbl_sla[priority],tbl_sla[First Response SLA Minutes])</f>
        <v>60</v>
      </c>
      <c r="M1778" t="str">
        <f>IF(tbl_analysis_tickets[[#This Row],[resolution_time_hours]]&gt;tbl_analysis_tickets[[#This Row],[Resolution SLA Hours]],"Breached","Within SLA")</f>
        <v>Breached</v>
      </c>
      <c r="N1778" t="str">
        <f>IF(tbl_analysis_tickets[[#This Row],[first_response_minutes]]&gt;tbl_analysis_tickets[[#This Row],[First Response SLA Minutes]],"Breached","Within SLA")</f>
        <v>Breached</v>
      </c>
      <c r="O1778" t="str" cm="1">
        <f t="array" ref="O1778">_xlfn.IFS(
tbl_analysis_tickets[[#This Row],[agent_experience_years]]&lt;=2,"Junior",
tbl_analysis_tickets[[#This Row],[agent_experience_years]]&lt;=5,"Mid-Level",
tbl_analysis_tickets[[#This Row],[agent_experience_years]]&lt;=8,"Senior",
tbl_analysis_tickets[[#This Row],[agent_experience_years]]&gt;8,"Expert"
)</f>
        <v>Senior</v>
      </c>
      <c r="P1778" cm="1">
        <f t="array" ref="P1778">_xlfn.SWITCH(tbl_analysis_tickets[[#This Row],[customer_satisfaction]],
"Low",1,
"Medium",2,
"High",3
)</f>
        <v>1</v>
      </c>
      <c r="Q1778">
        <f>IF(tbl_analysis_tickets[[#This Row],[reopened]]="Yes",1,0)</f>
        <v>1</v>
      </c>
      <c r="R1778" t="str" cm="1">
        <f t="array" ref="R1778">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778" t="str" cm="1">
        <f t="array" ref="S177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778" t="str">
        <f>TEXT(tbl_analysis_tickets[[#This Row],[created_date]],"mmm-yyyy")</f>
        <v>Feb-2024</v>
      </c>
      <c r="U1778" t="str">
        <f>TEXT(tbl_analysis_tickets[[#This Row],[created_date]],"dddd")</f>
        <v>Saturday</v>
      </c>
      <c r="V1778" cm="1">
        <f t="array" ref="V1778">_xlfn.SWITCH(tbl_analysis_tickets[[#This Row],[priority]],
"Urgent",1,
"High",2,
"Medium",3,
"Low",4
)</f>
        <v>2</v>
      </c>
    </row>
    <row r="1779" spans="1:22" x14ac:dyDescent="0.25">
      <c r="A1779">
        <v>1778</v>
      </c>
      <c r="B1779" s="1">
        <v>45401</v>
      </c>
      <c r="C1779" t="s">
        <v>23</v>
      </c>
      <c r="D1779" t="s">
        <v>15</v>
      </c>
      <c r="E1779">
        <v>198</v>
      </c>
      <c r="F1779">
        <v>3</v>
      </c>
      <c r="G1779">
        <v>5.5</v>
      </c>
      <c r="H1779" t="s">
        <v>18</v>
      </c>
      <c r="I1779" t="s">
        <v>19</v>
      </c>
      <c r="J1779" t="s">
        <v>20</v>
      </c>
      <c r="K1779">
        <f>_xlfn.XLOOKUP(tbl_analysis_tickets[[#This Row],[priority]],tbl_sla[priority],tbl_sla[Resolution SLA Hours])</f>
        <v>48</v>
      </c>
      <c r="L1779">
        <f>_xlfn.XLOOKUP(tbl_analysis_tickets[[#This Row],[priority]],tbl_sla[priority],tbl_sla[First Response SLA Minutes])</f>
        <v>120</v>
      </c>
      <c r="M1779" t="str">
        <f>IF(tbl_analysis_tickets[[#This Row],[resolution_time_hours]]&gt;tbl_analysis_tickets[[#This Row],[Resolution SLA Hours]],"Breached","Within SLA")</f>
        <v>Within SLA</v>
      </c>
      <c r="N1779" t="str">
        <f>IF(tbl_analysis_tickets[[#This Row],[first_response_minutes]]&gt;tbl_analysis_tickets[[#This Row],[First Response SLA Minutes]],"Breached","Within SLA")</f>
        <v>Breached</v>
      </c>
      <c r="O1779" t="str" cm="1">
        <f t="array" ref="O1779">_xlfn.IFS(
tbl_analysis_tickets[[#This Row],[agent_experience_years]]&lt;=2,"Junior",
tbl_analysis_tickets[[#This Row],[agent_experience_years]]&lt;=5,"Mid-Level",
tbl_analysis_tickets[[#This Row],[agent_experience_years]]&lt;=8,"Senior",
tbl_analysis_tickets[[#This Row],[agent_experience_years]]&gt;8,"Expert"
)</f>
        <v>Senior</v>
      </c>
      <c r="P1779" cm="1">
        <f t="array" ref="P1779">_xlfn.SWITCH(tbl_analysis_tickets[[#This Row],[customer_satisfaction]],
"Low",1,
"Medium",2,
"High",3
)</f>
        <v>3</v>
      </c>
      <c r="Q1779">
        <f>IF(tbl_analysis_tickets[[#This Row],[reopened]]="Yes",1,0)</f>
        <v>0</v>
      </c>
      <c r="R1779" t="str" cm="1">
        <f t="array" ref="R1779">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779" t="str" cm="1">
        <f t="array" ref="S177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1779" t="str">
        <f>TEXT(tbl_analysis_tickets[[#This Row],[created_date]],"mmm-yyyy")</f>
        <v>Apr-2024</v>
      </c>
      <c r="U1779" t="str">
        <f>TEXT(tbl_analysis_tickets[[#This Row],[created_date]],"dddd")</f>
        <v>Friday</v>
      </c>
      <c r="V1779" cm="1">
        <f t="array" ref="V1779">_xlfn.SWITCH(tbl_analysis_tickets[[#This Row],[priority]],
"Urgent",1,
"High",2,
"Medium",3,
"Low",4
)</f>
        <v>3</v>
      </c>
    </row>
    <row r="1780" spans="1:22" x14ac:dyDescent="0.25">
      <c r="A1780">
        <v>1779</v>
      </c>
      <c r="B1780" s="1">
        <v>45329</v>
      </c>
      <c r="C1780" t="s">
        <v>23</v>
      </c>
      <c r="D1780" t="s">
        <v>15</v>
      </c>
      <c r="E1780">
        <v>173</v>
      </c>
      <c r="F1780">
        <v>30</v>
      </c>
      <c r="G1780">
        <v>4.4000000000000004</v>
      </c>
      <c r="H1780" t="s">
        <v>12</v>
      </c>
      <c r="I1780" t="s">
        <v>16</v>
      </c>
      <c r="J1780" t="s">
        <v>11</v>
      </c>
      <c r="K1780">
        <f>_xlfn.XLOOKUP(tbl_analysis_tickets[[#This Row],[priority]],tbl_sla[priority],tbl_sla[Resolution SLA Hours])</f>
        <v>48</v>
      </c>
      <c r="L1780">
        <f>_xlfn.XLOOKUP(tbl_analysis_tickets[[#This Row],[priority]],tbl_sla[priority],tbl_sla[First Response SLA Minutes])</f>
        <v>120</v>
      </c>
      <c r="M1780" t="str">
        <f>IF(tbl_analysis_tickets[[#This Row],[resolution_time_hours]]&gt;tbl_analysis_tickets[[#This Row],[Resolution SLA Hours]],"Breached","Within SLA")</f>
        <v>Within SLA</v>
      </c>
      <c r="N1780" t="str">
        <f>IF(tbl_analysis_tickets[[#This Row],[first_response_minutes]]&gt;tbl_analysis_tickets[[#This Row],[First Response SLA Minutes]],"Breached","Within SLA")</f>
        <v>Breached</v>
      </c>
      <c r="O1780" t="str" cm="1">
        <f t="array" ref="O1780">_xlfn.IFS(
tbl_analysis_tickets[[#This Row],[agent_experience_years]]&lt;=2,"Junior",
tbl_analysis_tickets[[#This Row],[agent_experience_years]]&lt;=5,"Mid-Level",
tbl_analysis_tickets[[#This Row],[agent_experience_years]]&lt;=8,"Senior",
tbl_analysis_tickets[[#This Row],[agent_experience_years]]&gt;8,"Expert"
)</f>
        <v>Mid-Level</v>
      </c>
      <c r="P1780" cm="1">
        <f t="array" ref="P1780">_xlfn.SWITCH(tbl_analysis_tickets[[#This Row],[customer_satisfaction]],
"Low",1,
"Medium",2,
"High",3
)</f>
        <v>1</v>
      </c>
      <c r="Q1780">
        <f>IF(tbl_analysis_tickets[[#This Row],[reopened]]="Yes",1,0)</f>
        <v>1</v>
      </c>
      <c r="R1780" t="str" cm="1">
        <f t="array" ref="R1780">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780" t="str" cm="1">
        <f t="array" ref="S178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780" t="str">
        <f>TEXT(tbl_analysis_tickets[[#This Row],[created_date]],"mmm-yyyy")</f>
        <v>Feb-2024</v>
      </c>
      <c r="U1780" t="str">
        <f>TEXT(tbl_analysis_tickets[[#This Row],[created_date]],"dddd")</f>
        <v>Wednesday</v>
      </c>
      <c r="V1780" cm="1">
        <f t="array" ref="V1780">_xlfn.SWITCH(tbl_analysis_tickets[[#This Row],[priority]],
"Urgent",1,
"High",2,
"Medium",3,
"Low",4
)</f>
        <v>3</v>
      </c>
    </row>
    <row r="1781" spans="1:22" x14ac:dyDescent="0.25">
      <c r="A1781">
        <v>1780</v>
      </c>
      <c r="B1781" s="1">
        <v>45371</v>
      </c>
      <c r="C1781" t="s">
        <v>10</v>
      </c>
      <c r="D1781" t="s">
        <v>20</v>
      </c>
      <c r="E1781">
        <v>24</v>
      </c>
      <c r="F1781">
        <v>4</v>
      </c>
      <c r="G1781">
        <v>5.2</v>
      </c>
      <c r="H1781" t="s">
        <v>18</v>
      </c>
      <c r="I1781" t="s">
        <v>16</v>
      </c>
      <c r="J1781" t="s">
        <v>20</v>
      </c>
      <c r="K1781">
        <f>_xlfn.XLOOKUP(tbl_analysis_tickets[[#This Row],[priority]],tbl_sla[priority],tbl_sla[Resolution SLA Hours])</f>
        <v>24</v>
      </c>
      <c r="L1781">
        <f>_xlfn.XLOOKUP(tbl_analysis_tickets[[#This Row],[priority]],tbl_sla[priority],tbl_sla[First Response SLA Minutes])</f>
        <v>60</v>
      </c>
      <c r="M1781" t="str">
        <f>IF(tbl_analysis_tickets[[#This Row],[resolution_time_hours]]&gt;tbl_analysis_tickets[[#This Row],[Resolution SLA Hours]],"Breached","Within SLA")</f>
        <v>Within SLA</v>
      </c>
      <c r="N1781" t="str">
        <f>IF(tbl_analysis_tickets[[#This Row],[first_response_minutes]]&gt;tbl_analysis_tickets[[#This Row],[First Response SLA Minutes]],"Breached","Within SLA")</f>
        <v>Within SLA</v>
      </c>
      <c r="O1781" t="str" cm="1">
        <f t="array" ref="O1781">_xlfn.IFS(
tbl_analysis_tickets[[#This Row],[agent_experience_years]]&lt;=2,"Junior",
tbl_analysis_tickets[[#This Row],[agent_experience_years]]&lt;=5,"Mid-Level",
tbl_analysis_tickets[[#This Row],[agent_experience_years]]&lt;=8,"Senior",
tbl_analysis_tickets[[#This Row],[agent_experience_years]]&gt;8,"Expert"
)</f>
        <v>Senior</v>
      </c>
      <c r="P1781" cm="1">
        <f t="array" ref="P1781">_xlfn.SWITCH(tbl_analysis_tickets[[#This Row],[customer_satisfaction]],
"Low",1,
"Medium",2,
"High",3
)</f>
        <v>3</v>
      </c>
      <c r="Q1781">
        <f>IF(tbl_analysis_tickets[[#This Row],[reopened]]="Yes",1,0)</f>
        <v>0</v>
      </c>
      <c r="R1781" t="str" cm="1">
        <f t="array" ref="R1781">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1781" t="str" cm="1">
        <f t="array" ref="S178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1781" t="str">
        <f>TEXT(tbl_analysis_tickets[[#This Row],[created_date]],"mmm-yyyy")</f>
        <v>Mar-2024</v>
      </c>
      <c r="U1781" t="str">
        <f>TEXT(tbl_analysis_tickets[[#This Row],[created_date]],"dddd")</f>
        <v>Wednesday</v>
      </c>
      <c r="V1781" cm="1">
        <f t="array" ref="V1781">_xlfn.SWITCH(tbl_analysis_tickets[[#This Row],[priority]],
"Urgent",1,
"High",2,
"Medium",3,
"Low",4
)</f>
        <v>2</v>
      </c>
    </row>
    <row r="1782" spans="1:22" x14ac:dyDescent="0.25">
      <c r="A1782">
        <v>1781</v>
      </c>
      <c r="B1782" s="1">
        <v>45387</v>
      </c>
      <c r="C1782" t="s">
        <v>10</v>
      </c>
      <c r="D1782" t="s">
        <v>17</v>
      </c>
      <c r="E1782">
        <v>105</v>
      </c>
      <c r="F1782">
        <v>15</v>
      </c>
      <c r="G1782">
        <v>8</v>
      </c>
      <c r="H1782" t="s">
        <v>18</v>
      </c>
      <c r="I1782" t="s">
        <v>16</v>
      </c>
      <c r="J1782" t="s">
        <v>11</v>
      </c>
      <c r="K1782">
        <f>_xlfn.XLOOKUP(tbl_analysis_tickets[[#This Row],[priority]],tbl_sla[priority],tbl_sla[Resolution SLA Hours])</f>
        <v>8</v>
      </c>
      <c r="L1782">
        <f>_xlfn.XLOOKUP(tbl_analysis_tickets[[#This Row],[priority]],tbl_sla[priority],tbl_sla[First Response SLA Minutes])</f>
        <v>30</v>
      </c>
      <c r="M1782" t="str">
        <f>IF(tbl_analysis_tickets[[#This Row],[resolution_time_hours]]&gt;tbl_analysis_tickets[[#This Row],[Resolution SLA Hours]],"Breached","Within SLA")</f>
        <v>Breached</v>
      </c>
      <c r="N1782" t="str">
        <f>IF(tbl_analysis_tickets[[#This Row],[first_response_minutes]]&gt;tbl_analysis_tickets[[#This Row],[First Response SLA Minutes]],"Breached","Within SLA")</f>
        <v>Breached</v>
      </c>
      <c r="O1782" t="str" cm="1">
        <f t="array" ref="O1782">_xlfn.IFS(
tbl_analysis_tickets[[#This Row],[agent_experience_years]]&lt;=2,"Junior",
tbl_analysis_tickets[[#This Row],[agent_experience_years]]&lt;=5,"Mid-Level",
tbl_analysis_tickets[[#This Row],[agent_experience_years]]&lt;=8,"Senior",
tbl_analysis_tickets[[#This Row],[agent_experience_years]]&gt;8,"Expert"
)</f>
        <v>Senior</v>
      </c>
      <c r="P1782" cm="1">
        <f t="array" ref="P1782">_xlfn.SWITCH(tbl_analysis_tickets[[#This Row],[customer_satisfaction]],
"Low",1,
"Medium",2,
"High",3
)</f>
        <v>1</v>
      </c>
      <c r="Q1782">
        <f>IF(tbl_analysis_tickets[[#This Row],[reopened]]="Yes",1,0)</f>
        <v>0</v>
      </c>
      <c r="R1782" t="str" cm="1">
        <f t="array" ref="R1782">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782" t="str" cm="1">
        <f t="array" ref="S178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782" t="str">
        <f>TEXT(tbl_analysis_tickets[[#This Row],[created_date]],"mmm-yyyy")</f>
        <v>Apr-2024</v>
      </c>
      <c r="U1782" t="str">
        <f>TEXT(tbl_analysis_tickets[[#This Row],[created_date]],"dddd")</f>
        <v>Friday</v>
      </c>
      <c r="V1782" cm="1">
        <f t="array" ref="V1782">_xlfn.SWITCH(tbl_analysis_tickets[[#This Row],[priority]],
"Urgent",1,
"High",2,
"Medium",3,
"Low",4
)</f>
        <v>1</v>
      </c>
    </row>
    <row r="1783" spans="1:22" x14ac:dyDescent="0.25">
      <c r="A1783">
        <v>1782</v>
      </c>
      <c r="B1783" s="1">
        <v>45655</v>
      </c>
      <c r="C1783" t="s">
        <v>21</v>
      </c>
      <c r="D1783" t="s">
        <v>20</v>
      </c>
      <c r="E1783">
        <v>200</v>
      </c>
      <c r="F1783">
        <v>72</v>
      </c>
      <c r="G1783">
        <v>2.2999999999999998</v>
      </c>
      <c r="H1783" t="s">
        <v>18</v>
      </c>
      <c r="I1783" t="s">
        <v>19</v>
      </c>
      <c r="J1783" t="s">
        <v>11</v>
      </c>
      <c r="K1783">
        <f>_xlfn.XLOOKUP(tbl_analysis_tickets[[#This Row],[priority]],tbl_sla[priority],tbl_sla[Resolution SLA Hours])</f>
        <v>24</v>
      </c>
      <c r="L1783">
        <f>_xlfn.XLOOKUP(tbl_analysis_tickets[[#This Row],[priority]],tbl_sla[priority],tbl_sla[First Response SLA Minutes])</f>
        <v>60</v>
      </c>
      <c r="M1783" t="str">
        <f>IF(tbl_analysis_tickets[[#This Row],[resolution_time_hours]]&gt;tbl_analysis_tickets[[#This Row],[Resolution SLA Hours]],"Breached","Within SLA")</f>
        <v>Breached</v>
      </c>
      <c r="N1783" t="str">
        <f>IF(tbl_analysis_tickets[[#This Row],[first_response_minutes]]&gt;tbl_analysis_tickets[[#This Row],[First Response SLA Minutes]],"Breached","Within SLA")</f>
        <v>Breached</v>
      </c>
      <c r="O1783" t="str" cm="1">
        <f t="array" ref="O1783">_xlfn.IFS(
tbl_analysis_tickets[[#This Row],[agent_experience_years]]&lt;=2,"Junior",
tbl_analysis_tickets[[#This Row],[agent_experience_years]]&lt;=5,"Mid-Level",
tbl_analysis_tickets[[#This Row],[agent_experience_years]]&lt;=8,"Senior",
tbl_analysis_tickets[[#This Row],[agent_experience_years]]&gt;8,"Expert"
)</f>
        <v>Mid-Level</v>
      </c>
      <c r="P1783" cm="1">
        <f t="array" ref="P1783">_xlfn.SWITCH(tbl_analysis_tickets[[#This Row],[customer_satisfaction]],
"Low",1,
"Medium",2,
"High",3
)</f>
        <v>1</v>
      </c>
      <c r="Q1783">
        <f>IF(tbl_analysis_tickets[[#This Row],[reopened]]="Yes",1,0)</f>
        <v>0</v>
      </c>
      <c r="R1783" t="str" cm="1">
        <f t="array" ref="R1783">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783" t="str" cm="1">
        <f t="array" ref="S178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783" t="str">
        <f>TEXT(tbl_analysis_tickets[[#This Row],[created_date]],"mmm-yyyy")</f>
        <v>Dec-2024</v>
      </c>
      <c r="U1783" t="str">
        <f>TEXT(tbl_analysis_tickets[[#This Row],[created_date]],"dddd")</f>
        <v>Sunday</v>
      </c>
      <c r="V1783" cm="1">
        <f t="array" ref="V1783">_xlfn.SWITCH(tbl_analysis_tickets[[#This Row],[priority]],
"Urgent",1,
"High",2,
"Medium",3,
"Low",4
)</f>
        <v>2</v>
      </c>
    </row>
    <row r="1784" spans="1:22" x14ac:dyDescent="0.25">
      <c r="A1784">
        <v>1783</v>
      </c>
      <c r="B1784" s="1">
        <v>45423</v>
      </c>
      <c r="C1784" t="s">
        <v>14</v>
      </c>
      <c r="D1784" t="s">
        <v>15</v>
      </c>
      <c r="E1784">
        <v>240</v>
      </c>
      <c r="F1784">
        <v>41</v>
      </c>
      <c r="G1784">
        <v>1.8</v>
      </c>
      <c r="H1784" t="s">
        <v>12</v>
      </c>
      <c r="I1784" t="s">
        <v>19</v>
      </c>
      <c r="J1784" t="s">
        <v>11</v>
      </c>
      <c r="K1784">
        <f>_xlfn.XLOOKUP(tbl_analysis_tickets[[#This Row],[priority]],tbl_sla[priority],tbl_sla[Resolution SLA Hours])</f>
        <v>48</v>
      </c>
      <c r="L1784">
        <f>_xlfn.XLOOKUP(tbl_analysis_tickets[[#This Row],[priority]],tbl_sla[priority],tbl_sla[First Response SLA Minutes])</f>
        <v>120</v>
      </c>
      <c r="M1784" t="str">
        <f>IF(tbl_analysis_tickets[[#This Row],[resolution_time_hours]]&gt;tbl_analysis_tickets[[#This Row],[Resolution SLA Hours]],"Breached","Within SLA")</f>
        <v>Within SLA</v>
      </c>
      <c r="N1784" t="str">
        <f>IF(tbl_analysis_tickets[[#This Row],[first_response_minutes]]&gt;tbl_analysis_tickets[[#This Row],[First Response SLA Minutes]],"Breached","Within SLA")</f>
        <v>Breached</v>
      </c>
      <c r="O1784" t="str" cm="1">
        <f t="array" ref="O1784">_xlfn.IFS(
tbl_analysis_tickets[[#This Row],[agent_experience_years]]&lt;=2,"Junior",
tbl_analysis_tickets[[#This Row],[agent_experience_years]]&lt;=5,"Mid-Level",
tbl_analysis_tickets[[#This Row],[agent_experience_years]]&lt;=8,"Senior",
tbl_analysis_tickets[[#This Row],[agent_experience_years]]&gt;8,"Expert"
)</f>
        <v>Junior</v>
      </c>
      <c r="P1784" cm="1">
        <f t="array" ref="P1784">_xlfn.SWITCH(tbl_analysis_tickets[[#This Row],[customer_satisfaction]],
"Low",1,
"Medium",2,
"High",3
)</f>
        <v>1</v>
      </c>
      <c r="Q1784">
        <f>IF(tbl_analysis_tickets[[#This Row],[reopened]]="Yes",1,0)</f>
        <v>1</v>
      </c>
      <c r="R1784" t="str" cm="1">
        <f t="array" ref="R1784">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784" t="str" cm="1">
        <f t="array" ref="S178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784" t="str">
        <f>TEXT(tbl_analysis_tickets[[#This Row],[created_date]],"mmm-yyyy")</f>
        <v>May-2024</v>
      </c>
      <c r="U1784" t="str">
        <f>TEXT(tbl_analysis_tickets[[#This Row],[created_date]],"dddd")</f>
        <v>Saturday</v>
      </c>
      <c r="V1784" cm="1">
        <f t="array" ref="V1784">_xlfn.SWITCH(tbl_analysis_tickets[[#This Row],[priority]],
"Urgent",1,
"High",2,
"Medium",3,
"Low",4
)</f>
        <v>3</v>
      </c>
    </row>
    <row r="1785" spans="1:22" x14ac:dyDescent="0.25">
      <c r="A1785">
        <v>1784</v>
      </c>
      <c r="B1785" s="1">
        <v>45396</v>
      </c>
      <c r="C1785" t="s">
        <v>10</v>
      </c>
      <c r="D1785" t="s">
        <v>15</v>
      </c>
      <c r="E1785">
        <v>211</v>
      </c>
      <c r="F1785">
        <v>37</v>
      </c>
      <c r="G1785">
        <v>2</v>
      </c>
      <c r="H1785" t="s">
        <v>18</v>
      </c>
      <c r="I1785" t="s">
        <v>19</v>
      </c>
      <c r="J1785" t="s">
        <v>11</v>
      </c>
      <c r="K1785">
        <f>_xlfn.XLOOKUP(tbl_analysis_tickets[[#This Row],[priority]],tbl_sla[priority],tbl_sla[Resolution SLA Hours])</f>
        <v>48</v>
      </c>
      <c r="L1785">
        <f>_xlfn.XLOOKUP(tbl_analysis_tickets[[#This Row],[priority]],tbl_sla[priority],tbl_sla[First Response SLA Minutes])</f>
        <v>120</v>
      </c>
      <c r="M1785" t="str">
        <f>IF(tbl_analysis_tickets[[#This Row],[resolution_time_hours]]&gt;tbl_analysis_tickets[[#This Row],[Resolution SLA Hours]],"Breached","Within SLA")</f>
        <v>Within SLA</v>
      </c>
      <c r="N1785" t="str">
        <f>IF(tbl_analysis_tickets[[#This Row],[first_response_minutes]]&gt;tbl_analysis_tickets[[#This Row],[First Response SLA Minutes]],"Breached","Within SLA")</f>
        <v>Breached</v>
      </c>
      <c r="O1785" t="str" cm="1">
        <f t="array" ref="O1785">_xlfn.IFS(
tbl_analysis_tickets[[#This Row],[agent_experience_years]]&lt;=2,"Junior",
tbl_analysis_tickets[[#This Row],[agent_experience_years]]&lt;=5,"Mid-Level",
tbl_analysis_tickets[[#This Row],[agent_experience_years]]&lt;=8,"Senior",
tbl_analysis_tickets[[#This Row],[agent_experience_years]]&gt;8,"Expert"
)</f>
        <v>Junior</v>
      </c>
      <c r="P1785" cm="1">
        <f t="array" ref="P1785">_xlfn.SWITCH(tbl_analysis_tickets[[#This Row],[customer_satisfaction]],
"Low",1,
"Medium",2,
"High",3
)</f>
        <v>1</v>
      </c>
      <c r="Q1785">
        <f>IF(tbl_analysis_tickets[[#This Row],[reopened]]="Yes",1,0)</f>
        <v>0</v>
      </c>
      <c r="R1785" t="str" cm="1">
        <f t="array" ref="R1785">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785" t="str" cm="1">
        <f t="array" ref="S178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785" t="str">
        <f>TEXT(tbl_analysis_tickets[[#This Row],[created_date]],"mmm-yyyy")</f>
        <v>Apr-2024</v>
      </c>
      <c r="U1785" t="str">
        <f>TEXT(tbl_analysis_tickets[[#This Row],[created_date]],"dddd")</f>
        <v>Sunday</v>
      </c>
      <c r="V1785" cm="1">
        <f t="array" ref="V1785">_xlfn.SWITCH(tbl_analysis_tickets[[#This Row],[priority]],
"Urgent",1,
"High",2,
"Medium",3,
"Low",4
)</f>
        <v>3</v>
      </c>
    </row>
    <row r="1786" spans="1:22" x14ac:dyDescent="0.25">
      <c r="A1786">
        <v>1785</v>
      </c>
      <c r="B1786" s="1">
        <v>45524</v>
      </c>
      <c r="C1786" t="s">
        <v>23</v>
      </c>
      <c r="D1786" t="s">
        <v>11</v>
      </c>
      <c r="E1786">
        <v>116</v>
      </c>
      <c r="F1786">
        <v>13</v>
      </c>
      <c r="G1786">
        <v>10</v>
      </c>
      <c r="H1786" t="s">
        <v>18</v>
      </c>
      <c r="I1786" t="s">
        <v>16</v>
      </c>
      <c r="J1786" t="s">
        <v>15</v>
      </c>
      <c r="K1786">
        <f>_xlfn.XLOOKUP(tbl_analysis_tickets[[#This Row],[priority]],tbl_sla[priority],tbl_sla[Resolution SLA Hours])</f>
        <v>72</v>
      </c>
      <c r="L1786">
        <f>_xlfn.XLOOKUP(tbl_analysis_tickets[[#This Row],[priority]],tbl_sla[priority],tbl_sla[First Response SLA Minutes])</f>
        <v>240</v>
      </c>
      <c r="M1786" t="str">
        <f>IF(tbl_analysis_tickets[[#This Row],[resolution_time_hours]]&gt;tbl_analysis_tickets[[#This Row],[Resolution SLA Hours]],"Breached","Within SLA")</f>
        <v>Within SLA</v>
      </c>
      <c r="N1786" t="str">
        <f>IF(tbl_analysis_tickets[[#This Row],[first_response_minutes]]&gt;tbl_analysis_tickets[[#This Row],[First Response SLA Minutes]],"Breached","Within SLA")</f>
        <v>Within SLA</v>
      </c>
      <c r="O1786" t="str" cm="1">
        <f t="array" ref="O1786">_xlfn.IFS(
tbl_analysis_tickets[[#This Row],[agent_experience_years]]&lt;=2,"Junior",
tbl_analysis_tickets[[#This Row],[agent_experience_years]]&lt;=5,"Mid-Level",
tbl_analysis_tickets[[#This Row],[agent_experience_years]]&lt;=8,"Senior",
tbl_analysis_tickets[[#This Row],[agent_experience_years]]&gt;8,"Expert"
)</f>
        <v>Expert</v>
      </c>
      <c r="P1786" cm="1">
        <f t="array" ref="P1786">_xlfn.SWITCH(tbl_analysis_tickets[[#This Row],[customer_satisfaction]],
"Low",1,
"Medium",2,
"High",3
)</f>
        <v>2</v>
      </c>
      <c r="Q1786">
        <f>IF(tbl_analysis_tickets[[#This Row],[reopened]]="Yes",1,0)</f>
        <v>0</v>
      </c>
      <c r="R1786" t="str" cm="1">
        <f t="array" ref="R1786">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786" t="str" cm="1">
        <f t="array" ref="S178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786" t="str">
        <f>TEXT(tbl_analysis_tickets[[#This Row],[created_date]],"mmm-yyyy")</f>
        <v>Aug-2024</v>
      </c>
      <c r="U1786" t="str">
        <f>TEXT(tbl_analysis_tickets[[#This Row],[created_date]],"dddd")</f>
        <v>Tuesday</v>
      </c>
      <c r="V1786" cm="1">
        <f t="array" ref="V1786">_xlfn.SWITCH(tbl_analysis_tickets[[#This Row],[priority]],
"Urgent",1,
"High",2,
"Medium",3,
"Low",4
)</f>
        <v>4</v>
      </c>
    </row>
    <row r="1787" spans="1:22" x14ac:dyDescent="0.25">
      <c r="A1787">
        <v>1786</v>
      </c>
      <c r="B1787" s="1">
        <v>45601</v>
      </c>
      <c r="C1787" t="s">
        <v>14</v>
      </c>
      <c r="D1787" t="s">
        <v>17</v>
      </c>
      <c r="E1787">
        <v>61</v>
      </c>
      <c r="F1787">
        <v>56</v>
      </c>
      <c r="G1787">
        <v>1.2</v>
      </c>
      <c r="H1787" t="s">
        <v>18</v>
      </c>
      <c r="I1787" t="s">
        <v>16</v>
      </c>
      <c r="J1787" t="s">
        <v>11</v>
      </c>
      <c r="K1787">
        <f>_xlfn.XLOOKUP(tbl_analysis_tickets[[#This Row],[priority]],tbl_sla[priority],tbl_sla[Resolution SLA Hours])</f>
        <v>8</v>
      </c>
      <c r="L1787">
        <f>_xlfn.XLOOKUP(tbl_analysis_tickets[[#This Row],[priority]],tbl_sla[priority],tbl_sla[First Response SLA Minutes])</f>
        <v>30</v>
      </c>
      <c r="M1787" t="str">
        <f>IF(tbl_analysis_tickets[[#This Row],[resolution_time_hours]]&gt;tbl_analysis_tickets[[#This Row],[Resolution SLA Hours]],"Breached","Within SLA")</f>
        <v>Breached</v>
      </c>
      <c r="N1787" t="str">
        <f>IF(tbl_analysis_tickets[[#This Row],[first_response_minutes]]&gt;tbl_analysis_tickets[[#This Row],[First Response SLA Minutes]],"Breached","Within SLA")</f>
        <v>Breached</v>
      </c>
      <c r="O1787" t="str" cm="1">
        <f t="array" ref="O1787">_xlfn.IFS(
tbl_analysis_tickets[[#This Row],[agent_experience_years]]&lt;=2,"Junior",
tbl_analysis_tickets[[#This Row],[agent_experience_years]]&lt;=5,"Mid-Level",
tbl_analysis_tickets[[#This Row],[agent_experience_years]]&lt;=8,"Senior",
tbl_analysis_tickets[[#This Row],[agent_experience_years]]&gt;8,"Expert"
)</f>
        <v>Junior</v>
      </c>
      <c r="P1787" cm="1">
        <f t="array" ref="P1787">_xlfn.SWITCH(tbl_analysis_tickets[[#This Row],[customer_satisfaction]],
"Low",1,
"Medium",2,
"High",3
)</f>
        <v>1</v>
      </c>
      <c r="Q1787">
        <f>IF(tbl_analysis_tickets[[#This Row],[reopened]]="Yes",1,0)</f>
        <v>0</v>
      </c>
      <c r="R1787" t="str" cm="1">
        <f t="array" ref="R1787">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787" t="str" cm="1">
        <f t="array" ref="S178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787" t="str">
        <f>TEXT(tbl_analysis_tickets[[#This Row],[created_date]],"mmm-yyyy")</f>
        <v>Nov-2024</v>
      </c>
      <c r="U1787" t="str">
        <f>TEXT(tbl_analysis_tickets[[#This Row],[created_date]],"dddd")</f>
        <v>Tuesday</v>
      </c>
      <c r="V1787" cm="1">
        <f t="array" ref="V1787">_xlfn.SWITCH(tbl_analysis_tickets[[#This Row],[priority]],
"Urgent",1,
"High",2,
"Medium",3,
"Low",4
)</f>
        <v>1</v>
      </c>
    </row>
    <row r="1788" spans="1:22" x14ac:dyDescent="0.25">
      <c r="A1788">
        <v>1787</v>
      </c>
      <c r="B1788" s="1">
        <v>45503</v>
      </c>
      <c r="C1788" t="s">
        <v>21</v>
      </c>
      <c r="D1788" t="s">
        <v>20</v>
      </c>
      <c r="E1788">
        <v>153</v>
      </c>
      <c r="F1788">
        <v>16</v>
      </c>
      <c r="G1788">
        <v>8.9</v>
      </c>
      <c r="H1788" t="s">
        <v>12</v>
      </c>
      <c r="I1788" t="s">
        <v>19</v>
      </c>
      <c r="J1788" t="s">
        <v>11</v>
      </c>
      <c r="K1788">
        <f>_xlfn.XLOOKUP(tbl_analysis_tickets[[#This Row],[priority]],tbl_sla[priority],tbl_sla[Resolution SLA Hours])</f>
        <v>24</v>
      </c>
      <c r="L1788">
        <f>_xlfn.XLOOKUP(tbl_analysis_tickets[[#This Row],[priority]],tbl_sla[priority],tbl_sla[First Response SLA Minutes])</f>
        <v>60</v>
      </c>
      <c r="M1788" t="str">
        <f>IF(tbl_analysis_tickets[[#This Row],[resolution_time_hours]]&gt;tbl_analysis_tickets[[#This Row],[Resolution SLA Hours]],"Breached","Within SLA")</f>
        <v>Within SLA</v>
      </c>
      <c r="N1788" t="str">
        <f>IF(tbl_analysis_tickets[[#This Row],[first_response_minutes]]&gt;tbl_analysis_tickets[[#This Row],[First Response SLA Minutes]],"Breached","Within SLA")</f>
        <v>Breached</v>
      </c>
      <c r="O1788" t="str" cm="1">
        <f t="array" ref="O1788">_xlfn.IFS(
tbl_analysis_tickets[[#This Row],[agent_experience_years]]&lt;=2,"Junior",
tbl_analysis_tickets[[#This Row],[agent_experience_years]]&lt;=5,"Mid-Level",
tbl_analysis_tickets[[#This Row],[agent_experience_years]]&lt;=8,"Senior",
tbl_analysis_tickets[[#This Row],[agent_experience_years]]&gt;8,"Expert"
)</f>
        <v>Expert</v>
      </c>
      <c r="P1788" cm="1">
        <f t="array" ref="P1788">_xlfn.SWITCH(tbl_analysis_tickets[[#This Row],[customer_satisfaction]],
"Low",1,
"Medium",2,
"High",3
)</f>
        <v>1</v>
      </c>
      <c r="Q1788">
        <f>IF(tbl_analysis_tickets[[#This Row],[reopened]]="Yes",1,0)</f>
        <v>1</v>
      </c>
      <c r="R1788" t="str" cm="1">
        <f t="array" ref="R1788">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788" t="str" cm="1">
        <f t="array" ref="S178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788" t="str">
        <f>TEXT(tbl_analysis_tickets[[#This Row],[created_date]],"mmm-yyyy")</f>
        <v>Jul-2024</v>
      </c>
      <c r="U1788" t="str">
        <f>TEXT(tbl_analysis_tickets[[#This Row],[created_date]],"dddd")</f>
        <v>Tuesday</v>
      </c>
      <c r="V1788" cm="1">
        <f t="array" ref="V1788">_xlfn.SWITCH(tbl_analysis_tickets[[#This Row],[priority]],
"Urgent",1,
"High",2,
"Medium",3,
"Low",4
)</f>
        <v>2</v>
      </c>
    </row>
    <row r="1789" spans="1:22" x14ac:dyDescent="0.25">
      <c r="A1789">
        <v>1788</v>
      </c>
      <c r="B1789" s="1">
        <v>45616</v>
      </c>
      <c r="C1789" t="s">
        <v>10</v>
      </c>
      <c r="D1789" t="s">
        <v>11</v>
      </c>
      <c r="E1789">
        <v>28</v>
      </c>
      <c r="F1789">
        <v>2</v>
      </c>
      <c r="G1789">
        <v>1.1000000000000001</v>
      </c>
      <c r="H1789" t="s">
        <v>18</v>
      </c>
      <c r="I1789" t="s">
        <v>19</v>
      </c>
      <c r="J1789" t="s">
        <v>20</v>
      </c>
      <c r="K1789">
        <f>_xlfn.XLOOKUP(tbl_analysis_tickets[[#This Row],[priority]],tbl_sla[priority],tbl_sla[Resolution SLA Hours])</f>
        <v>72</v>
      </c>
      <c r="L1789">
        <f>_xlfn.XLOOKUP(tbl_analysis_tickets[[#This Row],[priority]],tbl_sla[priority],tbl_sla[First Response SLA Minutes])</f>
        <v>240</v>
      </c>
      <c r="M1789" t="str">
        <f>IF(tbl_analysis_tickets[[#This Row],[resolution_time_hours]]&gt;tbl_analysis_tickets[[#This Row],[Resolution SLA Hours]],"Breached","Within SLA")</f>
        <v>Within SLA</v>
      </c>
      <c r="N1789" t="str">
        <f>IF(tbl_analysis_tickets[[#This Row],[first_response_minutes]]&gt;tbl_analysis_tickets[[#This Row],[First Response SLA Minutes]],"Breached","Within SLA")</f>
        <v>Within SLA</v>
      </c>
      <c r="O1789" t="str" cm="1">
        <f t="array" ref="O1789">_xlfn.IFS(
tbl_analysis_tickets[[#This Row],[agent_experience_years]]&lt;=2,"Junior",
tbl_analysis_tickets[[#This Row],[agent_experience_years]]&lt;=5,"Mid-Level",
tbl_analysis_tickets[[#This Row],[agent_experience_years]]&lt;=8,"Senior",
tbl_analysis_tickets[[#This Row],[agent_experience_years]]&gt;8,"Expert"
)</f>
        <v>Junior</v>
      </c>
      <c r="P1789" cm="1">
        <f t="array" ref="P1789">_xlfn.SWITCH(tbl_analysis_tickets[[#This Row],[customer_satisfaction]],
"Low",1,
"Medium",2,
"High",3
)</f>
        <v>3</v>
      </c>
      <c r="Q1789">
        <f>IF(tbl_analysis_tickets[[#This Row],[reopened]]="Yes",1,0)</f>
        <v>0</v>
      </c>
      <c r="R1789" t="str" cm="1">
        <f t="array" ref="R1789">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1789" t="str" cm="1">
        <f t="array" ref="S178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1789" t="str">
        <f>TEXT(tbl_analysis_tickets[[#This Row],[created_date]],"mmm-yyyy")</f>
        <v>Nov-2024</v>
      </c>
      <c r="U1789" t="str">
        <f>TEXT(tbl_analysis_tickets[[#This Row],[created_date]],"dddd")</f>
        <v>Wednesday</v>
      </c>
      <c r="V1789" cm="1">
        <f t="array" ref="V1789">_xlfn.SWITCH(tbl_analysis_tickets[[#This Row],[priority]],
"Urgent",1,
"High",2,
"Medium",3,
"Low",4
)</f>
        <v>4</v>
      </c>
    </row>
    <row r="1790" spans="1:22" x14ac:dyDescent="0.25">
      <c r="A1790">
        <v>1789</v>
      </c>
      <c r="B1790" s="1">
        <v>45584</v>
      </c>
      <c r="C1790" t="s">
        <v>23</v>
      </c>
      <c r="D1790" t="s">
        <v>17</v>
      </c>
      <c r="E1790">
        <v>197</v>
      </c>
      <c r="F1790">
        <v>49</v>
      </c>
      <c r="G1790">
        <v>4</v>
      </c>
      <c r="H1790" t="s">
        <v>12</v>
      </c>
      <c r="I1790" t="s">
        <v>16</v>
      </c>
      <c r="J1790" t="s">
        <v>11</v>
      </c>
      <c r="K1790">
        <f>_xlfn.XLOOKUP(tbl_analysis_tickets[[#This Row],[priority]],tbl_sla[priority],tbl_sla[Resolution SLA Hours])</f>
        <v>8</v>
      </c>
      <c r="L1790">
        <f>_xlfn.XLOOKUP(tbl_analysis_tickets[[#This Row],[priority]],tbl_sla[priority],tbl_sla[First Response SLA Minutes])</f>
        <v>30</v>
      </c>
      <c r="M1790" t="str">
        <f>IF(tbl_analysis_tickets[[#This Row],[resolution_time_hours]]&gt;tbl_analysis_tickets[[#This Row],[Resolution SLA Hours]],"Breached","Within SLA")</f>
        <v>Breached</v>
      </c>
      <c r="N1790" t="str">
        <f>IF(tbl_analysis_tickets[[#This Row],[first_response_minutes]]&gt;tbl_analysis_tickets[[#This Row],[First Response SLA Minutes]],"Breached","Within SLA")</f>
        <v>Breached</v>
      </c>
      <c r="O1790" t="str" cm="1">
        <f t="array" ref="O1790">_xlfn.IFS(
tbl_analysis_tickets[[#This Row],[agent_experience_years]]&lt;=2,"Junior",
tbl_analysis_tickets[[#This Row],[agent_experience_years]]&lt;=5,"Mid-Level",
tbl_analysis_tickets[[#This Row],[agent_experience_years]]&lt;=8,"Senior",
tbl_analysis_tickets[[#This Row],[agent_experience_years]]&gt;8,"Expert"
)</f>
        <v>Mid-Level</v>
      </c>
      <c r="P1790" cm="1">
        <f t="array" ref="P1790">_xlfn.SWITCH(tbl_analysis_tickets[[#This Row],[customer_satisfaction]],
"Low",1,
"Medium",2,
"High",3
)</f>
        <v>1</v>
      </c>
      <c r="Q1790">
        <f>IF(tbl_analysis_tickets[[#This Row],[reopened]]="Yes",1,0)</f>
        <v>1</v>
      </c>
      <c r="R1790" t="str" cm="1">
        <f t="array" ref="R1790">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790" t="str" cm="1">
        <f t="array" ref="S179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790" t="str">
        <f>TEXT(tbl_analysis_tickets[[#This Row],[created_date]],"mmm-yyyy")</f>
        <v>Oct-2024</v>
      </c>
      <c r="U1790" t="str">
        <f>TEXT(tbl_analysis_tickets[[#This Row],[created_date]],"dddd")</f>
        <v>Saturday</v>
      </c>
      <c r="V1790" cm="1">
        <f t="array" ref="V1790">_xlfn.SWITCH(tbl_analysis_tickets[[#This Row],[priority]],
"Urgent",1,
"High",2,
"Medium",3,
"Low",4
)</f>
        <v>1</v>
      </c>
    </row>
    <row r="1791" spans="1:22" x14ac:dyDescent="0.25">
      <c r="A1791">
        <v>1790</v>
      </c>
      <c r="B1791" s="1">
        <v>45353</v>
      </c>
      <c r="C1791" t="s">
        <v>14</v>
      </c>
      <c r="D1791" t="s">
        <v>15</v>
      </c>
      <c r="E1791">
        <v>187</v>
      </c>
      <c r="F1791">
        <v>10</v>
      </c>
      <c r="G1791">
        <v>0.9</v>
      </c>
      <c r="H1791" t="s">
        <v>12</v>
      </c>
      <c r="I1791" t="s">
        <v>13</v>
      </c>
      <c r="J1791" t="s">
        <v>11</v>
      </c>
      <c r="K1791">
        <f>_xlfn.XLOOKUP(tbl_analysis_tickets[[#This Row],[priority]],tbl_sla[priority],tbl_sla[Resolution SLA Hours])</f>
        <v>48</v>
      </c>
      <c r="L1791">
        <f>_xlfn.XLOOKUP(tbl_analysis_tickets[[#This Row],[priority]],tbl_sla[priority],tbl_sla[First Response SLA Minutes])</f>
        <v>120</v>
      </c>
      <c r="M1791" t="str">
        <f>IF(tbl_analysis_tickets[[#This Row],[resolution_time_hours]]&gt;tbl_analysis_tickets[[#This Row],[Resolution SLA Hours]],"Breached","Within SLA")</f>
        <v>Within SLA</v>
      </c>
      <c r="N1791" t="str">
        <f>IF(tbl_analysis_tickets[[#This Row],[first_response_minutes]]&gt;tbl_analysis_tickets[[#This Row],[First Response SLA Minutes]],"Breached","Within SLA")</f>
        <v>Breached</v>
      </c>
      <c r="O1791" t="str" cm="1">
        <f t="array" ref="O1791">_xlfn.IFS(
tbl_analysis_tickets[[#This Row],[agent_experience_years]]&lt;=2,"Junior",
tbl_analysis_tickets[[#This Row],[agent_experience_years]]&lt;=5,"Mid-Level",
tbl_analysis_tickets[[#This Row],[agent_experience_years]]&lt;=8,"Senior",
tbl_analysis_tickets[[#This Row],[agent_experience_years]]&gt;8,"Expert"
)</f>
        <v>Junior</v>
      </c>
      <c r="P1791" cm="1">
        <f t="array" ref="P1791">_xlfn.SWITCH(tbl_analysis_tickets[[#This Row],[customer_satisfaction]],
"Low",1,
"Medium",2,
"High",3
)</f>
        <v>1</v>
      </c>
      <c r="Q1791">
        <f>IF(tbl_analysis_tickets[[#This Row],[reopened]]="Yes",1,0)</f>
        <v>1</v>
      </c>
      <c r="R1791" t="str" cm="1">
        <f t="array" ref="R1791">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791" t="str" cm="1">
        <f t="array" ref="S179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791" t="str">
        <f>TEXT(tbl_analysis_tickets[[#This Row],[created_date]],"mmm-yyyy")</f>
        <v>Mar-2024</v>
      </c>
      <c r="U1791" t="str">
        <f>TEXT(tbl_analysis_tickets[[#This Row],[created_date]],"dddd")</f>
        <v>Saturday</v>
      </c>
      <c r="V1791" cm="1">
        <f t="array" ref="V1791">_xlfn.SWITCH(tbl_analysis_tickets[[#This Row],[priority]],
"Urgent",1,
"High",2,
"Medium",3,
"Low",4
)</f>
        <v>3</v>
      </c>
    </row>
    <row r="1792" spans="1:22" x14ac:dyDescent="0.25">
      <c r="A1792">
        <v>1791</v>
      </c>
      <c r="B1792" s="1">
        <v>45431</v>
      </c>
      <c r="C1792" t="s">
        <v>10</v>
      </c>
      <c r="D1792" t="s">
        <v>15</v>
      </c>
      <c r="E1792">
        <v>29</v>
      </c>
      <c r="F1792">
        <v>8</v>
      </c>
      <c r="G1792">
        <v>7.7</v>
      </c>
      <c r="H1792" t="s">
        <v>18</v>
      </c>
      <c r="I1792" t="s">
        <v>13</v>
      </c>
      <c r="J1792" t="s">
        <v>20</v>
      </c>
      <c r="K1792">
        <f>_xlfn.XLOOKUP(tbl_analysis_tickets[[#This Row],[priority]],tbl_sla[priority],tbl_sla[Resolution SLA Hours])</f>
        <v>48</v>
      </c>
      <c r="L1792">
        <f>_xlfn.XLOOKUP(tbl_analysis_tickets[[#This Row],[priority]],tbl_sla[priority],tbl_sla[First Response SLA Minutes])</f>
        <v>120</v>
      </c>
      <c r="M1792" t="str">
        <f>IF(tbl_analysis_tickets[[#This Row],[resolution_time_hours]]&gt;tbl_analysis_tickets[[#This Row],[Resolution SLA Hours]],"Breached","Within SLA")</f>
        <v>Within SLA</v>
      </c>
      <c r="N1792" t="str">
        <f>IF(tbl_analysis_tickets[[#This Row],[first_response_minutes]]&gt;tbl_analysis_tickets[[#This Row],[First Response SLA Minutes]],"Breached","Within SLA")</f>
        <v>Within SLA</v>
      </c>
      <c r="O1792" t="str" cm="1">
        <f t="array" ref="O1792">_xlfn.IFS(
tbl_analysis_tickets[[#This Row],[agent_experience_years]]&lt;=2,"Junior",
tbl_analysis_tickets[[#This Row],[agent_experience_years]]&lt;=5,"Mid-Level",
tbl_analysis_tickets[[#This Row],[agent_experience_years]]&lt;=8,"Senior",
tbl_analysis_tickets[[#This Row],[agent_experience_years]]&gt;8,"Expert"
)</f>
        <v>Senior</v>
      </c>
      <c r="P1792" cm="1">
        <f t="array" ref="P1792">_xlfn.SWITCH(tbl_analysis_tickets[[#This Row],[customer_satisfaction]],
"Low",1,
"Medium",2,
"High",3
)</f>
        <v>3</v>
      </c>
      <c r="Q1792">
        <f>IF(tbl_analysis_tickets[[#This Row],[reopened]]="Yes",1,0)</f>
        <v>0</v>
      </c>
      <c r="R1792" t="str" cm="1">
        <f t="array" ref="R1792">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1792" t="str" cm="1">
        <f t="array" ref="S179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1792" t="str">
        <f>TEXT(tbl_analysis_tickets[[#This Row],[created_date]],"mmm-yyyy")</f>
        <v>May-2024</v>
      </c>
      <c r="U1792" t="str">
        <f>TEXT(tbl_analysis_tickets[[#This Row],[created_date]],"dddd")</f>
        <v>Sunday</v>
      </c>
      <c r="V1792" cm="1">
        <f t="array" ref="V1792">_xlfn.SWITCH(tbl_analysis_tickets[[#This Row],[priority]],
"Urgent",1,
"High",2,
"Medium",3,
"Low",4
)</f>
        <v>3</v>
      </c>
    </row>
    <row r="1793" spans="1:22" x14ac:dyDescent="0.25">
      <c r="A1793">
        <v>1792</v>
      </c>
      <c r="B1793" s="1">
        <v>45641</v>
      </c>
      <c r="C1793" t="s">
        <v>21</v>
      </c>
      <c r="D1793" t="s">
        <v>11</v>
      </c>
      <c r="E1793">
        <v>95</v>
      </c>
      <c r="F1793">
        <v>63</v>
      </c>
      <c r="G1793">
        <v>6</v>
      </c>
      <c r="H1793" t="s">
        <v>12</v>
      </c>
      <c r="I1793" t="s">
        <v>13</v>
      </c>
      <c r="J1793" t="s">
        <v>11</v>
      </c>
      <c r="K1793">
        <f>_xlfn.XLOOKUP(tbl_analysis_tickets[[#This Row],[priority]],tbl_sla[priority],tbl_sla[Resolution SLA Hours])</f>
        <v>72</v>
      </c>
      <c r="L1793">
        <f>_xlfn.XLOOKUP(tbl_analysis_tickets[[#This Row],[priority]],tbl_sla[priority],tbl_sla[First Response SLA Minutes])</f>
        <v>240</v>
      </c>
      <c r="M1793" t="str">
        <f>IF(tbl_analysis_tickets[[#This Row],[resolution_time_hours]]&gt;tbl_analysis_tickets[[#This Row],[Resolution SLA Hours]],"Breached","Within SLA")</f>
        <v>Within SLA</v>
      </c>
      <c r="N1793" t="str">
        <f>IF(tbl_analysis_tickets[[#This Row],[first_response_minutes]]&gt;tbl_analysis_tickets[[#This Row],[First Response SLA Minutes]],"Breached","Within SLA")</f>
        <v>Within SLA</v>
      </c>
      <c r="O1793" t="str" cm="1">
        <f t="array" ref="O1793">_xlfn.IFS(
tbl_analysis_tickets[[#This Row],[agent_experience_years]]&lt;=2,"Junior",
tbl_analysis_tickets[[#This Row],[agent_experience_years]]&lt;=5,"Mid-Level",
tbl_analysis_tickets[[#This Row],[agent_experience_years]]&lt;=8,"Senior",
tbl_analysis_tickets[[#This Row],[agent_experience_years]]&gt;8,"Expert"
)</f>
        <v>Senior</v>
      </c>
      <c r="P1793" cm="1">
        <f t="array" ref="P1793">_xlfn.SWITCH(tbl_analysis_tickets[[#This Row],[customer_satisfaction]],
"Low",1,
"Medium",2,
"High",3
)</f>
        <v>1</v>
      </c>
      <c r="Q1793">
        <f>IF(tbl_analysis_tickets[[#This Row],[reopened]]="Yes",1,0)</f>
        <v>1</v>
      </c>
      <c r="R1793" t="str" cm="1">
        <f t="array" ref="R1793">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793" t="str" cm="1">
        <f t="array" ref="S179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793" t="str">
        <f>TEXT(tbl_analysis_tickets[[#This Row],[created_date]],"mmm-yyyy")</f>
        <v>Dec-2024</v>
      </c>
      <c r="U1793" t="str">
        <f>TEXT(tbl_analysis_tickets[[#This Row],[created_date]],"dddd")</f>
        <v>Sunday</v>
      </c>
      <c r="V1793" cm="1">
        <f t="array" ref="V1793">_xlfn.SWITCH(tbl_analysis_tickets[[#This Row],[priority]],
"Urgent",1,
"High",2,
"Medium",3,
"Low",4
)</f>
        <v>4</v>
      </c>
    </row>
    <row r="1794" spans="1:22" x14ac:dyDescent="0.25">
      <c r="A1794">
        <v>1793</v>
      </c>
      <c r="B1794" s="1">
        <v>45427</v>
      </c>
      <c r="C1794" t="s">
        <v>14</v>
      </c>
      <c r="D1794" t="s">
        <v>20</v>
      </c>
      <c r="E1794">
        <v>86</v>
      </c>
      <c r="F1794">
        <v>60</v>
      </c>
      <c r="G1794">
        <v>5.7</v>
      </c>
      <c r="H1794" t="s">
        <v>12</v>
      </c>
      <c r="I1794" t="s">
        <v>19</v>
      </c>
      <c r="J1794" t="s">
        <v>11</v>
      </c>
      <c r="K1794">
        <f>_xlfn.XLOOKUP(tbl_analysis_tickets[[#This Row],[priority]],tbl_sla[priority],tbl_sla[Resolution SLA Hours])</f>
        <v>24</v>
      </c>
      <c r="L1794">
        <f>_xlfn.XLOOKUP(tbl_analysis_tickets[[#This Row],[priority]],tbl_sla[priority],tbl_sla[First Response SLA Minutes])</f>
        <v>60</v>
      </c>
      <c r="M1794" t="str">
        <f>IF(tbl_analysis_tickets[[#This Row],[resolution_time_hours]]&gt;tbl_analysis_tickets[[#This Row],[Resolution SLA Hours]],"Breached","Within SLA")</f>
        <v>Breached</v>
      </c>
      <c r="N1794" t="str">
        <f>IF(tbl_analysis_tickets[[#This Row],[first_response_minutes]]&gt;tbl_analysis_tickets[[#This Row],[First Response SLA Minutes]],"Breached","Within SLA")</f>
        <v>Breached</v>
      </c>
      <c r="O1794" t="str" cm="1">
        <f t="array" ref="O1794">_xlfn.IFS(
tbl_analysis_tickets[[#This Row],[agent_experience_years]]&lt;=2,"Junior",
tbl_analysis_tickets[[#This Row],[agent_experience_years]]&lt;=5,"Mid-Level",
tbl_analysis_tickets[[#This Row],[agent_experience_years]]&lt;=8,"Senior",
tbl_analysis_tickets[[#This Row],[agent_experience_years]]&gt;8,"Expert"
)</f>
        <v>Senior</v>
      </c>
      <c r="P1794" cm="1">
        <f t="array" ref="P1794">_xlfn.SWITCH(tbl_analysis_tickets[[#This Row],[customer_satisfaction]],
"Low",1,
"Medium",2,
"High",3
)</f>
        <v>1</v>
      </c>
      <c r="Q1794">
        <f>IF(tbl_analysis_tickets[[#This Row],[reopened]]="Yes",1,0)</f>
        <v>1</v>
      </c>
      <c r="R1794" t="str" cm="1">
        <f t="array" ref="R1794">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794" t="str" cm="1">
        <f t="array" ref="S179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794" t="str">
        <f>TEXT(tbl_analysis_tickets[[#This Row],[created_date]],"mmm-yyyy")</f>
        <v>May-2024</v>
      </c>
      <c r="U1794" t="str">
        <f>TEXT(tbl_analysis_tickets[[#This Row],[created_date]],"dddd")</f>
        <v>Wednesday</v>
      </c>
      <c r="V1794" cm="1">
        <f t="array" ref="V1794">_xlfn.SWITCH(tbl_analysis_tickets[[#This Row],[priority]],
"Urgent",1,
"High",2,
"Medium",3,
"Low",4
)</f>
        <v>2</v>
      </c>
    </row>
    <row r="1795" spans="1:22" x14ac:dyDescent="0.25">
      <c r="A1795">
        <v>1794</v>
      </c>
      <c r="B1795" s="1">
        <v>45442</v>
      </c>
      <c r="C1795" t="s">
        <v>22</v>
      </c>
      <c r="D1795" t="s">
        <v>20</v>
      </c>
      <c r="E1795">
        <v>213</v>
      </c>
      <c r="F1795">
        <v>24</v>
      </c>
      <c r="G1795">
        <v>8</v>
      </c>
      <c r="H1795" t="s">
        <v>18</v>
      </c>
      <c r="I1795" t="s">
        <v>19</v>
      </c>
      <c r="J1795" t="s">
        <v>11</v>
      </c>
      <c r="K1795">
        <f>_xlfn.XLOOKUP(tbl_analysis_tickets[[#This Row],[priority]],tbl_sla[priority],tbl_sla[Resolution SLA Hours])</f>
        <v>24</v>
      </c>
      <c r="L1795">
        <f>_xlfn.XLOOKUP(tbl_analysis_tickets[[#This Row],[priority]],tbl_sla[priority],tbl_sla[First Response SLA Minutes])</f>
        <v>60</v>
      </c>
      <c r="M1795" t="str">
        <f>IF(tbl_analysis_tickets[[#This Row],[resolution_time_hours]]&gt;tbl_analysis_tickets[[#This Row],[Resolution SLA Hours]],"Breached","Within SLA")</f>
        <v>Within SLA</v>
      </c>
      <c r="N1795" t="str">
        <f>IF(tbl_analysis_tickets[[#This Row],[first_response_minutes]]&gt;tbl_analysis_tickets[[#This Row],[First Response SLA Minutes]],"Breached","Within SLA")</f>
        <v>Breached</v>
      </c>
      <c r="O1795" t="str" cm="1">
        <f t="array" ref="O1795">_xlfn.IFS(
tbl_analysis_tickets[[#This Row],[agent_experience_years]]&lt;=2,"Junior",
tbl_analysis_tickets[[#This Row],[agent_experience_years]]&lt;=5,"Mid-Level",
tbl_analysis_tickets[[#This Row],[agent_experience_years]]&lt;=8,"Senior",
tbl_analysis_tickets[[#This Row],[agent_experience_years]]&gt;8,"Expert"
)</f>
        <v>Senior</v>
      </c>
      <c r="P1795" cm="1">
        <f t="array" ref="P1795">_xlfn.SWITCH(tbl_analysis_tickets[[#This Row],[customer_satisfaction]],
"Low",1,
"Medium",2,
"High",3
)</f>
        <v>1</v>
      </c>
      <c r="Q1795">
        <f>IF(tbl_analysis_tickets[[#This Row],[reopened]]="Yes",1,0)</f>
        <v>0</v>
      </c>
      <c r="R1795" t="str" cm="1">
        <f t="array" ref="R1795">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795" t="str" cm="1">
        <f t="array" ref="S179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795" t="str">
        <f>TEXT(tbl_analysis_tickets[[#This Row],[created_date]],"mmm-yyyy")</f>
        <v>May-2024</v>
      </c>
      <c r="U1795" t="str">
        <f>TEXT(tbl_analysis_tickets[[#This Row],[created_date]],"dddd")</f>
        <v>Thursday</v>
      </c>
      <c r="V1795" cm="1">
        <f t="array" ref="V1795">_xlfn.SWITCH(tbl_analysis_tickets[[#This Row],[priority]],
"Urgent",1,
"High",2,
"Medium",3,
"Low",4
)</f>
        <v>2</v>
      </c>
    </row>
    <row r="1796" spans="1:22" x14ac:dyDescent="0.25">
      <c r="A1796">
        <v>1795</v>
      </c>
      <c r="B1796" s="1">
        <v>45505</v>
      </c>
      <c r="C1796" t="s">
        <v>10</v>
      </c>
      <c r="D1796" t="s">
        <v>17</v>
      </c>
      <c r="E1796">
        <v>124</v>
      </c>
      <c r="F1796">
        <v>22</v>
      </c>
      <c r="G1796">
        <v>6.5</v>
      </c>
      <c r="H1796" t="s">
        <v>12</v>
      </c>
      <c r="I1796" t="s">
        <v>13</v>
      </c>
      <c r="J1796" t="s">
        <v>11</v>
      </c>
      <c r="K1796">
        <f>_xlfn.XLOOKUP(tbl_analysis_tickets[[#This Row],[priority]],tbl_sla[priority],tbl_sla[Resolution SLA Hours])</f>
        <v>8</v>
      </c>
      <c r="L1796">
        <f>_xlfn.XLOOKUP(tbl_analysis_tickets[[#This Row],[priority]],tbl_sla[priority],tbl_sla[First Response SLA Minutes])</f>
        <v>30</v>
      </c>
      <c r="M1796" t="str">
        <f>IF(tbl_analysis_tickets[[#This Row],[resolution_time_hours]]&gt;tbl_analysis_tickets[[#This Row],[Resolution SLA Hours]],"Breached","Within SLA")</f>
        <v>Breached</v>
      </c>
      <c r="N1796" t="str">
        <f>IF(tbl_analysis_tickets[[#This Row],[first_response_minutes]]&gt;tbl_analysis_tickets[[#This Row],[First Response SLA Minutes]],"Breached","Within SLA")</f>
        <v>Breached</v>
      </c>
      <c r="O1796" t="str" cm="1">
        <f t="array" ref="O1796">_xlfn.IFS(
tbl_analysis_tickets[[#This Row],[agent_experience_years]]&lt;=2,"Junior",
tbl_analysis_tickets[[#This Row],[agent_experience_years]]&lt;=5,"Mid-Level",
tbl_analysis_tickets[[#This Row],[agent_experience_years]]&lt;=8,"Senior",
tbl_analysis_tickets[[#This Row],[agent_experience_years]]&gt;8,"Expert"
)</f>
        <v>Senior</v>
      </c>
      <c r="P1796" cm="1">
        <f t="array" ref="P1796">_xlfn.SWITCH(tbl_analysis_tickets[[#This Row],[customer_satisfaction]],
"Low",1,
"Medium",2,
"High",3
)</f>
        <v>1</v>
      </c>
      <c r="Q1796">
        <f>IF(tbl_analysis_tickets[[#This Row],[reopened]]="Yes",1,0)</f>
        <v>1</v>
      </c>
      <c r="R1796" t="str" cm="1">
        <f t="array" ref="R1796">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796" t="str" cm="1">
        <f t="array" ref="S179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796" t="str">
        <f>TEXT(tbl_analysis_tickets[[#This Row],[created_date]],"mmm-yyyy")</f>
        <v>Aug-2024</v>
      </c>
      <c r="U1796" t="str">
        <f>TEXT(tbl_analysis_tickets[[#This Row],[created_date]],"dddd")</f>
        <v>Thursday</v>
      </c>
      <c r="V1796" cm="1">
        <f t="array" ref="V1796">_xlfn.SWITCH(tbl_analysis_tickets[[#This Row],[priority]],
"Urgent",1,
"High",2,
"Medium",3,
"Low",4
)</f>
        <v>1</v>
      </c>
    </row>
    <row r="1797" spans="1:22" x14ac:dyDescent="0.25">
      <c r="A1797">
        <v>1796</v>
      </c>
      <c r="B1797" s="1">
        <v>45334</v>
      </c>
      <c r="C1797" t="s">
        <v>23</v>
      </c>
      <c r="D1797" t="s">
        <v>17</v>
      </c>
      <c r="E1797">
        <v>52</v>
      </c>
      <c r="F1797">
        <v>58</v>
      </c>
      <c r="G1797">
        <v>2.6</v>
      </c>
      <c r="H1797" t="s">
        <v>18</v>
      </c>
      <c r="I1797" t="s">
        <v>13</v>
      </c>
      <c r="J1797" t="s">
        <v>11</v>
      </c>
      <c r="K1797">
        <f>_xlfn.XLOOKUP(tbl_analysis_tickets[[#This Row],[priority]],tbl_sla[priority],tbl_sla[Resolution SLA Hours])</f>
        <v>8</v>
      </c>
      <c r="L1797">
        <f>_xlfn.XLOOKUP(tbl_analysis_tickets[[#This Row],[priority]],tbl_sla[priority],tbl_sla[First Response SLA Minutes])</f>
        <v>30</v>
      </c>
      <c r="M1797" t="str">
        <f>IF(tbl_analysis_tickets[[#This Row],[resolution_time_hours]]&gt;tbl_analysis_tickets[[#This Row],[Resolution SLA Hours]],"Breached","Within SLA")</f>
        <v>Breached</v>
      </c>
      <c r="N1797" t="str">
        <f>IF(tbl_analysis_tickets[[#This Row],[first_response_minutes]]&gt;tbl_analysis_tickets[[#This Row],[First Response SLA Minutes]],"Breached","Within SLA")</f>
        <v>Breached</v>
      </c>
      <c r="O1797" t="str" cm="1">
        <f t="array" ref="O1797">_xlfn.IFS(
tbl_analysis_tickets[[#This Row],[agent_experience_years]]&lt;=2,"Junior",
tbl_analysis_tickets[[#This Row],[agent_experience_years]]&lt;=5,"Mid-Level",
tbl_analysis_tickets[[#This Row],[agent_experience_years]]&lt;=8,"Senior",
tbl_analysis_tickets[[#This Row],[agent_experience_years]]&gt;8,"Expert"
)</f>
        <v>Mid-Level</v>
      </c>
      <c r="P1797" cm="1">
        <f t="array" ref="P1797">_xlfn.SWITCH(tbl_analysis_tickets[[#This Row],[customer_satisfaction]],
"Low",1,
"Medium",2,
"High",3
)</f>
        <v>1</v>
      </c>
      <c r="Q1797">
        <f>IF(tbl_analysis_tickets[[#This Row],[reopened]]="Yes",1,0)</f>
        <v>0</v>
      </c>
      <c r="R1797" t="str" cm="1">
        <f t="array" ref="R1797">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797" t="str" cm="1">
        <f t="array" ref="S179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797" t="str">
        <f>TEXT(tbl_analysis_tickets[[#This Row],[created_date]],"mmm-yyyy")</f>
        <v>Feb-2024</v>
      </c>
      <c r="U1797" t="str">
        <f>TEXT(tbl_analysis_tickets[[#This Row],[created_date]],"dddd")</f>
        <v>Monday</v>
      </c>
      <c r="V1797" cm="1">
        <f t="array" ref="V1797">_xlfn.SWITCH(tbl_analysis_tickets[[#This Row],[priority]],
"Urgent",1,
"High",2,
"Medium",3,
"Low",4
)</f>
        <v>1</v>
      </c>
    </row>
    <row r="1798" spans="1:22" x14ac:dyDescent="0.25">
      <c r="A1798">
        <v>1797</v>
      </c>
      <c r="B1798" s="1">
        <v>45449</v>
      </c>
      <c r="C1798" t="s">
        <v>22</v>
      </c>
      <c r="D1798" t="s">
        <v>11</v>
      </c>
      <c r="E1798">
        <v>239</v>
      </c>
      <c r="F1798">
        <v>6</v>
      </c>
      <c r="G1798">
        <v>3.7</v>
      </c>
      <c r="H1798" t="s">
        <v>12</v>
      </c>
      <c r="I1798" t="s">
        <v>16</v>
      </c>
      <c r="J1798" t="s">
        <v>15</v>
      </c>
      <c r="K1798">
        <f>_xlfn.XLOOKUP(tbl_analysis_tickets[[#This Row],[priority]],tbl_sla[priority],tbl_sla[Resolution SLA Hours])</f>
        <v>72</v>
      </c>
      <c r="L1798">
        <f>_xlfn.XLOOKUP(tbl_analysis_tickets[[#This Row],[priority]],tbl_sla[priority],tbl_sla[First Response SLA Minutes])</f>
        <v>240</v>
      </c>
      <c r="M1798" t="str">
        <f>IF(tbl_analysis_tickets[[#This Row],[resolution_time_hours]]&gt;tbl_analysis_tickets[[#This Row],[Resolution SLA Hours]],"Breached","Within SLA")</f>
        <v>Within SLA</v>
      </c>
      <c r="N1798" t="str">
        <f>IF(tbl_analysis_tickets[[#This Row],[first_response_minutes]]&gt;tbl_analysis_tickets[[#This Row],[First Response SLA Minutes]],"Breached","Within SLA")</f>
        <v>Within SLA</v>
      </c>
      <c r="O1798" t="str" cm="1">
        <f t="array" ref="O1798">_xlfn.IFS(
tbl_analysis_tickets[[#This Row],[agent_experience_years]]&lt;=2,"Junior",
tbl_analysis_tickets[[#This Row],[agent_experience_years]]&lt;=5,"Mid-Level",
tbl_analysis_tickets[[#This Row],[agent_experience_years]]&lt;=8,"Senior",
tbl_analysis_tickets[[#This Row],[agent_experience_years]]&gt;8,"Expert"
)</f>
        <v>Mid-Level</v>
      </c>
      <c r="P1798" cm="1">
        <f t="array" ref="P1798">_xlfn.SWITCH(tbl_analysis_tickets[[#This Row],[customer_satisfaction]],
"Low",1,
"Medium",2,
"High",3
)</f>
        <v>2</v>
      </c>
      <c r="Q1798">
        <f>IF(tbl_analysis_tickets[[#This Row],[reopened]]="Yes",1,0)</f>
        <v>1</v>
      </c>
      <c r="R1798" t="str" cm="1">
        <f t="array" ref="R1798">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798" t="str" cm="1">
        <f t="array" ref="S179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1798" t="str">
        <f>TEXT(tbl_analysis_tickets[[#This Row],[created_date]],"mmm-yyyy")</f>
        <v>Jun-2024</v>
      </c>
      <c r="U1798" t="str">
        <f>TEXT(tbl_analysis_tickets[[#This Row],[created_date]],"dddd")</f>
        <v>Thursday</v>
      </c>
      <c r="V1798" cm="1">
        <f t="array" ref="V1798">_xlfn.SWITCH(tbl_analysis_tickets[[#This Row],[priority]],
"Urgent",1,
"High",2,
"Medium",3,
"Low",4
)</f>
        <v>4</v>
      </c>
    </row>
    <row r="1799" spans="1:22" x14ac:dyDescent="0.25">
      <c r="A1799">
        <v>1798</v>
      </c>
      <c r="B1799" s="1">
        <v>45561</v>
      </c>
      <c r="C1799" t="s">
        <v>10</v>
      </c>
      <c r="D1799" t="s">
        <v>20</v>
      </c>
      <c r="E1799">
        <v>195</v>
      </c>
      <c r="F1799">
        <v>22</v>
      </c>
      <c r="G1799">
        <v>2.2999999999999998</v>
      </c>
      <c r="H1799" t="s">
        <v>12</v>
      </c>
      <c r="I1799" t="s">
        <v>13</v>
      </c>
      <c r="J1799" t="s">
        <v>11</v>
      </c>
      <c r="K1799">
        <f>_xlfn.XLOOKUP(tbl_analysis_tickets[[#This Row],[priority]],tbl_sla[priority],tbl_sla[Resolution SLA Hours])</f>
        <v>24</v>
      </c>
      <c r="L1799">
        <f>_xlfn.XLOOKUP(tbl_analysis_tickets[[#This Row],[priority]],tbl_sla[priority],tbl_sla[First Response SLA Minutes])</f>
        <v>60</v>
      </c>
      <c r="M1799" t="str">
        <f>IF(tbl_analysis_tickets[[#This Row],[resolution_time_hours]]&gt;tbl_analysis_tickets[[#This Row],[Resolution SLA Hours]],"Breached","Within SLA")</f>
        <v>Within SLA</v>
      </c>
      <c r="N1799" t="str">
        <f>IF(tbl_analysis_tickets[[#This Row],[first_response_minutes]]&gt;tbl_analysis_tickets[[#This Row],[First Response SLA Minutes]],"Breached","Within SLA")</f>
        <v>Breached</v>
      </c>
      <c r="O1799" t="str" cm="1">
        <f t="array" ref="O1799">_xlfn.IFS(
tbl_analysis_tickets[[#This Row],[agent_experience_years]]&lt;=2,"Junior",
tbl_analysis_tickets[[#This Row],[agent_experience_years]]&lt;=5,"Mid-Level",
tbl_analysis_tickets[[#This Row],[agent_experience_years]]&lt;=8,"Senior",
tbl_analysis_tickets[[#This Row],[agent_experience_years]]&gt;8,"Expert"
)</f>
        <v>Mid-Level</v>
      </c>
      <c r="P1799" cm="1">
        <f t="array" ref="P1799">_xlfn.SWITCH(tbl_analysis_tickets[[#This Row],[customer_satisfaction]],
"Low",1,
"Medium",2,
"High",3
)</f>
        <v>1</v>
      </c>
      <c r="Q1799">
        <f>IF(tbl_analysis_tickets[[#This Row],[reopened]]="Yes",1,0)</f>
        <v>1</v>
      </c>
      <c r="R1799" t="str" cm="1">
        <f t="array" ref="R1799">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799" t="str" cm="1">
        <f t="array" ref="S179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799" t="str">
        <f>TEXT(tbl_analysis_tickets[[#This Row],[created_date]],"mmm-yyyy")</f>
        <v>Sep-2024</v>
      </c>
      <c r="U1799" t="str">
        <f>TEXT(tbl_analysis_tickets[[#This Row],[created_date]],"dddd")</f>
        <v>Thursday</v>
      </c>
      <c r="V1799" cm="1">
        <f t="array" ref="V1799">_xlfn.SWITCH(tbl_analysis_tickets[[#This Row],[priority]],
"Urgent",1,
"High",2,
"Medium",3,
"Low",4
)</f>
        <v>2</v>
      </c>
    </row>
    <row r="1800" spans="1:22" x14ac:dyDescent="0.25">
      <c r="A1800">
        <v>1799</v>
      </c>
      <c r="B1800" s="1">
        <v>45630</v>
      </c>
      <c r="C1800" t="s">
        <v>23</v>
      </c>
      <c r="D1800" t="s">
        <v>11</v>
      </c>
      <c r="E1800">
        <v>127</v>
      </c>
      <c r="F1800">
        <v>31</v>
      </c>
      <c r="G1800">
        <v>2.1</v>
      </c>
      <c r="H1800" t="s">
        <v>12</v>
      </c>
      <c r="I1800" t="s">
        <v>19</v>
      </c>
      <c r="J1800" t="s">
        <v>11</v>
      </c>
      <c r="K1800">
        <f>_xlfn.XLOOKUP(tbl_analysis_tickets[[#This Row],[priority]],tbl_sla[priority],tbl_sla[Resolution SLA Hours])</f>
        <v>72</v>
      </c>
      <c r="L1800">
        <f>_xlfn.XLOOKUP(tbl_analysis_tickets[[#This Row],[priority]],tbl_sla[priority],tbl_sla[First Response SLA Minutes])</f>
        <v>240</v>
      </c>
      <c r="M1800" t="str">
        <f>IF(tbl_analysis_tickets[[#This Row],[resolution_time_hours]]&gt;tbl_analysis_tickets[[#This Row],[Resolution SLA Hours]],"Breached","Within SLA")</f>
        <v>Within SLA</v>
      </c>
      <c r="N1800" t="str">
        <f>IF(tbl_analysis_tickets[[#This Row],[first_response_minutes]]&gt;tbl_analysis_tickets[[#This Row],[First Response SLA Minutes]],"Breached","Within SLA")</f>
        <v>Within SLA</v>
      </c>
      <c r="O1800" t="str" cm="1">
        <f t="array" ref="O1800">_xlfn.IFS(
tbl_analysis_tickets[[#This Row],[agent_experience_years]]&lt;=2,"Junior",
tbl_analysis_tickets[[#This Row],[agent_experience_years]]&lt;=5,"Mid-Level",
tbl_analysis_tickets[[#This Row],[agent_experience_years]]&lt;=8,"Senior",
tbl_analysis_tickets[[#This Row],[agent_experience_years]]&gt;8,"Expert"
)</f>
        <v>Mid-Level</v>
      </c>
      <c r="P1800" cm="1">
        <f t="array" ref="P1800">_xlfn.SWITCH(tbl_analysis_tickets[[#This Row],[customer_satisfaction]],
"Low",1,
"Medium",2,
"High",3
)</f>
        <v>1</v>
      </c>
      <c r="Q1800">
        <f>IF(tbl_analysis_tickets[[#This Row],[reopened]]="Yes",1,0)</f>
        <v>1</v>
      </c>
      <c r="R1800" t="str" cm="1">
        <f t="array" ref="R1800">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800" t="str" cm="1">
        <f t="array" ref="S180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800" t="str">
        <f>TEXT(tbl_analysis_tickets[[#This Row],[created_date]],"mmm-yyyy")</f>
        <v>Dec-2024</v>
      </c>
      <c r="U1800" t="str">
        <f>TEXT(tbl_analysis_tickets[[#This Row],[created_date]],"dddd")</f>
        <v>Wednesday</v>
      </c>
      <c r="V1800" cm="1">
        <f t="array" ref="V1800">_xlfn.SWITCH(tbl_analysis_tickets[[#This Row],[priority]],
"Urgent",1,
"High",2,
"Medium",3,
"Low",4
)</f>
        <v>4</v>
      </c>
    </row>
    <row r="1801" spans="1:22" x14ac:dyDescent="0.25">
      <c r="A1801">
        <v>1800</v>
      </c>
      <c r="B1801" s="1">
        <v>45639</v>
      </c>
      <c r="C1801" t="s">
        <v>10</v>
      </c>
      <c r="D1801" t="s">
        <v>17</v>
      </c>
      <c r="E1801">
        <v>133</v>
      </c>
      <c r="F1801">
        <v>39</v>
      </c>
      <c r="G1801">
        <v>7.3</v>
      </c>
      <c r="H1801" t="s">
        <v>12</v>
      </c>
      <c r="I1801" t="s">
        <v>13</v>
      </c>
      <c r="J1801" t="s">
        <v>11</v>
      </c>
      <c r="K1801">
        <f>_xlfn.XLOOKUP(tbl_analysis_tickets[[#This Row],[priority]],tbl_sla[priority],tbl_sla[Resolution SLA Hours])</f>
        <v>8</v>
      </c>
      <c r="L1801">
        <f>_xlfn.XLOOKUP(tbl_analysis_tickets[[#This Row],[priority]],tbl_sla[priority],tbl_sla[First Response SLA Minutes])</f>
        <v>30</v>
      </c>
      <c r="M1801" t="str">
        <f>IF(tbl_analysis_tickets[[#This Row],[resolution_time_hours]]&gt;tbl_analysis_tickets[[#This Row],[Resolution SLA Hours]],"Breached","Within SLA")</f>
        <v>Breached</v>
      </c>
      <c r="N1801" t="str">
        <f>IF(tbl_analysis_tickets[[#This Row],[first_response_minutes]]&gt;tbl_analysis_tickets[[#This Row],[First Response SLA Minutes]],"Breached","Within SLA")</f>
        <v>Breached</v>
      </c>
      <c r="O1801" t="str" cm="1">
        <f t="array" ref="O1801">_xlfn.IFS(
tbl_analysis_tickets[[#This Row],[agent_experience_years]]&lt;=2,"Junior",
tbl_analysis_tickets[[#This Row],[agent_experience_years]]&lt;=5,"Mid-Level",
tbl_analysis_tickets[[#This Row],[agent_experience_years]]&lt;=8,"Senior",
tbl_analysis_tickets[[#This Row],[agent_experience_years]]&gt;8,"Expert"
)</f>
        <v>Senior</v>
      </c>
      <c r="P1801" cm="1">
        <f t="array" ref="P1801">_xlfn.SWITCH(tbl_analysis_tickets[[#This Row],[customer_satisfaction]],
"Low",1,
"Medium",2,
"High",3
)</f>
        <v>1</v>
      </c>
      <c r="Q1801">
        <f>IF(tbl_analysis_tickets[[#This Row],[reopened]]="Yes",1,0)</f>
        <v>1</v>
      </c>
      <c r="R1801" t="str" cm="1">
        <f t="array" ref="R1801">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801" t="str" cm="1">
        <f t="array" ref="S180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801" t="str">
        <f>TEXT(tbl_analysis_tickets[[#This Row],[created_date]],"mmm-yyyy")</f>
        <v>Dec-2024</v>
      </c>
      <c r="U1801" t="str">
        <f>TEXT(tbl_analysis_tickets[[#This Row],[created_date]],"dddd")</f>
        <v>Friday</v>
      </c>
      <c r="V1801" cm="1">
        <f t="array" ref="V1801">_xlfn.SWITCH(tbl_analysis_tickets[[#This Row],[priority]],
"Urgent",1,
"High",2,
"Medium",3,
"Low",4
)</f>
        <v>1</v>
      </c>
    </row>
    <row r="1802" spans="1:22" x14ac:dyDescent="0.25">
      <c r="A1802">
        <v>1801</v>
      </c>
      <c r="B1802" s="1">
        <v>45618</v>
      </c>
      <c r="C1802" t="s">
        <v>22</v>
      </c>
      <c r="D1802" t="s">
        <v>20</v>
      </c>
      <c r="E1802">
        <v>239</v>
      </c>
      <c r="F1802">
        <v>54</v>
      </c>
      <c r="G1802">
        <v>2.7</v>
      </c>
      <c r="H1802" t="s">
        <v>18</v>
      </c>
      <c r="I1802" t="s">
        <v>16</v>
      </c>
      <c r="J1802" t="s">
        <v>11</v>
      </c>
      <c r="K1802">
        <f>_xlfn.XLOOKUP(tbl_analysis_tickets[[#This Row],[priority]],tbl_sla[priority],tbl_sla[Resolution SLA Hours])</f>
        <v>24</v>
      </c>
      <c r="L1802">
        <f>_xlfn.XLOOKUP(tbl_analysis_tickets[[#This Row],[priority]],tbl_sla[priority],tbl_sla[First Response SLA Minutes])</f>
        <v>60</v>
      </c>
      <c r="M1802" t="str">
        <f>IF(tbl_analysis_tickets[[#This Row],[resolution_time_hours]]&gt;tbl_analysis_tickets[[#This Row],[Resolution SLA Hours]],"Breached","Within SLA")</f>
        <v>Breached</v>
      </c>
      <c r="N1802" t="str">
        <f>IF(tbl_analysis_tickets[[#This Row],[first_response_minutes]]&gt;tbl_analysis_tickets[[#This Row],[First Response SLA Minutes]],"Breached","Within SLA")</f>
        <v>Breached</v>
      </c>
      <c r="O1802" t="str" cm="1">
        <f t="array" ref="O1802">_xlfn.IFS(
tbl_analysis_tickets[[#This Row],[agent_experience_years]]&lt;=2,"Junior",
tbl_analysis_tickets[[#This Row],[agent_experience_years]]&lt;=5,"Mid-Level",
tbl_analysis_tickets[[#This Row],[agent_experience_years]]&lt;=8,"Senior",
tbl_analysis_tickets[[#This Row],[agent_experience_years]]&gt;8,"Expert"
)</f>
        <v>Mid-Level</v>
      </c>
      <c r="P1802" cm="1">
        <f t="array" ref="P1802">_xlfn.SWITCH(tbl_analysis_tickets[[#This Row],[customer_satisfaction]],
"Low",1,
"Medium",2,
"High",3
)</f>
        <v>1</v>
      </c>
      <c r="Q1802">
        <f>IF(tbl_analysis_tickets[[#This Row],[reopened]]="Yes",1,0)</f>
        <v>0</v>
      </c>
      <c r="R1802" t="str" cm="1">
        <f t="array" ref="R1802">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802" t="str" cm="1">
        <f t="array" ref="S180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802" t="str">
        <f>TEXT(tbl_analysis_tickets[[#This Row],[created_date]],"mmm-yyyy")</f>
        <v>Nov-2024</v>
      </c>
      <c r="U1802" t="str">
        <f>TEXT(tbl_analysis_tickets[[#This Row],[created_date]],"dddd")</f>
        <v>Friday</v>
      </c>
      <c r="V1802" cm="1">
        <f t="array" ref="V1802">_xlfn.SWITCH(tbl_analysis_tickets[[#This Row],[priority]],
"Urgent",1,
"High",2,
"Medium",3,
"Low",4
)</f>
        <v>2</v>
      </c>
    </row>
    <row r="1803" spans="1:22" x14ac:dyDescent="0.25">
      <c r="A1803">
        <v>1802</v>
      </c>
      <c r="B1803" s="1">
        <v>45346</v>
      </c>
      <c r="C1803" t="s">
        <v>21</v>
      </c>
      <c r="D1803" t="s">
        <v>17</v>
      </c>
      <c r="E1803">
        <v>191</v>
      </c>
      <c r="F1803">
        <v>11</v>
      </c>
      <c r="G1803">
        <v>5.0999999999999996</v>
      </c>
      <c r="H1803" t="s">
        <v>12</v>
      </c>
      <c r="I1803" t="s">
        <v>19</v>
      </c>
      <c r="J1803" t="s">
        <v>11</v>
      </c>
      <c r="K1803">
        <f>_xlfn.XLOOKUP(tbl_analysis_tickets[[#This Row],[priority]],tbl_sla[priority],tbl_sla[Resolution SLA Hours])</f>
        <v>8</v>
      </c>
      <c r="L1803">
        <f>_xlfn.XLOOKUP(tbl_analysis_tickets[[#This Row],[priority]],tbl_sla[priority],tbl_sla[First Response SLA Minutes])</f>
        <v>30</v>
      </c>
      <c r="M1803" t="str">
        <f>IF(tbl_analysis_tickets[[#This Row],[resolution_time_hours]]&gt;tbl_analysis_tickets[[#This Row],[Resolution SLA Hours]],"Breached","Within SLA")</f>
        <v>Breached</v>
      </c>
      <c r="N1803" t="str">
        <f>IF(tbl_analysis_tickets[[#This Row],[first_response_minutes]]&gt;tbl_analysis_tickets[[#This Row],[First Response SLA Minutes]],"Breached","Within SLA")</f>
        <v>Breached</v>
      </c>
      <c r="O1803" t="str" cm="1">
        <f t="array" ref="O1803">_xlfn.IFS(
tbl_analysis_tickets[[#This Row],[agent_experience_years]]&lt;=2,"Junior",
tbl_analysis_tickets[[#This Row],[agent_experience_years]]&lt;=5,"Mid-Level",
tbl_analysis_tickets[[#This Row],[agent_experience_years]]&lt;=8,"Senior",
tbl_analysis_tickets[[#This Row],[agent_experience_years]]&gt;8,"Expert"
)</f>
        <v>Senior</v>
      </c>
      <c r="P1803" cm="1">
        <f t="array" ref="P1803">_xlfn.SWITCH(tbl_analysis_tickets[[#This Row],[customer_satisfaction]],
"Low",1,
"Medium",2,
"High",3
)</f>
        <v>1</v>
      </c>
      <c r="Q1803">
        <f>IF(tbl_analysis_tickets[[#This Row],[reopened]]="Yes",1,0)</f>
        <v>1</v>
      </c>
      <c r="R1803" t="str" cm="1">
        <f t="array" ref="R1803">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803" t="str" cm="1">
        <f t="array" ref="S180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803" t="str">
        <f>TEXT(tbl_analysis_tickets[[#This Row],[created_date]],"mmm-yyyy")</f>
        <v>Feb-2024</v>
      </c>
      <c r="U1803" t="str">
        <f>TEXT(tbl_analysis_tickets[[#This Row],[created_date]],"dddd")</f>
        <v>Saturday</v>
      </c>
      <c r="V1803" cm="1">
        <f t="array" ref="V1803">_xlfn.SWITCH(tbl_analysis_tickets[[#This Row],[priority]],
"Urgent",1,
"High",2,
"Medium",3,
"Low",4
)</f>
        <v>1</v>
      </c>
    </row>
    <row r="1804" spans="1:22" x14ac:dyDescent="0.25">
      <c r="A1804">
        <v>1803</v>
      </c>
      <c r="B1804" s="1">
        <v>45297</v>
      </c>
      <c r="C1804" t="s">
        <v>23</v>
      </c>
      <c r="D1804" t="s">
        <v>20</v>
      </c>
      <c r="E1804">
        <v>240</v>
      </c>
      <c r="F1804">
        <v>48</v>
      </c>
      <c r="G1804">
        <v>8.8000000000000007</v>
      </c>
      <c r="H1804" t="s">
        <v>12</v>
      </c>
      <c r="I1804" t="s">
        <v>13</v>
      </c>
      <c r="J1804" t="s">
        <v>11</v>
      </c>
      <c r="K1804">
        <f>_xlfn.XLOOKUP(tbl_analysis_tickets[[#This Row],[priority]],tbl_sla[priority],tbl_sla[Resolution SLA Hours])</f>
        <v>24</v>
      </c>
      <c r="L1804">
        <f>_xlfn.XLOOKUP(tbl_analysis_tickets[[#This Row],[priority]],tbl_sla[priority],tbl_sla[First Response SLA Minutes])</f>
        <v>60</v>
      </c>
      <c r="M1804" t="str">
        <f>IF(tbl_analysis_tickets[[#This Row],[resolution_time_hours]]&gt;tbl_analysis_tickets[[#This Row],[Resolution SLA Hours]],"Breached","Within SLA")</f>
        <v>Breached</v>
      </c>
      <c r="N1804" t="str">
        <f>IF(tbl_analysis_tickets[[#This Row],[first_response_minutes]]&gt;tbl_analysis_tickets[[#This Row],[First Response SLA Minutes]],"Breached","Within SLA")</f>
        <v>Breached</v>
      </c>
      <c r="O1804" t="str" cm="1">
        <f t="array" ref="O1804">_xlfn.IFS(
tbl_analysis_tickets[[#This Row],[agent_experience_years]]&lt;=2,"Junior",
tbl_analysis_tickets[[#This Row],[agent_experience_years]]&lt;=5,"Mid-Level",
tbl_analysis_tickets[[#This Row],[agent_experience_years]]&lt;=8,"Senior",
tbl_analysis_tickets[[#This Row],[agent_experience_years]]&gt;8,"Expert"
)</f>
        <v>Expert</v>
      </c>
      <c r="P1804" cm="1">
        <f t="array" ref="P1804">_xlfn.SWITCH(tbl_analysis_tickets[[#This Row],[customer_satisfaction]],
"Low",1,
"Medium",2,
"High",3
)</f>
        <v>1</v>
      </c>
      <c r="Q1804">
        <f>IF(tbl_analysis_tickets[[#This Row],[reopened]]="Yes",1,0)</f>
        <v>1</v>
      </c>
      <c r="R1804" t="str" cm="1">
        <f t="array" ref="R1804">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804" t="str" cm="1">
        <f t="array" ref="S180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804" t="str">
        <f>TEXT(tbl_analysis_tickets[[#This Row],[created_date]],"mmm-yyyy")</f>
        <v>Jan-2024</v>
      </c>
      <c r="U1804" t="str">
        <f>TEXT(tbl_analysis_tickets[[#This Row],[created_date]],"dddd")</f>
        <v>Saturday</v>
      </c>
      <c r="V1804" cm="1">
        <f t="array" ref="V1804">_xlfn.SWITCH(tbl_analysis_tickets[[#This Row],[priority]],
"Urgent",1,
"High",2,
"Medium",3,
"Low",4
)</f>
        <v>2</v>
      </c>
    </row>
    <row r="1805" spans="1:22" x14ac:dyDescent="0.25">
      <c r="A1805">
        <v>1804</v>
      </c>
      <c r="B1805" s="1">
        <v>45465</v>
      </c>
      <c r="C1805" t="s">
        <v>23</v>
      </c>
      <c r="D1805" t="s">
        <v>11</v>
      </c>
      <c r="E1805">
        <v>64</v>
      </c>
      <c r="F1805">
        <v>44</v>
      </c>
      <c r="G1805">
        <v>1.1000000000000001</v>
      </c>
      <c r="H1805" t="s">
        <v>18</v>
      </c>
      <c r="I1805" t="s">
        <v>16</v>
      </c>
      <c r="J1805" t="s">
        <v>11</v>
      </c>
      <c r="K1805">
        <f>_xlfn.XLOOKUP(tbl_analysis_tickets[[#This Row],[priority]],tbl_sla[priority],tbl_sla[Resolution SLA Hours])</f>
        <v>72</v>
      </c>
      <c r="L1805">
        <f>_xlfn.XLOOKUP(tbl_analysis_tickets[[#This Row],[priority]],tbl_sla[priority],tbl_sla[First Response SLA Minutes])</f>
        <v>240</v>
      </c>
      <c r="M1805" t="str">
        <f>IF(tbl_analysis_tickets[[#This Row],[resolution_time_hours]]&gt;tbl_analysis_tickets[[#This Row],[Resolution SLA Hours]],"Breached","Within SLA")</f>
        <v>Within SLA</v>
      </c>
      <c r="N1805" t="str">
        <f>IF(tbl_analysis_tickets[[#This Row],[first_response_minutes]]&gt;tbl_analysis_tickets[[#This Row],[First Response SLA Minutes]],"Breached","Within SLA")</f>
        <v>Within SLA</v>
      </c>
      <c r="O1805" t="str" cm="1">
        <f t="array" ref="O1805">_xlfn.IFS(
tbl_analysis_tickets[[#This Row],[agent_experience_years]]&lt;=2,"Junior",
tbl_analysis_tickets[[#This Row],[agent_experience_years]]&lt;=5,"Mid-Level",
tbl_analysis_tickets[[#This Row],[agent_experience_years]]&lt;=8,"Senior",
tbl_analysis_tickets[[#This Row],[agent_experience_years]]&gt;8,"Expert"
)</f>
        <v>Junior</v>
      </c>
      <c r="P1805" cm="1">
        <f t="array" ref="P1805">_xlfn.SWITCH(tbl_analysis_tickets[[#This Row],[customer_satisfaction]],
"Low",1,
"Medium",2,
"High",3
)</f>
        <v>1</v>
      </c>
      <c r="Q1805">
        <f>IF(tbl_analysis_tickets[[#This Row],[reopened]]="Yes",1,0)</f>
        <v>0</v>
      </c>
      <c r="R1805" t="str" cm="1">
        <f t="array" ref="R1805">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805" t="str" cm="1">
        <f t="array" ref="S180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805" t="str">
        <f>TEXT(tbl_analysis_tickets[[#This Row],[created_date]],"mmm-yyyy")</f>
        <v>Jun-2024</v>
      </c>
      <c r="U1805" t="str">
        <f>TEXT(tbl_analysis_tickets[[#This Row],[created_date]],"dddd")</f>
        <v>Saturday</v>
      </c>
      <c r="V1805" cm="1">
        <f t="array" ref="V1805">_xlfn.SWITCH(tbl_analysis_tickets[[#This Row],[priority]],
"Urgent",1,
"High",2,
"Medium",3,
"Low",4
)</f>
        <v>4</v>
      </c>
    </row>
    <row r="1806" spans="1:22" x14ac:dyDescent="0.25">
      <c r="A1806">
        <v>1805</v>
      </c>
      <c r="B1806" s="1">
        <v>45625</v>
      </c>
      <c r="C1806" t="s">
        <v>10</v>
      </c>
      <c r="D1806" t="s">
        <v>11</v>
      </c>
      <c r="E1806">
        <v>174</v>
      </c>
      <c r="F1806">
        <v>50</v>
      </c>
      <c r="G1806">
        <v>5.7</v>
      </c>
      <c r="H1806" t="s">
        <v>18</v>
      </c>
      <c r="I1806" t="s">
        <v>13</v>
      </c>
      <c r="J1806" t="s">
        <v>15</v>
      </c>
      <c r="K1806">
        <f>_xlfn.XLOOKUP(tbl_analysis_tickets[[#This Row],[priority]],tbl_sla[priority],tbl_sla[Resolution SLA Hours])</f>
        <v>72</v>
      </c>
      <c r="L1806">
        <f>_xlfn.XLOOKUP(tbl_analysis_tickets[[#This Row],[priority]],tbl_sla[priority],tbl_sla[First Response SLA Minutes])</f>
        <v>240</v>
      </c>
      <c r="M1806" t="str">
        <f>IF(tbl_analysis_tickets[[#This Row],[resolution_time_hours]]&gt;tbl_analysis_tickets[[#This Row],[Resolution SLA Hours]],"Breached","Within SLA")</f>
        <v>Within SLA</v>
      </c>
      <c r="N1806" t="str">
        <f>IF(tbl_analysis_tickets[[#This Row],[first_response_minutes]]&gt;tbl_analysis_tickets[[#This Row],[First Response SLA Minutes]],"Breached","Within SLA")</f>
        <v>Within SLA</v>
      </c>
      <c r="O1806" t="str" cm="1">
        <f t="array" ref="O1806">_xlfn.IFS(
tbl_analysis_tickets[[#This Row],[agent_experience_years]]&lt;=2,"Junior",
tbl_analysis_tickets[[#This Row],[agent_experience_years]]&lt;=5,"Mid-Level",
tbl_analysis_tickets[[#This Row],[agent_experience_years]]&lt;=8,"Senior",
tbl_analysis_tickets[[#This Row],[agent_experience_years]]&gt;8,"Expert"
)</f>
        <v>Senior</v>
      </c>
      <c r="P1806" cm="1">
        <f t="array" ref="P1806">_xlfn.SWITCH(tbl_analysis_tickets[[#This Row],[customer_satisfaction]],
"Low",1,
"Medium",2,
"High",3
)</f>
        <v>2</v>
      </c>
      <c r="Q1806">
        <f>IF(tbl_analysis_tickets[[#This Row],[reopened]]="Yes",1,0)</f>
        <v>0</v>
      </c>
      <c r="R1806" t="str" cm="1">
        <f t="array" ref="R1806">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806" t="str" cm="1">
        <f t="array" ref="S180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806" t="str">
        <f>TEXT(tbl_analysis_tickets[[#This Row],[created_date]],"mmm-yyyy")</f>
        <v>Nov-2024</v>
      </c>
      <c r="U1806" t="str">
        <f>TEXT(tbl_analysis_tickets[[#This Row],[created_date]],"dddd")</f>
        <v>Friday</v>
      </c>
      <c r="V1806" cm="1">
        <f t="array" ref="V1806">_xlfn.SWITCH(tbl_analysis_tickets[[#This Row],[priority]],
"Urgent",1,
"High",2,
"Medium",3,
"Low",4
)</f>
        <v>4</v>
      </c>
    </row>
    <row r="1807" spans="1:22" x14ac:dyDescent="0.25">
      <c r="A1807">
        <v>1806</v>
      </c>
      <c r="B1807" s="1">
        <v>45597</v>
      </c>
      <c r="C1807" t="s">
        <v>21</v>
      </c>
      <c r="D1807" t="s">
        <v>15</v>
      </c>
      <c r="E1807">
        <v>118</v>
      </c>
      <c r="F1807">
        <v>29</v>
      </c>
      <c r="G1807">
        <v>1</v>
      </c>
      <c r="H1807" t="s">
        <v>12</v>
      </c>
      <c r="I1807" t="s">
        <v>16</v>
      </c>
      <c r="J1807" t="s">
        <v>11</v>
      </c>
      <c r="K1807">
        <f>_xlfn.XLOOKUP(tbl_analysis_tickets[[#This Row],[priority]],tbl_sla[priority],tbl_sla[Resolution SLA Hours])</f>
        <v>48</v>
      </c>
      <c r="L1807">
        <f>_xlfn.XLOOKUP(tbl_analysis_tickets[[#This Row],[priority]],tbl_sla[priority],tbl_sla[First Response SLA Minutes])</f>
        <v>120</v>
      </c>
      <c r="M1807" t="str">
        <f>IF(tbl_analysis_tickets[[#This Row],[resolution_time_hours]]&gt;tbl_analysis_tickets[[#This Row],[Resolution SLA Hours]],"Breached","Within SLA")</f>
        <v>Within SLA</v>
      </c>
      <c r="N1807" t="str">
        <f>IF(tbl_analysis_tickets[[#This Row],[first_response_minutes]]&gt;tbl_analysis_tickets[[#This Row],[First Response SLA Minutes]],"Breached","Within SLA")</f>
        <v>Within SLA</v>
      </c>
      <c r="O1807" t="str" cm="1">
        <f t="array" ref="O1807">_xlfn.IFS(
tbl_analysis_tickets[[#This Row],[agent_experience_years]]&lt;=2,"Junior",
tbl_analysis_tickets[[#This Row],[agent_experience_years]]&lt;=5,"Mid-Level",
tbl_analysis_tickets[[#This Row],[agent_experience_years]]&lt;=8,"Senior",
tbl_analysis_tickets[[#This Row],[agent_experience_years]]&gt;8,"Expert"
)</f>
        <v>Junior</v>
      </c>
      <c r="P1807" cm="1">
        <f t="array" ref="P1807">_xlfn.SWITCH(tbl_analysis_tickets[[#This Row],[customer_satisfaction]],
"Low",1,
"Medium",2,
"High",3
)</f>
        <v>1</v>
      </c>
      <c r="Q1807">
        <f>IF(tbl_analysis_tickets[[#This Row],[reopened]]="Yes",1,0)</f>
        <v>1</v>
      </c>
      <c r="R1807" t="str" cm="1">
        <f t="array" ref="R1807">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807" t="str" cm="1">
        <f t="array" ref="S180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807" t="str">
        <f>TEXT(tbl_analysis_tickets[[#This Row],[created_date]],"mmm-yyyy")</f>
        <v>Nov-2024</v>
      </c>
      <c r="U1807" t="str">
        <f>TEXT(tbl_analysis_tickets[[#This Row],[created_date]],"dddd")</f>
        <v>Friday</v>
      </c>
      <c r="V1807" cm="1">
        <f t="array" ref="V1807">_xlfn.SWITCH(tbl_analysis_tickets[[#This Row],[priority]],
"Urgent",1,
"High",2,
"Medium",3,
"Low",4
)</f>
        <v>3</v>
      </c>
    </row>
    <row r="1808" spans="1:22" x14ac:dyDescent="0.25">
      <c r="A1808">
        <v>1807</v>
      </c>
      <c r="B1808" s="1">
        <v>45458</v>
      </c>
      <c r="C1808" t="s">
        <v>10</v>
      </c>
      <c r="D1808" t="s">
        <v>20</v>
      </c>
      <c r="E1808">
        <v>233</v>
      </c>
      <c r="F1808">
        <v>66</v>
      </c>
      <c r="G1808">
        <v>1.2</v>
      </c>
      <c r="H1808" t="s">
        <v>18</v>
      </c>
      <c r="I1808" t="s">
        <v>13</v>
      </c>
      <c r="J1808" t="s">
        <v>11</v>
      </c>
      <c r="K1808">
        <f>_xlfn.XLOOKUP(tbl_analysis_tickets[[#This Row],[priority]],tbl_sla[priority],tbl_sla[Resolution SLA Hours])</f>
        <v>24</v>
      </c>
      <c r="L1808">
        <f>_xlfn.XLOOKUP(tbl_analysis_tickets[[#This Row],[priority]],tbl_sla[priority],tbl_sla[First Response SLA Minutes])</f>
        <v>60</v>
      </c>
      <c r="M1808" t="str">
        <f>IF(tbl_analysis_tickets[[#This Row],[resolution_time_hours]]&gt;tbl_analysis_tickets[[#This Row],[Resolution SLA Hours]],"Breached","Within SLA")</f>
        <v>Breached</v>
      </c>
      <c r="N1808" t="str">
        <f>IF(tbl_analysis_tickets[[#This Row],[first_response_minutes]]&gt;tbl_analysis_tickets[[#This Row],[First Response SLA Minutes]],"Breached","Within SLA")</f>
        <v>Breached</v>
      </c>
      <c r="O1808" t="str" cm="1">
        <f t="array" ref="O1808">_xlfn.IFS(
tbl_analysis_tickets[[#This Row],[agent_experience_years]]&lt;=2,"Junior",
tbl_analysis_tickets[[#This Row],[agent_experience_years]]&lt;=5,"Mid-Level",
tbl_analysis_tickets[[#This Row],[agent_experience_years]]&lt;=8,"Senior",
tbl_analysis_tickets[[#This Row],[agent_experience_years]]&gt;8,"Expert"
)</f>
        <v>Junior</v>
      </c>
      <c r="P1808" cm="1">
        <f t="array" ref="P1808">_xlfn.SWITCH(tbl_analysis_tickets[[#This Row],[customer_satisfaction]],
"Low",1,
"Medium",2,
"High",3
)</f>
        <v>1</v>
      </c>
      <c r="Q1808">
        <f>IF(tbl_analysis_tickets[[#This Row],[reopened]]="Yes",1,0)</f>
        <v>0</v>
      </c>
      <c r="R1808" t="str" cm="1">
        <f t="array" ref="R1808">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808" t="str" cm="1">
        <f t="array" ref="S180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808" t="str">
        <f>TEXT(tbl_analysis_tickets[[#This Row],[created_date]],"mmm-yyyy")</f>
        <v>Jun-2024</v>
      </c>
      <c r="U1808" t="str">
        <f>TEXT(tbl_analysis_tickets[[#This Row],[created_date]],"dddd")</f>
        <v>Saturday</v>
      </c>
      <c r="V1808" cm="1">
        <f t="array" ref="V1808">_xlfn.SWITCH(tbl_analysis_tickets[[#This Row],[priority]],
"Urgent",1,
"High",2,
"Medium",3,
"Low",4
)</f>
        <v>2</v>
      </c>
    </row>
    <row r="1809" spans="1:22" x14ac:dyDescent="0.25">
      <c r="A1809">
        <v>1808</v>
      </c>
      <c r="B1809" s="1">
        <v>45526</v>
      </c>
      <c r="C1809" t="s">
        <v>22</v>
      </c>
      <c r="D1809" t="s">
        <v>17</v>
      </c>
      <c r="E1809">
        <v>110</v>
      </c>
      <c r="F1809">
        <v>24</v>
      </c>
      <c r="G1809">
        <v>5.2</v>
      </c>
      <c r="H1809" t="s">
        <v>12</v>
      </c>
      <c r="I1809" t="s">
        <v>16</v>
      </c>
      <c r="J1809" t="s">
        <v>11</v>
      </c>
      <c r="K1809">
        <f>_xlfn.XLOOKUP(tbl_analysis_tickets[[#This Row],[priority]],tbl_sla[priority],tbl_sla[Resolution SLA Hours])</f>
        <v>8</v>
      </c>
      <c r="L1809">
        <f>_xlfn.XLOOKUP(tbl_analysis_tickets[[#This Row],[priority]],tbl_sla[priority],tbl_sla[First Response SLA Minutes])</f>
        <v>30</v>
      </c>
      <c r="M1809" t="str">
        <f>IF(tbl_analysis_tickets[[#This Row],[resolution_time_hours]]&gt;tbl_analysis_tickets[[#This Row],[Resolution SLA Hours]],"Breached","Within SLA")</f>
        <v>Breached</v>
      </c>
      <c r="N1809" t="str">
        <f>IF(tbl_analysis_tickets[[#This Row],[first_response_minutes]]&gt;tbl_analysis_tickets[[#This Row],[First Response SLA Minutes]],"Breached","Within SLA")</f>
        <v>Breached</v>
      </c>
      <c r="O1809" t="str" cm="1">
        <f t="array" ref="O1809">_xlfn.IFS(
tbl_analysis_tickets[[#This Row],[agent_experience_years]]&lt;=2,"Junior",
tbl_analysis_tickets[[#This Row],[agent_experience_years]]&lt;=5,"Mid-Level",
tbl_analysis_tickets[[#This Row],[agent_experience_years]]&lt;=8,"Senior",
tbl_analysis_tickets[[#This Row],[agent_experience_years]]&gt;8,"Expert"
)</f>
        <v>Senior</v>
      </c>
      <c r="P1809" cm="1">
        <f t="array" ref="P1809">_xlfn.SWITCH(tbl_analysis_tickets[[#This Row],[customer_satisfaction]],
"Low",1,
"Medium",2,
"High",3
)</f>
        <v>1</v>
      </c>
      <c r="Q1809">
        <f>IF(tbl_analysis_tickets[[#This Row],[reopened]]="Yes",1,0)</f>
        <v>1</v>
      </c>
      <c r="R1809" t="str" cm="1">
        <f t="array" ref="R1809">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809" t="str" cm="1">
        <f t="array" ref="S180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809" t="str">
        <f>TEXT(tbl_analysis_tickets[[#This Row],[created_date]],"mmm-yyyy")</f>
        <v>Aug-2024</v>
      </c>
      <c r="U1809" t="str">
        <f>TEXT(tbl_analysis_tickets[[#This Row],[created_date]],"dddd")</f>
        <v>Thursday</v>
      </c>
      <c r="V1809" cm="1">
        <f t="array" ref="V1809">_xlfn.SWITCH(tbl_analysis_tickets[[#This Row],[priority]],
"Urgent",1,
"High",2,
"Medium",3,
"Low",4
)</f>
        <v>1</v>
      </c>
    </row>
    <row r="1810" spans="1:22" x14ac:dyDescent="0.25">
      <c r="A1810">
        <v>1809</v>
      </c>
      <c r="B1810" s="1">
        <v>45394</v>
      </c>
      <c r="C1810" t="s">
        <v>22</v>
      </c>
      <c r="D1810" t="s">
        <v>15</v>
      </c>
      <c r="E1810">
        <v>113</v>
      </c>
      <c r="F1810">
        <v>42</v>
      </c>
      <c r="G1810">
        <v>9.1</v>
      </c>
      <c r="H1810" t="s">
        <v>18</v>
      </c>
      <c r="I1810" t="s">
        <v>16</v>
      </c>
      <c r="J1810" t="s">
        <v>15</v>
      </c>
      <c r="K1810">
        <f>_xlfn.XLOOKUP(tbl_analysis_tickets[[#This Row],[priority]],tbl_sla[priority],tbl_sla[Resolution SLA Hours])</f>
        <v>48</v>
      </c>
      <c r="L1810">
        <f>_xlfn.XLOOKUP(tbl_analysis_tickets[[#This Row],[priority]],tbl_sla[priority],tbl_sla[First Response SLA Minutes])</f>
        <v>120</v>
      </c>
      <c r="M1810" t="str">
        <f>IF(tbl_analysis_tickets[[#This Row],[resolution_time_hours]]&gt;tbl_analysis_tickets[[#This Row],[Resolution SLA Hours]],"Breached","Within SLA")</f>
        <v>Within SLA</v>
      </c>
      <c r="N1810" t="str">
        <f>IF(tbl_analysis_tickets[[#This Row],[first_response_minutes]]&gt;tbl_analysis_tickets[[#This Row],[First Response SLA Minutes]],"Breached","Within SLA")</f>
        <v>Within SLA</v>
      </c>
      <c r="O1810" t="str" cm="1">
        <f t="array" ref="O1810">_xlfn.IFS(
tbl_analysis_tickets[[#This Row],[agent_experience_years]]&lt;=2,"Junior",
tbl_analysis_tickets[[#This Row],[agent_experience_years]]&lt;=5,"Mid-Level",
tbl_analysis_tickets[[#This Row],[agent_experience_years]]&lt;=8,"Senior",
tbl_analysis_tickets[[#This Row],[agent_experience_years]]&gt;8,"Expert"
)</f>
        <v>Expert</v>
      </c>
      <c r="P1810" cm="1">
        <f t="array" ref="P1810">_xlfn.SWITCH(tbl_analysis_tickets[[#This Row],[customer_satisfaction]],
"Low",1,
"Medium",2,
"High",3
)</f>
        <v>2</v>
      </c>
      <c r="Q1810">
        <f>IF(tbl_analysis_tickets[[#This Row],[reopened]]="Yes",1,0)</f>
        <v>0</v>
      </c>
      <c r="R1810" t="str" cm="1">
        <f t="array" ref="R1810">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810" t="str" cm="1">
        <f t="array" ref="S181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810" t="str">
        <f>TEXT(tbl_analysis_tickets[[#This Row],[created_date]],"mmm-yyyy")</f>
        <v>Apr-2024</v>
      </c>
      <c r="U1810" t="str">
        <f>TEXT(tbl_analysis_tickets[[#This Row],[created_date]],"dddd")</f>
        <v>Friday</v>
      </c>
      <c r="V1810" cm="1">
        <f t="array" ref="V1810">_xlfn.SWITCH(tbl_analysis_tickets[[#This Row],[priority]],
"Urgent",1,
"High",2,
"Medium",3,
"Low",4
)</f>
        <v>3</v>
      </c>
    </row>
    <row r="1811" spans="1:22" x14ac:dyDescent="0.25">
      <c r="A1811">
        <v>1810</v>
      </c>
      <c r="B1811" s="1">
        <v>45360</v>
      </c>
      <c r="C1811" t="s">
        <v>22</v>
      </c>
      <c r="D1811" t="s">
        <v>17</v>
      </c>
      <c r="E1811">
        <v>106</v>
      </c>
      <c r="F1811">
        <v>12</v>
      </c>
      <c r="G1811">
        <v>3.5</v>
      </c>
      <c r="H1811" t="s">
        <v>12</v>
      </c>
      <c r="I1811" t="s">
        <v>19</v>
      </c>
      <c r="J1811" t="s">
        <v>11</v>
      </c>
      <c r="K1811">
        <f>_xlfn.XLOOKUP(tbl_analysis_tickets[[#This Row],[priority]],tbl_sla[priority],tbl_sla[Resolution SLA Hours])</f>
        <v>8</v>
      </c>
      <c r="L1811">
        <f>_xlfn.XLOOKUP(tbl_analysis_tickets[[#This Row],[priority]],tbl_sla[priority],tbl_sla[First Response SLA Minutes])</f>
        <v>30</v>
      </c>
      <c r="M1811" t="str">
        <f>IF(tbl_analysis_tickets[[#This Row],[resolution_time_hours]]&gt;tbl_analysis_tickets[[#This Row],[Resolution SLA Hours]],"Breached","Within SLA")</f>
        <v>Breached</v>
      </c>
      <c r="N1811" t="str">
        <f>IF(tbl_analysis_tickets[[#This Row],[first_response_minutes]]&gt;tbl_analysis_tickets[[#This Row],[First Response SLA Minutes]],"Breached","Within SLA")</f>
        <v>Breached</v>
      </c>
      <c r="O1811" t="str" cm="1">
        <f t="array" ref="O1811">_xlfn.IFS(
tbl_analysis_tickets[[#This Row],[agent_experience_years]]&lt;=2,"Junior",
tbl_analysis_tickets[[#This Row],[agent_experience_years]]&lt;=5,"Mid-Level",
tbl_analysis_tickets[[#This Row],[agent_experience_years]]&lt;=8,"Senior",
tbl_analysis_tickets[[#This Row],[agent_experience_years]]&gt;8,"Expert"
)</f>
        <v>Mid-Level</v>
      </c>
      <c r="P1811" cm="1">
        <f t="array" ref="P1811">_xlfn.SWITCH(tbl_analysis_tickets[[#This Row],[customer_satisfaction]],
"Low",1,
"Medium",2,
"High",3
)</f>
        <v>1</v>
      </c>
      <c r="Q1811">
        <f>IF(tbl_analysis_tickets[[#This Row],[reopened]]="Yes",1,0)</f>
        <v>1</v>
      </c>
      <c r="R1811" t="str" cm="1">
        <f t="array" ref="R1811">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811" t="str" cm="1">
        <f t="array" ref="S181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811" t="str">
        <f>TEXT(tbl_analysis_tickets[[#This Row],[created_date]],"mmm-yyyy")</f>
        <v>Mar-2024</v>
      </c>
      <c r="U1811" t="str">
        <f>TEXT(tbl_analysis_tickets[[#This Row],[created_date]],"dddd")</f>
        <v>Saturday</v>
      </c>
      <c r="V1811" cm="1">
        <f t="array" ref="V1811">_xlfn.SWITCH(tbl_analysis_tickets[[#This Row],[priority]],
"Urgent",1,
"High",2,
"Medium",3,
"Low",4
)</f>
        <v>1</v>
      </c>
    </row>
    <row r="1812" spans="1:22" x14ac:dyDescent="0.25">
      <c r="A1812">
        <v>1811</v>
      </c>
      <c r="B1812" s="1">
        <v>45589</v>
      </c>
      <c r="C1812" t="s">
        <v>10</v>
      </c>
      <c r="D1812" t="s">
        <v>17</v>
      </c>
      <c r="E1812">
        <v>94</v>
      </c>
      <c r="F1812">
        <v>6</v>
      </c>
      <c r="G1812">
        <v>8.9</v>
      </c>
      <c r="H1812" t="s">
        <v>18</v>
      </c>
      <c r="I1812" t="s">
        <v>13</v>
      </c>
      <c r="J1812" t="s">
        <v>15</v>
      </c>
      <c r="K1812">
        <f>_xlfn.XLOOKUP(tbl_analysis_tickets[[#This Row],[priority]],tbl_sla[priority],tbl_sla[Resolution SLA Hours])</f>
        <v>8</v>
      </c>
      <c r="L1812">
        <f>_xlfn.XLOOKUP(tbl_analysis_tickets[[#This Row],[priority]],tbl_sla[priority],tbl_sla[First Response SLA Minutes])</f>
        <v>30</v>
      </c>
      <c r="M1812" t="str">
        <f>IF(tbl_analysis_tickets[[#This Row],[resolution_time_hours]]&gt;tbl_analysis_tickets[[#This Row],[Resolution SLA Hours]],"Breached","Within SLA")</f>
        <v>Within SLA</v>
      </c>
      <c r="N1812" t="str">
        <f>IF(tbl_analysis_tickets[[#This Row],[first_response_minutes]]&gt;tbl_analysis_tickets[[#This Row],[First Response SLA Minutes]],"Breached","Within SLA")</f>
        <v>Breached</v>
      </c>
      <c r="O1812" t="str" cm="1">
        <f t="array" ref="O1812">_xlfn.IFS(
tbl_analysis_tickets[[#This Row],[agent_experience_years]]&lt;=2,"Junior",
tbl_analysis_tickets[[#This Row],[agent_experience_years]]&lt;=5,"Mid-Level",
tbl_analysis_tickets[[#This Row],[agent_experience_years]]&lt;=8,"Senior",
tbl_analysis_tickets[[#This Row],[agent_experience_years]]&gt;8,"Expert"
)</f>
        <v>Expert</v>
      </c>
      <c r="P1812" cm="1">
        <f t="array" ref="P1812">_xlfn.SWITCH(tbl_analysis_tickets[[#This Row],[customer_satisfaction]],
"Low",1,
"Medium",2,
"High",3
)</f>
        <v>2</v>
      </c>
      <c r="Q1812">
        <f>IF(tbl_analysis_tickets[[#This Row],[reopened]]="Yes",1,0)</f>
        <v>0</v>
      </c>
      <c r="R1812" t="str" cm="1">
        <f t="array" ref="R1812">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812" t="str" cm="1">
        <f t="array" ref="S181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1812" t="str">
        <f>TEXT(tbl_analysis_tickets[[#This Row],[created_date]],"mmm-yyyy")</f>
        <v>Oct-2024</v>
      </c>
      <c r="U1812" t="str">
        <f>TEXT(tbl_analysis_tickets[[#This Row],[created_date]],"dddd")</f>
        <v>Thursday</v>
      </c>
      <c r="V1812" cm="1">
        <f t="array" ref="V1812">_xlfn.SWITCH(tbl_analysis_tickets[[#This Row],[priority]],
"Urgent",1,
"High",2,
"Medium",3,
"Low",4
)</f>
        <v>1</v>
      </c>
    </row>
    <row r="1813" spans="1:22" x14ac:dyDescent="0.25">
      <c r="A1813">
        <v>1812</v>
      </c>
      <c r="B1813" s="1">
        <v>45504</v>
      </c>
      <c r="C1813" t="s">
        <v>14</v>
      </c>
      <c r="D1813" t="s">
        <v>11</v>
      </c>
      <c r="E1813">
        <v>103</v>
      </c>
      <c r="F1813">
        <v>42</v>
      </c>
      <c r="G1813">
        <v>9.1</v>
      </c>
      <c r="H1813" t="s">
        <v>18</v>
      </c>
      <c r="I1813" t="s">
        <v>16</v>
      </c>
      <c r="J1813" t="s">
        <v>15</v>
      </c>
      <c r="K1813">
        <f>_xlfn.XLOOKUP(tbl_analysis_tickets[[#This Row],[priority]],tbl_sla[priority],tbl_sla[Resolution SLA Hours])</f>
        <v>72</v>
      </c>
      <c r="L1813">
        <f>_xlfn.XLOOKUP(tbl_analysis_tickets[[#This Row],[priority]],tbl_sla[priority],tbl_sla[First Response SLA Minutes])</f>
        <v>240</v>
      </c>
      <c r="M1813" t="str">
        <f>IF(tbl_analysis_tickets[[#This Row],[resolution_time_hours]]&gt;tbl_analysis_tickets[[#This Row],[Resolution SLA Hours]],"Breached","Within SLA")</f>
        <v>Within SLA</v>
      </c>
      <c r="N1813" t="str">
        <f>IF(tbl_analysis_tickets[[#This Row],[first_response_minutes]]&gt;tbl_analysis_tickets[[#This Row],[First Response SLA Minutes]],"Breached","Within SLA")</f>
        <v>Within SLA</v>
      </c>
      <c r="O1813" t="str" cm="1">
        <f t="array" ref="O1813">_xlfn.IFS(
tbl_analysis_tickets[[#This Row],[agent_experience_years]]&lt;=2,"Junior",
tbl_analysis_tickets[[#This Row],[agent_experience_years]]&lt;=5,"Mid-Level",
tbl_analysis_tickets[[#This Row],[agent_experience_years]]&lt;=8,"Senior",
tbl_analysis_tickets[[#This Row],[agent_experience_years]]&gt;8,"Expert"
)</f>
        <v>Expert</v>
      </c>
      <c r="P1813" cm="1">
        <f t="array" ref="P1813">_xlfn.SWITCH(tbl_analysis_tickets[[#This Row],[customer_satisfaction]],
"Low",1,
"Medium",2,
"High",3
)</f>
        <v>2</v>
      </c>
      <c r="Q1813">
        <f>IF(tbl_analysis_tickets[[#This Row],[reopened]]="Yes",1,0)</f>
        <v>0</v>
      </c>
      <c r="R1813" t="str" cm="1">
        <f t="array" ref="R1813">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813" t="str" cm="1">
        <f t="array" ref="S181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813" t="str">
        <f>TEXT(tbl_analysis_tickets[[#This Row],[created_date]],"mmm-yyyy")</f>
        <v>Jul-2024</v>
      </c>
      <c r="U1813" t="str">
        <f>TEXT(tbl_analysis_tickets[[#This Row],[created_date]],"dddd")</f>
        <v>Wednesday</v>
      </c>
      <c r="V1813" cm="1">
        <f t="array" ref="V1813">_xlfn.SWITCH(tbl_analysis_tickets[[#This Row],[priority]],
"Urgent",1,
"High",2,
"Medium",3,
"Low",4
)</f>
        <v>4</v>
      </c>
    </row>
    <row r="1814" spans="1:22" x14ac:dyDescent="0.25">
      <c r="A1814">
        <v>1813</v>
      </c>
      <c r="B1814" s="1">
        <v>45493</v>
      </c>
      <c r="C1814" t="s">
        <v>10</v>
      </c>
      <c r="D1814" t="s">
        <v>20</v>
      </c>
      <c r="E1814">
        <v>227</v>
      </c>
      <c r="F1814">
        <v>24</v>
      </c>
      <c r="G1814">
        <v>9.9</v>
      </c>
      <c r="H1814" t="s">
        <v>18</v>
      </c>
      <c r="I1814" t="s">
        <v>16</v>
      </c>
      <c r="J1814" t="s">
        <v>11</v>
      </c>
      <c r="K1814">
        <f>_xlfn.XLOOKUP(tbl_analysis_tickets[[#This Row],[priority]],tbl_sla[priority],tbl_sla[Resolution SLA Hours])</f>
        <v>24</v>
      </c>
      <c r="L1814">
        <f>_xlfn.XLOOKUP(tbl_analysis_tickets[[#This Row],[priority]],tbl_sla[priority],tbl_sla[First Response SLA Minutes])</f>
        <v>60</v>
      </c>
      <c r="M1814" t="str">
        <f>IF(tbl_analysis_tickets[[#This Row],[resolution_time_hours]]&gt;tbl_analysis_tickets[[#This Row],[Resolution SLA Hours]],"Breached","Within SLA")</f>
        <v>Within SLA</v>
      </c>
      <c r="N1814" t="str">
        <f>IF(tbl_analysis_tickets[[#This Row],[first_response_minutes]]&gt;tbl_analysis_tickets[[#This Row],[First Response SLA Minutes]],"Breached","Within SLA")</f>
        <v>Breached</v>
      </c>
      <c r="O1814" t="str" cm="1">
        <f t="array" ref="O1814">_xlfn.IFS(
tbl_analysis_tickets[[#This Row],[agent_experience_years]]&lt;=2,"Junior",
tbl_analysis_tickets[[#This Row],[agent_experience_years]]&lt;=5,"Mid-Level",
tbl_analysis_tickets[[#This Row],[agent_experience_years]]&lt;=8,"Senior",
tbl_analysis_tickets[[#This Row],[agent_experience_years]]&gt;8,"Expert"
)</f>
        <v>Expert</v>
      </c>
      <c r="P1814" cm="1">
        <f t="array" ref="P1814">_xlfn.SWITCH(tbl_analysis_tickets[[#This Row],[customer_satisfaction]],
"Low",1,
"Medium",2,
"High",3
)</f>
        <v>1</v>
      </c>
      <c r="Q1814">
        <f>IF(tbl_analysis_tickets[[#This Row],[reopened]]="Yes",1,0)</f>
        <v>0</v>
      </c>
      <c r="R1814" t="str" cm="1">
        <f t="array" ref="R1814">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814" t="str" cm="1">
        <f t="array" ref="S181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814" t="str">
        <f>TEXT(tbl_analysis_tickets[[#This Row],[created_date]],"mmm-yyyy")</f>
        <v>Jul-2024</v>
      </c>
      <c r="U1814" t="str">
        <f>TEXT(tbl_analysis_tickets[[#This Row],[created_date]],"dddd")</f>
        <v>Saturday</v>
      </c>
      <c r="V1814" cm="1">
        <f t="array" ref="V1814">_xlfn.SWITCH(tbl_analysis_tickets[[#This Row],[priority]],
"Urgent",1,
"High",2,
"Medium",3,
"Low",4
)</f>
        <v>2</v>
      </c>
    </row>
    <row r="1815" spans="1:22" x14ac:dyDescent="0.25">
      <c r="A1815">
        <v>1814</v>
      </c>
      <c r="B1815" s="1">
        <v>45448</v>
      </c>
      <c r="C1815" t="s">
        <v>10</v>
      </c>
      <c r="D1815" t="s">
        <v>11</v>
      </c>
      <c r="E1815">
        <v>163</v>
      </c>
      <c r="F1815">
        <v>2</v>
      </c>
      <c r="G1815">
        <v>3.7</v>
      </c>
      <c r="H1815" t="s">
        <v>18</v>
      </c>
      <c r="I1815" t="s">
        <v>19</v>
      </c>
      <c r="J1815" t="s">
        <v>15</v>
      </c>
      <c r="K1815">
        <f>_xlfn.XLOOKUP(tbl_analysis_tickets[[#This Row],[priority]],tbl_sla[priority],tbl_sla[Resolution SLA Hours])</f>
        <v>72</v>
      </c>
      <c r="L1815">
        <f>_xlfn.XLOOKUP(tbl_analysis_tickets[[#This Row],[priority]],tbl_sla[priority],tbl_sla[First Response SLA Minutes])</f>
        <v>240</v>
      </c>
      <c r="M1815" t="str">
        <f>IF(tbl_analysis_tickets[[#This Row],[resolution_time_hours]]&gt;tbl_analysis_tickets[[#This Row],[Resolution SLA Hours]],"Breached","Within SLA")</f>
        <v>Within SLA</v>
      </c>
      <c r="N1815" t="str">
        <f>IF(tbl_analysis_tickets[[#This Row],[first_response_minutes]]&gt;tbl_analysis_tickets[[#This Row],[First Response SLA Minutes]],"Breached","Within SLA")</f>
        <v>Within SLA</v>
      </c>
      <c r="O1815" t="str" cm="1">
        <f t="array" ref="O1815">_xlfn.IFS(
tbl_analysis_tickets[[#This Row],[agent_experience_years]]&lt;=2,"Junior",
tbl_analysis_tickets[[#This Row],[agent_experience_years]]&lt;=5,"Mid-Level",
tbl_analysis_tickets[[#This Row],[agent_experience_years]]&lt;=8,"Senior",
tbl_analysis_tickets[[#This Row],[agent_experience_years]]&gt;8,"Expert"
)</f>
        <v>Mid-Level</v>
      </c>
      <c r="P1815" cm="1">
        <f t="array" ref="P1815">_xlfn.SWITCH(tbl_analysis_tickets[[#This Row],[customer_satisfaction]],
"Low",1,
"Medium",2,
"High",3
)</f>
        <v>2</v>
      </c>
      <c r="Q1815">
        <f>IF(tbl_analysis_tickets[[#This Row],[reopened]]="Yes",1,0)</f>
        <v>0</v>
      </c>
      <c r="R1815" t="str" cm="1">
        <f t="array" ref="R1815">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815" t="str" cm="1">
        <f t="array" ref="S181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1815" t="str">
        <f>TEXT(tbl_analysis_tickets[[#This Row],[created_date]],"mmm-yyyy")</f>
        <v>Jun-2024</v>
      </c>
      <c r="U1815" t="str">
        <f>TEXT(tbl_analysis_tickets[[#This Row],[created_date]],"dddd")</f>
        <v>Wednesday</v>
      </c>
      <c r="V1815" cm="1">
        <f t="array" ref="V1815">_xlfn.SWITCH(tbl_analysis_tickets[[#This Row],[priority]],
"Urgent",1,
"High",2,
"Medium",3,
"Low",4
)</f>
        <v>4</v>
      </c>
    </row>
    <row r="1816" spans="1:22" x14ac:dyDescent="0.25">
      <c r="A1816">
        <v>1815</v>
      </c>
      <c r="B1816" s="1">
        <v>45604</v>
      </c>
      <c r="C1816" t="s">
        <v>21</v>
      </c>
      <c r="D1816" t="s">
        <v>15</v>
      </c>
      <c r="E1816">
        <v>138</v>
      </c>
      <c r="F1816">
        <v>43</v>
      </c>
      <c r="G1816">
        <v>3.2</v>
      </c>
      <c r="H1816" t="s">
        <v>18</v>
      </c>
      <c r="I1816" t="s">
        <v>16</v>
      </c>
      <c r="J1816" t="s">
        <v>11</v>
      </c>
      <c r="K1816">
        <f>_xlfn.XLOOKUP(tbl_analysis_tickets[[#This Row],[priority]],tbl_sla[priority],tbl_sla[Resolution SLA Hours])</f>
        <v>48</v>
      </c>
      <c r="L1816">
        <f>_xlfn.XLOOKUP(tbl_analysis_tickets[[#This Row],[priority]],tbl_sla[priority],tbl_sla[First Response SLA Minutes])</f>
        <v>120</v>
      </c>
      <c r="M1816" t="str">
        <f>IF(tbl_analysis_tickets[[#This Row],[resolution_time_hours]]&gt;tbl_analysis_tickets[[#This Row],[Resolution SLA Hours]],"Breached","Within SLA")</f>
        <v>Within SLA</v>
      </c>
      <c r="N1816" t="str">
        <f>IF(tbl_analysis_tickets[[#This Row],[first_response_minutes]]&gt;tbl_analysis_tickets[[#This Row],[First Response SLA Minutes]],"Breached","Within SLA")</f>
        <v>Breached</v>
      </c>
      <c r="O1816" t="str" cm="1">
        <f t="array" ref="O1816">_xlfn.IFS(
tbl_analysis_tickets[[#This Row],[agent_experience_years]]&lt;=2,"Junior",
tbl_analysis_tickets[[#This Row],[agent_experience_years]]&lt;=5,"Mid-Level",
tbl_analysis_tickets[[#This Row],[agent_experience_years]]&lt;=8,"Senior",
tbl_analysis_tickets[[#This Row],[agent_experience_years]]&gt;8,"Expert"
)</f>
        <v>Mid-Level</v>
      </c>
      <c r="P1816" cm="1">
        <f t="array" ref="P1816">_xlfn.SWITCH(tbl_analysis_tickets[[#This Row],[customer_satisfaction]],
"Low",1,
"Medium",2,
"High",3
)</f>
        <v>1</v>
      </c>
      <c r="Q1816">
        <f>IF(tbl_analysis_tickets[[#This Row],[reopened]]="Yes",1,0)</f>
        <v>0</v>
      </c>
      <c r="R1816" t="str" cm="1">
        <f t="array" ref="R1816">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816" t="str" cm="1">
        <f t="array" ref="S181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816" t="str">
        <f>TEXT(tbl_analysis_tickets[[#This Row],[created_date]],"mmm-yyyy")</f>
        <v>Nov-2024</v>
      </c>
      <c r="U1816" t="str">
        <f>TEXT(tbl_analysis_tickets[[#This Row],[created_date]],"dddd")</f>
        <v>Friday</v>
      </c>
      <c r="V1816" cm="1">
        <f t="array" ref="V1816">_xlfn.SWITCH(tbl_analysis_tickets[[#This Row],[priority]],
"Urgent",1,
"High",2,
"Medium",3,
"Low",4
)</f>
        <v>3</v>
      </c>
    </row>
    <row r="1817" spans="1:22" x14ac:dyDescent="0.25">
      <c r="A1817">
        <v>1816</v>
      </c>
      <c r="B1817" s="1">
        <v>45399</v>
      </c>
      <c r="C1817" t="s">
        <v>14</v>
      </c>
      <c r="D1817" t="s">
        <v>20</v>
      </c>
      <c r="E1817">
        <v>65</v>
      </c>
      <c r="F1817">
        <v>8</v>
      </c>
      <c r="G1817">
        <v>6.3</v>
      </c>
      <c r="H1817" t="s">
        <v>12</v>
      </c>
      <c r="I1817" t="s">
        <v>19</v>
      </c>
      <c r="J1817" t="s">
        <v>11</v>
      </c>
      <c r="K1817">
        <f>_xlfn.XLOOKUP(tbl_analysis_tickets[[#This Row],[priority]],tbl_sla[priority],tbl_sla[Resolution SLA Hours])</f>
        <v>24</v>
      </c>
      <c r="L1817">
        <f>_xlfn.XLOOKUP(tbl_analysis_tickets[[#This Row],[priority]],tbl_sla[priority],tbl_sla[First Response SLA Minutes])</f>
        <v>60</v>
      </c>
      <c r="M1817" t="str">
        <f>IF(tbl_analysis_tickets[[#This Row],[resolution_time_hours]]&gt;tbl_analysis_tickets[[#This Row],[Resolution SLA Hours]],"Breached","Within SLA")</f>
        <v>Within SLA</v>
      </c>
      <c r="N1817" t="str">
        <f>IF(tbl_analysis_tickets[[#This Row],[first_response_minutes]]&gt;tbl_analysis_tickets[[#This Row],[First Response SLA Minutes]],"Breached","Within SLA")</f>
        <v>Breached</v>
      </c>
      <c r="O1817" t="str" cm="1">
        <f t="array" ref="O1817">_xlfn.IFS(
tbl_analysis_tickets[[#This Row],[agent_experience_years]]&lt;=2,"Junior",
tbl_analysis_tickets[[#This Row],[agent_experience_years]]&lt;=5,"Mid-Level",
tbl_analysis_tickets[[#This Row],[agent_experience_years]]&lt;=8,"Senior",
tbl_analysis_tickets[[#This Row],[agent_experience_years]]&gt;8,"Expert"
)</f>
        <v>Senior</v>
      </c>
      <c r="P1817" cm="1">
        <f t="array" ref="P1817">_xlfn.SWITCH(tbl_analysis_tickets[[#This Row],[customer_satisfaction]],
"Low",1,
"Medium",2,
"High",3
)</f>
        <v>1</v>
      </c>
      <c r="Q1817">
        <f>IF(tbl_analysis_tickets[[#This Row],[reopened]]="Yes",1,0)</f>
        <v>1</v>
      </c>
      <c r="R1817" t="str" cm="1">
        <f t="array" ref="R1817">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817" t="str" cm="1">
        <f t="array" ref="S181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1817" t="str">
        <f>TEXT(tbl_analysis_tickets[[#This Row],[created_date]],"mmm-yyyy")</f>
        <v>Apr-2024</v>
      </c>
      <c r="U1817" t="str">
        <f>TEXT(tbl_analysis_tickets[[#This Row],[created_date]],"dddd")</f>
        <v>Wednesday</v>
      </c>
      <c r="V1817" cm="1">
        <f t="array" ref="V1817">_xlfn.SWITCH(tbl_analysis_tickets[[#This Row],[priority]],
"Urgent",1,
"High",2,
"Medium",3,
"Low",4
)</f>
        <v>2</v>
      </c>
    </row>
    <row r="1818" spans="1:22" x14ac:dyDescent="0.25">
      <c r="A1818">
        <v>1817</v>
      </c>
      <c r="B1818" s="1">
        <v>45536</v>
      </c>
      <c r="C1818" t="s">
        <v>22</v>
      </c>
      <c r="D1818" t="s">
        <v>17</v>
      </c>
      <c r="E1818">
        <v>19</v>
      </c>
      <c r="F1818">
        <v>38</v>
      </c>
      <c r="G1818">
        <v>2.1</v>
      </c>
      <c r="H1818" t="s">
        <v>12</v>
      </c>
      <c r="I1818" t="s">
        <v>19</v>
      </c>
      <c r="J1818" t="s">
        <v>11</v>
      </c>
      <c r="K1818">
        <f>_xlfn.XLOOKUP(tbl_analysis_tickets[[#This Row],[priority]],tbl_sla[priority],tbl_sla[Resolution SLA Hours])</f>
        <v>8</v>
      </c>
      <c r="L1818">
        <f>_xlfn.XLOOKUP(tbl_analysis_tickets[[#This Row],[priority]],tbl_sla[priority],tbl_sla[First Response SLA Minutes])</f>
        <v>30</v>
      </c>
      <c r="M1818" t="str">
        <f>IF(tbl_analysis_tickets[[#This Row],[resolution_time_hours]]&gt;tbl_analysis_tickets[[#This Row],[Resolution SLA Hours]],"Breached","Within SLA")</f>
        <v>Breached</v>
      </c>
      <c r="N1818" t="str">
        <f>IF(tbl_analysis_tickets[[#This Row],[first_response_minutes]]&gt;tbl_analysis_tickets[[#This Row],[First Response SLA Minutes]],"Breached","Within SLA")</f>
        <v>Within SLA</v>
      </c>
      <c r="O1818" t="str" cm="1">
        <f t="array" ref="O1818">_xlfn.IFS(
tbl_analysis_tickets[[#This Row],[agent_experience_years]]&lt;=2,"Junior",
tbl_analysis_tickets[[#This Row],[agent_experience_years]]&lt;=5,"Mid-Level",
tbl_analysis_tickets[[#This Row],[agent_experience_years]]&lt;=8,"Senior",
tbl_analysis_tickets[[#This Row],[agent_experience_years]]&gt;8,"Expert"
)</f>
        <v>Mid-Level</v>
      </c>
      <c r="P1818" cm="1">
        <f t="array" ref="P1818">_xlfn.SWITCH(tbl_analysis_tickets[[#This Row],[customer_satisfaction]],
"Low",1,
"Medium",2,
"High",3
)</f>
        <v>1</v>
      </c>
      <c r="Q1818">
        <f>IF(tbl_analysis_tickets[[#This Row],[reopened]]="Yes",1,0)</f>
        <v>1</v>
      </c>
      <c r="R1818" t="str" cm="1">
        <f t="array" ref="R1818">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1818" t="str" cm="1">
        <f t="array" ref="S181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818" t="str">
        <f>TEXT(tbl_analysis_tickets[[#This Row],[created_date]],"mmm-yyyy")</f>
        <v>Sep-2024</v>
      </c>
      <c r="U1818" t="str">
        <f>TEXT(tbl_analysis_tickets[[#This Row],[created_date]],"dddd")</f>
        <v>Sunday</v>
      </c>
      <c r="V1818" cm="1">
        <f t="array" ref="V1818">_xlfn.SWITCH(tbl_analysis_tickets[[#This Row],[priority]],
"Urgent",1,
"High",2,
"Medium",3,
"Low",4
)</f>
        <v>1</v>
      </c>
    </row>
    <row r="1819" spans="1:22" x14ac:dyDescent="0.25">
      <c r="A1819">
        <v>1818</v>
      </c>
      <c r="B1819" s="1">
        <v>45649</v>
      </c>
      <c r="C1819" t="s">
        <v>23</v>
      </c>
      <c r="D1819" t="s">
        <v>11</v>
      </c>
      <c r="E1819">
        <v>67</v>
      </c>
      <c r="F1819">
        <v>14</v>
      </c>
      <c r="G1819">
        <v>2.5</v>
      </c>
      <c r="H1819" t="s">
        <v>18</v>
      </c>
      <c r="I1819" t="s">
        <v>19</v>
      </c>
      <c r="J1819" t="s">
        <v>11</v>
      </c>
      <c r="K1819">
        <f>_xlfn.XLOOKUP(tbl_analysis_tickets[[#This Row],[priority]],tbl_sla[priority],tbl_sla[Resolution SLA Hours])</f>
        <v>72</v>
      </c>
      <c r="L1819">
        <f>_xlfn.XLOOKUP(tbl_analysis_tickets[[#This Row],[priority]],tbl_sla[priority],tbl_sla[First Response SLA Minutes])</f>
        <v>240</v>
      </c>
      <c r="M1819" t="str">
        <f>IF(tbl_analysis_tickets[[#This Row],[resolution_time_hours]]&gt;tbl_analysis_tickets[[#This Row],[Resolution SLA Hours]],"Breached","Within SLA")</f>
        <v>Within SLA</v>
      </c>
      <c r="N1819" t="str">
        <f>IF(tbl_analysis_tickets[[#This Row],[first_response_minutes]]&gt;tbl_analysis_tickets[[#This Row],[First Response SLA Minutes]],"Breached","Within SLA")</f>
        <v>Within SLA</v>
      </c>
      <c r="O1819" t="str" cm="1">
        <f t="array" ref="O1819">_xlfn.IFS(
tbl_analysis_tickets[[#This Row],[agent_experience_years]]&lt;=2,"Junior",
tbl_analysis_tickets[[#This Row],[agent_experience_years]]&lt;=5,"Mid-Level",
tbl_analysis_tickets[[#This Row],[agent_experience_years]]&lt;=8,"Senior",
tbl_analysis_tickets[[#This Row],[agent_experience_years]]&gt;8,"Expert"
)</f>
        <v>Mid-Level</v>
      </c>
      <c r="P1819" cm="1">
        <f t="array" ref="P1819">_xlfn.SWITCH(tbl_analysis_tickets[[#This Row],[customer_satisfaction]],
"Low",1,
"Medium",2,
"High",3
)</f>
        <v>1</v>
      </c>
      <c r="Q1819">
        <f>IF(tbl_analysis_tickets[[#This Row],[reopened]]="Yes",1,0)</f>
        <v>0</v>
      </c>
      <c r="R1819" t="str" cm="1">
        <f t="array" ref="R1819">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819" t="str" cm="1">
        <f t="array" ref="S181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819" t="str">
        <f>TEXT(tbl_analysis_tickets[[#This Row],[created_date]],"mmm-yyyy")</f>
        <v>Dec-2024</v>
      </c>
      <c r="U1819" t="str">
        <f>TEXT(tbl_analysis_tickets[[#This Row],[created_date]],"dddd")</f>
        <v>Monday</v>
      </c>
      <c r="V1819" cm="1">
        <f t="array" ref="V1819">_xlfn.SWITCH(tbl_analysis_tickets[[#This Row],[priority]],
"Urgent",1,
"High",2,
"Medium",3,
"Low",4
)</f>
        <v>4</v>
      </c>
    </row>
    <row r="1820" spans="1:22" x14ac:dyDescent="0.25">
      <c r="A1820">
        <v>1819</v>
      </c>
      <c r="B1820" s="1">
        <v>45376</v>
      </c>
      <c r="C1820" t="s">
        <v>14</v>
      </c>
      <c r="D1820" t="s">
        <v>15</v>
      </c>
      <c r="E1820">
        <v>58</v>
      </c>
      <c r="F1820">
        <v>47</v>
      </c>
      <c r="G1820">
        <v>8.1999999999999993</v>
      </c>
      <c r="H1820" t="s">
        <v>18</v>
      </c>
      <c r="I1820" t="s">
        <v>19</v>
      </c>
      <c r="J1820" t="s">
        <v>15</v>
      </c>
      <c r="K1820">
        <f>_xlfn.XLOOKUP(tbl_analysis_tickets[[#This Row],[priority]],tbl_sla[priority],tbl_sla[Resolution SLA Hours])</f>
        <v>48</v>
      </c>
      <c r="L1820">
        <f>_xlfn.XLOOKUP(tbl_analysis_tickets[[#This Row],[priority]],tbl_sla[priority],tbl_sla[First Response SLA Minutes])</f>
        <v>120</v>
      </c>
      <c r="M1820" t="str">
        <f>IF(tbl_analysis_tickets[[#This Row],[resolution_time_hours]]&gt;tbl_analysis_tickets[[#This Row],[Resolution SLA Hours]],"Breached","Within SLA")</f>
        <v>Within SLA</v>
      </c>
      <c r="N1820" t="str">
        <f>IF(tbl_analysis_tickets[[#This Row],[first_response_minutes]]&gt;tbl_analysis_tickets[[#This Row],[First Response SLA Minutes]],"Breached","Within SLA")</f>
        <v>Within SLA</v>
      </c>
      <c r="O1820" t="str" cm="1">
        <f t="array" ref="O1820">_xlfn.IFS(
tbl_analysis_tickets[[#This Row],[agent_experience_years]]&lt;=2,"Junior",
tbl_analysis_tickets[[#This Row],[agent_experience_years]]&lt;=5,"Mid-Level",
tbl_analysis_tickets[[#This Row],[agent_experience_years]]&lt;=8,"Senior",
tbl_analysis_tickets[[#This Row],[agent_experience_years]]&gt;8,"Expert"
)</f>
        <v>Expert</v>
      </c>
      <c r="P1820" cm="1">
        <f t="array" ref="P1820">_xlfn.SWITCH(tbl_analysis_tickets[[#This Row],[customer_satisfaction]],
"Low",1,
"Medium",2,
"High",3
)</f>
        <v>2</v>
      </c>
      <c r="Q1820">
        <f>IF(tbl_analysis_tickets[[#This Row],[reopened]]="Yes",1,0)</f>
        <v>0</v>
      </c>
      <c r="R1820" t="str" cm="1">
        <f t="array" ref="R1820">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820" t="str" cm="1">
        <f t="array" ref="S182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820" t="str">
        <f>TEXT(tbl_analysis_tickets[[#This Row],[created_date]],"mmm-yyyy")</f>
        <v>Mar-2024</v>
      </c>
      <c r="U1820" t="str">
        <f>TEXT(tbl_analysis_tickets[[#This Row],[created_date]],"dddd")</f>
        <v>Monday</v>
      </c>
      <c r="V1820" cm="1">
        <f t="array" ref="V1820">_xlfn.SWITCH(tbl_analysis_tickets[[#This Row],[priority]],
"Urgent",1,
"High",2,
"Medium",3,
"Low",4
)</f>
        <v>3</v>
      </c>
    </row>
    <row r="1821" spans="1:22" x14ac:dyDescent="0.25">
      <c r="A1821">
        <v>1820</v>
      </c>
      <c r="B1821" s="1">
        <v>45629</v>
      </c>
      <c r="C1821" t="s">
        <v>22</v>
      </c>
      <c r="D1821" t="s">
        <v>17</v>
      </c>
      <c r="E1821">
        <v>156</v>
      </c>
      <c r="F1821">
        <v>68</v>
      </c>
      <c r="G1821">
        <v>3.6</v>
      </c>
      <c r="H1821" t="s">
        <v>18</v>
      </c>
      <c r="I1821" t="s">
        <v>19</v>
      </c>
      <c r="J1821" t="s">
        <v>11</v>
      </c>
      <c r="K1821">
        <f>_xlfn.XLOOKUP(tbl_analysis_tickets[[#This Row],[priority]],tbl_sla[priority],tbl_sla[Resolution SLA Hours])</f>
        <v>8</v>
      </c>
      <c r="L1821">
        <f>_xlfn.XLOOKUP(tbl_analysis_tickets[[#This Row],[priority]],tbl_sla[priority],tbl_sla[First Response SLA Minutes])</f>
        <v>30</v>
      </c>
      <c r="M1821" t="str">
        <f>IF(tbl_analysis_tickets[[#This Row],[resolution_time_hours]]&gt;tbl_analysis_tickets[[#This Row],[Resolution SLA Hours]],"Breached","Within SLA")</f>
        <v>Breached</v>
      </c>
      <c r="N1821" t="str">
        <f>IF(tbl_analysis_tickets[[#This Row],[first_response_minutes]]&gt;tbl_analysis_tickets[[#This Row],[First Response SLA Minutes]],"Breached","Within SLA")</f>
        <v>Breached</v>
      </c>
      <c r="O1821" t="str" cm="1">
        <f t="array" ref="O1821">_xlfn.IFS(
tbl_analysis_tickets[[#This Row],[agent_experience_years]]&lt;=2,"Junior",
tbl_analysis_tickets[[#This Row],[agent_experience_years]]&lt;=5,"Mid-Level",
tbl_analysis_tickets[[#This Row],[agent_experience_years]]&lt;=8,"Senior",
tbl_analysis_tickets[[#This Row],[agent_experience_years]]&gt;8,"Expert"
)</f>
        <v>Mid-Level</v>
      </c>
      <c r="P1821" cm="1">
        <f t="array" ref="P1821">_xlfn.SWITCH(tbl_analysis_tickets[[#This Row],[customer_satisfaction]],
"Low",1,
"Medium",2,
"High",3
)</f>
        <v>1</v>
      </c>
      <c r="Q1821">
        <f>IF(tbl_analysis_tickets[[#This Row],[reopened]]="Yes",1,0)</f>
        <v>0</v>
      </c>
      <c r="R1821" t="str" cm="1">
        <f t="array" ref="R1821">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821" t="str" cm="1">
        <f t="array" ref="S182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821" t="str">
        <f>TEXT(tbl_analysis_tickets[[#This Row],[created_date]],"mmm-yyyy")</f>
        <v>Dec-2024</v>
      </c>
      <c r="U1821" t="str">
        <f>TEXT(tbl_analysis_tickets[[#This Row],[created_date]],"dddd")</f>
        <v>Tuesday</v>
      </c>
      <c r="V1821" cm="1">
        <f t="array" ref="V1821">_xlfn.SWITCH(tbl_analysis_tickets[[#This Row],[priority]],
"Urgent",1,
"High",2,
"Medium",3,
"Low",4
)</f>
        <v>1</v>
      </c>
    </row>
    <row r="1822" spans="1:22" x14ac:dyDescent="0.25">
      <c r="A1822">
        <v>1821</v>
      </c>
      <c r="B1822" s="1">
        <v>45355</v>
      </c>
      <c r="C1822" t="s">
        <v>21</v>
      </c>
      <c r="D1822" t="s">
        <v>15</v>
      </c>
      <c r="E1822">
        <v>55</v>
      </c>
      <c r="F1822">
        <v>46</v>
      </c>
      <c r="G1822">
        <v>9.1</v>
      </c>
      <c r="H1822" t="s">
        <v>12</v>
      </c>
      <c r="I1822" t="s">
        <v>19</v>
      </c>
      <c r="J1822" t="s">
        <v>11</v>
      </c>
      <c r="K1822">
        <f>_xlfn.XLOOKUP(tbl_analysis_tickets[[#This Row],[priority]],tbl_sla[priority],tbl_sla[Resolution SLA Hours])</f>
        <v>48</v>
      </c>
      <c r="L1822">
        <f>_xlfn.XLOOKUP(tbl_analysis_tickets[[#This Row],[priority]],tbl_sla[priority],tbl_sla[First Response SLA Minutes])</f>
        <v>120</v>
      </c>
      <c r="M1822" t="str">
        <f>IF(tbl_analysis_tickets[[#This Row],[resolution_time_hours]]&gt;tbl_analysis_tickets[[#This Row],[Resolution SLA Hours]],"Breached","Within SLA")</f>
        <v>Within SLA</v>
      </c>
      <c r="N1822" t="str">
        <f>IF(tbl_analysis_tickets[[#This Row],[first_response_minutes]]&gt;tbl_analysis_tickets[[#This Row],[First Response SLA Minutes]],"Breached","Within SLA")</f>
        <v>Within SLA</v>
      </c>
      <c r="O1822" t="str" cm="1">
        <f t="array" ref="O1822">_xlfn.IFS(
tbl_analysis_tickets[[#This Row],[agent_experience_years]]&lt;=2,"Junior",
tbl_analysis_tickets[[#This Row],[agent_experience_years]]&lt;=5,"Mid-Level",
tbl_analysis_tickets[[#This Row],[agent_experience_years]]&lt;=8,"Senior",
tbl_analysis_tickets[[#This Row],[agent_experience_years]]&gt;8,"Expert"
)</f>
        <v>Expert</v>
      </c>
      <c r="P1822" cm="1">
        <f t="array" ref="P1822">_xlfn.SWITCH(tbl_analysis_tickets[[#This Row],[customer_satisfaction]],
"Low",1,
"Medium",2,
"High",3
)</f>
        <v>1</v>
      </c>
      <c r="Q1822">
        <f>IF(tbl_analysis_tickets[[#This Row],[reopened]]="Yes",1,0)</f>
        <v>1</v>
      </c>
      <c r="R1822" t="str" cm="1">
        <f t="array" ref="R1822">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822" t="str" cm="1">
        <f t="array" ref="S182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822" t="str">
        <f>TEXT(tbl_analysis_tickets[[#This Row],[created_date]],"mmm-yyyy")</f>
        <v>Mar-2024</v>
      </c>
      <c r="U1822" t="str">
        <f>TEXT(tbl_analysis_tickets[[#This Row],[created_date]],"dddd")</f>
        <v>Monday</v>
      </c>
      <c r="V1822" cm="1">
        <f t="array" ref="V1822">_xlfn.SWITCH(tbl_analysis_tickets[[#This Row],[priority]],
"Urgent",1,
"High",2,
"Medium",3,
"Low",4
)</f>
        <v>3</v>
      </c>
    </row>
    <row r="1823" spans="1:22" x14ac:dyDescent="0.25">
      <c r="A1823">
        <v>1822</v>
      </c>
      <c r="B1823" s="1">
        <v>45482</v>
      </c>
      <c r="C1823" t="s">
        <v>10</v>
      </c>
      <c r="D1823" t="s">
        <v>17</v>
      </c>
      <c r="E1823">
        <v>175</v>
      </c>
      <c r="F1823">
        <v>36</v>
      </c>
      <c r="G1823">
        <v>6.3</v>
      </c>
      <c r="H1823" t="s">
        <v>18</v>
      </c>
      <c r="I1823" t="s">
        <v>19</v>
      </c>
      <c r="J1823" t="s">
        <v>11</v>
      </c>
      <c r="K1823">
        <f>_xlfn.XLOOKUP(tbl_analysis_tickets[[#This Row],[priority]],tbl_sla[priority],tbl_sla[Resolution SLA Hours])</f>
        <v>8</v>
      </c>
      <c r="L1823">
        <f>_xlfn.XLOOKUP(tbl_analysis_tickets[[#This Row],[priority]],tbl_sla[priority],tbl_sla[First Response SLA Minutes])</f>
        <v>30</v>
      </c>
      <c r="M1823" t="str">
        <f>IF(tbl_analysis_tickets[[#This Row],[resolution_time_hours]]&gt;tbl_analysis_tickets[[#This Row],[Resolution SLA Hours]],"Breached","Within SLA")</f>
        <v>Breached</v>
      </c>
      <c r="N1823" t="str">
        <f>IF(tbl_analysis_tickets[[#This Row],[first_response_minutes]]&gt;tbl_analysis_tickets[[#This Row],[First Response SLA Minutes]],"Breached","Within SLA")</f>
        <v>Breached</v>
      </c>
      <c r="O1823" t="str" cm="1">
        <f t="array" ref="O1823">_xlfn.IFS(
tbl_analysis_tickets[[#This Row],[agent_experience_years]]&lt;=2,"Junior",
tbl_analysis_tickets[[#This Row],[agent_experience_years]]&lt;=5,"Mid-Level",
tbl_analysis_tickets[[#This Row],[agent_experience_years]]&lt;=8,"Senior",
tbl_analysis_tickets[[#This Row],[agent_experience_years]]&gt;8,"Expert"
)</f>
        <v>Senior</v>
      </c>
      <c r="P1823" cm="1">
        <f t="array" ref="P1823">_xlfn.SWITCH(tbl_analysis_tickets[[#This Row],[customer_satisfaction]],
"Low",1,
"Medium",2,
"High",3
)</f>
        <v>1</v>
      </c>
      <c r="Q1823">
        <f>IF(tbl_analysis_tickets[[#This Row],[reopened]]="Yes",1,0)</f>
        <v>0</v>
      </c>
      <c r="R1823" t="str" cm="1">
        <f t="array" ref="R1823">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823" t="str" cm="1">
        <f t="array" ref="S182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823" t="str">
        <f>TEXT(tbl_analysis_tickets[[#This Row],[created_date]],"mmm-yyyy")</f>
        <v>Jul-2024</v>
      </c>
      <c r="U1823" t="str">
        <f>TEXT(tbl_analysis_tickets[[#This Row],[created_date]],"dddd")</f>
        <v>Tuesday</v>
      </c>
      <c r="V1823" cm="1">
        <f t="array" ref="V1823">_xlfn.SWITCH(tbl_analysis_tickets[[#This Row],[priority]],
"Urgent",1,
"High",2,
"Medium",3,
"Low",4
)</f>
        <v>1</v>
      </c>
    </row>
    <row r="1824" spans="1:22" x14ac:dyDescent="0.25">
      <c r="A1824">
        <v>1823</v>
      </c>
      <c r="B1824" s="1">
        <v>45442</v>
      </c>
      <c r="C1824" t="s">
        <v>21</v>
      </c>
      <c r="D1824" t="s">
        <v>17</v>
      </c>
      <c r="E1824">
        <v>119</v>
      </c>
      <c r="F1824">
        <v>46</v>
      </c>
      <c r="G1824">
        <v>2.7</v>
      </c>
      <c r="H1824" t="s">
        <v>12</v>
      </c>
      <c r="I1824" t="s">
        <v>13</v>
      </c>
      <c r="J1824" t="s">
        <v>11</v>
      </c>
      <c r="K1824">
        <f>_xlfn.XLOOKUP(tbl_analysis_tickets[[#This Row],[priority]],tbl_sla[priority],tbl_sla[Resolution SLA Hours])</f>
        <v>8</v>
      </c>
      <c r="L1824">
        <f>_xlfn.XLOOKUP(tbl_analysis_tickets[[#This Row],[priority]],tbl_sla[priority],tbl_sla[First Response SLA Minutes])</f>
        <v>30</v>
      </c>
      <c r="M1824" t="str">
        <f>IF(tbl_analysis_tickets[[#This Row],[resolution_time_hours]]&gt;tbl_analysis_tickets[[#This Row],[Resolution SLA Hours]],"Breached","Within SLA")</f>
        <v>Breached</v>
      </c>
      <c r="N1824" t="str">
        <f>IF(tbl_analysis_tickets[[#This Row],[first_response_minutes]]&gt;tbl_analysis_tickets[[#This Row],[First Response SLA Minutes]],"Breached","Within SLA")</f>
        <v>Breached</v>
      </c>
      <c r="O1824" t="str" cm="1">
        <f t="array" ref="O1824">_xlfn.IFS(
tbl_analysis_tickets[[#This Row],[agent_experience_years]]&lt;=2,"Junior",
tbl_analysis_tickets[[#This Row],[agent_experience_years]]&lt;=5,"Mid-Level",
tbl_analysis_tickets[[#This Row],[agent_experience_years]]&lt;=8,"Senior",
tbl_analysis_tickets[[#This Row],[agent_experience_years]]&gt;8,"Expert"
)</f>
        <v>Mid-Level</v>
      </c>
      <c r="P1824" cm="1">
        <f t="array" ref="P1824">_xlfn.SWITCH(tbl_analysis_tickets[[#This Row],[customer_satisfaction]],
"Low",1,
"Medium",2,
"High",3
)</f>
        <v>1</v>
      </c>
      <c r="Q1824">
        <f>IF(tbl_analysis_tickets[[#This Row],[reopened]]="Yes",1,0)</f>
        <v>1</v>
      </c>
      <c r="R1824" t="str" cm="1">
        <f t="array" ref="R1824">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824" t="str" cm="1">
        <f t="array" ref="S182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824" t="str">
        <f>TEXT(tbl_analysis_tickets[[#This Row],[created_date]],"mmm-yyyy")</f>
        <v>May-2024</v>
      </c>
      <c r="U1824" t="str">
        <f>TEXT(tbl_analysis_tickets[[#This Row],[created_date]],"dddd")</f>
        <v>Thursday</v>
      </c>
      <c r="V1824" cm="1">
        <f t="array" ref="V1824">_xlfn.SWITCH(tbl_analysis_tickets[[#This Row],[priority]],
"Urgent",1,
"High",2,
"Medium",3,
"Low",4
)</f>
        <v>1</v>
      </c>
    </row>
    <row r="1825" spans="1:22" x14ac:dyDescent="0.25">
      <c r="A1825">
        <v>1824</v>
      </c>
      <c r="B1825" s="1">
        <v>45420</v>
      </c>
      <c r="C1825" t="s">
        <v>14</v>
      </c>
      <c r="D1825" t="s">
        <v>15</v>
      </c>
      <c r="E1825">
        <v>156</v>
      </c>
      <c r="F1825">
        <v>42</v>
      </c>
      <c r="G1825">
        <v>9.5</v>
      </c>
      <c r="H1825" t="s">
        <v>12</v>
      </c>
      <c r="I1825" t="s">
        <v>16</v>
      </c>
      <c r="J1825" t="s">
        <v>11</v>
      </c>
      <c r="K1825">
        <f>_xlfn.XLOOKUP(tbl_analysis_tickets[[#This Row],[priority]],tbl_sla[priority],tbl_sla[Resolution SLA Hours])</f>
        <v>48</v>
      </c>
      <c r="L1825">
        <f>_xlfn.XLOOKUP(tbl_analysis_tickets[[#This Row],[priority]],tbl_sla[priority],tbl_sla[First Response SLA Minutes])</f>
        <v>120</v>
      </c>
      <c r="M1825" t="str">
        <f>IF(tbl_analysis_tickets[[#This Row],[resolution_time_hours]]&gt;tbl_analysis_tickets[[#This Row],[Resolution SLA Hours]],"Breached","Within SLA")</f>
        <v>Within SLA</v>
      </c>
      <c r="N1825" t="str">
        <f>IF(tbl_analysis_tickets[[#This Row],[first_response_minutes]]&gt;tbl_analysis_tickets[[#This Row],[First Response SLA Minutes]],"Breached","Within SLA")</f>
        <v>Breached</v>
      </c>
      <c r="O1825" t="str" cm="1">
        <f t="array" ref="O1825">_xlfn.IFS(
tbl_analysis_tickets[[#This Row],[agent_experience_years]]&lt;=2,"Junior",
tbl_analysis_tickets[[#This Row],[agent_experience_years]]&lt;=5,"Mid-Level",
tbl_analysis_tickets[[#This Row],[agent_experience_years]]&lt;=8,"Senior",
tbl_analysis_tickets[[#This Row],[agent_experience_years]]&gt;8,"Expert"
)</f>
        <v>Expert</v>
      </c>
      <c r="P1825" cm="1">
        <f t="array" ref="P1825">_xlfn.SWITCH(tbl_analysis_tickets[[#This Row],[customer_satisfaction]],
"Low",1,
"Medium",2,
"High",3
)</f>
        <v>1</v>
      </c>
      <c r="Q1825">
        <f>IF(tbl_analysis_tickets[[#This Row],[reopened]]="Yes",1,0)</f>
        <v>1</v>
      </c>
      <c r="R1825" t="str" cm="1">
        <f t="array" ref="R1825">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825" t="str" cm="1">
        <f t="array" ref="S182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825" t="str">
        <f>TEXT(tbl_analysis_tickets[[#This Row],[created_date]],"mmm-yyyy")</f>
        <v>May-2024</v>
      </c>
      <c r="U1825" t="str">
        <f>TEXT(tbl_analysis_tickets[[#This Row],[created_date]],"dddd")</f>
        <v>Wednesday</v>
      </c>
      <c r="V1825" cm="1">
        <f t="array" ref="V1825">_xlfn.SWITCH(tbl_analysis_tickets[[#This Row],[priority]],
"Urgent",1,
"High",2,
"Medium",3,
"Low",4
)</f>
        <v>3</v>
      </c>
    </row>
    <row r="1826" spans="1:22" x14ac:dyDescent="0.25">
      <c r="A1826">
        <v>1825</v>
      </c>
      <c r="B1826" s="1">
        <v>45522</v>
      </c>
      <c r="C1826" t="s">
        <v>14</v>
      </c>
      <c r="D1826" t="s">
        <v>17</v>
      </c>
      <c r="E1826">
        <v>99</v>
      </c>
      <c r="F1826">
        <v>72</v>
      </c>
      <c r="G1826">
        <v>2.2999999999999998</v>
      </c>
      <c r="H1826" t="s">
        <v>12</v>
      </c>
      <c r="I1826" t="s">
        <v>13</v>
      </c>
      <c r="J1826" t="s">
        <v>11</v>
      </c>
      <c r="K1826">
        <f>_xlfn.XLOOKUP(tbl_analysis_tickets[[#This Row],[priority]],tbl_sla[priority],tbl_sla[Resolution SLA Hours])</f>
        <v>8</v>
      </c>
      <c r="L1826">
        <f>_xlfn.XLOOKUP(tbl_analysis_tickets[[#This Row],[priority]],tbl_sla[priority],tbl_sla[First Response SLA Minutes])</f>
        <v>30</v>
      </c>
      <c r="M1826" t="str">
        <f>IF(tbl_analysis_tickets[[#This Row],[resolution_time_hours]]&gt;tbl_analysis_tickets[[#This Row],[Resolution SLA Hours]],"Breached","Within SLA")</f>
        <v>Breached</v>
      </c>
      <c r="N1826" t="str">
        <f>IF(tbl_analysis_tickets[[#This Row],[first_response_minutes]]&gt;tbl_analysis_tickets[[#This Row],[First Response SLA Minutes]],"Breached","Within SLA")</f>
        <v>Breached</v>
      </c>
      <c r="O1826" t="str" cm="1">
        <f t="array" ref="O1826">_xlfn.IFS(
tbl_analysis_tickets[[#This Row],[agent_experience_years]]&lt;=2,"Junior",
tbl_analysis_tickets[[#This Row],[agent_experience_years]]&lt;=5,"Mid-Level",
tbl_analysis_tickets[[#This Row],[agent_experience_years]]&lt;=8,"Senior",
tbl_analysis_tickets[[#This Row],[agent_experience_years]]&gt;8,"Expert"
)</f>
        <v>Mid-Level</v>
      </c>
      <c r="P1826" cm="1">
        <f t="array" ref="P1826">_xlfn.SWITCH(tbl_analysis_tickets[[#This Row],[customer_satisfaction]],
"Low",1,
"Medium",2,
"High",3
)</f>
        <v>1</v>
      </c>
      <c r="Q1826">
        <f>IF(tbl_analysis_tickets[[#This Row],[reopened]]="Yes",1,0)</f>
        <v>1</v>
      </c>
      <c r="R1826" t="str" cm="1">
        <f t="array" ref="R1826">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826" t="str" cm="1">
        <f t="array" ref="S182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826" t="str">
        <f>TEXT(tbl_analysis_tickets[[#This Row],[created_date]],"mmm-yyyy")</f>
        <v>Aug-2024</v>
      </c>
      <c r="U1826" t="str">
        <f>TEXT(tbl_analysis_tickets[[#This Row],[created_date]],"dddd")</f>
        <v>Sunday</v>
      </c>
      <c r="V1826" cm="1">
        <f t="array" ref="V1826">_xlfn.SWITCH(tbl_analysis_tickets[[#This Row],[priority]],
"Urgent",1,
"High",2,
"Medium",3,
"Low",4
)</f>
        <v>1</v>
      </c>
    </row>
    <row r="1827" spans="1:22" x14ac:dyDescent="0.25">
      <c r="A1827">
        <v>1826</v>
      </c>
      <c r="B1827" s="1">
        <v>45414</v>
      </c>
      <c r="C1827" t="s">
        <v>10</v>
      </c>
      <c r="D1827" t="s">
        <v>17</v>
      </c>
      <c r="E1827">
        <v>178</v>
      </c>
      <c r="F1827">
        <v>9</v>
      </c>
      <c r="G1827">
        <v>6.4</v>
      </c>
      <c r="H1827" t="s">
        <v>12</v>
      </c>
      <c r="I1827" t="s">
        <v>19</v>
      </c>
      <c r="J1827" t="s">
        <v>11</v>
      </c>
      <c r="K1827">
        <f>_xlfn.XLOOKUP(tbl_analysis_tickets[[#This Row],[priority]],tbl_sla[priority],tbl_sla[Resolution SLA Hours])</f>
        <v>8</v>
      </c>
      <c r="L1827">
        <f>_xlfn.XLOOKUP(tbl_analysis_tickets[[#This Row],[priority]],tbl_sla[priority],tbl_sla[First Response SLA Minutes])</f>
        <v>30</v>
      </c>
      <c r="M1827" t="str">
        <f>IF(tbl_analysis_tickets[[#This Row],[resolution_time_hours]]&gt;tbl_analysis_tickets[[#This Row],[Resolution SLA Hours]],"Breached","Within SLA")</f>
        <v>Breached</v>
      </c>
      <c r="N1827" t="str">
        <f>IF(tbl_analysis_tickets[[#This Row],[first_response_minutes]]&gt;tbl_analysis_tickets[[#This Row],[First Response SLA Minutes]],"Breached","Within SLA")</f>
        <v>Breached</v>
      </c>
      <c r="O1827" t="str" cm="1">
        <f t="array" ref="O1827">_xlfn.IFS(
tbl_analysis_tickets[[#This Row],[agent_experience_years]]&lt;=2,"Junior",
tbl_analysis_tickets[[#This Row],[agent_experience_years]]&lt;=5,"Mid-Level",
tbl_analysis_tickets[[#This Row],[agent_experience_years]]&lt;=8,"Senior",
tbl_analysis_tickets[[#This Row],[agent_experience_years]]&gt;8,"Expert"
)</f>
        <v>Senior</v>
      </c>
      <c r="P1827" cm="1">
        <f t="array" ref="P1827">_xlfn.SWITCH(tbl_analysis_tickets[[#This Row],[customer_satisfaction]],
"Low",1,
"Medium",2,
"High",3
)</f>
        <v>1</v>
      </c>
      <c r="Q1827">
        <f>IF(tbl_analysis_tickets[[#This Row],[reopened]]="Yes",1,0)</f>
        <v>1</v>
      </c>
      <c r="R1827" t="str" cm="1">
        <f t="array" ref="R1827">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827" t="str" cm="1">
        <f t="array" ref="S182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827" t="str">
        <f>TEXT(tbl_analysis_tickets[[#This Row],[created_date]],"mmm-yyyy")</f>
        <v>May-2024</v>
      </c>
      <c r="U1827" t="str">
        <f>TEXT(tbl_analysis_tickets[[#This Row],[created_date]],"dddd")</f>
        <v>Thursday</v>
      </c>
      <c r="V1827" cm="1">
        <f t="array" ref="V1827">_xlfn.SWITCH(tbl_analysis_tickets[[#This Row],[priority]],
"Urgent",1,
"High",2,
"Medium",3,
"Low",4
)</f>
        <v>1</v>
      </c>
    </row>
    <row r="1828" spans="1:22" x14ac:dyDescent="0.25">
      <c r="A1828">
        <v>1827</v>
      </c>
      <c r="B1828" s="1">
        <v>45372</v>
      </c>
      <c r="C1828" t="s">
        <v>10</v>
      </c>
      <c r="D1828" t="s">
        <v>17</v>
      </c>
      <c r="E1828">
        <v>165</v>
      </c>
      <c r="F1828">
        <v>44</v>
      </c>
      <c r="G1828">
        <v>3.9</v>
      </c>
      <c r="H1828" t="s">
        <v>18</v>
      </c>
      <c r="I1828" t="s">
        <v>13</v>
      </c>
      <c r="J1828" t="s">
        <v>11</v>
      </c>
      <c r="K1828">
        <f>_xlfn.XLOOKUP(tbl_analysis_tickets[[#This Row],[priority]],tbl_sla[priority],tbl_sla[Resolution SLA Hours])</f>
        <v>8</v>
      </c>
      <c r="L1828">
        <f>_xlfn.XLOOKUP(tbl_analysis_tickets[[#This Row],[priority]],tbl_sla[priority],tbl_sla[First Response SLA Minutes])</f>
        <v>30</v>
      </c>
      <c r="M1828" t="str">
        <f>IF(tbl_analysis_tickets[[#This Row],[resolution_time_hours]]&gt;tbl_analysis_tickets[[#This Row],[Resolution SLA Hours]],"Breached","Within SLA")</f>
        <v>Breached</v>
      </c>
      <c r="N1828" t="str">
        <f>IF(tbl_analysis_tickets[[#This Row],[first_response_minutes]]&gt;tbl_analysis_tickets[[#This Row],[First Response SLA Minutes]],"Breached","Within SLA")</f>
        <v>Breached</v>
      </c>
      <c r="O1828" t="str" cm="1">
        <f t="array" ref="O1828">_xlfn.IFS(
tbl_analysis_tickets[[#This Row],[agent_experience_years]]&lt;=2,"Junior",
tbl_analysis_tickets[[#This Row],[agent_experience_years]]&lt;=5,"Mid-Level",
tbl_analysis_tickets[[#This Row],[agent_experience_years]]&lt;=8,"Senior",
tbl_analysis_tickets[[#This Row],[agent_experience_years]]&gt;8,"Expert"
)</f>
        <v>Mid-Level</v>
      </c>
      <c r="P1828" cm="1">
        <f t="array" ref="P1828">_xlfn.SWITCH(tbl_analysis_tickets[[#This Row],[customer_satisfaction]],
"Low",1,
"Medium",2,
"High",3
)</f>
        <v>1</v>
      </c>
      <c r="Q1828">
        <f>IF(tbl_analysis_tickets[[#This Row],[reopened]]="Yes",1,0)</f>
        <v>0</v>
      </c>
      <c r="R1828" t="str" cm="1">
        <f t="array" ref="R1828">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828" t="str" cm="1">
        <f t="array" ref="S182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828" t="str">
        <f>TEXT(tbl_analysis_tickets[[#This Row],[created_date]],"mmm-yyyy")</f>
        <v>Mar-2024</v>
      </c>
      <c r="U1828" t="str">
        <f>TEXT(tbl_analysis_tickets[[#This Row],[created_date]],"dddd")</f>
        <v>Thursday</v>
      </c>
      <c r="V1828" cm="1">
        <f t="array" ref="V1828">_xlfn.SWITCH(tbl_analysis_tickets[[#This Row],[priority]],
"Urgent",1,
"High",2,
"Medium",3,
"Low",4
)</f>
        <v>1</v>
      </c>
    </row>
    <row r="1829" spans="1:22" x14ac:dyDescent="0.25">
      <c r="A1829">
        <v>1828</v>
      </c>
      <c r="B1829" s="1">
        <v>45491</v>
      </c>
      <c r="C1829" t="s">
        <v>22</v>
      </c>
      <c r="D1829" t="s">
        <v>20</v>
      </c>
      <c r="E1829">
        <v>144</v>
      </c>
      <c r="F1829">
        <v>45</v>
      </c>
      <c r="G1829">
        <v>6.3</v>
      </c>
      <c r="H1829" t="s">
        <v>18</v>
      </c>
      <c r="I1829" t="s">
        <v>13</v>
      </c>
      <c r="J1829" t="s">
        <v>11</v>
      </c>
      <c r="K1829">
        <f>_xlfn.XLOOKUP(tbl_analysis_tickets[[#This Row],[priority]],tbl_sla[priority],tbl_sla[Resolution SLA Hours])</f>
        <v>24</v>
      </c>
      <c r="L1829">
        <f>_xlfn.XLOOKUP(tbl_analysis_tickets[[#This Row],[priority]],tbl_sla[priority],tbl_sla[First Response SLA Minutes])</f>
        <v>60</v>
      </c>
      <c r="M1829" t="str">
        <f>IF(tbl_analysis_tickets[[#This Row],[resolution_time_hours]]&gt;tbl_analysis_tickets[[#This Row],[Resolution SLA Hours]],"Breached","Within SLA")</f>
        <v>Breached</v>
      </c>
      <c r="N1829" t="str">
        <f>IF(tbl_analysis_tickets[[#This Row],[first_response_minutes]]&gt;tbl_analysis_tickets[[#This Row],[First Response SLA Minutes]],"Breached","Within SLA")</f>
        <v>Breached</v>
      </c>
      <c r="O1829" t="str" cm="1">
        <f t="array" ref="O1829">_xlfn.IFS(
tbl_analysis_tickets[[#This Row],[agent_experience_years]]&lt;=2,"Junior",
tbl_analysis_tickets[[#This Row],[agent_experience_years]]&lt;=5,"Mid-Level",
tbl_analysis_tickets[[#This Row],[agent_experience_years]]&lt;=8,"Senior",
tbl_analysis_tickets[[#This Row],[agent_experience_years]]&gt;8,"Expert"
)</f>
        <v>Senior</v>
      </c>
      <c r="P1829" cm="1">
        <f t="array" ref="P1829">_xlfn.SWITCH(tbl_analysis_tickets[[#This Row],[customer_satisfaction]],
"Low",1,
"Medium",2,
"High",3
)</f>
        <v>1</v>
      </c>
      <c r="Q1829">
        <f>IF(tbl_analysis_tickets[[#This Row],[reopened]]="Yes",1,0)</f>
        <v>0</v>
      </c>
      <c r="R1829" t="str" cm="1">
        <f t="array" ref="R1829">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829" t="str" cm="1">
        <f t="array" ref="S182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829" t="str">
        <f>TEXT(tbl_analysis_tickets[[#This Row],[created_date]],"mmm-yyyy")</f>
        <v>Jul-2024</v>
      </c>
      <c r="U1829" t="str">
        <f>TEXT(tbl_analysis_tickets[[#This Row],[created_date]],"dddd")</f>
        <v>Thursday</v>
      </c>
      <c r="V1829" cm="1">
        <f t="array" ref="V1829">_xlfn.SWITCH(tbl_analysis_tickets[[#This Row],[priority]],
"Urgent",1,
"High",2,
"Medium",3,
"Low",4
)</f>
        <v>2</v>
      </c>
    </row>
    <row r="1830" spans="1:22" x14ac:dyDescent="0.25">
      <c r="A1830">
        <v>1829</v>
      </c>
      <c r="B1830" s="1">
        <v>45630</v>
      </c>
      <c r="C1830" t="s">
        <v>14</v>
      </c>
      <c r="D1830" t="s">
        <v>11</v>
      </c>
      <c r="E1830">
        <v>101</v>
      </c>
      <c r="F1830">
        <v>7</v>
      </c>
      <c r="G1830">
        <v>9.3000000000000007</v>
      </c>
      <c r="H1830" t="s">
        <v>18</v>
      </c>
      <c r="I1830" t="s">
        <v>13</v>
      </c>
      <c r="J1830" t="s">
        <v>15</v>
      </c>
      <c r="K1830">
        <f>_xlfn.XLOOKUP(tbl_analysis_tickets[[#This Row],[priority]],tbl_sla[priority],tbl_sla[Resolution SLA Hours])</f>
        <v>72</v>
      </c>
      <c r="L1830">
        <f>_xlfn.XLOOKUP(tbl_analysis_tickets[[#This Row],[priority]],tbl_sla[priority],tbl_sla[First Response SLA Minutes])</f>
        <v>240</v>
      </c>
      <c r="M1830" t="str">
        <f>IF(tbl_analysis_tickets[[#This Row],[resolution_time_hours]]&gt;tbl_analysis_tickets[[#This Row],[Resolution SLA Hours]],"Breached","Within SLA")</f>
        <v>Within SLA</v>
      </c>
      <c r="N1830" t="str">
        <f>IF(tbl_analysis_tickets[[#This Row],[first_response_minutes]]&gt;tbl_analysis_tickets[[#This Row],[First Response SLA Minutes]],"Breached","Within SLA")</f>
        <v>Within SLA</v>
      </c>
      <c r="O1830" t="str" cm="1">
        <f t="array" ref="O1830">_xlfn.IFS(
tbl_analysis_tickets[[#This Row],[agent_experience_years]]&lt;=2,"Junior",
tbl_analysis_tickets[[#This Row],[agent_experience_years]]&lt;=5,"Mid-Level",
tbl_analysis_tickets[[#This Row],[agent_experience_years]]&lt;=8,"Senior",
tbl_analysis_tickets[[#This Row],[agent_experience_years]]&gt;8,"Expert"
)</f>
        <v>Expert</v>
      </c>
      <c r="P1830" cm="1">
        <f t="array" ref="P1830">_xlfn.SWITCH(tbl_analysis_tickets[[#This Row],[customer_satisfaction]],
"Low",1,
"Medium",2,
"High",3
)</f>
        <v>2</v>
      </c>
      <c r="Q1830">
        <f>IF(tbl_analysis_tickets[[#This Row],[reopened]]="Yes",1,0)</f>
        <v>0</v>
      </c>
      <c r="R1830" t="str" cm="1">
        <f t="array" ref="R1830">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830" t="str" cm="1">
        <f t="array" ref="S183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1830" t="str">
        <f>TEXT(tbl_analysis_tickets[[#This Row],[created_date]],"mmm-yyyy")</f>
        <v>Dec-2024</v>
      </c>
      <c r="U1830" t="str">
        <f>TEXT(tbl_analysis_tickets[[#This Row],[created_date]],"dddd")</f>
        <v>Wednesday</v>
      </c>
      <c r="V1830" cm="1">
        <f t="array" ref="V1830">_xlfn.SWITCH(tbl_analysis_tickets[[#This Row],[priority]],
"Urgent",1,
"High",2,
"Medium",3,
"Low",4
)</f>
        <v>4</v>
      </c>
    </row>
    <row r="1831" spans="1:22" x14ac:dyDescent="0.25">
      <c r="A1831">
        <v>1830</v>
      </c>
      <c r="B1831" s="1">
        <v>45643</v>
      </c>
      <c r="C1831" t="s">
        <v>21</v>
      </c>
      <c r="D1831" t="s">
        <v>11</v>
      </c>
      <c r="E1831">
        <v>128</v>
      </c>
      <c r="F1831">
        <v>40</v>
      </c>
      <c r="G1831">
        <v>0.8</v>
      </c>
      <c r="H1831" t="s">
        <v>18</v>
      </c>
      <c r="I1831" t="s">
        <v>16</v>
      </c>
      <c r="J1831" t="s">
        <v>11</v>
      </c>
      <c r="K1831">
        <f>_xlfn.XLOOKUP(tbl_analysis_tickets[[#This Row],[priority]],tbl_sla[priority],tbl_sla[Resolution SLA Hours])</f>
        <v>72</v>
      </c>
      <c r="L1831">
        <f>_xlfn.XLOOKUP(tbl_analysis_tickets[[#This Row],[priority]],tbl_sla[priority],tbl_sla[First Response SLA Minutes])</f>
        <v>240</v>
      </c>
      <c r="M1831" t="str">
        <f>IF(tbl_analysis_tickets[[#This Row],[resolution_time_hours]]&gt;tbl_analysis_tickets[[#This Row],[Resolution SLA Hours]],"Breached","Within SLA")</f>
        <v>Within SLA</v>
      </c>
      <c r="N1831" t="str">
        <f>IF(tbl_analysis_tickets[[#This Row],[first_response_minutes]]&gt;tbl_analysis_tickets[[#This Row],[First Response SLA Minutes]],"Breached","Within SLA")</f>
        <v>Within SLA</v>
      </c>
      <c r="O1831" t="str" cm="1">
        <f t="array" ref="O1831">_xlfn.IFS(
tbl_analysis_tickets[[#This Row],[agent_experience_years]]&lt;=2,"Junior",
tbl_analysis_tickets[[#This Row],[agent_experience_years]]&lt;=5,"Mid-Level",
tbl_analysis_tickets[[#This Row],[agent_experience_years]]&lt;=8,"Senior",
tbl_analysis_tickets[[#This Row],[agent_experience_years]]&gt;8,"Expert"
)</f>
        <v>Junior</v>
      </c>
      <c r="P1831" cm="1">
        <f t="array" ref="P1831">_xlfn.SWITCH(tbl_analysis_tickets[[#This Row],[customer_satisfaction]],
"Low",1,
"Medium",2,
"High",3
)</f>
        <v>1</v>
      </c>
      <c r="Q1831">
        <f>IF(tbl_analysis_tickets[[#This Row],[reopened]]="Yes",1,0)</f>
        <v>0</v>
      </c>
      <c r="R1831" t="str" cm="1">
        <f t="array" ref="R1831">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831" t="str" cm="1">
        <f t="array" ref="S183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831" t="str">
        <f>TEXT(tbl_analysis_tickets[[#This Row],[created_date]],"mmm-yyyy")</f>
        <v>Dec-2024</v>
      </c>
      <c r="U1831" t="str">
        <f>TEXT(tbl_analysis_tickets[[#This Row],[created_date]],"dddd")</f>
        <v>Tuesday</v>
      </c>
      <c r="V1831" cm="1">
        <f t="array" ref="V1831">_xlfn.SWITCH(tbl_analysis_tickets[[#This Row],[priority]],
"Urgent",1,
"High",2,
"Medium",3,
"Low",4
)</f>
        <v>4</v>
      </c>
    </row>
    <row r="1832" spans="1:22" x14ac:dyDescent="0.25">
      <c r="A1832">
        <v>1831</v>
      </c>
      <c r="B1832" s="1">
        <v>45389</v>
      </c>
      <c r="C1832" t="s">
        <v>22</v>
      </c>
      <c r="D1832" t="s">
        <v>17</v>
      </c>
      <c r="E1832">
        <v>89</v>
      </c>
      <c r="F1832">
        <v>51</v>
      </c>
      <c r="G1832">
        <v>3.9</v>
      </c>
      <c r="H1832" t="s">
        <v>18</v>
      </c>
      <c r="I1832" t="s">
        <v>13</v>
      </c>
      <c r="J1832" t="s">
        <v>11</v>
      </c>
      <c r="K1832">
        <f>_xlfn.XLOOKUP(tbl_analysis_tickets[[#This Row],[priority]],tbl_sla[priority],tbl_sla[Resolution SLA Hours])</f>
        <v>8</v>
      </c>
      <c r="L1832">
        <f>_xlfn.XLOOKUP(tbl_analysis_tickets[[#This Row],[priority]],tbl_sla[priority],tbl_sla[First Response SLA Minutes])</f>
        <v>30</v>
      </c>
      <c r="M1832" t="str">
        <f>IF(tbl_analysis_tickets[[#This Row],[resolution_time_hours]]&gt;tbl_analysis_tickets[[#This Row],[Resolution SLA Hours]],"Breached","Within SLA")</f>
        <v>Breached</v>
      </c>
      <c r="N1832" t="str">
        <f>IF(tbl_analysis_tickets[[#This Row],[first_response_minutes]]&gt;tbl_analysis_tickets[[#This Row],[First Response SLA Minutes]],"Breached","Within SLA")</f>
        <v>Breached</v>
      </c>
      <c r="O1832" t="str" cm="1">
        <f t="array" ref="O1832">_xlfn.IFS(
tbl_analysis_tickets[[#This Row],[agent_experience_years]]&lt;=2,"Junior",
tbl_analysis_tickets[[#This Row],[agent_experience_years]]&lt;=5,"Mid-Level",
tbl_analysis_tickets[[#This Row],[agent_experience_years]]&lt;=8,"Senior",
tbl_analysis_tickets[[#This Row],[agent_experience_years]]&gt;8,"Expert"
)</f>
        <v>Mid-Level</v>
      </c>
      <c r="P1832" cm="1">
        <f t="array" ref="P1832">_xlfn.SWITCH(tbl_analysis_tickets[[#This Row],[customer_satisfaction]],
"Low",1,
"Medium",2,
"High",3
)</f>
        <v>1</v>
      </c>
      <c r="Q1832">
        <f>IF(tbl_analysis_tickets[[#This Row],[reopened]]="Yes",1,0)</f>
        <v>0</v>
      </c>
      <c r="R1832" t="str" cm="1">
        <f t="array" ref="R1832">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832" t="str" cm="1">
        <f t="array" ref="S183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832" t="str">
        <f>TEXT(tbl_analysis_tickets[[#This Row],[created_date]],"mmm-yyyy")</f>
        <v>Apr-2024</v>
      </c>
      <c r="U1832" t="str">
        <f>TEXT(tbl_analysis_tickets[[#This Row],[created_date]],"dddd")</f>
        <v>Sunday</v>
      </c>
      <c r="V1832" cm="1">
        <f t="array" ref="V1832">_xlfn.SWITCH(tbl_analysis_tickets[[#This Row],[priority]],
"Urgent",1,
"High",2,
"Medium",3,
"Low",4
)</f>
        <v>1</v>
      </c>
    </row>
    <row r="1833" spans="1:22" x14ac:dyDescent="0.25">
      <c r="A1833">
        <v>1832</v>
      </c>
      <c r="B1833" s="1">
        <v>45294</v>
      </c>
      <c r="C1833" t="s">
        <v>23</v>
      </c>
      <c r="D1833" t="s">
        <v>20</v>
      </c>
      <c r="E1833">
        <v>204</v>
      </c>
      <c r="F1833">
        <v>24</v>
      </c>
      <c r="G1833">
        <v>4.8</v>
      </c>
      <c r="H1833" t="s">
        <v>12</v>
      </c>
      <c r="I1833" t="s">
        <v>19</v>
      </c>
      <c r="J1833" t="s">
        <v>11</v>
      </c>
      <c r="K1833">
        <f>_xlfn.XLOOKUP(tbl_analysis_tickets[[#This Row],[priority]],tbl_sla[priority],tbl_sla[Resolution SLA Hours])</f>
        <v>24</v>
      </c>
      <c r="L1833">
        <f>_xlfn.XLOOKUP(tbl_analysis_tickets[[#This Row],[priority]],tbl_sla[priority],tbl_sla[First Response SLA Minutes])</f>
        <v>60</v>
      </c>
      <c r="M1833" t="str">
        <f>IF(tbl_analysis_tickets[[#This Row],[resolution_time_hours]]&gt;tbl_analysis_tickets[[#This Row],[Resolution SLA Hours]],"Breached","Within SLA")</f>
        <v>Within SLA</v>
      </c>
      <c r="N1833" t="str">
        <f>IF(tbl_analysis_tickets[[#This Row],[first_response_minutes]]&gt;tbl_analysis_tickets[[#This Row],[First Response SLA Minutes]],"Breached","Within SLA")</f>
        <v>Breached</v>
      </c>
      <c r="O1833" t="str" cm="1">
        <f t="array" ref="O1833">_xlfn.IFS(
tbl_analysis_tickets[[#This Row],[agent_experience_years]]&lt;=2,"Junior",
tbl_analysis_tickets[[#This Row],[agent_experience_years]]&lt;=5,"Mid-Level",
tbl_analysis_tickets[[#This Row],[agent_experience_years]]&lt;=8,"Senior",
tbl_analysis_tickets[[#This Row],[agent_experience_years]]&gt;8,"Expert"
)</f>
        <v>Mid-Level</v>
      </c>
      <c r="P1833" cm="1">
        <f t="array" ref="P1833">_xlfn.SWITCH(tbl_analysis_tickets[[#This Row],[customer_satisfaction]],
"Low",1,
"Medium",2,
"High",3
)</f>
        <v>1</v>
      </c>
      <c r="Q1833">
        <f>IF(tbl_analysis_tickets[[#This Row],[reopened]]="Yes",1,0)</f>
        <v>1</v>
      </c>
      <c r="R1833" t="str" cm="1">
        <f t="array" ref="R1833">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833" t="str" cm="1">
        <f t="array" ref="S183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833" t="str">
        <f>TEXT(tbl_analysis_tickets[[#This Row],[created_date]],"mmm-yyyy")</f>
        <v>Jan-2024</v>
      </c>
      <c r="U1833" t="str">
        <f>TEXT(tbl_analysis_tickets[[#This Row],[created_date]],"dddd")</f>
        <v>Wednesday</v>
      </c>
      <c r="V1833" cm="1">
        <f t="array" ref="V1833">_xlfn.SWITCH(tbl_analysis_tickets[[#This Row],[priority]],
"Urgent",1,
"High",2,
"Medium",3,
"Low",4
)</f>
        <v>2</v>
      </c>
    </row>
    <row r="1834" spans="1:22" x14ac:dyDescent="0.25">
      <c r="A1834">
        <v>1833</v>
      </c>
      <c r="B1834" s="1">
        <v>45323</v>
      </c>
      <c r="C1834" t="s">
        <v>10</v>
      </c>
      <c r="D1834" t="s">
        <v>20</v>
      </c>
      <c r="E1834">
        <v>38</v>
      </c>
      <c r="F1834">
        <v>63</v>
      </c>
      <c r="G1834">
        <v>6.3</v>
      </c>
      <c r="H1834" t="s">
        <v>12</v>
      </c>
      <c r="I1834" t="s">
        <v>19</v>
      </c>
      <c r="J1834" t="s">
        <v>11</v>
      </c>
      <c r="K1834">
        <f>_xlfn.XLOOKUP(tbl_analysis_tickets[[#This Row],[priority]],tbl_sla[priority],tbl_sla[Resolution SLA Hours])</f>
        <v>24</v>
      </c>
      <c r="L1834">
        <f>_xlfn.XLOOKUP(tbl_analysis_tickets[[#This Row],[priority]],tbl_sla[priority],tbl_sla[First Response SLA Minutes])</f>
        <v>60</v>
      </c>
      <c r="M1834" t="str">
        <f>IF(tbl_analysis_tickets[[#This Row],[resolution_time_hours]]&gt;tbl_analysis_tickets[[#This Row],[Resolution SLA Hours]],"Breached","Within SLA")</f>
        <v>Breached</v>
      </c>
      <c r="N1834" t="str">
        <f>IF(tbl_analysis_tickets[[#This Row],[first_response_minutes]]&gt;tbl_analysis_tickets[[#This Row],[First Response SLA Minutes]],"Breached","Within SLA")</f>
        <v>Within SLA</v>
      </c>
      <c r="O1834" t="str" cm="1">
        <f t="array" ref="O1834">_xlfn.IFS(
tbl_analysis_tickets[[#This Row],[agent_experience_years]]&lt;=2,"Junior",
tbl_analysis_tickets[[#This Row],[agent_experience_years]]&lt;=5,"Mid-Level",
tbl_analysis_tickets[[#This Row],[agent_experience_years]]&lt;=8,"Senior",
tbl_analysis_tickets[[#This Row],[agent_experience_years]]&gt;8,"Expert"
)</f>
        <v>Senior</v>
      </c>
      <c r="P1834" cm="1">
        <f t="array" ref="P1834">_xlfn.SWITCH(tbl_analysis_tickets[[#This Row],[customer_satisfaction]],
"Low",1,
"Medium",2,
"High",3
)</f>
        <v>1</v>
      </c>
      <c r="Q1834">
        <f>IF(tbl_analysis_tickets[[#This Row],[reopened]]="Yes",1,0)</f>
        <v>1</v>
      </c>
      <c r="R1834" t="str" cm="1">
        <f t="array" ref="R1834">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834" t="str" cm="1">
        <f t="array" ref="S183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834" t="str">
        <f>TEXT(tbl_analysis_tickets[[#This Row],[created_date]],"mmm-yyyy")</f>
        <v>Feb-2024</v>
      </c>
      <c r="U1834" t="str">
        <f>TEXT(tbl_analysis_tickets[[#This Row],[created_date]],"dddd")</f>
        <v>Thursday</v>
      </c>
      <c r="V1834" cm="1">
        <f t="array" ref="V1834">_xlfn.SWITCH(tbl_analysis_tickets[[#This Row],[priority]],
"Urgent",1,
"High",2,
"Medium",3,
"Low",4
)</f>
        <v>2</v>
      </c>
    </row>
    <row r="1835" spans="1:22" x14ac:dyDescent="0.25">
      <c r="A1835">
        <v>1834</v>
      </c>
      <c r="B1835" s="1">
        <v>45457</v>
      </c>
      <c r="C1835" t="s">
        <v>10</v>
      </c>
      <c r="D1835" t="s">
        <v>20</v>
      </c>
      <c r="E1835">
        <v>163</v>
      </c>
      <c r="F1835">
        <v>60</v>
      </c>
      <c r="G1835">
        <v>9.6999999999999993</v>
      </c>
      <c r="H1835" t="s">
        <v>18</v>
      </c>
      <c r="I1835" t="s">
        <v>13</v>
      </c>
      <c r="J1835" t="s">
        <v>11</v>
      </c>
      <c r="K1835">
        <f>_xlfn.XLOOKUP(tbl_analysis_tickets[[#This Row],[priority]],tbl_sla[priority],tbl_sla[Resolution SLA Hours])</f>
        <v>24</v>
      </c>
      <c r="L1835">
        <f>_xlfn.XLOOKUP(tbl_analysis_tickets[[#This Row],[priority]],tbl_sla[priority],tbl_sla[First Response SLA Minutes])</f>
        <v>60</v>
      </c>
      <c r="M1835" t="str">
        <f>IF(tbl_analysis_tickets[[#This Row],[resolution_time_hours]]&gt;tbl_analysis_tickets[[#This Row],[Resolution SLA Hours]],"Breached","Within SLA")</f>
        <v>Breached</v>
      </c>
      <c r="N1835" t="str">
        <f>IF(tbl_analysis_tickets[[#This Row],[first_response_minutes]]&gt;tbl_analysis_tickets[[#This Row],[First Response SLA Minutes]],"Breached","Within SLA")</f>
        <v>Breached</v>
      </c>
      <c r="O1835" t="str" cm="1">
        <f t="array" ref="O1835">_xlfn.IFS(
tbl_analysis_tickets[[#This Row],[agent_experience_years]]&lt;=2,"Junior",
tbl_analysis_tickets[[#This Row],[agent_experience_years]]&lt;=5,"Mid-Level",
tbl_analysis_tickets[[#This Row],[agent_experience_years]]&lt;=8,"Senior",
tbl_analysis_tickets[[#This Row],[agent_experience_years]]&gt;8,"Expert"
)</f>
        <v>Expert</v>
      </c>
      <c r="P1835" cm="1">
        <f t="array" ref="P1835">_xlfn.SWITCH(tbl_analysis_tickets[[#This Row],[customer_satisfaction]],
"Low",1,
"Medium",2,
"High",3
)</f>
        <v>1</v>
      </c>
      <c r="Q1835">
        <f>IF(tbl_analysis_tickets[[#This Row],[reopened]]="Yes",1,0)</f>
        <v>0</v>
      </c>
      <c r="R1835" t="str" cm="1">
        <f t="array" ref="R1835">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835" t="str" cm="1">
        <f t="array" ref="S183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835" t="str">
        <f>TEXT(tbl_analysis_tickets[[#This Row],[created_date]],"mmm-yyyy")</f>
        <v>Jun-2024</v>
      </c>
      <c r="U1835" t="str">
        <f>TEXT(tbl_analysis_tickets[[#This Row],[created_date]],"dddd")</f>
        <v>Friday</v>
      </c>
      <c r="V1835" cm="1">
        <f t="array" ref="V1835">_xlfn.SWITCH(tbl_analysis_tickets[[#This Row],[priority]],
"Urgent",1,
"High",2,
"Medium",3,
"Low",4
)</f>
        <v>2</v>
      </c>
    </row>
    <row r="1836" spans="1:22" x14ac:dyDescent="0.25">
      <c r="A1836">
        <v>1835</v>
      </c>
      <c r="B1836" s="1">
        <v>45507</v>
      </c>
      <c r="C1836" t="s">
        <v>22</v>
      </c>
      <c r="D1836" t="s">
        <v>17</v>
      </c>
      <c r="E1836">
        <v>30</v>
      </c>
      <c r="F1836">
        <v>51</v>
      </c>
      <c r="G1836">
        <v>3.6</v>
      </c>
      <c r="H1836" t="s">
        <v>18</v>
      </c>
      <c r="I1836" t="s">
        <v>16</v>
      </c>
      <c r="J1836" t="s">
        <v>15</v>
      </c>
      <c r="K1836">
        <f>_xlfn.XLOOKUP(tbl_analysis_tickets[[#This Row],[priority]],tbl_sla[priority],tbl_sla[Resolution SLA Hours])</f>
        <v>8</v>
      </c>
      <c r="L1836">
        <f>_xlfn.XLOOKUP(tbl_analysis_tickets[[#This Row],[priority]],tbl_sla[priority],tbl_sla[First Response SLA Minutes])</f>
        <v>30</v>
      </c>
      <c r="M1836" t="str">
        <f>IF(tbl_analysis_tickets[[#This Row],[resolution_time_hours]]&gt;tbl_analysis_tickets[[#This Row],[Resolution SLA Hours]],"Breached","Within SLA")</f>
        <v>Breached</v>
      </c>
      <c r="N1836" t="str">
        <f>IF(tbl_analysis_tickets[[#This Row],[first_response_minutes]]&gt;tbl_analysis_tickets[[#This Row],[First Response SLA Minutes]],"Breached","Within SLA")</f>
        <v>Within SLA</v>
      </c>
      <c r="O1836" t="str" cm="1">
        <f t="array" ref="O1836">_xlfn.IFS(
tbl_analysis_tickets[[#This Row],[agent_experience_years]]&lt;=2,"Junior",
tbl_analysis_tickets[[#This Row],[agent_experience_years]]&lt;=5,"Mid-Level",
tbl_analysis_tickets[[#This Row],[agent_experience_years]]&lt;=8,"Senior",
tbl_analysis_tickets[[#This Row],[agent_experience_years]]&gt;8,"Expert"
)</f>
        <v>Mid-Level</v>
      </c>
      <c r="P1836" cm="1">
        <f t="array" ref="P1836">_xlfn.SWITCH(tbl_analysis_tickets[[#This Row],[customer_satisfaction]],
"Low",1,
"Medium",2,
"High",3
)</f>
        <v>2</v>
      </c>
      <c r="Q1836">
        <f>IF(tbl_analysis_tickets[[#This Row],[reopened]]="Yes",1,0)</f>
        <v>0</v>
      </c>
      <c r="R1836" t="str" cm="1">
        <f t="array" ref="R1836">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1836" t="str" cm="1">
        <f t="array" ref="S183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836" t="str">
        <f>TEXT(tbl_analysis_tickets[[#This Row],[created_date]],"mmm-yyyy")</f>
        <v>Aug-2024</v>
      </c>
      <c r="U1836" t="str">
        <f>TEXT(tbl_analysis_tickets[[#This Row],[created_date]],"dddd")</f>
        <v>Saturday</v>
      </c>
      <c r="V1836" cm="1">
        <f t="array" ref="V1836">_xlfn.SWITCH(tbl_analysis_tickets[[#This Row],[priority]],
"Urgent",1,
"High",2,
"Medium",3,
"Low",4
)</f>
        <v>1</v>
      </c>
    </row>
    <row r="1837" spans="1:22" x14ac:dyDescent="0.25">
      <c r="A1837">
        <v>1836</v>
      </c>
      <c r="B1837" s="1">
        <v>45613</v>
      </c>
      <c r="C1837" t="s">
        <v>23</v>
      </c>
      <c r="D1837" t="s">
        <v>17</v>
      </c>
      <c r="E1837">
        <v>92</v>
      </c>
      <c r="F1837">
        <v>57</v>
      </c>
      <c r="G1837">
        <v>3.5</v>
      </c>
      <c r="H1837" t="s">
        <v>12</v>
      </c>
      <c r="I1837" t="s">
        <v>19</v>
      </c>
      <c r="J1837" t="s">
        <v>11</v>
      </c>
      <c r="K1837">
        <f>_xlfn.XLOOKUP(tbl_analysis_tickets[[#This Row],[priority]],tbl_sla[priority],tbl_sla[Resolution SLA Hours])</f>
        <v>8</v>
      </c>
      <c r="L1837">
        <f>_xlfn.XLOOKUP(tbl_analysis_tickets[[#This Row],[priority]],tbl_sla[priority],tbl_sla[First Response SLA Minutes])</f>
        <v>30</v>
      </c>
      <c r="M1837" t="str">
        <f>IF(tbl_analysis_tickets[[#This Row],[resolution_time_hours]]&gt;tbl_analysis_tickets[[#This Row],[Resolution SLA Hours]],"Breached","Within SLA")</f>
        <v>Breached</v>
      </c>
      <c r="N1837" t="str">
        <f>IF(tbl_analysis_tickets[[#This Row],[first_response_minutes]]&gt;tbl_analysis_tickets[[#This Row],[First Response SLA Minutes]],"Breached","Within SLA")</f>
        <v>Breached</v>
      </c>
      <c r="O1837" t="str" cm="1">
        <f t="array" ref="O1837">_xlfn.IFS(
tbl_analysis_tickets[[#This Row],[agent_experience_years]]&lt;=2,"Junior",
tbl_analysis_tickets[[#This Row],[agent_experience_years]]&lt;=5,"Mid-Level",
tbl_analysis_tickets[[#This Row],[agent_experience_years]]&lt;=8,"Senior",
tbl_analysis_tickets[[#This Row],[agent_experience_years]]&gt;8,"Expert"
)</f>
        <v>Mid-Level</v>
      </c>
      <c r="P1837" cm="1">
        <f t="array" ref="P1837">_xlfn.SWITCH(tbl_analysis_tickets[[#This Row],[customer_satisfaction]],
"Low",1,
"Medium",2,
"High",3
)</f>
        <v>1</v>
      </c>
      <c r="Q1837">
        <f>IF(tbl_analysis_tickets[[#This Row],[reopened]]="Yes",1,0)</f>
        <v>1</v>
      </c>
      <c r="R1837" t="str" cm="1">
        <f t="array" ref="R1837">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837" t="str" cm="1">
        <f t="array" ref="S183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837" t="str">
        <f>TEXT(tbl_analysis_tickets[[#This Row],[created_date]],"mmm-yyyy")</f>
        <v>Nov-2024</v>
      </c>
      <c r="U1837" t="str">
        <f>TEXT(tbl_analysis_tickets[[#This Row],[created_date]],"dddd")</f>
        <v>Sunday</v>
      </c>
      <c r="V1837" cm="1">
        <f t="array" ref="V1837">_xlfn.SWITCH(tbl_analysis_tickets[[#This Row],[priority]],
"Urgent",1,
"High",2,
"Medium",3,
"Low",4
)</f>
        <v>1</v>
      </c>
    </row>
    <row r="1838" spans="1:22" x14ac:dyDescent="0.25">
      <c r="A1838">
        <v>1837</v>
      </c>
      <c r="B1838" s="1">
        <v>45577</v>
      </c>
      <c r="C1838" t="s">
        <v>21</v>
      </c>
      <c r="D1838" t="s">
        <v>15</v>
      </c>
      <c r="E1838">
        <v>105</v>
      </c>
      <c r="F1838">
        <v>41</v>
      </c>
      <c r="G1838">
        <v>6.2</v>
      </c>
      <c r="H1838" t="s">
        <v>18</v>
      </c>
      <c r="I1838" t="s">
        <v>16</v>
      </c>
      <c r="J1838" t="s">
        <v>15</v>
      </c>
      <c r="K1838">
        <f>_xlfn.XLOOKUP(tbl_analysis_tickets[[#This Row],[priority]],tbl_sla[priority],tbl_sla[Resolution SLA Hours])</f>
        <v>48</v>
      </c>
      <c r="L1838">
        <f>_xlfn.XLOOKUP(tbl_analysis_tickets[[#This Row],[priority]],tbl_sla[priority],tbl_sla[First Response SLA Minutes])</f>
        <v>120</v>
      </c>
      <c r="M1838" t="str">
        <f>IF(tbl_analysis_tickets[[#This Row],[resolution_time_hours]]&gt;tbl_analysis_tickets[[#This Row],[Resolution SLA Hours]],"Breached","Within SLA")</f>
        <v>Within SLA</v>
      </c>
      <c r="N1838" t="str">
        <f>IF(tbl_analysis_tickets[[#This Row],[first_response_minutes]]&gt;tbl_analysis_tickets[[#This Row],[First Response SLA Minutes]],"Breached","Within SLA")</f>
        <v>Within SLA</v>
      </c>
      <c r="O1838" t="str" cm="1">
        <f t="array" ref="O1838">_xlfn.IFS(
tbl_analysis_tickets[[#This Row],[agent_experience_years]]&lt;=2,"Junior",
tbl_analysis_tickets[[#This Row],[agent_experience_years]]&lt;=5,"Mid-Level",
tbl_analysis_tickets[[#This Row],[agent_experience_years]]&lt;=8,"Senior",
tbl_analysis_tickets[[#This Row],[agent_experience_years]]&gt;8,"Expert"
)</f>
        <v>Senior</v>
      </c>
      <c r="P1838" cm="1">
        <f t="array" ref="P1838">_xlfn.SWITCH(tbl_analysis_tickets[[#This Row],[customer_satisfaction]],
"Low",1,
"Medium",2,
"High",3
)</f>
        <v>2</v>
      </c>
      <c r="Q1838">
        <f>IF(tbl_analysis_tickets[[#This Row],[reopened]]="Yes",1,0)</f>
        <v>0</v>
      </c>
      <c r="R1838" t="str" cm="1">
        <f t="array" ref="R1838">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838" t="str" cm="1">
        <f t="array" ref="S183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838" t="str">
        <f>TEXT(tbl_analysis_tickets[[#This Row],[created_date]],"mmm-yyyy")</f>
        <v>Oct-2024</v>
      </c>
      <c r="U1838" t="str">
        <f>TEXT(tbl_analysis_tickets[[#This Row],[created_date]],"dddd")</f>
        <v>Saturday</v>
      </c>
      <c r="V1838" cm="1">
        <f t="array" ref="V1838">_xlfn.SWITCH(tbl_analysis_tickets[[#This Row],[priority]],
"Urgent",1,
"High",2,
"Medium",3,
"Low",4
)</f>
        <v>3</v>
      </c>
    </row>
    <row r="1839" spans="1:22" x14ac:dyDescent="0.25">
      <c r="A1839">
        <v>1838</v>
      </c>
      <c r="B1839" s="1">
        <v>45640</v>
      </c>
      <c r="C1839" t="s">
        <v>23</v>
      </c>
      <c r="D1839" t="s">
        <v>17</v>
      </c>
      <c r="E1839">
        <v>104</v>
      </c>
      <c r="F1839">
        <v>34</v>
      </c>
      <c r="G1839">
        <v>6.1</v>
      </c>
      <c r="H1839" t="s">
        <v>12</v>
      </c>
      <c r="I1839" t="s">
        <v>16</v>
      </c>
      <c r="J1839" t="s">
        <v>11</v>
      </c>
      <c r="K1839">
        <f>_xlfn.XLOOKUP(tbl_analysis_tickets[[#This Row],[priority]],tbl_sla[priority],tbl_sla[Resolution SLA Hours])</f>
        <v>8</v>
      </c>
      <c r="L1839">
        <f>_xlfn.XLOOKUP(tbl_analysis_tickets[[#This Row],[priority]],tbl_sla[priority],tbl_sla[First Response SLA Minutes])</f>
        <v>30</v>
      </c>
      <c r="M1839" t="str">
        <f>IF(tbl_analysis_tickets[[#This Row],[resolution_time_hours]]&gt;tbl_analysis_tickets[[#This Row],[Resolution SLA Hours]],"Breached","Within SLA")</f>
        <v>Breached</v>
      </c>
      <c r="N1839" t="str">
        <f>IF(tbl_analysis_tickets[[#This Row],[first_response_minutes]]&gt;tbl_analysis_tickets[[#This Row],[First Response SLA Minutes]],"Breached","Within SLA")</f>
        <v>Breached</v>
      </c>
      <c r="O1839" t="str" cm="1">
        <f t="array" ref="O1839">_xlfn.IFS(
tbl_analysis_tickets[[#This Row],[agent_experience_years]]&lt;=2,"Junior",
tbl_analysis_tickets[[#This Row],[agent_experience_years]]&lt;=5,"Mid-Level",
tbl_analysis_tickets[[#This Row],[agent_experience_years]]&lt;=8,"Senior",
tbl_analysis_tickets[[#This Row],[agent_experience_years]]&gt;8,"Expert"
)</f>
        <v>Senior</v>
      </c>
      <c r="P1839" cm="1">
        <f t="array" ref="P1839">_xlfn.SWITCH(tbl_analysis_tickets[[#This Row],[customer_satisfaction]],
"Low",1,
"Medium",2,
"High",3
)</f>
        <v>1</v>
      </c>
      <c r="Q1839">
        <f>IF(tbl_analysis_tickets[[#This Row],[reopened]]="Yes",1,0)</f>
        <v>1</v>
      </c>
      <c r="R1839" t="str" cm="1">
        <f t="array" ref="R1839">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839" t="str" cm="1">
        <f t="array" ref="S183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839" t="str">
        <f>TEXT(tbl_analysis_tickets[[#This Row],[created_date]],"mmm-yyyy")</f>
        <v>Dec-2024</v>
      </c>
      <c r="U1839" t="str">
        <f>TEXT(tbl_analysis_tickets[[#This Row],[created_date]],"dddd")</f>
        <v>Saturday</v>
      </c>
      <c r="V1839" cm="1">
        <f t="array" ref="V1839">_xlfn.SWITCH(tbl_analysis_tickets[[#This Row],[priority]],
"Urgent",1,
"High",2,
"Medium",3,
"Low",4
)</f>
        <v>1</v>
      </c>
    </row>
    <row r="1840" spans="1:22" x14ac:dyDescent="0.25">
      <c r="A1840">
        <v>1839</v>
      </c>
      <c r="B1840" s="1">
        <v>45501</v>
      </c>
      <c r="C1840" t="s">
        <v>22</v>
      </c>
      <c r="D1840" t="s">
        <v>20</v>
      </c>
      <c r="E1840">
        <v>105</v>
      </c>
      <c r="F1840">
        <v>63</v>
      </c>
      <c r="G1840">
        <v>0.5</v>
      </c>
      <c r="H1840" t="s">
        <v>12</v>
      </c>
      <c r="I1840" t="s">
        <v>16</v>
      </c>
      <c r="J1840" t="s">
        <v>11</v>
      </c>
      <c r="K1840">
        <f>_xlfn.XLOOKUP(tbl_analysis_tickets[[#This Row],[priority]],tbl_sla[priority],tbl_sla[Resolution SLA Hours])</f>
        <v>24</v>
      </c>
      <c r="L1840">
        <f>_xlfn.XLOOKUP(tbl_analysis_tickets[[#This Row],[priority]],tbl_sla[priority],tbl_sla[First Response SLA Minutes])</f>
        <v>60</v>
      </c>
      <c r="M1840" t="str">
        <f>IF(tbl_analysis_tickets[[#This Row],[resolution_time_hours]]&gt;tbl_analysis_tickets[[#This Row],[Resolution SLA Hours]],"Breached","Within SLA")</f>
        <v>Breached</v>
      </c>
      <c r="N1840" t="str">
        <f>IF(tbl_analysis_tickets[[#This Row],[first_response_minutes]]&gt;tbl_analysis_tickets[[#This Row],[First Response SLA Minutes]],"Breached","Within SLA")</f>
        <v>Breached</v>
      </c>
      <c r="O1840" t="str" cm="1">
        <f t="array" ref="O1840">_xlfn.IFS(
tbl_analysis_tickets[[#This Row],[agent_experience_years]]&lt;=2,"Junior",
tbl_analysis_tickets[[#This Row],[agent_experience_years]]&lt;=5,"Mid-Level",
tbl_analysis_tickets[[#This Row],[agent_experience_years]]&lt;=8,"Senior",
tbl_analysis_tickets[[#This Row],[agent_experience_years]]&gt;8,"Expert"
)</f>
        <v>Junior</v>
      </c>
      <c r="P1840" cm="1">
        <f t="array" ref="P1840">_xlfn.SWITCH(tbl_analysis_tickets[[#This Row],[customer_satisfaction]],
"Low",1,
"Medium",2,
"High",3
)</f>
        <v>1</v>
      </c>
      <c r="Q1840">
        <f>IF(tbl_analysis_tickets[[#This Row],[reopened]]="Yes",1,0)</f>
        <v>1</v>
      </c>
      <c r="R1840" t="str" cm="1">
        <f t="array" ref="R1840">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840" t="str" cm="1">
        <f t="array" ref="S184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840" t="str">
        <f>TEXT(tbl_analysis_tickets[[#This Row],[created_date]],"mmm-yyyy")</f>
        <v>Jul-2024</v>
      </c>
      <c r="U1840" t="str">
        <f>TEXT(tbl_analysis_tickets[[#This Row],[created_date]],"dddd")</f>
        <v>Sunday</v>
      </c>
      <c r="V1840" cm="1">
        <f t="array" ref="V1840">_xlfn.SWITCH(tbl_analysis_tickets[[#This Row],[priority]],
"Urgent",1,
"High",2,
"Medium",3,
"Low",4
)</f>
        <v>2</v>
      </c>
    </row>
    <row r="1841" spans="1:22" x14ac:dyDescent="0.25">
      <c r="A1841">
        <v>1840</v>
      </c>
      <c r="B1841" s="1">
        <v>45354</v>
      </c>
      <c r="C1841" t="s">
        <v>21</v>
      </c>
      <c r="D1841" t="s">
        <v>17</v>
      </c>
      <c r="E1841">
        <v>154</v>
      </c>
      <c r="F1841">
        <v>46</v>
      </c>
      <c r="G1841">
        <v>5.8</v>
      </c>
      <c r="H1841" t="s">
        <v>12</v>
      </c>
      <c r="I1841" t="s">
        <v>16</v>
      </c>
      <c r="J1841" t="s">
        <v>11</v>
      </c>
      <c r="K1841">
        <f>_xlfn.XLOOKUP(tbl_analysis_tickets[[#This Row],[priority]],tbl_sla[priority],tbl_sla[Resolution SLA Hours])</f>
        <v>8</v>
      </c>
      <c r="L1841">
        <f>_xlfn.XLOOKUP(tbl_analysis_tickets[[#This Row],[priority]],tbl_sla[priority],tbl_sla[First Response SLA Minutes])</f>
        <v>30</v>
      </c>
      <c r="M1841" t="str">
        <f>IF(tbl_analysis_tickets[[#This Row],[resolution_time_hours]]&gt;tbl_analysis_tickets[[#This Row],[Resolution SLA Hours]],"Breached","Within SLA")</f>
        <v>Breached</v>
      </c>
      <c r="N1841" t="str">
        <f>IF(tbl_analysis_tickets[[#This Row],[first_response_minutes]]&gt;tbl_analysis_tickets[[#This Row],[First Response SLA Minutes]],"Breached","Within SLA")</f>
        <v>Breached</v>
      </c>
      <c r="O1841" t="str" cm="1">
        <f t="array" ref="O1841">_xlfn.IFS(
tbl_analysis_tickets[[#This Row],[agent_experience_years]]&lt;=2,"Junior",
tbl_analysis_tickets[[#This Row],[agent_experience_years]]&lt;=5,"Mid-Level",
tbl_analysis_tickets[[#This Row],[agent_experience_years]]&lt;=8,"Senior",
tbl_analysis_tickets[[#This Row],[agent_experience_years]]&gt;8,"Expert"
)</f>
        <v>Senior</v>
      </c>
      <c r="P1841" cm="1">
        <f t="array" ref="P1841">_xlfn.SWITCH(tbl_analysis_tickets[[#This Row],[customer_satisfaction]],
"Low",1,
"Medium",2,
"High",3
)</f>
        <v>1</v>
      </c>
      <c r="Q1841">
        <f>IF(tbl_analysis_tickets[[#This Row],[reopened]]="Yes",1,0)</f>
        <v>1</v>
      </c>
      <c r="R1841" t="str" cm="1">
        <f t="array" ref="R1841">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841" t="str" cm="1">
        <f t="array" ref="S184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841" t="str">
        <f>TEXT(tbl_analysis_tickets[[#This Row],[created_date]],"mmm-yyyy")</f>
        <v>Mar-2024</v>
      </c>
      <c r="U1841" t="str">
        <f>TEXT(tbl_analysis_tickets[[#This Row],[created_date]],"dddd")</f>
        <v>Sunday</v>
      </c>
      <c r="V1841" cm="1">
        <f t="array" ref="V1841">_xlfn.SWITCH(tbl_analysis_tickets[[#This Row],[priority]],
"Urgent",1,
"High",2,
"Medium",3,
"Low",4
)</f>
        <v>1</v>
      </c>
    </row>
    <row r="1842" spans="1:22" x14ac:dyDescent="0.25">
      <c r="A1842">
        <v>1841</v>
      </c>
      <c r="B1842" s="1">
        <v>45640</v>
      </c>
      <c r="C1842" t="s">
        <v>10</v>
      </c>
      <c r="D1842" t="s">
        <v>11</v>
      </c>
      <c r="E1842">
        <v>55</v>
      </c>
      <c r="F1842">
        <v>18</v>
      </c>
      <c r="G1842">
        <v>6.8</v>
      </c>
      <c r="H1842" t="s">
        <v>18</v>
      </c>
      <c r="I1842" t="s">
        <v>13</v>
      </c>
      <c r="J1842" t="s">
        <v>15</v>
      </c>
      <c r="K1842">
        <f>_xlfn.XLOOKUP(tbl_analysis_tickets[[#This Row],[priority]],tbl_sla[priority],tbl_sla[Resolution SLA Hours])</f>
        <v>72</v>
      </c>
      <c r="L1842">
        <f>_xlfn.XLOOKUP(tbl_analysis_tickets[[#This Row],[priority]],tbl_sla[priority],tbl_sla[First Response SLA Minutes])</f>
        <v>240</v>
      </c>
      <c r="M1842" t="str">
        <f>IF(tbl_analysis_tickets[[#This Row],[resolution_time_hours]]&gt;tbl_analysis_tickets[[#This Row],[Resolution SLA Hours]],"Breached","Within SLA")</f>
        <v>Within SLA</v>
      </c>
      <c r="N1842" t="str">
        <f>IF(tbl_analysis_tickets[[#This Row],[first_response_minutes]]&gt;tbl_analysis_tickets[[#This Row],[First Response SLA Minutes]],"Breached","Within SLA")</f>
        <v>Within SLA</v>
      </c>
      <c r="O1842" t="str" cm="1">
        <f t="array" ref="O1842">_xlfn.IFS(
tbl_analysis_tickets[[#This Row],[agent_experience_years]]&lt;=2,"Junior",
tbl_analysis_tickets[[#This Row],[agent_experience_years]]&lt;=5,"Mid-Level",
tbl_analysis_tickets[[#This Row],[agent_experience_years]]&lt;=8,"Senior",
tbl_analysis_tickets[[#This Row],[agent_experience_years]]&gt;8,"Expert"
)</f>
        <v>Senior</v>
      </c>
      <c r="P1842" cm="1">
        <f t="array" ref="P1842">_xlfn.SWITCH(tbl_analysis_tickets[[#This Row],[customer_satisfaction]],
"Low",1,
"Medium",2,
"High",3
)</f>
        <v>2</v>
      </c>
      <c r="Q1842">
        <f>IF(tbl_analysis_tickets[[#This Row],[reopened]]="Yes",1,0)</f>
        <v>0</v>
      </c>
      <c r="R1842" t="str" cm="1">
        <f t="array" ref="R1842">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842" t="str" cm="1">
        <f t="array" ref="S184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842" t="str">
        <f>TEXT(tbl_analysis_tickets[[#This Row],[created_date]],"mmm-yyyy")</f>
        <v>Dec-2024</v>
      </c>
      <c r="U1842" t="str">
        <f>TEXT(tbl_analysis_tickets[[#This Row],[created_date]],"dddd")</f>
        <v>Saturday</v>
      </c>
      <c r="V1842" cm="1">
        <f t="array" ref="V1842">_xlfn.SWITCH(tbl_analysis_tickets[[#This Row],[priority]],
"Urgent",1,
"High",2,
"Medium",3,
"Low",4
)</f>
        <v>4</v>
      </c>
    </row>
    <row r="1843" spans="1:22" x14ac:dyDescent="0.25">
      <c r="A1843">
        <v>1842</v>
      </c>
      <c r="B1843" s="1">
        <v>45373</v>
      </c>
      <c r="C1843" t="s">
        <v>22</v>
      </c>
      <c r="D1843" t="s">
        <v>15</v>
      </c>
      <c r="E1843">
        <v>124</v>
      </c>
      <c r="F1843">
        <v>14</v>
      </c>
      <c r="G1843">
        <v>8.1999999999999993</v>
      </c>
      <c r="H1843" t="s">
        <v>18</v>
      </c>
      <c r="I1843" t="s">
        <v>13</v>
      </c>
      <c r="J1843" t="s">
        <v>15</v>
      </c>
      <c r="K1843">
        <f>_xlfn.XLOOKUP(tbl_analysis_tickets[[#This Row],[priority]],tbl_sla[priority],tbl_sla[Resolution SLA Hours])</f>
        <v>48</v>
      </c>
      <c r="L1843">
        <f>_xlfn.XLOOKUP(tbl_analysis_tickets[[#This Row],[priority]],tbl_sla[priority],tbl_sla[First Response SLA Minutes])</f>
        <v>120</v>
      </c>
      <c r="M1843" t="str">
        <f>IF(tbl_analysis_tickets[[#This Row],[resolution_time_hours]]&gt;tbl_analysis_tickets[[#This Row],[Resolution SLA Hours]],"Breached","Within SLA")</f>
        <v>Within SLA</v>
      </c>
      <c r="N1843" t="str">
        <f>IF(tbl_analysis_tickets[[#This Row],[first_response_minutes]]&gt;tbl_analysis_tickets[[#This Row],[First Response SLA Minutes]],"Breached","Within SLA")</f>
        <v>Breached</v>
      </c>
      <c r="O1843" t="str" cm="1">
        <f t="array" ref="O1843">_xlfn.IFS(
tbl_analysis_tickets[[#This Row],[agent_experience_years]]&lt;=2,"Junior",
tbl_analysis_tickets[[#This Row],[agent_experience_years]]&lt;=5,"Mid-Level",
tbl_analysis_tickets[[#This Row],[agent_experience_years]]&lt;=8,"Senior",
tbl_analysis_tickets[[#This Row],[agent_experience_years]]&gt;8,"Expert"
)</f>
        <v>Expert</v>
      </c>
      <c r="P1843" cm="1">
        <f t="array" ref="P1843">_xlfn.SWITCH(tbl_analysis_tickets[[#This Row],[customer_satisfaction]],
"Low",1,
"Medium",2,
"High",3
)</f>
        <v>2</v>
      </c>
      <c r="Q1843">
        <f>IF(tbl_analysis_tickets[[#This Row],[reopened]]="Yes",1,0)</f>
        <v>0</v>
      </c>
      <c r="R1843" t="str" cm="1">
        <f t="array" ref="R1843">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843" t="str" cm="1">
        <f t="array" ref="S184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843" t="str">
        <f>TEXT(tbl_analysis_tickets[[#This Row],[created_date]],"mmm-yyyy")</f>
        <v>Mar-2024</v>
      </c>
      <c r="U1843" t="str">
        <f>TEXT(tbl_analysis_tickets[[#This Row],[created_date]],"dddd")</f>
        <v>Friday</v>
      </c>
      <c r="V1843" cm="1">
        <f t="array" ref="V1843">_xlfn.SWITCH(tbl_analysis_tickets[[#This Row],[priority]],
"Urgent",1,
"High",2,
"Medium",3,
"Low",4
)</f>
        <v>3</v>
      </c>
    </row>
    <row r="1844" spans="1:22" x14ac:dyDescent="0.25">
      <c r="A1844">
        <v>1843</v>
      </c>
      <c r="B1844" s="1">
        <v>45424</v>
      </c>
      <c r="C1844" t="s">
        <v>22</v>
      </c>
      <c r="D1844" t="s">
        <v>15</v>
      </c>
      <c r="E1844">
        <v>50</v>
      </c>
      <c r="F1844">
        <v>7</v>
      </c>
      <c r="G1844">
        <v>9.1</v>
      </c>
      <c r="H1844" t="s">
        <v>12</v>
      </c>
      <c r="I1844" t="s">
        <v>16</v>
      </c>
      <c r="J1844" t="s">
        <v>11</v>
      </c>
      <c r="K1844">
        <f>_xlfn.XLOOKUP(tbl_analysis_tickets[[#This Row],[priority]],tbl_sla[priority],tbl_sla[Resolution SLA Hours])</f>
        <v>48</v>
      </c>
      <c r="L1844">
        <f>_xlfn.XLOOKUP(tbl_analysis_tickets[[#This Row],[priority]],tbl_sla[priority],tbl_sla[First Response SLA Minutes])</f>
        <v>120</v>
      </c>
      <c r="M1844" t="str">
        <f>IF(tbl_analysis_tickets[[#This Row],[resolution_time_hours]]&gt;tbl_analysis_tickets[[#This Row],[Resolution SLA Hours]],"Breached","Within SLA")</f>
        <v>Within SLA</v>
      </c>
      <c r="N1844" t="str">
        <f>IF(tbl_analysis_tickets[[#This Row],[first_response_minutes]]&gt;tbl_analysis_tickets[[#This Row],[First Response SLA Minutes]],"Breached","Within SLA")</f>
        <v>Within SLA</v>
      </c>
      <c r="O1844" t="str" cm="1">
        <f t="array" ref="O1844">_xlfn.IFS(
tbl_analysis_tickets[[#This Row],[agent_experience_years]]&lt;=2,"Junior",
tbl_analysis_tickets[[#This Row],[agent_experience_years]]&lt;=5,"Mid-Level",
tbl_analysis_tickets[[#This Row],[agent_experience_years]]&lt;=8,"Senior",
tbl_analysis_tickets[[#This Row],[agent_experience_years]]&gt;8,"Expert"
)</f>
        <v>Expert</v>
      </c>
      <c r="P1844" cm="1">
        <f t="array" ref="P1844">_xlfn.SWITCH(tbl_analysis_tickets[[#This Row],[customer_satisfaction]],
"Low",1,
"Medium",2,
"High",3
)</f>
        <v>1</v>
      </c>
      <c r="Q1844">
        <f>IF(tbl_analysis_tickets[[#This Row],[reopened]]="Yes",1,0)</f>
        <v>1</v>
      </c>
      <c r="R1844" t="str" cm="1">
        <f t="array" ref="R1844">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844" t="str" cm="1">
        <f t="array" ref="S184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1844" t="str">
        <f>TEXT(tbl_analysis_tickets[[#This Row],[created_date]],"mmm-yyyy")</f>
        <v>May-2024</v>
      </c>
      <c r="U1844" t="str">
        <f>TEXT(tbl_analysis_tickets[[#This Row],[created_date]],"dddd")</f>
        <v>Sunday</v>
      </c>
      <c r="V1844" cm="1">
        <f t="array" ref="V1844">_xlfn.SWITCH(tbl_analysis_tickets[[#This Row],[priority]],
"Urgent",1,
"High",2,
"Medium",3,
"Low",4
)</f>
        <v>3</v>
      </c>
    </row>
    <row r="1845" spans="1:22" x14ac:dyDescent="0.25">
      <c r="A1845">
        <v>1844</v>
      </c>
      <c r="B1845" s="1">
        <v>45634</v>
      </c>
      <c r="C1845" t="s">
        <v>21</v>
      </c>
      <c r="D1845" t="s">
        <v>17</v>
      </c>
      <c r="E1845">
        <v>154</v>
      </c>
      <c r="F1845">
        <v>70</v>
      </c>
      <c r="G1845">
        <v>2.5</v>
      </c>
      <c r="H1845" t="s">
        <v>18</v>
      </c>
      <c r="I1845" t="s">
        <v>13</v>
      </c>
      <c r="J1845" t="s">
        <v>11</v>
      </c>
      <c r="K1845">
        <f>_xlfn.XLOOKUP(tbl_analysis_tickets[[#This Row],[priority]],tbl_sla[priority],tbl_sla[Resolution SLA Hours])</f>
        <v>8</v>
      </c>
      <c r="L1845">
        <f>_xlfn.XLOOKUP(tbl_analysis_tickets[[#This Row],[priority]],tbl_sla[priority],tbl_sla[First Response SLA Minutes])</f>
        <v>30</v>
      </c>
      <c r="M1845" t="str">
        <f>IF(tbl_analysis_tickets[[#This Row],[resolution_time_hours]]&gt;tbl_analysis_tickets[[#This Row],[Resolution SLA Hours]],"Breached","Within SLA")</f>
        <v>Breached</v>
      </c>
      <c r="N1845" t="str">
        <f>IF(tbl_analysis_tickets[[#This Row],[first_response_minutes]]&gt;tbl_analysis_tickets[[#This Row],[First Response SLA Minutes]],"Breached","Within SLA")</f>
        <v>Breached</v>
      </c>
      <c r="O1845" t="str" cm="1">
        <f t="array" ref="O1845">_xlfn.IFS(
tbl_analysis_tickets[[#This Row],[agent_experience_years]]&lt;=2,"Junior",
tbl_analysis_tickets[[#This Row],[agent_experience_years]]&lt;=5,"Mid-Level",
tbl_analysis_tickets[[#This Row],[agent_experience_years]]&lt;=8,"Senior",
tbl_analysis_tickets[[#This Row],[agent_experience_years]]&gt;8,"Expert"
)</f>
        <v>Mid-Level</v>
      </c>
      <c r="P1845" cm="1">
        <f t="array" ref="P1845">_xlfn.SWITCH(tbl_analysis_tickets[[#This Row],[customer_satisfaction]],
"Low",1,
"Medium",2,
"High",3
)</f>
        <v>1</v>
      </c>
      <c r="Q1845">
        <f>IF(tbl_analysis_tickets[[#This Row],[reopened]]="Yes",1,0)</f>
        <v>0</v>
      </c>
      <c r="R1845" t="str" cm="1">
        <f t="array" ref="R1845">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845" t="str" cm="1">
        <f t="array" ref="S184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845" t="str">
        <f>TEXT(tbl_analysis_tickets[[#This Row],[created_date]],"mmm-yyyy")</f>
        <v>Dec-2024</v>
      </c>
      <c r="U1845" t="str">
        <f>TEXT(tbl_analysis_tickets[[#This Row],[created_date]],"dddd")</f>
        <v>Sunday</v>
      </c>
      <c r="V1845" cm="1">
        <f t="array" ref="V1845">_xlfn.SWITCH(tbl_analysis_tickets[[#This Row],[priority]],
"Urgent",1,
"High",2,
"Medium",3,
"Low",4
)</f>
        <v>1</v>
      </c>
    </row>
    <row r="1846" spans="1:22" x14ac:dyDescent="0.25">
      <c r="A1846">
        <v>1845</v>
      </c>
      <c r="B1846" s="1">
        <v>45414</v>
      </c>
      <c r="C1846" t="s">
        <v>14</v>
      </c>
      <c r="D1846" t="s">
        <v>17</v>
      </c>
      <c r="E1846">
        <v>220</v>
      </c>
      <c r="F1846">
        <v>54</v>
      </c>
      <c r="G1846">
        <v>7.9</v>
      </c>
      <c r="H1846" t="s">
        <v>12</v>
      </c>
      <c r="I1846" t="s">
        <v>19</v>
      </c>
      <c r="J1846" t="s">
        <v>11</v>
      </c>
      <c r="K1846">
        <f>_xlfn.XLOOKUP(tbl_analysis_tickets[[#This Row],[priority]],tbl_sla[priority],tbl_sla[Resolution SLA Hours])</f>
        <v>8</v>
      </c>
      <c r="L1846">
        <f>_xlfn.XLOOKUP(tbl_analysis_tickets[[#This Row],[priority]],tbl_sla[priority],tbl_sla[First Response SLA Minutes])</f>
        <v>30</v>
      </c>
      <c r="M1846" t="str">
        <f>IF(tbl_analysis_tickets[[#This Row],[resolution_time_hours]]&gt;tbl_analysis_tickets[[#This Row],[Resolution SLA Hours]],"Breached","Within SLA")</f>
        <v>Breached</v>
      </c>
      <c r="N1846" t="str">
        <f>IF(tbl_analysis_tickets[[#This Row],[first_response_minutes]]&gt;tbl_analysis_tickets[[#This Row],[First Response SLA Minutes]],"Breached","Within SLA")</f>
        <v>Breached</v>
      </c>
      <c r="O1846" t="str" cm="1">
        <f t="array" ref="O1846">_xlfn.IFS(
tbl_analysis_tickets[[#This Row],[agent_experience_years]]&lt;=2,"Junior",
tbl_analysis_tickets[[#This Row],[agent_experience_years]]&lt;=5,"Mid-Level",
tbl_analysis_tickets[[#This Row],[agent_experience_years]]&lt;=8,"Senior",
tbl_analysis_tickets[[#This Row],[agent_experience_years]]&gt;8,"Expert"
)</f>
        <v>Senior</v>
      </c>
      <c r="P1846" cm="1">
        <f t="array" ref="P1846">_xlfn.SWITCH(tbl_analysis_tickets[[#This Row],[customer_satisfaction]],
"Low",1,
"Medium",2,
"High",3
)</f>
        <v>1</v>
      </c>
      <c r="Q1846">
        <f>IF(tbl_analysis_tickets[[#This Row],[reopened]]="Yes",1,0)</f>
        <v>1</v>
      </c>
      <c r="R1846" t="str" cm="1">
        <f t="array" ref="R1846">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846" t="str" cm="1">
        <f t="array" ref="S184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846" t="str">
        <f>TEXT(tbl_analysis_tickets[[#This Row],[created_date]],"mmm-yyyy")</f>
        <v>May-2024</v>
      </c>
      <c r="U1846" t="str">
        <f>TEXT(tbl_analysis_tickets[[#This Row],[created_date]],"dddd")</f>
        <v>Thursday</v>
      </c>
      <c r="V1846" cm="1">
        <f t="array" ref="V1846">_xlfn.SWITCH(tbl_analysis_tickets[[#This Row],[priority]],
"Urgent",1,
"High",2,
"Medium",3,
"Low",4
)</f>
        <v>1</v>
      </c>
    </row>
    <row r="1847" spans="1:22" x14ac:dyDescent="0.25">
      <c r="A1847">
        <v>1846</v>
      </c>
      <c r="B1847" s="1">
        <v>45322</v>
      </c>
      <c r="C1847" t="s">
        <v>14</v>
      </c>
      <c r="D1847" t="s">
        <v>17</v>
      </c>
      <c r="E1847">
        <v>89</v>
      </c>
      <c r="F1847">
        <v>18</v>
      </c>
      <c r="G1847">
        <v>5.6</v>
      </c>
      <c r="H1847" t="s">
        <v>12</v>
      </c>
      <c r="I1847" t="s">
        <v>13</v>
      </c>
      <c r="J1847" t="s">
        <v>11</v>
      </c>
      <c r="K1847">
        <f>_xlfn.XLOOKUP(tbl_analysis_tickets[[#This Row],[priority]],tbl_sla[priority],tbl_sla[Resolution SLA Hours])</f>
        <v>8</v>
      </c>
      <c r="L1847">
        <f>_xlfn.XLOOKUP(tbl_analysis_tickets[[#This Row],[priority]],tbl_sla[priority],tbl_sla[First Response SLA Minutes])</f>
        <v>30</v>
      </c>
      <c r="M1847" t="str">
        <f>IF(tbl_analysis_tickets[[#This Row],[resolution_time_hours]]&gt;tbl_analysis_tickets[[#This Row],[Resolution SLA Hours]],"Breached","Within SLA")</f>
        <v>Breached</v>
      </c>
      <c r="N1847" t="str">
        <f>IF(tbl_analysis_tickets[[#This Row],[first_response_minutes]]&gt;tbl_analysis_tickets[[#This Row],[First Response SLA Minutes]],"Breached","Within SLA")</f>
        <v>Breached</v>
      </c>
      <c r="O1847" t="str" cm="1">
        <f t="array" ref="O1847">_xlfn.IFS(
tbl_analysis_tickets[[#This Row],[agent_experience_years]]&lt;=2,"Junior",
tbl_analysis_tickets[[#This Row],[agent_experience_years]]&lt;=5,"Mid-Level",
tbl_analysis_tickets[[#This Row],[agent_experience_years]]&lt;=8,"Senior",
tbl_analysis_tickets[[#This Row],[agent_experience_years]]&gt;8,"Expert"
)</f>
        <v>Senior</v>
      </c>
      <c r="P1847" cm="1">
        <f t="array" ref="P1847">_xlfn.SWITCH(tbl_analysis_tickets[[#This Row],[customer_satisfaction]],
"Low",1,
"Medium",2,
"High",3
)</f>
        <v>1</v>
      </c>
      <c r="Q1847">
        <f>IF(tbl_analysis_tickets[[#This Row],[reopened]]="Yes",1,0)</f>
        <v>1</v>
      </c>
      <c r="R1847" t="str" cm="1">
        <f t="array" ref="R1847">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847" t="str" cm="1">
        <f t="array" ref="S184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847" t="str">
        <f>TEXT(tbl_analysis_tickets[[#This Row],[created_date]],"mmm-yyyy")</f>
        <v>Jan-2024</v>
      </c>
      <c r="U1847" t="str">
        <f>TEXT(tbl_analysis_tickets[[#This Row],[created_date]],"dddd")</f>
        <v>Wednesday</v>
      </c>
      <c r="V1847" cm="1">
        <f t="array" ref="V1847">_xlfn.SWITCH(tbl_analysis_tickets[[#This Row],[priority]],
"Urgent",1,
"High",2,
"Medium",3,
"Low",4
)</f>
        <v>1</v>
      </c>
    </row>
    <row r="1848" spans="1:22" x14ac:dyDescent="0.25">
      <c r="A1848">
        <v>1847</v>
      </c>
      <c r="B1848" s="1">
        <v>45372</v>
      </c>
      <c r="C1848" t="s">
        <v>23</v>
      </c>
      <c r="D1848" t="s">
        <v>17</v>
      </c>
      <c r="E1848">
        <v>97</v>
      </c>
      <c r="F1848">
        <v>14</v>
      </c>
      <c r="G1848">
        <v>5.2</v>
      </c>
      <c r="H1848" t="s">
        <v>12</v>
      </c>
      <c r="I1848" t="s">
        <v>13</v>
      </c>
      <c r="J1848" t="s">
        <v>11</v>
      </c>
      <c r="K1848">
        <f>_xlfn.XLOOKUP(tbl_analysis_tickets[[#This Row],[priority]],tbl_sla[priority],tbl_sla[Resolution SLA Hours])</f>
        <v>8</v>
      </c>
      <c r="L1848">
        <f>_xlfn.XLOOKUP(tbl_analysis_tickets[[#This Row],[priority]],tbl_sla[priority],tbl_sla[First Response SLA Minutes])</f>
        <v>30</v>
      </c>
      <c r="M1848" t="str">
        <f>IF(tbl_analysis_tickets[[#This Row],[resolution_time_hours]]&gt;tbl_analysis_tickets[[#This Row],[Resolution SLA Hours]],"Breached","Within SLA")</f>
        <v>Breached</v>
      </c>
      <c r="N1848" t="str">
        <f>IF(tbl_analysis_tickets[[#This Row],[first_response_minutes]]&gt;tbl_analysis_tickets[[#This Row],[First Response SLA Minutes]],"Breached","Within SLA")</f>
        <v>Breached</v>
      </c>
      <c r="O1848" t="str" cm="1">
        <f t="array" ref="O1848">_xlfn.IFS(
tbl_analysis_tickets[[#This Row],[agent_experience_years]]&lt;=2,"Junior",
tbl_analysis_tickets[[#This Row],[agent_experience_years]]&lt;=5,"Mid-Level",
tbl_analysis_tickets[[#This Row],[agent_experience_years]]&lt;=8,"Senior",
tbl_analysis_tickets[[#This Row],[agent_experience_years]]&gt;8,"Expert"
)</f>
        <v>Senior</v>
      </c>
      <c r="P1848" cm="1">
        <f t="array" ref="P1848">_xlfn.SWITCH(tbl_analysis_tickets[[#This Row],[customer_satisfaction]],
"Low",1,
"Medium",2,
"High",3
)</f>
        <v>1</v>
      </c>
      <c r="Q1848">
        <f>IF(tbl_analysis_tickets[[#This Row],[reopened]]="Yes",1,0)</f>
        <v>1</v>
      </c>
      <c r="R1848" t="str" cm="1">
        <f t="array" ref="R1848">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848" t="str" cm="1">
        <f t="array" ref="S184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848" t="str">
        <f>TEXT(tbl_analysis_tickets[[#This Row],[created_date]],"mmm-yyyy")</f>
        <v>Mar-2024</v>
      </c>
      <c r="U1848" t="str">
        <f>TEXT(tbl_analysis_tickets[[#This Row],[created_date]],"dddd")</f>
        <v>Thursday</v>
      </c>
      <c r="V1848" cm="1">
        <f t="array" ref="V1848">_xlfn.SWITCH(tbl_analysis_tickets[[#This Row],[priority]],
"Urgent",1,
"High",2,
"Medium",3,
"Low",4
)</f>
        <v>1</v>
      </c>
    </row>
    <row r="1849" spans="1:22" x14ac:dyDescent="0.25">
      <c r="A1849">
        <v>1848</v>
      </c>
      <c r="B1849" s="1">
        <v>45406</v>
      </c>
      <c r="C1849" t="s">
        <v>23</v>
      </c>
      <c r="D1849" t="s">
        <v>11</v>
      </c>
      <c r="E1849">
        <v>8</v>
      </c>
      <c r="F1849">
        <v>11</v>
      </c>
      <c r="G1849">
        <v>2.2999999999999998</v>
      </c>
      <c r="H1849" t="s">
        <v>12</v>
      </c>
      <c r="I1849" t="s">
        <v>13</v>
      </c>
      <c r="J1849" t="s">
        <v>15</v>
      </c>
      <c r="K1849">
        <f>_xlfn.XLOOKUP(tbl_analysis_tickets[[#This Row],[priority]],tbl_sla[priority],tbl_sla[Resolution SLA Hours])</f>
        <v>72</v>
      </c>
      <c r="L1849">
        <f>_xlfn.XLOOKUP(tbl_analysis_tickets[[#This Row],[priority]],tbl_sla[priority],tbl_sla[First Response SLA Minutes])</f>
        <v>240</v>
      </c>
      <c r="M1849" t="str">
        <f>IF(tbl_analysis_tickets[[#This Row],[resolution_time_hours]]&gt;tbl_analysis_tickets[[#This Row],[Resolution SLA Hours]],"Breached","Within SLA")</f>
        <v>Within SLA</v>
      </c>
      <c r="N1849" t="str">
        <f>IF(tbl_analysis_tickets[[#This Row],[first_response_minutes]]&gt;tbl_analysis_tickets[[#This Row],[First Response SLA Minutes]],"Breached","Within SLA")</f>
        <v>Within SLA</v>
      </c>
      <c r="O1849" t="str" cm="1">
        <f t="array" ref="O1849">_xlfn.IFS(
tbl_analysis_tickets[[#This Row],[agent_experience_years]]&lt;=2,"Junior",
tbl_analysis_tickets[[#This Row],[agent_experience_years]]&lt;=5,"Mid-Level",
tbl_analysis_tickets[[#This Row],[agent_experience_years]]&lt;=8,"Senior",
tbl_analysis_tickets[[#This Row],[agent_experience_years]]&gt;8,"Expert"
)</f>
        <v>Mid-Level</v>
      </c>
      <c r="P1849" cm="1">
        <f t="array" ref="P1849">_xlfn.SWITCH(tbl_analysis_tickets[[#This Row],[customer_satisfaction]],
"Low",1,
"Medium",2,
"High",3
)</f>
        <v>2</v>
      </c>
      <c r="Q1849">
        <f>IF(tbl_analysis_tickets[[#This Row],[reopened]]="Yes",1,0)</f>
        <v>1</v>
      </c>
      <c r="R1849" t="str" cm="1">
        <f t="array" ref="R1849">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1849" t="str" cm="1">
        <f t="array" ref="S184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849" t="str">
        <f>TEXT(tbl_analysis_tickets[[#This Row],[created_date]],"mmm-yyyy")</f>
        <v>Apr-2024</v>
      </c>
      <c r="U1849" t="str">
        <f>TEXT(tbl_analysis_tickets[[#This Row],[created_date]],"dddd")</f>
        <v>Wednesday</v>
      </c>
      <c r="V1849" cm="1">
        <f t="array" ref="V1849">_xlfn.SWITCH(tbl_analysis_tickets[[#This Row],[priority]],
"Urgent",1,
"High",2,
"Medium",3,
"Low",4
)</f>
        <v>4</v>
      </c>
    </row>
    <row r="1850" spans="1:22" x14ac:dyDescent="0.25">
      <c r="A1850">
        <v>1849</v>
      </c>
      <c r="B1850" s="1">
        <v>45514</v>
      </c>
      <c r="C1850" t="s">
        <v>22</v>
      </c>
      <c r="D1850" t="s">
        <v>20</v>
      </c>
      <c r="E1850">
        <v>178</v>
      </c>
      <c r="F1850">
        <v>66</v>
      </c>
      <c r="G1850">
        <v>7.4</v>
      </c>
      <c r="H1850" t="s">
        <v>18</v>
      </c>
      <c r="I1850" t="s">
        <v>19</v>
      </c>
      <c r="J1850" t="s">
        <v>11</v>
      </c>
      <c r="K1850">
        <f>_xlfn.XLOOKUP(tbl_analysis_tickets[[#This Row],[priority]],tbl_sla[priority],tbl_sla[Resolution SLA Hours])</f>
        <v>24</v>
      </c>
      <c r="L1850">
        <f>_xlfn.XLOOKUP(tbl_analysis_tickets[[#This Row],[priority]],tbl_sla[priority],tbl_sla[First Response SLA Minutes])</f>
        <v>60</v>
      </c>
      <c r="M1850" t="str">
        <f>IF(tbl_analysis_tickets[[#This Row],[resolution_time_hours]]&gt;tbl_analysis_tickets[[#This Row],[Resolution SLA Hours]],"Breached","Within SLA")</f>
        <v>Breached</v>
      </c>
      <c r="N1850" t="str">
        <f>IF(tbl_analysis_tickets[[#This Row],[first_response_minutes]]&gt;tbl_analysis_tickets[[#This Row],[First Response SLA Minutes]],"Breached","Within SLA")</f>
        <v>Breached</v>
      </c>
      <c r="O1850" t="str" cm="1">
        <f t="array" ref="O1850">_xlfn.IFS(
tbl_analysis_tickets[[#This Row],[agent_experience_years]]&lt;=2,"Junior",
tbl_analysis_tickets[[#This Row],[agent_experience_years]]&lt;=5,"Mid-Level",
tbl_analysis_tickets[[#This Row],[agent_experience_years]]&lt;=8,"Senior",
tbl_analysis_tickets[[#This Row],[agent_experience_years]]&gt;8,"Expert"
)</f>
        <v>Senior</v>
      </c>
      <c r="P1850" cm="1">
        <f t="array" ref="P1850">_xlfn.SWITCH(tbl_analysis_tickets[[#This Row],[customer_satisfaction]],
"Low",1,
"Medium",2,
"High",3
)</f>
        <v>1</v>
      </c>
      <c r="Q1850">
        <f>IF(tbl_analysis_tickets[[#This Row],[reopened]]="Yes",1,0)</f>
        <v>0</v>
      </c>
      <c r="R1850" t="str" cm="1">
        <f t="array" ref="R1850">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850" t="str" cm="1">
        <f t="array" ref="S185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850" t="str">
        <f>TEXT(tbl_analysis_tickets[[#This Row],[created_date]],"mmm-yyyy")</f>
        <v>Aug-2024</v>
      </c>
      <c r="U1850" t="str">
        <f>TEXT(tbl_analysis_tickets[[#This Row],[created_date]],"dddd")</f>
        <v>Saturday</v>
      </c>
      <c r="V1850" cm="1">
        <f t="array" ref="V1850">_xlfn.SWITCH(tbl_analysis_tickets[[#This Row],[priority]],
"Urgent",1,
"High",2,
"Medium",3,
"Low",4
)</f>
        <v>2</v>
      </c>
    </row>
    <row r="1851" spans="1:22" x14ac:dyDescent="0.25">
      <c r="A1851">
        <v>1850</v>
      </c>
      <c r="B1851" s="1">
        <v>45497</v>
      </c>
      <c r="C1851" t="s">
        <v>21</v>
      </c>
      <c r="D1851" t="s">
        <v>11</v>
      </c>
      <c r="E1851">
        <v>27</v>
      </c>
      <c r="F1851">
        <v>71</v>
      </c>
      <c r="G1851">
        <v>0.7</v>
      </c>
      <c r="H1851" t="s">
        <v>12</v>
      </c>
      <c r="I1851" t="s">
        <v>13</v>
      </c>
      <c r="J1851" t="s">
        <v>15</v>
      </c>
      <c r="K1851">
        <f>_xlfn.XLOOKUP(tbl_analysis_tickets[[#This Row],[priority]],tbl_sla[priority],tbl_sla[Resolution SLA Hours])</f>
        <v>72</v>
      </c>
      <c r="L1851">
        <f>_xlfn.XLOOKUP(tbl_analysis_tickets[[#This Row],[priority]],tbl_sla[priority],tbl_sla[First Response SLA Minutes])</f>
        <v>240</v>
      </c>
      <c r="M1851" t="str">
        <f>IF(tbl_analysis_tickets[[#This Row],[resolution_time_hours]]&gt;tbl_analysis_tickets[[#This Row],[Resolution SLA Hours]],"Breached","Within SLA")</f>
        <v>Within SLA</v>
      </c>
      <c r="N1851" t="str">
        <f>IF(tbl_analysis_tickets[[#This Row],[first_response_minutes]]&gt;tbl_analysis_tickets[[#This Row],[First Response SLA Minutes]],"Breached","Within SLA")</f>
        <v>Within SLA</v>
      </c>
      <c r="O1851" t="str" cm="1">
        <f t="array" ref="O1851">_xlfn.IFS(
tbl_analysis_tickets[[#This Row],[agent_experience_years]]&lt;=2,"Junior",
tbl_analysis_tickets[[#This Row],[agent_experience_years]]&lt;=5,"Mid-Level",
tbl_analysis_tickets[[#This Row],[agent_experience_years]]&lt;=8,"Senior",
tbl_analysis_tickets[[#This Row],[agent_experience_years]]&gt;8,"Expert"
)</f>
        <v>Junior</v>
      </c>
      <c r="P1851" cm="1">
        <f t="array" ref="P1851">_xlfn.SWITCH(tbl_analysis_tickets[[#This Row],[customer_satisfaction]],
"Low",1,
"Medium",2,
"High",3
)</f>
        <v>2</v>
      </c>
      <c r="Q1851">
        <f>IF(tbl_analysis_tickets[[#This Row],[reopened]]="Yes",1,0)</f>
        <v>1</v>
      </c>
      <c r="R1851" t="str" cm="1">
        <f t="array" ref="R1851">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1851" t="str" cm="1">
        <f t="array" ref="S185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851" t="str">
        <f>TEXT(tbl_analysis_tickets[[#This Row],[created_date]],"mmm-yyyy")</f>
        <v>Jul-2024</v>
      </c>
      <c r="U1851" t="str">
        <f>TEXT(tbl_analysis_tickets[[#This Row],[created_date]],"dddd")</f>
        <v>Wednesday</v>
      </c>
      <c r="V1851" cm="1">
        <f t="array" ref="V1851">_xlfn.SWITCH(tbl_analysis_tickets[[#This Row],[priority]],
"Urgent",1,
"High",2,
"Medium",3,
"Low",4
)</f>
        <v>4</v>
      </c>
    </row>
    <row r="1852" spans="1:22" x14ac:dyDescent="0.25">
      <c r="A1852">
        <v>1851</v>
      </c>
      <c r="B1852" s="1">
        <v>45627</v>
      </c>
      <c r="C1852" t="s">
        <v>10</v>
      </c>
      <c r="D1852" t="s">
        <v>11</v>
      </c>
      <c r="E1852">
        <v>213</v>
      </c>
      <c r="F1852">
        <v>53</v>
      </c>
      <c r="G1852">
        <v>0.6</v>
      </c>
      <c r="H1852" t="s">
        <v>12</v>
      </c>
      <c r="I1852" t="s">
        <v>16</v>
      </c>
      <c r="J1852" t="s">
        <v>11</v>
      </c>
      <c r="K1852">
        <f>_xlfn.XLOOKUP(tbl_analysis_tickets[[#This Row],[priority]],tbl_sla[priority],tbl_sla[Resolution SLA Hours])</f>
        <v>72</v>
      </c>
      <c r="L1852">
        <f>_xlfn.XLOOKUP(tbl_analysis_tickets[[#This Row],[priority]],tbl_sla[priority],tbl_sla[First Response SLA Minutes])</f>
        <v>240</v>
      </c>
      <c r="M1852" t="str">
        <f>IF(tbl_analysis_tickets[[#This Row],[resolution_time_hours]]&gt;tbl_analysis_tickets[[#This Row],[Resolution SLA Hours]],"Breached","Within SLA")</f>
        <v>Within SLA</v>
      </c>
      <c r="N1852" t="str">
        <f>IF(tbl_analysis_tickets[[#This Row],[first_response_minutes]]&gt;tbl_analysis_tickets[[#This Row],[First Response SLA Minutes]],"Breached","Within SLA")</f>
        <v>Within SLA</v>
      </c>
      <c r="O1852" t="str" cm="1">
        <f t="array" ref="O1852">_xlfn.IFS(
tbl_analysis_tickets[[#This Row],[agent_experience_years]]&lt;=2,"Junior",
tbl_analysis_tickets[[#This Row],[agent_experience_years]]&lt;=5,"Mid-Level",
tbl_analysis_tickets[[#This Row],[agent_experience_years]]&lt;=8,"Senior",
tbl_analysis_tickets[[#This Row],[agent_experience_years]]&gt;8,"Expert"
)</f>
        <v>Junior</v>
      </c>
      <c r="P1852" cm="1">
        <f t="array" ref="P1852">_xlfn.SWITCH(tbl_analysis_tickets[[#This Row],[customer_satisfaction]],
"Low",1,
"Medium",2,
"High",3
)</f>
        <v>1</v>
      </c>
      <c r="Q1852">
        <f>IF(tbl_analysis_tickets[[#This Row],[reopened]]="Yes",1,0)</f>
        <v>1</v>
      </c>
      <c r="R1852" t="str" cm="1">
        <f t="array" ref="R1852">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852" t="str" cm="1">
        <f t="array" ref="S185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852" t="str">
        <f>TEXT(tbl_analysis_tickets[[#This Row],[created_date]],"mmm-yyyy")</f>
        <v>Dec-2024</v>
      </c>
      <c r="U1852" t="str">
        <f>TEXT(tbl_analysis_tickets[[#This Row],[created_date]],"dddd")</f>
        <v>Sunday</v>
      </c>
      <c r="V1852" cm="1">
        <f t="array" ref="V1852">_xlfn.SWITCH(tbl_analysis_tickets[[#This Row],[priority]],
"Urgent",1,
"High",2,
"Medium",3,
"Low",4
)</f>
        <v>4</v>
      </c>
    </row>
    <row r="1853" spans="1:22" x14ac:dyDescent="0.25">
      <c r="A1853">
        <v>1852</v>
      </c>
      <c r="B1853" s="1">
        <v>45496</v>
      </c>
      <c r="C1853" t="s">
        <v>23</v>
      </c>
      <c r="D1853" t="s">
        <v>11</v>
      </c>
      <c r="E1853">
        <v>229</v>
      </c>
      <c r="F1853">
        <v>68</v>
      </c>
      <c r="G1853">
        <v>3.9</v>
      </c>
      <c r="H1853" t="s">
        <v>12</v>
      </c>
      <c r="I1853" t="s">
        <v>19</v>
      </c>
      <c r="J1853" t="s">
        <v>11</v>
      </c>
      <c r="K1853">
        <f>_xlfn.XLOOKUP(tbl_analysis_tickets[[#This Row],[priority]],tbl_sla[priority],tbl_sla[Resolution SLA Hours])</f>
        <v>72</v>
      </c>
      <c r="L1853">
        <f>_xlfn.XLOOKUP(tbl_analysis_tickets[[#This Row],[priority]],tbl_sla[priority],tbl_sla[First Response SLA Minutes])</f>
        <v>240</v>
      </c>
      <c r="M1853" t="str">
        <f>IF(tbl_analysis_tickets[[#This Row],[resolution_time_hours]]&gt;tbl_analysis_tickets[[#This Row],[Resolution SLA Hours]],"Breached","Within SLA")</f>
        <v>Within SLA</v>
      </c>
      <c r="N1853" t="str">
        <f>IF(tbl_analysis_tickets[[#This Row],[first_response_minutes]]&gt;tbl_analysis_tickets[[#This Row],[First Response SLA Minutes]],"Breached","Within SLA")</f>
        <v>Within SLA</v>
      </c>
      <c r="O1853" t="str" cm="1">
        <f t="array" ref="O1853">_xlfn.IFS(
tbl_analysis_tickets[[#This Row],[agent_experience_years]]&lt;=2,"Junior",
tbl_analysis_tickets[[#This Row],[agent_experience_years]]&lt;=5,"Mid-Level",
tbl_analysis_tickets[[#This Row],[agent_experience_years]]&lt;=8,"Senior",
tbl_analysis_tickets[[#This Row],[agent_experience_years]]&gt;8,"Expert"
)</f>
        <v>Mid-Level</v>
      </c>
      <c r="P1853" cm="1">
        <f t="array" ref="P1853">_xlfn.SWITCH(tbl_analysis_tickets[[#This Row],[customer_satisfaction]],
"Low",1,
"Medium",2,
"High",3
)</f>
        <v>1</v>
      </c>
      <c r="Q1853">
        <f>IF(tbl_analysis_tickets[[#This Row],[reopened]]="Yes",1,0)</f>
        <v>1</v>
      </c>
      <c r="R1853" t="str" cm="1">
        <f t="array" ref="R1853">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853" t="str" cm="1">
        <f t="array" ref="S185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853" t="str">
        <f>TEXT(tbl_analysis_tickets[[#This Row],[created_date]],"mmm-yyyy")</f>
        <v>Jul-2024</v>
      </c>
      <c r="U1853" t="str">
        <f>TEXT(tbl_analysis_tickets[[#This Row],[created_date]],"dddd")</f>
        <v>Tuesday</v>
      </c>
      <c r="V1853" cm="1">
        <f t="array" ref="V1853">_xlfn.SWITCH(tbl_analysis_tickets[[#This Row],[priority]],
"Urgent",1,
"High",2,
"Medium",3,
"Low",4
)</f>
        <v>4</v>
      </c>
    </row>
    <row r="1854" spans="1:22" x14ac:dyDescent="0.25">
      <c r="A1854">
        <v>1853</v>
      </c>
      <c r="B1854" s="1">
        <v>45596</v>
      </c>
      <c r="C1854" t="s">
        <v>22</v>
      </c>
      <c r="D1854" t="s">
        <v>11</v>
      </c>
      <c r="E1854">
        <v>210</v>
      </c>
      <c r="F1854">
        <v>34</v>
      </c>
      <c r="G1854">
        <v>0.7</v>
      </c>
      <c r="H1854" t="s">
        <v>12</v>
      </c>
      <c r="I1854" t="s">
        <v>13</v>
      </c>
      <c r="J1854" t="s">
        <v>11</v>
      </c>
      <c r="K1854">
        <f>_xlfn.XLOOKUP(tbl_analysis_tickets[[#This Row],[priority]],tbl_sla[priority],tbl_sla[Resolution SLA Hours])</f>
        <v>72</v>
      </c>
      <c r="L1854">
        <f>_xlfn.XLOOKUP(tbl_analysis_tickets[[#This Row],[priority]],tbl_sla[priority],tbl_sla[First Response SLA Minutes])</f>
        <v>240</v>
      </c>
      <c r="M1854" t="str">
        <f>IF(tbl_analysis_tickets[[#This Row],[resolution_time_hours]]&gt;tbl_analysis_tickets[[#This Row],[Resolution SLA Hours]],"Breached","Within SLA")</f>
        <v>Within SLA</v>
      </c>
      <c r="N1854" t="str">
        <f>IF(tbl_analysis_tickets[[#This Row],[first_response_minutes]]&gt;tbl_analysis_tickets[[#This Row],[First Response SLA Minutes]],"Breached","Within SLA")</f>
        <v>Within SLA</v>
      </c>
      <c r="O1854" t="str" cm="1">
        <f t="array" ref="O1854">_xlfn.IFS(
tbl_analysis_tickets[[#This Row],[agent_experience_years]]&lt;=2,"Junior",
tbl_analysis_tickets[[#This Row],[agent_experience_years]]&lt;=5,"Mid-Level",
tbl_analysis_tickets[[#This Row],[agent_experience_years]]&lt;=8,"Senior",
tbl_analysis_tickets[[#This Row],[agent_experience_years]]&gt;8,"Expert"
)</f>
        <v>Junior</v>
      </c>
      <c r="P1854" cm="1">
        <f t="array" ref="P1854">_xlfn.SWITCH(tbl_analysis_tickets[[#This Row],[customer_satisfaction]],
"Low",1,
"Medium",2,
"High",3
)</f>
        <v>1</v>
      </c>
      <c r="Q1854">
        <f>IF(tbl_analysis_tickets[[#This Row],[reopened]]="Yes",1,0)</f>
        <v>1</v>
      </c>
      <c r="R1854" t="str" cm="1">
        <f t="array" ref="R1854">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854" t="str" cm="1">
        <f t="array" ref="S185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854" t="str">
        <f>TEXT(tbl_analysis_tickets[[#This Row],[created_date]],"mmm-yyyy")</f>
        <v>Oct-2024</v>
      </c>
      <c r="U1854" t="str">
        <f>TEXT(tbl_analysis_tickets[[#This Row],[created_date]],"dddd")</f>
        <v>Thursday</v>
      </c>
      <c r="V1854" cm="1">
        <f t="array" ref="V1854">_xlfn.SWITCH(tbl_analysis_tickets[[#This Row],[priority]],
"Urgent",1,
"High",2,
"Medium",3,
"Low",4
)</f>
        <v>4</v>
      </c>
    </row>
    <row r="1855" spans="1:22" x14ac:dyDescent="0.25">
      <c r="A1855">
        <v>1854</v>
      </c>
      <c r="B1855" s="1">
        <v>45484</v>
      </c>
      <c r="C1855" t="s">
        <v>10</v>
      </c>
      <c r="D1855" t="s">
        <v>15</v>
      </c>
      <c r="E1855">
        <v>199</v>
      </c>
      <c r="F1855">
        <v>26</v>
      </c>
      <c r="G1855">
        <v>7.5</v>
      </c>
      <c r="H1855" t="s">
        <v>12</v>
      </c>
      <c r="I1855" t="s">
        <v>13</v>
      </c>
      <c r="J1855" t="s">
        <v>11</v>
      </c>
      <c r="K1855">
        <f>_xlfn.XLOOKUP(tbl_analysis_tickets[[#This Row],[priority]],tbl_sla[priority],tbl_sla[Resolution SLA Hours])</f>
        <v>48</v>
      </c>
      <c r="L1855">
        <f>_xlfn.XLOOKUP(tbl_analysis_tickets[[#This Row],[priority]],tbl_sla[priority],tbl_sla[First Response SLA Minutes])</f>
        <v>120</v>
      </c>
      <c r="M1855" t="str">
        <f>IF(tbl_analysis_tickets[[#This Row],[resolution_time_hours]]&gt;tbl_analysis_tickets[[#This Row],[Resolution SLA Hours]],"Breached","Within SLA")</f>
        <v>Within SLA</v>
      </c>
      <c r="N1855" t="str">
        <f>IF(tbl_analysis_tickets[[#This Row],[first_response_minutes]]&gt;tbl_analysis_tickets[[#This Row],[First Response SLA Minutes]],"Breached","Within SLA")</f>
        <v>Breached</v>
      </c>
      <c r="O1855" t="str" cm="1">
        <f t="array" ref="O1855">_xlfn.IFS(
tbl_analysis_tickets[[#This Row],[agent_experience_years]]&lt;=2,"Junior",
tbl_analysis_tickets[[#This Row],[agent_experience_years]]&lt;=5,"Mid-Level",
tbl_analysis_tickets[[#This Row],[agent_experience_years]]&lt;=8,"Senior",
tbl_analysis_tickets[[#This Row],[agent_experience_years]]&gt;8,"Expert"
)</f>
        <v>Senior</v>
      </c>
      <c r="P1855" cm="1">
        <f t="array" ref="P1855">_xlfn.SWITCH(tbl_analysis_tickets[[#This Row],[customer_satisfaction]],
"Low",1,
"Medium",2,
"High",3
)</f>
        <v>1</v>
      </c>
      <c r="Q1855">
        <f>IF(tbl_analysis_tickets[[#This Row],[reopened]]="Yes",1,0)</f>
        <v>1</v>
      </c>
      <c r="R1855" t="str" cm="1">
        <f t="array" ref="R1855">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855" t="str" cm="1">
        <f t="array" ref="S185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855" t="str">
        <f>TEXT(tbl_analysis_tickets[[#This Row],[created_date]],"mmm-yyyy")</f>
        <v>Jul-2024</v>
      </c>
      <c r="U1855" t="str">
        <f>TEXT(tbl_analysis_tickets[[#This Row],[created_date]],"dddd")</f>
        <v>Thursday</v>
      </c>
      <c r="V1855" cm="1">
        <f t="array" ref="V1855">_xlfn.SWITCH(tbl_analysis_tickets[[#This Row],[priority]],
"Urgent",1,
"High",2,
"Medium",3,
"Low",4
)</f>
        <v>3</v>
      </c>
    </row>
    <row r="1856" spans="1:22" x14ac:dyDescent="0.25">
      <c r="A1856">
        <v>1855</v>
      </c>
      <c r="B1856" s="1">
        <v>45313</v>
      </c>
      <c r="C1856" t="s">
        <v>22</v>
      </c>
      <c r="D1856" t="s">
        <v>17</v>
      </c>
      <c r="E1856">
        <v>136</v>
      </c>
      <c r="F1856">
        <v>19</v>
      </c>
      <c r="G1856">
        <v>5.4</v>
      </c>
      <c r="H1856" t="s">
        <v>12</v>
      </c>
      <c r="I1856" t="s">
        <v>13</v>
      </c>
      <c r="J1856" t="s">
        <v>11</v>
      </c>
      <c r="K1856">
        <f>_xlfn.XLOOKUP(tbl_analysis_tickets[[#This Row],[priority]],tbl_sla[priority],tbl_sla[Resolution SLA Hours])</f>
        <v>8</v>
      </c>
      <c r="L1856">
        <f>_xlfn.XLOOKUP(tbl_analysis_tickets[[#This Row],[priority]],tbl_sla[priority],tbl_sla[First Response SLA Minutes])</f>
        <v>30</v>
      </c>
      <c r="M1856" t="str">
        <f>IF(tbl_analysis_tickets[[#This Row],[resolution_time_hours]]&gt;tbl_analysis_tickets[[#This Row],[Resolution SLA Hours]],"Breached","Within SLA")</f>
        <v>Breached</v>
      </c>
      <c r="N1856" t="str">
        <f>IF(tbl_analysis_tickets[[#This Row],[first_response_minutes]]&gt;tbl_analysis_tickets[[#This Row],[First Response SLA Minutes]],"Breached","Within SLA")</f>
        <v>Breached</v>
      </c>
      <c r="O1856" t="str" cm="1">
        <f t="array" ref="O1856">_xlfn.IFS(
tbl_analysis_tickets[[#This Row],[agent_experience_years]]&lt;=2,"Junior",
tbl_analysis_tickets[[#This Row],[agent_experience_years]]&lt;=5,"Mid-Level",
tbl_analysis_tickets[[#This Row],[agent_experience_years]]&lt;=8,"Senior",
tbl_analysis_tickets[[#This Row],[agent_experience_years]]&gt;8,"Expert"
)</f>
        <v>Senior</v>
      </c>
      <c r="P1856" cm="1">
        <f t="array" ref="P1856">_xlfn.SWITCH(tbl_analysis_tickets[[#This Row],[customer_satisfaction]],
"Low",1,
"Medium",2,
"High",3
)</f>
        <v>1</v>
      </c>
      <c r="Q1856">
        <f>IF(tbl_analysis_tickets[[#This Row],[reopened]]="Yes",1,0)</f>
        <v>1</v>
      </c>
      <c r="R1856" t="str" cm="1">
        <f t="array" ref="R1856">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856" t="str" cm="1">
        <f t="array" ref="S185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856" t="str">
        <f>TEXT(tbl_analysis_tickets[[#This Row],[created_date]],"mmm-yyyy")</f>
        <v>Jan-2024</v>
      </c>
      <c r="U1856" t="str">
        <f>TEXT(tbl_analysis_tickets[[#This Row],[created_date]],"dddd")</f>
        <v>Monday</v>
      </c>
      <c r="V1856" cm="1">
        <f t="array" ref="V1856">_xlfn.SWITCH(tbl_analysis_tickets[[#This Row],[priority]],
"Urgent",1,
"High",2,
"Medium",3,
"Low",4
)</f>
        <v>1</v>
      </c>
    </row>
    <row r="1857" spans="1:22" x14ac:dyDescent="0.25">
      <c r="A1857">
        <v>1856</v>
      </c>
      <c r="B1857" s="1">
        <v>45652</v>
      </c>
      <c r="C1857" t="s">
        <v>21</v>
      </c>
      <c r="D1857" t="s">
        <v>11</v>
      </c>
      <c r="E1857">
        <v>67</v>
      </c>
      <c r="F1857">
        <v>61</v>
      </c>
      <c r="G1857">
        <v>9.3000000000000007</v>
      </c>
      <c r="H1857" t="s">
        <v>12</v>
      </c>
      <c r="I1857" t="s">
        <v>16</v>
      </c>
      <c r="J1857" t="s">
        <v>11</v>
      </c>
      <c r="K1857">
        <f>_xlfn.XLOOKUP(tbl_analysis_tickets[[#This Row],[priority]],tbl_sla[priority],tbl_sla[Resolution SLA Hours])</f>
        <v>72</v>
      </c>
      <c r="L1857">
        <f>_xlfn.XLOOKUP(tbl_analysis_tickets[[#This Row],[priority]],tbl_sla[priority],tbl_sla[First Response SLA Minutes])</f>
        <v>240</v>
      </c>
      <c r="M1857" t="str">
        <f>IF(tbl_analysis_tickets[[#This Row],[resolution_time_hours]]&gt;tbl_analysis_tickets[[#This Row],[Resolution SLA Hours]],"Breached","Within SLA")</f>
        <v>Within SLA</v>
      </c>
      <c r="N1857" t="str">
        <f>IF(tbl_analysis_tickets[[#This Row],[first_response_minutes]]&gt;tbl_analysis_tickets[[#This Row],[First Response SLA Minutes]],"Breached","Within SLA")</f>
        <v>Within SLA</v>
      </c>
      <c r="O1857" t="str" cm="1">
        <f t="array" ref="O1857">_xlfn.IFS(
tbl_analysis_tickets[[#This Row],[agent_experience_years]]&lt;=2,"Junior",
tbl_analysis_tickets[[#This Row],[agent_experience_years]]&lt;=5,"Mid-Level",
tbl_analysis_tickets[[#This Row],[agent_experience_years]]&lt;=8,"Senior",
tbl_analysis_tickets[[#This Row],[agent_experience_years]]&gt;8,"Expert"
)</f>
        <v>Expert</v>
      </c>
      <c r="P1857" cm="1">
        <f t="array" ref="P1857">_xlfn.SWITCH(tbl_analysis_tickets[[#This Row],[customer_satisfaction]],
"Low",1,
"Medium",2,
"High",3
)</f>
        <v>1</v>
      </c>
      <c r="Q1857">
        <f>IF(tbl_analysis_tickets[[#This Row],[reopened]]="Yes",1,0)</f>
        <v>1</v>
      </c>
      <c r="R1857" t="str" cm="1">
        <f t="array" ref="R1857">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857" t="str" cm="1">
        <f t="array" ref="S185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857" t="str">
        <f>TEXT(tbl_analysis_tickets[[#This Row],[created_date]],"mmm-yyyy")</f>
        <v>Dec-2024</v>
      </c>
      <c r="U1857" t="str">
        <f>TEXT(tbl_analysis_tickets[[#This Row],[created_date]],"dddd")</f>
        <v>Thursday</v>
      </c>
      <c r="V1857" cm="1">
        <f t="array" ref="V1857">_xlfn.SWITCH(tbl_analysis_tickets[[#This Row],[priority]],
"Urgent",1,
"High",2,
"Medium",3,
"Low",4
)</f>
        <v>4</v>
      </c>
    </row>
    <row r="1858" spans="1:22" x14ac:dyDescent="0.25">
      <c r="A1858">
        <v>1857</v>
      </c>
      <c r="B1858" s="1">
        <v>45297</v>
      </c>
      <c r="C1858" t="s">
        <v>21</v>
      </c>
      <c r="D1858" t="s">
        <v>11</v>
      </c>
      <c r="E1858">
        <v>89</v>
      </c>
      <c r="F1858">
        <v>25</v>
      </c>
      <c r="G1858">
        <v>3.7</v>
      </c>
      <c r="H1858" t="s">
        <v>12</v>
      </c>
      <c r="I1858" t="s">
        <v>16</v>
      </c>
      <c r="J1858" t="s">
        <v>11</v>
      </c>
      <c r="K1858">
        <f>_xlfn.XLOOKUP(tbl_analysis_tickets[[#This Row],[priority]],tbl_sla[priority],tbl_sla[Resolution SLA Hours])</f>
        <v>72</v>
      </c>
      <c r="L1858">
        <f>_xlfn.XLOOKUP(tbl_analysis_tickets[[#This Row],[priority]],tbl_sla[priority],tbl_sla[First Response SLA Minutes])</f>
        <v>240</v>
      </c>
      <c r="M1858" t="str">
        <f>IF(tbl_analysis_tickets[[#This Row],[resolution_time_hours]]&gt;tbl_analysis_tickets[[#This Row],[Resolution SLA Hours]],"Breached","Within SLA")</f>
        <v>Within SLA</v>
      </c>
      <c r="N1858" t="str">
        <f>IF(tbl_analysis_tickets[[#This Row],[first_response_minutes]]&gt;tbl_analysis_tickets[[#This Row],[First Response SLA Minutes]],"Breached","Within SLA")</f>
        <v>Within SLA</v>
      </c>
      <c r="O1858" t="str" cm="1">
        <f t="array" ref="O1858">_xlfn.IFS(
tbl_analysis_tickets[[#This Row],[agent_experience_years]]&lt;=2,"Junior",
tbl_analysis_tickets[[#This Row],[agent_experience_years]]&lt;=5,"Mid-Level",
tbl_analysis_tickets[[#This Row],[agent_experience_years]]&lt;=8,"Senior",
tbl_analysis_tickets[[#This Row],[agent_experience_years]]&gt;8,"Expert"
)</f>
        <v>Mid-Level</v>
      </c>
      <c r="P1858" cm="1">
        <f t="array" ref="P1858">_xlfn.SWITCH(tbl_analysis_tickets[[#This Row],[customer_satisfaction]],
"Low",1,
"Medium",2,
"High",3
)</f>
        <v>1</v>
      </c>
      <c r="Q1858">
        <f>IF(tbl_analysis_tickets[[#This Row],[reopened]]="Yes",1,0)</f>
        <v>1</v>
      </c>
      <c r="R1858" t="str" cm="1">
        <f t="array" ref="R1858">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858" t="str" cm="1">
        <f t="array" ref="S185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858" t="str">
        <f>TEXT(tbl_analysis_tickets[[#This Row],[created_date]],"mmm-yyyy")</f>
        <v>Jan-2024</v>
      </c>
      <c r="U1858" t="str">
        <f>TEXT(tbl_analysis_tickets[[#This Row],[created_date]],"dddd")</f>
        <v>Saturday</v>
      </c>
      <c r="V1858" cm="1">
        <f t="array" ref="V1858">_xlfn.SWITCH(tbl_analysis_tickets[[#This Row],[priority]],
"Urgent",1,
"High",2,
"Medium",3,
"Low",4
)</f>
        <v>4</v>
      </c>
    </row>
    <row r="1859" spans="1:22" x14ac:dyDescent="0.25">
      <c r="A1859">
        <v>1858</v>
      </c>
      <c r="B1859" s="1">
        <v>45530</v>
      </c>
      <c r="C1859" t="s">
        <v>14</v>
      </c>
      <c r="D1859" t="s">
        <v>17</v>
      </c>
      <c r="E1859">
        <v>188</v>
      </c>
      <c r="F1859">
        <v>44</v>
      </c>
      <c r="G1859">
        <v>3.2</v>
      </c>
      <c r="H1859" t="s">
        <v>18</v>
      </c>
      <c r="I1859" t="s">
        <v>16</v>
      </c>
      <c r="J1859" t="s">
        <v>11</v>
      </c>
      <c r="K1859">
        <f>_xlfn.XLOOKUP(tbl_analysis_tickets[[#This Row],[priority]],tbl_sla[priority],tbl_sla[Resolution SLA Hours])</f>
        <v>8</v>
      </c>
      <c r="L1859">
        <f>_xlfn.XLOOKUP(tbl_analysis_tickets[[#This Row],[priority]],tbl_sla[priority],tbl_sla[First Response SLA Minutes])</f>
        <v>30</v>
      </c>
      <c r="M1859" t="str">
        <f>IF(tbl_analysis_tickets[[#This Row],[resolution_time_hours]]&gt;tbl_analysis_tickets[[#This Row],[Resolution SLA Hours]],"Breached","Within SLA")</f>
        <v>Breached</v>
      </c>
      <c r="N1859" t="str">
        <f>IF(tbl_analysis_tickets[[#This Row],[first_response_minutes]]&gt;tbl_analysis_tickets[[#This Row],[First Response SLA Minutes]],"Breached","Within SLA")</f>
        <v>Breached</v>
      </c>
      <c r="O1859" t="str" cm="1">
        <f t="array" ref="O1859">_xlfn.IFS(
tbl_analysis_tickets[[#This Row],[agent_experience_years]]&lt;=2,"Junior",
tbl_analysis_tickets[[#This Row],[agent_experience_years]]&lt;=5,"Mid-Level",
tbl_analysis_tickets[[#This Row],[agent_experience_years]]&lt;=8,"Senior",
tbl_analysis_tickets[[#This Row],[agent_experience_years]]&gt;8,"Expert"
)</f>
        <v>Mid-Level</v>
      </c>
      <c r="P1859" cm="1">
        <f t="array" ref="P1859">_xlfn.SWITCH(tbl_analysis_tickets[[#This Row],[customer_satisfaction]],
"Low",1,
"Medium",2,
"High",3
)</f>
        <v>1</v>
      </c>
      <c r="Q1859">
        <f>IF(tbl_analysis_tickets[[#This Row],[reopened]]="Yes",1,0)</f>
        <v>0</v>
      </c>
      <c r="R1859" t="str" cm="1">
        <f t="array" ref="R1859">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859" t="str" cm="1">
        <f t="array" ref="S185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859" t="str">
        <f>TEXT(tbl_analysis_tickets[[#This Row],[created_date]],"mmm-yyyy")</f>
        <v>Aug-2024</v>
      </c>
      <c r="U1859" t="str">
        <f>TEXT(tbl_analysis_tickets[[#This Row],[created_date]],"dddd")</f>
        <v>Monday</v>
      </c>
      <c r="V1859" cm="1">
        <f t="array" ref="V1859">_xlfn.SWITCH(tbl_analysis_tickets[[#This Row],[priority]],
"Urgent",1,
"High",2,
"Medium",3,
"Low",4
)</f>
        <v>1</v>
      </c>
    </row>
    <row r="1860" spans="1:22" x14ac:dyDescent="0.25">
      <c r="A1860">
        <v>1859</v>
      </c>
      <c r="B1860" s="1">
        <v>45322</v>
      </c>
      <c r="C1860" t="s">
        <v>10</v>
      </c>
      <c r="D1860" t="s">
        <v>20</v>
      </c>
      <c r="E1860">
        <v>39</v>
      </c>
      <c r="F1860">
        <v>16</v>
      </c>
      <c r="G1860">
        <v>5.4</v>
      </c>
      <c r="H1860" t="s">
        <v>12</v>
      </c>
      <c r="I1860" t="s">
        <v>19</v>
      </c>
      <c r="J1860" t="s">
        <v>11</v>
      </c>
      <c r="K1860">
        <f>_xlfn.XLOOKUP(tbl_analysis_tickets[[#This Row],[priority]],tbl_sla[priority],tbl_sla[Resolution SLA Hours])</f>
        <v>24</v>
      </c>
      <c r="L1860">
        <f>_xlfn.XLOOKUP(tbl_analysis_tickets[[#This Row],[priority]],tbl_sla[priority],tbl_sla[First Response SLA Minutes])</f>
        <v>60</v>
      </c>
      <c r="M1860" t="str">
        <f>IF(tbl_analysis_tickets[[#This Row],[resolution_time_hours]]&gt;tbl_analysis_tickets[[#This Row],[Resolution SLA Hours]],"Breached","Within SLA")</f>
        <v>Within SLA</v>
      </c>
      <c r="N1860" t="str">
        <f>IF(tbl_analysis_tickets[[#This Row],[first_response_minutes]]&gt;tbl_analysis_tickets[[#This Row],[First Response SLA Minutes]],"Breached","Within SLA")</f>
        <v>Within SLA</v>
      </c>
      <c r="O1860" t="str" cm="1">
        <f t="array" ref="O1860">_xlfn.IFS(
tbl_analysis_tickets[[#This Row],[agent_experience_years]]&lt;=2,"Junior",
tbl_analysis_tickets[[#This Row],[agent_experience_years]]&lt;=5,"Mid-Level",
tbl_analysis_tickets[[#This Row],[agent_experience_years]]&lt;=8,"Senior",
tbl_analysis_tickets[[#This Row],[agent_experience_years]]&gt;8,"Expert"
)</f>
        <v>Senior</v>
      </c>
      <c r="P1860" cm="1">
        <f t="array" ref="P1860">_xlfn.SWITCH(tbl_analysis_tickets[[#This Row],[customer_satisfaction]],
"Low",1,
"Medium",2,
"High",3
)</f>
        <v>1</v>
      </c>
      <c r="Q1860">
        <f>IF(tbl_analysis_tickets[[#This Row],[reopened]]="Yes",1,0)</f>
        <v>1</v>
      </c>
      <c r="R1860" t="str" cm="1">
        <f t="array" ref="R1860">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860" t="str" cm="1">
        <f t="array" ref="S186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860" t="str">
        <f>TEXT(tbl_analysis_tickets[[#This Row],[created_date]],"mmm-yyyy")</f>
        <v>Jan-2024</v>
      </c>
      <c r="U1860" t="str">
        <f>TEXT(tbl_analysis_tickets[[#This Row],[created_date]],"dddd")</f>
        <v>Wednesday</v>
      </c>
      <c r="V1860" cm="1">
        <f t="array" ref="V1860">_xlfn.SWITCH(tbl_analysis_tickets[[#This Row],[priority]],
"Urgent",1,
"High",2,
"Medium",3,
"Low",4
)</f>
        <v>2</v>
      </c>
    </row>
    <row r="1861" spans="1:22" x14ac:dyDescent="0.25">
      <c r="A1861">
        <v>1860</v>
      </c>
      <c r="B1861" s="1">
        <v>45294</v>
      </c>
      <c r="C1861" t="s">
        <v>23</v>
      </c>
      <c r="D1861" t="s">
        <v>11</v>
      </c>
      <c r="E1861">
        <v>198</v>
      </c>
      <c r="F1861">
        <v>18</v>
      </c>
      <c r="G1861">
        <v>1.8</v>
      </c>
      <c r="H1861" t="s">
        <v>18</v>
      </c>
      <c r="I1861" t="s">
        <v>19</v>
      </c>
      <c r="J1861" t="s">
        <v>11</v>
      </c>
      <c r="K1861">
        <f>_xlfn.XLOOKUP(tbl_analysis_tickets[[#This Row],[priority]],tbl_sla[priority],tbl_sla[Resolution SLA Hours])</f>
        <v>72</v>
      </c>
      <c r="L1861">
        <f>_xlfn.XLOOKUP(tbl_analysis_tickets[[#This Row],[priority]],tbl_sla[priority],tbl_sla[First Response SLA Minutes])</f>
        <v>240</v>
      </c>
      <c r="M1861" t="str">
        <f>IF(tbl_analysis_tickets[[#This Row],[resolution_time_hours]]&gt;tbl_analysis_tickets[[#This Row],[Resolution SLA Hours]],"Breached","Within SLA")</f>
        <v>Within SLA</v>
      </c>
      <c r="N1861" t="str">
        <f>IF(tbl_analysis_tickets[[#This Row],[first_response_minutes]]&gt;tbl_analysis_tickets[[#This Row],[First Response SLA Minutes]],"Breached","Within SLA")</f>
        <v>Within SLA</v>
      </c>
      <c r="O1861" t="str" cm="1">
        <f t="array" ref="O1861">_xlfn.IFS(
tbl_analysis_tickets[[#This Row],[agent_experience_years]]&lt;=2,"Junior",
tbl_analysis_tickets[[#This Row],[agent_experience_years]]&lt;=5,"Mid-Level",
tbl_analysis_tickets[[#This Row],[agent_experience_years]]&lt;=8,"Senior",
tbl_analysis_tickets[[#This Row],[agent_experience_years]]&gt;8,"Expert"
)</f>
        <v>Junior</v>
      </c>
      <c r="P1861" cm="1">
        <f t="array" ref="P1861">_xlfn.SWITCH(tbl_analysis_tickets[[#This Row],[customer_satisfaction]],
"Low",1,
"Medium",2,
"High",3
)</f>
        <v>1</v>
      </c>
      <c r="Q1861">
        <f>IF(tbl_analysis_tickets[[#This Row],[reopened]]="Yes",1,0)</f>
        <v>0</v>
      </c>
      <c r="R1861" t="str" cm="1">
        <f t="array" ref="R1861">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861" t="str" cm="1">
        <f t="array" ref="S186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861" t="str">
        <f>TEXT(tbl_analysis_tickets[[#This Row],[created_date]],"mmm-yyyy")</f>
        <v>Jan-2024</v>
      </c>
      <c r="U1861" t="str">
        <f>TEXT(tbl_analysis_tickets[[#This Row],[created_date]],"dddd")</f>
        <v>Wednesday</v>
      </c>
      <c r="V1861" cm="1">
        <f t="array" ref="V1861">_xlfn.SWITCH(tbl_analysis_tickets[[#This Row],[priority]],
"Urgent",1,
"High",2,
"Medium",3,
"Low",4
)</f>
        <v>4</v>
      </c>
    </row>
    <row r="1862" spans="1:22" x14ac:dyDescent="0.25">
      <c r="A1862">
        <v>1861</v>
      </c>
      <c r="B1862" s="1">
        <v>45454</v>
      </c>
      <c r="C1862" t="s">
        <v>10</v>
      </c>
      <c r="D1862" t="s">
        <v>11</v>
      </c>
      <c r="E1862">
        <v>203</v>
      </c>
      <c r="F1862">
        <v>26</v>
      </c>
      <c r="G1862">
        <v>6.4</v>
      </c>
      <c r="H1862" t="s">
        <v>12</v>
      </c>
      <c r="I1862" t="s">
        <v>16</v>
      </c>
      <c r="J1862" t="s">
        <v>11</v>
      </c>
      <c r="K1862">
        <f>_xlfn.XLOOKUP(tbl_analysis_tickets[[#This Row],[priority]],tbl_sla[priority],tbl_sla[Resolution SLA Hours])</f>
        <v>72</v>
      </c>
      <c r="L1862">
        <f>_xlfn.XLOOKUP(tbl_analysis_tickets[[#This Row],[priority]],tbl_sla[priority],tbl_sla[First Response SLA Minutes])</f>
        <v>240</v>
      </c>
      <c r="M1862" t="str">
        <f>IF(tbl_analysis_tickets[[#This Row],[resolution_time_hours]]&gt;tbl_analysis_tickets[[#This Row],[Resolution SLA Hours]],"Breached","Within SLA")</f>
        <v>Within SLA</v>
      </c>
      <c r="N1862" t="str">
        <f>IF(tbl_analysis_tickets[[#This Row],[first_response_minutes]]&gt;tbl_analysis_tickets[[#This Row],[First Response SLA Minutes]],"Breached","Within SLA")</f>
        <v>Within SLA</v>
      </c>
      <c r="O1862" t="str" cm="1">
        <f t="array" ref="O1862">_xlfn.IFS(
tbl_analysis_tickets[[#This Row],[agent_experience_years]]&lt;=2,"Junior",
tbl_analysis_tickets[[#This Row],[agent_experience_years]]&lt;=5,"Mid-Level",
tbl_analysis_tickets[[#This Row],[agent_experience_years]]&lt;=8,"Senior",
tbl_analysis_tickets[[#This Row],[agent_experience_years]]&gt;8,"Expert"
)</f>
        <v>Senior</v>
      </c>
      <c r="P1862" cm="1">
        <f t="array" ref="P1862">_xlfn.SWITCH(tbl_analysis_tickets[[#This Row],[customer_satisfaction]],
"Low",1,
"Medium",2,
"High",3
)</f>
        <v>1</v>
      </c>
      <c r="Q1862">
        <f>IF(tbl_analysis_tickets[[#This Row],[reopened]]="Yes",1,0)</f>
        <v>1</v>
      </c>
      <c r="R1862" t="str" cm="1">
        <f t="array" ref="R1862">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862" t="str" cm="1">
        <f t="array" ref="S186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862" t="str">
        <f>TEXT(tbl_analysis_tickets[[#This Row],[created_date]],"mmm-yyyy")</f>
        <v>Jun-2024</v>
      </c>
      <c r="U1862" t="str">
        <f>TEXT(tbl_analysis_tickets[[#This Row],[created_date]],"dddd")</f>
        <v>Tuesday</v>
      </c>
      <c r="V1862" cm="1">
        <f t="array" ref="V1862">_xlfn.SWITCH(tbl_analysis_tickets[[#This Row],[priority]],
"Urgent",1,
"High",2,
"Medium",3,
"Low",4
)</f>
        <v>4</v>
      </c>
    </row>
    <row r="1863" spans="1:22" x14ac:dyDescent="0.25">
      <c r="A1863">
        <v>1862</v>
      </c>
      <c r="B1863" s="1">
        <v>45460</v>
      </c>
      <c r="C1863" t="s">
        <v>14</v>
      </c>
      <c r="D1863" t="s">
        <v>20</v>
      </c>
      <c r="E1863">
        <v>226</v>
      </c>
      <c r="F1863">
        <v>26</v>
      </c>
      <c r="G1863">
        <v>9</v>
      </c>
      <c r="H1863" t="s">
        <v>12</v>
      </c>
      <c r="I1863" t="s">
        <v>13</v>
      </c>
      <c r="J1863" t="s">
        <v>11</v>
      </c>
      <c r="K1863">
        <f>_xlfn.XLOOKUP(tbl_analysis_tickets[[#This Row],[priority]],tbl_sla[priority],tbl_sla[Resolution SLA Hours])</f>
        <v>24</v>
      </c>
      <c r="L1863">
        <f>_xlfn.XLOOKUP(tbl_analysis_tickets[[#This Row],[priority]],tbl_sla[priority],tbl_sla[First Response SLA Minutes])</f>
        <v>60</v>
      </c>
      <c r="M1863" t="str">
        <f>IF(tbl_analysis_tickets[[#This Row],[resolution_time_hours]]&gt;tbl_analysis_tickets[[#This Row],[Resolution SLA Hours]],"Breached","Within SLA")</f>
        <v>Breached</v>
      </c>
      <c r="N1863" t="str">
        <f>IF(tbl_analysis_tickets[[#This Row],[first_response_minutes]]&gt;tbl_analysis_tickets[[#This Row],[First Response SLA Minutes]],"Breached","Within SLA")</f>
        <v>Breached</v>
      </c>
      <c r="O1863" t="str" cm="1">
        <f t="array" ref="O1863">_xlfn.IFS(
tbl_analysis_tickets[[#This Row],[agent_experience_years]]&lt;=2,"Junior",
tbl_analysis_tickets[[#This Row],[agent_experience_years]]&lt;=5,"Mid-Level",
tbl_analysis_tickets[[#This Row],[agent_experience_years]]&lt;=8,"Senior",
tbl_analysis_tickets[[#This Row],[agent_experience_years]]&gt;8,"Expert"
)</f>
        <v>Expert</v>
      </c>
      <c r="P1863" cm="1">
        <f t="array" ref="P1863">_xlfn.SWITCH(tbl_analysis_tickets[[#This Row],[customer_satisfaction]],
"Low",1,
"Medium",2,
"High",3
)</f>
        <v>1</v>
      </c>
      <c r="Q1863">
        <f>IF(tbl_analysis_tickets[[#This Row],[reopened]]="Yes",1,0)</f>
        <v>1</v>
      </c>
      <c r="R1863" t="str" cm="1">
        <f t="array" ref="R1863">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863" t="str" cm="1">
        <f t="array" ref="S186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863" t="str">
        <f>TEXT(tbl_analysis_tickets[[#This Row],[created_date]],"mmm-yyyy")</f>
        <v>Jun-2024</v>
      </c>
      <c r="U1863" t="str">
        <f>TEXT(tbl_analysis_tickets[[#This Row],[created_date]],"dddd")</f>
        <v>Monday</v>
      </c>
      <c r="V1863" cm="1">
        <f t="array" ref="V1863">_xlfn.SWITCH(tbl_analysis_tickets[[#This Row],[priority]],
"Urgent",1,
"High",2,
"Medium",3,
"Low",4
)</f>
        <v>2</v>
      </c>
    </row>
    <row r="1864" spans="1:22" x14ac:dyDescent="0.25">
      <c r="A1864">
        <v>1863</v>
      </c>
      <c r="B1864" s="1">
        <v>45612</v>
      </c>
      <c r="C1864" t="s">
        <v>22</v>
      </c>
      <c r="D1864" t="s">
        <v>11</v>
      </c>
      <c r="E1864">
        <v>100</v>
      </c>
      <c r="F1864">
        <v>59</v>
      </c>
      <c r="G1864">
        <v>0.9</v>
      </c>
      <c r="H1864" t="s">
        <v>18</v>
      </c>
      <c r="I1864" t="s">
        <v>13</v>
      </c>
      <c r="J1864" t="s">
        <v>11</v>
      </c>
      <c r="K1864">
        <f>_xlfn.XLOOKUP(tbl_analysis_tickets[[#This Row],[priority]],tbl_sla[priority],tbl_sla[Resolution SLA Hours])</f>
        <v>72</v>
      </c>
      <c r="L1864">
        <f>_xlfn.XLOOKUP(tbl_analysis_tickets[[#This Row],[priority]],tbl_sla[priority],tbl_sla[First Response SLA Minutes])</f>
        <v>240</v>
      </c>
      <c r="M1864" t="str">
        <f>IF(tbl_analysis_tickets[[#This Row],[resolution_time_hours]]&gt;tbl_analysis_tickets[[#This Row],[Resolution SLA Hours]],"Breached","Within SLA")</f>
        <v>Within SLA</v>
      </c>
      <c r="N1864" t="str">
        <f>IF(tbl_analysis_tickets[[#This Row],[first_response_minutes]]&gt;tbl_analysis_tickets[[#This Row],[First Response SLA Minutes]],"Breached","Within SLA")</f>
        <v>Within SLA</v>
      </c>
      <c r="O1864" t="str" cm="1">
        <f t="array" ref="O1864">_xlfn.IFS(
tbl_analysis_tickets[[#This Row],[agent_experience_years]]&lt;=2,"Junior",
tbl_analysis_tickets[[#This Row],[agent_experience_years]]&lt;=5,"Mid-Level",
tbl_analysis_tickets[[#This Row],[agent_experience_years]]&lt;=8,"Senior",
tbl_analysis_tickets[[#This Row],[agent_experience_years]]&gt;8,"Expert"
)</f>
        <v>Junior</v>
      </c>
      <c r="P1864" cm="1">
        <f t="array" ref="P1864">_xlfn.SWITCH(tbl_analysis_tickets[[#This Row],[customer_satisfaction]],
"Low",1,
"Medium",2,
"High",3
)</f>
        <v>1</v>
      </c>
      <c r="Q1864">
        <f>IF(tbl_analysis_tickets[[#This Row],[reopened]]="Yes",1,0)</f>
        <v>0</v>
      </c>
      <c r="R1864" t="str" cm="1">
        <f t="array" ref="R1864">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864" t="str" cm="1">
        <f t="array" ref="S186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864" t="str">
        <f>TEXT(tbl_analysis_tickets[[#This Row],[created_date]],"mmm-yyyy")</f>
        <v>Nov-2024</v>
      </c>
      <c r="U1864" t="str">
        <f>TEXT(tbl_analysis_tickets[[#This Row],[created_date]],"dddd")</f>
        <v>Saturday</v>
      </c>
      <c r="V1864" cm="1">
        <f t="array" ref="V1864">_xlfn.SWITCH(tbl_analysis_tickets[[#This Row],[priority]],
"Urgent",1,
"High",2,
"Medium",3,
"Low",4
)</f>
        <v>4</v>
      </c>
    </row>
    <row r="1865" spans="1:22" x14ac:dyDescent="0.25">
      <c r="A1865">
        <v>1864</v>
      </c>
      <c r="B1865" s="1">
        <v>45428</v>
      </c>
      <c r="C1865" t="s">
        <v>21</v>
      </c>
      <c r="D1865" t="s">
        <v>11</v>
      </c>
      <c r="E1865">
        <v>227</v>
      </c>
      <c r="F1865">
        <v>58</v>
      </c>
      <c r="G1865">
        <v>2</v>
      </c>
      <c r="H1865" t="s">
        <v>18</v>
      </c>
      <c r="I1865" t="s">
        <v>13</v>
      </c>
      <c r="J1865" t="s">
        <v>11</v>
      </c>
      <c r="K1865">
        <f>_xlfn.XLOOKUP(tbl_analysis_tickets[[#This Row],[priority]],tbl_sla[priority],tbl_sla[Resolution SLA Hours])</f>
        <v>72</v>
      </c>
      <c r="L1865">
        <f>_xlfn.XLOOKUP(tbl_analysis_tickets[[#This Row],[priority]],tbl_sla[priority],tbl_sla[First Response SLA Minutes])</f>
        <v>240</v>
      </c>
      <c r="M1865" t="str">
        <f>IF(tbl_analysis_tickets[[#This Row],[resolution_time_hours]]&gt;tbl_analysis_tickets[[#This Row],[Resolution SLA Hours]],"Breached","Within SLA")</f>
        <v>Within SLA</v>
      </c>
      <c r="N1865" t="str">
        <f>IF(tbl_analysis_tickets[[#This Row],[first_response_minutes]]&gt;tbl_analysis_tickets[[#This Row],[First Response SLA Minutes]],"Breached","Within SLA")</f>
        <v>Within SLA</v>
      </c>
      <c r="O1865" t="str" cm="1">
        <f t="array" ref="O1865">_xlfn.IFS(
tbl_analysis_tickets[[#This Row],[agent_experience_years]]&lt;=2,"Junior",
tbl_analysis_tickets[[#This Row],[agent_experience_years]]&lt;=5,"Mid-Level",
tbl_analysis_tickets[[#This Row],[agent_experience_years]]&lt;=8,"Senior",
tbl_analysis_tickets[[#This Row],[agent_experience_years]]&gt;8,"Expert"
)</f>
        <v>Junior</v>
      </c>
      <c r="P1865" cm="1">
        <f t="array" ref="P1865">_xlfn.SWITCH(tbl_analysis_tickets[[#This Row],[customer_satisfaction]],
"Low",1,
"Medium",2,
"High",3
)</f>
        <v>1</v>
      </c>
      <c r="Q1865">
        <f>IF(tbl_analysis_tickets[[#This Row],[reopened]]="Yes",1,0)</f>
        <v>0</v>
      </c>
      <c r="R1865" t="str" cm="1">
        <f t="array" ref="R1865">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865" t="str" cm="1">
        <f t="array" ref="S186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865" t="str">
        <f>TEXT(tbl_analysis_tickets[[#This Row],[created_date]],"mmm-yyyy")</f>
        <v>May-2024</v>
      </c>
      <c r="U1865" t="str">
        <f>TEXT(tbl_analysis_tickets[[#This Row],[created_date]],"dddd")</f>
        <v>Thursday</v>
      </c>
      <c r="V1865" cm="1">
        <f t="array" ref="V1865">_xlfn.SWITCH(tbl_analysis_tickets[[#This Row],[priority]],
"Urgent",1,
"High",2,
"Medium",3,
"Low",4
)</f>
        <v>4</v>
      </c>
    </row>
    <row r="1866" spans="1:22" x14ac:dyDescent="0.25">
      <c r="A1866">
        <v>1865</v>
      </c>
      <c r="B1866" s="1">
        <v>45454</v>
      </c>
      <c r="C1866" t="s">
        <v>14</v>
      </c>
      <c r="D1866" t="s">
        <v>17</v>
      </c>
      <c r="E1866">
        <v>152</v>
      </c>
      <c r="F1866">
        <v>21</v>
      </c>
      <c r="G1866">
        <v>2.9</v>
      </c>
      <c r="H1866" t="s">
        <v>18</v>
      </c>
      <c r="I1866" t="s">
        <v>19</v>
      </c>
      <c r="J1866" t="s">
        <v>11</v>
      </c>
      <c r="K1866">
        <f>_xlfn.XLOOKUP(tbl_analysis_tickets[[#This Row],[priority]],tbl_sla[priority],tbl_sla[Resolution SLA Hours])</f>
        <v>8</v>
      </c>
      <c r="L1866">
        <f>_xlfn.XLOOKUP(tbl_analysis_tickets[[#This Row],[priority]],tbl_sla[priority],tbl_sla[First Response SLA Minutes])</f>
        <v>30</v>
      </c>
      <c r="M1866" t="str">
        <f>IF(tbl_analysis_tickets[[#This Row],[resolution_time_hours]]&gt;tbl_analysis_tickets[[#This Row],[Resolution SLA Hours]],"Breached","Within SLA")</f>
        <v>Breached</v>
      </c>
      <c r="N1866" t="str">
        <f>IF(tbl_analysis_tickets[[#This Row],[first_response_minutes]]&gt;tbl_analysis_tickets[[#This Row],[First Response SLA Minutes]],"Breached","Within SLA")</f>
        <v>Breached</v>
      </c>
      <c r="O1866" t="str" cm="1">
        <f t="array" ref="O1866">_xlfn.IFS(
tbl_analysis_tickets[[#This Row],[agent_experience_years]]&lt;=2,"Junior",
tbl_analysis_tickets[[#This Row],[agent_experience_years]]&lt;=5,"Mid-Level",
tbl_analysis_tickets[[#This Row],[agent_experience_years]]&lt;=8,"Senior",
tbl_analysis_tickets[[#This Row],[agent_experience_years]]&gt;8,"Expert"
)</f>
        <v>Mid-Level</v>
      </c>
      <c r="P1866" cm="1">
        <f t="array" ref="P1866">_xlfn.SWITCH(tbl_analysis_tickets[[#This Row],[customer_satisfaction]],
"Low",1,
"Medium",2,
"High",3
)</f>
        <v>1</v>
      </c>
      <c r="Q1866">
        <f>IF(tbl_analysis_tickets[[#This Row],[reopened]]="Yes",1,0)</f>
        <v>0</v>
      </c>
      <c r="R1866" t="str" cm="1">
        <f t="array" ref="R1866">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866" t="str" cm="1">
        <f t="array" ref="S186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866" t="str">
        <f>TEXT(tbl_analysis_tickets[[#This Row],[created_date]],"mmm-yyyy")</f>
        <v>Jun-2024</v>
      </c>
      <c r="U1866" t="str">
        <f>TEXT(tbl_analysis_tickets[[#This Row],[created_date]],"dddd")</f>
        <v>Tuesday</v>
      </c>
      <c r="V1866" cm="1">
        <f t="array" ref="V1866">_xlfn.SWITCH(tbl_analysis_tickets[[#This Row],[priority]],
"Urgent",1,
"High",2,
"Medium",3,
"Low",4
)</f>
        <v>1</v>
      </c>
    </row>
    <row r="1867" spans="1:22" x14ac:dyDescent="0.25">
      <c r="A1867">
        <v>1866</v>
      </c>
      <c r="B1867" s="1">
        <v>45514</v>
      </c>
      <c r="C1867" t="s">
        <v>10</v>
      </c>
      <c r="D1867" t="s">
        <v>17</v>
      </c>
      <c r="E1867">
        <v>8</v>
      </c>
      <c r="F1867">
        <v>44</v>
      </c>
      <c r="G1867">
        <v>8.3000000000000007</v>
      </c>
      <c r="H1867" t="s">
        <v>12</v>
      </c>
      <c r="I1867" t="s">
        <v>16</v>
      </c>
      <c r="J1867" t="s">
        <v>15</v>
      </c>
      <c r="K1867">
        <f>_xlfn.XLOOKUP(tbl_analysis_tickets[[#This Row],[priority]],tbl_sla[priority],tbl_sla[Resolution SLA Hours])</f>
        <v>8</v>
      </c>
      <c r="L1867">
        <f>_xlfn.XLOOKUP(tbl_analysis_tickets[[#This Row],[priority]],tbl_sla[priority],tbl_sla[First Response SLA Minutes])</f>
        <v>30</v>
      </c>
      <c r="M1867" t="str">
        <f>IF(tbl_analysis_tickets[[#This Row],[resolution_time_hours]]&gt;tbl_analysis_tickets[[#This Row],[Resolution SLA Hours]],"Breached","Within SLA")</f>
        <v>Breached</v>
      </c>
      <c r="N1867" t="str">
        <f>IF(tbl_analysis_tickets[[#This Row],[first_response_minutes]]&gt;tbl_analysis_tickets[[#This Row],[First Response SLA Minutes]],"Breached","Within SLA")</f>
        <v>Within SLA</v>
      </c>
      <c r="O1867" t="str" cm="1">
        <f t="array" ref="O1867">_xlfn.IFS(
tbl_analysis_tickets[[#This Row],[agent_experience_years]]&lt;=2,"Junior",
tbl_analysis_tickets[[#This Row],[agent_experience_years]]&lt;=5,"Mid-Level",
tbl_analysis_tickets[[#This Row],[agent_experience_years]]&lt;=8,"Senior",
tbl_analysis_tickets[[#This Row],[agent_experience_years]]&gt;8,"Expert"
)</f>
        <v>Expert</v>
      </c>
      <c r="P1867" cm="1">
        <f t="array" ref="P1867">_xlfn.SWITCH(tbl_analysis_tickets[[#This Row],[customer_satisfaction]],
"Low",1,
"Medium",2,
"High",3
)</f>
        <v>2</v>
      </c>
      <c r="Q1867">
        <f>IF(tbl_analysis_tickets[[#This Row],[reopened]]="Yes",1,0)</f>
        <v>1</v>
      </c>
      <c r="R1867" t="str" cm="1">
        <f t="array" ref="R1867">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1867" t="str" cm="1">
        <f t="array" ref="S186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867" t="str">
        <f>TEXT(tbl_analysis_tickets[[#This Row],[created_date]],"mmm-yyyy")</f>
        <v>Aug-2024</v>
      </c>
      <c r="U1867" t="str">
        <f>TEXT(tbl_analysis_tickets[[#This Row],[created_date]],"dddd")</f>
        <v>Saturday</v>
      </c>
      <c r="V1867" cm="1">
        <f t="array" ref="V1867">_xlfn.SWITCH(tbl_analysis_tickets[[#This Row],[priority]],
"Urgent",1,
"High",2,
"Medium",3,
"Low",4
)</f>
        <v>1</v>
      </c>
    </row>
    <row r="1868" spans="1:22" x14ac:dyDescent="0.25">
      <c r="A1868">
        <v>1867</v>
      </c>
      <c r="B1868" s="1">
        <v>45462</v>
      </c>
      <c r="C1868" t="s">
        <v>23</v>
      </c>
      <c r="D1868" t="s">
        <v>11</v>
      </c>
      <c r="E1868">
        <v>72</v>
      </c>
      <c r="F1868">
        <v>56</v>
      </c>
      <c r="G1868">
        <v>4.4000000000000004</v>
      </c>
      <c r="H1868" t="s">
        <v>18</v>
      </c>
      <c r="I1868" t="s">
        <v>16</v>
      </c>
      <c r="J1868" t="s">
        <v>11</v>
      </c>
      <c r="K1868">
        <f>_xlfn.XLOOKUP(tbl_analysis_tickets[[#This Row],[priority]],tbl_sla[priority],tbl_sla[Resolution SLA Hours])</f>
        <v>72</v>
      </c>
      <c r="L1868">
        <f>_xlfn.XLOOKUP(tbl_analysis_tickets[[#This Row],[priority]],tbl_sla[priority],tbl_sla[First Response SLA Minutes])</f>
        <v>240</v>
      </c>
      <c r="M1868" t="str">
        <f>IF(tbl_analysis_tickets[[#This Row],[resolution_time_hours]]&gt;tbl_analysis_tickets[[#This Row],[Resolution SLA Hours]],"Breached","Within SLA")</f>
        <v>Within SLA</v>
      </c>
      <c r="N1868" t="str">
        <f>IF(tbl_analysis_tickets[[#This Row],[first_response_minutes]]&gt;tbl_analysis_tickets[[#This Row],[First Response SLA Minutes]],"Breached","Within SLA")</f>
        <v>Within SLA</v>
      </c>
      <c r="O1868" t="str" cm="1">
        <f t="array" ref="O1868">_xlfn.IFS(
tbl_analysis_tickets[[#This Row],[agent_experience_years]]&lt;=2,"Junior",
tbl_analysis_tickets[[#This Row],[agent_experience_years]]&lt;=5,"Mid-Level",
tbl_analysis_tickets[[#This Row],[agent_experience_years]]&lt;=8,"Senior",
tbl_analysis_tickets[[#This Row],[agent_experience_years]]&gt;8,"Expert"
)</f>
        <v>Mid-Level</v>
      </c>
      <c r="P1868" cm="1">
        <f t="array" ref="P1868">_xlfn.SWITCH(tbl_analysis_tickets[[#This Row],[customer_satisfaction]],
"Low",1,
"Medium",2,
"High",3
)</f>
        <v>1</v>
      </c>
      <c r="Q1868">
        <f>IF(tbl_analysis_tickets[[#This Row],[reopened]]="Yes",1,0)</f>
        <v>0</v>
      </c>
      <c r="R1868" t="str" cm="1">
        <f t="array" ref="R1868">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868" t="str" cm="1">
        <f t="array" ref="S186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868" t="str">
        <f>TEXT(tbl_analysis_tickets[[#This Row],[created_date]],"mmm-yyyy")</f>
        <v>Jun-2024</v>
      </c>
      <c r="U1868" t="str">
        <f>TEXT(tbl_analysis_tickets[[#This Row],[created_date]],"dddd")</f>
        <v>Wednesday</v>
      </c>
      <c r="V1868" cm="1">
        <f t="array" ref="V1868">_xlfn.SWITCH(tbl_analysis_tickets[[#This Row],[priority]],
"Urgent",1,
"High",2,
"Medium",3,
"Low",4
)</f>
        <v>4</v>
      </c>
    </row>
    <row r="1869" spans="1:22" x14ac:dyDescent="0.25">
      <c r="A1869">
        <v>1868</v>
      </c>
      <c r="B1869" s="1">
        <v>45399</v>
      </c>
      <c r="C1869" t="s">
        <v>22</v>
      </c>
      <c r="D1869" t="s">
        <v>17</v>
      </c>
      <c r="E1869">
        <v>188</v>
      </c>
      <c r="F1869">
        <v>63</v>
      </c>
      <c r="G1869">
        <v>7.7</v>
      </c>
      <c r="H1869" t="s">
        <v>12</v>
      </c>
      <c r="I1869" t="s">
        <v>19</v>
      </c>
      <c r="J1869" t="s">
        <v>11</v>
      </c>
      <c r="K1869">
        <f>_xlfn.XLOOKUP(tbl_analysis_tickets[[#This Row],[priority]],tbl_sla[priority],tbl_sla[Resolution SLA Hours])</f>
        <v>8</v>
      </c>
      <c r="L1869">
        <f>_xlfn.XLOOKUP(tbl_analysis_tickets[[#This Row],[priority]],tbl_sla[priority],tbl_sla[First Response SLA Minutes])</f>
        <v>30</v>
      </c>
      <c r="M1869" t="str">
        <f>IF(tbl_analysis_tickets[[#This Row],[resolution_time_hours]]&gt;tbl_analysis_tickets[[#This Row],[Resolution SLA Hours]],"Breached","Within SLA")</f>
        <v>Breached</v>
      </c>
      <c r="N1869" t="str">
        <f>IF(tbl_analysis_tickets[[#This Row],[first_response_minutes]]&gt;tbl_analysis_tickets[[#This Row],[First Response SLA Minutes]],"Breached","Within SLA")</f>
        <v>Breached</v>
      </c>
      <c r="O1869" t="str" cm="1">
        <f t="array" ref="O1869">_xlfn.IFS(
tbl_analysis_tickets[[#This Row],[agent_experience_years]]&lt;=2,"Junior",
tbl_analysis_tickets[[#This Row],[agent_experience_years]]&lt;=5,"Mid-Level",
tbl_analysis_tickets[[#This Row],[agent_experience_years]]&lt;=8,"Senior",
tbl_analysis_tickets[[#This Row],[agent_experience_years]]&gt;8,"Expert"
)</f>
        <v>Senior</v>
      </c>
      <c r="P1869" cm="1">
        <f t="array" ref="P1869">_xlfn.SWITCH(tbl_analysis_tickets[[#This Row],[customer_satisfaction]],
"Low",1,
"Medium",2,
"High",3
)</f>
        <v>1</v>
      </c>
      <c r="Q1869">
        <f>IF(tbl_analysis_tickets[[#This Row],[reopened]]="Yes",1,0)</f>
        <v>1</v>
      </c>
      <c r="R1869" t="str" cm="1">
        <f t="array" ref="R1869">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869" t="str" cm="1">
        <f t="array" ref="S186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869" t="str">
        <f>TEXT(tbl_analysis_tickets[[#This Row],[created_date]],"mmm-yyyy")</f>
        <v>Apr-2024</v>
      </c>
      <c r="U1869" t="str">
        <f>TEXT(tbl_analysis_tickets[[#This Row],[created_date]],"dddd")</f>
        <v>Wednesday</v>
      </c>
      <c r="V1869" cm="1">
        <f t="array" ref="V1869">_xlfn.SWITCH(tbl_analysis_tickets[[#This Row],[priority]],
"Urgent",1,
"High",2,
"Medium",3,
"Low",4
)</f>
        <v>1</v>
      </c>
    </row>
    <row r="1870" spans="1:22" x14ac:dyDescent="0.25">
      <c r="A1870">
        <v>1869</v>
      </c>
      <c r="B1870" s="1">
        <v>45653</v>
      </c>
      <c r="C1870" t="s">
        <v>21</v>
      </c>
      <c r="D1870" t="s">
        <v>17</v>
      </c>
      <c r="E1870">
        <v>158</v>
      </c>
      <c r="F1870">
        <v>5</v>
      </c>
      <c r="G1870">
        <v>6.6</v>
      </c>
      <c r="H1870" t="s">
        <v>12</v>
      </c>
      <c r="I1870" t="s">
        <v>19</v>
      </c>
      <c r="J1870" t="s">
        <v>15</v>
      </c>
      <c r="K1870">
        <f>_xlfn.XLOOKUP(tbl_analysis_tickets[[#This Row],[priority]],tbl_sla[priority],tbl_sla[Resolution SLA Hours])</f>
        <v>8</v>
      </c>
      <c r="L1870">
        <f>_xlfn.XLOOKUP(tbl_analysis_tickets[[#This Row],[priority]],tbl_sla[priority],tbl_sla[First Response SLA Minutes])</f>
        <v>30</v>
      </c>
      <c r="M1870" t="str">
        <f>IF(tbl_analysis_tickets[[#This Row],[resolution_time_hours]]&gt;tbl_analysis_tickets[[#This Row],[Resolution SLA Hours]],"Breached","Within SLA")</f>
        <v>Within SLA</v>
      </c>
      <c r="N1870" t="str">
        <f>IF(tbl_analysis_tickets[[#This Row],[first_response_minutes]]&gt;tbl_analysis_tickets[[#This Row],[First Response SLA Minutes]],"Breached","Within SLA")</f>
        <v>Breached</v>
      </c>
      <c r="O1870" t="str" cm="1">
        <f t="array" ref="O1870">_xlfn.IFS(
tbl_analysis_tickets[[#This Row],[agent_experience_years]]&lt;=2,"Junior",
tbl_analysis_tickets[[#This Row],[agent_experience_years]]&lt;=5,"Mid-Level",
tbl_analysis_tickets[[#This Row],[agent_experience_years]]&lt;=8,"Senior",
tbl_analysis_tickets[[#This Row],[agent_experience_years]]&gt;8,"Expert"
)</f>
        <v>Senior</v>
      </c>
      <c r="P1870" cm="1">
        <f t="array" ref="P1870">_xlfn.SWITCH(tbl_analysis_tickets[[#This Row],[customer_satisfaction]],
"Low",1,
"Medium",2,
"High",3
)</f>
        <v>2</v>
      </c>
      <c r="Q1870">
        <f>IF(tbl_analysis_tickets[[#This Row],[reopened]]="Yes",1,0)</f>
        <v>1</v>
      </c>
      <c r="R1870" t="str" cm="1">
        <f t="array" ref="R1870">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870" t="str" cm="1">
        <f t="array" ref="S187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1870" t="str">
        <f>TEXT(tbl_analysis_tickets[[#This Row],[created_date]],"mmm-yyyy")</f>
        <v>Dec-2024</v>
      </c>
      <c r="U1870" t="str">
        <f>TEXT(tbl_analysis_tickets[[#This Row],[created_date]],"dddd")</f>
        <v>Friday</v>
      </c>
      <c r="V1870" cm="1">
        <f t="array" ref="V1870">_xlfn.SWITCH(tbl_analysis_tickets[[#This Row],[priority]],
"Urgent",1,
"High",2,
"Medium",3,
"Low",4
)</f>
        <v>1</v>
      </c>
    </row>
    <row r="1871" spans="1:22" x14ac:dyDescent="0.25">
      <c r="A1871">
        <v>1870</v>
      </c>
      <c r="B1871" s="1">
        <v>45314</v>
      </c>
      <c r="C1871" t="s">
        <v>22</v>
      </c>
      <c r="D1871" t="s">
        <v>17</v>
      </c>
      <c r="E1871">
        <v>235</v>
      </c>
      <c r="F1871">
        <v>36</v>
      </c>
      <c r="G1871">
        <v>2.5</v>
      </c>
      <c r="H1871" t="s">
        <v>12</v>
      </c>
      <c r="I1871" t="s">
        <v>16</v>
      </c>
      <c r="J1871" t="s">
        <v>11</v>
      </c>
      <c r="K1871">
        <f>_xlfn.XLOOKUP(tbl_analysis_tickets[[#This Row],[priority]],tbl_sla[priority],tbl_sla[Resolution SLA Hours])</f>
        <v>8</v>
      </c>
      <c r="L1871">
        <f>_xlfn.XLOOKUP(tbl_analysis_tickets[[#This Row],[priority]],tbl_sla[priority],tbl_sla[First Response SLA Minutes])</f>
        <v>30</v>
      </c>
      <c r="M1871" t="str">
        <f>IF(tbl_analysis_tickets[[#This Row],[resolution_time_hours]]&gt;tbl_analysis_tickets[[#This Row],[Resolution SLA Hours]],"Breached","Within SLA")</f>
        <v>Breached</v>
      </c>
      <c r="N1871" t="str">
        <f>IF(tbl_analysis_tickets[[#This Row],[first_response_minutes]]&gt;tbl_analysis_tickets[[#This Row],[First Response SLA Minutes]],"Breached","Within SLA")</f>
        <v>Breached</v>
      </c>
      <c r="O1871" t="str" cm="1">
        <f t="array" ref="O1871">_xlfn.IFS(
tbl_analysis_tickets[[#This Row],[agent_experience_years]]&lt;=2,"Junior",
tbl_analysis_tickets[[#This Row],[agent_experience_years]]&lt;=5,"Mid-Level",
tbl_analysis_tickets[[#This Row],[agent_experience_years]]&lt;=8,"Senior",
tbl_analysis_tickets[[#This Row],[agent_experience_years]]&gt;8,"Expert"
)</f>
        <v>Mid-Level</v>
      </c>
      <c r="P1871" cm="1">
        <f t="array" ref="P1871">_xlfn.SWITCH(tbl_analysis_tickets[[#This Row],[customer_satisfaction]],
"Low",1,
"Medium",2,
"High",3
)</f>
        <v>1</v>
      </c>
      <c r="Q1871">
        <f>IF(tbl_analysis_tickets[[#This Row],[reopened]]="Yes",1,0)</f>
        <v>1</v>
      </c>
      <c r="R1871" t="str" cm="1">
        <f t="array" ref="R1871">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871" t="str" cm="1">
        <f t="array" ref="S187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871" t="str">
        <f>TEXT(tbl_analysis_tickets[[#This Row],[created_date]],"mmm-yyyy")</f>
        <v>Jan-2024</v>
      </c>
      <c r="U1871" t="str">
        <f>TEXT(tbl_analysis_tickets[[#This Row],[created_date]],"dddd")</f>
        <v>Tuesday</v>
      </c>
      <c r="V1871" cm="1">
        <f t="array" ref="V1871">_xlfn.SWITCH(tbl_analysis_tickets[[#This Row],[priority]],
"Urgent",1,
"High",2,
"Medium",3,
"Low",4
)</f>
        <v>1</v>
      </c>
    </row>
    <row r="1872" spans="1:22" x14ac:dyDescent="0.25">
      <c r="A1872">
        <v>1871</v>
      </c>
      <c r="B1872" s="1">
        <v>45328</v>
      </c>
      <c r="C1872" t="s">
        <v>22</v>
      </c>
      <c r="D1872" t="s">
        <v>17</v>
      </c>
      <c r="E1872">
        <v>195</v>
      </c>
      <c r="F1872">
        <v>13</v>
      </c>
      <c r="G1872">
        <v>6</v>
      </c>
      <c r="H1872" t="s">
        <v>18</v>
      </c>
      <c r="I1872" t="s">
        <v>16</v>
      </c>
      <c r="J1872" t="s">
        <v>11</v>
      </c>
      <c r="K1872">
        <f>_xlfn.XLOOKUP(tbl_analysis_tickets[[#This Row],[priority]],tbl_sla[priority],tbl_sla[Resolution SLA Hours])</f>
        <v>8</v>
      </c>
      <c r="L1872">
        <f>_xlfn.XLOOKUP(tbl_analysis_tickets[[#This Row],[priority]],tbl_sla[priority],tbl_sla[First Response SLA Minutes])</f>
        <v>30</v>
      </c>
      <c r="M1872" t="str">
        <f>IF(tbl_analysis_tickets[[#This Row],[resolution_time_hours]]&gt;tbl_analysis_tickets[[#This Row],[Resolution SLA Hours]],"Breached","Within SLA")</f>
        <v>Breached</v>
      </c>
      <c r="N1872" t="str">
        <f>IF(tbl_analysis_tickets[[#This Row],[first_response_minutes]]&gt;tbl_analysis_tickets[[#This Row],[First Response SLA Minutes]],"Breached","Within SLA")</f>
        <v>Breached</v>
      </c>
      <c r="O1872" t="str" cm="1">
        <f t="array" ref="O1872">_xlfn.IFS(
tbl_analysis_tickets[[#This Row],[agent_experience_years]]&lt;=2,"Junior",
tbl_analysis_tickets[[#This Row],[agent_experience_years]]&lt;=5,"Mid-Level",
tbl_analysis_tickets[[#This Row],[agent_experience_years]]&lt;=8,"Senior",
tbl_analysis_tickets[[#This Row],[agent_experience_years]]&gt;8,"Expert"
)</f>
        <v>Senior</v>
      </c>
      <c r="P1872" cm="1">
        <f t="array" ref="P1872">_xlfn.SWITCH(tbl_analysis_tickets[[#This Row],[customer_satisfaction]],
"Low",1,
"Medium",2,
"High",3
)</f>
        <v>1</v>
      </c>
      <c r="Q1872">
        <f>IF(tbl_analysis_tickets[[#This Row],[reopened]]="Yes",1,0)</f>
        <v>0</v>
      </c>
      <c r="R1872" t="str" cm="1">
        <f t="array" ref="R1872">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872" t="str" cm="1">
        <f t="array" ref="S187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872" t="str">
        <f>TEXT(tbl_analysis_tickets[[#This Row],[created_date]],"mmm-yyyy")</f>
        <v>Feb-2024</v>
      </c>
      <c r="U1872" t="str">
        <f>TEXT(tbl_analysis_tickets[[#This Row],[created_date]],"dddd")</f>
        <v>Tuesday</v>
      </c>
      <c r="V1872" cm="1">
        <f t="array" ref="V1872">_xlfn.SWITCH(tbl_analysis_tickets[[#This Row],[priority]],
"Urgent",1,
"High",2,
"Medium",3,
"Low",4
)</f>
        <v>1</v>
      </c>
    </row>
    <row r="1873" spans="1:22" x14ac:dyDescent="0.25">
      <c r="A1873">
        <v>1872</v>
      </c>
      <c r="B1873" s="1">
        <v>45344</v>
      </c>
      <c r="C1873" t="s">
        <v>23</v>
      </c>
      <c r="D1873" t="s">
        <v>17</v>
      </c>
      <c r="E1873">
        <v>70</v>
      </c>
      <c r="F1873">
        <v>59</v>
      </c>
      <c r="G1873">
        <v>5.4</v>
      </c>
      <c r="H1873" t="s">
        <v>12</v>
      </c>
      <c r="I1873" t="s">
        <v>19</v>
      </c>
      <c r="J1873" t="s">
        <v>11</v>
      </c>
      <c r="K1873">
        <f>_xlfn.XLOOKUP(tbl_analysis_tickets[[#This Row],[priority]],tbl_sla[priority],tbl_sla[Resolution SLA Hours])</f>
        <v>8</v>
      </c>
      <c r="L1873">
        <f>_xlfn.XLOOKUP(tbl_analysis_tickets[[#This Row],[priority]],tbl_sla[priority],tbl_sla[First Response SLA Minutes])</f>
        <v>30</v>
      </c>
      <c r="M1873" t="str">
        <f>IF(tbl_analysis_tickets[[#This Row],[resolution_time_hours]]&gt;tbl_analysis_tickets[[#This Row],[Resolution SLA Hours]],"Breached","Within SLA")</f>
        <v>Breached</v>
      </c>
      <c r="N1873" t="str">
        <f>IF(tbl_analysis_tickets[[#This Row],[first_response_minutes]]&gt;tbl_analysis_tickets[[#This Row],[First Response SLA Minutes]],"Breached","Within SLA")</f>
        <v>Breached</v>
      </c>
      <c r="O1873" t="str" cm="1">
        <f t="array" ref="O1873">_xlfn.IFS(
tbl_analysis_tickets[[#This Row],[agent_experience_years]]&lt;=2,"Junior",
tbl_analysis_tickets[[#This Row],[agent_experience_years]]&lt;=5,"Mid-Level",
tbl_analysis_tickets[[#This Row],[agent_experience_years]]&lt;=8,"Senior",
tbl_analysis_tickets[[#This Row],[agent_experience_years]]&gt;8,"Expert"
)</f>
        <v>Senior</v>
      </c>
      <c r="P1873" cm="1">
        <f t="array" ref="P1873">_xlfn.SWITCH(tbl_analysis_tickets[[#This Row],[customer_satisfaction]],
"Low",1,
"Medium",2,
"High",3
)</f>
        <v>1</v>
      </c>
      <c r="Q1873">
        <f>IF(tbl_analysis_tickets[[#This Row],[reopened]]="Yes",1,0)</f>
        <v>1</v>
      </c>
      <c r="R1873" t="str" cm="1">
        <f t="array" ref="R1873">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873" t="str" cm="1">
        <f t="array" ref="S187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873" t="str">
        <f>TEXT(tbl_analysis_tickets[[#This Row],[created_date]],"mmm-yyyy")</f>
        <v>Feb-2024</v>
      </c>
      <c r="U1873" t="str">
        <f>TEXT(tbl_analysis_tickets[[#This Row],[created_date]],"dddd")</f>
        <v>Thursday</v>
      </c>
      <c r="V1873" cm="1">
        <f t="array" ref="V1873">_xlfn.SWITCH(tbl_analysis_tickets[[#This Row],[priority]],
"Urgent",1,
"High",2,
"Medium",3,
"Low",4
)</f>
        <v>1</v>
      </c>
    </row>
    <row r="1874" spans="1:22" x14ac:dyDescent="0.25">
      <c r="A1874">
        <v>1873</v>
      </c>
      <c r="B1874" s="1">
        <v>45642</v>
      </c>
      <c r="C1874" t="s">
        <v>23</v>
      </c>
      <c r="D1874" t="s">
        <v>20</v>
      </c>
      <c r="E1874">
        <v>75</v>
      </c>
      <c r="F1874">
        <v>5</v>
      </c>
      <c r="G1874">
        <v>5</v>
      </c>
      <c r="H1874" t="s">
        <v>18</v>
      </c>
      <c r="I1874" t="s">
        <v>13</v>
      </c>
      <c r="J1874" t="s">
        <v>15</v>
      </c>
      <c r="K1874">
        <f>_xlfn.XLOOKUP(tbl_analysis_tickets[[#This Row],[priority]],tbl_sla[priority],tbl_sla[Resolution SLA Hours])</f>
        <v>24</v>
      </c>
      <c r="L1874">
        <f>_xlfn.XLOOKUP(tbl_analysis_tickets[[#This Row],[priority]],tbl_sla[priority],tbl_sla[First Response SLA Minutes])</f>
        <v>60</v>
      </c>
      <c r="M1874" t="str">
        <f>IF(tbl_analysis_tickets[[#This Row],[resolution_time_hours]]&gt;tbl_analysis_tickets[[#This Row],[Resolution SLA Hours]],"Breached","Within SLA")</f>
        <v>Within SLA</v>
      </c>
      <c r="N1874" t="str">
        <f>IF(tbl_analysis_tickets[[#This Row],[first_response_minutes]]&gt;tbl_analysis_tickets[[#This Row],[First Response SLA Minutes]],"Breached","Within SLA")</f>
        <v>Breached</v>
      </c>
      <c r="O1874" t="str" cm="1">
        <f t="array" ref="O1874">_xlfn.IFS(
tbl_analysis_tickets[[#This Row],[agent_experience_years]]&lt;=2,"Junior",
tbl_analysis_tickets[[#This Row],[agent_experience_years]]&lt;=5,"Mid-Level",
tbl_analysis_tickets[[#This Row],[agent_experience_years]]&lt;=8,"Senior",
tbl_analysis_tickets[[#This Row],[agent_experience_years]]&gt;8,"Expert"
)</f>
        <v>Mid-Level</v>
      </c>
      <c r="P1874" cm="1">
        <f t="array" ref="P1874">_xlfn.SWITCH(tbl_analysis_tickets[[#This Row],[customer_satisfaction]],
"Low",1,
"Medium",2,
"High",3
)</f>
        <v>2</v>
      </c>
      <c r="Q1874">
        <f>IF(tbl_analysis_tickets[[#This Row],[reopened]]="Yes",1,0)</f>
        <v>0</v>
      </c>
      <c r="R1874" t="str" cm="1">
        <f t="array" ref="R1874">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874" t="str" cm="1">
        <f t="array" ref="S187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1874" t="str">
        <f>TEXT(tbl_analysis_tickets[[#This Row],[created_date]],"mmm-yyyy")</f>
        <v>Dec-2024</v>
      </c>
      <c r="U1874" t="str">
        <f>TEXT(tbl_analysis_tickets[[#This Row],[created_date]],"dddd")</f>
        <v>Monday</v>
      </c>
      <c r="V1874" cm="1">
        <f t="array" ref="V1874">_xlfn.SWITCH(tbl_analysis_tickets[[#This Row],[priority]],
"Urgent",1,
"High",2,
"Medium",3,
"Low",4
)</f>
        <v>2</v>
      </c>
    </row>
    <row r="1875" spans="1:22" x14ac:dyDescent="0.25">
      <c r="A1875">
        <v>1874</v>
      </c>
      <c r="B1875" s="1">
        <v>45505</v>
      </c>
      <c r="C1875" t="s">
        <v>22</v>
      </c>
      <c r="D1875" t="s">
        <v>17</v>
      </c>
      <c r="E1875">
        <v>226</v>
      </c>
      <c r="F1875">
        <v>58</v>
      </c>
      <c r="G1875">
        <v>2.6</v>
      </c>
      <c r="H1875" t="s">
        <v>12</v>
      </c>
      <c r="I1875" t="s">
        <v>13</v>
      </c>
      <c r="J1875" t="s">
        <v>11</v>
      </c>
      <c r="K1875">
        <f>_xlfn.XLOOKUP(tbl_analysis_tickets[[#This Row],[priority]],tbl_sla[priority],tbl_sla[Resolution SLA Hours])</f>
        <v>8</v>
      </c>
      <c r="L1875">
        <f>_xlfn.XLOOKUP(tbl_analysis_tickets[[#This Row],[priority]],tbl_sla[priority],tbl_sla[First Response SLA Minutes])</f>
        <v>30</v>
      </c>
      <c r="M1875" t="str">
        <f>IF(tbl_analysis_tickets[[#This Row],[resolution_time_hours]]&gt;tbl_analysis_tickets[[#This Row],[Resolution SLA Hours]],"Breached","Within SLA")</f>
        <v>Breached</v>
      </c>
      <c r="N1875" t="str">
        <f>IF(tbl_analysis_tickets[[#This Row],[first_response_minutes]]&gt;tbl_analysis_tickets[[#This Row],[First Response SLA Minutes]],"Breached","Within SLA")</f>
        <v>Breached</v>
      </c>
      <c r="O1875" t="str" cm="1">
        <f t="array" ref="O1875">_xlfn.IFS(
tbl_analysis_tickets[[#This Row],[agent_experience_years]]&lt;=2,"Junior",
tbl_analysis_tickets[[#This Row],[agent_experience_years]]&lt;=5,"Mid-Level",
tbl_analysis_tickets[[#This Row],[agent_experience_years]]&lt;=8,"Senior",
tbl_analysis_tickets[[#This Row],[agent_experience_years]]&gt;8,"Expert"
)</f>
        <v>Mid-Level</v>
      </c>
      <c r="P1875" cm="1">
        <f t="array" ref="P1875">_xlfn.SWITCH(tbl_analysis_tickets[[#This Row],[customer_satisfaction]],
"Low",1,
"Medium",2,
"High",3
)</f>
        <v>1</v>
      </c>
      <c r="Q1875">
        <f>IF(tbl_analysis_tickets[[#This Row],[reopened]]="Yes",1,0)</f>
        <v>1</v>
      </c>
      <c r="R1875" t="str" cm="1">
        <f t="array" ref="R1875">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875" t="str" cm="1">
        <f t="array" ref="S187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875" t="str">
        <f>TEXT(tbl_analysis_tickets[[#This Row],[created_date]],"mmm-yyyy")</f>
        <v>Aug-2024</v>
      </c>
      <c r="U1875" t="str">
        <f>TEXT(tbl_analysis_tickets[[#This Row],[created_date]],"dddd")</f>
        <v>Thursday</v>
      </c>
      <c r="V1875" cm="1">
        <f t="array" ref="V1875">_xlfn.SWITCH(tbl_analysis_tickets[[#This Row],[priority]],
"Urgent",1,
"High",2,
"Medium",3,
"Low",4
)</f>
        <v>1</v>
      </c>
    </row>
    <row r="1876" spans="1:22" x14ac:dyDescent="0.25">
      <c r="A1876">
        <v>1875</v>
      </c>
      <c r="B1876" s="1">
        <v>45596</v>
      </c>
      <c r="C1876" t="s">
        <v>23</v>
      </c>
      <c r="D1876" t="s">
        <v>20</v>
      </c>
      <c r="E1876">
        <v>223</v>
      </c>
      <c r="F1876">
        <v>27</v>
      </c>
      <c r="G1876">
        <v>3.5</v>
      </c>
      <c r="H1876" t="s">
        <v>18</v>
      </c>
      <c r="I1876" t="s">
        <v>13</v>
      </c>
      <c r="J1876" t="s">
        <v>11</v>
      </c>
      <c r="K1876">
        <f>_xlfn.XLOOKUP(tbl_analysis_tickets[[#This Row],[priority]],tbl_sla[priority],tbl_sla[Resolution SLA Hours])</f>
        <v>24</v>
      </c>
      <c r="L1876">
        <f>_xlfn.XLOOKUP(tbl_analysis_tickets[[#This Row],[priority]],tbl_sla[priority],tbl_sla[First Response SLA Minutes])</f>
        <v>60</v>
      </c>
      <c r="M1876" t="str">
        <f>IF(tbl_analysis_tickets[[#This Row],[resolution_time_hours]]&gt;tbl_analysis_tickets[[#This Row],[Resolution SLA Hours]],"Breached","Within SLA")</f>
        <v>Breached</v>
      </c>
      <c r="N1876" t="str">
        <f>IF(tbl_analysis_tickets[[#This Row],[first_response_minutes]]&gt;tbl_analysis_tickets[[#This Row],[First Response SLA Minutes]],"Breached","Within SLA")</f>
        <v>Breached</v>
      </c>
      <c r="O1876" t="str" cm="1">
        <f t="array" ref="O1876">_xlfn.IFS(
tbl_analysis_tickets[[#This Row],[agent_experience_years]]&lt;=2,"Junior",
tbl_analysis_tickets[[#This Row],[agent_experience_years]]&lt;=5,"Mid-Level",
tbl_analysis_tickets[[#This Row],[agent_experience_years]]&lt;=8,"Senior",
tbl_analysis_tickets[[#This Row],[agent_experience_years]]&gt;8,"Expert"
)</f>
        <v>Mid-Level</v>
      </c>
      <c r="P1876" cm="1">
        <f t="array" ref="P1876">_xlfn.SWITCH(tbl_analysis_tickets[[#This Row],[customer_satisfaction]],
"Low",1,
"Medium",2,
"High",3
)</f>
        <v>1</v>
      </c>
      <c r="Q1876">
        <f>IF(tbl_analysis_tickets[[#This Row],[reopened]]="Yes",1,0)</f>
        <v>0</v>
      </c>
      <c r="R1876" t="str" cm="1">
        <f t="array" ref="R1876">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876" t="str" cm="1">
        <f t="array" ref="S187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876" t="str">
        <f>TEXT(tbl_analysis_tickets[[#This Row],[created_date]],"mmm-yyyy")</f>
        <v>Oct-2024</v>
      </c>
      <c r="U1876" t="str">
        <f>TEXT(tbl_analysis_tickets[[#This Row],[created_date]],"dddd")</f>
        <v>Thursday</v>
      </c>
      <c r="V1876" cm="1">
        <f t="array" ref="V1876">_xlfn.SWITCH(tbl_analysis_tickets[[#This Row],[priority]],
"Urgent",1,
"High",2,
"Medium",3,
"Low",4
)</f>
        <v>2</v>
      </c>
    </row>
    <row r="1877" spans="1:22" x14ac:dyDescent="0.25">
      <c r="A1877">
        <v>1876</v>
      </c>
      <c r="B1877" s="1">
        <v>45380</v>
      </c>
      <c r="C1877" t="s">
        <v>10</v>
      </c>
      <c r="D1877" t="s">
        <v>20</v>
      </c>
      <c r="E1877">
        <v>203</v>
      </c>
      <c r="F1877">
        <v>41</v>
      </c>
      <c r="G1877">
        <v>0.9</v>
      </c>
      <c r="H1877" t="s">
        <v>18</v>
      </c>
      <c r="I1877" t="s">
        <v>16</v>
      </c>
      <c r="J1877" t="s">
        <v>11</v>
      </c>
      <c r="K1877">
        <f>_xlfn.XLOOKUP(tbl_analysis_tickets[[#This Row],[priority]],tbl_sla[priority],tbl_sla[Resolution SLA Hours])</f>
        <v>24</v>
      </c>
      <c r="L1877">
        <f>_xlfn.XLOOKUP(tbl_analysis_tickets[[#This Row],[priority]],tbl_sla[priority],tbl_sla[First Response SLA Minutes])</f>
        <v>60</v>
      </c>
      <c r="M1877" t="str">
        <f>IF(tbl_analysis_tickets[[#This Row],[resolution_time_hours]]&gt;tbl_analysis_tickets[[#This Row],[Resolution SLA Hours]],"Breached","Within SLA")</f>
        <v>Breached</v>
      </c>
      <c r="N1877" t="str">
        <f>IF(tbl_analysis_tickets[[#This Row],[first_response_minutes]]&gt;tbl_analysis_tickets[[#This Row],[First Response SLA Minutes]],"Breached","Within SLA")</f>
        <v>Breached</v>
      </c>
      <c r="O1877" t="str" cm="1">
        <f t="array" ref="O1877">_xlfn.IFS(
tbl_analysis_tickets[[#This Row],[agent_experience_years]]&lt;=2,"Junior",
tbl_analysis_tickets[[#This Row],[agent_experience_years]]&lt;=5,"Mid-Level",
tbl_analysis_tickets[[#This Row],[agent_experience_years]]&lt;=8,"Senior",
tbl_analysis_tickets[[#This Row],[agent_experience_years]]&gt;8,"Expert"
)</f>
        <v>Junior</v>
      </c>
      <c r="P1877" cm="1">
        <f t="array" ref="P1877">_xlfn.SWITCH(tbl_analysis_tickets[[#This Row],[customer_satisfaction]],
"Low",1,
"Medium",2,
"High",3
)</f>
        <v>1</v>
      </c>
      <c r="Q1877">
        <f>IF(tbl_analysis_tickets[[#This Row],[reopened]]="Yes",1,0)</f>
        <v>0</v>
      </c>
      <c r="R1877" t="str" cm="1">
        <f t="array" ref="R1877">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877" t="str" cm="1">
        <f t="array" ref="S187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877" t="str">
        <f>TEXT(tbl_analysis_tickets[[#This Row],[created_date]],"mmm-yyyy")</f>
        <v>Mar-2024</v>
      </c>
      <c r="U1877" t="str">
        <f>TEXT(tbl_analysis_tickets[[#This Row],[created_date]],"dddd")</f>
        <v>Friday</v>
      </c>
      <c r="V1877" cm="1">
        <f t="array" ref="V1877">_xlfn.SWITCH(tbl_analysis_tickets[[#This Row],[priority]],
"Urgent",1,
"High",2,
"Medium",3,
"Low",4
)</f>
        <v>2</v>
      </c>
    </row>
    <row r="1878" spans="1:22" x14ac:dyDescent="0.25">
      <c r="A1878">
        <v>1877</v>
      </c>
      <c r="B1878" s="1">
        <v>45549</v>
      </c>
      <c r="C1878" t="s">
        <v>22</v>
      </c>
      <c r="D1878" t="s">
        <v>11</v>
      </c>
      <c r="E1878">
        <v>85</v>
      </c>
      <c r="F1878">
        <v>11</v>
      </c>
      <c r="G1878">
        <v>0.6</v>
      </c>
      <c r="H1878" t="s">
        <v>18</v>
      </c>
      <c r="I1878" t="s">
        <v>13</v>
      </c>
      <c r="J1878" t="s">
        <v>11</v>
      </c>
      <c r="K1878">
        <f>_xlfn.XLOOKUP(tbl_analysis_tickets[[#This Row],[priority]],tbl_sla[priority],tbl_sla[Resolution SLA Hours])</f>
        <v>72</v>
      </c>
      <c r="L1878">
        <f>_xlfn.XLOOKUP(tbl_analysis_tickets[[#This Row],[priority]],tbl_sla[priority],tbl_sla[First Response SLA Minutes])</f>
        <v>240</v>
      </c>
      <c r="M1878" t="str">
        <f>IF(tbl_analysis_tickets[[#This Row],[resolution_time_hours]]&gt;tbl_analysis_tickets[[#This Row],[Resolution SLA Hours]],"Breached","Within SLA")</f>
        <v>Within SLA</v>
      </c>
      <c r="N1878" t="str">
        <f>IF(tbl_analysis_tickets[[#This Row],[first_response_minutes]]&gt;tbl_analysis_tickets[[#This Row],[First Response SLA Minutes]],"Breached","Within SLA")</f>
        <v>Within SLA</v>
      </c>
      <c r="O1878" t="str" cm="1">
        <f t="array" ref="O1878">_xlfn.IFS(
tbl_analysis_tickets[[#This Row],[agent_experience_years]]&lt;=2,"Junior",
tbl_analysis_tickets[[#This Row],[agent_experience_years]]&lt;=5,"Mid-Level",
tbl_analysis_tickets[[#This Row],[agent_experience_years]]&lt;=8,"Senior",
tbl_analysis_tickets[[#This Row],[agent_experience_years]]&gt;8,"Expert"
)</f>
        <v>Junior</v>
      </c>
      <c r="P1878" cm="1">
        <f t="array" ref="P1878">_xlfn.SWITCH(tbl_analysis_tickets[[#This Row],[customer_satisfaction]],
"Low",1,
"Medium",2,
"High",3
)</f>
        <v>1</v>
      </c>
      <c r="Q1878">
        <f>IF(tbl_analysis_tickets[[#This Row],[reopened]]="Yes",1,0)</f>
        <v>0</v>
      </c>
      <c r="R1878" t="str" cm="1">
        <f t="array" ref="R1878">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878" t="str" cm="1">
        <f t="array" ref="S187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878" t="str">
        <f>TEXT(tbl_analysis_tickets[[#This Row],[created_date]],"mmm-yyyy")</f>
        <v>Sep-2024</v>
      </c>
      <c r="U1878" t="str">
        <f>TEXT(tbl_analysis_tickets[[#This Row],[created_date]],"dddd")</f>
        <v>Saturday</v>
      </c>
      <c r="V1878" cm="1">
        <f t="array" ref="V1878">_xlfn.SWITCH(tbl_analysis_tickets[[#This Row],[priority]],
"Urgent",1,
"High",2,
"Medium",3,
"Low",4
)</f>
        <v>4</v>
      </c>
    </row>
    <row r="1879" spans="1:22" x14ac:dyDescent="0.25">
      <c r="A1879">
        <v>1878</v>
      </c>
      <c r="B1879" s="1">
        <v>45403</v>
      </c>
      <c r="C1879" t="s">
        <v>14</v>
      </c>
      <c r="D1879" t="s">
        <v>11</v>
      </c>
      <c r="E1879">
        <v>175</v>
      </c>
      <c r="F1879">
        <v>29</v>
      </c>
      <c r="G1879">
        <v>2</v>
      </c>
      <c r="H1879" t="s">
        <v>12</v>
      </c>
      <c r="I1879" t="s">
        <v>16</v>
      </c>
      <c r="J1879" t="s">
        <v>11</v>
      </c>
      <c r="K1879">
        <f>_xlfn.XLOOKUP(tbl_analysis_tickets[[#This Row],[priority]],tbl_sla[priority],tbl_sla[Resolution SLA Hours])</f>
        <v>72</v>
      </c>
      <c r="L1879">
        <f>_xlfn.XLOOKUP(tbl_analysis_tickets[[#This Row],[priority]],tbl_sla[priority],tbl_sla[First Response SLA Minutes])</f>
        <v>240</v>
      </c>
      <c r="M1879" t="str">
        <f>IF(tbl_analysis_tickets[[#This Row],[resolution_time_hours]]&gt;tbl_analysis_tickets[[#This Row],[Resolution SLA Hours]],"Breached","Within SLA")</f>
        <v>Within SLA</v>
      </c>
      <c r="N1879" t="str">
        <f>IF(tbl_analysis_tickets[[#This Row],[first_response_minutes]]&gt;tbl_analysis_tickets[[#This Row],[First Response SLA Minutes]],"Breached","Within SLA")</f>
        <v>Within SLA</v>
      </c>
      <c r="O1879" t="str" cm="1">
        <f t="array" ref="O1879">_xlfn.IFS(
tbl_analysis_tickets[[#This Row],[agent_experience_years]]&lt;=2,"Junior",
tbl_analysis_tickets[[#This Row],[agent_experience_years]]&lt;=5,"Mid-Level",
tbl_analysis_tickets[[#This Row],[agent_experience_years]]&lt;=8,"Senior",
tbl_analysis_tickets[[#This Row],[agent_experience_years]]&gt;8,"Expert"
)</f>
        <v>Junior</v>
      </c>
      <c r="P1879" cm="1">
        <f t="array" ref="P1879">_xlfn.SWITCH(tbl_analysis_tickets[[#This Row],[customer_satisfaction]],
"Low",1,
"Medium",2,
"High",3
)</f>
        <v>1</v>
      </c>
      <c r="Q1879">
        <f>IF(tbl_analysis_tickets[[#This Row],[reopened]]="Yes",1,0)</f>
        <v>1</v>
      </c>
      <c r="R1879" t="str" cm="1">
        <f t="array" ref="R1879">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879" t="str" cm="1">
        <f t="array" ref="S187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879" t="str">
        <f>TEXT(tbl_analysis_tickets[[#This Row],[created_date]],"mmm-yyyy")</f>
        <v>Apr-2024</v>
      </c>
      <c r="U1879" t="str">
        <f>TEXT(tbl_analysis_tickets[[#This Row],[created_date]],"dddd")</f>
        <v>Sunday</v>
      </c>
      <c r="V1879" cm="1">
        <f t="array" ref="V1879">_xlfn.SWITCH(tbl_analysis_tickets[[#This Row],[priority]],
"Urgent",1,
"High",2,
"Medium",3,
"Low",4
)</f>
        <v>4</v>
      </c>
    </row>
    <row r="1880" spans="1:22" x14ac:dyDescent="0.25">
      <c r="A1880">
        <v>1879</v>
      </c>
      <c r="B1880" s="1">
        <v>45639</v>
      </c>
      <c r="C1880" t="s">
        <v>23</v>
      </c>
      <c r="D1880" t="s">
        <v>20</v>
      </c>
      <c r="E1880">
        <v>108</v>
      </c>
      <c r="F1880">
        <v>11</v>
      </c>
      <c r="G1880">
        <v>8.6</v>
      </c>
      <c r="H1880" t="s">
        <v>12</v>
      </c>
      <c r="I1880" t="s">
        <v>13</v>
      </c>
      <c r="J1880" t="s">
        <v>11</v>
      </c>
      <c r="K1880">
        <f>_xlfn.XLOOKUP(tbl_analysis_tickets[[#This Row],[priority]],tbl_sla[priority],tbl_sla[Resolution SLA Hours])</f>
        <v>24</v>
      </c>
      <c r="L1880">
        <f>_xlfn.XLOOKUP(tbl_analysis_tickets[[#This Row],[priority]],tbl_sla[priority],tbl_sla[First Response SLA Minutes])</f>
        <v>60</v>
      </c>
      <c r="M1880" t="str">
        <f>IF(tbl_analysis_tickets[[#This Row],[resolution_time_hours]]&gt;tbl_analysis_tickets[[#This Row],[Resolution SLA Hours]],"Breached","Within SLA")</f>
        <v>Within SLA</v>
      </c>
      <c r="N1880" t="str">
        <f>IF(tbl_analysis_tickets[[#This Row],[first_response_minutes]]&gt;tbl_analysis_tickets[[#This Row],[First Response SLA Minutes]],"Breached","Within SLA")</f>
        <v>Breached</v>
      </c>
      <c r="O1880" t="str" cm="1">
        <f t="array" ref="O1880">_xlfn.IFS(
tbl_analysis_tickets[[#This Row],[agent_experience_years]]&lt;=2,"Junior",
tbl_analysis_tickets[[#This Row],[agent_experience_years]]&lt;=5,"Mid-Level",
tbl_analysis_tickets[[#This Row],[agent_experience_years]]&lt;=8,"Senior",
tbl_analysis_tickets[[#This Row],[agent_experience_years]]&gt;8,"Expert"
)</f>
        <v>Expert</v>
      </c>
      <c r="P1880" cm="1">
        <f t="array" ref="P1880">_xlfn.SWITCH(tbl_analysis_tickets[[#This Row],[customer_satisfaction]],
"Low",1,
"Medium",2,
"High",3
)</f>
        <v>1</v>
      </c>
      <c r="Q1880">
        <f>IF(tbl_analysis_tickets[[#This Row],[reopened]]="Yes",1,0)</f>
        <v>1</v>
      </c>
      <c r="R1880" t="str" cm="1">
        <f t="array" ref="R1880">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880" t="str" cm="1">
        <f t="array" ref="S188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880" t="str">
        <f>TEXT(tbl_analysis_tickets[[#This Row],[created_date]],"mmm-yyyy")</f>
        <v>Dec-2024</v>
      </c>
      <c r="U1880" t="str">
        <f>TEXT(tbl_analysis_tickets[[#This Row],[created_date]],"dddd")</f>
        <v>Friday</v>
      </c>
      <c r="V1880" cm="1">
        <f t="array" ref="V1880">_xlfn.SWITCH(tbl_analysis_tickets[[#This Row],[priority]],
"Urgent",1,
"High",2,
"Medium",3,
"Low",4
)</f>
        <v>2</v>
      </c>
    </row>
    <row r="1881" spans="1:22" x14ac:dyDescent="0.25">
      <c r="A1881">
        <v>1880</v>
      </c>
      <c r="B1881" s="1">
        <v>45477</v>
      </c>
      <c r="C1881" t="s">
        <v>14</v>
      </c>
      <c r="D1881" t="s">
        <v>17</v>
      </c>
      <c r="E1881">
        <v>128</v>
      </c>
      <c r="F1881">
        <v>16</v>
      </c>
      <c r="G1881">
        <v>0.6</v>
      </c>
      <c r="H1881" t="s">
        <v>18</v>
      </c>
      <c r="I1881" t="s">
        <v>19</v>
      </c>
      <c r="J1881" t="s">
        <v>11</v>
      </c>
      <c r="K1881">
        <f>_xlfn.XLOOKUP(tbl_analysis_tickets[[#This Row],[priority]],tbl_sla[priority],tbl_sla[Resolution SLA Hours])</f>
        <v>8</v>
      </c>
      <c r="L1881">
        <f>_xlfn.XLOOKUP(tbl_analysis_tickets[[#This Row],[priority]],tbl_sla[priority],tbl_sla[First Response SLA Minutes])</f>
        <v>30</v>
      </c>
      <c r="M1881" t="str">
        <f>IF(tbl_analysis_tickets[[#This Row],[resolution_time_hours]]&gt;tbl_analysis_tickets[[#This Row],[Resolution SLA Hours]],"Breached","Within SLA")</f>
        <v>Breached</v>
      </c>
      <c r="N1881" t="str">
        <f>IF(tbl_analysis_tickets[[#This Row],[first_response_minutes]]&gt;tbl_analysis_tickets[[#This Row],[First Response SLA Minutes]],"Breached","Within SLA")</f>
        <v>Breached</v>
      </c>
      <c r="O1881" t="str" cm="1">
        <f t="array" ref="O1881">_xlfn.IFS(
tbl_analysis_tickets[[#This Row],[agent_experience_years]]&lt;=2,"Junior",
tbl_analysis_tickets[[#This Row],[agent_experience_years]]&lt;=5,"Mid-Level",
tbl_analysis_tickets[[#This Row],[agent_experience_years]]&lt;=8,"Senior",
tbl_analysis_tickets[[#This Row],[agent_experience_years]]&gt;8,"Expert"
)</f>
        <v>Junior</v>
      </c>
      <c r="P1881" cm="1">
        <f t="array" ref="P1881">_xlfn.SWITCH(tbl_analysis_tickets[[#This Row],[customer_satisfaction]],
"Low",1,
"Medium",2,
"High",3
)</f>
        <v>1</v>
      </c>
      <c r="Q1881">
        <f>IF(tbl_analysis_tickets[[#This Row],[reopened]]="Yes",1,0)</f>
        <v>0</v>
      </c>
      <c r="R1881" t="str" cm="1">
        <f t="array" ref="R1881">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881" t="str" cm="1">
        <f t="array" ref="S188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881" t="str">
        <f>TEXT(tbl_analysis_tickets[[#This Row],[created_date]],"mmm-yyyy")</f>
        <v>Jul-2024</v>
      </c>
      <c r="U1881" t="str">
        <f>TEXT(tbl_analysis_tickets[[#This Row],[created_date]],"dddd")</f>
        <v>Thursday</v>
      </c>
      <c r="V1881" cm="1">
        <f t="array" ref="V1881">_xlfn.SWITCH(tbl_analysis_tickets[[#This Row],[priority]],
"Urgent",1,
"High",2,
"Medium",3,
"Low",4
)</f>
        <v>1</v>
      </c>
    </row>
    <row r="1882" spans="1:22" x14ac:dyDescent="0.25">
      <c r="A1882">
        <v>1881</v>
      </c>
      <c r="B1882" s="1">
        <v>45563</v>
      </c>
      <c r="C1882" t="s">
        <v>21</v>
      </c>
      <c r="D1882" t="s">
        <v>17</v>
      </c>
      <c r="E1882">
        <v>21</v>
      </c>
      <c r="F1882">
        <v>59</v>
      </c>
      <c r="G1882">
        <v>3</v>
      </c>
      <c r="H1882" t="s">
        <v>12</v>
      </c>
      <c r="I1882" t="s">
        <v>16</v>
      </c>
      <c r="J1882" t="s">
        <v>11</v>
      </c>
      <c r="K1882">
        <f>_xlfn.XLOOKUP(tbl_analysis_tickets[[#This Row],[priority]],tbl_sla[priority],tbl_sla[Resolution SLA Hours])</f>
        <v>8</v>
      </c>
      <c r="L1882">
        <f>_xlfn.XLOOKUP(tbl_analysis_tickets[[#This Row],[priority]],tbl_sla[priority],tbl_sla[First Response SLA Minutes])</f>
        <v>30</v>
      </c>
      <c r="M1882" t="str">
        <f>IF(tbl_analysis_tickets[[#This Row],[resolution_time_hours]]&gt;tbl_analysis_tickets[[#This Row],[Resolution SLA Hours]],"Breached","Within SLA")</f>
        <v>Breached</v>
      </c>
      <c r="N1882" t="str">
        <f>IF(tbl_analysis_tickets[[#This Row],[first_response_minutes]]&gt;tbl_analysis_tickets[[#This Row],[First Response SLA Minutes]],"Breached","Within SLA")</f>
        <v>Within SLA</v>
      </c>
      <c r="O1882" t="str" cm="1">
        <f t="array" ref="O1882">_xlfn.IFS(
tbl_analysis_tickets[[#This Row],[agent_experience_years]]&lt;=2,"Junior",
tbl_analysis_tickets[[#This Row],[agent_experience_years]]&lt;=5,"Mid-Level",
tbl_analysis_tickets[[#This Row],[agent_experience_years]]&lt;=8,"Senior",
tbl_analysis_tickets[[#This Row],[agent_experience_years]]&gt;8,"Expert"
)</f>
        <v>Mid-Level</v>
      </c>
      <c r="P1882" cm="1">
        <f t="array" ref="P1882">_xlfn.SWITCH(tbl_analysis_tickets[[#This Row],[customer_satisfaction]],
"Low",1,
"Medium",2,
"High",3
)</f>
        <v>1</v>
      </c>
      <c r="Q1882">
        <f>IF(tbl_analysis_tickets[[#This Row],[reopened]]="Yes",1,0)</f>
        <v>1</v>
      </c>
      <c r="R1882" t="str" cm="1">
        <f t="array" ref="R1882">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1882" t="str" cm="1">
        <f t="array" ref="S188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882" t="str">
        <f>TEXT(tbl_analysis_tickets[[#This Row],[created_date]],"mmm-yyyy")</f>
        <v>Sep-2024</v>
      </c>
      <c r="U1882" t="str">
        <f>TEXT(tbl_analysis_tickets[[#This Row],[created_date]],"dddd")</f>
        <v>Saturday</v>
      </c>
      <c r="V1882" cm="1">
        <f t="array" ref="V1882">_xlfn.SWITCH(tbl_analysis_tickets[[#This Row],[priority]],
"Urgent",1,
"High",2,
"Medium",3,
"Low",4
)</f>
        <v>1</v>
      </c>
    </row>
    <row r="1883" spans="1:22" x14ac:dyDescent="0.25">
      <c r="A1883">
        <v>1882</v>
      </c>
      <c r="B1883" s="1">
        <v>45343</v>
      </c>
      <c r="C1883" t="s">
        <v>10</v>
      </c>
      <c r="D1883" t="s">
        <v>15</v>
      </c>
      <c r="E1883">
        <v>234</v>
      </c>
      <c r="F1883">
        <v>52</v>
      </c>
      <c r="G1883">
        <v>1</v>
      </c>
      <c r="H1883" t="s">
        <v>12</v>
      </c>
      <c r="I1883" t="s">
        <v>16</v>
      </c>
      <c r="J1883" t="s">
        <v>11</v>
      </c>
      <c r="K1883">
        <f>_xlfn.XLOOKUP(tbl_analysis_tickets[[#This Row],[priority]],tbl_sla[priority],tbl_sla[Resolution SLA Hours])</f>
        <v>48</v>
      </c>
      <c r="L1883">
        <f>_xlfn.XLOOKUP(tbl_analysis_tickets[[#This Row],[priority]],tbl_sla[priority],tbl_sla[First Response SLA Minutes])</f>
        <v>120</v>
      </c>
      <c r="M1883" t="str">
        <f>IF(tbl_analysis_tickets[[#This Row],[resolution_time_hours]]&gt;tbl_analysis_tickets[[#This Row],[Resolution SLA Hours]],"Breached","Within SLA")</f>
        <v>Breached</v>
      </c>
      <c r="N1883" t="str">
        <f>IF(tbl_analysis_tickets[[#This Row],[first_response_minutes]]&gt;tbl_analysis_tickets[[#This Row],[First Response SLA Minutes]],"Breached","Within SLA")</f>
        <v>Breached</v>
      </c>
      <c r="O1883" t="str" cm="1">
        <f t="array" ref="O1883">_xlfn.IFS(
tbl_analysis_tickets[[#This Row],[agent_experience_years]]&lt;=2,"Junior",
tbl_analysis_tickets[[#This Row],[agent_experience_years]]&lt;=5,"Mid-Level",
tbl_analysis_tickets[[#This Row],[agent_experience_years]]&lt;=8,"Senior",
tbl_analysis_tickets[[#This Row],[agent_experience_years]]&gt;8,"Expert"
)</f>
        <v>Junior</v>
      </c>
      <c r="P1883" cm="1">
        <f t="array" ref="P1883">_xlfn.SWITCH(tbl_analysis_tickets[[#This Row],[customer_satisfaction]],
"Low",1,
"Medium",2,
"High",3
)</f>
        <v>1</v>
      </c>
      <c r="Q1883">
        <f>IF(tbl_analysis_tickets[[#This Row],[reopened]]="Yes",1,0)</f>
        <v>1</v>
      </c>
      <c r="R1883" t="str" cm="1">
        <f t="array" ref="R1883">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883" t="str" cm="1">
        <f t="array" ref="S188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883" t="str">
        <f>TEXT(tbl_analysis_tickets[[#This Row],[created_date]],"mmm-yyyy")</f>
        <v>Feb-2024</v>
      </c>
      <c r="U1883" t="str">
        <f>TEXT(tbl_analysis_tickets[[#This Row],[created_date]],"dddd")</f>
        <v>Wednesday</v>
      </c>
      <c r="V1883" cm="1">
        <f t="array" ref="V1883">_xlfn.SWITCH(tbl_analysis_tickets[[#This Row],[priority]],
"Urgent",1,
"High",2,
"Medium",3,
"Low",4
)</f>
        <v>3</v>
      </c>
    </row>
    <row r="1884" spans="1:22" x14ac:dyDescent="0.25">
      <c r="A1884">
        <v>1883</v>
      </c>
      <c r="B1884" s="1">
        <v>45399</v>
      </c>
      <c r="C1884" t="s">
        <v>21</v>
      </c>
      <c r="D1884" t="s">
        <v>20</v>
      </c>
      <c r="E1884">
        <v>187</v>
      </c>
      <c r="F1884">
        <v>27</v>
      </c>
      <c r="G1884">
        <v>3.7</v>
      </c>
      <c r="H1884" t="s">
        <v>18</v>
      </c>
      <c r="I1884" t="s">
        <v>19</v>
      </c>
      <c r="J1884" t="s">
        <v>11</v>
      </c>
      <c r="K1884">
        <f>_xlfn.XLOOKUP(tbl_analysis_tickets[[#This Row],[priority]],tbl_sla[priority],tbl_sla[Resolution SLA Hours])</f>
        <v>24</v>
      </c>
      <c r="L1884">
        <f>_xlfn.XLOOKUP(tbl_analysis_tickets[[#This Row],[priority]],tbl_sla[priority],tbl_sla[First Response SLA Minutes])</f>
        <v>60</v>
      </c>
      <c r="M1884" t="str">
        <f>IF(tbl_analysis_tickets[[#This Row],[resolution_time_hours]]&gt;tbl_analysis_tickets[[#This Row],[Resolution SLA Hours]],"Breached","Within SLA")</f>
        <v>Breached</v>
      </c>
      <c r="N1884" t="str">
        <f>IF(tbl_analysis_tickets[[#This Row],[first_response_minutes]]&gt;tbl_analysis_tickets[[#This Row],[First Response SLA Minutes]],"Breached","Within SLA")</f>
        <v>Breached</v>
      </c>
      <c r="O1884" t="str" cm="1">
        <f t="array" ref="O1884">_xlfn.IFS(
tbl_analysis_tickets[[#This Row],[agent_experience_years]]&lt;=2,"Junior",
tbl_analysis_tickets[[#This Row],[agent_experience_years]]&lt;=5,"Mid-Level",
tbl_analysis_tickets[[#This Row],[agent_experience_years]]&lt;=8,"Senior",
tbl_analysis_tickets[[#This Row],[agent_experience_years]]&gt;8,"Expert"
)</f>
        <v>Mid-Level</v>
      </c>
      <c r="P1884" cm="1">
        <f t="array" ref="P1884">_xlfn.SWITCH(tbl_analysis_tickets[[#This Row],[customer_satisfaction]],
"Low",1,
"Medium",2,
"High",3
)</f>
        <v>1</v>
      </c>
      <c r="Q1884">
        <f>IF(tbl_analysis_tickets[[#This Row],[reopened]]="Yes",1,0)</f>
        <v>0</v>
      </c>
      <c r="R1884" t="str" cm="1">
        <f t="array" ref="R1884">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884" t="str" cm="1">
        <f t="array" ref="S188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884" t="str">
        <f>TEXT(tbl_analysis_tickets[[#This Row],[created_date]],"mmm-yyyy")</f>
        <v>Apr-2024</v>
      </c>
      <c r="U1884" t="str">
        <f>TEXT(tbl_analysis_tickets[[#This Row],[created_date]],"dddd")</f>
        <v>Wednesday</v>
      </c>
      <c r="V1884" cm="1">
        <f t="array" ref="V1884">_xlfn.SWITCH(tbl_analysis_tickets[[#This Row],[priority]],
"Urgent",1,
"High",2,
"Medium",3,
"Low",4
)</f>
        <v>2</v>
      </c>
    </row>
    <row r="1885" spans="1:22" x14ac:dyDescent="0.25">
      <c r="A1885">
        <v>1884</v>
      </c>
      <c r="B1885" s="1">
        <v>45377</v>
      </c>
      <c r="C1885" t="s">
        <v>23</v>
      </c>
      <c r="D1885" t="s">
        <v>15</v>
      </c>
      <c r="E1885">
        <v>83</v>
      </c>
      <c r="F1885">
        <v>31</v>
      </c>
      <c r="G1885">
        <v>5.2</v>
      </c>
      <c r="H1885" t="s">
        <v>12</v>
      </c>
      <c r="I1885" t="s">
        <v>19</v>
      </c>
      <c r="J1885" t="s">
        <v>11</v>
      </c>
      <c r="K1885">
        <f>_xlfn.XLOOKUP(tbl_analysis_tickets[[#This Row],[priority]],tbl_sla[priority],tbl_sla[Resolution SLA Hours])</f>
        <v>48</v>
      </c>
      <c r="L1885">
        <f>_xlfn.XLOOKUP(tbl_analysis_tickets[[#This Row],[priority]],tbl_sla[priority],tbl_sla[First Response SLA Minutes])</f>
        <v>120</v>
      </c>
      <c r="M1885" t="str">
        <f>IF(tbl_analysis_tickets[[#This Row],[resolution_time_hours]]&gt;tbl_analysis_tickets[[#This Row],[Resolution SLA Hours]],"Breached","Within SLA")</f>
        <v>Within SLA</v>
      </c>
      <c r="N1885" t="str">
        <f>IF(tbl_analysis_tickets[[#This Row],[first_response_minutes]]&gt;tbl_analysis_tickets[[#This Row],[First Response SLA Minutes]],"Breached","Within SLA")</f>
        <v>Within SLA</v>
      </c>
      <c r="O1885" t="str" cm="1">
        <f t="array" ref="O1885">_xlfn.IFS(
tbl_analysis_tickets[[#This Row],[agent_experience_years]]&lt;=2,"Junior",
tbl_analysis_tickets[[#This Row],[agent_experience_years]]&lt;=5,"Mid-Level",
tbl_analysis_tickets[[#This Row],[agent_experience_years]]&lt;=8,"Senior",
tbl_analysis_tickets[[#This Row],[agent_experience_years]]&gt;8,"Expert"
)</f>
        <v>Senior</v>
      </c>
      <c r="P1885" cm="1">
        <f t="array" ref="P1885">_xlfn.SWITCH(tbl_analysis_tickets[[#This Row],[customer_satisfaction]],
"Low",1,
"Medium",2,
"High",3
)</f>
        <v>1</v>
      </c>
      <c r="Q1885">
        <f>IF(tbl_analysis_tickets[[#This Row],[reopened]]="Yes",1,0)</f>
        <v>1</v>
      </c>
      <c r="R1885" t="str" cm="1">
        <f t="array" ref="R1885">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885" t="str" cm="1">
        <f t="array" ref="S188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885" t="str">
        <f>TEXT(tbl_analysis_tickets[[#This Row],[created_date]],"mmm-yyyy")</f>
        <v>Mar-2024</v>
      </c>
      <c r="U1885" t="str">
        <f>TEXT(tbl_analysis_tickets[[#This Row],[created_date]],"dddd")</f>
        <v>Tuesday</v>
      </c>
      <c r="V1885" cm="1">
        <f t="array" ref="V1885">_xlfn.SWITCH(tbl_analysis_tickets[[#This Row],[priority]],
"Urgent",1,
"High",2,
"Medium",3,
"Low",4
)</f>
        <v>3</v>
      </c>
    </row>
    <row r="1886" spans="1:22" x14ac:dyDescent="0.25">
      <c r="A1886">
        <v>1885</v>
      </c>
      <c r="B1886" s="1">
        <v>45363</v>
      </c>
      <c r="C1886" t="s">
        <v>23</v>
      </c>
      <c r="D1886" t="s">
        <v>11</v>
      </c>
      <c r="E1886">
        <v>154</v>
      </c>
      <c r="F1886">
        <v>43</v>
      </c>
      <c r="G1886">
        <v>3</v>
      </c>
      <c r="H1886" t="s">
        <v>18</v>
      </c>
      <c r="I1886" t="s">
        <v>16</v>
      </c>
      <c r="J1886" t="s">
        <v>11</v>
      </c>
      <c r="K1886">
        <f>_xlfn.XLOOKUP(tbl_analysis_tickets[[#This Row],[priority]],tbl_sla[priority],tbl_sla[Resolution SLA Hours])</f>
        <v>72</v>
      </c>
      <c r="L1886">
        <f>_xlfn.XLOOKUP(tbl_analysis_tickets[[#This Row],[priority]],tbl_sla[priority],tbl_sla[First Response SLA Minutes])</f>
        <v>240</v>
      </c>
      <c r="M1886" t="str">
        <f>IF(tbl_analysis_tickets[[#This Row],[resolution_time_hours]]&gt;tbl_analysis_tickets[[#This Row],[Resolution SLA Hours]],"Breached","Within SLA")</f>
        <v>Within SLA</v>
      </c>
      <c r="N1886" t="str">
        <f>IF(tbl_analysis_tickets[[#This Row],[first_response_minutes]]&gt;tbl_analysis_tickets[[#This Row],[First Response SLA Minutes]],"Breached","Within SLA")</f>
        <v>Within SLA</v>
      </c>
      <c r="O1886" t="str" cm="1">
        <f t="array" ref="O1886">_xlfn.IFS(
tbl_analysis_tickets[[#This Row],[agent_experience_years]]&lt;=2,"Junior",
tbl_analysis_tickets[[#This Row],[agent_experience_years]]&lt;=5,"Mid-Level",
tbl_analysis_tickets[[#This Row],[agent_experience_years]]&lt;=8,"Senior",
tbl_analysis_tickets[[#This Row],[agent_experience_years]]&gt;8,"Expert"
)</f>
        <v>Mid-Level</v>
      </c>
      <c r="P1886" cm="1">
        <f t="array" ref="P1886">_xlfn.SWITCH(tbl_analysis_tickets[[#This Row],[customer_satisfaction]],
"Low",1,
"Medium",2,
"High",3
)</f>
        <v>1</v>
      </c>
      <c r="Q1886">
        <f>IF(tbl_analysis_tickets[[#This Row],[reopened]]="Yes",1,0)</f>
        <v>0</v>
      </c>
      <c r="R1886" t="str" cm="1">
        <f t="array" ref="R1886">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886" t="str" cm="1">
        <f t="array" ref="S188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886" t="str">
        <f>TEXT(tbl_analysis_tickets[[#This Row],[created_date]],"mmm-yyyy")</f>
        <v>Mar-2024</v>
      </c>
      <c r="U1886" t="str">
        <f>TEXT(tbl_analysis_tickets[[#This Row],[created_date]],"dddd")</f>
        <v>Tuesday</v>
      </c>
      <c r="V1886" cm="1">
        <f t="array" ref="V1886">_xlfn.SWITCH(tbl_analysis_tickets[[#This Row],[priority]],
"Urgent",1,
"High",2,
"Medium",3,
"Low",4
)</f>
        <v>4</v>
      </c>
    </row>
    <row r="1887" spans="1:22" x14ac:dyDescent="0.25">
      <c r="A1887">
        <v>1886</v>
      </c>
      <c r="B1887" s="1">
        <v>45623</v>
      </c>
      <c r="C1887" t="s">
        <v>21</v>
      </c>
      <c r="D1887" t="s">
        <v>15</v>
      </c>
      <c r="E1887">
        <v>197</v>
      </c>
      <c r="F1887">
        <v>50</v>
      </c>
      <c r="G1887">
        <v>3</v>
      </c>
      <c r="H1887" t="s">
        <v>18</v>
      </c>
      <c r="I1887" t="s">
        <v>16</v>
      </c>
      <c r="J1887" t="s">
        <v>11</v>
      </c>
      <c r="K1887">
        <f>_xlfn.XLOOKUP(tbl_analysis_tickets[[#This Row],[priority]],tbl_sla[priority],tbl_sla[Resolution SLA Hours])</f>
        <v>48</v>
      </c>
      <c r="L1887">
        <f>_xlfn.XLOOKUP(tbl_analysis_tickets[[#This Row],[priority]],tbl_sla[priority],tbl_sla[First Response SLA Minutes])</f>
        <v>120</v>
      </c>
      <c r="M1887" t="str">
        <f>IF(tbl_analysis_tickets[[#This Row],[resolution_time_hours]]&gt;tbl_analysis_tickets[[#This Row],[Resolution SLA Hours]],"Breached","Within SLA")</f>
        <v>Breached</v>
      </c>
      <c r="N1887" t="str">
        <f>IF(tbl_analysis_tickets[[#This Row],[first_response_minutes]]&gt;tbl_analysis_tickets[[#This Row],[First Response SLA Minutes]],"Breached","Within SLA")</f>
        <v>Breached</v>
      </c>
      <c r="O1887" t="str" cm="1">
        <f t="array" ref="O1887">_xlfn.IFS(
tbl_analysis_tickets[[#This Row],[agent_experience_years]]&lt;=2,"Junior",
tbl_analysis_tickets[[#This Row],[agent_experience_years]]&lt;=5,"Mid-Level",
tbl_analysis_tickets[[#This Row],[agent_experience_years]]&lt;=8,"Senior",
tbl_analysis_tickets[[#This Row],[agent_experience_years]]&gt;8,"Expert"
)</f>
        <v>Mid-Level</v>
      </c>
      <c r="P1887" cm="1">
        <f t="array" ref="P1887">_xlfn.SWITCH(tbl_analysis_tickets[[#This Row],[customer_satisfaction]],
"Low",1,
"Medium",2,
"High",3
)</f>
        <v>1</v>
      </c>
      <c r="Q1887">
        <f>IF(tbl_analysis_tickets[[#This Row],[reopened]]="Yes",1,0)</f>
        <v>0</v>
      </c>
      <c r="R1887" t="str" cm="1">
        <f t="array" ref="R1887">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887" t="str" cm="1">
        <f t="array" ref="S188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887" t="str">
        <f>TEXT(tbl_analysis_tickets[[#This Row],[created_date]],"mmm-yyyy")</f>
        <v>Nov-2024</v>
      </c>
      <c r="U1887" t="str">
        <f>TEXT(tbl_analysis_tickets[[#This Row],[created_date]],"dddd")</f>
        <v>Wednesday</v>
      </c>
      <c r="V1887" cm="1">
        <f t="array" ref="V1887">_xlfn.SWITCH(tbl_analysis_tickets[[#This Row],[priority]],
"Urgent",1,
"High",2,
"Medium",3,
"Low",4
)</f>
        <v>3</v>
      </c>
    </row>
    <row r="1888" spans="1:22" x14ac:dyDescent="0.25">
      <c r="A1888">
        <v>1887</v>
      </c>
      <c r="B1888" s="1">
        <v>45504</v>
      </c>
      <c r="C1888" t="s">
        <v>21</v>
      </c>
      <c r="D1888" t="s">
        <v>15</v>
      </c>
      <c r="E1888">
        <v>124</v>
      </c>
      <c r="F1888">
        <v>19</v>
      </c>
      <c r="G1888">
        <v>1.3</v>
      </c>
      <c r="H1888" t="s">
        <v>18</v>
      </c>
      <c r="I1888" t="s">
        <v>16</v>
      </c>
      <c r="J1888" t="s">
        <v>11</v>
      </c>
      <c r="K1888">
        <f>_xlfn.XLOOKUP(tbl_analysis_tickets[[#This Row],[priority]],tbl_sla[priority],tbl_sla[Resolution SLA Hours])</f>
        <v>48</v>
      </c>
      <c r="L1888">
        <f>_xlfn.XLOOKUP(tbl_analysis_tickets[[#This Row],[priority]],tbl_sla[priority],tbl_sla[First Response SLA Minutes])</f>
        <v>120</v>
      </c>
      <c r="M1888" t="str">
        <f>IF(tbl_analysis_tickets[[#This Row],[resolution_time_hours]]&gt;tbl_analysis_tickets[[#This Row],[Resolution SLA Hours]],"Breached","Within SLA")</f>
        <v>Within SLA</v>
      </c>
      <c r="N1888" t="str">
        <f>IF(tbl_analysis_tickets[[#This Row],[first_response_minutes]]&gt;tbl_analysis_tickets[[#This Row],[First Response SLA Minutes]],"Breached","Within SLA")</f>
        <v>Breached</v>
      </c>
      <c r="O1888" t="str" cm="1">
        <f t="array" ref="O1888">_xlfn.IFS(
tbl_analysis_tickets[[#This Row],[agent_experience_years]]&lt;=2,"Junior",
tbl_analysis_tickets[[#This Row],[agent_experience_years]]&lt;=5,"Mid-Level",
tbl_analysis_tickets[[#This Row],[agent_experience_years]]&lt;=8,"Senior",
tbl_analysis_tickets[[#This Row],[agent_experience_years]]&gt;8,"Expert"
)</f>
        <v>Junior</v>
      </c>
      <c r="P1888" cm="1">
        <f t="array" ref="P1888">_xlfn.SWITCH(tbl_analysis_tickets[[#This Row],[customer_satisfaction]],
"Low",1,
"Medium",2,
"High",3
)</f>
        <v>1</v>
      </c>
      <c r="Q1888">
        <f>IF(tbl_analysis_tickets[[#This Row],[reopened]]="Yes",1,0)</f>
        <v>0</v>
      </c>
      <c r="R1888" t="str" cm="1">
        <f t="array" ref="R1888">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888" t="str" cm="1">
        <f t="array" ref="S188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888" t="str">
        <f>TEXT(tbl_analysis_tickets[[#This Row],[created_date]],"mmm-yyyy")</f>
        <v>Jul-2024</v>
      </c>
      <c r="U1888" t="str">
        <f>TEXT(tbl_analysis_tickets[[#This Row],[created_date]],"dddd")</f>
        <v>Wednesday</v>
      </c>
      <c r="V1888" cm="1">
        <f t="array" ref="V1888">_xlfn.SWITCH(tbl_analysis_tickets[[#This Row],[priority]],
"Urgent",1,
"High",2,
"Medium",3,
"Low",4
)</f>
        <v>3</v>
      </c>
    </row>
    <row r="1889" spans="1:22" x14ac:dyDescent="0.25">
      <c r="A1889">
        <v>1888</v>
      </c>
      <c r="B1889" s="1">
        <v>45389</v>
      </c>
      <c r="C1889" t="s">
        <v>10</v>
      </c>
      <c r="D1889" t="s">
        <v>11</v>
      </c>
      <c r="E1889">
        <v>228</v>
      </c>
      <c r="F1889">
        <v>60</v>
      </c>
      <c r="G1889">
        <v>8</v>
      </c>
      <c r="H1889" t="s">
        <v>12</v>
      </c>
      <c r="I1889" t="s">
        <v>19</v>
      </c>
      <c r="J1889" t="s">
        <v>11</v>
      </c>
      <c r="K1889">
        <f>_xlfn.XLOOKUP(tbl_analysis_tickets[[#This Row],[priority]],tbl_sla[priority],tbl_sla[Resolution SLA Hours])</f>
        <v>72</v>
      </c>
      <c r="L1889">
        <f>_xlfn.XLOOKUP(tbl_analysis_tickets[[#This Row],[priority]],tbl_sla[priority],tbl_sla[First Response SLA Minutes])</f>
        <v>240</v>
      </c>
      <c r="M1889" t="str">
        <f>IF(tbl_analysis_tickets[[#This Row],[resolution_time_hours]]&gt;tbl_analysis_tickets[[#This Row],[Resolution SLA Hours]],"Breached","Within SLA")</f>
        <v>Within SLA</v>
      </c>
      <c r="N1889" t="str">
        <f>IF(tbl_analysis_tickets[[#This Row],[first_response_minutes]]&gt;tbl_analysis_tickets[[#This Row],[First Response SLA Minutes]],"Breached","Within SLA")</f>
        <v>Within SLA</v>
      </c>
      <c r="O1889" t="str" cm="1">
        <f t="array" ref="O1889">_xlfn.IFS(
tbl_analysis_tickets[[#This Row],[agent_experience_years]]&lt;=2,"Junior",
tbl_analysis_tickets[[#This Row],[agent_experience_years]]&lt;=5,"Mid-Level",
tbl_analysis_tickets[[#This Row],[agent_experience_years]]&lt;=8,"Senior",
tbl_analysis_tickets[[#This Row],[agent_experience_years]]&gt;8,"Expert"
)</f>
        <v>Senior</v>
      </c>
      <c r="P1889" cm="1">
        <f t="array" ref="P1889">_xlfn.SWITCH(tbl_analysis_tickets[[#This Row],[customer_satisfaction]],
"Low",1,
"Medium",2,
"High",3
)</f>
        <v>1</v>
      </c>
      <c r="Q1889">
        <f>IF(tbl_analysis_tickets[[#This Row],[reopened]]="Yes",1,0)</f>
        <v>1</v>
      </c>
      <c r="R1889" t="str" cm="1">
        <f t="array" ref="R1889">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889" t="str" cm="1">
        <f t="array" ref="S188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889" t="str">
        <f>TEXT(tbl_analysis_tickets[[#This Row],[created_date]],"mmm-yyyy")</f>
        <v>Apr-2024</v>
      </c>
      <c r="U1889" t="str">
        <f>TEXT(tbl_analysis_tickets[[#This Row],[created_date]],"dddd")</f>
        <v>Sunday</v>
      </c>
      <c r="V1889" cm="1">
        <f t="array" ref="V1889">_xlfn.SWITCH(tbl_analysis_tickets[[#This Row],[priority]],
"Urgent",1,
"High",2,
"Medium",3,
"Low",4
)</f>
        <v>4</v>
      </c>
    </row>
    <row r="1890" spans="1:22" x14ac:dyDescent="0.25">
      <c r="A1890">
        <v>1889</v>
      </c>
      <c r="B1890" s="1">
        <v>45454</v>
      </c>
      <c r="C1890" t="s">
        <v>23</v>
      </c>
      <c r="D1890" t="s">
        <v>11</v>
      </c>
      <c r="E1890">
        <v>183</v>
      </c>
      <c r="F1890">
        <v>4</v>
      </c>
      <c r="G1890">
        <v>9.6999999999999993</v>
      </c>
      <c r="H1890" t="s">
        <v>18</v>
      </c>
      <c r="I1890" t="s">
        <v>16</v>
      </c>
      <c r="J1890" t="s">
        <v>20</v>
      </c>
      <c r="K1890">
        <f>_xlfn.XLOOKUP(tbl_analysis_tickets[[#This Row],[priority]],tbl_sla[priority],tbl_sla[Resolution SLA Hours])</f>
        <v>72</v>
      </c>
      <c r="L1890">
        <f>_xlfn.XLOOKUP(tbl_analysis_tickets[[#This Row],[priority]],tbl_sla[priority],tbl_sla[First Response SLA Minutes])</f>
        <v>240</v>
      </c>
      <c r="M1890" t="str">
        <f>IF(tbl_analysis_tickets[[#This Row],[resolution_time_hours]]&gt;tbl_analysis_tickets[[#This Row],[Resolution SLA Hours]],"Breached","Within SLA")</f>
        <v>Within SLA</v>
      </c>
      <c r="N1890" t="str">
        <f>IF(tbl_analysis_tickets[[#This Row],[first_response_minutes]]&gt;tbl_analysis_tickets[[#This Row],[First Response SLA Minutes]],"Breached","Within SLA")</f>
        <v>Within SLA</v>
      </c>
      <c r="O1890" t="str" cm="1">
        <f t="array" ref="O1890">_xlfn.IFS(
tbl_analysis_tickets[[#This Row],[agent_experience_years]]&lt;=2,"Junior",
tbl_analysis_tickets[[#This Row],[agent_experience_years]]&lt;=5,"Mid-Level",
tbl_analysis_tickets[[#This Row],[agent_experience_years]]&lt;=8,"Senior",
tbl_analysis_tickets[[#This Row],[agent_experience_years]]&gt;8,"Expert"
)</f>
        <v>Expert</v>
      </c>
      <c r="P1890" cm="1">
        <f t="array" ref="P1890">_xlfn.SWITCH(tbl_analysis_tickets[[#This Row],[customer_satisfaction]],
"Low",1,
"Medium",2,
"High",3
)</f>
        <v>3</v>
      </c>
      <c r="Q1890">
        <f>IF(tbl_analysis_tickets[[#This Row],[reopened]]="Yes",1,0)</f>
        <v>0</v>
      </c>
      <c r="R1890" t="str" cm="1">
        <f t="array" ref="R1890">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890" t="str" cm="1">
        <f t="array" ref="S189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1890" t="str">
        <f>TEXT(tbl_analysis_tickets[[#This Row],[created_date]],"mmm-yyyy")</f>
        <v>Jun-2024</v>
      </c>
      <c r="U1890" t="str">
        <f>TEXT(tbl_analysis_tickets[[#This Row],[created_date]],"dddd")</f>
        <v>Tuesday</v>
      </c>
      <c r="V1890" cm="1">
        <f t="array" ref="V1890">_xlfn.SWITCH(tbl_analysis_tickets[[#This Row],[priority]],
"Urgent",1,
"High",2,
"Medium",3,
"Low",4
)</f>
        <v>4</v>
      </c>
    </row>
    <row r="1891" spans="1:22" x14ac:dyDescent="0.25">
      <c r="A1891">
        <v>1890</v>
      </c>
      <c r="B1891" s="1">
        <v>45414</v>
      </c>
      <c r="C1891" t="s">
        <v>23</v>
      </c>
      <c r="D1891" t="s">
        <v>11</v>
      </c>
      <c r="E1891">
        <v>65</v>
      </c>
      <c r="F1891">
        <v>16</v>
      </c>
      <c r="G1891">
        <v>6.6</v>
      </c>
      <c r="H1891" t="s">
        <v>12</v>
      </c>
      <c r="I1891" t="s">
        <v>13</v>
      </c>
      <c r="J1891" t="s">
        <v>11</v>
      </c>
      <c r="K1891">
        <f>_xlfn.XLOOKUP(tbl_analysis_tickets[[#This Row],[priority]],tbl_sla[priority],tbl_sla[Resolution SLA Hours])</f>
        <v>72</v>
      </c>
      <c r="L1891">
        <f>_xlfn.XLOOKUP(tbl_analysis_tickets[[#This Row],[priority]],tbl_sla[priority],tbl_sla[First Response SLA Minutes])</f>
        <v>240</v>
      </c>
      <c r="M1891" t="str">
        <f>IF(tbl_analysis_tickets[[#This Row],[resolution_time_hours]]&gt;tbl_analysis_tickets[[#This Row],[Resolution SLA Hours]],"Breached","Within SLA")</f>
        <v>Within SLA</v>
      </c>
      <c r="N1891" t="str">
        <f>IF(tbl_analysis_tickets[[#This Row],[first_response_minutes]]&gt;tbl_analysis_tickets[[#This Row],[First Response SLA Minutes]],"Breached","Within SLA")</f>
        <v>Within SLA</v>
      </c>
      <c r="O1891" t="str" cm="1">
        <f t="array" ref="O1891">_xlfn.IFS(
tbl_analysis_tickets[[#This Row],[agent_experience_years]]&lt;=2,"Junior",
tbl_analysis_tickets[[#This Row],[agent_experience_years]]&lt;=5,"Mid-Level",
tbl_analysis_tickets[[#This Row],[agent_experience_years]]&lt;=8,"Senior",
tbl_analysis_tickets[[#This Row],[agent_experience_years]]&gt;8,"Expert"
)</f>
        <v>Senior</v>
      </c>
      <c r="P1891" cm="1">
        <f t="array" ref="P1891">_xlfn.SWITCH(tbl_analysis_tickets[[#This Row],[customer_satisfaction]],
"Low",1,
"Medium",2,
"High",3
)</f>
        <v>1</v>
      </c>
      <c r="Q1891">
        <f>IF(tbl_analysis_tickets[[#This Row],[reopened]]="Yes",1,0)</f>
        <v>1</v>
      </c>
      <c r="R1891" t="str" cm="1">
        <f t="array" ref="R1891">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891" t="str" cm="1">
        <f t="array" ref="S189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891" t="str">
        <f>TEXT(tbl_analysis_tickets[[#This Row],[created_date]],"mmm-yyyy")</f>
        <v>May-2024</v>
      </c>
      <c r="U1891" t="str">
        <f>TEXT(tbl_analysis_tickets[[#This Row],[created_date]],"dddd")</f>
        <v>Thursday</v>
      </c>
      <c r="V1891" cm="1">
        <f t="array" ref="V1891">_xlfn.SWITCH(tbl_analysis_tickets[[#This Row],[priority]],
"Urgent",1,
"High",2,
"Medium",3,
"Low",4
)</f>
        <v>4</v>
      </c>
    </row>
    <row r="1892" spans="1:22" x14ac:dyDescent="0.25">
      <c r="A1892">
        <v>1891</v>
      </c>
      <c r="B1892" s="1">
        <v>45495</v>
      </c>
      <c r="C1892" t="s">
        <v>21</v>
      </c>
      <c r="D1892" t="s">
        <v>11</v>
      </c>
      <c r="E1892">
        <v>194</v>
      </c>
      <c r="F1892">
        <v>68</v>
      </c>
      <c r="G1892">
        <v>7</v>
      </c>
      <c r="H1892" t="s">
        <v>12</v>
      </c>
      <c r="I1892" t="s">
        <v>13</v>
      </c>
      <c r="J1892" t="s">
        <v>11</v>
      </c>
      <c r="K1892">
        <f>_xlfn.XLOOKUP(tbl_analysis_tickets[[#This Row],[priority]],tbl_sla[priority],tbl_sla[Resolution SLA Hours])</f>
        <v>72</v>
      </c>
      <c r="L1892">
        <f>_xlfn.XLOOKUP(tbl_analysis_tickets[[#This Row],[priority]],tbl_sla[priority],tbl_sla[First Response SLA Minutes])</f>
        <v>240</v>
      </c>
      <c r="M1892" t="str">
        <f>IF(tbl_analysis_tickets[[#This Row],[resolution_time_hours]]&gt;tbl_analysis_tickets[[#This Row],[Resolution SLA Hours]],"Breached","Within SLA")</f>
        <v>Within SLA</v>
      </c>
      <c r="N1892" t="str">
        <f>IF(tbl_analysis_tickets[[#This Row],[first_response_minutes]]&gt;tbl_analysis_tickets[[#This Row],[First Response SLA Minutes]],"Breached","Within SLA")</f>
        <v>Within SLA</v>
      </c>
      <c r="O1892" t="str" cm="1">
        <f t="array" ref="O1892">_xlfn.IFS(
tbl_analysis_tickets[[#This Row],[agent_experience_years]]&lt;=2,"Junior",
tbl_analysis_tickets[[#This Row],[agent_experience_years]]&lt;=5,"Mid-Level",
tbl_analysis_tickets[[#This Row],[agent_experience_years]]&lt;=8,"Senior",
tbl_analysis_tickets[[#This Row],[agent_experience_years]]&gt;8,"Expert"
)</f>
        <v>Senior</v>
      </c>
      <c r="P1892" cm="1">
        <f t="array" ref="P1892">_xlfn.SWITCH(tbl_analysis_tickets[[#This Row],[customer_satisfaction]],
"Low",1,
"Medium",2,
"High",3
)</f>
        <v>1</v>
      </c>
      <c r="Q1892">
        <f>IF(tbl_analysis_tickets[[#This Row],[reopened]]="Yes",1,0)</f>
        <v>1</v>
      </c>
      <c r="R1892" t="str" cm="1">
        <f t="array" ref="R1892">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892" t="str" cm="1">
        <f t="array" ref="S189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892" t="str">
        <f>TEXT(tbl_analysis_tickets[[#This Row],[created_date]],"mmm-yyyy")</f>
        <v>Jul-2024</v>
      </c>
      <c r="U1892" t="str">
        <f>TEXT(tbl_analysis_tickets[[#This Row],[created_date]],"dddd")</f>
        <v>Monday</v>
      </c>
      <c r="V1892" cm="1">
        <f t="array" ref="V1892">_xlfn.SWITCH(tbl_analysis_tickets[[#This Row],[priority]],
"Urgent",1,
"High",2,
"Medium",3,
"Low",4
)</f>
        <v>4</v>
      </c>
    </row>
    <row r="1893" spans="1:22" x14ac:dyDescent="0.25">
      <c r="A1893">
        <v>1892</v>
      </c>
      <c r="B1893" s="1">
        <v>45328</v>
      </c>
      <c r="C1893" t="s">
        <v>14</v>
      </c>
      <c r="D1893" t="s">
        <v>17</v>
      </c>
      <c r="E1893">
        <v>61</v>
      </c>
      <c r="F1893">
        <v>29</v>
      </c>
      <c r="G1893">
        <v>3.1</v>
      </c>
      <c r="H1893" t="s">
        <v>18</v>
      </c>
      <c r="I1893" t="s">
        <v>16</v>
      </c>
      <c r="J1893" t="s">
        <v>11</v>
      </c>
      <c r="K1893">
        <f>_xlfn.XLOOKUP(tbl_analysis_tickets[[#This Row],[priority]],tbl_sla[priority],tbl_sla[Resolution SLA Hours])</f>
        <v>8</v>
      </c>
      <c r="L1893">
        <f>_xlfn.XLOOKUP(tbl_analysis_tickets[[#This Row],[priority]],tbl_sla[priority],tbl_sla[First Response SLA Minutes])</f>
        <v>30</v>
      </c>
      <c r="M1893" t="str">
        <f>IF(tbl_analysis_tickets[[#This Row],[resolution_time_hours]]&gt;tbl_analysis_tickets[[#This Row],[Resolution SLA Hours]],"Breached","Within SLA")</f>
        <v>Breached</v>
      </c>
      <c r="N1893" t="str">
        <f>IF(tbl_analysis_tickets[[#This Row],[first_response_minutes]]&gt;tbl_analysis_tickets[[#This Row],[First Response SLA Minutes]],"Breached","Within SLA")</f>
        <v>Breached</v>
      </c>
      <c r="O1893" t="str" cm="1">
        <f t="array" ref="O1893">_xlfn.IFS(
tbl_analysis_tickets[[#This Row],[agent_experience_years]]&lt;=2,"Junior",
tbl_analysis_tickets[[#This Row],[agent_experience_years]]&lt;=5,"Mid-Level",
tbl_analysis_tickets[[#This Row],[agent_experience_years]]&lt;=8,"Senior",
tbl_analysis_tickets[[#This Row],[agent_experience_years]]&gt;8,"Expert"
)</f>
        <v>Mid-Level</v>
      </c>
      <c r="P1893" cm="1">
        <f t="array" ref="P1893">_xlfn.SWITCH(tbl_analysis_tickets[[#This Row],[customer_satisfaction]],
"Low",1,
"Medium",2,
"High",3
)</f>
        <v>1</v>
      </c>
      <c r="Q1893">
        <f>IF(tbl_analysis_tickets[[#This Row],[reopened]]="Yes",1,0)</f>
        <v>0</v>
      </c>
      <c r="R1893" t="str" cm="1">
        <f t="array" ref="R1893">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893" t="str" cm="1">
        <f t="array" ref="S189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893" t="str">
        <f>TEXT(tbl_analysis_tickets[[#This Row],[created_date]],"mmm-yyyy")</f>
        <v>Feb-2024</v>
      </c>
      <c r="U1893" t="str">
        <f>TEXT(tbl_analysis_tickets[[#This Row],[created_date]],"dddd")</f>
        <v>Tuesday</v>
      </c>
      <c r="V1893" cm="1">
        <f t="array" ref="V1893">_xlfn.SWITCH(tbl_analysis_tickets[[#This Row],[priority]],
"Urgent",1,
"High",2,
"Medium",3,
"Low",4
)</f>
        <v>1</v>
      </c>
    </row>
    <row r="1894" spans="1:22" x14ac:dyDescent="0.25">
      <c r="A1894">
        <v>1893</v>
      </c>
      <c r="B1894" s="1">
        <v>45319</v>
      </c>
      <c r="C1894" t="s">
        <v>21</v>
      </c>
      <c r="D1894" t="s">
        <v>20</v>
      </c>
      <c r="E1894">
        <v>40</v>
      </c>
      <c r="F1894">
        <v>39</v>
      </c>
      <c r="G1894">
        <v>7.2</v>
      </c>
      <c r="H1894" t="s">
        <v>18</v>
      </c>
      <c r="I1894" t="s">
        <v>16</v>
      </c>
      <c r="J1894" t="s">
        <v>11</v>
      </c>
      <c r="K1894">
        <f>_xlfn.XLOOKUP(tbl_analysis_tickets[[#This Row],[priority]],tbl_sla[priority],tbl_sla[Resolution SLA Hours])</f>
        <v>24</v>
      </c>
      <c r="L1894">
        <f>_xlfn.XLOOKUP(tbl_analysis_tickets[[#This Row],[priority]],tbl_sla[priority],tbl_sla[First Response SLA Minutes])</f>
        <v>60</v>
      </c>
      <c r="M1894" t="str">
        <f>IF(tbl_analysis_tickets[[#This Row],[resolution_time_hours]]&gt;tbl_analysis_tickets[[#This Row],[Resolution SLA Hours]],"Breached","Within SLA")</f>
        <v>Breached</v>
      </c>
      <c r="N1894" t="str">
        <f>IF(tbl_analysis_tickets[[#This Row],[first_response_minutes]]&gt;tbl_analysis_tickets[[#This Row],[First Response SLA Minutes]],"Breached","Within SLA")</f>
        <v>Within SLA</v>
      </c>
      <c r="O1894" t="str" cm="1">
        <f t="array" ref="O1894">_xlfn.IFS(
tbl_analysis_tickets[[#This Row],[agent_experience_years]]&lt;=2,"Junior",
tbl_analysis_tickets[[#This Row],[agent_experience_years]]&lt;=5,"Mid-Level",
tbl_analysis_tickets[[#This Row],[agent_experience_years]]&lt;=8,"Senior",
tbl_analysis_tickets[[#This Row],[agent_experience_years]]&gt;8,"Expert"
)</f>
        <v>Senior</v>
      </c>
      <c r="P1894" cm="1">
        <f t="array" ref="P1894">_xlfn.SWITCH(tbl_analysis_tickets[[#This Row],[customer_satisfaction]],
"Low",1,
"Medium",2,
"High",3
)</f>
        <v>1</v>
      </c>
      <c r="Q1894">
        <f>IF(tbl_analysis_tickets[[#This Row],[reopened]]="Yes",1,0)</f>
        <v>0</v>
      </c>
      <c r="R1894" t="str" cm="1">
        <f t="array" ref="R1894">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894" t="str" cm="1">
        <f t="array" ref="S189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894" t="str">
        <f>TEXT(tbl_analysis_tickets[[#This Row],[created_date]],"mmm-yyyy")</f>
        <v>Jan-2024</v>
      </c>
      <c r="U1894" t="str">
        <f>TEXT(tbl_analysis_tickets[[#This Row],[created_date]],"dddd")</f>
        <v>Sunday</v>
      </c>
      <c r="V1894" cm="1">
        <f t="array" ref="V1894">_xlfn.SWITCH(tbl_analysis_tickets[[#This Row],[priority]],
"Urgent",1,
"High",2,
"Medium",3,
"Low",4
)</f>
        <v>2</v>
      </c>
    </row>
    <row r="1895" spans="1:22" x14ac:dyDescent="0.25">
      <c r="A1895">
        <v>1894</v>
      </c>
      <c r="B1895" s="1">
        <v>45464</v>
      </c>
      <c r="C1895" t="s">
        <v>10</v>
      </c>
      <c r="D1895" t="s">
        <v>20</v>
      </c>
      <c r="E1895">
        <v>174</v>
      </c>
      <c r="F1895">
        <v>19</v>
      </c>
      <c r="G1895">
        <v>6.4</v>
      </c>
      <c r="H1895" t="s">
        <v>12</v>
      </c>
      <c r="I1895" t="s">
        <v>13</v>
      </c>
      <c r="J1895" t="s">
        <v>11</v>
      </c>
      <c r="K1895">
        <f>_xlfn.XLOOKUP(tbl_analysis_tickets[[#This Row],[priority]],tbl_sla[priority],tbl_sla[Resolution SLA Hours])</f>
        <v>24</v>
      </c>
      <c r="L1895">
        <f>_xlfn.XLOOKUP(tbl_analysis_tickets[[#This Row],[priority]],tbl_sla[priority],tbl_sla[First Response SLA Minutes])</f>
        <v>60</v>
      </c>
      <c r="M1895" t="str">
        <f>IF(tbl_analysis_tickets[[#This Row],[resolution_time_hours]]&gt;tbl_analysis_tickets[[#This Row],[Resolution SLA Hours]],"Breached","Within SLA")</f>
        <v>Within SLA</v>
      </c>
      <c r="N1895" t="str">
        <f>IF(tbl_analysis_tickets[[#This Row],[first_response_minutes]]&gt;tbl_analysis_tickets[[#This Row],[First Response SLA Minutes]],"Breached","Within SLA")</f>
        <v>Breached</v>
      </c>
      <c r="O1895" t="str" cm="1">
        <f t="array" ref="O1895">_xlfn.IFS(
tbl_analysis_tickets[[#This Row],[agent_experience_years]]&lt;=2,"Junior",
tbl_analysis_tickets[[#This Row],[agent_experience_years]]&lt;=5,"Mid-Level",
tbl_analysis_tickets[[#This Row],[agent_experience_years]]&lt;=8,"Senior",
tbl_analysis_tickets[[#This Row],[agent_experience_years]]&gt;8,"Expert"
)</f>
        <v>Senior</v>
      </c>
      <c r="P1895" cm="1">
        <f t="array" ref="P1895">_xlfn.SWITCH(tbl_analysis_tickets[[#This Row],[customer_satisfaction]],
"Low",1,
"Medium",2,
"High",3
)</f>
        <v>1</v>
      </c>
      <c r="Q1895">
        <f>IF(tbl_analysis_tickets[[#This Row],[reopened]]="Yes",1,0)</f>
        <v>1</v>
      </c>
      <c r="R1895" t="str" cm="1">
        <f t="array" ref="R1895">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895" t="str" cm="1">
        <f t="array" ref="S189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895" t="str">
        <f>TEXT(tbl_analysis_tickets[[#This Row],[created_date]],"mmm-yyyy")</f>
        <v>Jun-2024</v>
      </c>
      <c r="U1895" t="str">
        <f>TEXT(tbl_analysis_tickets[[#This Row],[created_date]],"dddd")</f>
        <v>Friday</v>
      </c>
      <c r="V1895" cm="1">
        <f t="array" ref="V1895">_xlfn.SWITCH(tbl_analysis_tickets[[#This Row],[priority]],
"Urgent",1,
"High",2,
"Medium",3,
"Low",4
)</f>
        <v>2</v>
      </c>
    </row>
    <row r="1896" spans="1:22" x14ac:dyDescent="0.25">
      <c r="A1896">
        <v>1895</v>
      </c>
      <c r="B1896" s="1">
        <v>45473</v>
      </c>
      <c r="C1896" t="s">
        <v>10</v>
      </c>
      <c r="D1896" t="s">
        <v>11</v>
      </c>
      <c r="E1896">
        <v>175</v>
      </c>
      <c r="F1896">
        <v>31</v>
      </c>
      <c r="G1896">
        <v>9.1999999999999993</v>
      </c>
      <c r="H1896" t="s">
        <v>18</v>
      </c>
      <c r="I1896" t="s">
        <v>13</v>
      </c>
      <c r="J1896" t="s">
        <v>15</v>
      </c>
      <c r="K1896">
        <f>_xlfn.XLOOKUP(tbl_analysis_tickets[[#This Row],[priority]],tbl_sla[priority],tbl_sla[Resolution SLA Hours])</f>
        <v>72</v>
      </c>
      <c r="L1896">
        <f>_xlfn.XLOOKUP(tbl_analysis_tickets[[#This Row],[priority]],tbl_sla[priority],tbl_sla[First Response SLA Minutes])</f>
        <v>240</v>
      </c>
      <c r="M1896" t="str">
        <f>IF(tbl_analysis_tickets[[#This Row],[resolution_time_hours]]&gt;tbl_analysis_tickets[[#This Row],[Resolution SLA Hours]],"Breached","Within SLA")</f>
        <v>Within SLA</v>
      </c>
      <c r="N1896" t="str">
        <f>IF(tbl_analysis_tickets[[#This Row],[first_response_minutes]]&gt;tbl_analysis_tickets[[#This Row],[First Response SLA Minutes]],"Breached","Within SLA")</f>
        <v>Within SLA</v>
      </c>
      <c r="O1896" t="str" cm="1">
        <f t="array" ref="O1896">_xlfn.IFS(
tbl_analysis_tickets[[#This Row],[agent_experience_years]]&lt;=2,"Junior",
tbl_analysis_tickets[[#This Row],[agent_experience_years]]&lt;=5,"Mid-Level",
tbl_analysis_tickets[[#This Row],[agent_experience_years]]&lt;=8,"Senior",
tbl_analysis_tickets[[#This Row],[agent_experience_years]]&gt;8,"Expert"
)</f>
        <v>Expert</v>
      </c>
      <c r="P1896" cm="1">
        <f t="array" ref="P1896">_xlfn.SWITCH(tbl_analysis_tickets[[#This Row],[customer_satisfaction]],
"Low",1,
"Medium",2,
"High",3
)</f>
        <v>2</v>
      </c>
      <c r="Q1896">
        <f>IF(tbl_analysis_tickets[[#This Row],[reopened]]="Yes",1,0)</f>
        <v>0</v>
      </c>
      <c r="R1896" t="str" cm="1">
        <f t="array" ref="R1896">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896" t="str" cm="1">
        <f t="array" ref="S189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896" t="str">
        <f>TEXT(tbl_analysis_tickets[[#This Row],[created_date]],"mmm-yyyy")</f>
        <v>Jun-2024</v>
      </c>
      <c r="U1896" t="str">
        <f>TEXT(tbl_analysis_tickets[[#This Row],[created_date]],"dddd")</f>
        <v>Sunday</v>
      </c>
      <c r="V1896" cm="1">
        <f t="array" ref="V1896">_xlfn.SWITCH(tbl_analysis_tickets[[#This Row],[priority]],
"Urgent",1,
"High",2,
"Medium",3,
"Low",4
)</f>
        <v>4</v>
      </c>
    </row>
    <row r="1897" spans="1:22" x14ac:dyDescent="0.25">
      <c r="A1897">
        <v>1896</v>
      </c>
      <c r="B1897" s="1">
        <v>45528</v>
      </c>
      <c r="C1897" t="s">
        <v>23</v>
      </c>
      <c r="D1897" t="s">
        <v>15</v>
      </c>
      <c r="E1897">
        <v>154</v>
      </c>
      <c r="F1897">
        <v>17</v>
      </c>
      <c r="G1897">
        <v>4.8</v>
      </c>
      <c r="H1897" t="s">
        <v>18</v>
      </c>
      <c r="I1897" t="s">
        <v>16</v>
      </c>
      <c r="J1897" t="s">
        <v>11</v>
      </c>
      <c r="K1897">
        <f>_xlfn.XLOOKUP(tbl_analysis_tickets[[#This Row],[priority]],tbl_sla[priority],tbl_sla[Resolution SLA Hours])</f>
        <v>48</v>
      </c>
      <c r="L1897">
        <f>_xlfn.XLOOKUP(tbl_analysis_tickets[[#This Row],[priority]],tbl_sla[priority],tbl_sla[First Response SLA Minutes])</f>
        <v>120</v>
      </c>
      <c r="M1897" t="str">
        <f>IF(tbl_analysis_tickets[[#This Row],[resolution_time_hours]]&gt;tbl_analysis_tickets[[#This Row],[Resolution SLA Hours]],"Breached","Within SLA")</f>
        <v>Within SLA</v>
      </c>
      <c r="N1897" t="str">
        <f>IF(tbl_analysis_tickets[[#This Row],[first_response_minutes]]&gt;tbl_analysis_tickets[[#This Row],[First Response SLA Minutes]],"Breached","Within SLA")</f>
        <v>Breached</v>
      </c>
      <c r="O1897" t="str" cm="1">
        <f t="array" ref="O1897">_xlfn.IFS(
tbl_analysis_tickets[[#This Row],[agent_experience_years]]&lt;=2,"Junior",
tbl_analysis_tickets[[#This Row],[agent_experience_years]]&lt;=5,"Mid-Level",
tbl_analysis_tickets[[#This Row],[agent_experience_years]]&lt;=8,"Senior",
tbl_analysis_tickets[[#This Row],[agent_experience_years]]&gt;8,"Expert"
)</f>
        <v>Mid-Level</v>
      </c>
      <c r="P1897" cm="1">
        <f t="array" ref="P1897">_xlfn.SWITCH(tbl_analysis_tickets[[#This Row],[customer_satisfaction]],
"Low",1,
"Medium",2,
"High",3
)</f>
        <v>1</v>
      </c>
      <c r="Q1897">
        <f>IF(tbl_analysis_tickets[[#This Row],[reopened]]="Yes",1,0)</f>
        <v>0</v>
      </c>
      <c r="R1897" t="str" cm="1">
        <f t="array" ref="R1897">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897" t="str" cm="1">
        <f t="array" ref="S189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897" t="str">
        <f>TEXT(tbl_analysis_tickets[[#This Row],[created_date]],"mmm-yyyy")</f>
        <v>Aug-2024</v>
      </c>
      <c r="U1897" t="str">
        <f>TEXT(tbl_analysis_tickets[[#This Row],[created_date]],"dddd")</f>
        <v>Saturday</v>
      </c>
      <c r="V1897" cm="1">
        <f t="array" ref="V1897">_xlfn.SWITCH(tbl_analysis_tickets[[#This Row],[priority]],
"Urgent",1,
"High",2,
"Medium",3,
"Low",4
)</f>
        <v>3</v>
      </c>
    </row>
    <row r="1898" spans="1:22" x14ac:dyDescent="0.25">
      <c r="A1898">
        <v>1897</v>
      </c>
      <c r="B1898" s="1">
        <v>45564</v>
      </c>
      <c r="C1898" t="s">
        <v>21</v>
      </c>
      <c r="D1898" t="s">
        <v>20</v>
      </c>
      <c r="E1898">
        <v>226</v>
      </c>
      <c r="F1898">
        <v>29</v>
      </c>
      <c r="G1898">
        <v>5.5</v>
      </c>
      <c r="H1898" t="s">
        <v>12</v>
      </c>
      <c r="I1898" t="s">
        <v>16</v>
      </c>
      <c r="J1898" t="s">
        <v>11</v>
      </c>
      <c r="K1898">
        <f>_xlfn.XLOOKUP(tbl_analysis_tickets[[#This Row],[priority]],tbl_sla[priority],tbl_sla[Resolution SLA Hours])</f>
        <v>24</v>
      </c>
      <c r="L1898">
        <f>_xlfn.XLOOKUP(tbl_analysis_tickets[[#This Row],[priority]],tbl_sla[priority],tbl_sla[First Response SLA Minutes])</f>
        <v>60</v>
      </c>
      <c r="M1898" t="str">
        <f>IF(tbl_analysis_tickets[[#This Row],[resolution_time_hours]]&gt;tbl_analysis_tickets[[#This Row],[Resolution SLA Hours]],"Breached","Within SLA")</f>
        <v>Breached</v>
      </c>
      <c r="N1898" t="str">
        <f>IF(tbl_analysis_tickets[[#This Row],[first_response_minutes]]&gt;tbl_analysis_tickets[[#This Row],[First Response SLA Minutes]],"Breached","Within SLA")</f>
        <v>Breached</v>
      </c>
      <c r="O1898" t="str" cm="1">
        <f t="array" ref="O1898">_xlfn.IFS(
tbl_analysis_tickets[[#This Row],[agent_experience_years]]&lt;=2,"Junior",
tbl_analysis_tickets[[#This Row],[agent_experience_years]]&lt;=5,"Mid-Level",
tbl_analysis_tickets[[#This Row],[agent_experience_years]]&lt;=8,"Senior",
tbl_analysis_tickets[[#This Row],[agent_experience_years]]&gt;8,"Expert"
)</f>
        <v>Senior</v>
      </c>
      <c r="P1898" cm="1">
        <f t="array" ref="P1898">_xlfn.SWITCH(tbl_analysis_tickets[[#This Row],[customer_satisfaction]],
"Low",1,
"Medium",2,
"High",3
)</f>
        <v>1</v>
      </c>
      <c r="Q1898">
        <f>IF(tbl_analysis_tickets[[#This Row],[reopened]]="Yes",1,0)</f>
        <v>1</v>
      </c>
      <c r="R1898" t="str" cm="1">
        <f t="array" ref="R1898">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898" t="str" cm="1">
        <f t="array" ref="S189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898" t="str">
        <f>TEXT(tbl_analysis_tickets[[#This Row],[created_date]],"mmm-yyyy")</f>
        <v>Sep-2024</v>
      </c>
      <c r="U1898" t="str">
        <f>TEXT(tbl_analysis_tickets[[#This Row],[created_date]],"dddd")</f>
        <v>Sunday</v>
      </c>
      <c r="V1898" cm="1">
        <f t="array" ref="V1898">_xlfn.SWITCH(tbl_analysis_tickets[[#This Row],[priority]],
"Urgent",1,
"High",2,
"Medium",3,
"Low",4
)</f>
        <v>2</v>
      </c>
    </row>
    <row r="1899" spans="1:22" x14ac:dyDescent="0.25">
      <c r="A1899">
        <v>1898</v>
      </c>
      <c r="B1899" s="1">
        <v>45464</v>
      </c>
      <c r="C1899" t="s">
        <v>22</v>
      </c>
      <c r="D1899" t="s">
        <v>20</v>
      </c>
      <c r="E1899">
        <v>33</v>
      </c>
      <c r="F1899">
        <v>71</v>
      </c>
      <c r="G1899">
        <v>2.5</v>
      </c>
      <c r="H1899" t="s">
        <v>12</v>
      </c>
      <c r="I1899" t="s">
        <v>19</v>
      </c>
      <c r="J1899" t="s">
        <v>11</v>
      </c>
      <c r="K1899">
        <f>_xlfn.XLOOKUP(tbl_analysis_tickets[[#This Row],[priority]],tbl_sla[priority],tbl_sla[Resolution SLA Hours])</f>
        <v>24</v>
      </c>
      <c r="L1899">
        <f>_xlfn.XLOOKUP(tbl_analysis_tickets[[#This Row],[priority]],tbl_sla[priority],tbl_sla[First Response SLA Minutes])</f>
        <v>60</v>
      </c>
      <c r="M1899" t="str">
        <f>IF(tbl_analysis_tickets[[#This Row],[resolution_time_hours]]&gt;tbl_analysis_tickets[[#This Row],[Resolution SLA Hours]],"Breached","Within SLA")</f>
        <v>Breached</v>
      </c>
      <c r="N1899" t="str">
        <f>IF(tbl_analysis_tickets[[#This Row],[first_response_minutes]]&gt;tbl_analysis_tickets[[#This Row],[First Response SLA Minutes]],"Breached","Within SLA")</f>
        <v>Within SLA</v>
      </c>
      <c r="O1899" t="str" cm="1">
        <f t="array" ref="O1899">_xlfn.IFS(
tbl_analysis_tickets[[#This Row],[agent_experience_years]]&lt;=2,"Junior",
tbl_analysis_tickets[[#This Row],[agent_experience_years]]&lt;=5,"Mid-Level",
tbl_analysis_tickets[[#This Row],[agent_experience_years]]&lt;=8,"Senior",
tbl_analysis_tickets[[#This Row],[agent_experience_years]]&gt;8,"Expert"
)</f>
        <v>Mid-Level</v>
      </c>
      <c r="P1899" cm="1">
        <f t="array" ref="P1899">_xlfn.SWITCH(tbl_analysis_tickets[[#This Row],[customer_satisfaction]],
"Low",1,
"Medium",2,
"High",3
)</f>
        <v>1</v>
      </c>
      <c r="Q1899">
        <f>IF(tbl_analysis_tickets[[#This Row],[reopened]]="Yes",1,0)</f>
        <v>1</v>
      </c>
      <c r="R1899" t="str" cm="1">
        <f t="array" ref="R1899">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899" t="str" cm="1">
        <f t="array" ref="S189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899" t="str">
        <f>TEXT(tbl_analysis_tickets[[#This Row],[created_date]],"mmm-yyyy")</f>
        <v>Jun-2024</v>
      </c>
      <c r="U1899" t="str">
        <f>TEXT(tbl_analysis_tickets[[#This Row],[created_date]],"dddd")</f>
        <v>Friday</v>
      </c>
      <c r="V1899" cm="1">
        <f t="array" ref="V1899">_xlfn.SWITCH(tbl_analysis_tickets[[#This Row],[priority]],
"Urgent",1,
"High",2,
"Medium",3,
"Low",4
)</f>
        <v>2</v>
      </c>
    </row>
    <row r="1900" spans="1:22" x14ac:dyDescent="0.25">
      <c r="A1900">
        <v>1899</v>
      </c>
      <c r="B1900" s="1">
        <v>45610</v>
      </c>
      <c r="C1900" t="s">
        <v>23</v>
      </c>
      <c r="D1900" t="s">
        <v>15</v>
      </c>
      <c r="E1900">
        <v>19</v>
      </c>
      <c r="F1900">
        <v>6</v>
      </c>
      <c r="G1900">
        <v>8.9</v>
      </c>
      <c r="H1900" t="s">
        <v>18</v>
      </c>
      <c r="I1900" t="s">
        <v>16</v>
      </c>
      <c r="J1900" t="s">
        <v>20</v>
      </c>
      <c r="K1900">
        <f>_xlfn.XLOOKUP(tbl_analysis_tickets[[#This Row],[priority]],tbl_sla[priority],tbl_sla[Resolution SLA Hours])</f>
        <v>48</v>
      </c>
      <c r="L1900">
        <f>_xlfn.XLOOKUP(tbl_analysis_tickets[[#This Row],[priority]],tbl_sla[priority],tbl_sla[First Response SLA Minutes])</f>
        <v>120</v>
      </c>
      <c r="M1900" t="str">
        <f>IF(tbl_analysis_tickets[[#This Row],[resolution_time_hours]]&gt;tbl_analysis_tickets[[#This Row],[Resolution SLA Hours]],"Breached","Within SLA")</f>
        <v>Within SLA</v>
      </c>
      <c r="N1900" t="str">
        <f>IF(tbl_analysis_tickets[[#This Row],[first_response_minutes]]&gt;tbl_analysis_tickets[[#This Row],[First Response SLA Minutes]],"Breached","Within SLA")</f>
        <v>Within SLA</v>
      </c>
      <c r="O1900" t="str" cm="1">
        <f t="array" ref="O1900">_xlfn.IFS(
tbl_analysis_tickets[[#This Row],[agent_experience_years]]&lt;=2,"Junior",
tbl_analysis_tickets[[#This Row],[agent_experience_years]]&lt;=5,"Mid-Level",
tbl_analysis_tickets[[#This Row],[agent_experience_years]]&lt;=8,"Senior",
tbl_analysis_tickets[[#This Row],[agent_experience_years]]&gt;8,"Expert"
)</f>
        <v>Expert</v>
      </c>
      <c r="P1900" cm="1">
        <f t="array" ref="P1900">_xlfn.SWITCH(tbl_analysis_tickets[[#This Row],[customer_satisfaction]],
"Low",1,
"Medium",2,
"High",3
)</f>
        <v>3</v>
      </c>
      <c r="Q1900">
        <f>IF(tbl_analysis_tickets[[#This Row],[reopened]]="Yes",1,0)</f>
        <v>0</v>
      </c>
      <c r="R1900" t="str" cm="1">
        <f t="array" ref="R1900">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1900" t="str" cm="1">
        <f t="array" ref="S190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1900" t="str">
        <f>TEXT(tbl_analysis_tickets[[#This Row],[created_date]],"mmm-yyyy")</f>
        <v>Nov-2024</v>
      </c>
      <c r="U1900" t="str">
        <f>TEXT(tbl_analysis_tickets[[#This Row],[created_date]],"dddd")</f>
        <v>Thursday</v>
      </c>
      <c r="V1900" cm="1">
        <f t="array" ref="V1900">_xlfn.SWITCH(tbl_analysis_tickets[[#This Row],[priority]],
"Urgent",1,
"High",2,
"Medium",3,
"Low",4
)</f>
        <v>3</v>
      </c>
    </row>
    <row r="1901" spans="1:22" x14ac:dyDescent="0.25">
      <c r="A1901">
        <v>1900</v>
      </c>
      <c r="B1901" s="1">
        <v>45455</v>
      </c>
      <c r="C1901" t="s">
        <v>23</v>
      </c>
      <c r="D1901" t="s">
        <v>11</v>
      </c>
      <c r="E1901">
        <v>116</v>
      </c>
      <c r="F1901">
        <v>47</v>
      </c>
      <c r="G1901">
        <v>3.6</v>
      </c>
      <c r="H1901" t="s">
        <v>18</v>
      </c>
      <c r="I1901" t="s">
        <v>13</v>
      </c>
      <c r="J1901" t="s">
        <v>11</v>
      </c>
      <c r="K1901">
        <f>_xlfn.XLOOKUP(tbl_analysis_tickets[[#This Row],[priority]],tbl_sla[priority],tbl_sla[Resolution SLA Hours])</f>
        <v>72</v>
      </c>
      <c r="L1901">
        <f>_xlfn.XLOOKUP(tbl_analysis_tickets[[#This Row],[priority]],tbl_sla[priority],tbl_sla[First Response SLA Minutes])</f>
        <v>240</v>
      </c>
      <c r="M1901" t="str">
        <f>IF(tbl_analysis_tickets[[#This Row],[resolution_time_hours]]&gt;tbl_analysis_tickets[[#This Row],[Resolution SLA Hours]],"Breached","Within SLA")</f>
        <v>Within SLA</v>
      </c>
      <c r="N1901" t="str">
        <f>IF(tbl_analysis_tickets[[#This Row],[first_response_minutes]]&gt;tbl_analysis_tickets[[#This Row],[First Response SLA Minutes]],"Breached","Within SLA")</f>
        <v>Within SLA</v>
      </c>
      <c r="O1901" t="str" cm="1">
        <f t="array" ref="O1901">_xlfn.IFS(
tbl_analysis_tickets[[#This Row],[agent_experience_years]]&lt;=2,"Junior",
tbl_analysis_tickets[[#This Row],[agent_experience_years]]&lt;=5,"Mid-Level",
tbl_analysis_tickets[[#This Row],[agent_experience_years]]&lt;=8,"Senior",
tbl_analysis_tickets[[#This Row],[agent_experience_years]]&gt;8,"Expert"
)</f>
        <v>Mid-Level</v>
      </c>
      <c r="P1901" cm="1">
        <f t="array" ref="P1901">_xlfn.SWITCH(tbl_analysis_tickets[[#This Row],[customer_satisfaction]],
"Low",1,
"Medium",2,
"High",3
)</f>
        <v>1</v>
      </c>
      <c r="Q1901">
        <f>IF(tbl_analysis_tickets[[#This Row],[reopened]]="Yes",1,0)</f>
        <v>0</v>
      </c>
      <c r="R1901" t="str" cm="1">
        <f t="array" ref="R1901">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901" t="str" cm="1">
        <f t="array" ref="S190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901" t="str">
        <f>TEXT(tbl_analysis_tickets[[#This Row],[created_date]],"mmm-yyyy")</f>
        <v>Jun-2024</v>
      </c>
      <c r="U1901" t="str">
        <f>TEXT(tbl_analysis_tickets[[#This Row],[created_date]],"dddd")</f>
        <v>Wednesday</v>
      </c>
      <c r="V1901" cm="1">
        <f t="array" ref="V1901">_xlfn.SWITCH(tbl_analysis_tickets[[#This Row],[priority]],
"Urgent",1,
"High",2,
"Medium",3,
"Low",4
)</f>
        <v>4</v>
      </c>
    </row>
    <row r="1902" spans="1:22" x14ac:dyDescent="0.25">
      <c r="A1902">
        <v>1901</v>
      </c>
      <c r="B1902" s="1">
        <v>45324</v>
      </c>
      <c r="C1902" t="s">
        <v>22</v>
      </c>
      <c r="D1902" t="s">
        <v>11</v>
      </c>
      <c r="E1902">
        <v>38</v>
      </c>
      <c r="F1902">
        <v>55</v>
      </c>
      <c r="G1902">
        <v>8.6</v>
      </c>
      <c r="H1902" t="s">
        <v>18</v>
      </c>
      <c r="I1902" t="s">
        <v>13</v>
      </c>
      <c r="J1902" t="s">
        <v>15</v>
      </c>
      <c r="K1902">
        <f>_xlfn.XLOOKUP(tbl_analysis_tickets[[#This Row],[priority]],tbl_sla[priority],tbl_sla[Resolution SLA Hours])</f>
        <v>72</v>
      </c>
      <c r="L1902">
        <f>_xlfn.XLOOKUP(tbl_analysis_tickets[[#This Row],[priority]],tbl_sla[priority],tbl_sla[First Response SLA Minutes])</f>
        <v>240</v>
      </c>
      <c r="M1902" t="str">
        <f>IF(tbl_analysis_tickets[[#This Row],[resolution_time_hours]]&gt;tbl_analysis_tickets[[#This Row],[Resolution SLA Hours]],"Breached","Within SLA")</f>
        <v>Within SLA</v>
      </c>
      <c r="N1902" t="str">
        <f>IF(tbl_analysis_tickets[[#This Row],[first_response_minutes]]&gt;tbl_analysis_tickets[[#This Row],[First Response SLA Minutes]],"Breached","Within SLA")</f>
        <v>Within SLA</v>
      </c>
      <c r="O1902" t="str" cm="1">
        <f t="array" ref="O1902">_xlfn.IFS(
tbl_analysis_tickets[[#This Row],[agent_experience_years]]&lt;=2,"Junior",
tbl_analysis_tickets[[#This Row],[agent_experience_years]]&lt;=5,"Mid-Level",
tbl_analysis_tickets[[#This Row],[agent_experience_years]]&lt;=8,"Senior",
tbl_analysis_tickets[[#This Row],[agent_experience_years]]&gt;8,"Expert"
)</f>
        <v>Expert</v>
      </c>
      <c r="P1902" cm="1">
        <f t="array" ref="P1902">_xlfn.SWITCH(tbl_analysis_tickets[[#This Row],[customer_satisfaction]],
"Low",1,
"Medium",2,
"High",3
)</f>
        <v>2</v>
      </c>
      <c r="Q1902">
        <f>IF(tbl_analysis_tickets[[#This Row],[reopened]]="Yes",1,0)</f>
        <v>0</v>
      </c>
      <c r="R1902" t="str" cm="1">
        <f t="array" ref="R1902">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902" t="str" cm="1">
        <f t="array" ref="S190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902" t="str">
        <f>TEXT(tbl_analysis_tickets[[#This Row],[created_date]],"mmm-yyyy")</f>
        <v>Feb-2024</v>
      </c>
      <c r="U1902" t="str">
        <f>TEXT(tbl_analysis_tickets[[#This Row],[created_date]],"dddd")</f>
        <v>Friday</v>
      </c>
      <c r="V1902" cm="1">
        <f t="array" ref="V1902">_xlfn.SWITCH(tbl_analysis_tickets[[#This Row],[priority]],
"Urgent",1,
"High",2,
"Medium",3,
"Low",4
)</f>
        <v>4</v>
      </c>
    </row>
    <row r="1903" spans="1:22" x14ac:dyDescent="0.25">
      <c r="A1903">
        <v>1902</v>
      </c>
      <c r="B1903" s="1">
        <v>45380</v>
      </c>
      <c r="C1903" t="s">
        <v>21</v>
      </c>
      <c r="D1903" t="s">
        <v>15</v>
      </c>
      <c r="E1903">
        <v>45</v>
      </c>
      <c r="F1903">
        <v>54</v>
      </c>
      <c r="G1903">
        <v>2.6</v>
      </c>
      <c r="H1903" t="s">
        <v>18</v>
      </c>
      <c r="I1903" t="s">
        <v>16</v>
      </c>
      <c r="J1903" t="s">
        <v>11</v>
      </c>
      <c r="K1903">
        <f>_xlfn.XLOOKUP(tbl_analysis_tickets[[#This Row],[priority]],tbl_sla[priority],tbl_sla[Resolution SLA Hours])</f>
        <v>48</v>
      </c>
      <c r="L1903">
        <f>_xlfn.XLOOKUP(tbl_analysis_tickets[[#This Row],[priority]],tbl_sla[priority],tbl_sla[First Response SLA Minutes])</f>
        <v>120</v>
      </c>
      <c r="M1903" t="str">
        <f>IF(tbl_analysis_tickets[[#This Row],[resolution_time_hours]]&gt;tbl_analysis_tickets[[#This Row],[Resolution SLA Hours]],"Breached","Within SLA")</f>
        <v>Breached</v>
      </c>
      <c r="N1903" t="str">
        <f>IF(tbl_analysis_tickets[[#This Row],[first_response_minutes]]&gt;tbl_analysis_tickets[[#This Row],[First Response SLA Minutes]],"Breached","Within SLA")</f>
        <v>Within SLA</v>
      </c>
      <c r="O1903" t="str" cm="1">
        <f t="array" ref="O1903">_xlfn.IFS(
tbl_analysis_tickets[[#This Row],[agent_experience_years]]&lt;=2,"Junior",
tbl_analysis_tickets[[#This Row],[agent_experience_years]]&lt;=5,"Mid-Level",
tbl_analysis_tickets[[#This Row],[agent_experience_years]]&lt;=8,"Senior",
tbl_analysis_tickets[[#This Row],[agent_experience_years]]&gt;8,"Expert"
)</f>
        <v>Mid-Level</v>
      </c>
      <c r="P1903" cm="1">
        <f t="array" ref="P1903">_xlfn.SWITCH(tbl_analysis_tickets[[#This Row],[customer_satisfaction]],
"Low",1,
"Medium",2,
"High",3
)</f>
        <v>1</v>
      </c>
      <c r="Q1903">
        <f>IF(tbl_analysis_tickets[[#This Row],[reopened]]="Yes",1,0)</f>
        <v>0</v>
      </c>
      <c r="R1903" t="str" cm="1">
        <f t="array" ref="R1903">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903" t="str" cm="1">
        <f t="array" ref="S190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903" t="str">
        <f>TEXT(tbl_analysis_tickets[[#This Row],[created_date]],"mmm-yyyy")</f>
        <v>Mar-2024</v>
      </c>
      <c r="U1903" t="str">
        <f>TEXT(tbl_analysis_tickets[[#This Row],[created_date]],"dddd")</f>
        <v>Friday</v>
      </c>
      <c r="V1903" cm="1">
        <f t="array" ref="V1903">_xlfn.SWITCH(tbl_analysis_tickets[[#This Row],[priority]],
"Urgent",1,
"High",2,
"Medium",3,
"Low",4
)</f>
        <v>3</v>
      </c>
    </row>
    <row r="1904" spans="1:22" x14ac:dyDescent="0.25">
      <c r="A1904">
        <v>1903</v>
      </c>
      <c r="B1904" s="1">
        <v>45568</v>
      </c>
      <c r="C1904" t="s">
        <v>22</v>
      </c>
      <c r="D1904" t="s">
        <v>11</v>
      </c>
      <c r="E1904">
        <v>112</v>
      </c>
      <c r="F1904">
        <v>46</v>
      </c>
      <c r="G1904">
        <v>1.7</v>
      </c>
      <c r="H1904" t="s">
        <v>12</v>
      </c>
      <c r="I1904" t="s">
        <v>16</v>
      </c>
      <c r="J1904" t="s">
        <v>11</v>
      </c>
      <c r="K1904">
        <f>_xlfn.XLOOKUP(tbl_analysis_tickets[[#This Row],[priority]],tbl_sla[priority],tbl_sla[Resolution SLA Hours])</f>
        <v>72</v>
      </c>
      <c r="L1904">
        <f>_xlfn.XLOOKUP(tbl_analysis_tickets[[#This Row],[priority]],tbl_sla[priority],tbl_sla[First Response SLA Minutes])</f>
        <v>240</v>
      </c>
      <c r="M1904" t="str">
        <f>IF(tbl_analysis_tickets[[#This Row],[resolution_time_hours]]&gt;tbl_analysis_tickets[[#This Row],[Resolution SLA Hours]],"Breached","Within SLA")</f>
        <v>Within SLA</v>
      </c>
      <c r="N1904" t="str">
        <f>IF(tbl_analysis_tickets[[#This Row],[first_response_minutes]]&gt;tbl_analysis_tickets[[#This Row],[First Response SLA Minutes]],"Breached","Within SLA")</f>
        <v>Within SLA</v>
      </c>
      <c r="O1904" t="str" cm="1">
        <f t="array" ref="O1904">_xlfn.IFS(
tbl_analysis_tickets[[#This Row],[agent_experience_years]]&lt;=2,"Junior",
tbl_analysis_tickets[[#This Row],[agent_experience_years]]&lt;=5,"Mid-Level",
tbl_analysis_tickets[[#This Row],[agent_experience_years]]&lt;=8,"Senior",
tbl_analysis_tickets[[#This Row],[agent_experience_years]]&gt;8,"Expert"
)</f>
        <v>Junior</v>
      </c>
      <c r="P1904" cm="1">
        <f t="array" ref="P1904">_xlfn.SWITCH(tbl_analysis_tickets[[#This Row],[customer_satisfaction]],
"Low",1,
"Medium",2,
"High",3
)</f>
        <v>1</v>
      </c>
      <c r="Q1904">
        <f>IF(tbl_analysis_tickets[[#This Row],[reopened]]="Yes",1,0)</f>
        <v>1</v>
      </c>
      <c r="R1904" t="str" cm="1">
        <f t="array" ref="R1904">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904" t="str" cm="1">
        <f t="array" ref="S190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904" t="str">
        <f>TEXT(tbl_analysis_tickets[[#This Row],[created_date]],"mmm-yyyy")</f>
        <v>Oct-2024</v>
      </c>
      <c r="U1904" t="str">
        <f>TEXT(tbl_analysis_tickets[[#This Row],[created_date]],"dddd")</f>
        <v>Thursday</v>
      </c>
      <c r="V1904" cm="1">
        <f t="array" ref="V1904">_xlfn.SWITCH(tbl_analysis_tickets[[#This Row],[priority]],
"Urgent",1,
"High",2,
"Medium",3,
"Low",4
)</f>
        <v>4</v>
      </c>
    </row>
    <row r="1905" spans="1:22" x14ac:dyDescent="0.25">
      <c r="A1905">
        <v>1904</v>
      </c>
      <c r="B1905" s="1">
        <v>45326</v>
      </c>
      <c r="C1905" t="s">
        <v>21</v>
      </c>
      <c r="D1905" t="s">
        <v>15</v>
      </c>
      <c r="E1905">
        <v>7</v>
      </c>
      <c r="F1905">
        <v>61</v>
      </c>
      <c r="G1905">
        <v>1.5</v>
      </c>
      <c r="H1905" t="s">
        <v>18</v>
      </c>
      <c r="I1905" t="s">
        <v>19</v>
      </c>
      <c r="J1905" t="s">
        <v>15</v>
      </c>
      <c r="K1905">
        <f>_xlfn.XLOOKUP(tbl_analysis_tickets[[#This Row],[priority]],tbl_sla[priority],tbl_sla[Resolution SLA Hours])</f>
        <v>48</v>
      </c>
      <c r="L1905">
        <f>_xlfn.XLOOKUP(tbl_analysis_tickets[[#This Row],[priority]],tbl_sla[priority],tbl_sla[First Response SLA Minutes])</f>
        <v>120</v>
      </c>
      <c r="M1905" t="str">
        <f>IF(tbl_analysis_tickets[[#This Row],[resolution_time_hours]]&gt;tbl_analysis_tickets[[#This Row],[Resolution SLA Hours]],"Breached","Within SLA")</f>
        <v>Breached</v>
      </c>
      <c r="N1905" t="str">
        <f>IF(tbl_analysis_tickets[[#This Row],[first_response_minutes]]&gt;tbl_analysis_tickets[[#This Row],[First Response SLA Minutes]],"Breached","Within SLA")</f>
        <v>Within SLA</v>
      </c>
      <c r="O1905" t="str" cm="1">
        <f t="array" ref="O1905">_xlfn.IFS(
tbl_analysis_tickets[[#This Row],[agent_experience_years]]&lt;=2,"Junior",
tbl_analysis_tickets[[#This Row],[agent_experience_years]]&lt;=5,"Mid-Level",
tbl_analysis_tickets[[#This Row],[agent_experience_years]]&lt;=8,"Senior",
tbl_analysis_tickets[[#This Row],[agent_experience_years]]&gt;8,"Expert"
)</f>
        <v>Junior</v>
      </c>
      <c r="P1905" cm="1">
        <f t="array" ref="P1905">_xlfn.SWITCH(tbl_analysis_tickets[[#This Row],[customer_satisfaction]],
"Low",1,
"Medium",2,
"High",3
)</f>
        <v>2</v>
      </c>
      <c r="Q1905">
        <f>IF(tbl_analysis_tickets[[#This Row],[reopened]]="Yes",1,0)</f>
        <v>0</v>
      </c>
      <c r="R1905" t="str" cm="1">
        <f t="array" ref="R1905">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1905" t="str" cm="1">
        <f t="array" ref="S190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905" t="str">
        <f>TEXT(tbl_analysis_tickets[[#This Row],[created_date]],"mmm-yyyy")</f>
        <v>Feb-2024</v>
      </c>
      <c r="U1905" t="str">
        <f>TEXT(tbl_analysis_tickets[[#This Row],[created_date]],"dddd")</f>
        <v>Sunday</v>
      </c>
      <c r="V1905" cm="1">
        <f t="array" ref="V1905">_xlfn.SWITCH(tbl_analysis_tickets[[#This Row],[priority]],
"Urgent",1,
"High",2,
"Medium",3,
"Low",4
)</f>
        <v>3</v>
      </c>
    </row>
    <row r="1906" spans="1:22" x14ac:dyDescent="0.25">
      <c r="A1906">
        <v>1905</v>
      </c>
      <c r="B1906" s="1">
        <v>45595</v>
      </c>
      <c r="C1906" t="s">
        <v>22</v>
      </c>
      <c r="D1906" t="s">
        <v>17</v>
      </c>
      <c r="E1906">
        <v>32</v>
      </c>
      <c r="F1906">
        <v>50</v>
      </c>
      <c r="G1906">
        <v>2.2999999999999998</v>
      </c>
      <c r="H1906" t="s">
        <v>12</v>
      </c>
      <c r="I1906" t="s">
        <v>16</v>
      </c>
      <c r="J1906" t="s">
        <v>11</v>
      </c>
      <c r="K1906">
        <f>_xlfn.XLOOKUP(tbl_analysis_tickets[[#This Row],[priority]],tbl_sla[priority],tbl_sla[Resolution SLA Hours])</f>
        <v>8</v>
      </c>
      <c r="L1906">
        <f>_xlfn.XLOOKUP(tbl_analysis_tickets[[#This Row],[priority]],tbl_sla[priority],tbl_sla[First Response SLA Minutes])</f>
        <v>30</v>
      </c>
      <c r="M1906" t="str">
        <f>IF(tbl_analysis_tickets[[#This Row],[resolution_time_hours]]&gt;tbl_analysis_tickets[[#This Row],[Resolution SLA Hours]],"Breached","Within SLA")</f>
        <v>Breached</v>
      </c>
      <c r="N1906" t="str">
        <f>IF(tbl_analysis_tickets[[#This Row],[first_response_minutes]]&gt;tbl_analysis_tickets[[#This Row],[First Response SLA Minutes]],"Breached","Within SLA")</f>
        <v>Breached</v>
      </c>
      <c r="O1906" t="str" cm="1">
        <f t="array" ref="O1906">_xlfn.IFS(
tbl_analysis_tickets[[#This Row],[agent_experience_years]]&lt;=2,"Junior",
tbl_analysis_tickets[[#This Row],[agent_experience_years]]&lt;=5,"Mid-Level",
tbl_analysis_tickets[[#This Row],[agent_experience_years]]&lt;=8,"Senior",
tbl_analysis_tickets[[#This Row],[agent_experience_years]]&gt;8,"Expert"
)</f>
        <v>Mid-Level</v>
      </c>
      <c r="P1906" cm="1">
        <f t="array" ref="P1906">_xlfn.SWITCH(tbl_analysis_tickets[[#This Row],[customer_satisfaction]],
"Low",1,
"Medium",2,
"High",3
)</f>
        <v>1</v>
      </c>
      <c r="Q1906">
        <f>IF(tbl_analysis_tickets[[#This Row],[reopened]]="Yes",1,0)</f>
        <v>1</v>
      </c>
      <c r="R1906" t="str" cm="1">
        <f t="array" ref="R1906">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906" t="str" cm="1">
        <f t="array" ref="S190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906" t="str">
        <f>TEXT(tbl_analysis_tickets[[#This Row],[created_date]],"mmm-yyyy")</f>
        <v>Oct-2024</v>
      </c>
      <c r="U1906" t="str">
        <f>TEXT(tbl_analysis_tickets[[#This Row],[created_date]],"dddd")</f>
        <v>Wednesday</v>
      </c>
      <c r="V1906" cm="1">
        <f t="array" ref="V1906">_xlfn.SWITCH(tbl_analysis_tickets[[#This Row],[priority]],
"Urgent",1,
"High",2,
"Medium",3,
"Low",4
)</f>
        <v>1</v>
      </c>
    </row>
    <row r="1907" spans="1:22" x14ac:dyDescent="0.25">
      <c r="A1907">
        <v>1906</v>
      </c>
      <c r="B1907" s="1">
        <v>45399</v>
      </c>
      <c r="C1907" t="s">
        <v>14</v>
      </c>
      <c r="D1907" t="s">
        <v>11</v>
      </c>
      <c r="E1907">
        <v>211</v>
      </c>
      <c r="F1907">
        <v>12</v>
      </c>
      <c r="G1907">
        <v>0.5</v>
      </c>
      <c r="H1907" t="s">
        <v>12</v>
      </c>
      <c r="I1907" t="s">
        <v>13</v>
      </c>
      <c r="J1907" t="s">
        <v>11</v>
      </c>
      <c r="K1907">
        <f>_xlfn.XLOOKUP(tbl_analysis_tickets[[#This Row],[priority]],tbl_sla[priority],tbl_sla[Resolution SLA Hours])</f>
        <v>72</v>
      </c>
      <c r="L1907">
        <f>_xlfn.XLOOKUP(tbl_analysis_tickets[[#This Row],[priority]],tbl_sla[priority],tbl_sla[First Response SLA Minutes])</f>
        <v>240</v>
      </c>
      <c r="M1907" t="str">
        <f>IF(tbl_analysis_tickets[[#This Row],[resolution_time_hours]]&gt;tbl_analysis_tickets[[#This Row],[Resolution SLA Hours]],"Breached","Within SLA")</f>
        <v>Within SLA</v>
      </c>
      <c r="N1907" t="str">
        <f>IF(tbl_analysis_tickets[[#This Row],[first_response_minutes]]&gt;tbl_analysis_tickets[[#This Row],[First Response SLA Minutes]],"Breached","Within SLA")</f>
        <v>Within SLA</v>
      </c>
      <c r="O1907" t="str" cm="1">
        <f t="array" ref="O1907">_xlfn.IFS(
tbl_analysis_tickets[[#This Row],[agent_experience_years]]&lt;=2,"Junior",
tbl_analysis_tickets[[#This Row],[agent_experience_years]]&lt;=5,"Mid-Level",
tbl_analysis_tickets[[#This Row],[agent_experience_years]]&lt;=8,"Senior",
tbl_analysis_tickets[[#This Row],[agent_experience_years]]&gt;8,"Expert"
)</f>
        <v>Junior</v>
      </c>
      <c r="P1907" cm="1">
        <f t="array" ref="P1907">_xlfn.SWITCH(tbl_analysis_tickets[[#This Row],[customer_satisfaction]],
"Low",1,
"Medium",2,
"High",3
)</f>
        <v>1</v>
      </c>
      <c r="Q1907">
        <f>IF(tbl_analysis_tickets[[#This Row],[reopened]]="Yes",1,0)</f>
        <v>1</v>
      </c>
      <c r="R1907" t="str" cm="1">
        <f t="array" ref="R1907">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907" t="str" cm="1">
        <f t="array" ref="S190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907" t="str">
        <f>TEXT(tbl_analysis_tickets[[#This Row],[created_date]],"mmm-yyyy")</f>
        <v>Apr-2024</v>
      </c>
      <c r="U1907" t="str">
        <f>TEXT(tbl_analysis_tickets[[#This Row],[created_date]],"dddd")</f>
        <v>Wednesday</v>
      </c>
      <c r="V1907" cm="1">
        <f t="array" ref="V1907">_xlfn.SWITCH(tbl_analysis_tickets[[#This Row],[priority]],
"Urgent",1,
"High",2,
"Medium",3,
"Low",4
)</f>
        <v>4</v>
      </c>
    </row>
    <row r="1908" spans="1:22" x14ac:dyDescent="0.25">
      <c r="A1908">
        <v>1907</v>
      </c>
      <c r="B1908" s="1">
        <v>45343</v>
      </c>
      <c r="C1908" t="s">
        <v>10</v>
      </c>
      <c r="D1908" t="s">
        <v>15</v>
      </c>
      <c r="E1908">
        <v>213</v>
      </c>
      <c r="F1908">
        <v>64</v>
      </c>
      <c r="G1908">
        <v>2.6</v>
      </c>
      <c r="H1908" t="s">
        <v>12</v>
      </c>
      <c r="I1908" t="s">
        <v>19</v>
      </c>
      <c r="J1908" t="s">
        <v>11</v>
      </c>
      <c r="K1908">
        <f>_xlfn.XLOOKUP(tbl_analysis_tickets[[#This Row],[priority]],tbl_sla[priority],tbl_sla[Resolution SLA Hours])</f>
        <v>48</v>
      </c>
      <c r="L1908">
        <f>_xlfn.XLOOKUP(tbl_analysis_tickets[[#This Row],[priority]],tbl_sla[priority],tbl_sla[First Response SLA Minutes])</f>
        <v>120</v>
      </c>
      <c r="M1908" t="str">
        <f>IF(tbl_analysis_tickets[[#This Row],[resolution_time_hours]]&gt;tbl_analysis_tickets[[#This Row],[Resolution SLA Hours]],"Breached","Within SLA")</f>
        <v>Breached</v>
      </c>
      <c r="N1908" t="str">
        <f>IF(tbl_analysis_tickets[[#This Row],[first_response_minutes]]&gt;tbl_analysis_tickets[[#This Row],[First Response SLA Minutes]],"Breached","Within SLA")</f>
        <v>Breached</v>
      </c>
      <c r="O1908" t="str" cm="1">
        <f t="array" ref="O1908">_xlfn.IFS(
tbl_analysis_tickets[[#This Row],[agent_experience_years]]&lt;=2,"Junior",
tbl_analysis_tickets[[#This Row],[agent_experience_years]]&lt;=5,"Mid-Level",
tbl_analysis_tickets[[#This Row],[agent_experience_years]]&lt;=8,"Senior",
tbl_analysis_tickets[[#This Row],[agent_experience_years]]&gt;8,"Expert"
)</f>
        <v>Mid-Level</v>
      </c>
      <c r="P1908" cm="1">
        <f t="array" ref="P1908">_xlfn.SWITCH(tbl_analysis_tickets[[#This Row],[customer_satisfaction]],
"Low",1,
"Medium",2,
"High",3
)</f>
        <v>1</v>
      </c>
      <c r="Q1908">
        <f>IF(tbl_analysis_tickets[[#This Row],[reopened]]="Yes",1,0)</f>
        <v>1</v>
      </c>
      <c r="R1908" t="str" cm="1">
        <f t="array" ref="R1908">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908" t="str" cm="1">
        <f t="array" ref="S190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908" t="str">
        <f>TEXT(tbl_analysis_tickets[[#This Row],[created_date]],"mmm-yyyy")</f>
        <v>Feb-2024</v>
      </c>
      <c r="U1908" t="str">
        <f>TEXT(tbl_analysis_tickets[[#This Row],[created_date]],"dddd")</f>
        <v>Wednesday</v>
      </c>
      <c r="V1908" cm="1">
        <f t="array" ref="V1908">_xlfn.SWITCH(tbl_analysis_tickets[[#This Row],[priority]],
"Urgent",1,
"High",2,
"Medium",3,
"Low",4
)</f>
        <v>3</v>
      </c>
    </row>
    <row r="1909" spans="1:22" x14ac:dyDescent="0.25">
      <c r="A1909">
        <v>1908</v>
      </c>
      <c r="B1909" s="1">
        <v>45575</v>
      </c>
      <c r="C1909" t="s">
        <v>21</v>
      </c>
      <c r="D1909" t="s">
        <v>15</v>
      </c>
      <c r="E1909">
        <v>152</v>
      </c>
      <c r="F1909">
        <v>65</v>
      </c>
      <c r="G1909">
        <v>7.5</v>
      </c>
      <c r="H1909" t="s">
        <v>12</v>
      </c>
      <c r="I1909" t="s">
        <v>19</v>
      </c>
      <c r="J1909" t="s">
        <v>11</v>
      </c>
      <c r="K1909">
        <f>_xlfn.XLOOKUP(tbl_analysis_tickets[[#This Row],[priority]],tbl_sla[priority],tbl_sla[Resolution SLA Hours])</f>
        <v>48</v>
      </c>
      <c r="L1909">
        <f>_xlfn.XLOOKUP(tbl_analysis_tickets[[#This Row],[priority]],tbl_sla[priority],tbl_sla[First Response SLA Minutes])</f>
        <v>120</v>
      </c>
      <c r="M1909" t="str">
        <f>IF(tbl_analysis_tickets[[#This Row],[resolution_time_hours]]&gt;tbl_analysis_tickets[[#This Row],[Resolution SLA Hours]],"Breached","Within SLA")</f>
        <v>Breached</v>
      </c>
      <c r="N1909" t="str">
        <f>IF(tbl_analysis_tickets[[#This Row],[first_response_minutes]]&gt;tbl_analysis_tickets[[#This Row],[First Response SLA Minutes]],"Breached","Within SLA")</f>
        <v>Breached</v>
      </c>
      <c r="O1909" t="str" cm="1">
        <f t="array" ref="O1909">_xlfn.IFS(
tbl_analysis_tickets[[#This Row],[agent_experience_years]]&lt;=2,"Junior",
tbl_analysis_tickets[[#This Row],[agent_experience_years]]&lt;=5,"Mid-Level",
tbl_analysis_tickets[[#This Row],[agent_experience_years]]&lt;=8,"Senior",
tbl_analysis_tickets[[#This Row],[agent_experience_years]]&gt;8,"Expert"
)</f>
        <v>Senior</v>
      </c>
      <c r="P1909" cm="1">
        <f t="array" ref="P1909">_xlfn.SWITCH(tbl_analysis_tickets[[#This Row],[customer_satisfaction]],
"Low",1,
"Medium",2,
"High",3
)</f>
        <v>1</v>
      </c>
      <c r="Q1909">
        <f>IF(tbl_analysis_tickets[[#This Row],[reopened]]="Yes",1,0)</f>
        <v>1</v>
      </c>
      <c r="R1909" t="str" cm="1">
        <f t="array" ref="R1909">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909" t="str" cm="1">
        <f t="array" ref="S190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909" t="str">
        <f>TEXT(tbl_analysis_tickets[[#This Row],[created_date]],"mmm-yyyy")</f>
        <v>Oct-2024</v>
      </c>
      <c r="U1909" t="str">
        <f>TEXT(tbl_analysis_tickets[[#This Row],[created_date]],"dddd")</f>
        <v>Thursday</v>
      </c>
      <c r="V1909" cm="1">
        <f t="array" ref="V1909">_xlfn.SWITCH(tbl_analysis_tickets[[#This Row],[priority]],
"Urgent",1,
"High",2,
"Medium",3,
"Low",4
)</f>
        <v>3</v>
      </c>
    </row>
    <row r="1910" spans="1:22" x14ac:dyDescent="0.25">
      <c r="A1910">
        <v>1909</v>
      </c>
      <c r="B1910" s="1">
        <v>45389</v>
      </c>
      <c r="C1910" t="s">
        <v>21</v>
      </c>
      <c r="D1910" t="s">
        <v>15</v>
      </c>
      <c r="E1910">
        <v>205</v>
      </c>
      <c r="F1910">
        <v>21</v>
      </c>
      <c r="G1910">
        <v>9.8000000000000007</v>
      </c>
      <c r="H1910" t="s">
        <v>18</v>
      </c>
      <c r="I1910" t="s">
        <v>16</v>
      </c>
      <c r="J1910" t="s">
        <v>15</v>
      </c>
      <c r="K1910">
        <f>_xlfn.XLOOKUP(tbl_analysis_tickets[[#This Row],[priority]],tbl_sla[priority],tbl_sla[Resolution SLA Hours])</f>
        <v>48</v>
      </c>
      <c r="L1910">
        <f>_xlfn.XLOOKUP(tbl_analysis_tickets[[#This Row],[priority]],tbl_sla[priority],tbl_sla[First Response SLA Minutes])</f>
        <v>120</v>
      </c>
      <c r="M1910" t="str">
        <f>IF(tbl_analysis_tickets[[#This Row],[resolution_time_hours]]&gt;tbl_analysis_tickets[[#This Row],[Resolution SLA Hours]],"Breached","Within SLA")</f>
        <v>Within SLA</v>
      </c>
      <c r="N1910" t="str">
        <f>IF(tbl_analysis_tickets[[#This Row],[first_response_minutes]]&gt;tbl_analysis_tickets[[#This Row],[First Response SLA Minutes]],"Breached","Within SLA")</f>
        <v>Breached</v>
      </c>
      <c r="O1910" t="str" cm="1">
        <f t="array" ref="O1910">_xlfn.IFS(
tbl_analysis_tickets[[#This Row],[agent_experience_years]]&lt;=2,"Junior",
tbl_analysis_tickets[[#This Row],[agent_experience_years]]&lt;=5,"Mid-Level",
tbl_analysis_tickets[[#This Row],[agent_experience_years]]&lt;=8,"Senior",
tbl_analysis_tickets[[#This Row],[agent_experience_years]]&gt;8,"Expert"
)</f>
        <v>Expert</v>
      </c>
      <c r="P1910" cm="1">
        <f t="array" ref="P1910">_xlfn.SWITCH(tbl_analysis_tickets[[#This Row],[customer_satisfaction]],
"Low",1,
"Medium",2,
"High",3
)</f>
        <v>2</v>
      </c>
      <c r="Q1910">
        <f>IF(tbl_analysis_tickets[[#This Row],[reopened]]="Yes",1,0)</f>
        <v>0</v>
      </c>
      <c r="R1910" t="str" cm="1">
        <f t="array" ref="R1910">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910" t="str" cm="1">
        <f t="array" ref="S191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910" t="str">
        <f>TEXT(tbl_analysis_tickets[[#This Row],[created_date]],"mmm-yyyy")</f>
        <v>Apr-2024</v>
      </c>
      <c r="U1910" t="str">
        <f>TEXT(tbl_analysis_tickets[[#This Row],[created_date]],"dddd")</f>
        <v>Sunday</v>
      </c>
      <c r="V1910" cm="1">
        <f t="array" ref="V1910">_xlfn.SWITCH(tbl_analysis_tickets[[#This Row],[priority]],
"Urgent",1,
"High",2,
"Medium",3,
"Low",4
)</f>
        <v>3</v>
      </c>
    </row>
    <row r="1911" spans="1:22" x14ac:dyDescent="0.25">
      <c r="A1911">
        <v>1910</v>
      </c>
      <c r="B1911" s="1">
        <v>45374</v>
      </c>
      <c r="C1911" t="s">
        <v>22</v>
      </c>
      <c r="D1911" t="s">
        <v>20</v>
      </c>
      <c r="E1911">
        <v>26</v>
      </c>
      <c r="F1911">
        <v>56</v>
      </c>
      <c r="G1911">
        <v>8.6</v>
      </c>
      <c r="H1911" t="s">
        <v>12</v>
      </c>
      <c r="I1911" t="s">
        <v>13</v>
      </c>
      <c r="J1911" t="s">
        <v>15</v>
      </c>
      <c r="K1911">
        <f>_xlfn.XLOOKUP(tbl_analysis_tickets[[#This Row],[priority]],tbl_sla[priority],tbl_sla[Resolution SLA Hours])</f>
        <v>24</v>
      </c>
      <c r="L1911">
        <f>_xlfn.XLOOKUP(tbl_analysis_tickets[[#This Row],[priority]],tbl_sla[priority],tbl_sla[First Response SLA Minutes])</f>
        <v>60</v>
      </c>
      <c r="M1911" t="str">
        <f>IF(tbl_analysis_tickets[[#This Row],[resolution_time_hours]]&gt;tbl_analysis_tickets[[#This Row],[Resolution SLA Hours]],"Breached","Within SLA")</f>
        <v>Breached</v>
      </c>
      <c r="N1911" t="str">
        <f>IF(tbl_analysis_tickets[[#This Row],[first_response_minutes]]&gt;tbl_analysis_tickets[[#This Row],[First Response SLA Minutes]],"Breached","Within SLA")</f>
        <v>Within SLA</v>
      </c>
      <c r="O1911" t="str" cm="1">
        <f t="array" ref="O1911">_xlfn.IFS(
tbl_analysis_tickets[[#This Row],[agent_experience_years]]&lt;=2,"Junior",
tbl_analysis_tickets[[#This Row],[agent_experience_years]]&lt;=5,"Mid-Level",
tbl_analysis_tickets[[#This Row],[agent_experience_years]]&lt;=8,"Senior",
tbl_analysis_tickets[[#This Row],[agent_experience_years]]&gt;8,"Expert"
)</f>
        <v>Expert</v>
      </c>
      <c r="P1911" cm="1">
        <f t="array" ref="P1911">_xlfn.SWITCH(tbl_analysis_tickets[[#This Row],[customer_satisfaction]],
"Low",1,
"Medium",2,
"High",3
)</f>
        <v>2</v>
      </c>
      <c r="Q1911">
        <f>IF(tbl_analysis_tickets[[#This Row],[reopened]]="Yes",1,0)</f>
        <v>1</v>
      </c>
      <c r="R1911" t="str" cm="1">
        <f t="array" ref="R1911">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1911" t="str" cm="1">
        <f t="array" ref="S191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911" t="str">
        <f>TEXT(tbl_analysis_tickets[[#This Row],[created_date]],"mmm-yyyy")</f>
        <v>Mar-2024</v>
      </c>
      <c r="U1911" t="str">
        <f>TEXT(tbl_analysis_tickets[[#This Row],[created_date]],"dddd")</f>
        <v>Saturday</v>
      </c>
      <c r="V1911" cm="1">
        <f t="array" ref="V1911">_xlfn.SWITCH(tbl_analysis_tickets[[#This Row],[priority]],
"Urgent",1,
"High",2,
"Medium",3,
"Low",4
)</f>
        <v>2</v>
      </c>
    </row>
    <row r="1912" spans="1:22" x14ac:dyDescent="0.25">
      <c r="A1912">
        <v>1911</v>
      </c>
      <c r="B1912" s="1">
        <v>45645</v>
      </c>
      <c r="C1912" t="s">
        <v>10</v>
      </c>
      <c r="D1912" t="s">
        <v>20</v>
      </c>
      <c r="E1912">
        <v>46</v>
      </c>
      <c r="F1912">
        <v>54</v>
      </c>
      <c r="G1912">
        <v>9.9</v>
      </c>
      <c r="H1912" t="s">
        <v>12</v>
      </c>
      <c r="I1912" t="s">
        <v>13</v>
      </c>
      <c r="J1912" t="s">
        <v>11</v>
      </c>
      <c r="K1912">
        <f>_xlfn.XLOOKUP(tbl_analysis_tickets[[#This Row],[priority]],tbl_sla[priority],tbl_sla[Resolution SLA Hours])</f>
        <v>24</v>
      </c>
      <c r="L1912">
        <f>_xlfn.XLOOKUP(tbl_analysis_tickets[[#This Row],[priority]],tbl_sla[priority],tbl_sla[First Response SLA Minutes])</f>
        <v>60</v>
      </c>
      <c r="M1912" t="str">
        <f>IF(tbl_analysis_tickets[[#This Row],[resolution_time_hours]]&gt;tbl_analysis_tickets[[#This Row],[Resolution SLA Hours]],"Breached","Within SLA")</f>
        <v>Breached</v>
      </c>
      <c r="N1912" t="str">
        <f>IF(tbl_analysis_tickets[[#This Row],[first_response_minutes]]&gt;tbl_analysis_tickets[[#This Row],[First Response SLA Minutes]],"Breached","Within SLA")</f>
        <v>Within SLA</v>
      </c>
      <c r="O1912" t="str" cm="1">
        <f t="array" ref="O1912">_xlfn.IFS(
tbl_analysis_tickets[[#This Row],[agent_experience_years]]&lt;=2,"Junior",
tbl_analysis_tickets[[#This Row],[agent_experience_years]]&lt;=5,"Mid-Level",
tbl_analysis_tickets[[#This Row],[agent_experience_years]]&lt;=8,"Senior",
tbl_analysis_tickets[[#This Row],[agent_experience_years]]&gt;8,"Expert"
)</f>
        <v>Expert</v>
      </c>
      <c r="P1912" cm="1">
        <f t="array" ref="P1912">_xlfn.SWITCH(tbl_analysis_tickets[[#This Row],[customer_satisfaction]],
"Low",1,
"Medium",2,
"High",3
)</f>
        <v>1</v>
      </c>
      <c r="Q1912">
        <f>IF(tbl_analysis_tickets[[#This Row],[reopened]]="Yes",1,0)</f>
        <v>1</v>
      </c>
      <c r="R1912" t="str" cm="1">
        <f t="array" ref="R1912">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912" t="str" cm="1">
        <f t="array" ref="S191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912" t="str">
        <f>TEXT(tbl_analysis_tickets[[#This Row],[created_date]],"mmm-yyyy")</f>
        <v>Dec-2024</v>
      </c>
      <c r="U1912" t="str">
        <f>TEXT(tbl_analysis_tickets[[#This Row],[created_date]],"dddd")</f>
        <v>Thursday</v>
      </c>
      <c r="V1912" cm="1">
        <f t="array" ref="V1912">_xlfn.SWITCH(tbl_analysis_tickets[[#This Row],[priority]],
"Urgent",1,
"High",2,
"Medium",3,
"Low",4
)</f>
        <v>2</v>
      </c>
    </row>
    <row r="1913" spans="1:22" x14ac:dyDescent="0.25">
      <c r="A1913">
        <v>1912</v>
      </c>
      <c r="B1913" s="1">
        <v>45338</v>
      </c>
      <c r="C1913" t="s">
        <v>10</v>
      </c>
      <c r="D1913" t="s">
        <v>17</v>
      </c>
      <c r="E1913">
        <v>216</v>
      </c>
      <c r="F1913">
        <v>68</v>
      </c>
      <c r="G1913">
        <v>4</v>
      </c>
      <c r="H1913" t="s">
        <v>12</v>
      </c>
      <c r="I1913" t="s">
        <v>19</v>
      </c>
      <c r="J1913" t="s">
        <v>11</v>
      </c>
      <c r="K1913">
        <f>_xlfn.XLOOKUP(tbl_analysis_tickets[[#This Row],[priority]],tbl_sla[priority],tbl_sla[Resolution SLA Hours])</f>
        <v>8</v>
      </c>
      <c r="L1913">
        <f>_xlfn.XLOOKUP(tbl_analysis_tickets[[#This Row],[priority]],tbl_sla[priority],tbl_sla[First Response SLA Minutes])</f>
        <v>30</v>
      </c>
      <c r="M1913" t="str">
        <f>IF(tbl_analysis_tickets[[#This Row],[resolution_time_hours]]&gt;tbl_analysis_tickets[[#This Row],[Resolution SLA Hours]],"Breached","Within SLA")</f>
        <v>Breached</v>
      </c>
      <c r="N1913" t="str">
        <f>IF(tbl_analysis_tickets[[#This Row],[first_response_minutes]]&gt;tbl_analysis_tickets[[#This Row],[First Response SLA Minutes]],"Breached","Within SLA")</f>
        <v>Breached</v>
      </c>
      <c r="O1913" t="str" cm="1">
        <f t="array" ref="O1913">_xlfn.IFS(
tbl_analysis_tickets[[#This Row],[agent_experience_years]]&lt;=2,"Junior",
tbl_analysis_tickets[[#This Row],[agent_experience_years]]&lt;=5,"Mid-Level",
tbl_analysis_tickets[[#This Row],[agent_experience_years]]&lt;=8,"Senior",
tbl_analysis_tickets[[#This Row],[agent_experience_years]]&gt;8,"Expert"
)</f>
        <v>Mid-Level</v>
      </c>
      <c r="P1913" cm="1">
        <f t="array" ref="P1913">_xlfn.SWITCH(tbl_analysis_tickets[[#This Row],[customer_satisfaction]],
"Low",1,
"Medium",2,
"High",3
)</f>
        <v>1</v>
      </c>
      <c r="Q1913">
        <f>IF(tbl_analysis_tickets[[#This Row],[reopened]]="Yes",1,0)</f>
        <v>1</v>
      </c>
      <c r="R1913" t="str" cm="1">
        <f t="array" ref="R1913">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913" t="str" cm="1">
        <f t="array" ref="S191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913" t="str">
        <f>TEXT(tbl_analysis_tickets[[#This Row],[created_date]],"mmm-yyyy")</f>
        <v>Feb-2024</v>
      </c>
      <c r="U1913" t="str">
        <f>TEXT(tbl_analysis_tickets[[#This Row],[created_date]],"dddd")</f>
        <v>Friday</v>
      </c>
      <c r="V1913" cm="1">
        <f t="array" ref="V1913">_xlfn.SWITCH(tbl_analysis_tickets[[#This Row],[priority]],
"Urgent",1,
"High",2,
"Medium",3,
"Low",4
)</f>
        <v>1</v>
      </c>
    </row>
    <row r="1914" spans="1:22" x14ac:dyDescent="0.25">
      <c r="A1914">
        <v>1913</v>
      </c>
      <c r="B1914" s="1">
        <v>45347</v>
      </c>
      <c r="C1914" t="s">
        <v>23</v>
      </c>
      <c r="D1914" t="s">
        <v>20</v>
      </c>
      <c r="E1914">
        <v>130</v>
      </c>
      <c r="F1914">
        <v>19</v>
      </c>
      <c r="G1914">
        <v>7.1</v>
      </c>
      <c r="H1914" t="s">
        <v>18</v>
      </c>
      <c r="I1914" t="s">
        <v>13</v>
      </c>
      <c r="J1914" t="s">
        <v>11</v>
      </c>
      <c r="K1914">
        <f>_xlfn.XLOOKUP(tbl_analysis_tickets[[#This Row],[priority]],tbl_sla[priority],tbl_sla[Resolution SLA Hours])</f>
        <v>24</v>
      </c>
      <c r="L1914">
        <f>_xlfn.XLOOKUP(tbl_analysis_tickets[[#This Row],[priority]],tbl_sla[priority],tbl_sla[First Response SLA Minutes])</f>
        <v>60</v>
      </c>
      <c r="M1914" t="str">
        <f>IF(tbl_analysis_tickets[[#This Row],[resolution_time_hours]]&gt;tbl_analysis_tickets[[#This Row],[Resolution SLA Hours]],"Breached","Within SLA")</f>
        <v>Within SLA</v>
      </c>
      <c r="N1914" t="str">
        <f>IF(tbl_analysis_tickets[[#This Row],[first_response_minutes]]&gt;tbl_analysis_tickets[[#This Row],[First Response SLA Minutes]],"Breached","Within SLA")</f>
        <v>Breached</v>
      </c>
      <c r="O1914" t="str" cm="1">
        <f t="array" ref="O1914">_xlfn.IFS(
tbl_analysis_tickets[[#This Row],[agent_experience_years]]&lt;=2,"Junior",
tbl_analysis_tickets[[#This Row],[agent_experience_years]]&lt;=5,"Mid-Level",
tbl_analysis_tickets[[#This Row],[agent_experience_years]]&lt;=8,"Senior",
tbl_analysis_tickets[[#This Row],[agent_experience_years]]&gt;8,"Expert"
)</f>
        <v>Senior</v>
      </c>
      <c r="P1914" cm="1">
        <f t="array" ref="P1914">_xlfn.SWITCH(tbl_analysis_tickets[[#This Row],[customer_satisfaction]],
"Low",1,
"Medium",2,
"High",3
)</f>
        <v>1</v>
      </c>
      <c r="Q1914">
        <f>IF(tbl_analysis_tickets[[#This Row],[reopened]]="Yes",1,0)</f>
        <v>0</v>
      </c>
      <c r="R1914" t="str" cm="1">
        <f t="array" ref="R1914">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914" t="str" cm="1">
        <f t="array" ref="S191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914" t="str">
        <f>TEXT(tbl_analysis_tickets[[#This Row],[created_date]],"mmm-yyyy")</f>
        <v>Feb-2024</v>
      </c>
      <c r="U1914" t="str">
        <f>TEXT(tbl_analysis_tickets[[#This Row],[created_date]],"dddd")</f>
        <v>Sunday</v>
      </c>
      <c r="V1914" cm="1">
        <f t="array" ref="V1914">_xlfn.SWITCH(tbl_analysis_tickets[[#This Row],[priority]],
"Urgent",1,
"High",2,
"Medium",3,
"Low",4
)</f>
        <v>2</v>
      </c>
    </row>
    <row r="1915" spans="1:22" x14ac:dyDescent="0.25">
      <c r="A1915">
        <v>1914</v>
      </c>
      <c r="B1915" s="1">
        <v>45633</v>
      </c>
      <c r="C1915" t="s">
        <v>22</v>
      </c>
      <c r="D1915" t="s">
        <v>20</v>
      </c>
      <c r="E1915">
        <v>237</v>
      </c>
      <c r="F1915">
        <v>15</v>
      </c>
      <c r="G1915">
        <v>2.8</v>
      </c>
      <c r="H1915" t="s">
        <v>12</v>
      </c>
      <c r="I1915" t="s">
        <v>16</v>
      </c>
      <c r="J1915" t="s">
        <v>11</v>
      </c>
      <c r="K1915">
        <f>_xlfn.XLOOKUP(tbl_analysis_tickets[[#This Row],[priority]],tbl_sla[priority],tbl_sla[Resolution SLA Hours])</f>
        <v>24</v>
      </c>
      <c r="L1915">
        <f>_xlfn.XLOOKUP(tbl_analysis_tickets[[#This Row],[priority]],tbl_sla[priority],tbl_sla[First Response SLA Minutes])</f>
        <v>60</v>
      </c>
      <c r="M1915" t="str">
        <f>IF(tbl_analysis_tickets[[#This Row],[resolution_time_hours]]&gt;tbl_analysis_tickets[[#This Row],[Resolution SLA Hours]],"Breached","Within SLA")</f>
        <v>Within SLA</v>
      </c>
      <c r="N1915" t="str">
        <f>IF(tbl_analysis_tickets[[#This Row],[first_response_minutes]]&gt;tbl_analysis_tickets[[#This Row],[First Response SLA Minutes]],"Breached","Within SLA")</f>
        <v>Breached</v>
      </c>
      <c r="O1915" t="str" cm="1">
        <f t="array" ref="O1915">_xlfn.IFS(
tbl_analysis_tickets[[#This Row],[agent_experience_years]]&lt;=2,"Junior",
tbl_analysis_tickets[[#This Row],[agent_experience_years]]&lt;=5,"Mid-Level",
tbl_analysis_tickets[[#This Row],[agent_experience_years]]&lt;=8,"Senior",
tbl_analysis_tickets[[#This Row],[agent_experience_years]]&gt;8,"Expert"
)</f>
        <v>Mid-Level</v>
      </c>
      <c r="P1915" cm="1">
        <f t="array" ref="P1915">_xlfn.SWITCH(tbl_analysis_tickets[[#This Row],[customer_satisfaction]],
"Low",1,
"Medium",2,
"High",3
)</f>
        <v>1</v>
      </c>
      <c r="Q1915">
        <f>IF(tbl_analysis_tickets[[#This Row],[reopened]]="Yes",1,0)</f>
        <v>1</v>
      </c>
      <c r="R1915" t="str" cm="1">
        <f t="array" ref="R1915">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915" t="str" cm="1">
        <f t="array" ref="S191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915" t="str">
        <f>TEXT(tbl_analysis_tickets[[#This Row],[created_date]],"mmm-yyyy")</f>
        <v>Dec-2024</v>
      </c>
      <c r="U1915" t="str">
        <f>TEXT(tbl_analysis_tickets[[#This Row],[created_date]],"dddd")</f>
        <v>Saturday</v>
      </c>
      <c r="V1915" cm="1">
        <f t="array" ref="V1915">_xlfn.SWITCH(tbl_analysis_tickets[[#This Row],[priority]],
"Urgent",1,
"High",2,
"Medium",3,
"Low",4
)</f>
        <v>2</v>
      </c>
    </row>
    <row r="1916" spans="1:22" x14ac:dyDescent="0.25">
      <c r="A1916">
        <v>1915</v>
      </c>
      <c r="B1916" s="1">
        <v>45622</v>
      </c>
      <c r="C1916" t="s">
        <v>10</v>
      </c>
      <c r="D1916" t="s">
        <v>17</v>
      </c>
      <c r="E1916">
        <v>115</v>
      </c>
      <c r="F1916">
        <v>7</v>
      </c>
      <c r="G1916">
        <v>4.5</v>
      </c>
      <c r="H1916" t="s">
        <v>12</v>
      </c>
      <c r="I1916" t="s">
        <v>19</v>
      </c>
      <c r="J1916" t="s">
        <v>11</v>
      </c>
      <c r="K1916">
        <f>_xlfn.XLOOKUP(tbl_analysis_tickets[[#This Row],[priority]],tbl_sla[priority],tbl_sla[Resolution SLA Hours])</f>
        <v>8</v>
      </c>
      <c r="L1916">
        <f>_xlfn.XLOOKUP(tbl_analysis_tickets[[#This Row],[priority]],tbl_sla[priority],tbl_sla[First Response SLA Minutes])</f>
        <v>30</v>
      </c>
      <c r="M1916" t="str">
        <f>IF(tbl_analysis_tickets[[#This Row],[resolution_time_hours]]&gt;tbl_analysis_tickets[[#This Row],[Resolution SLA Hours]],"Breached","Within SLA")</f>
        <v>Within SLA</v>
      </c>
      <c r="N1916" t="str">
        <f>IF(tbl_analysis_tickets[[#This Row],[first_response_minutes]]&gt;tbl_analysis_tickets[[#This Row],[First Response SLA Minutes]],"Breached","Within SLA")</f>
        <v>Breached</v>
      </c>
      <c r="O1916" t="str" cm="1">
        <f t="array" ref="O1916">_xlfn.IFS(
tbl_analysis_tickets[[#This Row],[agent_experience_years]]&lt;=2,"Junior",
tbl_analysis_tickets[[#This Row],[agent_experience_years]]&lt;=5,"Mid-Level",
tbl_analysis_tickets[[#This Row],[agent_experience_years]]&lt;=8,"Senior",
tbl_analysis_tickets[[#This Row],[agent_experience_years]]&gt;8,"Expert"
)</f>
        <v>Mid-Level</v>
      </c>
      <c r="P1916" cm="1">
        <f t="array" ref="P1916">_xlfn.SWITCH(tbl_analysis_tickets[[#This Row],[customer_satisfaction]],
"Low",1,
"Medium",2,
"High",3
)</f>
        <v>1</v>
      </c>
      <c r="Q1916">
        <f>IF(tbl_analysis_tickets[[#This Row],[reopened]]="Yes",1,0)</f>
        <v>1</v>
      </c>
      <c r="R1916" t="str" cm="1">
        <f t="array" ref="R1916">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916" t="str" cm="1">
        <f t="array" ref="S191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1916" t="str">
        <f>TEXT(tbl_analysis_tickets[[#This Row],[created_date]],"mmm-yyyy")</f>
        <v>Nov-2024</v>
      </c>
      <c r="U1916" t="str">
        <f>TEXT(tbl_analysis_tickets[[#This Row],[created_date]],"dddd")</f>
        <v>Tuesday</v>
      </c>
      <c r="V1916" cm="1">
        <f t="array" ref="V1916">_xlfn.SWITCH(tbl_analysis_tickets[[#This Row],[priority]],
"Urgent",1,
"High",2,
"Medium",3,
"Low",4
)</f>
        <v>1</v>
      </c>
    </row>
    <row r="1917" spans="1:22" x14ac:dyDescent="0.25">
      <c r="A1917">
        <v>1916</v>
      </c>
      <c r="B1917" s="1">
        <v>45347</v>
      </c>
      <c r="C1917" t="s">
        <v>14</v>
      </c>
      <c r="D1917" t="s">
        <v>15</v>
      </c>
      <c r="E1917">
        <v>232</v>
      </c>
      <c r="F1917">
        <v>59</v>
      </c>
      <c r="G1917">
        <v>7.6</v>
      </c>
      <c r="H1917" t="s">
        <v>18</v>
      </c>
      <c r="I1917" t="s">
        <v>19</v>
      </c>
      <c r="J1917" t="s">
        <v>15</v>
      </c>
      <c r="K1917">
        <f>_xlfn.XLOOKUP(tbl_analysis_tickets[[#This Row],[priority]],tbl_sla[priority],tbl_sla[Resolution SLA Hours])</f>
        <v>48</v>
      </c>
      <c r="L1917">
        <f>_xlfn.XLOOKUP(tbl_analysis_tickets[[#This Row],[priority]],tbl_sla[priority],tbl_sla[First Response SLA Minutes])</f>
        <v>120</v>
      </c>
      <c r="M1917" t="str">
        <f>IF(tbl_analysis_tickets[[#This Row],[resolution_time_hours]]&gt;tbl_analysis_tickets[[#This Row],[Resolution SLA Hours]],"Breached","Within SLA")</f>
        <v>Breached</v>
      </c>
      <c r="N1917" t="str">
        <f>IF(tbl_analysis_tickets[[#This Row],[first_response_minutes]]&gt;tbl_analysis_tickets[[#This Row],[First Response SLA Minutes]],"Breached","Within SLA")</f>
        <v>Breached</v>
      </c>
      <c r="O1917" t="str" cm="1">
        <f t="array" ref="O1917">_xlfn.IFS(
tbl_analysis_tickets[[#This Row],[agent_experience_years]]&lt;=2,"Junior",
tbl_analysis_tickets[[#This Row],[agent_experience_years]]&lt;=5,"Mid-Level",
tbl_analysis_tickets[[#This Row],[agent_experience_years]]&lt;=8,"Senior",
tbl_analysis_tickets[[#This Row],[agent_experience_years]]&gt;8,"Expert"
)</f>
        <v>Senior</v>
      </c>
      <c r="P1917" cm="1">
        <f t="array" ref="P1917">_xlfn.SWITCH(tbl_analysis_tickets[[#This Row],[customer_satisfaction]],
"Low",1,
"Medium",2,
"High",3
)</f>
        <v>2</v>
      </c>
      <c r="Q1917">
        <f>IF(tbl_analysis_tickets[[#This Row],[reopened]]="Yes",1,0)</f>
        <v>0</v>
      </c>
      <c r="R1917" t="str" cm="1">
        <f t="array" ref="R1917">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917" t="str" cm="1">
        <f t="array" ref="S191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917" t="str">
        <f>TEXT(tbl_analysis_tickets[[#This Row],[created_date]],"mmm-yyyy")</f>
        <v>Feb-2024</v>
      </c>
      <c r="U1917" t="str">
        <f>TEXT(tbl_analysis_tickets[[#This Row],[created_date]],"dddd")</f>
        <v>Sunday</v>
      </c>
      <c r="V1917" cm="1">
        <f t="array" ref="V1917">_xlfn.SWITCH(tbl_analysis_tickets[[#This Row],[priority]],
"Urgent",1,
"High",2,
"Medium",3,
"Low",4
)</f>
        <v>3</v>
      </c>
    </row>
    <row r="1918" spans="1:22" x14ac:dyDescent="0.25">
      <c r="A1918">
        <v>1917</v>
      </c>
      <c r="B1918" s="1">
        <v>45468</v>
      </c>
      <c r="C1918" t="s">
        <v>14</v>
      </c>
      <c r="D1918" t="s">
        <v>15</v>
      </c>
      <c r="E1918">
        <v>175</v>
      </c>
      <c r="F1918">
        <v>5</v>
      </c>
      <c r="G1918">
        <v>6.9</v>
      </c>
      <c r="H1918" t="s">
        <v>12</v>
      </c>
      <c r="I1918" t="s">
        <v>16</v>
      </c>
      <c r="J1918" t="s">
        <v>15</v>
      </c>
      <c r="K1918">
        <f>_xlfn.XLOOKUP(tbl_analysis_tickets[[#This Row],[priority]],tbl_sla[priority],tbl_sla[Resolution SLA Hours])</f>
        <v>48</v>
      </c>
      <c r="L1918">
        <f>_xlfn.XLOOKUP(tbl_analysis_tickets[[#This Row],[priority]],tbl_sla[priority],tbl_sla[First Response SLA Minutes])</f>
        <v>120</v>
      </c>
      <c r="M1918" t="str">
        <f>IF(tbl_analysis_tickets[[#This Row],[resolution_time_hours]]&gt;tbl_analysis_tickets[[#This Row],[Resolution SLA Hours]],"Breached","Within SLA")</f>
        <v>Within SLA</v>
      </c>
      <c r="N1918" t="str">
        <f>IF(tbl_analysis_tickets[[#This Row],[first_response_minutes]]&gt;tbl_analysis_tickets[[#This Row],[First Response SLA Minutes]],"Breached","Within SLA")</f>
        <v>Breached</v>
      </c>
      <c r="O1918" t="str" cm="1">
        <f t="array" ref="O1918">_xlfn.IFS(
tbl_analysis_tickets[[#This Row],[agent_experience_years]]&lt;=2,"Junior",
tbl_analysis_tickets[[#This Row],[agent_experience_years]]&lt;=5,"Mid-Level",
tbl_analysis_tickets[[#This Row],[agent_experience_years]]&lt;=8,"Senior",
tbl_analysis_tickets[[#This Row],[agent_experience_years]]&gt;8,"Expert"
)</f>
        <v>Senior</v>
      </c>
      <c r="P1918" cm="1">
        <f t="array" ref="P1918">_xlfn.SWITCH(tbl_analysis_tickets[[#This Row],[customer_satisfaction]],
"Low",1,
"Medium",2,
"High",3
)</f>
        <v>2</v>
      </c>
      <c r="Q1918">
        <f>IF(tbl_analysis_tickets[[#This Row],[reopened]]="Yes",1,0)</f>
        <v>1</v>
      </c>
      <c r="R1918" t="str" cm="1">
        <f t="array" ref="R1918">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918" t="str" cm="1">
        <f t="array" ref="S191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1918" t="str">
        <f>TEXT(tbl_analysis_tickets[[#This Row],[created_date]],"mmm-yyyy")</f>
        <v>Jun-2024</v>
      </c>
      <c r="U1918" t="str">
        <f>TEXT(tbl_analysis_tickets[[#This Row],[created_date]],"dddd")</f>
        <v>Tuesday</v>
      </c>
      <c r="V1918" cm="1">
        <f t="array" ref="V1918">_xlfn.SWITCH(tbl_analysis_tickets[[#This Row],[priority]],
"Urgent",1,
"High",2,
"Medium",3,
"Low",4
)</f>
        <v>3</v>
      </c>
    </row>
    <row r="1919" spans="1:22" x14ac:dyDescent="0.25">
      <c r="A1919">
        <v>1918</v>
      </c>
      <c r="B1919" s="1">
        <v>45371</v>
      </c>
      <c r="C1919" t="s">
        <v>10</v>
      </c>
      <c r="D1919" t="s">
        <v>15</v>
      </c>
      <c r="E1919">
        <v>181</v>
      </c>
      <c r="F1919">
        <v>66</v>
      </c>
      <c r="G1919">
        <v>5.3</v>
      </c>
      <c r="H1919" t="s">
        <v>18</v>
      </c>
      <c r="I1919" t="s">
        <v>19</v>
      </c>
      <c r="J1919" t="s">
        <v>15</v>
      </c>
      <c r="K1919">
        <f>_xlfn.XLOOKUP(tbl_analysis_tickets[[#This Row],[priority]],tbl_sla[priority],tbl_sla[Resolution SLA Hours])</f>
        <v>48</v>
      </c>
      <c r="L1919">
        <f>_xlfn.XLOOKUP(tbl_analysis_tickets[[#This Row],[priority]],tbl_sla[priority],tbl_sla[First Response SLA Minutes])</f>
        <v>120</v>
      </c>
      <c r="M1919" t="str">
        <f>IF(tbl_analysis_tickets[[#This Row],[resolution_time_hours]]&gt;tbl_analysis_tickets[[#This Row],[Resolution SLA Hours]],"Breached","Within SLA")</f>
        <v>Breached</v>
      </c>
      <c r="N1919" t="str">
        <f>IF(tbl_analysis_tickets[[#This Row],[first_response_minutes]]&gt;tbl_analysis_tickets[[#This Row],[First Response SLA Minutes]],"Breached","Within SLA")</f>
        <v>Breached</v>
      </c>
      <c r="O1919" t="str" cm="1">
        <f t="array" ref="O1919">_xlfn.IFS(
tbl_analysis_tickets[[#This Row],[agent_experience_years]]&lt;=2,"Junior",
tbl_analysis_tickets[[#This Row],[agent_experience_years]]&lt;=5,"Mid-Level",
tbl_analysis_tickets[[#This Row],[agent_experience_years]]&lt;=8,"Senior",
tbl_analysis_tickets[[#This Row],[agent_experience_years]]&gt;8,"Expert"
)</f>
        <v>Senior</v>
      </c>
      <c r="P1919" cm="1">
        <f t="array" ref="P1919">_xlfn.SWITCH(tbl_analysis_tickets[[#This Row],[customer_satisfaction]],
"Low",1,
"Medium",2,
"High",3
)</f>
        <v>2</v>
      </c>
      <c r="Q1919">
        <f>IF(tbl_analysis_tickets[[#This Row],[reopened]]="Yes",1,0)</f>
        <v>0</v>
      </c>
      <c r="R1919" t="str" cm="1">
        <f t="array" ref="R1919">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919" t="str" cm="1">
        <f t="array" ref="S191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919" t="str">
        <f>TEXT(tbl_analysis_tickets[[#This Row],[created_date]],"mmm-yyyy")</f>
        <v>Mar-2024</v>
      </c>
      <c r="U1919" t="str">
        <f>TEXT(tbl_analysis_tickets[[#This Row],[created_date]],"dddd")</f>
        <v>Wednesday</v>
      </c>
      <c r="V1919" cm="1">
        <f t="array" ref="V1919">_xlfn.SWITCH(tbl_analysis_tickets[[#This Row],[priority]],
"Urgent",1,
"High",2,
"Medium",3,
"Low",4
)</f>
        <v>3</v>
      </c>
    </row>
    <row r="1920" spans="1:22" x14ac:dyDescent="0.25">
      <c r="A1920">
        <v>1919</v>
      </c>
      <c r="B1920" s="1">
        <v>45419</v>
      </c>
      <c r="C1920" t="s">
        <v>10</v>
      </c>
      <c r="D1920" t="s">
        <v>11</v>
      </c>
      <c r="E1920">
        <v>128</v>
      </c>
      <c r="F1920">
        <v>20</v>
      </c>
      <c r="G1920">
        <v>9.1999999999999993</v>
      </c>
      <c r="H1920" t="s">
        <v>18</v>
      </c>
      <c r="I1920" t="s">
        <v>19</v>
      </c>
      <c r="J1920" t="s">
        <v>15</v>
      </c>
      <c r="K1920">
        <f>_xlfn.XLOOKUP(tbl_analysis_tickets[[#This Row],[priority]],tbl_sla[priority],tbl_sla[Resolution SLA Hours])</f>
        <v>72</v>
      </c>
      <c r="L1920">
        <f>_xlfn.XLOOKUP(tbl_analysis_tickets[[#This Row],[priority]],tbl_sla[priority],tbl_sla[First Response SLA Minutes])</f>
        <v>240</v>
      </c>
      <c r="M1920" t="str">
        <f>IF(tbl_analysis_tickets[[#This Row],[resolution_time_hours]]&gt;tbl_analysis_tickets[[#This Row],[Resolution SLA Hours]],"Breached","Within SLA")</f>
        <v>Within SLA</v>
      </c>
      <c r="N1920" t="str">
        <f>IF(tbl_analysis_tickets[[#This Row],[first_response_minutes]]&gt;tbl_analysis_tickets[[#This Row],[First Response SLA Minutes]],"Breached","Within SLA")</f>
        <v>Within SLA</v>
      </c>
      <c r="O1920" t="str" cm="1">
        <f t="array" ref="O1920">_xlfn.IFS(
tbl_analysis_tickets[[#This Row],[agent_experience_years]]&lt;=2,"Junior",
tbl_analysis_tickets[[#This Row],[agent_experience_years]]&lt;=5,"Mid-Level",
tbl_analysis_tickets[[#This Row],[agent_experience_years]]&lt;=8,"Senior",
tbl_analysis_tickets[[#This Row],[agent_experience_years]]&gt;8,"Expert"
)</f>
        <v>Expert</v>
      </c>
      <c r="P1920" cm="1">
        <f t="array" ref="P1920">_xlfn.SWITCH(tbl_analysis_tickets[[#This Row],[customer_satisfaction]],
"Low",1,
"Medium",2,
"High",3
)</f>
        <v>2</v>
      </c>
      <c r="Q1920">
        <f>IF(tbl_analysis_tickets[[#This Row],[reopened]]="Yes",1,0)</f>
        <v>0</v>
      </c>
      <c r="R1920" t="str" cm="1">
        <f t="array" ref="R1920">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920" t="str" cm="1">
        <f t="array" ref="S192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920" t="str">
        <f>TEXT(tbl_analysis_tickets[[#This Row],[created_date]],"mmm-yyyy")</f>
        <v>May-2024</v>
      </c>
      <c r="U1920" t="str">
        <f>TEXT(tbl_analysis_tickets[[#This Row],[created_date]],"dddd")</f>
        <v>Tuesday</v>
      </c>
      <c r="V1920" cm="1">
        <f t="array" ref="V1920">_xlfn.SWITCH(tbl_analysis_tickets[[#This Row],[priority]],
"Urgent",1,
"High",2,
"Medium",3,
"Low",4
)</f>
        <v>4</v>
      </c>
    </row>
    <row r="1921" spans="1:22" x14ac:dyDescent="0.25">
      <c r="A1921">
        <v>1920</v>
      </c>
      <c r="B1921" s="1">
        <v>45462</v>
      </c>
      <c r="C1921" t="s">
        <v>23</v>
      </c>
      <c r="D1921" t="s">
        <v>17</v>
      </c>
      <c r="E1921">
        <v>213</v>
      </c>
      <c r="F1921">
        <v>59</v>
      </c>
      <c r="G1921">
        <v>5</v>
      </c>
      <c r="H1921" t="s">
        <v>12</v>
      </c>
      <c r="I1921" t="s">
        <v>16</v>
      </c>
      <c r="J1921" t="s">
        <v>11</v>
      </c>
      <c r="K1921">
        <f>_xlfn.XLOOKUP(tbl_analysis_tickets[[#This Row],[priority]],tbl_sla[priority],tbl_sla[Resolution SLA Hours])</f>
        <v>8</v>
      </c>
      <c r="L1921">
        <f>_xlfn.XLOOKUP(tbl_analysis_tickets[[#This Row],[priority]],tbl_sla[priority],tbl_sla[First Response SLA Minutes])</f>
        <v>30</v>
      </c>
      <c r="M1921" t="str">
        <f>IF(tbl_analysis_tickets[[#This Row],[resolution_time_hours]]&gt;tbl_analysis_tickets[[#This Row],[Resolution SLA Hours]],"Breached","Within SLA")</f>
        <v>Breached</v>
      </c>
      <c r="N1921" t="str">
        <f>IF(tbl_analysis_tickets[[#This Row],[first_response_minutes]]&gt;tbl_analysis_tickets[[#This Row],[First Response SLA Minutes]],"Breached","Within SLA")</f>
        <v>Breached</v>
      </c>
      <c r="O1921" t="str" cm="1">
        <f t="array" ref="O1921">_xlfn.IFS(
tbl_analysis_tickets[[#This Row],[agent_experience_years]]&lt;=2,"Junior",
tbl_analysis_tickets[[#This Row],[agent_experience_years]]&lt;=5,"Mid-Level",
tbl_analysis_tickets[[#This Row],[agent_experience_years]]&lt;=8,"Senior",
tbl_analysis_tickets[[#This Row],[agent_experience_years]]&gt;8,"Expert"
)</f>
        <v>Mid-Level</v>
      </c>
      <c r="P1921" cm="1">
        <f t="array" ref="P1921">_xlfn.SWITCH(tbl_analysis_tickets[[#This Row],[customer_satisfaction]],
"Low",1,
"Medium",2,
"High",3
)</f>
        <v>1</v>
      </c>
      <c r="Q1921">
        <f>IF(tbl_analysis_tickets[[#This Row],[reopened]]="Yes",1,0)</f>
        <v>1</v>
      </c>
      <c r="R1921" t="str" cm="1">
        <f t="array" ref="R1921">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921" t="str" cm="1">
        <f t="array" ref="S192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921" t="str">
        <f>TEXT(tbl_analysis_tickets[[#This Row],[created_date]],"mmm-yyyy")</f>
        <v>Jun-2024</v>
      </c>
      <c r="U1921" t="str">
        <f>TEXT(tbl_analysis_tickets[[#This Row],[created_date]],"dddd")</f>
        <v>Wednesday</v>
      </c>
      <c r="V1921" cm="1">
        <f t="array" ref="V1921">_xlfn.SWITCH(tbl_analysis_tickets[[#This Row],[priority]],
"Urgent",1,
"High",2,
"Medium",3,
"Low",4
)</f>
        <v>1</v>
      </c>
    </row>
    <row r="1922" spans="1:22" x14ac:dyDescent="0.25">
      <c r="A1922">
        <v>1921</v>
      </c>
      <c r="B1922" s="1">
        <v>45477</v>
      </c>
      <c r="C1922" t="s">
        <v>21</v>
      </c>
      <c r="D1922" t="s">
        <v>20</v>
      </c>
      <c r="E1922">
        <v>172</v>
      </c>
      <c r="F1922">
        <v>51</v>
      </c>
      <c r="G1922">
        <v>8.1</v>
      </c>
      <c r="H1922" t="s">
        <v>18</v>
      </c>
      <c r="I1922" t="s">
        <v>16</v>
      </c>
      <c r="J1922" t="s">
        <v>11</v>
      </c>
      <c r="K1922">
        <f>_xlfn.XLOOKUP(tbl_analysis_tickets[[#This Row],[priority]],tbl_sla[priority],tbl_sla[Resolution SLA Hours])</f>
        <v>24</v>
      </c>
      <c r="L1922">
        <f>_xlfn.XLOOKUP(tbl_analysis_tickets[[#This Row],[priority]],tbl_sla[priority],tbl_sla[First Response SLA Minutes])</f>
        <v>60</v>
      </c>
      <c r="M1922" t="str">
        <f>IF(tbl_analysis_tickets[[#This Row],[resolution_time_hours]]&gt;tbl_analysis_tickets[[#This Row],[Resolution SLA Hours]],"Breached","Within SLA")</f>
        <v>Breached</v>
      </c>
      <c r="N1922" t="str">
        <f>IF(tbl_analysis_tickets[[#This Row],[first_response_minutes]]&gt;tbl_analysis_tickets[[#This Row],[First Response SLA Minutes]],"Breached","Within SLA")</f>
        <v>Breached</v>
      </c>
      <c r="O1922" t="str" cm="1">
        <f t="array" ref="O1922">_xlfn.IFS(
tbl_analysis_tickets[[#This Row],[agent_experience_years]]&lt;=2,"Junior",
tbl_analysis_tickets[[#This Row],[agent_experience_years]]&lt;=5,"Mid-Level",
tbl_analysis_tickets[[#This Row],[agent_experience_years]]&lt;=8,"Senior",
tbl_analysis_tickets[[#This Row],[agent_experience_years]]&gt;8,"Expert"
)</f>
        <v>Expert</v>
      </c>
      <c r="P1922" cm="1">
        <f t="array" ref="P1922">_xlfn.SWITCH(tbl_analysis_tickets[[#This Row],[customer_satisfaction]],
"Low",1,
"Medium",2,
"High",3
)</f>
        <v>1</v>
      </c>
      <c r="Q1922">
        <f>IF(tbl_analysis_tickets[[#This Row],[reopened]]="Yes",1,0)</f>
        <v>0</v>
      </c>
      <c r="R1922" t="str" cm="1">
        <f t="array" ref="R1922">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922" t="str" cm="1">
        <f t="array" ref="S192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922" t="str">
        <f>TEXT(tbl_analysis_tickets[[#This Row],[created_date]],"mmm-yyyy")</f>
        <v>Jul-2024</v>
      </c>
      <c r="U1922" t="str">
        <f>TEXT(tbl_analysis_tickets[[#This Row],[created_date]],"dddd")</f>
        <v>Thursday</v>
      </c>
      <c r="V1922" cm="1">
        <f t="array" ref="V1922">_xlfn.SWITCH(tbl_analysis_tickets[[#This Row],[priority]],
"Urgent",1,
"High",2,
"Medium",3,
"Low",4
)</f>
        <v>2</v>
      </c>
    </row>
    <row r="1923" spans="1:22" x14ac:dyDescent="0.25">
      <c r="A1923">
        <v>1922</v>
      </c>
      <c r="B1923" s="1">
        <v>45293</v>
      </c>
      <c r="C1923" t="s">
        <v>10</v>
      </c>
      <c r="D1923" t="s">
        <v>20</v>
      </c>
      <c r="E1923">
        <v>59</v>
      </c>
      <c r="F1923">
        <v>64</v>
      </c>
      <c r="G1923">
        <v>4.3</v>
      </c>
      <c r="H1923" t="s">
        <v>12</v>
      </c>
      <c r="I1923" t="s">
        <v>19</v>
      </c>
      <c r="J1923" t="s">
        <v>11</v>
      </c>
      <c r="K1923">
        <f>_xlfn.XLOOKUP(tbl_analysis_tickets[[#This Row],[priority]],tbl_sla[priority],tbl_sla[Resolution SLA Hours])</f>
        <v>24</v>
      </c>
      <c r="L1923">
        <f>_xlfn.XLOOKUP(tbl_analysis_tickets[[#This Row],[priority]],tbl_sla[priority],tbl_sla[First Response SLA Minutes])</f>
        <v>60</v>
      </c>
      <c r="M1923" t="str">
        <f>IF(tbl_analysis_tickets[[#This Row],[resolution_time_hours]]&gt;tbl_analysis_tickets[[#This Row],[Resolution SLA Hours]],"Breached","Within SLA")</f>
        <v>Breached</v>
      </c>
      <c r="N1923" t="str">
        <f>IF(tbl_analysis_tickets[[#This Row],[first_response_minutes]]&gt;tbl_analysis_tickets[[#This Row],[First Response SLA Minutes]],"Breached","Within SLA")</f>
        <v>Within SLA</v>
      </c>
      <c r="O1923" t="str" cm="1">
        <f t="array" ref="O1923">_xlfn.IFS(
tbl_analysis_tickets[[#This Row],[agent_experience_years]]&lt;=2,"Junior",
tbl_analysis_tickets[[#This Row],[agent_experience_years]]&lt;=5,"Mid-Level",
tbl_analysis_tickets[[#This Row],[agent_experience_years]]&lt;=8,"Senior",
tbl_analysis_tickets[[#This Row],[agent_experience_years]]&gt;8,"Expert"
)</f>
        <v>Mid-Level</v>
      </c>
      <c r="P1923" cm="1">
        <f t="array" ref="P1923">_xlfn.SWITCH(tbl_analysis_tickets[[#This Row],[customer_satisfaction]],
"Low",1,
"Medium",2,
"High",3
)</f>
        <v>1</v>
      </c>
      <c r="Q1923">
        <f>IF(tbl_analysis_tickets[[#This Row],[reopened]]="Yes",1,0)</f>
        <v>1</v>
      </c>
      <c r="R1923" t="str" cm="1">
        <f t="array" ref="R1923">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923" t="str" cm="1">
        <f t="array" ref="S192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923" t="str">
        <f>TEXT(tbl_analysis_tickets[[#This Row],[created_date]],"mmm-yyyy")</f>
        <v>Jan-2024</v>
      </c>
      <c r="U1923" t="str">
        <f>TEXT(tbl_analysis_tickets[[#This Row],[created_date]],"dddd")</f>
        <v>Tuesday</v>
      </c>
      <c r="V1923" cm="1">
        <f t="array" ref="V1923">_xlfn.SWITCH(tbl_analysis_tickets[[#This Row],[priority]],
"Urgent",1,
"High",2,
"Medium",3,
"Low",4
)</f>
        <v>2</v>
      </c>
    </row>
    <row r="1924" spans="1:22" x14ac:dyDescent="0.25">
      <c r="A1924">
        <v>1923</v>
      </c>
      <c r="B1924" s="1">
        <v>45528</v>
      </c>
      <c r="C1924" t="s">
        <v>14</v>
      </c>
      <c r="D1924" t="s">
        <v>15</v>
      </c>
      <c r="E1924">
        <v>239</v>
      </c>
      <c r="F1924">
        <v>44</v>
      </c>
      <c r="G1924">
        <v>6.9</v>
      </c>
      <c r="H1924" t="s">
        <v>18</v>
      </c>
      <c r="I1924" t="s">
        <v>16</v>
      </c>
      <c r="J1924" t="s">
        <v>15</v>
      </c>
      <c r="K1924">
        <f>_xlfn.XLOOKUP(tbl_analysis_tickets[[#This Row],[priority]],tbl_sla[priority],tbl_sla[Resolution SLA Hours])</f>
        <v>48</v>
      </c>
      <c r="L1924">
        <f>_xlfn.XLOOKUP(tbl_analysis_tickets[[#This Row],[priority]],tbl_sla[priority],tbl_sla[First Response SLA Minutes])</f>
        <v>120</v>
      </c>
      <c r="M1924" t="str">
        <f>IF(tbl_analysis_tickets[[#This Row],[resolution_time_hours]]&gt;tbl_analysis_tickets[[#This Row],[Resolution SLA Hours]],"Breached","Within SLA")</f>
        <v>Within SLA</v>
      </c>
      <c r="N1924" t="str">
        <f>IF(tbl_analysis_tickets[[#This Row],[first_response_minutes]]&gt;tbl_analysis_tickets[[#This Row],[First Response SLA Minutes]],"Breached","Within SLA")</f>
        <v>Breached</v>
      </c>
      <c r="O1924" t="str" cm="1">
        <f t="array" ref="O1924">_xlfn.IFS(
tbl_analysis_tickets[[#This Row],[agent_experience_years]]&lt;=2,"Junior",
tbl_analysis_tickets[[#This Row],[agent_experience_years]]&lt;=5,"Mid-Level",
tbl_analysis_tickets[[#This Row],[agent_experience_years]]&lt;=8,"Senior",
tbl_analysis_tickets[[#This Row],[agent_experience_years]]&gt;8,"Expert"
)</f>
        <v>Senior</v>
      </c>
      <c r="P1924" cm="1">
        <f t="array" ref="P1924">_xlfn.SWITCH(tbl_analysis_tickets[[#This Row],[customer_satisfaction]],
"Low",1,
"Medium",2,
"High",3
)</f>
        <v>2</v>
      </c>
      <c r="Q1924">
        <f>IF(tbl_analysis_tickets[[#This Row],[reopened]]="Yes",1,0)</f>
        <v>0</v>
      </c>
      <c r="R1924" t="str" cm="1">
        <f t="array" ref="R1924">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924" t="str" cm="1">
        <f t="array" ref="S192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924" t="str">
        <f>TEXT(tbl_analysis_tickets[[#This Row],[created_date]],"mmm-yyyy")</f>
        <v>Aug-2024</v>
      </c>
      <c r="U1924" t="str">
        <f>TEXT(tbl_analysis_tickets[[#This Row],[created_date]],"dddd")</f>
        <v>Saturday</v>
      </c>
      <c r="V1924" cm="1">
        <f t="array" ref="V1924">_xlfn.SWITCH(tbl_analysis_tickets[[#This Row],[priority]],
"Urgent",1,
"High",2,
"Medium",3,
"Low",4
)</f>
        <v>3</v>
      </c>
    </row>
    <row r="1925" spans="1:22" x14ac:dyDescent="0.25">
      <c r="A1925">
        <v>1924</v>
      </c>
      <c r="B1925" s="1">
        <v>45536</v>
      </c>
      <c r="C1925" t="s">
        <v>10</v>
      </c>
      <c r="D1925" t="s">
        <v>17</v>
      </c>
      <c r="E1925">
        <v>239</v>
      </c>
      <c r="F1925">
        <v>34</v>
      </c>
      <c r="G1925">
        <v>2.2000000000000002</v>
      </c>
      <c r="H1925" t="s">
        <v>12</v>
      </c>
      <c r="I1925" t="s">
        <v>19</v>
      </c>
      <c r="J1925" t="s">
        <v>11</v>
      </c>
      <c r="K1925">
        <f>_xlfn.XLOOKUP(tbl_analysis_tickets[[#This Row],[priority]],tbl_sla[priority],tbl_sla[Resolution SLA Hours])</f>
        <v>8</v>
      </c>
      <c r="L1925">
        <f>_xlfn.XLOOKUP(tbl_analysis_tickets[[#This Row],[priority]],tbl_sla[priority],tbl_sla[First Response SLA Minutes])</f>
        <v>30</v>
      </c>
      <c r="M1925" t="str">
        <f>IF(tbl_analysis_tickets[[#This Row],[resolution_time_hours]]&gt;tbl_analysis_tickets[[#This Row],[Resolution SLA Hours]],"Breached","Within SLA")</f>
        <v>Breached</v>
      </c>
      <c r="N1925" t="str">
        <f>IF(tbl_analysis_tickets[[#This Row],[first_response_minutes]]&gt;tbl_analysis_tickets[[#This Row],[First Response SLA Minutes]],"Breached","Within SLA")</f>
        <v>Breached</v>
      </c>
      <c r="O1925" t="str" cm="1">
        <f t="array" ref="O1925">_xlfn.IFS(
tbl_analysis_tickets[[#This Row],[agent_experience_years]]&lt;=2,"Junior",
tbl_analysis_tickets[[#This Row],[agent_experience_years]]&lt;=5,"Mid-Level",
tbl_analysis_tickets[[#This Row],[agent_experience_years]]&lt;=8,"Senior",
tbl_analysis_tickets[[#This Row],[agent_experience_years]]&gt;8,"Expert"
)</f>
        <v>Mid-Level</v>
      </c>
      <c r="P1925" cm="1">
        <f t="array" ref="P1925">_xlfn.SWITCH(tbl_analysis_tickets[[#This Row],[customer_satisfaction]],
"Low",1,
"Medium",2,
"High",3
)</f>
        <v>1</v>
      </c>
      <c r="Q1925">
        <f>IF(tbl_analysis_tickets[[#This Row],[reopened]]="Yes",1,0)</f>
        <v>1</v>
      </c>
      <c r="R1925" t="str" cm="1">
        <f t="array" ref="R1925">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925" t="str" cm="1">
        <f t="array" ref="S192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925" t="str">
        <f>TEXT(tbl_analysis_tickets[[#This Row],[created_date]],"mmm-yyyy")</f>
        <v>Sep-2024</v>
      </c>
      <c r="U1925" t="str">
        <f>TEXT(tbl_analysis_tickets[[#This Row],[created_date]],"dddd")</f>
        <v>Sunday</v>
      </c>
      <c r="V1925" cm="1">
        <f t="array" ref="V1925">_xlfn.SWITCH(tbl_analysis_tickets[[#This Row],[priority]],
"Urgent",1,
"High",2,
"Medium",3,
"Low",4
)</f>
        <v>1</v>
      </c>
    </row>
    <row r="1926" spans="1:22" x14ac:dyDescent="0.25">
      <c r="A1926">
        <v>1925</v>
      </c>
      <c r="B1926" s="1">
        <v>45434</v>
      </c>
      <c r="C1926" t="s">
        <v>22</v>
      </c>
      <c r="D1926" t="s">
        <v>20</v>
      </c>
      <c r="E1926">
        <v>236</v>
      </c>
      <c r="F1926">
        <v>18</v>
      </c>
      <c r="G1926">
        <v>8.9</v>
      </c>
      <c r="H1926" t="s">
        <v>18</v>
      </c>
      <c r="I1926" t="s">
        <v>19</v>
      </c>
      <c r="J1926" t="s">
        <v>11</v>
      </c>
      <c r="K1926">
        <f>_xlfn.XLOOKUP(tbl_analysis_tickets[[#This Row],[priority]],tbl_sla[priority],tbl_sla[Resolution SLA Hours])</f>
        <v>24</v>
      </c>
      <c r="L1926">
        <f>_xlfn.XLOOKUP(tbl_analysis_tickets[[#This Row],[priority]],tbl_sla[priority],tbl_sla[First Response SLA Minutes])</f>
        <v>60</v>
      </c>
      <c r="M1926" t="str">
        <f>IF(tbl_analysis_tickets[[#This Row],[resolution_time_hours]]&gt;tbl_analysis_tickets[[#This Row],[Resolution SLA Hours]],"Breached","Within SLA")</f>
        <v>Within SLA</v>
      </c>
      <c r="N1926" t="str">
        <f>IF(tbl_analysis_tickets[[#This Row],[first_response_minutes]]&gt;tbl_analysis_tickets[[#This Row],[First Response SLA Minutes]],"Breached","Within SLA")</f>
        <v>Breached</v>
      </c>
      <c r="O1926" t="str" cm="1">
        <f t="array" ref="O1926">_xlfn.IFS(
tbl_analysis_tickets[[#This Row],[agent_experience_years]]&lt;=2,"Junior",
tbl_analysis_tickets[[#This Row],[agent_experience_years]]&lt;=5,"Mid-Level",
tbl_analysis_tickets[[#This Row],[agent_experience_years]]&lt;=8,"Senior",
tbl_analysis_tickets[[#This Row],[agent_experience_years]]&gt;8,"Expert"
)</f>
        <v>Expert</v>
      </c>
      <c r="P1926" cm="1">
        <f t="array" ref="P1926">_xlfn.SWITCH(tbl_analysis_tickets[[#This Row],[customer_satisfaction]],
"Low",1,
"Medium",2,
"High",3
)</f>
        <v>1</v>
      </c>
      <c r="Q1926">
        <f>IF(tbl_analysis_tickets[[#This Row],[reopened]]="Yes",1,0)</f>
        <v>0</v>
      </c>
      <c r="R1926" t="str" cm="1">
        <f t="array" ref="R1926">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926" t="str" cm="1">
        <f t="array" ref="S192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926" t="str">
        <f>TEXT(tbl_analysis_tickets[[#This Row],[created_date]],"mmm-yyyy")</f>
        <v>May-2024</v>
      </c>
      <c r="U1926" t="str">
        <f>TEXT(tbl_analysis_tickets[[#This Row],[created_date]],"dddd")</f>
        <v>Wednesday</v>
      </c>
      <c r="V1926" cm="1">
        <f t="array" ref="V1926">_xlfn.SWITCH(tbl_analysis_tickets[[#This Row],[priority]],
"Urgent",1,
"High",2,
"Medium",3,
"Low",4
)</f>
        <v>2</v>
      </c>
    </row>
    <row r="1927" spans="1:22" x14ac:dyDescent="0.25">
      <c r="A1927">
        <v>1926</v>
      </c>
      <c r="B1927" s="1">
        <v>45403</v>
      </c>
      <c r="C1927" t="s">
        <v>21</v>
      </c>
      <c r="D1927" t="s">
        <v>11</v>
      </c>
      <c r="E1927">
        <v>160</v>
      </c>
      <c r="F1927">
        <v>72</v>
      </c>
      <c r="G1927">
        <v>8.1999999999999993</v>
      </c>
      <c r="H1927" t="s">
        <v>12</v>
      </c>
      <c r="I1927" t="s">
        <v>13</v>
      </c>
      <c r="J1927" t="s">
        <v>11</v>
      </c>
      <c r="K1927">
        <f>_xlfn.XLOOKUP(tbl_analysis_tickets[[#This Row],[priority]],tbl_sla[priority],tbl_sla[Resolution SLA Hours])</f>
        <v>72</v>
      </c>
      <c r="L1927">
        <f>_xlfn.XLOOKUP(tbl_analysis_tickets[[#This Row],[priority]],tbl_sla[priority],tbl_sla[First Response SLA Minutes])</f>
        <v>240</v>
      </c>
      <c r="M1927" t="str">
        <f>IF(tbl_analysis_tickets[[#This Row],[resolution_time_hours]]&gt;tbl_analysis_tickets[[#This Row],[Resolution SLA Hours]],"Breached","Within SLA")</f>
        <v>Within SLA</v>
      </c>
      <c r="N1927" t="str">
        <f>IF(tbl_analysis_tickets[[#This Row],[first_response_minutes]]&gt;tbl_analysis_tickets[[#This Row],[First Response SLA Minutes]],"Breached","Within SLA")</f>
        <v>Within SLA</v>
      </c>
      <c r="O1927" t="str" cm="1">
        <f t="array" ref="O1927">_xlfn.IFS(
tbl_analysis_tickets[[#This Row],[agent_experience_years]]&lt;=2,"Junior",
tbl_analysis_tickets[[#This Row],[agent_experience_years]]&lt;=5,"Mid-Level",
tbl_analysis_tickets[[#This Row],[agent_experience_years]]&lt;=8,"Senior",
tbl_analysis_tickets[[#This Row],[agent_experience_years]]&gt;8,"Expert"
)</f>
        <v>Expert</v>
      </c>
      <c r="P1927" cm="1">
        <f t="array" ref="P1927">_xlfn.SWITCH(tbl_analysis_tickets[[#This Row],[customer_satisfaction]],
"Low",1,
"Medium",2,
"High",3
)</f>
        <v>1</v>
      </c>
      <c r="Q1927">
        <f>IF(tbl_analysis_tickets[[#This Row],[reopened]]="Yes",1,0)</f>
        <v>1</v>
      </c>
      <c r="R1927" t="str" cm="1">
        <f t="array" ref="R1927">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927" t="str" cm="1">
        <f t="array" ref="S192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927" t="str">
        <f>TEXT(tbl_analysis_tickets[[#This Row],[created_date]],"mmm-yyyy")</f>
        <v>Apr-2024</v>
      </c>
      <c r="U1927" t="str">
        <f>TEXT(tbl_analysis_tickets[[#This Row],[created_date]],"dddd")</f>
        <v>Sunday</v>
      </c>
      <c r="V1927" cm="1">
        <f t="array" ref="V1927">_xlfn.SWITCH(tbl_analysis_tickets[[#This Row],[priority]],
"Urgent",1,
"High",2,
"Medium",3,
"Low",4
)</f>
        <v>4</v>
      </c>
    </row>
    <row r="1928" spans="1:22" x14ac:dyDescent="0.25">
      <c r="A1928">
        <v>1927</v>
      </c>
      <c r="B1928" s="1">
        <v>45364</v>
      </c>
      <c r="C1928" t="s">
        <v>14</v>
      </c>
      <c r="D1928" t="s">
        <v>20</v>
      </c>
      <c r="E1928">
        <v>223</v>
      </c>
      <c r="F1928">
        <v>39</v>
      </c>
      <c r="G1928">
        <v>1.1000000000000001</v>
      </c>
      <c r="H1928" t="s">
        <v>12</v>
      </c>
      <c r="I1928" t="s">
        <v>13</v>
      </c>
      <c r="J1928" t="s">
        <v>11</v>
      </c>
      <c r="K1928">
        <f>_xlfn.XLOOKUP(tbl_analysis_tickets[[#This Row],[priority]],tbl_sla[priority],tbl_sla[Resolution SLA Hours])</f>
        <v>24</v>
      </c>
      <c r="L1928">
        <f>_xlfn.XLOOKUP(tbl_analysis_tickets[[#This Row],[priority]],tbl_sla[priority],tbl_sla[First Response SLA Minutes])</f>
        <v>60</v>
      </c>
      <c r="M1928" t="str">
        <f>IF(tbl_analysis_tickets[[#This Row],[resolution_time_hours]]&gt;tbl_analysis_tickets[[#This Row],[Resolution SLA Hours]],"Breached","Within SLA")</f>
        <v>Breached</v>
      </c>
      <c r="N1928" t="str">
        <f>IF(tbl_analysis_tickets[[#This Row],[first_response_minutes]]&gt;tbl_analysis_tickets[[#This Row],[First Response SLA Minutes]],"Breached","Within SLA")</f>
        <v>Breached</v>
      </c>
      <c r="O1928" t="str" cm="1">
        <f t="array" ref="O1928">_xlfn.IFS(
tbl_analysis_tickets[[#This Row],[agent_experience_years]]&lt;=2,"Junior",
tbl_analysis_tickets[[#This Row],[agent_experience_years]]&lt;=5,"Mid-Level",
tbl_analysis_tickets[[#This Row],[agent_experience_years]]&lt;=8,"Senior",
tbl_analysis_tickets[[#This Row],[agent_experience_years]]&gt;8,"Expert"
)</f>
        <v>Junior</v>
      </c>
      <c r="P1928" cm="1">
        <f t="array" ref="P1928">_xlfn.SWITCH(tbl_analysis_tickets[[#This Row],[customer_satisfaction]],
"Low",1,
"Medium",2,
"High",3
)</f>
        <v>1</v>
      </c>
      <c r="Q1928">
        <f>IF(tbl_analysis_tickets[[#This Row],[reopened]]="Yes",1,0)</f>
        <v>1</v>
      </c>
      <c r="R1928" t="str" cm="1">
        <f t="array" ref="R1928">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928" t="str" cm="1">
        <f t="array" ref="S192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928" t="str">
        <f>TEXT(tbl_analysis_tickets[[#This Row],[created_date]],"mmm-yyyy")</f>
        <v>Mar-2024</v>
      </c>
      <c r="U1928" t="str">
        <f>TEXT(tbl_analysis_tickets[[#This Row],[created_date]],"dddd")</f>
        <v>Wednesday</v>
      </c>
      <c r="V1928" cm="1">
        <f t="array" ref="V1928">_xlfn.SWITCH(tbl_analysis_tickets[[#This Row],[priority]],
"Urgent",1,
"High",2,
"Medium",3,
"Low",4
)</f>
        <v>2</v>
      </c>
    </row>
    <row r="1929" spans="1:22" x14ac:dyDescent="0.25">
      <c r="A1929">
        <v>1928</v>
      </c>
      <c r="B1929" s="1">
        <v>45599</v>
      </c>
      <c r="C1929" t="s">
        <v>14</v>
      </c>
      <c r="D1929" t="s">
        <v>20</v>
      </c>
      <c r="E1929">
        <v>159</v>
      </c>
      <c r="F1929">
        <v>51</v>
      </c>
      <c r="G1929">
        <v>8.8000000000000007</v>
      </c>
      <c r="H1929" t="s">
        <v>18</v>
      </c>
      <c r="I1929" t="s">
        <v>13</v>
      </c>
      <c r="J1929" t="s">
        <v>11</v>
      </c>
      <c r="K1929">
        <f>_xlfn.XLOOKUP(tbl_analysis_tickets[[#This Row],[priority]],tbl_sla[priority],tbl_sla[Resolution SLA Hours])</f>
        <v>24</v>
      </c>
      <c r="L1929">
        <f>_xlfn.XLOOKUP(tbl_analysis_tickets[[#This Row],[priority]],tbl_sla[priority],tbl_sla[First Response SLA Minutes])</f>
        <v>60</v>
      </c>
      <c r="M1929" t="str">
        <f>IF(tbl_analysis_tickets[[#This Row],[resolution_time_hours]]&gt;tbl_analysis_tickets[[#This Row],[Resolution SLA Hours]],"Breached","Within SLA")</f>
        <v>Breached</v>
      </c>
      <c r="N1929" t="str">
        <f>IF(tbl_analysis_tickets[[#This Row],[first_response_minutes]]&gt;tbl_analysis_tickets[[#This Row],[First Response SLA Minutes]],"Breached","Within SLA")</f>
        <v>Breached</v>
      </c>
      <c r="O1929" t="str" cm="1">
        <f t="array" ref="O1929">_xlfn.IFS(
tbl_analysis_tickets[[#This Row],[agent_experience_years]]&lt;=2,"Junior",
tbl_analysis_tickets[[#This Row],[agent_experience_years]]&lt;=5,"Mid-Level",
tbl_analysis_tickets[[#This Row],[agent_experience_years]]&lt;=8,"Senior",
tbl_analysis_tickets[[#This Row],[agent_experience_years]]&gt;8,"Expert"
)</f>
        <v>Expert</v>
      </c>
      <c r="P1929" cm="1">
        <f t="array" ref="P1929">_xlfn.SWITCH(tbl_analysis_tickets[[#This Row],[customer_satisfaction]],
"Low",1,
"Medium",2,
"High",3
)</f>
        <v>1</v>
      </c>
      <c r="Q1929">
        <f>IF(tbl_analysis_tickets[[#This Row],[reopened]]="Yes",1,0)</f>
        <v>0</v>
      </c>
      <c r="R1929" t="str" cm="1">
        <f t="array" ref="R1929">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929" t="str" cm="1">
        <f t="array" ref="S192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929" t="str">
        <f>TEXT(tbl_analysis_tickets[[#This Row],[created_date]],"mmm-yyyy")</f>
        <v>Nov-2024</v>
      </c>
      <c r="U1929" t="str">
        <f>TEXT(tbl_analysis_tickets[[#This Row],[created_date]],"dddd")</f>
        <v>Sunday</v>
      </c>
      <c r="V1929" cm="1">
        <f t="array" ref="V1929">_xlfn.SWITCH(tbl_analysis_tickets[[#This Row],[priority]],
"Urgent",1,
"High",2,
"Medium",3,
"Low",4
)</f>
        <v>2</v>
      </c>
    </row>
    <row r="1930" spans="1:22" x14ac:dyDescent="0.25">
      <c r="A1930">
        <v>1929</v>
      </c>
      <c r="B1930" s="1">
        <v>45337</v>
      </c>
      <c r="C1930" t="s">
        <v>10</v>
      </c>
      <c r="D1930" t="s">
        <v>15</v>
      </c>
      <c r="E1930">
        <v>100</v>
      </c>
      <c r="F1930">
        <v>36</v>
      </c>
      <c r="G1930">
        <v>4.4000000000000004</v>
      </c>
      <c r="H1930" t="s">
        <v>18</v>
      </c>
      <c r="I1930" t="s">
        <v>13</v>
      </c>
      <c r="J1930" t="s">
        <v>11</v>
      </c>
      <c r="K1930">
        <f>_xlfn.XLOOKUP(tbl_analysis_tickets[[#This Row],[priority]],tbl_sla[priority],tbl_sla[Resolution SLA Hours])</f>
        <v>48</v>
      </c>
      <c r="L1930">
        <f>_xlfn.XLOOKUP(tbl_analysis_tickets[[#This Row],[priority]],tbl_sla[priority],tbl_sla[First Response SLA Minutes])</f>
        <v>120</v>
      </c>
      <c r="M1930" t="str">
        <f>IF(tbl_analysis_tickets[[#This Row],[resolution_time_hours]]&gt;tbl_analysis_tickets[[#This Row],[Resolution SLA Hours]],"Breached","Within SLA")</f>
        <v>Within SLA</v>
      </c>
      <c r="N1930" t="str">
        <f>IF(tbl_analysis_tickets[[#This Row],[first_response_minutes]]&gt;tbl_analysis_tickets[[#This Row],[First Response SLA Minutes]],"Breached","Within SLA")</f>
        <v>Within SLA</v>
      </c>
      <c r="O1930" t="str" cm="1">
        <f t="array" ref="O1930">_xlfn.IFS(
tbl_analysis_tickets[[#This Row],[agent_experience_years]]&lt;=2,"Junior",
tbl_analysis_tickets[[#This Row],[agent_experience_years]]&lt;=5,"Mid-Level",
tbl_analysis_tickets[[#This Row],[agent_experience_years]]&lt;=8,"Senior",
tbl_analysis_tickets[[#This Row],[agent_experience_years]]&gt;8,"Expert"
)</f>
        <v>Mid-Level</v>
      </c>
      <c r="P1930" cm="1">
        <f t="array" ref="P1930">_xlfn.SWITCH(tbl_analysis_tickets[[#This Row],[customer_satisfaction]],
"Low",1,
"Medium",2,
"High",3
)</f>
        <v>1</v>
      </c>
      <c r="Q1930">
        <f>IF(tbl_analysis_tickets[[#This Row],[reopened]]="Yes",1,0)</f>
        <v>0</v>
      </c>
      <c r="R1930" t="str" cm="1">
        <f t="array" ref="R1930">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930" t="str" cm="1">
        <f t="array" ref="S193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930" t="str">
        <f>TEXT(tbl_analysis_tickets[[#This Row],[created_date]],"mmm-yyyy")</f>
        <v>Feb-2024</v>
      </c>
      <c r="U1930" t="str">
        <f>TEXT(tbl_analysis_tickets[[#This Row],[created_date]],"dddd")</f>
        <v>Thursday</v>
      </c>
      <c r="V1930" cm="1">
        <f t="array" ref="V1930">_xlfn.SWITCH(tbl_analysis_tickets[[#This Row],[priority]],
"Urgent",1,
"High",2,
"Medium",3,
"Low",4
)</f>
        <v>3</v>
      </c>
    </row>
    <row r="1931" spans="1:22" x14ac:dyDescent="0.25">
      <c r="A1931">
        <v>1930</v>
      </c>
      <c r="B1931" s="1">
        <v>45545</v>
      </c>
      <c r="C1931" t="s">
        <v>22</v>
      </c>
      <c r="D1931" t="s">
        <v>17</v>
      </c>
      <c r="E1931">
        <v>99</v>
      </c>
      <c r="F1931">
        <v>10</v>
      </c>
      <c r="G1931">
        <v>0.7</v>
      </c>
      <c r="H1931" t="s">
        <v>18</v>
      </c>
      <c r="I1931" t="s">
        <v>13</v>
      </c>
      <c r="J1931" t="s">
        <v>11</v>
      </c>
      <c r="K1931">
        <f>_xlfn.XLOOKUP(tbl_analysis_tickets[[#This Row],[priority]],tbl_sla[priority],tbl_sla[Resolution SLA Hours])</f>
        <v>8</v>
      </c>
      <c r="L1931">
        <f>_xlfn.XLOOKUP(tbl_analysis_tickets[[#This Row],[priority]],tbl_sla[priority],tbl_sla[First Response SLA Minutes])</f>
        <v>30</v>
      </c>
      <c r="M1931" t="str">
        <f>IF(tbl_analysis_tickets[[#This Row],[resolution_time_hours]]&gt;tbl_analysis_tickets[[#This Row],[Resolution SLA Hours]],"Breached","Within SLA")</f>
        <v>Breached</v>
      </c>
      <c r="N1931" t="str">
        <f>IF(tbl_analysis_tickets[[#This Row],[first_response_minutes]]&gt;tbl_analysis_tickets[[#This Row],[First Response SLA Minutes]],"Breached","Within SLA")</f>
        <v>Breached</v>
      </c>
      <c r="O1931" t="str" cm="1">
        <f t="array" ref="O1931">_xlfn.IFS(
tbl_analysis_tickets[[#This Row],[agent_experience_years]]&lt;=2,"Junior",
tbl_analysis_tickets[[#This Row],[agent_experience_years]]&lt;=5,"Mid-Level",
tbl_analysis_tickets[[#This Row],[agent_experience_years]]&lt;=8,"Senior",
tbl_analysis_tickets[[#This Row],[agent_experience_years]]&gt;8,"Expert"
)</f>
        <v>Junior</v>
      </c>
      <c r="P1931" cm="1">
        <f t="array" ref="P1931">_xlfn.SWITCH(tbl_analysis_tickets[[#This Row],[customer_satisfaction]],
"Low",1,
"Medium",2,
"High",3
)</f>
        <v>1</v>
      </c>
      <c r="Q1931">
        <f>IF(tbl_analysis_tickets[[#This Row],[reopened]]="Yes",1,0)</f>
        <v>0</v>
      </c>
      <c r="R1931" t="str" cm="1">
        <f t="array" ref="R1931">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931" t="str" cm="1">
        <f t="array" ref="S193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931" t="str">
        <f>TEXT(tbl_analysis_tickets[[#This Row],[created_date]],"mmm-yyyy")</f>
        <v>Sep-2024</v>
      </c>
      <c r="U1931" t="str">
        <f>TEXT(tbl_analysis_tickets[[#This Row],[created_date]],"dddd")</f>
        <v>Tuesday</v>
      </c>
      <c r="V1931" cm="1">
        <f t="array" ref="V1931">_xlfn.SWITCH(tbl_analysis_tickets[[#This Row],[priority]],
"Urgent",1,
"High",2,
"Medium",3,
"Low",4
)</f>
        <v>1</v>
      </c>
    </row>
    <row r="1932" spans="1:22" x14ac:dyDescent="0.25">
      <c r="A1932">
        <v>1931</v>
      </c>
      <c r="B1932" s="1">
        <v>45609</v>
      </c>
      <c r="C1932" t="s">
        <v>21</v>
      </c>
      <c r="D1932" t="s">
        <v>20</v>
      </c>
      <c r="E1932">
        <v>162</v>
      </c>
      <c r="F1932">
        <v>41</v>
      </c>
      <c r="G1932">
        <v>8.1</v>
      </c>
      <c r="H1932" t="s">
        <v>18</v>
      </c>
      <c r="I1932" t="s">
        <v>13</v>
      </c>
      <c r="J1932" t="s">
        <v>11</v>
      </c>
      <c r="K1932">
        <f>_xlfn.XLOOKUP(tbl_analysis_tickets[[#This Row],[priority]],tbl_sla[priority],tbl_sla[Resolution SLA Hours])</f>
        <v>24</v>
      </c>
      <c r="L1932">
        <f>_xlfn.XLOOKUP(tbl_analysis_tickets[[#This Row],[priority]],tbl_sla[priority],tbl_sla[First Response SLA Minutes])</f>
        <v>60</v>
      </c>
      <c r="M1932" t="str">
        <f>IF(tbl_analysis_tickets[[#This Row],[resolution_time_hours]]&gt;tbl_analysis_tickets[[#This Row],[Resolution SLA Hours]],"Breached","Within SLA")</f>
        <v>Breached</v>
      </c>
      <c r="N1932" t="str">
        <f>IF(tbl_analysis_tickets[[#This Row],[first_response_minutes]]&gt;tbl_analysis_tickets[[#This Row],[First Response SLA Minutes]],"Breached","Within SLA")</f>
        <v>Breached</v>
      </c>
      <c r="O1932" t="str" cm="1">
        <f t="array" ref="O1932">_xlfn.IFS(
tbl_analysis_tickets[[#This Row],[agent_experience_years]]&lt;=2,"Junior",
tbl_analysis_tickets[[#This Row],[agent_experience_years]]&lt;=5,"Mid-Level",
tbl_analysis_tickets[[#This Row],[agent_experience_years]]&lt;=8,"Senior",
tbl_analysis_tickets[[#This Row],[agent_experience_years]]&gt;8,"Expert"
)</f>
        <v>Expert</v>
      </c>
      <c r="P1932" cm="1">
        <f t="array" ref="P1932">_xlfn.SWITCH(tbl_analysis_tickets[[#This Row],[customer_satisfaction]],
"Low",1,
"Medium",2,
"High",3
)</f>
        <v>1</v>
      </c>
      <c r="Q1932">
        <f>IF(tbl_analysis_tickets[[#This Row],[reopened]]="Yes",1,0)</f>
        <v>0</v>
      </c>
      <c r="R1932" t="str" cm="1">
        <f t="array" ref="R1932">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932" t="str" cm="1">
        <f t="array" ref="S193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932" t="str">
        <f>TEXT(tbl_analysis_tickets[[#This Row],[created_date]],"mmm-yyyy")</f>
        <v>Nov-2024</v>
      </c>
      <c r="U1932" t="str">
        <f>TEXT(tbl_analysis_tickets[[#This Row],[created_date]],"dddd")</f>
        <v>Wednesday</v>
      </c>
      <c r="V1932" cm="1">
        <f t="array" ref="V1932">_xlfn.SWITCH(tbl_analysis_tickets[[#This Row],[priority]],
"Urgent",1,
"High",2,
"Medium",3,
"Low",4
)</f>
        <v>2</v>
      </c>
    </row>
    <row r="1933" spans="1:22" x14ac:dyDescent="0.25">
      <c r="A1933">
        <v>1932</v>
      </c>
      <c r="B1933" s="1">
        <v>45399</v>
      </c>
      <c r="C1933" t="s">
        <v>21</v>
      </c>
      <c r="D1933" t="s">
        <v>17</v>
      </c>
      <c r="E1933">
        <v>156</v>
      </c>
      <c r="F1933">
        <v>2</v>
      </c>
      <c r="G1933">
        <v>4.4000000000000004</v>
      </c>
      <c r="H1933" t="s">
        <v>18</v>
      </c>
      <c r="I1933" t="s">
        <v>13</v>
      </c>
      <c r="J1933" t="s">
        <v>15</v>
      </c>
      <c r="K1933">
        <f>_xlfn.XLOOKUP(tbl_analysis_tickets[[#This Row],[priority]],tbl_sla[priority],tbl_sla[Resolution SLA Hours])</f>
        <v>8</v>
      </c>
      <c r="L1933">
        <f>_xlfn.XLOOKUP(tbl_analysis_tickets[[#This Row],[priority]],tbl_sla[priority],tbl_sla[First Response SLA Minutes])</f>
        <v>30</v>
      </c>
      <c r="M1933" t="str">
        <f>IF(tbl_analysis_tickets[[#This Row],[resolution_time_hours]]&gt;tbl_analysis_tickets[[#This Row],[Resolution SLA Hours]],"Breached","Within SLA")</f>
        <v>Within SLA</v>
      </c>
      <c r="N1933" t="str">
        <f>IF(tbl_analysis_tickets[[#This Row],[first_response_minutes]]&gt;tbl_analysis_tickets[[#This Row],[First Response SLA Minutes]],"Breached","Within SLA")</f>
        <v>Breached</v>
      </c>
      <c r="O1933" t="str" cm="1">
        <f t="array" ref="O1933">_xlfn.IFS(
tbl_analysis_tickets[[#This Row],[agent_experience_years]]&lt;=2,"Junior",
tbl_analysis_tickets[[#This Row],[agent_experience_years]]&lt;=5,"Mid-Level",
tbl_analysis_tickets[[#This Row],[agent_experience_years]]&lt;=8,"Senior",
tbl_analysis_tickets[[#This Row],[agent_experience_years]]&gt;8,"Expert"
)</f>
        <v>Mid-Level</v>
      </c>
      <c r="P1933" cm="1">
        <f t="array" ref="P1933">_xlfn.SWITCH(tbl_analysis_tickets[[#This Row],[customer_satisfaction]],
"Low",1,
"Medium",2,
"High",3
)</f>
        <v>2</v>
      </c>
      <c r="Q1933">
        <f>IF(tbl_analysis_tickets[[#This Row],[reopened]]="Yes",1,0)</f>
        <v>0</v>
      </c>
      <c r="R1933" t="str" cm="1">
        <f t="array" ref="R1933">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933" t="str" cm="1">
        <f t="array" ref="S193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1933" t="str">
        <f>TEXT(tbl_analysis_tickets[[#This Row],[created_date]],"mmm-yyyy")</f>
        <v>Apr-2024</v>
      </c>
      <c r="U1933" t="str">
        <f>TEXT(tbl_analysis_tickets[[#This Row],[created_date]],"dddd")</f>
        <v>Wednesday</v>
      </c>
      <c r="V1933" cm="1">
        <f t="array" ref="V1933">_xlfn.SWITCH(tbl_analysis_tickets[[#This Row],[priority]],
"Urgent",1,
"High",2,
"Medium",3,
"Low",4
)</f>
        <v>1</v>
      </c>
    </row>
    <row r="1934" spans="1:22" x14ac:dyDescent="0.25">
      <c r="A1934">
        <v>1933</v>
      </c>
      <c r="B1934" s="1">
        <v>45629</v>
      </c>
      <c r="C1934" t="s">
        <v>14</v>
      </c>
      <c r="D1934" t="s">
        <v>15</v>
      </c>
      <c r="E1934">
        <v>45</v>
      </c>
      <c r="F1934">
        <v>24</v>
      </c>
      <c r="G1934">
        <v>3.7</v>
      </c>
      <c r="H1934" t="s">
        <v>18</v>
      </c>
      <c r="I1934" t="s">
        <v>19</v>
      </c>
      <c r="J1934" t="s">
        <v>11</v>
      </c>
      <c r="K1934">
        <f>_xlfn.XLOOKUP(tbl_analysis_tickets[[#This Row],[priority]],tbl_sla[priority],tbl_sla[Resolution SLA Hours])</f>
        <v>48</v>
      </c>
      <c r="L1934">
        <f>_xlfn.XLOOKUP(tbl_analysis_tickets[[#This Row],[priority]],tbl_sla[priority],tbl_sla[First Response SLA Minutes])</f>
        <v>120</v>
      </c>
      <c r="M1934" t="str">
        <f>IF(tbl_analysis_tickets[[#This Row],[resolution_time_hours]]&gt;tbl_analysis_tickets[[#This Row],[Resolution SLA Hours]],"Breached","Within SLA")</f>
        <v>Within SLA</v>
      </c>
      <c r="N1934" t="str">
        <f>IF(tbl_analysis_tickets[[#This Row],[first_response_minutes]]&gt;tbl_analysis_tickets[[#This Row],[First Response SLA Minutes]],"Breached","Within SLA")</f>
        <v>Within SLA</v>
      </c>
      <c r="O1934" t="str" cm="1">
        <f t="array" ref="O1934">_xlfn.IFS(
tbl_analysis_tickets[[#This Row],[agent_experience_years]]&lt;=2,"Junior",
tbl_analysis_tickets[[#This Row],[agent_experience_years]]&lt;=5,"Mid-Level",
tbl_analysis_tickets[[#This Row],[agent_experience_years]]&lt;=8,"Senior",
tbl_analysis_tickets[[#This Row],[agent_experience_years]]&gt;8,"Expert"
)</f>
        <v>Mid-Level</v>
      </c>
      <c r="P1934" cm="1">
        <f t="array" ref="P1934">_xlfn.SWITCH(tbl_analysis_tickets[[#This Row],[customer_satisfaction]],
"Low",1,
"Medium",2,
"High",3
)</f>
        <v>1</v>
      </c>
      <c r="Q1934">
        <f>IF(tbl_analysis_tickets[[#This Row],[reopened]]="Yes",1,0)</f>
        <v>0</v>
      </c>
      <c r="R1934" t="str" cm="1">
        <f t="array" ref="R1934">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934" t="str" cm="1">
        <f t="array" ref="S193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934" t="str">
        <f>TEXT(tbl_analysis_tickets[[#This Row],[created_date]],"mmm-yyyy")</f>
        <v>Dec-2024</v>
      </c>
      <c r="U1934" t="str">
        <f>TEXT(tbl_analysis_tickets[[#This Row],[created_date]],"dddd")</f>
        <v>Tuesday</v>
      </c>
      <c r="V1934" cm="1">
        <f t="array" ref="V1934">_xlfn.SWITCH(tbl_analysis_tickets[[#This Row],[priority]],
"Urgent",1,
"High",2,
"Medium",3,
"Low",4
)</f>
        <v>3</v>
      </c>
    </row>
    <row r="1935" spans="1:22" x14ac:dyDescent="0.25">
      <c r="A1935">
        <v>1934</v>
      </c>
      <c r="B1935" s="1">
        <v>45468</v>
      </c>
      <c r="C1935" t="s">
        <v>21</v>
      </c>
      <c r="D1935" t="s">
        <v>20</v>
      </c>
      <c r="E1935">
        <v>177</v>
      </c>
      <c r="F1935">
        <v>30</v>
      </c>
      <c r="G1935">
        <v>5</v>
      </c>
      <c r="H1935" t="s">
        <v>12</v>
      </c>
      <c r="I1935" t="s">
        <v>13</v>
      </c>
      <c r="J1935" t="s">
        <v>11</v>
      </c>
      <c r="K1935">
        <f>_xlfn.XLOOKUP(tbl_analysis_tickets[[#This Row],[priority]],tbl_sla[priority],tbl_sla[Resolution SLA Hours])</f>
        <v>24</v>
      </c>
      <c r="L1935">
        <f>_xlfn.XLOOKUP(tbl_analysis_tickets[[#This Row],[priority]],tbl_sla[priority],tbl_sla[First Response SLA Minutes])</f>
        <v>60</v>
      </c>
      <c r="M1935" t="str">
        <f>IF(tbl_analysis_tickets[[#This Row],[resolution_time_hours]]&gt;tbl_analysis_tickets[[#This Row],[Resolution SLA Hours]],"Breached","Within SLA")</f>
        <v>Breached</v>
      </c>
      <c r="N1935" t="str">
        <f>IF(tbl_analysis_tickets[[#This Row],[first_response_minutes]]&gt;tbl_analysis_tickets[[#This Row],[First Response SLA Minutes]],"Breached","Within SLA")</f>
        <v>Breached</v>
      </c>
      <c r="O1935" t="str" cm="1">
        <f t="array" ref="O1935">_xlfn.IFS(
tbl_analysis_tickets[[#This Row],[agent_experience_years]]&lt;=2,"Junior",
tbl_analysis_tickets[[#This Row],[agent_experience_years]]&lt;=5,"Mid-Level",
tbl_analysis_tickets[[#This Row],[agent_experience_years]]&lt;=8,"Senior",
tbl_analysis_tickets[[#This Row],[agent_experience_years]]&gt;8,"Expert"
)</f>
        <v>Mid-Level</v>
      </c>
      <c r="P1935" cm="1">
        <f t="array" ref="P1935">_xlfn.SWITCH(tbl_analysis_tickets[[#This Row],[customer_satisfaction]],
"Low",1,
"Medium",2,
"High",3
)</f>
        <v>1</v>
      </c>
      <c r="Q1935">
        <f>IF(tbl_analysis_tickets[[#This Row],[reopened]]="Yes",1,0)</f>
        <v>1</v>
      </c>
      <c r="R1935" t="str" cm="1">
        <f t="array" ref="R1935">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935" t="str" cm="1">
        <f t="array" ref="S193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935" t="str">
        <f>TEXT(tbl_analysis_tickets[[#This Row],[created_date]],"mmm-yyyy")</f>
        <v>Jun-2024</v>
      </c>
      <c r="U1935" t="str">
        <f>TEXT(tbl_analysis_tickets[[#This Row],[created_date]],"dddd")</f>
        <v>Tuesday</v>
      </c>
      <c r="V1935" cm="1">
        <f t="array" ref="V1935">_xlfn.SWITCH(tbl_analysis_tickets[[#This Row],[priority]],
"Urgent",1,
"High",2,
"Medium",3,
"Low",4
)</f>
        <v>2</v>
      </c>
    </row>
    <row r="1936" spans="1:22" x14ac:dyDescent="0.25">
      <c r="A1936">
        <v>1935</v>
      </c>
      <c r="B1936" s="1">
        <v>45511</v>
      </c>
      <c r="C1936" t="s">
        <v>21</v>
      </c>
      <c r="D1936" t="s">
        <v>15</v>
      </c>
      <c r="E1936">
        <v>62</v>
      </c>
      <c r="F1936">
        <v>51</v>
      </c>
      <c r="G1936">
        <v>8.1999999999999993</v>
      </c>
      <c r="H1936" t="s">
        <v>18</v>
      </c>
      <c r="I1936" t="s">
        <v>13</v>
      </c>
      <c r="J1936" t="s">
        <v>15</v>
      </c>
      <c r="K1936">
        <f>_xlfn.XLOOKUP(tbl_analysis_tickets[[#This Row],[priority]],tbl_sla[priority],tbl_sla[Resolution SLA Hours])</f>
        <v>48</v>
      </c>
      <c r="L1936">
        <f>_xlfn.XLOOKUP(tbl_analysis_tickets[[#This Row],[priority]],tbl_sla[priority],tbl_sla[First Response SLA Minutes])</f>
        <v>120</v>
      </c>
      <c r="M1936" t="str">
        <f>IF(tbl_analysis_tickets[[#This Row],[resolution_time_hours]]&gt;tbl_analysis_tickets[[#This Row],[Resolution SLA Hours]],"Breached","Within SLA")</f>
        <v>Breached</v>
      </c>
      <c r="N1936" t="str">
        <f>IF(tbl_analysis_tickets[[#This Row],[first_response_minutes]]&gt;tbl_analysis_tickets[[#This Row],[First Response SLA Minutes]],"Breached","Within SLA")</f>
        <v>Within SLA</v>
      </c>
      <c r="O1936" t="str" cm="1">
        <f t="array" ref="O1936">_xlfn.IFS(
tbl_analysis_tickets[[#This Row],[agent_experience_years]]&lt;=2,"Junior",
tbl_analysis_tickets[[#This Row],[agent_experience_years]]&lt;=5,"Mid-Level",
tbl_analysis_tickets[[#This Row],[agent_experience_years]]&lt;=8,"Senior",
tbl_analysis_tickets[[#This Row],[agent_experience_years]]&gt;8,"Expert"
)</f>
        <v>Expert</v>
      </c>
      <c r="P1936" cm="1">
        <f t="array" ref="P1936">_xlfn.SWITCH(tbl_analysis_tickets[[#This Row],[customer_satisfaction]],
"Low",1,
"Medium",2,
"High",3
)</f>
        <v>2</v>
      </c>
      <c r="Q1936">
        <f>IF(tbl_analysis_tickets[[#This Row],[reopened]]="Yes",1,0)</f>
        <v>0</v>
      </c>
      <c r="R1936" t="str" cm="1">
        <f t="array" ref="R1936">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936" t="str" cm="1">
        <f t="array" ref="S193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936" t="str">
        <f>TEXT(tbl_analysis_tickets[[#This Row],[created_date]],"mmm-yyyy")</f>
        <v>Aug-2024</v>
      </c>
      <c r="U1936" t="str">
        <f>TEXT(tbl_analysis_tickets[[#This Row],[created_date]],"dddd")</f>
        <v>Wednesday</v>
      </c>
      <c r="V1936" cm="1">
        <f t="array" ref="V1936">_xlfn.SWITCH(tbl_analysis_tickets[[#This Row],[priority]],
"Urgent",1,
"High",2,
"Medium",3,
"Low",4
)</f>
        <v>3</v>
      </c>
    </row>
    <row r="1937" spans="1:22" x14ac:dyDescent="0.25">
      <c r="A1937">
        <v>1936</v>
      </c>
      <c r="B1937" s="1">
        <v>45415</v>
      </c>
      <c r="C1937" t="s">
        <v>21</v>
      </c>
      <c r="D1937" t="s">
        <v>15</v>
      </c>
      <c r="E1937">
        <v>201</v>
      </c>
      <c r="F1937">
        <v>50</v>
      </c>
      <c r="G1937">
        <v>5.9</v>
      </c>
      <c r="H1937" t="s">
        <v>12</v>
      </c>
      <c r="I1937" t="s">
        <v>13</v>
      </c>
      <c r="J1937" t="s">
        <v>11</v>
      </c>
      <c r="K1937">
        <f>_xlfn.XLOOKUP(tbl_analysis_tickets[[#This Row],[priority]],tbl_sla[priority],tbl_sla[Resolution SLA Hours])</f>
        <v>48</v>
      </c>
      <c r="L1937">
        <f>_xlfn.XLOOKUP(tbl_analysis_tickets[[#This Row],[priority]],tbl_sla[priority],tbl_sla[First Response SLA Minutes])</f>
        <v>120</v>
      </c>
      <c r="M1937" t="str">
        <f>IF(tbl_analysis_tickets[[#This Row],[resolution_time_hours]]&gt;tbl_analysis_tickets[[#This Row],[Resolution SLA Hours]],"Breached","Within SLA")</f>
        <v>Breached</v>
      </c>
      <c r="N1937" t="str">
        <f>IF(tbl_analysis_tickets[[#This Row],[first_response_minutes]]&gt;tbl_analysis_tickets[[#This Row],[First Response SLA Minutes]],"Breached","Within SLA")</f>
        <v>Breached</v>
      </c>
      <c r="O1937" t="str" cm="1">
        <f t="array" ref="O1937">_xlfn.IFS(
tbl_analysis_tickets[[#This Row],[agent_experience_years]]&lt;=2,"Junior",
tbl_analysis_tickets[[#This Row],[agent_experience_years]]&lt;=5,"Mid-Level",
tbl_analysis_tickets[[#This Row],[agent_experience_years]]&lt;=8,"Senior",
tbl_analysis_tickets[[#This Row],[agent_experience_years]]&gt;8,"Expert"
)</f>
        <v>Senior</v>
      </c>
      <c r="P1937" cm="1">
        <f t="array" ref="P1937">_xlfn.SWITCH(tbl_analysis_tickets[[#This Row],[customer_satisfaction]],
"Low",1,
"Medium",2,
"High",3
)</f>
        <v>1</v>
      </c>
      <c r="Q1937">
        <f>IF(tbl_analysis_tickets[[#This Row],[reopened]]="Yes",1,0)</f>
        <v>1</v>
      </c>
      <c r="R1937" t="str" cm="1">
        <f t="array" ref="R1937">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937" t="str" cm="1">
        <f t="array" ref="S193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937" t="str">
        <f>TEXT(tbl_analysis_tickets[[#This Row],[created_date]],"mmm-yyyy")</f>
        <v>May-2024</v>
      </c>
      <c r="U1937" t="str">
        <f>TEXT(tbl_analysis_tickets[[#This Row],[created_date]],"dddd")</f>
        <v>Friday</v>
      </c>
      <c r="V1937" cm="1">
        <f t="array" ref="V1937">_xlfn.SWITCH(tbl_analysis_tickets[[#This Row],[priority]],
"Urgent",1,
"High",2,
"Medium",3,
"Low",4
)</f>
        <v>3</v>
      </c>
    </row>
    <row r="1938" spans="1:22" x14ac:dyDescent="0.25">
      <c r="A1938">
        <v>1937</v>
      </c>
      <c r="B1938" s="1">
        <v>45610</v>
      </c>
      <c r="C1938" t="s">
        <v>14</v>
      </c>
      <c r="D1938" t="s">
        <v>17</v>
      </c>
      <c r="E1938">
        <v>135</v>
      </c>
      <c r="F1938">
        <v>13</v>
      </c>
      <c r="G1938">
        <v>0.7</v>
      </c>
      <c r="H1938" t="s">
        <v>12</v>
      </c>
      <c r="I1938" t="s">
        <v>16</v>
      </c>
      <c r="J1938" t="s">
        <v>11</v>
      </c>
      <c r="K1938">
        <f>_xlfn.XLOOKUP(tbl_analysis_tickets[[#This Row],[priority]],tbl_sla[priority],tbl_sla[Resolution SLA Hours])</f>
        <v>8</v>
      </c>
      <c r="L1938">
        <f>_xlfn.XLOOKUP(tbl_analysis_tickets[[#This Row],[priority]],tbl_sla[priority],tbl_sla[First Response SLA Minutes])</f>
        <v>30</v>
      </c>
      <c r="M1938" t="str">
        <f>IF(tbl_analysis_tickets[[#This Row],[resolution_time_hours]]&gt;tbl_analysis_tickets[[#This Row],[Resolution SLA Hours]],"Breached","Within SLA")</f>
        <v>Breached</v>
      </c>
      <c r="N1938" t="str">
        <f>IF(tbl_analysis_tickets[[#This Row],[first_response_minutes]]&gt;tbl_analysis_tickets[[#This Row],[First Response SLA Minutes]],"Breached","Within SLA")</f>
        <v>Breached</v>
      </c>
      <c r="O1938" t="str" cm="1">
        <f t="array" ref="O1938">_xlfn.IFS(
tbl_analysis_tickets[[#This Row],[agent_experience_years]]&lt;=2,"Junior",
tbl_analysis_tickets[[#This Row],[agent_experience_years]]&lt;=5,"Mid-Level",
tbl_analysis_tickets[[#This Row],[agent_experience_years]]&lt;=8,"Senior",
tbl_analysis_tickets[[#This Row],[agent_experience_years]]&gt;8,"Expert"
)</f>
        <v>Junior</v>
      </c>
      <c r="P1938" cm="1">
        <f t="array" ref="P1938">_xlfn.SWITCH(tbl_analysis_tickets[[#This Row],[customer_satisfaction]],
"Low",1,
"Medium",2,
"High",3
)</f>
        <v>1</v>
      </c>
      <c r="Q1938">
        <f>IF(tbl_analysis_tickets[[#This Row],[reopened]]="Yes",1,0)</f>
        <v>1</v>
      </c>
      <c r="R1938" t="str" cm="1">
        <f t="array" ref="R1938">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938" t="str" cm="1">
        <f t="array" ref="S193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938" t="str">
        <f>TEXT(tbl_analysis_tickets[[#This Row],[created_date]],"mmm-yyyy")</f>
        <v>Nov-2024</v>
      </c>
      <c r="U1938" t="str">
        <f>TEXT(tbl_analysis_tickets[[#This Row],[created_date]],"dddd")</f>
        <v>Thursday</v>
      </c>
      <c r="V1938" cm="1">
        <f t="array" ref="V1938">_xlfn.SWITCH(tbl_analysis_tickets[[#This Row],[priority]],
"Urgent",1,
"High",2,
"Medium",3,
"Low",4
)</f>
        <v>1</v>
      </c>
    </row>
    <row r="1939" spans="1:22" x14ac:dyDescent="0.25">
      <c r="A1939">
        <v>1938</v>
      </c>
      <c r="B1939" s="1">
        <v>45539</v>
      </c>
      <c r="C1939" t="s">
        <v>10</v>
      </c>
      <c r="D1939" t="s">
        <v>20</v>
      </c>
      <c r="E1939">
        <v>57</v>
      </c>
      <c r="F1939">
        <v>50</v>
      </c>
      <c r="G1939">
        <v>1.5</v>
      </c>
      <c r="H1939" t="s">
        <v>18</v>
      </c>
      <c r="I1939" t="s">
        <v>16</v>
      </c>
      <c r="J1939" t="s">
        <v>11</v>
      </c>
      <c r="K1939">
        <f>_xlfn.XLOOKUP(tbl_analysis_tickets[[#This Row],[priority]],tbl_sla[priority],tbl_sla[Resolution SLA Hours])</f>
        <v>24</v>
      </c>
      <c r="L1939">
        <f>_xlfn.XLOOKUP(tbl_analysis_tickets[[#This Row],[priority]],tbl_sla[priority],tbl_sla[First Response SLA Minutes])</f>
        <v>60</v>
      </c>
      <c r="M1939" t="str">
        <f>IF(tbl_analysis_tickets[[#This Row],[resolution_time_hours]]&gt;tbl_analysis_tickets[[#This Row],[Resolution SLA Hours]],"Breached","Within SLA")</f>
        <v>Breached</v>
      </c>
      <c r="N1939" t="str">
        <f>IF(tbl_analysis_tickets[[#This Row],[first_response_minutes]]&gt;tbl_analysis_tickets[[#This Row],[First Response SLA Minutes]],"Breached","Within SLA")</f>
        <v>Within SLA</v>
      </c>
      <c r="O1939" t="str" cm="1">
        <f t="array" ref="O1939">_xlfn.IFS(
tbl_analysis_tickets[[#This Row],[agent_experience_years]]&lt;=2,"Junior",
tbl_analysis_tickets[[#This Row],[agent_experience_years]]&lt;=5,"Mid-Level",
tbl_analysis_tickets[[#This Row],[agent_experience_years]]&lt;=8,"Senior",
tbl_analysis_tickets[[#This Row],[agent_experience_years]]&gt;8,"Expert"
)</f>
        <v>Junior</v>
      </c>
      <c r="P1939" cm="1">
        <f t="array" ref="P1939">_xlfn.SWITCH(tbl_analysis_tickets[[#This Row],[customer_satisfaction]],
"Low",1,
"Medium",2,
"High",3
)</f>
        <v>1</v>
      </c>
      <c r="Q1939">
        <f>IF(tbl_analysis_tickets[[#This Row],[reopened]]="Yes",1,0)</f>
        <v>0</v>
      </c>
      <c r="R1939" t="str" cm="1">
        <f t="array" ref="R1939">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939" t="str" cm="1">
        <f t="array" ref="S193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939" t="str">
        <f>TEXT(tbl_analysis_tickets[[#This Row],[created_date]],"mmm-yyyy")</f>
        <v>Sep-2024</v>
      </c>
      <c r="U1939" t="str">
        <f>TEXT(tbl_analysis_tickets[[#This Row],[created_date]],"dddd")</f>
        <v>Wednesday</v>
      </c>
      <c r="V1939" cm="1">
        <f t="array" ref="V1939">_xlfn.SWITCH(tbl_analysis_tickets[[#This Row],[priority]],
"Urgent",1,
"High",2,
"Medium",3,
"Low",4
)</f>
        <v>2</v>
      </c>
    </row>
    <row r="1940" spans="1:22" x14ac:dyDescent="0.25">
      <c r="A1940">
        <v>1939</v>
      </c>
      <c r="B1940" s="1">
        <v>45337</v>
      </c>
      <c r="C1940" t="s">
        <v>14</v>
      </c>
      <c r="D1940" t="s">
        <v>20</v>
      </c>
      <c r="E1940">
        <v>167</v>
      </c>
      <c r="F1940">
        <v>29</v>
      </c>
      <c r="G1940">
        <v>0.9</v>
      </c>
      <c r="H1940" t="s">
        <v>18</v>
      </c>
      <c r="I1940" t="s">
        <v>19</v>
      </c>
      <c r="J1940" t="s">
        <v>11</v>
      </c>
      <c r="K1940">
        <f>_xlfn.XLOOKUP(tbl_analysis_tickets[[#This Row],[priority]],tbl_sla[priority],tbl_sla[Resolution SLA Hours])</f>
        <v>24</v>
      </c>
      <c r="L1940">
        <f>_xlfn.XLOOKUP(tbl_analysis_tickets[[#This Row],[priority]],tbl_sla[priority],tbl_sla[First Response SLA Minutes])</f>
        <v>60</v>
      </c>
      <c r="M1940" t="str">
        <f>IF(tbl_analysis_tickets[[#This Row],[resolution_time_hours]]&gt;tbl_analysis_tickets[[#This Row],[Resolution SLA Hours]],"Breached","Within SLA")</f>
        <v>Breached</v>
      </c>
      <c r="N1940" t="str">
        <f>IF(tbl_analysis_tickets[[#This Row],[first_response_minutes]]&gt;tbl_analysis_tickets[[#This Row],[First Response SLA Minutes]],"Breached","Within SLA")</f>
        <v>Breached</v>
      </c>
      <c r="O1940" t="str" cm="1">
        <f t="array" ref="O1940">_xlfn.IFS(
tbl_analysis_tickets[[#This Row],[agent_experience_years]]&lt;=2,"Junior",
tbl_analysis_tickets[[#This Row],[agent_experience_years]]&lt;=5,"Mid-Level",
tbl_analysis_tickets[[#This Row],[agent_experience_years]]&lt;=8,"Senior",
tbl_analysis_tickets[[#This Row],[agent_experience_years]]&gt;8,"Expert"
)</f>
        <v>Junior</v>
      </c>
      <c r="P1940" cm="1">
        <f t="array" ref="P1940">_xlfn.SWITCH(tbl_analysis_tickets[[#This Row],[customer_satisfaction]],
"Low",1,
"Medium",2,
"High",3
)</f>
        <v>1</v>
      </c>
      <c r="Q1940">
        <f>IF(tbl_analysis_tickets[[#This Row],[reopened]]="Yes",1,0)</f>
        <v>0</v>
      </c>
      <c r="R1940" t="str" cm="1">
        <f t="array" ref="R1940">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940" t="str" cm="1">
        <f t="array" ref="S194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940" t="str">
        <f>TEXT(tbl_analysis_tickets[[#This Row],[created_date]],"mmm-yyyy")</f>
        <v>Feb-2024</v>
      </c>
      <c r="U1940" t="str">
        <f>TEXT(tbl_analysis_tickets[[#This Row],[created_date]],"dddd")</f>
        <v>Thursday</v>
      </c>
      <c r="V1940" cm="1">
        <f t="array" ref="V1940">_xlfn.SWITCH(tbl_analysis_tickets[[#This Row],[priority]],
"Urgent",1,
"High",2,
"Medium",3,
"Low",4
)</f>
        <v>2</v>
      </c>
    </row>
    <row r="1941" spans="1:22" x14ac:dyDescent="0.25">
      <c r="A1941">
        <v>1940</v>
      </c>
      <c r="B1941" s="1">
        <v>45604</v>
      </c>
      <c r="C1941" t="s">
        <v>21</v>
      </c>
      <c r="D1941" t="s">
        <v>20</v>
      </c>
      <c r="E1941">
        <v>173</v>
      </c>
      <c r="F1941">
        <v>27</v>
      </c>
      <c r="G1941">
        <v>2.1</v>
      </c>
      <c r="H1941" t="s">
        <v>18</v>
      </c>
      <c r="I1941" t="s">
        <v>13</v>
      </c>
      <c r="J1941" t="s">
        <v>11</v>
      </c>
      <c r="K1941">
        <f>_xlfn.XLOOKUP(tbl_analysis_tickets[[#This Row],[priority]],tbl_sla[priority],tbl_sla[Resolution SLA Hours])</f>
        <v>24</v>
      </c>
      <c r="L1941">
        <f>_xlfn.XLOOKUP(tbl_analysis_tickets[[#This Row],[priority]],tbl_sla[priority],tbl_sla[First Response SLA Minutes])</f>
        <v>60</v>
      </c>
      <c r="M1941" t="str">
        <f>IF(tbl_analysis_tickets[[#This Row],[resolution_time_hours]]&gt;tbl_analysis_tickets[[#This Row],[Resolution SLA Hours]],"Breached","Within SLA")</f>
        <v>Breached</v>
      </c>
      <c r="N1941" t="str">
        <f>IF(tbl_analysis_tickets[[#This Row],[first_response_minutes]]&gt;tbl_analysis_tickets[[#This Row],[First Response SLA Minutes]],"Breached","Within SLA")</f>
        <v>Breached</v>
      </c>
      <c r="O1941" t="str" cm="1">
        <f t="array" ref="O1941">_xlfn.IFS(
tbl_analysis_tickets[[#This Row],[agent_experience_years]]&lt;=2,"Junior",
tbl_analysis_tickets[[#This Row],[agent_experience_years]]&lt;=5,"Mid-Level",
tbl_analysis_tickets[[#This Row],[agent_experience_years]]&lt;=8,"Senior",
tbl_analysis_tickets[[#This Row],[agent_experience_years]]&gt;8,"Expert"
)</f>
        <v>Mid-Level</v>
      </c>
      <c r="P1941" cm="1">
        <f t="array" ref="P1941">_xlfn.SWITCH(tbl_analysis_tickets[[#This Row],[customer_satisfaction]],
"Low",1,
"Medium",2,
"High",3
)</f>
        <v>1</v>
      </c>
      <c r="Q1941">
        <f>IF(tbl_analysis_tickets[[#This Row],[reopened]]="Yes",1,0)</f>
        <v>0</v>
      </c>
      <c r="R1941" t="str" cm="1">
        <f t="array" ref="R1941">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941" t="str" cm="1">
        <f t="array" ref="S194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941" t="str">
        <f>TEXT(tbl_analysis_tickets[[#This Row],[created_date]],"mmm-yyyy")</f>
        <v>Nov-2024</v>
      </c>
      <c r="U1941" t="str">
        <f>TEXT(tbl_analysis_tickets[[#This Row],[created_date]],"dddd")</f>
        <v>Friday</v>
      </c>
      <c r="V1941" cm="1">
        <f t="array" ref="V1941">_xlfn.SWITCH(tbl_analysis_tickets[[#This Row],[priority]],
"Urgent",1,
"High",2,
"Medium",3,
"Low",4
)</f>
        <v>2</v>
      </c>
    </row>
    <row r="1942" spans="1:22" x14ac:dyDescent="0.25">
      <c r="A1942">
        <v>1941</v>
      </c>
      <c r="B1942" s="1">
        <v>45603</v>
      </c>
      <c r="C1942" t="s">
        <v>10</v>
      </c>
      <c r="D1942" t="s">
        <v>11</v>
      </c>
      <c r="E1942">
        <v>58</v>
      </c>
      <c r="F1942">
        <v>20</v>
      </c>
      <c r="G1942">
        <v>10</v>
      </c>
      <c r="H1942" t="s">
        <v>18</v>
      </c>
      <c r="I1942" t="s">
        <v>19</v>
      </c>
      <c r="J1942" t="s">
        <v>15</v>
      </c>
      <c r="K1942">
        <f>_xlfn.XLOOKUP(tbl_analysis_tickets[[#This Row],[priority]],tbl_sla[priority],tbl_sla[Resolution SLA Hours])</f>
        <v>72</v>
      </c>
      <c r="L1942">
        <f>_xlfn.XLOOKUP(tbl_analysis_tickets[[#This Row],[priority]],tbl_sla[priority],tbl_sla[First Response SLA Minutes])</f>
        <v>240</v>
      </c>
      <c r="M1942" t="str">
        <f>IF(tbl_analysis_tickets[[#This Row],[resolution_time_hours]]&gt;tbl_analysis_tickets[[#This Row],[Resolution SLA Hours]],"Breached","Within SLA")</f>
        <v>Within SLA</v>
      </c>
      <c r="N1942" t="str">
        <f>IF(tbl_analysis_tickets[[#This Row],[first_response_minutes]]&gt;tbl_analysis_tickets[[#This Row],[First Response SLA Minutes]],"Breached","Within SLA")</f>
        <v>Within SLA</v>
      </c>
      <c r="O1942" t="str" cm="1">
        <f t="array" ref="O1942">_xlfn.IFS(
tbl_analysis_tickets[[#This Row],[agent_experience_years]]&lt;=2,"Junior",
tbl_analysis_tickets[[#This Row],[agent_experience_years]]&lt;=5,"Mid-Level",
tbl_analysis_tickets[[#This Row],[agent_experience_years]]&lt;=8,"Senior",
tbl_analysis_tickets[[#This Row],[agent_experience_years]]&gt;8,"Expert"
)</f>
        <v>Expert</v>
      </c>
      <c r="P1942" cm="1">
        <f t="array" ref="P1942">_xlfn.SWITCH(tbl_analysis_tickets[[#This Row],[customer_satisfaction]],
"Low",1,
"Medium",2,
"High",3
)</f>
        <v>2</v>
      </c>
      <c r="Q1942">
        <f>IF(tbl_analysis_tickets[[#This Row],[reopened]]="Yes",1,0)</f>
        <v>0</v>
      </c>
      <c r="R1942" t="str" cm="1">
        <f t="array" ref="R1942">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942" t="str" cm="1">
        <f t="array" ref="S194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942" t="str">
        <f>TEXT(tbl_analysis_tickets[[#This Row],[created_date]],"mmm-yyyy")</f>
        <v>Nov-2024</v>
      </c>
      <c r="U1942" t="str">
        <f>TEXT(tbl_analysis_tickets[[#This Row],[created_date]],"dddd")</f>
        <v>Thursday</v>
      </c>
      <c r="V1942" cm="1">
        <f t="array" ref="V1942">_xlfn.SWITCH(tbl_analysis_tickets[[#This Row],[priority]],
"Urgent",1,
"High",2,
"Medium",3,
"Low",4
)</f>
        <v>4</v>
      </c>
    </row>
    <row r="1943" spans="1:22" x14ac:dyDescent="0.25">
      <c r="A1943">
        <v>1942</v>
      </c>
      <c r="B1943" s="1">
        <v>45296</v>
      </c>
      <c r="C1943" t="s">
        <v>22</v>
      </c>
      <c r="D1943" t="s">
        <v>20</v>
      </c>
      <c r="E1943">
        <v>212</v>
      </c>
      <c r="F1943">
        <v>22</v>
      </c>
      <c r="G1943">
        <v>1.3</v>
      </c>
      <c r="H1943" t="s">
        <v>12</v>
      </c>
      <c r="I1943" t="s">
        <v>16</v>
      </c>
      <c r="J1943" t="s">
        <v>11</v>
      </c>
      <c r="K1943">
        <f>_xlfn.XLOOKUP(tbl_analysis_tickets[[#This Row],[priority]],tbl_sla[priority],tbl_sla[Resolution SLA Hours])</f>
        <v>24</v>
      </c>
      <c r="L1943">
        <f>_xlfn.XLOOKUP(tbl_analysis_tickets[[#This Row],[priority]],tbl_sla[priority],tbl_sla[First Response SLA Minutes])</f>
        <v>60</v>
      </c>
      <c r="M1943" t="str">
        <f>IF(tbl_analysis_tickets[[#This Row],[resolution_time_hours]]&gt;tbl_analysis_tickets[[#This Row],[Resolution SLA Hours]],"Breached","Within SLA")</f>
        <v>Within SLA</v>
      </c>
      <c r="N1943" t="str">
        <f>IF(tbl_analysis_tickets[[#This Row],[first_response_minutes]]&gt;tbl_analysis_tickets[[#This Row],[First Response SLA Minutes]],"Breached","Within SLA")</f>
        <v>Breached</v>
      </c>
      <c r="O1943" t="str" cm="1">
        <f t="array" ref="O1943">_xlfn.IFS(
tbl_analysis_tickets[[#This Row],[agent_experience_years]]&lt;=2,"Junior",
tbl_analysis_tickets[[#This Row],[agent_experience_years]]&lt;=5,"Mid-Level",
tbl_analysis_tickets[[#This Row],[agent_experience_years]]&lt;=8,"Senior",
tbl_analysis_tickets[[#This Row],[agent_experience_years]]&gt;8,"Expert"
)</f>
        <v>Junior</v>
      </c>
      <c r="P1943" cm="1">
        <f t="array" ref="P1943">_xlfn.SWITCH(tbl_analysis_tickets[[#This Row],[customer_satisfaction]],
"Low",1,
"Medium",2,
"High",3
)</f>
        <v>1</v>
      </c>
      <c r="Q1943">
        <f>IF(tbl_analysis_tickets[[#This Row],[reopened]]="Yes",1,0)</f>
        <v>1</v>
      </c>
      <c r="R1943" t="str" cm="1">
        <f t="array" ref="R1943">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943" t="str" cm="1">
        <f t="array" ref="S194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943" t="str">
        <f>TEXT(tbl_analysis_tickets[[#This Row],[created_date]],"mmm-yyyy")</f>
        <v>Jan-2024</v>
      </c>
      <c r="U1943" t="str">
        <f>TEXT(tbl_analysis_tickets[[#This Row],[created_date]],"dddd")</f>
        <v>Friday</v>
      </c>
      <c r="V1943" cm="1">
        <f t="array" ref="V1943">_xlfn.SWITCH(tbl_analysis_tickets[[#This Row],[priority]],
"Urgent",1,
"High",2,
"Medium",3,
"Low",4
)</f>
        <v>2</v>
      </c>
    </row>
    <row r="1944" spans="1:22" x14ac:dyDescent="0.25">
      <c r="A1944">
        <v>1943</v>
      </c>
      <c r="B1944" s="1">
        <v>45418</v>
      </c>
      <c r="C1944" t="s">
        <v>23</v>
      </c>
      <c r="D1944" t="s">
        <v>15</v>
      </c>
      <c r="E1944">
        <v>37</v>
      </c>
      <c r="F1944">
        <v>41</v>
      </c>
      <c r="G1944">
        <v>0.9</v>
      </c>
      <c r="H1944" t="s">
        <v>18</v>
      </c>
      <c r="I1944" t="s">
        <v>16</v>
      </c>
      <c r="J1944" t="s">
        <v>11</v>
      </c>
      <c r="K1944">
        <f>_xlfn.XLOOKUP(tbl_analysis_tickets[[#This Row],[priority]],tbl_sla[priority],tbl_sla[Resolution SLA Hours])</f>
        <v>48</v>
      </c>
      <c r="L1944">
        <f>_xlfn.XLOOKUP(tbl_analysis_tickets[[#This Row],[priority]],tbl_sla[priority],tbl_sla[First Response SLA Minutes])</f>
        <v>120</v>
      </c>
      <c r="M1944" t="str">
        <f>IF(tbl_analysis_tickets[[#This Row],[resolution_time_hours]]&gt;tbl_analysis_tickets[[#This Row],[Resolution SLA Hours]],"Breached","Within SLA")</f>
        <v>Within SLA</v>
      </c>
      <c r="N1944" t="str">
        <f>IF(tbl_analysis_tickets[[#This Row],[first_response_minutes]]&gt;tbl_analysis_tickets[[#This Row],[First Response SLA Minutes]],"Breached","Within SLA")</f>
        <v>Within SLA</v>
      </c>
      <c r="O1944" t="str" cm="1">
        <f t="array" ref="O1944">_xlfn.IFS(
tbl_analysis_tickets[[#This Row],[agent_experience_years]]&lt;=2,"Junior",
tbl_analysis_tickets[[#This Row],[agent_experience_years]]&lt;=5,"Mid-Level",
tbl_analysis_tickets[[#This Row],[agent_experience_years]]&lt;=8,"Senior",
tbl_analysis_tickets[[#This Row],[agent_experience_years]]&gt;8,"Expert"
)</f>
        <v>Junior</v>
      </c>
      <c r="P1944" cm="1">
        <f t="array" ref="P1944">_xlfn.SWITCH(tbl_analysis_tickets[[#This Row],[customer_satisfaction]],
"Low",1,
"Medium",2,
"High",3
)</f>
        <v>1</v>
      </c>
      <c r="Q1944">
        <f>IF(tbl_analysis_tickets[[#This Row],[reopened]]="Yes",1,0)</f>
        <v>0</v>
      </c>
      <c r="R1944" t="str" cm="1">
        <f t="array" ref="R1944">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944" t="str" cm="1">
        <f t="array" ref="S194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944" t="str">
        <f>TEXT(tbl_analysis_tickets[[#This Row],[created_date]],"mmm-yyyy")</f>
        <v>May-2024</v>
      </c>
      <c r="U1944" t="str">
        <f>TEXT(tbl_analysis_tickets[[#This Row],[created_date]],"dddd")</f>
        <v>Monday</v>
      </c>
      <c r="V1944" cm="1">
        <f t="array" ref="V1944">_xlfn.SWITCH(tbl_analysis_tickets[[#This Row],[priority]],
"Urgent",1,
"High",2,
"Medium",3,
"Low",4
)</f>
        <v>3</v>
      </c>
    </row>
    <row r="1945" spans="1:22" x14ac:dyDescent="0.25">
      <c r="A1945">
        <v>1944</v>
      </c>
      <c r="B1945" s="1">
        <v>45302</v>
      </c>
      <c r="C1945" t="s">
        <v>14</v>
      </c>
      <c r="D1945" t="s">
        <v>17</v>
      </c>
      <c r="E1945">
        <v>48</v>
      </c>
      <c r="F1945">
        <v>2</v>
      </c>
      <c r="G1945">
        <v>2.2999999999999998</v>
      </c>
      <c r="H1945" t="s">
        <v>12</v>
      </c>
      <c r="I1945" t="s">
        <v>13</v>
      </c>
      <c r="J1945" t="s">
        <v>11</v>
      </c>
      <c r="K1945">
        <f>_xlfn.XLOOKUP(tbl_analysis_tickets[[#This Row],[priority]],tbl_sla[priority],tbl_sla[Resolution SLA Hours])</f>
        <v>8</v>
      </c>
      <c r="L1945">
        <f>_xlfn.XLOOKUP(tbl_analysis_tickets[[#This Row],[priority]],tbl_sla[priority],tbl_sla[First Response SLA Minutes])</f>
        <v>30</v>
      </c>
      <c r="M1945" t="str">
        <f>IF(tbl_analysis_tickets[[#This Row],[resolution_time_hours]]&gt;tbl_analysis_tickets[[#This Row],[Resolution SLA Hours]],"Breached","Within SLA")</f>
        <v>Within SLA</v>
      </c>
      <c r="N1945" t="str">
        <f>IF(tbl_analysis_tickets[[#This Row],[first_response_minutes]]&gt;tbl_analysis_tickets[[#This Row],[First Response SLA Minutes]],"Breached","Within SLA")</f>
        <v>Breached</v>
      </c>
      <c r="O1945" t="str" cm="1">
        <f t="array" ref="O1945">_xlfn.IFS(
tbl_analysis_tickets[[#This Row],[agent_experience_years]]&lt;=2,"Junior",
tbl_analysis_tickets[[#This Row],[agent_experience_years]]&lt;=5,"Mid-Level",
tbl_analysis_tickets[[#This Row],[agent_experience_years]]&lt;=8,"Senior",
tbl_analysis_tickets[[#This Row],[agent_experience_years]]&gt;8,"Expert"
)</f>
        <v>Mid-Level</v>
      </c>
      <c r="P1945" cm="1">
        <f t="array" ref="P1945">_xlfn.SWITCH(tbl_analysis_tickets[[#This Row],[customer_satisfaction]],
"Low",1,
"Medium",2,
"High",3
)</f>
        <v>1</v>
      </c>
      <c r="Q1945">
        <f>IF(tbl_analysis_tickets[[#This Row],[reopened]]="Yes",1,0)</f>
        <v>1</v>
      </c>
      <c r="R1945" t="str" cm="1">
        <f t="array" ref="R1945">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945" t="str" cm="1">
        <f t="array" ref="S194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1945" t="str">
        <f>TEXT(tbl_analysis_tickets[[#This Row],[created_date]],"mmm-yyyy")</f>
        <v>Jan-2024</v>
      </c>
      <c r="U1945" t="str">
        <f>TEXT(tbl_analysis_tickets[[#This Row],[created_date]],"dddd")</f>
        <v>Thursday</v>
      </c>
      <c r="V1945" cm="1">
        <f t="array" ref="V1945">_xlfn.SWITCH(tbl_analysis_tickets[[#This Row],[priority]],
"Urgent",1,
"High",2,
"Medium",3,
"Low",4
)</f>
        <v>1</v>
      </c>
    </row>
    <row r="1946" spans="1:22" x14ac:dyDescent="0.25">
      <c r="A1946">
        <v>1945</v>
      </c>
      <c r="B1946" s="1">
        <v>45471</v>
      </c>
      <c r="C1946" t="s">
        <v>22</v>
      </c>
      <c r="D1946" t="s">
        <v>17</v>
      </c>
      <c r="E1946">
        <v>161</v>
      </c>
      <c r="F1946">
        <v>26</v>
      </c>
      <c r="G1946">
        <v>0.9</v>
      </c>
      <c r="H1946" t="s">
        <v>12</v>
      </c>
      <c r="I1946" t="s">
        <v>16</v>
      </c>
      <c r="J1946" t="s">
        <v>11</v>
      </c>
      <c r="K1946">
        <f>_xlfn.XLOOKUP(tbl_analysis_tickets[[#This Row],[priority]],tbl_sla[priority],tbl_sla[Resolution SLA Hours])</f>
        <v>8</v>
      </c>
      <c r="L1946">
        <f>_xlfn.XLOOKUP(tbl_analysis_tickets[[#This Row],[priority]],tbl_sla[priority],tbl_sla[First Response SLA Minutes])</f>
        <v>30</v>
      </c>
      <c r="M1946" t="str">
        <f>IF(tbl_analysis_tickets[[#This Row],[resolution_time_hours]]&gt;tbl_analysis_tickets[[#This Row],[Resolution SLA Hours]],"Breached","Within SLA")</f>
        <v>Breached</v>
      </c>
      <c r="N1946" t="str">
        <f>IF(tbl_analysis_tickets[[#This Row],[first_response_minutes]]&gt;tbl_analysis_tickets[[#This Row],[First Response SLA Minutes]],"Breached","Within SLA")</f>
        <v>Breached</v>
      </c>
      <c r="O1946" t="str" cm="1">
        <f t="array" ref="O1946">_xlfn.IFS(
tbl_analysis_tickets[[#This Row],[agent_experience_years]]&lt;=2,"Junior",
tbl_analysis_tickets[[#This Row],[agent_experience_years]]&lt;=5,"Mid-Level",
tbl_analysis_tickets[[#This Row],[agent_experience_years]]&lt;=8,"Senior",
tbl_analysis_tickets[[#This Row],[agent_experience_years]]&gt;8,"Expert"
)</f>
        <v>Junior</v>
      </c>
      <c r="P1946" cm="1">
        <f t="array" ref="P1946">_xlfn.SWITCH(tbl_analysis_tickets[[#This Row],[customer_satisfaction]],
"Low",1,
"Medium",2,
"High",3
)</f>
        <v>1</v>
      </c>
      <c r="Q1946">
        <f>IF(tbl_analysis_tickets[[#This Row],[reopened]]="Yes",1,0)</f>
        <v>1</v>
      </c>
      <c r="R1946" t="str" cm="1">
        <f t="array" ref="R1946">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946" t="str" cm="1">
        <f t="array" ref="S194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946" t="str">
        <f>TEXT(tbl_analysis_tickets[[#This Row],[created_date]],"mmm-yyyy")</f>
        <v>Jun-2024</v>
      </c>
      <c r="U1946" t="str">
        <f>TEXT(tbl_analysis_tickets[[#This Row],[created_date]],"dddd")</f>
        <v>Friday</v>
      </c>
      <c r="V1946" cm="1">
        <f t="array" ref="V1946">_xlfn.SWITCH(tbl_analysis_tickets[[#This Row],[priority]],
"Urgent",1,
"High",2,
"Medium",3,
"Low",4
)</f>
        <v>1</v>
      </c>
    </row>
    <row r="1947" spans="1:22" x14ac:dyDescent="0.25">
      <c r="A1947">
        <v>1946</v>
      </c>
      <c r="B1947" s="1">
        <v>45452</v>
      </c>
      <c r="C1947" t="s">
        <v>14</v>
      </c>
      <c r="D1947" t="s">
        <v>20</v>
      </c>
      <c r="E1947">
        <v>96</v>
      </c>
      <c r="F1947">
        <v>20</v>
      </c>
      <c r="G1947">
        <v>7</v>
      </c>
      <c r="H1947" t="s">
        <v>18</v>
      </c>
      <c r="I1947" t="s">
        <v>13</v>
      </c>
      <c r="J1947" t="s">
        <v>11</v>
      </c>
      <c r="K1947">
        <f>_xlfn.XLOOKUP(tbl_analysis_tickets[[#This Row],[priority]],tbl_sla[priority],tbl_sla[Resolution SLA Hours])</f>
        <v>24</v>
      </c>
      <c r="L1947">
        <f>_xlfn.XLOOKUP(tbl_analysis_tickets[[#This Row],[priority]],tbl_sla[priority],tbl_sla[First Response SLA Minutes])</f>
        <v>60</v>
      </c>
      <c r="M1947" t="str">
        <f>IF(tbl_analysis_tickets[[#This Row],[resolution_time_hours]]&gt;tbl_analysis_tickets[[#This Row],[Resolution SLA Hours]],"Breached","Within SLA")</f>
        <v>Within SLA</v>
      </c>
      <c r="N1947" t="str">
        <f>IF(tbl_analysis_tickets[[#This Row],[first_response_minutes]]&gt;tbl_analysis_tickets[[#This Row],[First Response SLA Minutes]],"Breached","Within SLA")</f>
        <v>Breached</v>
      </c>
      <c r="O1947" t="str" cm="1">
        <f t="array" ref="O1947">_xlfn.IFS(
tbl_analysis_tickets[[#This Row],[agent_experience_years]]&lt;=2,"Junior",
tbl_analysis_tickets[[#This Row],[agent_experience_years]]&lt;=5,"Mid-Level",
tbl_analysis_tickets[[#This Row],[agent_experience_years]]&lt;=8,"Senior",
tbl_analysis_tickets[[#This Row],[agent_experience_years]]&gt;8,"Expert"
)</f>
        <v>Senior</v>
      </c>
      <c r="P1947" cm="1">
        <f t="array" ref="P1947">_xlfn.SWITCH(tbl_analysis_tickets[[#This Row],[customer_satisfaction]],
"Low",1,
"Medium",2,
"High",3
)</f>
        <v>1</v>
      </c>
      <c r="Q1947">
        <f>IF(tbl_analysis_tickets[[#This Row],[reopened]]="Yes",1,0)</f>
        <v>0</v>
      </c>
      <c r="R1947" t="str" cm="1">
        <f t="array" ref="R1947">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947" t="str" cm="1">
        <f t="array" ref="S194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947" t="str">
        <f>TEXT(tbl_analysis_tickets[[#This Row],[created_date]],"mmm-yyyy")</f>
        <v>Jun-2024</v>
      </c>
      <c r="U1947" t="str">
        <f>TEXT(tbl_analysis_tickets[[#This Row],[created_date]],"dddd")</f>
        <v>Sunday</v>
      </c>
      <c r="V1947" cm="1">
        <f t="array" ref="V1947">_xlfn.SWITCH(tbl_analysis_tickets[[#This Row],[priority]],
"Urgent",1,
"High",2,
"Medium",3,
"Low",4
)</f>
        <v>2</v>
      </c>
    </row>
    <row r="1948" spans="1:22" x14ac:dyDescent="0.25">
      <c r="A1948">
        <v>1947</v>
      </c>
      <c r="B1948" s="1">
        <v>45365</v>
      </c>
      <c r="C1948" t="s">
        <v>22</v>
      </c>
      <c r="D1948" t="s">
        <v>17</v>
      </c>
      <c r="E1948">
        <v>222</v>
      </c>
      <c r="F1948">
        <v>13</v>
      </c>
      <c r="G1948">
        <v>5.2</v>
      </c>
      <c r="H1948" t="s">
        <v>12</v>
      </c>
      <c r="I1948" t="s">
        <v>13</v>
      </c>
      <c r="J1948" t="s">
        <v>11</v>
      </c>
      <c r="K1948">
        <f>_xlfn.XLOOKUP(tbl_analysis_tickets[[#This Row],[priority]],tbl_sla[priority],tbl_sla[Resolution SLA Hours])</f>
        <v>8</v>
      </c>
      <c r="L1948">
        <f>_xlfn.XLOOKUP(tbl_analysis_tickets[[#This Row],[priority]],tbl_sla[priority],tbl_sla[First Response SLA Minutes])</f>
        <v>30</v>
      </c>
      <c r="M1948" t="str">
        <f>IF(tbl_analysis_tickets[[#This Row],[resolution_time_hours]]&gt;tbl_analysis_tickets[[#This Row],[Resolution SLA Hours]],"Breached","Within SLA")</f>
        <v>Breached</v>
      </c>
      <c r="N1948" t="str">
        <f>IF(tbl_analysis_tickets[[#This Row],[first_response_minutes]]&gt;tbl_analysis_tickets[[#This Row],[First Response SLA Minutes]],"Breached","Within SLA")</f>
        <v>Breached</v>
      </c>
      <c r="O1948" t="str" cm="1">
        <f t="array" ref="O1948">_xlfn.IFS(
tbl_analysis_tickets[[#This Row],[agent_experience_years]]&lt;=2,"Junior",
tbl_analysis_tickets[[#This Row],[agent_experience_years]]&lt;=5,"Mid-Level",
tbl_analysis_tickets[[#This Row],[agent_experience_years]]&lt;=8,"Senior",
tbl_analysis_tickets[[#This Row],[agent_experience_years]]&gt;8,"Expert"
)</f>
        <v>Senior</v>
      </c>
      <c r="P1948" cm="1">
        <f t="array" ref="P1948">_xlfn.SWITCH(tbl_analysis_tickets[[#This Row],[customer_satisfaction]],
"Low",1,
"Medium",2,
"High",3
)</f>
        <v>1</v>
      </c>
      <c r="Q1948">
        <f>IF(tbl_analysis_tickets[[#This Row],[reopened]]="Yes",1,0)</f>
        <v>1</v>
      </c>
      <c r="R1948" t="str" cm="1">
        <f t="array" ref="R1948">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948" t="str" cm="1">
        <f t="array" ref="S194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948" t="str">
        <f>TEXT(tbl_analysis_tickets[[#This Row],[created_date]],"mmm-yyyy")</f>
        <v>Mar-2024</v>
      </c>
      <c r="U1948" t="str">
        <f>TEXT(tbl_analysis_tickets[[#This Row],[created_date]],"dddd")</f>
        <v>Thursday</v>
      </c>
      <c r="V1948" cm="1">
        <f t="array" ref="V1948">_xlfn.SWITCH(tbl_analysis_tickets[[#This Row],[priority]],
"Urgent",1,
"High",2,
"Medium",3,
"Low",4
)</f>
        <v>1</v>
      </c>
    </row>
    <row r="1949" spans="1:22" x14ac:dyDescent="0.25">
      <c r="A1949">
        <v>1948</v>
      </c>
      <c r="B1949" s="1">
        <v>45636</v>
      </c>
      <c r="C1949" t="s">
        <v>21</v>
      </c>
      <c r="D1949" t="s">
        <v>17</v>
      </c>
      <c r="E1949">
        <v>126</v>
      </c>
      <c r="F1949">
        <v>1</v>
      </c>
      <c r="G1949">
        <v>7.2</v>
      </c>
      <c r="H1949" t="s">
        <v>18</v>
      </c>
      <c r="I1949" t="s">
        <v>13</v>
      </c>
      <c r="J1949" t="s">
        <v>15</v>
      </c>
      <c r="K1949">
        <f>_xlfn.XLOOKUP(tbl_analysis_tickets[[#This Row],[priority]],tbl_sla[priority],tbl_sla[Resolution SLA Hours])</f>
        <v>8</v>
      </c>
      <c r="L1949">
        <f>_xlfn.XLOOKUP(tbl_analysis_tickets[[#This Row],[priority]],tbl_sla[priority],tbl_sla[First Response SLA Minutes])</f>
        <v>30</v>
      </c>
      <c r="M1949" t="str">
        <f>IF(tbl_analysis_tickets[[#This Row],[resolution_time_hours]]&gt;tbl_analysis_tickets[[#This Row],[Resolution SLA Hours]],"Breached","Within SLA")</f>
        <v>Within SLA</v>
      </c>
      <c r="N1949" t="str">
        <f>IF(tbl_analysis_tickets[[#This Row],[first_response_minutes]]&gt;tbl_analysis_tickets[[#This Row],[First Response SLA Minutes]],"Breached","Within SLA")</f>
        <v>Breached</v>
      </c>
      <c r="O1949" t="str" cm="1">
        <f t="array" ref="O1949">_xlfn.IFS(
tbl_analysis_tickets[[#This Row],[agent_experience_years]]&lt;=2,"Junior",
tbl_analysis_tickets[[#This Row],[agent_experience_years]]&lt;=5,"Mid-Level",
tbl_analysis_tickets[[#This Row],[agent_experience_years]]&lt;=8,"Senior",
tbl_analysis_tickets[[#This Row],[agent_experience_years]]&gt;8,"Expert"
)</f>
        <v>Senior</v>
      </c>
      <c r="P1949" cm="1">
        <f t="array" ref="P1949">_xlfn.SWITCH(tbl_analysis_tickets[[#This Row],[customer_satisfaction]],
"Low",1,
"Medium",2,
"High",3
)</f>
        <v>2</v>
      </c>
      <c r="Q1949">
        <f>IF(tbl_analysis_tickets[[#This Row],[reopened]]="Yes",1,0)</f>
        <v>0</v>
      </c>
      <c r="R1949" t="str" cm="1">
        <f t="array" ref="R1949">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949" t="str" cm="1">
        <f t="array" ref="S194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1949" t="str">
        <f>TEXT(tbl_analysis_tickets[[#This Row],[created_date]],"mmm-yyyy")</f>
        <v>Dec-2024</v>
      </c>
      <c r="U1949" t="str">
        <f>TEXT(tbl_analysis_tickets[[#This Row],[created_date]],"dddd")</f>
        <v>Tuesday</v>
      </c>
      <c r="V1949" cm="1">
        <f t="array" ref="V1949">_xlfn.SWITCH(tbl_analysis_tickets[[#This Row],[priority]],
"Urgent",1,
"High",2,
"Medium",3,
"Low",4
)</f>
        <v>1</v>
      </c>
    </row>
    <row r="1950" spans="1:22" x14ac:dyDescent="0.25">
      <c r="A1950">
        <v>1949</v>
      </c>
      <c r="B1950" s="1">
        <v>45612</v>
      </c>
      <c r="C1950" t="s">
        <v>22</v>
      </c>
      <c r="D1950" t="s">
        <v>17</v>
      </c>
      <c r="E1950">
        <v>169</v>
      </c>
      <c r="F1950">
        <v>49</v>
      </c>
      <c r="G1950">
        <v>2.4</v>
      </c>
      <c r="H1950" t="s">
        <v>18</v>
      </c>
      <c r="I1950" t="s">
        <v>13</v>
      </c>
      <c r="J1950" t="s">
        <v>11</v>
      </c>
      <c r="K1950">
        <f>_xlfn.XLOOKUP(tbl_analysis_tickets[[#This Row],[priority]],tbl_sla[priority],tbl_sla[Resolution SLA Hours])</f>
        <v>8</v>
      </c>
      <c r="L1950">
        <f>_xlfn.XLOOKUP(tbl_analysis_tickets[[#This Row],[priority]],tbl_sla[priority],tbl_sla[First Response SLA Minutes])</f>
        <v>30</v>
      </c>
      <c r="M1950" t="str">
        <f>IF(tbl_analysis_tickets[[#This Row],[resolution_time_hours]]&gt;tbl_analysis_tickets[[#This Row],[Resolution SLA Hours]],"Breached","Within SLA")</f>
        <v>Breached</v>
      </c>
      <c r="N1950" t="str">
        <f>IF(tbl_analysis_tickets[[#This Row],[first_response_minutes]]&gt;tbl_analysis_tickets[[#This Row],[First Response SLA Minutes]],"Breached","Within SLA")</f>
        <v>Breached</v>
      </c>
      <c r="O1950" t="str" cm="1">
        <f t="array" ref="O1950">_xlfn.IFS(
tbl_analysis_tickets[[#This Row],[agent_experience_years]]&lt;=2,"Junior",
tbl_analysis_tickets[[#This Row],[agent_experience_years]]&lt;=5,"Mid-Level",
tbl_analysis_tickets[[#This Row],[agent_experience_years]]&lt;=8,"Senior",
tbl_analysis_tickets[[#This Row],[agent_experience_years]]&gt;8,"Expert"
)</f>
        <v>Mid-Level</v>
      </c>
      <c r="P1950" cm="1">
        <f t="array" ref="P1950">_xlfn.SWITCH(tbl_analysis_tickets[[#This Row],[customer_satisfaction]],
"Low",1,
"Medium",2,
"High",3
)</f>
        <v>1</v>
      </c>
      <c r="Q1950">
        <f>IF(tbl_analysis_tickets[[#This Row],[reopened]]="Yes",1,0)</f>
        <v>0</v>
      </c>
      <c r="R1950" t="str" cm="1">
        <f t="array" ref="R1950">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950" t="str" cm="1">
        <f t="array" ref="S195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950" t="str">
        <f>TEXT(tbl_analysis_tickets[[#This Row],[created_date]],"mmm-yyyy")</f>
        <v>Nov-2024</v>
      </c>
      <c r="U1950" t="str">
        <f>TEXT(tbl_analysis_tickets[[#This Row],[created_date]],"dddd")</f>
        <v>Saturday</v>
      </c>
      <c r="V1950" cm="1">
        <f t="array" ref="V1950">_xlfn.SWITCH(tbl_analysis_tickets[[#This Row],[priority]],
"Urgent",1,
"High",2,
"Medium",3,
"Low",4
)</f>
        <v>1</v>
      </c>
    </row>
    <row r="1951" spans="1:22" x14ac:dyDescent="0.25">
      <c r="A1951">
        <v>1950</v>
      </c>
      <c r="B1951" s="1">
        <v>45346</v>
      </c>
      <c r="C1951" t="s">
        <v>21</v>
      </c>
      <c r="D1951" t="s">
        <v>17</v>
      </c>
      <c r="E1951">
        <v>220</v>
      </c>
      <c r="F1951">
        <v>57</v>
      </c>
      <c r="G1951">
        <v>5.7</v>
      </c>
      <c r="H1951" t="s">
        <v>18</v>
      </c>
      <c r="I1951" t="s">
        <v>16</v>
      </c>
      <c r="J1951" t="s">
        <v>11</v>
      </c>
      <c r="K1951">
        <f>_xlfn.XLOOKUP(tbl_analysis_tickets[[#This Row],[priority]],tbl_sla[priority],tbl_sla[Resolution SLA Hours])</f>
        <v>8</v>
      </c>
      <c r="L1951">
        <f>_xlfn.XLOOKUP(tbl_analysis_tickets[[#This Row],[priority]],tbl_sla[priority],tbl_sla[First Response SLA Minutes])</f>
        <v>30</v>
      </c>
      <c r="M1951" t="str">
        <f>IF(tbl_analysis_tickets[[#This Row],[resolution_time_hours]]&gt;tbl_analysis_tickets[[#This Row],[Resolution SLA Hours]],"Breached","Within SLA")</f>
        <v>Breached</v>
      </c>
      <c r="N1951" t="str">
        <f>IF(tbl_analysis_tickets[[#This Row],[first_response_minutes]]&gt;tbl_analysis_tickets[[#This Row],[First Response SLA Minutes]],"Breached","Within SLA")</f>
        <v>Breached</v>
      </c>
      <c r="O1951" t="str" cm="1">
        <f t="array" ref="O1951">_xlfn.IFS(
tbl_analysis_tickets[[#This Row],[agent_experience_years]]&lt;=2,"Junior",
tbl_analysis_tickets[[#This Row],[agent_experience_years]]&lt;=5,"Mid-Level",
tbl_analysis_tickets[[#This Row],[agent_experience_years]]&lt;=8,"Senior",
tbl_analysis_tickets[[#This Row],[agent_experience_years]]&gt;8,"Expert"
)</f>
        <v>Senior</v>
      </c>
      <c r="P1951" cm="1">
        <f t="array" ref="P1951">_xlfn.SWITCH(tbl_analysis_tickets[[#This Row],[customer_satisfaction]],
"Low",1,
"Medium",2,
"High",3
)</f>
        <v>1</v>
      </c>
      <c r="Q1951">
        <f>IF(tbl_analysis_tickets[[#This Row],[reopened]]="Yes",1,0)</f>
        <v>0</v>
      </c>
      <c r="R1951" t="str" cm="1">
        <f t="array" ref="R1951">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951" t="str" cm="1">
        <f t="array" ref="S195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951" t="str">
        <f>TEXT(tbl_analysis_tickets[[#This Row],[created_date]],"mmm-yyyy")</f>
        <v>Feb-2024</v>
      </c>
      <c r="U1951" t="str">
        <f>TEXT(tbl_analysis_tickets[[#This Row],[created_date]],"dddd")</f>
        <v>Saturday</v>
      </c>
      <c r="V1951" cm="1">
        <f t="array" ref="V1951">_xlfn.SWITCH(tbl_analysis_tickets[[#This Row],[priority]],
"Urgent",1,
"High",2,
"Medium",3,
"Low",4
)</f>
        <v>1</v>
      </c>
    </row>
    <row r="1952" spans="1:22" x14ac:dyDescent="0.25">
      <c r="A1952">
        <v>1951</v>
      </c>
      <c r="B1952" s="1">
        <v>45505</v>
      </c>
      <c r="C1952" t="s">
        <v>10</v>
      </c>
      <c r="D1952" t="s">
        <v>20</v>
      </c>
      <c r="E1952">
        <v>232</v>
      </c>
      <c r="F1952">
        <v>63</v>
      </c>
      <c r="G1952">
        <v>9.4</v>
      </c>
      <c r="H1952" t="s">
        <v>12</v>
      </c>
      <c r="I1952" t="s">
        <v>19</v>
      </c>
      <c r="J1952" t="s">
        <v>11</v>
      </c>
      <c r="K1952">
        <f>_xlfn.XLOOKUP(tbl_analysis_tickets[[#This Row],[priority]],tbl_sla[priority],tbl_sla[Resolution SLA Hours])</f>
        <v>24</v>
      </c>
      <c r="L1952">
        <f>_xlfn.XLOOKUP(tbl_analysis_tickets[[#This Row],[priority]],tbl_sla[priority],tbl_sla[First Response SLA Minutes])</f>
        <v>60</v>
      </c>
      <c r="M1952" t="str">
        <f>IF(tbl_analysis_tickets[[#This Row],[resolution_time_hours]]&gt;tbl_analysis_tickets[[#This Row],[Resolution SLA Hours]],"Breached","Within SLA")</f>
        <v>Breached</v>
      </c>
      <c r="N1952" t="str">
        <f>IF(tbl_analysis_tickets[[#This Row],[first_response_minutes]]&gt;tbl_analysis_tickets[[#This Row],[First Response SLA Minutes]],"Breached","Within SLA")</f>
        <v>Breached</v>
      </c>
      <c r="O1952" t="str" cm="1">
        <f t="array" ref="O1952">_xlfn.IFS(
tbl_analysis_tickets[[#This Row],[agent_experience_years]]&lt;=2,"Junior",
tbl_analysis_tickets[[#This Row],[agent_experience_years]]&lt;=5,"Mid-Level",
tbl_analysis_tickets[[#This Row],[agent_experience_years]]&lt;=8,"Senior",
tbl_analysis_tickets[[#This Row],[agent_experience_years]]&gt;8,"Expert"
)</f>
        <v>Expert</v>
      </c>
      <c r="P1952" cm="1">
        <f t="array" ref="P1952">_xlfn.SWITCH(tbl_analysis_tickets[[#This Row],[customer_satisfaction]],
"Low",1,
"Medium",2,
"High",3
)</f>
        <v>1</v>
      </c>
      <c r="Q1952">
        <f>IF(tbl_analysis_tickets[[#This Row],[reopened]]="Yes",1,0)</f>
        <v>1</v>
      </c>
      <c r="R1952" t="str" cm="1">
        <f t="array" ref="R1952">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952" t="str" cm="1">
        <f t="array" ref="S195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952" t="str">
        <f>TEXT(tbl_analysis_tickets[[#This Row],[created_date]],"mmm-yyyy")</f>
        <v>Aug-2024</v>
      </c>
      <c r="U1952" t="str">
        <f>TEXT(tbl_analysis_tickets[[#This Row],[created_date]],"dddd")</f>
        <v>Thursday</v>
      </c>
      <c r="V1952" cm="1">
        <f t="array" ref="V1952">_xlfn.SWITCH(tbl_analysis_tickets[[#This Row],[priority]],
"Urgent",1,
"High",2,
"Medium",3,
"Low",4
)</f>
        <v>2</v>
      </c>
    </row>
    <row r="1953" spans="1:22" x14ac:dyDescent="0.25">
      <c r="A1953">
        <v>1952</v>
      </c>
      <c r="B1953" s="1">
        <v>45387</v>
      </c>
      <c r="C1953" t="s">
        <v>22</v>
      </c>
      <c r="D1953" t="s">
        <v>15</v>
      </c>
      <c r="E1953">
        <v>151</v>
      </c>
      <c r="F1953">
        <v>42</v>
      </c>
      <c r="G1953">
        <v>4</v>
      </c>
      <c r="H1953" t="s">
        <v>12</v>
      </c>
      <c r="I1953" t="s">
        <v>19</v>
      </c>
      <c r="J1953" t="s">
        <v>11</v>
      </c>
      <c r="K1953">
        <f>_xlfn.XLOOKUP(tbl_analysis_tickets[[#This Row],[priority]],tbl_sla[priority],tbl_sla[Resolution SLA Hours])</f>
        <v>48</v>
      </c>
      <c r="L1953">
        <f>_xlfn.XLOOKUP(tbl_analysis_tickets[[#This Row],[priority]],tbl_sla[priority],tbl_sla[First Response SLA Minutes])</f>
        <v>120</v>
      </c>
      <c r="M1953" t="str">
        <f>IF(tbl_analysis_tickets[[#This Row],[resolution_time_hours]]&gt;tbl_analysis_tickets[[#This Row],[Resolution SLA Hours]],"Breached","Within SLA")</f>
        <v>Within SLA</v>
      </c>
      <c r="N1953" t="str">
        <f>IF(tbl_analysis_tickets[[#This Row],[first_response_minutes]]&gt;tbl_analysis_tickets[[#This Row],[First Response SLA Minutes]],"Breached","Within SLA")</f>
        <v>Breached</v>
      </c>
      <c r="O1953" t="str" cm="1">
        <f t="array" ref="O1953">_xlfn.IFS(
tbl_analysis_tickets[[#This Row],[agent_experience_years]]&lt;=2,"Junior",
tbl_analysis_tickets[[#This Row],[agent_experience_years]]&lt;=5,"Mid-Level",
tbl_analysis_tickets[[#This Row],[agent_experience_years]]&lt;=8,"Senior",
tbl_analysis_tickets[[#This Row],[agent_experience_years]]&gt;8,"Expert"
)</f>
        <v>Mid-Level</v>
      </c>
      <c r="P1953" cm="1">
        <f t="array" ref="P1953">_xlfn.SWITCH(tbl_analysis_tickets[[#This Row],[customer_satisfaction]],
"Low",1,
"Medium",2,
"High",3
)</f>
        <v>1</v>
      </c>
      <c r="Q1953">
        <f>IF(tbl_analysis_tickets[[#This Row],[reopened]]="Yes",1,0)</f>
        <v>1</v>
      </c>
      <c r="R1953" t="str" cm="1">
        <f t="array" ref="R1953">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953" t="str" cm="1">
        <f t="array" ref="S195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953" t="str">
        <f>TEXT(tbl_analysis_tickets[[#This Row],[created_date]],"mmm-yyyy")</f>
        <v>Apr-2024</v>
      </c>
      <c r="U1953" t="str">
        <f>TEXT(tbl_analysis_tickets[[#This Row],[created_date]],"dddd")</f>
        <v>Friday</v>
      </c>
      <c r="V1953" cm="1">
        <f t="array" ref="V1953">_xlfn.SWITCH(tbl_analysis_tickets[[#This Row],[priority]],
"Urgent",1,
"High",2,
"Medium",3,
"Low",4
)</f>
        <v>3</v>
      </c>
    </row>
    <row r="1954" spans="1:22" x14ac:dyDescent="0.25">
      <c r="A1954">
        <v>1953</v>
      </c>
      <c r="B1954" s="1">
        <v>45583</v>
      </c>
      <c r="C1954" t="s">
        <v>22</v>
      </c>
      <c r="D1954" t="s">
        <v>20</v>
      </c>
      <c r="E1954">
        <v>86</v>
      </c>
      <c r="F1954">
        <v>56</v>
      </c>
      <c r="G1954">
        <v>1.5</v>
      </c>
      <c r="H1954" t="s">
        <v>18</v>
      </c>
      <c r="I1954" t="s">
        <v>19</v>
      </c>
      <c r="J1954" t="s">
        <v>11</v>
      </c>
      <c r="K1954">
        <f>_xlfn.XLOOKUP(tbl_analysis_tickets[[#This Row],[priority]],tbl_sla[priority],tbl_sla[Resolution SLA Hours])</f>
        <v>24</v>
      </c>
      <c r="L1954">
        <f>_xlfn.XLOOKUP(tbl_analysis_tickets[[#This Row],[priority]],tbl_sla[priority],tbl_sla[First Response SLA Minutes])</f>
        <v>60</v>
      </c>
      <c r="M1954" t="str">
        <f>IF(tbl_analysis_tickets[[#This Row],[resolution_time_hours]]&gt;tbl_analysis_tickets[[#This Row],[Resolution SLA Hours]],"Breached","Within SLA")</f>
        <v>Breached</v>
      </c>
      <c r="N1954" t="str">
        <f>IF(tbl_analysis_tickets[[#This Row],[first_response_minutes]]&gt;tbl_analysis_tickets[[#This Row],[First Response SLA Minutes]],"Breached","Within SLA")</f>
        <v>Breached</v>
      </c>
      <c r="O1954" t="str" cm="1">
        <f t="array" ref="O1954">_xlfn.IFS(
tbl_analysis_tickets[[#This Row],[agent_experience_years]]&lt;=2,"Junior",
tbl_analysis_tickets[[#This Row],[agent_experience_years]]&lt;=5,"Mid-Level",
tbl_analysis_tickets[[#This Row],[agent_experience_years]]&lt;=8,"Senior",
tbl_analysis_tickets[[#This Row],[agent_experience_years]]&gt;8,"Expert"
)</f>
        <v>Junior</v>
      </c>
      <c r="P1954" cm="1">
        <f t="array" ref="P1954">_xlfn.SWITCH(tbl_analysis_tickets[[#This Row],[customer_satisfaction]],
"Low",1,
"Medium",2,
"High",3
)</f>
        <v>1</v>
      </c>
      <c r="Q1954">
        <f>IF(tbl_analysis_tickets[[#This Row],[reopened]]="Yes",1,0)</f>
        <v>0</v>
      </c>
      <c r="R1954" t="str" cm="1">
        <f t="array" ref="R1954">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954" t="str" cm="1">
        <f t="array" ref="S195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954" t="str">
        <f>TEXT(tbl_analysis_tickets[[#This Row],[created_date]],"mmm-yyyy")</f>
        <v>Oct-2024</v>
      </c>
      <c r="U1954" t="str">
        <f>TEXT(tbl_analysis_tickets[[#This Row],[created_date]],"dddd")</f>
        <v>Friday</v>
      </c>
      <c r="V1954" cm="1">
        <f t="array" ref="V1954">_xlfn.SWITCH(tbl_analysis_tickets[[#This Row],[priority]],
"Urgent",1,
"High",2,
"Medium",3,
"Low",4
)</f>
        <v>2</v>
      </c>
    </row>
    <row r="1955" spans="1:22" x14ac:dyDescent="0.25">
      <c r="A1955">
        <v>1954</v>
      </c>
      <c r="B1955" s="1">
        <v>45296</v>
      </c>
      <c r="C1955" t="s">
        <v>22</v>
      </c>
      <c r="D1955" t="s">
        <v>15</v>
      </c>
      <c r="E1955">
        <v>178</v>
      </c>
      <c r="F1955">
        <v>17</v>
      </c>
      <c r="G1955">
        <v>9.5</v>
      </c>
      <c r="H1955" t="s">
        <v>12</v>
      </c>
      <c r="I1955" t="s">
        <v>19</v>
      </c>
      <c r="J1955" t="s">
        <v>11</v>
      </c>
      <c r="K1955">
        <f>_xlfn.XLOOKUP(tbl_analysis_tickets[[#This Row],[priority]],tbl_sla[priority],tbl_sla[Resolution SLA Hours])</f>
        <v>48</v>
      </c>
      <c r="L1955">
        <f>_xlfn.XLOOKUP(tbl_analysis_tickets[[#This Row],[priority]],tbl_sla[priority],tbl_sla[First Response SLA Minutes])</f>
        <v>120</v>
      </c>
      <c r="M1955" t="str">
        <f>IF(tbl_analysis_tickets[[#This Row],[resolution_time_hours]]&gt;tbl_analysis_tickets[[#This Row],[Resolution SLA Hours]],"Breached","Within SLA")</f>
        <v>Within SLA</v>
      </c>
      <c r="N1955" t="str">
        <f>IF(tbl_analysis_tickets[[#This Row],[first_response_minutes]]&gt;tbl_analysis_tickets[[#This Row],[First Response SLA Minutes]],"Breached","Within SLA")</f>
        <v>Breached</v>
      </c>
      <c r="O1955" t="str" cm="1">
        <f t="array" ref="O1955">_xlfn.IFS(
tbl_analysis_tickets[[#This Row],[agent_experience_years]]&lt;=2,"Junior",
tbl_analysis_tickets[[#This Row],[agent_experience_years]]&lt;=5,"Mid-Level",
tbl_analysis_tickets[[#This Row],[agent_experience_years]]&lt;=8,"Senior",
tbl_analysis_tickets[[#This Row],[agent_experience_years]]&gt;8,"Expert"
)</f>
        <v>Expert</v>
      </c>
      <c r="P1955" cm="1">
        <f t="array" ref="P1955">_xlfn.SWITCH(tbl_analysis_tickets[[#This Row],[customer_satisfaction]],
"Low",1,
"Medium",2,
"High",3
)</f>
        <v>1</v>
      </c>
      <c r="Q1955">
        <f>IF(tbl_analysis_tickets[[#This Row],[reopened]]="Yes",1,0)</f>
        <v>1</v>
      </c>
      <c r="R1955" t="str" cm="1">
        <f t="array" ref="R1955">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955" t="str" cm="1">
        <f t="array" ref="S195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955" t="str">
        <f>TEXT(tbl_analysis_tickets[[#This Row],[created_date]],"mmm-yyyy")</f>
        <v>Jan-2024</v>
      </c>
      <c r="U1955" t="str">
        <f>TEXT(tbl_analysis_tickets[[#This Row],[created_date]],"dddd")</f>
        <v>Friday</v>
      </c>
      <c r="V1955" cm="1">
        <f t="array" ref="V1955">_xlfn.SWITCH(tbl_analysis_tickets[[#This Row],[priority]],
"Urgent",1,
"High",2,
"Medium",3,
"Low",4
)</f>
        <v>3</v>
      </c>
    </row>
    <row r="1956" spans="1:22" x14ac:dyDescent="0.25">
      <c r="A1956">
        <v>1955</v>
      </c>
      <c r="B1956" s="1">
        <v>45300</v>
      </c>
      <c r="C1956" t="s">
        <v>21</v>
      </c>
      <c r="D1956" t="s">
        <v>15</v>
      </c>
      <c r="E1956">
        <v>164</v>
      </c>
      <c r="F1956">
        <v>39</v>
      </c>
      <c r="G1956">
        <v>4</v>
      </c>
      <c r="H1956" t="s">
        <v>12</v>
      </c>
      <c r="I1956" t="s">
        <v>16</v>
      </c>
      <c r="J1956" t="s">
        <v>11</v>
      </c>
      <c r="K1956">
        <f>_xlfn.XLOOKUP(tbl_analysis_tickets[[#This Row],[priority]],tbl_sla[priority],tbl_sla[Resolution SLA Hours])</f>
        <v>48</v>
      </c>
      <c r="L1956">
        <f>_xlfn.XLOOKUP(tbl_analysis_tickets[[#This Row],[priority]],tbl_sla[priority],tbl_sla[First Response SLA Minutes])</f>
        <v>120</v>
      </c>
      <c r="M1956" t="str">
        <f>IF(tbl_analysis_tickets[[#This Row],[resolution_time_hours]]&gt;tbl_analysis_tickets[[#This Row],[Resolution SLA Hours]],"Breached","Within SLA")</f>
        <v>Within SLA</v>
      </c>
      <c r="N1956" t="str">
        <f>IF(tbl_analysis_tickets[[#This Row],[first_response_minutes]]&gt;tbl_analysis_tickets[[#This Row],[First Response SLA Minutes]],"Breached","Within SLA")</f>
        <v>Breached</v>
      </c>
      <c r="O1956" t="str" cm="1">
        <f t="array" ref="O1956">_xlfn.IFS(
tbl_analysis_tickets[[#This Row],[agent_experience_years]]&lt;=2,"Junior",
tbl_analysis_tickets[[#This Row],[agent_experience_years]]&lt;=5,"Mid-Level",
tbl_analysis_tickets[[#This Row],[agent_experience_years]]&lt;=8,"Senior",
tbl_analysis_tickets[[#This Row],[agent_experience_years]]&gt;8,"Expert"
)</f>
        <v>Mid-Level</v>
      </c>
      <c r="P1956" cm="1">
        <f t="array" ref="P1956">_xlfn.SWITCH(tbl_analysis_tickets[[#This Row],[customer_satisfaction]],
"Low",1,
"Medium",2,
"High",3
)</f>
        <v>1</v>
      </c>
      <c r="Q1956">
        <f>IF(tbl_analysis_tickets[[#This Row],[reopened]]="Yes",1,0)</f>
        <v>1</v>
      </c>
      <c r="R1956" t="str" cm="1">
        <f t="array" ref="R1956">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956" t="str" cm="1">
        <f t="array" ref="S195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956" t="str">
        <f>TEXT(tbl_analysis_tickets[[#This Row],[created_date]],"mmm-yyyy")</f>
        <v>Jan-2024</v>
      </c>
      <c r="U1956" t="str">
        <f>TEXT(tbl_analysis_tickets[[#This Row],[created_date]],"dddd")</f>
        <v>Tuesday</v>
      </c>
      <c r="V1956" cm="1">
        <f t="array" ref="V1956">_xlfn.SWITCH(tbl_analysis_tickets[[#This Row],[priority]],
"Urgent",1,
"High",2,
"Medium",3,
"Low",4
)</f>
        <v>3</v>
      </c>
    </row>
    <row r="1957" spans="1:22" x14ac:dyDescent="0.25">
      <c r="A1957">
        <v>1956</v>
      </c>
      <c r="B1957" s="1">
        <v>45489</v>
      </c>
      <c r="C1957" t="s">
        <v>10</v>
      </c>
      <c r="D1957" t="s">
        <v>15</v>
      </c>
      <c r="E1957">
        <v>176</v>
      </c>
      <c r="F1957">
        <v>14</v>
      </c>
      <c r="G1957">
        <v>7.8</v>
      </c>
      <c r="H1957" t="s">
        <v>12</v>
      </c>
      <c r="I1957" t="s">
        <v>13</v>
      </c>
      <c r="J1957" t="s">
        <v>11</v>
      </c>
      <c r="K1957">
        <f>_xlfn.XLOOKUP(tbl_analysis_tickets[[#This Row],[priority]],tbl_sla[priority],tbl_sla[Resolution SLA Hours])</f>
        <v>48</v>
      </c>
      <c r="L1957">
        <f>_xlfn.XLOOKUP(tbl_analysis_tickets[[#This Row],[priority]],tbl_sla[priority],tbl_sla[First Response SLA Minutes])</f>
        <v>120</v>
      </c>
      <c r="M1957" t="str">
        <f>IF(tbl_analysis_tickets[[#This Row],[resolution_time_hours]]&gt;tbl_analysis_tickets[[#This Row],[Resolution SLA Hours]],"Breached","Within SLA")</f>
        <v>Within SLA</v>
      </c>
      <c r="N1957" t="str">
        <f>IF(tbl_analysis_tickets[[#This Row],[first_response_minutes]]&gt;tbl_analysis_tickets[[#This Row],[First Response SLA Minutes]],"Breached","Within SLA")</f>
        <v>Breached</v>
      </c>
      <c r="O1957" t="str" cm="1">
        <f t="array" ref="O1957">_xlfn.IFS(
tbl_analysis_tickets[[#This Row],[agent_experience_years]]&lt;=2,"Junior",
tbl_analysis_tickets[[#This Row],[agent_experience_years]]&lt;=5,"Mid-Level",
tbl_analysis_tickets[[#This Row],[agent_experience_years]]&lt;=8,"Senior",
tbl_analysis_tickets[[#This Row],[agent_experience_years]]&gt;8,"Expert"
)</f>
        <v>Senior</v>
      </c>
      <c r="P1957" cm="1">
        <f t="array" ref="P1957">_xlfn.SWITCH(tbl_analysis_tickets[[#This Row],[customer_satisfaction]],
"Low",1,
"Medium",2,
"High",3
)</f>
        <v>1</v>
      </c>
      <c r="Q1957">
        <f>IF(tbl_analysis_tickets[[#This Row],[reopened]]="Yes",1,0)</f>
        <v>1</v>
      </c>
      <c r="R1957" t="str" cm="1">
        <f t="array" ref="R1957">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957" t="str" cm="1">
        <f t="array" ref="S195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957" t="str">
        <f>TEXT(tbl_analysis_tickets[[#This Row],[created_date]],"mmm-yyyy")</f>
        <v>Jul-2024</v>
      </c>
      <c r="U1957" t="str">
        <f>TEXT(tbl_analysis_tickets[[#This Row],[created_date]],"dddd")</f>
        <v>Tuesday</v>
      </c>
      <c r="V1957" cm="1">
        <f t="array" ref="V1957">_xlfn.SWITCH(tbl_analysis_tickets[[#This Row],[priority]],
"Urgent",1,
"High",2,
"Medium",3,
"Low",4
)</f>
        <v>3</v>
      </c>
    </row>
    <row r="1958" spans="1:22" x14ac:dyDescent="0.25">
      <c r="A1958">
        <v>1957</v>
      </c>
      <c r="B1958" s="1">
        <v>45557</v>
      </c>
      <c r="C1958" t="s">
        <v>10</v>
      </c>
      <c r="D1958" t="s">
        <v>20</v>
      </c>
      <c r="E1958">
        <v>77</v>
      </c>
      <c r="F1958">
        <v>45</v>
      </c>
      <c r="G1958">
        <v>3.2</v>
      </c>
      <c r="H1958" t="s">
        <v>12</v>
      </c>
      <c r="I1958" t="s">
        <v>13</v>
      </c>
      <c r="J1958" t="s">
        <v>11</v>
      </c>
      <c r="K1958">
        <f>_xlfn.XLOOKUP(tbl_analysis_tickets[[#This Row],[priority]],tbl_sla[priority],tbl_sla[Resolution SLA Hours])</f>
        <v>24</v>
      </c>
      <c r="L1958">
        <f>_xlfn.XLOOKUP(tbl_analysis_tickets[[#This Row],[priority]],tbl_sla[priority],tbl_sla[First Response SLA Minutes])</f>
        <v>60</v>
      </c>
      <c r="M1958" t="str">
        <f>IF(tbl_analysis_tickets[[#This Row],[resolution_time_hours]]&gt;tbl_analysis_tickets[[#This Row],[Resolution SLA Hours]],"Breached","Within SLA")</f>
        <v>Breached</v>
      </c>
      <c r="N1958" t="str">
        <f>IF(tbl_analysis_tickets[[#This Row],[first_response_minutes]]&gt;tbl_analysis_tickets[[#This Row],[First Response SLA Minutes]],"Breached","Within SLA")</f>
        <v>Breached</v>
      </c>
      <c r="O1958" t="str" cm="1">
        <f t="array" ref="O1958">_xlfn.IFS(
tbl_analysis_tickets[[#This Row],[agent_experience_years]]&lt;=2,"Junior",
tbl_analysis_tickets[[#This Row],[agent_experience_years]]&lt;=5,"Mid-Level",
tbl_analysis_tickets[[#This Row],[agent_experience_years]]&lt;=8,"Senior",
tbl_analysis_tickets[[#This Row],[agent_experience_years]]&gt;8,"Expert"
)</f>
        <v>Mid-Level</v>
      </c>
      <c r="P1958" cm="1">
        <f t="array" ref="P1958">_xlfn.SWITCH(tbl_analysis_tickets[[#This Row],[customer_satisfaction]],
"Low",1,
"Medium",2,
"High",3
)</f>
        <v>1</v>
      </c>
      <c r="Q1958">
        <f>IF(tbl_analysis_tickets[[#This Row],[reopened]]="Yes",1,0)</f>
        <v>1</v>
      </c>
      <c r="R1958" t="str" cm="1">
        <f t="array" ref="R1958">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958" t="str" cm="1">
        <f t="array" ref="S195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958" t="str">
        <f>TEXT(tbl_analysis_tickets[[#This Row],[created_date]],"mmm-yyyy")</f>
        <v>Sep-2024</v>
      </c>
      <c r="U1958" t="str">
        <f>TEXT(tbl_analysis_tickets[[#This Row],[created_date]],"dddd")</f>
        <v>Sunday</v>
      </c>
      <c r="V1958" cm="1">
        <f t="array" ref="V1958">_xlfn.SWITCH(tbl_analysis_tickets[[#This Row],[priority]],
"Urgent",1,
"High",2,
"Medium",3,
"Low",4
)</f>
        <v>2</v>
      </c>
    </row>
    <row r="1959" spans="1:22" x14ac:dyDescent="0.25">
      <c r="A1959">
        <v>1958</v>
      </c>
      <c r="B1959" s="1">
        <v>45449</v>
      </c>
      <c r="C1959" t="s">
        <v>22</v>
      </c>
      <c r="D1959" t="s">
        <v>15</v>
      </c>
      <c r="E1959">
        <v>65</v>
      </c>
      <c r="F1959">
        <v>32</v>
      </c>
      <c r="G1959">
        <v>7.8</v>
      </c>
      <c r="H1959" t="s">
        <v>18</v>
      </c>
      <c r="I1959" t="s">
        <v>19</v>
      </c>
      <c r="J1959" t="s">
        <v>15</v>
      </c>
      <c r="K1959">
        <f>_xlfn.XLOOKUP(tbl_analysis_tickets[[#This Row],[priority]],tbl_sla[priority],tbl_sla[Resolution SLA Hours])</f>
        <v>48</v>
      </c>
      <c r="L1959">
        <f>_xlfn.XLOOKUP(tbl_analysis_tickets[[#This Row],[priority]],tbl_sla[priority],tbl_sla[First Response SLA Minutes])</f>
        <v>120</v>
      </c>
      <c r="M1959" t="str">
        <f>IF(tbl_analysis_tickets[[#This Row],[resolution_time_hours]]&gt;tbl_analysis_tickets[[#This Row],[Resolution SLA Hours]],"Breached","Within SLA")</f>
        <v>Within SLA</v>
      </c>
      <c r="N1959" t="str">
        <f>IF(tbl_analysis_tickets[[#This Row],[first_response_minutes]]&gt;tbl_analysis_tickets[[#This Row],[First Response SLA Minutes]],"Breached","Within SLA")</f>
        <v>Within SLA</v>
      </c>
      <c r="O1959" t="str" cm="1">
        <f t="array" ref="O1959">_xlfn.IFS(
tbl_analysis_tickets[[#This Row],[agent_experience_years]]&lt;=2,"Junior",
tbl_analysis_tickets[[#This Row],[agent_experience_years]]&lt;=5,"Mid-Level",
tbl_analysis_tickets[[#This Row],[agent_experience_years]]&lt;=8,"Senior",
tbl_analysis_tickets[[#This Row],[agent_experience_years]]&gt;8,"Expert"
)</f>
        <v>Senior</v>
      </c>
      <c r="P1959" cm="1">
        <f t="array" ref="P1959">_xlfn.SWITCH(tbl_analysis_tickets[[#This Row],[customer_satisfaction]],
"Low",1,
"Medium",2,
"High",3
)</f>
        <v>2</v>
      </c>
      <c r="Q1959">
        <f>IF(tbl_analysis_tickets[[#This Row],[reopened]]="Yes",1,0)</f>
        <v>0</v>
      </c>
      <c r="R1959" t="str" cm="1">
        <f t="array" ref="R1959">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959" t="str" cm="1">
        <f t="array" ref="S195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959" t="str">
        <f>TEXT(tbl_analysis_tickets[[#This Row],[created_date]],"mmm-yyyy")</f>
        <v>Jun-2024</v>
      </c>
      <c r="U1959" t="str">
        <f>TEXT(tbl_analysis_tickets[[#This Row],[created_date]],"dddd")</f>
        <v>Thursday</v>
      </c>
      <c r="V1959" cm="1">
        <f t="array" ref="V1959">_xlfn.SWITCH(tbl_analysis_tickets[[#This Row],[priority]],
"Urgent",1,
"High",2,
"Medium",3,
"Low",4
)</f>
        <v>3</v>
      </c>
    </row>
    <row r="1960" spans="1:22" x14ac:dyDescent="0.25">
      <c r="A1960">
        <v>1959</v>
      </c>
      <c r="B1960" s="1">
        <v>45561</v>
      </c>
      <c r="C1960" t="s">
        <v>14</v>
      </c>
      <c r="D1960" t="s">
        <v>11</v>
      </c>
      <c r="E1960">
        <v>197</v>
      </c>
      <c r="F1960">
        <v>12</v>
      </c>
      <c r="G1960">
        <v>4.5999999999999996</v>
      </c>
      <c r="H1960" t="s">
        <v>18</v>
      </c>
      <c r="I1960" t="s">
        <v>19</v>
      </c>
      <c r="J1960" t="s">
        <v>11</v>
      </c>
      <c r="K1960">
        <f>_xlfn.XLOOKUP(tbl_analysis_tickets[[#This Row],[priority]],tbl_sla[priority],tbl_sla[Resolution SLA Hours])</f>
        <v>72</v>
      </c>
      <c r="L1960">
        <f>_xlfn.XLOOKUP(tbl_analysis_tickets[[#This Row],[priority]],tbl_sla[priority],tbl_sla[First Response SLA Minutes])</f>
        <v>240</v>
      </c>
      <c r="M1960" t="str">
        <f>IF(tbl_analysis_tickets[[#This Row],[resolution_time_hours]]&gt;tbl_analysis_tickets[[#This Row],[Resolution SLA Hours]],"Breached","Within SLA")</f>
        <v>Within SLA</v>
      </c>
      <c r="N1960" t="str">
        <f>IF(tbl_analysis_tickets[[#This Row],[first_response_minutes]]&gt;tbl_analysis_tickets[[#This Row],[First Response SLA Minutes]],"Breached","Within SLA")</f>
        <v>Within SLA</v>
      </c>
      <c r="O1960" t="str" cm="1">
        <f t="array" ref="O1960">_xlfn.IFS(
tbl_analysis_tickets[[#This Row],[agent_experience_years]]&lt;=2,"Junior",
tbl_analysis_tickets[[#This Row],[agent_experience_years]]&lt;=5,"Mid-Level",
tbl_analysis_tickets[[#This Row],[agent_experience_years]]&lt;=8,"Senior",
tbl_analysis_tickets[[#This Row],[agent_experience_years]]&gt;8,"Expert"
)</f>
        <v>Mid-Level</v>
      </c>
      <c r="P1960" cm="1">
        <f t="array" ref="P1960">_xlfn.SWITCH(tbl_analysis_tickets[[#This Row],[customer_satisfaction]],
"Low",1,
"Medium",2,
"High",3
)</f>
        <v>1</v>
      </c>
      <c r="Q1960">
        <f>IF(tbl_analysis_tickets[[#This Row],[reopened]]="Yes",1,0)</f>
        <v>0</v>
      </c>
      <c r="R1960" t="str" cm="1">
        <f t="array" ref="R1960">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960" t="str" cm="1">
        <f t="array" ref="S196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960" t="str">
        <f>TEXT(tbl_analysis_tickets[[#This Row],[created_date]],"mmm-yyyy")</f>
        <v>Sep-2024</v>
      </c>
      <c r="U1960" t="str">
        <f>TEXT(tbl_analysis_tickets[[#This Row],[created_date]],"dddd")</f>
        <v>Thursday</v>
      </c>
      <c r="V1960" cm="1">
        <f t="array" ref="V1960">_xlfn.SWITCH(tbl_analysis_tickets[[#This Row],[priority]],
"Urgent",1,
"High",2,
"Medium",3,
"Low",4
)</f>
        <v>4</v>
      </c>
    </row>
    <row r="1961" spans="1:22" x14ac:dyDescent="0.25">
      <c r="A1961">
        <v>1960</v>
      </c>
      <c r="B1961" s="1">
        <v>45358</v>
      </c>
      <c r="C1961" t="s">
        <v>14</v>
      </c>
      <c r="D1961" t="s">
        <v>17</v>
      </c>
      <c r="E1961">
        <v>60</v>
      </c>
      <c r="F1961">
        <v>18</v>
      </c>
      <c r="G1961">
        <v>2.1</v>
      </c>
      <c r="H1961" t="s">
        <v>18</v>
      </c>
      <c r="I1961" t="s">
        <v>13</v>
      </c>
      <c r="J1961" t="s">
        <v>11</v>
      </c>
      <c r="K1961">
        <f>_xlfn.XLOOKUP(tbl_analysis_tickets[[#This Row],[priority]],tbl_sla[priority],tbl_sla[Resolution SLA Hours])</f>
        <v>8</v>
      </c>
      <c r="L1961">
        <f>_xlfn.XLOOKUP(tbl_analysis_tickets[[#This Row],[priority]],tbl_sla[priority],tbl_sla[First Response SLA Minutes])</f>
        <v>30</v>
      </c>
      <c r="M1961" t="str">
        <f>IF(tbl_analysis_tickets[[#This Row],[resolution_time_hours]]&gt;tbl_analysis_tickets[[#This Row],[Resolution SLA Hours]],"Breached","Within SLA")</f>
        <v>Breached</v>
      </c>
      <c r="N1961" t="str">
        <f>IF(tbl_analysis_tickets[[#This Row],[first_response_minutes]]&gt;tbl_analysis_tickets[[#This Row],[First Response SLA Minutes]],"Breached","Within SLA")</f>
        <v>Breached</v>
      </c>
      <c r="O1961" t="str" cm="1">
        <f t="array" ref="O1961">_xlfn.IFS(
tbl_analysis_tickets[[#This Row],[agent_experience_years]]&lt;=2,"Junior",
tbl_analysis_tickets[[#This Row],[agent_experience_years]]&lt;=5,"Mid-Level",
tbl_analysis_tickets[[#This Row],[agent_experience_years]]&lt;=8,"Senior",
tbl_analysis_tickets[[#This Row],[agent_experience_years]]&gt;8,"Expert"
)</f>
        <v>Mid-Level</v>
      </c>
      <c r="P1961" cm="1">
        <f t="array" ref="P1961">_xlfn.SWITCH(tbl_analysis_tickets[[#This Row],[customer_satisfaction]],
"Low",1,
"Medium",2,
"High",3
)</f>
        <v>1</v>
      </c>
      <c r="Q1961">
        <f>IF(tbl_analysis_tickets[[#This Row],[reopened]]="Yes",1,0)</f>
        <v>0</v>
      </c>
      <c r="R1961" t="str" cm="1">
        <f t="array" ref="R1961">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961" t="str" cm="1">
        <f t="array" ref="S196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961" t="str">
        <f>TEXT(tbl_analysis_tickets[[#This Row],[created_date]],"mmm-yyyy")</f>
        <v>Mar-2024</v>
      </c>
      <c r="U1961" t="str">
        <f>TEXT(tbl_analysis_tickets[[#This Row],[created_date]],"dddd")</f>
        <v>Thursday</v>
      </c>
      <c r="V1961" cm="1">
        <f t="array" ref="V1961">_xlfn.SWITCH(tbl_analysis_tickets[[#This Row],[priority]],
"Urgent",1,
"High",2,
"Medium",3,
"Low",4
)</f>
        <v>1</v>
      </c>
    </row>
    <row r="1962" spans="1:22" x14ac:dyDescent="0.25">
      <c r="A1962">
        <v>1961</v>
      </c>
      <c r="B1962" s="1">
        <v>45335</v>
      </c>
      <c r="C1962" t="s">
        <v>10</v>
      </c>
      <c r="D1962" t="s">
        <v>11</v>
      </c>
      <c r="E1962">
        <v>222</v>
      </c>
      <c r="F1962">
        <v>42</v>
      </c>
      <c r="G1962">
        <v>0.8</v>
      </c>
      <c r="H1962" t="s">
        <v>12</v>
      </c>
      <c r="I1962" t="s">
        <v>19</v>
      </c>
      <c r="J1962" t="s">
        <v>11</v>
      </c>
      <c r="K1962">
        <f>_xlfn.XLOOKUP(tbl_analysis_tickets[[#This Row],[priority]],tbl_sla[priority],tbl_sla[Resolution SLA Hours])</f>
        <v>72</v>
      </c>
      <c r="L1962">
        <f>_xlfn.XLOOKUP(tbl_analysis_tickets[[#This Row],[priority]],tbl_sla[priority],tbl_sla[First Response SLA Minutes])</f>
        <v>240</v>
      </c>
      <c r="M1962" t="str">
        <f>IF(tbl_analysis_tickets[[#This Row],[resolution_time_hours]]&gt;tbl_analysis_tickets[[#This Row],[Resolution SLA Hours]],"Breached","Within SLA")</f>
        <v>Within SLA</v>
      </c>
      <c r="N1962" t="str">
        <f>IF(tbl_analysis_tickets[[#This Row],[first_response_minutes]]&gt;tbl_analysis_tickets[[#This Row],[First Response SLA Minutes]],"Breached","Within SLA")</f>
        <v>Within SLA</v>
      </c>
      <c r="O1962" t="str" cm="1">
        <f t="array" ref="O1962">_xlfn.IFS(
tbl_analysis_tickets[[#This Row],[agent_experience_years]]&lt;=2,"Junior",
tbl_analysis_tickets[[#This Row],[agent_experience_years]]&lt;=5,"Mid-Level",
tbl_analysis_tickets[[#This Row],[agent_experience_years]]&lt;=8,"Senior",
tbl_analysis_tickets[[#This Row],[agent_experience_years]]&gt;8,"Expert"
)</f>
        <v>Junior</v>
      </c>
      <c r="P1962" cm="1">
        <f t="array" ref="P1962">_xlfn.SWITCH(tbl_analysis_tickets[[#This Row],[customer_satisfaction]],
"Low",1,
"Medium",2,
"High",3
)</f>
        <v>1</v>
      </c>
      <c r="Q1962">
        <f>IF(tbl_analysis_tickets[[#This Row],[reopened]]="Yes",1,0)</f>
        <v>1</v>
      </c>
      <c r="R1962" t="str" cm="1">
        <f t="array" ref="R1962">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962" t="str" cm="1">
        <f t="array" ref="S196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962" t="str">
        <f>TEXT(tbl_analysis_tickets[[#This Row],[created_date]],"mmm-yyyy")</f>
        <v>Feb-2024</v>
      </c>
      <c r="U1962" t="str">
        <f>TEXT(tbl_analysis_tickets[[#This Row],[created_date]],"dddd")</f>
        <v>Tuesday</v>
      </c>
      <c r="V1962" cm="1">
        <f t="array" ref="V1962">_xlfn.SWITCH(tbl_analysis_tickets[[#This Row],[priority]],
"Urgent",1,
"High",2,
"Medium",3,
"Low",4
)</f>
        <v>4</v>
      </c>
    </row>
    <row r="1963" spans="1:22" x14ac:dyDescent="0.25">
      <c r="A1963">
        <v>1962</v>
      </c>
      <c r="B1963" s="1">
        <v>45496</v>
      </c>
      <c r="C1963" t="s">
        <v>14</v>
      </c>
      <c r="D1963" t="s">
        <v>11</v>
      </c>
      <c r="E1963">
        <v>121</v>
      </c>
      <c r="F1963">
        <v>69</v>
      </c>
      <c r="G1963">
        <v>5.7</v>
      </c>
      <c r="H1963" t="s">
        <v>18</v>
      </c>
      <c r="I1963" t="s">
        <v>16</v>
      </c>
      <c r="J1963" t="s">
        <v>15</v>
      </c>
      <c r="K1963">
        <f>_xlfn.XLOOKUP(tbl_analysis_tickets[[#This Row],[priority]],tbl_sla[priority],tbl_sla[Resolution SLA Hours])</f>
        <v>72</v>
      </c>
      <c r="L1963">
        <f>_xlfn.XLOOKUP(tbl_analysis_tickets[[#This Row],[priority]],tbl_sla[priority],tbl_sla[First Response SLA Minutes])</f>
        <v>240</v>
      </c>
      <c r="M1963" t="str">
        <f>IF(tbl_analysis_tickets[[#This Row],[resolution_time_hours]]&gt;tbl_analysis_tickets[[#This Row],[Resolution SLA Hours]],"Breached","Within SLA")</f>
        <v>Within SLA</v>
      </c>
      <c r="N1963" t="str">
        <f>IF(tbl_analysis_tickets[[#This Row],[first_response_minutes]]&gt;tbl_analysis_tickets[[#This Row],[First Response SLA Minutes]],"Breached","Within SLA")</f>
        <v>Within SLA</v>
      </c>
      <c r="O1963" t="str" cm="1">
        <f t="array" ref="O1963">_xlfn.IFS(
tbl_analysis_tickets[[#This Row],[agent_experience_years]]&lt;=2,"Junior",
tbl_analysis_tickets[[#This Row],[agent_experience_years]]&lt;=5,"Mid-Level",
tbl_analysis_tickets[[#This Row],[agent_experience_years]]&lt;=8,"Senior",
tbl_analysis_tickets[[#This Row],[agent_experience_years]]&gt;8,"Expert"
)</f>
        <v>Senior</v>
      </c>
      <c r="P1963" cm="1">
        <f t="array" ref="P1963">_xlfn.SWITCH(tbl_analysis_tickets[[#This Row],[customer_satisfaction]],
"Low",1,
"Medium",2,
"High",3
)</f>
        <v>2</v>
      </c>
      <c r="Q1963">
        <f>IF(tbl_analysis_tickets[[#This Row],[reopened]]="Yes",1,0)</f>
        <v>0</v>
      </c>
      <c r="R1963" t="str" cm="1">
        <f t="array" ref="R1963">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963" t="str" cm="1">
        <f t="array" ref="S196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963" t="str">
        <f>TEXT(tbl_analysis_tickets[[#This Row],[created_date]],"mmm-yyyy")</f>
        <v>Jul-2024</v>
      </c>
      <c r="U1963" t="str">
        <f>TEXT(tbl_analysis_tickets[[#This Row],[created_date]],"dddd")</f>
        <v>Tuesday</v>
      </c>
      <c r="V1963" cm="1">
        <f t="array" ref="V1963">_xlfn.SWITCH(tbl_analysis_tickets[[#This Row],[priority]],
"Urgent",1,
"High",2,
"Medium",3,
"Low",4
)</f>
        <v>4</v>
      </c>
    </row>
    <row r="1964" spans="1:22" x14ac:dyDescent="0.25">
      <c r="A1964">
        <v>1963</v>
      </c>
      <c r="B1964" s="1">
        <v>45439</v>
      </c>
      <c r="C1964" t="s">
        <v>14</v>
      </c>
      <c r="D1964" t="s">
        <v>20</v>
      </c>
      <c r="E1964">
        <v>116</v>
      </c>
      <c r="F1964">
        <v>50</v>
      </c>
      <c r="G1964">
        <v>3.4</v>
      </c>
      <c r="H1964" t="s">
        <v>12</v>
      </c>
      <c r="I1964" t="s">
        <v>16</v>
      </c>
      <c r="J1964" t="s">
        <v>11</v>
      </c>
      <c r="K1964">
        <f>_xlfn.XLOOKUP(tbl_analysis_tickets[[#This Row],[priority]],tbl_sla[priority],tbl_sla[Resolution SLA Hours])</f>
        <v>24</v>
      </c>
      <c r="L1964">
        <f>_xlfn.XLOOKUP(tbl_analysis_tickets[[#This Row],[priority]],tbl_sla[priority],tbl_sla[First Response SLA Minutes])</f>
        <v>60</v>
      </c>
      <c r="M1964" t="str">
        <f>IF(tbl_analysis_tickets[[#This Row],[resolution_time_hours]]&gt;tbl_analysis_tickets[[#This Row],[Resolution SLA Hours]],"Breached","Within SLA")</f>
        <v>Breached</v>
      </c>
      <c r="N1964" t="str">
        <f>IF(tbl_analysis_tickets[[#This Row],[first_response_minutes]]&gt;tbl_analysis_tickets[[#This Row],[First Response SLA Minutes]],"Breached","Within SLA")</f>
        <v>Breached</v>
      </c>
      <c r="O1964" t="str" cm="1">
        <f t="array" ref="O1964">_xlfn.IFS(
tbl_analysis_tickets[[#This Row],[agent_experience_years]]&lt;=2,"Junior",
tbl_analysis_tickets[[#This Row],[agent_experience_years]]&lt;=5,"Mid-Level",
tbl_analysis_tickets[[#This Row],[agent_experience_years]]&lt;=8,"Senior",
tbl_analysis_tickets[[#This Row],[agent_experience_years]]&gt;8,"Expert"
)</f>
        <v>Mid-Level</v>
      </c>
      <c r="P1964" cm="1">
        <f t="array" ref="P1964">_xlfn.SWITCH(tbl_analysis_tickets[[#This Row],[customer_satisfaction]],
"Low",1,
"Medium",2,
"High",3
)</f>
        <v>1</v>
      </c>
      <c r="Q1964">
        <f>IF(tbl_analysis_tickets[[#This Row],[reopened]]="Yes",1,0)</f>
        <v>1</v>
      </c>
      <c r="R1964" t="str" cm="1">
        <f t="array" ref="R1964">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964" t="str" cm="1">
        <f t="array" ref="S196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964" t="str">
        <f>TEXT(tbl_analysis_tickets[[#This Row],[created_date]],"mmm-yyyy")</f>
        <v>May-2024</v>
      </c>
      <c r="U1964" t="str">
        <f>TEXT(tbl_analysis_tickets[[#This Row],[created_date]],"dddd")</f>
        <v>Monday</v>
      </c>
      <c r="V1964" cm="1">
        <f t="array" ref="V1964">_xlfn.SWITCH(tbl_analysis_tickets[[#This Row],[priority]],
"Urgent",1,
"High",2,
"Medium",3,
"Low",4
)</f>
        <v>2</v>
      </c>
    </row>
    <row r="1965" spans="1:22" x14ac:dyDescent="0.25">
      <c r="A1965">
        <v>1964</v>
      </c>
      <c r="B1965" s="1">
        <v>45305</v>
      </c>
      <c r="C1965" t="s">
        <v>21</v>
      </c>
      <c r="D1965" t="s">
        <v>11</v>
      </c>
      <c r="E1965">
        <v>11</v>
      </c>
      <c r="F1965">
        <v>31</v>
      </c>
      <c r="G1965">
        <v>2.4</v>
      </c>
      <c r="H1965" t="s">
        <v>12</v>
      </c>
      <c r="I1965" t="s">
        <v>19</v>
      </c>
      <c r="J1965" t="s">
        <v>15</v>
      </c>
      <c r="K1965">
        <f>_xlfn.XLOOKUP(tbl_analysis_tickets[[#This Row],[priority]],tbl_sla[priority],tbl_sla[Resolution SLA Hours])</f>
        <v>72</v>
      </c>
      <c r="L1965">
        <f>_xlfn.XLOOKUP(tbl_analysis_tickets[[#This Row],[priority]],tbl_sla[priority],tbl_sla[First Response SLA Minutes])</f>
        <v>240</v>
      </c>
      <c r="M1965" t="str">
        <f>IF(tbl_analysis_tickets[[#This Row],[resolution_time_hours]]&gt;tbl_analysis_tickets[[#This Row],[Resolution SLA Hours]],"Breached","Within SLA")</f>
        <v>Within SLA</v>
      </c>
      <c r="N1965" t="str">
        <f>IF(tbl_analysis_tickets[[#This Row],[first_response_minutes]]&gt;tbl_analysis_tickets[[#This Row],[First Response SLA Minutes]],"Breached","Within SLA")</f>
        <v>Within SLA</v>
      </c>
      <c r="O1965" t="str" cm="1">
        <f t="array" ref="O1965">_xlfn.IFS(
tbl_analysis_tickets[[#This Row],[agent_experience_years]]&lt;=2,"Junior",
tbl_analysis_tickets[[#This Row],[agent_experience_years]]&lt;=5,"Mid-Level",
tbl_analysis_tickets[[#This Row],[agent_experience_years]]&lt;=8,"Senior",
tbl_analysis_tickets[[#This Row],[agent_experience_years]]&gt;8,"Expert"
)</f>
        <v>Mid-Level</v>
      </c>
      <c r="P1965" cm="1">
        <f t="array" ref="P1965">_xlfn.SWITCH(tbl_analysis_tickets[[#This Row],[customer_satisfaction]],
"Low",1,
"Medium",2,
"High",3
)</f>
        <v>2</v>
      </c>
      <c r="Q1965">
        <f>IF(tbl_analysis_tickets[[#This Row],[reopened]]="Yes",1,0)</f>
        <v>1</v>
      </c>
      <c r="R1965" t="str" cm="1">
        <f t="array" ref="R1965">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1965" t="str" cm="1">
        <f t="array" ref="S196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965" t="str">
        <f>TEXT(tbl_analysis_tickets[[#This Row],[created_date]],"mmm-yyyy")</f>
        <v>Jan-2024</v>
      </c>
      <c r="U1965" t="str">
        <f>TEXT(tbl_analysis_tickets[[#This Row],[created_date]],"dddd")</f>
        <v>Sunday</v>
      </c>
      <c r="V1965" cm="1">
        <f t="array" ref="V1965">_xlfn.SWITCH(tbl_analysis_tickets[[#This Row],[priority]],
"Urgent",1,
"High",2,
"Medium",3,
"Low",4
)</f>
        <v>4</v>
      </c>
    </row>
    <row r="1966" spans="1:22" x14ac:dyDescent="0.25">
      <c r="A1966">
        <v>1965</v>
      </c>
      <c r="B1966" s="1">
        <v>45572</v>
      </c>
      <c r="C1966" t="s">
        <v>22</v>
      </c>
      <c r="D1966" t="s">
        <v>15</v>
      </c>
      <c r="E1966">
        <v>84</v>
      </c>
      <c r="F1966">
        <v>4</v>
      </c>
      <c r="G1966">
        <v>2.6</v>
      </c>
      <c r="H1966" t="s">
        <v>12</v>
      </c>
      <c r="I1966" t="s">
        <v>19</v>
      </c>
      <c r="J1966" t="s">
        <v>15</v>
      </c>
      <c r="K1966">
        <f>_xlfn.XLOOKUP(tbl_analysis_tickets[[#This Row],[priority]],tbl_sla[priority],tbl_sla[Resolution SLA Hours])</f>
        <v>48</v>
      </c>
      <c r="L1966">
        <f>_xlfn.XLOOKUP(tbl_analysis_tickets[[#This Row],[priority]],tbl_sla[priority],tbl_sla[First Response SLA Minutes])</f>
        <v>120</v>
      </c>
      <c r="M1966" t="str">
        <f>IF(tbl_analysis_tickets[[#This Row],[resolution_time_hours]]&gt;tbl_analysis_tickets[[#This Row],[Resolution SLA Hours]],"Breached","Within SLA")</f>
        <v>Within SLA</v>
      </c>
      <c r="N1966" t="str">
        <f>IF(tbl_analysis_tickets[[#This Row],[first_response_minutes]]&gt;tbl_analysis_tickets[[#This Row],[First Response SLA Minutes]],"Breached","Within SLA")</f>
        <v>Within SLA</v>
      </c>
      <c r="O1966" t="str" cm="1">
        <f t="array" ref="O1966">_xlfn.IFS(
tbl_analysis_tickets[[#This Row],[agent_experience_years]]&lt;=2,"Junior",
tbl_analysis_tickets[[#This Row],[agent_experience_years]]&lt;=5,"Mid-Level",
tbl_analysis_tickets[[#This Row],[agent_experience_years]]&lt;=8,"Senior",
tbl_analysis_tickets[[#This Row],[agent_experience_years]]&gt;8,"Expert"
)</f>
        <v>Mid-Level</v>
      </c>
      <c r="P1966" cm="1">
        <f t="array" ref="P1966">_xlfn.SWITCH(tbl_analysis_tickets[[#This Row],[customer_satisfaction]],
"Low",1,
"Medium",2,
"High",3
)</f>
        <v>2</v>
      </c>
      <c r="Q1966">
        <f>IF(tbl_analysis_tickets[[#This Row],[reopened]]="Yes",1,0)</f>
        <v>1</v>
      </c>
      <c r="R1966" t="str" cm="1">
        <f t="array" ref="R1966">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966" t="str" cm="1">
        <f t="array" ref="S196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1966" t="str">
        <f>TEXT(tbl_analysis_tickets[[#This Row],[created_date]],"mmm-yyyy")</f>
        <v>Oct-2024</v>
      </c>
      <c r="U1966" t="str">
        <f>TEXT(tbl_analysis_tickets[[#This Row],[created_date]],"dddd")</f>
        <v>Monday</v>
      </c>
      <c r="V1966" cm="1">
        <f t="array" ref="V1966">_xlfn.SWITCH(tbl_analysis_tickets[[#This Row],[priority]],
"Urgent",1,
"High",2,
"Medium",3,
"Low",4
)</f>
        <v>3</v>
      </c>
    </row>
    <row r="1967" spans="1:22" x14ac:dyDescent="0.25">
      <c r="A1967">
        <v>1966</v>
      </c>
      <c r="B1967" s="1">
        <v>45639</v>
      </c>
      <c r="C1967" t="s">
        <v>10</v>
      </c>
      <c r="D1967" t="s">
        <v>11</v>
      </c>
      <c r="E1967">
        <v>178</v>
      </c>
      <c r="F1967">
        <v>63</v>
      </c>
      <c r="G1967">
        <v>4.5999999999999996</v>
      </c>
      <c r="H1967" t="s">
        <v>18</v>
      </c>
      <c r="I1967" t="s">
        <v>13</v>
      </c>
      <c r="J1967" t="s">
        <v>11</v>
      </c>
      <c r="K1967">
        <f>_xlfn.XLOOKUP(tbl_analysis_tickets[[#This Row],[priority]],tbl_sla[priority],tbl_sla[Resolution SLA Hours])</f>
        <v>72</v>
      </c>
      <c r="L1967">
        <f>_xlfn.XLOOKUP(tbl_analysis_tickets[[#This Row],[priority]],tbl_sla[priority],tbl_sla[First Response SLA Minutes])</f>
        <v>240</v>
      </c>
      <c r="M1967" t="str">
        <f>IF(tbl_analysis_tickets[[#This Row],[resolution_time_hours]]&gt;tbl_analysis_tickets[[#This Row],[Resolution SLA Hours]],"Breached","Within SLA")</f>
        <v>Within SLA</v>
      </c>
      <c r="N1967" t="str">
        <f>IF(tbl_analysis_tickets[[#This Row],[first_response_minutes]]&gt;tbl_analysis_tickets[[#This Row],[First Response SLA Minutes]],"Breached","Within SLA")</f>
        <v>Within SLA</v>
      </c>
      <c r="O1967" t="str" cm="1">
        <f t="array" ref="O1967">_xlfn.IFS(
tbl_analysis_tickets[[#This Row],[agent_experience_years]]&lt;=2,"Junior",
tbl_analysis_tickets[[#This Row],[agent_experience_years]]&lt;=5,"Mid-Level",
tbl_analysis_tickets[[#This Row],[agent_experience_years]]&lt;=8,"Senior",
tbl_analysis_tickets[[#This Row],[agent_experience_years]]&gt;8,"Expert"
)</f>
        <v>Mid-Level</v>
      </c>
      <c r="P1967" cm="1">
        <f t="array" ref="P1967">_xlfn.SWITCH(tbl_analysis_tickets[[#This Row],[customer_satisfaction]],
"Low",1,
"Medium",2,
"High",3
)</f>
        <v>1</v>
      </c>
      <c r="Q1967">
        <f>IF(tbl_analysis_tickets[[#This Row],[reopened]]="Yes",1,0)</f>
        <v>0</v>
      </c>
      <c r="R1967" t="str" cm="1">
        <f t="array" ref="R1967">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967" t="str" cm="1">
        <f t="array" ref="S196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967" t="str">
        <f>TEXT(tbl_analysis_tickets[[#This Row],[created_date]],"mmm-yyyy")</f>
        <v>Dec-2024</v>
      </c>
      <c r="U1967" t="str">
        <f>TEXT(tbl_analysis_tickets[[#This Row],[created_date]],"dddd")</f>
        <v>Friday</v>
      </c>
      <c r="V1967" cm="1">
        <f t="array" ref="V1967">_xlfn.SWITCH(tbl_analysis_tickets[[#This Row],[priority]],
"Urgent",1,
"High",2,
"Medium",3,
"Low",4
)</f>
        <v>4</v>
      </c>
    </row>
    <row r="1968" spans="1:22" x14ac:dyDescent="0.25">
      <c r="A1968">
        <v>1967</v>
      </c>
      <c r="B1968" s="1">
        <v>45574</v>
      </c>
      <c r="C1968" t="s">
        <v>14</v>
      </c>
      <c r="D1968" t="s">
        <v>11</v>
      </c>
      <c r="E1968">
        <v>151</v>
      </c>
      <c r="F1968">
        <v>42</v>
      </c>
      <c r="G1968">
        <v>4.3</v>
      </c>
      <c r="H1968" t="s">
        <v>12</v>
      </c>
      <c r="I1968" t="s">
        <v>19</v>
      </c>
      <c r="J1968" t="s">
        <v>11</v>
      </c>
      <c r="K1968">
        <f>_xlfn.XLOOKUP(tbl_analysis_tickets[[#This Row],[priority]],tbl_sla[priority],tbl_sla[Resolution SLA Hours])</f>
        <v>72</v>
      </c>
      <c r="L1968">
        <f>_xlfn.XLOOKUP(tbl_analysis_tickets[[#This Row],[priority]],tbl_sla[priority],tbl_sla[First Response SLA Minutes])</f>
        <v>240</v>
      </c>
      <c r="M1968" t="str">
        <f>IF(tbl_analysis_tickets[[#This Row],[resolution_time_hours]]&gt;tbl_analysis_tickets[[#This Row],[Resolution SLA Hours]],"Breached","Within SLA")</f>
        <v>Within SLA</v>
      </c>
      <c r="N1968" t="str">
        <f>IF(tbl_analysis_tickets[[#This Row],[first_response_minutes]]&gt;tbl_analysis_tickets[[#This Row],[First Response SLA Minutes]],"Breached","Within SLA")</f>
        <v>Within SLA</v>
      </c>
      <c r="O1968" t="str" cm="1">
        <f t="array" ref="O1968">_xlfn.IFS(
tbl_analysis_tickets[[#This Row],[agent_experience_years]]&lt;=2,"Junior",
tbl_analysis_tickets[[#This Row],[agent_experience_years]]&lt;=5,"Mid-Level",
tbl_analysis_tickets[[#This Row],[agent_experience_years]]&lt;=8,"Senior",
tbl_analysis_tickets[[#This Row],[agent_experience_years]]&gt;8,"Expert"
)</f>
        <v>Mid-Level</v>
      </c>
      <c r="P1968" cm="1">
        <f t="array" ref="P1968">_xlfn.SWITCH(tbl_analysis_tickets[[#This Row],[customer_satisfaction]],
"Low",1,
"Medium",2,
"High",3
)</f>
        <v>1</v>
      </c>
      <c r="Q1968">
        <f>IF(tbl_analysis_tickets[[#This Row],[reopened]]="Yes",1,0)</f>
        <v>1</v>
      </c>
      <c r="R1968" t="str" cm="1">
        <f t="array" ref="R1968">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968" t="str" cm="1">
        <f t="array" ref="S196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968" t="str">
        <f>TEXT(tbl_analysis_tickets[[#This Row],[created_date]],"mmm-yyyy")</f>
        <v>Oct-2024</v>
      </c>
      <c r="U1968" t="str">
        <f>TEXT(tbl_analysis_tickets[[#This Row],[created_date]],"dddd")</f>
        <v>Wednesday</v>
      </c>
      <c r="V1968" cm="1">
        <f t="array" ref="V1968">_xlfn.SWITCH(tbl_analysis_tickets[[#This Row],[priority]],
"Urgent",1,
"High",2,
"Medium",3,
"Low",4
)</f>
        <v>4</v>
      </c>
    </row>
    <row r="1969" spans="1:22" x14ac:dyDescent="0.25">
      <c r="A1969">
        <v>1968</v>
      </c>
      <c r="B1969" s="1">
        <v>45505</v>
      </c>
      <c r="C1969" t="s">
        <v>22</v>
      </c>
      <c r="D1969" t="s">
        <v>20</v>
      </c>
      <c r="E1969">
        <v>149</v>
      </c>
      <c r="F1969">
        <v>15</v>
      </c>
      <c r="G1969">
        <v>1.5</v>
      </c>
      <c r="H1969" t="s">
        <v>12</v>
      </c>
      <c r="I1969" t="s">
        <v>19</v>
      </c>
      <c r="J1969" t="s">
        <v>11</v>
      </c>
      <c r="K1969">
        <f>_xlfn.XLOOKUP(tbl_analysis_tickets[[#This Row],[priority]],tbl_sla[priority],tbl_sla[Resolution SLA Hours])</f>
        <v>24</v>
      </c>
      <c r="L1969">
        <f>_xlfn.XLOOKUP(tbl_analysis_tickets[[#This Row],[priority]],tbl_sla[priority],tbl_sla[First Response SLA Minutes])</f>
        <v>60</v>
      </c>
      <c r="M1969" t="str">
        <f>IF(tbl_analysis_tickets[[#This Row],[resolution_time_hours]]&gt;tbl_analysis_tickets[[#This Row],[Resolution SLA Hours]],"Breached","Within SLA")</f>
        <v>Within SLA</v>
      </c>
      <c r="N1969" t="str">
        <f>IF(tbl_analysis_tickets[[#This Row],[first_response_minutes]]&gt;tbl_analysis_tickets[[#This Row],[First Response SLA Minutes]],"Breached","Within SLA")</f>
        <v>Breached</v>
      </c>
      <c r="O1969" t="str" cm="1">
        <f t="array" ref="O1969">_xlfn.IFS(
tbl_analysis_tickets[[#This Row],[agent_experience_years]]&lt;=2,"Junior",
tbl_analysis_tickets[[#This Row],[agent_experience_years]]&lt;=5,"Mid-Level",
tbl_analysis_tickets[[#This Row],[agent_experience_years]]&lt;=8,"Senior",
tbl_analysis_tickets[[#This Row],[agent_experience_years]]&gt;8,"Expert"
)</f>
        <v>Junior</v>
      </c>
      <c r="P1969" cm="1">
        <f t="array" ref="P1969">_xlfn.SWITCH(tbl_analysis_tickets[[#This Row],[customer_satisfaction]],
"Low",1,
"Medium",2,
"High",3
)</f>
        <v>1</v>
      </c>
      <c r="Q1969">
        <f>IF(tbl_analysis_tickets[[#This Row],[reopened]]="Yes",1,0)</f>
        <v>1</v>
      </c>
      <c r="R1969" t="str" cm="1">
        <f t="array" ref="R1969">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969" t="str" cm="1">
        <f t="array" ref="S196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969" t="str">
        <f>TEXT(tbl_analysis_tickets[[#This Row],[created_date]],"mmm-yyyy")</f>
        <v>Aug-2024</v>
      </c>
      <c r="U1969" t="str">
        <f>TEXT(tbl_analysis_tickets[[#This Row],[created_date]],"dddd")</f>
        <v>Thursday</v>
      </c>
      <c r="V1969" cm="1">
        <f t="array" ref="V1969">_xlfn.SWITCH(tbl_analysis_tickets[[#This Row],[priority]],
"Urgent",1,
"High",2,
"Medium",3,
"Low",4
)</f>
        <v>2</v>
      </c>
    </row>
    <row r="1970" spans="1:22" x14ac:dyDescent="0.25">
      <c r="A1970">
        <v>1969</v>
      </c>
      <c r="B1970" s="1">
        <v>45477</v>
      </c>
      <c r="C1970" t="s">
        <v>14</v>
      </c>
      <c r="D1970" t="s">
        <v>20</v>
      </c>
      <c r="E1970">
        <v>168</v>
      </c>
      <c r="F1970">
        <v>16</v>
      </c>
      <c r="G1970">
        <v>0.9</v>
      </c>
      <c r="H1970" t="s">
        <v>12</v>
      </c>
      <c r="I1970" t="s">
        <v>13</v>
      </c>
      <c r="J1970" t="s">
        <v>11</v>
      </c>
      <c r="K1970">
        <f>_xlfn.XLOOKUP(tbl_analysis_tickets[[#This Row],[priority]],tbl_sla[priority],tbl_sla[Resolution SLA Hours])</f>
        <v>24</v>
      </c>
      <c r="L1970">
        <f>_xlfn.XLOOKUP(tbl_analysis_tickets[[#This Row],[priority]],tbl_sla[priority],tbl_sla[First Response SLA Minutes])</f>
        <v>60</v>
      </c>
      <c r="M1970" t="str">
        <f>IF(tbl_analysis_tickets[[#This Row],[resolution_time_hours]]&gt;tbl_analysis_tickets[[#This Row],[Resolution SLA Hours]],"Breached","Within SLA")</f>
        <v>Within SLA</v>
      </c>
      <c r="N1970" t="str">
        <f>IF(tbl_analysis_tickets[[#This Row],[first_response_minutes]]&gt;tbl_analysis_tickets[[#This Row],[First Response SLA Minutes]],"Breached","Within SLA")</f>
        <v>Breached</v>
      </c>
      <c r="O1970" t="str" cm="1">
        <f t="array" ref="O1970">_xlfn.IFS(
tbl_analysis_tickets[[#This Row],[agent_experience_years]]&lt;=2,"Junior",
tbl_analysis_tickets[[#This Row],[agent_experience_years]]&lt;=5,"Mid-Level",
tbl_analysis_tickets[[#This Row],[agent_experience_years]]&lt;=8,"Senior",
tbl_analysis_tickets[[#This Row],[agent_experience_years]]&gt;8,"Expert"
)</f>
        <v>Junior</v>
      </c>
      <c r="P1970" cm="1">
        <f t="array" ref="P1970">_xlfn.SWITCH(tbl_analysis_tickets[[#This Row],[customer_satisfaction]],
"Low",1,
"Medium",2,
"High",3
)</f>
        <v>1</v>
      </c>
      <c r="Q1970">
        <f>IF(tbl_analysis_tickets[[#This Row],[reopened]]="Yes",1,0)</f>
        <v>1</v>
      </c>
      <c r="R1970" t="str" cm="1">
        <f t="array" ref="R1970">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970" t="str" cm="1">
        <f t="array" ref="S197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970" t="str">
        <f>TEXT(tbl_analysis_tickets[[#This Row],[created_date]],"mmm-yyyy")</f>
        <v>Jul-2024</v>
      </c>
      <c r="U1970" t="str">
        <f>TEXT(tbl_analysis_tickets[[#This Row],[created_date]],"dddd")</f>
        <v>Thursday</v>
      </c>
      <c r="V1970" cm="1">
        <f t="array" ref="V1970">_xlfn.SWITCH(tbl_analysis_tickets[[#This Row],[priority]],
"Urgent",1,
"High",2,
"Medium",3,
"Low",4
)</f>
        <v>2</v>
      </c>
    </row>
    <row r="1971" spans="1:22" x14ac:dyDescent="0.25">
      <c r="A1971">
        <v>1970</v>
      </c>
      <c r="B1971" s="1">
        <v>45482</v>
      </c>
      <c r="C1971" t="s">
        <v>22</v>
      </c>
      <c r="D1971" t="s">
        <v>11</v>
      </c>
      <c r="E1971">
        <v>159</v>
      </c>
      <c r="F1971">
        <v>39</v>
      </c>
      <c r="G1971">
        <v>3.8</v>
      </c>
      <c r="H1971" t="s">
        <v>18</v>
      </c>
      <c r="I1971" t="s">
        <v>19</v>
      </c>
      <c r="J1971" t="s">
        <v>11</v>
      </c>
      <c r="K1971">
        <f>_xlfn.XLOOKUP(tbl_analysis_tickets[[#This Row],[priority]],tbl_sla[priority],tbl_sla[Resolution SLA Hours])</f>
        <v>72</v>
      </c>
      <c r="L1971">
        <f>_xlfn.XLOOKUP(tbl_analysis_tickets[[#This Row],[priority]],tbl_sla[priority],tbl_sla[First Response SLA Minutes])</f>
        <v>240</v>
      </c>
      <c r="M1971" t="str">
        <f>IF(tbl_analysis_tickets[[#This Row],[resolution_time_hours]]&gt;tbl_analysis_tickets[[#This Row],[Resolution SLA Hours]],"Breached","Within SLA")</f>
        <v>Within SLA</v>
      </c>
      <c r="N1971" t="str">
        <f>IF(tbl_analysis_tickets[[#This Row],[first_response_minutes]]&gt;tbl_analysis_tickets[[#This Row],[First Response SLA Minutes]],"Breached","Within SLA")</f>
        <v>Within SLA</v>
      </c>
      <c r="O1971" t="str" cm="1">
        <f t="array" ref="O1971">_xlfn.IFS(
tbl_analysis_tickets[[#This Row],[agent_experience_years]]&lt;=2,"Junior",
tbl_analysis_tickets[[#This Row],[agent_experience_years]]&lt;=5,"Mid-Level",
tbl_analysis_tickets[[#This Row],[agent_experience_years]]&lt;=8,"Senior",
tbl_analysis_tickets[[#This Row],[agent_experience_years]]&gt;8,"Expert"
)</f>
        <v>Mid-Level</v>
      </c>
      <c r="P1971" cm="1">
        <f t="array" ref="P1971">_xlfn.SWITCH(tbl_analysis_tickets[[#This Row],[customer_satisfaction]],
"Low",1,
"Medium",2,
"High",3
)</f>
        <v>1</v>
      </c>
      <c r="Q1971">
        <f>IF(tbl_analysis_tickets[[#This Row],[reopened]]="Yes",1,0)</f>
        <v>0</v>
      </c>
      <c r="R1971" t="str" cm="1">
        <f t="array" ref="R1971">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971" t="str" cm="1">
        <f t="array" ref="S197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971" t="str">
        <f>TEXT(tbl_analysis_tickets[[#This Row],[created_date]],"mmm-yyyy")</f>
        <v>Jul-2024</v>
      </c>
      <c r="U1971" t="str">
        <f>TEXT(tbl_analysis_tickets[[#This Row],[created_date]],"dddd")</f>
        <v>Tuesday</v>
      </c>
      <c r="V1971" cm="1">
        <f t="array" ref="V1971">_xlfn.SWITCH(tbl_analysis_tickets[[#This Row],[priority]],
"Urgent",1,
"High",2,
"Medium",3,
"Low",4
)</f>
        <v>4</v>
      </c>
    </row>
    <row r="1972" spans="1:22" x14ac:dyDescent="0.25">
      <c r="A1972">
        <v>1971</v>
      </c>
      <c r="B1972" s="1">
        <v>45403</v>
      </c>
      <c r="C1972" t="s">
        <v>10</v>
      </c>
      <c r="D1972" t="s">
        <v>20</v>
      </c>
      <c r="E1972">
        <v>80</v>
      </c>
      <c r="F1972">
        <v>5</v>
      </c>
      <c r="G1972">
        <v>6</v>
      </c>
      <c r="H1972" t="s">
        <v>18</v>
      </c>
      <c r="I1972" t="s">
        <v>16</v>
      </c>
      <c r="J1972" t="s">
        <v>15</v>
      </c>
      <c r="K1972">
        <f>_xlfn.XLOOKUP(tbl_analysis_tickets[[#This Row],[priority]],tbl_sla[priority],tbl_sla[Resolution SLA Hours])</f>
        <v>24</v>
      </c>
      <c r="L1972">
        <f>_xlfn.XLOOKUP(tbl_analysis_tickets[[#This Row],[priority]],tbl_sla[priority],tbl_sla[First Response SLA Minutes])</f>
        <v>60</v>
      </c>
      <c r="M1972" t="str">
        <f>IF(tbl_analysis_tickets[[#This Row],[resolution_time_hours]]&gt;tbl_analysis_tickets[[#This Row],[Resolution SLA Hours]],"Breached","Within SLA")</f>
        <v>Within SLA</v>
      </c>
      <c r="N1972" t="str">
        <f>IF(tbl_analysis_tickets[[#This Row],[first_response_minutes]]&gt;tbl_analysis_tickets[[#This Row],[First Response SLA Minutes]],"Breached","Within SLA")</f>
        <v>Breached</v>
      </c>
      <c r="O1972" t="str" cm="1">
        <f t="array" ref="O1972">_xlfn.IFS(
tbl_analysis_tickets[[#This Row],[agent_experience_years]]&lt;=2,"Junior",
tbl_analysis_tickets[[#This Row],[agent_experience_years]]&lt;=5,"Mid-Level",
tbl_analysis_tickets[[#This Row],[agent_experience_years]]&lt;=8,"Senior",
tbl_analysis_tickets[[#This Row],[agent_experience_years]]&gt;8,"Expert"
)</f>
        <v>Senior</v>
      </c>
      <c r="P1972" cm="1">
        <f t="array" ref="P1972">_xlfn.SWITCH(tbl_analysis_tickets[[#This Row],[customer_satisfaction]],
"Low",1,
"Medium",2,
"High",3
)</f>
        <v>2</v>
      </c>
      <c r="Q1972">
        <f>IF(tbl_analysis_tickets[[#This Row],[reopened]]="Yes",1,0)</f>
        <v>0</v>
      </c>
      <c r="R1972" t="str" cm="1">
        <f t="array" ref="R1972">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972" t="str" cm="1">
        <f t="array" ref="S197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1972" t="str">
        <f>TEXT(tbl_analysis_tickets[[#This Row],[created_date]],"mmm-yyyy")</f>
        <v>Apr-2024</v>
      </c>
      <c r="U1972" t="str">
        <f>TEXT(tbl_analysis_tickets[[#This Row],[created_date]],"dddd")</f>
        <v>Sunday</v>
      </c>
      <c r="V1972" cm="1">
        <f t="array" ref="V1972">_xlfn.SWITCH(tbl_analysis_tickets[[#This Row],[priority]],
"Urgent",1,
"High",2,
"Medium",3,
"Low",4
)</f>
        <v>2</v>
      </c>
    </row>
    <row r="1973" spans="1:22" x14ac:dyDescent="0.25">
      <c r="A1973">
        <v>1972</v>
      </c>
      <c r="B1973" s="1">
        <v>45428</v>
      </c>
      <c r="C1973" t="s">
        <v>10</v>
      </c>
      <c r="D1973" t="s">
        <v>15</v>
      </c>
      <c r="E1973">
        <v>106</v>
      </c>
      <c r="F1973">
        <v>37</v>
      </c>
      <c r="G1973">
        <v>8.3000000000000007</v>
      </c>
      <c r="H1973" t="s">
        <v>18</v>
      </c>
      <c r="I1973" t="s">
        <v>13</v>
      </c>
      <c r="J1973" t="s">
        <v>15</v>
      </c>
      <c r="K1973">
        <f>_xlfn.XLOOKUP(tbl_analysis_tickets[[#This Row],[priority]],tbl_sla[priority],tbl_sla[Resolution SLA Hours])</f>
        <v>48</v>
      </c>
      <c r="L1973">
        <f>_xlfn.XLOOKUP(tbl_analysis_tickets[[#This Row],[priority]],tbl_sla[priority],tbl_sla[First Response SLA Minutes])</f>
        <v>120</v>
      </c>
      <c r="M1973" t="str">
        <f>IF(tbl_analysis_tickets[[#This Row],[resolution_time_hours]]&gt;tbl_analysis_tickets[[#This Row],[Resolution SLA Hours]],"Breached","Within SLA")</f>
        <v>Within SLA</v>
      </c>
      <c r="N1973" t="str">
        <f>IF(tbl_analysis_tickets[[#This Row],[first_response_minutes]]&gt;tbl_analysis_tickets[[#This Row],[First Response SLA Minutes]],"Breached","Within SLA")</f>
        <v>Within SLA</v>
      </c>
      <c r="O1973" t="str" cm="1">
        <f t="array" ref="O1973">_xlfn.IFS(
tbl_analysis_tickets[[#This Row],[agent_experience_years]]&lt;=2,"Junior",
tbl_analysis_tickets[[#This Row],[agent_experience_years]]&lt;=5,"Mid-Level",
tbl_analysis_tickets[[#This Row],[agent_experience_years]]&lt;=8,"Senior",
tbl_analysis_tickets[[#This Row],[agent_experience_years]]&gt;8,"Expert"
)</f>
        <v>Expert</v>
      </c>
      <c r="P1973" cm="1">
        <f t="array" ref="P1973">_xlfn.SWITCH(tbl_analysis_tickets[[#This Row],[customer_satisfaction]],
"Low",1,
"Medium",2,
"High",3
)</f>
        <v>2</v>
      </c>
      <c r="Q1973">
        <f>IF(tbl_analysis_tickets[[#This Row],[reopened]]="Yes",1,0)</f>
        <v>0</v>
      </c>
      <c r="R1973" t="str" cm="1">
        <f t="array" ref="R1973">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973" t="str" cm="1">
        <f t="array" ref="S197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973" t="str">
        <f>TEXT(tbl_analysis_tickets[[#This Row],[created_date]],"mmm-yyyy")</f>
        <v>May-2024</v>
      </c>
      <c r="U1973" t="str">
        <f>TEXT(tbl_analysis_tickets[[#This Row],[created_date]],"dddd")</f>
        <v>Thursday</v>
      </c>
      <c r="V1973" cm="1">
        <f t="array" ref="V1973">_xlfn.SWITCH(tbl_analysis_tickets[[#This Row],[priority]],
"Urgent",1,
"High",2,
"Medium",3,
"Low",4
)</f>
        <v>3</v>
      </c>
    </row>
    <row r="1974" spans="1:22" x14ac:dyDescent="0.25">
      <c r="A1974">
        <v>1973</v>
      </c>
      <c r="B1974" s="1">
        <v>45335</v>
      </c>
      <c r="C1974" t="s">
        <v>14</v>
      </c>
      <c r="D1974" t="s">
        <v>20</v>
      </c>
      <c r="E1974">
        <v>101</v>
      </c>
      <c r="F1974">
        <v>61</v>
      </c>
      <c r="G1974">
        <v>3.7</v>
      </c>
      <c r="H1974" t="s">
        <v>18</v>
      </c>
      <c r="I1974" t="s">
        <v>16</v>
      </c>
      <c r="J1974" t="s">
        <v>11</v>
      </c>
      <c r="K1974">
        <f>_xlfn.XLOOKUP(tbl_analysis_tickets[[#This Row],[priority]],tbl_sla[priority],tbl_sla[Resolution SLA Hours])</f>
        <v>24</v>
      </c>
      <c r="L1974">
        <f>_xlfn.XLOOKUP(tbl_analysis_tickets[[#This Row],[priority]],tbl_sla[priority],tbl_sla[First Response SLA Minutes])</f>
        <v>60</v>
      </c>
      <c r="M1974" t="str">
        <f>IF(tbl_analysis_tickets[[#This Row],[resolution_time_hours]]&gt;tbl_analysis_tickets[[#This Row],[Resolution SLA Hours]],"Breached","Within SLA")</f>
        <v>Breached</v>
      </c>
      <c r="N1974" t="str">
        <f>IF(tbl_analysis_tickets[[#This Row],[first_response_minutes]]&gt;tbl_analysis_tickets[[#This Row],[First Response SLA Minutes]],"Breached","Within SLA")</f>
        <v>Breached</v>
      </c>
      <c r="O1974" t="str" cm="1">
        <f t="array" ref="O1974">_xlfn.IFS(
tbl_analysis_tickets[[#This Row],[agent_experience_years]]&lt;=2,"Junior",
tbl_analysis_tickets[[#This Row],[agent_experience_years]]&lt;=5,"Mid-Level",
tbl_analysis_tickets[[#This Row],[agent_experience_years]]&lt;=8,"Senior",
tbl_analysis_tickets[[#This Row],[agent_experience_years]]&gt;8,"Expert"
)</f>
        <v>Mid-Level</v>
      </c>
      <c r="P1974" cm="1">
        <f t="array" ref="P1974">_xlfn.SWITCH(tbl_analysis_tickets[[#This Row],[customer_satisfaction]],
"Low",1,
"Medium",2,
"High",3
)</f>
        <v>1</v>
      </c>
      <c r="Q1974">
        <f>IF(tbl_analysis_tickets[[#This Row],[reopened]]="Yes",1,0)</f>
        <v>0</v>
      </c>
      <c r="R1974" t="str" cm="1">
        <f t="array" ref="R1974">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974" t="str" cm="1">
        <f t="array" ref="S197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974" t="str">
        <f>TEXT(tbl_analysis_tickets[[#This Row],[created_date]],"mmm-yyyy")</f>
        <v>Feb-2024</v>
      </c>
      <c r="U1974" t="str">
        <f>TEXT(tbl_analysis_tickets[[#This Row],[created_date]],"dddd")</f>
        <v>Tuesday</v>
      </c>
      <c r="V1974" cm="1">
        <f t="array" ref="V1974">_xlfn.SWITCH(tbl_analysis_tickets[[#This Row],[priority]],
"Urgent",1,
"High",2,
"Medium",3,
"Low",4
)</f>
        <v>2</v>
      </c>
    </row>
    <row r="1975" spans="1:22" x14ac:dyDescent="0.25">
      <c r="A1975">
        <v>1974</v>
      </c>
      <c r="B1975" s="1">
        <v>45619</v>
      </c>
      <c r="C1975" t="s">
        <v>22</v>
      </c>
      <c r="D1975" t="s">
        <v>15</v>
      </c>
      <c r="E1975">
        <v>215</v>
      </c>
      <c r="F1975">
        <v>57</v>
      </c>
      <c r="G1975">
        <v>5.3</v>
      </c>
      <c r="H1975" t="s">
        <v>18</v>
      </c>
      <c r="I1975" t="s">
        <v>16</v>
      </c>
      <c r="J1975" t="s">
        <v>15</v>
      </c>
      <c r="K1975">
        <f>_xlfn.XLOOKUP(tbl_analysis_tickets[[#This Row],[priority]],tbl_sla[priority],tbl_sla[Resolution SLA Hours])</f>
        <v>48</v>
      </c>
      <c r="L1975">
        <f>_xlfn.XLOOKUP(tbl_analysis_tickets[[#This Row],[priority]],tbl_sla[priority],tbl_sla[First Response SLA Minutes])</f>
        <v>120</v>
      </c>
      <c r="M1975" t="str">
        <f>IF(tbl_analysis_tickets[[#This Row],[resolution_time_hours]]&gt;tbl_analysis_tickets[[#This Row],[Resolution SLA Hours]],"Breached","Within SLA")</f>
        <v>Breached</v>
      </c>
      <c r="N1975" t="str">
        <f>IF(tbl_analysis_tickets[[#This Row],[first_response_minutes]]&gt;tbl_analysis_tickets[[#This Row],[First Response SLA Minutes]],"Breached","Within SLA")</f>
        <v>Breached</v>
      </c>
      <c r="O1975" t="str" cm="1">
        <f t="array" ref="O1975">_xlfn.IFS(
tbl_analysis_tickets[[#This Row],[agent_experience_years]]&lt;=2,"Junior",
tbl_analysis_tickets[[#This Row],[agent_experience_years]]&lt;=5,"Mid-Level",
tbl_analysis_tickets[[#This Row],[agent_experience_years]]&lt;=8,"Senior",
tbl_analysis_tickets[[#This Row],[agent_experience_years]]&gt;8,"Expert"
)</f>
        <v>Senior</v>
      </c>
      <c r="P1975" cm="1">
        <f t="array" ref="P1975">_xlfn.SWITCH(tbl_analysis_tickets[[#This Row],[customer_satisfaction]],
"Low",1,
"Medium",2,
"High",3
)</f>
        <v>2</v>
      </c>
      <c r="Q1975">
        <f>IF(tbl_analysis_tickets[[#This Row],[reopened]]="Yes",1,0)</f>
        <v>0</v>
      </c>
      <c r="R1975" t="str" cm="1">
        <f t="array" ref="R1975">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975" t="str" cm="1">
        <f t="array" ref="S197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975" t="str">
        <f>TEXT(tbl_analysis_tickets[[#This Row],[created_date]],"mmm-yyyy")</f>
        <v>Nov-2024</v>
      </c>
      <c r="U1975" t="str">
        <f>TEXT(tbl_analysis_tickets[[#This Row],[created_date]],"dddd")</f>
        <v>Saturday</v>
      </c>
      <c r="V1975" cm="1">
        <f t="array" ref="V1975">_xlfn.SWITCH(tbl_analysis_tickets[[#This Row],[priority]],
"Urgent",1,
"High",2,
"Medium",3,
"Low",4
)</f>
        <v>3</v>
      </c>
    </row>
    <row r="1976" spans="1:22" x14ac:dyDescent="0.25">
      <c r="A1976">
        <v>1975</v>
      </c>
      <c r="B1976" s="1">
        <v>45638</v>
      </c>
      <c r="C1976" t="s">
        <v>10</v>
      </c>
      <c r="D1976" t="s">
        <v>11</v>
      </c>
      <c r="E1976">
        <v>192</v>
      </c>
      <c r="F1976">
        <v>19</v>
      </c>
      <c r="G1976">
        <v>4.3</v>
      </c>
      <c r="H1976" t="s">
        <v>12</v>
      </c>
      <c r="I1976" t="s">
        <v>13</v>
      </c>
      <c r="J1976" t="s">
        <v>11</v>
      </c>
      <c r="K1976">
        <f>_xlfn.XLOOKUP(tbl_analysis_tickets[[#This Row],[priority]],tbl_sla[priority],tbl_sla[Resolution SLA Hours])</f>
        <v>72</v>
      </c>
      <c r="L1976">
        <f>_xlfn.XLOOKUP(tbl_analysis_tickets[[#This Row],[priority]],tbl_sla[priority],tbl_sla[First Response SLA Minutes])</f>
        <v>240</v>
      </c>
      <c r="M1976" t="str">
        <f>IF(tbl_analysis_tickets[[#This Row],[resolution_time_hours]]&gt;tbl_analysis_tickets[[#This Row],[Resolution SLA Hours]],"Breached","Within SLA")</f>
        <v>Within SLA</v>
      </c>
      <c r="N1976" t="str">
        <f>IF(tbl_analysis_tickets[[#This Row],[first_response_minutes]]&gt;tbl_analysis_tickets[[#This Row],[First Response SLA Minutes]],"Breached","Within SLA")</f>
        <v>Within SLA</v>
      </c>
      <c r="O1976" t="str" cm="1">
        <f t="array" ref="O1976">_xlfn.IFS(
tbl_analysis_tickets[[#This Row],[agent_experience_years]]&lt;=2,"Junior",
tbl_analysis_tickets[[#This Row],[agent_experience_years]]&lt;=5,"Mid-Level",
tbl_analysis_tickets[[#This Row],[agent_experience_years]]&lt;=8,"Senior",
tbl_analysis_tickets[[#This Row],[agent_experience_years]]&gt;8,"Expert"
)</f>
        <v>Mid-Level</v>
      </c>
      <c r="P1976" cm="1">
        <f t="array" ref="P1976">_xlfn.SWITCH(tbl_analysis_tickets[[#This Row],[customer_satisfaction]],
"Low",1,
"Medium",2,
"High",3
)</f>
        <v>1</v>
      </c>
      <c r="Q1976">
        <f>IF(tbl_analysis_tickets[[#This Row],[reopened]]="Yes",1,0)</f>
        <v>1</v>
      </c>
      <c r="R1976" t="str" cm="1">
        <f t="array" ref="R1976">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976" t="str" cm="1">
        <f t="array" ref="S197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976" t="str">
        <f>TEXT(tbl_analysis_tickets[[#This Row],[created_date]],"mmm-yyyy")</f>
        <v>Dec-2024</v>
      </c>
      <c r="U1976" t="str">
        <f>TEXT(tbl_analysis_tickets[[#This Row],[created_date]],"dddd")</f>
        <v>Thursday</v>
      </c>
      <c r="V1976" cm="1">
        <f t="array" ref="V1976">_xlfn.SWITCH(tbl_analysis_tickets[[#This Row],[priority]],
"Urgent",1,
"High",2,
"Medium",3,
"Low",4
)</f>
        <v>4</v>
      </c>
    </row>
    <row r="1977" spans="1:22" x14ac:dyDescent="0.25">
      <c r="A1977">
        <v>1976</v>
      </c>
      <c r="B1977" s="1">
        <v>45426</v>
      </c>
      <c r="C1977" t="s">
        <v>23</v>
      </c>
      <c r="D1977" t="s">
        <v>20</v>
      </c>
      <c r="E1977">
        <v>102</v>
      </c>
      <c r="F1977">
        <v>19</v>
      </c>
      <c r="G1977">
        <v>2.7</v>
      </c>
      <c r="H1977" t="s">
        <v>12</v>
      </c>
      <c r="I1977" t="s">
        <v>19</v>
      </c>
      <c r="J1977" t="s">
        <v>11</v>
      </c>
      <c r="K1977">
        <f>_xlfn.XLOOKUP(tbl_analysis_tickets[[#This Row],[priority]],tbl_sla[priority],tbl_sla[Resolution SLA Hours])</f>
        <v>24</v>
      </c>
      <c r="L1977">
        <f>_xlfn.XLOOKUP(tbl_analysis_tickets[[#This Row],[priority]],tbl_sla[priority],tbl_sla[First Response SLA Minutes])</f>
        <v>60</v>
      </c>
      <c r="M1977" t="str">
        <f>IF(tbl_analysis_tickets[[#This Row],[resolution_time_hours]]&gt;tbl_analysis_tickets[[#This Row],[Resolution SLA Hours]],"Breached","Within SLA")</f>
        <v>Within SLA</v>
      </c>
      <c r="N1977" t="str">
        <f>IF(tbl_analysis_tickets[[#This Row],[first_response_minutes]]&gt;tbl_analysis_tickets[[#This Row],[First Response SLA Minutes]],"Breached","Within SLA")</f>
        <v>Breached</v>
      </c>
      <c r="O1977" t="str" cm="1">
        <f t="array" ref="O1977">_xlfn.IFS(
tbl_analysis_tickets[[#This Row],[agent_experience_years]]&lt;=2,"Junior",
tbl_analysis_tickets[[#This Row],[agent_experience_years]]&lt;=5,"Mid-Level",
tbl_analysis_tickets[[#This Row],[agent_experience_years]]&lt;=8,"Senior",
tbl_analysis_tickets[[#This Row],[agent_experience_years]]&gt;8,"Expert"
)</f>
        <v>Mid-Level</v>
      </c>
      <c r="P1977" cm="1">
        <f t="array" ref="P1977">_xlfn.SWITCH(tbl_analysis_tickets[[#This Row],[customer_satisfaction]],
"Low",1,
"Medium",2,
"High",3
)</f>
        <v>1</v>
      </c>
      <c r="Q1977">
        <f>IF(tbl_analysis_tickets[[#This Row],[reopened]]="Yes",1,0)</f>
        <v>1</v>
      </c>
      <c r="R1977" t="str" cm="1">
        <f t="array" ref="R1977">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977" t="str" cm="1">
        <f t="array" ref="S197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977" t="str">
        <f>TEXT(tbl_analysis_tickets[[#This Row],[created_date]],"mmm-yyyy")</f>
        <v>May-2024</v>
      </c>
      <c r="U1977" t="str">
        <f>TEXT(tbl_analysis_tickets[[#This Row],[created_date]],"dddd")</f>
        <v>Tuesday</v>
      </c>
      <c r="V1977" cm="1">
        <f t="array" ref="V1977">_xlfn.SWITCH(tbl_analysis_tickets[[#This Row],[priority]],
"Urgent",1,
"High",2,
"Medium",3,
"Low",4
)</f>
        <v>2</v>
      </c>
    </row>
    <row r="1978" spans="1:22" x14ac:dyDescent="0.25">
      <c r="A1978">
        <v>1977</v>
      </c>
      <c r="B1978" s="1">
        <v>45498</v>
      </c>
      <c r="C1978" t="s">
        <v>10</v>
      </c>
      <c r="D1978" t="s">
        <v>15</v>
      </c>
      <c r="E1978">
        <v>89</v>
      </c>
      <c r="F1978">
        <v>50</v>
      </c>
      <c r="G1978">
        <v>6.2</v>
      </c>
      <c r="H1978" t="s">
        <v>12</v>
      </c>
      <c r="I1978" t="s">
        <v>19</v>
      </c>
      <c r="J1978" t="s">
        <v>11</v>
      </c>
      <c r="K1978">
        <f>_xlfn.XLOOKUP(tbl_analysis_tickets[[#This Row],[priority]],tbl_sla[priority],tbl_sla[Resolution SLA Hours])</f>
        <v>48</v>
      </c>
      <c r="L1978">
        <f>_xlfn.XLOOKUP(tbl_analysis_tickets[[#This Row],[priority]],tbl_sla[priority],tbl_sla[First Response SLA Minutes])</f>
        <v>120</v>
      </c>
      <c r="M1978" t="str">
        <f>IF(tbl_analysis_tickets[[#This Row],[resolution_time_hours]]&gt;tbl_analysis_tickets[[#This Row],[Resolution SLA Hours]],"Breached","Within SLA")</f>
        <v>Breached</v>
      </c>
      <c r="N1978" t="str">
        <f>IF(tbl_analysis_tickets[[#This Row],[first_response_minutes]]&gt;tbl_analysis_tickets[[#This Row],[First Response SLA Minutes]],"Breached","Within SLA")</f>
        <v>Within SLA</v>
      </c>
      <c r="O1978" t="str" cm="1">
        <f t="array" ref="O1978">_xlfn.IFS(
tbl_analysis_tickets[[#This Row],[agent_experience_years]]&lt;=2,"Junior",
tbl_analysis_tickets[[#This Row],[agent_experience_years]]&lt;=5,"Mid-Level",
tbl_analysis_tickets[[#This Row],[agent_experience_years]]&lt;=8,"Senior",
tbl_analysis_tickets[[#This Row],[agent_experience_years]]&gt;8,"Expert"
)</f>
        <v>Senior</v>
      </c>
      <c r="P1978" cm="1">
        <f t="array" ref="P1978">_xlfn.SWITCH(tbl_analysis_tickets[[#This Row],[customer_satisfaction]],
"Low",1,
"Medium",2,
"High",3
)</f>
        <v>1</v>
      </c>
      <c r="Q1978">
        <f>IF(tbl_analysis_tickets[[#This Row],[reopened]]="Yes",1,0)</f>
        <v>1</v>
      </c>
      <c r="R1978" t="str" cm="1">
        <f t="array" ref="R1978">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978" t="str" cm="1">
        <f t="array" ref="S197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978" t="str">
        <f>TEXT(tbl_analysis_tickets[[#This Row],[created_date]],"mmm-yyyy")</f>
        <v>Jul-2024</v>
      </c>
      <c r="U1978" t="str">
        <f>TEXT(tbl_analysis_tickets[[#This Row],[created_date]],"dddd")</f>
        <v>Thursday</v>
      </c>
      <c r="V1978" cm="1">
        <f t="array" ref="V1978">_xlfn.SWITCH(tbl_analysis_tickets[[#This Row],[priority]],
"Urgent",1,
"High",2,
"Medium",3,
"Low",4
)</f>
        <v>3</v>
      </c>
    </row>
    <row r="1979" spans="1:22" x14ac:dyDescent="0.25">
      <c r="A1979">
        <v>1978</v>
      </c>
      <c r="B1979" s="1">
        <v>45350</v>
      </c>
      <c r="C1979" t="s">
        <v>23</v>
      </c>
      <c r="D1979" t="s">
        <v>17</v>
      </c>
      <c r="E1979">
        <v>42</v>
      </c>
      <c r="F1979">
        <v>47</v>
      </c>
      <c r="G1979">
        <v>6.4</v>
      </c>
      <c r="H1979" t="s">
        <v>12</v>
      </c>
      <c r="I1979" t="s">
        <v>19</v>
      </c>
      <c r="J1979" t="s">
        <v>11</v>
      </c>
      <c r="K1979">
        <f>_xlfn.XLOOKUP(tbl_analysis_tickets[[#This Row],[priority]],tbl_sla[priority],tbl_sla[Resolution SLA Hours])</f>
        <v>8</v>
      </c>
      <c r="L1979">
        <f>_xlfn.XLOOKUP(tbl_analysis_tickets[[#This Row],[priority]],tbl_sla[priority],tbl_sla[First Response SLA Minutes])</f>
        <v>30</v>
      </c>
      <c r="M1979" t="str">
        <f>IF(tbl_analysis_tickets[[#This Row],[resolution_time_hours]]&gt;tbl_analysis_tickets[[#This Row],[Resolution SLA Hours]],"Breached","Within SLA")</f>
        <v>Breached</v>
      </c>
      <c r="N1979" t="str">
        <f>IF(tbl_analysis_tickets[[#This Row],[first_response_minutes]]&gt;tbl_analysis_tickets[[#This Row],[First Response SLA Minutes]],"Breached","Within SLA")</f>
        <v>Breached</v>
      </c>
      <c r="O1979" t="str" cm="1">
        <f t="array" ref="O1979">_xlfn.IFS(
tbl_analysis_tickets[[#This Row],[agent_experience_years]]&lt;=2,"Junior",
tbl_analysis_tickets[[#This Row],[agent_experience_years]]&lt;=5,"Mid-Level",
tbl_analysis_tickets[[#This Row],[agent_experience_years]]&lt;=8,"Senior",
tbl_analysis_tickets[[#This Row],[agent_experience_years]]&gt;8,"Expert"
)</f>
        <v>Senior</v>
      </c>
      <c r="P1979" cm="1">
        <f t="array" ref="P1979">_xlfn.SWITCH(tbl_analysis_tickets[[#This Row],[customer_satisfaction]],
"Low",1,
"Medium",2,
"High",3
)</f>
        <v>1</v>
      </c>
      <c r="Q1979">
        <f>IF(tbl_analysis_tickets[[#This Row],[reopened]]="Yes",1,0)</f>
        <v>1</v>
      </c>
      <c r="R1979" t="str" cm="1">
        <f t="array" ref="R1979">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979" t="str" cm="1">
        <f t="array" ref="S197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979" t="str">
        <f>TEXT(tbl_analysis_tickets[[#This Row],[created_date]],"mmm-yyyy")</f>
        <v>Feb-2024</v>
      </c>
      <c r="U1979" t="str">
        <f>TEXT(tbl_analysis_tickets[[#This Row],[created_date]],"dddd")</f>
        <v>Wednesday</v>
      </c>
      <c r="V1979" cm="1">
        <f t="array" ref="V1979">_xlfn.SWITCH(tbl_analysis_tickets[[#This Row],[priority]],
"Urgent",1,
"High",2,
"Medium",3,
"Low",4
)</f>
        <v>1</v>
      </c>
    </row>
    <row r="1980" spans="1:22" x14ac:dyDescent="0.25">
      <c r="A1980">
        <v>1979</v>
      </c>
      <c r="B1980" s="1">
        <v>45613</v>
      </c>
      <c r="C1980" t="s">
        <v>21</v>
      </c>
      <c r="D1980" t="s">
        <v>20</v>
      </c>
      <c r="E1980">
        <v>229</v>
      </c>
      <c r="F1980">
        <v>66</v>
      </c>
      <c r="G1980">
        <v>3.7</v>
      </c>
      <c r="H1980" t="s">
        <v>12</v>
      </c>
      <c r="I1980" t="s">
        <v>19</v>
      </c>
      <c r="J1980" t="s">
        <v>11</v>
      </c>
      <c r="K1980">
        <f>_xlfn.XLOOKUP(tbl_analysis_tickets[[#This Row],[priority]],tbl_sla[priority],tbl_sla[Resolution SLA Hours])</f>
        <v>24</v>
      </c>
      <c r="L1980">
        <f>_xlfn.XLOOKUP(tbl_analysis_tickets[[#This Row],[priority]],tbl_sla[priority],tbl_sla[First Response SLA Minutes])</f>
        <v>60</v>
      </c>
      <c r="M1980" t="str">
        <f>IF(tbl_analysis_tickets[[#This Row],[resolution_time_hours]]&gt;tbl_analysis_tickets[[#This Row],[Resolution SLA Hours]],"Breached","Within SLA")</f>
        <v>Breached</v>
      </c>
      <c r="N1980" t="str">
        <f>IF(tbl_analysis_tickets[[#This Row],[first_response_minutes]]&gt;tbl_analysis_tickets[[#This Row],[First Response SLA Minutes]],"Breached","Within SLA")</f>
        <v>Breached</v>
      </c>
      <c r="O1980" t="str" cm="1">
        <f t="array" ref="O1980">_xlfn.IFS(
tbl_analysis_tickets[[#This Row],[agent_experience_years]]&lt;=2,"Junior",
tbl_analysis_tickets[[#This Row],[agent_experience_years]]&lt;=5,"Mid-Level",
tbl_analysis_tickets[[#This Row],[agent_experience_years]]&lt;=8,"Senior",
tbl_analysis_tickets[[#This Row],[agent_experience_years]]&gt;8,"Expert"
)</f>
        <v>Mid-Level</v>
      </c>
      <c r="P1980" cm="1">
        <f t="array" ref="P1980">_xlfn.SWITCH(tbl_analysis_tickets[[#This Row],[customer_satisfaction]],
"Low",1,
"Medium",2,
"High",3
)</f>
        <v>1</v>
      </c>
      <c r="Q1980">
        <f>IF(tbl_analysis_tickets[[#This Row],[reopened]]="Yes",1,0)</f>
        <v>1</v>
      </c>
      <c r="R1980" t="str" cm="1">
        <f t="array" ref="R1980">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980" t="str" cm="1">
        <f t="array" ref="S198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980" t="str">
        <f>TEXT(tbl_analysis_tickets[[#This Row],[created_date]],"mmm-yyyy")</f>
        <v>Nov-2024</v>
      </c>
      <c r="U1980" t="str">
        <f>TEXT(tbl_analysis_tickets[[#This Row],[created_date]],"dddd")</f>
        <v>Sunday</v>
      </c>
      <c r="V1980" cm="1">
        <f t="array" ref="V1980">_xlfn.SWITCH(tbl_analysis_tickets[[#This Row],[priority]],
"Urgent",1,
"High",2,
"Medium",3,
"Low",4
)</f>
        <v>2</v>
      </c>
    </row>
    <row r="1981" spans="1:22" x14ac:dyDescent="0.25">
      <c r="A1981">
        <v>1980</v>
      </c>
      <c r="B1981" s="1">
        <v>45296</v>
      </c>
      <c r="C1981" t="s">
        <v>21</v>
      </c>
      <c r="D1981" t="s">
        <v>17</v>
      </c>
      <c r="E1981">
        <v>82</v>
      </c>
      <c r="F1981">
        <v>19</v>
      </c>
      <c r="G1981">
        <v>7.8</v>
      </c>
      <c r="H1981" t="s">
        <v>18</v>
      </c>
      <c r="I1981" t="s">
        <v>13</v>
      </c>
      <c r="J1981" t="s">
        <v>11</v>
      </c>
      <c r="K1981">
        <f>_xlfn.XLOOKUP(tbl_analysis_tickets[[#This Row],[priority]],tbl_sla[priority],tbl_sla[Resolution SLA Hours])</f>
        <v>8</v>
      </c>
      <c r="L1981">
        <f>_xlfn.XLOOKUP(tbl_analysis_tickets[[#This Row],[priority]],tbl_sla[priority],tbl_sla[First Response SLA Minutes])</f>
        <v>30</v>
      </c>
      <c r="M1981" t="str">
        <f>IF(tbl_analysis_tickets[[#This Row],[resolution_time_hours]]&gt;tbl_analysis_tickets[[#This Row],[Resolution SLA Hours]],"Breached","Within SLA")</f>
        <v>Breached</v>
      </c>
      <c r="N1981" t="str">
        <f>IF(tbl_analysis_tickets[[#This Row],[first_response_minutes]]&gt;tbl_analysis_tickets[[#This Row],[First Response SLA Minutes]],"Breached","Within SLA")</f>
        <v>Breached</v>
      </c>
      <c r="O1981" t="str" cm="1">
        <f t="array" ref="O1981">_xlfn.IFS(
tbl_analysis_tickets[[#This Row],[agent_experience_years]]&lt;=2,"Junior",
tbl_analysis_tickets[[#This Row],[agent_experience_years]]&lt;=5,"Mid-Level",
tbl_analysis_tickets[[#This Row],[agent_experience_years]]&lt;=8,"Senior",
tbl_analysis_tickets[[#This Row],[agent_experience_years]]&gt;8,"Expert"
)</f>
        <v>Senior</v>
      </c>
      <c r="P1981" cm="1">
        <f t="array" ref="P1981">_xlfn.SWITCH(tbl_analysis_tickets[[#This Row],[customer_satisfaction]],
"Low",1,
"Medium",2,
"High",3
)</f>
        <v>1</v>
      </c>
      <c r="Q1981">
        <f>IF(tbl_analysis_tickets[[#This Row],[reopened]]="Yes",1,0)</f>
        <v>0</v>
      </c>
      <c r="R1981" t="str" cm="1">
        <f t="array" ref="R1981">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981" t="str" cm="1">
        <f t="array" ref="S198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981" t="str">
        <f>TEXT(tbl_analysis_tickets[[#This Row],[created_date]],"mmm-yyyy")</f>
        <v>Jan-2024</v>
      </c>
      <c r="U1981" t="str">
        <f>TEXT(tbl_analysis_tickets[[#This Row],[created_date]],"dddd")</f>
        <v>Friday</v>
      </c>
      <c r="V1981" cm="1">
        <f t="array" ref="V1981">_xlfn.SWITCH(tbl_analysis_tickets[[#This Row],[priority]],
"Urgent",1,
"High",2,
"Medium",3,
"Low",4
)</f>
        <v>1</v>
      </c>
    </row>
    <row r="1982" spans="1:22" x14ac:dyDescent="0.25">
      <c r="A1982">
        <v>1981</v>
      </c>
      <c r="B1982" s="1">
        <v>45622</v>
      </c>
      <c r="C1982" t="s">
        <v>21</v>
      </c>
      <c r="D1982" t="s">
        <v>20</v>
      </c>
      <c r="E1982">
        <v>159</v>
      </c>
      <c r="F1982">
        <v>15</v>
      </c>
      <c r="G1982">
        <v>9.6</v>
      </c>
      <c r="H1982" t="s">
        <v>12</v>
      </c>
      <c r="I1982" t="s">
        <v>19</v>
      </c>
      <c r="J1982" t="s">
        <v>11</v>
      </c>
      <c r="K1982">
        <f>_xlfn.XLOOKUP(tbl_analysis_tickets[[#This Row],[priority]],tbl_sla[priority],tbl_sla[Resolution SLA Hours])</f>
        <v>24</v>
      </c>
      <c r="L1982">
        <f>_xlfn.XLOOKUP(tbl_analysis_tickets[[#This Row],[priority]],tbl_sla[priority],tbl_sla[First Response SLA Minutes])</f>
        <v>60</v>
      </c>
      <c r="M1982" t="str">
        <f>IF(tbl_analysis_tickets[[#This Row],[resolution_time_hours]]&gt;tbl_analysis_tickets[[#This Row],[Resolution SLA Hours]],"Breached","Within SLA")</f>
        <v>Within SLA</v>
      </c>
      <c r="N1982" t="str">
        <f>IF(tbl_analysis_tickets[[#This Row],[first_response_minutes]]&gt;tbl_analysis_tickets[[#This Row],[First Response SLA Minutes]],"Breached","Within SLA")</f>
        <v>Breached</v>
      </c>
      <c r="O1982" t="str" cm="1">
        <f t="array" ref="O1982">_xlfn.IFS(
tbl_analysis_tickets[[#This Row],[agent_experience_years]]&lt;=2,"Junior",
tbl_analysis_tickets[[#This Row],[agent_experience_years]]&lt;=5,"Mid-Level",
tbl_analysis_tickets[[#This Row],[agent_experience_years]]&lt;=8,"Senior",
tbl_analysis_tickets[[#This Row],[agent_experience_years]]&gt;8,"Expert"
)</f>
        <v>Expert</v>
      </c>
      <c r="P1982" cm="1">
        <f t="array" ref="P1982">_xlfn.SWITCH(tbl_analysis_tickets[[#This Row],[customer_satisfaction]],
"Low",1,
"Medium",2,
"High",3
)</f>
        <v>1</v>
      </c>
      <c r="Q1982">
        <f>IF(tbl_analysis_tickets[[#This Row],[reopened]]="Yes",1,0)</f>
        <v>1</v>
      </c>
      <c r="R1982" t="str" cm="1">
        <f t="array" ref="R1982">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982" t="str" cm="1">
        <f t="array" ref="S198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982" t="str">
        <f>TEXT(tbl_analysis_tickets[[#This Row],[created_date]],"mmm-yyyy")</f>
        <v>Nov-2024</v>
      </c>
      <c r="U1982" t="str">
        <f>TEXT(tbl_analysis_tickets[[#This Row],[created_date]],"dddd")</f>
        <v>Tuesday</v>
      </c>
      <c r="V1982" cm="1">
        <f t="array" ref="V1982">_xlfn.SWITCH(tbl_analysis_tickets[[#This Row],[priority]],
"Urgent",1,
"High",2,
"Medium",3,
"Low",4
)</f>
        <v>2</v>
      </c>
    </row>
    <row r="1983" spans="1:22" x14ac:dyDescent="0.25">
      <c r="A1983">
        <v>1982</v>
      </c>
      <c r="B1983" s="1">
        <v>45517</v>
      </c>
      <c r="C1983" t="s">
        <v>10</v>
      </c>
      <c r="D1983" t="s">
        <v>17</v>
      </c>
      <c r="E1983">
        <v>155</v>
      </c>
      <c r="F1983">
        <v>35</v>
      </c>
      <c r="G1983">
        <v>2.4</v>
      </c>
      <c r="H1983" t="s">
        <v>18</v>
      </c>
      <c r="I1983" t="s">
        <v>16</v>
      </c>
      <c r="J1983" t="s">
        <v>11</v>
      </c>
      <c r="K1983">
        <f>_xlfn.XLOOKUP(tbl_analysis_tickets[[#This Row],[priority]],tbl_sla[priority],tbl_sla[Resolution SLA Hours])</f>
        <v>8</v>
      </c>
      <c r="L1983">
        <f>_xlfn.XLOOKUP(tbl_analysis_tickets[[#This Row],[priority]],tbl_sla[priority],tbl_sla[First Response SLA Minutes])</f>
        <v>30</v>
      </c>
      <c r="M1983" t="str">
        <f>IF(tbl_analysis_tickets[[#This Row],[resolution_time_hours]]&gt;tbl_analysis_tickets[[#This Row],[Resolution SLA Hours]],"Breached","Within SLA")</f>
        <v>Breached</v>
      </c>
      <c r="N1983" t="str">
        <f>IF(tbl_analysis_tickets[[#This Row],[first_response_minutes]]&gt;tbl_analysis_tickets[[#This Row],[First Response SLA Minutes]],"Breached","Within SLA")</f>
        <v>Breached</v>
      </c>
      <c r="O1983" t="str" cm="1">
        <f t="array" ref="O1983">_xlfn.IFS(
tbl_analysis_tickets[[#This Row],[agent_experience_years]]&lt;=2,"Junior",
tbl_analysis_tickets[[#This Row],[agent_experience_years]]&lt;=5,"Mid-Level",
tbl_analysis_tickets[[#This Row],[agent_experience_years]]&lt;=8,"Senior",
tbl_analysis_tickets[[#This Row],[agent_experience_years]]&gt;8,"Expert"
)</f>
        <v>Mid-Level</v>
      </c>
      <c r="P1983" cm="1">
        <f t="array" ref="P1983">_xlfn.SWITCH(tbl_analysis_tickets[[#This Row],[customer_satisfaction]],
"Low",1,
"Medium",2,
"High",3
)</f>
        <v>1</v>
      </c>
      <c r="Q1983">
        <f>IF(tbl_analysis_tickets[[#This Row],[reopened]]="Yes",1,0)</f>
        <v>0</v>
      </c>
      <c r="R1983" t="str" cm="1">
        <f t="array" ref="R1983">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983" t="str" cm="1">
        <f t="array" ref="S198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983" t="str">
        <f>TEXT(tbl_analysis_tickets[[#This Row],[created_date]],"mmm-yyyy")</f>
        <v>Aug-2024</v>
      </c>
      <c r="U1983" t="str">
        <f>TEXT(tbl_analysis_tickets[[#This Row],[created_date]],"dddd")</f>
        <v>Tuesday</v>
      </c>
      <c r="V1983" cm="1">
        <f t="array" ref="V1983">_xlfn.SWITCH(tbl_analysis_tickets[[#This Row],[priority]],
"Urgent",1,
"High",2,
"Medium",3,
"Low",4
)</f>
        <v>1</v>
      </c>
    </row>
    <row r="1984" spans="1:22" x14ac:dyDescent="0.25">
      <c r="A1984">
        <v>1983</v>
      </c>
      <c r="B1984" s="1">
        <v>45462</v>
      </c>
      <c r="C1984" t="s">
        <v>23</v>
      </c>
      <c r="D1984" t="s">
        <v>15</v>
      </c>
      <c r="E1984">
        <v>160</v>
      </c>
      <c r="F1984">
        <v>16</v>
      </c>
      <c r="G1984">
        <v>5.9</v>
      </c>
      <c r="H1984" t="s">
        <v>12</v>
      </c>
      <c r="I1984" t="s">
        <v>19</v>
      </c>
      <c r="J1984" t="s">
        <v>11</v>
      </c>
      <c r="K1984">
        <f>_xlfn.XLOOKUP(tbl_analysis_tickets[[#This Row],[priority]],tbl_sla[priority],tbl_sla[Resolution SLA Hours])</f>
        <v>48</v>
      </c>
      <c r="L1984">
        <f>_xlfn.XLOOKUP(tbl_analysis_tickets[[#This Row],[priority]],tbl_sla[priority],tbl_sla[First Response SLA Minutes])</f>
        <v>120</v>
      </c>
      <c r="M1984" t="str">
        <f>IF(tbl_analysis_tickets[[#This Row],[resolution_time_hours]]&gt;tbl_analysis_tickets[[#This Row],[Resolution SLA Hours]],"Breached","Within SLA")</f>
        <v>Within SLA</v>
      </c>
      <c r="N1984" t="str">
        <f>IF(tbl_analysis_tickets[[#This Row],[first_response_minutes]]&gt;tbl_analysis_tickets[[#This Row],[First Response SLA Minutes]],"Breached","Within SLA")</f>
        <v>Breached</v>
      </c>
      <c r="O1984" t="str" cm="1">
        <f t="array" ref="O1984">_xlfn.IFS(
tbl_analysis_tickets[[#This Row],[agent_experience_years]]&lt;=2,"Junior",
tbl_analysis_tickets[[#This Row],[agent_experience_years]]&lt;=5,"Mid-Level",
tbl_analysis_tickets[[#This Row],[agent_experience_years]]&lt;=8,"Senior",
tbl_analysis_tickets[[#This Row],[agent_experience_years]]&gt;8,"Expert"
)</f>
        <v>Senior</v>
      </c>
      <c r="P1984" cm="1">
        <f t="array" ref="P1984">_xlfn.SWITCH(tbl_analysis_tickets[[#This Row],[customer_satisfaction]],
"Low",1,
"Medium",2,
"High",3
)</f>
        <v>1</v>
      </c>
      <c r="Q1984">
        <f>IF(tbl_analysis_tickets[[#This Row],[reopened]]="Yes",1,0)</f>
        <v>1</v>
      </c>
      <c r="R1984" t="str" cm="1">
        <f t="array" ref="R1984">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984" t="str" cm="1">
        <f t="array" ref="S198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984" t="str">
        <f>TEXT(tbl_analysis_tickets[[#This Row],[created_date]],"mmm-yyyy")</f>
        <v>Jun-2024</v>
      </c>
      <c r="U1984" t="str">
        <f>TEXT(tbl_analysis_tickets[[#This Row],[created_date]],"dddd")</f>
        <v>Wednesday</v>
      </c>
      <c r="V1984" cm="1">
        <f t="array" ref="V1984">_xlfn.SWITCH(tbl_analysis_tickets[[#This Row],[priority]],
"Urgent",1,
"High",2,
"Medium",3,
"Low",4
)</f>
        <v>3</v>
      </c>
    </row>
    <row r="1985" spans="1:22" x14ac:dyDescent="0.25">
      <c r="A1985">
        <v>1984</v>
      </c>
      <c r="B1985" s="1">
        <v>45582</v>
      </c>
      <c r="C1985" t="s">
        <v>14</v>
      </c>
      <c r="D1985" t="s">
        <v>11</v>
      </c>
      <c r="E1985">
        <v>205</v>
      </c>
      <c r="F1985">
        <v>33</v>
      </c>
      <c r="G1985">
        <v>4.8</v>
      </c>
      <c r="H1985" t="s">
        <v>12</v>
      </c>
      <c r="I1985" t="s">
        <v>19</v>
      </c>
      <c r="J1985" t="s">
        <v>11</v>
      </c>
      <c r="K1985">
        <f>_xlfn.XLOOKUP(tbl_analysis_tickets[[#This Row],[priority]],tbl_sla[priority],tbl_sla[Resolution SLA Hours])</f>
        <v>72</v>
      </c>
      <c r="L1985">
        <f>_xlfn.XLOOKUP(tbl_analysis_tickets[[#This Row],[priority]],tbl_sla[priority],tbl_sla[First Response SLA Minutes])</f>
        <v>240</v>
      </c>
      <c r="M1985" t="str">
        <f>IF(tbl_analysis_tickets[[#This Row],[resolution_time_hours]]&gt;tbl_analysis_tickets[[#This Row],[Resolution SLA Hours]],"Breached","Within SLA")</f>
        <v>Within SLA</v>
      </c>
      <c r="N1985" t="str">
        <f>IF(tbl_analysis_tickets[[#This Row],[first_response_minutes]]&gt;tbl_analysis_tickets[[#This Row],[First Response SLA Minutes]],"Breached","Within SLA")</f>
        <v>Within SLA</v>
      </c>
      <c r="O1985" t="str" cm="1">
        <f t="array" ref="O1985">_xlfn.IFS(
tbl_analysis_tickets[[#This Row],[agent_experience_years]]&lt;=2,"Junior",
tbl_analysis_tickets[[#This Row],[agent_experience_years]]&lt;=5,"Mid-Level",
tbl_analysis_tickets[[#This Row],[agent_experience_years]]&lt;=8,"Senior",
tbl_analysis_tickets[[#This Row],[agent_experience_years]]&gt;8,"Expert"
)</f>
        <v>Mid-Level</v>
      </c>
      <c r="P1985" cm="1">
        <f t="array" ref="P1985">_xlfn.SWITCH(tbl_analysis_tickets[[#This Row],[customer_satisfaction]],
"Low",1,
"Medium",2,
"High",3
)</f>
        <v>1</v>
      </c>
      <c r="Q1985">
        <f>IF(tbl_analysis_tickets[[#This Row],[reopened]]="Yes",1,0)</f>
        <v>1</v>
      </c>
      <c r="R1985" t="str" cm="1">
        <f t="array" ref="R1985">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985" t="str" cm="1">
        <f t="array" ref="S198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985" t="str">
        <f>TEXT(tbl_analysis_tickets[[#This Row],[created_date]],"mmm-yyyy")</f>
        <v>Oct-2024</v>
      </c>
      <c r="U1985" t="str">
        <f>TEXT(tbl_analysis_tickets[[#This Row],[created_date]],"dddd")</f>
        <v>Thursday</v>
      </c>
      <c r="V1985" cm="1">
        <f t="array" ref="V1985">_xlfn.SWITCH(tbl_analysis_tickets[[#This Row],[priority]],
"Urgent",1,
"High",2,
"Medium",3,
"Low",4
)</f>
        <v>4</v>
      </c>
    </row>
    <row r="1986" spans="1:22" x14ac:dyDescent="0.25">
      <c r="A1986">
        <v>1985</v>
      </c>
      <c r="B1986" s="1">
        <v>45425</v>
      </c>
      <c r="C1986" t="s">
        <v>23</v>
      </c>
      <c r="D1986" t="s">
        <v>20</v>
      </c>
      <c r="E1986">
        <v>147</v>
      </c>
      <c r="F1986">
        <v>56</v>
      </c>
      <c r="G1986">
        <v>0.7</v>
      </c>
      <c r="H1986" t="s">
        <v>12</v>
      </c>
      <c r="I1986" t="s">
        <v>16</v>
      </c>
      <c r="J1986" t="s">
        <v>11</v>
      </c>
      <c r="K1986">
        <f>_xlfn.XLOOKUP(tbl_analysis_tickets[[#This Row],[priority]],tbl_sla[priority],tbl_sla[Resolution SLA Hours])</f>
        <v>24</v>
      </c>
      <c r="L1986">
        <f>_xlfn.XLOOKUP(tbl_analysis_tickets[[#This Row],[priority]],tbl_sla[priority],tbl_sla[First Response SLA Minutes])</f>
        <v>60</v>
      </c>
      <c r="M1986" t="str">
        <f>IF(tbl_analysis_tickets[[#This Row],[resolution_time_hours]]&gt;tbl_analysis_tickets[[#This Row],[Resolution SLA Hours]],"Breached","Within SLA")</f>
        <v>Breached</v>
      </c>
      <c r="N1986" t="str">
        <f>IF(tbl_analysis_tickets[[#This Row],[first_response_minutes]]&gt;tbl_analysis_tickets[[#This Row],[First Response SLA Minutes]],"Breached","Within SLA")</f>
        <v>Breached</v>
      </c>
      <c r="O1986" t="str" cm="1">
        <f t="array" ref="O1986">_xlfn.IFS(
tbl_analysis_tickets[[#This Row],[agent_experience_years]]&lt;=2,"Junior",
tbl_analysis_tickets[[#This Row],[agent_experience_years]]&lt;=5,"Mid-Level",
tbl_analysis_tickets[[#This Row],[agent_experience_years]]&lt;=8,"Senior",
tbl_analysis_tickets[[#This Row],[agent_experience_years]]&gt;8,"Expert"
)</f>
        <v>Junior</v>
      </c>
      <c r="P1986" cm="1">
        <f t="array" ref="P1986">_xlfn.SWITCH(tbl_analysis_tickets[[#This Row],[customer_satisfaction]],
"Low",1,
"Medium",2,
"High",3
)</f>
        <v>1</v>
      </c>
      <c r="Q1986">
        <f>IF(tbl_analysis_tickets[[#This Row],[reopened]]="Yes",1,0)</f>
        <v>1</v>
      </c>
      <c r="R1986" t="str" cm="1">
        <f t="array" ref="R1986">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986" t="str" cm="1">
        <f t="array" ref="S198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986" t="str">
        <f>TEXT(tbl_analysis_tickets[[#This Row],[created_date]],"mmm-yyyy")</f>
        <v>May-2024</v>
      </c>
      <c r="U1986" t="str">
        <f>TEXT(tbl_analysis_tickets[[#This Row],[created_date]],"dddd")</f>
        <v>Monday</v>
      </c>
      <c r="V1986" cm="1">
        <f t="array" ref="V1986">_xlfn.SWITCH(tbl_analysis_tickets[[#This Row],[priority]],
"Urgent",1,
"High",2,
"Medium",3,
"Low",4
)</f>
        <v>2</v>
      </c>
    </row>
    <row r="1987" spans="1:22" x14ac:dyDescent="0.25">
      <c r="A1987">
        <v>1986</v>
      </c>
      <c r="B1987" s="1">
        <v>45469</v>
      </c>
      <c r="C1987" t="s">
        <v>10</v>
      </c>
      <c r="D1987" t="s">
        <v>11</v>
      </c>
      <c r="E1987">
        <v>169</v>
      </c>
      <c r="F1987">
        <v>27</v>
      </c>
      <c r="G1987">
        <v>7</v>
      </c>
      <c r="H1987" t="s">
        <v>18</v>
      </c>
      <c r="I1987" t="s">
        <v>13</v>
      </c>
      <c r="J1987" t="s">
        <v>15</v>
      </c>
      <c r="K1987">
        <f>_xlfn.XLOOKUP(tbl_analysis_tickets[[#This Row],[priority]],tbl_sla[priority],tbl_sla[Resolution SLA Hours])</f>
        <v>72</v>
      </c>
      <c r="L1987">
        <f>_xlfn.XLOOKUP(tbl_analysis_tickets[[#This Row],[priority]],tbl_sla[priority],tbl_sla[First Response SLA Minutes])</f>
        <v>240</v>
      </c>
      <c r="M1987" t="str">
        <f>IF(tbl_analysis_tickets[[#This Row],[resolution_time_hours]]&gt;tbl_analysis_tickets[[#This Row],[Resolution SLA Hours]],"Breached","Within SLA")</f>
        <v>Within SLA</v>
      </c>
      <c r="N1987" t="str">
        <f>IF(tbl_analysis_tickets[[#This Row],[first_response_minutes]]&gt;tbl_analysis_tickets[[#This Row],[First Response SLA Minutes]],"Breached","Within SLA")</f>
        <v>Within SLA</v>
      </c>
      <c r="O1987" t="str" cm="1">
        <f t="array" ref="O1987">_xlfn.IFS(
tbl_analysis_tickets[[#This Row],[agent_experience_years]]&lt;=2,"Junior",
tbl_analysis_tickets[[#This Row],[agent_experience_years]]&lt;=5,"Mid-Level",
tbl_analysis_tickets[[#This Row],[agent_experience_years]]&lt;=8,"Senior",
tbl_analysis_tickets[[#This Row],[agent_experience_years]]&gt;8,"Expert"
)</f>
        <v>Senior</v>
      </c>
      <c r="P1987" cm="1">
        <f t="array" ref="P1987">_xlfn.SWITCH(tbl_analysis_tickets[[#This Row],[customer_satisfaction]],
"Low",1,
"Medium",2,
"High",3
)</f>
        <v>2</v>
      </c>
      <c r="Q1987">
        <f>IF(tbl_analysis_tickets[[#This Row],[reopened]]="Yes",1,0)</f>
        <v>0</v>
      </c>
      <c r="R1987" t="str" cm="1">
        <f t="array" ref="R1987">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987" t="str" cm="1">
        <f t="array" ref="S198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987" t="str">
        <f>TEXT(tbl_analysis_tickets[[#This Row],[created_date]],"mmm-yyyy")</f>
        <v>Jun-2024</v>
      </c>
      <c r="U1987" t="str">
        <f>TEXT(tbl_analysis_tickets[[#This Row],[created_date]],"dddd")</f>
        <v>Wednesday</v>
      </c>
      <c r="V1987" cm="1">
        <f t="array" ref="V1987">_xlfn.SWITCH(tbl_analysis_tickets[[#This Row],[priority]],
"Urgent",1,
"High",2,
"Medium",3,
"Low",4
)</f>
        <v>4</v>
      </c>
    </row>
    <row r="1988" spans="1:22" x14ac:dyDescent="0.25">
      <c r="A1988">
        <v>1987</v>
      </c>
      <c r="B1988" s="1">
        <v>45580</v>
      </c>
      <c r="C1988" t="s">
        <v>21</v>
      </c>
      <c r="D1988" t="s">
        <v>15</v>
      </c>
      <c r="E1988">
        <v>13</v>
      </c>
      <c r="F1988">
        <v>22</v>
      </c>
      <c r="G1988">
        <v>4.5999999999999996</v>
      </c>
      <c r="H1988" t="s">
        <v>12</v>
      </c>
      <c r="I1988" t="s">
        <v>13</v>
      </c>
      <c r="J1988" t="s">
        <v>15</v>
      </c>
      <c r="K1988">
        <f>_xlfn.XLOOKUP(tbl_analysis_tickets[[#This Row],[priority]],tbl_sla[priority],tbl_sla[Resolution SLA Hours])</f>
        <v>48</v>
      </c>
      <c r="L1988">
        <f>_xlfn.XLOOKUP(tbl_analysis_tickets[[#This Row],[priority]],tbl_sla[priority],tbl_sla[First Response SLA Minutes])</f>
        <v>120</v>
      </c>
      <c r="M1988" t="str">
        <f>IF(tbl_analysis_tickets[[#This Row],[resolution_time_hours]]&gt;tbl_analysis_tickets[[#This Row],[Resolution SLA Hours]],"Breached","Within SLA")</f>
        <v>Within SLA</v>
      </c>
      <c r="N1988" t="str">
        <f>IF(tbl_analysis_tickets[[#This Row],[first_response_minutes]]&gt;tbl_analysis_tickets[[#This Row],[First Response SLA Minutes]],"Breached","Within SLA")</f>
        <v>Within SLA</v>
      </c>
      <c r="O1988" t="str" cm="1">
        <f t="array" ref="O1988">_xlfn.IFS(
tbl_analysis_tickets[[#This Row],[agent_experience_years]]&lt;=2,"Junior",
tbl_analysis_tickets[[#This Row],[agent_experience_years]]&lt;=5,"Mid-Level",
tbl_analysis_tickets[[#This Row],[agent_experience_years]]&lt;=8,"Senior",
tbl_analysis_tickets[[#This Row],[agent_experience_years]]&gt;8,"Expert"
)</f>
        <v>Mid-Level</v>
      </c>
      <c r="P1988" cm="1">
        <f t="array" ref="P1988">_xlfn.SWITCH(tbl_analysis_tickets[[#This Row],[customer_satisfaction]],
"Low",1,
"Medium",2,
"High",3
)</f>
        <v>2</v>
      </c>
      <c r="Q1988">
        <f>IF(tbl_analysis_tickets[[#This Row],[reopened]]="Yes",1,0)</f>
        <v>1</v>
      </c>
      <c r="R1988" t="str" cm="1">
        <f t="array" ref="R1988">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1988" t="str" cm="1">
        <f t="array" ref="S198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988" t="str">
        <f>TEXT(tbl_analysis_tickets[[#This Row],[created_date]],"mmm-yyyy")</f>
        <v>Oct-2024</v>
      </c>
      <c r="U1988" t="str">
        <f>TEXT(tbl_analysis_tickets[[#This Row],[created_date]],"dddd")</f>
        <v>Tuesday</v>
      </c>
      <c r="V1988" cm="1">
        <f t="array" ref="V1988">_xlfn.SWITCH(tbl_analysis_tickets[[#This Row],[priority]],
"Urgent",1,
"High",2,
"Medium",3,
"Low",4
)</f>
        <v>3</v>
      </c>
    </row>
    <row r="1989" spans="1:22" x14ac:dyDescent="0.25">
      <c r="A1989">
        <v>1988</v>
      </c>
      <c r="B1989" s="1">
        <v>45637</v>
      </c>
      <c r="C1989" t="s">
        <v>10</v>
      </c>
      <c r="D1989" t="s">
        <v>20</v>
      </c>
      <c r="E1989">
        <v>131</v>
      </c>
      <c r="F1989">
        <v>72</v>
      </c>
      <c r="G1989">
        <v>8.5</v>
      </c>
      <c r="H1989" t="s">
        <v>18</v>
      </c>
      <c r="I1989" t="s">
        <v>13</v>
      </c>
      <c r="J1989" t="s">
        <v>11</v>
      </c>
      <c r="K1989">
        <f>_xlfn.XLOOKUP(tbl_analysis_tickets[[#This Row],[priority]],tbl_sla[priority],tbl_sla[Resolution SLA Hours])</f>
        <v>24</v>
      </c>
      <c r="L1989">
        <f>_xlfn.XLOOKUP(tbl_analysis_tickets[[#This Row],[priority]],tbl_sla[priority],tbl_sla[First Response SLA Minutes])</f>
        <v>60</v>
      </c>
      <c r="M1989" t="str">
        <f>IF(tbl_analysis_tickets[[#This Row],[resolution_time_hours]]&gt;tbl_analysis_tickets[[#This Row],[Resolution SLA Hours]],"Breached","Within SLA")</f>
        <v>Breached</v>
      </c>
      <c r="N1989" t="str">
        <f>IF(tbl_analysis_tickets[[#This Row],[first_response_minutes]]&gt;tbl_analysis_tickets[[#This Row],[First Response SLA Minutes]],"Breached","Within SLA")</f>
        <v>Breached</v>
      </c>
      <c r="O1989" t="str" cm="1">
        <f t="array" ref="O1989">_xlfn.IFS(
tbl_analysis_tickets[[#This Row],[agent_experience_years]]&lt;=2,"Junior",
tbl_analysis_tickets[[#This Row],[agent_experience_years]]&lt;=5,"Mid-Level",
tbl_analysis_tickets[[#This Row],[agent_experience_years]]&lt;=8,"Senior",
tbl_analysis_tickets[[#This Row],[agent_experience_years]]&gt;8,"Expert"
)</f>
        <v>Expert</v>
      </c>
      <c r="P1989" cm="1">
        <f t="array" ref="P1989">_xlfn.SWITCH(tbl_analysis_tickets[[#This Row],[customer_satisfaction]],
"Low",1,
"Medium",2,
"High",3
)</f>
        <v>1</v>
      </c>
      <c r="Q1989">
        <f>IF(tbl_analysis_tickets[[#This Row],[reopened]]="Yes",1,0)</f>
        <v>0</v>
      </c>
      <c r="R1989" t="str" cm="1">
        <f t="array" ref="R1989">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989" t="str" cm="1">
        <f t="array" ref="S198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989" t="str">
        <f>TEXT(tbl_analysis_tickets[[#This Row],[created_date]],"mmm-yyyy")</f>
        <v>Dec-2024</v>
      </c>
      <c r="U1989" t="str">
        <f>TEXT(tbl_analysis_tickets[[#This Row],[created_date]],"dddd")</f>
        <v>Wednesday</v>
      </c>
      <c r="V1989" cm="1">
        <f t="array" ref="V1989">_xlfn.SWITCH(tbl_analysis_tickets[[#This Row],[priority]],
"Urgent",1,
"High",2,
"Medium",3,
"Low",4
)</f>
        <v>2</v>
      </c>
    </row>
    <row r="1990" spans="1:22" x14ac:dyDescent="0.25">
      <c r="A1990">
        <v>1989</v>
      </c>
      <c r="B1990" s="1">
        <v>45656</v>
      </c>
      <c r="C1990" t="s">
        <v>23</v>
      </c>
      <c r="D1990" t="s">
        <v>17</v>
      </c>
      <c r="E1990">
        <v>238</v>
      </c>
      <c r="F1990">
        <v>38</v>
      </c>
      <c r="G1990">
        <v>8.9</v>
      </c>
      <c r="H1990" t="s">
        <v>18</v>
      </c>
      <c r="I1990" t="s">
        <v>19</v>
      </c>
      <c r="J1990" t="s">
        <v>11</v>
      </c>
      <c r="K1990">
        <f>_xlfn.XLOOKUP(tbl_analysis_tickets[[#This Row],[priority]],tbl_sla[priority],tbl_sla[Resolution SLA Hours])</f>
        <v>8</v>
      </c>
      <c r="L1990">
        <f>_xlfn.XLOOKUP(tbl_analysis_tickets[[#This Row],[priority]],tbl_sla[priority],tbl_sla[First Response SLA Minutes])</f>
        <v>30</v>
      </c>
      <c r="M1990" t="str">
        <f>IF(tbl_analysis_tickets[[#This Row],[resolution_time_hours]]&gt;tbl_analysis_tickets[[#This Row],[Resolution SLA Hours]],"Breached","Within SLA")</f>
        <v>Breached</v>
      </c>
      <c r="N1990" t="str">
        <f>IF(tbl_analysis_tickets[[#This Row],[first_response_minutes]]&gt;tbl_analysis_tickets[[#This Row],[First Response SLA Minutes]],"Breached","Within SLA")</f>
        <v>Breached</v>
      </c>
      <c r="O1990" t="str" cm="1">
        <f t="array" ref="O1990">_xlfn.IFS(
tbl_analysis_tickets[[#This Row],[agent_experience_years]]&lt;=2,"Junior",
tbl_analysis_tickets[[#This Row],[agent_experience_years]]&lt;=5,"Mid-Level",
tbl_analysis_tickets[[#This Row],[agent_experience_years]]&lt;=8,"Senior",
tbl_analysis_tickets[[#This Row],[agent_experience_years]]&gt;8,"Expert"
)</f>
        <v>Expert</v>
      </c>
      <c r="P1990" cm="1">
        <f t="array" ref="P1990">_xlfn.SWITCH(tbl_analysis_tickets[[#This Row],[customer_satisfaction]],
"Low",1,
"Medium",2,
"High",3
)</f>
        <v>1</v>
      </c>
      <c r="Q1990">
        <f>IF(tbl_analysis_tickets[[#This Row],[reopened]]="Yes",1,0)</f>
        <v>0</v>
      </c>
      <c r="R1990" t="str" cm="1">
        <f t="array" ref="R1990">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990" t="str" cm="1">
        <f t="array" ref="S199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990" t="str">
        <f>TEXT(tbl_analysis_tickets[[#This Row],[created_date]],"mmm-yyyy")</f>
        <v>Dec-2024</v>
      </c>
      <c r="U1990" t="str">
        <f>TEXT(tbl_analysis_tickets[[#This Row],[created_date]],"dddd")</f>
        <v>Monday</v>
      </c>
      <c r="V1990" cm="1">
        <f t="array" ref="V1990">_xlfn.SWITCH(tbl_analysis_tickets[[#This Row],[priority]],
"Urgent",1,
"High",2,
"Medium",3,
"Low",4
)</f>
        <v>1</v>
      </c>
    </row>
    <row r="1991" spans="1:22" x14ac:dyDescent="0.25">
      <c r="A1991">
        <v>1990</v>
      </c>
      <c r="B1991" s="1">
        <v>45305</v>
      </c>
      <c r="C1991" t="s">
        <v>14</v>
      </c>
      <c r="D1991" t="s">
        <v>15</v>
      </c>
      <c r="E1991">
        <v>28</v>
      </c>
      <c r="F1991">
        <v>64</v>
      </c>
      <c r="G1991">
        <v>9.4</v>
      </c>
      <c r="H1991" t="s">
        <v>12</v>
      </c>
      <c r="I1991" t="s">
        <v>19</v>
      </c>
      <c r="J1991" t="s">
        <v>15</v>
      </c>
      <c r="K1991">
        <f>_xlfn.XLOOKUP(tbl_analysis_tickets[[#This Row],[priority]],tbl_sla[priority],tbl_sla[Resolution SLA Hours])</f>
        <v>48</v>
      </c>
      <c r="L1991">
        <f>_xlfn.XLOOKUP(tbl_analysis_tickets[[#This Row],[priority]],tbl_sla[priority],tbl_sla[First Response SLA Minutes])</f>
        <v>120</v>
      </c>
      <c r="M1991" t="str">
        <f>IF(tbl_analysis_tickets[[#This Row],[resolution_time_hours]]&gt;tbl_analysis_tickets[[#This Row],[Resolution SLA Hours]],"Breached","Within SLA")</f>
        <v>Breached</v>
      </c>
      <c r="N1991" t="str">
        <f>IF(tbl_analysis_tickets[[#This Row],[first_response_minutes]]&gt;tbl_analysis_tickets[[#This Row],[First Response SLA Minutes]],"Breached","Within SLA")</f>
        <v>Within SLA</v>
      </c>
      <c r="O1991" t="str" cm="1">
        <f t="array" ref="O1991">_xlfn.IFS(
tbl_analysis_tickets[[#This Row],[agent_experience_years]]&lt;=2,"Junior",
tbl_analysis_tickets[[#This Row],[agent_experience_years]]&lt;=5,"Mid-Level",
tbl_analysis_tickets[[#This Row],[agent_experience_years]]&lt;=8,"Senior",
tbl_analysis_tickets[[#This Row],[agent_experience_years]]&gt;8,"Expert"
)</f>
        <v>Expert</v>
      </c>
      <c r="P1991" cm="1">
        <f t="array" ref="P1991">_xlfn.SWITCH(tbl_analysis_tickets[[#This Row],[customer_satisfaction]],
"Low",1,
"Medium",2,
"High",3
)</f>
        <v>2</v>
      </c>
      <c r="Q1991">
        <f>IF(tbl_analysis_tickets[[#This Row],[reopened]]="Yes",1,0)</f>
        <v>1</v>
      </c>
      <c r="R1991" t="str" cm="1">
        <f t="array" ref="R1991">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1991" t="str" cm="1">
        <f t="array" ref="S199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991" t="str">
        <f>TEXT(tbl_analysis_tickets[[#This Row],[created_date]],"mmm-yyyy")</f>
        <v>Jan-2024</v>
      </c>
      <c r="U1991" t="str">
        <f>TEXT(tbl_analysis_tickets[[#This Row],[created_date]],"dddd")</f>
        <v>Sunday</v>
      </c>
      <c r="V1991" cm="1">
        <f t="array" ref="V1991">_xlfn.SWITCH(tbl_analysis_tickets[[#This Row],[priority]],
"Urgent",1,
"High",2,
"Medium",3,
"Low",4
)</f>
        <v>3</v>
      </c>
    </row>
    <row r="1992" spans="1:22" x14ac:dyDescent="0.25">
      <c r="A1992">
        <v>1991</v>
      </c>
      <c r="B1992" s="1">
        <v>45562</v>
      </c>
      <c r="C1992" t="s">
        <v>23</v>
      </c>
      <c r="D1992" t="s">
        <v>17</v>
      </c>
      <c r="E1992">
        <v>32</v>
      </c>
      <c r="F1992">
        <v>27</v>
      </c>
      <c r="G1992">
        <v>6</v>
      </c>
      <c r="H1992" t="s">
        <v>18</v>
      </c>
      <c r="I1992" t="s">
        <v>13</v>
      </c>
      <c r="J1992" t="s">
        <v>11</v>
      </c>
      <c r="K1992">
        <f>_xlfn.XLOOKUP(tbl_analysis_tickets[[#This Row],[priority]],tbl_sla[priority],tbl_sla[Resolution SLA Hours])</f>
        <v>8</v>
      </c>
      <c r="L1992">
        <f>_xlfn.XLOOKUP(tbl_analysis_tickets[[#This Row],[priority]],tbl_sla[priority],tbl_sla[First Response SLA Minutes])</f>
        <v>30</v>
      </c>
      <c r="M1992" t="str">
        <f>IF(tbl_analysis_tickets[[#This Row],[resolution_time_hours]]&gt;tbl_analysis_tickets[[#This Row],[Resolution SLA Hours]],"Breached","Within SLA")</f>
        <v>Breached</v>
      </c>
      <c r="N1992" t="str">
        <f>IF(tbl_analysis_tickets[[#This Row],[first_response_minutes]]&gt;tbl_analysis_tickets[[#This Row],[First Response SLA Minutes]],"Breached","Within SLA")</f>
        <v>Breached</v>
      </c>
      <c r="O1992" t="str" cm="1">
        <f t="array" ref="O1992">_xlfn.IFS(
tbl_analysis_tickets[[#This Row],[agent_experience_years]]&lt;=2,"Junior",
tbl_analysis_tickets[[#This Row],[agent_experience_years]]&lt;=5,"Mid-Level",
tbl_analysis_tickets[[#This Row],[agent_experience_years]]&lt;=8,"Senior",
tbl_analysis_tickets[[#This Row],[agent_experience_years]]&gt;8,"Expert"
)</f>
        <v>Senior</v>
      </c>
      <c r="P1992" cm="1">
        <f t="array" ref="P1992">_xlfn.SWITCH(tbl_analysis_tickets[[#This Row],[customer_satisfaction]],
"Low",1,
"Medium",2,
"High",3
)</f>
        <v>1</v>
      </c>
      <c r="Q1992">
        <f>IF(tbl_analysis_tickets[[#This Row],[reopened]]="Yes",1,0)</f>
        <v>0</v>
      </c>
      <c r="R1992" t="str" cm="1">
        <f t="array" ref="R1992">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992" t="str" cm="1">
        <f t="array" ref="S199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992" t="str">
        <f>TEXT(tbl_analysis_tickets[[#This Row],[created_date]],"mmm-yyyy")</f>
        <v>Sep-2024</v>
      </c>
      <c r="U1992" t="str">
        <f>TEXT(tbl_analysis_tickets[[#This Row],[created_date]],"dddd")</f>
        <v>Friday</v>
      </c>
      <c r="V1992" cm="1">
        <f t="array" ref="V1992">_xlfn.SWITCH(tbl_analysis_tickets[[#This Row],[priority]],
"Urgent",1,
"High",2,
"Medium",3,
"Low",4
)</f>
        <v>1</v>
      </c>
    </row>
    <row r="1993" spans="1:22" x14ac:dyDescent="0.25">
      <c r="A1993">
        <v>1992</v>
      </c>
      <c r="B1993" s="1">
        <v>45404</v>
      </c>
      <c r="C1993" t="s">
        <v>14</v>
      </c>
      <c r="D1993" t="s">
        <v>11</v>
      </c>
      <c r="E1993">
        <v>118</v>
      </c>
      <c r="F1993">
        <v>8</v>
      </c>
      <c r="G1993">
        <v>5.3</v>
      </c>
      <c r="H1993" t="s">
        <v>18</v>
      </c>
      <c r="I1993" t="s">
        <v>16</v>
      </c>
      <c r="J1993" t="s">
        <v>15</v>
      </c>
      <c r="K1993">
        <f>_xlfn.XLOOKUP(tbl_analysis_tickets[[#This Row],[priority]],tbl_sla[priority],tbl_sla[Resolution SLA Hours])</f>
        <v>72</v>
      </c>
      <c r="L1993">
        <f>_xlfn.XLOOKUP(tbl_analysis_tickets[[#This Row],[priority]],tbl_sla[priority],tbl_sla[First Response SLA Minutes])</f>
        <v>240</v>
      </c>
      <c r="M1993" t="str">
        <f>IF(tbl_analysis_tickets[[#This Row],[resolution_time_hours]]&gt;tbl_analysis_tickets[[#This Row],[Resolution SLA Hours]],"Breached","Within SLA")</f>
        <v>Within SLA</v>
      </c>
      <c r="N1993" t="str">
        <f>IF(tbl_analysis_tickets[[#This Row],[first_response_minutes]]&gt;tbl_analysis_tickets[[#This Row],[First Response SLA Minutes]],"Breached","Within SLA")</f>
        <v>Within SLA</v>
      </c>
      <c r="O1993" t="str" cm="1">
        <f t="array" ref="O1993">_xlfn.IFS(
tbl_analysis_tickets[[#This Row],[agent_experience_years]]&lt;=2,"Junior",
tbl_analysis_tickets[[#This Row],[agent_experience_years]]&lt;=5,"Mid-Level",
tbl_analysis_tickets[[#This Row],[agent_experience_years]]&lt;=8,"Senior",
tbl_analysis_tickets[[#This Row],[agent_experience_years]]&gt;8,"Expert"
)</f>
        <v>Senior</v>
      </c>
      <c r="P1993" cm="1">
        <f t="array" ref="P1993">_xlfn.SWITCH(tbl_analysis_tickets[[#This Row],[customer_satisfaction]],
"Low",1,
"Medium",2,
"High",3
)</f>
        <v>2</v>
      </c>
      <c r="Q1993">
        <f>IF(tbl_analysis_tickets[[#This Row],[reopened]]="Yes",1,0)</f>
        <v>0</v>
      </c>
      <c r="R1993" t="str" cm="1">
        <f t="array" ref="R1993">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993" t="str" cm="1">
        <f t="array" ref="S199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1993" t="str">
        <f>TEXT(tbl_analysis_tickets[[#This Row],[created_date]],"mmm-yyyy")</f>
        <v>Apr-2024</v>
      </c>
      <c r="U1993" t="str">
        <f>TEXT(tbl_analysis_tickets[[#This Row],[created_date]],"dddd")</f>
        <v>Monday</v>
      </c>
      <c r="V1993" cm="1">
        <f t="array" ref="V1993">_xlfn.SWITCH(tbl_analysis_tickets[[#This Row],[priority]],
"Urgent",1,
"High",2,
"Medium",3,
"Low",4
)</f>
        <v>4</v>
      </c>
    </row>
    <row r="1994" spans="1:22" x14ac:dyDescent="0.25">
      <c r="A1994">
        <v>1993</v>
      </c>
      <c r="B1994" s="1">
        <v>45326</v>
      </c>
      <c r="C1994" t="s">
        <v>14</v>
      </c>
      <c r="D1994" t="s">
        <v>11</v>
      </c>
      <c r="E1994">
        <v>64</v>
      </c>
      <c r="F1994">
        <v>23</v>
      </c>
      <c r="G1994">
        <v>3.2</v>
      </c>
      <c r="H1994" t="s">
        <v>12</v>
      </c>
      <c r="I1994" t="s">
        <v>19</v>
      </c>
      <c r="J1994" t="s">
        <v>11</v>
      </c>
      <c r="K1994">
        <f>_xlfn.XLOOKUP(tbl_analysis_tickets[[#This Row],[priority]],tbl_sla[priority],tbl_sla[Resolution SLA Hours])</f>
        <v>72</v>
      </c>
      <c r="L1994">
        <f>_xlfn.XLOOKUP(tbl_analysis_tickets[[#This Row],[priority]],tbl_sla[priority],tbl_sla[First Response SLA Minutes])</f>
        <v>240</v>
      </c>
      <c r="M1994" t="str">
        <f>IF(tbl_analysis_tickets[[#This Row],[resolution_time_hours]]&gt;tbl_analysis_tickets[[#This Row],[Resolution SLA Hours]],"Breached","Within SLA")</f>
        <v>Within SLA</v>
      </c>
      <c r="N1994" t="str">
        <f>IF(tbl_analysis_tickets[[#This Row],[first_response_minutes]]&gt;tbl_analysis_tickets[[#This Row],[First Response SLA Minutes]],"Breached","Within SLA")</f>
        <v>Within SLA</v>
      </c>
      <c r="O1994" t="str" cm="1">
        <f t="array" ref="O1994">_xlfn.IFS(
tbl_analysis_tickets[[#This Row],[agent_experience_years]]&lt;=2,"Junior",
tbl_analysis_tickets[[#This Row],[agent_experience_years]]&lt;=5,"Mid-Level",
tbl_analysis_tickets[[#This Row],[agent_experience_years]]&lt;=8,"Senior",
tbl_analysis_tickets[[#This Row],[agent_experience_years]]&gt;8,"Expert"
)</f>
        <v>Mid-Level</v>
      </c>
      <c r="P1994" cm="1">
        <f t="array" ref="P1994">_xlfn.SWITCH(tbl_analysis_tickets[[#This Row],[customer_satisfaction]],
"Low",1,
"Medium",2,
"High",3
)</f>
        <v>1</v>
      </c>
      <c r="Q1994">
        <f>IF(tbl_analysis_tickets[[#This Row],[reopened]]="Yes",1,0)</f>
        <v>1</v>
      </c>
      <c r="R1994" t="str" cm="1">
        <f t="array" ref="R1994">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994" t="str" cm="1">
        <f t="array" ref="S199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994" t="str">
        <f>TEXT(tbl_analysis_tickets[[#This Row],[created_date]],"mmm-yyyy")</f>
        <v>Feb-2024</v>
      </c>
      <c r="U1994" t="str">
        <f>TEXT(tbl_analysis_tickets[[#This Row],[created_date]],"dddd")</f>
        <v>Sunday</v>
      </c>
      <c r="V1994" cm="1">
        <f t="array" ref="V1994">_xlfn.SWITCH(tbl_analysis_tickets[[#This Row],[priority]],
"Urgent",1,
"High",2,
"Medium",3,
"Low",4
)</f>
        <v>4</v>
      </c>
    </row>
    <row r="1995" spans="1:22" x14ac:dyDescent="0.25">
      <c r="A1995">
        <v>1994</v>
      </c>
      <c r="B1995" s="1">
        <v>45516</v>
      </c>
      <c r="C1995" t="s">
        <v>22</v>
      </c>
      <c r="D1995" t="s">
        <v>20</v>
      </c>
      <c r="E1995">
        <v>224</v>
      </c>
      <c r="F1995">
        <v>9</v>
      </c>
      <c r="G1995">
        <v>3.9</v>
      </c>
      <c r="H1995" t="s">
        <v>12</v>
      </c>
      <c r="I1995" t="s">
        <v>13</v>
      </c>
      <c r="J1995" t="s">
        <v>11</v>
      </c>
      <c r="K1995">
        <f>_xlfn.XLOOKUP(tbl_analysis_tickets[[#This Row],[priority]],tbl_sla[priority],tbl_sla[Resolution SLA Hours])</f>
        <v>24</v>
      </c>
      <c r="L1995">
        <f>_xlfn.XLOOKUP(tbl_analysis_tickets[[#This Row],[priority]],tbl_sla[priority],tbl_sla[First Response SLA Minutes])</f>
        <v>60</v>
      </c>
      <c r="M1995" t="str">
        <f>IF(tbl_analysis_tickets[[#This Row],[resolution_time_hours]]&gt;tbl_analysis_tickets[[#This Row],[Resolution SLA Hours]],"Breached","Within SLA")</f>
        <v>Within SLA</v>
      </c>
      <c r="N1995" t="str">
        <f>IF(tbl_analysis_tickets[[#This Row],[first_response_minutes]]&gt;tbl_analysis_tickets[[#This Row],[First Response SLA Minutes]],"Breached","Within SLA")</f>
        <v>Breached</v>
      </c>
      <c r="O1995" t="str" cm="1">
        <f t="array" ref="O1995">_xlfn.IFS(
tbl_analysis_tickets[[#This Row],[agent_experience_years]]&lt;=2,"Junior",
tbl_analysis_tickets[[#This Row],[agent_experience_years]]&lt;=5,"Mid-Level",
tbl_analysis_tickets[[#This Row],[agent_experience_years]]&lt;=8,"Senior",
tbl_analysis_tickets[[#This Row],[agent_experience_years]]&gt;8,"Expert"
)</f>
        <v>Mid-Level</v>
      </c>
      <c r="P1995" cm="1">
        <f t="array" ref="P1995">_xlfn.SWITCH(tbl_analysis_tickets[[#This Row],[customer_satisfaction]],
"Low",1,
"Medium",2,
"High",3
)</f>
        <v>1</v>
      </c>
      <c r="Q1995">
        <f>IF(tbl_analysis_tickets[[#This Row],[reopened]]="Yes",1,0)</f>
        <v>1</v>
      </c>
      <c r="R1995" t="str" cm="1">
        <f t="array" ref="R1995">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995" t="str" cm="1">
        <f t="array" ref="S199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1995" t="str">
        <f>TEXT(tbl_analysis_tickets[[#This Row],[created_date]],"mmm-yyyy")</f>
        <v>Aug-2024</v>
      </c>
      <c r="U1995" t="str">
        <f>TEXT(tbl_analysis_tickets[[#This Row],[created_date]],"dddd")</f>
        <v>Monday</v>
      </c>
      <c r="V1995" cm="1">
        <f t="array" ref="V1995">_xlfn.SWITCH(tbl_analysis_tickets[[#This Row],[priority]],
"Urgent",1,
"High",2,
"Medium",3,
"Low",4
)</f>
        <v>2</v>
      </c>
    </row>
    <row r="1996" spans="1:22" x14ac:dyDescent="0.25">
      <c r="A1996">
        <v>1995</v>
      </c>
      <c r="B1996" s="1">
        <v>45472</v>
      </c>
      <c r="C1996" t="s">
        <v>23</v>
      </c>
      <c r="D1996" t="s">
        <v>11</v>
      </c>
      <c r="E1996">
        <v>205</v>
      </c>
      <c r="F1996">
        <v>6</v>
      </c>
      <c r="G1996">
        <v>8.5</v>
      </c>
      <c r="H1996" t="s">
        <v>12</v>
      </c>
      <c r="I1996" t="s">
        <v>13</v>
      </c>
      <c r="J1996" t="s">
        <v>15</v>
      </c>
      <c r="K1996">
        <f>_xlfn.XLOOKUP(tbl_analysis_tickets[[#This Row],[priority]],tbl_sla[priority],tbl_sla[Resolution SLA Hours])</f>
        <v>72</v>
      </c>
      <c r="L1996">
        <f>_xlfn.XLOOKUP(tbl_analysis_tickets[[#This Row],[priority]],tbl_sla[priority],tbl_sla[First Response SLA Minutes])</f>
        <v>240</v>
      </c>
      <c r="M1996" t="str">
        <f>IF(tbl_analysis_tickets[[#This Row],[resolution_time_hours]]&gt;tbl_analysis_tickets[[#This Row],[Resolution SLA Hours]],"Breached","Within SLA")</f>
        <v>Within SLA</v>
      </c>
      <c r="N1996" t="str">
        <f>IF(tbl_analysis_tickets[[#This Row],[first_response_minutes]]&gt;tbl_analysis_tickets[[#This Row],[First Response SLA Minutes]],"Breached","Within SLA")</f>
        <v>Within SLA</v>
      </c>
      <c r="O1996" t="str" cm="1">
        <f t="array" ref="O1996">_xlfn.IFS(
tbl_analysis_tickets[[#This Row],[agent_experience_years]]&lt;=2,"Junior",
tbl_analysis_tickets[[#This Row],[agent_experience_years]]&lt;=5,"Mid-Level",
tbl_analysis_tickets[[#This Row],[agent_experience_years]]&lt;=8,"Senior",
tbl_analysis_tickets[[#This Row],[agent_experience_years]]&gt;8,"Expert"
)</f>
        <v>Expert</v>
      </c>
      <c r="P1996" cm="1">
        <f t="array" ref="P1996">_xlfn.SWITCH(tbl_analysis_tickets[[#This Row],[customer_satisfaction]],
"Low",1,
"Medium",2,
"High",3
)</f>
        <v>2</v>
      </c>
      <c r="Q1996">
        <f>IF(tbl_analysis_tickets[[#This Row],[reopened]]="Yes",1,0)</f>
        <v>1</v>
      </c>
      <c r="R1996" t="str" cm="1">
        <f t="array" ref="R1996">_xlfn.IFS(
tbl_analysis_tickets[[#This Row],[first_response_minutes]]&lt;=30,"Very Fast",
tbl_analysis_tickets[[#This Row],[first_response_minutes]]&lt;=120,"Acceptable",
tbl_analysis_tickets[[#This Row],[first_response_minutes]]&lt;=240,"Slow",
tbl_analysis_tickets[[#This Row],[first_response_minutes]]&gt;240,"Very Slow"
)</f>
        <v>Slow</v>
      </c>
      <c r="S1996" t="str" cm="1">
        <f t="array" ref="S199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1996" t="str">
        <f>TEXT(tbl_analysis_tickets[[#This Row],[created_date]],"mmm-yyyy")</f>
        <v>Jun-2024</v>
      </c>
      <c r="U1996" t="str">
        <f>TEXT(tbl_analysis_tickets[[#This Row],[created_date]],"dddd")</f>
        <v>Saturday</v>
      </c>
      <c r="V1996" cm="1">
        <f t="array" ref="V1996">_xlfn.SWITCH(tbl_analysis_tickets[[#This Row],[priority]],
"Urgent",1,
"High",2,
"Medium",3,
"Low",4
)</f>
        <v>4</v>
      </c>
    </row>
    <row r="1997" spans="1:22" x14ac:dyDescent="0.25">
      <c r="A1997">
        <v>1996</v>
      </c>
      <c r="B1997" s="1">
        <v>45385</v>
      </c>
      <c r="C1997" t="s">
        <v>14</v>
      </c>
      <c r="D1997" t="s">
        <v>15</v>
      </c>
      <c r="E1997">
        <v>14</v>
      </c>
      <c r="F1997">
        <v>39</v>
      </c>
      <c r="G1997">
        <v>7.6</v>
      </c>
      <c r="H1997" t="s">
        <v>12</v>
      </c>
      <c r="I1997" t="s">
        <v>16</v>
      </c>
      <c r="J1997" t="s">
        <v>15</v>
      </c>
      <c r="K1997">
        <f>_xlfn.XLOOKUP(tbl_analysis_tickets[[#This Row],[priority]],tbl_sla[priority],tbl_sla[Resolution SLA Hours])</f>
        <v>48</v>
      </c>
      <c r="L1997">
        <f>_xlfn.XLOOKUP(tbl_analysis_tickets[[#This Row],[priority]],tbl_sla[priority],tbl_sla[First Response SLA Minutes])</f>
        <v>120</v>
      </c>
      <c r="M1997" t="str">
        <f>IF(tbl_analysis_tickets[[#This Row],[resolution_time_hours]]&gt;tbl_analysis_tickets[[#This Row],[Resolution SLA Hours]],"Breached","Within SLA")</f>
        <v>Within SLA</v>
      </c>
      <c r="N1997" t="str">
        <f>IF(tbl_analysis_tickets[[#This Row],[first_response_minutes]]&gt;tbl_analysis_tickets[[#This Row],[First Response SLA Minutes]],"Breached","Within SLA")</f>
        <v>Within SLA</v>
      </c>
      <c r="O1997" t="str" cm="1">
        <f t="array" ref="O1997">_xlfn.IFS(
tbl_analysis_tickets[[#This Row],[agent_experience_years]]&lt;=2,"Junior",
tbl_analysis_tickets[[#This Row],[agent_experience_years]]&lt;=5,"Mid-Level",
tbl_analysis_tickets[[#This Row],[agent_experience_years]]&lt;=8,"Senior",
tbl_analysis_tickets[[#This Row],[agent_experience_years]]&gt;8,"Expert"
)</f>
        <v>Senior</v>
      </c>
      <c r="P1997" cm="1">
        <f t="array" ref="P1997">_xlfn.SWITCH(tbl_analysis_tickets[[#This Row],[customer_satisfaction]],
"Low",1,
"Medium",2,
"High",3
)</f>
        <v>2</v>
      </c>
      <c r="Q1997">
        <f>IF(tbl_analysis_tickets[[#This Row],[reopened]]="Yes",1,0)</f>
        <v>1</v>
      </c>
      <c r="R1997" t="str" cm="1">
        <f t="array" ref="R1997">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1997" t="str" cm="1">
        <f t="array" ref="S199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997" t="str">
        <f>TEXT(tbl_analysis_tickets[[#This Row],[created_date]],"mmm-yyyy")</f>
        <v>Apr-2024</v>
      </c>
      <c r="U1997" t="str">
        <f>TEXT(tbl_analysis_tickets[[#This Row],[created_date]],"dddd")</f>
        <v>Wednesday</v>
      </c>
      <c r="V1997" cm="1">
        <f t="array" ref="V1997">_xlfn.SWITCH(tbl_analysis_tickets[[#This Row],[priority]],
"Urgent",1,
"High",2,
"Medium",3,
"Low",4
)</f>
        <v>3</v>
      </c>
    </row>
    <row r="1998" spans="1:22" x14ac:dyDescent="0.25">
      <c r="A1998">
        <v>1997</v>
      </c>
      <c r="B1998" s="1">
        <v>45478</v>
      </c>
      <c r="C1998" t="s">
        <v>21</v>
      </c>
      <c r="D1998" t="s">
        <v>15</v>
      </c>
      <c r="E1998">
        <v>100</v>
      </c>
      <c r="F1998">
        <v>35</v>
      </c>
      <c r="G1998">
        <v>7.8</v>
      </c>
      <c r="H1998" t="s">
        <v>12</v>
      </c>
      <c r="I1998" t="s">
        <v>19</v>
      </c>
      <c r="J1998" t="s">
        <v>11</v>
      </c>
      <c r="K1998">
        <f>_xlfn.XLOOKUP(tbl_analysis_tickets[[#This Row],[priority]],tbl_sla[priority],tbl_sla[Resolution SLA Hours])</f>
        <v>48</v>
      </c>
      <c r="L1998">
        <f>_xlfn.XLOOKUP(tbl_analysis_tickets[[#This Row],[priority]],tbl_sla[priority],tbl_sla[First Response SLA Minutes])</f>
        <v>120</v>
      </c>
      <c r="M1998" t="str">
        <f>IF(tbl_analysis_tickets[[#This Row],[resolution_time_hours]]&gt;tbl_analysis_tickets[[#This Row],[Resolution SLA Hours]],"Breached","Within SLA")</f>
        <v>Within SLA</v>
      </c>
      <c r="N1998" t="str">
        <f>IF(tbl_analysis_tickets[[#This Row],[first_response_minutes]]&gt;tbl_analysis_tickets[[#This Row],[First Response SLA Minutes]],"Breached","Within SLA")</f>
        <v>Within SLA</v>
      </c>
      <c r="O1998" t="str" cm="1">
        <f t="array" ref="O1998">_xlfn.IFS(
tbl_analysis_tickets[[#This Row],[agent_experience_years]]&lt;=2,"Junior",
tbl_analysis_tickets[[#This Row],[agent_experience_years]]&lt;=5,"Mid-Level",
tbl_analysis_tickets[[#This Row],[agent_experience_years]]&lt;=8,"Senior",
tbl_analysis_tickets[[#This Row],[agent_experience_years]]&gt;8,"Expert"
)</f>
        <v>Senior</v>
      </c>
      <c r="P1998" cm="1">
        <f t="array" ref="P1998">_xlfn.SWITCH(tbl_analysis_tickets[[#This Row],[customer_satisfaction]],
"Low",1,
"Medium",2,
"High",3
)</f>
        <v>1</v>
      </c>
      <c r="Q1998">
        <f>IF(tbl_analysis_tickets[[#This Row],[reopened]]="Yes",1,0)</f>
        <v>1</v>
      </c>
      <c r="R1998" t="str" cm="1">
        <f t="array" ref="R1998">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998" t="str" cm="1">
        <f t="array" ref="S199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1998" t="str">
        <f>TEXT(tbl_analysis_tickets[[#This Row],[created_date]],"mmm-yyyy")</f>
        <v>Jul-2024</v>
      </c>
      <c r="U1998" t="str">
        <f>TEXT(tbl_analysis_tickets[[#This Row],[created_date]],"dddd")</f>
        <v>Friday</v>
      </c>
      <c r="V1998" cm="1">
        <f t="array" ref="V1998">_xlfn.SWITCH(tbl_analysis_tickets[[#This Row],[priority]],
"Urgent",1,
"High",2,
"Medium",3,
"Low",4
)</f>
        <v>3</v>
      </c>
    </row>
    <row r="1999" spans="1:22" x14ac:dyDescent="0.25">
      <c r="A1999">
        <v>1998</v>
      </c>
      <c r="B1999" s="1">
        <v>45451</v>
      </c>
      <c r="C1999" t="s">
        <v>21</v>
      </c>
      <c r="D1999" t="s">
        <v>20</v>
      </c>
      <c r="E1999">
        <v>80</v>
      </c>
      <c r="F1999">
        <v>63</v>
      </c>
      <c r="G1999">
        <v>8.4</v>
      </c>
      <c r="H1999" t="s">
        <v>12</v>
      </c>
      <c r="I1999" t="s">
        <v>13</v>
      </c>
      <c r="J1999" t="s">
        <v>11</v>
      </c>
      <c r="K1999">
        <f>_xlfn.XLOOKUP(tbl_analysis_tickets[[#This Row],[priority]],tbl_sla[priority],tbl_sla[Resolution SLA Hours])</f>
        <v>24</v>
      </c>
      <c r="L1999">
        <f>_xlfn.XLOOKUP(tbl_analysis_tickets[[#This Row],[priority]],tbl_sla[priority],tbl_sla[First Response SLA Minutes])</f>
        <v>60</v>
      </c>
      <c r="M1999" t="str">
        <f>IF(tbl_analysis_tickets[[#This Row],[resolution_time_hours]]&gt;tbl_analysis_tickets[[#This Row],[Resolution SLA Hours]],"Breached","Within SLA")</f>
        <v>Breached</v>
      </c>
      <c r="N1999" t="str">
        <f>IF(tbl_analysis_tickets[[#This Row],[first_response_minutes]]&gt;tbl_analysis_tickets[[#This Row],[First Response SLA Minutes]],"Breached","Within SLA")</f>
        <v>Breached</v>
      </c>
      <c r="O1999" t="str" cm="1">
        <f t="array" ref="O1999">_xlfn.IFS(
tbl_analysis_tickets[[#This Row],[agent_experience_years]]&lt;=2,"Junior",
tbl_analysis_tickets[[#This Row],[agent_experience_years]]&lt;=5,"Mid-Level",
tbl_analysis_tickets[[#This Row],[agent_experience_years]]&lt;=8,"Senior",
tbl_analysis_tickets[[#This Row],[agent_experience_years]]&gt;8,"Expert"
)</f>
        <v>Expert</v>
      </c>
      <c r="P1999" cm="1">
        <f t="array" ref="P1999">_xlfn.SWITCH(tbl_analysis_tickets[[#This Row],[customer_satisfaction]],
"Low",1,
"Medium",2,
"High",3
)</f>
        <v>1</v>
      </c>
      <c r="Q1999">
        <f>IF(tbl_analysis_tickets[[#This Row],[reopened]]="Yes",1,0)</f>
        <v>1</v>
      </c>
      <c r="R1999" t="str" cm="1">
        <f t="array" ref="R1999">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1999" t="str" cm="1">
        <f t="array" ref="S199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1999" t="str">
        <f>TEXT(tbl_analysis_tickets[[#This Row],[created_date]],"mmm-yyyy")</f>
        <v>Jun-2024</v>
      </c>
      <c r="U1999" t="str">
        <f>TEXT(tbl_analysis_tickets[[#This Row],[created_date]],"dddd")</f>
        <v>Saturday</v>
      </c>
      <c r="V1999" cm="1">
        <f t="array" ref="V1999">_xlfn.SWITCH(tbl_analysis_tickets[[#This Row],[priority]],
"Urgent",1,
"High",2,
"Medium",3,
"Low",4
)</f>
        <v>2</v>
      </c>
    </row>
    <row r="2000" spans="1:22" x14ac:dyDescent="0.25">
      <c r="A2000">
        <v>1999</v>
      </c>
      <c r="B2000" s="1">
        <v>45564</v>
      </c>
      <c r="C2000" t="s">
        <v>14</v>
      </c>
      <c r="D2000" t="s">
        <v>20</v>
      </c>
      <c r="E2000">
        <v>222</v>
      </c>
      <c r="F2000">
        <v>22</v>
      </c>
      <c r="G2000">
        <v>9.8000000000000007</v>
      </c>
      <c r="H2000" t="s">
        <v>18</v>
      </c>
      <c r="I2000" t="s">
        <v>16</v>
      </c>
      <c r="J2000" t="s">
        <v>11</v>
      </c>
      <c r="K2000">
        <f>_xlfn.XLOOKUP(tbl_analysis_tickets[[#This Row],[priority]],tbl_sla[priority],tbl_sla[Resolution SLA Hours])</f>
        <v>24</v>
      </c>
      <c r="L2000">
        <f>_xlfn.XLOOKUP(tbl_analysis_tickets[[#This Row],[priority]],tbl_sla[priority],tbl_sla[First Response SLA Minutes])</f>
        <v>60</v>
      </c>
      <c r="M2000" t="str">
        <f>IF(tbl_analysis_tickets[[#This Row],[resolution_time_hours]]&gt;tbl_analysis_tickets[[#This Row],[Resolution SLA Hours]],"Breached","Within SLA")</f>
        <v>Within SLA</v>
      </c>
      <c r="N2000" t="str">
        <f>IF(tbl_analysis_tickets[[#This Row],[first_response_minutes]]&gt;tbl_analysis_tickets[[#This Row],[First Response SLA Minutes]],"Breached","Within SLA")</f>
        <v>Breached</v>
      </c>
      <c r="O2000" t="str" cm="1">
        <f t="array" ref="O2000">_xlfn.IFS(
tbl_analysis_tickets[[#This Row],[agent_experience_years]]&lt;=2,"Junior",
tbl_analysis_tickets[[#This Row],[agent_experience_years]]&lt;=5,"Mid-Level",
tbl_analysis_tickets[[#This Row],[agent_experience_years]]&lt;=8,"Senior",
tbl_analysis_tickets[[#This Row],[agent_experience_years]]&gt;8,"Expert"
)</f>
        <v>Expert</v>
      </c>
      <c r="P2000" cm="1">
        <f t="array" ref="P2000">_xlfn.SWITCH(tbl_analysis_tickets[[#This Row],[customer_satisfaction]],
"Low",1,
"Medium",2,
"High",3
)</f>
        <v>1</v>
      </c>
      <c r="Q2000">
        <f>IF(tbl_analysis_tickets[[#This Row],[reopened]]="Yes",1,0)</f>
        <v>0</v>
      </c>
      <c r="R2000" t="str" cm="1">
        <f t="array" ref="R2000">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000" t="str" cm="1">
        <f t="array" ref="S200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000" t="str">
        <f>TEXT(tbl_analysis_tickets[[#This Row],[created_date]],"mmm-yyyy")</f>
        <v>Sep-2024</v>
      </c>
      <c r="U2000" t="str">
        <f>TEXT(tbl_analysis_tickets[[#This Row],[created_date]],"dddd")</f>
        <v>Sunday</v>
      </c>
      <c r="V2000" cm="1">
        <f t="array" ref="V2000">_xlfn.SWITCH(tbl_analysis_tickets[[#This Row],[priority]],
"Urgent",1,
"High",2,
"Medium",3,
"Low",4
)</f>
        <v>2</v>
      </c>
    </row>
    <row r="2001" spans="1:22" x14ac:dyDescent="0.25">
      <c r="A2001">
        <v>2000</v>
      </c>
      <c r="B2001" s="1">
        <v>45615</v>
      </c>
      <c r="C2001" t="s">
        <v>22</v>
      </c>
      <c r="D2001" t="s">
        <v>15</v>
      </c>
      <c r="E2001">
        <v>143</v>
      </c>
      <c r="F2001">
        <v>43</v>
      </c>
      <c r="G2001">
        <v>7.4</v>
      </c>
      <c r="H2001" t="s">
        <v>18</v>
      </c>
      <c r="I2001" t="s">
        <v>19</v>
      </c>
      <c r="J2001" t="s">
        <v>15</v>
      </c>
      <c r="K2001">
        <f>_xlfn.XLOOKUP(tbl_analysis_tickets[[#This Row],[priority]],tbl_sla[priority],tbl_sla[Resolution SLA Hours])</f>
        <v>48</v>
      </c>
      <c r="L2001">
        <f>_xlfn.XLOOKUP(tbl_analysis_tickets[[#This Row],[priority]],tbl_sla[priority],tbl_sla[First Response SLA Minutes])</f>
        <v>120</v>
      </c>
      <c r="M2001" t="str">
        <f>IF(tbl_analysis_tickets[[#This Row],[resolution_time_hours]]&gt;tbl_analysis_tickets[[#This Row],[Resolution SLA Hours]],"Breached","Within SLA")</f>
        <v>Within SLA</v>
      </c>
      <c r="N2001" t="str">
        <f>IF(tbl_analysis_tickets[[#This Row],[first_response_minutes]]&gt;tbl_analysis_tickets[[#This Row],[First Response SLA Minutes]],"Breached","Within SLA")</f>
        <v>Breached</v>
      </c>
      <c r="O2001" t="str" cm="1">
        <f t="array" ref="O2001">_xlfn.IFS(
tbl_analysis_tickets[[#This Row],[agent_experience_years]]&lt;=2,"Junior",
tbl_analysis_tickets[[#This Row],[agent_experience_years]]&lt;=5,"Mid-Level",
tbl_analysis_tickets[[#This Row],[agent_experience_years]]&lt;=8,"Senior",
tbl_analysis_tickets[[#This Row],[agent_experience_years]]&gt;8,"Expert"
)</f>
        <v>Senior</v>
      </c>
      <c r="P2001" cm="1">
        <f t="array" ref="P2001">_xlfn.SWITCH(tbl_analysis_tickets[[#This Row],[customer_satisfaction]],
"Low",1,
"Medium",2,
"High",3
)</f>
        <v>2</v>
      </c>
      <c r="Q2001">
        <f>IF(tbl_analysis_tickets[[#This Row],[reopened]]="Yes",1,0)</f>
        <v>0</v>
      </c>
      <c r="R2001" t="str" cm="1">
        <f t="array" ref="R2001">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001" t="str" cm="1">
        <f t="array" ref="S200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001" t="str">
        <f>TEXT(tbl_analysis_tickets[[#This Row],[created_date]],"mmm-yyyy")</f>
        <v>Nov-2024</v>
      </c>
      <c r="U2001" t="str">
        <f>TEXT(tbl_analysis_tickets[[#This Row],[created_date]],"dddd")</f>
        <v>Tuesday</v>
      </c>
      <c r="V2001" cm="1">
        <f t="array" ref="V2001">_xlfn.SWITCH(tbl_analysis_tickets[[#This Row],[priority]],
"Urgent",1,
"High",2,
"Medium",3,
"Low",4
)</f>
        <v>3</v>
      </c>
    </row>
    <row r="2002" spans="1:22" x14ac:dyDescent="0.25">
      <c r="A2002">
        <v>2001</v>
      </c>
      <c r="B2002" s="1">
        <v>45498</v>
      </c>
      <c r="C2002" t="s">
        <v>21</v>
      </c>
      <c r="D2002" t="s">
        <v>17</v>
      </c>
      <c r="E2002">
        <v>131</v>
      </c>
      <c r="F2002">
        <v>49</v>
      </c>
      <c r="G2002">
        <v>6.4</v>
      </c>
      <c r="H2002" t="s">
        <v>18</v>
      </c>
      <c r="I2002" t="s">
        <v>16</v>
      </c>
      <c r="J2002" t="s">
        <v>11</v>
      </c>
      <c r="K2002">
        <f>_xlfn.XLOOKUP(tbl_analysis_tickets[[#This Row],[priority]],tbl_sla[priority],tbl_sla[Resolution SLA Hours])</f>
        <v>8</v>
      </c>
      <c r="L2002">
        <f>_xlfn.XLOOKUP(tbl_analysis_tickets[[#This Row],[priority]],tbl_sla[priority],tbl_sla[First Response SLA Minutes])</f>
        <v>30</v>
      </c>
      <c r="M2002" t="str">
        <f>IF(tbl_analysis_tickets[[#This Row],[resolution_time_hours]]&gt;tbl_analysis_tickets[[#This Row],[Resolution SLA Hours]],"Breached","Within SLA")</f>
        <v>Breached</v>
      </c>
      <c r="N2002" t="str">
        <f>IF(tbl_analysis_tickets[[#This Row],[first_response_minutes]]&gt;tbl_analysis_tickets[[#This Row],[First Response SLA Minutes]],"Breached","Within SLA")</f>
        <v>Breached</v>
      </c>
      <c r="O2002" t="str" cm="1">
        <f t="array" ref="O2002">_xlfn.IFS(
tbl_analysis_tickets[[#This Row],[agent_experience_years]]&lt;=2,"Junior",
tbl_analysis_tickets[[#This Row],[agent_experience_years]]&lt;=5,"Mid-Level",
tbl_analysis_tickets[[#This Row],[agent_experience_years]]&lt;=8,"Senior",
tbl_analysis_tickets[[#This Row],[agent_experience_years]]&gt;8,"Expert"
)</f>
        <v>Senior</v>
      </c>
      <c r="P2002" cm="1">
        <f t="array" ref="P2002">_xlfn.SWITCH(tbl_analysis_tickets[[#This Row],[customer_satisfaction]],
"Low",1,
"Medium",2,
"High",3
)</f>
        <v>1</v>
      </c>
      <c r="Q2002">
        <f>IF(tbl_analysis_tickets[[#This Row],[reopened]]="Yes",1,0)</f>
        <v>0</v>
      </c>
      <c r="R2002" t="str" cm="1">
        <f t="array" ref="R2002">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002" t="str" cm="1">
        <f t="array" ref="S200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002" t="str">
        <f>TEXT(tbl_analysis_tickets[[#This Row],[created_date]],"mmm-yyyy")</f>
        <v>Jul-2024</v>
      </c>
      <c r="U2002" t="str">
        <f>TEXT(tbl_analysis_tickets[[#This Row],[created_date]],"dddd")</f>
        <v>Thursday</v>
      </c>
      <c r="V2002" cm="1">
        <f t="array" ref="V2002">_xlfn.SWITCH(tbl_analysis_tickets[[#This Row],[priority]],
"Urgent",1,
"High",2,
"Medium",3,
"Low",4
)</f>
        <v>1</v>
      </c>
    </row>
    <row r="2003" spans="1:22" x14ac:dyDescent="0.25">
      <c r="A2003">
        <v>2002</v>
      </c>
      <c r="B2003" s="1">
        <v>45570</v>
      </c>
      <c r="C2003" t="s">
        <v>10</v>
      </c>
      <c r="D2003" t="s">
        <v>11</v>
      </c>
      <c r="E2003">
        <v>234</v>
      </c>
      <c r="F2003">
        <v>35</v>
      </c>
      <c r="G2003">
        <v>1</v>
      </c>
      <c r="H2003" t="s">
        <v>18</v>
      </c>
      <c r="I2003" t="s">
        <v>13</v>
      </c>
      <c r="J2003" t="s">
        <v>11</v>
      </c>
      <c r="K2003">
        <f>_xlfn.XLOOKUP(tbl_analysis_tickets[[#This Row],[priority]],tbl_sla[priority],tbl_sla[Resolution SLA Hours])</f>
        <v>72</v>
      </c>
      <c r="L2003">
        <f>_xlfn.XLOOKUP(tbl_analysis_tickets[[#This Row],[priority]],tbl_sla[priority],tbl_sla[First Response SLA Minutes])</f>
        <v>240</v>
      </c>
      <c r="M2003" t="str">
        <f>IF(tbl_analysis_tickets[[#This Row],[resolution_time_hours]]&gt;tbl_analysis_tickets[[#This Row],[Resolution SLA Hours]],"Breached","Within SLA")</f>
        <v>Within SLA</v>
      </c>
      <c r="N2003" t="str">
        <f>IF(tbl_analysis_tickets[[#This Row],[first_response_minutes]]&gt;tbl_analysis_tickets[[#This Row],[First Response SLA Minutes]],"Breached","Within SLA")</f>
        <v>Within SLA</v>
      </c>
      <c r="O2003" t="str" cm="1">
        <f t="array" ref="O2003">_xlfn.IFS(
tbl_analysis_tickets[[#This Row],[agent_experience_years]]&lt;=2,"Junior",
tbl_analysis_tickets[[#This Row],[agent_experience_years]]&lt;=5,"Mid-Level",
tbl_analysis_tickets[[#This Row],[agent_experience_years]]&lt;=8,"Senior",
tbl_analysis_tickets[[#This Row],[agent_experience_years]]&gt;8,"Expert"
)</f>
        <v>Junior</v>
      </c>
      <c r="P2003" cm="1">
        <f t="array" ref="P2003">_xlfn.SWITCH(tbl_analysis_tickets[[#This Row],[customer_satisfaction]],
"Low",1,
"Medium",2,
"High",3
)</f>
        <v>1</v>
      </c>
      <c r="Q2003">
        <f>IF(tbl_analysis_tickets[[#This Row],[reopened]]="Yes",1,0)</f>
        <v>0</v>
      </c>
      <c r="R2003" t="str" cm="1">
        <f t="array" ref="R2003">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003" t="str" cm="1">
        <f t="array" ref="S200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003" t="str">
        <f>TEXT(tbl_analysis_tickets[[#This Row],[created_date]],"mmm-yyyy")</f>
        <v>Oct-2024</v>
      </c>
      <c r="U2003" t="str">
        <f>TEXT(tbl_analysis_tickets[[#This Row],[created_date]],"dddd")</f>
        <v>Saturday</v>
      </c>
      <c r="V2003" cm="1">
        <f t="array" ref="V2003">_xlfn.SWITCH(tbl_analysis_tickets[[#This Row],[priority]],
"Urgent",1,
"High",2,
"Medium",3,
"Low",4
)</f>
        <v>4</v>
      </c>
    </row>
    <row r="2004" spans="1:22" x14ac:dyDescent="0.25">
      <c r="A2004">
        <v>2003</v>
      </c>
      <c r="B2004" s="1">
        <v>45597</v>
      </c>
      <c r="C2004" t="s">
        <v>14</v>
      </c>
      <c r="D2004" t="s">
        <v>17</v>
      </c>
      <c r="E2004">
        <v>194</v>
      </c>
      <c r="F2004">
        <v>19</v>
      </c>
      <c r="G2004">
        <v>0.6</v>
      </c>
      <c r="H2004" t="s">
        <v>18</v>
      </c>
      <c r="I2004" t="s">
        <v>16</v>
      </c>
      <c r="J2004" t="s">
        <v>11</v>
      </c>
      <c r="K2004">
        <f>_xlfn.XLOOKUP(tbl_analysis_tickets[[#This Row],[priority]],tbl_sla[priority],tbl_sla[Resolution SLA Hours])</f>
        <v>8</v>
      </c>
      <c r="L2004">
        <f>_xlfn.XLOOKUP(tbl_analysis_tickets[[#This Row],[priority]],tbl_sla[priority],tbl_sla[First Response SLA Minutes])</f>
        <v>30</v>
      </c>
      <c r="M2004" t="str">
        <f>IF(tbl_analysis_tickets[[#This Row],[resolution_time_hours]]&gt;tbl_analysis_tickets[[#This Row],[Resolution SLA Hours]],"Breached","Within SLA")</f>
        <v>Breached</v>
      </c>
      <c r="N2004" t="str">
        <f>IF(tbl_analysis_tickets[[#This Row],[first_response_minutes]]&gt;tbl_analysis_tickets[[#This Row],[First Response SLA Minutes]],"Breached","Within SLA")</f>
        <v>Breached</v>
      </c>
      <c r="O2004" t="str" cm="1">
        <f t="array" ref="O2004">_xlfn.IFS(
tbl_analysis_tickets[[#This Row],[agent_experience_years]]&lt;=2,"Junior",
tbl_analysis_tickets[[#This Row],[agent_experience_years]]&lt;=5,"Mid-Level",
tbl_analysis_tickets[[#This Row],[agent_experience_years]]&lt;=8,"Senior",
tbl_analysis_tickets[[#This Row],[agent_experience_years]]&gt;8,"Expert"
)</f>
        <v>Junior</v>
      </c>
      <c r="P2004" cm="1">
        <f t="array" ref="P2004">_xlfn.SWITCH(tbl_analysis_tickets[[#This Row],[customer_satisfaction]],
"Low",1,
"Medium",2,
"High",3
)</f>
        <v>1</v>
      </c>
      <c r="Q2004">
        <f>IF(tbl_analysis_tickets[[#This Row],[reopened]]="Yes",1,0)</f>
        <v>0</v>
      </c>
      <c r="R2004" t="str" cm="1">
        <f t="array" ref="R2004">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004" t="str" cm="1">
        <f t="array" ref="S200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004" t="str">
        <f>TEXT(tbl_analysis_tickets[[#This Row],[created_date]],"mmm-yyyy")</f>
        <v>Nov-2024</v>
      </c>
      <c r="U2004" t="str">
        <f>TEXT(tbl_analysis_tickets[[#This Row],[created_date]],"dddd")</f>
        <v>Friday</v>
      </c>
      <c r="V2004" cm="1">
        <f t="array" ref="V2004">_xlfn.SWITCH(tbl_analysis_tickets[[#This Row],[priority]],
"Urgent",1,
"High",2,
"Medium",3,
"Low",4
)</f>
        <v>1</v>
      </c>
    </row>
    <row r="2005" spans="1:22" x14ac:dyDescent="0.25">
      <c r="A2005">
        <v>2004</v>
      </c>
      <c r="B2005" s="1">
        <v>45465</v>
      </c>
      <c r="C2005" t="s">
        <v>21</v>
      </c>
      <c r="D2005" t="s">
        <v>20</v>
      </c>
      <c r="E2005">
        <v>97</v>
      </c>
      <c r="F2005">
        <v>14</v>
      </c>
      <c r="G2005">
        <v>2.2999999999999998</v>
      </c>
      <c r="H2005" t="s">
        <v>18</v>
      </c>
      <c r="I2005" t="s">
        <v>16</v>
      </c>
      <c r="J2005" t="s">
        <v>11</v>
      </c>
      <c r="K2005">
        <f>_xlfn.XLOOKUP(tbl_analysis_tickets[[#This Row],[priority]],tbl_sla[priority],tbl_sla[Resolution SLA Hours])</f>
        <v>24</v>
      </c>
      <c r="L2005">
        <f>_xlfn.XLOOKUP(tbl_analysis_tickets[[#This Row],[priority]],tbl_sla[priority],tbl_sla[First Response SLA Minutes])</f>
        <v>60</v>
      </c>
      <c r="M2005" t="str">
        <f>IF(tbl_analysis_tickets[[#This Row],[resolution_time_hours]]&gt;tbl_analysis_tickets[[#This Row],[Resolution SLA Hours]],"Breached","Within SLA")</f>
        <v>Within SLA</v>
      </c>
      <c r="N2005" t="str">
        <f>IF(tbl_analysis_tickets[[#This Row],[first_response_minutes]]&gt;tbl_analysis_tickets[[#This Row],[First Response SLA Minutes]],"Breached","Within SLA")</f>
        <v>Breached</v>
      </c>
      <c r="O2005" t="str" cm="1">
        <f t="array" ref="O2005">_xlfn.IFS(
tbl_analysis_tickets[[#This Row],[agent_experience_years]]&lt;=2,"Junior",
tbl_analysis_tickets[[#This Row],[agent_experience_years]]&lt;=5,"Mid-Level",
tbl_analysis_tickets[[#This Row],[agent_experience_years]]&lt;=8,"Senior",
tbl_analysis_tickets[[#This Row],[agent_experience_years]]&gt;8,"Expert"
)</f>
        <v>Mid-Level</v>
      </c>
      <c r="P2005" cm="1">
        <f t="array" ref="P2005">_xlfn.SWITCH(tbl_analysis_tickets[[#This Row],[customer_satisfaction]],
"Low",1,
"Medium",2,
"High",3
)</f>
        <v>1</v>
      </c>
      <c r="Q2005">
        <f>IF(tbl_analysis_tickets[[#This Row],[reopened]]="Yes",1,0)</f>
        <v>0</v>
      </c>
      <c r="R2005" t="str" cm="1">
        <f t="array" ref="R2005">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005" t="str" cm="1">
        <f t="array" ref="S200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005" t="str">
        <f>TEXT(tbl_analysis_tickets[[#This Row],[created_date]],"mmm-yyyy")</f>
        <v>Jun-2024</v>
      </c>
      <c r="U2005" t="str">
        <f>TEXT(tbl_analysis_tickets[[#This Row],[created_date]],"dddd")</f>
        <v>Saturday</v>
      </c>
      <c r="V2005" cm="1">
        <f t="array" ref="V2005">_xlfn.SWITCH(tbl_analysis_tickets[[#This Row],[priority]],
"Urgent",1,
"High",2,
"Medium",3,
"Low",4
)</f>
        <v>2</v>
      </c>
    </row>
    <row r="2006" spans="1:22" x14ac:dyDescent="0.25">
      <c r="A2006">
        <v>2005</v>
      </c>
      <c r="B2006" s="1">
        <v>45427</v>
      </c>
      <c r="C2006" t="s">
        <v>10</v>
      </c>
      <c r="D2006" t="s">
        <v>17</v>
      </c>
      <c r="E2006">
        <v>101</v>
      </c>
      <c r="F2006">
        <v>48</v>
      </c>
      <c r="G2006">
        <v>2.6</v>
      </c>
      <c r="H2006" t="s">
        <v>12</v>
      </c>
      <c r="I2006" t="s">
        <v>13</v>
      </c>
      <c r="J2006" t="s">
        <v>11</v>
      </c>
      <c r="K2006">
        <f>_xlfn.XLOOKUP(tbl_analysis_tickets[[#This Row],[priority]],tbl_sla[priority],tbl_sla[Resolution SLA Hours])</f>
        <v>8</v>
      </c>
      <c r="L2006">
        <f>_xlfn.XLOOKUP(tbl_analysis_tickets[[#This Row],[priority]],tbl_sla[priority],tbl_sla[First Response SLA Minutes])</f>
        <v>30</v>
      </c>
      <c r="M2006" t="str">
        <f>IF(tbl_analysis_tickets[[#This Row],[resolution_time_hours]]&gt;tbl_analysis_tickets[[#This Row],[Resolution SLA Hours]],"Breached","Within SLA")</f>
        <v>Breached</v>
      </c>
      <c r="N2006" t="str">
        <f>IF(tbl_analysis_tickets[[#This Row],[first_response_minutes]]&gt;tbl_analysis_tickets[[#This Row],[First Response SLA Minutes]],"Breached","Within SLA")</f>
        <v>Breached</v>
      </c>
      <c r="O2006" t="str" cm="1">
        <f t="array" ref="O2006">_xlfn.IFS(
tbl_analysis_tickets[[#This Row],[agent_experience_years]]&lt;=2,"Junior",
tbl_analysis_tickets[[#This Row],[agent_experience_years]]&lt;=5,"Mid-Level",
tbl_analysis_tickets[[#This Row],[agent_experience_years]]&lt;=8,"Senior",
tbl_analysis_tickets[[#This Row],[agent_experience_years]]&gt;8,"Expert"
)</f>
        <v>Mid-Level</v>
      </c>
      <c r="P2006" cm="1">
        <f t="array" ref="P2006">_xlfn.SWITCH(tbl_analysis_tickets[[#This Row],[customer_satisfaction]],
"Low",1,
"Medium",2,
"High",3
)</f>
        <v>1</v>
      </c>
      <c r="Q2006">
        <f>IF(tbl_analysis_tickets[[#This Row],[reopened]]="Yes",1,0)</f>
        <v>1</v>
      </c>
      <c r="R2006" t="str" cm="1">
        <f t="array" ref="R2006">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006" t="str" cm="1">
        <f t="array" ref="S200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006" t="str">
        <f>TEXT(tbl_analysis_tickets[[#This Row],[created_date]],"mmm-yyyy")</f>
        <v>May-2024</v>
      </c>
      <c r="U2006" t="str">
        <f>TEXT(tbl_analysis_tickets[[#This Row],[created_date]],"dddd")</f>
        <v>Wednesday</v>
      </c>
      <c r="V2006" cm="1">
        <f t="array" ref="V2006">_xlfn.SWITCH(tbl_analysis_tickets[[#This Row],[priority]],
"Urgent",1,
"High",2,
"Medium",3,
"Low",4
)</f>
        <v>1</v>
      </c>
    </row>
    <row r="2007" spans="1:22" x14ac:dyDescent="0.25">
      <c r="A2007">
        <v>2006</v>
      </c>
      <c r="B2007" s="1">
        <v>45406</v>
      </c>
      <c r="C2007" t="s">
        <v>10</v>
      </c>
      <c r="D2007" t="s">
        <v>15</v>
      </c>
      <c r="E2007">
        <v>130</v>
      </c>
      <c r="F2007">
        <v>50</v>
      </c>
      <c r="G2007">
        <v>9.9</v>
      </c>
      <c r="H2007" t="s">
        <v>12</v>
      </c>
      <c r="I2007" t="s">
        <v>16</v>
      </c>
      <c r="J2007" t="s">
        <v>11</v>
      </c>
      <c r="K2007">
        <f>_xlfn.XLOOKUP(tbl_analysis_tickets[[#This Row],[priority]],tbl_sla[priority],tbl_sla[Resolution SLA Hours])</f>
        <v>48</v>
      </c>
      <c r="L2007">
        <f>_xlfn.XLOOKUP(tbl_analysis_tickets[[#This Row],[priority]],tbl_sla[priority],tbl_sla[First Response SLA Minutes])</f>
        <v>120</v>
      </c>
      <c r="M2007" t="str">
        <f>IF(tbl_analysis_tickets[[#This Row],[resolution_time_hours]]&gt;tbl_analysis_tickets[[#This Row],[Resolution SLA Hours]],"Breached","Within SLA")</f>
        <v>Breached</v>
      </c>
      <c r="N2007" t="str">
        <f>IF(tbl_analysis_tickets[[#This Row],[first_response_minutes]]&gt;tbl_analysis_tickets[[#This Row],[First Response SLA Minutes]],"Breached","Within SLA")</f>
        <v>Breached</v>
      </c>
      <c r="O2007" t="str" cm="1">
        <f t="array" ref="O2007">_xlfn.IFS(
tbl_analysis_tickets[[#This Row],[agent_experience_years]]&lt;=2,"Junior",
tbl_analysis_tickets[[#This Row],[agent_experience_years]]&lt;=5,"Mid-Level",
tbl_analysis_tickets[[#This Row],[agent_experience_years]]&lt;=8,"Senior",
tbl_analysis_tickets[[#This Row],[agent_experience_years]]&gt;8,"Expert"
)</f>
        <v>Expert</v>
      </c>
      <c r="P2007" cm="1">
        <f t="array" ref="P2007">_xlfn.SWITCH(tbl_analysis_tickets[[#This Row],[customer_satisfaction]],
"Low",1,
"Medium",2,
"High",3
)</f>
        <v>1</v>
      </c>
      <c r="Q2007">
        <f>IF(tbl_analysis_tickets[[#This Row],[reopened]]="Yes",1,0)</f>
        <v>1</v>
      </c>
      <c r="R2007" t="str" cm="1">
        <f t="array" ref="R2007">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007" t="str" cm="1">
        <f t="array" ref="S200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007" t="str">
        <f>TEXT(tbl_analysis_tickets[[#This Row],[created_date]],"mmm-yyyy")</f>
        <v>Apr-2024</v>
      </c>
      <c r="U2007" t="str">
        <f>TEXT(tbl_analysis_tickets[[#This Row],[created_date]],"dddd")</f>
        <v>Wednesday</v>
      </c>
      <c r="V2007" cm="1">
        <f t="array" ref="V2007">_xlfn.SWITCH(tbl_analysis_tickets[[#This Row],[priority]],
"Urgent",1,
"High",2,
"Medium",3,
"Low",4
)</f>
        <v>3</v>
      </c>
    </row>
    <row r="2008" spans="1:22" x14ac:dyDescent="0.25">
      <c r="A2008">
        <v>2007</v>
      </c>
      <c r="B2008" s="1">
        <v>45448</v>
      </c>
      <c r="C2008" t="s">
        <v>23</v>
      </c>
      <c r="D2008" t="s">
        <v>15</v>
      </c>
      <c r="E2008">
        <v>140</v>
      </c>
      <c r="F2008">
        <v>71</v>
      </c>
      <c r="G2008">
        <v>1.4</v>
      </c>
      <c r="H2008" t="s">
        <v>18</v>
      </c>
      <c r="I2008" t="s">
        <v>16</v>
      </c>
      <c r="J2008" t="s">
        <v>11</v>
      </c>
      <c r="K2008">
        <f>_xlfn.XLOOKUP(tbl_analysis_tickets[[#This Row],[priority]],tbl_sla[priority],tbl_sla[Resolution SLA Hours])</f>
        <v>48</v>
      </c>
      <c r="L2008">
        <f>_xlfn.XLOOKUP(tbl_analysis_tickets[[#This Row],[priority]],tbl_sla[priority],tbl_sla[First Response SLA Minutes])</f>
        <v>120</v>
      </c>
      <c r="M2008" t="str">
        <f>IF(tbl_analysis_tickets[[#This Row],[resolution_time_hours]]&gt;tbl_analysis_tickets[[#This Row],[Resolution SLA Hours]],"Breached","Within SLA")</f>
        <v>Breached</v>
      </c>
      <c r="N2008" t="str">
        <f>IF(tbl_analysis_tickets[[#This Row],[first_response_minutes]]&gt;tbl_analysis_tickets[[#This Row],[First Response SLA Minutes]],"Breached","Within SLA")</f>
        <v>Breached</v>
      </c>
      <c r="O2008" t="str" cm="1">
        <f t="array" ref="O2008">_xlfn.IFS(
tbl_analysis_tickets[[#This Row],[agent_experience_years]]&lt;=2,"Junior",
tbl_analysis_tickets[[#This Row],[agent_experience_years]]&lt;=5,"Mid-Level",
tbl_analysis_tickets[[#This Row],[agent_experience_years]]&lt;=8,"Senior",
tbl_analysis_tickets[[#This Row],[agent_experience_years]]&gt;8,"Expert"
)</f>
        <v>Junior</v>
      </c>
      <c r="P2008" cm="1">
        <f t="array" ref="P2008">_xlfn.SWITCH(tbl_analysis_tickets[[#This Row],[customer_satisfaction]],
"Low",1,
"Medium",2,
"High",3
)</f>
        <v>1</v>
      </c>
      <c r="Q2008">
        <f>IF(tbl_analysis_tickets[[#This Row],[reopened]]="Yes",1,0)</f>
        <v>0</v>
      </c>
      <c r="R2008" t="str" cm="1">
        <f t="array" ref="R2008">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008" t="str" cm="1">
        <f t="array" ref="S200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008" t="str">
        <f>TEXT(tbl_analysis_tickets[[#This Row],[created_date]],"mmm-yyyy")</f>
        <v>Jun-2024</v>
      </c>
      <c r="U2008" t="str">
        <f>TEXT(tbl_analysis_tickets[[#This Row],[created_date]],"dddd")</f>
        <v>Wednesday</v>
      </c>
      <c r="V2008" cm="1">
        <f t="array" ref="V2008">_xlfn.SWITCH(tbl_analysis_tickets[[#This Row],[priority]],
"Urgent",1,
"High",2,
"Medium",3,
"Low",4
)</f>
        <v>3</v>
      </c>
    </row>
    <row r="2009" spans="1:22" x14ac:dyDescent="0.25">
      <c r="A2009">
        <v>2008</v>
      </c>
      <c r="B2009" s="1">
        <v>45483</v>
      </c>
      <c r="C2009" t="s">
        <v>22</v>
      </c>
      <c r="D2009" t="s">
        <v>15</v>
      </c>
      <c r="E2009">
        <v>212</v>
      </c>
      <c r="F2009">
        <v>68</v>
      </c>
      <c r="G2009">
        <v>3.6</v>
      </c>
      <c r="H2009" t="s">
        <v>12</v>
      </c>
      <c r="I2009" t="s">
        <v>13</v>
      </c>
      <c r="J2009" t="s">
        <v>11</v>
      </c>
      <c r="K2009">
        <f>_xlfn.XLOOKUP(tbl_analysis_tickets[[#This Row],[priority]],tbl_sla[priority],tbl_sla[Resolution SLA Hours])</f>
        <v>48</v>
      </c>
      <c r="L2009">
        <f>_xlfn.XLOOKUP(tbl_analysis_tickets[[#This Row],[priority]],tbl_sla[priority],tbl_sla[First Response SLA Minutes])</f>
        <v>120</v>
      </c>
      <c r="M2009" t="str">
        <f>IF(tbl_analysis_tickets[[#This Row],[resolution_time_hours]]&gt;tbl_analysis_tickets[[#This Row],[Resolution SLA Hours]],"Breached","Within SLA")</f>
        <v>Breached</v>
      </c>
      <c r="N2009" t="str">
        <f>IF(tbl_analysis_tickets[[#This Row],[first_response_minutes]]&gt;tbl_analysis_tickets[[#This Row],[First Response SLA Minutes]],"Breached","Within SLA")</f>
        <v>Breached</v>
      </c>
      <c r="O2009" t="str" cm="1">
        <f t="array" ref="O2009">_xlfn.IFS(
tbl_analysis_tickets[[#This Row],[agent_experience_years]]&lt;=2,"Junior",
tbl_analysis_tickets[[#This Row],[agent_experience_years]]&lt;=5,"Mid-Level",
tbl_analysis_tickets[[#This Row],[agent_experience_years]]&lt;=8,"Senior",
tbl_analysis_tickets[[#This Row],[agent_experience_years]]&gt;8,"Expert"
)</f>
        <v>Mid-Level</v>
      </c>
      <c r="P2009" cm="1">
        <f t="array" ref="P2009">_xlfn.SWITCH(tbl_analysis_tickets[[#This Row],[customer_satisfaction]],
"Low",1,
"Medium",2,
"High",3
)</f>
        <v>1</v>
      </c>
      <c r="Q2009">
        <f>IF(tbl_analysis_tickets[[#This Row],[reopened]]="Yes",1,0)</f>
        <v>1</v>
      </c>
      <c r="R2009" t="str" cm="1">
        <f t="array" ref="R2009">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009" t="str" cm="1">
        <f t="array" ref="S200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009" t="str">
        <f>TEXT(tbl_analysis_tickets[[#This Row],[created_date]],"mmm-yyyy")</f>
        <v>Jul-2024</v>
      </c>
      <c r="U2009" t="str">
        <f>TEXT(tbl_analysis_tickets[[#This Row],[created_date]],"dddd")</f>
        <v>Wednesday</v>
      </c>
      <c r="V2009" cm="1">
        <f t="array" ref="V2009">_xlfn.SWITCH(tbl_analysis_tickets[[#This Row],[priority]],
"Urgent",1,
"High",2,
"Medium",3,
"Low",4
)</f>
        <v>3</v>
      </c>
    </row>
    <row r="2010" spans="1:22" x14ac:dyDescent="0.25">
      <c r="A2010">
        <v>2009</v>
      </c>
      <c r="B2010" s="1">
        <v>45638</v>
      </c>
      <c r="C2010" t="s">
        <v>22</v>
      </c>
      <c r="D2010" t="s">
        <v>11</v>
      </c>
      <c r="E2010">
        <v>167</v>
      </c>
      <c r="F2010">
        <v>38</v>
      </c>
      <c r="G2010">
        <v>1.8</v>
      </c>
      <c r="H2010" t="s">
        <v>18</v>
      </c>
      <c r="I2010" t="s">
        <v>13</v>
      </c>
      <c r="J2010" t="s">
        <v>11</v>
      </c>
      <c r="K2010">
        <f>_xlfn.XLOOKUP(tbl_analysis_tickets[[#This Row],[priority]],tbl_sla[priority],tbl_sla[Resolution SLA Hours])</f>
        <v>72</v>
      </c>
      <c r="L2010">
        <f>_xlfn.XLOOKUP(tbl_analysis_tickets[[#This Row],[priority]],tbl_sla[priority],tbl_sla[First Response SLA Minutes])</f>
        <v>240</v>
      </c>
      <c r="M2010" t="str">
        <f>IF(tbl_analysis_tickets[[#This Row],[resolution_time_hours]]&gt;tbl_analysis_tickets[[#This Row],[Resolution SLA Hours]],"Breached","Within SLA")</f>
        <v>Within SLA</v>
      </c>
      <c r="N2010" t="str">
        <f>IF(tbl_analysis_tickets[[#This Row],[first_response_minutes]]&gt;tbl_analysis_tickets[[#This Row],[First Response SLA Minutes]],"Breached","Within SLA")</f>
        <v>Within SLA</v>
      </c>
      <c r="O2010" t="str" cm="1">
        <f t="array" ref="O2010">_xlfn.IFS(
tbl_analysis_tickets[[#This Row],[agent_experience_years]]&lt;=2,"Junior",
tbl_analysis_tickets[[#This Row],[agent_experience_years]]&lt;=5,"Mid-Level",
tbl_analysis_tickets[[#This Row],[agent_experience_years]]&lt;=8,"Senior",
tbl_analysis_tickets[[#This Row],[agent_experience_years]]&gt;8,"Expert"
)</f>
        <v>Junior</v>
      </c>
      <c r="P2010" cm="1">
        <f t="array" ref="P2010">_xlfn.SWITCH(tbl_analysis_tickets[[#This Row],[customer_satisfaction]],
"Low",1,
"Medium",2,
"High",3
)</f>
        <v>1</v>
      </c>
      <c r="Q2010">
        <f>IF(tbl_analysis_tickets[[#This Row],[reopened]]="Yes",1,0)</f>
        <v>0</v>
      </c>
      <c r="R2010" t="str" cm="1">
        <f t="array" ref="R2010">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010" t="str" cm="1">
        <f t="array" ref="S201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010" t="str">
        <f>TEXT(tbl_analysis_tickets[[#This Row],[created_date]],"mmm-yyyy")</f>
        <v>Dec-2024</v>
      </c>
      <c r="U2010" t="str">
        <f>TEXT(tbl_analysis_tickets[[#This Row],[created_date]],"dddd")</f>
        <v>Thursday</v>
      </c>
      <c r="V2010" cm="1">
        <f t="array" ref="V2010">_xlfn.SWITCH(tbl_analysis_tickets[[#This Row],[priority]],
"Urgent",1,
"High",2,
"Medium",3,
"Low",4
)</f>
        <v>4</v>
      </c>
    </row>
    <row r="2011" spans="1:22" x14ac:dyDescent="0.25">
      <c r="A2011">
        <v>2010</v>
      </c>
      <c r="B2011" s="1">
        <v>45383</v>
      </c>
      <c r="C2011" t="s">
        <v>21</v>
      </c>
      <c r="D2011" t="s">
        <v>17</v>
      </c>
      <c r="E2011">
        <v>147</v>
      </c>
      <c r="F2011">
        <v>7</v>
      </c>
      <c r="G2011">
        <v>5.8</v>
      </c>
      <c r="H2011" t="s">
        <v>18</v>
      </c>
      <c r="I2011" t="s">
        <v>16</v>
      </c>
      <c r="J2011" t="s">
        <v>11</v>
      </c>
      <c r="K2011">
        <f>_xlfn.XLOOKUP(tbl_analysis_tickets[[#This Row],[priority]],tbl_sla[priority],tbl_sla[Resolution SLA Hours])</f>
        <v>8</v>
      </c>
      <c r="L2011">
        <f>_xlfn.XLOOKUP(tbl_analysis_tickets[[#This Row],[priority]],tbl_sla[priority],tbl_sla[First Response SLA Minutes])</f>
        <v>30</v>
      </c>
      <c r="M2011" t="str">
        <f>IF(tbl_analysis_tickets[[#This Row],[resolution_time_hours]]&gt;tbl_analysis_tickets[[#This Row],[Resolution SLA Hours]],"Breached","Within SLA")</f>
        <v>Within SLA</v>
      </c>
      <c r="N2011" t="str">
        <f>IF(tbl_analysis_tickets[[#This Row],[first_response_minutes]]&gt;tbl_analysis_tickets[[#This Row],[First Response SLA Minutes]],"Breached","Within SLA")</f>
        <v>Breached</v>
      </c>
      <c r="O2011" t="str" cm="1">
        <f t="array" ref="O2011">_xlfn.IFS(
tbl_analysis_tickets[[#This Row],[agent_experience_years]]&lt;=2,"Junior",
tbl_analysis_tickets[[#This Row],[agent_experience_years]]&lt;=5,"Mid-Level",
tbl_analysis_tickets[[#This Row],[agent_experience_years]]&lt;=8,"Senior",
tbl_analysis_tickets[[#This Row],[agent_experience_years]]&gt;8,"Expert"
)</f>
        <v>Senior</v>
      </c>
      <c r="P2011" cm="1">
        <f t="array" ref="P2011">_xlfn.SWITCH(tbl_analysis_tickets[[#This Row],[customer_satisfaction]],
"Low",1,
"Medium",2,
"High",3
)</f>
        <v>1</v>
      </c>
      <c r="Q2011">
        <f>IF(tbl_analysis_tickets[[#This Row],[reopened]]="Yes",1,0)</f>
        <v>0</v>
      </c>
      <c r="R2011" t="str" cm="1">
        <f t="array" ref="R2011">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011" t="str" cm="1">
        <f t="array" ref="S201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2011" t="str">
        <f>TEXT(tbl_analysis_tickets[[#This Row],[created_date]],"mmm-yyyy")</f>
        <v>Apr-2024</v>
      </c>
      <c r="U2011" t="str">
        <f>TEXT(tbl_analysis_tickets[[#This Row],[created_date]],"dddd")</f>
        <v>Monday</v>
      </c>
      <c r="V2011" cm="1">
        <f t="array" ref="V2011">_xlfn.SWITCH(tbl_analysis_tickets[[#This Row],[priority]],
"Urgent",1,
"High",2,
"Medium",3,
"Low",4
)</f>
        <v>1</v>
      </c>
    </row>
    <row r="2012" spans="1:22" x14ac:dyDescent="0.25">
      <c r="A2012">
        <v>2011</v>
      </c>
      <c r="B2012" s="1">
        <v>45595</v>
      </c>
      <c r="C2012" t="s">
        <v>23</v>
      </c>
      <c r="D2012" t="s">
        <v>17</v>
      </c>
      <c r="E2012">
        <v>229</v>
      </c>
      <c r="F2012">
        <v>22</v>
      </c>
      <c r="G2012">
        <v>2.7</v>
      </c>
      <c r="H2012" t="s">
        <v>18</v>
      </c>
      <c r="I2012" t="s">
        <v>16</v>
      </c>
      <c r="J2012" t="s">
        <v>11</v>
      </c>
      <c r="K2012">
        <f>_xlfn.XLOOKUP(tbl_analysis_tickets[[#This Row],[priority]],tbl_sla[priority],tbl_sla[Resolution SLA Hours])</f>
        <v>8</v>
      </c>
      <c r="L2012">
        <f>_xlfn.XLOOKUP(tbl_analysis_tickets[[#This Row],[priority]],tbl_sla[priority],tbl_sla[First Response SLA Minutes])</f>
        <v>30</v>
      </c>
      <c r="M2012" t="str">
        <f>IF(tbl_analysis_tickets[[#This Row],[resolution_time_hours]]&gt;tbl_analysis_tickets[[#This Row],[Resolution SLA Hours]],"Breached","Within SLA")</f>
        <v>Breached</v>
      </c>
      <c r="N2012" t="str">
        <f>IF(tbl_analysis_tickets[[#This Row],[first_response_minutes]]&gt;tbl_analysis_tickets[[#This Row],[First Response SLA Minutes]],"Breached","Within SLA")</f>
        <v>Breached</v>
      </c>
      <c r="O2012" t="str" cm="1">
        <f t="array" ref="O2012">_xlfn.IFS(
tbl_analysis_tickets[[#This Row],[agent_experience_years]]&lt;=2,"Junior",
tbl_analysis_tickets[[#This Row],[agent_experience_years]]&lt;=5,"Mid-Level",
tbl_analysis_tickets[[#This Row],[agent_experience_years]]&lt;=8,"Senior",
tbl_analysis_tickets[[#This Row],[agent_experience_years]]&gt;8,"Expert"
)</f>
        <v>Mid-Level</v>
      </c>
      <c r="P2012" cm="1">
        <f t="array" ref="P2012">_xlfn.SWITCH(tbl_analysis_tickets[[#This Row],[customer_satisfaction]],
"Low",1,
"Medium",2,
"High",3
)</f>
        <v>1</v>
      </c>
      <c r="Q2012">
        <f>IF(tbl_analysis_tickets[[#This Row],[reopened]]="Yes",1,0)</f>
        <v>0</v>
      </c>
      <c r="R2012" t="str" cm="1">
        <f t="array" ref="R2012">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012" t="str" cm="1">
        <f t="array" ref="S201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012" t="str">
        <f>TEXT(tbl_analysis_tickets[[#This Row],[created_date]],"mmm-yyyy")</f>
        <v>Oct-2024</v>
      </c>
      <c r="U2012" t="str">
        <f>TEXT(tbl_analysis_tickets[[#This Row],[created_date]],"dddd")</f>
        <v>Wednesday</v>
      </c>
      <c r="V2012" cm="1">
        <f t="array" ref="V2012">_xlfn.SWITCH(tbl_analysis_tickets[[#This Row],[priority]],
"Urgent",1,
"High",2,
"Medium",3,
"Low",4
)</f>
        <v>1</v>
      </c>
    </row>
    <row r="2013" spans="1:22" x14ac:dyDescent="0.25">
      <c r="A2013">
        <v>2012</v>
      </c>
      <c r="B2013" s="1">
        <v>45304</v>
      </c>
      <c r="C2013" t="s">
        <v>21</v>
      </c>
      <c r="D2013" t="s">
        <v>15</v>
      </c>
      <c r="E2013">
        <v>76</v>
      </c>
      <c r="F2013">
        <v>26</v>
      </c>
      <c r="G2013">
        <v>9.5</v>
      </c>
      <c r="H2013" t="s">
        <v>18</v>
      </c>
      <c r="I2013" t="s">
        <v>19</v>
      </c>
      <c r="J2013" t="s">
        <v>15</v>
      </c>
      <c r="K2013">
        <f>_xlfn.XLOOKUP(tbl_analysis_tickets[[#This Row],[priority]],tbl_sla[priority],tbl_sla[Resolution SLA Hours])</f>
        <v>48</v>
      </c>
      <c r="L2013">
        <f>_xlfn.XLOOKUP(tbl_analysis_tickets[[#This Row],[priority]],tbl_sla[priority],tbl_sla[First Response SLA Minutes])</f>
        <v>120</v>
      </c>
      <c r="M2013" t="str">
        <f>IF(tbl_analysis_tickets[[#This Row],[resolution_time_hours]]&gt;tbl_analysis_tickets[[#This Row],[Resolution SLA Hours]],"Breached","Within SLA")</f>
        <v>Within SLA</v>
      </c>
      <c r="N2013" t="str">
        <f>IF(tbl_analysis_tickets[[#This Row],[first_response_minutes]]&gt;tbl_analysis_tickets[[#This Row],[First Response SLA Minutes]],"Breached","Within SLA")</f>
        <v>Within SLA</v>
      </c>
      <c r="O2013" t="str" cm="1">
        <f t="array" ref="O2013">_xlfn.IFS(
tbl_analysis_tickets[[#This Row],[agent_experience_years]]&lt;=2,"Junior",
tbl_analysis_tickets[[#This Row],[agent_experience_years]]&lt;=5,"Mid-Level",
tbl_analysis_tickets[[#This Row],[agent_experience_years]]&lt;=8,"Senior",
tbl_analysis_tickets[[#This Row],[agent_experience_years]]&gt;8,"Expert"
)</f>
        <v>Expert</v>
      </c>
      <c r="P2013" cm="1">
        <f t="array" ref="P2013">_xlfn.SWITCH(tbl_analysis_tickets[[#This Row],[customer_satisfaction]],
"Low",1,
"Medium",2,
"High",3
)</f>
        <v>2</v>
      </c>
      <c r="Q2013">
        <f>IF(tbl_analysis_tickets[[#This Row],[reopened]]="Yes",1,0)</f>
        <v>0</v>
      </c>
      <c r="R2013" t="str" cm="1">
        <f t="array" ref="R2013">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013" t="str" cm="1">
        <f t="array" ref="S201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013" t="str">
        <f>TEXT(tbl_analysis_tickets[[#This Row],[created_date]],"mmm-yyyy")</f>
        <v>Jan-2024</v>
      </c>
      <c r="U2013" t="str">
        <f>TEXT(tbl_analysis_tickets[[#This Row],[created_date]],"dddd")</f>
        <v>Saturday</v>
      </c>
      <c r="V2013" cm="1">
        <f t="array" ref="V2013">_xlfn.SWITCH(tbl_analysis_tickets[[#This Row],[priority]],
"Urgent",1,
"High",2,
"Medium",3,
"Low",4
)</f>
        <v>3</v>
      </c>
    </row>
    <row r="2014" spans="1:22" x14ac:dyDescent="0.25">
      <c r="A2014">
        <v>2013</v>
      </c>
      <c r="B2014" s="1">
        <v>45329</v>
      </c>
      <c r="C2014" t="s">
        <v>14</v>
      </c>
      <c r="D2014" t="s">
        <v>20</v>
      </c>
      <c r="E2014">
        <v>45</v>
      </c>
      <c r="F2014">
        <v>12</v>
      </c>
      <c r="G2014">
        <v>9</v>
      </c>
      <c r="H2014" t="s">
        <v>18</v>
      </c>
      <c r="I2014" t="s">
        <v>13</v>
      </c>
      <c r="J2014" t="s">
        <v>11</v>
      </c>
      <c r="K2014">
        <f>_xlfn.XLOOKUP(tbl_analysis_tickets[[#This Row],[priority]],tbl_sla[priority],tbl_sla[Resolution SLA Hours])</f>
        <v>24</v>
      </c>
      <c r="L2014">
        <f>_xlfn.XLOOKUP(tbl_analysis_tickets[[#This Row],[priority]],tbl_sla[priority],tbl_sla[First Response SLA Minutes])</f>
        <v>60</v>
      </c>
      <c r="M2014" t="str">
        <f>IF(tbl_analysis_tickets[[#This Row],[resolution_time_hours]]&gt;tbl_analysis_tickets[[#This Row],[Resolution SLA Hours]],"Breached","Within SLA")</f>
        <v>Within SLA</v>
      </c>
      <c r="N2014" t="str">
        <f>IF(tbl_analysis_tickets[[#This Row],[first_response_minutes]]&gt;tbl_analysis_tickets[[#This Row],[First Response SLA Minutes]],"Breached","Within SLA")</f>
        <v>Within SLA</v>
      </c>
      <c r="O2014" t="str" cm="1">
        <f t="array" ref="O2014">_xlfn.IFS(
tbl_analysis_tickets[[#This Row],[agent_experience_years]]&lt;=2,"Junior",
tbl_analysis_tickets[[#This Row],[agent_experience_years]]&lt;=5,"Mid-Level",
tbl_analysis_tickets[[#This Row],[agent_experience_years]]&lt;=8,"Senior",
tbl_analysis_tickets[[#This Row],[agent_experience_years]]&gt;8,"Expert"
)</f>
        <v>Expert</v>
      </c>
      <c r="P2014" cm="1">
        <f t="array" ref="P2014">_xlfn.SWITCH(tbl_analysis_tickets[[#This Row],[customer_satisfaction]],
"Low",1,
"Medium",2,
"High",3
)</f>
        <v>1</v>
      </c>
      <c r="Q2014">
        <f>IF(tbl_analysis_tickets[[#This Row],[reopened]]="Yes",1,0)</f>
        <v>0</v>
      </c>
      <c r="R2014" t="str" cm="1">
        <f t="array" ref="R2014">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014" t="str" cm="1">
        <f t="array" ref="S201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014" t="str">
        <f>TEXT(tbl_analysis_tickets[[#This Row],[created_date]],"mmm-yyyy")</f>
        <v>Feb-2024</v>
      </c>
      <c r="U2014" t="str">
        <f>TEXT(tbl_analysis_tickets[[#This Row],[created_date]],"dddd")</f>
        <v>Wednesday</v>
      </c>
      <c r="V2014" cm="1">
        <f t="array" ref="V2014">_xlfn.SWITCH(tbl_analysis_tickets[[#This Row],[priority]],
"Urgent",1,
"High",2,
"Medium",3,
"Low",4
)</f>
        <v>2</v>
      </c>
    </row>
    <row r="2015" spans="1:22" x14ac:dyDescent="0.25">
      <c r="A2015">
        <v>2014</v>
      </c>
      <c r="B2015" s="1">
        <v>45490</v>
      </c>
      <c r="C2015" t="s">
        <v>23</v>
      </c>
      <c r="D2015" t="s">
        <v>17</v>
      </c>
      <c r="E2015">
        <v>116</v>
      </c>
      <c r="F2015">
        <v>15</v>
      </c>
      <c r="G2015">
        <v>4.0999999999999996</v>
      </c>
      <c r="H2015" t="s">
        <v>18</v>
      </c>
      <c r="I2015" t="s">
        <v>16</v>
      </c>
      <c r="J2015" t="s">
        <v>11</v>
      </c>
      <c r="K2015">
        <f>_xlfn.XLOOKUP(tbl_analysis_tickets[[#This Row],[priority]],tbl_sla[priority],tbl_sla[Resolution SLA Hours])</f>
        <v>8</v>
      </c>
      <c r="L2015">
        <f>_xlfn.XLOOKUP(tbl_analysis_tickets[[#This Row],[priority]],tbl_sla[priority],tbl_sla[First Response SLA Minutes])</f>
        <v>30</v>
      </c>
      <c r="M2015" t="str">
        <f>IF(tbl_analysis_tickets[[#This Row],[resolution_time_hours]]&gt;tbl_analysis_tickets[[#This Row],[Resolution SLA Hours]],"Breached","Within SLA")</f>
        <v>Breached</v>
      </c>
      <c r="N2015" t="str">
        <f>IF(tbl_analysis_tickets[[#This Row],[first_response_minutes]]&gt;tbl_analysis_tickets[[#This Row],[First Response SLA Minutes]],"Breached","Within SLA")</f>
        <v>Breached</v>
      </c>
      <c r="O2015" t="str" cm="1">
        <f t="array" ref="O2015">_xlfn.IFS(
tbl_analysis_tickets[[#This Row],[agent_experience_years]]&lt;=2,"Junior",
tbl_analysis_tickets[[#This Row],[agent_experience_years]]&lt;=5,"Mid-Level",
tbl_analysis_tickets[[#This Row],[agent_experience_years]]&lt;=8,"Senior",
tbl_analysis_tickets[[#This Row],[agent_experience_years]]&gt;8,"Expert"
)</f>
        <v>Mid-Level</v>
      </c>
      <c r="P2015" cm="1">
        <f t="array" ref="P2015">_xlfn.SWITCH(tbl_analysis_tickets[[#This Row],[customer_satisfaction]],
"Low",1,
"Medium",2,
"High",3
)</f>
        <v>1</v>
      </c>
      <c r="Q2015">
        <f>IF(tbl_analysis_tickets[[#This Row],[reopened]]="Yes",1,0)</f>
        <v>0</v>
      </c>
      <c r="R2015" t="str" cm="1">
        <f t="array" ref="R2015">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015" t="str" cm="1">
        <f t="array" ref="S201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015" t="str">
        <f>TEXT(tbl_analysis_tickets[[#This Row],[created_date]],"mmm-yyyy")</f>
        <v>Jul-2024</v>
      </c>
      <c r="U2015" t="str">
        <f>TEXT(tbl_analysis_tickets[[#This Row],[created_date]],"dddd")</f>
        <v>Wednesday</v>
      </c>
      <c r="V2015" cm="1">
        <f t="array" ref="V2015">_xlfn.SWITCH(tbl_analysis_tickets[[#This Row],[priority]],
"Urgent",1,
"High",2,
"Medium",3,
"Low",4
)</f>
        <v>1</v>
      </c>
    </row>
    <row r="2016" spans="1:22" x14ac:dyDescent="0.25">
      <c r="A2016">
        <v>2015</v>
      </c>
      <c r="B2016" s="1">
        <v>45525</v>
      </c>
      <c r="C2016" t="s">
        <v>23</v>
      </c>
      <c r="D2016" t="s">
        <v>17</v>
      </c>
      <c r="E2016">
        <v>199</v>
      </c>
      <c r="F2016">
        <v>55</v>
      </c>
      <c r="G2016">
        <v>1.2</v>
      </c>
      <c r="H2016" t="s">
        <v>12</v>
      </c>
      <c r="I2016" t="s">
        <v>19</v>
      </c>
      <c r="J2016" t="s">
        <v>11</v>
      </c>
      <c r="K2016">
        <f>_xlfn.XLOOKUP(tbl_analysis_tickets[[#This Row],[priority]],tbl_sla[priority],tbl_sla[Resolution SLA Hours])</f>
        <v>8</v>
      </c>
      <c r="L2016">
        <f>_xlfn.XLOOKUP(tbl_analysis_tickets[[#This Row],[priority]],tbl_sla[priority],tbl_sla[First Response SLA Minutes])</f>
        <v>30</v>
      </c>
      <c r="M2016" t="str">
        <f>IF(tbl_analysis_tickets[[#This Row],[resolution_time_hours]]&gt;tbl_analysis_tickets[[#This Row],[Resolution SLA Hours]],"Breached","Within SLA")</f>
        <v>Breached</v>
      </c>
      <c r="N2016" t="str">
        <f>IF(tbl_analysis_tickets[[#This Row],[first_response_minutes]]&gt;tbl_analysis_tickets[[#This Row],[First Response SLA Minutes]],"Breached","Within SLA")</f>
        <v>Breached</v>
      </c>
      <c r="O2016" t="str" cm="1">
        <f t="array" ref="O2016">_xlfn.IFS(
tbl_analysis_tickets[[#This Row],[agent_experience_years]]&lt;=2,"Junior",
tbl_analysis_tickets[[#This Row],[agent_experience_years]]&lt;=5,"Mid-Level",
tbl_analysis_tickets[[#This Row],[agent_experience_years]]&lt;=8,"Senior",
tbl_analysis_tickets[[#This Row],[agent_experience_years]]&gt;8,"Expert"
)</f>
        <v>Junior</v>
      </c>
      <c r="P2016" cm="1">
        <f t="array" ref="P2016">_xlfn.SWITCH(tbl_analysis_tickets[[#This Row],[customer_satisfaction]],
"Low",1,
"Medium",2,
"High",3
)</f>
        <v>1</v>
      </c>
      <c r="Q2016">
        <f>IF(tbl_analysis_tickets[[#This Row],[reopened]]="Yes",1,0)</f>
        <v>1</v>
      </c>
      <c r="R2016" t="str" cm="1">
        <f t="array" ref="R2016">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016" t="str" cm="1">
        <f t="array" ref="S201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016" t="str">
        <f>TEXT(tbl_analysis_tickets[[#This Row],[created_date]],"mmm-yyyy")</f>
        <v>Aug-2024</v>
      </c>
      <c r="U2016" t="str">
        <f>TEXT(tbl_analysis_tickets[[#This Row],[created_date]],"dddd")</f>
        <v>Wednesday</v>
      </c>
      <c r="V2016" cm="1">
        <f t="array" ref="V2016">_xlfn.SWITCH(tbl_analysis_tickets[[#This Row],[priority]],
"Urgent",1,
"High",2,
"Medium",3,
"Low",4
)</f>
        <v>1</v>
      </c>
    </row>
    <row r="2017" spans="1:22" x14ac:dyDescent="0.25">
      <c r="A2017">
        <v>2016</v>
      </c>
      <c r="B2017" s="1">
        <v>45542</v>
      </c>
      <c r="C2017" t="s">
        <v>10</v>
      </c>
      <c r="D2017" t="s">
        <v>11</v>
      </c>
      <c r="E2017">
        <v>220</v>
      </c>
      <c r="F2017">
        <v>54</v>
      </c>
      <c r="G2017">
        <v>1.3</v>
      </c>
      <c r="H2017" t="s">
        <v>18</v>
      </c>
      <c r="I2017" t="s">
        <v>19</v>
      </c>
      <c r="J2017" t="s">
        <v>11</v>
      </c>
      <c r="K2017">
        <f>_xlfn.XLOOKUP(tbl_analysis_tickets[[#This Row],[priority]],tbl_sla[priority],tbl_sla[Resolution SLA Hours])</f>
        <v>72</v>
      </c>
      <c r="L2017">
        <f>_xlfn.XLOOKUP(tbl_analysis_tickets[[#This Row],[priority]],tbl_sla[priority],tbl_sla[First Response SLA Minutes])</f>
        <v>240</v>
      </c>
      <c r="M2017" t="str">
        <f>IF(tbl_analysis_tickets[[#This Row],[resolution_time_hours]]&gt;tbl_analysis_tickets[[#This Row],[Resolution SLA Hours]],"Breached","Within SLA")</f>
        <v>Within SLA</v>
      </c>
      <c r="N2017" t="str">
        <f>IF(tbl_analysis_tickets[[#This Row],[first_response_minutes]]&gt;tbl_analysis_tickets[[#This Row],[First Response SLA Minutes]],"Breached","Within SLA")</f>
        <v>Within SLA</v>
      </c>
      <c r="O2017" t="str" cm="1">
        <f t="array" ref="O2017">_xlfn.IFS(
tbl_analysis_tickets[[#This Row],[agent_experience_years]]&lt;=2,"Junior",
tbl_analysis_tickets[[#This Row],[agent_experience_years]]&lt;=5,"Mid-Level",
tbl_analysis_tickets[[#This Row],[agent_experience_years]]&lt;=8,"Senior",
tbl_analysis_tickets[[#This Row],[agent_experience_years]]&gt;8,"Expert"
)</f>
        <v>Junior</v>
      </c>
      <c r="P2017" cm="1">
        <f t="array" ref="P2017">_xlfn.SWITCH(tbl_analysis_tickets[[#This Row],[customer_satisfaction]],
"Low",1,
"Medium",2,
"High",3
)</f>
        <v>1</v>
      </c>
      <c r="Q2017">
        <f>IF(tbl_analysis_tickets[[#This Row],[reopened]]="Yes",1,0)</f>
        <v>0</v>
      </c>
      <c r="R2017" t="str" cm="1">
        <f t="array" ref="R2017">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017" t="str" cm="1">
        <f t="array" ref="S201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017" t="str">
        <f>TEXT(tbl_analysis_tickets[[#This Row],[created_date]],"mmm-yyyy")</f>
        <v>Sep-2024</v>
      </c>
      <c r="U2017" t="str">
        <f>TEXT(tbl_analysis_tickets[[#This Row],[created_date]],"dddd")</f>
        <v>Saturday</v>
      </c>
      <c r="V2017" cm="1">
        <f t="array" ref="V2017">_xlfn.SWITCH(tbl_analysis_tickets[[#This Row],[priority]],
"Urgent",1,
"High",2,
"Medium",3,
"Low",4
)</f>
        <v>4</v>
      </c>
    </row>
    <row r="2018" spans="1:22" x14ac:dyDescent="0.25">
      <c r="A2018">
        <v>2017</v>
      </c>
      <c r="B2018" s="1">
        <v>45481</v>
      </c>
      <c r="C2018" t="s">
        <v>10</v>
      </c>
      <c r="D2018" t="s">
        <v>20</v>
      </c>
      <c r="E2018">
        <v>154</v>
      </c>
      <c r="F2018">
        <v>37</v>
      </c>
      <c r="G2018">
        <v>7.6</v>
      </c>
      <c r="H2018" t="s">
        <v>18</v>
      </c>
      <c r="I2018" t="s">
        <v>13</v>
      </c>
      <c r="J2018" t="s">
        <v>11</v>
      </c>
      <c r="K2018">
        <f>_xlfn.XLOOKUP(tbl_analysis_tickets[[#This Row],[priority]],tbl_sla[priority],tbl_sla[Resolution SLA Hours])</f>
        <v>24</v>
      </c>
      <c r="L2018">
        <f>_xlfn.XLOOKUP(tbl_analysis_tickets[[#This Row],[priority]],tbl_sla[priority],tbl_sla[First Response SLA Minutes])</f>
        <v>60</v>
      </c>
      <c r="M2018" t="str">
        <f>IF(tbl_analysis_tickets[[#This Row],[resolution_time_hours]]&gt;tbl_analysis_tickets[[#This Row],[Resolution SLA Hours]],"Breached","Within SLA")</f>
        <v>Breached</v>
      </c>
      <c r="N2018" t="str">
        <f>IF(tbl_analysis_tickets[[#This Row],[first_response_minutes]]&gt;tbl_analysis_tickets[[#This Row],[First Response SLA Minutes]],"Breached","Within SLA")</f>
        <v>Breached</v>
      </c>
      <c r="O2018" t="str" cm="1">
        <f t="array" ref="O2018">_xlfn.IFS(
tbl_analysis_tickets[[#This Row],[agent_experience_years]]&lt;=2,"Junior",
tbl_analysis_tickets[[#This Row],[agent_experience_years]]&lt;=5,"Mid-Level",
tbl_analysis_tickets[[#This Row],[agent_experience_years]]&lt;=8,"Senior",
tbl_analysis_tickets[[#This Row],[agent_experience_years]]&gt;8,"Expert"
)</f>
        <v>Senior</v>
      </c>
      <c r="P2018" cm="1">
        <f t="array" ref="P2018">_xlfn.SWITCH(tbl_analysis_tickets[[#This Row],[customer_satisfaction]],
"Low",1,
"Medium",2,
"High",3
)</f>
        <v>1</v>
      </c>
      <c r="Q2018">
        <f>IF(tbl_analysis_tickets[[#This Row],[reopened]]="Yes",1,0)</f>
        <v>0</v>
      </c>
      <c r="R2018" t="str" cm="1">
        <f t="array" ref="R2018">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018" t="str" cm="1">
        <f t="array" ref="S201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018" t="str">
        <f>TEXT(tbl_analysis_tickets[[#This Row],[created_date]],"mmm-yyyy")</f>
        <v>Jul-2024</v>
      </c>
      <c r="U2018" t="str">
        <f>TEXT(tbl_analysis_tickets[[#This Row],[created_date]],"dddd")</f>
        <v>Monday</v>
      </c>
      <c r="V2018" cm="1">
        <f t="array" ref="V2018">_xlfn.SWITCH(tbl_analysis_tickets[[#This Row],[priority]],
"Urgent",1,
"High",2,
"Medium",3,
"Low",4
)</f>
        <v>2</v>
      </c>
    </row>
    <row r="2019" spans="1:22" x14ac:dyDescent="0.25">
      <c r="A2019">
        <v>2018</v>
      </c>
      <c r="B2019" s="1">
        <v>45519</v>
      </c>
      <c r="C2019" t="s">
        <v>23</v>
      </c>
      <c r="D2019" t="s">
        <v>17</v>
      </c>
      <c r="E2019">
        <v>153</v>
      </c>
      <c r="F2019">
        <v>66</v>
      </c>
      <c r="G2019">
        <v>9.4</v>
      </c>
      <c r="H2019" t="s">
        <v>18</v>
      </c>
      <c r="I2019" t="s">
        <v>19</v>
      </c>
      <c r="J2019" t="s">
        <v>11</v>
      </c>
      <c r="K2019">
        <f>_xlfn.XLOOKUP(tbl_analysis_tickets[[#This Row],[priority]],tbl_sla[priority],tbl_sla[Resolution SLA Hours])</f>
        <v>8</v>
      </c>
      <c r="L2019">
        <f>_xlfn.XLOOKUP(tbl_analysis_tickets[[#This Row],[priority]],tbl_sla[priority],tbl_sla[First Response SLA Minutes])</f>
        <v>30</v>
      </c>
      <c r="M2019" t="str">
        <f>IF(tbl_analysis_tickets[[#This Row],[resolution_time_hours]]&gt;tbl_analysis_tickets[[#This Row],[Resolution SLA Hours]],"Breached","Within SLA")</f>
        <v>Breached</v>
      </c>
      <c r="N2019" t="str">
        <f>IF(tbl_analysis_tickets[[#This Row],[first_response_minutes]]&gt;tbl_analysis_tickets[[#This Row],[First Response SLA Minutes]],"Breached","Within SLA")</f>
        <v>Breached</v>
      </c>
      <c r="O2019" t="str" cm="1">
        <f t="array" ref="O2019">_xlfn.IFS(
tbl_analysis_tickets[[#This Row],[agent_experience_years]]&lt;=2,"Junior",
tbl_analysis_tickets[[#This Row],[agent_experience_years]]&lt;=5,"Mid-Level",
tbl_analysis_tickets[[#This Row],[agent_experience_years]]&lt;=8,"Senior",
tbl_analysis_tickets[[#This Row],[agent_experience_years]]&gt;8,"Expert"
)</f>
        <v>Expert</v>
      </c>
      <c r="P2019" cm="1">
        <f t="array" ref="P2019">_xlfn.SWITCH(tbl_analysis_tickets[[#This Row],[customer_satisfaction]],
"Low",1,
"Medium",2,
"High",3
)</f>
        <v>1</v>
      </c>
      <c r="Q2019">
        <f>IF(tbl_analysis_tickets[[#This Row],[reopened]]="Yes",1,0)</f>
        <v>0</v>
      </c>
      <c r="R2019" t="str" cm="1">
        <f t="array" ref="R2019">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019" t="str" cm="1">
        <f t="array" ref="S201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019" t="str">
        <f>TEXT(tbl_analysis_tickets[[#This Row],[created_date]],"mmm-yyyy")</f>
        <v>Aug-2024</v>
      </c>
      <c r="U2019" t="str">
        <f>TEXT(tbl_analysis_tickets[[#This Row],[created_date]],"dddd")</f>
        <v>Thursday</v>
      </c>
      <c r="V2019" cm="1">
        <f t="array" ref="V2019">_xlfn.SWITCH(tbl_analysis_tickets[[#This Row],[priority]],
"Urgent",1,
"High",2,
"Medium",3,
"Low",4
)</f>
        <v>1</v>
      </c>
    </row>
    <row r="2020" spans="1:22" x14ac:dyDescent="0.25">
      <c r="A2020">
        <v>2019</v>
      </c>
      <c r="B2020" s="1">
        <v>45397</v>
      </c>
      <c r="C2020" t="s">
        <v>10</v>
      </c>
      <c r="D2020" t="s">
        <v>20</v>
      </c>
      <c r="E2020">
        <v>236</v>
      </c>
      <c r="F2020">
        <v>63</v>
      </c>
      <c r="G2020">
        <v>6.9</v>
      </c>
      <c r="H2020" t="s">
        <v>12</v>
      </c>
      <c r="I2020" t="s">
        <v>16</v>
      </c>
      <c r="J2020" t="s">
        <v>11</v>
      </c>
      <c r="K2020">
        <f>_xlfn.XLOOKUP(tbl_analysis_tickets[[#This Row],[priority]],tbl_sla[priority],tbl_sla[Resolution SLA Hours])</f>
        <v>24</v>
      </c>
      <c r="L2020">
        <f>_xlfn.XLOOKUP(tbl_analysis_tickets[[#This Row],[priority]],tbl_sla[priority],tbl_sla[First Response SLA Minutes])</f>
        <v>60</v>
      </c>
      <c r="M2020" t="str">
        <f>IF(tbl_analysis_tickets[[#This Row],[resolution_time_hours]]&gt;tbl_analysis_tickets[[#This Row],[Resolution SLA Hours]],"Breached","Within SLA")</f>
        <v>Breached</v>
      </c>
      <c r="N2020" t="str">
        <f>IF(tbl_analysis_tickets[[#This Row],[first_response_minutes]]&gt;tbl_analysis_tickets[[#This Row],[First Response SLA Minutes]],"Breached","Within SLA")</f>
        <v>Breached</v>
      </c>
      <c r="O2020" t="str" cm="1">
        <f t="array" ref="O2020">_xlfn.IFS(
tbl_analysis_tickets[[#This Row],[agent_experience_years]]&lt;=2,"Junior",
tbl_analysis_tickets[[#This Row],[agent_experience_years]]&lt;=5,"Mid-Level",
tbl_analysis_tickets[[#This Row],[agent_experience_years]]&lt;=8,"Senior",
tbl_analysis_tickets[[#This Row],[agent_experience_years]]&gt;8,"Expert"
)</f>
        <v>Senior</v>
      </c>
      <c r="P2020" cm="1">
        <f t="array" ref="P2020">_xlfn.SWITCH(tbl_analysis_tickets[[#This Row],[customer_satisfaction]],
"Low",1,
"Medium",2,
"High",3
)</f>
        <v>1</v>
      </c>
      <c r="Q2020">
        <f>IF(tbl_analysis_tickets[[#This Row],[reopened]]="Yes",1,0)</f>
        <v>1</v>
      </c>
      <c r="R2020" t="str" cm="1">
        <f t="array" ref="R2020">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020" t="str" cm="1">
        <f t="array" ref="S202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020" t="str">
        <f>TEXT(tbl_analysis_tickets[[#This Row],[created_date]],"mmm-yyyy")</f>
        <v>Apr-2024</v>
      </c>
      <c r="U2020" t="str">
        <f>TEXT(tbl_analysis_tickets[[#This Row],[created_date]],"dddd")</f>
        <v>Monday</v>
      </c>
      <c r="V2020" cm="1">
        <f t="array" ref="V2020">_xlfn.SWITCH(tbl_analysis_tickets[[#This Row],[priority]],
"Urgent",1,
"High",2,
"Medium",3,
"Low",4
)</f>
        <v>2</v>
      </c>
    </row>
    <row r="2021" spans="1:22" x14ac:dyDescent="0.25">
      <c r="A2021">
        <v>2020</v>
      </c>
      <c r="B2021" s="1">
        <v>45324</v>
      </c>
      <c r="C2021" t="s">
        <v>22</v>
      </c>
      <c r="D2021" t="s">
        <v>20</v>
      </c>
      <c r="E2021">
        <v>112</v>
      </c>
      <c r="F2021">
        <v>44</v>
      </c>
      <c r="G2021">
        <v>4.8</v>
      </c>
      <c r="H2021" t="s">
        <v>12</v>
      </c>
      <c r="I2021" t="s">
        <v>13</v>
      </c>
      <c r="J2021" t="s">
        <v>11</v>
      </c>
      <c r="K2021">
        <f>_xlfn.XLOOKUP(tbl_analysis_tickets[[#This Row],[priority]],tbl_sla[priority],tbl_sla[Resolution SLA Hours])</f>
        <v>24</v>
      </c>
      <c r="L2021">
        <f>_xlfn.XLOOKUP(tbl_analysis_tickets[[#This Row],[priority]],tbl_sla[priority],tbl_sla[First Response SLA Minutes])</f>
        <v>60</v>
      </c>
      <c r="M2021" t="str">
        <f>IF(tbl_analysis_tickets[[#This Row],[resolution_time_hours]]&gt;tbl_analysis_tickets[[#This Row],[Resolution SLA Hours]],"Breached","Within SLA")</f>
        <v>Breached</v>
      </c>
      <c r="N2021" t="str">
        <f>IF(tbl_analysis_tickets[[#This Row],[first_response_minutes]]&gt;tbl_analysis_tickets[[#This Row],[First Response SLA Minutes]],"Breached","Within SLA")</f>
        <v>Breached</v>
      </c>
      <c r="O2021" t="str" cm="1">
        <f t="array" ref="O2021">_xlfn.IFS(
tbl_analysis_tickets[[#This Row],[agent_experience_years]]&lt;=2,"Junior",
tbl_analysis_tickets[[#This Row],[agent_experience_years]]&lt;=5,"Mid-Level",
tbl_analysis_tickets[[#This Row],[agent_experience_years]]&lt;=8,"Senior",
tbl_analysis_tickets[[#This Row],[agent_experience_years]]&gt;8,"Expert"
)</f>
        <v>Mid-Level</v>
      </c>
      <c r="P2021" cm="1">
        <f t="array" ref="P2021">_xlfn.SWITCH(tbl_analysis_tickets[[#This Row],[customer_satisfaction]],
"Low",1,
"Medium",2,
"High",3
)</f>
        <v>1</v>
      </c>
      <c r="Q2021">
        <f>IF(tbl_analysis_tickets[[#This Row],[reopened]]="Yes",1,0)</f>
        <v>1</v>
      </c>
      <c r="R2021" t="str" cm="1">
        <f t="array" ref="R2021">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021" t="str" cm="1">
        <f t="array" ref="S202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021" t="str">
        <f>TEXT(tbl_analysis_tickets[[#This Row],[created_date]],"mmm-yyyy")</f>
        <v>Feb-2024</v>
      </c>
      <c r="U2021" t="str">
        <f>TEXT(tbl_analysis_tickets[[#This Row],[created_date]],"dddd")</f>
        <v>Friday</v>
      </c>
      <c r="V2021" cm="1">
        <f t="array" ref="V2021">_xlfn.SWITCH(tbl_analysis_tickets[[#This Row],[priority]],
"Urgent",1,
"High",2,
"Medium",3,
"Low",4
)</f>
        <v>2</v>
      </c>
    </row>
    <row r="2022" spans="1:22" x14ac:dyDescent="0.25">
      <c r="A2022">
        <v>2021</v>
      </c>
      <c r="B2022" s="1">
        <v>45637</v>
      </c>
      <c r="C2022" t="s">
        <v>10</v>
      </c>
      <c r="D2022" t="s">
        <v>15</v>
      </c>
      <c r="E2022">
        <v>240</v>
      </c>
      <c r="F2022">
        <v>33</v>
      </c>
      <c r="G2022">
        <v>2.2000000000000002</v>
      </c>
      <c r="H2022" t="s">
        <v>12</v>
      </c>
      <c r="I2022" t="s">
        <v>19</v>
      </c>
      <c r="J2022" t="s">
        <v>11</v>
      </c>
      <c r="K2022">
        <f>_xlfn.XLOOKUP(tbl_analysis_tickets[[#This Row],[priority]],tbl_sla[priority],tbl_sla[Resolution SLA Hours])</f>
        <v>48</v>
      </c>
      <c r="L2022">
        <f>_xlfn.XLOOKUP(tbl_analysis_tickets[[#This Row],[priority]],tbl_sla[priority],tbl_sla[First Response SLA Minutes])</f>
        <v>120</v>
      </c>
      <c r="M2022" t="str">
        <f>IF(tbl_analysis_tickets[[#This Row],[resolution_time_hours]]&gt;tbl_analysis_tickets[[#This Row],[Resolution SLA Hours]],"Breached","Within SLA")</f>
        <v>Within SLA</v>
      </c>
      <c r="N2022" t="str">
        <f>IF(tbl_analysis_tickets[[#This Row],[first_response_minutes]]&gt;tbl_analysis_tickets[[#This Row],[First Response SLA Minutes]],"Breached","Within SLA")</f>
        <v>Breached</v>
      </c>
      <c r="O2022" t="str" cm="1">
        <f t="array" ref="O2022">_xlfn.IFS(
tbl_analysis_tickets[[#This Row],[agent_experience_years]]&lt;=2,"Junior",
tbl_analysis_tickets[[#This Row],[agent_experience_years]]&lt;=5,"Mid-Level",
tbl_analysis_tickets[[#This Row],[agent_experience_years]]&lt;=8,"Senior",
tbl_analysis_tickets[[#This Row],[agent_experience_years]]&gt;8,"Expert"
)</f>
        <v>Mid-Level</v>
      </c>
      <c r="P2022" cm="1">
        <f t="array" ref="P2022">_xlfn.SWITCH(tbl_analysis_tickets[[#This Row],[customer_satisfaction]],
"Low",1,
"Medium",2,
"High",3
)</f>
        <v>1</v>
      </c>
      <c r="Q2022">
        <f>IF(tbl_analysis_tickets[[#This Row],[reopened]]="Yes",1,0)</f>
        <v>1</v>
      </c>
      <c r="R2022" t="str" cm="1">
        <f t="array" ref="R2022">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022" t="str" cm="1">
        <f t="array" ref="S202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022" t="str">
        <f>TEXT(tbl_analysis_tickets[[#This Row],[created_date]],"mmm-yyyy")</f>
        <v>Dec-2024</v>
      </c>
      <c r="U2022" t="str">
        <f>TEXT(tbl_analysis_tickets[[#This Row],[created_date]],"dddd")</f>
        <v>Wednesday</v>
      </c>
      <c r="V2022" cm="1">
        <f t="array" ref="V2022">_xlfn.SWITCH(tbl_analysis_tickets[[#This Row],[priority]],
"Urgent",1,
"High",2,
"Medium",3,
"Low",4
)</f>
        <v>3</v>
      </c>
    </row>
    <row r="2023" spans="1:22" x14ac:dyDescent="0.25">
      <c r="A2023">
        <v>2022</v>
      </c>
      <c r="B2023" s="1">
        <v>45352</v>
      </c>
      <c r="C2023" t="s">
        <v>14</v>
      </c>
      <c r="D2023" t="s">
        <v>15</v>
      </c>
      <c r="E2023">
        <v>142</v>
      </c>
      <c r="F2023">
        <v>38</v>
      </c>
      <c r="G2023">
        <v>4.5</v>
      </c>
      <c r="H2023" t="s">
        <v>18</v>
      </c>
      <c r="I2023" t="s">
        <v>16</v>
      </c>
      <c r="J2023" t="s">
        <v>11</v>
      </c>
      <c r="K2023">
        <f>_xlfn.XLOOKUP(tbl_analysis_tickets[[#This Row],[priority]],tbl_sla[priority],tbl_sla[Resolution SLA Hours])</f>
        <v>48</v>
      </c>
      <c r="L2023">
        <f>_xlfn.XLOOKUP(tbl_analysis_tickets[[#This Row],[priority]],tbl_sla[priority],tbl_sla[First Response SLA Minutes])</f>
        <v>120</v>
      </c>
      <c r="M2023" t="str">
        <f>IF(tbl_analysis_tickets[[#This Row],[resolution_time_hours]]&gt;tbl_analysis_tickets[[#This Row],[Resolution SLA Hours]],"Breached","Within SLA")</f>
        <v>Within SLA</v>
      </c>
      <c r="N2023" t="str">
        <f>IF(tbl_analysis_tickets[[#This Row],[first_response_minutes]]&gt;tbl_analysis_tickets[[#This Row],[First Response SLA Minutes]],"Breached","Within SLA")</f>
        <v>Breached</v>
      </c>
      <c r="O2023" t="str" cm="1">
        <f t="array" ref="O2023">_xlfn.IFS(
tbl_analysis_tickets[[#This Row],[agent_experience_years]]&lt;=2,"Junior",
tbl_analysis_tickets[[#This Row],[agent_experience_years]]&lt;=5,"Mid-Level",
tbl_analysis_tickets[[#This Row],[agent_experience_years]]&lt;=8,"Senior",
tbl_analysis_tickets[[#This Row],[agent_experience_years]]&gt;8,"Expert"
)</f>
        <v>Mid-Level</v>
      </c>
      <c r="P2023" cm="1">
        <f t="array" ref="P2023">_xlfn.SWITCH(tbl_analysis_tickets[[#This Row],[customer_satisfaction]],
"Low",1,
"Medium",2,
"High",3
)</f>
        <v>1</v>
      </c>
      <c r="Q2023">
        <f>IF(tbl_analysis_tickets[[#This Row],[reopened]]="Yes",1,0)</f>
        <v>0</v>
      </c>
      <c r="R2023" t="str" cm="1">
        <f t="array" ref="R2023">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023" t="str" cm="1">
        <f t="array" ref="S202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023" t="str">
        <f>TEXT(tbl_analysis_tickets[[#This Row],[created_date]],"mmm-yyyy")</f>
        <v>Mar-2024</v>
      </c>
      <c r="U2023" t="str">
        <f>TEXT(tbl_analysis_tickets[[#This Row],[created_date]],"dddd")</f>
        <v>Friday</v>
      </c>
      <c r="V2023" cm="1">
        <f t="array" ref="V2023">_xlfn.SWITCH(tbl_analysis_tickets[[#This Row],[priority]],
"Urgent",1,
"High",2,
"Medium",3,
"Low",4
)</f>
        <v>3</v>
      </c>
    </row>
    <row r="2024" spans="1:22" x14ac:dyDescent="0.25">
      <c r="A2024">
        <v>2023</v>
      </c>
      <c r="B2024" s="1">
        <v>45472</v>
      </c>
      <c r="C2024" t="s">
        <v>23</v>
      </c>
      <c r="D2024" t="s">
        <v>11</v>
      </c>
      <c r="E2024">
        <v>67</v>
      </c>
      <c r="F2024">
        <v>11</v>
      </c>
      <c r="G2024">
        <v>3</v>
      </c>
      <c r="H2024" t="s">
        <v>12</v>
      </c>
      <c r="I2024" t="s">
        <v>13</v>
      </c>
      <c r="J2024" t="s">
        <v>11</v>
      </c>
      <c r="K2024">
        <f>_xlfn.XLOOKUP(tbl_analysis_tickets[[#This Row],[priority]],tbl_sla[priority],tbl_sla[Resolution SLA Hours])</f>
        <v>72</v>
      </c>
      <c r="L2024">
        <f>_xlfn.XLOOKUP(tbl_analysis_tickets[[#This Row],[priority]],tbl_sla[priority],tbl_sla[First Response SLA Minutes])</f>
        <v>240</v>
      </c>
      <c r="M2024" t="str">
        <f>IF(tbl_analysis_tickets[[#This Row],[resolution_time_hours]]&gt;tbl_analysis_tickets[[#This Row],[Resolution SLA Hours]],"Breached","Within SLA")</f>
        <v>Within SLA</v>
      </c>
      <c r="N2024" t="str">
        <f>IF(tbl_analysis_tickets[[#This Row],[first_response_minutes]]&gt;tbl_analysis_tickets[[#This Row],[First Response SLA Minutes]],"Breached","Within SLA")</f>
        <v>Within SLA</v>
      </c>
      <c r="O2024" t="str" cm="1">
        <f t="array" ref="O2024">_xlfn.IFS(
tbl_analysis_tickets[[#This Row],[agent_experience_years]]&lt;=2,"Junior",
tbl_analysis_tickets[[#This Row],[agent_experience_years]]&lt;=5,"Mid-Level",
tbl_analysis_tickets[[#This Row],[agent_experience_years]]&lt;=8,"Senior",
tbl_analysis_tickets[[#This Row],[agent_experience_years]]&gt;8,"Expert"
)</f>
        <v>Mid-Level</v>
      </c>
      <c r="P2024" cm="1">
        <f t="array" ref="P2024">_xlfn.SWITCH(tbl_analysis_tickets[[#This Row],[customer_satisfaction]],
"Low",1,
"Medium",2,
"High",3
)</f>
        <v>1</v>
      </c>
      <c r="Q2024">
        <f>IF(tbl_analysis_tickets[[#This Row],[reopened]]="Yes",1,0)</f>
        <v>1</v>
      </c>
      <c r="R2024" t="str" cm="1">
        <f t="array" ref="R2024">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024" t="str" cm="1">
        <f t="array" ref="S202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024" t="str">
        <f>TEXT(tbl_analysis_tickets[[#This Row],[created_date]],"mmm-yyyy")</f>
        <v>Jun-2024</v>
      </c>
      <c r="U2024" t="str">
        <f>TEXT(tbl_analysis_tickets[[#This Row],[created_date]],"dddd")</f>
        <v>Saturday</v>
      </c>
      <c r="V2024" cm="1">
        <f t="array" ref="V2024">_xlfn.SWITCH(tbl_analysis_tickets[[#This Row],[priority]],
"Urgent",1,
"High",2,
"Medium",3,
"Low",4
)</f>
        <v>4</v>
      </c>
    </row>
    <row r="2025" spans="1:22" x14ac:dyDescent="0.25">
      <c r="A2025">
        <v>2024</v>
      </c>
      <c r="B2025" s="1">
        <v>45491</v>
      </c>
      <c r="C2025" t="s">
        <v>23</v>
      </c>
      <c r="D2025" t="s">
        <v>11</v>
      </c>
      <c r="E2025">
        <v>178</v>
      </c>
      <c r="F2025">
        <v>6</v>
      </c>
      <c r="G2025">
        <v>9.6</v>
      </c>
      <c r="H2025" t="s">
        <v>18</v>
      </c>
      <c r="I2025" t="s">
        <v>16</v>
      </c>
      <c r="J2025" t="s">
        <v>20</v>
      </c>
      <c r="K2025">
        <f>_xlfn.XLOOKUP(tbl_analysis_tickets[[#This Row],[priority]],tbl_sla[priority],tbl_sla[Resolution SLA Hours])</f>
        <v>72</v>
      </c>
      <c r="L2025">
        <f>_xlfn.XLOOKUP(tbl_analysis_tickets[[#This Row],[priority]],tbl_sla[priority],tbl_sla[First Response SLA Minutes])</f>
        <v>240</v>
      </c>
      <c r="M2025" t="str">
        <f>IF(tbl_analysis_tickets[[#This Row],[resolution_time_hours]]&gt;tbl_analysis_tickets[[#This Row],[Resolution SLA Hours]],"Breached","Within SLA")</f>
        <v>Within SLA</v>
      </c>
      <c r="N2025" t="str">
        <f>IF(tbl_analysis_tickets[[#This Row],[first_response_minutes]]&gt;tbl_analysis_tickets[[#This Row],[First Response SLA Minutes]],"Breached","Within SLA")</f>
        <v>Within SLA</v>
      </c>
      <c r="O2025" t="str" cm="1">
        <f t="array" ref="O2025">_xlfn.IFS(
tbl_analysis_tickets[[#This Row],[agent_experience_years]]&lt;=2,"Junior",
tbl_analysis_tickets[[#This Row],[agent_experience_years]]&lt;=5,"Mid-Level",
tbl_analysis_tickets[[#This Row],[agent_experience_years]]&lt;=8,"Senior",
tbl_analysis_tickets[[#This Row],[agent_experience_years]]&gt;8,"Expert"
)</f>
        <v>Expert</v>
      </c>
      <c r="P2025" cm="1">
        <f t="array" ref="P2025">_xlfn.SWITCH(tbl_analysis_tickets[[#This Row],[customer_satisfaction]],
"Low",1,
"Medium",2,
"High",3
)</f>
        <v>3</v>
      </c>
      <c r="Q2025">
        <f>IF(tbl_analysis_tickets[[#This Row],[reopened]]="Yes",1,0)</f>
        <v>0</v>
      </c>
      <c r="R2025" t="str" cm="1">
        <f t="array" ref="R2025">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025" t="str" cm="1">
        <f t="array" ref="S202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2025" t="str">
        <f>TEXT(tbl_analysis_tickets[[#This Row],[created_date]],"mmm-yyyy")</f>
        <v>Jul-2024</v>
      </c>
      <c r="U2025" t="str">
        <f>TEXT(tbl_analysis_tickets[[#This Row],[created_date]],"dddd")</f>
        <v>Thursday</v>
      </c>
      <c r="V2025" cm="1">
        <f t="array" ref="V2025">_xlfn.SWITCH(tbl_analysis_tickets[[#This Row],[priority]],
"Urgent",1,
"High",2,
"Medium",3,
"Low",4
)</f>
        <v>4</v>
      </c>
    </row>
    <row r="2026" spans="1:22" x14ac:dyDescent="0.25">
      <c r="A2026">
        <v>2025</v>
      </c>
      <c r="B2026" s="1">
        <v>45396</v>
      </c>
      <c r="C2026" t="s">
        <v>23</v>
      </c>
      <c r="D2026" t="s">
        <v>15</v>
      </c>
      <c r="E2026">
        <v>52</v>
      </c>
      <c r="F2026">
        <v>8</v>
      </c>
      <c r="G2026">
        <v>7.4</v>
      </c>
      <c r="H2026" t="s">
        <v>12</v>
      </c>
      <c r="I2026" t="s">
        <v>19</v>
      </c>
      <c r="J2026" t="s">
        <v>11</v>
      </c>
      <c r="K2026">
        <f>_xlfn.XLOOKUP(tbl_analysis_tickets[[#This Row],[priority]],tbl_sla[priority],tbl_sla[Resolution SLA Hours])</f>
        <v>48</v>
      </c>
      <c r="L2026">
        <f>_xlfn.XLOOKUP(tbl_analysis_tickets[[#This Row],[priority]],tbl_sla[priority],tbl_sla[First Response SLA Minutes])</f>
        <v>120</v>
      </c>
      <c r="M2026" t="str">
        <f>IF(tbl_analysis_tickets[[#This Row],[resolution_time_hours]]&gt;tbl_analysis_tickets[[#This Row],[Resolution SLA Hours]],"Breached","Within SLA")</f>
        <v>Within SLA</v>
      </c>
      <c r="N2026" t="str">
        <f>IF(tbl_analysis_tickets[[#This Row],[first_response_minutes]]&gt;tbl_analysis_tickets[[#This Row],[First Response SLA Minutes]],"Breached","Within SLA")</f>
        <v>Within SLA</v>
      </c>
      <c r="O2026" t="str" cm="1">
        <f t="array" ref="O2026">_xlfn.IFS(
tbl_analysis_tickets[[#This Row],[agent_experience_years]]&lt;=2,"Junior",
tbl_analysis_tickets[[#This Row],[agent_experience_years]]&lt;=5,"Mid-Level",
tbl_analysis_tickets[[#This Row],[agent_experience_years]]&lt;=8,"Senior",
tbl_analysis_tickets[[#This Row],[agent_experience_years]]&gt;8,"Expert"
)</f>
        <v>Senior</v>
      </c>
      <c r="P2026" cm="1">
        <f t="array" ref="P2026">_xlfn.SWITCH(tbl_analysis_tickets[[#This Row],[customer_satisfaction]],
"Low",1,
"Medium",2,
"High",3
)</f>
        <v>1</v>
      </c>
      <c r="Q2026">
        <f>IF(tbl_analysis_tickets[[#This Row],[reopened]]="Yes",1,0)</f>
        <v>1</v>
      </c>
      <c r="R2026" t="str" cm="1">
        <f t="array" ref="R2026">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026" t="str" cm="1">
        <f t="array" ref="S202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2026" t="str">
        <f>TEXT(tbl_analysis_tickets[[#This Row],[created_date]],"mmm-yyyy")</f>
        <v>Apr-2024</v>
      </c>
      <c r="U2026" t="str">
        <f>TEXT(tbl_analysis_tickets[[#This Row],[created_date]],"dddd")</f>
        <v>Sunday</v>
      </c>
      <c r="V2026" cm="1">
        <f t="array" ref="V2026">_xlfn.SWITCH(tbl_analysis_tickets[[#This Row],[priority]],
"Urgent",1,
"High",2,
"Medium",3,
"Low",4
)</f>
        <v>3</v>
      </c>
    </row>
    <row r="2027" spans="1:22" x14ac:dyDescent="0.25">
      <c r="A2027">
        <v>2026</v>
      </c>
      <c r="B2027" s="1">
        <v>45639</v>
      </c>
      <c r="C2027" t="s">
        <v>23</v>
      </c>
      <c r="D2027" t="s">
        <v>15</v>
      </c>
      <c r="E2027">
        <v>141</v>
      </c>
      <c r="F2027">
        <v>12</v>
      </c>
      <c r="G2027">
        <v>6.7</v>
      </c>
      <c r="H2027" t="s">
        <v>12</v>
      </c>
      <c r="I2027" t="s">
        <v>19</v>
      </c>
      <c r="J2027" t="s">
        <v>11</v>
      </c>
      <c r="K2027">
        <f>_xlfn.XLOOKUP(tbl_analysis_tickets[[#This Row],[priority]],tbl_sla[priority],tbl_sla[Resolution SLA Hours])</f>
        <v>48</v>
      </c>
      <c r="L2027">
        <f>_xlfn.XLOOKUP(tbl_analysis_tickets[[#This Row],[priority]],tbl_sla[priority],tbl_sla[First Response SLA Minutes])</f>
        <v>120</v>
      </c>
      <c r="M2027" t="str">
        <f>IF(tbl_analysis_tickets[[#This Row],[resolution_time_hours]]&gt;tbl_analysis_tickets[[#This Row],[Resolution SLA Hours]],"Breached","Within SLA")</f>
        <v>Within SLA</v>
      </c>
      <c r="N2027" t="str">
        <f>IF(tbl_analysis_tickets[[#This Row],[first_response_minutes]]&gt;tbl_analysis_tickets[[#This Row],[First Response SLA Minutes]],"Breached","Within SLA")</f>
        <v>Breached</v>
      </c>
      <c r="O2027" t="str" cm="1">
        <f t="array" ref="O2027">_xlfn.IFS(
tbl_analysis_tickets[[#This Row],[agent_experience_years]]&lt;=2,"Junior",
tbl_analysis_tickets[[#This Row],[agent_experience_years]]&lt;=5,"Mid-Level",
tbl_analysis_tickets[[#This Row],[agent_experience_years]]&lt;=8,"Senior",
tbl_analysis_tickets[[#This Row],[agent_experience_years]]&gt;8,"Expert"
)</f>
        <v>Senior</v>
      </c>
      <c r="P2027" cm="1">
        <f t="array" ref="P2027">_xlfn.SWITCH(tbl_analysis_tickets[[#This Row],[customer_satisfaction]],
"Low",1,
"Medium",2,
"High",3
)</f>
        <v>1</v>
      </c>
      <c r="Q2027">
        <f>IF(tbl_analysis_tickets[[#This Row],[reopened]]="Yes",1,0)</f>
        <v>1</v>
      </c>
      <c r="R2027" t="str" cm="1">
        <f t="array" ref="R2027">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027" t="str" cm="1">
        <f t="array" ref="S202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027" t="str">
        <f>TEXT(tbl_analysis_tickets[[#This Row],[created_date]],"mmm-yyyy")</f>
        <v>Dec-2024</v>
      </c>
      <c r="U2027" t="str">
        <f>TEXT(tbl_analysis_tickets[[#This Row],[created_date]],"dddd")</f>
        <v>Friday</v>
      </c>
      <c r="V2027" cm="1">
        <f t="array" ref="V2027">_xlfn.SWITCH(tbl_analysis_tickets[[#This Row],[priority]],
"Urgent",1,
"High",2,
"Medium",3,
"Low",4
)</f>
        <v>3</v>
      </c>
    </row>
    <row r="2028" spans="1:22" x14ac:dyDescent="0.25">
      <c r="A2028">
        <v>2027</v>
      </c>
      <c r="B2028" s="1">
        <v>45642</v>
      </c>
      <c r="C2028" t="s">
        <v>14</v>
      </c>
      <c r="D2028" t="s">
        <v>20</v>
      </c>
      <c r="E2028">
        <v>97</v>
      </c>
      <c r="F2028">
        <v>2</v>
      </c>
      <c r="G2028">
        <v>6.5</v>
      </c>
      <c r="H2028" t="s">
        <v>18</v>
      </c>
      <c r="I2028" t="s">
        <v>19</v>
      </c>
      <c r="J2028" t="s">
        <v>15</v>
      </c>
      <c r="K2028">
        <f>_xlfn.XLOOKUP(tbl_analysis_tickets[[#This Row],[priority]],tbl_sla[priority],tbl_sla[Resolution SLA Hours])</f>
        <v>24</v>
      </c>
      <c r="L2028">
        <f>_xlfn.XLOOKUP(tbl_analysis_tickets[[#This Row],[priority]],tbl_sla[priority],tbl_sla[First Response SLA Minutes])</f>
        <v>60</v>
      </c>
      <c r="M2028" t="str">
        <f>IF(tbl_analysis_tickets[[#This Row],[resolution_time_hours]]&gt;tbl_analysis_tickets[[#This Row],[Resolution SLA Hours]],"Breached","Within SLA")</f>
        <v>Within SLA</v>
      </c>
      <c r="N2028" t="str">
        <f>IF(tbl_analysis_tickets[[#This Row],[first_response_minutes]]&gt;tbl_analysis_tickets[[#This Row],[First Response SLA Minutes]],"Breached","Within SLA")</f>
        <v>Breached</v>
      </c>
      <c r="O2028" t="str" cm="1">
        <f t="array" ref="O2028">_xlfn.IFS(
tbl_analysis_tickets[[#This Row],[agent_experience_years]]&lt;=2,"Junior",
tbl_analysis_tickets[[#This Row],[agent_experience_years]]&lt;=5,"Mid-Level",
tbl_analysis_tickets[[#This Row],[agent_experience_years]]&lt;=8,"Senior",
tbl_analysis_tickets[[#This Row],[agent_experience_years]]&gt;8,"Expert"
)</f>
        <v>Senior</v>
      </c>
      <c r="P2028" cm="1">
        <f t="array" ref="P2028">_xlfn.SWITCH(tbl_analysis_tickets[[#This Row],[customer_satisfaction]],
"Low",1,
"Medium",2,
"High",3
)</f>
        <v>2</v>
      </c>
      <c r="Q2028">
        <f>IF(tbl_analysis_tickets[[#This Row],[reopened]]="Yes",1,0)</f>
        <v>0</v>
      </c>
      <c r="R2028" t="str" cm="1">
        <f t="array" ref="R2028">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028" t="str" cm="1">
        <f t="array" ref="S202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2028" t="str">
        <f>TEXT(tbl_analysis_tickets[[#This Row],[created_date]],"mmm-yyyy")</f>
        <v>Dec-2024</v>
      </c>
      <c r="U2028" t="str">
        <f>TEXT(tbl_analysis_tickets[[#This Row],[created_date]],"dddd")</f>
        <v>Monday</v>
      </c>
      <c r="V2028" cm="1">
        <f t="array" ref="V2028">_xlfn.SWITCH(tbl_analysis_tickets[[#This Row],[priority]],
"Urgent",1,
"High",2,
"Medium",3,
"Low",4
)</f>
        <v>2</v>
      </c>
    </row>
    <row r="2029" spans="1:22" x14ac:dyDescent="0.25">
      <c r="A2029">
        <v>2028</v>
      </c>
      <c r="B2029" s="1">
        <v>45446</v>
      </c>
      <c r="C2029" t="s">
        <v>23</v>
      </c>
      <c r="D2029" t="s">
        <v>20</v>
      </c>
      <c r="E2029">
        <v>41</v>
      </c>
      <c r="F2029">
        <v>11</v>
      </c>
      <c r="G2029">
        <v>1.4</v>
      </c>
      <c r="H2029" t="s">
        <v>18</v>
      </c>
      <c r="I2029" t="s">
        <v>13</v>
      </c>
      <c r="J2029" t="s">
        <v>11</v>
      </c>
      <c r="K2029">
        <f>_xlfn.XLOOKUP(tbl_analysis_tickets[[#This Row],[priority]],tbl_sla[priority],tbl_sla[Resolution SLA Hours])</f>
        <v>24</v>
      </c>
      <c r="L2029">
        <f>_xlfn.XLOOKUP(tbl_analysis_tickets[[#This Row],[priority]],tbl_sla[priority],tbl_sla[First Response SLA Minutes])</f>
        <v>60</v>
      </c>
      <c r="M2029" t="str">
        <f>IF(tbl_analysis_tickets[[#This Row],[resolution_time_hours]]&gt;tbl_analysis_tickets[[#This Row],[Resolution SLA Hours]],"Breached","Within SLA")</f>
        <v>Within SLA</v>
      </c>
      <c r="N2029" t="str">
        <f>IF(tbl_analysis_tickets[[#This Row],[first_response_minutes]]&gt;tbl_analysis_tickets[[#This Row],[First Response SLA Minutes]],"Breached","Within SLA")</f>
        <v>Within SLA</v>
      </c>
      <c r="O2029" t="str" cm="1">
        <f t="array" ref="O2029">_xlfn.IFS(
tbl_analysis_tickets[[#This Row],[agent_experience_years]]&lt;=2,"Junior",
tbl_analysis_tickets[[#This Row],[agent_experience_years]]&lt;=5,"Mid-Level",
tbl_analysis_tickets[[#This Row],[agent_experience_years]]&lt;=8,"Senior",
tbl_analysis_tickets[[#This Row],[agent_experience_years]]&gt;8,"Expert"
)</f>
        <v>Junior</v>
      </c>
      <c r="P2029" cm="1">
        <f t="array" ref="P2029">_xlfn.SWITCH(tbl_analysis_tickets[[#This Row],[customer_satisfaction]],
"Low",1,
"Medium",2,
"High",3
)</f>
        <v>1</v>
      </c>
      <c r="Q2029">
        <f>IF(tbl_analysis_tickets[[#This Row],[reopened]]="Yes",1,0)</f>
        <v>0</v>
      </c>
      <c r="R2029" t="str" cm="1">
        <f t="array" ref="R2029">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029" t="str" cm="1">
        <f t="array" ref="S202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029" t="str">
        <f>TEXT(tbl_analysis_tickets[[#This Row],[created_date]],"mmm-yyyy")</f>
        <v>Jun-2024</v>
      </c>
      <c r="U2029" t="str">
        <f>TEXT(tbl_analysis_tickets[[#This Row],[created_date]],"dddd")</f>
        <v>Monday</v>
      </c>
      <c r="V2029" cm="1">
        <f t="array" ref="V2029">_xlfn.SWITCH(tbl_analysis_tickets[[#This Row],[priority]],
"Urgent",1,
"High",2,
"Medium",3,
"Low",4
)</f>
        <v>2</v>
      </c>
    </row>
    <row r="2030" spans="1:22" x14ac:dyDescent="0.25">
      <c r="A2030">
        <v>2029</v>
      </c>
      <c r="B2030" s="1">
        <v>45359</v>
      </c>
      <c r="C2030" t="s">
        <v>23</v>
      </c>
      <c r="D2030" t="s">
        <v>20</v>
      </c>
      <c r="E2030">
        <v>8</v>
      </c>
      <c r="F2030">
        <v>47</v>
      </c>
      <c r="G2030">
        <v>6.2</v>
      </c>
      <c r="H2030" t="s">
        <v>12</v>
      </c>
      <c r="I2030" t="s">
        <v>16</v>
      </c>
      <c r="J2030" t="s">
        <v>15</v>
      </c>
      <c r="K2030">
        <f>_xlfn.XLOOKUP(tbl_analysis_tickets[[#This Row],[priority]],tbl_sla[priority],tbl_sla[Resolution SLA Hours])</f>
        <v>24</v>
      </c>
      <c r="L2030">
        <f>_xlfn.XLOOKUP(tbl_analysis_tickets[[#This Row],[priority]],tbl_sla[priority],tbl_sla[First Response SLA Minutes])</f>
        <v>60</v>
      </c>
      <c r="M2030" t="str">
        <f>IF(tbl_analysis_tickets[[#This Row],[resolution_time_hours]]&gt;tbl_analysis_tickets[[#This Row],[Resolution SLA Hours]],"Breached","Within SLA")</f>
        <v>Breached</v>
      </c>
      <c r="N2030" t="str">
        <f>IF(tbl_analysis_tickets[[#This Row],[first_response_minutes]]&gt;tbl_analysis_tickets[[#This Row],[First Response SLA Minutes]],"Breached","Within SLA")</f>
        <v>Within SLA</v>
      </c>
      <c r="O2030" t="str" cm="1">
        <f t="array" ref="O2030">_xlfn.IFS(
tbl_analysis_tickets[[#This Row],[agent_experience_years]]&lt;=2,"Junior",
tbl_analysis_tickets[[#This Row],[agent_experience_years]]&lt;=5,"Mid-Level",
tbl_analysis_tickets[[#This Row],[agent_experience_years]]&lt;=8,"Senior",
tbl_analysis_tickets[[#This Row],[agent_experience_years]]&gt;8,"Expert"
)</f>
        <v>Senior</v>
      </c>
      <c r="P2030" cm="1">
        <f t="array" ref="P2030">_xlfn.SWITCH(tbl_analysis_tickets[[#This Row],[customer_satisfaction]],
"Low",1,
"Medium",2,
"High",3
)</f>
        <v>2</v>
      </c>
      <c r="Q2030">
        <f>IF(tbl_analysis_tickets[[#This Row],[reopened]]="Yes",1,0)</f>
        <v>1</v>
      </c>
      <c r="R2030" t="str" cm="1">
        <f t="array" ref="R2030">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2030" t="str" cm="1">
        <f t="array" ref="S203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030" t="str">
        <f>TEXT(tbl_analysis_tickets[[#This Row],[created_date]],"mmm-yyyy")</f>
        <v>Mar-2024</v>
      </c>
      <c r="U2030" t="str">
        <f>TEXT(tbl_analysis_tickets[[#This Row],[created_date]],"dddd")</f>
        <v>Friday</v>
      </c>
      <c r="V2030" cm="1">
        <f t="array" ref="V2030">_xlfn.SWITCH(tbl_analysis_tickets[[#This Row],[priority]],
"Urgent",1,
"High",2,
"Medium",3,
"Low",4
)</f>
        <v>2</v>
      </c>
    </row>
    <row r="2031" spans="1:22" x14ac:dyDescent="0.25">
      <c r="A2031">
        <v>2030</v>
      </c>
      <c r="B2031" s="1">
        <v>45618</v>
      </c>
      <c r="C2031" t="s">
        <v>14</v>
      </c>
      <c r="D2031" t="s">
        <v>20</v>
      </c>
      <c r="E2031">
        <v>160</v>
      </c>
      <c r="F2031">
        <v>2</v>
      </c>
      <c r="G2031">
        <v>1.3</v>
      </c>
      <c r="H2031" t="s">
        <v>18</v>
      </c>
      <c r="I2031" t="s">
        <v>19</v>
      </c>
      <c r="J2031" t="s">
        <v>15</v>
      </c>
      <c r="K2031">
        <f>_xlfn.XLOOKUP(tbl_analysis_tickets[[#This Row],[priority]],tbl_sla[priority],tbl_sla[Resolution SLA Hours])</f>
        <v>24</v>
      </c>
      <c r="L2031">
        <f>_xlfn.XLOOKUP(tbl_analysis_tickets[[#This Row],[priority]],tbl_sla[priority],tbl_sla[First Response SLA Minutes])</f>
        <v>60</v>
      </c>
      <c r="M2031" t="str">
        <f>IF(tbl_analysis_tickets[[#This Row],[resolution_time_hours]]&gt;tbl_analysis_tickets[[#This Row],[Resolution SLA Hours]],"Breached","Within SLA")</f>
        <v>Within SLA</v>
      </c>
      <c r="N2031" t="str">
        <f>IF(tbl_analysis_tickets[[#This Row],[first_response_minutes]]&gt;tbl_analysis_tickets[[#This Row],[First Response SLA Minutes]],"Breached","Within SLA")</f>
        <v>Breached</v>
      </c>
      <c r="O2031" t="str" cm="1">
        <f t="array" ref="O2031">_xlfn.IFS(
tbl_analysis_tickets[[#This Row],[agent_experience_years]]&lt;=2,"Junior",
tbl_analysis_tickets[[#This Row],[agent_experience_years]]&lt;=5,"Mid-Level",
tbl_analysis_tickets[[#This Row],[agent_experience_years]]&lt;=8,"Senior",
tbl_analysis_tickets[[#This Row],[agent_experience_years]]&gt;8,"Expert"
)</f>
        <v>Junior</v>
      </c>
      <c r="P2031" cm="1">
        <f t="array" ref="P2031">_xlfn.SWITCH(tbl_analysis_tickets[[#This Row],[customer_satisfaction]],
"Low",1,
"Medium",2,
"High",3
)</f>
        <v>2</v>
      </c>
      <c r="Q2031">
        <f>IF(tbl_analysis_tickets[[#This Row],[reopened]]="Yes",1,0)</f>
        <v>0</v>
      </c>
      <c r="R2031" t="str" cm="1">
        <f t="array" ref="R2031">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031" t="str" cm="1">
        <f t="array" ref="S203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2031" t="str">
        <f>TEXT(tbl_analysis_tickets[[#This Row],[created_date]],"mmm-yyyy")</f>
        <v>Nov-2024</v>
      </c>
      <c r="U2031" t="str">
        <f>TEXT(tbl_analysis_tickets[[#This Row],[created_date]],"dddd")</f>
        <v>Friday</v>
      </c>
      <c r="V2031" cm="1">
        <f t="array" ref="V2031">_xlfn.SWITCH(tbl_analysis_tickets[[#This Row],[priority]],
"Urgent",1,
"High",2,
"Medium",3,
"Low",4
)</f>
        <v>2</v>
      </c>
    </row>
    <row r="2032" spans="1:22" x14ac:dyDescent="0.25">
      <c r="A2032">
        <v>2031</v>
      </c>
      <c r="B2032" s="1">
        <v>45336</v>
      </c>
      <c r="C2032" t="s">
        <v>22</v>
      </c>
      <c r="D2032" t="s">
        <v>11</v>
      </c>
      <c r="E2032">
        <v>17</v>
      </c>
      <c r="F2032">
        <v>18</v>
      </c>
      <c r="G2032">
        <v>1.8</v>
      </c>
      <c r="H2032" t="s">
        <v>18</v>
      </c>
      <c r="I2032" t="s">
        <v>16</v>
      </c>
      <c r="J2032" t="s">
        <v>15</v>
      </c>
      <c r="K2032">
        <f>_xlfn.XLOOKUP(tbl_analysis_tickets[[#This Row],[priority]],tbl_sla[priority],tbl_sla[Resolution SLA Hours])</f>
        <v>72</v>
      </c>
      <c r="L2032">
        <f>_xlfn.XLOOKUP(tbl_analysis_tickets[[#This Row],[priority]],tbl_sla[priority],tbl_sla[First Response SLA Minutes])</f>
        <v>240</v>
      </c>
      <c r="M2032" t="str">
        <f>IF(tbl_analysis_tickets[[#This Row],[resolution_time_hours]]&gt;tbl_analysis_tickets[[#This Row],[Resolution SLA Hours]],"Breached","Within SLA")</f>
        <v>Within SLA</v>
      </c>
      <c r="N2032" t="str">
        <f>IF(tbl_analysis_tickets[[#This Row],[first_response_minutes]]&gt;tbl_analysis_tickets[[#This Row],[First Response SLA Minutes]],"Breached","Within SLA")</f>
        <v>Within SLA</v>
      </c>
      <c r="O2032" t="str" cm="1">
        <f t="array" ref="O2032">_xlfn.IFS(
tbl_analysis_tickets[[#This Row],[agent_experience_years]]&lt;=2,"Junior",
tbl_analysis_tickets[[#This Row],[agent_experience_years]]&lt;=5,"Mid-Level",
tbl_analysis_tickets[[#This Row],[agent_experience_years]]&lt;=8,"Senior",
tbl_analysis_tickets[[#This Row],[agent_experience_years]]&gt;8,"Expert"
)</f>
        <v>Junior</v>
      </c>
      <c r="P2032" cm="1">
        <f t="array" ref="P2032">_xlfn.SWITCH(tbl_analysis_tickets[[#This Row],[customer_satisfaction]],
"Low",1,
"Medium",2,
"High",3
)</f>
        <v>2</v>
      </c>
      <c r="Q2032">
        <f>IF(tbl_analysis_tickets[[#This Row],[reopened]]="Yes",1,0)</f>
        <v>0</v>
      </c>
      <c r="R2032" t="str" cm="1">
        <f t="array" ref="R2032">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2032" t="str" cm="1">
        <f t="array" ref="S203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032" t="str">
        <f>TEXT(tbl_analysis_tickets[[#This Row],[created_date]],"mmm-yyyy")</f>
        <v>Feb-2024</v>
      </c>
      <c r="U2032" t="str">
        <f>TEXT(tbl_analysis_tickets[[#This Row],[created_date]],"dddd")</f>
        <v>Wednesday</v>
      </c>
      <c r="V2032" cm="1">
        <f t="array" ref="V2032">_xlfn.SWITCH(tbl_analysis_tickets[[#This Row],[priority]],
"Urgent",1,
"High",2,
"Medium",3,
"Low",4
)</f>
        <v>4</v>
      </c>
    </row>
    <row r="2033" spans="1:22" x14ac:dyDescent="0.25">
      <c r="A2033">
        <v>2032</v>
      </c>
      <c r="B2033" s="1">
        <v>45362</v>
      </c>
      <c r="C2033" t="s">
        <v>23</v>
      </c>
      <c r="D2033" t="s">
        <v>20</v>
      </c>
      <c r="E2033">
        <v>223</v>
      </c>
      <c r="F2033">
        <v>54</v>
      </c>
      <c r="G2033">
        <v>2.8</v>
      </c>
      <c r="H2033" t="s">
        <v>12</v>
      </c>
      <c r="I2033" t="s">
        <v>19</v>
      </c>
      <c r="J2033" t="s">
        <v>11</v>
      </c>
      <c r="K2033">
        <f>_xlfn.XLOOKUP(tbl_analysis_tickets[[#This Row],[priority]],tbl_sla[priority],tbl_sla[Resolution SLA Hours])</f>
        <v>24</v>
      </c>
      <c r="L2033">
        <f>_xlfn.XLOOKUP(tbl_analysis_tickets[[#This Row],[priority]],tbl_sla[priority],tbl_sla[First Response SLA Minutes])</f>
        <v>60</v>
      </c>
      <c r="M2033" t="str">
        <f>IF(tbl_analysis_tickets[[#This Row],[resolution_time_hours]]&gt;tbl_analysis_tickets[[#This Row],[Resolution SLA Hours]],"Breached","Within SLA")</f>
        <v>Breached</v>
      </c>
      <c r="N2033" t="str">
        <f>IF(tbl_analysis_tickets[[#This Row],[first_response_minutes]]&gt;tbl_analysis_tickets[[#This Row],[First Response SLA Minutes]],"Breached","Within SLA")</f>
        <v>Breached</v>
      </c>
      <c r="O2033" t="str" cm="1">
        <f t="array" ref="O2033">_xlfn.IFS(
tbl_analysis_tickets[[#This Row],[agent_experience_years]]&lt;=2,"Junior",
tbl_analysis_tickets[[#This Row],[agent_experience_years]]&lt;=5,"Mid-Level",
tbl_analysis_tickets[[#This Row],[agent_experience_years]]&lt;=8,"Senior",
tbl_analysis_tickets[[#This Row],[agent_experience_years]]&gt;8,"Expert"
)</f>
        <v>Mid-Level</v>
      </c>
      <c r="P2033" cm="1">
        <f t="array" ref="P2033">_xlfn.SWITCH(tbl_analysis_tickets[[#This Row],[customer_satisfaction]],
"Low",1,
"Medium",2,
"High",3
)</f>
        <v>1</v>
      </c>
      <c r="Q2033">
        <f>IF(tbl_analysis_tickets[[#This Row],[reopened]]="Yes",1,0)</f>
        <v>1</v>
      </c>
      <c r="R2033" t="str" cm="1">
        <f t="array" ref="R2033">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033" t="str" cm="1">
        <f t="array" ref="S203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033" t="str">
        <f>TEXT(tbl_analysis_tickets[[#This Row],[created_date]],"mmm-yyyy")</f>
        <v>Mar-2024</v>
      </c>
      <c r="U2033" t="str">
        <f>TEXT(tbl_analysis_tickets[[#This Row],[created_date]],"dddd")</f>
        <v>Monday</v>
      </c>
      <c r="V2033" cm="1">
        <f t="array" ref="V2033">_xlfn.SWITCH(tbl_analysis_tickets[[#This Row],[priority]],
"Urgent",1,
"High",2,
"Medium",3,
"Low",4
)</f>
        <v>2</v>
      </c>
    </row>
    <row r="2034" spans="1:22" x14ac:dyDescent="0.25">
      <c r="A2034">
        <v>2033</v>
      </c>
      <c r="B2034" s="1">
        <v>45447</v>
      </c>
      <c r="C2034" t="s">
        <v>21</v>
      </c>
      <c r="D2034" t="s">
        <v>11</v>
      </c>
      <c r="E2034">
        <v>116</v>
      </c>
      <c r="F2034">
        <v>22</v>
      </c>
      <c r="G2034">
        <v>10</v>
      </c>
      <c r="H2034" t="s">
        <v>18</v>
      </c>
      <c r="I2034" t="s">
        <v>16</v>
      </c>
      <c r="J2034" t="s">
        <v>15</v>
      </c>
      <c r="K2034">
        <f>_xlfn.XLOOKUP(tbl_analysis_tickets[[#This Row],[priority]],tbl_sla[priority],tbl_sla[Resolution SLA Hours])</f>
        <v>72</v>
      </c>
      <c r="L2034">
        <f>_xlfn.XLOOKUP(tbl_analysis_tickets[[#This Row],[priority]],tbl_sla[priority],tbl_sla[First Response SLA Minutes])</f>
        <v>240</v>
      </c>
      <c r="M2034" t="str">
        <f>IF(tbl_analysis_tickets[[#This Row],[resolution_time_hours]]&gt;tbl_analysis_tickets[[#This Row],[Resolution SLA Hours]],"Breached","Within SLA")</f>
        <v>Within SLA</v>
      </c>
      <c r="N2034" t="str">
        <f>IF(tbl_analysis_tickets[[#This Row],[first_response_minutes]]&gt;tbl_analysis_tickets[[#This Row],[First Response SLA Minutes]],"Breached","Within SLA")</f>
        <v>Within SLA</v>
      </c>
      <c r="O2034" t="str" cm="1">
        <f t="array" ref="O2034">_xlfn.IFS(
tbl_analysis_tickets[[#This Row],[agent_experience_years]]&lt;=2,"Junior",
tbl_analysis_tickets[[#This Row],[agent_experience_years]]&lt;=5,"Mid-Level",
tbl_analysis_tickets[[#This Row],[agent_experience_years]]&lt;=8,"Senior",
tbl_analysis_tickets[[#This Row],[agent_experience_years]]&gt;8,"Expert"
)</f>
        <v>Expert</v>
      </c>
      <c r="P2034" cm="1">
        <f t="array" ref="P2034">_xlfn.SWITCH(tbl_analysis_tickets[[#This Row],[customer_satisfaction]],
"Low",1,
"Medium",2,
"High",3
)</f>
        <v>2</v>
      </c>
      <c r="Q2034">
        <f>IF(tbl_analysis_tickets[[#This Row],[reopened]]="Yes",1,0)</f>
        <v>0</v>
      </c>
      <c r="R2034" t="str" cm="1">
        <f t="array" ref="R2034">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034" t="str" cm="1">
        <f t="array" ref="S203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034" t="str">
        <f>TEXT(tbl_analysis_tickets[[#This Row],[created_date]],"mmm-yyyy")</f>
        <v>Jun-2024</v>
      </c>
      <c r="U2034" t="str">
        <f>TEXT(tbl_analysis_tickets[[#This Row],[created_date]],"dddd")</f>
        <v>Tuesday</v>
      </c>
      <c r="V2034" cm="1">
        <f t="array" ref="V2034">_xlfn.SWITCH(tbl_analysis_tickets[[#This Row],[priority]],
"Urgent",1,
"High",2,
"Medium",3,
"Low",4
)</f>
        <v>4</v>
      </c>
    </row>
    <row r="2035" spans="1:22" x14ac:dyDescent="0.25">
      <c r="A2035">
        <v>2034</v>
      </c>
      <c r="B2035" s="1">
        <v>45580</v>
      </c>
      <c r="C2035" t="s">
        <v>21</v>
      </c>
      <c r="D2035" t="s">
        <v>17</v>
      </c>
      <c r="E2035">
        <v>43</v>
      </c>
      <c r="F2035">
        <v>44</v>
      </c>
      <c r="G2035">
        <v>9.1</v>
      </c>
      <c r="H2035" t="s">
        <v>18</v>
      </c>
      <c r="I2035" t="s">
        <v>16</v>
      </c>
      <c r="J2035" t="s">
        <v>11</v>
      </c>
      <c r="K2035">
        <f>_xlfn.XLOOKUP(tbl_analysis_tickets[[#This Row],[priority]],tbl_sla[priority],tbl_sla[Resolution SLA Hours])</f>
        <v>8</v>
      </c>
      <c r="L2035">
        <f>_xlfn.XLOOKUP(tbl_analysis_tickets[[#This Row],[priority]],tbl_sla[priority],tbl_sla[First Response SLA Minutes])</f>
        <v>30</v>
      </c>
      <c r="M2035" t="str">
        <f>IF(tbl_analysis_tickets[[#This Row],[resolution_time_hours]]&gt;tbl_analysis_tickets[[#This Row],[Resolution SLA Hours]],"Breached","Within SLA")</f>
        <v>Breached</v>
      </c>
      <c r="N2035" t="str">
        <f>IF(tbl_analysis_tickets[[#This Row],[first_response_minutes]]&gt;tbl_analysis_tickets[[#This Row],[First Response SLA Minutes]],"Breached","Within SLA")</f>
        <v>Breached</v>
      </c>
      <c r="O2035" t="str" cm="1">
        <f t="array" ref="O2035">_xlfn.IFS(
tbl_analysis_tickets[[#This Row],[agent_experience_years]]&lt;=2,"Junior",
tbl_analysis_tickets[[#This Row],[agent_experience_years]]&lt;=5,"Mid-Level",
tbl_analysis_tickets[[#This Row],[agent_experience_years]]&lt;=8,"Senior",
tbl_analysis_tickets[[#This Row],[agent_experience_years]]&gt;8,"Expert"
)</f>
        <v>Expert</v>
      </c>
      <c r="P2035" cm="1">
        <f t="array" ref="P2035">_xlfn.SWITCH(tbl_analysis_tickets[[#This Row],[customer_satisfaction]],
"Low",1,
"Medium",2,
"High",3
)</f>
        <v>1</v>
      </c>
      <c r="Q2035">
        <f>IF(tbl_analysis_tickets[[#This Row],[reopened]]="Yes",1,0)</f>
        <v>0</v>
      </c>
      <c r="R2035" t="str" cm="1">
        <f t="array" ref="R2035">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035" t="str" cm="1">
        <f t="array" ref="S203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035" t="str">
        <f>TEXT(tbl_analysis_tickets[[#This Row],[created_date]],"mmm-yyyy")</f>
        <v>Oct-2024</v>
      </c>
      <c r="U2035" t="str">
        <f>TEXT(tbl_analysis_tickets[[#This Row],[created_date]],"dddd")</f>
        <v>Tuesday</v>
      </c>
      <c r="V2035" cm="1">
        <f t="array" ref="V2035">_xlfn.SWITCH(tbl_analysis_tickets[[#This Row],[priority]],
"Urgent",1,
"High",2,
"Medium",3,
"Low",4
)</f>
        <v>1</v>
      </c>
    </row>
    <row r="2036" spans="1:22" x14ac:dyDescent="0.25">
      <c r="A2036">
        <v>2035</v>
      </c>
      <c r="B2036" s="1">
        <v>45413</v>
      </c>
      <c r="C2036" t="s">
        <v>22</v>
      </c>
      <c r="D2036" t="s">
        <v>20</v>
      </c>
      <c r="E2036">
        <v>54</v>
      </c>
      <c r="F2036">
        <v>33</v>
      </c>
      <c r="G2036">
        <v>8.8000000000000007</v>
      </c>
      <c r="H2036" t="s">
        <v>12</v>
      </c>
      <c r="I2036" t="s">
        <v>19</v>
      </c>
      <c r="J2036" t="s">
        <v>11</v>
      </c>
      <c r="K2036">
        <f>_xlfn.XLOOKUP(tbl_analysis_tickets[[#This Row],[priority]],tbl_sla[priority],tbl_sla[Resolution SLA Hours])</f>
        <v>24</v>
      </c>
      <c r="L2036">
        <f>_xlfn.XLOOKUP(tbl_analysis_tickets[[#This Row],[priority]],tbl_sla[priority],tbl_sla[First Response SLA Minutes])</f>
        <v>60</v>
      </c>
      <c r="M2036" t="str">
        <f>IF(tbl_analysis_tickets[[#This Row],[resolution_time_hours]]&gt;tbl_analysis_tickets[[#This Row],[Resolution SLA Hours]],"Breached","Within SLA")</f>
        <v>Breached</v>
      </c>
      <c r="N2036" t="str">
        <f>IF(tbl_analysis_tickets[[#This Row],[first_response_minutes]]&gt;tbl_analysis_tickets[[#This Row],[First Response SLA Minutes]],"Breached","Within SLA")</f>
        <v>Within SLA</v>
      </c>
      <c r="O2036" t="str" cm="1">
        <f t="array" ref="O2036">_xlfn.IFS(
tbl_analysis_tickets[[#This Row],[agent_experience_years]]&lt;=2,"Junior",
tbl_analysis_tickets[[#This Row],[agent_experience_years]]&lt;=5,"Mid-Level",
tbl_analysis_tickets[[#This Row],[agent_experience_years]]&lt;=8,"Senior",
tbl_analysis_tickets[[#This Row],[agent_experience_years]]&gt;8,"Expert"
)</f>
        <v>Expert</v>
      </c>
      <c r="P2036" cm="1">
        <f t="array" ref="P2036">_xlfn.SWITCH(tbl_analysis_tickets[[#This Row],[customer_satisfaction]],
"Low",1,
"Medium",2,
"High",3
)</f>
        <v>1</v>
      </c>
      <c r="Q2036">
        <f>IF(tbl_analysis_tickets[[#This Row],[reopened]]="Yes",1,0)</f>
        <v>1</v>
      </c>
      <c r="R2036" t="str" cm="1">
        <f t="array" ref="R2036">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036" t="str" cm="1">
        <f t="array" ref="S203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036" t="str">
        <f>TEXT(tbl_analysis_tickets[[#This Row],[created_date]],"mmm-yyyy")</f>
        <v>May-2024</v>
      </c>
      <c r="U2036" t="str">
        <f>TEXT(tbl_analysis_tickets[[#This Row],[created_date]],"dddd")</f>
        <v>Wednesday</v>
      </c>
      <c r="V2036" cm="1">
        <f t="array" ref="V2036">_xlfn.SWITCH(tbl_analysis_tickets[[#This Row],[priority]],
"Urgent",1,
"High",2,
"Medium",3,
"Low",4
)</f>
        <v>2</v>
      </c>
    </row>
    <row r="2037" spans="1:22" x14ac:dyDescent="0.25">
      <c r="A2037">
        <v>2036</v>
      </c>
      <c r="B2037" s="1">
        <v>45541</v>
      </c>
      <c r="C2037" t="s">
        <v>10</v>
      </c>
      <c r="D2037" t="s">
        <v>17</v>
      </c>
      <c r="E2037">
        <v>20</v>
      </c>
      <c r="F2037">
        <v>37</v>
      </c>
      <c r="G2037">
        <v>5.2</v>
      </c>
      <c r="H2037" t="s">
        <v>12</v>
      </c>
      <c r="I2037" t="s">
        <v>16</v>
      </c>
      <c r="J2037" t="s">
        <v>15</v>
      </c>
      <c r="K2037">
        <f>_xlfn.XLOOKUP(tbl_analysis_tickets[[#This Row],[priority]],tbl_sla[priority],tbl_sla[Resolution SLA Hours])</f>
        <v>8</v>
      </c>
      <c r="L2037">
        <f>_xlfn.XLOOKUP(tbl_analysis_tickets[[#This Row],[priority]],tbl_sla[priority],tbl_sla[First Response SLA Minutes])</f>
        <v>30</v>
      </c>
      <c r="M2037" t="str">
        <f>IF(tbl_analysis_tickets[[#This Row],[resolution_time_hours]]&gt;tbl_analysis_tickets[[#This Row],[Resolution SLA Hours]],"Breached","Within SLA")</f>
        <v>Breached</v>
      </c>
      <c r="N2037" t="str">
        <f>IF(tbl_analysis_tickets[[#This Row],[first_response_minutes]]&gt;tbl_analysis_tickets[[#This Row],[First Response SLA Minutes]],"Breached","Within SLA")</f>
        <v>Within SLA</v>
      </c>
      <c r="O2037" t="str" cm="1">
        <f t="array" ref="O2037">_xlfn.IFS(
tbl_analysis_tickets[[#This Row],[agent_experience_years]]&lt;=2,"Junior",
tbl_analysis_tickets[[#This Row],[agent_experience_years]]&lt;=5,"Mid-Level",
tbl_analysis_tickets[[#This Row],[agent_experience_years]]&lt;=8,"Senior",
tbl_analysis_tickets[[#This Row],[agent_experience_years]]&gt;8,"Expert"
)</f>
        <v>Senior</v>
      </c>
      <c r="P2037" cm="1">
        <f t="array" ref="P2037">_xlfn.SWITCH(tbl_analysis_tickets[[#This Row],[customer_satisfaction]],
"Low",1,
"Medium",2,
"High",3
)</f>
        <v>2</v>
      </c>
      <c r="Q2037">
        <f>IF(tbl_analysis_tickets[[#This Row],[reopened]]="Yes",1,0)</f>
        <v>1</v>
      </c>
      <c r="R2037" t="str" cm="1">
        <f t="array" ref="R2037">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2037" t="str" cm="1">
        <f t="array" ref="S203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037" t="str">
        <f>TEXT(tbl_analysis_tickets[[#This Row],[created_date]],"mmm-yyyy")</f>
        <v>Sep-2024</v>
      </c>
      <c r="U2037" t="str">
        <f>TEXT(tbl_analysis_tickets[[#This Row],[created_date]],"dddd")</f>
        <v>Friday</v>
      </c>
      <c r="V2037" cm="1">
        <f t="array" ref="V2037">_xlfn.SWITCH(tbl_analysis_tickets[[#This Row],[priority]],
"Urgent",1,
"High",2,
"Medium",3,
"Low",4
)</f>
        <v>1</v>
      </c>
    </row>
    <row r="2038" spans="1:22" x14ac:dyDescent="0.25">
      <c r="A2038">
        <v>2037</v>
      </c>
      <c r="B2038" s="1">
        <v>45631</v>
      </c>
      <c r="C2038" t="s">
        <v>10</v>
      </c>
      <c r="D2038" t="s">
        <v>17</v>
      </c>
      <c r="E2038">
        <v>119</v>
      </c>
      <c r="F2038">
        <v>16</v>
      </c>
      <c r="G2038">
        <v>7.5</v>
      </c>
      <c r="H2038" t="s">
        <v>18</v>
      </c>
      <c r="I2038" t="s">
        <v>13</v>
      </c>
      <c r="J2038" t="s">
        <v>11</v>
      </c>
      <c r="K2038">
        <f>_xlfn.XLOOKUP(tbl_analysis_tickets[[#This Row],[priority]],tbl_sla[priority],tbl_sla[Resolution SLA Hours])</f>
        <v>8</v>
      </c>
      <c r="L2038">
        <f>_xlfn.XLOOKUP(tbl_analysis_tickets[[#This Row],[priority]],tbl_sla[priority],tbl_sla[First Response SLA Minutes])</f>
        <v>30</v>
      </c>
      <c r="M2038" t="str">
        <f>IF(tbl_analysis_tickets[[#This Row],[resolution_time_hours]]&gt;tbl_analysis_tickets[[#This Row],[Resolution SLA Hours]],"Breached","Within SLA")</f>
        <v>Breached</v>
      </c>
      <c r="N2038" t="str">
        <f>IF(tbl_analysis_tickets[[#This Row],[first_response_minutes]]&gt;tbl_analysis_tickets[[#This Row],[First Response SLA Minutes]],"Breached","Within SLA")</f>
        <v>Breached</v>
      </c>
      <c r="O2038" t="str" cm="1">
        <f t="array" ref="O2038">_xlfn.IFS(
tbl_analysis_tickets[[#This Row],[agent_experience_years]]&lt;=2,"Junior",
tbl_analysis_tickets[[#This Row],[agent_experience_years]]&lt;=5,"Mid-Level",
tbl_analysis_tickets[[#This Row],[agent_experience_years]]&lt;=8,"Senior",
tbl_analysis_tickets[[#This Row],[agent_experience_years]]&gt;8,"Expert"
)</f>
        <v>Senior</v>
      </c>
      <c r="P2038" cm="1">
        <f t="array" ref="P2038">_xlfn.SWITCH(tbl_analysis_tickets[[#This Row],[customer_satisfaction]],
"Low",1,
"Medium",2,
"High",3
)</f>
        <v>1</v>
      </c>
      <c r="Q2038">
        <f>IF(tbl_analysis_tickets[[#This Row],[reopened]]="Yes",1,0)</f>
        <v>0</v>
      </c>
      <c r="R2038" t="str" cm="1">
        <f t="array" ref="R2038">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038" t="str" cm="1">
        <f t="array" ref="S203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038" t="str">
        <f>TEXT(tbl_analysis_tickets[[#This Row],[created_date]],"mmm-yyyy")</f>
        <v>Dec-2024</v>
      </c>
      <c r="U2038" t="str">
        <f>TEXT(tbl_analysis_tickets[[#This Row],[created_date]],"dddd")</f>
        <v>Thursday</v>
      </c>
      <c r="V2038" cm="1">
        <f t="array" ref="V2038">_xlfn.SWITCH(tbl_analysis_tickets[[#This Row],[priority]],
"Urgent",1,
"High",2,
"Medium",3,
"Low",4
)</f>
        <v>1</v>
      </c>
    </row>
    <row r="2039" spans="1:22" x14ac:dyDescent="0.25">
      <c r="A2039">
        <v>2038</v>
      </c>
      <c r="B2039" s="1">
        <v>45570</v>
      </c>
      <c r="C2039" t="s">
        <v>14</v>
      </c>
      <c r="D2039" t="s">
        <v>11</v>
      </c>
      <c r="E2039">
        <v>178</v>
      </c>
      <c r="F2039">
        <v>25</v>
      </c>
      <c r="G2039">
        <v>5.7</v>
      </c>
      <c r="H2039" t="s">
        <v>18</v>
      </c>
      <c r="I2039" t="s">
        <v>13</v>
      </c>
      <c r="J2039" t="s">
        <v>15</v>
      </c>
      <c r="K2039">
        <f>_xlfn.XLOOKUP(tbl_analysis_tickets[[#This Row],[priority]],tbl_sla[priority],tbl_sla[Resolution SLA Hours])</f>
        <v>72</v>
      </c>
      <c r="L2039">
        <f>_xlfn.XLOOKUP(tbl_analysis_tickets[[#This Row],[priority]],tbl_sla[priority],tbl_sla[First Response SLA Minutes])</f>
        <v>240</v>
      </c>
      <c r="M2039" t="str">
        <f>IF(tbl_analysis_tickets[[#This Row],[resolution_time_hours]]&gt;tbl_analysis_tickets[[#This Row],[Resolution SLA Hours]],"Breached","Within SLA")</f>
        <v>Within SLA</v>
      </c>
      <c r="N2039" t="str">
        <f>IF(tbl_analysis_tickets[[#This Row],[first_response_minutes]]&gt;tbl_analysis_tickets[[#This Row],[First Response SLA Minutes]],"Breached","Within SLA")</f>
        <v>Within SLA</v>
      </c>
      <c r="O2039" t="str" cm="1">
        <f t="array" ref="O2039">_xlfn.IFS(
tbl_analysis_tickets[[#This Row],[agent_experience_years]]&lt;=2,"Junior",
tbl_analysis_tickets[[#This Row],[agent_experience_years]]&lt;=5,"Mid-Level",
tbl_analysis_tickets[[#This Row],[agent_experience_years]]&lt;=8,"Senior",
tbl_analysis_tickets[[#This Row],[agent_experience_years]]&gt;8,"Expert"
)</f>
        <v>Senior</v>
      </c>
      <c r="P2039" cm="1">
        <f t="array" ref="P2039">_xlfn.SWITCH(tbl_analysis_tickets[[#This Row],[customer_satisfaction]],
"Low",1,
"Medium",2,
"High",3
)</f>
        <v>2</v>
      </c>
      <c r="Q2039">
        <f>IF(tbl_analysis_tickets[[#This Row],[reopened]]="Yes",1,0)</f>
        <v>0</v>
      </c>
      <c r="R2039" t="str" cm="1">
        <f t="array" ref="R2039">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039" t="str" cm="1">
        <f t="array" ref="S203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039" t="str">
        <f>TEXT(tbl_analysis_tickets[[#This Row],[created_date]],"mmm-yyyy")</f>
        <v>Oct-2024</v>
      </c>
      <c r="U2039" t="str">
        <f>TEXT(tbl_analysis_tickets[[#This Row],[created_date]],"dddd")</f>
        <v>Saturday</v>
      </c>
      <c r="V2039" cm="1">
        <f t="array" ref="V2039">_xlfn.SWITCH(tbl_analysis_tickets[[#This Row],[priority]],
"Urgent",1,
"High",2,
"Medium",3,
"Low",4
)</f>
        <v>4</v>
      </c>
    </row>
    <row r="2040" spans="1:22" x14ac:dyDescent="0.25">
      <c r="A2040">
        <v>2039</v>
      </c>
      <c r="B2040" s="1">
        <v>45550</v>
      </c>
      <c r="C2040" t="s">
        <v>10</v>
      </c>
      <c r="D2040" t="s">
        <v>15</v>
      </c>
      <c r="E2040">
        <v>101</v>
      </c>
      <c r="F2040">
        <v>22</v>
      </c>
      <c r="G2040">
        <v>5.5</v>
      </c>
      <c r="H2040" t="s">
        <v>12</v>
      </c>
      <c r="I2040" t="s">
        <v>13</v>
      </c>
      <c r="J2040" t="s">
        <v>11</v>
      </c>
      <c r="K2040">
        <f>_xlfn.XLOOKUP(tbl_analysis_tickets[[#This Row],[priority]],tbl_sla[priority],tbl_sla[Resolution SLA Hours])</f>
        <v>48</v>
      </c>
      <c r="L2040">
        <f>_xlfn.XLOOKUP(tbl_analysis_tickets[[#This Row],[priority]],tbl_sla[priority],tbl_sla[First Response SLA Minutes])</f>
        <v>120</v>
      </c>
      <c r="M2040" t="str">
        <f>IF(tbl_analysis_tickets[[#This Row],[resolution_time_hours]]&gt;tbl_analysis_tickets[[#This Row],[Resolution SLA Hours]],"Breached","Within SLA")</f>
        <v>Within SLA</v>
      </c>
      <c r="N2040" t="str">
        <f>IF(tbl_analysis_tickets[[#This Row],[first_response_minutes]]&gt;tbl_analysis_tickets[[#This Row],[First Response SLA Minutes]],"Breached","Within SLA")</f>
        <v>Within SLA</v>
      </c>
      <c r="O2040" t="str" cm="1">
        <f t="array" ref="O2040">_xlfn.IFS(
tbl_analysis_tickets[[#This Row],[agent_experience_years]]&lt;=2,"Junior",
tbl_analysis_tickets[[#This Row],[agent_experience_years]]&lt;=5,"Mid-Level",
tbl_analysis_tickets[[#This Row],[agent_experience_years]]&lt;=8,"Senior",
tbl_analysis_tickets[[#This Row],[agent_experience_years]]&gt;8,"Expert"
)</f>
        <v>Senior</v>
      </c>
      <c r="P2040" cm="1">
        <f t="array" ref="P2040">_xlfn.SWITCH(tbl_analysis_tickets[[#This Row],[customer_satisfaction]],
"Low",1,
"Medium",2,
"High",3
)</f>
        <v>1</v>
      </c>
      <c r="Q2040">
        <f>IF(tbl_analysis_tickets[[#This Row],[reopened]]="Yes",1,0)</f>
        <v>1</v>
      </c>
      <c r="R2040" t="str" cm="1">
        <f t="array" ref="R2040">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040" t="str" cm="1">
        <f t="array" ref="S204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040" t="str">
        <f>TEXT(tbl_analysis_tickets[[#This Row],[created_date]],"mmm-yyyy")</f>
        <v>Sep-2024</v>
      </c>
      <c r="U2040" t="str">
        <f>TEXT(tbl_analysis_tickets[[#This Row],[created_date]],"dddd")</f>
        <v>Sunday</v>
      </c>
      <c r="V2040" cm="1">
        <f t="array" ref="V2040">_xlfn.SWITCH(tbl_analysis_tickets[[#This Row],[priority]],
"Urgent",1,
"High",2,
"Medium",3,
"Low",4
)</f>
        <v>3</v>
      </c>
    </row>
    <row r="2041" spans="1:22" x14ac:dyDescent="0.25">
      <c r="A2041">
        <v>2040</v>
      </c>
      <c r="B2041" s="1">
        <v>45333</v>
      </c>
      <c r="C2041" t="s">
        <v>23</v>
      </c>
      <c r="D2041" t="s">
        <v>20</v>
      </c>
      <c r="E2041">
        <v>110</v>
      </c>
      <c r="F2041">
        <v>39</v>
      </c>
      <c r="G2041">
        <v>9</v>
      </c>
      <c r="H2041" t="s">
        <v>12</v>
      </c>
      <c r="I2041" t="s">
        <v>19</v>
      </c>
      <c r="J2041" t="s">
        <v>11</v>
      </c>
      <c r="K2041">
        <f>_xlfn.XLOOKUP(tbl_analysis_tickets[[#This Row],[priority]],tbl_sla[priority],tbl_sla[Resolution SLA Hours])</f>
        <v>24</v>
      </c>
      <c r="L2041">
        <f>_xlfn.XLOOKUP(tbl_analysis_tickets[[#This Row],[priority]],tbl_sla[priority],tbl_sla[First Response SLA Minutes])</f>
        <v>60</v>
      </c>
      <c r="M2041" t="str">
        <f>IF(tbl_analysis_tickets[[#This Row],[resolution_time_hours]]&gt;tbl_analysis_tickets[[#This Row],[Resolution SLA Hours]],"Breached","Within SLA")</f>
        <v>Breached</v>
      </c>
      <c r="N2041" t="str">
        <f>IF(tbl_analysis_tickets[[#This Row],[first_response_minutes]]&gt;tbl_analysis_tickets[[#This Row],[First Response SLA Minutes]],"Breached","Within SLA")</f>
        <v>Breached</v>
      </c>
      <c r="O2041" t="str" cm="1">
        <f t="array" ref="O2041">_xlfn.IFS(
tbl_analysis_tickets[[#This Row],[agent_experience_years]]&lt;=2,"Junior",
tbl_analysis_tickets[[#This Row],[agent_experience_years]]&lt;=5,"Mid-Level",
tbl_analysis_tickets[[#This Row],[agent_experience_years]]&lt;=8,"Senior",
tbl_analysis_tickets[[#This Row],[agent_experience_years]]&gt;8,"Expert"
)</f>
        <v>Expert</v>
      </c>
      <c r="P2041" cm="1">
        <f t="array" ref="P2041">_xlfn.SWITCH(tbl_analysis_tickets[[#This Row],[customer_satisfaction]],
"Low",1,
"Medium",2,
"High",3
)</f>
        <v>1</v>
      </c>
      <c r="Q2041">
        <f>IF(tbl_analysis_tickets[[#This Row],[reopened]]="Yes",1,0)</f>
        <v>1</v>
      </c>
      <c r="R2041" t="str" cm="1">
        <f t="array" ref="R2041">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041" t="str" cm="1">
        <f t="array" ref="S204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041" t="str">
        <f>TEXT(tbl_analysis_tickets[[#This Row],[created_date]],"mmm-yyyy")</f>
        <v>Feb-2024</v>
      </c>
      <c r="U2041" t="str">
        <f>TEXT(tbl_analysis_tickets[[#This Row],[created_date]],"dddd")</f>
        <v>Sunday</v>
      </c>
      <c r="V2041" cm="1">
        <f t="array" ref="V2041">_xlfn.SWITCH(tbl_analysis_tickets[[#This Row],[priority]],
"Urgent",1,
"High",2,
"Medium",3,
"Low",4
)</f>
        <v>2</v>
      </c>
    </row>
    <row r="2042" spans="1:22" x14ac:dyDescent="0.25">
      <c r="A2042">
        <v>2041</v>
      </c>
      <c r="B2042" s="1">
        <v>45516</v>
      </c>
      <c r="C2042" t="s">
        <v>14</v>
      </c>
      <c r="D2042" t="s">
        <v>11</v>
      </c>
      <c r="E2042">
        <v>119</v>
      </c>
      <c r="F2042">
        <v>61</v>
      </c>
      <c r="G2042">
        <v>5.7</v>
      </c>
      <c r="H2042" t="s">
        <v>18</v>
      </c>
      <c r="I2042" t="s">
        <v>19</v>
      </c>
      <c r="J2042" t="s">
        <v>15</v>
      </c>
      <c r="K2042">
        <f>_xlfn.XLOOKUP(tbl_analysis_tickets[[#This Row],[priority]],tbl_sla[priority],tbl_sla[Resolution SLA Hours])</f>
        <v>72</v>
      </c>
      <c r="L2042">
        <f>_xlfn.XLOOKUP(tbl_analysis_tickets[[#This Row],[priority]],tbl_sla[priority],tbl_sla[First Response SLA Minutes])</f>
        <v>240</v>
      </c>
      <c r="M2042" t="str">
        <f>IF(tbl_analysis_tickets[[#This Row],[resolution_time_hours]]&gt;tbl_analysis_tickets[[#This Row],[Resolution SLA Hours]],"Breached","Within SLA")</f>
        <v>Within SLA</v>
      </c>
      <c r="N2042" t="str">
        <f>IF(tbl_analysis_tickets[[#This Row],[first_response_minutes]]&gt;tbl_analysis_tickets[[#This Row],[First Response SLA Minutes]],"Breached","Within SLA")</f>
        <v>Within SLA</v>
      </c>
      <c r="O2042" t="str" cm="1">
        <f t="array" ref="O2042">_xlfn.IFS(
tbl_analysis_tickets[[#This Row],[agent_experience_years]]&lt;=2,"Junior",
tbl_analysis_tickets[[#This Row],[agent_experience_years]]&lt;=5,"Mid-Level",
tbl_analysis_tickets[[#This Row],[agent_experience_years]]&lt;=8,"Senior",
tbl_analysis_tickets[[#This Row],[agent_experience_years]]&gt;8,"Expert"
)</f>
        <v>Senior</v>
      </c>
      <c r="P2042" cm="1">
        <f t="array" ref="P2042">_xlfn.SWITCH(tbl_analysis_tickets[[#This Row],[customer_satisfaction]],
"Low",1,
"Medium",2,
"High",3
)</f>
        <v>2</v>
      </c>
      <c r="Q2042">
        <f>IF(tbl_analysis_tickets[[#This Row],[reopened]]="Yes",1,0)</f>
        <v>0</v>
      </c>
      <c r="R2042" t="str" cm="1">
        <f t="array" ref="R2042">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042" t="str" cm="1">
        <f t="array" ref="S204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042" t="str">
        <f>TEXT(tbl_analysis_tickets[[#This Row],[created_date]],"mmm-yyyy")</f>
        <v>Aug-2024</v>
      </c>
      <c r="U2042" t="str">
        <f>TEXT(tbl_analysis_tickets[[#This Row],[created_date]],"dddd")</f>
        <v>Monday</v>
      </c>
      <c r="V2042" cm="1">
        <f t="array" ref="V2042">_xlfn.SWITCH(tbl_analysis_tickets[[#This Row],[priority]],
"Urgent",1,
"High",2,
"Medium",3,
"Low",4
)</f>
        <v>4</v>
      </c>
    </row>
    <row r="2043" spans="1:22" x14ac:dyDescent="0.25">
      <c r="A2043">
        <v>2042</v>
      </c>
      <c r="B2043" s="1">
        <v>45441</v>
      </c>
      <c r="C2043" t="s">
        <v>10</v>
      </c>
      <c r="D2043" t="s">
        <v>15</v>
      </c>
      <c r="E2043">
        <v>60</v>
      </c>
      <c r="F2043">
        <v>51</v>
      </c>
      <c r="G2043">
        <v>8.4</v>
      </c>
      <c r="H2043" t="s">
        <v>18</v>
      </c>
      <c r="I2043" t="s">
        <v>16</v>
      </c>
      <c r="J2043" t="s">
        <v>15</v>
      </c>
      <c r="K2043">
        <f>_xlfn.XLOOKUP(tbl_analysis_tickets[[#This Row],[priority]],tbl_sla[priority],tbl_sla[Resolution SLA Hours])</f>
        <v>48</v>
      </c>
      <c r="L2043">
        <f>_xlfn.XLOOKUP(tbl_analysis_tickets[[#This Row],[priority]],tbl_sla[priority],tbl_sla[First Response SLA Minutes])</f>
        <v>120</v>
      </c>
      <c r="M2043" t="str">
        <f>IF(tbl_analysis_tickets[[#This Row],[resolution_time_hours]]&gt;tbl_analysis_tickets[[#This Row],[Resolution SLA Hours]],"Breached","Within SLA")</f>
        <v>Breached</v>
      </c>
      <c r="N2043" t="str">
        <f>IF(tbl_analysis_tickets[[#This Row],[first_response_minutes]]&gt;tbl_analysis_tickets[[#This Row],[First Response SLA Minutes]],"Breached","Within SLA")</f>
        <v>Within SLA</v>
      </c>
      <c r="O2043" t="str" cm="1">
        <f t="array" ref="O2043">_xlfn.IFS(
tbl_analysis_tickets[[#This Row],[agent_experience_years]]&lt;=2,"Junior",
tbl_analysis_tickets[[#This Row],[agent_experience_years]]&lt;=5,"Mid-Level",
tbl_analysis_tickets[[#This Row],[agent_experience_years]]&lt;=8,"Senior",
tbl_analysis_tickets[[#This Row],[agent_experience_years]]&gt;8,"Expert"
)</f>
        <v>Expert</v>
      </c>
      <c r="P2043" cm="1">
        <f t="array" ref="P2043">_xlfn.SWITCH(tbl_analysis_tickets[[#This Row],[customer_satisfaction]],
"Low",1,
"Medium",2,
"High",3
)</f>
        <v>2</v>
      </c>
      <c r="Q2043">
        <f>IF(tbl_analysis_tickets[[#This Row],[reopened]]="Yes",1,0)</f>
        <v>0</v>
      </c>
      <c r="R2043" t="str" cm="1">
        <f t="array" ref="R2043">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043" t="str" cm="1">
        <f t="array" ref="S204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043" t="str">
        <f>TEXT(tbl_analysis_tickets[[#This Row],[created_date]],"mmm-yyyy")</f>
        <v>May-2024</v>
      </c>
      <c r="U2043" t="str">
        <f>TEXT(tbl_analysis_tickets[[#This Row],[created_date]],"dddd")</f>
        <v>Wednesday</v>
      </c>
      <c r="V2043" cm="1">
        <f t="array" ref="V2043">_xlfn.SWITCH(tbl_analysis_tickets[[#This Row],[priority]],
"Urgent",1,
"High",2,
"Medium",3,
"Low",4
)</f>
        <v>3</v>
      </c>
    </row>
    <row r="2044" spans="1:22" x14ac:dyDescent="0.25">
      <c r="A2044">
        <v>2043</v>
      </c>
      <c r="B2044" s="1">
        <v>45425</v>
      </c>
      <c r="C2044" t="s">
        <v>23</v>
      </c>
      <c r="D2044" t="s">
        <v>15</v>
      </c>
      <c r="E2044">
        <v>110</v>
      </c>
      <c r="F2044">
        <v>23</v>
      </c>
      <c r="G2044">
        <v>2.1</v>
      </c>
      <c r="H2044" t="s">
        <v>12</v>
      </c>
      <c r="I2044" t="s">
        <v>16</v>
      </c>
      <c r="J2044" t="s">
        <v>11</v>
      </c>
      <c r="K2044">
        <f>_xlfn.XLOOKUP(tbl_analysis_tickets[[#This Row],[priority]],tbl_sla[priority],tbl_sla[Resolution SLA Hours])</f>
        <v>48</v>
      </c>
      <c r="L2044">
        <f>_xlfn.XLOOKUP(tbl_analysis_tickets[[#This Row],[priority]],tbl_sla[priority],tbl_sla[First Response SLA Minutes])</f>
        <v>120</v>
      </c>
      <c r="M2044" t="str">
        <f>IF(tbl_analysis_tickets[[#This Row],[resolution_time_hours]]&gt;tbl_analysis_tickets[[#This Row],[Resolution SLA Hours]],"Breached","Within SLA")</f>
        <v>Within SLA</v>
      </c>
      <c r="N2044" t="str">
        <f>IF(tbl_analysis_tickets[[#This Row],[first_response_minutes]]&gt;tbl_analysis_tickets[[#This Row],[First Response SLA Minutes]],"Breached","Within SLA")</f>
        <v>Within SLA</v>
      </c>
      <c r="O2044" t="str" cm="1">
        <f t="array" ref="O2044">_xlfn.IFS(
tbl_analysis_tickets[[#This Row],[agent_experience_years]]&lt;=2,"Junior",
tbl_analysis_tickets[[#This Row],[agent_experience_years]]&lt;=5,"Mid-Level",
tbl_analysis_tickets[[#This Row],[agent_experience_years]]&lt;=8,"Senior",
tbl_analysis_tickets[[#This Row],[agent_experience_years]]&gt;8,"Expert"
)</f>
        <v>Mid-Level</v>
      </c>
      <c r="P2044" cm="1">
        <f t="array" ref="P2044">_xlfn.SWITCH(tbl_analysis_tickets[[#This Row],[customer_satisfaction]],
"Low",1,
"Medium",2,
"High",3
)</f>
        <v>1</v>
      </c>
      <c r="Q2044">
        <f>IF(tbl_analysis_tickets[[#This Row],[reopened]]="Yes",1,0)</f>
        <v>1</v>
      </c>
      <c r="R2044" t="str" cm="1">
        <f t="array" ref="R2044">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044" t="str" cm="1">
        <f t="array" ref="S204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044" t="str">
        <f>TEXT(tbl_analysis_tickets[[#This Row],[created_date]],"mmm-yyyy")</f>
        <v>May-2024</v>
      </c>
      <c r="U2044" t="str">
        <f>TEXT(tbl_analysis_tickets[[#This Row],[created_date]],"dddd")</f>
        <v>Monday</v>
      </c>
      <c r="V2044" cm="1">
        <f t="array" ref="V2044">_xlfn.SWITCH(tbl_analysis_tickets[[#This Row],[priority]],
"Urgent",1,
"High",2,
"Medium",3,
"Low",4
)</f>
        <v>3</v>
      </c>
    </row>
    <row r="2045" spans="1:22" x14ac:dyDescent="0.25">
      <c r="A2045">
        <v>2044</v>
      </c>
      <c r="B2045" s="1">
        <v>45531</v>
      </c>
      <c r="C2045" t="s">
        <v>23</v>
      </c>
      <c r="D2045" t="s">
        <v>15</v>
      </c>
      <c r="E2045">
        <v>11</v>
      </c>
      <c r="F2045">
        <v>57</v>
      </c>
      <c r="G2045">
        <v>2.1</v>
      </c>
      <c r="H2045" t="s">
        <v>18</v>
      </c>
      <c r="I2045" t="s">
        <v>16</v>
      </c>
      <c r="J2045" t="s">
        <v>15</v>
      </c>
      <c r="K2045">
        <f>_xlfn.XLOOKUP(tbl_analysis_tickets[[#This Row],[priority]],tbl_sla[priority],tbl_sla[Resolution SLA Hours])</f>
        <v>48</v>
      </c>
      <c r="L2045">
        <f>_xlfn.XLOOKUP(tbl_analysis_tickets[[#This Row],[priority]],tbl_sla[priority],tbl_sla[First Response SLA Minutes])</f>
        <v>120</v>
      </c>
      <c r="M2045" t="str">
        <f>IF(tbl_analysis_tickets[[#This Row],[resolution_time_hours]]&gt;tbl_analysis_tickets[[#This Row],[Resolution SLA Hours]],"Breached","Within SLA")</f>
        <v>Breached</v>
      </c>
      <c r="N2045" t="str">
        <f>IF(tbl_analysis_tickets[[#This Row],[first_response_minutes]]&gt;tbl_analysis_tickets[[#This Row],[First Response SLA Minutes]],"Breached","Within SLA")</f>
        <v>Within SLA</v>
      </c>
      <c r="O2045" t="str" cm="1">
        <f t="array" ref="O2045">_xlfn.IFS(
tbl_analysis_tickets[[#This Row],[agent_experience_years]]&lt;=2,"Junior",
tbl_analysis_tickets[[#This Row],[agent_experience_years]]&lt;=5,"Mid-Level",
tbl_analysis_tickets[[#This Row],[agent_experience_years]]&lt;=8,"Senior",
tbl_analysis_tickets[[#This Row],[agent_experience_years]]&gt;8,"Expert"
)</f>
        <v>Mid-Level</v>
      </c>
      <c r="P2045" cm="1">
        <f t="array" ref="P2045">_xlfn.SWITCH(tbl_analysis_tickets[[#This Row],[customer_satisfaction]],
"Low",1,
"Medium",2,
"High",3
)</f>
        <v>2</v>
      </c>
      <c r="Q2045">
        <f>IF(tbl_analysis_tickets[[#This Row],[reopened]]="Yes",1,0)</f>
        <v>0</v>
      </c>
      <c r="R2045" t="str" cm="1">
        <f t="array" ref="R2045">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2045" t="str" cm="1">
        <f t="array" ref="S204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045" t="str">
        <f>TEXT(tbl_analysis_tickets[[#This Row],[created_date]],"mmm-yyyy")</f>
        <v>Aug-2024</v>
      </c>
      <c r="U2045" t="str">
        <f>TEXT(tbl_analysis_tickets[[#This Row],[created_date]],"dddd")</f>
        <v>Tuesday</v>
      </c>
      <c r="V2045" cm="1">
        <f t="array" ref="V2045">_xlfn.SWITCH(tbl_analysis_tickets[[#This Row],[priority]],
"Urgent",1,
"High",2,
"Medium",3,
"Low",4
)</f>
        <v>3</v>
      </c>
    </row>
    <row r="2046" spans="1:22" x14ac:dyDescent="0.25">
      <c r="A2046">
        <v>2045</v>
      </c>
      <c r="B2046" s="1">
        <v>45608</v>
      </c>
      <c r="C2046" t="s">
        <v>14</v>
      </c>
      <c r="D2046" t="s">
        <v>15</v>
      </c>
      <c r="E2046">
        <v>35</v>
      </c>
      <c r="F2046">
        <v>2</v>
      </c>
      <c r="G2046">
        <v>8.8000000000000007</v>
      </c>
      <c r="H2046" t="s">
        <v>12</v>
      </c>
      <c r="I2046" t="s">
        <v>13</v>
      </c>
      <c r="J2046" t="s">
        <v>15</v>
      </c>
      <c r="K2046">
        <f>_xlfn.XLOOKUP(tbl_analysis_tickets[[#This Row],[priority]],tbl_sla[priority],tbl_sla[Resolution SLA Hours])</f>
        <v>48</v>
      </c>
      <c r="L2046">
        <f>_xlfn.XLOOKUP(tbl_analysis_tickets[[#This Row],[priority]],tbl_sla[priority],tbl_sla[First Response SLA Minutes])</f>
        <v>120</v>
      </c>
      <c r="M2046" t="str">
        <f>IF(tbl_analysis_tickets[[#This Row],[resolution_time_hours]]&gt;tbl_analysis_tickets[[#This Row],[Resolution SLA Hours]],"Breached","Within SLA")</f>
        <v>Within SLA</v>
      </c>
      <c r="N2046" t="str">
        <f>IF(tbl_analysis_tickets[[#This Row],[first_response_minutes]]&gt;tbl_analysis_tickets[[#This Row],[First Response SLA Minutes]],"Breached","Within SLA")</f>
        <v>Within SLA</v>
      </c>
      <c r="O2046" t="str" cm="1">
        <f t="array" ref="O2046">_xlfn.IFS(
tbl_analysis_tickets[[#This Row],[agent_experience_years]]&lt;=2,"Junior",
tbl_analysis_tickets[[#This Row],[agent_experience_years]]&lt;=5,"Mid-Level",
tbl_analysis_tickets[[#This Row],[agent_experience_years]]&lt;=8,"Senior",
tbl_analysis_tickets[[#This Row],[agent_experience_years]]&gt;8,"Expert"
)</f>
        <v>Expert</v>
      </c>
      <c r="P2046" cm="1">
        <f t="array" ref="P2046">_xlfn.SWITCH(tbl_analysis_tickets[[#This Row],[customer_satisfaction]],
"Low",1,
"Medium",2,
"High",3
)</f>
        <v>2</v>
      </c>
      <c r="Q2046">
        <f>IF(tbl_analysis_tickets[[#This Row],[reopened]]="Yes",1,0)</f>
        <v>1</v>
      </c>
      <c r="R2046" t="str" cm="1">
        <f t="array" ref="R2046">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046" t="str" cm="1">
        <f t="array" ref="S204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2046" t="str">
        <f>TEXT(tbl_analysis_tickets[[#This Row],[created_date]],"mmm-yyyy")</f>
        <v>Nov-2024</v>
      </c>
      <c r="U2046" t="str">
        <f>TEXT(tbl_analysis_tickets[[#This Row],[created_date]],"dddd")</f>
        <v>Tuesday</v>
      </c>
      <c r="V2046" cm="1">
        <f t="array" ref="V2046">_xlfn.SWITCH(tbl_analysis_tickets[[#This Row],[priority]],
"Urgent",1,
"High",2,
"Medium",3,
"Low",4
)</f>
        <v>3</v>
      </c>
    </row>
    <row r="2047" spans="1:22" x14ac:dyDescent="0.25">
      <c r="A2047">
        <v>2046</v>
      </c>
      <c r="B2047" s="1">
        <v>45294</v>
      </c>
      <c r="C2047" t="s">
        <v>22</v>
      </c>
      <c r="D2047" t="s">
        <v>17</v>
      </c>
      <c r="E2047">
        <v>24</v>
      </c>
      <c r="F2047">
        <v>62</v>
      </c>
      <c r="G2047">
        <v>9.8000000000000007</v>
      </c>
      <c r="H2047" t="s">
        <v>12</v>
      </c>
      <c r="I2047" t="s">
        <v>16</v>
      </c>
      <c r="J2047" t="s">
        <v>15</v>
      </c>
      <c r="K2047">
        <f>_xlfn.XLOOKUP(tbl_analysis_tickets[[#This Row],[priority]],tbl_sla[priority],tbl_sla[Resolution SLA Hours])</f>
        <v>8</v>
      </c>
      <c r="L2047">
        <f>_xlfn.XLOOKUP(tbl_analysis_tickets[[#This Row],[priority]],tbl_sla[priority],tbl_sla[First Response SLA Minutes])</f>
        <v>30</v>
      </c>
      <c r="M2047" t="str">
        <f>IF(tbl_analysis_tickets[[#This Row],[resolution_time_hours]]&gt;tbl_analysis_tickets[[#This Row],[Resolution SLA Hours]],"Breached","Within SLA")</f>
        <v>Breached</v>
      </c>
      <c r="N2047" t="str">
        <f>IF(tbl_analysis_tickets[[#This Row],[first_response_minutes]]&gt;tbl_analysis_tickets[[#This Row],[First Response SLA Minutes]],"Breached","Within SLA")</f>
        <v>Within SLA</v>
      </c>
      <c r="O2047" t="str" cm="1">
        <f t="array" ref="O2047">_xlfn.IFS(
tbl_analysis_tickets[[#This Row],[agent_experience_years]]&lt;=2,"Junior",
tbl_analysis_tickets[[#This Row],[agent_experience_years]]&lt;=5,"Mid-Level",
tbl_analysis_tickets[[#This Row],[agent_experience_years]]&lt;=8,"Senior",
tbl_analysis_tickets[[#This Row],[agent_experience_years]]&gt;8,"Expert"
)</f>
        <v>Expert</v>
      </c>
      <c r="P2047" cm="1">
        <f t="array" ref="P2047">_xlfn.SWITCH(tbl_analysis_tickets[[#This Row],[customer_satisfaction]],
"Low",1,
"Medium",2,
"High",3
)</f>
        <v>2</v>
      </c>
      <c r="Q2047">
        <f>IF(tbl_analysis_tickets[[#This Row],[reopened]]="Yes",1,0)</f>
        <v>1</v>
      </c>
      <c r="R2047" t="str" cm="1">
        <f t="array" ref="R2047">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2047" t="str" cm="1">
        <f t="array" ref="S204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047" t="str">
        <f>TEXT(tbl_analysis_tickets[[#This Row],[created_date]],"mmm-yyyy")</f>
        <v>Jan-2024</v>
      </c>
      <c r="U2047" t="str">
        <f>TEXT(tbl_analysis_tickets[[#This Row],[created_date]],"dddd")</f>
        <v>Wednesday</v>
      </c>
      <c r="V2047" cm="1">
        <f t="array" ref="V2047">_xlfn.SWITCH(tbl_analysis_tickets[[#This Row],[priority]],
"Urgent",1,
"High",2,
"Medium",3,
"Low",4
)</f>
        <v>1</v>
      </c>
    </row>
    <row r="2048" spans="1:22" x14ac:dyDescent="0.25">
      <c r="A2048">
        <v>2047</v>
      </c>
      <c r="B2048" s="1">
        <v>45558</v>
      </c>
      <c r="C2048" t="s">
        <v>14</v>
      </c>
      <c r="D2048" t="s">
        <v>20</v>
      </c>
      <c r="E2048">
        <v>125</v>
      </c>
      <c r="F2048">
        <v>29</v>
      </c>
      <c r="G2048">
        <v>7.2</v>
      </c>
      <c r="H2048" t="s">
        <v>18</v>
      </c>
      <c r="I2048" t="s">
        <v>19</v>
      </c>
      <c r="J2048" t="s">
        <v>11</v>
      </c>
      <c r="K2048">
        <f>_xlfn.XLOOKUP(tbl_analysis_tickets[[#This Row],[priority]],tbl_sla[priority],tbl_sla[Resolution SLA Hours])</f>
        <v>24</v>
      </c>
      <c r="L2048">
        <f>_xlfn.XLOOKUP(tbl_analysis_tickets[[#This Row],[priority]],tbl_sla[priority],tbl_sla[First Response SLA Minutes])</f>
        <v>60</v>
      </c>
      <c r="M2048" t="str">
        <f>IF(tbl_analysis_tickets[[#This Row],[resolution_time_hours]]&gt;tbl_analysis_tickets[[#This Row],[Resolution SLA Hours]],"Breached","Within SLA")</f>
        <v>Breached</v>
      </c>
      <c r="N2048" t="str">
        <f>IF(tbl_analysis_tickets[[#This Row],[first_response_minutes]]&gt;tbl_analysis_tickets[[#This Row],[First Response SLA Minutes]],"Breached","Within SLA")</f>
        <v>Breached</v>
      </c>
      <c r="O2048" t="str" cm="1">
        <f t="array" ref="O2048">_xlfn.IFS(
tbl_analysis_tickets[[#This Row],[agent_experience_years]]&lt;=2,"Junior",
tbl_analysis_tickets[[#This Row],[agent_experience_years]]&lt;=5,"Mid-Level",
tbl_analysis_tickets[[#This Row],[agent_experience_years]]&lt;=8,"Senior",
tbl_analysis_tickets[[#This Row],[agent_experience_years]]&gt;8,"Expert"
)</f>
        <v>Senior</v>
      </c>
      <c r="P2048" cm="1">
        <f t="array" ref="P2048">_xlfn.SWITCH(tbl_analysis_tickets[[#This Row],[customer_satisfaction]],
"Low",1,
"Medium",2,
"High",3
)</f>
        <v>1</v>
      </c>
      <c r="Q2048">
        <f>IF(tbl_analysis_tickets[[#This Row],[reopened]]="Yes",1,0)</f>
        <v>0</v>
      </c>
      <c r="R2048" t="str" cm="1">
        <f t="array" ref="R2048">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048" t="str" cm="1">
        <f t="array" ref="S204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048" t="str">
        <f>TEXT(tbl_analysis_tickets[[#This Row],[created_date]],"mmm-yyyy")</f>
        <v>Sep-2024</v>
      </c>
      <c r="U2048" t="str">
        <f>TEXT(tbl_analysis_tickets[[#This Row],[created_date]],"dddd")</f>
        <v>Monday</v>
      </c>
      <c r="V2048" cm="1">
        <f t="array" ref="V2048">_xlfn.SWITCH(tbl_analysis_tickets[[#This Row],[priority]],
"Urgent",1,
"High",2,
"Medium",3,
"Low",4
)</f>
        <v>2</v>
      </c>
    </row>
    <row r="2049" spans="1:22" x14ac:dyDescent="0.25">
      <c r="A2049">
        <v>2048</v>
      </c>
      <c r="B2049" s="1">
        <v>45581</v>
      </c>
      <c r="C2049" t="s">
        <v>23</v>
      </c>
      <c r="D2049" t="s">
        <v>11</v>
      </c>
      <c r="E2049">
        <v>100</v>
      </c>
      <c r="F2049">
        <v>29</v>
      </c>
      <c r="G2049">
        <v>1.3</v>
      </c>
      <c r="H2049" t="s">
        <v>12</v>
      </c>
      <c r="I2049" t="s">
        <v>19</v>
      </c>
      <c r="J2049" t="s">
        <v>11</v>
      </c>
      <c r="K2049">
        <f>_xlfn.XLOOKUP(tbl_analysis_tickets[[#This Row],[priority]],tbl_sla[priority],tbl_sla[Resolution SLA Hours])</f>
        <v>72</v>
      </c>
      <c r="L2049">
        <f>_xlfn.XLOOKUP(tbl_analysis_tickets[[#This Row],[priority]],tbl_sla[priority],tbl_sla[First Response SLA Minutes])</f>
        <v>240</v>
      </c>
      <c r="M2049" t="str">
        <f>IF(tbl_analysis_tickets[[#This Row],[resolution_time_hours]]&gt;tbl_analysis_tickets[[#This Row],[Resolution SLA Hours]],"Breached","Within SLA")</f>
        <v>Within SLA</v>
      </c>
      <c r="N2049" t="str">
        <f>IF(tbl_analysis_tickets[[#This Row],[first_response_minutes]]&gt;tbl_analysis_tickets[[#This Row],[First Response SLA Minutes]],"Breached","Within SLA")</f>
        <v>Within SLA</v>
      </c>
      <c r="O2049" t="str" cm="1">
        <f t="array" ref="O2049">_xlfn.IFS(
tbl_analysis_tickets[[#This Row],[agent_experience_years]]&lt;=2,"Junior",
tbl_analysis_tickets[[#This Row],[agent_experience_years]]&lt;=5,"Mid-Level",
tbl_analysis_tickets[[#This Row],[agent_experience_years]]&lt;=8,"Senior",
tbl_analysis_tickets[[#This Row],[agent_experience_years]]&gt;8,"Expert"
)</f>
        <v>Junior</v>
      </c>
      <c r="P2049" cm="1">
        <f t="array" ref="P2049">_xlfn.SWITCH(tbl_analysis_tickets[[#This Row],[customer_satisfaction]],
"Low",1,
"Medium",2,
"High",3
)</f>
        <v>1</v>
      </c>
      <c r="Q2049">
        <f>IF(tbl_analysis_tickets[[#This Row],[reopened]]="Yes",1,0)</f>
        <v>1</v>
      </c>
      <c r="R2049" t="str" cm="1">
        <f t="array" ref="R2049">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049" t="str" cm="1">
        <f t="array" ref="S204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049" t="str">
        <f>TEXT(tbl_analysis_tickets[[#This Row],[created_date]],"mmm-yyyy")</f>
        <v>Oct-2024</v>
      </c>
      <c r="U2049" t="str">
        <f>TEXT(tbl_analysis_tickets[[#This Row],[created_date]],"dddd")</f>
        <v>Wednesday</v>
      </c>
      <c r="V2049" cm="1">
        <f t="array" ref="V2049">_xlfn.SWITCH(tbl_analysis_tickets[[#This Row],[priority]],
"Urgent",1,
"High",2,
"Medium",3,
"Low",4
)</f>
        <v>4</v>
      </c>
    </row>
    <row r="2050" spans="1:22" x14ac:dyDescent="0.25">
      <c r="A2050">
        <v>2049</v>
      </c>
      <c r="B2050" s="1">
        <v>45434</v>
      </c>
      <c r="C2050" t="s">
        <v>22</v>
      </c>
      <c r="D2050" t="s">
        <v>11</v>
      </c>
      <c r="E2050">
        <v>219</v>
      </c>
      <c r="F2050">
        <v>40</v>
      </c>
      <c r="G2050">
        <v>9.9</v>
      </c>
      <c r="H2050" t="s">
        <v>18</v>
      </c>
      <c r="I2050" t="s">
        <v>13</v>
      </c>
      <c r="J2050" t="s">
        <v>15</v>
      </c>
      <c r="K2050">
        <f>_xlfn.XLOOKUP(tbl_analysis_tickets[[#This Row],[priority]],tbl_sla[priority],tbl_sla[Resolution SLA Hours])</f>
        <v>72</v>
      </c>
      <c r="L2050">
        <f>_xlfn.XLOOKUP(tbl_analysis_tickets[[#This Row],[priority]],tbl_sla[priority],tbl_sla[First Response SLA Minutes])</f>
        <v>240</v>
      </c>
      <c r="M2050" t="str">
        <f>IF(tbl_analysis_tickets[[#This Row],[resolution_time_hours]]&gt;tbl_analysis_tickets[[#This Row],[Resolution SLA Hours]],"Breached","Within SLA")</f>
        <v>Within SLA</v>
      </c>
      <c r="N2050" t="str">
        <f>IF(tbl_analysis_tickets[[#This Row],[first_response_minutes]]&gt;tbl_analysis_tickets[[#This Row],[First Response SLA Minutes]],"Breached","Within SLA")</f>
        <v>Within SLA</v>
      </c>
      <c r="O2050" t="str" cm="1">
        <f t="array" ref="O2050">_xlfn.IFS(
tbl_analysis_tickets[[#This Row],[agent_experience_years]]&lt;=2,"Junior",
tbl_analysis_tickets[[#This Row],[agent_experience_years]]&lt;=5,"Mid-Level",
tbl_analysis_tickets[[#This Row],[agent_experience_years]]&lt;=8,"Senior",
tbl_analysis_tickets[[#This Row],[agent_experience_years]]&gt;8,"Expert"
)</f>
        <v>Expert</v>
      </c>
      <c r="P2050" cm="1">
        <f t="array" ref="P2050">_xlfn.SWITCH(tbl_analysis_tickets[[#This Row],[customer_satisfaction]],
"Low",1,
"Medium",2,
"High",3
)</f>
        <v>2</v>
      </c>
      <c r="Q2050">
        <f>IF(tbl_analysis_tickets[[#This Row],[reopened]]="Yes",1,0)</f>
        <v>0</v>
      </c>
      <c r="R2050" t="str" cm="1">
        <f t="array" ref="R2050">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050" t="str" cm="1">
        <f t="array" ref="S205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050" t="str">
        <f>TEXT(tbl_analysis_tickets[[#This Row],[created_date]],"mmm-yyyy")</f>
        <v>May-2024</v>
      </c>
      <c r="U2050" t="str">
        <f>TEXT(tbl_analysis_tickets[[#This Row],[created_date]],"dddd")</f>
        <v>Wednesday</v>
      </c>
      <c r="V2050" cm="1">
        <f t="array" ref="V2050">_xlfn.SWITCH(tbl_analysis_tickets[[#This Row],[priority]],
"Urgent",1,
"High",2,
"Medium",3,
"Low",4
)</f>
        <v>4</v>
      </c>
    </row>
    <row r="2051" spans="1:22" x14ac:dyDescent="0.25">
      <c r="A2051">
        <v>2050</v>
      </c>
      <c r="B2051" s="1">
        <v>45388</v>
      </c>
      <c r="C2051" t="s">
        <v>14</v>
      </c>
      <c r="D2051" t="s">
        <v>20</v>
      </c>
      <c r="E2051">
        <v>119</v>
      </c>
      <c r="F2051">
        <v>7</v>
      </c>
      <c r="G2051">
        <v>3.2</v>
      </c>
      <c r="H2051" t="s">
        <v>18</v>
      </c>
      <c r="I2051" t="s">
        <v>16</v>
      </c>
      <c r="J2051" t="s">
        <v>11</v>
      </c>
      <c r="K2051">
        <f>_xlfn.XLOOKUP(tbl_analysis_tickets[[#This Row],[priority]],tbl_sla[priority],tbl_sla[Resolution SLA Hours])</f>
        <v>24</v>
      </c>
      <c r="L2051">
        <f>_xlfn.XLOOKUP(tbl_analysis_tickets[[#This Row],[priority]],tbl_sla[priority],tbl_sla[First Response SLA Minutes])</f>
        <v>60</v>
      </c>
      <c r="M2051" t="str">
        <f>IF(tbl_analysis_tickets[[#This Row],[resolution_time_hours]]&gt;tbl_analysis_tickets[[#This Row],[Resolution SLA Hours]],"Breached","Within SLA")</f>
        <v>Within SLA</v>
      </c>
      <c r="N2051" t="str">
        <f>IF(tbl_analysis_tickets[[#This Row],[first_response_minutes]]&gt;tbl_analysis_tickets[[#This Row],[First Response SLA Minutes]],"Breached","Within SLA")</f>
        <v>Breached</v>
      </c>
      <c r="O2051" t="str" cm="1">
        <f t="array" ref="O2051">_xlfn.IFS(
tbl_analysis_tickets[[#This Row],[agent_experience_years]]&lt;=2,"Junior",
tbl_analysis_tickets[[#This Row],[agent_experience_years]]&lt;=5,"Mid-Level",
tbl_analysis_tickets[[#This Row],[agent_experience_years]]&lt;=8,"Senior",
tbl_analysis_tickets[[#This Row],[agent_experience_years]]&gt;8,"Expert"
)</f>
        <v>Mid-Level</v>
      </c>
      <c r="P2051" cm="1">
        <f t="array" ref="P2051">_xlfn.SWITCH(tbl_analysis_tickets[[#This Row],[customer_satisfaction]],
"Low",1,
"Medium",2,
"High",3
)</f>
        <v>1</v>
      </c>
      <c r="Q2051">
        <f>IF(tbl_analysis_tickets[[#This Row],[reopened]]="Yes",1,0)</f>
        <v>0</v>
      </c>
      <c r="R2051" t="str" cm="1">
        <f t="array" ref="R2051">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051" t="str" cm="1">
        <f t="array" ref="S205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2051" t="str">
        <f>TEXT(tbl_analysis_tickets[[#This Row],[created_date]],"mmm-yyyy")</f>
        <v>Apr-2024</v>
      </c>
      <c r="U2051" t="str">
        <f>TEXT(tbl_analysis_tickets[[#This Row],[created_date]],"dddd")</f>
        <v>Saturday</v>
      </c>
      <c r="V2051" cm="1">
        <f t="array" ref="V2051">_xlfn.SWITCH(tbl_analysis_tickets[[#This Row],[priority]],
"Urgent",1,
"High",2,
"Medium",3,
"Low",4
)</f>
        <v>2</v>
      </c>
    </row>
    <row r="2052" spans="1:22" x14ac:dyDescent="0.25">
      <c r="A2052">
        <v>2051</v>
      </c>
      <c r="B2052" s="1">
        <v>45430</v>
      </c>
      <c r="C2052" t="s">
        <v>14</v>
      </c>
      <c r="D2052" t="s">
        <v>15</v>
      </c>
      <c r="E2052">
        <v>9</v>
      </c>
      <c r="F2052">
        <v>17</v>
      </c>
      <c r="G2052">
        <v>8.1999999999999993</v>
      </c>
      <c r="H2052" t="s">
        <v>18</v>
      </c>
      <c r="I2052" t="s">
        <v>19</v>
      </c>
      <c r="J2052" t="s">
        <v>20</v>
      </c>
      <c r="K2052">
        <f>_xlfn.XLOOKUP(tbl_analysis_tickets[[#This Row],[priority]],tbl_sla[priority],tbl_sla[Resolution SLA Hours])</f>
        <v>48</v>
      </c>
      <c r="L2052">
        <f>_xlfn.XLOOKUP(tbl_analysis_tickets[[#This Row],[priority]],tbl_sla[priority],tbl_sla[First Response SLA Minutes])</f>
        <v>120</v>
      </c>
      <c r="M2052" t="str">
        <f>IF(tbl_analysis_tickets[[#This Row],[resolution_time_hours]]&gt;tbl_analysis_tickets[[#This Row],[Resolution SLA Hours]],"Breached","Within SLA")</f>
        <v>Within SLA</v>
      </c>
      <c r="N2052" t="str">
        <f>IF(tbl_analysis_tickets[[#This Row],[first_response_minutes]]&gt;tbl_analysis_tickets[[#This Row],[First Response SLA Minutes]],"Breached","Within SLA")</f>
        <v>Within SLA</v>
      </c>
      <c r="O2052" t="str" cm="1">
        <f t="array" ref="O2052">_xlfn.IFS(
tbl_analysis_tickets[[#This Row],[agent_experience_years]]&lt;=2,"Junior",
tbl_analysis_tickets[[#This Row],[agent_experience_years]]&lt;=5,"Mid-Level",
tbl_analysis_tickets[[#This Row],[agent_experience_years]]&lt;=8,"Senior",
tbl_analysis_tickets[[#This Row],[agent_experience_years]]&gt;8,"Expert"
)</f>
        <v>Expert</v>
      </c>
      <c r="P2052" cm="1">
        <f t="array" ref="P2052">_xlfn.SWITCH(tbl_analysis_tickets[[#This Row],[customer_satisfaction]],
"Low",1,
"Medium",2,
"High",3
)</f>
        <v>3</v>
      </c>
      <c r="Q2052">
        <f>IF(tbl_analysis_tickets[[#This Row],[reopened]]="Yes",1,0)</f>
        <v>0</v>
      </c>
      <c r="R2052" t="str" cm="1">
        <f t="array" ref="R2052">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2052" t="str" cm="1">
        <f t="array" ref="S205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052" t="str">
        <f>TEXT(tbl_analysis_tickets[[#This Row],[created_date]],"mmm-yyyy")</f>
        <v>May-2024</v>
      </c>
      <c r="U2052" t="str">
        <f>TEXT(tbl_analysis_tickets[[#This Row],[created_date]],"dddd")</f>
        <v>Saturday</v>
      </c>
      <c r="V2052" cm="1">
        <f t="array" ref="V2052">_xlfn.SWITCH(tbl_analysis_tickets[[#This Row],[priority]],
"Urgent",1,
"High",2,
"Medium",3,
"Low",4
)</f>
        <v>3</v>
      </c>
    </row>
    <row r="2053" spans="1:22" x14ac:dyDescent="0.25">
      <c r="A2053">
        <v>2052</v>
      </c>
      <c r="B2053" s="1">
        <v>45570</v>
      </c>
      <c r="C2053" t="s">
        <v>23</v>
      </c>
      <c r="D2053" t="s">
        <v>11</v>
      </c>
      <c r="E2053">
        <v>38</v>
      </c>
      <c r="F2053">
        <v>62</v>
      </c>
      <c r="G2053">
        <v>6.5</v>
      </c>
      <c r="H2053" t="s">
        <v>18</v>
      </c>
      <c r="I2053" t="s">
        <v>16</v>
      </c>
      <c r="J2053" t="s">
        <v>15</v>
      </c>
      <c r="K2053">
        <f>_xlfn.XLOOKUP(tbl_analysis_tickets[[#This Row],[priority]],tbl_sla[priority],tbl_sla[Resolution SLA Hours])</f>
        <v>72</v>
      </c>
      <c r="L2053">
        <f>_xlfn.XLOOKUP(tbl_analysis_tickets[[#This Row],[priority]],tbl_sla[priority],tbl_sla[First Response SLA Minutes])</f>
        <v>240</v>
      </c>
      <c r="M2053" t="str">
        <f>IF(tbl_analysis_tickets[[#This Row],[resolution_time_hours]]&gt;tbl_analysis_tickets[[#This Row],[Resolution SLA Hours]],"Breached","Within SLA")</f>
        <v>Within SLA</v>
      </c>
      <c r="N2053" t="str">
        <f>IF(tbl_analysis_tickets[[#This Row],[first_response_minutes]]&gt;tbl_analysis_tickets[[#This Row],[First Response SLA Minutes]],"Breached","Within SLA")</f>
        <v>Within SLA</v>
      </c>
      <c r="O2053" t="str" cm="1">
        <f t="array" ref="O2053">_xlfn.IFS(
tbl_analysis_tickets[[#This Row],[agent_experience_years]]&lt;=2,"Junior",
tbl_analysis_tickets[[#This Row],[agent_experience_years]]&lt;=5,"Mid-Level",
tbl_analysis_tickets[[#This Row],[agent_experience_years]]&lt;=8,"Senior",
tbl_analysis_tickets[[#This Row],[agent_experience_years]]&gt;8,"Expert"
)</f>
        <v>Senior</v>
      </c>
      <c r="P2053" cm="1">
        <f t="array" ref="P2053">_xlfn.SWITCH(tbl_analysis_tickets[[#This Row],[customer_satisfaction]],
"Low",1,
"Medium",2,
"High",3
)</f>
        <v>2</v>
      </c>
      <c r="Q2053">
        <f>IF(tbl_analysis_tickets[[#This Row],[reopened]]="Yes",1,0)</f>
        <v>0</v>
      </c>
      <c r="R2053" t="str" cm="1">
        <f t="array" ref="R2053">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053" t="str" cm="1">
        <f t="array" ref="S205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053" t="str">
        <f>TEXT(tbl_analysis_tickets[[#This Row],[created_date]],"mmm-yyyy")</f>
        <v>Oct-2024</v>
      </c>
      <c r="U2053" t="str">
        <f>TEXT(tbl_analysis_tickets[[#This Row],[created_date]],"dddd")</f>
        <v>Saturday</v>
      </c>
      <c r="V2053" cm="1">
        <f t="array" ref="V2053">_xlfn.SWITCH(tbl_analysis_tickets[[#This Row],[priority]],
"Urgent",1,
"High",2,
"Medium",3,
"Low",4
)</f>
        <v>4</v>
      </c>
    </row>
    <row r="2054" spans="1:22" x14ac:dyDescent="0.25">
      <c r="A2054">
        <v>2053</v>
      </c>
      <c r="B2054" s="1">
        <v>45543</v>
      </c>
      <c r="C2054" t="s">
        <v>23</v>
      </c>
      <c r="D2054" t="s">
        <v>15</v>
      </c>
      <c r="E2054">
        <v>143</v>
      </c>
      <c r="F2054">
        <v>10</v>
      </c>
      <c r="G2054">
        <v>5.8</v>
      </c>
      <c r="H2054" t="s">
        <v>18</v>
      </c>
      <c r="I2054" t="s">
        <v>16</v>
      </c>
      <c r="J2054" t="s">
        <v>15</v>
      </c>
      <c r="K2054">
        <f>_xlfn.XLOOKUP(tbl_analysis_tickets[[#This Row],[priority]],tbl_sla[priority],tbl_sla[Resolution SLA Hours])</f>
        <v>48</v>
      </c>
      <c r="L2054">
        <f>_xlfn.XLOOKUP(tbl_analysis_tickets[[#This Row],[priority]],tbl_sla[priority],tbl_sla[First Response SLA Minutes])</f>
        <v>120</v>
      </c>
      <c r="M2054" t="str">
        <f>IF(tbl_analysis_tickets[[#This Row],[resolution_time_hours]]&gt;tbl_analysis_tickets[[#This Row],[Resolution SLA Hours]],"Breached","Within SLA")</f>
        <v>Within SLA</v>
      </c>
      <c r="N2054" t="str">
        <f>IF(tbl_analysis_tickets[[#This Row],[first_response_minutes]]&gt;tbl_analysis_tickets[[#This Row],[First Response SLA Minutes]],"Breached","Within SLA")</f>
        <v>Breached</v>
      </c>
      <c r="O2054" t="str" cm="1">
        <f t="array" ref="O2054">_xlfn.IFS(
tbl_analysis_tickets[[#This Row],[agent_experience_years]]&lt;=2,"Junior",
tbl_analysis_tickets[[#This Row],[agent_experience_years]]&lt;=5,"Mid-Level",
tbl_analysis_tickets[[#This Row],[agent_experience_years]]&lt;=8,"Senior",
tbl_analysis_tickets[[#This Row],[agent_experience_years]]&gt;8,"Expert"
)</f>
        <v>Senior</v>
      </c>
      <c r="P2054" cm="1">
        <f t="array" ref="P2054">_xlfn.SWITCH(tbl_analysis_tickets[[#This Row],[customer_satisfaction]],
"Low",1,
"Medium",2,
"High",3
)</f>
        <v>2</v>
      </c>
      <c r="Q2054">
        <f>IF(tbl_analysis_tickets[[#This Row],[reopened]]="Yes",1,0)</f>
        <v>0</v>
      </c>
      <c r="R2054" t="str" cm="1">
        <f t="array" ref="R2054">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054" t="str" cm="1">
        <f t="array" ref="S205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054" t="str">
        <f>TEXT(tbl_analysis_tickets[[#This Row],[created_date]],"mmm-yyyy")</f>
        <v>Sep-2024</v>
      </c>
      <c r="U2054" t="str">
        <f>TEXT(tbl_analysis_tickets[[#This Row],[created_date]],"dddd")</f>
        <v>Sunday</v>
      </c>
      <c r="V2054" cm="1">
        <f t="array" ref="V2054">_xlfn.SWITCH(tbl_analysis_tickets[[#This Row],[priority]],
"Urgent",1,
"High",2,
"Medium",3,
"Low",4
)</f>
        <v>3</v>
      </c>
    </row>
    <row r="2055" spans="1:22" x14ac:dyDescent="0.25">
      <c r="A2055">
        <v>2054</v>
      </c>
      <c r="B2055" s="1">
        <v>45456</v>
      </c>
      <c r="C2055" t="s">
        <v>10</v>
      </c>
      <c r="D2055" t="s">
        <v>15</v>
      </c>
      <c r="E2055">
        <v>72</v>
      </c>
      <c r="F2055">
        <v>13</v>
      </c>
      <c r="G2055">
        <v>8.9</v>
      </c>
      <c r="H2055" t="s">
        <v>12</v>
      </c>
      <c r="I2055" t="s">
        <v>16</v>
      </c>
      <c r="J2055" t="s">
        <v>11</v>
      </c>
      <c r="K2055">
        <f>_xlfn.XLOOKUP(tbl_analysis_tickets[[#This Row],[priority]],tbl_sla[priority],tbl_sla[Resolution SLA Hours])</f>
        <v>48</v>
      </c>
      <c r="L2055">
        <f>_xlfn.XLOOKUP(tbl_analysis_tickets[[#This Row],[priority]],tbl_sla[priority],tbl_sla[First Response SLA Minutes])</f>
        <v>120</v>
      </c>
      <c r="M2055" t="str">
        <f>IF(tbl_analysis_tickets[[#This Row],[resolution_time_hours]]&gt;tbl_analysis_tickets[[#This Row],[Resolution SLA Hours]],"Breached","Within SLA")</f>
        <v>Within SLA</v>
      </c>
      <c r="N2055" t="str">
        <f>IF(tbl_analysis_tickets[[#This Row],[first_response_minutes]]&gt;tbl_analysis_tickets[[#This Row],[First Response SLA Minutes]],"Breached","Within SLA")</f>
        <v>Within SLA</v>
      </c>
      <c r="O2055" t="str" cm="1">
        <f t="array" ref="O2055">_xlfn.IFS(
tbl_analysis_tickets[[#This Row],[agent_experience_years]]&lt;=2,"Junior",
tbl_analysis_tickets[[#This Row],[agent_experience_years]]&lt;=5,"Mid-Level",
tbl_analysis_tickets[[#This Row],[agent_experience_years]]&lt;=8,"Senior",
tbl_analysis_tickets[[#This Row],[agent_experience_years]]&gt;8,"Expert"
)</f>
        <v>Expert</v>
      </c>
      <c r="P2055" cm="1">
        <f t="array" ref="P2055">_xlfn.SWITCH(tbl_analysis_tickets[[#This Row],[customer_satisfaction]],
"Low",1,
"Medium",2,
"High",3
)</f>
        <v>1</v>
      </c>
      <c r="Q2055">
        <f>IF(tbl_analysis_tickets[[#This Row],[reopened]]="Yes",1,0)</f>
        <v>1</v>
      </c>
      <c r="R2055" t="str" cm="1">
        <f t="array" ref="R2055">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055" t="str" cm="1">
        <f t="array" ref="S205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055" t="str">
        <f>TEXT(tbl_analysis_tickets[[#This Row],[created_date]],"mmm-yyyy")</f>
        <v>Jun-2024</v>
      </c>
      <c r="U2055" t="str">
        <f>TEXT(tbl_analysis_tickets[[#This Row],[created_date]],"dddd")</f>
        <v>Thursday</v>
      </c>
      <c r="V2055" cm="1">
        <f t="array" ref="V2055">_xlfn.SWITCH(tbl_analysis_tickets[[#This Row],[priority]],
"Urgent",1,
"High",2,
"Medium",3,
"Low",4
)</f>
        <v>3</v>
      </c>
    </row>
    <row r="2056" spans="1:22" x14ac:dyDescent="0.25">
      <c r="A2056">
        <v>2055</v>
      </c>
      <c r="B2056" s="1">
        <v>45297</v>
      </c>
      <c r="C2056" t="s">
        <v>14</v>
      </c>
      <c r="D2056" t="s">
        <v>15</v>
      </c>
      <c r="E2056">
        <v>72</v>
      </c>
      <c r="F2056">
        <v>41</v>
      </c>
      <c r="G2056">
        <v>4.2</v>
      </c>
      <c r="H2056" t="s">
        <v>12</v>
      </c>
      <c r="I2056" t="s">
        <v>13</v>
      </c>
      <c r="J2056" t="s">
        <v>11</v>
      </c>
      <c r="K2056">
        <f>_xlfn.XLOOKUP(tbl_analysis_tickets[[#This Row],[priority]],tbl_sla[priority],tbl_sla[Resolution SLA Hours])</f>
        <v>48</v>
      </c>
      <c r="L2056">
        <f>_xlfn.XLOOKUP(tbl_analysis_tickets[[#This Row],[priority]],tbl_sla[priority],tbl_sla[First Response SLA Minutes])</f>
        <v>120</v>
      </c>
      <c r="M2056" t="str">
        <f>IF(tbl_analysis_tickets[[#This Row],[resolution_time_hours]]&gt;tbl_analysis_tickets[[#This Row],[Resolution SLA Hours]],"Breached","Within SLA")</f>
        <v>Within SLA</v>
      </c>
      <c r="N2056" t="str">
        <f>IF(tbl_analysis_tickets[[#This Row],[first_response_minutes]]&gt;tbl_analysis_tickets[[#This Row],[First Response SLA Minutes]],"Breached","Within SLA")</f>
        <v>Within SLA</v>
      </c>
      <c r="O2056" t="str" cm="1">
        <f t="array" ref="O2056">_xlfn.IFS(
tbl_analysis_tickets[[#This Row],[agent_experience_years]]&lt;=2,"Junior",
tbl_analysis_tickets[[#This Row],[agent_experience_years]]&lt;=5,"Mid-Level",
tbl_analysis_tickets[[#This Row],[agent_experience_years]]&lt;=8,"Senior",
tbl_analysis_tickets[[#This Row],[agent_experience_years]]&gt;8,"Expert"
)</f>
        <v>Mid-Level</v>
      </c>
      <c r="P2056" cm="1">
        <f t="array" ref="P2056">_xlfn.SWITCH(tbl_analysis_tickets[[#This Row],[customer_satisfaction]],
"Low",1,
"Medium",2,
"High",3
)</f>
        <v>1</v>
      </c>
      <c r="Q2056">
        <f>IF(tbl_analysis_tickets[[#This Row],[reopened]]="Yes",1,0)</f>
        <v>1</v>
      </c>
      <c r="R2056" t="str" cm="1">
        <f t="array" ref="R2056">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056" t="str" cm="1">
        <f t="array" ref="S205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056" t="str">
        <f>TEXT(tbl_analysis_tickets[[#This Row],[created_date]],"mmm-yyyy")</f>
        <v>Jan-2024</v>
      </c>
      <c r="U2056" t="str">
        <f>TEXT(tbl_analysis_tickets[[#This Row],[created_date]],"dddd")</f>
        <v>Saturday</v>
      </c>
      <c r="V2056" cm="1">
        <f t="array" ref="V2056">_xlfn.SWITCH(tbl_analysis_tickets[[#This Row],[priority]],
"Urgent",1,
"High",2,
"Medium",3,
"Low",4
)</f>
        <v>3</v>
      </c>
    </row>
    <row r="2057" spans="1:22" x14ac:dyDescent="0.25">
      <c r="A2057">
        <v>2056</v>
      </c>
      <c r="B2057" s="1">
        <v>45557</v>
      </c>
      <c r="C2057" t="s">
        <v>23</v>
      </c>
      <c r="D2057" t="s">
        <v>11</v>
      </c>
      <c r="E2057">
        <v>106</v>
      </c>
      <c r="F2057">
        <v>15</v>
      </c>
      <c r="G2057">
        <v>1.8</v>
      </c>
      <c r="H2057" t="s">
        <v>18</v>
      </c>
      <c r="I2057" t="s">
        <v>16</v>
      </c>
      <c r="J2057" t="s">
        <v>11</v>
      </c>
      <c r="K2057">
        <f>_xlfn.XLOOKUP(tbl_analysis_tickets[[#This Row],[priority]],tbl_sla[priority],tbl_sla[Resolution SLA Hours])</f>
        <v>72</v>
      </c>
      <c r="L2057">
        <f>_xlfn.XLOOKUP(tbl_analysis_tickets[[#This Row],[priority]],tbl_sla[priority],tbl_sla[First Response SLA Minutes])</f>
        <v>240</v>
      </c>
      <c r="M2057" t="str">
        <f>IF(tbl_analysis_tickets[[#This Row],[resolution_time_hours]]&gt;tbl_analysis_tickets[[#This Row],[Resolution SLA Hours]],"Breached","Within SLA")</f>
        <v>Within SLA</v>
      </c>
      <c r="N2057" t="str">
        <f>IF(tbl_analysis_tickets[[#This Row],[first_response_minutes]]&gt;tbl_analysis_tickets[[#This Row],[First Response SLA Minutes]],"Breached","Within SLA")</f>
        <v>Within SLA</v>
      </c>
      <c r="O2057" t="str" cm="1">
        <f t="array" ref="O2057">_xlfn.IFS(
tbl_analysis_tickets[[#This Row],[agent_experience_years]]&lt;=2,"Junior",
tbl_analysis_tickets[[#This Row],[agent_experience_years]]&lt;=5,"Mid-Level",
tbl_analysis_tickets[[#This Row],[agent_experience_years]]&lt;=8,"Senior",
tbl_analysis_tickets[[#This Row],[agent_experience_years]]&gt;8,"Expert"
)</f>
        <v>Junior</v>
      </c>
      <c r="P2057" cm="1">
        <f t="array" ref="P2057">_xlfn.SWITCH(tbl_analysis_tickets[[#This Row],[customer_satisfaction]],
"Low",1,
"Medium",2,
"High",3
)</f>
        <v>1</v>
      </c>
      <c r="Q2057">
        <f>IF(tbl_analysis_tickets[[#This Row],[reopened]]="Yes",1,0)</f>
        <v>0</v>
      </c>
      <c r="R2057" t="str" cm="1">
        <f t="array" ref="R2057">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057" t="str" cm="1">
        <f t="array" ref="S205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057" t="str">
        <f>TEXT(tbl_analysis_tickets[[#This Row],[created_date]],"mmm-yyyy")</f>
        <v>Sep-2024</v>
      </c>
      <c r="U2057" t="str">
        <f>TEXT(tbl_analysis_tickets[[#This Row],[created_date]],"dddd")</f>
        <v>Sunday</v>
      </c>
      <c r="V2057" cm="1">
        <f t="array" ref="V2057">_xlfn.SWITCH(tbl_analysis_tickets[[#This Row],[priority]],
"Urgent",1,
"High",2,
"Medium",3,
"Low",4
)</f>
        <v>4</v>
      </c>
    </row>
    <row r="2058" spans="1:22" x14ac:dyDescent="0.25">
      <c r="A2058">
        <v>2057</v>
      </c>
      <c r="B2058" s="1">
        <v>45579</v>
      </c>
      <c r="C2058" t="s">
        <v>10</v>
      </c>
      <c r="D2058" t="s">
        <v>15</v>
      </c>
      <c r="E2058">
        <v>113</v>
      </c>
      <c r="F2058">
        <v>18</v>
      </c>
      <c r="G2058">
        <v>9.4</v>
      </c>
      <c r="H2058" t="s">
        <v>18</v>
      </c>
      <c r="I2058" t="s">
        <v>13</v>
      </c>
      <c r="J2058" t="s">
        <v>15</v>
      </c>
      <c r="K2058">
        <f>_xlfn.XLOOKUP(tbl_analysis_tickets[[#This Row],[priority]],tbl_sla[priority],tbl_sla[Resolution SLA Hours])</f>
        <v>48</v>
      </c>
      <c r="L2058">
        <f>_xlfn.XLOOKUP(tbl_analysis_tickets[[#This Row],[priority]],tbl_sla[priority],tbl_sla[First Response SLA Minutes])</f>
        <v>120</v>
      </c>
      <c r="M2058" t="str">
        <f>IF(tbl_analysis_tickets[[#This Row],[resolution_time_hours]]&gt;tbl_analysis_tickets[[#This Row],[Resolution SLA Hours]],"Breached","Within SLA")</f>
        <v>Within SLA</v>
      </c>
      <c r="N2058" t="str">
        <f>IF(tbl_analysis_tickets[[#This Row],[first_response_minutes]]&gt;tbl_analysis_tickets[[#This Row],[First Response SLA Minutes]],"Breached","Within SLA")</f>
        <v>Within SLA</v>
      </c>
      <c r="O2058" t="str" cm="1">
        <f t="array" ref="O2058">_xlfn.IFS(
tbl_analysis_tickets[[#This Row],[agent_experience_years]]&lt;=2,"Junior",
tbl_analysis_tickets[[#This Row],[agent_experience_years]]&lt;=5,"Mid-Level",
tbl_analysis_tickets[[#This Row],[agent_experience_years]]&lt;=8,"Senior",
tbl_analysis_tickets[[#This Row],[agent_experience_years]]&gt;8,"Expert"
)</f>
        <v>Expert</v>
      </c>
      <c r="P2058" cm="1">
        <f t="array" ref="P2058">_xlfn.SWITCH(tbl_analysis_tickets[[#This Row],[customer_satisfaction]],
"Low",1,
"Medium",2,
"High",3
)</f>
        <v>2</v>
      </c>
      <c r="Q2058">
        <f>IF(tbl_analysis_tickets[[#This Row],[reopened]]="Yes",1,0)</f>
        <v>0</v>
      </c>
      <c r="R2058" t="str" cm="1">
        <f t="array" ref="R2058">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058" t="str" cm="1">
        <f t="array" ref="S205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058" t="str">
        <f>TEXT(tbl_analysis_tickets[[#This Row],[created_date]],"mmm-yyyy")</f>
        <v>Oct-2024</v>
      </c>
      <c r="U2058" t="str">
        <f>TEXT(tbl_analysis_tickets[[#This Row],[created_date]],"dddd")</f>
        <v>Monday</v>
      </c>
      <c r="V2058" cm="1">
        <f t="array" ref="V2058">_xlfn.SWITCH(tbl_analysis_tickets[[#This Row],[priority]],
"Urgent",1,
"High",2,
"Medium",3,
"Low",4
)</f>
        <v>3</v>
      </c>
    </row>
    <row r="2059" spans="1:22" x14ac:dyDescent="0.25">
      <c r="A2059">
        <v>2058</v>
      </c>
      <c r="B2059" s="1">
        <v>45303</v>
      </c>
      <c r="C2059" t="s">
        <v>21</v>
      </c>
      <c r="D2059" t="s">
        <v>11</v>
      </c>
      <c r="E2059">
        <v>31</v>
      </c>
      <c r="F2059">
        <v>56</v>
      </c>
      <c r="G2059">
        <v>7.1</v>
      </c>
      <c r="H2059" t="s">
        <v>12</v>
      </c>
      <c r="I2059" t="s">
        <v>13</v>
      </c>
      <c r="J2059" t="s">
        <v>11</v>
      </c>
      <c r="K2059">
        <f>_xlfn.XLOOKUP(tbl_analysis_tickets[[#This Row],[priority]],tbl_sla[priority],tbl_sla[Resolution SLA Hours])</f>
        <v>72</v>
      </c>
      <c r="L2059">
        <f>_xlfn.XLOOKUP(tbl_analysis_tickets[[#This Row],[priority]],tbl_sla[priority],tbl_sla[First Response SLA Minutes])</f>
        <v>240</v>
      </c>
      <c r="M2059" t="str">
        <f>IF(tbl_analysis_tickets[[#This Row],[resolution_time_hours]]&gt;tbl_analysis_tickets[[#This Row],[Resolution SLA Hours]],"Breached","Within SLA")</f>
        <v>Within SLA</v>
      </c>
      <c r="N2059" t="str">
        <f>IF(tbl_analysis_tickets[[#This Row],[first_response_minutes]]&gt;tbl_analysis_tickets[[#This Row],[First Response SLA Minutes]],"Breached","Within SLA")</f>
        <v>Within SLA</v>
      </c>
      <c r="O2059" t="str" cm="1">
        <f t="array" ref="O2059">_xlfn.IFS(
tbl_analysis_tickets[[#This Row],[agent_experience_years]]&lt;=2,"Junior",
tbl_analysis_tickets[[#This Row],[agent_experience_years]]&lt;=5,"Mid-Level",
tbl_analysis_tickets[[#This Row],[agent_experience_years]]&lt;=8,"Senior",
tbl_analysis_tickets[[#This Row],[agent_experience_years]]&gt;8,"Expert"
)</f>
        <v>Senior</v>
      </c>
      <c r="P2059" cm="1">
        <f t="array" ref="P2059">_xlfn.SWITCH(tbl_analysis_tickets[[#This Row],[customer_satisfaction]],
"Low",1,
"Medium",2,
"High",3
)</f>
        <v>1</v>
      </c>
      <c r="Q2059">
        <f>IF(tbl_analysis_tickets[[#This Row],[reopened]]="Yes",1,0)</f>
        <v>1</v>
      </c>
      <c r="R2059" t="str" cm="1">
        <f t="array" ref="R2059">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059" t="str" cm="1">
        <f t="array" ref="S205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059" t="str">
        <f>TEXT(tbl_analysis_tickets[[#This Row],[created_date]],"mmm-yyyy")</f>
        <v>Jan-2024</v>
      </c>
      <c r="U2059" t="str">
        <f>TEXT(tbl_analysis_tickets[[#This Row],[created_date]],"dddd")</f>
        <v>Friday</v>
      </c>
      <c r="V2059" cm="1">
        <f t="array" ref="V2059">_xlfn.SWITCH(tbl_analysis_tickets[[#This Row],[priority]],
"Urgent",1,
"High",2,
"Medium",3,
"Low",4
)</f>
        <v>4</v>
      </c>
    </row>
    <row r="2060" spans="1:22" x14ac:dyDescent="0.25">
      <c r="A2060">
        <v>2059</v>
      </c>
      <c r="B2060" s="1">
        <v>45365</v>
      </c>
      <c r="C2060" t="s">
        <v>21</v>
      </c>
      <c r="D2060" t="s">
        <v>11</v>
      </c>
      <c r="E2060">
        <v>48</v>
      </c>
      <c r="F2060">
        <v>47</v>
      </c>
      <c r="G2060">
        <v>3.2</v>
      </c>
      <c r="H2060" t="s">
        <v>18</v>
      </c>
      <c r="I2060" t="s">
        <v>19</v>
      </c>
      <c r="J2060" t="s">
        <v>11</v>
      </c>
      <c r="K2060">
        <f>_xlfn.XLOOKUP(tbl_analysis_tickets[[#This Row],[priority]],tbl_sla[priority],tbl_sla[Resolution SLA Hours])</f>
        <v>72</v>
      </c>
      <c r="L2060">
        <f>_xlfn.XLOOKUP(tbl_analysis_tickets[[#This Row],[priority]],tbl_sla[priority],tbl_sla[First Response SLA Minutes])</f>
        <v>240</v>
      </c>
      <c r="M2060" t="str">
        <f>IF(tbl_analysis_tickets[[#This Row],[resolution_time_hours]]&gt;tbl_analysis_tickets[[#This Row],[Resolution SLA Hours]],"Breached","Within SLA")</f>
        <v>Within SLA</v>
      </c>
      <c r="N2060" t="str">
        <f>IF(tbl_analysis_tickets[[#This Row],[first_response_minutes]]&gt;tbl_analysis_tickets[[#This Row],[First Response SLA Minutes]],"Breached","Within SLA")</f>
        <v>Within SLA</v>
      </c>
      <c r="O2060" t="str" cm="1">
        <f t="array" ref="O2060">_xlfn.IFS(
tbl_analysis_tickets[[#This Row],[agent_experience_years]]&lt;=2,"Junior",
tbl_analysis_tickets[[#This Row],[agent_experience_years]]&lt;=5,"Mid-Level",
tbl_analysis_tickets[[#This Row],[agent_experience_years]]&lt;=8,"Senior",
tbl_analysis_tickets[[#This Row],[agent_experience_years]]&gt;8,"Expert"
)</f>
        <v>Mid-Level</v>
      </c>
      <c r="P2060" cm="1">
        <f t="array" ref="P2060">_xlfn.SWITCH(tbl_analysis_tickets[[#This Row],[customer_satisfaction]],
"Low",1,
"Medium",2,
"High",3
)</f>
        <v>1</v>
      </c>
      <c r="Q2060">
        <f>IF(tbl_analysis_tickets[[#This Row],[reopened]]="Yes",1,0)</f>
        <v>0</v>
      </c>
      <c r="R2060" t="str" cm="1">
        <f t="array" ref="R2060">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060" t="str" cm="1">
        <f t="array" ref="S206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060" t="str">
        <f>TEXT(tbl_analysis_tickets[[#This Row],[created_date]],"mmm-yyyy")</f>
        <v>Mar-2024</v>
      </c>
      <c r="U2060" t="str">
        <f>TEXT(tbl_analysis_tickets[[#This Row],[created_date]],"dddd")</f>
        <v>Thursday</v>
      </c>
      <c r="V2060" cm="1">
        <f t="array" ref="V2060">_xlfn.SWITCH(tbl_analysis_tickets[[#This Row],[priority]],
"Urgent",1,
"High",2,
"Medium",3,
"Low",4
)</f>
        <v>4</v>
      </c>
    </row>
    <row r="2061" spans="1:22" x14ac:dyDescent="0.25">
      <c r="A2061">
        <v>2060</v>
      </c>
      <c r="B2061" s="1">
        <v>45477</v>
      </c>
      <c r="C2061" t="s">
        <v>10</v>
      </c>
      <c r="D2061" t="s">
        <v>15</v>
      </c>
      <c r="E2061">
        <v>238</v>
      </c>
      <c r="F2061">
        <v>29</v>
      </c>
      <c r="G2061">
        <v>5.7</v>
      </c>
      <c r="H2061" t="s">
        <v>12</v>
      </c>
      <c r="I2061" t="s">
        <v>19</v>
      </c>
      <c r="J2061" t="s">
        <v>11</v>
      </c>
      <c r="K2061">
        <f>_xlfn.XLOOKUP(tbl_analysis_tickets[[#This Row],[priority]],tbl_sla[priority],tbl_sla[Resolution SLA Hours])</f>
        <v>48</v>
      </c>
      <c r="L2061">
        <f>_xlfn.XLOOKUP(tbl_analysis_tickets[[#This Row],[priority]],tbl_sla[priority],tbl_sla[First Response SLA Minutes])</f>
        <v>120</v>
      </c>
      <c r="M2061" t="str">
        <f>IF(tbl_analysis_tickets[[#This Row],[resolution_time_hours]]&gt;tbl_analysis_tickets[[#This Row],[Resolution SLA Hours]],"Breached","Within SLA")</f>
        <v>Within SLA</v>
      </c>
      <c r="N2061" t="str">
        <f>IF(tbl_analysis_tickets[[#This Row],[first_response_minutes]]&gt;tbl_analysis_tickets[[#This Row],[First Response SLA Minutes]],"Breached","Within SLA")</f>
        <v>Breached</v>
      </c>
      <c r="O2061" t="str" cm="1">
        <f t="array" ref="O2061">_xlfn.IFS(
tbl_analysis_tickets[[#This Row],[agent_experience_years]]&lt;=2,"Junior",
tbl_analysis_tickets[[#This Row],[agent_experience_years]]&lt;=5,"Mid-Level",
tbl_analysis_tickets[[#This Row],[agent_experience_years]]&lt;=8,"Senior",
tbl_analysis_tickets[[#This Row],[agent_experience_years]]&gt;8,"Expert"
)</f>
        <v>Senior</v>
      </c>
      <c r="P2061" cm="1">
        <f t="array" ref="P2061">_xlfn.SWITCH(tbl_analysis_tickets[[#This Row],[customer_satisfaction]],
"Low",1,
"Medium",2,
"High",3
)</f>
        <v>1</v>
      </c>
      <c r="Q2061">
        <f>IF(tbl_analysis_tickets[[#This Row],[reopened]]="Yes",1,0)</f>
        <v>1</v>
      </c>
      <c r="R2061" t="str" cm="1">
        <f t="array" ref="R2061">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061" t="str" cm="1">
        <f t="array" ref="S206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061" t="str">
        <f>TEXT(tbl_analysis_tickets[[#This Row],[created_date]],"mmm-yyyy")</f>
        <v>Jul-2024</v>
      </c>
      <c r="U2061" t="str">
        <f>TEXT(tbl_analysis_tickets[[#This Row],[created_date]],"dddd")</f>
        <v>Thursday</v>
      </c>
      <c r="V2061" cm="1">
        <f t="array" ref="V2061">_xlfn.SWITCH(tbl_analysis_tickets[[#This Row],[priority]],
"Urgent",1,
"High",2,
"Medium",3,
"Low",4
)</f>
        <v>3</v>
      </c>
    </row>
    <row r="2062" spans="1:22" x14ac:dyDescent="0.25">
      <c r="A2062">
        <v>2061</v>
      </c>
      <c r="B2062" s="1">
        <v>45550</v>
      </c>
      <c r="C2062" t="s">
        <v>14</v>
      </c>
      <c r="D2062" t="s">
        <v>17</v>
      </c>
      <c r="E2062">
        <v>68</v>
      </c>
      <c r="F2062">
        <v>48</v>
      </c>
      <c r="G2062">
        <v>6.5</v>
      </c>
      <c r="H2062" t="s">
        <v>18</v>
      </c>
      <c r="I2062" t="s">
        <v>19</v>
      </c>
      <c r="J2062" t="s">
        <v>11</v>
      </c>
      <c r="K2062">
        <f>_xlfn.XLOOKUP(tbl_analysis_tickets[[#This Row],[priority]],tbl_sla[priority],tbl_sla[Resolution SLA Hours])</f>
        <v>8</v>
      </c>
      <c r="L2062">
        <f>_xlfn.XLOOKUP(tbl_analysis_tickets[[#This Row],[priority]],tbl_sla[priority],tbl_sla[First Response SLA Minutes])</f>
        <v>30</v>
      </c>
      <c r="M2062" t="str">
        <f>IF(tbl_analysis_tickets[[#This Row],[resolution_time_hours]]&gt;tbl_analysis_tickets[[#This Row],[Resolution SLA Hours]],"Breached","Within SLA")</f>
        <v>Breached</v>
      </c>
      <c r="N2062" t="str">
        <f>IF(tbl_analysis_tickets[[#This Row],[first_response_minutes]]&gt;tbl_analysis_tickets[[#This Row],[First Response SLA Minutes]],"Breached","Within SLA")</f>
        <v>Breached</v>
      </c>
      <c r="O2062" t="str" cm="1">
        <f t="array" ref="O2062">_xlfn.IFS(
tbl_analysis_tickets[[#This Row],[agent_experience_years]]&lt;=2,"Junior",
tbl_analysis_tickets[[#This Row],[agent_experience_years]]&lt;=5,"Mid-Level",
tbl_analysis_tickets[[#This Row],[agent_experience_years]]&lt;=8,"Senior",
tbl_analysis_tickets[[#This Row],[agent_experience_years]]&gt;8,"Expert"
)</f>
        <v>Senior</v>
      </c>
      <c r="P2062" cm="1">
        <f t="array" ref="P2062">_xlfn.SWITCH(tbl_analysis_tickets[[#This Row],[customer_satisfaction]],
"Low",1,
"Medium",2,
"High",3
)</f>
        <v>1</v>
      </c>
      <c r="Q2062">
        <f>IF(tbl_analysis_tickets[[#This Row],[reopened]]="Yes",1,0)</f>
        <v>0</v>
      </c>
      <c r="R2062" t="str" cm="1">
        <f t="array" ref="R2062">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062" t="str" cm="1">
        <f t="array" ref="S206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062" t="str">
        <f>TEXT(tbl_analysis_tickets[[#This Row],[created_date]],"mmm-yyyy")</f>
        <v>Sep-2024</v>
      </c>
      <c r="U2062" t="str">
        <f>TEXT(tbl_analysis_tickets[[#This Row],[created_date]],"dddd")</f>
        <v>Sunday</v>
      </c>
      <c r="V2062" cm="1">
        <f t="array" ref="V2062">_xlfn.SWITCH(tbl_analysis_tickets[[#This Row],[priority]],
"Urgent",1,
"High",2,
"Medium",3,
"Low",4
)</f>
        <v>1</v>
      </c>
    </row>
    <row r="2063" spans="1:22" x14ac:dyDescent="0.25">
      <c r="A2063">
        <v>2062</v>
      </c>
      <c r="B2063" s="1">
        <v>45586</v>
      </c>
      <c r="C2063" t="s">
        <v>10</v>
      </c>
      <c r="D2063" t="s">
        <v>15</v>
      </c>
      <c r="E2063">
        <v>88</v>
      </c>
      <c r="F2063">
        <v>51</v>
      </c>
      <c r="G2063">
        <v>7</v>
      </c>
      <c r="H2063" t="s">
        <v>12</v>
      </c>
      <c r="I2063" t="s">
        <v>16</v>
      </c>
      <c r="J2063" t="s">
        <v>11</v>
      </c>
      <c r="K2063">
        <f>_xlfn.XLOOKUP(tbl_analysis_tickets[[#This Row],[priority]],tbl_sla[priority],tbl_sla[Resolution SLA Hours])</f>
        <v>48</v>
      </c>
      <c r="L2063">
        <f>_xlfn.XLOOKUP(tbl_analysis_tickets[[#This Row],[priority]],tbl_sla[priority],tbl_sla[First Response SLA Minutes])</f>
        <v>120</v>
      </c>
      <c r="M2063" t="str">
        <f>IF(tbl_analysis_tickets[[#This Row],[resolution_time_hours]]&gt;tbl_analysis_tickets[[#This Row],[Resolution SLA Hours]],"Breached","Within SLA")</f>
        <v>Breached</v>
      </c>
      <c r="N2063" t="str">
        <f>IF(tbl_analysis_tickets[[#This Row],[first_response_minutes]]&gt;tbl_analysis_tickets[[#This Row],[First Response SLA Minutes]],"Breached","Within SLA")</f>
        <v>Within SLA</v>
      </c>
      <c r="O2063" t="str" cm="1">
        <f t="array" ref="O2063">_xlfn.IFS(
tbl_analysis_tickets[[#This Row],[agent_experience_years]]&lt;=2,"Junior",
tbl_analysis_tickets[[#This Row],[agent_experience_years]]&lt;=5,"Mid-Level",
tbl_analysis_tickets[[#This Row],[agent_experience_years]]&lt;=8,"Senior",
tbl_analysis_tickets[[#This Row],[agent_experience_years]]&gt;8,"Expert"
)</f>
        <v>Senior</v>
      </c>
      <c r="P2063" cm="1">
        <f t="array" ref="P2063">_xlfn.SWITCH(tbl_analysis_tickets[[#This Row],[customer_satisfaction]],
"Low",1,
"Medium",2,
"High",3
)</f>
        <v>1</v>
      </c>
      <c r="Q2063">
        <f>IF(tbl_analysis_tickets[[#This Row],[reopened]]="Yes",1,0)</f>
        <v>1</v>
      </c>
      <c r="R2063" t="str" cm="1">
        <f t="array" ref="R2063">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063" t="str" cm="1">
        <f t="array" ref="S206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063" t="str">
        <f>TEXT(tbl_analysis_tickets[[#This Row],[created_date]],"mmm-yyyy")</f>
        <v>Oct-2024</v>
      </c>
      <c r="U2063" t="str">
        <f>TEXT(tbl_analysis_tickets[[#This Row],[created_date]],"dddd")</f>
        <v>Monday</v>
      </c>
      <c r="V2063" cm="1">
        <f t="array" ref="V2063">_xlfn.SWITCH(tbl_analysis_tickets[[#This Row],[priority]],
"Urgent",1,
"High",2,
"Medium",3,
"Low",4
)</f>
        <v>3</v>
      </c>
    </row>
    <row r="2064" spans="1:22" x14ac:dyDescent="0.25">
      <c r="A2064">
        <v>2063</v>
      </c>
      <c r="B2064" s="1">
        <v>45573</v>
      </c>
      <c r="C2064" t="s">
        <v>14</v>
      </c>
      <c r="D2064" t="s">
        <v>15</v>
      </c>
      <c r="E2064">
        <v>102</v>
      </c>
      <c r="F2064">
        <v>10</v>
      </c>
      <c r="G2064">
        <v>10</v>
      </c>
      <c r="H2064" t="s">
        <v>12</v>
      </c>
      <c r="I2064" t="s">
        <v>13</v>
      </c>
      <c r="J2064" t="s">
        <v>11</v>
      </c>
      <c r="K2064">
        <f>_xlfn.XLOOKUP(tbl_analysis_tickets[[#This Row],[priority]],tbl_sla[priority],tbl_sla[Resolution SLA Hours])</f>
        <v>48</v>
      </c>
      <c r="L2064">
        <f>_xlfn.XLOOKUP(tbl_analysis_tickets[[#This Row],[priority]],tbl_sla[priority],tbl_sla[First Response SLA Minutes])</f>
        <v>120</v>
      </c>
      <c r="M2064" t="str">
        <f>IF(tbl_analysis_tickets[[#This Row],[resolution_time_hours]]&gt;tbl_analysis_tickets[[#This Row],[Resolution SLA Hours]],"Breached","Within SLA")</f>
        <v>Within SLA</v>
      </c>
      <c r="N2064" t="str">
        <f>IF(tbl_analysis_tickets[[#This Row],[first_response_minutes]]&gt;tbl_analysis_tickets[[#This Row],[First Response SLA Minutes]],"Breached","Within SLA")</f>
        <v>Within SLA</v>
      </c>
      <c r="O2064" t="str" cm="1">
        <f t="array" ref="O2064">_xlfn.IFS(
tbl_analysis_tickets[[#This Row],[agent_experience_years]]&lt;=2,"Junior",
tbl_analysis_tickets[[#This Row],[agent_experience_years]]&lt;=5,"Mid-Level",
tbl_analysis_tickets[[#This Row],[agent_experience_years]]&lt;=8,"Senior",
tbl_analysis_tickets[[#This Row],[agent_experience_years]]&gt;8,"Expert"
)</f>
        <v>Expert</v>
      </c>
      <c r="P2064" cm="1">
        <f t="array" ref="P2064">_xlfn.SWITCH(tbl_analysis_tickets[[#This Row],[customer_satisfaction]],
"Low",1,
"Medium",2,
"High",3
)</f>
        <v>1</v>
      </c>
      <c r="Q2064">
        <f>IF(tbl_analysis_tickets[[#This Row],[reopened]]="Yes",1,0)</f>
        <v>1</v>
      </c>
      <c r="R2064" t="str" cm="1">
        <f t="array" ref="R2064">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064" t="str" cm="1">
        <f t="array" ref="S206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064" t="str">
        <f>TEXT(tbl_analysis_tickets[[#This Row],[created_date]],"mmm-yyyy")</f>
        <v>Oct-2024</v>
      </c>
      <c r="U2064" t="str">
        <f>TEXT(tbl_analysis_tickets[[#This Row],[created_date]],"dddd")</f>
        <v>Tuesday</v>
      </c>
      <c r="V2064" cm="1">
        <f t="array" ref="V2064">_xlfn.SWITCH(tbl_analysis_tickets[[#This Row],[priority]],
"Urgent",1,
"High",2,
"Medium",3,
"Low",4
)</f>
        <v>3</v>
      </c>
    </row>
    <row r="2065" spans="1:22" x14ac:dyDescent="0.25">
      <c r="A2065">
        <v>2064</v>
      </c>
      <c r="B2065" s="1">
        <v>45382</v>
      </c>
      <c r="C2065" t="s">
        <v>22</v>
      </c>
      <c r="D2065" t="s">
        <v>20</v>
      </c>
      <c r="E2065">
        <v>131</v>
      </c>
      <c r="F2065">
        <v>56</v>
      </c>
      <c r="G2065">
        <v>9.6999999999999993</v>
      </c>
      <c r="H2065" t="s">
        <v>12</v>
      </c>
      <c r="I2065" t="s">
        <v>13</v>
      </c>
      <c r="J2065" t="s">
        <v>11</v>
      </c>
      <c r="K2065">
        <f>_xlfn.XLOOKUP(tbl_analysis_tickets[[#This Row],[priority]],tbl_sla[priority],tbl_sla[Resolution SLA Hours])</f>
        <v>24</v>
      </c>
      <c r="L2065">
        <f>_xlfn.XLOOKUP(tbl_analysis_tickets[[#This Row],[priority]],tbl_sla[priority],tbl_sla[First Response SLA Minutes])</f>
        <v>60</v>
      </c>
      <c r="M2065" t="str">
        <f>IF(tbl_analysis_tickets[[#This Row],[resolution_time_hours]]&gt;tbl_analysis_tickets[[#This Row],[Resolution SLA Hours]],"Breached","Within SLA")</f>
        <v>Breached</v>
      </c>
      <c r="N2065" t="str">
        <f>IF(tbl_analysis_tickets[[#This Row],[first_response_minutes]]&gt;tbl_analysis_tickets[[#This Row],[First Response SLA Minutes]],"Breached","Within SLA")</f>
        <v>Breached</v>
      </c>
      <c r="O2065" t="str" cm="1">
        <f t="array" ref="O2065">_xlfn.IFS(
tbl_analysis_tickets[[#This Row],[agent_experience_years]]&lt;=2,"Junior",
tbl_analysis_tickets[[#This Row],[agent_experience_years]]&lt;=5,"Mid-Level",
tbl_analysis_tickets[[#This Row],[agent_experience_years]]&lt;=8,"Senior",
tbl_analysis_tickets[[#This Row],[agent_experience_years]]&gt;8,"Expert"
)</f>
        <v>Expert</v>
      </c>
      <c r="P2065" cm="1">
        <f t="array" ref="P2065">_xlfn.SWITCH(tbl_analysis_tickets[[#This Row],[customer_satisfaction]],
"Low",1,
"Medium",2,
"High",3
)</f>
        <v>1</v>
      </c>
      <c r="Q2065">
        <f>IF(tbl_analysis_tickets[[#This Row],[reopened]]="Yes",1,0)</f>
        <v>1</v>
      </c>
      <c r="R2065" t="str" cm="1">
        <f t="array" ref="R2065">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065" t="str" cm="1">
        <f t="array" ref="S206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065" t="str">
        <f>TEXT(tbl_analysis_tickets[[#This Row],[created_date]],"mmm-yyyy")</f>
        <v>Mar-2024</v>
      </c>
      <c r="U2065" t="str">
        <f>TEXT(tbl_analysis_tickets[[#This Row],[created_date]],"dddd")</f>
        <v>Sunday</v>
      </c>
      <c r="V2065" cm="1">
        <f t="array" ref="V2065">_xlfn.SWITCH(tbl_analysis_tickets[[#This Row],[priority]],
"Urgent",1,
"High",2,
"Medium",3,
"Low",4
)</f>
        <v>2</v>
      </c>
    </row>
    <row r="2066" spans="1:22" x14ac:dyDescent="0.25">
      <c r="A2066">
        <v>2065</v>
      </c>
      <c r="B2066" s="1">
        <v>45581</v>
      </c>
      <c r="C2066" t="s">
        <v>23</v>
      </c>
      <c r="D2066" t="s">
        <v>17</v>
      </c>
      <c r="E2066">
        <v>153</v>
      </c>
      <c r="F2066">
        <v>1</v>
      </c>
      <c r="G2066">
        <v>9</v>
      </c>
      <c r="H2066" t="s">
        <v>18</v>
      </c>
      <c r="I2066" t="s">
        <v>13</v>
      </c>
      <c r="J2066" t="s">
        <v>15</v>
      </c>
      <c r="K2066">
        <f>_xlfn.XLOOKUP(tbl_analysis_tickets[[#This Row],[priority]],tbl_sla[priority],tbl_sla[Resolution SLA Hours])</f>
        <v>8</v>
      </c>
      <c r="L2066">
        <f>_xlfn.XLOOKUP(tbl_analysis_tickets[[#This Row],[priority]],tbl_sla[priority],tbl_sla[First Response SLA Minutes])</f>
        <v>30</v>
      </c>
      <c r="M2066" t="str">
        <f>IF(tbl_analysis_tickets[[#This Row],[resolution_time_hours]]&gt;tbl_analysis_tickets[[#This Row],[Resolution SLA Hours]],"Breached","Within SLA")</f>
        <v>Within SLA</v>
      </c>
      <c r="N2066" t="str">
        <f>IF(tbl_analysis_tickets[[#This Row],[first_response_minutes]]&gt;tbl_analysis_tickets[[#This Row],[First Response SLA Minutes]],"Breached","Within SLA")</f>
        <v>Breached</v>
      </c>
      <c r="O2066" t="str" cm="1">
        <f t="array" ref="O2066">_xlfn.IFS(
tbl_analysis_tickets[[#This Row],[agent_experience_years]]&lt;=2,"Junior",
tbl_analysis_tickets[[#This Row],[agent_experience_years]]&lt;=5,"Mid-Level",
tbl_analysis_tickets[[#This Row],[agent_experience_years]]&lt;=8,"Senior",
tbl_analysis_tickets[[#This Row],[agent_experience_years]]&gt;8,"Expert"
)</f>
        <v>Expert</v>
      </c>
      <c r="P2066" cm="1">
        <f t="array" ref="P2066">_xlfn.SWITCH(tbl_analysis_tickets[[#This Row],[customer_satisfaction]],
"Low",1,
"Medium",2,
"High",3
)</f>
        <v>2</v>
      </c>
      <c r="Q2066">
        <f>IF(tbl_analysis_tickets[[#This Row],[reopened]]="Yes",1,0)</f>
        <v>0</v>
      </c>
      <c r="R2066" t="str" cm="1">
        <f t="array" ref="R2066">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066" t="str" cm="1">
        <f t="array" ref="S206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2066" t="str">
        <f>TEXT(tbl_analysis_tickets[[#This Row],[created_date]],"mmm-yyyy")</f>
        <v>Oct-2024</v>
      </c>
      <c r="U2066" t="str">
        <f>TEXT(tbl_analysis_tickets[[#This Row],[created_date]],"dddd")</f>
        <v>Wednesday</v>
      </c>
      <c r="V2066" cm="1">
        <f t="array" ref="V2066">_xlfn.SWITCH(tbl_analysis_tickets[[#This Row],[priority]],
"Urgent",1,
"High",2,
"Medium",3,
"Low",4
)</f>
        <v>1</v>
      </c>
    </row>
    <row r="2067" spans="1:22" x14ac:dyDescent="0.25">
      <c r="A2067">
        <v>2066</v>
      </c>
      <c r="B2067" s="1">
        <v>45437</v>
      </c>
      <c r="C2067" t="s">
        <v>22</v>
      </c>
      <c r="D2067" t="s">
        <v>17</v>
      </c>
      <c r="E2067">
        <v>114</v>
      </c>
      <c r="F2067">
        <v>46</v>
      </c>
      <c r="G2067">
        <v>7.9</v>
      </c>
      <c r="H2067" t="s">
        <v>18</v>
      </c>
      <c r="I2067" t="s">
        <v>16</v>
      </c>
      <c r="J2067" t="s">
        <v>11</v>
      </c>
      <c r="K2067">
        <f>_xlfn.XLOOKUP(tbl_analysis_tickets[[#This Row],[priority]],tbl_sla[priority],tbl_sla[Resolution SLA Hours])</f>
        <v>8</v>
      </c>
      <c r="L2067">
        <f>_xlfn.XLOOKUP(tbl_analysis_tickets[[#This Row],[priority]],tbl_sla[priority],tbl_sla[First Response SLA Minutes])</f>
        <v>30</v>
      </c>
      <c r="M2067" t="str">
        <f>IF(tbl_analysis_tickets[[#This Row],[resolution_time_hours]]&gt;tbl_analysis_tickets[[#This Row],[Resolution SLA Hours]],"Breached","Within SLA")</f>
        <v>Breached</v>
      </c>
      <c r="N2067" t="str">
        <f>IF(tbl_analysis_tickets[[#This Row],[first_response_minutes]]&gt;tbl_analysis_tickets[[#This Row],[First Response SLA Minutes]],"Breached","Within SLA")</f>
        <v>Breached</v>
      </c>
      <c r="O2067" t="str" cm="1">
        <f t="array" ref="O2067">_xlfn.IFS(
tbl_analysis_tickets[[#This Row],[agent_experience_years]]&lt;=2,"Junior",
tbl_analysis_tickets[[#This Row],[agent_experience_years]]&lt;=5,"Mid-Level",
tbl_analysis_tickets[[#This Row],[agent_experience_years]]&lt;=8,"Senior",
tbl_analysis_tickets[[#This Row],[agent_experience_years]]&gt;8,"Expert"
)</f>
        <v>Senior</v>
      </c>
      <c r="P2067" cm="1">
        <f t="array" ref="P2067">_xlfn.SWITCH(tbl_analysis_tickets[[#This Row],[customer_satisfaction]],
"Low",1,
"Medium",2,
"High",3
)</f>
        <v>1</v>
      </c>
      <c r="Q2067">
        <f>IF(tbl_analysis_tickets[[#This Row],[reopened]]="Yes",1,0)</f>
        <v>0</v>
      </c>
      <c r="R2067" t="str" cm="1">
        <f t="array" ref="R2067">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067" t="str" cm="1">
        <f t="array" ref="S206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067" t="str">
        <f>TEXT(tbl_analysis_tickets[[#This Row],[created_date]],"mmm-yyyy")</f>
        <v>May-2024</v>
      </c>
      <c r="U2067" t="str">
        <f>TEXT(tbl_analysis_tickets[[#This Row],[created_date]],"dddd")</f>
        <v>Saturday</v>
      </c>
      <c r="V2067" cm="1">
        <f t="array" ref="V2067">_xlfn.SWITCH(tbl_analysis_tickets[[#This Row],[priority]],
"Urgent",1,
"High",2,
"Medium",3,
"Low",4
)</f>
        <v>1</v>
      </c>
    </row>
    <row r="2068" spans="1:22" x14ac:dyDescent="0.25">
      <c r="A2068">
        <v>2067</v>
      </c>
      <c r="B2068" s="1">
        <v>45515</v>
      </c>
      <c r="C2068" t="s">
        <v>10</v>
      </c>
      <c r="D2068" t="s">
        <v>20</v>
      </c>
      <c r="E2068">
        <v>183</v>
      </c>
      <c r="F2068">
        <v>52</v>
      </c>
      <c r="G2068">
        <v>9.9</v>
      </c>
      <c r="H2068" t="s">
        <v>18</v>
      </c>
      <c r="I2068" t="s">
        <v>13</v>
      </c>
      <c r="J2068" t="s">
        <v>11</v>
      </c>
      <c r="K2068">
        <f>_xlfn.XLOOKUP(tbl_analysis_tickets[[#This Row],[priority]],tbl_sla[priority],tbl_sla[Resolution SLA Hours])</f>
        <v>24</v>
      </c>
      <c r="L2068">
        <f>_xlfn.XLOOKUP(tbl_analysis_tickets[[#This Row],[priority]],tbl_sla[priority],tbl_sla[First Response SLA Minutes])</f>
        <v>60</v>
      </c>
      <c r="M2068" t="str">
        <f>IF(tbl_analysis_tickets[[#This Row],[resolution_time_hours]]&gt;tbl_analysis_tickets[[#This Row],[Resolution SLA Hours]],"Breached","Within SLA")</f>
        <v>Breached</v>
      </c>
      <c r="N2068" t="str">
        <f>IF(tbl_analysis_tickets[[#This Row],[first_response_minutes]]&gt;tbl_analysis_tickets[[#This Row],[First Response SLA Minutes]],"Breached","Within SLA")</f>
        <v>Breached</v>
      </c>
      <c r="O2068" t="str" cm="1">
        <f t="array" ref="O2068">_xlfn.IFS(
tbl_analysis_tickets[[#This Row],[agent_experience_years]]&lt;=2,"Junior",
tbl_analysis_tickets[[#This Row],[agent_experience_years]]&lt;=5,"Mid-Level",
tbl_analysis_tickets[[#This Row],[agent_experience_years]]&lt;=8,"Senior",
tbl_analysis_tickets[[#This Row],[agent_experience_years]]&gt;8,"Expert"
)</f>
        <v>Expert</v>
      </c>
      <c r="P2068" cm="1">
        <f t="array" ref="P2068">_xlfn.SWITCH(tbl_analysis_tickets[[#This Row],[customer_satisfaction]],
"Low",1,
"Medium",2,
"High",3
)</f>
        <v>1</v>
      </c>
      <c r="Q2068">
        <f>IF(tbl_analysis_tickets[[#This Row],[reopened]]="Yes",1,0)</f>
        <v>0</v>
      </c>
      <c r="R2068" t="str" cm="1">
        <f t="array" ref="R2068">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068" t="str" cm="1">
        <f t="array" ref="S206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068" t="str">
        <f>TEXT(tbl_analysis_tickets[[#This Row],[created_date]],"mmm-yyyy")</f>
        <v>Aug-2024</v>
      </c>
      <c r="U2068" t="str">
        <f>TEXT(tbl_analysis_tickets[[#This Row],[created_date]],"dddd")</f>
        <v>Sunday</v>
      </c>
      <c r="V2068" cm="1">
        <f t="array" ref="V2068">_xlfn.SWITCH(tbl_analysis_tickets[[#This Row],[priority]],
"Urgent",1,
"High",2,
"Medium",3,
"Low",4
)</f>
        <v>2</v>
      </c>
    </row>
    <row r="2069" spans="1:22" x14ac:dyDescent="0.25">
      <c r="A2069">
        <v>2068</v>
      </c>
      <c r="B2069" s="1">
        <v>45383</v>
      </c>
      <c r="C2069" t="s">
        <v>21</v>
      </c>
      <c r="D2069" t="s">
        <v>17</v>
      </c>
      <c r="E2069">
        <v>16</v>
      </c>
      <c r="F2069">
        <v>58</v>
      </c>
      <c r="G2069">
        <v>9.8000000000000007</v>
      </c>
      <c r="H2069" t="s">
        <v>12</v>
      </c>
      <c r="I2069" t="s">
        <v>19</v>
      </c>
      <c r="J2069" t="s">
        <v>15</v>
      </c>
      <c r="K2069">
        <f>_xlfn.XLOOKUP(tbl_analysis_tickets[[#This Row],[priority]],tbl_sla[priority],tbl_sla[Resolution SLA Hours])</f>
        <v>8</v>
      </c>
      <c r="L2069">
        <f>_xlfn.XLOOKUP(tbl_analysis_tickets[[#This Row],[priority]],tbl_sla[priority],tbl_sla[First Response SLA Minutes])</f>
        <v>30</v>
      </c>
      <c r="M2069" t="str">
        <f>IF(tbl_analysis_tickets[[#This Row],[resolution_time_hours]]&gt;tbl_analysis_tickets[[#This Row],[Resolution SLA Hours]],"Breached","Within SLA")</f>
        <v>Breached</v>
      </c>
      <c r="N2069" t="str">
        <f>IF(tbl_analysis_tickets[[#This Row],[first_response_minutes]]&gt;tbl_analysis_tickets[[#This Row],[First Response SLA Minutes]],"Breached","Within SLA")</f>
        <v>Within SLA</v>
      </c>
      <c r="O2069" t="str" cm="1">
        <f t="array" ref="O2069">_xlfn.IFS(
tbl_analysis_tickets[[#This Row],[agent_experience_years]]&lt;=2,"Junior",
tbl_analysis_tickets[[#This Row],[agent_experience_years]]&lt;=5,"Mid-Level",
tbl_analysis_tickets[[#This Row],[agent_experience_years]]&lt;=8,"Senior",
tbl_analysis_tickets[[#This Row],[agent_experience_years]]&gt;8,"Expert"
)</f>
        <v>Expert</v>
      </c>
      <c r="P2069" cm="1">
        <f t="array" ref="P2069">_xlfn.SWITCH(tbl_analysis_tickets[[#This Row],[customer_satisfaction]],
"Low",1,
"Medium",2,
"High",3
)</f>
        <v>2</v>
      </c>
      <c r="Q2069">
        <f>IF(tbl_analysis_tickets[[#This Row],[reopened]]="Yes",1,0)</f>
        <v>1</v>
      </c>
      <c r="R2069" t="str" cm="1">
        <f t="array" ref="R2069">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2069" t="str" cm="1">
        <f t="array" ref="S206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069" t="str">
        <f>TEXT(tbl_analysis_tickets[[#This Row],[created_date]],"mmm-yyyy")</f>
        <v>Apr-2024</v>
      </c>
      <c r="U2069" t="str">
        <f>TEXT(tbl_analysis_tickets[[#This Row],[created_date]],"dddd")</f>
        <v>Monday</v>
      </c>
      <c r="V2069" cm="1">
        <f t="array" ref="V2069">_xlfn.SWITCH(tbl_analysis_tickets[[#This Row],[priority]],
"Urgent",1,
"High",2,
"Medium",3,
"Low",4
)</f>
        <v>1</v>
      </c>
    </row>
    <row r="2070" spans="1:22" x14ac:dyDescent="0.25">
      <c r="A2070">
        <v>2069</v>
      </c>
      <c r="B2070" s="1">
        <v>45657</v>
      </c>
      <c r="C2070" t="s">
        <v>14</v>
      </c>
      <c r="D2070" t="s">
        <v>17</v>
      </c>
      <c r="E2070">
        <v>160</v>
      </c>
      <c r="F2070">
        <v>63</v>
      </c>
      <c r="G2070">
        <v>6.6</v>
      </c>
      <c r="H2070" t="s">
        <v>18</v>
      </c>
      <c r="I2070" t="s">
        <v>16</v>
      </c>
      <c r="J2070" t="s">
        <v>11</v>
      </c>
      <c r="K2070">
        <f>_xlfn.XLOOKUP(tbl_analysis_tickets[[#This Row],[priority]],tbl_sla[priority],tbl_sla[Resolution SLA Hours])</f>
        <v>8</v>
      </c>
      <c r="L2070">
        <f>_xlfn.XLOOKUP(tbl_analysis_tickets[[#This Row],[priority]],tbl_sla[priority],tbl_sla[First Response SLA Minutes])</f>
        <v>30</v>
      </c>
      <c r="M2070" t="str">
        <f>IF(tbl_analysis_tickets[[#This Row],[resolution_time_hours]]&gt;tbl_analysis_tickets[[#This Row],[Resolution SLA Hours]],"Breached","Within SLA")</f>
        <v>Breached</v>
      </c>
      <c r="N2070" t="str">
        <f>IF(tbl_analysis_tickets[[#This Row],[first_response_minutes]]&gt;tbl_analysis_tickets[[#This Row],[First Response SLA Minutes]],"Breached","Within SLA")</f>
        <v>Breached</v>
      </c>
      <c r="O2070" t="str" cm="1">
        <f t="array" ref="O2070">_xlfn.IFS(
tbl_analysis_tickets[[#This Row],[agent_experience_years]]&lt;=2,"Junior",
tbl_analysis_tickets[[#This Row],[agent_experience_years]]&lt;=5,"Mid-Level",
tbl_analysis_tickets[[#This Row],[agent_experience_years]]&lt;=8,"Senior",
tbl_analysis_tickets[[#This Row],[agent_experience_years]]&gt;8,"Expert"
)</f>
        <v>Senior</v>
      </c>
      <c r="P2070" cm="1">
        <f t="array" ref="P2070">_xlfn.SWITCH(tbl_analysis_tickets[[#This Row],[customer_satisfaction]],
"Low",1,
"Medium",2,
"High",3
)</f>
        <v>1</v>
      </c>
      <c r="Q2070">
        <f>IF(tbl_analysis_tickets[[#This Row],[reopened]]="Yes",1,0)</f>
        <v>0</v>
      </c>
      <c r="R2070" t="str" cm="1">
        <f t="array" ref="R2070">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070" t="str" cm="1">
        <f t="array" ref="S207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070" t="str">
        <f>TEXT(tbl_analysis_tickets[[#This Row],[created_date]],"mmm-yyyy")</f>
        <v>Dec-2024</v>
      </c>
      <c r="U2070" t="str">
        <f>TEXT(tbl_analysis_tickets[[#This Row],[created_date]],"dddd")</f>
        <v>Tuesday</v>
      </c>
      <c r="V2070" cm="1">
        <f t="array" ref="V2070">_xlfn.SWITCH(tbl_analysis_tickets[[#This Row],[priority]],
"Urgent",1,
"High",2,
"Medium",3,
"Low",4
)</f>
        <v>1</v>
      </c>
    </row>
    <row r="2071" spans="1:22" x14ac:dyDescent="0.25">
      <c r="A2071">
        <v>2070</v>
      </c>
      <c r="B2071" s="1">
        <v>45502</v>
      </c>
      <c r="C2071" t="s">
        <v>14</v>
      </c>
      <c r="D2071" t="s">
        <v>20</v>
      </c>
      <c r="E2071">
        <v>134</v>
      </c>
      <c r="F2071">
        <v>63</v>
      </c>
      <c r="G2071">
        <v>4.8</v>
      </c>
      <c r="H2071" t="s">
        <v>12</v>
      </c>
      <c r="I2071" t="s">
        <v>19</v>
      </c>
      <c r="J2071" t="s">
        <v>11</v>
      </c>
      <c r="K2071">
        <f>_xlfn.XLOOKUP(tbl_analysis_tickets[[#This Row],[priority]],tbl_sla[priority],tbl_sla[Resolution SLA Hours])</f>
        <v>24</v>
      </c>
      <c r="L2071">
        <f>_xlfn.XLOOKUP(tbl_analysis_tickets[[#This Row],[priority]],tbl_sla[priority],tbl_sla[First Response SLA Minutes])</f>
        <v>60</v>
      </c>
      <c r="M2071" t="str">
        <f>IF(tbl_analysis_tickets[[#This Row],[resolution_time_hours]]&gt;tbl_analysis_tickets[[#This Row],[Resolution SLA Hours]],"Breached","Within SLA")</f>
        <v>Breached</v>
      </c>
      <c r="N2071" t="str">
        <f>IF(tbl_analysis_tickets[[#This Row],[first_response_minutes]]&gt;tbl_analysis_tickets[[#This Row],[First Response SLA Minutes]],"Breached","Within SLA")</f>
        <v>Breached</v>
      </c>
      <c r="O2071" t="str" cm="1">
        <f t="array" ref="O2071">_xlfn.IFS(
tbl_analysis_tickets[[#This Row],[agent_experience_years]]&lt;=2,"Junior",
tbl_analysis_tickets[[#This Row],[agent_experience_years]]&lt;=5,"Mid-Level",
tbl_analysis_tickets[[#This Row],[agent_experience_years]]&lt;=8,"Senior",
tbl_analysis_tickets[[#This Row],[agent_experience_years]]&gt;8,"Expert"
)</f>
        <v>Mid-Level</v>
      </c>
      <c r="P2071" cm="1">
        <f t="array" ref="P2071">_xlfn.SWITCH(tbl_analysis_tickets[[#This Row],[customer_satisfaction]],
"Low",1,
"Medium",2,
"High",3
)</f>
        <v>1</v>
      </c>
      <c r="Q2071">
        <f>IF(tbl_analysis_tickets[[#This Row],[reopened]]="Yes",1,0)</f>
        <v>1</v>
      </c>
      <c r="R2071" t="str" cm="1">
        <f t="array" ref="R2071">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071" t="str" cm="1">
        <f t="array" ref="S207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071" t="str">
        <f>TEXT(tbl_analysis_tickets[[#This Row],[created_date]],"mmm-yyyy")</f>
        <v>Jul-2024</v>
      </c>
      <c r="U2071" t="str">
        <f>TEXT(tbl_analysis_tickets[[#This Row],[created_date]],"dddd")</f>
        <v>Monday</v>
      </c>
      <c r="V2071" cm="1">
        <f t="array" ref="V2071">_xlfn.SWITCH(tbl_analysis_tickets[[#This Row],[priority]],
"Urgent",1,
"High",2,
"Medium",3,
"Low",4
)</f>
        <v>2</v>
      </c>
    </row>
    <row r="2072" spans="1:22" x14ac:dyDescent="0.25">
      <c r="A2072">
        <v>2071</v>
      </c>
      <c r="B2072" s="1">
        <v>45558</v>
      </c>
      <c r="C2072" t="s">
        <v>22</v>
      </c>
      <c r="D2072" t="s">
        <v>17</v>
      </c>
      <c r="E2072">
        <v>175</v>
      </c>
      <c r="F2072">
        <v>1</v>
      </c>
      <c r="G2072">
        <v>8.6</v>
      </c>
      <c r="H2072" t="s">
        <v>12</v>
      </c>
      <c r="I2072" t="s">
        <v>13</v>
      </c>
      <c r="J2072" t="s">
        <v>15</v>
      </c>
      <c r="K2072">
        <f>_xlfn.XLOOKUP(tbl_analysis_tickets[[#This Row],[priority]],tbl_sla[priority],tbl_sla[Resolution SLA Hours])</f>
        <v>8</v>
      </c>
      <c r="L2072">
        <f>_xlfn.XLOOKUP(tbl_analysis_tickets[[#This Row],[priority]],tbl_sla[priority],tbl_sla[First Response SLA Minutes])</f>
        <v>30</v>
      </c>
      <c r="M2072" t="str">
        <f>IF(tbl_analysis_tickets[[#This Row],[resolution_time_hours]]&gt;tbl_analysis_tickets[[#This Row],[Resolution SLA Hours]],"Breached","Within SLA")</f>
        <v>Within SLA</v>
      </c>
      <c r="N2072" t="str">
        <f>IF(tbl_analysis_tickets[[#This Row],[first_response_minutes]]&gt;tbl_analysis_tickets[[#This Row],[First Response SLA Minutes]],"Breached","Within SLA")</f>
        <v>Breached</v>
      </c>
      <c r="O2072" t="str" cm="1">
        <f t="array" ref="O2072">_xlfn.IFS(
tbl_analysis_tickets[[#This Row],[agent_experience_years]]&lt;=2,"Junior",
tbl_analysis_tickets[[#This Row],[agent_experience_years]]&lt;=5,"Mid-Level",
tbl_analysis_tickets[[#This Row],[agent_experience_years]]&lt;=8,"Senior",
tbl_analysis_tickets[[#This Row],[agent_experience_years]]&gt;8,"Expert"
)</f>
        <v>Expert</v>
      </c>
      <c r="P2072" cm="1">
        <f t="array" ref="P2072">_xlfn.SWITCH(tbl_analysis_tickets[[#This Row],[customer_satisfaction]],
"Low",1,
"Medium",2,
"High",3
)</f>
        <v>2</v>
      </c>
      <c r="Q2072">
        <f>IF(tbl_analysis_tickets[[#This Row],[reopened]]="Yes",1,0)</f>
        <v>1</v>
      </c>
      <c r="R2072" t="str" cm="1">
        <f t="array" ref="R2072">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072" t="str" cm="1">
        <f t="array" ref="S207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2072" t="str">
        <f>TEXT(tbl_analysis_tickets[[#This Row],[created_date]],"mmm-yyyy")</f>
        <v>Sep-2024</v>
      </c>
      <c r="U2072" t="str">
        <f>TEXT(tbl_analysis_tickets[[#This Row],[created_date]],"dddd")</f>
        <v>Monday</v>
      </c>
      <c r="V2072" cm="1">
        <f t="array" ref="V2072">_xlfn.SWITCH(tbl_analysis_tickets[[#This Row],[priority]],
"Urgent",1,
"High",2,
"Medium",3,
"Low",4
)</f>
        <v>1</v>
      </c>
    </row>
    <row r="2073" spans="1:22" x14ac:dyDescent="0.25">
      <c r="A2073">
        <v>2072</v>
      </c>
      <c r="B2073" s="1">
        <v>45393</v>
      </c>
      <c r="C2073" t="s">
        <v>23</v>
      </c>
      <c r="D2073" t="s">
        <v>20</v>
      </c>
      <c r="E2073">
        <v>157</v>
      </c>
      <c r="F2073">
        <v>39</v>
      </c>
      <c r="G2073">
        <v>8.8000000000000007</v>
      </c>
      <c r="H2073" t="s">
        <v>18</v>
      </c>
      <c r="I2073" t="s">
        <v>19</v>
      </c>
      <c r="J2073" t="s">
        <v>11</v>
      </c>
      <c r="K2073">
        <f>_xlfn.XLOOKUP(tbl_analysis_tickets[[#This Row],[priority]],tbl_sla[priority],tbl_sla[Resolution SLA Hours])</f>
        <v>24</v>
      </c>
      <c r="L2073">
        <f>_xlfn.XLOOKUP(tbl_analysis_tickets[[#This Row],[priority]],tbl_sla[priority],tbl_sla[First Response SLA Minutes])</f>
        <v>60</v>
      </c>
      <c r="M2073" t="str">
        <f>IF(tbl_analysis_tickets[[#This Row],[resolution_time_hours]]&gt;tbl_analysis_tickets[[#This Row],[Resolution SLA Hours]],"Breached","Within SLA")</f>
        <v>Breached</v>
      </c>
      <c r="N2073" t="str">
        <f>IF(tbl_analysis_tickets[[#This Row],[first_response_minutes]]&gt;tbl_analysis_tickets[[#This Row],[First Response SLA Minutes]],"Breached","Within SLA")</f>
        <v>Breached</v>
      </c>
      <c r="O2073" t="str" cm="1">
        <f t="array" ref="O2073">_xlfn.IFS(
tbl_analysis_tickets[[#This Row],[agent_experience_years]]&lt;=2,"Junior",
tbl_analysis_tickets[[#This Row],[agent_experience_years]]&lt;=5,"Mid-Level",
tbl_analysis_tickets[[#This Row],[agent_experience_years]]&lt;=8,"Senior",
tbl_analysis_tickets[[#This Row],[agent_experience_years]]&gt;8,"Expert"
)</f>
        <v>Expert</v>
      </c>
      <c r="P2073" cm="1">
        <f t="array" ref="P2073">_xlfn.SWITCH(tbl_analysis_tickets[[#This Row],[customer_satisfaction]],
"Low",1,
"Medium",2,
"High",3
)</f>
        <v>1</v>
      </c>
      <c r="Q2073">
        <f>IF(tbl_analysis_tickets[[#This Row],[reopened]]="Yes",1,0)</f>
        <v>0</v>
      </c>
      <c r="R2073" t="str" cm="1">
        <f t="array" ref="R2073">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073" t="str" cm="1">
        <f t="array" ref="S207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073" t="str">
        <f>TEXT(tbl_analysis_tickets[[#This Row],[created_date]],"mmm-yyyy")</f>
        <v>Apr-2024</v>
      </c>
      <c r="U2073" t="str">
        <f>TEXT(tbl_analysis_tickets[[#This Row],[created_date]],"dddd")</f>
        <v>Thursday</v>
      </c>
      <c r="V2073" cm="1">
        <f t="array" ref="V2073">_xlfn.SWITCH(tbl_analysis_tickets[[#This Row],[priority]],
"Urgent",1,
"High",2,
"Medium",3,
"Low",4
)</f>
        <v>2</v>
      </c>
    </row>
    <row r="2074" spans="1:22" x14ac:dyDescent="0.25">
      <c r="A2074">
        <v>2073</v>
      </c>
      <c r="B2074" s="1">
        <v>45487</v>
      </c>
      <c r="C2074" t="s">
        <v>21</v>
      </c>
      <c r="D2074" t="s">
        <v>11</v>
      </c>
      <c r="E2074">
        <v>42</v>
      </c>
      <c r="F2074">
        <v>43</v>
      </c>
      <c r="G2074">
        <v>2.8</v>
      </c>
      <c r="H2074" t="s">
        <v>12</v>
      </c>
      <c r="I2074" t="s">
        <v>19</v>
      </c>
      <c r="J2074" t="s">
        <v>11</v>
      </c>
      <c r="K2074">
        <f>_xlfn.XLOOKUP(tbl_analysis_tickets[[#This Row],[priority]],tbl_sla[priority],tbl_sla[Resolution SLA Hours])</f>
        <v>72</v>
      </c>
      <c r="L2074">
        <f>_xlfn.XLOOKUP(tbl_analysis_tickets[[#This Row],[priority]],tbl_sla[priority],tbl_sla[First Response SLA Minutes])</f>
        <v>240</v>
      </c>
      <c r="M2074" t="str">
        <f>IF(tbl_analysis_tickets[[#This Row],[resolution_time_hours]]&gt;tbl_analysis_tickets[[#This Row],[Resolution SLA Hours]],"Breached","Within SLA")</f>
        <v>Within SLA</v>
      </c>
      <c r="N2074" t="str">
        <f>IF(tbl_analysis_tickets[[#This Row],[first_response_minutes]]&gt;tbl_analysis_tickets[[#This Row],[First Response SLA Minutes]],"Breached","Within SLA")</f>
        <v>Within SLA</v>
      </c>
      <c r="O2074" t="str" cm="1">
        <f t="array" ref="O2074">_xlfn.IFS(
tbl_analysis_tickets[[#This Row],[agent_experience_years]]&lt;=2,"Junior",
tbl_analysis_tickets[[#This Row],[agent_experience_years]]&lt;=5,"Mid-Level",
tbl_analysis_tickets[[#This Row],[agent_experience_years]]&lt;=8,"Senior",
tbl_analysis_tickets[[#This Row],[agent_experience_years]]&gt;8,"Expert"
)</f>
        <v>Mid-Level</v>
      </c>
      <c r="P2074" cm="1">
        <f t="array" ref="P2074">_xlfn.SWITCH(tbl_analysis_tickets[[#This Row],[customer_satisfaction]],
"Low",1,
"Medium",2,
"High",3
)</f>
        <v>1</v>
      </c>
      <c r="Q2074">
        <f>IF(tbl_analysis_tickets[[#This Row],[reopened]]="Yes",1,0)</f>
        <v>1</v>
      </c>
      <c r="R2074" t="str" cm="1">
        <f t="array" ref="R2074">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074" t="str" cm="1">
        <f t="array" ref="S207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074" t="str">
        <f>TEXT(tbl_analysis_tickets[[#This Row],[created_date]],"mmm-yyyy")</f>
        <v>Jul-2024</v>
      </c>
      <c r="U2074" t="str">
        <f>TEXT(tbl_analysis_tickets[[#This Row],[created_date]],"dddd")</f>
        <v>Sunday</v>
      </c>
      <c r="V2074" cm="1">
        <f t="array" ref="V2074">_xlfn.SWITCH(tbl_analysis_tickets[[#This Row],[priority]],
"Urgent",1,
"High",2,
"Medium",3,
"Low",4
)</f>
        <v>4</v>
      </c>
    </row>
    <row r="2075" spans="1:22" x14ac:dyDescent="0.25">
      <c r="A2075">
        <v>2074</v>
      </c>
      <c r="B2075" s="1">
        <v>45350</v>
      </c>
      <c r="C2075" t="s">
        <v>23</v>
      </c>
      <c r="D2075" t="s">
        <v>20</v>
      </c>
      <c r="E2075">
        <v>67</v>
      </c>
      <c r="F2075">
        <v>29</v>
      </c>
      <c r="G2075">
        <v>5.3</v>
      </c>
      <c r="H2075" t="s">
        <v>12</v>
      </c>
      <c r="I2075" t="s">
        <v>13</v>
      </c>
      <c r="J2075" t="s">
        <v>11</v>
      </c>
      <c r="K2075">
        <f>_xlfn.XLOOKUP(tbl_analysis_tickets[[#This Row],[priority]],tbl_sla[priority],tbl_sla[Resolution SLA Hours])</f>
        <v>24</v>
      </c>
      <c r="L2075">
        <f>_xlfn.XLOOKUP(tbl_analysis_tickets[[#This Row],[priority]],tbl_sla[priority],tbl_sla[First Response SLA Minutes])</f>
        <v>60</v>
      </c>
      <c r="M2075" t="str">
        <f>IF(tbl_analysis_tickets[[#This Row],[resolution_time_hours]]&gt;tbl_analysis_tickets[[#This Row],[Resolution SLA Hours]],"Breached","Within SLA")</f>
        <v>Breached</v>
      </c>
      <c r="N2075" t="str">
        <f>IF(tbl_analysis_tickets[[#This Row],[first_response_minutes]]&gt;tbl_analysis_tickets[[#This Row],[First Response SLA Minutes]],"Breached","Within SLA")</f>
        <v>Breached</v>
      </c>
      <c r="O2075" t="str" cm="1">
        <f t="array" ref="O2075">_xlfn.IFS(
tbl_analysis_tickets[[#This Row],[agent_experience_years]]&lt;=2,"Junior",
tbl_analysis_tickets[[#This Row],[agent_experience_years]]&lt;=5,"Mid-Level",
tbl_analysis_tickets[[#This Row],[agent_experience_years]]&lt;=8,"Senior",
tbl_analysis_tickets[[#This Row],[agent_experience_years]]&gt;8,"Expert"
)</f>
        <v>Senior</v>
      </c>
      <c r="P2075" cm="1">
        <f t="array" ref="P2075">_xlfn.SWITCH(tbl_analysis_tickets[[#This Row],[customer_satisfaction]],
"Low",1,
"Medium",2,
"High",3
)</f>
        <v>1</v>
      </c>
      <c r="Q2075">
        <f>IF(tbl_analysis_tickets[[#This Row],[reopened]]="Yes",1,0)</f>
        <v>1</v>
      </c>
      <c r="R2075" t="str" cm="1">
        <f t="array" ref="R2075">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075" t="str" cm="1">
        <f t="array" ref="S207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075" t="str">
        <f>TEXT(tbl_analysis_tickets[[#This Row],[created_date]],"mmm-yyyy")</f>
        <v>Feb-2024</v>
      </c>
      <c r="U2075" t="str">
        <f>TEXT(tbl_analysis_tickets[[#This Row],[created_date]],"dddd")</f>
        <v>Wednesday</v>
      </c>
      <c r="V2075" cm="1">
        <f t="array" ref="V2075">_xlfn.SWITCH(tbl_analysis_tickets[[#This Row],[priority]],
"Urgent",1,
"High",2,
"Medium",3,
"Low",4
)</f>
        <v>2</v>
      </c>
    </row>
    <row r="2076" spans="1:22" x14ac:dyDescent="0.25">
      <c r="A2076">
        <v>2075</v>
      </c>
      <c r="B2076" s="1">
        <v>45360</v>
      </c>
      <c r="C2076" t="s">
        <v>23</v>
      </c>
      <c r="D2076" t="s">
        <v>17</v>
      </c>
      <c r="E2076">
        <v>15</v>
      </c>
      <c r="F2076">
        <v>17</v>
      </c>
      <c r="G2076">
        <v>5.6</v>
      </c>
      <c r="H2076" t="s">
        <v>12</v>
      </c>
      <c r="I2076" t="s">
        <v>13</v>
      </c>
      <c r="J2076" t="s">
        <v>15</v>
      </c>
      <c r="K2076">
        <f>_xlfn.XLOOKUP(tbl_analysis_tickets[[#This Row],[priority]],tbl_sla[priority],tbl_sla[Resolution SLA Hours])</f>
        <v>8</v>
      </c>
      <c r="L2076">
        <f>_xlfn.XLOOKUP(tbl_analysis_tickets[[#This Row],[priority]],tbl_sla[priority],tbl_sla[First Response SLA Minutes])</f>
        <v>30</v>
      </c>
      <c r="M2076" t="str">
        <f>IF(tbl_analysis_tickets[[#This Row],[resolution_time_hours]]&gt;tbl_analysis_tickets[[#This Row],[Resolution SLA Hours]],"Breached","Within SLA")</f>
        <v>Breached</v>
      </c>
      <c r="N2076" t="str">
        <f>IF(tbl_analysis_tickets[[#This Row],[first_response_minutes]]&gt;tbl_analysis_tickets[[#This Row],[First Response SLA Minutes]],"Breached","Within SLA")</f>
        <v>Within SLA</v>
      </c>
      <c r="O2076" t="str" cm="1">
        <f t="array" ref="O2076">_xlfn.IFS(
tbl_analysis_tickets[[#This Row],[agent_experience_years]]&lt;=2,"Junior",
tbl_analysis_tickets[[#This Row],[agent_experience_years]]&lt;=5,"Mid-Level",
tbl_analysis_tickets[[#This Row],[agent_experience_years]]&lt;=8,"Senior",
tbl_analysis_tickets[[#This Row],[agent_experience_years]]&gt;8,"Expert"
)</f>
        <v>Senior</v>
      </c>
      <c r="P2076" cm="1">
        <f t="array" ref="P2076">_xlfn.SWITCH(tbl_analysis_tickets[[#This Row],[customer_satisfaction]],
"Low",1,
"Medium",2,
"High",3
)</f>
        <v>2</v>
      </c>
      <c r="Q2076">
        <f>IF(tbl_analysis_tickets[[#This Row],[reopened]]="Yes",1,0)</f>
        <v>1</v>
      </c>
      <c r="R2076" t="str" cm="1">
        <f t="array" ref="R2076">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2076" t="str" cm="1">
        <f t="array" ref="S207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076" t="str">
        <f>TEXT(tbl_analysis_tickets[[#This Row],[created_date]],"mmm-yyyy")</f>
        <v>Mar-2024</v>
      </c>
      <c r="U2076" t="str">
        <f>TEXT(tbl_analysis_tickets[[#This Row],[created_date]],"dddd")</f>
        <v>Saturday</v>
      </c>
      <c r="V2076" cm="1">
        <f t="array" ref="V2076">_xlfn.SWITCH(tbl_analysis_tickets[[#This Row],[priority]],
"Urgent",1,
"High",2,
"Medium",3,
"Low",4
)</f>
        <v>1</v>
      </c>
    </row>
    <row r="2077" spans="1:22" x14ac:dyDescent="0.25">
      <c r="A2077">
        <v>2076</v>
      </c>
      <c r="B2077" s="1">
        <v>45496</v>
      </c>
      <c r="C2077" t="s">
        <v>10</v>
      </c>
      <c r="D2077" t="s">
        <v>20</v>
      </c>
      <c r="E2077">
        <v>225</v>
      </c>
      <c r="F2077">
        <v>2</v>
      </c>
      <c r="G2077">
        <v>8.4</v>
      </c>
      <c r="H2077" t="s">
        <v>18</v>
      </c>
      <c r="I2077" t="s">
        <v>13</v>
      </c>
      <c r="J2077" t="s">
        <v>15</v>
      </c>
      <c r="K2077">
        <f>_xlfn.XLOOKUP(tbl_analysis_tickets[[#This Row],[priority]],tbl_sla[priority],tbl_sla[Resolution SLA Hours])</f>
        <v>24</v>
      </c>
      <c r="L2077">
        <f>_xlfn.XLOOKUP(tbl_analysis_tickets[[#This Row],[priority]],tbl_sla[priority],tbl_sla[First Response SLA Minutes])</f>
        <v>60</v>
      </c>
      <c r="M2077" t="str">
        <f>IF(tbl_analysis_tickets[[#This Row],[resolution_time_hours]]&gt;tbl_analysis_tickets[[#This Row],[Resolution SLA Hours]],"Breached","Within SLA")</f>
        <v>Within SLA</v>
      </c>
      <c r="N2077" t="str">
        <f>IF(tbl_analysis_tickets[[#This Row],[first_response_minutes]]&gt;tbl_analysis_tickets[[#This Row],[First Response SLA Minutes]],"Breached","Within SLA")</f>
        <v>Breached</v>
      </c>
      <c r="O2077" t="str" cm="1">
        <f t="array" ref="O2077">_xlfn.IFS(
tbl_analysis_tickets[[#This Row],[agent_experience_years]]&lt;=2,"Junior",
tbl_analysis_tickets[[#This Row],[agent_experience_years]]&lt;=5,"Mid-Level",
tbl_analysis_tickets[[#This Row],[agent_experience_years]]&lt;=8,"Senior",
tbl_analysis_tickets[[#This Row],[agent_experience_years]]&gt;8,"Expert"
)</f>
        <v>Expert</v>
      </c>
      <c r="P2077" cm="1">
        <f t="array" ref="P2077">_xlfn.SWITCH(tbl_analysis_tickets[[#This Row],[customer_satisfaction]],
"Low",1,
"Medium",2,
"High",3
)</f>
        <v>2</v>
      </c>
      <c r="Q2077">
        <f>IF(tbl_analysis_tickets[[#This Row],[reopened]]="Yes",1,0)</f>
        <v>0</v>
      </c>
      <c r="R2077" t="str" cm="1">
        <f t="array" ref="R2077">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077" t="str" cm="1">
        <f t="array" ref="S207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2077" t="str">
        <f>TEXT(tbl_analysis_tickets[[#This Row],[created_date]],"mmm-yyyy")</f>
        <v>Jul-2024</v>
      </c>
      <c r="U2077" t="str">
        <f>TEXT(tbl_analysis_tickets[[#This Row],[created_date]],"dddd")</f>
        <v>Tuesday</v>
      </c>
      <c r="V2077" cm="1">
        <f t="array" ref="V2077">_xlfn.SWITCH(tbl_analysis_tickets[[#This Row],[priority]],
"Urgent",1,
"High",2,
"Medium",3,
"Low",4
)</f>
        <v>2</v>
      </c>
    </row>
    <row r="2078" spans="1:22" x14ac:dyDescent="0.25">
      <c r="A2078">
        <v>2077</v>
      </c>
      <c r="B2078" s="1">
        <v>45333</v>
      </c>
      <c r="C2078" t="s">
        <v>23</v>
      </c>
      <c r="D2078" t="s">
        <v>11</v>
      </c>
      <c r="E2078">
        <v>19</v>
      </c>
      <c r="F2078">
        <v>46</v>
      </c>
      <c r="G2078">
        <v>7</v>
      </c>
      <c r="H2078" t="s">
        <v>12</v>
      </c>
      <c r="I2078" t="s">
        <v>16</v>
      </c>
      <c r="J2078" t="s">
        <v>15</v>
      </c>
      <c r="K2078">
        <f>_xlfn.XLOOKUP(tbl_analysis_tickets[[#This Row],[priority]],tbl_sla[priority],tbl_sla[Resolution SLA Hours])</f>
        <v>72</v>
      </c>
      <c r="L2078">
        <f>_xlfn.XLOOKUP(tbl_analysis_tickets[[#This Row],[priority]],tbl_sla[priority],tbl_sla[First Response SLA Minutes])</f>
        <v>240</v>
      </c>
      <c r="M2078" t="str">
        <f>IF(tbl_analysis_tickets[[#This Row],[resolution_time_hours]]&gt;tbl_analysis_tickets[[#This Row],[Resolution SLA Hours]],"Breached","Within SLA")</f>
        <v>Within SLA</v>
      </c>
      <c r="N2078" t="str">
        <f>IF(tbl_analysis_tickets[[#This Row],[first_response_minutes]]&gt;tbl_analysis_tickets[[#This Row],[First Response SLA Minutes]],"Breached","Within SLA")</f>
        <v>Within SLA</v>
      </c>
      <c r="O2078" t="str" cm="1">
        <f t="array" ref="O2078">_xlfn.IFS(
tbl_analysis_tickets[[#This Row],[agent_experience_years]]&lt;=2,"Junior",
tbl_analysis_tickets[[#This Row],[agent_experience_years]]&lt;=5,"Mid-Level",
tbl_analysis_tickets[[#This Row],[agent_experience_years]]&lt;=8,"Senior",
tbl_analysis_tickets[[#This Row],[agent_experience_years]]&gt;8,"Expert"
)</f>
        <v>Senior</v>
      </c>
      <c r="P2078" cm="1">
        <f t="array" ref="P2078">_xlfn.SWITCH(tbl_analysis_tickets[[#This Row],[customer_satisfaction]],
"Low",1,
"Medium",2,
"High",3
)</f>
        <v>2</v>
      </c>
      <c r="Q2078">
        <f>IF(tbl_analysis_tickets[[#This Row],[reopened]]="Yes",1,0)</f>
        <v>1</v>
      </c>
      <c r="R2078" t="str" cm="1">
        <f t="array" ref="R2078">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2078" t="str" cm="1">
        <f t="array" ref="S207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078" t="str">
        <f>TEXT(tbl_analysis_tickets[[#This Row],[created_date]],"mmm-yyyy")</f>
        <v>Feb-2024</v>
      </c>
      <c r="U2078" t="str">
        <f>TEXT(tbl_analysis_tickets[[#This Row],[created_date]],"dddd")</f>
        <v>Sunday</v>
      </c>
      <c r="V2078" cm="1">
        <f t="array" ref="V2078">_xlfn.SWITCH(tbl_analysis_tickets[[#This Row],[priority]],
"Urgent",1,
"High",2,
"Medium",3,
"Low",4
)</f>
        <v>4</v>
      </c>
    </row>
    <row r="2079" spans="1:22" x14ac:dyDescent="0.25">
      <c r="A2079">
        <v>2078</v>
      </c>
      <c r="B2079" s="1">
        <v>45527</v>
      </c>
      <c r="C2079" t="s">
        <v>14</v>
      </c>
      <c r="D2079" t="s">
        <v>15</v>
      </c>
      <c r="E2079">
        <v>160</v>
      </c>
      <c r="F2079">
        <v>7</v>
      </c>
      <c r="G2079">
        <v>9.4</v>
      </c>
      <c r="H2079" t="s">
        <v>18</v>
      </c>
      <c r="I2079" t="s">
        <v>19</v>
      </c>
      <c r="J2079" t="s">
        <v>15</v>
      </c>
      <c r="K2079">
        <f>_xlfn.XLOOKUP(tbl_analysis_tickets[[#This Row],[priority]],tbl_sla[priority],tbl_sla[Resolution SLA Hours])</f>
        <v>48</v>
      </c>
      <c r="L2079">
        <f>_xlfn.XLOOKUP(tbl_analysis_tickets[[#This Row],[priority]],tbl_sla[priority],tbl_sla[First Response SLA Minutes])</f>
        <v>120</v>
      </c>
      <c r="M2079" t="str">
        <f>IF(tbl_analysis_tickets[[#This Row],[resolution_time_hours]]&gt;tbl_analysis_tickets[[#This Row],[Resolution SLA Hours]],"Breached","Within SLA")</f>
        <v>Within SLA</v>
      </c>
      <c r="N2079" t="str">
        <f>IF(tbl_analysis_tickets[[#This Row],[first_response_minutes]]&gt;tbl_analysis_tickets[[#This Row],[First Response SLA Minutes]],"Breached","Within SLA")</f>
        <v>Breached</v>
      </c>
      <c r="O2079" t="str" cm="1">
        <f t="array" ref="O2079">_xlfn.IFS(
tbl_analysis_tickets[[#This Row],[agent_experience_years]]&lt;=2,"Junior",
tbl_analysis_tickets[[#This Row],[agent_experience_years]]&lt;=5,"Mid-Level",
tbl_analysis_tickets[[#This Row],[agent_experience_years]]&lt;=8,"Senior",
tbl_analysis_tickets[[#This Row],[agent_experience_years]]&gt;8,"Expert"
)</f>
        <v>Expert</v>
      </c>
      <c r="P2079" cm="1">
        <f t="array" ref="P2079">_xlfn.SWITCH(tbl_analysis_tickets[[#This Row],[customer_satisfaction]],
"Low",1,
"Medium",2,
"High",3
)</f>
        <v>2</v>
      </c>
      <c r="Q2079">
        <f>IF(tbl_analysis_tickets[[#This Row],[reopened]]="Yes",1,0)</f>
        <v>0</v>
      </c>
      <c r="R2079" t="str" cm="1">
        <f t="array" ref="R2079">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079" t="str" cm="1">
        <f t="array" ref="S207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2079" t="str">
        <f>TEXT(tbl_analysis_tickets[[#This Row],[created_date]],"mmm-yyyy")</f>
        <v>Aug-2024</v>
      </c>
      <c r="U2079" t="str">
        <f>TEXT(tbl_analysis_tickets[[#This Row],[created_date]],"dddd")</f>
        <v>Friday</v>
      </c>
      <c r="V2079" cm="1">
        <f t="array" ref="V2079">_xlfn.SWITCH(tbl_analysis_tickets[[#This Row],[priority]],
"Urgent",1,
"High",2,
"Medium",3,
"Low",4
)</f>
        <v>3</v>
      </c>
    </row>
    <row r="2080" spans="1:22" x14ac:dyDescent="0.25">
      <c r="A2080">
        <v>2079</v>
      </c>
      <c r="B2080" s="1">
        <v>45380</v>
      </c>
      <c r="C2080" t="s">
        <v>14</v>
      </c>
      <c r="D2080" t="s">
        <v>15</v>
      </c>
      <c r="E2080">
        <v>72</v>
      </c>
      <c r="F2080">
        <v>60</v>
      </c>
      <c r="G2080">
        <v>4.2</v>
      </c>
      <c r="H2080" t="s">
        <v>12</v>
      </c>
      <c r="I2080" t="s">
        <v>16</v>
      </c>
      <c r="J2080" t="s">
        <v>11</v>
      </c>
      <c r="K2080">
        <f>_xlfn.XLOOKUP(tbl_analysis_tickets[[#This Row],[priority]],tbl_sla[priority],tbl_sla[Resolution SLA Hours])</f>
        <v>48</v>
      </c>
      <c r="L2080">
        <f>_xlfn.XLOOKUP(tbl_analysis_tickets[[#This Row],[priority]],tbl_sla[priority],tbl_sla[First Response SLA Minutes])</f>
        <v>120</v>
      </c>
      <c r="M2080" t="str">
        <f>IF(tbl_analysis_tickets[[#This Row],[resolution_time_hours]]&gt;tbl_analysis_tickets[[#This Row],[Resolution SLA Hours]],"Breached","Within SLA")</f>
        <v>Breached</v>
      </c>
      <c r="N2080" t="str">
        <f>IF(tbl_analysis_tickets[[#This Row],[first_response_minutes]]&gt;tbl_analysis_tickets[[#This Row],[First Response SLA Minutes]],"Breached","Within SLA")</f>
        <v>Within SLA</v>
      </c>
      <c r="O2080" t="str" cm="1">
        <f t="array" ref="O2080">_xlfn.IFS(
tbl_analysis_tickets[[#This Row],[agent_experience_years]]&lt;=2,"Junior",
tbl_analysis_tickets[[#This Row],[agent_experience_years]]&lt;=5,"Mid-Level",
tbl_analysis_tickets[[#This Row],[agent_experience_years]]&lt;=8,"Senior",
tbl_analysis_tickets[[#This Row],[agent_experience_years]]&gt;8,"Expert"
)</f>
        <v>Mid-Level</v>
      </c>
      <c r="P2080" cm="1">
        <f t="array" ref="P2080">_xlfn.SWITCH(tbl_analysis_tickets[[#This Row],[customer_satisfaction]],
"Low",1,
"Medium",2,
"High",3
)</f>
        <v>1</v>
      </c>
      <c r="Q2080">
        <f>IF(tbl_analysis_tickets[[#This Row],[reopened]]="Yes",1,0)</f>
        <v>1</v>
      </c>
      <c r="R2080" t="str" cm="1">
        <f t="array" ref="R2080">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080" t="str" cm="1">
        <f t="array" ref="S208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080" t="str">
        <f>TEXT(tbl_analysis_tickets[[#This Row],[created_date]],"mmm-yyyy")</f>
        <v>Mar-2024</v>
      </c>
      <c r="U2080" t="str">
        <f>TEXT(tbl_analysis_tickets[[#This Row],[created_date]],"dddd")</f>
        <v>Friday</v>
      </c>
      <c r="V2080" cm="1">
        <f t="array" ref="V2080">_xlfn.SWITCH(tbl_analysis_tickets[[#This Row],[priority]],
"Urgent",1,
"High",2,
"Medium",3,
"Low",4
)</f>
        <v>3</v>
      </c>
    </row>
    <row r="2081" spans="1:22" x14ac:dyDescent="0.25">
      <c r="A2081">
        <v>2080</v>
      </c>
      <c r="B2081" s="1">
        <v>45614</v>
      </c>
      <c r="C2081" t="s">
        <v>23</v>
      </c>
      <c r="D2081" t="s">
        <v>17</v>
      </c>
      <c r="E2081">
        <v>91</v>
      </c>
      <c r="F2081">
        <v>6</v>
      </c>
      <c r="G2081">
        <v>4.5</v>
      </c>
      <c r="H2081" t="s">
        <v>18</v>
      </c>
      <c r="I2081" t="s">
        <v>13</v>
      </c>
      <c r="J2081" t="s">
        <v>15</v>
      </c>
      <c r="K2081">
        <f>_xlfn.XLOOKUP(tbl_analysis_tickets[[#This Row],[priority]],tbl_sla[priority],tbl_sla[Resolution SLA Hours])</f>
        <v>8</v>
      </c>
      <c r="L2081">
        <f>_xlfn.XLOOKUP(tbl_analysis_tickets[[#This Row],[priority]],tbl_sla[priority],tbl_sla[First Response SLA Minutes])</f>
        <v>30</v>
      </c>
      <c r="M2081" t="str">
        <f>IF(tbl_analysis_tickets[[#This Row],[resolution_time_hours]]&gt;tbl_analysis_tickets[[#This Row],[Resolution SLA Hours]],"Breached","Within SLA")</f>
        <v>Within SLA</v>
      </c>
      <c r="N2081" t="str">
        <f>IF(tbl_analysis_tickets[[#This Row],[first_response_minutes]]&gt;tbl_analysis_tickets[[#This Row],[First Response SLA Minutes]],"Breached","Within SLA")</f>
        <v>Breached</v>
      </c>
      <c r="O2081" t="str" cm="1">
        <f t="array" ref="O2081">_xlfn.IFS(
tbl_analysis_tickets[[#This Row],[agent_experience_years]]&lt;=2,"Junior",
tbl_analysis_tickets[[#This Row],[agent_experience_years]]&lt;=5,"Mid-Level",
tbl_analysis_tickets[[#This Row],[agent_experience_years]]&lt;=8,"Senior",
tbl_analysis_tickets[[#This Row],[agent_experience_years]]&gt;8,"Expert"
)</f>
        <v>Mid-Level</v>
      </c>
      <c r="P2081" cm="1">
        <f t="array" ref="P2081">_xlfn.SWITCH(tbl_analysis_tickets[[#This Row],[customer_satisfaction]],
"Low",1,
"Medium",2,
"High",3
)</f>
        <v>2</v>
      </c>
      <c r="Q2081">
        <f>IF(tbl_analysis_tickets[[#This Row],[reopened]]="Yes",1,0)</f>
        <v>0</v>
      </c>
      <c r="R2081" t="str" cm="1">
        <f t="array" ref="R2081">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081" t="str" cm="1">
        <f t="array" ref="S208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2081" t="str">
        <f>TEXT(tbl_analysis_tickets[[#This Row],[created_date]],"mmm-yyyy")</f>
        <v>Nov-2024</v>
      </c>
      <c r="U2081" t="str">
        <f>TEXT(tbl_analysis_tickets[[#This Row],[created_date]],"dddd")</f>
        <v>Monday</v>
      </c>
      <c r="V2081" cm="1">
        <f t="array" ref="V2081">_xlfn.SWITCH(tbl_analysis_tickets[[#This Row],[priority]],
"Urgent",1,
"High",2,
"Medium",3,
"Low",4
)</f>
        <v>1</v>
      </c>
    </row>
    <row r="2082" spans="1:22" x14ac:dyDescent="0.25">
      <c r="A2082">
        <v>2081</v>
      </c>
      <c r="B2082" s="1">
        <v>45550</v>
      </c>
      <c r="C2082" t="s">
        <v>22</v>
      </c>
      <c r="D2082" t="s">
        <v>11</v>
      </c>
      <c r="E2082">
        <v>238</v>
      </c>
      <c r="F2082">
        <v>42</v>
      </c>
      <c r="G2082">
        <v>3.9</v>
      </c>
      <c r="H2082" t="s">
        <v>18</v>
      </c>
      <c r="I2082" t="s">
        <v>13</v>
      </c>
      <c r="J2082" t="s">
        <v>11</v>
      </c>
      <c r="K2082">
        <f>_xlfn.XLOOKUP(tbl_analysis_tickets[[#This Row],[priority]],tbl_sla[priority],tbl_sla[Resolution SLA Hours])</f>
        <v>72</v>
      </c>
      <c r="L2082">
        <f>_xlfn.XLOOKUP(tbl_analysis_tickets[[#This Row],[priority]],tbl_sla[priority],tbl_sla[First Response SLA Minutes])</f>
        <v>240</v>
      </c>
      <c r="M2082" t="str">
        <f>IF(tbl_analysis_tickets[[#This Row],[resolution_time_hours]]&gt;tbl_analysis_tickets[[#This Row],[Resolution SLA Hours]],"Breached","Within SLA")</f>
        <v>Within SLA</v>
      </c>
      <c r="N2082" t="str">
        <f>IF(tbl_analysis_tickets[[#This Row],[first_response_minutes]]&gt;tbl_analysis_tickets[[#This Row],[First Response SLA Minutes]],"Breached","Within SLA")</f>
        <v>Within SLA</v>
      </c>
      <c r="O2082" t="str" cm="1">
        <f t="array" ref="O2082">_xlfn.IFS(
tbl_analysis_tickets[[#This Row],[agent_experience_years]]&lt;=2,"Junior",
tbl_analysis_tickets[[#This Row],[agent_experience_years]]&lt;=5,"Mid-Level",
tbl_analysis_tickets[[#This Row],[agent_experience_years]]&lt;=8,"Senior",
tbl_analysis_tickets[[#This Row],[agent_experience_years]]&gt;8,"Expert"
)</f>
        <v>Mid-Level</v>
      </c>
      <c r="P2082" cm="1">
        <f t="array" ref="P2082">_xlfn.SWITCH(tbl_analysis_tickets[[#This Row],[customer_satisfaction]],
"Low",1,
"Medium",2,
"High",3
)</f>
        <v>1</v>
      </c>
      <c r="Q2082">
        <f>IF(tbl_analysis_tickets[[#This Row],[reopened]]="Yes",1,0)</f>
        <v>0</v>
      </c>
      <c r="R2082" t="str" cm="1">
        <f t="array" ref="R2082">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082" t="str" cm="1">
        <f t="array" ref="S208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082" t="str">
        <f>TEXT(tbl_analysis_tickets[[#This Row],[created_date]],"mmm-yyyy")</f>
        <v>Sep-2024</v>
      </c>
      <c r="U2082" t="str">
        <f>TEXT(tbl_analysis_tickets[[#This Row],[created_date]],"dddd")</f>
        <v>Sunday</v>
      </c>
      <c r="V2082" cm="1">
        <f t="array" ref="V2082">_xlfn.SWITCH(tbl_analysis_tickets[[#This Row],[priority]],
"Urgent",1,
"High",2,
"Medium",3,
"Low",4
)</f>
        <v>4</v>
      </c>
    </row>
    <row r="2083" spans="1:22" x14ac:dyDescent="0.25">
      <c r="A2083">
        <v>2082</v>
      </c>
      <c r="B2083" s="1">
        <v>45355</v>
      </c>
      <c r="C2083" t="s">
        <v>14</v>
      </c>
      <c r="D2083" t="s">
        <v>17</v>
      </c>
      <c r="E2083">
        <v>97</v>
      </c>
      <c r="F2083">
        <v>34</v>
      </c>
      <c r="G2083">
        <v>8.6999999999999993</v>
      </c>
      <c r="H2083" t="s">
        <v>18</v>
      </c>
      <c r="I2083" t="s">
        <v>13</v>
      </c>
      <c r="J2083" t="s">
        <v>11</v>
      </c>
      <c r="K2083">
        <f>_xlfn.XLOOKUP(tbl_analysis_tickets[[#This Row],[priority]],tbl_sla[priority],tbl_sla[Resolution SLA Hours])</f>
        <v>8</v>
      </c>
      <c r="L2083">
        <f>_xlfn.XLOOKUP(tbl_analysis_tickets[[#This Row],[priority]],tbl_sla[priority],tbl_sla[First Response SLA Minutes])</f>
        <v>30</v>
      </c>
      <c r="M2083" t="str">
        <f>IF(tbl_analysis_tickets[[#This Row],[resolution_time_hours]]&gt;tbl_analysis_tickets[[#This Row],[Resolution SLA Hours]],"Breached","Within SLA")</f>
        <v>Breached</v>
      </c>
      <c r="N2083" t="str">
        <f>IF(tbl_analysis_tickets[[#This Row],[first_response_minutes]]&gt;tbl_analysis_tickets[[#This Row],[First Response SLA Minutes]],"Breached","Within SLA")</f>
        <v>Breached</v>
      </c>
      <c r="O2083" t="str" cm="1">
        <f t="array" ref="O2083">_xlfn.IFS(
tbl_analysis_tickets[[#This Row],[agent_experience_years]]&lt;=2,"Junior",
tbl_analysis_tickets[[#This Row],[agent_experience_years]]&lt;=5,"Mid-Level",
tbl_analysis_tickets[[#This Row],[agent_experience_years]]&lt;=8,"Senior",
tbl_analysis_tickets[[#This Row],[agent_experience_years]]&gt;8,"Expert"
)</f>
        <v>Expert</v>
      </c>
      <c r="P2083" cm="1">
        <f t="array" ref="P2083">_xlfn.SWITCH(tbl_analysis_tickets[[#This Row],[customer_satisfaction]],
"Low",1,
"Medium",2,
"High",3
)</f>
        <v>1</v>
      </c>
      <c r="Q2083">
        <f>IF(tbl_analysis_tickets[[#This Row],[reopened]]="Yes",1,0)</f>
        <v>0</v>
      </c>
      <c r="R2083" t="str" cm="1">
        <f t="array" ref="R2083">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083" t="str" cm="1">
        <f t="array" ref="S208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083" t="str">
        <f>TEXT(tbl_analysis_tickets[[#This Row],[created_date]],"mmm-yyyy")</f>
        <v>Mar-2024</v>
      </c>
      <c r="U2083" t="str">
        <f>TEXT(tbl_analysis_tickets[[#This Row],[created_date]],"dddd")</f>
        <v>Monday</v>
      </c>
      <c r="V2083" cm="1">
        <f t="array" ref="V2083">_xlfn.SWITCH(tbl_analysis_tickets[[#This Row],[priority]],
"Urgent",1,
"High",2,
"Medium",3,
"Low",4
)</f>
        <v>1</v>
      </c>
    </row>
    <row r="2084" spans="1:22" x14ac:dyDescent="0.25">
      <c r="A2084">
        <v>2083</v>
      </c>
      <c r="B2084" s="1">
        <v>45439</v>
      </c>
      <c r="C2084" t="s">
        <v>21</v>
      </c>
      <c r="D2084" t="s">
        <v>11</v>
      </c>
      <c r="E2084">
        <v>204</v>
      </c>
      <c r="F2084">
        <v>32</v>
      </c>
      <c r="G2084">
        <v>5.3</v>
      </c>
      <c r="H2084" t="s">
        <v>18</v>
      </c>
      <c r="I2084" t="s">
        <v>13</v>
      </c>
      <c r="J2084" t="s">
        <v>15</v>
      </c>
      <c r="K2084">
        <f>_xlfn.XLOOKUP(tbl_analysis_tickets[[#This Row],[priority]],tbl_sla[priority],tbl_sla[Resolution SLA Hours])</f>
        <v>72</v>
      </c>
      <c r="L2084">
        <f>_xlfn.XLOOKUP(tbl_analysis_tickets[[#This Row],[priority]],tbl_sla[priority],tbl_sla[First Response SLA Minutes])</f>
        <v>240</v>
      </c>
      <c r="M2084" t="str">
        <f>IF(tbl_analysis_tickets[[#This Row],[resolution_time_hours]]&gt;tbl_analysis_tickets[[#This Row],[Resolution SLA Hours]],"Breached","Within SLA")</f>
        <v>Within SLA</v>
      </c>
      <c r="N2084" t="str">
        <f>IF(tbl_analysis_tickets[[#This Row],[first_response_minutes]]&gt;tbl_analysis_tickets[[#This Row],[First Response SLA Minutes]],"Breached","Within SLA")</f>
        <v>Within SLA</v>
      </c>
      <c r="O2084" t="str" cm="1">
        <f t="array" ref="O2084">_xlfn.IFS(
tbl_analysis_tickets[[#This Row],[agent_experience_years]]&lt;=2,"Junior",
tbl_analysis_tickets[[#This Row],[agent_experience_years]]&lt;=5,"Mid-Level",
tbl_analysis_tickets[[#This Row],[agent_experience_years]]&lt;=8,"Senior",
tbl_analysis_tickets[[#This Row],[agent_experience_years]]&gt;8,"Expert"
)</f>
        <v>Senior</v>
      </c>
      <c r="P2084" cm="1">
        <f t="array" ref="P2084">_xlfn.SWITCH(tbl_analysis_tickets[[#This Row],[customer_satisfaction]],
"Low",1,
"Medium",2,
"High",3
)</f>
        <v>2</v>
      </c>
      <c r="Q2084">
        <f>IF(tbl_analysis_tickets[[#This Row],[reopened]]="Yes",1,0)</f>
        <v>0</v>
      </c>
      <c r="R2084" t="str" cm="1">
        <f t="array" ref="R2084">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084" t="str" cm="1">
        <f t="array" ref="S208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084" t="str">
        <f>TEXT(tbl_analysis_tickets[[#This Row],[created_date]],"mmm-yyyy")</f>
        <v>May-2024</v>
      </c>
      <c r="U2084" t="str">
        <f>TEXT(tbl_analysis_tickets[[#This Row],[created_date]],"dddd")</f>
        <v>Monday</v>
      </c>
      <c r="V2084" cm="1">
        <f t="array" ref="V2084">_xlfn.SWITCH(tbl_analysis_tickets[[#This Row],[priority]],
"Urgent",1,
"High",2,
"Medium",3,
"Low",4
)</f>
        <v>4</v>
      </c>
    </row>
    <row r="2085" spans="1:22" x14ac:dyDescent="0.25">
      <c r="A2085">
        <v>2084</v>
      </c>
      <c r="B2085" s="1">
        <v>45307</v>
      </c>
      <c r="C2085" t="s">
        <v>10</v>
      </c>
      <c r="D2085" t="s">
        <v>11</v>
      </c>
      <c r="E2085">
        <v>68</v>
      </c>
      <c r="F2085">
        <v>38</v>
      </c>
      <c r="G2085">
        <v>5.5</v>
      </c>
      <c r="H2085" t="s">
        <v>12</v>
      </c>
      <c r="I2085" t="s">
        <v>19</v>
      </c>
      <c r="J2085" t="s">
        <v>11</v>
      </c>
      <c r="K2085">
        <f>_xlfn.XLOOKUP(tbl_analysis_tickets[[#This Row],[priority]],tbl_sla[priority],tbl_sla[Resolution SLA Hours])</f>
        <v>72</v>
      </c>
      <c r="L2085">
        <f>_xlfn.XLOOKUP(tbl_analysis_tickets[[#This Row],[priority]],tbl_sla[priority],tbl_sla[First Response SLA Minutes])</f>
        <v>240</v>
      </c>
      <c r="M2085" t="str">
        <f>IF(tbl_analysis_tickets[[#This Row],[resolution_time_hours]]&gt;tbl_analysis_tickets[[#This Row],[Resolution SLA Hours]],"Breached","Within SLA")</f>
        <v>Within SLA</v>
      </c>
      <c r="N2085" t="str">
        <f>IF(tbl_analysis_tickets[[#This Row],[first_response_minutes]]&gt;tbl_analysis_tickets[[#This Row],[First Response SLA Minutes]],"Breached","Within SLA")</f>
        <v>Within SLA</v>
      </c>
      <c r="O2085" t="str" cm="1">
        <f t="array" ref="O2085">_xlfn.IFS(
tbl_analysis_tickets[[#This Row],[agent_experience_years]]&lt;=2,"Junior",
tbl_analysis_tickets[[#This Row],[agent_experience_years]]&lt;=5,"Mid-Level",
tbl_analysis_tickets[[#This Row],[agent_experience_years]]&lt;=8,"Senior",
tbl_analysis_tickets[[#This Row],[agent_experience_years]]&gt;8,"Expert"
)</f>
        <v>Senior</v>
      </c>
      <c r="P2085" cm="1">
        <f t="array" ref="P2085">_xlfn.SWITCH(tbl_analysis_tickets[[#This Row],[customer_satisfaction]],
"Low",1,
"Medium",2,
"High",3
)</f>
        <v>1</v>
      </c>
      <c r="Q2085">
        <f>IF(tbl_analysis_tickets[[#This Row],[reopened]]="Yes",1,0)</f>
        <v>1</v>
      </c>
      <c r="R2085" t="str" cm="1">
        <f t="array" ref="R2085">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085" t="str" cm="1">
        <f t="array" ref="S208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085" t="str">
        <f>TEXT(tbl_analysis_tickets[[#This Row],[created_date]],"mmm-yyyy")</f>
        <v>Jan-2024</v>
      </c>
      <c r="U2085" t="str">
        <f>TEXT(tbl_analysis_tickets[[#This Row],[created_date]],"dddd")</f>
        <v>Tuesday</v>
      </c>
      <c r="V2085" cm="1">
        <f t="array" ref="V2085">_xlfn.SWITCH(tbl_analysis_tickets[[#This Row],[priority]],
"Urgent",1,
"High",2,
"Medium",3,
"Low",4
)</f>
        <v>4</v>
      </c>
    </row>
    <row r="2086" spans="1:22" x14ac:dyDescent="0.25">
      <c r="A2086">
        <v>2085</v>
      </c>
      <c r="B2086" s="1">
        <v>45486</v>
      </c>
      <c r="C2086" t="s">
        <v>21</v>
      </c>
      <c r="D2086" t="s">
        <v>17</v>
      </c>
      <c r="E2086">
        <v>71</v>
      </c>
      <c r="F2086">
        <v>70</v>
      </c>
      <c r="G2086">
        <v>3.5</v>
      </c>
      <c r="H2086" t="s">
        <v>18</v>
      </c>
      <c r="I2086" t="s">
        <v>16</v>
      </c>
      <c r="J2086" t="s">
        <v>11</v>
      </c>
      <c r="K2086">
        <f>_xlfn.XLOOKUP(tbl_analysis_tickets[[#This Row],[priority]],tbl_sla[priority],tbl_sla[Resolution SLA Hours])</f>
        <v>8</v>
      </c>
      <c r="L2086">
        <f>_xlfn.XLOOKUP(tbl_analysis_tickets[[#This Row],[priority]],tbl_sla[priority],tbl_sla[First Response SLA Minutes])</f>
        <v>30</v>
      </c>
      <c r="M2086" t="str">
        <f>IF(tbl_analysis_tickets[[#This Row],[resolution_time_hours]]&gt;tbl_analysis_tickets[[#This Row],[Resolution SLA Hours]],"Breached","Within SLA")</f>
        <v>Breached</v>
      </c>
      <c r="N2086" t="str">
        <f>IF(tbl_analysis_tickets[[#This Row],[first_response_minutes]]&gt;tbl_analysis_tickets[[#This Row],[First Response SLA Minutes]],"Breached","Within SLA")</f>
        <v>Breached</v>
      </c>
      <c r="O2086" t="str" cm="1">
        <f t="array" ref="O2086">_xlfn.IFS(
tbl_analysis_tickets[[#This Row],[agent_experience_years]]&lt;=2,"Junior",
tbl_analysis_tickets[[#This Row],[agent_experience_years]]&lt;=5,"Mid-Level",
tbl_analysis_tickets[[#This Row],[agent_experience_years]]&lt;=8,"Senior",
tbl_analysis_tickets[[#This Row],[agent_experience_years]]&gt;8,"Expert"
)</f>
        <v>Mid-Level</v>
      </c>
      <c r="P2086" cm="1">
        <f t="array" ref="P2086">_xlfn.SWITCH(tbl_analysis_tickets[[#This Row],[customer_satisfaction]],
"Low",1,
"Medium",2,
"High",3
)</f>
        <v>1</v>
      </c>
      <c r="Q2086">
        <f>IF(tbl_analysis_tickets[[#This Row],[reopened]]="Yes",1,0)</f>
        <v>0</v>
      </c>
      <c r="R2086" t="str" cm="1">
        <f t="array" ref="R2086">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086" t="str" cm="1">
        <f t="array" ref="S208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086" t="str">
        <f>TEXT(tbl_analysis_tickets[[#This Row],[created_date]],"mmm-yyyy")</f>
        <v>Jul-2024</v>
      </c>
      <c r="U2086" t="str">
        <f>TEXT(tbl_analysis_tickets[[#This Row],[created_date]],"dddd")</f>
        <v>Saturday</v>
      </c>
      <c r="V2086" cm="1">
        <f t="array" ref="V2086">_xlfn.SWITCH(tbl_analysis_tickets[[#This Row],[priority]],
"Urgent",1,
"High",2,
"Medium",3,
"Low",4
)</f>
        <v>1</v>
      </c>
    </row>
    <row r="2087" spans="1:22" x14ac:dyDescent="0.25">
      <c r="A2087">
        <v>2086</v>
      </c>
      <c r="B2087" s="1">
        <v>45546</v>
      </c>
      <c r="C2087" t="s">
        <v>23</v>
      </c>
      <c r="D2087" t="s">
        <v>15</v>
      </c>
      <c r="E2087">
        <v>38</v>
      </c>
      <c r="F2087">
        <v>61</v>
      </c>
      <c r="G2087">
        <v>8.9</v>
      </c>
      <c r="H2087" t="s">
        <v>18</v>
      </c>
      <c r="I2087" t="s">
        <v>16</v>
      </c>
      <c r="J2087" t="s">
        <v>15</v>
      </c>
      <c r="K2087">
        <f>_xlfn.XLOOKUP(tbl_analysis_tickets[[#This Row],[priority]],tbl_sla[priority],tbl_sla[Resolution SLA Hours])</f>
        <v>48</v>
      </c>
      <c r="L2087">
        <f>_xlfn.XLOOKUP(tbl_analysis_tickets[[#This Row],[priority]],tbl_sla[priority],tbl_sla[First Response SLA Minutes])</f>
        <v>120</v>
      </c>
      <c r="M2087" t="str">
        <f>IF(tbl_analysis_tickets[[#This Row],[resolution_time_hours]]&gt;tbl_analysis_tickets[[#This Row],[Resolution SLA Hours]],"Breached","Within SLA")</f>
        <v>Breached</v>
      </c>
      <c r="N2087" t="str">
        <f>IF(tbl_analysis_tickets[[#This Row],[first_response_minutes]]&gt;tbl_analysis_tickets[[#This Row],[First Response SLA Minutes]],"Breached","Within SLA")</f>
        <v>Within SLA</v>
      </c>
      <c r="O2087" t="str" cm="1">
        <f t="array" ref="O2087">_xlfn.IFS(
tbl_analysis_tickets[[#This Row],[agent_experience_years]]&lt;=2,"Junior",
tbl_analysis_tickets[[#This Row],[agent_experience_years]]&lt;=5,"Mid-Level",
tbl_analysis_tickets[[#This Row],[agent_experience_years]]&lt;=8,"Senior",
tbl_analysis_tickets[[#This Row],[agent_experience_years]]&gt;8,"Expert"
)</f>
        <v>Expert</v>
      </c>
      <c r="P2087" cm="1">
        <f t="array" ref="P2087">_xlfn.SWITCH(tbl_analysis_tickets[[#This Row],[customer_satisfaction]],
"Low",1,
"Medium",2,
"High",3
)</f>
        <v>2</v>
      </c>
      <c r="Q2087">
        <f>IF(tbl_analysis_tickets[[#This Row],[reopened]]="Yes",1,0)</f>
        <v>0</v>
      </c>
      <c r="R2087" t="str" cm="1">
        <f t="array" ref="R2087">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087" t="str" cm="1">
        <f t="array" ref="S208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087" t="str">
        <f>TEXT(tbl_analysis_tickets[[#This Row],[created_date]],"mmm-yyyy")</f>
        <v>Sep-2024</v>
      </c>
      <c r="U2087" t="str">
        <f>TEXT(tbl_analysis_tickets[[#This Row],[created_date]],"dddd")</f>
        <v>Wednesday</v>
      </c>
      <c r="V2087" cm="1">
        <f t="array" ref="V2087">_xlfn.SWITCH(tbl_analysis_tickets[[#This Row],[priority]],
"Urgent",1,
"High",2,
"Medium",3,
"Low",4
)</f>
        <v>3</v>
      </c>
    </row>
    <row r="2088" spans="1:22" x14ac:dyDescent="0.25">
      <c r="A2088">
        <v>2087</v>
      </c>
      <c r="B2088" s="1">
        <v>45411</v>
      </c>
      <c r="C2088" t="s">
        <v>23</v>
      </c>
      <c r="D2088" t="s">
        <v>11</v>
      </c>
      <c r="E2088">
        <v>163</v>
      </c>
      <c r="F2088">
        <v>34</v>
      </c>
      <c r="G2088">
        <v>3.1</v>
      </c>
      <c r="H2088" t="s">
        <v>12</v>
      </c>
      <c r="I2088" t="s">
        <v>19</v>
      </c>
      <c r="J2088" t="s">
        <v>11</v>
      </c>
      <c r="K2088">
        <f>_xlfn.XLOOKUP(tbl_analysis_tickets[[#This Row],[priority]],tbl_sla[priority],tbl_sla[Resolution SLA Hours])</f>
        <v>72</v>
      </c>
      <c r="L2088">
        <f>_xlfn.XLOOKUP(tbl_analysis_tickets[[#This Row],[priority]],tbl_sla[priority],tbl_sla[First Response SLA Minutes])</f>
        <v>240</v>
      </c>
      <c r="M2088" t="str">
        <f>IF(tbl_analysis_tickets[[#This Row],[resolution_time_hours]]&gt;tbl_analysis_tickets[[#This Row],[Resolution SLA Hours]],"Breached","Within SLA")</f>
        <v>Within SLA</v>
      </c>
      <c r="N2088" t="str">
        <f>IF(tbl_analysis_tickets[[#This Row],[first_response_minutes]]&gt;tbl_analysis_tickets[[#This Row],[First Response SLA Minutes]],"Breached","Within SLA")</f>
        <v>Within SLA</v>
      </c>
      <c r="O2088" t="str" cm="1">
        <f t="array" ref="O2088">_xlfn.IFS(
tbl_analysis_tickets[[#This Row],[agent_experience_years]]&lt;=2,"Junior",
tbl_analysis_tickets[[#This Row],[agent_experience_years]]&lt;=5,"Mid-Level",
tbl_analysis_tickets[[#This Row],[agent_experience_years]]&lt;=8,"Senior",
tbl_analysis_tickets[[#This Row],[agent_experience_years]]&gt;8,"Expert"
)</f>
        <v>Mid-Level</v>
      </c>
      <c r="P2088" cm="1">
        <f t="array" ref="P2088">_xlfn.SWITCH(tbl_analysis_tickets[[#This Row],[customer_satisfaction]],
"Low",1,
"Medium",2,
"High",3
)</f>
        <v>1</v>
      </c>
      <c r="Q2088">
        <f>IF(tbl_analysis_tickets[[#This Row],[reopened]]="Yes",1,0)</f>
        <v>1</v>
      </c>
      <c r="R2088" t="str" cm="1">
        <f t="array" ref="R2088">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088" t="str" cm="1">
        <f t="array" ref="S208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088" t="str">
        <f>TEXT(tbl_analysis_tickets[[#This Row],[created_date]],"mmm-yyyy")</f>
        <v>Apr-2024</v>
      </c>
      <c r="U2088" t="str">
        <f>TEXT(tbl_analysis_tickets[[#This Row],[created_date]],"dddd")</f>
        <v>Monday</v>
      </c>
      <c r="V2088" cm="1">
        <f t="array" ref="V2088">_xlfn.SWITCH(tbl_analysis_tickets[[#This Row],[priority]],
"Urgent",1,
"High",2,
"Medium",3,
"Low",4
)</f>
        <v>4</v>
      </c>
    </row>
    <row r="2089" spans="1:22" x14ac:dyDescent="0.25">
      <c r="A2089">
        <v>2088</v>
      </c>
      <c r="B2089" s="1">
        <v>45611</v>
      </c>
      <c r="C2089" t="s">
        <v>22</v>
      </c>
      <c r="D2089" t="s">
        <v>20</v>
      </c>
      <c r="E2089">
        <v>63</v>
      </c>
      <c r="F2089">
        <v>53</v>
      </c>
      <c r="G2089">
        <v>7.7</v>
      </c>
      <c r="H2089" t="s">
        <v>12</v>
      </c>
      <c r="I2089" t="s">
        <v>13</v>
      </c>
      <c r="J2089" t="s">
        <v>11</v>
      </c>
      <c r="K2089">
        <f>_xlfn.XLOOKUP(tbl_analysis_tickets[[#This Row],[priority]],tbl_sla[priority],tbl_sla[Resolution SLA Hours])</f>
        <v>24</v>
      </c>
      <c r="L2089">
        <f>_xlfn.XLOOKUP(tbl_analysis_tickets[[#This Row],[priority]],tbl_sla[priority],tbl_sla[First Response SLA Minutes])</f>
        <v>60</v>
      </c>
      <c r="M2089" t="str">
        <f>IF(tbl_analysis_tickets[[#This Row],[resolution_time_hours]]&gt;tbl_analysis_tickets[[#This Row],[Resolution SLA Hours]],"Breached","Within SLA")</f>
        <v>Breached</v>
      </c>
      <c r="N2089" t="str">
        <f>IF(tbl_analysis_tickets[[#This Row],[first_response_minutes]]&gt;tbl_analysis_tickets[[#This Row],[First Response SLA Minutes]],"Breached","Within SLA")</f>
        <v>Breached</v>
      </c>
      <c r="O2089" t="str" cm="1">
        <f t="array" ref="O2089">_xlfn.IFS(
tbl_analysis_tickets[[#This Row],[agent_experience_years]]&lt;=2,"Junior",
tbl_analysis_tickets[[#This Row],[agent_experience_years]]&lt;=5,"Mid-Level",
tbl_analysis_tickets[[#This Row],[agent_experience_years]]&lt;=8,"Senior",
tbl_analysis_tickets[[#This Row],[agent_experience_years]]&gt;8,"Expert"
)</f>
        <v>Senior</v>
      </c>
      <c r="P2089" cm="1">
        <f t="array" ref="P2089">_xlfn.SWITCH(tbl_analysis_tickets[[#This Row],[customer_satisfaction]],
"Low",1,
"Medium",2,
"High",3
)</f>
        <v>1</v>
      </c>
      <c r="Q2089">
        <f>IF(tbl_analysis_tickets[[#This Row],[reopened]]="Yes",1,0)</f>
        <v>1</v>
      </c>
      <c r="R2089" t="str" cm="1">
        <f t="array" ref="R2089">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089" t="str" cm="1">
        <f t="array" ref="S208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089" t="str">
        <f>TEXT(tbl_analysis_tickets[[#This Row],[created_date]],"mmm-yyyy")</f>
        <v>Nov-2024</v>
      </c>
      <c r="U2089" t="str">
        <f>TEXT(tbl_analysis_tickets[[#This Row],[created_date]],"dddd")</f>
        <v>Friday</v>
      </c>
      <c r="V2089" cm="1">
        <f t="array" ref="V2089">_xlfn.SWITCH(tbl_analysis_tickets[[#This Row],[priority]],
"Urgent",1,
"High",2,
"Medium",3,
"Low",4
)</f>
        <v>2</v>
      </c>
    </row>
    <row r="2090" spans="1:22" x14ac:dyDescent="0.25">
      <c r="A2090">
        <v>2089</v>
      </c>
      <c r="B2090" s="1">
        <v>45458</v>
      </c>
      <c r="C2090" t="s">
        <v>10</v>
      </c>
      <c r="D2090" t="s">
        <v>20</v>
      </c>
      <c r="E2090">
        <v>125</v>
      </c>
      <c r="F2090">
        <v>66</v>
      </c>
      <c r="G2090">
        <v>4.7</v>
      </c>
      <c r="H2090" t="s">
        <v>18</v>
      </c>
      <c r="I2090" t="s">
        <v>16</v>
      </c>
      <c r="J2090" t="s">
        <v>11</v>
      </c>
      <c r="K2090">
        <f>_xlfn.XLOOKUP(tbl_analysis_tickets[[#This Row],[priority]],tbl_sla[priority],tbl_sla[Resolution SLA Hours])</f>
        <v>24</v>
      </c>
      <c r="L2090">
        <f>_xlfn.XLOOKUP(tbl_analysis_tickets[[#This Row],[priority]],tbl_sla[priority],tbl_sla[First Response SLA Minutes])</f>
        <v>60</v>
      </c>
      <c r="M2090" t="str">
        <f>IF(tbl_analysis_tickets[[#This Row],[resolution_time_hours]]&gt;tbl_analysis_tickets[[#This Row],[Resolution SLA Hours]],"Breached","Within SLA")</f>
        <v>Breached</v>
      </c>
      <c r="N2090" t="str">
        <f>IF(tbl_analysis_tickets[[#This Row],[first_response_minutes]]&gt;tbl_analysis_tickets[[#This Row],[First Response SLA Minutes]],"Breached","Within SLA")</f>
        <v>Breached</v>
      </c>
      <c r="O2090" t="str" cm="1">
        <f t="array" ref="O2090">_xlfn.IFS(
tbl_analysis_tickets[[#This Row],[agent_experience_years]]&lt;=2,"Junior",
tbl_analysis_tickets[[#This Row],[agent_experience_years]]&lt;=5,"Mid-Level",
tbl_analysis_tickets[[#This Row],[agent_experience_years]]&lt;=8,"Senior",
tbl_analysis_tickets[[#This Row],[agent_experience_years]]&gt;8,"Expert"
)</f>
        <v>Mid-Level</v>
      </c>
      <c r="P2090" cm="1">
        <f t="array" ref="P2090">_xlfn.SWITCH(tbl_analysis_tickets[[#This Row],[customer_satisfaction]],
"Low",1,
"Medium",2,
"High",3
)</f>
        <v>1</v>
      </c>
      <c r="Q2090">
        <f>IF(tbl_analysis_tickets[[#This Row],[reopened]]="Yes",1,0)</f>
        <v>0</v>
      </c>
      <c r="R2090" t="str" cm="1">
        <f t="array" ref="R2090">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090" t="str" cm="1">
        <f t="array" ref="S209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090" t="str">
        <f>TEXT(tbl_analysis_tickets[[#This Row],[created_date]],"mmm-yyyy")</f>
        <v>Jun-2024</v>
      </c>
      <c r="U2090" t="str">
        <f>TEXT(tbl_analysis_tickets[[#This Row],[created_date]],"dddd")</f>
        <v>Saturday</v>
      </c>
      <c r="V2090" cm="1">
        <f t="array" ref="V2090">_xlfn.SWITCH(tbl_analysis_tickets[[#This Row],[priority]],
"Urgent",1,
"High",2,
"Medium",3,
"Low",4
)</f>
        <v>2</v>
      </c>
    </row>
    <row r="2091" spans="1:22" x14ac:dyDescent="0.25">
      <c r="A2091">
        <v>2090</v>
      </c>
      <c r="B2091" s="1">
        <v>45494</v>
      </c>
      <c r="C2091" t="s">
        <v>10</v>
      </c>
      <c r="D2091" t="s">
        <v>11</v>
      </c>
      <c r="E2091">
        <v>26</v>
      </c>
      <c r="F2091">
        <v>61</v>
      </c>
      <c r="G2091">
        <v>6.5</v>
      </c>
      <c r="H2091" t="s">
        <v>12</v>
      </c>
      <c r="I2091" t="s">
        <v>13</v>
      </c>
      <c r="J2091" t="s">
        <v>15</v>
      </c>
      <c r="K2091">
        <f>_xlfn.XLOOKUP(tbl_analysis_tickets[[#This Row],[priority]],tbl_sla[priority],tbl_sla[Resolution SLA Hours])</f>
        <v>72</v>
      </c>
      <c r="L2091">
        <f>_xlfn.XLOOKUP(tbl_analysis_tickets[[#This Row],[priority]],tbl_sla[priority],tbl_sla[First Response SLA Minutes])</f>
        <v>240</v>
      </c>
      <c r="M2091" t="str">
        <f>IF(tbl_analysis_tickets[[#This Row],[resolution_time_hours]]&gt;tbl_analysis_tickets[[#This Row],[Resolution SLA Hours]],"Breached","Within SLA")</f>
        <v>Within SLA</v>
      </c>
      <c r="N2091" t="str">
        <f>IF(tbl_analysis_tickets[[#This Row],[first_response_minutes]]&gt;tbl_analysis_tickets[[#This Row],[First Response SLA Minutes]],"Breached","Within SLA")</f>
        <v>Within SLA</v>
      </c>
      <c r="O2091" t="str" cm="1">
        <f t="array" ref="O2091">_xlfn.IFS(
tbl_analysis_tickets[[#This Row],[agent_experience_years]]&lt;=2,"Junior",
tbl_analysis_tickets[[#This Row],[agent_experience_years]]&lt;=5,"Mid-Level",
tbl_analysis_tickets[[#This Row],[agent_experience_years]]&lt;=8,"Senior",
tbl_analysis_tickets[[#This Row],[agent_experience_years]]&gt;8,"Expert"
)</f>
        <v>Senior</v>
      </c>
      <c r="P2091" cm="1">
        <f t="array" ref="P2091">_xlfn.SWITCH(tbl_analysis_tickets[[#This Row],[customer_satisfaction]],
"Low",1,
"Medium",2,
"High",3
)</f>
        <v>2</v>
      </c>
      <c r="Q2091">
        <f>IF(tbl_analysis_tickets[[#This Row],[reopened]]="Yes",1,0)</f>
        <v>1</v>
      </c>
      <c r="R2091" t="str" cm="1">
        <f t="array" ref="R2091">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2091" t="str" cm="1">
        <f t="array" ref="S209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091" t="str">
        <f>TEXT(tbl_analysis_tickets[[#This Row],[created_date]],"mmm-yyyy")</f>
        <v>Jul-2024</v>
      </c>
      <c r="U2091" t="str">
        <f>TEXT(tbl_analysis_tickets[[#This Row],[created_date]],"dddd")</f>
        <v>Sunday</v>
      </c>
      <c r="V2091" cm="1">
        <f t="array" ref="V2091">_xlfn.SWITCH(tbl_analysis_tickets[[#This Row],[priority]],
"Urgent",1,
"High",2,
"Medium",3,
"Low",4
)</f>
        <v>4</v>
      </c>
    </row>
    <row r="2092" spans="1:22" x14ac:dyDescent="0.25">
      <c r="A2092">
        <v>2091</v>
      </c>
      <c r="B2092" s="1">
        <v>45493</v>
      </c>
      <c r="C2092" t="s">
        <v>10</v>
      </c>
      <c r="D2092" t="s">
        <v>11</v>
      </c>
      <c r="E2092">
        <v>130</v>
      </c>
      <c r="F2092">
        <v>44</v>
      </c>
      <c r="G2092">
        <v>9.3000000000000007</v>
      </c>
      <c r="H2092" t="s">
        <v>12</v>
      </c>
      <c r="I2092" t="s">
        <v>19</v>
      </c>
      <c r="J2092" t="s">
        <v>11</v>
      </c>
      <c r="K2092">
        <f>_xlfn.XLOOKUP(tbl_analysis_tickets[[#This Row],[priority]],tbl_sla[priority],tbl_sla[Resolution SLA Hours])</f>
        <v>72</v>
      </c>
      <c r="L2092">
        <f>_xlfn.XLOOKUP(tbl_analysis_tickets[[#This Row],[priority]],tbl_sla[priority],tbl_sla[First Response SLA Minutes])</f>
        <v>240</v>
      </c>
      <c r="M2092" t="str">
        <f>IF(tbl_analysis_tickets[[#This Row],[resolution_time_hours]]&gt;tbl_analysis_tickets[[#This Row],[Resolution SLA Hours]],"Breached","Within SLA")</f>
        <v>Within SLA</v>
      </c>
      <c r="N2092" t="str">
        <f>IF(tbl_analysis_tickets[[#This Row],[first_response_minutes]]&gt;tbl_analysis_tickets[[#This Row],[First Response SLA Minutes]],"Breached","Within SLA")</f>
        <v>Within SLA</v>
      </c>
      <c r="O2092" t="str" cm="1">
        <f t="array" ref="O2092">_xlfn.IFS(
tbl_analysis_tickets[[#This Row],[agent_experience_years]]&lt;=2,"Junior",
tbl_analysis_tickets[[#This Row],[agent_experience_years]]&lt;=5,"Mid-Level",
tbl_analysis_tickets[[#This Row],[agent_experience_years]]&lt;=8,"Senior",
tbl_analysis_tickets[[#This Row],[agent_experience_years]]&gt;8,"Expert"
)</f>
        <v>Expert</v>
      </c>
      <c r="P2092" cm="1">
        <f t="array" ref="P2092">_xlfn.SWITCH(tbl_analysis_tickets[[#This Row],[customer_satisfaction]],
"Low",1,
"Medium",2,
"High",3
)</f>
        <v>1</v>
      </c>
      <c r="Q2092">
        <f>IF(tbl_analysis_tickets[[#This Row],[reopened]]="Yes",1,0)</f>
        <v>1</v>
      </c>
      <c r="R2092" t="str" cm="1">
        <f t="array" ref="R2092">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092" t="str" cm="1">
        <f t="array" ref="S209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092" t="str">
        <f>TEXT(tbl_analysis_tickets[[#This Row],[created_date]],"mmm-yyyy")</f>
        <v>Jul-2024</v>
      </c>
      <c r="U2092" t="str">
        <f>TEXT(tbl_analysis_tickets[[#This Row],[created_date]],"dddd")</f>
        <v>Saturday</v>
      </c>
      <c r="V2092" cm="1">
        <f t="array" ref="V2092">_xlfn.SWITCH(tbl_analysis_tickets[[#This Row],[priority]],
"Urgent",1,
"High",2,
"Medium",3,
"Low",4
)</f>
        <v>4</v>
      </c>
    </row>
    <row r="2093" spans="1:22" x14ac:dyDescent="0.25">
      <c r="A2093">
        <v>2092</v>
      </c>
      <c r="B2093" s="1">
        <v>45310</v>
      </c>
      <c r="C2093" t="s">
        <v>14</v>
      </c>
      <c r="D2093" t="s">
        <v>15</v>
      </c>
      <c r="E2093">
        <v>35</v>
      </c>
      <c r="F2093">
        <v>19</v>
      </c>
      <c r="G2093">
        <v>9.8000000000000007</v>
      </c>
      <c r="H2093" t="s">
        <v>18</v>
      </c>
      <c r="I2093" t="s">
        <v>19</v>
      </c>
      <c r="J2093" t="s">
        <v>15</v>
      </c>
      <c r="K2093">
        <f>_xlfn.XLOOKUP(tbl_analysis_tickets[[#This Row],[priority]],tbl_sla[priority],tbl_sla[Resolution SLA Hours])</f>
        <v>48</v>
      </c>
      <c r="L2093">
        <f>_xlfn.XLOOKUP(tbl_analysis_tickets[[#This Row],[priority]],tbl_sla[priority],tbl_sla[First Response SLA Minutes])</f>
        <v>120</v>
      </c>
      <c r="M2093" t="str">
        <f>IF(tbl_analysis_tickets[[#This Row],[resolution_time_hours]]&gt;tbl_analysis_tickets[[#This Row],[Resolution SLA Hours]],"Breached","Within SLA")</f>
        <v>Within SLA</v>
      </c>
      <c r="N2093" t="str">
        <f>IF(tbl_analysis_tickets[[#This Row],[first_response_minutes]]&gt;tbl_analysis_tickets[[#This Row],[First Response SLA Minutes]],"Breached","Within SLA")</f>
        <v>Within SLA</v>
      </c>
      <c r="O2093" t="str" cm="1">
        <f t="array" ref="O2093">_xlfn.IFS(
tbl_analysis_tickets[[#This Row],[agent_experience_years]]&lt;=2,"Junior",
tbl_analysis_tickets[[#This Row],[agent_experience_years]]&lt;=5,"Mid-Level",
tbl_analysis_tickets[[#This Row],[agent_experience_years]]&lt;=8,"Senior",
tbl_analysis_tickets[[#This Row],[agent_experience_years]]&gt;8,"Expert"
)</f>
        <v>Expert</v>
      </c>
      <c r="P2093" cm="1">
        <f t="array" ref="P2093">_xlfn.SWITCH(tbl_analysis_tickets[[#This Row],[customer_satisfaction]],
"Low",1,
"Medium",2,
"High",3
)</f>
        <v>2</v>
      </c>
      <c r="Q2093">
        <f>IF(tbl_analysis_tickets[[#This Row],[reopened]]="Yes",1,0)</f>
        <v>0</v>
      </c>
      <c r="R2093" t="str" cm="1">
        <f t="array" ref="R2093">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093" t="str" cm="1">
        <f t="array" ref="S209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093" t="str">
        <f>TEXT(tbl_analysis_tickets[[#This Row],[created_date]],"mmm-yyyy")</f>
        <v>Jan-2024</v>
      </c>
      <c r="U2093" t="str">
        <f>TEXT(tbl_analysis_tickets[[#This Row],[created_date]],"dddd")</f>
        <v>Friday</v>
      </c>
      <c r="V2093" cm="1">
        <f t="array" ref="V2093">_xlfn.SWITCH(tbl_analysis_tickets[[#This Row],[priority]],
"Urgent",1,
"High",2,
"Medium",3,
"Low",4
)</f>
        <v>3</v>
      </c>
    </row>
    <row r="2094" spans="1:22" x14ac:dyDescent="0.25">
      <c r="A2094">
        <v>2093</v>
      </c>
      <c r="B2094" s="1">
        <v>45590</v>
      </c>
      <c r="C2094" t="s">
        <v>21</v>
      </c>
      <c r="D2094" t="s">
        <v>11</v>
      </c>
      <c r="E2094">
        <v>174</v>
      </c>
      <c r="F2094">
        <v>19</v>
      </c>
      <c r="G2094">
        <v>2.9</v>
      </c>
      <c r="H2094" t="s">
        <v>18</v>
      </c>
      <c r="I2094" t="s">
        <v>16</v>
      </c>
      <c r="J2094" t="s">
        <v>11</v>
      </c>
      <c r="K2094">
        <f>_xlfn.XLOOKUP(tbl_analysis_tickets[[#This Row],[priority]],tbl_sla[priority],tbl_sla[Resolution SLA Hours])</f>
        <v>72</v>
      </c>
      <c r="L2094">
        <f>_xlfn.XLOOKUP(tbl_analysis_tickets[[#This Row],[priority]],tbl_sla[priority],tbl_sla[First Response SLA Minutes])</f>
        <v>240</v>
      </c>
      <c r="M2094" t="str">
        <f>IF(tbl_analysis_tickets[[#This Row],[resolution_time_hours]]&gt;tbl_analysis_tickets[[#This Row],[Resolution SLA Hours]],"Breached","Within SLA")</f>
        <v>Within SLA</v>
      </c>
      <c r="N2094" t="str">
        <f>IF(tbl_analysis_tickets[[#This Row],[first_response_minutes]]&gt;tbl_analysis_tickets[[#This Row],[First Response SLA Minutes]],"Breached","Within SLA")</f>
        <v>Within SLA</v>
      </c>
      <c r="O2094" t="str" cm="1">
        <f t="array" ref="O2094">_xlfn.IFS(
tbl_analysis_tickets[[#This Row],[agent_experience_years]]&lt;=2,"Junior",
tbl_analysis_tickets[[#This Row],[agent_experience_years]]&lt;=5,"Mid-Level",
tbl_analysis_tickets[[#This Row],[agent_experience_years]]&lt;=8,"Senior",
tbl_analysis_tickets[[#This Row],[agent_experience_years]]&gt;8,"Expert"
)</f>
        <v>Mid-Level</v>
      </c>
      <c r="P2094" cm="1">
        <f t="array" ref="P2094">_xlfn.SWITCH(tbl_analysis_tickets[[#This Row],[customer_satisfaction]],
"Low",1,
"Medium",2,
"High",3
)</f>
        <v>1</v>
      </c>
      <c r="Q2094">
        <f>IF(tbl_analysis_tickets[[#This Row],[reopened]]="Yes",1,0)</f>
        <v>0</v>
      </c>
      <c r="R2094" t="str" cm="1">
        <f t="array" ref="R2094">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094" t="str" cm="1">
        <f t="array" ref="S209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094" t="str">
        <f>TEXT(tbl_analysis_tickets[[#This Row],[created_date]],"mmm-yyyy")</f>
        <v>Oct-2024</v>
      </c>
      <c r="U2094" t="str">
        <f>TEXT(tbl_analysis_tickets[[#This Row],[created_date]],"dddd")</f>
        <v>Friday</v>
      </c>
      <c r="V2094" cm="1">
        <f t="array" ref="V2094">_xlfn.SWITCH(tbl_analysis_tickets[[#This Row],[priority]],
"Urgent",1,
"High",2,
"Medium",3,
"Low",4
)</f>
        <v>4</v>
      </c>
    </row>
    <row r="2095" spans="1:22" x14ac:dyDescent="0.25">
      <c r="A2095">
        <v>2094</v>
      </c>
      <c r="B2095" s="1">
        <v>45589</v>
      </c>
      <c r="C2095" t="s">
        <v>14</v>
      </c>
      <c r="D2095" t="s">
        <v>20</v>
      </c>
      <c r="E2095">
        <v>179</v>
      </c>
      <c r="F2095">
        <v>34</v>
      </c>
      <c r="G2095">
        <v>7.4</v>
      </c>
      <c r="H2095" t="s">
        <v>18</v>
      </c>
      <c r="I2095" t="s">
        <v>19</v>
      </c>
      <c r="J2095" t="s">
        <v>11</v>
      </c>
      <c r="K2095">
        <f>_xlfn.XLOOKUP(tbl_analysis_tickets[[#This Row],[priority]],tbl_sla[priority],tbl_sla[Resolution SLA Hours])</f>
        <v>24</v>
      </c>
      <c r="L2095">
        <f>_xlfn.XLOOKUP(tbl_analysis_tickets[[#This Row],[priority]],tbl_sla[priority],tbl_sla[First Response SLA Minutes])</f>
        <v>60</v>
      </c>
      <c r="M2095" t="str">
        <f>IF(tbl_analysis_tickets[[#This Row],[resolution_time_hours]]&gt;tbl_analysis_tickets[[#This Row],[Resolution SLA Hours]],"Breached","Within SLA")</f>
        <v>Breached</v>
      </c>
      <c r="N2095" t="str">
        <f>IF(tbl_analysis_tickets[[#This Row],[first_response_minutes]]&gt;tbl_analysis_tickets[[#This Row],[First Response SLA Minutes]],"Breached","Within SLA")</f>
        <v>Breached</v>
      </c>
      <c r="O2095" t="str" cm="1">
        <f t="array" ref="O2095">_xlfn.IFS(
tbl_analysis_tickets[[#This Row],[agent_experience_years]]&lt;=2,"Junior",
tbl_analysis_tickets[[#This Row],[agent_experience_years]]&lt;=5,"Mid-Level",
tbl_analysis_tickets[[#This Row],[agent_experience_years]]&lt;=8,"Senior",
tbl_analysis_tickets[[#This Row],[agent_experience_years]]&gt;8,"Expert"
)</f>
        <v>Senior</v>
      </c>
      <c r="P2095" cm="1">
        <f t="array" ref="P2095">_xlfn.SWITCH(tbl_analysis_tickets[[#This Row],[customer_satisfaction]],
"Low",1,
"Medium",2,
"High",3
)</f>
        <v>1</v>
      </c>
      <c r="Q2095">
        <f>IF(tbl_analysis_tickets[[#This Row],[reopened]]="Yes",1,0)</f>
        <v>0</v>
      </c>
      <c r="R2095" t="str" cm="1">
        <f t="array" ref="R2095">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095" t="str" cm="1">
        <f t="array" ref="S209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095" t="str">
        <f>TEXT(tbl_analysis_tickets[[#This Row],[created_date]],"mmm-yyyy")</f>
        <v>Oct-2024</v>
      </c>
      <c r="U2095" t="str">
        <f>TEXT(tbl_analysis_tickets[[#This Row],[created_date]],"dddd")</f>
        <v>Thursday</v>
      </c>
      <c r="V2095" cm="1">
        <f t="array" ref="V2095">_xlfn.SWITCH(tbl_analysis_tickets[[#This Row],[priority]],
"Urgent",1,
"High",2,
"Medium",3,
"Low",4
)</f>
        <v>2</v>
      </c>
    </row>
    <row r="2096" spans="1:22" x14ac:dyDescent="0.25">
      <c r="A2096">
        <v>2095</v>
      </c>
      <c r="B2096" s="1">
        <v>45419</v>
      </c>
      <c r="C2096" t="s">
        <v>10</v>
      </c>
      <c r="D2096" t="s">
        <v>11</v>
      </c>
      <c r="E2096">
        <v>109</v>
      </c>
      <c r="F2096">
        <v>26</v>
      </c>
      <c r="G2096">
        <v>4.3</v>
      </c>
      <c r="H2096" t="s">
        <v>18</v>
      </c>
      <c r="I2096" t="s">
        <v>16</v>
      </c>
      <c r="J2096" t="s">
        <v>11</v>
      </c>
      <c r="K2096">
        <f>_xlfn.XLOOKUP(tbl_analysis_tickets[[#This Row],[priority]],tbl_sla[priority],tbl_sla[Resolution SLA Hours])</f>
        <v>72</v>
      </c>
      <c r="L2096">
        <f>_xlfn.XLOOKUP(tbl_analysis_tickets[[#This Row],[priority]],tbl_sla[priority],tbl_sla[First Response SLA Minutes])</f>
        <v>240</v>
      </c>
      <c r="M2096" t="str">
        <f>IF(tbl_analysis_tickets[[#This Row],[resolution_time_hours]]&gt;tbl_analysis_tickets[[#This Row],[Resolution SLA Hours]],"Breached","Within SLA")</f>
        <v>Within SLA</v>
      </c>
      <c r="N2096" t="str">
        <f>IF(tbl_analysis_tickets[[#This Row],[first_response_minutes]]&gt;tbl_analysis_tickets[[#This Row],[First Response SLA Minutes]],"Breached","Within SLA")</f>
        <v>Within SLA</v>
      </c>
      <c r="O2096" t="str" cm="1">
        <f t="array" ref="O2096">_xlfn.IFS(
tbl_analysis_tickets[[#This Row],[agent_experience_years]]&lt;=2,"Junior",
tbl_analysis_tickets[[#This Row],[agent_experience_years]]&lt;=5,"Mid-Level",
tbl_analysis_tickets[[#This Row],[agent_experience_years]]&lt;=8,"Senior",
tbl_analysis_tickets[[#This Row],[agent_experience_years]]&gt;8,"Expert"
)</f>
        <v>Mid-Level</v>
      </c>
      <c r="P2096" cm="1">
        <f t="array" ref="P2096">_xlfn.SWITCH(tbl_analysis_tickets[[#This Row],[customer_satisfaction]],
"Low",1,
"Medium",2,
"High",3
)</f>
        <v>1</v>
      </c>
      <c r="Q2096">
        <f>IF(tbl_analysis_tickets[[#This Row],[reopened]]="Yes",1,0)</f>
        <v>0</v>
      </c>
      <c r="R2096" t="str" cm="1">
        <f t="array" ref="R2096">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096" t="str" cm="1">
        <f t="array" ref="S209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096" t="str">
        <f>TEXT(tbl_analysis_tickets[[#This Row],[created_date]],"mmm-yyyy")</f>
        <v>May-2024</v>
      </c>
      <c r="U2096" t="str">
        <f>TEXT(tbl_analysis_tickets[[#This Row],[created_date]],"dddd")</f>
        <v>Tuesday</v>
      </c>
      <c r="V2096" cm="1">
        <f t="array" ref="V2096">_xlfn.SWITCH(tbl_analysis_tickets[[#This Row],[priority]],
"Urgent",1,
"High",2,
"Medium",3,
"Low",4
)</f>
        <v>4</v>
      </c>
    </row>
    <row r="2097" spans="1:22" x14ac:dyDescent="0.25">
      <c r="A2097">
        <v>2096</v>
      </c>
      <c r="B2097" s="1">
        <v>45372</v>
      </c>
      <c r="C2097" t="s">
        <v>10</v>
      </c>
      <c r="D2097" t="s">
        <v>17</v>
      </c>
      <c r="E2097">
        <v>87</v>
      </c>
      <c r="F2097">
        <v>16</v>
      </c>
      <c r="G2097">
        <v>6</v>
      </c>
      <c r="H2097" t="s">
        <v>12</v>
      </c>
      <c r="I2097" t="s">
        <v>19</v>
      </c>
      <c r="J2097" t="s">
        <v>11</v>
      </c>
      <c r="K2097">
        <f>_xlfn.XLOOKUP(tbl_analysis_tickets[[#This Row],[priority]],tbl_sla[priority],tbl_sla[Resolution SLA Hours])</f>
        <v>8</v>
      </c>
      <c r="L2097">
        <f>_xlfn.XLOOKUP(tbl_analysis_tickets[[#This Row],[priority]],tbl_sla[priority],tbl_sla[First Response SLA Minutes])</f>
        <v>30</v>
      </c>
      <c r="M2097" t="str">
        <f>IF(tbl_analysis_tickets[[#This Row],[resolution_time_hours]]&gt;tbl_analysis_tickets[[#This Row],[Resolution SLA Hours]],"Breached","Within SLA")</f>
        <v>Breached</v>
      </c>
      <c r="N2097" t="str">
        <f>IF(tbl_analysis_tickets[[#This Row],[first_response_minutes]]&gt;tbl_analysis_tickets[[#This Row],[First Response SLA Minutes]],"Breached","Within SLA")</f>
        <v>Breached</v>
      </c>
      <c r="O2097" t="str" cm="1">
        <f t="array" ref="O2097">_xlfn.IFS(
tbl_analysis_tickets[[#This Row],[agent_experience_years]]&lt;=2,"Junior",
tbl_analysis_tickets[[#This Row],[agent_experience_years]]&lt;=5,"Mid-Level",
tbl_analysis_tickets[[#This Row],[agent_experience_years]]&lt;=8,"Senior",
tbl_analysis_tickets[[#This Row],[agent_experience_years]]&gt;8,"Expert"
)</f>
        <v>Senior</v>
      </c>
      <c r="P2097" cm="1">
        <f t="array" ref="P2097">_xlfn.SWITCH(tbl_analysis_tickets[[#This Row],[customer_satisfaction]],
"Low",1,
"Medium",2,
"High",3
)</f>
        <v>1</v>
      </c>
      <c r="Q2097">
        <f>IF(tbl_analysis_tickets[[#This Row],[reopened]]="Yes",1,0)</f>
        <v>1</v>
      </c>
      <c r="R2097" t="str" cm="1">
        <f t="array" ref="R2097">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097" t="str" cm="1">
        <f t="array" ref="S209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097" t="str">
        <f>TEXT(tbl_analysis_tickets[[#This Row],[created_date]],"mmm-yyyy")</f>
        <v>Mar-2024</v>
      </c>
      <c r="U2097" t="str">
        <f>TEXT(tbl_analysis_tickets[[#This Row],[created_date]],"dddd")</f>
        <v>Thursday</v>
      </c>
      <c r="V2097" cm="1">
        <f t="array" ref="V2097">_xlfn.SWITCH(tbl_analysis_tickets[[#This Row],[priority]],
"Urgent",1,
"High",2,
"Medium",3,
"Low",4
)</f>
        <v>1</v>
      </c>
    </row>
    <row r="2098" spans="1:22" x14ac:dyDescent="0.25">
      <c r="A2098">
        <v>2097</v>
      </c>
      <c r="B2098" s="1">
        <v>45647</v>
      </c>
      <c r="C2098" t="s">
        <v>23</v>
      </c>
      <c r="D2098" t="s">
        <v>11</v>
      </c>
      <c r="E2098">
        <v>183</v>
      </c>
      <c r="F2098">
        <v>72</v>
      </c>
      <c r="G2098">
        <v>8.6</v>
      </c>
      <c r="H2098" t="s">
        <v>18</v>
      </c>
      <c r="I2098" t="s">
        <v>16</v>
      </c>
      <c r="J2098" t="s">
        <v>15</v>
      </c>
      <c r="K2098">
        <f>_xlfn.XLOOKUP(tbl_analysis_tickets[[#This Row],[priority]],tbl_sla[priority],tbl_sla[Resolution SLA Hours])</f>
        <v>72</v>
      </c>
      <c r="L2098">
        <f>_xlfn.XLOOKUP(tbl_analysis_tickets[[#This Row],[priority]],tbl_sla[priority],tbl_sla[First Response SLA Minutes])</f>
        <v>240</v>
      </c>
      <c r="M2098" t="str">
        <f>IF(tbl_analysis_tickets[[#This Row],[resolution_time_hours]]&gt;tbl_analysis_tickets[[#This Row],[Resolution SLA Hours]],"Breached","Within SLA")</f>
        <v>Within SLA</v>
      </c>
      <c r="N2098" t="str">
        <f>IF(tbl_analysis_tickets[[#This Row],[first_response_minutes]]&gt;tbl_analysis_tickets[[#This Row],[First Response SLA Minutes]],"Breached","Within SLA")</f>
        <v>Within SLA</v>
      </c>
      <c r="O2098" t="str" cm="1">
        <f t="array" ref="O2098">_xlfn.IFS(
tbl_analysis_tickets[[#This Row],[agent_experience_years]]&lt;=2,"Junior",
tbl_analysis_tickets[[#This Row],[agent_experience_years]]&lt;=5,"Mid-Level",
tbl_analysis_tickets[[#This Row],[agent_experience_years]]&lt;=8,"Senior",
tbl_analysis_tickets[[#This Row],[agent_experience_years]]&gt;8,"Expert"
)</f>
        <v>Expert</v>
      </c>
      <c r="P2098" cm="1">
        <f t="array" ref="P2098">_xlfn.SWITCH(tbl_analysis_tickets[[#This Row],[customer_satisfaction]],
"Low",1,
"Medium",2,
"High",3
)</f>
        <v>2</v>
      </c>
      <c r="Q2098">
        <f>IF(tbl_analysis_tickets[[#This Row],[reopened]]="Yes",1,0)</f>
        <v>0</v>
      </c>
      <c r="R2098" t="str" cm="1">
        <f t="array" ref="R2098">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098" t="str" cm="1">
        <f t="array" ref="S209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098" t="str">
        <f>TEXT(tbl_analysis_tickets[[#This Row],[created_date]],"mmm-yyyy")</f>
        <v>Dec-2024</v>
      </c>
      <c r="U2098" t="str">
        <f>TEXT(tbl_analysis_tickets[[#This Row],[created_date]],"dddd")</f>
        <v>Saturday</v>
      </c>
      <c r="V2098" cm="1">
        <f t="array" ref="V2098">_xlfn.SWITCH(tbl_analysis_tickets[[#This Row],[priority]],
"Urgent",1,
"High",2,
"Medium",3,
"Low",4
)</f>
        <v>4</v>
      </c>
    </row>
    <row r="2099" spans="1:22" x14ac:dyDescent="0.25">
      <c r="A2099">
        <v>2098</v>
      </c>
      <c r="B2099" s="1">
        <v>45523</v>
      </c>
      <c r="C2099" t="s">
        <v>10</v>
      </c>
      <c r="D2099" t="s">
        <v>15</v>
      </c>
      <c r="E2099">
        <v>128</v>
      </c>
      <c r="F2099">
        <v>3</v>
      </c>
      <c r="G2099">
        <v>6.4</v>
      </c>
      <c r="H2099" t="s">
        <v>18</v>
      </c>
      <c r="I2099" t="s">
        <v>13</v>
      </c>
      <c r="J2099" t="s">
        <v>20</v>
      </c>
      <c r="K2099">
        <f>_xlfn.XLOOKUP(tbl_analysis_tickets[[#This Row],[priority]],tbl_sla[priority],tbl_sla[Resolution SLA Hours])</f>
        <v>48</v>
      </c>
      <c r="L2099">
        <f>_xlfn.XLOOKUP(tbl_analysis_tickets[[#This Row],[priority]],tbl_sla[priority],tbl_sla[First Response SLA Minutes])</f>
        <v>120</v>
      </c>
      <c r="M2099" t="str">
        <f>IF(tbl_analysis_tickets[[#This Row],[resolution_time_hours]]&gt;tbl_analysis_tickets[[#This Row],[Resolution SLA Hours]],"Breached","Within SLA")</f>
        <v>Within SLA</v>
      </c>
      <c r="N2099" t="str">
        <f>IF(tbl_analysis_tickets[[#This Row],[first_response_minutes]]&gt;tbl_analysis_tickets[[#This Row],[First Response SLA Minutes]],"Breached","Within SLA")</f>
        <v>Breached</v>
      </c>
      <c r="O2099" t="str" cm="1">
        <f t="array" ref="O2099">_xlfn.IFS(
tbl_analysis_tickets[[#This Row],[agent_experience_years]]&lt;=2,"Junior",
tbl_analysis_tickets[[#This Row],[agent_experience_years]]&lt;=5,"Mid-Level",
tbl_analysis_tickets[[#This Row],[agent_experience_years]]&lt;=8,"Senior",
tbl_analysis_tickets[[#This Row],[agent_experience_years]]&gt;8,"Expert"
)</f>
        <v>Senior</v>
      </c>
      <c r="P2099" cm="1">
        <f t="array" ref="P2099">_xlfn.SWITCH(tbl_analysis_tickets[[#This Row],[customer_satisfaction]],
"Low",1,
"Medium",2,
"High",3
)</f>
        <v>3</v>
      </c>
      <c r="Q2099">
        <f>IF(tbl_analysis_tickets[[#This Row],[reopened]]="Yes",1,0)</f>
        <v>0</v>
      </c>
      <c r="R2099" t="str" cm="1">
        <f t="array" ref="R2099">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099" t="str" cm="1">
        <f t="array" ref="S209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2099" t="str">
        <f>TEXT(tbl_analysis_tickets[[#This Row],[created_date]],"mmm-yyyy")</f>
        <v>Aug-2024</v>
      </c>
      <c r="U2099" t="str">
        <f>TEXT(tbl_analysis_tickets[[#This Row],[created_date]],"dddd")</f>
        <v>Monday</v>
      </c>
      <c r="V2099" cm="1">
        <f t="array" ref="V2099">_xlfn.SWITCH(tbl_analysis_tickets[[#This Row],[priority]],
"Urgent",1,
"High",2,
"Medium",3,
"Low",4
)</f>
        <v>3</v>
      </c>
    </row>
    <row r="2100" spans="1:22" x14ac:dyDescent="0.25">
      <c r="A2100">
        <v>2099</v>
      </c>
      <c r="B2100" s="1">
        <v>45408</v>
      </c>
      <c r="C2100" t="s">
        <v>10</v>
      </c>
      <c r="D2100" t="s">
        <v>15</v>
      </c>
      <c r="E2100">
        <v>222</v>
      </c>
      <c r="F2100">
        <v>1</v>
      </c>
      <c r="G2100">
        <v>7.3</v>
      </c>
      <c r="H2100" t="s">
        <v>18</v>
      </c>
      <c r="I2100" t="s">
        <v>13</v>
      </c>
      <c r="J2100" t="s">
        <v>20</v>
      </c>
      <c r="K2100">
        <f>_xlfn.XLOOKUP(tbl_analysis_tickets[[#This Row],[priority]],tbl_sla[priority],tbl_sla[Resolution SLA Hours])</f>
        <v>48</v>
      </c>
      <c r="L2100">
        <f>_xlfn.XLOOKUP(tbl_analysis_tickets[[#This Row],[priority]],tbl_sla[priority],tbl_sla[First Response SLA Minutes])</f>
        <v>120</v>
      </c>
      <c r="M2100" t="str">
        <f>IF(tbl_analysis_tickets[[#This Row],[resolution_time_hours]]&gt;tbl_analysis_tickets[[#This Row],[Resolution SLA Hours]],"Breached","Within SLA")</f>
        <v>Within SLA</v>
      </c>
      <c r="N2100" t="str">
        <f>IF(tbl_analysis_tickets[[#This Row],[first_response_minutes]]&gt;tbl_analysis_tickets[[#This Row],[First Response SLA Minutes]],"Breached","Within SLA")</f>
        <v>Breached</v>
      </c>
      <c r="O2100" t="str" cm="1">
        <f t="array" ref="O2100">_xlfn.IFS(
tbl_analysis_tickets[[#This Row],[agent_experience_years]]&lt;=2,"Junior",
tbl_analysis_tickets[[#This Row],[agent_experience_years]]&lt;=5,"Mid-Level",
tbl_analysis_tickets[[#This Row],[agent_experience_years]]&lt;=8,"Senior",
tbl_analysis_tickets[[#This Row],[agent_experience_years]]&gt;8,"Expert"
)</f>
        <v>Senior</v>
      </c>
      <c r="P2100" cm="1">
        <f t="array" ref="P2100">_xlfn.SWITCH(tbl_analysis_tickets[[#This Row],[customer_satisfaction]],
"Low",1,
"Medium",2,
"High",3
)</f>
        <v>3</v>
      </c>
      <c r="Q2100">
        <f>IF(tbl_analysis_tickets[[#This Row],[reopened]]="Yes",1,0)</f>
        <v>0</v>
      </c>
      <c r="R2100" t="str" cm="1">
        <f t="array" ref="R2100">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100" t="str" cm="1">
        <f t="array" ref="S210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2100" t="str">
        <f>TEXT(tbl_analysis_tickets[[#This Row],[created_date]],"mmm-yyyy")</f>
        <v>Apr-2024</v>
      </c>
      <c r="U2100" t="str">
        <f>TEXT(tbl_analysis_tickets[[#This Row],[created_date]],"dddd")</f>
        <v>Friday</v>
      </c>
      <c r="V2100" cm="1">
        <f t="array" ref="V2100">_xlfn.SWITCH(tbl_analysis_tickets[[#This Row],[priority]],
"Urgent",1,
"High",2,
"Medium",3,
"Low",4
)</f>
        <v>3</v>
      </c>
    </row>
    <row r="2101" spans="1:22" x14ac:dyDescent="0.25">
      <c r="A2101">
        <v>2100</v>
      </c>
      <c r="B2101" s="1">
        <v>45479</v>
      </c>
      <c r="C2101" t="s">
        <v>22</v>
      </c>
      <c r="D2101" t="s">
        <v>15</v>
      </c>
      <c r="E2101">
        <v>163</v>
      </c>
      <c r="F2101">
        <v>39</v>
      </c>
      <c r="G2101">
        <v>4.4000000000000004</v>
      </c>
      <c r="H2101" t="s">
        <v>12</v>
      </c>
      <c r="I2101" t="s">
        <v>13</v>
      </c>
      <c r="J2101" t="s">
        <v>11</v>
      </c>
      <c r="K2101">
        <f>_xlfn.XLOOKUP(tbl_analysis_tickets[[#This Row],[priority]],tbl_sla[priority],tbl_sla[Resolution SLA Hours])</f>
        <v>48</v>
      </c>
      <c r="L2101">
        <f>_xlfn.XLOOKUP(tbl_analysis_tickets[[#This Row],[priority]],tbl_sla[priority],tbl_sla[First Response SLA Minutes])</f>
        <v>120</v>
      </c>
      <c r="M2101" t="str">
        <f>IF(tbl_analysis_tickets[[#This Row],[resolution_time_hours]]&gt;tbl_analysis_tickets[[#This Row],[Resolution SLA Hours]],"Breached","Within SLA")</f>
        <v>Within SLA</v>
      </c>
      <c r="N2101" t="str">
        <f>IF(tbl_analysis_tickets[[#This Row],[first_response_minutes]]&gt;tbl_analysis_tickets[[#This Row],[First Response SLA Minutes]],"Breached","Within SLA")</f>
        <v>Breached</v>
      </c>
      <c r="O2101" t="str" cm="1">
        <f t="array" ref="O2101">_xlfn.IFS(
tbl_analysis_tickets[[#This Row],[agent_experience_years]]&lt;=2,"Junior",
tbl_analysis_tickets[[#This Row],[agent_experience_years]]&lt;=5,"Mid-Level",
tbl_analysis_tickets[[#This Row],[agent_experience_years]]&lt;=8,"Senior",
tbl_analysis_tickets[[#This Row],[agent_experience_years]]&gt;8,"Expert"
)</f>
        <v>Mid-Level</v>
      </c>
      <c r="P2101" cm="1">
        <f t="array" ref="P2101">_xlfn.SWITCH(tbl_analysis_tickets[[#This Row],[customer_satisfaction]],
"Low",1,
"Medium",2,
"High",3
)</f>
        <v>1</v>
      </c>
      <c r="Q2101">
        <f>IF(tbl_analysis_tickets[[#This Row],[reopened]]="Yes",1,0)</f>
        <v>1</v>
      </c>
      <c r="R2101" t="str" cm="1">
        <f t="array" ref="R2101">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101" t="str" cm="1">
        <f t="array" ref="S210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101" t="str">
        <f>TEXT(tbl_analysis_tickets[[#This Row],[created_date]],"mmm-yyyy")</f>
        <v>Jul-2024</v>
      </c>
      <c r="U2101" t="str">
        <f>TEXT(tbl_analysis_tickets[[#This Row],[created_date]],"dddd")</f>
        <v>Saturday</v>
      </c>
      <c r="V2101" cm="1">
        <f t="array" ref="V2101">_xlfn.SWITCH(tbl_analysis_tickets[[#This Row],[priority]],
"Urgent",1,
"High",2,
"Medium",3,
"Low",4
)</f>
        <v>3</v>
      </c>
    </row>
    <row r="2102" spans="1:22" x14ac:dyDescent="0.25">
      <c r="A2102">
        <v>2101</v>
      </c>
      <c r="B2102" s="1">
        <v>45493</v>
      </c>
      <c r="C2102" t="s">
        <v>23</v>
      </c>
      <c r="D2102" t="s">
        <v>15</v>
      </c>
      <c r="E2102">
        <v>41</v>
      </c>
      <c r="F2102">
        <v>51</v>
      </c>
      <c r="G2102">
        <v>2.7</v>
      </c>
      <c r="H2102" t="s">
        <v>12</v>
      </c>
      <c r="I2102" t="s">
        <v>16</v>
      </c>
      <c r="J2102" t="s">
        <v>11</v>
      </c>
      <c r="K2102">
        <f>_xlfn.XLOOKUP(tbl_analysis_tickets[[#This Row],[priority]],tbl_sla[priority],tbl_sla[Resolution SLA Hours])</f>
        <v>48</v>
      </c>
      <c r="L2102">
        <f>_xlfn.XLOOKUP(tbl_analysis_tickets[[#This Row],[priority]],tbl_sla[priority],tbl_sla[First Response SLA Minutes])</f>
        <v>120</v>
      </c>
      <c r="M2102" t="str">
        <f>IF(tbl_analysis_tickets[[#This Row],[resolution_time_hours]]&gt;tbl_analysis_tickets[[#This Row],[Resolution SLA Hours]],"Breached","Within SLA")</f>
        <v>Breached</v>
      </c>
      <c r="N2102" t="str">
        <f>IF(tbl_analysis_tickets[[#This Row],[first_response_minutes]]&gt;tbl_analysis_tickets[[#This Row],[First Response SLA Minutes]],"Breached","Within SLA")</f>
        <v>Within SLA</v>
      </c>
      <c r="O2102" t="str" cm="1">
        <f t="array" ref="O2102">_xlfn.IFS(
tbl_analysis_tickets[[#This Row],[agent_experience_years]]&lt;=2,"Junior",
tbl_analysis_tickets[[#This Row],[agent_experience_years]]&lt;=5,"Mid-Level",
tbl_analysis_tickets[[#This Row],[agent_experience_years]]&lt;=8,"Senior",
tbl_analysis_tickets[[#This Row],[agent_experience_years]]&gt;8,"Expert"
)</f>
        <v>Mid-Level</v>
      </c>
      <c r="P2102" cm="1">
        <f t="array" ref="P2102">_xlfn.SWITCH(tbl_analysis_tickets[[#This Row],[customer_satisfaction]],
"Low",1,
"Medium",2,
"High",3
)</f>
        <v>1</v>
      </c>
      <c r="Q2102">
        <f>IF(tbl_analysis_tickets[[#This Row],[reopened]]="Yes",1,0)</f>
        <v>1</v>
      </c>
      <c r="R2102" t="str" cm="1">
        <f t="array" ref="R2102">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102" t="str" cm="1">
        <f t="array" ref="S210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102" t="str">
        <f>TEXT(tbl_analysis_tickets[[#This Row],[created_date]],"mmm-yyyy")</f>
        <v>Jul-2024</v>
      </c>
      <c r="U2102" t="str">
        <f>TEXT(tbl_analysis_tickets[[#This Row],[created_date]],"dddd")</f>
        <v>Saturday</v>
      </c>
      <c r="V2102" cm="1">
        <f t="array" ref="V2102">_xlfn.SWITCH(tbl_analysis_tickets[[#This Row],[priority]],
"Urgent",1,
"High",2,
"Medium",3,
"Low",4
)</f>
        <v>3</v>
      </c>
    </row>
    <row r="2103" spans="1:22" x14ac:dyDescent="0.25">
      <c r="A2103">
        <v>2102</v>
      </c>
      <c r="B2103" s="1">
        <v>45347</v>
      </c>
      <c r="C2103" t="s">
        <v>23</v>
      </c>
      <c r="D2103" t="s">
        <v>11</v>
      </c>
      <c r="E2103">
        <v>239</v>
      </c>
      <c r="F2103">
        <v>69</v>
      </c>
      <c r="G2103">
        <v>3.3</v>
      </c>
      <c r="H2103" t="s">
        <v>18</v>
      </c>
      <c r="I2103" t="s">
        <v>13</v>
      </c>
      <c r="J2103" t="s">
        <v>11</v>
      </c>
      <c r="K2103">
        <f>_xlfn.XLOOKUP(tbl_analysis_tickets[[#This Row],[priority]],tbl_sla[priority],tbl_sla[Resolution SLA Hours])</f>
        <v>72</v>
      </c>
      <c r="L2103">
        <f>_xlfn.XLOOKUP(tbl_analysis_tickets[[#This Row],[priority]],tbl_sla[priority],tbl_sla[First Response SLA Minutes])</f>
        <v>240</v>
      </c>
      <c r="M2103" t="str">
        <f>IF(tbl_analysis_tickets[[#This Row],[resolution_time_hours]]&gt;tbl_analysis_tickets[[#This Row],[Resolution SLA Hours]],"Breached","Within SLA")</f>
        <v>Within SLA</v>
      </c>
      <c r="N2103" t="str">
        <f>IF(tbl_analysis_tickets[[#This Row],[first_response_minutes]]&gt;tbl_analysis_tickets[[#This Row],[First Response SLA Minutes]],"Breached","Within SLA")</f>
        <v>Within SLA</v>
      </c>
      <c r="O2103" t="str" cm="1">
        <f t="array" ref="O2103">_xlfn.IFS(
tbl_analysis_tickets[[#This Row],[agent_experience_years]]&lt;=2,"Junior",
tbl_analysis_tickets[[#This Row],[agent_experience_years]]&lt;=5,"Mid-Level",
tbl_analysis_tickets[[#This Row],[agent_experience_years]]&lt;=8,"Senior",
tbl_analysis_tickets[[#This Row],[agent_experience_years]]&gt;8,"Expert"
)</f>
        <v>Mid-Level</v>
      </c>
      <c r="P2103" cm="1">
        <f t="array" ref="P2103">_xlfn.SWITCH(tbl_analysis_tickets[[#This Row],[customer_satisfaction]],
"Low",1,
"Medium",2,
"High",3
)</f>
        <v>1</v>
      </c>
      <c r="Q2103">
        <f>IF(tbl_analysis_tickets[[#This Row],[reopened]]="Yes",1,0)</f>
        <v>0</v>
      </c>
      <c r="R2103" t="str" cm="1">
        <f t="array" ref="R2103">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103" t="str" cm="1">
        <f t="array" ref="S210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103" t="str">
        <f>TEXT(tbl_analysis_tickets[[#This Row],[created_date]],"mmm-yyyy")</f>
        <v>Feb-2024</v>
      </c>
      <c r="U2103" t="str">
        <f>TEXT(tbl_analysis_tickets[[#This Row],[created_date]],"dddd")</f>
        <v>Sunday</v>
      </c>
      <c r="V2103" cm="1">
        <f t="array" ref="V2103">_xlfn.SWITCH(tbl_analysis_tickets[[#This Row],[priority]],
"Urgent",1,
"High",2,
"Medium",3,
"Low",4
)</f>
        <v>4</v>
      </c>
    </row>
    <row r="2104" spans="1:22" x14ac:dyDescent="0.25">
      <c r="A2104">
        <v>2103</v>
      </c>
      <c r="B2104" s="1">
        <v>45555</v>
      </c>
      <c r="C2104" t="s">
        <v>14</v>
      </c>
      <c r="D2104" t="s">
        <v>17</v>
      </c>
      <c r="E2104">
        <v>60</v>
      </c>
      <c r="F2104">
        <v>19</v>
      </c>
      <c r="G2104">
        <v>0.5</v>
      </c>
      <c r="H2104" t="s">
        <v>12</v>
      </c>
      <c r="I2104" t="s">
        <v>16</v>
      </c>
      <c r="J2104" t="s">
        <v>11</v>
      </c>
      <c r="K2104">
        <f>_xlfn.XLOOKUP(tbl_analysis_tickets[[#This Row],[priority]],tbl_sla[priority],tbl_sla[Resolution SLA Hours])</f>
        <v>8</v>
      </c>
      <c r="L2104">
        <f>_xlfn.XLOOKUP(tbl_analysis_tickets[[#This Row],[priority]],tbl_sla[priority],tbl_sla[First Response SLA Minutes])</f>
        <v>30</v>
      </c>
      <c r="M2104" t="str">
        <f>IF(tbl_analysis_tickets[[#This Row],[resolution_time_hours]]&gt;tbl_analysis_tickets[[#This Row],[Resolution SLA Hours]],"Breached","Within SLA")</f>
        <v>Breached</v>
      </c>
      <c r="N2104" t="str">
        <f>IF(tbl_analysis_tickets[[#This Row],[first_response_minutes]]&gt;tbl_analysis_tickets[[#This Row],[First Response SLA Minutes]],"Breached","Within SLA")</f>
        <v>Breached</v>
      </c>
      <c r="O2104" t="str" cm="1">
        <f t="array" ref="O2104">_xlfn.IFS(
tbl_analysis_tickets[[#This Row],[agent_experience_years]]&lt;=2,"Junior",
tbl_analysis_tickets[[#This Row],[agent_experience_years]]&lt;=5,"Mid-Level",
tbl_analysis_tickets[[#This Row],[agent_experience_years]]&lt;=8,"Senior",
tbl_analysis_tickets[[#This Row],[agent_experience_years]]&gt;8,"Expert"
)</f>
        <v>Junior</v>
      </c>
      <c r="P2104" cm="1">
        <f t="array" ref="P2104">_xlfn.SWITCH(tbl_analysis_tickets[[#This Row],[customer_satisfaction]],
"Low",1,
"Medium",2,
"High",3
)</f>
        <v>1</v>
      </c>
      <c r="Q2104">
        <f>IF(tbl_analysis_tickets[[#This Row],[reopened]]="Yes",1,0)</f>
        <v>1</v>
      </c>
      <c r="R2104" t="str" cm="1">
        <f t="array" ref="R2104">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104" t="str" cm="1">
        <f t="array" ref="S210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104" t="str">
        <f>TEXT(tbl_analysis_tickets[[#This Row],[created_date]],"mmm-yyyy")</f>
        <v>Sep-2024</v>
      </c>
      <c r="U2104" t="str">
        <f>TEXT(tbl_analysis_tickets[[#This Row],[created_date]],"dddd")</f>
        <v>Friday</v>
      </c>
      <c r="V2104" cm="1">
        <f t="array" ref="V2104">_xlfn.SWITCH(tbl_analysis_tickets[[#This Row],[priority]],
"Urgent",1,
"High",2,
"Medium",3,
"Low",4
)</f>
        <v>1</v>
      </c>
    </row>
    <row r="2105" spans="1:22" x14ac:dyDescent="0.25">
      <c r="A2105">
        <v>2104</v>
      </c>
      <c r="B2105" s="1">
        <v>45604</v>
      </c>
      <c r="C2105" t="s">
        <v>14</v>
      </c>
      <c r="D2105" t="s">
        <v>17</v>
      </c>
      <c r="E2105">
        <v>45</v>
      </c>
      <c r="F2105">
        <v>72</v>
      </c>
      <c r="G2105">
        <v>8.5</v>
      </c>
      <c r="H2105" t="s">
        <v>12</v>
      </c>
      <c r="I2105" t="s">
        <v>16</v>
      </c>
      <c r="J2105" t="s">
        <v>11</v>
      </c>
      <c r="K2105">
        <f>_xlfn.XLOOKUP(tbl_analysis_tickets[[#This Row],[priority]],tbl_sla[priority],tbl_sla[Resolution SLA Hours])</f>
        <v>8</v>
      </c>
      <c r="L2105">
        <f>_xlfn.XLOOKUP(tbl_analysis_tickets[[#This Row],[priority]],tbl_sla[priority],tbl_sla[First Response SLA Minutes])</f>
        <v>30</v>
      </c>
      <c r="M2105" t="str">
        <f>IF(tbl_analysis_tickets[[#This Row],[resolution_time_hours]]&gt;tbl_analysis_tickets[[#This Row],[Resolution SLA Hours]],"Breached","Within SLA")</f>
        <v>Breached</v>
      </c>
      <c r="N2105" t="str">
        <f>IF(tbl_analysis_tickets[[#This Row],[first_response_minutes]]&gt;tbl_analysis_tickets[[#This Row],[First Response SLA Minutes]],"Breached","Within SLA")</f>
        <v>Breached</v>
      </c>
      <c r="O2105" t="str" cm="1">
        <f t="array" ref="O2105">_xlfn.IFS(
tbl_analysis_tickets[[#This Row],[agent_experience_years]]&lt;=2,"Junior",
tbl_analysis_tickets[[#This Row],[agent_experience_years]]&lt;=5,"Mid-Level",
tbl_analysis_tickets[[#This Row],[agent_experience_years]]&lt;=8,"Senior",
tbl_analysis_tickets[[#This Row],[agent_experience_years]]&gt;8,"Expert"
)</f>
        <v>Expert</v>
      </c>
      <c r="P2105" cm="1">
        <f t="array" ref="P2105">_xlfn.SWITCH(tbl_analysis_tickets[[#This Row],[customer_satisfaction]],
"Low",1,
"Medium",2,
"High",3
)</f>
        <v>1</v>
      </c>
      <c r="Q2105">
        <f>IF(tbl_analysis_tickets[[#This Row],[reopened]]="Yes",1,0)</f>
        <v>1</v>
      </c>
      <c r="R2105" t="str" cm="1">
        <f t="array" ref="R2105">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105" t="str" cm="1">
        <f t="array" ref="S210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105" t="str">
        <f>TEXT(tbl_analysis_tickets[[#This Row],[created_date]],"mmm-yyyy")</f>
        <v>Nov-2024</v>
      </c>
      <c r="U2105" t="str">
        <f>TEXT(tbl_analysis_tickets[[#This Row],[created_date]],"dddd")</f>
        <v>Friday</v>
      </c>
      <c r="V2105" cm="1">
        <f t="array" ref="V2105">_xlfn.SWITCH(tbl_analysis_tickets[[#This Row],[priority]],
"Urgent",1,
"High",2,
"Medium",3,
"Low",4
)</f>
        <v>1</v>
      </c>
    </row>
    <row r="2106" spans="1:22" x14ac:dyDescent="0.25">
      <c r="A2106">
        <v>2105</v>
      </c>
      <c r="B2106" s="1">
        <v>45455</v>
      </c>
      <c r="C2106" t="s">
        <v>22</v>
      </c>
      <c r="D2106" t="s">
        <v>17</v>
      </c>
      <c r="E2106">
        <v>89</v>
      </c>
      <c r="F2106">
        <v>22</v>
      </c>
      <c r="G2106">
        <v>2.9</v>
      </c>
      <c r="H2106" t="s">
        <v>18</v>
      </c>
      <c r="I2106" t="s">
        <v>16</v>
      </c>
      <c r="J2106" t="s">
        <v>11</v>
      </c>
      <c r="K2106">
        <f>_xlfn.XLOOKUP(tbl_analysis_tickets[[#This Row],[priority]],tbl_sla[priority],tbl_sla[Resolution SLA Hours])</f>
        <v>8</v>
      </c>
      <c r="L2106">
        <f>_xlfn.XLOOKUP(tbl_analysis_tickets[[#This Row],[priority]],tbl_sla[priority],tbl_sla[First Response SLA Minutes])</f>
        <v>30</v>
      </c>
      <c r="M2106" t="str">
        <f>IF(tbl_analysis_tickets[[#This Row],[resolution_time_hours]]&gt;tbl_analysis_tickets[[#This Row],[Resolution SLA Hours]],"Breached","Within SLA")</f>
        <v>Breached</v>
      </c>
      <c r="N2106" t="str">
        <f>IF(tbl_analysis_tickets[[#This Row],[first_response_minutes]]&gt;tbl_analysis_tickets[[#This Row],[First Response SLA Minutes]],"Breached","Within SLA")</f>
        <v>Breached</v>
      </c>
      <c r="O2106" t="str" cm="1">
        <f t="array" ref="O2106">_xlfn.IFS(
tbl_analysis_tickets[[#This Row],[agent_experience_years]]&lt;=2,"Junior",
tbl_analysis_tickets[[#This Row],[agent_experience_years]]&lt;=5,"Mid-Level",
tbl_analysis_tickets[[#This Row],[agent_experience_years]]&lt;=8,"Senior",
tbl_analysis_tickets[[#This Row],[agent_experience_years]]&gt;8,"Expert"
)</f>
        <v>Mid-Level</v>
      </c>
      <c r="P2106" cm="1">
        <f t="array" ref="P2106">_xlfn.SWITCH(tbl_analysis_tickets[[#This Row],[customer_satisfaction]],
"Low",1,
"Medium",2,
"High",3
)</f>
        <v>1</v>
      </c>
      <c r="Q2106">
        <f>IF(tbl_analysis_tickets[[#This Row],[reopened]]="Yes",1,0)</f>
        <v>0</v>
      </c>
      <c r="R2106" t="str" cm="1">
        <f t="array" ref="R2106">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106" t="str" cm="1">
        <f t="array" ref="S210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106" t="str">
        <f>TEXT(tbl_analysis_tickets[[#This Row],[created_date]],"mmm-yyyy")</f>
        <v>Jun-2024</v>
      </c>
      <c r="U2106" t="str">
        <f>TEXT(tbl_analysis_tickets[[#This Row],[created_date]],"dddd")</f>
        <v>Wednesday</v>
      </c>
      <c r="V2106" cm="1">
        <f t="array" ref="V2106">_xlfn.SWITCH(tbl_analysis_tickets[[#This Row],[priority]],
"Urgent",1,
"High",2,
"Medium",3,
"Low",4
)</f>
        <v>1</v>
      </c>
    </row>
    <row r="2107" spans="1:22" x14ac:dyDescent="0.25">
      <c r="A2107">
        <v>2106</v>
      </c>
      <c r="B2107" s="1">
        <v>45485</v>
      </c>
      <c r="C2107" t="s">
        <v>22</v>
      </c>
      <c r="D2107" t="s">
        <v>15</v>
      </c>
      <c r="E2107">
        <v>47</v>
      </c>
      <c r="F2107">
        <v>33</v>
      </c>
      <c r="G2107">
        <v>8.9</v>
      </c>
      <c r="H2107" t="s">
        <v>12</v>
      </c>
      <c r="I2107" t="s">
        <v>13</v>
      </c>
      <c r="J2107" t="s">
        <v>11</v>
      </c>
      <c r="K2107">
        <f>_xlfn.XLOOKUP(tbl_analysis_tickets[[#This Row],[priority]],tbl_sla[priority],tbl_sla[Resolution SLA Hours])</f>
        <v>48</v>
      </c>
      <c r="L2107">
        <f>_xlfn.XLOOKUP(tbl_analysis_tickets[[#This Row],[priority]],tbl_sla[priority],tbl_sla[First Response SLA Minutes])</f>
        <v>120</v>
      </c>
      <c r="M2107" t="str">
        <f>IF(tbl_analysis_tickets[[#This Row],[resolution_time_hours]]&gt;tbl_analysis_tickets[[#This Row],[Resolution SLA Hours]],"Breached","Within SLA")</f>
        <v>Within SLA</v>
      </c>
      <c r="N2107" t="str">
        <f>IF(tbl_analysis_tickets[[#This Row],[first_response_minutes]]&gt;tbl_analysis_tickets[[#This Row],[First Response SLA Minutes]],"Breached","Within SLA")</f>
        <v>Within SLA</v>
      </c>
      <c r="O2107" t="str" cm="1">
        <f t="array" ref="O2107">_xlfn.IFS(
tbl_analysis_tickets[[#This Row],[agent_experience_years]]&lt;=2,"Junior",
tbl_analysis_tickets[[#This Row],[agent_experience_years]]&lt;=5,"Mid-Level",
tbl_analysis_tickets[[#This Row],[agent_experience_years]]&lt;=8,"Senior",
tbl_analysis_tickets[[#This Row],[agent_experience_years]]&gt;8,"Expert"
)</f>
        <v>Expert</v>
      </c>
      <c r="P2107" cm="1">
        <f t="array" ref="P2107">_xlfn.SWITCH(tbl_analysis_tickets[[#This Row],[customer_satisfaction]],
"Low",1,
"Medium",2,
"High",3
)</f>
        <v>1</v>
      </c>
      <c r="Q2107">
        <f>IF(tbl_analysis_tickets[[#This Row],[reopened]]="Yes",1,0)</f>
        <v>1</v>
      </c>
      <c r="R2107" t="str" cm="1">
        <f t="array" ref="R2107">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107" t="str" cm="1">
        <f t="array" ref="S210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107" t="str">
        <f>TEXT(tbl_analysis_tickets[[#This Row],[created_date]],"mmm-yyyy")</f>
        <v>Jul-2024</v>
      </c>
      <c r="U2107" t="str">
        <f>TEXT(tbl_analysis_tickets[[#This Row],[created_date]],"dddd")</f>
        <v>Friday</v>
      </c>
      <c r="V2107" cm="1">
        <f t="array" ref="V2107">_xlfn.SWITCH(tbl_analysis_tickets[[#This Row],[priority]],
"Urgent",1,
"High",2,
"Medium",3,
"Low",4
)</f>
        <v>3</v>
      </c>
    </row>
    <row r="2108" spans="1:22" x14ac:dyDescent="0.25">
      <c r="A2108">
        <v>2107</v>
      </c>
      <c r="B2108" s="1">
        <v>45424</v>
      </c>
      <c r="C2108" t="s">
        <v>21</v>
      </c>
      <c r="D2108" t="s">
        <v>20</v>
      </c>
      <c r="E2108">
        <v>127</v>
      </c>
      <c r="F2108">
        <v>37</v>
      </c>
      <c r="G2108">
        <v>4.4000000000000004</v>
      </c>
      <c r="H2108" t="s">
        <v>18</v>
      </c>
      <c r="I2108" t="s">
        <v>16</v>
      </c>
      <c r="J2108" t="s">
        <v>11</v>
      </c>
      <c r="K2108">
        <f>_xlfn.XLOOKUP(tbl_analysis_tickets[[#This Row],[priority]],tbl_sla[priority],tbl_sla[Resolution SLA Hours])</f>
        <v>24</v>
      </c>
      <c r="L2108">
        <f>_xlfn.XLOOKUP(tbl_analysis_tickets[[#This Row],[priority]],tbl_sla[priority],tbl_sla[First Response SLA Minutes])</f>
        <v>60</v>
      </c>
      <c r="M2108" t="str">
        <f>IF(tbl_analysis_tickets[[#This Row],[resolution_time_hours]]&gt;tbl_analysis_tickets[[#This Row],[Resolution SLA Hours]],"Breached","Within SLA")</f>
        <v>Breached</v>
      </c>
      <c r="N2108" t="str">
        <f>IF(tbl_analysis_tickets[[#This Row],[first_response_minutes]]&gt;tbl_analysis_tickets[[#This Row],[First Response SLA Minutes]],"Breached","Within SLA")</f>
        <v>Breached</v>
      </c>
      <c r="O2108" t="str" cm="1">
        <f t="array" ref="O2108">_xlfn.IFS(
tbl_analysis_tickets[[#This Row],[agent_experience_years]]&lt;=2,"Junior",
tbl_analysis_tickets[[#This Row],[agent_experience_years]]&lt;=5,"Mid-Level",
tbl_analysis_tickets[[#This Row],[agent_experience_years]]&lt;=8,"Senior",
tbl_analysis_tickets[[#This Row],[agent_experience_years]]&gt;8,"Expert"
)</f>
        <v>Mid-Level</v>
      </c>
      <c r="P2108" cm="1">
        <f t="array" ref="P2108">_xlfn.SWITCH(tbl_analysis_tickets[[#This Row],[customer_satisfaction]],
"Low",1,
"Medium",2,
"High",3
)</f>
        <v>1</v>
      </c>
      <c r="Q2108">
        <f>IF(tbl_analysis_tickets[[#This Row],[reopened]]="Yes",1,0)</f>
        <v>0</v>
      </c>
      <c r="R2108" t="str" cm="1">
        <f t="array" ref="R2108">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108" t="str" cm="1">
        <f t="array" ref="S210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108" t="str">
        <f>TEXT(tbl_analysis_tickets[[#This Row],[created_date]],"mmm-yyyy")</f>
        <v>May-2024</v>
      </c>
      <c r="U2108" t="str">
        <f>TEXT(tbl_analysis_tickets[[#This Row],[created_date]],"dddd")</f>
        <v>Sunday</v>
      </c>
      <c r="V2108" cm="1">
        <f t="array" ref="V2108">_xlfn.SWITCH(tbl_analysis_tickets[[#This Row],[priority]],
"Urgent",1,
"High",2,
"Medium",3,
"Low",4
)</f>
        <v>2</v>
      </c>
    </row>
    <row r="2109" spans="1:22" x14ac:dyDescent="0.25">
      <c r="A2109">
        <v>2108</v>
      </c>
      <c r="B2109" s="1">
        <v>45494</v>
      </c>
      <c r="C2109" t="s">
        <v>14</v>
      </c>
      <c r="D2109" t="s">
        <v>15</v>
      </c>
      <c r="E2109">
        <v>113</v>
      </c>
      <c r="F2109">
        <v>30</v>
      </c>
      <c r="G2109">
        <v>5.8</v>
      </c>
      <c r="H2109" t="s">
        <v>12</v>
      </c>
      <c r="I2109" t="s">
        <v>19</v>
      </c>
      <c r="J2109" t="s">
        <v>11</v>
      </c>
      <c r="K2109">
        <f>_xlfn.XLOOKUP(tbl_analysis_tickets[[#This Row],[priority]],tbl_sla[priority],tbl_sla[Resolution SLA Hours])</f>
        <v>48</v>
      </c>
      <c r="L2109">
        <f>_xlfn.XLOOKUP(tbl_analysis_tickets[[#This Row],[priority]],tbl_sla[priority],tbl_sla[First Response SLA Minutes])</f>
        <v>120</v>
      </c>
      <c r="M2109" t="str">
        <f>IF(tbl_analysis_tickets[[#This Row],[resolution_time_hours]]&gt;tbl_analysis_tickets[[#This Row],[Resolution SLA Hours]],"Breached","Within SLA")</f>
        <v>Within SLA</v>
      </c>
      <c r="N2109" t="str">
        <f>IF(tbl_analysis_tickets[[#This Row],[first_response_minutes]]&gt;tbl_analysis_tickets[[#This Row],[First Response SLA Minutes]],"Breached","Within SLA")</f>
        <v>Within SLA</v>
      </c>
      <c r="O2109" t="str" cm="1">
        <f t="array" ref="O2109">_xlfn.IFS(
tbl_analysis_tickets[[#This Row],[agent_experience_years]]&lt;=2,"Junior",
tbl_analysis_tickets[[#This Row],[agent_experience_years]]&lt;=5,"Mid-Level",
tbl_analysis_tickets[[#This Row],[agent_experience_years]]&lt;=8,"Senior",
tbl_analysis_tickets[[#This Row],[agent_experience_years]]&gt;8,"Expert"
)</f>
        <v>Senior</v>
      </c>
      <c r="P2109" cm="1">
        <f t="array" ref="P2109">_xlfn.SWITCH(tbl_analysis_tickets[[#This Row],[customer_satisfaction]],
"Low",1,
"Medium",2,
"High",3
)</f>
        <v>1</v>
      </c>
      <c r="Q2109">
        <f>IF(tbl_analysis_tickets[[#This Row],[reopened]]="Yes",1,0)</f>
        <v>1</v>
      </c>
      <c r="R2109" t="str" cm="1">
        <f t="array" ref="R2109">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109" t="str" cm="1">
        <f t="array" ref="S210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109" t="str">
        <f>TEXT(tbl_analysis_tickets[[#This Row],[created_date]],"mmm-yyyy")</f>
        <v>Jul-2024</v>
      </c>
      <c r="U2109" t="str">
        <f>TEXT(tbl_analysis_tickets[[#This Row],[created_date]],"dddd")</f>
        <v>Sunday</v>
      </c>
      <c r="V2109" cm="1">
        <f t="array" ref="V2109">_xlfn.SWITCH(tbl_analysis_tickets[[#This Row],[priority]],
"Urgent",1,
"High",2,
"Medium",3,
"Low",4
)</f>
        <v>3</v>
      </c>
    </row>
    <row r="2110" spans="1:22" x14ac:dyDescent="0.25">
      <c r="A2110">
        <v>2109</v>
      </c>
      <c r="B2110" s="1">
        <v>45413</v>
      </c>
      <c r="C2110" t="s">
        <v>23</v>
      </c>
      <c r="D2110" t="s">
        <v>17</v>
      </c>
      <c r="E2110">
        <v>164</v>
      </c>
      <c r="F2110">
        <v>63</v>
      </c>
      <c r="G2110">
        <v>2.8</v>
      </c>
      <c r="H2110" t="s">
        <v>12</v>
      </c>
      <c r="I2110" t="s">
        <v>13</v>
      </c>
      <c r="J2110" t="s">
        <v>11</v>
      </c>
      <c r="K2110">
        <f>_xlfn.XLOOKUP(tbl_analysis_tickets[[#This Row],[priority]],tbl_sla[priority],tbl_sla[Resolution SLA Hours])</f>
        <v>8</v>
      </c>
      <c r="L2110">
        <f>_xlfn.XLOOKUP(tbl_analysis_tickets[[#This Row],[priority]],tbl_sla[priority],tbl_sla[First Response SLA Minutes])</f>
        <v>30</v>
      </c>
      <c r="M2110" t="str">
        <f>IF(tbl_analysis_tickets[[#This Row],[resolution_time_hours]]&gt;tbl_analysis_tickets[[#This Row],[Resolution SLA Hours]],"Breached","Within SLA")</f>
        <v>Breached</v>
      </c>
      <c r="N2110" t="str">
        <f>IF(tbl_analysis_tickets[[#This Row],[first_response_minutes]]&gt;tbl_analysis_tickets[[#This Row],[First Response SLA Minutes]],"Breached","Within SLA")</f>
        <v>Breached</v>
      </c>
      <c r="O2110" t="str" cm="1">
        <f t="array" ref="O2110">_xlfn.IFS(
tbl_analysis_tickets[[#This Row],[agent_experience_years]]&lt;=2,"Junior",
tbl_analysis_tickets[[#This Row],[agent_experience_years]]&lt;=5,"Mid-Level",
tbl_analysis_tickets[[#This Row],[agent_experience_years]]&lt;=8,"Senior",
tbl_analysis_tickets[[#This Row],[agent_experience_years]]&gt;8,"Expert"
)</f>
        <v>Mid-Level</v>
      </c>
      <c r="P2110" cm="1">
        <f t="array" ref="P2110">_xlfn.SWITCH(tbl_analysis_tickets[[#This Row],[customer_satisfaction]],
"Low",1,
"Medium",2,
"High",3
)</f>
        <v>1</v>
      </c>
      <c r="Q2110">
        <f>IF(tbl_analysis_tickets[[#This Row],[reopened]]="Yes",1,0)</f>
        <v>1</v>
      </c>
      <c r="R2110" t="str" cm="1">
        <f t="array" ref="R2110">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110" t="str" cm="1">
        <f t="array" ref="S211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110" t="str">
        <f>TEXT(tbl_analysis_tickets[[#This Row],[created_date]],"mmm-yyyy")</f>
        <v>May-2024</v>
      </c>
      <c r="U2110" t="str">
        <f>TEXT(tbl_analysis_tickets[[#This Row],[created_date]],"dddd")</f>
        <v>Wednesday</v>
      </c>
      <c r="V2110" cm="1">
        <f t="array" ref="V2110">_xlfn.SWITCH(tbl_analysis_tickets[[#This Row],[priority]],
"Urgent",1,
"High",2,
"Medium",3,
"Low",4
)</f>
        <v>1</v>
      </c>
    </row>
    <row r="2111" spans="1:22" x14ac:dyDescent="0.25">
      <c r="A2111">
        <v>2110</v>
      </c>
      <c r="B2111" s="1">
        <v>45484</v>
      </c>
      <c r="C2111" t="s">
        <v>23</v>
      </c>
      <c r="D2111" t="s">
        <v>20</v>
      </c>
      <c r="E2111">
        <v>94</v>
      </c>
      <c r="F2111">
        <v>30</v>
      </c>
      <c r="G2111">
        <v>6.7</v>
      </c>
      <c r="H2111" t="s">
        <v>12</v>
      </c>
      <c r="I2111" t="s">
        <v>19</v>
      </c>
      <c r="J2111" t="s">
        <v>11</v>
      </c>
      <c r="K2111">
        <f>_xlfn.XLOOKUP(tbl_analysis_tickets[[#This Row],[priority]],tbl_sla[priority],tbl_sla[Resolution SLA Hours])</f>
        <v>24</v>
      </c>
      <c r="L2111">
        <f>_xlfn.XLOOKUP(tbl_analysis_tickets[[#This Row],[priority]],tbl_sla[priority],tbl_sla[First Response SLA Minutes])</f>
        <v>60</v>
      </c>
      <c r="M2111" t="str">
        <f>IF(tbl_analysis_tickets[[#This Row],[resolution_time_hours]]&gt;tbl_analysis_tickets[[#This Row],[Resolution SLA Hours]],"Breached","Within SLA")</f>
        <v>Breached</v>
      </c>
      <c r="N2111" t="str">
        <f>IF(tbl_analysis_tickets[[#This Row],[first_response_minutes]]&gt;tbl_analysis_tickets[[#This Row],[First Response SLA Minutes]],"Breached","Within SLA")</f>
        <v>Breached</v>
      </c>
      <c r="O2111" t="str" cm="1">
        <f t="array" ref="O2111">_xlfn.IFS(
tbl_analysis_tickets[[#This Row],[agent_experience_years]]&lt;=2,"Junior",
tbl_analysis_tickets[[#This Row],[agent_experience_years]]&lt;=5,"Mid-Level",
tbl_analysis_tickets[[#This Row],[agent_experience_years]]&lt;=8,"Senior",
tbl_analysis_tickets[[#This Row],[agent_experience_years]]&gt;8,"Expert"
)</f>
        <v>Senior</v>
      </c>
      <c r="P2111" cm="1">
        <f t="array" ref="P2111">_xlfn.SWITCH(tbl_analysis_tickets[[#This Row],[customer_satisfaction]],
"Low",1,
"Medium",2,
"High",3
)</f>
        <v>1</v>
      </c>
      <c r="Q2111">
        <f>IF(tbl_analysis_tickets[[#This Row],[reopened]]="Yes",1,0)</f>
        <v>1</v>
      </c>
      <c r="R2111" t="str" cm="1">
        <f t="array" ref="R2111">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111" t="str" cm="1">
        <f t="array" ref="S211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111" t="str">
        <f>TEXT(tbl_analysis_tickets[[#This Row],[created_date]],"mmm-yyyy")</f>
        <v>Jul-2024</v>
      </c>
      <c r="U2111" t="str">
        <f>TEXT(tbl_analysis_tickets[[#This Row],[created_date]],"dddd")</f>
        <v>Thursday</v>
      </c>
      <c r="V2111" cm="1">
        <f t="array" ref="V2111">_xlfn.SWITCH(tbl_analysis_tickets[[#This Row],[priority]],
"Urgent",1,
"High",2,
"Medium",3,
"Low",4
)</f>
        <v>2</v>
      </c>
    </row>
    <row r="2112" spans="1:22" x14ac:dyDescent="0.25">
      <c r="A2112">
        <v>2111</v>
      </c>
      <c r="B2112" s="1">
        <v>45569</v>
      </c>
      <c r="C2112" t="s">
        <v>21</v>
      </c>
      <c r="D2112" t="s">
        <v>20</v>
      </c>
      <c r="E2112">
        <v>102</v>
      </c>
      <c r="F2112">
        <v>46</v>
      </c>
      <c r="G2112">
        <v>9.6999999999999993</v>
      </c>
      <c r="H2112" t="s">
        <v>18</v>
      </c>
      <c r="I2112" t="s">
        <v>16</v>
      </c>
      <c r="J2112" t="s">
        <v>11</v>
      </c>
      <c r="K2112">
        <f>_xlfn.XLOOKUP(tbl_analysis_tickets[[#This Row],[priority]],tbl_sla[priority],tbl_sla[Resolution SLA Hours])</f>
        <v>24</v>
      </c>
      <c r="L2112">
        <f>_xlfn.XLOOKUP(tbl_analysis_tickets[[#This Row],[priority]],tbl_sla[priority],tbl_sla[First Response SLA Minutes])</f>
        <v>60</v>
      </c>
      <c r="M2112" t="str">
        <f>IF(tbl_analysis_tickets[[#This Row],[resolution_time_hours]]&gt;tbl_analysis_tickets[[#This Row],[Resolution SLA Hours]],"Breached","Within SLA")</f>
        <v>Breached</v>
      </c>
      <c r="N2112" t="str">
        <f>IF(tbl_analysis_tickets[[#This Row],[first_response_minutes]]&gt;tbl_analysis_tickets[[#This Row],[First Response SLA Minutes]],"Breached","Within SLA")</f>
        <v>Breached</v>
      </c>
      <c r="O2112" t="str" cm="1">
        <f t="array" ref="O2112">_xlfn.IFS(
tbl_analysis_tickets[[#This Row],[agent_experience_years]]&lt;=2,"Junior",
tbl_analysis_tickets[[#This Row],[agent_experience_years]]&lt;=5,"Mid-Level",
tbl_analysis_tickets[[#This Row],[agent_experience_years]]&lt;=8,"Senior",
tbl_analysis_tickets[[#This Row],[agent_experience_years]]&gt;8,"Expert"
)</f>
        <v>Expert</v>
      </c>
      <c r="P2112" cm="1">
        <f t="array" ref="P2112">_xlfn.SWITCH(tbl_analysis_tickets[[#This Row],[customer_satisfaction]],
"Low",1,
"Medium",2,
"High",3
)</f>
        <v>1</v>
      </c>
      <c r="Q2112">
        <f>IF(tbl_analysis_tickets[[#This Row],[reopened]]="Yes",1,0)</f>
        <v>0</v>
      </c>
      <c r="R2112" t="str" cm="1">
        <f t="array" ref="R2112">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112" t="str" cm="1">
        <f t="array" ref="S211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112" t="str">
        <f>TEXT(tbl_analysis_tickets[[#This Row],[created_date]],"mmm-yyyy")</f>
        <v>Oct-2024</v>
      </c>
      <c r="U2112" t="str">
        <f>TEXT(tbl_analysis_tickets[[#This Row],[created_date]],"dddd")</f>
        <v>Friday</v>
      </c>
      <c r="V2112" cm="1">
        <f t="array" ref="V2112">_xlfn.SWITCH(tbl_analysis_tickets[[#This Row],[priority]],
"Urgent",1,
"High",2,
"Medium",3,
"Low",4
)</f>
        <v>2</v>
      </c>
    </row>
    <row r="2113" spans="1:22" x14ac:dyDescent="0.25">
      <c r="A2113">
        <v>2112</v>
      </c>
      <c r="B2113" s="1">
        <v>45475</v>
      </c>
      <c r="C2113" t="s">
        <v>22</v>
      </c>
      <c r="D2113" t="s">
        <v>11</v>
      </c>
      <c r="E2113">
        <v>147</v>
      </c>
      <c r="F2113">
        <v>65</v>
      </c>
      <c r="G2113">
        <v>5.2</v>
      </c>
      <c r="H2113" t="s">
        <v>18</v>
      </c>
      <c r="I2113" t="s">
        <v>13</v>
      </c>
      <c r="J2113" t="s">
        <v>15</v>
      </c>
      <c r="K2113">
        <f>_xlfn.XLOOKUP(tbl_analysis_tickets[[#This Row],[priority]],tbl_sla[priority],tbl_sla[Resolution SLA Hours])</f>
        <v>72</v>
      </c>
      <c r="L2113">
        <f>_xlfn.XLOOKUP(tbl_analysis_tickets[[#This Row],[priority]],tbl_sla[priority],tbl_sla[First Response SLA Minutes])</f>
        <v>240</v>
      </c>
      <c r="M2113" t="str">
        <f>IF(tbl_analysis_tickets[[#This Row],[resolution_time_hours]]&gt;tbl_analysis_tickets[[#This Row],[Resolution SLA Hours]],"Breached","Within SLA")</f>
        <v>Within SLA</v>
      </c>
      <c r="N2113" t="str">
        <f>IF(tbl_analysis_tickets[[#This Row],[first_response_minutes]]&gt;tbl_analysis_tickets[[#This Row],[First Response SLA Minutes]],"Breached","Within SLA")</f>
        <v>Within SLA</v>
      </c>
      <c r="O2113" t="str" cm="1">
        <f t="array" ref="O2113">_xlfn.IFS(
tbl_analysis_tickets[[#This Row],[agent_experience_years]]&lt;=2,"Junior",
tbl_analysis_tickets[[#This Row],[agent_experience_years]]&lt;=5,"Mid-Level",
tbl_analysis_tickets[[#This Row],[agent_experience_years]]&lt;=8,"Senior",
tbl_analysis_tickets[[#This Row],[agent_experience_years]]&gt;8,"Expert"
)</f>
        <v>Senior</v>
      </c>
      <c r="P2113" cm="1">
        <f t="array" ref="P2113">_xlfn.SWITCH(tbl_analysis_tickets[[#This Row],[customer_satisfaction]],
"Low",1,
"Medium",2,
"High",3
)</f>
        <v>2</v>
      </c>
      <c r="Q2113">
        <f>IF(tbl_analysis_tickets[[#This Row],[reopened]]="Yes",1,0)</f>
        <v>0</v>
      </c>
      <c r="R2113" t="str" cm="1">
        <f t="array" ref="R2113">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113" t="str" cm="1">
        <f t="array" ref="S211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113" t="str">
        <f>TEXT(tbl_analysis_tickets[[#This Row],[created_date]],"mmm-yyyy")</f>
        <v>Jul-2024</v>
      </c>
      <c r="U2113" t="str">
        <f>TEXT(tbl_analysis_tickets[[#This Row],[created_date]],"dddd")</f>
        <v>Tuesday</v>
      </c>
      <c r="V2113" cm="1">
        <f t="array" ref="V2113">_xlfn.SWITCH(tbl_analysis_tickets[[#This Row],[priority]],
"Urgent",1,
"High",2,
"Medium",3,
"Low",4
)</f>
        <v>4</v>
      </c>
    </row>
    <row r="2114" spans="1:22" x14ac:dyDescent="0.25">
      <c r="A2114">
        <v>2113</v>
      </c>
      <c r="B2114" s="1">
        <v>45462</v>
      </c>
      <c r="C2114" t="s">
        <v>14</v>
      </c>
      <c r="D2114" t="s">
        <v>20</v>
      </c>
      <c r="E2114">
        <v>128</v>
      </c>
      <c r="F2114">
        <v>15</v>
      </c>
      <c r="G2114">
        <v>2</v>
      </c>
      <c r="H2114" t="s">
        <v>18</v>
      </c>
      <c r="I2114" t="s">
        <v>19</v>
      </c>
      <c r="J2114" t="s">
        <v>11</v>
      </c>
      <c r="K2114">
        <f>_xlfn.XLOOKUP(tbl_analysis_tickets[[#This Row],[priority]],tbl_sla[priority],tbl_sla[Resolution SLA Hours])</f>
        <v>24</v>
      </c>
      <c r="L2114">
        <f>_xlfn.XLOOKUP(tbl_analysis_tickets[[#This Row],[priority]],tbl_sla[priority],tbl_sla[First Response SLA Minutes])</f>
        <v>60</v>
      </c>
      <c r="M2114" t="str">
        <f>IF(tbl_analysis_tickets[[#This Row],[resolution_time_hours]]&gt;tbl_analysis_tickets[[#This Row],[Resolution SLA Hours]],"Breached","Within SLA")</f>
        <v>Within SLA</v>
      </c>
      <c r="N2114" t="str">
        <f>IF(tbl_analysis_tickets[[#This Row],[first_response_minutes]]&gt;tbl_analysis_tickets[[#This Row],[First Response SLA Minutes]],"Breached","Within SLA")</f>
        <v>Breached</v>
      </c>
      <c r="O2114" t="str" cm="1">
        <f t="array" ref="O2114">_xlfn.IFS(
tbl_analysis_tickets[[#This Row],[agent_experience_years]]&lt;=2,"Junior",
tbl_analysis_tickets[[#This Row],[agent_experience_years]]&lt;=5,"Mid-Level",
tbl_analysis_tickets[[#This Row],[agent_experience_years]]&lt;=8,"Senior",
tbl_analysis_tickets[[#This Row],[agent_experience_years]]&gt;8,"Expert"
)</f>
        <v>Junior</v>
      </c>
      <c r="P2114" cm="1">
        <f t="array" ref="P2114">_xlfn.SWITCH(tbl_analysis_tickets[[#This Row],[customer_satisfaction]],
"Low",1,
"Medium",2,
"High",3
)</f>
        <v>1</v>
      </c>
      <c r="Q2114">
        <f>IF(tbl_analysis_tickets[[#This Row],[reopened]]="Yes",1,0)</f>
        <v>0</v>
      </c>
      <c r="R2114" t="str" cm="1">
        <f t="array" ref="R2114">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114" t="str" cm="1">
        <f t="array" ref="S211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114" t="str">
        <f>TEXT(tbl_analysis_tickets[[#This Row],[created_date]],"mmm-yyyy")</f>
        <v>Jun-2024</v>
      </c>
      <c r="U2114" t="str">
        <f>TEXT(tbl_analysis_tickets[[#This Row],[created_date]],"dddd")</f>
        <v>Wednesday</v>
      </c>
      <c r="V2114" cm="1">
        <f t="array" ref="V2114">_xlfn.SWITCH(tbl_analysis_tickets[[#This Row],[priority]],
"Urgent",1,
"High",2,
"Medium",3,
"Low",4
)</f>
        <v>2</v>
      </c>
    </row>
    <row r="2115" spans="1:22" x14ac:dyDescent="0.25">
      <c r="A2115">
        <v>2114</v>
      </c>
      <c r="B2115" s="1">
        <v>45584</v>
      </c>
      <c r="C2115" t="s">
        <v>21</v>
      </c>
      <c r="D2115" t="s">
        <v>17</v>
      </c>
      <c r="E2115">
        <v>95</v>
      </c>
      <c r="F2115">
        <v>63</v>
      </c>
      <c r="G2115">
        <v>6.8</v>
      </c>
      <c r="H2115" t="s">
        <v>12</v>
      </c>
      <c r="I2115" t="s">
        <v>16</v>
      </c>
      <c r="J2115" t="s">
        <v>11</v>
      </c>
      <c r="K2115">
        <f>_xlfn.XLOOKUP(tbl_analysis_tickets[[#This Row],[priority]],tbl_sla[priority],tbl_sla[Resolution SLA Hours])</f>
        <v>8</v>
      </c>
      <c r="L2115">
        <f>_xlfn.XLOOKUP(tbl_analysis_tickets[[#This Row],[priority]],tbl_sla[priority],tbl_sla[First Response SLA Minutes])</f>
        <v>30</v>
      </c>
      <c r="M2115" t="str">
        <f>IF(tbl_analysis_tickets[[#This Row],[resolution_time_hours]]&gt;tbl_analysis_tickets[[#This Row],[Resolution SLA Hours]],"Breached","Within SLA")</f>
        <v>Breached</v>
      </c>
      <c r="N2115" t="str">
        <f>IF(tbl_analysis_tickets[[#This Row],[first_response_minutes]]&gt;tbl_analysis_tickets[[#This Row],[First Response SLA Minutes]],"Breached","Within SLA")</f>
        <v>Breached</v>
      </c>
      <c r="O2115" t="str" cm="1">
        <f t="array" ref="O2115">_xlfn.IFS(
tbl_analysis_tickets[[#This Row],[agent_experience_years]]&lt;=2,"Junior",
tbl_analysis_tickets[[#This Row],[agent_experience_years]]&lt;=5,"Mid-Level",
tbl_analysis_tickets[[#This Row],[agent_experience_years]]&lt;=8,"Senior",
tbl_analysis_tickets[[#This Row],[agent_experience_years]]&gt;8,"Expert"
)</f>
        <v>Senior</v>
      </c>
      <c r="P2115" cm="1">
        <f t="array" ref="P2115">_xlfn.SWITCH(tbl_analysis_tickets[[#This Row],[customer_satisfaction]],
"Low",1,
"Medium",2,
"High",3
)</f>
        <v>1</v>
      </c>
      <c r="Q2115">
        <f>IF(tbl_analysis_tickets[[#This Row],[reopened]]="Yes",1,0)</f>
        <v>1</v>
      </c>
      <c r="R2115" t="str" cm="1">
        <f t="array" ref="R2115">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115" t="str" cm="1">
        <f t="array" ref="S211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115" t="str">
        <f>TEXT(tbl_analysis_tickets[[#This Row],[created_date]],"mmm-yyyy")</f>
        <v>Oct-2024</v>
      </c>
      <c r="U2115" t="str">
        <f>TEXT(tbl_analysis_tickets[[#This Row],[created_date]],"dddd")</f>
        <v>Saturday</v>
      </c>
      <c r="V2115" cm="1">
        <f t="array" ref="V2115">_xlfn.SWITCH(tbl_analysis_tickets[[#This Row],[priority]],
"Urgent",1,
"High",2,
"Medium",3,
"Low",4
)</f>
        <v>1</v>
      </c>
    </row>
    <row r="2116" spans="1:22" x14ac:dyDescent="0.25">
      <c r="A2116">
        <v>2115</v>
      </c>
      <c r="B2116" s="1">
        <v>45619</v>
      </c>
      <c r="C2116" t="s">
        <v>21</v>
      </c>
      <c r="D2116" t="s">
        <v>17</v>
      </c>
      <c r="E2116">
        <v>7</v>
      </c>
      <c r="F2116">
        <v>67</v>
      </c>
      <c r="G2116">
        <v>4.3</v>
      </c>
      <c r="H2116" t="s">
        <v>12</v>
      </c>
      <c r="I2116" t="s">
        <v>19</v>
      </c>
      <c r="J2116" t="s">
        <v>11</v>
      </c>
      <c r="K2116">
        <f>_xlfn.XLOOKUP(tbl_analysis_tickets[[#This Row],[priority]],tbl_sla[priority],tbl_sla[Resolution SLA Hours])</f>
        <v>8</v>
      </c>
      <c r="L2116">
        <f>_xlfn.XLOOKUP(tbl_analysis_tickets[[#This Row],[priority]],tbl_sla[priority],tbl_sla[First Response SLA Minutes])</f>
        <v>30</v>
      </c>
      <c r="M2116" t="str">
        <f>IF(tbl_analysis_tickets[[#This Row],[resolution_time_hours]]&gt;tbl_analysis_tickets[[#This Row],[Resolution SLA Hours]],"Breached","Within SLA")</f>
        <v>Breached</v>
      </c>
      <c r="N2116" t="str">
        <f>IF(tbl_analysis_tickets[[#This Row],[first_response_minutes]]&gt;tbl_analysis_tickets[[#This Row],[First Response SLA Minutes]],"Breached","Within SLA")</f>
        <v>Within SLA</v>
      </c>
      <c r="O2116" t="str" cm="1">
        <f t="array" ref="O2116">_xlfn.IFS(
tbl_analysis_tickets[[#This Row],[agent_experience_years]]&lt;=2,"Junior",
tbl_analysis_tickets[[#This Row],[agent_experience_years]]&lt;=5,"Mid-Level",
tbl_analysis_tickets[[#This Row],[agent_experience_years]]&lt;=8,"Senior",
tbl_analysis_tickets[[#This Row],[agent_experience_years]]&gt;8,"Expert"
)</f>
        <v>Mid-Level</v>
      </c>
      <c r="P2116" cm="1">
        <f t="array" ref="P2116">_xlfn.SWITCH(tbl_analysis_tickets[[#This Row],[customer_satisfaction]],
"Low",1,
"Medium",2,
"High",3
)</f>
        <v>1</v>
      </c>
      <c r="Q2116">
        <f>IF(tbl_analysis_tickets[[#This Row],[reopened]]="Yes",1,0)</f>
        <v>1</v>
      </c>
      <c r="R2116" t="str" cm="1">
        <f t="array" ref="R2116">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2116" t="str" cm="1">
        <f t="array" ref="S211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116" t="str">
        <f>TEXT(tbl_analysis_tickets[[#This Row],[created_date]],"mmm-yyyy")</f>
        <v>Nov-2024</v>
      </c>
      <c r="U2116" t="str">
        <f>TEXT(tbl_analysis_tickets[[#This Row],[created_date]],"dddd")</f>
        <v>Saturday</v>
      </c>
      <c r="V2116" cm="1">
        <f t="array" ref="V2116">_xlfn.SWITCH(tbl_analysis_tickets[[#This Row],[priority]],
"Urgent",1,
"High",2,
"Medium",3,
"Low",4
)</f>
        <v>1</v>
      </c>
    </row>
    <row r="2117" spans="1:22" x14ac:dyDescent="0.25">
      <c r="A2117">
        <v>2116</v>
      </c>
      <c r="B2117" s="1">
        <v>45340</v>
      </c>
      <c r="C2117" t="s">
        <v>21</v>
      </c>
      <c r="D2117" t="s">
        <v>20</v>
      </c>
      <c r="E2117">
        <v>87</v>
      </c>
      <c r="F2117">
        <v>10</v>
      </c>
      <c r="G2117">
        <v>3.8</v>
      </c>
      <c r="H2117" t="s">
        <v>12</v>
      </c>
      <c r="I2117" t="s">
        <v>16</v>
      </c>
      <c r="J2117" t="s">
        <v>11</v>
      </c>
      <c r="K2117">
        <f>_xlfn.XLOOKUP(tbl_analysis_tickets[[#This Row],[priority]],tbl_sla[priority],tbl_sla[Resolution SLA Hours])</f>
        <v>24</v>
      </c>
      <c r="L2117">
        <f>_xlfn.XLOOKUP(tbl_analysis_tickets[[#This Row],[priority]],tbl_sla[priority],tbl_sla[First Response SLA Minutes])</f>
        <v>60</v>
      </c>
      <c r="M2117" t="str">
        <f>IF(tbl_analysis_tickets[[#This Row],[resolution_time_hours]]&gt;tbl_analysis_tickets[[#This Row],[Resolution SLA Hours]],"Breached","Within SLA")</f>
        <v>Within SLA</v>
      </c>
      <c r="N2117" t="str">
        <f>IF(tbl_analysis_tickets[[#This Row],[first_response_minutes]]&gt;tbl_analysis_tickets[[#This Row],[First Response SLA Minutes]],"Breached","Within SLA")</f>
        <v>Breached</v>
      </c>
      <c r="O2117" t="str" cm="1">
        <f t="array" ref="O2117">_xlfn.IFS(
tbl_analysis_tickets[[#This Row],[agent_experience_years]]&lt;=2,"Junior",
tbl_analysis_tickets[[#This Row],[agent_experience_years]]&lt;=5,"Mid-Level",
tbl_analysis_tickets[[#This Row],[agent_experience_years]]&lt;=8,"Senior",
tbl_analysis_tickets[[#This Row],[agent_experience_years]]&gt;8,"Expert"
)</f>
        <v>Mid-Level</v>
      </c>
      <c r="P2117" cm="1">
        <f t="array" ref="P2117">_xlfn.SWITCH(tbl_analysis_tickets[[#This Row],[customer_satisfaction]],
"Low",1,
"Medium",2,
"High",3
)</f>
        <v>1</v>
      </c>
      <c r="Q2117">
        <f>IF(tbl_analysis_tickets[[#This Row],[reopened]]="Yes",1,0)</f>
        <v>1</v>
      </c>
      <c r="R2117" t="str" cm="1">
        <f t="array" ref="R2117">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117" t="str" cm="1">
        <f t="array" ref="S211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117" t="str">
        <f>TEXT(tbl_analysis_tickets[[#This Row],[created_date]],"mmm-yyyy")</f>
        <v>Feb-2024</v>
      </c>
      <c r="U2117" t="str">
        <f>TEXT(tbl_analysis_tickets[[#This Row],[created_date]],"dddd")</f>
        <v>Sunday</v>
      </c>
      <c r="V2117" cm="1">
        <f t="array" ref="V2117">_xlfn.SWITCH(tbl_analysis_tickets[[#This Row],[priority]],
"Urgent",1,
"High",2,
"Medium",3,
"Low",4
)</f>
        <v>2</v>
      </c>
    </row>
    <row r="2118" spans="1:22" x14ac:dyDescent="0.25">
      <c r="A2118">
        <v>2117</v>
      </c>
      <c r="B2118" s="1">
        <v>45428</v>
      </c>
      <c r="C2118" t="s">
        <v>10</v>
      </c>
      <c r="D2118" t="s">
        <v>15</v>
      </c>
      <c r="E2118">
        <v>225</v>
      </c>
      <c r="F2118">
        <v>28</v>
      </c>
      <c r="G2118">
        <v>2.6</v>
      </c>
      <c r="H2118" t="s">
        <v>18</v>
      </c>
      <c r="I2118" t="s">
        <v>19</v>
      </c>
      <c r="J2118" t="s">
        <v>11</v>
      </c>
      <c r="K2118">
        <f>_xlfn.XLOOKUP(tbl_analysis_tickets[[#This Row],[priority]],tbl_sla[priority],tbl_sla[Resolution SLA Hours])</f>
        <v>48</v>
      </c>
      <c r="L2118">
        <f>_xlfn.XLOOKUP(tbl_analysis_tickets[[#This Row],[priority]],tbl_sla[priority],tbl_sla[First Response SLA Minutes])</f>
        <v>120</v>
      </c>
      <c r="M2118" t="str">
        <f>IF(tbl_analysis_tickets[[#This Row],[resolution_time_hours]]&gt;tbl_analysis_tickets[[#This Row],[Resolution SLA Hours]],"Breached","Within SLA")</f>
        <v>Within SLA</v>
      </c>
      <c r="N2118" t="str">
        <f>IF(tbl_analysis_tickets[[#This Row],[first_response_minutes]]&gt;tbl_analysis_tickets[[#This Row],[First Response SLA Minutes]],"Breached","Within SLA")</f>
        <v>Breached</v>
      </c>
      <c r="O2118" t="str" cm="1">
        <f t="array" ref="O2118">_xlfn.IFS(
tbl_analysis_tickets[[#This Row],[agent_experience_years]]&lt;=2,"Junior",
tbl_analysis_tickets[[#This Row],[agent_experience_years]]&lt;=5,"Mid-Level",
tbl_analysis_tickets[[#This Row],[agent_experience_years]]&lt;=8,"Senior",
tbl_analysis_tickets[[#This Row],[agent_experience_years]]&gt;8,"Expert"
)</f>
        <v>Mid-Level</v>
      </c>
      <c r="P2118" cm="1">
        <f t="array" ref="P2118">_xlfn.SWITCH(tbl_analysis_tickets[[#This Row],[customer_satisfaction]],
"Low",1,
"Medium",2,
"High",3
)</f>
        <v>1</v>
      </c>
      <c r="Q2118">
        <f>IF(tbl_analysis_tickets[[#This Row],[reopened]]="Yes",1,0)</f>
        <v>0</v>
      </c>
      <c r="R2118" t="str" cm="1">
        <f t="array" ref="R2118">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118" t="str" cm="1">
        <f t="array" ref="S211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118" t="str">
        <f>TEXT(tbl_analysis_tickets[[#This Row],[created_date]],"mmm-yyyy")</f>
        <v>May-2024</v>
      </c>
      <c r="U2118" t="str">
        <f>TEXT(tbl_analysis_tickets[[#This Row],[created_date]],"dddd")</f>
        <v>Thursday</v>
      </c>
      <c r="V2118" cm="1">
        <f t="array" ref="V2118">_xlfn.SWITCH(tbl_analysis_tickets[[#This Row],[priority]],
"Urgent",1,
"High",2,
"Medium",3,
"Low",4
)</f>
        <v>3</v>
      </c>
    </row>
    <row r="2119" spans="1:22" x14ac:dyDescent="0.25">
      <c r="A2119">
        <v>2118</v>
      </c>
      <c r="B2119" s="1">
        <v>45514</v>
      </c>
      <c r="C2119" t="s">
        <v>10</v>
      </c>
      <c r="D2119" t="s">
        <v>20</v>
      </c>
      <c r="E2119">
        <v>115</v>
      </c>
      <c r="F2119">
        <v>16</v>
      </c>
      <c r="G2119">
        <v>7.7</v>
      </c>
      <c r="H2119" t="s">
        <v>18</v>
      </c>
      <c r="I2119" t="s">
        <v>16</v>
      </c>
      <c r="J2119" t="s">
        <v>11</v>
      </c>
      <c r="K2119">
        <f>_xlfn.XLOOKUP(tbl_analysis_tickets[[#This Row],[priority]],tbl_sla[priority],tbl_sla[Resolution SLA Hours])</f>
        <v>24</v>
      </c>
      <c r="L2119">
        <f>_xlfn.XLOOKUP(tbl_analysis_tickets[[#This Row],[priority]],tbl_sla[priority],tbl_sla[First Response SLA Minutes])</f>
        <v>60</v>
      </c>
      <c r="M2119" t="str">
        <f>IF(tbl_analysis_tickets[[#This Row],[resolution_time_hours]]&gt;tbl_analysis_tickets[[#This Row],[Resolution SLA Hours]],"Breached","Within SLA")</f>
        <v>Within SLA</v>
      </c>
      <c r="N2119" t="str">
        <f>IF(tbl_analysis_tickets[[#This Row],[first_response_minutes]]&gt;tbl_analysis_tickets[[#This Row],[First Response SLA Minutes]],"Breached","Within SLA")</f>
        <v>Breached</v>
      </c>
      <c r="O2119" t="str" cm="1">
        <f t="array" ref="O2119">_xlfn.IFS(
tbl_analysis_tickets[[#This Row],[agent_experience_years]]&lt;=2,"Junior",
tbl_analysis_tickets[[#This Row],[agent_experience_years]]&lt;=5,"Mid-Level",
tbl_analysis_tickets[[#This Row],[agent_experience_years]]&lt;=8,"Senior",
tbl_analysis_tickets[[#This Row],[agent_experience_years]]&gt;8,"Expert"
)</f>
        <v>Senior</v>
      </c>
      <c r="P2119" cm="1">
        <f t="array" ref="P2119">_xlfn.SWITCH(tbl_analysis_tickets[[#This Row],[customer_satisfaction]],
"Low",1,
"Medium",2,
"High",3
)</f>
        <v>1</v>
      </c>
      <c r="Q2119">
        <f>IF(tbl_analysis_tickets[[#This Row],[reopened]]="Yes",1,0)</f>
        <v>0</v>
      </c>
      <c r="R2119" t="str" cm="1">
        <f t="array" ref="R2119">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119" t="str" cm="1">
        <f t="array" ref="S211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119" t="str">
        <f>TEXT(tbl_analysis_tickets[[#This Row],[created_date]],"mmm-yyyy")</f>
        <v>Aug-2024</v>
      </c>
      <c r="U2119" t="str">
        <f>TEXT(tbl_analysis_tickets[[#This Row],[created_date]],"dddd")</f>
        <v>Saturday</v>
      </c>
      <c r="V2119" cm="1">
        <f t="array" ref="V2119">_xlfn.SWITCH(tbl_analysis_tickets[[#This Row],[priority]],
"Urgent",1,
"High",2,
"Medium",3,
"Low",4
)</f>
        <v>2</v>
      </c>
    </row>
    <row r="2120" spans="1:22" x14ac:dyDescent="0.25">
      <c r="A2120">
        <v>2119</v>
      </c>
      <c r="B2120" s="1">
        <v>45529</v>
      </c>
      <c r="C2120" t="s">
        <v>10</v>
      </c>
      <c r="D2120" t="s">
        <v>17</v>
      </c>
      <c r="E2120">
        <v>126</v>
      </c>
      <c r="F2120">
        <v>10</v>
      </c>
      <c r="G2120">
        <v>9.9</v>
      </c>
      <c r="H2120" t="s">
        <v>18</v>
      </c>
      <c r="I2120" t="s">
        <v>13</v>
      </c>
      <c r="J2120" t="s">
        <v>11</v>
      </c>
      <c r="K2120">
        <f>_xlfn.XLOOKUP(tbl_analysis_tickets[[#This Row],[priority]],tbl_sla[priority],tbl_sla[Resolution SLA Hours])</f>
        <v>8</v>
      </c>
      <c r="L2120">
        <f>_xlfn.XLOOKUP(tbl_analysis_tickets[[#This Row],[priority]],tbl_sla[priority],tbl_sla[First Response SLA Minutes])</f>
        <v>30</v>
      </c>
      <c r="M2120" t="str">
        <f>IF(tbl_analysis_tickets[[#This Row],[resolution_time_hours]]&gt;tbl_analysis_tickets[[#This Row],[Resolution SLA Hours]],"Breached","Within SLA")</f>
        <v>Breached</v>
      </c>
      <c r="N2120" t="str">
        <f>IF(tbl_analysis_tickets[[#This Row],[first_response_minutes]]&gt;tbl_analysis_tickets[[#This Row],[First Response SLA Minutes]],"Breached","Within SLA")</f>
        <v>Breached</v>
      </c>
      <c r="O2120" t="str" cm="1">
        <f t="array" ref="O2120">_xlfn.IFS(
tbl_analysis_tickets[[#This Row],[agent_experience_years]]&lt;=2,"Junior",
tbl_analysis_tickets[[#This Row],[agent_experience_years]]&lt;=5,"Mid-Level",
tbl_analysis_tickets[[#This Row],[agent_experience_years]]&lt;=8,"Senior",
tbl_analysis_tickets[[#This Row],[agent_experience_years]]&gt;8,"Expert"
)</f>
        <v>Expert</v>
      </c>
      <c r="P2120" cm="1">
        <f t="array" ref="P2120">_xlfn.SWITCH(tbl_analysis_tickets[[#This Row],[customer_satisfaction]],
"Low",1,
"Medium",2,
"High",3
)</f>
        <v>1</v>
      </c>
      <c r="Q2120">
        <f>IF(tbl_analysis_tickets[[#This Row],[reopened]]="Yes",1,0)</f>
        <v>0</v>
      </c>
      <c r="R2120" t="str" cm="1">
        <f t="array" ref="R2120">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120" t="str" cm="1">
        <f t="array" ref="S212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120" t="str">
        <f>TEXT(tbl_analysis_tickets[[#This Row],[created_date]],"mmm-yyyy")</f>
        <v>Aug-2024</v>
      </c>
      <c r="U2120" t="str">
        <f>TEXT(tbl_analysis_tickets[[#This Row],[created_date]],"dddd")</f>
        <v>Sunday</v>
      </c>
      <c r="V2120" cm="1">
        <f t="array" ref="V2120">_xlfn.SWITCH(tbl_analysis_tickets[[#This Row],[priority]],
"Urgent",1,
"High",2,
"Medium",3,
"Low",4
)</f>
        <v>1</v>
      </c>
    </row>
    <row r="2121" spans="1:22" x14ac:dyDescent="0.25">
      <c r="A2121">
        <v>2120</v>
      </c>
      <c r="B2121" s="1">
        <v>45574</v>
      </c>
      <c r="C2121" t="s">
        <v>10</v>
      </c>
      <c r="D2121" t="s">
        <v>17</v>
      </c>
      <c r="E2121">
        <v>5</v>
      </c>
      <c r="F2121">
        <v>1</v>
      </c>
      <c r="G2121">
        <v>0.7</v>
      </c>
      <c r="H2121" t="s">
        <v>12</v>
      </c>
      <c r="I2121" t="s">
        <v>13</v>
      </c>
      <c r="J2121" t="s">
        <v>15</v>
      </c>
      <c r="K2121">
        <f>_xlfn.XLOOKUP(tbl_analysis_tickets[[#This Row],[priority]],tbl_sla[priority],tbl_sla[Resolution SLA Hours])</f>
        <v>8</v>
      </c>
      <c r="L2121">
        <f>_xlfn.XLOOKUP(tbl_analysis_tickets[[#This Row],[priority]],tbl_sla[priority],tbl_sla[First Response SLA Minutes])</f>
        <v>30</v>
      </c>
      <c r="M2121" t="str">
        <f>IF(tbl_analysis_tickets[[#This Row],[resolution_time_hours]]&gt;tbl_analysis_tickets[[#This Row],[Resolution SLA Hours]],"Breached","Within SLA")</f>
        <v>Within SLA</v>
      </c>
      <c r="N2121" t="str">
        <f>IF(tbl_analysis_tickets[[#This Row],[first_response_minutes]]&gt;tbl_analysis_tickets[[#This Row],[First Response SLA Minutes]],"Breached","Within SLA")</f>
        <v>Within SLA</v>
      </c>
      <c r="O2121" t="str" cm="1">
        <f t="array" ref="O2121">_xlfn.IFS(
tbl_analysis_tickets[[#This Row],[agent_experience_years]]&lt;=2,"Junior",
tbl_analysis_tickets[[#This Row],[agent_experience_years]]&lt;=5,"Mid-Level",
tbl_analysis_tickets[[#This Row],[agent_experience_years]]&lt;=8,"Senior",
tbl_analysis_tickets[[#This Row],[agent_experience_years]]&gt;8,"Expert"
)</f>
        <v>Junior</v>
      </c>
      <c r="P2121" cm="1">
        <f t="array" ref="P2121">_xlfn.SWITCH(tbl_analysis_tickets[[#This Row],[customer_satisfaction]],
"Low",1,
"Medium",2,
"High",3
)</f>
        <v>2</v>
      </c>
      <c r="Q2121">
        <f>IF(tbl_analysis_tickets[[#This Row],[reopened]]="Yes",1,0)</f>
        <v>1</v>
      </c>
      <c r="R2121" t="str" cm="1">
        <f t="array" ref="R2121">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2121" t="str" cm="1">
        <f t="array" ref="S212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2121" t="str">
        <f>TEXT(tbl_analysis_tickets[[#This Row],[created_date]],"mmm-yyyy")</f>
        <v>Oct-2024</v>
      </c>
      <c r="U2121" t="str">
        <f>TEXT(tbl_analysis_tickets[[#This Row],[created_date]],"dddd")</f>
        <v>Wednesday</v>
      </c>
      <c r="V2121" cm="1">
        <f t="array" ref="V2121">_xlfn.SWITCH(tbl_analysis_tickets[[#This Row],[priority]],
"Urgent",1,
"High",2,
"Medium",3,
"Low",4
)</f>
        <v>1</v>
      </c>
    </row>
    <row r="2122" spans="1:22" x14ac:dyDescent="0.25">
      <c r="A2122">
        <v>2121</v>
      </c>
      <c r="B2122" s="1">
        <v>45503</v>
      </c>
      <c r="C2122" t="s">
        <v>22</v>
      </c>
      <c r="D2122" t="s">
        <v>17</v>
      </c>
      <c r="E2122">
        <v>165</v>
      </c>
      <c r="F2122">
        <v>4</v>
      </c>
      <c r="G2122">
        <v>4</v>
      </c>
      <c r="H2122" t="s">
        <v>12</v>
      </c>
      <c r="I2122" t="s">
        <v>16</v>
      </c>
      <c r="J2122" t="s">
        <v>11</v>
      </c>
      <c r="K2122">
        <f>_xlfn.XLOOKUP(tbl_analysis_tickets[[#This Row],[priority]],tbl_sla[priority],tbl_sla[Resolution SLA Hours])</f>
        <v>8</v>
      </c>
      <c r="L2122">
        <f>_xlfn.XLOOKUP(tbl_analysis_tickets[[#This Row],[priority]],tbl_sla[priority],tbl_sla[First Response SLA Minutes])</f>
        <v>30</v>
      </c>
      <c r="M2122" t="str">
        <f>IF(tbl_analysis_tickets[[#This Row],[resolution_time_hours]]&gt;tbl_analysis_tickets[[#This Row],[Resolution SLA Hours]],"Breached","Within SLA")</f>
        <v>Within SLA</v>
      </c>
      <c r="N2122" t="str">
        <f>IF(tbl_analysis_tickets[[#This Row],[first_response_minutes]]&gt;tbl_analysis_tickets[[#This Row],[First Response SLA Minutes]],"Breached","Within SLA")</f>
        <v>Breached</v>
      </c>
      <c r="O2122" t="str" cm="1">
        <f t="array" ref="O2122">_xlfn.IFS(
tbl_analysis_tickets[[#This Row],[agent_experience_years]]&lt;=2,"Junior",
tbl_analysis_tickets[[#This Row],[agent_experience_years]]&lt;=5,"Mid-Level",
tbl_analysis_tickets[[#This Row],[agent_experience_years]]&lt;=8,"Senior",
tbl_analysis_tickets[[#This Row],[agent_experience_years]]&gt;8,"Expert"
)</f>
        <v>Mid-Level</v>
      </c>
      <c r="P2122" cm="1">
        <f t="array" ref="P2122">_xlfn.SWITCH(tbl_analysis_tickets[[#This Row],[customer_satisfaction]],
"Low",1,
"Medium",2,
"High",3
)</f>
        <v>1</v>
      </c>
      <c r="Q2122">
        <f>IF(tbl_analysis_tickets[[#This Row],[reopened]]="Yes",1,0)</f>
        <v>1</v>
      </c>
      <c r="R2122" t="str" cm="1">
        <f t="array" ref="R2122">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122" t="str" cm="1">
        <f t="array" ref="S212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2122" t="str">
        <f>TEXT(tbl_analysis_tickets[[#This Row],[created_date]],"mmm-yyyy")</f>
        <v>Jul-2024</v>
      </c>
      <c r="U2122" t="str">
        <f>TEXT(tbl_analysis_tickets[[#This Row],[created_date]],"dddd")</f>
        <v>Tuesday</v>
      </c>
      <c r="V2122" cm="1">
        <f t="array" ref="V2122">_xlfn.SWITCH(tbl_analysis_tickets[[#This Row],[priority]],
"Urgent",1,
"High",2,
"Medium",3,
"Low",4
)</f>
        <v>1</v>
      </c>
    </row>
    <row r="2123" spans="1:22" x14ac:dyDescent="0.25">
      <c r="A2123">
        <v>2122</v>
      </c>
      <c r="B2123" s="1">
        <v>45347</v>
      </c>
      <c r="C2123" t="s">
        <v>10</v>
      </c>
      <c r="D2123" t="s">
        <v>11</v>
      </c>
      <c r="E2123">
        <v>6</v>
      </c>
      <c r="F2123">
        <v>2</v>
      </c>
      <c r="G2123">
        <v>5</v>
      </c>
      <c r="H2123" t="s">
        <v>12</v>
      </c>
      <c r="I2123" t="s">
        <v>19</v>
      </c>
      <c r="J2123" t="s">
        <v>20</v>
      </c>
      <c r="K2123">
        <f>_xlfn.XLOOKUP(tbl_analysis_tickets[[#This Row],[priority]],tbl_sla[priority],tbl_sla[Resolution SLA Hours])</f>
        <v>72</v>
      </c>
      <c r="L2123">
        <f>_xlfn.XLOOKUP(tbl_analysis_tickets[[#This Row],[priority]],tbl_sla[priority],tbl_sla[First Response SLA Minutes])</f>
        <v>240</v>
      </c>
      <c r="M2123" t="str">
        <f>IF(tbl_analysis_tickets[[#This Row],[resolution_time_hours]]&gt;tbl_analysis_tickets[[#This Row],[Resolution SLA Hours]],"Breached","Within SLA")</f>
        <v>Within SLA</v>
      </c>
      <c r="N2123" t="str">
        <f>IF(tbl_analysis_tickets[[#This Row],[first_response_minutes]]&gt;tbl_analysis_tickets[[#This Row],[First Response SLA Minutes]],"Breached","Within SLA")</f>
        <v>Within SLA</v>
      </c>
      <c r="O2123" t="str" cm="1">
        <f t="array" ref="O2123">_xlfn.IFS(
tbl_analysis_tickets[[#This Row],[agent_experience_years]]&lt;=2,"Junior",
tbl_analysis_tickets[[#This Row],[agent_experience_years]]&lt;=5,"Mid-Level",
tbl_analysis_tickets[[#This Row],[agent_experience_years]]&lt;=8,"Senior",
tbl_analysis_tickets[[#This Row],[agent_experience_years]]&gt;8,"Expert"
)</f>
        <v>Mid-Level</v>
      </c>
      <c r="P2123" cm="1">
        <f t="array" ref="P2123">_xlfn.SWITCH(tbl_analysis_tickets[[#This Row],[customer_satisfaction]],
"Low",1,
"Medium",2,
"High",3
)</f>
        <v>3</v>
      </c>
      <c r="Q2123">
        <f>IF(tbl_analysis_tickets[[#This Row],[reopened]]="Yes",1,0)</f>
        <v>1</v>
      </c>
      <c r="R2123" t="str" cm="1">
        <f t="array" ref="R2123">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2123" t="str" cm="1">
        <f t="array" ref="S212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2123" t="str">
        <f>TEXT(tbl_analysis_tickets[[#This Row],[created_date]],"mmm-yyyy")</f>
        <v>Feb-2024</v>
      </c>
      <c r="U2123" t="str">
        <f>TEXT(tbl_analysis_tickets[[#This Row],[created_date]],"dddd")</f>
        <v>Sunday</v>
      </c>
      <c r="V2123" cm="1">
        <f t="array" ref="V2123">_xlfn.SWITCH(tbl_analysis_tickets[[#This Row],[priority]],
"Urgent",1,
"High",2,
"Medium",3,
"Low",4
)</f>
        <v>4</v>
      </c>
    </row>
    <row r="2124" spans="1:22" x14ac:dyDescent="0.25">
      <c r="A2124">
        <v>2123</v>
      </c>
      <c r="B2124" s="1">
        <v>45417</v>
      </c>
      <c r="C2124" t="s">
        <v>14</v>
      </c>
      <c r="D2124" t="s">
        <v>15</v>
      </c>
      <c r="E2124">
        <v>80</v>
      </c>
      <c r="F2124">
        <v>31</v>
      </c>
      <c r="G2124">
        <v>0.6</v>
      </c>
      <c r="H2124" t="s">
        <v>12</v>
      </c>
      <c r="I2124" t="s">
        <v>19</v>
      </c>
      <c r="J2124" t="s">
        <v>11</v>
      </c>
      <c r="K2124">
        <f>_xlfn.XLOOKUP(tbl_analysis_tickets[[#This Row],[priority]],tbl_sla[priority],tbl_sla[Resolution SLA Hours])</f>
        <v>48</v>
      </c>
      <c r="L2124">
        <f>_xlfn.XLOOKUP(tbl_analysis_tickets[[#This Row],[priority]],tbl_sla[priority],tbl_sla[First Response SLA Minutes])</f>
        <v>120</v>
      </c>
      <c r="M2124" t="str">
        <f>IF(tbl_analysis_tickets[[#This Row],[resolution_time_hours]]&gt;tbl_analysis_tickets[[#This Row],[Resolution SLA Hours]],"Breached","Within SLA")</f>
        <v>Within SLA</v>
      </c>
      <c r="N2124" t="str">
        <f>IF(tbl_analysis_tickets[[#This Row],[first_response_minutes]]&gt;tbl_analysis_tickets[[#This Row],[First Response SLA Minutes]],"Breached","Within SLA")</f>
        <v>Within SLA</v>
      </c>
      <c r="O2124" t="str" cm="1">
        <f t="array" ref="O2124">_xlfn.IFS(
tbl_analysis_tickets[[#This Row],[agent_experience_years]]&lt;=2,"Junior",
tbl_analysis_tickets[[#This Row],[agent_experience_years]]&lt;=5,"Mid-Level",
tbl_analysis_tickets[[#This Row],[agent_experience_years]]&lt;=8,"Senior",
tbl_analysis_tickets[[#This Row],[agent_experience_years]]&gt;8,"Expert"
)</f>
        <v>Junior</v>
      </c>
      <c r="P2124" cm="1">
        <f t="array" ref="P2124">_xlfn.SWITCH(tbl_analysis_tickets[[#This Row],[customer_satisfaction]],
"Low",1,
"Medium",2,
"High",3
)</f>
        <v>1</v>
      </c>
      <c r="Q2124">
        <f>IF(tbl_analysis_tickets[[#This Row],[reopened]]="Yes",1,0)</f>
        <v>1</v>
      </c>
      <c r="R2124" t="str" cm="1">
        <f t="array" ref="R2124">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124" t="str" cm="1">
        <f t="array" ref="S212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124" t="str">
        <f>TEXT(tbl_analysis_tickets[[#This Row],[created_date]],"mmm-yyyy")</f>
        <v>May-2024</v>
      </c>
      <c r="U2124" t="str">
        <f>TEXT(tbl_analysis_tickets[[#This Row],[created_date]],"dddd")</f>
        <v>Sunday</v>
      </c>
      <c r="V2124" cm="1">
        <f t="array" ref="V2124">_xlfn.SWITCH(tbl_analysis_tickets[[#This Row],[priority]],
"Urgent",1,
"High",2,
"Medium",3,
"Low",4
)</f>
        <v>3</v>
      </c>
    </row>
    <row r="2125" spans="1:22" x14ac:dyDescent="0.25">
      <c r="A2125">
        <v>2124</v>
      </c>
      <c r="B2125" s="1">
        <v>45446</v>
      </c>
      <c r="C2125" t="s">
        <v>10</v>
      </c>
      <c r="D2125" t="s">
        <v>11</v>
      </c>
      <c r="E2125">
        <v>160</v>
      </c>
      <c r="F2125">
        <v>54</v>
      </c>
      <c r="G2125">
        <v>4.5999999999999996</v>
      </c>
      <c r="H2125" t="s">
        <v>12</v>
      </c>
      <c r="I2125" t="s">
        <v>13</v>
      </c>
      <c r="J2125" t="s">
        <v>11</v>
      </c>
      <c r="K2125">
        <f>_xlfn.XLOOKUP(tbl_analysis_tickets[[#This Row],[priority]],tbl_sla[priority],tbl_sla[Resolution SLA Hours])</f>
        <v>72</v>
      </c>
      <c r="L2125">
        <f>_xlfn.XLOOKUP(tbl_analysis_tickets[[#This Row],[priority]],tbl_sla[priority],tbl_sla[First Response SLA Minutes])</f>
        <v>240</v>
      </c>
      <c r="M2125" t="str">
        <f>IF(tbl_analysis_tickets[[#This Row],[resolution_time_hours]]&gt;tbl_analysis_tickets[[#This Row],[Resolution SLA Hours]],"Breached","Within SLA")</f>
        <v>Within SLA</v>
      </c>
      <c r="N2125" t="str">
        <f>IF(tbl_analysis_tickets[[#This Row],[first_response_minutes]]&gt;tbl_analysis_tickets[[#This Row],[First Response SLA Minutes]],"Breached","Within SLA")</f>
        <v>Within SLA</v>
      </c>
      <c r="O2125" t="str" cm="1">
        <f t="array" ref="O2125">_xlfn.IFS(
tbl_analysis_tickets[[#This Row],[agent_experience_years]]&lt;=2,"Junior",
tbl_analysis_tickets[[#This Row],[agent_experience_years]]&lt;=5,"Mid-Level",
tbl_analysis_tickets[[#This Row],[agent_experience_years]]&lt;=8,"Senior",
tbl_analysis_tickets[[#This Row],[agent_experience_years]]&gt;8,"Expert"
)</f>
        <v>Mid-Level</v>
      </c>
      <c r="P2125" cm="1">
        <f t="array" ref="P2125">_xlfn.SWITCH(tbl_analysis_tickets[[#This Row],[customer_satisfaction]],
"Low",1,
"Medium",2,
"High",3
)</f>
        <v>1</v>
      </c>
      <c r="Q2125">
        <f>IF(tbl_analysis_tickets[[#This Row],[reopened]]="Yes",1,0)</f>
        <v>1</v>
      </c>
      <c r="R2125" t="str" cm="1">
        <f t="array" ref="R2125">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125" t="str" cm="1">
        <f t="array" ref="S212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125" t="str">
        <f>TEXT(tbl_analysis_tickets[[#This Row],[created_date]],"mmm-yyyy")</f>
        <v>Jun-2024</v>
      </c>
      <c r="U2125" t="str">
        <f>TEXT(tbl_analysis_tickets[[#This Row],[created_date]],"dddd")</f>
        <v>Monday</v>
      </c>
      <c r="V2125" cm="1">
        <f t="array" ref="V2125">_xlfn.SWITCH(tbl_analysis_tickets[[#This Row],[priority]],
"Urgent",1,
"High",2,
"Medium",3,
"Low",4
)</f>
        <v>4</v>
      </c>
    </row>
    <row r="2126" spans="1:22" x14ac:dyDescent="0.25">
      <c r="A2126">
        <v>2125</v>
      </c>
      <c r="B2126" s="1">
        <v>45421</v>
      </c>
      <c r="C2126" t="s">
        <v>22</v>
      </c>
      <c r="D2126" t="s">
        <v>20</v>
      </c>
      <c r="E2126">
        <v>130</v>
      </c>
      <c r="F2126">
        <v>40</v>
      </c>
      <c r="G2126">
        <v>7.5</v>
      </c>
      <c r="H2126" t="s">
        <v>12</v>
      </c>
      <c r="I2126" t="s">
        <v>16</v>
      </c>
      <c r="J2126" t="s">
        <v>11</v>
      </c>
      <c r="K2126">
        <f>_xlfn.XLOOKUP(tbl_analysis_tickets[[#This Row],[priority]],tbl_sla[priority],tbl_sla[Resolution SLA Hours])</f>
        <v>24</v>
      </c>
      <c r="L2126">
        <f>_xlfn.XLOOKUP(tbl_analysis_tickets[[#This Row],[priority]],tbl_sla[priority],tbl_sla[First Response SLA Minutes])</f>
        <v>60</v>
      </c>
      <c r="M2126" t="str">
        <f>IF(tbl_analysis_tickets[[#This Row],[resolution_time_hours]]&gt;tbl_analysis_tickets[[#This Row],[Resolution SLA Hours]],"Breached","Within SLA")</f>
        <v>Breached</v>
      </c>
      <c r="N2126" t="str">
        <f>IF(tbl_analysis_tickets[[#This Row],[first_response_minutes]]&gt;tbl_analysis_tickets[[#This Row],[First Response SLA Minutes]],"Breached","Within SLA")</f>
        <v>Breached</v>
      </c>
      <c r="O2126" t="str" cm="1">
        <f t="array" ref="O2126">_xlfn.IFS(
tbl_analysis_tickets[[#This Row],[agent_experience_years]]&lt;=2,"Junior",
tbl_analysis_tickets[[#This Row],[agent_experience_years]]&lt;=5,"Mid-Level",
tbl_analysis_tickets[[#This Row],[agent_experience_years]]&lt;=8,"Senior",
tbl_analysis_tickets[[#This Row],[agent_experience_years]]&gt;8,"Expert"
)</f>
        <v>Senior</v>
      </c>
      <c r="P2126" cm="1">
        <f t="array" ref="P2126">_xlfn.SWITCH(tbl_analysis_tickets[[#This Row],[customer_satisfaction]],
"Low",1,
"Medium",2,
"High",3
)</f>
        <v>1</v>
      </c>
      <c r="Q2126">
        <f>IF(tbl_analysis_tickets[[#This Row],[reopened]]="Yes",1,0)</f>
        <v>1</v>
      </c>
      <c r="R2126" t="str" cm="1">
        <f t="array" ref="R2126">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126" t="str" cm="1">
        <f t="array" ref="S212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126" t="str">
        <f>TEXT(tbl_analysis_tickets[[#This Row],[created_date]],"mmm-yyyy")</f>
        <v>May-2024</v>
      </c>
      <c r="U2126" t="str">
        <f>TEXT(tbl_analysis_tickets[[#This Row],[created_date]],"dddd")</f>
        <v>Thursday</v>
      </c>
      <c r="V2126" cm="1">
        <f t="array" ref="V2126">_xlfn.SWITCH(tbl_analysis_tickets[[#This Row],[priority]],
"Urgent",1,
"High",2,
"Medium",3,
"Low",4
)</f>
        <v>2</v>
      </c>
    </row>
    <row r="2127" spans="1:22" x14ac:dyDescent="0.25">
      <c r="A2127">
        <v>2126</v>
      </c>
      <c r="B2127" s="1">
        <v>45655</v>
      </c>
      <c r="C2127" t="s">
        <v>23</v>
      </c>
      <c r="D2127" t="s">
        <v>11</v>
      </c>
      <c r="E2127">
        <v>86</v>
      </c>
      <c r="F2127">
        <v>16</v>
      </c>
      <c r="G2127">
        <v>2.2999999999999998</v>
      </c>
      <c r="H2127" t="s">
        <v>12</v>
      </c>
      <c r="I2127" t="s">
        <v>19</v>
      </c>
      <c r="J2127" t="s">
        <v>11</v>
      </c>
      <c r="K2127">
        <f>_xlfn.XLOOKUP(tbl_analysis_tickets[[#This Row],[priority]],tbl_sla[priority],tbl_sla[Resolution SLA Hours])</f>
        <v>72</v>
      </c>
      <c r="L2127">
        <f>_xlfn.XLOOKUP(tbl_analysis_tickets[[#This Row],[priority]],tbl_sla[priority],tbl_sla[First Response SLA Minutes])</f>
        <v>240</v>
      </c>
      <c r="M2127" t="str">
        <f>IF(tbl_analysis_tickets[[#This Row],[resolution_time_hours]]&gt;tbl_analysis_tickets[[#This Row],[Resolution SLA Hours]],"Breached","Within SLA")</f>
        <v>Within SLA</v>
      </c>
      <c r="N2127" t="str">
        <f>IF(tbl_analysis_tickets[[#This Row],[first_response_minutes]]&gt;tbl_analysis_tickets[[#This Row],[First Response SLA Minutes]],"Breached","Within SLA")</f>
        <v>Within SLA</v>
      </c>
      <c r="O2127" t="str" cm="1">
        <f t="array" ref="O2127">_xlfn.IFS(
tbl_analysis_tickets[[#This Row],[agent_experience_years]]&lt;=2,"Junior",
tbl_analysis_tickets[[#This Row],[agent_experience_years]]&lt;=5,"Mid-Level",
tbl_analysis_tickets[[#This Row],[agent_experience_years]]&lt;=8,"Senior",
tbl_analysis_tickets[[#This Row],[agent_experience_years]]&gt;8,"Expert"
)</f>
        <v>Mid-Level</v>
      </c>
      <c r="P2127" cm="1">
        <f t="array" ref="P2127">_xlfn.SWITCH(tbl_analysis_tickets[[#This Row],[customer_satisfaction]],
"Low",1,
"Medium",2,
"High",3
)</f>
        <v>1</v>
      </c>
      <c r="Q2127">
        <f>IF(tbl_analysis_tickets[[#This Row],[reopened]]="Yes",1,0)</f>
        <v>1</v>
      </c>
      <c r="R2127" t="str" cm="1">
        <f t="array" ref="R2127">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127" t="str" cm="1">
        <f t="array" ref="S212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127" t="str">
        <f>TEXT(tbl_analysis_tickets[[#This Row],[created_date]],"mmm-yyyy")</f>
        <v>Dec-2024</v>
      </c>
      <c r="U2127" t="str">
        <f>TEXT(tbl_analysis_tickets[[#This Row],[created_date]],"dddd")</f>
        <v>Sunday</v>
      </c>
      <c r="V2127" cm="1">
        <f t="array" ref="V2127">_xlfn.SWITCH(tbl_analysis_tickets[[#This Row],[priority]],
"Urgent",1,
"High",2,
"Medium",3,
"Low",4
)</f>
        <v>4</v>
      </c>
    </row>
    <row r="2128" spans="1:22" x14ac:dyDescent="0.25">
      <c r="A2128">
        <v>2127</v>
      </c>
      <c r="B2128" s="1">
        <v>45380</v>
      </c>
      <c r="C2128" t="s">
        <v>14</v>
      </c>
      <c r="D2128" t="s">
        <v>15</v>
      </c>
      <c r="E2128">
        <v>179</v>
      </c>
      <c r="F2128">
        <v>16</v>
      </c>
      <c r="G2128">
        <v>7.4</v>
      </c>
      <c r="H2128" t="s">
        <v>18</v>
      </c>
      <c r="I2128" t="s">
        <v>19</v>
      </c>
      <c r="J2128" t="s">
        <v>15</v>
      </c>
      <c r="K2128">
        <f>_xlfn.XLOOKUP(tbl_analysis_tickets[[#This Row],[priority]],tbl_sla[priority],tbl_sla[Resolution SLA Hours])</f>
        <v>48</v>
      </c>
      <c r="L2128">
        <f>_xlfn.XLOOKUP(tbl_analysis_tickets[[#This Row],[priority]],tbl_sla[priority],tbl_sla[First Response SLA Minutes])</f>
        <v>120</v>
      </c>
      <c r="M2128" t="str">
        <f>IF(tbl_analysis_tickets[[#This Row],[resolution_time_hours]]&gt;tbl_analysis_tickets[[#This Row],[Resolution SLA Hours]],"Breached","Within SLA")</f>
        <v>Within SLA</v>
      </c>
      <c r="N2128" t="str">
        <f>IF(tbl_analysis_tickets[[#This Row],[first_response_minutes]]&gt;tbl_analysis_tickets[[#This Row],[First Response SLA Minutes]],"Breached","Within SLA")</f>
        <v>Breached</v>
      </c>
      <c r="O2128" t="str" cm="1">
        <f t="array" ref="O2128">_xlfn.IFS(
tbl_analysis_tickets[[#This Row],[agent_experience_years]]&lt;=2,"Junior",
tbl_analysis_tickets[[#This Row],[agent_experience_years]]&lt;=5,"Mid-Level",
tbl_analysis_tickets[[#This Row],[agent_experience_years]]&lt;=8,"Senior",
tbl_analysis_tickets[[#This Row],[agent_experience_years]]&gt;8,"Expert"
)</f>
        <v>Senior</v>
      </c>
      <c r="P2128" cm="1">
        <f t="array" ref="P2128">_xlfn.SWITCH(tbl_analysis_tickets[[#This Row],[customer_satisfaction]],
"Low",1,
"Medium",2,
"High",3
)</f>
        <v>2</v>
      </c>
      <c r="Q2128">
        <f>IF(tbl_analysis_tickets[[#This Row],[reopened]]="Yes",1,0)</f>
        <v>0</v>
      </c>
      <c r="R2128" t="str" cm="1">
        <f t="array" ref="R2128">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128" t="str" cm="1">
        <f t="array" ref="S212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128" t="str">
        <f>TEXT(tbl_analysis_tickets[[#This Row],[created_date]],"mmm-yyyy")</f>
        <v>Mar-2024</v>
      </c>
      <c r="U2128" t="str">
        <f>TEXT(tbl_analysis_tickets[[#This Row],[created_date]],"dddd")</f>
        <v>Friday</v>
      </c>
      <c r="V2128" cm="1">
        <f t="array" ref="V2128">_xlfn.SWITCH(tbl_analysis_tickets[[#This Row],[priority]],
"Urgent",1,
"High",2,
"Medium",3,
"Low",4
)</f>
        <v>3</v>
      </c>
    </row>
    <row r="2129" spans="1:22" x14ac:dyDescent="0.25">
      <c r="A2129">
        <v>2128</v>
      </c>
      <c r="B2129" s="1">
        <v>45408</v>
      </c>
      <c r="C2129" t="s">
        <v>10</v>
      </c>
      <c r="D2129" t="s">
        <v>15</v>
      </c>
      <c r="E2129">
        <v>83</v>
      </c>
      <c r="F2129">
        <v>42</v>
      </c>
      <c r="G2129">
        <v>1.3</v>
      </c>
      <c r="H2129" t="s">
        <v>18</v>
      </c>
      <c r="I2129" t="s">
        <v>13</v>
      </c>
      <c r="J2129" t="s">
        <v>11</v>
      </c>
      <c r="K2129">
        <f>_xlfn.XLOOKUP(tbl_analysis_tickets[[#This Row],[priority]],tbl_sla[priority],tbl_sla[Resolution SLA Hours])</f>
        <v>48</v>
      </c>
      <c r="L2129">
        <f>_xlfn.XLOOKUP(tbl_analysis_tickets[[#This Row],[priority]],tbl_sla[priority],tbl_sla[First Response SLA Minutes])</f>
        <v>120</v>
      </c>
      <c r="M2129" t="str">
        <f>IF(tbl_analysis_tickets[[#This Row],[resolution_time_hours]]&gt;tbl_analysis_tickets[[#This Row],[Resolution SLA Hours]],"Breached","Within SLA")</f>
        <v>Within SLA</v>
      </c>
      <c r="N2129" t="str">
        <f>IF(tbl_analysis_tickets[[#This Row],[first_response_minutes]]&gt;tbl_analysis_tickets[[#This Row],[First Response SLA Minutes]],"Breached","Within SLA")</f>
        <v>Within SLA</v>
      </c>
      <c r="O2129" t="str" cm="1">
        <f t="array" ref="O2129">_xlfn.IFS(
tbl_analysis_tickets[[#This Row],[agent_experience_years]]&lt;=2,"Junior",
tbl_analysis_tickets[[#This Row],[agent_experience_years]]&lt;=5,"Mid-Level",
tbl_analysis_tickets[[#This Row],[agent_experience_years]]&lt;=8,"Senior",
tbl_analysis_tickets[[#This Row],[agent_experience_years]]&gt;8,"Expert"
)</f>
        <v>Junior</v>
      </c>
      <c r="P2129" cm="1">
        <f t="array" ref="P2129">_xlfn.SWITCH(tbl_analysis_tickets[[#This Row],[customer_satisfaction]],
"Low",1,
"Medium",2,
"High",3
)</f>
        <v>1</v>
      </c>
      <c r="Q2129">
        <f>IF(tbl_analysis_tickets[[#This Row],[reopened]]="Yes",1,0)</f>
        <v>0</v>
      </c>
      <c r="R2129" t="str" cm="1">
        <f t="array" ref="R2129">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129" t="str" cm="1">
        <f t="array" ref="S212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129" t="str">
        <f>TEXT(tbl_analysis_tickets[[#This Row],[created_date]],"mmm-yyyy")</f>
        <v>Apr-2024</v>
      </c>
      <c r="U2129" t="str">
        <f>TEXT(tbl_analysis_tickets[[#This Row],[created_date]],"dddd")</f>
        <v>Friday</v>
      </c>
      <c r="V2129" cm="1">
        <f t="array" ref="V2129">_xlfn.SWITCH(tbl_analysis_tickets[[#This Row],[priority]],
"Urgent",1,
"High",2,
"Medium",3,
"Low",4
)</f>
        <v>3</v>
      </c>
    </row>
    <row r="2130" spans="1:22" x14ac:dyDescent="0.25">
      <c r="A2130">
        <v>2129</v>
      </c>
      <c r="B2130" s="1">
        <v>45457</v>
      </c>
      <c r="C2130" t="s">
        <v>14</v>
      </c>
      <c r="D2130" t="s">
        <v>15</v>
      </c>
      <c r="E2130">
        <v>189</v>
      </c>
      <c r="F2130">
        <v>62</v>
      </c>
      <c r="G2130">
        <v>4.5999999999999996</v>
      </c>
      <c r="H2130" t="s">
        <v>18</v>
      </c>
      <c r="I2130" t="s">
        <v>13</v>
      </c>
      <c r="J2130" t="s">
        <v>11</v>
      </c>
      <c r="K2130">
        <f>_xlfn.XLOOKUP(tbl_analysis_tickets[[#This Row],[priority]],tbl_sla[priority],tbl_sla[Resolution SLA Hours])</f>
        <v>48</v>
      </c>
      <c r="L2130">
        <f>_xlfn.XLOOKUP(tbl_analysis_tickets[[#This Row],[priority]],tbl_sla[priority],tbl_sla[First Response SLA Minutes])</f>
        <v>120</v>
      </c>
      <c r="M2130" t="str">
        <f>IF(tbl_analysis_tickets[[#This Row],[resolution_time_hours]]&gt;tbl_analysis_tickets[[#This Row],[Resolution SLA Hours]],"Breached","Within SLA")</f>
        <v>Breached</v>
      </c>
      <c r="N2130" t="str">
        <f>IF(tbl_analysis_tickets[[#This Row],[first_response_minutes]]&gt;tbl_analysis_tickets[[#This Row],[First Response SLA Minutes]],"Breached","Within SLA")</f>
        <v>Breached</v>
      </c>
      <c r="O2130" t="str" cm="1">
        <f t="array" ref="O2130">_xlfn.IFS(
tbl_analysis_tickets[[#This Row],[agent_experience_years]]&lt;=2,"Junior",
tbl_analysis_tickets[[#This Row],[agent_experience_years]]&lt;=5,"Mid-Level",
tbl_analysis_tickets[[#This Row],[agent_experience_years]]&lt;=8,"Senior",
tbl_analysis_tickets[[#This Row],[agent_experience_years]]&gt;8,"Expert"
)</f>
        <v>Mid-Level</v>
      </c>
      <c r="P2130" cm="1">
        <f t="array" ref="P2130">_xlfn.SWITCH(tbl_analysis_tickets[[#This Row],[customer_satisfaction]],
"Low",1,
"Medium",2,
"High",3
)</f>
        <v>1</v>
      </c>
      <c r="Q2130">
        <f>IF(tbl_analysis_tickets[[#This Row],[reopened]]="Yes",1,0)</f>
        <v>0</v>
      </c>
      <c r="R2130" t="str" cm="1">
        <f t="array" ref="R2130">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130" t="str" cm="1">
        <f t="array" ref="S213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130" t="str">
        <f>TEXT(tbl_analysis_tickets[[#This Row],[created_date]],"mmm-yyyy")</f>
        <v>Jun-2024</v>
      </c>
      <c r="U2130" t="str">
        <f>TEXT(tbl_analysis_tickets[[#This Row],[created_date]],"dddd")</f>
        <v>Friday</v>
      </c>
      <c r="V2130" cm="1">
        <f t="array" ref="V2130">_xlfn.SWITCH(tbl_analysis_tickets[[#This Row],[priority]],
"Urgent",1,
"High",2,
"Medium",3,
"Low",4
)</f>
        <v>3</v>
      </c>
    </row>
    <row r="2131" spans="1:22" x14ac:dyDescent="0.25">
      <c r="A2131">
        <v>2130</v>
      </c>
      <c r="B2131" s="1">
        <v>45328</v>
      </c>
      <c r="C2131" t="s">
        <v>22</v>
      </c>
      <c r="D2131" t="s">
        <v>17</v>
      </c>
      <c r="E2131">
        <v>190</v>
      </c>
      <c r="F2131">
        <v>68</v>
      </c>
      <c r="G2131">
        <v>8.3000000000000007</v>
      </c>
      <c r="H2131" t="s">
        <v>18</v>
      </c>
      <c r="I2131" t="s">
        <v>13</v>
      </c>
      <c r="J2131" t="s">
        <v>11</v>
      </c>
      <c r="K2131">
        <f>_xlfn.XLOOKUP(tbl_analysis_tickets[[#This Row],[priority]],tbl_sla[priority],tbl_sla[Resolution SLA Hours])</f>
        <v>8</v>
      </c>
      <c r="L2131">
        <f>_xlfn.XLOOKUP(tbl_analysis_tickets[[#This Row],[priority]],tbl_sla[priority],tbl_sla[First Response SLA Minutes])</f>
        <v>30</v>
      </c>
      <c r="M2131" t="str">
        <f>IF(tbl_analysis_tickets[[#This Row],[resolution_time_hours]]&gt;tbl_analysis_tickets[[#This Row],[Resolution SLA Hours]],"Breached","Within SLA")</f>
        <v>Breached</v>
      </c>
      <c r="N2131" t="str">
        <f>IF(tbl_analysis_tickets[[#This Row],[first_response_minutes]]&gt;tbl_analysis_tickets[[#This Row],[First Response SLA Minutes]],"Breached","Within SLA")</f>
        <v>Breached</v>
      </c>
      <c r="O2131" t="str" cm="1">
        <f t="array" ref="O2131">_xlfn.IFS(
tbl_analysis_tickets[[#This Row],[agent_experience_years]]&lt;=2,"Junior",
tbl_analysis_tickets[[#This Row],[agent_experience_years]]&lt;=5,"Mid-Level",
tbl_analysis_tickets[[#This Row],[agent_experience_years]]&lt;=8,"Senior",
tbl_analysis_tickets[[#This Row],[agent_experience_years]]&gt;8,"Expert"
)</f>
        <v>Expert</v>
      </c>
      <c r="P2131" cm="1">
        <f t="array" ref="P2131">_xlfn.SWITCH(tbl_analysis_tickets[[#This Row],[customer_satisfaction]],
"Low",1,
"Medium",2,
"High",3
)</f>
        <v>1</v>
      </c>
      <c r="Q2131">
        <f>IF(tbl_analysis_tickets[[#This Row],[reopened]]="Yes",1,0)</f>
        <v>0</v>
      </c>
      <c r="R2131" t="str" cm="1">
        <f t="array" ref="R2131">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131" t="str" cm="1">
        <f t="array" ref="S213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131" t="str">
        <f>TEXT(tbl_analysis_tickets[[#This Row],[created_date]],"mmm-yyyy")</f>
        <v>Feb-2024</v>
      </c>
      <c r="U2131" t="str">
        <f>TEXT(tbl_analysis_tickets[[#This Row],[created_date]],"dddd")</f>
        <v>Tuesday</v>
      </c>
      <c r="V2131" cm="1">
        <f t="array" ref="V2131">_xlfn.SWITCH(tbl_analysis_tickets[[#This Row],[priority]],
"Urgent",1,
"High",2,
"Medium",3,
"Low",4
)</f>
        <v>1</v>
      </c>
    </row>
    <row r="2132" spans="1:22" x14ac:dyDescent="0.25">
      <c r="A2132">
        <v>2131</v>
      </c>
      <c r="B2132" s="1">
        <v>45444</v>
      </c>
      <c r="C2132" t="s">
        <v>14</v>
      </c>
      <c r="D2132" t="s">
        <v>15</v>
      </c>
      <c r="E2132">
        <v>149</v>
      </c>
      <c r="F2132">
        <v>19</v>
      </c>
      <c r="G2132">
        <v>4.7</v>
      </c>
      <c r="H2132" t="s">
        <v>12</v>
      </c>
      <c r="I2132" t="s">
        <v>19</v>
      </c>
      <c r="J2132" t="s">
        <v>11</v>
      </c>
      <c r="K2132">
        <f>_xlfn.XLOOKUP(tbl_analysis_tickets[[#This Row],[priority]],tbl_sla[priority],tbl_sla[Resolution SLA Hours])</f>
        <v>48</v>
      </c>
      <c r="L2132">
        <f>_xlfn.XLOOKUP(tbl_analysis_tickets[[#This Row],[priority]],tbl_sla[priority],tbl_sla[First Response SLA Minutes])</f>
        <v>120</v>
      </c>
      <c r="M2132" t="str">
        <f>IF(tbl_analysis_tickets[[#This Row],[resolution_time_hours]]&gt;tbl_analysis_tickets[[#This Row],[Resolution SLA Hours]],"Breached","Within SLA")</f>
        <v>Within SLA</v>
      </c>
      <c r="N2132" t="str">
        <f>IF(tbl_analysis_tickets[[#This Row],[first_response_minutes]]&gt;tbl_analysis_tickets[[#This Row],[First Response SLA Minutes]],"Breached","Within SLA")</f>
        <v>Breached</v>
      </c>
      <c r="O2132" t="str" cm="1">
        <f t="array" ref="O2132">_xlfn.IFS(
tbl_analysis_tickets[[#This Row],[agent_experience_years]]&lt;=2,"Junior",
tbl_analysis_tickets[[#This Row],[agent_experience_years]]&lt;=5,"Mid-Level",
tbl_analysis_tickets[[#This Row],[agent_experience_years]]&lt;=8,"Senior",
tbl_analysis_tickets[[#This Row],[agent_experience_years]]&gt;8,"Expert"
)</f>
        <v>Mid-Level</v>
      </c>
      <c r="P2132" cm="1">
        <f t="array" ref="P2132">_xlfn.SWITCH(tbl_analysis_tickets[[#This Row],[customer_satisfaction]],
"Low",1,
"Medium",2,
"High",3
)</f>
        <v>1</v>
      </c>
      <c r="Q2132">
        <f>IF(tbl_analysis_tickets[[#This Row],[reopened]]="Yes",1,0)</f>
        <v>1</v>
      </c>
      <c r="R2132" t="str" cm="1">
        <f t="array" ref="R2132">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132" t="str" cm="1">
        <f t="array" ref="S213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132" t="str">
        <f>TEXT(tbl_analysis_tickets[[#This Row],[created_date]],"mmm-yyyy")</f>
        <v>Jun-2024</v>
      </c>
      <c r="U2132" t="str">
        <f>TEXT(tbl_analysis_tickets[[#This Row],[created_date]],"dddd")</f>
        <v>Saturday</v>
      </c>
      <c r="V2132" cm="1">
        <f t="array" ref="V2132">_xlfn.SWITCH(tbl_analysis_tickets[[#This Row],[priority]],
"Urgent",1,
"High",2,
"Medium",3,
"Low",4
)</f>
        <v>3</v>
      </c>
    </row>
    <row r="2133" spans="1:22" x14ac:dyDescent="0.25">
      <c r="A2133">
        <v>2132</v>
      </c>
      <c r="B2133" s="1">
        <v>45342</v>
      </c>
      <c r="C2133" t="s">
        <v>21</v>
      </c>
      <c r="D2133" t="s">
        <v>17</v>
      </c>
      <c r="E2133">
        <v>209</v>
      </c>
      <c r="F2133">
        <v>2</v>
      </c>
      <c r="G2133">
        <v>2.2000000000000002</v>
      </c>
      <c r="H2133" t="s">
        <v>12</v>
      </c>
      <c r="I2133" t="s">
        <v>16</v>
      </c>
      <c r="J2133" t="s">
        <v>11</v>
      </c>
      <c r="K2133">
        <f>_xlfn.XLOOKUP(tbl_analysis_tickets[[#This Row],[priority]],tbl_sla[priority],tbl_sla[Resolution SLA Hours])</f>
        <v>8</v>
      </c>
      <c r="L2133">
        <f>_xlfn.XLOOKUP(tbl_analysis_tickets[[#This Row],[priority]],tbl_sla[priority],tbl_sla[First Response SLA Minutes])</f>
        <v>30</v>
      </c>
      <c r="M2133" t="str">
        <f>IF(tbl_analysis_tickets[[#This Row],[resolution_time_hours]]&gt;tbl_analysis_tickets[[#This Row],[Resolution SLA Hours]],"Breached","Within SLA")</f>
        <v>Within SLA</v>
      </c>
      <c r="N2133" t="str">
        <f>IF(tbl_analysis_tickets[[#This Row],[first_response_minutes]]&gt;tbl_analysis_tickets[[#This Row],[First Response SLA Minutes]],"Breached","Within SLA")</f>
        <v>Breached</v>
      </c>
      <c r="O2133" t="str" cm="1">
        <f t="array" ref="O2133">_xlfn.IFS(
tbl_analysis_tickets[[#This Row],[agent_experience_years]]&lt;=2,"Junior",
tbl_analysis_tickets[[#This Row],[agent_experience_years]]&lt;=5,"Mid-Level",
tbl_analysis_tickets[[#This Row],[agent_experience_years]]&lt;=8,"Senior",
tbl_analysis_tickets[[#This Row],[agent_experience_years]]&gt;8,"Expert"
)</f>
        <v>Mid-Level</v>
      </c>
      <c r="P2133" cm="1">
        <f t="array" ref="P2133">_xlfn.SWITCH(tbl_analysis_tickets[[#This Row],[customer_satisfaction]],
"Low",1,
"Medium",2,
"High",3
)</f>
        <v>1</v>
      </c>
      <c r="Q2133">
        <f>IF(tbl_analysis_tickets[[#This Row],[reopened]]="Yes",1,0)</f>
        <v>1</v>
      </c>
      <c r="R2133" t="str" cm="1">
        <f t="array" ref="R2133">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133" t="str" cm="1">
        <f t="array" ref="S213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2133" t="str">
        <f>TEXT(tbl_analysis_tickets[[#This Row],[created_date]],"mmm-yyyy")</f>
        <v>Feb-2024</v>
      </c>
      <c r="U2133" t="str">
        <f>TEXT(tbl_analysis_tickets[[#This Row],[created_date]],"dddd")</f>
        <v>Tuesday</v>
      </c>
      <c r="V2133" cm="1">
        <f t="array" ref="V2133">_xlfn.SWITCH(tbl_analysis_tickets[[#This Row],[priority]],
"Urgent",1,
"High",2,
"Medium",3,
"Low",4
)</f>
        <v>1</v>
      </c>
    </row>
    <row r="2134" spans="1:22" x14ac:dyDescent="0.25">
      <c r="A2134">
        <v>2133</v>
      </c>
      <c r="B2134" s="1">
        <v>45388</v>
      </c>
      <c r="C2134" t="s">
        <v>22</v>
      </c>
      <c r="D2134" t="s">
        <v>11</v>
      </c>
      <c r="E2134">
        <v>95</v>
      </c>
      <c r="F2134">
        <v>2</v>
      </c>
      <c r="G2134">
        <v>4.2</v>
      </c>
      <c r="H2134" t="s">
        <v>18</v>
      </c>
      <c r="I2134" t="s">
        <v>19</v>
      </c>
      <c r="J2134" t="s">
        <v>15</v>
      </c>
      <c r="K2134">
        <f>_xlfn.XLOOKUP(tbl_analysis_tickets[[#This Row],[priority]],tbl_sla[priority],tbl_sla[Resolution SLA Hours])</f>
        <v>72</v>
      </c>
      <c r="L2134">
        <f>_xlfn.XLOOKUP(tbl_analysis_tickets[[#This Row],[priority]],tbl_sla[priority],tbl_sla[First Response SLA Minutes])</f>
        <v>240</v>
      </c>
      <c r="M2134" t="str">
        <f>IF(tbl_analysis_tickets[[#This Row],[resolution_time_hours]]&gt;tbl_analysis_tickets[[#This Row],[Resolution SLA Hours]],"Breached","Within SLA")</f>
        <v>Within SLA</v>
      </c>
      <c r="N2134" t="str">
        <f>IF(tbl_analysis_tickets[[#This Row],[first_response_minutes]]&gt;tbl_analysis_tickets[[#This Row],[First Response SLA Minutes]],"Breached","Within SLA")</f>
        <v>Within SLA</v>
      </c>
      <c r="O2134" t="str" cm="1">
        <f t="array" ref="O2134">_xlfn.IFS(
tbl_analysis_tickets[[#This Row],[agent_experience_years]]&lt;=2,"Junior",
tbl_analysis_tickets[[#This Row],[agent_experience_years]]&lt;=5,"Mid-Level",
tbl_analysis_tickets[[#This Row],[agent_experience_years]]&lt;=8,"Senior",
tbl_analysis_tickets[[#This Row],[agent_experience_years]]&gt;8,"Expert"
)</f>
        <v>Mid-Level</v>
      </c>
      <c r="P2134" cm="1">
        <f t="array" ref="P2134">_xlfn.SWITCH(tbl_analysis_tickets[[#This Row],[customer_satisfaction]],
"Low",1,
"Medium",2,
"High",3
)</f>
        <v>2</v>
      </c>
      <c r="Q2134">
        <f>IF(tbl_analysis_tickets[[#This Row],[reopened]]="Yes",1,0)</f>
        <v>0</v>
      </c>
      <c r="R2134" t="str" cm="1">
        <f t="array" ref="R2134">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134" t="str" cm="1">
        <f t="array" ref="S213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2134" t="str">
        <f>TEXT(tbl_analysis_tickets[[#This Row],[created_date]],"mmm-yyyy")</f>
        <v>Apr-2024</v>
      </c>
      <c r="U2134" t="str">
        <f>TEXT(tbl_analysis_tickets[[#This Row],[created_date]],"dddd")</f>
        <v>Saturday</v>
      </c>
      <c r="V2134" cm="1">
        <f t="array" ref="V2134">_xlfn.SWITCH(tbl_analysis_tickets[[#This Row],[priority]],
"Urgent",1,
"High",2,
"Medium",3,
"Low",4
)</f>
        <v>4</v>
      </c>
    </row>
    <row r="2135" spans="1:22" x14ac:dyDescent="0.25">
      <c r="A2135">
        <v>2134</v>
      </c>
      <c r="B2135" s="1">
        <v>45483</v>
      </c>
      <c r="C2135" t="s">
        <v>22</v>
      </c>
      <c r="D2135" t="s">
        <v>11</v>
      </c>
      <c r="E2135">
        <v>36</v>
      </c>
      <c r="F2135">
        <v>31</v>
      </c>
      <c r="G2135">
        <v>9.3000000000000007</v>
      </c>
      <c r="H2135" t="s">
        <v>18</v>
      </c>
      <c r="I2135" t="s">
        <v>19</v>
      </c>
      <c r="J2135" t="s">
        <v>15</v>
      </c>
      <c r="K2135">
        <f>_xlfn.XLOOKUP(tbl_analysis_tickets[[#This Row],[priority]],tbl_sla[priority],tbl_sla[Resolution SLA Hours])</f>
        <v>72</v>
      </c>
      <c r="L2135">
        <f>_xlfn.XLOOKUP(tbl_analysis_tickets[[#This Row],[priority]],tbl_sla[priority],tbl_sla[First Response SLA Minutes])</f>
        <v>240</v>
      </c>
      <c r="M2135" t="str">
        <f>IF(tbl_analysis_tickets[[#This Row],[resolution_time_hours]]&gt;tbl_analysis_tickets[[#This Row],[Resolution SLA Hours]],"Breached","Within SLA")</f>
        <v>Within SLA</v>
      </c>
      <c r="N2135" t="str">
        <f>IF(tbl_analysis_tickets[[#This Row],[first_response_minutes]]&gt;tbl_analysis_tickets[[#This Row],[First Response SLA Minutes]],"Breached","Within SLA")</f>
        <v>Within SLA</v>
      </c>
      <c r="O2135" t="str" cm="1">
        <f t="array" ref="O2135">_xlfn.IFS(
tbl_analysis_tickets[[#This Row],[agent_experience_years]]&lt;=2,"Junior",
tbl_analysis_tickets[[#This Row],[agent_experience_years]]&lt;=5,"Mid-Level",
tbl_analysis_tickets[[#This Row],[agent_experience_years]]&lt;=8,"Senior",
tbl_analysis_tickets[[#This Row],[agent_experience_years]]&gt;8,"Expert"
)</f>
        <v>Expert</v>
      </c>
      <c r="P2135" cm="1">
        <f t="array" ref="P2135">_xlfn.SWITCH(tbl_analysis_tickets[[#This Row],[customer_satisfaction]],
"Low",1,
"Medium",2,
"High",3
)</f>
        <v>2</v>
      </c>
      <c r="Q2135">
        <f>IF(tbl_analysis_tickets[[#This Row],[reopened]]="Yes",1,0)</f>
        <v>0</v>
      </c>
      <c r="R2135" t="str" cm="1">
        <f t="array" ref="R2135">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135" t="str" cm="1">
        <f t="array" ref="S213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135" t="str">
        <f>TEXT(tbl_analysis_tickets[[#This Row],[created_date]],"mmm-yyyy")</f>
        <v>Jul-2024</v>
      </c>
      <c r="U2135" t="str">
        <f>TEXT(tbl_analysis_tickets[[#This Row],[created_date]],"dddd")</f>
        <v>Wednesday</v>
      </c>
      <c r="V2135" cm="1">
        <f t="array" ref="V2135">_xlfn.SWITCH(tbl_analysis_tickets[[#This Row],[priority]],
"Urgent",1,
"High",2,
"Medium",3,
"Low",4
)</f>
        <v>4</v>
      </c>
    </row>
    <row r="2136" spans="1:22" x14ac:dyDescent="0.25">
      <c r="A2136">
        <v>2135</v>
      </c>
      <c r="B2136" s="1">
        <v>45502</v>
      </c>
      <c r="C2136" t="s">
        <v>21</v>
      </c>
      <c r="D2136" t="s">
        <v>17</v>
      </c>
      <c r="E2136">
        <v>181</v>
      </c>
      <c r="F2136">
        <v>13</v>
      </c>
      <c r="G2136">
        <v>6</v>
      </c>
      <c r="H2136" t="s">
        <v>18</v>
      </c>
      <c r="I2136" t="s">
        <v>13</v>
      </c>
      <c r="J2136" t="s">
        <v>11</v>
      </c>
      <c r="K2136">
        <f>_xlfn.XLOOKUP(tbl_analysis_tickets[[#This Row],[priority]],tbl_sla[priority],tbl_sla[Resolution SLA Hours])</f>
        <v>8</v>
      </c>
      <c r="L2136">
        <f>_xlfn.XLOOKUP(tbl_analysis_tickets[[#This Row],[priority]],tbl_sla[priority],tbl_sla[First Response SLA Minutes])</f>
        <v>30</v>
      </c>
      <c r="M2136" t="str">
        <f>IF(tbl_analysis_tickets[[#This Row],[resolution_time_hours]]&gt;tbl_analysis_tickets[[#This Row],[Resolution SLA Hours]],"Breached","Within SLA")</f>
        <v>Breached</v>
      </c>
      <c r="N2136" t="str">
        <f>IF(tbl_analysis_tickets[[#This Row],[first_response_minutes]]&gt;tbl_analysis_tickets[[#This Row],[First Response SLA Minutes]],"Breached","Within SLA")</f>
        <v>Breached</v>
      </c>
      <c r="O2136" t="str" cm="1">
        <f t="array" ref="O2136">_xlfn.IFS(
tbl_analysis_tickets[[#This Row],[agent_experience_years]]&lt;=2,"Junior",
tbl_analysis_tickets[[#This Row],[agent_experience_years]]&lt;=5,"Mid-Level",
tbl_analysis_tickets[[#This Row],[agent_experience_years]]&lt;=8,"Senior",
tbl_analysis_tickets[[#This Row],[agent_experience_years]]&gt;8,"Expert"
)</f>
        <v>Senior</v>
      </c>
      <c r="P2136" cm="1">
        <f t="array" ref="P2136">_xlfn.SWITCH(tbl_analysis_tickets[[#This Row],[customer_satisfaction]],
"Low",1,
"Medium",2,
"High",3
)</f>
        <v>1</v>
      </c>
      <c r="Q2136">
        <f>IF(tbl_analysis_tickets[[#This Row],[reopened]]="Yes",1,0)</f>
        <v>0</v>
      </c>
      <c r="R2136" t="str" cm="1">
        <f t="array" ref="R2136">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136" t="str" cm="1">
        <f t="array" ref="S213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136" t="str">
        <f>TEXT(tbl_analysis_tickets[[#This Row],[created_date]],"mmm-yyyy")</f>
        <v>Jul-2024</v>
      </c>
      <c r="U2136" t="str">
        <f>TEXT(tbl_analysis_tickets[[#This Row],[created_date]],"dddd")</f>
        <v>Monday</v>
      </c>
      <c r="V2136" cm="1">
        <f t="array" ref="V2136">_xlfn.SWITCH(tbl_analysis_tickets[[#This Row],[priority]],
"Urgent",1,
"High",2,
"Medium",3,
"Low",4
)</f>
        <v>1</v>
      </c>
    </row>
    <row r="2137" spans="1:22" x14ac:dyDescent="0.25">
      <c r="A2137">
        <v>2136</v>
      </c>
      <c r="B2137" s="1">
        <v>45463</v>
      </c>
      <c r="C2137" t="s">
        <v>14</v>
      </c>
      <c r="D2137" t="s">
        <v>11</v>
      </c>
      <c r="E2137">
        <v>173</v>
      </c>
      <c r="F2137">
        <v>8</v>
      </c>
      <c r="G2137">
        <v>9.6</v>
      </c>
      <c r="H2137" t="s">
        <v>12</v>
      </c>
      <c r="I2137" t="s">
        <v>16</v>
      </c>
      <c r="J2137" t="s">
        <v>11</v>
      </c>
      <c r="K2137">
        <f>_xlfn.XLOOKUP(tbl_analysis_tickets[[#This Row],[priority]],tbl_sla[priority],tbl_sla[Resolution SLA Hours])</f>
        <v>72</v>
      </c>
      <c r="L2137">
        <f>_xlfn.XLOOKUP(tbl_analysis_tickets[[#This Row],[priority]],tbl_sla[priority],tbl_sla[First Response SLA Minutes])</f>
        <v>240</v>
      </c>
      <c r="M2137" t="str">
        <f>IF(tbl_analysis_tickets[[#This Row],[resolution_time_hours]]&gt;tbl_analysis_tickets[[#This Row],[Resolution SLA Hours]],"Breached","Within SLA")</f>
        <v>Within SLA</v>
      </c>
      <c r="N2137" t="str">
        <f>IF(tbl_analysis_tickets[[#This Row],[first_response_minutes]]&gt;tbl_analysis_tickets[[#This Row],[First Response SLA Minutes]],"Breached","Within SLA")</f>
        <v>Within SLA</v>
      </c>
      <c r="O2137" t="str" cm="1">
        <f t="array" ref="O2137">_xlfn.IFS(
tbl_analysis_tickets[[#This Row],[agent_experience_years]]&lt;=2,"Junior",
tbl_analysis_tickets[[#This Row],[agent_experience_years]]&lt;=5,"Mid-Level",
tbl_analysis_tickets[[#This Row],[agent_experience_years]]&lt;=8,"Senior",
tbl_analysis_tickets[[#This Row],[agent_experience_years]]&gt;8,"Expert"
)</f>
        <v>Expert</v>
      </c>
      <c r="P2137" cm="1">
        <f t="array" ref="P2137">_xlfn.SWITCH(tbl_analysis_tickets[[#This Row],[customer_satisfaction]],
"Low",1,
"Medium",2,
"High",3
)</f>
        <v>1</v>
      </c>
      <c r="Q2137">
        <f>IF(tbl_analysis_tickets[[#This Row],[reopened]]="Yes",1,0)</f>
        <v>1</v>
      </c>
      <c r="R2137" t="str" cm="1">
        <f t="array" ref="R2137">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137" t="str" cm="1">
        <f t="array" ref="S213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2137" t="str">
        <f>TEXT(tbl_analysis_tickets[[#This Row],[created_date]],"mmm-yyyy")</f>
        <v>Jun-2024</v>
      </c>
      <c r="U2137" t="str">
        <f>TEXT(tbl_analysis_tickets[[#This Row],[created_date]],"dddd")</f>
        <v>Thursday</v>
      </c>
      <c r="V2137" cm="1">
        <f t="array" ref="V2137">_xlfn.SWITCH(tbl_analysis_tickets[[#This Row],[priority]],
"Urgent",1,
"High",2,
"Medium",3,
"Low",4
)</f>
        <v>4</v>
      </c>
    </row>
    <row r="2138" spans="1:22" x14ac:dyDescent="0.25">
      <c r="A2138">
        <v>2137</v>
      </c>
      <c r="B2138" s="1">
        <v>45340</v>
      </c>
      <c r="C2138" t="s">
        <v>10</v>
      </c>
      <c r="D2138" t="s">
        <v>20</v>
      </c>
      <c r="E2138">
        <v>25</v>
      </c>
      <c r="F2138">
        <v>27</v>
      </c>
      <c r="G2138">
        <v>6.4</v>
      </c>
      <c r="H2138" t="s">
        <v>12</v>
      </c>
      <c r="I2138" t="s">
        <v>16</v>
      </c>
      <c r="J2138" t="s">
        <v>15</v>
      </c>
      <c r="K2138">
        <f>_xlfn.XLOOKUP(tbl_analysis_tickets[[#This Row],[priority]],tbl_sla[priority],tbl_sla[Resolution SLA Hours])</f>
        <v>24</v>
      </c>
      <c r="L2138">
        <f>_xlfn.XLOOKUP(tbl_analysis_tickets[[#This Row],[priority]],tbl_sla[priority],tbl_sla[First Response SLA Minutes])</f>
        <v>60</v>
      </c>
      <c r="M2138" t="str">
        <f>IF(tbl_analysis_tickets[[#This Row],[resolution_time_hours]]&gt;tbl_analysis_tickets[[#This Row],[Resolution SLA Hours]],"Breached","Within SLA")</f>
        <v>Breached</v>
      </c>
      <c r="N2138" t="str">
        <f>IF(tbl_analysis_tickets[[#This Row],[first_response_minutes]]&gt;tbl_analysis_tickets[[#This Row],[First Response SLA Minutes]],"Breached","Within SLA")</f>
        <v>Within SLA</v>
      </c>
      <c r="O2138" t="str" cm="1">
        <f t="array" ref="O2138">_xlfn.IFS(
tbl_analysis_tickets[[#This Row],[agent_experience_years]]&lt;=2,"Junior",
tbl_analysis_tickets[[#This Row],[agent_experience_years]]&lt;=5,"Mid-Level",
tbl_analysis_tickets[[#This Row],[agent_experience_years]]&lt;=8,"Senior",
tbl_analysis_tickets[[#This Row],[agent_experience_years]]&gt;8,"Expert"
)</f>
        <v>Senior</v>
      </c>
      <c r="P2138" cm="1">
        <f t="array" ref="P2138">_xlfn.SWITCH(tbl_analysis_tickets[[#This Row],[customer_satisfaction]],
"Low",1,
"Medium",2,
"High",3
)</f>
        <v>2</v>
      </c>
      <c r="Q2138">
        <f>IF(tbl_analysis_tickets[[#This Row],[reopened]]="Yes",1,0)</f>
        <v>1</v>
      </c>
      <c r="R2138" t="str" cm="1">
        <f t="array" ref="R2138">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2138" t="str" cm="1">
        <f t="array" ref="S213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138" t="str">
        <f>TEXT(tbl_analysis_tickets[[#This Row],[created_date]],"mmm-yyyy")</f>
        <v>Feb-2024</v>
      </c>
      <c r="U2138" t="str">
        <f>TEXT(tbl_analysis_tickets[[#This Row],[created_date]],"dddd")</f>
        <v>Sunday</v>
      </c>
      <c r="V2138" cm="1">
        <f t="array" ref="V2138">_xlfn.SWITCH(tbl_analysis_tickets[[#This Row],[priority]],
"Urgent",1,
"High",2,
"Medium",3,
"Low",4
)</f>
        <v>2</v>
      </c>
    </row>
    <row r="2139" spans="1:22" x14ac:dyDescent="0.25">
      <c r="A2139">
        <v>2138</v>
      </c>
      <c r="B2139" s="1">
        <v>45580</v>
      </c>
      <c r="C2139" t="s">
        <v>10</v>
      </c>
      <c r="D2139" t="s">
        <v>11</v>
      </c>
      <c r="E2139">
        <v>116</v>
      </c>
      <c r="F2139">
        <v>29</v>
      </c>
      <c r="G2139">
        <v>6.2</v>
      </c>
      <c r="H2139" t="s">
        <v>12</v>
      </c>
      <c r="I2139" t="s">
        <v>13</v>
      </c>
      <c r="J2139" t="s">
        <v>11</v>
      </c>
      <c r="K2139">
        <f>_xlfn.XLOOKUP(tbl_analysis_tickets[[#This Row],[priority]],tbl_sla[priority],tbl_sla[Resolution SLA Hours])</f>
        <v>72</v>
      </c>
      <c r="L2139">
        <f>_xlfn.XLOOKUP(tbl_analysis_tickets[[#This Row],[priority]],tbl_sla[priority],tbl_sla[First Response SLA Minutes])</f>
        <v>240</v>
      </c>
      <c r="M2139" t="str">
        <f>IF(tbl_analysis_tickets[[#This Row],[resolution_time_hours]]&gt;tbl_analysis_tickets[[#This Row],[Resolution SLA Hours]],"Breached","Within SLA")</f>
        <v>Within SLA</v>
      </c>
      <c r="N2139" t="str">
        <f>IF(tbl_analysis_tickets[[#This Row],[first_response_minutes]]&gt;tbl_analysis_tickets[[#This Row],[First Response SLA Minutes]],"Breached","Within SLA")</f>
        <v>Within SLA</v>
      </c>
      <c r="O2139" t="str" cm="1">
        <f t="array" ref="O2139">_xlfn.IFS(
tbl_analysis_tickets[[#This Row],[agent_experience_years]]&lt;=2,"Junior",
tbl_analysis_tickets[[#This Row],[agent_experience_years]]&lt;=5,"Mid-Level",
tbl_analysis_tickets[[#This Row],[agent_experience_years]]&lt;=8,"Senior",
tbl_analysis_tickets[[#This Row],[agent_experience_years]]&gt;8,"Expert"
)</f>
        <v>Senior</v>
      </c>
      <c r="P2139" cm="1">
        <f t="array" ref="P2139">_xlfn.SWITCH(tbl_analysis_tickets[[#This Row],[customer_satisfaction]],
"Low",1,
"Medium",2,
"High",3
)</f>
        <v>1</v>
      </c>
      <c r="Q2139">
        <f>IF(tbl_analysis_tickets[[#This Row],[reopened]]="Yes",1,0)</f>
        <v>1</v>
      </c>
      <c r="R2139" t="str" cm="1">
        <f t="array" ref="R2139">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139" t="str" cm="1">
        <f t="array" ref="S213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139" t="str">
        <f>TEXT(tbl_analysis_tickets[[#This Row],[created_date]],"mmm-yyyy")</f>
        <v>Oct-2024</v>
      </c>
      <c r="U2139" t="str">
        <f>TEXT(tbl_analysis_tickets[[#This Row],[created_date]],"dddd")</f>
        <v>Tuesday</v>
      </c>
      <c r="V2139" cm="1">
        <f t="array" ref="V2139">_xlfn.SWITCH(tbl_analysis_tickets[[#This Row],[priority]],
"Urgent",1,
"High",2,
"Medium",3,
"Low",4
)</f>
        <v>4</v>
      </c>
    </row>
    <row r="2140" spans="1:22" x14ac:dyDescent="0.25">
      <c r="A2140">
        <v>2139</v>
      </c>
      <c r="B2140" s="1">
        <v>45513</v>
      </c>
      <c r="C2140" t="s">
        <v>21</v>
      </c>
      <c r="D2140" t="s">
        <v>20</v>
      </c>
      <c r="E2140">
        <v>46</v>
      </c>
      <c r="F2140">
        <v>3</v>
      </c>
      <c r="G2140">
        <v>4.0999999999999996</v>
      </c>
      <c r="H2140" t="s">
        <v>18</v>
      </c>
      <c r="I2140" t="s">
        <v>13</v>
      </c>
      <c r="J2140" t="s">
        <v>15</v>
      </c>
      <c r="K2140">
        <f>_xlfn.XLOOKUP(tbl_analysis_tickets[[#This Row],[priority]],tbl_sla[priority],tbl_sla[Resolution SLA Hours])</f>
        <v>24</v>
      </c>
      <c r="L2140">
        <f>_xlfn.XLOOKUP(tbl_analysis_tickets[[#This Row],[priority]],tbl_sla[priority],tbl_sla[First Response SLA Minutes])</f>
        <v>60</v>
      </c>
      <c r="M2140" t="str">
        <f>IF(tbl_analysis_tickets[[#This Row],[resolution_time_hours]]&gt;tbl_analysis_tickets[[#This Row],[Resolution SLA Hours]],"Breached","Within SLA")</f>
        <v>Within SLA</v>
      </c>
      <c r="N2140" t="str">
        <f>IF(tbl_analysis_tickets[[#This Row],[first_response_minutes]]&gt;tbl_analysis_tickets[[#This Row],[First Response SLA Minutes]],"Breached","Within SLA")</f>
        <v>Within SLA</v>
      </c>
      <c r="O2140" t="str" cm="1">
        <f t="array" ref="O2140">_xlfn.IFS(
tbl_analysis_tickets[[#This Row],[agent_experience_years]]&lt;=2,"Junior",
tbl_analysis_tickets[[#This Row],[agent_experience_years]]&lt;=5,"Mid-Level",
tbl_analysis_tickets[[#This Row],[agent_experience_years]]&lt;=8,"Senior",
tbl_analysis_tickets[[#This Row],[agent_experience_years]]&gt;8,"Expert"
)</f>
        <v>Mid-Level</v>
      </c>
      <c r="P2140" cm="1">
        <f t="array" ref="P2140">_xlfn.SWITCH(tbl_analysis_tickets[[#This Row],[customer_satisfaction]],
"Low",1,
"Medium",2,
"High",3
)</f>
        <v>2</v>
      </c>
      <c r="Q2140">
        <f>IF(tbl_analysis_tickets[[#This Row],[reopened]]="Yes",1,0)</f>
        <v>0</v>
      </c>
      <c r="R2140" t="str" cm="1">
        <f t="array" ref="R2140">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140" t="str" cm="1">
        <f t="array" ref="S214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2140" t="str">
        <f>TEXT(tbl_analysis_tickets[[#This Row],[created_date]],"mmm-yyyy")</f>
        <v>Aug-2024</v>
      </c>
      <c r="U2140" t="str">
        <f>TEXT(tbl_analysis_tickets[[#This Row],[created_date]],"dddd")</f>
        <v>Friday</v>
      </c>
      <c r="V2140" cm="1">
        <f t="array" ref="V2140">_xlfn.SWITCH(tbl_analysis_tickets[[#This Row],[priority]],
"Urgent",1,
"High",2,
"Medium",3,
"Low",4
)</f>
        <v>2</v>
      </c>
    </row>
    <row r="2141" spans="1:22" x14ac:dyDescent="0.25">
      <c r="A2141">
        <v>2140</v>
      </c>
      <c r="B2141" s="1">
        <v>45502</v>
      </c>
      <c r="C2141" t="s">
        <v>14</v>
      </c>
      <c r="D2141" t="s">
        <v>17</v>
      </c>
      <c r="E2141">
        <v>87</v>
      </c>
      <c r="F2141">
        <v>4</v>
      </c>
      <c r="G2141">
        <v>9.6999999999999993</v>
      </c>
      <c r="H2141" t="s">
        <v>18</v>
      </c>
      <c r="I2141" t="s">
        <v>16</v>
      </c>
      <c r="J2141" t="s">
        <v>15</v>
      </c>
      <c r="K2141">
        <f>_xlfn.XLOOKUP(tbl_analysis_tickets[[#This Row],[priority]],tbl_sla[priority],tbl_sla[Resolution SLA Hours])</f>
        <v>8</v>
      </c>
      <c r="L2141">
        <f>_xlfn.XLOOKUP(tbl_analysis_tickets[[#This Row],[priority]],tbl_sla[priority],tbl_sla[First Response SLA Minutes])</f>
        <v>30</v>
      </c>
      <c r="M2141" t="str">
        <f>IF(tbl_analysis_tickets[[#This Row],[resolution_time_hours]]&gt;tbl_analysis_tickets[[#This Row],[Resolution SLA Hours]],"Breached","Within SLA")</f>
        <v>Within SLA</v>
      </c>
      <c r="N2141" t="str">
        <f>IF(tbl_analysis_tickets[[#This Row],[first_response_minutes]]&gt;tbl_analysis_tickets[[#This Row],[First Response SLA Minutes]],"Breached","Within SLA")</f>
        <v>Breached</v>
      </c>
      <c r="O2141" t="str" cm="1">
        <f t="array" ref="O2141">_xlfn.IFS(
tbl_analysis_tickets[[#This Row],[agent_experience_years]]&lt;=2,"Junior",
tbl_analysis_tickets[[#This Row],[agent_experience_years]]&lt;=5,"Mid-Level",
tbl_analysis_tickets[[#This Row],[agent_experience_years]]&lt;=8,"Senior",
tbl_analysis_tickets[[#This Row],[agent_experience_years]]&gt;8,"Expert"
)</f>
        <v>Expert</v>
      </c>
      <c r="P2141" cm="1">
        <f t="array" ref="P2141">_xlfn.SWITCH(tbl_analysis_tickets[[#This Row],[customer_satisfaction]],
"Low",1,
"Medium",2,
"High",3
)</f>
        <v>2</v>
      </c>
      <c r="Q2141">
        <f>IF(tbl_analysis_tickets[[#This Row],[reopened]]="Yes",1,0)</f>
        <v>0</v>
      </c>
      <c r="R2141" t="str" cm="1">
        <f t="array" ref="R2141">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141" t="str" cm="1">
        <f t="array" ref="S214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2141" t="str">
        <f>TEXT(tbl_analysis_tickets[[#This Row],[created_date]],"mmm-yyyy")</f>
        <v>Jul-2024</v>
      </c>
      <c r="U2141" t="str">
        <f>TEXT(tbl_analysis_tickets[[#This Row],[created_date]],"dddd")</f>
        <v>Monday</v>
      </c>
      <c r="V2141" cm="1">
        <f t="array" ref="V2141">_xlfn.SWITCH(tbl_analysis_tickets[[#This Row],[priority]],
"Urgent",1,
"High",2,
"Medium",3,
"Low",4
)</f>
        <v>1</v>
      </c>
    </row>
    <row r="2142" spans="1:22" x14ac:dyDescent="0.25">
      <c r="A2142">
        <v>2141</v>
      </c>
      <c r="B2142" s="1">
        <v>45485</v>
      </c>
      <c r="C2142" t="s">
        <v>14</v>
      </c>
      <c r="D2142" t="s">
        <v>15</v>
      </c>
      <c r="E2142">
        <v>207</v>
      </c>
      <c r="F2142">
        <v>31</v>
      </c>
      <c r="G2142">
        <v>5.7</v>
      </c>
      <c r="H2142" t="s">
        <v>12</v>
      </c>
      <c r="I2142" t="s">
        <v>19</v>
      </c>
      <c r="J2142" t="s">
        <v>11</v>
      </c>
      <c r="K2142">
        <f>_xlfn.XLOOKUP(tbl_analysis_tickets[[#This Row],[priority]],tbl_sla[priority],tbl_sla[Resolution SLA Hours])</f>
        <v>48</v>
      </c>
      <c r="L2142">
        <f>_xlfn.XLOOKUP(tbl_analysis_tickets[[#This Row],[priority]],tbl_sla[priority],tbl_sla[First Response SLA Minutes])</f>
        <v>120</v>
      </c>
      <c r="M2142" t="str">
        <f>IF(tbl_analysis_tickets[[#This Row],[resolution_time_hours]]&gt;tbl_analysis_tickets[[#This Row],[Resolution SLA Hours]],"Breached","Within SLA")</f>
        <v>Within SLA</v>
      </c>
      <c r="N2142" t="str">
        <f>IF(tbl_analysis_tickets[[#This Row],[first_response_minutes]]&gt;tbl_analysis_tickets[[#This Row],[First Response SLA Minutes]],"Breached","Within SLA")</f>
        <v>Breached</v>
      </c>
      <c r="O2142" t="str" cm="1">
        <f t="array" ref="O2142">_xlfn.IFS(
tbl_analysis_tickets[[#This Row],[agent_experience_years]]&lt;=2,"Junior",
tbl_analysis_tickets[[#This Row],[agent_experience_years]]&lt;=5,"Mid-Level",
tbl_analysis_tickets[[#This Row],[agent_experience_years]]&lt;=8,"Senior",
tbl_analysis_tickets[[#This Row],[agent_experience_years]]&gt;8,"Expert"
)</f>
        <v>Senior</v>
      </c>
      <c r="P2142" cm="1">
        <f t="array" ref="P2142">_xlfn.SWITCH(tbl_analysis_tickets[[#This Row],[customer_satisfaction]],
"Low",1,
"Medium",2,
"High",3
)</f>
        <v>1</v>
      </c>
      <c r="Q2142">
        <f>IF(tbl_analysis_tickets[[#This Row],[reopened]]="Yes",1,0)</f>
        <v>1</v>
      </c>
      <c r="R2142" t="str" cm="1">
        <f t="array" ref="R2142">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142" t="str" cm="1">
        <f t="array" ref="S214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142" t="str">
        <f>TEXT(tbl_analysis_tickets[[#This Row],[created_date]],"mmm-yyyy")</f>
        <v>Jul-2024</v>
      </c>
      <c r="U2142" t="str">
        <f>TEXT(tbl_analysis_tickets[[#This Row],[created_date]],"dddd")</f>
        <v>Friday</v>
      </c>
      <c r="V2142" cm="1">
        <f t="array" ref="V2142">_xlfn.SWITCH(tbl_analysis_tickets[[#This Row],[priority]],
"Urgent",1,
"High",2,
"Medium",3,
"Low",4
)</f>
        <v>3</v>
      </c>
    </row>
    <row r="2143" spans="1:22" x14ac:dyDescent="0.25">
      <c r="A2143">
        <v>2142</v>
      </c>
      <c r="B2143" s="1">
        <v>45570</v>
      </c>
      <c r="C2143" t="s">
        <v>23</v>
      </c>
      <c r="D2143" t="s">
        <v>17</v>
      </c>
      <c r="E2143">
        <v>233</v>
      </c>
      <c r="F2143">
        <v>44</v>
      </c>
      <c r="G2143">
        <v>1.2</v>
      </c>
      <c r="H2143" t="s">
        <v>18</v>
      </c>
      <c r="I2143" t="s">
        <v>16</v>
      </c>
      <c r="J2143" t="s">
        <v>11</v>
      </c>
      <c r="K2143">
        <f>_xlfn.XLOOKUP(tbl_analysis_tickets[[#This Row],[priority]],tbl_sla[priority],tbl_sla[Resolution SLA Hours])</f>
        <v>8</v>
      </c>
      <c r="L2143">
        <f>_xlfn.XLOOKUP(tbl_analysis_tickets[[#This Row],[priority]],tbl_sla[priority],tbl_sla[First Response SLA Minutes])</f>
        <v>30</v>
      </c>
      <c r="M2143" t="str">
        <f>IF(tbl_analysis_tickets[[#This Row],[resolution_time_hours]]&gt;tbl_analysis_tickets[[#This Row],[Resolution SLA Hours]],"Breached","Within SLA")</f>
        <v>Breached</v>
      </c>
      <c r="N2143" t="str">
        <f>IF(tbl_analysis_tickets[[#This Row],[first_response_minutes]]&gt;tbl_analysis_tickets[[#This Row],[First Response SLA Minutes]],"Breached","Within SLA")</f>
        <v>Breached</v>
      </c>
      <c r="O2143" t="str" cm="1">
        <f t="array" ref="O2143">_xlfn.IFS(
tbl_analysis_tickets[[#This Row],[agent_experience_years]]&lt;=2,"Junior",
tbl_analysis_tickets[[#This Row],[agent_experience_years]]&lt;=5,"Mid-Level",
tbl_analysis_tickets[[#This Row],[agent_experience_years]]&lt;=8,"Senior",
tbl_analysis_tickets[[#This Row],[agent_experience_years]]&gt;8,"Expert"
)</f>
        <v>Junior</v>
      </c>
      <c r="P2143" cm="1">
        <f t="array" ref="P2143">_xlfn.SWITCH(tbl_analysis_tickets[[#This Row],[customer_satisfaction]],
"Low",1,
"Medium",2,
"High",3
)</f>
        <v>1</v>
      </c>
      <c r="Q2143">
        <f>IF(tbl_analysis_tickets[[#This Row],[reopened]]="Yes",1,0)</f>
        <v>0</v>
      </c>
      <c r="R2143" t="str" cm="1">
        <f t="array" ref="R2143">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143" t="str" cm="1">
        <f t="array" ref="S214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143" t="str">
        <f>TEXT(tbl_analysis_tickets[[#This Row],[created_date]],"mmm-yyyy")</f>
        <v>Oct-2024</v>
      </c>
      <c r="U2143" t="str">
        <f>TEXT(tbl_analysis_tickets[[#This Row],[created_date]],"dddd")</f>
        <v>Saturday</v>
      </c>
      <c r="V2143" cm="1">
        <f t="array" ref="V2143">_xlfn.SWITCH(tbl_analysis_tickets[[#This Row],[priority]],
"Urgent",1,
"High",2,
"Medium",3,
"Low",4
)</f>
        <v>1</v>
      </c>
    </row>
    <row r="2144" spans="1:22" x14ac:dyDescent="0.25">
      <c r="A2144">
        <v>2143</v>
      </c>
      <c r="B2144" s="1">
        <v>45387</v>
      </c>
      <c r="C2144" t="s">
        <v>14</v>
      </c>
      <c r="D2144" t="s">
        <v>20</v>
      </c>
      <c r="E2144">
        <v>224</v>
      </c>
      <c r="F2144">
        <v>8</v>
      </c>
      <c r="G2144">
        <v>0.7</v>
      </c>
      <c r="H2144" t="s">
        <v>12</v>
      </c>
      <c r="I2144" t="s">
        <v>19</v>
      </c>
      <c r="J2144" t="s">
        <v>11</v>
      </c>
      <c r="K2144">
        <f>_xlfn.XLOOKUP(tbl_analysis_tickets[[#This Row],[priority]],tbl_sla[priority],tbl_sla[Resolution SLA Hours])</f>
        <v>24</v>
      </c>
      <c r="L2144">
        <f>_xlfn.XLOOKUP(tbl_analysis_tickets[[#This Row],[priority]],tbl_sla[priority],tbl_sla[First Response SLA Minutes])</f>
        <v>60</v>
      </c>
      <c r="M2144" t="str">
        <f>IF(tbl_analysis_tickets[[#This Row],[resolution_time_hours]]&gt;tbl_analysis_tickets[[#This Row],[Resolution SLA Hours]],"Breached","Within SLA")</f>
        <v>Within SLA</v>
      </c>
      <c r="N2144" t="str">
        <f>IF(tbl_analysis_tickets[[#This Row],[first_response_minutes]]&gt;tbl_analysis_tickets[[#This Row],[First Response SLA Minutes]],"Breached","Within SLA")</f>
        <v>Breached</v>
      </c>
      <c r="O2144" t="str" cm="1">
        <f t="array" ref="O2144">_xlfn.IFS(
tbl_analysis_tickets[[#This Row],[agent_experience_years]]&lt;=2,"Junior",
tbl_analysis_tickets[[#This Row],[agent_experience_years]]&lt;=5,"Mid-Level",
tbl_analysis_tickets[[#This Row],[agent_experience_years]]&lt;=8,"Senior",
tbl_analysis_tickets[[#This Row],[agent_experience_years]]&gt;8,"Expert"
)</f>
        <v>Junior</v>
      </c>
      <c r="P2144" cm="1">
        <f t="array" ref="P2144">_xlfn.SWITCH(tbl_analysis_tickets[[#This Row],[customer_satisfaction]],
"Low",1,
"Medium",2,
"High",3
)</f>
        <v>1</v>
      </c>
      <c r="Q2144">
        <f>IF(tbl_analysis_tickets[[#This Row],[reopened]]="Yes",1,0)</f>
        <v>1</v>
      </c>
      <c r="R2144" t="str" cm="1">
        <f t="array" ref="R2144">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144" t="str" cm="1">
        <f t="array" ref="S214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2144" t="str">
        <f>TEXT(tbl_analysis_tickets[[#This Row],[created_date]],"mmm-yyyy")</f>
        <v>Apr-2024</v>
      </c>
      <c r="U2144" t="str">
        <f>TEXT(tbl_analysis_tickets[[#This Row],[created_date]],"dddd")</f>
        <v>Friday</v>
      </c>
      <c r="V2144" cm="1">
        <f t="array" ref="V2144">_xlfn.SWITCH(tbl_analysis_tickets[[#This Row],[priority]],
"Urgent",1,
"High",2,
"Medium",3,
"Low",4
)</f>
        <v>2</v>
      </c>
    </row>
    <row r="2145" spans="1:22" x14ac:dyDescent="0.25">
      <c r="A2145">
        <v>2144</v>
      </c>
      <c r="B2145" s="1">
        <v>45653</v>
      </c>
      <c r="C2145" t="s">
        <v>23</v>
      </c>
      <c r="D2145" t="s">
        <v>17</v>
      </c>
      <c r="E2145">
        <v>160</v>
      </c>
      <c r="F2145">
        <v>69</v>
      </c>
      <c r="G2145">
        <v>4.9000000000000004</v>
      </c>
      <c r="H2145" t="s">
        <v>12</v>
      </c>
      <c r="I2145" t="s">
        <v>19</v>
      </c>
      <c r="J2145" t="s">
        <v>11</v>
      </c>
      <c r="K2145">
        <f>_xlfn.XLOOKUP(tbl_analysis_tickets[[#This Row],[priority]],tbl_sla[priority],tbl_sla[Resolution SLA Hours])</f>
        <v>8</v>
      </c>
      <c r="L2145">
        <f>_xlfn.XLOOKUP(tbl_analysis_tickets[[#This Row],[priority]],tbl_sla[priority],tbl_sla[First Response SLA Minutes])</f>
        <v>30</v>
      </c>
      <c r="M2145" t="str">
        <f>IF(tbl_analysis_tickets[[#This Row],[resolution_time_hours]]&gt;tbl_analysis_tickets[[#This Row],[Resolution SLA Hours]],"Breached","Within SLA")</f>
        <v>Breached</v>
      </c>
      <c r="N2145" t="str">
        <f>IF(tbl_analysis_tickets[[#This Row],[first_response_minutes]]&gt;tbl_analysis_tickets[[#This Row],[First Response SLA Minutes]],"Breached","Within SLA")</f>
        <v>Breached</v>
      </c>
      <c r="O2145" t="str" cm="1">
        <f t="array" ref="O2145">_xlfn.IFS(
tbl_analysis_tickets[[#This Row],[agent_experience_years]]&lt;=2,"Junior",
tbl_analysis_tickets[[#This Row],[agent_experience_years]]&lt;=5,"Mid-Level",
tbl_analysis_tickets[[#This Row],[agent_experience_years]]&lt;=8,"Senior",
tbl_analysis_tickets[[#This Row],[agent_experience_years]]&gt;8,"Expert"
)</f>
        <v>Mid-Level</v>
      </c>
      <c r="P2145" cm="1">
        <f t="array" ref="P2145">_xlfn.SWITCH(tbl_analysis_tickets[[#This Row],[customer_satisfaction]],
"Low",1,
"Medium",2,
"High",3
)</f>
        <v>1</v>
      </c>
      <c r="Q2145">
        <f>IF(tbl_analysis_tickets[[#This Row],[reopened]]="Yes",1,0)</f>
        <v>1</v>
      </c>
      <c r="R2145" t="str" cm="1">
        <f t="array" ref="R2145">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145" t="str" cm="1">
        <f t="array" ref="S214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145" t="str">
        <f>TEXT(tbl_analysis_tickets[[#This Row],[created_date]],"mmm-yyyy")</f>
        <v>Dec-2024</v>
      </c>
      <c r="U2145" t="str">
        <f>TEXT(tbl_analysis_tickets[[#This Row],[created_date]],"dddd")</f>
        <v>Friday</v>
      </c>
      <c r="V2145" cm="1">
        <f t="array" ref="V2145">_xlfn.SWITCH(tbl_analysis_tickets[[#This Row],[priority]],
"Urgent",1,
"High",2,
"Medium",3,
"Low",4
)</f>
        <v>1</v>
      </c>
    </row>
    <row r="2146" spans="1:22" x14ac:dyDescent="0.25">
      <c r="A2146">
        <v>2145</v>
      </c>
      <c r="B2146" s="1">
        <v>45475</v>
      </c>
      <c r="C2146" t="s">
        <v>10</v>
      </c>
      <c r="D2146" t="s">
        <v>11</v>
      </c>
      <c r="E2146">
        <v>138</v>
      </c>
      <c r="F2146">
        <v>58</v>
      </c>
      <c r="G2146">
        <v>8.1</v>
      </c>
      <c r="H2146" t="s">
        <v>18</v>
      </c>
      <c r="I2146" t="s">
        <v>13</v>
      </c>
      <c r="J2146" t="s">
        <v>15</v>
      </c>
      <c r="K2146">
        <f>_xlfn.XLOOKUP(tbl_analysis_tickets[[#This Row],[priority]],tbl_sla[priority],tbl_sla[Resolution SLA Hours])</f>
        <v>72</v>
      </c>
      <c r="L2146">
        <f>_xlfn.XLOOKUP(tbl_analysis_tickets[[#This Row],[priority]],tbl_sla[priority],tbl_sla[First Response SLA Minutes])</f>
        <v>240</v>
      </c>
      <c r="M2146" t="str">
        <f>IF(tbl_analysis_tickets[[#This Row],[resolution_time_hours]]&gt;tbl_analysis_tickets[[#This Row],[Resolution SLA Hours]],"Breached","Within SLA")</f>
        <v>Within SLA</v>
      </c>
      <c r="N2146" t="str">
        <f>IF(tbl_analysis_tickets[[#This Row],[first_response_minutes]]&gt;tbl_analysis_tickets[[#This Row],[First Response SLA Minutes]],"Breached","Within SLA")</f>
        <v>Within SLA</v>
      </c>
      <c r="O2146" t="str" cm="1">
        <f t="array" ref="O2146">_xlfn.IFS(
tbl_analysis_tickets[[#This Row],[agent_experience_years]]&lt;=2,"Junior",
tbl_analysis_tickets[[#This Row],[agent_experience_years]]&lt;=5,"Mid-Level",
tbl_analysis_tickets[[#This Row],[agent_experience_years]]&lt;=8,"Senior",
tbl_analysis_tickets[[#This Row],[agent_experience_years]]&gt;8,"Expert"
)</f>
        <v>Expert</v>
      </c>
      <c r="P2146" cm="1">
        <f t="array" ref="P2146">_xlfn.SWITCH(tbl_analysis_tickets[[#This Row],[customer_satisfaction]],
"Low",1,
"Medium",2,
"High",3
)</f>
        <v>2</v>
      </c>
      <c r="Q2146">
        <f>IF(tbl_analysis_tickets[[#This Row],[reopened]]="Yes",1,0)</f>
        <v>0</v>
      </c>
      <c r="R2146" t="str" cm="1">
        <f t="array" ref="R2146">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146" t="str" cm="1">
        <f t="array" ref="S214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146" t="str">
        <f>TEXT(tbl_analysis_tickets[[#This Row],[created_date]],"mmm-yyyy")</f>
        <v>Jul-2024</v>
      </c>
      <c r="U2146" t="str">
        <f>TEXT(tbl_analysis_tickets[[#This Row],[created_date]],"dddd")</f>
        <v>Tuesday</v>
      </c>
      <c r="V2146" cm="1">
        <f t="array" ref="V2146">_xlfn.SWITCH(tbl_analysis_tickets[[#This Row],[priority]],
"Urgent",1,
"High",2,
"Medium",3,
"Low",4
)</f>
        <v>4</v>
      </c>
    </row>
    <row r="2147" spans="1:22" x14ac:dyDescent="0.25">
      <c r="A2147">
        <v>2146</v>
      </c>
      <c r="B2147" s="1">
        <v>45452</v>
      </c>
      <c r="C2147" t="s">
        <v>22</v>
      </c>
      <c r="D2147" t="s">
        <v>17</v>
      </c>
      <c r="E2147">
        <v>214</v>
      </c>
      <c r="F2147">
        <v>62</v>
      </c>
      <c r="G2147">
        <v>3.8</v>
      </c>
      <c r="H2147" t="s">
        <v>18</v>
      </c>
      <c r="I2147" t="s">
        <v>13</v>
      </c>
      <c r="J2147" t="s">
        <v>11</v>
      </c>
      <c r="K2147">
        <f>_xlfn.XLOOKUP(tbl_analysis_tickets[[#This Row],[priority]],tbl_sla[priority],tbl_sla[Resolution SLA Hours])</f>
        <v>8</v>
      </c>
      <c r="L2147">
        <f>_xlfn.XLOOKUP(tbl_analysis_tickets[[#This Row],[priority]],tbl_sla[priority],tbl_sla[First Response SLA Minutes])</f>
        <v>30</v>
      </c>
      <c r="M2147" t="str">
        <f>IF(tbl_analysis_tickets[[#This Row],[resolution_time_hours]]&gt;tbl_analysis_tickets[[#This Row],[Resolution SLA Hours]],"Breached","Within SLA")</f>
        <v>Breached</v>
      </c>
      <c r="N2147" t="str">
        <f>IF(tbl_analysis_tickets[[#This Row],[first_response_minutes]]&gt;tbl_analysis_tickets[[#This Row],[First Response SLA Minutes]],"Breached","Within SLA")</f>
        <v>Breached</v>
      </c>
      <c r="O2147" t="str" cm="1">
        <f t="array" ref="O2147">_xlfn.IFS(
tbl_analysis_tickets[[#This Row],[agent_experience_years]]&lt;=2,"Junior",
tbl_analysis_tickets[[#This Row],[agent_experience_years]]&lt;=5,"Mid-Level",
tbl_analysis_tickets[[#This Row],[agent_experience_years]]&lt;=8,"Senior",
tbl_analysis_tickets[[#This Row],[agent_experience_years]]&gt;8,"Expert"
)</f>
        <v>Mid-Level</v>
      </c>
      <c r="P2147" cm="1">
        <f t="array" ref="P2147">_xlfn.SWITCH(tbl_analysis_tickets[[#This Row],[customer_satisfaction]],
"Low",1,
"Medium",2,
"High",3
)</f>
        <v>1</v>
      </c>
      <c r="Q2147">
        <f>IF(tbl_analysis_tickets[[#This Row],[reopened]]="Yes",1,0)</f>
        <v>0</v>
      </c>
      <c r="R2147" t="str" cm="1">
        <f t="array" ref="R2147">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147" t="str" cm="1">
        <f t="array" ref="S214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147" t="str">
        <f>TEXT(tbl_analysis_tickets[[#This Row],[created_date]],"mmm-yyyy")</f>
        <v>Jun-2024</v>
      </c>
      <c r="U2147" t="str">
        <f>TEXT(tbl_analysis_tickets[[#This Row],[created_date]],"dddd")</f>
        <v>Sunday</v>
      </c>
      <c r="V2147" cm="1">
        <f t="array" ref="V2147">_xlfn.SWITCH(tbl_analysis_tickets[[#This Row],[priority]],
"Urgent",1,
"High",2,
"Medium",3,
"Low",4
)</f>
        <v>1</v>
      </c>
    </row>
    <row r="2148" spans="1:22" x14ac:dyDescent="0.25">
      <c r="A2148">
        <v>2147</v>
      </c>
      <c r="B2148" s="1">
        <v>45437</v>
      </c>
      <c r="C2148" t="s">
        <v>14</v>
      </c>
      <c r="D2148" t="s">
        <v>11</v>
      </c>
      <c r="E2148">
        <v>51</v>
      </c>
      <c r="F2148">
        <v>56</v>
      </c>
      <c r="G2148">
        <v>4.5999999999999996</v>
      </c>
      <c r="H2148" t="s">
        <v>18</v>
      </c>
      <c r="I2148" t="s">
        <v>13</v>
      </c>
      <c r="J2148" t="s">
        <v>11</v>
      </c>
      <c r="K2148">
        <f>_xlfn.XLOOKUP(tbl_analysis_tickets[[#This Row],[priority]],tbl_sla[priority],tbl_sla[Resolution SLA Hours])</f>
        <v>72</v>
      </c>
      <c r="L2148">
        <f>_xlfn.XLOOKUP(tbl_analysis_tickets[[#This Row],[priority]],tbl_sla[priority],tbl_sla[First Response SLA Minutes])</f>
        <v>240</v>
      </c>
      <c r="M2148" t="str">
        <f>IF(tbl_analysis_tickets[[#This Row],[resolution_time_hours]]&gt;tbl_analysis_tickets[[#This Row],[Resolution SLA Hours]],"Breached","Within SLA")</f>
        <v>Within SLA</v>
      </c>
      <c r="N2148" t="str">
        <f>IF(tbl_analysis_tickets[[#This Row],[first_response_minutes]]&gt;tbl_analysis_tickets[[#This Row],[First Response SLA Minutes]],"Breached","Within SLA")</f>
        <v>Within SLA</v>
      </c>
      <c r="O2148" t="str" cm="1">
        <f t="array" ref="O2148">_xlfn.IFS(
tbl_analysis_tickets[[#This Row],[agent_experience_years]]&lt;=2,"Junior",
tbl_analysis_tickets[[#This Row],[agent_experience_years]]&lt;=5,"Mid-Level",
tbl_analysis_tickets[[#This Row],[agent_experience_years]]&lt;=8,"Senior",
tbl_analysis_tickets[[#This Row],[agent_experience_years]]&gt;8,"Expert"
)</f>
        <v>Mid-Level</v>
      </c>
      <c r="P2148" cm="1">
        <f t="array" ref="P2148">_xlfn.SWITCH(tbl_analysis_tickets[[#This Row],[customer_satisfaction]],
"Low",1,
"Medium",2,
"High",3
)</f>
        <v>1</v>
      </c>
      <c r="Q2148">
        <f>IF(tbl_analysis_tickets[[#This Row],[reopened]]="Yes",1,0)</f>
        <v>0</v>
      </c>
      <c r="R2148" t="str" cm="1">
        <f t="array" ref="R2148">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148" t="str" cm="1">
        <f t="array" ref="S214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148" t="str">
        <f>TEXT(tbl_analysis_tickets[[#This Row],[created_date]],"mmm-yyyy")</f>
        <v>May-2024</v>
      </c>
      <c r="U2148" t="str">
        <f>TEXT(tbl_analysis_tickets[[#This Row],[created_date]],"dddd")</f>
        <v>Saturday</v>
      </c>
      <c r="V2148" cm="1">
        <f t="array" ref="V2148">_xlfn.SWITCH(tbl_analysis_tickets[[#This Row],[priority]],
"Urgent",1,
"High",2,
"Medium",3,
"Low",4
)</f>
        <v>4</v>
      </c>
    </row>
    <row r="2149" spans="1:22" x14ac:dyDescent="0.25">
      <c r="A2149">
        <v>2148</v>
      </c>
      <c r="B2149" s="1">
        <v>45346</v>
      </c>
      <c r="C2149" t="s">
        <v>22</v>
      </c>
      <c r="D2149" t="s">
        <v>17</v>
      </c>
      <c r="E2149">
        <v>194</v>
      </c>
      <c r="F2149">
        <v>72</v>
      </c>
      <c r="G2149">
        <v>6.3</v>
      </c>
      <c r="H2149" t="s">
        <v>18</v>
      </c>
      <c r="I2149" t="s">
        <v>16</v>
      </c>
      <c r="J2149" t="s">
        <v>11</v>
      </c>
      <c r="K2149">
        <f>_xlfn.XLOOKUP(tbl_analysis_tickets[[#This Row],[priority]],tbl_sla[priority],tbl_sla[Resolution SLA Hours])</f>
        <v>8</v>
      </c>
      <c r="L2149">
        <f>_xlfn.XLOOKUP(tbl_analysis_tickets[[#This Row],[priority]],tbl_sla[priority],tbl_sla[First Response SLA Minutes])</f>
        <v>30</v>
      </c>
      <c r="M2149" t="str">
        <f>IF(tbl_analysis_tickets[[#This Row],[resolution_time_hours]]&gt;tbl_analysis_tickets[[#This Row],[Resolution SLA Hours]],"Breached","Within SLA")</f>
        <v>Breached</v>
      </c>
      <c r="N2149" t="str">
        <f>IF(tbl_analysis_tickets[[#This Row],[first_response_minutes]]&gt;tbl_analysis_tickets[[#This Row],[First Response SLA Minutes]],"Breached","Within SLA")</f>
        <v>Breached</v>
      </c>
      <c r="O2149" t="str" cm="1">
        <f t="array" ref="O2149">_xlfn.IFS(
tbl_analysis_tickets[[#This Row],[agent_experience_years]]&lt;=2,"Junior",
tbl_analysis_tickets[[#This Row],[agent_experience_years]]&lt;=5,"Mid-Level",
tbl_analysis_tickets[[#This Row],[agent_experience_years]]&lt;=8,"Senior",
tbl_analysis_tickets[[#This Row],[agent_experience_years]]&gt;8,"Expert"
)</f>
        <v>Senior</v>
      </c>
      <c r="P2149" cm="1">
        <f t="array" ref="P2149">_xlfn.SWITCH(tbl_analysis_tickets[[#This Row],[customer_satisfaction]],
"Low",1,
"Medium",2,
"High",3
)</f>
        <v>1</v>
      </c>
      <c r="Q2149">
        <f>IF(tbl_analysis_tickets[[#This Row],[reopened]]="Yes",1,0)</f>
        <v>0</v>
      </c>
      <c r="R2149" t="str" cm="1">
        <f t="array" ref="R2149">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149" t="str" cm="1">
        <f t="array" ref="S214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149" t="str">
        <f>TEXT(tbl_analysis_tickets[[#This Row],[created_date]],"mmm-yyyy")</f>
        <v>Feb-2024</v>
      </c>
      <c r="U2149" t="str">
        <f>TEXT(tbl_analysis_tickets[[#This Row],[created_date]],"dddd")</f>
        <v>Saturday</v>
      </c>
      <c r="V2149" cm="1">
        <f t="array" ref="V2149">_xlfn.SWITCH(tbl_analysis_tickets[[#This Row],[priority]],
"Urgent",1,
"High",2,
"Medium",3,
"Low",4
)</f>
        <v>1</v>
      </c>
    </row>
    <row r="2150" spans="1:22" x14ac:dyDescent="0.25">
      <c r="A2150">
        <v>2149</v>
      </c>
      <c r="B2150" s="1">
        <v>45297</v>
      </c>
      <c r="C2150" t="s">
        <v>10</v>
      </c>
      <c r="D2150" t="s">
        <v>11</v>
      </c>
      <c r="E2150">
        <v>116</v>
      </c>
      <c r="F2150">
        <v>51</v>
      </c>
      <c r="G2150">
        <v>8.6</v>
      </c>
      <c r="H2150" t="s">
        <v>12</v>
      </c>
      <c r="I2150" t="s">
        <v>16</v>
      </c>
      <c r="J2150" t="s">
        <v>11</v>
      </c>
      <c r="K2150">
        <f>_xlfn.XLOOKUP(tbl_analysis_tickets[[#This Row],[priority]],tbl_sla[priority],tbl_sla[Resolution SLA Hours])</f>
        <v>72</v>
      </c>
      <c r="L2150">
        <f>_xlfn.XLOOKUP(tbl_analysis_tickets[[#This Row],[priority]],tbl_sla[priority],tbl_sla[First Response SLA Minutes])</f>
        <v>240</v>
      </c>
      <c r="M2150" t="str">
        <f>IF(tbl_analysis_tickets[[#This Row],[resolution_time_hours]]&gt;tbl_analysis_tickets[[#This Row],[Resolution SLA Hours]],"Breached","Within SLA")</f>
        <v>Within SLA</v>
      </c>
      <c r="N2150" t="str">
        <f>IF(tbl_analysis_tickets[[#This Row],[first_response_minutes]]&gt;tbl_analysis_tickets[[#This Row],[First Response SLA Minutes]],"Breached","Within SLA")</f>
        <v>Within SLA</v>
      </c>
      <c r="O2150" t="str" cm="1">
        <f t="array" ref="O2150">_xlfn.IFS(
tbl_analysis_tickets[[#This Row],[agent_experience_years]]&lt;=2,"Junior",
tbl_analysis_tickets[[#This Row],[agent_experience_years]]&lt;=5,"Mid-Level",
tbl_analysis_tickets[[#This Row],[agent_experience_years]]&lt;=8,"Senior",
tbl_analysis_tickets[[#This Row],[agent_experience_years]]&gt;8,"Expert"
)</f>
        <v>Expert</v>
      </c>
      <c r="P2150" cm="1">
        <f t="array" ref="P2150">_xlfn.SWITCH(tbl_analysis_tickets[[#This Row],[customer_satisfaction]],
"Low",1,
"Medium",2,
"High",3
)</f>
        <v>1</v>
      </c>
      <c r="Q2150">
        <f>IF(tbl_analysis_tickets[[#This Row],[reopened]]="Yes",1,0)</f>
        <v>1</v>
      </c>
      <c r="R2150" t="str" cm="1">
        <f t="array" ref="R2150">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150" t="str" cm="1">
        <f t="array" ref="S215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150" t="str">
        <f>TEXT(tbl_analysis_tickets[[#This Row],[created_date]],"mmm-yyyy")</f>
        <v>Jan-2024</v>
      </c>
      <c r="U2150" t="str">
        <f>TEXT(tbl_analysis_tickets[[#This Row],[created_date]],"dddd")</f>
        <v>Saturday</v>
      </c>
      <c r="V2150" cm="1">
        <f t="array" ref="V2150">_xlfn.SWITCH(tbl_analysis_tickets[[#This Row],[priority]],
"Urgent",1,
"High",2,
"Medium",3,
"Low",4
)</f>
        <v>4</v>
      </c>
    </row>
    <row r="2151" spans="1:22" x14ac:dyDescent="0.25">
      <c r="A2151">
        <v>2150</v>
      </c>
      <c r="B2151" s="1">
        <v>45334</v>
      </c>
      <c r="C2151" t="s">
        <v>14</v>
      </c>
      <c r="D2151" t="s">
        <v>20</v>
      </c>
      <c r="E2151">
        <v>51</v>
      </c>
      <c r="F2151">
        <v>51</v>
      </c>
      <c r="G2151">
        <v>5.0999999999999996</v>
      </c>
      <c r="H2151" t="s">
        <v>12</v>
      </c>
      <c r="I2151" t="s">
        <v>19</v>
      </c>
      <c r="J2151" t="s">
        <v>11</v>
      </c>
      <c r="K2151">
        <f>_xlfn.XLOOKUP(tbl_analysis_tickets[[#This Row],[priority]],tbl_sla[priority],tbl_sla[Resolution SLA Hours])</f>
        <v>24</v>
      </c>
      <c r="L2151">
        <f>_xlfn.XLOOKUP(tbl_analysis_tickets[[#This Row],[priority]],tbl_sla[priority],tbl_sla[First Response SLA Minutes])</f>
        <v>60</v>
      </c>
      <c r="M2151" t="str">
        <f>IF(tbl_analysis_tickets[[#This Row],[resolution_time_hours]]&gt;tbl_analysis_tickets[[#This Row],[Resolution SLA Hours]],"Breached","Within SLA")</f>
        <v>Breached</v>
      </c>
      <c r="N2151" t="str">
        <f>IF(tbl_analysis_tickets[[#This Row],[first_response_minutes]]&gt;tbl_analysis_tickets[[#This Row],[First Response SLA Minutes]],"Breached","Within SLA")</f>
        <v>Within SLA</v>
      </c>
      <c r="O2151" t="str" cm="1">
        <f t="array" ref="O2151">_xlfn.IFS(
tbl_analysis_tickets[[#This Row],[agent_experience_years]]&lt;=2,"Junior",
tbl_analysis_tickets[[#This Row],[agent_experience_years]]&lt;=5,"Mid-Level",
tbl_analysis_tickets[[#This Row],[agent_experience_years]]&lt;=8,"Senior",
tbl_analysis_tickets[[#This Row],[agent_experience_years]]&gt;8,"Expert"
)</f>
        <v>Senior</v>
      </c>
      <c r="P2151" cm="1">
        <f t="array" ref="P2151">_xlfn.SWITCH(tbl_analysis_tickets[[#This Row],[customer_satisfaction]],
"Low",1,
"Medium",2,
"High",3
)</f>
        <v>1</v>
      </c>
      <c r="Q2151">
        <f>IF(tbl_analysis_tickets[[#This Row],[reopened]]="Yes",1,0)</f>
        <v>1</v>
      </c>
      <c r="R2151" t="str" cm="1">
        <f t="array" ref="R2151">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151" t="str" cm="1">
        <f t="array" ref="S215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151" t="str">
        <f>TEXT(tbl_analysis_tickets[[#This Row],[created_date]],"mmm-yyyy")</f>
        <v>Feb-2024</v>
      </c>
      <c r="U2151" t="str">
        <f>TEXT(tbl_analysis_tickets[[#This Row],[created_date]],"dddd")</f>
        <v>Monday</v>
      </c>
      <c r="V2151" cm="1">
        <f t="array" ref="V2151">_xlfn.SWITCH(tbl_analysis_tickets[[#This Row],[priority]],
"Urgent",1,
"High",2,
"Medium",3,
"Low",4
)</f>
        <v>2</v>
      </c>
    </row>
    <row r="2152" spans="1:22" x14ac:dyDescent="0.25">
      <c r="A2152">
        <v>2151</v>
      </c>
      <c r="B2152" s="1">
        <v>45560</v>
      </c>
      <c r="C2152" t="s">
        <v>22</v>
      </c>
      <c r="D2152" t="s">
        <v>20</v>
      </c>
      <c r="E2152">
        <v>101</v>
      </c>
      <c r="F2152">
        <v>25</v>
      </c>
      <c r="G2152">
        <v>7.4</v>
      </c>
      <c r="H2152" t="s">
        <v>12</v>
      </c>
      <c r="I2152" t="s">
        <v>13</v>
      </c>
      <c r="J2152" t="s">
        <v>11</v>
      </c>
      <c r="K2152">
        <f>_xlfn.XLOOKUP(tbl_analysis_tickets[[#This Row],[priority]],tbl_sla[priority],tbl_sla[Resolution SLA Hours])</f>
        <v>24</v>
      </c>
      <c r="L2152">
        <f>_xlfn.XLOOKUP(tbl_analysis_tickets[[#This Row],[priority]],tbl_sla[priority],tbl_sla[First Response SLA Minutes])</f>
        <v>60</v>
      </c>
      <c r="M2152" t="str">
        <f>IF(tbl_analysis_tickets[[#This Row],[resolution_time_hours]]&gt;tbl_analysis_tickets[[#This Row],[Resolution SLA Hours]],"Breached","Within SLA")</f>
        <v>Breached</v>
      </c>
      <c r="N2152" t="str">
        <f>IF(tbl_analysis_tickets[[#This Row],[first_response_minutes]]&gt;tbl_analysis_tickets[[#This Row],[First Response SLA Minutes]],"Breached","Within SLA")</f>
        <v>Breached</v>
      </c>
      <c r="O2152" t="str" cm="1">
        <f t="array" ref="O2152">_xlfn.IFS(
tbl_analysis_tickets[[#This Row],[agent_experience_years]]&lt;=2,"Junior",
tbl_analysis_tickets[[#This Row],[agent_experience_years]]&lt;=5,"Mid-Level",
tbl_analysis_tickets[[#This Row],[agent_experience_years]]&lt;=8,"Senior",
tbl_analysis_tickets[[#This Row],[agent_experience_years]]&gt;8,"Expert"
)</f>
        <v>Senior</v>
      </c>
      <c r="P2152" cm="1">
        <f t="array" ref="P2152">_xlfn.SWITCH(tbl_analysis_tickets[[#This Row],[customer_satisfaction]],
"Low",1,
"Medium",2,
"High",3
)</f>
        <v>1</v>
      </c>
      <c r="Q2152">
        <f>IF(tbl_analysis_tickets[[#This Row],[reopened]]="Yes",1,0)</f>
        <v>1</v>
      </c>
      <c r="R2152" t="str" cm="1">
        <f t="array" ref="R2152">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152" t="str" cm="1">
        <f t="array" ref="S215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152" t="str">
        <f>TEXT(tbl_analysis_tickets[[#This Row],[created_date]],"mmm-yyyy")</f>
        <v>Sep-2024</v>
      </c>
      <c r="U2152" t="str">
        <f>TEXT(tbl_analysis_tickets[[#This Row],[created_date]],"dddd")</f>
        <v>Wednesday</v>
      </c>
      <c r="V2152" cm="1">
        <f t="array" ref="V2152">_xlfn.SWITCH(tbl_analysis_tickets[[#This Row],[priority]],
"Urgent",1,
"High",2,
"Medium",3,
"Low",4
)</f>
        <v>2</v>
      </c>
    </row>
    <row r="2153" spans="1:22" x14ac:dyDescent="0.25">
      <c r="A2153">
        <v>2152</v>
      </c>
      <c r="B2153" s="1">
        <v>45625</v>
      </c>
      <c r="C2153" t="s">
        <v>10</v>
      </c>
      <c r="D2153" t="s">
        <v>20</v>
      </c>
      <c r="E2153">
        <v>136</v>
      </c>
      <c r="F2153">
        <v>18</v>
      </c>
      <c r="G2153">
        <v>9.9</v>
      </c>
      <c r="H2153" t="s">
        <v>18</v>
      </c>
      <c r="I2153" t="s">
        <v>16</v>
      </c>
      <c r="J2153" t="s">
        <v>11</v>
      </c>
      <c r="K2153">
        <f>_xlfn.XLOOKUP(tbl_analysis_tickets[[#This Row],[priority]],tbl_sla[priority],tbl_sla[Resolution SLA Hours])</f>
        <v>24</v>
      </c>
      <c r="L2153">
        <f>_xlfn.XLOOKUP(tbl_analysis_tickets[[#This Row],[priority]],tbl_sla[priority],tbl_sla[First Response SLA Minutes])</f>
        <v>60</v>
      </c>
      <c r="M2153" t="str">
        <f>IF(tbl_analysis_tickets[[#This Row],[resolution_time_hours]]&gt;tbl_analysis_tickets[[#This Row],[Resolution SLA Hours]],"Breached","Within SLA")</f>
        <v>Within SLA</v>
      </c>
      <c r="N2153" t="str">
        <f>IF(tbl_analysis_tickets[[#This Row],[first_response_minutes]]&gt;tbl_analysis_tickets[[#This Row],[First Response SLA Minutes]],"Breached","Within SLA")</f>
        <v>Breached</v>
      </c>
      <c r="O2153" t="str" cm="1">
        <f t="array" ref="O2153">_xlfn.IFS(
tbl_analysis_tickets[[#This Row],[agent_experience_years]]&lt;=2,"Junior",
tbl_analysis_tickets[[#This Row],[agent_experience_years]]&lt;=5,"Mid-Level",
tbl_analysis_tickets[[#This Row],[agent_experience_years]]&lt;=8,"Senior",
tbl_analysis_tickets[[#This Row],[agent_experience_years]]&gt;8,"Expert"
)</f>
        <v>Expert</v>
      </c>
      <c r="P2153" cm="1">
        <f t="array" ref="P2153">_xlfn.SWITCH(tbl_analysis_tickets[[#This Row],[customer_satisfaction]],
"Low",1,
"Medium",2,
"High",3
)</f>
        <v>1</v>
      </c>
      <c r="Q2153">
        <f>IF(tbl_analysis_tickets[[#This Row],[reopened]]="Yes",1,0)</f>
        <v>0</v>
      </c>
      <c r="R2153" t="str" cm="1">
        <f t="array" ref="R2153">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153" t="str" cm="1">
        <f t="array" ref="S215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153" t="str">
        <f>TEXT(tbl_analysis_tickets[[#This Row],[created_date]],"mmm-yyyy")</f>
        <v>Nov-2024</v>
      </c>
      <c r="U2153" t="str">
        <f>TEXT(tbl_analysis_tickets[[#This Row],[created_date]],"dddd")</f>
        <v>Friday</v>
      </c>
      <c r="V2153" cm="1">
        <f t="array" ref="V2153">_xlfn.SWITCH(tbl_analysis_tickets[[#This Row],[priority]],
"Urgent",1,
"High",2,
"Medium",3,
"Low",4
)</f>
        <v>2</v>
      </c>
    </row>
    <row r="2154" spans="1:22" x14ac:dyDescent="0.25">
      <c r="A2154">
        <v>2153</v>
      </c>
      <c r="B2154" s="1">
        <v>45404</v>
      </c>
      <c r="C2154" t="s">
        <v>14</v>
      </c>
      <c r="D2154" t="s">
        <v>15</v>
      </c>
      <c r="E2154">
        <v>110</v>
      </c>
      <c r="F2154">
        <v>65</v>
      </c>
      <c r="G2154">
        <v>5.8</v>
      </c>
      <c r="H2154" t="s">
        <v>18</v>
      </c>
      <c r="I2154" t="s">
        <v>16</v>
      </c>
      <c r="J2154" t="s">
        <v>15</v>
      </c>
      <c r="K2154">
        <f>_xlfn.XLOOKUP(tbl_analysis_tickets[[#This Row],[priority]],tbl_sla[priority],tbl_sla[Resolution SLA Hours])</f>
        <v>48</v>
      </c>
      <c r="L2154">
        <f>_xlfn.XLOOKUP(tbl_analysis_tickets[[#This Row],[priority]],tbl_sla[priority],tbl_sla[First Response SLA Minutes])</f>
        <v>120</v>
      </c>
      <c r="M2154" t="str">
        <f>IF(tbl_analysis_tickets[[#This Row],[resolution_time_hours]]&gt;tbl_analysis_tickets[[#This Row],[Resolution SLA Hours]],"Breached","Within SLA")</f>
        <v>Breached</v>
      </c>
      <c r="N2154" t="str">
        <f>IF(tbl_analysis_tickets[[#This Row],[first_response_minutes]]&gt;tbl_analysis_tickets[[#This Row],[First Response SLA Minutes]],"Breached","Within SLA")</f>
        <v>Within SLA</v>
      </c>
      <c r="O2154" t="str" cm="1">
        <f t="array" ref="O2154">_xlfn.IFS(
tbl_analysis_tickets[[#This Row],[agent_experience_years]]&lt;=2,"Junior",
tbl_analysis_tickets[[#This Row],[agent_experience_years]]&lt;=5,"Mid-Level",
tbl_analysis_tickets[[#This Row],[agent_experience_years]]&lt;=8,"Senior",
tbl_analysis_tickets[[#This Row],[agent_experience_years]]&gt;8,"Expert"
)</f>
        <v>Senior</v>
      </c>
      <c r="P2154" cm="1">
        <f t="array" ref="P2154">_xlfn.SWITCH(tbl_analysis_tickets[[#This Row],[customer_satisfaction]],
"Low",1,
"Medium",2,
"High",3
)</f>
        <v>2</v>
      </c>
      <c r="Q2154">
        <f>IF(tbl_analysis_tickets[[#This Row],[reopened]]="Yes",1,0)</f>
        <v>0</v>
      </c>
      <c r="R2154" t="str" cm="1">
        <f t="array" ref="R2154">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154" t="str" cm="1">
        <f t="array" ref="S215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154" t="str">
        <f>TEXT(tbl_analysis_tickets[[#This Row],[created_date]],"mmm-yyyy")</f>
        <v>Apr-2024</v>
      </c>
      <c r="U2154" t="str">
        <f>TEXT(tbl_analysis_tickets[[#This Row],[created_date]],"dddd")</f>
        <v>Monday</v>
      </c>
      <c r="V2154" cm="1">
        <f t="array" ref="V2154">_xlfn.SWITCH(tbl_analysis_tickets[[#This Row],[priority]],
"Urgent",1,
"High",2,
"Medium",3,
"Low",4
)</f>
        <v>3</v>
      </c>
    </row>
    <row r="2155" spans="1:22" x14ac:dyDescent="0.25">
      <c r="A2155">
        <v>2154</v>
      </c>
      <c r="B2155" s="1">
        <v>45494</v>
      </c>
      <c r="C2155" t="s">
        <v>22</v>
      </c>
      <c r="D2155" t="s">
        <v>17</v>
      </c>
      <c r="E2155">
        <v>22</v>
      </c>
      <c r="F2155">
        <v>60</v>
      </c>
      <c r="G2155">
        <v>1.9</v>
      </c>
      <c r="H2155" t="s">
        <v>12</v>
      </c>
      <c r="I2155" t="s">
        <v>13</v>
      </c>
      <c r="J2155" t="s">
        <v>11</v>
      </c>
      <c r="K2155">
        <f>_xlfn.XLOOKUP(tbl_analysis_tickets[[#This Row],[priority]],tbl_sla[priority],tbl_sla[Resolution SLA Hours])</f>
        <v>8</v>
      </c>
      <c r="L2155">
        <f>_xlfn.XLOOKUP(tbl_analysis_tickets[[#This Row],[priority]],tbl_sla[priority],tbl_sla[First Response SLA Minutes])</f>
        <v>30</v>
      </c>
      <c r="M2155" t="str">
        <f>IF(tbl_analysis_tickets[[#This Row],[resolution_time_hours]]&gt;tbl_analysis_tickets[[#This Row],[Resolution SLA Hours]],"Breached","Within SLA")</f>
        <v>Breached</v>
      </c>
      <c r="N2155" t="str">
        <f>IF(tbl_analysis_tickets[[#This Row],[first_response_minutes]]&gt;tbl_analysis_tickets[[#This Row],[First Response SLA Minutes]],"Breached","Within SLA")</f>
        <v>Within SLA</v>
      </c>
      <c r="O2155" t="str" cm="1">
        <f t="array" ref="O2155">_xlfn.IFS(
tbl_analysis_tickets[[#This Row],[agent_experience_years]]&lt;=2,"Junior",
tbl_analysis_tickets[[#This Row],[agent_experience_years]]&lt;=5,"Mid-Level",
tbl_analysis_tickets[[#This Row],[agent_experience_years]]&lt;=8,"Senior",
tbl_analysis_tickets[[#This Row],[agent_experience_years]]&gt;8,"Expert"
)</f>
        <v>Junior</v>
      </c>
      <c r="P2155" cm="1">
        <f t="array" ref="P2155">_xlfn.SWITCH(tbl_analysis_tickets[[#This Row],[customer_satisfaction]],
"Low",1,
"Medium",2,
"High",3
)</f>
        <v>1</v>
      </c>
      <c r="Q2155">
        <f>IF(tbl_analysis_tickets[[#This Row],[reopened]]="Yes",1,0)</f>
        <v>1</v>
      </c>
      <c r="R2155" t="str" cm="1">
        <f t="array" ref="R2155">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2155" t="str" cm="1">
        <f t="array" ref="S215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155" t="str">
        <f>TEXT(tbl_analysis_tickets[[#This Row],[created_date]],"mmm-yyyy")</f>
        <v>Jul-2024</v>
      </c>
      <c r="U2155" t="str">
        <f>TEXT(tbl_analysis_tickets[[#This Row],[created_date]],"dddd")</f>
        <v>Sunday</v>
      </c>
      <c r="V2155" cm="1">
        <f t="array" ref="V2155">_xlfn.SWITCH(tbl_analysis_tickets[[#This Row],[priority]],
"Urgent",1,
"High",2,
"Medium",3,
"Low",4
)</f>
        <v>1</v>
      </c>
    </row>
    <row r="2156" spans="1:22" x14ac:dyDescent="0.25">
      <c r="A2156">
        <v>2155</v>
      </c>
      <c r="B2156" s="1">
        <v>45655</v>
      </c>
      <c r="C2156" t="s">
        <v>23</v>
      </c>
      <c r="D2156" t="s">
        <v>17</v>
      </c>
      <c r="E2156">
        <v>63</v>
      </c>
      <c r="F2156">
        <v>38</v>
      </c>
      <c r="G2156">
        <v>6.2</v>
      </c>
      <c r="H2156" t="s">
        <v>12</v>
      </c>
      <c r="I2156" t="s">
        <v>16</v>
      </c>
      <c r="J2156" t="s">
        <v>11</v>
      </c>
      <c r="K2156">
        <f>_xlfn.XLOOKUP(tbl_analysis_tickets[[#This Row],[priority]],tbl_sla[priority],tbl_sla[Resolution SLA Hours])</f>
        <v>8</v>
      </c>
      <c r="L2156">
        <f>_xlfn.XLOOKUP(tbl_analysis_tickets[[#This Row],[priority]],tbl_sla[priority],tbl_sla[First Response SLA Minutes])</f>
        <v>30</v>
      </c>
      <c r="M2156" t="str">
        <f>IF(tbl_analysis_tickets[[#This Row],[resolution_time_hours]]&gt;tbl_analysis_tickets[[#This Row],[Resolution SLA Hours]],"Breached","Within SLA")</f>
        <v>Breached</v>
      </c>
      <c r="N2156" t="str">
        <f>IF(tbl_analysis_tickets[[#This Row],[first_response_minutes]]&gt;tbl_analysis_tickets[[#This Row],[First Response SLA Minutes]],"Breached","Within SLA")</f>
        <v>Breached</v>
      </c>
      <c r="O2156" t="str" cm="1">
        <f t="array" ref="O2156">_xlfn.IFS(
tbl_analysis_tickets[[#This Row],[agent_experience_years]]&lt;=2,"Junior",
tbl_analysis_tickets[[#This Row],[agent_experience_years]]&lt;=5,"Mid-Level",
tbl_analysis_tickets[[#This Row],[agent_experience_years]]&lt;=8,"Senior",
tbl_analysis_tickets[[#This Row],[agent_experience_years]]&gt;8,"Expert"
)</f>
        <v>Senior</v>
      </c>
      <c r="P2156" cm="1">
        <f t="array" ref="P2156">_xlfn.SWITCH(tbl_analysis_tickets[[#This Row],[customer_satisfaction]],
"Low",1,
"Medium",2,
"High",3
)</f>
        <v>1</v>
      </c>
      <c r="Q2156">
        <f>IF(tbl_analysis_tickets[[#This Row],[reopened]]="Yes",1,0)</f>
        <v>1</v>
      </c>
      <c r="R2156" t="str" cm="1">
        <f t="array" ref="R2156">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156" t="str" cm="1">
        <f t="array" ref="S215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156" t="str">
        <f>TEXT(tbl_analysis_tickets[[#This Row],[created_date]],"mmm-yyyy")</f>
        <v>Dec-2024</v>
      </c>
      <c r="U2156" t="str">
        <f>TEXT(tbl_analysis_tickets[[#This Row],[created_date]],"dddd")</f>
        <v>Sunday</v>
      </c>
      <c r="V2156" cm="1">
        <f t="array" ref="V2156">_xlfn.SWITCH(tbl_analysis_tickets[[#This Row],[priority]],
"Urgent",1,
"High",2,
"Medium",3,
"Low",4
)</f>
        <v>1</v>
      </c>
    </row>
    <row r="2157" spans="1:22" x14ac:dyDescent="0.25">
      <c r="A2157">
        <v>2156</v>
      </c>
      <c r="B2157" s="1">
        <v>45376</v>
      </c>
      <c r="C2157" t="s">
        <v>21</v>
      </c>
      <c r="D2157" t="s">
        <v>17</v>
      </c>
      <c r="E2157">
        <v>45</v>
      </c>
      <c r="F2157">
        <v>70</v>
      </c>
      <c r="G2157">
        <v>3.3</v>
      </c>
      <c r="H2157" t="s">
        <v>12</v>
      </c>
      <c r="I2157" t="s">
        <v>13</v>
      </c>
      <c r="J2157" t="s">
        <v>11</v>
      </c>
      <c r="K2157">
        <f>_xlfn.XLOOKUP(tbl_analysis_tickets[[#This Row],[priority]],tbl_sla[priority],tbl_sla[Resolution SLA Hours])</f>
        <v>8</v>
      </c>
      <c r="L2157">
        <f>_xlfn.XLOOKUP(tbl_analysis_tickets[[#This Row],[priority]],tbl_sla[priority],tbl_sla[First Response SLA Minutes])</f>
        <v>30</v>
      </c>
      <c r="M2157" t="str">
        <f>IF(tbl_analysis_tickets[[#This Row],[resolution_time_hours]]&gt;tbl_analysis_tickets[[#This Row],[Resolution SLA Hours]],"Breached","Within SLA")</f>
        <v>Breached</v>
      </c>
      <c r="N2157" t="str">
        <f>IF(tbl_analysis_tickets[[#This Row],[first_response_minutes]]&gt;tbl_analysis_tickets[[#This Row],[First Response SLA Minutes]],"Breached","Within SLA")</f>
        <v>Breached</v>
      </c>
      <c r="O2157" t="str" cm="1">
        <f t="array" ref="O2157">_xlfn.IFS(
tbl_analysis_tickets[[#This Row],[agent_experience_years]]&lt;=2,"Junior",
tbl_analysis_tickets[[#This Row],[agent_experience_years]]&lt;=5,"Mid-Level",
tbl_analysis_tickets[[#This Row],[agent_experience_years]]&lt;=8,"Senior",
tbl_analysis_tickets[[#This Row],[agent_experience_years]]&gt;8,"Expert"
)</f>
        <v>Mid-Level</v>
      </c>
      <c r="P2157" cm="1">
        <f t="array" ref="P2157">_xlfn.SWITCH(tbl_analysis_tickets[[#This Row],[customer_satisfaction]],
"Low",1,
"Medium",2,
"High",3
)</f>
        <v>1</v>
      </c>
      <c r="Q2157">
        <f>IF(tbl_analysis_tickets[[#This Row],[reopened]]="Yes",1,0)</f>
        <v>1</v>
      </c>
      <c r="R2157" t="str" cm="1">
        <f t="array" ref="R2157">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157" t="str" cm="1">
        <f t="array" ref="S215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157" t="str">
        <f>TEXT(tbl_analysis_tickets[[#This Row],[created_date]],"mmm-yyyy")</f>
        <v>Mar-2024</v>
      </c>
      <c r="U2157" t="str">
        <f>TEXT(tbl_analysis_tickets[[#This Row],[created_date]],"dddd")</f>
        <v>Monday</v>
      </c>
      <c r="V2157" cm="1">
        <f t="array" ref="V2157">_xlfn.SWITCH(tbl_analysis_tickets[[#This Row],[priority]],
"Urgent",1,
"High",2,
"Medium",3,
"Low",4
)</f>
        <v>1</v>
      </c>
    </row>
    <row r="2158" spans="1:22" x14ac:dyDescent="0.25">
      <c r="A2158">
        <v>2157</v>
      </c>
      <c r="B2158" s="1">
        <v>45360</v>
      </c>
      <c r="C2158" t="s">
        <v>23</v>
      </c>
      <c r="D2158" t="s">
        <v>15</v>
      </c>
      <c r="E2158">
        <v>172</v>
      </c>
      <c r="F2158">
        <v>39</v>
      </c>
      <c r="G2158">
        <v>2.9</v>
      </c>
      <c r="H2158" t="s">
        <v>12</v>
      </c>
      <c r="I2158" t="s">
        <v>19</v>
      </c>
      <c r="J2158" t="s">
        <v>11</v>
      </c>
      <c r="K2158">
        <f>_xlfn.XLOOKUP(tbl_analysis_tickets[[#This Row],[priority]],tbl_sla[priority],tbl_sla[Resolution SLA Hours])</f>
        <v>48</v>
      </c>
      <c r="L2158">
        <f>_xlfn.XLOOKUP(tbl_analysis_tickets[[#This Row],[priority]],tbl_sla[priority],tbl_sla[First Response SLA Minutes])</f>
        <v>120</v>
      </c>
      <c r="M2158" t="str">
        <f>IF(tbl_analysis_tickets[[#This Row],[resolution_time_hours]]&gt;tbl_analysis_tickets[[#This Row],[Resolution SLA Hours]],"Breached","Within SLA")</f>
        <v>Within SLA</v>
      </c>
      <c r="N2158" t="str">
        <f>IF(tbl_analysis_tickets[[#This Row],[first_response_minutes]]&gt;tbl_analysis_tickets[[#This Row],[First Response SLA Minutes]],"Breached","Within SLA")</f>
        <v>Breached</v>
      </c>
      <c r="O2158" t="str" cm="1">
        <f t="array" ref="O2158">_xlfn.IFS(
tbl_analysis_tickets[[#This Row],[agent_experience_years]]&lt;=2,"Junior",
tbl_analysis_tickets[[#This Row],[agent_experience_years]]&lt;=5,"Mid-Level",
tbl_analysis_tickets[[#This Row],[agent_experience_years]]&lt;=8,"Senior",
tbl_analysis_tickets[[#This Row],[agent_experience_years]]&gt;8,"Expert"
)</f>
        <v>Mid-Level</v>
      </c>
      <c r="P2158" cm="1">
        <f t="array" ref="P2158">_xlfn.SWITCH(tbl_analysis_tickets[[#This Row],[customer_satisfaction]],
"Low",1,
"Medium",2,
"High",3
)</f>
        <v>1</v>
      </c>
      <c r="Q2158">
        <f>IF(tbl_analysis_tickets[[#This Row],[reopened]]="Yes",1,0)</f>
        <v>1</v>
      </c>
      <c r="R2158" t="str" cm="1">
        <f t="array" ref="R2158">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158" t="str" cm="1">
        <f t="array" ref="S215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158" t="str">
        <f>TEXT(tbl_analysis_tickets[[#This Row],[created_date]],"mmm-yyyy")</f>
        <v>Mar-2024</v>
      </c>
      <c r="U2158" t="str">
        <f>TEXT(tbl_analysis_tickets[[#This Row],[created_date]],"dddd")</f>
        <v>Saturday</v>
      </c>
      <c r="V2158" cm="1">
        <f t="array" ref="V2158">_xlfn.SWITCH(tbl_analysis_tickets[[#This Row],[priority]],
"Urgent",1,
"High",2,
"Medium",3,
"Low",4
)</f>
        <v>3</v>
      </c>
    </row>
    <row r="2159" spans="1:22" x14ac:dyDescent="0.25">
      <c r="A2159">
        <v>2158</v>
      </c>
      <c r="B2159" s="1">
        <v>45648</v>
      </c>
      <c r="C2159" t="s">
        <v>14</v>
      </c>
      <c r="D2159" t="s">
        <v>15</v>
      </c>
      <c r="E2159">
        <v>92</v>
      </c>
      <c r="F2159">
        <v>1</v>
      </c>
      <c r="G2159">
        <v>4.9000000000000004</v>
      </c>
      <c r="H2159" t="s">
        <v>18</v>
      </c>
      <c r="I2159" t="s">
        <v>16</v>
      </c>
      <c r="J2159" t="s">
        <v>15</v>
      </c>
      <c r="K2159">
        <f>_xlfn.XLOOKUP(tbl_analysis_tickets[[#This Row],[priority]],tbl_sla[priority],tbl_sla[Resolution SLA Hours])</f>
        <v>48</v>
      </c>
      <c r="L2159">
        <f>_xlfn.XLOOKUP(tbl_analysis_tickets[[#This Row],[priority]],tbl_sla[priority],tbl_sla[First Response SLA Minutes])</f>
        <v>120</v>
      </c>
      <c r="M2159" t="str">
        <f>IF(tbl_analysis_tickets[[#This Row],[resolution_time_hours]]&gt;tbl_analysis_tickets[[#This Row],[Resolution SLA Hours]],"Breached","Within SLA")</f>
        <v>Within SLA</v>
      </c>
      <c r="N2159" t="str">
        <f>IF(tbl_analysis_tickets[[#This Row],[first_response_minutes]]&gt;tbl_analysis_tickets[[#This Row],[First Response SLA Minutes]],"Breached","Within SLA")</f>
        <v>Within SLA</v>
      </c>
      <c r="O2159" t="str" cm="1">
        <f t="array" ref="O2159">_xlfn.IFS(
tbl_analysis_tickets[[#This Row],[agent_experience_years]]&lt;=2,"Junior",
tbl_analysis_tickets[[#This Row],[agent_experience_years]]&lt;=5,"Mid-Level",
tbl_analysis_tickets[[#This Row],[agent_experience_years]]&lt;=8,"Senior",
tbl_analysis_tickets[[#This Row],[agent_experience_years]]&gt;8,"Expert"
)</f>
        <v>Mid-Level</v>
      </c>
      <c r="P2159" cm="1">
        <f t="array" ref="P2159">_xlfn.SWITCH(tbl_analysis_tickets[[#This Row],[customer_satisfaction]],
"Low",1,
"Medium",2,
"High",3
)</f>
        <v>2</v>
      </c>
      <c r="Q2159">
        <f>IF(tbl_analysis_tickets[[#This Row],[reopened]]="Yes",1,0)</f>
        <v>0</v>
      </c>
      <c r="R2159" t="str" cm="1">
        <f t="array" ref="R2159">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159" t="str" cm="1">
        <f t="array" ref="S215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2159" t="str">
        <f>TEXT(tbl_analysis_tickets[[#This Row],[created_date]],"mmm-yyyy")</f>
        <v>Dec-2024</v>
      </c>
      <c r="U2159" t="str">
        <f>TEXT(tbl_analysis_tickets[[#This Row],[created_date]],"dddd")</f>
        <v>Sunday</v>
      </c>
      <c r="V2159" cm="1">
        <f t="array" ref="V2159">_xlfn.SWITCH(tbl_analysis_tickets[[#This Row],[priority]],
"Urgent",1,
"High",2,
"Medium",3,
"Low",4
)</f>
        <v>3</v>
      </c>
    </row>
    <row r="2160" spans="1:22" x14ac:dyDescent="0.25">
      <c r="A2160">
        <v>2159</v>
      </c>
      <c r="B2160" s="1">
        <v>45524</v>
      </c>
      <c r="C2160" t="s">
        <v>21</v>
      </c>
      <c r="D2160" t="s">
        <v>20</v>
      </c>
      <c r="E2160">
        <v>60</v>
      </c>
      <c r="F2160">
        <v>66</v>
      </c>
      <c r="G2160">
        <v>0.9</v>
      </c>
      <c r="H2160" t="s">
        <v>12</v>
      </c>
      <c r="I2160" t="s">
        <v>19</v>
      </c>
      <c r="J2160" t="s">
        <v>11</v>
      </c>
      <c r="K2160">
        <f>_xlfn.XLOOKUP(tbl_analysis_tickets[[#This Row],[priority]],tbl_sla[priority],tbl_sla[Resolution SLA Hours])</f>
        <v>24</v>
      </c>
      <c r="L2160">
        <f>_xlfn.XLOOKUP(tbl_analysis_tickets[[#This Row],[priority]],tbl_sla[priority],tbl_sla[First Response SLA Minutes])</f>
        <v>60</v>
      </c>
      <c r="M2160" t="str">
        <f>IF(tbl_analysis_tickets[[#This Row],[resolution_time_hours]]&gt;tbl_analysis_tickets[[#This Row],[Resolution SLA Hours]],"Breached","Within SLA")</f>
        <v>Breached</v>
      </c>
      <c r="N2160" t="str">
        <f>IF(tbl_analysis_tickets[[#This Row],[first_response_minutes]]&gt;tbl_analysis_tickets[[#This Row],[First Response SLA Minutes]],"Breached","Within SLA")</f>
        <v>Within SLA</v>
      </c>
      <c r="O2160" t="str" cm="1">
        <f t="array" ref="O2160">_xlfn.IFS(
tbl_analysis_tickets[[#This Row],[agent_experience_years]]&lt;=2,"Junior",
tbl_analysis_tickets[[#This Row],[agent_experience_years]]&lt;=5,"Mid-Level",
tbl_analysis_tickets[[#This Row],[agent_experience_years]]&lt;=8,"Senior",
tbl_analysis_tickets[[#This Row],[agent_experience_years]]&gt;8,"Expert"
)</f>
        <v>Junior</v>
      </c>
      <c r="P2160" cm="1">
        <f t="array" ref="P2160">_xlfn.SWITCH(tbl_analysis_tickets[[#This Row],[customer_satisfaction]],
"Low",1,
"Medium",2,
"High",3
)</f>
        <v>1</v>
      </c>
      <c r="Q2160">
        <f>IF(tbl_analysis_tickets[[#This Row],[reopened]]="Yes",1,0)</f>
        <v>1</v>
      </c>
      <c r="R2160" t="str" cm="1">
        <f t="array" ref="R2160">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160" t="str" cm="1">
        <f t="array" ref="S216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160" t="str">
        <f>TEXT(tbl_analysis_tickets[[#This Row],[created_date]],"mmm-yyyy")</f>
        <v>Aug-2024</v>
      </c>
      <c r="U2160" t="str">
        <f>TEXT(tbl_analysis_tickets[[#This Row],[created_date]],"dddd")</f>
        <v>Tuesday</v>
      </c>
      <c r="V2160" cm="1">
        <f t="array" ref="V2160">_xlfn.SWITCH(tbl_analysis_tickets[[#This Row],[priority]],
"Urgent",1,
"High",2,
"Medium",3,
"Low",4
)</f>
        <v>2</v>
      </c>
    </row>
    <row r="2161" spans="1:22" x14ac:dyDescent="0.25">
      <c r="A2161">
        <v>2160</v>
      </c>
      <c r="B2161" s="1">
        <v>45505</v>
      </c>
      <c r="C2161" t="s">
        <v>23</v>
      </c>
      <c r="D2161" t="s">
        <v>20</v>
      </c>
      <c r="E2161">
        <v>207</v>
      </c>
      <c r="F2161">
        <v>37</v>
      </c>
      <c r="G2161">
        <v>6.3</v>
      </c>
      <c r="H2161" t="s">
        <v>12</v>
      </c>
      <c r="I2161" t="s">
        <v>13</v>
      </c>
      <c r="J2161" t="s">
        <v>11</v>
      </c>
      <c r="K2161">
        <f>_xlfn.XLOOKUP(tbl_analysis_tickets[[#This Row],[priority]],tbl_sla[priority],tbl_sla[Resolution SLA Hours])</f>
        <v>24</v>
      </c>
      <c r="L2161">
        <f>_xlfn.XLOOKUP(tbl_analysis_tickets[[#This Row],[priority]],tbl_sla[priority],tbl_sla[First Response SLA Minutes])</f>
        <v>60</v>
      </c>
      <c r="M2161" t="str">
        <f>IF(tbl_analysis_tickets[[#This Row],[resolution_time_hours]]&gt;tbl_analysis_tickets[[#This Row],[Resolution SLA Hours]],"Breached","Within SLA")</f>
        <v>Breached</v>
      </c>
      <c r="N2161" t="str">
        <f>IF(tbl_analysis_tickets[[#This Row],[first_response_minutes]]&gt;tbl_analysis_tickets[[#This Row],[First Response SLA Minutes]],"Breached","Within SLA")</f>
        <v>Breached</v>
      </c>
      <c r="O2161" t="str" cm="1">
        <f t="array" ref="O2161">_xlfn.IFS(
tbl_analysis_tickets[[#This Row],[agent_experience_years]]&lt;=2,"Junior",
tbl_analysis_tickets[[#This Row],[agent_experience_years]]&lt;=5,"Mid-Level",
tbl_analysis_tickets[[#This Row],[agent_experience_years]]&lt;=8,"Senior",
tbl_analysis_tickets[[#This Row],[agent_experience_years]]&gt;8,"Expert"
)</f>
        <v>Senior</v>
      </c>
      <c r="P2161" cm="1">
        <f t="array" ref="P2161">_xlfn.SWITCH(tbl_analysis_tickets[[#This Row],[customer_satisfaction]],
"Low",1,
"Medium",2,
"High",3
)</f>
        <v>1</v>
      </c>
      <c r="Q2161">
        <f>IF(tbl_analysis_tickets[[#This Row],[reopened]]="Yes",1,0)</f>
        <v>1</v>
      </c>
      <c r="R2161" t="str" cm="1">
        <f t="array" ref="R2161">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161" t="str" cm="1">
        <f t="array" ref="S216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161" t="str">
        <f>TEXT(tbl_analysis_tickets[[#This Row],[created_date]],"mmm-yyyy")</f>
        <v>Aug-2024</v>
      </c>
      <c r="U2161" t="str">
        <f>TEXT(tbl_analysis_tickets[[#This Row],[created_date]],"dddd")</f>
        <v>Thursday</v>
      </c>
      <c r="V2161" cm="1">
        <f t="array" ref="V2161">_xlfn.SWITCH(tbl_analysis_tickets[[#This Row],[priority]],
"Urgent",1,
"High",2,
"Medium",3,
"Low",4
)</f>
        <v>2</v>
      </c>
    </row>
    <row r="2162" spans="1:22" x14ac:dyDescent="0.25">
      <c r="A2162">
        <v>2161</v>
      </c>
      <c r="B2162" s="1">
        <v>45594</v>
      </c>
      <c r="C2162" t="s">
        <v>14</v>
      </c>
      <c r="D2162" t="s">
        <v>17</v>
      </c>
      <c r="E2162">
        <v>62</v>
      </c>
      <c r="F2162">
        <v>31</v>
      </c>
      <c r="G2162">
        <v>2.7</v>
      </c>
      <c r="H2162" t="s">
        <v>18</v>
      </c>
      <c r="I2162" t="s">
        <v>16</v>
      </c>
      <c r="J2162" t="s">
        <v>11</v>
      </c>
      <c r="K2162">
        <f>_xlfn.XLOOKUP(tbl_analysis_tickets[[#This Row],[priority]],tbl_sla[priority],tbl_sla[Resolution SLA Hours])</f>
        <v>8</v>
      </c>
      <c r="L2162">
        <f>_xlfn.XLOOKUP(tbl_analysis_tickets[[#This Row],[priority]],tbl_sla[priority],tbl_sla[First Response SLA Minutes])</f>
        <v>30</v>
      </c>
      <c r="M2162" t="str">
        <f>IF(tbl_analysis_tickets[[#This Row],[resolution_time_hours]]&gt;tbl_analysis_tickets[[#This Row],[Resolution SLA Hours]],"Breached","Within SLA")</f>
        <v>Breached</v>
      </c>
      <c r="N2162" t="str">
        <f>IF(tbl_analysis_tickets[[#This Row],[first_response_minutes]]&gt;tbl_analysis_tickets[[#This Row],[First Response SLA Minutes]],"Breached","Within SLA")</f>
        <v>Breached</v>
      </c>
      <c r="O2162" t="str" cm="1">
        <f t="array" ref="O2162">_xlfn.IFS(
tbl_analysis_tickets[[#This Row],[agent_experience_years]]&lt;=2,"Junior",
tbl_analysis_tickets[[#This Row],[agent_experience_years]]&lt;=5,"Mid-Level",
tbl_analysis_tickets[[#This Row],[agent_experience_years]]&lt;=8,"Senior",
tbl_analysis_tickets[[#This Row],[agent_experience_years]]&gt;8,"Expert"
)</f>
        <v>Mid-Level</v>
      </c>
      <c r="P2162" cm="1">
        <f t="array" ref="P2162">_xlfn.SWITCH(tbl_analysis_tickets[[#This Row],[customer_satisfaction]],
"Low",1,
"Medium",2,
"High",3
)</f>
        <v>1</v>
      </c>
      <c r="Q2162">
        <f>IF(tbl_analysis_tickets[[#This Row],[reopened]]="Yes",1,0)</f>
        <v>0</v>
      </c>
      <c r="R2162" t="str" cm="1">
        <f t="array" ref="R2162">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162" t="str" cm="1">
        <f t="array" ref="S216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162" t="str">
        <f>TEXT(tbl_analysis_tickets[[#This Row],[created_date]],"mmm-yyyy")</f>
        <v>Oct-2024</v>
      </c>
      <c r="U2162" t="str">
        <f>TEXT(tbl_analysis_tickets[[#This Row],[created_date]],"dddd")</f>
        <v>Tuesday</v>
      </c>
      <c r="V2162" cm="1">
        <f t="array" ref="V2162">_xlfn.SWITCH(tbl_analysis_tickets[[#This Row],[priority]],
"Urgent",1,
"High",2,
"Medium",3,
"Low",4
)</f>
        <v>1</v>
      </c>
    </row>
    <row r="2163" spans="1:22" x14ac:dyDescent="0.25">
      <c r="A2163">
        <v>2162</v>
      </c>
      <c r="B2163" s="1">
        <v>45642</v>
      </c>
      <c r="C2163" t="s">
        <v>10</v>
      </c>
      <c r="D2163" t="s">
        <v>20</v>
      </c>
      <c r="E2163">
        <v>22</v>
      </c>
      <c r="F2163">
        <v>42</v>
      </c>
      <c r="G2163">
        <v>0.7</v>
      </c>
      <c r="H2163" t="s">
        <v>12</v>
      </c>
      <c r="I2163" t="s">
        <v>19</v>
      </c>
      <c r="J2163" t="s">
        <v>11</v>
      </c>
      <c r="K2163">
        <f>_xlfn.XLOOKUP(tbl_analysis_tickets[[#This Row],[priority]],tbl_sla[priority],tbl_sla[Resolution SLA Hours])</f>
        <v>24</v>
      </c>
      <c r="L2163">
        <f>_xlfn.XLOOKUP(tbl_analysis_tickets[[#This Row],[priority]],tbl_sla[priority],tbl_sla[First Response SLA Minutes])</f>
        <v>60</v>
      </c>
      <c r="M2163" t="str">
        <f>IF(tbl_analysis_tickets[[#This Row],[resolution_time_hours]]&gt;tbl_analysis_tickets[[#This Row],[Resolution SLA Hours]],"Breached","Within SLA")</f>
        <v>Breached</v>
      </c>
      <c r="N2163" t="str">
        <f>IF(tbl_analysis_tickets[[#This Row],[first_response_minutes]]&gt;tbl_analysis_tickets[[#This Row],[First Response SLA Minutes]],"Breached","Within SLA")</f>
        <v>Within SLA</v>
      </c>
      <c r="O2163" t="str" cm="1">
        <f t="array" ref="O2163">_xlfn.IFS(
tbl_analysis_tickets[[#This Row],[agent_experience_years]]&lt;=2,"Junior",
tbl_analysis_tickets[[#This Row],[agent_experience_years]]&lt;=5,"Mid-Level",
tbl_analysis_tickets[[#This Row],[agent_experience_years]]&lt;=8,"Senior",
tbl_analysis_tickets[[#This Row],[agent_experience_years]]&gt;8,"Expert"
)</f>
        <v>Junior</v>
      </c>
      <c r="P2163" cm="1">
        <f t="array" ref="P2163">_xlfn.SWITCH(tbl_analysis_tickets[[#This Row],[customer_satisfaction]],
"Low",1,
"Medium",2,
"High",3
)</f>
        <v>1</v>
      </c>
      <c r="Q2163">
        <f>IF(tbl_analysis_tickets[[#This Row],[reopened]]="Yes",1,0)</f>
        <v>1</v>
      </c>
      <c r="R2163" t="str" cm="1">
        <f t="array" ref="R2163">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2163" t="str" cm="1">
        <f t="array" ref="S216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163" t="str">
        <f>TEXT(tbl_analysis_tickets[[#This Row],[created_date]],"mmm-yyyy")</f>
        <v>Dec-2024</v>
      </c>
      <c r="U2163" t="str">
        <f>TEXT(tbl_analysis_tickets[[#This Row],[created_date]],"dddd")</f>
        <v>Monday</v>
      </c>
      <c r="V2163" cm="1">
        <f t="array" ref="V2163">_xlfn.SWITCH(tbl_analysis_tickets[[#This Row],[priority]],
"Urgent",1,
"High",2,
"Medium",3,
"Low",4
)</f>
        <v>2</v>
      </c>
    </row>
    <row r="2164" spans="1:22" x14ac:dyDescent="0.25">
      <c r="A2164">
        <v>2163</v>
      </c>
      <c r="B2164" s="1">
        <v>45627</v>
      </c>
      <c r="C2164" t="s">
        <v>21</v>
      </c>
      <c r="D2164" t="s">
        <v>17</v>
      </c>
      <c r="E2164">
        <v>178</v>
      </c>
      <c r="F2164">
        <v>34</v>
      </c>
      <c r="G2164">
        <v>8.9</v>
      </c>
      <c r="H2164" t="s">
        <v>18</v>
      </c>
      <c r="I2164" t="s">
        <v>13</v>
      </c>
      <c r="J2164" t="s">
        <v>11</v>
      </c>
      <c r="K2164">
        <f>_xlfn.XLOOKUP(tbl_analysis_tickets[[#This Row],[priority]],tbl_sla[priority],tbl_sla[Resolution SLA Hours])</f>
        <v>8</v>
      </c>
      <c r="L2164">
        <f>_xlfn.XLOOKUP(tbl_analysis_tickets[[#This Row],[priority]],tbl_sla[priority],tbl_sla[First Response SLA Minutes])</f>
        <v>30</v>
      </c>
      <c r="M2164" t="str">
        <f>IF(tbl_analysis_tickets[[#This Row],[resolution_time_hours]]&gt;tbl_analysis_tickets[[#This Row],[Resolution SLA Hours]],"Breached","Within SLA")</f>
        <v>Breached</v>
      </c>
      <c r="N2164" t="str">
        <f>IF(tbl_analysis_tickets[[#This Row],[first_response_minutes]]&gt;tbl_analysis_tickets[[#This Row],[First Response SLA Minutes]],"Breached","Within SLA")</f>
        <v>Breached</v>
      </c>
      <c r="O2164" t="str" cm="1">
        <f t="array" ref="O2164">_xlfn.IFS(
tbl_analysis_tickets[[#This Row],[agent_experience_years]]&lt;=2,"Junior",
tbl_analysis_tickets[[#This Row],[agent_experience_years]]&lt;=5,"Mid-Level",
tbl_analysis_tickets[[#This Row],[agent_experience_years]]&lt;=8,"Senior",
tbl_analysis_tickets[[#This Row],[agent_experience_years]]&gt;8,"Expert"
)</f>
        <v>Expert</v>
      </c>
      <c r="P2164" cm="1">
        <f t="array" ref="P2164">_xlfn.SWITCH(tbl_analysis_tickets[[#This Row],[customer_satisfaction]],
"Low",1,
"Medium",2,
"High",3
)</f>
        <v>1</v>
      </c>
      <c r="Q2164">
        <f>IF(tbl_analysis_tickets[[#This Row],[reopened]]="Yes",1,0)</f>
        <v>0</v>
      </c>
      <c r="R2164" t="str" cm="1">
        <f t="array" ref="R2164">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164" t="str" cm="1">
        <f t="array" ref="S216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164" t="str">
        <f>TEXT(tbl_analysis_tickets[[#This Row],[created_date]],"mmm-yyyy")</f>
        <v>Dec-2024</v>
      </c>
      <c r="U2164" t="str">
        <f>TEXT(tbl_analysis_tickets[[#This Row],[created_date]],"dddd")</f>
        <v>Sunday</v>
      </c>
      <c r="V2164" cm="1">
        <f t="array" ref="V2164">_xlfn.SWITCH(tbl_analysis_tickets[[#This Row],[priority]],
"Urgent",1,
"High",2,
"Medium",3,
"Low",4
)</f>
        <v>1</v>
      </c>
    </row>
    <row r="2165" spans="1:22" x14ac:dyDescent="0.25">
      <c r="A2165">
        <v>2164</v>
      </c>
      <c r="B2165" s="1">
        <v>45297</v>
      </c>
      <c r="C2165" t="s">
        <v>22</v>
      </c>
      <c r="D2165" t="s">
        <v>20</v>
      </c>
      <c r="E2165">
        <v>113</v>
      </c>
      <c r="F2165">
        <v>49</v>
      </c>
      <c r="G2165">
        <v>4.2</v>
      </c>
      <c r="H2165" t="s">
        <v>12</v>
      </c>
      <c r="I2165" t="s">
        <v>19</v>
      </c>
      <c r="J2165" t="s">
        <v>11</v>
      </c>
      <c r="K2165">
        <f>_xlfn.XLOOKUP(tbl_analysis_tickets[[#This Row],[priority]],tbl_sla[priority],tbl_sla[Resolution SLA Hours])</f>
        <v>24</v>
      </c>
      <c r="L2165">
        <f>_xlfn.XLOOKUP(tbl_analysis_tickets[[#This Row],[priority]],tbl_sla[priority],tbl_sla[First Response SLA Minutes])</f>
        <v>60</v>
      </c>
      <c r="M2165" t="str">
        <f>IF(tbl_analysis_tickets[[#This Row],[resolution_time_hours]]&gt;tbl_analysis_tickets[[#This Row],[Resolution SLA Hours]],"Breached","Within SLA")</f>
        <v>Breached</v>
      </c>
      <c r="N2165" t="str">
        <f>IF(tbl_analysis_tickets[[#This Row],[first_response_minutes]]&gt;tbl_analysis_tickets[[#This Row],[First Response SLA Minutes]],"Breached","Within SLA")</f>
        <v>Breached</v>
      </c>
      <c r="O2165" t="str" cm="1">
        <f t="array" ref="O2165">_xlfn.IFS(
tbl_analysis_tickets[[#This Row],[agent_experience_years]]&lt;=2,"Junior",
tbl_analysis_tickets[[#This Row],[agent_experience_years]]&lt;=5,"Mid-Level",
tbl_analysis_tickets[[#This Row],[agent_experience_years]]&lt;=8,"Senior",
tbl_analysis_tickets[[#This Row],[agent_experience_years]]&gt;8,"Expert"
)</f>
        <v>Mid-Level</v>
      </c>
      <c r="P2165" cm="1">
        <f t="array" ref="P2165">_xlfn.SWITCH(tbl_analysis_tickets[[#This Row],[customer_satisfaction]],
"Low",1,
"Medium",2,
"High",3
)</f>
        <v>1</v>
      </c>
      <c r="Q2165">
        <f>IF(tbl_analysis_tickets[[#This Row],[reopened]]="Yes",1,0)</f>
        <v>1</v>
      </c>
      <c r="R2165" t="str" cm="1">
        <f t="array" ref="R2165">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165" t="str" cm="1">
        <f t="array" ref="S216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165" t="str">
        <f>TEXT(tbl_analysis_tickets[[#This Row],[created_date]],"mmm-yyyy")</f>
        <v>Jan-2024</v>
      </c>
      <c r="U2165" t="str">
        <f>TEXT(tbl_analysis_tickets[[#This Row],[created_date]],"dddd")</f>
        <v>Saturday</v>
      </c>
      <c r="V2165" cm="1">
        <f t="array" ref="V2165">_xlfn.SWITCH(tbl_analysis_tickets[[#This Row],[priority]],
"Urgent",1,
"High",2,
"Medium",3,
"Low",4
)</f>
        <v>2</v>
      </c>
    </row>
    <row r="2166" spans="1:22" x14ac:dyDescent="0.25">
      <c r="A2166">
        <v>2165</v>
      </c>
      <c r="B2166" s="1">
        <v>45561</v>
      </c>
      <c r="C2166" t="s">
        <v>10</v>
      </c>
      <c r="D2166" t="s">
        <v>11</v>
      </c>
      <c r="E2166">
        <v>212</v>
      </c>
      <c r="F2166">
        <v>32</v>
      </c>
      <c r="G2166">
        <v>9.3000000000000007</v>
      </c>
      <c r="H2166" t="s">
        <v>18</v>
      </c>
      <c r="I2166" t="s">
        <v>13</v>
      </c>
      <c r="J2166" t="s">
        <v>15</v>
      </c>
      <c r="K2166">
        <f>_xlfn.XLOOKUP(tbl_analysis_tickets[[#This Row],[priority]],tbl_sla[priority],tbl_sla[Resolution SLA Hours])</f>
        <v>72</v>
      </c>
      <c r="L2166">
        <f>_xlfn.XLOOKUP(tbl_analysis_tickets[[#This Row],[priority]],tbl_sla[priority],tbl_sla[First Response SLA Minutes])</f>
        <v>240</v>
      </c>
      <c r="M2166" t="str">
        <f>IF(tbl_analysis_tickets[[#This Row],[resolution_time_hours]]&gt;tbl_analysis_tickets[[#This Row],[Resolution SLA Hours]],"Breached","Within SLA")</f>
        <v>Within SLA</v>
      </c>
      <c r="N2166" t="str">
        <f>IF(tbl_analysis_tickets[[#This Row],[first_response_minutes]]&gt;tbl_analysis_tickets[[#This Row],[First Response SLA Minutes]],"Breached","Within SLA")</f>
        <v>Within SLA</v>
      </c>
      <c r="O2166" t="str" cm="1">
        <f t="array" ref="O2166">_xlfn.IFS(
tbl_analysis_tickets[[#This Row],[agent_experience_years]]&lt;=2,"Junior",
tbl_analysis_tickets[[#This Row],[agent_experience_years]]&lt;=5,"Mid-Level",
tbl_analysis_tickets[[#This Row],[agent_experience_years]]&lt;=8,"Senior",
tbl_analysis_tickets[[#This Row],[agent_experience_years]]&gt;8,"Expert"
)</f>
        <v>Expert</v>
      </c>
      <c r="P2166" cm="1">
        <f t="array" ref="P2166">_xlfn.SWITCH(tbl_analysis_tickets[[#This Row],[customer_satisfaction]],
"Low",1,
"Medium",2,
"High",3
)</f>
        <v>2</v>
      </c>
      <c r="Q2166">
        <f>IF(tbl_analysis_tickets[[#This Row],[reopened]]="Yes",1,0)</f>
        <v>0</v>
      </c>
      <c r="R2166" t="str" cm="1">
        <f t="array" ref="R2166">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166" t="str" cm="1">
        <f t="array" ref="S216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166" t="str">
        <f>TEXT(tbl_analysis_tickets[[#This Row],[created_date]],"mmm-yyyy")</f>
        <v>Sep-2024</v>
      </c>
      <c r="U2166" t="str">
        <f>TEXT(tbl_analysis_tickets[[#This Row],[created_date]],"dddd")</f>
        <v>Thursday</v>
      </c>
      <c r="V2166" cm="1">
        <f t="array" ref="V2166">_xlfn.SWITCH(tbl_analysis_tickets[[#This Row],[priority]],
"Urgent",1,
"High",2,
"Medium",3,
"Low",4
)</f>
        <v>4</v>
      </c>
    </row>
    <row r="2167" spans="1:22" x14ac:dyDescent="0.25">
      <c r="A2167">
        <v>2166</v>
      </c>
      <c r="B2167" s="1">
        <v>45426</v>
      </c>
      <c r="C2167" t="s">
        <v>23</v>
      </c>
      <c r="D2167" t="s">
        <v>15</v>
      </c>
      <c r="E2167">
        <v>50</v>
      </c>
      <c r="F2167">
        <v>17</v>
      </c>
      <c r="G2167">
        <v>8.4</v>
      </c>
      <c r="H2167" t="s">
        <v>12</v>
      </c>
      <c r="I2167" t="s">
        <v>16</v>
      </c>
      <c r="J2167" t="s">
        <v>11</v>
      </c>
      <c r="K2167">
        <f>_xlfn.XLOOKUP(tbl_analysis_tickets[[#This Row],[priority]],tbl_sla[priority],tbl_sla[Resolution SLA Hours])</f>
        <v>48</v>
      </c>
      <c r="L2167">
        <f>_xlfn.XLOOKUP(tbl_analysis_tickets[[#This Row],[priority]],tbl_sla[priority],tbl_sla[First Response SLA Minutes])</f>
        <v>120</v>
      </c>
      <c r="M2167" t="str">
        <f>IF(tbl_analysis_tickets[[#This Row],[resolution_time_hours]]&gt;tbl_analysis_tickets[[#This Row],[Resolution SLA Hours]],"Breached","Within SLA")</f>
        <v>Within SLA</v>
      </c>
      <c r="N2167" t="str">
        <f>IF(tbl_analysis_tickets[[#This Row],[first_response_minutes]]&gt;tbl_analysis_tickets[[#This Row],[First Response SLA Minutes]],"Breached","Within SLA")</f>
        <v>Within SLA</v>
      </c>
      <c r="O2167" t="str" cm="1">
        <f t="array" ref="O2167">_xlfn.IFS(
tbl_analysis_tickets[[#This Row],[agent_experience_years]]&lt;=2,"Junior",
tbl_analysis_tickets[[#This Row],[agent_experience_years]]&lt;=5,"Mid-Level",
tbl_analysis_tickets[[#This Row],[agent_experience_years]]&lt;=8,"Senior",
tbl_analysis_tickets[[#This Row],[agent_experience_years]]&gt;8,"Expert"
)</f>
        <v>Expert</v>
      </c>
      <c r="P2167" cm="1">
        <f t="array" ref="P2167">_xlfn.SWITCH(tbl_analysis_tickets[[#This Row],[customer_satisfaction]],
"Low",1,
"Medium",2,
"High",3
)</f>
        <v>1</v>
      </c>
      <c r="Q2167">
        <f>IF(tbl_analysis_tickets[[#This Row],[reopened]]="Yes",1,0)</f>
        <v>1</v>
      </c>
      <c r="R2167" t="str" cm="1">
        <f t="array" ref="R2167">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167" t="str" cm="1">
        <f t="array" ref="S216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167" t="str">
        <f>TEXT(tbl_analysis_tickets[[#This Row],[created_date]],"mmm-yyyy")</f>
        <v>May-2024</v>
      </c>
      <c r="U2167" t="str">
        <f>TEXT(tbl_analysis_tickets[[#This Row],[created_date]],"dddd")</f>
        <v>Tuesday</v>
      </c>
      <c r="V2167" cm="1">
        <f t="array" ref="V2167">_xlfn.SWITCH(tbl_analysis_tickets[[#This Row],[priority]],
"Urgent",1,
"High",2,
"Medium",3,
"Low",4
)</f>
        <v>3</v>
      </c>
    </row>
    <row r="2168" spans="1:22" x14ac:dyDescent="0.25">
      <c r="A2168">
        <v>2167</v>
      </c>
      <c r="B2168" s="1">
        <v>45604</v>
      </c>
      <c r="C2168" t="s">
        <v>21</v>
      </c>
      <c r="D2168" t="s">
        <v>17</v>
      </c>
      <c r="E2168">
        <v>161</v>
      </c>
      <c r="F2168">
        <v>6</v>
      </c>
      <c r="G2168">
        <v>7.5</v>
      </c>
      <c r="H2168" t="s">
        <v>18</v>
      </c>
      <c r="I2168" t="s">
        <v>19</v>
      </c>
      <c r="J2168" t="s">
        <v>15</v>
      </c>
      <c r="K2168">
        <f>_xlfn.XLOOKUP(tbl_analysis_tickets[[#This Row],[priority]],tbl_sla[priority],tbl_sla[Resolution SLA Hours])</f>
        <v>8</v>
      </c>
      <c r="L2168">
        <f>_xlfn.XLOOKUP(tbl_analysis_tickets[[#This Row],[priority]],tbl_sla[priority],tbl_sla[First Response SLA Minutes])</f>
        <v>30</v>
      </c>
      <c r="M2168" t="str">
        <f>IF(tbl_analysis_tickets[[#This Row],[resolution_time_hours]]&gt;tbl_analysis_tickets[[#This Row],[Resolution SLA Hours]],"Breached","Within SLA")</f>
        <v>Within SLA</v>
      </c>
      <c r="N2168" t="str">
        <f>IF(tbl_analysis_tickets[[#This Row],[first_response_minutes]]&gt;tbl_analysis_tickets[[#This Row],[First Response SLA Minutes]],"Breached","Within SLA")</f>
        <v>Breached</v>
      </c>
      <c r="O2168" t="str" cm="1">
        <f t="array" ref="O2168">_xlfn.IFS(
tbl_analysis_tickets[[#This Row],[agent_experience_years]]&lt;=2,"Junior",
tbl_analysis_tickets[[#This Row],[agent_experience_years]]&lt;=5,"Mid-Level",
tbl_analysis_tickets[[#This Row],[agent_experience_years]]&lt;=8,"Senior",
tbl_analysis_tickets[[#This Row],[agent_experience_years]]&gt;8,"Expert"
)</f>
        <v>Senior</v>
      </c>
      <c r="P2168" cm="1">
        <f t="array" ref="P2168">_xlfn.SWITCH(tbl_analysis_tickets[[#This Row],[customer_satisfaction]],
"Low",1,
"Medium",2,
"High",3
)</f>
        <v>2</v>
      </c>
      <c r="Q2168">
        <f>IF(tbl_analysis_tickets[[#This Row],[reopened]]="Yes",1,0)</f>
        <v>0</v>
      </c>
      <c r="R2168" t="str" cm="1">
        <f t="array" ref="R2168">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168" t="str" cm="1">
        <f t="array" ref="S216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2168" t="str">
        <f>TEXT(tbl_analysis_tickets[[#This Row],[created_date]],"mmm-yyyy")</f>
        <v>Nov-2024</v>
      </c>
      <c r="U2168" t="str">
        <f>TEXT(tbl_analysis_tickets[[#This Row],[created_date]],"dddd")</f>
        <v>Friday</v>
      </c>
      <c r="V2168" cm="1">
        <f t="array" ref="V2168">_xlfn.SWITCH(tbl_analysis_tickets[[#This Row],[priority]],
"Urgent",1,
"High",2,
"Medium",3,
"Low",4
)</f>
        <v>1</v>
      </c>
    </row>
    <row r="2169" spans="1:22" x14ac:dyDescent="0.25">
      <c r="A2169">
        <v>2168</v>
      </c>
      <c r="B2169" s="1">
        <v>45369</v>
      </c>
      <c r="C2169" t="s">
        <v>14</v>
      </c>
      <c r="D2169" t="s">
        <v>17</v>
      </c>
      <c r="E2169">
        <v>7</v>
      </c>
      <c r="F2169">
        <v>25</v>
      </c>
      <c r="G2169">
        <v>9.5</v>
      </c>
      <c r="H2169" t="s">
        <v>18</v>
      </c>
      <c r="I2169" t="s">
        <v>16</v>
      </c>
      <c r="J2169" t="s">
        <v>15</v>
      </c>
      <c r="K2169">
        <f>_xlfn.XLOOKUP(tbl_analysis_tickets[[#This Row],[priority]],tbl_sla[priority],tbl_sla[Resolution SLA Hours])</f>
        <v>8</v>
      </c>
      <c r="L2169">
        <f>_xlfn.XLOOKUP(tbl_analysis_tickets[[#This Row],[priority]],tbl_sla[priority],tbl_sla[First Response SLA Minutes])</f>
        <v>30</v>
      </c>
      <c r="M2169" t="str">
        <f>IF(tbl_analysis_tickets[[#This Row],[resolution_time_hours]]&gt;tbl_analysis_tickets[[#This Row],[Resolution SLA Hours]],"Breached","Within SLA")</f>
        <v>Breached</v>
      </c>
      <c r="N2169" t="str">
        <f>IF(tbl_analysis_tickets[[#This Row],[first_response_minutes]]&gt;tbl_analysis_tickets[[#This Row],[First Response SLA Minutes]],"Breached","Within SLA")</f>
        <v>Within SLA</v>
      </c>
      <c r="O2169" t="str" cm="1">
        <f t="array" ref="O2169">_xlfn.IFS(
tbl_analysis_tickets[[#This Row],[agent_experience_years]]&lt;=2,"Junior",
tbl_analysis_tickets[[#This Row],[agent_experience_years]]&lt;=5,"Mid-Level",
tbl_analysis_tickets[[#This Row],[agent_experience_years]]&lt;=8,"Senior",
tbl_analysis_tickets[[#This Row],[agent_experience_years]]&gt;8,"Expert"
)</f>
        <v>Expert</v>
      </c>
      <c r="P2169" cm="1">
        <f t="array" ref="P2169">_xlfn.SWITCH(tbl_analysis_tickets[[#This Row],[customer_satisfaction]],
"Low",1,
"Medium",2,
"High",3
)</f>
        <v>2</v>
      </c>
      <c r="Q2169">
        <f>IF(tbl_analysis_tickets[[#This Row],[reopened]]="Yes",1,0)</f>
        <v>0</v>
      </c>
      <c r="R2169" t="str" cm="1">
        <f t="array" ref="R2169">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2169" t="str" cm="1">
        <f t="array" ref="S216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169" t="str">
        <f>TEXT(tbl_analysis_tickets[[#This Row],[created_date]],"mmm-yyyy")</f>
        <v>Mar-2024</v>
      </c>
      <c r="U2169" t="str">
        <f>TEXT(tbl_analysis_tickets[[#This Row],[created_date]],"dddd")</f>
        <v>Monday</v>
      </c>
      <c r="V2169" cm="1">
        <f t="array" ref="V2169">_xlfn.SWITCH(tbl_analysis_tickets[[#This Row],[priority]],
"Urgent",1,
"High",2,
"Medium",3,
"Low",4
)</f>
        <v>1</v>
      </c>
    </row>
    <row r="2170" spans="1:22" x14ac:dyDescent="0.25">
      <c r="A2170">
        <v>2169</v>
      </c>
      <c r="B2170" s="1">
        <v>45525</v>
      </c>
      <c r="C2170" t="s">
        <v>23</v>
      </c>
      <c r="D2170" t="s">
        <v>17</v>
      </c>
      <c r="E2170">
        <v>58</v>
      </c>
      <c r="F2170">
        <v>42</v>
      </c>
      <c r="G2170">
        <v>2</v>
      </c>
      <c r="H2170" t="s">
        <v>12</v>
      </c>
      <c r="I2170" t="s">
        <v>16</v>
      </c>
      <c r="J2170" t="s">
        <v>11</v>
      </c>
      <c r="K2170">
        <f>_xlfn.XLOOKUP(tbl_analysis_tickets[[#This Row],[priority]],tbl_sla[priority],tbl_sla[Resolution SLA Hours])</f>
        <v>8</v>
      </c>
      <c r="L2170">
        <f>_xlfn.XLOOKUP(tbl_analysis_tickets[[#This Row],[priority]],tbl_sla[priority],tbl_sla[First Response SLA Minutes])</f>
        <v>30</v>
      </c>
      <c r="M2170" t="str">
        <f>IF(tbl_analysis_tickets[[#This Row],[resolution_time_hours]]&gt;tbl_analysis_tickets[[#This Row],[Resolution SLA Hours]],"Breached","Within SLA")</f>
        <v>Breached</v>
      </c>
      <c r="N2170" t="str">
        <f>IF(tbl_analysis_tickets[[#This Row],[first_response_minutes]]&gt;tbl_analysis_tickets[[#This Row],[First Response SLA Minutes]],"Breached","Within SLA")</f>
        <v>Breached</v>
      </c>
      <c r="O2170" t="str" cm="1">
        <f t="array" ref="O2170">_xlfn.IFS(
tbl_analysis_tickets[[#This Row],[agent_experience_years]]&lt;=2,"Junior",
tbl_analysis_tickets[[#This Row],[agent_experience_years]]&lt;=5,"Mid-Level",
tbl_analysis_tickets[[#This Row],[agent_experience_years]]&lt;=8,"Senior",
tbl_analysis_tickets[[#This Row],[agent_experience_years]]&gt;8,"Expert"
)</f>
        <v>Junior</v>
      </c>
      <c r="P2170" cm="1">
        <f t="array" ref="P2170">_xlfn.SWITCH(tbl_analysis_tickets[[#This Row],[customer_satisfaction]],
"Low",1,
"Medium",2,
"High",3
)</f>
        <v>1</v>
      </c>
      <c r="Q2170">
        <f>IF(tbl_analysis_tickets[[#This Row],[reopened]]="Yes",1,0)</f>
        <v>1</v>
      </c>
      <c r="R2170" t="str" cm="1">
        <f t="array" ref="R2170">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170" t="str" cm="1">
        <f t="array" ref="S217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170" t="str">
        <f>TEXT(tbl_analysis_tickets[[#This Row],[created_date]],"mmm-yyyy")</f>
        <v>Aug-2024</v>
      </c>
      <c r="U2170" t="str">
        <f>TEXT(tbl_analysis_tickets[[#This Row],[created_date]],"dddd")</f>
        <v>Wednesday</v>
      </c>
      <c r="V2170" cm="1">
        <f t="array" ref="V2170">_xlfn.SWITCH(tbl_analysis_tickets[[#This Row],[priority]],
"Urgent",1,
"High",2,
"Medium",3,
"Low",4
)</f>
        <v>1</v>
      </c>
    </row>
    <row r="2171" spans="1:22" x14ac:dyDescent="0.25">
      <c r="A2171">
        <v>2170</v>
      </c>
      <c r="B2171" s="1">
        <v>45500</v>
      </c>
      <c r="C2171" t="s">
        <v>21</v>
      </c>
      <c r="D2171" t="s">
        <v>20</v>
      </c>
      <c r="E2171">
        <v>206</v>
      </c>
      <c r="F2171">
        <v>43</v>
      </c>
      <c r="G2171">
        <v>2</v>
      </c>
      <c r="H2171" t="s">
        <v>12</v>
      </c>
      <c r="I2171" t="s">
        <v>19</v>
      </c>
      <c r="J2171" t="s">
        <v>11</v>
      </c>
      <c r="K2171">
        <f>_xlfn.XLOOKUP(tbl_analysis_tickets[[#This Row],[priority]],tbl_sla[priority],tbl_sla[Resolution SLA Hours])</f>
        <v>24</v>
      </c>
      <c r="L2171">
        <f>_xlfn.XLOOKUP(tbl_analysis_tickets[[#This Row],[priority]],tbl_sla[priority],tbl_sla[First Response SLA Minutes])</f>
        <v>60</v>
      </c>
      <c r="M2171" t="str">
        <f>IF(tbl_analysis_tickets[[#This Row],[resolution_time_hours]]&gt;tbl_analysis_tickets[[#This Row],[Resolution SLA Hours]],"Breached","Within SLA")</f>
        <v>Breached</v>
      </c>
      <c r="N2171" t="str">
        <f>IF(tbl_analysis_tickets[[#This Row],[first_response_minutes]]&gt;tbl_analysis_tickets[[#This Row],[First Response SLA Minutes]],"Breached","Within SLA")</f>
        <v>Breached</v>
      </c>
      <c r="O2171" t="str" cm="1">
        <f t="array" ref="O2171">_xlfn.IFS(
tbl_analysis_tickets[[#This Row],[agent_experience_years]]&lt;=2,"Junior",
tbl_analysis_tickets[[#This Row],[agent_experience_years]]&lt;=5,"Mid-Level",
tbl_analysis_tickets[[#This Row],[agent_experience_years]]&lt;=8,"Senior",
tbl_analysis_tickets[[#This Row],[agent_experience_years]]&gt;8,"Expert"
)</f>
        <v>Junior</v>
      </c>
      <c r="P2171" cm="1">
        <f t="array" ref="P2171">_xlfn.SWITCH(tbl_analysis_tickets[[#This Row],[customer_satisfaction]],
"Low",1,
"Medium",2,
"High",3
)</f>
        <v>1</v>
      </c>
      <c r="Q2171">
        <f>IF(tbl_analysis_tickets[[#This Row],[reopened]]="Yes",1,0)</f>
        <v>1</v>
      </c>
      <c r="R2171" t="str" cm="1">
        <f t="array" ref="R2171">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171" t="str" cm="1">
        <f t="array" ref="S217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171" t="str">
        <f>TEXT(tbl_analysis_tickets[[#This Row],[created_date]],"mmm-yyyy")</f>
        <v>Jul-2024</v>
      </c>
      <c r="U2171" t="str">
        <f>TEXT(tbl_analysis_tickets[[#This Row],[created_date]],"dddd")</f>
        <v>Saturday</v>
      </c>
      <c r="V2171" cm="1">
        <f t="array" ref="V2171">_xlfn.SWITCH(tbl_analysis_tickets[[#This Row],[priority]],
"Urgent",1,
"High",2,
"Medium",3,
"Low",4
)</f>
        <v>2</v>
      </c>
    </row>
    <row r="2172" spans="1:22" x14ac:dyDescent="0.25">
      <c r="A2172">
        <v>2171</v>
      </c>
      <c r="B2172" s="1">
        <v>45324</v>
      </c>
      <c r="C2172" t="s">
        <v>23</v>
      </c>
      <c r="D2172" t="s">
        <v>20</v>
      </c>
      <c r="E2172">
        <v>128</v>
      </c>
      <c r="F2172">
        <v>42</v>
      </c>
      <c r="G2172">
        <v>2.1</v>
      </c>
      <c r="H2172" t="s">
        <v>12</v>
      </c>
      <c r="I2172" t="s">
        <v>13</v>
      </c>
      <c r="J2172" t="s">
        <v>11</v>
      </c>
      <c r="K2172">
        <f>_xlfn.XLOOKUP(tbl_analysis_tickets[[#This Row],[priority]],tbl_sla[priority],tbl_sla[Resolution SLA Hours])</f>
        <v>24</v>
      </c>
      <c r="L2172">
        <f>_xlfn.XLOOKUP(tbl_analysis_tickets[[#This Row],[priority]],tbl_sla[priority],tbl_sla[First Response SLA Minutes])</f>
        <v>60</v>
      </c>
      <c r="M2172" t="str">
        <f>IF(tbl_analysis_tickets[[#This Row],[resolution_time_hours]]&gt;tbl_analysis_tickets[[#This Row],[Resolution SLA Hours]],"Breached","Within SLA")</f>
        <v>Breached</v>
      </c>
      <c r="N2172" t="str">
        <f>IF(tbl_analysis_tickets[[#This Row],[first_response_minutes]]&gt;tbl_analysis_tickets[[#This Row],[First Response SLA Minutes]],"Breached","Within SLA")</f>
        <v>Breached</v>
      </c>
      <c r="O2172" t="str" cm="1">
        <f t="array" ref="O2172">_xlfn.IFS(
tbl_analysis_tickets[[#This Row],[agent_experience_years]]&lt;=2,"Junior",
tbl_analysis_tickets[[#This Row],[agent_experience_years]]&lt;=5,"Mid-Level",
tbl_analysis_tickets[[#This Row],[agent_experience_years]]&lt;=8,"Senior",
tbl_analysis_tickets[[#This Row],[agent_experience_years]]&gt;8,"Expert"
)</f>
        <v>Mid-Level</v>
      </c>
      <c r="P2172" cm="1">
        <f t="array" ref="P2172">_xlfn.SWITCH(tbl_analysis_tickets[[#This Row],[customer_satisfaction]],
"Low",1,
"Medium",2,
"High",3
)</f>
        <v>1</v>
      </c>
      <c r="Q2172">
        <f>IF(tbl_analysis_tickets[[#This Row],[reopened]]="Yes",1,0)</f>
        <v>1</v>
      </c>
      <c r="R2172" t="str" cm="1">
        <f t="array" ref="R2172">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172" t="str" cm="1">
        <f t="array" ref="S217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172" t="str">
        <f>TEXT(tbl_analysis_tickets[[#This Row],[created_date]],"mmm-yyyy")</f>
        <v>Feb-2024</v>
      </c>
      <c r="U2172" t="str">
        <f>TEXT(tbl_analysis_tickets[[#This Row],[created_date]],"dddd")</f>
        <v>Friday</v>
      </c>
      <c r="V2172" cm="1">
        <f t="array" ref="V2172">_xlfn.SWITCH(tbl_analysis_tickets[[#This Row],[priority]],
"Urgent",1,
"High",2,
"Medium",3,
"Low",4
)</f>
        <v>2</v>
      </c>
    </row>
    <row r="2173" spans="1:22" x14ac:dyDescent="0.25">
      <c r="A2173">
        <v>2172</v>
      </c>
      <c r="B2173" s="1">
        <v>45466</v>
      </c>
      <c r="C2173" t="s">
        <v>10</v>
      </c>
      <c r="D2173" t="s">
        <v>15</v>
      </c>
      <c r="E2173">
        <v>226</v>
      </c>
      <c r="F2173">
        <v>50</v>
      </c>
      <c r="G2173">
        <v>1.7</v>
      </c>
      <c r="H2173" t="s">
        <v>12</v>
      </c>
      <c r="I2173" t="s">
        <v>19</v>
      </c>
      <c r="J2173" t="s">
        <v>11</v>
      </c>
      <c r="K2173">
        <f>_xlfn.XLOOKUP(tbl_analysis_tickets[[#This Row],[priority]],tbl_sla[priority],tbl_sla[Resolution SLA Hours])</f>
        <v>48</v>
      </c>
      <c r="L2173">
        <f>_xlfn.XLOOKUP(tbl_analysis_tickets[[#This Row],[priority]],tbl_sla[priority],tbl_sla[First Response SLA Minutes])</f>
        <v>120</v>
      </c>
      <c r="M2173" t="str">
        <f>IF(tbl_analysis_tickets[[#This Row],[resolution_time_hours]]&gt;tbl_analysis_tickets[[#This Row],[Resolution SLA Hours]],"Breached","Within SLA")</f>
        <v>Breached</v>
      </c>
      <c r="N2173" t="str">
        <f>IF(tbl_analysis_tickets[[#This Row],[first_response_minutes]]&gt;tbl_analysis_tickets[[#This Row],[First Response SLA Minutes]],"Breached","Within SLA")</f>
        <v>Breached</v>
      </c>
      <c r="O2173" t="str" cm="1">
        <f t="array" ref="O2173">_xlfn.IFS(
tbl_analysis_tickets[[#This Row],[agent_experience_years]]&lt;=2,"Junior",
tbl_analysis_tickets[[#This Row],[agent_experience_years]]&lt;=5,"Mid-Level",
tbl_analysis_tickets[[#This Row],[agent_experience_years]]&lt;=8,"Senior",
tbl_analysis_tickets[[#This Row],[agent_experience_years]]&gt;8,"Expert"
)</f>
        <v>Junior</v>
      </c>
      <c r="P2173" cm="1">
        <f t="array" ref="P2173">_xlfn.SWITCH(tbl_analysis_tickets[[#This Row],[customer_satisfaction]],
"Low",1,
"Medium",2,
"High",3
)</f>
        <v>1</v>
      </c>
      <c r="Q2173">
        <f>IF(tbl_analysis_tickets[[#This Row],[reopened]]="Yes",1,0)</f>
        <v>1</v>
      </c>
      <c r="R2173" t="str" cm="1">
        <f t="array" ref="R2173">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173" t="str" cm="1">
        <f t="array" ref="S217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173" t="str">
        <f>TEXT(tbl_analysis_tickets[[#This Row],[created_date]],"mmm-yyyy")</f>
        <v>Jun-2024</v>
      </c>
      <c r="U2173" t="str">
        <f>TEXT(tbl_analysis_tickets[[#This Row],[created_date]],"dddd")</f>
        <v>Sunday</v>
      </c>
      <c r="V2173" cm="1">
        <f t="array" ref="V2173">_xlfn.SWITCH(tbl_analysis_tickets[[#This Row],[priority]],
"Urgent",1,
"High",2,
"Medium",3,
"Low",4
)</f>
        <v>3</v>
      </c>
    </row>
    <row r="2174" spans="1:22" x14ac:dyDescent="0.25">
      <c r="A2174">
        <v>2173</v>
      </c>
      <c r="B2174" s="1">
        <v>45574</v>
      </c>
      <c r="C2174" t="s">
        <v>23</v>
      </c>
      <c r="D2174" t="s">
        <v>11</v>
      </c>
      <c r="E2174">
        <v>224</v>
      </c>
      <c r="F2174">
        <v>58</v>
      </c>
      <c r="G2174">
        <v>5.0999999999999996</v>
      </c>
      <c r="H2174" t="s">
        <v>18</v>
      </c>
      <c r="I2174" t="s">
        <v>16</v>
      </c>
      <c r="J2174" t="s">
        <v>15</v>
      </c>
      <c r="K2174">
        <f>_xlfn.XLOOKUP(tbl_analysis_tickets[[#This Row],[priority]],tbl_sla[priority],tbl_sla[Resolution SLA Hours])</f>
        <v>72</v>
      </c>
      <c r="L2174">
        <f>_xlfn.XLOOKUP(tbl_analysis_tickets[[#This Row],[priority]],tbl_sla[priority],tbl_sla[First Response SLA Minutes])</f>
        <v>240</v>
      </c>
      <c r="M2174" t="str">
        <f>IF(tbl_analysis_tickets[[#This Row],[resolution_time_hours]]&gt;tbl_analysis_tickets[[#This Row],[Resolution SLA Hours]],"Breached","Within SLA")</f>
        <v>Within SLA</v>
      </c>
      <c r="N2174" t="str">
        <f>IF(tbl_analysis_tickets[[#This Row],[first_response_minutes]]&gt;tbl_analysis_tickets[[#This Row],[First Response SLA Minutes]],"Breached","Within SLA")</f>
        <v>Within SLA</v>
      </c>
      <c r="O2174" t="str" cm="1">
        <f t="array" ref="O2174">_xlfn.IFS(
tbl_analysis_tickets[[#This Row],[agent_experience_years]]&lt;=2,"Junior",
tbl_analysis_tickets[[#This Row],[agent_experience_years]]&lt;=5,"Mid-Level",
tbl_analysis_tickets[[#This Row],[agent_experience_years]]&lt;=8,"Senior",
tbl_analysis_tickets[[#This Row],[agent_experience_years]]&gt;8,"Expert"
)</f>
        <v>Senior</v>
      </c>
      <c r="P2174" cm="1">
        <f t="array" ref="P2174">_xlfn.SWITCH(tbl_analysis_tickets[[#This Row],[customer_satisfaction]],
"Low",1,
"Medium",2,
"High",3
)</f>
        <v>2</v>
      </c>
      <c r="Q2174">
        <f>IF(tbl_analysis_tickets[[#This Row],[reopened]]="Yes",1,0)</f>
        <v>0</v>
      </c>
      <c r="R2174" t="str" cm="1">
        <f t="array" ref="R2174">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174" t="str" cm="1">
        <f t="array" ref="S217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174" t="str">
        <f>TEXT(tbl_analysis_tickets[[#This Row],[created_date]],"mmm-yyyy")</f>
        <v>Oct-2024</v>
      </c>
      <c r="U2174" t="str">
        <f>TEXT(tbl_analysis_tickets[[#This Row],[created_date]],"dddd")</f>
        <v>Wednesday</v>
      </c>
      <c r="V2174" cm="1">
        <f t="array" ref="V2174">_xlfn.SWITCH(tbl_analysis_tickets[[#This Row],[priority]],
"Urgent",1,
"High",2,
"Medium",3,
"Low",4
)</f>
        <v>4</v>
      </c>
    </row>
    <row r="2175" spans="1:22" x14ac:dyDescent="0.25">
      <c r="A2175">
        <v>2174</v>
      </c>
      <c r="B2175" s="1">
        <v>45428</v>
      </c>
      <c r="C2175" t="s">
        <v>22</v>
      </c>
      <c r="D2175" t="s">
        <v>20</v>
      </c>
      <c r="E2175">
        <v>177</v>
      </c>
      <c r="F2175">
        <v>65</v>
      </c>
      <c r="G2175">
        <v>8.3000000000000007</v>
      </c>
      <c r="H2175" t="s">
        <v>12</v>
      </c>
      <c r="I2175" t="s">
        <v>16</v>
      </c>
      <c r="J2175" t="s">
        <v>11</v>
      </c>
      <c r="K2175">
        <f>_xlfn.XLOOKUP(tbl_analysis_tickets[[#This Row],[priority]],tbl_sla[priority],tbl_sla[Resolution SLA Hours])</f>
        <v>24</v>
      </c>
      <c r="L2175">
        <f>_xlfn.XLOOKUP(tbl_analysis_tickets[[#This Row],[priority]],tbl_sla[priority],tbl_sla[First Response SLA Minutes])</f>
        <v>60</v>
      </c>
      <c r="M2175" t="str">
        <f>IF(tbl_analysis_tickets[[#This Row],[resolution_time_hours]]&gt;tbl_analysis_tickets[[#This Row],[Resolution SLA Hours]],"Breached","Within SLA")</f>
        <v>Breached</v>
      </c>
      <c r="N2175" t="str">
        <f>IF(tbl_analysis_tickets[[#This Row],[first_response_minutes]]&gt;tbl_analysis_tickets[[#This Row],[First Response SLA Minutes]],"Breached","Within SLA")</f>
        <v>Breached</v>
      </c>
      <c r="O2175" t="str" cm="1">
        <f t="array" ref="O2175">_xlfn.IFS(
tbl_analysis_tickets[[#This Row],[agent_experience_years]]&lt;=2,"Junior",
tbl_analysis_tickets[[#This Row],[agent_experience_years]]&lt;=5,"Mid-Level",
tbl_analysis_tickets[[#This Row],[agent_experience_years]]&lt;=8,"Senior",
tbl_analysis_tickets[[#This Row],[agent_experience_years]]&gt;8,"Expert"
)</f>
        <v>Expert</v>
      </c>
      <c r="P2175" cm="1">
        <f t="array" ref="P2175">_xlfn.SWITCH(tbl_analysis_tickets[[#This Row],[customer_satisfaction]],
"Low",1,
"Medium",2,
"High",3
)</f>
        <v>1</v>
      </c>
      <c r="Q2175">
        <f>IF(tbl_analysis_tickets[[#This Row],[reopened]]="Yes",1,0)</f>
        <v>1</v>
      </c>
      <c r="R2175" t="str" cm="1">
        <f t="array" ref="R2175">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175" t="str" cm="1">
        <f t="array" ref="S217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175" t="str">
        <f>TEXT(tbl_analysis_tickets[[#This Row],[created_date]],"mmm-yyyy")</f>
        <v>May-2024</v>
      </c>
      <c r="U2175" t="str">
        <f>TEXT(tbl_analysis_tickets[[#This Row],[created_date]],"dddd")</f>
        <v>Thursday</v>
      </c>
      <c r="V2175" cm="1">
        <f t="array" ref="V2175">_xlfn.SWITCH(tbl_analysis_tickets[[#This Row],[priority]],
"Urgent",1,
"High",2,
"Medium",3,
"Low",4
)</f>
        <v>2</v>
      </c>
    </row>
    <row r="2176" spans="1:22" x14ac:dyDescent="0.25">
      <c r="A2176">
        <v>2175</v>
      </c>
      <c r="B2176" s="1">
        <v>45315</v>
      </c>
      <c r="C2176" t="s">
        <v>10</v>
      </c>
      <c r="D2176" t="s">
        <v>11</v>
      </c>
      <c r="E2176">
        <v>102</v>
      </c>
      <c r="F2176">
        <v>54</v>
      </c>
      <c r="G2176">
        <v>2.2000000000000002</v>
      </c>
      <c r="H2176" t="s">
        <v>12</v>
      </c>
      <c r="I2176" t="s">
        <v>13</v>
      </c>
      <c r="J2176" t="s">
        <v>11</v>
      </c>
      <c r="K2176">
        <f>_xlfn.XLOOKUP(tbl_analysis_tickets[[#This Row],[priority]],tbl_sla[priority],tbl_sla[Resolution SLA Hours])</f>
        <v>72</v>
      </c>
      <c r="L2176">
        <f>_xlfn.XLOOKUP(tbl_analysis_tickets[[#This Row],[priority]],tbl_sla[priority],tbl_sla[First Response SLA Minutes])</f>
        <v>240</v>
      </c>
      <c r="M2176" t="str">
        <f>IF(tbl_analysis_tickets[[#This Row],[resolution_time_hours]]&gt;tbl_analysis_tickets[[#This Row],[Resolution SLA Hours]],"Breached","Within SLA")</f>
        <v>Within SLA</v>
      </c>
      <c r="N2176" t="str">
        <f>IF(tbl_analysis_tickets[[#This Row],[first_response_minutes]]&gt;tbl_analysis_tickets[[#This Row],[First Response SLA Minutes]],"Breached","Within SLA")</f>
        <v>Within SLA</v>
      </c>
      <c r="O2176" t="str" cm="1">
        <f t="array" ref="O2176">_xlfn.IFS(
tbl_analysis_tickets[[#This Row],[agent_experience_years]]&lt;=2,"Junior",
tbl_analysis_tickets[[#This Row],[agent_experience_years]]&lt;=5,"Mid-Level",
tbl_analysis_tickets[[#This Row],[agent_experience_years]]&lt;=8,"Senior",
tbl_analysis_tickets[[#This Row],[agent_experience_years]]&gt;8,"Expert"
)</f>
        <v>Mid-Level</v>
      </c>
      <c r="P2176" cm="1">
        <f t="array" ref="P2176">_xlfn.SWITCH(tbl_analysis_tickets[[#This Row],[customer_satisfaction]],
"Low",1,
"Medium",2,
"High",3
)</f>
        <v>1</v>
      </c>
      <c r="Q2176">
        <f>IF(tbl_analysis_tickets[[#This Row],[reopened]]="Yes",1,0)</f>
        <v>1</v>
      </c>
      <c r="R2176" t="str" cm="1">
        <f t="array" ref="R2176">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176" t="str" cm="1">
        <f t="array" ref="S217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176" t="str">
        <f>TEXT(tbl_analysis_tickets[[#This Row],[created_date]],"mmm-yyyy")</f>
        <v>Jan-2024</v>
      </c>
      <c r="U2176" t="str">
        <f>TEXT(tbl_analysis_tickets[[#This Row],[created_date]],"dddd")</f>
        <v>Wednesday</v>
      </c>
      <c r="V2176" cm="1">
        <f t="array" ref="V2176">_xlfn.SWITCH(tbl_analysis_tickets[[#This Row],[priority]],
"Urgent",1,
"High",2,
"Medium",3,
"Low",4
)</f>
        <v>4</v>
      </c>
    </row>
    <row r="2177" spans="1:22" x14ac:dyDescent="0.25">
      <c r="A2177">
        <v>2176</v>
      </c>
      <c r="B2177" s="1">
        <v>45524</v>
      </c>
      <c r="C2177" t="s">
        <v>22</v>
      </c>
      <c r="D2177" t="s">
        <v>20</v>
      </c>
      <c r="E2177">
        <v>146</v>
      </c>
      <c r="F2177">
        <v>27</v>
      </c>
      <c r="G2177">
        <v>4.4000000000000004</v>
      </c>
      <c r="H2177" t="s">
        <v>12</v>
      </c>
      <c r="I2177" t="s">
        <v>19</v>
      </c>
      <c r="J2177" t="s">
        <v>11</v>
      </c>
      <c r="K2177">
        <f>_xlfn.XLOOKUP(tbl_analysis_tickets[[#This Row],[priority]],tbl_sla[priority],tbl_sla[Resolution SLA Hours])</f>
        <v>24</v>
      </c>
      <c r="L2177">
        <f>_xlfn.XLOOKUP(tbl_analysis_tickets[[#This Row],[priority]],tbl_sla[priority],tbl_sla[First Response SLA Minutes])</f>
        <v>60</v>
      </c>
      <c r="M2177" t="str">
        <f>IF(tbl_analysis_tickets[[#This Row],[resolution_time_hours]]&gt;tbl_analysis_tickets[[#This Row],[Resolution SLA Hours]],"Breached","Within SLA")</f>
        <v>Breached</v>
      </c>
      <c r="N2177" t="str">
        <f>IF(tbl_analysis_tickets[[#This Row],[first_response_minutes]]&gt;tbl_analysis_tickets[[#This Row],[First Response SLA Minutes]],"Breached","Within SLA")</f>
        <v>Breached</v>
      </c>
      <c r="O2177" t="str" cm="1">
        <f t="array" ref="O2177">_xlfn.IFS(
tbl_analysis_tickets[[#This Row],[agent_experience_years]]&lt;=2,"Junior",
tbl_analysis_tickets[[#This Row],[agent_experience_years]]&lt;=5,"Mid-Level",
tbl_analysis_tickets[[#This Row],[agent_experience_years]]&lt;=8,"Senior",
tbl_analysis_tickets[[#This Row],[agent_experience_years]]&gt;8,"Expert"
)</f>
        <v>Mid-Level</v>
      </c>
      <c r="P2177" cm="1">
        <f t="array" ref="P2177">_xlfn.SWITCH(tbl_analysis_tickets[[#This Row],[customer_satisfaction]],
"Low",1,
"Medium",2,
"High",3
)</f>
        <v>1</v>
      </c>
      <c r="Q2177">
        <f>IF(tbl_analysis_tickets[[#This Row],[reopened]]="Yes",1,0)</f>
        <v>1</v>
      </c>
      <c r="R2177" t="str" cm="1">
        <f t="array" ref="R2177">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177" t="str" cm="1">
        <f t="array" ref="S217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177" t="str">
        <f>TEXT(tbl_analysis_tickets[[#This Row],[created_date]],"mmm-yyyy")</f>
        <v>Aug-2024</v>
      </c>
      <c r="U2177" t="str">
        <f>TEXT(tbl_analysis_tickets[[#This Row],[created_date]],"dddd")</f>
        <v>Tuesday</v>
      </c>
      <c r="V2177" cm="1">
        <f t="array" ref="V2177">_xlfn.SWITCH(tbl_analysis_tickets[[#This Row],[priority]],
"Urgent",1,
"High",2,
"Medium",3,
"Low",4
)</f>
        <v>2</v>
      </c>
    </row>
    <row r="2178" spans="1:22" x14ac:dyDescent="0.25">
      <c r="A2178">
        <v>2177</v>
      </c>
      <c r="B2178" s="1">
        <v>45496</v>
      </c>
      <c r="C2178" t="s">
        <v>14</v>
      </c>
      <c r="D2178" t="s">
        <v>20</v>
      </c>
      <c r="E2178">
        <v>151</v>
      </c>
      <c r="F2178">
        <v>47</v>
      </c>
      <c r="G2178">
        <v>5</v>
      </c>
      <c r="H2178" t="s">
        <v>18</v>
      </c>
      <c r="I2178" t="s">
        <v>13</v>
      </c>
      <c r="J2178" t="s">
        <v>11</v>
      </c>
      <c r="K2178">
        <f>_xlfn.XLOOKUP(tbl_analysis_tickets[[#This Row],[priority]],tbl_sla[priority],tbl_sla[Resolution SLA Hours])</f>
        <v>24</v>
      </c>
      <c r="L2178">
        <f>_xlfn.XLOOKUP(tbl_analysis_tickets[[#This Row],[priority]],tbl_sla[priority],tbl_sla[First Response SLA Minutes])</f>
        <v>60</v>
      </c>
      <c r="M2178" t="str">
        <f>IF(tbl_analysis_tickets[[#This Row],[resolution_time_hours]]&gt;tbl_analysis_tickets[[#This Row],[Resolution SLA Hours]],"Breached","Within SLA")</f>
        <v>Breached</v>
      </c>
      <c r="N2178" t="str">
        <f>IF(tbl_analysis_tickets[[#This Row],[first_response_minutes]]&gt;tbl_analysis_tickets[[#This Row],[First Response SLA Minutes]],"Breached","Within SLA")</f>
        <v>Breached</v>
      </c>
      <c r="O2178" t="str" cm="1">
        <f t="array" ref="O2178">_xlfn.IFS(
tbl_analysis_tickets[[#This Row],[agent_experience_years]]&lt;=2,"Junior",
tbl_analysis_tickets[[#This Row],[agent_experience_years]]&lt;=5,"Mid-Level",
tbl_analysis_tickets[[#This Row],[agent_experience_years]]&lt;=8,"Senior",
tbl_analysis_tickets[[#This Row],[agent_experience_years]]&gt;8,"Expert"
)</f>
        <v>Mid-Level</v>
      </c>
      <c r="P2178" cm="1">
        <f t="array" ref="P2178">_xlfn.SWITCH(tbl_analysis_tickets[[#This Row],[customer_satisfaction]],
"Low",1,
"Medium",2,
"High",3
)</f>
        <v>1</v>
      </c>
      <c r="Q2178">
        <f>IF(tbl_analysis_tickets[[#This Row],[reopened]]="Yes",1,0)</f>
        <v>0</v>
      </c>
      <c r="R2178" t="str" cm="1">
        <f t="array" ref="R2178">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178" t="str" cm="1">
        <f t="array" ref="S217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178" t="str">
        <f>TEXT(tbl_analysis_tickets[[#This Row],[created_date]],"mmm-yyyy")</f>
        <v>Jul-2024</v>
      </c>
      <c r="U2178" t="str">
        <f>TEXT(tbl_analysis_tickets[[#This Row],[created_date]],"dddd")</f>
        <v>Tuesday</v>
      </c>
      <c r="V2178" cm="1">
        <f t="array" ref="V2178">_xlfn.SWITCH(tbl_analysis_tickets[[#This Row],[priority]],
"Urgent",1,
"High",2,
"Medium",3,
"Low",4
)</f>
        <v>2</v>
      </c>
    </row>
    <row r="2179" spans="1:22" x14ac:dyDescent="0.25">
      <c r="A2179">
        <v>2178</v>
      </c>
      <c r="B2179" s="1">
        <v>45584</v>
      </c>
      <c r="C2179" t="s">
        <v>14</v>
      </c>
      <c r="D2179" t="s">
        <v>20</v>
      </c>
      <c r="E2179">
        <v>172</v>
      </c>
      <c r="F2179">
        <v>71</v>
      </c>
      <c r="G2179">
        <v>9.1999999999999993</v>
      </c>
      <c r="H2179" t="s">
        <v>12</v>
      </c>
      <c r="I2179" t="s">
        <v>13</v>
      </c>
      <c r="J2179" t="s">
        <v>11</v>
      </c>
      <c r="K2179">
        <f>_xlfn.XLOOKUP(tbl_analysis_tickets[[#This Row],[priority]],tbl_sla[priority],tbl_sla[Resolution SLA Hours])</f>
        <v>24</v>
      </c>
      <c r="L2179">
        <f>_xlfn.XLOOKUP(tbl_analysis_tickets[[#This Row],[priority]],tbl_sla[priority],tbl_sla[First Response SLA Minutes])</f>
        <v>60</v>
      </c>
      <c r="M2179" t="str">
        <f>IF(tbl_analysis_tickets[[#This Row],[resolution_time_hours]]&gt;tbl_analysis_tickets[[#This Row],[Resolution SLA Hours]],"Breached","Within SLA")</f>
        <v>Breached</v>
      </c>
      <c r="N2179" t="str">
        <f>IF(tbl_analysis_tickets[[#This Row],[first_response_minutes]]&gt;tbl_analysis_tickets[[#This Row],[First Response SLA Minutes]],"Breached","Within SLA")</f>
        <v>Breached</v>
      </c>
      <c r="O2179" t="str" cm="1">
        <f t="array" ref="O2179">_xlfn.IFS(
tbl_analysis_tickets[[#This Row],[agent_experience_years]]&lt;=2,"Junior",
tbl_analysis_tickets[[#This Row],[agent_experience_years]]&lt;=5,"Mid-Level",
tbl_analysis_tickets[[#This Row],[agent_experience_years]]&lt;=8,"Senior",
tbl_analysis_tickets[[#This Row],[agent_experience_years]]&gt;8,"Expert"
)</f>
        <v>Expert</v>
      </c>
      <c r="P2179" cm="1">
        <f t="array" ref="P2179">_xlfn.SWITCH(tbl_analysis_tickets[[#This Row],[customer_satisfaction]],
"Low",1,
"Medium",2,
"High",3
)</f>
        <v>1</v>
      </c>
      <c r="Q2179">
        <f>IF(tbl_analysis_tickets[[#This Row],[reopened]]="Yes",1,0)</f>
        <v>1</v>
      </c>
      <c r="R2179" t="str" cm="1">
        <f t="array" ref="R2179">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179" t="str" cm="1">
        <f t="array" ref="S217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179" t="str">
        <f>TEXT(tbl_analysis_tickets[[#This Row],[created_date]],"mmm-yyyy")</f>
        <v>Oct-2024</v>
      </c>
      <c r="U2179" t="str">
        <f>TEXT(tbl_analysis_tickets[[#This Row],[created_date]],"dddd")</f>
        <v>Saturday</v>
      </c>
      <c r="V2179" cm="1">
        <f t="array" ref="V2179">_xlfn.SWITCH(tbl_analysis_tickets[[#This Row],[priority]],
"Urgent",1,
"High",2,
"Medium",3,
"Low",4
)</f>
        <v>2</v>
      </c>
    </row>
    <row r="2180" spans="1:22" x14ac:dyDescent="0.25">
      <c r="A2180">
        <v>2179</v>
      </c>
      <c r="B2180" s="1">
        <v>45651</v>
      </c>
      <c r="C2180" t="s">
        <v>22</v>
      </c>
      <c r="D2180" t="s">
        <v>20</v>
      </c>
      <c r="E2180">
        <v>97</v>
      </c>
      <c r="F2180">
        <v>56</v>
      </c>
      <c r="G2180">
        <v>8.3000000000000007</v>
      </c>
      <c r="H2180" t="s">
        <v>12</v>
      </c>
      <c r="I2180" t="s">
        <v>19</v>
      </c>
      <c r="J2180" t="s">
        <v>11</v>
      </c>
      <c r="K2180">
        <f>_xlfn.XLOOKUP(tbl_analysis_tickets[[#This Row],[priority]],tbl_sla[priority],tbl_sla[Resolution SLA Hours])</f>
        <v>24</v>
      </c>
      <c r="L2180">
        <f>_xlfn.XLOOKUP(tbl_analysis_tickets[[#This Row],[priority]],tbl_sla[priority],tbl_sla[First Response SLA Minutes])</f>
        <v>60</v>
      </c>
      <c r="M2180" t="str">
        <f>IF(tbl_analysis_tickets[[#This Row],[resolution_time_hours]]&gt;tbl_analysis_tickets[[#This Row],[Resolution SLA Hours]],"Breached","Within SLA")</f>
        <v>Breached</v>
      </c>
      <c r="N2180" t="str">
        <f>IF(tbl_analysis_tickets[[#This Row],[first_response_minutes]]&gt;tbl_analysis_tickets[[#This Row],[First Response SLA Minutes]],"Breached","Within SLA")</f>
        <v>Breached</v>
      </c>
      <c r="O2180" t="str" cm="1">
        <f t="array" ref="O2180">_xlfn.IFS(
tbl_analysis_tickets[[#This Row],[agent_experience_years]]&lt;=2,"Junior",
tbl_analysis_tickets[[#This Row],[agent_experience_years]]&lt;=5,"Mid-Level",
tbl_analysis_tickets[[#This Row],[agent_experience_years]]&lt;=8,"Senior",
tbl_analysis_tickets[[#This Row],[agent_experience_years]]&gt;8,"Expert"
)</f>
        <v>Expert</v>
      </c>
      <c r="P2180" cm="1">
        <f t="array" ref="P2180">_xlfn.SWITCH(tbl_analysis_tickets[[#This Row],[customer_satisfaction]],
"Low",1,
"Medium",2,
"High",3
)</f>
        <v>1</v>
      </c>
      <c r="Q2180">
        <f>IF(tbl_analysis_tickets[[#This Row],[reopened]]="Yes",1,0)</f>
        <v>1</v>
      </c>
      <c r="R2180" t="str" cm="1">
        <f t="array" ref="R2180">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180" t="str" cm="1">
        <f t="array" ref="S218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180" t="str">
        <f>TEXT(tbl_analysis_tickets[[#This Row],[created_date]],"mmm-yyyy")</f>
        <v>Dec-2024</v>
      </c>
      <c r="U2180" t="str">
        <f>TEXT(tbl_analysis_tickets[[#This Row],[created_date]],"dddd")</f>
        <v>Wednesday</v>
      </c>
      <c r="V2180" cm="1">
        <f t="array" ref="V2180">_xlfn.SWITCH(tbl_analysis_tickets[[#This Row],[priority]],
"Urgent",1,
"High",2,
"Medium",3,
"Low",4
)</f>
        <v>2</v>
      </c>
    </row>
    <row r="2181" spans="1:22" x14ac:dyDescent="0.25">
      <c r="A2181">
        <v>2180</v>
      </c>
      <c r="B2181" s="1">
        <v>45328</v>
      </c>
      <c r="C2181" t="s">
        <v>22</v>
      </c>
      <c r="D2181" t="s">
        <v>20</v>
      </c>
      <c r="E2181">
        <v>210</v>
      </c>
      <c r="F2181">
        <v>18</v>
      </c>
      <c r="G2181">
        <v>2.6</v>
      </c>
      <c r="H2181" t="s">
        <v>18</v>
      </c>
      <c r="I2181" t="s">
        <v>19</v>
      </c>
      <c r="J2181" t="s">
        <v>11</v>
      </c>
      <c r="K2181">
        <f>_xlfn.XLOOKUP(tbl_analysis_tickets[[#This Row],[priority]],tbl_sla[priority],tbl_sla[Resolution SLA Hours])</f>
        <v>24</v>
      </c>
      <c r="L2181">
        <f>_xlfn.XLOOKUP(tbl_analysis_tickets[[#This Row],[priority]],tbl_sla[priority],tbl_sla[First Response SLA Minutes])</f>
        <v>60</v>
      </c>
      <c r="M2181" t="str">
        <f>IF(tbl_analysis_tickets[[#This Row],[resolution_time_hours]]&gt;tbl_analysis_tickets[[#This Row],[Resolution SLA Hours]],"Breached","Within SLA")</f>
        <v>Within SLA</v>
      </c>
      <c r="N2181" t="str">
        <f>IF(tbl_analysis_tickets[[#This Row],[first_response_minutes]]&gt;tbl_analysis_tickets[[#This Row],[First Response SLA Minutes]],"Breached","Within SLA")</f>
        <v>Breached</v>
      </c>
      <c r="O2181" t="str" cm="1">
        <f t="array" ref="O2181">_xlfn.IFS(
tbl_analysis_tickets[[#This Row],[agent_experience_years]]&lt;=2,"Junior",
tbl_analysis_tickets[[#This Row],[agent_experience_years]]&lt;=5,"Mid-Level",
tbl_analysis_tickets[[#This Row],[agent_experience_years]]&lt;=8,"Senior",
tbl_analysis_tickets[[#This Row],[agent_experience_years]]&gt;8,"Expert"
)</f>
        <v>Mid-Level</v>
      </c>
      <c r="P2181" cm="1">
        <f t="array" ref="P2181">_xlfn.SWITCH(tbl_analysis_tickets[[#This Row],[customer_satisfaction]],
"Low",1,
"Medium",2,
"High",3
)</f>
        <v>1</v>
      </c>
      <c r="Q2181">
        <f>IF(tbl_analysis_tickets[[#This Row],[reopened]]="Yes",1,0)</f>
        <v>0</v>
      </c>
      <c r="R2181" t="str" cm="1">
        <f t="array" ref="R2181">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181" t="str" cm="1">
        <f t="array" ref="S218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181" t="str">
        <f>TEXT(tbl_analysis_tickets[[#This Row],[created_date]],"mmm-yyyy")</f>
        <v>Feb-2024</v>
      </c>
      <c r="U2181" t="str">
        <f>TEXT(tbl_analysis_tickets[[#This Row],[created_date]],"dddd")</f>
        <v>Tuesday</v>
      </c>
      <c r="V2181" cm="1">
        <f t="array" ref="V2181">_xlfn.SWITCH(tbl_analysis_tickets[[#This Row],[priority]],
"Urgent",1,
"High",2,
"Medium",3,
"Low",4
)</f>
        <v>2</v>
      </c>
    </row>
    <row r="2182" spans="1:22" x14ac:dyDescent="0.25">
      <c r="A2182">
        <v>2181</v>
      </c>
      <c r="B2182" s="1">
        <v>45507</v>
      </c>
      <c r="C2182" t="s">
        <v>22</v>
      </c>
      <c r="D2182" t="s">
        <v>15</v>
      </c>
      <c r="E2182">
        <v>18</v>
      </c>
      <c r="F2182">
        <v>71</v>
      </c>
      <c r="G2182">
        <v>4.5</v>
      </c>
      <c r="H2182" t="s">
        <v>12</v>
      </c>
      <c r="I2182" t="s">
        <v>13</v>
      </c>
      <c r="J2182" t="s">
        <v>15</v>
      </c>
      <c r="K2182">
        <f>_xlfn.XLOOKUP(tbl_analysis_tickets[[#This Row],[priority]],tbl_sla[priority],tbl_sla[Resolution SLA Hours])</f>
        <v>48</v>
      </c>
      <c r="L2182">
        <f>_xlfn.XLOOKUP(tbl_analysis_tickets[[#This Row],[priority]],tbl_sla[priority],tbl_sla[First Response SLA Minutes])</f>
        <v>120</v>
      </c>
      <c r="M2182" t="str">
        <f>IF(tbl_analysis_tickets[[#This Row],[resolution_time_hours]]&gt;tbl_analysis_tickets[[#This Row],[Resolution SLA Hours]],"Breached","Within SLA")</f>
        <v>Breached</v>
      </c>
      <c r="N2182" t="str">
        <f>IF(tbl_analysis_tickets[[#This Row],[first_response_minutes]]&gt;tbl_analysis_tickets[[#This Row],[First Response SLA Minutes]],"Breached","Within SLA")</f>
        <v>Within SLA</v>
      </c>
      <c r="O2182" t="str" cm="1">
        <f t="array" ref="O2182">_xlfn.IFS(
tbl_analysis_tickets[[#This Row],[agent_experience_years]]&lt;=2,"Junior",
tbl_analysis_tickets[[#This Row],[agent_experience_years]]&lt;=5,"Mid-Level",
tbl_analysis_tickets[[#This Row],[agent_experience_years]]&lt;=8,"Senior",
tbl_analysis_tickets[[#This Row],[agent_experience_years]]&gt;8,"Expert"
)</f>
        <v>Mid-Level</v>
      </c>
      <c r="P2182" cm="1">
        <f t="array" ref="P2182">_xlfn.SWITCH(tbl_analysis_tickets[[#This Row],[customer_satisfaction]],
"Low",1,
"Medium",2,
"High",3
)</f>
        <v>2</v>
      </c>
      <c r="Q2182">
        <f>IF(tbl_analysis_tickets[[#This Row],[reopened]]="Yes",1,0)</f>
        <v>1</v>
      </c>
      <c r="R2182" t="str" cm="1">
        <f t="array" ref="R2182">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2182" t="str" cm="1">
        <f t="array" ref="S218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182" t="str">
        <f>TEXT(tbl_analysis_tickets[[#This Row],[created_date]],"mmm-yyyy")</f>
        <v>Aug-2024</v>
      </c>
      <c r="U2182" t="str">
        <f>TEXT(tbl_analysis_tickets[[#This Row],[created_date]],"dddd")</f>
        <v>Saturday</v>
      </c>
      <c r="V2182" cm="1">
        <f t="array" ref="V2182">_xlfn.SWITCH(tbl_analysis_tickets[[#This Row],[priority]],
"Urgent",1,
"High",2,
"Medium",3,
"Low",4
)</f>
        <v>3</v>
      </c>
    </row>
    <row r="2183" spans="1:22" x14ac:dyDescent="0.25">
      <c r="A2183">
        <v>2182</v>
      </c>
      <c r="B2183" s="1">
        <v>45528</v>
      </c>
      <c r="C2183" t="s">
        <v>21</v>
      </c>
      <c r="D2183" t="s">
        <v>20</v>
      </c>
      <c r="E2183">
        <v>108</v>
      </c>
      <c r="F2183">
        <v>46</v>
      </c>
      <c r="G2183">
        <v>6.7</v>
      </c>
      <c r="H2183" t="s">
        <v>18</v>
      </c>
      <c r="I2183" t="s">
        <v>16</v>
      </c>
      <c r="J2183" t="s">
        <v>11</v>
      </c>
      <c r="K2183">
        <f>_xlfn.XLOOKUP(tbl_analysis_tickets[[#This Row],[priority]],tbl_sla[priority],tbl_sla[Resolution SLA Hours])</f>
        <v>24</v>
      </c>
      <c r="L2183">
        <f>_xlfn.XLOOKUP(tbl_analysis_tickets[[#This Row],[priority]],tbl_sla[priority],tbl_sla[First Response SLA Minutes])</f>
        <v>60</v>
      </c>
      <c r="M2183" t="str">
        <f>IF(tbl_analysis_tickets[[#This Row],[resolution_time_hours]]&gt;tbl_analysis_tickets[[#This Row],[Resolution SLA Hours]],"Breached","Within SLA")</f>
        <v>Breached</v>
      </c>
      <c r="N2183" t="str">
        <f>IF(tbl_analysis_tickets[[#This Row],[first_response_minutes]]&gt;tbl_analysis_tickets[[#This Row],[First Response SLA Minutes]],"Breached","Within SLA")</f>
        <v>Breached</v>
      </c>
      <c r="O2183" t="str" cm="1">
        <f t="array" ref="O2183">_xlfn.IFS(
tbl_analysis_tickets[[#This Row],[agent_experience_years]]&lt;=2,"Junior",
tbl_analysis_tickets[[#This Row],[agent_experience_years]]&lt;=5,"Mid-Level",
tbl_analysis_tickets[[#This Row],[agent_experience_years]]&lt;=8,"Senior",
tbl_analysis_tickets[[#This Row],[agent_experience_years]]&gt;8,"Expert"
)</f>
        <v>Senior</v>
      </c>
      <c r="P2183" cm="1">
        <f t="array" ref="P2183">_xlfn.SWITCH(tbl_analysis_tickets[[#This Row],[customer_satisfaction]],
"Low",1,
"Medium",2,
"High",3
)</f>
        <v>1</v>
      </c>
      <c r="Q2183">
        <f>IF(tbl_analysis_tickets[[#This Row],[reopened]]="Yes",1,0)</f>
        <v>0</v>
      </c>
      <c r="R2183" t="str" cm="1">
        <f t="array" ref="R2183">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183" t="str" cm="1">
        <f t="array" ref="S218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183" t="str">
        <f>TEXT(tbl_analysis_tickets[[#This Row],[created_date]],"mmm-yyyy")</f>
        <v>Aug-2024</v>
      </c>
      <c r="U2183" t="str">
        <f>TEXT(tbl_analysis_tickets[[#This Row],[created_date]],"dddd")</f>
        <v>Saturday</v>
      </c>
      <c r="V2183" cm="1">
        <f t="array" ref="V2183">_xlfn.SWITCH(tbl_analysis_tickets[[#This Row],[priority]],
"Urgent",1,
"High",2,
"Medium",3,
"Low",4
)</f>
        <v>2</v>
      </c>
    </row>
    <row r="2184" spans="1:22" x14ac:dyDescent="0.25">
      <c r="A2184">
        <v>2183</v>
      </c>
      <c r="B2184" s="1">
        <v>45381</v>
      </c>
      <c r="C2184" t="s">
        <v>23</v>
      </c>
      <c r="D2184" t="s">
        <v>20</v>
      </c>
      <c r="E2184">
        <v>98</v>
      </c>
      <c r="F2184">
        <v>55</v>
      </c>
      <c r="G2184">
        <v>5.6</v>
      </c>
      <c r="H2184" t="s">
        <v>12</v>
      </c>
      <c r="I2184" t="s">
        <v>16</v>
      </c>
      <c r="J2184" t="s">
        <v>11</v>
      </c>
      <c r="K2184">
        <f>_xlfn.XLOOKUP(tbl_analysis_tickets[[#This Row],[priority]],tbl_sla[priority],tbl_sla[Resolution SLA Hours])</f>
        <v>24</v>
      </c>
      <c r="L2184">
        <f>_xlfn.XLOOKUP(tbl_analysis_tickets[[#This Row],[priority]],tbl_sla[priority],tbl_sla[First Response SLA Minutes])</f>
        <v>60</v>
      </c>
      <c r="M2184" t="str">
        <f>IF(tbl_analysis_tickets[[#This Row],[resolution_time_hours]]&gt;tbl_analysis_tickets[[#This Row],[Resolution SLA Hours]],"Breached","Within SLA")</f>
        <v>Breached</v>
      </c>
      <c r="N2184" t="str">
        <f>IF(tbl_analysis_tickets[[#This Row],[first_response_minutes]]&gt;tbl_analysis_tickets[[#This Row],[First Response SLA Minutes]],"Breached","Within SLA")</f>
        <v>Breached</v>
      </c>
      <c r="O2184" t="str" cm="1">
        <f t="array" ref="O2184">_xlfn.IFS(
tbl_analysis_tickets[[#This Row],[agent_experience_years]]&lt;=2,"Junior",
tbl_analysis_tickets[[#This Row],[agent_experience_years]]&lt;=5,"Mid-Level",
tbl_analysis_tickets[[#This Row],[agent_experience_years]]&lt;=8,"Senior",
tbl_analysis_tickets[[#This Row],[agent_experience_years]]&gt;8,"Expert"
)</f>
        <v>Senior</v>
      </c>
      <c r="P2184" cm="1">
        <f t="array" ref="P2184">_xlfn.SWITCH(tbl_analysis_tickets[[#This Row],[customer_satisfaction]],
"Low",1,
"Medium",2,
"High",3
)</f>
        <v>1</v>
      </c>
      <c r="Q2184">
        <f>IF(tbl_analysis_tickets[[#This Row],[reopened]]="Yes",1,0)</f>
        <v>1</v>
      </c>
      <c r="R2184" t="str" cm="1">
        <f t="array" ref="R2184">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184" t="str" cm="1">
        <f t="array" ref="S218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184" t="str">
        <f>TEXT(tbl_analysis_tickets[[#This Row],[created_date]],"mmm-yyyy")</f>
        <v>Mar-2024</v>
      </c>
      <c r="U2184" t="str">
        <f>TEXT(tbl_analysis_tickets[[#This Row],[created_date]],"dddd")</f>
        <v>Saturday</v>
      </c>
      <c r="V2184" cm="1">
        <f t="array" ref="V2184">_xlfn.SWITCH(tbl_analysis_tickets[[#This Row],[priority]],
"Urgent",1,
"High",2,
"Medium",3,
"Low",4
)</f>
        <v>2</v>
      </c>
    </row>
    <row r="2185" spans="1:22" x14ac:dyDescent="0.25">
      <c r="A2185">
        <v>2184</v>
      </c>
      <c r="B2185" s="1">
        <v>45564</v>
      </c>
      <c r="C2185" t="s">
        <v>23</v>
      </c>
      <c r="D2185" t="s">
        <v>17</v>
      </c>
      <c r="E2185">
        <v>159</v>
      </c>
      <c r="F2185">
        <v>29</v>
      </c>
      <c r="G2185">
        <v>9.6999999999999993</v>
      </c>
      <c r="H2185" t="s">
        <v>18</v>
      </c>
      <c r="I2185" t="s">
        <v>13</v>
      </c>
      <c r="J2185" t="s">
        <v>11</v>
      </c>
      <c r="K2185">
        <f>_xlfn.XLOOKUP(tbl_analysis_tickets[[#This Row],[priority]],tbl_sla[priority],tbl_sla[Resolution SLA Hours])</f>
        <v>8</v>
      </c>
      <c r="L2185">
        <f>_xlfn.XLOOKUP(tbl_analysis_tickets[[#This Row],[priority]],tbl_sla[priority],tbl_sla[First Response SLA Minutes])</f>
        <v>30</v>
      </c>
      <c r="M2185" t="str">
        <f>IF(tbl_analysis_tickets[[#This Row],[resolution_time_hours]]&gt;tbl_analysis_tickets[[#This Row],[Resolution SLA Hours]],"Breached","Within SLA")</f>
        <v>Breached</v>
      </c>
      <c r="N2185" t="str">
        <f>IF(tbl_analysis_tickets[[#This Row],[first_response_minutes]]&gt;tbl_analysis_tickets[[#This Row],[First Response SLA Minutes]],"Breached","Within SLA")</f>
        <v>Breached</v>
      </c>
      <c r="O2185" t="str" cm="1">
        <f t="array" ref="O2185">_xlfn.IFS(
tbl_analysis_tickets[[#This Row],[agent_experience_years]]&lt;=2,"Junior",
tbl_analysis_tickets[[#This Row],[agent_experience_years]]&lt;=5,"Mid-Level",
tbl_analysis_tickets[[#This Row],[agent_experience_years]]&lt;=8,"Senior",
tbl_analysis_tickets[[#This Row],[agent_experience_years]]&gt;8,"Expert"
)</f>
        <v>Expert</v>
      </c>
      <c r="P2185" cm="1">
        <f t="array" ref="P2185">_xlfn.SWITCH(tbl_analysis_tickets[[#This Row],[customer_satisfaction]],
"Low",1,
"Medium",2,
"High",3
)</f>
        <v>1</v>
      </c>
      <c r="Q2185">
        <f>IF(tbl_analysis_tickets[[#This Row],[reopened]]="Yes",1,0)</f>
        <v>0</v>
      </c>
      <c r="R2185" t="str" cm="1">
        <f t="array" ref="R2185">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185" t="str" cm="1">
        <f t="array" ref="S218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185" t="str">
        <f>TEXT(tbl_analysis_tickets[[#This Row],[created_date]],"mmm-yyyy")</f>
        <v>Sep-2024</v>
      </c>
      <c r="U2185" t="str">
        <f>TEXT(tbl_analysis_tickets[[#This Row],[created_date]],"dddd")</f>
        <v>Sunday</v>
      </c>
      <c r="V2185" cm="1">
        <f t="array" ref="V2185">_xlfn.SWITCH(tbl_analysis_tickets[[#This Row],[priority]],
"Urgent",1,
"High",2,
"Medium",3,
"Low",4
)</f>
        <v>1</v>
      </c>
    </row>
    <row r="2186" spans="1:22" x14ac:dyDescent="0.25">
      <c r="A2186">
        <v>2185</v>
      </c>
      <c r="B2186" s="1">
        <v>45345</v>
      </c>
      <c r="C2186" t="s">
        <v>14</v>
      </c>
      <c r="D2186" t="s">
        <v>15</v>
      </c>
      <c r="E2186">
        <v>216</v>
      </c>
      <c r="F2186">
        <v>72</v>
      </c>
      <c r="G2186">
        <v>3.7</v>
      </c>
      <c r="H2186" t="s">
        <v>18</v>
      </c>
      <c r="I2186" t="s">
        <v>16</v>
      </c>
      <c r="J2186" t="s">
        <v>11</v>
      </c>
      <c r="K2186">
        <f>_xlfn.XLOOKUP(tbl_analysis_tickets[[#This Row],[priority]],tbl_sla[priority],tbl_sla[Resolution SLA Hours])</f>
        <v>48</v>
      </c>
      <c r="L2186">
        <f>_xlfn.XLOOKUP(tbl_analysis_tickets[[#This Row],[priority]],tbl_sla[priority],tbl_sla[First Response SLA Minutes])</f>
        <v>120</v>
      </c>
      <c r="M2186" t="str">
        <f>IF(tbl_analysis_tickets[[#This Row],[resolution_time_hours]]&gt;tbl_analysis_tickets[[#This Row],[Resolution SLA Hours]],"Breached","Within SLA")</f>
        <v>Breached</v>
      </c>
      <c r="N2186" t="str">
        <f>IF(tbl_analysis_tickets[[#This Row],[first_response_minutes]]&gt;tbl_analysis_tickets[[#This Row],[First Response SLA Minutes]],"Breached","Within SLA")</f>
        <v>Breached</v>
      </c>
      <c r="O2186" t="str" cm="1">
        <f t="array" ref="O2186">_xlfn.IFS(
tbl_analysis_tickets[[#This Row],[agent_experience_years]]&lt;=2,"Junior",
tbl_analysis_tickets[[#This Row],[agent_experience_years]]&lt;=5,"Mid-Level",
tbl_analysis_tickets[[#This Row],[agent_experience_years]]&lt;=8,"Senior",
tbl_analysis_tickets[[#This Row],[agent_experience_years]]&gt;8,"Expert"
)</f>
        <v>Mid-Level</v>
      </c>
      <c r="P2186" cm="1">
        <f t="array" ref="P2186">_xlfn.SWITCH(tbl_analysis_tickets[[#This Row],[customer_satisfaction]],
"Low",1,
"Medium",2,
"High",3
)</f>
        <v>1</v>
      </c>
      <c r="Q2186">
        <f>IF(tbl_analysis_tickets[[#This Row],[reopened]]="Yes",1,0)</f>
        <v>0</v>
      </c>
      <c r="R2186" t="str" cm="1">
        <f t="array" ref="R2186">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186" t="str" cm="1">
        <f t="array" ref="S218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186" t="str">
        <f>TEXT(tbl_analysis_tickets[[#This Row],[created_date]],"mmm-yyyy")</f>
        <v>Feb-2024</v>
      </c>
      <c r="U2186" t="str">
        <f>TEXT(tbl_analysis_tickets[[#This Row],[created_date]],"dddd")</f>
        <v>Friday</v>
      </c>
      <c r="V2186" cm="1">
        <f t="array" ref="V2186">_xlfn.SWITCH(tbl_analysis_tickets[[#This Row],[priority]],
"Urgent",1,
"High",2,
"Medium",3,
"Low",4
)</f>
        <v>3</v>
      </c>
    </row>
    <row r="2187" spans="1:22" x14ac:dyDescent="0.25">
      <c r="A2187">
        <v>2186</v>
      </c>
      <c r="B2187" s="1">
        <v>45351</v>
      </c>
      <c r="C2187" t="s">
        <v>22</v>
      </c>
      <c r="D2187" t="s">
        <v>20</v>
      </c>
      <c r="E2187">
        <v>182</v>
      </c>
      <c r="F2187">
        <v>30</v>
      </c>
      <c r="G2187">
        <v>10</v>
      </c>
      <c r="H2187" t="s">
        <v>18</v>
      </c>
      <c r="I2187" t="s">
        <v>13</v>
      </c>
      <c r="J2187" t="s">
        <v>11</v>
      </c>
      <c r="K2187">
        <f>_xlfn.XLOOKUP(tbl_analysis_tickets[[#This Row],[priority]],tbl_sla[priority],tbl_sla[Resolution SLA Hours])</f>
        <v>24</v>
      </c>
      <c r="L2187">
        <f>_xlfn.XLOOKUP(tbl_analysis_tickets[[#This Row],[priority]],tbl_sla[priority],tbl_sla[First Response SLA Minutes])</f>
        <v>60</v>
      </c>
      <c r="M2187" t="str">
        <f>IF(tbl_analysis_tickets[[#This Row],[resolution_time_hours]]&gt;tbl_analysis_tickets[[#This Row],[Resolution SLA Hours]],"Breached","Within SLA")</f>
        <v>Breached</v>
      </c>
      <c r="N2187" t="str">
        <f>IF(tbl_analysis_tickets[[#This Row],[first_response_minutes]]&gt;tbl_analysis_tickets[[#This Row],[First Response SLA Minutes]],"Breached","Within SLA")</f>
        <v>Breached</v>
      </c>
      <c r="O2187" t="str" cm="1">
        <f t="array" ref="O2187">_xlfn.IFS(
tbl_analysis_tickets[[#This Row],[agent_experience_years]]&lt;=2,"Junior",
tbl_analysis_tickets[[#This Row],[agent_experience_years]]&lt;=5,"Mid-Level",
tbl_analysis_tickets[[#This Row],[agent_experience_years]]&lt;=8,"Senior",
tbl_analysis_tickets[[#This Row],[agent_experience_years]]&gt;8,"Expert"
)</f>
        <v>Expert</v>
      </c>
      <c r="P2187" cm="1">
        <f t="array" ref="P2187">_xlfn.SWITCH(tbl_analysis_tickets[[#This Row],[customer_satisfaction]],
"Low",1,
"Medium",2,
"High",3
)</f>
        <v>1</v>
      </c>
      <c r="Q2187">
        <f>IF(tbl_analysis_tickets[[#This Row],[reopened]]="Yes",1,0)</f>
        <v>0</v>
      </c>
      <c r="R2187" t="str" cm="1">
        <f t="array" ref="R2187">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187" t="str" cm="1">
        <f t="array" ref="S218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187" t="str">
        <f>TEXT(tbl_analysis_tickets[[#This Row],[created_date]],"mmm-yyyy")</f>
        <v>Feb-2024</v>
      </c>
      <c r="U2187" t="str">
        <f>TEXT(tbl_analysis_tickets[[#This Row],[created_date]],"dddd")</f>
        <v>Thursday</v>
      </c>
      <c r="V2187" cm="1">
        <f t="array" ref="V2187">_xlfn.SWITCH(tbl_analysis_tickets[[#This Row],[priority]],
"Urgent",1,
"High",2,
"Medium",3,
"Low",4
)</f>
        <v>2</v>
      </c>
    </row>
    <row r="2188" spans="1:22" x14ac:dyDescent="0.25">
      <c r="A2188">
        <v>2187</v>
      </c>
      <c r="B2188" s="1">
        <v>45514</v>
      </c>
      <c r="C2188" t="s">
        <v>10</v>
      </c>
      <c r="D2188" t="s">
        <v>17</v>
      </c>
      <c r="E2188">
        <v>207</v>
      </c>
      <c r="F2188">
        <v>48</v>
      </c>
      <c r="G2188">
        <v>8.4</v>
      </c>
      <c r="H2188" t="s">
        <v>18</v>
      </c>
      <c r="I2188" t="s">
        <v>13</v>
      </c>
      <c r="J2188" t="s">
        <v>11</v>
      </c>
      <c r="K2188">
        <f>_xlfn.XLOOKUP(tbl_analysis_tickets[[#This Row],[priority]],tbl_sla[priority],tbl_sla[Resolution SLA Hours])</f>
        <v>8</v>
      </c>
      <c r="L2188">
        <f>_xlfn.XLOOKUP(tbl_analysis_tickets[[#This Row],[priority]],tbl_sla[priority],tbl_sla[First Response SLA Minutes])</f>
        <v>30</v>
      </c>
      <c r="M2188" t="str">
        <f>IF(tbl_analysis_tickets[[#This Row],[resolution_time_hours]]&gt;tbl_analysis_tickets[[#This Row],[Resolution SLA Hours]],"Breached","Within SLA")</f>
        <v>Breached</v>
      </c>
      <c r="N2188" t="str">
        <f>IF(tbl_analysis_tickets[[#This Row],[first_response_minutes]]&gt;tbl_analysis_tickets[[#This Row],[First Response SLA Minutes]],"Breached","Within SLA")</f>
        <v>Breached</v>
      </c>
      <c r="O2188" t="str" cm="1">
        <f t="array" ref="O2188">_xlfn.IFS(
tbl_analysis_tickets[[#This Row],[agent_experience_years]]&lt;=2,"Junior",
tbl_analysis_tickets[[#This Row],[agent_experience_years]]&lt;=5,"Mid-Level",
tbl_analysis_tickets[[#This Row],[agent_experience_years]]&lt;=8,"Senior",
tbl_analysis_tickets[[#This Row],[agent_experience_years]]&gt;8,"Expert"
)</f>
        <v>Expert</v>
      </c>
      <c r="P2188" cm="1">
        <f t="array" ref="P2188">_xlfn.SWITCH(tbl_analysis_tickets[[#This Row],[customer_satisfaction]],
"Low",1,
"Medium",2,
"High",3
)</f>
        <v>1</v>
      </c>
      <c r="Q2188">
        <f>IF(tbl_analysis_tickets[[#This Row],[reopened]]="Yes",1,0)</f>
        <v>0</v>
      </c>
      <c r="R2188" t="str" cm="1">
        <f t="array" ref="R2188">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188" t="str" cm="1">
        <f t="array" ref="S218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188" t="str">
        <f>TEXT(tbl_analysis_tickets[[#This Row],[created_date]],"mmm-yyyy")</f>
        <v>Aug-2024</v>
      </c>
      <c r="U2188" t="str">
        <f>TEXT(tbl_analysis_tickets[[#This Row],[created_date]],"dddd")</f>
        <v>Saturday</v>
      </c>
      <c r="V2188" cm="1">
        <f t="array" ref="V2188">_xlfn.SWITCH(tbl_analysis_tickets[[#This Row],[priority]],
"Urgent",1,
"High",2,
"Medium",3,
"Low",4
)</f>
        <v>1</v>
      </c>
    </row>
    <row r="2189" spans="1:22" x14ac:dyDescent="0.25">
      <c r="A2189">
        <v>2188</v>
      </c>
      <c r="B2189" s="1">
        <v>45535</v>
      </c>
      <c r="C2189" t="s">
        <v>21</v>
      </c>
      <c r="D2189" t="s">
        <v>20</v>
      </c>
      <c r="E2189">
        <v>140</v>
      </c>
      <c r="F2189">
        <v>4</v>
      </c>
      <c r="G2189">
        <v>8.3000000000000007</v>
      </c>
      <c r="H2189" t="s">
        <v>12</v>
      </c>
      <c r="I2189" t="s">
        <v>19</v>
      </c>
      <c r="J2189" t="s">
        <v>15</v>
      </c>
      <c r="K2189">
        <f>_xlfn.XLOOKUP(tbl_analysis_tickets[[#This Row],[priority]],tbl_sla[priority],tbl_sla[Resolution SLA Hours])</f>
        <v>24</v>
      </c>
      <c r="L2189">
        <f>_xlfn.XLOOKUP(tbl_analysis_tickets[[#This Row],[priority]],tbl_sla[priority],tbl_sla[First Response SLA Minutes])</f>
        <v>60</v>
      </c>
      <c r="M2189" t="str">
        <f>IF(tbl_analysis_tickets[[#This Row],[resolution_time_hours]]&gt;tbl_analysis_tickets[[#This Row],[Resolution SLA Hours]],"Breached","Within SLA")</f>
        <v>Within SLA</v>
      </c>
      <c r="N2189" t="str">
        <f>IF(tbl_analysis_tickets[[#This Row],[first_response_minutes]]&gt;tbl_analysis_tickets[[#This Row],[First Response SLA Minutes]],"Breached","Within SLA")</f>
        <v>Breached</v>
      </c>
      <c r="O2189" t="str" cm="1">
        <f t="array" ref="O2189">_xlfn.IFS(
tbl_analysis_tickets[[#This Row],[agent_experience_years]]&lt;=2,"Junior",
tbl_analysis_tickets[[#This Row],[agent_experience_years]]&lt;=5,"Mid-Level",
tbl_analysis_tickets[[#This Row],[agent_experience_years]]&lt;=8,"Senior",
tbl_analysis_tickets[[#This Row],[agent_experience_years]]&gt;8,"Expert"
)</f>
        <v>Expert</v>
      </c>
      <c r="P2189" cm="1">
        <f t="array" ref="P2189">_xlfn.SWITCH(tbl_analysis_tickets[[#This Row],[customer_satisfaction]],
"Low",1,
"Medium",2,
"High",3
)</f>
        <v>2</v>
      </c>
      <c r="Q2189">
        <f>IF(tbl_analysis_tickets[[#This Row],[reopened]]="Yes",1,0)</f>
        <v>1</v>
      </c>
      <c r="R2189" t="str" cm="1">
        <f t="array" ref="R2189">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189" t="str" cm="1">
        <f t="array" ref="S218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2189" t="str">
        <f>TEXT(tbl_analysis_tickets[[#This Row],[created_date]],"mmm-yyyy")</f>
        <v>Aug-2024</v>
      </c>
      <c r="U2189" t="str">
        <f>TEXT(tbl_analysis_tickets[[#This Row],[created_date]],"dddd")</f>
        <v>Saturday</v>
      </c>
      <c r="V2189" cm="1">
        <f t="array" ref="V2189">_xlfn.SWITCH(tbl_analysis_tickets[[#This Row],[priority]],
"Urgent",1,
"High",2,
"Medium",3,
"Low",4
)</f>
        <v>2</v>
      </c>
    </row>
    <row r="2190" spans="1:22" x14ac:dyDescent="0.25">
      <c r="A2190">
        <v>2189</v>
      </c>
      <c r="B2190" s="1">
        <v>45294</v>
      </c>
      <c r="C2190" t="s">
        <v>22</v>
      </c>
      <c r="D2190" t="s">
        <v>15</v>
      </c>
      <c r="E2190">
        <v>195</v>
      </c>
      <c r="F2190">
        <v>57</v>
      </c>
      <c r="G2190">
        <v>2.4</v>
      </c>
      <c r="H2190" t="s">
        <v>12</v>
      </c>
      <c r="I2190" t="s">
        <v>16</v>
      </c>
      <c r="J2190" t="s">
        <v>11</v>
      </c>
      <c r="K2190">
        <f>_xlfn.XLOOKUP(tbl_analysis_tickets[[#This Row],[priority]],tbl_sla[priority],tbl_sla[Resolution SLA Hours])</f>
        <v>48</v>
      </c>
      <c r="L2190">
        <f>_xlfn.XLOOKUP(tbl_analysis_tickets[[#This Row],[priority]],tbl_sla[priority],tbl_sla[First Response SLA Minutes])</f>
        <v>120</v>
      </c>
      <c r="M2190" t="str">
        <f>IF(tbl_analysis_tickets[[#This Row],[resolution_time_hours]]&gt;tbl_analysis_tickets[[#This Row],[Resolution SLA Hours]],"Breached","Within SLA")</f>
        <v>Breached</v>
      </c>
      <c r="N2190" t="str">
        <f>IF(tbl_analysis_tickets[[#This Row],[first_response_minutes]]&gt;tbl_analysis_tickets[[#This Row],[First Response SLA Minutes]],"Breached","Within SLA")</f>
        <v>Breached</v>
      </c>
      <c r="O2190" t="str" cm="1">
        <f t="array" ref="O2190">_xlfn.IFS(
tbl_analysis_tickets[[#This Row],[agent_experience_years]]&lt;=2,"Junior",
tbl_analysis_tickets[[#This Row],[agent_experience_years]]&lt;=5,"Mid-Level",
tbl_analysis_tickets[[#This Row],[agent_experience_years]]&lt;=8,"Senior",
tbl_analysis_tickets[[#This Row],[agent_experience_years]]&gt;8,"Expert"
)</f>
        <v>Mid-Level</v>
      </c>
      <c r="P2190" cm="1">
        <f t="array" ref="P2190">_xlfn.SWITCH(tbl_analysis_tickets[[#This Row],[customer_satisfaction]],
"Low",1,
"Medium",2,
"High",3
)</f>
        <v>1</v>
      </c>
      <c r="Q2190">
        <f>IF(tbl_analysis_tickets[[#This Row],[reopened]]="Yes",1,0)</f>
        <v>1</v>
      </c>
      <c r="R2190" t="str" cm="1">
        <f t="array" ref="R2190">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190" t="str" cm="1">
        <f t="array" ref="S219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190" t="str">
        <f>TEXT(tbl_analysis_tickets[[#This Row],[created_date]],"mmm-yyyy")</f>
        <v>Jan-2024</v>
      </c>
      <c r="U2190" t="str">
        <f>TEXT(tbl_analysis_tickets[[#This Row],[created_date]],"dddd")</f>
        <v>Wednesday</v>
      </c>
      <c r="V2190" cm="1">
        <f t="array" ref="V2190">_xlfn.SWITCH(tbl_analysis_tickets[[#This Row],[priority]],
"Urgent",1,
"High",2,
"Medium",3,
"Low",4
)</f>
        <v>3</v>
      </c>
    </row>
    <row r="2191" spans="1:22" x14ac:dyDescent="0.25">
      <c r="A2191">
        <v>2190</v>
      </c>
      <c r="B2191" s="1">
        <v>45373</v>
      </c>
      <c r="C2191" t="s">
        <v>21</v>
      </c>
      <c r="D2191" t="s">
        <v>11</v>
      </c>
      <c r="E2191">
        <v>73</v>
      </c>
      <c r="F2191">
        <v>54</v>
      </c>
      <c r="G2191">
        <v>8.8000000000000007</v>
      </c>
      <c r="H2191" t="s">
        <v>18</v>
      </c>
      <c r="I2191" t="s">
        <v>16</v>
      </c>
      <c r="J2191" t="s">
        <v>15</v>
      </c>
      <c r="K2191">
        <f>_xlfn.XLOOKUP(tbl_analysis_tickets[[#This Row],[priority]],tbl_sla[priority],tbl_sla[Resolution SLA Hours])</f>
        <v>72</v>
      </c>
      <c r="L2191">
        <f>_xlfn.XLOOKUP(tbl_analysis_tickets[[#This Row],[priority]],tbl_sla[priority],tbl_sla[First Response SLA Minutes])</f>
        <v>240</v>
      </c>
      <c r="M2191" t="str">
        <f>IF(tbl_analysis_tickets[[#This Row],[resolution_time_hours]]&gt;tbl_analysis_tickets[[#This Row],[Resolution SLA Hours]],"Breached","Within SLA")</f>
        <v>Within SLA</v>
      </c>
      <c r="N2191" t="str">
        <f>IF(tbl_analysis_tickets[[#This Row],[first_response_minutes]]&gt;tbl_analysis_tickets[[#This Row],[First Response SLA Minutes]],"Breached","Within SLA")</f>
        <v>Within SLA</v>
      </c>
      <c r="O2191" t="str" cm="1">
        <f t="array" ref="O2191">_xlfn.IFS(
tbl_analysis_tickets[[#This Row],[agent_experience_years]]&lt;=2,"Junior",
tbl_analysis_tickets[[#This Row],[agent_experience_years]]&lt;=5,"Mid-Level",
tbl_analysis_tickets[[#This Row],[agent_experience_years]]&lt;=8,"Senior",
tbl_analysis_tickets[[#This Row],[agent_experience_years]]&gt;8,"Expert"
)</f>
        <v>Expert</v>
      </c>
      <c r="P2191" cm="1">
        <f t="array" ref="P2191">_xlfn.SWITCH(tbl_analysis_tickets[[#This Row],[customer_satisfaction]],
"Low",1,
"Medium",2,
"High",3
)</f>
        <v>2</v>
      </c>
      <c r="Q2191">
        <f>IF(tbl_analysis_tickets[[#This Row],[reopened]]="Yes",1,0)</f>
        <v>0</v>
      </c>
      <c r="R2191" t="str" cm="1">
        <f t="array" ref="R2191">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191" t="str" cm="1">
        <f t="array" ref="S219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191" t="str">
        <f>TEXT(tbl_analysis_tickets[[#This Row],[created_date]],"mmm-yyyy")</f>
        <v>Mar-2024</v>
      </c>
      <c r="U2191" t="str">
        <f>TEXT(tbl_analysis_tickets[[#This Row],[created_date]],"dddd")</f>
        <v>Friday</v>
      </c>
      <c r="V2191" cm="1">
        <f t="array" ref="V2191">_xlfn.SWITCH(tbl_analysis_tickets[[#This Row],[priority]],
"Urgent",1,
"High",2,
"Medium",3,
"Low",4
)</f>
        <v>4</v>
      </c>
    </row>
    <row r="2192" spans="1:22" x14ac:dyDescent="0.25">
      <c r="A2192">
        <v>2191</v>
      </c>
      <c r="B2192" s="1">
        <v>45599</v>
      </c>
      <c r="C2192" t="s">
        <v>10</v>
      </c>
      <c r="D2192" t="s">
        <v>20</v>
      </c>
      <c r="E2192">
        <v>34</v>
      </c>
      <c r="F2192">
        <v>40</v>
      </c>
      <c r="G2192">
        <v>9</v>
      </c>
      <c r="H2192" t="s">
        <v>12</v>
      </c>
      <c r="I2192" t="s">
        <v>16</v>
      </c>
      <c r="J2192" t="s">
        <v>11</v>
      </c>
      <c r="K2192">
        <f>_xlfn.XLOOKUP(tbl_analysis_tickets[[#This Row],[priority]],tbl_sla[priority],tbl_sla[Resolution SLA Hours])</f>
        <v>24</v>
      </c>
      <c r="L2192">
        <f>_xlfn.XLOOKUP(tbl_analysis_tickets[[#This Row],[priority]],tbl_sla[priority],tbl_sla[First Response SLA Minutes])</f>
        <v>60</v>
      </c>
      <c r="M2192" t="str">
        <f>IF(tbl_analysis_tickets[[#This Row],[resolution_time_hours]]&gt;tbl_analysis_tickets[[#This Row],[Resolution SLA Hours]],"Breached","Within SLA")</f>
        <v>Breached</v>
      </c>
      <c r="N2192" t="str">
        <f>IF(tbl_analysis_tickets[[#This Row],[first_response_minutes]]&gt;tbl_analysis_tickets[[#This Row],[First Response SLA Minutes]],"Breached","Within SLA")</f>
        <v>Within SLA</v>
      </c>
      <c r="O2192" t="str" cm="1">
        <f t="array" ref="O2192">_xlfn.IFS(
tbl_analysis_tickets[[#This Row],[agent_experience_years]]&lt;=2,"Junior",
tbl_analysis_tickets[[#This Row],[agent_experience_years]]&lt;=5,"Mid-Level",
tbl_analysis_tickets[[#This Row],[agent_experience_years]]&lt;=8,"Senior",
tbl_analysis_tickets[[#This Row],[agent_experience_years]]&gt;8,"Expert"
)</f>
        <v>Expert</v>
      </c>
      <c r="P2192" cm="1">
        <f t="array" ref="P2192">_xlfn.SWITCH(tbl_analysis_tickets[[#This Row],[customer_satisfaction]],
"Low",1,
"Medium",2,
"High",3
)</f>
        <v>1</v>
      </c>
      <c r="Q2192">
        <f>IF(tbl_analysis_tickets[[#This Row],[reopened]]="Yes",1,0)</f>
        <v>1</v>
      </c>
      <c r="R2192" t="str" cm="1">
        <f t="array" ref="R2192">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192" t="str" cm="1">
        <f t="array" ref="S219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192" t="str">
        <f>TEXT(tbl_analysis_tickets[[#This Row],[created_date]],"mmm-yyyy")</f>
        <v>Nov-2024</v>
      </c>
      <c r="U2192" t="str">
        <f>TEXT(tbl_analysis_tickets[[#This Row],[created_date]],"dddd")</f>
        <v>Sunday</v>
      </c>
      <c r="V2192" cm="1">
        <f t="array" ref="V2192">_xlfn.SWITCH(tbl_analysis_tickets[[#This Row],[priority]],
"Urgent",1,
"High",2,
"Medium",3,
"Low",4
)</f>
        <v>2</v>
      </c>
    </row>
    <row r="2193" spans="1:22" x14ac:dyDescent="0.25">
      <c r="A2193">
        <v>2192</v>
      </c>
      <c r="B2193" s="1">
        <v>45360</v>
      </c>
      <c r="C2193" t="s">
        <v>22</v>
      </c>
      <c r="D2193" t="s">
        <v>11</v>
      </c>
      <c r="E2193">
        <v>105</v>
      </c>
      <c r="F2193">
        <v>30</v>
      </c>
      <c r="G2193">
        <v>9.1999999999999993</v>
      </c>
      <c r="H2193" t="s">
        <v>12</v>
      </c>
      <c r="I2193" t="s">
        <v>16</v>
      </c>
      <c r="J2193" t="s">
        <v>11</v>
      </c>
      <c r="K2193">
        <f>_xlfn.XLOOKUP(tbl_analysis_tickets[[#This Row],[priority]],tbl_sla[priority],tbl_sla[Resolution SLA Hours])</f>
        <v>72</v>
      </c>
      <c r="L2193">
        <f>_xlfn.XLOOKUP(tbl_analysis_tickets[[#This Row],[priority]],tbl_sla[priority],tbl_sla[First Response SLA Minutes])</f>
        <v>240</v>
      </c>
      <c r="M2193" t="str">
        <f>IF(tbl_analysis_tickets[[#This Row],[resolution_time_hours]]&gt;tbl_analysis_tickets[[#This Row],[Resolution SLA Hours]],"Breached","Within SLA")</f>
        <v>Within SLA</v>
      </c>
      <c r="N2193" t="str">
        <f>IF(tbl_analysis_tickets[[#This Row],[first_response_minutes]]&gt;tbl_analysis_tickets[[#This Row],[First Response SLA Minutes]],"Breached","Within SLA")</f>
        <v>Within SLA</v>
      </c>
      <c r="O2193" t="str" cm="1">
        <f t="array" ref="O2193">_xlfn.IFS(
tbl_analysis_tickets[[#This Row],[agent_experience_years]]&lt;=2,"Junior",
tbl_analysis_tickets[[#This Row],[agent_experience_years]]&lt;=5,"Mid-Level",
tbl_analysis_tickets[[#This Row],[agent_experience_years]]&lt;=8,"Senior",
tbl_analysis_tickets[[#This Row],[agent_experience_years]]&gt;8,"Expert"
)</f>
        <v>Expert</v>
      </c>
      <c r="P2193" cm="1">
        <f t="array" ref="P2193">_xlfn.SWITCH(tbl_analysis_tickets[[#This Row],[customer_satisfaction]],
"Low",1,
"Medium",2,
"High",3
)</f>
        <v>1</v>
      </c>
      <c r="Q2193">
        <f>IF(tbl_analysis_tickets[[#This Row],[reopened]]="Yes",1,0)</f>
        <v>1</v>
      </c>
      <c r="R2193" t="str" cm="1">
        <f t="array" ref="R2193">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193" t="str" cm="1">
        <f t="array" ref="S219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193" t="str">
        <f>TEXT(tbl_analysis_tickets[[#This Row],[created_date]],"mmm-yyyy")</f>
        <v>Mar-2024</v>
      </c>
      <c r="U2193" t="str">
        <f>TEXT(tbl_analysis_tickets[[#This Row],[created_date]],"dddd")</f>
        <v>Saturday</v>
      </c>
      <c r="V2193" cm="1">
        <f t="array" ref="V2193">_xlfn.SWITCH(tbl_analysis_tickets[[#This Row],[priority]],
"Urgent",1,
"High",2,
"Medium",3,
"Low",4
)</f>
        <v>4</v>
      </c>
    </row>
    <row r="2194" spans="1:22" x14ac:dyDescent="0.25">
      <c r="A2194">
        <v>2193</v>
      </c>
      <c r="B2194" s="1">
        <v>45484</v>
      </c>
      <c r="C2194" t="s">
        <v>23</v>
      </c>
      <c r="D2194" t="s">
        <v>11</v>
      </c>
      <c r="E2194">
        <v>24</v>
      </c>
      <c r="F2194">
        <v>49</v>
      </c>
      <c r="G2194">
        <v>0.8</v>
      </c>
      <c r="H2194" t="s">
        <v>12</v>
      </c>
      <c r="I2194" t="s">
        <v>16</v>
      </c>
      <c r="J2194" t="s">
        <v>15</v>
      </c>
      <c r="K2194">
        <f>_xlfn.XLOOKUP(tbl_analysis_tickets[[#This Row],[priority]],tbl_sla[priority],tbl_sla[Resolution SLA Hours])</f>
        <v>72</v>
      </c>
      <c r="L2194">
        <f>_xlfn.XLOOKUP(tbl_analysis_tickets[[#This Row],[priority]],tbl_sla[priority],tbl_sla[First Response SLA Minutes])</f>
        <v>240</v>
      </c>
      <c r="M2194" t="str">
        <f>IF(tbl_analysis_tickets[[#This Row],[resolution_time_hours]]&gt;tbl_analysis_tickets[[#This Row],[Resolution SLA Hours]],"Breached","Within SLA")</f>
        <v>Within SLA</v>
      </c>
      <c r="N2194" t="str">
        <f>IF(tbl_analysis_tickets[[#This Row],[first_response_minutes]]&gt;tbl_analysis_tickets[[#This Row],[First Response SLA Minutes]],"Breached","Within SLA")</f>
        <v>Within SLA</v>
      </c>
      <c r="O2194" t="str" cm="1">
        <f t="array" ref="O2194">_xlfn.IFS(
tbl_analysis_tickets[[#This Row],[agent_experience_years]]&lt;=2,"Junior",
tbl_analysis_tickets[[#This Row],[agent_experience_years]]&lt;=5,"Mid-Level",
tbl_analysis_tickets[[#This Row],[agent_experience_years]]&lt;=8,"Senior",
tbl_analysis_tickets[[#This Row],[agent_experience_years]]&gt;8,"Expert"
)</f>
        <v>Junior</v>
      </c>
      <c r="P2194" cm="1">
        <f t="array" ref="P2194">_xlfn.SWITCH(tbl_analysis_tickets[[#This Row],[customer_satisfaction]],
"Low",1,
"Medium",2,
"High",3
)</f>
        <v>2</v>
      </c>
      <c r="Q2194">
        <f>IF(tbl_analysis_tickets[[#This Row],[reopened]]="Yes",1,0)</f>
        <v>1</v>
      </c>
      <c r="R2194" t="str" cm="1">
        <f t="array" ref="R2194">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2194" t="str" cm="1">
        <f t="array" ref="S219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194" t="str">
        <f>TEXT(tbl_analysis_tickets[[#This Row],[created_date]],"mmm-yyyy")</f>
        <v>Jul-2024</v>
      </c>
      <c r="U2194" t="str">
        <f>TEXT(tbl_analysis_tickets[[#This Row],[created_date]],"dddd")</f>
        <v>Thursday</v>
      </c>
      <c r="V2194" cm="1">
        <f t="array" ref="V2194">_xlfn.SWITCH(tbl_analysis_tickets[[#This Row],[priority]],
"Urgent",1,
"High",2,
"Medium",3,
"Low",4
)</f>
        <v>4</v>
      </c>
    </row>
    <row r="2195" spans="1:22" x14ac:dyDescent="0.25">
      <c r="A2195">
        <v>2194</v>
      </c>
      <c r="B2195" s="1">
        <v>45466</v>
      </c>
      <c r="C2195" t="s">
        <v>14</v>
      </c>
      <c r="D2195" t="s">
        <v>11</v>
      </c>
      <c r="E2195">
        <v>69</v>
      </c>
      <c r="F2195">
        <v>43</v>
      </c>
      <c r="G2195">
        <v>6.3</v>
      </c>
      <c r="H2195" t="s">
        <v>18</v>
      </c>
      <c r="I2195" t="s">
        <v>16</v>
      </c>
      <c r="J2195" t="s">
        <v>15</v>
      </c>
      <c r="K2195">
        <f>_xlfn.XLOOKUP(tbl_analysis_tickets[[#This Row],[priority]],tbl_sla[priority],tbl_sla[Resolution SLA Hours])</f>
        <v>72</v>
      </c>
      <c r="L2195">
        <f>_xlfn.XLOOKUP(tbl_analysis_tickets[[#This Row],[priority]],tbl_sla[priority],tbl_sla[First Response SLA Minutes])</f>
        <v>240</v>
      </c>
      <c r="M2195" t="str">
        <f>IF(tbl_analysis_tickets[[#This Row],[resolution_time_hours]]&gt;tbl_analysis_tickets[[#This Row],[Resolution SLA Hours]],"Breached","Within SLA")</f>
        <v>Within SLA</v>
      </c>
      <c r="N2195" t="str">
        <f>IF(tbl_analysis_tickets[[#This Row],[first_response_minutes]]&gt;tbl_analysis_tickets[[#This Row],[First Response SLA Minutes]],"Breached","Within SLA")</f>
        <v>Within SLA</v>
      </c>
      <c r="O2195" t="str" cm="1">
        <f t="array" ref="O2195">_xlfn.IFS(
tbl_analysis_tickets[[#This Row],[agent_experience_years]]&lt;=2,"Junior",
tbl_analysis_tickets[[#This Row],[agent_experience_years]]&lt;=5,"Mid-Level",
tbl_analysis_tickets[[#This Row],[agent_experience_years]]&lt;=8,"Senior",
tbl_analysis_tickets[[#This Row],[agent_experience_years]]&gt;8,"Expert"
)</f>
        <v>Senior</v>
      </c>
      <c r="P2195" cm="1">
        <f t="array" ref="P2195">_xlfn.SWITCH(tbl_analysis_tickets[[#This Row],[customer_satisfaction]],
"Low",1,
"Medium",2,
"High",3
)</f>
        <v>2</v>
      </c>
      <c r="Q2195">
        <f>IF(tbl_analysis_tickets[[#This Row],[reopened]]="Yes",1,0)</f>
        <v>0</v>
      </c>
      <c r="R2195" t="str" cm="1">
        <f t="array" ref="R2195">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195" t="str" cm="1">
        <f t="array" ref="S219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195" t="str">
        <f>TEXT(tbl_analysis_tickets[[#This Row],[created_date]],"mmm-yyyy")</f>
        <v>Jun-2024</v>
      </c>
      <c r="U2195" t="str">
        <f>TEXT(tbl_analysis_tickets[[#This Row],[created_date]],"dddd")</f>
        <v>Sunday</v>
      </c>
      <c r="V2195" cm="1">
        <f t="array" ref="V2195">_xlfn.SWITCH(tbl_analysis_tickets[[#This Row],[priority]],
"Urgent",1,
"High",2,
"Medium",3,
"Low",4
)</f>
        <v>4</v>
      </c>
    </row>
    <row r="2196" spans="1:22" x14ac:dyDescent="0.25">
      <c r="A2196">
        <v>2195</v>
      </c>
      <c r="B2196" s="1">
        <v>45648</v>
      </c>
      <c r="C2196" t="s">
        <v>14</v>
      </c>
      <c r="D2196" t="s">
        <v>17</v>
      </c>
      <c r="E2196">
        <v>212</v>
      </c>
      <c r="F2196">
        <v>62</v>
      </c>
      <c r="G2196">
        <v>1.3</v>
      </c>
      <c r="H2196" t="s">
        <v>18</v>
      </c>
      <c r="I2196" t="s">
        <v>19</v>
      </c>
      <c r="J2196" t="s">
        <v>11</v>
      </c>
      <c r="K2196">
        <f>_xlfn.XLOOKUP(tbl_analysis_tickets[[#This Row],[priority]],tbl_sla[priority],tbl_sla[Resolution SLA Hours])</f>
        <v>8</v>
      </c>
      <c r="L2196">
        <f>_xlfn.XLOOKUP(tbl_analysis_tickets[[#This Row],[priority]],tbl_sla[priority],tbl_sla[First Response SLA Minutes])</f>
        <v>30</v>
      </c>
      <c r="M2196" t="str">
        <f>IF(tbl_analysis_tickets[[#This Row],[resolution_time_hours]]&gt;tbl_analysis_tickets[[#This Row],[Resolution SLA Hours]],"Breached","Within SLA")</f>
        <v>Breached</v>
      </c>
      <c r="N2196" t="str">
        <f>IF(tbl_analysis_tickets[[#This Row],[first_response_minutes]]&gt;tbl_analysis_tickets[[#This Row],[First Response SLA Minutes]],"Breached","Within SLA")</f>
        <v>Breached</v>
      </c>
      <c r="O2196" t="str" cm="1">
        <f t="array" ref="O2196">_xlfn.IFS(
tbl_analysis_tickets[[#This Row],[agent_experience_years]]&lt;=2,"Junior",
tbl_analysis_tickets[[#This Row],[agent_experience_years]]&lt;=5,"Mid-Level",
tbl_analysis_tickets[[#This Row],[agent_experience_years]]&lt;=8,"Senior",
tbl_analysis_tickets[[#This Row],[agent_experience_years]]&gt;8,"Expert"
)</f>
        <v>Junior</v>
      </c>
      <c r="P2196" cm="1">
        <f t="array" ref="P2196">_xlfn.SWITCH(tbl_analysis_tickets[[#This Row],[customer_satisfaction]],
"Low",1,
"Medium",2,
"High",3
)</f>
        <v>1</v>
      </c>
      <c r="Q2196">
        <f>IF(tbl_analysis_tickets[[#This Row],[reopened]]="Yes",1,0)</f>
        <v>0</v>
      </c>
      <c r="R2196" t="str" cm="1">
        <f t="array" ref="R2196">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196" t="str" cm="1">
        <f t="array" ref="S219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196" t="str">
        <f>TEXT(tbl_analysis_tickets[[#This Row],[created_date]],"mmm-yyyy")</f>
        <v>Dec-2024</v>
      </c>
      <c r="U2196" t="str">
        <f>TEXT(tbl_analysis_tickets[[#This Row],[created_date]],"dddd")</f>
        <v>Sunday</v>
      </c>
      <c r="V2196" cm="1">
        <f t="array" ref="V2196">_xlfn.SWITCH(tbl_analysis_tickets[[#This Row],[priority]],
"Urgent",1,
"High",2,
"Medium",3,
"Low",4
)</f>
        <v>1</v>
      </c>
    </row>
    <row r="2197" spans="1:22" x14ac:dyDescent="0.25">
      <c r="A2197">
        <v>2196</v>
      </c>
      <c r="B2197" s="1">
        <v>45356</v>
      </c>
      <c r="C2197" t="s">
        <v>10</v>
      </c>
      <c r="D2197" t="s">
        <v>15</v>
      </c>
      <c r="E2197">
        <v>26</v>
      </c>
      <c r="F2197">
        <v>49</v>
      </c>
      <c r="G2197">
        <v>7.5</v>
      </c>
      <c r="H2197" t="s">
        <v>18</v>
      </c>
      <c r="I2197" t="s">
        <v>19</v>
      </c>
      <c r="J2197" t="s">
        <v>20</v>
      </c>
      <c r="K2197">
        <f>_xlfn.XLOOKUP(tbl_analysis_tickets[[#This Row],[priority]],tbl_sla[priority],tbl_sla[Resolution SLA Hours])</f>
        <v>48</v>
      </c>
      <c r="L2197">
        <f>_xlfn.XLOOKUP(tbl_analysis_tickets[[#This Row],[priority]],tbl_sla[priority],tbl_sla[First Response SLA Minutes])</f>
        <v>120</v>
      </c>
      <c r="M2197" t="str">
        <f>IF(tbl_analysis_tickets[[#This Row],[resolution_time_hours]]&gt;tbl_analysis_tickets[[#This Row],[Resolution SLA Hours]],"Breached","Within SLA")</f>
        <v>Breached</v>
      </c>
      <c r="N2197" t="str">
        <f>IF(tbl_analysis_tickets[[#This Row],[first_response_minutes]]&gt;tbl_analysis_tickets[[#This Row],[First Response SLA Minutes]],"Breached","Within SLA")</f>
        <v>Within SLA</v>
      </c>
      <c r="O2197" t="str" cm="1">
        <f t="array" ref="O2197">_xlfn.IFS(
tbl_analysis_tickets[[#This Row],[agent_experience_years]]&lt;=2,"Junior",
tbl_analysis_tickets[[#This Row],[agent_experience_years]]&lt;=5,"Mid-Level",
tbl_analysis_tickets[[#This Row],[agent_experience_years]]&lt;=8,"Senior",
tbl_analysis_tickets[[#This Row],[agent_experience_years]]&gt;8,"Expert"
)</f>
        <v>Senior</v>
      </c>
      <c r="P2197" cm="1">
        <f t="array" ref="P2197">_xlfn.SWITCH(tbl_analysis_tickets[[#This Row],[customer_satisfaction]],
"Low",1,
"Medium",2,
"High",3
)</f>
        <v>3</v>
      </c>
      <c r="Q2197">
        <f>IF(tbl_analysis_tickets[[#This Row],[reopened]]="Yes",1,0)</f>
        <v>0</v>
      </c>
      <c r="R2197" t="str" cm="1">
        <f t="array" ref="R2197">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2197" t="str" cm="1">
        <f t="array" ref="S219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197" t="str">
        <f>TEXT(tbl_analysis_tickets[[#This Row],[created_date]],"mmm-yyyy")</f>
        <v>Mar-2024</v>
      </c>
      <c r="U2197" t="str">
        <f>TEXT(tbl_analysis_tickets[[#This Row],[created_date]],"dddd")</f>
        <v>Tuesday</v>
      </c>
      <c r="V2197" cm="1">
        <f t="array" ref="V2197">_xlfn.SWITCH(tbl_analysis_tickets[[#This Row],[priority]],
"Urgent",1,
"High",2,
"Medium",3,
"Low",4
)</f>
        <v>3</v>
      </c>
    </row>
    <row r="2198" spans="1:22" x14ac:dyDescent="0.25">
      <c r="A2198">
        <v>2197</v>
      </c>
      <c r="B2198" s="1">
        <v>45653</v>
      </c>
      <c r="C2198" t="s">
        <v>21</v>
      </c>
      <c r="D2198" t="s">
        <v>11</v>
      </c>
      <c r="E2198">
        <v>74</v>
      </c>
      <c r="F2198">
        <v>36</v>
      </c>
      <c r="G2198">
        <v>6.5</v>
      </c>
      <c r="H2198" t="s">
        <v>12</v>
      </c>
      <c r="I2198" t="s">
        <v>19</v>
      </c>
      <c r="J2198" t="s">
        <v>11</v>
      </c>
      <c r="K2198">
        <f>_xlfn.XLOOKUP(tbl_analysis_tickets[[#This Row],[priority]],tbl_sla[priority],tbl_sla[Resolution SLA Hours])</f>
        <v>72</v>
      </c>
      <c r="L2198">
        <f>_xlfn.XLOOKUP(tbl_analysis_tickets[[#This Row],[priority]],tbl_sla[priority],tbl_sla[First Response SLA Minutes])</f>
        <v>240</v>
      </c>
      <c r="M2198" t="str">
        <f>IF(tbl_analysis_tickets[[#This Row],[resolution_time_hours]]&gt;tbl_analysis_tickets[[#This Row],[Resolution SLA Hours]],"Breached","Within SLA")</f>
        <v>Within SLA</v>
      </c>
      <c r="N2198" t="str">
        <f>IF(tbl_analysis_tickets[[#This Row],[first_response_minutes]]&gt;tbl_analysis_tickets[[#This Row],[First Response SLA Minutes]],"Breached","Within SLA")</f>
        <v>Within SLA</v>
      </c>
      <c r="O2198" t="str" cm="1">
        <f t="array" ref="O2198">_xlfn.IFS(
tbl_analysis_tickets[[#This Row],[agent_experience_years]]&lt;=2,"Junior",
tbl_analysis_tickets[[#This Row],[agent_experience_years]]&lt;=5,"Mid-Level",
tbl_analysis_tickets[[#This Row],[agent_experience_years]]&lt;=8,"Senior",
tbl_analysis_tickets[[#This Row],[agent_experience_years]]&gt;8,"Expert"
)</f>
        <v>Senior</v>
      </c>
      <c r="P2198" cm="1">
        <f t="array" ref="P2198">_xlfn.SWITCH(tbl_analysis_tickets[[#This Row],[customer_satisfaction]],
"Low",1,
"Medium",2,
"High",3
)</f>
        <v>1</v>
      </c>
      <c r="Q2198">
        <f>IF(tbl_analysis_tickets[[#This Row],[reopened]]="Yes",1,0)</f>
        <v>1</v>
      </c>
      <c r="R2198" t="str" cm="1">
        <f t="array" ref="R2198">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198" t="str" cm="1">
        <f t="array" ref="S219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198" t="str">
        <f>TEXT(tbl_analysis_tickets[[#This Row],[created_date]],"mmm-yyyy")</f>
        <v>Dec-2024</v>
      </c>
      <c r="U2198" t="str">
        <f>TEXT(tbl_analysis_tickets[[#This Row],[created_date]],"dddd")</f>
        <v>Friday</v>
      </c>
      <c r="V2198" cm="1">
        <f t="array" ref="V2198">_xlfn.SWITCH(tbl_analysis_tickets[[#This Row],[priority]],
"Urgent",1,
"High",2,
"Medium",3,
"Low",4
)</f>
        <v>4</v>
      </c>
    </row>
    <row r="2199" spans="1:22" x14ac:dyDescent="0.25">
      <c r="A2199">
        <v>2198</v>
      </c>
      <c r="B2199" s="1">
        <v>45301</v>
      </c>
      <c r="C2199" t="s">
        <v>21</v>
      </c>
      <c r="D2199" t="s">
        <v>15</v>
      </c>
      <c r="E2199">
        <v>233</v>
      </c>
      <c r="F2199">
        <v>38</v>
      </c>
      <c r="G2199">
        <v>6.8</v>
      </c>
      <c r="H2199" t="s">
        <v>12</v>
      </c>
      <c r="I2199" t="s">
        <v>19</v>
      </c>
      <c r="J2199" t="s">
        <v>11</v>
      </c>
      <c r="K2199">
        <f>_xlfn.XLOOKUP(tbl_analysis_tickets[[#This Row],[priority]],tbl_sla[priority],tbl_sla[Resolution SLA Hours])</f>
        <v>48</v>
      </c>
      <c r="L2199">
        <f>_xlfn.XLOOKUP(tbl_analysis_tickets[[#This Row],[priority]],tbl_sla[priority],tbl_sla[First Response SLA Minutes])</f>
        <v>120</v>
      </c>
      <c r="M2199" t="str">
        <f>IF(tbl_analysis_tickets[[#This Row],[resolution_time_hours]]&gt;tbl_analysis_tickets[[#This Row],[Resolution SLA Hours]],"Breached","Within SLA")</f>
        <v>Within SLA</v>
      </c>
      <c r="N2199" t="str">
        <f>IF(tbl_analysis_tickets[[#This Row],[first_response_minutes]]&gt;tbl_analysis_tickets[[#This Row],[First Response SLA Minutes]],"Breached","Within SLA")</f>
        <v>Breached</v>
      </c>
      <c r="O2199" t="str" cm="1">
        <f t="array" ref="O2199">_xlfn.IFS(
tbl_analysis_tickets[[#This Row],[agent_experience_years]]&lt;=2,"Junior",
tbl_analysis_tickets[[#This Row],[agent_experience_years]]&lt;=5,"Mid-Level",
tbl_analysis_tickets[[#This Row],[agent_experience_years]]&lt;=8,"Senior",
tbl_analysis_tickets[[#This Row],[agent_experience_years]]&gt;8,"Expert"
)</f>
        <v>Senior</v>
      </c>
      <c r="P2199" cm="1">
        <f t="array" ref="P2199">_xlfn.SWITCH(tbl_analysis_tickets[[#This Row],[customer_satisfaction]],
"Low",1,
"Medium",2,
"High",3
)</f>
        <v>1</v>
      </c>
      <c r="Q2199">
        <f>IF(tbl_analysis_tickets[[#This Row],[reopened]]="Yes",1,0)</f>
        <v>1</v>
      </c>
      <c r="R2199" t="str" cm="1">
        <f t="array" ref="R2199">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199" t="str" cm="1">
        <f t="array" ref="S219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199" t="str">
        <f>TEXT(tbl_analysis_tickets[[#This Row],[created_date]],"mmm-yyyy")</f>
        <v>Jan-2024</v>
      </c>
      <c r="U2199" t="str">
        <f>TEXT(tbl_analysis_tickets[[#This Row],[created_date]],"dddd")</f>
        <v>Wednesday</v>
      </c>
      <c r="V2199" cm="1">
        <f t="array" ref="V2199">_xlfn.SWITCH(tbl_analysis_tickets[[#This Row],[priority]],
"Urgent",1,
"High",2,
"Medium",3,
"Low",4
)</f>
        <v>3</v>
      </c>
    </row>
    <row r="2200" spans="1:22" x14ac:dyDescent="0.25">
      <c r="A2200">
        <v>2199</v>
      </c>
      <c r="B2200" s="1">
        <v>45527</v>
      </c>
      <c r="C2200" t="s">
        <v>21</v>
      </c>
      <c r="D2200" t="s">
        <v>20</v>
      </c>
      <c r="E2200">
        <v>118</v>
      </c>
      <c r="F2200">
        <v>2</v>
      </c>
      <c r="G2200">
        <v>5.9</v>
      </c>
      <c r="H2200" t="s">
        <v>12</v>
      </c>
      <c r="I2200" t="s">
        <v>16</v>
      </c>
      <c r="J2200" t="s">
        <v>15</v>
      </c>
      <c r="K2200">
        <f>_xlfn.XLOOKUP(tbl_analysis_tickets[[#This Row],[priority]],tbl_sla[priority],tbl_sla[Resolution SLA Hours])</f>
        <v>24</v>
      </c>
      <c r="L2200">
        <f>_xlfn.XLOOKUP(tbl_analysis_tickets[[#This Row],[priority]],tbl_sla[priority],tbl_sla[First Response SLA Minutes])</f>
        <v>60</v>
      </c>
      <c r="M2200" t="str">
        <f>IF(tbl_analysis_tickets[[#This Row],[resolution_time_hours]]&gt;tbl_analysis_tickets[[#This Row],[Resolution SLA Hours]],"Breached","Within SLA")</f>
        <v>Within SLA</v>
      </c>
      <c r="N2200" t="str">
        <f>IF(tbl_analysis_tickets[[#This Row],[first_response_minutes]]&gt;tbl_analysis_tickets[[#This Row],[First Response SLA Minutes]],"Breached","Within SLA")</f>
        <v>Breached</v>
      </c>
      <c r="O2200" t="str" cm="1">
        <f t="array" ref="O2200">_xlfn.IFS(
tbl_analysis_tickets[[#This Row],[agent_experience_years]]&lt;=2,"Junior",
tbl_analysis_tickets[[#This Row],[agent_experience_years]]&lt;=5,"Mid-Level",
tbl_analysis_tickets[[#This Row],[agent_experience_years]]&lt;=8,"Senior",
tbl_analysis_tickets[[#This Row],[agent_experience_years]]&gt;8,"Expert"
)</f>
        <v>Senior</v>
      </c>
      <c r="P2200" cm="1">
        <f t="array" ref="P2200">_xlfn.SWITCH(tbl_analysis_tickets[[#This Row],[customer_satisfaction]],
"Low",1,
"Medium",2,
"High",3
)</f>
        <v>2</v>
      </c>
      <c r="Q2200">
        <f>IF(tbl_analysis_tickets[[#This Row],[reopened]]="Yes",1,0)</f>
        <v>1</v>
      </c>
      <c r="R2200" t="str" cm="1">
        <f t="array" ref="R2200">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200" t="str" cm="1">
        <f t="array" ref="S220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2200" t="str">
        <f>TEXT(tbl_analysis_tickets[[#This Row],[created_date]],"mmm-yyyy")</f>
        <v>Aug-2024</v>
      </c>
      <c r="U2200" t="str">
        <f>TEXT(tbl_analysis_tickets[[#This Row],[created_date]],"dddd")</f>
        <v>Friday</v>
      </c>
      <c r="V2200" cm="1">
        <f t="array" ref="V2200">_xlfn.SWITCH(tbl_analysis_tickets[[#This Row],[priority]],
"Urgent",1,
"High",2,
"Medium",3,
"Low",4
)</f>
        <v>2</v>
      </c>
    </row>
    <row r="2201" spans="1:22" x14ac:dyDescent="0.25">
      <c r="A2201">
        <v>2200</v>
      </c>
      <c r="B2201" s="1">
        <v>45296</v>
      </c>
      <c r="C2201" t="s">
        <v>10</v>
      </c>
      <c r="D2201" t="s">
        <v>15</v>
      </c>
      <c r="E2201">
        <v>229</v>
      </c>
      <c r="F2201">
        <v>60</v>
      </c>
      <c r="G2201">
        <v>1.2</v>
      </c>
      <c r="H2201" t="s">
        <v>18</v>
      </c>
      <c r="I2201" t="s">
        <v>19</v>
      </c>
      <c r="J2201" t="s">
        <v>11</v>
      </c>
      <c r="K2201">
        <f>_xlfn.XLOOKUP(tbl_analysis_tickets[[#This Row],[priority]],tbl_sla[priority],tbl_sla[Resolution SLA Hours])</f>
        <v>48</v>
      </c>
      <c r="L2201">
        <f>_xlfn.XLOOKUP(tbl_analysis_tickets[[#This Row],[priority]],tbl_sla[priority],tbl_sla[First Response SLA Minutes])</f>
        <v>120</v>
      </c>
      <c r="M2201" t="str">
        <f>IF(tbl_analysis_tickets[[#This Row],[resolution_time_hours]]&gt;tbl_analysis_tickets[[#This Row],[Resolution SLA Hours]],"Breached","Within SLA")</f>
        <v>Breached</v>
      </c>
      <c r="N2201" t="str">
        <f>IF(tbl_analysis_tickets[[#This Row],[first_response_minutes]]&gt;tbl_analysis_tickets[[#This Row],[First Response SLA Minutes]],"Breached","Within SLA")</f>
        <v>Breached</v>
      </c>
      <c r="O2201" t="str" cm="1">
        <f t="array" ref="O2201">_xlfn.IFS(
tbl_analysis_tickets[[#This Row],[agent_experience_years]]&lt;=2,"Junior",
tbl_analysis_tickets[[#This Row],[agent_experience_years]]&lt;=5,"Mid-Level",
tbl_analysis_tickets[[#This Row],[agent_experience_years]]&lt;=8,"Senior",
tbl_analysis_tickets[[#This Row],[agent_experience_years]]&gt;8,"Expert"
)</f>
        <v>Junior</v>
      </c>
      <c r="P2201" cm="1">
        <f t="array" ref="P2201">_xlfn.SWITCH(tbl_analysis_tickets[[#This Row],[customer_satisfaction]],
"Low",1,
"Medium",2,
"High",3
)</f>
        <v>1</v>
      </c>
      <c r="Q2201">
        <f>IF(tbl_analysis_tickets[[#This Row],[reopened]]="Yes",1,0)</f>
        <v>0</v>
      </c>
      <c r="R2201" t="str" cm="1">
        <f t="array" ref="R2201">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201" t="str" cm="1">
        <f t="array" ref="S220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201" t="str">
        <f>TEXT(tbl_analysis_tickets[[#This Row],[created_date]],"mmm-yyyy")</f>
        <v>Jan-2024</v>
      </c>
      <c r="U2201" t="str">
        <f>TEXT(tbl_analysis_tickets[[#This Row],[created_date]],"dddd")</f>
        <v>Friday</v>
      </c>
      <c r="V2201" cm="1">
        <f t="array" ref="V2201">_xlfn.SWITCH(tbl_analysis_tickets[[#This Row],[priority]],
"Urgent",1,
"High",2,
"Medium",3,
"Low",4
)</f>
        <v>3</v>
      </c>
    </row>
    <row r="2202" spans="1:22" x14ac:dyDescent="0.25">
      <c r="A2202">
        <v>2201</v>
      </c>
      <c r="B2202" s="1">
        <v>45387</v>
      </c>
      <c r="C2202" t="s">
        <v>10</v>
      </c>
      <c r="D2202" t="s">
        <v>15</v>
      </c>
      <c r="E2202">
        <v>153</v>
      </c>
      <c r="F2202">
        <v>35</v>
      </c>
      <c r="G2202">
        <v>2.7</v>
      </c>
      <c r="H2202" t="s">
        <v>12</v>
      </c>
      <c r="I2202" t="s">
        <v>16</v>
      </c>
      <c r="J2202" t="s">
        <v>11</v>
      </c>
      <c r="K2202">
        <f>_xlfn.XLOOKUP(tbl_analysis_tickets[[#This Row],[priority]],tbl_sla[priority],tbl_sla[Resolution SLA Hours])</f>
        <v>48</v>
      </c>
      <c r="L2202">
        <f>_xlfn.XLOOKUP(tbl_analysis_tickets[[#This Row],[priority]],tbl_sla[priority],tbl_sla[First Response SLA Minutes])</f>
        <v>120</v>
      </c>
      <c r="M2202" t="str">
        <f>IF(tbl_analysis_tickets[[#This Row],[resolution_time_hours]]&gt;tbl_analysis_tickets[[#This Row],[Resolution SLA Hours]],"Breached","Within SLA")</f>
        <v>Within SLA</v>
      </c>
      <c r="N2202" t="str">
        <f>IF(tbl_analysis_tickets[[#This Row],[first_response_minutes]]&gt;tbl_analysis_tickets[[#This Row],[First Response SLA Minutes]],"Breached","Within SLA")</f>
        <v>Breached</v>
      </c>
      <c r="O2202" t="str" cm="1">
        <f t="array" ref="O2202">_xlfn.IFS(
tbl_analysis_tickets[[#This Row],[agent_experience_years]]&lt;=2,"Junior",
tbl_analysis_tickets[[#This Row],[agent_experience_years]]&lt;=5,"Mid-Level",
tbl_analysis_tickets[[#This Row],[agent_experience_years]]&lt;=8,"Senior",
tbl_analysis_tickets[[#This Row],[agent_experience_years]]&gt;8,"Expert"
)</f>
        <v>Mid-Level</v>
      </c>
      <c r="P2202" cm="1">
        <f t="array" ref="P2202">_xlfn.SWITCH(tbl_analysis_tickets[[#This Row],[customer_satisfaction]],
"Low",1,
"Medium",2,
"High",3
)</f>
        <v>1</v>
      </c>
      <c r="Q2202">
        <f>IF(tbl_analysis_tickets[[#This Row],[reopened]]="Yes",1,0)</f>
        <v>1</v>
      </c>
      <c r="R2202" t="str" cm="1">
        <f t="array" ref="R2202">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202" t="str" cm="1">
        <f t="array" ref="S220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202" t="str">
        <f>TEXT(tbl_analysis_tickets[[#This Row],[created_date]],"mmm-yyyy")</f>
        <v>Apr-2024</v>
      </c>
      <c r="U2202" t="str">
        <f>TEXT(tbl_analysis_tickets[[#This Row],[created_date]],"dddd")</f>
        <v>Friday</v>
      </c>
      <c r="V2202" cm="1">
        <f t="array" ref="V2202">_xlfn.SWITCH(tbl_analysis_tickets[[#This Row],[priority]],
"Urgent",1,
"High",2,
"Medium",3,
"Low",4
)</f>
        <v>3</v>
      </c>
    </row>
    <row r="2203" spans="1:22" x14ac:dyDescent="0.25">
      <c r="A2203">
        <v>2202</v>
      </c>
      <c r="B2203" s="1">
        <v>45334</v>
      </c>
      <c r="C2203" t="s">
        <v>10</v>
      </c>
      <c r="D2203" t="s">
        <v>11</v>
      </c>
      <c r="E2203">
        <v>21</v>
      </c>
      <c r="F2203">
        <v>55</v>
      </c>
      <c r="G2203">
        <v>3.3</v>
      </c>
      <c r="H2203" t="s">
        <v>12</v>
      </c>
      <c r="I2203" t="s">
        <v>16</v>
      </c>
      <c r="J2203" t="s">
        <v>15</v>
      </c>
      <c r="K2203">
        <f>_xlfn.XLOOKUP(tbl_analysis_tickets[[#This Row],[priority]],tbl_sla[priority],tbl_sla[Resolution SLA Hours])</f>
        <v>72</v>
      </c>
      <c r="L2203">
        <f>_xlfn.XLOOKUP(tbl_analysis_tickets[[#This Row],[priority]],tbl_sla[priority],tbl_sla[First Response SLA Minutes])</f>
        <v>240</v>
      </c>
      <c r="M2203" t="str">
        <f>IF(tbl_analysis_tickets[[#This Row],[resolution_time_hours]]&gt;tbl_analysis_tickets[[#This Row],[Resolution SLA Hours]],"Breached","Within SLA")</f>
        <v>Within SLA</v>
      </c>
      <c r="N2203" t="str">
        <f>IF(tbl_analysis_tickets[[#This Row],[first_response_minutes]]&gt;tbl_analysis_tickets[[#This Row],[First Response SLA Minutes]],"Breached","Within SLA")</f>
        <v>Within SLA</v>
      </c>
      <c r="O2203" t="str" cm="1">
        <f t="array" ref="O2203">_xlfn.IFS(
tbl_analysis_tickets[[#This Row],[agent_experience_years]]&lt;=2,"Junior",
tbl_analysis_tickets[[#This Row],[agent_experience_years]]&lt;=5,"Mid-Level",
tbl_analysis_tickets[[#This Row],[agent_experience_years]]&lt;=8,"Senior",
tbl_analysis_tickets[[#This Row],[agent_experience_years]]&gt;8,"Expert"
)</f>
        <v>Mid-Level</v>
      </c>
      <c r="P2203" cm="1">
        <f t="array" ref="P2203">_xlfn.SWITCH(tbl_analysis_tickets[[#This Row],[customer_satisfaction]],
"Low",1,
"Medium",2,
"High",3
)</f>
        <v>2</v>
      </c>
      <c r="Q2203">
        <f>IF(tbl_analysis_tickets[[#This Row],[reopened]]="Yes",1,0)</f>
        <v>1</v>
      </c>
      <c r="R2203" t="str" cm="1">
        <f t="array" ref="R2203">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2203" t="str" cm="1">
        <f t="array" ref="S220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203" t="str">
        <f>TEXT(tbl_analysis_tickets[[#This Row],[created_date]],"mmm-yyyy")</f>
        <v>Feb-2024</v>
      </c>
      <c r="U2203" t="str">
        <f>TEXT(tbl_analysis_tickets[[#This Row],[created_date]],"dddd")</f>
        <v>Monday</v>
      </c>
      <c r="V2203" cm="1">
        <f t="array" ref="V2203">_xlfn.SWITCH(tbl_analysis_tickets[[#This Row],[priority]],
"Urgent",1,
"High",2,
"Medium",3,
"Low",4
)</f>
        <v>4</v>
      </c>
    </row>
    <row r="2204" spans="1:22" x14ac:dyDescent="0.25">
      <c r="A2204">
        <v>2203</v>
      </c>
      <c r="B2204" s="1">
        <v>45429</v>
      </c>
      <c r="C2204" t="s">
        <v>23</v>
      </c>
      <c r="D2204" t="s">
        <v>11</v>
      </c>
      <c r="E2204">
        <v>91</v>
      </c>
      <c r="F2204">
        <v>33</v>
      </c>
      <c r="G2204">
        <v>7.2</v>
      </c>
      <c r="H2204" t="s">
        <v>18</v>
      </c>
      <c r="I2204" t="s">
        <v>19</v>
      </c>
      <c r="J2204" t="s">
        <v>15</v>
      </c>
      <c r="K2204">
        <f>_xlfn.XLOOKUP(tbl_analysis_tickets[[#This Row],[priority]],tbl_sla[priority],tbl_sla[Resolution SLA Hours])</f>
        <v>72</v>
      </c>
      <c r="L2204">
        <f>_xlfn.XLOOKUP(tbl_analysis_tickets[[#This Row],[priority]],tbl_sla[priority],tbl_sla[First Response SLA Minutes])</f>
        <v>240</v>
      </c>
      <c r="M2204" t="str">
        <f>IF(tbl_analysis_tickets[[#This Row],[resolution_time_hours]]&gt;tbl_analysis_tickets[[#This Row],[Resolution SLA Hours]],"Breached","Within SLA")</f>
        <v>Within SLA</v>
      </c>
      <c r="N2204" t="str">
        <f>IF(tbl_analysis_tickets[[#This Row],[first_response_minutes]]&gt;tbl_analysis_tickets[[#This Row],[First Response SLA Minutes]],"Breached","Within SLA")</f>
        <v>Within SLA</v>
      </c>
      <c r="O2204" t="str" cm="1">
        <f t="array" ref="O2204">_xlfn.IFS(
tbl_analysis_tickets[[#This Row],[agent_experience_years]]&lt;=2,"Junior",
tbl_analysis_tickets[[#This Row],[agent_experience_years]]&lt;=5,"Mid-Level",
tbl_analysis_tickets[[#This Row],[agent_experience_years]]&lt;=8,"Senior",
tbl_analysis_tickets[[#This Row],[agent_experience_years]]&gt;8,"Expert"
)</f>
        <v>Senior</v>
      </c>
      <c r="P2204" cm="1">
        <f t="array" ref="P2204">_xlfn.SWITCH(tbl_analysis_tickets[[#This Row],[customer_satisfaction]],
"Low",1,
"Medium",2,
"High",3
)</f>
        <v>2</v>
      </c>
      <c r="Q2204">
        <f>IF(tbl_analysis_tickets[[#This Row],[reopened]]="Yes",1,0)</f>
        <v>0</v>
      </c>
      <c r="R2204" t="str" cm="1">
        <f t="array" ref="R2204">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204" t="str" cm="1">
        <f t="array" ref="S220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204" t="str">
        <f>TEXT(tbl_analysis_tickets[[#This Row],[created_date]],"mmm-yyyy")</f>
        <v>May-2024</v>
      </c>
      <c r="U2204" t="str">
        <f>TEXT(tbl_analysis_tickets[[#This Row],[created_date]],"dddd")</f>
        <v>Friday</v>
      </c>
      <c r="V2204" cm="1">
        <f t="array" ref="V2204">_xlfn.SWITCH(tbl_analysis_tickets[[#This Row],[priority]],
"Urgent",1,
"High",2,
"Medium",3,
"Low",4
)</f>
        <v>4</v>
      </c>
    </row>
    <row r="2205" spans="1:22" x14ac:dyDescent="0.25">
      <c r="A2205">
        <v>2204</v>
      </c>
      <c r="B2205" s="1">
        <v>45558</v>
      </c>
      <c r="C2205" t="s">
        <v>21</v>
      </c>
      <c r="D2205" t="s">
        <v>17</v>
      </c>
      <c r="E2205">
        <v>135</v>
      </c>
      <c r="F2205">
        <v>69</v>
      </c>
      <c r="G2205">
        <v>1.8</v>
      </c>
      <c r="H2205" t="s">
        <v>12</v>
      </c>
      <c r="I2205" t="s">
        <v>19</v>
      </c>
      <c r="J2205" t="s">
        <v>11</v>
      </c>
      <c r="K2205">
        <f>_xlfn.XLOOKUP(tbl_analysis_tickets[[#This Row],[priority]],tbl_sla[priority],tbl_sla[Resolution SLA Hours])</f>
        <v>8</v>
      </c>
      <c r="L2205">
        <f>_xlfn.XLOOKUP(tbl_analysis_tickets[[#This Row],[priority]],tbl_sla[priority],tbl_sla[First Response SLA Minutes])</f>
        <v>30</v>
      </c>
      <c r="M2205" t="str">
        <f>IF(tbl_analysis_tickets[[#This Row],[resolution_time_hours]]&gt;tbl_analysis_tickets[[#This Row],[Resolution SLA Hours]],"Breached","Within SLA")</f>
        <v>Breached</v>
      </c>
      <c r="N2205" t="str">
        <f>IF(tbl_analysis_tickets[[#This Row],[first_response_minutes]]&gt;tbl_analysis_tickets[[#This Row],[First Response SLA Minutes]],"Breached","Within SLA")</f>
        <v>Breached</v>
      </c>
      <c r="O2205" t="str" cm="1">
        <f t="array" ref="O2205">_xlfn.IFS(
tbl_analysis_tickets[[#This Row],[agent_experience_years]]&lt;=2,"Junior",
tbl_analysis_tickets[[#This Row],[agent_experience_years]]&lt;=5,"Mid-Level",
tbl_analysis_tickets[[#This Row],[agent_experience_years]]&lt;=8,"Senior",
tbl_analysis_tickets[[#This Row],[agent_experience_years]]&gt;8,"Expert"
)</f>
        <v>Junior</v>
      </c>
      <c r="P2205" cm="1">
        <f t="array" ref="P2205">_xlfn.SWITCH(tbl_analysis_tickets[[#This Row],[customer_satisfaction]],
"Low",1,
"Medium",2,
"High",3
)</f>
        <v>1</v>
      </c>
      <c r="Q2205">
        <f>IF(tbl_analysis_tickets[[#This Row],[reopened]]="Yes",1,0)</f>
        <v>1</v>
      </c>
      <c r="R2205" t="str" cm="1">
        <f t="array" ref="R2205">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205" t="str" cm="1">
        <f t="array" ref="S220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205" t="str">
        <f>TEXT(tbl_analysis_tickets[[#This Row],[created_date]],"mmm-yyyy")</f>
        <v>Sep-2024</v>
      </c>
      <c r="U2205" t="str">
        <f>TEXT(tbl_analysis_tickets[[#This Row],[created_date]],"dddd")</f>
        <v>Monday</v>
      </c>
      <c r="V2205" cm="1">
        <f t="array" ref="V2205">_xlfn.SWITCH(tbl_analysis_tickets[[#This Row],[priority]],
"Urgent",1,
"High",2,
"Medium",3,
"Low",4
)</f>
        <v>1</v>
      </c>
    </row>
    <row r="2206" spans="1:22" x14ac:dyDescent="0.25">
      <c r="A2206">
        <v>2205</v>
      </c>
      <c r="B2206" s="1">
        <v>45550</v>
      </c>
      <c r="C2206" t="s">
        <v>23</v>
      </c>
      <c r="D2206" t="s">
        <v>15</v>
      </c>
      <c r="E2206">
        <v>151</v>
      </c>
      <c r="F2206">
        <v>71</v>
      </c>
      <c r="G2206">
        <v>3.6</v>
      </c>
      <c r="H2206" t="s">
        <v>18</v>
      </c>
      <c r="I2206" t="s">
        <v>16</v>
      </c>
      <c r="J2206" t="s">
        <v>11</v>
      </c>
      <c r="K2206">
        <f>_xlfn.XLOOKUP(tbl_analysis_tickets[[#This Row],[priority]],tbl_sla[priority],tbl_sla[Resolution SLA Hours])</f>
        <v>48</v>
      </c>
      <c r="L2206">
        <f>_xlfn.XLOOKUP(tbl_analysis_tickets[[#This Row],[priority]],tbl_sla[priority],tbl_sla[First Response SLA Minutes])</f>
        <v>120</v>
      </c>
      <c r="M2206" t="str">
        <f>IF(tbl_analysis_tickets[[#This Row],[resolution_time_hours]]&gt;tbl_analysis_tickets[[#This Row],[Resolution SLA Hours]],"Breached","Within SLA")</f>
        <v>Breached</v>
      </c>
      <c r="N2206" t="str">
        <f>IF(tbl_analysis_tickets[[#This Row],[first_response_minutes]]&gt;tbl_analysis_tickets[[#This Row],[First Response SLA Minutes]],"Breached","Within SLA")</f>
        <v>Breached</v>
      </c>
      <c r="O2206" t="str" cm="1">
        <f t="array" ref="O2206">_xlfn.IFS(
tbl_analysis_tickets[[#This Row],[agent_experience_years]]&lt;=2,"Junior",
tbl_analysis_tickets[[#This Row],[agent_experience_years]]&lt;=5,"Mid-Level",
tbl_analysis_tickets[[#This Row],[agent_experience_years]]&lt;=8,"Senior",
tbl_analysis_tickets[[#This Row],[agent_experience_years]]&gt;8,"Expert"
)</f>
        <v>Mid-Level</v>
      </c>
      <c r="P2206" cm="1">
        <f t="array" ref="P2206">_xlfn.SWITCH(tbl_analysis_tickets[[#This Row],[customer_satisfaction]],
"Low",1,
"Medium",2,
"High",3
)</f>
        <v>1</v>
      </c>
      <c r="Q2206">
        <f>IF(tbl_analysis_tickets[[#This Row],[reopened]]="Yes",1,0)</f>
        <v>0</v>
      </c>
      <c r="R2206" t="str" cm="1">
        <f t="array" ref="R2206">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206" t="str" cm="1">
        <f t="array" ref="S220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206" t="str">
        <f>TEXT(tbl_analysis_tickets[[#This Row],[created_date]],"mmm-yyyy")</f>
        <v>Sep-2024</v>
      </c>
      <c r="U2206" t="str">
        <f>TEXT(tbl_analysis_tickets[[#This Row],[created_date]],"dddd")</f>
        <v>Sunday</v>
      </c>
      <c r="V2206" cm="1">
        <f t="array" ref="V2206">_xlfn.SWITCH(tbl_analysis_tickets[[#This Row],[priority]],
"Urgent",1,
"High",2,
"Medium",3,
"Low",4
)</f>
        <v>3</v>
      </c>
    </row>
    <row r="2207" spans="1:22" x14ac:dyDescent="0.25">
      <c r="A2207">
        <v>2206</v>
      </c>
      <c r="B2207" s="1">
        <v>45397</v>
      </c>
      <c r="C2207" t="s">
        <v>21</v>
      </c>
      <c r="D2207" t="s">
        <v>15</v>
      </c>
      <c r="E2207">
        <v>79</v>
      </c>
      <c r="F2207">
        <v>70</v>
      </c>
      <c r="G2207">
        <v>7.7</v>
      </c>
      <c r="H2207" t="s">
        <v>18</v>
      </c>
      <c r="I2207" t="s">
        <v>19</v>
      </c>
      <c r="J2207" t="s">
        <v>15</v>
      </c>
      <c r="K2207">
        <f>_xlfn.XLOOKUP(tbl_analysis_tickets[[#This Row],[priority]],tbl_sla[priority],tbl_sla[Resolution SLA Hours])</f>
        <v>48</v>
      </c>
      <c r="L2207">
        <f>_xlfn.XLOOKUP(tbl_analysis_tickets[[#This Row],[priority]],tbl_sla[priority],tbl_sla[First Response SLA Minutes])</f>
        <v>120</v>
      </c>
      <c r="M2207" t="str">
        <f>IF(tbl_analysis_tickets[[#This Row],[resolution_time_hours]]&gt;tbl_analysis_tickets[[#This Row],[Resolution SLA Hours]],"Breached","Within SLA")</f>
        <v>Breached</v>
      </c>
      <c r="N2207" t="str">
        <f>IF(tbl_analysis_tickets[[#This Row],[first_response_minutes]]&gt;tbl_analysis_tickets[[#This Row],[First Response SLA Minutes]],"Breached","Within SLA")</f>
        <v>Within SLA</v>
      </c>
      <c r="O2207" t="str" cm="1">
        <f t="array" ref="O2207">_xlfn.IFS(
tbl_analysis_tickets[[#This Row],[agent_experience_years]]&lt;=2,"Junior",
tbl_analysis_tickets[[#This Row],[agent_experience_years]]&lt;=5,"Mid-Level",
tbl_analysis_tickets[[#This Row],[agent_experience_years]]&lt;=8,"Senior",
tbl_analysis_tickets[[#This Row],[agent_experience_years]]&gt;8,"Expert"
)</f>
        <v>Senior</v>
      </c>
      <c r="P2207" cm="1">
        <f t="array" ref="P2207">_xlfn.SWITCH(tbl_analysis_tickets[[#This Row],[customer_satisfaction]],
"Low",1,
"Medium",2,
"High",3
)</f>
        <v>2</v>
      </c>
      <c r="Q2207">
        <f>IF(tbl_analysis_tickets[[#This Row],[reopened]]="Yes",1,0)</f>
        <v>0</v>
      </c>
      <c r="R2207" t="str" cm="1">
        <f t="array" ref="R2207">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207" t="str" cm="1">
        <f t="array" ref="S220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207" t="str">
        <f>TEXT(tbl_analysis_tickets[[#This Row],[created_date]],"mmm-yyyy")</f>
        <v>Apr-2024</v>
      </c>
      <c r="U2207" t="str">
        <f>TEXT(tbl_analysis_tickets[[#This Row],[created_date]],"dddd")</f>
        <v>Monday</v>
      </c>
      <c r="V2207" cm="1">
        <f t="array" ref="V2207">_xlfn.SWITCH(tbl_analysis_tickets[[#This Row],[priority]],
"Urgent",1,
"High",2,
"Medium",3,
"Low",4
)</f>
        <v>3</v>
      </c>
    </row>
    <row r="2208" spans="1:22" x14ac:dyDescent="0.25">
      <c r="A2208">
        <v>2207</v>
      </c>
      <c r="B2208" s="1">
        <v>45514</v>
      </c>
      <c r="C2208" t="s">
        <v>22</v>
      </c>
      <c r="D2208" t="s">
        <v>15</v>
      </c>
      <c r="E2208">
        <v>179</v>
      </c>
      <c r="F2208">
        <v>67</v>
      </c>
      <c r="G2208">
        <v>1.9</v>
      </c>
      <c r="H2208" t="s">
        <v>18</v>
      </c>
      <c r="I2208" t="s">
        <v>13</v>
      </c>
      <c r="J2208" t="s">
        <v>11</v>
      </c>
      <c r="K2208">
        <f>_xlfn.XLOOKUP(tbl_analysis_tickets[[#This Row],[priority]],tbl_sla[priority],tbl_sla[Resolution SLA Hours])</f>
        <v>48</v>
      </c>
      <c r="L2208">
        <f>_xlfn.XLOOKUP(tbl_analysis_tickets[[#This Row],[priority]],tbl_sla[priority],tbl_sla[First Response SLA Minutes])</f>
        <v>120</v>
      </c>
      <c r="M2208" t="str">
        <f>IF(tbl_analysis_tickets[[#This Row],[resolution_time_hours]]&gt;tbl_analysis_tickets[[#This Row],[Resolution SLA Hours]],"Breached","Within SLA")</f>
        <v>Breached</v>
      </c>
      <c r="N2208" t="str">
        <f>IF(tbl_analysis_tickets[[#This Row],[first_response_minutes]]&gt;tbl_analysis_tickets[[#This Row],[First Response SLA Minutes]],"Breached","Within SLA")</f>
        <v>Breached</v>
      </c>
      <c r="O2208" t="str" cm="1">
        <f t="array" ref="O2208">_xlfn.IFS(
tbl_analysis_tickets[[#This Row],[agent_experience_years]]&lt;=2,"Junior",
tbl_analysis_tickets[[#This Row],[agent_experience_years]]&lt;=5,"Mid-Level",
tbl_analysis_tickets[[#This Row],[agent_experience_years]]&lt;=8,"Senior",
tbl_analysis_tickets[[#This Row],[agent_experience_years]]&gt;8,"Expert"
)</f>
        <v>Junior</v>
      </c>
      <c r="P2208" cm="1">
        <f t="array" ref="P2208">_xlfn.SWITCH(tbl_analysis_tickets[[#This Row],[customer_satisfaction]],
"Low",1,
"Medium",2,
"High",3
)</f>
        <v>1</v>
      </c>
      <c r="Q2208">
        <f>IF(tbl_analysis_tickets[[#This Row],[reopened]]="Yes",1,0)</f>
        <v>0</v>
      </c>
      <c r="R2208" t="str" cm="1">
        <f t="array" ref="R2208">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208" t="str" cm="1">
        <f t="array" ref="S220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208" t="str">
        <f>TEXT(tbl_analysis_tickets[[#This Row],[created_date]],"mmm-yyyy")</f>
        <v>Aug-2024</v>
      </c>
      <c r="U2208" t="str">
        <f>TEXT(tbl_analysis_tickets[[#This Row],[created_date]],"dddd")</f>
        <v>Saturday</v>
      </c>
      <c r="V2208" cm="1">
        <f t="array" ref="V2208">_xlfn.SWITCH(tbl_analysis_tickets[[#This Row],[priority]],
"Urgent",1,
"High",2,
"Medium",3,
"Low",4
)</f>
        <v>3</v>
      </c>
    </row>
    <row r="2209" spans="1:22" x14ac:dyDescent="0.25">
      <c r="A2209">
        <v>2208</v>
      </c>
      <c r="B2209" s="1">
        <v>45321</v>
      </c>
      <c r="C2209" t="s">
        <v>22</v>
      </c>
      <c r="D2209" t="s">
        <v>17</v>
      </c>
      <c r="E2209">
        <v>145</v>
      </c>
      <c r="F2209">
        <v>49</v>
      </c>
      <c r="G2209">
        <v>4.5999999999999996</v>
      </c>
      <c r="H2209" t="s">
        <v>12</v>
      </c>
      <c r="I2209" t="s">
        <v>13</v>
      </c>
      <c r="J2209" t="s">
        <v>11</v>
      </c>
      <c r="K2209">
        <f>_xlfn.XLOOKUP(tbl_analysis_tickets[[#This Row],[priority]],tbl_sla[priority],tbl_sla[Resolution SLA Hours])</f>
        <v>8</v>
      </c>
      <c r="L2209">
        <f>_xlfn.XLOOKUP(tbl_analysis_tickets[[#This Row],[priority]],tbl_sla[priority],tbl_sla[First Response SLA Minutes])</f>
        <v>30</v>
      </c>
      <c r="M2209" t="str">
        <f>IF(tbl_analysis_tickets[[#This Row],[resolution_time_hours]]&gt;tbl_analysis_tickets[[#This Row],[Resolution SLA Hours]],"Breached","Within SLA")</f>
        <v>Breached</v>
      </c>
      <c r="N2209" t="str">
        <f>IF(tbl_analysis_tickets[[#This Row],[first_response_minutes]]&gt;tbl_analysis_tickets[[#This Row],[First Response SLA Minutes]],"Breached","Within SLA")</f>
        <v>Breached</v>
      </c>
      <c r="O2209" t="str" cm="1">
        <f t="array" ref="O2209">_xlfn.IFS(
tbl_analysis_tickets[[#This Row],[agent_experience_years]]&lt;=2,"Junior",
tbl_analysis_tickets[[#This Row],[agent_experience_years]]&lt;=5,"Mid-Level",
tbl_analysis_tickets[[#This Row],[agent_experience_years]]&lt;=8,"Senior",
tbl_analysis_tickets[[#This Row],[agent_experience_years]]&gt;8,"Expert"
)</f>
        <v>Mid-Level</v>
      </c>
      <c r="P2209" cm="1">
        <f t="array" ref="P2209">_xlfn.SWITCH(tbl_analysis_tickets[[#This Row],[customer_satisfaction]],
"Low",1,
"Medium",2,
"High",3
)</f>
        <v>1</v>
      </c>
      <c r="Q2209">
        <f>IF(tbl_analysis_tickets[[#This Row],[reopened]]="Yes",1,0)</f>
        <v>1</v>
      </c>
      <c r="R2209" t="str" cm="1">
        <f t="array" ref="R2209">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209" t="str" cm="1">
        <f t="array" ref="S220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209" t="str">
        <f>TEXT(tbl_analysis_tickets[[#This Row],[created_date]],"mmm-yyyy")</f>
        <v>Jan-2024</v>
      </c>
      <c r="U2209" t="str">
        <f>TEXT(tbl_analysis_tickets[[#This Row],[created_date]],"dddd")</f>
        <v>Tuesday</v>
      </c>
      <c r="V2209" cm="1">
        <f t="array" ref="V2209">_xlfn.SWITCH(tbl_analysis_tickets[[#This Row],[priority]],
"Urgent",1,
"High",2,
"Medium",3,
"Low",4
)</f>
        <v>1</v>
      </c>
    </row>
    <row r="2210" spans="1:22" x14ac:dyDescent="0.25">
      <c r="A2210">
        <v>2209</v>
      </c>
      <c r="B2210" s="1">
        <v>45350</v>
      </c>
      <c r="C2210" t="s">
        <v>10</v>
      </c>
      <c r="D2210" t="s">
        <v>20</v>
      </c>
      <c r="E2210">
        <v>182</v>
      </c>
      <c r="F2210">
        <v>48</v>
      </c>
      <c r="G2210">
        <v>2.8</v>
      </c>
      <c r="H2210" t="s">
        <v>12</v>
      </c>
      <c r="I2210" t="s">
        <v>13</v>
      </c>
      <c r="J2210" t="s">
        <v>11</v>
      </c>
      <c r="K2210">
        <f>_xlfn.XLOOKUP(tbl_analysis_tickets[[#This Row],[priority]],tbl_sla[priority],tbl_sla[Resolution SLA Hours])</f>
        <v>24</v>
      </c>
      <c r="L2210">
        <f>_xlfn.XLOOKUP(tbl_analysis_tickets[[#This Row],[priority]],tbl_sla[priority],tbl_sla[First Response SLA Minutes])</f>
        <v>60</v>
      </c>
      <c r="M2210" t="str">
        <f>IF(tbl_analysis_tickets[[#This Row],[resolution_time_hours]]&gt;tbl_analysis_tickets[[#This Row],[Resolution SLA Hours]],"Breached","Within SLA")</f>
        <v>Breached</v>
      </c>
      <c r="N2210" t="str">
        <f>IF(tbl_analysis_tickets[[#This Row],[first_response_minutes]]&gt;tbl_analysis_tickets[[#This Row],[First Response SLA Minutes]],"Breached","Within SLA")</f>
        <v>Breached</v>
      </c>
      <c r="O2210" t="str" cm="1">
        <f t="array" ref="O2210">_xlfn.IFS(
tbl_analysis_tickets[[#This Row],[agent_experience_years]]&lt;=2,"Junior",
tbl_analysis_tickets[[#This Row],[agent_experience_years]]&lt;=5,"Mid-Level",
tbl_analysis_tickets[[#This Row],[agent_experience_years]]&lt;=8,"Senior",
tbl_analysis_tickets[[#This Row],[agent_experience_years]]&gt;8,"Expert"
)</f>
        <v>Mid-Level</v>
      </c>
      <c r="P2210" cm="1">
        <f t="array" ref="P2210">_xlfn.SWITCH(tbl_analysis_tickets[[#This Row],[customer_satisfaction]],
"Low",1,
"Medium",2,
"High",3
)</f>
        <v>1</v>
      </c>
      <c r="Q2210">
        <f>IF(tbl_analysis_tickets[[#This Row],[reopened]]="Yes",1,0)</f>
        <v>1</v>
      </c>
      <c r="R2210" t="str" cm="1">
        <f t="array" ref="R2210">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210" t="str" cm="1">
        <f t="array" ref="S221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210" t="str">
        <f>TEXT(tbl_analysis_tickets[[#This Row],[created_date]],"mmm-yyyy")</f>
        <v>Feb-2024</v>
      </c>
      <c r="U2210" t="str">
        <f>TEXT(tbl_analysis_tickets[[#This Row],[created_date]],"dddd")</f>
        <v>Wednesday</v>
      </c>
      <c r="V2210" cm="1">
        <f t="array" ref="V2210">_xlfn.SWITCH(tbl_analysis_tickets[[#This Row],[priority]],
"Urgent",1,
"High",2,
"Medium",3,
"Low",4
)</f>
        <v>2</v>
      </c>
    </row>
    <row r="2211" spans="1:22" x14ac:dyDescent="0.25">
      <c r="A2211">
        <v>2210</v>
      </c>
      <c r="B2211" s="1">
        <v>45328</v>
      </c>
      <c r="C2211" t="s">
        <v>23</v>
      </c>
      <c r="D2211" t="s">
        <v>15</v>
      </c>
      <c r="E2211">
        <v>24</v>
      </c>
      <c r="F2211">
        <v>52</v>
      </c>
      <c r="G2211">
        <v>4.3</v>
      </c>
      <c r="H2211" t="s">
        <v>12</v>
      </c>
      <c r="I2211" t="s">
        <v>13</v>
      </c>
      <c r="J2211" t="s">
        <v>15</v>
      </c>
      <c r="K2211">
        <f>_xlfn.XLOOKUP(tbl_analysis_tickets[[#This Row],[priority]],tbl_sla[priority],tbl_sla[Resolution SLA Hours])</f>
        <v>48</v>
      </c>
      <c r="L2211">
        <f>_xlfn.XLOOKUP(tbl_analysis_tickets[[#This Row],[priority]],tbl_sla[priority],tbl_sla[First Response SLA Minutes])</f>
        <v>120</v>
      </c>
      <c r="M2211" t="str">
        <f>IF(tbl_analysis_tickets[[#This Row],[resolution_time_hours]]&gt;tbl_analysis_tickets[[#This Row],[Resolution SLA Hours]],"Breached","Within SLA")</f>
        <v>Breached</v>
      </c>
      <c r="N2211" t="str">
        <f>IF(tbl_analysis_tickets[[#This Row],[first_response_minutes]]&gt;tbl_analysis_tickets[[#This Row],[First Response SLA Minutes]],"Breached","Within SLA")</f>
        <v>Within SLA</v>
      </c>
      <c r="O2211" t="str" cm="1">
        <f t="array" ref="O2211">_xlfn.IFS(
tbl_analysis_tickets[[#This Row],[agent_experience_years]]&lt;=2,"Junior",
tbl_analysis_tickets[[#This Row],[agent_experience_years]]&lt;=5,"Mid-Level",
tbl_analysis_tickets[[#This Row],[agent_experience_years]]&lt;=8,"Senior",
tbl_analysis_tickets[[#This Row],[agent_experience_years]]&gt;8,"Expert"
)</f>
        <v>Mid-Level</v>
      </c>
      <c r="P2211" cm="1">
        <f t="array" ref="P2211">_xlfn.SWITCH(tbl_analysis_tickets[[#This Row],[customer_satisfaction]],
"Low",1,
"Medium",2,
"High",3
)</f>
        <v>2</v>
      </c>
      <c r="Q2211">
        <f>IF(tbl_analysis_tickets[[#This Row],[reopened]]="Yes",1,0)</f>
        <v>1</v>
      </c>
      <c r="R2211" t="str" cm="1">
        <f t="array" ref="R2211">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2211" t="str" cm="1">
        <f t="array" ref="S221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211" t="str">
        <f>TEXT(tbl_analysis_tickets[[#This Row],[created_date]],"mmm-yyyy")</f>
        <v>Feb-2024</v>
      </c>
      <c r="U2211" t="str">
        <f>TEXT(tbl_analysis_tickets[[#This Row],[created_date]],"dddd")</f>
        <v>Tuesday</v>
      </c>
      <c r="V2211" cm="1">
        <f t="array" ref="V2211">_xlfn.SWITCH(tbl_analysis_tickets[[#This Row],[priority]],
"Urgent",1,
"High",2,
"Medium",3,
"Low",4
)</f>
        <v>3</v>
      </c>
    </row>
    <row r="2212" spans="1:22" x14ac:dyDescent="0.25">
      <c r="A2212">
        <v>2211</v>
      </c>
      <c r="B2212" s="1">
        <v>45314</v>
      </c>
      <c r="C2212" t="s">
        <v>23</v>
      </c>
      <c r="D2212" t="s">
        <v>11</v>
      </c>
      <c r="E2212">
        <v>160</v>
      </c>
      <c r="F2212">
        <v>19</v>
      </c>
      <c r="G2212">
        <v>7.1</v>
      </c>
      <c r="H2212" t="s">
        <v>18</v>
      </c>
      <c r="I2212" t="s">
        <v>19</v>
      </c>
      <c r="J2212" t="s">
        <v>15</v>
      </c>
      <c r="K2212">
        <f>_xlfn.XLOOKUP(tbl_analysis_tickets[[#This Row],[priority]],tbl_sla[priority],tbl_sla[Resolution SLA Hours])</f>
        <v>72</v>
      </c>
      <c r="L2212">
        <f>_xlfn.XLOOKUP(tbl_analysis_tickets[[#This Row],[priority]],tbl_sla[priority],tbl_sla[First Response SLA Minutes])</f>
        <v>240</v>
      </c>
      <c r="M2212" t="str">
        <f>IF(tbl_analysis_tickets[[#This Row],[resolution_time_hours]]&gt;tbl_analysis_tickets[[#This Row],[Resolution SLA Hours]],"Breached","Within SLA")</f>
        <v>Within SLA</v>
      </c>
      <c r="N2212" t="str">
        <f>IF(tbl_analysis_tickets[[#This Row],[first_response_minutes]]&gt;tbl_analysis_tickets[[#This Row],[First Response SLA Minutes]],"Breached","Within SLA")</f>
        <v>Within SLA</v>
      </c>
      <c r="O2212" t="str" cm="1">
        <f t="array" ref="O2212">_xlfn.IFS(
tbl_analysis_tickets[[#This Row],[agent_experience_years]]&lt;=2,"Junior",
tbl_analysis_tickets[[#This Row],[agent_experience_years]]&lt;=5,"Mid-Level",
tbl_analysis_tickets[[#This Row],[agent_experience_years]]&lt;=8,"Senior",
tbl_analysis_tickets[[#This Row],[agent_experience_years]]&gt;8,"Expert"
)</f>
        <v>Senior</v>
      </c>
      <c r="P2212" cm="1">
        <f t="array" ref="P2212">_xlfn.SWITCH(tbl_analysis_tickets[[#This Row],[customer_satisfaction]],
"Low",1,
"Medium",2,
"High",3
)</f>
        <v>2</v>
      </c>
      <c r="Q2212">
        <f>IF(tbl_analysis_tickets[[#This Row],[reopened]]="Yes",1,0)</f>
        <v>0</v>
      </c>
      <c r="R2212" t="str" cm="1">
        <f t="array" ref="R2212">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212" t="str" cm="1">
        <f t="array" ref="S221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212" t="str">
        <f>TEXT(tbl_analysis_tickets[[#This Row],[created_date]],"mmm-yyyy")</f>
        <v>Jan-2024</v>
      </c>
      <c r="U2212" t="str">
        <f>TEXT(tbl_analysis_tickets[[#This Row],[created_date]],"dddd")</f>
        <v>Tuesday</v>
      </c>
      <c r="V2212" cm="1">
        <f t="array" ref="V2212">_xlfn.SWITCH(tbl_analysis_tickets[[#This Row],[priority]],
"Urgent",1,
"High",2,
"Medium",3,
"Low",4
)</f>
        <v>4</v>
      </c>
    </row>
    <row r="2213" spans="1:22" x14ac:dyDescent="0.25">
      <c r="A2213">
        <v>2212</v>
      </c>
      <c r="B2213" s="1">
        <v>45370</v>
      </c>
      <c r="C2213" t="s">
        <v>22</v>
      </c>
      <c r="D2213" t="s">
        <v>11</v>
      </c>
      <c r="E2213">
        <v>156</v>
      </c>
      <c r="F2213">
        <v>9</v>
      </c>
      <c r="G2213">
        <v>5.7</v>
      </c>
      <c r="H2213" t="s">
        <v>18</v>
      </c>
      <c r="I2213" t="s">
        <v>16</v>
      </c>
      <c r="J2213" t="s">
        <v>15</v>
      </c>
      <c r="K2213">
        <f>_xlfn.XLOOKUP(tbl_analysis_tickets[[#This Row],[priority]],tbl_sla[priority],tbl_sla[Resolution SLA Hours])</f>
        <v>72</v>
      </c>
      <c r="L2213">
        <f>_xlfn.XLOOKUP(tbl_analysis_tickets[[#This Row],[priority]],tbl_sla[priority],tbl_sla[First Response SLA Minutes])</f>
        <v>240</v>
      </c>
      <c r="M2213" t="str">
        <f>IF(tbl_analysis_tickets[[#This Row],[resolution_time_hours]]&gt;tbl_analysis_tickets[[#This Row],[Resolution SLA Hours]],"Breached","Within SLA")</f>
        <v>Within SLA</v>
      </c>
      <c r="N2213" t="str">
        <f>IF(tbl_analysis_tickets[[#This Row],[first_response_minutes]]&gt;tbl_analysis_tickets[[#This Row],[First Response SLA Minutes]],"Breached","Within SLA")</f>
        <v>Within SLA</v>
      </c>
      <c r="O2213" t="str" cm="1">
        <f t="array" ref="O2213">_xlfn.IFS(
tbl_analysis_tickets[[#This Row],[agent_experience_years]]&lt;=2,"Junior",
tbl_analysis_tickets[[#This Row],[agent_experience_years]]&lt;=5,"Mid-Level",
tbl_analysis_tickets[[#This Row],[agent_experience_years]]&lt;=8,"Senior",
tbl_analysis_tickets[[#This Row],[agent_experience_years]]&gt;8,"Expert"
)</f>
        <v>Senior</v>
      </c>
      <c r="P2213" cm="1">
        <f t="array" ref="P2213">_xlfn.SWITCH(tbl_analysis_tickets[[#This Row],[customer_satisfaction]],
"Low",1,
"Medium",2,
"High",3
)</f>
        <v>2</v>
      </c>
      <c r="Q2213">
        <f>IF(tbl_analysis_tickets[[#This Row],[reopened]]="Yes",1,0)</f>
        <v>0</v>
      </c>
      <c r="R2213" t="str" cm="1">
        <f t="array" ref="R2213">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213" t="str" cm="1">
        <f t="array" ref="S221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213" t="str">
        <f>TEXT(tbl_analysis_tickets[[#This Row],[created_date]],"mmm-yyyy")</f>
        <v>Mar-2024</v>
      </c>
      <c r="U2213" t="str">
        <f>TEXT(tbl_analysis_tickets[[#This Row],[created_date]],"dddd")</f>
        <v>Tuesday</v>
      </c>
      <c r="V2213" cm="1">
        <f t="array" ref="V2213">_xlfn.SWITCH(tbl_analysis_tickets[[#This Row],[priority]],
"Urgent",1,
"High",2,
"Medium",3,
"Low",4
)</f>
        <v>4</v>
      </c>
    </row>
    <row r="2214" spans="1:22" x14ac:dyDescent="0.25">
      <c r="A2214">
        <v>2213</v>
      </c>
      <c r="B2214" s="1">
        <v>45571</v>
      </c>
      <c r="C2214" t="s">
        <v>22</v>
      </c>
      <c r="D2214" t="s">
        <v>17</v>
      </c>
      <c r="E2214">
        <v>181</v>
      </c>
      <c r="F2214">
        <v>63</v>
      </c>
      <c r="G2214">
        <v>2.4</v>
      </c>
      <c r="H2214" t="s">
        <v>12</v>
      </c>
      <c r="I2214" t="s">
        <v>16</v>
      </c>
      <c r="J2214" t="s">
        <v>11</v>
      </c>
      <c r="K2214">
        <f>_xlfn.XLOOKUP(tbl_analysis_tickets[[#This Row],[priority]],tbl_sla[priority],tbl_sla[Resolution SLA Hours])</f>
        <v>8</v>
      </c>
      <c r="L2214">
        <f>_xlfn.XLOOKUP(tbl_analysis_tickets[[#This Row],[priority]],tbl_sla[priority],tbl_sla[First Response SLA Minutes])</f>
        <v>30</v>
      </c>
      <c r="M2214" t="str">
        <f>IF(tbl_analysis_tickets[[#This Row],[resolution_time_hours]]&gt;tbl_analysis_tickets[[#This Row],[Resolution SLA Hours]],"Breached","Within SLA")</f>
        <v>Breached</v>
      </c>
      <c r="N2214" t="str">
        <f>IF(tbl_analysis_tickets[[#This Row],[first_response_minutes]]&gt;tbl_analysis_tickets[[#This Row],[First Response SLA Minutes]],"Breached","Within SLA")</f>
        <v>Breached</v>
      </c>
      <c r="O2214" t="str" cm="1">
        <f t="array" ref="O2214">_xlfn.IFS(
tbl_analysis_tickets[[#This Row],[agent_experience_years]]&lt;=2,"Junior",
tbl_analysis_tickets[[#This Row],[agent_experience_years]]&lt;=5,"Mid-Level",
tbl_analysis_tickets[[#This Row],[agent_experience_years]]&lt;=8,"Senior",
tbl_analysis_tickets[[#This Row],[agent_experience_years]]&gt;8,"Expert"
)</f>
        <v>Mid-Level</v>
      </c>
      <c r="P2214" cm="1">
        <f t="array" ref="P2214">_xlfn.SWITCH(tbl_analysis_tickets[[#This Row],[customer_satisfaction]],
"Low",1,
"Medium",2,
"High",3
)</f>
        <v>1</v>
      </c>
      <c r="Q2214">
        <f>IF(tbl_analysis_tickets[[#This Row],[reopened]]="Yes",1,0)</f>
        <v>1</v>
      </c>
      <c r="R2214" t="str" cm="1">
        <f t="array" ref="R2214">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214" t="str" cm="1">
        <f t="array" ref="S221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214" t="str">
        <f>TEXT(tbl_analysis_tickets[[#This Row],[created_date]],"mmm-yyyy")</f>
        <v>Oct-2024</v>
      </c>
      <c r="U2214" t="str">
        <f>TEXT(tbl_analysis_tickets[[#This Row],[created_date]],"dddd")</f>
        <v>Sunday</v>
      </c>
      <c r="V2214" cm="1">
        <f t="array" ref="V2214">_xlfn.SWITCH(tbl_analysis_tickets[[#This Row],[priority]],
"Urgent",1,
"High",2,
"Medium",3,
"Low",4
)</f>
        <v>1</v>
      </c>
    </row>
    <row r="2215" spans="1:22" x14ac:dyDescent="0.25">
      <c r="A2215">
        <v>2214</v>
      </c>
      <c r="B2215" s="1">
        <v>45410</v>
      </c>
      <c r="C2215" t="s">
        <v>14</v>
      </c>
      <c r="D2215" t="s">
        <v>17</v>
      </c>
      <c r="E2215">
        <v>57</v>
      </c>
      <c r="F2215">
        <v>72</v>
      </c>
      <c r="G2215">
        <v>5.6</v>
      </c>
      <c r="H2215" t="s">
        <v>18</v>
      </c>
      <c r="I2215" t="s">
        <v>19</v>
      </c>
      <c r="J2215" t="s">
        <v>11</v>
      </c>
      <c r="K2215">
        <f>_xlfn.XLOOKUP(tbl_analysis_tickets[[#This Row],[priority]],tbl_sla[priority],tbl_sla[Resolution SLA Hours])</f>
        <v>8</v>
      </c>
      <c r="L2215">
        <f>_xlfn.XLOOKUP(tbl_analysis_tickets[[#This Row],[priority]],tbl_sla[priority],tbl_sla[First Response SLA Minutes])</f>
        <v>30</v>
      </c>
      <c r="M2215" t="str">
        <f>IF(tbl_analysis_tickets[[#This Row],[resolution_time_hours]]&gt;tbl_analysis_tickets[[#This Row],[Resolution SLA Hours]],"Breached","Within SLA")</f>
        <v>Breached</v>
      </c>
      <c r="N2215" t="str">
        <f>IF(tbl_analysis_tickets[[#This Row],[first_response_minutes]]&gt;tbl_analysis_tickets[[#This Row],[First Response SLA Minutes]],"Breached","Within SLA")</f>
        <v>Breached</v>
      </c>
      <c r="O2215" t="str" cm="1">
        <f t="array" ref="O2215">_xlfn.IFS(
tbl_analysis_tickets[[#This Row],[agent_experience_years]]&lt;=2,"Junior",
tbl_analysis_tickets[[#This Row],[agent_experience_years]]&lt;=5,"Mid-Level",
tbl_analysis_tickets[[#This Row],[agent_experience_years]]&lt;=8,"Senior",
tbl_analysis_tickets[[#This Row],[agent_experience_years]]&gt;8,"Expert"
)</f>
        <v>Senior</v>
      </c>
      <c r="P2215" cm="1">
        <f t="array" ref="P2215">_xlfn.SWITCH(tbl_analysis_tickets[[#This Row],[customer_satisfaction]],
"Low",1,
"Medium",2,
"High",3
)</f>
        <v>1</v>
      </c>
      <c r="Q2215">
        <f>IF(tbl_analysis_tickets[[#This Row],[reopened]]="Yes",1,0)</f>
        <v>0</v>
      </c>
      <c r="R2215" t="str" cm="1">
        <f t="array" ref="R2215">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215" t="str" cm="1">
        <f t="array" ref="S221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215" t="str">
        <f>TEXT(tbl_analysis_tickets[[#This Row],[created_date]],"mmm-yyyy")</f>
        <v>Apr-2024</v>
      </c>
      <c r="U2215" t="str">
        <f>TEXT(tbl_analysis_tickets[[#This Row],[created_date]],"dddd")</f>
        <v>Sunday</v>
      </c>
      <c r="V2215" cm="1">
        <f t="array" ref="V2215">_xlfn.SWITCH(tbl_analysis_tickets[[#This Row],[priority]],
"Urgent",1,
"High",2,
"Medium",3,
"Low",4
)</f>
        <v>1</v>
      </c>
    </row>
    <row r="2216" spans="1:22" x14ac:dyDescent="0.25">
      <c r="A2216">
        <v>2215</v>
      </c>
      <c r="B2216" s="1">
        <v>45370</v>
      </c>
      <c r="C2216" t="s">
        <v>23</v>
      </c>
      <c r="D2216" t="s">
        <v>11</v>
      </c>
      <c r="E2216">
        <v>238</v>
      </c>
      <c r="F2216">
        <v>42</v>
      </c>
      <c r="G2216">
        <v>2</v>
      </c>
      <c r="H2216" t="s">
        <v>18</v>
      </c>
      <c r="I2216" t="s">
        <v>16</v>
      </c>
      <c r="J2216" t="s">
        <v>11</v>
      </c>
      <c r="K2216">
        <f>_xlfn.XLOOKUP(tbl_analysis_tickets[[#This Row],[priority]],tbl_sla[priority],tbl_sla[Resolution SLA Hours])</f>
        <v>72</v>
      </c>
      <c r="L2216">
        <f>_xlfn.XLOOKUP(tbl_analysis_tickets[[#This Row],[priority]],tbl_sla[priority],tbl_sla[First Response SLA Minutes])</f>
        <v>240</v>
      </c>
      <c r="M2216" t="str">
        <f>IF(tbl_analysis_tickets[[#This Row],[resolution_time_hours]]&gt;tbl_analysis_tickets[[#This Row],[Resolution SLA Hours]],"Breached","Within SLA")</f>
        <v>Within SLA</v>
      </c>
      <c r="N2216" t="str">
        <f>IF(tbl_analysis_tickets[[#This Row],[first_response_minutes]]&gt;tbl_analysis_tickets[[#This Row],[First Response SLA Minutes]],"Breached","Within SLA")</f>
        <v>Within SLA</v>
      </c>
      <c r="O2216" t="str" cm="1">
        <f t="array" ref="O2216">_xlfn.IFS(
tbl_analysis_tickets[[#This Row],[agent_experience_years]]&lt;=2,"Junior",
tbl_analysis_tickets[[#This Row],[agent_experience_years]]&lt;=5,"Mid-Level",
tbl_analysis_tickets[[#This Row],[agent_experience_years]]&lt;=8,"Senior",
tbl_analysis_tickets[[#This Row],[agent_experience_years]]&gt;8,"Expert"
)</f>
        <v>Junior</v>
      </c>
      <c r="P2216" cm="1">
        <f t="array" ref="P2216">_xlfn.SWITCH(tbl_analysis_tickets[[#This Row],[customer_satisfaction]],
"Low",1,
"Medium",2,
"High",3
)</f>
        <v>1</v>
      </c>
      <c r="Q2216">
        <f>IF(tbl_analysis_tickets[[#This Row],[reopened]]="Yes",1,0)</f>
        <v>0</v>
      </c>
      <c r="R2216" t="str" cm="1">
        <f t="array" ref="R2216">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216" t="str" cm="1">
        <f t="array" ref="S221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216" t="str">
        <f>TEXT(tbl_analysis_tickets[[#This Row],[created_date]],"mmm-yyyy")</f>
        <v>Mar-2024</v>
      </c>
      <c r="U2216" t="str">
        <f>TEXT(tbl_analysis_tickets[[#This Row],[created_date]],"dddd")</f>
        <v>Tuesday</v>
      </c>
      <c r="V2216" cm="1">
        <f t="array" ref="V2216">_xlfn.SWITCH(tbl_analysis_tickets[[#This Row],[priority]],
"Urgent",1,
"High",2,
"Medium",3,
"Low",4
)</f>
        <v>4</v>
      </c>
    </row>
    <row r="2217" spans="1:22" x14ac:dyDescent="0.25">
      <c r="A2217">
        <v>2216</v>
      </c>
      <c r="B2217" s="1">
        <v>45584</v>
      </c>
      <c r="C2217" t="s">
        <v>14</v>
      </c>
      <c r="D2217" t="s">
        <v>20</v>
      </c>
      <c r="E2217">
        <v>55</v>
      </c>
      <c r="F2217">
        <v>51</v>
      </c>
      <c r="G2217">
        <v>7.9</v>
      </c>
      <c r="H2217" t="s">
        <v>18</v>
      </c>
      <c r="I2217" t="s">
        <v>16</v>
      </c>
      <c r="J2217" t="s">
        <v>11</v>
      </c>
      <c r="K2217">
        <f>_xlfn.XLOOKUP(tbl_analysis_tickets[[#This Row],[priority]],tbl_sla[priority],tbl_sla[Resolution SLA Hours])</f>
        <v>24</v>
      </c>
      <c r="L2217">
        <f>_xlfn.XLOOKUP(tbl_analysis_tickets[[#This Row],[priority]],tbl_sla[priority],tbl_sla[First Response SLA Minutes])</f>
        <v>60</v>
      </c>
      <c r="M2217" t="str">
        <f>IF(tbl_analysis_tickets[[#This Row],[resolution_time_hours]]&gt;tbl_analysis_tickets[[#This Row],[Resolution SLA Hours]],"Breached","Within SLA")</f>
        <v>Breached</v>
      </c>
      <c r="N2217" t="str">
        <f>IF(tbl_analysis_tickets[[#This Row],[first_response_minutes]]&gt;tbl_analysis_tickets[[#This Row],[First Response SLA Minutes]],"Breached","Within SLA")</f>
        <v>Within SLA</v>
      </c>
      <c r="O2217" t="str" cm="1">
        <f t="array" ref="O2217">_xlfn.IFS(
tbl_analysis_tickets[[#This Row],[agent_experience_years]]&lt;=2,"Junior",
tbl_analysis_tickets[[#This Row],[agent_experience_years]]&lt;=5,"Mid-Level",
tbl_analysis_tickets[[#This Row],[agent_experience_years]]&lt;=8,"Senior",
tbl_analysis_tickets[[#This Row],[agent_experience_years]]&gt;8,"Expert"
)</f>
        <v>Senior</v>
      </c>
      <c r="P2217" cm="1">
        <f t="array" ref="P2217">_xlfn.SWITCH(tbl_analysis_tickets[[#This Row],[customer_satisfaction]],
"Low",1,
"Medium",2,
"High",3
)</f>
        <v>1</v>
      </c>
      <c r="Q2217">
        <f>IF(tbl_analysis_tickets[[#This Row],[reopened]]="Yes",1,0)</f>
        <v>0</v>
      </c>
      <c r="R2217" t="str" cm="1">
        <f t="array" ref="R2217">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217" t="str" cm="1">
        <f t="array" ref="S221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217" t="str">
        <f>TEXT(tbl_analysis_tickets[[#This Row],[created_date]],"mmm-yyyy")</f>
        <v>Oct-2024</v>
      </c>
      <c r="U2217" t="str">
        <f>TEXT(tbl_analysis_tickets[[#This Row],[created_date]],"dddd")</f>
        <v>Saturday</v>
      </c>
      <c r="V2217" cm="1">
        <f t="array" ref="V2217">_xlfn.SWITCH(tbl_analysis_tickets[[#This Row],[priority]],
"Urgent",1,
"High",2,
"Medium",3,
"Low",4
)</f>
        <v>2</v>
      </c>
    </row>
    <row r="2218" spans="1:22" x14ac:dyDescent="0.25">
      <c r="A2218">
        <v>2217</v>
      </c>
      <c r="B2218" s="1">
        <v>45444</v>
      </c>
      <c r="C2218" t="s">
        <v>21</v>
      </c>
      <c r="D2218" t="s">
        <v>20</v>
      </c>
      <c r="E2218">
        <v>57</v>
      </c>
      <c r="F2218">
        <v>43</v>
      </c>
      <c r="G2218">
        <v>1.9</v>
      </c>
      <c r="H2218" t="s">
        <v>18</v>
      </c>
      <c r="I2218" t="s">
        <v>16</v>
      </c>
      <c r="J2218" t="s">
        <v>11</v>
      </c>
      <c r="K2218">
        <f>_xlfn.XLOOKUP(tbl_analysis_tickets[[#This Row],[priority]],tbl_sla[priority],tbl_sla[Resolution SLA Hours])</f>
        <v>24</v>
      </c>
      <c r="L2218">
        <f>_xlfn.XLOOKUP(tbl_analysis_tickets[[#This Row],[priority]],tbl_sla[priority],tbl_sla[First Response SLA Minutes])</f>
        <v>60</v>
      </c>
      <c r="M2218" t="str">
        <f>IF(tbl_analysis_tickets[[#This Row],[resolution_time_hours]]&gt;tbl_analysis_tickets[[#This Row],[Resolution SLA Hours]],"Breached","Within SLA")</f>
        <v>Breached</v>
      </c>
      <c r="N2218" t="str">
        <f>IF(tbl_analysis_tickets[[#This Row],[first_response_minutes]]&gt;tbl_analysis_tickets[[#This Row],[First Response SLA Minutes]],"Breached","Within SLA")</f>
        <v>Within SLA</v>
      </c>
      <c r="O2218" t="str" cm="1">
        <f t="array" ref="O2218">_xlfn.IFS(
tbl_analysis_tickets[[#This Row],[agent_experience_years]]&lt;=2,"Junior",
tbl_analysis_tickets[[#This Row],[agent_experience_years]]&lt;=5,"Mid-Level",
tbl_analysis_tickets[[#This Row],[agent_experience_years]]&lt;=8,"Senior",
tbl_analysis_tickets[[#This Row],[agent_experience_years]]&gt;8,"Expert"
)</f>
        <v>Junior</v>
      </c>
      <c r="P2218" cm="1">
        <f t="array" ref="P2218">_xlfn.SWITCH(tbl_analysis_tickets[[#This Row],[customer_satisfaction]],
"Low",1,
"Medium",2,
"High",3
)</f>
        <v>1</v>
      </c>
      <c r="Q2218">
        <f>IF(tbl_analysis_tickets[[#This Row],[reopened]]="Yes",1,0)</f>
        <v>0</v>
      </c>
      <c r="R2218" t="str" cm="1">
        <f t="array" ref="R2218">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218" t="str" cm="1">
        <f t="array" ref="S221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218" t="str">
        <f>TEXT(tbl_analysis_tickets[[#This Row],[created_date]],"mmm-yyyy")</f>
        <v>Jun-2024</v>
      </c>
      <c r="U2218" t="str">
        <f>TEXT(tbl_analysis_tickets[[#This Row],[created_date]],"dddd")</f>
        <v>Saturday</v>
      </c>
      <c r="V2218" cm="1">
        <f t="array" ref="V2218">_xlfn.SWITCH(tbl_analysis_tickets[[#This Row],[priority]],
"Urgent",1,
"High",2,
"Medium",3,
"Low",4
)</f>
        <v>2</v>
      </c>
    </row>
    <row r="2219" spans="1:22" x14ac:dyDescent="0.25">
      <c r="A2219">
        <v>2218</v>
      </c>
      <c r="B2219" s="1">
        <v>45345</v>
      </c>
      <c r="C2219" t="s">
        <v>21</v>
      </c>
      <c r="D2219" t="s">
        <v>11</v>
      </c>
      <c r="E2219">
        <v>163</v>
      </c>
      <c r="F2219">
        <v>57</v>
      </c>
      <c r="G2219">
        <v>1</v>
      </c>
      <c r="H2219" t="s">
        <v>18</v>
      </c>
      <c r="I2219" t="s">
        <v>19</v>
      </c>
      <c r="J2219" t="s">
        <v>11</v>
      </c>
      <c r="K2219">
        <f>_xlfn.XLOOKUP(tbl_analysis_tickets[[#This Row],[priority]],tbl_sla[priority],tbl_sla[Resolution SLA Hours])</f>
        <v>72</v>
      </c>
      <c r="L2219">
        <f>_xlfn.XLOOKUP(tbl_analysis_tickets[[#This Row],[priority]],tbl_sla[priority],tbl_sla[First Response SLA Minutes])</f>
        <v>240</v>
      </c>
      <c r="M2219" t="str">
        <f>IF(tbl_analysis_tickets[[#This Row],[resolution_time_hours]]&gt;tbl_analysis_tickets[[#This Row],[Resolution SLA Hours]],"Breached","Within SLA")</f>
        <v>Within SLA</v>
      </c>
      <c r="N2219" t="str">
        <f>IF(tbl_analysis_tickets[[#This Row],[first_response_minutes]]&gt;tbl_analysis_tickets[[#This Row],[First Response SLA Minutes]],"Breached","Within SLA")</f>
        <v>Within SLA</v>
      </c>
      <c r="O2219" t="str" cm="1">
        <f t="array" ref="O2219">_xlfn.IFS(
tbl_analysis_tickets[[#This Row],[agent_experience_years]]&lt;=2,"Junior",
tbl_analysis_tickets[[#This Row],[agent_experience_years]]&lt;=5,"Mid-Level",
tbl_analysis_tickets[[#This Row],[agent_experience_years]]&lt;=8,"Senior",
tbl_analysis_tickets[[#This Row],[agent_experience_years]]&gt;8,"Expert"
)</f>
        <v>Junior</v>
      </c>
      <c r="P2219" cm="1">
        <f t="array" ref="P2219">_xlfn.SWITCH(tbl_analysis_tickets[[#This Row],[customer_satisfaction]],
"Low",1,
"Medium",2,
"High",3
)</f>
        <v>1</v>
      </c>
      <c r="Q2219">
        <f>IF(tbl_analysis_tickets[[#This Row],[reopened]]="Yes",1,0)</f>
        <v>0</v>
      </c>
      <c r="R2219" t="str" cm="1">
        <f t="array" ref="R2219">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219" t="str" cm="1">
        <f t="array" ref="S221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219" t="str">
        <f>TEXT(tbl_analysis_tickets[[#This Row],[created_date]],"mmm-yyyy")</f>
        <v>Feb-2024</v>
      </c>
      <c r="U2219" t="str">
        <f>TEXT(tbl_analysis_tickets[[#This Row],[created_date]],"dddd")</f>
        <v>Friday</v>
      </c>
      <c r="V2219" cm="1">
        <f t="array" ref="V2219">_xlfn.SWITCH(tbl_analysis_tickets[[#This Row],[priority]],
"Urgent",1,
"High",2,
"Medium",3,
"Low",4
)</f>
        <v>4</v>
      </c>
    </row>
    <row r="2220" spans="1:22" x14ac:dyDescent="0.25">
      <c r="A2220">
        <v>2219</v>
      </c>
      <c r="B2220" s="1">
        <v>45363</v>
      </c>
      <c r="C2220" t="s">
        <v>22</v>
      </c>
      <c r="D2220" t="s">
        <v>20</v>
      </c>
      <c r="E2220">
        <v>221</v>
      </c>
      <c r="F2220">
        <v>33</v>
      </c>
      <c r="G2220">
        <v>3</v>
      </c>
      <c r="H2220" t="s">
        <v>12</v>
      </c>
      <c r="I2220" t="s">
        <v>16</v>
      </c>
      <c r="J2220" t="s">
        <v>11</v>
      </c>
      <c r="K2220">
        <f>_xlfn.XLOOKUP(tbl_analysis_tickets[[#This Row],[priority]],tbl_sla[priority],tbl_sla[Resolution SLA Hours])</f>
        <v>24</v>
      </c>
      <c r="L2220">
        <f>_xlfn.XLOOKUP(tbl_analysis_tickets[[#This Row],[priority]],tbl_sla[priority],tbl_sla[First Response SLA Minutes])</f>
        <v>60</v>
      </c>
      <c r="M2220" t="str">
        <f>IF(tbl_analysis_tickets[[#This Row],[resolution_time_hours]]&gt;tbl_analysis_tickets[[#This Row],[Resolution SLA Hours]],"Breached","Within SLA")</f>
        <v>Breached</v>
      </c>
      <c r="N2220" t="str">
        <f>IF(tbl_analysis_tickets[[#This Row],[first_response_minutes]]&gt;tbl_analysis_tickets[[#This Row],[First Response SLA Minutes]],"Breached","Within SLA")</f>
        <v>Breached</v>
      </c>
      <c r="O2220" t="str" cm="1">
        <f t="array" ref="O2220">_xlfn.IFS(
tbl_analysis_tickets[[#This Row],[agent_experience_years]]&lt;=2,"Junior",
tbl_analysis_tickets[[#This Row],[agent_experience_years]]&lt;=5,"Mid-Level",
tbl_analysis_tickets[[#This Row],[agent_experience_years]]&lt;=8,"Senior",
tbl_analysis_tickets[[#This Row],[agent_experience_years]]&gt;8,"Expert"
)</f>
        <v>Mid-Level</v>
      </c>
      <c r="P2220" cm="1">
        <f t="array" ref="P2220">_xlfn.SWITCH(tbl_analysis_tickets[[#This Row],[customer_satisfaction]],
"Low",1,
"Medium",2,
"High",3
)</f>
        <v>1</v>
      </c>
      <c r="Q2220">
        <f>IF(tbl_analysis_tickets[[#This Row],[reopened]]="Yes",1,0)</f>
        <v>1</v>
      </c>
      <c r="R2220" t="str" cm="1">
        <f t="array" ref="R2220">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220" t="str" cm="1">
        <f t="array" ref="S222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220" t="str">
        <f>TEXT(tbl_analysis_tickets[[#This Row],[created_date]],"mmm-yyyy")</f>
        <v>Mar-2024</v>
      </c>
      <c r="U2220" t="str">
        <f>TEXT(tbl_analysis_tickets[[#This Row],[created_date]],"dddd")</f>
        <v>Tuesday</v>
      </c>
      <c r="V2220" cm="1">
        <f t="array" ref="V2220">_xlfn.SWITCH(tbl_analysis_tickets[[#This Row],[priority]],
"Urgent",1,
"High",2,
"Medium",3,
"Low",4
)</f>
        <v>2</v>
      </c>
    </row>
    <row r="2221" spans="1:22" x14ac:dyDescent="0.25">
      <c r="A2221">
        <v>2220</v>
      </c>
      <c r="B2221" s="1">
        <v>45294</v>
      </c>
      <c r="C2221" t="s">
        <v>22</v>
      </c>
      <c r="D2221" t="s">
        <v>20</v>
      </c>
      <c r="E2221">
        <v>53</v>
      </c>
      <c r="F2221">
        <v>63</v>
      </c>
      <c r="G2221">
        <v>0.6</v>
      </c>
      <c r="H2221" t="s">
        <v>12</v>
      </c>
      <c r="I2221" t="s">
        <v>13</v>
      </c>
      <c r="J2221" t="s">
        <v>11</v>
      </c>
      <c r="K2221">
        <f>_xlfn.XLOOKUP(tbl_analysis_tickets[[#This Row],[priority]],tbl_sla[priority],tbl_sla[Resolution SLA Hours])</f>
        <v>24</v>
      </c>
      <c r="L2221">
        <f>_xlfn.XLOOKUP(tbl_analysis_tickets[[#This Row],[priority]],tbl_sla[priority],tbl_sla[First Response SLA Minutes])</f>
        <v>60</v>
      </c>
      <c r="M2221" t="str">
        <f>IF(tbl_analysis_tickets[[#This Row],[resolution_time_hours]]&gt;tbl_analysis_tickets[[#This Row],[Resolution SLA Hours]],"Breached","Within SLA")</f>
        <v>Breached</v>
      </c>
      <c r="N2221" t="str">
        <f>IF(tbl_analysis_tickets[[#This Row],[first_response_minutes]]&gt;tbl_analysis_tickets[[#This Row],[First Response SLA Minutes]],"Breached","Within SLA")</f>
        <v>Within SLA</v>
      </c>
      <c r="O2221" t="str" cm="1">
        <f t="array" ref="O2221">_xlfn.IFS(
tbl_analysis_tickets[[#This Row],[agent_experience_years]]&lt;=2,"Junior",
tbl_analysis_tickets[[#This Row],[agent_experience_years]]&lt;=5,"Mid-Level",
tbl_analysis_tickets[[#This Row],[agent_experience_years]]&lt;=8,"Senior",
tbl_analysis_tickets[[#This Row],[agent_experience_years]]&gt;8,"Expert"
)</f>
        <v>Junior</v>
      </c>
      <c r="P2221" cm="1">
        <f t="array" ref="P2221">_xlfn.SWITCH(tbl_analysis_tickets[[#This Row],[customer_satisfaction]],
"Low",1,
"Medium",2,
"High",3
)</f>
        <v>1</v>
      </c>
      <c r="Q2221">
        <f>IF(tbl_analysis_tickets[[#This Row],[reopened]]="Yes",1,0)</f>
        <v>1</v>
      </c>
      <c r="R2221" t="str" cm="1">
        <f t="array" ref="R2221">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221" t="str" cm="1">
        <f t="array" ref="S222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221" t="str">
        <f>TEXT(tbl_analysis_tickets[[#This Row],[created_date]],"mmm-yyyy")</f>
        <v>Jan-2024</v>
      </c>
      <c r="U2221" t="str">
        <f>TEXT(tbl_analysis_tickets[[#This Row],[created_date]],"dddd")</f>
        <v>Wednesday</v>
      </c>
      <c r="V2221" cm="1">
        <f t="array" ref="V2221">_xlfn.SWITCH(tbl_analysis_tickets[[#This Row],[priority]],
"Urgent",1,
"High",2,
"Medium",3,
"Low",4
)</f>
        <v>2</v>
      </c>
    </row>
    <row r="2222" spans="1:22" x14ac:dyDescent="0.25">
      <c r="A2222">
        <v>2221</v>
      </c>
      <c r="B2222" s="1">
        <v>45411</v>
      </c>
      <c r="C2222" t="s">
        <v>21</v>
      </c>
      <c r="D2222" t="s">
        <v>17</v>
      </c>
      <c r="E2222">
        <v>53</v>
      </c>
      <c r="F2222">
        <v>4</v>
      </c>
      <c r="G2222">
        <v>0.8</v>
      </c>
      <c r="H2222" t="s">
        <v>18</v>
      </c>
      <c r="I2222" t="s">
        <v>16</v>
      </c>
      <c r="J2222" t="s">
        <v>15</v>
      </c>
      <c r="K2222">
        <f>_xlfn.XLOOKUP(tbl_analysis_tickets[[#This Row],[priority]],tbl_sla[priority],tbl_sla[Resolution SLA Hours])</f>
        <v>8</v>
      </c>
      <c r="L2222">
        <f>_xlfn.XLOOKUP(tbl_analysis_tickets[[#This Row],[priority]],tbl_sla[priority],tbl_sla[First Response SLA Minutes])</f>
        <v>30</v>
      </c>
      <c r="M2222" t="str">
        <f>IF(tbl_analysis_tickets[[#This Row],[resolution_time_hours]]&gt;tbl_analysis_tickets[[#This Row],[Resolution SLA Hours]],"Breached","Within SLA")</f>
        <v>Within SLA</v>
      </c>
      <c r="N2222" t="str">
        <f>IF(tbl_analysis_tickets[[#This Row],[first_response_minutes]]&gt;tbl_analysis_tickets[[#This Row],[First Response SLA Minutes]],"Breached","Within SLA")</f>
        <v>Breached</v>
      </c>
      <c r="O2222" t="str" cm="1">
        <f t="array" ref="O2222">_xlfn.IFS(
tbl_analysis_tickets[[#This Row],[agent_experience_years]]&lt;=2,"Junior",
tbl_analysis_tickets[[#This Row],[agent_experience_years]]&lt;=5,"Mid-Level",
tbl_analysis_tickets[[#This Row],[agent_experience_years]]&lt;=8,"Senior",
tbl_analysis_tickets[[#This Row],[agent_experience_years]]&gt;8,"Expert"
)</f>
        <v>Junior</v>
      </c>
      <c r="P2222" cm="1">
        <f t="array" ref="P2222">_xlfn.SWITCH(tbl_analysis_tickets[[#This Row],[customer_satisfaction]],
"Low",1,
"Medium",2,
"High",3
)</f>
        <v>2</v>
      </c>
      <c r="Q2222">
        <f>IF(tbl_analysis_tickets[[#This Row],[reopened]]="Yes",1,0)</f>
        <v>0</v>
      </c>
      <c r="R2222" t="str" cm="1">
        <f t="array" ref="R2222">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222" t="str" cm="1">
        <f t="array" ref="S222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2222" t="str">
        <f>TEXT(tbl_analysis_tickets[[#This Row],[created_date]],"mmm-yyyy")</f>
        <v>Apr-2024</v>
      </c>
      <c r="U2222" t="str">
        <f>TEXT(tbl_analysis_tickets[[#This Row],[created_date]],"dddd")</f>
        <v>Monday</v>
      </c>
      <c r="V2222" cm="1">
        <f t="array" ref="V2222">_xlfn.SWITCH(tbl_analysis_tickets[[#This Row],[priority]],
"Urgent",1,
"High",2,
"Medium",3,
"Low",4
)</f>
        <v>1</v>
      </c>
    </row>
    <row r="2223" spans="1:22" x14ac:dyDescent="0.25">
      <c r="A2223">
        <v>2222</v>
      </c>
      <c r="B2223" s="1">
        <v>45635</v>
      </c>
      <c r="C2223" t="s">
        <v>23</v>
      </c>
      <c r="D2223" t="s">
        <v>20</v>
      </c>
      <c r="E2223">
        <v>39</v>
      </c>
      <c r="F2223">
        <v>22</v>
      </c>
      <c r="G2223">
        <v>7.3</v>
      </c>
      <c r="H2223" t="s">
        <v>18</v>
      </c>
      <c r="I2223" t="s">
        <v>13</v>
      </c>
      <c r="J2223" t="s">
        <v>11</v>
      </c>
      <c r="K2223">
        <f>_xlfn.XLOOKUP(tbl_analysis_tickets[[#This Row],[priority]],tbl_sla[priority],tbl_sla[Resolution SLA Hours])</f>
        <v>24</v>
      </c>
      <c r="L2223">
        <f>_xlfn.XLOOKUP(tbl_analysis_tickets[[#This Row],[priority]],tbl_sla[priority],tbl_sla[First Response SLA Minutes])</f>
        <v>60</v>
      </c>
      <c r="M2223" t="str">
        <f>IF(tbl_analysis_tickets[[#This Row],[resolution_time_hours]]&gt;tbl_analysis_tickets[[#This Row],[Resolution SLA Hours]],"Breached","Within SLA")</f>
        <v>Within SLA</v>
      </c>
      <c r="N2223" t="str">
        <f>IF(tbl_analysis_tickets[[#This Row],[first_response_minutes]]&gt;tbl_analysis_tickets[[#This Row],[First Response SLA Minutes]],"Breached","Within SLA")</f>
        <v>Within SLA</v>
      </c>
      <c r="O2223" t="str" cm="1">
        <f t="array" ref="O2223">_xlfn.IFS(
tbl_analysis_tickets[[#This Row],[agent_experience_years]]&lt;=2,"Junior",
tbl_analysis_tickets[[#This Row],[agent_experience_years]]&lt;=5,"Mid-Level",
tbl_analysis_tickets[[#This Row],[agent_experience_years]]&lt;=8,"Senior",
tbl_analysis_tickets[[#This Row],[agent_experience_years]]&gt;8,"Expert"
)</f>
        <v>Senior</v>
      </c>
      <c r="P2223" cm="1">
        <f t="array" ref="P2223">_xlfn.SWITCH(tbl_analysis_tickets[[#This Row],[customer_satisfaction]],
"Low",1,
"Medium",2,
"High",3
)</f>
        <v>1</v>
      </c>
      <c r="Q2223">
        <f>IF(tbl_analysis_tickets[[#This Row],[reopened]]="Yes",1,0)</f>
        <v>0</v>
      </c>
      <c r="R2223" t="str" cm="1">
        <f t="array" ref="R2223">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223" t="str" cm="1">
        <f t="array" ref="S222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223" t="str">
        <f>TEXT(tbl_analysis_tickets[[#This Row],[created_date]],"mmm-yyyy")</f>
        <v>Dec-2024</v>
      </c>
      <c r="U2223" t="str">
        <f>TEXT(tbl_analysis_tickets[[#This Row],[created_date]],"dddd")</f>
        <v>Monday</v>
      </c>
      <c r="V2223" cm="1">
        <f t="array" ref="V2223">_xlfn.SWITCH(tbl_analysis_tickets[[#This Row],[priority]],
"Urgent",1,
"High",2,
"Medium",3,
"Low",4
)</f>
        <v>2</v>
      </c>
    </row>
    <row r="2224" spans="1:22" x14ac:dyDescent="0.25">
      <c r="A2224">
        <v>2223</v>
      </c>
      <c r="B2224" s="1">
        <v>45422</v>
      </c>
      <c r="C2224" t="s">
        <v>21</v>
      </c>
      <c r="D2224" t="s">
        <v>17</v>
      </c>
      <c r="E2224">
        <v>75</v>
      </c>
      <c r="F2224">
        <v>4</v>
      </c>
      <c r="G2224">
        <v>7.1</v>
      </c>
      <c r="H2224" t="s">
        <v>12</v>
      </c>
      <c r="I2224" t="s">
        <v>16</v>
      </c>
      <c r="J2224" t="s">
        <v>15</v>
      </c>
      <c r="K2224">
        <f>_xlfn.XLOOKUP(tbl_analysis_tickets[[#This Row],[priority]],tbl_sla[priority],tbl_sla[Resolution SLA Hours])</f>
        <v>8</v>
      </c>
      <c r="L2224">
        <f>_xlfn.XLOOKUP(tbl_analysis_tickets[[#This Row],[priority]],tbl_sla[priority],tbl_sla[First Response SLA Minutes])</f>
        <v>30</v>
      </c>
      <c r="M2224" t="str">
        <f>IF(tbl_analysis_tickets[[#This Row],[resolution_time_hours]]&gt;tbl_analysis_tickets[[#This Row],[Resolution SLA Hours]],"Breached","Within SLA")</f>
        <v>Within SLA</v>
      </c>
      <c r="N2224" t="str">
        <f>IF(tbl_analysis_tickets[[#This Row],[first_response_minutes]]&gt;tbl_analysis_tickets[[#This Row],[First Response SLA Minutes]],"Breached","Within SLA")</f>
        <v>Breached</v>
      </c>
      <c r="O2224" t="str" cm="1">
        <f t="array" ref="O2224">_xlfn.IFS(
tbl_analysis_tickets[[#This Row],[agent_experience_years]]&lt;=2,"Junior",
tbl_analysis_tickets[[#This Row],[agent_experience_years]]&lt;=5,"Mid-Level",
tbl_analysis_tickets[[#This Row],[agent_experience_years]]&lt;=8,"Senior",
tbl_analysis_tickets[[#This Row],[agent_experience_years]]&gt;8,"Expert"
)</f>
        <v>Senior</v>
      </c>
      <c r="P2224" cm="1">
        <f t="array" ref="P2224">_xlfn.SWITCH(tbl_analysis_tickets[[#This Row],[customer_satisfaction]],
"Low",1,
"Medium",2,
"High",3
)</f>
        <v>2</v>
      </c>
      <c r="Q2224">
        <f>IF(tbl_analysis_tickets[[#This Row],[reopened]]="Yes",1,0)</f>
        <v>1</v>
      </c>
      <c r="R2224" t="str" cm="1">
        <f t="array" ref="R2224">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224" t="str" cm="1">
        <f t="array" ref="S222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2224" t="str">
        <f>TEXT(tbl_analysis_tickets[[#This Row],[created_date]],"mmm-yyyy")</f>
        <v>May-2024</v>
      </c>
      <c r="U2224" t="str">
        <f>TEXT(tbl_analysis_tickets[[#This Row],[created_date]],"dddd")</f>
        <v>Friday</v>
      </c>
      <c r="V2224" cm="1">
        <f t="array" ref="V2224">_xlfn.SWITCH(tbl_analysis_tickets[[#This Row],[priority]],
"Urgent",1,
"High",2,
"Medium",3,
"Low",4
)</f>
        <v>1</v>
      </c>
    </row>
    <row r="2225" spans="1:22" x14ac:dyDescent="0.25">
      <c r="A2225">
        <v>2224</v>
      </c>
      <c r="B2225" s="1">
        <v>45378</v>
      </c>
      <c r="C2225" t="s">
        <v>10</v>
      </c>
      <c r="D2225" t="s">
        <v>15</v>
      </c>
      <c r="E2225">
        <v>219</v>
      </c>
      <c r="F2225">
        <v>24</v>
      </c>
      <c r="G2225">
        <v>2.8</v>
      </c>
      <c r="H2225" t="s">
        <v>18</v>
      </c>
      <c r="I2225" t="s">
        <v>16</v>
      </c>
      <c r="J2225" t="s">
        <v>11</v>
      </c>
      <c r="K2225">
        <f>_xlfn.XLOOKUP(tbl_analysis_tickets[[#This Row],[priority]],tbl_sla[priority],tbl_sla[Resolution SLA Hours])</f>
        <v>48</v>
      </c>
      <c r="L2225">
        <f>_xlfn.XLOOKUP(tbl_analysis_tickets[[#This Row],[priority]],tbl_sla[priority],tbl_sla[First Response SLA Minutes])</f>
        <v>120</v>
      </c>
      <c r="M2225" t="str">
        <f>IF(tbl_analysis_tickets[[#This Row],[resolution_time_hours]]&gt;tbl_analysis_tickets[[#This Row],[Resolution SLA Hours]],"Breached","Within SLA")</f>
        <v>Within SLA</v>
      </c>
      <c r="N2225" t="str">
        <f>IF(tbl_analysis_tickets[[#This Row],[first_response_minutes]]&gt;tbl_analysis_tickets[[#This Row],[First Response SLA Minutes]],"Breached","Within SLA")</f>
        <v>Breached</v>
      </c>
      <c r="O2225" t="str" cm="1">
        <f t="array" ref="O2225">_xlfn.IFS(
tbl_analysis_tickets[[#This Row],[agent_experience_years]]&lt;=2,"Junior",
tbl_analysis_tickets[[#This Row],[agent_experience_years]]&lt;=5,"Mid-Level",
tbl_analysis_tickets[[#This Row],[agent_experience_years]]&lt;=8,"Senior",
tbl_analysis_tickets[[#This Row],[agent_experience_years]]&gt;8,"Expert"
)</f>
        <v>Mid-Level</v>
      </c>
      <c r="P2225" cm="1">
        <f t="array" ref="P2225">_xlfn.SWITCH(tbl_analysis_tickets[[#This Row],[customer_satisfaction]],
"Low",1,
"Medium",2,
"High",3
)</f>
        <v>1</v>
      </c>
      <c r="Q2225">
        <f>IF(tbl_analysis_tickets[[#This Row],[reopened]]="Yes",1,0)</f>
        <v>0</v>
      </c>
      <c r="R2225" t="str" cm="1">
        <f t="array" ref="R2225">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225" t="str" cm="1">
        <f t="array" ref="S222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225" t="str">
        <f>TEXT(tbl_analysis_tickets[[#This Row],[created_date]],"mmm-yyyy")</f>
        <v>Mar-2024</v>
      </c>
      <c r="U2225" t="str">
        <f>TEXT(tbl_analysis_tickets[[#This Row],[created_date]],"dddd")</f>
        <v>Wednesday</v>
      </c>
      <c r="V2225" cm="1">
        <f t="array" ref="V2225">_xlfn.SWITCH(tbl_analysis_tickets[[#This Row],[priority]],
"Urgent",1,
"High",2,
"Medium",3,
"Low",4
)</f>
        <v>3</v>
      </c>
    </row>
    <row r="2226" spans="1:22" x14ac:dyDescent="0.25">
      <c r="A2226">
        <v>2225</v>
      </c>
      <c r="B2226" s="1">
        <v>45521</v>
      </c>
      <c r="C2226" t="s">
        <v>22</v>
      </c>
      <c r="D2226" t="s">
        <v>20</v>
      </c>
      <c r="E2226">
        <v>136</v>
      </c>
      <c r="F2226">
        <v>64</v>
      </c>
      <c r="G2226">
        <v>5.0999999999999996</v>
      </c>
      <c r="H2226" t="s">
        <v>12</v>
      </c>
      <c r="I2226" t="s">
        <v>19</v>
      </c>
      <c r="J2226" t="s">
        <v>11</v>
      </c>
      <c r="K2226">
        <f>_xlfn.XLOOKUP(tbl_analysis_tickets[[#This Row],[priority]],tbl_sla[priority],tbl_sla[Resolution SLA Hours])</f>
        <v>24</v>
      </c>
      <c r="L2226">
        <f>_xlfn.XLOOKUP(tbl_analysis_tickets[[#This Row],[priority]],tbl_sla[priority],tbl_sla[First Response SLA Minutes])</f>
        <v>60</v>
      </c>
      <c r="M2226" t="str">
        <f>IF(tbl_analysis_tickets[[#This Row],[resolution_time_hours]]&gt;tbl_analysis_tickets[[#This Row],[Resolution SLA Hours]],"Breached","Within SLA")</f>
        <v>Breached</v>
      </c>
      <c r="N2226" t="str">
        <f>IF(tbl_analysis_tickets[[#This Row],[first_response_minutes]]&gt;tbl_analysis_tickets[[#This Row],[First Response SLA Minutes]],"Breached","Within SLA")</f>
        <v>Breached</v>
      </c>
      <c r="O2226" t="str" cm="1">
        <f t="array" ref="O2226">_xlfn.IFS(
tbl_analysis_tickets[[#This Row],[agent_experience_years]]&lt;=2,"Junior",
tbl_analysis_tickets[[#This Row],[agent_experience_years]]&lt;=5,"Mid-Level",
tbl_analysis_tickets[[#This Row],[agent_experience_years]]&lt;=8,"Senior",
tbl_analysis_tickets[[#This Row],[agent_experience_years]]&gt;8,"Expert"
)</f>
        <v>Senior</v>
      </c>
      <c r="P2226" cm="1">
        <f t="array" ref="P2226">_xlfn.SWITCH(tbl_analysis_tickets[[#This Row],[customer_satisfaction]],
"Low",1,
"Medium",2,
"High",3
)</f>
        <v>1</v>
      </c>
      <c r="Q2226">
        <f>IF(tbl_analysis_tickets[[#This Row],[reopened]]="Yes",1,0)</f>
        <v>1</v>
      </c>
      <c r="R2226" t="str" cm="1">
        <f t="array" ref="R2226">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226" t="str" cm="1">
        <f t="array" ref="S222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226" t="str">
        <f>TEXT(tbl_analysis_tickets[[#This Row],[created_date]],"mmm-yyyy")</f>
        <v>Aug-2024</v>
      </c>
      <c r="U2226" t="str">
        <f>TEXT(tbl_analysis_tickets[[#This Row],[created_date]],"dddd")</f>
        <v>Saturday</v>
      </c>
      <c r="V2226" cm="1">
        <f t="array" ref="V2226">_xlfn.SWITCH(tbl_analysis_tickets[[#This Row],[priority]],
"Urgent",1,
"High",2,
"Medium",3,
"Low",4
)</f>
        <v>2</v>
      </c>
    </row>
    <row r="2227" spans="1:22" x14ac:dyDescent="0.25">
      <c r="A2227">
        <v>2226</v>
      </c>
      <c r="B2227" s="1">
        <v>45578</v>
      </c>
      <c r="C2227" t="s">
        <v>21</v>
      </c>
      <c r="D2227" t="s">
        <v>15</v>
      </c>
      <c r="E2227">
        <v>50</v>
      </c>
      <c r="F2227">
        <v>57</v>
      </c>
      <c r="G2227">
        <v>7.2</v>
      </c>
      <c r="H2227" t="s">
        <v>18</v>
      </c>
      <c r="I2227" t="s">
        <v>19</v>
      </c>
      <c r="J2227" t="s">
        <v>15</v>
      </c>
      <c r="K2227">
        <f>_xlfn.XLOOKUP(tbl_analysis_tickets[[#This Row],[priority]],tbl_sla[priority],tbl_sla[Resolution SLA Hours])</f>
        <v>48</v>
      </c>
      <c r="L2227">
        <f>_xlfn.XLOOKUP(tbl_analysis_tickets[[#This Row],[priority]],tbl_sla[priority],tbl_sla[First Response SLA Minutes])</f>
        <v>120</v>
      </c>
      <c r="M2227" t="str">
        <f>IF(tbl_analysis_tickets[[#This Row],[resolution_time_hours]]&gt;tbl_analysis_tickets[[#This Row],[Resolution SLA Hours]],"Breached","Within SLA")</f>
        <v>Breached</v>
      </c>
      <c r="N2227" t="str">
        <f>IF(tbl_analysis_tickets[[#This Row],[first_response_minutes]]&gt;tbl_analysis_tickets[[#This Row],[First Response SLA Minutes]],"Breached","Within SLA")</f>
        <v>Within SLA</v>
      </c>
      <c r="O2227" t="str" cm="1">
        <f t="array" ref="O2227">_xlfn.IFS(
tbl_analysis_tickets[[#This Row],[agent_experience_years]]&lt;=2,"Junior",
tbl_analysis_tickets[[#This Row],[agent_experience_years]]&lt;=5,"Mid-Level",
tbl_analysis_tickets[[#This Row],[agent_experience_years]]&lt;=8,"Senior",
tbl_analysis_tickets[[#This Row],[agent_experience_years]]&gt;8,"Expert"
)</f>
        <v>Senior</v>
      </c>
      <c r="P2227" cm="1">
        <f t="array" ref="P2227">_xlfn.SWITCH(tbl_analysis_tickets[[#This Row],[customer_satisfaction]],
"Low",1,
"Medium",2,
"High",3
)</f>
        <v>2</v>
      </c>
      <c r="Q2227">
        <f>IF(tbl_analysis_tickets[[#This Row],[reopened]]="Yes",1,0)</f>
        <v>0</v>
      </c>
      <c r="R2227" t="str" cm="1">
        <f t="array" ref="R2227">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227" t="str" cm="1">
        <f t="array" ref="S222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227" t="str">
        <f>TEXT(tbl_analysis_tickets[[#This Row],[created_date]],"mmm-yyyy")</f>
        <v>Oct-2024</v>
      </c>
      <c r="U2227" t="str">
        <f>TEXT(tbl_analysis_tickets[[#This Row],[created_date]],"dddd")</f>
        <v>Sunday</v>
      </c>
      <c r="V2227" cm="1">
        <f t="array" ref="V2227">_xlfn.SWITCH(tbl_analysis_tickets[[#This Row],[priority]],
"Urgent",1,
"High",2,
"Medium",3,
"Low",4
)</f>
        <v>3</v>
      </c>
    </row>
    <row r="2228" spans="1:22" x14ac:dyDescent="0.25">
      <c r="A2228">
        <v>2227</v>
      </c>
      <c r="B2228" s="1">
        <v>45630</v>
      </c>
      <c r="C2228" t="s">
        <v>22</v>
      </c>
      <c r="D2228" t="s">
        <v>11</v>
      </c>
      <c r="E2228">
        <v>108</v>
      </c>
      <c r="F2228">
        <v>37</v>
      </c>
      <c r="G2228">
        <v>3.4</v>
      </c>
      <c r="H2228" t="s">
        <v>18</v>
      </c>
      <c r="I2228" t="s">
        <v>16</v>
      </c>
      <c r="J2228" t="s">
        <v>11</v>
      </c>
      <c r="K2228">
        <f>_xlfn.XLOOKUP(tbl_analysis_tickets[[#This Row],[priority]],tbl_sla[priority],tbl_sla[Resolution SLA Hours])</f>
        <v>72</v>
      </c>
      <c r="L2228">
        <f>_xlfn.XLOOKUP(tbl_analysis_tickets[[#This Row],[priority]],tbl_sla[priority],tbl_sla[First Response SLA Minutes])</f>
        <v>240</v>
      </c>
      <c r="M2228" t="str">
        <f>IF(tbl_analysis_tickets[[#This Row],[resolution_time_hours]]&gt;tbl_analysis_tickets[[#This Row],[Resolution SLA Hours]],"Breached","Within SLA")</f>
        <v>Within SLA</v>
      </c>
      <c r="N2228" t="str">
        <f>IF(tbl_analysis_tickets[[#This Row],[first_response_minutes]]&gt;tbl_analysis_tickets[[#This Row],[First Response SLA Minutes]],"Breached","Within SLA")</f>
        <v>Within SLA</v>
      </c>
      <c r="O2228" t="str" cm="1">
        <f t="array" ref="O2228">_xlfn.IFS(
tbl_analysis_tickets[[#This Row],[agent_experience_years]]&lt;=2,"Junior",
tbl_analysis_tickets[[#This Row],[agent_experience_years]]&lt;=5,"Mid-Level",
tbl_analysis_tickets[[#This Row],[agent_experience_years]]&lt;=8,"Senior",
tbl_analysis_tickets[[#This Row],[agent_experience_years]]&gt;8,"Expert"
)</f>
        <v>Mid-Level</v>
      </c>
      <c r="P2228" cm="1">
        <f t="array" ref="P2228">_xlfn.SWITCH(tbl_analysis_tickets[[#This Row],[customer_satisfaction]],
"Low",1,
"Medium",2,
"High",3
)</f>
        <v>1</v>
      </c>
      <c r="Q2228">
        <f>IF(tbl_analysis_tickets[[#This Row],[reopened]]="Yes",1,0)</f>
        <v>0</v>
      </c>
      <c r="R2228" t="str" cm="1">
        <f t="array" ref="R2228">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228" t="str" cm="1">
        <f t="array" ref="S222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228" t="str">
        <f>TEXT(tbl_analysis_tickets[[#This Row],[created_date]],"mmm-yyyy")</f>
        <v>Dec-2024</v>
      </c>
      <c r="U2228" t="str">
        <f>TEXT(tbl_analysis_tickets[[#This Row],[created_date]],"dddd")</f>
        <v>Wednesday</v>
      </c>
      <c r="V2228" cm="1">
        <f t="array" ref="V2228">_xlfn.SWITCH(tbl_analysis_tickets[[#This Row],[priority]],
"Urgent",1,
"High",2,
"Medium",3,
"Low",4
)</f>
        <v>4</v>
      </c>
    </row>
    <row r="2229" spans="1:22" x14ac:dyDescent="0.25">
      <c r="A2229">
        <v>2228</v>
      </c>
      <c r="B2229" s="1">
        <v>45312</v>
      </c>
      <c r="C2229" t="s">
        <v>14</v>
      </c>
      <c r="D2229" t="s">
        <v>20</v>
      </c>
      <c r="E2229">
        <v>117</v>
      </c>
      <c r="F2229">
        <v>59</v>
      </c>
      <c r="G2229">
        <v>8.9</v>
      </c>
      <c r="H2229" t="s">
        <v>18</v>
      </c>
      <c r="I2229" t="s">
        <v>19</v>
      </c>
      <c r="J2229" t="s">
        <v>11</v>
      </c>
      <c r="K2229">
        <f>_xlfn.XLOOKUP(tbl_analysis_tickets[[#This Row],[priority]],tbl_sla[priority],tbl_sla[Resolution SLA Hours])</f>
        <v>24</v>
      </c>
      <c r="L2229">
        <f>_xlfn.XLOOKUP(tbl_analysis_tickets[[#This Row],[priority]],tbl_sla[priority],tbl_sla[First Response SLA Minutes])</f>
        <v>60</v>
      </c>
      <c r="M2229" t="str">
        <f>IF(tbl_analysis_tickets[[#This Row],[resolution_time_hours]]&gt;tbl_analysis_tickets[[#This Row],[Resolution SLA Hours]],"Breached","Within SLA")</f>
        <v>Breached</v>
      </c>
      <c r="N2229" t="str">
        <f>IF(tbl_analysis_tickets[[#This Row],[first_response_minutes]]&gt;tbl_analysis_tickets[[#This Row],[First Response SLA Minutes]],"Breached","Within SLA")</f>
        <v>Breached</v>
      </c>
      <c r="O2229" t="str" cm="1">
        <f t="array" ref="O2229">_xlfn.IFS(
tbl_analysis_tickets[[#This Row],[agent_experience_years]]&lt;=2,"Junior",
tbl_analysis_tickets[[#This Row],[agent_experience_years]]&lt;=5,"Mid-Level",
tbl_analysis_tickets[[#This Row],[agent_experience_years]]&lt;=8,"Senior",
tbl_analysis_tickets[[#This Row],[agent_experience_years]]&gt;8,"Expert"
)</f>
        <v>Expert</v>
      </c>
      <c r="P2229" cm="1">
        <f t="array" ref="P2229">_xlfn.SWITCH(tbl_analysis_tickets[[#This Row],[customer_satisfaction]],
"Low",1,
"Medium",2,
"High",3
)</f>
        <v>1</v>
      </c>
      <c r="Q2229">
        <f>IF(tbl_analysis_tickets[[#This Row],[reopened]]="Yes",1,0)</f>
        <v>0</v>
      </c>
      <c r="R2229" t="str" cm="1">
        <f t="array" ref="R2229">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229" t="str" cm="1">
        <f t="array" ref="S222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229" t="str">
        <f>TEXT(tbl_analysis_tickets[[#This Row],[created_date]],"mmm-yyyy")</f>
        <v>Jan-2024</v>
      </c>
      <c r="U2229" t="str">
        <f>TEXT(tbl_analysis_tickets[[#This Row],[created_date]],"dddd")</f>
        <v>Sunday</v>
      </c>
      <c r="V2229" cm="1">
        <f t="array" ref="V2229">_xlfn.SWITCH(tbl_analysis_tickets[[#This Row],[priority]],
"Urgent",1,
"High",2,
"Medium",3,
"Low",4
)</f>
        <v>2</v>
      </c>
    </row>
    <row r="2230" spans="1:22" x14ac:dyDescent="0.25">
      <c r="A2230">
        <v>2229</v>
      </c>
      <c r="B2230" s="1">
        <v>45471</v>
      </c>
      <c r="C2230" t="s">
        <v>14</v>
      </c>
      <c r="D2230" t="s">
        <v>15</v>
      </c>
      <c r="E2230">
        <v>204</v>
      </c>
      <c r="F2230">
        <v>40</v>
      </c>
      <c r="G2230">
        <v>4.8</v>
      </c>
      <c r="H2230" t="s">
        <v>12</v>
      </c>
      <c r="I2230" t="s">
        <v>16</v>
      </c>
      <c r="J2230" t="s">
        <v>11</v>
      </c>
      <c r="K2230">
        <f>_xlfn.XLOOKUP(tbl_analysis_tickets[[#This Row],[priority]],tbl_sla[priority],tbl_sla[Resolution SLA Hours])</f>
        <v>48</v>
      </c>
      <c r="L2230">
        <f>_xlfn.XLOOKUP(tbl_analysis_tickets[[#This Row],[priority]],tbl_sla[priority],tbl_sla[First Response SLA Minutes])</f>
        <v>120</v>
      </c>
      <c r="M2230" t="str">
        <f>IF(tbl_analysis_tickets[[#This Row],[resolution_time_hours]]&gt;tbl_analysis_tickets[[#This Row],[Resolution SLA Hours]],"Breached","Within SLA")</f>
        <v>Within SLA</v>
      </c>
      <c r="N2230" t="str">
        <f>IF(tbl_analysis_tickets[[#This Row],[first_response_minutes]]&gt;tbl_analysis_tickets[[#This Row],[First Response SLA Minutes]],"Breached","Within SLA")</f>
        <v>Breached</v>
      </c>
      <c r="O2230" t="str" cm="1">
        <f t="array" ref="O2230">_xlfn.IFS(
tbl_analysis_tickets[[#This Row],[agent_experience_years]]&lt;=2,"Junior",
tbl_analysis_tickets[[#This Row],[agent_experience_years]]&lt;=5,"Mid-Level",
tbl_analysis_tickets[[#This Row],[agent_experience_years]]&lt;=8,"Senior",
tbl_analysis_tickets[[#This Row],[agent_experience_years]]&gt;8,"Expert"
)</f>
        <v>Mid-Level</v>
      </c>
      <c r="P2230" cm="1">
        <f t="array" ref="P2230">_xlfn.SWITCH(tbl_analysis_tickets[[#This Row],[customer_satisfaction]],
"Low",1,
"Medium",2,
"High",3
)</f>
        <v>1</v>
      </c>
      <c r="Q2230">
        <f>IF(tbl_analysis_tickets[[#This Row],[reopened]]="Yes",1,0)</f>
        <v>1</v>
      </c>
      <c r="R2230" t="str" cm="1">
        <f t="array" ref="R2230">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230" t="str" cm="1">
        <f t="array" ref="S223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230" t="str">
        <f>TEXT(tbl_analysis_tickets[[#This Row],[created_date]],"mmm-yyyy")</f>
        <v>Jun-2024</v>
      </c>
      <c r="U2230" t="str">
        <f>TEXT(tbl_analysis_tickets[[#This Row],[created_date]],"dddd")</f>
        <v>Friday</v>
      </c>
      <c r="V2230" cm="1">
        <f t="array" ref="V2230">_xlfn.SWITCH(tbl_analysis_tickets[[#This Row],[priority]],
"Urgent",1,
"High",2,
"Medium",3,
"Low",4
)</f>
        <v>3</v>
      </c>
    </row>
    <row r="2231" spans="1:22" x14ac:dyDescent="0.25">
      <c r="A2231">
        <v>2230</v>
      </c>
      <c r="B2231" s="1">
        <v>45376</v>
      </c>
      <c r="C2231" t="s">
        <v>22</v>
      </c>
      <c r="D2231" t="s">
        <v>20</v>
      </c>
      <c r="E2231">
        <v>101</v>
      </c>
      <c r="F2231">
        <v>21</v>
      </c>
      <c r="G2231">
        <v>3.9</v>
      </c>
      <c r="H2231" t="s">
        <v>12</v>
      </c>
      <c r="I2231" t="s">
        <v>13</v>
      </c>
      <c r="J2231" t="s">
        <v>11</v>
      </c>
      <c r="K2231">
        <f>_xlfn.XLOOKUP(tbl_analysis_tickets[[#This Row],[priority]],tbl_sla[priority],tbl_sla[Resolution SLA Hours])</f>
        <v>24</v>
      </c>
      <c r="L2231">
        <f>_xlfn.XLOOKUP(tbl_analysis_tickets[[#This Row],[priority]],tbl_sla[priority],tbl_sla[First Response SLA Minutes])</f>
        <v>60</v>
      </c>
      <c r="M2231" t="str">
        <f>IF(tbl_analysis_tickets[[#This Row],[resolution_time_hours]]&gt;tbl_analysis_tickets[[#This Row],[Resolution SLA Hours]],"Breached","Within SLA")</f>
        <v>Within SLA</v>
      </c>
      <c r="N2231" t="str">
        <f>IF(tbl_analysis_tickets[[#This Row],[first_response_minutes]]&gt;tbl_analysis_tickets[[#This Row],[First Response SLA Minutes]],"Breached","Within SLA")</f>
        <v>Breached</v>
      </c>
      <c r="O2231" t="str" cm="1">
        <f t="array" ref="O2231">_xlfn.IFS(
tbl_analysis_tickets[[#This Row],[agent_experience_years]]&lt;=2,"Junior",
tbl_analysis_tickets[[#This Row],[agent_experience_years]]&lt;=5,"Mid-Level",
tbl_analysis_tickets[[#This Row],[agent_experience_years]]&lt;=8,"Senior",
tbl_analysis_tickets[[#This Row],[agent_experience_years]]&gt;8,"Expert"
)</f>
        <v>Mid-Level</v>
      </c>
      <c r="P2231" cm="1">
        <f t="array" ref="P2231">_xlfn.SWITCH(tbl_analysis_tickets[[#This Row],[customer_satisfaction]],
"Low",1,
"Medium",2,
"High",3
)</f>
        <v>1</v>
      </c>
      <c r="Q2231">
        <f>IF(tbl_analysis_tickets[[#This Row],[reopened]]="Yes",1,0)</f>
        <v>1</v>
      </c>
      <c r="R2231" t="str" cm="1">
        <f t="array" ref="R2231">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231" t="str" cm="1">
        <f t="array" ref="S223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231" t="str">
        <f>TEXT(tbl_analysis_tickets[[#This Row],[created_date]],"mmm-yyyy")</f>
        <v>Mar-2024</v>
      </c>
      <c r="U2231" t="str">
        <f>TEXT(tbl_analysis_tickets[[#This Row],[created_date]],"dddd")</f>
        <v>Monday</v>
      </c>
      <c r="V2231" cm="1">
        <f t="array" ref="V2231">_xlfn.SWITCH(tbl_analysis_tickets[[#This Row],[priority]],
"Urgent",1,
"High",2,
"Medium",3,
"Low",4
)</f>
        <v>2</v>
      </c>
    </row>
    <row r="2232" spans="1:22" x14ac:dyDescent="0.25">
      <c r="A2232">
        <v>2231</v>
      </c>
      <c r="B2232" s="1">
        <v>45506</v>
      </c>
      <c r="C2232" t="s">
        <v>10</v>
      </c>
      <c r="D2232" t="s">
        <v>20</v>
      </c>
      <c r="E2232">
        <v>184</v>
      </c>
      <c r="F2232">
        <v>16</v>
      </c>
      <c r="G2232">
        <v>6.2</v>
      </c>
      <c r="H2232" t="s">
        <v>18</v>
      </c>
      <c r="I2232" t="s">
        <v>16</v>
      </c>
      <c r="J2232" t="s">
        <v>11</v>
      </c>
      <c r="K2232">
        <f>_xlfn.XLOOKUP(tbl_analysis_tickets[[#This Row],[priority]],tbl_sla[priority],tbl_sla[Resolution SLA Hours])</f>
        <v>24</v>
      </c>
      <c r="L2232">
        <f>_xlfn.XLOOKUP(tbl_analysis_tickets[[#This Row],[priority]],tbl_sla[priority],tbl_sla[First Response SLA Minutes])</f>
        <v>60</v>
      </c>
      <c r="M2232" t="str">
        <f>IF(tbl_analysis_tickets[[#This Row],[resolution_time_hours]]&gt;tbl_analysis_tickets[[#This Row],[Resolution SLA Hours]],"Breached","Within SLA")</f>
        <v>Within SLA</v>
      </c>
      <c r="N2232" t="str">
        <f>IF(tbl_analysis_tickets[[#This Row],[first_response_minutes]]&gt;tbl_analysis_tickets[[#This Row],[First Response SLA Minutes]],"Breached","Within SLA")</f>
        <v>Breached</v>
      </c>
      <c r="O2232" t="str" cm="1">
        <f t="array" ref="O2232">_xlfn.IFS(
tbl_analysis_tickets[[#This Row],[agent_experience_years]]&lt;=2,"Junior",
tbl_analysis_tickets[[#This Row],[agent_experience_years]]&lt;=5,"Mid-Level",
tbl_analysis_tickets[[#This Row],[agent_experience_years]]&lt;=8,"Senior",
tbl_analysis_tickets[[#This Row],[agent_experience_years]]&gt;8,"Expert"
)</f>
        <v>Senior</v>
      </c>
      <c r="P2232" cm="1">
        <f t="array" ref="P2232">_xlfn.SWITCH(tbl_analysis_tickets[[#This Row],[customer_satisfaction]],
"Low",1,
"Medium",2,
"High",3
)</f>
        <v>1</v>
      </c>
      <c r="Q2232">
        <f>IF(tbl_analysis_tickets[[#This Row],[reopened]]="Yes",1,0)</f>
        <v>0</v>
      </c>
      <c r="R2232" t="str" cm="1">
        <f t="array" ref="R2232">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232" t="str" cm="1">
        <f t="array" ref="S223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232" t="str">
        <f>TEXT(tbl_analysis_tickets[[#This Row],[created_date]],"mmm-yyyy")</f>
        <v>Aug-2024</v>
      </c>
      <c r="U2232" t="str">
        <f>TEXT(tbl_analysis_tickets[[#This Row],[created_date]],"dddd")</f>
        <v>Friday</v>
      </c>
      <c r="V2232" cm="1">
        <f t="array" ref="V2232">_xlfn.SWITCH(tbl_analysis_tickets[[#This Row],[priority]],
"Urgent",1,
"High",2,
"Medium",3,
"Low",4
)</f>
        <v>2</v>
      </c>
    </row>
    <row r="2233" spans="1:22" x14ac:dyDescent="0.25">
      <c r="A2233">
        <v>2232</v>
      </c>
      <c r="B2233" s="1">
        <v>45322</v>
      </c>
      <c r="C2233" t="s">
        <v>23</v>
      </c>
      <c r="D2233" t="s">
        <v>20</v>
      </c>
      <c r="E2233">
        <v>83</v>
      </c>
      <c r="F2233">
        <v>31</v>
      </c>
      <c r="G2233">
        <v>2.4</v>
      </c>
      <c r="H2233" t="s">
        <v>12</v>
      </c>
      <c r="I2233" t="s">
        <v>16</v>
      </c>
      <c r="J2233" t="s">
        <v>11</v>
      </c>
      <c r="K2233">
        <f>_xlfn.XLOOKUP(tbl_analysis_tickets[[#This Row],[priority]],tbl_sla[priority],tbl_sla[Resolution SLA Hours])</f>
        <v>24</v>
      </c>
      <c r="L2233">
        <f>_xlfn.XLOOKUP(tbl_analysis_tickets[[#This Row],[priority]],tbl_sla[priority],tbl_sla[First Response SLA Minutes])</f>
        <v>60</v>
      </c>
      <c r="M2233" t="str">
        <f>IF(tbl_analysis_tickets[[#This Row],[resolution_time_hours]]&gt;tbl_analysis_tickets[[#This Row],[Resolution SLA Hours]],"Breached","Within SLA")</f>
        <v>Breached</v>
      </c>
      <c r="N2233" t="str">
        <f>IF(tbl_analysis_tickets[[#This Row],[first_response_minutes]]&gt;tbl_analysis_tickets[[#This Row],[First Response SLA Minutes]],"Breached","Within SLA")</f>
        <v>Breached</v>
      </c>
      <c r="O2233" t="str" cm="1">
        <f t="array" ref="O2233">_xlfn.IFS(
tbl_analysis_tickets[[#This Row],[agent_experience_years]]&lt;=2,"Junior",
tbl_analysis_tickets[[#This Row],[agent_experience_years]]&lt;=5,"Mid-Level",
tbl_analysis_tickets[[#This Row],[agent_experience_years]]&lt;=8,"Senior",
tbl_analysis_tickets[[#This Row],[agent_experience_years]]&gt;8,"Expert"
)</f>
        <v>Mid-Level</v>
      </c>
      <c r="P2233" cm="1">
        <f t="array" ref="P2233">_xlfn.SWITCH(tbl_analysis_tickets[[#This Row],[customer_satisfaction]],
"Low",1,
"Medium",2,
"High",3
)</f>
        <v>1</v>
      </c>
      <c r="Q2233">
        <f>IF(tbl_analysis_tickets[[#This Row],[reopened]]="Yes",1,0)</f>
        <v>1</v>
      </c>
      <c r="R2233" t="str" cm="1">
        <f t="array" ref="R2233">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233" t="str" cm="1">
        <f t="array" ref="S223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233" t="str">
        <f>TEXT(tbl_analysis_tickets[[#This Row],[created_date]],"mmm-yyyy")</f>
        <v>Jan-2024</v>
      </c>
      <c r="U2233" t="str">
        <f>TEXT(tbl_analysis_tickets[[#This Row],[created_date]],"dddd")</f>
        <v>Wednesday</v>
      </c>
      <c r="V2233" cm="1">
        <f t="array" ref="V2233">_xlfn.SWITCH(tbl_analysis_tickets[[#This Row],[priority]],
"Urgent",1,
"High",2,
"Medium",3,
"Low",4
)</f>
        <v>2</v>
      </c>
    </row>
    <row r="2234" spans="1:22" x14ac:dyDescent="0.25">
      <c r="A2234">
        <v>2233</v>
      </c>
      <c r="B2234" s="1">
        <v>45342</v>
      </c>
      <c r="C2234" t="s">
        <v>21</v>
      </c>
      <c r="D2234" t="s">
        <v>11</v>
      </c>
      <c r="E2234">
        <v>151</v>
      </c>
      <c r="F2234">
        <v>46</v>
      </c>
      <c r="G2234">
        <v>2.2999999999999998</v>
      </c>
      <c r="H2234" t="s">
        <v>12</v>
      </c>
      <c r="I2234" t="s">
        <v>16</v>
      </c>
      <c r="J2234" t="s">
        <v>11</v>
      </c>
      <c r="K2234">
        <f>_xlfn.XLOOKUP(tbl_analysis_tickets[[#This Row],[priority]],tbl_sla[priority],tbl_sla[Resolution SLA Hours])</f>
        <v>72</v>
      </c>
      <c r="L2234">
        <f>_xlfn.XLOOKUP(tbl_analysis_tickets[[#This Row],[priority]],tbl_sla[priority],tbl_sla[First Response SLA Minutes])</f>
        <v>240</v>
      </c>
      <c r="M2234" t="str">
        <f>IF(tbl_analysis_tickets[[#This Row],[resolution_time_hours]]&gt;tbl_analysis_tickets[[#This Row],[Resolution SLA Hours]],"Breached","Within SLA")</f>
        <v>Within SLA</v>
      </c>
      <c r="N2234" t="str">
        <f>IF(tbl_analysis_tickets[[#This Row],[first_response_minutes]]&gt;tbl_analysis_tickets[[#This Row],[First Response SLA Minutes]],"Breached","Within SLA")</f>
        <v>Within SLA</v>
      </c>
      <c r="O2234" t="str" cm="1">
        <f t="array" ref="O2234">_xlfn.IFS(
tbl_analysis_tickets[[#This Row],[agent_experience_years]]&lt;=2,"Junior",
tbl_analysis_tickets[[#This Row],[agent_experience_years]]&lt;=5,"Mid-Level",
tbl_analysis_tickets[[#This Row],[agent_experience_years]]&lt;=8,"Senior",
tbl_analysis_tickets[[#This Row],[agent_experience_years]]&gt;8,"Expert"
)</f>
        <v>Mid-Level</v>
      </c>
      <c r="P2234" cm="1">
        <f t="array" ref="P2234">_xlfn.SWITCH(tbl_analysis_tickets[[#This Row],[customer_satisfaction]],
"Low",1,
"Medium",2,
"High",3
)</f>
        <v>1</v>
      </c>
      <c r="Q2234">
        <f>IF(tbl_analysis_tickets[[#This Row],[reopened]]="Yes",1,0)</f>
        <v>1</v>
      </c>
      <c r="R2234" t="str" cm="1">
        <f t="array" ref="R2234">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234" t="str" cm="1">
        <f t="array" ref="S223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234" t="str">
        <f>TEXT(tbl_analysis_tickets[[#This Row],[created_date]],"mmm-yyyy")</f>
        <v>Feb-2024</v>
      </c>
      <c r="U2234" t="str">
        <f>TEXT(tbl_analysis_tickets[[#This Row],[created_date]],"dddd")</f>
        <v>Tuesday</v>
      </c>
      <c r="V2234" cm="1">
        <f t="array" ref="V2234">_xlfn.SWITCH(tbl_analysis_tickets[[#This Row],[priority]],
"Urgent",1,
"High",2,
"Medium",3,
"Low",4
)</f>
        <v>4</v>
      </c>
    </row>
    <row r="2235" spans="1:22" x14ac:dyDescent="0.25">
      <c r="A2235">
        <v>2234</v>
      </c>
      <c r="B2235" s="1">
        <v>45391</v>
      </c>
      <c r="C2235" t="s">
        <v>14</v>
      </c>
      <c r="D2235" t="s">
        <v>17</v>
      </c>
      <c r="E2235">
        <v>191</v>
      </c>
      <c r="F2235">
        <v>17</v>
      </c>
      <c r="G2235">
        <v>0.7</v>
      </c>
      <c r="H2235" t="s">
        <v>18</v>
      </c>
      <c r="I2235" t="s">
        <v>13</v>
      </c>
      <c r="J2235" t="s">
        <v>11</v>
      </c>
      <c r="K2235">
        <f>_xlfn.XLOOKUP(tbl_analysis_tickets[[#This Row],[priority]],tbl_sla[priority],tbl_sla[Resolution SLA Hours])</f>
        <v>8</v>
      </c>
      <c r="L2235">
        <f>_xlfn.XLOOKUP(tbl_analysis_tickets[[#This Row],[priority]],tbl_sla[priority],tbl_sla[First Response SLA Minutes])</f>
        <v>30</v>
      </c>
      <c r="M2235" t="str">
        <f>IF(tbl_analysis_tickets[[#This Row],[resolution_time_hours]]&gt;tbl_analysis_tickets[[#This Row],[Resolution SLA Hours]],"Breached","Within SLA")</f>
        <v>Breached</v>
      </c>
      <c r="N2235" t="str">
        <f>IF(tbl_analysis_tickets[[#This Row],[first_response_minutes]]&gt;tbl_analysis_tickets[[#This Row],[First Response SLA Minutes]],"Breached","Within SLA")</f>
        <v>Breached</v>
      </c>
      <c r="O2235" t="str" cm="1">
        <f t="array" ref="O2235">_xlfn.IFS(
tbl_analysis_tickets[[#This Row],[agent_experience_years]]&lt;=2,"Junior",
tbl_analysis_tickets[[#This Row],[agent_experience_years]]&lt;=5,"Mid-Level",
tbl_analysis_tickets[[#This Row],[agent_experience_years]]&lt;=8,"Senior",
tbl_analysis_tickets[[#This Row],[agent_experience_years]]&gt;8,"Expert"
)</f>
        <v>Junior</v>
      </c>
      <c r="P2235" cm="1">
        <f t="array" ref="P2235">_xlfn.SWITCH(tbl_analysis_tickets[[#This Row],[customer_satisfaction]],
"Low",1,
"Medium",2,
"High",3
)</f>
        <v>1</v>
      </c>
      <c r="Q2235">
        <f>IF(tbl_analysis_tickets[[#This Row],[reopened]]="Yes",1,0)</f>
        <v>0</v>
      </c>
      <c r="R2235" t="str" cm="1">
        <f t="array" ref="R2235">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235" t="str" cm="1">
        <f t="array" ref="S223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235" t="str">
        <f>TEXT(tbl_analysis_tickets[[#This Row],[created_date]],"mmm-yyyy")</f>
        <v>Apr-2024</v>
      </c>
      <c r="U2235" t="str">
        <f>TEXT(tbl_analysis_tickets[[#This Row],[created_date]],"dddd")</f>
        <v>Tuesday</v>
      </c>
      <c r="V2235" cm="1">
        <f t="array" ref="V2235">_xlfn.SWITCH(tbl_analysis_tickets[[#This Row],[priority]],
"Urgent",1,
"High",2,
"Medium",3,
"Low",4
)</f>
        <v>1</v>
      </c>
    </row>
    <row r="2236" spans="1:22" x14ac:dyDescent="0.25">
      <c r="A2236">
        <v>2235</v>
      </c>
      <c r="B2236" s="1">
        <v>45410</v>
      </c>
      <c r="C2236" t="s">
        <v>14</v>
      </c>
      <c r="D2236" t="s">
        <v>20</v>
      </c>
      <c r="E2236">
        <v>201</v>
      </c>
      <c r="F2236">
        <v>68</v>
      </c>
      <c r="G2236">
        <v>1.6</v>
      </c>
      <c r="H2236" t="s">
        <v>12</v>
      </c>
      <c r="I2236" t="s">
        <v>13</v>
      </c>
      <c r="J2236" t="s">
        <v>11</v>
      </c>
      <c r="K2236">
        <f>_xlfn.XLOOKUP(tbl_analysis_tickets[[#This Row],[priority]],tbl_sla[priority],tbl_sla[Resolution SLA Hours])</f>
        <v>24</v>
      </c>
      <c r="L2236">
        <f>_xlfn.XLOOKUP(tbl_analysis_tickets[[#This Row],[priority]],tbl_sla[priority],tbl_sla[First Response SLA Minutes])</f>
        <v>60</v>
      </c>
      <c r="M2236" t="str">
        <f>IF(tbl_analysis_tickets[[#This Row],[resolution_time_hours]]&gt;tbl_analysis_tickets[[#This Row],[Resolution SLA Hours]],"Breached","Within SLA")</f>
        <v>Breached</v>
      </c>
      <c r="N2236" t="str">
        <f>IF(tbl_analysis_tickets[[#This Row],[first_response_minutes]]&gt;tbl_analysis_tickets[[#This Row],[First Response SLA Minutes]],"Breached","Within SLA")</f>
        <v>Breached</v>
      </c>
      <c r="O2236" t="str" cm="1">
        <f t="array" ref="O2236">_xlfn.IFS(
tbl_analysis_tickets[[#This Row],[agent_experience_years]]&lt;=2,"Junior",
tbl_analysis_tickets[[#This Row],[agent_experience_years]]&lt;=5,"Mid-Level",
tbl_analysis_tickets[[#This Row],[agent_experience_years]]&lt;=8,"Senior",
tbl_analysis_tickets[[#This Row],[agent_experience_years]]&gt;8,"Expert"
)</f>
        <v>Junior</v>
      </c>
      <c r="P2236" cm="1">
        <f t="array" ref="P2236">_xlfn.SWITCH(tbl_analysis_tickets[[#This Row],[customer_satisfaction]],
"Low",1,
"Medium",2,
"High",3
)</f>
        <v>1</v>
      </c>
      <c r="Q2236">
        <f>IF(tbl_analysis_tickets[[#This Row],[reopened]]="Yes",1,0)</f>
        <v>1</v>
      </c>
      <c r="R2236" t="str" cm="1">
        <f t="array" ref="R2236">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236" t="str" cm="1">
        <f t="array" ref="S223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236" t="str">
        <f>TEXT(tbl_analysis_tickets[[#This Row],[created_date]],"mmm-yyyy")</f>
        <v>Apr-2024</v>
      </c>
      <c r="U2236" t="str">
        <f>TEXT(tbl_analysis_tickets[[#This Row],[created_date]],"dddd")</f>
        <v>Sunday</v>
      </c>
      <c r="V2236" cm="1">
        <f t="array" ref="V2236">_xlfn.SWITCH(tbl_analysis_tickets[[#This Row],[priority]],
"Urgent",1,
"High",2,
"Medium",3,
"Low",4
)</f>
        <v>2</v>
      </c>
    </row>
    <row r="2237" spans="1:22" x14ac:dyDescent="0.25">
      <c r="A2237">
        <v>2236</v>
      </c>
      <c r="B2237" s="1">
        <v>45407</v>
      </c>
      <c r="C2237" t="s">
        <v>23</v>
      </c>
      <c r="D2237" t="s">
        <v>17</v>
      </c>
      <c r="E2237">
        <v>115</v>
      </c>
      <c r="F2237">
        <v>48</v>
      </c>
      <c r="G2237">
        <v>4.4000000000000004</v>
      </c>
      <c r="H2237" t="s">
        <v>12</v>
      </c>
      <c r="I2237" t="s">
        <v>19</v>
      </c>
      <c r="J2237" t="s">
        <v>11</v>
      </c>
      <c r="K2237">
        <f>_xlfn.XLOOKUP(tbl_analysis_tickets[[#This Row],[priority]],tbl_sla[priority],tbl_sla[Resolution SLA Hours])</f>
        <v>8</v>
      </c>
      <c r="L2237">
        <f>_xlfn.XLOOKUP(tbl_analysis_tickets[[#This Row],[priority]],tbl_sla[priority],tbl_sla[First Response SLA Minutes])</f>
        <v>30</v>
      </c>
      <c r="M2237" t="str">
        <f>IF(tbl_analysis_tickets[[#This Row],[resolution_time_hours]]&gt;tbl_analysis_tickets[[#This Row],[Resolution SLA Hours]],"Breached","Within SLA")</f>
        <v>Breached</v>
      </c>
      <c r="N2237" t="str">
        <f>IF(tbl_analysis_tickets[[#This Row],[first_response_minutes]]&gt;tbl_analysis_tickets[[#This Row],[First Response SLA Minutes]],"Breached","Within SLA")</f>
        <v>Breached</v>
      </c>
      <c r="O2237" t="str" cm="1">
        <f t="array" ref="O2237">_xlfn.IFS(
tbl_analysis_tickets[[#This Row],[agent_experience_years]]&lt;=2,"Junior",
tbl_analysis_tickets[[#This Row],[agent_experience_years]]&lt;=5,"Mid-Level",
tbl_analysis_tickets[[#This Row],[agent_experience_years]]&lt;=8,"Senior",
tbl_analysis_tickets[[#This Row],[agent_experience_years]]&gt;8,"Expert"
)</f>
        <v>Mid-Level</v>
      </c>
      <c r="P2237" cm="1">
        <f t="array" ref="P2237">_xlfn.SWITCH(tbl_analysis_tickets[[#This Row],[customer_satisfaction]],
"Low",1,
"Medium",2,
"High",3
)</f>
        <v>1</v>
      </c>
      <c r="Q2237">
        <f>IF(tbl_analysis_tickets[[#This Row],[reopened]]="Yes",1,0)</f>
        <v>1</v>
      </c>
      <c r="R2237" t="str" cm="1">
        <f t="array" ref="R2237">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237" t="str" cm="1">
        <f t="array" ref="S223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237" t="str">
        <f>TEXT(tbl_analysis_tickets[[#This Row],[created_date]],"mmm-yyyy")</f>
        <v>Apr-2024</v>
      </c>
      <c r="U2237" t="str">
        <f>TEXT(tbl_analysis_tickets[[#This Row],[created_date]],"dddd")</f>
        <v>Thursday</v>
      </c>
      <c r="V2237" cm="1">
        <f t="array" ref="V2237">_xlfn.SWITCH(tbl_analysis_tickets[[#This Row],[priority]],
"Urgent",1,
"High",2,
"Medium",3,
"Low",4
)</f>
        <v>1</v>
      </c>
    </row>
    <row r="2238" spans="1:22" x14ac:dyDescent="0.25">
      <c r="A2238">
        <v>2237</v>
      </c>
      <c r="B2238" s="1">
        <v>45551</v>
      </c>
      <c r="C2238" t="s">
        <v>14</v>
      </c>
      <c r="D2238" t="s">
        <v>15</v>
      </c>
      <c r="E2238">
        <v>127</v>
      </c>
      <c r="F2238">
        <v>24</v>
      </c>
      <c r="G2238">
        <v>9.6</v>
      </c>
      <c r="H2238" t="s">
        <v>12</v>
      </c>
      <c r="I2238" t="s">
        <v>13</v>
      </c>
      <c r="J2238" t="s">
        <v>11</v>
      </c>
      <c r="K2238">
        <f>_xlfn.XLOOKUP(tbl_analysis_tickets[[#This Row],[priority]],tbl_sla[priority],tbl_sla[Resolution SLA Hours])</f>
        <v>48</v>
      </c>
      <c r="L2238">
        <f>_xlfn.XLOOKUP(tbl_analysis_tickets[[#This Row],[priority]],tbl_sla[priority],tbl_sla[First Response SLA Minutes])</f>
        <v>120</v>
      </c>
      <c r="M2238" t="str">
        <f>IF(tbl_analysis_tickets[[#This Row],[resolution_time_hours]]&gt;tbl_analysis_tickets[[#This Row],[Resolution SLA Hours]],"Breached","Within SLA")</f>
        <v>Within SLA</v>
      </c>
      <c r="N2238" t="str">
        <f>IF(tbl_analysis_tickets[[#This Row],[first_response_minutes]]&gt;tbl_analysis_tickets[[#This Row],[First Response SLA Minutes]],"Breached","Within SLA")</f>
        <v>Breached</v>
      </c>
      <c r="O2238" t="str" cm="1">
        <f t="array" ref="O2238">_xlfn.IFS(
tbl_analysis_tickets[[#This Row],[agent_experience_years]]&lt;=2,"Junior",
tbl_analysis_tickets[[#This Row],[agent_experience_years]]&lt;=5,"Mid-Level",
tbl_analysis_tickets[[#This Row],[agent_experience_years]]&lt;=8,"Senior",
tbl_analysis_tickets[[#This Row],[agent_experience_years]]&gt;8,"Expert"
)</f>
        <v>Expert</v>
      </c>
      <c r="P2238" cm="1">
        <f t="array" ref="P2238">_xlfn.SWITCH(tbl_analysis_tickets[[#This Row],[customer_satisfaction]],
"Low",1,
"Medium",2,
"High",3
)</f>
        <v>1</v>
      </c>
      <c r="Q2238">
        <f>IF(tbl_analysis_tickets[[#This Row],[reopened]]="Yes",1,0)</f>
        <v>1</v>
      </c>
      <c r="R2238" t="str" cm="1">
        <f t="array" ref="R2238">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238" t="str" cm="1">
        <f t="array" ref="S223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238" t="str">
        <f>TEXT(tbl_analysis_tickets[[#This Row],[created_date]],"mmm-yyyy")</f>
        <v>Sep-2024</v>
      </c>
      <c r="U2238" t="str">
        <f>TEXT(tbl_analysis_tickets[[#This Row],[created_date]],"dddd")</f>
        <v>Monday</v>
      </c>
      <c r="V2238" cm="1">
        <f t="array" ref="V2238">_xlfn.SWITCH(tbl_analysis_tickets[[#This Row],[priority]],
"Urgent",1,
"High",2,
"Medium",3,
"Low",4
)</f>
        <v>3</v>
      </c>
    </row>
    <row r="2239" spans="1:22" x14ac:dyDescent="0.25">
      <c r="A2239">
        <v>2238</v>
      </c>
      <c r="B2239" s="1">
        <v>45564</v>
      </c>
      <c r="C2239" t="s">
        <v>22</v>
      </c>
      <c r="D2239" t="s">
        <v>11</v>
      </c>
      <c r="E2239">
        <v>226</v>
      </c>
      <c r="F2239">
        <v>12</v>
      </c>
      <c r="G2239">
        <v>5</v>
      </c>
      <c r="H2239" t="s">
        <v>18</v>
      </c>
      <c r="I2239" t="s">
        <v>16</v>
      </c>
      <c r="J2239" t="s">
        <v>15</v>
      </c>
      <c r="K2239">
        <f>_xlfn.XLOOKUP(tbl_analysis_tickets[[#This Row],[priority]],tbl_sla[priority],tbl_sla[Resolution SLA Hours])</f>
        <v>72</v>
      </c>
      <c r="L2239">
        <f>_xlfn.XLOOKUP(tbl_analysis_tickets[[#This Row],[priority]],tbl_sla[priority],tbl_sla[First Response SLA Minutes])</f>
        <v>240</v>
      </c>
      <c r="M2239" t="str">
        <f>IF(tbl_analysis_tickets[[#This Row],[resolution_time_hours]]&gt;tbl_analysis_tickets[[#This Row],[Resolution SLA Hours]],"Breached","Within SLA")</f>
        <v>Within SLA</v>
      </c>
      <c r="N2239" t="str">
        <f>IF(tbl_analysis_tickets[[#This Row],[first_response_minutes]]&gt;tbl_analysis_tickets[[#This Row],[First Response SLA Minutes]],"Breached","Within SLA")</f>
        <v>Within SLA</v>
      </c>
      <c r="O2239" t="str" cm="1">
        <f t="array" ref="O2239">_xlfn.IFS(
tbl_analysis_tickets[[#This Row],[agent_experience_years]]&lt;=2,"Junior",
tbl_analysis_tickets[[#This Row],[agent_experience_years]]&lt;=5,"Mid-Level",
tbl_analysis_tickets[[#This Row],[agent_experience_years]]&lt;=8,"Senior",
tbl_analysis_tickets[[#This Row],[agent_experience_years]]&gt;8,"Expert"
)</f>
        <v>Mid-Level</v>
      </c>
      <c r="P2239" cm="1">
        <f t="array" ref="P2239">_xlfn.SWITCH(tbl_analysis_tickets[[#This Row],[customer_satisfaction]],
"Low",1,
"Medium",2,
"High",3
)</f>
        <v>2</v>
      </c>
      <c r="Q2239">
        <f>IF(tbl_analysis_tickets[[#This Row],[reopened]]="Yes",1,0)</f>
        <v>0</v>
      </c>
      <c r="R2239" t="str" cm="1">
        <f t="array" ref="R2239">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239" t="str" cm="1">
        <f t="array" ref="S223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239" t="str">
        <f>TEXT(tbl_analysis_tickets[[#This Row],[created_date]],"mmm-yyyy")</f>
        <v>Sep-2024</v>
      </c>
      <c r="U2239" t="str">
        <f>TEXT(tbl_analysis_tickets[[#This Row],[created_date]],"dddd")</f>
        <v>Sunday</v>
      </c>
      <c r="V2239" cm="1">
        <f t="array" ref="V2239">_xlfn.SWITCH(tbl_analysis_tickets[[#This Row],[priority]],
"Urgent",1,
"High",2,
"Medium",3,
"Low",4
)</f>
        <v>4</v>
      </c>
    </row>
    <row r="2240" spans="1:22" x14ac:dyDescent="0.25">
      <c r="A2240">
        <v>2239</v>
      </c>
      <c r="B2240" s="1">
        <v>45644</v>
      </c>
      <c r="C2240" t="s">
        <v>21</v>
      </c>
      <c r="D2240" t="s">
        <v>11</v>
      </c>
      <c r="E2240">
        <v>143</v>
      </c>
      <c r="F2240">
        <v>63</v>
      </c>
      <c r="G2240">
        <v>7.4</v>
      </c>
      <c r="H2240" t="s">
        <v>12</v>
      </c>
      <c r="I2240" t="s">
        <v>16</v>
      </c>
      <c r="J2240" t="s">
        <v>11</v>
      </c>
      <c r="K2240">
        <f>_xlfn.XLOOKUP(tbl_analysis_tickets[[#This Row],[priority]],tbl_sla[priority],tbl_sla[Resolution SLA Hours])</f>
        <v>72</v>
      </c>
      <c r="L2240">
        <f>_xlfn.XLOOKUP(tbl_analysis_tickets[[#This Row],[priority]],tbl_sla[priority],tbl_sla[First Response SLA Minutes])</f>
        <v>240</v>
      </c>
      <c r="M2240" t="str">
        <f>IF(tbl_analysis_tickets[[#This Row],[resolution_time_hours]]&gt;tbl_analysis_tickets[[#This Row],[Resolution SLA Hours]],"Breached","Within SLA")</f>
        <v>Within SLA</v>
      </c>
      <c r="N2240" t="str">
        <f>IF(tbl_analysis_tickets[[#This Row],[first_response_minutes]]&gt;tbl_analysis_tickets[[#This Row],[First Response SLA Minutes]],"Breached","Within SLA")</f>
        <v>Within SLA</v>
      </c>
      <c r="O2240" t="str" cm="1">
        <f t="array" ref="O2240">_xlfn.IFS(
tbl_analysis_tickets[[#This Row],[agent_experience_years]]&lt;=2,"Junior",
tbl_analysis_tickets[[#This Row],[agent_experience_years]]&lt;=5,"Mid-Level",
tbl_analysis_tickets[[#This Row],[agent_experience_years]]&lt;=8,"Senior",
tbl_analysis_tickets[[#This Row],[agent_experience_years]]&gt;8,"Expert"
)</f>
        <v>Senior</v>
      </c>
      <c r="P2240" cm="1">
        <f t="array" ref="P2240">_xlfn.SWITCH(tbl_analysis_tickets[[#This Row],[customer_satisfaction]],
"Low",1,
"Medium",2,
"High",3
)</f>
        <v>1</v>
      </c>
      <c r="Q2240">
        <f>IF(tbl_analysis_tickets[[#This Row],[reopened]]="Yes",1,0)</f>
        <v>1</v>
      </c>
      <c r="R2240" t="str" cm="1">
        <f t="array" ref="R2240">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240" t="str" cm="1">
        <f t="array" ref="S224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240" t="str">
        <f>TEXT(tbl_analysis_tickets[[#This Row],[created_date]],"mmm-yyyy")</f>
        <v>Dec-2024</v>
      </c>
      <c r="U2240" t="str">
        <f>TEXT(tbl_analysis_tickets[[#This Row],[created_date]],"dddd")</f>
        <v>Wednesday</v>
      </c>
      <c r="V2240" cm="1">
        <f t="array" ref="V2240">_xlfn.SWITCH(tbl_analysis_tickets[[#This Row],[priority]],
"Urgent",1,
"High",2,
"Medium",3,
"Low",4
)</f>
        <v>4</v>
      </c>
    </row>
    <row r="2241" spans="1:22" x14ac:dyDescent="0.25">
      <c r="A2241">
        <v>2240</v>
      </c>
      <c r="B2241" s="1">
        <v>45329</v>
      </c>
      <c r="C2241" t="s">
        <v>22</v>
      </c>
      <c r="D2241" t="s">
        <v>11</v>
      </c>
      <c r="E2241">
        <v>54</v>
      </c>
      <c r="F2241">
        <v>34</v>
      </c>
      <c r="G2241">
        <v>3.2</v>
      </c>
      <c r="H2241" t="s">
        <v>12</v>
      </c>
      <c r="I2241" t="s">
        <v>13</v>
      </c>
      <c r="J2241" t="s">
        <v>11</v>
      </c>
      <c r="K2241">
        <f>_xlfn.XLOOKUP(tbl_analysis_tickets[[#This Row],[priority]],tbl_sla[priority],tbl_sla[Resolution SLA Hours])</f>
        <v>72</v>
      </c>
      <c r="L2241">
        <f>_xlfn.XLOOKUP(tbl_analysis_tickets[[#This Row],[priority]],tbl_sla[priority],tbl_sla[First Response SLA Minutes])</f>
        <v>240</v>
      </c>
      <c r="M2241" t="str">
        <f>IF(tbl_analysis_tickets[[#This Row],[resolution_time_hours]]&gt;tbl_analysis_tickets[[#This Row],[Resolution SLA Hours]],"Breached","Within SLA")</f>
        <v>Within SLA</v>
      </c>
      <c r="N2241" t="str">
        <f>IF(tbl_analysis_tickets[[#This Row],[first_response_minutes]]&gt;tbl_analysis_tickets[[#This Row],[First Response SLA Minutes]],"Breached","Within SLA")</f>
        <v>Within SLA</v>
      </c>
      <c r="O2241" t="str" cm="1">
        <f t="array" ref="O2241">_xlfn.IFS(
tbl_analysis_tickets[[#This Row],[agent_experience_years]]&lt;=2,"Junior",
tbl_analysis_tickets[[#This Row],[agent_experience_years]]&lt;=5,"Mid-Level",
tbl_analysis_tickets[[#This Row],[agent_experience_years]]&lt;=8,"Senior",
tbl_analysis_tickets[[#This Row],[agent_experience_years]]&gt;8,"Expert"
)</f>
        <v>Mid-Level</v>
      </c>
      <c r="P2241" cm="1">
        <f t="array" ref="P2241">_xlfn.SWITCH(tbl_analysis_tickets[[#This Row],[customer_satisfaction]],
"Low",1,
"Medium",2,
"High",3
)</f>
        <v>1</v>
      </c>
      <c r="Q2241">
        <f>IF(tbl_analysis_tickets[[#This Row],[reopened]]="Yes",1,0)</f>
        <v>1</v>
      </c>
      <c r="R2241" t="str" cm="1">
        <f t="array" ref="R2241">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241" t="str" cm="1">
        <f t="array" ref="S224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241" t="str">
        <f>TEXT(tbl_analysis_tickets[[#This Row],[created_date]],"mmm-yyyy")</f>
        <v>Feb-2024</v>
      </c>
      <c r="U2241" t="str">
        <f>TEXT(tbl_analysis_tickets[[#This Row],[created_date]],"dddd")</f>
        <v>Wednesday</v>
      </c>
      <c r="V2241" cm="1">
        <f t="array" ref="V2241">_xlfn.SWITCH(tbl_analysis_tickets[[#This Row],[priority]],
"Urgent",1,
"High",2,
"Medium",3,
"Low",4
)</f>
        <v>4</v>
      </c>
    </row>
    <row r="2242" spans="1:22" x14ac:dyDescent="0.25">
      <c r="A2242">
        <v>2241</v>
      </c>
      <c r="B2242" s="1">
        <v>45392</v>
      </c>
      <c r="C2242" t="s">
        <v>14</v>
      </c>
      <c r="D2242" t="s">
        <v>17</v>
      </c>
      <c r="E2242">
        <v>193</v>
      </c>
      <c r="F2242">
        <v>18</v>
      </c>
      <c r="G2242">
        <v>4.7</v>
      </c>
      <c r="H2242" t="s">
        <v>18</v>
      </c>
      <c r="I2242" t="s">
        <v>13</v>
      </c>
      <c r="J2242" t="s">
        <v>11</v>
      </c>
      <c r="K2242">
        <f>_xlfn.XLOOKUP(tbl_analysis_tickets[[#This Row],[priority]],tbl_sla[priority],tbl_sla[Resolution SLA Hours])</f>
        <v>8</v>
      </c>
      <c r="L2242">
        <f>_xlfn.XLOOKUP(tbl_analysis_tickets[[#This Row],[priority]],tbl_sla[priority],tbl_sla[First Response SLA Minutes])</f>
        <v>30</v>
      </c>
      <c r="M2242" t="str">
        <f>IF(tbl_analysis_tickets[[#This Row],[resolution_time_hours]]&gt;tbl_analysis_tickets[[#This Row],[Resolution SLA Hours]],"Breached","Within SLA")</f>
        <v>Breached</v>
      </c>
      <c r="N2242" t="str">
        <f>IF(tbl_analysis_tickets[[#This Row],[first_response_minutes]]&gt;tbl_analysis_tickets[[#This Row],[First Response SLA Minutes]],"Breached","Within SLA")</f>
        <v>Breached</v>
      </c>
      <c r="O2242" t="str" cm="1">
        <f t="array" ref="O2242">_xlfn.IFS(
tbl_analysis_tickets[[#This Row],[agent_experience_years]]&lt;=2,"Junior",
tbl_analysis_tickets[[#This Row],[agent_experience_years]]&lt;=5,"Mid-Level",
tbl_analysis_tickets[[#This Row],[agent_experience_years]]&lt;=8,"Senior",
tbl_analysis_tickets[[#This Row],[agent_experience_years]]&gt;8,"Expert"
)</f>
        <v>Mid-Level</v>
      </c>
      <c r="P2242" cm="1">
        <f t="array" ref="P2242">_xlfn.SWITCH(tbl_analysis_tickets[[#This Row],[customer_satisfaction]],
"Low",1,
"Medium",2,
"High",3
)</f>
        <v>1</v>
      </c>
      <c r="Q2242">
        <f>IF(tbl_analysis_tickets[[#This Row],[reopened]]="Yes",1,0)</f>
        <v>0</v>
      </c>
      <c r="R2242" t="str" cm="1">
        <f t="array" ref="R2242">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242" t="str" cm="1">
        <f t="array" ref="S224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242" t="str">
        <f>TEXT(tbl_analysis_tickets[[#This Row],[created_date]],"mmm-yyyy")</f>
        <v>Apr-2024</v>
      </c>
      <c r="U2242" t="str">
        <f>TEXT(tbl_analysis_tickets[[#This Row],[created_date]],"dddd")</f>
        <v>Wednesday</v>
      </c>
      <c r="V2242" cm="1">
        <f t="array" ref="V2242">_xlfn.SWITCH(tbl_analysis_tickets[[#This Row],[priority]],
"Urgent",1,
"High",2,
"Medium",3,
"Low",4
)</f>
        <v>1</v>
      </c>
    </row>
    <row r="2243" spans="1:22" x14ac:dyDescent="0.25">
      <c r="A2243">
        <v>2242</v>
      </c>
      <c r="B2243" s="1">
        <v>45522</v>
      </c>
      <c r="C2243" t="s">
        <v>10</v>
      </c>
      <c r="D2243" t="s">
        <v>15</v>
      </c>
      <c r="E2243">
        <v>18</v>
      </c>
      <c r="F2243">
        <v>60</v>
      </c>
      <c r="G2243">
        <v>5.8</v>
      </c>
      <c r="H2243" t="s">
        <v>18</v>
      </c>
      <c r="I2243" t="s">
        <v>13</v>
      </c>
      <c r="J2243" t="s">
        <v>20</v>
      </c>
      <c r="K2243">
        <f>_xlfn.XLOOKUP(tbl_analysis_tickets[[#This Row],[priority]],tbl_sla[priority],tbl_sla[Resolution SLA Hours])</f>
        <v>48</v>
      </c>
      <c r="L2243">
        <f>_xlfn.XLOOKUP(tbl_analysis_tickets[[#This Row],[priority]],tbl_sla[priority],tbl_sla[First Response SLA Minutes])</f>
        <v>120</v>
      </c>
      <c r="M2243" t="str">
        <f>IF(tbl_analysis_tickets[[#This Row],[resolution_time_hours]]&gt;tbl_analysis_tickets[[#This Row],[Resolution SLA Hours]],"Breached","Within SLA")</f>
        <v>Breached</v>
      </c>
      <c r="N2243" t="str">
        <f>IF(tbl_analysis_tickets[[#This Row],[first_response_minutes]]&gt;tbl_analysis_tickets[[#This Row],[First Response SLA Minutes]],"Breached","Within SLA")</f>
        <v>Within SLA</v>
      </c>
      <c r="O2243" t="str" cm="1">
        <f t="array" ref="O2243">_xlfn.IFS(
tbl_analysis_tickets[[#This Row],[agent_experience_years]]&lt;=2,"Junior",
tbl_analysis_tickets[[#This Row],[agent_experience_years]]&lt;=5,"Mid-Level",
tbl_analysis_tickets[[#This Row],[agent_experience_years]]&lt;=8,"Senior",
tbl_analysis_tickets[[#This Row],[agent_experience_years]]&gt;8,"Expert"
)</f>
        <v>Senior</v>
      </c>
      <c r="P2243" cm="1">
        <f t="array" ref="P2243">_xlfn.SWITCH(tbl_analysis_tickets[[#This Row],[customer_satisfaction]],
"Low",1,
"Medium",2,
"High",3
)</f>
        <v>3</v>
      </c>
      <c r="Q2243">
        <f>IF(tbl_analysis_tickets[[#This Row],[reopened]]="Yes",1,0)</f>
        <v>0</v>
      </c>
      <c r="R2243" t="str" cm="1">
        <f t="array" ref="R2243">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2243" t="str" cm="1">
        <f t="array" ref="S224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243" t="str">
        <f>TEXT(tbl_analysis_tickets[[#This Row],[created_date]],"mmm-yyyy")</f>
        <v>Aug-2024</v>
      </c>
      <c r="U2243" t="str">
        <f>TEXT(tbl_analysis_tickets[[#This Row],[created_date]],"dddd")</f>
        <v>Sunday</v>
      </c>
      <c r="V2243" cm="1">
        <f t="array" ref="V2243">_xlfn.SWITCH(tbl_analysis_tickets[[#This Row],[priority]],
"Urgent",1,
"High",2,
"Medium",3,
"Low",4
)</f>
        <v>3</v>
      </c>
    </row>
    <row r="2244" spans="1:22" x14ac:dyDescent="0.25">
      <c r="A2244">
        <v>2243</v>
      </c>
      <c r="B2244" s="1">
        <v>45390</v>
      </c>
      <c r="C2244" t="s">
        <v>22</v>
      </c>
      <c r="D2244" t="s">
        <v>20</v>
      </c>
      <c r="E2244">
        <v>192</v>
      </c>
      <c r="F2244">
        <v>30</v>
      </c>
      <c r="G2244">
        <v>9.1999999999999993</v>
      </c>
      <c r="H2244" t="s">
        <v>12</v>
      </c>
      <c r="I2244" t="s">
        <v>13</v>
      </c>
      <c r="J2244" t="s">
        <v>11</v>
      </c>
      <c r="K2244">
        <f>_xlfn.XLOOKUP(tbl_analysis_tickets[[#This Row],[priority]],tbl_sla[priority],tbl_sla[Resolution SLA Hours])</f>
        <v>24</v>
      </c>
      <c r="L2244">
        <f>_xlfn.XLOOKUP(tbl_analysis_tickets[[#This Row],[priority]],tbl_sla[priority],tbl_sla[First Response SLA Minutes])</f>
        <v>60</v>
      </c>
      <c r="M2244" t="str">
        <f>IF(tbl_analysis_tickets[[#This Row],[resolution_time_hours]]&gt;tbl_analysis_tickets[[#This Row],[Resolution SLA Hours]],"Breached","Within SLA")</f>
        <v>Breached</v>
      </c>
      <c r="N2244" t="str">
        <f>IF(tbl_analysis_tickets[[#This Row],[first_response_minutes]]&gt;tbl_analysis_tickets[[#This Row],[First Response SLA Minutes]],"Breached","Within SLA")</f>
        <v>Breached</v>
      </c>
      <c r="O2244" t="str" cm="1">
        <f t="array" ref="O2244">_xlfn.IFS(
tbl_analysis_tickets[[#This Row],[agent_experience_years]]&lt;=2,"Junior",
tbl_analysis_tickets[[#This Row],[agent_experience_years]]&lt;=5,"Mid-Level",
tbl_analysis_tickets[[#This Row],[agent_experience_years]]&lt;=8,"Senior",
tbl_analysis_tickets[[#This Row],[agent_experience_years]]&gt;8,"Expert"
)</f>
        <v>Expert</v>
      </c>
      <c r="P2244" cm="1">
        <f t="array" ref="P2244">_xlfn.SWITCH(tbl_analysis_tickets[[#This Row],[customer_satisfaction]],
"Low",1,
"Medium",2,
"High",3
)</f>
        <v>1</v>
      </c>
      <c r="Q2244">
        <f>IF(tbl_analysis_tickets[[#This Row],[reopened]]="Yes",1,0)</f>
        <v>1</v>
      </c>
      <c r="R2244" t="str" cm="1">
        <f t="array" ref="R2244">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244" t="str" cm="1">
        <f t="array" ref="S224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244" t="str">
        <f>TEXT(tbl_analysis_tickets[[#This Row],[created_date]],"mmm-yyyy")</f>
        <v>Apr-2024</v>
      </c>
      <c r="U2244" t="str">
        <f>TEXT(tbl_analysis_tickets[[#This Row],[created_date]],"dddd")</f>
        <v>Monday</v>
      </c>
      <c r="V2244" cm="1">
        <f t="array" ref="V2244">_xlfn.SWITCH(tbl_analysis_tickets[[#This Row],[priority]],
"Urgent",1,
"High",2,
"Medium",3,
"Low",4
)</f>
        <v>2</v>
      </c>
    </row>
    <row r="2245" spans="1:22" x14ac:dyDescent="0.25">
      <c r="A2245">
        <v>2244</v>
      </c>
      <c r="B2245" s="1">
        <v>45588</v>
      </c>
      <c r="C2245" t="s">
        <v>14</v>
      </c>
      <c r="D2245" t="s">
        <v>17</v>
      </c>
      <c r="E2245">
        <v>211</v>
      </c>
      <c r="F2245">
        <v>36</v>
      </c>
      <c r="G2245">
        <v>5.8</v>
      </c>
      <c r="H2245" t="s">
        <v>18</v>
      </c>
      <c r="I2245" t="s">
        <v>19</v>
      </c>
      <c r="J2245" t="s">
        <v>11</v>
      </c>
      <c r="K2245">
        <f>_xlfn.XLOOKUP(tbl_analysis_tickets[[#This Row],[priority]],tbl_sla[priority],tbl_sla[Resolution SLA Hours])</f>
        <v>8</v>
      </c>
      <c r="L2245">
        <f>_xlfn.XLOOKUP(tbl_analysis_tickets[[#This Row],[priority]],tbl_sla[priority],tbl_sla[First Response SLA Minutes])</f>
        <v>30</v>
      </c>
      <c r="M2245" t="str">
        <f>IF(tbl_analysis_tickets[[#This Row],[resolution_time_hours]]&gt;tbl_analysis_tickets[[#This Row],[Resolution SLA Hours]],"Breached","Within SLA")</f>
        <v>Breached</v>
      </c>
      <c r="N2245" t="str">
        <f>IF(tbl_analysis_tickets[[#This Row],[first_response_minutes]]&gt;tbl_analysis_tickets[[#This Row],[First Response SLA Minutes]],"Breached","Within SLA")</f>
        <v>Breached</v>
      </c>
      <c r="O2245" t="str" cm="1">
        <f t="array" ref="O2245">_xlfn.IFS(
tbl_analysis_tickets[[#This Row],[agent_experience_years]]&lt;=2,"Junior",
tbl_analysis_tickets[[#This Row],[agent_experience_years]]&lt;=5,"Mid-Level",
tbl_analysis_tickets[[#This Row],[agent_experience_years]]&lt;=8,"Senior",
tbl_analysis_tickets[[#This Row],[agent_experience_years]]&gt;8,"Expert"
)</f>
        <v>Senior</v>
      </c>
      <c r="P2245" cm="1">
        <f t="array" ref="P2245">_xlfn.SWITCH(tbl_analysis_tickets[[#This Row],[customer_satisfaction]],
"Low",1,
"Medium",2,
"High",3
)</f>
        <v>1</v>
      </c>
      <c r="Q2245">
        <f>IF(tbl_analysis_tickets[[#This Row],[reopened]]="Yes",1,0)</f>
        <v>0</v>
      </c>
      <c r="R2245" t="str" cm="1">
        <f t="array" ref="R2245">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245" t="str" cm="1">
        <f t="array" ref="S224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245" t="str">
        <f>TEXT(tbl_analysis_tickets[[#This Row],[created_date]],"mmm-yyyy")</f>
        <v>Oct-2024</v>
      </c>
      <c r="U2245" t="str">
        <f>TEXT(tbl_analysis_tickets[[#This Row],[created_date]],"dddd")</f>
        <v>Wednesday</v>
      </c>
      <c r="V2245" cm="1">
        <f t="array" ref="V2245">_xlfn.SWITCH(tbl_analysis_tickets[[#This Row],[priority]],
"Urgent",1,
"High",2,
"Medium",3,
"Low",4
)</f>
        <v>1</v>
      </c>
    </row>
    <row r="2246" spans="1:22" x14ac:dyDescent="0.25">
      <c r="A2246">
        <v>2245</v>
      </c>
      <c r="B2246" s="1">
        <v>45356</v>
      </c>
      <c r="C2246" t="s">
        <v>23</v>
      </c>
      <c r="D2246" t="s">
        <v>20</v>
      </c>
      <c r="E2246">
        <v>73</v>
      </c>
      <c r="F2246">
        <v>49</v>
      </c>
      <c r="G2246">
        <v>4</v>
      </c>
      <c r="H2246" t="s">
        <v>12</v>
      </c>
      <c r="I2246" t="s">
        <v>13</v>
      </c>
      <c r="J2246" t="s">
        <v>11</v>
      </c>
      <c r="K2246">
        <f>_xlfn.XLOOKUP(tbl_analysis_tickets[[#This Row],[priority]],tbl_sla[priority],tbl_sla[Resolution SLA Hours])</f>
        <v>24</v>
      </c>
      <c r="L2246">
        <f>_xlfn.XLOOKUP(tbl_analysis_tickets[[#This Row],[priority]],tbl_sla[priority],tbl_sla[First Response SLA Minutes])</f>
        <v>60</v>
      </c>
      <c r="M2246" t="str">
        <f>IF(tbl_analysis_tickets[[#This Row],[resolution_time_hours]]&gt;tbl_analysis_tickets[[#This Row],[Resolution SLA Hours]],"Breached","Within SLA")</f>
        <v>Breached</v>
      </c>
      <c r="N2246" t="str">
        <f>IF(tbl_analysis_tickets[[#This Row],[first_response_minutes]]&gt;tbl_analysis_tickets[[#This Row],[First Response SLA Minutes]],"Breached","Within SLA")</f>
        <v>Breached</v>
      </c>
      <c r="O2246" t="str" cm="1">
        <f t="array" ref="O2246">_xlfn.IFS(
tbl_analysis_tickets[[#This Row],[agent_experience_years]]&lt;=2,"Junior",
tbl_analysis_tickets[[#This Row],[agent_experience_years]]&lt;=5,"Mid-Level",
tbl_analysis_tickets[[#This Row],[agent_experience_years]]&lt;=8,"Senior",
tbl_analysis_tickets[[#This Row],[agent_experience_years]]&gt;8,"Expert"
)</f>
        <v>Mid-Level</v>
      </c>
      <c r="P2246" cm="1">
        <f t="array" ref="P2246">_xlfn.SWITCH(tbl_analysis_tickets[[#This Row],[customer_satisfaction]],
"Low",1,
"Medium",2,
"High",3
)</f>
        <v>1</v>
      </c>
      <c r="Q2246">
        <f>IF(tbl_analysis_tickets[[#This Row],[reopened]]="Yes",1,0)</f>
        <v>1</v>
      </c>
      <c r="R2246" t="str" cm="1">
        <f t="array" ref="R2246">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246" t="str" cm="1">
        <f t="array" ref="S224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246" t="str">
        <f>TEXT(tbl_analysis_tickets[[#This Row],[created_date]],"mmm-yyyy")</f>
        <v>Mar-2024</v>
      </c>
      <c r="U2246" t="str">
        <f>TEXT(tbl_analysis_tickets[[#This Row],[created_date]],"dddd")</f>
        <v>Tuesday</v>
      </c>
      <c r="V2246" cm="1">
        <f t="array" ref="V2246">_xlfn.SWITCH(tbl_analysis_tickets[[#This Row],[priority]],
"Urgent",1,
"High",2,
"Medium",3,
"Low",4
)</f>
        <v>2</v>
      </c>
    </row>
    <row r="2247" spans="1:22" x14ac:dyDescent="0.25">
      <c r="A2247">
        <v>2246</v>
      </c>
      <c r="B2247" s="1">
        <v>45631</v>
      </c>
      <c r="C2247" t="s">
        <v>23</v>
      </c>
      <c r="D2247" t="s">
        <v>11</v>
      </c>
      <c r="E2247">
        <v>170</v>
      </c>
      <c r="F2247">
        <v>62</v>
      </c>
      <c r="G2247">
        <v>2.6</v>
      </c>
      <c r="H2247" t="s">
        <v>12</v>
      </c>
      <c r="I2247" t="s">
        <v>19</v>
      </c>
      <c r="J2247" t="s">
        <v>11</v>
      </c>
      <c r="K2247">
        <f>_xlfn.XLOOKUP(tbl_analysis_tickets[[#This Row],[priority]],tbl_sla[priority],tbl_sla[Resolution SLA Hours])</f>
        <v>72</v>
      </c>
      <c r="L2247">
        <f>_xlfn.XLOOKUP(tbl_analysis_tickets[[#This Row],[priority]],tbl_sla[priority],tbl_sla[First Response SLA Minutes])</f>
        <v>240</v>
      </c>
      <c r="M2247" t="str">
        <f>IF(tbl_analysis_tickets[[#This Row],[resolution_time_hours]]&gt;tbl_analysis_tickets[[#This Row],[Resolution SLA Hours]],"Breached","Within SLA")</f>
        <v>Within SLA</v>
      </c>
      <c r="N2247" t="str">
        <f>IF(tbl_analysis_tickets[[#This Row],[first_response_minutes]]&gt;tbl_analysis_tickets[[#This Row],[First Response SLA Minutes]],"Breached","Within SLA")</f>
        <v>Within SLA</v>
      </c>
      <c r="O2247" t="str" cm="1">
        <f t="array" ref="O2247">_xlfn.IFS(
tbl_analysis_tickets[[#This Row],[agent_experience_years]]&lt;=2,"Junior",
tbl_analysis_tickets[[#This Row],[agent_experience_years]]&lt;=5,"Mid-Level",
tbl_analysis_tickets[[#This Row],[agent_experience_years]]&lt;=8,"Senior",
tbl_analysis_tickets[[#This Row],[agent_experience_years]]&gt;8,"Expert"
)</f>
        <v>Mid-Level</v>
      </c>
      <c r="P2247" cm="1">
        <f t="array" ref="P2247">_xlfn.SWITCH(tbl_analysis_tickets[[#This Row],[customer_satisfaction]],
"Low",1,
"Medium",2,
"High",3
)</f>
        <v>1</v>
      </c>
      <c r="Q2247">
        <f>IF(tbl_analysis_tickets[[#This Row],[reopened]]="Yes",1,0)</f>
        <v>1</v>
      </c>
      <c r="R2247" t="str" cm="1">
        <f t="array" ref="R2247">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247" t="str" cm="1">
        <f t="array" ref="S224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247" t="str">
        <f>TEXT(tbl_analysis_tickets[[#This Row],[created_date]],"mmm-yyyy")</f>
        <v>Dec-2024</v>
      </c>
      <c r="U2247" t="str">
        <f>TEXT(tbl_analysis_tickets[[#This Row],[created_date]],"dddd")</f>
        <v>Thursday</v>
      </c>
      <c r="V2247" cm="1">
        <f t="array" ref="V2247">_xlfn.SWITCH(tbl_analysis_tickets[[#This Row],[priority]],
"Urgent",1,
"High",2,
"Medium",3,
"Low",4
)</f>
        <v>4</v>
      </c>
    </row>
    <row r="2248" spans="1:22" x14ac:dyDescent="0.25">
      <c r="A2248">
        <v>2247</v>
      </c>
      <c r="B2248" s="1">
        <v>45545</v>
      </c>
      <c r="C2248" t="s">
        <v>14</v>
      </c>
      <c r="D2248" t="s">
        <v>11</v>
      </c>
      <c r="E2248">
        <v>11</v>
      </c>
      <c r="F2248">
        <v>4</v>
      </c>
      <c r="G2248">
        <v>3.8</v>
      </c>
      <c r="H2248" t="s">
        <v>18</v>
      </c>
      <c r="I2248" t="s">
        <v>13</v>
      </c>
      <c r="J2248" t="s">
        <v>20</v>
      </c>
      <c r="K2248">
        <f>_xlfn.XLOOKUP(tbl_analysis_tickets[[#This Row],[priority]],tbl_sla[priority],tbl_sla[Resolution SLA Hours])</f>
        <v>72</v>
      </c>
      <c r="L2248">
        <f>_xlfn.XLOOKUP(tbl_analysis_tickets[[#This Row],[priority]],tbl_sla[priority],tbl_sla[First Response SLA Minutes])</f>
        <v>240</v>
      </c>
      <c r="M2248" t="str">
        <f>IF(tbl_analysis_tickets[[#This Row],[resolution_time_hours]]&gt;tbl_analysis_tickets[[#This Row],[Resolution SLA Hours]],"Breached","Within SLA")</f>
        <v>Within SLA</v>
      </c>
      <c r="N2248" t="str">
        <f>IF(tbl_analysis_tickets[[#This Row],[first_response_minutes]]&gt;tbl_analysis_tickets[[#This Row],[First Response SLA Minutes]],"Breached","Within SLA")</f>
        <v>Within SLA</v>
      </c>
      <c r="O2248" t="str" cm="1">
        <f t="array" ref="O2248">_xlfn.IFS(
tbl_analysis_tickets[[#This Row],[agent_experience_years]]&lt;=2,"Junior",
tbl_analysis_tickets[[#This Row],[agent_experience_years]]&lt;=5,"Mid-Level",
tbl_analysis_tickets[[#This Row],[agent_experience_years]]&lt;=8,"Senior",
tbl_analysis_tickets[[#This Row],[agent_experience_years]]&gt;8,"Expert"
)</f>
        <v>Mid-Level</v>
      </c>
      <c r="P2248" cm="1">
        <f t="array" ref="P2248">_xlfn.SWITCH(tbl_analysis_tickets[[#This Row],[customer_satisfaction]],
"Low",1,
"Medium",2,
"High",3
)</f>
        <v>3</v>
      </c>
      <c r="Q2248">
        <f>IF(tbl_analysis_tickets[[#This Row],[reopened]]="Yes",1,0)</f>
        <v>0</v>
      </c>
      <c r="R2248" t="str" cm="1">
        <f t="array" ref="R2248">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2248" t="str" cm="1">
        <f t="array" ref="S224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2248" t="str">
        <f>TEXT(tbl_analysis_tickets[[#This Row],[created_date]],"mmm-yyyy")</f>
        <v>Sep-2024</v>
      </c>
      <c r="U2248" t="str">
        <f>TEXT(tbl_analysis_tickets[[#This Row],[created_date]],"dddd")</f>
        <v>Tuesday</v>
      </c>
      <c r="V2248" cm="1">
        <f t="array" ref="V2248">_xlfn.SWITCH(tbl_analysis_tickets[[#This Row],[priority]],
"Urgent",1,
"High",2,
"Medium",3,
"Low",4
)</f>
        <v>4</v>
      </c>
    </row>
    <row r="2249" spans="1:22" x14ac:dyDescent="0.25">
      <c r="A2249">
        <v>2248</v>
      </c>
      <c r="B2249" s="1">
        <v>45296</v>
      </c>
      <c r="C2249" t="s">
        <v>14</v>
      </c>
      <c r="D2249" t="s">
        <v>20</v>
      </c>
      <c r="E2249">
        <v>14</v>
      </c>
      <c r="F2249">
        <v>54</v>
      </c>
      <c r="G2249">
        <v>4.5</v>
      </c>
      <c r="H2249" t="s">
        <v>18</v>
      </c>
      <c r="I2249" t="s">
        <v>19</v>
      </c>
      <c r="J2249" t="s">
        <v>15</v>
      </c>
      <c r="K2249">
        <f>_xlfn.XLOOKUP(tbl_analysis_tickets[[#This Row],[priority]],tbl_sla[priority],tbl_sla[Resolution SLA Hours])</f>
        <v>24</v>
      </c>
      <c r="L2249">
        <f>_xlfn.XLOOKUP(tbl_analysis_tickets[[#This Row],[priority]],tbl_sla[priority],tbl_sla[First Response SLA Minutes])</f>
        <v>60</v>
      </c>
      <c r="M2249" t="str">
        <f>IF(tbl_analysis_tickets[[#This Row],[resolution_time_hours]]&gt;tbl_analysis_tickets[[#This Row],[Resolution SLA Hours]],"Breached","Within SLA")</f>
        <v>Breached</v>
      </c>
      <c r="N2249" t="str">
        <f>IF(tbl_analysis_tickets[[#This Row],[first_response_minutes]]&gt;tbl_analysis_tickets[[#This Row],[First Response SLA Minutes]],"Breached","Within SLA")</f>
        <v>Within SLA</v>
      </c>
      <c r="O2249" t="str" cm="1">
        <f t="array" ref="O2249">_xlfn.IFS(
tbl_analysis_tickets[[#This Row],[agent_experience_years]]&lt;=2,"Junior",
tbl_analysis_tickets[[#This Row],[agent_experience_years]]&lt;=5,"Mid-Level",
tbl_analysis_tickets[[#This Row],[agent_experience_years]]&lt;=8,"Senior",
tbl_analysis_tickets[[#This Row],[agent_experience_years]]&gt;8,"Expert"
)</f>
        <v>Mid-Level</v>
      </c>
      <c r="P2249" cm="1">
        <f t="array" ref="P2249">_xlfn.SWITCH(tbl_analysis_tickets[[#This Row],[customer_satisfaction]],
"Low",1,
"Medium",2,
"High",3
)</f>
        <v>2</v>
      </c>
      <c r="Q2249">
        <f>IF(tbl_analysis_tickets[[#This Row],[reopened]]="Yes",1,0)</f>
        <v>0</v>
      </c>
      <c r="R2249" t="str" cm="1">
        <f t="array" ref="R2249">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2249" t="str" cm="1">
        <f t="array" ref="S224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249" t="str">
        <f>TEXT(tbl_analysis_tickets[[#This Row],[created_date]],"mmm-yyyy")</f>
        <v>Jan-2024</v>
      </c>
      <c r="U2249" t="str">
        <f>TEXT(tbl_analysis_tickets[[#This Row],[created_date]],"dddd")</f>
        <v>Friday</v>
      </c>
      <c r="V2249" cm="1">
        <f t="array" ref="V2249">_xlfn.SWITCH(tbl_analysis_tickets[[#This Row],[priority]],
"Urgent",1,
"High",2,
"Medium",3,
"Low",4
)</f>
        <v>2</v>
      </c>
    </row>
    <row r="2250" spans="1:22" x14ac:dyDescent="0.25">
      <c r="A2250">
        <v>2249</v>
      </c>
      <c r="B2250" s="1">
        <v>45508</v>
      </c>
      <c r="C2250" t="s">
        <v>22</v>
      </c>
      <c r="D2250" t="s">
        <v>20</v>
      </c>
      <c r="E2250">
        <v>41</v>
      </c>
      <c r="F2250">
        <v>51</v>
      </c>
      <c r="G2250">
        <v>3.4</v>
      </c>
      <c r="H2250" t="s">
        <v>18</v>
      </c>
      <c r="I2250" t="s">
        <v>19</v>
      </c>
      <c r="J2250" t="s">
        <v>11</v>
      </c>
      <c r="K2250">
        <f>_xlfn.XLOOKUP(tbl_analysis_tickets[[#This Row],[priority]],tbl_sla[priority],tbl_sla[Resolution SLA Hours])</f>
        <v>24</v>
      </c>
      <c r="L2250">
        <f>_xlfn.XLOOKUP(tbl_analysis_tickets[[#This Row],[priority]],tbl_sla[priority],tbl_sla[First Response SLA Minutes])</f>
        <v>60</v>
      </c>
      <c r="M2250" t="str">
        <f>IF(tbl_analysis_tickets[[#This Row],[resolution_time_hours]]&gt;tbl_analysis_tickets[[#This Row],[Resolution SLA Hours]],"Breached","Within SLA")</f>
        <v>Breached</v>
      </c>
      <c r="N2250" t="str">
        <f>IF(tbl_analysis_tickets[[#This Row],[first_response_minutes]]&gt;tbl_analysis_tickets[[#This Row],[First Response SLA Minutes]],"Breached","Within SLA")</f>
        <v>Within SLA</v>
      </c>
      <c r="O2250" t="str" cm="1">
        <f t="array" ref="O2250">_xlfn.IFS(
tbl_analysis_tickets[[#This Row],[agent_experience_years]]&lt;=2,"Junior",
tbl_analysis_tickets[[#This Row],[agent_experience_years]]&lt;=5,"Mid-Level",
tbl_analysis_tickets[[#This Row],[agent_experience_years]]&lt;=8,"Senior",
tbl_analysis_tickets[[#This Row],[agent_experience_years]]&gt;8,"Expert"
)</f>
        <v>Mid-Level</v>
      </c>
      <c r="P2250" cm="1">
        <f t="array" ref="P2250">_xlfn.SWITCH(tbl_analysis_tickets[[#This Row],[customer_satisfaction]],
"Low",1,
"Medium",2,
"High",3
)</f>
        <v>1</v>
      </c>
      <c r="Q2250">
        <f>IF(tbl_analysis_tickets[[#This Row],[reopened]]="Yes",1,0)</f>
        <v>0</v>
      </c>
      <c r="R2250" t="str" cm="1">
        <f t="array" ref="R2250">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250" t="str" cm="1">
        <f t="array" ref="S225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250" t="str">
        <f>TEXT(tbl_analysis_tickets[[#This Row],[created_date]],"mmm-yyyy")</f>
        <v>Aug-2024</v>
      </c>
      <c r="U2250" t="str">
        <f>TEXT(tbl_analysis_tickets[[#This Row],[created_date]],"dddd")</f>
        <v>Sunday</v>
      </c>
      <c r="V2250" cm="1">
        <f t="array" ref="V2250">_xlfn.SWITCH(tbl_analysis_tickets[[#This Row],[priority]],
"Urgent",1,
"High",2,
"Medium",3,
"Low",4
)</f>
        <v>2</v>
      </c>
    </row>
    <row r="2251" spans="1:22" x14ac:dyDescent="0.25">
      <c r="A2251">
        <v>2250</v>
      </c>
      <c r="B2251" s="1">
        <v>45444</v>
      </c>
      <c r="C2251" t="s">
        <v>10</v>
      </c>
      <c r="D2251" t="s">
        <v>17</v>
      </c>
      <c r="E2251">
        <v>151</v>
      </c>
      <c r="F2251">
        <v>64</v>
      </c>
      <c r="G2251">
        <v>3.3</v>
      </c>
      <c r="H2251" t="s">
        <v>18</v>
      </c>
      <c r="I2251" t="s">
        <v>13</v>
      </c>
      <c r="J2251" t="s">
        <v>11</v>
      </c>
      <c r="K2251">
        <f>_xlfn.XLOOKUP(tbl_analysis_tickets[[#This Row],[priority]],tbl_sla[priority],tbl_sla[Resolution SLA Hours])</f>
        <v>8</v>
      </c>
      <c r="L2251">
        <f>_xlfn.XLOOKUP(tbl_analysis_tickets[[#This Row],[priority]],tbl_sla[priority],tbl_sla[First Response SLA Minutes])</f>
        <v>30</v>
      </c>
      <c r="M2251" t="str">
        <f>IF(tbl_analysis_tickets[[#This Row],[resolution_time_hours]]&gt;tbl_analysis_tickets[[#This Row],[Resolution SLA Hours]],"Breached","Within SLA")</f>
        <v>Breached</v>
      </c>
      <c r="N2251" t="str">
        <f>IF(tbl_analysis_tickets[[#This Row],[first_response_minutes]]&gt;tbl_analysis_tickets[[#This Row],[First Response SLA Minutes]],"Breached","Within SLA")</f>
        <v>Breached</v>
      </c>
      <c r="O2251" t="str" cm="1">
        <f t="array" ref="O2251">_xlfn.IFS(
tbl_analysis_tickets[[#This Row],[agent_experience_years]]&lt;=2,"Junior",
tbl_analysis_tickets[[#This Row],[agent_experience_years]]&lt;=5,"Mid-Level",
tbl_analysis_tickets[[#This Row],[agent_experience_years]]&lt;=8,"Senior",
tbl_analysis_tickets[[#This Row],[agent_experience_years]]&gt;8,"Expert"
)</f>
        <v>Mid-Level</v>
      </c>
      <c r="P2251" cm="1">
        <f t="array" ref="P2251">_xlfn.SWITCH(tbl_analysis_tickets[[#This Row],[customer_satisfaction]],
"Low",1,
"Medium",2,
"High",3
)</f>
        <v>1</v>
      </c>
      <c r="Q2251">
        <f>IF(tbl_analysis_tickets[[#This Row],[reopened]]="Yes",1,0)</f>
        <v>0</v>
      </c>
      <c r="R2251" t="str" cm="1">
        <f t="array" ref="R2251">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251" t="str" cm="1">
        <f t="array" ref="S225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251" t="str">
        <f>TEXT(tbl_analysis_tickets[[#This Row],[created_date]],"mmm-yyyy")</f>
        <v>Jun-2024</v>
      </c>
      <c r="U2251" t="str">
        <f>TEXT(tbl_analysis_tickets[[#This Row],[created_date]],"dddd")</f>
        <v>Saturday</v>
      </c>
      <c r="V2251" cm="1">
        <f t="array" ref="V2251">_xlfn.SWITCH(tbl_analysis_tickets[[#This Row],[priority]],
"Urgent",1,
"High",2,
"Medium",3,
"Low",4
)</f>
        <v>1</v>
      </c>
    </row>
    <row r="2252" spans="1:22" x14ac:dyDescent="0.25">
      <c r="A2252">
        <v>2251</v>
      </c>
      <c r="B2252" s="1">
        <v>45511</v>
      </c>
      <c r="C2252" t="s">
        <v>22</v>
      </c>
      <c r="D2252" t="s">
        <v>20</v>
      </c>
      <c r="E2252">
        <v>194</v>
      </c>
      <c r="F2252">
        <v>3</v>
      </c>
      <c r="G2252">
        <v>2.6</v>
      </c>
      <c r="H2252" t="s">
        <v>18</v>
      </c>
      <c r="I2252" t="s">
        <v>16</v>
      </c>
      <c r="J2252" t="s">
        <v>15</v>
      </c>
      <c r="K2252">
        <f>_xlfn.XLOOKUP(tbl_analysis_tickets[[#This Row],[priority]],tbl_sla[priority],tbl_sla[Resolution SLA Hours])</f>
        <v>24</v>
      </c>
      <c r="L2252">
        <f>_xlfn.XLOOKUP(tbl_analysis_tickets[[#This Row],[priority]],tbl_sla[priority],tbl_sla[First Response SLA Minutes])</f>
        <v>60</v>
      </c>
      <c r="M2252" t="str">
        <f>IF(tbl_analysis_tickets[[#This Row],[resolution_time_hours]]&gt;tbl_analysis_tickets[[#This Row],[Resolution SLA Hours]],"Breached","Within SLA")</f>
        <v>Within SLA</v>
      </c>
      <c r="N2252" t="str">
        <f>IF(tbl_analysis_tickets[[#This Row],[first_response_minutes]]&gt;tbl_analysis_tickets[[#This Row],[First Response SLA Minutes]],"Breached","Within SLA")</f>
        <v>Breached</v>
      </c>
      <c r="O2252" t="str" cm="1">
        <f t="array" ref="O2252">_xlfn.IFS(
tbl_analysis_tickets[[#This Row],[agent_experience_years]]&lt;=2,"Junior",
tbl_analysis_tickets[[#This Row],[agent_experience_years]]&lt;=5,"Mid-Level",
tbl_analysis_tickets[[#This Row],[agent_experience_years]]&lt;=8,"Senior",
tbl_analysis_tickets[[#This Row],[agent_experience_years]]&gt;8,"Expert"
)</f>
        <v>Mid-Level</v>
      </c>
      <c r="P2252" cm="1">
        <f t="array" ref="P2252">_xlfn.SWITCH(tbl_analysis_tickets[[#This Row],[customer_satisfaction]],
"Low",1,
"Medium",2,
"High",3
)</f>
        <v>2</v>
      </c>
      <c r="Q2252">
        <f>IF(tbl_analysis_tickets[[#This Row],[reopened]]="Yes",1,0)</f>
        <v>0</v>
      </c>
      <c r="R2252" t="str" cm="1">
        <f t="array" ref="R2252">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252" t="str" cm="1">
        <f t="array" ref="S225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2252" t="str">
        <f>TEXT(tbl_analysis_tickets[[#This Row],[created_date]],"mmm-yyyy")</f>
        <v>Aug-2024</v>
      </c>
      <c r="U2252" t="str">
        <f>TEXT(tbl_analysis_tickets[[#This Row],[created_date]],"dddd")</f>
        <v>Wednesday</v>
      </c>
      <c r="V2252" cm="1">
        <f t="array" ref="V2252">_xlfn.SWITCH(tbl_analysis_tickets[[#This Row],[priority]],
"Urgent",1,
"High",2,
"Medium",3,
"Low",4
)</f>
        <v>2</v>
      </c>
    </row>
    <row r="2253" spans="1:22" x14ac:dyDescent="0.25">
      <c r="A2253">
        <v>2252</v>
      </c>
      <c r="B2253" s="1">
        <v>45453</v>
      </c>
      <c r="C2253" t="s">
        <v>10</v>
      </c>
      <c r="D2253" t="s">
        <v>11</v>
      </c>
      <c r="E2253">
        <v>36</v>
      </c>
      <c r="F2253">
        <v>23</v>
      </c>
      <c r="G2253">
        <v>6.8</v>
      </c>
      <c r="H2253" t="s">
        <v>12</v>
      </c>
      <c r="I2253" t="s">
        <v>13</v>
      </c>
      <c r="J2253" t="s">
        <v>11</v>
      </c>
      <c r="K2253">
        <f>_xlfn.XLOOKUP(tbl_analysis_tickets[[#This Row],[priority]],tbl_sla[priority],tbl_sla[Resolution SLA Hours])</f>
        <v>72</v>
      </c>
      <c r="L2253">
        <f>_xlfn.XLOOKUP(tbl_analysis_tickets[[#This Row],[priority]],tbl_sla[priority],tbl_sla[First Response SLA Minutes])</f>
        <v>240</v>
      </c>
      <c r="M2253" t="str">
        <f>IF(tbl_analysis_tickets[[#This Row],[resolution_time_hours]]&gt;tbl_analysis_tickets[[#This Row],[Resolution SLA Hours]],"Breached","Within SLA")</f>
        <v>Within SLA</v>
      </c>
      <c r="N2253" t="str">
        <f>IF(tbl_analysis_tickets[[#This Row],[first_response_minutes]]&gt;tbl_analysis_tickets[[#This Row],[First Response SLA Minutes]],"Breached","Within SLA")</f>
        <v>Within SLA</v>
      </c>
      <c r="O2253" t="str" cm="1">
        <f t="array" ref="O2253">_xlfn.IFS(
tbl_analysis_tickets[[#This Row],[agent_experience_years]]&lt;=2,"Junior",
tbl_analysis_tickets[[#This Row],[agent_experience_years]]&lt;=5,"Mid-Level",
tbl_analysis_tickets[[#This Row],[agent_experience_years]]&lt;=8,"Senior",
tbl_analysis_tickets[[#This Row],[agent_experience_years]]&gt;8,"Expert"
)</f>
        <v>Senior</v>
      </c>
      <c r="P2253" cm="1">
        <f t="array" ref="P2253">_xlfn.SWITCH(tbl_analysis_tickets[[#This Row],[customer_satisfaction]],
"Low",1,
"Medium",2,
"High",3
)</f>
        <v>1</v>
      </c>
      <c r="Q2253">
        <f>IF(tbl_analysis_tickets[[#This Row],[reopened]]="Yes",1,0)</f>
        <v>1</v>
      </c>
      <c r="R2253" t="str" cm="1">
        <f t="array" ref="R2253">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253" t="str" cm="1">
        <f t="array" ref="S225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253" t="str">
        <f>TEXT(tbl_analysis_tickets[[#This Row],[created_date]],"mmm-yyyy")</f>
        <v>Jun-2024</v>
      </c>
      <c r="U2253" t="str">
        <f>TEXT(tbl_analysis_tickets[[#This Row],[created_date]],"dddd")</f>
        <v>Monday</v>
      </c>
      <c r="V2253" cm="1">
        <f t="array" ref="V2253">_xlfn.SWITCH(tbl_analysis_tickets[[#This Row],[priority]],
"Urgent",1,
"High",2,
"Medium",3,
"Low",4
)</f>
        <v>4</v>
      </c>
    </row>
    <row r="2254" spans="1:22" x14ac:dyDescent="0.25">
      <c r="A2254">
        <v>2253</v>
      </c>
      <c r="B2254" s="1">
        <v>45325</v>
      </c>
      <c r="C2254" t="s">
        <v>14</v>
      </c>
      <c r="D2254" t="s">
        <v>20</v>
      </c>
      <c r="E2254">
        <v>221</v>
      </c>
      <c r="F2254">
        <v>64</v>
      </c>
      <c r="G2254">
        <v>3.7</v>
      </c>
      <c r="H2254" t="s">
        <v>18</v>
      </c>
      <c r="I2254" t="s">
        <v>16</v>
      </c>
      <c r="J2254" t="s">
        <v>11</v>
      </c>
      <c r="K2254">
        <f>_xlfn.XLOOKUP(tbl_analysis_tickets[[#This Row],[priority]],tbl_sla[priority],tbl_sla[Resolution SLA Hours])</f>
        <v>24</v>
      </c>
      <c r="L2254">
        <f>_xlfn.XLOOKUP(tbl_analysis_tickets[[#This Row],[priority]],tbl_sla[priority],tbl_sla[First Response SLA Minutes])</f>
        <v>60</v>
      </c>
      <c r="M2254" t="str">
        <f>IF(tbl_analysis_tickets[[#This Row],[resolution_time_hours]]&gt;tbl_analysis_tickets[[#This Row],[Resolution SLA Hours]],"Breached","Within SLA")</f>
        <v>Breached</v>
      </c>
      <c r="N2254" t="str">
        <f>IF(tbl_analysis_tickets[[#This Row],[first_response_minutes]]&gt;tbl_analysis_tickets[[#This Row],[First Response SLA Minutes]],"Breached","Within SLA")</f>
        <v>Breached</v>
      </c>
      <c r="O2254" t="str" cm="1">
        <f t="array" ref="O2254">_xlfn.IFS(
tbl_analysis_tickets[[#This Row],[agent_experience_years]]&lt;=2,"Junior",
tbl_analysis_tickets[[#This Row],[agent_experience_years]]&lt;=5,"Mid-Level",
tbl_analysis_tickets[[#This Row],[agent_experience_years]]&lt;=8,"Senior",
tbl_analysis_tickets[[#This Row],[agent_experience_years]]&gt;8,"Expert"
)</f>
        <v>Mid-Level</v>
      </c>
      <c r="P2254" cm="1">
        <f t="array" ref="P2254">_xlfn.SWITCH(tbl_analysis_tickets[[#This Row],[customer_satisfaction]],
"Low",1,
"Medium",2,
"High",3
)</f>
        <v>1</v>
      </c>
      <c r="Q2254">
        <f>IF(tbl_analysis_tickets[[#This Row],[reopened]]="Yes",1,0)</f>
        <v>0</v>
      </c>
      <c r="R2254" t="str" cm="1">
        <f t="array" ref="R2254">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254" t="str" cm="1">
        <f t="array" ref="S225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254" t="str">
        <f>TEXT(tbl_analysis_tickets[[#This Row],[created_date]],"mmm-yyyy")</f>
        <v>Feb-2024</v>
      </c>
      <c r="U2254" t="str">
        <f>TEXT(tbl_analysis_tickets[[#This Row],[created_date]],"dddd")</f>
        <v>Saturday</v>
      </c>
      <c r="V2254" cm="1">
        <f t="array" ref="V2254">_xlfn.SWITCH(tbl_analysis_tickets[[#This Row],[priority]],
"Urgent",1,
"High",2,
"Medium",3,
"Low",4
)</f>
        <v>2</v>
      </c>
    </row>
    <row r="2255" spans="1:22" x14ac:dyDescent="0.25">
      <c r="A2255">
        <v>2254</v>
      </c>
      <c r="B2255" s="1">
        <v>45594</v>
      </c>
      <c r="C2255" t="s">
        <v>14</v>
      </c>
      <c r="D2255" t="s">
        <v>17</v>
      </c>
      <c r="E2255">
        <v>180</v>
      </c>
      <c r="F2255">
        <v>51</v>
      </c>
      <c r="G2255">
        <v>0.8</v>
      </c>
      <c r="H2255" t="s">
        <v>12</v>
      </c>
      <c r="I2255" t="s">
        <v>16</v>
      </c>
      <c r="J2255" t="s">
        <v>11</v>
      </c>
      <c r="K2255">
        <f>_xlfn.XLOOKUP(tbl_analysis_tickets[[#This Row],[priority]],tbl_sla[priority],tbl_sla[Resolution SLA Hours])</f>
        <v>8</v>
      </c>
      <c r="L2255">
        <f>_xlfn.XLOOKUP(tbl_analysis_tickets[[#This Row],[priority]],tbl_sla[priority],tbl_sla[First Response SLA Minutes])</f>
        <v>30</v>
      </c>
      <c r="M2255" t="str">
        <f>IF(tbl_analysis_tickets[[#This Row],[resolution_time_hours]]&gt;tbl_analysis_tickets[[#This Row],[Resolution SLA Hours]],"Breached","Within SLA")</f>
        <v>Breached</v>
      </c>
      <c r="N2255" t="str">
        <f>IF(tbl_analysis_tickets[[#This Row],[first_response_minutes]]&gt;tbl_analysis_tickets[[#This Row],[First Response SLA Minutes]],"Breached","Within SLA")</f>
        <v>Breached</v>
      </c>
      <c r="O2255" t="str" cm="1">
        <f t="array" ref="O2255">_xlfn.IFS(
tbl_analysis_tickets[[#This Row],[agent_experience_years]]&lt;=2,"Junior",
tbl_analysis_tickets[[#This Row],[agent_experience_years]]&lt;=5,"Mid-Level",
tbl_analysis_tickets[[#This Row],[agent_experience_years]]&lt;=8,"Senior",
tbl_analysis_tickets[[#This Row],[agent_experience_years]]&gt;8,"Expert"
)</f>
        <v>Junior</v>
      </c>
      <c r="P2255" cm="1">
        <f t="array" ref="P2255">_xlfn.SWITCH(tbl_analysis_tickets[[#This Row],[customer_satisfaction]],
"Low",1,
"Medium",2,
"High",3
)</f>
        <v>1</v>
      </c>
      <c r="Q2255">
        <f>IF(tbl_analysis_tickets[[#This Row],[reopened]]="Yes",1,0)</f>
        <v>1</v>
      </c>
      <c r="R2255" t="str" cm="1">
        <f t="array" ref="R2255">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255" t="str" cm="1">
        <f t="array" ref="S225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255" t="str">
        <f>TEXT(tbl_analysis_tickets[[#This Row],[created_date]],"mmm-yyyy")</f>
        <v>Oct-2024</v>
      </c>
      <c r="U2255" t="str">
        <f>TEXT(tbl_analysis_tickets[[#This Row],[created_date]],"dddd")</f>
        <v>Tuesday</v>
      </c>
      <c r="V2255" cm="1">
        <f t="array" ref="V2255">_xlfn.SWITCH(tbl_analysis_tickets[[#This Row],[priority]],
"Urgent",1,
"High",2,
"Medium",3,
"Low",4
)</f>
        <v>1</v>
      </c>
    </row>
    <row r="2256" spans="1:22" x14ac:dyDescent="0.25">
      <c r="A2256">
        <v>2255</v>
      </c>
      <c r="B2256" s="1">
        <v>45326</v>
      </c>
      <c r="C2256" t="s">
        <v>23</v>
      </c>
      <c r="D2256" t="s">
        <v>11</v>
      </c>
      <c r="E2256">
        <v>90</v>
      </c>
      <c r="F2256">
        <v>22</v>
      </c>
      <c r="G2256">
        <v>7.4</v>
      </c>
      <c r="H2256" t="s">
        <v>12</v>
      </c>
      <c r="I2256" t="s">
        <v>13</v>
      </c>
      <c r="J2256" t="s">
        <v>11</v>
      </c>
      <c r="K2256">
        <f>_xlfn.XLOOKUP(tbl_analysis_tickets[[#This Row],[priority]],tbl_sla[priority],tbl_sla[Resolution SLA Hours])</f>
        <v>72</v>
      </c>
      <c r="L2256">
        <f>_xlfn.XLOOKUP(tbl_analysis_tickets[[#This Row],[priority]],tbl_sla[priority],tbl_sla[First Response SLA Minutes])</f>
        <v>240</v>
      </c>
      <c r="M2256" t="str">
        <f>IF(tbl_analysis_tickets[[#This Row],[resolution_time_hours]]&gt;tbl_analysis_tickets[[#This Row],[Resolution SLA Hours]],"Breached","Within SLA")</f>
        <v>Within SLA</v>
      </c>
      <c r="N2256" t="str">
        <f>IF(tbl_analysis_tickets[[#This Row],[first_response_minutes]]&gt;tbl_analysis_tickets[[#This Row],[First Response SLA Minutes]],"Breached","Within SLA")</f>
        <v>Within SLA</v>
      </c>
      <c r="O2256" t="str" cm="1">
        <f t="array" ref="O2256">_xlfn.IFS(
tbl_analysis_tickets[[#This Row],[agent_experience_years]]&lt;=2,"Junior",
tbl_analysis_tickets[[#This Row],[agent_experience_years]]&lt;=5,"Mid-Level",
tbl_analysis_tickets[[#This Row],[agent_experience_years]]&lt;=8,"Senior",
tbl_analysis_tickets[[#This Row],[agent_experience_years]]&gt;8,"Expert"
)</f>
        <v>Senior</v>
      </c>
      <c r="P2256" cm="1">
        <f t="array" ref="P2256">_xlfn.SWITCH(tbl_analysis_tickets[[#This Row],[customer_satisfaction]],
"Low",1,
"Medium",2,
"High",3
)</f>
        <v>1</v>
      </c>
      <c r="Q2256">
        <f>IF(tbl_analysis_tickets[[#This Row],[reopened]]="Yes",1,0)</f>
        <v>1</v>
      </c>
      <c r="R2256" t="str" cm="1">
        <f t="array" ref="R2256">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256" t="str" cm="1">
        <f t="array" ref="S225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256" t="str">
        <f>TEXT(tbl_analysis_tickets[[#This Row],[created_date]],"mmm-yyyy")</f>
        <v>Feb-2024</v>
      </c>
      <c r="U2256" t="str">
        <f>TEXT(tbl_analysis_tickets[[#This Row],[created_date]],"dddd")</f>
        <v>Sunday</v>
      </c>
      <c r="V2256" cm="1">
        <f t="array" ref="V2256">_xlfn.SWITCH(tbl_analysis_tickets[[#This Row],[priority]],
"Urgent",1,
"High",2,
"Medium",3,
"Low",4
)</f>
        <v>4</v>
      </c>
    </row>
    <row r="2257" spans="1:22" x14ac:dyDescent="0.25">
      <c r="A2257">
        <v>2256</v>
      </c>
      <c r="B2257" s="1">
        <v>45556</v>
      </c>
      <c r="C2257" t="s">
        <v>21</v>
      </c>
      <c r="D2257" t="s">
        <v>17</v>
      </c>
      <c r="E2257">
        <v>31</v>
      </c>
      <c r="F2257">
        <v>7</v>
      </c>
      <c r="G2257">
        <v>2.5</v>
      </c>
      <c r="H2257" t="s">
        <v>12</v>
      </c>
      <c r="I2257" t="s">
        <v>19</v>
      </c>
      <c r="J2257" t="s">
        <v>11</v>
      </c>
      <c r="K2257">
        <f>_xlfn.XLOOKUP(tbl_analysis_tickets[[#This Row],[priority]],tbl_sla[priority],tbl_sla[Resolution SLA Hours])</f>
        <v>8</v>
      </c>
      <c r="L2257">
        <f>_xlfn.XLOOKUP(tbl_analysis_tickets[[#This Row],[priority]],tbl_sla[priority],tbl_sla[First Response SLA Minutes])</f>
        <v>30</v>
      </c>
      <c r="M2257" t="str">
        <f>IF(tbl_analysis_tickets[[#This Row],[resolution_time_hours]]&gt;tbl_analysis_tickets[[#This Row],[Resolution SLA Hours]],"Breached","Within SLA")</f>
        <v>Within SLA</v>
      </c>
      <c r="N2257" t="str">
        <f>IF(tbl_analysis_tickets[[#This Row],[first_response_minutes]]&gt;tbl_analysis_tickets[[#This Row],[First Response SLA Minutes]],"Breached","Within SLA")</f>
        <v>Breached</v>
      </c>
      <c r="O2257" t="str" cm="1">
        <f t="array" ref="O2257">_xlfn.IFS(
tbl_analysis_tickets[[#This Row],[agent_experience_years]]&lt;=2,"Junior",
tbl_analysis_tickets[[#This Row],[agent_experience_years]]&lt;=5,"Mid-Level",
tbl_analysis_tickets[[#This Row],[agent_experience_years]]&lt;=8,"Senior",
tbl_analysis_tickets[[#This Row],[agent_experience_years]]&gt;8,"Expert"
)</f>
        <v>Mid-Level</v>
      </c>
      <c r="P2257" cm="1">
        <f t="array" ref="P2257">_xlfn.SWITCH(tbl_analysis_tickets[[#This Row],[customer_satisfaction]],
"Low",1,
"Medium",2,
"High",3
)</f>
        <v>1</v>
      </c>
      <c r="Q2257">
        <f>IF(tbl_analysis_tickets[[#This Row],[reopened]]="Yes",1,0)</f>
        <v>1</v>
      </c>
      <c r="R2257" t="str" cm="1">
        <f t="array" ref="R2257">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257" t="str" cm="1">
        <f t="array" ref="S225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2257" t="str">
        <f>TEXT(tbl_analysis_tickets[[#This Row],[created_date]],"mmm-yyyy")</f>
        <v>Sep-2024</v>
      </c>
      <c r="U2257" t="str">
        <f>TEXT(tbl_analysis_tickets[[#This Row],[created_date]],"dddd")</f>
        <v>Saturday</v>
      </c>
      <c r="V2257" cm="1">
        <f t="array" ref="V2257">_xlfn.SWITCH(tbl_analysis_tickets[[#This Row],[priority]],
"Urgent",1,
"High",2,
"Medium",3,
"Low",4
)</f>
        <v>1</v>
      </c>
    </row>
    <row r="2258" spans="1:22" x14ac:dyDescent="0.25">
      <c r="A2258">
        <v>2257</v>
      </c>
      <c r="B2258" s="1">
        <v>45608</v>
      </c>
      <c r="C2258" t="s">
        <v>14</v>
      </c>
      <c r="D2258" t="s">
        <v>17</v>
      </c>
      <c r="E2258">
        <v>112</v>
      </c>
      <c r="F2258">
        <v>51</v>
      </c>
      <c r="G2258">
        <v>4.0999999999999996</v>
      </c>
      <c r="H2258" t="s">
        <v>18</v>
      </c>
      <c r="I2258" t="s">
        <v>19</v>
      </c>
      <c r="J2258" t="s">
        <v>11</v>
      </c>
      <c r="K2258">
        <f>_xlfn.XLOOKUP(tbl_analysis_tickets[[#This Row],[priority]],tbl_sla[priority],tbl_sla[Resolution SLA Hours])</f>
        <v>8</v>
      </c>
      <c r="L2258">
        <f>_xlfn.XLOOKUP(tbl_analysis_tickets[[#This Row],[priority]],tbl_sla[priority],tbl_sla[First Response SLA Minutes])</f>
        <v>30</v>
      </c>
      <c r="M2258" t="str">
        <f>IF(tbl_analysis_tickets[[#This Row],[resolution_time_hours]]&gt;tbl_analysis_tickets[[#This Row],[Resolution SLA Hours]],"Breached","Within SLA")</f>
        <v>Breached</v>
      </c>
      <c r="N2258" t="str">
        <f>IF(tbl_analysis_tickets[[#This Row],[first_response_minutes]]&gt;tbl_analysis_tickets[[#This Row],[First Response SLA Minutes]],"Breached","Within SLA")</f>
        <v>Breached</v>
      </c>
      <c r="O2258" t="str" cm="1">
        <f t="array" ref="O2258">_xlfn.IFS(
tbl_analysis_tickets[[#This Row],[agent_experience_years]]&lt;=2,"Junior",
tbl_analysis_tickets[[#This Row],[agent_experience_years]]&lt;=5,"Mid-Level",
tbl_analysis_tickets[[#This Row],[agent_experience_years]]&lt;=8,"Senior",
tbl_analysis_tickets[[#This Row],[agent_experience_years]]&gt;8,"Expert"
)</f>
        <v>Mid-Level</v>
      </c>
      <c r="P2258" cm="1">
        <f t="array" ref="P2258">_xlfn.SWITCH(tbl_analysis_tickets[[#This Row],[customer_satisfaction]],
"Low",1,
"Medium",2,
"High",3
)</f>
        <v>1</v>
      </c>
      <c r="Q2258">
        <f>IF(tbl_analysis_tickets[[#This Row],[reopened]]="Yes",1,0)</f>
        <v>0</v>
      </c>
      <c r="R2258" t="str" cm="1">
        <f t="array" ref="R2258">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258" t="str" cm="1">
        <f t="array" ref="S225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258" t="str">
        <f>TEXT(tbl_analysis_tickets[[#This Row],[created_date]],"mmm-yyyy")</f>
        <v>Nov-2024</v>
      </c>
      <c r="U2258" t="str">
        <f>TEXT(tbl_analysis_tickets[[#This Row],[created_date]],"dddd")</f>
        <v>Tuesday</v>
      </c>
      <c r="V2258" cm="1">
        <f t="array" ref="V2258">_xlfn.SWITCH(tbl_analysis_tickets[[#This Row],[priority]],
"Urgent",1,
"High",2,
"Medium",3,
"Low",4
)</f>
        <v>1</v>
      </c>
    </row>
    <row r="2259" spans="1:22" x14ac:dyDescent="0.25">
      <c r="A2259">
        <v>2258</v>
      </c>
      <c r="B2259" s="1">
        <v>45318</v>
      </c>
      <c r="C2259" t="s">
        <v>23</v>
      </c>
      <c r="D2259" t="s">
        <v>20</v>
      </c>
      <c r="E2259">
        <v>187</v>
      </c>
      <c r="F2259">
        <v>23</v>
      </c>
      <c r="G2259">
        <v>3.1</v>
      </c>
      <c r="H2259" t="s">
        <v>18</v>
      </c>
      <c r="I2259" t="s">
        <v>13</v>
      </c>
      <c r="J2259" t="s">
        <v>11</v>
      </c>
      <c r="K2259">
        <f>_xlfn.XLOOKUP(tbl_analysis_tickets[[#This Row],[priority]],tbl_sla[priority],tbl_sla[Resolution SLA Hours])</f>
        <v>24</v>
      </c>
      <c r="L2259">
        <f>_xlfn.XLOOKUP(tbl_analysis_tickets[[#This Row],[priority]],tbl_sla[priority],tbl_sla[First Response SLA Minutes])</f>
        <v>60</v>
      </c>
      <c r="M2259" t="str">
        <f>IF(tbl_analysis_tickets[[#This Row],[resolution_time_hours]]&gt;tbl_analysis_tickets[[#This Row],[Resolution SLA Hours]],"Breached","Within SLA")</f>
        <v>Within SLA</v>
      </c>
      <c r="N2259" t="str">
        <f>IF(tbl_analysis_tickets[[#This Row],[first_response_minutes]]&gt;tbl_analysis_tickets[[#This Row],[First Response SLA Minutes]],"Breached","Within SLA")</f>
        <v>Breached</v>
      </c>
      <c r="O2259" t="str" cm="1">
        <f t="array" ref="O2259">_xlfn.IFS(
tbl_analysis_tickets[[#This Row],[agent_experience_years]]&lt;=2,"Junior",
tbl_analysis_tickets[[#This Row],[agent_experience_years]]&lt;=5,"Mid-Level",
tbl_analysis_tickets[[#This Row],[agent_experience_years]]&lt;=8,"Senior",
tbl_analysis_tickets[[#This Row],[agent_experience_years]]&gt;8,"Expert"
)</f>
        <v>Mid-Level</v>
      </c>
      <c r="P2259" cm="1">
        <f t="array" ref="P2259">_xlfn.SWITCH(tbl_analysis_tickets[[#This Row],[customer_satisfaction]],
"Low",1,
"Medium",2,
"High",3
)</f>
        <v>1</v>
      </c>
      <c r="Q2259">
        <f>IF(tbl_analysis_tickets[[#This Row],[reopened]]="Yes",1,0)</f>
        <v>0</v>
      </c>
      <c r="R2259" t="str" cm="1">
        <f t="array" ref="R2259">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259" t="str" cm="1">
        <f t="array" ref="S225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259" t="str">
        <f>TEXT(tbl_analysis_tickets[[#This Row],[created_date]],"mmm-yyyy")</f>
        <v>Jan-2024</v>
      </c>
      <c r="U2259" t="str">
        <f>TEXT(tbl_analysis_tickets[[#This Row],[created_date]],"dddd")</f>
        <v>Saturday</v>
      </c>
      <c r="V2259" cm="1">
        <f t="array" ref="V2259">_xlfn.SWITCH(tbl_analysis_tickets[[#This Row],[priority]],
"Urgent",1,
"High",2,
"Medium",3,
"Low",4
)</f>
        <v>2</v>
      </c>
    </row>
    <row r="2260" spans="1:22" x14ac:dyDescent="0.25">
      <c r="A2260">
        <v>2259</v>
      </c>
      <c r="B2260" s="1">
        <v>45420</v>
      </c>
      <c r="C2260" t="s">
        <v>22</v>
      </c>
      <c r="D2260" t="s">
        <v>15</v>
      </c>
      <c r="E2260">
        <v>169</v>
      </c>
      <c r="F2260">
        <v>21</v>
      </c>
      <c r="G2260">
        <v>8.9</v>
      </c>
      <c r="H2260" t="s">
        <v>12</v>
      </c>
      <c r="I2260" t="s">
        <v>13</v>
      </c>
      <c r="J2260" t="s">
        <v>11</v>
      </c>
      <c r="K2260">
        <f>_xlfn.XLOOKUP(tbl_analysis_tickets[[#This Row],[priority]],tbl_sla[priority],tbl_sla[Resolution SLA Hours])</f>
        <v>48</v>
      </c>
      <c r="L2260">
        <f>_xlfn.XLOOKUP(tbl_analysis_tickets[[#This Row],[priority]],tbl_sla[priority],tbl_sla[First Response SLA Minutes])</f>
        <v>120</v>
      </c>
      <c r="M2260" t="str">
        <f>IF(tbl_analysis_tickets[[#This Row],[resolution_time_hours]]&gt;tbl_analysis_tickets[[#This Row],[Resolution SLA Hours]],"Breached","Within SLA")</f>
        <v>Within SLA</v>
      </c>
      <c r="N2260" t="str">
        <f>IF(tbl_analysis_tickets[[#This Row],[first_response_minutes]]&gt;tbl_analysis_tickets[[#This Row],[First Response SLA Minutes]],"Breached","Within SLA")</f>
        <v>Breached</v>
      </c>
      <c r="O2260" t="str" cm="1">
        <f t="array" ref="O2260">_xlfn.IFS(
tbl_analysis_tickets[[#This Row],[agent_experience_years]]&lt;=2,"Junior",
tbl_analysis_tickets[[#This Row],[agent_experience_years]]&lt;=5,"Mid-Level",
tbl_analysis_tickets[[#This Row],[agent_experience_years]]&lt;=8,"Senior",
tbl_analysis_tickets[[#This Row],[agent_experience_years]]&gt;8,"Expert"
)</f>
        <v>Expert</v>
      </c>
      <c r="P2260" cm="1">
        <f t="array" ref="P2260">_xlfn.SWITCH(tbl_analysis_tickets[[#This Row],[customer_satisfaction]],
"Low",1,
"Medium",2,
"High",3
)</f>
        <v>1</v>
      </c>
      <c r="Q2260">
        <f>IF(tbl_analysis_tickets[[#This Row],[reopened]]="Yes",1,0)</f>
        <v>1</v>
      </c>
      <c r="R2260" t="str" cm="1">
        <f t="array" ref="R2260">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260" t="str" cm="1">
        <f t="array" ref="S226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260" t="str">
        <f>TEXT(tbl_analysis_tickets[[#This Row],[created_date]],"mmm-yyyy")</f>
        <v>May-2024</v>
      </c>
      <c r="U2260" t="str">
        <f>TEXT(tbl_analysis_tickets[[#This Row],[created_date]],"dddd")</f>
        <v>Wednesday</v>
      </c>
      <c r="V2260" cm="1">
        <f t="array" ref="V2260">_xlfn.SWITCH(tbl_analysis_tickets[[#This Row],[priority]],
"Urgent",1,
"High",2,
"Medium",3,
"Low",4
)</f>
        <v>3</v>
      </c>
    </row>
    <row r="2261" spans="1:22" x14ac:dyDescent="0.25">
      <c r="A2261">
        <v>2260</v>
      </c>
      <c r="B2261" s="1">
        <v>45367</v>
      </c>
      <c r="C2261" t="s">
        <v>21</v>
      </c>
      <c r="D2261" t="s">
        <v>11</v>
      </c>
      <c r="E2261">
        <v>90</v>
      </c>
      <c r="F2261">
        <v>29</v>
      </c>
      <c r="G2261">
        <v>0.7</v>
      </c>
      <c r="H2261" t="s">
        <v>12</v>
      </c>
      <c r="I2261" t="s">
        <v>16</v>
      </c>
      <c r="J2261" t="s">
        <v>11</v>
      </c>
      <c r="K2261">
        <f>_xlfn.XLOOKUP(tbl_analysis_tickets[[#This Row],[priority]],tbl_sla[priority],tbl_sla[Resolution SLA Hours])</f>
        <v>72</v>
      </c>
      <c r="L2261">
        <f>_xlfn.XLOOKUP(tbl_analysis_tickets[[#This Row],[priority]],tbl_sla[priority],tbl_sla[First Response SLA Minutes])</f>
        <v>240</v>
      </c>
      <c r="M2261" t="str">
        <f>IF(tbl_analysis_tickets[[#This Row],[resolution_time_hours]]&gt;tbl_analysis_tickets[[#This Row],[Resolution SLA Hours]],"Breached","Within SLA")</f>
        <v>Within SLA</v>
      </c>
      <c r="N2261" t="str">
        <f>IF(tbl_analysis_tickets[[#This Row],[first_response_minutes]]&gt;tbl_analysis_tickets[[#This Row],[First Response SLA Minutes]],"Breached","Within SLA")</f>
        <v>Within SLA</v>
      </c>
      <c r="O2261" t="str" cm="1">
        <f t="array" ref="O2261">_xlfn.IFS(
tbl_analysis_tickets[[#This Row],[agent_experience_years]]&lt;=2,"Junior",
tbl_analysis_tickets[[#This Row],[agent_experience_years]]&lt;=5,"Mid-Level",
tbl_analysis_tickets[[#This Row],[agent_experience_years]]&lt;=8,"Senior",
tbl_analysis_tickets[[#This Row],[agent_experience_years]]&gt;8,"Expert"
)</f>
        <v>Junior</v>
      </c>
      <c r="P2261" cm="1">
        <f t="array" ref="P2261">_xlfn.SWITCH(tbl_analysis_tickets[[#This Row],[customer_satisfaction]],
"Low",1,
"Medium",2,
"High",3
)</f>
        <v>1</v>
      </c>
      <c r="Q2261">
        <f>IF(tbl_analysis_tickets[[#This Row],[reopened]]="Yes",1,0)</f>
        <v>1</v>
      </c>
      <c r="R2261" t="str" cm="1">
        <f t="array" ref="R2261">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261" t="str" cm="1">
        <f t="array" ref="S226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261" t="str">
        <f>TEXT(tbl_analysis_tickets[[#This Row],[created_date]],"mmm-yyyy")</f>
        <v>Mar-2024</v>
      </c>
      <c r="U2261" t="str">
        <f>TEXT(tbl_analysis_tickets[[#This Row],[created_date]],"dddd")</f>
        <v>Saturday</v>
      </c>
      <c r="V2261" cm="1">
        <f t="array" ref="V2261">_xlfn.SWITCH(tbl_analysis_tickets[[#This Row],[priority]],
"Urgent",1,
"High",2,
"Medium",3,
"Low",4
)</f>
        <v>4</v>
      </c>
    </row>
    <row r="2262" spans="1:22" x14ac:dyDescent="0.25">
      <c r="A2262">
        <v>2261</v>
      </c>
      <c r="B2262" s="1">
        <v>45475</v>
      </c>
      <c r="C2262" t="s">
        <v>14</v>
      </c>
      <c r="D2262" t="s">
        <v>17</v>
      </c>
      <c r="E2262">
        <v>96</v>
      </c>
      <c r="F2262">
        <v>7</v>
      </c>
      <c r="G2262">
        <v>2.7</v>
      </c>
      <c r="H2262" t="s">
        <v>12</v>
      </c>
      <c r="I2262" t="s">
        <v>16</v>
      </c>
      <c r="J2262" t="s">
        <v>11</v>
      </c>
      <c r="K2262">
        <f>_xlfn.XLOOKUP(tbl_analysis_tickets[[#This Row],[priority]],tbl_sla[priority],tbl_sla[Resolution SLA Hours])</f>
        <v>8</v>
      </c>
      <c r="L2262">
        <f>_xlfn.XLOOKUP(tbl_analysis_tickets[[#This Row],[priority]],tbl_sla[priority],tbl_sla[First Response SLA Minutes])</f>
        <v>30</v>
      </c>
      <c r="M2262" t="str">
        <f>IF(tbl_analysis_tickets[[#This Row],[resolution_time_hours]]&gt;tbl_analysis_tickets[[#This Row],[Resolution SLA Hours]],"Breached","Within SLA")</f>
        <v>Within SLA</v>
      </c>
      <c r="N2262" t="str">
        <f>IF(tbl_analysis_tickets[[#This Row],[first_response_minutes]]&gt;tbl_analysis_tickets[[#This Row],[First Response SLA Minutes]],"Breached","Within SLA")</f>
        <v>Breached</v>
      </c>
      <c r="O2262" t="str" cm="1">
        <f t="array" ref="O2262">_xlfn.IFS(
tbl_analysis_tickets[[#This Row],[agent_experience_years]]&lt;=2,"Junior",
tbl_analysis_tickets[[#This Row],[agent_experience_years]]&lt;=5,"Mid-Level",
tbl_analysis_tickets[[#This Row],[agent_experience_years]]&lt;=8,"Senior",
tbl_analysis_tickets[[#This Row],[agent_experience_years]]&gt;8,"Expert"
)</f>
        <v>Mid-Level</v>
      </c>
      <c r="P2262" cm="1">
        <f t="array" ref="P2262">_xlfn.SWITCH(tbl_analysis_tickets[[#This Row],[customer_satisfaction]],
"Low",1,
"Medium",2,
"High",3
)</f>
        <v>1</v>
      </c>
      <c r="Q2262">
        <f>IF(tbl_analysis_tickets[[#This Row],[reopened]]="Yes",1,0)</f>
        <v>1</v>
      </c>
      <c r="R2262" t="str" cm="1">
        <f t="array" ref="R2262">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262" t="str" cm="1">
        <f t="array" ref="S226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2262" t="str">
        <f>TEXT(tbl_analysis_tickets[[#This Row],[created_date]],"mmm-yyyy")</f>
        <v>Jul-2024</v>
      </c>
      <c r="U2262" t="str">
        <f>TEXT(tbl_analysis_tickets[[#This Row],[created_date]],"dddd")</f>
        <v>Tuesday</v>
      </c>
      <c r="V2262" cm="1">
        <f t="array" ref="V2262">_xlfn.SWITCH(tbl_analysis_tickets[[#This Row],[priority]],
"Urgent",1,
"High",2,
"Medium",3,
"Low",4
)</f>
        <v>1</v>
      </c>
    </row>
    <row r="2263" spans="1:22" x14ac:dyDescent="0.25">
      <c r="A2263">
        <v>2262</v>
      </c>
      <c r="B2263" s="1">
        <v>45479</v>
      </c>
      <c r="C2263" t="s">
        <v>23</v>
      </c>
      <c r="D2263" t="s">
        <v>17</v>
      </c>
      <c r="E2263">
        <v>42</v>
      </c>
      <c r="F2263">
        <v>58</v>
      </c>
      <c r="G2263">
        <v>8.6</v>
      </c>
      <c r="H2263" t="s">
        <v>12</v>
      </c>
      <c r="I2263" t="s">
        <v>13</v>
      </c>
      <c r="J2263" t="s">
        <v>11</v>
      </c>
      <c r="K2263">
        <f>_xlfn.XLOOKUP(tbl_analysis_tickets[[#This Row],[priority]],tbl_sla[priority],tbl_sla[Resolution SLA Hours])</f>
        <v>8</v>
      </c>
      <c r="L2263">
        <f>_xlfn.XLOOKUP(tbl_analysis_tickets[[#This Row],[priority]],tbl_sla[priority],tbl_sla[First Response SLA Minutes])</f>
        <v>30</v>
      </c>
      <c r="M2263" t="str">
        <f>IF(tbl_analysis_tickets[[#This Row],[resolution_time_hours]]&gt;tbl_analysis_tickets[[#This Row],[Resolution SLA Hours]],"Breached","Within SLA")</f>
        <v>Breached</v>
      </c>
      <c r="N2263" t="str">
        <f>IF(tbl_analysis_tickets[[#This Row],[first_response_minutes]]&gt;tbl_analysis_tickets[[#This Row],[First Response SLA Minutes]],"Breached","Within SLA")</f>
        <v>Breached</v>
      </c>
      <c r="O2263" t="str" cm="1">
        <f t="array" ref="O2263">_xlfn.IFS(
tbl_analysis_tickets[[#This Row],[agent_experience_years]]&lt;=2,"Junior",
tbl_analysis_tickets[[#This Row],[agent_experience_years]]&lt;=5,"Mid-Level",
tbl_analysis_tickets[[#This Row],[agent_experience_years]]&lt;=8,"Senior",
tbl_analysis_tickets[[#This Row],[agent_experience_years]]&gt;8,"Expert"
)</f>
        <v>Expert</v>
      </c>
      <c r="P2263" cm="1">
        <f t="array" ref="P2263">_xlfn.SWITCH(tbl_analysis_tickets[[#This Row],[customer_satisfaction]],
"Low",1,
"Medium",2,
"High",3
)</f>
        <v>1</v>
      </c>
      <c r="Q2263">
        <f>IF(tbl_analysis_tickets[[#This Row],[reopened]]="Yes",1,0)</f>
        <v>1</v>
      </c>
      <c r="R2263" t="str" cm="1">
        <f t="array" ref="R2263">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263" t="str" cm="1">
        <f t="array" ref="S226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263" t="str">
        <f>TEXT(tbl_analysis_tickets[[#This Row],[created_date]],"mmm-yyyy")</f>
        <v>Jul-2024</v>
      </c>
      <c r="U2263" t="str">
        <f>TEXT(tbl_analysis_tickets[[#This Row],[created_date]],"dddd")</f>
        <v>Saturday</v>
      </c>
      <c r="V2263" cm="1">
        <f t="array" ref="V2263">_xlfn.SWITCH(tbl_analysis_tickets[[#This Row],[priority]],
"Urgent",1,
"High",2,
"Medium",3,
"Low",4
)</f>
        <v>1</v>
      </c>
    </row>
    <row r="2264" spans="1:22" x14ac:dyDescent="0.25">
      <c r="A2264">
        <v>2263</v>
      </c>
      <c r="B2264" s="1">
        <v>45650</v>
      </c>
      <c r="C2264" t="s">
        <v>14</v>
      </c>
      <c r="D2264" t="s">
        <v>15</v>
      </c>
      <c r="E2264">
        <v>108</v>
      </c>
      <c r="F2264">
        <v>39</v>
      </c>
      <c r="G2264">
        <v>3</v>
      </c>
      <c r="H2264" t="s">
        <v>12</v>
      </c>
      <c r="I2264" t="s">
        <v>16</v>
      </c>
      <c r="J2264" t="s">
        <v>11</v>
      </c>
      <c r="K2264">
        <f>_xlfn.XLOOKUP(tbl_analysis_tickets[[#This Row],[priority]],tbl_sla[priority],tbl_sla[Resolution SLA Hours])</f>
        <v>48</v>
      </c>
      <c r="L2264">
        <f>_xlfn.XLOOKUP(tbl_analysis_tickets[[#This Row],[priority]],tbl_sla[priority],tbl_sla[First Response SLA Minutes])</f>
        <v>120</v>
      </c>
      <c r="M2264" t="str">
        <f>IF(tbl_analysis_tickets[[#This Row],[resolution_time_hours]]&gt;tbl_analysis_tickets[[#This Row],[Resolution SLA Hours]],"Breached","Within SLA")</f>
        <v>Within SLA</v>
      </c>
      <c r="N2264" t="str">
        <f>IF(tbl_analysis_tickets[[#This Row],[first_response_minutes]]&gt;tbl_analysis_tickets[[#This Row],[First Response SLA Minutes]],"Breached","Within SLA")</f>
        <v>Within SLA</v>
      </c>
      <c r="O2264" t="str" cm="1">
        <f t="array" ref="O2264">_xlfn.IFS(
tbl_analysis_tickets[[#This Row],[agent_experience_years]]&lt;=2,"Junior",
tbl_analysis_tickets[[#This Row],[agent_experience_years]]&lt;=5,"Mid-Level",
tbl_analysis_tickets[[#This Row],[agent_experience_years]]&lt;=8,"Senior",
tbl_analysis_tickets[[#This Row],[agent_experience_years]]&gt;8,"Expert"
)</f>
        <v>Mid-Level</v>
      </c>
      <c r="P2264" cm="1">
        <f t="array" ref="P2264">_xlfn.SWITCH(tbl_analysis_tickets[[#This Row],[customer_satisfaction]],
"Low",1,
"Medium",2,
"High",3
)</f>
        <v>1</v>
      </c>
      <c r="Q2264">
        <f>IF(tbl_analysis_tickets[[#This Row],[reopened]]="Yes",1,0)</f>
        <v>1</v>
      </c>
      <c r="R2264" t="str" cm="1">
        <f t="array" ref="R2264">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264" t="str" cm="1">
        <f t="array" ref="S226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264" t="str">
        <f>TEXT(tbl_analysis_tickets[[#This Row],[created_date]],"mmm-yyyy")</f>
        <v>Dec-2024</v>
      </c>
      <c r="U2264" t="str">
        <f>TEXT(tbl_analysis_tickets[[#This Row],[created_date]],"dddd")</f>
        <v>Tuesday</v>
      </c>
      <c r="V2264" cm="1">
        <f t="array" ref="V2264">_xlfn.SWITCH(tbl_analysis_tickets[[#This Row],[priority]],
"Urgent",1,
"High",2,
"Medium",3,
"Low",4
)</f>
        <v>3</v>
      </c>
    </row>
    <row r="2265" spans="1:22" x14ac:dyDescent="0.25">
      <c r="A2265">
        <v>2264</v>
      </c>
      <c r="B2265" s="1">
        <v>45574</v>
      </c>
      <c r="C2265" t="s">
        <v>14</v>
      </c>
      <c r="D2265" t="s">
        <v>17</v>
      </c>
      <c r="E2265">
        <v>75</v>
      </c>
      <c r="F2265">
        <v>67</v>
      </c>
      <c r="G2265">
        <v>2.4</v>
      </c>
      <c r="H2265" t="s">
        <v>18</v>
      </c>
      <c r="I2265" t="s">
        <v>16</v>
      </c>
      <c r="J2265" t="s">
        <v>11</v>
      </c>
      <c r="K2265">
        <f>_xlfn.XLOOKUP(tbl_analysis_tickets[[#This Row],[priority]],tbl_sla[priority],tbl_sla[Resolution SLA Hours])</f>
        <v>8</v>
      </c>
      <c r="L2265">
        <f>_xlfn.XLOOKUP(tbl_analysis_tickets[[#This Row],[priority]],tbl_sla[priority],tbl_sla[First Response SLA Minutes])</f>
        <v>30</v>
      </c>
      <c r="M2265" t="str">
        <f>IF(tbl_analysis_tickets[[#This Row],[resolution_time_hours]]&gt;tbl_analysis_tickets[[#This Row],[Resolution SLA Hours]],"Breached","Within SLA")</f>
        <v>Breached</v>
      </c>
      <c r="N2265" t="str">
        <f>IF(tbl_analysis_tickets[[#This Row],[first_response_minutes]]&gt;tbl_analysis_tickets[[#This Row],[First Response SLA Minutes]],"Breached","Within SLA")</f>
        <v>Breached</v>
      </c>
      <c r="O2265" t="str" cm="1">
        <f t="array" ref="O2265">_xlfn.IFS(
tbl_analysis_tickets[[#This Row],[agent_experience_years]]&lt;=2,"Junior",
tbl_analysis_tickets[[#This Row],[agent_experience_years]]&lt;=5,"Mid-Level",
tbl_analysis_tickets[[#This Row],[agent_experience_years]]&lt;=8,"Senior",
tbl_analysis_tickets[[#This Row],[agent_experience_years]]&gt;8,"Expert"
)</f>
        <v>Mid-Level</v>
      </c>
      <c r="P2265" cm="1">
        <f t="array" ref="P2265">_xlfn.SWITCH(tbl_analysis_tickets[[#This Row],[customer_satisfaction]],
"Low",1,
"Medium",2,
"High",3
)</f>
        <v>1</v>
      </c>
      <c r="Q2265">
        <f>IF(tbl_analysis_tickets[[#This Row],[reopened]]="Yes",1,0)</f>
        <v>0</v>
      </c>
      <c r="R2265" t="str" cm="1">
        <f t="array" ref="R2265">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265" t="str" cm="1">
        <f t="array" ref="S226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265" t="str">
        <f>TEXT(tbl_analysis_tickets[[#This Row],[created_date]],"mmm-yyyy")</f>
        <v>Oct-2024</v>
      </c>
      <c r="U2265" t="str">
        <f>TEXT(tbl_analysis_tickets[[#This Row],[created_date]],"dddd")</f>
        <v>Wednesday</v>
      </c>
      <c r="V2265" cm="1">
        <f t="array" ref="V2265">_xlfn.SWITCH(tbl_analysis_tickets[[#This Row],[priority]],
"Urgent",1,
"High",2,
"Medium",3,
"Low",4
)</f>
        <v>1</v>
      </c>
    </row>
    <row r="2266" spans="1:22" x14ac:dyDescent="0.25">
      <c r="A2266">
        <v>2265</v>
      </c>
      <c r="B2266" s="1">
        <v>45476</v>
      </c>
      <c r="C2266" t="s">
        <v>21</v>
      </c>
      <c r="D2266" t="s">
        <v>20</v>
      </c>
      <c r="E2266">
        <v>84</v>
      </c>
      <c r="F2266">
        <v>1</v>
      </c>
      <c r="G2266">
        <v>9.6</v>
      </c>
      <c r="H2266" t="s">
        <v>12</v>
      </c>
      <c r="I2266" t="s">
        <v>16</v>
      </c>
      <c r="J2266" t="s">
        <v>15</v>
      </c>
      <c r="K2266">
        <f>_xlfn.XLOOKUP(tbl_analysis_tickets[[#This Row],[priority]],tbl_sla[priority],tbl_sla[Resolution SLA Hours])</f>
        <v>24</v>
      </c>
      <c r="L2266">
        <f>_xlfn.XLOOKUP(tbl_analysis_tickets[[#This Row],[priority]],tbl_sla[priority],tbl_sla[First Response SLA Minutes])</f>
        <v>60</v>
      </c>
      <c r="M2266" t="str">
        <f>IF(tbl_analysis_tickets[[#This Row],[resolution_time_hours]]&gt;tbl_analysis_tickets[[#This Row],[Resolution SLA Hours]],"Breached","Within SLA")</f>
        <v>Within SLA</v>
      </c>
      <c r="N2266" t="str">
        <f>IF(tbl_analysis_tickets[[#This Row],[first_response_minutes]]&gt;tbl_analysis_tickets[[#This Row],[First Response SLA Minutes]],"Breached","Within SLA")</f>
        <v>Breached</v>
      </c>
      <c r="O2266" t="str" cm="1">
        <f t="array" ref="O2266">_xlfn.IFS(
tbl_analysis_tickets[[#This Row],[agent_experience_years]]&lt;=2,"Junior",
tbl_analysis_tickets[[#This Row],[agent_experience_years]]&lt;=5,"Mid-Level",
tbl_analysis_tickets[[#This Row],[agent_experience_years]]&lt;=8,"Senior",
tbl_analysis_tickets[[#This Row],[agent_experience_years]]&gt;8,"Expert"
)</f>
        <v>Expert</v>
      </c>
      <c r="P2266" cm="1">
        <f t="array" ref="P2266">_xlfn.SWITCH(tbl_analysis_tickets[[#This Row],[customer_satisfaction]],
"Low",1,
"Medium",2,
"High",3
)</f>
        <v>2</v>
      </c>
      <c r="Q2266">
        <f>IF(tbl_analysis_tickets[[#This Row],[reopened]]="Yes",1,0)</f>
        <v>1</v>
      </c>
      <c r="R2266" t="str" cm="1">
        <f t="array" ref="R2266">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266" t="str" cm="1">
        <f t="array" ref="S226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2266" t="str">
        <f>TEXT(tbl_analysis_tickets[[#This Row],[created_date]],"mmm-yyyy")</f>
        <v>Jul-2024</v>
      </c>
      <c r="U2266" t="str">
        <f>TEXT(tbl_analysis_tickets[[#This Row],[created_date]],"dddd")</f>
        <v>Wednesday</v>
      </c>
      <c r="V2266" cm="1">
        <f t="array" ref="V2266">_xlfn.SWITCH(tbl_analysis_tickets[[#This Row],[priority]],
"Urgent",1,
"High",2,
"Medium",3,
"Low",4
)</f>
        <v>2</v>
      </c>
    </row>
    <row r="2267" spans="1:22" x14ac:dyDescent="0.25">
      <c r="A2267">
        <v>2266</v>
      </c>
      <c r="B2267" s="1">
        <v>45375</v>
      </c>
      <c r="C2267" t="s">
        <v>10</v>
      </c>
      <c r="D2267" t="s">
        <v>20</v>
      </c>
      <c r="E2267">
        <v>234</v>
      </c>
      <c r="F2267">
        <v>41</v>
      </c>
      <c r="G2267">
        <v>3.5</v>
      </c>
      <c r="H2267" t="s">
        <v>12</v>
      </c>
      <c r="I2267" t="s">
        <v>19</v>
      </c>
      <c r="J2267" t="s">
        <v>11</v>
      </c>
      <c r="K2267">
        <f>_xlfn.XLOOKUP(tbl_analysis_tickets[[#This Row],[priority]],tbl_sla[priority],tbl_sla[Resolution SLA Hours])</f>
        <v>24</v>
      </c>
      <c r="L2267">
        <f>_xlfn.XLOOKUP(tbl_analysis_tickets[[#This Row],[priority]],tbl_sla[priority],tbl_sla[First Response SLA Minutes])</f>
        <v>60</v>
      </c>
      <c r="M2267" t="str">
        <f>IF(tbl_analysis_tickets[[#This Row],[resolution_time_hours]]&gt;tbl_analysis_tickets[[#This Row],[Resolution SLA Hours]],"Breached","Within SLA")</f>
        <v>Breached</v>
      </c>
      <c r="N2267" t="str">
        <f>IF(tbl_analysis_tickets[[#This Row],[first_response_minutes]]&gt;tbl_analysis_tickets[[#This Row],[First Response SLA Minutes]],"Breached","Within SLA")</f>
        <v>Breached</v>
      </c>
      <c r="O2267" t="str" cm="1">
        <f t="array" ref="O2267">_xlfn.IFS(
tbl_analysis_tickets[[#This Row],[agent_experience_years]]&lt;=2,"Junior",
tbl_analysis_tickets[[#This Row],[agent_experience_years]]&lt;=5,"Mid-Level",
tbl_analysis_tickets[[#This Row],[agent_experience_years]]&lt;=8,"Senior",
tbl_analysis_tickets[[#This Row],[agent_experience_years]]&gt;8,"Expert"
)</f>
        <v>Mid-Level</v>
      </c>
      <c r="P2267" cm="1">
        <f t="array" ref="P2267">_xlfn.SWITCH(tbl_analysis_tickets[[#This Row],[customer_satisfaction]],
"Low",1,
"Medium",2,
"High",3
)</f>
        <v>1</v>
      </c>
      <c r="Q2267">
        <f>IF(tbl_analysis_tickets[[#This Row],[reopened]]="Yes",1,0)</f>
        <v>1</v>
      </c>
      <c r="R2267" t="str" cm="1">
        <f t="array" ref="R2267">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267" t="str" cm="1">
        <f t="array" ref="S226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267" t="str">
        <f>TEXT(tbl_analysis_tickets[[#This Row],[created_date]],"mmm-yyyy")</f>
        <v>Mar-2024</v>
      </c>
      <c r="U2267" t="str">
        <f>TEXT(tbl_analysis_tickets[[#This Row],[created_date]],"dddd")</f>
        <v>Sunday</v>
      </c>
      <c r="V2267" cm="1">
        <f t="array" ref="V2267">_xlfn.SWITCH(tbl_analysis_tickets[[#This Row],[priority]],
"Urgent",1,
"High",2,
"Medium",3,
"Low",4
)</f>
        <v>2</v>
      </c>
    </row>
    <row r="2268" spans="1:22" x14ac:dyDescent="0.25">
      <c r="A2268">
        <v>2267</v>
      </c>
      <c r="B2268" s="1">
        <v>45400</v>
      </c>
      <c r="C2268" t="s">
        <v>14</v>
      </c>
      <c r="D2268" t="s">
        <v>15</v>
      </c>
      <c r="E2268">
        <v>121</v>
      </c>
      <c r="F2268">
        <v>40</v>
      </c>
      <c r="G2268">
        <v>6.2</v>
      </c>
      <c r="H2268" t="s">
        <v>12</v>
      </c>
      <c r="I2268" t="s">
        <v>13</v>
      </c>
      <c r="J2268" t="s">
        <v>11</v>
      </c>
      <c r="K2268">
        <f>_xlfn.XLOOKUP(tbl_analysis_tickets[[#This Row],[priority]],tbl_sla[priority],tbl_sla[Resolution SLA Hours])</f>
        <v>48</v>
      </c>
      <c r="L2268">
        <f>_xlfn.XLOOKUP(tbl_analysis_tickets[[#This Row],[priority]],tbl_sla[priority],tbl_sla[First Response SLA Minutes])</f>
        <v>120</v>
      </c>
      <c r="M2268" t="str">
        <f>IF(tbl_analysis_tickets[[#This Row],[resolution_time_hours]]&gt;tbl_analysis_tickets[[#This Row],[Resolution SLA Hours]],"Breached","Within SLA")</f>
        <v>Within SLA</v>
      </c>
      <c r="N2268" t="str">
        <f>IF(tbl_analysis_tickets[[#This Row],[first_response_minutes]]&gt;tbl_analysis_tickets[[#This Row],[First Response SLA Minutes]],"Breached","Within SLA")</f>
        <v>Breached</v>
      </c>
      <c r="O2268" t="str" cm="1">
        <f t="array" ref="O2268">_xlfn.IFS(
tbl_analysis_tickets[[#This Row],[agent_experience_years]]&lt;=2,"Junior",
tbl_analysis_tickets[[#This Row],[agent_experience_years]]&lt;=5,"Mid-Level",
tbl_analysis_tickets[[#This Row],[agent_experience_years]]&lt;=8,"Senior",
tbl_analysis_tickets[[#This Row],[agent_experience_years]]&gt;8,"Expert"
)</f>
        <v>Senior</v>
      </c>
      <c r="P2268" cm="1">
        <f t="array" ref="P2268">_xlfn.SWITCH(tbl_analysis_tickets[[#This Row],[customer_satisfaction]],
"Low",1,
"Medium",2,
"High",3
)</f>
        <v>1</v>
      </c>
      <c r="Q2268">
        <f>IF(tbl_analysis_tickets[[#This Row],[reopened]]="Yes",1,0)</f>
        <v>1</v>
      </c>
      <c r="R2268" t="str" cm="1">
        <f t="array" ref="R2268">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268" t="str" cm="1">
        <f t="array" ref="S226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268" t="str">
        <f>TEXT(tbl_analysis_tickets[[#This Row],[created_date]],"mmm-yyyy")</f>
        <v>Apr-2024</v>
      </c>
      <c r="U2268" t="str">
        <f>TEXT(tbl_analysis_tickets[[#This Row],[created_date]],"dddd")</f>
        <v>Thursday</v>
      </c>
      <c r="V2268" cm="1">
        <f t="array" ref="V2268">_xlfn.SWITCH(tbl_analysis_tickets[[#This Row],[priority]],
"Urgent",1,
"High",2,
"Medium",3,
"Low",4
)</f>
        <v>3</v>
      </c>
    </row>
    <row r="2269" spans="1:22" x14ac:dyDescent="0.25">
      <c r="A2269">
        <v>2268</v>
      </c>
      <c r="B2269" s="1">
        <v>45523</v>
      </c>
      <c r="C2269" t="s">
        <v>14</v>
      </c>
      <c r="D2269" t="s">
        <v>15</v>
      </c>
      <c r="E2269">
        <v>37</v>
      </c>
      <c r="F2269">
        <v>63</v>
      </c>
      <c r="G2269">
        <v>6.6</v>
      </c>
      <c r="H2269" t="s">
        <v>12</v>
      </c>
      <c r="I2269" t="s">
        <v>13</v>
      </c>
      <c r="J2269" t="s">
        <v>11</v>
      </c>
      <c r="K2269">
        <f>_xlfn.XLOOKUP(tbl_analysis_tickets[[#This Row],[priority]],tbl_sla[priority],tbl_sla[Resolution SLA Hours])</f>
        <v>48</v>
      </c>
      <c r="L2269">
        <f>_xlfn.XLOOKUP(tbl_analysis_tickets[[#This Row],[priority]],tbl_sla[priority],tbl_sla[First Response SLA Minutes])</f>
        <v>120</v>
      </c>
      <c r="M2269" t="str">
        <f>IF(tbl_analysis_tickets[[#This Row],[resolution_time_hours]]&gt;tbl_analysis_tickets[[#This Row],[Resolution SLA Hours]],"Breached","Within SLA")</f>
        <v>Breached</v>
      </c>
      <c r="N2269" t="str">
        <f>IF(tbl_analysis_tickets[[#This Row],[first_response_minutes]]&gt;tbl_analysis_tickets[[#This Row],[First Response SLA Minutes]],"Breached","Within SLA")</f>
        <v>Within SLA</v>
      </c>
      <c r="O2269" t="str" cm="1">
        <f t="array" ref="O2269">_xlfn.IFS(
tbl_analysis_tickets[[#This Row],[agent_experience_years]]&lt;=2,"Junior",
tbl_analysis_tickets[[#This Row],[agent_experience_years]]&lt;=5,"Mid-Level",
tbl_analysis_tickets[[#This Row],[agent_experience_years]]&lt;=8,"Senior",
tbl_analysis_tickets[[#This Row],[agent_experience_years]]&gt;8,"Expert"
)</f>
        <v>Senior</v>
      </c>
      <c r="P2269" cm="1">
        <f t="array" ref="P2269">_xlfn.SWITCH(tbl_analysis_tickets[[#This Row],[customer_satisfaction]],
"Low",1,
"Medium",2,
"High",3
)</f>
        <v>1</v>
      </c>
      <c r="Q2269">
        <f>IF(tbl_analysis_tickets[[#This Row],[reopened]]="Yes",1,0)</f>
        <v>1</v>
      </c>
      <c r="R2269" t="str" cm="1">
        <f t="array" ref="R2269">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269" t="str" cm="1">
        <f t="array" ref="S226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269" t="str">
        <f>TEXT(tbl_analysis_tickets[[#This Row],[created_date]],"mmm-yyyy")</f>
        <v>Aug-2024</v>
      </c>
      <c r="U2269" t="str">
        <f>TEXT(tbl_analysis_tickets[[#This Row],[created_date]],"dddd")</f>
        <v>Monday</v>
      </c>
      <c r="V2269" cm="1">
        <f t="array" ref="V2269">_xlfn.SWITCH(tbl_analysis_tickets[[#This Row],[priority]],
"Urgent",1,
"High",2,
"Medium",3,
"Low",4
)</f>
        <v>3</v>
      </c>
    </row>
    <row r="2270" spans="1:22" x14ac:dyDescent="0.25">
      <c r="A2270">
        <v>2269</v>
      </c>
      <c r="B2270" s="1">
        <v>45424</v>
      </c>
      <c r="C2270" t="s">
        <v>21</v>
      </c>
      <c r="D2270" t="s">
        <v>11</v>
      </c>
      <c r="E2270">
        <v>121</v>
      </c>
      <c r="F2270">
        <v>13</v>
      </c>
      <c r="G2270">
        <v>4.5</v>
      </c>
      <c r="H2270" t="s">
        <v>12</v>
      </c>
      <c r="I2270" t="s">
        <v>19</v>
      </c>
      <c r="J2270" t="s">
        <v>11</v>
      </c>
      <c r="K2270">
        <f>_xlfn.XLOOKUP(tbl_analysis_tickets[[#This Row],[priority]],tbl_sla[priority],tbl_sla[Resolution SLA Hours])</f>
        <v>72</v>
      </c>
      <c r="L2270">
        <f>_xlfn.XLOOKUP(tbl_analysis_tickets[[#This Row],[priority]],tbl_sla[priority],tbl_sla[First Response SLA Minutes])</f>
        <v>240</v>
      </c>
      <c r="M2270" t="str">
        <f>IF(tbl_analysis_tickets[[#This Row],[resolution_time_hours]]&gt;tbl_analysis_tickets[[#This Row],[Resolution SLA Hours]],"Breached","Within SLA")</f>
        <v>Within SLA</v>
      </c>
      <c r="N2270" t="str">
        <f>IF(tbl_analysis_tickets[[#This Row],[first_response_minutes]]&gt;tbl_analysis_tickets[[#This Row],[First Response SLA Minutes]],"Breached","Within SLA")</f>
        <v>Within SLA</v>
      </c>
      <c r="O2270" t="str" cm="1">
        <f t="array" ref="O2270">_xlfn.IFS(
tbl_analysis_tickets[[#This Row],[agent_experience_years]]&lt;=2,"Junior",
tbl_analysis_tickets[[#This Row],[agent_experience_years]]&lt;=5,"Mid-Level",
tbl_analysis_tickets[[#This Row],[agent_experience_years]]&lt;=8,"Senior",
tbl_analysis_tickets[[#This Row],[agent_experience_years]]&gt;8,"Expert"
)</f>
        <v>Mid-Level</v>
      </c>
      <c r="P2270" cm="1">
        <f t="array" ref="P2270">_xlfn.SWITCH(tbl_analysis_tickets[[#This Row],[customer_satisfaction]],
"Low",1,
"Medium",2,
"High",3
)</f>
        <v>1</v>
      </c>
      <c r="Q2270">
        <f>IF(tbl_analysis_tickets[[#This Row],[reopened]]="Yes",1,0)</f>
        <v>1</v>
      </c>
      <c r="R2270" t="str" cm="1">
        <f t="array" ref="R2270">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270" t="str" cm="1">
        <f t="array" ref="S227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270" t="str">
        <f>TEXT(tbl_analysis_tickets[[#This Row],[created_date]],"mmm-yyyy")</f>
        <v>May-2024</v>
      </c>
      <c r="U2270" t="str">
        <f>TEXT(tbl_analysis_tickets[[#This Row],[created_date]],"dddd")</f>
        <v>Sunday</v>
      </c>
      <c r="V2270" cm="1">
        <f t="array" ref="V2270">_xlfn.SWITCH(tbl_analysis_tickets[[#This Row],[priority]],
"Urgent",1,
"High",2,
"Medium",3,
"Low",4
)</f>
        <v>4</v>
      </c>
    </row>
    <row r="2271" spans="1:22" x14ac:dyDescent="0.25">
      <c r="A2271">
        <v>2270</v>
      </c>
      <c r="B2271" s="1">
        <v>45545</v>
      </c>
      <c r="C2271" t="s">
        <v>23</v>
      </c>
      <c r="D2271" t="s">
        <v>11</v>
      </c>
      <c r="E2271">
        <v>62</v>
      </c>
      <c r="F2271">
        <v>7</v>
      </c>
      <c r="G2271">
        <v>1.6</v>
      </c>
      <c r="H2271" t="s">
        <v>12</v>
      </c>
      <c r="I2271" t="s">
        <v>19</v>
      </c>
      <c r="J2271" t="s">
        <v>11</v>
      </c>
      <c r="K2271">
        <f>_xlfn.XLOOKUP(tbl_analysis_tickets[[#This Row],[priority]],tbl_sla[priority],tbl_sla[Resolution SLA Hours])</f>
        <v>72</v>
      </c>
      <c r="L2271">
        <f>_xlfn.XLOOKUP(tbl_analysis_tickets[[#This Row],[priority]],tbl_sla[priority],tbl_sla[First Response SLA Minutes])</f>
        <v>240</v>
      </c>
      <c r="M2271" t="str">
        <f>IF(tbl_analysis_tickets[[#This Row],[resolution_time_hours]]&gt;tbl_analysis_tickets[[#This Row],[Resolution SLA Hours]],"Breached","Within SLA")</f>
        <v>Within SLA</v>
      </c>
      <c r="N2271" t="str">
        <f>IF(tbl_analysis_tickets[[#This Row],[first_response_minutes]]&gt;tbl_analysis_tickets[[#This Row],[First Response SLA Minutes]],"Breached","Within SLA")</f>
        <v>Within SLA</v>
      </c>
      <c r="O2271" t="str" cm="1">
        <f t="array" ref="O2271">_xlfn.IFS(
tbl_analysis_tickets[[#This Row],[agent_experience_years]]&lt;=2,"Junior",
tbl_analysis_tickets[[#This Row],[agent_experience_years]]&lt;=5,"Mid-Level",
tbl_analysis_tickets[[#This Row],[agent_experience_years]]&lt;=8,"Senior",
tbl_analysis_tickets[[#This Row],[agent_experience_years]]&gt;8,"Expert"
)</f>
        <v>Junior</v>
      </c>
      <c r="P2271" cm="1">
        <f t="array" ref="P2271">_xlfn.SWITCH(tbl_analysis_tickets[[#This Row],[customer_satisfaction]],
"Low",1,
"Medium",2,
"High",3
)</f>
        <v>1</v>
      </c>
      <c r="Q2271">
        <f>IF(tbl_analysis_tickets[[#This Row],[reopened]]="Yes",1,0)</f>
        <v>1</v>
      </c>
      <c r="R2271" t="str" cm="1">
        <f t="array" ref="R2271">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271" t="str" cm="1">
        <f t="array" ref="S227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2271" t="str">
        <f>TEXT(tbl_analysis_tickets[[#This Row],[created_date]],"mmm-yyyy")</f>
        <v>Sep-2024</v>
      </c>
      <c r="U2271" t="str">
        <f>TEXT(tbl_analysis_tickets[[#This Row],[created_date]],"dddd")</f>
        <v>Tuesday</v>
      </c>
      <c r="V2271" cm="1">
        <f t="array" ref="V2271">_xlfn.SWITCH(tbl_analysis_tickets[[#This Row],[priority]],
"Urgent",1,
"High",2,
"Medium",3,
"Low",4
)</f>
        <v>4</v>
      </c>
    </row>
    <row r="2272" spans="1:22" x14ac:dyDescent="0.25">
      <c r="A2272">
        <v>2271</v>
      </c>
      <c r="B2272" s="1">
        <v>45435</v>
      </c>
      <c r="C2272" t="s">
        <v>10</v>
      </c>
      <c r="D2272" t="s">
        <v>20</v>
      </c>
      <c r="E2272">
        <v>163</v>
      </c>
      <c r="F2272">
        <v>53</v>
      </c>
      <c r="G2272">
        <v>4.0999999999999996</v>
      </c>
      <c r="H2272" t="s">
        <v>18</v>
      </c>
      <c r="I2272" t="s">
        <v>19</v>
      </c>
      <c r="J2272" t="s">
        <v>11</v>
      </c>
      <c r="K2272">
        <f>_xlfn.XLOOKUP(tbl_analysis_tickets[[#This Row],[priority]],tbl_sla[priority],tbl_sla[Resolution SLA Hours])</f>
        <v>24</v>
      </c>
      <c r="L2272">
        <f>_xlfn.XLOOKUP(tbl_analysis_tickets[[#This Row],[priority]],tbl_sla[priority],tbl_sla[First Response SLA Minutes])</f>
        <v>60</v>
      </c>
      <c r="M2272" t="str">
        <f>IF(tbl_analysis_tickets[[#This Row],[resolution_time_hours]]&gt;tbl_analysis_tickets[[#This Row],[Resolution SLA Hours]],"Breached","Within SLA")</f>
        <v>Breached</v>
      </c>
      <c r="N2272" t="str">
        <f>IF(tbl_analysis_tickets[[#This Row],[first_response_minutes]]&gt;tbl_analysis_tickets[[#This Row],[First Response SLA Minutes]],"Breached","Within SLA")</f>
        <v>Breached</v>
      </c>
      <c r="O2272" t="str" cm="1">
        <f t="array" ref="O2272">_xlfn.IFS(
tbl_analysis_tickets[[#This Row],[agent_experience_years]]&lt;=2,"Junior",
tbl_analysis_tickets[[#This Row],[agent_experience_years]]&lt;=5,"Mid-Level",
tbl_analysis_tickets[[#This Row],[agent_experience_years]]&lt;=8,"Senior",
tbl_analysis_tickets[[#This Row],[agent_experience_years]]&gt;8,"Expert"
)</f>
        <v>Mid-Level</v>
      </c>
      <c r="P2272" cm="1">
        <f t="array" ref="P2272">_xlfn.SWITCH(tbl_analysis_tickets[[#This Row],[customer_satisfaction]],
"Low",1,
"Medium",2,
"High",3
)</f>
        <v>1</v>
      </c>
      <c r="Q2272">
        <f>IF(tbl_analysis_tickets[[#This Row],[reopened]]="Yes",1,0)</f>
        <v>0</v>
      </c>
      <c r="R2272" t="str" cm="1">
        <f t="array" ref="R2272">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272" t="str" cm="1">
        <f t="array" ref="S227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272" t="str">
        <f>TEXT(tbl_analysis_tickets[[#This Row],[created_date]],"mmm-yyyy")</f>
        <v>May-2024</v>
      </c>
      <c r="U2272" t="str">
        <f>TEXT(tbl_analysis_tickets[[#This Row],[created_date]],"dddd")</f>
        <v>Thursday</v>
      </c>
      <c r="V2272" cm="1">
        <f t="array" ref="V2272">_xlfn.SWITCH(tbl_analysis_tickets[[#This Row],[priority]],
"Urgent",1,
"High",2,
"Medium",3,
"Low",4
)</f>
        <v>2</v>
      </c>
    </row>
    <row r="2273" spans="1:22" x14ac:dyDescent="0.25">
      <c r="A2273">
        <v>2272</v>
      </c>
      <c r="B2273" s="1">
        <v>45404</v>
      </c>
      <c r="C2273" t="s">
        <v>22</v>
      </c>
      <c r="D2273" t="s">
        <v>15</v>
      </c>
      <c r="E2273">
        <v>106</v>
      </c>
      <c r="F2273">
        <v>65</v>
      </c>
      <c r="G2273">
        <v>0.5</v>
      </c>
      <c r="H2273" t="s">
        <v>18</v>
      </c>
      <c r="I2273" t="s">
        <v>16</v>
      </c>
      <c r="J2273" t="s">
        <v>11</v>
      </c>
      <c r="K2273">
        <f>_xlfn.XLOOKUP(tbl_analysis_tickets[[#This Row],[priority]],tbl_sla[priority],tbl_sla[Resolution SLA Hours])</f>
        <v>48</v>
      </c>
      <c r="L2273">
        <f>_xlfn.XLOOKUP(tbl_analysis_tickets[[#This Row],[priority]],tbl_sla[priority],tbl_sla[First Response SLA Minutes])</f>
        <v>120</v>
      </c>
      <c r="M2273" t="str">
        <f>IF(tbl_analysis_tickets[[#This Row],[resolution_time_hours]]&gt;tbl_analysis_tickets[[#This Row],[Resolution SLA Hours]],"Breached","Within SLA")</f>
        <v>Breached</v>
      </c>
      <c r="N2273" t="str">
        <f>IF(tbl_analysis_tickets[[#This Row],[first_response_minutes]]&gt;tbl_analysis_tickets[[#This Row],[First Response SLA Minutes]],"Breached","Within SLA")</f>
        <v>Within SLA</v>
      </c>
      <c r="O2273" t="str" cm="1">
        <f t="array" ref="O2273">_xlfn.IFS(
tbl_analysis_tickets[[#This Row],[agent_experience_years]]&lt;=2,"Junior",
tbl_analysis_tickets[[#This Row],[agent_experience_years]]&lt;=5,"Mid-Level",
tbl_analysis_tickets[[#This Row],[agent_experience_years]]&lt;=8,"Senior",
tbl_analysis_tickets[[#This Row],[agent_experience_years]]&gt;8,"Expert"
)</f>
        <v>Junior</v>
      </c>
      <c r="P2273" cm="1">
        <f t="array" ref="P2273">_xlfn.SWITCH(tbl_analysis_tickets[[#This Row],[customer_satisfaction]],
"Low",1,
"Medium",2,
"High",3
)</f>
        <v>1</v>
      </c>
      <c r="Q2273">
        <f>IF(tbl_analysis_tickets[[#This Row],[reopened]]="Yes",1,0)</f>
        <v>0</v>
      </c>
      <c r="R2273" t="str" cm="1">
        <f t="array" ref="R2273">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273" t="str" cm="1">
        <f t="array" ref="S227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273" t="str">
        <f>TEXT(tbl_analysis_tickets[[#This Row],[created_date]],"mmm-yyyy")</f>
        <v>Apr-2024</v>
      </c>
      <c r="U2273" t="str">
        <f>TEXT(tbl_analysis_tickets[[#This Row],[created_date]],"dddd")</f>
        <v>Monday</v>
      </c>
      <c r="V2273" cm="1">
        <f t="array" ref="V2273">_xlfn.SWITCH(tbl_analysis_tickets[[#This Row],[priority]],
"Urgent",1,
"High",2,
"Medium",3,
"Low",4
)</f>
        <v>3</v>
      </c>
    </row>
    <row r="2274" spans="1:22" x14ac:dyDescent="0.25">
      <c r="A2274">
        <v>2273</v>
      </c>
      <c r="B2274" s="1">
        <v>45526</v>
      </c>
      <c r="C2274" t="s">
        <v>21</v>
      </c>
      <c r="D2274" t="s">
        <v>17</v>
      </c>
      <c r="E2274">
        <v>147</v>
      </c>
      <c r="F2274">
        <v>60</v>
      </c>
      <c r="G2274">
        <v>1.9</v>
      </c>
      <c r="H2274" t="s">
        <v>12</v>
      </c>
      <c r="I2274" t="s">
        <v>16</v>
      </c>
      <c r="J2274" t="s">
        <v>11</v>
      </c>
      <c r="K2274">
        <f>_xlfn.XLOOKUP(tbl_analysis_tickets[[#This Row],[priority]],tbl_sla[priority],tbl_sla[Resolution SLA Hours])</f>
        <v>8</v>
      </c>
      <c r="L2274">
        <f>_xlfn.XLOOKUP(tbl_analysis_tickets[[#This Row],[priority]],tbl_sla[priority],tbl_sla[First Response SLA Minutes])</f>
        <v>30</v>
      </c>
      <c r="M2274" t="str">
        <f>IF(tbl_analysis_tickets[[#This Row],[resolution_time_hours]]&gt;tbl_analysis_tickets[[#This Row],[Resolution SLA Hours]],"Breached","Within SLA")</f>
        <v>Breached</v>
      </c>
      <c r="N2274" t="str">
        <f>IF(tbl_analysis_tickets[[#This Row],[first_response_minutes]]&gt;tbl_analysis_tickets[[#This Row],[First Response SLA Minutes]],"Breached","Within SLA")</f>
        <v>Breached</v>
      </c>
      <c r="O2274" t="str" cm="1">
        <f t="array" ref="O2274">_xlfn.IFS(
tbl_analysis_tickets[[#This Row],[agent_experience_years]]&lt;=2,"Junior",
tbl_analysis_tickets[[#This Row],[agent_experience_years]]&lt;=5,"Mid-Level",
tbl_analysis_tickets[[#This Row],[agent_experience_years]]&lt;=8,"Senior",
tbl_analysis_tickets[[#This Row],[agent_experience_years]]&gt;8,"Expert"
)</f>
        <v>Junior</v>
      </c>
      <c r="P2274" cm="1">
        <f t="array" ref="P2274">_xlfn.SWITCH(tbl_analysis_tickets[[#This Row],[customer_satisfaction]],
"Low",1,
"Medium",2,
"High",3
)</f>
        <v>1</v>
      </c>
      <c r="Q2274">
        <f>IF(tbl_analysis_tickets[[#This Row],[reopened]]="Yes",1,0)</f>
        <v>1</v>
      </c>
      <c r="R2274" t="str" cm="1">
        <f t="array" ref="R2274">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274" t="str" cm="1">
        <f t="array" ref="S227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274" t="str">
        <f>TEXT(tbl_analysis_tickets[[#This Row],[created_date]],"mmm-yyyy")</f>
        <v>Aug-2024</v>
      </c>
      <c r="U2274" t="str">
        <f>TEXT(tbl_analysis_tickets[[#This Row],[created_date]],"dddd")</f>
        <v>Thursday</v>
      </c>
      <c r="V2274" cm="1">
        <f t="array" ref="V2274">_xlfn.SWITCH(tbl_analysis_tickets[[#This Row],[priority]],
"Urgent",1,
"High",2,
"Medium",3,
"Low",4
)</f>
        <v>1</v>
      </c>
    </row>
    <row r="2275" spans="1:22" x14ac:dyDescent="0.25">
      <c r="A2275">
        <v>2274</v>
      </c>
      <c r="B2275" s="1">
        <v>45625</v>
      </c>
      <c r="C2275" t="s">
        <v>23</v>
      </c>
      <c r="D2275" t="s">
        <v>20</v>
      </c>
      <c r="E2275">
        <v>228</v>
      </c>
      <c r="F2275">
        <v>65</v>
      </c>
      <c r="G2275">
        <v>5.3</v>
      </c>
      <c r="H2275" t="s">
        <v>18</v>
      </c>
      <c r="I2275" t="s">
        <v>13</v>
      </c>
      <c r="J2275" t="s">
        <v>11</v>
      </c>
      <c r="K2275">
        <f>_xlfn.XLOOKUP(tbl_analysis_tickets[[#This Row],[priority]],tbl_sla[priority],tbl_sla[Resolution SLA Hours])</f>
        <v>24</v>
      </c>
      <c r="L2275">
        <f>_xlfn.XLOOKUP(tbl_analysis_tickets[[#This Row],[priority]],tbl_sla[priority],tbl_sla[First Response SLA Minutes])</f>
        <v>60</v>
      </c>
      <c r="M2275" t="str">
        <f>IF(tbl_analysis_tickets[[#This Row],[resolution_time_hours]]&gt;tbl_analysis_tickets[[#This Row],[Resolution SLA Hours]],"Breached","Within SLA")</f>
        <v>Breached</v>
      </c>
      <c r="N2275" t="str">
        <f>IF(tbl_analysis_tickets[[#This Row],[first_response_minutes]]&gt;tbl_analysis_tickets[[#This Row],[First Response SLA Minutes]],"Breached","Within SLA")</f>
        <v>Breached</v>
      </c>
      <c r="O2275" t="str" cm="1">
        <f t="array" ref="O2275">_xlfn.IFS(
tbl_analysis_tickets[[#This Row],[agent_experience_years]]&lt;=2,"Junior",
tbl_analysis_tickets[[#This Row],[agent_experience_years]]&lt;=5,"Mid-Level",
tbl_analysis_tickets[[#This Row],[agent_experience_years]]&lt;=8,"Senior",
tbl_analysis_tickets[[#This Row],[agent_experience_years]]&gt;8,"Expert"
)</f>
        <v>Senior</v>
      </c>
      <c r="P2275" cm="1">
        <f t="array" ref="P2275">_xlfn.SWITCH(tbl_analysis_tickets[[#This Row],[customer_satisfaction]],
"Low",1,
"Medium",2,
"High",3
)</f>
        <v>1</v>
      </c>
      <c r="Q2275">
        <f>IF(tbl_analysis_tickets[[#This Row],[reopened]]="Yes",1,0)</f>
        <v>0</v>
      </c>
      <c r="R2275" t="str" cm="1">
        <f t="array" ref="R2275">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275" t="str" cm="1">
        <f t="array" ref="S227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275" t="str">
        <f>TEXT(tbl_analysis_tickets[[#This Row],[created_date]],"mmm-yyyy")</f>
        <v>Nov-2024</v>
      </c>
      <c r="U2275" t="str">
        <f>TEXT(tbl_analysis_tickets[[#This Row],[created_date]],"dddd")</f>
        <v>Friday</v>
      </c>
      <c r="V2275" cm="1">
        <f t="array" ref="V2275">_xlfn.SWITCH(tbl_analysis_tickets[[#This Row],[priority]],
"Urgent",1,
"High",2,
"Medium",3,
"Low",4
)</f>
        <v>2</v>
      </c>
    </row>
    <row r="2276" spans="1:22" x14ac:dyDescent="0.25">
      <c r="A2276">
        <v>2275</v>
      </c>
      <c r="B2276" s="1">
        <v>45609</v>
      </c>
      <c r="C2276" t="s">
        <v>14</v>
      </c>
      <c r="D2276" t="s">
        <v>15</v>
      </c>
      <c r="E2276">
        <v>22</v>
      </c>
      <c r="F2276">
        <v>19</v>
      </c>
      <c r="G2276">
        <v>3.4</v>
      </c>
      <c r="H2276" t="s">
        <v>12</v>
      </c>
      <c r="I2276" t="s">
        <v>13</v>
      </c>
      <c r="J2276" t="s">
        <v>15</v>
      </c>
      <c r="K2276">
        <f>_xlfn.XLOOKUP(tbl_analysis_tickets[[#This Row],[priority]],tbl_sla[priority],tbl_sla[Resolution SLA Hours])</f>
        <v>48</v>
      </c>
      <c r="L2276">
        <f>_xlfn.XLOOKUP(tbl_analysis_tickets[[#This Row],[priority]],tbl_sla[priority],tbl_sla[First Response SLA Minutes])</f>
        <v>120</v>
      </c>
      <c r="M2276" t="str">
        <f>IF(tbl_analysis_tickets[[#This Row],[resolution_time_hours]]&gt;tbl_analysis_tickets[[#This Row],[Resolution SLA Hours]],"Breached","Within SLA")</f>
        <v>Within SLA</v>
      </c>
      <c r="N2276" t="str">
        <f>IF(tbl_analysis_tickets[[#This Row],[first_response_minutes]]&gt;tbl_analysis_tickets[[#This Row],[First Response SLA Minutes]],"Breached","Within SLA")</f>
        <v>Within SLA</v>
      </c>
      <c r="O2276" t="str" cm="1">
        <f t="array" ref="O2276">_xlfn.IFS(
tbl_analysis_tickets[[#This Row],[agent_experience_years]]&lt;=2,"Junior",
tbl_analysis_tickets[[#This Row],[agent_experience_years]]&lt;=5,"Mid-Level",
tbl_analysis_tickets[[#This Row],[agent_experience_years]]&lt;=8,"Senior",
tbl_analysis_tickets[[#This Row],[agent_experience_years]]&gt;8,"Expert"
)</f>
        <v>Mid-Level</v>
      </c>
      <c r="P2276" cm="1">
        <f t="array" ref="P2276">_xlfn.SWITCH(tbl_analysis_tickets[[#This Row],[customer_satisfaction]],
"Low",1,
"Medium",2,
"High",3
)</f>
        <v>2</v>
      </c>
      <c r="Q2276">
        <f>IF(tbl_analysis_tickets[[#This Row],[reopened]]="Yes",1,0)</f>
        <v>1</v>
      </c>
      <c r="R2276" t="str" cm="1">
        <f t="array" ref="R2276">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2276" t="str" cm="1">
        <f t="array" ref="S227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276" t="str">
        <f>TEXT(tbl_analysis_tickets[[#This Row],[created_date]],"mmm-yyyy")</f>
        <v>Nov-2024</v>
      </c>
      <c r="U2276" t="str">
        <f>TEXT(tbl_analysis_tickets[[#This Row],[created_date]],"dddd")</f>
        <v>Wednesday</v>
      </c>
      <c r="V2276" cm="1">
        <f t="array" ref="V2276">_xlfn.SWITCH(tbl_analysis_tickets[[#This Row],[priority]],
"Urgent",1,
"High",2,
"Medium",3,
"Low",4
)</f>
        <v>3</v>
      </c>
    </row>
    <row r="2277" spans="1:22" x14ac:dyDescent="0.25">
      <c r="A2277">
        <v>2276</v>
      </c>
      <c r="B2277" s="1">
        <v>45296</v>
      </c>
      <c r="C2277" t="s">
        <v>22</v>
      </c>
      <c r="D2277" t="s">
        <v>11</v>
      </c>
      <c r="E2277">
        <v>44</v>
      </c>
      <c r="F2277">
        <v>46</v>
      </c>
      <c r="G2277">
        <v>4.5999999999999996</v>
      </c>
      <c r="H2277" t="s">
        <v>12</v>
      </c>
      <c r="I2277" t="s">
        <v>16</v>
      </c>
      <c r="J2277" t="s">
        <v>11</v>
      </c>
      <c r="K2277">
        <f>_xlfn.XLOOKUP(tbl_analysis_tickets[[#This Row],[priority]],tbl_sla[priority],tbl_sla[Resolution SLA Hours])</f>
        <v>72</v>
      </c>
      <c r="L2277">
        <f>_xlfn.XLOOKUP(tbl_analysis_tickets[[#This Row],[priority]],tbl_sla[priority],tbl_sla[First Response SLA Minutes])</f>
        <v>240</v>
      </c>
      <c r="M2277" t="str">
        <f>IF(tbl_analysis_tickets[[#This Row],[resolution_time_hours]]&gt;tbl_analysis_tickets[[#This Row],[Resolution SLA Hours]],"Breached","Within SLA")</f>
        <v>Within SLA</v>
      </c>
      <c r="N2277" t="str">
        <f>IF(tbl_analysis_tickets[[#This Row],[first_response_minutes]]&gt;tbl_analysis_tickets[[#This Row],[First Response SLA Minutes]],"Breached","Within SLA")</f>
        <v>Within SLA</v>
      </c>
      <c r="O2277" t="str" cm="1">
        <f t="array" ref="O2277">_xlfn.IFS(
tbl_analysis_tickets[[#This Row],[agent_experience_years]]&lt;=2,"Junior",
tbl_analysis_tickets[[#This Row],[agent_experience_years]]&lt;=5,"Mid-Level",
tbl_analysis_tickets[[#This Row],[agent_experience_years]]&lt;=8,"Senior",
tbl_analysis_tickets[[#This Row],[agent_experience_years]]&gt;8,"Expert"
)</f>
        <v>Mid-Level</v>
      </c>
      <c r="P2277" cm="1">
        <f t="array" ref="P2277">_xlfn.SWITCH(tbl_analysis_tickets[[#This Row],[customer_satisfaction]],
"Low",1,
"Medium",2,
"High",3
)</f>
        <v>1</v>
      </c>
      <c r="Q2277">
        <f>IF(tbl_analysis_tickets[[#This Row],[reopened]]="Yes",1,0)</f>
        <v>1</v>
      </c>
      <c r="R2277" t="str" cm="1">
        <f t="array" ref="R2277">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277" t="str" cm="1">
        <f t="array" ref="S227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277" t="str">
        <f>TEXT(tbl_analysis_tickets[[#This Row],[created_date]],"mmm-yyyy")</f>
        <v>Jan-2024</v>
      </c>
      <c r="U2277" t="str">
        <f>TEXT(tbl_analysis_tickets[[#This Row],[created_date]],"dddd")</f>
        <v>Friday</v>
      </c>
      <c r="V2277" cm="1">
        <f t="array" ref="V2277">_xlfn.SWITCH(tbl_analysis_tickets[[#This Row],[priority]],
"Urgent",1,
"High",2,
"Medium",3,
"Low",4
)</f>
        <v>4</v>
      </c>
    </row>
    <row r="2278" spans="1:22" x14ac:dyDescent="0.25">
      <c r="A2278">
        <v>2277</v>
      </c>
      <c r="B2278" s="1">
        <v>45594</v>
      </c>
      <c r="C2278" t="s">
        <v>22</v>
      </c>
      <c r="D2278" t="s">
        <v>11</v>
      </c>
      <c r="E2278">
        <v>232</v>
      </c>
      <c r="F2278">
        <v>52</v>
      </c>
      <c r="G2278">
        <v>6.8</v>
      </c>
      <c r="H2278" t="s">
        <v>18</v>
      </c>
      <c r="I2278" t="s">
        <v>16</v>
      </c>
      <c r="J2278" t="s">
        <v>15</v>
      </c>
      <c r="K2278">
        <f>_xlfn.XLOOKUP(tbl_analysis_tickets[[#This Row],[priority]],tbl_sla[priority],tbl_sla[Resolution SLA Hours])</f>
        <v>72</v>
      </c>
      <c r="L2278">
        <f>_xlfn.XLOOKUP(tbl_analysis_tickets[[#This Row],[priority]],tbl_sla[priority],tbl_sla[First Response SLA Minutes])</f>
        <v>240</v>
      </c>
      <c r="M2278" t="str">
        <f>IF(tbl_analysis_tickets[[#This Row],[resolution_time_hours]]&gt;tbl_analysis_tickets[[#This Row],[Resolution SLA Hours]],"Breached","Within SLA")</f>
        <v>Within SLA</v>
      </c>
      <c r="N2278" t="str">
        <f>IF(tbl_analysis_tickets[[#This Row],[first_response_minutes]]&gt;tbl_analysis_tickets[[#This Row],[First Response SLA Minutes]],"Breached","Within SLA")</f>
        <v>Within SLA</v>
      </c>
      <c r="O2278" t="str" cm="1">
        <f t="array" ref="O2278">_xlfn.IFS(
tbl_analysis_tickets[[#This Row],[agent_experience_years]]&lt;=2,"Junior",
tbl_analysis_tickets[[#This Row],[agent_experience_years]]&lt;=5,"Mid-Level",
tbl_analysis_tickets[[#This Row],[agent_experience_years]]&lt;=8,"Senior",
tbl_analysis_tickets[[#This Row],[agent_experience_years]]&gt;8,"Expert"
)</f>
        <v>Senior</v>
      </c>
      <c r="P2278" cm="1">
        <f t="array" ref="P2278">_xlfn.SWITCH(tbl_analysis_tickets[[#This Row],[customer_satisfaction]],
"Low",1,
"Medium",2,
"High",3
)</f>
        <v>2</v>
      </c>
      <c r="Q2278">
        <f>IF(tbl_analysis_tickets[[#This Row],[reopened]]="Yes",1,0)</f>
        <v>0</v>
      </c>
      <c r="R2278" t="str" cm="1">
        <f t="array" ref="R2278">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278" t="str" cm="1">
        <f t="array" ref="S227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278" t="str">
        <f>TEXT(tbl_analysis_tickets[[#This Row],[created_date]],"mmm-yyyy")</f>
        <v>Oct-2024</v>
      </c>
      <c r="U2278" t="str">
        <f>TEXT(tbl_analysis_tickets[[#This Row],[created_date]],"dddd")</f>
        <v>Tuesday</v>
      </c>
      <c r="V2278" cm="1">
        <f t="array" ref="V2278">_xlfn.SWITCH(tbl_analysis_tickets[[#This Row],[priority]],
"Urgent",1,
"High",2,
"Medium",3,
"Low",4
)</f>
        <v>4</v>
      </c>
    </row>
    <row r="2279" spans="1:22" x14ac:dyDescent="0.25">
      <c r="A2279">
        <v>2278</v>
      </c>
      <c r="B2279" s="1">
        <v>45594</v>
      </c>
      <c r="C2279" t="s">
        <v>10</v>
      </c>
      <c r="D2279" t="s">
        <v>11</v>
      </c>
      <c r="E2279">
        <v>142</v>
      </c>
      <c r="F2279">
        <v>22</v>
      </c>
      <c r="G2279">
        <v>6.7</v>
      </c>
      <c r="H2279" t="s">
        <v>12</v>
      </c>
      <c r="I2279" t="s">
        <v>13</v>
      </c>
      <c r="J2279" t="s">
        <v>11</v>
      </c>
      <c r="K2279">
        <f>_xlfn.XLOOKUP(tbl_analysis_tickets[[#This Row],[priority]],tbl_sla[priority],tbl_sla[Resolution SLA Hours])</f>
        <v>72</v>
      </c>
      <c r="L2279">
        <f>_xlfn.XLOOKUP(tbl_analysis_tickets[[#This Row],[priority]],tbl_sla[priority],tbl_sla[First Response SLA Minutes])</f>
        <v>240</v>
      </c>
      <c r="M2279" t="str">
        <f>IF(tbl_analysis_tickets[[#This Row],[resolution_time_hours]]&gt;tbl_analysis_tickets[[#This Row],[Resolution SLA Hours]],"Breached","Within SLA")</f>
        <v>Within SLA</v>
      </c>
      <c r="N2279" t="str">
        <f>IF(tbl_analysis_tickets[[#This Row],[first_response_minutes]]&gt;tbl_analysis_tickets[[#This Row],[First Response SLA Minutes]],"Breached","Within SLA")</f>
        <v>Within SLA</v>
      </c>
      <c r="O2279" t="str" cm="1">
        <f t="array" ref="O2279">_xlfn.IFS(
tbl_analysis_tickets[[#This Row],[agent_experience_years]]&lt;=2,"Junior",
tbl_analysis_tickets[[#This Row],[agent_experience_years]]&lt;=5,"Mid-Level",
tbl_analysis_tickets[[#This Row],[agent_experience_years]]&lt;=8,"Senior",
tbl_analysis_tickets[[#This Row],[agent_experience_years]]&gt;8,"Expert"
)</f>
        <v>Senior</v>
      </c>
      <c r="P2279" cm="1">
        <f t="array" ref="P2279">_xlfn.SWITCH(tbl_analysis_tickets[[#This Row],[customer_satisfaction]],
"Low",1,
"Medium",2,
"High",3
)</f>
        <v>1</v>
      </c>
      <c r="Q2279">
        <f>IF(tbl_analysis_tickets[[#This Row],[reopened]]="Yes",1,0)</f>
        <v>1</v>
      </c>
      <c r="R2279" t="str" cm="1">
        <f t="array" ref="R2279">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279" t="str" cm="1">
        <f t="array" ref="S227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279" t="str">
        <f>TEXT(tbl_analysis_tickets[[#This Row],[created_date]],"mmm-yyyy")</f>
        <v>Oct-2024</v>
      </c>
      <c r="U2279" t="str">
        <f>TEXT(tbl_analysis_tickets[[#This Row],[created_date]],"dddd")</f>
        <v>Tuesday</v>
      </c>
      <c r="V2279" cm="1">
        <f t="array" ref="V2279">_xlfn.SWITCH(tbl_analysis_tickets[[#This Row],[priority]],
"Urgent",1,
"High",2,
"Medium",3,
"Low",4
)</f>
        <v>4</v>
      </c>
    </row>
    <row r="2280" spans="1:22" x14ac:dyDescent="0.25">
      <c r="A2280">
        <v>2279</v>
      </c>
      <c r="B2280" s="1">
        <v>45625</v>
      </c>
      <c r="C2280" t="s">
        <v>23</v>
      </c>
      <c r="D2280" t="s">
        <v>17</v>
      </c>
      <c r="E2280">
        <v>142</v>
      </c>
      <c r="F2280">
        <v>39</v>
      </c>
      <c r="G2280">
        <v>6</v>
      </c>
      <c r="H2280" t="s">
        <v>12</v>
      </c>
      <c r="I2280" t="s">
        <v>19</v>
      </c>
      <c r="J2280" t="s">
        <v>11</v>
      </c>
      <c r="K2280">
        <f>_xlfn.XLOOKUP(tbl_analysis_tickets[[#This Row],[priority]],tbl_sla[priority],tbl_sla[Resolution SLA Hours])</f>
        <v>8</v>
      </c>
      <c r="L2280">
        <f>_xlfn.XLOOKUP(tbl_analysis_tickets[[#This Row],[priority]],tbl_sla[priority],tbl_sla[First Response SLA Minutes])</f>
        <v>30</v>
      </c>
      <c r="M2280" t="str">
        <f>IF(tbl_analysis_tickets[[#This Row],[resolution_time_hours]]&gt;tbl_analysis_tickets[[#This Row],[Resolution SLA Hours]],"Breached","Within SLA")</f>
        <v>Breached</v>
      </c>
      <c r="N2280" t="str">
        <f>IF(tbl_analysis_tickets[[#This Row],[first_response_minutes]]&gt;tbl_analysis_tickets[[#This Row],[First Response SLA Minutes]],"Breached","Within SLA")</f>
        <v>Breached</v>
      </c>
      <c r="O2280" t="str" cm="1">
        <f t="array" ref="O2280">_xlfn.IFS(
tbl_analysis_tickets[[#This Row],[agent_experience_years]]&lt;=2,"Junior",
tbl_analysis_tickets[[#This Row],[agent_experience_years]]&lt;=5,"Mid-Level",
tbl_analysis_tickets[[#This Row],[agent_experience_years]]&lt;=8,"Senior",
tbl_analysis_tickets[[#This Row],[agent_experience_years]]&gt;8,"Expert"
)</f>
        <v>Senior</v>
      </c>
      <c r="P2280" cm="1">
        <f t="array" ref="P2280">_xlfn.SWITCH(tbl_analysis_tickets[[#This Row],[customer_satisfaction]],
"Low",1,
"Medium",2,
"High",3
)</f>
        <v>1</v>
      </c>
      <c r="Q2280">
        <f>IF(tbl_analysis_tickets[[#This Row],[reopened]]="Yes",1,0)</f>
        <v>1</v>
      </c>
      <c r="R2280" t="str" cm="1">
        <f t="array" ref="R2280">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280" t="str" cm="1">
        <f t="array" ref="S228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280" t="str">
        <f>TEXT(tbl_analysis_tickets[[#This Row],[created_date]],"mmm-yyyy")</f>
        <v>Nov-2024</v>
      </c>
      <c r="U2280" t="str">
        <f>TEXT(tbl_analysis_tickets[[#This Row],[created_date]],"dddd")</f>
        <v>Friday</v>
      </c>
      <c r="V2280" cm="1">
        <f t="array" ref="V2280">_xlfn.SWITCH(tbl_analysis_tickets[[#This Row],[priority]],
"Urgent",1,
"High",2,
"Medium",3,
"Low",4
)</f>
        <v>1</v>
      </c>
    </row>
    <row r="2281" spans="1:22" x14ac:dyDescent="0.25">
      <c r="A2281">
        <v>2280</v>
      </c>
      <c r="B2281" s="1">
        <v>45415</v>
      </c>
      <c r="C2281" t="s">
        <v>23</v>
      </c>
      <c r="D2281" t="s">
        <v>11</v>
      </c>
      <c r="E2281">
        <v>121</v>
      </c>
      <c r="F2281">
        <v>20</v>
      </c>
      <c r="G2281">
        <v>2.2999999999999998</v>
      </c>
      <c r="H2281" t="s">
        <v>12</v>
      </c>
      <c r="I2281" t="s">
        <v>16</v>
      </c>
      <c r="J2281" t="s">
        <v>11</v>
      </c>
      <c r="K2281">
        <f>_xlfn.XLOOKUP(tbl_analysis_tickets[[#This Row],[priority]],tbl_sla[priority],tbl_sla[Resolution SLA Hours])</f>
        <v>72</v>
      </c>
      <c r="L2281">
        <f>_xlfn.XLOOKUP(tbl_analysis_tickets[[#This Row],[priority]],tbl_sla[priority],tbl_sla[First Response SLA Minutes])</f>
        <v>240</v>
      </c>
      <c r="M2281" t="str">
        <f>IF(tbl_analysis_tickets[[#This Row],[resolution_time_hours]]&gt;tbl_analysis_tickets[[#This Row],[Resolution SLA Hours]],"Breached","Within SLA")</f>
        <v>Within SLA</v>
      </c>
      <c r="N2281" t="str">
        <f>IF(tbl_analysis_tickets[[#This Row],[first_response_minutes]]&gt;tbl_analysis_tickets[[#This Row],[First Response SLA Minutes]],"Breached","Within SLA")</f>
        <v>Within SLA</v>
      </c>
      <c r="O2281" t="str" cm="1">
        <f t="array" ref="O2281">_xlfn.IFS(
tbl_analysis_tickets[[#This Row],[agent_experience_years]]&lt;=2,"Junior",
tbl_analysis_tickets[[#This Row],[agent_experience_years]]&lt;=5,"Mid-Level",
tbl_analysis_tickets[[#This Row],[agent_experience_years]]&lt;=8,"Senior",
tbl_analysis_tickets[[#This Row],[agent_experience_years]]&gt;8,"Expert"
)</f>
        <v>Mid-Level</v>
      </c>
      <c r="P2281" cm="1">
        <f t="array" ref="P2281">_xlfn.SWITCH(tbl_analysis_tickets[[#This Row],[customer_satisfaction]],
"Low",1,
"Medium",2,
"High",3
)</f>
        <v>1</v>
      </c>
      <c r="Q2281">
        <f>IF(tbl_analysis_tickets[[#This Row],[reopened]]="Yes",1,0)</f>
        <v>1</v>
      </c>
      <c r="R2281" t="str" cm="1">
        <f t="array" ref="R2281">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281" t="str" cm="1">
        <f t="array" ref="S228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281" t="str">
        <f>TEXT(tbl_analysis_tickets[[#This Row],[created_date]],"mmm-yyyy")</f>
        <v>May-2024</v>
      </c>
      <c r="U2281" t="str">
        <f>TEXT(tbl_analysis_tickets[[#This Row],[created_date]],"dddd")</f>
        <v>Friday</v>
      </c>
      <c r="V2281" cm="1">
        <f t="array" ref="V2281">_xlfn.SWITCH(tbl_analysis_tickets[[#This Row],[priority]],
"Urgent",1,
"High",2,
"Medium",3,
"Low",4
)</f>
        <v>4</v>
      </c>
    </row>
    <row r="2282" spans="1:22" x14ac:dyDescent="0.25">
      <c r="A2282">
        <v>2281</v>
      </c>
      <c r="B2282" s="1">
        <v>45468</v>
      </c>
      <c r="C2282" t="s">
        <v>23</v>
      </c>
      <c r="D2282" t="s">
        <v>11</v>
      </c>
      <c r="E2282">
        <v>74</v>
      </c>
      <c r="F2282">
        <v>55</v>
      </c>
      <c r="G2282">
        <v>2.6</v>
      </c>
      <c r="H2282" t="s">
        <v>12</v>
      </c>
      <c r="I2282" t="s">
        <v>19</v>
      </c>
      <c r="J2282" t="s">
        <v>11</v>
      </c>
      <c r="K2282">
        <f>_xlfn.XLOOKUP(tbl_analysis_tickets[[#This Row],[priority]],tbl_sla[priority],tbl_sla[Resolution SLA Hours])</f>
        <v>72</v>
      </c>
      <c r="L2282">
        <f>_xlfn.XLOOKUP(tbl_analysis_tickets[[#This Row],[priority]],tbl_sla[priority],tbl_sla[First Response SLA Minutes])</f>
        <v>240</v>
      </c>
      <c r="M2282" t="str">
        <f>IF(tbl_analysis_tickets[[#This Row],[resolution_time_hours]]&gt;tbl_analysis_tickets[[#This Row],[Resolution SLA Hours]],"Breached","Within SLA")</f>
        <v>Within SLA</v>
      </c>
      <c r="N2282" t="str">
        <f>IF(tbl_analysis_tickets[[#This Row],[first_response_minutes]]&gt;tbl_analysis_tickets[[#This Row],[First Response SLA Minutes]],"Breached","Within SLA")</f>
        <v>Within SLA</v>
      </c>
      <c r="O2282" t="str" cm="1">
        <f t="array" ref="O2282">_xlfn.IFS(
tbl_analysis_tickets[[#This Row],[agent_experience_years]]&lt;=2,"Junior",
tbl_analysis_tickets[[#This Row],[agent_experience_years]]&lt;=5,"Mid-Level",
tbl_analysis_tickets[[#This Row],[agent_experience_years]]&lt;=8,"Senior",
tbl_analysis_tickets[[#This Row],[agent_experience_years]]&gt;8,"Expert"
)</f>
        <v>Mid-Level</v>
      </c>
      <c r="P2282" cm="1">
        <f t="array" ref="P2282">_xlfn.SWITCH(tbl_analysis_tickets[[#This Row],[customer_satisfaction]],
"Low",1,
"Medium",2,
"High",3
)</f>
        <v>1</v>
      </c>
      <c r="Q2282">
        <f>IF(tbl_analysis_tickets[[#This Row],[reopened]]="Yes",1,0)</f>
        <v>1</v>
      </c>
      <c r="R2282" t="str" cm="1">
        <f t="array" ref="R2282">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282" t="str" cm="1">
        <f t="array" ref="S228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282" t="str">
        <f>TEXT(tbl_analysis_tickets[[#This Row],[created_date]],"mmm-yyyy")</f>
        <v>Jun-2024</v>
      </c>
      <c r="U2282" t="str">
        <f>TEXT(tbl_analysis_tickets[[#This Row],[created_date]],"dddd")</f>
        <v>Tuesday</v>
      </c>
      <c r="V2282" cm="1">
        <f t="array" ref="V2282">_xlfn.SWITCH(tbl_analysis_tickets[[#This Row],[priority]],
"Urgent",1,
"High",2,
"Medium",3,
"Low",4
)</f>
        <v>4</v>
      </c>
    </row>
    <row r="2283" spans="1:22" x14ac:dyDescent="0.25">
      <c r="A2283">
        <v>2282</v>
      </c>
      <c r="B2283" s="1">
        <v>45391</v>
      </c>
      <c r="C2283" t="s">
        <v>21</v>
      </c>
      <c r="D2283" t="s">
        <v>17</v>
      </c>
      <c r="E2283">
        <v>190</v>
      </c>
      <c r="F2283">
        <v>61</v>
      </c>
      <c r="G2283">
        <v>6.6</v>
      </c>
      <c r="H2283" t="s">
        <v>12</v>
      </c>
      <c r="I2283" t="s">
        <v>19</v>
      </c>
      <c r="J2283" t="s">
        <v>11</v>
      </c>
      <c r="K2283">
        <f>_xlfn.XLOOKUP(tbl_analysis_tickets[[#This Row],[priority]],tbl_sla[priority],tbl_sla[Resolution SLA Hours])</f>
        <v>8</v>
      </c>
      <c r="L2283">
        <f>_xlfn.XLOOKUP(tbl_analysis_tickets[[#This Row],[priority]],tbl_sla[priority],tbl_sla[First Response SLA Minutes])</f>
        <v>30</v>
      </c>
      <c r="M2283" t="str">
        <f>IF(tbl_analysis_tickets[[#This Row],[resolution_time_hours]]&gt;tbl_analysis_tickets[[#This Row],[Resolution SLA Hours]],"Breached","Within SLA")</f>
        <v>Breached</v>
      </c>
      <c r="N2283" t="str">
        <f>IF(tbl_analysis_tickets[[#This Row],[first_response_minutes]]&gt;tbl_analysis_tickets[[#This Row],[First Response SLA Minutes]],"Breached","Within SLA")</f>
        <v>Breached</v>
      </c>
      <c r="O2283" t="str" cm="1">
        <f t="array" ref="O2283">_xlfn.IFS(
tbl_analysis_tickets[[#This Row],[agent_experience_years]]&lt;=2,"Junior",
tbl_analysis_tickets[[#This Row],[agent_experience_years]]&lt;=5,"Mid-Level",
tbl_analysis_tickets[[#This Row],[agent_experience_years]]&lt;=8,"Senior",
tbl_analysis_tickets[[#This Row],[agent_experience_years]]&gt;8,"Expert"
)</f>
        <v>Senior</v>
      </c>
      <c r="P2283" cm="1">
        <f t="array" ref="P2283">_xlfn.SWITCH(tbl_analysis_tickets[[#This Row],[customer_satisfaction]],
"Low",1,
"Medium",2,
"High",3
)</f>
        <v>1</v>
      </c>
      <c r="Q2283">
        <f>IF(tbl_analysis_tickets[[#This Row],[reopened]]="Yes",1,0)</f>
        <v>1</v>
      </c>
      <c r="R2283" t="str" cm="1">
        <f t="array" ref="R2283">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283" t="str" cm="1">
        <f t="array" ref="S228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283" t="str">
        <f>TEXT(tbl_analysis_tickets[[#This Row],[created_date]],"mmm-yyyy")</f>
        <v>Apr-2024</v>
      </c>
      <c r="U2283" t="str">
        <f>TEXT(tbl_analysis_tickets[[#This Row],[created_date]],"dddd")</f>
        <v>Tuesday</v>
      </c>
      <c r="V2283" cm="1">
        <f t="array" ref="V2283">_xlfn.SWITCH(tbl_analysis_tickets[[#This Row],[priority]],
"Urgent",1,
"High",2,
"Medium",3,
"Low",4
)</f>
        <v>1</v>
      </c>
    </row>
    <row r="2284" spans="1:22" x14ac:dyDescent="0.25">
      <c r="A2284">
        <v>2283</v>
      </c>
      <c r="B2284" s="1">
        <v>45547</v>
      </c>
      <c r="C2284" t="s">
        <v>23</v>
      </c>
      <c r="D2284" t="s">
        <v>15</v>
      </c>
      <c r="E2284">
        <v>134</v>
      </c>
      <c r="F2284">
        <v>18</v>
      </c>
      <c r="G2284">
        <v>7.9</v>
      </c>
      <c r="H2284" t="s">
        <v>12</v>
      </c>
      <c r="I2284" t="s">
        <v>19</v>
      </c>
      <c r="J2284" t="s">
        <v>11</v>
      </c>
      <c r="K2284">
        <f>_xlfn.XLOOKUP(tbl_analysis_tickets[[#This Row],[priority]],tbl_sla[priority],tbl_sla[Resolution SLA Hours])</f>
        <v>48</v>
      </c>
      <c r="L2284">
        <f>_xlfn.XLOOKUP(tbl_analysis_tickets[[#This Row],[priority]],tbl_sla[priority],tbl_sla[First Response SLA Minutes])</f>
        <v>120</v>
      </c>
      <c r="M2284" t="str">
        <f>IF(tbl_analysis_tickets[[#This Row],[resolution_time_hours]]&gt;tbl_analysis_tickets[[#This Row],[Resolution SLA Hours]],"Breached","Within SLA")</f>
        <v>Within SLA</v>
      </c>
      <c r="N2284" t="str">
        <f>IF(tbl_analysis_tickets[[#This Row],[first_response_minutes]]&gt;tbl_analysis_tickets[[#This Row],[First Response SLA Minutes]],"Breached","Within SLA")</f>
        <v>Breached</v>
      </c>
      <c r="O2284" t="str" cm="1">
        <f t="array" ref="O2284">_xlfn.IFS(
tbl_analysis_tickets[[#This Row],[agent_experience_years]]&lt;=2,"Junior",
tbl_analysis_tickets[[#This Row],[agent_experience_years]]&lt;=5,"Mid-Level",
tbl_analysis_tickets[[#This Row],[agent_experience_years]]&lt;=8,"Senior",
tbl_analysis_tickets[[#This Row],[agent_experience_years]]&gt;8,"Expert"
)</f>
        <v>Senior</v>
      </c>
      <c r="P2284" cm="1">
        <f t="array" ref="P2284">_xlfn.SWITCH(tbl_analysis_tickets[[#This Row],[customer_satisfaction]],
"Low",1,
"Medium",2,
"High",3
)</f>
        <v>1</v>
      </c>
      <c r="Q2284">
        <f>IF(tbl_analysis_tickets[[#This Row],[reopened]]="Yes",1,0)</f>
        <v>1</v>
      </c>
      <c r="R2284" t="str" cm="1">
        <f t="array" ref="R2284">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284" t="str" cm="1">
        <f t="array" ref="S228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284" t="str">
        <f>TEXT(tbl_analysis_tickets[[#This Row],[created_date]],"mmm-yyyy")</f>
        <v>Sep-2024</v>
      </c>
      <c r="U2284" t="str">
        <f>TEXT(tbl_analysis_tickets[[#This Row],[created_date]],"dddd")</f>
        <v>Thursday</v>
      </c>
      <c r="V2284" cm="1">
        <f t="array" ref="V2284">_xlfn.SWITCH(tbl_analysis_tickets[[#This Row],[priority]],
"Urgent",1,
"High",2,
"Medium",3,
"Low",4
)</f>
        <v>3</v>
      </c>
    </row>
    <row r="2285" spans="1:22" x14ac:dyDescent="0.25">
      <c r="A2285">
        <v>2284</v>
      </c>
      <c r="B2285" s="1">
        <v>45321</v>
      </c>
      <c r="C2285" t="s">
        <v>14</v>
      </c>
      <c r="D2285" t="s">
        <v>17</v>
      </c>
      <c r="E2285">
        <v>146</v>
      </c>
      <c r="F2285">
        <v>67</v>
      </c>
      <c r="G2285">
        <v>1.2</v>
      </c>
      <c r="H2285" t="s">
        <v>12</v>
      </c>
      <c r="I2285" t="s">
        <v>13</v>
      </c>
      <c r="J2285" t="s">
        <v>11</v>
      </c>
      <c r="K2285">
        <f>_xlfn.XLOOKUP(tbl_analysis_tickets[[#This Row],[priority]],tbl_sla[priority],tbl_sla[Resolution SLA Hours])</f>
        <v>8</v>
      </c>
      <c r="L2285">
        <f>_xlfn.XLOOKUP(tbl_analysis_tickets[[#This Row],[priority]],tbl_sla[priority],tbl_sla[First Response SLA Minutes])</f>
        <v>30</v>
      </c>
      <c r="M2285" t="str">
        <f>IF(tbl_analysis_tickets[[#This Row],[resolution_time_hours]]&gt;tbl_analysis_tickets[[#This Row],[Resolution SLA Hours]],"Breached","Within SLA")</f>
        <v>Breached</v>
      </c>
      <c r="N2285" t="str">
        <f>IF(tbl_analysis_tickets[[#This Row],[first_response_minutes]]&gt;tbl_analysis_tickets[[#This Row],[First Response SLA Minutes]],"Breached","Within SLA")</f>
        <v>Breached</v>
      </c>
      <c r="O2285" t="str" cm="1">
        <f t="array" ref="O2285">_xlfn.IFS(
tbl_analysis_tickets[[#This Row],[agent_experience_years]]&lt;=2,"Junior",
tbl_analysis_tickets[[#This Row],[agent_experience_years]]&lt;=5,"Mid-Level",
tbl_analysis_tickets[[#This Row],[agent_experience_years]]&lt;=8,"Senior",
tbl_analysis_tickets[[#This Row],[agent_experience_years]]&gt;8,"Expert"
)</f>
        <v>Junior</v>
      </c>
      <c r="P2285" cm="1">
        <f t="array" ref="P2285">_xlfn.SWITCH(tbl_analysis_tickets[[#This Row],[customer_satisfaction]],
"Low",1,
"Medium",2,
"High",3
)</f>
        <v>1</v>
      </c>
      <c r="Q2285">
        <f>IF(tbl_analysis_tickets[[#This Row],[reopened]]="Yes",1,0)</f>
        <v>1</v>
      </c>
      <c r="R2285" t="str" cm="1">
        <f t="array" ref="R2285">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285" t="str" cm="1">
        <f t="array" ref="S228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285" t="str">
        <f>TEXT(tbl_analysis_tickets[[#This Row],[created_date]],"mmm-yyyy")</f>
        <v>Jan-2024</v>
      </c>
      <c r="U2285" t="str">
        <f>TEXT(tbl_analysis_tickets[[#This Row],[created_date]],"dddd")</f>
        <v>Tuesday</v>
      </c>
      <c r="V2285" cm="1">
        <f t="array" ref="V2285">_xlfn.SWITCH(tbl_analysis_tickets[[#This Row],[priority]],
"Urgent",1,
"High",2,
"Medium",3,
"Low",4
)</f>
        <v>1</v>
      </c>
    </row>
    <row r="2286" spans="1:22" x14ac:dyDescent="0.25">
      <c r="A2286">
        <v>2285</v>
      </c>
      <c r="B2286" s="1">
        <v>45447</v>
      </c>
      <c r="C2286" t="s">
        <v>10</v>
      </c>
      <c r="D2286" t="s">
        <v>11</v>
      </c>
      <c r="E2286">
        <v>142</v>
      </c>
      <c r="F2286">
        <v>7</v>
      </c>
      <c r="G2286">
        <v>9.9</v>
      </c>
      <c r="H2286" t="s">
        <v>18</v>
      </c>
      <c r="I2286" t="s">
        <v>16</v>
      </c>
      <c r="J2286" t="s">
        <v>15</v>
      </c>
      <c r="K2286">
        <f>_xlfn.XLOOKUP(tbl_analysis_tickets[[#This Row],[priority]],tbl_sla[priority],tbl_sla[Resolution SLA Hours])</f>
        <v>72</v>
      </c>
      <c r="L2286">
        <f>_xlfn.XLOOKUP(tbl_analysis_tickets[[#This Row],[priority]],tbl_sla[priority],tbl_sla[First Response SLA Minutes])</f>
        <v>240</v>
      </c>
      <c r="M2286" t="str">
        <f>IF(tbl_analysis_tickets[[#This Row],[resolution_time_hours]]&gt;tbl_analysis_tickets[[#This Row],[Resolution SLA Hours]],"Breached","Within SLA")</f>
        <v>Within SLA</v>
      </c>
      <c r="N2286" t="str">
        <f>IF(tbl_analysis_tickets[[#This Row],[first_response_minutes]]&gt;tbl_analysis_tickets[[#This Row],[First Response SLA Minutes]],"Breached","Within SLA")</f>
        <v>Within SLA</v>
      </c>
      <c r="O2286" t="str" cm="1">
        <f t="array" ref="O2286">_xlfn.IFS(
tbl_analysis_tickets[[#This Row],[agent_experience_years]]&lt;=2,"Junior",
tbl_analysis_tickets[[#This Row],[agent_experience_years]]&lt;=5,"Mid-Level",
tbl_analysis_tickets[[#This Row],[agent_experience_years]]&lt;=8,"Senior",
tbl_analysis_tickets[[#This Row],[agent_experience_years]]&gt;8,"Expert"
)</f>
        <v>Expert</v>
      </c>
      <c r="P2286" cm="1">
        <f t="array" ref="P2286">_xlfn.SWITCH(tbl_analysis_tickets[[#This Row],[customer_satisfaction]],
"Low",1,
"Medium",2,
"High",3
)</f>
        <v>2</v>
      </c>
      <c r="Q2286">
        <f>IF(tbl_analysis_tickets[[#This Row],[reopened]]="Yes",1,0)</f>
        <v>0</v>
      </c>
      <c r="R2286" t="str" cm="1">
        <f t="array" ref="R2286">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286" t="str" cm="1">
        <f t="array" ref="S228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2286" t="str">
        <f>TEXT(tbl_analysis_tickets[[#This Row],[created_date]],"mmm-yyyy")</f>
        <v>Jun-2024</v>
      </c>
      <c r="U2286" t="str">
        <f>TEXT(tbl_analysis_tickets[[#This Row],[created_date]],"dddd")</f>
        <v>Tuesday</v>
      </c>
      <c r="V2286" cm="1">
        <f t="array" ref="V2286">_xlfn.SWITCH(tbl_analysis_tickets[[#This Row],[priority]],
"Urgent",1,
"High",2,
"Medium",3,
"Low",4
)</f>
        <v>4</v>
      </c>
    </row>
    <row r="2287" spans="1:22" x14ac:dyDescent="0.25">
      <c r="A2287">
        <v>2286</v>
      </c>
      <c r="B2287" s="1">
        <v>45435</v>
      </c>
      <c r="C2287" t="s">
        <v>22</v>
      </c>
      <c r="D2287" t="s">
        <v>20</v>
      </c>
      <c r="E2287">
        <v>139</v>
      </c>
      <c r="F2287">
        <v>21</v>
      </c>
      <c r="G2287">
        <v>8.4</v>
      </c>
      <c r="H2287" t="s">
        <v>12</v>
      </c>
      <c r="I2287" t="s">
        <v>16</v>
      </c>
      <c r="J2287" t="s">
        <v>11</v>
      </c>
      <c r="K2287">
        <f>_xlfn.XLOOKUP(tbl_analysis_tickets[[#This Row],[priority]],tbl_sla[priority],tbl_sla[Resolution SLA Hours])</f>
        <v>24</v>
      </c>
      <c r="L2287">
        <f>_xlfn.XLOOKUP(tbl_analysis_tickets[[#This Row],[priority]],tbl_sla[priority],tbl_sla[First Response SLA Minutes])</f>
        <v>60</v>
      </c>
      <c r="M2287" t="str">
        <f>IF(tbl_analysis_tickets[[#This Row],[resolution_time_hours]]&gt;tbl_analysis_tickets[[#This Row],[Resolution SLA Hours]],"Breached","Within SLA")</f>
        <v>Within SLA</v>
      </c>
      <c r="N2287" t="str">
        <f>IF(tbl_analysis_tickets[[#This Row],[first_response_minutes]]&gt;tbl_analysis_tickets[[#This Row],[First Response SLA Minutes]],"Breached","Within SLA")</f>
        <v>Breached</v>
      </c>
      <c r="O2287" t="str" cm="1">
        <f t="array" ref="O2287">_xlfn.IFS(
tbl_analysis_tickets[[#This Row],[agent_experience_years]]&lt;=2,"Junior",
tbl_analysis_tickets[[#This Row],[agent_experience_years]]&lt;=5,"Mid-Level",
tbl_analysis_tickets[[#This Row],[agent_experience_years]]&lt;=8,"Senior",
tbl_analysis_tickets[[#This Row],[agent_experience_years]]&gt;8,"Expert"
)</f>
        <v>Expert</v>
      </c>
      <c r="P2287" cm="1">
        <f t="array" ref="P2287">_xlfn.SWITCH(tbl_analysis_tickets[[#This Row],[customer_satisfaction]],
"Low",1,
"Medium",2,
"High",3
)</f>
        <v>1</v>
      </c>
      <c r="Q2287">
        <f>IF(tbl_analysis_tickets[[#This Row],[reopened]]="Yes",1,0)</f>
        <v>1</v>
      </c>
      <c r="R2287" t="str" cm="1">
        <f t="array" ref="R2287">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287" t="str" cm="1">
        <f t="array" ref="S228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287" t="str">
        <f>TEXT(tbl_analysis_tickets[[#This Row],[created_date]],"mmm-yyyy")</f>
        <v>May-2024</v>
      </c>
      <c r="U2287" t="str">
        <f>TEXT(tbl_analysis_tickets[[#This Row],[created_date]],"dddd")</f>
        <v>Thursday</v>
      </c>
      <c r="V2287" cm="1">
        <f t="array" ref="V2287">_xlfn.SWITCH(tbl_analysis_tickets[[#This Row],[priority]],
"Urgent",1,
"High",2,
"Medium",3,
"Low",4
)</f>
        <v>2</v>
      </c>
    </row>
    <row r="2288" spans="1:22" x14ac:dyDescent="0.25">
      <c r="A2288">
        <v>2287</v>
      </c>
      <c r="B2288" s="1">
        <v>45314</v>
      </c>
      <c r="C2288" t="s">
        <v>22</v>
      </c>
      <c r="D2288" t="s">
        <v>20</v>
      </c>
      <c r="E2288">
        <v>108</v>
      </c>
      <c r="F2288">
        <v>13</v>
      </c>
      <c r="G2288">
        <v>8.1</v>
      </c>
      <c r="H2288" t="s">
        <v>18</v>
      </c>
      <c r="I2288" t="s">
        <v>16</v>
      </c>
      <c r="J2288" t="s">
        <v>11</v>
      </c>
      <c r="K2288">
        <f>_xlfn.XLOOKUP(tbl_analysis_tickets[[#This Row],[priority]],tbl_sla[priority],tbl_sla[Resolution SLA Hours])</f>
        <v>24</v>
      </c>
      <c r="L2288">
        <f>_xlfn.XLOOKUP(tbl_analysis_tickets[[#This Row],[priority]],tbl_sla[priority],tbl_sla[First Response SLA Minutes])</f>
        <v>60</v>
      </c>
      <c r="M2288" t="str">
        <f>IF(tbl_analysis_tickets[[#This Row],[resolution_time_hours]]&gt;tbl_analysis_tickets[[#This Row],[Resolution SLA Hours]],"Breached","Within SLA")</f>
        <v>Within SLA</v>
      </c>
      <c r="N2288" t="str">
        <f>IF(tbl_analysis_tickets[[#This Row],[first_response_minutes]]&gt;tbl_analysis_tickets[[#This Row],[First Response SLA Minutes]],"Breached","Within SLA")</f>
        <v>Breached</v>
      </c>
      <c r="O2288" t="str" cm="1">
        <f t="array" ref="O2288">_xlfn.IFS(
tbl_analysis_tickets[[#This Row],[agent_experience_years]]&lt;=2,"Junior",
tbl_analysis_tickets[[#This Row],[agent_experience_years]]&lt;=5,"Mid-Level",
tbl_analysis_tickets[[#This Row],[agent_experience_years]]&lt;=8,"Senior",
tbl_analysis_tickets[[#This Row],[agent_experience_years]]&gt;8,"Expert"
)</f>
        <v>Expert</v>
      </c>
      <c r="P2288" cm="1">
        <f t="array" ref="P2288">_xlfn.SWITCH(tbl_analysis_tickets[[#This Row],[customer_satisfaction]],
"Low",1,
"Medium",2,
"High",3
)</f>
        <v>1</v>
      </c>
      <c r="Q2288">
        <f>IF(tbl_analysis_tickets[[#This Row],[reopened]]="Yes",1,0)</f>
        <v>0</v>
      </c>
      <c r="R2288" t="str" cm="1">
        <f t="array" ref="R2288">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288" t="str" cm="1">
        <f t="array" ref="S228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288" t="str">
        <f>TEXT(tbl_analysis_tickets[[#This Row],[created_date]],"mmm-yyyy")</f>
        <v>Jan-2024</v>
      </c>
      <c r="U2288" t="str">
        <f>TEXT(tbl_analysis_tickets[[#This Row],[created_date]],"dddd")</f>
        <v>Tuesday</v>
      </c>
      <c r="V2288" cm="1">
        <f t="array" ref="V2288">_xlfn.SWITCH(tbl_analysis_tickets[[#This Row],[priority]],
"Urgent",1,
"High",2,
"Medium",3,
"Low",4
)</f>
        <v>2</v>
      </c>
    </row>
    <row r="2289" spans="1:22" x14ac:dyDescent="0.25">
      <c r="A2289">
        <v>2288</v>
      </c>
      <c r="B2289" s="1">
        <v>45532</v>
      </c>
      <c r="C2289" t="s">
        <v>10</v>
      </c>
      <c r="D2289" t="s">
        <v>11</v>
      </c>
      <c r="E2289">
        <v>86</v>
      </c>
      <c r="F2289">
        <v>37</v>
      </c>
      <c r="G2289">
        <v>6.1</v>
      </c>
      <c r="H2289" t="s">
        <v>12</v>
      </c>
      <c r="I2289" t="s">
        <v>16</v>
      </c>
      <c r="J2289" t="s">
        <v>11</v>
      </c>
      <c r="K2289">
        <f>_xlfn.XLOOKUP(tbl_analysis_tickets[[#This Row],[priority]],tbl_sla[priority],tbl_sla[Resolution SLA Hours])</f>
        <v>72</v>
      </c>
      <c r="L2289">
        <f>_xlfn.XLOOKUP(tbl_analysis_tickets[[#This Row],[priority]],tbl_sla[priority],tbl_sla[First Response SLA Minutes])</f>
        <v>240</v>
      </c>
      <c r="M2289" t="str">
        <f>IF(tbl_analysis_tickets[[#This Row],[resolution_time_hours]]&gt;tbl_analysis_tickets[[#This Row],[Resolution SLA Hours]],"Breached","Within SLA")</f>
        <v>Within SLA</v>
      </c>
      <c r="N2289" t="str">
        <f>IF(tbl_analysis_tickets[[#This Row],[first_response_minutes]]&gt;tbl_analysis_tickets[[#This Row],[First Response SLA Minutes]],"Breached","Within SLA")</f>
        <v>Within SLA</v>
      </c>
      <c r="O2289" t="str" cm="1">
        <f t="array" ref="O2289">_xlfn.IFS(
tbl_analysis_tickets[[#This Row],[agent_experience_years]]&lt;=2,"Junior",
tbl_analysis_tickets[[#This Row],[agent_experience_years]]&lt;=5,"Mid-Level",
tbl_analysis_tickets[[#This Row],[agent_experience_years]]&lt;=8,"Senior",
tbl_analysis_tickets[[#This Row],[agent_experience_years]]&gt;8,"Expert"
)</f>
        <v>Senior</v>
      </c>
      <c r="P2289" cm="1">
        <f t="array" ref="P2289">_xlfn.SWITCH(tbl_analysis_tickets[[#This Row],[customer_satisfaction]],
"Low",1,
"Medium",2,
"High",3
)</f>
        <v>1</v>
      </c>
      <c r="Q2289">
        <f>IF(tbl_analysis_tickets[[#This Row],[reopened]]="Yes",1,0)</f>
        <v>1</v>
      </c>
      <c r="R2289" t="str" cm="1">
        <f t="array" ref="R2289">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289" t="str" cm="1">
        <f t="array" ref="S228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289" t="str">
        <f>TEXT(tbl_analysis_tickets[[#This Row],[created_date]],"mmm-yyyy")</f>
        <v>Aug-2024</v>
      </c>
      <c r="U2289" t="str">
        <f>TEXT(tbl_analysis_tickets[[#This Row],[created_date]],"dddd")</f>
        <v>Wednesday</v>
      </c>
      <c r="V2289" cm="1">
        <f t="array" ref="V2289">_xlfn.SWITCH(tbl_analysis_tickets[[#This Row],[priority]],
"Urgent",1,
"High",2,
"Medium",3,
"Low",4
)</f>
        <v>4</v>
      </c>
    </row>
    <row r="2290" spans="1:22" x14ac:dyDescent="0.25">
      <c r="A2290">
        <v>2289</v>
      </c>
      <c r="B2290" s="1">
        <v>45600</v>
      </c>
      <c r="C2290" t="s">
        <v>10</v>
      </c>
      <c r="D2290" t="s">
        <v>17</v>
      </c>
      <c r="E2290">
        <v>161</v>
      </c>
      <c r="F2290">
        <v>28</v>
      </c>
      <c r="G2290">
        <v>4</v>
      </c>
      <c r="H2290" t="s">
        <v>18</v>
      </c>
      <c r="I2290" t="s">
        <v>16</v>
      </c>
      <c r="J2290" t="s">
        <v>11</v>
      </c>
      <c r="K2290">
        <f>_xlfn.XLOOKUP(tbl_analysis_tickets[[#This Row],[priority]],tbl_sla[priority],tbl_sla[Resolution SLA Hours])</f>
        <v>8</v>
      </c>
      <c r="L2290">
        <f>_xlfn.XLOOKUP(tbl_analysis_tickets[[#This Row],[priority]],tbl_sla[priority],tbl_sla[First Response SLA Minutes])</f>
        <v>30</v>
      </c>
      <c r="M2290" t="str">
        <f>IF(tbl_analysis_tickets[[#This Row],[resolution_time_hours]]&gt;tbl_analysis_tickets[[#This Row],[Resolution SLA Hours]],"Breached","Within SLA")</f>
        <v>Breached</v>
      </c>
      <c r="N2290" t="str">
        <f>IF(tbl_analysis_tickets[[#This Row],[first_response_minutes]]&gt;tbl_analysis_tickets[[#This Row],[First Response SLA Minutes]],"Breached","Within SLA")</f>
        <v>Breached</v>
      </c>
      <c r="O2290" t="str" cm="1">
        <f t="array" ref="O2290">_xlfn.IFS(
tbl_analysis_tickets[[#This Row],[agent_experience_years]]&lt;=2,"Junior",
tbl_analysis_tickets[[#This Row],[agent_experience_years]]&lt;=5,"Mid-Level",
tbl_analysis_tickets[[#This Row],[agent_experience_years]]&lt;=8,"Senior",
tbl_analysis_tickets[[#This Row],[agent_experience_years]]&gt;8,"Expert"
)</f>
        <v>Mid-Level</v>
      </c>
      <c r="P2290" cm="1">
        <f t="array" ref="P2290">_xlfn.SWITCH(tbl_analysis_tickets[[#This Row],[customer_satisfaction]],
"Low",1,
"Medium",2,
"High",3
)</f>
        <v>1</v>
      </c>
      <c r="Q2290">
        <f>IF(tbl_analysis_tickets[[#This Row],[reopened]]="Yes",1,0)</f>
        <v>0</v>
      </c>
      <c r="R2290" t="str" cm="1">
        <f t="array" ref="R2290">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290" t="str" cm="1">
        <f t="array" ref="S229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290" t="str">
        <f>TEXT(tbl_analysis_tickets[[#This Row],[created_date]],"mmm-yyyy")</f>
        <v>Nov-2024</v>
      </c>
      <c r="U2290" t="str">
        <f>TEXT(tbl_analysis_tickets[[#This Row],[created_date]],"dddd")</f>
        <v>Monday</v>
      </c>
      <c r="V2290" cm="1">
        <f t="array" ref="V2290">_xlfn.SWITCH(tbl_analysis_tickets[[#This Row],[priority]],
"Urgent",1,
"High",2,
"Medium",3,
"Low",4
)</f>
        <v>1</v>
      </c>
    </row>
    <row r="2291" spans="1:22" x14ac:dyDescent="0.25">
      <c r="A2291">
        <v>2290</v>
      </c>
      <c r="B2291" s="1">
        <v>45505</v>
      </c>
      <c r="C2291" t="s">
        <v>23</v>
      </c>
      <c r="D2291" t="s">
        <v>20</v>
      </c>
      <c r="E2291">
        <v>159</v>
      </c>
      <c r="F2291">
        <v>36</v>
      </c>
      <c r="G2291">
        <v>1.7</v>
      </c>
      <c r="H2291" t="s">
        <v>18</v>
      </c>
      <c r="I2291" t="s">
        <v>13</v>
      </c>
      <c r="J2291" t="s">
        <v>11</v>
      </c>
      <c r="K2291">
        <f>_xlfn.XLOOKUP(tbl_analysis_tickets[[#This Row],[priority]],tbl_sla[priority],tbl_sla[Resolution SLA Hours])</f>
        <v>24</v>
      </c>
      <c r="L2291">
        <f>_xlfn.XLOOKUP(tbl_analysis_tickets[[#This Row],[priority]],tbl_sla[priority],tbl_sla[First Response SLA Minutes])</f>
        <v>60</v>
      </c>
      <c r="M2291" t="str">
        <f>IF(tbl_analysis_tickets[[#This Row],[resolution_time_hours]]&gt;tbl_analysis_tickets[[#This Row],[Resolution SLA Hours]],"Breached","Within SLA")</f>
        <v>Breached</v>
      </c>
      <c r="N2291" t="str">
        <f>IF(tbl_analysis_tickets[[#This Row],[first_response_minutes]]&gt;tbl_analysis_tickets[[#This Row],[First Response SLA Minutes]],"Breached","Within SLA")</f>
        <v>Breached</v>
      </c>
      <c r="O2291" t="str" cm="1">
        <f t="array" ref="O2291">_xlfn.IFS(
tbl_analysis_tickets[[#This Row],[agent_experience_years]]&lt;=2,"Junior",
tbl_analysis_tickets[[#This Row],[agent_experience_years]]&lt;=5,"Mid-Level",
tbl_analysis_tickets[[#This Row],[agent_experience_years]]&lt;=8,"Senior",
tbl_analysis_tickets[[#This Row],[agent_experience_years]]&gt;8,"Expert"
)</f>
        <v>Junior</v>
      </c>
      <c r="P2291" cm="1">
        <f t="array" ref="P2291">_xlfn.SWITCH(tbl_analysis_tickets[[#This Row],[customer_satisfaction]],
"Low",1,
"Medium",2,
"High",3
)</f>
        <v>1</v>
      </c>
      <c r="Q2291">
        <f>IF(tbl_analysis_tickets[[#This Row],[reopened]]="Yes",1,0)</f>
        <v>0</v>
      </c>
      <c r="R2291" t="str" cm="1">
        <f t="array" ref="R2291">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291" t="str" cm="1">
        <f t="array" ref="S229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291" t="str">
        <f>TEXT(tbl_analysis_tickets[[#This Row],[created_date]],"mmm-yyyy")</f>
        <v>Aug-2024</v>
      </c>
      <c r="U2291" t="str">
        <f>TEXT(tbl_analysis_tickets[[#This Row],[created_date]],"dddd")</f>
        <v>Thursday</v>
      </c>
      <c r="V2291" cm="1">
        <f t="array" ref="V2291">_xlfn.SWITCH(tbl_analysis_tickets[[#This Row],[priority]],
"Urgent",1,
"High",2,
"Medium",3,
"Low",4
)</f>
        <v>2</v>
      </c>
    </row>
    <row r="2292" spans="1:22" x14ac:dyDescent="0.25">
      <c r="A2292">
        <v>2291</v>
      </c>
      <c r="B2292" s="1">
        <v>45509</v>
      </c>
      <c r="C2292" t="s">
        <v>22</v>
      </c>
      <c r="D2292" t="s">
        <v>11</v>
      </c>
      <c r="E2292">
        <v>173</v>
      </c>
      <c r="F2292">
        <v>44</v>
      </c>
      <c r="G2292">
        <v>3.3</v>
      </c>
      <c r="H2292" t="s">
        <v>18</v>
      </c>
      <c r="I2292" t="s">
        <v>16</v>
      </c>
      <c r="J2292" t="s">
        <v>11</v>
      </c>
      <c r="K2292">
        <f>_xlfn.XLOOKUP(tbl_analysis_tickets[[#This Row],[priority]],tbl_sla[priority],tbl_sla[Resolution SLA Hours])</f>
        <v>72</v>
      </c>
      <c r="L2292">
        <f>_xlfn.XLOOKUP(tbl_analysis_tickets[[#This Row],[priority]],tbl_sla[priority],tbl_sla[First Response SLA Minutes])</f>
        <v>240</v>
      </c>
      <c r="M2292" t="str">
        <f>IF(tbl_analysis_tickets[[#This Row],[resolution_time_hours]]&gt;tbl_analysis_tickets[[#This Row],[Resolution SLA Hours]],"Breached","Within SLA")</f>
        <v>Within SLA</v>
      </c>
      <c r="N2292" t="str">
        <f>IF(tbl_analysis_tickets[[#This Row],[first_response_minutes]]&gt;tbl_analysis_tickets[[#This Row],[First Response SLA Minutes]],"Breached","Within SLA")</f>
        <v>Within SLA</v>
      </c>
      <c r="O2292" t="str" cm="1">
        <f t="array" ref="O2292">_xlfn.IFS(
tbl_analysis_tickets[[#This Row],[agent_experience_years]]&lt;=2,"Junior",
tbl_analysis_tickets[[#This Row],[agent_experience_years]]&lt;=5,"Mid-Level",
tbl_analysis_tickets[[#This Row],[agent_experience_years]]&lt;=8,"Senior",
tbl_analysis_tickets[[#This Row],[agent_experience_years]]&gt;8,"Expert"
)</f>
        <v>Mid-Level</v>
      </c>
      <c r="P2292" cm="1">
        <f t="array" ref="P2292">_xlfn.SWITCH(tbl_analysis_tickets[[#This Row],[customer_satisfaction]],
"Low",1,
"Medium",2,
"High",3
)</f>
        <v>1</v>
      </c>
      <c r="Q2292">
        <f>IF(tbl_analysis_tickets[[#This Row],[reopened]]="Yes",1,0)</f>
        <v>0</v>
      </c>
      <c r="R2292" t="str" cm="1">
        <f t="array" ref="R2292">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292" t="str" cm="1">
        <f t="array" ref="S229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292" t="str">
        <f>TEXT(tbl_analysis_tickets[[#This Row],[created_date]],"mmm-yyyy")</f>
        <v>Aug-2024</v>
      </c>
      <c r="U2292" t="str">
        <f>TEXT(tbl_analysis_tickets[[#This Row],[created_date]],"dddd")</f>
        <v>Monday</v>
      </c>
      <c r="V2292" cm="1">
        <f t="array" ref="V2292">_xlfn.SWITCH(tbl_analysis_tickets[[#This Row],[priority]],
"Urgent",1,
"High",2,
"Medium",3,
"Low",4
)</f>
        <v>4</v>
      </c>
    </row>
    <row r="2293" spans="1:22" x14ac:dyDescent="0.25">
      <c r="A2293">
        <v>2292</v>
      </c>
      <c r="B2293" s="1">
        <v>45467</v>
      </c>
      <c r="C2293" t="s">
        <v>10</v>
      </c>
      <c r="D2293" t="s">
        <v>11</v>
      </c>
      <c r="E2293">
        <v>123</v>
      </c>
      <c r="F2293">
        <v>32</v>
      </c>
      <c r="G2293">
        <v>1.3</v>
      </c>
      <c r="H2293" t="s">
        <v>12</v>
      </c>
      <c r="I2293" t="s">
        <v>19</v>
      </c>
      <c r="J2293" t="s">
        <v>11</v>
      </c>
      <c r="K2293">
        <f>_xlfn.XLOOKUP(tbl_analysis_tickets[[#This Row],[priority]],tbl_sla[priority],tbl_sla[Resolution SLA Hours])</f>
        <v>72</v>
      </c>
      <c r="L2293">
        <f>_xlfn.XLOOKUP(tbl_analysis_tickets[[#This Row],[priority]],tbl_sla[priority],tbl_sla[First Response SLA Minutes])</f>
        <v>240</v>
      </c>
      <c r="M2293" t="str">
        <f>IF(tbl_analysis_tickets[[#This Row],[resolution_time_hours]]&gt;tbl_analysis_tickets[[#This Row],[Resolution SLA Hours]],"Breached","Within SLA")</f>
        <v>Within SLA</v>
      </c>
      <c r="N2293" t="str">
        <f>IF(tbl_analysis_tickets[[#This Row],[first_response_minutes]]&gt;tbl_analysis_tickets[[#This Row],[First Response SLA Minutes]],"Breached","Within SLA")</f>
        <v>Within SLA</v>
      </c>
      <c r="O2293" t="str" cm="1">
        <f t="array" ref="O2293">_xlfn.IFS(
tbl_analysis_tickets[[#This Row],[agent_experience_years]]&lt;=2,"Junior",
tbl_analysis_tickets[[#This Row],[agent_experience_years]]&lt;=5,"Mid-Level",
tbl_analysis_tickets[[#This Row],[agent_experience_years]]&lt;=8,"Senior",
tbl_analysis_tickets[[#This Row],[agent_experience_years]]&gt;8,"Expert"
)</f>
        <v>Junior</v>
      </c>
      <c r="P2293" cm="1">
        <f t="array" ref="P2293">_xlfn.SWITCH(tbl_analysis_tickets[[#This Row],[customer_satisfaction]],
"Low",1,
"Medium",2,
"High",3
)</f>
        <v>1</v>
      </c>
      <c r="Q2293">
        <f>IF(tbl_analysis_tickets[[#This Row],[reopened]]="Yes",1,0)</f>
        <v>1</v>
      </c>
      <c r="R2293" t="str" cm="1">
        <f t="array" ref="R2293">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293" t="str" cm="1">
        <f t="array" ref="S229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293" t="str">
        <f>TEXT(tbl_analysis_tickets[[#This Row],[created_date]],"mmm-yyyy")</f>
        <v>Jun-2024</v>
      </c>
      <c r="U2293" t="str">
        <f>TEXT(tbl_analysis_tickets[[#This Row],[created_date]],"dddd")</f>
        <v>Monday</v>
      </c>
      <c r="V2293" cm="1">
        <f t="array" ref="V2293">_xlfn.SWITCH(tbl_analysis_tickets[[#This Row],[priority]],
"Urgent",1,
"High",2,
"Medium",3,
"Low",4
)</f>
        <v>4</v>
      </c>
    </row>
    <row r="2294" spans="1:22" x14ac:dyDescent="0.25">
      <c r="A2294">
        <v>2293</v>
      </c>
      <c r="B2294" s="1">
        <v>45537</v>
      </c>
      <c r="C2294" t="s">
        <v>21</v>
      </c>
      <c r="D2294" t="s">
        <v>11</v>
      </c>
      <c r="E2294">
        <v>103</v>
      </c>
      <c r="F2294">
        <v>34</v>
      </c>
      <c r="G2294">
        <v>5.3</v>
      </c>
      <c r="H2294" t="s">
        <v>18</v>
      </c>
      <c r="I2294" t="s">
        <v>16</v>
      </c>
      <c r="J2294" t="s">
        <v>15</v>
      </c>
      <c r="K2294">
        <f>_xlfn.XLOOKUP(tbl_analysis_tickets[[#This Row],[priority]],tbl_sla[priority],tbl_sla[Resolution SLA Hours])</f>
        <v>72</v>
      </c>
      <c r="L2294">
        <f>_xlfn.XLOOKUP(tbl_analysis_tickets[[#This Row],[priority]],tbl_sla[priority],tbl_sla[First Response SLA Minutes])</f>
        <v>240</v>
      </c>
      <c r="M2294" t="str">
        <f>IF(tbl_analysis_tickets[[#This Row],[resolution_time_hours]]&gt;tbl_analysis_tickets[[#This Row],[Resolution SLA Hours]],"Breached","Within SLA")</f>
        <v>Within SLA</v>
      </c>
      <c r="N2294" t="str">
        <f>IF(tbl_analysis_tickets[[#This Row],[first_response_minutes]]&gt;tbl_analysis_tickets[[#This Row],[First Response SLA Minutes]],"Breached","Within SLA")</f>
        <v>Within SLA</v>
      </c>
      <c r="O2294" t="str" cm="1">
        <f t="array" ref="O2294">_xlfn.IFS(
tbl_analysis_tickets[[#This Row],[agent_experience_years]]&lt;=2,"Junior",
tbl_analysis_tickets[[#This Row],[agent_experience_years]]&lt;=5,"Mid-Level",
tbl_analysis_tickets[[#This Row],[agent_experience_years]]&lt;=8,"Senior",
tbl_analysis_tickets[[#This Row],[agent_experience_years]]&gt;8,"Expert"
)</f>
        <v>Senior</v>
      </c>
      <c r="P2294" cm="1">
        <f t="array" ref="P2294">_xlfn.SWITCH(tbl_analysis_tickets[[#This Row],[customer_satisfaction]],
"Low",1,
"Medium",2,
"High",3
)</f>
        <v>2</v>
      </c>
      <c r="Q2294">
        <f>IF(tbl_analysis_tickets[[#This Row],[reopened]]="Yes",1,0)</f>
        <v>0</v>
      </c>
      <c r="R2294" t="str" cm="1">
        <f t="array" ref="R2294">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294" t="str" cm="1">
        <f t="array" ref="S229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294" t="str">
        <f>TEXT(tbl_analysis_tickets[[#This Row],[created_date]],"mmm-yyyy")</f>
        <v>Sep-2024</v>
      </c>
      <c r="U2294" t="str">
        <f>TEXT(tbl_analysis_tickets[[#This Row],[created_date]],"dddd")</f>
        <v>Monday</v>
      </c>
      <c r="V2294" cm="1">
        <f t="array" ref="V2294">_xlfn.SWITCH(tbl_analysis_tickets[[#This Row],[priority]],
"Urgent",1,
"High",2,
"Medium",3,
"Low",4
)</f>
        <v>4</v>
      </c>
    </row>
    <row r="2295" spans="1:22" x14ac:dyDescent="0.25">
      <c r="A2295">
        <v>2294</v>
      </c>
      <c r="B2295" s="1">
        <v>45511</v>
      </c>
      <c r="C2295" t="s">
        <v>14</v>
      </c>
      <c r="D2295" t="s">
        <v>17</v>
      </c>
      <c r="E2295">
        <v>72</v>
      </c>
      <c r="F2295">
        <v>13</v>
      </c>
      <c r="G2295">
        <v>3.1</v>
      </c>
      <c r="H2295" t="s">
        <v>18</v>
      </c>
      <c r="I2295" t="s">
        <v>19</v>
      </c>
      <c r="J2295" t="s">
        <v>11</v>
      </c>
      <c r="K2295">
        <f>_xlfn.XLOOKUP(tbl_analysis_tickets[[#This Row],[priority]],tbl_sla[priority],tbl_sla[Resolution SLA Hours])</f>
        <v>8</v>
      </c>
      <c r="L2295">
        <f>_xlfn.XLOOKUP(tbl_analysis_tickets[[#This Row],[priority]],tbl_sla[priority],tbl_sla[First Response SLA Minutes])</f>
        <v>30</v>
      </c>
      <c r="M2295" t="str">
        <f>IF(tbl_analysis_tickets[[#This Row],[resolution_time_hours]]&gt;tbl_analysis_tickets[[#This Row],[Resolution SLA Hours]],"Breached","Within SLA")</f>
        <v>Breached</v>
      </c>
      <c r="N2295" t="str">
        <f>IF(tbl_analysis_tickets[[#This Row],[first_response_minutes]]&gt;tbl_analysis_tickets[[#This Row],[First Response SLA Minutes]],"Breached","Within SLA")</f>
        <v>Breached</v>
      </c>
      <c r="O2295" t="str" cm="1">
        <f t="array" ref="O2295">_xlfn.IFS(
tbl_analysis_tickets[[#This Row],[agent_experience_years]]&lt;=2,"Junior",
tbl_analysis_tickets[[#This Row],[agent_experience_years]]&lt;=5,"Mid-Level",
tbl_analysis_tickets[[#This Row],[agent_experience_years]]&lt;=8,"Senior",
tbl_analysis_tickets[[#This Row],[agent_experience_years]]&gt;8,"Expert"
)</f>
        <v>Mid-Level</v>
      </c>
      <c r="P2295" cm="1">
        <f t="array" ref="P2295">_xlfn.SWITCH(tbl_analysis_tickets[[#This Row],[customer_satisfaction]],
"Low",1,
"Medium",2,
"High",3
)</f>
        <v>1</v>
      </c>
      <c r="Q2295">
        <f>IF(tbl_analysis_tickets[[#This Row],[reopened]]="Yes",1,0)</f>
        <v>0</v>
      </c>
      <c r="R2295" t="str" cm="1">
        <f t="array" ref="R2295">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295" t="str" cm="1">
        <f t="array" ref="S229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295" t="str">
        <f>TEXT(tbl_analysis_tickets[[#This Row],[created_date]],"mmm-yyyy")</f>
        <v>Aug-2024</v>
      </c>
      <c r="U2295" t="str">
        <f>TEXT(tbl_analysis_tickets[[#This Row],[created_date]],"dddd")</f>
        <v>Wednesday</v>
      </c>
      <c r="V2295" cm="1">
        <f t="array" ref="V2295">_xlfn.SWITCH(tbl_analysis_tickets[[#This Row],[priority]],
"Urgent",1,
"High",2,
"Medium",3,
"Low",4
)</f>
        <v>1</v>
      </c>
    </row>
    <row r="2296" spans="1:22" x14ac:dyDescent="0.25">
      <c r="A2296">
        <v>2295</v>
      </c>
      <c r="B2296" s="1">
        <v>45471</v>
      </c>
      <c r="C2296" t="s">
        <v>22</v>
      </c>
      <c r="D2296" t="s">
        <v>17</v>
      </c>
      <c r="E2296">
        <v>139</v>
      </c>
      <c r="F2296">
        <v>49</v>
      </c>
      <c r="G2296">
        <v>9.1999999999999993</v>
      </c>
      <c r="H2296" t="s">
        <v>12</v>
      </c>
      <c r="I2296" t="s">
        <v>13</v>
      </c>
      <c r="J2296" t="s">
        <v>11</v>
      </c>
      <c r="K2296">
        <f>_xlfn.XLOOKUP(tbl_analysis_tickets[[#This Row],[priority]],tbl_sla[priority],tbl_sla[Resolution SLA Hours])</f>
        <v>8</v>
      </c>
      <c r="L2296">
        <f>_xlfn.XLOOKUP(tbl_analysis_tickets[[#This Row],[priority]],tbl_sla[priority],tbl_sla[First Response SLA Minutes])</f>
        <v>30</v>
      </c>
      <c r="M2296" t="str">
        <f>IF(tbl_analysis_tickets[[#This Row],[resolution_time_hours]]&gt;tbl_analysis_tickets[[#This Row],[Resolution SLA Hours]],"Breached","Within SLA")</f>
        <v>Breached</v>
      </c>
      <c r="N2296" t="str">
        <f>IF(tbl_analysis_tickets[[#This Row],[first_response_minutes]]&gt;tbl_analysis_tickets[[#This Row],[First Response SLA Minutes]],"Breached","Within SLA")</f>
        <v>Breached</v>
      </c>
      <c r="O2296" t="str" cm="1">
        <f t="array" ref="O2296">_xlfn.IFS(
tbl_analysis_tickets[[#This Row],[agent_experience_years]]&lt;=2,"Junior",
tbl_analysis_tickets[[#This Row],[agent_experience_years]]&lt;=5,"Mid-Level",
tbl_analysis_tickets[[#This Row],[agent_experience_years]]&lt;=8,"Senior",
tbl_analysis_tickets[[#This Row],[agent_experience_years]]&gt;8,"Expert"
)</f>
        <v>Expert</v>
      </c>
      <c r="P2296" cm="1">
        <f t="array" ref="P2296">_xlfn.SWITCH(tbl_analysis_tickets[[#This Row],[customer_satisfaction]],
"Low",1,
"Medium",2,
"High",3
)</f>
        <v>1</v>
      </c>
      <c r="Q2296">
        <f>IF(tbl_analysis_tickets[[#This Row],[reopened]]="Yes",1,0)</f>
        <v>1</v>
      </c>
      <c r="R2296" t="str" cm="1">
        <f t="array" ref="R2296">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296" t="str" cm="1">
        <f t="array" ref="S229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296" t="str">
        <f>TEXT(tbl_analysis_tickets[[#This Row],[created_date]],"mmm-yyyy")</f>
        <v>Jun-2024</v>
      </c>
      <c r="U2296" t="str">
        <f>TEXT(tbl_analysis_tickets[[#This Row],[created_date]],"dddd")</f>
        <v>Friday</v>
      </c>
      <c r="V2296" cm="1">
        <f t="array" ref="V2296">_xlfn.SWITCH(tbl_analysis_tickets[[#This Row],[priority]],
"Urgent",1,
"High",2,
"Medium",3,
"Low",4
)</f>
        <v>1</v>
      </c>
    </row>
    <row r="2297" spans="1:22" x14ac:dyDescent="0.25">
      <c r="A2297">
        <v>2296</v>
      </c>
      <c r="B2297" s="1">
        <v>45295</v>
      </c>
      <c r="C2297" t="s">
        <v>14</v>
      </c>
      <c r="D2297" t="s">
        <v>20</v>
      </c>
      <c r="E2297">
        <v>120</v>
      </c>
      <c r="F2297">
        <v>25</v>
      </c>
      <c r="G2297">
        <v>2.8</v>
      </c>
      <c r="H2297" t="s">
        <v>18</v>
      </c>
      <c r="I2297" t="s">
        <v>16</v>
      </c>
      <c r="J2297" t="s">
        <v>11</v>
      </c>
      <c r="K2297">
        <f>_xlfn.XLOOKUP(tbl_analysis_tickets[[#This Row],[priority]],tbl_sla[priority],tbl_sla[Resolution SLA Hours])</f>
        <v>24</v>
      </c>
      <c r="L2297">
        <f>_xlfn.XLOOKUP(tbl_analysis_tickets[[#This Row],[priority]],tbl_sla[priority],tbl_sla[First Response SLA Minutes])</f>
        <v>60</v>
      </c>
      <c r="M2297" t="str">
        <f>IF(tbl_analysis_tickets[[#This Row],[resolution_time_hours]]&gt;tbl_analysis_tickets[[#This Row],[Resolution SLA Hours]],"Breached","Within SLA")</f>
        <v>Breached</v>
      </c>
      <c r="N2297" t="str">
        <f>IF(tbl_analysis_tickets[[#This Row],[first_response_minutes]]&gt;tbl_analysis_tickets[[#This Row],[First Response SLA Minutes]],"Breached","Within SLA")</f>
        <v>Breached</v>
      </c>
      <c r="O2297" t="str" cm="1">
        <f t="array" ref="O2297">_xlfn.IFS(
tbl_analysis_tickets[[#This Row],[agent_experience_years]]&lt;=2,"Junior",
tbl_analysis_tickets[[#This Row],[agent_experience_years]]&lt;=5,"Mid-Level",
tbl_analysis_tickets[[#This Row],[agent_experience_years]]&lt;=8,"Senior",
tbl_analysis_tickets[[#This Row],[agent_experience_years]]&gt;8,"Expert"
)</f>
        <v>Mid-Level</v>
      </c>
      <c r="P2297" cm="1">
        <f t="array" ref="P2297">_xlfn.SWITCH(tbl_analysis_tickets[[#This Row],[customer_satisfaction]],
"Low",1,
"Medium",2,
"High",3
)</f>
        <v>1</v>
      </c>
      <c r="Q2297">
        <f>IF(tbl_analysis_tickets[[#This Row],[reopened]]="Yes",1,0)</f>
        <v>0</v>
      </c>
      <c r="R2297" t="str" cm="1">
        <f t="array" ref="R2297">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297" t="str" cm="1">
        <f t="array" ref="S229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297" t="str">
        <f>TEXT(tbl_analysis_tickets[[#This Row],[created_date]],"mmm-yyyy")</f>
        <v>Jan-2024</v>
      </c>
      <c r="U2297" t="str">
        <f>TEXT(tbl_analysis_tickets[[#This Row],[created_date]],"dddd")</f>
        <v>Thursday</v>
      </c>
      <c r="V2297" cm="1">
        <f t="array" ref="V2297">_xlfn.SWITCH(tbl_analysis_tickets[[#This Row],[priority]],
"Urgent",1,
"High",2,
"Medium",3,
"Low",4
)</f>
        <v>2</v>
      </c>
    </row>
    <row r="2298" spans="1:22" x14ac:dyDescent="0.25">
      <c r="A2298">
        <v>2297</v>
      </c>
      <c r="B2298" s="1">
        <v>45562</v>
      </c>
      <c r="C2298" t="s">
        <v>14</v>
      </c>
      <c r="D2298" t="s">
        <v>17</v>
      </c>
      <c r="E2298">
        <v>106</v>
      </c>
      <c r="F2298">
        <v>67</v>
      </c>
      <c r="G2298">
        <v>1.2</v>
      </c>
      <c r="H2298" t="s">
        <v>18</v>
      </c>
      <c r="I2298" t="s">
        <v>19</v>
      </c>
      <c r="J2298" t="s">
        <v>11</v>
      </c>
      <c r="K2298">
        <f>_xlfn.XLOOKUP(tbl_analysis_tickets[[#This Row],[priority]],tbl_sla[priority],tbl_sla[Resolution SLA Hours])</f>
        <v>8</v>
      </c>
      <c r="L2298">
        <f>_xlfn.XLOOKUP(tbl_analysis_tickets[[#This Row],[priority]],tbl_sla[priority],tbl_sla[First Response SLA Minutes])</f>
        <v>30</v>
      </c>
      <c r="M2298" t="str">
        <f>IF(tbl_analysis_tickets[[#This Row],[resolution_time_hours]]&gt;tbl_analysis_tickets[[#This Row],[Resolution SLA Hours]],"Breached","Within SLA")</f>
        <v>Breached</v>
      </c>
      <c r="N2298" t="str">
        <f>IF(tbl_analysis_tickets[[#This Row],[first_response_minutes]]&gt;tbl_analysis_tickets[[#This Row],[First Response SLA Minutes]],"Breached","Within SLA")</f>
        <v>Breached</v>
      </c>
      <c r="O2298" t="str" cm="1">
        <f t="array" ref="O2298">_xlfn.IFS(
tbl_analysis_tickets[[#This Row],[agent_experience_years]]&lt;=2,"Junior",
tbl_analysis_tickets[[#This Row],[agent_experience_years]]&lt;=5,"Mid-Level",
tbl_analysis_tickets[[#This Row],[agent_experience_years]]&lt;=8,"Senior",
tbl_analysis_tickets[[#This Row],[agent_experience_years]]&gt;8,"Expert"
)</f>
        <v>Junior</v>
      </c>
      <c r="P2298" cm="1">
        <f t="array" ref="P2298">_xlfn.SWITCH(tbl_analysis_tickets[[#This Row],[customer_satisfaction]],
"Low",1,
"Medium",2,
"High",3
)</f>
        <v>1</v>
      </c>
      <c r="Q2298">
        <f>IF(tbl_analysis_tickets[[#This Row],[reopened]]="Yes",1,0)</f>
        <v>0</v>
      </c>
      <c r="R2298" t="str" cm="1">
        <f t="array" ref="R2298">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298" t="str" cm="1">
        <f t="array" ref="S229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298" t="str">
        <f>TEXT(tbl_analysis_tickets[[#This Row],[created_date]],"mmm-yyyy")</f>
        <v>Sep-2024</v>
      </c>
      <c r="U2298" t="str">
        <f>TEXT(tbl_analysis_tickets[[#This Row],[created_date]],"dddd")</f>
        <v>Friday</v>
      </c>
      <c r="V2298" cm="1">
        <f t="array" ref="V2298">_xlfn.SWITCH(tbl_analysis_tickets[[#This Row],[priority]],
"Urgent",1,
"High",2,
"Medium",3,
"Low",4
)</f>
        <v>1</v>
      </c>
    </row>
    <row r="2299" spans="1:22" x14ac:dyDescent="0.25">
      <c r="A2299">
        <v>2298</v>
      </c>
      <c r="B2299" s="1">
        <v>45348</v>
      </c>
      <c r="C2299" t="s">
        <v>23</v>
      </c>
      <c r="D2299" t="s">
        <v>11</v>
      </c>
      <c r="E2299">
        <v>6</v>
      </c>
      <c r="F2299">
        <v>45</v>
      </c>
      <c r="G2299">
        <v>8.1</v>
      </c>
      <c r="H2299" t="s">
        <v>12</v>
      </c>
      <c r="I2299" t="s">
        <v>13</v>
      </c>
      <c r="J2299" t="s">
        <v>15</v>
      </c>
      <c r="K2299">
        <f>_xlfn.XLOOKUP(tbl_analysis_tickets[[#This Row],[priority]],tbl_sla[priority],tbl_sla[Resolution SLA Hours])</f>
        <v>72</v>
      </c>
      <c r="L2299">
        <f>_xlfn.XLOOKUP(tbl_analysis_tickets[[#This Row],[priority]],tbl_sla[priority],tbl_sla[First Response SLA Minutes])</f>
        <v>240</v>
      </c>
      <c r="M2299" t="str">
        <f>IF(tbl_analysis_tickets[[#This Row],[resolution_time_hours]]&gt;tbl_analysis_tickets[[#This Row],[Resolution SLA Hours]],"Breached","Within SLA")</f>
        <v>Within SLA</v>
      </c>
      <c r="N2299" t="str">
        <f>IF(tbl_analysis_tickets[[#This Row],[first_response_minutes]]&gt;tbl_analysis_tickets[[#This Row],[First Response SLA Minutes]],"Breached","Within SLA")</f>
        <v>Within SLA</v>
      </c>
      <c r="O2299" t="str" cm="1">
        <f t="array" ref="O2299">_xlfn.IFS(
tbl_analysis_tickets[[#This Row],[agent_experience_years]]&lt;=2,"Junior",
tbl_analysis_tickets[[#This Row],[agent_experience_years]]&lt;=5,"Mid-Level",
tbl_analysis_tickets[[#This Row],[agent_experience_years]]&lt;=8,"Senior",
tbl_analysis_tickets[[#This Row],[agent_experience_years]]&gt;8,"Expert"
)</f>
        <v>Expert</v>
      </c>
      <c r="P2299" cm="1">
        <f t="array" ref="P2299">_xlfn.SWITCH(tbl_analysis_tickets[[#This Row],[customer_satisfaction]],
"Low",1,
"Medium",2,
"High",3
)</f>
        <v>2</v>
      </c>
      <c r="Q2299">
        <f>IF(tbl_analysis_tickets[[#This Row],[reopened]]="Yes",1,0)</f>
        <v>1</v>
      </c>
      <c r="R2299" t="str" cm="1">
        <f t="array" ref="R2299">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2299" t="str" cm="1">
        <f t="array" ref="S229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299" t="str">
        <f>TEXT(tbl_analysis_tickets[[#This Row],[created_date]],"mmm-yyyy")</f>
        <v>Feb-2024</v>
      </c>
      <c r="U2299" t="str">
        <f>TEXT(tbl_analysis_tickets[[#This Row],[created_date]],"dddd")</f>
        <v>Monday</v>
      </c>
      <c r="V2299" cm="1">
        <f t="array" ref="V2299">_xlfn.SWITCH(tbl_analysis_tickets[[#This Row],[priority]],
"Urgent",1,
"High",2,
"Medium",3,
"Low",4
)</f>
        <v>4</v>
      </c>
    </row>
    <row r="2300" spans="1:22" x14ac:dyDescent="0.25">
      <c r="A2300">
        <v>2299</v>
      </c>
      <c r="B2300" s="1">
        <v>45620</v>
      </c>
      <c r="C2300" t="s">
        <v>22</v>
      </c>
      <c r="D2300" t="s">
        <v>20</v>
      </c>
      <c r="E2300">
        <v>144</v>
      </c>
      <c r="F2300">
        <v>36</v>
      </c>
      <c r="G2300">
        <v>6.4</v>
      </c>
      <c r="H2300" t="s">
        <v>18</v>
      </c>
      <c r="I2300" t="s">
        <v>16</v>
      </c>
      <c r="J2300" t="s">
        <v>11</v>
      </c>
      <c r="K2300">
        <f>_xlfn.XLOOKUP(tbl_analysis_tickets[[#This Row],[priority]],tbl_sla[priority],tbl_sla[Resolution SLA Hours])</f>
        <v>24</v>
      </c>
      <c r="L2300">
        <f>_xlfn.XLOOKUP(tbl_analysis_tickets[[#This Row],[priority]],tbl_sla[priority],tbl_sla[First Response SLA Minutes])</f>
        <v>60</v>
      </c>
      <c r="M2300" t="str">
        <f>IF(tbl_analysis_tickets[[#This Row],[resolution_time_hours]]&gt;tbl_analysis_tickets[[#This Row],[Resolution SLA Hours]],"Breached","Within SLA")</f>
        <v>Breached</v>
      </c>
      <c r="N2300" t="str">
        <f>IF(tbl_analysis_tickets[[#This Row],[first_response_minutes]]&gt;tbl_analysis_tickets[[#This Row],[First Response SLA Minutes]],"Breached","Within SLA")</f>
        <v>Breached</v>
      </c>
      <c r="O2300" t="str" cm="1">
        <f t="array" ref="O2300">_xlfn.IFS(
tbl_analysis_tickets[[#This Row],[agent_experience_years]]&lt;=2,"Junior",
tbl_analysis_tickets[[#This Row],[agent_experience_years]]&lt;=5,"Mid-Level",
tbl_analysis_tickets[[#This Row],[agent_experience_years]]&lt;=8,"Senior",
tbl_analysis_tickets[[#This Row],[agent_experience_years]]&gt;8,"Expert"
)</f>
        <v>Senior</v>
      </c>
      <c r="P2300" cm="1">
        <f t="array" ref="P2300">_xlfn.SWITCH(tbl_analysis_tickets[[#This Row],[customer_satisfaction]],
"Low",1,
"Medium",2,
"High",3
)</f>
        <v>1</v>
      </c>
      <c r="Q2300">
        <f>IF(tbl_analysis_tickets[[#This Row],[reopened]]="Yes",1,0)</f>
        <v>0</v>
      </c>
      <c r="R2300" t="str" cm="1">
        <f t="array" ref="R2300">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300" t="str" cm="1">
        <f t="array" ref="S230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300" t="str">
        <f>TEXT(tbl_analysis_tickets[[#This Row],[created_date]],"mmm-yyyy")</f>
        <v>Nov-2024</v>
      </c>
      <c r="U2300" t="str">
        <f>TEXT(tbl_analysis_tickets[[#This Row],[created_date]],"dddd")</f>
        <v>Sunday</v>
      </c>
      <c r="V2300" cm="1">
        <f t="array" ref="V2300">_xlfn.SWITCH(tbl_analysis_tickets[[#This Row],[priority]],
"Urgent",1,
"High",2,
"Medium",3,
"Low",4
)</f>
        <v>2</v>
      </c>
    </row>
    <row r="2301" spans="1:22" x14ac:dyDescent="0.25">
      <c r="A2301">
        <v>2300</v>
      </c>
      <c r="B2301" s="1">
        <v>45483</v>
      </c>
      <c r="C2301" t="s">
        <v>23</v>
      </c>
      <c r="D2301" t="s">
        <v>15</v>
      </c>
      <c r="E2301">
        <v>117</v>
      </c>
      <c r="F2301">
        <v>62</v>
      </c>
      <c r="G2301">
        <v>7.7</v>
      </c>
      <c r="H2301" t="s">
        <v>18</v>
      </c>
      <c r="I2301" t="s">
        <v>19</v>
      </c>
      <c r="J2301" t="s">
        <v>15</v>
      </c>
      <c r="K2301">
        <f>_xlfn.XLOOKUP(tbl_analysis_tickets[[#This Row],[priority]],tbl_sla[priority],tbl_sla[Resolution SLA Hours])</f>
        <v>48</v>
      </c>
      <c r="L2301">
        <f>_xlfn.XLOOKUP(tbl_analysis_tickets[[#This Row],[priority]],tbl_sla[priority],tbl_sla[First Response SLA Minutes])</f>
        <v>120</v>
      </c>
      <c r="M2301" t="str">
        <f>IF(tbl_analysis_tickets[[#This Row],[resolution_time_hours]]&gt;tbl_analysis_tickets[[#This Row],[Resolution SLA Hours]],"Breached","Within SLA")</f>
        <v>Breached</v>
      </c>
      <c r="N2301" t="str">
        <f>IF(tbl_analysis_tickets[[#This Row],[first_response_minutes]]&gt;tbl_analysis_tickets[[#This Row],[First Response SLA Minutes]],"Breached","Within SLA")</f>
        <v>Within SLA</v>
      </c>
      <c r="O2301" t="str" cm="1">
        <f t="array" ref="O2301">_xlfn.IFS(
tbl_analysis_tickets[[#This Row],[agent_experience_years]]&lt;=2,"Junior",
tbl_analysis_tickets[[#This Row],[agent_experience_years]]&lt;=5,"Mid-Level",
tbl_analysis_tickets[[#This Row],[agent_experience_years]]&lt;=8,"Senior",
tbl_analysis_tickets[[#This Row],[agent_experience_years]]&gt;8,"Expert"
)</f>
        <v>Senior</v>
      </c>
      <c r="P2301" cm="1">
        <f t="array" ref="P2301">_xlfn.SWITCH(tbl_analysis_tickets[[#This Row],[customer_satisfaction]],
"Low",1,
"Medium",2,
"High",3
)</f>
        <v>2</v>
      </c>
      <c r="Q2301">
        <f>IF(tbl_analysis_tickets[[#This Row],[reopened]]="Yes",1,0)</f>
        <v>0</v>
      </c>
      <c r="R2301" t="str" cm="1">
        <f t="array" ref="R2301">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301" t="str" cm="1">
        <f t="array" ref="S230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301" t="str">
        <f>TEXT(tbl_analysis_tickets[[#This Row],[created_date]],"mmm-yyyy")</f>
        <v>Jul-2024</v>
      </c>
      <c r="U2301" t="str">
        <f>TEXT(tbl_analysis_tickets[[#This Row],[created_date]],"dddd")</f>
        <v>Wednesday</v>
      </c>
      <c r="V2301" cm="1">
        <f t="array" ref="V2301">_xlfn.SWITCH(tbl_analysis_tickets[[#This Row],[priority]],
"Urgent",1,
"High",2,
"Medium",3,
"Low",4
)</f>
        <v>3</v>
      </c>
    </row>
    <row r="2302" spans="1:22" x14ac:dyDescent="0.25">
      <c r="A2302">
        <v>2301</v>
      </c>
      <c r="B2302" s="1">
        <v>45328</v>
      </c>
      <c r="C2302" t="s">
        <v>21</v>
      </c>
      <c r="D2302" t="s">
        <v>17</v>
      </c>
      <c r="E2302">
        <v>148</v>
      </c>
      <c r="F2302">
        <v>13</v>
      </c>
      <c r="G2302">
        <v>5.7</v>
      </c>
      <c r="H2302" t="s">
        <v>18</v>
      </c>
      <c r="I2302" t="s">
        <v>19</v>
      </c>
      <c r="J2302" t="s">
        <v>11</v>
      </c>
      <c r="K2302">
        <f>_xlfn.XLOOKUP(tbl_analysis_tickets[[#This Row],[priority]],tbl_sla[priority],tbl_sla[Resolution SLA Hours])</f>
        <v>8</v>
      </c>
      <c r="L2302">
        <f>_xlfn.XLOOKUP(tbl_analysis_tickets[[#This Row],[priority]],tbl_sla[priority],tbl_sla[First Response SLA Minutes])</f>
        <v>30</v>
      </c>
      <c r="M2302" t="str">
        <f>IF(tbl_analysis_tickets[[#This Row],[resolution_time_hours]]&gt;tbl_analysis_tickets[[#This Row],[Resolution SLA Hours]],"Breached","Within SLA")</f>
        <v>Breached</v>
      </c>
      <c r="N2302" t="str">
        <f>IF(tbl_analysis_tickets[[#This Row],[first_response_minutes]]&gt;tbl_analysis_tickets[[#This Row],[First Response SLA Minutes]],"Breached","Within SLA")</f>
        <v>Breached</v>
      </c>
      <c r="O2302" t="str" cm="1">
        <f t="array" ref="O2302">_xlfn.IFS(
tbl_analysis_tickets[[#This Row],[agent_experience_years]]&lt;=2,"Junior",
tbl_analysis_tickets[[#This Row],[agent_experience_years]]&lt;=5,"Mid-Level",
tbl_analysis_tickets[[#This Row],[agent_experience_years]]&lt;=8,"Senior",
tbl_analysis_tickets[[#This Row],[agent_experience_years]]&gt;8,"Expert"
)</f>
        <v>Senior</v>
      </c>
      <c r="P2302" cm="1">
        <f t="array" ref="P2302">_xlfn.SWITCH(tbl_analysis_tickets[[#This Row],[customer_satisfaction]],
"Low",1,
"Medium",2,
"High",3
)</f>
        <v>1</v>
      </c>
      <c r="Q2302">
        <f>IF(tbl_analysis_tickets[[#This Row],[reopened]]="Yes",1,0)</f>
        <v>0</v>
      </c>
      <c r="R2302" t="str" cm="1">
        <f t="array" ref="R2302">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302" t="str" cm="1">
        <f t="array" ref="S230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302" t="str">
        <f>TEXT(tbl_analysis_tickets[[#This Row],[created_date]],"mmm-yyyy")</f>
        <v>Feb-2024</v>
      </c>
      <c r="U2302" t="str">
        <f>TEXT(tbl_analysis_tickets[[#This Row],[created_date]],"dddd")</f>
        <v>Tuesday</v>
      </c>
      <c r="V2302" cm="1">
        <f t="array" ref="V2302">_xlfn.SWITCH(tbl_analysis_tickets[[#This Row],[priority]],
"Urgent",1,
"High",2,
"Medium",3,
"Low",4
)</f>
        <v>1</v>
      </c>
    </row>
    <row r="2303" spans="1:22" x14ac:dyDescent="0.25">
      <c r="A2303">
        <v>2302</v>
      </c>
      <c r="B2303" s="1">
        <v>45503</v>
      </c>
      <c r="C2303" t="s">
        <v>22</v>
      </c>
      <c r="D2303" t="s">
        <v>11</v>
      </c>
      <c r="E2303">
        <v>148</v>
      </c>
      <c r="F2303">
        <v>67</v>
      </c>
      <c r="G2303">
        <v>7.1</v>
      </c>
      <c r="H2303" t="s">
        <v>12</v>
      </c>
      <c r="I2303" t="s">
        <v>13</v>
      </c>
      <c r="J2303" t="s">
        <v>11</v>
      </c>
      <c r="K2303">
        <f>_xlfn.XLOOKUP(tbl_analysis_tickets[[#This Row],[priority]],tbl_sla[priority],tbl_sla[Resolution SLA Hours])</f>
        <v>72</v>
      </c>
      <c r="L2303">
        <f>_xlfn.XLOOKUP(tbl_analysis_tickets[[#This Row],[priority]],tbl_sla[priority],tbl_sla[First Response SLA Minutes])</f>
        <v>240</v>
      </c>
      <c r="M2303" t="str">
        <f>IF(tbl_analysis_tickets[[#This Row],[resolution_time_hours]]&gt;tbl_analysis_tickets[[#This Row],[Resolution SLA Hours]],"Breached","Within SLA")</f>
        <v>Within SLA</v>
      </c>
      <c r="N2303" t="str">
        <f>IF(tbl_analysis_tickets[[#This Row],[first_response_minutes]]&gt;tbl_analysis_tickets[[#This Row],[First Response SLA Minutes]],"Breached","Within SLA")</f>
        <v>Within SLA</v>
      </c>
      <c r="O2303" t="str" cm="1">
        <f t="array" ref="O2303">_xlfn.IFS(
tbl_analysis_tickets[[#This Row],[agent_experience_years]]&lt;=2,"Junior",
tbl_analysis_tickets[[#This Row],[agent_experience_years]]&lt;=5,"Mid-Level",
tbl_analysis_tickets[[#This Row],[agent_experience_years]]&lt;=8,"Senior",
tbl_analysis_tickets[[#This Row],[agent_experience_years]]&gt;8,"Expert"
)</f>
        <v>Senior</v>
      </c>
      <c r="P2303" cm="1">
        <f t="array" ref="P2303">_xlfn.SWITCH(tbl_analysis_tickets[[#This Row],[customer_satisfaction]],
"Low",1,
"Medium",2,
"High",3
)</f>
        <v>1</v>
      </c>
      <c r="Q2303">
        <f>IF(tbl_analysis_tickets[[#This Row],[reopened]]="Yes",1,0)</f>
        <v>1</v>
      </c>
      <c r="R2303" t="str" cm="1">
        <f t="array" ref="R2303">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303" t="str" cm="1">
        <f t="array" ref="S230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303" t="str">
        <f>TEXT(tbl_analysis_tickets[[#This Row],[created_date]],"mmm-yyyy")</f>
        <v>Jul-2024</v>
      </c>
      <c r="U2303" t="str">
        <f>TEXT(tbl_analysis_tickets[[#This Row],[created_date]],"dddd")</f>
        <v>Tuesday</v>
      </c>
      <c r="V2303" cm="1">
        <f t="array" ref="V2303">_xlfn.SWITCH(tbl_analysis_tickets[[#This Row],[priority]],
"Urgent",1,
"High",2,
"Medium",3,
"Low",4
)</f>
        <v>4</v>
      </c>
    </row>
    <row r="2304" spans="1:22" x14ac:dyDescent="0.25">
      <c r="A2304">
        <v>2303</v>
      </c>
      <c r="B2304" s="1">
        <v>45626</v>
      </c>
      <c r="C2304" t="s">
        <v>23</v>
      </c>
      <c r="D2304" t="s">
        <v>11</v>
      </c>
      <c r="E2304">
        <v>213</v>
      </c>
      <c r="F2304">
        <v>36</v>
      </c>
      <c r="G2304">
        <v>7.6</v>
      </c>
      <c r="H2304" t="s">
        <v>12</v>
      </c>
      <c r="I2304" t="s">
        <v>13</v>
      </c>
      <c r="J2304" t="s">
        <v>11</v>
      </c>
      <c r="K2304">
        <f>_xlfn.XLOOKUP(tbl_analysis_tickets[[#This Row],[priority]],tbl_sla[priority],tbl_sla[Resolution SLA Hours])</f>
        <v>72</v>
      </c>
      <c r="L2304">
        <f>_xlfn.XLOOKUP(tbl_analysis_tickets[[#This Row],[priority]],tbl_sla[priority],tbl_sla[First Response SLA Minutes])</f>
        <v>240</v>
      </c>
      <c r="M2304" t="str">
        <f>IF(tbl_analysis_tickets[[#This Row],[resolution_time_hours]]&gt;tbl_analysis_tickets[[#This Row],[Resolution SLA Hours]],"Breached","Within SLA")</f>
        <v>Within SLA</v>
      </c>
      <c r="N2304" t="str">
        <f>IF(tbl_analysis_tickets[[#This Row],[first_response_minutes]]&gt;tbl_analysis_tickets[[#This Row],[First Response SLA Minutes]],"Breached","Within SLA")</f>
        <v>Within SLA</v>
      </c>
      <c r="O2304" t="str" cm="1">
        <f t="array" ref="O2304">_xlfn.IFS(
tbl_analysis_tickets[[#This Row],[agent_experience_years]]&lt;=2,"Junior",
tbl_analysis_tickets[[#This Row],[agent_experience_years]]&lt;=5,"Mid-Level",
tbl_analysis_tickets[[#This Row],[agent_experience_years]]&lt;=8,"Senior",
tbl_analysis_tickets[[#This Row],[agent_experience_years]]&gt;8,"Expert"
)</f>
        <v>Senior</v>
      </c>
      <c r="P2304" cm="1">
        <f t="array" ref="P2304">_xlfn.SWITCH(tbl_analysis_tickets[[#This Row],[customer_satisfaction]],
"Low",1,
"Medium",2,
"High",3
)</f>
        <v>1</v>
      </c>
      <c r="Q2304">
        <f>IF(tbl_analysis_tickets[[#This Row],[reopened]]="Yes",1,0)</f>
        <v>1</v>
      </c>
      <c r="R2304" t="str" cm="1">
        <f t="array" ref="R2304">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304" t="str" cm="1">
        <f t="array" ref="S230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304" t="str">
        <f>TEXT(tbl_analysis_tickets[[#This Row],[created_date]],"mmm-yyyy")</f>
        <v>Nov-2024</v>
      </c>
      <c r="U2304" t="str">
        <f>TEXT(tbl_analysis_tickets[[#This Row],[created_date]],"dddd")</f>
        <v>Saturday</v>
      </c>
      <c r="V2304" cm="1">
        <f t="array" ref="V2304">_xlfn.SWITCH(tbl_analysis_tickets[[#This Row],[priority]],
"Urgent",1,
"High",2,
"Medium",3,
"Low",4
)</f>
        <v>4</v>
      </c>
    </row>
    <row r="2305" spans="1:22" x14ac:dyDescent="0.25">
      <c r="A2305">
        <v>2304</v>
      </c>
      <c r="B2305" s="1">
        <v>45598</v>
      </c>
      <c r="C2305" t="s">
        <v>14</v>
      </c>
      <c r="D2305" t="s">
        <v>11</v>
      </c>
      <c r="E2305">
        <v>228</v>
      </c>
      <c r="F2305">
        <v>70</v>
      </c>
      <c r="G2305">
        <v>6.1</v>
      </c>
      <c r="H2305" t="s">
        <v>12</v>
      </c>
      <c r="I2305" t="s">
        <v>16</v>
      </c>
      <c r="J2305" t="s">
        <v>11</v>
      </c>
      <c r="K2305">
        <f>_xlfn.XLOOKUP(tbl_analysis_tickets[[#This Row],[priority]],tbl_sla[priority],tbl_sla[Resolution SLA Hours])</f>
        <v>72</v>
      </c>
      <c r="L2305">
        <f>_xlfn.XLOOKUP(tbl_analysis_tickets[[#This Row],[priority]],tbl_sla[priority],tbl_sla[First Response SLA Minutes])</f>
        <v>240</v>
      </c>
      <c r="M2305" t="str">
        <f>IF(tbl_analysis_tickets[[#This Row],[resolution_time_hours]]&gt;tbl_analysis_tickets[[#This Row],[Resolution SLA Hours]],"Breached","Within SLA")</f>
        <v>Within SLA</v>
      </c>
      <c r="N2305" t="str">
        <f>IF(tbl_analysis_tickets[[#This Row],[first_response_minutes]]&gt;tbl_analysis_tickets[[#This Row],[First Response SLA Minutes]],"Breached","Within SLA")</f>
        <v>Within SLA</v>
      </c>
      <c r="O2305" t="str" cm="1">
        <f t="array" ref="O2305">_xlfn.IFS(
tbl_analysis_tickets[[#This Row],[agent_experience_years]]&lt;=2,"Junior",
tbl_analysis_tickets[[#This Row],[agent_experience_years]]&lt;=5,"Mid-Level",
tbl_analysis_tickets[[#This Row],[agent_experience_years]]&lt;=8,"Senior",
tbl_analysis_tickets[[#This Row],[agent_experience_years]]&gt;8,"Expert"
)</f>
        <v>Senior</v>
      </c>
      <c r="P2305" cm="1">
        <f t="array" ref="P2305">_xlfn.SWITCH(tbl_analysis_tickets[[#This Row],[customer_satisfaction]],
"Low",1,
"Medium",2,
"High",3
)</f>
        <v>1</v>
      </c>
      <c r="Q2305">
        <f>IF(tbl_analysis_tickets[[#This Row],[reopened]]="Yes",1,0)</f>
        <v>1</v>
      </c>
      <c r="R2305" t="str" cm="1">
        <f t="array" ref="R2305">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305" t="str" cm="1">
        <f t="array" ref="S230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305" t="str">
        <f>TEXT(tbl_analysis_tickets[[#This Row],[created_date]],"mmm-yyyy")</f>
        <v>Nov-2024</v>
      </c>
      <c r="U2305" t="str">
        <f>TEXT(tbl_analysis_tickets[[#This Row],[created_date]],"dddd")</f>
        <v>Saturday</v>
      </c>
      <c r="V2305" cm="1">
        <f t="array" ref="V2305">_xlfn.SWITCH(tbl_analysis_tickets[[#This Row],[priority]],
"Urgent",1,
"High",2,
"Medium",3,
"Low",4
)</f>
        <v>4</v>
      </c>
    </row>
    <row r="2306" spans="1:22" x14ac:dyDescent="0.25">
      <c r="A2306">
        <v>2305</v>
      </c>
      <c r="B2306" s="1">
        <v>45462</v>
      </c>
      <c r="C2306" t="s">
        <v>23</v>
      </c>
      <c r="D2306" t="s">
        <v>17</v>
      </c>
      <c r="E2306">
        <v>54</v>
      </c>
      <c r="F2306">
        <v>43</v>
      </c>
      <c r="G2306">
        <v>6.6</v>
      </c>
      <c r="H2306" t="s">
        <v>12</v>
      </c>
      <c r="I2306" t="s">
        <v>16</v>
      </c>
      <c r="J2306" t="s">
        <v>11</v>
      </c>
      <c r="K2306">
        <f>_xlfn.XLOOKUP(tbl_analysis_tickets[[#This Row],[priority]],tbl_sla[priority],tbl_sla[Resolution SLA Hours])</f>
        <v>8</v>
      </c>
      <c r="L2306">
        <f>_xlfn.XLOOKUP(tbl_analysis_tickets[[#This Row],[priority]],tbl_sla[priority],tbl_sla[First Response SLA Minutes])</f>
        <v>30</v>
      </c>
      <c r="M2306" t="str">
        <f>IF(tbl_analysis_tickets[[#This Row],[resolution_time_hours]]&gt;tbl_analysis_tickets[[#This Row],[Resolution SLA Hours]],"Breached","Within SLA")</f>
        <v>Breached</v>
      </c>
      <c r="N2306" t="str">
        <f>IF(tbl_analysis_tickets[[#This Row],[first_response_minutes]]&gt;tbl_analysis_tickets[[#This Row],[First Response SLA Minutes]],"Breached","Within SLA")</f>
        <v>Breached</v>
      </c>
      <c r="O2306" t="str" cm="1">
        <f t="array" ref="O2306">_xlfn.IFS(
tbl_analysis_tickets[[#This Row],[agent_experience_years]]&lt;=2,"Junior",
tbl_analysis_tickets[[#This Row],[agent_experience_years]]&lt;=5,"Mid-Level",
tbl_analysis_tickets[[#This Row],[agent_experience_years]]&lt;=8,"Senior",
tbl_analysis_tickets[[#This Row],[agent_experience_years]]&gt;8,"Expert"
)</f>
        <v>Senior</v>
      </c>
      <c r="P2306" cm="1">
        <f t="array" ref="P2306">_xlfn.SWITCH(tbl_analysis_tickets[[#This Row],[customer_satisfaction]],
"Low",1,
"Medium",2,
"High",3
)</f>
        <v>1</v>
      </c>
      <c r="Q2306">
        <f>IF(tbl_analysis_tickets[[#This Row],[reopened]]="Yes",1,0)</f>
        <v>1</v>
      </c>
      <c r="R2306" t="str" cm="1">
        <f t="array" ref="R2306">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306" t="str" cm="1">
        <f t="array" ref="S230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306" t="str">
        <f>TEXT(tbl_analysis_tickets[[#This Row],[created_date]],"mmm-yyyy")</f>
        <v>Jun-2024</v>
      </c>
      <c r="U2306" t="str">
        <f>TEXT(tbl_analysis_tickets[[#This Row],[created_date]],"dddd")</f>
        <v>Wednesday</v>
      </c>
      <c r="V2306" cm="1">
        <f t="array" ref="V2306">_xlfn.SWITCH(tbl_analysis_tickets[[#This Row],[priority]],
"Urgent",1,
"High",2,
"Medium",3,
"Low",4
)</f>
        <v>1</v>
      </c>
    </row>
    <row r="2307" spans="1:22" x14ac:dyDescent="0.25">
      <c r="A2307">
        <v>2306</v>
      </c>
      <c r="B2307" s="1">
        <v>45649</v>
      </c>
      <c r="C2307" t="s">
        <v>22</v>
      </c>
      <c r="D2307" t="s">
        <v>15</v>
      </c>
      <c r="E2307">
        <v>29</v>
      </c>
      <c r="F2307">
        <v>55</v>
      </c>
      <c r="G2307">
        <v>2</v>
      </c>
      <c r="H2307" t="s">
        <v>12</v>
      </c>
      <c r="I2307" t="s">
        <v>16</v>
      </c>
      <c r="J2307" t="s">
        <v>15</v>
      </c>
      <c r="K2307">
        <f>_xlfn.XLOOKUP(tbl_analysis_tickets[[#This Row],[priority]],tbl_sla[priority],tbl_sla[Resolution SLA Hours])</f>
        <v>48</v>
      </c>
      <c r="L2307">
        <f>_xlfn.XLOOKUP(tbl_analysis_tickets[[#This Row],[priority]],tbl_sla[priority],tbl_sla[First Response SLA Minutes])</f>
        <v>120</v>
      </c>
      <c r="M2307" t="str">
        <f>IF(tbl_analysis_tickets[[#This Row],[resolution_time_hours]]&gt;tbl_analysis_tickets[[#This Row],[Resolution SLA Hours]],"Breached","Within SLA")</f>
        <v>Breached</v>
      </c>
      <c r="N2307" t="str">
        <f>IF(tbl_analysis_tickets[[#This Row],[first_response_minutes]]&gt;tbl_analysis_tickets[[#This Row],[First Response SLA Minutes]],"Breached","Within SLA")</f>
        <v>Within SLA</v>
      </c>
      <c r="O2307" t="str" cm="1">
        <f t="array" ref="O2307">_xlfn.IFS(
tbl_analysis_tickets[[#This Row],[agent_experience_years]]&lt;=2,"Junior",
tbl_analysis_tickets[[#This Row],[agent_experience_years]]&lt;=5,"Mid-Level",
tbl_analysis_tickets[[#This Row],[agent_experience_years]]&lt;=8,"Senior",
tbl_analysis_tickets[[#This Row],[agent_experience_years]]&gt;8,"Expert"
)</f>
        <v>Junior</v>
      </c>
      <c r="P2307" cm="1">
        <f t="array" ref="P2307">_xlfn.SWITCH(tbl_analysis_tickets[[#This Row],[customer_satisfaction]],
"Low",1,
"Medium",2,
"High",3
)</f>
        <v>2</v>
      </c>
      <c r="Q2307">
        <f>IF(tbl_analysis_tickets[[#This Row],[reopened]]="Yes",1,0)</f>
        <v>1</v>
      </c>
      <c r="R2307" t="str" cm="1">
        <f t="array" ref="R2307">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2307" t="str" cm="1">
        <f t="array" ref="S230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307" t="str">
        <f>TEXT(tbl_analysis_tickets[[#This Row],[created_date]],"mmm-yyyy")</f>
        <v>Dec-2024</v>
      </c>
      <c r="U2307" t="str">
        <f>TEXT(tbl_analysis_tickets[[#This Row],[created_date]],"dddd")</f>
        <v>Monday</v>
      </c>
      <c r="V2307" cm="1">
        <f t="array" ref="V2307">_xlfn.SWITCH(tbl_analysis_tickets[[#This Row],[priority]],
"Urgent",1,
"High",2,
"Medium",3,
"Low",4
)</f>
        <v>3</v>
      </c>
    </row>
    <row r="2308" spans="1:22" x14ac:dyDescent="0.25">
      <c r="A2308">
        <v>2307</v>
      </c>
      <c r="B2308" s="1">
        <v>45601</v>
      </c>
      <c r="C2308" t="s">
        <v>14</v>
      </c>
      <c r="D2308" t="s">
        <v>17</v>
      </c>
      <c r="E2308">
        <v>174</v>
      </c>
      <c r="F2308">
        <v>37</v>
      </c>
      <c r="G2308">
        <v>0.8</v>
      </c>
      <c r="H2308" t="s">
        <v>18</v>
      </c>
      <c r="I2308" t="s">
        <v>19</v>
      </c>
      <c r="J2308" t="s">
        <v>11</v>
      </c>
      <c r="K2308">
        <f>_xlfn.XLOOKUP(tbl_analysis_tickets[[#This Row],[priority]],tbl_sla[priority],tbl_sla[Resolution SLA Hours])</f>
        <v>8</v>
      </c>
      <c r="L2308">
        <f>_xlfn.XLOOKUP(tbl_analysis_tickets[[#This Row],[priority]],tbl_sla[priority],tbl_sla[First Response SLA Minutes])</f>
        <v>30</v>
      </c>
      <c r="M2308" t="str">
        <f>IF(tbl_analysis_tickets[[#This Row],[resolution_time_hours]]&gt;tbl_analysis_tickets[[#This Row],[Resolution SLA Hours]],"Breached","Within SLA")</f>
        <v>Breached</v>
      </c>
      <c r="N2308" t="str">
        <f>IF(tbl_analysis_tickets[[#This Row],[first_response_minutes]]&gt;tbl_analysis_tickets[[#This Row],[First Response SLA Minutes]],"Breached","Within SLA")</f>
        <v>Breached</v>
      </c>
      <c r="O2308" t="str" cm="1">
        <f t="array" ref="O2308">_xlfn.IFS(
tbl_analysis_tickets[[#This Row],[agent_experience_years]]&lt;=2,"Junior",
tbl_analysis_tickets[[#This Row],[agent_experience_years]]&lt;=5,"Mid-Level",
tbl_analysis_tickets[[#This Row],[agent_experience_years]]&lt;=8,"Senior",
tbl_analysis_tickets[[#This Row],[agent_experience_years]]&gt;8,"Expert"
)</f>
        <v>Junior</v>
      </c>
      <c r="P2308" cm="1">
        <f t="array" ref="P2308">_xlfn.SWITCH(tbl_analysis_tickets[[#This Row],[customer_satisfaction]],
"Low",1,
"Medium",2,
"High",3
)</f>
        <v>1</v>
      </c>
      <c r="Q2308">
        <f>IF(tbl_analysis_tickets[[#This Row],[reopened]]="Yes",1,0)</f>
        <v>0</v>
      </c>
      <c r="R2308" t="str" cm="1">
        <f t="array" ref="R2308">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308" t="str" cm="1">
        <f t="array" ref="S230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308" t="str">
        <f>TEXT(tbl_analysis_tickets[[#This Row],[created_date]],"mmm-yyyy")</f>
        <v>Nov-2024</v>
      </c>
      <c r="U2308" t="str">
        <f>TEXT(tbl_analysis_tickets[[#This Row],[created_date]],"dddd")</f>
        <v>Tuesday</v>
      </c>
      <c r="V2308" cm="1">
        <f t="array" ref="V2308">_xlfn.SWITCH(tbl_analysis_tickets[[#This Row],[priority]],
"Urgent",1,
"High",2,
"Medium",3,
"Low",4
)</f>
        <v>1</v>
      </c>
    </row>
    <row r="2309" spans="1:22" x14ac:dyDescent="0.25">
      <c r="A2309">
        <v>2308</v>
      </c>
      <c r="B2309" s="1">
        <v>45307</v>
      </c>
      <c r="C2309" t="s">
        <v>14</v>
      </c>
      <c r="D2309" t="s">
        <v>11</v>
      </c>
      <c r="E2309">
        <v>22</v>
      </c>
      <c r="F2309">
        <v>17</v>
      </c>
      <c r="G2309">
        <v>4.9000000000000004</v>
      </c>
      <c r="H2309" t="s">
        <v>18</v>
      </c>
      <c r="I2309" t="s">
        <v>13</v>
      </c>
      <c r="J2309" t="s">
        <v>15</v>
      </c>
      <c r="K2309">
        <f>_xlfn.XLOOKUP(tbl_analysis_tickets[[#This Row],[priority]],tbl_sla[priority],tbl_sla[Resolution SLA Hours])</f>
        <v>72</v>
      </c>
      <c r="L2309">
        <f>_xlfn.XLOOKUP(tbl_analysis_tickets[[#This Row],[priority]],tbl_sla[priority],tbl_sla[First Response SLA Minutes])</f>
        <v>240</v>
      </c>
      <c r="M2309" t="str">
        <f>IF(tbl_analysis_tickets[[#This Row],[resolution_time_hours]]&gt;tbl_analysis_tickets[[#This Row],[Resolution SLA Hours]],"Breached","Within SLA")</f>
        <v>Within SLA</v>
      </c>
      <c r="N2309" t="str">
        <f>IF(tbl_analysis_tickets[[#This Row],[first_response_minutes]]&gt;tbl_analysis_tickets[[#This Row],[First Response SLA Minutes]],"Breached","Within SLA")</f>
        <v>Within SLA</v>
      </c>
      <c r="O2309" t="str" cm="1">
        <f t="array" ref="O2309">_xlfn.IFS(
tbl_analysis_tickets[[#This Row],[agent_experience_years]]&lt;=2,"Junior",
tbl_analysis_tickets[[#This Row],[agent_experience_years]]&lt;=5,"Mid-Level",
tbl_analysis_tickets[[#This Row],[agent_experience_years]]&lt;=8,"Senior",
tbl_analysis_tickets[[#This Row],[agent_experience_years]]&gt;8,"Expert"
)</f>
        <v>Mid-Level</v>
      </c>
      <c r="P2309" cm="1">
        <f t="array" ref="P2309">_xlfn.SWITCH(tbl_analysis_tickets[[#This Row],[customer_satisfaction]],
"Low",1,
"Medium",2,
"High",3
)</f>
        <v>2</v>
      </c>
      <c r="Q2309">
        <f>IF(tbl_analysis_tickets[[#This Row],[reopened]]="Yes",1,0)</f>
        <v>0</v>
      </c>
      <c r="R2309" t="str" cm="1">
        <f t="array" ref="R2309">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2309" t="str" cm="1">
        <f t="array" ref="S230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309" t="str">
        <f>TEXT(tbl_analysis_tickets[[#This Row],[created_date]],"mmm-yyyy")</f>
        <v>Jan-2024</v>
      </c>
      <c r="U2309" t="str">
        <f>TEXT(tbl_analysis_tickets[[#This Row],[created_date]],"dddd")</f>
        <v>Tuesday</v>
      </c>
      <c r="V2309" cm="1">
        <f t="array" ref="V2309">_xlfn.SWITCH(tbl_analysis_tickets[[#This Row],[priority]],
"Urgent",1,
"High",2,
"Medium",3,
"Low",4
)</f>
        <v>4</v>
      </c>
    </row>
    <row r="2310" spans="1:22" x14ac:dyDescent="0.25">
      <c r="A2310">
        <v>2309</v>
      </c>
      <c r="B2310" s="1">
        <v>45502</v>
      </c>
      <c r="C2310" t="s">
        <v>22</v>
      </c>
      <c r="D2310" t="s">
        <v>20</v>
      </c>
      <c r="E2310">
        <v>42</v>
      </c>
      <c r="F2310">
        <v>45</v>
      </c>
      <c r="G2310">
        <v>2</v>
      </c>
      <c r="H2310" t="s">
        <v>18</v>
      </c>
      <c r="I2310" t="s">
        <v>19</v>
      </c>
      <c r="J2310" t="s">
        <v>11</v>
      </c>
      <c r="K2310">
        <f>_xlfn.XLOOKUP(tbl_analysis_tickets[[#This Row],[priority]],tbl_sla[priority],tbl_sla[Resolution SLA Hours])</f>
        <v>24</v>
      </c>
      <c r="L2310">
        <f>_xlfn.XLOOKUP(tbl_analysis_tickets[[#This Row],[priority]],tbl_sla[priority],tbl_sla[First Response SLA Minutes])</f>
        <v>60</v>
      </c>
      <c r="M2310" t="str">
        <f>IF(tbl_analysis_tickets[[#This Row],[resolution_time_hours]]&gt;tbl_analysis_tickets[[#This Row],[Resolution SLA Hours]],"Breached","Within SLA")</f>
        <v>Breached</v>
      </c>
      <c r="N2310" t="str">
        <f>IF(tbl_analysis_tickets[[#This Row],[first_response_minutes]]&gt;tbl_analysis_tickets[[#This Row],[First Response SLA Minutes]],"Breached","Within SLA")</f>
        <v>Within SLA</v>
      </c>
      <c r="O2310" t="str" cm="1">
        <f t="array" ref="O2310">_xlfn.IFS(
tbl_analysis_tickets[[#This Row],[agent_experience_years]]&lt;=2,"Junior",
tbl_analysis_tickets[[#This Row],[agent_experience_years]]&lt;=5,"Mid-Level",
tbl_analysis_tickets[[#This Row],[agent_experience_years]]&lt;=8,"Senior",
tbl_analysis_tickets[[#This Row],[agent_experience_years]]&gt;8,"Expert"
)</f>
        <v>Junior</v>
      </c>
      <c r="P2310" cm="1">
        <f t="array" ref="P2310">_xlfn.SWITCH(tbl_analysis_tickets[[#This Row],[customer_satisfaction]],
"Low",1,
"Medium",2,
"High",3
)</f>
        <v>1</v>
      </c>
      <c r="Q2310">
        <f>IF(tbl_analysis_tickets[[#This Row],[reopened]]="Yes",1,0)</f>
        <v>0</v>
      </c>
      <c r="R2310" t="str" cm="1">
        <f t="array" ref="R2310">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310" t="str" cm="1">
        <f t="array" ref="S231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310" t="str">
        <f>TEXT(tbl_analysis_tickets[[#This Row],[created_date]],"mmm-yyyy")</f>
        <v>Jul-2024</v>
      </c>
      <c r="U2310" t="str">
        <f>TEXT(tbl_analysis_tickets[[#This Row],[created_date]],"dddd")</f>
        <v>Monday</v>
      </c>
      <c r="V2310" cm="1">
        <f t="array" ref="V2310">_xlfn.SWITCH(tbl_analysis_tickets[[#This Row],[priority]],
"Urgent",1,
"High",2,
"Medium",3,
"Low",4
)</f>
        <v>2</v>
      </c>
    </row>
    <row r="2311" spans="1:22" x14ac:dyDescent="0.25">
      <c r="A2311">
        <v>2310</v>
      </c>
      <c r="B2311" s="1">
        <v>45521</v>
      </c>
      <c r="C2311" t="s">
        <v>21</v>
      </c>
      <c r="D2311" t="s">
        <v>17</v>
      </c>
      <c r="E2311">
        <v>36</v>
      </c>
      <c r="F2311">
        <v>47</v>
      </c>
      <c r="G2311">
        <v>0.8</v>
      </c>
      <c r="H2311" t="s">
        <v>12</v>
      </c>
      <c r="I2311" t="s">
        <v>19</v>
      </c>
      <c r="J2311" t="s">
        <v>11</v>
      </c>
      <c r="K2311">
        <f>_xlfn.XLOOKUP(tbl_analysis_tickets[[#This Row],[priority]],tbl_sla[priority],tbl_sla[Resolution SLA Hours])</f>
        <v>8</v>
      </c>
      <c r="L2311">
        <f>_xlfn.XLOOKUP(tbl_analysis_tickets[[#This Row],[priority]],tbl_sla[priority],tbl_sla[First Response SLA Minutes])</f>
        <v>30</v>
      </c>
      <c r="M2311" t="str">
        <f>IF(tbl_analysis_tickets[[#This Row],[resolution_time_hours]]&gt;tbl_analysis_tickets[[#This Row],[Resolution SLA Hours]],"Breached","Within SLA")</f>
        <v>Breached</v>
      </c>
      <c r="N2311" t="str">
        <f>IF(tbl_analysis_tickets[[#This Row],[first_response_minutes]]&gt;tbl_analysis_tickets[[#This Row],[First Response SLA Minutes]],"Breached","Within SLA")</f>
        <v>Breached</v>
      </c>
      <c r="O2311" t="str" cm="1">
        <f t="array" ref="O2311">_xlfn.IFS(
tbl_analysis_tickets[[#This Row],[agent_experience_years]]&lt;=2,"Junior",
tbl_analysis_tickets[[#This Row],[agent_experience_years]]&lt;=5,"Mid-Level",
tbl_analysis_tickets[[#This Row],[agent_experience_years]]&lt;=8,"Senior",
tbl_analysis_tickets[[#This Row],[agent_experience_years]]&gt;8,"Expert"
)</f>
        <v>Junior</v>
      </c>
      <c r="P2311" cm="1">
        <f t="array" ref="P2311">_xlfn.SWITCH(tbl_analysis_tickets[[#This Row],[customer_satisfaction]],
"Low",1,
"Medium",2,
"High",3
)</f>
        <v>1</v>
      </c>
      <c r="Q2311">
        <f>IF(tbl_analysis_tickets[[#This Row],[reopened]]="Yes",1,0)</f>
        <v>1</v>
      </c>
      <c r="R2311" t="str" cm="1">
        <f t="array" ref="R2311">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311" t="str" cm="1">
        <f t="array" ref="S231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311" t="str">
        <f>TEXT(tbl_analysis_tickets[[#This Row],[created_date]],"mmm-yyyy")</f>
        <v>Aug-2024</v>
      </c>
      <c r="U2311" t="str">
        <f>TEXT(tbl_analysis_tickets[[#This Row],[created_date]],"dddd")</f>
        <v>Saturday</v>
      </c>
      <c r="V2311" cm="1">
        <f t="array" ref="V2311">_xlfn.SWITCH(tbl_analysis_tickets[[#This Row],[priority]],
"Urgent",1,
"High",2,
"Medium",3,
"Low",4
)</f>
        <v>1</v>
      </c>
    </row>
    <row r="2312" spans="1:22" x14ac:dyDescent="0.25">
      <c r="A2312">
        <v>2311</v>
      </c>
      <c r="B2312" s="1">
        <v>45459</v>
      </c>
      <c r="C2312" t="s">
        <v>23</v>
      </c>
      <c r="D2312" t="s">
        <v>20</v>
      </c>
      <c r="E2312">
        <v>200</v>
      </c>
      <c r="F2312">
        <v>42</v>
      </c>
      <c r="G2312">
        <v>6.7</v>
      </c>
      <c r="H2312" t="s">
        <v>12</v>
      </c>
      <c r="I2312" t="s">
        <v>13</v>
      </c>
      <c r="J2312" t="s">
        <v>11</v>
      </c>
      <c r="K2312">
        <f>_xlfn.XLOOKUP(tbl_analysis_tickets[[#This Row],[priority]],tbl_sla[priority],tbl_sla[Resolution SLA Hours])</f>
        <v>24</v>
      </c>
      <c r="L2312">
        <f>_xlfn.XLOOKUP(tbl_analysis_tickets[[#This Row],[priority]],tbl_sla[priority],tbl_sla[First Response SLA Minutes])</f>
        <v>60</v>
      </c>
      <c r="M2312" t="str">
        <f>IF(tbl_analysis_tickets[[#This Row],[resolution_time_hours]]&gt;tbl_analysis_tickets[[#This Row],[Resolution SLA Hours]],"Breached","Within SLA")</f>
        <v>Breached</v>
      </c>
      <c r="N2312" t="str">
        <f>IF(tbl_analysis_tickets[[#This Row],[first_response_minutes]]&gt;tbl_analysis_tickets[[#This Row],[First Response SLA Minutes]],"Breached","Within SLA")</f>
        <v>Breached</v>
      </c>
      <c r="O2312" t="str" cm="1">
        <f t="array" ref="O2312">_xlfn.IFS(
tbl_analysis_tickets[[#This Row],[agent_experience_years]]&lt;=2,"Junior",
tbl_analysis_tickets[[#This Row],[agent_experience_years]]&lt;=5,"Mid-Level",
tbl_analysis_tickets[[#This Row],[agent_experience_years]]&lt;=8,"Senior",
tbl_analysis_tickets[[#This Row],[agent_experience_years]]&gt;8,"Expert"
)</f>
        <v>Senior</v>
      </c>
      <c r="P2312" cm="1">
        <f t="array" ref="P2312">_xlfn.SWITCH(tbl_analysis_tickets[[#This Row],[customer_satisfaction]],
"Low",1,
"Medium",2,
"High",3
)</f>
        <v>1</v>
      </c>
      <c r="Q2312">
        <f>IF(tbl_analysis_tickets[[#This Row],[reopened]]="Yes",1,0)</f>
        <v>1</v>
      </c>
      <c r="R2312" t="str" cm="1">
        <f t="array" ref="R2312">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312" t="str" cm="1">
        <f t="array" ref="S231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312" t="str">
        <f>TEXT(tbl_analysis_tickets[[#This Row],[created_date]],"mmm-yyyy")</f>
        <v>Jun-2024</v>
      </c>
      <c r="U2312" t="str">
        <f>TEXT(tbl_analysis_tickets[[#This Row],[created_date]],"dddd")</f>
        <v>Sunday</v>
      </c>
      <c r="V2312" cm="1">
        <f t="array" ref="V2312">_xlfn.SWITCH(tbl_analysis_tickets[[#This Row],[priority]],
"Urgent",1,
"High",2,
"Medium",3,
"Low",4
)</f>
        <v>2</v>
      </c>
    </row>
    <row r="2313" spans="1:22" x14ac:dyDescent="0.25">
      <c r="A2313">
        <v>2312</v>
      </c>
      <c r="B2313" s="1">
        <v>45414</v>
      </c>
      <c r="C2313" t="s">
        <v>14</v>
      </c>
      <c r="D2313" t="s">
        <v>20</v>
      </c>
      <c r="E2313">
        <v>160</v>
      </c>
      <c r="F2313">
        <v>56</v>
      </c>
      <c r="G2313">
        <v>3.3</v>
      </c>
      <c r="H2313" t="s">
        <v>18</v>
      </c>
      <c r="I2313" t="s">
        <v>16</v>
      </c>
      <c r="J2313" t="s">
        <v>11</v>
      </c>
      <c r="K2313">
        <f>_xlfn.XLOOKUP(tbl_analysis_tickets[[#This Row],[priority]],tbl_sla[priority],tbl_sla[Resolution SLA Hours])</f>
        <v>24</v>
      </c>
      <c r="L2313">
        <f>_xlfn.XLOOKUP(tbl_analysis_tickets[[#This Row],[priority]],tbl_sla[priority],tbl_sla[First Response SLA Minutes])</f>
        <v>60</v>
      </c>
      <c r="M2313" t="str">
        <f>IF(tbl_analysis_tickets[[#This Row],[resolution_time_hours]]&gt;tbl_analysis_tickets[[#This Row],[Resolution SLA Hours]],"Breached","Within SLA")</f>
        <v>Breached</v>
      </c>
      <c r="N2313" t="str">
        <f>IF(tbl_analysis_tickets[[#This Row],[first_response_minutes]]&gt;tbl_analysis_tickets[[#This Row],[First Response SLA Minutes]],"Breached","Within SLA")</f>
        <v>Breached</v>
      </c>
      <c r="O2313" t="str" cm="1">
        <f t="array" ref="O2313">_xlfn.IFS(
tbl_analysis_tickets[[#This Row],[agent_experience_years]]&lt;=2,"Junior",
tbl_analysis_tickets[[#This Row],[agent_experience_years]]&lt;=5,"Mid-Level",
tbl_analysis_tickets[[#This Row],[agent_experience_years]]&lt;=8,"Senior",
tbl_analysis_tickets[[#This Row],[agent_experience_years]]&gt;8,"Expert"
)</f>
        <v>Mid-Level</v>
      </c>
      <c r="P2313" cm="1">
        <f t="array" ref="P2313">_xlfn.SWITCH(tbl_analysis_tickets[[#This Row],[customer_satisfaction]],
"Low",1,
"Medium",2,
"High",3
)</f>
        <v>1</v>
      </c>
      <c r="Q2313">
        <f>IF(tbl_analysis_tickets[[#This Row],[reopened]]="Yes",1,0)</f>
        <v>0</v>
      </c>
      <c r="R2313" t="str" cm="1">
        <f t="array" ref="R2313">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313" t="str" cm="1">
        <f t="array" ref="S231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313" t="str">
        <f>TEXT(tbl_analysis_tickets[[#This Row],[created_date]],"mmm-yyyy")</f>
        <v>May-2024</v>
      </c>
      <c r="U2313" t="str">
        <f>TEXT(tbl_analysis_tickets[[#This Row],[created_date]],"dddd")</f>
        <v>Thursday</v>
      </c>
      <c r="V2313" cm="1">
        <f t="array" ref="V2313">_xlfn.SWITCH(tbl_analysis_tickets[[#This Row],[priority]],
"Urgent",1,
"High",2,
"Medium",3,
"Low",4
)</f>
        <v>2</v>
      </c>
    </row>
    <row r="2314" spans="1:22" x14ac:dyDescent="0.25">
      <c r="A2314">
        <v>2313</v>
      </c>
      <c r="B2314" s="1">
        <v>45603</v>
      </c>
      <c r="C2314" t="s">
        <v>14</v>
      </c>
      <c r="D2314" t="s">
        <v>15</v>
      </c>
      <c r="E2314">
        <v>121</v>
      </c>
      <c r="F2314">
        <v>59</v>
      </c>
      <c r="G2314">
        <v>9.8000000000000007</v>
      </c>
      <c r="H2314" t="s">
        <v>18</v>
      </c>
      <c r="I2314" t="s">
        <v>13</v>
      </c>
      <c r="J2314" t="s">
        <v>15</v>
      </c>
      <c r="K2314">
        <f>_xlfn.XLOOKUP(tbl_analysis_tickets[[#This Row],[priority]],tbl_sla[priority],tbl_sla[Resolution SLA Hours])</f>
        <v>48</v>
      </c>
      <c r="L2314">
        <f>_xlfn.XLOOKUP(tbl_analysis_tickets[[#This Row],[priority]],tbl_sla[priority],tbl_sla[First Response SLA Minutes])</f>
        <v>120</v>
      </c>
      <c r="M2314" t="str">
        <f>IF(tbl_analysis_tickets[[#This Row],[resolution_time_hours]]&gt;tbl_analysis_tickets[[#This Row],[Resolution SLA Hours]],"Breached","Within SLA")</f>
        <v>Breached</v>
      </c>
      <c r="N2314" t="str">
        <f>IF(tbl_analysis_tickets[[#This Row],[first_response_minutes]]&gt;tbl_analysis_tickets[[#This Row],[First Response SLA Minutes]],"Breached","Within SLA")</f>
        <v>Breached</v>
      </c>
      <c r="O2314" t="str" cm="1">
        <f t="array" ref="O2314">_xlfn.IFS(
tbl_analysis_tickets[[#This Row],[agent_experience_years]]&lt;=2,"Junior",
tbl_analysis_tickets[[#This Row],[agent_experience_years]]&lt;=5,"Mid-Level",
tbl_analysis_tickets[[#This Row],[agent_experience_years]]&lt;=8,"Senior",
tbl_analysis_tickets[[#This Row],[agent_experience_years]]&gt;8,"Expert"
)</f>
        <v>Expert</v>
      </c>
      <c r="P2314" cm="1">
        <f t="array" ref="P2314">_xlfn.SWITCH(tbl_analysis_tickets[[#This Row],[customer_satisfaction]],
"Low",1,
"Medium",2,
"High",3
)</f>
        <v>2</v>
      </c>
      <c r="Q2314">
        <f>IF(tbl_analysis_tickets[[#This Row],[reopened]]="Yes",1,0)</f>
        <v>0</v>
      </c>
      <c r="R2314" t="str" cm="1">
        <f t="array" ref="R2314">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314" t="str" cm="1">
        <f t="array" ref="S231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314" t="str">
        <f>TEXT(tbl_analysis_tickets[[#This Row],[created_date]],"mmm-yyyy")</f>
        <v>Nov-2024</v>
      </c>
      <c r="U2314" t="str">
        <f>TEXT(tbl_analysis_tickets[[#This Row],[created_date]],"dddd")</f>
        <v>Thursday</v>
      </c>
      <c r="V2314" cm="1">
        <f t="array" ref="V2314">_xlfn.SWITCH(tbl_analysis_tickets[[#This Row],[priority]],
"Urgent",1,
"High",2,
"Medium",3,
"Low",4
)</f>
        <v>3</v>
      </c>
    </row>
    <row r="2315" spans="1:22" x14ac:dyDescent="0.25">
      <c r="A2315">
        <v>2314</v>
      </c>
      <c r="B2315" s="1">
        <v>45608</v>
      </c>
      <c r="C2315" t="s">
        <v>23</v>
      </c>
      <c r="D2315" t="s">
        <v>11</v>
      </c>
      <c r="E2315">
        <v>150</v>
      </c>
      <c r="F2315">
        <v>44</v>
      </c>
      <c r="G2315">
        <v>3.1</v>
      </c>
      <c r="H2315" t="s">
        <v>12</v>
      </c>
      <c r="I2315" t="s">
        <v>19</v>
      </c>
      <c r="J2315" t="s">
        <v>11</v>
      </c>
      <c r="K2315">
        <f>_xlfn.XLOOKUP(tbl_analysis_tickets[[#This Row],[priority]],tbl_sla[priority],tbl_sla[Resolution SLA Hours])</f>
        <v>72</v>
      </c>
      <c r="L2315">
        <f>_xlfn.XLOOKUP(tbl_analysis_tickets[[#This Row],[priority]],tbl_sla[priority],tbl_sla[First Response SLA Minutes])</f>
        <v>240</v>
      </c>
      <c r="M2315" t="str">
        <f>IF(tbl_analysis_tickets[[#This Row],[resolution_time_hours]]&gt;tbl_analysis_tickets[[#This Row],[Resolution SLA Hours]],"Breached","Within SLA")</f>
        <v>Within SLA</v>
      </c>
      <c r="N2315" t="str">
        <f>IF(tbl_analysis_tickets[[#This Row],[first_response_minutes]]&gt;tbl_analysis_tickets[[#This Row],[First Response SLA Minutes]],"Breached","Within SLA")</f>
        <v>Within SLA</v>
      </c>
      <c r="O2315" t="str" cm="1">
        <f t="array" ref="O2315">_xlfn.IFS(
tbl_analysis_tickets[[#This Row],[agent_experience_years]]&lt;=2,"Junior",
tbl_analysis_tickets[[#This Row],[agent_experience_years]]&lt;=5,"Mid-Level",
tbl_analysis_tickets[[#This Row],[agent_experience_years]]&lt;=8,"Senior",
tbl_analysis_tickets[[#This Row],[agent_experience_years]]&gt;8,"Expert"
)</f>
        <v>Mid-Level</v>
      </c>
      <c r="P2315" cm="1">
        <f t="array" ref="P2315">_xlfn.SWITCH(tbl_analysis_tickets[[#This Row],[customer_satisfaction]],
"Low",1,
"Medium",2,
"High",3
)</f>
        <v>1</v>
      </c>
      <c r="Q2315">
        <f>IF(tbl_analysis_tickets[[#This Row],[reopened]]="Yes",1,0)</f>
        <v>1</v>
      </c>
      <c r="R2315" t="str" cm="1">
        <f t="array" ref="R2315">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315" t="str" cm="1">
        <f t="array" ref="S231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315" t="str">
        <f>TEXT(tbl_analysis_tickets[[#This Row],[created_date]],"mmm-yyyy")</f>
        <v>Nov-2024</v>
      </c>
      <c r="U2315" t="str">
        <f>TEXT(tbl_analysis_tickets[[#This Row],[created_date]],"dddd")</f>
        <v>Tuesday</v>
      </c>
      <c r="V2315" cm="1">
        <f t="array" ref="V2315">_xlfn.SWITCH(tbl_analysis_tickets[[#This Row],[priority]],
"Urgent",1,
"High",2,
"Medium",3,
"Low",4
)</f>
        <v>4</v>
      </c>
    </row>
    <row r="2316" spans="1:22" x14ac:dyDescent="0.25">
      <c r="A2316">
        <v>2315</v>
      </c>
      <c r="B2316" s="1">
        <v>45396</v>
      </c>
      <c r="C2316" t="s">
        <v>14</v>
      </c>
      <c r="D2316" t="s">
        <v>15</v>
      </c>
      <c r="E2316">
        <v>39</v>
      </c>
      <c r="F2316">
        <v>4</v>
      </c>
      <c r="G2316">
        <v>2.1</v>
      </c>
      <c r="H2316" t="s">
        <v>18</v>
      </c>
      <c r="I2316" t="s">
        <v>16</v>
      </c>
      <c r="J2316" t="s">
        <v>15</v>
      </c>
      <c r="K2316">
        <f>_xlfn.XLOOKUP(tbl_analysis_tickets[[#This Row],[priority]],tbl_sla[priority],tbl_sla[Resolution SLA Hours])</f>
        <v>48</v>
      </c>
      <c r="L2316">
        <f>_xlfn.XLOOKUP(tbl_analysis_tickets[[#This Row],[priority]],tbl_sla[priority],tbl_sla[First Response SLA Minutes])</f>
        <v>120</v>
      </c>
      <c r="M2316" t="str">
        <f>IF(tbl_analysis_tickets[[#This Row],[resolution_time_hours]]&gt;tbl_analysis_tickets[[#This Row],[Resolution SLA Hours]],"Breached","Within SLA")</f>
        <v>Within SLA</v>
      </c>
      <c r="N2316" t="str">
        <f>IF(tbl_analysis_tickets[[#This Row],[first_response_minutes]]&gt;tbl_analysis_tickets[[#This Row],[First Response SLA Minutes]],"Breached","Within SLA")</f>
        <v>Within SLA</v>
      </c>
      <c r="O2316" t="str" cm="1">
        <f t="array" ref="O2316">_xlfn.IFS(
tbl_analysis_tickets[[#This Row],[agent_experience_years]]&lt;=2,"Junior",
tbl_analysis_tickets[[#This Row],[agent_experience_years]]&lt;=5,"Mid-Level",
tbl_analysis_tickets[[#This Row],[agent_experience_years]]&lt;=8,"Senior",
tbl_analysis_tickets[[#This Row],[agent_experience_years]]&gt;8,"Expert"
)</f>
        <v>Mid-Level</v>
      </c>
      <c r="P2316" cm="1">
        <f t="array" ref="P2316">_xlfn.SWITCH(tbl_analysis_tickets[[#This Row],[customer_satisfaction]],
"Low",1,
"Medium",2,
"High",3
)</f>
        <v>2</v>
      </c>
      <c r="Q2316">
        <f>IF(tbl_analysis_tickets[[#This Row],[reopened]]="Yes",1,0)</f>
        <v>0</v>
      </c>
      <c r="R2316" t="str" cm="1">
        <f t="array" ref="R2316">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316" t="str" cm="1">
        <f t="array" ref="S231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2316" t="str">
        <f>TEXT(tbl_analysis_tickets[[#This Row],[created_date]],"mmm-yyyy")</f>
        <v>Apr-2024</v>
      </c>
      <c r="U2316" t="str">
        <f>TEXT(tbl_analysis_tickets[[#This Row],[created_date]],"dddd")</f>
        <v>Sunday</v>
      </c>
      <c r="V2316" cm="1">
        <f t="array" ref="V2316">_xlfn.SWITCH(tbl_analysis_tickets[[#This Row],[priority]],
"Urgent",1,
"High",2,
"Medium",3,
"Low",4
)</f>
        <v>3</v>
      </c>
    </row>
    <row r="2317" spans="1:22" x14ac:dyDescent="0.25">
      <c r="A2317">
        <v>2316</v>
      </c>
      <c r="B2317" s="1">
        <v>45299</v>
      </c>
      <c r="C2317" t="s">
        <v>14</v>
      </c>
      <c r="D2317" t="s">
        <v>17</v>
      </c>
      <c r="E2317">
        <v>6</v>
      </c>
      <c r="F2317">
        <v>38</v>
      </c>
      <c r="G2317">
        <v>9.6</v>
      </c>
      <c r="H2317" t="s">
        <v>12</v>
      </c>
      <c r="I2317" t="s">
        <v>13</v>
      </c>
      <c r="J2317" t="s">
        <v>15</v>
      </c>
      <c r="K2317">
        <f>_xlfn.XLOOKUP(tbl_analysis_tickets[[#This Row],[priority]],tbl_sla[priority],tbl_sla[Resolution SLA Hours])</f>
        <v>8</v>
      </c>
      <c r="L2317">
        <f>_xlfn.XLOOKUP(tbl_analysis_tickets[[#This Row],[priority]],tbl_sla[priority],tbl_sla[First Response SLA Minutes])</f>
        <v>30</v>
      </c>
      <c r="M2317" t="str">
        <f>IF(tbl_analysis_tickets[[#This Row],[resolution_time_hours]]&gt;tbl_analysis_tickets[[#This Row],[Resolution SLA Hours]],"Breached","Within SLA")</f>
        <v>Breached</v>
      </c>
      <c r="N2317" t="str">
        <f>IF(tbl_analysis_tickets[[#This Row],[first_response_minutes]]&gt;tbl_analysis_tickets[[#This Row],[First Response SLA Minutes]],"Breached","Within SLA")</f>
        <v>Within SLA</v>
      </c>
      <c r="O2317" t="str" cm="1">
        <f t="array" ref="O2317">_xlfn.IFS(
tbl_analysis_tickets[[#This Row],[agent_experience_years]]&lt;=2,"Junior",
tbl_analysis_tickets[[#This Row],[agent_experience_years]]&lt;=5,"Mid-Level",
tbl_analysis_tickets[[#This Row],[agent_experience_years]]&lt;=8,"Senior",
tbl_analysis_tickets[[#This Row],[agent_experience_years]]&gt;8,"Expert"
)</f>
        <v>Expert</v>
      </c>
      <c r="P2317" cm="1">
        <f t="array" ref="P2317">_xlfn.SWITCH(tbl_analysis_tickets[[#This Row],[customer_satisfaction]],
"Low",1,
"Medium",2,
"High",3
)</f>
        <v>2</v>
      </c>
      <c r="Q2317">
        <f>IF(tbl_analysis_tickets[[#This Row],[reopened]]="Yes",1,0)</f>
        <v>1</v>
      </c>
      <c r="R2317" t="str" cm="1">
        <f t="array" ref="R2317">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2317" t="str" cm="1">
        <f t="array" ref="S231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317" t="str">
        <f>TEXT(tbl_analysis_tickets[[#This Row],[created_date]],"mmm-yyyy")</f>
        <v>Jan-2024</v>
      </c>
      <c r="U2317" t="str">
        <f>TEXT(tbl_analysis_tickets[[#This Row],[created_date]],"dddd")</f>
        <v>Monday</v>
      </c>
      <c r="V2317" cm="1">
        <f t="array" ref="V2317">_xlfn.SWITCH(tbl_analysis_tickets[[#This Row],[priority]],
"Urgent",1,
"High",2,
"Medium",3,
"Low",4
)</f>
        <v>1</v>
      </c>
    </row>
    <row r="2318" spans="1:22" x14ac:dyDescent="0.25">
      <c r="A2318">
        <v>2317</v>
      </c>
      <c r="B2318" s="1">
        <v>45401</v>
      </c>
      <c r="C2318" t="s">
        <v>21</v>
      </c>
      <c r="D2318" t="s">
        <v>20</v>
      </c>
      <c r="E2318">
        <v>47</v>
      </c>
      <c r="F2318">
        <v>28</v>
      </c>
      <c r="G2318">
        <v>1.8</v>
      </c>
      <c r="H2318" t="s">
        <v>12</v>
      </c>
      <c r="I2318" t="s">
        <v>16</v>
      </c>
      <c r="J2318" t="s">
        <v>11</v>
      </c>
      <c r="K2318">
        <f>_xlfn.XLOOKUP(tbl_analysis_tickets[[#This Row],[priority]],tbl_sla[priority],tbl_sla[Resolution SLA Hours])</f>
        <v>24</v>
      </c>
      <c r="L2318">
        <f>_xlfn.XLOOKUP(tbl_analysis_tickets[[#This Row],[priority]],tbl_sla[priority],tbl_sla[First Response SLA Minutes])</f>
        <v>60</v>
      </c>
      <c r="M2318" t="str">
        <f>IF(tbl_analysis_tickets[[#This Row],[resolution_time_hours]]&gt;tbl_analysis_tickets[[#This Row],[Resolution SLA Hours]],"Breached","Within SLA")</f>
        <v>Breached</v>
      </c>
      <c r="N2318" t="str">
        <f>IF(tbl_analysis_tickets[[#This Row],[first_response_minutes]]&gt;tbl_analysis_tickets[[#This Row],[First Response SLA Minutes]],"Breached","Within SLA")</f>
        <v>Within SLA</v>
      </c>
      <c r="O2318" t="str" cm="1">
        <f t="array" ref="O2318">_xlfn.IFS(
tbl_analysis_tickets[[#This Row],[agent_experience_years]]&lt;=2,"Junior",
tbl_analysis_tickets[[#This Row],[agent_experience_years]]&lt;=5,"Mid-Level",
tbl_analysis_tickets[[#This Row],[agent_experience_years]]&lt;=8,"Senior",
tbl_analysis_tickets[[#This Row],[agent_experience_years]]&gt;8,"Expert"
)</f>
        <v>Junior</v>
      </c>
      <c r="P2318" cm="1">
        <f t="array" ref="P2318">_xlfn.SWITCH(tbl_analysis_tickets[[#This Row],[customer_satisfaction]],
"Low",1,
"Medium",2,
"High",3
)</f>
        <v>1</v>
      </c>
      <c r="Q2318">
        <f>IF(tbl_analysis_tickets[[#This Row],[reopened]]="Yes",1,0)</f>
        <v>1</v>
      </c>
      <c r="R2318" t="str" cm="1">
        <f t="array" ref="R2318">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318" t="str" cm="1">
        <f t="array" ref="S231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318" t="str">
        <f>TEXT(tbl_analysis_tickets[[#This Row],[created_date]],"mmm-yyyy")</f>
        <v>Apr-2024</v>
      </c>
      <c r="U2318" t="str">
        <f>TEXT(tbl_analysis_tickets[[#This Row],[created_date]],"dddd")</f>
        <v>Friday</v>
      </c>
      <c r="V2318" cm="1">
        <f t="array" ref="V2318">_xlfn.SWITCH(tbl_analysis_tickets[[#This Row],[priority]],
"Urgent",1,
"High",2,
"Medium",3,
"Low",4
)</f>
        <v>2</v>
      </c>
    </row>
    <row r="2319" spans="1:22" x14ac:dyDescent="0.25">
      <c r="A2319">
        <v>2318</v>
      </c>
      <c r="B2319" s="1">
        <v>45470</v>
      </c>
      <c r="C2319" t="s">
        <v>10</v>
      </c>
      <c r="D2319" t="s">
        <v>20</v>
      </c>
      <c r="E2319">
        <v>54</v>
      </c>
      <c r="F2319">
        <v>34</v>
      </c>
      <c r="G2319">
        <v>7.7</v>
      </c>
      <c r="H2319" t="s">
        <v>18</v>
      </c>
      <c r="I2319" t="s">
        <v>19</v>
      </c>
      <c r="J2319" t="s">
        <v>11</v>
      </c>
      <c r="K2319">
        <f>_xlfn.XLOOKUP(tbl_analysis_tickets[[#This Row],[priority]],tbl_sla[priority],tbl_sla[Resolution SLA Hours])</f>
        <v>24</v>
      </c>
      <c r="L2319">
        <f>_xlfn.XLOOKUP(tbl_analysis_tickets[[#This Row],[priority]],tbl_sla[priority],tbl_sla[First Response SLA Minutes])</f>
        <v>60</v>
      </c>
      <c r="M2319" t="str">
        <f>IF(tbl_analysis_tickets[[#This Row],[resolution_time_hours]]&gt;tbl_analysis_tickets[[#This Row],[Resolution SLA Hours]],"Breached","Within SLA")</f>
        <v>Breached</v>
      </c>
      <c r="N2319" t="str">
        <f>IF(tbl_analysis_tickets[[#This Row],[first_response_minutes]]&gt;tbl_analysis_tickets[[#This Row],[First Response SLA Minutes]],"Breached","Within SLA")</f>
        <v>Within SLA</v>
      </c>
      <c r="O2319" t="str" cm="1">
        <f t="array" ref="O2319">_xlfn.IFS(
tbl_analysis_tickets[[#This Row],[agent_experience_years]]&lt;=2,"Junior",
tbl_analysis_tickets[[#This Row],[agent_experience_years]]&lt;=5,"Mid-Level",
tbl_analysis_tickets[[#This Row],[agent_experience_years]]&lt;=8,"Senior",
tbl_analysis_tickets[[#This Row],[agent_experience_years]]&gt;8,"Expert"
)</f>
        <v>Senior</v>
      </c>
      <c r="P2319" cm="1">
        <f t="array" ref="P2319">_xlfn.SWITCH(tbl_analysis_tickets[[#This Row],[customer_satisfaction]],
"Low",1,
"Medium",2,
"High",3
)</f>
        <v>1</v>
      </c>
      <c r="Q2319">
        <f>IF(tbl_analysis_tickets[[#This Row],[reopened]]="Yes",1,0)</f>
        <v>0</v>
      </c>
      <c r="R2319" t="str" cm="1">
        <f t="array" ref="R2319">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319" t="str" cm="1">
        <f t="array" ref="S231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319" t="str">
        <f>TEXT(tbl_analysis_tickets[[#This Row],[created_date]],"mmm-yyyy")</f>
        <v>Jun-2024</v>
      </c>
      <c r="U2319" t="str">
        <f>TEXT(tbl_analysis_tickets[[#This Row],[created_date]],"dddd")</f>
        <v>Thursday</v>
      </c>
      <c r="V2319" cm="1">
        <f t="array" ref="V2319">_xlfn.SWITCH(tbl_analysis_tickets[[#This Row],[priority]],
"Urgent",1,
"High",2,
"Medium",3,
"Low",4
)</f>
        <v>2</v>
      </c>
    </row>
    <row r="2320" spans="1:22" x14ac:dyDescent="0.25">
      <c r="A2320">
        <v>2319</v>
      </c>
      <c r="B2320" s="1">
        <v>45416</v>
      </c>
      <c r="C2320" t="s">
        <v>23</v>
      </c>
      <c r="D2320" t="s">
        <v>11</v>
      </c>
      <c r="E2320">
        <v>235</v>
      </c>
      <c r="F2320">
        <v>60</v>
      </c>
      <c r="G2320">
        <v>8.3000000000000007</v>
      </c>
      <c r="H2320" t="s">
        <v>12</v>
      </c>
      <c r="I2320" t="s">
        <v>19</v>
      </c>
      <c r="J2320" t="s">
        <v>11</v>
      </c>
      <c r="K2320">
        <f>_xlfn.XLOOKUP(tbl_analysis_tickets[[#This Row],[priority]],tbl_sla[priority],tbl_sla[Resolution SLA Hours])</f>
        <v>72</v>
      </c>
      <c r="L2320">
        <f>_xlfn.XLOOKUP(tbl_analysis_tickets[[#This Row],[priority]],tbl_sla[priority],tbl_sla[First Response SLA Minutes])</f>
        <v>240</v>
      </c>
      <c r="M2320" t="str">
        <f>IF(tbl_analysis_tickets[[#This Row],[resolution_time_hours]]&gt;tbl_analysis_tickets[[#This Row],[Resolution SLA Hours]],"Breached","Within SLA")</f>
        <v>Within SLA</v>
      </c>
      <c r="N2320" t="str">
        <f>IF(tbl_analysis_tickets[[#This Row],[first_response_minutes]]&gt;tbl_analysis_tickets[[#This Row],[First Response SLA Minutes]],"Breached","Within SLA")</f>
        <v>Within SLA</v>
      </c>
      <c r="O2320" t="str" cm="1">
        <f t="array" ref="O2320">_xlfn.IFS(
tbl_analysis_tickets[[#This Row],[agent_experience_years]]&lt;=2,"Junior",
tbl_analysis_tickets[[#This Row],[agent_experience_years]]&lt;=5,"Mid-Level",
tbl_analysis_tickets[[#This Row],[agent_experience_years]]&lt;=8,"Senior",
tbl_analysis_tickets[[#This Row],[agent_experience_years]]&gt;8,"Expert"
)</f>
        <v>Expert</v>
      </c>
      <c r="P2320" cm="1">
        <f t="array" ref="P2320">_xlfn.SWITCH(tbl_analysis_tickets[[#This Row],[customer_satisfaction]],
"Low",1,
"Medium",2,
"High",3
)</f>
        <v>1</v>
      </c>
      <c r="Q2320">
        <f>IF(tbl_analysis_tickets[[#This Row],[reopened]]="Yes",1,0)</f>
        <v>1</v>
      </c>
      <c r="R2320" t="str" cm="1">
        <f t="array" ref="R2320">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320" t="str" cm="1">
        <f t="array" ref="S232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320" t="str">
        <f>TEXT(tbl_analysis_tickets[[#This Row],[created_date]],"mmm-yyyy")</f>
        <v>May-2024</v>
      </c>
      <c r="U2320" t="str">
        <f>TEXT(tbl_analysis_tickets[[#This Row],[created_date]],"dddd")</f>
        <v>Saturday</v>
      </c>
      <c r="V2320" cm="1">
        <f t="array" ref="V2320">_xlfn.SWITCH(tbl_analysis_tickets[[#This Row],[priority]],
"Urgent",1,
"High",2,
"Medium",3,
"Low",4
)</f>
        <v>4</v>
      </c>
    </row>
    <row r="2321" spans="1:22" x14ac:dyDescent="0.25">
      <c r="A2321">
        <v>2320</v>
      </c>
      <c r="B2321" s="1">
        <v>45309</v>
      </c>
      <c r="C2321" t="s">
        <v>10</v>
      </c>
      <c r="D2321" t="s">
        <v>15</v>
      </c>
      <c r="E2321">
        <v>212</v>
      </c>
      <c r="F2321">
        <v>57</v>
      </c>
      <c r="G2321">
        <v>1.3</v>
      </c>
      <c r="H2321" t="s">
        <v>18</v>
      </c>
      <c r="I2321" t="s">
        <v>19</v>
      </c>
      <c r="J2321" t="s">
        <v>11</v>
      </c>
      <c r="K2321">
        <f>_xlfn.XLOOKUP(tbl_analysis_tickets[[#This Row],[priority]],tbl_sla[priority],tbl_sla[Resolution SLA Hours])</f>
        <v>48</v>
      </c>
      <c r="L2321">
        <f>_xlfn.XLOOKUP(tbl_analysis_tickets[[#This Row],[priority]],tbl_sla[priority],tbl_sla[First Response SLA Minutes])</f>
        <v>120</v>
      </c>
      <c r="M2321" t="str">
        <f>IF(tbl_analysis_tickets[[#This Row],[resolution_time_hours]]&gt;tbl_analysis_tickets[[#This Row],[Resolution SLA Hours]],"Breached","Within SLA")</f>
        <v>Breached</v>
      </c>
      <c r="N2321" t="str">
        <f>IF(tbl_analysis_tickets[[#This Row],[first_response_minutes]]&gt;tbl_analysis_tickets[[#This Row],[First Response SLA Minutes]],"Breached","Within SLA")</f>
        <v>Breached</v>
      </c>
      <c r="O2321" t="str" cm="1">
        <f t="array" ref="O2321">_xlfn.IFS(
tbl_analysis_tickets[[#This Row],[agent_experience_years]]&lt;=2,"Junior",
tbl_analysis_tickets[[#This Row],[agent_experience_years]]&lt;=5,"Mid-Level",
tbl_analysis_tickets[[#This Row],[agent_experience_years]]&lt;=8,"Senior",
tbl_analysis_tickets[[#This Row],[agent_experience_years]]&gt;8,"Expert"
)</f>
        <v>Junior</v>
      </c>
      <c r="P2321" cm="1">
        <f t="array" ref="P2321">_xlfn.SWITCH(tbl_analysis_tickets[[#This Row],[customer_satisfaction]],
"Low",1,
"Medium",2,
"High",3
)</f>
        <v>1</v>
      </c>
      <c r="Q2321">
        <f>IF(tbl_analysis_tickets[[#This Row],[reopened]]="Yes",1,0)</f>
        <v>0</v>
      </c>
      <c r="R2321" t="str" cm="1">
        <f t="array" ref="R2321">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321" t="str" cm="1">
        <f t="array" ref="S232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321" t="str">
        <f>TEXT(tbl_analysis_tickets[[#This Row],[created_date]],"mmm-yyyy")</f>
        <v>Jan-2024</v>
      </c>
      <c r="U2321" t="str">
        <f>TEXT(tbl_analysis_tickets[[#This Row],[created_date]],"dddd")</f>
        <v>Thursday</v>
      </c>
      <c r="V2321" cm="1">
        <f t="array" ref="V2321">_xlfn.SWITCH(tbl_analysis_tickets[[#This Row],[priority]],
"Urgent",1,
"High",2,
"Medium",3,
"Low",4
)</f>
        <v>3</v>
      </c>
    </row>
    <row r="2322" spans="1:22" x14ac:dyDescent="0.25">
      <c r="A2322">
        <v>2321</v>
      </c>
      <c r="B2322" s="1">
        <v>45323</v>
      </c>
      <c r="C2322" t="s">
        <v>22</v>
      </c>
      <c r="D2322" t="s">
        <v>20</v>
      </c>
      <c r="E2322">
        <v>226</v>
      </c>
      <c r="F2322">
        <v>44</v>
      </c>
      <c r="G2322">
        <v>4.0999999999999996</v>
      </c>
      <c r="H2322" t="s">
        <v>12</v>
      </c>
      <c r="I2322" t="s">
        <v>16</v>
      </c>
      <c r="J2322" t="s">
        <v>11</v>
      </c>
      <c r="K2322">
        <f>_xlfn.XLOOKUP(tbl_analysis_tickets[[#This Row],[priority]],tbl_sla[priority],tbl_sla[Resolution SLA Hours])</f>
        <v>24</v>
      </c>
      <c r="L2322">
        <f>_xlfn.XLOOKUP(tbl_analysis_tickets[[#This Row],[priority]],tbl_sla[priority],tbl_sla[First Response SLA Minutes])</f>
        <v>60</v>
      </c>
      <c r="M2322" t="str">
        <f>IF(tbl_analysis_tickets[[#This Row],[resolution_time_hours]]&gt;tbl_analysis_tickets[[#This Row],[Resolution SLA Hours]],"Breached","Within SLA")</f>
        <v>Breached</v>
      </c>
      <c r="N2322" t="str">
        <f>IF(tbl_analysis_tickets[[#This Row],[first_response_minutes]]&gt;tbl_analysis_tickets[[#This Row],[First Response SLA Minutes]],"Breached","Within SLA")</f>
        <v>Breached</v>
      </c>
      <c r="O2322" t="str" cm="1">
        <f t="array" ref="O2322">_xlfn.IFS(
tbl_analysis_tickets[[#This Row],[agent_experience_years]]&lt;=2,"Junior",
tbl_analysis_tickets[[#This Row],[agent_experience_years]]&lt;=5,"Mid-Level",
tbl_analysis_tickets[[#This Row],[agent_experience_years]]&lt;=8,"Senior",
tbl_analysis_tickets[[#This Row],[agent_experience_years]]&gt;8,"Expert"
)</f>
        <v>Mid-Level</v>
      </c>
      <c r="P2322" cm="1">
        <f t="array" ref="P2322">_xlfn.SWITCH(tbl_analysis_tickets[[#This Row],[customer_satisfaction]],
"Low",1,
"Medium",2,
"High",3
)</f>
        <v>1</v>
      </c>
      <c r="Q2322">
        <f>IF(tbl_analysis_tickets[[#This Row],[reopened]]="Yes",1,0)</f>
        <v>1</v>
      </c>
      <c r="R2322" t="str" cm="1">
        <f t="array" ref="R2322">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322" t="str" cm="1">
        <f t="array" ref="S232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322" t="str">
        <f>TEXT(tbl_analysis_tickets[[#This Row],[created_date]],"mmm-yyyy")</f>
        <v>Feb-2024</v>
      </c>
      <c r="U2322" t="str">
        <f>TEXT(tbl_analysis_tickets[[#This Row],[created_date]],"dddd")</f>
        <v>Thursday</v>
      </c>
      <c r="V2322" cm="1">
        <f t="array" ref="V2322">_xlfn.SWITCH(tbl_analysis_tickets[[#This Row],[priority]],
"Urgent",1,
"High",2,
"Medium",3,
"Low",4
)</f>
        <v>2</v>
      </c>
    </row>
    <row r="2323" spans="1:22" x14ac:dyDescent="0.25">
      <c r="A2323">
        <v>2322</v>
      </c>
      <c r="B2323" s="1">
        <v>45348</v>
      </c>
      <c r="C2323" t="s">
        <v>23</v>
      </c>
      <c r="D2323" t="s">
        <v>15</v>
      </c>
      <c r="E2323">
        <v>178</v>
      </c>
      <c r="F2323">
        <v>65</v>
      </c>
      <c r="G2323">
        <v>9.4</v>
      </c>
      <c r="H2323" t="s">
        <v>12</v>
      </c>
      <c r="I2323" t="s">
        <v>19</v>
      </c>
      <c r="J2323" t="s">
        <v>11</v>
      </c>
      <c r="K2323">
        <f>_xlfn.XLOOKUP(tbl_analysis_tickets[[#This Row],[priority]],tbl_sla[priority],tbl_sla[Resolution SLA Hours])</f>
        <v>48</v>
      </c>
      <c r="L2323">
        <f>_xlfn.XLOOKUP(tbl_analysis_tickets[[#This Row],[priority]],tbl_sla[priority],tbl_sla[First Response SLA Minutes])</f>
        <v>120</v>
      </c>
      <c r="M2323" t="str">
        <f>IF(tbl_analysis_tickets[[#This Row],[resolution_time_hours]]&gt;tbl_analysis_tickets[[#This Row],[Resolution SLA Hours]],"Breached","Within SLA")</f>
        <v>Breached</v>
      </c>
      <c r="N2323" t="str">
        <f>IF(tbl_analysis_tickets[[#This Row],[first_response_minutes]]&gt;tbl_analysis_tickets[[#This Row],[First Response SLA Minutes]],"Breached","Within SLA")</f>
        <v>Breached</v>
      </c>
      <c r="O2323" t="str" cm="1">
        <f t="array" ref="O2323">_xlfn.IFS(
tbl_analysis_tickets[[#This Row],[agent_experience_years]]&lt;=2,"Junior",
tbl_analysis_tickets[[#This Row],[agent_experience_years]]&lt;=5,"Mid-Level",
tbl_analysis_tickets[[#This Row],[agent_experience_years]]&lt;=8,"Senior",
tbl_analysis_tickets[[#This Row],[agent_experience_years]]&gt;8,"Expert"
)</f>
        <v>Expert</v>
      </c>
      <c r="P2323" cm="1">
        <f t="array" ref="P2323">_xlfn.SWITCH(tbl_analysis_tickets[[#This Row],[customer_satisfaction]],
"Low",1,
"Medium",2,
"High",3
)</f>
        <v>1</v>
      </c>
      <c r="Q2323">
        <f>IF(tbl_analysis_tickets[[#This Row],[reopened]]="Yes",1,0)</f>
        <v>1</v>
      </c>
      <c r="R2323" t="str" cm="1">
        <f t="array" ref="R2323">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323" t="str" cm="1">
        <f t="array" ref="S232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323" t="str">
        <f>TEXT(tbl_analysis_tickets[[#This Row],[created_date]],"mmm-yyyy")</f>
        <v>Feb-2024</v>
      </c>
      <c r="U2323" t="str">
        <f>TEXT(tbl_analysis_tickets[[#This Row],[created_date]],"dddd")</f>
        <v>Monday</v>
      </c>
      <c r="V2323" cm="1">
        <f t="array" ref="V2323">_xlfn.SWITCH(tbl_analysis_tickets[[#This Row],[priority]],
"Urgent",1,
"High",2,
"Medium",3,
"Low",4
)</f>
        <v>3</v>
      </c>
    </row>
    <row r="2324" spans="1:22" x14ac:dyDescent="0.25">
      <c r="A2324">
        <v>2323</v>
      </c>
      <c r="B2324" s="1">
        <v>45322</v>
      </c>
      <c r="C2324" t="s">
        <v>21</v>
      </c>
      <c r="D2324" t="s">
        <v>15</v>
      </c>
      <c r="E2324">
        <v>91</v>
      </c>
      <c r="F2324">
        <v>32</v>
      </c>
      <c r="G2324">
        <v>6.8</v>
      </c>
      <c r="H2324" t="s">
        <v>12</v>
      </c>
      <c r="I2324" t="s">
        <v>19</v>
      </c>
      <c r="J2324" t="s">
        <v>11</v>
      </c>
      <c r="K2324">
        <f>_xlfn.XLOOKUP(tbl_analysis_tickets[[#This Row],[priority]],tbl_sla[priority],tbl_sla[Resolution SLA Hours])</f>
        <v>48</v>
      </c>
      <c r="L2324">
        <f>_xlfn.XLOOKUP(tbl_analysis_tickets[[#This Row],[priority]],tbl_sla[priority],tbl_sla[First Response SLA Minutes])</f>
        <v>120</v>
      </c>
      <c r="M2324" t="str">
        <f>IF(tbl_analysis_tickets[[#This Row],[resolution_time_hours]]&gt;tbl_analysis_tickets[[#This Row],[Resolution SLA Hours]],"Breached","Within SLA")</f>
        <v>Within SLA</v>
      </c>
      <c r="N2324" t="str">
        <f>IF(tbl_analysis_tickets[[#This Row],[first_response_minutes]]&gt;tbl_analysis_tickets[[#This Row],[First Response SLA Minutes]],"Breached","Within SLA")</f>
        <v>Within SLA</v>
      </c>
      <c r="O2324" t="str" cm="1">
        <f t="array" ref="O2324">_xlfn.IFS(
tbl_analysis_tickets[[#This Row],[agent_experience_years]]&lt;=2,"Junior",
tbl_analysis_tickets[[#This Row],[agent_experience_years]]&lt;=5,"Mid-Level",
tbl_analysis_tickets[[#This Row],[agent_experience_years]]&lt;=8,"Senior",
tbl_analysis_tickets[[#This Row],[agent_experience_years]]&gt;8,"Expert"
)</f>
        <v>Senior</v>
      </c>
      <c r="P2324" cm="1">
        <f t="array" ref="P2324">_xlfn.SWITCH(tbl_analysis_tickets[[#This Row],[customer_satisfaction]],
"Low",1,
"Medium",2,
"High",3
)</f>
        <v>1</v>
      </c>
      <c r="Q2324">
        <f>IF(tbl_analysis_tickets[[#This Row],[reopened]]="Yes",1,0)</f>
        <v>1</v>
      </c>
      <c r="R2324" t="str" cm="1">
        <f t="array" ref="R2324">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324" t="str" cm="1">
        <f t="array" ref="S232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324" t="str">
        <f>TEXT(tbl_analysis_tickets[[#This Row],[created_date]],"mmm-yyyy")</f>
        <v>Jan-2024</v>
      </c>
      <c r="U2324" t="str">
        <f>TEXT(tbl_analysis_tickets[[#This Row],[created_date]],"dddd")</f>
        <v>Wednesday</v>
      </c>
      <c r="V2324" cm="1">
        <f t="array" ref="V2324">_xlfn.SWITCH(tbl_analysis_tickets[[#This Row],[priority]],
"Urgent",1,
"High",2,
"Medium",3,
"Low",4
)</f>
        <v>3</v>
      </c>
    </row>
    <row r="2325" spans="1:22" x14ac:dyDescent="0.25">
      <c r="A2325">
        <v>2324</v>
      </c>
      <c r="B2325" s="1">
        <v>45334</v>
      </c>
      <c r="C2325" t="s">
        <v>10</v>
      </c>
      <c r="D2325" t="s">
        <v>15</v>
      </c>
      <c r="E2325">
        <v>210</v>
      </c>
      <c r="F2325">
        <v>2</v>
      </c>
      <c r="G2325">
        <v>6.6</v>
      </c>
      <c r="H2325" t="s">
        <v>18</v>
      </c>
      <c r="I2325" t="s">
        <v>13</v>
      </c>
      <c r="J2325" t="s">
        <v>20</v>
      </c>
      <c r="K2325">
        <f>_xlfn.XLOOKUP(tbl_analysis_tickets[[#This Row],[priority]],tbl_sla[priority],tbl_sla[Resolution SLA Hours])</f>
        <v>48</v>
      </c>
      <c r="L2325">
        <f>_xlfn.XLOOKUP(tbl_analysis_tickets[[#This Row],[priority]],tbl_sla[priority],tbl_sla[First Response SLA Minutes])</f>
        <v>120</v>
      </c>
      <c r="M2325" t="str">
        <f>IF(tbl_analysis_tickets[[#This Row],[resolution_time_hours]]&gt;tbl_analysis_tickets[[#This Row],[Resolution SLA Hours]],"Breached","Within SLA")</f>
        <v>Within SLA</v>
      </c>
      <c r="N2325" t="str">
        <f>IF(tbl_analysis_tickets[[#This Row],[first_response_minutes]]&gt;tbl_analysis_tickets[[#This Row],[First Response SLA Minutes]],"Breached","Within SLA")</f>
        <v>Breached</v>
      </c>
      <c r="O2325" t="str" cm="1">
        <f t="array" ref="O2325">_xlfn.IFS(
tbl_analysis_tickets[[#This Row],[agent_experience_years]]&lt;=2,"Junior",
tbl_analysis_tickets[[#This Row],[agent_experience_years]]&lt;=5,"Mid-Level",
tbl_analysis_tickets[[#This Row],[agent_experience_years]]&lt;=8,"Senior",
tbl_analysis_tickets[[#This Row],[agent_experience_years]]&gt;8,"Expert"
)</f>
        <v>Senior</v>
      </c>
      <c r="P2325" cm="1">
        <f t="array" ref="P2325">_xlfn.SWITCH(tbl_analysis_tickets[[#This Row],[customer_satisfaction]],
"Low",1,
"Medium",2,
"High",3
)</f>
        <v>3</v>
      </c>
      <c r="Q2325">
        <f>IF(tbl_analysis_tickets[[#This Row],[reopened]]="Yes",1,0)</f>
        <v>0</v>
      </c>
      <c r="R2325" t="str" cm="1">
        <f t="array" ref="R2325">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325" t="str" cm="1">
        <f t="array" ref="S232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2325" t="str">
        <f>TEXT(tbl_analysis_tickets[[#This Row],[created_date]],"mmm-yyyy")</f>
        <v>Feb-2024</v>
      </c>
      <c r="U2325" t="str">
        <f>TEXT(tbl_analysis_tickets[[#This Row],[created_date]],"dddd")</f>
        <v>Monday</v>
      </c>
      <c r="V2325" cm="1">
        <f t="array" ref="V2325">_xlfn.SWITCH(tbl_analysis_tickets[[#This Row],[priority]],
"Urgent",1,
"High",2,
"Medium",3,
"Low",4
)</f>
        <v>3</v>
      </c>
    </row>
    <row r="2326" spans="1:22" x14ac:dyDescent="0.25">
      <c r="A2326">
        <v>2325</v>
      </c>
      <c r="B2326" s="1">
        <v>45296</v>
      </c>
      <c r="C2326" t="s">
        <v>14</v>
      </c>
      <c r="D2326" t="s">
        <v>15</v>
      </c>
      <c r="E2326">
        <v>128</v>
      </c>
      <c r="F2326">
        <v>22</v>
      </c>
      <c r="G2326">
        <v>3.7</v>
      </c>
      <c r="H2326" t="s">
        <v>18</v>
      </c>
      <c r="I2326" t="s">
        <v>13</v>
      </c>
      <c r="J2326" t="s">
        <v>11</v>
      </c>
      <c r="K2326">
        <f>_xlfn.XLOOKUP(tbl_analysis_tickets[[#This Row],[priority]],tbl_sla[priority],tbl_sla[Resolution SLA Hours])</f>
        <v>48</v>
      </c>
      <c r="L2326">
        <f>_xlfn.XLOOKUP(tbl_analysis_tickets[[#This Row],[priority]],tbl_sla[priority],tbl_sla[First Response SLA Minutes])</f>
        <v>120</v>
      </c>
      <c r="M2326" t="str">
        <f>IF(tbl_analysis_tickets[[#This Row],[resolution_time_hours]]&gt;tbl_analysis_tickets[[#This Row],[Resolution SLA Hours]],"Breached","Within SLA")</f>
        <v>Within SLA</v>
      </c>
      <c r="N2326" t="str">
        <f>IF(tbl_analysis_tickets[[#This Row],[first_response_minutes]]&gt;tbl_analysis_tickets[[#This Row],[First Response SLA Minutes]],"Breached","Within SLA")</f>
        <v>Breached</v>
      </c>
      <c r="O2326" t="str" cm="1">
        <f t="array" ref="O2326">_xlfn.IFS(
tbl_analysis_tickets[[#This Row],[agent_experience_years]]&lt;=2,"Junior",
tbl_analysis_tickets[[#This Row],[agent_experience_years]]&lt;=5,"Mid-Level",
tbl_analysis_tickets[[#This Row],[agent_experience_years]]&lt;=8,"Senior",
tbl_analysis_tickets[[#This Row],[agent_experience_years]]&gt;8,"Expert"
)</f>
        <v>Mid-Level</v>
      </c>
      <c r="P2326" cm="1">
        <f t="array" ref="P2326">_xlfn.SWITCH(tbl_analysis_tickets[[#This Row],[customer_satisfaction]],
"Low",1,
"Medium",2,
"High",3
)</f>
        <v>1</v>
      </c>
      <c r="Q2326">
        <f>IF(tbl_analysis_tickets[[#This Row],[reopened]]="Yes",1,0)</f>
        <v>0</v>
      </c>
      <c r="R2326" t="str" cm="1">
        <f t="array" ref="R2326">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326" t="str" cm="1">
        <f t="array" ref="S232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326" t="str">
        <f>TEXT(tbl_analysis_tickets[[#This Row],[created_date]],"mmm-yyyy")</f>
        <v>Jan-2024</v>
      </c>
      <c r="U2326" t="str">
        <f>TEXT(tbl_analysis_tickets[[#This Row],[created_date]],"dddd")</f>
        <v>Friday</v>
      </c>
      <c r="V2326" cm="1">
        <f t="array" ref="V2326">_xlfn.SWITCH(tbl_analysis_tickets[[#This Row],[priority]],
"Urgent",1,
"High",2,
"Medium",3,
"Low",4
)</f>
        <v>3</v>
      </c>
    </row>
    <row r="2327" spans="1:22" x14ac:dyDescent="0.25">
      <c r="A2327">
        <v>2326</v>
      </c>
      <c r="B2327" s="1">
        <v>45548</v>
      </c>
      <c r="C2327" t="s">
        <v>14</v>
      </c>
      <c r="D2327" t="s">
        <v>20</v>
      </c>
      <c r="E2327">
        <v>147</v>
      </c>
      <c r="F2327">
        <v>4</v>
      </c>
      <c r="G2327">
        <v>2.4</v>
      </c>
      <c r="H2327" t="s">
        <v>18</v>
      </c>
      <c r="I2327" t="s">
        <v>16</v>
      </c>
      <c r="J2327" t="s">
        <v>15</v>
      </c>
      <c r="K2327">
        <f>_xlfn.XLOOKUP(tbl_analysis_tickets[[#This Row],[priority]],tbl_sla[priority],tbl_sla[Resolution SLA Hours])</f>
        <v>24</v>
      </c>
      <c r="L2327">
        <f>_xlfn.XLOOKUP(tbl_analysis_tickets[[#This Row],[priority]],tbl_sla[priority],tbl_sla[First Response SLA Minutes])</f>
        <v>60</v>
      </c>
      <c r="M2327" t="str">
        <f>IF(tbl_analysis_tickets[[#This Row],[resolution_time_hours]]&gt;tbl_analysis_tickets[[#This Row],[Resolution SLA Hours]],"Breached","Within SLA")</f>
        <v>Within SLA</v>
      </c>
      <c r="N2327" t="str">
        <f>IF(tbl_analysis_tickets[[#This Row],[first_response_minutes]]&gt;tbl_analysis_tickets[[#This Row],[First Response SLA Minutes]],"Breached","Within SLA")</f>
        <v>Breached</v>
      </c>
      <c r="O2327" t="str" cm="1">
        <f t="array" ref="O2327">_xlfn.IFS(
tbl_analysis_tickets[[#This Row],[agent_experience_years]]&lt;=2,"Junior",
tbl_analysis_tickets[[#This Row],[agent_experience_years]]&lt;=5,"Mid-Level",
tbl_analysis_tickets[[#This Row],[agent_experience_years]]&lt;=8,"Senior",
tbl_analysis_tickets[[#This Row],[agent_experience_years]]&gt;8,"Expert"
)</f>
        <v>Mid-Level</v>
      </c>
      <c r="P2327" cm="1">
        <f t="array" ref="P2327">_xlfn.SWITCH(tbl_analysis_tickets[[#This Row],[customer_satisfaction]],
"Low",1,
"Medium",2,
"High",3
)</f>
        <v>2</v>
      </c>
      <c r="Q2327">
        <f>IF(tbl_analysis_tickets[[#This Row],[reopened]]="Yes",1,0)</f>
        <v>0</v>
      </c>
      <c r="R2327" t="str" cm="1">
        <f t="array" ref="R2327">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327" t="str" cm="1">
        <f t="array" ref="S232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2327" t="str">
        <f>TEXT(tbl_analysis_tickets[[#This Row],[created_date]],"mmm-yyyy")</f>
        <v>Sep-2024</v>
      </c>
      <c r="U2327" t="str">
        <f>TEXT(tbl_analysis_tickets[[#This Row],[created_date]],"dddd")</f>
        <v>Friday</v>
      </c>
      <c r="V2327" cm="1">
        <f t="array" ref="V2327">_xlfn.SWITCH(tbl_analysis_tickets[[#This Row],[priority]],
"Urgent",1,
"High",2,
"Medium",3,
"Low",4
)</f>
        <v>2</v>
      </c>
    </row>
    <row r="2328" spans="1:22" x14ac:dyDescent="0.25">
      <c r="A2328">
        <v>2327</v>
      </c>
      <c r="B2328" s="1">
        <v>45549</v>
      </c>
      <c r="C2328" t="s">
        <v>10</v>
      </c>
      <c r="D2328" t="s">
        <v>20</v>
      </c>
      <c r="E2328">
        <v>161</v>
      </c>
      <c r="F2328">
        <v>2</v>
      </c>
      <c r="G2328">
        <v>1.8</v>
      </c>
      <c r="H2328" t="s">
        <v>18</v>
      </c>
      <c r="I2328" t="s">
        <v>16</v>
      </c>
      <c r="J2328" t="s">
        <v>15</v>
      </c>
      <c r="K2328">
        <f>_xlfn.XLOOKUP(tbl_analysis_tickets[[#This Row],[priority]],tbl_sla[priority],tbl_sla[Resolution SLA Hours])</f>
        <v>24</v>
      </c>
      <c r="L2328">
        <f>_xlfn.XLOOKUP(tbl_analysis_tickets[[#This Row],[priority]],tbl_sla[priority],tbl_sla[First Response SLA Minutes])</f>
        <v>60</v>
      </c>
      <c r="M2328" t="str">
        <f>IF(tbl_analysis_tickets[[#This Row],[resolution_time_hours]]&gt;tbl_analysis_tickets[[#This Row],[Resolution SLA Hours]],"Breached","Within SLA")</f>
        <v>Within SLA</v>
      </c>
      <c r="N2328" t="str">
        <f>IF(tbl_analysis_tickets[[#This Row],[first_response_minutes]]&gt;tbl_analysis_tickets[[#This Row],[First Response SLA Minutes]],"Breached","Within SLA")</f>
        <v>Breached</v>
      </c>
      <c r="O2328" t="str" cm="1">
        <f t="array" ref="O2328">_xlfn.IFS(
tbl_analysis_tickets[[#This Row],[agent_experience_years]]&lt;=2,"Junior",
tbl_analysis_tickets[[#This Row],[agent_experience_years]]&lt;=5,"Mid-Level",
tbl_analysis_tickets[[#This Row],[agent_experience_years]]&lt;=8,"Senior",
tbl_analysis_tickets[[#This Row],[agent_experience_years]]&gt;8,"Expert"
)</f>
        <v>Junior</v>
      </c>
      <c r="P2328" cm="1">
        <f t="array" ref="P2328">_xlfn.SWITCH(tbl_analysis_tickets[[#This Row],[customer_satisfaction]],
"Low",1,
"Medium",2,
"High",3
)</f>
        <v>2</v>
      </c>
      <c r="Q2328">
        <f>IF(tbl_analysis_tickets[[#This Row],[reopened]]="Yes",1,0)</f>
        <v>0</v>
      </c>
      <c r="R2328" t="str" cm="1">
        <f t="array" ref="R2328">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328" t="str" cm="1">
        <f t="array" ref="S232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2328" t="str">
        <f>TEXT(tbl_analysis_tickets[[#This Row],[created_date]],"mmm-yyyy")</f>
        <v>Sep-2024</v>
      </c>
      <c r="U2328" t="str">
        <f>TEXT(tbl_analysis_tickets[[#This Row],[created_date]],"dddd")</f>
        <v>Saturday</v>
      </c>
      <c r="V2328" cm="1">
        <f t="array" ref="V2328">_xlfn.SWITCH(tbl_analysis_tickets[[#This Row],[priority]],
"Urgent",1,
"High",2,
"Medium",3,
"Low",4
)</f>
        <v>2</v>
      </c>
    </row>
    <row r="2329" spans="1:22" x14ac:dyDescent="0.25">
      <c r="A2329">
        <v>2328</v>
      </c>
      <c r="B2329" s="1">
        <v>45304</v>
      </c>
      <c r="C2329" t="s">
        <v>10</v>
      </c>
      <c r="D2329" t="s">
        <v>15</v>
      </c>
      <c r="E2329">
        <v>7</v>
      </c>
      <c r="F2329">
        <v>36</v>
      </c>
      <c r="G2329">
        <v>1.8</v>
      </c>
      <c r="H2329" t="s">
        <v>18</v>
      </c>
      <c r="I2329" t="s">
        <v>13</v>
      </c>
      <c r="J2329" t="s">
        <v>15</v>
      </c>
      <c r="K2329">
        <f>_xlfn.XLOOKUP(tbl_analysis_tickets[[#This Row],[priority]],tbl_sla[priority],tbl_sla[Resolution SLA Hours])</f>
        <v>48</v>
      </c>
      <c r="L2329">
        <f>_xlfn.XLOOKUP(tbl_analysis_tickets[[#This Row],[priority]],tbl_sla[priority],tbl_sla[First Response SLA Minutes])</f>
        <v>120</v>
      </c>
      <c r="M2329" t="str">
        <f>IF(tbl_analysis_tickets[[#This Row],[resolution_time_hours]]&gt;tbl_analysis_tickets[[#This Row],[Resolution SLA Hours]],"Breached","Within SLA")</f>
        <v>Within SLA</v>
      </c>
      <c r="N2329" t="str">
        <f>IF(tbl_analysis_tickets[[#This Row],[first_response_minutes]]&gt;tbl_analysis_tickets[[#This Row],[First Response SLA Minutes]],"Breached","Within SLA")</f>
        <v>Within SLA</v>
      </c>
      <c r="O2329" t="str" cm="1">
        <f t="array" ref="O2329">_xlfn.IFS(
tbl_analysis_tickets[[#This Row],[agent_experience_years]]&lt;=2,"Junior",
tbl_analysis_tickets[[#This Row],[agent_experience_years]]&lt;=5,"Mid-Level",
tbl_analysis_tickets[[#This Row],[agent_experience_years]]&lt;=8,"Senior",
tbl_analysis_tickets[[#This Row],[agent_experience_years]]&gt;8,"Expert"
)</f>
        <v>Junior</v>
      </c>
      <c r="P2329" cm="1">
        <f t="array" ref="P2329">_xlfn.SWITCH(tbl_analysis_tickets[[#This Row],[customer_satisfaction]],
"Low",1,
"Medium",2,
"High",3
)</f>
        <v>2</v>
      </c>
      <c r="Q2329">
        <f>IF(tbl_analysis_tickets[[#This Row],[reopened]]="Yes",1,0)</f>
        <v>0</v>
      </c>
      <c r="R2329" t="str" cm="1">
        <f t="array" ref="R2329">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2329" t="str" cm="1">
        <f t="array" ref="S232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329" t="str">
        <f>TEXT(tbl_analysis_tickets[[#This Row],[created_date]],"mmm-yyyy")</f>
        <v>Jan-2024</v>
      </c>
      <c r="U2329" t="str">
        <f>TEXT(tbl_analysis_tickets[[#This Row],[created_date]],"dddd")</f>
        <v>Saturday</v>
      </c>
      <c r="V2329" cm="1">
        <f t="array" ref="V2329">_xlfn.SWITCH(tbl_analysis_tickets[[#This Row],[priority]],
"Urgent",1,
"High",2,
"Medium",3,
"Low",4
)</f>
        <v>3</v>
      </c>
    </row>
    <row r="2330" spans="1:22" x14ac:dyDescent="0.25">
      <c r="A2330">
        <v>2329</v>
      </c>
      <c r="B2330" s="1">
        <v>45630</v>
      </c>
      <c r="C2330" t="s">
        <v>10</v>
      </c>
      <c r="D2330" t="s">
        <v>17</v>
      </c>
      <c r="E2330">
        <v>38</v>
      </c>
      <c r="F2330">
        <v>46</v>
      </c>
      <c r="G2330">
        <v>8</v>
      </c>
      <c r="H2330" t="s">
        <v>18</v>
      </c>
      <c r="I2330" t="s">
        <v>19</v>
      </c>
      <c r="J2330" t="s">
        <v>11</v>
      </c>
      <c r="K2330">
        <f>_xlfn.XLOOKUP(tbl_analysis_tickets[[#This Row],[priority]],tbl_sla[priority],tbl_sla[Resolution SLA Hours])</f>
        <v>8</v>
      </c>
      <c r="L2330">
        <f>_xlfn.XLOOKUP(tbl_analysis_tickets[[#This Row],[priority]],tbl_sla[priority],tbl_sla[First Response SLA Minutes])</f>
        <v>30</v>
      </c>
      <c r="M2330" t="str">
        <f>IF(tbl_analysis_tickets[[#This Row],[resolution_time_hours]]&gt;tbl_analysis_tickets[[#This Row],[Resolution SLA Hours]],"Breached","Within SLA")</f>
        <v>Breached</v>
      </c>
      <c r="N2330" t="str">
        <f>IF(tbl_analysis_tickets[[#This Row],[first_response_minutes]]&gt;tbl_analysis_tickets[[#This Row],[First Response SLA Minutes]],"Breached","Within SLA")</f>
        <v>Breached</v>
      </c>
      <c r="O2330" t="str" cm="1">
        <f t="array" ref="O2330">_xlfn.IFS(
tbl_analysis_tickets[[#This Row],[agent_experience_years]]&lt;=2,"Junior",
tbl_analysis_tickets[[#This Row],[agent_experience_years]]&lt;=5,"Mid-Level",
tbl_analysis_tickets[[#This Row],[agent_experience_years]]&lt;=8,"Senior",
tbl_analysis_tickets[[#This Row],[agent_experience_years]]&gt;8,"Expert"
)</f>
        <v>Senior</v>
      </c>
      <c r="P2330" cm="1">
        <f t="array" ref="P2330">_xlfn.SWITCH(tbl_analysis_tickets[[#This Row],[customer_satisfaction]],
"Low",1,
"Medium",2,
"High",3
)</f>
        <v>1</v>
      </c>
      <c r="Q2330">
        <f>IF(tbl_analysis_tickets[[#This Row],[reopened]]="Yes",1,0)</f>
        <v>0</v>
      </c>
      <c r="R2330" t="str" cm="1">
        <f t="array" ref="R2330">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330" t="str" cm="1">
        <f t="array" ref="S233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330" t="str">
        <f>TEXT(tbl_analysis_tickets[[#This Row],[created_date]],"mmm-yyyy")</f>
        <v>Dec-2024</v>
      </c>
      <c r="U2330" t="str">
        <f>TEXT(tbl_analysis_tickets[[#This Row],[created_date]],"dddd")</f>
        <v>Wednesday</v>
      </c>
      <c r="V2330" cm="1">
        <f t="array" ref="V2330">_xlfn.SWITCH(tbl_analysis_tickets[[#This Row],[priority]],
"Urgent",1,
"High",2,
"Medium",3,
"Low",4
)</f>
        <v>1</v>
      </c>
    </row>
    <row r="2331" spans="1:22" x14ac:dyDescent="0.25">
      <c r="A2331">
        <v>2330</v>
      </c>
      <c r="B2331" s="1">
        <v>45436</v>
      </c>
      <c r="C2331" t="s">
        <v>14</v>
      </c>
      <c r="D2331" t="s">
        <v>17</v>
      </c>
      <c r="E2331">
        <v>153</v>
      </c>
      <c r="F2331">
        <v>45</v>
      </c>
      <c r="G2331">
        <v>9.8000000000000007</v>
      </c>
      <c r="H2331" t="s">
        <v>18</v>
      </c>
      <c r="I2331" t="s">
        <v>19</v>
      </c>
      <c r="J2331" t="s">
        <v>11</v>
      </c>
      <c r="K2331">
        <f>_xlfn.XLOOKUP(tbl_analysis_tickets[[#This Row],[priority]],tbl_sla[priority],tbl_sla[Resolution SLA Hours])</f>
        <v>8</v>
      </c>
      <c r="L2331">
        <f>_xlfn.XLOOKUP(tbl_analysis_tickets[[#This Row],[priority]],tbl_sla[priority],tbl_sla[First Response SLA Minutes])</f>
        <v>30</v>
      </c>
      <c r="M2331" t="str">
        <f>IF(tbl_analysis_tickets[[#This Row],[resolution_time_hours]]&gt;tbl_analysis_tickets[[#This Row],[Resolution SLA Hours]],"Breached","Within SLA")</f>
        <v>Breached</v>
      </c>
      <c r="N2331" t="str">
        <f>IF(tbl_analysis_tickets[[#This Row],[first_response_minutes]]&gt;tbl_analysis_tickets[[#This Row],[First Response SLA Minutes]],"Breached","Within SLA")</f>
        <v>Breached</v>
      </c>
      <c r="O2331" t="str" cm="1">
        <f t="array" ref="O2331">_xlfn.IFS(
tbl_analysis_tickets[[#This Row],[agent_experience_years]]&lt;=2,"Junior",
tbl_analysis_tickets[[#This Row],[agent_experience_years]]&lt;=5,"Mid-Level",
tbl_analysis_tickets[[#This Row],[agent_experience_years]]&lt;=8,"Senior",
tbl_analysis_tickets[[#This Row],[agent_experience_years]]&gt;8,"Expert"
)</f>
        <v>Expert</v>
      </c>
      <c r="P2331" cm="1">
        <f t="array" ref="P2331">_xlfn.SWITCH(tbl_analysis_tickets[[#This Row],[customer_satisfaction]],
"Low",1,
"Medium",2,
"High",3
)</f>
        <v>1</v>
      </c>
      <c r="Q2331">
        <f>IF(tbl_analysis_tickets[[#This Row],[reopened]]="Yes",1,0)</f>
        <v>0</v>
      </c>
      <c r="R2331" t="str" cm="1">
        <f t="array" ref="R2331">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331" t="str" cm="1">
        <f t="array" ref="S233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331" t="str">
        <f>TEXT(tbl_analysis_tickets[[#This Row],[created_date]],"mmm-yyyy")</f>
        <v>May-2024</v>
      </c>
      <c r="U2331" t="str">
        <f>TEXT(tbl_analysis_tickets[[#This Row],[created_date]],"dddd")</f>
        <v>Friday</v>
      </c>
      <c r="V2331" cm="1">
        <f t="array" ref="V2331">_xlfn.SWITCH(tbl_analysis_tickets[[#This Row],[priority]],
"Urgent",1,
"High",2,
"Medium",3,
"Low",4
)</f>
        <v>1</v>
      </c>
    </row>
    <row r="2332" spans="1:22" x14ac:dyDescent="0.25">
      <c r="A2332">
        <v>2331</v>
      </c>
      <c r="B2332" s="1">
        <v>45413</v>
      </c>
      <c r="C2332" t="s">
        <v>14</v>
      </c>
      <c r="D2332" t="s">
        <v>15</v>
      </c>
      <c r="E2332">
        <v>238</v>
      </c>
      <c r="F2332">
        <v>18</v>
      </c>
      <c r="G2332">
        <v>8.4</v>
      </c>
      <c r="H2332" t="s">
        <v>12</v>
      </c>
      <c r="I2332" t="s">
        <v>16</v>
      </c>
      <c r="J2332" t="s">
        <v>11</v>
      </c>
      <c r="K2332">
        <f>_xlfn.XLOOKUP(tbl_analysis_tickets[[#This Row],[priority]],tbl_sla[priority],tbl_sla[Resolution SLA Hours])</f>
        <v>48</v>
      </c>
      <c r="L2332">
        <f>_xlfn.XLOOKUP(tbl_analysis_tickets[[#This Row],[priority]],tbl_sla[priority],tbl_sla[First Response SLA Minutes])</f>
        <v>120</v>
      </c>
      <c r="M2332" t="str">
        <f>IF(tbl_analysis_tickets[[#This Row],[resolution_time_hours]]&gt;tbl_analysis_tickets[[#This Row],[Resolution SLA Hours]],"Breached","Within SLA")</f>
        <v>Within SLA</v>
      </c>
      <c r="N2332" t="str">
        <f>IF(tbl_analysis_tickets[[#This Row],[first_response_minutes]]&gt;tbl_analysis_tickets[[#This Row],[First Response SLA Minutes]],"Breached","Within SLA")</f>
        <v>Breached</v>
      </c>
      <c r="O2332" t="str" cm="1">
        <f t="array" ref="O2332">_xlfn.IFS(
tbl_analysis_tickets[[#This Row],[agent_experience_years]]&lt;=2,"Junior",
tbl_analysis_tickets[[#This Row],[agent_experience_years]]&lt;=5,"Mid-Level",
tbl_analysis_tickets[[#This Row],[agent_experience_years]]&lt;=8,"Senior",
tbl_analysis_tickets[[#This Row],[agent_experience_years]]&gt;8,"Expert"
)</f>
        <v>Expert</v>
      </c>
      <c r="P2332" cm="1">
        <f t="array" ref="P2332">_xlfn.SWITCH(tbl_analysis_tickets[[#This Row],[customer_satisfaction]],
"Low",1,
"Medium",2,
"High",3
)</f>
        <v>1</v>
      </c>
      <c r="Q2332">
        <f>IF(tbl_analysis_tickets[[#This Row],[reopened]]="Yes",1,0)</f>
        <v>1</v>
      </c>
      <c r="R2332" t="str" cm="1">
        <f t="array" ref="R2332">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332" t="str" cm="1">
        <f t="array" ref="S233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332" t="str">
        <f>TEXT(tbl_analysis_tickets[[#This Row],[created_date]],"mmm-yyyy")</f>
        <v>May-2024</v>
      </c>
      <c r="U2332" t="str">
        <f>TEXT(tbl_analysis_tickets[[#This Row],[created_date]],"dddd")</f>
        <v>Wednesday</v>
      </c>
      <c r="V2332" cm="1">
        <f t="array" ref="V2332">_xlfn.SWITCH(tbl_analysis_tickets[[#This Row],[priority]],
"Urgent",1,
"High",2,
"Medium",3,
"Low",4
)</f>
        <v>3</v>
      </c>
    </row>
    <row r="2333" spans="1:22" x14ac:dyDescent="0.25">
      <c r="A2333">
        <v>2332</v>
      </c>
      <c r="B2333" s="1">
        <v>45366</v>
      </c>
      <c r="C2333" t="s">
        <v>21</v>
      </c>
      <c r="D2333" t="s">
        <v>11</v>
      </c>
      <c r="E2333">
        <v>176</v>
      </c>
      <c r="F2333">
        <v>52</v>
      </c>
      <c r="G2333">
        <v>6.9</v>
      </c>
      <c r="H2333" t="s">
        <v>12</v>
      </c>
      <c r="I2333" t="s">
        <v>19</v>
      </c>
      <c r="J2333" t="s">
        <v>11</v>
      </c>
      <c r="K2333">
        <f>_xlfn.XLOOKUP(tbl_analysis_tickets[[#This Row],[priority]],tbl_sla[priority],tbl_sla[Resolution SLA Hours])</f>
        <v>72</v>
      </c>
      <c r="L2333">
        <f>_xlfn.XLOOKUP(tbl_analysis_tickets[[#This Row],[priority]],tbl_sla[priority],tbl_sla[First Response SLA Minutes])</f>
        <v>240</v>
      </c>
      <c r="M2333" t="str">
        <f>IF(tbl_analysis_tickets[[#This Row],[resolution_time_hours]]&gt;tbl_analysis_tickets[[#This Row],[Resolution SLA Hours]],"Breached","Within SLA")</f>
        <v>Within SLA</v>
      </c>
      <c r="N2333" t="str">
        <f>IF(tbl_analysis_tickets[[#This Row],[first_response_minutes]]&gt;tbl_analysis_tickets[[#This Row],[First Response SLA Minutes]],"Breached","Within SLA")</f>
        <v>Within SLA</v>
      </c>
      <c r="O2333" t="str" cm="1">
        <f t="array" ref="O2333">_xlfn.IFS(
tbl_analysis_tickets[[#This Row],[agent_experience_years]]&lt;=2,"Junior",
tbl_analysis_tickets[[#This Row],[agent_experience_years]]&lt;=5,"Mid-Level",
tbl_analysis_tickets[[#This Row],[agent_experience_years]]&lt;=8,"Senior",
tbl_analysis_tickets[[#This Row],[agent_experience_years]]&gt;8,"Expert"
)</f>
        <v>Senior</v>
      </c>
      <c r="P2333" cm="1">
        <f t="array" ref="P2333">_xlfn.SWITCH(tbl_analysis_tickets[[#This Row],[customer_satisfaction]],
"Low",1,
"Medium",2,
"High",3
)</f>
        <v>1</v>
      </c>
      <c r="Q2333">
        <f>IF(tbl_analysis_tickets[[#This Row],[reopened]]="Yes",1,0)</f>
        <v>1</v>
      </c>
      <c r="R2333" t="str" cm="1">
        <f t="array" ref="R2333">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333" t="str" cm="1">
        <f t="array" ref="S233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333" t="str">
        <f>TEXT(tbl_analysis_tickets[[#This Row],[created_date]],"mmm-yyyy")</f>
        <v>Mar-2024</v>
      </c>
      <c r="U2333" t="str">
        <f>TEXT(tbl_analysis_tickets[[#This Row],[created_date]],"dddd")</f>
        <v>Friday</v>
      </c>
      <c r="V2333" cm="1">
        <f t="array" ref="V2333">_xlfn.SWITCH(tbl_analysis_tickets[[#This Row],[priority]],
"Urgent",1,
"High",2,
"Medium",3,
"Low",4
)</f>
        <v>4</v>
      </c>
    </row>
    <row r="2334" spans="1:22" x14ac:dyDescent="0.25">
      <c r="A2334">
        <v>2333</v>
      </c>
      <c r="B2334" s="1">
        <v>45395</v>
      </c>
      <c r="C2334" t="s">
        <v>22</v>
      </c>
      <c r="D2334" t="s">
        <v>17</v>
      </c>
      <c r="E2334">
        <v>198</v>
      </c>
      <c r="F2334">
        <v>61</v>
      </c>
      <c r="G2334">
        <v>3.2</v>
      </c>
      <c r="H2334" t="s">
        <v>18</v>
      </c>
      <c r="I2334" t="s">
        <v>16</v>
      </c>
      <c r="J2334" t="s">
        <v>11</v>
      </c>
      <c r="K2334">
        <f>_xlfn.XLOOKUP(tbl_analysis_tickets[[#This Row],[priority]],tbl_sla[priority],tbl_sla[Resolution SLA Hours])</f>
        <v>8</v>
      </c>
      <c r="L2334">
        <f>_xlfn.XLOOKUP(tbl_analysis_tickets[[#This Row],[priority]],tbl_sla[priority],tbl_sla[First Response SLA Minutes])</f>
        <v>30</v>
      </c>
      <c r="M2334" t="str">
        <f>IF(tbl_analysis_tickets[[#This Row],[resolution_time_hours]]&gt;tbl_analysis_tickets[[#This Row],[Resolution SLA Hours]],"Breached","Within SLA")</f>
        <v>Breached</v>
      </c>
      <c r="N2334" t="str">
        <f>IF(tbl_analysis_tickets[[#This Row],[first_response_minutes]]&gt;tbl_analysis_tickets[[#This Row],[First Response SLA Minutes]],"Breached","Within SLA")</f>
        <v>Breached</v>
      </c>
      <c r="O2334" t="str" cm="1">
        <f t="array" ref="O2334">_xlfn.IFS(
tbl_analysis_tickets[[#This Row],[agent_experience_years]]&lt;=2,"Junior",
tbl_analysis_tickets[[#This Row],[agent_experience_years]]&lt;=5,"Mid-Level",
tbl_analysis_tickets[[#This Row],[agent_experience_years]]&lt;=8,"Senior",
tbl_analysis_tickets[[#This Row],[agent_experience_years]]&gt;8,"Expert"
)</f>
        <v>Mid-Level</v>
      </c>
      <c r="P2334" cm="1">
        <f t="array" ref="P2334">_xlfn.SWITCH(tbl_analysis_tickets[[#This Row],[customer_satisfaction]],
"Low",1,
"Medium",2,
"High",3
)</f>
        <v>1</v>
      </c>
      <c r="Q2334">
        <f>IF(tbl_analysis_tickets[[#This Row],[reopened]]="Yes",1,0)</f>
        <v>0</v>
      </c>
      <c r="R2334" t="str" cm="1">
        <f t="array" ref="R2334">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334" t="str" cm="1">
        <f t="array" ref="S233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334" t="str">
        <f>TEXT(tbl_analysis_tickets[[#This Row],[created_date]],"mmm-yyyy")</f>
        <v>Apr-2024</v>
      </c>
      <c r="U2334" t="str">
        <f>TEXT(tbl_analysis_tickets[[#This Row],[created_date]],"dddd")</f>
        <v>Saturday</v>
      </c>
      <c r="V2334" cm="1">
        <f t="array" ref="V2334">_xlfn.SWITCH(tbl_analysis_tickets[[#This Row],[priority]],
"Urgent",1,
"High",2,
"Medium",3,
"Low",4
)</f>
        <v>1</v>
      </c>
    </row>
    <row r="2335" spans="1:22" x14ac:dyDescent="0.25">
      <c r="A2335">
        <v>2334</v>
      </c>
      <c r="B2335" s="1">
        <v>45444</v>
      </c>
      <c r="C2335" t="s">
        <v>23</v>
      </c>
      <c r="D2335" t="s">
        <v>17</v>
      </c>
      <c r="E2335">
        <v>57</v>
      </c>
      <c r="F2335">
        <v>63</v>
      </c>
      <c r="G2335">
        <v>8.1</v>
      </c>
      <c r="H2335" t="s">
        <v>12</v>
      </c>
      <c r="I2335" t="s">
        <v>19</v>
      </c>
      <c r="J2335" t="s">
        <v>11</v>
      </c>
      <c r="K2335">
        <f>_xlfn.XLOOKUP(tbl_analysis_tickets[[#This Row],[priority]],tbl_sla[priority],tbl_sla[Resolution SLA Hours])</f>
        <v>8</v>
      </c>
      <c r="L2335">
        <f>_xlfn.XLOOKUP(tbl_analysis_tickets[[#This Row],[priority]],tbl_sla[priority],tbl_sla[First Response SLA Minutes])</f>
        <v>30</v>
      </c>
      <c r="M2335" t="str">
        <f>IF(tbl_analysis_tickets[[#This Row],[resolution_time_hours]]&gt;tbl_analysis_tickets[[#This Row],[Resolution SLA Hours]],"Breached","Within SLA")</f>
        <v>Breached</v>
      </c>
      <c r="N2335" t="str">
        <f>IF(tbl_analysis_tickets[[#This Row],[first_response_minutes]]&gt;tbl_analysis_tickets[[#This Row],[First Response SLA Minutes]],"Breached","Within SLA")</f>
        <v>Breached</v>
      </c>
      <c r="O2335" t="str" cm="1">
        <f t="array" ref="O2335">_xlfn.IFS(
tbl_analysis_tickets[[#This Row],[agent_experience_years]]&lt;=2,"Junior",
tbl_analysis_tickets[[#This Row],[agent_experience_years]]&lt;=5,"Mid-Level",
tbl_analysis_tickets[[#This Row],[agent_experience_years]]&lt;=8,"Senior",
tbl_analysis_tickets[[#This Row],[agent_experience_years]]&gt;8,"Expert"
)</f>
        <v>Expert</v>
      </c>
      <c r="P2335" cm="1">
        <f t="array" ref="P2335">_xlfn.SWITCH(tbl_analysis_tickets[[#This Row],[customer_satisfaction]],
"Low",1,
"Medium",2,
"High",3
)</f>
        <v>1</v>
      </c>
      <c r="Q2335">
        <f>IF(tbl_analysis_tickets[[#This Row],[reopened]]="Yes",1,0)</f>
        <v>1</v>
      </c>
      <c r="R2335" t="str" cm="1">
        <f t="array" ref="R2335">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335" t="str" cm="1">
        <f t="array" ref="S233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335" t="str">
        <f>TEXT(tbl_analysis_tickets[[#This Row],[created_date]],"mmm-yyyy")</f>
        <v>Jun-2024</v>
      </c>
      <c r="U2335" t="str">
        <f>TEXT(tbl_analysis_tickets[[#This Row],[created_date]],"dddd")</f>
        <v>Saturday</v>
      </c>
      <c r="V2335" cm="1">
        <f t="array" ref="V2335">_xlfn.SWITCH(tbl_analysis_tickets[[#This Row],[priority]],
"Urgent",1,
"High",2,
"Medium",3,
"Low",4
)</f>
        <v>1</v>
      </c>
    </row>
    <row r="2336" spans="1:22" x14ac:dyDescent="0.25">
      <c r="A2336">
        <v>2335</v>
      </c>
      <c r="B2336" s="1">
        <v>45627</v>
      </c>
      <c r="C2336" t="s">
        <v>23</v>
      </c>
      <c r="D2336" t="s">
        <v>15</v>
      </c>
      <c r="E2336">
        <v>69</v>
      </c>
      <c r="F2336">
        <v>46</v>
      </c>
      <c r="G2336">
        <v>8.4</v>
      </c>
      <c r="H2336" t="s">
        <v>18</v>
      </c>
      <c r="I2336" t="s">
        <v>19</v>
      </c>
      <c r="J2336" t="s">
        <v>15</v>
      </c>
      <c r="K2336">
        <f>_xlfn.XLOOKUP(tbl_analysis_tickets[[#This Row],[priority]],tbl_sla[priority],tbl_sla[Resolution SLA Hours])</f>
        <v>48</v>
      </c>
      <c r="L2336">
        <f>_xlfn.XLOOKUP(tbl_analysis_tickets[[#This Row],[priority]],tbl_sla[priority],tbl_sla[First Response SLA Minutes])</f>
        <v>120</v>
      </c>
      <c r="M2336" t="str">
        <f>IF(tbl_analysis_tickets[[#This Row],[resolution_time_hours]]&gt;tbl_analysis_tickets[[#This Row],[Resolution SLA Hours]],"Breached","Within SLA")</f>
        <v>Within SLA</v>
      </c>
      <c r="N2336" t="str">
        <f>IF(tbl_analysis_tickets[[#This Row],[first_response_minutes]]&gt;tbl_analysis_tickets[[#This Row],[First Response SLA Minutes]],"Breached","Within SLA")</f>
        <v>Within SLA</v>
      </c>
      <c r="O2336" t="str" cm="1">
        <f t="array" ref="O2336">_xlfn.IFS(
tbl_analysis_tickets[[#This Row],[agent_experience_years]]&lt;=2,"Junior",
tbl_analysis_tickets[[#This Row],[agent_experience_years]]&lt;=5,"Mid-Level",
tbl_analysis_tickets[[#This Row],[agent_experience_years]]&lt;=8,"Senior",
tbl_analysis_tickets[[#This Row],[agent_experience_years]]&gt;8,"Expert"
)</f>
        <v>Expert</v>
      </c>
      <c r="P2336" cm="1">
        <f t="array" ref="P2336">_xlfn.SWITCH(tbl_analysis_tickets[[#This Row],[customer_satisfaction]],
"Low",1,
"Medium",2,
"High",3
)</f>
        <v>2</v>
      </c>
      <c r="Q2336">
        <f>IF(tbl_analysis_tickets[[#This Row],[reopened]]="Yes",1,0)</f>
        <v>0</v>
      </c>
      <c r="R2336" t="str" cm="1">
        <f t="array" ref="R2336">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336" t="str" cm="1">
        <f t="array" ref="S233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336" t="str">
        <f>TEXT(tbl_analysis_tickets[[#This Row],[created_date]],"mmm-yyyy")</f>
        <v>Dec-2024</v>
      </c>
      <c r="U2336" t="str">
        <f>TEXT(tbl_analysis_tickets[[#This Row],[created_date]],"dddd")</f>
        <v>Sunday</v>
      </c>
      <c r="V2336" cm="1">
        <f t="array" ref="V2336">_xlfn.SWITCH(tbl_analysis_tickets[[#This Row],[priority]],
"Urgent",1,
"High",2,
"Medium",3,
"Low",4
)</f>
        <v>3</v>
      </c>
    </row>
    <row r="2337" spans="1:22" x14ac:dyDescent="0.25">
      <c r="A2337">
        <v>2336</v>
      </c>
      <c r="B2337" s="1">
        <v>45625</v>
      </c>
      <c r="C2337" t="s">
        <v>23</v>
      </c>
      <c r="D2337" t="s">
        <v>11</v>
      </c>
      <c r="E2337">
        <v>85</v>
      </c>
      <c r="F2337">
        <v>41</v>
      </c>
      <c r="G2337">
        <v>0.6</v>
      </c>
      <c r="H2337" t="s">
        <v>18</v>
      </c>
      <c r="I2337" t="s">
        <v>13</v>
      </c>
      <c r="J2337" t="s">
        <v>11</v>
      </c>
      <c r="K2337">
        <f>_xlfn.XLOOKUP(tbl_analysis_tickets[[#This Row],[priority]],tbl_sla[priority],tbl_sla[Resolution SLA Hours])</f>
        <v>72</v>
      </c>
      <c r="L2337">
        <f>_xlfn.XLOOKUP(tbl_analysis_tickets[[#This Row],[priority]],tbl_sla[priority],tbl_sla[First Response SLA Minutes])</f>
        <v>240</v>
      </c>
      <c r="M2337" t="str">
        <f>IF(tbl_analysis_tickets[[#This Row],[resolution_time_hours]]&gt;tbl_analysis_tickets[[#This Row],[Resolution SLA Hours]],"Breached","Within SLA")</f>
        <v>Within SLA</v>
      </c>
      <c r="N2337" t="str">
        <f>IF(tbl_analysis_tickets[[#This Row],[first_response_minutes]]&gt;tbl_analysis_tickets[[#This Row],[First Response SLA Minutes]],"Breached","Within SLA")</f>
        <v>Within SLA</v>
      </c>
      <c r="O2337" t="str" cm="1">
        <f t="array" ref="O2337">_xlfn.IFS(
tbl_analysis_tickets[[#This Row],[agent_experience_years]]&lt;=2,"Junior",
tbl_analysis_tickets[[#This Row],[agent_experience_years]]&lt;=5,"Mid-Level",
tbl_analysis_tickets[[#This Row],[agent_experience_years]]&lt;=8,"Senior",
tbl_analysis_tickets[[#This Row],[agent_experience_years]]&gt;8,"Expert"
)</f>
        <v>Junior</v>
      </c>
      <c r="P2337" cm="1">
        <f t="array" ref="P2337">_xlfn.SWITCH(tbl_analysis_tickets[[#This Row],[customer_satisfaction]],
"Low",1,
"Medium",2,
"High",3
)</f>
        <v>1</v>
      </c>
      <c r="Q2337">
        <f>IF(tbl_analysis_tickets[[#This Row],[reopened]]="Yes",1,0)</f>
        <v>0</v>
      </c>
      <c r="R2337" t="str" cm="1">
        <f t="array" ref="R2337">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337" t="str" cm="1">
        <f t="array" ref="S233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337" t="str">
        <f>TEXT(tbl_analysis_tickets[[#This Row],[created_date]],"mmm-yyyy")</f>
        <v>Nov-2024</v>
      </c>
      <c r="U2337" t="str">
        <f>TEXT(tbl_analysis_tickets[[#This Row],[created_date]],"dddd")</f>
        <v>Friday</v>
      </c>
      <c r="V2337" cm="1">
        <f t="array" ref="V2337">_xlfn.SWITCH(tbl_analysis_tickets[[#This Row],[priority]],
"Urgent",1,
"High",2,
"Medium",3,
"Low",4
)</f>
        <v>4</v>
      </c>
    </row>
    <row r="2338" spans="1:22" x14ac:dyDescent="0.25">
      <c r="A2338">
        <v>2337</v>
      </c>
      <c r="B2338" s="1">
        <v>45611</v>
      </c>
      <c r="C2338" t="s">
        <v>14</v>
      </c>
      <c r="D2338" t="s">
        <v>17</v>
      </c>
      <c r="E2338">
        <v>215</v>
      </c>
      <c r="F2338">
        <v>27</v>
      </c>
      <c r="G2338">
        <v>2.8</v>
      </c>
      <c r="H2338" t="s">
        <v>12</v>
      </c>
      <c r="I2338" t="s">
        <v>16</v>
      </c>
      <c r="J2338" t="s">
        <v>11</v>
      </c>
      <c r="K2338">
        <f>_xlfn.XLOOKUP(tbl_analysis_tickets[[#This Row],[priority]],tbl_sla[priority],tbl_sla[Resolution SLA Hours])</f>
        <v>8</v>
      </c>
      <c r="L2338">
        <f>_xlfn.XLOOKUP(tbl_analysis_tickets[[#This Row],[priority]],tbl_sla[priority],tbl_sla[First Response SLA Minutes])</f>
        <v>30</v>
      </c>
      <c r="M2338" t="str">
        <f>IF(tbl_analysis_tickets[[#This Row],[resolution_time_hours]]&gt;tbl_analysis_tickets[[#This Row],[Resolution SLA Hours]],"Breached","Within SLA")</f>
        <v>Breached</v>
      </c>
      <c r="N2338" t="str">
        <f>IF(tbl_analysis_tickets[[#This Row],[first_response_minutes]]&gt;tbl_analysis_tickets[[#This Row],[First Response SLA Minutes]],"Breached","Within SLA")</f>
        <v>Breached</v>
      </c>
      <c r="O2338" t="str" cm="1">
        <f t="array" ref="O2338">_xlfn.IFS(
tbl_analysis_tickets[[#This Row],[agent_experience_years]]&lt;=2,"Junior",
tbl_analysis_tickets[[#This Row],[agent_experience_years]]&lt;=5,"Mid-Level",
tbl_analysis_tickets[[#This Row],[agent_experience_years]]&lt;=8,"Senior",
tbl_analysis_tickets[[#This Row],[agent_experience_years]]&gt;8,"Expert"
)</f>
        <v>Mid-Level</v>
      </c>
      <c r="P2338" cm="1">
        <f t="array" ref="P2338">_xlfn.SWITCH(tbl_analysis_tickets[[#This Row],[customer_satisfaction]],
"Low",1,
"Medium",2,
"High",3
)</f>
        <v>1</v>
      </c>
      <c r="Q2338">
        <f>IF(tbl_analysis_tickets[[#This Row],[reopened]]="Yes",1,0)</f>
        <v>1</v>
      </c>
      <c r="R2338" t="str" cm="1">
        <f t="array" ref="R2338">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338" t="str" cm="1">
        <f t="array" ref="S233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338" t="str">
        <f>TEXT(tbl_analysis_tickets[[#This Row],[created_date]],"mmm-yyyy")</f>
        <v>Nov-2024</v>
      </c>
      <c r="U2338" t="str">
        <f>TEXT(tbl_analysis_tickets[[#This Row],[created_date]],"dddd")</f>
        <v>Friday</v>
      </c>
      <c r="V2338" cm="1">
        <f t="array" ref="V2338">_xlfn.SWITCH(tbl_analysis_tickets[[#This Row],[priority]],
"Urgent",1,
"High",2,
"Medium",3,
"Low",4
)</f>
        <v>1</v>
      </c>
    </row>
    <row r="2339" spans="1:22" x14ac:dyDescent="0.25">
      <c r="A2339">
        <v>2338</v>
      </c>
      <c r="B2339" s="1">
        <v>45553</v>
      </c>
      <c r="C2339" t="s">
        <v>23</v>
      </c>
      <c r="D2339" t="s">
        <v>11</v>
      </c>
      <c r="E2339">
        <v>130</v>
      </c>
      <c r="F2339">
        <v>37</v>
      </c>
      <c r="G2339">
        <v>6.7</v>
      </c>
      <c r="H2339" t="s">
        <v>18</v>
      </c>
      <c r="I2339" t="s">
        <v>19</v>
      </c>
      <c r="J2339" t="s">
        <v>15</v>
      </c>
      <c r="K2339">
        <f>_xlfn.XLOOKUP(tbl_analysis_tickets[[#This Row],[priority]],tbl_sla[priority],tbl_sla[Resolution SLA Hours])</f>
        <v>72</v>
      </c>
      <c r="L2339">
        <f>_xlfn.XLOOKUP(tbl_analysis_tickets[[#This Row],[priority]],tbl_sla[priority],tbl_sla[First Response SLA Minutes])</f>
        <v>240</v>
      </c>
      <c r="M2339" t="str">
        <f>IF(tbl_analysis_tickets[[#This Row],[resolution_time_hours]]&gt;tbl_analysis_tickets[[#This Row],[Resolution SLA Hours]],"Breached","Within SLA")</f>
        <v>Within SLA</v>
      </c>
      <c r="N2339" t="str">
        <f>IF(tbl_analysis_tickets[[#This Row],[first_response_minutes]]&gt;tbl_analysis_tickets[[#This Row],[First Response SLA Minutes]],"Breached","Within SLA")</f>
        <v>Within SLA</v>
      </c>
      <c r="O2339" t="str" cm="1">
        <f t="array" ref="O2339">_xlfn.IFS(
tbl_analysis_tickets[[#This Row],[agent_experience_years]]&lt;=2,"Junior",
tbl_analysis_tickets[[#This Row],[agent_experience_years]]&lt;=5,"Mid-Level",
tbl_analysis_tickets[[#This Row],[agent_experience_years]]&lt;=8,"Senior",
tbl_analysis_tickets[[#This Row],[agent_experience_years]]&gt;8,"Expert"
)</f>
        <v>Senior</v>
      </c>
      <c r="P2339" cm="1">
        <f t="array" ref="P2339">_xlfn.SWITCH(tbl_analysis_tickets[[#This Row],[customer_satisfaction]],
"Low",1,
"Medium",2,
"High",3
)</f>
        <v>2</v>
      </c>
      <c r="Q2339">
        <f>IF(tbl_analysis_tickets[[#This Row],[reopened]]="Yes",1,0)</f>
        <v>0</v>
      </c>
      <c r="R2339" t="str" cm="1">
        <f t="array" ref="R2339">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339" t="str" cm="1">
        <f t="array" ref="S233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339" t="str">
        <f>TEXT(tbl_analysis_tickets[[#This Row],[created_date]],"mmm-yyyy")</f>
        <v>Sep-2024</v>
      </c>
      <c r="U2339" t="str">
        <f>TEXT(tbl_analysis_tickets[[#This Row],[created_date]],"dddd")</f>
        <v>Wednesday</v>
      </c>
      <c r="V2339" cm="1">
        <f t="array" ref="V2339">_xlfn.SWITCH(tbl_analysis_tickets[[#This Row],[priority]],
"Urgent",1,
"High",2,
"Medium",3,
"Low",4
)</f>
        <v>4</v>
      </c>
    </row>
    <row r="2340" spans="1:22" x14ac:dyDescent="0.25">
      <c r="A2340">
        <v>2339</v>
      </c>
      <c r="B2340" s="1">
        <v>45393</v>
      </c>
      <c r="C2340" t="s">
        <v>22</v>
      </c>
      <c r="D2340" t="s">
        <v>20</v>
      </c>
      <c r="E2340">
        <v>33</v>
      </c>
      <c r="F2340">
        <v>15</v>
      </c>
      <c r="G2340">
        <v>6</v>
      </c>
      <c r="H2340" t="s">
        <v>12</v>
      </c>
      <c r="I2340" t="s">
        <v>16</v>
      </c>
      <c r="J2340" t="s">
        <v>11</v>
      </c>
      <c r="K2340">
        <f>_xlfn.XLOOKUP(tbl_analysis_tickets[[#This Row],[priority]],tbl_sla[priority],tbl_sla[Resolution SLA Hours])</f>
        <v>24</v>
      </c>
      <c r="L2340">
        <f>_xlfn.XLOOKUP(tbl_analysis_tickets[[#This Row],[priority]],tbl_sla[priority],tbl_sla[First Response SLA Minutes])</f>
        <v>60</v>
      </c>
      <c r="M2340" t="str">
        <f>IF(tbl_analysis_tickets[[#This Row],[resolution_time_hours]]&gt;tbl_analysis_tickets[[#This Row],[Resolution SLA Hours]],"Breached","Within SLA")</f>
        <v>Within SLA</v>
      </c>
      <c r="N2340" t="str">
        <f>IF(tbl_analysis_tickets[[#This Row],[first_response_minutes]]&gt;tbl_analysis_tickets[[#This Row],[First Response SLA Minutes]],"Breached","Within SLA")</f>
        <v>Within SLA</v>
      </c>
      <c r="O2340" t="str" cm="1">
        <f t="array" ref="O2340">_xlfn.IFS(
tbl_analysis_tickets[[#This Row],[agent_experience_years]]&lt;=2,"Junior",
tbl_analysis_tickets[[#This Row],[agent_experience_years]]&lt;=5,"Mid-Level",
tbl_analysis_tickets[[#This Row],[agent_experience_years]]&lt;=8,"Senior",
tbl_analysis_tickets[[#This Row],[agent_experience_years]]&gt;8,"Expert"
)</f>
        <v>Senior</v>
      </c>
      <c r="P2340" cm="1">
        <f t="array" ref="P2340">_xlfn.SWITCH(tbl_analysis_tickets[[#This Row],[customer_satisfaction]],
"Low",1,
"Medium",2,
"High",3
)</f>
        <v>1</v>
      </c>
      <c r="Q2340">
        <f>IF(tbl_analysis_tickets[[#This Row],[reopened]]="Yes",1,0)</f>
        <v>1</v>
      </c>
      <c r="R2340" t="str" cm="1">
        <f t="array" ref="R2340">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340" t="str" cm="1">
        <f t="array" ref="S234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340" t="str">
        <f>TEXT(tbl_analysis_tickets[[#This Row],[created_date]],"mmm-yyyy")</f>
        <v>Apr-2024</v>
      </c>
      <c r="U2340" t="str">
        <f>TEXT(tbl_analysis_tickets[[#This Row],[created_date]],"dddd")</f>
        <v>Thursday</v>
      </c>
      <c r="V2340" cm="1">
        <f t="array" ref="V2340">_xlfn.SWITCH(tbl_analysis_tickets[[#This Row],[priority]],
"Urgent",1,
"High",2,
"Medium",3,
"Low",4
)</f>
        <v>2</v>
      </c>
    </row>
    <row r="2341" spans="1:22" x14ac:dyDescent="0.25">
      <c r="A2341">
        <v>2340</v>
      </c>
      <c r="B2341" s="1">
        <v>45325</v>
      </c>
      <c r="C2341" t="s">
        <v>14</v>
      </c>
      <c r="D2341" t="s">
        <v>11</v>
      </c>
      <c r="E2341">
        <v>16</v>
      </c>
      <c r="F2341">
        <v>59</v>
      </c>
      <c r="G2341">
        <v>8.6999999999999993</v>
      </c>
      <c r="H2341" t="s">
        <v>18</v>
      </c>
      <c r="I2341" t="s">
        <v>16</v>
      </c>
      <c r="J2341" t="s">
        <v>20</v>
      </c>
      <c r="K2341">
        <f>_xlfn.XLOOKUP(tbl_analysis_tickets[[#This Row],[priority]],tbl_sla[priority],tbl_sla[Resolution SLA Hours])</f>
        <v>72</v>
      </c>
      <c r="L2341">
        <f>_xlfn.XLOOKUP(tbl_analysis_tickets[[#This Row],[priority]],tbl_sla[priority],tbl_sla[First Response SLA Minutes])</f>
        <v>240</v>
      </c>
      <c r="M2341" t="str">
        <f>IF(tbl_analysis_tickets[[#This Row],[resolution_time_hours]]&gt;tbl_analysis_tickets[[#This Row],[Resolution SLA Hours]],"Breached","Within SLA")</f>
        <v>Within SLA</v>
      </c>
      <c r="N2341" t="str">
        <f>IF(tbl_analysis_tickets[[#This Row],[first_response_minutes]]&gt;tbl_analysis_tickets[[#This Row],[First Response SLA Minutes]],"Breached","Within SLA")</f>
        <v>Within SLA</v>
      </c>
      <c r="O2341" t="str" cm="1">
        <f t="array" ref="O2341">_xlfn.IFS(
tbl_analysis_tickets[[#This Row],[agent_experience_years]]&lt;=2,"Junior",
tbl_analysis_tickets[[#This Row],[agent_experience_years]]&lt;=5,"Mid-Level",
tbl_analysis_tickets[[#This Row],[agent_experience_years]]&lt;=8,"Senior",
tbl_analysis_tickets[[#This Row],[agent_experience_years]]&gt;8,"Expert"
)</f>
        <v>Expert</v>
      </c>
      <c r="P2341" cm="1">
        <f t="array" ref="P2341">_xlfn.SWITCH(tbl_analysis_tickets[[#This Row],[customer_satisfaction]],
"Low",1,
"Medium",2,
"High",3
)</f>
        <v>3</v>
      </c>
      <c r="Q2341">
        <f>IF(tbl_analysis_tickets[[#This Row],[reopened]]="Yes",1,0)</f>
        <v>0</v>
      </c>
      <c r="R2341" t="str" cm="1">
        <f t="array" ref="R2341">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2341" t="str" cm="1">
        <f t="array" ref="S234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341" t="str">
        <f>TEXT(tbl_analysis_tickets[[#This Row],[created_date]],"mmm-yyyy")</f>
        <v>Feb-2024</v>
      </c>
      <c r="U2341" t="str">
        <f>TEXT(tbl_analysis_tickets[[#This Row],[created_date]],"dddd")</f>
        <v>Saturday</v>
      </c>
      <c r="V2341" cm="1">
        <f t="array" ref="V2341">_xlfn.SWITCH(tbl_analysis_tickets[[#This Row],[priority]],
"Urgent",1,
"High",2,
"Medium",3,
"Low",4
)</f>
        <v>4</v>
      </c>
    </row>
    <row r="2342" spans="1:22" x14ac:dyDescent="0.25">
      <c r="A2342">
        <v>2341</v>
      </c>
      <c r="B2342" s="1">
        <v>45470</v>
      </c>
      <c r="C2342" t="s">
        <v>21</v>
      </c>
      <c r="D2342" t="s">
        <v>11</v>
      </c>
      <c r="E2342">
        <v>148</v>
      </c>
      <c r="F2342">
        <v>60</v>
      </c>
      <c r="G2342">
        <v>5</v>
      </c>
      <c r="H2342" t="s">
        <v>12</v>
      </c>
      <c r="I2342" t="s">
        <v>13</v>
      </c>
      <c r="J2342" t="s">
        <v>11</v>
      </c>
      <c r="K2342">
        <f>_xlfn.XLOOKUP(tbl_analysis_tickets[[#This Row],[priority]],tbl_sla[priority],tbl_sla[Resolution SLA Hours])</f>
        <v>72</v>
      </c>
      <c r="L2342">
        <f>_xlfn.XLOOKUP(tbl_analysis_tickets[[#This Row],[priority]],tbl_sla[priority],tbl_sla[First Response SLA Minutes])</f>
        <v>240</v>
      </c>
      <c r="M2342" t="str">
        <f>IF(tbl_analysis_tickets[[#This Row],[resolution_time_hours]]&gt;tbl_analysis_tickets[[#This Row],[Resolution SLA Hours]],"Breached","Within SLA")</f>
        <v>Within SLA</v>
      </c>
      <c r="N2342" t="str">
        <f>IF(tbl_analysis_tickets[[#This Row],[first_response_minutes]]&gt;tbl_analysis_tickets[[#This Row],[First Response SLA Minutes]],"Breached","Within SLA")</f>
        <v>Within SLA</v>
      </c>
      <c r="O2342" t="str" cm="1">
        <f t="array" ref="O2342">_xlfn.IFS(
tbl_analysis_tickets[[#This Row],[agent_experience_years]]&lt;=2,"Junior",
tbl_analysis_tickets[[#This Row],[agent_experience_years]]&lt;=5,"Mid-Level",
tbl_analysis_tickets[[#This Row],[agent_experience_years]]&lt;=8,"Senior",
tbl_analysis_tickets[[#This Row],[agent_experience_years]]&gt;8,"Expert"
)</f>
        <v>Mid-Level</v>
      </c>
      <c r="P2342" cm="1">
        <f t="array" ref="P2342">_xlfn.SWITCH(tbl_analysis_tickets[[#This Row],[customer_satisfaction]],
"Low",1,
"Medium",2,
"High",3
)</f>
        <v>1</v>
      </c>
      <c r="Q2342">
        <f>IF(tbl_analysis_tickets[[#This Row],[reopened]]="Yes",1,0)</f>
        <v>1</v>
      </c>
      <c r="R2342" t="str" cm="1">
        <f t="array" ref="R2342">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342" t="str" cm="1">
        <f t="array" ref="S234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342" t="str">
        <f>TEXT(tbl_analysis_tickets[[#This Row],[created_date]],"mmm-yyyy")</f>
        <v>Jun-2024</v>
      </c>
      <c r="U2342" t="str">
        <f>TEXT(tbl_analysis_tickets[[#This Row],[created_date]],"dddd")</f>
        <v>Thursday</v>
      </c>
      <c r="V2342" cm="1">
        <f t="array" ref="V2342">_xlfn.SWITCH(tbl_analysis_tickets[[#This Row],[priority]],
"Urgent",1,
"High",2,
"Medium",3,
"Low",4
)</f>
        <v>4</v>
      </c>
    </row>
    <row r="2343" spans="1:22" x14ac:dyDescent="0.25">
      <c r="A2343">
        <v>2342</v>
      </c>
      <c r="B2343" s="1">
        <v>45566</v>
      </c>
      <c r="C2343" t="s">
        <v>21</v>
      </c>
      <c r="D2343" t="s">
        <v>15</v>
      </c>
      <c r="E2343">
        <v>8</v>
      </c>
      <c r="F2343">
        <v>6</v>
      </c>
      <c r="G2343">
        <v>6.7</v>
      </c>
      <c r="H2343" t="s">
        <v>12</v>
      </c>
      <c r="I2343" t="s">
        <v>19</v>
      </c>
      <c r="J2343" t="s">
        <v>20</v>
      </c>
      <c r="K2343">
        <f>_xlfn.XLOOKUP(tbl_analysis_tickets[[#This Row],[priority]],tbl_sla[priority],tbl_sla[Resolution SLA Hours])</f>
        <v>48</v>
      </c>
      <c r="L2343">
        <f>_xlfn.XLOOKUP(tbl_analysis_tickets[[#This Row],[priority]],tbl_sla[priority],tbl_sla[First Response SLA Minutes])</f>
        <v>120</v>
      </c>
      <c r="M2343" t="str">
        <f>IF(tbl_analysis_tickets[[#This Row],[resolution_time_hours]]&gt;tbl_analysis_tickets[[#This Row],[Resolution SLA Hours]],"Breached","Within SLA")</f>
        <v>Within SLA</v>
      </c>
      <c r="N2343" t="str">
        <f>IF(tbl_analysis_tickets[[#This Row],[first_response_minutes]]&gt;tbl_analysis_tickets[[#This Row],[First Response SLA Minutes]],"Breached","Within SLA")</f>
        <v>Within SLA</v>
      </c>
      <c r="O2343" t="str" cm="1">
        <f t="array" ref="O2343">_xlfn.IFS(
tbl_analysis_tickets[[#This Row],[agent_experience_years]]&lt;=2,"Junior",
tbl_analysis_tickets[[#This Row],[agent_experience_years]]&lt;=5,"Mid-Level",
tbl_analysis_tickets[[#This Row],[agent_experience_years]]&lt;=8,"Senior",
tbl_analysis_tickets[[#This Row],[agent_experience_years]]&gt;8,"Expert"
)</f>
        <v>Senior</v>
      </c>
      <c r="P2343" cm="1">
        <f t="array" ref="P2343">_xlfn.SWITCH(tbl_analysis_tickets[[#This Row],[customer_satisfaction]],
"Low",1,
"Medium",2,
"High",3
)</f>
        <v>3</v>
      </c>
      <c r="Q2343">
        <f>IF(tbl_analysis_tickets[[#This Row],[reopened]]="Yes",1,0)</f>
        <v>1</v>
      </c>
      <c r="R2343" t="str" cm="1">
        <f t="array" ref="R2343">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2343" t="str" cm="1">
        <f t="array" ref="S234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2343" t="str">
        <f>TEXT(tbl_analysis_tickets[[#This Row],[created_date]],"mmm-yyyy")</f>
        <v>Oct-2024</v>
      </c>
      <c r="U2343" t="str">
        <f>TEXT(tbl_analysis_tickets[[#This Row],[created_date]],"dddd")</f>
        <v>Tuesday</v>
      </c>
      <c r="V2343" cm="1">
        <f t="array" ref="V2343">_xlfn.SWITCH(tbl_analysis_tickets[[#This Row],[priority]],
"Urgent",1,
"High",2,
"Medium",3,
"Low",4
)</f>
        <v>3</v>
      </c>
    </row>
    <row r="2344" spans="1:22" x14ac:dyDescent="0.25">
      <c r="A2344">
        <v>2343</v>
      </c>
      <c r="B2344" s="1">
        <v>45643</v>
      </c>
      <c r="C2344" t="s">
        <v>10</v>
      </c>
      <c r="D2344" t="s">
        <v>17</v>
      </c>
      <c r="E2344">
        <v>175</v>
      </c>
      <c r="F2344">
        <v>32</v>
      </c>
      <c r="G2344">
        <v>3.3</v>
      </c>
      <c r="H2344" t="s">
        <v>12</v>
      </c>
      <c r="I2344" t="s">
        <v>16</v>
      </c>
      <c r="J2344" t="s">
        <v>11</v>
      </c>
      <c r="K2344">
        <f>_xlfn.XLOOKUP(tbl_analysis_tickets[[#This Row],[priority]],tbl_sla[priority],tbl_sla[Resolution SLA Hours])</f>
        <v>8</v>
      </c>
      <c r="L2344">
        <f>_xlfn.XLOOKUP(tbl_analysis_tickets[[#This Row],[priority]],tbl_sla[priority],tbl_sla[First Response SLA Minutes])</f>
        <v>30</v>
      </c>
      <c r="M2344" t="str">
        <f>IF(tbl_analysis_tickets[[#This Row],[resolution_time_hours]]&gt;tbl_analysis_tickets[[#This Row],[Resolution SLA Hours]],"Breached","Within SLA")</f>
        <v>Breached</v>
      </c>
      <c r="N2344" t="str">
        <f>IF(tbl_analysis_tickets[[#This Row],[first_response_minutes]]&gt;tbl_analysis_tickets[[#This Row],[First Response SLA Minutes]],"Breached","Within SLA")</f>
        <v>Breached</v>
      </c>
      <c r="O2344" t="str" cm="1">
        <f t="array" ref="O2344">_xlfn.IFS(
tbl_analysis_tickets[[#This Row],[agent_experience_years]]&lt;=2,"Junior",
tbl_analysis_tickets[[#This Row],[agent_experience_years]]&lt;=5,"Mid-Level",
tbl_analysis_tickets[[#This Row],[agent_experience_years]]&lt;=8,"Senior",
tbl_analysis_tickets[[#This Row],[agent_experience_years]]&gt;8,"Expert"
)</f>
        <v>Mid-Level</v>
      </c>
      <c r="P2344" cm="1">
        <f t="array" ref="P2344">_xlfn.SWITCH(tbl_analysis_tickets[[#This Row],[customer_satisfaction]],
"Low",1,
"Medium",2,
"High",3
)</f>
        <v>1</v>
      </c>
      <c r="Q2344">
        <f>IF(tbl_analysis_tickets[[#This Row],[reopened]]="Yes",1,0)</f>
        <v>1</v>
      </c>
      <c r="R2344" t="str" cm="1">
        <f t="array" ref="R2344">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344" t="str" cm="1">
        <f t="array" ref="S234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344" t="str">
        <f>TEXT(tbl_analysis_tickets[[#This Row],[created_date]],"mmm-yyyy")</f>
        <v>Dec-2024</v>
      </c>
      <c r="U2344" t="str">
        <f>TEXT(tbl_analysis_tickets[[#This Row],[created_date]],"dddd")</f>
        <v>Tuesday</v>
      </c>
      <c r="V2344" cm="1">
        <f t="array" ref="V2344">_xlfn.SWITCH(tbl_analysis_tickets[[#This Row],[priority]],
"Urgent",1,
"High",2,
"Medium",3,
"Low",4
)</f>
        <v>1</v>
      </c>
    </row>
    <row r="2345" spans="1:22" x14ac:dyDescent="0.25">
      <c r="A2345">
        <v>2344</v>
      </c>
      <c r="B2345" s="1">
        <v>45477</v>
      </c>
      <c r="C2345" t="s">
        <v>21</v>
      </c>
      <c r="D2345" t="s">
        <v>17</v>
      </c>
      <c r="E2345">
        <v>180</v>
      </c>
      <c r="F2345">
        <v>55</v>
      </c>
      <c r="G2345">
        <v>4.9000000000000004</v>
      </c>
      <c r="H2345" t="s">
        <v>18</v>
      </c>
      <c r="I2345" t="s">
        <v>19</v>
      </c>
      <c r="J2345" t="s">
        <v>11</v>
      </c>
      <c r="K2345">
        <f>_xlfn.XLOOKUP(tbl_analysis_tickets[[#This Row],[priority]],tbl_sla[priority],tbl_sla[Resolution SLA Hours])</f>
        <v>8</v>
      </c>
      <c r="L2345">
        <f>_xlfn.XLOOKUP(tbl_analysis_tickets[[#This Row],[priority]],tbl_sla[priority],tbl_sla[First Response SLA Minutes])</f>
        <v>30</v>
      </c>
      <c r="M2345" t="str">
        <f>IF(tbl_analysis_tickets[[#This Row],[resolution_time_hours]]&gt;tbl_analysis_tickets[[#This Row],[Resolution SLA Hours]],"Breached","Within SLA")</f>
        <v>Breached</v>
      </c>
      <c r="N2345" t="str">
        <f>IF(tbl_analysis_tickets[[#This Row],[first_response_minutes]]&gt;tbl_analysis_tickets[[#This Row],[First Response SLA Minutes]],"Breached","Within SLA")</f>
        <v>Breached</v>
      </c>
      <c r="O2345" t="str" cm="1">
        <f t="array" ref="O2345">_xlfn.IFS(
tbl_analysis_tickets[[#This Row],[agent_experience_years]]&lt;=2,"Junior",
tbl_analysis_tickets[[#This Row],[agent_experience_years]]&lt;=5,"Mid-Level",
tbl_analysis_tickets[[#This Row],[agent_experience_years]]&lt;=8,"Senior",
tbl_analysis_tickets[[#This Row],[agent_experience_years]]&gt;8,"Expert"
)</f>
        <v>Mid-Level</v>
      </c>
      <c r="P2345" cm="1">
        <f t="array" ref="P2345">_xlfn.SWITCH(tbl_analysis_tickets[[#This Row],[customer_satisfaction]],
"Low",1,
"Medium",2,
"High",3
)</f>
        <v>1</v>
      </c>
      <c r="Q2345">
        <f>IF(tbl_analysis_tickets[[#This Row],[reopened]]="Yes",1,0)</f>
        <v>0</v>
      </c>
      <c r="R2345" t="str" cm="1">
        <f t="array" ref="R2345">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345" t="str" cm="1">
        <f t="array" ref="S234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345" t="str">
        <f>TEXT(tbl_analysis_tickets[[#This Row],[created_date]],"mmm-yyyy")</f>
        <v>Jul-2024</v>
      </c>
      <c r="U2345" t="str">
        <f>TEXT(tbl_analysis_tickets[[#This Row],[created_date]],"dddd")</f>
        <v>Thursday</v>
      </c>
      <c r="V2345" cm="1">
        <f t="array" ref="V2345">_xlfn.SWITCH(tbl_analysis_tickets[[#This Row],[priority]],
"Urgent",1,
"High",2,
"Medium",3,
"Low",4
)</f>
        <v>1</v>
      </c>
    </row>
    <row r="2346" spans="1:22" x14ac:dyDescent="0.25">
      <c r="A2346">
        <v>2345</v>
      </c>
      <c r="B2346" s="1">
        <v>45393</v>
      </c>
      <c r="C2346" t="s">
        <v>10</v>
      </c>
      <c r="D2346" t="s">
        <v>17</v>
      </c>
      <c r="E2346">
        <v>127</v>
      </c>
      <c r="F2346">
        <v>50</v>
      </c>
      <c r="G2346">
        <v>1.3</v>
      </c>
      <c r="H2346" t="s">
        <v>18</v>
      </c>
      <c r="I2346" t="s">
        <v>13</v>
      </c>
      <c r="J2346" t="s">
        <v>11</v>
      </c>
      <c r="K2346">
        <f>_xlfn.XLOOKUP(tbl_analysis_tickets[[#This Row],[priority]],tbl_sla[priority],tbl_sla[Resolution SLA Hours])</f>
        <v>8</v>
      </c>
      <c r="L2346">
        <f>_xlfn.XLOOKUP(tbl_analysis_tickets[[#This Row],[priority]],tbl_sla[priority],tbl_sla[First Response SLA Minutes])</f>
        <v>30</v>
      </c>
      <c r="M2346" t="str">
        <f>IF(tbl_analysis_tickets[[#This Row],[resolution_time_hours]]&gt;tbl_analysis_tickets[[#This Row],[Resolution SLA Hours]],"Breached","Within SLA")</f>
        <v>Breached</v>
      </c>
      <c r="N2346" t="str">
        <f>IF(tbl_analysis_tickets[[#This Row],[first_response_minutes]]&gt;tbl_analysis_tickets[[#This Row],[First Response SLA Minutes]],"Breached","Within SLA")</f>
        <v>Breached</v>
      </c>
      <c r="O2346" t="str" cm="1">
        <f t="array" ref="O2346">_xlfn.IFS(
tbl_analysis_tickets[[#This Row],[agent_experience_years]]&lt;=2,"Junior",
tbl_analysis_tickets[[#This Row],[agent_experience_years]]&lt;=5,"Mid-Level",
tbl_analysis_tickets[[#This Row],[agent_experience_years]]&lt;=8,"Senior",
tbl_analysis_tickets[[#This Row],[agent_experience_years]]&gt;8,"Expert"
)</f>
        <v>Junior</v>
      </c>
      <c r="P2346" cm="1">
        <f t="array" ref="P2346">_xlfn.SWITCH(tbl_analysis_tickets[[#This Row],[customer_satisfaction]],
"Low",1,
"Medium",2,
"High",3
)</f>
        <v>1</v>
      </c>
      <c r="Q2346">
        <f>IF(tbl_analysis_tickets[[#This Row],[reopened]]="Yes",1,0)</f>
        <v>0</v>
      </c>
      <c r="R2346" t="str" cm="1">
        <f t="array" ref="R2346">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346" t="str" cm="1">
        <f t="array" ref="S234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346" t="str">
        <f>TEXT(tbl_analysis_tickets[[#This Row],[created_date]],"mmm-yyyy")</f>
        <v>Apr-2024</v>
      </c>
      <c r="U2346" t="str">
        <f>TEXT(tbl_analysis_tickets[[#This Row],[created_date]],"dddd")</f>
        <v>Thursday</v>
      </c>
      <c r="V2346" cm="1">
        <f t="array" ref="V2346">_xlfn.SWITCH(tbl_analysis_tickets[[#This Row],[priority]],
"Urgent",1,
"High",2,
"Medium",3,
"Low",4
)</f>
        <v>1</v>
      </c>
    </row>
    <row r="2347" spans="1:22" x14ac:dyDescent="0.25">
      <c r="A2347">
        <v>2346</v>
      </c>
      <c r="B2347" s="1">
        <v>45536</v>
      </c>
      <c r="C2347" t="s">
        <v>23</v>
      </c>
      <c r="D2347" t="s">
        <v>11</v>
      </c>
      <c r="E2347">
        <v>26</v>
      </c>
      <c r="F2347">
        <v>56</v>
      </c>
      <c r="G2347">
        <v>2.2999999999999998</v>
      </c>
      <c r="H2347" t="s">
        <v>12</v>
      </c>
      <c r="I2347" t="s">
        <v>13</v>
      </c>
      <c r="J2347" t="s">
        <v>15</v>
      </c>
      <c r="K2347">
        <f>_xlfn.XLOOKUP(tbl_analysis_tickets[[#This Row],[priority]],tbl_sla[priority],tbl_sla[Resolution SLA Hours])</f>
        <v>72</v>
      </c>
      <c r="L2347">
        <f>_xlfn.XLOOKUP(tbl_analysis_tickets[[#This Row],[priority]],tbl_sla[priority],tbl_sla[First Response SLA Minutes])</f>
        <v>240</v>
      </c>
      <c r="M2347" t="str">
        <f>IF(tbl_analysis_tickets[[#This Row],[resolution_time_hours]]&gt;tbl_analysis_tickets[[#This Row],[Resolution SLA Hours]],"Breached","Within SLA")</f>
        <v>Within SLA</v>
      </c>
      <c r="N2347" t="str">
        <f>IF(tbl_analysis_tickets[[#This Row],[first_response_minutes]]&gt;tbl_analysis_tickets[[#This Row],[First Response SLA Minutes]],"Breached","Within SLA")</f>
        <v>Within SLA</v>
      </c>
      <c r="O2347" t="str" cm="1">
        <f t="array" ref="O2347">_xlfn.IFS(
tbl_analysis_tickets[[#This Row],[agent_experience_years]]&lt;=2,"Junior",
tbl_analysis_tickets[[#This Row],[agent_experience_years]]&lt;=5,"Mid-Level",
tbl_analysis_tickets[[#This Row],[agent_experience_years]]&lt;=8,"Senior",
tbl_analysis_tickets[[#This Row],[agent_experience_years]]&gt;8,"Expert"
)</f>
        <v>Mid-Level</v>
      </c>
      <c r="P2347" cm="1">
        <f t="array" ref="P2347">_xlfn.SWITCH(tbl_analysis_tickets[[#This Row],[customer_satisfaction]],
"Low",1,
"Medium",2,
"High",3
)</f>
        <v>2</v>
      </c>
      <c r="Q2347">
        <f>IF(tbl_analysis_tickets[[#This Row],[reopened]]="Yes",1,0)</f>
        <v>1</v>
      </c>
      <c r="R2347" t="str" cm="1">
        <f t="array" ref="R2347">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2347" t="str" cm="1">
        <f t="array" ref="S234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347" t="str">
        <f>TEXT(tbl_analysis_tickets[[#This Row],[created_date]],"mmm-yyyy")</f>
        <v>Sep-2024</v>
      </c>
      <c r="U2347" t="str">
        <f>TEXT(tbl_analysis_tickets[[#This Row],[created_date]],"dddd")</f>
        <v>Sunday</v>
      </c>
      <c r="V2347" cm="1">
        <f t="array" ref="V2347">_xlfn.SWITCH(tbl_analysis_tickets[[#This Row],[priority]],
"Urgent",1,
"High",2,
"Medium",3,
"Low",4
)</f>
        <v>4</v>
      </c>
    </row>
    <row r="2348" spans="1:22" x14ac:dyDescent="0.25">
      <c r="A2348">
        <v>2347</v>
      </c>
      <c r="B2348" s="1">
        <v>45408</v>
      </c>
      <c r="C2348" t="s">
        <v>10</v>
      </c>
      <c r="D2348" t="s">
        <v>20</v>
      </c>
      <c r="E2348">
        <v>10</v>
      </c>
      <c r="F2348">
        <v>5</v>
      </c>
      <c r="G2348">
        <v>4.5</v>
      </c>
      <c r="H2348" t="s">
        <v>18</v>
      </c>
      <c r="I2348" t="s">
        <v>19</v>
      </c>
      <c r="J2348" t="s">
        <v>20</v>
      </c>
      <c r="K2348">
        <f>_xlfn.XLOOKUP(tbl_analysis_tickets[[#This Row],[priority]],tbl_sla[priority],tbl_sla[Resolution SLA Hours])</f>
        <v>24</v>
      </c>
      <c r="L2348">
        <f>_xlfn.XLOOKUP(tbl_analysis_tickets[[#This Row],[priority]],tbl_sla[priority],tbl_sla[First Response SLA Minutes])</f>
        <v>60</v>
      </c>
      <c r="M2348" t="str">
        <f>IF(tbl_analysis_tickets[[#This Row],[resolution_time_hours]]&gt;tbl_analysis_tickets[[#This Row],[Resolution SLA Hours]],"Breached","Within SLA")</f>
        <v>Within SLA</v>
      </c>
      <c r="N2348" t="str">
        <f>IF(tbl_analysis_tickets[[#This Row],[first_response_minutes]]&gt;tbl_analysis_tickets[[#This Row],[First Response SLA Minutes]],"Breached","Within SLA")</f>
        <v>Within SLA</v>
      </c>
      <c r="O2348" t="str" cm="1">
        <f t="array" ref="O2348">_xlfn.IFS(
tbl_analysis_tickets[[#This Row],[agent_experience_years]]&lt;=2,"Junior",
tbl_analysis_tickets[[#This Row],[agent_experience_years]]&lt;=5,"Mid-Level",
tbl_analysis_tickets[[#This Row],[agent_experience_years]]&lt;=8,"Senior",
tbl_analysis_tickets[[#This Row],[agent_experience_years]]&gt;8,"Expert"
)</f>
        <v>Mid-Level</v>
      </c>
      <c r="P2348" cm="1">
        <f t="array" ref="P2348">_xlfn.SWITCH(tbl_analysis_tickets[[#This Row],[customer_satisfaction]],
"Low",1,
"Medium",2,
"High",3
)</f>
        <v>3</v>
      </c>
      <c r="Q2348">
        <f>IF(tbl_analysis_tickets[[#This Row],[reopened]]="Yes",1,0)</f>
        <v>0</v>
      </c>
      <c r="R2348" t="str" cm="1">
        <f t="array" ref="R2348">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2348" t="str" cm="1">
        <f t="array" ref="S234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2348" t="str">
        <f>TEXT(tbl_analysis_tickets[[#This Row],[created_date]],"mmm-yyyy")</f>
        <v>Apr-2024</v>
      </c>
      <c r="U2348" t="str">
        <f>TEXT(tbl_analysis_tickets[[#This Row],[created_date]],"dddd")</f>
        <v>Friday</v>
      </c>
      <c r="V2348" cm="1">
        <f t="array" ref="V2348">_xlfn.SWITCH(tbl_analysis_tickets[[#This Row],[priority]],
"Urgent",1,
"High",2,
"Medium",3,
"Low",4
)</f>
        <v>2</v>
      </c>
    </row>
    <row r="2349" spans="1:22" x14ac:dyDescent="0.25">
      <c r="A2349">
        <v>2348</v>
      </c>
      <c r="B2349" s="1">
        <v>45391</v>
      </c>
      <c r="C2349" t="s">
        <v>14</v>
      </c>
      <c r="D2349" t="s">
        <v>15</v>
      </c>
      <c r="E2349">
        <v>165</v>
      </c>
      <c r="F2349">
        <v>34</v>
      </c>
      <c r="G2349">
        <v>8.1</v>
      </c>
      <c r="H2349" t="s">
        <v>12</v>
      </c>
      <c r="I2349" t="s">
        <v>13</v>
      </c>
      <c r="J2349" t="s">
        <v>11</v>
      </c>
      <c r="K2349">
        <f>_xlfn.XLOOKUP(tbl_analysis_tickets[[#This Row],[priority]],tbl_sla[priority],tbl_sla[Resolution SLA Hours])</f>
        <v>48</v>
      </c>
      <c r="L2349">
        <f>_xlfn.XLOOKUP(tbl_analysis_tickets[[#This Row],[priority]],tbl_sla[priority],tbl_sla[First Response SLA Minutes])</f>
        <v>120</v>
      </c>
      <c r="M2349" t="str">
        <f>IF(tbl_analysis_tickets[[#This Row],[resolution_time_hours]]&gt;tbl_analysis_tickets[[#This Row],[Resolution SLA Hours]],"Breached","Within SLA")</f>
        <v>Within SLA</v>
      </c>
      <c r="N2349" t="str">
        <f>IF(tbl_analysis_tickets[[#This Row],[first_response_minutes]]&gt;tbl_analysis_tickets[[#This Row],[First Response SLA Minutes]],"Breached","Within SLA")</f>
        <v>Breached</v>
      </c>
      <c r="O2349" t="str" cm="1">
        <f t="array" ref="O2349">_xlfn.IFS(
tbl_analysis_tickets[[#This Row],[agent_experience_years]]&lt;=2,"Junior",
tbl_analysis_tickets[[#This Row],[agent_experience_years]]&lt;=5,"Mid-Level",
tbl_analysis_tickets[[#This Row],[agent_experience_years]]&lt;=8,"Senior",
tbl_analysis_tickets[[#This Row],[agent_experience_years]]&gt;8,"Expert"
)</f>
        <v>Expert</v>
      </c>
      <c r="P2349" cm="1">
        <f t="array" ref="P2349">_xlfn.SWITCH(tbl_analysis_tickets[[#This Row],[customer_satisfaction]],
"Low",1,
"Medium",2,
"High",3
)</f>
        <v>1</v>
      </c>
      <c r="Q2349">
        <f>IF(tbl_analysis_tickets[[#This Row],[reopened]]="Yes",1,0)</f>
        <v>1</v>
      </c>
      <c r="R2349" t="str" cm="1">
        <f t="array" ref="R2349">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349" t="str" cm="1">
        <f t="array" ref="S234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349" t="str">
        <f>TEXT(tbl_analysis_tickets[[#This Row],[created_date]],"mmm-yyyy")</f>
        <v>Apr-2024</v>
      </c>
      <c r="U2349" t="str">
        <f>TEXT(tbl_analysis_tickets[[#This Row],[created_date]],"dddd")</f>
        <v>Tuesday</v>
      </c>
      <c r="V2349" cm="1">
        <f t="array" ref="V2349">_xlfn.SWITCH(tbl_analysis_tickets[[#This Row],[priority]],
"Urgent",1,
"High",2,
"Medium",3,
"Low",4
)</f>
        <v>3</v>
      </c>
    </row>
    <row r="2350" spans="1:22" x14ac:dyDescent="0.25">
      <c r="A2350">
        <v>2349</v>
      </c>
      <c r="B2350" s="1">
        <v>45425</v>
      </c>
      <c r="C2350" t="s">
        <v>10</v>
      </c>
      <c r="D2350" t="s">
        <v>15</v>
      </c>
      <c r="E2350">
        <v>132</v>
      </c>
      <c r="F2350">
        <v>40</v>
      </c>
      <c r="G2350">
        <v>8.9</v>
      </c>
      <c r="H2350" t="s">
        <v>18</v>
      </c>
      <c r="I2350" t="s">
        <v>19</v>
      </c>
      <c r="J2350" t="s">
        <v>15</v>
      </c>
      <c r="K2350">
        <f>_xlfn.XLOOKUP(tbl_analysis_tickets[[#This Row],[priority]],tbl_sla[priority],tbl_sla[Resolution SLA Hours])</f>
        <v>48</v>
      </c>
      <c r="L2350">
        <f>_xlfn.XLOOKUP(tbl_analysis_tickets[[#This Row],[priority]],tbl_sla[priority],tbl_sla[First Response SLA Minutes])</f>
        <v>120</v>
      </c>
      <c r="M2350" t="str">
        <f>IF(tbl_analysis_tickets[[#This Row],[resolution_time_hours]]&gt;tbl_analysis_tickets[[#This Row],[Resolution SLA Hours]],"Breached","Within SLA")</f>
        <v>Within SLA</v>
      </c>
      <c r="N2350" t="str">
        <f>IF(tbl_analysis_tickets[[#This Row],[first_response_minutes]]&gt;tbl_analysis_tickets[[#This Row],[First Response SLA Minutes]],"Breached","Within SLA")</f>
        <v>Breached</v>
      </c>
      <c r="O2350" t="str" cm="1">
        <f t="array" ref="O2350">_xlfn.IFS(
tbl_analysis_tickets[[#This Row],[agent_experience_years]]&lt;=2,"Junior",
tbl_analysis_tickets[[#This Row],[agent_experience_years]]&lt;=5,"Mid-Level",
tbl_analysis_tickets[[#This Row],[agent_experience_years]]&lt;=8,"Senior",
tbl_analysis_tickets[[#This Row],[agent_experience_years]]&gt;8,"Expert"
)</f>
        <v>Expert</v>
      </c>
      <c r="P2350" cm="1">
        <f t="array" ref="P2350">_xlfn.SWITCH(tbl_analysis_tickets[[#This Row],[customer_satisfaction]],
"Low",1,
"Medium",2,
"High",3
)</f>
        <v>2</v>
      </c>
      <c r="Q2350">
        <f>IF(tbl_analysis_tickets[[#This Row],[reopened]]="Yes",1,0)</f>
        <v>0</v>
      </c>
      <c r="R2350" t="str" cm="1">
        <f t="array" ref="R2350">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350" t="str" cm="1">
        <f t="array" ref="S235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350" t="str">
        <f>TEXT(tbl_analysis_tickets[[#This Row],[created_date]],"mmm-yyyy")</f>
        <v>May-2024</v>
      </c>
      <c r="U2350" t="str">
        <f>TEXT(tbl_analysis_tickets[[#This Row],[created_date]],"dddd")</f>
        <v>Monday</v>
      </c>
      <c r="V2350" cm="1">
        <f t="array" ref="V2350">_xlfn.SWITCH(tbl_analysis_tickets[[#This Row],[priority]],
"Urgent",1,
"High",2,
"Medium",3,
"Low",4
)</f>
        <v>3</v>
      </c>
    </row>
    <row r="2351" spans="1:22" x14ac:dyDescent="0.25">
      <c r="A2351">
        <v>2350</v>
      </c>
      <c r="B2351" s="1">
        <v>45563</v>
      </c>
      <c r="C2351" t="s">
        <v>23</v>
      </c>
      <c r="D2351" t="s">
        <v>15</v>
      </c>
      <c r="E2351">
        <v>137</v>
      </c>
      <c r="F2351">
        <v>10</v>
      </c>
      <c r="G2351">
        <v>5.0999999999999996</v>
      </c>
      <c r="H2351" t="s">
        <v>12</v>
      </c>
      <c r="I2351" t="s">
        <v>16</v>
      </c>
      <c r="J2351" t="s">
        <v>11</v>
      </c>
      <c r="K2351">
        <f>_xlfn.XLOOKUP(tbl_analysis_tickets[[#This Row],[priority]],tbl_sla[priority],tbl_sla[Resolution SLA Hours])</f>
        <v>48</v>
      </c>
      <c r="L2351">
        <f>_xlfn.XLOOKUP(tbl_analysis_tickets[[#This Row],[priority]],tbl_sla[priority],tbl_sla[First Response SLA Minutes])</f>
        <v>120</v>
      </c>
      <c r="M2351" t="str">
        <f>IF(tbl_analysis_tickets[[#This Row],[resolution_time_hours]]&gt;tbl_analysis_tickets[[#This Row],[Resolution SLA Hours]],"Breached","Within SLA")</f>
        <v>Within SLA</v>
      </c>
      <c r="N2351" t="str">
        <f>IF(tbl_analysis_tickets[[#This Row],[first_response_minutes]]&gt;tbl_analysis_tickets[[#This Row],[First Response SLA Minutes]],"Breached","Within SLA")</f>
        <v>Breached</v>
      </c>
      <c r="O2351" t="str" cm="1">
        <f t="array" ref="O2351">_xlfn.IFS(
tbl_analysis_tickets[[#This Row],[agent_experience_years]]&lt;=2,"Junior",
tbl_analysis_tickets[[#This Row],[agent_experience_years]]&lt;=5,"Mid-Level",
tbl_analysis_tickets[[#This Row],[agent_experience_years]]&lt;=8,"Senior",
tbl_analysis_tickets[[#This Row],[agent_experience_years]]&gt;8,"Expert"
)</f>
        <v>Senior</v>
      </c>
      <c r="P2351" cm="1">
        <f t="array" ref="P2351">_xlfn.SWITCH(tbl_analysis_tickets[[#This Row],[customer_satisfaction]],
"Low",1,
"Medium",2,
"High",3
)</f>
        <v>1</v>
      </c>
      <c r="Q2351">
        <f>IF(tbl_analysis_tickets[[#This Row],[reopened]]="Yes",1,0)</f>
        <v>1</v>
      </c>
      <c r="R2351" t="str" cm="1">
        <f t="array" ref="R2351">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351" t="str" cm="1">
        <f t="array" ref="S235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351" t="str">
        <f>TEXT(tbl_analysis_tickets[[#This Row],[created_date]],"mmm-yyyy")</f>
        <v>Sep-2024</v>
      </c>
      <c r="U2351" t="str">
        <f>TEXT(tbl_analysis_tickets[[#This Row],[created_date]],"dddd")</f>
        <v>Saturday</v>
      </c>
      <c r="V2351" cm="1">
        <f t="array" ref="V2351">_xlfn.SWITCH(tbl_analysis_tickets[[#This Row],[priority]],
"Urgent",1,
"High",2,
"Medium",3,
"Low",4
)</f>
        <v>3</v>
      </c>
    </row>
    <row r="2352" spans="1:22" x14ac:dyDescent="0.25">
      <c r="A2352">
        <v>2351</v>
      </c>
      <c r="B2352" s="1">
        <v>45548</v>
      </c>
      <c r="C2352" t="s">
        <v>10</v>
      </c>
      <c r="D2352" t="s">
        <v>20</v>
      </c>
      <c r="E2352">
        <v>209</v>
      </c>
      <c r="F2352">
        <v>50</v>
      </c>
      <c r="G2352">
        <v>9.3000000000000007</v>
      </c>
      <c r="H2352" t="s">
        <v>18</v>
      </c>
      <c r="I2352" t="s">
        <v>16</v>
      </c>
      <c r="J2352" t="s">
        <v>11</v>
      </c>
      <c r="K2352">
        <f>_xlfn.XLOOKUP(tbl_analysis_tickets[[#This Row],[priority]],tbl_sla[priority],tbl_sla[Resolution SLA Hours])</f>
        <v>24</v>
      </c>
      <c r="L2352">
        <f>_xlfn.XLOOKUP(tbl_analysis_tickets[[#This Row],[priority]],tbl_sla[priority],tbl_sla[First Response SLA Minutes])</f>
        <v>60</v>
      </c>
      <c r="M2352" t="str">
        <f>IF(tbl_analysis_tickets[[#This Row],[resolution_time_hours]]&gt;tbl_analysis_tickets[[#This Row],[Resolution SLA Hours]],"Breached","Within SLA")</f>
        <v>Breached</v>
      </c>
      <c r="N2352" t="str">
        <f>IF(tbl_analysis_tickets[[#This Row],[first_response_minutes]]&gt;tbl_analysis_tickets[[#This Row],[First Response SLA Minutes]],"Breached","Within SLA")</f>
        <v>Breached</v>
      </c>
      <c r="O2352" t="str" cm="1">
        <f t="array" ref="O2352">_xlfn.IFS(
tbl_analysis_tickets[[#This Row],[agent_experience_years]]&lt;=2,"Junior",
tbl_analysis_tickets[[#This Row],[agent_experience_years]]&lt;=5,"Mid-Level",
tbl_analysis_tickets[[#This Row],[agent_experience_years]]&lt;=8,"Senior",
tbl_analysis_tickets[[#This Row],[agent_experience_years]]&gt;8,"Expert"
)</f>
        <v>Expert</v>
      </c>
      <c r="P2352" cm="1">
        <f t="array" ref="P2352">_xlfn.SWITCH(tbl_analysis_tickets[[#This Row],[customer_satisfaction]],
"Low",1,
"Medium",2,
"High",3
)</f>
        <v>1</v>
      </c>
      <c r="Q2352">
        <f>IF(tbl_analysis_tickets[[#This Row],[reopened]]="Yes",1,0)</f>
        <v>0</v>
      </c>
      <c r="R2352" t="str" cm="1">
        <f t="array" ref="R2352">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352" t="str" cm="1">
        <f t="array" ref="S235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352" t="str">
        <f>TEXT(tbl_analysis_tickets[[#This Row],[created_date]],"mmm-yyyy")</f>
        <v>Sep-2024</v>
      </c>
      <c r="U2352" t="str">
        <f>TEXT(tbl_analysis_tickets[[#This Row],[created_date]],"dddd")</f>
        <v>Friday</v>
      </c>
      <c r="V2352" cm="1">
        <f t="array" ref="V2352">_xlfn.SWITCH(tbl_analysis_tickets[[#This Row],[priority]],
"Urgent",1,
"High",2,
"Medium",3,
"Low",4
)</f>
        <v>2</v>
      </c>
    </row>
    <row r="2353" spans="1:22" x14ac:dyDescent="0.25">
      <c r="A2353">
        <v>2352</v>
      </c>
      <c r="B2353" s="1">
        <v>45380</v>
      </c>
      <c r="C2353" t="s">
        <v>22</v>
      </c>
      <c r="D2353" t="s">
        <v>20</v>
      </c>
      <c r="E2353">
        <v>5</v>
      </c>
      <c r="F2353">
        <v>65</v>
      </c>
      <c r="G2353">
        <v>9.4</v>
      </c>
      <c r="H2353" t="s">
        <v>18</v>
      </c>
      <c r="I2353" t="s">
        <v>16</v>
      </c>
      <c r="J2353" t="s">
        <v>15</v>
      </c>
      <c r="K2353">
        <f>_xlfn.XLOOKUP(tbl_analysis_tickets[[#This Row],[priority]],tbl_sla[priority],tbl_sla[Resolution SLA Hours])</f>
        <v>24</v>
      </c>
      <c r="L2353">
        <f>_xlfn.XLOOKUP(tbl_analysis_tickets[[#This Row],[priority]],tbl_sla[priority],tbl_sla[First Response SLA Minutes])</f>
        <v>60</v>
      </c>
      <c r="M2353" t="str">
        <f>IF(tbl_analysis_tickets[[#This Row],[resolution_time_hours]]&gt;tbl_analysis_tickets[[#This Row],[Resolution SLA Hours]],"Breached","Within SLA")</f>
        <v>Breached</v>
      </c>
      <c r="N2353" t="str">
        <f>IF(tbl_analysis_tickets[[#This Row],[first_response_minutes]]&gt;tbl_analysis_tickets[[#This Row],[First Response SLA Minutes]],"Breached","Within SLA")</f>
        <v>Within SLA</v>
      </c>
      <c r="O2353" t="str" cm="1">
        <f t="array" ref="O2353">_xlfn.IFS(
tbl_analysis_tickets[[#This Row],[agent_experience_years]]&lt;=2,"Junior",
tbl_analysis_tickets[[#This Row],[agent_experience_years]]&lt;=5,"Mid-Level",
tbl_analysis_tickets[[#This Row],[agent_experience_years]]&lt;=8,"Senior",
tbl_analysis_tickets[[#This Row],[agent_experience_years]]&gt;8,"Expert"
)</f>
        <v>Expert</v>
      </c>
      <c r="P2353" cm="1">
        <f t="array" ref="P2353">_xlfn.SWITCH(tbl_analysis_tickets[[#This Row],[customer_satisfaction]],
"Low",1,
"Medium",2,
"High",3
)</f>
        <v>2</v>
      </c>
      <c r="Q2353">
        <f>IF(tbl_analysis_tickets[[#This Row],[reopened]]="Yes",1,0)</f>
        <v>0</v>
      </c>
      <c r="R2353" t="str" cm="1">
        <f t="array" ref="R2353">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2353" t="str" cm="1">
        <f t="array" ref="S235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353" t="str">
        <f>TEXT(tbl_analysis_tickets[[#This Row],[created_date]],"mmm-yyyy")</f>
        <v>Mar-2024</v>
      </c>
      <c r="U2353" t="str">
        <f>TEXT(tbl_analysis_tickets[[#This Row],[created_date]],"dddd")</f>
        <v>Friday</v>
      </c>
      <c r="V2353" cm="1">
        <f t="array" ref="V2353">_xlfn.SWITCH(tbl_analysis_tickets[[#This Row],[priority]],
"Urgent",1,
"High",2,
"Medium",3,
"Low",4
)</f>
        <v>2</v>
      </c>
    </row>
    <row r="2354" spans="1:22" x14ac:dyDescent="0.25">
      <c r="A2354">
        <v>2353</v>
      </c>
      <c r="B2354" s="1">
        <v>45608</v>
      </c>
      <c r="C2354" t="s">
        <v>22</v>
      </c>
      <c r="D2354" t="s">
        <v>17</v>
      </c>
      <c r="E2354">
        <v>38</v>
      </c>
      <c r="F2354">
        <v>16</v>
      </c>
      <c r="G2354">
        <v>5.9</v>
      </c>
      <c r="H2354" t="s">
        <v>12</v>
      </c>
      <c r="I2354" t="s">
        <v>16</v>
      </c>
      <c r="J2354" t="s">
        <v>11</v>
      </c>
      <c r="K2354">
        <f>_xlfn.XLOOKUP(tbl_analysis_tickets[[#This Row],[priority]],tbl_sla[priority],tbl_sla[Resolution SLA Hours])</f>
        <v>8</v>
      </c>
      <c r="L2354">
        <f>_xlfn.XLOOKUP(tbl_analysis_tickets[[#This Row],[priority]],tbl_sla[priority],tbl_sla[First Response SLA Minutes])</f>
        <v>30</v>
      </c>
      <c r="M2354" t="str">
        <f>IF(tbl_analysis_tickets[[#This Row],[resolution_time_hours]]&gt;tbl_analysis_tickets[[#This Row],[Resolution SLA Hours]],"Breached","Within SLA")</f>
        <v>Breached</v>
      </c>
      <c r="N2354" t="str">
        <f>IF(tbl_analysis_tickets[[#This Row],[first_response_minutes]]&gt;tbl_analysis_tickets[[#This Row],[First Response SLA Minutes]],"Breached","Within SLA")</f>
        <v>Breached</v>
      </c>
      <c r="O2354" t="str" cm="1">
        <f t="array" ref="O2354">_xlfn.IFS(
tbl_analysis_tickets[[#This Row],[agent_experience_years]]&lt;=2,"Junior",
tbl_analysis_tickets[[#This Row],[agent_experience_years]]&lt;=5,"Mid-Level",
tbl_analysis_tickets[[#This Row],[agent_experience_years]]&lt;=8,"Senior",
tbl_analysis_tickets[[#This Row],[agent_experience_years]]&gt;8,"Expert"
)</f>
        <v>Senior</v>
      </c>
      <c r="P2354" cm="1">
        <f t="array" ref="P2354">_xlfn.SWITCH(tbl_analysis_tickets[[#This Row],[customer_satisfaction]],
"Low",1,
"Medium",2,
"High",3
)</f>
        <v>1</v>
      </c>
      <c r="Q2354">
        <f>IF(tbl_analysis_tickets[[#This Row],[reopened]]="Yes",1,0)</f>
        <v>1</v>
      </c>
      <c r="R2354" t="str" cm="1">
        <f t="array" ref="R2354">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354" t="str" cm="1">
        <f t="array" ref="S235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354" t="str">
        <f>TEXT(tbl_analysis_tickets[[#This Row],[created_date]],"mmm-yyyy")</f>
        <v>Nov-2024</v>
      </c>
      <c r="U2354" t="str">
        <f>TEXT(tbl_analysis_tickets[[#This Row],[created_date]],"dddd")</f>
        <v>Tuesday</v>
      </c>
      <c r="V2354" cm="1">
        <f t="array" ref="V2354">_xlfn.SWITCH(tbl_analysis_tickets[[#This Row],[priority]],
"Urgent",1,
"High",2,
"Medium",3,
"Low",4
)</f>
        <v>1</v>
      </c>
    </row>
    <row r="2355" spans="1:22" x14ac:dyDescent="0.25">
      <c r="A2355">
        <v>2354</v>
      </c>
      <c r="B2355" s="1">
        <v>45509</v>
      </c>
      <c r="C2355" t="s">
        <v>23</v>
      </c>
      <c r="D2355" t="s">
        <v>17</v>
      </c>
      <c r="E2355">
        <v>197</v>
      </c>
      <c r="F2355">
        <v>19</v>
      </c>
      <c r="G2355">
        <v>8.6999999999999993</v>
      </c>
      <c r="H2355" t="s">
        <v>12</v>
      </c>
      <c r="I2355" t="s">
        <v>16</v>
      </c>
      <c r="J2355" t="s">
        <v>11</v>
      </c>
      <c r="K2355">
        <f>_xlfn.XLOOKUP(tbl_analysis_tickets[[#This Row],[priority]],tbl_sla[priority],tbl_sla[Resolution SLA Hours])</f>
        <v>8</v>
      </c>
      <c r="L2355">
        <f>_xlfn.XLOOKUP(tbl_analysis_tickets[[#This Row],[priority]],tbl_sla[priority],tbl_sla[First Response SLA Minutes])</f>
        <v>30</v>
      </c>
      <c r="M2355" t="str">
        <f>IF(tbl_analysis_tickets[[#This Row],[resolution_time_hours]]&gt;tbl_analysis_tickets[[#This Row],[Resolution SLA Hours]],"Breached","Within SLA")</f>
        <v>Breached</v>
      </c>
      <c r="N2355" t="str">
        <f>IF(tbl_analysis_tickets[[#This Row],[first_response_minutes]]&gt;tbl_analysis_tickets[[#This Row],[First Response SLA Minutes]],"Breached","Within SLA")</f>
        <v>Breached</v>
      </c>
      <c r="O2355" t="str" cm="1">
        <f t="array" ref="O2355">_xlfn.IFS(
tbl_analysis_tickets[[#This Row],[agent_experience_years]]&lt;=2,"Junior",
tbl_analysis_tickets[[#This Row],[agent_experience_years]]&lt;=5,"Mid-Level",
tbl_analysis_tickets[[#This Row],[agent_experience_years]]&lt;=8,"Senior",
tbl_analysis_tickets[[#This Row],[agent_experience_years]]&gt;8,"Expert"
)</f>
        <v>Expert</v>
      </c>
      <c r="P2355" cm="1">
        <f t="array" ref="P2355">_xlfn.SWITCH(tbl_analysis_tickets[[#This Row],[customer_satisfaction]],
"Low",1,
"Medium",2,
"High",3
)</f>
        <v>1</v>
      </c>
      <c r="Q2355">
        <f>IF(tbl_analysis_tickets[[#This Row],[reopened]]="Yes",1,0)</f>
        <v>1</v>
      </c>
      <c r="R2355" t="str" cm="1">
        <f t="array" ref="R2355">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355" t="str" cm="1">
        <f t="array" ref="S235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355" t="str">
        <f>TEXT(tbl_analysis_tickets[[#This Row],[created_date]],"mmm-yyyy")</f>
        <v>Aug-2024</v>
      </c>
      <c r="U2355" t="str">
        <f>TEXT(tbl_analysis_tickets[[#This Row],[created_date]],"dddd")</f>
        <v>Monday</v>
      </c>
      <c r="V2355" cm="1">
        <f t="array" ref="V2355">_xlfn.SWITCH(tbl_analysis_tickets[[#This Row],[priority]],
"Urgent",1,
"High",2,
"Medium",3,
"Low",4
)</f>
        <v>1</v>
      </c>
    </row>
    <row r="2356" spans="1:22" x14ac:dyDescent="0.25">
      <c r="A2356">
        <v>2355</v>
      </c>
      <c r="B2356" s="1">
        <v>45596</v>
      </c>
      <c r="C2356" t="s">
        <v>14</v>
      </c>
      <c r="D2356" t="s">
        <v>11</v>
      </c>
      <c r="E2356">
        <v>90</v>
      </c>
      <c r="F2356">
        <v>67</v>
      </c>
      <c r="G2356">
        <v>4.7</v>
      </c>
      <c r="H2356" t="s">
        <v>12</v>
      </c>
      <c r="I2356" t="s">
        <v>16</v>
      </c>
      <c r="J2356" t="s">
        <v>11</v>
      </c>
      <c r="K2356">
        <f>_xlfn.XLOOKUP(tbl_analysis_tickets[[#This Row],[priority]],tbl_sla[priority],tbl_sla[Resolution SLA Hours])</f>
        <v>72</v>
      </c>
      <c r="L2356">
        <f>_xlfn.XLOOKUP(tbl_analysis_tickets[[#This Row],[priority]],tbl_sla[priority],tbl_sla[First Response SLA Minutes])</f>
        <v>240</v>
      </c>
      <c r="M2356" t="str">
        <f>IF(tbl_analysis_tickets[[#This Row],[resolution_time_hours]]&gt;tbl_analysis_tickets[[#This Row],[Resolution SLA Hours]],"Breached","Within SLA")</f>
        <v>Within SLA</v>
      </c>
      <c r="N2356" t="str">
        <f>IF(tbl_analysis_tickets[[#This Row],[first_response_minutes]]&gt;tbl_analysis_tickets[[#This Row],[First Response SLA Minutes]],"Breached","Within SLA")</f>
        <v>Within SLA</v>
      </c>
      <c r="O2356" t="str" cm="1">
        <f t="array" ref="O2356">_xlfn.IFS(
tbl_analysis_tickets[[#This Row],[agent_experience_years]]&lt;=2,"Junior",
tbl_analysis_tickets[[#This Row],[agent_experience_years]]&lt;=5,"Mid-Level",
tbl_analysis_tickets[[#This Row],[agent_experience_years]]&lt;=8,"Senior",
tbl_analysis_tickets[[#This Row],[agent_experience_years]]&gt;8,"Expert"
)</f>
        <v>Mid-Level</v>
      </c>
      <c r="P2356" cm="1">
        <f t="array" ref="P2356">_xlfn.SWITCH(tbl_analysis_tickets[[#This Row],[customer_satisfaction]],
"Low",1,
"Medium",2,
"High",3
)</f>
        <v>1</v>
      </c>
      <c r="Q2356">
        <f>IF(tbl_analysis_tickets[[#This Row],[reopened]]="Yes",1,0)</f>
        <v>1</v>
      </c>
      <c r="R2356" t="str" cm="1">
        <f t="array" ref="R2356">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356" t="str" cm="1">
        <f t="array" ref="S235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356" t="str">
        <f>TEXT(tbl_analysis_tickets[[#This Row],[created_date]],"mmm-yyyy")</f>
        <v>Oct-2024</v>
      </c>
      <c r="U2356" t="str">
        <f>TEXT(tbl_analysis_tickets[[#This Row],[created_date]],"dddd")</f>
        <v>Thursday</v>
      </c>
      <c r="V2356" cm="1">
        <f t="array" ref="V2356">_xlfn.SWITCH(tbl_analysis_tickets[[#This Row],[priority]],
"Urgent",1,
"High",2,
"Medium",3,
"Low",4
)</f>
        <v>4</v>
      </c>
    </row>
    <row r="2357" spans="1:22" x14ac:dyDescent="0.25">
      <c r="A2357">
        <v>2356</v>
      </c>
      <c r="B2357" s="1">
        <v>45623</v>
      </c>
      <c r="C2357" t="s">
        <v>10</v>
      </c>
      <c r="D2357" t="s">
        <v>15</v>
      </c>
      <c r="E2357">
        <v>196</v>
      </c>
      <c r="F2357">
        <v>35</v>
      </c>
      <c r="G2357">
        <v>1.3</v>
      </c>
      <c r="H2357" t="s">
        <v>18</v>
      </c>
      <c r="I2357" t="s">
        <v>16</v>
      </c>
      <c r="J2357" t="s">
        <v>11</v>
      </c>
      <c r="K2357">
        <f>_xlfn.XLOOKUP(tbl_analysis_tickets[[#This Row],[priority]],tbl_sla[priority],tbl_sla[Resolution SLA Hours])</f>
        <v>48</v>
      </c>
      <c r="L2357">
        <f>_xlfn.XLOOKUP(tbl_analysis_tickets[[#This Row],[priority]],tbl_sla[priority],tbl_sla[First Response SLA Minutes])</f>
        <v>120</v>
      </c>
      <c r="M2357" t="str">
        <f>IF(tbl_analysis_tickets[[#This Row],[resolution_time_hours]]&gt;tbl_analysis_tickets[[#This Row],[Resolution SLA Hours]],"Breached","Within SLA")</f>
        <v>Within SLA</v>
      </c>
      <c r="N2357" t="str">
        <f>IF(tbl_analysis_tickets[[#This Row],[first_response_minutes]]&gt;tbl_analysis_tickets[[#This Row],[First Response SLA Minutes]],"Breached","Within SLA")</f>
        <v>Breached</v>
      </c>
      <c r="O2357" t="str" cm="1">
        <f t="array" ref="O2357">_xlfn.IFS(
tbl_analysis_tickets[[#This Row],[agent_experience_years]]&lt;=2,"Junior",
tbl_analysis_tickets[[#This Row],[agent_experience_years]]&lt;=5,"Mid-Level",
tbl_analysis_tickets[[#This Row],[agent_experience_years]]&lt;=8,"Senior",
tbl_analysis_tickets[[#This Row],[agent_experience_years]]&gt;8,"Expert"
)</f>
        <v>Junior</v>
      </c>
      <c r="P2357" cm="1">
        <f t="array" ref="P2357">_xlfn.SWITCH(tbl_analysis_tickets[[#This Row],[customer_satisfaction]],
"Low",1,
"Medium",2,
"High",3
)</f>
        <v>1</v>
      </c>
      <c r="Q2357">
        <f>IF(tbl_analysis_tickets[[#This Row],[reopened]]="Yes",1,0)</f>
        <v>0</v>
      </c>
      <c r="R2357" t="str" cm="1">
        <f t="array" ref="R2357">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357" t="str" cm="1">
        <f t="array" ref="S235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357" t="str">
        <f>TEXT(tbl_analysis_tickets[[#This Row],[created_date]],"mmm-yyyy")</f>
        <v>Nov-2024</v>
      </c>
      <c r="U2357" t="str">
        <f>TEXT(tbl_analysis_tickets[[#This Row],[created_date]],"dddd")</f>
        <v>Wednesday</v>
      </c>
      <c r="V2357" cm="1">
        <f t="array" ref="V2357">_xlfn.SWITCH(tbl_analysis_tickets[[#This Row],[priority]],
"Urgent",1,
"High",2,
"Medium",3,
"Low",4
)</f>
        <v>3</v>
      </c>
    </row>
    <row r="2358" spans="1:22" x14ac:dyDescent="0.25">
      <c r="A2358">
        <v>2357</v>
      </c>
      <c r="B2358" s="1">
        <v>45496</v>
      </c>
      <c r="C2358" t="s">
        <v>21</v>
      </c>
      <c r="D2358" t="s">
        <v>20</v>
      </c>
      <c r="E2358">
        <v>21</v>
      </c>
      <c r="F2358">
        <v>15</v>
      </c>
      <c r="G2358">
        <v>6.6</v>
      </c>
      <c r="H2358" t="s">
        <v>18</v>
      </c>
      <c r="I2358" t="s">
        <v>19</v>
      </c>
      <c r="J2358" t="s">
        <v>15</v>
      </c>
      <c r="K2358">
        <f>_xlfn.XLOOKUP(tbl_analysis_tickets[[#This Row],[priority]],tbl_sla[priority],tbl_sla[Resolution SLA Hours])</f>
        <v>24</v>
      </c>
      <c r="L2358">
        <f>_xlfn.XLOOKUP(tbl_analysis_tickets[[#This Row],[priority]],tbl_sla[priority],tbl_sla[First Response SLA Minutes])</f>
        <v>60</v>
      </c>
      <c r="M2358" t="str">
        <f>IF(tbl_analysis_tickets[[#This Row],[resolution_time_hours]]&gt;tbl_analysis_tickets[[#This Row],[Resolution SLA Hours]],"Breached","Within SLA")</f>
        <v>Within SLA</v>
      </c>
      <c r="N2358" t="str">
        <f>IF(tbl_analysis_tickets[[#This Row],[first_response_minutes]]&gt;tbl_analysis_tickets[[#This Row],[First Response SLA Minutes]],"Breached","Within SLA")</f>
        <v>Within SLA</v>
      </c>
      <c r="O2358" t="str" cm="1">
        <f t="array" ref="O2358">_xlfn.IFS(
tbl_analysis_tickets[[#This Row],[agent_experience_years]]&lt;=2,"Junior",
tbl_analysis_tickets[[#This Row],[agent_experience_years]]&lt;=5,"Mid-Level",
tbl_analysis_tickets[[#This Row],[agent_experience_years]]&lt;=8,"Senior",
tbl_analysis_tickets[[#This Row],[agent_experience_years]]&gt;8,"Expert"
)</f>
        <v>Senior</v>
      </c>
      <c r="P2358" cm="1">
        <f t="array" ref="P2358">_xlfn.SWITCH(tbl_analysis_tickets[[#This Row],[customer_satisfaction]],
"Low",1,
"Medium",2,
"High",3
)</f>
        <v>2</v>
      </c>
      <c r="Q2358">
        <f>IF(tbl_analysis_tickets[[#This Row],[reopened]]="Yes",1,0)</f>
        <v>0</v>
      </c>
      <c r="R2358" t="str" cm="1">
        <f t="array" ref="R2358">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2358" t="str" cm="1">
        <f t="array" ref="S235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358" t="str">
        <f>TEXT(tbl_analysis_tickets[[#This Row],[created_date]],"mmm-yyyy")</f>
        <v>Jul-2024</v>
      </c>
      <c r="U2358" t="str">
        <f>TEXT(tbl_analysis_tickets[[#This Row],[created_date]],"dddd")</f>
        <v>Tuesday</v>
      </c>
      <c r="V2358" cm="1">
        <f t="array" ref="V2358">_xlfn.SWITCH(tbl_analysis_tickets[[#This Row],[priority]],
"Urgent",1,
"High",2,
"Medium",3,
"Low",4
)</f>
        <v>2</v>
      </c>
    </row>
    <row r="2359" spans="1:22" x14ac:dyDescent="0.25">
      <c r="A2359">
        <v>2358</v>
      </c>
      <c r="B2359" s="1">
        <v>45418</v>
      </c>
      <c r="C2359" t="s">
        <v>21</v>
      </c>
      <c r="D2359" t="s">
        <v>15</v>
      </c>
      <c r="E2359">
        <v>175</v>
      </c>
      <c r="F2359">
        <v>67</v>
      </c>
      <c r="G2359">
        <v>0.7</v>
      </c>
      <c r="H2359" t="s">
        <v>18</v>
      </c>
      <c r="I2359" t="s">
        <v>16</v>
      </c>
      <c r="J2359" t="s">
        <v>11</v>
      </c>
      <c r="K2359">
        <f>_xlfn.XLOOKUP(tbl_analysis_tickets[[#This Row],[priority]],tbl_sla[priority],tbl_sla[Resolution SLA Hours])</f>
        <v>48</v>
      </c>
      <c r="L2359">
        <f>_xlfn.XLOOKUP(tbl_analysis_tickets[[#This Row],[priority]],tbl_sla[priority],tbl_sla[First Response SLA Minutes])</f>
        <v>120</v>
      </c>
      <c r="M2359" t="str">
        <f>IF(tbl_analysis_tickets[[#This Row],[resolution_time_hours]]&gt;tbl_analysis_tickets[[#This Row],[Resolution SLA Hours]],"Breached","Within SLA")</f>
        <v>Breached</v>
      </c>
      <c r="N2359" t="str">
        <f>IF(tbl_analysis_tickets[[#This Row],[first_response_minutes]]&gt;tbl_analysis_tickets[[#This Row],[First Response SLA Minutes]],"Breached","Within SLA")</f>
        <v>Breached</v>
      </c>
      <c r="O2359" t="str" cm="1">
        <f t="array" ref="O2359">_xlfn.IFS(
tbl_analysis_tickets[[#This Row],[agent_experience_years]]&lt;=2,"Junior",
tbl_analysis_tickets[[#This Row],[agent_experience_years]]&lt;=5,"Mid-Level",
tbl_analysis_tickets[[#This Row],[agent_experience_years]]&lt;=8,"Senior",
tbl_analysis_tickets[[#This Row],[agent_experience_years]]&gt;8,"Expert"
)</f>
        <v>Junior</v>
      </c>
      <c r="P2359" cm="1">
        <f t="array" ref="P2359">_xlfn.SWITCH(tbl_analysis_tickets[[#This Row],[customer_satisfaction]],
"Low",1,
"Medium",2,
"High",3
)</f>
        <v>1</v>
      </c>
      <c r="Q2359">
        <f>IF(tbl_analysis_tickets[[#This Row],[reopened]]="Yes",1,0)</f>
        <v>0</v>
      </c>
      <c r="R2359" t="str" cm="1">
        <f t="array" ref="R2359">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359" t="str" cm="1">
        <f t="array" ref="S235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359" t="str">
        <f>TEXT(tbl_analysis_tickets[[#This Row],[created_date]],"mmm-yyyy")</f>
        <v>May-2024</v>
      </c>
      <c r="U2359" t="str">
        <f>TEXT(tbl_analysis_tickets[[#This Row],[created_date]],"dddd")</f>
        <v>Monday</v>
      </c>
      <c r="V2359" cm="1">
        <f t="array" ref="V2359">_xlfn.SWITCH(tbl_analysis_tickets[[#This Row],[priority]],
"Urgent",1,
"High",2,
"Medium",3,
"Low",4
)</f>
        <v>3</v>
      </c>
    </row>
    <row r="2360" spans="1:22" x14ac:dyDescent="0.25">
      <c r="A2360">
        <v>2359</v>
      </c>
      <c r="B2360" s="1">
        <v>45297</v>
      </c>
      <c r="C2360" t="s">
        <v>21</v>
      </c>
      <c r="D2360" t="s">
        <v>15</v>
      </c>
      <c r="E2360">
        <v>45</v>
      </c>
      <c r="F2360">
        <v>48</v>
      </c>
      <c r="G2360">
        <v>6.7</v>
      </c>
      <c r="H2360" t="s">
        <v>12</v>
      </c>
      <c r="I2360" t="s">
        <v>19</v>
      </c>
      <c r="J2360" t="s">
        <v>11</v>
      </c>
      <c r="K2360">
        <f>_xlfn.XLOOKUP(tbl_analysis_tickets[[#This Row],[priority]],tbl_sla[priority],tbl_sla[Resolution SLA Hours])</f>
        <v>48</v>
      </c>
      <c r="L2360">
        <f>_xlfn.XLOOKUP(tbl_analysis_tickets[[#This Row],[priority]],tbl_sla[priority],tbl_sla[First Response SLA Minutes])</f>
        <v>120</v>
      </c>
      <c r="M2360" t="str">
        <f>IF(tbl_analysis_tickets[[#This Row],[resolution_time_hours]]&gt;tbl_analysis_tickets[[#This Row],[Resolution SLA Hours]],"Breached","Within SLA")</f>
        <v>Within SLA</v>
      </c>
      <c r="N2360" t="str">
        <f>IF(tbl_analysis_tickets[[#This Row],[first_response_minutes]]&gt;tbl_analysis_tickets[[#This Row],[First Response SLA Minutes]],"Breached","Within SLA")</f>
        <v>Within SLA</v>
      </c>
      <c r="O2360" t="str" cm="1">
        <f t="array" ref="O2360">_xlfn.IFS(
tbl_analysis_tickets[[#This Row],[agent_experience_years]]&lt;=2,"Junior",
tbl_analysis_tickets[[#This Row],[agent_experience_years]]&lt;=5,"Mid-Level",
tbl_analysis_tickets[[#This Row],[agent_experience_years]]&lt;=8,"Senior",
tbl_analysis_tickets[[#This Row],[agent_experience_years]]&gt;8,"Expert"
)</f>
        <v>Senior</v>
      </c>
      <c r="P2360" cm="1">
        <f t="array" ref="P2360">_xlfn.SWITCH(tbl_analysis_tickets[[#This Row],[customer_satisfaction]],
"Low",1,
"Medium",2,
"High",3
)</f>
        <v>1</v>
      </c>
      <c r="Q2360">
        <f>IF(tbl_analysis_tickets[[#This Row],[reopened]]="Yes",1,0)</f>
        <v>1</v>
      </c>
      <c r="R2360" t="str" cm="1">
        <f t="array" ref="R2360">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360" t="str" cm="1">
        <f t="array" ref="S236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360" t="str">
        <f>TEXT(tbl_analysis_tickets[[#This Row],[created_date]],"mmm-yyyy")</f>
        <v>Jan-2024</v>
      </c>
      <c r="U2360" t="str">
        <f>TEXT(tbl_analysis_tickets[[#This Row],[created_date]],"dddd")</f>
        <v>Saturday</v>
      </c>
      <c r="V2360" cm="1">
        <f t="array" ref="V2360">_xlfn.SWITCH(tbl_analysis_tickets[[#This Row],[priority]],
"Urgent",1,
"High",2,
"Medium",3,
"Low",4
)</f>
        <v>3</v>
      </c>
    </row>
    <row r="2361" spans="1:22" x14ac:dyDescent="0.25">
      <c r="A2361">
        <v>2360</v>
      </c>
      <c r="B2361" s="1">
        <v>45380</v>
      </c>
      <c r="C2361" t="s">
        <v>14</v>
      </c>
      <c r="D2361" t="s">
        <v>11</v>
      </c>
      <c r="E2361">
        <v>6</v>
      </c>
      <c r="F2361">
        <v>30</v>
      </c>
      <c r="G2361">
        <v>6.2</v>
      </c>
      <c r="H2361" t="s">
        <v>18</v>
      </c>
      <c r="I2361" t="s">
        <v>19</v>
      </c>
      <c r="J2361" t="s">
        <v>20</v>
      </c>
      <c r="K2361">
        <f>_xlfn.XLOOKUP(tbl_analysis_tickets[[#This Row],[priority]],tbl_sla[priority],tbl_sla[Resolution SLA Hours])</f>
        <v>72</v>
      </c>
      <c r="L2361">
        <f>_xlfn.XLOOKUP(tbl_analysis_tickets[[#This Row],[priority]],tbl_sla[priority],tbl_sla[First Response SLA Minutes])</f>
        <v>240</v>
      </c>
      <c r="M2361" t="str">
        <f>IF(tbl_analysis_tickets[[#This Row],[resolution_time_hours]]&gt;tbl_analysis_tickets[[#This Row],[Resolution SLA Hours]],"Breached","Within SLA")</f>
        <v>Within SLA</v>
      </c>
      <c r="N2361" t="str">
        <f>IF(tbl_analysis_tickets[[#This Row],[first_response_minutes]]&gt;tbl_analysis_tickets[[#This Row],[First Response SLA Minutes]],"Breached","Within SLA")</f>
        <v>Within SLA</v>
      </c>
      <c r="O2361" t="str" cm="1">
        <f t="array" ref="O2361">_xlfn.IFS(
tbl_analysis_tickets[[#This Row],[agent_experience_years]]&lt;=2,"Junior",
tbl_analysis_tickets[[#This Row],[agent_experience_years]]&lt;=5,"Mid-Level",
tbl_analysis_tickets[[#This Row],[agent_experience_years]]&lt;=8,"Senior",
tbl_analysis_tickets[[#This Row],[agent_experience_years]]&gt;8,"Expert"
)</f>
        <v>Senior</v>
      </c>
      <c r="P2361" cm="1">
        <f t="array" ref="P2361">_xlfn.SWITCH(tbl_analysis_tickets[[#This Row],[customer_satisfaction]],
"Low",1,
"Medium",2,
"High",3
)</f>
        <v>3</v>
      </c>
      <c r="Q2361">
        <f>IF(tbl_analysis_tickets[[#This Row],[reopened]]="Yes",1,0)</f>
        <v>0</v>
      </c>
      <c r="R2361" t="str" cm="1">
        <f t="array" ref="R2361">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2361" t="str" cm="1">
        <f t="array" ref="S236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361" t="str">
        <f>TEXT(tbl_analysis_tickets[[#This Row],[created_date]],"mmm-yyyy")</f>
        <v>Mar-2024</v>
      </c>
      <c r="U2361" t="str">
        <f>TEXT(tbl_analysis_tickets[[#This Row],[created_date]],"dddd")</f>
        <v>Friday</v>
      </c>
      <c r="V2361" cm="1">
        <f t="array" ref="V2361">_xlfn.SWITCH(tbl_analysis_tickets[[#This Row],[priority]],
"Urgent",1,
"High",2,
"Medium",3,
"Low",4
)</f>
        <v>4</v>
      </c>
    </row>
    <row r="2362" spans="1:22" x14ac:dyDescent="0.25">
      <c r="A2362">
        <v>2361</v>
      </c>
      <c r="B2362" s="1">
        <v>45526</v>
      </c>
      <c r="C2362" t="s">
        <v>14</v>
      </c>
      <c r="D2362" t="s">
        <v>20</v>
      </c>
      <c r="E2362">
        <v>185</v>
      </c>
      <c r="F2362">
        <v>42</v>
      </c>
      <c r="G2362">
        <v>6.2</v>
      </c>
      <c r="H2362" t="s">
        <v>12</v>
      </c>
      <c r="I2362" t="s">
        <v>16</v>
      </c>
      <c r="J2362" t="s">
        <v>11</v>
      </c>
      <c r="K2362">
        <f>_xlfn.XLOOKUP(tbl_analysis_tickets[[#This Row],[priority]],tbl_sla[priority],tbl_sla[Resolution SLA Hours])</f>
        <v>24</v>
      </c>
      <c r="L2362">
        <f>_xlfn.XLOOKUP(tbl_analysis_tickets[[#This Row],[priority]],tbl_sla[priority],tbl_sla[First Response SLA Minutes])</f>
        <v>60</v>
      </c>
      <c r="M2362" t="str">
        <f>IF(tbl_analysis_tickets[[#This Row],[resolution_time_hours]]&gt;tbl_analysis_tickets[[#This Row],[Resolution SLA Hours]],"Breached","Within SLA")</f>
        <v>Breached</v>
      </c>
      <c r="N2362" t="str">
        <f>IF(tbl_analysis_tickets[[#This Row],[first_response_minutes]]&gt;tbl_analysis_tickets[[#This Row],[First Response SLA Minutes]],"Breached","Within SLA")</f>
        <v>Breached</v>
      </c>
      <c r="O2362" t="str" cm="1">
        <f t="array" ref="O2362">_xlfn.IFS(
tbl_analysis_tickets[[#This Row],[agent_experience_years]]&lt;=2,"Junior",
tbl_analysis_tickets[[#This Row],[agent_experience_years]]&lt;=5,"Mid-Level",
tbl_analysis_tickets[[#This Row],[agent_experience_years]]&lt;=8,"Senior",
tbl_analysis_tickets[[#This Row],[agent_experience_years]]&gt;8,"Expert"
)</f>
        <v>Senior</v>
      </c>
      <c r="P2362" cm="1">
        <f t="array" ref="P2362">_xlfn.SWITCH(tbl_analysis_tickets[[#This Row],[customer_satisfaction]],
"Low",1,
"Medium",2,
"High",3
)</f>
        <v>1</v>
      </c>
      <c r="Q2362">
        <f>IF(tbl_analysis_tickets[[#This Row],[reopened]]="Yes",1,0)</f>
        <v>1</v>
      </c>
      <c r="R2362" t="str" cm="1">
        <f t="array" ref="R2362">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362" t="str" cm="1">
        <f t="array" ref="S236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362" t="str">
        <f>TEXT(tbl_analysis_tickets[[#This Row],[created_date]],"mmm-yyyy")</f>
        <v>Aug-2024</v>
      </c>
      <c r="U2362" t="str">
        <f>TEXT(tbl_analysis_tickets[[#This Row],[created_date]],"dddd")</f>
        <v>Thursday</v>
      </c>
      <c r="V2362" cm="1">
        <f t="array" ref="V2362">_xlfn.SWITCH(tbl_analysis_tickets[[#This Row],[priority]],
"Urgent",1,
"High",2,
"Medium",3,
"Low",4
)</f>
        <v>2</v>
      </c>
    </row>
    <row r="2363" spans="1:22" x14ac:dyDescent="0.25">
      <c r="A2363">
        <v>2362</v>
      </c>
      <c r="B2363" s="1">
        <v>45558</v>
      </c>
      <c r="C2363" t="s">
        <v>10</v>
      </c>
      <c r="D2363" t="s">
        <v>15</v>
      </c>
      <c r="E2363">
        <v>197</v>
      </c>
      <c r="F2363">
        <v>8</v>
      </c>
      <c r="G2363">
        <v>3.2</v>
      </c>
      <c r="H2363" t="s">
        <v>12</v>
      </c>
      <c r="I2363" t="s">
        <v>16</v>
      </c>
      <c r="J2363" t="s">
        <v>11</v>
      </c>
      <c r="K2363">
        <f>_xlfn.XLOOKUP(tbl_analysis_tickets[[#This Row],[priority]],tbl_sla[priority],tbl_sla[Resolution SLA Hours])</f>
        <v>48</v>
      </c>
      <c r="L2363">
        <f>_xlfn.XLOOKUP(tbl_analysis_tickets[[#This Row],[priority]],tbl_sla[priority],tbl_sla[First Response SLA Minutes])</f>
        <v>120</v>
      </c>
      <c r="M2363" t="str">
        <f>IF(tbl_analysis_tickets[[#This Row],[resolution_time_hours]]&gt;tbl_analysis_tickets[[#This Row],[Resolution SLA Hours]],"Breached","Within SLA")</f>
        <v>Within SLA</v>
      </c>
      <c r="N2363" t="str">
        <f>IF(tbl_analysis_tickets[[#This Row],[first_response_minutes]]&gt;tbl_analysis_tickets[[#This Row],[First Response SLA Minutes]],"Breached","Within SLA")</f>
        <v>Breached</v>
      </c>
      <c r="O2363" t="str" cm="1">
        <f t="array" ref="O2363">_xlfn.IFS(
tbl_analysis_tickets[[#This Row],[agent_experience_years]]&lt;=2,"Junior",
tbl_analysis_tickets[[#This Row],[agent_experience_years]]&lt;=5,"Mid-Level",
tbl_analysis_tickets[[#This Row],[agent_experience_years]]&lt;=8,"Senior",
tbl_analysis_tickets[[#This Row],[agent_experience_years]]&gt;8,"Expert"
)</f>
        <v>Mid-Level</v>
      </c>
      <c r="P2363" cm="1">
        <f t="array" ref="P2363">_xlfn.SWITCH(tbl_analysis_tickets[[#This Row],[customer_satisfaction]],
"Low",1,
"Medium",2,
"High",3
)</f>
        <v>1</v>
      </c>
      <c r="Q2363">
        <f>IF(tbl_analysis_tickets[[#This Row],[reopened]]="Yes",1,0)</f>
        <v>1</v>
      </c>
      <c r="R2363" t="str" cm="1">
        <f t="array" ref="R2363">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363" t="str" cm="1">
        <f t="array" ref="S236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2363" t="str">
        <f>TEXT(tbl_analysis_tickets[[#This Row],[created_date]],"mmm-yyyy")</f>
        <v>Sep-2024</v>
      </c>
      <c r="U2363" t="str">
        <f>TEXT(tbl_analysis_tickets[[#This Row],[created_date]],"dddd")</f>
        <v>Monday</v>
      </c>
      <c r="V2363" cm="1">
        <f t="array" ref="V2363">_xlfn.SWITCH(tbl_analysis_tickets[[#This Row],[priority]],
"Urgent",1,
"High",2,
"Medium",3,
"Low",4
)</f>
        <v>3</v>
      </c>
    </row>
    <row r="2364" spans="1:22" x14ac:dyDescent="0.25">
      <c r="A2364">
        <v>2363</v>
      </c>
      <c r="B2364" s="1">
        <v>45313</v>
      </c>
      <c r="C2364" t="s">
        <v>10</v>
      </c>
      <c r="D2364" t="s">
        <v>17</v>
      </c>
      <c r="E2364">
        <v>224</v>
      </c>
      <c r="F2364">
        <v>46</v>
      </c>
      <c r="G2364">
        <v>3.9</v>
      </c>
      <c r="H2364" t="s">
        <v>18</v>
      </c>
      <c r="I2364" t="s">
        <v>16</v>
      </c>
      <c r="J2364" t="s">
        <v>11</v>
      </c>
      <c r="K2364">
        <f>_xlfn.XLOOKUP(tbl_analysis_tickets[[#This Row],[priority]],tbl_sla[priority],tbl_sla[Resolution SLA Hours])</f>
        <v>8</v>
      </c>
      <c r="L2364">
        <f>_xlfn.XLOOKUP(tbl_analysis_tickets[[#This Row],[priority]],tbl_sla[priority],tbl_sla[First Response SLA Minutes])</f>
        <v>30</v>
      </c>
      <c r="M2364" t="str">
        <f>IF(tbl_analysis_tickets[[#This Row],[resolution_time_hours]]&gt;tbl_analysis_tickets[[#This Row],[Resolution SLA Hours]],"Breached","Within SLA")</f>
        <v>Breached</v>
      </c>
      <c r="N2364" t="str">
        <f>IF(tbl_analysis_tickets[[#This Row],[first_response_minutes]]&gt;tbl_analysis_tickets[[#This Row],[First Response SLA Minutes]],"Breached","Within SLA")</f>
        <v>Breached</v>
      </c>
      <c r="O2364" t="str" cm="1">
        <f t="array" ref="O2364">_xlfn.IFS(
tbl_analysis_tickets[[#This Row],[agent_experience_years]]&lt;=2,"Junior",
tbl_analysis_tickets[[#This Row],[agent_experience_years]]&lt;=5,"Mid-Level",
tbl_analysis_tickets[[#This Row],[agent_experience_years]]&lt;=8,"Senior",
tbl_analysis_tickets[[#This Row],[agent_experience_years]]&gt;8,"Expert"
)</f>
        <v>Mid-Level</v>
      </c>
      <c r="P2364" cm="1">
        <f t="array" ref="P2364">_xlfn.SWITCH(tbl_analysis_tickets[[#This Row],[customer_satisfaction]],
"Low",1,
"Medium",2,
"High",3
)</f>
        <v>1</v>
      </c>
      <c r="Q2364">
        <f>IF(tbl_analysis_tickets[[#This Row],[reopened]]="Yes",1,0)</f>
        <v>0</v>
      </c>
      <c r="R2364" t="str" cm="1">
        <f t="array" ref="R2364">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364" t="str" cm="1">
        <f t="array" ref="S236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364" t="str">
        <f>TEXT(tbl_analysis_tickets[[#This Row],[created_date]],"mmm-yyyy")</f>
        <v>Jan-2024</v>
      </c>
      <c r="U2364" t="str">
        <f>TEXT(tbl_analysis_tickets[[#This Row],[created_date]],"dddd")</f>
        <v>Monday</v>
      </c>
      <c r="V2364" cm="1">
        <f t="array" ref="V2364">_xlfn.SWITCH(tbl_analysis_tickets[[#This Row],[priority]],
"Urgent",1,
"High",2,
"Medium",3,
"Low",4
)</f>
        <v>1</v>
      </c>
    </row>
    <row r="2365" spans="1:22" x14ac:dyDescent="0.25">
      <c r="A2365">
        <v>2364</v>
      </c>
      <c r="B2365" s="1">
        <v>45317</v>
      </c>
      <c r="C2365" t="s">
        <v>21</v>
      </c>
      <c r="D2365" t="s">
        <v>15</v>
      </c>
      <c r="E2365">
        <v>173</v>
      </c>
      <c r="F2365">
        <v>5</v>
      </c>
      <c r="G2365">
        <v>1.6</v>
      </c>
      <c r="H2365" t="s">
        <v>12</v>
      </c>
      <c r="I2365" t="s">
        <v>16</v>
      </c>
      <c r="J2365" t="s">
        <v>15</v>
      </c>
      <c r="K2365">
        <f>_xlfn.XLOOKUP(tbl_analysis_tickets[[#This Row],[priority]],tbl_sla[priority],tbl_sla[Resolution SLA Hours])</f>
        <v>48</v>
      </c>
      <c r="L2365">
        <f>_xlfn.XLOOKUP(tbl_analysis_tickets[[#This Row],[priority]],tbl_sla[priority],tbl_sla[First Response SLA Minutes])</f>
        <v>120</v>
      </c>
      <c r="M2365" t="str">
        <f>IF(tbl_analysis_tickets[[#This Row],[resolution_time_hours]]&gt;tbl_analysis_tickets[[#This Row],[Resolution SLA Hours]],"Breached","Within SLA")</f>
        <v>Within SLA</v>
      </c>
      <c r="N2365" t="str">
        <f>IF(tbl_analysis_tickets[[#This Row],[first_response_minutes]]&gt;tbl_analysis_tickets[[#This Row],[First Response SLA Minutes]],"Breached","Within SLA")</f>
        <v>Breached</v>
      </c>
      <c r="O2365" t="str" cm="1">
        <f t="array" ref="O2365">_xlfn.IFS(
tbl_analysis_tickets[[#This Row],[agent_experience_years]]&lt;=2,"Junior",
tbl_analysis_tickets[[#This Row],[agent_experience_years]]&lt;=5,"Mid-Level",
tbl_analysis_tickets[[#This Row],[agent_experience_years]]&lt;=8,"Senior",
tbl_analysis_tickets[[#This Row],[agent_experience_years]]&gt;8,"Expert"
)</f>
        <v>Junior</v>
      </c>
      <c r="P2365" cm="1">
        <f t="array" ref="P2365">_xlfn.SWITCH(tbl_analysis_tickets[[#This Row],[customer_satisfaction]],
"Low",1,
"Medium",2,
"High",3
)</f>
        <v>2</v>
      </c>
      <c r="Q2365">
        <f>IF(tbl_analysis_tickets[[#This Row],[reopened]]="Yes",1,0)</f>
        <v>1</v>
      </c>
      <c r="R2365" t="str" cm="1">
        <f t="array" ref="R2365">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365" t="str" cm="1">
        <f t="array" ref="S236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2365" t="str">
        <f>TEXT(tbl_analysis_tickets[[#This Row],[created_date]],"mmm-yyyy")</f>
        <v>Jan-2024</v>
      </c>
      <c r="U2365" t="str">
        <f>TEXT(tbl_analysis_tickets[[#This Row],[created_date]],"dddd")</f>
        <v>Friday</v>
      </c>
      <c r="V2365" cm="1">
        <f t="array" ref="V2365">_xlfn.SWITCH(tbl_analysis_tickets[[#This Row],[priority]],
"Urgent",1,
"High",2,
"Medium",3,
"Low",4
)</f>
        <v>3</v>
      </c>
    </row>
    <row r="2366" spans="1:22" x14ac:dyDescent="0.25">
      <c r="A2366">
        <v>2365</v>
      </c>
      <c r="B2366" s="1">
        <v>45441</v>
      </c>
      <c r="C2366" t="s">
        <v>22</v>
      </c>
      <c r="D2366" t="s">
        <v>17</v>
      </c>
      <c r="E2366">
        <v>6</v>
      </c>
      <c r="F2366">
        <v>47</v>
      </c>
      <c r="G2366">
        <v>6.5</v>
      </c>
      <c r="H2366" t="s">
        <v>12</v>
      </c>
      <c r="I2366" t="s">
        <v>19</v>
      </c>
      <c r="J2366" t="s">
        <v>15</v>
      </c>
      <c r="K2366">
        <f>_xlfn.XLOOKUP(tbl_analysis_tickets[[#This Row],[priority]],tbl_sla[priority],tbl_sla[Resolution SLA Hours])</f>
        <v>8</v>
      </c>
      <c r="L2366">
        <f>_xlfn.XLOOKUP(tbl_analysis_tickets[[#This Row],[priority]],tbl_sla[priority],tbl_sla[First Response SLA Minutes])</f>
        <v>30</v>
      </c>
      <c r="M2366" t="str">
        <f>IF(tbl_analysis_tickets[[#This Row],[resolution_time_hours]]&gt;tbl_analysis_tickets[[#This Row],[Resolution SLA Hours]],"Breached","Within SLA")</f>
        <v>Breached</v>
      </c>
      <c r="N2366" t="str">
        <f>IF(tbl_analysis_tickets[[#This Row],[first_response_minutes]]&gt;tbl_analysis_tickets[[#This Row],[First Response SLA Minutes]],"Breached","Within SLA")</f>
        <v>Within SLA</v>
      </c>
      <c r="O2366" t="str" cm="1">
        <f t="array" ref="O2366">_xlfn.IFS(
tbl_analysis_tickets[[#This Row],[agent_experience_years]]&lt;=2,"Junior",
tbl_analysis_tickets[[#This Row],[agent_experience_years]]&lt;=5,"Mid-Level",
tbl_analysis_tickets[[#This Row],[agent_experience_years]]&lt;=8,"Senior",
tbl_analysis_tickets[[#This Row],[agent_experience_years]]&gt;8,"Expert"
)</f>
        <v>Senior</v>
      </c>
      <c r="P2366" cm="1">
        <f t="array" ref="P2366">_xlfn.SWITCH(tbl_analysis_tickets[[#This Row],[customer_satisfaction]],
"Low",1,
"Medium",2,
"High",3
)</f>
        <v>2</v>
      </c>
      <c r="Q2366">
        <f>IF(tbl_analysis_tickets[[#This Row],[reopened]]="Yes",1,0)</f>
        <v>1</v>
      </c>
      <c r="R2366" t="str" cm="1">
        <f t="array" ref="R2366">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2366" t="str" cm="1">
        <f t="array" ref="S236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366" t="str">
        <f>TEXT(tbl_analysis_tickets[[#This Row],[created_date]],"mmm-yyyy")</f>
        <v>May-2024</v>
      </c>
      <c r="U2366" t="str">
        <f>TEXT(tbl_analysis_tickets[[#This Row],[created_date]],"dddd")</f>
        <v>Wednesday</v>
      </c>
      <c r="V2366" cm="1">
        <f t="array" ref="V2366">_xlfn.SWITCH(tbl_analysis_tickets[[#This Row],[priority]],
"Urgent",1,
"High",2,
"Medium",3,
"Low",4
)</f>
        <v>1</v>
      </c>
    </row>
    <row r="2367" spans="1:22" x14ac:dyDescent="0.25">
      <c r="A2367">
        <v>2366</v>
      </c>
      <c r="B2367" s="1">
        <v>45413</v>
      </c>
      <c r="C2367" t="s">
        <v>10</v>
      </c>
      <c r="D2367" t="s">
        <v>15</v>
      </c>
      <c r="E2367">
        <v>61</v>
      </c>
      <c r="F2367">
        <v>66</v>
      </c>
      <c r="G2367">
        <v>1.8</v>
      </c>
      <c r="H2367" t="s">
        <v>12</v>
      </c>
      <c r="I2367" t="s">
        <v>13</v>
      </c>
      <c r="J2367" t="s">
        <v>11</v>
      </c>
      <c r="K2367">
        <f>_xlfn.XLOOKUP(tbl_analysis_tickets[[#This Row],[priority]],tbl_sla[priority],tbl_sla[Resolution SLA Hours])</f>
        <v>48</v>
      </c>
      <c r="L2367">
        <f>_xlfn.XLOOKUP(tbl_analysis_tickets[[#This Row],[priority]],tbl_sla[priority],tbl_sla[First Response SLA Minutes])</f>
        <v>120</v>
      </c>
      <c r="M2367" t="str">
        <f>IF(tbl_analysis_tickets[[#This Row],[resolution_time_hours]]&gt;tbl_analysis_tickets[[#This Row],[Resolution SLA Hours]],"Breached","Within SLA")</f>
        <v>Breached</v>
      </c>
      <c r="N2367" t="str">
        <f>IF(tbl_analysis_tickets[[#This Row],[first_response_minutes]]&gt;tbl_analysis_tickets[[#This Row],[First Response SLA Minutes]],"Breached","Within SLA")</f>
        <v>Within SLA</v>
      </c>
      <c r="O2367" t="str" cm="1">
        <f t="array" ref="O2367">_xlfn.IFS(
tbl_analysis_tickets[[#This Row],[agent_experience_years]]&lt;=2,"Junior",
tbl_analysis_tickets[[#This Row],[agent_experience_years]]&lt;=5,"Mid-Level",
tbl_analysis_tickets[[#This Row],[agent_experience_years]]&lt;=8,"Senior",
tbl_analysis_tickets[[#This Row],[agent_experience_years]]&gt;8,"Expert"
)</f>
        <v>Junior</v>
      </c>
      <c r="P2367" cm="1">
        <f t="array" ref="P2367">_xlfn.SWITCH(tbl_analysis_tickets[[#This Row],[customer_satisfaction]],
"Low",1,
"Medium",2,
"High",3
)</f>
        <v>1</v>
      </c>
      <c r="Q2367">
        <f>IF(tbl_analysis_tickets[[#This Row],[reopened]]="Yes",1,0)</f>
        <v>1</v>
      </c>
      <c r="R2367" t="str" cm="1">
        <f t="array" ref="R2367">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367" t="str" cm="1">
        <f t="array" ref="S236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367" t="str">
        <f>TEXT(tbl_analysis_tickets[[#This Row],[created_date]],"mmm-yyyy")</f>
        <v>May-2024</v>
      </c>
      <c r="U2367" t="str">
        <f>TEXT(tbl_analysis_tickets[[#This Row],[created_date]],"dddd")</f>
        <v>Wednesday</v>
      </c>
      <c r="V2367" cm="1">
        <f t="array" ref="V2367">_xlfn.SWITCH(tbl_analysis_tickets[[#This Row],[priority]],
"Urgent",1,
"High",2,
"Medium",3,
"Low",4
)</f>
        <v>3</v>
      </c>
    </row>
    <row r="2368" spans="1:22" x14ac:dyDescent="0.25">
      <c r="A2368">
        <v>2367</v>
      </c>
      <c r="B2368" s="1">
        <v>45340</v>
      </c>
      <c r="C2368" t="s">
        <v>22</v>
      </c>
      <c r="D2368" t="s">
        <v>20</v>
      </c>
      <c r="E2368">
        <v>127</v>
      </c>
      <c r="F2368">
        <v>59</v>
      </c>
      <c r="G2368">
        <v>9.5</v>
      </c>
      <c r="H2368" t="s">
        <v>12</v>
      </c>
      <c r="I2368" t="s">
        <v>16</v>
      </c>
      <c r="J2368" t="s">
        <v>11</v>
      </c>
      <c r="K2368">
        <f>_xlfn.XLOOKUP(tbl_analysis_tickets[[#This Row],[priority]],tbl_sla[priority],tbl_sla[Resolution SLA Hours])</f>
        <v>24</v>
      </c>
      <c r="L2368">
        <f>_xlfn.XLOOKUP(tbl_analysis_tickets[[#This Row],[priority]],tbl_sla[priority],tbl_sla[First Response SLA Minutes])</f>
        <v>60</v>
      </c>
      <c r="M2368" t="str">
        <f>IF(tbl_analysis_tickets[[#This Row],[resolution_time_hours]]&gt;tbl_analysis_tickets[[#This Row],[Resolution SLA Hours]],"Breached","Within SLA")</f>
        <v>Breached</v>
      </c>
      <c r="N2368" t="str">
        <f>IF(tbl_analysis_tickets[[#This Row],[first_response_minutes]]&gt;tbl_analysis_tickets[[#This Row],[First Response SLA Minutes]],"Breached","Within SLA")</f>
        <v>Breached</v>
      </c>
      <c r="O2368" t="str" cm="1">
        <f t="array" ref="O2368">_xlfn.IFS(
tbl_analysis_tickets[[#This Row],[agent_experience_years]]&lt;=2,"Junior",
tbl_analysis_tickets[[#This Row],[agent_experience_years]]&lt;=5,"Mid-Level",
tbl_analysis_tickets[[#This Row],[agent_experience_years]]&lt;=8,"Senior",
tbl_analysis_tickets[[#This Row],[agent_experience_years]]&gt;8,"Expert"
)</f>
        <v>Expert</v>
      </c>
      <c r="P2368" cm="1">
        <f t="array" ref="P2368">_xlfn.SWITCH(tbl_analysis_tickets[[#This Row],[customer_satisfaction]],
"Low",1,
"Medium",2,
"High",3
)</f>
        <v>1</v>
      </c>
      <c r="Q2368">
        <f>IF(tbl_analysis_tickets[[#This Row],[reopened]]="Yes",1,0)</f>
        <v>1</v>
      </c>
      <c r="R2368" t="str" cm="1">
        <f t="array" ref="R2368">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368" t="str" cm="1">
        <f t="array" ref="S236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368" t="str">
        <f>TEXT(tbl_analysis_tickets[[#This Row],[created_date]],"mmm-yyyy")</f>
        <v>Feb-2024</v>
      </c>
      <c r="U2368" t="str">
        <f>TEXT(tbl_analysis_tickets[[#This Row],[created_date]],"dddd")</f>
        <v>Sunday</v>
      </c>
      <c r="V2368" cm="1">
        <f t="array" ref="V2368">_xlfn.SWITCH(tbl_analysis_tickets[[#This Row],[priority]],
"Urgent",1,
"High",2,
"Medium",3,
"Low",4
)</f>
        <v>2</v>
      </c>
    </row>
    <row r="2369" spans="1:22" x14ac:dyDescent="0.25">
      <c r="A2369">
        <v>2368</v>
      </c>
      <c r="B2369" s="1">
        <v>45335</v>
      </c>
      <c r="C2369" t="s">
        <v>23</v>
      </c>
      <c r="D2369" t="s">
        <v>17</v>
      </c>
      <c r="E2369">
        <v>47</v>
      </c>
      <c r="F2369">
        <v>11</v>
      </c>
      <c r="G2369">
        <v>5.0999999999999996</v>
      </c>
      <c r="H2369" t="s">
        <v>18</v>
      </c>
      <c r="I2369" t="s">
        <v>13</v>
      </c>
      <c r="J2369" t="s">
        <v>11</v>
      </c>
      <c r="K2369">
        <f>_xlfn.XLOOKUP(tbl_analysis_tickets[[#This Row],[priority]],tbl_sla[priority],tbl_sla[Resolution SLA Hours])</f>
        <v>8</v>
      </c>
      <c r="L2369">
        <f>_xlfn.XLOOKUP(tbl_analysis_tickets[[#This Row],[priority]],tbl_sla[priority],tbl_sla[First Response SLA Minutes])</f>
        <v>30</v>
      </c>
      <c r="M2369" t="str">
        <f>IF(tbl_analysis_tickets[[#This Row],[resolution_time_hours]]&gt;tbl_analysis_tickets[[#This Row],[Resolution SLA Hours]],"Breached","Within SLA")</f>
        <v>Breached</v>
      </c>
      <c r="N2369" t="str">
        <f>IF(tbl_analysis_tickets[[#This Row],[first_response_minutes]]&gt;tbl_analysis_tickets[[#This Row],[First Response SLA Minutes]],"Breached","Within SLA")</f>
        <v>Breached</v>
      </c>
      <c r="O2369" t="str" cm="1">
        <f t="array" ref="O2369">_xlfn.IFS(
tbl_analysis_tickets[[#This Row],[agent_experience_years]]&lt;=2,"Junior",
tbl_analysis_tickets[[#This Row],[agent_experience_years]]&lt;=5,"Mid-Level",
tbl_analysis_tickets[[#This Row],[agent_experience_years]]&lt;=8,"Senior",
tbl_analysis_tickets[[#This Row],[agent_experience_years]]&gt;8,"Expert"
)</f>
        <v>Senior</v>
      </c>
      <c r="P2369" cm="1">
        <f t="array" ref="P2369">_xlfn.SWITCH(tbl_analysis_tickets[[#This Row],[customer_satisfaction]],
"Low",1,
"Medium",2,
"High",3
)</f>
        <v>1</v>
      </c>
      <c r="Q2369">
        <f>IF(tbl_analysis_tickets[[#This Row],[reopened]]="Yes",1,0)</f>
        <v>0</v>
      </c>
      <c r="R2369" t="str" cm="1">
        <f t="array" ref="R2369">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369" t="str" cm="1">
        <f t="array" ref="S236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369" t="str">
        <f>TEXT(tbl_analysis_tickets[[#This Row],[created_date]],"mmm-yyyy")</f>
        <v>Feb-2024</v>
      </c>
      <c r="U2369" t="str">
        <f>TEXT(tbl_analysis_tickets[[#This Row],[created_date]],"dddd")</f>
        <v>Tuesday</v>
      </c>
      <c r="V2369" cm="1">
        <f t="array" ref="V2369">_xlfn.SWITCH(tbl_analysis_tickets[[#This Row],[priority]],
"Urgent",1,
"High",2,
"Medium",3,
"Low",4
)</f>
        <v>1</v>
      </c>
    </row>
    <row r="2370" spans="1:22" x14ac:dyDescent="0.25">
      <c r="A2370">
        <v>2369</v>
      </c>
      <c r="B2370" s="1">
        <v>45652</v>
      </c>
      <c r="C2370" t="s">
        <v>10</v>
      </c>
      <c r="D2370" t="s">
        <v>15</v>
      </c>
      <c r="E2370">
        <v>177</v>
      </c>
      <c r="F2370">
        <v>36</v>
      </c>
      <c r="G2370">
        <v>4.3</v>
      </c>
      <c r="H2370" t="s">
        <v>18</v>
      </c>
      <c r="I2370" t="s">
        <v>13</v>
      </c>
      <c r="J2370" t="s">
        <v>11</v>
      </c>
      <c r="K2370">
        <f>_xlfn.XLOOKUP(tbl_analysis_tickets[[#This Row],[priority]],tbl_sla[priority],tbl_sla[Resolution SLA Hours])</f>
        <v>48</v>
      </c>
      <c r="L2370">
        <f>_xlfn.XLOOKUP(tbl_analysis_tickets[[#This Row],[priority]],tbl_sla[priority],tbl_sla[First Response SLA Minutes])</f>
        <v>120</v>
      </c>
      <c r="M2370" t="str">
        <f>IF(tbl_analysis_tickets[[#This Row],[resolution_time_hours]]&gt;tbl_analysis_tickets[[#This Row],[Resolution SLA Hours]],"Breached","Within SLA")</f>
        <v>Within SLA</v>
      </c>
      <c r="N2370" t="str">
        <f>IF(tbl_analysis_tickets[[#This Row],[first_response_minutes]]&gt;tbl_analysis_tickets[[#This Row],[First Response SLA Minutes]],"Breached","Within SLA")</f>
        <v>Breached</v>
      </c>
      <c r="O2370" t="str" cm="1">
        <f t="array" ref="O2370">_xlfn.IFS(
tbl_analysis_tickets[[#This Row],[agent_experience_years]]&lt;=2,"Junior",
tbl_analysis_tickets[[#This Row],[agent_experience_years]]&lt;=5,"Mid-Level",
tbl_analysis_tickets[[#This Row],[agent_experience_years]]&lt;=8,"Senior",
tbl_analysis_tickets[[#This Row],[agent_experience_years]]&gt;8,"Expert"
)</f>
        <v>Mid-Level</v>
      </c>
      <c r="P2370" cm="1">
        <f t="array" ref="P2370">_xlfn.SWITCH(tbl_analysis_tickets[[#This Row],[customer_satisfaction]],
"Low",1,
"Medium",2,
"High",3
)</f>
        <v>1</v>
      </c>
      <c r="Q2370">
        <f>IF(tbl_analysis_tickets[[#This Row],[reopened]]="Yes",1,0)</f>
        <v>0</v>
      </c>
      <c r="R2370" t="str" cm="1">
        <f t="array" ref="R2370">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370" t="str" cm="1">
        <f t="array" ref="S237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370" t="str">
        <f>TEXT(tbl_analysis_tickets[[#This Row],[created_date]],"mmm-yyyy")</f>
        <v>Dec-2024</v>
      </c>
      <c r="U2370" t="str">
        <f>TEXT(tbl_analysis_tickets[[#This Row],[created_date]],"dddd")</f>
        <v>Thursday</v>
      </c>
      <c r="V2370" cm="1">
        <f t="array" ref="V2370">_xlfn.SWITCH(tbl_analysis_tickets[[#This Row],[priority]],
"Urgent",1,
"High",2,
"Medium",3,
"Low",4
)</f>
        <v>3</v>
      </c>
    </row>
    <row r="2371" spans="1:22" x14ac:dyDescent="0.25">
      <c r="A2371">
        <v>2370</v>
      </c>
      <c r="B2371" s="1">
        <v>45484</v>
      </c>
      <c r="C2371" t="s">
        <v>21</v>
      </c>
      <c r="D2371" t="s">
        <v>15</v>
      </c>
      <c r="E2371">
        <v>45</v>
      </c>
      <c r="F2371">
        <v>24</v>
      </c>
      <c r="G2371">
        <v>6.9</v>
      </c>
      <c r="H2371" t="s">
        <v>18</v>
      </c>
      <c r="I2371" t="s">
        <v>16</v>
      </c>
      <c r="J2371" t="s">
        <v>15</v>
      </c>
      <c r="K2371">
        <f>_xlfn.XLOOKUP(tbl_analysis_tickets[[#This Row],[priority]],tbl_sla[priority],tbl_sla[Resolution SLA Hours])</f>
        <v>48</v>
      </c>
      <c r="L2371">
        <f>_xlfn.XLOOKUP(tbl_analysis_tickets[[#This Row],[priority]],tbl_sla[priority],tbl_sla[First Response SLA Minutes])</f>
        <v>120</v>
      </c>
      <c r="M2371" t="str">
        <f>IF(tbl_analysis_tickets[[#This Row],[resolution_time_hours]]&gt;tbl_analysis_tickets[[#This Row],[Resolution SLA Hours]],"Breached","Within SLA")</f>
        <v>Within SLA</v>
      </c>
      <c r="N2371" t="str">
        <f>IF(tbl_analysis_tickets[[#This Row],[first_response_minutes]]&gt;tbl_analysis_tickets[[#This Row],[First Response SLA Minutes]],"Breached","Within SLA")</f>
        <v>Within SLA</v>
      </c>
      <c r="O2371" t="str" cm="1">
        <f t="array" ref="O2371">_xlfn.IFS(
tbl_analysis_tickets[[#This Row],[agent_experience_years]]&lt;=2,"Junior",
tbl_analysis_tickets[[#This Row],[agent_experience_years]]&lt;=5,"Mid-Level",
tbl_analysis_tickets[[#This Row],[agent_experience_years]]&lt;=8,"Senior",
tbl_analysis_tickets[[#This Row],[agent_experience_years]]&gt;8,"Expert"
)</f>
        <v>Senior</v>
      </c>
      <c r="P2371" cm="1">
        <f t="array" ref="P2371">_xlfn.SWITCH(tbl_analysis_tickets[[#This Row],[customer_satisfaction]],
"Low",1,
"Medium",2,
"High",3
)</f>
        <v>2</v>
      </c>
      <c r="Q2371">
        <f>IF(tbl_analysis_tickets[[#This Row],[reopened]]="Yes",1,0)</f>
        <v>0</v>
      </c>
      <c r="R2371" t="str" cm="1">
        <f t="array" ref="R2371">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371" t="str" cm="1">
        <f t="array" ref="S237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371" t="str">
        <f>TEXT(tbl_analysis_tickets[[#This Row],[created_date]],"mmm-yyyy")</f>
        <v>Jul-2024</v>
      </c>
      <c r="U2371" t="str">
        <f>TEXT(tbl_analysis_tickets[[#This Row],[created_date]],"dddd")</f>
        <v>Thursday</v>
      </c>
      <c r="V2371" cm="1">
        <f t="array" ref="V2371">_xlfn.SWITCH(tbl_analysis_tickets[[#This Row],[priority]],
"Urgent",1,
"High",2,
"Medium",3,
"Low",4
)</f>
        <v>3</v>
      </c>
    </row>
    <row r="2372" spans="1:22" x14ac:dyDescent="0.25">
      <c r="A2372">
        <v>2371</v>
      </c>
      <c r="B2372" s="1">
        <v>45513</v>
      </c>
      <c r="C2372" t="s">
        <v>14</v>
      </c>
      <c r="D2372" t="s">
        <v>11</v>
      </c>
      <c r="E2372">
        <v>230</v>
      </c>
      <c r="F2372">
        <v>59</v>
      </c>
      <c r="G2372">
        <v>2.4</v>
      </c>
      <c r="H2372" t="s">
        <v>18</v>
      </c>
      <c r="I2372" t="s">
        <v>19</v>
      </c>
      <c r="J2372" t="s">
        <v>11</v>
      </c>
      <c r="K2372">
        <f>_xlfn.XLOOKUP(tbl_analysis_tickets[[#This Row],[priority]],tbl_sla[priority],tbl_sla[Resolution SLA Hours])</f>
        <v>72</v>
      </c>
      <c r="L2372">
        <f>_xlfn.XLOOKUP(tbl_analysis_tickets[[#This Row],[priority]],tbl_sla[priority],tbl_sla[First Response SLA Minutes])</f>
        <v>240</v>
      </c>
      <c r="M2372" t="str">
        <f>IF(tbl_analysis_tickets[[#This Row],[resolution_time_hours]]&gt;tbl_analysis_tickets[[#This Row],[Resolution SLA Hours]],"Breached","Within SLA")</f>
        <v>Within SLA</v>
      </c>
      <c r="N2372" t="str">
        <f>IF(tbl_analysis_tickets[[#This Row],[first_response_minutes]]&gt;tbl_analysis_tickets[[#This Row],[First Response SLA Minutes]],"Breached","Within SLA")</f>
        <v>Within SLA</v>
      </c>
      <c r="O2372" t="str" cm="1">
        <f t="array" ref="O2372">_xlfn.IFS(
tbl_analysis_tickets[[#This Row],[agent_experience_years]]&lt;=2,"Junior",
tbl_analysis_tickets[[#This Row],[agent_experience_years]]&lt;=5,"Mid-Level",
tbl_analysis_tickets[[#This Row],[agent_experience_years]]&lt;=8,"Senior",
tbl_analysis_tickets[[#This Row],[agent_experience_years]]&gt;8,"Expert"
)</f>
        <v>Mid-Level</v>
      </c>
      <c r="P2372" cm="1">
        <f t="array" ref="P2372">_xlfn.SWITCH(tbl_analysis_tickets[[#This Row],[customer_satisfaction]],
"Low",1,
"Medium",2,
"High",3
)</f>
        <v>1</v>
      </c>
      <c r="Q2372">
        <f>IF(tbl_analysis_tickets[[#This Row],[reopened]]="Yes",1,0)</f>
        <v>0</v>
      </c>
      <c r="R2372" t="str" cm="1">
        <f t="array" ref="R2372">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372" t="str" cm="1">
        <f t="array" ref="S237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372" t="str">
        <f>TEXT(tbl_analysis_tickets[[#This Row],[created_date]],"mmm-yyyy")</f>
        <v>Aug-2024</v>
      </c>
      <c r="U2372" t="str">
        <f>TEXT(tbl_analysis_tickets[[#This Row],[created_date]],"dddd")</f>
        <v>Friday</v>
      </c>
      <c r="V2372" cm="1">
        <f t="array" ref="V2372">_xlfn.SWITCH(tbl_analysis_tickets[[#This Row],[priority]],
"Urgent",1,
"High",2,
"Medium",3,
"Low",4
)</f>
        <v>4</v>
      </c>
    </row>
    <row r="2373" spans="1:22" x14ac:dyDescent="0.25">
      <c r="A2373">
        <v>2372</v>
      </c>
      <c r="B2373" s="1">
        <v>45330</v>
      </c>
      <c r="C2373" t="s">
        <v>14</v>
      </c>
      <c r="D2373" t="s">
        <v>11</v>
      </c>
      <c r="E2373">
        <v>177</v>
      </c>
      <c r="F2373">
        <v>53</v>
      </c>
      <c r="G2373">
        <v>1.2</v>
      </c>
      <c r="H2373" t="s">
        <v>12</v>
      </c>
      <c r="I2373" t="s">
        <v>16</v>
      </c>
      <c r="J2373" t="s">
        <v>11</v>
      </c>
      <c r="K2373">
        <f>_xlfn.XLOOKUP(tbl_analysis_tickets[[#This Row],[priority]],tbl_sla[priority],tbl_sla[Resolution SLA Hours])</f>
        <v>72</v>
      </c>
      <c r="L2373">
        <f>_xlfn.XLOOKUP(tbl_analysis_tickets[[#This Row],[priority]],tbl_sla[priority],tbl_sla[First Response SLA Minutes])</f>
        <v>240</v>
      </c>
      <c r="M2373" t="str">
        <f>IF(tbl_analysis_tickets[[#This Row],[resolution_time_hours]]&gt;tbl_analysis_tickets[[#This Row],[Resolution SLA Hours]],"Breached","Within SLA")</f>
        <v>Within SLA</v>
      </c>
      <c r="N2373" t="str">
        <f>IF(tbl_analysis_tickets[[#This Row],[first_response_minutes]]&gt;tbl_analysis_tickets[[#This Row],[First Response SLA Minutes]],"Breached","Within SLA")</f>
        <v>Within SLA</v>
      </c>
      <c r="O2373" t="str" cm="1">
        <f t="array" ref="O2373">_xlfn.IFS(
tbl_analysis_tickets[[#This Row],[agent_experience_years]]&lt;=2,"Junior",
tbl_analysis_tickets[[#This Row],[agent_experience_years]]&lt;=5,"Mid-Level",
tbl_analysis_tickets[[#This Row],[agent_experience_years]]&lt;=8,"Senior",
tbl_analysis_tickets[[#This Row],[agent_experience_years]]&gt;8,"Expert"
)</f>
        <v>Junior</v>
      </c>
      <c r="P2373" cm="1">
        <f t="array" ref="P2373">_xlfn.SWITCH(tbl_analysis_tickets[[#This Row],[customer_satisfaction]],
"Low",1,
"Medium",2,
"High",3
)</f>
        <v>1</v>
      </c>
      <c r="Q2373">
        <f>IF(tbl_analysis_tickets[[#This Row],[reopened]]="Yes",1,0)</f>
        <v>1</v>
      </c>
      <c r="R2373" t="str" cm="1">
        <f t="array" ref="R2373">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373" t="str" cm="1">
        <f t="array" ref="S237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373" t="str">
        <f>TEXT(tbl_analysis_tickets[[#This Row],[created_date]],"mmm-yyyy")</f>
        <v>Feb-2024</v>
      </c>
      <c r="U2373" t="str">
        <f>TEXT(tbl_analysis_tickets[[#This Row],[created_date]],"dddd")</f>
        <v>Thursday</v>
      </c>
      <c r="V2373" cm="1">
        <f t="array" ref="V2373">_xlfn.SWITCH(tbl_analysis_tickets[[#This Row],[priority]],
"Urgent",1,
"High",2,
"Medium",3,
"Low",4
)</f>
        <v>4</v>
      </c>
    </row>
    <row r="2374" spans="1:22" x14ac:dyDescent="0.25">
      <c r="A2374">
        <v>2373</v>
      </c>
      <c r="B2374" s="1">
        <v>45651</v>
      </c>
      <c r="C2374" t="s">
        <v>14</v>
      </c>
      <c r="D2374" t="s">
        <v>11</v>
      </c>
      <c r="E2374">
        <v>95</v>
      </c>
      <c r="F2374">
        <v>14</v>
      </c>
      <c r="G2374">
        <v>7.4</v>
      </c>
      <c r="H2374" t="s">
        <v>18</v>
      </c>
      <c r="I2374" t="s">
        <v>16</v>
      </c>
      <c r="J2374" t="s">
        <v>15</v>
      </c>
      <c r="K2374">
        <f>_xlfn.XLOOKUP(tbl_analysis_tickets[[#This Row],[priority]],tbl_sla[priority],tbl_sla[Resolution SLA Hours])</f>
        <v>72</v>
      </c>
      <c r="L2374">
        <f>_xlfn.XLOOKUP(tbl_analysis_tickets[[#This Row],[priority]],tbl_sla[priority],tbl_sla[First Response SLA Minutes])</f>
        <v>240</v>
      </c>
      <c r="M2374" t="str">
        <f>IF(tbl_analysis_tickets[[#This Row],[resolution_time_hours]]&gt;tbl_analysis_tickets[[#This Row],[Resolution SLA Hours]],"Breached","Within SLA")</f>
        <v>Within SLA</v>
      </c>
      <c r="N2374" t="str">
        <f>IF(tbl_analysis_tickets[[#This Row],[first_response_minutes]]&gt;tbl_analysis_tickets[[#This Row],[First Response SLA Minutes]],"Breached","Within SLA")</f>
        <v>Within SLA</v>
      </c>
      <c r="O2374" t="str" cm="1">
        <f t="array" ref="O2374">_xlfn.IFS(
tbl_analysis_tickets[[#This Row],[agent_experience_years]]&lt;=2,"Junior",
tbl_analysis_tickets[[#This Row],[agent_experience_years]]&lt;=5,"Mid-Level",
tbl_analysis_tickets[[#This Row],[agent_experience_years]]&lt;=8,"Senior",
tbl_analysis_tickets[[#This Row],[agent_experience_years]]&gt;8,"Expert"
)</f>
        <v>Senior</v>
      </c>
      <c r="P2374" cm="1">
        <f t="array" ref="P2374">_xlfn.SWITCH(tbl_analysis_tickets[[#This Row],[customer_satisfaction]],
"Low",1,
"Medium",2,
"High",3
)</f>
        <v>2</v>
      </c>
      <c r="Q2374">
        <f>IF(tbl_analysis_tickets[[#This Row],[reopened]]="Yes",1,0)</f>
        <v>0</v>
      </c>
      <c r="R2374" t="str" cm="1">
        <f t="array" ref="R2374">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374" t="str" cm="1">
        <f t="array" ref="S237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374" t="str">
        <f>TEXT(tbl_analysis_tickets[[#This Row],[created_date]],"mmm-yyyy")</f>
        <v>Dec-2024</v>
      </c>
      <c r="U2374" t="str">
        <f>TEXT(tbl_analysis_tickets[[#This Row],[created_date]],"dddd")</f>
        <v>Wednesday</v>
      </c>
      <c r="V2374" cm="1">
        <f t="array" ref="V2374">_xlfn.SWITCH(tbl_analysis_tickets[[#This Row],[priority]],
"Urgent",1,
"High",2,
"Medium",3,
"Low",4
)</f>
        <v>4</v>
      </c>
    </row>
    <row r="2375" spans="1:22" x14ac:dyDescent="0.25">
      <c r="A2375">
        <v>2374</v>
      </c>
      <c r="B2375" s="1">
        <v>45579</v>
      </c>
      <c r="C2375" t="s">
        <v>10</v>
      </c>
      <c r="D2375" t="s">
        <v>15</v>
      </c>
      <c r="E2375">
        <v>18</v>
      </c>
      <c r="F2375">
        <v>69</v>
      </c>
      <c r="G2375">
        <v>2.9</v>
      </c>
      <c r="H2375" t="s">
        <v>12</v>
      </c>
      <c r="I2375" t="s">
        <v>19</v>
      </c>
      <c r="J2375" t="s">
        <v>15</v>
      </c>
      <c r="K2375">
        <f>_xlfn.XLOOKUP(tbl_analysis_tickets[[#This Row],[priority]],tbl_sla[priority],tbl_sla[Resolution SLA Hours])</f>
        <v>48</v>
      </c>
      <c r="L2375">
        <f>_xlfn.XLOOKUP(tbl_analysis_tickets[[#This Row],[priority]],tbl_sla[priority],tbl_sla[First Response SLA Minutes])</f>
        <v>120</v>
      </c>
      <c r="M2375" t="str">
        <f>IF(tbl_analysis_tickets[[#This Row],[resolution_time_hours]]&gt;tbl_analysis_tickets[[#This Row],[Resolution SLA Hours]],"Breached","Within SLA")</f>
        <v>Breached</v>
      </c>
      <c r="N2375" t="str">
        <f>IF(tbl_analysis_tickets[[#This Row],[first_response_minutes]]&gt;tbl_analysis_tickets[[#This Row],[First Response SLA Minutes]],"Breached","Within SLA")</f>
        <v>Within SLA</v>
      </c>
      <c r="O2375" t="str" cm="1">
        <f t="array" ref="O2375">_xlfn.IFS(
tbl_analysis_tickets[[#This Row],[agent_experience_years]]&lt;=2,"Junior",
tbl_analysis_tickets[[#This Row],[agent_experience_years]]&lt;=5,"Mid-Level",
tbl_analysis_tickets[[#This Row],[agent_experience_years]]&lt;=8,"Senior",
tbl_analysis_tickets[[#This Row],[agent_experience_years]]&gt;8,"Expert"
)</f>
        <v>Mid-Level</v>
      </c>
      <c r="P2375" cm="1">
        <f t="array" ref="P2375">_xlfn.SWITCH(tbl_analysis_tickets[[#This Row],[customer_satisfaction]],
"Low",1,
"Medium",2,
"High",3
)</f>
        <v>2</v>
      </c>
      <c r="Q2375">
        <f>IF(tbl_analysis_tickets[[#This Row],[reopened]]="Yes",1,0)</f>
        <v>1</v>
      </c>
      <c r="R2375" t="str" cm="1">
        <f t="array" ref="R2375">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2375" t="str" cm="1">
        <f t="array" ref="S237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375" t="str">
        <f>TEXT(tbl_analysis_tickets[[#This Row],[created_date]],"mmm-yyyy")</f>
        <v>Oct-2024</v>
      </c>
      <c r="U2375" t="str">
        <f>TEXT(tbl_analysis_tickets[[#This Row],[created_date]],"dddd")</f>
        <v>Monday</v>
      </c>
      <c r="V2375" cm="1">
        <f t="array" ref="V2375">_xlfn.SWITCH(tbl_analysis_tickets[[#This Row],[priority]],
"Urgent",1,
"High",2,
"Medium",3,
"Low",4
)</f>
        <v>3</v>
      </c>
    </row>
    <row r="2376" spans="1:22" x14ac:dyDescent="0.25">
      <c r="A2376">
        <v>2375</v>
      </c>
      <c r="B2376" s="1">
        <v>45549</v>
      </c>
      <c r="C2376" t="s">
        <v>10</v>
      </c>
      <c r="D2376" t="s">
        <v>15</v>
      </c>
      <c r="E2376">
        <v>110</v>
      </c>
      <c r="F2376">
        <v>1</v>
      </c>
      <c r="G2376">
        <v>8.6999999999999993</v>
      </c>
      <c r="H2376" t="s">
        <v>18</v>
      </c>
      <c r="I2376" t="s">
        <v>13</v>
      </c>
      <c r="J2376" t="s">
        <v>20</v>
      </c>
      <c r="K2376">
        <f>_xlfn.XLOOKUP(tbl_analysis_tickets[[#This Row],[priority]],tbl_sla[priority],tbl_sla[Resolution SLA Hours])</f>
        <v>48</v>
      </c>
      <c r="L2376">
        <f>_xlfn.XLOOKUP(tbl_analysis_tickets[[#This Row],[priority]],tbl_sla[priority],tbl_sla[First Response SLA Minutes])</f>
        <v>120</v>
      </c>
      <c r="M2376" t="str">
        <f>IF(tbl_analysis_tickets[[#This Row],[resolution_time_hours]]&gt;tbl_analysis_tickets[[#This Row],[Resolution SLA Hours]],"Breached","Within SLA")</f>
        <v>Within SLA</v>
      </c>
      <c r="N2376" t="str">
        <f>IF(tbl_analysis_tickets[[#This Row],[first_response_minutes]]&gt;tbl_analysis_tickets[[#This Row],[First Response SLA Minutes]],"Breached","Within SLA")</f>
        <v>Within SLA</v>
      </c>
      <c r="O2376" t="str" cm="1">
        <f t="array" ref="O2376">_xlfn.IFS(
tbl_analysis_tickets[[#This Row],[agent_experience_years]]&lt;=2,"Junior",
tbl_analysis_tickets[[#This Row],[agent_experience_years]]&lt;=5,"Mid-Level",
tbl_analysis_tickets[[#This Row],[agent_experience_years]]&lt;=8,"Senior",
tbl_analysis_tickets[[#This Row],[agent_experience_years]]&gt;8,"Expert"
)</f>
        <v>Expert</v>
      </c>
      <c r="P2376" cm="1">
        <f t="array" ref="P2376">_xlfn.SWITCH(tbl_analysis_tickets[[#This Row],[customer_satisfaction]],
"Low",1,
"Medium",2,
"High",3
)</f>
        <v>3</v>
      </c>
      <c r="Q2376">
        <f>IF(tbl_analysis_tickets[[#This Row],[reopened]]="Yes",1,0)</f>
        <v>0</v>
      </c>
      <c r="R2376" t="str" cm="1">
        <f t="array" ref="R2376">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376" t="str" cm="1">
        <f t="array" ref="S237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2376" t="str">
        <f>TEXT(tbl_analysis_tickets[[#This Row],[created_date]],"mmm-yyyy")</f>
        <v>Sep-2024</v>
      </c>
      <c r="U2376" t="str">
        <f>TEXT(tbl_analysis_tickets[[#This Row],[created_date]],"dddd")</f>
        <v>Saturday</v>
      </c>
      <c r="V2376" cm="1">
        <f t="array" ref="V2376">_xlfn.SWITCH(tbl_analysis_tickets[[#This Row],[priority]],
"Urgent",1,
"High",2,
"Medium",3,
"Low",4
)</f>
        <v>3</v>
      </c>
    </row>
    <row r="2377" spans="1:22" x14ac:dyDescent="0.25">
      <c r="A2377">
        <v>2376</v>
      </c>
      <c r="B2377" s="1">
        <v>45489</v>
      </c>
      <c r="C2377" t="s">
        <v>14</v>
      </c>
      <c r="D2377" t="s">
        <v>11</v>
      </c>
      <c r="E2377">
        <v>141</v>
      </c>
      <c r="F2377">
        <v>61</v>
      </c>
      <c r="G2377">
        <v>6.3</v>
      </c>
      <c r="H2377" t="s">
        <v>18</v>
      </c>
      <c r="I2377" t="s">
        <v>13</v>
      </c>
      <c r="J2377" t="s">
        <v>15</v>
      </c>
      <c r="K2377">
        <f>_xlfn.XLOOKUP(tbl_analysis_tickets[[#This Row],[priority]],tbl_sla[priority],tbl_sla[Resolution SLA Hours])</f>
        <v>72</v>
      </c>
      <c r="L2377">
        <f>_xlfn.XLOOKUP(tbl_analysis_tickets[[#This Row],[priority]],tbl_sla[priority],tbl_sla[First Response SLA Minutes])</f>
        <v>240</v>
      </c>
      <c r="M2377" t="str">
        <f>IF(tbl_analysis_tickets[[#This Row],[resolution_time_hours]]&gt;tbl_analysis_tickets[[#This Row],[Resolution SLA Hours]],"Breached","Within SLA")</f>
        <v>Within SLA</v>
      </c>
      <c r="N2377" t="str">
        <f>IF(tbl_analysis_tickets[[#This Row],[first_response_minutes]]&gt;tbl_analysis_tickets[[#This Row],[First Response SLA Minutes]],"Breached","Within SLA")</f>
        <v>Within SLA</v>
      </c>
      <c r="O2377" t="str" cm="1">
        <f t="array" ref="O2377">_xlfn.IFS(
tbl_analysis_tickets[[#This Row],[agent_experience_years]]&lt;=2,"Junior",
tbl_analysis_tickets[[#This Row],[agent_experience_years]]&lt;=5,"Mid-Level",
tbl_analysis_tickets[[#This Row],[agent_experience_years]]&lt;=8,"Senior",
tbl_analysis_tickets[[#This Row],[agent_experience_years]]&gt;8,"Expert"
)</f>
        <v>Senior</v>
      </c>
      <c r="P2377" cm="1">
        <f t="array" ref="P2377">_xlfn.SWITCH(tbl_analysis_tickets[[#This Row],[customer_satisfaction]],
"Low",1,
"Medium",2,
"High",3
)</f>
        <v>2</v>
      </c>
      <c r="Q2377">
        <f>IF(tbl_analysis_tickets[[#This Row],[reopened]]="Yes",1,0)</f>
        <v>0</v>
      </c>
      <c r="R2377" t="str" cm="1">
        <f t="array" ref="R2377">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377" t="str" cm="1">
        <f t="array" ref="S237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377" t="str">
        <f>TEXT(tbl_analysis_tickets[[#This Row],[created_date]],"mmm-yyyy")</f>
        <v>Jul-2024</v>
      </c>
      <c r="U2377" t="str">
        <f>TEXT(tbl_analysis_tickets[[#This Row],[created_date]],"dddd")</f>
        <v>Tuesday</v>
      </c>
      <c r="V2377" cm="1">
        <f t="array" ref="V2377">_xlfn.SWITCH(tbl_analysis_tickets[[#This Row],[priority]],
"Urgent",1,
"High",2,
"Medium",3,
"Low",4
)</f>
        <v>4</v>
      </c>
    </row>
    <row r="2378" spans="1:22" x14ac:dyDescent="0.25">
      <c r="A2378">
        <v>2377</v>
      </c>
      <c r="B2378" s="1">
        <v>45494</v>
      </c>
      <c r="C2378" t="s">
        <v>22</v>
      </c>
      <c r="D2378" t="s">
        <v>15</v>
      </c>
      <c r="E2378">
        <v>46</v>
      </c>
      <c r="F2378">
        <v>44</v>
      </c>
      <c r="G2378">
        <v>3.9</v>
      </c>
      <c r="H2378" t="s">
        <v>18</v>
      </c>
      <c r="I2378" t="s">
        <v>13</v>
      </c>
      <c r="J2378" t="s">
        <v>11</v>
      </c>
      <c r="K2378">
        <f>_xlfn.XLOOKUP(tbl_analysis_tickets[[#This Row],[priority]],tbl_sla[priority],tbl_sla[Resolution SLA Hours])</f>
        <v>48</v>
      </c>
      <c r="L2378">
        <f>_xlfn.XLOOKUP(tbl_analysis_tickets[[#This Row],[priority]],tbl_sla[priority],tbl_sla[First Response SLA Minutes])</f>
        <v>120</v>
      </c>
      <c r="M2378" t="str">
        <f>IF(tbl_analysis_tickets[[#This Row],[resolution_time_hours]]&gt;tbl_analysis_tickets[[#This Row],[Resolution SLA Hours]],"Breached","Within SLA")</f>
        <v>Within SLA</v>
      </c>
      <c r="N2378" t="str">
        <f>IF(tbl_analysis_tickets[[#This Row],[first_response_minutes]]&gt;tbl_analysis_tickets[[#This Row],[First Response SLA Minutes]],"Breached","Within SLA")</f>
        <v>Within SLA</v>
      </c>
      <c r="O2378" t="str" cm="1">
        <f t="array" ref="O2378">_xlfn.IFS(
tbl_analysis_tickets[[#This Row],[agent_experience_years]]&lt;=2,"Junior",
tbl_analysis_tickets[[#This Row],[agent_experience_years]]&lt;=5,"Mid-Level",
tbl_analysis_tickets[[#This Row],[agent_experience_years]]&lt;=8,"Senior",
tbl_analysis_tickets[[#This Row],[agent_experience_years]]&gt;8,"Expert"
)</f>
        <v>Mid-Level</v>
      </c>
      <c r="P2378" cm="1">
        <f t="array" ref="P2378">_xlfn.SWITCH(tbl_analysis_tickets[[#This Row],[customer_satisfaction]],
"Low",1,
"Medium",2,
"High",3
)</f>
        <v>1</v>
      </c>
      <c r="Q2378">
        <f>IF(tbl_analysis_tickets[[#This Row],[reopened]]="Yes",1,0)</f>
        <v>0</v>
      </c>
      <c r="R2378" t="str" cm="1">
        <f t="array" ref="R2378">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378" t="str" cm="1">
        <f t="array" ref="S237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378" t="str">
        <f>TEXT(tbl_analysis_tickets[[#This Row],[created_date]],"mmm-yyyy")</f>
        <v>Jul-2024</v>
      </c>
      <c r="U2378" t="str">
        <f>TEXT(tbl_analysis_tickets[[#This Row],[created_date]],"dddd")</f>
        <v>Sunday</v>
      </c>
      <c r="V2378" cm="1">
        <f t="array" ref="V2378">_xlfn.SWITCH(tbl_analysis_tickets[[#This Row],[priority]],
"Urgent",1,
"High",2,
"Medium",3,
"Low",4
)</f>
        <v>3</v>
      </c>
    </row>
    <row r="2379" spans="1:22" x14ac:dyDescent="0.25">
      <c r="A2379">
        <v>2378</v>
      </c>
      <c r="B2379" s="1">
        <v>45445</v>
      </c>
      <c r="C2379" t="s">
        <v>23</v>
      </c>
      <c r="D2379" t="s">
        <v>15</v>
      </c>
      <c r="E2379">
        <v>181</v>
      </c>
      <c r="F2379">
        <v>63</v>
      </c>
      <c r="G2379">
        <v>3.3</v>
      </c>
      <c r="H2379" t="s">
        <v>18</v>
      </c>
      <c r="I2379" t="s">
        <v>13</v>
      </c>
      <c r="J2379" t="s">
        <v>11</v>
      </c>
      <c r="K2379">
        <f>_xlfn.XLOOKUP(tbl_analysis_tickets[[#This Row],[priority]],tbl_sla[priority],tbl_sla[Resolution SLA Hours])</f>
        <v>48</v>
      </c>
      <c r="L2379">
        <f>_xlfn.XLOOKUP(tbl_analysis_tickets[[#This Row],[priority]],tbl_sla[priority],tbl_sla[First Response SLA Minutes])</f>
        <v>120</v>
      </c>
      <c r="M2379" t="str">
        <f>IF(tbl_analysis_tickets[[#This Row],[resolution_time_hours]]&gt;tbl_analysis_tickets[[#This Row],[Resolution SLA Hours]],"Breached","Within SLA")</f>
        <v>Breached</v>
      </c>
      <c r="N2379" t="str">
        <f>IF(tbl_analysis_tickets[[#This Row],[first_response_minutes]]&gt;tbl_analysis_tickets[[#This Row],[First Response SLA Minutes]],"Breached","Within SLA")</f>
        <v>Breached</v>
      </c>
      <c r="O2379" t="str" cm="1">
        <f t="array" ref="O2379">_xlfn.IFS(
tbl_analysis_tickets[[#This Row],[agent_experience_years]]&lt;=2,"Junior",
tbl_analysis_tickets[[#This Row],[agent_experience_years]]&lt;=5,"Mid-Level",
tbl_analysis_tickets[[#This Row],[agent_experience_years]]&lt;=8,"Senior",
tbl_analysis_tickets[[#This Row],[agent_experience_years]]&gt;8,"Expert"
)</f>
        <v>Mid-Level</v>
      </c>
      <c r="P2379" cm="1">
        <f t="array" ref="P2379">_xlfn.SWITCH(tbl_analysis_tickets[[#This Row],[customer_satisfaction]],
"Low",1,
"Medium",2,
"High",3
)</f>
        <v>1</v>
      </c>
      <c r="Q2379">
        <f>IF(tbl_analysis_tickets[[#This Row],[reopened]]="Yes",1,0)</f>
        <v>0</v>
      </c>
      <c r="R2379" t="str" cm="1">
        <f t="array" ref="R2379">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379" t="str" cm="1">
        <f t="array" ref="S237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379" t="str">
        <f>TEXT(tbl_analysis_tickets[[#This Row],[created_date]],"mmm-yyyy")</f>
        <v>Jun-2024</v>
      </c>
      <c r="U2379" t="str">
        <f>TEXT(tbl_analysis_tickets[[#This Row],[created_date]],"dddd")</f>
        <v>Sunday</v>
      </c>
      <c r="V2379" cm="1">
        <f t="array" ref="V2379">_xlfn.SWITCH(tbl_analysis_tickets[[#This Row],[priority]],
"Urgent",1,
"High",2,
"Medium",3,
"Low",4
)</f>
        <v>3</v>
      </c>
    </row>
    <row r="2380" spans="1:22" x14ac:dyDescent="0.25">
      <c r="A2380">
        <v>2379</v>
      </c>
      <c r="B2380" s="1">
        <v>45606</v>
      </c>
      <c r="C2380" t="s">
        <v>21</v>
      </c>
      <c r="D2380" t="s">
        <v>11</v>
      </c>
      <c r="E2380">
        <v>12</v>
      </c>
      <c r="F2380">
        <v>18</v>
      </c>
      <c r="G2380">
        <v>0.7</v>
      </c>
      <c r="H2380" t="s">
        <v>18</v>
      </c>
      <c r="I2380" t="s">
        <v>13</v>
      </c>
      <c r="J2380" t="s">
        <v>15</v>
      </c>
      <c r="K2380">
        <f>_xlfn.XLOOKUP(tbl_analysis_tickets[[#This Row],[priority]],tbl_sla[priority],tbl_sla[Resolution SLA Hours])</f>
        <v>72</v>
      </c>
      <c r="L2380">
        <f>_xlfn.XLOOKUP(tbl_analysis_tickets[[#This Row],[priority]],tbl_sla[priority],tbl_sla[First Response SLA Minutes])</f>
        <v>240</v>
      </c>
      <c r="M2380" t="str">
        <f>IF(tbl_analysis_tickets[[#This Row],[resolution_time_hours]]&gt;tbl_analysis_tickets[[#This Row],[Resolution SLA Hours]],"Breached","Within SLA")</f>
        <v>Within SLA</v>
      </c>
      <c r="N2380" t="str">
        <f>IF(tbl_analysis_tickets[[#This Row],[first_response_minutes]]&gt;tbl_analysis_tickets[[#This Row],[First Response SLA Minutes]],"Breached","Within SLA")</f>
        <v>Within SLA</v>
      </c>
      <c r="O2380" t="str" cm="1">
        <f t="array" ref="O2380">_xlfn.IFS(
tbl_analysis_tickets[[#This Row],[agent_experience_years]]&lt;=2,"Junior",
tbl_analysis_tickets[[#This Row],[agent_experience_years]]&lt;=5,"Mid-Level",
tbl_analysis_tickets[[#This Row],[agent_experience_years]]&lt;=8,"Senior",
tbl_analysis_tickets[[#This Row],[agent_experience_years]]&gt;8,"Expert"
)</f>
        <v>Junior</v>
      </c>
      <c r="P2380" cm="1">
        <f t="array" ref="P2380">_xlfn.SWITCH(tbl_analysis_tickets[[#This Row],[customer_satisfaction]],
"Low",1,
"Medium",2,
"High",3
)</f>
        <v>2</v>
      </c>
      <c r="Q2380">
        <f>IF(tbl_analysis_tickets[[#This Row],[reopened]]="Yes",1,0)</f>
        <v>0</v>
      </c>
      <c r="R2380" t="str" cm="1">
        <f t="array" ref="R2380">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2380" t="str" cm="1">
        <f t="array" ref="S238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380" t="str">
        <f>TEXT(tbl_analysis_tickets[[#This Row],[created_date]],"mmm-yyyy")</f>
        <v>Nov-2024</v>
      </c>
      <c r="U2380" t="str">
        <f>TEXT(tbl_analysis_tickets[[#This Row],[created_date]],"dddd")</f>
        <v>Sunday</v>
      </c>
      <c r="V2380" cm="1">
        <f t="array" ref="V2380">_xlfn.SWITCH(tbl_analysis_tickets[[#This Row],[priority]],
"Urgent",1,
"High",2,
"Medium",3,
"Low",4
)</f>
        <v>4</v>
      </c>
    </row>
    <row r="2381" spans="1:22" x14ac:dyDescent="0.25">
      <c r="A2381">
        <v>2380</v>
      </c>
      <c r="B2381" s="1">
        <v>45467</v>
      </c>
      <c r="C2381" t="s">
        <v>21</v>
      </c>
      <c r="D2381" t="s">
        <v>20</v>
      </c>
      <c r="E2381">
        <v>81</v>
      </c>
      <c r="F2381">
        <v>37</v>
      </c>
      <c r="G2381">
        <v>6.1</v>
      </c>
      <c r="H2381" t="s">
        <v>18</v>
      </c>
      <c r="I2381" t="s">
        <v>16</v>
      </c>
      <c r="J2381" t="s">
        <v>11</v>
      </c>
      <c r="K2381">
        <f>_xlfn.XLOOKUP(tbl_analysis_tickets[[#This Row],[priority]],tbl_sla[priority],tbl_sla[Resolution SLA Hours])</f>
        <v>24</v>
      </c>
      <c r="L2381">
        <f>_xlfn.XLOOKUP(tbl_analysis_tickets[[#This Row],[priority]],tbl_sla[priority],tbl_sla[First Response SLA Minutes])</f>
        <v>60</v>
      </c>
      <c r="M2381" t="str">
        <f>IF(tbl_analysis_tickets[[#This Row],[resolution_time_hours]]&gt;tbl_analysis_tickets[[#This Row],[Resolution SLA Hours]],"Breached","Within SLA")</f>
        <v>Breached</v>
      </c>
      <c r="N2381" t="str">
        <f>IF(tbl_analysis_tickets[[#This Row],[first_response_minutes]]&gt;tbl_analysis_tickets[[#This Row],[First Response SLA Minutes]],"Breached","Within SLA")</f>
        <v>Breached</v>
      </c>
      <c r="O2381" t="str" cm="1">
        <f t="array" ref="O2381">_xlfn.IFS(
tbl_analysis_tickets[[#This Row],[agent_experience_years]]&lt;=2,"Junior",
tbl_analysis_tickets[[#This Row],[agent_experience_years]]&lt;=5,"Mid-Level",
tbl_analysis_tickets[[#This Row],[agent_experience_years]]&lt;=8,"Senior",
tbl_analysis_tickets[[#This Row],[agent_experience_years]]&gt;8,"Expert"
)</f>
        <v>Senior</v>
      </c>
      <c r="P2381" cm="1">
        <f t="array" ref="P2381">_xlfn.SWITCH(tbl_analysis_tickets[[#This Row],[customer_satisfaction]],
"Low",1,
"Medium",2,
"High",3
)</f>
        <v>1</v>
      </c>
      <c r="Q2381">
        <f>IF(tbl_analysis_tickets[[#This Row],[reopened]]="Yes",1,0)</f>
        <v>0</v>
      </c>
      <c r="R2381" t="str" cm="1">
        <f t="array" ref="R2381">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381" t="str" cm="1">
        <f t="array" ref="S238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381" t="str">
        <f>TEXT(tbl_analysis_tickets[[#This Row],[created_date]],"mmm-yyyy")</f>
        <v>Jun-2024</v>
      </c>
      <c r="U2381" t="str">
        <f>TEXT(tbl_analysis_tickets[[#This Row],[created_date]],"dddd")</f>
        <v>Monday</v>
      </c>
      <c r="V2381" cm="1">
        <f t="array" ref="V2381">_xlfn.SWITCH(tbl_analysis_tickets[[#This Row],[priority]],
"Urgent",1,
"High",2,
"Medium",3,
"Low",4
)</f>
        <v>2</v>
      </c>
    </row>
    <row r="2382" spans="1:22" x14ac:dyDescent="0.25">
      <c r="A2382">
        <v>2381</v>
      </c>
      <c r="B2382" s="1">
        <v>45607</v>
      </c>
      <c r="C2382" t="s">
        <v>21</v>
      </c>
      <c r="D2382" t="s">
        <v>20</v>
      </c>
      <c r="E2382">
        <v>93</v>
      </c>
      <c r="F2382">
        <v>71</v>
      </c>
      <c r="G2382">
        <v>1.9</v>
      </c>
      <c r="H2382" t="s">
        <v>18</v>
      </c>
      <c r="I2382" t="s">
        <v>19</v>
      </c>
      <c r="J2382" t="s">
        <v>11</v>
      </c>
      <c r="K2382">
        <f>_xlfn.XLOOKUP(tbl_analysis_tickets[[#This Row],[priority]],tbl_sla[priority],tbl_sla[Resolution SLA Hours])</f>
        <v>24</v>
      </c>
      <c r="L2382">
        <f>_xlfn.XLOOKUP(tbl_analysis_tickets[[#This Row],[priority]],tbl_sla[priority],tbl_sla[First Response SLA Minutes])</f>
        <v>60</v>
      </c>
      <c r="M2382" t="str">
        <f>IF(tbl_analysis_tickets[[#This Row],[resolution_time_hours]]&gt;tbl_analysis_tickets[[#This Row],[Resolution SLA Hours]],"Breached","Within SLA")</f>
        <v>Breached</v>
      </c>
      <c r="N2382" t="str">
        <f>IF(tbl_analysis_tickets[[#This Row],[first_response_minutes]]&gt;tbl_analysis_tickets[[#This Row],[First Response SLA Minutes]],"Breached","Within SLA")</f>
        <v>Breached</v>
      </c>
      <c r="O2382" t="str" cm="1">
        <f t="array" ref="O2382">_xlfn.IFS(
tbl_analysis_tickets[[#This Row],[agent_experience_years]]&lt;=2,"Junior",
tbl_analysis_tickets[[#This Row],[agent_experience_years]]&lt;=5,"Mid-Level",
tbl_analysis_tickets[[#This Row],[agent_experience_years]]&lt;=8,"Senior",
tbl_analysis_tickets[[#This Row],[agent_experience_years]]&gt;8,"Expert"
)</f>
        <v>Junior</v>
      </c>
      <c r="P2382" cm="1">
        <f t="array" ref="P2382">_xlfn.SWITCH(tbl_analysis_tickets[[#This Row],[customer_satisfaction]],
"Low",1,
"Medium",2,
"High",3
)</f>
        <v>1</v>
      </c>
      <c r="Q2382">
        <f>IF(tbl_analysis_tickets[[#This Row],[reopened]]="Yes",1,0)</f>
        <v>0</v>
      </c>
      <c r="R2382" t="str" cm="1">
        <f t="array" ref="R2382">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382" t="str" cm="1">
        <f t="array" ref="S238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382" t="str">
        <f>TEXT(tbl_analysis_tickets[[#This Row],[created_date]],"mmm-yyyy")</f>
        <v>Nov-2024</v>
      </c>
      <c r="U2382" t="str">
        <f>TEXT(tbl_analysis_tickets[[#This Row],[created_date]],"dddd")</f>
        <v>Monday</v>
      </c>
      <c r="V2382" cm="1">
        <f t="array" ref="V2382">_xlfn.SWITCH(tbl_analysis_tickets[[#This Row],[priority]],
"Urgent",1,
"High",2,
"Medium",3,
"Low",4
)</f>
        <v>2</v>
      </c>
    </row>
    <row r="2383" spans="1:22" x14ac:dyDescent="0.25">
      <c r="A2383">
        <v>2382</v>
      </c>
      <c r="B2383" s="1">
        <v>45364</v>
      </c>
      <c r="C2383" t="s">
        <v>10</v>
      </c>
      <c r="D2383" t="s">
        <v>20</v>
      </c>
      <c r="E2383">
        <v>106</v>
      </c>
      <c r="F2383">
        <v>24</v>
      </c>
      <c r="G2383">
        <v>6</v>
      </c>
      <c r="H2383" t="s">
        <v>18</v>
      </c>
      <c r="I2383" t="s">
        <v>13</v>
      </c>
      <c r="J2383" t="s">
        <v>11</v>
      </c>
      <c r="K2383">
        <f>_xlfn.XLOOKUP(tbl_analysis_tickets[[#This Row],[priority]],tbl_sla[priority],tbl_sla[Resolution SLA Hours])</f>
        <v>24</v>
      </c>
      <c r="L2383">
        <f>_xlfn.XLOOKUP(tbl_analysis_tickets[[#This Row],[priority]],tbl_sla[priority],tbl_sla[First Response SLA Minutes])</f>
        <v>60</v>
      </c>
      <c r="M2383" t="str">
        <f>IF(tbl_analysis_tickets[[#This Row],[resolution_time_hours]]&gt;tbl_analysis_tickets[[#This Row],[Resolution SLA Hours]],"Breached","Within SLA")</f>
        <v>Within SLA</v>
      </c>
      <c r="N2383" t="str">
        <f>IF(tbl_analysis_tickets[[#This Row],[first_response_minutes]]&gt;tbl_analysis_tickets[[#This Row],[First Response SLA Minutes]],"Breached","Within SLA")</f>
        <v>Breached</v>
      </c>
      <c r="O2383" t="str" cm="1">
        <f t="array" ref="O2383">_xlfn.IFS(
tbl_analysis_tickets[[#This Row],[agent_experience_years]]&lt;=2,"Junior",
tbl_analysis_tickets[[#This Row],[agent_experience_years]]&lt;=5,"Mid-Level",
tbl_analysis_tickets[[#This Row],[agent_experience_years]]&lt;=8,"Senior",
tbl_analysis_tickets[[#This Row],[agent_experience_years]]&gt;8,"Expert"
)</f>
        <v>Senior</v>
      </c>
      <c r="P2383" cm="1">
        <f t="array" ref="P2383">_xlfn.SWITCH(tbl_analysis_tickets[[#This Row],[customer_satisfaction]],
"Low",1,
"Medium",2,
"High",3
)</f>
        <v>1</v>
      </c>
      <c r="Q2383">
        <f>IF(tbl_analysis_tickets[[#This Row],[reopened]]="Yes",1,0)</f>
        <v>0</v>
      </c>
      <c r="R2383" t="str" cm="1">
        <f t="array" ref="R2383">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383" t="str" cm="1">
        <f t="array" ref="S238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383" t="str">
        <f>TEXT(tbl_analysis_tickets[[#This Row],[created_date]],"mmm-yyyy")</f>
        <v>Mar-2024</v>
      </c>
      <c r="U2383" t="str">
        <f>TEXT(tbl_analysis_tickets[[#This Row],[created_date]],"dddd")</f>
        <v>Wednesday</v>
      </c>
      <c r="V2383" cm="1">
        <f t="array" ref="V2383">_xlfn.SWITCH(tbl_analysis_tickets[[#This Row],[priority]],
"Urgent",1,
"High",2,
"Medium",3,
"Low",4
)</f>
        <v>2</v>
      </c>
    </row>
    <row r="2384" spans="1:22" x14ac:dyDescent="0.25">
      <c r="A2384">
        <v>2383</v>
      </c>
      <c r="B2384" s="1">
        <v>45308</v>
      </c>
      <c r="C2384" t="s">
        <v>22</v>
      </c>
      <c r="D2384" t="s">
        <v>17</v>
      </c>
      <c r="E2384">
        <v>141</v>
      </c>
      <c r="F2384">
        <v>31</v>
      </c>
      <c r="G2384">
        <v>4.5999999999999996</v>
      </c>
      <c r="H2384" t="s">
        <v>12</v>
      </c>
      <c r="I2384" t="s">
        <v>16</v>
      </c>
      <c r="J2384" t="s">
        <v>11</v>
      </c>
      <c r="K2384">
        <f>_xlfn.XLOOKUP(tbl_analysis_tickets[[#This Row],[priority]],tbl_sla[priority],tbl_sla[Resolution SLA Hours])</f>
        <v>8</v>
      </c>
      <c r="L2384">
        <f>_xlfn.XLOOKUP(tbl_analysis_tickets[[#This Row],[priority]],tbl_sla[priority],tbl_sla[First Response SLA Minutes])</f>
        <v>30</v>
      </c>
      <c r="M2384" t="str">
        <f>IF(tbl_analysis_tickets[[#This Row],[resolution_time_hours]]&gt;tbl_analysis_tickets[[#This Row],[Resolution SLA Hours]],"Breached","Within SLA")</f>
        <v>Breached</v>
      </c>
      <c r="N2384" t="str">
        <f>IF(tbl_analysis_tickets[[#This Row],[first_response_minutes]]&gt;tbl_analysis_tickets[[#This Row],[First Response SLA Minutes]],"Breached","Within SLA")</f>
        <v>Breached</v>
      </c>
      <c r="O2384" t="str" cm="1">
        <f t="array" ref="O2384">_xlfn.IFS(
tbl_analysis_tickets[[#This Row],[agent_experience_years]]&lt;=2,"Junior",
tbl_analysis_tickets[[#This Row],[agent_experience_years]]&lt;=5,"Mid-Level",
tbl_analysis_tickets[[#This Row],[agent_experience_years]]&lt;=8,"Senior",
tbl_analysis_tickets[[#This Row],[agent_experience_years]]&gt;8,"Expert"
)</f>
        <v>Mid-Level</v>
      </c>
      <c r="P2384" cm="1">
        <f t="array" ref="P2384">_xlfn.SWITCH(tbl_analysis_tickets[[#This Row],[customer_satisfaction]],
"Low",1,
"Medium",2,
"High",3
)</f>
        <v>1</v>
      </c>
      <c r="Q2384">
        <f>IF(tbl_analysis_tickets[[#This Row],[reopened]]="Yes",1,0)</f>
        <v>1</v>
      </c>
      <c r="R2384" t="str" cm="1">
        <f t="array" ref="R2384">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384" t="str" cm="1">
        <f t="array" ref="S238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384" t="str">
        <f>TEXT(tbl_analysis_tickets[[#This Row],[created_date]],"mmm-yyyy")</f>
        <v>Jan-2024</v>
      </c>
      <c r="U2384" t="str">
        <f>TEXT(tbl_analysis_tickets[[#This Row],[created_date]],"dddd")</f>
        <v>Wednesday</v>
      </c>
      <c r="V2384" cm="1">
        <f t="array" ref="V2384">_xlfn.SWITCH(tbl_analysis_tickets[[#This Row],[priority]],
"Urgent",1,
"High",2,
"Medium",3,
"Low",4
)</f>
        <v>1</v>
      </c>
    </row>
    <row r="2385" spans="1:22" x14ac:dyDescent="0.25">
      <c r="A2385">
        <v>2384</v>
      </c>
      <c r="B2385" s="1">
        <v>45621</v>
      </c>
      <c r="C2385" t="s">
        <v>10</v>
      </c>
      <c r="D2385" t="s">
        <v>20</v>
      </c>
      <c r="E2385">
        <v>187</v>
      </c>
      <c r="F2385">
        <v>48</v>
      </c>
      <c r="G2385">
        <v>3.3</v>
      </c>
      <c r="H2385" t="s">
        <v>18</v>
      </c>
      <c r="I2385" t="s">
        <v>13</v>
      </c>
      <c r="J2385" t="s">
        <v>11</v>
      </c>
      <c r="K2385">
        <f>_xlfn.XLOOKUP(tbl_analysis_tickets[[#This Row],[priority]],tbl_sla[priority],tbl_sla[Resolution SLA Hours])</f>
        <v>24</v>
      </c>
      <c r="L2385">
        <f>_xlfn.XLOOKUP(tbl_analysis_tickets[[#This Row],[priority]],tbl_sla[priority],tbl_sla[First Response SLA Minutes])</f>
        <v>60</v>
      </c>
      <c r="M2385" t="str">
        <f>IF(tbl_analysis_tickets[[#This Row],[resolution_time_hours]]&gt;tbl_analysis_tickets[[#This Row],[Resolution SLA Hours]],"Breached","Within SLA")</f>
        <v>Breached</v>
      </c>
      <c r="N2385" t="str">
        <f>IF(tbl_analysis_tickets[[#This Row],[first_response_minutes]]&gt;tbl_analysis_tickets[[#This Row],[First Response SLA Minutes]],"Breached","Within SLA")</f>
        <v>Breached</v>
      </c>
      <c r="O2385" t="str" cm="1">
        <f t="array" ref="O2385">_xlfn.IFS(
tbl_analysis_tickets[[#This Row],[agent_experience_years]]&lt;=2,"Junior",
tbl_analysis_tickets[[#This Row],[agent_experience_years]]&lt;=5,"Mid-Level",
tbl_analysis_tickets[[#This Row],[agent_experience_years]]&lt;=8,"Senior",
tbl_analysis_tickets[[#This Row],[agent_experience_years]]&gt;8,"Expert"
)</f>
        <v>Mid-Level</v>
      </c>
      <c r="P2385" cm="1">
        <f t="array" ref="P2385">_xlfn.SWITCH(tbl_analysis_tickets[[#This Row],[customer_satisfaction]],
"Low",1,
"Medium",2,
"High",3
)</f>
        <v>1</v>
      </c>
      <c r="Q2385">
        <f>IF(tbl_analysis_tickets[[#This Row],[reopened]]="Yes",1,0)</f>
        <v>0</v>
      </c>
      <c r="R2385" t="str" cm="1">
        <f t="array" ref="R2385">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385" t="str" cm="1">
        <f t="array" ref="S238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385" t="str">
        <f>TEXT(tbl_analysis_tickets[[#This Row],[created_date]],"mmm-yyyy")</f>
        <v>Nov-2024</v>
      </c>
      <c r="U2385" t="str">
        <f>TEXT(tbl_analysis_tickets[[#This Row],[created_date]],"dddd")</f>
        <v>Monday</v>
      </c>
      <c r="V2385" cm="1">
        <f t="array" ref="V2385">_xlfn.SWITCH(tbl_analysis_tickets[[#This Row],[priority]],
"Urgent",1,
"High",2,
"Medium",3,
"Low",4
)</f>
        <v>2</v>
      </c>
    </row>
    <row r="2386" spans="1:22" x14ac:dyDescent="0.25">
      <c r="A2386">
        <v>2385</v>
      </c>
      <c r="B2386" s="1">
        <v>45295</v>
      </c>
      <c r="C2386" t="s">
        <v>14</v>
      </c>
      <c r="D2386" t="s">
        <v>17</v>
      </c>
      <c r="E2386">
        <v>179</v>
      </c>
      <c r="F2386">
        <v>71</v>
      </c>
      <c r="G2386">
        <v>0.6</v>
      </c>
      <c r="H2386" t="s">
        <v>18</v>
      </c>
      <c r="I2386" t="s">
        <v>16</v>
      </c>
      <c r="J2386" t="s">
        <v>11</v>
      </c>
      <c r="K2386">
        <f>_xlfn.XLOOKUP(tbl_analysis_tickets[[#This Row],[priority]],tbl_sla[priority],tbl_sla[Resolution SLA Hours])</f>
        <v>8</v>
      </c>
      <c r="L2386">
        <f>_xlfn.XLOOKUP(tbl_analysis_tickets[[#This Row],[priority]],tbl_sla[priority],tbl_sla[First Response SLA Minutes])</f>
        <v>30</v>
      </c>
      <c r="M2386" t="str">
        <f>IF(tbl_analysis_tickets[[#This Row],[resolution_time_hours]]&gt;tbl_analysis_tickets[[#This Row],[Resolution SLA Hours]],"Breached","Within SLA")</f>
        <v>Breached</v>
      </c>
      <c r="N2386" t="str">
        <f>IF(tbl_analysis_tickets[[#This Row],[first_response_minutes]]&gt;tbl_analysis_tickets[[#This Row],[First Response SLA Minutes]],"Breached","Within SLA")</f>
        <v>Breached</v>
      </c>
      <c r="O2386" t="str" cm="1">
        <f t="array" ref="O2386">_xlfn.IFS(
tbl_analysis_tickets[[#This Row],[agent_experience_years]]&lt;=2,"Junior",
tbl_analysis_tickets[[#This Row],[agent_experience_years]]&lt;=5,"Mid-Level",
tbl_analysis_tickets[[#This Row],[agent_experience_years]]&lt;=8,"Senior",
tbl_analysis_tickets[[#This Row],[agent_experience_years]]&gt;8,"Expert"
)</f>
        <v>Junior</v>
      </c>
      <c r="P2386" cm="1">
        <f t="array" ref="P2386">_xlfn.SWITCH(tbl_analysis_tickets[[#This Row],[customer_satisfaction]],
"Low",1,
"Medium",2,
"High",3
)</f>
        <v>1</v>
      </c>
      <c r="Q2386">
        <f>IF(tbl_analysis_tickets[[#This Row],[reopened]]="Yes",1,0)</f>
        <v>0</v>
      </c>
      <c r="R2386" t="str" cm="1">
        <f t="array" ref="R2386">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386" t="str" cm="1">
        <f t="array" ref="S238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386" t="str">
        <f>TEXT(tbl_analysis_tickets[[#This Row],[created_date]],"mmm-yyyy")</f>
        <v>Jan-2024</v>
      </c>
      <c r="U2386" t="str">
        <f>TEXT(tbl_analysis_tickets[[#This Row],[created_date]],"dddd")</f>
        <v>Thursday</v>
      </c>
      <c r="V2386" cm="1">
        <f t="array" ref="V2386">_xlfn.SWITCH(tbl_analysis_tickets[[#This Row],[priority]],
"Urgent",1,
"High",2,
"Medium",3,
"Low",4
)</f>
        <v>1</v>
      </c>
    </row>
    <row r="2387" spans="1:22" x14ac:dyDescent="0.25">
      <c r="A2387">
        <v>2386</v>
      </c>
      <c r="B2387" s="1">
        <v>45579</v>
      </c>
      <c r="C2387" t="s">
        <v>10</v>
      </c>
      <c r="D2387" t="s">
        <v>11</v>
      </c>
      <c r="E2387">
        <v>211</v>
      </c>
      <c r="F2387">
        <v>14</v>
      </c>
      <c r="G2387">
        <v>4.7</v>
      </c>
      <c r="H2387" t="s">
        <v>18</v>
      </c>
      <c r="I2387" t="s">
        <v>13</v>
      </c>
      <c r="J2387" t="s">
        <v>11</v>
      </c>
      <c r="K2387">
        <f>_xlfn.XLOOKUP(tbl_analysis_tickets[[#This Row],[priority]],tbl_sla[priority],tbl_sla[Resolution SLA Hours])</f>
        <v>72</v>
      </c>
      <c r="L2387">
        <f>_xlfn.XLOOKUP(tbl_analysis_tickets[[#This Row],[priority]],tbl_sla[priority],tbl_sla[First Response SLA Minutes])</f>
        <v>240</v>
      </c>
      <c r="M2387" t="str">
        <f>IF(tbl_analysis_tickets[[#This Row],[resolution_time_hours]]&gt;tbl_analysis_tickets[[#This Row],[Resolution SLA Hours]],"Breached","Within SLA")</f>
        <v>Within SLA</v>
      </c>
      <c r="N2387" t="str">
        <f>IF(tbl_analysis_tickets[[#This Row],[first_response_minutes]]&gt;tbl_analysis_tickets[[#This Row],[First Response SLA Minutes]],"Breached","Within SLA")</f>
        <v>Within SLA</v>
      </c>
      <c r="O2387" t="str" cm="1">
        <f t="array" ref="O2387">_xlfn.IFS(
tbl_analysis_tickets[[#This Row],[agent_experience_years]]&lt;=2,"Junior",
tbl_analysis_tickets[[#This Row],[agent_experience_years]]&lt;=5,"Mid-Level",
tbl_analysis_tickets[[#This Row],[agent_experience_years]]&lt;=8,"Senior",
tbl_analysis_tickets[[#This Row],[agent_experience_years]]&gt;8,"Expert"
)</f>
        <v>Mid-Level</v>
      </c>
      <c r="P2387" cm="1">
        <f t="array" ref="P2387">_xlfn.SWITCH(tbl_analysis_tickets[[#This Row],[customer_satisfaction]],
"Low",1,
"Medium",2,
"High",3
)</f>
        <v>1</v>
      </c>
      <c r="Q2387">
        <f>IF(tbl_analysis_tickets[[#This Row],[reopened]]="Yes",1,0)</f>
        <v>0</v>
      </c>
      <c r="R2387" t="str" cm="1">
        <f t="array" ref="R2387">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387" t="str" cm="1">
        <f t="array" ref="S238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387" t="str">
        <f>TEXT(tbl_analysis_tickets[[#This Row],[created_date]],"mmm-yyyy")</f>
        <v>Oct-2024</v>
      </c>
      <c r="U2387" t="str">
        <f>TEXT(tbl_analysis_tickets[[#This Row],[created_date]],"dddd")</f>
        <v>Monday</v>
      </c>
      <c r="V2387" cm="1">
        <f t="array" ref="V2387">_xlfn.SWITCH(tbl_analysis_tickets[[#This Row],[priority]],
"Urgent",1,
"High",2,
"Medium",3,
"Low",4
)</f>
        <v>4</v>
      </c>
    </row>
    <row r="2388" spans="1:22" x14ac:dyDescent="0.25">
      <c r="A2388">
        <v>2387</v>
      </c>
      <c r="B2388" s="1">
        <v>45454</v>
      </c>
      <c r="C2388" t="s">
        <v>21</v>
      </c>
      <c r="D2388" t="s">
        <v>17</v>
      </c>
      <c r="E2388">
        <v>45</v>
      </c>
      <c r="F2388">
        <v>1</v>
      </c>
      <c r="G2388">
        <v>6.9</v>
      </c>
      <c r="H2388" t="s">
        <v>12</v>
      </c>
      <c r="I2388" t="s">
        <v>19</v>
      </c>
      <c r="J2388" t="s">
        <v>15</v>
      </c>
      <c r="K2388">
        <f>_xlfn.XLOOKUP(tbl_analysis_tickets[[#This Row],[priority]],tbl_sla[priority],tbl_sla[Resolution SLA Hours])</f>
        <v>8</v>
      </c>
      <c r="L2388">
        <f>_xlfn.XLOOKUP(tbl_analysis_tickets[[#This Row],[priority]],tbl_sla[priority],tbl_sla[First Response SLA Minutes])</f>
        <v>30</v>
      </c>
      <c r="M2388" t="str">
        <f>IF(tbl_analysis_tickets[[#This Row],[resolution_time_hours]]&gt;tbl_analysis_tickets[[#This Row],[Resolution SLA Hours]],"Breached","Within SLA")</f>
        <v>Within SLA</v>
      </c>
      <c r="N2388" t="str">
        <f>IF(tbl_analysis_tickets[[#This Row],[first_response_minutes]]&gt;tbl_analysis_tickets[[#This Row],[First Response SLA Minutes]],"Breached","Within SLA")</f>
        <v>Breached</v>
      </c>
      <c r="O2388" t="str" cm="1">
        <f t="array" ref="O2388">_xlfn.IFS(
tbl_analysis_tickets[[#This Row],[agent_experience_years]]&lt;=2,"Junior",
tbl_analysis_tickets[[#This Row],[agent_experience_years]]&lt;=5,"Mid-Level",
tbl_analysis_tickets[[#This Row],[agent_experience_years]]&lt;=8,"Senior",
tbl_analysis_tickets[[#This Row],[agent_experience_years]]&gt;8,"Expert"
)</f>
        <v>Senior</v>
      </c>
      <c r="P2388" cm="1">
        <f t="array" ref="P2388">_xlfn.SWITCH(tbl_analysis_tickets[[#This Row],[customer_satisfaction]],
"Low",1,
"Medium",2,
"High",3
)</f>
        <v>2</v>
      </c>
      <c r="Q2388">
        <f>IF(tbl_analysis_tickets[[#This Row],[reopened]]="Yes",1,0)</f>
        <v>1</v>
      </c>
      <c r="R2388" t="str" cm="1">
        <f t="array" ref="R2388">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388" t="str" cm="1">
        <f t="array" ref="S238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2388" t="str">
        <f>TEXT(tbl_analysis_tickets[[#This Row],[created_date]],"mmm-yyyy")</f>
        <v>Jun-2024</v>
      </c>
      <c r="U2388" t="str">
        <f>TEXT(tbl_analysis_tickets[[#This Row],[created_date]],"dddd")</f>
        <v>Tuesday</v>
      </c>
      <c r="V2388" cm="1">
        <f t="array" ref="V2388">_xlfn.SWITCH(tbl_analysis_tickets[[#This Row],[priority]],
"Urgent",1,
"High",2,
"Medium",3,
"Low",4
)</f>
        <v>1</v>
      </c>
    </row>
    <row r="2389" spans="1:22" x14ac:dyDescent="0.25">
      <c r="A2389">
        <v>2388</v>
      </c>
      <c r="B2389" s="1">
        <v>45522</v>
      </c>
      <c r="C2389" t="s">
        <v>10</v>
      </c>
      <c r="D2389" t="s">
        <v>15</v>
      </c>
      <c r="E2389">
        <v>11</v>
      </c>
      <c r="F2389">
        <v>18</v>
      </c>
      <c r="G2389">
        <v>3.6</v>
      </c>
      <c r="H2389" t="s">
        <v>18</v>
      </c>
      <c r="I2389" t="s">
        <v>16</v>
      </c>
      <c r="J2389" t="s">
        <v>15</v>
      </c>
      <c r="K2389">
        <f>_xlfn.XLOOKUP(tbl_analysis_tickets[[#This Row],[priority]],tbl_sla[priority],tbl_sla[Resolution SLA Hours])</f>
        <v>48</v>
      </c>
      <c r="L2389">
        <f>_xlfn.XLOOKUP(tbl_analysis_tickets[[#This Row],[priority]],tbl_sla[priority],tbl_sla[First Response SLA Minutes])</f>
        <v>120</v>
      </c>
      <c r="M2389" t="str">
        <f>IF(tbl_analysis_tickets[[#This Row],[resolution_time_hours]]&gt;tbl_analysis_tickets[[#This Row],[Resolution SLA Hours]],"Breached","Within SLA")</f>
        <v>Within SLA</v>
      </c>
      <c r="N2389" t="str">
        <f>IF(tbl_analysis_tickets[[#This Row],[first_response_minutes]]&gt;tbl_analysis_tickets[[#This Row],[First Response SLA Minutes]],"Breached","Within SLA")</f>
        <v>Within SLA</v>
      </c>
      <c r="O2389" t="str" cm="1">
        <f t="array" ref="O2389">_xlfn.IFS(
tbl_analysis_tickets[[#This Row],[agent_experience_years]]&lt;=2,"Junior",
tbl_analysis_tickets[[#This Row],[agent_experience_years]]&lt;=5,"Mid-Level",
tbl_analysis_tickets[[#This Row],[agent_experience_years]]&lt;=8,"Senior",
tbl_analysis_tickets[[#This Row],[agent_experience_years]]&gt;8,"Expert"
)</f>
        <v>Mid-Level</v>
      </c>
      <c r="P2389" cm="1">
        <f t="array" ref="P2389">_xlfn.SWITCH(tbl_analysis_tickets[[#This Row],[customer_satisfaction]],
"Low",1,
"Medium",2,
"High",3
)</f>
        <v>2</v>
      </c>
      <c r="Q2389">
        <f>IF(tbl_analysis_tickets[[#This Row],[reopened]]="Yes",1,0)</f>
        <v>0</v>
      </c>
      <c r="R2389" t="str" cm="1">
        <f t="array" ref="R2389">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2389" t="str" cm="1">
        <f t="array" ref="S238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389" t="str">
        <f>TEXT(tbl_analysis_tickets[[#This Row],[created_date]],"mmm-yyyy")</f>
        <v>Aug-2024</v>
      </c>
      <c r="U2389" t="str">
        <f>TEXT(tbl_analysis_tickets[[#This Row],[created_date]],"dddd")</f>
        <v>Sunday</v>
      </c>
      <c r="V2389" cm="1">
        <f t="array" ref="V2389">_xlfn.SWITCH(tbl_analysis_tickets[[#This Row],[priority]],
"Urgent",1,
"High",2,
"Medium",3,
"Low",4
)</f>
        <v>3</v>
      </c>
    </row>
    <row r="2390" spans="1:22" x14ac:dyDescent="0.25">
      <c r="A2390">
        <v>2389</v>
      </c>
      <c r="B2390" s="1">
        <v>45606</v>
      </c>
      <c r="C2390" t="s">
        <v>21</v>
      </c>
      <c r="D2390" t="s">
        <v>15</v>
      </c>
      <c r="E2390">
        <v>15</v>
      </c>
      <c r="F2390">
        <v>67</v>
      </c>
      <c r="G2390">
        <v>9.6999999999999993</v>
      </c>
      <c r="H2390" t="s">
        <v>18</v>
      </c>
      <c r="I2390" t="s">
        <v>16</v>
      </c>
      <c r="J2390" t="s">
        <v>20</v>
      </c>
      <c r="K2390">
        <f>_xlfn.XLOOKUP(tbl_analysis_tickets[[#This Row],[priority]],tbl_sla[priority],tbl_sla[Resolution SLA Hours])</f>
        <v>48</v>
      </c>
      <c r="L2390">
        <f>_xlfn.XLOOKUP(tbl_analysis_tickets[[#This Row],[priority]],tbl_sla[priority],tbl_sla[First Response SLA Minutes])</f>
        <v>120</v>
      </c>
      <c r="M2390" t="str">
        <f>IF(tbl_analysis_tickets[[#This Row],[resolution_time_hours]]&gt;tbl_analysis_tickets[[#This Row],[Resolution SLA Hours]],"Breached","Within SLA")</f>
        <v>Breached</v>
      </c>
      <c r="N2390" t="str">
        <f>IF(tbl_analysis_tickets[[#This Row],[first_response_minutes]]&gt;tbl_analysis_tickets[[#This Row],[First Response SLA Minutes]],"Breached","Within SLA")</f>
        <v>Within SLA</v>
      </c>
      <c r="O2390" t="str" cm="1">
        <f t="array" ref="O2390">_xlfn.IFS(
tbl_analysis_tickets[[#This Row],[agent_experience_years]]&lt;=2,"Junior",
tbl_analysis_tickets[[#This Row],[agent_experience_years]]&lt;=5,"Mid-Level",
tbl_analysis_tickets[[#This Row],[agent_experience_years]]&lt;=8,"Senior",
tbl_analysis_tickets[[#This Row],[agent_experience_years]]&gt;8,"Expert"
)</f>
        <v>Expert</v>
      </c>
      <c r="P2390" cm="1">
        <f t="array" ref="P2390">_xlfn.SWITCH(tbl_analysis_tickets[[#This Row],[customer_satisfaction]],
"Low",1,
"Medium",2,
"High",3
)</f>
        <v>3</v>
      </c>
      <c r="Q2390">
        <f>IF(tbl_analysis_tickets[[#This Row],[reopened]]="Yes",1,0)</f>
        <v>0</v>
      </c>
      <c r="R2390" t="str" cm="1">
        <f t="array" ref="R2390">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2390" t="str" cm="1">
        <f t="array" ref="S239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390" t="str">
        <f>TEXT(tbl_analysis_tickets[[#This Row],[created_date]],"mmm-yyyy")</f>
        <v>Nov-2024</v>
      </c>
      <c r="U2390" t="str">
        <f>TEXT(tbl_analysis_tickets[[#This Row],[created_date]],"dddd")</f>
        <v>Sunday</v>
      </c>
      <c r="V2390" cm="1">
        <f t="array" ref="V2390">_xlfn.SWITCH(tbl_analysis_tickets[[#This Row],[priority]],
"Urgent",1,
"High",2,
"Medium",3,
"Low",4
)</f>
        <v>3</v>
      </c>
    </row>
    <row r="2391" spans="1:22" x14ac:dyDescent="0.25">
      <c r="A2391">
        <v>2390</v>
      </c>
      <c r="B2391" s="1">
        <v>45560</v>
      </c>
      <c r="C2391" t="s">
        <v>14</v>
      </c>
      <c r="D2391" t="s">
        <v>17</v>
      </c>
      <c r="E2391">
        <v>157</v>
      </c>
      <c r="F2391">
        <v>15</v>
      </c>
      <c r="G2391">
        <v>6.5</v>
      </c>
      <c r="H2391" t="s">
        <v>12</v>
      </c>
      <c r="I2391" t="s">
        <v>16</v>
      </c>
      <c r="J2391" t="s">
        <v>11</v>
      </c>
      <c r="K2391">
        <f>_xlfn.XLOOKUP(tbl_analysis_tickets[[#This Row],[priority]],tbl_sla[priority],tbl_sla[Resolution SLA Hours])</f>
        <v>8</v>
      </c>
      <c r="L2391">
        <f>_xlfn.XLOOKUP(tbl_analysis_tickets[[#This Row],[priority]],tbl_sla[priority],tbl_sla[First Response SLA Minutes])</f>
        <v>30</v>
      </c>
      <c r="M2391" t="str">
        <f>IF(tbl_analysis_tickets[[#This Row],[resolution_time_hours]]&gt;tbl_analysis_tickets[[#This Row],[Resolution SLA Hours]],"Breached","Within SLA")</f>
        <v>Breached</v>
      </c>
      <c r="N2391" t="str">
        <f>IF(tbl_analysis_tickets[[#This Row],[first_response_minutes]]&gt;tbl_analysis_tickets[[#This Row],[First Response SLA Minutes]],"Breached","Within SLA")</f>
        <v>Breached</v>
      </c>
      <c r="O2391" t="str" cm="1">
        <f t="array" ref="O2391">_xlfn.IFS(
tbl_analysis_tickets[[#This Row],[agent_experience_years]]&lt;=2,"Junior",
tbl_analysis_tickets[[#This Row],[agent_experience_years]]&lt;=5,"Mid-Level",
tbl_analysis_tickets[[#This Row],[agent_experience_years]]&lt;=8,"Senior",
tbl_analysis_tickets[[#This Row],[agent_experience_years]]&gt;8,"Expert"
)</f>
        <v>Senior</v>
      </c>
      <c r="P2391" cm="1">
        <f t="array" ref="P2391">_xlfn.SWITCH(tbl_analysis_tickets[[#This Row],[customer_satisfaction]],
"Low",1,
"Medium",2,
"High",3
)</f>
        <v>1</v>
      </c>
      <c r="Q2391">
        <f>IF(tbl_analysis_tickets[[#This Row],[reopened]]="Yes",1,0)</f>
        <v>1</v>
      </c>
      <c r="R2391" t="str" cm="1">
        <f t="array" ref="R2391">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391" t="str" cm="1">
        <f t="array" ref="S239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391" t="str">
        <f>TEXT(tbl_analysis_tickets[[#This Row],[created_date]],"mmm-yyyy")</f>
        <v>Sep-2024</v>
      </c>
      <c r="U2391" t="str">
        <f>TEXT(tbl_analysis_tickets[[#This Row],[created_date]],"dddd")</f>
        <v>Wednesday</v>
      </c>
      <c r="V2391" cm="1">
        <f t="array" ref="V2391">_xlfn.SWITCH(tbl_analysis_tickets[[#This Row],[priority]],
"Urgent",1,
"High",2,
"Medium",3,
"Low",4
)</f>
        <v>1</v>
      </c>
    </row>
    <row r="2392" spans="1:22" x14ac:dyDescent="0.25">
      <c r="A2392">
        <v>2391</v>
      </c>
      <c r="B2392" s="1">
        <v>45333</v>
      </c>
      <c r="C2392" t="s">
        <v>21</v>
      </c>
      <c r="D2392" t="s">
        <v>20</v>
      </c>
      <c r="E2392">
        <v>19</v>
      </c>
      <c r="F2392">
        <v>10</v>
      </c>
      <c r="G2392">
        <v>5.4</v>
      </c>
      <c r="H2392" t="s">
        <v>18</v>
      </c>
      <c r="I2392" t="s">
        <v>16</v>
      </c>
      <c r="J2392" t="s">
        <v>15</v>
      </c>
      <c r="K2392">
        <f>_xlfn.XLOOKUP(tbl_analysis_tickets[[#This Row],[priority]],tbl_sla[priority],tbl_sla[Resolution SLA Hours])</f>
        <v>24</v>
      </c>
      <c r="L2392">
        <f>_xlfn.XLOOKUP(tbl_analysis_tickets[[#This Row],[priority]],tbl_sla[priority],tbl_sla[First Response SLA Minutes])</f>
        <v>60</v>
      </c>
      <c r="M2392" t="str">
        <f>IF(tbl_analysis_tickets[[#This Row],[resolution_time_hours]]&gt;tbl_analysis_tickets[[#This Row],[Resolution SLA Hours]],"Breached","Within SLA")</f>
        <v>Within SLA</v>
      </c>
      <c r="N2392" t="str">
        <f>IF(tbl_analysis_tickets[[#This Row],[first_response_minutes]]&gt;tbl_analysis_tickets[[#This Row],[First Response SLA Minutes]],"Breached","Within SLA")</f>
        <v>Within SLA</v>
      </c>
      <c r="O2392" t="str" cm="1">
        <f t="array" ref="O2392">_xlfn.IFS(
tbl_analysis_tickets[[#This Row],[agent_experience_years]]&lt;=2,"Junior",
tbl_analysis_tickets[[#This Row],[agent_experience_years]]&lt;=5,"Mid-Level",
tbl_analysis_tickets[[#This Row],[agent_experience_years]]&lt;=8,"Senior",
tbl_analysis_tickets[[#This Row],[agent_experience_years]]&gt;8,"Expert"
)</f>
        <v>Senior</v>
      </c>
      <c r="P2392" cm="1">
        <f t="array" ref="P2392">_xlfn.SWITCH(tbl_analysis_tickets[[#This Row],[customer_satisfaction]],
"Low",1,
"Medium",2,
"High",3
)</f>
        <v>2</v>
      </c>
      <c r="Q2392">
        <f>IF(tbl_analysis_tickets[[#This Row],[reopened]]="Yes",1,0)</f>
        <v>0</v>
      </c>
      <c r="R2392" t="str" cm="1">
        <f t="array" ref="R2392">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2392" t="str" cm="1">
        <f t="array" ref="S239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392" t="str">
        <f>TEXT(tbl_analysis_tickets[[#This Row],[created_date]],"mmm-yyyy")</f>
        <v>Feb-2024</v>
      </c>
      <c r="U2392" t="str">
        <f>TEXT(tbl_analysis_tickets[[#This Row],[created_date]],"dddd")</f>
        <v>Sunday</v>
      </c>
      <c r="V2392" cm="1">
        <f t="array" ref="V2392">_xlfn.SWITCH(tbl_analysis_tickets[[#This Row],[priority]],
"Urgent",1,
"High",2,
"Medium",3,
"Low",4
)</f>
        <v>2</v>
      </c>
    </row>
    <row r="2393" spans="1:22" x14ac:dyDescent="0.25">
      <c r="A2393">
        <v>2392</v>
      </c>
      <c r="B2393" s="1">
        <v>45465</v>
      </c>
      <c r="C2393" t="s">
        <v>23</v>
      </c>
      <c r="D2393" t="s">
        <v>17</v>
      </c>
      <c r="E2393">
        <v>33</v>
      </c>
      <c r="F2393">
        <v>71</v>
      </c>
      <c r="G2393">
        <v>3.3</v>
      </c>
      <c r="H2393" t="s">
        <v>18</v>
      </c>
      <c r="I2393" t="s">
        <v>19</v>
      </c>
      <c r="J2393" t="s">
        <v>11</v>
      </c>
      <c r="K2393">
        <f>_xlfn.XLOOKUP(tbl_analysis_tickets[[#This Row],[priority]],tbl_sla[priority],tbl_sla[Resolution SLA Hours])</f>
        <v>8</v>
      </c>
      <c r="L2393">
        <f>_xlfn.XLOOKUP(tbl_analysis_tickets[[#This Row],[priority]],tbl_sla[priority],tbl_sla[First Response SLA Minutes])</f>
        <v>30</v>
      </c>
      <c r="M2393" t="str">
        <f>IF(tbl_analysis_tickets[[#This Row],[resolution_time_hours]]&gt;tbl_analysis_tickets[[#This Row],[Resolution SLA Hours]],"Breached","Within SLA")</f>
        <v>Breached</v>
      </c>
      <c r="N2393" t="str">
        <f>IF(tbl_analysis_tickets[[#This Row],[first_response_minutes]]&gt;tbl_analysis_tickets[[#This Row],[First Response SLA Minutes]],"Breached","Within SLA")</f>
        <v>Breached</v>
      </c>
      <c r="O2393" t="str" cm="1">
        <f t="array" ref="O2393">_xlfn.IFS(
tbl_analysis_tickets[[#This Row],[agent_experience_years]]&lt;=2,"Junior",
tbl_analysis_tickets[[#This Row],[agent_experience_years]]&lt;=5,"Mid-Level",
tbl_analysis_tickets[[#This Row],[agent_experience_years]]&lt;=8,"Senior",
tbl_analysis_tickets[[#This Row],[agent_experience_years]]&gt;8,"Expert"
)</f>
        <v>Mid-Level</v>
      </c>
      <c r="P2393" cm="1">
        <f t="array" ref="P2393">_xlfn.SWITCH(tbl_analysis_tickets[[#This Row],[customer_satisfaction]],
"Low",1,
"Medium",2,
"High",3
)</f>
        <v>1</v>
      </c>
      <c r="Q2393">
        <f>IF(tbl_analysis_tickets[[#This Row],[reopened]]="Yes",1,0)</f>
        <v>0</v>
      </c>
      <c r="R2393" t="str" cm="1">
        <f t="array" ref="R2393">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393" t="str" cm="1">
        <f t="array" ref="S239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393" t="str">
        <f>TEXT(tbl_analysis_tickets[[#This Row],[created_date]],"mmm-yyyy")</f>
        <v>Jun-2024</v>
      </c>
      <c r="U2393" t="str">
        <f>TEXT(tbl_analysis_tickets[[#This Row],[created_date]],"dddd")</f>
        <v>Saturday</v>
      </c>
      <c r="V2393" cm="1">
        <f t="array" ref="V2393">_xlfn.SWITCH(tbl_analysis_tickets[[#This Row],[priority]],
"Urgent",1,
"High",2,
"Medium",3,
"Low",4
)</f>
        <v>1</v>
      </c>
    </row>
    <row r="2394" spans="1:22" x14ac:dyDescent="0.25">
      <c r="A2394">
        <v>2393</v>
      </c>
      <c r="B2394" s="1">
        <v>45346</v>
      </c>
      <c r="C2394" t="s">
        <v>10</v>
      </c>
      <c r="D2394" t="s">
        <v>20</v>
      </c>
      <c r="E2394">
        <v>148</v>
      </c>
      <c r="F2394">
        <v>39</v>
      </c>
      <c r="G2394">
        <v>0.5</v>
      </c>
      <c r="H2394" t="s">
        <v>18</v>
      </c>
      <c r="I2394" t="s">
        <v>19</v>
      </c>
      <c r="J2394" t="s">
        <v>11</v>
      </c>
      <c r="K2394">
        <f>_xlfn.XLOOKUP(tbl_analysis_tickets[[#This Row],[priority]],tbl_sla[priority],tbl_sla[Resolution SLA Hours])</f>
        <v>24</v>
      </c>
      <c r="L2394">
        <f>_xlfn.XLOOKUP(tbl_analysis_tickets[[#This Row],[priority]],tbl_sla[priority],tbl_sla[First Response SLA Minutes])</f>
        <v>60</v>
      </c>
      <c r="M2394" t="str">
        <f>IF(tbl_analysis_tickets[[#This Row],[resolution_time_hours]]&gt;tbl_analysis_tickets[[#This Row],[Resolution SLA Hours]],"Breached","Within SLA")</f>
        <v>Breached</v>
      </c>
      <c r="N2394" t="str">
        <f>IF(tbl_analysis_tickets[[#This Row],[first_response_minutes]]&gt;tbl_analysis_tickets[[#This Row],[First Response SLA Minutes]],"Breached","Within SLA")</f>
        <v>Breached</v>
      </c>
      <c r="O2394" t="str" cm="1">
        <f t="array" ref="O2394">_xlfn.IFS(
tbl_analysis_tickets[[#This Row],[agent_experience_years]]&lt;=2,"Junior",
tbl_analysis_tickets[[#This Row],[agent_experience_years]]&lt;=5,"Mid-Level",
tbl_analysis_tickets[[#This Row],[agent_experience_years]]&lt;=8,"Senior",
tbl_analysis_tickets[[#This Row],[agent_experience_years]]&gt;8,"Expert"
)</f>
        <v>Junior</v>
      </c>
      <c r="P2394" cm="1">
        <f t="array" ref="P2394">_xlfn.SWITCH(tbl_analysis_tickets[[#This Row],[customer_satisfaction]],
"Low",1,
"Medium",2,
"High",3
)</f>
        <v>1</v>
      </c>
      <c r="Q2394">
        <f>IF(tbl_analysis_tickets[[#This Row],[reopened]]="Yes",1,0)</f>
        <v>0</v>
      </c>
      <c r="R2394" t="str" cm="1">
        <f t="array" ref="R2394">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394" t="str" cm="1">
        <f t="array" ref="S239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394" t="str">
        <f>TEXT(tbl_analysis_tickets[[#This Row],[created_date]],"mmm-yyyy")</f>
        <v>Feb-2024</v>
      </c>
      <c r="U2394" t="str">
        <f>TEXT(tbl_analysis_tickets[[#This Row],[created_date]],"dddd")</f>
        <v>Saturday</v>
      </c>
      <c r="V2394" cm="1">
        <f t="array" ref="V2394">_xlfn.SWITCH(tbl_analysis_tickets[[#This Row],[priority]],
"Urgent",1,
"High",2,
"Medium",3,
"Low",4
)</f>
        <v>2</v>
      </c>
    </row>
    <row r="2395" spans="1:22" x14ac:dyDescent="0.25">
      <c r="A2395">
        <v>2394</v>
      </c>
      <c r="B2395" s="1">
        <v>45526</v>
      </c>
      <c r="C2395" t="s">
        <v>14</v>
      </c>
      <c r="D2395" t="s">
        <v>15</v>
      </c>
      <c r="E2395">
        <v>14</v>
      </c>
      <c r="F2395">
        <v>27</v>
      </c>
      <c r="G2395">
        <v>9.8000000000000007</v>
      </c>
      <c r="H2395" t="s">
        <v>18</v>
      </c>
      <c r="I2395" t="s">
        <v>19</v>
      </c>
      <c r="J2395" t="s">
        <v>20</v>
      </c>
      <c r="K2395">
        <f>_xlfn.XLOOKUP(tbl_analysis_tickets[[#This Row],[priority]],tbl_sla[priority],tbl_sla[Resolution SLA Hours])</f>
        <v>48</v>
      </c>
      <c r="L2395">
        <f>_xlfn.XLOOKUP(tbl_analysis_tickets[[#This Row],[priority]],tbl_sla[priority],tbl_sla[First Response SLA Minutes])</f>
        <v>120</v>
      </c>
      <c r="M2395" t="str">
        <f>IF(tbl_analysis_tickets[[#This Row],[resolution_time_hours]]&gt;tbl_analysis_tickets[[#This Row],[Resolution SLA Hours]],"Breached","Within SLA")</f>
        <v>Within SLA</v>
      </c>
      <c r="N2395" t="str">
        <f>IF(tbl_analysis_tickets[[#This Row],[first_response_minutes]]&gt;tbl_analysis_tickets[[#This Row],[First Response SLA Minutes]],"Breached","Within SLA")</f>
        <v>Within SLA</v>
      </c>
      <c r="O2395" t="str" cm="1">
        <f t="array" ref="O2395">_xlfn.IFS(
tbl_analysis_tickets[[#This Row],[agent_experience_years]]&lt;=2,"Junior",
tbl_analysis_tickets[[#This Row],[agent_experience_years]]&lt;=5,"Mid-Level",
tbl_analysis_tickets[[#This Row],[agent_experience_years]]&lt;=8,"Senior",
tbl_analysis_tickets[[#This Row],[agent_experience_years]]&gt;8,"Expert"
)</f>
        <v>Expert</v>
      </c>
      <c r="P2395" cm="1">
        <f t="array" ref="P2395">_xlfn.SWITCH(tbl_analysis_tickets[[#This Row],[customer_satisfaction]],
"Low",1,
"Medium",2,
"High",3
)</f>
        <v>3</v>
      </c>
      <c r="Q2395">
        <f>IF(tbl_analysis_tickets[[#This Row],[reopened]]="Yes",1,0)</f>
        <v>0</v>
      </c>
      <c r="R2395" t="str" cm="1">
        <f t="array" ref="R2395">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2395" t="str" cm="1">
        <f t="array" ref="S239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395" t="str">
        <f>TEXT(tbl_analysis_tickets[[#This Row],[created_date]],"mmm-yyyy")</f>
        <v>Aug-2024</v>
      </c>
      <c r="U2395" t="str">
        <f>TEXT(tbl_analysis_tickets[[#This Row],[created_date]],"dddd")</f>
        <v>Thursday</v>
      </c>
      <c r="V2395" cm="1">
        <f t="array" ref="V2395">_xlfn.SWITCH(tbl_analysis_tickets[[#This Row],[priority]],
"Urgent",1,
"High",2,
"Medium",3,
"Low",4
)</f>
        <v>3</v>
      </c>
    </row>
    <row r="2396" spans="1:22" x14ac:dyDescent="0.25">
      <c r="A2396">
        <v>2395</v>
      </c>
      <c r="B2396" s="1">
        <v>45593</v>
      </c>
      <c r="C2396" t="s">
        <v>14</v>
      </c>
      <c r="D2396" t="s">
        <v>17</v>
      </c>
      <c r="E2396">
        <v>172</v>
      </c>
      <c r="F2396">
        <v>15</v>
      </c>
      <c r="G2396">
        <v>9.5</v>
      </c>
      <c r="H2396" t="s">
        <v>18</v>
      </c>
      <c r="I2396" t="s">
        <v>19</v>
      </c>
      <c r="J2396" t="s">
        <v>11</v>
      </c>
      <c r="K2396">
        <f>_xlfn.XLOOKUP(tbl_analysis_tickets[[#This Row],[priority]],tbl_sla[priority],tbl_sla[Resolution SLA Hours])</f>
        <v>8</v>
      </c>
      <c r="L2396">
        <f>_xlfn.XLOOKUP(tbl_analysis_tickets[[#This Row],[priority]],tbl_sla[priority],tbl_sla[First Response SLA Minutes])</f>
        <v>30</v>
      </c>
      <c r="M2396" t="str">
        <f>IF(tbl_analysis_tickets[[#This Row],[resolution_time_hours]]&gt;tbl_analysis_tickets[[#This Row],[Resolution SLA Hours]],"Breached","Within SLA")</f>
        <v>Breached</v>
      </c>
      <c r="N2396" t="str">
        <f>IF(tbl_analysis_tickets[[#This Row],[first_response_minutes]]&gt;tbl_analysis_tickets[[#This Row],[First Response SLA Minutes]],"Breached","Within SLA")</f>
        <v>Breached</v>
      </c>
      <c r="O2396" t="str" cm="1">
        <f t="array" ref="O2396">_xlfn.IFS(
tbl_analysis_tickets[[#This Row],[agent_experience_years]]&lt;=2,"Junior",
tbl_analysis_tickets[[#This Row],[agent_experience_years]]&lt;=5,"Mid-Level",
tbl_analysis_tickets[[#This Row],[agent_experience_years]]&lt;=8,"Senior",
tbl_analysis_tickets[[#This Row],[agent_experience_years]]&gt;8,"Expert"
)</f>
        <v>Expert</v>
      </c>
      <c r="P2396" cm="1">
        <f t="array" ref="P2396">_xlfn.SWITCH(tbl_analysis_tickets[[#This Row],[customer_satisfaction]],
"Low",1,
"Medium",2,
"High",3
)</f>
        <v>1</v>
      </c>
      <c r="Q2396">
        <f>IF(tbl_analysis_tickets[[#This Row],[reopened]]="Yes",1,0)</f>
        <v>0</v>
      </c>
      <c r="R2396" t="str" cm="1">
        <f t="array" ref="R2396">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396" t="str" cm="1">
        <f t="array" ref="S239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396" t="str">
        <f>TEXT(tbl_analysis_tickets[[#This Row],[created_date]],"mmm-yyyy")</f>
        <v>Oct-2024</v>
      </c>
      <c r="U2396" t="str">
        <f>TEXT(tbl_analysis_tickets[[#This Row],[created_date]],"dddd")</f>
        <v>Monday</v>
      </c>
      <c r="V2396" cm="1">
        <f t="array" ref="V2396">_xlfn.SWITCH(tbl_analysis_tickets[[#This Row],[priority]],
"Urgent",1,
"High",2,
"Medium",3,
"Low",4
)</f>
        <v>1</v>
      </c>
    </row>
    <row r="2397" spans="1:22" x14ac:dyDescent="0.25">
      <c r="A2397">
        <v>2396</v>
      </c>
      <c r="B2397" s="1">
        <v>45443</v>
      </c>
      <c r="C2397" t="s">
        <v>14</v>
      </c>
      <c r="D2397" t="s">
        <v>17</v>
      </c>
      <c r="E2397">
        <v>150</v>
      </c>
      <c r="F2397">
        <v>65</v>
      </c>
      <c r="G2397">
        <v>6.7</v>
      </c>
      <c r="H2397" t="s">
        <v>12</v>
      </c>
      <c r="I2397" t="s">
        <v>16</v>
      </c>
      <c r="J2397" t="s">
        <v>11</v>
      </c>
      <c r="K2397">
        <f>_xlfn.XLOOKUP(tbl_analysis_tickets[[#This Row],[priority]],tbl_sla[priority],tbl_sla[Resolution SLA Hours])</f>
        <v>8</v>
      </c>
      <c r="L2397">
        <f>_xlfn.XLOOKUP(tbl_analysis_tickets[[#This Row],[priority]],tbl_sla[priority],tbl_sla[First Response SLA Minutes])</f>
        <v>30</v>
      </c>
      <c r="M2397" t="str">
        <f>IF(tbl_analysis_tickets[[#This Row],[resolution_time_hours]]&gt;tbl_analysis_tickets[[#This Row],[Resolution SLA Hours]],"Breached","Within SLA")</f>
        <v>Breached</v>
      </c>
      <c r="N2397" t="str">
        <f>IF(tbl_analysis_tickets[[#This Row],[first_response_minutes]]&gt;tbl_analysis_tickets[[#This Row],[First Response SLA Minutes]],"Breached","Within SLA")</f>
        <v>Breached</v>
      </c>
      <c r="O2397" t="str" cm="1">
        <f t="array" ref="O2397">_xlfn.IFS(
tbl_analysis_tickets[[#This Row],[agent_experience_years]]&lt;=2,"Junior",
tbl_analysis_tickets[[#This Row],[agent_experience_years]]&lt;=5,"Mid-Level",
tbl_analysis_tickets[[#This Row],[agent_experience_years]]&lt;=8,"Senior",
tbl_analysis_tickets[[#This Row],[agent_experience_years]]&gt;8,"Expert"
)</f>
        <v>Senior</v>
      </c>
      <c r="P2397" cm="1">
        <f t="array" ref="P2397">_xlfn.SWITCH(tbl_analysis_tickets[[#This Row],[customer_satisfaction]],
"Low",1,
"Medium",2,
"High",3
)</f>
        <v>1</v>
      </c>
      <c r="Q2397">
        <f>IF(tbl_analysis_tickets[[#This Row],[reopened]]="Yes",1,0)</f>
        <v>1</v>
      </c>
      <c r="R2397" t="str" cm="1">
        <f t="array" ref="R2397">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397" t="str" cm="1">
        <f t="array" ref="S239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397" t="str">
        <f>TEXT(tbl_analysis_tickets[[#This Row],[created_date]],"mmm-yyyy")</f>
        <v>May-2024</v>
      </c>
      <c r="U2397" t="str">
        <f>TEXT(tbl_analysis_tickets[[#This Row],[created_date]],"dddd")</f>
        <v>Friday</v>
      </c>
      <c r="V2397" cm="1">
        <f t="array" ref="V2397">_xlfn.SWITCH(tbl_analysis_tickets[[#This Row],[priority]],
"Urgent",1,
"High",2,
"Medium",3,
"Low",4
)</f>
        <v>1</v>
      </c>
    </row>
    <row r="2398" spans="1:22" x14ac:dyDescent="0.25">
      <c r="A2398">
        <v>2397</v>
      </c>
      <c r="B2398" s="1">
        <v>45511</v>
      </c>
      <c r="C2398" t="s">
        <v>14</v>
      </c>
      <c r="D2398" t="s">
        <v>20</v>
      </c>
      <c r="E2398">
        <v>74</v>
      </c>
      <c r="F2398">
        <v>15</v>
      </c>
      <c r="G2398">
        <v>6.9</v>
      </c>
      <c r="H2398" t="s">
        <v>12</v>
      </c>
      <c r="I2398" t="s">
        <v>16</v>
      </c>
      <c r="J2398" t="s">
        <v>11</v>
      </c>
      <c r="K2398">
        <f>_xlfn.XLOOKUP(tbl_analysis_tickets[[#This Row],[priority]],tbl_sla[priority],tbl_sla[Resolution SLA Hours])</f>
        <v>24</v>
      </c>
      <c r="L2398">
        <f>_xlfn.XLOOKUP(tbl_analysis_tickets[[#This Row],[priority]],tbl_sla[priority],tbl_sla[First Response SLA Minutes])</f>
        <v>60</v>
      </c>
      <c r="M2398" t="str">
        <f>IF(tbl_analysis_tickets[[#This Row],[resolution_time_hours]]&gt;tbl_analysis_tickets[[#This Row],[Resolution SLA Hours]],"Breached","Within SLA")</f>
        <v>Within SLA</v>
      </c>
      <c r="N2398" t="str">
        <f>IF(tbl_analysis_tickets[[#This Row],[first_response_minutes]]&gt;tbl_analysis_tickets[[#This Row],[First Response SLA Minutes]],"Breached","Within SLA")</f>
        <v>Breached</v>
      </c>
      <c r="O2398" t="str" cm="1">
        <f t="array" ref="O2398">_xlfn.IFS(
tbl_analysis_tickets[[#This Row],[agent_experience_years]]&lt;=2,"Junior",
tbl_analysis_tickets[[#This Row],[agent_experience_years]]&lt;=5,"Mid-Level",
tbl_analysis_tickets[[#This Row],[agent_experience_years]]&lt;=8,"Senior",
tbl_analysis_tickets[[#This Row],[agent_experience_years]]&gt;8,"Expert"
)</f>
        <v>Senior</v>
      </c>
      <c r="P2398" cm="1">
        <f t="array" ref="P2398">_xlfn.SWITCH(tbl_analysis_tickets[[#This Row],[customer_satisfaction]],
"Low",1,
"Medium",2,
"High",3
)</f>
        <v>1</v>
      </c>
      <c r="Q2398">
        <f>IF(tbl_analysis_tickets[[#This Row],[reopened]]="Yes",1,0)</f>
        <v>1</v>
      </c>
      <c r="R2398" t="str" cm="1">
        <f t="array" ref="R2398">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398" t="str" cm="1">
        <f t="array" ref="S239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398" t="str">
        <f>TEXT(tbl_analysis_tickets[[#This Row],[created_date]],"mmm-yyyy")</f>
        <v>Aug-2024</v>
      </c>
      <c r="U2398" t="str">
        <f>TEXT(tbl_analysis_tickets[[#This Row],[created_date]],"dddd")</f>
        <v>Wednesday</v>
      </c>
      <c r="V2398" cm="1">
        <f t="array" ref="V2398">_xlfn.SWITCH(tbl_analysis_tickets[[#This Row],[priority]],
"Urgent",1,
"High",2,
"Medium",3,
"Low",4
)</f>
        <v>2</v>
      </c>
    </row>
    <row r="2399" spans="1:22" x14ac:dyDescent="0.25">
      <c r="A2399">
        <v>2398</v>
      </c>
      <c r="B2399" s="1">
        <v>45301</v>
      </c>
      <c r="C2399" t="s">
        <v>22</v>
      </c>
      <c r="D2399" t="s">
        <v>11</v>
      </c>
      <c r="E2399">
        <v>112</v>
      </c>
      <c r="F2399">
        <v>55</v>
      </c>
      <c r="G2399">
        <v>4.8</v>
      </c>
      <c r="H2399" t="s">
        <v>18</v>
      </c>
      <c r="I2399" t="s">
        <v>16</v>
      </c>
      <c r="J2399" t="s">
        <v>11</v>
      </c>
      <c r="K2399">
        <f>_xlfn.XLOOKUP(tbl_analysis_tickets[[#This Row],[priority]],tbl_sla[priority],tbl_sla[Resolution SLA Hours])</f>
        <v>72</v>
      </c>
      <c r="L2399">
        <f>_xlfn.XLOOKUP(tbl_analysis_tickets[[#This Row],[priority]],tbl_sla[priority],tbl_sla[First Response SLA Minutes])</f>
        <v>240</v>
      </c>
      <c r="M2399" t="str">
        <f>IF(tbl_analysis_tickets[[#This Row],[resolution_time_hours]]&gt;tbl_analysis_tickets[[#This Row],[Resolution SLA Hours]],"Breached","Within SLA")</f>
        <v>Within SLA</v>
      </c>
      <c r="N2399" t="str">
        <f>IF(tbl_analysis_tickets[[#This Row],[first_response_minutes]]&gt;tbl_analysis_tickets[[#This Row],[First Response SLA Minutes]],"Breached","Within SLA")</f>
        <v>Within SLA</v>
      </c>
      <c r="O2399" t="str" cm="1">
        <f t="array" ref="O2399">_xlfn.IFS(
tbl_analysis_tickets[[#This Row],[agent_experience_years]]&lt;=2,"Junior",
tbl_analysis_tickets[[#This Row],[agent_experience_years]]&lt;=5,"Mid-Level",
tbl_analysis_tickets[[#This Row],[agent_experience_years]]&lt;=8,"Senior",
tbl_analysis_tickets[[#This Row],[agent_experience_years]]&gt;8,"Expert"
)</f>
        <v>Mid-Level</v>
      </c>
      <c r="P2399" cm="1">
        <f t="array" ref="P2399">_xlfn.SWITCH(tbl_analysis_tickets[[#This Row],[customer_satisfaction]],
"Low",1,
"Medium",2,
"High",3
)</f>
        <v>1</v>
      </c>
      <c r="Q2399">
        <f>IF(tbl_analysis_tickets[[#This Row],[reopened]]="Yes",1,0)</f>
        <v>0</v>
      </c>
      <c r="R2399" t="str" cm="1">
        <f t="array" ref="R2399">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399" t="str" cm="1">
        <f t="array" ref="S239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399" t="str">
        <f>TEXT(tbl_analysis_tickets[[#This Row],[created_date]],"mmm-yyyy")</f>
        <v>Jan-2024</v>
      </c>
      <c r="U2399" t="str">
        <f>TEXT(tbl_analysis_tickets[[#This Row],[created_date]],"dddd")</f>
        <v>Wednesday</v>
      </c>
      <c r="V2399" cm="1">
        <f t="array" ref="V2399">_xlfn.SWITCH(tbl_analysis_tickets[[#This Row],[priority]],
"Urgent",1,
"High",2,
"Medium",3,
"Low",4
)</f>
        <v>4</v>
      </c>
    </row>
    <row r="2400" spans="1:22" x14ac:dyDescent="0.25">
      <c r="A2400">
        <v>2399</v>
      </c>
      <c r="B2400" s="1">
        <v>45308</v>
      </c>
      <c r="C2400" t="s">
        <v>23</v>
      </c>
      <c r="D2400" t="s">
        <v>11</v>
      </c>
      <c r="E2400">
        <v>230</v>
      </c>
      <c r="F2400">
        <v>34</v>
      </c>
      <c r="G2400">
        <v>2.9</v>
      </c>
      <c r="H2400" t="s">
        <v>12</v>
      </c>
      <c r="I2400" t="s">
        <v>13</v>
      </c>
      <c r="J2400" t="s">
        <v>11</v>
      </c>
      <c r="K2400">
        <f>_xlfn.XLOOKUP(tbl_analysis_tickets[[#This Row],[priority]],tbl_sla[priority],tbl_sla[Resolution SLA Hours])</f>
        <v>72</v>
      </c>
      <c r="L2400">
        <f>_xlfn.XLOOKUP(tbl_analysis_tickets[[#This Row],[priority]],tbl_sla[priority],tbl_sla[First Response SLA Minutes])</f>
        <v>240</v>
      </c>
      <c r="M2400" t="str">
        <f>IF(tbl_analysis_tickets[[#This Row],[resolution_time_hours]]&gt;tbl_analysis_tickets[[#This Row],[Resolution SLA Hours]],"Breached","Within SLA")</f>
        <v>Within SLA</v>
      </c>
      <c r="N2400" t="str">
        <f>IF(tbl_analysis_tickets[[#This Row],[first_response_minutes]]&gt;tbl_analysis_tickets[[#This Row],[First Response SLA Minutes]],"Breached","Within SLA")</f>
        <v>Within SLA</v>
      </c>
      <c r="O2400" t="str" cm="1">
        <f t="array" ref="O2400">_xlfn.IFS(
tbl_analysis_tickets[[#This Row],[agent_experience_years]]&lt;=2,"Junior",
tbl_analysis_tickets[[#This Row],[agent_experience_years]]&lt;=5,"Mid-Level",
tbl_analysis_tickets[[#This Row],[agent_experience_years]]&lt;=8,"Senior",
tbl_analysis_tickets[[#This Row],[agent_experience_years]]&gt;8,"Expert"
)</f>
        <v>Mid-Level</v>
      </c>
      <c r="P2400" cm="1">
        <f t="array" ref="P2400">_xlfn.SWITCH(tbl_analysis_tickets[[#This Row],[customer_satisfaction]],
"Low",1,
"Medium",2,
"High",3
)</f>
        <v>1</v>
      </c>
      <c r="Q2400">
        <f>IF(tbl_analysis_tickets[[#This Row],[reopened]]="Yes",1,0)</f>
        <v>1</v>
      </c>
      <c r="R2400" t="str" cm="1">
        <f t="array" ref="R2400">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400" t="str" cm="1">
        <f t="array" ref="S240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400" t="str">
        <f>TEXT(tbl_analysis_tickets[[#This Row],[created_date]],"mmm-yyyy")</f>
        <v>Jan-2024</v>
      </c>
      <c r="U2400" t="str">
        <f>TEXT(tbl_analysis_tickets[[#This Row],[created_date]],"dddd")</f>
        <v>Wednesday</v>
      </c>
      <c r="V2400" cm="1">
        <f t="array" ref="V2400">_xlfn.SWITCH(tbl_analysis_tickets[[#This Row],[priority]],
"Urgent",1,
"High",2,
"Medium",3,
"Low",4
)</f>
        <v>4</v>
      </c>
    </row>
    <row r="2401" spans="1:22" x14ac:dyDescent="0.25">
      <c r="A2401">
        <v>2400</v>
      </c>
      <c r="B2401" s="1">
        <v>45408</v>
      </c>
      <c r="C2401" t="s">
        <v>10</v>
      </c>
      <c r="D2401" t="s">
        <v>11</v>
      </c>
      <c r="E2401">
        <v>33</v>
      </c>
      <c r="F2401">
        <v>55</v>
      </c>
      <c r="G2401">
        <v>1.2</v>
      </c>
      <c r="H2401" t="s">
        <v>12</v>
      </c>
      <c r="I2401" t="s">
        <v>16</v>
      </c>
      <c r="J2401" t="s">
        <v>11</v>
      </c>
      <c r="K2401">
        <f>_xlfn.XLOOKUP(tbl_analysis_tickets[[#This Row],[priority]],tbl_sla[priority],tbl_sla[Resolution SLA Hours])</f>
        <v>72</v>
      </c>
      <c r="L2401">
        <f>_xlfn.XLOOKUP(tbl_analysis_tickets[[#This Row],[priority]],tbl_sla[priority],tbl_sla[First Response SLA Minutes])</f>
        <v>240</v>
      </c>
      <c r="M2401" t="str">
        <f>IF(tbl_analysis_tickets[[#This Row],[resolution_time_hours]]&gt;tbl_analysis_tickets[[#This Row],[Resolution SLA Hours]],"Breached","Within SLA")</f>
        <v>Within SLA</v>
      </c>
      <c r="N2401" t="str">
        <f>IF(tbl_analysis_tickets[[#This Row],[first_response_minutes]]&gt;tbl_analysis_tickets[[#This Row],[First Response SLA Minutes]],"Breached","Within SLA")</f>
        <v>Within SLA</v>
      </c>
      <c r="O2401" t="str" cm="1">
        <f t="array" ref="O2401">_xlfn.IFS(
tbl_analysis_tickets[[#This Row],[agent_experience_years]]&lt;=2,"Junior",
tbl_analysis_tickets[[#This Row],[agent_experience_years]]&lt;=5,"Mid-Level",
tbl_analysis_tickets[[#This Row],[agent_experience_years]]&lt;=8,"Senior",
tbl_analysis_tickets[[#This Row],[agent_experience_years]]&gt;8,"Expert"
)</f>
        <v>Junior</v>
      </c>
      <c r="P2401" cm="1">
        <f t="array" ref="P2401">_xlfn.SWITCH(tbl_analysis_tickets[[#This Row],[customer_satisfaction]],
"Low",1,
"Medium",2,
"High",3
)</f>
        <v>1</v>
      </c>
      <c r="Q2401">
        <f>IF(tbl_analysis_tickets[[#This Row],[reopened]]="Yes",1,0)</f>
        <v>1</v>
      </c>
      <c r="R2401" t="str" cm="1">
        <f t="array" ref="R2401">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401" t="str" cm="1">
        <f t="array" ref="S240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401" t="str">
        <f>TEXT(tbl_analysis_tickets[[#This Row],[created_date]],"mmm-yyyy")</f>
        <v>Apr-2024</v>
      </c>
      <c r="U2401" t="str">
        <f>TEXT(tbl_analysis_tickets[[#This Row],[created_date]],"dddd")</f>
        <v>Friday</v>
      </c>
      <c r="V2401" cm="1">
        <f t="array" ref="V2401">_xlfn.SWITCH(tbl_analysis_tickets[[#This Row],[priority]],
"Urgent",1,
"High",2,
"Medium",3,
"Low",4
)</f>
        <v>4</v>
      </c>
    </row>
    <row r="2402" spans="1:22" x14ac:dyDescent="0.25">
      <c r="A2402">
        <v>2401</v>
      </c>
      <c r="B2402" s="1">
        <v>45451</v>
      </c>
      <c r="C2402" t="s">
        <v>21</v>
      </c>
      <c r="D2402" t="s">
        <v>15</v>
      </c>
      <c r="E2402">
        <v>178</v>
      </c>
      <c r="F2402">
        <v>32</v>
      </c>
      <c r="G2402">
        <v>1.2</v>
      </c>
      <c r="H2402" t="s">
        <v>12</v>
      </c>
      <c r="I2402" t="s">
        <v>19</v>
      </c>
      <c r="J2402" t="s">
        <v>11</v>
      </c>
      <c r="K2402">
        <f>_xlfn.XLOOKUP(tbl_analysis_tickets[[#This Row],[priority]],tbl_sla[priority],tbl_sla[Resolution SLA Hours])</f>
        <v>48</v>
      </c>
      <c r="L2402">
        <f>_xlfn.XLOOKUP(tbl_analysis_tickets[[#This Row],[priority]],tbl_sla[priority],tbl_sla[First Response SLA Minutes])</f>
        <v>120</v>
      </c>
      <c r="M2402" t="str">
        <f>IF(tbl_analysis_tickets[[#This Row],[resolution_time_hours]]&gt;tbl_analysis_tickets[[#This Row],[Resolution SLA Hours]],"Breached","Within SLA")</f>
        <v>Within SLA</v>
      </c>
      <c r="N2402" t="str">
        <f>IF(tbl_analysis_tickets[[#This Row],[first_response_minutes]]&gt;tbl_analysis_tickets[[#This Row],[First Response SLA Minutes]],"Breached","Within SLA")</f>
        <v>Breached</v>
      </c>
      <c r="O2402" t="str" cm="1">
        <f t="array" ref="O2402">_xlfn.IFS(
tbl_analysis_tickets[[#This Row],[agent_experience_years]]&lt;=2,"Junior",
tbl_analysis_tickets[[#This Row],[agent_experience_years]]&lt;=5,"Mid-Level",
tbl_analysis_tickets[[#This Row],[agent_experience_years]]&lt;=8,"Senior",
tbl_analysis_tickets[[#This Row],[agent_experience_years]]&gt;8,"Expert"
)</f>
        <v>Junior</v>
      </c>
      <c r="P2402" cm="1">
        <f t="array" ref="P2402">_xlfn.SWITCH(tbl_analysis_tickets[[#This Row],[customer_satisfaction]],
"Low",1,
"Medium",2,
"High",3
)</f>
        <v>1</v>
      </c>
      <c r="Q2402">
        <f>IF(tbl_analysis_tickets[[#This Row],[reopened]]="Yes",1,0)</f>
        <v>1</v>
      </c>
      <c r="R2402" t="str" cm="1">
        <f t="array" ref="R2402">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402" t="str" cm="1">
        <f t="array" ref="S240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402" t="str">
        <f>TEXT(tbl_analysis_tickets[[#This Row],[created_date]],"mmm-yyyy")</f>
        <v>Jun-2024</v>
      </c>
      <c r="U2402" t="str">
        <f>TEXT(tbl_analysis_tickets[[#This Row],[created_date]],"dddd")</f>
        <v>Saturday</v>
      </c>
      <c r="V2402" cm="1">
        <f t="array" ref="V2402">_xlfn.SWITCH(tbl_analysis_tickets[[#This Row],[priority]],
"Urgent",1,
"High",2,
"Medium",3,
"Low",4
)</f>
        <v>3</v>
      </c>
    </row>
    <row r="2403" spans="1:22" x14ac:dyDescent="0.25">
      <c r="A2403">
        <v>2402</v>
      </c>
      <c r="B2403" s="1">
        <v>45567</v>
      </c>
      <c r="C2403" t="s">
        <v>22</v>
      </c>
      <c r="D2403" t="s">
        <v>20</v>
      </c>
      <c r="E2403">
        <v>43</v>
      </c>
      <c r="F2403">
        <v>30</v>
      </c>
      <c r="G2403">
        <v>9.5</v>
      </c>
      <c r="H2403" t="s">
        <v>12</v>
      </c>
      <c r="I2403" t="s">
        <v>19</v>
      </c>
      <c r="J2403" t="s">
        <v>11</v>
      </c>
      <c r="K2403">
        <f>_xlfn.XLOOKUP(tbl_analysis_tickets[[#This Row],[priority]],tbl_sla[priority],tbl_sla[Resolution SLA Hours])</f>
        <v>24</v>
      </c>
      <c r="L2403">
        <f>_xlfn.XLOOKUP(tbl_analysis_tickets[[#This Row],[priority]],tbl_sla[priority],tbl_sla[First Response SLA Minutes])</f>
        <v>60</v>
      </c>
      <c r="M2403" t="str">
        <f>IF(tbl_analysis_tickets[[#This Row],[resolution_time_hours]]&gt;tbl_analysis_tickets[[#This Row],[Resolution SLA Hours]],"Breached","Within SLA")</f>
        <v>Breached</v>
      </c>
      <c r="N2403" t="str">
        <f>IF(tbl_analysis_tickets[[#This Row],[first_response_minutes]]&gt;tbl_analysis_tickets[[#This Row],[First Response SLA Minutes]],"Breached","Within SLA")</f>
        <v>Within SLA</v>
      </c>
      <c r="O2403" t="str" cm="1">
        <f t="array" ref="O2403">_xlfn.IFS(
tbl_analysis_tickets[[#This Row],[agent_experience_years]]&lt;=2,"Junior",
tbl_analysis_tickets[[#This Row],[agent_experience_years]]&lt;=5,"Mid-Level",
tbl_analysis_tickets[[#This Row],[agent_experience_years]]&lt;=8,"Senior",
tbl_analysis_tickets[[#This Row],[agent_experience_years]]&gt;8,"Expert"
)</f>
        <v>Expert</v>
      </c>
      <c r="P2403" cm="1">
        <f t="array" ref="P2403">_xlfn.SWITCH(tbl_analysis_tickets[[#This Row],[customer_satisfaction]],
"Low",1,
"Medium",2,
"High",3
)</f>
        <v>1</v>
      </c>
      <c r="Q2403">
        <f>IF(tbl_analysis_tickets[[#This Row],[reopened]]="Yes",1,0)</f>
        <v>1</v>
      </c>
      <c r="R2403" t="str" cm="1">
        <f t="array" ref="R2403">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403" t="str" cm="1">
        <f t="array" ref="S240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403" t="str">
        <f>TEXT(tbl_analysis_tickets[[#This Row],[created_date]],"mmm-yyyy")</f>
        <v>Oct-2024</v>
      </c>
      <c r="U2403" t="str">
        <f>TEXT(tbl_analysis_tickets[[#This Row],[created_date]],"dddd")</f>
        <v>Wednesday</v>
      </c>
      <c r="V2403" cm="1">
        <f t="array" ref="V2403">_xlfn.SWITCH(tbl_analysis_tickets[[#This Row],[priority]],
"Urgent",1,
"High",2,
"Medium",3,
"Low",4
)</f>
        <v>2</v>
      </c>
    </row>
    <row r="2404" spans="1:22" x14ac:dyDescent="0.25">
      <c r="A2404">
        <v>2403</v>
      </c>
      <c r="B2404" s="1">
        <v>45525</v>
      </c>
      <c r="C2404" t="s">
        <v>21</v>
      </c>
      <c r="D2404" t="s">
        <v>20</v>
      </c>
      <c r="E2404">
        <v>129</v>
      </c>
      <c r="F2404">
        <v>21</v>
      </c>
      <c r="G2404">
        <v>2.9</v>
      </c>
      <c r="H2404" t="s">
        <v>12</v>
      </c>
      <c r="I2404" t="s">
        <v>19</v>
      </c>
      <c r="J2404" t="s">
        <v>11</v>
      </c>
      <c r="K2404">
        <f>_xlfn.XLOOKUP(tbl_analysis_tickets[[#This Row],[priority]],tbl_sla[priority],tbl_sla[Resolution SLA Hours])</f>
        <v>24</v>
      </c>
      <c r="L2404">
        <f>_xlfn.XLOOKUP(tbl_analysis_tickets[[#This Row],[priority]],tbl_sla[priority],tbl_sla[First Response SLA Minutes])</f>
        <v>60</v>
      </c>
      <c r="M2404" t="str">
        <f>IF(tbl_analysis_tickets[[#This Row],[resolution_time_hours]]&gt;tbl_analysis_tickets[[#This Row],[Resolution SLA Hours]],"Breached","Within SLA")</f>
        <v>Within SLA</v>
      </c>
      <c r="N2404" t="str">
        <f>IF(tbl_analysis_tickets[[#This Row],[first_response_minutes]]&gt;tbl_analysis_tickets[[#This Row],[First Response SLA Minutes]],"Breached","Within SLA")</f>
        <v>Breached</v>
      </c>
      <c r="O2404" t="str" cm="1">
        <f t="array" ref="O2404">_xlfn.IFS(
tbl_analysis_tickets[[#This Row],[agent_experience_years]]&lt;=2,"Junior",
tbl_analysis_tickets[[#This Row],[agent_experience_years]]&lt;=5,"Mid-Level",
tbl_analysis_tickets[[#This Row],[agent_experience_years]]&lt;=8,"Senior",
tbl_analysis_tickets[[#This Row],[agent_experience_years]]&gt;8,"Expert"
)</f>
        <v>Mid-Level</v>
      </c>
      <c r="P2404" cm="1">
        <f t="array" ref="P2404">_xlfn.SWITCH(tbl_analysis_tickets[[#This Row],[customer_satisfaction]],
"Low",1,
"Medium",2,
"High",3
)</f>
        <v>1</v>
      </c>
      <c r="Q2404">
        <f>IF(tbl_analysis_tickets[[#This Row],[reopened]]="Yes",1,0)</f>
        <v>1</v>
      </c>
      <c r="R2404" t="str" cm="1">
        <f t="array" ref="R2404">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404" t="str" cm="1">
        <f t="array" ref="S240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404" t="str">
        <f>TEXT(tbl_analysis_tickets[[#This Row],[created_date]],"mmm-yyyy")</f>
        <v>Aug-2024</v>
      </c>
      <c r="U2404" t="str">
        <f>TEXT(tbl_analysis_tickets[[#This Row],[created_date]],"dddd")</f>
        <v>Wednesday</v>
      </c>
      <c r="V2404" cm="1">
        <f t="array" ref="V2404">_xlfn.SWITCH(tbl_analysis_tickets[[#This Row],[priority]],
"Urgent",1,
"High",2,
"Medium",3,
"Low",4
)</f>
        <v>2</v>
      </c>
    </row>
    <row r="2405" spans="1:22" x14ac:dyDescent="0.25">
      <c r="A2405">
        <v>2404</v>
      </c>
      <c r="B2405" s="1">
        <v>45430</v>
      </c>
      <c r="C2405" t="s">
        <v>22</v>
      </c>
      <c r="D2405" t="s">
        <v>17</v>
      </c>
      <c r="E2405">
        <v>190</v>
      </c>
      <c r="F2405">
        <v>51</v>
      </c>
      <c r="G2405">
        <v>1.1000000000000001</v>
      </c>
      <c r="H2405" t="s">
        <v>18</v>
      </c>
      <c r="I2405" t="s">
        <v>19</v>
      </c>
      <c r="J2405" t="s">
        <v>11</v>
      </c>
      <c r="K2405">
        <f>_xlfn.XLOOKUP(tbl_analysis_tickets[[#This Row],[priority]],tbl_sla[priority],tbl_sla[Resolution SLA Hours])</f>
        <v>8</v>
      </c>
      <c r="L2405">
        <f>_xlfn.XLOOKUP(tbl_analysis_tickets[[#This Row],[priority]],tbl_sla[priority],tbl_sla[First Response SLA Minutes])</f>
        <v>30</v>
      </c>
      <c r="M2405" t="str">
        <f>IF(tbl_analysis_tickets[[#This Row],[resolution_time_hours]]&gt;tbl_analysis_tickets[[#This Row],[Resolution SLA Hours]],"Breached","Within SLA")</f>
        <v>Breached</v>
      </c>
      <c r="N2405" t="str">
        <f>IF(tbl_analysis_tickets[[#This Row],[first_response_minutes]]&gt;tbl_analysis_tickets[[#This Row],[First Response SLA Minutes]],"Breached","Within SLA")</f>
        <v>Breached</v>
      </c>
      <c r="O2405" t="str" cm="1">
        <f t="array" ref="O2405">_xlfn.IFS(
tbl_analysis_tickets[[#This Row],[agent_experience_years]]&lt;=2,"Junior",
tbl_analysis_tickets[[#This Row],[agent_experience_years]]&lt;=5,"Mid-Level",
tbl_analysis_tickets[[#This Row],[agent_experience_years]]&lt;=8,"Senior",
tbl_analysis_tickets[[#This Row],[agent_experience_years]]&gt;8,"Expert"
)</f>
        <v>Junior</v>
      </c>
      <c r="P2405" cm="1">
        <f t="array" ref="P2405">_xlfn.SWITCH(tbl_analysis_tickets[[#This Row],[customer_satisfaction]],
"Low",1,
"Medium",2,
"High",3
)</f>
        <v>1</v>
      </c>
      <c r="Q2405">
        <f>IF(tbl_analysis_tickets[[#This Row],[reopened]]="Yes",1,0)</f>
        <v>0</v>
      </c>
      <c r="R2405" t="str" cm="1">
        <f t="array" ref="R2405">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405" t="str" cm="1">
        <f t="array" ref="S240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405" t="str">
        <f>TEXT(tbl_analysis_tickets[[#This Row],[created_date]],"mmm-yyyy")</f>
        <v>May-2024</v>
      </c>
      <c r="U2405" t="str">
        <f>TEXT(tbl_analysis_tickets[[#This Row],[created_date]],"dddd")</f>
        <v>Saturday</v>
      </c>
      <c r="V2405" cm="1">
        <f t="array" ref="V2405">_xlfn.SWITCH(tbl_analysis_tickets[[#This Row],[priority]],
"Urgent",1,
"High",2,
"Medium",3,
"Low",4
)</f>
        <v>1</v>
      </c>
    </row>
    <row r="2406" spans="1:22" x14ac:dyDescent="0.25">
      <c r="A2406">
        <v>2405</v>
      </c>
      <c r="B2406" s="1">
        <v>45394</v>
      </c>
      <c r="C2406" t="s">
        <v>21</v>
      </c>
      <c r="D2406" t="s">
        <v>17</v>
      </c>
      <c r="E2406">
        <v>120</v>
      </c>
      <c r="F2406">
        <v>59</v>
      </c>
      <c r="G2406">
        <v>2.2999999999999998</v>
      </c>
      <c r="H2406" t="s">
        <v>12</v>
      </c>
      <c r="I2406" t="s">
        <v>19</v>
      </c>
      <c r="J2406" t="s">
        <v>11</v>
      </c>
      <c r="K2406">
        <f>_xlfn.XLOOKUP(tbl_analysis_tickets[[#This Row],[priority]],tbl_sla[priority],tbl_sla[Resolution SLA Hours])</f>
        <v>8</v>
      </c>
      <c r="L2406">
        <f>_xlfn.XLOOKUP(tbl_analysis_tickets[[#This Row],[priority]],tbl_sla[priority],tbl_sla[First Response SLA Minutes])</f>
        <v>30</v>
      </c>
      <c r="M2406" t="str">
        <f>IF(tbl_analysis_tickets[[#This Row],[resolution_time_hours]]&gt;tbl_analysis_tickets[[#This Row],[Resolution SLA Hours]],"Breached","Within SLA")</f>
        <v>Breached</v>
      </c>
      <c r="N2406" t="str">
        <f>IF(tbl_analysis_tickets[[#This Row],[first_response_minutes]]&gt;tbl_analysis_tickets[[#This Row],[First Response SLA Minutes]],"Breached","Within SLA")</f>
        <v>Breached</v>
      </c>
      <c r="O2406" t="str" cm="1">
        <f t="array" ref="O2406">_xlfn.IFS(
tbl_analysis_tickets[[#This Row],[agent_experience_years]]&lt;=2,"Junior",
tbl_analysis_tickets[[#This Row],[agent_experience_years]]&lt;=5,"Mid-Level",
tbl_analysis_tickets[[#This Row],[agent_experience_years]]&lt;=8,"Senior",
tbl_analysis_tickets[[#This Row],[agent_experience_years]]&gt;8,"Expert"
)</f>
        <v>Mid-Level</v>
      </c>
      <c r="P2406" cm="1">
        <f t="array" ref="P2406">_xlfn.SWITCH(tbl_analysis_tickets[[#This Row],[customer_satisfaction]],
"Low",1,
"Medium",2,
"High",3
)</f>
        <v>1</v>
      </c>
      <c r="Q2406">
        <f>IF(tbl_analysis_tickets[[#This Row],[reopened]]="Yes",1,0)</f>
        <v>1</v>
      </c>
      <c r="R2406" t="str" cm="1">
        <f t="array" ref="R2406">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406" t="str" cm="1">
        <f t="array" ref="S240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406" t="str">
        <f>TEXT(tbl_analysis_tickets[[#This Row],[created_date]],"mmm-yyyy")</f>
        <v>Apr-2024</v>
      </c>
      <c r="U2406" t="str">
        <f>TEXT(tbl_analysis_tickets[[#This Row],[created_date]],"dddd")</f>
        <v>Friday</v>
      </c>
      <c r="V2406" cm="1">
        <f t="array" ref="V2406">_xlfn.SWITCH(tbl_analysis_tickets[[#This Row],[priority]],
"Urgent",1,
"High",2,
"Medium",3,
"Low",4
)</f>
        <v>1</v>
      </c>
    </row>
    <row r="2407" spans="1:22" x14ac:dyDescent="0.25">
      <c r="A2407">
        <v>2406</v>
      </c>
      <c r="B2407" s="1">
        <v>45326</v>
      </c>
      <c r="C2407" t="s">
        <v>22</v>
      </c>
      <c r="D2407" t="s">
        <v>15</v>
      </c>
      <c r="E2407">
        <v>54</v>
      </c>
      <c r="F2407">
        <v>14</v>
      </c>
      <c r="G2407">
        <v>5.6</v>
      </c>
      <c r="H2407" t="s">
        <v>12</v>
      </c>
      <c r="I2407" t="s">
        <v>13</v>
      </c>
      <c r="J2407" t="s">
        <v>11</v>
      </c>
      <c r="K2407">
        <f>_xlfn.XLOOKUP(tbl_analysis_tickets[[#This Row],[priority]],tbl_sla[priority],tbl_sla[Resolution SLA Hours])</f>
        <v>48</v>
      </c>
      <c r="L2407">
        <f>_xlfn.XLOOKUP(tbl_analysis_tickets[[#This Row],[priority]],tbl_sla[priority],tbl_sla[First Response SLA Minutes])</f>
        <v>120</v>
      </c>
      <c r="M2407" t="str">
        <f>IF(tbl_analysis_tickets[[#This Row],[resolution_time_hours]]&gt;tbl_analysis_tickets[[#This Row],[Resolution SLA Hours]],"Breached","Within SLA")</f>
        <v>Within SLA</v>
      </c>
      <c r="N2407" t="str">
        <f>IF(tbl_analysis_tickets[[#This Row],[first_response_minutes]]&gt;tbl_analysis_tickets[[#This Row],[First Response SLA Minutes]],"Breached","Within SLA")</f>
        <v>Within SLA</v>
      </c>
      <c r="O2407" t="str" cm="1">
        <f t="array" ref="O2407">_xlfn.IFS(
tbl_analysis_tickets[[#This Row],[agent_experience_years]]&lt;=2,"Junior",
tbl_analysis_tickets[[#This Row],[agent_experience_years]]&lt;=5,"Mid-Level",
tbl_analysis_tickets[[#This Row],[agent_experience_years]]&lt;=8,"Senior",
tbl_analysis_tickets[[#This Row],[agent_experience_years]]&gt;8,"Expert"
)</f>
        <v>Senior</v>
      </c>
      <c r="P2407" cm="1">
        <f t="array" ref="P2407">_xlfn.SWITCH(tbl_analysis_tickets[[#This Row],[customer_satisfaction]],
"Low",1,
"Medium",2,
"High",3
)</f>
        <v>1</v>
      </c>
      <c r="Q2407">
        <f>IF(tbl_analysis_tickets[[#This Row],[reopened]]="Yes",1,0)</f>
        <v>1</v>
      </c>
      <c r="R2407" t="str" cm="1">
        <f t="array" ref="R2407">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407" t="str" cm="1">
        <f t="array" ref="S240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407" t="str">
        <f>TEXT(tbl_analysis_tickets[[#This Row],[created_date]],"mmm-yyyy")</f>
        <v>Feb-2024</v>
      </c>
      <c r="U2407" t="str">
        <f>TEXT(tbl_analysis_tickets[[#This Row],[created_date]],"dddd")</f>
        <v>Sunday</v>
      </c>
      <c r="V2407" cm="1">
        <f t="array" ref="V2407">_xlfn.SWITCH(tbl_analysis_tickets[[#This Row],[priority]],
"Urgent",1,
"High",2,
"Medium",3,
"Low",4
)</f>
        <v>3</v>
      </c>
    </row>
    <row r="2408" spans="1:22" x14ac:dyDescent="0.25">
      <c r="A2408">
        <v>2407</v>
      </c>
      <c r="B2408" s="1">
        <v>45349</v>
      </c>
      <c r="C2408" t="s">
        <v>21</v>
      </c>
      <c r="D2408" t="s">
        <v>20</v>
      </c>
      <c r="E2408">
        <v>68</v>
      </c>
      <c r="F2408">
        <v>1</v>
      </c>
      <c r="G2408">
        <v>6.3</v>
      </c>
      <c r="H2408" t="s">
        <v>18</v>
      </c>
      <c r="I2408" t="s">
        <v>16</v>
      </c>
      <c r="J2408" t="s">
        <v>15</v>
      </c>
      <c r="K2408">
        <f>_xlfn.XLOOKUP(tbl_analysis_tickets[[#This Row],[priority]],tbl_sla[priority],tbl_sla[Resolution SLA Hours])</f>
        <v>24</v>
      </c>
      <c r="L2408">
        <f>_xlfn.XLOOKUP(tbl_analysis_tickets[[#This Row],[priority]],tbl_sla[priority],tbl_sla[First Response SLA Minutes])</f>
        <v>60</v>
      </c>
      <c r="M2408" t="str">
        <f>IF(tbl_analysis_tickets[[#This Row],[resolution_time_hours]]&gt;tbl_analysis_tickets[[#This Row],[Resolution SLA Hours]],"Breached","Within SLA")</f>
        <v>Within SLA</v>
      </c>
      <c r="N2408" t="str">
        <f>IF(tbl_analysis_tickets[[#This Row],[first_response_minutes]]&gt;tbl_analysis_tickets[[#This Row],[First Response SLA Minutes]],"Breached","Within SLA")</f>
        <v>Breached</v>
      </c>
      <c r="O2408" t="str" cm="1">
        <f t="array" ref="O2408">_xlfn.IFS(
tbl_analysis_tickets[[#This Row],[agent_experience_years]]&lt;=2,"Junior",
tbl_analysis_tickets[[#This Row],[agent_experience_years]]&lt;=5,"Mid-Level",
tbl_analysis_tickets[[#This Row],[agent_experience_years]]&lt;=8,"Senior",
tbl_analysis_tickets[[#This Row],[agent_experience_years]]&gt;8,"Expert"
)</f>
        <v>Senior</v>
      </c>
      <c r="P2408" cm="1">
        <f t="array" ref="P2408">_xlfn.SWITCH(tbl_analysis_tickets[[#This Row],[customer_satisfaction]],
"Low",1,
"Medium",2,
"High",3
)</f>
        <v>2</v>
      </c>
      <c r="Q2408">
        <f>IF(tbl_analysis_tickets[[#This Row],[reopened]]="Yes",1,0)</f>
        <v>0</v>
      </c>
      <c r="R2408" t="str" cm="1">
        <f t="array" ref="R2408">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408" t="str" cm="1">
        <f t="array" ref="S240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2408" t="str">
        <f>TEXT(tbl_analysis_tickets[[#This Row],[created_date]],"mmm-yyyy")</f>
        <v>Feb-2024</v>
      </c>
      <c r="U2408" t="str">
        <f>TEXT(tbl_analysis_tickets[[#This Row],[created_date]],"dddd")</f>
        <v>Tuesday</v>
      </c>
      <c r="V2408" cm="1">
        <f t="array" ref="V2408">_xlfn.SWITCH(tbl_analysis_tickets[[#This Row],[priority]],
"Urgent",1,
"High",2,
"Medium",3,
"Low",4
)</f>
        <v>2</v>
      </c>
    </row>
    <row r="2409" spans="1:22" x14ac:dyDescent="0.25">
      <c r="A2409">
        <v>2408</v>
      </c>
      <c r="B2409" s="1">
        <v>45408</v>
      </c>
      <c r="C2409" t="s">
        <v>14</v>
      </c>
      <c r="D2409" t="s">
        <v>20</v>
      </c>
      <c r="E2409">
        <v>41</v>
      </c>
      <c r="F2409">
        <v>68</v>
      </c>
      <c r="G2409">
        <v>3.4</v>
      </c>
      <c r="H2409" t="s">
        <v>18</v>
      </c>
      <c r="I2409" t="s">
        <v>13</v>
      </c>
      <c r="J2409" t="s">
        <v>11</v>
      </c>
      <c r="K2409">
        <f>_xlfn.XLOOKUP(tbl_analysis_tickets[[#This Row],[priority]],tbl_sla[priority],tbl_sla[Resolution SLA Hours])</f>
        <v>24</v>
      </c>
      <c r="L2409">
        <f>_xlfn.XLOOKUP(tbl_analysis_tickets[[#This Row],[priority]],tbl_sla[priority],tbl_sla[First Response SLA Minutes])</f>
        <v>60</v>
      </c>
      <c r="M2409" t="str">
        <f>IF(tbl_analysis_tickets[[#This Row],[resolution_time_hours]]&gt;tbl_analysis_tickets[[#This Row],[Resolution SLA Hours]],"Breached","Within SLA")</f>
        <v>Breached</v>
      </c>
      <c r="N2409" t="str">
        <f>IF(tbl_analysis_tickets[[#This Row],[first_response_minutes]]&gt;tbl_analysis_tickets[[#This Row],[First Response SLA Minutes]],"Breached","Within SLA")</f>
        <v>Within SLA</v>
      </c>
      <c r="O2409" t="str" cm="1">
        <f t="array" ref="O2409">_xlfn.IFS(
tbl_analysis_tickets[[#This Row],[agent_experience_years]]&lt;=2,"Junior",
tbl_analysis_tickets[[#This Row],[agent_experience_years]]&lt;=5,"Mid-Level",
tbl_analysis_tickets[[#This Row],[agent_experience_years]]&lt;=8,"Senior",
tbl_analysis_tickets[[#This Row],[agent_experience_years]]&gt;8,"Expert"
)</f>
        <v>Mid-Level</v>
      </c>
      <c r="P2409" cm="1">
        <f t="array" ref="P2409">_xlfn.SWITCH(tbl_analysis_tickets[[#This Row],[customer_satisfaction]],
"Low",1,
"Medium",2,
"High",3
)</f>
        <v>1</v>
      </c>
      <c r="Q2409">
        <f>IF(tbl_analysis_tickets[[#This Row],[reopened]]="Yes",1,0)</f>
        <v>0</v>
      </c>
      <c r="R2409" t="str" cm="1">
        <f t="array" ref="R2409">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409" t="str" cm="1">
        <f t="array" ref="S240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409" t="str">
        <f>TEXT(tbl_analysis_tickets[[#This Row],[created_date]],"mmm-yyyy")</f>
        <v>Apr-2024</v>
      </c>
      <c r="U2409" t="str">
        <f>TEXT(tbl_analysis_tickets[[#This Row],[created_date]],"dddd")</f>
        <v>Friday</v>
      </c>
      <c r="V2409" cm="1">
        <f t="array" ref="V2409">_xlfn.SWITCH(tbl_analysis_tickets[[#This Row],[priority]],
"Urgent",1,
"High",2,
"Medium",3,
"Low",4
)</f>
        <v>2</v>
      </c>
    </row>
    <row r="2410" spans="1:22" x14ac:dyDescent="0.25">
      <c r="A2410">
        <v>2409</v>
      </c>
      <c r="B2410" s="1">
        <v>45352</v>
      </c>
      <c r="C2410" t="s">
        <v>14</v>
      </c>
      <c r="D2410" t="s">
        <v>20</v>
      </c>
      <c r="E2410">
        <v>159</v>
      </c>
      <c r="F2410">
        <v>29</v>
      </c>
      <c r="G2410">
        <v>4</v>
      </c>
      <c r="H2410" t="s">
        <v>12</v>
      </c>
      <c r="I2410" t="s">
        <v>13</v>
      </c>
      <c r="J2410" t="s">
        <v>11</v>
      </c>
      <c r="K2410">
        <f>_xlfn.XLOOKUP(tbl_analysis_tickets[[#This Row],[priority]],tbl_sla[priority],tbl_sla[Resolution SLA Hours])</f>
        <v>24</v>
      </c>
      <c r="L2410">
        <f>_xlfn.XLOOKUP(tbl_analysis_tickets[[#This Row],[priority]],tbl_sla[priority],tbl_sla[First Response SLA Minutes])</f>
        <v>60</v>
      </c>
      <c r="M2410" t="str">
        <f>IF(tbl_analysis_tickets[[#This Row],[resolution_time_hours]]&gt;tbl_analysis_tickets[[#This Row],[Resolution SLA Hours]],"Breached","Within SLA")</f>
        <v>Breached</v>
      </c>
      <c r="N2410" t="str">
        <f>IF(tbl_analysis_tickets[[#This Row],[first_response_minutes]]&gt;tbl_analysis_tickets[[#This Row],[First Response SLA Minutes]],"Breached","Within SLA")</f>
        <v>Breached</v>
      </c>
      <c r="O2410" t="str" cm="1">
        <f t="array" ref="O2410">_xlfn.IFS(
tbl_analysis_tickets[[#This Row],[agent_experience_years]]&lt;=2,"Junior",
tbl_analysis_tickets[[#This Row],[agent_experience_years]]&lt;=5,"Mid-Level",
tbl_analysis_tickets[[#This Row],[agent_experience_years]]&lt;=8,"Senior",
tbl_analysis_tickets[[#This Row],[agent_experience_years]]&gt;8,"Expert"
)</f>
        <v>Mid-Level</v>
      </c>
      <c r="P2410" cm="1">
        <f t="array" ref="P2410">_xlfn.SWITCH(tbl_analysis_tickets[[#This Row],[customer_satisfaction]],
"Low",1,
"Medium",2,
"High",3
)</f>
        <v>1</v>
      </c>
      <c r="Q2410">
        <f>IF(tbl_analysis_tickets[[#This Row],[reopened]]="Yes",1,0)</f>
        <v>1</v>
      </c>
      <c r="R2410" t="str" cm="1">
        <f t="array" ref="R2410">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410" t="str" cm="1">
        <f t="array" ref="S241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410" t="str">
        <f>TEXT(tbl_analysis_tickets[[#This Row],[created_date]],"mmm-yyyy")</f>
        <v>Mar-2024</v>
      </c>
      <c r="U2410" t="str">
        <f>TEXT(tbl_analysis_tickets[[#This Row],[created_date]],"dddd")</f>
        <v>Friday</v>
      </c>
      <c r="V2410" cm="1">
        <f t="array" ref="V2410">_xlfn.SWITCH(tbl_analysis_tickets[[#This Row],[priority]],
"Urgent",1,
"High",2,
"Medium",3,
"Low",4
)</f>
        <v>2</v>
      </c>
    </row>
    <row r="2411" spans="1:22" x14ac:dyDescent="0.25">
      <c r="A2411">
        <v>2410</v>
      </c>
      <c r="B2411" s="1">
        <v>45564</v>
      </c>
      <c r="C2411" t="s">
        <v>23</v>
      </c>
      <c r="D2411" t="s">
        <v>20</v>
      </c>
      <c r="E2411">
        <v>217</v>
      </c>
      <c r="F2411">
        <v>12</v>
      </c>
      <c r="G2411">
        <v>3.6</v>
      </c>
      <c r="H2411" t="s">
        <v>18</v>
      </c>
      <c r="I2411" t="s">
        <v>16</v>
      </c>
      <c r="J2411" t="s">
        <v>11</v>
      </c>
      <c r="K2411">
        <f>_xlfn.XLOOKUP(tbl_analysis_tickets[[#This Row],[priority]],tbl_sla[priority],tbl_sla[Resolution SLA Hours])</f>
        <v>24</v>
      </c>
      <c r="L2411">
        <f>_xlfn.XLOOKUP(tbl_analysis_tickets[[#This Row],[priority]],tbl_sla[priority],tbl_sla[First Response SLA Minutes])</f>
        <v>60</v>
      </c>
      <c r="M2411" t="str">
        <f>IF(tbl_analysis_tickets[[#This Row],[resolution_time_hours]]&gt;tbl_analysis_tickets[[#This Row],[Resolution SLA Hours]],"Breached","Within SLA")</f>
        <v>Within SLA</v>
      </c>
      <c r="N2411" t="str">
        <f>IF(tbl_analysis_tickets[[#This Row],[first_response_minutes]]&gt;tbl_analysis_tickets[[#This Row],[First Response SLA Minutes]],"Breached","Within SLA")</f>
        <v>Breached</v>
      </c>
      <c r="O2411" t="str" cm="1">
        <f t="array" ref="O2411">_xlfn.IFS(
tbl_analysis_tickets[[#This Row],[agent_experience_years]]&lt;=2,"Junior",
tbl_analysis_tickets[[#This Row],[agent_experience_years]]&lt;=5,"Mid-Level",
tbl_analysis_tickets[[#This Row],[agent_experience_years]]&lt;=8,"Senior",
tbl_analysis_tickets[[#This Row],[agent_experience_years]]&gt;8,"Expert"
)</f>
        <v>Mid-Level</v>
      </c>
      <c r="P2411" cm="1">
        <f t="array" ref="P2411">_xlfn.SWITCH(tbl_analysis_tickets[[#This Row],[customer_satisfaction]],
"Low",1,
"Medium",2,
"High",3
)</f>
        <v>1</v>
      </c>
      <c r="Q2411">
        <f>IF(tbl_analysis_tickets[[#This Row],[reopened]]="Yes",1,0)</f>
        <v>0</v>
      </c>
      <c r="R2411" t="str" cm="1">
        <f t="array" ref="R2411">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411" t="str" cm="1">
        <f t="array" ref="S241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411" t="str">
        <f>TEXT(tbl_analysis_tickets[[#This Row],[created_date]],"mmm-yyyy")</f>
        <v>Sep-2024</v>
      </c>
      <c r="U2411" t="str">
        <f>TEXT(tbl_analysis_tickets[[#This Row],[created_date]],"dddd")</f>
        <v>Sunday</v>
      </c>
      <c r="V2411" cm="1">
        <f t="array" ref="V2411">_xlfn.SWITCH(tbl_analysis_tickets[[#This Row],[priority]],
"Urgent",1,
"High",2,
"Medium",3,
"Low",4
)</f>
        <v>2</v>
      </c>
    </row>
    <row r="2412" spans="1:22" x14ac:dyDescent="0.25">
      <c r="A2412">
        <v>2411</v>
      </c>
      <c r="B2412" s="1">
        <v>45421</v>
      </c>
      <c r="C2412" t="s">
        <v>23</v>
      </c>
      <c r="D2412" t="s">
        <v>20</v>
      </c>
      <c r="E2412">
        <v>72</v>
      </c>
      <c r="F2412">
        <v>57</v>
      </c>
      <c r="G2412">
        <v>0.7</v>
      </c>
      <c r="H2412" t="s">
        <v>18</v>
      </c>
      <c r="I2412" t="s">
        <v>19</v>
      </c>
      <c r="J2412" t="s">
        <v>11</v>
      </c>
      <c r="K2412">
        <f>_xlfn.XLOOKUP(tbl_analysis_tickets[[#This Row],[priority]],tbl_sla[priority],tbl_sla[Resolution SLA Hours])</f>
        <v>24</v>
      </c>
      <c r="L2412">
        <f>_xlfn.XLOOKUP(tbl_analysis_tickets[[#This Row],[priority]],tbl_sla[priority],tbl_sla[First Response SLA Minutes])</f>
        <v>60</v>
      </c>
      <c r="M2412" t="str">
        <f>IF(tbl_analysis_tickets[[#This Row],[resolution_time_hours]]&gt;tbl_analysis_tickets[[#This Row],[Resolution SLA Hours]],"Breached","Within SLA")</f>
        <v>Breached</v>
      </c>
      <c r="N2412" t="str">
        <f>IF(tbl_analysis_tickets[[#This Row],[first_response_minutes]]&gt;tbl_analysis_tickets[[#This Row],[First Response SLA Minutes]],"Breached","Within SLA")</f>
        <v>Breached</v>
      </c>
      <c r="O2412" t="str" cm="1">
        <f t="array" ref="O2412">_xlfn.IFS(
tbl_analysis_tickets[[#This Row],[agent_experience_years]]&lt;=2,"Junior",
tbl_analysis_tickets[[#This Row],[agent_experience_years]]&lt;=5,"Mid-Level",
tbl_analysis_tickets[[#This Row],[agent_experience_years]]&lt;=8,"Senior",
tbl_analysis_tickets[[#This Row],[agent_experience_years]]&gt;8,"Expert"
)</f>
        <v>Junior</v>
      </c>
      <c r="P2412" cm="1">
        <f t="array" ref="P2412">_xlfn.SWITCH(tbl_analysis_tickets[[#This Row],[customer_satisfaction]],
"Low",1,
"Medium",2,
"High",3
)</f>
        <v>1</v>
      </c>
      <c r="Q2412">
        <f>IF(tbl_analysis_tickets[[#This Row],[reopened]]="Yes",1,0)</f>
        <v>0</v>
      </c>
      <c r="R2412" t="str" cm="1">
        <f t="array" ref="R2412">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412" t="str" cm="1">
        <f t="array" ref="S241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412" t="str">
        <f>TEXT(tbl_analysis_tickets[[#This Row],[created_date]],"mmm-yyyy")</f>
        <v>May-2024</v>
      </c>
      <c r="U2412" t="str">
        <f>TEXT(tbl_analysis_tickets[[#This Row],[created_date]],"dddd")</f>
        <v>Thursday</v>
      </c>
      <c r="V2412" cm="1">
        <f t="array" ref="V2412">_xlfn.SWITCH(tbl_analysis_tickets[[#This Row],[priority]],
"Urgent",1,
"High",2,
"Medium",3,
"Low",4
)</f>
        <v>2</v>
      </c>
    </row>
    <row r="2413" spans="1:22" x14ac:dyDescent="0.25">
      <c r="A2413">
        <v>2412</v>
      </c>
      <c r="B2413" s="1">
        <v>45497</v>
      </c>
      <c r="C2413" t="s">
        <v>14</v>
      </c>
      <c r="D2413" t="s">
        <v>17</v>
      </c>
      <c r="E2413">
        <v>200</v>
      </c>
      <c r="F2413">
        <v>69</v>
      </c>
      <c r="G2413">
        <v>7.3</v>
      </c>
      <c r="H2413" t="s">
        <v>18</v>
      </c>
      <c r="I2413" t="s">
        <v>19</v>
      </c>
      <c r="J2413" t="s">
        <v>11</v>
      </c>
      <c r="K2413">
        <f>_xlfn.XLOOKUP(tbl_analysis_tickets[[#This Row],[priority]],tbl_sla[priority],tbl_sla[Resolution SLA Hours])</f>
        <v>8</v>
      </c>
      <c r="L2413">
        <f>_xlfn.XLOOKUP(tbl_analysis_tickets[[#This Row],[priority]],tbl_sla[priority],tbl_sla[First Response SLA Minutes])</f>
        <v>30</v>
      </c>
      <c r="M2413" t="str">
        <f>IF(tbl_analysis_tickets[[#This Row],[resolution_time_hours]]&gt;tbl_analysis_tickets[[#This Row],[Resolution SLA Hours]],"Breached","Within SLA")</f>
        <v>Breached</v>
      </c>
      <c r="N2413" t="str">
        <f>IF(tbl_analysis_tickets[[#This Row],[first_response_minutes]]&gt;tbl_analysis_tickets[[#This Row],[First Response SLA Minutes]],"Breached","Within SLA")</f>
        <v>Breached</v>
      </c>
      <c r="O2413" t="str" cm="1">
        <f t="array" ref="O2413">_xlfn.IFS(
tbl_analysis_tickets[[#This Row],[agent_experience_years]]&lt;=2,"Junior",
tbl_analysis_tickets[[#This Row],[agent_experience_years]]&lt;=5,"Mid-Level",
tbl_analysis_tickets[[#This Row],[agent_experience_years]]&lt;=8,"Senior",
tbl_analysis_tickets[[#This Row],[agent_experience_years]]&gt;8,"Expert"
)</f>
        <v>Senior</v>
      </c>
      <c r="P2413" cm="1">
        <f t="array" ref="P2413">_xlfn.SWITCH(tbl_analysis_tickets[[#This Row],[customer_satisfaction]],
"Low",1,
"Medium",2,
"High",3
)</f>
        <v>1</v>
      </c>
      <c r="Q2413">
        <f>IF(tbl_analysis_tickets[[#This Row],[reopened]]="Yes",1,0)</f>
        <v>0</v>
      </c>
      <c r="R2413" t="str" cm="1">
        <f t="array" ref="R2413">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413" t="str" cm="1">
        <f t="array" ref="S241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413" t="str">
        <f>TEXT(tbl_analysis_tickets[[#This Row],[created_date]],"mmm-yyyy")</f>
        <v>Jul-2024</v>
      </c>
      <c r="U2413" t="str">
        <f>TEXT(tbl_analysis_tickets[[#This Row],[created_date]],"dddd")</f>
        <v>Wednesday</v>
      </c>
      <c r="V2413" cm="1">
        <f t="array" ref="V2413">_xlfn.SWITCH(tbl_analysis_tickets[[#This Row],[priority]],
"Urgent",1,
"High",2,
"Medium",3,
"Low",4
)</f>
        <v>1</v>
      </c>
    </row>
    <row r="2414" spans="1:22" x14ac:dyDescent="0.25">
      <c r="A2414">
        <v>2413</v>
      </c>
      <c r="B2414" s="1">
        <v>45652</v>
      </c>
      <c r="C2414" t="s">
        <v>14</v>
      </c>
      <c r="D2414" t="s">
        <v>11</v>
      </c>
      <c r="E2414">
        <v>30</v>
      </c>
      <c r="F2414">
        <v>54</v>
      </c>
      <c r="G2414">
        <v>1.7</v>
      </c>
      <c r="H2414" t="s">
        <v>18</v>
      </c>
      <c r="I2414" t="s">
        <v>13</v>
      </c>
      <c r="J2414" t="s">
        <v>15</v>
      </c>
      <c r="K2414">
        <f>_xlfn.XLOOKUP(tbl_analysis_tickets[[#This Row],[priority]],tbl_sla[priority],tbl_sla[Resolution SLA Hours])</f>
        <v>72</v>
      </c>
      <c r="L2414">
        <f>_xlfn.XLOOKUP(tbl_analysis_tickets[[#This Row],[priority]],tbl_sla[priority],tbl_sla[First Response SLA Minutes])</f>
        <v>240</v>
      </c>
      <c r="M2414" t="str">
        <f>IF(tbl_analysis_tickets[[#This Row],[resolution_time_hours]]&gt;tbl_analysis_tickets[[#This Row],[Resolution SLA Hours]],"Breached","Within SLA")</f>
        <v>Within SLA</v>
      </c>
      <c r="N2414" t="str">
        <f>IF(tbl_analysis_tickets[[#This Row],[first_response_minutes]]&gt;tbl_analysis_tickets[[#This Row],[First Response SLA Minutes]],"Breached","Within SLA")</f>
        <v>Within SLA</v>
      </c>
      <c r="O2414" t="str" cm="1">
        <f t="array" ref="O2414">_xlfn.IFS(
tbl_analysis_tickets[[#This Row],[agent_experience_years]]&lt;=2,"Junior",
tbl_analysis_tickets[[#This Row],[agent_experience_years]]&lt;=5,"Mid-Level",
tbl_analysis_tickets[[#This Row],[agent_experience_years]]&lt;=8,"Senior",
tbl_analysis_tickets[[#This Row],[agent_experience_years]]&gt;8,"Expert"
)</f>
        <v>Junior</v>
      </c>
      <c r="P2414" cm="1">
        <f t="array" ref="P2414">_xlfn.SWITCH(tbl_analysis_tickets[[#This Row],[customer_satisfaction]],
"Low",1,
"Medium",2,
"High",3
)</f>
        <v>2</v>
      </c>
      <c r="Q2414">
        <f>IF(tbl_analysis_tickets[[#This Row],[reopened]]="Yes",1,0)</f>
        <v>0</v>
      </c>
      <c r="R2414" t="str" cm="1">
        <f t="array" ref="R2414">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2414" t="str" cm="1">
        <f t="array" ref="S241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414" t="str">
        <f>TEXT(tbl_analysis_tickets[[#This Row],[created_date]],"mmm-yyyy")</f>
        <v>Dec-2024</v>
      </c>
      <c r="U2414" t="str">
        <f>TEXT(tbl_analysis_tickets[[#This Row],[created_date]],"dddd")</f>
        <v>Thursday</v>
      </c>
      <c r="V2414" cm="1">
        <f t="array" ref="V2414">_xlfn.SWITCH(tbl_analysis_tickets[[#This Row],[priority]],
"Urgent",1,
"High",2,
"Medium",3,
"Low",4
)</f>
        <v>4</v>
      </c>
    </row>
    <row r="2415" spans="1:22" x14ac:dyDescent="0.25">
      <c r="A2415">
        <v>2414</v>
      </c>
      <c r="B2415" s="1">
        <v>45313</v>
      </c>
      <c r="C2415" t="s">
        <v>10</v>
      </c>
      <c r="D2415" t="s">
        <v>17</v>
      </c>
      <c r="E2415">
        <v>139</v>
      </c>
      <c r="F2415">
        <v>20</v>
      </c>
      <c r="G2415">
        <v>4.9000000000000004</v>
      </c>
      <c r="H2415" t="s">
        <v>18</v>
      </c>
      <c r="I2415" t="s">
        <v>16</v>
      </c>
      <c r="J2415" t="s">
        <v>11</v>
      </c>
      <c r="K2415">
        <f>_xlfn.XLOOKUP(tbl_analysis_tickets[[#This Row],[priority]],tbl_sla[priority],tbl_sla[Resolution SLA Hours])</f>
        <v>8</v>
      </c>
      <c r="L2415">
        <f>_xlfn.XLOOKUP(tbl_analysis_tickets[[#This Row],[priority]],tbl_sla[priority],tbl_sla[First Response SLA Minutes])</f>
        <v>30</v>
      </c>
      <c r="M2415" t="str">
        <f>IF(tbl_analysis_tickets[[#This Row],[resolution_time_hours]]&gt;tbl_analysis_tickets[[#This Row],[Resolution SLA Hours]],"Breached","Within SLA")</f>
        <v>Breached</v>
      </c>
      <c r="N2415" t="str">
        <f>IF(tbl_analysis_tickets[[#This Row],[first_response_minutes]]&gt;tbl_analysis_tickets[[#This Row],[First Response SLA Minutes]],"Breached","Within SLA")</f>
        <v>Breached</v>
      </c>
      <c r="O2415" t="str" cm="1">
        <f t="array" ref="O2415">_xlfn.IFS(
tbl_analysis_tickets[[#This Row],[agent_experience_years]]&lt;=2,"Junior",
tbl_analysis_tickets[[#This Row],[agent_experience_years]]&lt;=5,"Mid-Level",
tbl_analysis_tickets[[#This Row],[agent_experience_years]]&lt;=8,"Senior",
tbl_analysis_tickets[[#This Row],[agent_experience_years]]&gt;8,"Expert"
)</f>
        <v>Mid-Level</v>
      </c>
      <c r="P2415" cm="1">
        <f t="array" ref="P2415">_xlfn.SWITCH(tbl_analysis_tickets[[#This Row],[customer_satisfaction]],
"Low",1,
"Medium",2,
"High",3
)</f>
        <v>1</v>
      </c>
      <c r="Q2415">
        <f>IF(tbl_analysis_tickets[[#This Row],[reopened]]="Yes",1,0)</f>
        <v>0</v>
      </c>
      <c r="R2415" t="str" cm="1">
        <f t="array" ref="R2415">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415" t="str" cm="1">
        <f t="array" ref="S241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415" t="str">
        <f>TEXT(tbl_analysis_tickets[[#This Row],[created_date]],"mmm-yyyy")</f>
        <v>Jan-2024</v>
      </c>
      <c r="U2415" t="str">
        <f>TEXT(tbl_analysis_tickets[[#This Row],[created_date]],"dddd")</f>
        <v>Monday</v>
      </c>
      <c r="V2415" cm="1">
        <f t="array" ref="V2415">_xlfn.SWITCH(tbl_analysis_tickets[[#This Row],[priority]],
"Urgent",1,
"High",2,
"Medium",3,
"Low",4
)</f>
        <v>1</v>
      </c>
    </row>
    <row r="2416" spans="1:22" x14ac:dyDescent="0.25">
      <c r="A2416">
        <v>2415</v>
      </c>
      <c r="B2416" s="1">
        <v>45469</v>
      </c>
      <c r="C2416" t="s">
        <v>23</v>
      </c>
      <c r="D2416" t="s">
        <v>20</v>
      </c>
      <c r="E2416">
        <v>149</v>
      </c>
      <c r="F2416">
        <v>2</v>
      </c>
      <c r="G2416">
        <v>8.8000000000000007</v>
      </c>
      <c r="H2416" t="s">
        <v>18</v>
      </c>
      <c r="I2416" t="s">
        <v>19</v>
      </c>
      <c r="J2416" t="s">
        <v>15</v>
      </c>
      <c r="K2416">
        <f>_xlfn.XLOOKUP(tbl_analysis_tickets[[#This Row],[priority]],tbl_sla[priority],tbl_sla[Resolution SLA Hours])</f>
        <v>24</v>
      </c>
      <c r="L2416">
        <f>_xlfn.XLOOKUP(tbl_analysis_tickets[[#This Row],[priority]],tbl_sla[priority],tbl_sla[First Response SLA Minutes])</f>
        <v>60</v>
      </c>
      <c r="M2416" t="str">
        <f>IF(tbl_analysis_tickets[[#This Row],[resolution_time_hours]]&gt;tbl_analysis_tickets[[#This Row],[Resolution SLA Hours]],"Breached","Within SLA")</f>
        <v>Within SLA</v>
      </c>
      <c r="N2416" t="str">
        <f>IF(tbl_analysis_tickets[[#This Row],[first_response_minutes]]&gt;tbl_analysis_tickets[[#This Row],[First Response SLA Minutes]],"Breached","Within SLA")</f>
        <v>Breached</v>
      </c>
      <c r="O2416" t="str" cm="1">
        <f t="array" ref="O2416">_xlfn.IFS(
tbl_analysis_tickets[[#This Row],[agent_experience_years]]&lt;=2,"Junior",
tbl_analysis_tickets[[#This Row],[agent_experience_years]]&lt;=5,"Mid-Level",
tbl_analysis_tickets[[#This Row],[agent_experience_years]]&lt;=8,"Senior",
tbl_analysis_tickets[[#This Row],[agent_experience_years]]&gt;8,"Expert"
)</f>
        <v>Expert</v>
      </c>
      <c r="P2416" cm="1">
        <f t="array" ref="P2416">_xlfn.SWITCH(tbl_analysis_tickets[[#This Row],[customer_satisfaction]],
"Low",1,
"Medium",2,
"High",3
)</f>
        <v>2</v>
      </c>
      <c r="Q2416">
        <f>IF(tbl_analysis_tickets[[#This Row],[reopened]]="Yes",1,0)</f>
        <v>0</v>
      </c>
      <c r="R2416" t="str" cm="1">
        <f t="array" ref="R2416">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416" t="str" cm="1">
        <f t="array" ref="S241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2416" t="str">
        <f>TEXT(tbl_analysis_tickets[[#This Row],[created_date]],"mmm-yyyy")</f>
        <v>Jun-2024</v>
      </c>
      <c r="U2416" t="str">
        <f>TEXT(tbl_analysis_tickets[[#This Row],[created_date]],"dddd")</f>
        <v>Wednesday</v>
      </c>
      <c r="V2416" cm="1">
        <f t="array" ref="V2416">_xlfn.SWITCH(tbl_analysis_tickets[[#This Row],[priority]],
"Urgent",1,
"High",2,
"Medium",3,
"Low",4
)</f>
        <v>2</v>
      </c>
    </row>
    <row r="2417" spans="1:22" x14ac:dyDescent="0.25">
      <c r="A2417">
        <v>2416</v>
      </c>
      <c r="B2417" s="1">
        <v>45650</v>
      </c>
      <c r="C2417" t="s">
        <v>10</v>
      </c>
      <c r="D2417" t="s">
        <v>15</v>
      </c>
      <c r="E2417">
        <v>163</v>
      </c>
      <c r="F2417">
        <v>37</v>
      </c>
      <c r="G2417">
        <v>4.8</v>
      </c>
      <c r="H2417" t="s">
        <v>12</v>
      </c>
      <c r="I2417" t="s">
        <v>16</v>
      </c>
      <c r="J2417" t="s">
        <v>11</v>
      </c>
      <c r="K2417">
        <f>_xlfn.XLOOKUP(tbl_analysis_tickets[[#This Row],[priority]],tbl_sla[priority],tbl_sla[Resolution SLA Hours])</f>
        <v>48</v>
      </c>
      <c r="L2417">
        <f>_xlfn.XLOOKUP(tbl_analysis_tickets[[#This Row],[priority]],tbl_sla[priority],tbl_sla[First Response SLA Minutes])</f>
        <v>120</v>
      </c>
      <c r="M2417" t="str">
        <f>IF(tbl_analysis_tickets[[#This Row],[resolution_time_hours]]&gt;tbl_analysis_tickets[[#This Row],[Resolution SLA Hours]],"Breached","Within SLA")</f>
        <v>Within SLA</v>
      </c>
      <c r="N2417" t="str">
        <f>IF(tbl_analysis_tickets[[#This Row],[first_response_minutes]]&gt;tbl_analysis_tickets[[#This Row],[First Response SLA Minutes]],"Breached","Within SLA")</f>
        <v>Breached</v>
      </c>
      <c r="O2417" t="str" cm="1">
        <f t="array" ref="O2417">_xlfn.IFS(
tbl_analysis_tickets[[#This Row],[agent_experience_years]]&lt;=2,"Junior",
tbl_analysis_tickets[[#This Row],[agent_experience_years]]&lt;=5,"Mid-Level",
tbl_analysis_tickets[[#This Row],[agent_experience_years]]&lt;=8,"Senior",
tbl_analysis_tickets[[#This Row],[agent_experience_years]]&gt;8,"Expert"
)</f>
        <v>Mid-Level</v>
      </c>
      <c r="P2417" cm="1">
        <f t="array" ref="P2417">_xlfn.SWITCH(tbl_analysis_tickets[[#This Row],[customer_satisfaction]],
"Low",1,
"Medium",2,
"High",3
)</f>
        <v>1</v>
      </c>
      <c r="Q2417">
        <f>IF(tbl_analysis_tickets[[#This Row],[reopened]]="Yes",1,0)</f>
        <v>1</v>
      </c>
      <c r="R2417" t="str" cm="1">
        <f t="array" ref="R2417">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417" t="str" cm="1">
        <f t="array" ref="S241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417" t="str">
        <f>TEXT(tbl_analysis_tickets[[#This Row],[created_date]],"mmm-yyyy")</f>
        <v>Dec-2024</v>
      </c>
      <c r="U2417" t="str">
        <f>TEXT(tbl_analysis_tickets[[#This Row],[created_date]],"dddd")</f>
        <v>Tuesday</v>
      </c>
      <c r="V2417" cm="1">
        <f t="array" ref="V2417">_xlfn.SWITCH(tbl_analysis_tickets[[#This Row],[priority]],
"Urgent",1,
"High",2,
"Medium",3,
"Low",4
)</f>
        <v>3</v>
      </c>
    </row>
    <row r="2418" spans="1:22" x14ac:dyDescent="0.25">
      <c r="A2418">
        <v>2417</v>
      </c>
      <c r="B2418" s="1">
        <v>45593</v>
      </c>
      <c r="C2418" t="s">
        <v>22</v>
      </c>
      <c r="D2418" t="s">
        <v>20</v>
      </c>
      <c r="E2418">
        <v>96</v>
      </c>
      <c r="F2418">
        <v>70</v>
      </c>
      <c r="G2418">
        <v>4.5</v>
      </c>
      <c r="H2418" t="s">
        <v>12</v>
      </c>
      <c r="I2418" t="s">
        <v>13</v>
      </c>
      <c r="J2418" t="s">
        <v>11</v>
      </c>
      <c r="K2418">
        <f>_xlfn.XLOOKUP(tbl_analysis_tickets[[#This Row],[priority]],tbl_sla[priority],tbl_sla[Resolution SLA Hours])</f>
        <v>24</v>
      </c>
      <c r="L2418">
        <f>_xlfn.XLOOKUP(tbl_analysis_tickets[[#This Row],[priority]],tbl_sla[priority],tbl_sla[First Response SLA Minutes])</f>
        <v>60</v>
      </c>
      <c r="M2418" t="str">
        <f>IF(tbl_analysis_tickets[[#This Row],[resolution_time_hours]]&gt;tbl_analysis_tickets[[#This Row],[Resolution SLA Hours]],"Breached","Within SLA")</f>
        <v>Breached</v>
      </c>
      <c r="N2418" t="str">
        <f>IF(tbl_analysis_tickets[[#This Row],[first_response_minutes]]&gt;tbl_analysis_tickets[[#This Row],[First Response SLA Minutes]],"Breached","Within SLA")</f>
        <v>Breached</v>
      </c>
      <c r="O2418" t="str" cm="1">
        <f t="array" ref="O2418">_xlfn.IFS(
tbl_analysis_tickets[[#This Row],[agent_experience_years]]&lt;=2,"Junior",
tbl_analysis_tickets[[#This Row],[agent_experience_years]]&lt;=5,"Mid-Level",
tbl_analysis_tickets[[#This Row],[agent_experience_years]]&lt;=8,"Senior",
tbl_analysis_tickets[[#This Row],[agent_experience_years]]&gt;8,"Expert"
)</f>
        <v>Mid-Level</v>
      </c>
      <c r="P2418" cm="1">
        <f t="array" ref="P2418">_xlfn.SWITCH(tbl_analysis_tickets[[#This Row],[customer_satisfaction]],
"Low",1,
"Medium",2,
"High",3
)</f>
        <v>1</v>
      </c>
      <c r="Q2418">
        <f>IF(tbl_analysis_tickets[[#This Row],[reopened]]="Yes",1,0)</f>
        <v>1</v>
      </c>
      <c r="R2418" t="str" cm="1">
        <f t="array" ref="R2418">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418" t="str" cm="1">
        <f t="array" ref="S241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418" t="str">
        <f>TEXT(tbl_analysis_tickets[[#This Row],[created_date]],"mmm-yyyy")</f>
        <v>Oct-2024</v>
      </c>
      <c r="U2418" t="str">
        <f>TEXT(tbl_analysis_tickets[[#This Row],[created_date]],"dddd")</f>
        <v>Monday</v>
      </c>
      <c r="V2418" cm="1">
        <f t="array" ref="V2418">_xlfn.SWITCH(tbl_analysis_tickets[[#This Row],[priority]],
"Urgent",1,
"High",2,
"Medium",3,
"Low",4
)</f>
        <v>2</v>
      </c>
    </row>
    <row r="2419" spans="1:22" x14ac:dyDescent="0.25">
      <c r="A2419">
        <v>2418</v>
      </c>
      <c r="B2419" s="1">
        <v>45341</v>
      </c>
      <c r="C2419" t="s">
        <v>14</v>
      </c>
      <c r="D2419" t="s">
        <v>17</v>
      </c>
      <c r="E2419">
        <v>193</v>
      </c>
      <c r="F2419">
        <v>4</v>
      </c>
      <c r="G2419">
        <v>6.1</v>
      </c>
      <c r="H2419" t="s">
        <v>12</v>
      </c>
      <c r="I2419" t="s">
        <v>13</v>
      </c>
      <c r="J2419" t="s">
        <v>15</v>
      </c>
      <c r="K2419">
        <f>_xlfn.XLOOKUP(tbl_analysis_tickets[[#This Row],[priority]],tbl_sla[priority],tbl_sla[Resolution SLA Hours])</f>
        <v>8</v>
      </c>
      <c r="L2419">
        <f>_xlfn.XLOOKUP(tbl_analysis_tickets[[#This Row],[priority]],tbl_sla[priority],tbl_sla[First Response SLA Minutes])</f>
        <v>30</v>
      </c>
      <c r="M2419" t="str">
        <f>IF(tbl_analysis_tickets[[#This Row],[resolution_time_hours]]&gt;tbl_analysis_tickets[[#This Row],[Resolution SLA Hours]],"Breached","Within SLA")</f>
        <v>Within SLA</v>
      </c>
      <c r="N2419" t="str">
        <f>IF(tbl_analysis_tickets[[#This Row],[first_response_minutes]]&gt;tbl_analysis_tickets[[#This Row],[First Response SLA Minutes]],"Breached","Within SLA")</f>
        <v>Breached</v>
      </c>
      <c r="O2419" t="str" cm="1">
        <f t="array" ref="O2419">_xlfn.IFS(
tbl_analysis_tickets[[#This Row],[agent_experience_years]]&lt;=2,"Junior",
tbl_analysis_tickets[[#This Row],[agent_experience_years]]&lt;=5,"Mid-Level",
tbl_analysis_tickets[[#This Row],[agent_experience_years]]&lt;=8,"Senior",
tbl_analysis_tickets[[#This Row],[agent_experience_years]]&gt;8,"Expert"
)</f>
        <v>Senior</v>
      </c>
      <c r="P2419" cm="1">
        <f t="array" ref="P2419">_xlfn.SWITCH(tbl_analysis_tickets[[#This Row],[customer_satisfaction]],
"Low",1,
"Medium",2,
"High",3
)</f>
        <v>2</v>
      </c>
      <c r="Q2419">
        <f>IF(tbl_analysis_tickets[[#This Row],[reopened]]="Yes",1,0)</f>
        <v>1</v>
      </c>
      <c r="R2419" t="str" cm="1">
        <f t="array" ref="R2419">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419" t="str" cm="1">
        <f t="array" ref="S241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2419" t="str">
        <f>TEXT(tbl_analysis_tickets[[#This Row],[created_date]],"mmm-yyyy")</f>
        <v>Feb-2024</v>
      </c>
      <c r="U2419" t="str">
        <f>TEXT(tbl_analysis_tickets[[#This Row],[created_date]],"dddd")</f>
        <v>Monday</v>
      </c>
      <c r="V2419" cm="1">
        <f t="array" ref="V2419">_xlfn.SWITCH(tbl_analysis_tickets[[#This Row],[priority]],
"Urgent",1,
"High",2,
"Medium",3,
"Low",4
)</f>
        <v>1</v>
      </c>
    </row>
    <row r="2420" spans="1:22" x14ac:dyDescent="0.25">
      <c r="A2420">
        <v>2419</v>
      </c>
      <c r="B2420" s="1">
        <v>45598</v>
      </c>
      <c r="C2420" t="s">
        <v>22</v>
      </c>
      <c r="D2420" t="s">
        <v>17</v>
      </c>
      <c r="E2420">
        <v>153</v>
      </c>
      <c r="F2420">
        <v>4</v>
      </c>
      <c r="G2420">
        <v>3.4</v>
      </c>
      <c r="H2420" t="s">
        <v>12</v>
      </c>
      <c r="I2420" t="s">
        <v>13</v>
      </c>
      <c r="J2420" t="s">
        <v>11</v>
      </c>
      <c r="K2420">
        <f>_xlfn.XLOOKUP(tbl_analysis_tickets[[#This Row],[priority]],tbl_sla[priority],tbl_sla[Resolution SLA Hours])</f>
        <v>8</v>
      </c>
      <c r="L2420">
        <f>_xlfn.XLOOKUP(tbl_analysis_tickets[[#This Row],[priority]],tbl_sla[priority],tbl_sla[First Response SLA Minutes])</f>
        <v>30</v>
      </c>
      <c r="M2420" t="str">
        <f>IF(tbl_analysis_tickets[[#This Row],[resolution_time_hours]]&gt;tbl_analysis_tickets[[#This Row],[Resolution SLA Hours]],"Breached","Within SLA")</f>
        <v>Within SLA</v>
      </c>
      <c r="N2420" t="str">
        <f>IF(tbl_analysis_tickets[[#This Row],[first_response_minutes]]&gt;tbl_analysis_tickets[[#This Row],[First Response SLA Minutes]],"Breached","Within SLA")</f>
        <v>Breached</v>
      </c>
      <c r="O2420" t="str" cm="1">
        <f t="array" ref="O2420">_xlfn.IFS(
tbl_analysis_tickets[[#This Row],[agent_experience_years]]&lt;=2,"Junior",
tbl_analysis_tickets[[#This Row],[agent_experience_years]]&lt;=5,"Mid-Level",
tbl_analysis_tickets[[#This Row],[agent_experience_years]]&lt;=8,"Senior",
tbl_analysis_tickets[[#This Row],[agent_experience_years]]&gt;8,"Expert"
)</f>
        <v>Mid-Level</v>
      </c>
      <c r="P2420" cm="1">
        <f t="array" ref="P2420">_xlfn.SWITCH(tbl_analysis_tickets[[#This Row],[customer_satisfaction]],
"Low",1,
"Medium",2,
"High",3
)</f>
        <v>1</v>
      </c>
      <c r="Q2420">
        <f>IF(tbl_analysis_tickets[[#This Row],[reopened]]="Yes",1,0)</f>
        <v>1</v>
      </c>
      <c r="R2420" t="str" cm="1">
        <f t="array" ref="R2420">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420" t="str" cm="1">
        <f t="array" ref="S242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2420" t="str">
        <f>TEXT(tbl_analysis_tickets[[#This Row],[created_date]],"mmm-yyyy")</f>
        <v>Nov-2024</v>
      </c>
      <c r="U2420" t="str">
        <f>TEXT(tbl_analysis_tickets[[#This Row],[created_date]],"dddd")</f>
        <v>Saturday</v>
      </c>
      <c r="V2420" cm="1">
        <f t="array" ref="V2420">_xlfn.SWITCH(tbl_analysis_tickets[[#This Row],[priority]],
"Urgent",1,
"High",2,
"Medium",3,
"Low",4
)</f>
        <v>1</v>
      </c>
    </row>
    <row r="2421" spans="1:22" x14ac:dyDescent="0.25">
      <c r="A2421">
        <v>2420</v>
      </c>
      <c r="B2421" s="1">
        <v>45569</v>
      </c>
      <c r="C2421" t="s">
        <v>22</v>
      </c>
      <c r="D2421" t="s">
        <v>15</v>
      </c>
      <c r="E2421">
        <v>198</v>
      </c>
      <c r="F2421">
        <v>34</v>
      </c>
      <c r="G2421">
        <v>7.6</v>
      </c>
      <c r="H2421" t="s">
        <v>12</v>
      </c>
      <c r="I2421" t="s">
        <v>13</v>
      </c>
      <c r="J2421" t="s">
        <v>11</v>
      </c>
      <c r="K2421">
        <f>_xlfn.XLOOKUP(tbl_analysis_tickets[[#This Row],[priority]],tbl_sla[priority],tbl_sla[Resolution SLA Hours])</f>
        <v>48</v>
      </c>
      <c r="L2421">
        <f>_xlfn.XLOOKUP(tbl_analysis_tickets[[#This Row],[priority]],tbl_sla[priority],tbl_sla[First Response SLA Minutes])</f>
        <v>120</v>
      </c>
      <c r="M2421" t="str">
        <f>IF(tbl_analysis_tickets[[#This Row],[resolution_time_hours]]&gt;tbl_analysis_tickets[[#This Row],[Resolution SLA Hours]],"Breached","Within SLA")</f>
        <v>Within SLA</v>
      </c>
      <c r="N2421" t="str">
        <f>IF(tbl_analysis_tickets[[#This Row],[first_response_minutes]]&gt;tbl_analysis_tickets[[#This Row],[First Response SLA Minutes]],"Breached","Within SLA")</f>
        <v>Breached</v>
      </c>
      <c r="O2421" t="str" cm="1">
        <f t="array" ref="O2421">_xlfn.IFS(
tbl_analysis_tickets[[#This Row],[agent_experience_years]]&lt;=2,"Junior",
tbl_analysis_tickets[[#This Row],[agent_experience_years]]&lt;=5,"Mid-Level",
tbl_analysis_tickets[[#This Row],[agent_experience_years]]&lt;=8,"Senior",
tbl_analysis_tickets[[#This Row],[agent_experience_years]]&gt;8,"Expert"
)</f>
        <v>Senior</v>
      </c>
      <c r="P2421" cm="1">
        <f t="array" ref="P2421">_xlfn.SWITCH(tbl_analysis_tickets[[#This Row],[customer_satisfaction]],
"Low",1,
"Medium",2,
"High",3
)</f>
        <v>1</v>
      </c>
      <c r="Q2421">
        <f>IF(tbl_analysis_tickets[[#This Row],[reopened]]="Yes",1,0)</f>
        <v>1</v>
      </c>
      <c r="R2421" t="str" cm="1">
        <f t="array" ref="R2421">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421" t="str" cm="1">
        <f t="array" ref="S242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421" t="str">
        <f>TEXT(tbl_analysis_tickets[[#This Row],[created_date]],"mmm-yyyy")</f>
        <v>Oct-2024</v>
      </c>
      <c r="U2421" t="str">
        <f>TEXT(tbl_analysis_tickets[[#This Row],[created_date]],"dddd")</f>
        <v>Friday</v>
      </c>
      <c r="V2421" cm="1">
        <f t="array" ref="V2421">_xlfn.SWITCH(tbl_analysis_tickets[[#This Row],[priority]],
"Urgent",1,
"High",2,
"Medium",3,
"Low",4
)</f>
        <v>3</v>
      </c>
    </row>
    <row r="2422" spans="1:22" x14ac:dyDescent="0.25">
      <c r="A2422">
        <v>2421</v>
      </c>
      <c r="B2422" s="1">
        <v>45608</v>
      </c>
      <c r="C2422" t="s">
        <v>22</v>
      </c>
      <c r="D2422" t="s">
        <v>20</v>
      </c>
      <c r="E2422">
        <v>142</v>
      </c>
      <c r="F2422">
        <v>13</v>
      </c>
      <c r="G2422">
        <v>6.8</v>
      </c>
      <c r="H2422" t="s">
        <v>12</v>
      </c>
      <c r="I2422" t="s">
        <v>13</v>
      </c>
      <c r="J2422" t="s">
        <v>11</v>
      </c>
      <c r="K2422">
        <f>_xlfn.XLOOKUP(tbl_analysis_tickets[[#This Row],[priority]],tbl_sla[priority],tbl_sla[Resolution SLA Hours])</f>
        <v>24</v>
      </c>
      <c r="L2422">
        <f>_xlfn.XLOOKUP(tbl_analysis_tickets[[#This Row],[priority]],tbl_sla[priority],tbl_sla[First Response SLA Minutes])</f>
        <v>60</v>
      </c>
      <c r="M2422" t="str">
        <f>IF(tbl_analysis_tickets[[#This Row],[resolution_time_hours]]&gt;tbl_analysis_tickets[[#This Row],[Resolution SLA Hours]],"Breached","Within SLA")</f>
        <v>Within SLA</v>
      </c>
      <c r="N2422" t="str">
        <f>IF(tbl_analysis_tickets[[#This Row],[first_response_minutes]]&gt;tbl_analysis_tickets[[#This Row],[First Response SLA Minutes]],"Breached","Within SLA")</f>
        <v>Breached</v>
      </c>
      <c r="O2422" t="str" cm="1">
        <f t="array" ref="O2422">_xlfn.IFS(
tbl_analysis_tickets[[#This Row],[agent_experience_years]]&lt;=2,"Junior",
tbl_analysis_tickets[[#This Row],[agent_experience_years]]&lt;=5,"Mid-Level",
tbl_analysis_tickets[[#This Row],[agent_experience_years]]&lt;=8,"Senior",
tbl_analysis_tickets[[#This Row],[agent_experience_years]]&gt;8,"Expert"
)</f>
        <v>Senior</v>
      </c>
      <c r="P2422" cm="1">
        <f t="array" ref="P2422">_xlfn.SWITCH(tbl_analysis_tickets[[#This Row],[customer_satisfaction]],
"Low",1,
"Medium",2,
"High",3
)</f>
        <v>1</v>
      </c>
      <c r="Q2422">
        <f>IF(tbl_analysis_tickets[[#This Row],[reopened]]="Yes",1,0)</f>
        <v>1</v>
      </c>
      <c r="R2422" t="str" cm="1">
        <f t="array" ref="R2422">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422" t="str" cm="1">
        <f t="array" ref="S242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422" t="str">
        <f>TEXT(tbl_analysis_tickets[[#This Row],[created_date]],"mmm-yyyy")</f>
        <v>Nov-2024</v>
      </c>
      <c r="U2422" t="str">
        <f>TEXT(tbl_analysis_tickets[[#This Row],[created_date]],"dddd")</f>
        <v>Tuesday</v>
      </c>
      <c r="V2422" cm="1">
        <f t="array" ref="V2422">_xlfn.SWITCH(tbl_analysis_tickets[[#This Row],[priority]],
"Urgent",1,
"High",2,
"Medium",3,
"Low",4
)</f>
        <v>2</v>
      </c>
    </row>
    <row r="2423" spans="1:22" x14ac:dyDescent="0.25">
      <c r="A2423">
        <v>2422</v>
      </c>
      <c r="B2423" s="1">
        <v>45526</v>
      </c>
      <c r="C2423" t="s">
        <v>14</v>
      </c>
      <c r="D2423" t="s">
        <v>17</v>
      </c>
      <c r="E2423">
        <v>214</v>
      </c>
      <c r="F2423">
        <v>48</v>
      </c>
      <c r="G2423">
        <v>4.0999999999999996</v>
      </c>
      <c r="H2423" t="s">
        <v>18</v>
      </c>
      <c r="I2423" t="s">
        <v>13</v>
      </c>
      <c r="J2423" t="s">
        <v>11</v>
      </c>
      <c r="K2423">
        <f>_xlfn.XLOOKUP(tbl_analysis_tickets[[#This Row],[priority]],tbl_sla[priority],tbl_sla[Resolution SLA Hours])</f>
        <v>8</v>
      </c>
      <c r="L2423">
        <f>_xlfn.XLOOKUP(tbl_analysis_tickets[[#This Row],[priority]],tbl_sla[priority],tbl_sla[First Response SLA Minutes])</f>
        <v>30</v>
      </c>
      <c r="M2423" t="str">
        <f>IF(tbl_analysis_tickets[[#This Row],[resolution_time_hours]]&gt;tbl_analysis_tickets[[#This Row],[Resolution SLA Hours]],"Breached","Within SLA")</f>
        <v>Breached</v>
      </c>
      <c r="N2423" t="str">
        <f>IF(tbl_analysis_tickets[[#This Row],[first_response_minutes]]&gt;tbl_analysis_tickets[[#This Row],[First Response SLA Minutes]],"Breached","Within SLA")</f>
        <v>Breached</v>
      </c>
      <c r="O2423" t="str" cm="1">
        <f t="array" ref="O2423">_xlfn.IFS(
tbl_analysis_tickets[[#This Row],[agent_experience_years]]&lt;=2,"Junior",
tbl_analysis_tickets[[#This Row],[agent_experience_years]]&lt;=5,"Mid-Level",
tbl_analysis_tickets[[#This Row],[agent_experience_years]]&lt;=8,"Senior",
tbl_analysis_tickets[[#This Row],[agent_experience_years]]&gt;8,"Expert"
)</f>
        <v>Mid-Level</v>
      </c>
      <c r="P2423" cm="1">
        <f t="array" ref="P2423">_xlfn.SWITCH(tbl_analysis_tickets[[#This Row],[customer_satisfaction]],
"Low",1,
"Medium",2,
"High",3
)</f>
        <v>1</v>
      </c>
      <c r="Q2423">
        <f>IF(tbl_analysis_tickets[[#This Row],[reopened]]="Yes",1,0)</f>
        <v>0</v>
      </c>
      <c r="R2423" t="str" cm="1">
        <f t="array" ref="R2423">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423" t="str" cm="1">
        <f t="array" ref="S242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423" t="str">
        <f>TEXT(tbl_analysis_tickets[[#This Row],[created_date]],"mmm-yyyy")</f>
        <v>Aug-2024</v>
      </c>
      <c r="U2423" t="str">
        <f>TEXT(tbl_analysis_tickets[[#This Row],[created_date]],"dddd")</f>
        <v>Thursday</v>
      </c>
      <c r="V2423" cm="1">
        <f t="array" ref="V2423">_xlfn.SWITCH(tbl_analysis_tickets[[#This Row],[priority]],
"Urgent",1,
"High",2,
"Medium",3,
"Low",4
)</f>
        <v>1</v>
      </c>
    </row>
    <row r="2424" spans="1:22" x14ac:dyDescent="0.25">
      <c r="A2424">
        <v>2423</v>
      </c>
      <c r="B2424" s="1">
        <v>45365</v>
      </c>
      <c r="C2424" t="s">
        <v>21</v>
      </c>
      <c r="D2424" t="s">
        <v>15</v>
      </c>
      <c r="E2424">
        <v>184</v>
      </c>
      <c r="F2424">
        <v>55</v>
      </c>
      <c r="G2424">
        <v>8</v>
      </c>
      <c r="H2424" t="s">
        <v>12</v>
      </c>
      <c r="I2424" t="s">
        <v>13</v>
      </c>
      <c r="J2424" t="s">
        <v>11</v>
      </c>
      <c r="K2424">
        <f>_xlfn.XLOOKUP(tbl_analysis_tickets[[#This Row],[priority]],tbl_sla[priority],tbl_sla[Resolution SLA Hours])</f>
        <v>48</v>
      </c>
      <c r="L2424">
        <f>_xlfn.XLOOKUP(tbl_analysis_tickets[[#This Row],[priority]],tbl_sla[priority],tbl_sla[First Response SLA Minutes])</f>
        <v>120</v>
      </c>
      <c r="M2424" t="str">
        <f>IF(tbl_analysis_tickets[[#This Row],[resolution_time_hours]]&gt;tbl_analysis_tickets[[#This Row],[Resolution SLA Hours]],"Breached","Within SLA")</f>
        <v>Breached</v>
      </c>
      <c r="N2424" t="str">
        <f>IF(tbl_analysis_tickets[[#This Row],[first_response_minutes]]&gt;tbl_analysis_tickets[[#This Row],[First Response SLA Minutes]],"Breached","Within SLA")</f>
        <v>Breached</v>
      </c>
      <c r="O2424" t="str" cm="1">
        <f t="array" ref="O2424">_xlfn.IFS(
tbl_analysis_tickets[[#This Row],[agent_experience_years]]&lt;=2,"Junior",
tbl_analysis_tickets[[#This Row],[agent_experience_years]]&lt;=5,"Mid-Level",
tbl_analysis_tickets[[#This Row],[agent_experience_years]]&lt;=8,"Senior",
tbl_analysis_tickets[[#This Row],[agent_experience_years]]&gt;8,"Expert"
)</f>
        <v>Senior</v>
      </c>
      <c r="P2424" cm="1">
        <f t="array" ref="P2424">_xlfn.SWITCH(tbl_analysis_tickets[[#This Row],[customer_satisfaction]],
"Low",1,
"Medium",2,
"High",3
)</f>
        <v>1</v>
      </c>
      <c r="Q2424">
        <f>IF(tbl_analysis_tickets[[#This Row],[reopened]]="Yes",1,0)</f>
        <v>1</v>
      </c>
      <c r="R2424" t="str" cm="1">
        <f t="array" ref="R2424">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424" t="str" cm="1">
        <f t="array" ref="S242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424" t="str">
        <f>TEXT(tbl_analysis_tickets[[#This Row],[created_date]],"mmm-yyyy")</f>
        <v>Mar-2024</v>
      </c>
      <c r="U2424" t="str">
        <f>TEXT(tbl_analysis_tickets[[#This Row],[created_date]],"dddd")</f>
        <v>Thursday</v>
      </c>
      <c r="V2424" cm="1">
        <f t="array" ref="V2424">_xlfn.SWITCH(tbl_analysis_tickets[[#This Row],[priority]],
"Urgent",1,
"High",2,
"Medium",3,
"Low",4
)</f>
        <v>3</v>
      </c>
    </row>
    <row r="2425" spans="1:22" x14ac:dyDescent="0.25">
      <c r="A2425">
        <v>2424</v>
      </c>
      <c r="B2425" s="1">
        <v>45412</v>
      </c>
      <c r="C2425" t="s">
        <v>22</v>
      </c>
      <c r="D2425" t="s">
        <v>11</v>
      </c>
      <c r="E2425">
        <v>206</v>
      </c>
      <c r="F2425">
        <v>23</v>
      </c>
      <c r="G2425">
        <v>1.8</v>
      </c>
      <c r="H2425" t="s">
        <v>12</v>
      </c>
      <c r="I2425" t="s">
        <v>19</v>
      </c>
      <c r="J2425" t="s">
        <v>11</v>
      </c>
      <c r="K2425">
        <f>_xlfn.XLOOKUP(tbl_analysis_tickets[[#This Row],[priority]],tbl_sla[priority],tbl_sla[Resolution SLA Hours])</f>
        <v>72</v>
      </c>
      <c r="L2425">
        <f>_xlfn.XLOOKUP(tbl_analysis_tickets[[#This Row],[priority]],tbl_sla[priority],tbl_sla[First Response SLA Minutes])</f>
        <v>240</v>
      </c>
      <c r="M2425" t="str">
        <f>IF(tbl_analysis_tickets[[#This Row],[resolution_time_hours]]&gt;tbl_analysis_tickets[[#This Row],[Resolution SLA Hours]],"Breached","Within SLA")</f>
        <v>Within SLA</v>
      </c>
      <c r="N2425" t="str">
        <f>IF(tbl_analysis_tickets[[#This Row],[first_response_minutes]]&gt;tbl_analysis_tickets[[#This Row],[First Response SLA Minutes]],"Breached","Within SLA")</f>
        <v>Within SLA</v>
      </c>
      <c r="O2425" t="str" cm="1">
        <f t="array" ref="O2425">_xlfn.IFS(
tbl_analysis_tickets[[#This Row],[agent_experience_years]]&lt;=2,"Junior",
tbl_analysis_tickets[[#This Row],[agent_experience_years]]&lt;=5,"Mid-Level",
tbl_analysis_tickets[[#This Row],[agent_experience_years]]&lt;=8,"Senior",
tbl_analysis_tickets[[#This Row],[agent_experience_years]]&gt;8,"Expert"
)</f>
        <v>Junior</v>
      </c>
      <c r="P2425" cm="1">
        <f t="array" ref="P2425">_xlfn.SWITCH(tbl_analysis_tickets[[#This Row],[customer_satisfaction]],
"Low",1,
"Medium",2,
"High",3
)</f>
        <v>1</v>
      </c>
      <c r="Q2425">
        <f>IF(tbl_analysis_tickets[[#This Row],[reopened]]="Yes",1,0)</f>
        <v>1</v>
      </c>
      <c r="R2425" t="str" cm="1">
        <f t="array" ref="R2425">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425" t="str" cm="1">
        <f t="array" ref="S242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425" t="str">
        <f>TEXT(tbl_analysis_tickets[[#This Row],[created_date]],"mmm-yyyy")</f>
        <v>Apr-2024</v>
      </c>
      <c r="U2425" t="str">
        <f>TEXT(tbl_analysis_tickets[[#This Row],[created_date]],"dddd")</f>
        <v>Tuesday</v>
      </c>
      <c r="V2425" cm="1">
        <f t="array" ref="V2425">_xlfn.SWITCH(tbl_analysis_tickets[[#This Row],[priority]],
"Urgent",1,
"High",2,
"Medium",3,
"Low",4
)</f>
        <v>4</v>
      </c>
    </row>
    <row r="2426" spans="1:22" x14ac:dyDescent="0.25">
      <c r="A2426">
        <v>2425</v>
      </c>
      <c r="B2426" s="1">
        <v>45612</v>
      </c>
      <c r="C2426" t="s">
        <v>23</v>
      </c>
      <c r="D2426" t="s">
        <v>20</v>
      </c>
      <c r="E2426">
        <v>224</v>
      </c>
      <c r="F2426">
        <v>66</v>
      </c>
      <c r="G2426">
        <v>2.4</v>
      </c>
      <c r="H2426" t="s">
        <v>12</v>
      </c>
      <c r="I2426" t="s">
        <v>19</v>
      </c>
      <c r="J2426" t="s">
        <v>11</v>
      </c>
      <c r="K2426">
        <f>_xlfn.XLOOKUP(tbl_analysis_tickets[[#This Row],[priority]],tbl_sla[priority],tbl_sla[Resolution SLA Hours])</f>
        <v>24</v>
      </c>
      <c r="L2426">
        <f>_xlfn.XLOOKUP(tbl_analysis_tickets[[#This Row],[priority]],tbl_sla[priority],tbl_sla[First Response SLA Minutes])</f>
        <v>60</v>
      </c>
      <c r="M2426" t="str">
        <f>IF(tbl_analysis_tickets[[#This Row],[resolution_time_hours]]&gt;tbl_analysis_tickets[[#This Row],[Resolution SLA Hours]],"Breached","Within SLA")</f>
        <v>Breached</v>
      </c>
      <c r="N2426" t="str">
        <f>IF(tbl_analysis_tickets[[#This Row],[first_response_minutes]]&gt;tbl_analysis_tickets[[#This Row],[First Response SLA Minutes]],"Breached","Within SLA")</f>
        <v>Breached</v>
      </c>
      <c r="O2426" t="str" cm="1">
        <f t="array" ref="O2426">_xlfn.IFS(
tbl_analysis_tickets[[#This Row],[agent_experience_years]]&lt;=2,"Junior",
tbl_analysis_tickets[[#This Row],[agent_experience_years]]&lt;=5,"Mid-Level",
tbl_analysis_tickets[[#This Row],[agent_experience_years]]&lt;=8,"Senior",
tbl_analysis_tickets[[#This Row],[agent_experience_years]]&gt;8,"Expert"
)</f>
        <v>Mid-Level</v>
      </c>
      <c r="P2426" cm="1">
        <f t="array" ref="P2426">_xlfn.SWITCH(tbl_analysis_tickets[[#This Row],[customer_satisfaction]],
"Low",1,
"Medium",2,
"High",3
)</f>
        <v>1</v>
      </c>
      <c r="Q2426">
        <f>IF(tbl_analysis_tickets[[#This Row],[reopened]]="Yes",1,0)</f>
        <v>1</v>
      </c>
      <c r="R2426" t="str" cm="1">
        <f t="array" ref="R2426">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426" t="str" cm="1">
        <f t="array" ref="S242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426" t="str">
        <f>TEXT(tbl_analysis_tickets[[#This Row],[created_date]],"mmm-yyyy")</f>
        <v>Nov-2024</v>
      </c>
      <c r="U2426" t="str">
        <f>TEXT(tbl_analysis_tickets[[#This Row],[created_date]],"dddd")</f>
        <v>Saturday</v>
      </c>
      <c r="V2426" cm="1">
        <f t="array" ref="V2426">_xlfn.SWITCH(tbl_analysis_tickets[[#This Row],[priority]],
"Urgent",1,
"High",2,
"Medium",3,
"Low",4
)</f>
        <v>2</v>
      </c>
    </row>
    <row r="2427" spans="1:22" x14ac:dyDescent="0.25">
      <c r="A2427">
        <v>2426</v>
      </c>
      <c r="B2427" s="1">
        <v>45591</v>
      </c>
      <c r="C2427" t="s">
        <v>21</v>
      </c>
      <c r="D2427" t="s">
        <v>15</v>
      </c>
      <c r="E2427">
        <v>188</v>
      </c>
      <c r="F2427">
        <v>5</v>
      </c>
      <c r="G2427">
        <v>3.5</v>
      </c>
      <c r="H2427" t="s">
        <v>12</v>
      </c>
      <c r="I2427" t="s">
        <v>19</v>
      </c>
      <c r="J2427" t="s">
        <v>15</v>
      </c>
      <c r="K2427">
        <f>_xlfn.XLOOKUP(tbl_analysis_tickets[[#This Row],[priority]],tbl_sla[priority],tbl_sla[Resolution SLA Hours])</f>
        <v>48</v>
      </c>
      <c r="L2427">
        <f>_xlfn.XLOOKUP(tbl_analysis_tickets[[#This Row],[priority]],tbl_sla[priority],tbl_sla[First Response SLA Minutes])</f>
        <v>120</v>
      </c>
      <c r="M2427" t="str">
        <f>IF(tbl_analysis_tickets[[#This Row],[resolution_time_hours]]&gt;tbl_analysis_tickets[[#This Row],[Resolution SLA Hours]],"Breached","Within SLA")</f>
        <v>Within SLA</v>
      </c>
      <c r="N2427" t="str">
        <f>IF(tbl_analysis_tickets[[#This Row],[first_response_minutes]]&gt;tbl_analysis_tickets[[#This Row],[First Response SLA Minutes]],"Breached","Within SLA")</f>
        <v>Breached</v>
      </c>
      <c r="O2427" t="str" cm="1">
        <f t="array" ref="O2427">_xlfn.IFS(
tbl_analysis_tickets[[#This Row],[agent_experience_years]]&lt;=2,"Junior",
tbl_analysis_tickets[[#This Row],[agent_experience_years]]&lt;=5,"Mid-Level",
tbl_analysis_tickets[[#This Row],[agent_experience_years]]&lt;=8,"Senior",
tbl_analysis_tickets[[#This Row],[agent_experience_years]]&gt;8,"Expert"
)</f>
        <v>Mid-Level</v>
      </c>
      <c r="P2427" cm="1">
        <f t="array" ref="P2427">_xlfn.SWITCH(tbl_analysis_tickets[[#This Row],[customer_satisfaction]],
"Low",1,
"Medium",2,
"High",3
)</f>
        <v>2</v>
      </c>
      <c r="Q2427">
        <f>IF(tbl_analysis_tickets[[#This Row],[reopened]]="Yes",1,0)</f>
        <v>1</v>
      </c>
      <c r="R2427" t="str" cm="1">
        <f t="array" ref="R2427">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427" t="str" cm="1">
        <f t="array" ref="S242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2427" t="str">
        <f>TEXT(tbl_analysis_tickets[[#This Row],[created_date]],"mmm-yyyy")</f>
        <v>Oct-2024</v>
      </c>
      <c r="U2427" t="str">
        <f>TEXT(tbl_analysis_tickets[[#This Row],[created_date]],"dddd")</f>
        <v>Saturday</v>
      </c>
      <c r="V2427" cm="1">
        <f t="array" ref="V2427">_xlfn.SWITCH(tbl_analysis_tickets[[#This Row],[priority]],
"Urgent",1,
"High",2,
"Medium",3,
"Low",4
)</f>
        <v>3</v>
      </c>
    </row>
    <row r="2428" spans="1:22" x14ac:dyDescent="0.25">
      <c r="A2428">
        <v>2427</v>
      </c>
      <c r="B2428" s="1">
        <v>45525</v>
      </c>
      <c r="C2428" t="s">
        <v>23</v>
      </c>
      <c r="D2428" t="s">
        <v>20</v>
      </c>
      <c r="E2428">
        <v>240</v>
      </c>
      <c r="F2428">
        <v>36</v>
      </c>
      <c r="G2428">
        <v>2.5</v>
      </c>
      <c r="H2428" t="s">
        <v>18</v>
      </c>
      <c r="I2428" t="s">
        <v>16</v>
      </c>
      <c r="J2428" t="s">
        <v>11</v>
      </c>
      <c r="K2428">
        <f>_xlfn.XLOOKUP(tbl_analysis_tickets[[#This Row],[priority]],tbl_sla[priority],tbl_sla[Resolution SLA Hours])</f>
        <v>24</v>
      </c>
      <c r="L2428">
        <f>_xlfn.XLOOKUP(tbl_analysis_tickets[[#This Row],[priority]],tbl_sla[priority],tbl_sla[First Response SLA Minutes])</f>
        <v>60</v>
      </c>
      <c r="M2428" t="str">
        <f>IF(tbl_analysis_tickets[[#This Row],[resolution_time_hours]]&gt;tbl_analysis_tickets[[#This Row],[Resolution SLA Hours]],"Breached","Within SLA")</f>
        <v>Breached</v>
      </c>
      <c r="N2428" t="str">
        <f>IF(tbl_analysis_tickets[[#This Row],[first_response_minutes]]&gt;tbl_analysis_tickets[[#This Row],[First Response SLA Minutes]],"Breached","Within SLA")</f>
        <v>Breached</v>
      </c>
      <c r="O2428" t="str" cm="1">
        <f t="array" ref="O2428">_xlfn.IFS(
tbl_analysis_tickets[[#This Row],[agent_experience_years]]&lt;=2,"Junior",
tbl_analysis_tickets[[#This Row],[agent_experience_years]]&lt;=5,"Mid-Level",
tbl_analysis_tickets[[#This Row],[agent_experience_years]]&lt;=8,"Senior",
tbl_analysis_tickets[[#This Row],[agent_experience_years]]&gt;8,"Expert"
)</f>
        <v>Mid-Level</v>
      </c>
      <c r="P2428" cm="1">
        <f t="array" ref="P2428">_xlfn.SWITCH(tbl_analysis_tickets[[#This Row],[customer_satisfaction]],
"Low",1,
"Medium",2,
"High",3
)</f>
        <v>1</v>
      </c>
      <c r="Q2428">
        <f>IF(tbl_analysis_tickets[[#This Row],[reopened]]="Yes",1,0)</f>
        <v>0</v>
      </c>
      <c r="R2428" t="str" cm="1">
        <f t="array" ref="R2428">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428" t="str" cm="1">
        <f t="array" ref="S242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428" t="str">
        <f>TEXT(tbl_analysis_tickets[[#This Row],[created_date]],"mmm-yyyy")</f>
        <v>Aug-2024</v>
      </c>
      <c r="U2428" t="str">
        <f>TEXT(tbl_analysis_tickets[[#This Row],[created_date]],"dddd")</f>
        <v>Wednesday</v>
      </c>
      <c r="V2428" cm="1">
        <f t="array" ref="V2428">_xlfn.SWITCH(tbl_analysis_tickets[[#This Row],[priority]],
"Urgent",1,
"High",2,
"Medium",3,
"Low",4
)</f>
        <v>2</v>
      </c>
    </row>
    <row r="2429" spans="1:22" x14ac:dyDescent="0.25">
      <c r="A2429">
        <v>2428</v>
      </c>
      <c r="B2429" s="1">
        <v>45478</v>
      </c>
      <c r="C2429" t="s">
        <v>21</v>
      </c>
      <c r="D2429" t="s">
        <v>17</v>
      </c>
      <c r="E2429">
        <v>219</v>
      </c>
      <c r="F2429">
        <v>20</v>
      </c>
      <c r="G2429">
        <v>6.5</v>
      </c>
      <c r="H2429" t="s">
        <v>18</v>
      </c>
      <c r="I2429" t="s">
        <v>19</v>
      </c>
      <c r="J2429" t="s">
        <v>11</v>
      </c>
      <c r="K2429">
        <f>_xlfn.XLOOKUP(tbl_analysis_tickets[[#This Row],[priority]],tbl_sla[priority],tbl_sla[Resolution SLA Hours])</f>
        <v>8</v>
      </c>
      <c r="L2429">
        <f>_xlfn.XLOOKUP(tbl_analysis_tickets[[#This Row],[priority]],tbl_sla[priority],tbl_sla[First Response SLA Minutes])</f>
        <v>30</v>
      </c>
      <c r="M2429" t="str">
        <f>IF(tbl_analysis_tickets[[#This Row],[resolution_time_hours]]&gt;tbl_analysis_tickets[[#This Row],[Resolution SLA Hours]],"Breached","Within SLA")</f>
        <v>Breached</v>
      </c>
      <c r="N2429" t="str">
        <f>IF(tbl_analysis_tickets[[#This Row],[first_response_minutes]]&gt;tbl_analysis_tickets[[#This Row],[First Response SLA Minutes]],"Breached","Within SLA")</f>
        <v>Breached</v>
      </c>
      <c r="O2429" t="str" cm="1">
        <f t="array" ref="O2429">_xlfn.IFS(
tbl_analysis_tickets[[#This Row],[agent_experience_years]]&lt;=2,"Junior",
tbl_analysis_tickets[[#This Row],[agent_experience_years]]&lt;=5,"Mid-Level",
tbl_analysis_tickets[[#This Row],[agent_experience_years]]&lt;=8,"Senior",
tbl_analysis_tickets[[#This Row],[agent_experience_years]]&gt;8,"Expert"
)</f>
        <v>Senior</v>
      </c>
      <c r="P2429" cm="1">
        <f t="array" ref="P2429">_xlfn.SWITCH(tbl_analysis_tickets[[#This Row],[customer_satisfaction]],
"Low",1,
"Medium",2,
"High",3
)</f>
        <v>1</v>
      </c>
      <c r="Q2429">
        <f>IF(tbl_analysis_tickets[[#This Row],[reopened]]="Yes",1,0)</f>
        <v>0</v>
      </c>
      <c r="R2429" t="str" cm="1">
        <f t="array" ref="R2429">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429" t="str" cm="1">
        <f t="array" ref="S242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429" t="str">
        <f>TEXT(tbl_analysis_tickets[[#This Row],[created_date]],"mmm-yyyy")</f>
        <v>Jul-2024</v>
      </c>
      <c r="U2429" t="str">
        <f>TEXT(tbl_analysis_tickets[[#This Row],[created_date]],"dddd")</f>
        <v>Friday</v>
      </c>
      <c r="V2429" cm="1">
        <f t="array" ref="V2429">_xlfn.SWITCH(tbl_analysis_tickets[[#This Row],[priority]],
"Urgent",1,
"High",2,
"Medium",3,
"Low",4
)</f>
        <v>1</v>
      </c>
    </row>
    <row r="2430" spans="1:22" x14ac:dyDescent="0.25">
      <c r="A2430">
        <v>2429</v>
      </c>
      <c r="B2430" s="1">
        <v>45502</v>
      </c>
      <c r="C2430" t="s">
        <v>23</v>
      </c>
      <c r="D2430" t="s">
        <v>17</v>
      </c>
      <c r="E2430">
        <v>47</v>
      </c>
      <c r="F2430">
        <v>22</v>
      </c>
      <c r="G2430">
        <v>0.8</v>
      </c>
      <c r="H2430" t="s">
        <v>18</v>
      </c>
      <c r="I2430" t="s">
        <v>13</v>
      </c>
      <c r="J2430" t="s">
        <v>11</v>
      </c>
      <c r="K2430">
        <f>_xlfn.XLOOKUP(tbl_analysis_tickets[[#This Row],[priority]],tbl_sla[priority],tbl_sla[Resolution SLA Hours])</f>
        <v>8</v>
      </c>
      <c r="L2430">
        <f>_xlfn.XLOOKUP(tbl_analysis_tickets[[#This Row],[priority]],tbl_sla[priority],tbl_sla[First Response SLA Minutes])</f>
        <v>30</v>
      </c>
      <c r="M2430" t="str">
        <f>IF(tbl_analysis_tickets[[#This Row],[resolution_time_hours]]&gt;tbl_analysis_tickets[[#This Row],[Resolution SLA Hours]],"Breached","Within SLA")</f>
        <v>Breached</v>
      </c>
      <c r="N2430" t="str">
        <f>IF(tbl_analysis_tickets[[#This Row],[first_response_minutes]]&gt;tbl_analysis_tickets[[#This Row],[First Response SLA Minutes]],"Breached","Within SLA")</f>
        <v>Breached</v>
      </c>
      <c r="O2430" t="str" cm="1">
        <f t="array" ref="O2430">_xlfn.IFS(
tbl_analysis_tickets[[#This Row],[agent_experience_years]]&lt;=2,"Junior",
tbl_analysis_tickets[[#This Row],[agent_experience_years]]&lt;=5,"Mid-Level",
tbl_analysis_tickets[[#This Row],[agent_experience_years]]&lt;=8,"Senior",
tbl_analysis_tickets[[#This Row],[agent_experience_years]]&gt;8,"Expert"
)</f>
        <v>Junior</v>
      </c>
      <c r="P2430" cm="1">
        <f t="array" ref="P2430">_xlfn.SWITCH(tbl_analysis_tickets[[#This Row],[customer_satisfaction]],
"Low",1,
"Medium",2,
"High",3
)</f>
        <v>1</v>
      </c>
      <c r="Q2430">
        <f>IF(tbl_analysis_tickets[[#This Row],[reopened]]="Yes",1,0)</f>
        <v>0</v>
      </c>
      <c r="R2430" t="str" cm="1">
        <f t="array" ref="R2430">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430" t="str" cm="1">
        <f t="array" ref="S243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430" t="str">
        <f>TEXT(tbl_analysis_tickets[[#This Row],[created_date]],"mmm-yyyy")</f>
        <v>Jul-2024</v>
      </c>
      <c r="U2430" t="str">
        <f>TEXT(tbl_analysis_tickets[[#This Row],[created_date]],"dddd")</f>
        <v>Monday</v>
      </c>
      <c r="V2430" cm="1">
        <f t="array" ref="V2430">_xlfn.SWITCH(tbl_analysis_tickets[[#This Row],[priority]],
"Urgent",1,
"High",2,
"Medium",3,
"Low",4
)</f>
        <v>1</v>
      </c>
    </row>
    <row r="2431" spans="1:22" x14ac:dyDescent="0.25">
      <c r="A2431">
        <v>2430</v>
      </c>
      <c r="B2431" s="1">
        <v>45321</v>
      </c>
      <c r="C2431" t="s">
        <v>23</v>
      </c>
      <c r="D2431" t="s">
        <v>15</v>
      </c>
      <c r="E2431">
        <v>46</v>
      </c>
      <c r="F2431">
        <v>32</v>
      </c>
      <c r="G2431">
        <v>6.3</v>
      </c>
      <c r="H2431" t="s">
        <v>18</v>
      </c>
      <c r="I2431" t="s">
        <v>13</v>
      </c>
      <c r="J2431" t="s">
        <v>15</v>
      </c>
      <c r="K2431">
        <f>_xlfn.XLOOKUP(tbl_analysis_tickets[[#This Row],[priority]],tbl_sla[priority],tbl_sla[Resolution SLA Hours])</f>
        <v>48</v>
      </c>
      <c r="L2431">
        <f>_xlfn.XLOOKUP(tbl_analysis_tickets[[#This Row],[priority]],tbl_sla[priority],tbl_sla[First Response SLA Minutes])</f>
        <v>120</v>
      </c>
      <c r="M2431" t="str">
        <f>IF(tbl_analysis_tickets[[#This Row],[resolution_time_hours]]&gt;tbl_analysis_tickets[[#This Row],[Resolution SLA Hours]],"Breached","Within SLA")</f>
        <v>Within SLA</v>
      </c>
      <c r="N2431" t="str">
        <f>IF(tbl_analysis_tickets[[#This Row],[first_response_minutes]]&gt;tbl_analysis_tickets[[#This Row],[First Response SLA Minutes]],"Breached","Within SLA")</f>
        <v>Within SLA</v>
      </c>
      <c r="O2431" t="str" cm="1">
        <f t="array" ref="O2431">_xlfn.IFS(
tbl_analysis_tickets[[#This Row],[agent_experience_years]]&lt;=2,"Junior",
tbl_analysis_tickets[[#This Row],[agent_experience_years]]&lt;=5,"Mid-Level",
tbl_analysis_tickets[[#This Row],[agent_experience_years]]&lt;=8,"Senior",
tbl_analysis_tickets[[#This Row],[agent_experience_years]]&gt;8,"Expert"
)</f>
        <v>Senior</v>
      </c>
      <c r="P2431" cm="1">
        <f t="array" ref="P2431">_xlfn.SWITCH(tbl_analysis_tickets[[#This Row],[customer_satisfaction]],
"Low",1,
"Medium",2,
"High",3
)</f>
        <v>2</v>
      </c>
      <c r="Q2431">
        <f>IF(tbl_analysis_tickets[[#This Row],[reopened]]="Yes",1,0)</f>
        <v>0</v>
      </c>
      <c r="R2431" t="str" cm="1">
        <f t="array" ref="R2431">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431" t="str" cm="1">
        <f t="array" ref="S243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431" t="str">
        <f>TEXT(tbl_analysis_tickets[[#This Row],[created_date]],"mmm-yyyy")</f>
        <v>Jan-2024</v>
      </c>
      <c r="U2431" t="str">
        <f>TEXT(tbl_analysis_tickets[[#This Row],[created_date]],"dddd")</f>
        <v>Tuesday</v>
      </c>
      <c r="V2431" cm="1">
        <f t="array" ref="V2431">_xlfn.SWITCH(tbl_analysis_tickets[[#This Row],[priority]],
"Urgent",1,
"High",2,
"Medium",3,
"Low",4
)</f>
        <v>3</v>
      </c>
    </row>
    <row r="2432" spans="1:22" x14ac:dyDescent="0.25">
      <c r="A2432">
        <v>2431</v>
      </c>
      <c r="B2432" s="1">
        <v>45407</v>
      </c>
      <c r="C2432" t="s">
        <v>21</v>
      </c>
      <c r="D2432" t="s">
        <v>11</v>
      </c>
      <c r="E2432">
        <v>147</v>
      </c>
      <c r="F2432">
        <v>37</v>
      </c>
      <c r="G2432">
        <v>4.2</v>
      </c>
      <c r="H2432" t="s">
        <v>18</v>
      </c>
      <c r="I2432" t="s">
        <v>16</v>
      </c>
      <c r="J2432" t="s">
        <v>11</v>
      </c>
      <c r="K2432">
        <f>_xlfn.XLOOKUP(tbl_analysis_tickets[[#This Row],[priority]],tbl_sla[priority],tbl_sla[Resolution SLA Hours])</f>
        <v>72</v>
      </c>
      <c r="L2432">
        <f>_xlfn.XLOOKUP(tbl_analysis_tickets[[#This Row],[priority]],tbl_sla[priority],tbl_sla[First Response SLA Minutes])</f>
        <v>240</v>
      </c>
      <c r="M2432" t="str">
        <f>IF(tbl_analysis_tickets[[#This Row],[resolution_time_hours]]&gt;tbl_analysis_tickets[[#This Row],[Resolution SLA Hours]],"Breached","Within SLA")</f>
        <v>Within SLA</v>
      </c>
      <c r="N2432" t="str">
        <f>IF(tbl_analysis_tickets[[#This Row],[first_response_minutes]]&gt;tbl_analysis_tickets[[#This Row],[First Response SLA Minutes]],"Breached","Within SLA")</f>
        <v>Within SLA</v>
      </c>
      <c r="O2432" t="str" cm="1">
        <f t="array" ref="O2432">_xlfn.IFS(
tbl_analysis_tickets[[#This Row],[agent_experience_years]]&lt;=2,"Junior",
tbl_analysis_tickets[[#This Row],[agent_experience_years]]&lt;=5,"Mid-Level",
tbl_analysis_tickets[[#This Row],[agent_experience_years]]&lt;=8,"Senior",
tbl_analysis_tickets[[#This Row],[agent_experience_years]]&gt;8,"Expert"
)</f>
        <v>Mid-Level</v>
      </c>
      <c r="P2432" cm="1">
        <f t="array" ref="P2432">_xlfn.SWITCH(tbl_analysis_tickets[[#This Row],[customer_satisfaction]],
"Low",1,
"Medium",2,
"High",3
)</f>
        <v>1</v>
      </c>
      <c r="Q2432">
        <f>IF(tbl_analysis_tickets[[#This Row],[reopened]]="Yes",1,0)</f>
        <v>0</v>
      </c>
      <c r="R2432" t="str" cm="1">
        <f t="array" ref="R2432">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432" t="str" cm="1">
        <f t="array" ref="S243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432" t="str">
        <f>TEXT(tbl_analysis_tickets[[#This Row],[created_date]],"mmm-yyyy")</f>
        <v>Apr-2024</v>
      </c>
      <c r="U2432" t="str">
        <f>TEXT(tbl_analysis_tickets[[#This Row],[created_date]],"dddd")</f>
        <v>Thursday</v>
      </c>
      <c r="V2432" cm="1">
        <f t="array" ref="V2432">_xlfn.SWITCH(tbl_analysis_tickets[[#This Row],[priority]],
"Urgent",1,
"High",2,
"Medium",3,
"Low",4
)</f>
        <v>4</v>
      </c>
    </row>
    <row r="2433" spans="1:22" x14ac:dyDescent="0.25">
      <c r="A2433">
        <v>2432</v>
      </c>
      <c r="B2433" s="1">
        <v>45631</v>
      </c>
      <c r="C2433" t="s">
        <v>23</v>
      </c>
      <c r="D2433" t="s">
        <v>11</v>
      </c>
      <c r="E2433">
        <v>185</v>
      </c>
      <c r="F2433">
        <v>8</v>
      </c>
      <c r="G2433">
        <v>4.2</v>
      </c>
      <c r="H2433" t="s">
        <v>18</v>
      </c>
      <c r="I2433" t="s">
        <v>13</v>
      </c>
      <c r="J2433" t="s">
        <v>11</v>
      </c>
      <c r="K2433">
        <f>_xlfn.XLOOKUP(tbl_analysis_tickets[[#This Row],[priority]],tbl_sla[priority],tbl_sla[Resolution SLA Hours])</f>
        <v>72</v>
      </c>
      <c r="L2433">
        <f>_xlfn.XLOOKUP(tbl_analysis_tickets[[#This Row],[priority]],tbl_sla[priority],tbl_sla[First Response SLA Minutes])</f>
        <v>240</v>
      </c>
      <c r="M2433" t="str">
        <f>IF(tbl_analysis_tickets[[#This Row],[resolution_time_hours]]&gt;tbl_analysis_tickets[[#This Row],[Resolution SLA Hours]],"Breached","Within SLA")</f>
        <v>Within SLA</v>
      </c>
      <c r="N2433" t="str">
        <f>IF(tbl_analysis_tickets[[#This Row],[first_response_minutes]]&gt;tbl_analysis_tickets[[#This Row],[First Response SLA Minutes]],"Breached","Within SLA")</f>
        <v>Within SLA</v>
      </c>
      <c r="O2433" t="str" cm="1">
        <f t="array" ref="O2433">_xlfn.IFS(
tbl_analysis_tickets[[#This Row],[agent_experience_years]]&lt;=2,"Junior",
tbl_analysis_tickets[[#This Row],[agent_experience_years]]&lt;=5,"Mid-Level",
tbl_analysis_tickets[[#This Row],[agent_experience_years]]&lt;=8,"Senior",
tbl_analysis_tickets[[#This Row],[agent_experience_years]]&gt;8,"Expert"
)</f>
        <v>Mid-Level</v>
      </c>
      <c r="P2433" cm="1">
        <f t="array" ref="P2433">_xlfn.SWITCH(tbl_analysis_tickets[[#This Row],[customer_satisfaction]],
"Low",1,
"Medium",2,
"High",3
)</f>
        <v>1</v>
      </c>
      <c r="Q2433">
        <f>IF(tbl_analysis_tickets[[#This Row],[reopened]]="Yes",1,0)</f>
        <v>0</v>
      </c>
      <c r="R2433" t="str" cm="1">
        <f t="array" ref="R2433">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433" t="str" cm="1">
        <f t="array" ref="S243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2433" t="str">
        <f>TEXT(tbl_analysis_tickets[[#This Row],[created_date]],"mmm-yyyy")</f>
        <v>Dec-2024</v>
      </c>
      <c r="U2433" t="str">
        <f>TEXT(tbl_analysis_tickets[[#This Row],[created_date]],"dddd")</f>
        <v>Thursday</v>
      </c>
      <c r="V2433" cm="1">
        <f t="array" ref="V2433">_xlfn.SWITCH(tbl_analysis_tickets[[#This Row],[priority]],
"Urgent",1,
"High",2,
"Medium",3,
"Low",4
)</f>
        <v>4</v>
      </c>
    </row>
    <row r="2434" spans="1:22" x14ac:dyDescent="0.25">
      <c r="A2434">
        <v>2433</v>
      </c>
      <c r="B2434" s="1">
        <v>45316</v>
      </c>
      <c r="C2434" t="s">
        <v>10</v>
      </c>
      <c r="D2434" t="s">
        <v>15</v>
      </c>
      <c r="E2434">
        <v>136</v>
      </c>
      <c r="F2434">
        <v>5</v>
      </c>
      <c r="G2434">
        <v>6.9</v>
      </c>
      <c r="H2434" t="s">
        <v>18</v>
      </c>
      <c r="I2434" t="s">
        <v>16</v>
      </c>
      <c r="J2434" t="s">
        <v>20</v>
      </c>
      <c r="K2434">
        <f>_xlfn.XLOOKUP(tbl_analysis_tickets[[#This Row],[priority]],tbl_sla[priority],tbl_sla[Resolution SLA Hours])</f>
        <v>48</v>
      </c>
      <c r="L2434">
        <f>_xlfn.XLOOKUP(tbl_analysis_tickets[[#This Row],[priority]],tbl_sla[priority],tbl_sla[First Response SLA Minutes])</f>
        <v>120</v>
      </c>
      <c r="M2434" t="str">
        <f>IF(tbl_analysis_tickets[[#This Row],[resolution_time_hours]]&gt;tbl_analysis_tickets[[#This Row],[Resolution SLA Hours]],"Breached","Within SLA")</f>
        <v>Within SLA</v>
      </c>
      <c r="N2434" t="str">
        <f>IF(tbl_analysis_tickets[[#This Row],[first_response_minutes]]&gt;tbl_analysis_tickets[[#This Row],[First Response SLA Minutes]],"Breached","Within SLA")</f>
        <v>Breached</v>
      </c>
      <c r="O2434" t="str" cm="1">
        <f t="array" ref="O2434">_xlfn.IFS(
tbl_analysis_tickets[[#This Row],[agent_experience_years]]&lt;=2,"Junior",
tbl_analysis_tickets[[#This Row],[agent_experience_years]]&lt;=5,"Mid-Level",
tbl_analysis_tickets[[#This Row],[agent_experience_years]]&lt;=8,"Senior",
tbl_analysis_tickets[[#This Row],[agent_experience_years]]&gt;8,"Expert"
)</f>
        <v>Senior</v>
      </c>
      <c r="P2434" cm="1">
        <f t="array" ref="P2434">_xlfn.SWITCH(tbl_analysis_tickets[[#This Row],[customer_satisfaction]],
"Low",1,
"Medium",2,
"High",3
)</f>
        <v>3</v>
      </c>
      <c r="Q2434">
        <f>IF(tbl_analysis_tickets[[#This Row],[reopened]]="Yes",1,0)</f>
        <v>0</v>
      </c>
      <c r="R2434" t="str" cm="1">
        <f t="array" ref="R2434">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434" t="str" cm="1">
        <f t="array" ref="S243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2434" t="str">
        <f>TEXT(tbl_analysis_tickets[[#This Row],[created_date]],"mmm-yyyy")</f>
        <v>Jan-2024</v>
      </c>
      <c r="U2434" t="str">
        <f>TEXT(tbl_analysis_tickets[[#This Row],[created_date]],"dddd")</f>
        <v>Thursday</v>
      </c>
      <c r="V2434" cm="1">
        <f t="array" ref="V2434">_xlfn.SWITCH(tbl_analysis_tickets[[#This Row],[priority]],
"Urgent",1,
"High",2,
"Medium",3,
"Low",4
)</f>
        <v>3</v>
      </c>
    </row>
    <row r="2435" spans="1:22" x14ac:dyDescent="0.25">
      <c r="A2435">
        <v>2434</v>
      </c>
      <c r="B2435" s="1">
        <v>45542</v>
      </c>
      <c r="C2435" t="s">
        <v>21</v>
      </c>
      <c r="D2435" t="s">
        <v>15</v>
      </c>
      <c r="E2435">
        <v>155</v>
      </c>
      <c r="F2435">
        <v>47</v>
      </c>
      <c r="G2435">
        <v>7.9</v>
      </c>
      <c r="H2435" t="s">
        <v>18</v>
      </c>
      <c r="I2435" t="s">
        <v>19</v>
      </c>
      <c r="J2435" t="s">
        <v>15</v>
      </c>
      <c r="K2435">
        <f>_xlfn.XLOOKUP(tbl_analysis_tickets[[#This Row],[priority]],tbl_sla[priority],tbl_sla[Resolution SLA Hours])</f>
        <v>48</v>
      </c>
      <c r="L2435">
        <f>_xlfn.XLOOKUP(tbl_analysis_tickets[[#This Row],[priority]],tbl_sla[priority],tbl_sla[First Response SLA Minutes])</f>
        <v>120</v>
      </c>
      <c r="M2435" t="str">
        <f>IF(tbl_analysis_tickets[[#This Row],[resolution_time_hours]]&gt;tbl_analysis_tickets[[#This Row],[Resolution SLA Hours]],"Breached","Within SLA")</f>
        <v>Within SLA</v>
      </c>
      <c r="N2435" t="str">
        <f>IF(tbl_analysis_tickets[[#This Row],[first_response_minutes]]&gt;tbl_analysis_tickets[[#This Row],[First Response SLA Minutes]],"Breached","Within SLA")</f>
        <v>Breached</v>
      </c>
      <c r="O2435" t="str" cm="1">
        <f t="array" ref="O2435">_xlfn.IFS(
tbl_analysis_tickets[[#This Row],[agent_experience_years]]&lt;=2,"Junior",
tbl_analysis_tickets[[#This Row],[agent_experience_years]]&lt;=5,"Mid-Level",
tbl_analysis_tickets[[#This Row],[agent_experience_years]]&lt;=8,"Senior",
tbl_analysis_tickets[[#This Row],[agent_experience_years]]&gt;8,"Expert"
)</f>
        <v>Senior</v>
      </c>
      <c r="P2435" cm="1">
        <f t="array" ref="P2435">_xlfn.SWITCH(tbl_analysis_tickets[[#This Row],[customer_satisfaction]],
"Low",1,
"Medium",2,
"High",3
)</f>
        <v>2</v>
      </c>
      <c r="Q2435">
        <f>IF(tbl_analysis_tickets[[#This Row],[reopened]]="Yes",1,0)</f>
        <v>0</v>
      </c>
      <c r="R2435" t="str" cm="1">
        <f t="array" ref="R2435">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435" t="str" cm="1">
        <f t="array" ref="S243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435" t="str">
        <f>TEXT(tbl_analysis_tickets[[#This Row],[created_date]],"mmm-yyyy")</f>
        <v>Sep-2024</v>
      </c>
      <c r="U2435" t="str">
        <f>TEXT(tbl_analysis_tickets[[#This Row],[created_date]],"dddd")</f>
        <v>Saturday</v>
      </c>
      <c r="V2435" cm="1">
        <f t="array" ref="V2435">_xlfn.SWITCH(tbl_analysis_tickets[[#This Row],[priority]],
"Urgent",1,
"High",2,
"Medium",3,
"Low",4
)</f>
        <v>3</v>
      </c>
    </row>
    <row r="2436" spans="1:22" x14ac:dyDescent="0.25">
      <c r="A2436">
        <v>2435</v>
      </c>
      <c r="B2436" s="1">
        <v>45364</v>
      </c>
      <c r="C2436" t="s">
        <v>21</v>
      </c>
      <c r="D2436" t="s">
        <v>20</v>
      </c>
      <c r="E2436">
        <v>55</v>
      </c>
      <c r="F2436">
        <v>1</v>
      </c>
      <c r="G2436">
        <v>4.5</v>
      </c>
      <c r="H2436" t="s">
        <v>18</v>
      </c>
      <c r="I2436" t="s">
        <v>16</v>
      </c>
      <c r="J2436" t="s">
        <v>15</v>
      </c>
      <c r="K2436">
        <f>_xlfn.XLOOKUP(tbl_analysis_tickets[[#This Row],[priority]],tbl_sla[priority],tbl_sla[Resolution SLA Hours])</f>
        <v>24</v>
      </c>
      <c r="L2436">
        <f>_xlfn.XLOOKUP(tbl_analysis_tickets[[#This Row],[priority]],tbl_sla[priority],tbl_sla[First Response SLA Minutes])</f>
        <v>60</v>
      </c>
      <c r="M2436" t="str">
        <f>IF(tbl_analysis_tickets[[#This Row],[resolution_time_hours]]&gt;tbl_analysis_tickets[[#This Row],[Resolution SLA Hours]],"Breached","Within SLA")</f>
        <v>Within SLA</v>
      </c>
      <c r="N2436" t="str">
        <f>IF(tbl_analysis_tickets[[#This Row],[first_response_minutes]]&gt;tbl_analysis_tickets[[#This Row],[First Response SLA Minutes]],"Breached","Within SLA")</f>
        <v>Within SLA</v>
      </c>
      <c r="O2436" t="str" cm="1">
        <f t="array" ref="O2436">_xlfn.IFS(
tbl_analysis_tickets[[#This Row],[agent_experience_years]]&lt;=2,"Junior",
tbl_analysis_tickets[[#This Row],[agent_experience_years]]&lt;=5,"Mid-Level",
tbl_analysis_tickets[[#This Row],[agent_experience_years]]&lt;=8,"Senior",
tbl_analysis_tickets[[#This Row],[agent_experience_years]]&gt;8,"Expert"
)</f>
        <v>Mid-Level</v>
      </c>
      <c r="P2436" cm="1">
        <f t="array" ref="P2436">_xlfn.SWITCH(tbl_analysis_tickets[[#This Row],[customer_satisfaction]],
"Low",1,
"Medium",2,
"High",3
)</f>
        <v>2</v>
      </c>
      <c r="Q2436">
        <f>IF(tbl_analysis_tickets[[#This Row],[reopened]]="Yes",1,0)</f>
        <v>0</v>
      </c>
      <c r="R2436" t="str" cm="1">
        <f t="array" ref="R2436">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436" t="str" cm="1">
        <f t="array" ref="S243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2436" t="str">
        <f>TEXT(tbl_analysis_tickets[[#This Row],[created_date]],"mmm-yyyy")</f>
        <v>Mar-2024</v>
      </c>
      <c r="U2436" t="str">
        <f>TEXT(tbl_analysis_tickets[[#This Row],[created_date]],"dddd")</f>
        <v>Wednesday</v>
      </c>
      <c r="V2436" cm="1">
        <f t="array" ref="V2436">_xlfn.SWITCH(tbl_analysis_tickets[[#This Row],[priority]],
"Urgent",1,
"High",2,
"Medium",3,
"Low",4
)</f>
        <v>2</v>
      </c>
    </row>
    <row r="2437" spans="1:22" x14ac:dyDescent="0.25">
      <c r="A2437">
        <v>2436</v>
      </c>
      <c r="B2437" s="1">
        <v>45359</v>
      </c>
      <c r="C2437" t="s">
        <v>23</v>
      </c>
      <c r="D2437" t="s">
        <v>20</v>
      </c>
      <c r="E2437">
        <v>6</v>
      </c>
      <c r="F2437">
        <v>53</v>
      </c>
      <c r="G2437">
        <v>4.9000000000000004</v>
      </c>
      <c r="H2437" t="s">
        <v>18</v>
      </c>
      <c r="I2437" t="s">
        <v>16</v>
      </c>
      <c r="J2437" t="s">
        <v>15</v>
      </c>
      <c r="K2437">
        <f>_xlfn.XLOOKUP(tbl_analysis_tickets[[#This Row],[priority]],tbl_sla[priority],tbl_sla[Resolution SLA Hours])</f>
        <v>24</v>
      </c>
      <c r="L2437">
        <f>_xlfn.XLOOKUP(tbl_analysis_tickets[[#This Row],[priority]],tbl_sla[priority],tbl_sla[First Response SLA Minutes])</f>
        <v>60</v>
      </c>
      <c r="M2437" t="str">
        <f>IF(tbl_analysis_tickets[[#This Row],[resolution_time_hours]]&gt;tbl_analysis_tickets[[#This Row],[Resolution SLA Hours]],"Breached","Within SLA")</f>
        <v>Breached</v>
      </c>
      <c r="N2437" t="str">
        <f>IF(tbl_analysis_tickets[[#This Row],[first_response_minutes]]&gt;tbl_analysis_tickets[[#This Row],[First Response SLA Minutes]],"Breached","Within SLA")</f>
        <v>Within SLA</v>
      </c>
      <c r="O2437" t="str" cm="1">
        <f t="array" ref="O2437">_xlfn.IFS(
tbl_analysis_tickets[[#This Row],[agent_experience_years]]&lt;=2,"Junior",
tbl_analysis_tickets[[#This Row],[agent_experience_years]]&lt;=5,"Mid-Level",
tbl_analysis_tickets[[#This Row],[agent_experience_years]]&lt;=8,"Senior",
tbl_analysis_tickets[[#This Row],[agent_experience_years]]&gt;8,"Expert"
)</f>
        <v>Mid-Level</v>
      </c>
      <c r="P2437" cm="1">
        <f t="array" ref="P2437">_xlfn.SWITCH(tbl_analysis_tickets[[#This Row],[customer_satisfaction]],
"Low",1,
"Medium",2,
"High",3
)</f>
        <v>2</v>
      </c>
      <c r="Q2437">
        <f>IF(tbl_analysis_tickets[[#This Row],[reopened]]="Yes",1,0)</f>
        <v>0</v>
      </c>
      <c r="R2437" t="str" cm="1">
        <f t="array" ref="R2437">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2437" t="str" cm="1">
        <f t="array" ref="S243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437" t="str">
        <f>TEXT(tbl_analysis_tickets[[#This Row],[created_date]],"mmm-yyyy")</f>
        <v>Mar-2024</v>
      </c>
      <c r="U2437" t="str">
        <f>TEXT(tbl_analysis_tickets[[#This Row],[created_date]],"dddd")</f>
        <v>Friday</v>
      </c>
      <c r="V2437" cm="1">
        <f t="array" ref="V2437">_xlfn.SWITCH(tbl_analysis_tickets[[#This Row],[priority]],
"Urgent",1,
"High",2,
"Medium",3,
"Low",4
)</f>
        <v>2</v>
      </c>
    </row>
    <row r="2438" spans="1:22" x14ac:dyDescent="0.25">
      <c r="A2438">
        <v>2437</v>
      </c>
      <c r="B2438" s="1">
        <v>45363</v>
      </c>
      <c r="C2438" t="s">
        <v>21</v>
      </c>
      <c r="D2438" t="s">
        <v>15</v>
      </c>
      <c r="E2438">
        <v>188</v>
      </c>
      <c r="F2438">
        <v>47</v>
      </c>
      <c r="G2438">
        <v>2.1</v>
      </c>
      <c r="H2438" t="s">
        <v>18</v>
      </c>
      <c r="I2438" t="s">
        <v>16</v>
      </c>
      <c r="J2438" t="s">
        <v>11</v>
      </c>
      <c r="K2438">
        <f>_xlfn.XLOOKUP(tbl_analysis_tickets[[#This Row],[priority]],tbl_sla[priority],tbl_sla[Resolution SLA Hours])</f>
        <v>48</v>
      </c>
      <c r="L2438">
        <f>_xlfn.XLOOKUP(tbl_analysis_tickets[[#This Row],[priority]],tbl_sla[priority],tbl_sla[First Response SLA Minutes])</f>
        <v>120</v>
      </c>
      <c r="M2438" t="str">
        <f>IF(tbl_analysis_tickets[[#This Row],[resolution_time_hours]]&gt;tbl_analysis_tickets[[#This Row],[Resolution SLA Hours]],"Breached","Within SLA")</f>
        <v>Within SLA</v>
      </c>
      <c r="N2438" t="str">
        <f>IF(tbl_analysis_tickets[[#This Row],[first_response_minutes]]&gt;tbl_analysis_tickets[[#This Row],[First Response SLA Minutes]],"Breached","Within SLA")</f>
        <v>Breached</v>
      </c>
      <c r="O2438" t="str" cm="1">
        <f t="array" ref="O2438">_xlfn.IFS(
tbl_analysis_tickets[[#This Row],[agent_experience_years]]&lt;=2,"Junior",
tbl_analysis_tickets[[#This Row],[agent_experience_years]]&lt;=5,"Mid-Level",
tbl_analysis_tickets[[#This Row],[agent_experience_years]]&lt;=8,"Senior",
tbl_analysis_tickets[[#This Row],[agent_experience_years]]&gt;8,"Expert"
)</f>
        <v>Mid-Level</v>
      </c>
      <c r="P2438" cm="1">
        <f t="array" ref="P2438">_xlfn.SWITCH(tbl_analysis_tickets[[#This Row],[customer_satisfaction]],
"Low",1,
"Medium",2,
"High",3
)</f>
        <v>1</v>
      </c>
      <c r="Q2438">
        <f>IF(tbl_analysis_tickets[[#This Row],[reopened]]="Yes",1,0)</f>
        <v>0</v>
      </c>
      <c r="R2438" t="str" cm="1">
        <f t="array" ref="R2438">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438" t="str" cm="1">
        <f t="array" ref="S243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438" t="str">
        <f>TEXT(tbl_analysis_tickets[[#This Row],[created_date]],"mmm-yyyy")</f>
        <v>Mar-2024</v>
      </c>
      <c r="U2438" t="str">
        <f>TEXT(tbl_analysis_tickets[[#This Row],[created_date]],"dddd")</f>
        <v>Tuesday</v>
      </c>
      <c r="V2438" cm="1">
        <f t="array" ref="V2438">_xlfn.SWITCH(tbl_analysis_tickets[[#This Row],[priority]],
"Urgent",1,
"High",2,
"Medium",3,
"Low",4
)</f>
        <v>3</v>
      </c>
    </row>
    <row r="2439" spans="1:22" x14ac:dyDescent="0.25">
      <c r="A2439">
        <v>2438</v>
      </c>
      <c r="B2439" s="1">
        <v>45412</v>
      </c>
      <c r="C2439" t="s">
        <v>10</v>
      </c>
      <c r="D2439" t="s">
        <v>20</v>
      </c>
      <c r="E2439">
        <v>14</v>
      </c>
      <c r="F2439">
        <v>51</v>
      </c>
      <c r="G2439">
        <v>4.9000000000000004</v>
      </c>
      <c r="H2439" t="s">
        <v>12</v>
      </c>
      <c r="I2439" t="s">
        <v>13</v>
      </c>
      <c r="J2439" t="s">
        <v>11</v>
      </c>
      <c r="K2439">
        <f>_xlfn.XLOOKUP(tbl_analysis_tickets[[#This Row],[priority]],tbl_sla[priority],tbl_sla[Resolution SLA Hours])</f>
        <v>24</v>
      </c>
      <c r="L2439">
        <f>_xlfn.XLOOKUP(tbl_analysis_tickets[[#This Row],[priority]],tbl_sla[priority],tbl_sla[First Response SLA Minutes])</f>
        <v>60</v>
      </c>
      <c r="M2439" t="str">
        <f>IF(tbl_analysis_tickets[[#This Row],[resolution_time_hours]]&gt;tbl_analysis_tickets[[#This Row],[Resolution SLA Hours]],"Breached","Within SLA")</f>
        <v>Breached</v>
      </c>
      <c r="N2439" t="str">
        <f>IF(tbl_analysis_tickets[[#This Row],[first_response_minutes]]&gt;tbl_analysis_tickets[[#This Row],[First Response SLA Minutes]],"Breached","Within SLA")</f>
        <v>Within SLA</v>
      </c>
      <c r="O2439" t="str" cm="1">
        <f t="array" ref="O2439">_xlfn.IFS(
tbl_analysis_tickets[[#This Row],[agent_experience_years]]&lt;=2,"Junior",
tbl_analysis_tickets[[#This Row],[agent_experience_years]]&lt;=5,"Mid-Level",
tbl_analysis_tickets[[#This Row],[agent_experience_years]]&lt;=8,"Senior",
tbl_analysis_tickets[[#This Row],[agent_experience_years]]&gt;8,"Expert"
)</f>
        <v>Mid-Level</v>
      </c>
      <c r="P2439" cm="1">
        <f t="array" ref="P2439">_xlfn.SWITCH(tbl_analysis_tickets[[#This Row],[customer_satisfaction]],
"Low",1,
"Medium",2,
"High",3
)</f>
        <v>1</v>
      </c>
      <c r="Q2439">
        <f>IF(tbl_analysis_tickets[[#This Row],[reopened]]="Yes",1,0)</f>
        <v>1</v>
      </c>
      <c r="R2439" t="str" cm="1">
        <f t="array" ref="R2439">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2439" t="str" cm="1">
        <f t="array" ref="S243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439" t="str">
        <f>TEXT(tbl_analysis_tickets[[#This Row],[created_date]],"mmm-yyyy")</f>
        <v>Apr-2024</v>
      </c>
      <c r="U2439" t="str">
        <f>TEXT(tbl_analysis_tickets[[#This Row],[created_date]],"dddd")</f>
        <v>Tuesday</v>
      </c>
      <c r="V2439" cm="1">
        <f t="array" ref="V2439">_xlfn.SWITCH(tbl_analysis_tickets[[#This Row],[priority]],
"Urgent",1,
"High",2,
"Medium",3,
"Low",4
)</f>
        <v>2</v>
      </c>
    </row>
    <row r="2440" spans="1:22" x14ac:dyDescent="0.25">
      <c r="A2440">
        <v>2439</v>
      </c>
      <c r="B2440" s="1">
        <v>45361</v>
      </c>
      <c r="C2440" t="s">
        <v>21</v>
      </c>
      <c r="D2440" t="s">
        <v>17</v>
      </c>
      <c r="E2440">
        <v>220</v>
      </c>
      <c r="F2440">
        <v>1</v>
      </c>
      <c r="G2440">
        <v>8.8000000000000007</v>
      </c>
      <c r="H2440" t="s">
        <v>12</v>
      </c>
      <c r="I2440" t="s">
        <v>13</v>
      </c>
      <c r="J2440" t="s">
        <v>15</v>
      </c>
      <c r="K2440">
        <f>_xlfn.XLOOKUP(tbl_analysis_tickets[[#This Row],[priority]],tbl_sla[priority],tbl_sla[Resolution SLA Hours])</f>
        <v>8</v>
      </c>
      <c r="L2440">
        <f>_xlfn.XLOOKUP(tbl_analysis_tickets[[#This Row],[priority]],tbl_sla[priority],tbl_sla[First Response SLA Minutes])</f>
        <v>30</v>
      </c>
      <c r="M2440" t="str">
        <f>IF(tbl_analysis_tickets[[#This Row],[resolution_time_hours]]&gt;tbl_analysis_tickets[[#This Row],[Resolution SLA Hours]],"Breached","Within SLA")</f>
        <v>Within SLA</v>
      </c>
      <c r="N2440" t="str">
        <f>IF(tbl_analysis_tickets[[#This Row],[first_response_minutes]]&gt;tbl_analysis_tickets[[#This Row],[First Response SLA Minutes]],"Breached","Within SLA")</f>
        <v>Breached</v>
      </c>
      <c r="O2440" t="str" cm="1">
        <f t="array" ref="O2440">_xlfn.IFS(
tbl_analysis_tickets[[#This Row],[agent_experience_years]]&lt;=2,"Junior",
tbl_analysis_tickets[[#This Row],[agent_experience_years]]&lt;=5,"Mid-Level",
tbl_analysis_tickets[[#This Row],[agent_experience_years]]&lt;=8,"Senior",
tbl_analysis_tickets[[#This Row],[agent_experience_years]]&gt;8,"Expert"
)</f>
        <v>Expert</v>
      </c>
      <c r="P2440" cm="1">
        <f t="array" ref="P2440">_xlfn.SWITCH(tbl_analysis_tickets[[#This Row],[customer_satisfaction]],
"Low",1,
"Medium",2,
"High",3
)</f>
        <v>2</v>
      </c>
      <c r="Q2440">
        <f>IF(tbl_analysis_tickets[[#This Row],[reopened]]="Yes",1,0)</f>
        <v>1</v>
      </c>
      <c r="R2440" t="str" cm="1">
        <f t="array" ref="R2440">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440" t="str" cm="1">
        <f t="array" ref="S244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2440" t="str">
        <f>TEXT(tbl_analysis_tickets[[#This Row],[created_date]],"mmm-yyyy")</f>
        <v>Mar-2024</v>
      </c>
      <c r="U2440" t="str">
        <f>TEXT(tbl_analysis_tickets[[#This Row],[created_date]],"dddd")</f>
        <v>Sunday</v>
      </c>
      <c r="V2440" cm="1">
        <f t="array" ref="V2440">_xlfn.SWITCH(tbl_analysis_tickets[[#This Row],[priority]],
"Urgent",1,
"High",2,
"Medium",3,
"Low",4
)</f>
        <v>1</v>
      </c>
    </row>
    <row r="2441" spans="1:22" x14ac:dyDescent="0.25">
      <c r="A2441">
        <v>2440</v>
      </c>
      <c r="B2441" s="1">
        <v>45337</v>
      </c>
      <c r="C2441" t="s">
        <v>21</v>
      </c>
      <c r="D2441" t="s">
        <v>11</v>
      </c>
      <c r="E2441">
        <v>113</v>
      </c>
      <c r="F2441">
        <v>44</v>
      </c>
      <c r="G2441">
        <v>0.5</v>
      </c>
      <c r="H2441" t="s">
        <v>12</v>
      </c>
      <c r="I2441" t="s">
        <v>19</v>
      </c>
      <c r="J2441" t="s">
        <v>11</v>
      </c>
      <c r="K2441">
        <f>_xlfn.XLOOKUP(tbl_analysis_tickets[[#This Row],[priority]],tbl_sla[priority],tbl_sla[Resolution SLA Hours])</f>
        <v>72</v>
      </c>
      <c r="L2441">
        <f>_xlfn.XLOOKUP(tbl_analysis_tickets[[#This Row],[priority]],tbl_sla[priority],tbl_sla[First Response SLA Minutes])</f>
        <v>240</v>
      </c>
      <c r="M2441" t="str">
        <f>IF(tbl_analysis_tickets[[#This Row],[resolution_time_hours]]&gt;tbl_analysis_tickets[[#This Row],[Resolution SLA Hours]],"Breached","Within SLA")</f>
        <v>Within SLA</v>
      </c>
      <c r="N2441" t="str">
        <f>IF(tbl_analysis_tickets[[#This Row],[first_response_minutes]]&gt;tbl_analysis_tickets[[#This Row],[First Response SLA Minutes]],"Breached","Within SLA")</f>
        <v>Within SLA</v>
      </c>
      <c r="O2441" t="str" cm="1">
        <f t="array" ref="O2441">_xlfn.IFS(
tbl_analysis_tickets[[#This Row],[agent_experience_years]]&lt;=2,"Junior",
tbl_analysis_tickets[[#This Row],[agent_experience_years]]&lt;=5,"Mid-Level",
tbl_analysis_tickets[[#This Row],[agent_experience_years]]&lt;=8,"Senior",
tbl_analysis_tickets[[#This Row],[agent_experience_years]]&gt;8,"Expert"
)</f>
        <v>Junior</v>
      </c>
      <c r="P2441" cm="1">
        <f t="array" ref="P2441">_xlfn.SWITCH(tbl_analysis_tickets[[#This Row],[customer_satisfaction]],
"Low",1,
"Medium",2,
"High",3
)</f>
        <v>1</v>
      </c>
      <c r="Q2441">
        <f>IF(tbl_analysis_tickets[[#This Row],[reopened]]="Yes",1,0)</f>
        <v>1</v>
      </c>
      <c r="R2441" t="str" cm="1">
        <f t="array" ref="R2441">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441" t="str" cm="1">
        <f t="array" ref="S244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441" t="str">
        <f>TEXT(tbl_analysis_tickets[[#This Row],[created_date]],"mmm-yyyy")</f>
        <v>Feb-2024</v>
      </c>
      <c r="U2441" t="str">
        <f>TEXT(tbl_analysis_tickets[[#This Row],[created_date]],"dddd")</f>
        <v>Thursday</v>
      </c>
      <c r="V2441" cm="1">
        <f t="array" ref="V2441">_xlfn.SWITCH(tbl_analysis_tickets[[#This Row],[priority]],
"Urgent",1,
"High",2,
"Medium",3,
"Low",4
)</f>
        <v>4</v>
      </c>
    </row>
    <row r="2442" spans="1:22" x14ac:dyDescent="0.25">
      <c r="A2442">
        <v>2441</v>
      </c>
      <c r="B2442" s="1">
        <v>45585</v>
      </c>
      <c r="C2442" t="s">
        <v>10</v>
      </c>
      <c r="D2442" t="s">
        <v>11</v>
      </c>
      <c r="E2442">
        <v>222</v>
      </c>
      <c r="F2442">
        <v>48</v>
      </c>
      <c r="G2442">
        <v>4.4000000000000004</v>
      </c>
      <c r="H2442" t="s">
        <v>18</v>
      </c>
      <c r="I2442" t="s">
        <v>16</v>
      </c>
      <c r="J2442" t="s">
        <v>11</v>
      </c>
      <c r="K2442">
        <f>_xlfn.XLOOKUP(tbl_analysis_tickets[[#This Row],[priority]],tbl_sla[priority],tbl_sla[Resolution SLA Hours])</f>
        <v>72</v>
      </c>
      <c r="L2442">
        <f>_xlfn.XLOOKUP(tbl_analysis_tickets[[#This Row],[priority]],tbl_sla[priority],tbl_sla[First Response SLA Minutes])</f>
        <v>240</v>
      </c>
      <c r="M2442" t="str">
        <f>IF(tbl_analysis_tickets[[#This Row],[resolution_time_hours]]&gt;tbl_analysis_tickets[[#This Row],[Resolution SLA Hours]],"Breached","Within SLA")</f>
        <v>Within SLA</v>
      </c>
      <c r="N2442" t="str">
        <f>IF(tbl_analysis_tickets[[#This Row],[first_response_minutes]]&gt;tbl_analysis_tickets[[#This Row],[First Response SLA Minutes]],"Breached","Within SLA")</f>
        <v>Within SLA</v>
      </c>
      <c r="O2442" t="str" cm="1">
        <f t="array" ref="O2442">_xlfn.IFS(
tbl_analysis_tickets[[#This Row],[agent_experience_years]]&lt;=2,"Junior",
tbl_analysis_tickets[[#This Row],[agent_experience_years]]&lt;=5,"Mid-Level",
tbl_analysis_tickets[[#This Row],[agent_experience_years]]&lt;=8,"Senior",
tbl_analysis_tickets[[#This Row],[agent_experience_years]]&gt;8,"Expert"
)</f>
        <v>Mid-Level</v>
      </c>
      <c r="P2442" cm="1">
        <f t="array" ref="P2442">_xlfn.SWITCH(tbl_analysis_tickets[[#This Row],[customer_satisfaction]],
"Low",1,
"Medium",2,
"High",3
)</f>
        <v>1</v>
      </c>
      <c r="Q2442">
        <f>IF(tbl_analysis_tickets[[#This Row],[reopened]]="Yes",1,0)</f>
        <v>0</v>
      </c>
      <c r="R2442" t="str" cm="1">
        <f t="array" ref="R2442">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442" t="str" cm="1">
        <f t="array" ref="S244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442" t="str">
        <f>TEXT(tbl_analysis_tickets[[#This Row],[created_date]],"mmm-yyyy")</f>
        <v>Oct-2024</v>
      </c>
      <c r="U2442" t="str">
        <f>TEXT(tbl_analysis_tickets[[#This Row],[created_date]],"dddd")</f>
        <v>Sunday</v>
      </c>
      <c r="V2442" cm="1">
        <f t="array" ref="V2442">_xlfn.SWITCH(tbl_analysis_tickets[[#This Row],[priority]],
"Urgent",1,
"High",2,
"Medium",3,
"Low",4
)</f>
        <v>4</v>
      </c>
    </row>
    <row r="2443" spans="1:22" x14ac:dyDescent="0.25">
      <c r="A2443">
        <v>2442</v>
      </c>
      <c r="B2443" s="1">
        <v>45352</v>
      </c>
      <c r="C2443" t="s">
        <v>21</v>
      </c>
      <c r="D2443" t="s">
        <v>20</v>
      </c>
      <c r="E2443">
        <v>81</v>
      </c>
      <c r="F2443">
        <v>31</v>
      </c>
      <c r="G2443">
        <v>8</v>
      </c>
      <c r="H2443" t="s">
        <v>12</v>
      </c>
      <c r="I2443" t="s">
        <v>16</v>
      </c>
      <c r="J2443" t="s">
        <v>11</v>
      </c>
      <c r="K2443">
        <f>_xlfn.XLOOKUP(tbl_analysis_tickets[[#This Row],[priority]],tbl_sla[priority],tbl_sla[Resolution SLA Hours])</f>
        <v>24</v>
      </c>
      <c r="L2443">
        <f>_xlfn.XLOOKUP(tbl_analysis_tickets[[#This Row],[priority]],tbl_sla[priority],tbl_sla[First Response SLA Minutes])</f>
        <v>60</v>
      </c>
      <c r="M2443" t="str">
        <f>IF(tbl_analysis_tickets[[#This Row],[resolution_time_hours]]&gt;tbl_analysis_tickets[[#This Row],[Resolution SLA Hours]],"Breached","Within SLA")</f>
        <v>Breached</v>
      </c>
      <c r="N2443" t="str">
        <f>IF(tbl_analysis_tickets[[#This Row],[first_response_minutes]]&gt;tbl_analysis_tickets[[#This Row],[First Response SLA Minutes]],"Breached","Within SLA")</f>
        <v>Breached</v>
      </c>
      <c r="O2443" t="str" cm="1">
        <f t="array" ref="O2443">_xlfn.IFS(
tbl_analysis_tickets[[#This Row],[agent_experience_years]]&lt;=2,"Junior",
tbl_analysis_tickets[[#This Row],[agent_experience_years]]&lt;=5,"Mid-Level",
tbl_analysis_tickets[[#This Row],[agent_experience_years]]&lt;=8,"Senior",
tbl_analysis_tickets[[#This Row],[agent_experience_years]]&gt;8,"Expert"
)</f>
        <v>Senior</v>
      </c>
      <c r="P2443" cm="1">
        <f t="array" ref="P2443">_xlfn.SWITCH(tbl_analysis_tickets[[#This Row],[customer_satisfaction]],
"Low",1,
"Medium",2,
"High",3
)</f>
        <v>1</v>
      </c>
      <c r="Q2443">
        <f>IF(tbl_analysis_tickets[[#This Row],[reopened]]="Yes",1,0)</f>
        <v>1</v>
      </c>
      <c r="R2443" t="str" cm="1">
        <f t="array" ref="R2443">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443" t="str" cm="1">
        <f t="array" ref="S244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443" t="str">
        <f>TEXT(tbl_analysis_tickets[[#This Row],[created_date]],"mmm-yyyy")</f>
        <v>Mar-2024</v>
      </c>
      <c r="U2443" t="str">
        <f>TEXT(tbl_analysis_tickets[[#This Row],[created_date]],"dddd")</f>
        <v>Friday</v>
      </c>
      <c r="V2443" cm="1">
        <f t="array" ref="V2443">_xlfn.SWITCH(tbl_analysis_tickets[[#This Row],[priority]],
"Urgent",1,
"High",2,
"Medium",3,
"Low",4
)</f>
        <v>2</v>
      </c>
    </row>
    <row r="2444" spans="1:22" x14ac:dyDescent="0.25">
      <c r="A2444">
        <v>2443</v>
      </c>
      <c r="B2444" s="1">
        <v>45398</v>
      </c>
      <c r="C2444" t="s">
        <v>23</v>
      </c>
      <c r="D2444" t="s">
        <v>20</v>
      </c>
      <c r="E2444">
        <v>164</v>
      </c>
      <c r="F2444">
        <v>29</v>
      </c>
      <c r="G2444">
        <v>4.8</v>
      </c>
      <c r="H2444" t="s">
        <v>18</v>
      </c>
      <c r="I2444" t="s">
        <v>16</v>
      </c>
      <c r="J2444" t="s">
        <v>11</v>
      </c>
      <c r="K2444">
        <f>_xlfn.XLOOKUP(tbl_analysis_tickets[[#This Row],[priority]],tbl_sla[priority],tbl_sla[Resolution SLA Hours])</f>
        <v>24</v>
      </c>
      <c r="L2444">
        <f>_xlfn.XLOOKUP(tbl_analysis_tickets[[#This Row],[priority]],tbl_sla[priority],tbl_sla[First Response SLA Minutes])</f>
        <v>60</v>
      </c>
      <c r="M2444" t="str">
        <f>IF(tbl_analysis_tickets[[#This Row],[resolution_time_hours]]&gt;tbl_analysis_tickets[[#This Row],[Resolution SLA Hours]],"Breached","Within SLA")</f>
        <v>Breached</v>
      </c>
      <c r="N2444" t="str">
        <f>IF(tbl_analysis_tickets[[#This Row],[first_response_minutes]]&gt;tbl_analysis_tickets[[#This Row],[First Response SLA Minutes]],"Breached","Within SLA")</f>
        <v>Breached</v>
      </c>
      <c r="O2444" t="str" cm="1">
        <f t="array" ref="O2444">_xlfn.IFS(
tbl_analysis_tickets[[#This Row],[agent_experience_years]]&lt;=2,"Junior",
tbl_analysis_tickets[[#This Row],[agent_experience_years]]&lt;=5,"Mid-Level",
tbl_analysis_tickets[[#This Row],[agent_experience_years]]&lt;=8,"Senior",
tbl_analysis_tickets[[#This Row],[agent_experience_years]]&gt;8,"Expert"
)</f>
        <v>Mid-Level</v>
      </c>
      <c r="P2444" cm="1">
        <f t="array" ref="P2444">_xlfn.SWITCH(tbl_analysis_tickets[[#This Row],[customer_satisfaction]],
"Low",1,
"Medium",2,
"High",3
)</f>
        <v>1</v>
      </c>
      <c r="Q2444">
        <f>IF(tbl_analysis_tickets[[#This Row],[reopened]]="Yes",1,0)</f>
        <v>0</v>
      </c>
      <c r="R2444" t="str" cm="1">
        <f t="array" ref="R2444">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444" t="str" cm="1">
        <f t="array" ref="S244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444" t="str">
        <f>TEXT(tbl_analysis_tickets[[#This Row],[created_date]],"mmm-yyyy")</f>
        <v>Apr-2024</v>
      </c>
      <c r="U2444" t="str">
        <f>TEXT(tbl_analysis_tickets[[#This Row],[created_date]],"dddd")</f>
        <v>Tuesday</v>
      </c>
      <c r="V2444" cm="1">
        <f t="array" ref="V2444">_xlfn.SWITCH(tbl_analysis_tickets[[#This Row],[priority]],
"Urgent",1,
"High",2,
"Medium",3,
"Low",4
)</f>
        <v>2</v>
      </c>
    </row>
    <row r="2445" spans="1:22" x14ac:dyDescent="0.25">
      <c r="A2445">
        <v>2444</v>
      </c>
      <c r="B2445" s="1">
        <v>45540</v>
      </c>
      <c r="C2445" t="s">
        <v>14</v>
      </c>
      <c r="D2445" t="s">
        <v>11</v>
      </c>
      <c r="E2445">
        <v>103</v>
      </c>
      <c r="F2445">
        <v>28</v>
      </c>
      <c r="G2445">
        <v>6.3</v>
      </c>
      <c r="H2445" t="s">
        <v>18</v>
      </c>
      <c r="I2445" t="s">
        <v>16</v>
      </c>
      <c r="J2445" t="s">
        <v>15</v>
      </c>
      <c r="K2445">
        <f>_xlfn.XLOOKUP(tbl_analysis_tickets[[#This Row],[priority]],tbl_sla[priority],tbl_sla[Resolution SLA Hours])</f>
        <v>72</v>
      </c>
      <c r="L2445">
        <f>_xlfn.XLOOKUP(tbl_analysis_tickets[[#This Row],[priority]],tbl_sla[priority],tbl_sla[First Response SLA Minutes])</f>
        <v>240</v>
      </c>
      <c r="M2445" t="str">
        <f>IF(tbl_analysis_tickets[[#This Row],[resolution_time_hours]]&gt;tbl_analysis_tickets[[#This Row],[Resolution SLA Hours]],"Breached","Within SLA")</f>
        <v>Within SLA</v>
      </c>
      <c r="N2445" t="str">
        <f>IF(tbl_analysis_tickets[[#This Row],[first_response_minutes]]&gt;tbl_analysis_tickets[[#This Row],[First Response SLA Minutes]],"Breached","Within SLA")</f>
        <v>Within SLA</v>
      </c>
      <c r="O2445" t="str" cm="1">
        <f t="array" ref="O2445">_xlfn.IFS(
tbl_analysis_tickets[[#This Row],[agent_experience_years]]&lt;=2,"Junior",
tbl_analysis_tickets[[#This Row],[agent_experience_years]]&lt;=5,"Mid-Level",
tbl_analysis_tickets[[#This Row],[agent_experience_years]]&lt;=8,"Senior",
tbl_analysis_tickets[[#This Row],[agent_experience_years]]&gt;8,"Expert"
)</f>
        <v>Senior</v>
      </c>
      <c r="P2445" cm="1">
        <f t="array" ref="P2445">_xlfn.SWITCH(tbl_analysis_tickets[[#This Row],[customer_satisfaction]],
"Low",1,
"Medium",2,
"High",3
)</f>
        <v>2</v>
      </c>
      <c r="Q2445">
        <f>IF(tbl_analysis_tickets[[#This Row],[reopened]]="Yes",1,0)</f>
        <v>0</v>
      </c>
      <c r="R2445" t="str" cm="1">
        <f t="array" ref="R2445">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445" t="str" cm="1">
        <f t="array" ref="S244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445" t="str">
        <f>TEXT(tbl_analysis_tickets[[#This Row],[created_date]],"mmm-yyyy")</f>
        <v>Sep-2024</v>
      </c>
      <c r="U2445" t="str">
        <f>TEXT(tbl_analysis_tickets[[#This Row],[created_date]],"dddd")</f>
        <v>Thursday</v>
      </c>
      <c r="V2445" cm="1">
        <f t="array" ref="V2445">_xlfn.SWITCH(tbl_analysis_tickets[[#This Row],[priority]],
"Urgent",1,
"High",2,
"Medium",3,
"Low",4
)</f>
        <v>4</v>
      </c>
    </row>
    <row r="2446" spans="1:22" x14ac:dyDescent="0.25">
      <c r="A2446">
        <v>2445</v>
      </c>
      <c r="B2446" s="1">
        <v>45426</v>
      </c>
      <c r="C2446" t="s">
        <v>10</v>
      </c>
      <c r="D2446" t="s">
        <v>15</v>
      </c>
      <c r="E2446">
        <v>64</v>
      </c>
      <c r="F2446">
        <v>66</v>
      </c>
      <c r="G2446">
        <v>8.5</v>
      </c>
      <c r="H2446" t="s">
        <v>12</v>
      </c>
      <c r="I2446" t="s">
        <v>16</v>
      </c>
      <c r="J2446" t="s">
        <v>11</v>
      </c>
      <c r="K2446">
        <f>_xlfn.XLOOKUP(tbl_analysis_tickets[[#This Row],[priority]],tbl_sla[priority],tbl_sla[Resolution SLA Hours])</f>
        <v>48</v>
      </c>
      <c r="L2446">
        <f>_xlfn.XLOOKUP(tbl_analysis_tickets[[#This Row],[priority]],tbl_sla[priority],tbl_sla[First Response SLA Minutes])</f>
        <v>120</v>
      </c>
      <c r="M2446" t="str">
        <f>IF(tbl_analysis_tickets[[#This Row],[resolution_time_hours]]&gt;tbl_analysis_tickets[[#This Row],[Resolution SLA Hours]],"Breached","Within SLA")</f>
        <v>Breached</v>
      </c>
      <c r="N2446" t="str">
        <f>IF(tbl_analysis_tickets[[#This Row],[first_response_minutes]]&gt;tbl_analysis_tickets[[#This Row],[First Response SLA Minutes]],"Breached","Within SLA")</f>
        <v>Within SLA</v>
      </c>
      <c r="O2446" t="str" cm="1">
        <f t="array" ref="O2446">_xlfn.IFS(
tbl_analysis_tickets[[#This Row],[agent_experience_years]]&lt;=2,"Junior",
tbl_analysis_tickets[[#This Row],[agent_experience_years]]&lt;=5,"Mid-Level",
tbl_analysis_tickets[[#This Row],[agent_experience_years]]&lt;=8,"Senior",
tbl_analysis_tickets[[#This Row],[agent_experience_years]]&gt;8,"Expert"
)</f>
        <v>Expert</v>
      </c>
      <c r="P2446" cm="1">
        <f t="array" ref="P2446">_xlfn.SWITCH(tbl_analysis_tickets[[#This Row],[customer_satisfaction]],
"Low",1,
"Medium",2,
"High",3
)</f>
        <v>1</v>
      </c>
      <c r="Q2446">
        <f>IF(tbl_analysis_tickets[[#This Row],[reopened]]="Yes",1,0)</f>
        <v>1</v>
      </c>
      <c r="R2446" t="str" cm="1">
        <f t="array" ref="R2446">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446" t="str" cm="1">
        <f t="array" ref="S244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446" t="str">
        <f>TEXT(tbl_analysis_tickets[[#This Row],[created_date]],"mmm-yyyy")</f>
        <v>May-2024</v>
      </c>
      <c r="U2446" t="str">
        <f>TEXT(tbl_analysis_tickets[[#This Row],[created_date]],"dddd")</f>
        <v>Tuesday</v>
      </c>
      <c r="V2446" cm="1">
        <f t="array" ref="V2446">_xlfn.SWITCH(tbl_analysis_tickets[[#This Row],[priority]],
"Urgent",1,
"High",2,
"Medium",3,
"Low",4
)</f>
        <v>3</v>
      </c>
    </row>
    <row r="2447" spans="1:22" x14ac:dyDescent="0.25">
      <c r="A2447">
        <v>2446</v>
      </c>
      <c r="B2447" s="1">
        <v>45631</v>
      </c>
      <c r="C2447" t="s">
        <v>10</v>
      </c>
      <c r="D2447" t="s">
        <v>15</v>
      </c>
      <c r="E2447">
        <v>129</v>
      </c>
      <c r="F2447">
        <v>20</v>
      </c>
      <c r="G2447">
        <v>8.1</v>
      </c>
      <c r="H2447" t="s">
        <v>12</v>
      </c>
      <c r="I2447" t="s">
        <v>16</v>
      </c>
      <c r="J2447" t="s">
        <v>11</v>
      </c>
      <c r="K2447">
        <f>_xlfn.XLOOKUP(tbl_analysis_tickets[[#This Row],[priority]],tbl_sla[priority],tbl_sla[Resolution SLA Hours])</f>
        <v>48</v>
      </c>
      <c r="L2447">
        <f>_xlfn.XLOOKUP(tbl_analysis_tickets[[#This Row],[priority]],tbl_sla[priority],tbl_sla[First Response SLA Minutes])</f>
        <v>120</v>
      </c>
      <c r="M2447" t="str">
        <f>IF(tbl_analysis_tickets[[#This Row],[resolution_time_hours]]&gt;tbl_analysis_tickets[[#This Row],[Resolution SLA Hours]],"Breached","Within SLA")</f>
        <v>Within SLA</v>
      </c>
      <c r="N2447" t="str">
        <f>IF(tbl_analysis_tickets[[#This Row],[first_response_minutes]]&gt;tbl_analysis_tickets[[#This Row],[First Response SLA Minutes]],"Breached","Within SLA")</f>
        <v>Breached</v>
      </c>
      <c r="O2447" t="str" cm="1">
        <f t="array" ref="O2447">_xlfn.IFS(
tbl_analysis_tickets[[#This Row],[agent_experience_years]]&lt;=2,"Junior",
tbl_analysis_tickets[[#This Row],[agent_experience_years]]&lt;=5,"Mid-Level",
tbl_analysis_tickets[[#This Row],[agent_experience_years]]&lt;=8,"Senior",
tbl_analysis_tickets[[#This Row],[agent_experience_years]]&gt;8,"Expert"
)</f>
        <v>Expert</v>
      </c>
      <c r="P2447" cm="1">
        <f t="array" ref="P2447">_xlfn.SWITCH(tbl_analysis_tickets[[#This Row],[customer_satisfaction]],
"Low",1,
"Medium",2,
"High",3
)</f>
        <v>1</v>
      </c>
      <c r="Q2447">
        <f>IF(tbl_analysis_tickets[[#This Row],[reopened]]="Yes",1,0)</f>
        <v>1</v>
      </c>
      <c r="R2447" t="str" cm="1">
        <f t="array" ref="R2447">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447" t="str" cm="1">
        <f t="array" ref="S244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447" t="str">
        <f>TEXT(tbl_analysis_tickets[[#This Row],[created_date]],"mmm-yyyy")</f>
        <v>Dec-2024</v>
      </c>
      <c r="U2447" t="str">
        <f>TEXT(tbl_analysis_tickets[[#This Row],[created_date]],"dddd")</f>
        <v>Thursday</v>
      </c>
      <c r="V2447" cm="1">
        <f t="array" ref="V2447">_xlfn.SWITCH(tbl_analysis_tickets[[#This Row],[priority]],
"Urgent",1,
"High",2,
"Medium",3,
"Low",4
)</f>
        <v>3</v>
      </c>
    </row>
    <row r="2448" spans="1:22" x14ac:dyDescent="0.25">
      <c r="A2448">
        <v>2447</v>
      </c>
      <c r="B2448" s="1">
        <v>45529</v>
      </c>
      <c r="C2448" t="s">
        <v>10</v>
      </c>
      <c r="D2448" t="s">
        <v>20</v>
      </c>
      <c r="E2448">
        <v>162</v>
      </c>
      <c r="F2448">
        <v>70</v>
      </c>
      <c r="G2448">
        <v>1.3</v>
      </c>
      <c r="H2448" t="s">
        <v>12</v>
      </c>
      <c r="I2448" t="s">
        <v>13</v>
      </c>
      <c r="J2448" t="s">
        <v>11</v>
      </c>
      <c r="K2448">
        <f>_xlfn.XLOOKUP(tbl_analysis_tickets[[#This Row],[priority]],tbl_sla[priority],tbl_sla[Resolution SLA Hours])</f>
        <v>24</v>
      </c>
      <c r="L2448">
        <f>_xlfn.XLOOKUP(tbl_analysis_tickets[[#This Row],[priority]],tbl_sla[priority],tbl_sla[First Response SLA Minutes])</f>
        <v>60</v>
      </c>
      <c r="M2448" t="str">
        <f>IF(tbl_analysis_tickets[[#This Row],[resolution_time_hours]]&gt;tbl_analysis_tickets[[#This Row],[Resolution SLA Hours]],"Breached","Within SLA")</f>
        <v>Breached</v>
      </c>
      <c r="N2448" t="str">
        <f>IF(tbl_analysis_tickets[[#This Row],[first_response_minutes]]&gt;tbl_analysis_tickets[[#This Row],[First Response SLA Minutes]],"Breached","Within SLA")</f>
        <v>Breached</v>
      </c>
      <c r="O2448" t="str" cm="1">
        <f t="array" ref="O2448">_xlfn.IFS(
tbl_analysis_tickets[[#This Row],[agent_experience_years]]&lt;=2,"Junior",
tbl_analysis_tickets[[#This Row],[agent_experience_years]]&lt;=5,"Mid-Level",
tbl_analysis_tickets[[#This Row],[agent_experience_years]]&lt;=8,"Senior",
tbl_analysis_tickets[[#This Row],[agent_experience_years]]&gt;8,"Expert"
)</f>
        <v>Junior</v>
      </c>
      <c r="P2448" cm="1">
        <f t="array" ref="P2448">_xlfn.SWITCH(tbl_analysis_tickets[[#This Row],[customer_satisfaction]],
"Low",1,
"Medium",2,
"High",3
)</f>
        <v>1</v>
      </c>
      <c r="Q2448">
        <f>IF(tbl_analysis_tickets[[#This Row],[reopened]]="Yes",1,0)</f>
        <v>1</v>
      </c>
      <c r="R2448" t="str" cm="1">
        <f t="array" ref="R2448">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448" t="str" cm="1">
        <f t="array" ref="S244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448" t="str">
        <f>TEXT(tbl_analysis_tickets[[#This Row],[created_date]],"mmm-yyyy")</f>
        <v>Aug-2024</v>
      </c>
      <c r="U2448" t="str">
        <f>TEXT(tbl_analysis_tickets[[#This Row],[created_date]],"dddd")</f>
        <v>Sunday</v>
      </c>
      <c r="V2448" cm="1">
        <f t="array" ref="V2448">_xlfn.SWITCH(tbl_analysis_tickets[[#This Row],[priority]],
"Urgent",1,
"High",2,
"Medium",3,
"Low",4
)</f>
        <v>2</v>
      </c>
    </row>
    <row r="2449" spans="1:22" x14ac:dyDescent="0.25">
      <c r="A2449">
        <v>2448</v>
      </c>
      <c r="B2449" s="1">
        <v>45464</v>
      </c>
      <c r="C2449" t="s">
        <v>23</v>
      </c>
      <c r="D2449" t="s">
        <v>20</v>
      </c>
      <c r="E2449">
        <v>24</v>
      </c>
      <c r="F2449">
        <v>70</v>
      </c>
      <c r="G2449">
        <v>6.8</v>
      </c>
      <c r="H2449" t="s">
        <v>12</v>
      </c>
      <c r="I2449" t="s">
        <v>13</v>
      </c>
      <c r="J2449" t="s">
        <v>15</v>
      </c>
      <c r="K2449">
        <f>_xlfn.XLOOKUP(tbl_analysis_tickets[[#This Row],[priority]],tbl_sla[priority],tbl_sla[Resolution SLA Hours])</f>
        <v>24</v>
      </c>
      <c r="L2449">
        <f>_xlfn.XLOOKUP(tbl_analysis_tickets[[#This Row],[priority]],tbl_sla[priority],tbl_sla[First Response SLA Minutes])</f>
        <v>60</v>
      </c>
      <c r="M2449" t="str">
        <f>IF(tbl_analysis_tickets[[#This Row],[resolution_time_hours]]&gt;tbl_analysis_tickets[[#This Row],[Resolution SLA Hours]],"Breached","Within SLA")</f>
        <v>Breached</v>
      </c>
      <c r="N2449" t="str">
        <f>IF(tbl_analysis_tickets[[#This Row],[first_response_minutes]]&gt;tbl_analysis_tickets[[#This Row],[First Response SLA Minutes]],"Breached","Within SLA")</f>
        <v>Within SLA</v>
      </c>
      <c r="O2449" t="str" cm="1">
        <f t="array" ref="O2449">_xlfn.IFS(
tbl_analysis_tickets[[#This Row],[agent_experience_years]]&lt;=2,"Junior",
tbl_analysis_tickets[[#This Row],[agent_experience_years]]&lt;=5,"Mid-Level",
tbl_analysis_tickets[[#This Row],[agent_experience_years]]&lt;=8,"Senior",
tbl_analysis_tickets[[#This Row],[agent_experience_years]]&gt;8,"Expert"
)</f>
        <v>Senior</v>
      </c>
      <c r="P2449" cm="1">
        <f t="array" ref="P2449">_xlfn.SWITCH(tbl_analysis_tickets[[#This Row],[customer_satisfaction]],
"Low",1,
"Medium",2,
"High",3
)</f>
        <v>2</v>
      </c>
      <c r="Q2449">
        <f>IF(tbl_analysis_tickets[[#This Row],[reopened]]="Yes",1,0)</f>
        <v>1</v>
      </c>
      <c r="R2449" t="str" cm="1">
        <f t="array" ref="R2449">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2449" t="str" cm="1">
        <f t="array" ref="S244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449" t="str">
        <f>TEXT(tbl_analysis_tickets[[#This Row],[created_date]],"mmm-yyyy")</f>
        <v>Jun-2024</v>
      </c>
      <c r="U2449" t="str">
        <f>TEXT(tbl_analysis_tickets[[#This Row],[created_date]],"dddd")</f>
        <v>Friday</v>
      </c>
      <c r="V2449" cm="1">
        <f t="array" ref="V2449">_xlfn.SWITCH(tbl_analysis_tickets[[#This Row],[priority]],
"Urgent",1,
"High",2,
"Medium",3,
"Low",4
)</f>
        <v>2</v>
      </c>
    </row>
    <row r="2450" spans="1:22" x14ac:dyDescent="0.25">
      <c r="A2450">
        <v>2449</v>
      </c>
      <c r="B2450" s="1">
        <v>45498</v>
      </c>
      <c r="C2450" t="s">
        <v>10</v>
      </c>
      <c r="D2450" t="s">
        <v>11</v>
      </c>
      <c r="E2450">
        <v>13</v>
      </c>
      <c r="F2450">
        <v>48</v>
      </c>
      <c r="G2450">
        <v>2.7</v>
      </c>
      <c r="H2450" t="s">
        <v>18</v>
      </c>
      <c r="I2450" t="s">
        <v>16</v>
      </c>
      <c r="J2450" t="s">
        <v>15</v>
      </c>
      <c r="K2450">
        <f>_xlfn.XLOOKUP(tbl_analysis_tickets[[#This Row],[priority]],tbl_sla[priority],tbl_sla[Resolution SLA Hours])</f>
        <v>72</v>
      </c>
      <c r="L2450">
        <f>_xlfn.XLOOKUP(tbl_analysis_tickets[[#This Row],[priority]],tbl_sla[priority],tbl_sla[First Response SLA Minutes])</f>
        <v>240</v>
      </c>
      <c r="M2450" t="str">
        <f>IF(tbl_analysis_tickets[[#This Row],[resolution_time_hours]]&gt;tbl_analysis_tickets[[#This Row],[Resolution SLA Hours]],"Breached","Within SLA")</f>
        <v>Within SLA</v>
      </c>
      <c r="N2450" t="str">
        <f>IF(tbl_analysis_tickets[[#This Row],[first_response_minutes]]&gt;tbl_analysis_tickets[[#This Row],[First Response SLA Minutes]],"Breached","Within SLA")</f>
        <v>Within SLA</v>
      </c>
      <c r="O2450" t="str" cm="1">
        <f t="array" ref="O2450">_xlfn.IFS(
tbl_analysis_tickets[[#This Row],[agent_experience_years]]&lt;=2,"Junior",
tbl_analysis_tickets[[#This Row],[agent_experience_years]]&lt;=5,"Mid-Level",
tbl_analysis_tickets[[#This Row],[agent_experience_years]]&lt;=8,"Senior",
tbl_analysis_tickets[[#This Row],[agent_experience_years]]&gt;8,"Expert"
)</f>
        <v>Mid-Level</v>
      </c>
      <c r="P2450" cm="1">
        <f t="array" ref="P2450">_xlfn.SWITCH(tbl_analysis_tickets[[#This Row],[customer_satisfaction]],
"Low",1,
"Medium",2,
"High",3
)</f>
        <v>2</v>
      </c>
      <c r="Q2450">
        <f>IF(tbl_analysis_tickets[[#This Row],[reopened]]="Yes",1,0)</f>
        <v>0</v>
      </c>
      <c r="R2450" t="str" cm="1">
        <f t="array" ref="R2450">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2450" t="str" cm="1">
        <f t="array" ref="S245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450" t="str">
        <f>TEXT(tbl_analysis_tickets[[#This Row],[created_date]],"mmm-yyyy")</f>
        <v>Jul-2024</v>
      </c>
      <c r="U2450" t="str">
        <f>TEXT(tbl_analysis_tickets[[#This Row],[created_date]],"dddd")</f>
        <v>Thursday</v>
      </c>
      <c r="V2450" cm="1">
        <f t="array" ref="V2450">_xlfn.SWITCH(tbl_analysis_tickets[[#This Row],[priority]],
"Urgent",1,
"High",2,
"Medium",3,
"Low",4
)</f>
        <v>4</v>
      </c>
    </row>
    <row r="2451" spans="1:22" x14ac:dyDescent="0.25">
      <c r="A2451">
        <v>2450</v>
      </c>
      <c r="B2451" s="1">
        <v>45348</v>
      </c>
      <c r="C2451" t="s">
        <v>21</v>
      </c>
      <c r="D2451" t="s">
        <v>20</v>
      </c>
      <c r="E2451">
        <v>188</v>
      </c>
      <c r="F2451">
        <v>7</v>
      </c>
      <c r="G2451">
        <v>6</v>
      </c>
      <c r="H2451" t="s">
        <v>12</v>
      </c>
      <c r="I2451" t="s">
        <v>16</v>
      </c>
      <c r="J2451" t="s">
        <v>11</v>
      </c>
      <c r="K2451">
        <f>_xlfn.XLOOKUP(tbl_analysis_tickets[[#This Row],[priority]],tbl_sla[priority],tbl_sla[Resolution SLA Hours])</f>
        <v>24</v>
      </c>
      <c r="L2451">
        <f>_xlfn.XLOOKUP(tbl_analysis_tickets[[#This Row],[priority]],tbl_sla[priority],tbl_sla[First Response SLA Minutes])</f>
        <v>60</v>
      </c>
      <c r="M2451" t="str">
        <f>IF(tbl_analysis_tickets[[#This Row],[resolution_time_hours]]&gt;tbl_analysis_tickets[[#This Row],[Resolution SLA Hours]],"Breached","Within SLA")</f>
        <v>Within SLA</v>
      </c>
      <c r="N2451" t="str">
        <f>IF(tbl_analysis_tickets[[#This Row],[first_response_minutes]]&gt;tbl_analysis_tickets[[#This Row],[First Response SLA Minutes]],"Breached","Within SLA")</f>
        <v>Breached</v>
      </c>
      <c r="O2451" t="str" cm="1">
        <f t="array" ref="O2451">_xlfn.IFS(
tbl_analysis_tickets[[#This Row],[agent_experience_years]]&lt;=2,"Junior",
tbl_analysis_tickets[[#This Row],[agent_experience_years]]&lt;=5,"Mid-Level",
tbl_analysis_tickets[[#This Row],[agent_experience_years]]&lt;=8,"Senior",
tbl_analysis_tickets[[#This Row],[agent_experience_years]]&gt;8,"Expert"
)</f>
        <v>Senior</v>
      </c>
      <c r="P2451" cm="1">
        <f t="array" ref="P2451">_xlfn.SWITCH(tbl_analysis_tickets[[#This Row],[customer_satisfaction]],
"Low",1,
"Medium",2,
"High",3
)</f>
        <v>1</v>
      </c>
      <c r="Q2451">
        <f>IF(tbl_analysis_tickets[[#This Row],[reopened]]="Yes",1,0)</f>
        <v>1</v>
      </c>
      <c r="R2451" t="str" cm="1">
        <f t="array" ref="R2451">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451" t="str" cm="1">
        <f t="array" ref="S245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2451" t="str">
        <f>TEXT(tbl_analysis_tickets[[#This Row],[created_date]],"mmm-yyyy")</f>
        <v>Feb-2024</v>
      </c>
      <c r="U2451" t="str">
        <f>TEXT(tbl_analysis_tickets[[#This Row],[created_date]],"dddd")</f>
        <v>Monday</v>
      </c>
      <c r="V2451" cm="1">
        <f t="array" ref="V2451">_xlfn.SWITCH(tbl_analysis_tickets[[#This Row],[priority]],
"Urgent",1,
"High",2,
"Medium",3,
"Low",4
)</f>
        <v>2</v>
      </c>
    </row>
    <row r="2452" spans="1:22" x14ac:dyDescent="0.25">
      <c r="A2452">
        <v>2451</v>
      </c>
      <c r="B2452" s="1">
        <v>45537</v>
      </c>
      <c r="C2452" t="s">
        <v>22</v>
      </c>
      <c r="D2452" t="s">
        <v>20</v>
      </c>
      <c r="E2452">
        <v>229</v>
      </c>
      <c r="F2452">
        <v>59</v>
      </c>
      <c r="G2452">
        <v>8</v>
      </c>
      <c r="H2452" t="s">
        <v>18</v>
      </c>
      <c r="I2452" t="s">
        <v>13</v>
      </c>
      <c r="J2452" t="s">
        <v>11</v>
      </c>
      <c r="K2452">
        <f>_xlfn.XLOOKUP(tbl_analysis_tickets[[#This Row],[priority]],tbl_sla[priority],tbl_sla[Resolution SLA Hours])</f>
        <v>24</v>
      </c>
      <c r="L2452">
        <f>_xlfn.XLOOKUP(tbl_analysis_tickets[[#This Row],[priority]],tbl_sla[priority],tbl_sla[First Response SLA Minutes])</f>
        <v>60</v>
      </c>
      <c r="M2452" t="str">
        <f>IF(tbl_analysis_tickets[[#This Row],[resolution_time_hours]]&gt;tbl_analysis_tickets[[#This Row],[Resolution SLA Hours]],"Breached","Within SLA")</f>
        <v>Breached</v>
      </c>
      <c r="N2452" t="str">
        <f>IF(tbl_analysis_tickets[[#This Row],[first_response_minutes]]&gt;tbl_analysis_tickets[[#This Row],[First Response SLA Minutes]],"Breached","Within SLA")</f>
        <v>Breached</v>
      </c>
      <c r="O2452" t="str" cm="1">
        <f t="array" ref="O2452">_xlfn.IFS(
tbl_analysis_tickets[[#This Row],[agent_experience_years]]&lt;=2,"Junior",
tbl_analysis_tickets[[#This Row],[agent_experience_years]]&lt;=5,"Mid-Level",
tbl_analysis_tickets[[#This Row],[agent_experience_years]]&lt;=8,"Senior",
tbl_analysis_tickets[[#This Row],[agent_experience_years]]&gt;8,"Expert"
)</f>
        <v>Senior</v>
      </c>
      <c r="P2452" cm="1">
        <f t="array" ref="P2452">_xlfn.SWITCH(tbl_analysis_tickets[[#This Row],[customer_satisfaction]],
"Low",1,
"Medium",2,
"High",3
)</f>
        <v>1</v>
      </c>
      <c r="Q2452">
        <f>IF(tbl_analysis_tickets[[#This Row],[reopened]]="Yes",1,0)</f>
        <v>0</v>
      </c>
      <c r="R2452" t="str" cm="1">
        <f t="array" ref="R2452">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452" t="str" cm="1">
        <f t="array" ref="S245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452" t="str">
        <f>TEXT(tbl_analysis_tickets[[#This Row],[created_date]],"mmm-yyyy")</f>
        <v>Sep-2024</v>
      </c>
      <c r="U2452" t="str">
        <f>TEXT(tbl_analysis_tickets[[#This Row],[created_date]],"dddd")</f>
        <v>Monday</v>
      </c>
      <c r="V2452" cm="1">
        <f t="array" ref="V2452">_xlfn.SWITCH(tbl_analysis_tickets[[#This Row],[priority]],
"Urgent",1,
"High",2,
"Medium",3,
"Low",4
)</f>
        <v>2</v>
      </c>
    </row>
    <row r="2453" spans="1:22" x14ac:dyDescent="0.25">
      <c r="A2453">
        <v>2452</v>
      </c>
      <c r="B2453" s="1">
        <v>45473</v>
      </c>
      <c r="C2453" t="s">
        <v>14</v>
      </c>
      <c r="D2453" t="s">
        <v>17</v>
      </c>
      <c r="E2453">
        <v>71</v>
      </c>
      <c r="F2453">
        <v>52</v>
      </c>
      <c r="G2453">
        <v>9.5</v>
      </c>
      <c r="H2453" t="s">
        <v>18</v>
      </c>
      <c r="I2453" t="s">
        <v>19</v>
      </c>
      <c r="J2453" t="s">
        <v>11</v>
      </c>
      <c r="K2453">
        <f>_xlfn.XLOOKUP(tbl_analysis_tickets[[#This Row],[priority]],tbl_sla[priority],tbl_sla[Resolution SLA Hours])</f>
        <v>8</v>
      </c>
      <c r="L2453">
        <f>_xlfn.XLOOKUP(tbl_analysis_tickets[[#This Row],[priority]],tbl_sla[priority],tbl_sla[First Response SLA Minutes])</f>
        <v>30</v>
      </c>
      <c r="M2453" t="str">
        <f>IF(tbl_analysis_tickets[[#This Row],[resolution_time_hours]]&gt;tbl_analysis_tickets[[#This Row],[Resolution SLA Hours]],"Breached","Within SLA")</f>
        <v>Breached</v>
      </c>
      <c r="N2453" t="str">
        <f>IF(tbl_analysis_tickets[[#This Row],[first_response_minutes]]&gt;tbl_analysis_tickets[[#This Row],[First Response SLA Minutes]],"Breached","Within SLA")</f>
        <v>Breached</v>
      </c>
      <c r="O2453" t="str" cm="1">
        <f t="array" ref="O2453">_xlfn.IFS(
tbl_analysis_tickets[[#This Row],[agent_experience_years]]&lt;=2,"Junior",
tbl_analysis_tickets[[#This Row],[agent_experience_years]]&lt;=5,"Mid-Level",
tbl_analysis_tickets[[#This Row],[agent_experience_years]]&lt;=8,"Senior",
tbl_analysis_tickets[[#This Row],[agent_experience_years]]&gt;8,"Expert"
)</f>
        <v>Expert</v>
      </c>
      <c r="P2453" cm="1">
        <f t="array" ref="P2453">_xlfn.SWITCH(tbl_analysis_tickets[[#This Row],[customer_satisfaction]],
"Low",1,
"Medium",2,
"High",3
)</f>
        <v>1</v>
      </c>
      <c r="Q2453">
        <f>IF(tbl_analysis_tickets[[#This Row],[reopened]]="Yes",1,0)</f>
        <v>0</v>
      </c>
      <c r="R2453" t="str" cm="1">
        <f t="array" ref="R2453">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453" t="str" cm="1">
        <f t="array" ref="S245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453" t="str">
        <f>TEXT(tbl_analysis_tickets[[#This Row],[created_date]],"mmm-yyyy")</f>
        <v>Jun-2024</v>
      </c>
      <c r="U2453" t="str">
        <f>TEXT(tbl_analysis_tickets[[#This Row],[created_date]],"dddd")</f>
        <v>Sunday</v>
      </c>
      <c r="V2453" cm="1">
        <f t="array" ref="V2453">_xlfn.SWITCH(tbl_analysis_tickets[[#This Row],[priority]],
"Urgent",1,
"High",2,
"Medium",3,
"Low",4
)</f>
        <v>1</v>
      </c>
    </row>
    <row r="2454" spans="1:22" x14ac:dyDescent="0.25">
      <c r="A2454">
        <v>2453</v>
      </c>
      <c r="B2454" s="1">
        <v>45412</v>
      </c>
      <c r="C2454" t="s">
        <v>21</v>
      </c>
      <c r="D2454" t="s">
        <v>20</v>
      </c>
      <c r="E2454">
        <v>100</v>
      </c>
      <c r="F2454">
        <v>43</v>
      </c>
      <c r="G2454">
        <v>7.9</v>
      </c>
      <c r="H2454" t="s">
        <v>18</v>
      </c>
      <c r="I2454" t="s">
        <v>13</v>
      </c>
      <c r="J2454" t="s">
        <v>11</v>
      </c>
      <c r="K2454">
        <f>_xlfn.XLOOKUP(tbl_analysis_tickets[[#This Row],[priority]],tbl_sla[priority],tbl_sla[Resolution SLA Hours])</f>
        <v>24</v>
      </c>
      <c r="L2454">
        <f>_xlfn.XLOOKUP(tbl_analysis_tickets[[#This Row],[priority]],tbl_sla[priority],tbl_sla[First Response SLA Minutes])</f>
        <v>60</v>
      </c>
      <c r="M2454" t="str">
        <f>IF(tbl_analysis_tickets[[#This Row],[resolution_time_hours]]&gt;tbl_analysis_tickets[[#This Row],[Resolution SLA Hours]],"Breached","Within SLA")</f>
        <v>Breached</v>
      </c>
      <c r="N2454" t="str">
        <f>IF(tbl_analysis_tickets[[#This Row],[first_response_minutes]]&gt;tbl_analysis_tickets[[#This Row],[First Response SLA Minutes]],"Breached","Within SLA")</f>
        <v>Breached</v>
      </c>
      <c r="O2454" t="str" cm="1">
        <f t="array" ref="O2454">_xlfn.IFS(
tbl_analysis_tickets[[#This Row],[agent_experience_years]]&lt;=2,"Junior",
tbl_analysis_tickets[[#This Row],[agent_experience_years]]&lt;=5,"Mid-Level",
tbl_analysis_tickets[[#This Row],[agent_experience_years]]&lt;=8,"Senior",
tbl_analysis_tickets[[#This Row],[agent_experience_years]]&gt;8,"Expert"
)</f>
        <v>Senior</v>
      </c>
      <c r="P2454" cm="1">
        <f t="array" ref="P2454">_xlfn.SWITCH(tbl_analysis_tickets[[#This Row],[customer_satisfaction]],
"Low",1,
"Medium",2,
"High",3
)</f>
        <v>1</v>
      </c>
      <c r="Q2454">
        <f>IF(tbl_analysis_tickets[[#This Row],[reopened]]="Yes",1,0)</f>
        <v>0</v>
      </c>
      <c r="R2454" t="str" cm="1">
        <f t="array" ref="R2454">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454" t="str" cm="1">
        <f t="array" ref="S245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454" t="str">
        <f>TEXT(tbl_analysis_tickets[[#This Row],[created_date]],"mmm-yyyy")</f>
        <v>Apr-2024</v>
      </c>
      <c r="U2454" t="str">
        <f>TEXT(tbl_analysis_tickets[[#This Row],[created_date]],"dddd")</f>
        <v>Tuesday</v>
      </c>
      <c r="V2454" cm="1">
        <f t="array" ref="V2454">_xlfn.SWITCH(tbl_analysis_tickets[[#This Row],[priority]],
"Urgent",1,
"High",2,
"Medium",3,
"Low",4
)</f>
        <v>2</v>
      </c>
    </row>
    <row r="2455" spans="1:22" x14ac:dyDescent="0.25">
      <c r="A2455">
        <v>2454</v>
      </c>
      <c r="B2455" s="1">
        <v>45526</v>
      </c>
      <c r="C2455" t="s">
        <v>22</v>
      </c>
      <c r="D2455" t="s">
        <v>17</v>
      </c>
      <c r="E2455">
        <v>190</v>
      </c>
      <c r="F2455">
        <v>33</v>
      </c>
      <c r="G2455">
        <v>7</v>
      </c>
      <c r="H2455" t="s">
        <v>18</v>
      </c>
      <c r="I2455" t="s">
        <v>19</v>
      </c>
      <c r="J2455" t="s">
        <v>11</v>
      </c>
      <c r="K2455">
        <f>_xlfn.XLOOKUP(tbl_analysis_tickets[[#This Row],[priority]],tbl_sla[priority],tbl_sla[Resolution SLA Hours])</f>
        <v>8</v>
      </c>
      <c r="L2455">
        <f>_xlfn.XLOOKUP(tbl_analysis_tickets[[#This Row],[priority]],tbl_sla[priority],tbl_sla[First Response SLA Minutes])</f>
        <v>30</v>
      </c>
      <c r="M2455" t="str">
        <f>IF(tbl_analysis_tickets[[#This Row],[resolution_time_hours]]&gt;tbl_analysis_tickets[[#This Row],[Resolution SLA Hours]],"Breached","Within SLA")</f>
        <v>Breached</v>
      </c>
      <c r="N2455" t="str">
        <f>IF(tbl_analysis_tickets[[#This Row],[first_response_minutes]]&gt;tbl_analysis_tickets[[#This Row],[First Response SLA Minutes]],"Breached","Within SLA")</f>
        <v>Breached</v>
      </c>
      <c r="O2455" t="str" cm="1">
        <f t="array" ref="O2455">_xlfn.IFS(
tbl_analysis_tickets[[#This Row],[agent_experience_years]]&lt;=2,"Junior",
tbl_analysis_tickets[[#This Row],[agent_experience_years]]&lt;=5,"Mid-Level",
tbl_analysis_tickets[[#This Row],[agent_experience_years]]&lt;=8,"Senior",
tbl_analysis_tickets[[#This Row],[agent_experience_years]]&gt;8,"Expert"
)</f>
        <v>Senior</v>
      </c>
      <c r="P2455" cm="1">
        <f t="array" ref="P2455">_xlfn.SWITCH(tbl_analysis_tickets[[#This Row],[customer_satisfaction]],
"Low",1,
"Medium",2,
"High",3
)</f>
        <v>1</v>
      </c>
      <c r="Q2455">
        <f>IF(tbl_analysis_tickets[[#This Row],[reopened]]="Yes",1,0)</f>
        <v>0</v>
      </c>
      <c r="R2455" t="str" cm="1">
        <f t="array" ref="R2455">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455" t="str" cm="1">
        <f t="array" ref="S245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455" t="str">
        <f>TEXT(tbl_analysis_tickets[[#This Row],[created_date]],"mmm-yyyy")</f>
        <v>Aug-2024</v>
      </c>
      <c r="U2455" t="str">
        <f>TEXT(tbl_analysis_tickets[[#This Row],[created_date]],"dddd")</f>
        <v>Thursday</v>
      </c>
      <c r="V2455" cm="1">
        <f t="array" ref="V2455">_xlfn.SWITCH(tbl_analysis_tickets[[#This Row],[priority]],
"Urgent",1,
"High",2,
"Medium",3,
"Low",4
)</f>
        <v>1</v>
      </c>
    </row>
    <row r="2456" spans="1:22" x14ac:dyDescent="0.25">
      <c r="A2456">
        <v>2455</v>
      </c>
      <c r="B2456" s="1">
        <v>45529</v>
      </c>
      <c r="C2456" t="s">
        <v>10</v>
      </c>
      <c r="D2456" t="s">
        <v>11</v>
      </c>
      <c r="E2456">
        <v>110</v>
      </c>
      <c r="F2456">
        <v>37</v>
      </c>
      <c r="G2456">
        <v>6.9</v>
      </c>
      <c r="H2456" t="s">
        <v>12</v>
      </c>
      <c r="I2456" t="s">
        <v>16</v>
      </c>
      <c r="J2456" t="s">
        <v>11</v>
      </c>
      <c r="K2456">
        <f>_xlfn.XLOOKUP(tbl_analysis_tickets[[#This Row],[priority]],tbl_sla[priority],tbl_sla[Resolution SLA Hours])</f>
        <v>72</v>
      </c>
      <c r="L2456">
        <f>_xlfn.XLOOKUP(tbl_analysis_tickets[[#This Row],[priority]],tbl_sla[priority],tbl_sla[First Response SLA Minutes])</f>
        <v>240</v>
      </c>
      <c r="M2456" t="str">
        <f>IF(tbl_analysis_tickets[[#This Row],[resolution_time_hours]]&gt;tbl_analysis_tickets[[#This Row],[Resolution SLA Hours]],"Breached","Within SLA")</f>
        <v>Within SLA</v>
      </c>
      <c r="N2456" t="str">
        <f>IF(tbl_analysis_tickets[[#This Row],[first_response_minutes]]&gt;tbl_analysis_tickets[[#This Row],[First Response SLA Minutes]],"Breached","Within SLA")</f>
        <v>Within SLA</v>
      </c>
      <c r="O2456" t="str" cm="1">
        <f t="array" ref="O2456">_xlfn.IFS(
tbl_analysis_tickets[[#This Row],[agent_experience_years]]&lt;=2,"Junior",
tbl_analysis_tickets[[#This Row],[agent_experience_years]]&lt;=5,"Mid-Level",
tbl_analysis_tickets[[#This Row],[agent_experience_years]]&lt;=8,"Senior",
tbl_analysis_tickets[[#This Row],[agent_experience_years]]&gt;8,"Expert"
)</f>
        <v>Senior</v>
      </c>
      <c r="P2456" cm="1">
        <f t="array" ref="P2456">_xlfn.SWITCH(tbl_analysis_tickets[[#This Row],[customer_satisfaction]],
"Low",1,
"Medium",2,
"High",3
)</f>
        <v>1</v>
      </c>
      <c r="Q2456">
        <f>IF(tbl_analysis_tickets[[#This Row],[reopened]]="Yes",1,0)</f>
        <v>1</v>
      </c>
      <c r="R2456" t="str" cm="1">
        <f t="array" ref="R2456">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456" t="str" cm="1">
        <f t="array" ref="S245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456" t="str">
        <f>TEXT(tbl_analysis_tickets[[#This Row],[created_date]],"mmm-yyyy")</f>
        <v>Aug-2024</v>
      </c>
      <c r="U2456" t="str">
        <f>TEXT(tbl_analysis_tickets[[#This Row],[created_date]],"dddd")</f>
        <v>Sunday</v>
      </c>
      <c r="V2456" cm="1">
        <f t="array" ref="V2456">_xlfn.SWITCH(tbl_analysis_tickets[[#This Row],[priority]],
"Urgent",1,
"High",2,
"Medium",3,
"Low",4
)</f>
        <v>4</v>
      </c>
    </row>
    <row r="2457" spans="1:22" x14ac:dyDescent="0.25">
      <c r="A2457">
        <v>2456</v>
      </c>
      <c r="B2457" s="1">
        <v>45382</v>
      </c>
      <c r="C2457" t="s">
        <v>14</v>
      </c>
      <c r="D2457" t="s">
        <v>20</v>
      </c>
      <c r="E2457">
        <v>213</v>
      </c>
      <c r="F2457">
        <v>39</v>
      </c>
      <c r="G2457">
        <v>6.7</v>
      </c>
      <c r="H2457" t="s">
        <v>12</v>
      </c>
      <c r="I2457" t="s">
        <v>13</v>
      </c>
      <c r="J2457" t="s">
        <v>11</v>
      </c>
      <c r="K2457">
        <f>_xlfn.XLOOKUP(tbl_analysis_tickets[[#This Row],[priority]],tbl_sla[priority],tbl_sla[Resolution SLA Hours])</f>
        <v>24</v>
      </c>
      <c r="L2457">
        <f>_xlfn.XLOOKUP(tbl_analysis_tickets[[#This Row],[priority]],tbl_sla[priority],tbl_sla[First Response SLA Minutes])</f>
        <v>60</v>
      </c>
      <c r="M2457" t="str">
        <f>IF(tbl_analysis_tickets[[#This Row],[resolution_time_hours]]&gt;tbl_analysis_tickets[[#This Row],[Resolution SLA Hours]],"Breached","Within SLA")</f>
        <v>Breached</v>
      </c>
      <c r="N2457" t="str">
        <f>IF(tbl_analysis_tickets[[#This Row],[first_response_minutes]]&gt;tbl_analysis_tickets[[#This Row],[First Response SLA Minutes]],"Breached","Within SLA")</f>
        <v>Breached</v>
      </c>
      <c r="O2457" t="str" cm="1">
        <f t="array" ref="O2457">_xlfn.IFS(
tbl_analysis_tickets[[#This Row],[agent_experience_years]]&lt;=2,"Junior",
tbl_analysis_tickets[[#This Row],[agent_experience_years]]&lt;=5,"Mid-Level",
tbl_analysis_tickets[[#This Row],[agent_experience_years]]&lt;=8,"Senior",
tbl_analysis_tickets[[#This Row],[agent_experience_years]]&gt;8,"Expert"
)</f>
        <v>Senior</v>
      </c>
      <c r="P2457" cm="1">
        <f t="array" ref="P2457">_xlfn.SWITCH(tbl_analysis_tickets[[#This Row],[customer_satisfaction]],
"Low",1,
"Medium",2,
"High",3
)</f>
        <v>1</v>
      </c>
      <c r="Q2457">
        <f>IF(tbl_analysis_tickets[[#This Row],[reopened]]="Yes",1,0)</f>
        <v>1</v>
      </c>
      <c r="R2457" t="str" cm="1">
        <f t="array" ref="R2457">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457" t="str" cm="1">
        <f t="array" ref="S245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457" t="str">
        <f>TEXT(tbl_analysis_tickets[[#This Row],[created_date]],"mmm-yyyy")</f>
        <v>Mar-2024</v>
      </c>
      <c r="U2457" t="str">
        <f>TEXT(tbl_analysis_tickets[[#This Row],[created_date]],"dddd")</f>
        <v>Sunday</v>
      </c>
      <c r="V2457" cm="1">
        <f t="array" ref="V2457">_xlfn.SWITCH(tbl_analysis_tickets[[#This Row],[priority]],
"Urgent",1,
"High",2,
"Medium",3,
"Low",4
)</f>
        <v>2</v>
      </c>
    </row>
    <row r="2458" spans="1:22" x14ac:dyDescent="0.25">
      <c r="A2458">
        <v>2457</v>
      </c>
      <c r="B2458" s="1">
        <v>45329</v>
      </c>
      <c r="C2458" t="s">
        <v>10</v>
      </c>
      <c r="D2458" t="s">
        <v>15</v>
      </c>
      <c r="E2458">
        <v>144</v>
      </c>
      <c r="F2458">
        <v>24</v>
      </c>
      <c r="G2458">
        <v>1.2</v>
      </c>
      <c r="H2458" t="s">
        <v>18</v>
      </c>
      <c r="I2458" t="s">
        <v>13</v>
      </c>
      <c r="J2458" t="s">
        <v>11</v>
      </c>
      <c r="K2458">
        <f>_xlfn.XLOOKUP(tbl_analysis_tickets[[#This Row],[priority]],tbl_sla[priority],tbl_sla[Resolution SLA Hours])</f>
        <v>48</v>
      </c>
      <c r="L2458">
        <f>_xlfn.XLOOKUP(tbl_analysis_tickets[[#This Row],[priority]],tbl_sla[priority],tbl_sla[First Response SLA Minutes])</f>
        <v>120</v>
      </c>
      <c r="M2458" t="str">
        <f>IF(tbl_analysis_tickets[[#This Row],[resolution_time_hours]]&gt;tbl_analysis_tickets[[#This Row],[Resolution SLA Hours]],"Breached","Within SLA")</f>
        <v>Within SLA</v>
      </c>
      <c r="N2458" t="str">
        <f>IF(tbl_analysis_tickets[[#This Row],[first_response_minutes]]&gt;tbl_analysis_tickets[[#This Row],[First Response SLA Minutes]],"Breached","Within SLA")</f>
        <v>Breached</v>
      </c>
      <c r="O2458" t="str" cm="1">
        <f t="array" ref="O2458">_xlfn.IFS(
tbl_analysis_tickets[[#This Row],[agent_experience_years]]&lt;=2,"Junior",
tbl_analysis_tickets[[#This Row],[agent_experience_years]]&lt;=5,"Mid-Level",
tbl_analysis_tickets[[#This Row],[agent_experience_years]]&lt;=8,"Senior",
tbl_analysis_tickets[[#This Row],[agent_experience_years]]&gt;8,"Expert"
)</f>
        <v>Junior</v>
      </c>
      <c r="P2458" cm="1">
        <f t="array" ref="P2458">_xlfn.SWITCH(tbl_analysis_tickets[[#This Row],[customer_satisfaction]],
"Low",1,
"Medium",2,
"High",3
)</f>
        <v>1</v>
      </c>
      <c r="Q2458">
        <f>IF(tbl_analysis_tickets[[#This Row],[reopened]]="Yes",1,0)</f>
        <v>0</v>
      </c>
      <c r="R2458" t="str" cm="1">
        <f t="array" ref="R2458">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458" t="str" cm="1">
        <f t="array" ref="S245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458" t="str">
        <f>TEXT(tbl_analysis_tickets[[#This Row],[created_date]],"mmm-yyyy")</f>
        <v>Feb-2024</v>
      </c>
      <c r="U2458" t="str">
        <f>TEXT(tbl_analysis_tickets[[#This Row],[created_date]],"dddd")</f>
        <v>Wednesday</v>
      </c>
      <c r="V2458" cm="1">
        <f t="array" ref="V2458">_xlfn.SWITCH(tbl_analysis_tickets[[#This Row],[priority]],
"Urgent",1,
"High",2,
"Medium",3,
"Low",4
)</f>
        <v>3</v>
      </c>
    </row>
    <row r="2459" spans="1:22" x14ac:dyDescent="0.25">
      <c r="A2459">
        <v>2458</v>
      </c>
      <c r="B2459" s="1">
        <v>45527</v>
      </c>
      <c r="C2459" t="s">
        <v>14</v>
      </c>
      <c r="D2459" t="s">
        <v>15</v>
      </c>
      <c r="E2459">
        <v>43</v>
      </c>
      <c r="F2459">
        <v>5</v>
      </c>
      <c r="G2459">
        <v>4.5</v>
      </c>
      <c r="H2459" t="s">
        <v>12</v>
      </c>
      <c r="I2459" t="s">
        <v>19</v>
      </c>
      <c r="J2459" t="s">
        <v>15</v>
      </c>
      <c r="K2459">
        <f>_xlfn.XLOOKUP(tbl_analysis_tickets[[#This Row],[priority]],tbl_sla[priority],tbl_sla[Resolution SLA Hours])</f>
        <v>48</v>
      </c>
      <c r="L2459">
        <f>_xlfn.XLOOKUP(tbl_analysis_tickets[[#This Row],[priority]],tbl_sla[priority],tbl_sla[First Response SLA Minutes])</f>
        <v>120</v>
      </c>
      <c r="M2459" t="str">
        <f>IF(tbl_analysis_tickets[[#This Row],[resolution_time_hours]]&gt;tbl_analysis_tickets[[#This Row],[Resolution SLA Hours]],"Breached","Within SLA")</f>
        <v>Within SLA</v>
      </c>
      <c r="N2459" t="str">
        <f>IF(tbl_analysis_tickets[[#This Row],[first_response_minutes]]&gt;tbl_analysis_tickets[[#This Row],[First Response SLA Minutes]],"Breached","Within SLA")</f>
        <v>Within SLA</v>
      </c>
      <c r="O2459" t="str" cm="1">
        <f t="array" ref="O2459">_xlfn.IFS(
tbl_analysis_tickets[[#This Row],[agent_experience_years]]&lt;=2,"Junior",
tbl_analysis_tickets[[#This Row],[agent_experience_years]]&lt;=5,"Mid-Level",
tbl_analysis_tickets[[#This Row],[agent_experience_years]]&lt;=8,"Senior",
tbl_analysis_tickets[[#This Row],[agent_experience_years]]&gt;8,"Expert"
)</f>
        <v>Mid-Level</v>
      </c>
      <c r="P2459" cm="1">
        <f t="array" ref="P2459">_xlfn.SWITCH(tbl_analysis_tickets[[#This Row],[customer_satisfaction]],
"Low",1,
"Medium",2,
"High",3
)</f>
        <v>2</v>
      </c>
      <c r="Q2459">
        <f>IF(tbl_analysis_tickets[[#This Row],[reopened]]="Yes",1,0)</f>
        <v>1</v>
      </c>
      <c r="R2459" t="str" cm="1">
        <f t="array" ref="R2459">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459" t="str" cm="1">
        <f t="array" ref="S245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2459" t="str">
        <f>TEXT(tbl_analysis_tickets[[#This Row],[created_date]],"mmm-yyyy")</f>
        <v>Aug-2024</v>
      </c>
      <c r="U2459" t="str">
        <f>TEXT(tbl_analysis_tickets[[#This Row],[created_date]],"dddd")</f>
        <v>Friday</v>
      </c>
      <c r="V2459" cm="1">
        <f t="array" ref="V2459">_xlfn.SWITCH(tbl_analysis_tickets[[#This Row],[priority]],
"Urgent",1,
"High",2,
"Medium",3,
"Low",4
)</f>
        <v>3</v>
      </c>
    </row>
    <row r="2460" spans="1:22" x14ac:dyDescent="0.25">
      <c r="A2460">
        <v>2459</v>
      </c>
      <c r="B2460" s="1">
        <v>45509</v>
      </c>
      <c r="C2460" t="s">
        <v>22</v>
      </c>
      <c r="D2460" t="s">
        <v>11</v>
      </c>
      <c r="E2460">
        <v>96</v>
      </c>
      <c r="F2460">
        <v>26</v>
      </c>
      <c r="G2460">
        <v>3</v>
      </c>
      <c r="H2460" t="s">
        <v>12</v>
      </c>
      <c r="I2460" t="s">
        <v>13</v>
      </c>
      <c r="J2460" t="s">
        <v>11</v>
      </c>
      <c r="K2460">
        <f>_xlfn.XLOOKUP(tbl_analysis_tickets[[#This Row],[priority]],tbl_sla[priority],tbl_sla[Resolution SLA Hours])</f>
        <v>72</v>
      </c>
      <c r="L2460">
        <f>_xlfn.XLOOKUP(tbl_analysis_tickets[[#This Row],[priority]],tbl_sla[priority],tbl_sla[First Response SLA Minutes])</f>
        <v>240</v>
      </c>
      <c r="M2460" t="str">
        <f>IF(tbl_analysis_tickets[[#This Row],[resolution_time_hours]]&gt;tbl_analysis_tickets[[#This Row],[Resolution SLA Hours]],"Breached","Within SLA")</f>
        <v>Within SLA</v>
      </c>
      <c r="N2460" t="str">
        <f>IF(tbl_analysis_tickets[[#This Row],[first_response_minutes]]&gt;tbl_analysis_tickets[[#This Row],[First Response SLA Minutes]],"Breached","Within SLA")</f>
        <v>Within SLA</v>
      </c>
      <c r="O2460" t="str" cm="1">
        <f t="array" ref="O2460">_xlfn.IFS(
tbl_analysis_tickets[[#This Row],[agent_experience_years]]&lt;=2,"Junior",
tbl_analysis_tickets[[#This Row],[agent_experience_years]]&lt;=5,"Mid-Level",
tbl_analysis_tickets[[#This Row],[agent_experience_years]]&lt;=8,"Senior",
tbl_analysis_tickets[[#This Row],[agent_experience_years]]&gt;8,"Expert"
)</f>
        <v>Mid-Level</v>
      </c>
      <c r="P2460" cm="1">
        <f t="array" ref="P2460">_xlfn.SWITCH(tbl_analysis_tickets[[#This Row],[customer_satisfaction]],
"Low",1,
"Medium",2,
"High",3
)</f>
        <v>1</v>
      </c>
      <c r="Q2460">
        <f>IF(tbl_analysis_tickets[[#This Row],[reopened]]="Yes",1,0)</f>
        <v>1</v>
      </c>
      <c r="R2460" t="str" cm="1">
        <f t="array" ref="R2460">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460" t="str" cm="1">
        <f t="array" ref="S246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460" t="str">
        <f>TEXT(tbl_analysis_tickets[[#This Row],[created_date]],"mmm-yyyy")</f>
        <v>Aug-2024</v>
      </c>
      <c r="U2460" t="str">
        <f>TEXT(tbl_analysis_tickets[[#This Row],[created_date]],"dddd")</f>
        <v>Monday</v>
      </c>
      <c r="V2460" cm="1">
        <f t="array" ref="V2460">_xlfn.SWITCH(tbl_analysis_tickets[[#This Row],[priority]],
"Urgent",1,
"High",2,
"Medium",3,
"Low",4
)</f>
        <v>4</v>
      </c>
    </row>
    <row r="2461" spans="1:22" x14ac:dyDescent="0.25">
      <c r="A2461">
        <v>2460</v>
      </c>
      <c r="B2461" s="1">
        <v>45444</v>
      </c>
      <c r="C2461" t="s">
        <v>14</v>
      </c>
      <c r="D2461" t="s">
        <v>17</v>
      </c>
      <c r="E2461">
        <v>218</v>
      </c>
      <c r="F2461">
        <v>72</v>
      </c>
      <c r="G2461">
        <v>8.3000000000000007</v>
      </c>
      <c r="H2461" t="s">
        <v>12</v>
      </c>
      <c r="I2461" t="s">
        <v>16</v>
      </c>
      <c r="J2461" t="s">
        <v>11</v>
      </c>
      <c r="K2461">
        <f>_xlfn.XLOOKUP(tbl_analysis_tickets[[#This Row],[priority]],tbl_sla[priority],tbl_sla[Resolution SLA Hours])</f>
        <v>8</v>
      </c>
      <c r="L2461">
        <f>_xlfn.XLOOKUP(tbl_analysis_tickets[[#This Row],[priority]],tbl_sla[priority],tbl_sla[First Response SLA Minutes])</f>
        <v>30</v>
      </c>
      <c r="M2461" t="str">
        <f>IF(tbl_analysis_tickets[[#This Row],[resolution_time_hours]]&gt;tbl_analysis_tickets[[#This Row],[Resolution SLA Hours]],"Breached","Within SLA")</f>
        <v>Breached</v>
      </c>
      <c r="N2461" t="str">
        <f>IF(tbl_analysis_tickets[[#This Row],[first_response_minutes]]&gt;tbl_analysis_tickets[[#This Row],[First Response SLA Minutes]],"Breached","Within SLA")</f>
        <v>Breached</v>
      </c>
      <c r="O2461" t="str" cm="1">
        <f t="array" ref="O2461">_xlfn.IFS(
tbl_analysis_tickets[[#This Row],[agent_experience_years]]&lt;=2,"Junior",
tbl_analysis_tickets[[#This Row],[agent_experience_years]]&lt;=5,"Mid-Level",
tbl_analysis_tickets[[#This Row],[agent_experience_years]]&lt;=8,"Senior",
tbl_analysis_tickets[[#This Row],[agent_experience_years]]&gt;8,"Expert"
)</f>
        <v>Expert</v>
      </c>
      <c r="P2461" cm="1">
        <f t="array" ref="P2461">_xlfn.SWITCH(tbl_analysis_tickets[[#This Row],[customer_satisfaction]],
"Low",1,
"Medium",2,
"High",3
)</f>
        <v>1</v>
      </c>
      <c r="Q2461">
        <f>IF(tbl_analysis_tickets[[#This Row],[reopened]]="Yes",1,0)</f>
        <v>1</v>
      </c>
      <c r="R2461" t="str" cm="1">
        <f t="array" ref="R2461">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461" t="str" cm="1">
        <f t="array" ref="S246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461" t="str">
        <f>TEXT(tbl_analysis_tickets[[#This Row],[created_date]],"mmm-yyyy")</f>
        <v>Jun-2024</v>
      </c>
      <c r="U2461" t="str">
        <f>TEXT(tbl_analysis_tickets[[#This Row],[created_date]],"dddd")</f>
        <v>Saturday</v>
      </c>
      <c r="V2461" cm="1">
        <f t="array" ref="V2461">_xlfn.SWITCH(tbl_analysis_tickets[[#This Row],[priority]],
"Urgent",1,
"High",2,
"Medium",3,
"Low",4
)</f>
        <v>1</v>
      </c>
    </row>
    <row r="2462" spans="1:22" x14ac:dyDescent="0.25">
      <c r="A2462">
        <v>2461</v>
      </c>
      <c r="B2462" s="1">
        <v>45358</v>
      </c>
      <c r="C2462" t="s">
        <v>14</v>
      </c>
      <c r="D2462" t="s">
        <v>15</v>
      </c>
      <c r="E2462">
        <v>152</v>
      </c>
      <c r="F2462">
        <v>6</v>
      </c>
      <c r="G2462">
        <v>6.7</v>
      </c>
      <c r="H2462" t="s">
        <v>18</v>
      </c>
      <c r="I2462" t="s">
        <v>16</v>
      </c>
      <c r="J2462" t="s">
        <v>20</v>
      </c>
      <c r="K2462">
        <f>_xlfn.XLOOKUP(tbl_analysis_tickets[[#This Row],[priority]],tbl_sla[priority],tbl_sla[Resolution SLA Hours])</f>
        <v>48</v>
      </c>
      <c r="L2462">
        <f>_xlfn.XLOOKUP(tbl_analysis_tickets[[#This Row],[priority]],tbl_sla[priority],tbl_sla[First Response SLA Minutes])</f>
        <v>120</v>
      </c>
      <c r="M2462" t="str">
        <f>IF(tbl_analysis_tickets[[#This Row],[resolution_time_hours]]&gt;tbl_analysis_tickets[[#This Row],[Resolution SLA Hours]],"Breached","Within SLA")</f>
        <v>Within SLA</v>
      </c>
      <c r="N2462" t="str">
        <f>IF(tbl_analysis_tickets[[#This Row],[first_response_minutes]]&gt;tbl_analysis_tickets[[#This Row],[First Response SLA Minutes]],"Breached","Within SLA")</f>
        <v>Breached</v>
      </c>
      <c r="O2462" t="str" cm="1">
        <f t="array" ref="O2462">_xlfn.IFS(
tbl_analysis_tickets[[#This Row],[agent_experience_years]]&lt;=2,"Junior",
tbl_analysis_tickets[[#This Row],[agent_experience_years]]&lt;=5,"Mid-Level",
tbl_analysis_tickets[[#This Row],[agent_experience_years]]&lt;=8,"Senior",
tbl_analysis_tickets[[#This Row],[agent_experience_years]]&gt;8,"Expert"
)</f>
        <v>Senior</v>
      </c>
      <c r="P2462" cm="1">
        <f t="array" ref="P2462">_xlfn.SWITCH(tbl_analysis_tickets[[#This Row],[customer_satisfaction]],
"Low",1,
"Medium",2,
"High",3
)</f>
        <v>3</v>
      </c>
      <c r="Q2462">
        <f>IF(tbl_analysis_tickets[[#This Row],[reopened]]="Yes",1,0)</f>
        <v>0</v>
      </c>
      <c r="R2462" t="str" cm="1">
        <f t="array" ref="R2462">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462" t="str" cm="1">
        <f t="array" ref="S246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2462" t="str">
        <f>TEXT(tbl_analysis_tickets[[#This Row],[created_date]],"mmm-yyyy")</f>
        <v>Mar-2024</v>
      </c>
      <c r="U2462" t="str">
        <f>TEXT(tbl_analysis_tickets[[#This Row],[created_date]],"dddd")</f>
        <v>Thursday</v>
      </c>
      <c r="V2462" cm="1">
        <f t="array" ref="V2462">_xlfn.SWITCH(tbl_analysis_tickets[[#This Row],[priority]],
"Urgent",1,
"High",2,
"Medium",3,
"Low",4
)</f>
        <v>3</v>
      </c>
    </row>
    <row r="2463" spans="1:22" x14ac:dyDescent="0.25">
      <c r="A2463">
        <v>2462</v>
      </c>
      <c r="B2463" s="1">
        <v>45583</v>
      </c>
      <c r="C2463" t="s">
        <v>23</v>
      </c>
      <c r="D2463" t="s">
        <v>20</v>
      </c>
      <c r="E2463">
        <v>176</v>
      </c>
      <c r="F2463">
        <v>17</v>
      </c>
      <c r="G2463">
        <v>6.8</v>
      </c>
      <c r="H2463" t="s">
        <v>18</v>
      </c>
      <c r="I2463" t="s">
        <v>13</v>
      </c>
      <c r="J2463" t="s">
        <v>11</v>
      </c>
      <c r="K2463">
        <f>_xlfn.XLOOKUP(tbl_analysis_tickets[[#This Row],[priority]],tbl_sla[priority],tbl_sla[Resolution SLA Hours])</f>
        <v>24</v>
      </c>
      <c r="L2463">
        <f>_xlfn.XLOOKUP(tbl_analysis_tickets[[#This Row],[priority]],tbl_sla[priority],tbl_sla[First Response SLA Minutes])</f>
        <v>60</v>
      </c>
      <c r="M2463" t="str">
        <f>IF(tbl_analysis_tickets[[#This Row],[resolution_time_hours]]&gt;tbl_analysis_tickets[[#This Row],[Resolution SLA Hours]],"Breached","Within SLA")</f>
        <v>Within SLA</v>
      </c>
      <c r="N2463" t="str">
        <f>IF(tbl_analysis_tickets[[#This Row],[first_response_minutes]]&gt;tbl_analysis_tickets[[#This Row],[First Response SLA Minutes]],"Breached","Within SLA")</f>
        <v>Breached</v>
      </c>
      <c r="O2463" t="str" cm="1">
        <f t="array" ref="O2463">_xlfn.IFS(
tbl_analysis_tickets[[#This Row],[agent_experience_years]]&lt;=2,"Junior",
tbl_analysis_tickets[[#This Row],[agent_experience_years]]&lt;=5,"Mid-Level",
tbl_analysis_tickets[[#This Row],[agent_experience_years]]&lt;=8,"Senior",
tbl_analysis_tickets[[#This Row],[agent_experience_years]]&gt;8,"Expert"
)</f>
        <v>Senior</v>
      </c>
      <c r="P2463" cm="1">
        <f t="array" ref="P2463">_xlfn.SWITCH(tbl_analysis_tickets[[#This Row],[customer_satisfaction]],
"Low",1,
"Medium",2,
"High",3
)</f>
        <v>1</v>
      </c>
      <c r="Q2463">
        <f>IF(tbl_analysis_tickets[[#This Row],[reopened]]="Yes",1,0)</f>
        <v>0</v>
      </c>
      <c r="R2463" t="str" cm="1">
        <f t="array" ref="R2463">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463" t="str" cm="1">
        <f t="array" ref="S246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463" t="str">
        <f>TEXT(tbl_analysis_tickets[[#This Row],[created_date]],"mmm-yyyy")</f>
        <v>Oct-2024</v>
      </c>
      <c r="U2463" t="str">
        <f>TEXT(tbl_analysis_tickets[[#This Row],[created_date]],"dddd")</f>
        <v>Friday</v>
      </c>
      <c r="V2463" cm="1">
        <f t="array" ref="V2463">_xlfn.SWITCH(tbl_analysis_tickets[[#This Row],[priority]],
"Urgent",1,
"High",2,
"Medium",3,
"Low",4
)</f>
        <v>2</v>
      </c>
    </row>
    <row r="2464" spans="1:22" x14ac:dyDescent="0.25">
      <c r="A2464">
        <v>2463</v>
      </c>
      <c r="B2464" s="1">
        <v>45571</v>
      </c>
      <c r="C2464" t="s">
        <v>10</v>
      </c>
      <c r="D2464" t="s">
        <v>20</v>
      </c>
      <c r="E2464">
        <v>198</v>
      </c>
      <c r="F2464">
        <v>37</v>
      </c>
      <c r="G2464">
        <v>8.1</v>
      </c>
      <c r="H2464" t="s">
        <v>18</v>
      </c>
      <c r="I2464" t="s">
        <v>13</v>
      </c>
      <c r="J2464" t="s">
        <v>11</v>
      </c>
      <c r="K2464">
        <f>_xlfn.XLOOKUP(tbl_analysis_tickets[[#This Row],[priority]],tbl_sla[priority],tbl_sla[Resolution SLA Hours])</f>
        <v>24</v>
      </c>
      <c r="L2464">
        <f>_xlfn.XLOOKUP(tbl_analysis_tickets[[#This Row],[priority]],tbl_sla[priority],tbl_sla[First Response SLA Minutes])</f>
        <v>60</v>
      </c>
      <c r="M2464" t="str">
        <f>IF(tbl_analysis_tickets[[#This Row],[resolution_time_hours]]&gt;tbl_analysis_tickets[[#This Row],[Resolution SLA Hours]],"Breached","Within SLA")</f>
        <v>Breached</v>
      </c>
      <c r="N2464" t="str">
        <f>IF(tbl_analysis_tickets[[#This Row],[first_response_minutes]]&gt;tbl_analysis_tickets[[#This Row],[First Response SLA Minutes]],"Breached","Within SLA")</f>
        <v>Breached</v>
      </c>
      <c r="O2464" t="str" cm="1">
        <f t="array" ref="O2464">_xlfn.IFS(
tbl_analysis_tickets[[#This Row],[agent_experience_years]]&lt;=2,"Junior",
tbl_analysis_tickets[[#This Row],[agent_experience_years]]&lt;=5,"Mid-Level",
tbl_analysis_tickets[[#This Row],[agent_experience_years]]&lt;=8,"Senior",
tbl_analysis_tickets[[#This Row],[agent_experience_years]]&gt;8,"Expert"
)</f>
        <v>Expert</v>
      </c>
      <c r="P2464" cm="1">
        <f t="array" ref="P2464">_xlfn.SWITCH(tbl_analysis_tickets[[#This Row],[customer_satisfaction]],
"Low",1,
"Medium",2,
"High",3
)</f>
        <v>1</v>
      </c>
      <c r="Q2464">
        <f>IF(tbl_analysis_tickets[[#This Row],[reopened]]="Yes",1,0)</f>
        <v>0</v>
      </c>
      <c r="R2464" t="str" cm="1">
        <f t="array" ref="R2464">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464" t="str" cm="1">
        <f t="array" ref="S246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464" t="str">
        <f>TEXT(tbl_analysis_tickets[[#This Row],[created_date]],"mmm-yyyy")</f>
        <v>Oct-2024</v>
      </c>
      <c r="U2464" t="str">
        <f>TEXT(tbl_analysis_tickets[[#This Row],[created_date]],"dddd")</f>
        <v>Sunday</v>
      </c>
      <c r="V2464" cm="1">
        <f t="array" ref="V2464">_xlfn.SWITCH(tbl_analysis_tickets[[#This Row],[priority]],
"Urgent",1,
"High",2,
"Medium",3,
"Low",4
)</f>
        <v>2</v>
      </c>
    </row>
    <row r="2465" spans="1:22" x14ac:dyDescent="0.25">
      <c r="A2465">
        <v>2464</v>
      </c>
      <c r="B2465" s="1">
        <v>45323</v>
      </c>
      <c r="C2465" t="s">
        <v>10</v>
      </c>
      <c r="D2465" t="s">
        <v>17</v>
      </c>
      <c r="E2465">
        <v>74</v>
      </c>
      <c r="F2465">
        <v>66</v>
      </c>
      <c r="G2465">
        <v>4.0999999999999996</v>
      </c>
      <c r="H2465" t="s">
        <v>18</v>
      </c>
      <c r="I2465" t="s">
        <v>16</v>
      </c>
      <c r="J2465" t="s">
        <v>11</v>
      </c>
      <c r="K2465">
        <f>_xlfn.XLOOKUP(tbl_analysis_tickets[[#This Row],[priority]],tbl_sla[priority],tbl_sla[Resolution SLA Hours])</f>
        <v>8</v>
      </c>
      <c r="L2465">
        <f>_xlfn.XLOOKUP(tbl_analysis_tickets[[#This Row],[priority]],tbl_sla[priority],tbl_sla[First Response SLA Minutes])</f>
        <v>30</v>
      </c>
      <c r="M2465" t="str">
        <f>IF(tbl_analysis_tickets[[#This Row],[resolution_time_hours]]&gt;tbl_analysis_tickets[[#This Row],[Resolution SLA Hours]],"Breached","Within SLA")</f>
        <v>Breached</v>
      </c>
      <c r="N2465" t="str">
        <f>IF(tbl_analysis_tickets[[#This Row],[first_response_minutes]]&gt;tbl_analysis_tickets[[#This Row],[First Response SLA Minutes]],"Breached","Within SLA")</f>
        <v>Breached</v>
      </c>
      <c r="O2465" t="str" cm="1">
        <f t="array" ref="O2465">_xlfn.IFS(
tbl_analysis_tickets[[#This Row],[agent_experience_years]]&lt;=2,"Junior",
tbl_analysis_tickets[[#This Row],[agent_experience_years]]&lt;=5,"Mid-Level",
tbl_analysis_tickets[[#This Row],[agent_experience_years]]&lt;=8,"Senior",
tbl_analysis_tickets[[#This Row],[agent_experience_years]]&gt;8,"Expert"
)</f>
        <v>Mid-Level</v>
      </c>
      <c r="P2465" cm="1">
        <f t="array" ref="P2465">_xlfn.SWITCH(tbl_analysis_tickets[[#This Row],[customer_satisfaction]],
"Low",1,
"Medium",2,
"High",3
)</f>
        <v>1</v>
      </c>
      <c r="Q2465">
        <f>IF(tbl_analysis_tickets[[#This Row],[reopened]]="Yes",1,0)</f>
        <v>0</v>
      </c>
      <c r="R2465" t="str" cm="1">
        <f t="array" ref="R2465">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465" t="str" cm="1">
        <f t="array" ref="S246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465" t="str">
        <f>TEXT(tbl_analysis_tickets[[#This Row],[created_date]],"mmm-yyyy")</f>
        <v>Feb-2024</v>
      </c>
      <c r="U2465" t="str">
        <f>TEXT(tbl_analysis_tickets[[#This Row],[created_date]],"dddd")</f>
        <v>Thursday</v>
      </c>
      <c r="V2465" cm="1">
        <f t="array" ref="V2465">_xlfn.SWITCH(tbl_analysis_tickets[[#This Row],[priority]],
"Urgent",1,
"High",2,
"Medium",3,
"Low",4
)</f>
        <v>1</v>
      </c>
    </row>
    <row r="2466" spans="1:22" x14ac:dyDescent="0.25">
      <c r="A2466">
        <v>2465</v>
      </c>
      <c r="B2466" s="1">
        <v>45449</v>
      </c>
      <c r="C2466" t="s">
        <v>14</v>
      </c>
      <c r="D2466" t="s">
        <v>17</v>
      </c>
      <c r="E2466">
        <v>224</v>
      </c>
      <c r="F2466">
        <v>52</v>
      </c>
      <c r="G2466">
        <v>8</v>
      </c>
      <c r="H2466" t="s">
        <v>12</v>
      </c>
      <c r="I2466" t="s">
        <v>16</v>
      </c>
      <c r="J2466" t="s">
        <v>11</v>
      </c>
      <c r="K2466">
        <f>_xlfn.XLOOKUP(tbl_analysis_tickets[[#This Row],[priority]],tbl_sla[priority],tbl_sla[Resolution SLA Hours])</f>
        <v>8</v>
      </c>
      <c r="L2466">
        <f>_xlfn.XLOOKUP(tbl_analysis_tickets[[#This Row],[priority]],tbl_sla[priority],tbl_sla[First Response SLA Minutes])</f>
        <v>30</v>
      </c>
      <c r="M2466" t="str">
        <f>IF(tbl_analysis_tickets[[#This Row],[resolution_time_hours]]&gt;tbl_analysis_tickets[[#This Row],[Resolution SLA Hours]],"Breached","Within SLA")</f>
        <v>Breached</v>
      </c>
      <c r="N2466" t="str">
        <f>IF(tbl_analysis_tickets[[#This Row],[first_response_minutes]]&gt;tbl_analysis_tickets[[#This Row],[First Response SLA Minutes]],"Breached","Within SLA")</f>
        <v>Breached</v>
      </c>
      <c r="O2466" t="str" cm="1">
        <f t="array" ref="O2466">_xlfn.IFS(
tbl_analysis_tickets[[#This Row],[agent_experience_years]]&lt;=2,"Junior",
tbl_analysis_tickets[[#This Row],[agent_experience_years]]&lt;=5,"Mid-Level",
tbl_analysis_tickets[[#This Row],[agent_experience_years]]&lt;=8,"Senior",
tbl_analysis_tickets[[#This Row],[agent_experience_years]]&gt;8,"Expert"
)</f>
        <v>Senior</v>
      </c>
      <c r="P2466" cm="1">
        <f t="array" ref="P2466">_xlfn.SWITCH(tbl_analysis_tickets[[#This Row],[customer_satisfaction]],
"Low",1,
"Medium",2,
"High",3
)</f>
        <v>1</v>
      </c>
      <c r="Q2466">
        <f>IF(tbl_analysis_tickets[[#This Row],[reopened]]="Yes",1,0)</f>
        <v>1</v>
      </c>
      <c r="R2466" t="str" cm="1">
        <f t="array" ref="R2466">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466" t="str" cm="1">
        <f t="array" ref="S246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466" t="str">
        <f>TEXT(tbl_analysis_tickets[[#This Row],[created_date]],"mmm-yyyy")</f>
        <v>Jun-2024</v>
      </c>
      <c r="U2466" t="str">
        <f>TEXT(tbl_analysis_tickets[[#This Row],[created_date]],"dddd")</f>
        <v>Thursday</v>
      </c>
      <c r="V2466" cm="1">
        <f t="array" ref="V2466">_xlfn.SWITCH(tbl_analysis_tickets[[#This Row],[priority]],
"Urgent",1,
"High",2,
"Medium",3,
"Low",4
)</f>
        <v>1</v>
      </c>
    </row>
    <row r="2467" spans="1:22" x14ac:dyDescent="0.25">
      <c r="A2467">
        <v>2466</v>
      </c>
      <c r="B2467" s="1">
        <v>45395</v>
      </c>
      <c r="C2467" t="s">
        <v>14</v>
      </c>
      <c r="D2467" t="s">
        <v>15</v>
      </c>
      <c r="E2467">
        <v>107</v>
      </c>
      <c r="F2467">
        <v>10</v>
      </c>
      <c r="G2467">
        <v>8.5</v>
      </c>
      <c r="H2467" t="s">
        <v>18</v>
      </c>
      <c r="I2467" t="s">
        <v>19</v>
      </c>
      <c r="J2467" t="s">
        <v>15</v>
      </c>
      <c r="K2467">
        <f>_xlfn.XLOOKUP(tbl_analysis_tickets[[#This Row],[priority]],tbl_sla[priority],tbl_sla[Resolution SLA Hours])</f>
        <v>48</v>
      </c>
      <c r="L2467">
        <f>_xlfn.XLOOKUP(tbl_analysis_tickets[[#This Row],[priority]],tbl_sla[priority],tbl_sla[First Response SLA Minutes])</f>
        <v>120</v>
      </c>
      <c r="M2467" t="str">
        <f>IF(tbl_analysis_tickets[[#This Row],[resolution_time_hours]]&gt;tbl_analysis_tickets[[#This Row],[Resolution SLA Hours]],"Breached","Within SLA")</f>
        <v>Within SLA</v>
      </c>
      <c r="N2467" t="str">
        <f>IF(tbl_analysis_tickets[[#This Row],[first_response_minutes]]&gt;tbl_analysis_tickets[[#This Row],[First Response SLA Minutes]],"Breached","Within SLA")</f>
        <v>Within SLA</v>
      </c>
      <c r="O2467" t="str" cm="1">
        <f t="array" ref="O2467">_xlfn.IFS(
tbl_analysis_tickets[[#This Row],[agent_experience_years]]&lt;=2,"Junior",
tbl_analysis_tickets[[#This Row],[agent_experience_years]]&lt;=5,"Mid-Level",
tbl_analysis_tickets[[#This Row],[agent_experience_years]]&lt;=8,"Senior",
tbl_analysis_tickets[[#This Row],[agent_experience_years]]&gt;8,"Expert"
)</f>
        <v>Expert</v>
      </c>
      <c r="P2467" cm="1">
        <f t="array" ref="P2467">_xlfn.SWITCH(tbl_analysis_tickets[[#This Row],[customer_satisfaction]],
"Low",1,
"Medium",2,
"High",3
)</f>
        <v>2</v>
      </c>
      <c r="Q2467">
        <f>IF(tbl_analysis_tickets[[#This Row],[reopened]]="Yes",1,0)</f>
        <v>0</v>
      </c>
      <c r="R2467" t="str" cm="1">
        <f t="array" ref="R2467">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467" t="str" cm="1">
        <f t="array" ref="S246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467" t="str">
        <f>TEXT(tbl_analysis_tickets[[#This Row],[created_date]],"mmm-yyyy")</f>
        <v>Apr-2024</v>
      </c>
      <c r="U2467" t="str">
        <f>TEXT(tbl_analysis_tickets[[#This Row],[created_date]],"dddd")</f>
        <v>Saturday</v>
      </c>
      <c r="V2467" cm="1">
        <f t="array" ref="V2467">_xlfn.SWITCH(tbl_analysis_tickets[[#This Row],[priority]],
"Urgent",1,
"High",2,
"Medium",3,
"Low",4
)</f>
        <v>3</v>
      </c>
    </row>
    <row r="2468" spans="1:22" x14ac:dyDescent="0.25">
      <c r="A2468">
        <v>2467</v>
      </c>
      <c r="B2468" s="1">
        <v>45587</v>
      </c>
      <c r="C2468" t="s">
        <v>14</v>
      </c>
      <c r="D2468" t="s">
        <v>11</v>
      </c>
      <c r="E2468">
        <v>199</v>
      </c>
      <c r="F2468">
        <v>65</v>
      </c>
      <c r="G2468">
        <v>7.6</v>
      </c>
      <c r="H2468" t="s">
        <v>12</v>
      </c>
      <c r="I2468" t="s">
        <v>13</v>
      </c>
      <c r="J2468" t="s">
        <v>11</v>
      </c>
      <c r="K2468">
        <f>_xlfn.XLOOKUP(tbl_analysis_tickets[[#This Row],[priority]],tbl_sla[priority],tbl_sla[Resolution SLA Hours])</f>
        <v>72</v>
      </c>
      <c r="L2468">
        <f>_xlfn.XLOOKUP(tbl_analysis_tickets[[#This Row],[priority]],tbl_sla[priority],tbl_sla[First Response SLA Minutes])</f>
        <v>240</v>
      </c>
      <c r="M2468" t="str">
        <f>IF(tbl_analysis_tickets[[#This Row],[resolution_time_hours]]&gt;tbl_analysis_tickets[[#This Row],[Resolution SLA Hours]],"Breached","Within SLA")</f>
        <v>Within SLA</v>
      </c>
      <c r="N2468" t="str">
        <f>IF(tbl_analysis_tickets[[#This Row],[first_response_minutes]]&gt;tbl_analysis_tickets[[#This Row],[First Response SLA Minutes]],"Breached","Within SLA")</f>
        <v>Within SLA</v>
      </c>
      <c r="O2468" t="str" cm="1">
        <f t="array" ref="O2468">_xlfn.IFS(
tbl_analysis_tickets[[#This Row],[agent_experience_years]]&lt;=2,"Junior",
tbl_analysis_tickets[[#This Row],[agent_experience_years]]&lt;=5,"Mid-Level",
tbl_analysis_tickets[[#This Row],[agent_experience_years]]&lt;=8,"Senior",
tbl_analysis_tickets[[#This Row],[agent_experience_years]]&gt;8,"Expert"
)</f>
        <v>Senior</v>
      </c>
      <c r="P2468" cm="1">
        <f t="array" ref="P2468">_xlfn.SWITCH(tbl_analysis_tickets[[#This Row],[customer_satisfaction]],
"Low",1,
"Medium",2,
"High",3
)</f>
        <v>1</v>
      </c>
      <c r="Q2468">
        <f>IF(tbl_analysis_tickets[[#This Row],[reopened]]="Yes",1,0)</f>
        <v>1</v>
      </c>
      <c r="R2468" t="str" cm="1">
        <f t="array" ref="R2468">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468" t="str" cm="1">
        <f t="array" ref="S246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468" t="str">
        <f>TEXT(tbl_analysis_tickets[[#This Row],[created_date]],"mmm-yyyy")</f>
        <v>Oct-2024</v>
      </c>
      <c r="U2468" t="str">
        <f>TEXT(tbl_analysis_tickets[[#This Row],[created_date]],"dddd")</f>
        <v>Tuesday</v>
      </c>
      <c r="V2468" cm="1">
        <f t="array" ref="V2468">_xlfn.SWITCH(tbl_analysis_tickets[[#This Row],[priority]],
"Urgent",1,
"High",2,
"Medium",3,
"Low",4
)</f>
        <v>4</v>
      </c>
    </row>
    <row r="2469" spans="1:22" x14ac:dyDescent="0.25">
      <c r="A2469">
        <v>2468</v>
      </c>
      <c r="B2469" s="1">
        <v>45349</v>
      </c>
      <c r="C2469" t="s">
        <v>10</v>
      </c>
      <c r="D2469" t="s">
        <v>20</v>
      </c>
      <c r="E2469">
        <v>220</v>
      </c>
      <c r="F2469">
        <v>8</v>
      </c>
      <c r="G2469">
        <v>0.7</v>
      </c>
      <c r="H2469" t="s">
        <v>18</v>
      </c>
      <c r="I2469" t="s">
        <v>16</v>
      </c>
      <c r="J2469" t="s">
        <v>11</v>
      </c>
      <c r="K2469">
        <f>_xlfn.XLOOKUP(tbl_analysis_tickets[[#This Row],[priority]],tbl_sla[priority],tbl_sla[Resolution SLA Hours])</f>
        <v>24</v>
      </c>
      <c r="L2469">
        <f>_xlfn.XLOOKUP(tbl_analysis_tickets[[#This Row],[priority]],tbl_sla[priority],tbl_sla[First Response SLA Minutes])</f>
        <v>60</v>
      </c>
      <c r="M2469" t="str">
        <f>IF(tbl_analysis_tickets[[#This Row],[resolution_time_hours]]&gt;tbl_analysis_tickets[[#This Row],[Resolution SLA Hours]],"Breached","Within SLA")</f>
        <v>Within SLA</v>
      </c>
      <c r="N2469" t="str">
        <f>IF(tbl_analysis_tickets[[#This Row],[first_response_minutes]]&gt;tbl_analysis_tickets[[#This Row],[First Response SLA Minutes]],"Breached","Within SLA")</f>
        <v>Breached</v>
      </c>
      <c r="O2469" t="str" cm="1">
        <f t="array" ref="O2469">_xlfn.IFS(
tbl_analysis_tickets[[#This Row],[agent_experience_years]]&lt;=2,"Junior",
tbl_analysis_tickets[[#This Row],[agent_experience_years]]&lt;=5,"Mid-Level",
tbl_analysis_tickets[[#This Row],[agent_experience_years]]&lt;=8,"Senior",
tbl_analysis_tickets[[#This Row],[agent_experience_years]]&gt;8,"Expert"
)</f>
        <v>Junior</v>
      </c>
      <c r="P2469" cm="1">
        <f t="array" ref="P2469">_xlfn.SWITCH(tbl_analysis_tickets[[#This Row],[customer_satisfaction]],
"Low",1,
"Medium",2,
"High",3
)</f>
        <v>1</v>
      </c>
      <c r="Q2469">
        <f>IF(tbl_analysis_tickets[[#This Row],[reopened]]="Yes",1,0)</f>
        <v>0</v>
      </c>
      <c r="R2469" t="str" cm="1">
        <f t="array" ref="R2469">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469" t="str" cm="1">
        <f t="array" ref="S246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2469" t="str">
        <f>TEXT(tbl_analysis_tickets[[#This Row],[created_date]],"mmm-yyyy")</f>
        <v>Feb-2024</v>
      </c>
      <c r="U2469" t="str">
        <f>TEXT(tbl_analysis_tickets[[#This Row],[created_date]],"dddd")</f>
        <v>Tuesday</v>
      </c>
      <c r="V2469" cm="1">
        <f t="array" ref="V2469">_xlfn.SWITCH(tbl_analysis_tickets[[#This Row],[priority]],
"Urgent",1,
"High",2,
"Medium",3,
"Low",4
)</f>
        <v>2</v>
      </c>
    </row>
    <row r="2470" spans="1:22" x14ac:dyDescent="0.25">
      <c r="A2470">
        <v>2469</v>
      </c>
      <c r="B2470" s="1">
        <v>45300</v>
      </c>
      <c r="C2470" t="s">
        <v>21</v>
      </c>
      <c r="D2470" t="s">
        <v>20</v>
      </c>
      <c r="E2470">
        <v>78</v>
      </c>
      <c r="F2470">
        <v>60</v>
      </c>
      <c r="G2470">
        <v>3.2</v>
      </c>
      <c r="H2470" t="s">
        <v>18</v>
      </c>
      <c r="I2470" t="s">
        <v>19</v>
      </c>
      <c r="J2470" t="s">
        <v>11</v>
      </c>
      <c r="K2470">
        <f>_xlfn.XLOOKUP(tbl_analysis_tickets[[#This Row],[priority]],tbl_sla[priority],tbl_sla[Resolution SLA Hours])</f>
        <v>24</v>
      </c>
      <c r="L2470">
        <f>_xlfn.XLOOKUP(tbl_analysis_tickets[[#This Row],[priority]],tbl_sla[priority],tbl_sla[First Response SLA Minutes])</f>
        <v>60</v>
      </c>
      <c r="M2470" t="str">
        <f>IF(tbl_analysis_tickets[[#This Row],[resolution_time_hours]]&gt;tbl_analysis_tickets[[#This Row],[Resolution SLA Hours]],"Breached","Within SLA")</f>
        <v>Breached</v>
      </c>
      <c r="N2470" t="str">
        <f>IF(tbl_analysis_tickets[[#This Row],[first_response_minutes]]&gt;tbl_analysis_tickets[[#This Row],[First Response SLA Minutes]],"Breached","Within SLA")</f>
        <v>Breached</v>
      </c>
      <c r="O2470" t="str" cm="1">
        <f t="array" ref="O2470">_xlfn.IFS(
tbl_analysis_tickets[[#This Row],[agent_experience_years]]&lt;=2,"Junior",
tbl_analysis_tickets[[#This Row],[agent_experience_years]]&lt;=5,"Mid-Level",
tbl_analysis_tickets[[#This Row],[agent_experience_years]]&lt;=8,"Senior",
tbl_analysis_tickets[[#This Row],[agent_experience_years]]&gt;8,"Expert"
)</f>
        <v>Mid-Level</v>
      </c>
      <c r="P2470" cm="1">
        <f t="array" ref="P2470">_xlfn.SWITCH(tbl_analysis_tickets[[#This Row],[customer_satisfaction]],
"Low",1,
"Medium",2,
"High",3
)</f>
        <v>1</v>
      </c>
      <c r="Q2470">
        <f>IF(tbl_analysis_tickets[[#This Row],[reopened]]="Yes",1,0)</f>
        <v>0</v>
      </c>
      <c r="R2470" t="str" cm="1">
        <f t="array" ref="R2470">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470" t="str" cm="1">
        <f t="array" ref="S247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470" t="str">
        <f>TEXT(tbl_analysis_tickets[[#This Row],[created_date]],"mmm-yyyy")</f>
        <v>Jan-2024</v>
      </c>
      <c r="U2470" t="str">
        <f>TEXT(tbl_analysis_tickets[[#This Row],[created_date]],"dddd")</f>
        <v>Tuesday</v>
      </c>
      <c r="V2470" cm="1">
        <f t="array" ref="V2470">_xlfn.SWITCH(tbl_analysis_tickets[[#This Row],[priority]],
"Urgent",1,
"High",2,
"Medium",3,
"Low",4
)</f>
        <v>2</v>
      </c>
    </row>
    <row r="2471" spans="1:22" x14ac:dyDescent="0.25">
      <c r="A2471">
        <v>2470</v>
      </c>
      <c r="B2471" s="1">
        <v>45570</v>
      </c>
      <c r="C2471" t="s">
        <v>23</v>
      </c>
      <c r="D2471" t="s">
        <v>11</v>
      </c>
      <c r="E2471">
        <v>31</v>
      </c>
      <c r="F2471">
        <v>62</v>
      </c>
      <c r="G2471">
        <v>8.3000000000000007</v>
      </c>
      <c r="H2471" t="s">
        <v>12</v>
      </c>
      <c r="I2471" t="s">
        <v>16</v>
      </c>
      <c r="J2471" t="s">
        <v>11</v>
      </c>
      <c r="K2471">
        <f>_xlfn.XLOOKUP(tbl_analysis_tickets[[#This Row],[priority]],tbl_sla[priority],tbl_sla[Resolution SLA Hours])</f>
        <v>72</v>
      </c>
      <c r="L2471">
        <f>_xlfn.XLOOKUP(tbl_analysis_tickets[[#This Row],[priority]],tbl_sla[priority],tbl_sla[First Response SLA Minutes])</f>
        <v>240</v>
      </c>
      <c r="M2471" t="str">
        <f>IF(tbl_analysis_tickets[[#This Row],[resolution_time_hours]]&gt;tbl_analysis_tickets[[#This Row],[Resolution SLA Hours]],"Breached","Within SLA")</f>
        <v>Within SLA</v>
      </c>
      <c r="N2471" t="str">
        <f>IF(tbl_analysis_tickets[[#This Row],[first_response_minutes]]&gt;tbl_analysis_tickets[[#This Row],[First Response SLA Minutes]],"Breached","Within SLA")</f>
        <v>Within SLA</v>
      </c>
      <c r="O2471" t="str" cm="1">
        <f t="array" ref="O2471">_xlfn.IFS(
tbl_analysis_tickets[[#This Row],[agent_experience_years]]&lt;=2,"Junior",
tbl_analysis_tickets[[#This Row],[agent_experience_years]]&lt;=5,"Mid-Level",
tbl_analysis_tickets[[#This Row],[agent_experience_years]]&lt;=8,"Senior",
tbl_analysis_tickets[[#This Row],[agent_experience_years]]&gt;8,"Expert"
)</f>
        <v>Expert</v>
      </c>
      <c r="P2471" cm="1">
        <f t="array" ref="P2471">_xlfn.SWITCH(tbl_analysis_tickets[[#This Row],[customer_satisfaction]],
"Low",1,
"Medium",2,
"High",3
)</f>
        <v>1</v>
      </c>
      <c r="Q2471">
        <f>IF(tbl_analysis_tickets[[#This Row],[reopened]]="Yes",1,0)</f>
        <v>1</v>
      </c>
      <c r="R2471" t="str" cm="1">
        <f t="array" ref="R2471">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471" t="str" cm="1">
        <f t="array" ref="S247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471" t="str">
        <f>TEXT(tbl_analysis_tickets[[#This Row],[created_date]],"mmm-yyyy")</f>
        <v>Oct-2024</v>
      </c>
      <c r="U2471" t="str">
        <f>TEXT(tbl_analysis_tickets[[#This Row],[created_date]],"dddd")</f>
        <v>Saturday</v>
      </c>
      <c r="V2471" cm="1">
        <f t="array" ref="V2471">_xlfn.SWITCH(tbl_analysis_tickets[[#This Row],[priority]],
"Urgent",1,
"High",2,
"Medium",3,
"Low",4
)</f>
        <v>4</v>
      </c>
    </row>
    <row r="2472" spans="1:22" x14ac:dyDescent="0.25">
      <c r="A2472">
        <v>2471</v>
      </c>
      <c r="B2472" s="1">
        <v>45409</v>
      </c>
      <c r="C2472" t="s">
        <v>10</v>
      </c>
      <c r="D2472" t="s">
        <v>15</v>
      </c>
      <c r="E2472">
        <v>107</v>
      </c>
      <c r="F2472">
        <v>53</v>
      </c>
      <c r="G2472">
        <v>8.3000000000000007</v>
      </c>
      <c r="H2472" t="s">
        <v>18</v>
      </c>
      <c r="I2472" t="s">
        <v>19</v>
      </c>
      <c r="J2472" t="s">
        <v>15</v>
      </c>
      <c r="K2472">
        <f>_xlfn.XLOOKUP(tbl_analysis_tickets[[#This Row],[priority]],tbl_sla[priority],tbl_sla[Resolution SLA Hours])</f>
        <v>48</v>
      </c>
      <c r="L2472">
        <f>_xlfn.XLOOKUP(tbl_analysis_tickets[[#This Row],[priority]],tbl_sla[priority],tbl_sla[First Response SLA Minutes])</f>
        <v>120</v>
      </c>
      <c r="M2472" t="str">
        <f>IF(tbl_analysis_tickets[[#This Row],[resolution_time_hours]]&gt;tbl_analysis_tickets[[#This Row],[Resolution SLA Hours]],"Breached","Within SLA")</f>
        <v>Breached</v>
      </c>
      <c r="N2472" t="str">
        <f>IF(tbl_analysis_tickets[[#This Row],[first_response_minutes]]&gt;tbl_analysis_tickets[[#This Row],[First Response SLA Minutes]],"Breached","Within SLA")</f>
        <v>Within SLA</v>
      </c>
      <c r="O2472" t="str" cm="1">
        <f t="array" ref="O2472">_xlfn.IFS(
tbl_analysis_tickets[[#This Row],[agent_experience_years]]&lt;=2,"Junior",
tbl_analysis_tickets[[#This Row],[agent_experience_years]]&lt;=5,"Mid-Level",
tbl_analysis_tickets[[#This Row],[agent_experience_years]]&lt;=8,"Senior",
tbl_analysis_tickets[[#This Row],[agent_experience_years]]&gt;8,"Expert"
)</f>
        <v>Expert</v>
      </c>
      <c r="P2472" cm="1">
        <f t="array" ref="P2472">_xlfn.SWITCH(tbl_analysis_tickets[[#This Row],[customer_satisfaction]],
"Low",1,
"Medium",2,
"High",3
)</f>
        <v>2</v>
      </c>
      <c r="Q2472">
        <f>IF(tbl_analysis_tickets[[#This Row],[reopened]]="Yes",1,0)</f>
        <v>0</v>
      </c>
      <c r="R2472" t="str" cm="1">
        <f t="array" ref="R2472">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472" t="str" cm="1">
        <f t="array" ref="S247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472" t="str">
        <f>TEXT(tbl_analysis_tickets[[#This Row],[created_date]],"mmm-yyyy")</f>
        <v>Apr-2024</v>
      </c>
      <c r="U2472" t="str">
        <f>TEXT(tbl_analysis_tickets[[#This Row],[created_date]],"dddd")</f>
        <v>Saturday</v>
      </c>
      <c r="V2472" cm="1">
        <f t="array" ref="V2472">_xlfn.SWITCH(tbl_analysis_tickets[[#This Row],[priority]],
"Urgent",1,
"High",2,
"Medium",3,
"Low",4
)</f>
        <v>3</v>
      </c>
    </row>
    <row r="2473" spans="1:22" x14ac:dyDescent="0.25">
      <c r="A2473">
        <v>2472</v>
      </c>
      <c r="B2473" s="1">
        <v>45620</v>
      </c>
      <c r="C2473" t="s">
        <v>10</v>
      </c>
      <c r="D2473" t="s">
        <v>11</v>
      </c>
      <c r="E2473">
        <v>158</v>
      </c>
      <c r="F2473">
        <v>66</v>
      </c>
      <c r="G2473">
        <v>3.1</v>
      </c>
      <c r="H2473" t="s">
        <v>12</v>
      </c>
      <c r="I2473" t="s">
        <v>19</v>
      </c>
      <c r="J2473" t="s">
        <v>11</v>
      </c>
      <c r="K2473">
        <f>_xlfn.XLOOKUP(tbl_analysis_tickets[[#This Row],[priority]],tbl_sla[priority],tbl_sla[Resolution SLA Hours])</f>
        <v>72</v>
      </c>
      <c r="L2473">
        <f>_xlfn.XLOOKUP(tbl_analysis_tickets[[#This Row],[priority]],tbl_sla[priority],tbl_sla[First Response SLA Minutes])</f>
        <v>240</v>
      </c>
      <c r="M2473" t="str">
        <f>IF(tbl_analysis_tickets[[#This Row],[resolution_time_hours]]&gt;tbl_analysis_tickets[[#This Row],[Resolution SLA Hours]],"Breached","Within SLA")</f>
        <v>Within SLA</v>
      </c>
      <c r="N2473" t="str">
        <f>IF(tbl_analysis_tickets[[#This Row],[first_response_minutes]]&gt;tbl_analysis_tickets[[#This Row],[First Response SLA Minutes]],"Breached","Within SLA")</f>
        <v>Within SLA</v>
      </c>
      <c r="O2473" t="str" cm="1">
        <f t="array" ref="O2473">_xlfn.IFS(
tbl_analysis_tickets[[#This Row],[agent_experience_years]]&lt;=2,"Junior",
tbl_analysis_tickets[[#This Row],[agent_experience_years]]&lt;=5,"Mid-Level",
tbl_analysis_tickets[[#This Row],[agent_experience_years]]&lt;=8,"Senior",
tbl_analysis_tickets[[#This Row],[agent_experience_years]]&gt;8,"Expert"
)</f>
        <v>Mid-Level</v>
      </c>
      <c r="P2473" cm="1">
        <f t="array" ref="P2473">_xlfn.SWITCH(tbl_analysis_tickets[[#This Row],[customer_satisfaction]],
"Low",1,
"Medium",2,
"High",3
)</f>
        <v>1</v>
      </c>
      <c r="Q2473">
        <f>IF(tbl_analysis_tickets[[#This Row],[reopened]]="Yes",1,0)</f>
        <v>1</v>
      </c>
      <c r="R2473" t="str" cm="1">
        <f t="array" ref="R2473">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473" t="str" cm="1">
        <f t="array" ref="S247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473" t="str">
        <f>TEXT(tbl_analysis_tickets[[#This Row],[created_date]],"mmm-yyyy")</f>
        <v>Nov-2024</v>
      </c>
      <c r="U2473" t="str">
        <f>TEXT(tbl_analysis_tickets[[#This Row],[created_date]],"dddd")</f>
        <v>Sunday</v>
      </c>
      <c r="V2473" cm="1">
        <f t="array" ref="V2473">_xlfn.SWITCH(tbl_analysis_tickets[[#This Row],[priority]],
"Urgent",1,
"High",2,
"Medium",3,
"Low",4
)</f>
        <v>4</v>
      </c>
    </row>
    <row r="2474" spans="1:22" x14ac:dyDescent="0.25">
      <c r="A2474">
        <v>2473</v>
      </c>
      <c r="B2474" s="1">
        <v>45657</v>
      </c>
      <c r="C2474" t="s">
        <v>10</v>
      </c>
      <c r="D2474" t="s">
        <v>17</v>
      </c>
      <c r="E2474">
        <v>160</v>
      </c>
      <c r="F2474">
        <v>10</v>
      </c>
      <c r="G2474">
        <v>9.1</v>
      </c>
      <c r="H2474" t="s">
        <v>18</v>
      </c>
      <c r="I2474" t="s">
        <v>13</v>
      </c>
      <c r="J2474" t="s">
        <v>11</v>
      </c>
      <c r="K2474">
        <f>_xlfn.XLOOKUP(tbl_analysis_tickets[[#This Row],[priority]],tbl_sla[priority],tbl_sla[Resolution SLA Hours])</f>
        <v>8</v>
      </c>
      <c r="L2474">
        <f>_xlfn.XLOOKUP(tbl_analysis_tickets[[#This Row],[priority]],tbl_sla[priority],tbl_sla[First Response SLA Minutes])</f>
        <v>30</v>
      </c>
      <c r="M2474" t="str">
        <f>IF(tbl_analysis_tickets[[#This Row],[resolution_time_hours]]&gt;tbl_analysis_tickets[[#This Row],[Resolution SLA Hours]],"Breached","Within SLA")</f>
        <v>Breached</v>
      </c>
      <c r="N2474" t="str">
        <f>IF(tbl_analysis_tickets[[#This Row],[first_response_minutes]]&gt;tbl_analysis_tickets[[#This Row],[First Response SLA Minutes]],"Breached","Within SLA")</f>
        <v>Breached</v>
      </c>
      <c r="O2474" t="str" cm="1">
        <f t="array" ref="O2474">_xlfn.IFS(
tbl_analysis_tickets[[#This Row],[agent_experience_years]]&lt;=2,"Junior",
tbl_analysis_tickets[[#This Row],[agent_experience_years]]&lt;=5,"Mid-Level",
tbl_analysis_tickets[[#This Row],[agent_experience_years]]&lt;=8,"Senior",
tbl_analysis_tickets[[#This Row],[agent_experience_years]]&gt;8,"Expert"
)</f>
        <v>Expert</v>
      </c>
      <c r="P2474" cm="1">
        <f t="array" ref="P2474">_xlfn.SWITCH(tbl_analysis_tickets[[#This Row],[customer_satisfaction]],
"Low",1,
"Medium",2,
"High",3
)</f>
        <v>1</v>
      </c>
      <c r="Q2474">
        <f>IF(tbl_analysis_tickets[[#This Row],[reopened]]="Yes",1,0)</f>
        <v>0</v>
      </c>
      <c r="R2474" t="str" cm="1">
        <f t="array" ref="R2474">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474" t="str" cm="1">
        <f t="array" ref="S247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474" t="str">
        <f>TEXT(tbl_analysis_tickets[[#This Row],[created_date]],"mmm-yyyy")</f>
        <v>Dec-2024</v>
      </c>
      <c r="U2474" t="str">
        <f>TEXT(tbl_analysis_tickets[[#This Row],[created_date]],"dddd")</f>
        <v>Tuesday</v>
      </c>
      <c r="V2474" cm="1">
        <f t="array" ref="V2474">_xlfn.SWITCH(tbl_analysis_tickets[[#This Row],[priority]],
"Urgent",1,
"High",2,
"Medium",3,
"Low",4
)</f>
        <v>1</v>
      </c>
    </row>
    <row r="2475" spans="1:22" x14ac:dyDescent="0.25">
      <c r="A2475">
        <v>2474</v>
      </c>
      <c r="B2475" s="1">
        <v>45320</v>
      </c>
      <c r="C2475" t="s">
        <v>14</v>
      </c>
      <c r="D2475" t="s">
        <v>20</v>
      </c>
      <c r="E2475">
        <v>225</v>
      </c>
      <c r="F2475">
        <v>44</v>
      </c>
      <c r="G2475">
        <v>7.6</v>
      </c>
      <c r="H2475" t="s">
        <v>18</v>
      </c>
      <c r="I2475" t="s">
        <v>13</v>
      </c>
      <c r="J2475" t="s">
        <v>11</v>
      </c>
      <c r="K2475">
        <f>_xlfn.XLOOKUP(tbl_analysis_tickets[[#This Row],[priority]],tbl_sla[priority],tbl_sla[Resolution SLA Hours])</f>
        <v>24</v>
      </c>
      <c r="L2475">
        <f>_xlfn.XLOOKUP(tbl_analysis_tickets[[#This Row],[priority]],tbl_sla[priority],tbl_sla[First Response SLA Minutes])</f>
        <v>60</v>
      </c>
      <c r="M2475" t="str">
        <f>IF(tbl_analysis_tickets[[#This Row],[resolution_time_hours]]&gt;tbl_analysis_tickets[[#This Row],[Resolution SLA Hours]],"Breached","Within SLA")</f>
        <v>Breached</v>
      </c>
      <c r="N2475" t="str">
        <f>IF(tbl_analysis_tickets[[#This Row],[first_response_minutes]]&gt;tbl_analysis_tickets[[#This Row],[First Response SLA Minutes]],"Breached","Within SLA")</f>
        <v>Breached</v>
      </c>
      <c r="O2475" t="str" cm="1">
        <f t="array" ref="O2475">_xlfn.IFS(
tbl_analysis_tickets[[#This Row],[agent_experience_years]]&lt;=2,"Junior",
tbl_analysis_tickets[[#This Row],[agent_experience_years]]&lt;=5,"Mid-Level",
tbl_analysis_tickets[[#This Row],[agent_experience_years]]&lt;=8,"Senior",
tbl_analysis_tickets[[#This Row],[agent_experience_years]]&gt;8,"Expert"
)</f>
        <v>Senior</v>
      </c>
      <c r="P2475" cm="1">
        <f t="array" ref="P2475">_xlfn.SWITCH(tbl_analysis_tickets[[#This Row],[customer_satisfaction]],
"Low",1,
"Medium",2,
"High",3
)</f>
        <v>1</v>
      </c>
      <c r="Q2475">
        <f>IF(tbl_analysis_tickets[[#This Row],[reopened]]="Yes",1,0)</f>
        <v>0</v>
      </c>
      <c r="R2475" t="str" cm="1">
        <f t="array" ref="R2475">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475" t="str" cm="1">
        <f t="array" ref="S247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475" t="str">
        <f>TEXT(tbl_analysis_tickets[[#This Row],[created_date]],"mmm-yyyy")</f>
        <v>Jan-2024</v>
      </c>
      <c r="U2475" t="str">
        <f>TEXT(tbl_analysis_tickets[[#This Row],[created_date]],"dddd")</f>
        <v>Monday</v>
      </c>
      <c r="V2475" cm="1">
        <f t="array" ref="V2475">_xlfn.SWITCH(tbl_analysis_tickets[[#This Row],[priority]],
"Urgent",1,
"High",2,
"Medium",3,
"Low",4
)</f>
        <v>2</v>
      </c>
    </row>
    <row r="2476" spans="1:22" x14ac:dyDescent="0.25">
      <c r="A2476">
        <v>2475</v>
      </c>
      <c r="B2476" s="1">
        <v>45435</v>
      </c>
      <c r="C2476" t="s">
        <v>22</v>
      </c>
      <c r="D2476" t="s">
        <v>15</v>
      </c>
      <c r="E2476">
        <v>109</v>
      </c>
      <c r="F2476">
        <v>7</v>
      </c>
      <c r="G2476">
        <v>8.6</v>
      </c>
      <c r="H2476" t="s">
        <v>18</v>
      </c>
      <c r="I2476" t="s">
        <v>13</v>
      </c>
      <c r="J2476" t="s">
        <v>15</v>
      </c>
      <c r="K2476">
        <f>_xlfn.XLOOKUP(tbl_analysis_tickets[[#This Row],[priority]],tbl_sla[priority],tbl_sla[Resolution SLA Hours])</f>
        <v>48</v>
      </c>
      <c r="L2476">
        <f>_xlfn.XLOOKUP(tbl_analysis_tickets[[#This Row],[priority]],tbl_sla[priority],tbl_sla[First Response SLA Minutes])</f>
        <v>120</v>
      </c>
      <c r="M2476" t="str">
        <f>IF(tbl_analysis_tickets[[#This Row],[resolution_time_hours]]&gt;tbl_analysis_tickets[[#This Row],[Resolution SLA Hours]],"Breached","Within SLA")</f>
        <v>Within SLA</v>
      </c>
      <c r="N2476" t="str">
        <f>IF(tbl_analysis_tickets[[#This Row],[first_response_minutes]]&gt;tbl_analysis_tickets[[#This Row],[First Response SLA Minutes]],"Breached","Within SLA")</f>
        <v>Within SLA</v>
      </c>
      <c r="O2476" t="str" cm="1">
        <f t="array" ref="O2476">_xlfn.IFS(
tbl_analysis_tickets[[#This Row],[agent_experience_years]]&lt;=2,"Junior",
tbl_analysis_tickets[[#This Row],[agent_experience_years]]&lt;=5,"Mid-Level",
tbl_analysis_tickets[[#This Row],[agent_experience_years]]&lt;=8,"Senior",
tbl_analysis_tickets[[#This Row],[agent_experience_years]]&gt;8,"Expert"
)</f>
        <v>Expert</v>
      </c>
      <c r="P2476" cm="1">
        <f t="array" ref="P2476">_xlfn.SWITCH(tbl_analysis_tickets[[#This Row],[customer_satisfaction]],
"Low",1,
"Medium",2,
"High",3
)</f>
        <v>2</v>
      </c>
      <c r="Q2476">
        <f>IF(tbl_analysis_tickets[[#This Row],[reopened]]="Yes",1,0)</f>
        <v>0</v>
      </c>
      <c r="R2476" t="str" cm="1">
        <f t="array" ref="R2476">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476" t="str" cm="1">
        <f t="array" ref="S247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2476" t="str">
        <f>TEXT(tbl_analysis_tickets[[#This Row],[created_date]],"mmm-yyyy")</f>
        <v>May-2024</v>
      </c>
      <c r="U2476" t="str">
        <f>TEXT(tbl_analysis_tickets[[#This Row],[created_date]],"dddd")</f>
        <v>Thursday</v>
      </c>
      <c r="V2476" cm="1">
        <f t="array" ref="V2476">_xlfn.SWITCH(tbl_analysis_tickets[[#This Row],[priority]],
"Urgent",1,
"High",2,
"Medium",3,
"Low",4
)</f>
        <v>3</v>
      </c>
    </row>
    <row r="2477" spans="1:22" x14ac:dyDescent="0.25">
      <c r="A2477">
        <v>2476</v>
      </c>
      <c r="B2477" s="1">
        <v>45574</v>
      </c>
      <c r="C2477" t="s">
        <v>22</v>
      </c>
      <c r="D2477" t="s">
        <v>15</v>
      </c>
      <c r="E2477">
        <v>136</v>
      </c>
      <c r="F2477">
        <v>33</v>
      </c>
      <c r="G2477">
        <v>8.3000000000000007</v>
      </c>
      <c r="H2477" t="s">
        <v>12</v>
      </c>
      <c r="I2477" t="s">
        <v>16</v>
      </c>
      <c r="J2477" t="s">
        <v>11</v>
      </c>
      <c r="K2477">
        <f>_xlfn.XLOOKUP(tbl_analysis_tickets[[#This Row],[priority]],tbl_sla[priority],tbl_sla[Resolution SLA Hours])</f>
        <v>48</v>
      </c>
      <c r="L2477">
        <f>_xlfn.XLOOKUP(tbl_analysis_tickets[[#This Row],[priority]],tbl_sla[priority],tbl_sla[First Response SLA Minutes])</f>
        <v>120</v>
      </c>
      <c r="M2477" t="str">
        <f>IF(tbl_analysis_tickets[[#This Row],[resolution_time_hours]]&gt;tbl_analysis_tickets[[#This Row],[Resolution SLA Hours]],"Breached","Within SLA")</f>
        <v>Within SLA</v>
      </c>
      <c r="N2477" t="str">
        <f>IF(tbl_analysis_tickets[[#This Row],[first_response_minutes]]&gt;tbl_analysis_tickets[[#This Row],[First Response SLA Minutes]],"Breached","Within SLA")</f>
        <v>Breached</v>
      </c>
      <c r="O2477" t="str" cm="1">
        <f t="array" ref="O2477">_xlfn.IFS(
tbl_analysis_tickets[[#This Row],[agent_experience_years]]&lt;=2,"Junior",
tbl_analysis_tickets[[#This Row],[agent_experience_years]]&lt;=5,"Mid-Level",
tbl_analysis_tickets[[#This Row],[agent_experience_years]]&lt;=8,"Senior",
tbl_analysis_tickets[[#This Row],[agent_experience_years]]&gt;8,"Expert"
)</f>
        <v>Expert</v>
      </c>
      <c r="P2477" cm="1">
        <f t="array" ref="P2477">_xlfn.SWITCH(tbl_analysis_tickets[[#This Row],[customer_satisfaction]],
"Low",1,
"Medium",2,
"High",3
)</f>
        <v>1</v>
      </c>
      <c r="Q2477">
        <f>IF(tbl_analysis_tickets[[#This Row],[reopened]]="Yes",1,0)</f>
        <v>1</v>
      </c>
      <c r="R2477" t="str" cm="1">
        <f t="array" ref="R2477">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477" t="str" cm="1">
        <f t="array" ref="S247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477" t="str">
        <f>TEXT(tbl_analysis_tickets[[#This Row],[created_date]],"mmm-yyyy")</f>
        <v>Oct-2024</v>
      </c>
      <c r="U2477" t="str">
        <f>TEXT(tbl_analysis_tickets[[#This Row],[created_date]],"dddd")</f>
        <v>Wednesday</v>
      </c>
      <c r="V2477" cm="1">
        <f t="array" ref="V2477">_xlfn.SWITCH(tbl_analysis_tickets[[#This Row],[priority]],
"Urgent",1,
"High",2,
"Medium",3,
"Low",4
)</f>
        <v>3</v>
      </c>
    </row>
    <row r="2478" spans="1:22" x14ac:dyDescent="0.25">
      <c r="A2478">
        <v>2477</v>
      </c>
      <c r="B2478" s="1">
        <v>45575</v>
      </c>
      <c r="C2478" t="s">
        <v>10</v>
      </c>
      <c r="D2478" t="s">
        <v>17</v>
      </c>
      <c r="E2478">
        <v>208</v>
      </c>
      <c r="F2478">
        <v>52</v>
      </c>
      <c r="G2478">
        <v>6.1</v>
      </c>
      <c r="H2478" t="s">
        <v>12</v>
      </c>
      <c r="I2478" t="s">
        <v>16</v>
      </c>
      <c r="J2478" t="s">
        <v>11</v>
      </c>
      <c r="K2478">
        <f>_xlfn.XLOOKUP(tbl_analysis_tickets[[#This Row],[priority]],tbl_sla[priority],tbl_sla[Resolution SLA Hours])</f>
        <v>8</v>
      </c>
      <c r="L2478">
        <f>_xlfn.XLOOKUP(tbl_analysis_tickets[[#This Row],[priority]],tbl_sla[priority],tbl_sla[First Response SLA Minutes])</f>
        <v>30</v>
      </c>
      <c r="M2478" t="str">
        <f>IF(tbl_analysis_tickets[[#This Row],[resolution_time_hours]]&gt;tbl_analysis_tickets[[#This Row],[Resolution SLA Hours]],"Breached","Within SLA")</f>
        <v>Breached</v>
      </c>
      <c r="N2478" t="str">
        <f>IF(tbl_analysis_tickets[[#This Row],[first_response_minutes]]&gt;tbl_analysis_tickets[[#This Row],[First Response SLA Minutes]],"Breached","Within SLA")</f>
        <v>Breached</v>
      </c>
      <c r="O2478" t="str" cm="1">
        <f t="array" ref="O2478">_xlfn.IFS(
tbl_analysis_tickets[[#This Row],[agent_experience_years]]&lt;=2,"Junior",
tbl_analysis_tickets[[#This Row],[agent_experience_years]]&lt;=5,"Mid-Level",
tbl_analysis_tickets[[#This Row],[agent_experience_years]]&lt;=8,"Senior",
tbl_analysis_tickets[[#This Row],[agent_experience_years]]&gt;8,"Expert"
)</f>
        <v>Senior</v>
      </c>
      <c r="P2478" cm="1">
        <f t="array" ref="P2478">_xlfn.SWITCH(tbl_analysis_tickets[[#This Row],[customer_satisfaction]],
"Low",1,
"Medium",2,
"High",3
)</f>
        <v>1</v>
      </c>
      <c r="Q2478">
        <f>IF(tbl_analysis_tickets[[#This Row],[reopened]]="Yes",1,0)</f>
        <v>1</v>
      </c>
      <c r="R2478" t="str" cm="1">
        <f t="array" ref="R2478">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478" t="str" cm="1">
        <f t="array" ref="S247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478" t="str">
        <f>TEXT(tbl_analysis_tickets[[#This Row],[created_date]],"mmm-yyyy")</f>
        <v>Oct-2024</v>
      </c>
      <c r="U2478" t="str">
        <f>TEXT(tbl_analysis_tickets[[#This Row],[created_date]],"dddd")</f>
        <v>Thursday</v>
      </c>
      <c r="V2478" cm="1">
        <f t="array" ref="V2478">_xlfn.SWITCH(tbl_analysis_tickets[[#This Row],[priority]],
"Urgent",1,
"High",2,
"Medium",3,
"Low",4
)</f>
        <v>1</v>
      </c>
    </row>
    <row r="2479" spans="1:22" x14ac:dyDescent="0.25">
      <c r="A2479">
        <v>2478</v>
      </c>
      <c r="B2479" s="1">
        <v>45544</v>
      </c>
      <c r="C2479" t="s">
        <v>10</v>
      </c>
      <c r="D2479" t="s">
        <v>17</v>
      </c>
      <c r="E2479">
        <v>44</v>
      </c>
      <c r="F2479">
        <v>11</v>
      </c>
      <c r="G2479">
        <v>7.9</v>
      </c>
      <c r="H2479" t="s">
        <v>18</v>
      </c>
      <c r="I2479" t="s">
        <v>16</v>
      </c>
      <c r="J2479" t="s">
        <v>11</v>
      </c>
      <c r="K2479">
        <f>_xlfn.XLOOKUP(tbl_analysis_tickets[[#This Row],[priority]],tbl_sla[priority],tbl_sla[Resolution SLA Hours])</f>
        <v>8</v>
      </c>
      <c r="L2479">
        <f>_xlfn.XLOOKUP(tbl_analysis_tickets[[#This Row],[priority]],tbl_sla[priority],tbl_sla[First Response SLA Minutes])</f>
        <v>30</v>
      </c>
      <c r="M2479" t="str">
        <f>IF(tbl_analysis_tickets[[#This Row],[resolution_time_hours]]&gt;tbl_analysis_tickets[[#This Row],[Resolution SLA Hours]],"Breached","Within SLA")</f>
        <v>Breached</v>
      </c>
      <c r="N2479" t="str">
        <f>IF(tbl_analysis_tickets[[#This Row],[first_response_minutes]]&gt;tbl_analysis_tickets[[#This Row],[First Response SLA Minutes]],"Breached","Within SLA")</f>
        <v>Breached</v>
      </c>
      <c r="O2479" t="str" cm="1">
        <f t="array" ref="O2479">_xlfn.IFS(
tbl_analysis_tickets[[#This Row],[agent_experience_years]]&lt;=2,"Junior",
tbl_analysis_tickets[[#This Row],[agent_experience_years]]&lt;=5,"Mid-Level",
tbl_analysis_tickets[[#This Row],[agent_experience_years]]&lt;=8,"Senior",
tbl_analysis_tickets[[#This Row],[agent_experience_years]]&gt;8,"Expert"
)</f>
        <v>Senior</v>
      </c>
      <c r="P2479" cm="1">
        <f t="array" ref="P2479">_xlfn.SWITCH(tbl_analysis_tickets[[#This Row],[customer_satisfaction]],
"Low",1,
"Medium",2,
"High",3
)</f>
        <v>1</v>
      </c>
      <c r="Q2479">
        <f>IF(tbl_analysis_tickets[[#This Row],[reopened]]="Yes",1,0)</f>
        <v>0</v>
      </c>
      <c r="R2479" t="str" cm="1">
        <f t="array" ref="R2479">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479" t="str" cm="1">
        <f t="array" ref="S247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479" t="str">
        <f>TEXT(tbl_analysis_tickets[[#This Row],[created_date]],"mmm-yyyy")</f>
        <v>Sep-2024</v>
      </c>
      <c r="U2479" t="str">
        <f>TEXT(tbl_analysis_tickets[[#This Row],[created_date]],"dddd")</f>
        <v>Monday</v>
      </c>
      <c r="V2479" cm="1">
        <f t="array" ref="V2479">_xlfn.SWITCH(tbl_analysis_tickets[[#This Row],[priority]],
"Urgent",1,
"High",2,
"Medium",3,
"Low",4
)</f>
        <v>1</v>
      </c>
    </row>
    <row r="2480" spans="1:22" x14ac:dyDescent="0.25">
      <c r="A2480">
        <v>2479</v>
      </c>
      <c r="B2480" s="1">
        <v>45570</v>
      </c>
      <c r="C2480" t="s">
        <v>23</v>
      </c>
      <c r="D2480" t="s">
        <v>11</v>
      </c>
      <c r="E2480">
        <v>112</v>
      </c>
      <c r="F2480">
        <v>19</v>
      </c>
      <c r="G2480">
        <v>8.6</v>
      </c>
      <c r="H2480" t="s">
        <v>12</v>
      </c>
      <c r="I2480" t="s">
        <v>13</v>
      </c>
      <c r="J2480" t="s">
        <v>11</v>
      </c>
      <c r="K2480">
        <f>_xlfn.XLOOKUP(tbl_analysis_tickets[[#This Row],[priority]],tbl_sla[priority],tbl_sla[Resolution SLA Hours])</f>
        <v>72</v>
      </c>
      <c r="L2480">
        <f>_xlfn.XLOOKUP(tbl_analysis_tickets[[#This Row],[priority]],tbl_sla[priority],tbl_sla[First Response SLA Minutes])</f>
        <v>240</v>
      </c>
      <c r="M2480" t="str">
        <f>IF(tbl_analysis_tickets[[#This Row],[resolution_time_hours]]&gt;tbl_analysis_tickets[[#This Row],[Resolution SLA Hours]],"Breached","Within SLA")</f>
        <v>Within SLA</v>
      </c>
      <c r="N2480" t="str">
        <f>IF(tbl_analysis_tickets[[#This Row],[first_response_minutes]]&gt;tbl_analysis_tickets[[#This Row],[First Response SLA Minutes]],"Breached","Within SLA")</f>
        <v>Within SLA</v>
      </c>
      <c r="O2480" t="str" cm="1">
        <f t="array" ref="O2480">_xlfn.IFS(
tbl_analysis_tickets[[#This Row],[agent_experience_years]]&lt;=2,"Junior",
tbl_analysis_tickets[[#This Row],[agent_experience_years]]&lt;=5,"Mid-Level",
tbl_analysis_tickets[[#This Row],[agent_experience_years]]&lt;=8,"Senior",
tbl_analysis_tickets[[#This Row],[agent_experience_years]]&gt;8,"Expert"
)</f>
        <v>Expert</v>
      </c>
      <c r="P2480" cm="1">
        <f t="array" ref="P2480">_xlfn.SWITCH(tbl_analysis_tickets[[#This Row],[customer_satisfaction]],
"Low",1,
"Medium",2,
"High",3
)</f>
        <v>1</v>
      </c>
      <c r="Q2480">
        <f>IF(tbl_analysis_tickets[[#This Row],[reopened]]="Yes",1,0)</f>
        <v>1</v>
      </c>
      <c r="R2480" t="str" cm="1">
        <f t="array" ref="R2480">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480" t="str" cm="1">
        <f t="array" ref="S248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480" t="str">
        <f>TEXT(tbl_analysis_tickets[[#This Row],[created_date]],"mmm-yyyy")</f>
        <v>Oct-2024</v>
      </c>
      <c r="U2480" t="str">
        <f>TEXT(tbl_analysis_tickets[[#This Row],[created_date]],"dddd")</f>
        <v>Saturday</v>
      </c>
      <c r="V2480" cm="1">
        <f t="array" ref="V2480">_xlfn.SWITCH(tbl_analysis_tickets[[#This Row],[priority]],
"Urgent",1,
"High",2,
"Medium",3,
"Low",4
)</f>
        <v>4</v>
      </c>
    </row>
    <row r="2481" spans="1:22" x14ac:dyDescent="0.25">
      <c r="A2481">
        <v>2480</v>
      </c>
      <c r="B2481" s="1">
        <v>45470</v>
      </c>
      <c r="C2481" t="s">
        <v>10</v>
      </c>
      <c r="D2481" t="s">
        <v>11</v>
      </c>
      <c r="E2481">
        <v>181</v>
      </c>
      <c r="F2481">
        <v>36</v>
      </c>
      <c r="G2481">
        <v>2.8</v>
      </c>
      <c r="H2481" t="s">
        <v>12</v>
      </c>
      <c r="I2481" t="s">
        <v>13</v>
      </c>
      <c r="J2481" t="s">
        <v>11</v>
      </c>
      <c r="K2481">
        <f>_xlfn.XLOOKUP(tbl_analysis_tickets[[#This Row],[priority]],tbl_sla[priority],tbl_sla[Resolution SLA Hours])</f>
        <v>72</v>
      </c>
      <c r="L2481">
        <f>_xlfn.XLOOKUP(tbl_analysis_tickets[[#This Row],[priority]],tbl_sla[priority],tbl_sla[First Response SLA Minutes])</f>
        <v>240</v>
      </c>
      <c r="M2481" t="str">
        <f>IF(tbl_analysis_tickets[[#This Row],[resolution_time_hours]]&gt;tbl_analysis_tickets[[#This Row],[Resolution SLA Hours]],"Breached","Within SLA")</f>
        <v>Within SLA</v>
      </c>
      <c r="N2481" t="str">
        <f>IF(tbl_analysis_tickets[[#This Row],[first_response_minutes]]&gt;tbl_analysis_tickets[[#This Row],[First Response SLA Minutes]],"Breached","Within SLA")</f>
        <v>Within SLA</v>
      </c>
      <c r="O2481" t="str" cm="1">
        <f t="array" ref="O2481">_xlfn.IFS(
tbl_analysis_tickets[[#This Row],[agent_experience_years]]&lt;=2,"Junior",
tbl_analysis_tickets[[#This Row],[agent_experience_years]]&lt;=5,"Mid-Level",
tbl_analysis_tickets[[#This Row],[agent_experience_years]]&lt;=8,"Senior",
tbl_analysis_tickets[[#This Row],[agent_experience_years]]&gt;8,"Expert"
)</f>
        <v>Mid-Level</v>
      </c>
      <c r="P2481" cm="1">
        <f t="array" ref="P2481">_xlfn.SWITCH(tbl_analysis_tickets[[#This Row],[customer_satisfaction]],
"Low",1,
"Medium",2,
"High",3
)</f>
        <v>1</v>
      </c>
      <c r="Q2481">
        <f>IF(tbl_analysis_tickets[[#This Row],[reopened]]="Yes",1,0)</f>
        <v>1</v>
      </c>
      <c r="R2481" t="str" cm="1">
        <f t="array" ref="R2481">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481" t="str" cm="1">
        <f t="array" ref="S248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481" t="str">
        <f>TEXT(tbl_analysis_tickets[[#This Row],[created_date]],"mmm-yyyy")</f>
        <v>Jun-2024</v>
      </c>
      <c r="U2481" t="str">
        <f>TEXT(tbl_analysis_tickets[[#This Row],[created_date]],"dddd")</f>
        <v>Thursday</v>
      </c>
      <c r="V2481" cm="1">
        <f t="array" ref="V2481">_xlfn.SWITCH(tbl_analysis_tickets[[#This Row],[priority]],
"Urgent",1,
"High",2,
"Medium",3,
"Low",4
)</f>
        <v>4</v>
      </c>
    </row>
    <row r="2482" spans="1:22" x14ac:dyDescent="0.25">
      <c r="A2482">
        <v>2481</v>
      </c>
      <c r="B2482" s="1">
        <v>45647</v>
      </c>
      <c r="C2482" t="s">
        <v>14</v>
      </c>
      <c r="D2482" t="s">
        <v>11</v>
      </c>
      <c r="E2482">
        <v>160</v>
      </c>
      <c r="F2482">
        <v>45</v>
      </c>
      <c r="G2482">
        <v>4.7</v>
      </c>
      <c r="H2482" t="s">
        <v>18</v>
      </c>
      <c r="I2482" t="s">
        <v>16</v>
      </c>
      <c r="J2482" t="s">
        <v>11</v>
      </c>
      <c r="K2482">
        <f>_xlfn.XLOOKUP(tbl_analysis_tickets[[#This Row],[priority]],tbl_sla[priority],tbl_sla[Resolution SLA Hours])</f>
        <v>72</v>
      </c>
      <c r="L2482">
        <f>_xlfn.XLOOKUP(tbl_analysis_tickets[[#This Row],[priority]],tbl_sla[priority],tbl_sla[First Response SLA Minutes])</f>
        <v>240</v>
      </c>
      <c r="M2482" t="str">
        <f>IF(tbl_analysis_tickets[[#This Row],[resolution_time_hours]]&gt;tbl_analysis_tickets[[#This Row],[Resolution SLA Hours]],"Breached","Within SLA")</f>
        <v>Within SLA</v>
      </c>
      <c r="N2482" t="str">
        <f>IF(tbl_analysis_tickets[[#This Row],[first_response_minutes]]&gt;tbl_analysis_tickets[[#This Row],[First Response SLA Minutes]],"Breached","Within SLA")</f>
        <v>Within SLA</v>
      </c>
      <c r="O2482" t="str" cm="1">
        <f t="array" ref="O2482">_xlfn.IFS(
tbl_analysis_tickets[[#This Row],[agent_experience_years]]&lt;=2,"Junior",
tbl_analysis_tickets[[#This Row],[agent_experience_years]]&lt;=5,"Mid-Level",
tbl_analysis_tickets[[#This Row],[agent_experience_years]]&lt;=8,"Senior",
tbl_analysis_tickets[[#This Row],[agent_experience_years]]&gt;8,"Expert"
)</f>
        <v>Mid-Level</v>
      </c>
      <c r="P2482" cm="1">
        <f t="array" ref="P2482">_xlfn.SWITCH(tbl_analysis_tickets[[#This Row],[customer_satisfaction]],
"Low",1,
"Medium",2,
"High",3
)</f>
        <v>1</v>
      </c>
      <c r="Q2482">
        <f>IF(tbl_analysis_tickets[[#This Row],[reopened]]="Yes",1,0)</f>
        <v>0</v>
      </c>
      <c r="R2482" t="str" cm="1">
        <f t="array" ref="R2482">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482" t="str" cm="1">
        <f t="array" ref="S248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482" t="str">
        <f>TEXT(tbl_analysis_tickets[[#This Row],[created_date]],"mmm-yyyy")</f>
        <v>Dec-2024</v>
      </c>
      <c r="U2482" t="str">
        <f>TEXT(tbl_analysis_tickets[[#This Row],[created_date]],"dddd")</f>
        <v>Saturday</v>
      </c>
      <c r="V2482" cm="1">
        <f t="array" ref="V2482">_xlfn.SWITCH(tbl_analysis_tickets[[#This Row],[priority]],
"Urgent",1,
"High",2,
"Medium",3,
"Low",4
)</f>
        <v>4</v>
      </c>
    </row>
    <row r="2483" spans="1:22" x14ac:dyDescent="0.25">
      <c r="A2483">
        <v>2482</v>
      </c>
      <c r="B2483" s="1">
        <v>45316</v>
      </c>
      <c r="C2483" t="s">
        <v>22</v>
      </c>
      <c r="D2483" t="s">
        <v>11</v>
      </c>
      <c r="E2483">
        <v>162</v>
      </c>
      <c r="F2483">
        <v>14</v>
      </c>
      <c r="G2483">
        <v>0.5</v>
      </c>
      <c r="H2483" t="s">
        <v>18</v>
      </c>
      <c r="I2483" t="s">
        <v>16</v>
      </c>
      <c r="J2483" t="s">
        <v>11</v>
      </c>
      <c r="K2483">
        <f>_xlfn.XLOOKUP(tbl_analysis_tickets[[#This Row],[priority]],tbl_sla[priority],tbl_sla[Resolution SLA Hours])</f>
        <v>72</v>
      </c>
      <c r="L2483">
        <f>_xlfn.XLOOKUP(tbl_analysis_tickets[[#This Row],[priority]],tbl_sla[priority],tbl_sla[First Response SLA Minutes])</f>
        <v>240</v>
      </c>
      <c r="M2483" t="str">
        <f>IF(tbl_analysis_tickets[[#This Row],[resolution_time_hours]]&gt;tbl_analysis_tickets[[#This Row],[Resolution SLA Hours]],"Breached","Within SLA")</f>
        <v>Within SLA</v>
      </c>
      <c r="N2483" t="str">
        <f>IF(tbl_analysis_tickets[[#This Row],[first_response_minutes]]&gt;tbl_analysis_tickets[[#This Row],[First Response SLA Minutes]],"Breached","Within SLA")</f>
        <v>Within SLA</v>
      </c>
      <c r="O2483" t="str" cm="1">
        <f t="array" ref="O2483">_xlfn.IFS(
tbl_analysis_tickets[[#This Row],[agent_experience_years]]&lt;=2,"Junior",
tbl_analysis_tickets[[#This Row],[agent_experience_years]]&lt;=5,"Mid-Level",
tbl_analysis_tickets[[#This Row],[agent_experience_years]]&lt;=8,"Senior",
tbl_analysis_tickets[[#This Row],[agent_experience_years]]&gt;8,"Expert"
)</f>
        <v>Junior</v>
      </c>
      <c r="P2483" cm="1">
        <f t="array" ref="P2483">_xlfn.SWITCH(tbl_analysis_tickets[[#This Row],[customer_satisfaction]],
"Low",1,
"Medium",2,
"High",3
)</f>
        <v>1</v>
      </c>
      <c r="Q2483">
        <f>IF(tbl_analysis_tickets[[#This Row],[reopened]]="Yes",1,0)</f>
        <v>0</v>
      </c>
      <c r="R2483" t="str" cm="1">
        <f t="array" ref="R2483">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483" t="str" cm="1">
        <f t="array" ref="S248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483" t="str">
        <f>TEXT(tbl_analysis_tickets[[#This Row],[created_date]],"mmm-yyyy")</f>
        <v>Jan-2024</v>
      </c>
      <c r="U2483" t="str">
        <f>TEXT(tbl_analysis_tickets[[#This Row],[created_date]],"dddd")</f>
        <v>Thursday</v>
      </c>
      <c r="V2483" cm="1">
        <f t="array" ref="V2483">_xlfn.SWITCH(tbl_analysis_tickets[[#This Row],[priority]],
"Urgent",1,
"High",2,
"Medium",3,
"Low",4
)</f>
        <v>4</v>
      </c>
    </row>
    <row r="2484" spans="1:22" x14ac:dyDescent="0.25">
      <c r="A2484">
        <v>2483</v>
      </c>
      <c r="B2484" s="1">
        <v>45587</v>
      </c>
      <c r="C2484" t="s">
        <v>21</v>
      </c>
      <c r="D2484" t="s">
        <v>17</v>
      </c>
      <c r="E2484">
        <v>99</v>
      </c>
      <c r="F2484">
        <v>18</v>
      </c>
      <c r="G2484">
        <v>1.5</v>
      </c>
      <c r="H2484" t="s">
        <v>12</v>
      </c>
      <c r="I2484" t="s">
        <v>19</v>
      </c>
      <c r="J2484" t="s">
        <v>11</v>
      </c>
      <c r="K2484">
        <f>_xlfn.XLOOKUP(tbl_analysis_tickets[[#This Row],[priority]],tbl_sla[priority],tbl_sla[Resolution SLA Hours])</f>
        <v>8</v>
      </c>
      <c r="L2484">
        <f>_xlfn.XLOOKUP(tbl_analysis_tickets[[#This Row],[priority]],tbl_sla[priority],tbl_sla[First Response SLA Minutes])</f>
        <v>30</v>
      </c>
      <c r="M2484" t="str">
        <f>IF(tbl_analysis_tickets[[#This Row],[resolution_time_hours]]&gt;tbl_analysis_tickets[[#This Row],[Resolution SLA Hours]],"Breached","Within SLA")</f>
        <v>Breached</v>
      </c>
      <c r="N2484" t="str">
        <f>IF(tbl_analysis_tickets[[#This Row],[first_response_minutes]]&gt;tbl_analysis_tickets[[#This Row],[First Response SLA Minutes]],"Breached","Within SLA")</f>
        <v>Breached</v>
      </c>
      <c r="O2484" t="str" cm="1">
        <f t="array" ref="O2484">_xlfn.IFS(
tbl_analysis_tickets[[#This Row],[agent_experience_years]]&lt;=2,"Junior",
tbl_analysis_tickets[[#This Row],[agent_experience_years]]&lt;=5,"Mid-Level",
tbl_analysis_tickets[[#This Row],[agent_experience_years]]&lt;=8,"Senior",
tbl_analysis_tickets[[#This Row],[agent_experience_years]]&gt;8,"Expert"
)</f>
        <v>Junior</v>
      </c>
      <c r="P2484" cm="1">
        <f t="array" ref="P2484">_xlfn.SWITCH(tbl_analysis_tickets[[#This Row],[customer_satisfaction]],
"Low",1,
"Medium",2,
"High",3
)</f>
        <v>1</v>
      </c>
      <c r="Q2484">
        <f>IF(tbl_analysis_tickets[[#This Row],[reopened]]="Yes",1,0)</f>
        <v>1</v>
      </c>
      <c r="R2484" t="str" cm="1">
        <f t="array" ref="R2484">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484" t="str" cm="1">
        <f t="array" ref="S248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484" t="str">
        <f>TEXT(tbl_analysis_tickets[[#This Row],[created_date]],"mmm-yyyy")</f>
        <v>Oct-2024</v>
      </c>
      <c r="U2484" t="str">
        <f>TEXT(tbl_analysis_tickets[[#This Row],[created_date]],"dddd")</f>
        <v>Tuesday</v>
      </c>
      <c r="V2484" cm="1">
        <f t="array" ref="V2484">_xlfn.SWITCH(tbl_analysis_tickets[[#This Row],[priority]],
"Urgent",1,
"High",2,
"Medium",3,
"Low",4
)</f>
        <v>1</v>
      </c>
    </row>
    <row r="2485" spans="1:22" x14ac:dyDescent="0.25">
      <c r="A2485">
        <v>2484</v>
      </c>
      <c r="B2485" s="1">
        <v>45564</v>
      </c>
      <c r="C2485" t="s">
        <v>21</v>
      </c>
      <c r="D2485" t="s">
        <v>20</v>
      </c>
      <c r="E2485">
        <v>196</v>
      </c>
      <c r="F2485">
        <v>70</v>
      </c>
      <c r="G2485">
        <v>3.1</v>
      </c>
      <c r="H2485" t="s">
        <v>18</v>
      </c>
      <c r="I2485" t="s">
        <v>19</v>
      </c>
      <c r="J2485" t="s">
        <v>11</v>
      </c>
      <c r="K2485">
        <f>_xlfn.XLOOKUP(tbl_analysis_tickets[[#This Row],[priority]],tbl_sla[priority],tbl_sla[Resolution SLA Hours])</f>
        <v>24</v>
      </c>
      <c r="L2485">
        <f>_xlfn.XLOOKUP(tbl_analysis_tickets[[#This Row],[priority]],tbl_sla[priority],tbl_sla[First Response SLA Minutes])</f>
        <v>60</v>
      </c>
      <c r="M2485" t="str">
        <f>IF(tbl_analysis_tickets[[#This Row],[resolution_time_hours]]&gt;tbl_analysis_tickets[[#This Row],[Resolution SLA Hours]],"Breached","Within SLA")</f>
        <v>Breached</v>
      </c>
      <c r="N2485" t="str">
        <f>IF(tbl_analysis_tickets[[#This Row],[first_response_minutes]]&gt;tbl_analysis_tickets[[#This Row],[First Response SLA Minutes]],"Breached","Within SLA")</f>
        <v>Breached</v>
      </c>
      <c r="O2485" t="str" cm="1">
        <f t="array" ref="O2485">_xlfn.IFS(
tbl_analysis_tickets[[#This Row],[agent_experience_years]]&lt;=2,"Junior",
tbl_analysis_tickets[[#This Row],[agent_experience_years]]&lt;=5,"Mid-Level",
tbl_analysis_tickets[[#This Row],[agent_experience_years]]&lt;=8,"Senior",
tbl_analysis_tickets[[#This Row],[agent_experience_years]]&gt;8,"Expert"
)</f>
        <v>Mid-Level</v>
      </c>
      <c r="P2485" cm="1">
        <f t="array" ref="P2485">_xlfn.SWITCH(tbl_analysis_tickets[[#This Row],[customer_satisfaction]],
"Low",1,
"Medium",2,
"High",3
)</f>
        <v>1</v>
      </c>
      <c r="Q2485">
        <f>IF(tbl_analysis_tickets[[#This Row],[reopened]]="Yes",1,0)</f>
        <v>0</v>
      </c>
      <c r="R2485" t="str" cm="1">
        <f t="array" ref="R2485">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485" t="str" cm="1">
        <f t="array" ref="S248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485" t="str">
        <f>TEXT(tbl_analysis_tickets[[#This Row],[created_date]],"mmm-yyyy")</f>
        <v>Sep-2024</v>
      </c>
      <c r="U2485" t="str">
        <f>TEXT(tbl_analysis_tickets[[#This Row],[created_date]],"dddd")</f>
        <v>Sunday</v>
      </c>
      <c r="V2485" cm="1">
        <f t="array" ref="V2485">_xlfn.SWITCH(tbl_analysis_tickets[[#This Row],[priority]],
"Urgent",1,
"High",2,
"Medium",3,
"Low",4
)</f>
        <v>2</v>
      </c>
    </row>
    <row r="2486" spans="1:22" x14ac:dyDescent="0.25">
      <c r="A2486">
        <v>2485</v>
      </c>
      <c r="B2486" s="1">
        <v>45638</v>
      </c>
      <c r="C2486" t="s">
        <v>23</v>
      </c>
      <c r="D2486" t="s">
        <v>17</v>
      </c>
      <c r="E2486">
        <v>49</v>
      </c>
      <c r="F2486">
        <v>59</v>
      </c>
      <c r="G2486">
        <v>9.1999999999999993</v>
      </c>
      <c r="H2486" t="s">
        <v>18</v>
      </c>
      <c r="I2486" t="s">
        <v>16</v>
      </c>
      <c r="J2486" t="s">
        <v>11</v>
      </c>
      <c r="K2486">
        <f>_xlfn.XLOOKUP(tbl_analysis_tickets[[#This Row],[priority]],tbl_sla[priority],tbl_sla[Resolution SLA Hours])</f>
        <v>8</v>
      </c>
      <c r="L2486">
        <f>_xlfn.XLOOKUP(tbl_analysis_tickets[[#This Row],[priority]],tbl_sla[priority],tbl_sla[First Response SLA Minutes])</f>
        <v>30</v>
      </c>
      <c r="M2486" t="str">
        <f>IF(tbl_analysis_tickets[[#This Row],[resolution_time_hours]]&gt;tbl_analysis_tickets[[#This Row],[Resolution SLA Hours]],"Breached","Within SLA")</f>
        <v>Breached</v>
      </c>
      <c r="N2486" t="str">
        <f>IF(tbl_analysis_tickets[[#This Row],[first_response_minutes]]&gt;tbl_analysis_tickets[[#This Row],[First Response SLA Minutes]],"Breached","Within SLA")</f>
        <v>Breached</v>
      </c>
      <c r="O2486" t="str" cm="1">
        <f t="array" ref="O2486">_xlfn.IFS(
tbl_analysis_tickets[[#This Row],[agent_experience_years]]&lt;=2,"Junior",
tbl_analysis_tickets[[#This Row],[agent_experience_years]]&lt;=5,"Mid-Level",
tbl_analysis_tickets[[#This Row],[agent_experience_years]]&lt;=8,"Senior",
tbl_analysis_tickets[[#This Row],[agent_experience_years]]&gt;8,"Expert"
)</f>
        <v>Expert</v>
      </c>
      <c r="P2486" cm="1">
        <f t="array" ref="P2486">_xlfn.SWITCH(tbl_analysis_tickets[[#This Row],[customer_satisfaction]],
"Low",1,
"Medium",2,
"High",3
)</f>
        <v>1</v>
      </c>
      <c r="Q2486">
        <f>IF(tbl_analysis_tickets[[#This Row],[reopened]]="Yes",1,0)</f>
        <v>0</v>
      </c>
      <c r="R2486" t="str" cm="1">
        <f t="array" ref="R2486">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486" t="str" cm="1">
        <f t="array" ref="S248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486" t="str">
        <f>TEXT(tbl_analysis_tickets[[#This Row],[created_date]],"mmm-yyyy")</f>
        <v>Dec-2024</v>
      </c>
      <c r="U2486" t="str">
        <f>TEXT(tbl_analysis_tickets[[#This Row],[created_date]],"dddd")</f>
        <v>Thursday</v>
      </c>
      <c r="V2486" cm="1">
        <f t="array" ref="V2486">_xlfn.SWITCH(tbl_analysis_tickets[[#This Row],[priority]],
"Urgent",1,
"High",2,
"Medium",3,
"Low",4
)</f>
        <v>1</v>
      </c>
    </row>
    <row r="2487" spans="1:22" x14ac:dyDescent="0.25">
      <c r="A2487">
        <v>2486</v>
      </c>
      <c r="B2487" s="1">
        <v>45368</v>
      </c>
      <c r="C2487" t="s">
        <v>21</v>
      </c>
      <c r="D2487" t="s">
        <v>20</v>
      </c>
      <c r="E2487">
        <v>190</v>
      </c>
      <c r="F2487">
        <v>72</v>
      </c>
      <c r="G2487">
        <v>5.9</v>
      </c>
      <c r="H2487" t="s">
        <v>12</v>
      </c>
      <c r="I2487" t="s">
        <v>16</v>
      </c>
      <c r="J2487" t="s">
        <v>11</v>
      </c>
      <c r="K2487">
        <f>_xlfn.XLOOKUP(tbl_analysis_tickets[[#This Row],[priority]],tbl_sla[priority],tbl_sla[Resolution SLA Hours])</f>
        <v>24</v>
      </c>
      <c r="L2487">
        <f>_xlfn.XLOOKUP(tbl_analysis_tickets[[#This Row],[priority]],tbl_sla[priority],tbl_sla[First Response SLA Minutes])</f>
        <v>60</v>
      </c>
      <c r="M2487" t="str">
        <f>IF(tbl_analysis_tickets[[#This Row],[resolution_time_hours]]&gt;tbl_analysis_tickets[[#This Row],[Resolution SLA Hours]],"Breached","Within SLA")</f>
        <v>Breached</v>
      </c>
      <c r="N2487" t="str">
        <f>IF(tbl_analysis_tickets[[#This Row],[first_response_minutes]]&gt;tbl_analysis_tickets[[#This Row],[First Response SLA Minutes]],"Breached","Within SLA")</f>
        <v>Breached</v>
      </c>
      <c r="O2487" t="str" cm="1">
        <f t="array" ref="O2487">_xlfn.IFS(
tbl_analysis_tickets[[#This Row],[agent_experience_years]]&lt;=2,"Junior",
tbl_analysis_tickets[[#This Row],[agent_experience_years]]&lt;=5,"Mid-Level",
tbl_analysis_tickets[[#This Row],[agent_experience_years]]&lt;=8,"Senior",
tbl_analysis_tickets[[#This Row],[agent_experience_years]]&gt;8,"Expert"
)</f>
        <v>Senior</v>
      </c>
      <c r="P2487" cm="1">
        <f t="array" ref="P2487">_xlfn.SWITCH(tbl_analysis_tickets[[#This Row],[customer_satisfaction]],
"Low",1,
"Medium",2,
"High",3
)</f>
        <v>1</v>
      </c>
      <c r="Q2487">
        <f>IF(tbl_analysis_tickets[[#This Row],[reopened]]="Yes",1,0)</f>
        <v>1</v>
      </c>
      <c r="R2487" t="str" cm="1">
        <f t="array" ref="R2487">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487" t="str" cm="1">
        <f t="array" ref="S248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487" t="str">
        <f>TEXT(tbl_analysis_tickets[[#This Row],[created_date]],"mmm-yyyy")</f>
        <v>Mar-2024</v>
      </c>
      <c r="U2487" t="str">
        <f>TEXT(tbl_analysis_tickets[[#This Row],[created_date]],"dddd")</f>
        <v>Sunday</v>
      </c>
      <c r="V2487" cm="1">
        <f t="array" ref="V2487">_xlfn.SWITCH(tbl_analysis_tickets[[#This Row],[priority]],
"Urgent",1,
"High",2,
"Medium",3,
"Low",4
)</f>
        <v>2</v>
      </c>
    </row>
    <row r="2488" spans="1:22" x14ac:dyDescent="0.25">
      <c r="A2488">
        <v>2487</v>
      </c>
      <c r="B2488" s="1">
        <v>45460</v>
      </c>
      <c r="C2488" t="s">
        <v>21</v>
      </c>
      <c r="D2488" t="s">
        <v>17</v>
      </c>
      <c r="E2488">
        <v>133</v>
      </c>
      <c r="F2488">
        <v>29</v>
      </c>
      <c r="G2488">
        <v>8.1999999999999993</v>
      </c>
      <c r="H2488" t="s">
        <v>12</v>
      </c>
      <c r="I2488" t="s">
        <v>13</v>
      </c>
      <c r="J2488" t="s">
        <v>11</v>
      </c>
      <c r="K2488">
        <f>_xlfn.XLOOKUP(tbl_analysis_tickets[[#This Row],[priority]],tbl_sla[priority],tbl_sla[Resolution SLA Hours])</f>
        <v>8</v>
      </c>
      <c r="L2488">
        <f>_xlfn.XLOOKUP(tbl_analysis_tickets[[#This Row],[priority]],tbl_sla[priority],tbl_sla[First Response SLA Minutes])</f>
        <v>30</v>
      </c>
      <c r="M2488" t="str">
        <f>IF(tbl_analysis_tickets[[#This Row],[resolution_time_hours]]&gt;tbl_analysis_tickets[[#This Row],[Resolution SLA Hours]],"Breached","Within SLA")</f>
        <v>Breached</v>
      </c>
      <c r="N2488" t="str">
        <f>IF(tbl_analysis_tickets[[#This Row],[first_response_minutes]]&gt;tbl_analysis_tickets[[#This Row],[First Response SLA Minutes]],"Breached","Within SLA")</f>
        <v>Breached</v>
      </c>
      <c r="O2488" t="str" cm="1">
        <f t="array" ref="O2488">_xlfn.IFS(
tbl_analysis_tickets[[#This Row],[agent_experience_years]]&lt;=2,"Junior",
tbl_analysis_tickets[[#This Row],[agent_experience_years]]&lt;=5,"Mid-Level",
tbl_analysis_tickets[[#This Row],[agent_experience_years]]&lt;=8,"Senior",
tbl_analysis_tickets[[#This Row],[agent_experience_years]]&gt;8,"Expert"
)</f>
        <v>Expert</v>
      </c>
      <c r="P2488" cm="1">
        <f t="array" ref="P2488">_xlfn.SWITCH(tbl_analysis_tickets[[#This Row],[customer_satisfaction]],
"Low",1,
"Medium",2,
"High",3
)</f>
        <v>1</v>
      </c>
      <c r="Q2488">
        <f>IF(tbl_analysis_tickets[[#This Row],[reopened]]="Yes",1,0)</f>
        <v>1</v>
      </c>
      <c r="R2488" t="str" cm="1">
        <f t="array" ref="R2488">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488" t="str" cm="1">
        <f t="array" ref="S248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488" t="str">
        <f>TEXT(tbl_analysis_tickets[[#This Row],[created_date]],"mmm-yyyy")</f>
        <v>Jun-2024</v>
      </c>
      <c r="U2488" t="str">
        <f>TEXT(tbl_analysis_tickets[[#This Row],[created_date]],"dddd")</f>
        <v>Monday</v>
      </c>
      <c r="V2488" cm="1">
        <f t="array" ref="V2488">_xlfn.SWITCH(tbl_analysis_tickets[[#This Row],[priority]],
"Urgent",1,
"High",2,
"Medium",3,
"Low",4
)</f>
        <v>1</v>
      </c>
    </row>
    <row r="2489" spans="1:22" x14ac:dyDescent="0.25">
      <c r="A2489">
        <v>2488</v>
      </c>
      <c r="B2489" s="1">
        <v>45481</v>
      </c>
      <c r="C2489" t="s">
        <v>21</v>
      </c>
      <c r="D2489" t="s">
        <v>17</v>
      </c>
      <c r="E2489">
        <v>123</v>
      </c>
      <c r="F2489">
        <v>56</v>
      </c>
      <c r="G2489">
        <v>8.5</v>
      </c>
      <c r="H2489" t="s">
        <v>12</v>
      </c>
      <c r="I2489" t="s">
        <v>13</v>
      </c>
      <c r="J2489" t="s">
        <v>11</v>
      </c>
      <c r="K2489">
        <f>_xlfn.XLOOKUP(tbl_analysis_tickets[[#This Row],[priority]],tbl_sla[priority],tbl_sla[Resolution SLA Hours])</f>
        <v>8</v>
      </c>
      <c r="L2489">
        <f>_xlfn.XLOOKUP(tbl_analysis_tickets[[#This Row],[priority]],tbl_sla[priority],tbl_sla[First Response SLA Minutes])</f>
        <v>30</v>
      </c>
      <c r="M2489" t="str">
        <f>IF(tbl_analysis_tickets[[#This Row],[resolution_time_hours]]&gt;tbl_analysis_tickets[[#This Row],[Resolution SLA Hours]],"Breached","Within SLA")</f>
        <v>Breached</v>
      </c>
      <c r="N2489" t="str">
        <f>IF(tbl_analysis_tickets[[#This Row],[first_response_minutes]]&gt;tbl_analysis_tickets[[#This Row],[First Response SLA Minutes]],"Breached","Within SLA")</f>
        <v>Breached</v>
      </c>
      <c r="O2489" t="str" cm="1">
        <f t="array" ref="O2489">_xlfn.IFS(
tbl_analysis_tickets[[#This Row],[agent_experience_years]]&lt;=2,"Junior",
tbl_analysis_tickets[[#This Row],[agent_experience_years]]&lt;=5,"Mid-Level",
tbl_analysis_tickets[[#This Row],[agent_experience_years]]&lt;=8,"Senior",
tbl_analysis_tickets[[#This Row],[agent_experience_years]]&gt;8,"Expert"
)</f>
        <v>Expert</v>
      </c>
      <c r="P2489" cm="1">
        <f t="array" ref="P2489">_xlfn.SWITCH(tbl_analysis_tickets[[#This Row],[customer_satisfaction]],
"Low",1,
"Medium",2,
"High",3
)</f>
        <v>1</v>
      </c>
      <c r="Q2489">
        <f>IF(tbl_analysis_tickets[[#This Row],[reopened]]="Yes",1,0)</f>
        <v>1</v>
      </c>
      <c r="R2489" t="str" cm="1">
        <f t="array" ref="R2489">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489" t="str" cm="1">
        <f t="array" ref="S248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489" t="str">
        <f>TEXT(tbl_analysis_tickets[[#This Row],[created_date]],"mmm-yyyy")</f>
        <v>Jul-2024</v>
      </c>
      <c r="U2489" t="str">
        <f>TEXT(tbl_analysis_tickets[[#This Row],[created_date]],"dddd")</f>
        <v>Monday</v>
      </c>
      <c r="V2489" cm="1">
        <f t="array" ref="V2489">_xlfn.SWITCH(tbl_analysis_tickets[[#This Row],[priority]],
"Urgent",1,
"High",2,
"Medium",3,
"Low",4
)</f>
        <v>1</v>
      </c>
    </row>
    <row r="2490" spans="1:22" x14ac:dyDescent="0.25">
      <c r="A2490">
        <v>2489</v>
      </c>
      <c r="B2490" s="1">
        <v>45352</v>
      </c>
      <c r="C2490" t="s">
        <v>21</v>
      </c>
      <c r="D2490" t="s">
        <v>17</v>
      </c>
      <c r="E2490">
        <v>142</v>
      </c>
      <c r="F2490">
        <v>17</v>
      </c>
      <c r="G2490">
        <v>2.4</v>
      </c>
      <c r="H2490" t="s">
        <v>18</v>
      </c>
      <c r="I2490" t="s">
        <v>19</v>
      </c>
      <c r="J2490" t="s">
        <v>11</v>
      </c>
      <c r="K2490">
        <f>_xlfn.XLOOKUP(tbl_analysis_tickets[[#This Row],[priority]],tbl_sla[priority],tbl_sla[Resolution SLA Hours])</f>
        <v>8</v>
      </c>
      <c r="L2490">
        <f>_xlfn.XLOOKUP(tbl_analysis_tickets[[#This Row],[priority]],tbl_sla[priority],tbl_sla[First Response SLA Minutes])</f>
        <v>30</v>
      </c>
      <c r="M2490" t="str">
        <f>IF(tbl_analysis_tickets[[#This Row],[resolution_time_hours]]&gt;tbl_analysis_tickets[[#This Row],[Resolution SLA Hours]],"Breached","Within SLA")</f>
        <v>Breached</v>
      </c>
      <c r="N2490" t="str">
        <f>IF(tbl_analysis_tickets[[#This Row],[first_response_minutes]]&gt;tbl_analysis_tickets[[#This Row],[First Response SLA Minutes]],"Breached","Within SLA")</f>
        <v>Breached</v>
      </c>
      <c r="O2490" t="str" cm="1">
        <f t="array" ref="O2490">_xlfn.IFS(
tbl_analysis_tickets[[#This Row],[agent_experience_years]]&lt;=2,"Junior",
tbl_analysis_tickets[[#This Row],[agent_experience_years]]&lt;=5,"Mid-Level",
tbl_analysis_tickets[[#This Row],[agent_experience_years]]&lt;=8,"Senior",
tbl_analysis_tickets[[#This Row],[agent_experience_years]]&gt;8,"Expert"
)</f>
        <v>Mid-Level</v>
      </c>
      <c r="P2490" cm="1">
        <f t="array" ref="P2490">_xlfn.SWITCH(tbl_analysis_tickets[[#This Row],[customer_satisfaction]],
"Low",1,
"Medium",2,
"High",3
)</f>
        <v>1</v>
      </c>
      <c r="Q2490">
        <f>IF(tbl_analysis_tickets[[#This Row],[reopened]]="Yes",1,0)</f>
        <v>0</v>
      </c>
      <c r="R2490" t="str" cm="1">
        <f t="array" ref="R2490">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490" t="str" cm="1">
        <f t="array" ref="S249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490" t="str">
        <f>TEXT(tbl_analysis_tickets[[#This Row],[created_date]],"mmm-yyyy")</f>
        <v>Mar-2024</v>
      </c>
      <c r="U2490" t="str">
        <f>TEXT(tbl_analysis_tickets[[#This Row],[created_date]],"dddd")</f>
        <v>Friday</v>
      </c>
      <c r="V2490" cm="1">
        <f t="array" ref="V2490">_xlfn.SWITCH(tbl_analysis_tickets[[#This Row],[priority]],
"Urgent",1,
"High",2,
"Medium",3,
"Low",4
)</f>
        <v>1</v>
      </c>
    </row>
    <row r="2491" spans="1:22" x14ac:dyDescent="0.25">
      <c r="A2491">
        <v>2490</v>
      </c>
      <c r="B2491" s="1">
        <v>45419</v>
      </c>
      <c r="C2491" t="s">
        <v>22</v>
      </c>
      <c r="D2491" t="s">
        <v>15</v>
      </c>
      <c r="E2491">
        <v>95</v>
      </c>
      <c r="F2491">
        <v>38</v>
      </c>
      <c r="G2491">
        <v>4.8</v>
      </c>
      <c r="H2491" t="s">
        <v>12</v>
      </c>
      <c r="I2491" t="s">
        <v>19</v>
      </c>
      <c r="J2491" t="s">
        <v>11</v>
      </c>
      <c r="K2491">
        <f>_xlfn.XLOOKUP(tbl_analysis_tickets[[#This Row],[priority]],tbl_sla[priority],tbl_sla[Resolution SLA Hours])</f>
        <v>48</v>
      </c>
      <c r="L2491">
        <f>_xlfn.XLOOKUP(tbl_analysis_tickets[[#This Row],[priority]],tbl_sla[priority],tbl_sla[First Response SLA Minutes])</f>
        <v>120</v>
      </c>
      <c r="M2491" t="str">
        <f>IF(tbl_analysis_tickets[[#This Row],[resolution_time_hours]]&gt;tbl_analysis_tickets[[#This Row],[Resolution SLA Hours]],"Breached","Within SLA")</f>
        <v>Within SLA</v>
      </c>
      <c r="N2491" t="str">
        <f>IF(tbl_analysis_tickets[[#This Row],[first_response_minutes]]&gt;tbl_analysis_tickets[[#This Row],[First Response SLA Minutes]],"Breached","Within SLA")</f>
        <v>Within SLA</v>
      </c>
      <c r="O2491" t="str" cm="1">
        <f t="array" ref="O2491">_xlfn.IFS(
tbl_analysis_tickets[[#This Row],[agent_experience_years]]&lt;=2,"Junior",
tbl_analysis_tickets[[#This Row],[agent_experience_years]]&lt;=5,"Mid-Level",
tbl_analysis_tickets[[#This Row],[agent_experience_years]]&lt;=8,"Senior",
tbl_analysis_tickets[[#This Row],[agent_experience_years]]&gt;8,"Expert"
)</f>
        <v>Mid-Level</v>
      </c>
      <c r="P2491" cm="1">
        <f t="array" ref="P2491">_xlfn.SWITCH(tbl_analysis_tickets[[#This Row],[customer_satisfaction]],
"Low",1,
"Medium",2,
"High",3
)</f>
        <v>1</v>
      </c>
      <c r="Q2491">
        <f>IF(tbl_analysis_tickets[[#This Row],[reopened]]="Yes",1,0)</f>
        <v>1</v>
      </c>
      <c r="R2491" t="str" cm="1">
        <f t="array" ref="R2491">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491" t="str" cm="1">
        <f t="array" ref="S249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491" t="str">
        <f>TEXT(tbl_analysis_tickets[[#This Row],[created_date]],"mmm-yyyy")</f>
        <v>May-2024</v>
      </c>
      <c r="U2491" t="str">
        <f>TEXT(tbl_analysis_tickets[[#This Row],[created_date]],"dddd")</f>
        <v>Tuesday</v>
      </c>
      <c r="V2491" cm="1">
        <f t="array" ref="V2491">_xlfn.SWITCH(tbl_analysis_tickets[[#This Row],[priority]],
"Urgent",1,
"High",2,
"Medium",3,
"Low",4
)</f>
        <v>3</v>
      </c>
    </row>
    <row r="2492" spans="1:22" x14ac:dyDescent="0.25">
      <c r="A2492">
        <v>2491</v>
      </c>
      <c r="B2492" s="1">
        <v>45391</v>
      </c>
      <c r="C2492" t="s">
        <v>22</v>
      </c>
      <c r="D2492" t="s">
        <v>20</v>
      </c>
      <c r="E2492">
        <v>46</v>
      </c>
      <c r="F2492">
        <v>8</v>
      </c>
      <c r="G2492">
        <v>4.9000000000000004</v>
      </c>
      <c r="H2492" t="s">
        <v>18</v>
      </c>
      <c r="I2492" t="s">
        <v>16</v>
      </c>
      <c r="J2492" t="s">
        <v>11</v>
      </c>
      <c r="K2492">
        <f>_xlfn.XLOOKUP(tbl_analysis_tickets[[#This Row],[priority]],tbl_sla[priority],tbl_sla[Resolution SLA Hours])</f>
        <v>24</v>
      </c>
      <c r="L2492">
        <f>_xlfn.XLOOKUP(tbl_analysis_tickets[[#This Row],[priority]],tbl_sla[priority],tbl_sla[First Response SLA Minutes])</f>
        <v>60</v>
      </c>
      <c r="M2492" t="str">
        <f>IF(tbl_analysis_tickets[[#This Row],[resolution_time_hours]]&gt;tbl_analysis_tickets[[#This Row],[Resolution SLA Hours]],"Breached","Within SLA")</f>
        <v>Within SLA</v>
      </c>
      <c r="N2492" t="str">
        <f>IF(tbl_analysis_tickets[[#This Row],[first_response_minutes]]&gt;tbl_analysis_tickets[[#This Row],[First Response SLA Minutes]],"Breached","Within SLA")</f>
        <v>Within SLA</v>
      </c>
      <c r="O2492" t="str" cm="1">
        <f t="array" ref="O2492">_xlfn.IFS(
tbl_analysis_tickets[[#This Row],[agent_experience_years]]&lt;=2,"Junior",
tbl_analysis_tickets[[#This Row],[agent_experience_years]]&lt;=5,"Mid-Level",
tbl_analysis_tickets[[#This Row],[agent_experience_years]]&lt;=8,"Senior",
tbl_analysis_tickets[[#This Row],[agent_experience_years]]&gt;8,"Expert"
)</f>
        <v>Mid-Level</v>
      </c>
      <c r="P2492" cm="1">
        <f t="array" ref="P2492">_xlfn.SWITCH(tbl_analysis_tickets[[#This Row],[customer_satisfaction]],
"Low",1,
"Medium",2,
"High",3
)</f>
        <v>1</v>
      </c>
      <c r="Q2492">
        <f>IF(tbl_analysis_tickets[[#This Row],[reopened]]="Yes",1,0)</f>
        <v>0</v>
      </c>
      <c r="R2492" t="str" cm="1">
        <f t="array" ref="R2492">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492" t="str" cm="1">
        <f t="array" ref="S249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2492" t="str">
        <f>TEXT(tbl_analysis_tickets[[#This Row],[created_date]],"mmm-yyyy")</f>
        <v>Apr-2024</v>
      </c>
      <c r="U2492" t="str">
        <f>TEXT(tbl_analysis_tickets[[#This Row],[created_date]],"dddd")</f>
        <v>Tuesday</v>
      </c>
      <c r="V2492" cm="1">
        <f t="array" ref="V2492">_xlfn.SWITCH(tbl_analysis_tickets[[#This Row],[priority]],
"Urgent",1,
"High",2,
"Medium",3,
"Low",4
)</f>
        <v>2</v>
      </c>
    </row>
    <row r="2493" spans="1:22" x14ac:dyDescent="0.25">
      <c r="A2493">
        <v>2492</v>
      </c>
      <c r="B2493" s="1">
        <v>45636</v>
      </c>
      <c r="C2493" t="s">
        <v>10</v>
      </c>
      <c r="D2493" t="s">
        <v>17</v>
      </c>
      <c r="E2493">
        <v>73</v>
      </c>
      <c r="F2493">
        <v>54</v>
      </c>
      <c r="G2493">
        <v>1.5</v>
      </c>
      <c r="H2493" t="s">
        <v>12</v>
      </c>
      <c r="I2493" t="s">
        <v>16</v>
      </c>
      <c r="J2493" t="s">
        <v>11</v>
      </c>
      <c r="K2493">
        <f>_xlfn.XLOOKUP(tbl_analysis_tickets[[#This Row],[priority]],tbl_sla[priority],tbl_sla[Resolution SLA Hours])</f>
        <v>8</v>
      </c>
      <c r="L2493">
        <f>_xlfn.XLOOKUP(tbl_analysis_tickets[[#This Row],[priority]],tbl_sla[priority],tbl_sla[First Response SLA Minutes])</f>
        <v>30</v>
      </c>
      <c r="M2493" t="str">
        <f>IF(tbl_analysis_tickets[[#This Row],[resolution_time_hours]]&gt;tbl_analysis_tickets[[#This Row],[Resolution SLA Hours]],"Breached","Within SLA")</f>
        <v>Breached</v>
      </c>
      <c r="N2493" t="str">
        <f>IF(tbl_analysis_tickets[[#This Row],[first_response_minutes]]&gt;tbl_analysis_tickets[[#This Row],[First Response SLA Minutes]],"Breached","Within SLA")</f>
        <v>Breached</v>
      </c>
      <c r="O2493" t="str" cm="1">
        <f t="array" ref="O2493">_xlfn.IFS(
tbl_analysis_tickets[[#This Row],[agent_experience_years]]&lt;=2,"Junior",
tbl_analysis_tickets[[#This Row],[agent_experience_years]]&lt;=5,"Mid-Level",
tbl_analysis_tickets[[#This Row],[agent_experience_years]]&lt;=8,"Senior",
tbl_analysis_tickets[[#This Row],[agent_experience_years]]&gt;8,"Expert"
)</f>
        <v>Junior</v>
      </c>
      <c r="P2493" cm="1">
        <f t="array" ref="P2493">_xlfn.SWITCH(tbl_analysis_tickets[[#This Row],[customer_satisfaction]],
"Low",1,
"Medium",2,
"High",3
)</f>
        <v>1</v>
      </c>
      <c r="Q2493">
        <f>IF(tbl_analysis_tickets[[#This Row],[reopened]]="Yes",1,0)</f>
        <v>1</v>
      </c>
      <c r="R2493" t="str" cm="1">
        <f t="array" ref="R2493">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493" t="str" cm="1">
        <f t="array" ref="S249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493" t="str">
        <f>TEXT(tbl_analysis_tickets[[#This Row],[created_date]],"mmm-yyyy")</f>
        <v>Dec-2024</v>
      </c>
      <c r="U2493" t="str">
        <f>TEXT(tbl_analysis_tickets[[#This Row],[created_date]],"dddd")</f>
        <v>Tuesday</v>
      </c>
      <c r="V2493" cm="1">
        <f t="array" ref="V2493">_xlfn.SWITCH(tbl_analysis_tickets[[#This Row],[priority]],
"Urgent",1,
"High",2,
"Medium",3,
"Low",4
)</f>
        <v>1</v>
      </c>
    </row>
    <row r="2494" spans="1:22" x14ac:dyDescent="0.25">
      <c r="A2494">
        <v>2493</v>
      </c>
      <c r="B2494" s="1">
        <v>45362</v>
      </c>
      <c r="C2494" t="s">
        <v>10</v>
      </c>
      <c r="D2494" t="s">
        <v>20</v>
      </c>
      <c r="E2494">
        <v>10</v>
      </c>
      <c r="F2494">
        <v>39</v>
      </c>
      <c r="G2494">
        <v>8.1999999999999993</v>
      </c>
      <c r="H2494" t="s">
        <v>12</v>
      </c>
      <c r="I2494" t="s">
        <v>16</v>
      </c>
      <c r="J2494" t="s">
        <v>15</v>
      </c>
      <c r="K2494">
        <f>_xlfn.XLOOKUP(tbl_analysis_tickets[[#This Row],[priority]],tbl_sla[priority],tbl_sla[Resolution SLA Hours])</f>
        <v>24</v>
      </c>
      <c r="L2494">
        <f>_xlfn.XLOOKUP(tbl_analysis_tickets[[#This Row],[priority]],tbl_sla[priority],tbl_sla[First Response SLA Minutes])</f>
        <v>60</v>
      </c>
      <c r="M2494" t="str">
        <f>IF(tbl_analysis_tickets[[#This Row],[resolution_time_hours]]&gt;tbl_analysis_tickets[[#This Row],[Resolution SLA Hours]],"Breached","Within SLA")</f>
        <v>Breached</v>
      </c>
      <c r="N2494" t="str">
        <f>IF(tbl_analysis_tickets[[#This Row],[first_response_minutes]]&gt;tbl_analysis_tickets[[#This Row],[First Response SLA Minutes]],"Breached","Within SLA")</f>
        <v>Within SLA</v>
      </c>
      <c r="O2494" t="str" cm="1">
        <f t="array" ref="O2494">_xlfn.IFS(
tbl_analysis_tickets[[#This Row],[agent_experience_years]]&lt;=2,"Junior",
tbl_analysis_tickets[[#This Row],[agent_experience_years]]&lt;=5,"Mid-Level",
tbl_analysis_tickets[[#This Row],[agent_experience_years]]&lt;=8,"Senior",
tbl_analysis_tickets[[#This Row],[agent_experience_years]]&gt;8,"Expert"
)</f>
        <v>Expert</v>
      </c>
      <c r="P2494" cm="1">
        <f t="array" ref="P2494">_xlfn.SWITCH(tbl_analysis_tickets[[#This Row],[customer_satisfaction]],
"Low",1,
"Medium",2,
"High",3
)</f>
        <v>2</v>
      </c>
      <c r="Q2494">
        <f>IF(tbl_analysis_tickets[[#This Row],[reopened]]="Yes",1,0)</f>
        <v>1</v>
      </c>
      <c r="R2494" t="str" cm="1">
        <f t="array" ref="R2494">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2494" t="str" cm="1">
        <f t="array" ref="S249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494" t="str">
        <f>TEXT(tbl_analysis_tickets[[#This Row],[created_date]],"mmm-yyyy")</f>
        <v>Mar-2024</v>
      </c>
      <c r="U2494" t="str">
        <f>TEXT(tbl_analysis_tickets[[#This Row],[created_date]],"dddd")</f>
        <v>Monday</v>
      </c>
      <c r="V2494" cm="1">
        <f t="array" ref="V2494">_xlfn.SWITCH(tbl_analysis_tickets[[#This Row],[priority]],
"Urgent",1,
"High",2,
"Medium",3,
"Low",4
)</f>
        <v>2</v>
      </c>
    </row>
    <row r="2495" spans="1:22" x14ac:dyDescent="0.25">
      <c r="A2495">
        <v>2494</v>
      </c>
      <c r="B2495" s="1">
        <v>45387</v>
      </c>
      <c r="C2495" t="s">
        <v>10</v>
      </c>
      <c r="D2495" t="s">
        <v>20</v>
      </c>
      <c r="E2495">
        <v>63</v>
      </c>
      <c r="F2495">
        <v>35</v>
      </c>
      <c r="G2495">
        <v>7.4</v>
      </c>
      <c r="H2495" t="s">
        <v>18</v>
      </c>
      <c r="I2495" t="s">
        <v>16</v>
      </c>
      <c r="J2495" t="s">
        <v>11</v>
      </c>
      <c r="K2495">
        <f>_xlfn.XLOOKUP(tbl_analysis_tickets[[#This Row],[priority]],tbl_sla[priority],tbl_sla[Resolution SLA Hours])</f>
        <v>24</v>
      </c>
      <c r="L2495">
        <f>_xlfn.XLOOKUP(tbl_analysis_tickets[[#This Row],[priority]],tbl_sla[priority],tbl_sla[First Response SLA Minutes])</f>
        <v>60</v>
      </c>
      <c r="M2495" t="str">
        <f>IF(tbl_analysis_tickets[[#This Row],[resolution_time_hours]]&gt;tbl_analysis_tickets[[#This Row],[Resolution SLA Hours]],"Breached","Within SLA")</f>
        <v>Breached</v>
      </c>
      <c r="N2495" t="str">
        <f>IF(tbl_analysis_tickets[[#This Row],[first_response_minutes]]&gt;tbl_analysis_tickets[[#This Row],[First Response SLA Minutes]],"Breached","Within SLA")</f>
        <v>Breached</v>
      </c>
      <c r="O2495" t="str" cm="1">
        <f t="array" ref="O2495">_xlfn.IFS(
tbl_analysis_tickets[[#This Row],[agent_experience_years]]&lt;=2,"Junior",
tbl_analysis_tickets[[#This Row],[agent_experience_years]]&lt;=5,"Mid-Level",
tbl_analysis_tickets[[#This Row],[agent_experience_years]]&lt;=8,"Senior",
tbl_analysis_tickets[[#This Row],[agent_experience_years]]&gt;8,"Expert"
)</f>
        <v>Senior</v>
      </c>
      <c r="P2495" cm="1">
        <f t="array" ref="P2495">_xlfn.SWITCH(tbl_analysis_tickets[[#This Row],[customer_satisfaction]],
"Low",1,
"Medium",2,
"High",3
)</f>
        <v>1</v>
      </c>
      <c r="Q2495">
        <f>IF(tbl_analysis_tickets[[#This Row],[reopened]]="Yes",1,0)</f>
        <v>0</v>
      </c>
      <c r="R2495" t="str" cm="1">
        <f t="array" ref="R2495">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495" t="str" cm="1">
        <f t="array" ref="S249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495" t="str">
        <f>TEXT(tbl_analysis_tickets[[#This Row],[created_date]],"mmm-yyyy")</f>
        <v>Apr-2024</v>
      </c>
      <c r="U2495" t="str">
        <f>TEXT(tbl_analysis_tickets[[#This Row],[created_date]],"dddd")</f>
        <v>Friday</v>
      </c>
      <c r="V2495" cm="1">
        <f t="array" ref="V2495">_xlfn.SWITCH(tbl_analysis_tickets[[#This Row],[priority]],
"Urgent",1,
"High",2,
"Medium",3,
"Low",4
)</f>
        <v>2</v>
      </c>
    </row>
    <row r="2496" spans="1:22" x14ac:dyDescent="0.25">
      <c r="A2496">
        <v>2495</v>
      </c>
      <c r="B2496" s="1">
        <v>45363</v>
      </c>
      <c r="C2496" t="s">
        <v>14</v>
      </c>
      <c r="D2496" t="s">
        <v>15</v>
      </c>
      <c r="E2496">
        <v>198</v>
      </c>
      <c r="F2496">
        <v>39</v>
      </c>
      <c r="G2496">
        <v>1.2</v>
      </c>
      <c r="H2496" t="s">
        <v>12</v>
      </c>
      <c r="I2496" t="s">
        <v>19</v>
      </c>
      <c r="J2496" t="s">
        <v>11</v>
      </c>
      <c r="K2496">
        <f>_xlfn.XLOOKUP(tbl_analysis_tickets[[#This Row],[priority]],tbl_sla[priority],tbl_sla[Resolution SLA Hours])</f>
        <v>48</v>
      </c>
      <c r="L2496">
        <f>_xlfn.XLOOKUP(tbl_analysis_tickets[[#This Row],[priority]],tbl_sla[priority],tbl_sla[First Response SLA Minutes])</f>
        <v>120</v>
      </c>
      <c r="M2496" t="str">
        <f>IF(tbl_analysis_tickets[[#This Row],[resolution_time_hours]]&gt;tbl_analysis_tickets[[#This Row],[Resolution SLA Hours]],"Breached","Within SLA")</f>
        <v>Within SLA</v>
      </c>
      <c r="N2496" t="str">
        <f>IF(tbl_analysis_tickets[[#This Row],[first_response_minutes]]&gt;tbl_analysis_tickets[[#This Row],[First Response SLA Minutes]],"Breached","Within SLA")</f>
        <v>Breached</v>
      </c>
      <c r="O2496" t="str" cm="1">
        <f t="array" ref="O2496">_xlfn.IFS(
tbl_analysis_tickets[[#This Row],[agent_experience_years]]&lt;=2,"Junior",
tbl_analysis_tickets[[#This Row],[agent_experience_years]]&lt;=5,"Mid-Level",
tbl_analysis_tickets[[#This Row],[agent_experience_years]]&lt;=8,"Senior",
tbl_analysis_tickets[[#This Row],[agent_experience_years]]&gt;8,"Expert"
)</f>
        <v>Junior</v>
      </c>
      <c r="P2496" cm="1">
        <f t="array" ref="P2496">_xlfn.SWITCH(tbl_analysis_tickets[[#This Row],[customer_satisfaction]],
"Low",1,
"Medium",2,
"High",3
)</f>
        <v>1</v>
      </c>
      <c r="Q2496">
        <f>IF(tbl_analysis_tickets[[#This Row],[reopened]]="Yes",1,0)</f>
        <v>1</v>
      </c>
      <c r="R2496" t="str" cm="1">
        <f t="array" ref="R2496">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496" t="str" cm="1">
        <f t="array" ref="S249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496" t="str">
        <f>TEXT(tbl_analysis_tickets[[#This Row],[created_date]],"mmm-yyyy")</f>
        <v>Mar-2024</v>
      </c>
      <c r="U2496" t="str">
        <f>TEXT(tbl_analysis_tickets[[#This Row],[created_date]],"dddd")</f>
        <v>Tuesday</v>
      </c>
      <c r="V2496" cm="1">
        <f t="array" ref="V2496">_xlfn.SWITCH(tbl_analysis_tickets[[#This Row],[priority]],
"Urgent",1,
"High",2,
"Medium",3,
"Low",4
)</f>
        <v>3</v>
      </c>
    </row>
    <row r="2497" spans="1:22" x14ac:dyDescent="0.25">
      <c r="A2497">
        <v>2496</v>
      </c>
      <c r="B2497" s="1">
        <v>45390</v>
      </c>
      <c r="C2497" t="s">
        <v>10</v>
      </c>
      <c r="D2497" t="s">
        <v>15</v>
      </c>
      <c r="E2497">
        <v>234</v>
      </c>
      <c r="F2497">
        <v>36</v>
      </c>
      <c r="G2497">
        <v>1.4</v>
      </c>
      <c r="H2497" t="s">
        <v>12</v>
      </c>
      <c r="I2497" t="s">
        <v>16</v>
      </c>
      <c r="J2497" t="s">
        <v>11</v>
      </c>
      <c r="K2497">
        <f>_xlfn.XLOOKUP(tbl_analysis_tickets[[#This Row],[priority]],tbl_sla[priority],tbl_sla[Resolution SLA Hours])</f>
        <v>48</v>
      </c>
      <c r="L2497">
        <f>_xlfn.XLOOKUP(tbl_analysis_tickets[[#This Row],[priority]],tbl_sla[priority],tbl_sla[First Response SLA Minutes])</f>
        <v>120</v>
      </c>
      <c r="M2497" t="str">
        <f>IF(tbl_analysis_tickets[[#This Row],[resolution_time_hours]]&gt;tbl_analysis_tickets[[#This Row],[Resolution SLA Hours]],"Breached","Within SLA")</f>
        <v>Within SLA</v>
      </c>
      <c r="N2497" t="str">
        <f>IF(tbl_analysis_tickets[[#This Row],[first_response_minutes]]&gt;tbl_analysis_tickets[[#This Row],[First Response SLA Minutes]],"Breached","Within SLA")</f>
        <v>Breached</v>
      </c>
      <c r="O2497" t="str" cm="1">
        <f t="array" ref="O2497">_xlfn.IFS(
tbl_analysis_tickets[[#This Row],[agent_experience_years]]&lt;=2,"Junior",
tbl_analysis_tickets[[#This Row],[agent_experience_years]]&lt;=5,"Mid-Level",
tbl_analysis_tickets[[#This Row],[agent_experience_years]]&lt;=8,"Senior",
tbl_analysis_tickets[[#This Row],[agent_experience_years]]&gt;8,"Expert"
)</f>
        <v>Junior</v>
      </c>
      <c r="P2497" cm="1">
        <f t="array" ref="P2497">_xlfn.SWITCH(tbl_analysis_tickets[[#This Row],[customer_satisfaction]],
"Low",1,
"Medium",2,
"High",3
)</f>
        <v>1</v>
      </c>
      <c r="Q2497">
        <f>IF(tbl_analysis_tickets[[#This Row],[reopened]]="Yes",1,0)</f>
        <v>1</v>
      </c>
      <c r="R2497" t="str" cm="1">
        <f t="array" ref="R2497">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497" t="str" cm="1">
        <f t="array" ref="S249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497" t="str">
        <f>TEXT(tbl_analysis_tickets[[#This Row],[created_date]],"mmm-yyyy")</f>
        <v>Apr-2024</v>
      </c>
      <c r="U2497" t="str">
        <f>TEXT(tbl_analysis_tickets[[#This Row],[created_date]],"dddd")</f>
        <v>Monday</v>
      </c>
      <c r="V2497" cm="1">
        <f t="array" ref="V2497">_xlfn.SWITCH(tbl_analysis_tickets[[#This Row],[priority]],
"Urgent",1,
"High",2,
"Medium",3,
"Low",4
)</f>
        <v>3</v>
      </c>
    </row>
    <row r="2498" spans="1:22" x14ac:dyDescent="0.25">
      <c r="A2498">
        <v>2497</v>
      </c>
      <c r="B2498" s="1">
        <v>45593</v>
      </c>
      <c r="C2498" t="s">
        <v>22</v>
      </c>
      <c r="D2498" t="s">
        <v>17</v>
      </c>
      <c r="E2498">
        <v>157</v>
      </c>
      <c r="F2498">
        <v>29</v>
      </c>
      <c r="G2498">
        <v>8.4</v>
      </c>
      <c r="H2498" t="s">
        <v>18</v>
      </c>
      <c r="I2498" t="s">
        <v>13</v>
      </c>
      <c r="J2498" t="s">
        <v>11</v>
      </c>
      <c r="K2498">
        <f>_xlfn.XLOOKUP(tbl_analysis_tickets[[#This Row],[priority]],tbl_sla[priority],tbl_sla[Resolution SLA Hours])</f>
        <v>8</v>
      </c>
      <c r="L2498">
        <f>_xlfn.XLOOKUP(tbl_analysis_tickets[[#This Row],[priority]],tbl_sla[priority],tbl_sla[First Response SLA Minutes])</f>
        <v>30</v>
      </c>
      <c r="M2498" t="str">
        <f>IF(tbl_analysis_tickets[[#This Row],[resolution_time_hours]]&gt;tbl_analysis_tickets[[#This Row],[Resolution SLA Hours]],"Breached","Within SLA")</f>
        <v>Breached</v>
      </c>
      <c r="N2498" t="str">
        <f>IF(tbl_analysis_tickets[[#This Row],[first_response_minutes]]&gt;tbl_analysis_tickets[[#This Row],[First Response SLA Minutes]],"Breached","Within SLA")</f>
        <v>Breached</v>
      </c>
      <c r="O2498" t="str" cm="1">
        <f t="array" ref="O2498">_xlfn.IFS(
tbl_analysis_tickets[[#This Row],[agent_experience_years]]&lt;=2,"Junior",
tbl_analysis_tickets[[#This Row],[agent_experience_years]]&lt;=5,"Mid-Level",
tbl_analysis_tickets[[#This Row],[agent_experience_years]]&lt;=8,"Senior",
tbl_analysis_tickets[[#This Row],[agent_experience_years]]&gt;8,"Expert"
)</f>
        <v>Expert</v>
      </c>
      <c r="P2498" cm="1">
        <f t="array" ref="P2498">_xlfn.SWITCH(tbl_analysis_tickets[[#This Row],[customer_satisfaction]],
"Low",1,
"Medium",2,
"High",3
)</f>
        <v>1</v>
      </c>
      <c r="Q2498">
        <f>IF(tbl_analysis_tickets[[#This Row],[reopened]]="Yes",1,0)</f>
        <v>0</v>
      </c>
      <c r="R2498" t="str" cm="1">
        <f t="array" ref="R2498">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498" t="str" cm="1">
        <f t="array" ref="S249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498" t="str">
        <f>TEXT(tbl_analysis_tickets[[#This Row],[created_date]],"mmm-yyyy")</f>
        <v>Oct-2024</v>
      </c>
      <c r="U2498" t="str">
        <f>TEXT(tbl_analysis_tickets[[#This Row],[created_date]],"dddd")</f>
        <v>Monday</v>
      </c>
      <c r="V2498" cm="1">
        <f t="array" ref="V2498">_xlfn.SWITCH(tbl_analysis_tickets[[#This Row],[priority]],
"Urgent",1,
"High",2,
"Medium",3,
"Low",4
)</f>
        <v>1</v>
      </c>
    </row>
    <row r="2499" spans="1:22" x14ac:dyDescent="0.25">
      <c r="A2499">
        <v>2498</v>
      </c>
      <c r="B2499" s="1">
        <v>45351</v>
      </c>
      <c r="C2499" t="s">
        <v>23</v>
      </c>
      <c r="D2499" t="s">
        <v>17</v>
      </c>
      <c r="E2499">
        <v>89</v>
      </c>
      <c r="F2499">
        <v>11</v>
      </c>
      <c r="G2499">
        <v>7</v>
      </c>
      <c r="H2499" t="s">
        <v>12</v>
      </c>
      <c r="I2499" t="s">
        <v>16</v>
      </c>
      <c r="J2499" t="s">
        <v>11</v>
      </c>
      <c r="K2499">
        <f>_xlfn.XLOOKUP(tbl_analysis_tickets[[#This Row],[priority]],tbl_sla[priority],tbl_sla[Resolution SLA Hours])</f>
        <v>8</v>
      </c>
      <c r="L2499">
        <f>_xlfn.XLOOKUP(tbl_analysis_tickets[[#This Row],[priority]],tbl_sla[priority],tbl_sla[First Response SLA Minutes])</f>
        <v>30</v>
      </c>
      <c r="M2499" t="str">
        <f>IF(tbl_analysis_tickets[[#This Row],[resolution_time_hours]]&gt;tbl_analysis_tickets[[#This Row],[Resolution SLA Hours]],"Breached","Within SLA")</f>
        <v>Breached</v>
      </c>
      <c r="N2499" t="str">
        <f>IF(tbl_analysis_tickets[[#This Row],[first_response_minutes]]&gt;tbl_analysis_tickets[[#This Row],[First Response SLA Minutes]],"Breached","Within SLA")</f>
        <v>Breached</v>
      </c>
      <c r="O2499" t="str" cm="1">
        <f t="array" ref="O2499">_xlfn.IFS(
tbl_analysis_tickets[[#This Row],[agent_experience_years]]&lt;=2,"Junior",
tbl_analysis_tickets[[#This Row],[agent_experience_years]]&lt;=5,"Mid-Level",
tbl_analysis_tickets[[#This Row],[agent_experience_years]]&lt;=8,"Senior",
tbl_analysis_tickets[[#This Row],[agent_experience_years]]&gt;8,"Expert"
)</f>
        <v>Senior</v>
      </c>
      <c r="P2499" cm="1">
        <f t="array" ref="P2499">_xlfn.SWITCH(tbl_analysis_tickets[[#This Row],[customer_satisfaction]],
"Low",1,
"Medium",2,
"High",3
)</f>
        <v>1</v>
      </c>
      <c r="Q2499">
        <f>IF(tbl_analysis_tickets[[#This Row],[reopened]]="Yes",1,0)</f>
        <v>1</v>
      </c>
      <c r="R2499" t="str" cm="1">
        <f t="array" ref="R2499">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499" t="str" cm="1">
        <f t="array" ref="S249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499" t="str">
        <f>TEXT(tbl_analysis_tickets[[#This Row],[created_date]],"mmm-yyyy")</f>
        <v>Feb-2024</v>
      </c>
      <c r="U2499" t="str">
        <f>TEXT(tbl_analysis_tickets[[#This Row],[created_date]],"dddd")</f>
        <v>Thursday</v>
      </c>
      <c r="V2499" cm="1">
        <f t="array" ref="V2499">_xlfn.SWITCH(tbl_analysis_tickets[[#This Row],[priority]],
"Urgent",1,
"High",2,
"Medium",3,
"Low",4
)</f>
        <v>1</v>
      </c>
    </row>
    <row r="2500" spans="1:22" x14ac:dyDescent="0.25">
      <c r="A2500">
        <v>2499</v>
      </c>
      <c r="B2500" s="1">
        <v>45531</v>
      </c>
      <c r="C2500" t="s">
        <v>14</v>
      </c>
      <c r="D2500" t="s">
        <v>11</v>
      </c>
      <c r="E2500">
        <v>96</v>
      </c>
      <c r="F2500">
        <v>64</v>
      </c>
      <c r="G2500">
        <v>4.4000000000000004</v>
      </c>
      <c r="H2500" t="s">
        <v>18</v>
      </c>
      <c r="I2500" t="s">
        <v>19</v>
      </c>
      <c r="J2500" t="s">
        <v>11</v>
      </c>
      <c r="K2500">
        <f>_xlfn.XLOOKUP(tbl_analysis_tickets[[#This Row],[priority]],tbl_sla[priority],tbl_sla[Resolution SLA Hours])</f>
        <v>72</v>
      </c>
      <c r="L2500">
        <f>_xlfn.XLOOKUP(tbl_analysis_tickets[[#This Row],[priority]],tbl_sla[priority],tbl_sla[First Response SLA Minutes])</f>
        <v>240</v>
      </c>
      <c r="M2500" t="str">
        <f>IF(tbl_analysis_tickets[[#This Row],[resolution_time_hours]]&gt;tbl_analysis_tickets[[#This Row],[Resolution SLA Hours]],"Breached","Within SLA")</f>
        <v>Within SLA</v>
      </c>
      <c r="N2500" t="str">
        <f>IF(tbl_analysis_tickets[[#This Row],[first_response_minutes]]&gt;tbl_analysis_tickets[[#This Row],[First Response SLA Minutes]],"Breached","Within SLA")</f>
        <v>Within SLA</v>
      </c>
      <c r="O2500" t="str" cm="1">
        <f t="array" ref="O2500">_xlfn.IFS(
tbl_analysis_tickets[[#This Row],[agent_experience_years]]&lt;=2,"Junior",
tbl_analysis_tickets[[#This Row],[agent_experience_years]]&lt;=5,"Mid-Level",
tbl_analysis_tickets[[#This Row],[agent_experience_years]]&lt;=8,"Senior",
tbl_analysis_tickets[[#This Row],[agent_experience_years]]&gt;8,"Expert"
)</f>
        <v>Mid-Level</v>
      </c>
      <c r="P2500" cm="1">
        <f t="array" ref="P2500">_xlfn.SWITCH(tbl_analysis_tickets[[#This Row],[customer_satisfaction]],
"Low",1,
"Medium",2,
"High",3
)</f>
        <v>1</v>
      </c>
      <c r="Q2500">
        <f>IF(tbl_analysis_tickets[[#This Row],[reopened]]="Yes",1,0)</f>
        <v>0</v>
      </c>
      <c r="R2500" t="str" cm="1">
        <f t="array" ref="R2500">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500" t="str" cm="1">
        <f t="array" ref="S250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500" t="str">
        <f>TEXT(tbl_analysis_tickets[[#This Row],[created_date]],"mmm-yyyy")</f>
        <v>Aug-2024</v>
      </c>
      <c r="U2500" t="str">
        <f>TEXT(tbl_analysis_tickets[[#This Row],[created_date]],"dddd")</f>
        <v>Tuesday</v>
      </c>
      <c r="V2500" cm="1">
        <f t="array" ref="V2500">_xlfn.SWITCH(tbl_analysis_tickets[[#This Row],[priority]],
"Urgent",1,
"High",2,
"Medium",3,
"Low",4
)</f>
        <v>4</v>
      </c>
    </row>
    <row r="2501" spans="1:22" x14ac:dyDescent="0.25">
      <c r="A2501">
        <v>2500</v>
      </c>
      <c r="B2501" s="1">
        <v>45547</v>
      </c>
      <c r="C2501" t="s">
        <v>22</v>
      </c>
      <c r="D2501" t="s">
        <v>20</v>
      </c>
      <c r="E2501">
        <v>131</v>
      </c>
      <c r="F2501">
        <v>70</v>
      </c>
      <c r="G2501">
        <v>2.1</v>
      </c>
      <c r="H2501" t="s">
        <v>18</v>
      </c>
      <c r="I2501" t="s">
        <v>13</v>
      </c>
      <c r="J2501" t="s">
        <v>11</v>
      </c>
      <c r="K2501">
        <f>_xlfn.XLOOKUP(tbl_analysis_tickets[[#This Row],[priority]],tbl_sla[priority],tbl_sla[Resolution SLA Hours])</f>
        <v>24</v>
      </c>
      <c r="L2501">
        <f>_xlfn.XLOOKUP(tbl_analysis_tickets[[#This Row],[priority]],tbl_sla[priority],tbl_sla[First Response SLA Minutes])</f>
        <v>60</v>
      </c>
      <c r="M2501" t="str">
        <f>IF(tbl_analysis_tickets[[#This Row],[resolution_time_hours]]&gt;tbl_analysis_tickets[[#This Row],[Resolution SLA Hours]],"Breached","Within SLA")</f>
        <v>Breached</v>
      </c>
      <c r="N2501" t="str">
        <f>IF(tbl_analysis_tickets[[#This Row],[first_response_minutes]]&gt;tbl_analysis_tickets[[#This Row],[First Response SLA Minutes]],"Breached","Within SLA")</f>
        <v>Breached</v>
      </c>
      <c r="O2501" t="str" cm="1">
        <f t="array" ref="O2501">_xlfn.IFS(
tbl_analysis_tickets[[#This Row],[agent_experience_years]]&lt;=2,"Junior",
tbl_analysis_tickets[[#This Row],[agent_experience_years]]&lt;=5,"Mid-Level",
tbl_analysis_tickets[[#This Row],[agent_experience_years]]&lt;=8,"Senior",
tbl_analysis_tickets[[#This Row],[agent_experience_years]]&gt;8,"Expert"
)</f>
        <v>Mid-Level</v>
      </c>
      <c r="P2501" cm="1">
        <f t="array" ref="P2501">_xlfn.SWITCH(tbl_analysis_tickets[[#This Row],[customer_satisfaction]],
"Low",1,
"Medium",2,
"High",3
)</f>
        <v>1</v>
      </c>
      <c r="Q2501">
        <f>IF(tbl_analysis_tickets[[#This Row],[reopened]]="Yes",1,0)</f>
        <v>0</v>
      </c>
      <c r="R2501" t="str" cm="1">
        <f t="array" ref="R2501">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501" t="str" cm="1">
        <f t="array" ref="S250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501" t="str">
        <f>TEXT(tbl_analysis_tickets[[#This Row],[created_date]],"mmm-yyyy")</f>
        <v>Sep-2024</v>
      </c>
      <c r="U2501" t="str">
        <f>TEXT(tbl_analysis_tickets[[#This Row],[created_date]],"dddd")</f>
        <v>Thursday</v>
      </c>
      <c r="V2501" cm="1">
        <f t="array" ref="V2501">_xlfn.SWITCH(tbl_analysis_tickets[[#This Row],[priority]],
"Urgent",1,
"High",2,
"Medium",3,
"Low",4
)</f>
        <v>2</v>
      </c>
    </row>
    <row r="2502" spans="1:22" x14ac:dyDescent="0.25">
      <c r="A2502">
        <v>2501</v>
      </c>
      <c r="B2502" s="1">
        <v>45615</v>
      </c>
      <c r="C2502" t="s">
        <v>14</v>
      </c>
      <c r="D2502" t="s">
        <v>20</v>
      </c>
      <c r="E2502">
        <v>113</v>
      </c>
      <c r="F2502">
        <v>15</v>
      </c>
      <c r="G2502">
        <v>7.1</v>
      </c>
      <c r="H2502" t="s">
        <v>18</v>
      </c>
      <c r="I2502" t="s">
        <v>19</v>
      </c>
      <c r="J2502" t="s">
        <v>11</v>
      </c>
      <c r="K2502">
        <f>_xlfn.XLOOKUP(tbl_analysis_tickets[[#This Row],[priority]],tbl_sla[priority],tbl_sla[Resolution SLA Hours])</f>
        <v>24</v>
      </c>
      <c r="L2502">
        <f>_xlfn.XLOOKUP(tbl_analysis_tickets[[#This Row],[priority]],tbl_sla[priority],tbl_sla[First Response SLA Minutes])</f>
        <v>60</v>
      </c>
      <c r="M2502" t="str">
        <f>IF(tbl_analysis_tickets[[#This Row],[resolution_time_hours]]&gt;tbl_analysis_tickets[[#This Row],[Resolution SLA Hours]],"Breached","Within SLA")</f>
        <v>Within SLA</v>
      </c>
      <c r="N2502" t="str">
        <f>IF(tbl_analysis_tickets[[#This Row],[first_response_minutes]]&gt;tbl_analysis_tickets[[#This Row],[First Response SLA Minutes]],"Breached","Within SLA")</f>
        <v>Breached</v>
      </c>
      <c r="O2502" t="str" cm="1">
        <f t="array" ref="O2502">_xlfn.IFS(
tbl_analysis_tickets[[#This Row],[agent_experience_years]]&lt;=2,"Junior",
tbl_analysis_tickets[[#This Row],[agent_experience_years]]&lt;=5,"Mid-Level",
tbl_analysis_tickets[[#This Row],[agent_experience_years]]&lt;=8,"Senior",
tbl_analysis_tickets[[#This Row],[agent_experience_years]]&gt;8,"Expert"
)</f>
        <v>Senior</v>
      </c>
      <c r="P2502" cm="1">
        <f t="array" ref="P2502">_xlfn.SWITCH(tbl_analysis_tickets[[#This Row],[customer_satisfaction]],
"Low",1,
"Medium",2,
"High",3
)</f>
        <v>1</v>
      </c>
      <c r="Q2502">
        <f>IF(tbl_analysis_tickets[[#This Row],[reopened]]="Yes",1,0)</f>
        <v>0</v>
      </c>
      <c r="R2502" t="str" cm="1">
        <f t="array" ref="R2502">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502" t="str" cm="1">
        <f t="array" ref="S250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502" t="str">
        <f>TEXT(tbl_analysis_tickets[[#This Row],[created_date]],"mmm-yyyy")</f>
        <v>Nov-2024</v>
      </c>
      <c r="U2502" t="str">
        <f>TEXT(tbl_analysis_tickets[[#This Row],[created_date]],"dddd")</f>
        <v>Tuesday</v>
      </c>
      <c r="V2502" cm="1">
        <f t="array" ref="V2502">_xlfn.SWITCH(tbl_analysis_tickets[[#This Row],[priority]],
"Urgent",1,
"High",2,
"Medium",3,
"Low",4
)</f>
        <v>2</v>
      </c>
    </row>
    <row r="2503" spans="1:22" x14ac:dyDescent="0.25">
      <c r="A2503">
        <v>2502</v>
      </c>
      <c r="B2503" s="1">
        <v>45309</v>
      </c>
      <c r="C2503" t="s">
        <v>23</v>
      </c>
      <c r="D2503" t="s">
        <v>17</v>
      </c>
      <c r="E2503">
        <v>61</v>
      </c>
      <c r="F2503">
        <v>23</v>
      </c>
      <c r="G2503">
        <v>1.1000000000000001</v>
      </c>
      <c r="H2503" t="s">
        <v>12</v>
      </c>
      <c r="I2503" t="s">
        <v>13</v>
      </c>
      <c r="J2503" t="s">
        <v>11</v>
      </c>
      <c r="K2503">
        <f>_xlfn.XLOOKUP(tbl_analysis_tickets[[#This Row],[priority]],tbl_sla[priority],tbl_sla[Resolution SLA Hours])</f>
        <v>8</v>
      </c>
      <c r="L2503">
        <f>_xlfn.XLOOKUP(tbl_analysis_tickets[[#This Row],[priority]],tbl_sla[priority],tbl_sla[First Response SLA Minutes])</f>
        <v>30</v>
      </c>
      <c r="M2503" t="str">
        <f>IF(tbl_analysis_tickets[[#This Row],[resolution_time_hours]]&gt;tbl_analysis_tickets[[#This Row],[Resolution SLA Hours]],"Breached","Within SLA")</f>
        <v>Breached</v>
      </c>
      <c r="N2503" t="str">
        <f>IF(tbl_analysis_tickets[[#This Row],[first_response_minutes]]&gt;tbl_analysis_tickets[[#This Row],[First Response SLA Minutes]],"Breached","Within SLA")</f>
        <v>Breached</v>
      </c>
      <c r="O2503" t="str" cm="1">
        <f t="array" ref="O2503">_xlfn.IFS(
tbl_analysis_tickets[[#This Row],[agent_experience_years]]&lt;=2,"Junior",
tbl_analysis_tickets[[#This Row],[agent_experience_years]]&lt;=5,"Mid-Level",
tbl_analysis_tickets[[#This Row],[agent_experience_years]]&lt;=8,"Senior",
tbl_analysis_tickets[[#This Row],[agent_experience_years]]&gt;8,"Expert"
)</f>
        <v>Junior</v>
      </c>
      <c r="P2503" cm="1">
        <f t="array" ref="P2503">_xlfn.SWITCH(tbl_analysis_tickets[[#This Row],[customer_satisfaction]],
"Low",1,
"Medium",2,
"High",3
)</f>
        <v>1</v>
      </c>
      <c r="Q2503">
        <f>IF(tbl_analysis_tickets[[#This Row],[reopened]]="Yes",1,0)</f>
        <v>1</v>
      </c>
      <c r="R2503" t="str" cm="1">
        <f t="array" ref="R2503">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503" t="str" cm="1">
        <f t="array" ref="S250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503" t="str">
        <f>TEXT(tbl_analysis_tickets[[#This Row],[created_date]],"mmm-yyyy")</f>
        <v>Jan-2024</v>
      </c>
      <c r="U2503" t="str">
        <f>TEXT(tbl_analysis_tickets[[#This Row],[created_date]],"dddd")</f>
        <v>Thursday</v>
      </c>
      <c r="V2503" cm="1">
        <f t="array" ref="V2503">_xlfn.SWITCH(tbl_analysis_tickets[[#This Row],[priority]],
"Urgent",1,
"High",2,
"Medium",3,
"Low",4
)</f>
        <v>1</v>
      </c>
    </row>
    <row r="2504" spans="1:22" x14ac:dyDescent="0.25">
      <c r="A2504">
        <v>2503</v>
      </c>
      <c r="B2504" s="1">
        <v>45504</v>
      </c>
      <c r="C2504" t="s">
        <v>14</v>
      </c>
      <c r="D2504" t="s">
        <v>17</v>
      </c>
      <c r="E2504">
        <v>17</v>
      </c>
      <c r="F2504">
        <v>19</v>
      </c>
      <c r="G2504">
        <v>4.2</v>
      </c>
      <c r="H2504" t="s">
        <v>12</v>
      </c>
      <c r="I2504" t="s">
        <v>13</v>
      </c>
      <c r="J2504" t="s">
        <v>11</v>
      </c>
      <c r="K2504">
        <f>_xlfn.XLOOKUP(tbl_analysis_tickets[[#This Row],[priority]],tbl_sla[priority],tbl_sla[Resolution SLA Hours])</f>
        <v>8</v>
      </c>
      <c r="L2504">
        <f>_xlfn.XLOOKUP(tbl_analysis_tickets[[#This Row],[priority]],tbl_sla[priority],tbl_sla[First Response SLA Minutes])</f>
        <v>30</v>
      </c>
      <c r="M2504" t="str">
        <f>IF(tbl_analysis_tickets[[#This Row],[resolution_time_hours]]&gt;tbl_analysis_tickets[[#This Row],[Resolution SLA Hours]],"Breached","Within SLA")</f>
        <v>Breached</v>
      </c>
      <c r="N2504" t="str">
        <f>IF(tbl_analysis_tickets[[#This Row],[first_response_minutes]]&gt;tbl_analysis_tickets[[#This Row],[First Response SLA Minutes]],"Breached","Within SLA")</f>
        <v>Within SLA</v>
      </c>
      <c r="O2504" t="str" cm="1">
        <f t="array" ref="O2504">_xlfn.IFS(
tbl_analysis_tickets[[#This Row],[agent_experience_years]]&lt;=2,"Junior",
tbl_analysis_tickets[[#This Row],[agent_experience_years]]&lt;=5,"Mid-Level",
tbl_analysis_tickets[[#This Row],[agent_experience_years]]&lt;=8,"Senior",
tbl_analysis_tickets[[#This Row],[agent_experience_years]]&gt;8,"Expert"
)</f>
        <v>Mid-Level</v>
      </c>
      <c r="P2504" cm="1">
        <f t="array" ref="P2504">_xlfn.SWITCH(tbl_analysis_tickets[[#This Row],[customer_satisfaction]],
"Low",1,
"Medium",2,
"High",3
)</f>
        <v>1</v>
      </c>
      <c r="Q2504">
        <f>IF(tbl_analysis_tickets[[#This Row],[reopened]]="Yes",1,0)</f>
        <v>1</v>
      </c>
      <c r="R2504" t="str" cm="1">
        <f t="array" ref="R2504">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2504" t="str" cm="1">
        <f t="array" ref="S250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504" t="str">
        <f>TEXT(tbl_analysis_tickets[[#This Row],[created_date]],"mmm-yyyy")</f>
        <v>Jul-2024</v>
      </c>
      <c r="U2504" t="str">
        <f>TEXT(tbl_analysis_tickets[[#This Row],[created_date]],"dddd")</f>
        <v>Wednesday</v>
      </c>
      <c r="V2504" cm="1">
        <f t="array" ref="V2504">_xlfn.SWITCH(tbl_analysis_tickets[[#This Row],[priority]],
"Urgent",1,
"High",2,
"Medium",3,
"Low",4
)</f>
        <v>1</v>
      </c>
    </row>
    <row r="2505" spans="1:22" x14ac:dyDescent="0.25">
      <c r="A2505">
        <v>2504</v>
      </c>
      <c r="B2505" s="1">
        <v>45605</v>
      </c>
      <c r="C2505" t="s">
        <v>14</v>
      </c>
      <c r="D2505" t="s">
        <v>20</v>
      </c>
      <c r="E2505">
        <v>189</v>
      </c>
      <c r="F2505">
        <v>63</v>
      </c>
      <c r="G2505">
        <v>2.5</v>
      </c>
      <c r="H2505" t="s">
        <v>12</v>
      </c>
      <c r="I2505" t="s">
        <v>13</v>
      </c>
      <c r="J2505" t="s">
        <v>11</v>
      </c>
      <c r="K2505">
        <f>_xlfn.XLOOKUP(tbl_analysis_tickets[[#This Row],[priority]],tbl_sla[priority],tbl_sla[Resolution SLA Hours])</f>
        <v>24</v>
      </c>
      <c r="L2505">
        <f>_xlfn.XLOOKUP(tbl_analysis_tickets[[#This Row],[priority]],tbl_sla[priority],tbl_sla[First Response SLA Minutes])</f>
        <v>60</v>
      </c>
      <c r="M2505" t="str">
        <f>IF(tbl_analysis_tickets[[#This Row],[resolution_time_hours]]&gt;tbl_analysis_tickets[[#This Row],[Resolution SLA Hours]],"Breached","Within SLA")</f>
        <v>Breached</v>
      </c>
      <c r="N2505" t="str">
        <f>IF(tbl_analysis_tickets[[#This Row],[first_response_minutes]]&gt;tbl_analysis_tickets[[#This Row],[First Response SLA Minutes]],"Breached","Within SLA")</f>
        <v>Breached</v>
      </c>
      <c r="O2505" t="str" cm="1">
        <f t="array" ref="O2505">_xlfn.IFS(
tbl_analysis_tickets[[#This Row],[agent_experience_years]]&lt;=2,"Junior",
tbl_analysis_tickets[[#This Row],[agent_experience_years]]&lt;=5,"Mid-Level",
tbl_analysis_tickets[[#This Row],[agent_experience_years]]&lt;=8,"Senior",
tbl_analysis_tickets[[#This Row],[agent_experience_years]]&gt;8,"Expert"
)</f>
        <v>Mid-Level</v>
      </c>
      <c r="P2505" cm="1">
        <f t="array" ref="P2505">_xlfn.SWITCH(tbl_analysis_tickets[[#This Row],[customer_satisfaction]],
"Low",1,
"Medium",2,
"High",3
)</f>
        <v>1</v>
      </c>
      <c r="Q2505">
        <f>IF(tbl_analysis_tickets[[#This Row],[reopened]]="Yes",1,0)</f>
        <v>1</v>
      </c>
      <c r="R2505" t="str" cm="1">
        <f t="array" ref="R2505">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505" t="str" cm="1">
        <f t="array" ref="S250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505" t="str">
        <f>TEXT(tbl_analysis_tickets[[#This Row],[created_date]],"mmm-yyyy")</f>
        <v>Nov-2024</v>
      </c>
      <c r="U2505" t="str">
        <f>TEXT(tbl_analysis_tickets[[#This Row],[created_date]],"dddd")</f>
        <v>Saturday</v>
      </c>
      <c r="V2505" cm="1">
        <f t="array" ref="V2505">_xlfn.SWITCH(tbl_analysis_tickets[[#This Row],[priority]],
"Urgent",1,
"High",2,
"Medium",3,
"Low",4
)</f>
        <v>2</v>
      </c>
    </row>
    <row r="2506" spans="1:22" x14ac:dyDescent="0.25">
      <c r="A2506">
        <v>2505</v>
      </c>
      <c r="B2506" s="1">
        <v>45445</v>
      </c>
      <c r="C2506" t="s">
        <v>23</v>
      </c>
      <c r="D2506" t="s">
        <v>17</v>
      </c>
      <c r="E2506">
        <v>56</v>
      </c>
      <c r="F2506">
        <v>55</v>
      </c>
      <c r="G2506">
        <v>3.9</v>
      </c>
      <c r="H2506" t="s">
        <v>18</v>
      </c>
      <c r="I2506" t="s">
        <v>19</v>
      </c>
      <c r="J2506" t="s">
        <v>11</v>
      </c>
      <c r="K2506">
        <f>_xlfn.XLOOKUP(tbl_analysis_tickets[[#This Row],[priority]],tbl_sla[priority],tbl_sla[Resolution SLA Hours])</f>
        <v>8</v>
      </c>
      <c r="L2506">
        <f>_xlfn.XLOOKUP(tbl_analysis_tickets[[#This Row],[priority]],tbl_sla[priority],tbl_sla[First Response SLA Minutes])</f>
        <v>30</v>
      </c>
      <c r="M2506" t="str">
        <f>IF(tbl_analysis_tickets[[#This Row],[resolution_time_hours]]&gt;tbl_analysis_tickets[[#This Row],[Resolution SLA Hours]],"Breached","Within SLA")</f>
        <v>Breached</v>
      </c>
      <c r="N2506" t="str">
        <f>IF(tbl_analysis_tickets[[#This Row],[first_response_minutes]]&gt;tbl_analysis_tickets[[#This Row],[First Response SLA Minutes]],"Breached","Within SLA")</f>
        <v>Breached</v>
      </c>
      <c r="O2506" t="str" cm="1">
        <f t="array" ref="O2506">_xlfn.IFS(
tbl_analysis_tickets[[#This Row],[agent_experience_years]]&lt;=2,"Junior",
tbl_analysis_tickets[[#This Row],[agent_experience_years]]&lt;=5,"Mid-Level",
tbl_analysis_tickets[[#This Row],[agent_experience_years]]&lt;=8,"Senior",
tbl_analysis_tickets[[#This Row],[agent_experience_years]]&gt;8,"Expert"
)</f>
        <v>Mid-Level</v>
      </c>
      <c r="P2506" cm="1">
        <f t="array" ref="P2506">_xlfn.SWITCH(tbl_analysis_tickets[[#This Row],[customer_satisfaction]],
"Low",1,
"Medium",2,
"High",3
)</f>
        <v>1</v>
      </c>
      <c r="Q2506">
        <f>IF(tbl_analysis_tickets[[#This Row],[reopened]]="Yes",1,0)</f>
        <v>0</v>
      </c>
      <c r="R2506" t="str" cm="1">
        <f t="array" ref="R2506">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506" t="str" cm="1">
        <f t="array" ref="S250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506" t="str">
        <f>TEXT(tbl_analysis_tickets[[#This Row],[created_date]],"mmm-yyyy")</f>
        <v>Jun-2024</v>
      </c>
      <c r="U2506" t="str">
        <f>TEXT(tbl_analysis_tickets[[#This Row],[created_date]],"dddd")</f>
        <v>Sunday</v>
      </c>
      <c r="V2506" cm="1">
        <f t="array" ref="V2506">_xlfn.SWITCH(tbl_analysis_tickets[[#This Row],[priority]],
"Urgent",1,
"High",2,
"Medium",3,
"Low",4
)</f>
        <v>1</v>
      </c>
    </row>
    <row r="2507" spans="1:22" x14ac:dyDescent="0.25">
      <c r="A2507">
        <v>2506</v>
      </c>
      <c r="B2507" s="1">
        <v>45620</v>
      </c>
      <c r="C2507" t="s">
        <v>21</v>
      </c>
      <c r="D2507" t="s">
        <v>17</v>
      </c>
      <c r="E2507">
        <v>174</v>
      </c>
      <c r="F2507">
        <v>67</v>
      </c>
      <c r="G2507">
        <v>1.5</v>
      </c>
      <c r="H2507" t="s">
        <v>12</v>
      </c>
      <c r="I2507" t="s">
        <v>16</v>
      </c>
      <c r="J2507" t="s">
        <v>11</v>
      </c>
      <c r="K2507">
        <f>_xlfn.XLOOKUP(tbl_analysis_tickets[[#This Row],[priority]],tbl_sla[priority],tbl_sla[Resolution SLA Hours])</f>
        <v>8</v>
      </c>
      <c r="L2507">
        <f>_xlfn.XLOOKUP(tbl_analysis_tickets[[#This Row],[priority]],tbl_sla[priority],tbl_sla[First Response SLA Minutes])</f>
        <v>30</v>
      </c>
      <c r="M2507" t="str">
        <f>IF(tbl_analysis_tickets[[#This Row],[resolution_time_hours]]&gt;tbl_analysis_tickets[[#This Row],[Resolution SLA Hours]],"Breached","Within SLA")</f>
        <v>Breached</v>
      </c>
      <c r="N2507" t="str">
        <f>IF(tbl_analysis_tickets[[#This Row],[first_response_minutes]]&gt;tbl_analysis_tickets[[#This Row],[First Response SLA Minutes]],"Breached","Within SLA")</f>
        <v>Breached</v>
      </c>
      <c r="O2507" t="str" cm="1">
        <f t="array" ref="O2507">_xlfn.IFS(
tbl_analysis_tickets[[#This Row],[agent_experience_years]]&lt;=2,"Junior",
tbl_analysis_tickets[[#This Row],[agent_experience_years]]&lt;=5,"Mid-Level",
tbl_analysis_tickets[[#This Row],[agent_experience_years]]&lt;=8,"Senior",
tbl_analysis_tickets[[#This Row],[agent_experience_years]]&gt;8,"Expert"
)</f>
        <v>Junior</v>
      </c>
      <c r="P2507" cm="1">
        <f t="array" ref="P2507">_xlfn.SWITCH(tbl_analysis_tickets[[#This Row],[customer_satisfaction]],
"Low",1,
"Medium",2,
"High",3
)</f>
        <v>1</v>
      </c>
      <c r="Q2507">
        <f>IF(tbl_analysis_tickets[[#This Row],[reopened]]="Yes",1,0)</f>
        <v>1</v>
      </c>
      <c r="R2507" t="str" cm="1">
        <f t="array" ref="R2507">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507" t="str" cm="1">
        <f t="array" ref="S250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507" t="str">
        <f>TEXT(tbl_analysis_tickets[[#This Row],[created_date]],"mmm-yyyy")</f>
        <v>Nov-2024</v>
      </c>
      <c r="U2507" t="str">
        <f>TEXT(tbl_analysis_tickets[[#This Row],[created_date]],"dddd")</f>
        <v>Sunday</v>
      </c>
      <c r="V2507" cm="1">
        <f t="array" ref="V2507">_xlfn.SWITCH(tbl_analysis_tickets[[#This Row],[priority]],
"Urgent",1,
"High",2,
"Medium",3,
"Low",4
)</f>
        <v>1</v>
      </c>
    </row>
    <row r="2508" spans="1:22" x14ac:dyDescent="0.25">
      <c r="A2508">
        <v>2507</v>
      </c>
      <c r="B2508" s="1">
        <v>45297</v>
      </c>
      <c r="C2508" t="s">
        <v>22</v>
      </c>
      <c r="D2508" t="s">
        <v>15</v>
      </c>
      <c r="E2508">
        <v>239</v>
      </c>
      <c r="F2508">
        <v>11</v>
      </c>
      <c r="G2508">
        <v>9.6999999999999993</v>
      </c>
      <c r="H2508" t="s">
        <v>12</v>
      </c>
      <c r="I2508" t="s">
        <v>19</v>
      </c>
      <c r="J2508" t="s">
        <v>11</v>
      </c>
      <c r="K2508">
        <f>_xlfn.XLOOKUP(tbl_analysis_tickets[[#This Row],[priority]],tbl_sla[priority],tbl_sla[Resolution SLA Hours])</f>
        <v>48</v>
      </c>
      <c r="L2508">
        <f>_xlfn.XLOOKUP(tbl_analysis_tickets[[#This Row],[priority]],tbl_sla[priority],tbl_sla[First Response SLA Minutes])</f>
        <v>120</v>
      </c>
      <c r="M2508" t="str">
        <f>IF(tbl_analysis_tickets[[#This Row],[resolution_time_hours]]&gt;tbl_analysis_tickets[[#This Row],[Resolution SLA Hours]],"Breached","Within SLA")</f>
        <v>Within SLA</v>
      </c>
      <c r="N2508" t="str">
        <f>IF(tbl_analysis_tickets[[#This Row],[first_response_minutes]]&gt;tbl_analysis_tickets[[#This Row],[First Response SLA Minutes]],"Breached","Within SLA")</f>
        <v>Breached</v>
      </c>
      <c r="O2508" t="str" cm="1">
        <f t="array" ref="O2508">_xlfn.IFS(
tbl_analysis_tickets[[#This Row],[agent_experience_years]]&lt;=2,"Junior",
tbl_analysis_tickets[[#This Row],[agent_experience_years]]&lt;=5,"Mid-Level",
tbl_analysis_tickets[[#This Row],[agent_experience_years]]&lt;=8,"Senior",
tbl_analysis_tickets[[#This Row],[agent_experience_years]]&gt;8,"Expert"
)</f>
        <v>Expert</v>
      </c>
      <c r="P2508" cm="1">
        <f t="array" ref="P2508">_xlfn.SWITCH(tbl_analysis_tickets[[#This Row],[customer_satisfaction]],
"Low",1,
"Medium",2,
"High",3
)</f>
        <v>1</v>
      </c>
      <c r="Q2508">
        <f>IF(tbl_analysis_tickets[[#This Row],[reopened]]="Yes",1,0)</f>
        <v>1</v>
      </c>
      <c r="R2508" t="str" cm="1">
        <f t="array" ref="R2508">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508" t="str" cm="1">
        <f t="array" ref="S250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508" t="str">
        <f>TEXT(tbl_analysis_tickets[[#This Row],[created_date]],"mmm-yyyy")</f>
        <v>Jan-2024</v>
      </c>
      <c r="U2508" t="str">
        <f>TEXT(tbl_analysis_tickets[[#This Row],[created_date]],"dddd")</f>
        <v>Saturday</v>
      </c>
      <c r="V2508" cm="1">
        <f t="array" ref="V2508">_xlfn.SWITCH(tbl_analysis_tickets[[#This Row],[priority]],
"Urgent",1,
"High",2,
"Medium",3,
"Low",4
)</f>
        <v>3</v>
      </c>
    </row>
    <row r="2509" spans="1:22" x14ac:dyDescent="0.25">
      <c r="A2509">
        <v>2508</v>
      </c>
      <c r="B2509" s="1">
        <v>45439</v>
      </c>
      <c r="C2509" t="s">
        <v>10</v>
      </c>
      <c r="D2509" t="s">
        <v>11</v>
      </c>
      <c r="E2509">
        <v>186</v>
      </c>
      <c r="F2509">
        <v>16</v>
      </c>
      <c r="G2509">
        <v>8.6999999999999993</v>
      </c>
      <c r="H2509" t="s">
        <v>12</v>
      </c>
      <c r="I2509" t="s">
        <v>16</v>
      </c>
      <c r="J2509" t="s">
        <v>11</v>
      </c>
      <c r="K2509">
        <f>_xlfn.XLOOKUP(tbl_analysis_tickets[[#This Row],[priority]],tbl_sla[priority],tbl_sla[Resolution SLA Hours])</f>
        <v>72</v>
      </c>
      <c r="L2509">
        <f>_xlfn.XLOOKUP(tbl_analysis_tickets[[#This Row],[priority]],tbl_sla[priority],tbl_sla[First Response SLA Minutes])</f>
        <v>240</v>
      </c>
      <c r="M2509" t="str">
        <f>IF(tbl_analysis_tickets[[#This Row],[resolution_time_hours]]&gt;tbl_analysis_tickets[[#This Row],[Resolution SLA Hours]],"Breached","Within SLA")</f>
        <v>Within SLA</v>
      </c>
      <c r="N2509" t="str">
        <f>IF(tbl_analysis_tickets[[#This Row],[first_response_minutes]]&gt;tbl_analysis_tickets[[#This Row],[First Response SLA Minutes]],"Breached","Within SLA")</f>
        <v>Within SLA</v>
      </c>
      <c r="O2509" t="str" cm="1">
        <f t="array" ref="O2509">_xlfn.IFS(
tbl_analysis_tickets[[#This Row],[agent_experience_years]]&lt;=2,"Junior",
tbl_analysis_tickets[[#This Row],[agent_experience_years]]&lt;=5,"Mid-Level",
tbl_analysis_tickets[[#This Row],[agent_experience_years]]&lt;=8,"Senior",
tbl_analysis_tickets[[#This Row],[agent_experience_years]]&gt;8,"Expert"
)</f>
        <v>Expert</v>
      </c>
      <c r="P2509" cm="1">
        <f t="array" ref="P2509">_xlfn.SWITCH(tbl_analysis_tickets[[#This Row],[customer_satisfaction]],
"Low",1,
"Medium",2,
"High",3
)</f>
        <v>1</v>
      </c>
      <c r="Q2509">
        <f>IF(tbl_analysis_tickets[[#This Row],[reopened]]="Yes",1,0)</f>
        <v>1</v>
      </c>
      <c r="R2509" t="str" cm="1">
        <f t="array" ref="R2509">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509" t="str" cm="1">
        <f t="array" ref="S250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509" t="str">
        <f>TEXT(tbl_analysis_tickets[[#This Row],[created_date]],"mmm-yyyy")</f>
        <v>May-2024</v>
      </c>
      <c r="U2509" t="str">
        <f>TEXT(tbl_analysis_tickets[[#This Row],[created_date]],"dddd")</f>
        <v>Monday</v>
      </c>
      <c r="V2509" cm="1">
        <f t="array" ref="V2509">_xlfn.SWITCH(tbl_analysis_tickets[[#This Row],[priority]],
"Urgent",1,
"High",2,
"Medium",3,
"Low",4
)</f>
        <v>4</v>
      </c>
    </row>
    <row r="2510" spans="1:22" x14ac:dyDescent="0.25">
      <c r="A2510">
        <v>2509</v>
      </c>
      <c r="B2510" s="1">
        <v>45621</v>
      </c>
      <c r="C2510" t="s">
        <v>22</v>
      </c>
      <c r="D2510" t="s">
        <v>17</v>
      </c>
      <c r="E2510">
        <v>102</v>
      </c>
      <c r="F2510">
        <v>46</v>
      </c>
      <c r="G2510">
        <v>3.4</v>
      </c>
      <c r="H2510" t="s">
        <v>18</v>
      </c>
      <c r="I2510" t="s">
        <v>13</v>
      </c>
      <c r="J2510" t="s">
        <v>11</v>
      </c>
      <c r="K2510">
        <f>_xlfn.XLOOKUP(tbl_analysis_tickets[[#This Row],[priority]],tbl_sla[priority],tbl_sla[Resolution SLA Hours])</f>
        <v>8</v>
      </c>
      <c r="L2510">
        <f>_xlfn.XLOOKUP(tbl_analysis_tickets[[#This Row],[priority]],tbl_sla[priority],tbl_sla[First Response SLA Minutes])</f>
        <v>30</v>
      </c>
      <c r="M2510" t="str">
        <f>IF(tbl_analysis_tickets[[#This Row],[resolution_time_hours]]&gt;tbl_analysis_tickets[[#This Row],[Resolution SLA Hours]],"Breached","Within SLA")</f>
        <v>Breached</v>
      </c>
      <c r="N2510" t="str">
        <f>IF(tbl_analysis_tickets[[#This Row],[first_response_minutes]]&gt;tbl_analysis_tickets[[#This Row],[First Response SLA Minutes]],"Breached","Within SLA")</f>
        <v>Breached</v>
      </c>
      <c r="O2510" t="str" cm="1">
        <f t="array" ref="O2510">_xlfn.IFS(
tbl_analysis_tickets[[#This Row],[agent_experience_years]]&lt;=2,"Junior",
tbl_analysis_tickets[[#This Row],[agent_experience_years]]&lt;=5,"Mid-Level",
tbl_analysis_tickets[[#This Row],[agent_experience_years]]&lt;=8,"Senior",
tbl_analysis_tickets[[#This Row],[agent_experience_years]]&gt;8,"Expert"
)</f>
        <v>Mid-Level</v>
      </c>
      <c r="P2510" cm="1">
        <f t="array" ref="P2510">_xlfn.SWITCH(tbl_analysis_tickets[[#This Row],[customer_satisfaction]],
"Low",1,
"Medium",2,
"High",3
)</f>
        <v>1</v>
      </c>
      <c r="Q2510">
        <f>IF(tbl_analysis_tickets[[#This Row],[reopened]]="Yes",1,0)</f>
        <v>0</v>
      </c>
      <c r="R2510" t="str" cm="1">
        <f t="array" ref="R2510">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510" t="str" cm="1">
        <f t="array" ref="S251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510" t="str">
        <f>TEXT(tbl_analysis_tickets[[#This Row],[created_date]],"mmm-yyyy")</f>
        <v>Nov-2024</v>
      </c>
      <c r="U2510" t="str">
        <f>TEXT(tbl_analysis_tickets[[#This Row],[created_date]],"dddd")</f>
        <v>Monday</v>
      </c>
      <c r="V2510" cm="1">
        <f t="array" ref="V2510">_xlfn.SWITCH(tbl_analysis_tickets[[#This Row],[priority]],
"Urgent",1,
"High",2,
"Medium",3,
"Low",4
)</f>
        <v>1</v>
      </c>
    </row>
    <row r="2511" spans="1:22" x14ac:dyDescent="0.25">
      <c r="A2511">
        <v>2510</v>
      </c>
      <c r="B2511" s="1">
        <v>45370</v>
      </c>
      <c r="C2511" t="s">
        <v>23</v>
      </c>
      <c r="D2511" t="s">
        <v>11</v>
      </c>
      <c r="E2511">
        <v>191</v>
      </c>
      <c r="F2511">
        <v>23</v>
      </c>
      <c r="G2511">
        <v>6.2</v>
      </c>
      <c r="H2511" t="s">
        <v>12</v>
      </c>
      <c r="I2511" t="s">
        <v>16</v>
      </c>
      <c r="J2511" t="s">
        <v>11</v>
      </c>
      <c r="K2511">
        <f>_xlfn.XLOOKUP(tbl_analysis_tickets[[#This Row],[priority]],tbl_sla[priority],tbl_sla[Resolution SLA Hours])</f>
        <v>72</v>
      </c>
      <c r="L2511">
        <f>_xlfn.XLOOKUP(tbl_analysis_tickets[[#This Row],[priority]],tbl_sla[priority],tbl_sla[First Response SLA Minutes])</f>
        <v>240</v>
      </c>
      <c r="M2511" t="str">
        <f>IF(tbl_analysis_tickets[[#This Row],[resolution_time_hours]]&gt;tbl_analysis_tickets[[#This Row],[Resolution SLA Hours]],"Breached","Within SLA")</f>
        <v>Within SLA</v>
      </c>
      <c r="N2511" t="str">
        <f>IF(tbl_analysis_tickets[[#This Row],[first_response_minutes]]&gt;tbl_analysis_tickets[[#This Row],[First Response SLA Minutes]],"Breached","Within SLA")</f>
        <v>Within SLA</v>
      </c>
      <c r="O2511" t="str" cm="1">
        <f t="array" ref="O2511">_xlfn.IFS(
tbl_analysis_tickets[[#This Row],[agent_experience_years]]&lt;=2,"Junior",
tbl_analysis_tickets[[#This Row],[agent_experience_years]]&lt;=5,"Mid-Level",
tbl_analysis_tickets[[#This Row],[agent_experience_years]]&lt;=8,"Senior",
tbl_analysis_tickets[[#This Row],[agent_experience_years]]&gt;8,"Expert"
)</f>
        <v>Senior</v>
      </c>
      <c r="P2511" cm="1">
        <f t="array" ref="P2511">_xlfn.SWITCH(tbl_analysis_tickets[[#This Row],[customer_satisfaction]],
"Low",1,
"Medium",2,
"High",3
)</f>
        <v>1</v>
      </c>
      <c r="Q2511">
        <f>IF(tbl_analysis_tickets[[#This Row],[reopened]]="Yes",1,0)</f>
        <v>1</v>
      </c>
      <c r="R2511" t="str" cm="1">
        <f t="array" ref="R2511">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511" t="str" cm="1">
        <f t="array" ref="S251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511" t="str">
        <f>TEXT(tbl_analysis_tickets[[#This Row],[created_date]],"mmm-yyyy")</f>
        <v>Mar-2024</v>
      </c>
      <c r="U2511" t="str">
        <f>TEXT(tbl_analysis_tickets[[#This Row],[created_date]],"dddd")</f>
        <v>Tuesday</v>
      </c>
      <c r="V2511" cm="1">
        <f t="array" ref="V2511">_xlfn.SWITCH(tbl_analysis_tickets[[#This Row],[priority]],
"Urgent",1,
"High",2,
"Medium",3,
"Low",4
)</f>
        <v>4</v>
      </c>
    </row>
    <row r="2512" spans="1:22" x14ac:dyDescent="0.25">
      <c r="A2512">
        <v>2511</v>
      </c>
      <c r="B2512" s="1">
        <v>45411</v>
      </c>
      <c r="C2512" t="s">
        <v>14</v>
      </c>
      <c r="D2512" t="s">
        <v>11</v>
      </c>
      <c r="E2512">
        <v>37</v>
      </c>
      <c r="F2512">
        <v>30</v>
      </c>
      <c r="G2512">
        <v>6.2</v>
      </c>
      <c r="H2512" t="s">
        <v>12</v>
      </c>
      <c r="I2512" t="s">
        <v>19</v>
      </c>
      <c r="J2512" t="s">
        <v>11</v>
      </c>
      <c r="K2512">
        <f>_xlfn.XLOOKUP(tbl_analysis_tickets[[#This Row],[priority]],tbl_sla[priority],tbl_sla[Resolution SLA Hours])</f>
        <v>72</v>
      </c>
      <c r="L2512">
        <f>_xlfn.XLOOKUP(tbl_analysis_tickets[[#This Row],[priority]],tbl_sla[priority],tbl_sla[First Response SLA Minutes])</f>
        <v>240</v>
      </c>
      <c r="M2512" t="str">
        <f>IF(tbl_analysis_tickets[[#This Row],[resolution_time_hours]]&gt;tbl_analysis_tickets[[#This Row],[Resolution SLA Hours]],"Breached","Within SLA")</f>
        <v>Within SLA</v>
      </c>
      <c r="N2512" t="str">
        <f>IF(tbl_analysis_tickets[[#This Row],[first_response_minutes]]&gt;tbl_analysis_tickets[[#This Row],[First Response SLA Minutes]],"Breached","Within SLA")</f>
        <v>Within SLA</v>
      </c>
      <c r="O2512" t="str" cm="1">
        <f t="array" ref="O2512">_xlfn.IFS(
tbl_analysis_tickets[[#This Row],[agent_experience_years]]&lt;=2,"Junior",
tbl_analysis_tickets[[#This Row],[agent_experience_years]]&lt;=5,"Mid-Level",
tbl_analysis_tickets[[#This Row],[agent_experience_years]]&lt;=8,"Senior",
tbl_analysis_tickets[[#This Row],[agent_experience_years]]&gt;8,"Expert"
)</f>
        <v>Senior</v>
      </c>
      <c r="P2512" cm="1">
        <f t="array" ref="P2512">_xlfn.SWITCH(tbl_analysis_tickets[[#This Row],[customer_satisfaction]],
"Low",1,
"Medium",2,
"High",3
)</f>
        <v>1</v>
      </c>
      <c r="Q2512">
        <f>IF(tbl_analysis_tickets[[#This Row],[reopened]]="Yes",1,0)</f>
        <v>1</v>
      </c>
      <c r="R2512" t="str" cm="1">
        <f t="array" ref="R2512">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512" t="str" cm="1">
        <f t="array" ref="S251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512" t="str">
        <f>TEXT(tbl_analysis_tickets[[#This Row],[created_date]],"mmm-yyyy")</f>
        <v>Apr-2024</v>
      </c>
      <c r="U2512" t="str">
        <f>TEXT(tbl_analysis_tickets[[#This Row],[created_date]],"dddd")</f>
        <v>Monday</v>
      </c>
      <c r="V2512" cm="1">
        <f t="array" ref="V2512">_xlfn.SWITCH(tbl_analysis_tickets[[#This Row],[priority]],
"Urgent",1,
"High",2,
"Medium",3,
"Low",4
)</f>
        <v>4</v>
      </c>
    </row>
    <row r="2513" spans="1:22" x14ac:dyDescent="0.25">
      <c r="A2513">
        <v>2512</v>
      </c>
      <c r="B2513" s="1">
        <v>45301</v>
      </c>
      <c r="C2513" t="s">
        <v>14</v>
      </c>
      <c r="D2513" t="s">
        <v>17</v>
      </c>
      <c r="E2513">
        <v>168</v>
      </c>
      <c r="F2513">
        <v>2</v>
      </c>
      <c r="G2513">
        <v>2.5</v>
      </c>
      <c r="H2513" t="s">
        <v>18</v>
      </c>
      <c r="I2513" t="s">
        <v>19</v>
      </c>
      <c r="J2513" t="s">
        <v>15</v>
      </c>
      <c r="K2513">
        <f>_xlfn.XLOOKUP(tbl_analysis_tickets[[#This Row],[priority]],tbl_sla[priority],tbl_sla[Resolution SLA Hours])</f>
        <v>8</v>
      </c>
      <c r="L2513">
        <f>_xlfn.XLOOKUP(tbl_analysis_tickets[[#This Row],[priority]],tbl_sla[priority],tbl_sla[First Response SLA Minutes])</f>
        <v>30</v>
      </c>
      <c r="M2513" t="str">
        <f>IF(tbl_analysis_tickets[[#This Row],[resolution_time_hours]]&gt;tbl_analysis_tickets[[#This Row],[Resolution SLA Hours]],"Breached","Within SLA")</f>
        <v>Within SLA</v>
      </c>
      <c r="N2513" t="str">
        <f>IF(tbl_analysis_tickets[[#This Row],[first_response_minutes]]&gt;tbl_analysis_tickets[[#This Row],[First Response SLA Minutes]],"Breached","Within SLA")</f>
        <v>Breached</v>
      </c>
      <c r="O2513" t="str" cm="1">
        <f t="array" ref="O2513">_xlfn.IFS(
tbl_analysis_tickets[[#This Row],[agent_experience_years]]&lt;=2,"Junior",
tbl_analysis_tickets[[#This Row],[agent_experience_years]]&lt;=5,"Mid-Level",
tbl_analysis_tickets[[#This Row],[agent_experience_years]]&lt;=8,"Senior",
tbl_analysis_tickets[[#This Row],[agent_experience_years]]&gt;8,"Expert"
)</f>
        <v>Mid-Level</v>
      </c>
      <c r="P2513" cm="1">
        <f t="array" ref="P2513">_xlfn.SWITCH(tbl_analysis_tickets[[#This Row],[customer_satisfaction]],
"Low",1,
"Medium",2,
"High",3
)</f>
        <v>2</v>
      </c>
      <c r="Q2513">
        <f>IF(tbl_analysis_tickets[[#This Row],[reopened]]="Yes",1,0)</f>
        <v>0</v>
      </c>
      <c r="R2513" t="str" cm="1">
        <f t="array" ref="R2513">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513" t="str" cm="1">
        <f t="array" ref="S251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2513" t="str">
        <f>TEXT(tbl_analysis_tickets[[#This Row],[created_date]],"mmm-yyyy")</f>
        <v>Jan-2024</v>
      </c>
      <c r="U2513" t="str">
        <f>TEXT(tbl_analysis_tickets[[#This Row],[created_date]],"dddd")</f>
        <v>Wednesday</v>
      </c>
      <c r="V2513" cm="1">
        <f t="array" ref="V2513">_xlfn.SWITCH(tbl_analysis_tickets[[#This Row],[priority]],
"Urgent",1,
"High",2,
"Medium",3,
"Low",4
)</f>
        <v>1</v>
      </c>
    </row>
    <row r="2514" spans="1:22" x14ac:dyDescent="0.25">
      <c r="A2514">
        <v>2513</v>
      </c>
      <c r="B2514" s="1">
        <v>45518</v>
      </c>
      <c r="C2514" t="s">
        <v>14</v>
      </c>
      <c r="D2514" t="s">
        <v>11</v>
      </c>
      <c r="E2514">
        <v>127</v>
      </c>
      <c r="F2514">
        <v>46</v>
      </c>
      <c r="G2514">
        <v>6.7</v>
      </c>
      <c r="H2514" t="s">
        <v>12</v>
      </c>
      <c r="I2514" t="s">
        <v>19</v>
      </c>
      <c r="J2514" t="s">
        <v>11</v>
      </c>
      <c r="K2514">
        <f>_xlfn.XLOOKUP(tbl_analysis_tickets[[#This Row],[priority]],tbl_sla[priority],tbl_sla[Resolution SLA Hours])</f>
        <v>72</v>
      </c>
      <c r="L2514">
        <f>_xlfn.XLOOKUP(tbl_analysis_tickets[[#This Row],[priority]],tbl_sla[priority],tbl_sla[First Response SLA Minutes])</f>
        <v>240</v>
      </c>
      <c r="M2514" t="str">
        <f>IF(tbl_analysis_tickets[[#This Row],[resolution_time_hours]]&gt;tbl_analysis_tickets[[#This Row],[Resolution SLA Hours]],"Breached","Within SLA")</f>
        <v>Within SLA</v>
      </c>
      <c r="N2514" t="str">
        <f>IF(tbl_analysis_tickets[[#This Row],[first_response_minutes]]&gt;tbl_analysis_tickets[[#This Row],[First Response SLA Minutes]],"Breached","Within SLA")</f>
        <v>Within SLA</v>
      </c>
      <c r="O2514" t="str" cm="1">
        <f t="array" ref="O2514">_xlfn.IFS(
tbl_analysis_tickets[[#This Row],[agent_experience_years]]&lt;=2,"Junior",
tbl_analysis_tickets[[#This Row],[agent_experience_years]]&lt;=5,"Mid-Level",
tbl_analysis_tickets[[#This Row],[agent_experience_years]]&lt;=8,"Senior",
tbl_analysis_tickets[[#This Row],[agent_experience_years]]&gt;8,"Expert"
)</f>
        <v>Senior</v>
      </c>
      <c r="P2514" cm="1">
        <f t="array" ref="P2514">_xlfn.SWITCH(tbl_analysis_tickets[[#This Row],[customer_satisfaction]],
"Low",1,
"Medium",2,
"High",3
)</f>
        <v>1</v>
      </c>
      <c r="Q2514">
        <f>IF(tbl_analysis_tickets[[#This Row],[reopened]]="Yes",1,0)</f>
        <v>1</v>
      </c>
      <c r="R2514" t="str" cm="1">
        <f t="array" ref="R2514">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514" t="str" cm="1">
        <f t="array" ref="S251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514" t="str">
        <f>TEXT(tbl_analysis_tickets[[#This Row],[created_date]],"mmm-yyyy")</f>
        <v>Aug-2024</v>
      </c>
      <c r="U2514" t="str">
        <f>TEXT(tbl_analysis_tickets[[#This Row],[created_date]],"dddd")</f>
        <v>Wednesday</v>
      </c>
      <c r="V2514" cm="1">
        <f t="array" ref="V2514">_xlfn.SWITCH(tbl_analysis_tickets[[#This Row],[priority]],
"Urgent",1,
"High",2,
"Medium",3,
"Low",4
)</f>
        <v>4</v>
      </c>
    </row>
    <row r="2515" spans="1:22" x14ac:dyDescent="0.25">
      <c r="A2515">
        <v>2514</v>
      </c>
      <c r="B2515" s="1">
        <v>45340</v>
      </c>
      <c r="C2515" t="s">
        <v>22</v>
      </c>
      <c r="D2515" t="s">
        <v>15</v>
      </c>
      <c r="E2515">
        <v>54</v>
      </c>
      <c r="F2515">
        <v>68</v>
      </c>
      <c r="G2515">
        <v>5.6</v>
      </c>
      <c r="H2515" t="s">
        <v>12</v>
      </c>
      <c r="I2515" t="s">
        <v>13</v>
      </c>
      <c r="J2515" t="s">
        <v>11</v>
      </c>
      <c r="K2515">
        <f>_xlfn.XLOOKUP(tbl_analysis_tickets[[#This Row],[priority]],tbl_sla[priority],tbl_sla[Resolution SLA Hours])</f>
        <v>48</v>
      </c>
      <c r="L2515">
        <f>_xlfn.XLOOKUP(tbl_analysis_tickets[[#This Row],[priority]],tbl_sla[priority],tbl_sla[First Response SLA Minutes])</f>
        <v>120</v>
      </c>
      <c r="M2515" t="str">
        <f>IF(tbl_analysis_tickets[[#This Row],[resolution_time_hours]]&gt;tbl_analysis_tickets[[#This Row],[Resolution SLA Hours]],"Breached","Within SLA")</f>
        <v>Breached</v>
      </c>
      <c r="N2515" t="str">
        <f>IF(tbl_analysis_tickets[[#This Row],[first_response_minutes]]&gt;tbl_analysis_tickets[[#This Row],[First Response SLA Minutes]],"Breached","Within SLA")</f>
        <v>Within SLA</v>
      </c>
      <c r="O2515" t="str" cm="1">
        <f t="array" ref="O2515">_xlfn.IFS(
tbl_analysis_tickets[[#This Row],[agent_experience_years]]&lt;=2,"Junior",
tbl_analysis_tickets[[#This Row],[agent_experience_years]]&lt;=5,"Mid-Level",
tbl_analysis_tickets[[#This Row],[agent_experience_years]]&lt;=8,"Senior",
tbl_analysis_tickets[[#This Row],[agent_experience_years]]&gt;8,"Expert"
)</f>
        <v>Senior</v>
      </c>
      <c r="P2515" cm="1">
        <f t="array" ref="P2515">_xlfn.SWITCH(tbl_analysis_tickets[[#This Row],[customer_satisfaction]],
"Low",1,
"Medium",2,
"High",3
)</f>
        <v>1</v>
      </c>
      <c r="Q2515">
        <f>IF(tbl_analysis_tickets[[#This Row],[reopened]]="Yes",1,0)</f>
        <v>1</v>
      </c>
      <c r="R2515" t="str" cm="1">
        <f t="array" ref="R2515">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515" t="str" cm="1">
        <f t="array" ref="S251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515" t="str">
        <f>TEXT(tbl_analysis_tickets[[#This Row],[created_date]],"mmm-yyyy")</f>
        <v>Feb-2024</v>
      </c>
      <c r="U2515" t="str">
        <f>TEXT(tbl_analysis_tickets[[#This Row],[created_date]],"dddd")</f>
        <v>Sunday</v>
      </c>
      <c r="V2515" cm="1">
        <f t="array" ref="V2515">_xlfn.SWITCH(tbl_analysis_tickets[[#This Row],[priority]],
"Urgent",1,
"High",2,
"Medium",3,
"Low",4
)</f>
        <v>3</v>
      </c>
    </row>
    <row r="2516" spans="1:22" x14ac:dyDescent="0.25">
      <c r="A2516">
        <v>2515</v>
      </c>
      <c r="B2516" s="1">
        <v>45531</v>
      </c>
      <c r="C2516" t="s">
        <v>10</v>
      </c>
      <c r="D2516" t="s">
        <v>20</v>
      </c>
      <c r="E2516">
        <v>26</v>
      </c>
      <c r="F2516">
        <v>67</v>
      </c>
      <c r="G2516">
        <v>9.6999999999999993</v>
      </c>
      <c r="H2516" t="s">
        <v>12</v>
      </c>
      <c r="I2516" t="s">
        <v>13</v>
      </c>
      <c r="J2516" t="s">
        <v>15</v>
      </c>
      <c r="K2516">
        <f>_xlfn.XLOOKUP(tbl_analysis_tickets[[#This Row],[priority]],tbl_sla[priority],tbl_sla[Resolution SLA Hours])</f>
        <v>24</v>
      </c>
      <c r="L2516">
        <f>_xlfn.XLOOKUP(tbl_analysis_tickets[[#This Row],[priority]],tbl_sla[priority],tbl_sla[First Response SLA Minutes])</f>
        <v>60</v>
      </c>
      <c r="M2516" t="str">
        <f>IF(tbl_analysis_tickets[[#This Row],[resolution_time_hours]]&gt;tbl_analysis_tickets[[#This Row],[Resolution SLA Hours]],"Breached","Within SLA")</f>
        <v>Breached</v>
      </c>
      <c r="N2516" t="str">
        <f>IF(tbl_analysis_tickets[[#This Row],[first_response_minutes]]&gt;tbl_analysis_tickets[[#This Row],[First Response SLA Minutes]],"Breached","Within SLA")</f>
        <v>Within SLA</v>
      </c>
      <c r="O2516" t="str" cm="1">
        <f t="array" ref="O2516">_xlfn.IFS(
tbl_analysis_tickets[[#This Row],[agent_experience_years]]&lt;=2,"Junior",
tbl_analysis_tickets[[#This Row],[agent_experience_years]]&lt;=5,"Mid-Level",
tbl_analysis_tickets[[#This Row],[agent_experience_years]]&lt;=8,"Senior",
tbl_analysis_tickets[[#This Row],[agent_experience_years]]&gt;8,"Expert"
)</f>
        <v>Expert</v>
      </c>
      <c r="P2516" cm="1">
        <f t="array" ref="P2516">_xlfn.SWITCH(tbl_analysis_tickets[[#This Row],[customer_satisfaction]],
"Low",1,
"Medium",2,
"High",3
)</f>
        <v>2</v>
      </c>
      <c r="Q2516">
        <f>IF(tbl_analysis_tickets[[#This Row],[reopened]]="Yes",1,0)</f>
        <v>1</v>
      </c>
      <c r="R2516" t="str" cm="1">
        <f t="array" ref="R2516">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2516" t="str" cm="1">
        <f t="array" ref="S251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516" t="str">
        <f>TEXT(tbl_analysis_tickets[[#This Row],[created_date]],"mmm-yyyy")</f>
        <v>Aug-2024</v>
      </c>
      <c r="U2516" t="str">
        <f>TEXT(tbl_analysis_tickets[[#This Row],[created_date]],"dddd")</f>
        <v>Tuesday</v>
      </c>
      <c r="V2516" cm="1">
        <f t="array" ref="V2516">_xlfn.SWITCH(tbl_analysis_tickets[[#This Row],[priority]],
"Urgent",1,
"High",2,
"Medium",3,
"Low",4
)</f>
        <v>2</v>
      </c>
    </row>
    <row r="2517" spans="1:22" x14ac:dyDescent="0.25">
      <c r="A2517">
        <v>2516</v>
      </c>
      <c r="B2517" s="1">
        <v>45294</v>
      </c>
      <c r="C2517" t="s">
        <v>22</v>
      </c>
      <c r="D2517" t="s">
        <v>15</v>
      </c>
      <c r="E2517">
        <v>222</v>
      </c>
      <c r="F2517">
        <v>23</v>
      </c>
      <c r="G2517">
        <v>6.6</v>
      </c>
      <c r="H2517" t="s">
        <v>12</v>
      </c>
      <c r="I2517" t="s">
        <v>16</v>
      </c>
      <c r="J2517" t="s">
        <v>11</v>
      </c>
      <c r="K2517">
        <f>_xlfn.XLOOKUP(tbl_analysis_tickets[[#This Row],[priority]],tbl_sla[priority],tbl_sla[Resolution SLA Hours])</f>
        <v>48</v>
      </c>
      <c r="L2517">
        <f>_xlfn.XLOOKUP(tbl_analysis_tickets[[#This Row],[priority]],tbl_sla[priority],tbl_sla[First Response SLA Minutes])</f>
        <v>120</v>
      </c>
      <c r="M2517" t="str">
        <f>IF(tbl_analysis_tickets[[#This Row],[resolution_time_hours]]&gt;tbl_analysis_tickets[[#This Row],[Resolution SLA Hours]],"Breached","Within SLA")</f>
        <v>Within SLA</v>
      </c>
      <c r="N2517" t="str">
        <f>IF(tbl_analysis_tickets[[#This Row],[first_response_minutes]]&gt;tbl_analysis_tickets[[#This Row],[First Response SLA Minutes]],"Breached","Within SLA")</f>
        <v>Breached</v>
      </c>
      <c r="O2517" t="str" cm="1">
        <f t="array" ref="O2517">_xlfn.IFS(
tbl_analysis_tickets[[#This Row],[agent_experience_years]]&lt;=2,"Junior",
tbl_analysis_tickets[[#This Row],[agent_experience_years]]&lt;=5,"Mid-Level",
tbl_analysis_tickets[[#This Row],[agent_experience_years]]&lt;=8,"Senior",
tbl_analysis_tickets[[#This Row],[agent_experience_years]]&gt;8,"Expert"
)</f>
        <v>Senior</v>
      </c>
      <c r="P2517" cm="1">
        <f t="array" ref="P2517">_xlfn.SWITCH(tbl_analysis_tickets[[#This Row],[customer_satisfaction]],
"Low",1,
"Medium",2,
"High",3
)</f>
        <v>1</v>
      </c>
      <c r="Q2517">
        <f>IF(tbl_analysis_tickets[[#This Row],[reopened]]="Yes",1,0)</f>
        <v>1</v>
      </c>
      <c r="R2517" t="str" cm="1">
        <f t="array" ref="R2517">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517" t="str" cm="1">
        <f t="array" ref="S251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517" t="str">
        <f>TEXT(tbl_analysis_tickets[[#This Row],[created_date]],"mmm-yyyy")</f>
        <v>Jan-2024</v>
      </c>
      <c r="U2517" t="str">
        <f>TEXT(tbl_analysis_tickets[[#This Row],[created_date]],"dddd")</f>
        <v>Wednesday</v>
      </c>
      <c r="V2517" cm="1">
        <f t="array" ref="V2517">_xlfn.SWITCH(tbl_analysis_tickets[[#This Row],[priority]],
"Urgent",1,
"High",2,
"Medium",3,
"Low",4
)</f>
        <v>3</v>
      </c>
    </row>
    <row r="2518" spans="1:22" x14ac:dyDescent="0.25">
      <c r="A2518">
        <v>2517</v>
      </c>
      <c r="B2518" s="1">
        <v>45513</v>
      </c>
      <c r="C2518" t="s">
        <v>23</v>
      </c>
      <c r="D2518" t="s">
        <v>20</v>
      </c>
      <c r="E2518">
        <v>170</v>
      </c>
      <c r="F2518">
        <v>8</v>
      </c>
      <c r="G2518">
        <v>8.4</v>
      </c>
      <c r="H2518" t="s">
        <v>18</v>
      </c>
      <c r="I2518" t="s">
        <v>16</v>
      </c>
      <c r="J2518" t="s">
        <v>11</v>
      </c>
      <c r="K2518">
        <f>_xlfn.XLOOKUP(tbl_analysis_tickets[[#This Row],[priority]],tbl_sla[priority],tbl_sla[Resolution SLA Hours])</f>
        <v>24</v>
      </c>
      <c r="L2518">
        <f>_xlfn.XLOOKUP(tbl_analysis_tickets[[#This Row],[priority]],tbl_sla[priority],tbl_sla[First Response SLA Minutes])</f>
        <v>60</v>
      </c>
      <c r="M2518" t="str">
        <f>IF(tbl_analysis_tickets[[#This Row],[resolution_time_hours]]&gt;tbl_analysis_tickets[[#This Row],[Resolution SLA Hours]],"Breached","Within SLA")</f>
        <v>Within SLA</v>
      </c>
      <c r="N2518" t="str">
        <f>IF(tbl_analysis_tickets[[#This Row],[first_response_minutes]]&gt;tbl_analysis_tickets[[#This Row],[First Response SLA Minutes]],"Breached","Within SLA")</f>
        <v>Breached</v>
      </c>
      <c r="O2518" t="str" cm="1">
        <f t="array" ref="O2518">_xlfn.IFS(
tbl_analysis_tickets[[#This Row],[agent_experience_years]]&lt;=2,"Junior",
tbl_analysis_tickets[[#This Row],[agent_experience_years]]&lt;=5,"Mid-Level",
tbl_analysis_tickets[[#This Row],[agent_experience_years]]&lt;=8,"Senior",
tbl_analysis_tickets[[#This Row],[agent_experience_years]]&gt;8,"Expert"
)</f>
        <v>Expert</v>
      </c>
      <c r="P2518" cm="1">
        <f t="array" ref="P2518">_xlfn.SWITCH(tbl_analysis_tickets[[#This Row],[customer_satisfaction]],
"Low",1,
"Medium",2,
"High",3
)</f>
        <v>1</v>
      </c>
      <c r="Q2518">
        <f>IF(tbl_analysis_tickets[[#This Row],[reopened]]="Yes",1,0)</f>
        <v>0</v>
      </c>
      <c r="R2518" t="str" cm="1">
        <f t="array" ref="R2518">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518" t="str" cm="1">
        <f t="array" ref="S251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2518" t="str">
        <f>TEXT(tbl_analysis_tickets[[#This Row],[created_date]],"mmm-yyyy")</f>
        <v>Aug-2024</v>
      </c>
      <c r="U2518" t="str">
        <f>TEXT(tbl_analysis_tickets[[#This Row],[created_date]],"dddd")</f>
        <v>Friday</v>
      </c>
      <c r="V2518" cm="1">
        <f t="array" ref="V2518">_xlfn.SWITCH(tbl_analysis_tickets[[#This Row],[priority]],
"Urgent",1,
"High",2,
"Medium",3,
"Low",4
)</f>
        <v>2</v>
      </c>
    </row>
    <row r="2519" spans="1:22" x14ac:dyDescent="0.25">
      <c r="A2519">
        <v>2518</v>
      </c>
      <c r="B2519" s="1">
        <v>45325</v>
      </c>
      <c r="C2519" t="s">
        <v>21</v>
      </c>
      <c r="D2519" t="s">
        <v>15</v>
      </c>
      <c r="E2519">
        <v>230</v>
      </c>
      <c r="F2519">
        <v>62</v>
      </c>
      <c r="G2519">
        <v>9</v>
      </c>
      <c r="H2519" t="s">
        <v>18</v>
      </c>
      <c r="I2519" t="s">
        <v>16</v>
      </c>
      <c r="J2519" t="s">
        <v>15</v>
      </c>
      <c r="K2519">
        <f>_xlfn.XLOOKUP(tbl_analysis_tickets[[#This Row],[priority]],tbl_sla[priority],tbl_sla[Resolution SLA Hours])</f>
        <v>48</v>
      </c>
      <c r="L2519">
        <f>_xlfn.XLOOKUP(tbl_analysis_tickets[[#This Row],[priority]],tbl_sla[priority],tbl_sla[First Response SLA Minutes])</f>
        <v>120</v>
      </c>
      <c r="M2519" t="str">
        <f>IF(tbl_analysis_tickets[[#This Row],[resolution_time_hours]]&gt;tbl_analysis_tickets[[#This Row],[Resolution SLA Hours]],"Breached","Within SLA")</f>
        <v>Breached</v>
      </c>
      <c r="N2519" t="str">
        <f>IF(tbl_analysis_tickets[[#This Row],[first_response_minutes]]&gt;tbl_analysis_tickets[[#This Row],[First Response SLA Minutes]],"Breached","Within SLA")</f>
        <v>Breached</v>
      </c>
      <c r="O2519" t="str" cm="1">
        <f t="array" ref="O2519">_xlfn.IFS(
tbl_analysis_tickets[[#This Row],[agent_experience_years]]&lt;=2,"Junior",
tbl_analysis_tickets[[#This Row],[agent_experience_years]]&lt;=5,"Mid-Level",
tbl_analysis_tickets[[#This Row],[agent_experience_years]]&lt;=8,"Senior",
tbl_analysis_tickets[[#This Row],[agent_experience_years]]&gt;8,"Expert"
)</f>
        <v>Expert</v>
      </c>
      <c r="P2519" cm="1">
        <f t="array" ref="P2519">_xlfn.SWITCH(tbl_analysis_tickets[[#This Row],[customer_satisfaction]],
"Low",1,
"Medium",2,
"High",3
)</f>
        <v>2</v>
      </c>
      <c r="Q2519">
        <f>IF(tbl_analysis_tickets[[#This Row],[reopened]]="Yes",1,0)</f>
        <v>0</v>
      </c>
      <c r="R2519" t="str" cm="1">
        <f t="array" ref="R2519">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519" t="str" cm="1">
        <f t="array" ref="S251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519" t="str">
        <f>TEXT(tbl_analysis_tickets[[#This Row],[created_date]],"mmm-yyyy")</f>
        <v>Feb-2024</v>
      </c>
      <c r="U2519" t="str">
        <f>TEXT(tbl_analysis_tickets[[#This Row],[created_date]],"dddd")</f>
        <v>Saturday</v>
      </c>
      <c r="V2519" cm="1">
        <f t="array" ref="V2519">_xlfn.SWITCH(tbl_analysis_tickets[[#This Row],[priority]],
"Urgent",1,
"High",2,
"Medium",3,
"Low",4
)</f>
        <v>3</v>
      </c>
    </row>
    <row r="2520" spans="1:22" x14ac:dyDescent="0.25">
      <c r="A2520">
        <v>2519</v>
      </c>
      <c r="B2520" s="1">
        <v>45405</v>
      </c>
      <c r="C2520" t="s">
        <v>22</v>
      </c>
      <c r="D2520" t="s">
        <v>15</v>
      </c>
      <c r="E2520">
        <v>228</v>
      </c>
      <c r="F2520">
        <v>44</v>
      </c>
      <c r="G2520">
        <v>6.8</v>
      </c>
      <c r="H2520" t="s">
        <v>18</v>
      </c>
      <c r="I2520" t="s">
        <v>16</v>
      </c>
      <c r="J2520" t="s">
        <v>15</v>
      </c>
      <c r="K2520">
        <f>_xlfn.XLOOKUP(tbl_analysis_tickets[[#This Row],[priority]],tbl_sla[priority],tbl_sla[Resolution SLA Hours])</f>
        <v>48</v>
      </c>
      <c r="L2520">
        <f>_xlfn.XLOOKUP(tbl_analysis_tickets[[#This Row],[priority]],tbl_sla[priority],tbl_sla[First Response SLA Minutes])</f>
        <v>120</v>
      </c>
      <c r="M2520" t="str">
        <f>IF(tbl_analysis_tickets[[#This Row],[resolution_time_hours]]&gt;tbl_analysis_tickets[[#This Row],[Resolution SLA Hours]],"Breached","Within SLA")</f>
        <v>Within SLA</v>
      </c>
      <c r="N2520" t="str">
        <f>IF(tbl_analysis_tickets[[#This Row],[first_response_minutes]]&gt;tbl_analysis_tickets[[#This Row],[First Response SLA Minutes]],"Breached","Within SLA")</f>
        <v>Breached</v>
      </c>
      <c r="O2520" t="str" cm="1">
        <f t="array" ref="O2520">_xlfn.IFS(
tbl_analysis_tickets[[#This Row],[agent_experience_years]]&lt;=2,"Junior",
tbl_analysis_tickets[[#This Row],[agent_experience_years]]&lt;=5,"Mid-Level",
tbl_analysis_tickets[[#This Row],[agent_experience_years]]&lt;=8,"Senior",
tbl_analysis_tickets[[#This Row],[agent_experience_years]]&gt;8,"Expert"
)</f>
        <v>Senior</v>
      </c>
      <c r="P2520" cm="1">
        <f t="array" ref="P2520">_xlfn.SWITCH(tbl_analysis_tickets[[#This Row],[customer_satisfaction]],
"Low",1,
"Medium",2,
"High",3
)</f>
        <v>2</v>
      </c>
      <c r="Q2520">
        <f>IF(tbl_analysis_tickets[[#This Row],[reopened]]="Yes",1,0)</f>
        <v>0</v>
      </c>
      <c r="R2520" t="str" cm="1">
        <f t="array" ref="R2520">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520" t="str" cm="1">
        <f t="array" ref="S252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520" t="str">
        <f>TEXT(tbl_analysis_tickets[[#This Row],[created_date]],"mmm-yyyy")</f>
        <v>Apr-2024</v>
      </c>
      <c r="U2520" t="str">
        <f>TEXT(tbl_analysis_tickets[[#This Row],[created_date]],"dddd")</f>
        <v>Tuesday</v>
      </c>
      <c r="V2520" cm="1">
        <f t="array" ref="V2520">_xlfn.SWITCH(tbl_analysis_tickets[[#This Row],[priority]],
"Urgent",1,
"High",2,
"Medium",3,
"Low",4
)</f>
        <v>3</v>
      </c>
    </row>
    <row r="2521" spans="1:22" x14ac:dyDescent="0.25">
      <c r="A2521">
        <v>2520</v>
      </c>
      <c r="B2521" s="1">
        <v>45395</v>
      </c>
      <c r="C2521" t="s">
        <v>21</v>
      </c>
      <c r="D2521" t="s">
        <v>17</v>
      </c>
      <c r="E2521">
        <v>106</v>
      </c>
      <c r="F2521">
        <v>53</v>
      </c>
      <c r="G2521">
        <v>3.4</v>
      </c>
      <c r="H2521" t="s">
        <v>18</v>
      </c>
      <c r="I2521" t="s">
        <v>13</v>
      </c>
      <c r="J2521" t="s">
        <v>11</v>
      </c>
      <c r="K2521">
        <f>_xlfn.XLOOKUP(tbl_analysis_tickets[[#This Row],[priority]],tbl_sla[priority],tbl_sla[Resolution SLA Hours])</f>
        <v>8</v>
      </c>
      <c r="L2521">
        <f>_xlfn.XLOOKUP(tbl_analysis_tickets[[#This Row],[priority]],tbl_sla[priority],tbl_sla[First Response SLA Minutes])</f>
        <v>30</v>
      </c>
      <c r="M2521" t="str">
        <f>IF(tbl_analysis_tickets[[#This Row],[resolution_time_hours]]&gt;tbl_analysis_tickets[[#This Row],[Resolution SLA Hours]],"Breached","Within SLA")</f>
        <v>Breached</v>
      </c>
      <c r="N2521" t="str">
        <f>IF(tbl_analysis_tickets[[#This Row],[first_response_minutes]]&gt;tbl_analysis_tickets[[#This Row],[First Response SLA Minutes]],"Breached","Within SLA")</f>
        <v>Breached</v>
      </c>
      <c r="O2521" t="str" cm="1">
        <f t="array" ref="O2521">_xlfn.IFS(
tbl_analysis_tickets[[#This Row],[agent_experience_years]]&lt;=2,"Junior",
tbl_analysis_tickets[[#This Row],[agent_experience_years]]&lt;=5,"Mid-Level",
tbl_analysis_tickets[[#This Row],[agent_experience_years]]&lt;=8,"Senior",
tbl_analysis_tickets[[#This Row],[agent_experience_years]]&gt;8,"Expert"
)</f>
        <v>Mid-Level</v>
      </c>
      <c r="P2521" cm="1">
        <f t="array" ref="P2521">_xlfn.SWITCH(tbl_analysis_tickets[[#This Row],[customer_satisfaction]],
"Low",1,
"Medium",2,
"High",3
)</f>
        <v>1</v>
      </c>
      <c r="Q2521">
        <f>IF(tbl_analysis_tickets[[#This Row],[reopened]]="Yes",1,0)</f>
        <v>0</v>
      </c>
      <c r="R2521" t="str" cm="1">
        <f t="array" ref="R2521">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521" t="str" cm="1">
        <f t="array" ref="S252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521" t="str">
        <f>TEXT(tbl_analysis_tickets[[#This Row],[created_date]],"mmm-yyyy")</f>
        <v>Apr-2024</v>
      </c>
      <c r="U2521" t="str">
        <f>TEXT(tbl_analysis_tickets[[#This Row],[created_date]],"dddd")</f>
        <v>Saturday</v>
      </c>
      <c r="V2521" cm="1">
        <f t="array" ref="V2521">_xlfn.SWITCH(tbl_analysis_tickets[[#This Row],[priority]],
"Urgent",1,
"High",2,
"Medium",3,
"Low",4
)</f>
        <v>1</v>
      </c>
    </row>
    <row r="2522" spans="1:22" x14ac:dyDescent="0.25">
      <c r="A2522">
        <v>2521</v>
      </c>
      <c r="B2522" s="1">
        <v>45605</v>
      </c>
      <c r="C2522" t="s">
        <v>22</v>
      </c>
      <c r="D2522" t="s">
        <v>15</v>
      </c>
      <c r="E2522">
        <v>129</v>
      </c>
      <c r="F2522">
        <v>25</v>
      </c>
      <c r="G2522">
        <v>1.7</v>
      </c>
      <c r="H2522" t="s">
        <v>12</v>
      </c>
      <c r="I2522" t="s">
        <v>16</v>
      </c>
      <c r="J2522" t="s">
        <v>11</v>
      </c>
      <c r="K2522">
        <f>_xlfn.XLOOKUP(tbl_analysis_tickets[[#This Row],[priority]],tbl_sla[priority],tbl_sla[Resolution SLA Hours])</f>
        <v>48</v>
      </c>
      <c r="L2522">
        <f>_xlfn.XLOOKUP(tbl_analysis_tickets[[#This Row],[priority]],tbl_sla[priority],tbl_sla[First Response SLA Minutes])</f>
        <v>120</v>
      </c>
      <c r="M2522" t="str">
        <f>IF(tbl_analysis_tickets[[#This Row],[resolution_time_hours]]&gt;tbl_analysis_tickets[[#This Row],[Resolution SLA Hours]],"Breached","Within SLA")</f>
        <v>Within SLA</v>
      </c>
      <c r="N2522" t="str">
        <f>IF(tbl_analysis_tickets[[#This Row],[first_response_minutes]]&gt;tbl_analysis_tickets[[#This Row],[First Response SLA Minutes]],"Breached","Within SLA")</f>
        <v>Breached</v>
      </c>
      <c r="O2522" t="str" cm="1">
        <f t="array" ref="O2522">_xlfn.IFS(
tbl_analysis_tickets[[#This Row],[agent_experience_years]]&lt;=2,"Junior",
tbl_analysis_tickets[[#This Row],[agent_experience_years]]&lt;=5,"Mid-Level",
tbl_analysis_tickets[[#This Row],[agent_experience_years]]&lt;=8,"Senior",
tbl_analysis_tickets[[#This Row],[agent_experience_years]]&gt;8,"Expert"
)</f>
        <v>Junior</v>
      </c>
      <c r="P2522" cm="1">
        <f t="array" ref="P2522">_xlfn.SWITCH(tbl_analysis_tickets[[#This Row],[customer_satisfaction]],
"Low",1,
"Medium",2,
"High",3
)</f>
        <v>1</v>
      </c>
      <c r="Q2522">
        <f>IF(tbl_analysis_tickets[[#This Row],[reopened]]="Yes",1,0)</f>
        <v>1</v>
      </c>
      <c r="R2522" t="str" cm="1">
        <f t="array" ref="R2522">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522" t="str" cm="1">
        <f t="array" ref="S252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522" t="str">
        <f>TEXT(tbl_analysis_tickets[[#This Row],[created_date]],"mmm-yyyy")</f>
        <v>Nov-2024</v>
      </c>
      <c r="U2522" t="str">
        <f>TEXT(tbl_analysis_tickets[[#This Row],[created_date]],"dddd")</f>
        <v>Saturday</v>
      </c>
      <c r="V2522" cm="1">
        <f t="array" ref="V2522">_xlfn.SWITCH(tbl_analysis_tickets[[#This Row],[priority]],
"Urgent",1,
"High",2,
"Medium",3,
"Low",4
)</f>
        <v>3</v>
      </c>
    </row>
    <row r="2523" spans="1:22" x14ac:dyDescent="0.25">
      <c r="A2523">
        <v>2522</v>
      </c>
      <c r="B2523" s="1">
        <v>45349</v>
      </c>
      <c r="C2523" t="s">
        <v>22</v>
      </c>
      <c r="D2523" t="s">
        <v>15</v>
      </c>
      <c r="E2523">
        <v>13</v>
      </c>
      <c r="F2523">
        <v>45</v>
      </c>
      <c r="G2523">
        <v>4.9000000000000004</v>
      </c>
      <c r="H2523" t="s">
        <v>12</v>
      </c>
      <c r="I2523" t="s">
        <v>19</v>
      </c>
      <c r="J2523" t="s">
        <v>15</v>
      </c>
      <c r="K2523">
        <f>_xlfn.XLOOKUP(tbl_analysis_tickets[[#This Row],[priority]],tbl_sla[priority],tbl_sla[Resolution SLA Hours])</f>
        <v>48</v>
      </c>
      <c r="L2523">
        <f>_xlfn.XLOOKUP(tbl_analysis_tickets[[#This Row],[priority]],tbl_sla[priority],tbl_sla[First Response SLA Minutes])</f>
        <v>120</v>
      </c>
      <c r="M2523" t="str">
        <f>IF(tbl_analysis_tickets[[#This Row],[resolution_time_hours]]&gt;tbl_analysis_tickets[[#This Row],[Resolution SLA Hours]],"Breached","Within SLA")</f>
        <v>Within SLA</v>
      </c>
      <c r="N2523" t="str">
        <f>IF(tbl_analysis_tickets[[#This Row],[first_response_minutes]]&gt;tbl_analysis_tickets[[#This Row],[First Response SLA Minutes]],"Breached","Within SLA")</f>
        <v>Within SLA</v>
      </c>
      <c r="O2523" t="str" cm="1">
        <f t="array" ref="O2523">_xlfn.IFS(
tbl_analysis_tickets[[#This Row],[agent_experience_years]]&lt;=2,"Junior",
tbl_analysis_tickets[[#This Row],[agent_experience_years]]&lt;=5,"Mid-Level",
tbl_analysis_tickets[[#This Row],[agent_experience_years]]&lt;=8,"Senior",
tbl_analysis_tickets[[#This Row],[agent_experience_years]]&gt;8,"Expert"
)</f>
        <v>Mid-Level</v>
      </c>
      <c r="P2523" cm="1">
        <f t="array" ref="P2523">_xlfn.SWITCH(tbl_analysis_tickets[[#This Row],[customer_satisfaction]],
"Low",1,
"Medium",2,
"High",3
)</f>
        <v>2</v>
      </c>
      <c r="Q2523">
        <f>IF(tbl_analysis_tickets[[#This Row],[reopened]]="Yes",1,0)</f>
        <v>1</v>
      </c>
      <c r="R2523" t="str" cm="1">
        <f t="array" ref="R2523">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2523" t="str" cm="1">
        <f t="array" ref="S252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523" t="str">
        <f>TEXT(tbl_analysis_tickets[[#This Row],[created_date]],"mmm-yyyy")</f>
        <v>Feb-2024</v>
      </c>
      <c r="U2523" t="str">
        <f>TEXT(tbl_analysis_tickets[[#This Row],[created_date]],"dddd")</f>
        <v>Tuesday</v>
      </c>
      <c r="V2523" cm="1">
        <f t="array" ref="V2523">_xlfn.SWITCH(tbl_analysis_tickets[[#This Row],[priority]],
"Urgent",1,
"High",2,
"Medium",3,
"Low",4
)</f>
        <v>3</v>
      </c>
    </row>
    <row r="2524" spans="1:22" x14ac:dyDescent="0.25">
      <c r="A2524">
        <v>2523</v>
      </c>
      <c r="B2524" s="1">
        <v>45403</v>
      </c>
      <c r="C2524" t="s">
        <v>14</v>
      </c>
      <c r="D2524" t="s">
        <v>20</v>
      </c>
      <c r="E2524">
        <v>186</v>
      </c>
      <c r="F2524">
        <v>3</v>
      </c>
      <c r="G2524">
        <v>1.7</v>
      </c>
      <c r="H2524" t="s">
        <v>18</v>
      </c>
      <c r="I2524" t="s">
        <v>13</v>
      </c>
      <c r="J2524" t="s">
        <v>15</v>
      </c>
      <c r="K2524">
        <f>_xlfn.XLOOKUP(tbl_analysis_tickets[[#This Row],[priority]],tbl_sla[priority],tbl_sla[Resolution SLA Hours])</f>
        <v>24</v>
      </c>
      <c r="L2524">
        <f>_xlfn.XLOOKUP(tbl_analysis_tickets[[#This Row],[priority]],tbl_sla[priority],tbl_sla[First Response SLA Minutes])</f>
        <v>60</v>
      </c>
      <c r="M2524" t="str">
        <f>IF(tbl_analysis_tickets[[#This Row],[resolution_time_hours]]&gt;tbl_analysis_tickets[[#This Row],[Resolution SLA Hours]],"Breached","Within SLA")</f>
        <v>Within SLA</v>
      </c>
      <c r="N2524" t="str">
        <f>IF(tbl_analysis_tickets[[#This Row],[first_response_minutes]]&gt;tbl_analysis_tickets[[#This Row],[First Response SLA Minutes]],"Breached","Within SLA")</f>
        <v>Breached</v>
      </c>
      <c r="O2524" t="str" cm="1">
        <f t="array" ref="O2524">_xlfn.IFS(
tbl_analysis_tickets[[#This Row],[agent_experience_years]]&lt;=2,"Junior",
tbl_analysis_tickets[[#This Row],[agent_experience_years]]&lt;=5,"Mid-Level",
tbl_analysis_tickets[[#This Row],[agent_experience_years]]&lt;=8,"Senior",
tbl_analysis_tickets[[#This Row],[agent_experience_years]]&gt;8,"Expert"
)</f>
        <v>Junior</v>
      </c>
      <c r="P2524" cm="1">
        <f t="array" ref="P2524">_xlfn.SWITCH(tbl_analysis_tickets[[#This Row],[customer_satisfaction]],
"Low",1,
"Medium",2,
"High",3
)</f>
        <v>2</v>
      </c>
      <c r="Q2524">
        <f>IF(tbl_analysis_tickets[[#This Row],[reopened]]="Yes",1,0)</f>
        <v>0</v>
      </c>
      <c r="R2524" t="str" cm="1">
        <f t="array" ref="R2524">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524" t="str" cm="1">
        <f t="array" ref="S252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2524" t="str">
        <f>TEXT(tbl_analysis_tickets[[#This Row],[created_date]],"mmm-yyyy")</f>
        <v>Apr-2024</v>
      </c>
      <c r="U2524" t="str">
        <f>TEXT(tbl_analysis_tickets[[#This Row],[created_date]],"dddd")</f>
        <v>Sunday</v>
      </c>
      <c r="V2524" cm="1">
        <f t="array" ref="V2524">_xlfn.SWITCH(tbl_analysis_tickets[[#This Row],[priority]],
"Urgent",1,
"High",2,
"Medium",3,
"Low",4
)</f>
        <v>2</v>
      </c>
    </row>
    <row r="2525" spans="1:22" x14ac:dyDescent="0.25">
      <c r="A2525">
        <v>2524</v>
      </c>
      <c r="B2525" s="1">
        <v>45548</v>
      </c>
      <c r="C2525" t="s">
        <v>14</v>
      </c>
      <c r="D2525" t="s">
        <v>20</v>
      </c>
      <c r="E2525">
        <v>179</v>
      </c>
      <c r="F2525">
        <v>25</v>
      </c>
      <c r="G2525">
        <v>7.2</v>
      </c>
      <c r="H2525" t="s">
        <v>18</v>
      </c>
      <c r="I2525" t="s">
        <v>13</v>
      </c>
      <c r="J2525" t="s">
        <v>11</v>
      </c>
      <c r="K2525">
        <f>_xlfn.XLOOKUP(tbl_analysis_tickets[[#This Row],[priority]],tbl_sla[priority],tbl_sla[Resolution SLA Hours])</f>
        <v>24</v>
      </c>
      <c r="L2525">
        <f>_xlfn.XLOOKUP(tbl_analysis_tickets[[#This Row],[priority]],tbl_sla[priority],tbl_sla[First Response SLA Minutes])</f>
        <v>60</v>
      </c>
      <c r="M2525" t="str">
        <f>IF(tbl_analysis_tickets[[#This Row],[resolution_time_hours]]&gt;tbl_analysis_tickets[[#This Row],[Resolution SLA Hours]],"Breached","Within SLA")</f>
        <v>Breached</v>
      </c>
      <c r="N2525" t="str">
        <f>IF(tbl_analysis_tickets[[#This Row],[first_response_minutes]]&gt;tbl_analysis_tickets[[#This Row],[First Response SLA Minutes]],"Breached","Within SLA")</f>
        <v>Breached</v>
      </c>
      <c r="O2525" t="str" cm="1">
        <f t="array" ref="O2525">_xlfn.IFS(
tbl_analysis_tickets[[#This Row],[agent_experience_years]]&lt;=2,"Junior",
tbl_analysis_tickets[[#This Row],[agent_experience_years]]&lt;=5,"Mid-Level",
tbl_analysis_tickets[[#This Row],[agent_experience_years]]&lt;=8,"Senior",
tbl_analysis_tickets[[#This Row],[agent_experience_years]]&gt;8,"Expert"
)</f>
        <v>Senior</v>
      </c>
      <c r="P2525" cm="1">
        <f t="array" ref="P2525">_xlfn.SWITCH(tbl_analysis_tickets[[#This Row],[customer_satisfaction]],
"Low",1,
"Medium",2,
"High",3
)</f>
        <v>1</v>
      </c>
      <c r="Q2525">
        <f>IF(tbl_analysis_tickets[[#This Row],[reopened]]="Yes",1,0)</f>
        <v>0</v>
      </c>
      <c r="R2525" t="str" cm="1">
        <f t="array" ref="R2525">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525" t="str" cm="1">
        <f t="array" ref="S252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525" t="str">
        <f>TEXT(tbl_analysis_tickets[[#This Row],[created_date]],"mmm-yyyy")</f>
        <v>Sep-2024</v>
      </c>
      <c r="U2525" t="str">
        <f>TEXT(tbl_analysis_tickets[[#This Row],[created_date]],"dddd")</f>
        <v>Friday</v>
      </c>
      <c r="V2525" cm="1">
        <f t="array" ref="V2525">_xlfn.SWITCH(tbl_analysis_tickets[[#This Row],[priority]],
"Urgent",1,
"High",2,
"Medium",3,
"Low",4
)</f>
        <v>2</v>
      </c>
    </row>
    <row r="2526" spans="1:22" x14ac:dyDescent="0.25">
      <c r="A2526">
        <v>2525</v>
      </c>
      <c r="B2526" s="1">
        <v>45364</v>
      </c>
      <c r="C2526" t="s">
        <v>21</v>
      </c>
      <c r="D2526" t="s">
        <v>11</v>
      </c>
      <c r="E2526">
        <v>196</v>
      </c>
      <c r="F2526">
        <v>63</v>
      </c>
      <c r="G2526">
        <v>3.6</v>
      </c>
      <c r="H2526" t="s">
        <v>12</v>
      </c>
      <c r="I2526" t="s">
        <v>19</v>
      </c>
      <c r="J2526" t="s">
        <v>11</v>
      </c>
      <c r="K2526">
        <f>_xlfn.XLOOKUP(tbl_analysis_tickets[[#This Row],[priority]],tbl_sla[priority],tbl_sla[Resolution SLA Hours])</f>
        <v>72</v>
      </c>
      <c r="L2526">
        <f>_xlfn.XLOOKUP(tbl_analysis_tickets[[#This Row],[priority]],tbl_sla[priority],tbl_sla[First Response SLA Minutes])</f>
        <v>240</v>
      </c>
      <c r="M2526" t="str">
        <f>IF(tbl_analysis_tickets[[#This Row],[resolution_time_hours]]&gt;tbl_analysis_tickets[[#This Row],[Resolution SLA Hours]],"Breached","Within SLA")</f>
        <v>Within SLA</v>
      </c>
      <c r="N2526" t="str">
        <f>IF(tbl_analysis_tickets[[#This Row],[first_response_minutes]]&gt;tbl_analysis_tickets[[#This Row],[First Response SLA Minutes]],"Breached","Within SLA")</f>
        <v>Within SLA</v>
      </c>
      <c r="O2526" t="str" cm="1">
        <f t="array" ref="O2526">_xlfn.IFS(
tbl_analysis_tickets[[#This Row],[agent_experience_years]]&lt;=2,"Junior",
tbl_analysis_tickets[[#This Row],[agent_experience_years]]&lt;=5,"Mid-Level",
tbl_analysis_tickets[[#This Row],[agent_experience_years]]&lt;=8,"Senior",
tbl_analysis_tickets[[#This Row],[agent_experience_years]]&gt;8,"Expert"
)</f>
        <v>Mid-Level</v>
      </c>
      <c r="P2526" cm="1">
        <f t="array" ref="P2526">_xlfn.SWITCH(tbl_analysis_tickets[[#This Row],[customer_satisfaction]],
"Low",1,
"Medium",2,
"High",3
)</f>
        <v>1</v>
      </c>
      <c r="Q2526">
        <f>IF(tbl_analysis_tickets[[#This Row],[reopened]]="Yes",1,0)</f>
        <v>1</v>
      </c>
      <c r="R2526" t="str" cm="1">
        <f t="array" ref="R2526">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526" t="str" cm="1">
        <f t="array" ref="S252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526" t="str">
        <f>TEXT(tbl_analysis_tickets[[#This Row],[created_date]],"mmm-yyyy")</f>
        <v>Mar-2024</v>
      </c>
      <c r="U2526" t="str">
        <f>TEXT(tbl_analysis_tickets[[#This Row],[created_date]],"dddd")</f>
        <v>Wednesday</v>
      </c>
      <c r="V2526" cm="1">
        <f t="array" ref="V2526">_xlfn.SWITCH(tbl_analysis_tickets[[#This Row],[priority]],
"Urgent",1,
"High",2,
"Medium",3,
"Low",4
)</f>
        <v>4</v>
      </c>
    </row>
    <row r="2527" spans="1:22" x14ac:dyDescent="0.25">
      <c r="A2527">
        <v>2526</v>
      </c>
      <c r="B2527" s="1">
        <v>45372</v>
      </c>
      <c r="C2527" t="s">
        <v>22</v>
      </c>
      <c r="D2527" t="s">
        <v>17</v>
      </c>
      <c r="E2527">
        <v>161</v>
      </c>
      <c r="F2527">
        <v>31</v>
      </c>
      <c r="G2527">
        <v>1.4</v>
      </c>
      <c r="H2527" t="s">
        <v>18</v>
      </c>
      <c r="I2527" t="s">
        <v>19</v>
      </c>
      <c r="J2527" t="s">
        <v>11</v>
      </c>
      <c r="K2527">
        <f>_xlfn.XLOOKUP(tbl_analysis_tickets[[#This Row],[priority]],tbl_sla[priority],tbl_sla[Resolution SLA Hours])</f>
        <v>8</v>
      </c>
      <c r="L2527">
        <f>_xlfn.XLOOKUP(tbl_analysis_tickets[[#This Row],[priority]],tbl_sla[priority],tbl_sla[First Response SLA Minutes])</f>
        <v>30</v>
      </c>
      <c r="M2527" t="str">
        <f>IF(tbl_analysis_tickets[[#This Row],[resolution_time_hours]]&gt;tbl_analysis_tickets[[#This Row],[Resolution SLA Hours]],"Breached","Within SLA")</f>
        <v>Breached</v>
      </c>
      <c r="N2527" t="str">
        <f>IF(tbl_analysis_tickets[[#This Row],[first_response_minutes]]&gt;tbl_analysis_tickets[[#This Row],[First Response SLA Minutes]],"Breached","Within SLA")</f>
        <v>Breached</v>
      </c>
      <c r="O2527" t="str" cm="1">
        <f t="array" ref="O2527">_xlfn.IFS(
tbl_analysis_tickets[[#This Row],[agent_experience_years]]&lt;=2,"Junior",
tbl_analysis_tickets[[#This Row],[agent_experience_years]]&lt;=5,"Mid-Level",
tbl_analysis_tickets[[#This Row],[agent_experience_years]]&lt;=8,"Senior",
tbl_analysis_tickets[[#This Row],[agent_experience_years]]&gt;8,"Expert"
)</f>
        <v>Junior</v>
      </c>
      <c r="P2527" cm="1">
        <f t="array" ref="P2527">_xlfn.SWITCH(tbl_analysis_tickets[[#This Row],[customer_satisfaction]],
"Low",1,
"Medium",2,
"High",3
)</f>
        <v>1</v>
      </c>
      <c r="Q2527">
        <f>IF(tbl_analysis_tickets[[#This Row],[reopened]]="Yes",1,0)</f>
        <v>0</v>
      </c>
      <c r="R2527" t="str" cm="1">
        <f t="array" ref="R2527">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527" t="str" cm="1">
        <f t="array" ref="S252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527" t="str">
        <f>TEXT(tbl_analysis_tickets[[#This Row],[created_date]],"mmm-yyyy")</f>
        <v>Mar-2024</v>
      </c>
      <c r="U2527" t="str">
        <f>TEXT(tbl_analysis_tickets[[#This Row],[created_date]],"dddd")</f>
        <v>Thursday</v>
      </c>
      <c r="V2527" cm="1">
        <f t="array" ref="V2527">_xlfn.SWITCH(tbl_analysis_tickets[[#This Row],[priority]],
"Urgent",1,
"High",2,
"Medium",3,
"Low",4
)</f>
        <v>1</v>
      </c>
    </row>
    <row r="2528" spans="1:22" x14ac:dyDescent="0.25">
      <c r="A2528">
        <v>2527</v>
      </c>
      <c r="B2528" s="1">
        <v>45474</v>
      </c>
      <c r="C2528" t="s">
        <v>23</v>
      </c>
      <c r="D2528" t="s">
        <v>11</v>
      </c>
      <c r="E2528">
        <v>112</v>
      </c>
      <c r="F2528">
        <v>36</v>
      </c>
      <c r="G2528">
        <v>3.4</v>
      </c>
      <c r="H2528" t="s">
        <v>12</v>
      </c>
      <c r="I2528" t="s">
        <v>16</v>
      </c>
      <c r="J2528" t="s">
        <v>11</v>
      </c>
      <c r="K2528">
        <f>_xlfn.XLOOKUP(tbl_analysis_tickets[[#This Row],[priority]],tbl_sla[priority],tbl_sla[Resolution SLA Hours])</f>
        <v>72</v>
      </c>
      <c r="L2528">
        <f>_xlfn.XLOOKUP(tbl_analysis_tickets[[#This Row],[priority]],tbl_sla[priority],tbl_sla[First Response SLA Minutes])</f>
        <v>240</v>
      </c>
      <c r="M2528" t="str">
        <f>IF(tbl_analysis_tickets[[#This Row],[resolution_time_hours]]&gt;tbl_analysis_tickets[[#This Row],[Resolution SLA Hours]],"Breached","Within SLA")</f>
        <v>Within SLA</v>
      </c>
      <c r="N2528" t="str">
        <f>IF(tbl_analysis_tickets[[#This Row],[first_response_minutes]]&gt;tbl_analysis_tickets[[#This Row],[First Response SLA Minutes]],"Breached","Within SLA")</f>
        <v>Within SLA</v>
      </c>
      <c r="O2528" t="str" cm="1">
        <f t="array" ref="O2528">_xlfn.IFS(
tbl_analysis_tickets[[#This Row],[agent_experience_years]]&lt;=2,"Junior",
tbl_analysis_tickets[[#This Row],[agent_experience_years]]&lt;=5,"Mid-Level",
tbl_analysis_tickets[[#This Row],[agent_experience_years]]&lt;=8,"Senior",
tbl_analysis_tickets[[#This Row],[agent_experience_years]]&gt;8,"Expert"
)</f>
        <v>Mid-Level</v>
      </c>
      <c r="P2528" cm="1">
        <f t="array" ref="P2528">_xlfn.SWITCH(tbl_analysis_tickets[[#This Row],[customer_satisfaction]],
"Low",1,
"Medium",2,
"High",3
)</f>
        <v>1</v>
      </c>
      <c r="Q2528">
        <f>IF(tbl_analysis_tickets[[#This Row],[reopened]]="Yes",1,0)</f>
        <v>1</v>
      </c>
      <c r="R2528" t="str" cm="1">
        <f t="array" ref="R2528">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528" t="str" cm="1">
        <f t="array" ref="S252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528" t="str">
        <f>TEXT(tbl_analysis_tickets[[#This Row],[created_date]],"mmm-yyyy")</f>
        <v>Jul-2024</v>
      </c>
      <c r="U2528" t="str">
        <f>TEXT(tbl_analysis_tickets[[#This Row],[created_date]],"dddd")</f>
        <v>Monday</v>
      </c>
      <c r="V2528" cm="1">
        <f t="array" ref="V2528">_xlfn.SWITCH(tbl_analysis_tickets[[#This Row],[priority]],
"Urgent",1,
"High",2,
"Medium",3,
"Low",4
)</f>
        <v>4</v>
      </c>
    </row>
    <row r="2529" spans="1:22" x14ac:dyDescent="0.25">
      <c r="A2529">
        <v>2528</v>
      </c>
      <c r="B2529" s="1">
        <v>45487</v>
      </c>
      <c r="C2529" t="s">
        <v>23</v>
      </c>
      <c r="D2529" t="s">
        <v>17</v>
      </c>
      <c r="E2529">
        <v>48</v>
      </c>
      <c r="F2529">
        <v>9</v>
      </c>
      <c r="G2529">
        <v>6.6</v>
      </c>
      <c r="H2529" t="s">
        <v>18</v>
      </c>
      <c r="I2529" t="s">
        <v>16</v>
      </c>
      <c r="J2529" t="s">
        <v>11</v>
      </c>
      <c r="K2529">
        <f>_xlfn.XLOOKUP(tbl_analysis_tickets[[#This Row],[priority]],tbl_sla[priority],tbl_sla[Resolution SLA Hours])</f>
        <v>8</v>
      </c>
      <c r="L2529">
        <f>_xlfn.XLOOKUP(tbl_analysis_tickets[[#This Row],[priority]],tbl_sla[priority],tbl_sla[First Response SLA Minutes])</f>
        <v>30</v>
      </c>
      <c r="M2529" t="str">
        <f>IF(tbl_analysis_tickets[[#This Row],[resolution_time_hours]]&gt;tbl_analysis_tickets[[#This Row],[Resolution SLA Hours]],"Breached","Within SLA")</f>
        <v>Breached</v>
      </c>
      <c r="N2529" t="str">
        <f>IF(tbl_analysis_tickets[[#This Row],[first_response_minutes]]&gt;tbl_analysis_tickets[[#This Row],[First Response SLA Minutes]],"Breached","Within SLA")</f>
        <v>Breached</v>
      </c>
      <c r="O2529" t="str" cm="1">
        <f t="array" ref="O2529">_xlfn.IFS(
tbl_analysis_tickets[[#This Row],[agent_experience_years]]&lt;=2,"Junior",
tbl_analysis_tickets[[#This Row],[agent_experience_years]]&lt;=5,"Mid-Level",
tbl_analysis_tickets[[#This Row],[agent_experience_years]]&lt;=8,"Senior",
tbl_analysis_tickets[[#This Row],[agent_experience_years]]&gt;8,"Expert"
)</f>
        <v>Senior</v>
      </c>
      <c r="P2529" cm="1">
        <f t="array" ref="P2529">_xlfn.SWITCH(tbl_analysis_tickets[[#This Row],[customer_satisfaction]],
"Low",1,
"Medium",2,
"High",3
)</f>
        <v>1</v>
      </c>
      <c r="Q2529">
        <f>IF(tbl_analysis_tickets[[#This Row],[reopened]]="Yes",1,0)</f>
        <v>0</v>
      </c>
      <c r="R2529" t="str" cm="1">
        <f t="array" ref="R2529">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529" t="str" cm="1">
        <f t="array" ref="S252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529" t="str">
        <f>TEXT(tbl_analysis_tickets[[#This Row],[created_date]],"mmm-yyyy")</f>
        <v>Jul-2024</v>
      </c>
      <c r="U2529" t="str">
        <f>TEXT(tbl_analysis_tickets[[#This Row],[created_date]],"dddd")</f>
        <v>Sunday</v>
      </c>
      <c r="V2529" cm="1">
        <f t="array" ref="V2529">_xlfn.SWITCH(tbl_analysis_tickets[[#This Row],[priority]],
"Urgent",1,
"High",2,
"Medium",3,
"Low",4
)</f>
        <v>1</v>
      </c>
    </row>
    <row r="2530" spans="1:22" x14ac:dyDescent="0.25">
      <c r="A2530">
        <v>2529</v>
      </c>
      <c r="B2530" s="1">
        <v>45615</v>
      </c>
      <c r="C2530" t="s">
        <v>14</v>
      </c>
      <c r="D2530" t="s">
        <v>17</v>
      </c>
      <c r="E2530">
        <v>166</v>
      </c>
      <c r="F2530">
        <v>43</v>
      </c>
      <c r="G2530">
        <v>0.8</v>
      </c>
      <c r="H2530" t="s">
        <v>18</v>
      </c>
      <c r="I2530" t="s">
        <v>19</v>
      </c>
      <c r="J2530" t="s">
        <v>11</v>
      </c>
      <c r="K2530">
        <f>_xlfn.XLOOKUP(tbl_analysis_tickets[[#This Row],[priority]],tbl_sla[priority],tbl_sla[Resolution SLA Hours])</f>
        <v>8</v>
      </c>
      <c r="L2530">
        <f>_xlfn.XLOOKUP(tbl_analysis_tickets[[#This Row],[priority]],tbl_sla[priority],tbl_sla[First Response SLA Minutes])</f>
        <v>30</v>
      </c>
      <c r="M2530" t="str">
        <f>IF(tbl_analysis_tickets[[#This Row],[resolution_time_hours]]&gt;tbl_analysis_tickets[[#This Row],[Resolution SLA Hours]],"Breached","Within SLA")</f>
        <v>Breached</v>
      </c>
      <c r="N2530" t="str">
        <f>IF(tbl_analysis_tickets[[#This Row],[first_response_minutes]]&gt;tbl_analysis_tickets[[#This Row],[First Response SLA Minutes]],"Breached","Within SLA")</f>
        <v>Breached</v>
      </c>
      <c r="O2530" t="str" cm="1">
        <f t="array" ref="O2530">_xlfn.IFS(
tbl_analysis_tickets[[#This Row],[agent_experience_years]]&lt;=2,"Junior",
tbl_analysis_tickets[[#This Row],[agent_experience_years]]&lt;=5,"Mid-Level",
tbl_analysis_tickets[[#This Row],[agent_experience_years]]&lt;=8,"Senior",
tbl_analysis_tickets[[#This Row],[agent_experience_years]]&gt;8,"Expert"
)</f>
        <v>Junior</v>
      </c>
      <c r="P2530" cm="1">
        <f t="array" ref="P2530">_xlfn.SWITCH(tbl_analysis_tickets[[#This Row],[customer_satisfaction]],
"Low",1,
"Medium",2,
"High",3
)</f>
        <v>1</v>
      </c>
      <c r="Q2530">
        <f>IF(tbl_analysis_tickets[[#This Row],[reopened]]="Yes",1,0)</f>
        <v>0</v>
      </c>
      <c r="R2530" t="str" cm="1">
        <f t="array" ref="R2530">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530" t="str" cm="1">
        <f t="array" ref="S253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530" t="str">
        <f>TEXT(tbl_analysis_tickets[[#This Row],[created_date]],"mmm-yyyy")</f>
        <v>Nov-2024</v>
      </c>
      <c r="U2530" t="str">
        <f>TEXT(tbl_analysis_tickets[[#This Row],[created_date]],"dddd")</f>
        <v>Tuesday</v>
      </c>
      <c r="V2530" cm="1">
        <f t="array" ref="V2530">_xlfn.SWITCH(tbl_analysis_tickets[[#This Row],[priority]],
"Urgent",1,
"High",2,
"Medium",3,
"Low",4
)</f>
        <v>1</v>
      </c>
    </row>
    <row r="2531" spans="1:22" x14ac:dyDescent="0.25">
      <c r="A2531">
        <v>2530</v>
      </c>
      <c r="B2531" s="1">
        <v>45332</v>
      </c>
      <c r="C2531" t="s">
        <v>22</v>
      </c>
      <c r="D2531" t="s">
        <v>17</v>
      </c>
      <c r="E2531">
        <v>162</v>
      </c>
      <c r="F2531">
        <v>33</v>
      </c>
      <c r="G2531">
        <v>5.2</v>
      </c>
      <c r="H2531" t="s">
        <v>12</v>
      </c>
      <c r="I2531" t="s">
        <v>13</v>
      </c>
      <c r="J2531" t="s">
        <v>11</v>
      </c>
      <c r="K2531">
        <f>_xlfn.XLOOKUP(tbl_analysis_tickets[[#This Row],[priority]],tbl_sla[priority],tbl_sla[Resolution SLA Hours])</f>
        <v>8</v>
      </c>
      <c r="L2531">
        <f>_xlfn.XLOOKUP(tbl_analysis_tickets[[#This Row],[priority]],tbl_sla[priority],tbl_sla[First Response SLA Minutes])</f>
        <v>30</v>
      </c>
      <c r="M2531" t="str">
        <f>IF(tbl_analysis_tickets[[#This Row],[resolution_time_hours]]&gt;tbl_analysis_tickets[[#This Row],[Resolution SLA Hours]],"Breached","Within SLA")</f>
        <v>Breached</v>
      </c>
      <c r="N2531" t="str">
        <f>IF(tbl_analysis_tickets[[#This Row],[first_response_minutes]]&gt;tbl_analysis_tickets[[#This Row],[First Response SLA Minutes]],"Breached","Within SLA")</f>
        <v>Breached</v>
      </c>
      <c r="O2531" t="str" cm="1">
        <f t="array" ref="O2531">_xlfn.IFS(
tbl_analysis_tickets[[#This Row],[agent_experience_years]]&lt;=2,"Junior",
tbl_analysis_tickets[[#This Row],[agent_experience_years]]&lt;=5,"Mid-Level",
tbl_analysis_tickets[[#This Row],[agent_experience_years]]&lt;=8,"Senior",
tbl_analysis_tickets[[#This Row],[agent_experience_years]]&gt;8,"Expert"
)</f>
        <v>Senior</v>
      </c>
      <c r="P2531" cm="1">
        <f t="array" ref="P2531">_xlfn.SWITCH(tbl_analysis_tickets[[#This Row],[customer_satisfaction]],
"Low",1,
"Medium",2,
"High",3
)</f>
        <v>1</v>
      </c>
      <c r="Q2531">
        <f>IF(tbl_analysis_tickets[[#This Row],[reopened]]="Yes",1,0)</f>
        <v>1</v>
      </c>
      <c r="R2531" t="str" cm="1">
        <f t="array" ref="R2531">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531" t="str" cm="1">
        <f t="array" ref="S253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531" t="str">
        <f>TEXT(tbl_analysis_tickets[[#This Row],[created_date]],"mmm-yyyy")</f>
        <v>Feb-2024</v>
      </c>
      <c r="U2531" t="str">
        <f>TEXT(tbl_analysis_tickets[[#This Row],[created_date]],"dddd")</f>
        <v>Saturday</v>
      </c>
      <c r="V2531" cm="1">
        <f t="array" ref="V2531">_xlfn.SWITCH(tbl_analysis_tickets[[#This Row],[priority]],
"Urgent",1,
"High",2,
"Medium",3,
"Low",4
)</f>
        <v>1</v>
      </c>
    </row>
    <row r="2532" spans="1:22" x14ac:dyDescent="0.25">
      <c r="A2532">
        <v>2531</v>
      </c>
      <c r="B2532" s="1">
        <v>45353</v>
      </c>
      <c r="C2532" t="s">
        <v>21</v>
      </c>
      <c r="D2532" t="s">
        <v>17</v>
      </c>
      <c r="E2532">
        <v>77</v>
      </c>
      <c r="F2532">
        <v>33</v>
      </c>
      <c r="G2532">
        <v>5</v>
      </c>
      <c r="H2532" t="s">
        <v>12</v>
      </c>
      <c r="I2532" t="s">
        <v>16</v>
      </c>
      <c r="J2532" t="s">
        <v>11</v>
      </c>
      <c r="K2532">
        <f>_xlfn.XLOOKUP(tbl_analysis_tickets[[#This Row],[priority]],tbl_sla[priority],tbl_sla[Resolution SLA Hours])</f>
        <v>8</v>
      </c>
      <c r="L2532">
        <f>_xlfn.XLOOKUP(tbl_analysis_tickets[[#This Row],[priority]],tbl_sla[priority],tbl_sla[First Response SLA Minutes])</f>
        <v>30</v>
      </c>
      <c r="M2532" t="str">
        <f>IF(tbl_analysis_tickets[[#This Row],[resolution_time_hours]]&gt;tbl_analysis_tickets[[#This Row],[Resolution SLA Hours]],"Breached","Within SLA")</f>
        <v>Breached</v>
      </c>
      <c r="N2532" t="str">
        <f>IF(tbl_analysis_tickets[[#This Row],[first_response_minutes]]&gt;tbl_analysis_tickets[[#This Row],[First Response SLA Minutes]],"Breached","Within SLA")</f>
        <v>Breached</v>
      </c>
      <c r="O2532" t="str" cm="1">
        <f t="array" ref="O2532">_xlfn.IFS(
tbl_analysis_tickets[[#This Row],[agent_experience_years]]&lt;=2,"Junior",
tbl_analysis_tickets[[#This Row],[agent_experience_years]]&lt;=5,"Mid-Level",
tbl_analysis_tickets[[#This Row],[agent_experience_years]]&lt;=8,"Senior",
tbl_analysis_tickets[[#This Row],[agent_experience_years]]&gt;8,"Expert"
)</f>
        <v>Mid-Level</v>
      </c>
      <c r="P2532" cm="1">
        <f t="array" ref="P2532">_xlfn.SWITCH(tbl_analysis_tickets[[#This Row],[customer_satisfaction]],
"Low",1,
"Medium",2,
"High",3
)</f>
        <v>1</v>
      </c>
      <c r="Q2532">
        <f>IF(tbl_analysis_tickets[[#This Row],[reopened]]="Yes",1,0)</f>
        <v>1</v>
      </c>
      <c r="R2532" t="str" cm="1">
        <f t="array" ref="R2532">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532" t="str" cm="1">
        <f t="array" ref="S253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532" t="str">
        <f>TEXT(tbl_analysis_tickets[[#This Row],[created_date]],"mmm-yyyy")</f>
        <v>Mar-2024</v>
      </c>
      <c r="U2532" t="str">
        <f>TEXT(tbl_analysis_tickets[[#This Row],[created_date]],"dddd")</f>
        <v>Saturday</v>
      </c>
      <c r="V2532" cm="1">
        <f t="array" ref="V2532">_xlfn.SWITCH(tbl_analysis_tickets[[#This Row],[priority]],
"Urgent",1,
"High",2,
"Medium",3,
"Low",4
)</f>
        <v>1</v>
      </c>
    </row>
    <row r="2533" spans="1:22" x14ac:dyDescent="0.25">
      <c r="A2533">
        <v>2532</v>
      </c>
      <c r="B2533" s="1">
        <v>45414</v>
      </c>
      <c r="C2533" t="s">
        <v>23</v>
      </c>
      <c r="D2533" t="s">
        <v>15</v>
      </c>
      <c r="E2533">
        <v>160</v>
      </c>
      <c r="F2533">
        <v>69</v>
      </c>
      <c r="G2533">
        <v>4.5999999999999996</v>
      </c>
      <c r="H2533" t="s">
        <v>18</v>
      </c>
      <c r="I2533" t="s">
        <v>16</v>
      </c>
      <c r="J2533" t="s">
        <v>11</v>
      </c>
      <c r="K2533">
        <f>_xlfn.XLOOKUP(tbl_analysis_tickets[[#This Row],[priority]],tbl_sla[priority],tbl_sla[Resolution SLA Hours])</f>
        <v>48</v>
      </c>
      <c r="L2533">
        <f>_xlfn.XLOOKUP(tbl_analysis_tickets[[#This Row],[priority]],tbl_sla[priority],tbl_sla[First Response SLA Minutes])</f>
        <v>120</v>
      </c>
      <c r="M2533" t="str">
        <f>IF(tbl_analysis_tickets[[#This Row],[resolution_time_hours]]&gt;tbl_analysis_tickets[[#This Row],[Resolution SLA Hours]],"Breached","Within SLA")</f>
        <v>Breached</v>
      </c>
      <c r="N2533" t="str">
        <f>IF(tbl_analysis_tickets[[#This Row],[first_response_minutes]]&gt;tbl_analysis_tickets[[#This Row],[First Response SLA Minutes]],"Breached","Within SLA")</f>
        <v>Breached</v>
      </c>
      <c r="O2533" t="str" cm="1">
        <f t="array" ref="O2533">_xlfn.IFS(
tbl_analysis_tickets[[#This Row],[agent_experience_years]]&lt;=2,"Junior",
tbl_analysis_tickets[[#This Row],[agent_experience_years]]&lt;=5,"Mid-Level",
tbl_analysis_tickets[[#This Row],[agent_experience_years]]&lt;=8,"Senior",
tbl_analysis_tickets[[#This Row],[agent_experience_years]]&gt;8,"Expert"
)</f>
        <v>Mid-Level</v>
      </c>
      <c r="P2533" cm="1">
        <f t="array" ref="P2533">_xlfn.SWITCH(tbl_analysis_tickets[[#This Row],[customer_satisfaction]],
"Low",1,
"Medium",2,
"High",3
)</f>
        <v>1</v>
      </c>
      <c r="Q2533">
        <f>IF(tbl_analysis_tickets[[#This Row],[reopened]]="Yes",1,0)</f>
        <v>0</v>
      </c>
      <c r="R2533" t="str" cm="1">
        <f t="array" ref="R2533">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533" t="str" cm="1">
        <f t="array" ref="S253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533" t="str">
        <f>TEXT(tbl_analysis_tickets[[#This Row],[created_date]],"mmm-yyyy")</f>
        <v>May-2024</v>
      </c>
      <c r="U2533" t="str">
        <f>TEXT(tbl_analysis_tickets[[#This Row],[created_date]],"dddd")</f>
        <v>Thursday</v>
      </c>
      <c r="V2533" cm="1">
        <f t="array" ref="V2533">_xlfn.SWITCH(tbl_analysis_tickets[[#This Row],[priority]],
"Urgent",1,
"High",2,
"Medium",3,
"Low",4
)</f>
        <v>3</v>
      </c>
    </row>
    <row r="2534" spans="1:22" x14ac:dyDescent="0.25">
      <c r="A2534">
        <v>2533</v>
      </c>
      <c r="B2534" s="1">
        <v>45589</v>
      </c>
      <c r="C2534" t="s">
        <v>10</v>
      </c>
      <c r="D2534" t="s">
        <v>17</v>
      </c>
      <c r="E2534">
        <v>73</v>
      </c>
      <c r="F2534">
        <v>23</v>
      </c>
      <c r="G2534">
        <v>1.8</v>
      </c>
      <c r="H2534" t="s">
        <v>12</v>
      </c>
      <c r="I2534" t="s">
        <v>19</v>
      </c>
      <c r="J2534" t="s">
        <v>11</v>
      </c>
      <c r="K2534">
        <f>_xlfn.XLOOKUP(tbl_analysis_tickets[[#This Row],[priority]],tbl_sla[priority],tbl_sla[Resolution SLA Hours])</f>
        <v>8</v>
      </c>
      <c r="L2534">
        <f>_xlfn.XLOOKUP(tbl_analysis_tickets[[#This Row],[priority]],tbl_sla[priority],tbl_sla[First Response SLA Minutes])</f>
        <v>30</v>
      </c>
      <c r="M2534" t="str">
        <f>IF(tbl_analysis_tickets[[#This Row],[resolution_time_hours]]&gt;tbl_analysis_tickets[[#This Row],[Resolution SLA Hours]],"Breached","Within SLA")</f>
        <v>Breached</v>
      </c>
      <c r="N2534" t="str">
        <f>IF(tbl_analysis_tickets[[#This Row],[first_response_minutes]]&gt;tbl_analysis_tickets[[#This Row],[First Response SLA Minutes]],"Breached","Within SLA")</f>
        <v>Breached</v>
      </c>
      <c r="O2534" t="str" cm="1">
        <f t="array" ref="O2534">_xlfn.IFS(
tbl_analysis_tickets[[#This Row],[agent_experience_years]]&lt;=2,"Junior",
tbl_analysis_tickets[[#This Row],[agent_experience_years]]&lt;=5,"Mid-Level",
tbl_analysis_tickets[[#This Row],[agent_experience_years]]&lt;=8,"Senior",
tbl_analysis_tickets[[#This Row],[agent_experience_years]]&gt;8,"Expert"
)</f>
        <v>Junior</v>
      </c>
      <c r="P2534" cm="1">
        <f t="array" ref="P2534">_xlfn.SWITCH(tbl_analysis_tickets[[#This Row],[customer_satisfaction]],
"Low",1,
"Medium",2,
"High",3
)</f>
        <v>1</v>
      </c>
      <c r="Q2534">
        <f>IF(tbl_analysis_tickets[[#This Row],[reopened]]="Yes",1,0)</f>
        <v>1</v>
      </c>
      <c r="R2534" t="str" cm="1">
        <f t="array" ref="R2534">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534" t="str" cm="1">
        <f t="array" ref="S253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534" t="str">
        <f>TEXT(tbl_analysis_tickets[[#This Row],[created_date]],"mmm-yyyy")</f>
        <v>Oct-2024</v>
      </c>
      <c r="U2534" t="str">
        <f>TEXT(tbl_analysis_tickets[[#This Row],[created_date]],"dddd")</f>
        <v>Thursday</v>
      </c>
      <c r="V2534" cm="1">
        <f t="array" ref="V2534">_xlfn.SWITCH(tbl_analysis_tickets[[#This Row],[priority]],
"Urgent",1,
"High",2,
"Medium",3,
"Low",4
)</f>
        <v>1</v>
      </c>
    </row>
    <row r="2535" spans="1:22" x14ac:dyDescent="0.25">
      <c r="A2535">
        <v>2534</v>
      </c>
      <c r="B2535" s="1">
        <v>45372</v>
      </c>
      <c r="C2535" t="s">
        <v>22</v>
      </c>
      <c r="D2535" t="s">
        <v>15</v>
      </c>
      <c r="E2535">
        <v>163</v>
      </c>
      <c r="F2535">
        <v>2</v>
      </c>
      <c r="G2535">
        <v>8.1999999999999993</v>
      </c>
      <c r="H2535" t="s">
        <v>18</v>
      </c>
      <c r="I2535" t="s">
        <v>19</v>
      </c>
      <c r="J2535" t="s">
        <v>20</v>
      </c>
      <c r="K2535">
        <f>_xlfn.XLOOKUP(tbl_analysis_tickets[[#This Row],[priority]],tbl_sla[priority],tbl_sla[Resolution SLA Hours])</f>
        <v>48</v>
      </c>
      <c r="L2535">
        <f>_xlfn.XLOOKUP(tbl_analysis_tickets[[#This Row],[priority]],tbl_sla[priority],tbl_sla[First Response SLA Minutes])</f>
        <v>120</v>
      </c>
      <c r="M2535" t="str">
        <f>IF(tbl_analysis_tickets[[#This Row],[resolution_time_hours]]&gt;tbl_analysis_tickets[[#This Row],[Resolution SLA Hours]],"Breached","Within SLA")</f>
        <v>Within SLA</v>
      </c>
      <c r="N2535" t="str">
        <f>IF(tbl_analysis_tickets[[#This Row],[first_response_minutes]]&gt;tbl_analysis_tickets[[#This Row],[First Response SLA Minutes]],"Breached","Within SLA")</f>
        <v>Breached</v>
      </c>
      <c r="O2535" t="str" cm="1">
        <f t="array" ref="O2535">_xlfn.IFS(
tbl_analysis_tickets[[#This Row],[agent_experience_years]]&lt;=2,"Junior",
tbl_analysis_tickets[[#This Row],[agent_experience_years]]&lt;=5,"Mid-Level",
tbl_analysis_tickets[[#This Row],[agent_experience_years]]&lt;=8,"Senior",
tbl_analysis_tickets[[#This Row],[agent_experience_years]]&gt;8,"Expert"
)</f>
        <v>Expert</v>
      </c>
      <c r="P2535" cm="1">
        <f t="array" ref="P2535">_xlfn.SWITCH(tbl_analysis_tickets[[#This Row],[customer_satisfaction]],
"Low",1,
"Medium",2,
"High",3
)</f>
        <v>3</v>
      </c>
      <c r="Q2535">
        <f>IF(tbl_analysis_tickets[[#This Row],[reopened]]="Yes",1,0)</f>
        <v>0</v>
      </c>
      <c r="R2535" t="str" cm="1">
        <f t="array" ref="R2535">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535" t="str" cm="1">
        <f t="array" ref="S253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2535" t="str">
        <f>TEXT(tbl_analysis_tickets[[#This Row],[created_date]],"mmm-yyyy")</f>
        <v>Mar-2024</v>
      </c>
      <c r="U2535" t="str">
        <f>TEXT(tbl_analysis_tickets[[#This Row],[created_date]],"dddd")</f>
        <v>Thursday</v>
      </c>
      <c r="V2535" cm="1">
        <f t="array" ref="V2535">_xlfn.SWITCH(tbl_analysis_tickets[[#This Row],[priority]],
"Urgent",1,
"High",2,
"Medium",3,
"Low",4
)</f>
        <v>3</v>
      </c>
    </row>
    <row r="2536" spans="1:22" x14ac:dyDescent="0.25">
      <c r="A2536">
        <v>2535</v>
      </c>
      <c r="B2536" s="1">
        <v>45581</v>
      </c>
      <c r="C2536" t="s">
        <v>23</v>
      </c>
      <c r="D2536" t="s">
        <v>17</v>
      </c>
      <c r="E2536">
        <v>45</v>
      </c>
      <c r="F2536">
        <v>50</v>
      </c>
      <c r="G2536">
        <v>6.8</v>
      </c>
      <c r="H2536" t="s">
        <v>12</v>
      </c>
      <c r="I2536" t="s">
        <v>19</v>
      </c>
      <c r="J2536" t="s">
        <v>11</v>
      </c>
      <c r="K2536">
        <f>_xlfn.XLOOKUP(tbl_analysis_tickets[[#This Row],[priority]],tbl_sla[priority],tbl_sla[Resolution SLA Hours])</f>
        <v>8</v>
      </c>
      <c r="L2536">
        <f>_xlfn.XLOOKUP(tbl_analysis_tickets[[#This Row],[priority]],tbl_sla[priority],tbl_sla[First Response SLA Minutes])</f>
        <v>30</v>
      </c>
      <c r="M2536" t="str">
        <f>IF(tbl_analysis_tickets[[#This Row],[resolution_time_hours]]&gt;tbl_analysis_tickets[[#This Row],[Resolution SLA Hours]],"Breached","Within SLA")</f>
        <v>Breached</v>
      </c>
      <c r="N2536" t="str">
        <f>IF(tbl_analysis_tickets[[#This Row],[first_response_minutes]]&gt;tbl_analysis_tickets[[#This Row],[First Response SLA Minutes]],"Breached","Within SLA")</f>
        <v>Breached</v>
      </c>
      <c r="O2536" t="str" cm="1">
        <f t="array" ref="O2536">_xlfn.IFS(
tbl_analysis_tickets[[#This Row],[agent_experience_years]]&lt;=2,"Junior",
tbl_analysis_tickets[[#This Row],[agent_experience_years]]&lt;=5,"Mid-Level",
tbl_analysis_tickets[[#This Row],[agent_experience_years]]&lt;=8,"Senior",
tbl_analysis_tickets[[#This Row],[agent_experience_years]]&gt;8,"Expert"
)</f>
        <v>Senior</v>
      </c>
      <c r="P2536" cm="1">
        <f t="array" ref="P2536">_xlfn.SWITCH(tbl_analysis_tickets[[#This Row],[customer_satisfaction]],
"Low",1,
"Medium",2,
"High",3
)</f>
        <v>1</v>
      </c>
      <c r="Q2536">
        <f>IF(tbl_analysis_tickets[[#This Row],[reopened]]="Yes",1,0)</f>
        <v>1</v>
      </c>
      <c r="R2536" t="str" cm="1">
        <f t="array" ref="R2536">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536" t="str" cm="1">
        <f t="array" ref="S253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536" t="str">
        <f>TEXT(tbl_analysis_tickets[[#This Row],[created_date]],"mmm-yyyy")</f>
        <v>Oct-2024</v>
      </c>
      <c r="U2536" t="str">
        <f>TEXT(tbl_analysis_tickets[[#This Row],[created_date]],"dddd")</f>
        <v>Wednesday</v>
      </c>
      <c r="V2536" cm="1">
        <f t="array" ref="V2536">_xlfn.SWITCH(tbl_analysis_tickets[[#This Row],[priority]],
"Urgent",1,
"High",2,
"Medium",3,
"Low",4
)</f>
        <v>1</v>
      </c>
    </row>
    <row r="2537" spans="1:22" x14ac:dyDescent="0.25">
      <c r="A2537">
        <v>2536</v>
      </c>
      <c r="B2537" s="1">
        <v>45533</v>
      </c>
      <c r="C2537" t="s">
        <v>21</v>
      </c>
      <c r="D2537" t="s">
        <v>11</v>
      </c>
      <c r="E2537">
        <v>218</v>
      </c>
      <c r="F2537">
        <v>32</v>
      </c>
      <c r="G2537">
        <v>5</v>
      </c>
      <c r="H2537" t="s">
        <v>12</v>
      </c>
      <c r="I2537" t="s">
        <v>19</v>
      </c>
      <c r="J2537" t="s">
        <v>11</v>
      </c>
      <c r="K2537">
        <f>_xlfn.XLOOKUP(tbl_analysis_tickets[[#This Row],[priority]],tbl_sla[priority],tbl_sla[Resolution SLA Hours])</f>
        <v>72</v>
      </c>
      <c r="L2537">
        <f>_xlfn.XLOOKUP(tbl_analysis_tickets[[#This Row],[priority]],tbl_sla[priority],tbl_sla[First Response SLA Minutes])</f>
        <v>240</v>
      </c>
      <c r="M2537" t="str">
        <f>IF(tbl_analysis_tickets[[#This Row],[resolution_time_hours]]&gt;tbl_analysis_tickets[[#This Row],[Resolution SLA Hours]],"Breached","Within SLA")</f>
        <v>Within SLA</v>
      </c>
      <c r="N2537" t="str">
        <f>IF(tbl_analysis_tickets[[#This Row],[first_response_minutes]]&gt;tbl_analysis_tickets[[#This Row],[First Response SLA Minutes]],"Breached","Within SLA")</f>
        <v>Within SLA</v>
      </c>
      <c r="O2537" t="str" cm="1">
        <f t="array" ref="O2537">_xlfn.IFS(
tbl_analysis_tickets[[#This Row],[agent_experience_years]]&lt;=2,"Junior",
tbl_analysis_tickets[[#This Row],[agent_experience_years]]&lt;=5,"Mid-Level",
tbl_analysis_tickets[[#This Row],[agent_experience_years]]&lt;=8,"Senior",
tbl_analysis_tickets[[#This Row],[agent_experience_years]]&gt;8,"Expert"
)</f>
        <v>Mid-Level</v>
      </c>
      <c r="P2537" cm="1">
        <f t="array" ref="P2537">_xlfn.SWITCH(tbl_analysis_tickets[[#This Row],[customer_satisfaction]],
"Low",1,
"Medium",2,
"High",3
)</f>
        <v>1</v>
      </c>
      <c r="Q2537">
        <f>IF(tbl_analysis_tickets[[#This Row],[reopened]]="Yes",1,0)</f>
        <v>1</v>
      </c>
      <c r="R2537" t="str" cm="1">
        <f t="array" ref="R2537">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537" t="str" cm="1">
        <f t="array" ref="S253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537" t="str">
        <f>TEXT(tbl_analysis_tickets[[#This Row],[created_date]],"mmm-yyyy")</f>
        <v>Aug-2024</v>
      </c>
      <c r="U2537" t="str">
        <f>TEXT(tbl_analysis_tickets[[#This Row],[created_date]],"dddd")</f>
        <v>Thursday</v>
      </c>
      <c r="V2537" cm="1">
        <f t="array" ref="V2537">_xlfn.SWITCH(tbl_analysis_tickets[[#This Row],[priority]],
"Urgent",1,
"High",2,
"Medium",3,
"Low",4
)</f>
        <v>4</v>
      </c>
    </row>
    <row r="2538" spans="1:22" x14ac:dyDescent="0.25">
      <c r="A2538">
        <v>2537</v>
      </c>
      <c r="B2538" s="1">
        <v>45295</v>
      </c>
      <c r="C2538" t="s">
        <v>10</v>
      </c>
      <c r="D2538" t="s">
        <v>20</v>
      </c>
      <c r="E2538">
        <v>31</v>
      </c>
      <c r="F2538">
        <v>16</v>
      </c>
      <c r="G2538">
        <v>1.2</v>
      </c>
      <c r="H2538" t="s">
        <v>18</v>
      </c>
      <c r="I2538" t="s">
        <v>13</v>
      </c>
      <c r="J2538" t="s">
        <v>11</v>
      </c>
      <c r="K2538">
        <f>_xlfn.XLOOKUP(tbl_analysis_tickets[[#This Row],[priority]],tbl_sla[priority],tbl_sla[Resolution SLA Hours])</f>
        <v>24</v>
      </c>
      <c r="L2538">
        <f>_xlfn.XLOOKUP(tbl_analysis_tickets[[#This Row],[priority]],tbl_sla[priority],tbl_sla[First Response SLA Minutes])</f>
        <v>60</v>
      </c>
      <c r="M2538" t="str">
        <f>IF(tbl_analysis_tickets[[#This Row],[resolution_time_hours]]&gt;tbl_analysis_tickets[[#This Row],[Resolution SLA Hours]],"Breached","Within SLA")</f>
        <v>Within SLA</v>
      </c>
      <c r="N2538" t="str">
        <f>IF(tbl_analysis_tickets[[#This Row],[first_response_minutes]]&gt;tbl_analysis_tickets[[#This Row],[First Response SLA Minutes]],"Breached","Within SLA")</f>
        <v>Within SLA</v>
      </c>
      <c r="O2538" t="str" cm="1">
        <f t="array" ref="O2538">_xlfn.IFS(
tbl_analysis_tickets[[#This Row],[agent_experience_years]]&lt;=2,"Junior",
tbl_analysis_tickets[[#This Row],[agent_experience_years]]&lt;=5,"Mid-Level",
tbl_analysis_tickets[[#This Row],[agent_experience_years]]&lt;=8,"Senior",
tbl_analysis_tickets[[#This Row],[agent_experience_years]]&gt;8,"Expert"
)</f>
        <v>Junior</v>
      </c>
      <c r="P2538" cm="1">
        <f t="array" ref="P2538">_xlfn.SWITCH(tbl_analysis_tickets[[#This Row],[customer_satisfaction]],
"Low",1,
"Medium",2,
"High",3
)</f>
        <v>1</v>
      </c>
      <c r="Q2538">
        <f>IF(tbl_analysis_tickets[[#This Row],[reopened]]="Yes",1,0)</f>
        <v>0</v>
      </c>
      <c r="R2538" t="str" cm="1">
        <f t="array" ref="R2538">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538" t="str" cm="1">
        <f t="array" ref="S253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538" t="str">
        <f>TEXT(tbl_analysis_tickets[[#This Row],[created_date]],"mmm-yyyy")</f>
        <v>Jan-2024</v>
      </c>
      <c r="U2538" t="str">
        <f>TEXT(tbl_analysis_tickets[[#This Row],[created_date]],"dddd")</f>
        <v>Thursday</v>
      </c>
      <c r="V2538" cm="1">
        <f t="array" ref="V2538">_xlfn.SWITCH(tbl_analysis_tickets[[#This Row],[priority]],
"Urgent",1,
"High",2,
"Medium",3,
"Low",4
)</f>
        <v>2</v>
      </c>
    </row>
    <row r="2539" spans="1:22" x14ac:dyDescent="0.25">
      <c r="A2539">
        <v>2538</v>
      </c>
      <c r="B2539" s="1">
        <v>45328</v>
      </c>
      <c r="C2539" t="s">
        <v>22</v>
      </c>
      <c r="D2539" t="s">
        <v>17</v>
      </c>
      <c r="E2539">
        <v>43</v>
      </c>
      <c r="F2539">
        <v>21</v>
      </c>
      <c r="G2539">
        <v>8.1999999999999993</v>
      </c>
      <c r="H2539" t="s">
        <v>12</v>
      </c>
      <c r="I2539" t="s">
        <v>19</v>
      </c>
      <c r="J2539" t="s">
        <v>11</v>
      </c>
      <c r="K2539">
        <f>_xlfn.XLOOKUP(tbl_analysis_tickets[[#This Row],[priority]],tbl_sla[priority],tbl_sla[Resolution SLA Hours])</f>
        <v>8</v>
      </c>
      <c r="L2539">
        <f>_xlfn.XLOOKUP(tbl_analysis_tickets[[#This Row],[priority]],tbl_sla[priority],tbl_sla[First Response SLA Minutes])</f>
        <v>30</v>
      </c>
      <c r="M2539" t="str">
        <f>IF(tbl_analysis_tickets[[#This Row],[resolution_time_hours]]&gt;tbl_analysis_tickets[[#This Row],[Resolution SLA Hours]],"Breached","Within SLA")</f>
        <v>Breached</v>
      </c>
      <c r="N2539" t="str">
        <f>IF(tbl_analysis_tickets[[#This Row],[first_response_minutes]]&gt;tbl_analysis_tickets[[#This Row],[First Response SLA Minutes]],"Breached","Within SLA")</f>
        <v>Breached</v>
      </c>
      <c r="O2539" t="str" cm="1">
        <f t="array" ref="O2539">_xlfn.IFS(
tbl_analysis_tickets[[#This Row],[agent_experience_years]]&lt;=2,"Junior",
tbl_analysis_tickets[[#This Row],[agent_experience_years]]&lt;=5,"Mid-Level",
tbl_analysis_tickets[[#This Row],[agent_experience_years]]&lt;=8,"Senior",
tbl_analysis_tickets[[#This Row],[agent_experience_years]]&gt;8,"Expert"
)</f>
        <v>Expert</v>
      </c>
      <c r="P2539" cm="1">
        <f t="array" ref="P2539">_xlfn.SWITCH(tbl_analysis_tickets[[#This Row],[customer_satisfaction]],
"Low",1,
"Medium",2,
"High",3
)</f>
        <v>1</v>
      </c>
      <c r="Q2539">
        <f>IF(tbl_analysis_tickets[[#This Row],[reopened]]="Yes",1,0)</f>
        <v>1</v>
      </c>
      <c r="R2539" t="str" cm="1">
        <f t="array" ref="R2539">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539" t="str" cm="1">
        <f t="array" ref="S253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539" t="str">
        <f>TEXT(tbl_analysis_tickets[[#This Row],[created_date]],"mmm-yyyy")</f>
        <v>Feb-2024</v>
      </c>
      <c r="U2539" t="str">
        <f>TEXT(tbl_analysis_tickets[[#This Row],[created_date]],"dddd")</f>
        <v>Tuesday</v>
      </c>
      <c r="V2539" cm="1">
        <f t="array" ref="V2539">_xlfn.SWITCH(tbl_analysis_tickets[[#This Row],[priority]],
"Urgent",1,
"High",2,
"Medium",3,
"Low",4
)</f>
        <v>1</v>
      </c>
    </row>
    <row r="2540" spans="1:22" x14ac:dyDescent="0.25">
      <c r="A2540">
        <v>2539</v>
      </c>
      <c r="B2540" s="1">
        <v>45609</v>
      </c>
      <c r="C2540" t="s">
        <v>22</v>
      </c>
      <c r="D2540" t="s">
        <v>17</v>
      </c>
      <c r="E2540">
        <v>151</v>
      </c>
      <c r="F2540">
        <v>3</v>
      </c>
      <c r="G2540">
        <v>6.5</v>
      </c>
      <c r="H2540" t="s">
        <v>18</v>
      </c>
      <c r="I2540" t="s">
        <v>16</v>
      </c>
      <c r="J2540" t="s">
        <v>15</v>
      </c>
      <c r="K2540">
        <f>_xlfn.XLOOKUP(tbl_analysis_tickets[[#This Row],[priority]],tbl_sla[priority],tbl_sla[Resolution SLA Hours])</f>
        <v>8</v>
      </c>
      <c r="L2540">
        <f>_xlfn.XLOOKUP(tbl_analysis_tickets[[#This Row],[priority]],tbl_sla[priority],tbl_sla[First Response SLA Minutes])</f>
        <v>30</v>
      </c>
      <c r="M2540" t="str">
        <f>IF(tbl_analysis_tickets[[#This Row],[resolution_time_hours]]&gt;tbl_analysis_tickets[[#This Row],[Resolution SLA Hours]],"Breached","Within SLA")</f>
        <v>Within SLA</v>
      </c>
      <c r="N2540" t="str">
        <f>IF(tbl_analysis_tickets[[#This Row],[first_response_minutes]]&gt;tbl_analysis_tickets[[#This Row],[First Response SLA Minutes]],"Breached","Within SLA")</f>
        <v>Breached</v>
      </c>
      <c r="O2540" t="str" cm="1">
        <f t="array" ref="O2540">_xlfn.IFS(
tbl_analysis_tickets[[#This Row],[agent_experience_years]]&lt;=2,"Junior",
tbl_analysis_tickets[[#This Row],[agent_experience_years]]&lt;=5,"Mid-Level",
tbl_analysis_tickets[[#This Row],[agent_experience_years]]&lt;=8,"Senior",
tbl_analysis_tickets[[#This Row],[agent_experience_years]]&gt;8,"Expert"
)</f>
        <v>Senior</v>
      </c>
      <c r="P2540" cm="1">
        <f t="array" ref="P2540">_xlfn.SWITCH(tbl_analysis_tickets[[#This Row],[customer_satisfaction]],
"Low",1,
"Medium",2,
"High",3
)</f>
        <v>2</v>
      </c>
      <c r="Q2540">
        <f>IF(tbl_analysis_tickets[[#This Row],[reopened]]="Yes",1,0)</f>
        <v>0</v>
      </c>
      <c r="R2540" t="str" cm="1">
        <f t="array" ref="R2540">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540" t="str" cm="1">
        <f t="array" ref="S254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2540" t="str">
        <f>TEXT(tbl_analysis_tickets[[#This Row],[created_date]],"mmm-yyyy")</f>
        <v>Nov-2024</v>
      </c>
      <c r="U2540" t="str">
        <f>TEXT(tbl_analysis_tickets[[#This Row],[created_date]],"dddd")</f>
        <v>Wednesday</v>
      </c>
      <c r="V2540" cm="1">
        <f t="array" ref="V2540">_xlfn.SWITCH(tbl_analysis_tickets[[#This Row],[priority]],
"Urgent",1,
"High",2,
"Medium",3,
"Low",4
)</f>
        <v>1</v>
      </c>
    </row>
    <row r="2541" spans="1:22" x14ac:dyDescent="0.25">
      <c r="A2541">
        <v>2540</v>
      </c>
      <c r="B2541" s="1">
        <v>45369</v>
      </c>
      <c r="C2541" t="s">
        <v>22</v>
      </c>
      <c r="D2541" t="s">
        <v>20</v>
      </c>
      <c r="E2541">
        <v>61</v>
      </c>
      <c r="F2541">
        <v>68</v>
      </c>
      <c r="G2541">
        <v>4.0999999999999996</v>
      </c>
      <c r="H2541" t="s">
        <v>18</v>
      </c>
      <c r="I2541" t="s">
        <v>19</v>
      </c>
      <c r="J2541" t="s">
        <v>11</v>
      </c>
      <c r="K2541">
        <f>_xlfn.XLOOKUP(tbl_analysis_tickets[[#This Row],[priority]],tbl_sla[priority],tbl_sla[Resolution SLA Hours])</f>
        <v>24</v>
      </c>
      <c r="L2541">
        <f>_xlfn.XLOOKUP(tbl_analysis_tickets[[#This Row],[priority]],tbl_sla[priority],tbl_sla[First Response SLA Minutes])</f>
        <v>60</v>
      </c>
      <c r="M2541" t="str">
        <f>IF(tbl_analysis_tickets[[#This Row],[resolution_time_hours]]&gt;tbl_analysis_tickets[[#This Row],[Resolution SLA Hours]],"Breached","Within SLA")</f>
        <v>Breached</v>
      </c>
      <c r="N2541" t="str">
        <f>IF(tbl_analysis_tickets[[#This Row],[first_response_minutes]]&gt;tbl_analysis_tickets[[#This Row],[First Response SLA Minutes]],"Breached","Within SLA")</f>
        <v>Breached</v>
      </c>
      <c r="O2541" t="str" cm="1">
        <f t="array" ref="O2541">_xlfn.IFS(
tbl_analysis_tickets[[#This Row],[agent_experience_years]]&lt;=2,"Junior",
tbl_analysis_tickets[[#This Row],[agent_experience_years]]&lt;=5,"Mid-Level",
tbl_analysis_tickets[[#This Row],[agent_experience_years]]&lt;=8,"Senior",
tbl_analysis_tickets[[#This Row],[agent_experience_years]]&gt;8,"Expert"
)</f>
        <v>Mid-Level</v>
      </c>
      <c r="P2541" cm="1">
        <f t="array" ref="P2541">_xlfn.SWITCH(tbl_analysis_tickets[[#This Row],[customer_satisfaction]],
"Low",1,
"Medium",2,
"High",3
)</f>
        <v>1</v>
      </c>
      <c r="Q2541">
        <f>IF(tbl_analysis_tickets[[#This Row],[reopened]]="Yes",1,0)</f>
        <v>0</v>
      </c>
      <c r="R2541" t="str" cm="1">
        <f t="array" ref="R2541">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541" t="str" cm="1">
        <f t="array" ref="S254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541" t="str">
        <f>TEXT(tbl_analysis_tickets[[#This Row],[created_date]],"mmm-yyyy")</f>
        <v>Mar-2024</v>
      </c>
      <c r="U2541" t="str">
        <f>TEXT(tbl_analysis_tickets[[#This Row],[created_date]],"dddd")</f>
        <v>Monday</v>
      </c>
      <c r="V2541" cm="1">
        <f t="array" ref="V2541">_xlfn.SWITCH(tbl_analysis_tickets[[#This Row],[priority]],
"Urgent",1,
"High",2,
"Medium",3,
"Low",4
)</f>
        <v>2</v>
      </c>
    </row>
    <row r="2542" spans="1:22" x14ac:dyDescent="0.25">
      <c r="A2542">
        <v>2541</v>
      </c>
      <c r="B2542" s="1">
        <v>45657</v>
      </c>
      <c r="C2542" t="s">
        <v>14</v>
      </c>
      <c r="D2542" t="s">
        <v>20</v>
      </c>
      <c r="E2542">
        <v>228</v>
      </c>
      <c r="F2542">
        <v>67</v>
      </c>
      <c r="G2542">
        <v>7.9</v>
      </c>
      <c r="H2542" t="s">
        <v>18</v>
      </c>
      <c r="I2542" t="s">
        <v>16</v>
      </c>
      <c r="J2542" t="s">
        <v>11</v>
      </c>
      <c r="K2542">
        <f>_xlfn.XLOOKUP(tbl_analysis_tickets[[#This Row],[priority]],tbl_sla[priority],tbl_sla[Resolution SLA Hours])</f>
        <v>24</v>
      </c>
      <c r="L2542">
        <f>_xlfn.XLOOKUP(tbl_analysis_tickets[[#This Row],[priority]],tbl_sla[priority],tbl_sla[First Response SLA Minutes])</f>
        <v>60</v>
      </c>
      <c r="M2542" t="str">
        <f>IF(tbl_analysis_tickets[[#This Row],[resolution_time_hours]]&gt;tbl_analysis_tickets[[#This Row],[Resolution SLA Hours]],"Breached","Within SLA")</f>
        <v>Breached</v>
      </c>
      <c r="N2542" t="str">
        <f>IF(tbl_analysis_tickets[[#This Row],[first_response_minutes]]&gt;tbl_analysis_tickets[[#This Row],[First Response SLA Minutes]],"Breached","Within SLA")</f>
        <v>Breached</v>
      </c>
      <c r="O2542" t="str" cm="1">
        <f t="array" ref="O2542">_xlfn.IFS(
tbl_analysis_tickets[[#This Row],[agent_experience_years]]&lt;=2,"Junior",
tbl_analysis_tickets[[#This Row],[agent_experience_years]]&lt;=5,"Mid-Level",
tbl_analysis_tickets[[#This Row],[agent_experience_years]]&lt;=8,"Senior",
tbl_analysis_tickets[[#This Row],[agent_experience_years]]&gt;8,"Expert"
)</f>
        <v>Senior</v>
      </c>
      <c r="P2542" cm="1">
        <f t="array" ref="P2542">_xlfn.SWITCH(tbl_analysis_tickets[[#This Row],[customer_satisfaction]],
"Low",1,
"Medium",2,
"High",3
)</f>
        <v>1</v>
      </c>
      <c r="Q2542">
        <f>IF(tbl_analysis_tickets[[#This Row],[reopened]]="Yes",1,0)</f>
        <v>0</v>
      </c>
      <c r="R2542" t="str" cm="1">
        <f t="array" ref="R2542">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542" t="str" cm="1">
        <f t="array" ref="S254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542" t="str">
        <f>TEXT(tbl_analysis_tickets[[#This Row],[created_date]],"mmm-yyyy")</f>
        <v>Dec-2024</v>
      </c>
      <c r="U2542" t="str">
        <f>TEXT(tbl_analysis_tickets[[#This Row],[created_date]],"dddd")</f>
        <v>Tuesday</v>
      </c>
      <c r="V2542" cm="1">
        <f t="array" ref="V2542">_xlfn.SWITCH(tbl_analysis_tickets[[#This Row],[priority]],
"Urgent",1,
"High",2,
"Medium",3,
"Low",4
)</f>
        <v>2</v>
      </c>
    </row>
    <row r="2543" spans="1:22" x14ac:dyDescent="0.25">
      <c r="A2543">
        <v>2542</v>
      </c>
      <c r="B2543" s="1">
        <v>45631</v>
      </c>
      <c r="C2543" t="s">
        <v>23</v>
      </c>
      <c r="D2543" t="s">
        <v>17</v>
      </c>
      <c r="E2543">
        <v>85</v>
      </c>
      <c r="F2543">
        <v>56</v>
      </c>
      <c r="G2543">
        <v>8.9</v>
      </c>
      <c r="H2543" t="s">
        <v>12</v>
      </c>
      <c r="I2543" t="s">
        <v>19</v>
      </c>
      <c r="J2543" t="s">
        <v>11</v>
      </c>
      <c r="K2543">
        <f>_xlfn.XLOOKUP(tbl_analysis_tickets[[#This Row],[priority]],tbl_sla[priority],tbl_sla[Resolution SLA Hours])</f>
        <v>8</v>
      </c>
      <c r="L2543">
        <f>_xlfn.XLOOKUP(tbl_analysis_tickets[[#This Row],[priority]],tbl_sla[priority],tbl_sla[First Response SLA Minutes])</f>
        <v>30</v>
      </c>
      <c r="M2543" t="str">
        <f>IF(tbl_analysis_tickets[[#This Row],[resolution_time_hours]]&gt;tbl_analysis_tickets[[#This Row],[Resolution SLA Hours]],"Breached","Within SLA")</f>
        <v>Breached</v>
      </c>
      <c r="N2543" t="str">
        <f>IF(tbl_analysis_tickets[[#This Row],[first_response_minutes]]&gt;tbl_analysis_tickets[[#This Row],[First Response SLA Minutes]],"Breached","Within SLA")</f>
        <v>Breached</v>
      </c>
      <c r="O2543" t="str" cm="1">
        <f t="array" ref="O2543">_xlfn.IFS(
tbl_analysis_tickets[[#This Row],[agent_experience_years]]&lt;=2,"Junior",
tbl_analysis_tickets[[#This Row],[agent_experience_years]]&lt;=5,"Mid-Level",
tbl_analysis_tickets[[#This Row],[agent_experience_years]]&lt;=8,"Senior",
tbl_analysis_tickets[[#This Row],[agent_experience_years]]&gt;8,"Expert"
)</f>
        <v>Expert</v>
      </c>
      <c r="P2543" cm="1">
        <f t="array" ref="P2543">_xlfn.SWITCH(tbl_analysis_tickets[[#This Row],[customer_satisfaction]],
"Low",1,
"Medium",2,
"High",3
)</f>
        <v>1</v>
      </c>
      <c r="Q2543">
        <f>IF(tbl_analysis_tickets[[#This Row],[reopened]]="Yes",1,0)</f>
        <v>1</v>
      </c>
      <c r="R2543" t="str" cm="1">
        <f t="array" ref="R2543">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543" t="str" cm="1">
        <f t="array" ref="S254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543" t="str">
        <f>TEXT(tbl_analysis_tickets[[#This Row],[created_date]],"mmm-yyyy")</f>
        <v>Dec-2024</v>
      </c>
      <c r="U2543" t="str">
        <f>TEXT(tbl_analysis_tickets[[#This Row],[created_date]],"dddd")</f>
        <v>Thursday</v>
      </c>
      <c r="V2543" cm="1">
        <f t="array" ref="V2543">_xlfn.SWITCH(tbl_analysis_tickets[[#This Row],[priority]],
"Urgent",1,
"High",2,
"Medium",3,
"Low",4
)</f>
        <v>1</v>
      </c>
    </row>
    <row r="2544" spans="1:22" x14ac:dyDescent="0.25">
      <c r="A2544">
        <v>2543</v>
      </c>
      <c r="B2544" s="1">
        <v>45631</v>
      </c>
      <c r="C2544" t="s">
        <v>23</v>
      </c>
      <c r="D2544" t="s">
        <v>17</v>
      </c>
      <c r="E2544">
        <v>122</v>
      </c>
      <c r="F2544">
        <v>49</v>
      </c>
      <c r="G2544">
        <v>9.5</v>
      </c>
      <c r="H2544" t="s">
        <v>12</v>
      </c>
      <c r="I2544" t="s">
        <v>13</v>
      </c>
      <c r="J2544" t="s">
        <v>11</v>
      </c>
      <c r="K2544">
        <f>_xlfn.XLOOKUP(tbl_analysis_tickets[[#This Row],[priority]],tbl_sla[priority],tbl_sla[Resolution SLA Hours])</f>
        <v>8</v>
      </c>
      <c r="L2544">
        <f>_xlfn.XLOOKUP(tbl_analysis_tickets[[#This Row],[priority]],tbl_sla[priority],tbl_sla[First Response SLA Minutes])</f>
        <v>30</v>
      </c>
      <c r="M2544" t="str">
        <f>IF(tbl_analysis_tickets[[#This Row],[resolution_time_hours]]&gt;tbl_analysis_tickets[[#This Row],[Resolution SLA Hours]],"Breached","Within SLA")</f>
        <v>Breached</v>
      </c>
      <c r="N2544" t="str">
        <f>IF(tbl_analysis_tickets[[#This Row],[first_response_minutes]]&gt;tbl_analysis_tickets[[#This Row],[First Response SLA Minutes]],"Breached","Within SLA")</f>
        <v>Breached</v>
      </c>
      <c r="O2544" t="str" cm="1">
        <f t="array" ref="O2544">_xlfn.IFS(
tbl_analysis_tickets[[#This Row],[agent_experience_years]]&lt;=2,"Junior",
tbl_analysis_tickets[[#This Row],[agent_experience_years]]&lt;=5,"Mid-Level",
tbl_analysis_tickets[[#This Row],[agent_experience_years]]&lt;=8,"Senior",
tbl_analysis_tickets[[#This Row],[agent_experience_years]]&gt;8,"Expert"
)</f>
        <v>Expert</v>
      </c>
      <c r="P2544" cm="1">
        <f t="array" ref="P2544">_xlfn.SWITCH(tbl_analysis_tickets[[#This Row],[customer_satisfaction]],
"Low",1,
"Medium",2,
"High",3
)</f>
        <v>1</v>
      </c>
      <c r="Q2544">
        <f>IF(tbl_analysis_tickets[[#This Row],[reopened]]="Yes",1,0)</f>
        <v>1</v>
      </c>
      <c r="R2544" t="str" cm="1">
        <f t="array" ref="R2544">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544" t="str" cm="1">
        <f t="array" ref="S254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544" t="str">
        <f>TEXT(tbl_analysis_tickets[[#This Row],[created_date]],"mmm-yyyy")</f>
        <v>Dec-2024</v>
      </c>
      <c r="U2544" t="str">
        <f>TEXT(tbl_analysis_tickets[[#This Row],[created_date]],"dddd")</f>
        <v>Thursday</v>
      </c>
      <c r="V2544" cm="1">
        <f t="array" ref="V2544">_xlfn.SWITCH(tbl_analysis_tickets[[#This Row],[priority]],
"Urgent",1,
"High",2,
"Medium",3,
"Low",4
)</f>
        <v>1</v>
      </c>
    </row>
    <row r="2545" spans="1:22" x14ac:dyDescent="0.25">
      <c r="A2545">
        <v>2544</v>
      </c>
      <c r="B2545" s="1">
        <v>45488</v>
      </c>
      <c r="C2545" t="s">
        <v>10</v>
      </c>
      <c r="D2545" t="s">
        <v>17</v>
      </c>
      <c r="E2545">
        <v>50</v>
      </c>
      <c r="F2545">
        <v>72</v>
      </c>
      <c r="G2545">
        <v>2.2999999999999998</v>
      </c>
      <c r="H2545" t="s">
        <v>12</v>
      </c>
      <c r="I2545" t="s">
        <v>16</v>
      </c>
      <c r="J2545" t="s">
        <v>11</v>
      </c>
      <c r="K2545">
        <f>_xlfn.XLOOKUP(tbl_analysis_tickets[[#This Row],[priority]],tbl_sla[priority],tbl_sla[Resolution SLA Hours])</f>
        <v>8</v>
      </c>
      <c r="L2545">
        <f>_xlfn.XLOOKUP(tbl_analysis_tickets[[#This Row],[priority]],tbl_sla[priority],tbl_sla[First Response SLA Minutes])</f>
        <v>30</v>
      </c>
      <c r="M2545" t="str">
        <f>IF(tbl_analysis_tickets[[#This Row],[resolution_time_hours]]&gt;tbl_analysis_tickets[[#This Row],[Resolution SLA Hours]],"Breached","Within SLA")</f>
        <v>Breached</v>
      </c>
      <c r="N2545" t="str">
        <f>IF(tbl_analysis_tickets[[#This Row],[first_response_minutes]]&gt;tbl_analysis_tickets[[#This Row],[First Response SLA Minutes]],"Breached","Within SLA")</f>
        <v>Breached</v>
      </c>
      <c r="O2545" t="str" cm="1">
        <f t="array" ref="O2545">_xlfn.IFS(
tbl_analysis_tickets[[#This Row],[agent_experience_years]]&lt;=2,"Junior",
tbl_analysis_tickets[[#This Row],[agent_experience_years]]&lt;=5,"Mid-Level",
tbl_analysis_tickets[[#This Row],[agent_experience_years]]&lt;=8,"Senior",
tbl_analysis_tickets[[#This Row],[agent_experience_years]]&gt;8,"Expert"
)</f>
        <v>Mid-Level</v>
      </c>
      <c r="P2545" cm="1">
        <f t="array" ref="P2545">_xlfn.SWITCH(tbl_analysis_tickets[[#This Row],[customer_satisfaction]],
"Low",1,
"Medium",2,
"High",3
)</f>
        <v>1</v>
      </c>
      <c r="Q2545">
        <f>IF(tbl_analysis_tickets[[#This Row],[reopened]]="Yes",1,0)</f>
        <v>1</v>
      </c>
      <c r="R2545" t="str" cm="1">
        <f t="array" ref="R2545">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545" t="str" cm="1">
        <f t="array" ref="S254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545" t="str">
        <f>TEXT(tbl_analysis_tickets[[#This Row],[created_date]],"mmm-yyyy")</f>
        <v>Jul-2024</v>
      </c>
      <c r="U2545" t="str">
        <f>TEXT(tbl_analysis_tickets[[#This Row],[created_date]],"dddd")</f>
        <v>Monday</v>
      </c>
      <c r="V2545" cm="1">
        <f t="array" ref="V2545">_xlfn.SWITCH(tbl_analysis_tickets[[#This Row],[priority]],
"Urgent",1,
"High",2,
"Medium",3,
"Low",4
)</f>
        <v>1</v>
      </c>
    </row>
    <row r="2546" spans="1:22" x14ac:dyDescent="0.25">
      <c r="A2546">
        <v>2545</v>
      </c>
      <c r="B2546" s="1">
        <v>45383</v>
      </c>
      <c r="C2546" t="s">
        <v>21</v>
      </c>
      <c r="D2546" t="s">
        <v>20</v>
      </c>
      <c r="E2546">
        <v>226</v>
      </c>
      <c r="F2546">
        <v>1</v>
      </c>
      <c r="G2546">
        <v>6.3</v>
      </c>
      <c r="H2546" t="s">
        <v>12</v>
      </c>
      <c r="I2546" t="s">
        <v>16</v>
      </c>
      <c r="J2546" t="s">
        <v>15</v>
      </c>
      <c r="K2546">
        <f>_xlfn.XLOOKUP(tbl_analysis_tickets[[#This Row],[priority]],tbl_sla[priority],tbl_sla[Resolution SLA Hours])</f>
        <v>24</v>
      </c>
      <c r="L2546">
        <f>_xlfn.XLOOKUP(tbl_analysis_tickets[[#This Row],[priority]],tbl_sla[priority],tbl_sla[First Response SLA Minutes])</f>
        <v>60</v>
      </c>
      <c r="M2546" t="str">
        <f>IF(tbl_analysis_tickets[[#This Row],[resolution_time_hours]]&gt;tbl_analysis_tickets[[#This Row],[Resolution SLA Hours]],"Breached","Within SLA")</f>
        <v>Within SLA</v>
      </c>
      <c r="N2546" t="str">
        <f>IF(tbl_analysis_tickets[[#This Row],[first_response_minutes]]&gt;tbl_analysis_tickets[[#This Row],[First Response SLA Minutes]],"Breached","Within SLA")</f>
        <v>Breached</v>
      </c>
      <c r="O2546" t="str" cm="1">
        <f t="array" ref="O2546">_xlfn.IFS(
tbl_analysis_tickets[[#This Row],[agent_experience_years]]&lt;=2,"Junior",
tbl_analysis_tickets[[#This Row],[agent_experience_years]]&lt;=5,"Mid-Level",
tbl_analysis_tickets[[#This Row],[agent_experience_years]]&lt;=8,"Senior",
tbl_analysis_tickets[[#This Row],[agent_experience_years]]&gt;8,"Expert"
)</f>
        <v>Senior</v>
      </c>
      <c r="P2546" cm="1">
        <f t="array" ref="P2546">_xlfn.SWITCH(tbl_analysis_tickets[[#This Row],[customer_satisfaction]],
"Low",1,
"Medium",2,
"High",3
)</f>
        <v>2</v>
      </c>
      <c r="Q2546">
        <f>IF(tbl_analysis_tickets[[#This Row],[reopened]]="Yes",1,0)</f>
        <v>1</v>
      </c>
      <c r="R2546" t="str" cm="1">
        <f t="array" ref="R2546">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546" t="str" cm="1">
        <f t="array" ref="S254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2546" t="str">
        <f>TEXT(tbl_analysis_tickets[[#This Row],[created_date]],"mmm-yyyy")</f>
        <v>Apr-2024</v>
      </c>
      <c r="U2546" t="str">
        <f>TEXT(tbl_analysis_tickets[[#This Row],[created_date]],"dddd")</f>
        <v>Monday</v>
      </c>
      <c r="V2546" cm="1">
        <f t="array" ref="V2546">_xlfn.SWITCH(tbl_analysis_tickets[[#This Row],[priority]],
"Urgent",1,
"High",2,
"Medium",3,
"Low",4
)</f>
        <v>2</v>
      </c>
    </row>
    <row r="2547" spans="1:22" x14ac:dyDescent="0.25">
      <c r="A2547">
        <v>2546</v>
      </c>
      <c r="B2547" s="1">
        <v>45612</v>
      </c>
      <c r="C2547" t="s">
        <v>10</v>
      </c>
      <c r="D2547" t="s">
        <v>15</v>
      </c>
      <c r="E2547">
        <v>40</v>
      </c>
      <c r="F2547">
        <v>40</v>
      </c>
      <c r="G2547">
        <v>2.2999999999999998</v>
      </c>
      <c r="H2547" t="s">
        <v>18</v>
      </c>
      <c r="I2547" t="s">
        <v>19</v>
      </c>
      <c r="J2547" t="s">
        <v>11</v>
      </c>
      <c r="K2547">
        <f>_xlfn.XLOOKUP(tbl_analysis_tickets[[#This Row],[priority]],tbl_sla[priority],tbl_sla[Resolution SLA Hours])</f>
        <v>48</v>
      </c>
      <c r="L2547">
        <f>_xlfn.XLOOKUP(tbl_analysis_tickets[[#This Row],[priority]],tbl_sla[priority],tbl_sla[First Response SLA Minutes])</f>
        <v>120</v>
      </c>
      <c r="M2547" t="str">
        <f>IF(tbl_analysis_tickets[[#This Row],[resolution_time_hours]]&gt;tbl_analysis_tickets[[#This Row],[Resolution SLA Hours]],"Breached","Within SLA")</f>
        <v>Within SLA</v>
      </c>
      <c r="N2547" t="str">
        <f>IF(tbl_analysis_tickets[[#This Row],[first_response_minutes]]&gt;tbl_analysis_tickets[[#This Row],[First Response SLA Minutes]],"Breached","Within SLA")</f>
        <v>Within SLA</v>
      </c>
      <c r="O2547" t="str" cm="1">
        <f t="array" ref="O2547">_xlfn.IFS(
tbl_analysis_tickets[[#This Row],[agent_experience_years]]&lt;=2,"Junior",
tbl_analysis_tickets[[#This Row],[agent_experience_years]]&lt;=5,"Mid-Level",
tbl_analysis_tickets[[#This Row],[agent_experience_years]]&lt;=8,"Senior",
tbl_analysis_tickets[[#This Row],[agent_experience_years]]&gt;8,"Expert"
)</f>
        <v>Mid-Level</v>
      </c>
      <c r="P2547" cm="1">
        <f t="array" ref="P2547">_xlfn.SWITCH(tbl_analysis_tickets[[#This Row],[customer_satisfaction]],
"Low",1,
"Medium",2,
"High",3
)</f>
        <v>1</v>
      </c>
      <c r="Q2547">
        <f>IF(tbl_analysis_tickets[[#This Row],[reopened]]="Yes",1,0)</f>
        <v>0</v>
      </c>
      <c r="R2547" t="str" cm="1">
        <f t="array" ref="R2547">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547" t="str" cm="1">
        <f t="array" ref="S254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547" t="str">
        <f>TEXT(tbl_analysis_tickets[[#This Row],[created_date]],"mmm-yyyy")</f>
        <v>Nov-2024</v>
      </c>
      <c r="U2547" t="str">
        <f>TEXT(tbl_analysis_tickets[[#This Row],[created_date]],"dddd")</f>
        <v>Saturday</v>
      </c>
      <c r="V2547" cm="1">
        <f t="array" ref="V2547">_xlfn.SWITCH(tbl_analysis_tickets[[#This Row],[priority]],
"Urgent",1,
"High",2,
"Medium",3,
"Low",4
)</f>
        <v>3</v>
      </c>
    </row>
    <row r="2548" spans="1:22" x14ac:dyDescent="0.25">
      <c r="A2548">
        <v>2547</v>
      </c>
      <c r="B2548" s="1">
        <v>45581</v>
      </c>
      <c r="C2548" t="s">
        <v>21</v>
      </c>
      <c r="D2548" t="s">
        <v>11</v>
      </c>
      <c r="E2548">
        <v>163</v>
      </c>
      <c r="F2548">
        <v>10</v>
      </c>
      <c r="G2548">
        <v>1.5</v>
      </c>
      <c r="H2548" t="s">
        <v>12</v>
      </c>
      <c r="I2548" t="s">
        <v>16</v>
      </c>
      <c r="J2548" t="s">
        <v>11</v>
      </c>
      <c r="K2548">
        <f>_xlfn.XLOOKUP(tbl_analysis_tickets[[#This Row],[priority]],tbl_sla[priority],tbl_sla[Resolution SLA Hours])</f>
        <v>72</v>
      </c>
      <c r="L2548">
        <f>_xlfn.XLOOKUP(tbl_analysis_tickets[[#This Row],[priority]],tbl_sla[priority],tbl_sla[First Response SLA Minutes])</f>
        <v>240</v>
      </c>
      <c r="M2548" t="str">
        <f>IF(tbl_analysis_tickets[[#This Row],[resolution_time_hours]]&gt;tbl_analysis_tickets[[#This Row],[Resolution SLA Hours]],"Breached","Within SLA")</f>
        <v>Within SLA</v>
      </c>
      <c r="N2548" t="str">
        <f>IF(tbl_analysis_tickets[[#This Row],[first_response_minutes]]&gt;tbl_analysis_tickets[[#This Row],[First Response SLA Minutes]],"Breached","Within SLA")</f>
        <v>Within SLA</v>
      </c>
      <c r="O2548" t="str" cm="1">
        <f t="array" ref="O2548">_xlfn.IFS(
tbl_analysis_tickets[[#This Row],[agent_experience_years]]&lt;=2,"Junior",
tbl_analysis_tickets[[#This Row],[agent_experience_years]]&lt;=5,"Mid-Level",
tbl_analysis_tickets[[#This Row],[agent_experience_years]]&lt;=8,"Senior",
tbl_analysis_tickets[[#This Row],[agent_experience_years]]&gt;8,"Expert"
)</f>
        <v>Junior</v>
      </c>
      <c r="P2548" cm="1">
        <f t="array" ref="P2548">_xlfn.SWITCH(tbl_analysis_tickets[[#This Row],[customer_satisfaction]],
"Low",1,
"Medium",2,
"High",3
)</f>
        <v>1</v>
      </c>
      <c r="Q2548">
        <f>IF(tbl_analysis_tickets[[#This Row],[reopened]]="Yes",1,0)</f>
        <v>1</v>
      </c>
      <c r="R2548" t="str" cm="1">
        <f t="array" ref="R2548">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548" t="str" cm="1">
        <f t="array" ref="S254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548" t="str">
        <f>TEXT(tbl_analysis_tickets[[#This Row],[created_date]],"mmm-yyyy")</f>
        <v>Oct-2024</v>
      </c>
      <c r="U2548" t="str">
        <f>TEXT(tbl_analysis_tickets[[#This Row],[created_date]],"dddd")</f>
        <v>Wednesday</v>
      </c>
      <c r="V2548" cm="1">
        <f t="array" ref="V2548">_xlfn.SWITCH(tbl_analysis_tickets[[#This Row],[priority]],
"Urgent",1,
"High",2,
"Medium",3,
"Low",4
)</f>
        <v>4</v>
      </c>
    </row>
    <row r="2549" spans="1:22" x14ac:dyDescent="0.25">
      <c r="A2549">
        <v>2548</v>
      </c>
      <c r="B2549" s="1">
        <v>45629</v>
      </c>
      <c r="C2549" t="s">
        <v>21</v>
      </c>
      <c r="D2549" t="s">
        <v>20</v>
      </c>
      <c r="E2549">
        <v>18</v>
      </c>
      <c r="F2549">
        <v>56</v>
      </c>
      <c r="G2549">
        <v>5.4</v>
      </c>
      <c r="H2549" t="s">
        <v>12</v>
      </c>
      <c r="I2549" t="s">
        <v>19</v>
      </c>
      <c r="J2549" t="s">
        <v>15</v>
      </c>
      <c r="K2549">
        <f>_xlfn.XLOOKUP(tbl_analysis_tickets[[#This Row],[priority]],tbl_sla[priority],tbl_sla[Resolution SLA Hours])</f>
        <v>24</v>
      </c>
      <c r="L2549">
        <f>_xlfn.XLOOKUP(tbl_analysis_tickets[[#This Row],[priority]],tbl_sla[priority],tbl_sla[First Response SLA Minutes])</f>
        <v>60</v>
      </c>
      <c r="M2549" t="str">
        <f>IF(tbl_analysis_tickets[[#This Row],[resolution_time_hours]]&gt;tbl_analysis_tickets[[#This Row],[Resolution SLA Hours]],"Breached","Within SLA")</f>
        <v>Breached</v>
      </c>
      <c r="N2549" t="str">
        <f>IF(tbl_analysis_tickets[[#This Row],[first_response_minutes]]&gt;tbl_analysis_tickets[[#This Row],[First Response SLA Minutes]],"Breached","Within SLA")</f>
        <v>Within SLA</v>
      </c>
      <c r="O2549" t="str" cm="1">
        <f t="array" ref="O2549">_xlfn.IFS(
tbl_analysis_tickets[[#This Row],[agent_experience_years]]&lt;=2,"Junior",
tbl_analysis_tickets[[#This Row],[agent_experience_years]]&lt;=5,"Mid-Level",
tbl_analysis_tickets[[#This Row],[agent_experience_years]]&lt;=8,"Senior",
tbl_analysis_tickets[[#This Row],[agent_experience_years]]&gt;8,"Expert"
)</f>
        <v>Senior</v>
      </c>
      <c r="P2549" cm="1">
        <f t="array" ref="P2549">_xlfn.SWITCH(tbl_analysis_tickets[[#This Row],[customer_satisfaction]],
"Low",1,
"Medium",2,
"High",3
)</f>
        <v>2</v>
      </c>
      <c r="Q2549">
        <f>IF(tbl_analysis_tickets[[#This Row],[reopened]]="Yes",1,0)</f>
        <v>1</v>
      </c>
      <c r="R2549" t="str" cm="1">
        <f t="array" ref="R2549">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2549" t="str" cm="1">
        <f t="array" ref="S254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549" t="str">
        <f>TEXT(tbl_analysis_tickets[[#This Row],[created_date]],"mmm-yyyy")</f>
        <v>Dec-2024</v>
      </c>
      <c r="U2549" t="str">
        <f>TEXT(tbl_analysis_tickets[[#This Row],[created_date]],"dddd")</f>
        <v>Tuesday</v>
      </c>
      <c r="V2549" cm="1">
        <f t="array" ref="V2549">_xlfn.SWITCH(tbl_analysis_tickets[[#This Row],[priority]],
"Urgent",1,
"High",2,
"Medium",3,
"Low",4
)</f>
        <v>2</v>
      </c>
    </row>
    <row r="2550" spans="1:22" x14ac:dyDescent="0.25">
      <c r="A2550">
        <v>2549</v>
      </c>
      <c r="B2550" s="1">
        <v>45431</v>
      </c>
      <c r="C2550" t="s">
        <v>22</v>
      </c>
      <c r="D2550" t="s">
        <v>20</v>
      </c>
      <c r="E2550">
        <v>163</v>
      </c>
      <c r="F2550">
        <v>49</v>
      </c>
      <c r="G2550">
        <v>8.5</v>
      </c>
      <c r="H2550" t="s">
        <v>18</v>
      </c>
      <c r="I2550" t="s">
        <v>16</v>
      </c>
      <c r="J2550" t="s">
        <v>11</v>
      </c>
      <c r="K2550">
        <f>_xlfn.XLOOKUP(tbl_analysis_tickets[[#This Row],[priority]],tbl_sla[priority],tbl_sla[Resolution SLA Hours])</f>
        <v>24</v>
      </c>
      <c r="L2550">
        <f>_xlfn.XLOOKUP(tbl_analysis_tickets[[#This Row],[priority]],tbl_sla[priority],tbl_sla[First Response SLA Minutes])</f>
        <v>60</v>
      </c>
      <c r="M2550" t="str">
        <f>IF(tbl_analysis_tickets[[#This Row],[resolution_time_hours]]&gt;tbl_analysis_tickets[[#This Row],[Resolution SLA Hours]],"Breached","Within SLA")</f>
        <v>Breached</v>
      </c>
      <c r="N2550" t="str">
        <f>IF(tbl_analysis_tickets[[#This Row],[first_response_minutes]]&gt;tbl_analysis_tickets[[#This Row],[First Response SLA Minutes]],"Breached","Within SLA")</f>
        <v>Breached</v>
      </c>
      <c r="O2550" t="str" cm="1">
        <f t="array" ref="O2550">_xlfn.IFS(
tbl_analysis_tickets[[#This Row],[agent_experience_years]]&lt;=2,"Junior",
tbl_analysis_tickets[[#This Row],[agent_experience_years]]&lt;=5,"Mid-Level",
tbl_analysis_tickets[[#This Row],[agent_experience_years]]&lt;=8,"Senior",
tbl_analysis_tickets[[#This Row],[agent_experience_years]]&gt;8,"Expert"
)</f>
        <v>Expert</v>
      </c>
      <c r="P2550" cm="1">
        <f t="array" ref="P2550">_xlfn.SWITCH(tbl_analysis_tickets[[#This Row],[customer_satisfaction]],
"Low",1,
"Medium",2,
"High",3
)</f>
        <v>1</v>
      </c>
      <c r="Q2550">
        <f>IF(tbl_analysis_tickets[[#This Row],[reopened]]="Yes",1,0)</f>
        <v>0</v>
      </c>
      <c r="R2550" t="str" cm="1">
        <f t="array" ref="R2550">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550" t="str" cm="1">
        <f t="array" ref="S255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550" t="str">
        <f>TEXT(tbl_analysis_tickets[[#This Row],[created_date]],"mmm-yyyy")</f>
        <v>May-2024</v>
      </c>
      <c r="U2550" t="str">
        <f>TEXT(tbl_analysis_tickets[[#This Row],[created_date]],"dddd")</f>
        <v>Sunday</v>
      </c>
      <c r="V2550" cm="1">
        <f t="array" ref="V2550">_xlfn.SWITCH(tbl_analysis_tickets[[#This Row],[priority]],
"Urgent",1,
"High",2,
"Medium",3,
"Low",4
)</f>
        <v>2</v>
      </c>
    </row>
    <row r="2551" spans="1:22" x14ac:dyDescent="0.25">
      <c r="A2551">
        <v>2550</v>
      </c>
      <c r="B2551" s="1">
        <v>45569</v>
      </c>
      <c r="C2551" t="s">
        <v>23</v>
      </c>
      <c r="D2551" t="s">
        <v>17</v>
      </c>
      <c r="E2551">
        <v>12</v>
      </c>
      <c r="F2551">
        <v>48</v>
      </c>
      <c r="G2551">
        <v>4.0999999999999996</v>
      </c>
      <c r="H2551" t="s">
        <v>18</v>
      </c>
      <c r="I2551" t="s">
        <v>19</v>
      </c>
      <c r="J2551" t="s">
        <v>15</v>
      </c>
      <c r="K2551">
        <f>_xlfn.XLOOKUP(tbl_analysis_tickets[[#This Row],[priority]],tbl_sla[priority],tbl_sla[Resolution SLA Hours])</f>
        <v>8</v>
      </c>
      <c r="L2551">
        <f>_xlfn.XLOOKUP(tbl_analysis_tickets[[#This Row],[priority]],tbl_sla[priority],tbl_sla[First Response SLA Minutes])</f>
        <v>30</v>
      </c>
      <c r="M2551" t="str">
        <f>IF(tbl_analysis_tickets[[#This Row],[resolution_time_hours]]&gt;tbl_analysis_tickets[[#This Row],[Resolution SLA Hours]],"Breached","Within SLA")</f>
        <v>Breached</v>
      </c>
      <c r="N2551" t="str">
        <f>IF(tbl_analysis_tickets[[#This Row],[first_response_minutes]]&gt;tbl_analysis_tickets[[#This Row],[First Response SLA Minutes]],"Breached","Within SLA")</f>
        <v>Within SLA</v>
      </c>
      <c r="O2551" t="str" cm="1">
        <f t="array" ref="O2551">_xlfn.IFS(
tbl_analysis_tickets[[#This Row],[agent_experience_years]]&lt;=2,"Junior",
tbl_analysis_tickets[[#This Row],[agent_experience_years]]&lt;=5,"Mid-Level",
tbl_analysis_tickets[[#This Row],[agent_experience_years]]&lt;=8,"Senior",
tbl_analysis_tickets[[#This Row],[agent_experience_years]]&gt;8,"Expert"
)</f>
        <v>Mid-Level</v>
      </c>
      <c r="P2551" cm="1">
        <f t="array" ref="P2551">_xlfn.SWITCH(tbl_analysis_tickets[[#This Row],[customer_satisfaction]],
"Low",1,
"Medium",2,
"High",3
)</f>
        <v>2</v>
      </c>
      <c r="Q2551">
        <f>IF(tbl_analysis_tickets[[#This Row],[reopened]]="Yes",1,0)</f>
        <v>0</v>
      </c>
      <c r="R2551" t="str" cm="1">
        <f t="array" ref="R2551">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2551" t="str" cm="1">
        <f t="array" ref="S255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551" t="str">
        <f>TEXT(tbl_analysis_tickets[[#This Row],[created_date]],"mmm-yyyy")</f>
        <v>Oct-2024</v>
      </c>
      <c r="U2551" t="str">
        <f>TEXT(tbl_analysis_tickets[[#This Row],[created_date]],"dddd")</f>
        <v>Friday</v>
      </c>
      <c r="V2551" cm="1">
        <f t="array" ref="V2551">_xlfn.SWITCH(tbl_analysis_tickets[[#This Row],[priority]],
"Urgent",1,
"High",2,
"Medium",3,
"Low",4
)</f>
        <v>1</v>
      </c>
    </row>
    <row r="2552" spans="1:22" x14ac:dyDescent="0.25">
      <c r="A2552">
        <v>2551</v>
      </c>
      <c r="B2552" s="1">
        <v>45473</v>
      </c>
      <c r="C2552" t="s">
        <v>14</v>
      </c>
      <c r="D2552" t="s">
        <v>11</v>
      </c>
      <c r="E2552">
        <v>239</v>
      </c>
      <c r="F2552">
        <v>19</v>
      </c>
      <c r="G2552">
        <v>2.7</v>
      </c>
      <c r="H2552" t="s">
        <v>18</v>
      </c>
      <c r="I2552" t="s">
        <v>13</v>
      </c>
      <c r="J2552" t="s">
        <v>11</v>
      </c>
      <c r="K2552">
        <f>_xlfn.XLOOKUP(tbl_analysis_tickets[[#This Row],[priority]],tbl_sla[priority],tbl_sla[Resolution SLA Hours])</f>
        <v>72</v>
      </c>
      <c r="L2552">
        <f>_xlfn.XLOOKUP(tbl_analysis_tickets[[#This Row],[priority]],tbl_sla[priority],tbl_sla[First Response SLA Minutes])</f>
        <v>240</v>
      </c>
      <c r="M2552" t="str">
        <f>IF(tbl_analysis_tickets[[#This Row],[resolution_time_hours]]&gt;tbl_analysis_tickets[[#This Row],[Resolution SLA Hours]],"Breached","Within SLA")</f>
        <v>Within SLA</v>
      </c>
      <c r="N2552" t="str">
        <f>IF(tbl_analysis_tickets[[#This Row],[first_response_minutes]]&gt;tbl_analysis_tickets[[#This Row],[First Response SLA Minutes]],"Breached","Within SLA")</f>
        <v>Within SLA</v>
      </c>
      <c r="O2552" t="str" cm="1">
        <f t="array" ref="O2552">_xlfn.IFS(
tbl_analysis_tickets[[#This Row],[agent_experience_years]]&lt;=2,"Junior",
tbl_analysis_tickets[[#This Row],[agent_experience_years]]&lt;=5,"Mid-Level",
tbl_analysis_tickets[[#This Row],[agent_experience_years]]&lt;=8,"Senior",
tbl_analysis_tickets[[#This Row],[agent_experience_years]]&gt;8,"Expert"
)</f>
        <v>Mid-Level</v>
      </c>
      <c r="P2552" cm="1">
        <f t="array" ref="P2552">_xlfn.SWITCH(tbl_analysis_tickets[[#This Row],[customer_satisfaction]],
"Low",1,
"Medium",2,
"High",3
)</f>
        <v>1</v>
      </c>
      <c r="Q2552">
        <f>IF(tbl_analysis_tickets[[#This Row],[reopened]]="Yes",1,0)</f>
        <v>0</v>
      </c>
      <c r="R2552" t="str" cm="1">
        <f t="array" ref="R2552">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552" t="str" cm="1">
        <f t="array" ref="S255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552" t="str">
        <f>TEXT(tbl_analysis_tickets[[#This Row],[created_date]],"mmm-yyyy")</f>
        <v>Jun-2024</v>
      </c>
      <c r="U2552" t="str">
        <f>TEXT(tbl_analysis_tickets[[#This Row],[created_date]],"dddd")</f>
        <v>Sunday</v>
      </c>
      <c r="V2552" cm="1">
        <f t="array" ref="V2552">_xlfn.SWITCH(tbl_analysis_tickets[[#This Row],[priority]],
"Urgent",1,
"High",2,
"Medium",3,
"Low",4
)</f>
        <v>4</v>
      </c>
    </row>
    <row r="2553" spans="1:22" x14ac:dyDescent="0.25">
      <c r="A2553">
        <v>2552</v>
      </c>
      <c r="B2553" s="1">
        <v>45383</v>
      </c>
      <c r="C2553" t="s">
        <v>14</v>
      </c>
      <c r="D2553" t="s">
        <v>11</v>
      </c>
      <c r="E2553">
        <v>151</v>
      </c>
      <c r="F2553">
        <v>43</v>
      </c>
      <c r="G2553">
        <v>5.6</v>
      </c>
      <c r="H2553" t="s">
        <v>18</v>
      </c>
      <c r="I2553" t="s">
        <v>19</v>
      </c>
      <c r="J2553" t="s">
        <v>15</v>
      </c>
      <c r="K2553">
        <f>_xlfn.XLOOKUP(tbl_analysis_tickets[[#This Row],[priority]],tbl_sla[priority],tbl_sla[Resolution SLA Hours])</f>
        <v>72</v>
      </c>
      <c r="L2553">
        <f>_xlfn.XLOOKUP(tbl_analysis_tickets[[#This Row],[priority]],tbl_sla[priority],tbl_sla[First Response SLA Minutes])</f>
        <v>240</v>
      </c>
      <c r="M2553" t="str">
        <f>IF(tbl_analysis_tickets[[#This Row],[resolution_time_hours]]&gt;tbl_analysis_tickets[[#This Row],[Resolution SLA Hours]],"Breached","Within SLA")</f>
        <v>Within SLA</v>
      </c>
      <c r="N2553" t="str">
        <f>IF(tbl_analysis_tickets[[#This Row],[first_response_minutes]]&gt;tbl_analysis_tickets[[#This Row],[First Response SLA Minutes]],"Breached","Within SLA")</f>
        <v>Within SLA</v>
      </c>
      <c r="O2553" t="str" cm="1">
        <f t="array" ref="O2553">_xlfn.IFS(
tbl_analysis_tickets[[#This Row],[agent_experience_years]]&lt;=2,"Junior",
tbl_analysis_tickets[[#This Row],[agent_experience_years]]&lt;=5,"Mid-Level",
tbl_analysis_tickets[[#This Row],[agent_experience_years]]&lt;=8,"Senior",
tbl_analysis_tickets[[#This Row],[agent_experience_years]]&gt;8,"Expert"
)</f>
        <v>Senior</v>
      </c>
      <c r="P2553" cm="1">
        <f t="array" ref="P2553">_xlfn.SWITCH(tbl_analysis_tickets[[#This Row],[customer_satisfaction]],
"Low",1,
"Medium",2,
"High",3
)</f>
        <v>2</v>
      </c>
      <c r="Q2553">
        <f>IF(tbl_analysis_tickets[[#This Row],[reopened]]="Yes",1,0)</f>
        <v>0</v>
      </c>
      <c r="R2553" t="str" cm="1">
        <f t="array" ref="R2553">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553" t="str" cm="1">
        <f t="array" ref="S255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553" t="str">
        <f>TEXT(tbl_analysis_tickets[[#This Row],[created_date]],"mmm-yyyy")</f>
        <v>Apr-2024</v>
      </c>
      <c r="U2553" t="str">
        <f>TEXT(tbl_analysis_tickets[[#This Row],[created_date]],"dddd")</f>
        <v>Monday</v>
      </c>
      <c r="V2553" cm="1">
        <f t="array" ref="V2553">_xlfn.SWITCH(tbl_analysis_tickets[[#This Row],[priority]],
"Urgent",1,
"High",2,
"Medium",3,
"Low",4
)</f>
        <v>4</v>
      </c>
    </row>
    <row r="2554" spans="1:22" x14ac:dyDescent="0.25">
      <c r="A2554">
        <v>2553</v>
      </c>
      <c r="B2554" s="1">
        <v>45567</v>
      </c>
      <c r="C2554" t="s">
        <v>23</v>
      </c>
      <c r="D2554" t="s">
        <v>11</v>
      </c>
      <c r="E2554">
        <v>192</v>
      </c>
      <c r="F2554">
        <v>21</v>
      </c>
      <c r="G2554">
        <v>4.2</v>
      </c>
      <c r="H2554" t="s">
        <v>12</v>
      </c>
      <c r="I2554" t="s">
        <v>16</v>
      </c>
      <c r="J2554" t="s">
        <v>11</v>
      </c>
      <c r="K2554">
        <f>_xlfn.XLOOKUP(tbl_analysis_tickets[[#This Row],[priority]],tbl_sla[priority],tbl_sla[Resolution SLA Hours])</f>
        <v>72</v>
      </c>
      <c r="L2554">
        <f>_xlfn.XLOOKUP(tbl_analysis_tickets[[#This Row],[priority]],tbl_sla[priority],tbl_sla[First Response SLA Minutes])</f>
        <v>240</v>
      </c>
      <c r="M2554" t="str">
        <f>IF(tbl_analysis_tickets[[#This Row],[resolution_time_hours]]&gt;tbl_analysis_tickets[[#This Row],[Resolution SLA Hours]],"Breached","Within SLA")</f>
        <v>Within SLA</v>
      </c>
      <c r="N2554" t="str">
        <f>IF(tbl_analysis_tickets[[#This Row],[first_response_minutes]]&gt;tbl_analysis_tickets[[#This Row],[First Response SLA Minutes]],"Breached","Within SLA")</f>
        <v>Within SLA</v>
      </c>
      <c r="O2554" t="str" cm="1">
        <f t="array" ref="O2554">_xlfn.IFS(
tbl_analysis_tickets[[#This Row],[agent_experience_years]]&lt;=2,"Junior",
tbl_analysis_tickets[[#This Row],[agent_experience_years]]&lt;=5,"Mid-Level",
tbl_analysis_tickets[[#This Row],[agent_experience_years]]&lt;=8,"Senior",
tbl_analysis_tickets[[#This Row],[agent_experience_years]]&gt;8,"Expert"
)</f>
        <v>Mid-Level</v>
      </c>
      <c r="P2554" cm="1">
        <f t="array" ref="P2554">_xlfn.SWITCH(tbl_analysis_tickets[[#This Row],[customer_satisfaction]],
"Low",1,
"Medium",2,
"High",3
)</f>
        <v>1</v>
      </c>
      <c r="Q2554">
        <f>IF(tbl_analysis_tickets[[#This Row],[reopened]]="Yes",1,0)</f>
        <v>1</v>
      </c>
      <c r="R2554" t="str" cm="1">
        <f t="array" ref="R2554">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554" t="str" cm="1">
        <f t="array" ref="S255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554" t="str">
        <f>TEXT(tbl_analysis_tickets[[#This Row],[created_date]],"mmm-yyyy")</f>
        <v>Oct-2024</v>
      </c>
      <c r="U2554" t="str">
        <f>TEXT(tbl_analysis_tickets[[#This Row],[created_date]],"dddd")</f>
        <v>Wednesday</v>
      </c>
      <c r="V2554" cm="1">
        <f t="array" ref="V2554">_xlfn.SWITCH(tbl_analysis_tickets[[#This Row],[priority]],
"Urgent",1,
"High",2,
"Medium",3,
"Low",4
)</f>
        <v>4</v>
      </c>
    </row>
    <row r="2555" spans="1:22" x14ac:dyDescent="0.25">
      <c r="A2555">
        <v>2554</v>
      </c>
      <c r="B2555" s="1">
        <v>45512</v>
      </c>
      <c r="C2555" t="s">
        <v>14</v>
      </c>
      <c r="D2555" t="s">
        <v>11</v>
      </c>
      <c r="E2555">
        <v>75</v>
      </c>
      <c r="F2555">
        <v>65</v>
      </c>
      <c r="G2555">
        <v>9.6</v>
      </c>
      <c r="H2555" t="s">
        <v>12</v>
      </c>
      <c r="I2555" t="s">
        <v>16</v>
      </c>
      <c r="J2555" t="s">
        <v>11</v>
      </c>
      <c r="K2555">
        <f>_xlfn.XLOOKUP(tbl_analysis_tickets[[#This Row],[priority]],tbl_sla[priority],tbl_sla[Resolution SLA Hours])</f>
        <v>72</v>
      </c>
      <c r="L2555">
        <f>_xlfn.XLOOKUP(tbl_analysis_tickets[[#This Row],[priority]],tbl_sla[priority],tbl_sla[First Response SLA Minutes])</f>
        <v>240</v>
      </c>
      <c r="M2555" t="str">
        <f>IF(tbl_analysis_tickets[[#This Row],[resolution_time_hours]]&gt;tbl_analysis_tickets[[#This Row],[Resolution SLA Hours]],"Breached","Within SLA")</f>
        <v>Within SLA</v>
      </c>
      <c r="N2555" t="str">
        <f>IF(tbl_analysis_tickets[[#This Row],[first_response_minutes]]&gt;tbl_analysis_tickets[[#This Row],[First Response SLA Minutes]],"Breached","Within SLA")</f>
        <v>Within SLA</v>
      </c>
      <c r="O2555" t="str" cm="1">
        <f t="array" ref="O2555">_xlfn.IFS(
tbl_analysis_tickets[[#This Row],[agent_experience_years]]&lt;=2,"Junior",
tbl_analysis_tickets[[#This Row],[agent_experience_years]]&lt;=5,"Mid-Level",
tbl_analysis_tickets[[#This Row],[agent_experience_years]]&lt;=8,"Senior",
tbl_analysis_tickets[[#This Row],[agent_experience_years]]&gt;8,"Expert"
)</f>
        <v>Expert</v>
      </c>
      <c r="P2555" cm="1">
        <f t="array" ref="P2555">_xlfn.SWITCH(tbl_analysis_tickets[[#This Row],[customer_satisfaction]],
"Low",1,
"Medium",2,
"High",3
)</f>
        <v>1</v>
      </c>
      <c r="Q2555">
        <f>IF(tbl_analysis_tickets[[#This Row],[reopened]]="Yes",1,0)</f>
        <v>1</v>
      </c>
      <c r="R2555" t="str" cm="1">
        <f t="array" ref="R2555">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555" t="str" cm="1">
        <f t="array" ref="S255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555" t="str">
        <f>TEXT(tbl_analysis_tickets[[#This Row],[created_date]],"mmm-yyyy")</f>
        <v>Aug-2024</v>
      </c>
      <c r="U2555" t="str">
        <f>TEXT(tbl_analysis_tickets[[#This Row],[created_date]],"dddd")</f>
        <v>Thursday</v>
      </c>
      <c r="V2555" cm="1">
        <f t="array" ref="V2555">_xlfn.SWITCH(tbl_analysis_tickets[[#This Row],[priority]],
"Urgent",1,
"High",2,
"Medium",3,
"Low",4
)</f>
        <v>4</v>
      </c>
    </row>
    <row r="2556" spans="1:22" x14ac:dyDescent="0.25">
      <c r="A2556">
        <v>2555</v>
      </c>
      <c r="B2556" s="1">
        <v>45564</v>
      </c>
      <c r="C2556" t="s">
        <v>14</v>
      </c>
      <c r="D2556" t="s">
        <v>20</v>
      </c>
      <c r="E2556">
        <v>136</v>
      </c>
      <c r="F2556">
        <v>40</v>
      </c>
      <c r="G2556">
        <v>7.9</v>
      </c>
      <c r="H2556" t="s">
        <v>12</v>
      </c>
      <c r="I2556" t="s">
        <v>16</v>
      </c>
      <c r="J2556" t="s">
        <v>11</v>
      </c>
      <c r="K2556">
        <f>_xlfn.XLOOKUP(tbl_analysis_tickets[[#This Row],[priority]],tbl_sla[priority],tbl_sla[Resolution SLA Hours])</f>
        <v>24</v>
      </c>
      <c r="L2556">
        <f>_xlfn.XLOOKUP(tbl_analysis_tickets[[#This Row],[priority]],tbl_sla[priority],tbl_sla[First Response SLA Minutes])</f>
        <v>60</v>
      </c>
      <c r="M2556" t="str">
        <f>IF(tbl_analysis_tickets[[#This Row],[resolution_time_hours]]&gt;tbl_analysis_tickets[[#This Row],[Resolution SLA Hours]],"Breached","Within SLA")</f>
        <v>Breached</v>
      </c>
      <c r="N2556" t="str">
        <f>IF(tbl_analysis_tickets[[#This Row],[first_response_minutes]]&gt;tbl_analysis_tickets[[#This Row],[First Response SLA Minutes]],"Breached","Within SLA")</f>
        <v>Breached</v>
      </c>
      <c r="O2556" t="str" cm="1">
        <f t="array" ref="O2556">_xlfn.IFS(
tbl_analysis_tickets[[#This Row],[agent_experience_years]]&lt;=2,"Junior",
tbl_analysis_tickets[[#This Row],[agent_experience_years]]&lt;=5,"Mid-Level",
tbl_analysis_tickets[[#This Row],[agent_experience_years]]&lt;=8,"Senior",
tbl_analysis_tickets[[#This Row],[agent_experience_years]]&gt;8,"Expert"
)</f>
        <v>Senior</v>
      </c>
      <c r="P2556" cm="1">
        <f t="array" ref="P2556">_xlfn.SWITCH(tbl_analysis_tickets[[#This Row],[customer_satisfaction]],
"Low",1,
"Medium",2,
"High",3
)</f>
        <v>1</v>
      </c>
      <c r="Q2556">
        <f>IF(tbl_analysis_tickets[[#This Row],[reopened]]="Yes",1,0)</f>
        <v>1</v>
      </c>
      <c r="R2556" t="str" cm="1">
        <f t="array" ref="R2556">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556" t="str" cm="1">
        <f t="array" ref="S255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556" t="str">
        <f>TEXT(tbl_analysis_tickets[[#This Row],[created_date]],"mmm-yyyy")</f>
        <v>Sep-2024</v>
      </c>
      <c r="U2556" t="str">
        <f>TEXT(tbl_analysis_tickets[[#This Row],[created_date]],"dddd")</f>
        <v>Sunday</v>
      </c>
      <c r="V2556" cm="1">
        <f t="array" ref="V2556">_xlfn.SWITCH(tbl_analysis_tickets[[#This Row],[priority]],
"Urgent",1,
"High",2,
"Medium",3,
"Low",4
)</f>
        <v>2</v>
      </c>
    </row>
    <row r="2557" spans="1:22" x14ac:dyDescent="0.25">
      <c r="A2557">
        <v>2556</v>
      </c>
      <c r="B2557" s="1">
        <v>45310</v>
      </c>
      <c r="C2557" t="s">
        <v>14</v>
      </c>
      <c r="D2557" t="s">
        <v>17</v>
      </c>
      <c r="E2557">
        <v>195</v>
      </c>
      <c r="F2557">
        <v>38</v>
      </c>
      <c r="G2557">
        <v>8</v>
      </c>
      <c r="H2557" t="s">
        <v>18</v>
      </c>
      <c r="I2557" t="s">
        <v>19</v>
      </c>
      <c r="J2557" t="s">
        <v>11</v>
      </c>
      <c r="K2557">
        <f>_xlfn.XLOOKUP(tbl_analysis_tickets[[#This Row],[priority]],tbl_sla[priority],tbl_sla[Resolution SLA Hours])</f>
        <v>8</v>
      </c>
      <c r="L2557">
        <f>_xlfn.XLOOKUP(tbl_analysis_tickets[[#This Row],[priority]],tbl_sla[priority],tbl_sla[First Response SLA Minutes])</f>
        <v>30</v>
      </c>
      <c r="M2557" t="str">
        <f>IF(tbl_analysis_tickets[[#This Row],[resolution_time_hours]]&gt;tbl_analysis_tickets[[#This Row],[Resolution SLA Hours]],"Breached","Within SLA")</f>
        <v>Breached</v>
      </c>
      <c r="N2557" t="str">
        <f>IF(tbl_analysis_tickets[[#This Row],[first_response_minutes]]&gt;tbl_analysis_tickets[[#This Row],[First Response SLA Minutes]],"Breached","Within SLA")</f>
        <v>Breached</v>
      </c>
      <c r="O2557" t="str" cm="1">
        <f t="array" ref="O2557">_xlfn.IFS(
tbl_analysis_tickets[[#This Row],[agent_experience_years]]&lt;=2,"Junior",
tbl_analysis_tickets[[#This Row],[agent_experience_years]]&lt;=5,"Mid-Level",
tbl_analysis_tickets[[#This Row],[agent_experience_years]]&lt;=8,"Senior",
tbl_analysis_tickets[[#This Row],[agent_experience_years]]&gt;8,"Expert"
)</f>
        <v>Senior</v>
      </c>
      <c r="P2557" cm="1">
        <f t="array" ref="P2557">_xlfn.SWITCH(tbl_analysis_tickets[[#This Row],[customer_satisfaction]],
"Low",1,
"Medium",2,
"High",3
)</f>
        <v>1</v>
      </c>
      <c r="Q2557">
        <f>IF(tbl_analysis_tickets[[#This Row],[reopened]]="Yes",1,0)</f>
        <v>0</v>
      </c>
      <c r="R2557" t="str" cm="1">
        <f t="array" ref="R2557">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557" t="str" cm="1">
        <f t="array" ref="S255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557" t="str">
        <f>TEXT(tbl_analysis_tickets[[#This Row],[created_date]],"mmm-yyyy")</f>
        <v>Jan-2024</v>
      </c>
      <c r="U2557" t="str">
        <f>TEXT(tbl_analysis_tickets[[#This Row],[created_date]],"dddd")</f>
        <v>Friday</v>
      </c>
      <c r="V2557" cm="1">
        <f t="array" ref="V2557">_xlfn.SWITCH(tbl_analysis_tickets[[#This Row],[priority]],
"Urgent",1,
"High",2,
"Medium",3,
"Low",4
)</f>
        <v>1</v>
      </c>
    </row>
    <row r="2558" spans="1:22" x14ac:dyDescent="0.25">
      <c r="A2558">
        <v>2557</v>
      </c>
      <c r="B2558" s="1">
        <v>45368</v>
      </c>
      <c r="C2558" t="s">
        <v>23</v>
      </c>
      <c r="D2558" t="s">
        <v>17</v>
      </c>
      <c r="E2558">
        <v>75</v>
      </c>
      <c r="F2558">
        <v>23</v>
      </c>
      <c r="G2558">
        <v>0.7</v>
      </c>
      <c r="H2558" t="s">
        <v>18</v>
      </c>
      <c r="I2558" t="s">
        <v>19</v>
      </c>
      <c r="J2558" t="s">
        <v>11</v>
      </c>
      <c r="K2558">
        <f>_xlfn.XLOOKUP(tbl_analysis_tickets[[#This Row],[priority]],tbl_sla[priority],tbl_sla[Resolution SLA Hours])</f>
        <v>8</v>
      </c>
      <c r="L2558">
        <f>_xlfn.XLOOKUP(tbl_analysis_tickets[[#This Row],[priority]],tbl_sla[priority],tbl_sla[First Response SLA Minutes])</f>
        <v>30</v>
      </c>
      <c r="M2558" t="str">
        <f>IF(tbl_analysis_tickets[[#This Row],[resolution_time_hours]]&gt;tbl_analysis_tickets[[#This Row],[Resolution SLA Hours]],"Breached","Within SLA")</f>
        <v>Breached</v>
      </c>
      <c r="N2558" t="str">
        <f>IF(tbl_analysis_tickets[[#This Row],[first_response_minutes]]&gt;tbl_analysis_tickets[[#This Row],[First Response SLA Minutes]],"Breached","Within SLA")</f>
        <v>Breached</v>
      </c>
      <c r="O2558" t="str" cm="1">
        <f t="array" ref="O2558">_xlfn.IFS(
tbl_analysis_tickets[[#This Row],[agent_experience_years]]&lt;=2,"Junior",
tbl_analysis_tickets[[#This Row],[agent_experience_years]]&lt;=5,"Mid-Level",
tbl_analysis_tickets[[#This Row],[agent_experience_years]]&lt;=8,"Senior",
tbl_analysis_tickets[[#This Row],[agent_experience_years]]&gt;8,"Expert"
)</f>
        <v>Junior</v>
      </c>
      <c r="P2558" cm="1">
        <f t="array" ref="P2558">_xlfn.SWITCH(tbl_analysis_tickets[[#This Row],[customer_satisfaction]],
"Low",1,
"Medium",2,
"High",3
)</f>
        <v>1</v>
      </c>
      <c r="Q2558">
        <f>IF(tbl_analysis_tickets[[#This Row],[reopened]]="Yes",1,0)</f>
        <v>0</v>
      </c>
      <c r="R2558" t="str" cm="1">
        <f t="array" ref="R2558">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558" t="str" cm="1">
        <f t="array" ref="S255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558" t="str">
        <f>TEXT(tbl_analysis_tickets[[#This Row],[created_date]],"mmm-yyyy")</f>
        <v>Mar-2024</v>
      </c>
      <c r="U2558" t="str">
        <f>TEXT(tbl_analysis_tickets[[#This Row],[created_date]],"dddd")</f>
        <v>Sunday</v>
      </c>
      <c r="V2558" cm="1">
        <f t="array" ref="V2558">_xlfn.SWITCH(tbl_analysis_tickets[[#This Row],[priority]],
"Urgent",1,
"High",2,
"Medium",3,
"Low",4
)</f>
        <v>1</v>
      </c>
    </row>
    <row r="2559" spans="1:22" x14ac:dyDescent="0.25">
      <c r="A2559">
        <v>2558</v>
      </c>
      <c r="B2559" s="1">
        <v>45523</v>
      </c>
      <c r="C2559" t="s">
        <v>22</v>
      </c>
      <c r="D2559" t="s">
        <v>17</v>
      </c>
      <c r="E2559">
        <v>150</v>
      </c>
      <c r="F2559">
        <v>58</v>
      </c>
      <c r="G2559">
        <v>3.5</v>
      </c>
      <c r="H2559" t="s">
        <v>18</v>
      </c>
      <c r="I2559" t="s">
        <v>19</v>
      </c>
      <c r="J2559" t="s">
        <v>11</v>
      </c>
      <c r="K2559">
        <f>_xlfn.XLOOKUP(tbl_analysis_tickets[[#This Row],[priority]],tbl_sla[priority],tbl_sla[Resolution SLA Hours])</f>
        <v>8</v>
      </c>
      <c r="L2559">
        <f>_xlfn.XLOOKUP(tbl_analysis_tickets[[#This Row],[priority]],tbl_sla[priority],tbl_sla[First Response SLA Minutes])</f>
        <v>30</v>
      </c>
      <c r="M2559" t="str">
        <f>IF(tbl_analysis_tickets[[#This Row],[resolution_time_hours]]&gt;tbl_analysis_tickets[[#This Row],[Resolution SLA Hours]],"Breached","Within SLA")</f>
        <v>Breached</v>
      </c>
      <c r="N2559" t="str">
        <f>IF(tbl_analysis_tickets[[#This Row],[first_response_minutes]]&gt;tbl_analysis_tickets[[#This Row],[First Response SLA Minutes]],"Breached","Within SLA")</f>
        <v>Breached</v>
      </c>
      <c r="O2559" t="str" cm="1">
        <f t="array" ref="O2559">_xlfn.IFS(
tbl_analysis_tickets[[#This Row],[agent_experience_years]]&lt;=2,"Junior",
tbl_analysis_tickets[[#This Row],[agent_experience_years]]&lt;=5,"Mid-Level",
tbl_analysis_tickets[[#This Row],[agent_experience_years]]&lt;=8,"Senior",
tbl_analysis_tickets[[#This Row],[agent_experience_years]]&gt;8,"Expert"
)</f>
        <v>Mid-Level</v>
      </c>
      <c r="P2559" cm="1">
        <f t="array" ref="P2559">_xlfn.SWITCH(tbl_analysis_tickets[[#This Row],[customer_satisfaction]],
"Low",1,
"Medium",2,
"High",3
)</f>
        <v>1</v>
      </c>
      <c r="Q2559">
        <f>IF(tbl_analysis_tickets[[#This Row],[reopened]]="Yes",1,0)</f>
        <v>0</v>
      </c>
      <c r="R2559" t="str" cm="1">
        <f t="array" ref="R2559">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559" t="str" cm="1">
        <f t="array" ref="S255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559" t="str">
        <f>TEXT(tbl_analysis_tickets[[#This Row],[created_date]],"mmm-yyyy")</f>
        <v>Aug-2024</v>
      </c>
      <c r="U2559" t="str">
        <f>TEXT(tbl_analysis_tickets[[#This Row],[created_date]],"dddd")</f>
        <v>Monday</v>
      </c>
      <c r="V2559" cm="1">
        <f t="array" ref="V2559">_xlfn.SWITCH(tbl_analysis_tickets[[#This Row],[priority]],
"Urgent",1,
"High",2,
"Medium",3,
"Low",4
)</f>
        <v>1</v>
      </c>
    </row>
    <row r="2560" spans="1:22" x14ac:dyDescent="0.25">
      <c r="A2560">
        <v>2559</v>
      </c>
      <c r="B2560" s="1">
        <v>45592</v>
      </c>
      <c r="C2560" t="s">
        <v>21</v>
      </c>
      <c r="D2560" t="s">
        <v>17</v>
      </c>
      <c r="E2560">
        <v>238</v>
      </c>
      <c r="F2560">
        <v>35</v>
      </c>
      <c r="G2560">
        <v>3.1</v>
      </c>
      <c r="H2560" t="s">
        <v>18</v>
      </c>
      <c r="I2560" t="s">
        <v>16</v>
      </c>
      <c r="J2560" t="s">
        <v>11</v>
      </c>
      <c r="K2560">
        <f>_xlfn.XLOOKUP(tbl_analysis_tickets[[#This Row],[priority]],tbl_sla[priority],tbl_sla[Resolution SLA Hours])</f>
        <v>8</v>
      </c>
      <c r="L2560">
        <f>_xlfn.XLOOKUP(tbl_analysis_tickets[[#This Row],[priority]],tbl_sla[priority],tbl_sla[First Response SLA Minutes])</f>
        <v>30</v>
      </c>
      <c r="M2560" t="str">
        <f>IF(tbl_analysis_tickets[[#This Row],[resolution_time_hours]]&gt;tbl_analysis_tickets[[#This Row],[Resolution SLA Hours]],"Breached","Within SLA")</f>
        <v>Breached</v>
      </c>
      <c r="N2560" t="str">
        <f>IF(tbl_analysis_tickets[[#This Row],[first_response_minutes]]&gt;tbl_analysis_tickets[[#This Row],[First Response SLA Minutes]],"Breached","Within SLA")</f>
        <v>Breached</v>
      </c>
      <c r="O2560" t="str" cm="1">
        <f t="array" ref="O2560">_xlfn.IFS(
tbl_analysis_tickets[[#This Row],[agent_experience_years]]&lt;=2,"Junior",
tbl_analysis_tickets[[#This Row],[agent_experience_years]]&lt;=5,"Mid-Level",
tbl_analysis_tickets[[#This Row],[agent_experience_years]]&lt;=8,"Senior",
tbl_analysis_tickets[[#This Row],[agent_experience_years]]&gt;8,"Expert"
)</f>
        <v>Mid-Level</v>
      </c>
      <c r="P2560" cm="1">
        <f t="array" ref="P2560">_xlfn.SWITCH(tbl_analysis_tickets[[#This Row],[customer_satisfaction]],
"Low",1,
"Medium",2,
"High",3
)</f>
        <v>1</v>
      </c>
      <c r="Q2560">
        <f>IF(tbl_analysis_tickets[[#This Row],[reopened]]="Yes",1,0)</f>
        <v>0</v>
      </c>
      <c r="R2560" t="str" cm="1">
        <f t="array" ref="R2560">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560" t="str" cm="1">
        <f t="array" ref="S256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560" t="str">
        <f>TEXT(tbl_analysis_tickets[[#This Row],[created_date]],"mmm-yyyy")</f>
        <v>Oct-2024</v>
      </c>
      <c r="U2560" t="str">
        <f>TEXT(tbl_analysis_tickets[[#This Row],[created_date]],"dddd")</f>
        <v>Sunday</v>
      </c>
      <c r="V2560" cm="1">
        <f t="array" ref="V2560">_xlfn.SWITCH(tbl_analysis_tickets[[#This Row],[priority]],
"Urgent",1,
"High",2,
"Medium",3,
"Low",4
)</f>
        <v>1</v>
      </c>
    </row>
    <row r="2561" spans="1:22" x14ac:dyDescent="0.25">
      <c r="A2561">
        <v>2560</v>
      </c>
      <c r="B2561" s="1">
        <v>45615</v>
      </c>
      <c r="C2561" t="s">
        <v>21</v>
      </c>
      <c r="D2561" t="s">
        <v>15</v>
      </c>
      <c r="E2561">
        <v>100</v>
      </c>
      <c r="F2561">
        <v>71</v>
      </c>
      <c r="G2561">
        <v>2.1</v>
      </c>
      <c r="H2561" t="s">
        <v>12</v>
      </c>
      <c r="I2561" t="s">
        <v>13</v>
      </c>
      <c r="J2561" t="s">
        <v>11</v>
      </c>
      <c r="K2561">
        <f>_xlfn.XLOOKUP(tbl_analysis_tickets[[#This Row],[priority]],tbl_sla[priority],tbl_sla[Resolution SLA Hours])</f>
        <v>48</v>
      </c>
      <c r="L2561">
        <f>_xlfn.XLOOKUP(tbl_analysis_tickets[[#This Row],[priority]],tbl_sla[priority],tbl_sla[First Response SLA Minutes])</f>
        <v>120</v>
      </c>
      <c r="M2561" t="str">
        <f>IF(tbl_analysis_tickets[[#This Row],[resolution_time_hours]]&gt;tbl_analysis_tickets[[#This Row],[Resolution SLA Hours]],"Breached","Within SLA")</f>
        <v>Breached</v>
      </c>
      <c r="N2561" t="str">
        <f>IF(tbl_analysis_tickets[[#This Row],[first_response_minutes]]&gt;tbl_analysis_tickets[[#This Row],[First Response SLA Minutes]],"Breached","Within SLA")</f>
        <v>Within SLA</v>
      </c>
      <c r="O2561" t="str" cm="1">
        <f t="array" ref="O2561">_xlfn.IFS(
tbl_analysis_tickets[[#This Row],[agent_experience_years]]&lt;=2,"Junior",
tbl_analysis_tickets[[#This Row],[agent_experience_years]]&lt;=5,"Mid-Level",
tbl_analysis_tickets[[#This Row],[agent_experience_years]]&lt;=8,"Senior",
tbl_analysis_tickets[[#This Row],[agent_experience_years]]&gt;8,"Expert"
)</f>
        <v>Mid-Level</v>
      </c>
      <c r="P2561" cm="1">
        <f t="array" ref="P2561">_xlfn.SWITCH(tbl_analysis_tickets[[#This Row],[customer_satisfaction]],
"Low",1,
"Medium",2,
"High",3
)</f>
        <v>1</v>
      </c>
      <c r="Q2561">
        <f>IF(tbl_analysis_tickets[[#This Row],[reopened]]="Yes",1,0)</f>
        <v>1</v>
      </c>
      <c r="R2561" t="str" cm="1">
        <f t="array" ref="R2561">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561" t="str" cm="1">
        <f t="array" ref="S256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561" t="str">
        <f>TEXT(tbl_analysis_tickets[[#This Row],[created_date]],"mmm-yyyy")</f>
        <v>Nov-2024</v>
      </c>
      <c r="U2561" t="str">
        <f>TEXT(tbl_analysis_tickets[[#This Row],[created_date]],"dddd")</f>
        <v>Tuesday</v>
      </c>
      <c r="V2561" cm="1">
        <f t="array" ref="V2561">_xlfn.SWITCH(tbl_analysis_tickets[[#This Row],[priority]],
"Urgent",1,
"High",2,
"Medium",3,
"Low",4
)</f>
        <v>3</v>
      </c>
    </row>
    <row r="2562" spans="1:22" x14ac:dyDescent="0.25">
      <c r="A2562">
        <v>2561</v>
      </c>
      <c r="B2562" s="1">
        <v>45645</v>
      </c>
      <c r="C2562" t="s">
        <v>21</v>
      </c>
      <c r="D2562" t="s">
        <v>15</v>
      </c>
      <c r="E2562">
        <v>126</v>
      </c>
      <c r="F2562">
        <v>28</v>
      </c>
      <c r="G2562">
        <v>1.4</v>
      </c>
      <c r="H2562" t="s">
        <v>18</v>
      </c>
      <c r="I2562" t="s">
        <v>19</v>
      </c>
      <c r="J2562" t="s">
        <v>11</v>
      </c>
      <c r="K2562">
        <f>_xlfn.XLOOKUP(tbl_analysis_tickets[[#This Row],[priority]],tbl_sla[priority],tbl_sla[Resolution SLA Hours])</f>
        <v>48</v>
      </c>
      <c r="L2562">
        <f>_xlfn.XLOOKUP(tbl_analysis_tickets[[#This Row],[priority]],tbl_sla[priority],tbl_sla[First Response SLA Minutes])</f>
        <v>120</v>
      </c>
      <c r="M2562" t="str">
        <f>IF(tbl_analysis_tickets[[#This Row],[resolution_time_hours]]&gt;tbl_analysis_tickets[[#This Row],[Resolution SLA Hours]],"Breached","Within SLA")</f>
        <v>Within SLA</v>
      </c>
      <c r="N2562" t="str">
        <f>IF(tbl_analysis_tickets[[#This Row],[first_response_minutes]]&gt;tbl_analysis_tickets[[#This Row],[First Response SLA Minutes]],"Breached","Within SLA")</f>
        <v>Breached</v>
      </c>
      <c r="O2562" t="str" cm="1">
        <f t="array" ref="O2562">_xlfn.IFS(
tbl_analysis_tickets[[#This Row],[agent_experience_years]]&lt;=2,"Junior",
tbl_analysis_tickets[[#This Row],[agent_experience_years]]&lt;=5,"Mid-Level",
tbl_analysis_tickets[[#This Row],[agent_experience_years]]&lt;=8,"Senior",
tbl_analysis_tickets[[#This Row],[agent_experience_years]]&gt;8,"Expert"
)</f>
        <v>Junior</v>
      </c>
      <c r="P2562" cm="1">
        <f t="array" ref="P2562">_xlfn.SWITCH(tbl_analysis_tickets[[#This Row],[customer_satisfaction]],
"Low",1,
"Medium",2,
"High",3
)</f>
        <v>1</v>
      </c>
      <c r="Q2562">
        <f>IF(tbl_analysis_tickets[[#This Row],[reopened]]="Yes",1,0)</f>
        <v>0</v>
      </c>
      <c r="R2562" t="str" cm="1">
        <f t="array" ref="R2562">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562" t="str" cm="1">
        <f t="array" ref="S256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562" t="str">
        <f>TEXT(tbl_analysis_tickets[[#This Row],[created_date]],"mmm-yyyy")</f>
        <v>Dec-2024</v>
      </c>
      <c r="U2562" t="str">
        <f>TEXT(tbl_analysis_tickets[[#This Row],[created_date]],"dddd")</f>
        <v>Thursday</v>
      </c>
      <c r="V2562" cm="1">
        <f t="array" ref="V2562">_xlfn.SWITCH(tbl_analysis_tickets[[#This Row],[priority]],
"Urgent",1,
"High",2,
"Medium",3,
"Low",4
)</f>
        <v>3</v>
      </c>
    </row>
    <row r="2563" spans="1:22" x14ac:dyDescent="0.25">
      <c r="A2563">
        <v>2562</v>
      </c>
      <c r="B2563" s="1">
        <v>45417</v>
      </c>
      <c r="C2563" t="s">
        <v>21</v>
      </c>
      <c r="D2563" t="s">
        <v>15</v>
      </c>
      <c r="E2563">
        <v>147</v>
      </c>
      <c r="F2563">
        <v>65</v>
      </c>
      <c r="G2563">
        <v>9.5</v>
      </c>
      <c r="H2563" t="s">
        <v>18</v>
      </c>
      <c r="I2563" t="s">
        <v>13</v>
      </c>
      <c r="J2563" t="s">
        <v>15</v>
      </c>
      <c r="K2563">
        <f>_xlfn.XLOOKUP(tbl_analysis_tickets[[#This Row],[priority]],tbl_sla[priority],tbl_sla[Resolution SLA Hours])</f>
        <v>48</v>
      </c>
      <c r="L2563">
        <f>_xlfn.XLOOKUP(tbl_analysis_tickets[[#This Row],[priority]],tbl_sla[priority],tbl_sla[First Response SLA Minutes])</f>
        <v>120</v>
      </c>
      <c r="M2563" t="str">
        <f>IF(tbl_analysis_tickets[[#This Row],[resolution_time_hours]]&gt;tbl_analysis_tickets[[#This Row],[Resolution SLA Hours]],"Breached","Within SLA")</f>
        <v>Breached</v>
      </c>
      <c r="N2563" t="str">
        <f>IF(tbl_analysis_tickets[[#This Row],[first_response_minutes]]&gt;tbl_analysis_tickets[[#This Row],[First Response SLA Minutes]],"Breached","Within SLA")</f>
        <v>Breached</v>
      </c>
      <c r="O2563" t="str" cm="1">
        <f t="array" ref="O2563">_xlfn.IFS(
tbl_analysis_tickets[[#This Row],[agent_experience_years]]&lt;=2,"Junior",
tbl_analysis_tickets[[#This Row],[agent_experience_years]]&lt;=5,"Mid-Level",
tbl_analysis_tickets[[#This Row],[agent_experience_years]]&lt;=8,"Senior",
tbl_analysis_tickets[[#This Row],[agent_experience_years]]&gt;8,"Expert"
)</f>
        <v>Expert</v>
      </c>
      <c r="P2563" cm="1">
        <f t="array" ref="P2563">_xlfn.SWITCH(tbl_analysis_tickets[[#This Row],[customer_satisfaction]],
"Low",1,
"Medium",2,
"High",3
)</f>
        <v>2</v>
      </c>
      <c r="Q2563">
        <f>IF(tbl_analysis_tickets[[#This Row],[reopened]]="Yes",1,0)</f>
        <v>0</v>
      </c>
      <c r="R2563" t="str" cm="1">
        <f t="array" ref="R2563">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563" t="str" cm="1">
        <f t="array" ref="S256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563" t="str">
        <f>TEXT(tbl_analysis_tickets[[#This Row],[created_date]],"mmm-yyyy")</f>
        <v>May-2024</v>
      </c>
      <c r="U2563" t="str">
        <f>TEXT(tbl_analysis_tickets[[#This Row],[created_date]],"dddd")</f>
        <v>Sunday</v>
      </c>
      <c r="V2563" cm="1">
        <f t="array" ref="V2563">_xlfn.SWITCH(tbl_analysis_tickets[[#This Row],[priority]],
"Urgent",1,
"High",2,
"Medium",3,
"Low",4
)</f>
        <v>3</v>
      </c>
    </row>
    <row r="2564" spans="1:22" x14ac:dyDescent="0.25">
      <c r="A2564">
        <v>2563</v>
      </c>
      <c r="B2564" s="1">
        <v>45612</v>
      </c>
      <c r="C2564" t="s">
        <v>14</v>
      </c>
      <c r="D2564" t="s">
        <v>11</v>
      </c>
      <c r="E2564">
        <v>6</v>
      </c>
      <c r="F2564">
        <v>54</v>
      </c>
      <c r="G2564">
        <v>5.3</v>
      </c>
      <c r="H2564" t="s">
        <v>12</v>
      </c>
      <c r="I2564" t="s">
        <v>13</v>
      </c>
      <c r="J2564" t="s">
        <v>15</v>
      </c>
      <c r="K2564">
        <f>_xlfn.XLOOKUP(tbl_analysis_tickets[[#This Row],[priority]],tbl_sla[priority],tbl_sla[Resolution SLA Hours])</f>
        <v>72</v>
      </c>
      <c r="L2564">
        <f>_xlfn.XLOOKUP(tbl_analysis_tickets[[#This Row],[priority]],tbl_sla[priority],tbl_sla[First Response SLA Minutes])</f>
        <v>240</v>
      </c>
      <c r="M2564" t="str">
        <f>IF(tbl_analysis_tickets[[#This Row],[resolution_time_hours]]&gt;tbl_analysis_tickets[[#This Row],[Resolution SLA Hours]],"Breached","Within SLA")</f>
        <v>Within SLA</v>
      </c>
      <c r="N2564" t="str">
        <f>IF(tbl_analysis_tickets[[#This Row],[first_response_minutes]]&gt;tbl_analysis_tickets[[#This Row],[First Response SLA Minutes]],"Breached","Within SLA")</f>
        <v>Within SLA</v>
      </c>
      <c r="O2564" t="str" cm="1">
        <f t="array" ref="O2564">_xlfn.IFS(
tbl_analysis_tickets[[#This Row],[agent_experience_years]]&lt;=2,"Junior",
tbl_analysis_tickets[[#This Row],[agent_experience_years]]&lt;=5,"Mid-Level",
tbl_analysis_tickets[[#This Row],[agent_experience_years]]&lt;=8,"Senior",
tbl_analysis_tickets[[#This Row],[agent_experience_years]]&gt;8,"Expert"
)</f>
        <v>Senior</v>
      </c>
      <c r="P2564" cm="1">
        <f t="array" ref="P2564">_xlfn.SWITCH(tbl_analysis_tickets[[#This Row],[customer_satisfaction]],
"Low",1,
"Medium",2,
"High",3
)</f>
        <v>2</v>
      </c>
      <c r="Q2564">
        <f>IF(tbl_analysis_tickets[[#This Row],[reopened]]="Yes",1,0)</f>
        <v>1</v>
      </c>
      <c r="R2564" t="str" cm="1">
        <f t="array" ref="R2564">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2564" t="str" cm="1">
        <f t="array" ref="S256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564" t="str">
        <f>TEXT(tbl_analysis_tickets[[#This Row],[created_date]],"mmm-yyyy")</f>
        <v>Nov-2024</v>
      </c>
      <c r="U2564" t="str">
        <f>TEXT(tbl_analysis_tickets[[#This Row],[created_date]],"dddd")</f>
        <v>Saturday</v>
      </c>
      <c r="V2564" cm="1">
        <f t="array" ref="V2564">_xlfn.SWITCH(tbl_analysis_tickets[[#This Row],[priority]],
"Urgent",1,
"High",2,
"Medium",3,
"Low",4
)</f>
        <v>4</v>
      </c>
    </row>
    <row r="2565" spans="1:22" x14ac:dyDescent="0.25">
      <c r="A2565">
        <v>2564</v>
      </c>
      <c r="B2565" s="1">
        <v>45622</v>
      </c>
      <c r="C2565" t="s">
        <v>21</v>
      </c>
      <c r="D2565" t="s">
        <v>20</v>
      </c>
      <c r="E2565">
        <v>193</v>
      </c>
      <c r="F2565">
        <v>22</v>
      </c>
      <c r="G2565">
        <v>7.8</v>
      </c>
      <c r="H2565" t="s">
        <v>12</v>
      </c>
      <c r="I2565" t="s">
        <v>16</v>
      </c>
      <c r="J2565" t="s">
        <v>11</v>
      </c>
      <c r="K2565">
        <f>_xlfn.XLOOKUP(tbl_analysis_tickets[[#This Row],[priority]],tbl_sla[priority],tbl_sla[Resolution SLA Hours])</f>
        <v>24</v>
      </c>
      <c r="L2565">
        <f>_xlfn.XLOOKUP(tbl_analysis_tickets[[#This Row],[priority]],tbl_sla[priority],tbl_sla[First Response SLA Minutes])</f>
        <v>60</v>
      </c>
      <c r="M2565" t="str">
        <f>IF(tbl_analysis_tickets[[#This Row],[resolution_time_hours]]&gt;tbl_analysis_tickets[[#This Row],[Resolution SLA Hours]],"Breached","Within SLA")</f>
        <v>Within SLA</v>
      </c>
      <c r="N2565" t="str">
        <f>IF(tbl_analysis_tickets[[#This Row],[first_response_minutes]]&gt;tbl_analysis_tickets[[#This Row],[First Response SLA Minutes]],"Breached","Within SLA")</f>
        <v>Breached</v>
      </c>
      <c r="O2565" t="str" cm="1">
        <f t="array" ref="O2565">_xlfn.IFS(
tbl_analysis_tickets[[#This Row],[agent_experience_years]]&lt;=2,"Junior",
tbl_analysis_tickets[[#This Row],[agent_experience_years]]&lt;=5,"Mid-Level",
tbl_analysis_tickets[[#This Row],[agent_experience_years]]&lt;=8,"Senior",
tbl_analysis_tickets[[#This Row],[agent_experience_years]]&gt;8,"Expert"
)</f>
        <v>Senior</v>
      </c>
      <c r="P2565" cm="1">
        <f t="array" ref="P2565">_xlfn.SWITCH(tbl_analysis_tickets[[#This Row],[customer_satisfaction]],
"Low",1,
"Medium",2,
"High",3
)</f>
        <v>1</v>
      </c>
      <c r="Q2565">
        <f>IF(tbl_analysis_tickets[[#This Row],[reopened]]="Yes",1,0)</f>
        <v>1</v>
      </c>
      <c r="R2565" t="str" cm="1">
        <f t="array" ref="R2565">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565" t="str" cm="1">
        <f t="array" ref="S256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565" t="str">
        <f>TEXT(tbl_analysis_tickets[[#This Row],[created_date]],"mmm-yyyy")</f>
        <v>Nov-2024</v>
      </c>
      <c r="U2565" t="str">
        <f>TEXT(tbl_analysis_tickets[[#This Row],[created_date]],"dddd")</f>
        <v>Tuesday</v>
      </c>
      <c r="V2565" cm="1">
        <f t="array" ref="V2565">_xlfn.SWITCH(tbl_analysis_tickets[[#This Row],[priority]],
"Urgent",1,
"High",2,
"Medium",3,
"Low",4
)</f>
        <v>2</v>
      </c>
    </row>
    <row r="2566" spans="1:22" x14ac:dyDescent="0.25">
      <c r="A2566">
        <v>2565</v>
      </c>
      <c r="B2566" s="1">
        <v>45435</v>
      </c>
      <c r="C2566" t="s">
        <v>14</v>
      </c>
      <c r="D2566" t="s">
        <v>11</v>
      </c>
      <c r="E2566">
        <v>102</v>
      </c>
      <c r="F2566">
        <v>63</v>
      </c>
      <c r="G2566">
        <v>2.9</v>
      </c>
      <c r="H2566" t="s">
        <v>12</v>
      </c>
      <c r="I2566" t="s">
        <v>19</v>
      </c>
      <c r="J2566" t="s">
        <v>11</v>
      </c>
      <c r="K2566">
        <f>_xlfn.XLOOKUP(tbl_analysis_tickets[[#This Row],[priority]],tbl_sla[priority],tbl_sla[Resolution SLA Hours])</f>
        <v>72</v>
      </c>
      <c r="L2566">
        <f>_xlfn.XLOOKUP(tbl_analysis_tickets[[#This Row],[priority]],tbl_sla[priority],tbl_sla[First Response SLA Minutes])</f>
        <v>240</v>
      </c>
      <c r="M2566" t="str">
        <f>IF(tbl_analysis_tickets[[#This Row],[resolution_time_hours]]&gt;tbl_analysis_tickets[[#This Row],[Resolution SLA Hours]],"Breached","Within SLA")</f>
        <v>Within SLA</v>
      </c>
      <c r="N2566" t="str">
        <f>IF(tbl_analysis_tickets[[#This Row],[first_response_minutes]]&gt;tbl_analysis_tickets[[#This Row],[First Response SLA Minutes]],"Breached","Within SLA")</f>
        <v>Within SLA</v>
      </c>
      <c r="O2566" t="str" cm="1">
        <f t="array" ref="O2566">_xlfn.IFS(
tbl_analysis_tickets[[#This Row],[agent_experience_years]]&lt;=2,"Junior",
tbl_analysis_tickets[[#This Row],[agent_experience_years]]&lt;=5,"Mid-Level",
tbl_analysis_tickets[[#This Row],[agent_experience_years]]&lt;=8,"Senior",
tbl_analysis_tickets[[#This Row],[agent_experience_years]]&gt;8,"Expert"
)</f>
        <v>Mid-Level</v>
      </c>
      <c r="P2566" cm="1">
        <f t="array" ref="P2566">_xlfn.SWITCH(tbl_analysis_tickets[[#This Row],[customer_satisfaction]],
"Low",1,
"Medium",2,
"High",3
)</f>
        <v>1</v>
      </c>
      <c r="Q2566">
        <f>IF(tbl_analysis_tickets[[#This Row],[reopened]]="Yes",1,0)</f>
        <v>1</v>
      </c>
      <c r="R2566" t="str" cm="1">
        <f t="array" ref="R2566">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566" t="str" cm="1">
        <f t="array" ref="S256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566" t="str">
        <f>TEXT(tbl_analysis_tickets[[#This Row],[created_date]],"mmm-yyyy")</f>
        <v>May-2024</v>
      </c>
      <c r="U2566" t="str">
        <f>TEXT(tbl_analysis_tickets[[#This Row],[created_date]],"dddd")</f>
        <v>Thursday</v>
      </c>
      <c r="V2566" cm="1">
        <f t="array" ref="V2566">_xlfn.SWITCH(tbl_analysis_tickets[[#This Row],[priority]],
"Urgent",1,
"High",2,
"Medium",3,
"Low",4
)</f>
        <v>4</v>
      </c>
    </row>
    <row r="2567" spans="1:22" x14ac:dyDescent="0.25">
      <c r="A2567">
        <v>2566</v>
      </c>
      <c r="B2567" s="1">
        <v>45501</v>
      </c>
      <c r="C2567" t="s">
        <v>23</v>
      </c>
      <c r="D2567" t="s">
        <v>20</v>
      </c>
      <c r="E2567">
        <v>130</v>
      </c>
      <c r="F2567">
        <v>29</v>
      </c>
      <c r="G2567">
        <v>3.6</v>
      </c>
      <c r="H2567" t="s">
        <v>18</v>
      </c>
      <c r="I2567" t="s">
        <v>13</v>
      </c>
      <c r="J2567" t="s">
        <v>11</v>
      </c>
      <c r="K2567">
        <f>_xlfn.XLOOKUP(tbl_analysis_tickets[[#This Row],[priority]],tbl_sla[priority],tbl_sla[Resolution SLA Hours])</f>
        <v>24</v>
      </c>
      <c r="L2567">
        <f>_xlfn.XLOOKUP(tbl_analysis_tickets[[#This Row],[priority]],tbl_sla[priority],tbl_sla[First Response SLA Minutes])</f>
        <v>60</v>
      </c>
      <c r="M2567" t="str">
        <f>IF(tbl_analysis_tickets[[#This Row],[resolution_time_hours]]&gt;tbl_analysis_tickets[[#This Row],[Resolution SLA Hours]],"Breached","Within SLA")</f>
        <v>Breached</v>
      </c>
      <c r="N2567" t="str">
        <f>IF(tbl_analysis_tickets[[#This Row],[first_response_minutes]]&gt;tbl_analysis_tickets[[#This Row],[First Response SLA Minutes]],"Breached","Within SLA")</f>
        <v>Breached</v>
      </c>
      <c r="O2567" t="str" cm="1">
        <f t="array" ref="O2567">_xlfn.IFS(
tbl_analysis_tickets[[#This Row],[agent_experience_years]]&lt;=2,"Junior",
tbl_analysis_tickets[[#This Row],[agent_experience_years]]&lt;=5,"Mid-Level",
tbl_analysis_tickets[[#This Row],[agent_experience_years]]&lt;=8,"Senior",
tbl_analysis_tickets[[#This Row],[agent_experience_years]]&gt;8,"Expert"
)</f>
        <v>Mid-Level</v>
      </c>
      <c r="P2567" cm="1">
        <f t="array" ref="P2567">_xlfn.SWITCH(tbl_analysis_tickets[[#This Row],[customer_satisfaction]],
"Low",1,
"Medium",2,
"High",3
)</f>
        <v>1</v>
      </c>
      <c r="Q2567">
        <f>IF(tbl_analysis_tickets[[#This Row],[reopened]]="Yes",1,0)</f>
        <v>0</v>
      </c>
      <c r="R2567" t="str" cm="1">
        <f t="array" ref="R2567">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567" t="str" cm="1">
        <f t="array" ref="S256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567" t="str">
        <f>TEXT(tbl_analysis_tickets[[#This Row],[created_date]],"mmm-yyyy")</f>
        <v>Jul-2024</v>
      </c>
      <c r="U2567" t="str">
        <f>TEXT(tbl_analysis_tickets[[#This Row],[created_date]],"dddd")</f>
        <v>Sunday</v>
      </c>
      <c r="V2567" cm="1">
        <f t="array" ref="V2567">_xlfn.SWITCH(tbl_analysis_tickets[[#This Row],[priority]],
"Urgent",1,
"High",2,
"Medium",3,
"Low",4
)</f>
        <v>2</v>
      </c>
    </row>
    <row r="2568" spans="1:22" x14ac:dyDescent="0.25">
      <c r="A2568">
        <v>2567</v>
      </c>
      <c r="B2568" s="1">
        <v>45372</v>
      </c>
      <c r="C2568" t="s">
        <v>14</v>
      </c>
      <c r="D2568" t="s">
        <v>15</v>
      </c>
      <c r="E2568">
        <v>140</v>
      </c>
      <c r="F2568">
        <v>24</v>
      </c>
      <c r="G2568">
        <v>2.1</v>
      </c>
      <c r="H2568" t="s">
        <v>18</v>
      </c>
      <c r="I2568" t="s">
        <v>19</v>
      </c>
      <c r="J2568" t="s">
        <v>11</v>
      </c>
      <c r="K2568">
        <f>_xlfn.XLOOKUP(tbl_analysis_tickets[[#This Row],[priority]],tbl_sla[priority],tbl_sla[Resolution SLA Hours])</f>
        <v>48</v>
      </c>
      <c r="L2568">
        <f>_xlfn.XLOOKUP(tbl_analysis_tickets[[#This Row],[priority]],tbl_sla[priority],tbl_sla[First Response SLA Minutes])</f>
        <v>120</v>
      </c>
      <c r="M2568" t="str">
        <f>IF(tbl_analysis_tickets[[#This Row],[resolution_time_hours]]&gt;tbl_analysis_tickets[[#This Row],[Resolution SLA Hours]],"Breached","Within SLA")</f>
        <v>Within SLA</v>
      </c>
      <c r="N2568" t="str">
        <f>IF(tbl_analysis_tickets[[#This Row],[first_response_minutes]]&gt;tbl_analysis_tickets[[#This Row],[First Response SLA Minutes]],"Breached","Within SLA")</f>
        <v>Breached</v>
      </c>
      <c r="O2568" t="str" cm="1">
        <f t="array" ref="O2568">_xlfn.IFS(
tbl_analysis_tickets[[#This Row],[agent_experience_years]]&lt;=2,"Junior",
tbl_analysis_tickets[[#This Row],[agent_experience_years]]&lt;=5,"Mid-Level",
tbl_analysis_tickets[[#This Row],[agent_experience_years]]&lt;=8,"Senior",
tbl_analysis_tickets[[#This Row],[agent_experience_years]]&gt;8,"Expert"
)</f>
        <v>Mid-Level</v>
      </c>
      <c r="P2568" cm="1">
        <f t="array" ref="P2568">_xlfn.SWITCH(tbl_analysis_tickets[[#This Row],[customer_satisfaction]],
"Low",1,
"Medium",2,
"High",3
)</f>
        <v>1</v>
      </c>
      <c r="Q2568">
        <f>IF(tbl_analysis_tickets[[#This Row],[reopened]]="Yes",1,0)</f>
        <v>0</v>
      </c>
      <c r="R2568" t="str" cm="1">
        <f t="array" ref="R2568">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568" t="str" cm="1">
        <f t="array" ref="S256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568" t="str">
        <f>TEXT(tbl_analysis_tickets[[#This Row],[created_date]],"mmm-yyyy")</f>
        <v>Mar-2024</v>
      </c>
      <c r="U2568" t="str">
        <f>TEXT(tbl_analysis_tickets[[#This Row],[created_date]],"dddd")</f>
        <v>Thursday</v>
      </c>
      <c r="V2568" cm="1">
        <f t="array" ref="V2568">_xlfn.SWITCH(tbl_analysis_tickets[[#This Row],[priority]],
"Urgent",1,
"High",2,
"Medium",3,
"Low",4
)</f>
        <v>3</v>
      </c>
    </row>
    <row r="2569" spans="1:22" x14ac:dyDescent="0.25">
      <c r="A2569">
        <v>2568</v>
      </c>
      <c r="B2569" s="1">
        <v>45492</v>
      </c>
      <c r="C2569" t="s">
        <v>23</v>
      </c>
      <c r="D2569" t="s">
        <v>11</v>
      </c>
      <c r="E2569">
        <v>65</v>
      </c>
      <c r="F2569">
        <v>12</v>
      </c>
      <c r="G2569">
        <v>4.5999999999999996</v>
      </c>
      <c r="H2569" t="s">
        <v>18</v>
      </c>
      <c r="I2569" t="s">
        <v>16</v>
      </c>
      <c r="J2569" t="s">
        <v>11</v>
      </c>
      <c r="K2569">
        <f>_xlfn.XLOOKUP(tbl_analysis_tickets[[#This Row],[priority]],tbl_sla[priority],tbl_sla[Resolution SLA Hours])</f>
        <v>72</v>
      </c>
      <c r="L2569">
        <f>_xlfn.XLOOKUP(tbl_analysis_tickets[[#This Row],[priority]],tbl_sla[priority],tbl_sla[First Response SLA Minutes])</f>
        <v>240</v>
      </c>
      <c r="M2569" t="str">
        <f>IF(tbl_analysis_tickets[[#This Row],[resolution_time_hours]]&gt;tbl_analysis_tickets[[#This Row],[Resolution SLA Hours]],"Breached","Within SLA")</f>
        <v>Within SLA</v>
      </c>
      <c r="N2569" t="str">
        <f>IF(tbl_analysis_tickets[[#This Row],[first_response_minutes]]&gt;tbl_analysis_tickets[[#This Row],[First Response SLA Minutes]],"Breached","Within SLA")</f>
        <v>Within SLA</v>
      </c>
      <c r="O2569" t="str" cm="1">
        <f t="array" ref="O2569">_xlfn.IFS(
tbl_analysis_tickets[[#This Row],[agent_experience_years]]&lt;=2,"Junior",
tbl_analysis_tickets[[#This Row],[agent_experience_years]]&lt;=5,"Mid-Level",
tbl_analysis_tickets[[#This Row],[agent_experience_years]]&lt;=8,"Senior",
tbl_analysis_tickets[[#This Row],[agent_experience_years]]&gt;8,"Expert"
)</f>
        <v>Mid-Level</v>
      </c>
      <c r="P2569" cm="1">
        <f t="array" ref="P2569">_xlfn.SWITCH(tbl_analysis_tickets[[#This Row],[customer_satisfaction]],
"Low",1,
"Medium",2,
"High",3
)</f>
        <v>1</v>
      </c>
      <c r="Q2569">
        <f>IF(tbl_analysis_tickets[[#This Row],[reopened]]="Yes",1,0)</f>
        <v>0</v>
      </c>
      <c r="R2569" t="str" cm="1">
        <f t="array" ref="R2569">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569" t="str" cm="1">
        <f t="array" ref="S256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569" t="str">
        <f>TEXT(tbl_analysis_tickets[[#This Row],[created_date]],"mmm-yyyy")</f>
        <v>Jul-2024</v>
      </c>
      <c r="U2569" t="str">
        <f>TEXT(tbl_analysis_tickets[[#This Row],[created_date]],"dddd")</f>
        <v>Friday</v>
      </c>
      <c r="V2569" cm="1">
        <f t="array" ref="V2569">_xlfn.SWITCH(tbl_analysis_tickets[[#This Row],[priority]],
"Urgent",1,
"High",2,
"Medium",3,
"Low",4
)</f>
        <v>4</v>
      </c>
    </row>
    <row r="2570" spans="1:22" x14ac:dyDescent="0.25">
      <c r="A2570">
        <v>2569</v>
      </c>
      <c r="B2570" s="1">
        <v>45572</v>
      </c>
      <c r="C2570" t="s">
        <v>21</v>
      </c>
      <c r="D2570" t="s">
        <v>11</v>
      </c>
      <c r="E2570">
        <v>50</v>
      </c>
      <c r="F2570">
        <v>52</v>
      </c>
      <c r="G2570">
        <v>4</v>
      </c>
      <c r="H2570" t="s">
        <v>18</v>
      </c>
      <c r="I2570" t="s">
        <v>16</v>
      </c>
      <c r="J2570" t="s">
        <v>11</v>
      </c>
      <c r="K2570">
        <f>_xlfn.XLOOKUP(tbl_analysis_tickets[[#This Row],[priority]],tbl_sla[priority],tbl_sla[Resolution SLA Hours])</f>
        <v>72</v>
      </c>
      <c r="L2570">
        <f>_xlfn.XLOOKUP(tbl_analysis_tickets[[#This Row],[priority]],tbl_sla[priority],tbl_sla[First Response SLA Minutes])</f>
        <v>240</v>
      </c>
      <c r="M2570" t="str">
        <f>IF(tbl_analysis_tickets[[#This Row],[resolution_time_hours]]&gt;tbl_analysis_tickets[[#This Row],[Resolution SLA Hours]],"Breached","Within SLA")</f>
        <v>Within SLA</v>
      </c>
      <c r="N2570" t="str">
        <f>IF(tbl_analysis_tickets[[#This Row],[first_response_minutes]]&gt;tbl_analysis_tickets[[#This Row],[First Response SLA Minutes]],"Breached","Within SLA")</f>
        <v>Within SLA</v>
      </c>
      <c r="O2570" t="str" cm="1">
        <f t="array" ref="O2570">_xlfn.IFS(
tbl_analysis_tickets[[#This Row],[agent_experience_years]]&lt;=2,"Junior",
tbl_analysis_tickets[[#This Row],[agent_experience_years]]&lt;=5,"Mid-Level",
tbl_analysis_tickets[[#This Row],[agent_experience_years]]&lt;=8,"Senior",
tbl_analysis_tickets[[#This Row],[agent_experience_years]]&gt;8,"Expert"
)</f>
        <v>Mid-Level</v>
      </c>
      <c r="P2570" cm="1">
        <f t="array" ref="P2570">_xlfn.SWITCH(tbl_analysis_tickets[[#This Row],[customer_satisfaction]],
"Low",1,
"Medium",2,
"High",3
)</f>
        <v>1</v>
      </c>
      <c r="Q2570">
        <f>IF(tbl_analysis_tickets[[#This Row],[reopened]]="Yes",1,0)</f>
        <v>0</v>
      </c>
      <c r="R2570" t="str" cm="1">
        <f t="array" ref="R2570">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570" t="str" cm="1">
        <f t="array" ref="S257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570" t="str">
        <f>TEXT(tbl_analysis_tickets[[#This Row],[created_date]],"mmm-yyyy")</f>
        <v>Oct-2024</v>
      </c>
      <c r="U2570" t="str">
        <f>TEXT(tbl_analysis_tickets[[#This Row],[created_date]],"dddd")</f>
        <v>Monday</v>
      </c>
      <c r="V2570" cm="1">
        <f t="array" ref="V2570">_xlfn.SWITCH(tbl_analysis_tickets[[#This Row],[priority]],
"Urgent",1,
"High",2,
"Medium",3,
"Low",4
)</f>
        <v>4</v>
      </c>
    </row>
    <row r="2571" spans="1:22" x14ac:dyDescent="0.25">
      <c r="A2571">
        <v>2570</v>
      </c>
      <c r="B2571" s="1">
        <v>45435</v>
      </c>
      <c r="C2571" t="s">
        <v>21</v>
      </c>
      <c r="D2571" t="s">
        <v>15</v>
      </c>
      <c r="E2571">
        <v>118</v>
      </c>
      <c r="F2571">
        <v>12</v>
      </c>
      <c r="G2571">
        <v>8.6</v>
      </c>
      <c r="H2571" t="s">
        <v>18</v>
      </c>
      <c r="I2571" t="s">
        <v>16</v>
      </c>
      <c r="J2571" t="s">
        <v>15</v>
      </c>
      <c r="K2571">
        <f>_xlfn.XLOOKUP(tbl_analysis_tickets[[#This Row],[priority]],tbl_sla[priority],tbl_sla[Resolution SLA Hours])</f>
        <v>48</v>
      </c>
      <c r="L2571">
        <f>_xlfn.XLOOKUP(tbl_analysis_tickets[[#This Row],[priority]],tbl_sla[priority],tbl_sla[First Response SLA Minutes])</f>
        <v>120</v>
      </c>
      <c r="M2571" t="str">
        <f>IF(tbl_analysis_tickets[[#This Row],[resolution_time_hours]]&gt;tbl_analysis_tickets[[#This Row],[Resolution SLA Hours]],"Breached","Within SLA")</f>
        <v>Within SLA</v>
      </c>
      <c r="N2571" t="str">
        <f>IF(tbl_analysis_tickets[[#This Row],[first_response_minutes]]&gt;tbl_analysis_tickets[[#This Row],[First Response SLA Minutes]],"Breached","Within SLA")</f>
        <v>Within SLA</v>
      </c>
      <c r="O2571" t="str" cm="1">
        <f t="array" ref="O2571">_xlfn.IFS(
tbl_analysis_tickets[[#This Row],[agent_experience_years]]&lt;=2,"Junior",
tbl_analysis_tickets[[#This Row],[agent_experience_years]]&lt;=5,"Mid-Level",
tbl_analysis_tickets[[#This Row],[agent_experience_years]]&lt;=8,"Senior",
tbl_analysis_tickets[[#This Row],[agent_experience_years]]&gt;8,"Expert"
)</f>
        <v>Expert</v>
      </c>
      <c r="P2571" cm="1">
        <f t="array" ref="P2571">_xlfn.SWITCH(tbl_analysis_tickets[[#This Row],[customer_satisfaction]],
"Low",1,
"Medium",2,
"High",3
)</f>
        <v>2</v>
      </c>
      <c r="Q2571">
        <f>IF(tbl_analysis_tickets[[#This Row],[reopened]]="Yes",1,0)</f>
        <v>0</v>
      </c>
      <c r="R2571" t="str" cm="1">
        <f t="array" ref="R2571">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571" t="str" cm="1">
        <f t="array" ref="S257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571" t="str">
        <f>TEXT(tbl_analysis_tickets[[#This Row],[created_date]],"mmm-yyyy")</f>
        <v>May-2024</v>
      </c>
      <c r="U2571" t="str">
        <f>TEXT(tbl_analysis_tickets[[#This Row],[created_date]],"dddd")</f>
        <v>Thursday</v>
      </c>
      <c r="V2571" cm="1">
        <f t="array" ref="V2571">_xlfn.SWITCH(tbl_analysis_tickets[[#This Row],[priority]],
"Urgent",1,
"High",2,
"Medium",3,
"Low",4
)</f>
        <v>3</v>
      </c>
    </row>
    <row r="2572" spans="1:22" x14ac:dyDescent="0.25">
      <c r="A2572">
        <v>2571</v>
      </c>
      <c r="B2572" s="1">
        <v>45319</v>
      </c>
      <c r="C2572" t="s">
        <v>10</v>
      </c>
      <c r="D2572" t="s">
        <v>17</v>
      </c>
      <c r="E2572">
        <v>19</v>
      </c>
      <c r="F2572">
        <v>70</v>
      </c>
      <c r="G2572">
        <v>5</v>
      </c>
      <c r="H2572" t="s">
        <v>12</v>
      </c>
      <c r="I2572" t="s">
        <v>19</v>
      </c>
      <c r="J2572" t="s">
        <v>15</v>
      </c>
      <c r="K2572">
        <f>_xlfn.XLOOKUP(tbl_analysis_tickets[[#This Row],[priority]],tbl_sla[priority],tbl_sla[Resolution SLA Hours])</f>
        <v>8</v>
      </c>
      <c r="L2572">
        <f>_xlfn.XLOOKUP(tbl_analysis_tickets[[#This Row],[priority]],tbl_sla[priority],tbl_sla[First Response SLA Minutes])</f>
        <v>30</v>
      </c>
      <c r="M2572" t="str">
        <f>IF(tbl_analysis_tickets[[#This Row],[resolution_time_hours]]&gt;tbl_analysis_tickets[[#This Row],[Resolution SLA Hours]],"Breached","Within SLA")</f>
        <v>Breached</v>
      </c>
      <c r="N2572" t="str">
        <f>IF(tbl_analysis_tickets[[#This Row],[first_response_minutes]]&gt;tbl_analysis_tickets[[#This Row],[First Response SLA Minutes]],"Breached","Within SLA")</f>
        <v>Within SLA</v>
      </c>
      <c r="O2572" t="str" cm="1">
        <f t="array" ref="O2572">_xlfn.IFS(
tbl_analysis_tickets[[#This Row],[agent_experience_years]]&lt;=2,"Junior",
tbl_analysis_tickets[[#This Row],[agent_experience_years]]&lt;=5,"Mid-Level",
tbl_analysis_tickets[[#This Row],[agent_experience_years]]&lt;=8,"Senior",
tbl_analysis_tickets[[#This Row],[agent_experience_years]]&gt;8,"Expert"
)</f>
        <v>Mid-Level</v>
      </c>
      <c r="P2572" cm="1">
        <f t="array" ref="P2572">_xlfn.SWITCH(tbl_analysis_tickets[[#This Row],[customer_satisfaction]],
"Low",1,
"Medium",2,
"High",3
)</f>
        <v>2</v>
      </c>
      <c r="Q2572">
        <f>IF(tbl_analysis_tickets[[#This Row],[reopened]]="Yes",1,0)</f>
        <v>1</v>
      </c>
      <c r="R2572" t="str" cm="1">
        <f t="array" ref="R2572">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2572" t="str" cm="1">
        <f t="array" ref="S257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572" t="str">
        <f>TEXT(tbl_analysis_tickets[[#This Row],[created_date]],"mmm-yyyy")</f>
        <v>Jan-2024</v>
      </c>
      <c r="U2572" t="str">
        <f>TEXT(tbl_analysis_tickets[[#This Row],[created_date]],"dddd")</f>
        <v>Sunday</v>
      </c>
      <c r="V2572" cm="1">
        <f t="array" ref="V2572">_xlfn.SWITCH(tbl_analysis_tickets[[#This Row],[priority]],
"Urgent",1,
"High",2,
"Medium",3,
"Low",4
)</f>
        <v>1</v>
      </c>
    </row>
    <row r="2573" spans="1:22" x14ac:dyDescent="0.25">
      <c r="A2573">
        <v>2572</v>
      </c>
      <c r="B2573" s="1">
        <v>45582</v>
      </c>
      <c r="C2573" t="s">
        <v>10</v>
      </c>
      <c r="D2573" t="s">
        <v>20</v>
      </c>
      <c r="E2573">
        <v>10</v>
      </c>
      <c r="F2573">
        <v>72</v>
      </c>
      <c r="G2573">
        <v>3</v>
      </c>
      <c r="H2573" t="s">
        <v>18</v>
      </c>
      <c r="I2573" t="s">
        <v>16</v>
      </c>
      <c r="J2573" t="s">
        <v>15</v>
      </c>
      <c r="K2573">
        <f>_xlfn.XLOOKUP(tbl_analysis_tickets[[#This Row],[priority]],tbl_sla[priority],tbl_sla[Resolution SLA Hours])</f>
        <v>24</v>
      </c>
      <c r="L2573">
        <f>_xlfn.XLOOKUP(tbl_analysis_tickets[[#This Row],[priority]],tbl_sla[priority],tbl_sla[First Response SLA Minutes])</f>
        <v>60</v>
      </c>
      <c r="M2573" t="str">
        <f>IF(tbl_analysis_tickets[[#This Row],[resolution_time_hours]]&gt;tbl_analysis_tickets[[#This Row],[Resolution SLA Hours]],"Breached","Within SLA")</f>
        <v>Breached</v>
      </c>
      <c r="N2573" t="str">
        <f>IF(tbl_analysis_tickets[[#This Row],[first_response_minutes]]&gt;tbl_analysis_tickets[[#This Row],[First Response SLA Minutes]],"Breached","Within SLA")</f>
        <v>Within SLA</v>
      </c>
      <c r="O2573" t="str" cm="1">
        <f t="array" ref="O2573">_xlfn.IFS(
tbl_analysis_tickets[[#This Row],[agent_experience_years]]&lt;=2,"Junior",
tbl_analysis_tickets[[#This Row],[agent_experience_years]]&lt;=5,"Mid-Level",
tbl_analysis_tickets[[#This Row],[agent_experience_years]]&lt;=8,"Senior",
tbl_analysis_tickets[[#This Row],[agent_experience_years]]&gt;8,"Expert"
)</f>
        <v>Mid-Level</v>
      </c>
      <c r="P2573" cm="1">
        <f t="array" ref="P2573">_xlfn.SWITCH(tbl_analysis_tickets[[#This Row],[customer_satisfaction]],
"Low",1,
"Medium",2,
"High",3
)</f>
        <v>2</v>
      </c>
      <c r="Q2573">
        <f>IF(tbl_analysis_tickets[[#This Row],[reopened]]="Yes",1,0)</f>
        <v>0</v>
      </c>
      <c r="R2573" t="str" cm="1">
        <f t="array" ref="R2573">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2573" t="str" cm="1">
        <f t="array" ref="S257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573" t="str">
        <f>TEXT(tbl_analysis_tickets[[#This Row],[created_date]],"mmm-yyyy")</f>
        <v>Oct-2024</v>
      </c>
      <c r="U2573" t="str">
        <f>TEXT(tbl_analysis_tickets[[#This Row],[created_date]],"dddd")</f>
        <v>Thursday</v>
      </c>
      <c r="V2573" cm="1">
        <f t="array" ref="V2573">_xlfn.SWITCH(tbl_analysis_tickets[[#This Row],[priority]],
"Urgent",1,
"High",2,
"Medium",3,
"Low",4
)</f>
        <v>2</v>
      </c>
    </row>
    <row r="2574" spans="1:22" x14ac:dyDescent="0.25">
      <c r="A2574">
        <v>2573</v>
      </c>
      <c r="B2574" s="1">
        <v>45330</v>
      </c>
      <c r="C2574" t="s">
        <v>10</v>
      </c>
      <c r="D2574" t="s">
        <v>17</v>
      </c>
      <c r="E2574">
        <v>50</v>
      </c>
      <c r="F2574">
        <v>50</v>
      </c>
      <c r="G2574">
        <v>6.4</v>
      </c>
      <c r="H2574" t="s">
        <v>12</v>
      </c>
      <c r="I2574" t="s">
        <v>19</v>
      </c>
      <c r="J2574" t="s">
        <v>11</v>
      </c>
      <c r="K2574">
        <f>_xlfn.XLOOKUP(tbl_analysis_tickets[[#This Row],[priority]],tbl_sla[priority],tbl_sla[Resolution SLA Hours])</f>
        <v>8</v>
      </c>
      <c r="L2574">
        <f>_xlfn.XLOOKUP(tbl_analysis_tickets[[#This Row],[priority]],tbl_sla[priority],tbl_sla[First Response SLA Minutes])</f>
        <v>30</v>
      </c>
      <c r="M2574" t="str">
        <f>IF(tbl_analysis_tickets[[#This Row],[resolution_time_hours]]&gt;tbl_analysis_tickets[[#This Row],[Resolution SLA Hours]],"Breached","Within SLA")</f>
        <v>Breached</v>
      </c>
      <c r="N2574" t="str">
        <f>IF(tbl_analysis_tickets[[#This Row],[first_response_minutes]]&gt;tbl_analysis_tickets[[#This Row],[First Response SLA Minutes]],"Breached","Within SLA")</f>
        <v>Breached</v>
      </c>
      <c r="O2574" t="str" cm="1">
        <f t="array" ref="O2574">_xlfn.IFS(
tbl_analysis_tickets[[#This Row],[agent_experience_years]]&lt;=2,"Junior",
tbl_analysis_tickets[[#This Row],[agent_experience_years]]&lt;=5,"Mid-Level",
tbl_analysis_tickets[[#This Row],[agent_experience_years]]&lt;=8,"Senior",
tbl_analysis_tickets[[#This Row],[agent_experience_years]]&gt;8,"Expert"
)</f>
        <v>Senior</v>
      </c>
      <c r="P2574" cm="1">
        <f t="array" ref="P2574">_xlfn.SWITCH(tbl_analysis_tickets[[#This Row],[customer_satisfaction]],
"Low",1,
"Medium",2,
"High",3
)</f>
        <v>1</v>
      </c>
      <c r="Q2574">
        <f>IF(tbl_analysis_tickets[[#This Row],[reopened]]="Yes",1,0)</f>
        <v>1</v>
      </c>
      <c r="R2574" t="str" cm="1">
        <f t="array" ref="R2574">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574" t="str" cm="1">
        <f t="array" ref="S257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574" t="str">
        <f>TEXT(tbl_analysis_tickets[[#This Row],[created_date]],"mmm-yyyy")</f>
        <v>Feb-2024</v>
      </c>
      <c r="U2574" t="str">
        <f>TEXT(tbl_analysis_tickets[[#This Row],[created_date]],"dddd")</f>
        <v>Thursday</v>
      </c>
      <c r="V2574" cm="1">
        <f t="array" ref="V2574">_xlfn.SWITCH(tbl_analysis_tickets[[#This Row],[priority]],
"Urgent",1,
"High",2,
"Medium",3,
"Low",4
)</f>
        <v>1</v>
      </c>
    </row>
    <row r="2575" spans="1:22" x14ac:dyDescent="0.25">
      <c r="A2575">
        <v>2574</v>
      </c>
      <c r="B2575" s="1">
        <v>45331</v>
      </c>
      <c r="C2575" t="s">
        <v>14</v>
      </c>
      <c r="D2575" t="s">
        <v>15</v>
      </c>
      <c r="E2575">
        <v>78</v>
      </c>
      <c r="F2575">
        <v>17</v>
      </c>
      <c r="G2575">
        <v>2.1</v>
      </c>
      <c r="H2575" t="s">
        <v>18</v>
      </c>
      <c r="I2575" t="s">
        <v>13</v>
      </c>
      <c r="J2575" t="s">
        <v>11</v>
      </c>
      <c r="K2575">
        <f>_xlfn.XLOOKUP(tbl_analysis_tickets[[#This Row],[priority]],tbl_sla[priority],tbl_sla[Resolution SLA Hours])</f>
        <v>48</v>
      </c>
      <c r="L2575">
        <f>_xlfn.XLOOKUP(tbl_analysis_tickets[[#This Row],[priority]],tbl_sla[priority],tbl_sla[First Response SLA Minutes])</f>
        <v>120</v>
      </c>
      <c r="M2575" t="str">
        <f>IF(tbl_analysis_tickets[[#This Row],[resolution_time_hours]]&gt;tbl_analysis_tickets[[#This Row],[Resolution SLA Hours]],"Breached","Within SLA")</f>
        <v>Within SLA</v>
      </c>
      <c r="N2575" t="str">
        <f>IF(tbl_analysis_tickets[[#This Row],[first_response_minutes]]&gt;tbl_analysis_tickets[[#This Row],[First Response SLA Minutes]],"Breached","Within SLA")</f>
        <v>Within SLA</v>
      </c>
      <c r="O2575" t="str" cm="1">
        <f t="array" ref="O2575">_xlfn.IFS(
tbl_analysis_tickets[[#This Row],[agent_experience_years]]&lt;=2,"Junior",
tbl_analysis_tickets[[#This Row],[agent_experience_years]]&lt;=5,"Mid-Level",
tbl_analysis_tickets[[#This Row],[agent_experience_years]]&lt;=8,"Senior",
tbl_analysis_tickets[[#This Row],[agent_experience_years]]&gt;8,"Expert"
)</f>
        <v>Mid-Level</v>
      </c>
      <c r="P2575" cm="1">
        <f t="array" ref="P2575">_xlfn.SWITCH(tbl_analysis_tickets[[#This Row],[customer_satisfaction]],
"Low",1,
"Medium",2,
"High",3
)</f>
        <v>1</v>
      </c>
      <c r="Q2575">
        <f>IF(tbl_analysis_tickets[[#This Row],[reopened]]="Yes",1,0)</f>
        <v>0</v>
      </c>
      <c r="R2575" t="str" cm="1">
        <f t="array" ref="R2575">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575" t="str" cm="1">
        <f t="array" ref="S257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575" t="str">
        <f>TEXT(tbl_analysis_tickets[[#This Row],[created_date]],"mmm-yyyy")</f>
        <v>Feb-2024</v>
      </c>
      <c r="U2575" t="str">
        <f>TEXT(tbl_analysis_tickets[[#This Row],[created_date]],"dddd")</f>
        <v>Friday</v>
      </c>
      <c r="V2575" cm="1">
        <f t="array" ref="V2575">_xlfn.SWITCH(tbl_analysis_tickets[[#This Row],[priority]],
"Urgent",1,
"High",2,
"Medium",3,
"Low",4
)</f>
        <v>3</v>
      </c>
    </row>
    <row r="2576" spans="1:22" x14ac:dyDescent="0.25">
      <c r="A2576">
        <v>2575</v>
      </c>
      <c r="B2576" s="1">
        <v>45396</v>
      </c>
      <c r="C2576" t="s">
        <v>21</v>
      </c>
      <c r="D2576" t="s">
        <v>15</v>
      </c>
      <c r="E2576">
        <v>149</v>
      </c>
      <c r="F2576">
        <v>17</v>
      </c>
      <c r="G2576">
        <v>6.6</v>
      </c>
      <c r="H2576" t="s">
        <v>12</v>
      </c>
      <c r="I2576" t="s">
        <v>19</v>
      </c>
      <c r="J2576" t="s">
        <v>11</v>
      </c>
      <c r="K2576">
        <f>_xlfn.XLOOKUP(tbl_analysis_tickets[[#This Row],[priority]],tbl_sla[priority],tbl_sla[Resolution SLA Hours])</f>
        <v>48</v>
      </c>
      <c r="L2576">
        <f>_xlfn.XLOOKUP(tbl_analysis_tickets[[#This Row],[priority]],tbl_sla[priority],tbl_sla[First Response SLA Minutes])</f>
        <v>120</v>
      </c>
      <c r="M2576" t="str">
        <f>IF(tbl_analysis_tickets[[#This Row],[resolution_time_hours]]&gt;tbl_analysis_tickets[[#This Row],[Resolution SLA Hours]],"Breached","Within SLA")</f>
        <v>Within SLA</v>
      </c>
      <c r="N2576" t="str">
        <f>IF(tbl_analysis_tickets[[#This Row],[first_response_minutes]]&gt;tbl_analysis_tickets[[#This Row],[First Response SLA Minutes]],"Breached","Within SLA")</f>
        <v>Breached</v>
      </c>
      <c r="O2576" t="str" cm="1">
        <f t="array" ref="O2576">_xlfn.IFS(
tbl_analysis_tickets[[#This Row],[agent_experience_years]]&lt;=2,"Junior",
tbl_analysis_tickets[[#This Row],[agent_experience_years]]&lt;=5,"Mid-Level",
tbl_analysis_tickets[[#This Row],[agent_experience_years]]&lt;=8,"Senior",
tbl_analysis_tickets[[#This Row],[agent_experience_years]]&gt;8,"Expert"
)</f>
        <v>Senior</v>
      </c>
      <c r="P2576" cm="1">
        <f t="array" ref="P2576">_xlfn.SWITCH(tbl_analysis_tickets[[#This Row],[customer_satisfaction]],
"Low",1,
"Medium",2,
"High",3
)</f>
        <v>1</v>
      </c>
      <c r="Q2576">
        <f>IF(tbl_analysis_tickets[[#This Row],[reopened]]="Yes",1,0)</f>
        <v>1</v>
      </c>
      <c r="R2576" t="str" cm="1">
        <f t="array" ref="R2576">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576" t="str" cm="1">
        <f t="array" ref="S257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576" t="str">
        <f>TEXT(tbl_analysis_tickets[[#This Row],[created_date]],"mmm-yyyy")</f>
        <v>Apr-2024</v>
      </c>
      <c r="U2576" t="str">
        <f>TEXT(tbl_analysis_tickets[[#This Row],[created_date]],"dddd")</f>
        <v>Sunday</v>
      </c>
      <c r="V2576" cm="1">
        <f t="array" ref="V2576">_xlfn.SWITCH(tbl_analysis_tickets[[#This Row],[priority]],
"Urgent",1,
"High",2,
"Medium",3,
"Low",4
)</f>
        <v>3</v>
      </c>
    </row>
    <row r="2577" spans="1:22" x14ac:dyDescent="0.25">
      <c r="A2577">
        <v>2576</v>
      </c>
      <c r="B2577" s="1">
        <v>45517</v>
      </c>
      <c r="C2577" t="s">
        <v>23</v>
      </c>
      <c r="D2577" t="s">
        <v>20</v>
      </c>
      <c r="E2577">
        <v>72</v>
      </c>
      <c r="F2577">
        <v>4</v>
      </c>
      <c r="G2577">
        <v>4.8</v>
      </c>
      <c r="H2577" t="s">
        <v>18</v>
      </c>
      <c r="I2577" t="s">
        <v>13</v>
      </c>
      <c r="J2577" t="s">
        <v>15</v>
      </c>
      <c r="K2577">
        <f>_xlfn.XLOOKUP(tbl_analysis_tickets[[#This Row],[priority]],tbl_sla[priority],tbl_sla[Resolution SLA Hours])</f>
        <v>24</v>
      </c>
      <c r="L2577">
        <f>_xlfn.XLOOKUP(tbl_analysis_tickets[[#This Row],[priority]],tbl_sla[priority],tbl_sla[First Response SLA Minutes])</f>
        <v>60</v>
      </c>
      <c r="M2577" t="str">
        <f>IF(tbl_analysis_tickets[[#This Row],[resolution_time_hours]]&gt;tbl_analysis_tickets[[#This Row],[Resolution SLA Hours]],"Breached","Within SLA")</f>
        <v>Within SLA</v>
      </c>
      <c r="N2577" t="str">
        <f>IF(tbl_analysis_tickets[[#This Row],[first_response_minutes]]&gt;tbl_analysis_tickets[[#This Row],[First Response SLA Minutes]],"Breached","Within SLA")</f>
        <v>Breached</v>
      </c>
      <c r="O2577" t="str" cm="1">
        <f t="array" ref="O2577">_xlfn.IFS(
tbl_analysis_tickets[[#This Row],[agent_experience_years]]&lt;=2,"Junior",
tbl_analysis_tickets[[#This Row],[agent_experience_years]]&lt;=5,"Mid-Level",
tbl_analysis_tickets[[#This Row],[agent_experience_years]]&lt;=8,"Senior",
tbl_analysis_tickets[[#This Row],[agent_experience_years]]&gt;8,"Expert"
)</f>
        <v>Mid-Level</v>
      </c>
      <c r="P2577" cm="1">
        <f t="array" ref="P2577">_xlfn.SWITCH(tbl_analysis_tickets[[#This Row],[customer_satisfaction]],
"Low",1,
"Medium",2,
"High",3
)</f>
        <v>2</v>
      </c>
      <c r="Q2577">
        <f>IF(tbl_analysis_tickets[[#This Row],[reopened]]="Yes",1,0)</f>
        <v>0</v>
      </c>
      <c r="R2577" t="str" cm="1">
        <f t="array" ref="R2577">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577" t="str" cm="1">
        <f t="array" ref="S257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2577" t="str">
        <f>TEXT(tbl_analysis_tickets[[#This Row],[created_date]],"mmm-yyyy")</f>
        <v>Aug-2024</v>
      </c>
      <c r="U2577" t="str">
        <f>TEXT(tbl_analysis_tickets[[#This Row],[created_date]],"dddd")</f>
        <v>Tuesday</v>
      </c>
      <c r="V2577" cm="1">
        <f t="array" ref="V2577">_xlfn.SWITCH(tbl_analysis_tickets[[#This Row],[priority]],
"Urgent",1,
"High",2,
"Medium",3,
"Low",4
)</f>
        <v>2</v>
      </c>
    </row>
    <row r="2578" spans="1:22" x14ac:dyDescent="0.25">
      <c r="A2578">
        <v>2577</v>
      </c>
      <c r="B2578" s="1">
        <v>45329</v>
      </c>
      <c r="C2578" t="s">
        <v>10</v>
      </c>
      <c r="D2578" t="s">
        <v>20</v>
      </c>
      <c r="E2578">
        <v>26</v>
      </c>
      <c r="F2578">
        <v>20</v>
      </c>
      <c r="G2578">
        <v>6.3</v>
      </c>
      <c r="H2578" t="s">
        <v>12</v>
      </c>
      <c r="I2578" t="s">
        <v>19</v>
      </c>
      <c r="J2578" t="s">
        <v>15</v>
      </c>
      <c r="K2578">
        <f>_xlfn.XLOOKUP(tbl_analysis_tickets[[#This Row],[priority]],tbl_sla[priority],tbl_sla[Resolution SLA Hours])</f>
        <v>24</v>
      </c>
      <c r="L2578">
        <f>_xlfn.XLOOKUP(tbl_analysis_tickets[[#This Row],[priority]],tbl_sla[priority],tbl_sla[First Response SLA Minutes])</f>
        <v>60</v>
      </c>
      <c r="M2578" t="str">
        <f>IF(tbl_analysis_tickets[[#This Row],[resolution_time_hours]]&gt;tbl_analysis_tickets[[#This Row],[Resolution SLA Hours]],"Breached","Within SLA")</f>
        <v>Within SLA</v>
      </c>
      <c r="N2578" t="str">
        <f>IF(tbl_analysis_tickets[[#This Row],[first_response_minutes]]&gt;tbl_analysis_tickets[[#This Row],[First Response SLA Minutes]],"Breached","Within SLA")</f>
        <v>Within SLA</v>
      </c>
      <c r="O2578" t="str" cm="1">
        <f t="array" ref="O2578">_xlfn.IFS(
tbl_analysis_tickets[[#This Row],[agent_experience_years]]&lt;=2,"Junior",
tbl_analysis_tickets[[#This Row],[agent_experience_years]]&lt;=5,"Mid-Level",
tbl_analysis_tickets[[#This Row],[agent_experience_years]]&lt;=8,"Senior",
tbl_analysis_tickets[[#This Row],[agent_experience_years]]&gt;8,"Expert"
)</f>
        <v>Senior</v>
      </c>
      <c r="P2578" cm="1">
        <f t="array" ref="P2578">_xlfn.SWITCH(tbl_analysis_tickets[[#This Row],[customer_satisfaction]],
"Low",1,
"Medium",2,
"High",3
)</f>
        <v>2</v>
      </c>
      <c r="Q2578">
        <f>IF(tbl_analysis_tickets[[#This Row],[reopened]]="Yes",1,0)</f>
        <v>1</v>
      </c>
      <c r="R2578" t="str" cm="1">
        <f t="array" ref="R2578">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2578" t="str" cm="1">
        <f t="array" ref="S257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578" t="str">
        <f>TEXT(tbl_analysis_tickets[[#This Row],[created_date]],"mmm-yyyy")</f>
        <v>Feb-2024</v>
      </c>
      <c r="U2578" t="str">
        <f>TEXT(tbl_analysis_tickets[[#This Row],[created_date]],"dddd")</f>
        <v>Wednesday</v>
      </c>
      <c r="V2578" cm="1">
        <f t="array" ref="V2578">_xlfn.SWITCH(tbl_analysis_tickets[[#This Row],[priority]],
"Urgent",1,
"High",2,
"Medium",3,
"Low",4
)</f>
        <v>2</v>
      </c>
    </row>
    <row r="2579" spans="1:22" x14ac:dyDescent="0.25">
      <c r="A2579">
        <v>2578</v>
      </c>
      <c r="B2579" s="1">
        <v>45406</v>
      </c>
      <c r="C2579" t="s">
        <v>14</v>
      </c>
      <c r="D2579" t="s">
        <v>20</v>
      </c>
      <c r="E2579">
        <v>209</v>
      </c>
      <c r="F2579">
        <v>61</v>
      </c>
      <c r="G2579">
        <v>8.3000000000000007</v>
      </c>
      <c r="H2579" t="s">
        <v>18</v>
      </c>
      <c r="I2579" t="s">
        <v>13</v>
      </c>
      <c r="J2579" t="s">
        <v>11</v>
      </c>
      <c r="K2579">
        <f>_xlfn.XLOOKUP(tbl_analysis_tickets[[#This Row],[priority]],tbl_sla[priority],tbl_sla[Resolution SLA Hours])</f>
        <v>24</v>
      </c>
      <c r="L2579">
        <f>_xlfn.XLOOKUP(tbl_analysis_tickets[[#This Row],[priority]],tbl_sla[priority],tbl_sla[First Response SLA Minutes])</f>
        <v>60</v>
      </c>
      <c r="M2579" t="str">
        <f>IF(tbl_analysis_tickets[[#This Row],[resolution_time_hours]]&gt;tbl_analysis_tickets[[#This Row],[Resolution SLA Hours]],"Breached","Within SLA")</f>
        <v>Breached</v>
      </c>
      <c r="N2579" t="str">
        <f>IF(tbl_analysis_tickets[[#This Row],[first_response_minutes]]&gt;tbl_analysis_tickets[[#This Row],[First Response SLA Minutes]],"Breached","Within SLA")</f>
        <v>Breached</v>
      </c>
      <c r="O2579" t="str" cm="1">
        <f t="array" ref="O2579">_xlfn.IFS(
tbl_analysis_tickets[[#This Row],[agent_experience_years]]&lt;=2,"Junior",
tbl_analysis_tickets[[#This Row],[agent_experience_years]]&lt;=5,"Mid-Level",
tbl_analysis_tickets[[#This Row],[agent_experience_years]]&lt;=8,"Senior",
tbl_analysis_tickets[[#This Row],[agent_experience_years]]&gt;8,"Expert"
)</f>
        <v>Expert</v>
      </c>
      <c r="P2579" cm="1">
        <f t="array" ref="P2579">_xlfn.SWITCH(tbl_analysis_tickets[[#This Row],[customer_satisfaction]],
"Low",1,
"Medium",2,
"High",3
)</f>
        <v>1</v>
      </c>
      <c r="Q2579">
        <f>IF(tbl_analysis_tickets[[#This Row],[reopened]]="Yes",1,0)</f>
        <v>0</v>
      </c>
      <c r="R2579" t="str" cm="1">
        <f t="array" ref="R2579">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579" t="str" cm="1">
        <f t="array" ref="S257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579" t="str">
        <f>TEXT(tbl_analysis_tickets[[#This Row],[created_date]],"mmm-yyyy")</f>
        <v>Apr-2024</v>
      </c>
      <c r="U2579" t="str">
        <f>TEXT(tbl_analysis_tickets[[#This Row],[created_date]],"dddd")</f>
        <v>Wednesday</v>
      </c>
      <c r="V2579" cm="1">
        <f t="array" ref="V2579">_xlfn.SWITCH(tbl_analysis_tickets[[#This Row],[priority]],
"Urgent",1,
"High",2,
"Medium",3,
"Low",4
)</f>
        <v>2</v>
      </c>
    </row>
    <row r="2580" spans="1:22" x14ac:dyDescent="0.25">
      <c r="A2580">
        <v>2579</v>
      </c>
      <c r="B2580" s="1">
        <v>45600</v>
      </c>
      <c r="C2580" t="s">
        <v>10</v>
      </c>
      <c r="D2580" t="s">
        <v>11</v>
      </c>
      <c r="E2580">
        <v>198</v>
      </c>
      <c r="F2580">
        <v>26</v>
      </c>
      <c r="G2580">
        <v>6.5</v>
      </c>
      <c r="H2580" t="s">
        <v>12</v>
      </c>
      <c r="I2580" t="s">
        <v>13</v>
      </c>
      <c r="J2580" t="s">
        <v>11</v>
      </c>
      <c r="K2580">
        <f>_xlfn.XLOOKUP(tbl_analysis_tickets[[#This Row],[priority]],tbl_sla[priority],tbl_sla[Resolution SLA Hours])</f>
        <v>72</v>
      </c>
      <c r="L2580">
        <f>_xlfn.XLOOKUP(tbl_analysis_tickets[[#This Row],[priority]],tbl_sla[priority],tbl_sla[First Response SLA Minutes])</f>
        <v>240</v>
      </c>
      <c r="M2580" t="str">
        <f>IF(tbl_analysis_tickets[[#This Row],[resolution_time_hours]]&gt;tbl_analysis_tickets[[#This Row],[Resolution SLA Hours]],"Breached","Within SLA")</f>
        <v>Within SLA</v>
      </c>
      <c r="N2580" t="str">
        <f>IF(tbl_analysis_tickets[[#This Row],[first_response_minutes]]&gt;tbl_analysis_tickets[[#This Row],[First Response SLA Minutes]],"Breached","Within SLA")</f>
        <v>Within SLA</v>
      </c>
      <c r="O2580" t="str" cm="1">
        <f t="array" ref="O2580">_xlfn.IFS(
tbl_analysis_tickets[[#This Row],[agent_experience_years]]&lt;=2,"Junior",
tbl_analysis_tickets[[#This Row],[agent_experience_years]]&lt;=5,"Mid-Level",
tbl_analysis_tickets[[#This Row],[agent_experience_years]]&lt;=8,"Senior",
tbl_analysis_tickets[[#This Row],[agent_experience_years]]&gt;8,"Expert"
)</f>
        <v>Senior</v>
      </c>
      <c r="P2580" cm="1">
        <f t="array" ref="P2580">_xlfn.SWITCH(tbl_analysis_tickets[[#This Row],[customer_satisfaction]],
"Low",1,
"Medium",2,
"High",3
)</f>
        <v>1</v>
      </c>
      <c r="Q2580">
        <f>IF(tbl_analysis_tickets[[#This Row],[reopened]]="Yes",1,0)</f>
        <v>1</v>
      </c>
      <c r="R2580" t="str" cm="1">
        <f t="array" ref="R2580">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580" t="str" cm="1">
        <f t="array" ref="S258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580" t="str">
        <f>TEXT(tbl_analysis_tickets[[#This Row],[created_date]],"mmm-yyyy")</f>
        <v>Nov-2024</v>
      </c>
      <c r="U2580" t="str">
        <f>TEXT(tbl_analysis_tickets[[#This Row],[created_date]],"dddd")</f>
        <v>Monday</v>
      </c>
      <c r="V2580" cm="1">
        <f t="array" ref="V2580">_xlfn.SWITCH(tbl_analysis_tickets[[#This Row],[priority]],
"Urgent",1,
"High",2,
"Medium",3,
"Low",4
)</f>
        <v>4</v>
      </c>
    </row>
    <row r="2581" spans="1:22" x14ac:dyDescent="0.25">
      <c r="A2581">
        <v>2580</v>
      </c>
      <c r="B2581" s="1">
        <v>45479</v>
      </c>
      <c r="C2581" t="s">
        <v>22</v>
      </c>
      <c r="D2581" t="s">
        <v>11</v>
      </c>
      <c r="E2581">
        <v>119</v>
      </c>
      <c r="F2581">
        <v>20</v>
      </c>
      <c r="G2581">
        <v>9.5</v>
      </c>
      <c r="H2581" t="s">
        <v>18</v>
      </c>
      <c r="I2581" t="s">
        <v>16</v>
      </c>
      <c r="J2581" t="s">
        <v>15</v>
      </c>
      <c r="K2581">
        <f>_xlfn.XLOOKUP(tbl_analysis_tickets[[#This Row],[priority]],tbl_sla[priority],tbl_sla[Resolution SLA Hours])</f>
        <v>72</v>
      </c>
      <c r="L2581">
        <f>_xlfn.XLOOKUP(tbl_analysis_tickets[[#This Row],[priority]],tbl_sla[priority],tbl_sla[First Response SLA Minutes])</f>
        <v>240</v>
      </c>
      <c r="M2581" t="str">
        <f>IF(tbl_analysis_tickets[[#This Row],[resolution_time_hours]]&gt;tbl_analysis_tickets[[#This Row],[Resolution SLA Hours]],"Breached","Within SLA")</f>
        <v>Within SLA</v>
      </c>
      <c r="N2581" t="str">
        <f>IF(tbl_analysis_tickets[[#This Row],[first_response_minutes]]&gt;tbl_analysis_tickets[[#This Row],[First Response SLA Minutes]],"Breached","Within SLA")</f>
        <v>Within SLA</v>
      </c>
      <c r="O2581" t="str" cm="1">
        <f t="array" ref="O2581">_xlfn.IFS(
tbl_analysis_tickets[[#This Row],[agent_experience_years]]&lt;=2,"Junior",
tbl_analysis_tickets[[#This Row],[agent_experience_years]]&lt;=5,"Mid-Level",
tbl_analysis_tickets[[#This Row],[agent_experience_years]]&lt;=8,"Senior",
tbl_analysis_tickets[[#This Row],[agent_experience_years]]&gt;8,"Expert"
)</f>
        <v>Expert</v>
      </c>
      <c r="P2581" cm="1">
        <f t="array" ref="P2581">_xlfn.SWITCH(tbl_analysis_tickets[[#This Row],[customer_satisfaction]],
"Low",1,
"Medium",2,
"High",3
)</f>
        <v>2</v>
      </c>
      <c r="Q2581">
        <f>IF(tbl_analysis_tickets[[#This Row],[reopened]]="Yes",1,0)</f>
        <v>0</v>
      </c>
      <c r="R2581" t="str" cm="1">
        <f t="array" ref="R2581">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581" t="str" cm="1">
        <f t="array" ref="S258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581" t="str">
        <f>TEXT(tbl_analysis_tickets[[#This Row],[created_date]],"mmm-yyyy")</f>
        <v>Jul-2024</v>
      </c>
      <c r="U2581" t="str">
        <f>TEXT(tbl_analysis_tickets[[#This Row],[created_date]],"dddd")</f>
        <v>Saturday</v>
      </c>
      <c r="V2581" cm="1">
        <f t="array" ref="V2581">_xlfn.SWITCH(tbl_analysis_tickets[[#This Row],[priority]],
"Urgent",1,
"High",2,
"Medium",3,
"Low",4
)</f>
        <v>4</v>
      </c>
    </row>
    <row r="2582" spans="1:22" x14ac:dyDescent="0.25">
      <c r="A2582">
        <v>2581</v>
      </c>
      <c r="B2582" s="1">
        <v>45354</v>
      </c>
      <c r="C2582" t="s">
        <v>21</v>
      </c>
      <c r="D2582" t="s">
        <v>11</v>
      </c>
      <c r="E2582">
        <v>22</v>
      </c>
      <c r="F2582">
        <v>16</v>
      </c>
      <c r="G2582">
        <v>9.8000000000000007</v>
      </c>
      <c r="H2582" t="s">
        <v>12</v>
      </c>
      <c r="I2582" t="s">
        <v>19</v>
      </c>
      <c r="J2582" t="s">
        <v>15</v>
      </c>
      <c r="K2582">
        <f>_xlfn.XLOOKUP(tbl_analysis_tickets[[#This Row],[priority]],tbl_sla[priority],tbl_sla[Resolution SLA Hours])</f>
        <v>72</v>
      </c>
      <c r="L2582">
        <f>_xlfn.XLOOKUP(tbl_analysis_tickets[[#This Row],[priority]],tbl_sla[priority],tbl_sla[First Response SLA Minutes])</f>
        <v>240</v>
      </c>
      <c r="M2582" t="str">
        <f>IF(tbl_analysis_tickets[[#This Row],[resolution_time_hours]]&gt;tbl_analysis_tickets[[#This Row],[Resolution SLA Hours]],"Breached","Within SLA")</f>
        <v>Within SLA</v>
      </c>
      <c r="N2582" t="str">
        <f>IF(tbl_analysis_tickets[[#This Row],[first_response_minutes]]&gt;tbl_analysis_tickets[[#This Row],[First Response SLA Minutes]],"Breached","Within SLA")</f>
        <v>Within SLA</v>
      </c>
      <c r="O2582" t="str" cm="1">
        <f t="array" ref="O2582">_xlfn.IFS(
tbl_analysis_tickets[[#This Row],[agent_experience_years]]&lt;=2,"Junior",
tbl_analysis_tickets[[#This Row],[agent_experience_years]]&lt;=5,"Mid-Level",
tbl_analysis_tickets[[#This Row],[agent_experience_years]]&lt;=8,"Senior",
tbl_analysis_tickets[[#This Row],[agent_experience_years]]&gt;8,"Expert"
)</f>
        <v>Expert</v>
      </c>
      <c r="P2582" cm="1">
        <f t="array" ref="P2582">_xlfn.SWITCH(tbl_analysis_tickets[[#This Row],[customer_satisfaction]],
"Low",1,
"Medium",2,
"High",3
)</f>
        <v>2</v>
      </c>
      <c r="Q2582">
        <f>IF(tbl_analysis_tickets[[#This Row],[reopened]]="Yes",1,0)</f>
        <v>1</v>
      </c>
      <c r="R2582" t="str" cm="1">
        <f t="array" ref="R2582">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2582" t="str" cm="1">
        <f t="array" ref="S258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582" t="str">
        <f>TEXT(tbl_analysis_tickets[[#This Row],[created_date]],"mmm-yyyy")</f>
        <v>Mar-2024</v>
      </c>
      <c r="U2582" t="str">
        <f>TEXT(tbl_analysis_tickets[[#This Row],[created_date]],"dddd")</f>
        <v>Sunday</v>
      </c>
      <c r="V2582" cm="1">
        <f t="array" ref="V2582">_xlfn.SWITCH(tbl_analysis_tickets[[#This Row],[priority]],
"Urgent",1,
"High",2,
"Medium",3,
"Low",4
)</f>
        <v>4</v>
      </c>
    </row>
    <row r="2583" spans="1:22" x14ac:dyDescent="0.25">
      <c r="A2583">
        <v>2582</v>
      </c>
      <c r="B2583" s="1">
        <v>45447</v>
      </c>
      <c r="C2583" t="s">
        <v>22</v>
      </c>
      <c r="D2583" t="s">
        <v>20</v>
      </c>
      <c r="E2583">
        <v>12</v>
      </c>
      <c r="F2583">
        <v>68</v>
      </c>
      <c r="G2583">
        <v>10</v>
      </c>
      <c r="H2583" t="s">
        <v>18</v>
      </c>
      <c r="I2583" t="s">
        <v>19</v>
      </c>
      <c r="J2583" t="s">
        <v>15</v>
      </c>
      <c r="K2583">
        <f>_xlfn.XLOOKUP(tbl_analysis_tickets[[#This Row],[priority]],tbl_sla[priority],tbl_sla[Resolution SLA Hours])</f>
        <v>24</v>
      </c>
      <c r="L2583">
        <f>_xlfn.XLOOKUP(tbl_analysis_tickets[[#This Row],[priority]],tbl_sla[priority],tbl_sla[First Response SLA Minutes])</f>
        <v>60</v>
      </c>
      <c r="M2583" t="str">
        <f>IF(tbl_analysis_tickets[[#This Row],[resolution_time_hours]]&gt;tbl_analysis_tickets[[#This Row],[Resolution SLA Hours]],"Breached","Within SLA")</f>
        <v>Breached</v>
      </c>
      <c r="N2583" t="str">
        <f>IF(tbl_analysis_tickets[[#This Row],[first_response_minutes]]&gt;tbl_analysis_tickets[[#This Row],[First Response SLA Minutes]],"Breached","Within SLA")</f>
        <v>Within SLA</v>
      </c>
      <c r="O2583" t="str" cm="1">
        <f t="array" ref="O2583">_xlfn.IFS(
tbl_analysis_tickets[[#This Row],[agent_experience_years]]&lt;=2,"Junior",
tbl_analysis_tickets[[#This Row],[agent_experience_years]]&lt;=5,"Mid-Level",
tbl_analysis_tickets[[#This Row],[agent_experience_years]]&lt;=8,"Senior",
tbl_analysis_tickets[[#This Row],[agent_experience_years]]&gt;8,"Expert"
)</f>
        <v>Expert</v>
      </c>
      <c r="P2583" cm="1">
        <f t="array" ref="P2583">_xlfn.SWITCH(tbl_analysis_tickets[[#This Row],[customer_satisfaction]],
"Low",1,
"Medium",2,
"High",3
)</f>
        <v>2</v>
      </c>
      <c r="Q2583">
        <f>IF(tbl_analysis_tickets[[#This Row],[reopened]]="Yes",1,0)</f>
        <v>0</v>
      </c>
      <c r="R2583" t="str" cm="1">
        <f t="array" ref="R2583">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2583" t="str" cm="1">
        <f t="array" ref="S258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583" t="str">
        <f>TEXT(tbl_analysis_tickets[[#This Row],[created_date]],"mmm-yyyy")</f>
        <v>Jun-2024</v>
      </c>
      <c r="U2583" t="str">
        <f>TEXT(tbl_analysis_tickets[[#This Row],[created_date]],"dddd")</f>
        <v>Tuesday</v>
      </c>
      <c r="V2583" cm="1">
        <f t="array" ref="V2583">_xlfn.SWITCH(tbl_analysis_tickets[[#This Row],[priority]],
"Urgent",1,
"High",2,
"Medium",3,
"Low",4
)</f>
        <v>2</v>
      </c>
    </row>
    <row r="2584" spans="1:22" x14ac:dyDescent="0.25">
      <c r="A2584">
        <v>2583</v>
      </c>
      <c r="B2584" s="1">
        <v>45568</v>
      </c>
      <c r="C2584" t="s">
        <v>23</v>
      </c>
      <c r="D2584" t="s">
        <v>11</v>
      </c>
      <c r="E2584">
        <v>190</v>
      </c>
      <c r="F2584">
        <v>31</v>
      </c>
      <c r="G2584">
        <v>3.3</v>
      </c>
      <c r="H2584" t="s">
        <v>18</v>
      </c>
      <c r="I2584" t="s">
        <v>16</v>
      </c>
      <c r="J2584" t="s">
        <v>11</v>
      </c>
      <c r="K2584">
        <f>_xlfn.XLOOKUP(tbl_analysis_tickets[[#This Row],[priority]],tbl_sla[priority],tbl_sla[Resolution SLA Hours])</f>
        <v>72</v>
      </c>
      <c r="L2584">
        <f>_xlfn.XLOOKUP(tbl_analysis_tickets[[#This Row],[priority]],tbl_sla[priority],tbl_sla[First Response SLA Minutes])</f>
        <v>240</v>
      </c>
      <c r="M2584" t="str">
        <f>IF(tbl_analysis_tickets[[#This Row],[resolution_time_hours]]&gt;tbl_analysis_tickets[[#This Row],[Resolution SLA Hours]],"Breached","Within SLA")</f>
        <v>Within SLA</v>
      </c>
      <c r="N2584" t="str">
        <f>IF(tbl_analysis_tickets[[#This Row],[first_response_minutes]]&gt;tbl_analysis_tickets[[#This Row],[First Response SLA Minutes]],"Breached","Within SLA")</f>
        <v>Within SLA</v>
      </c>
      <c r="O2584" t="str" cm="1">
        <f t="array" ref="O2584">_xlfn.IFS(
tbl_analysis_tickets[[#This Row],[agent_experience_years]]&lt;=2,"Junior",
tbl_analysis_tickets[[#This Row],[agent_experience_years]]&lt;=5,"Mid-Level",
tbl_analysis_tickets[[#This Row],[agent_experience_years]]&lt;=8,"Senior",
tbl_analysis_tickets[[#This Row],[agent_experience_years]]&gt;8,"Expert"
)</f>
        <v>Mid-Level</v>
      </c>
      <c r="P2584" cm="1">
        <f t="array" ref="P2584">_xlfn.SWITCH(tbl_analysis_tickets[[#This Row],[customer_satisfaction]],
"Low",1,
"Medium",2,
"High",3
)</f>
        <v>1</v>
      </c>
      <c r="Q2584">
        <f>IF(tbl_analysis_tickets[[#This Row],[reopened]]="Yes",1,0)</f>
        <v>0</v>
      </c>
      <c r="R2584" t="str" cm="1">
        <f t="array" ref="R2584">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584" t="str" cm="1">
        <f t="array" ref="S258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584" t="str">
        <f>TEXT(tbl_analysis_tickets[[#This Row],[created_date]],"mmm-yyyy")</f>
        <v>Oct-2024</v>
      </c>
      <c r="U2584" t="str">
        <f>TEXT(tbl_analysis_tickets[[#This Row],[created_date]],"dddd")</f>
        <v>Thursday</v>
      </c>
      <c r="V2584" cm="1">
        <f t="array" ref="V2584">_xlfn.SWITCH(tbl_analysis_tickets[[#This Row],[priority]],
"Urgent",1,
"High",2,
"Medium",3,
"Low",4
)</f>
        <v>4</v>
      </c>
    </row>
    <row r="2585" spans="1:22" x14ac:dyDescent="0.25">
      <c r="A2585">
        <v>2584</v>
      </c>
      <c r="B2585" s="1">
        <v>45456</v>
      </c>
      <c r="C2585" t="s">
        <v>23</v>
      </c>
      <c r="D2585" t="s">
        <v>17</v>
      </c>
      <c r="E2585">
        <v>208</v>
      </c>
      <c r="F2585">
        <v>48</v>
      </c>
      <c r="G2585">
        <v>5.5</v>
      </c>
      <c r="H2585" t="s">
        <v>18</v>
      </c>
      <c r="I2585" t="s">
        <v>19</v>
      </c>
      <c r="J2585" t="s">
        <v>11</v>
      </c>
      <c r="K2585">
        <f>_xlfn.XLOOKUP(tbl_analysis_tickets[[#This Row],[priority]],tbl_sla[priority],tbl_sla[Resolution SLA Hours])</f>
        <v>8</v>
      </c>
      <c r="L2585">
        <f>_xlfn.XLOOKUP(tbl_analysis_tickets[[#This Row],[priority]],tbl_sla[priority],tbl_sla[First Response SLA Minutes])</f>
        <v>30</v>
      </c>
      <c r="M2585" t="str">
        <f>IF(tbl_analysis_tickets[[#This Row],[resolution_time_hours]]&gt;tbl_analysis_tickets[[#This Row],[Resolution SLA Hours]],"Breached","Within SLA")</f>
        <v>Breached</v>
      </c>
      <c r="N2585" t="str">
        <f>IF(tbl_analysis_tickets[[#This Row],[first_response_minutes]]&gt;tbl_analysis_tickets[[#This Row],[First Response SLA Minutes]],"Breached","Within SLA")</f>
        <v>Breached</v>
      </c>
      <c r="O2585" t="str" cm="1">
        <f t="array" ref="O2585">_xlfn.IFS(
tbl_analysis_tickets[[#This Row],[agent_experience_years]]&lt;=2,"Junior",
tbl_analysis_tickets[[#This Row],[agent_experience_years]]&lt;=5,"Mid-Level",
tbl_analysis_tickets[[#This Row],[agent_experience_years]]&lt;=8,"Senior",
tbl_analysis_tickets[[#This Row],[agent_experience_years]]&gt;8,"Expert"
)</f>
        <v>Senior</v>
      </c>
      <c r="P2585" cm="1">
        <f t="array" ref="P2585">_xlfn.SWITCH(tbl_analysis_tickets[[#This Row],[customer_satisfaction]],
"Low",1,
"Medium",2,
"High",3
)</f>
        <v>1</v>
      </c>
      <c r="Q2585">
        <f>IF(tbl_analysis_tickets[[#This Row],[reopened]]="Yes",1,0)</f>
        <v>0</v>
      </c>
      <c r="R2585" t="str" cm="1">
        <f t="array" ref="R2585">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585" t="str" cm="1">
        <f t="array" ref="S258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585" t="str">
        <f>TEXT(tbl_analysis_tickets[[#This Row],[created_date]],"mmm-yyyy")</f>
        <v>Jun-2024</v>
      </c>
      <c r="U2585" t="str">
        <f>TEXT(tbl_analysis_tickets[[#This Row],[created_date]],"dddd")</f>
        <v>Thursday</v>
      </c>
      <c r="V2585" cm="1">
        <f t="array" ref="V2585">_xlfn.SWITCH(tbl_analysis_tickets[[#This Row],[priority]],
"Urgent",1,
"High",2,
"Medium",3,
"Low",4
)</f>
        <v>1</v>
      </c>
    </row>
    <row r="2586" spans="1:22" x14ac:dyDescent="0.25">
      <c r="A2586">
        <v>2585</v>
      </c>
      <c r="B2586" s="1">
        <v>45591</v>
      </c>
      <c r="C2586" t="s">
        <v>23</v>
      </c>
      <c r="D2586" t="s">
        <v>20</v>
      </c>
      <c r="E2586">
        <v>91</v>
      </c>
      <c r="F2586">
        <v>58</v>
      </c>
      <c r="G2586">
        <v>9.1999999999999993</v>
      </c>
      <c r="H2586" t="s">
        <v>12</v>
      </c>
      <c r="I2586" t="s">
        <v>16</v>
      </c>
      <c r="J2586" t="s">
        <v>11</v>
      </c>
      <c r="K2586">
        <f>_xlfn.XLOOKUP(tbl_analysis_tickets[[#This Row],[priority]],tbl_sla[priority],tbl_sla[Resolution SLA Hours])</f>
        <v>24</v>
      </c>
      <c r="L2586">
        <f>_xlfn.XLOOKUP(tbl_analysis_tickets[[#This Row],[priority]],tbl_sla[priority],tbl_sla[First Response SLA Minutes])</f>
        <v>60</v>
      </c>
      <c r="M2586" t="str">
        <f>IF(tbl_analysis_tickets[[#This Row],[resolution_time_hours]]&gt;tbl_analysis_tickets[[#This Row],[Resolution SLA Hours]],"Breached","Within SLA")</f>
        <v>Breached</v>
      </c>
      <c r="N2586" t="str">
        <f>IF(tbl_analysis_tickets[[#This Row],[first_response_minutes]]&gt;tbl_analysis_tickets[[#This Row],[First Response SLA Minutes]],"Breached","Within SLA")</f>
        <v>Breached</v>
      </c>
      <c r="O2586" t="str" cm="1">
        <f t="array" ref="O2586">_xlfn.IFS(
tbl_analysis_tickets[[#This Row],[agent_experience_years]]&lt;=2,"Junior",
tbl_analysis_tickets[[#This Row],[agent_experience_years]]&lt;=5,"Mid-Level",
tbl_analysis_tickets[[#This Row],[agent_experience_years]]&lt;=8,"Senior",
tbl_analysis_tickets[[#This Row],[agent_experience_years]]&gt;8,"Expert"
)</f>
        <v>Expert</v>
      </c>
      <c r="P2586" cm="1">
        <f t="array" ref="P2586">_xlfn.SWITCH(tbl_analysis_tickets[[#This Row],[customer_satisfaction]],
"Low",1,
"Medium",2,
"High",3
)</f>
        <v>1</v>
      </c>
      <c r="Q2586">
        <f>IF(tbl_analysis_tickets[[#This Row],[reopened]]="Yes",1,0)</f>
        <v>1</v>
      </c>
      <c r="R2586" t="str" cm="1">
        <f t="array" ref="R2586">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586" t="str" cm="1">
        <f t="array" ref="S258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586" t="str">
        <f>TEXT(tbl_analysis_tickets[[#This Row],[created_date]],"mmm-yyyy")</f>
        <v>Oct-2024</v>
      </c>
      <c r="U2586" t="str">
        <f>TEXT(tbl_analysis_tickets[[#This Row],[created_date]],"dddd")</f>
        <v>Saturday</v>
      </c>
      <c r="V2586" cm="1">
        <f t="array" ref="V2586">_xlfn.SWITCH(tbl_analysis_tickets[[#This Row],[priority]],
"Urgent",1,
"High",2,
"Medium",3,
"Low",4
)</f>
        <v>2</v>
      </c>
    </row>
    <row r="2587" spans="1:22" x14ac:dyDescent="0.25">
      <c r="A2587">
        <v>2586</v>
      </c>
      <c r="B2587" s="1">
        <v>45361</v>
      </c>
      <c r="C2587" t="s">
        <v>14</v>
      </c>
      <c r="D2587" t="s">
        <v>15</v>
      </c>
      <c r="E2587">
        <v>140</v>
      </c>
      <c r="F2587">
        <v>12</v>
      </c>
      <c r="G2587">
        <v>1.3</v>
      </c>
      <c r="H2587" t="s">
        <v>12</v>
      </c>
      <c r="I2587" t="s">
        <v>13</v>
      </c>
      <c r="J2587" t="s">
        <v>11</v>
      </c>
      <c r="K2587">
        <f>_xlfn.XLOOKUP(tbl_analysis_tickets[[#This Row],[priority]],tbl_sla[priority],tbl_sla[Resolution SLA Hours])</f>
        <v>48</v>
      </c>
      <c r="L2587">
        <f>_xlfn.XLOOKUP(tbl_analysis_tickets[[#This Row],[priority]],tbl_sla[priority],tbl_sla[First Response SLA Minutes])</f>
        <v>120</v>
      </c>
      <c r="M2587" t="str">
        <f>IF(tbl_analysis_tickets[[#This Row],[resolution_time_hours]]&gt;tbl_analysis_tickets[[#This Row],[Resolution SLA Hours]],"Breached","Within SLA")</f>
        <v>Within SLA</v>
      </c>
      <c r="N2587" t="str">
        <f>IF(tbl_analysis_tickets[[#This Row],[first_response_minutes]]&gt;tbl_analysis_tickets[[#This Row],[First Response SLA Minutes]],"Breached","Within SLA")</f>
        <v>Breached</v>
      </c>
      <c r="O2587" t="str" cm="1">
        <f t="array" ref="O2587">_xlfn.IFS(
tbl_analysis_tickets[[#This Row],[agent_experience_years]]&lt;=2,"Junior",
tbl_analysis_tickets[[#This Row],[agent_experience_years]]&lt;=5,"Mid-Level",
tbl_analysis_tickets[[#This Row],[agent_experience_years]]&lt;=8,"Senior",
tbl_analysis_tickets[[#This Row],[agent_experience_years]]&gt;8,"Expert"
)</f>
        <v>Junior</v>
      </c>
      <c r="P2587" cm="1">
        <f t="array" ref="P2587">_xlfn.SWITCH(tbl_analysis_tickets[[#This Row],[customer_satisfaction]],
"Low",1,
"Medium",2,
"High",3
)</f>
        <v>1</v>
      </c>
      <c r="Q2587">
        <f>IF(tbl_analysis_tickets[[#This Row],[reopened]]="Yes",1,0)</f>
        <v>1</v>
      </c>
      <c r="R2587" t="str" cm="1">
        <f t="array" ref="R2587">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587" t="str" cm="1">
        <f t="array" ref="S258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587" t="str">
        <f>TEXT(tbl_analysis_tickets[[#This Row],[created_date]],"mmm-yyyy")</f>
        <v>Mar-2024</v>
      </c>
      <c r="U2587" t="str">
        <f>TEXT(tbl_analysis_tickets[[#This Row],[created_date]],"dddd")</f>
        <v>Sunday</v>
      </c>
      <c r="V2587" cm="1">
        <f t="array" ref="V2587">_xlfn.SWITCH(tbl_analysis_tickets[[#This Row],[priority]],
"Urgent",1,
"High",2,
"Medium",3,
"Low",4
)</f>
        <v>3</v>
      </c>
    </row>
    <row r="2588" spans="1:22" x14ac:dyDescent="0.25">
      <c r="A2588">
        <v>2587</v>
      </c>
      <c r="B2588" s="1">
        <v>45468</v>
      </c>
      <c r="C2588" t="s">
        <v>10</v>
      </c>
      <c r="D2588" t="s">
        <v>20</v>
      </c>
      <c r="E2588">
        <v>140</v>
      </c>
      <c r="F2588">
        <v>56</v>
      </c>
      <c r="G2588">
        <v>2.2999999999999998</v>
      </c>
      <c r="H2588" t="s">
        <v>12</v>
      </c>
      <c r="I2588" t="s">
        <v>13</v>
      </c>
      <c r="J2588" t="s">
        <v>11</v>
      </c>
      <c r="K2588">
        <f>_xlfn.XLOOKUP(tbl_analysis_tickets[[#This Row],[priority]],tbl_sla[priority],tbl_sla[Resolution SLA Hours])</f>
        <v>24</v>
      </c>
      <c r="L2588">
        <f>_xlfn.XLOOKUP(tbl_analysis_tickets[[#This Row],[priority]],tbl_sla[priority],tbl_sla[First Response SLA Minutes])</f>
        <v>60</v>
      </c>
      <c r="M2588" t="str">
        <f>IF(tbl_analysis_tickets[[#This Row],[resolution_time_hours]]&gt;tbl_analysis_tickets[[#This Row],[Resolution SLA Hours]],"Breached","Within SLA")</f>
        <v>Breached</v>
      </c>
      <c r="N2588" t="str">
        <f>IF(tbl_analysis_tickets[[#This Row],[first_response_minutes]]&gt;tbl_analysis_tickets[[#This Row],[First Response SLA Minutes]],"Breached","Within SLA")</f>
        <v>Breached</v>
      </c>
      <c r="O2588" t="str" cm="1">
        <f t="array" ref="O2588">_xlfn.IFS(
tbl_analysis_tickets[[#This Row],[agent_experience_years]]&lt;=2,"Junior",
tbl_analysis_tickets[[#This Row],[agent_experience_years]]&lt;=5,"Mid-Level",
tbl_analysis_tickets[[#This Row],[agent_experience_years]]&lt;=8,"Senior",
tbl_analysis_tickets[[#This Row],[agent_experience_years]]&gt;8,"Expert"
)</f>
        <v>Mid-Level</v>
      </c>
      <c r="P2588" cm="1">
        <f t="array" ref="P2588">_xlfn.SWITCH(tbl_analysis_tickets[[#This Row],[customer_satisfaction]],
"Low",1,
"Medium",2,
"High",3
)</f>
        <v>1</v>
      </c>
      <c r="Q2588">
        <f>IF(tbl_analysis_tickets[[#This Row],[reopened]]="Yes",1,0)</f>
        <v>1</v>
      </c>
      <c r="R2588" t="str" cm="1">
        <f t="array" ref="R2588">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588" t="str" cm="1">
        <f t="array" ref="S258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588" t="str">
        <f>TEXT(tbl_analysis_tickets[[#This Row],[created_date]],"mmm-yyyy")</f>
        <v>Jun-2024</v>
      </c>
      <c r="U2588" t="str">
        <f>TEXT(tbl_analysis_tickets[[#This Row],[created_date]],"dddd")</f>
        <v>Tuesday</v>
      </c>
      <c r="V2588" cm="1">
        <f t="array" ref="V2588">_xlfn.SWITCH(tbl_analysis_tickets[[#This Row],[priority]],
"Urgent",1,
"High",2,
"Medium",3,
"Low",4
)</f>
        <v>2</v>
      </c>
    </row>
    <row r="2589" spans="1:22" x14ac:dyDescent="0.25">
      <c r="A2589">
        <v>2588</v>
      </c>
      <c r="B2589" s="1">
        <v>45542</v>
      </c>
      <c r="C2589" t="s">
        <v>14</v>
      </c>
      <c r="D2589" t="s">
        <v>17</v>
      </c>
      <c r="E2589">
        <v>156</v>
      </c>
      <c r="F2589">
        <v>40</v>
      </c>
      <c r="G2589">
        <v>4.2</v>
      </c>
      <c r="H2589" t="s">
        <v>12</v>
      </c>
      <c r="I2589" t="s">
        <v>19</v>
      </c>
      <c r="J2589" t="s">
        <v>11</v>
      </c>
      <c r="K2589">
        <f>_xlfn.XLOOKUP(tbl_analysis_tickets[[#This Row],[priority]],tbl_sla[priority],tbl_sla[Resolution SLA Hours])</f>
        <v>8</v>
      </c>
      <c r="L2589">
        <f>_xlfn.XLOOKUP(tbl_analysis_tickets[[#This Row],[priority]],tbl_sla[priority],tbl_sla[First Response SLA Minutes])</f>
        <v>30</v>
      </c>
      <c r="M2589" t="str">
        <f>IF(tbl_analysis_tickets[[#This Row],[resolution_time_hours]]&gt;tbl_analysis_tickets[[#This Row],[Resolution SLA Hours]],"Breached","Within SLA")</f>
        <v>Breached</v>
      </c>
      <c r="N2589" t="str">
        <f>IF(tbl_analysis_tickets[[#This Row],[first_response_minutes]]&gt;tbl_analysis_tickets[[#This Row],[First Response SLA Minutes]],"Breached","Within SLA")</f>
        <v>Breached</v>
      </c>
      <c r="O2589" t="str" cm="1">
        <f t="array" ref="O2589">_xlfn.IFS(
tbl_analysis_tickets[[#This Row],[agent_experience_years]]&lt;=2,"Junior",
tbl_analysis_tickets[[#This Row],[agent_experience_years]]&lt;=5,"Mid-Level",
tbl_analysis_tickets[[#This Row],[agent_experience_years]]&lt;=8,"Senior",
tbl_analysis_tickets[[#This Row],[agent_experience_years]]&gt;8,"Expert"
)</f>
        <v>Mid-Level</v>
      </c>
      <c r="P2589" cm="1">
        <f t="array" ref="P2589">_xlfn.SWITCH(tbl_analysis_tickets[[#This Row],[customer_satisfaction]],
"Low",1,
"Medium",2,
"High",3
)</f>
        <v>1</v>
      </c>
      <c r="Q2589">
        <f>IF(tbl_analysis_tickets[[#This Row],[reopened]]="Yes",1,0)</f>
        <v>1</v>
      </c>
      <c r="R2589" t="str" cm="1">
        <f t="array" ref="R2589">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589" t="str" cm="1">
        <f t="array" ref="S258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589" t="str">
        <f>TEXT(tbl_analysis_tickets[[#This Row],[created_date]],"mmm-yyyy")</f>
        <v>Sep-2024</v>
      </c>
      <c r="U2589" t="str">
        <f>TEXT(tbl_analysis_tickets[[#This Row],[created_date]],"dddd")</f>
        <v>Saturday</v>
      </c>
      <c r="V2589" cm="1">
        <f t="array" ref="V2589">_xlfn.SWITCH(tbl_analysis_tickets[[#This Row],[priority]],
"Urgent",1,
"High",2,
"Medium",3,
"Low",4
)</f>
        <v>1</v>
      </c>
    </row>
    <row r="2590" spans="1:22" x14ac:dyDescent="0.25">
      <c r="A2590">
        <v>2589</v>
      </c>
      <c r="B2590" s="1">
        <v>45442</v>
      </c>
      <c r="C2590" t="s">
        <v>22</v>
      </c>
      <c r="D2590" t="s">
        <v>11</v>
      </c>
      <c r="E2590">
        <v>21</v>
      </c>
      <c r="F2590">
        <v>17</v>
      </c>
      <c r="G2590">
        <v>7.5</v>
      </c>
      <c r="H2590" t="s">
        <v>18</v>
      </c>
      <c r="I2590" t="s">
        <v>13</v>
      </c>
      <c r="J2590" t="s">
        <v>20</v>
      </c>
      <c r="K2590">
        <f>_xlfn.XLOOKUP(tbl_analysis_tickets[[#This Row],[priority]],tbl_sla[priority],tbl_sla[Resolution SLA Hours])</f>
        <v>72</v>
      </c>
      <c r="L2590">
        <f>_xlfn.XLOOKUP(tbl_analysis_tickets[[#This Row],[priority]],tbl_sla[priority],tbl_sla[First Response SLA Minutes])</f>
        <v>240</v>
      </c>
      <c r="M2590" t="str">
        <f>IF(tbl_analysis_tickets[[#This Row],[resolution_time_hours]]&gt;tbl_analysis_tickets[[#This Row],[Resolution SLA Hours]],"Breached","Within SLA")</f>
        <v>Within SLA</v>
      </c>
      <c r="N2590" t="str">
        <f>IF(tbl_analysis_tickets[[#This Row],[first_response_minutes]]&gt;tbl_analysis_tickets[[#This Row],[First Response SLA Minutes]],"Breached","Within SLA")</f>
        <v>Within SLA</v>
      </c>
      <c r="O2590" t="str" cm="1">
        <f t="array" ref="O2590">_xlfn.IFS(
tbl_analysis_tickets[[#This Row],[agent_experience_years]]&lt;=2,"Junior",
tbl_analysis_tickets[[#This Row],[agent_experience_years]]&lt;=5,"Mid-Level",
tbl_analysis_tickets[[#This Row],[agent_experience_years]]&lt;=8,"Senior",
tbl_analysis_tickets[[#This Row],[agent_experience_years]]&gt;8,"Expert"
)</f>
        <v>Senior</v>
      </c>
      <c r="P2590" cm="1">
        <f t="array" ref="P2590">_xlfn.SWITCH(tbl_analysis_tickets[[#This Row],[customer_satisfaction]],
"Low",1,
"Medium",2,
"High",3
)</f>
        <v>3</v>
      </c>
      <c r="Q2590">
        <f>IF(tbl_analysis_tickets[[#This Row],[reopened]]="Yes",1,0)</f>
        <v>0</v>
      </c>
      <c r="R2590" t="str" cm="1">
        <f t="array" ref="R2590">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2590" t="str" cm="1">
        <f t="array" ref="S259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590" t="str">
        <f>TEXT(tbl_analysis_tickets[[#This Row],[created_date]],"mmm-yyyy")</f>
        <v>May-2024</v>
      </c>
      <c r="U2590" t="str">
        <f>TEXT(tbl_analysis_tickets[[#This Row],[created_date]],"dddd")</f>
        <v>Thursday</v>
      </c>
      <c r="V2590" cm="1">
        <f t="array" ref="V2590">_xlfn.SWITCH(tbl_analysis_tickets[[#This Row],[priority]],
"Urgent",1,
"High",2,
"Medium",3,
"Low",4
)</f>
        <v>4</v>
      </c>
    </row>
    <row r="2591" spans="1:22" x14ac:dyDescent="0.25">
      <c r="A2591">
        <v>2590</v>
      </c>
      <c r="B2591" s="1">
        <v>45595</v>
      </c>
      <c r="C2591" t="s">
        <v>23</v>
      </c>
      <c r="D2591" t="s">
        <v>20</v>
      </c>
      <c r="E2591">
        <v>35</v>
      </c>
      <c r="F2591">
        <v>34</v>
      </c>
      <c r="G2591">
        <v>7.6</v>
      </c>
      <c r="H2591" t="s">
        <v>18</v>
      </c>
      <c r="I2591" t="s">
        <v>13</v>
      </c>
      <c r="J2591" t="s">
        <v>11</v>
      </c>
      <c r="K2591">
        <f>_xlfn.XLOOKUP(tbl_analysis_tickets[[#This Row],[priority]],tbl_sla[priority],tbl_sla[Resolution SLA Hours])</f>
        <v>24</v>
      </c>
      <c r="L2591">
        <f>_xlfn.XLOOKUP(tbl_analysis_tickets[[#This Row],[priority]],tbl_sla[priority],tbl_sla[First Response SLA Minutes])</f>
        <v>60</v>
      </c>
      <c r="M2591" t="str">
        <f>IF(tbl_analysis_tickets[[#This Row],[resolution_time_hours]]&gt;tbl_analysis_tickets[[#This Row],[Resolution SLA Hours]],"Breached","Within SLA")</f>
        <v>Breached</v>
      </c>
      <c r="N2591" t="str">
        <f>IF(tbl_analysis_tickets[[#This Row],[first_response_minutes]]&gt;tbl_analysis_tickets[[#This Row],[First Response SLA Minutes]],"Breached","Within SLA")</f>
        <v>Within SLA</v>
      </c>
      <c r="O2591" t="str" cm="1">
        <f t="array" ref="O2591">_xlfn.IFS(
tbl_analysis_tickets[[#This Row],[agent_experience_years]]&lt;=2,"Junior",
tbl_analysis_tickets[[#This Row],[agent_experience_years]]&lt;=5,"Mid-Level",
tbl_analysis_tickets[[#This Row],[agent_experience_years]]&lt;=8,"Senior",
tbl_analysis_tickets[[#This Row],[agent_experience_years]]&gt;8,"Expert"
)</f>
        <v>Senior</v>
      </c>
      <c r="P2591" cm="1">
        <f t="array" ref="P2591">_xlfn.SWITCH(tbl_analysis_tickets[[#This Row],[customer_satisfaction]],
"Low",1,
"Medium",2,
"High",3
)</f>
        <v>1</v>
      </c>
      <c r="Q2591">
        <f>IF(tbl_analysis_tickets[[#This Row],[reopened]]="Yes",1,0)</f>
        <v>0</v>
      </c>
      <c r="R2591" t="str" cm="1">
        <f t="array" ref="R2591">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591" t="str" cm="1">
        <f t="array" ref="S259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591" t="str">
        <f>TEXT(tbl_analysis_tickets[[#This Row],[created_date]],"mmm-yyyy")</f>
        <v>Oct-2024</v>
      </c>
      <c r="U2591" t="str">
        <f>TEXT(tbl_analysis_tickets[[#This Row],[created_date]],"dddd")</f>
        <v>Wednesday</v>
      </c>
      <c r="V2591" cm="1">
        <f t="array" ref="V2591">_xlfn.SWITCH(tbl_analysis_tickets[[#This Row],[priority]],
"Urgent",1,
"High",2,
"Medium",3,
"Low",4
)</f>
        <v>2</v>
      </c>
    </row>
    <row r="2592" spans="1:22" x14ac:dyDescent="0.25">
      <c r="A2592">
        <v>2591</v>
      </c>
      <c r="B2592" s="1">
        <v>45328</v>
      </c>
      <c r="C2592" t="s">
        <v>23</v>
      </c>
      <c r="D2592" t="s">
        <v>17</v>
      </c>
      <c r="E2592">
        <v>109</v>
      </c>
      <c r="F2592">
        <v>59</v>
      </c>
      <c r="G2592">
        <v>6.1</v>
      </c>
      <c r="H2592" t="s">
        <v>12</v>
      </c>
      <c r="I2592" t="s">
        <v>19</v>
      </c>
      <c r="J2592" t="s">
        <v>11</v>
      </c>
      <c r="K2592">
        <f>_xlfn.XLOOKUP(tbl_analysis_tickets[[#This Row],[priority]],tbl_sla[priority],tbl_sla[Resolution SLA Hours])</f>
        <v>8</v>
      </c>
      <c r="L2592">
        <f>_xlfn.XLOOKUP(tbl_analysis_tickets[[#This Row],[priority]],tbl_sla[priority],tbl_sla[First Response SLA Minutes])</f>
        <v>30</v>
      </c>
      <c r="M2592" t="str">
        <f>IF(tbl_analysis_tickets[[#This Row],[resolution_time_hours]]&gt;tbl_analysis_tickets[[#This Row],[Resolution SLA Hours]],"Breached","Within SLA")</f>
        <v>Breached</v>
      </c>
      <c r="N2592" t="str">
        <f>IF(tbl_analysis_tickets[[#This Row],[first_response_minutes]]&gt;tbl_analysis_tickets[[#This Row],[First Response SLA Minutes]],"Breached","Within SLA")</f>
        <v>Breached</v>
      </c>
      <c r="O2592" t="str" cm="1">
        <f t="array" ref="O2592">_xlfn.IFS(
tbl_analysis_tickets[[#This Row],[agent_experience_years]]&lt;=2,"Junior",
tbl_analysis_tickets[[#This Row],[agent_experience_years]]&lt;=5,"Mid-Level",
tbl_analysis_tickets[[#This Row],[agent_experience_years]]&lt;=8,"Senior",
tbl_analysis_tickets[[#This Row],[agent_experience_years]]&gt;8,"Expert"
)</f>
        <v>Senior</v>
      </c>
      <c r="P2592" cm="1">
        <f t="array" ref="P2592">_xlfn.SWITCH(tbl_analysis_tickets[[#This Row],[customer_satisfaction]],
"Low",1,
"Medium",2,
"High",3
)</f>
        <v>1</v>
      </c>
      <c r="Q2592">
        <f>IF(tbl_analysis_tickets[[#This Row],[reopened]]="Yes",1,0)</f>
        <v>1</v>
      </c>
      <c r="R2592" t="str" cm="1">
        <f t="array" ref="R2592">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592" t="str" cm="1">
        <f t="array" ref="S259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592" t="str">
        <f>TEXT(tbl_analysis_tickets[[#This Row],[created_date]],"mmm-yyyy")</f>
        <v>Feb-2024</v>
      </c>
      <c r="U2592" t="str">
        <f>TEXT(tbl_analysis_tickets[[#This Row],[created_date]],"dddd")</f>
        <v>Tuesday</v>
      </c>
      <c r="V2592" cm="1">
        <f t="array" ref="V2592">_xlfn.SWITCH(tbl_analysis_tickets[[#This Row],[priority]],
"Urgent",1,
"High",2,
"Medium",3,
"Low",4
)</f>
        <v>1</v>
      </c>
    </row>
    <row r="2593" spans="1:22" x14ac:dyDescent="0.25">
      <c r="A2593">
        <v>2592</v>
      </c>
      <c r="B2593" s="1">
        <v>45479</v>
      </c>
      <c r="C2593" t="s">
        <v>21</v>
      </c>
      <c r="D2593" t="s">
        <v>11</v>
      </c>
      <c r="E2593">
        <v>62</v>
      </c>
      <c r="F2593">
        <v>19</v>
      </c>
      <c r="G2593">
        <v>9.4</v>
      </c>
      <c r="H2593" t="s">
        <v>18</v>
      </c>
      <c r="I2593" t="s">
        <v>13</v>
      </c>
      <c r="J2593" t="s">
        <v>15</v>
      </c>
      <c r="K2593">
        <f>_xlfn.XLOOKUP(tbl_analysis_tickets[[#This Row],[priority]],tbl_sla[priority],tbl_sla[Resolution SLA Hours])</f>
        <v>72</v>
      </c>
      <c r="L2593">
        <f>_xlfn.XLOOKUP(tbl_analysis_tickets[[#This Row],[priority]],tbl_sla[priority],tbl_sla[First Response SLA Minutes])</f>
        <v>240</v>
      </c>
      <c r="M2593" t="str">
        <f>IF(tbl_analysis_tickets[[#This Row],[resolution_time_hours]]&gt;tbl_analysis_tickets[[#This Row],[Resolution SLA Hours]],"Breached","Within SLA")</f>
        <v>Within SLA</v>
      </c>
      <c r="N2593" t="str">
        <f>IF(tbl_analysis_tickets[[#This Row],[first_response_minutes]]&gt;tbl_analysis_tickets[[#This Row],[First Response SLA Minutes]],"Breached","Within SLA")</f>
        <v>Within SLA</v>
      </c>
      <c r="O2593" t="str" cm="1">
        <f t="array" ref="O2593">_xlfn.IFS(
tbl_analysis_tickets[[#This Row],[agent_experience_years]]&lt;=2,"Junior",
tbl_analysis_tickets[[#This Row],[agent_experience_years]]&lt;=5,"Mid-Level",
tbl_analysis_tickets[[#This Row],[agent_experience_years]]&lt;=8,"Senior",
tbl_analysis_tickets[[#This Row],[agent_experience_years]]&gt;8,"Expert"
)</f>
        <v>Expert</v>
      </c>
      <c r="P2593" cm="1">
        <f t="array" ref="P2593">_xlfn.SWITCH(tbl_analysis_tickets[[#This Row],[customer_satisfaction]],
"Low",1,
"Medium",2,
"High",3
)</f>
        <v>2</v>
      </c>
      <c r="Q2593">
        <f>IF(tbl_analysis_tickets[[#This Row],[reopened]]="Yes",1,0)</f>
        <v>0</v>
      </c>
      <c r="R2593" t="str" cm="1">
        <f t="array" ref="R2593">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593" t="str" cm="1">
        <f t="array" ref="S259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593" t="str">
        <f>TEXT(tbl_analysis_tickets[[#This Row],[created_date]],"mmm-yyyy")</f>
        <v>Jul-2024</v>
      </c>
      <c r="U2593" t="str">
        <f>TEXT(tbl_analysis_tickets[[#This Row],[created_date]],"dddd")</f>
        <v>Saturday</v>
      </c>
      <c r="V2593" cm="1">
        <f t="array" ref="V2593">_xlfn.SWITCH(tbl_analysis_tickets[[#This Row],[priority]],
"Urgent",1,
"High",2,
"Medium",3,
"Low",4
)</f>
        <v>4</v>
      </c>
    </row>
    <row r="2594" spans="1:22" x14ac:dyDescent="0.25">
      <c r="A2594">
        <v>2593</v>
      </c>
      <c r="B2594" s="1">
        <v>45407</v>
      </c>
      <c r="C2594" t="s">
        <v>21</v>
      </c>
      <c r="D2594" t="s">
        <v>20</v>
      </c>
      <c r="E2594">
        <v>231</v>
      </c>
      <c r="F2594">
        <v>7</v>
      </c>
      <c r="G2594">
        <v>7.5</v>
      </c>
      <c r="H2594" t="s">
        <v>18</v>
      </c>
      <c r="I2594" t="s">
        <v>16</v>
      </c>
      <c r="J2594" t="s">
        <v>11</v>
      </c>
      <c r="K2594">
        <f>_xlfn.XLOOKUP(tbl_analysis_tickets[[#This Row],[priority]],tbl_sla[priority],tbl_sla[Resolution SLA Hours])</f>
        <v>24</v>
      </c>
      <c r="L2594">
        <f>_xlfn.XLOOKUP(tbl_analysis_tickets[[#This Row],[priority]],tbl_sla[priority],tbl_sla[First Response SLA Minutes])</f>
        <v>60</v>
      </c>
      <c r="M2594" t="str">
        <f>IF(tbl_analysis_tickets[[#This Row],[resolution_time_hours]]&gt;tbl_analysis_tickets[[#This Row],[Resolution SLA Hours]],"Breached","Within SLA")</f>
        <v>Within SLA</v>
      </c>
      <c r="N2594" t="str">
        <f>IF(tbl_analysis_tickets[[#This Row],[first_response_minutes]]&gt;tbl_analysis_tickets[[#This Row],[First Response SLA Minutes]],"Breached","Within SLA")</f>
        <v>Breached</v>
      </c>
      <c r="O2594" t="str" cm="1">
        <f t="array" ref="O2594">_xlfn.IFS(
tbl_analysis_tickets[[#This Row],[agent_experience_years]]&lt;=2,"Junior",
tbl_analysis_tickets[[#This Row],[agent_experience_years]]&lt;=5,"Mid-Level",
tbl_analysis_tickets[[#This Row],[agent_experience_years]]&lt;=8,"Senior",
tbl_analysis_tickets[[#This Row],[agent_experience_years]]&gt;8,"Expert"
)</f>
        <v>Senior</v>
      </c>
      <c r="P2594" cm="1">
        <f t="array" ref="P2594">_xlfn.SWITCH(tbl_analysis_tickets[[#This Row],[customer_satisfaction]],
"Low",1,
"Medium",2,
"High",3
)</f>
        <v>1</v>
      </c>
      <c r="Q2594">
        <f>IF(tbl_analysis_tickets[[#This Row],[reopened]]="Yes",1,0)</f>
        <v>0</v>
      </c>
      <c r="R2594" t="str" cm="1">
        <f t="array" ref="R2594">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594" t="str" cm="1">
        <f t="array" ref="S259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2594" t="str">
        <f>TEXT(tbl_analysis_tickets[[#This Row],[created_date]],"mmm-yyyy")</f>
        <v>Apr-2024</v>
      </c>
      <c r="U2594" t="str">
        <f>TEXT(tbl_analysis_tickets[[#This Row],[created_date]],"dddd")</f>
        <v>Thursday</v>
      </c>
      <c r="V2594" cm="1">
        <f t="array" ref="V2594">_xlfn.SWITCH(tbl_analysis_tickets[[#This Row],[priority]],
"Urgent",1,
"High",2,
"Medium",3,
"Low",4
)</f>
        <v>2</v>
      </c>
    </row>
    <row r="2595" spans="1:22" x14ac:dyDescent="0.25">
      <c r="A2595">
        <v>2594</v>
      </c>
      <c r="B2595" s="1">
        <v>45647</v>
      </c>
      <c r="C2595" t="s">
        <v>10</v>
      </c>
      <c r="D2595" t="s">
        <v>20</v>
      </c>
      <c r="E2595">
        <v>9</v>
      </c>
      <c r="F2595">
        <v>23</v>
      </c>
      <c r="G2595">
        <v>8.6999999999999993</v>
      </c>
      <c r="H2595" t="s">
        <v>12</v>
      </c>
      <c r="I2595" t="s">
        <v>16</v>
      </c>
      <c r="J2595" t="s">
        <v>15</v>
      </c>
      <c r="K2595">
        <f>_xlfn.XLOOKUP(tbl_analysis_tickets[[#This Row],[priority]],tbl_sla[priority],tbl_sla[Resolution SLA Hours])</f>
        <v>24</v>
      </c>
      <c r="L2595">
        <f>_xlfn.XLOOKUP(tbl_analysis_tickets[[#This Row],[priority]],tbl_sla[priority],tbl_sla[First Response SLA Minutes])</f>
        <v>60</v>
      </c>
      <c r="M2595" t="str">
        <f>IF(tbl_analysis_tickets[[#This Row],[resolution_time_hours]]&gt;tbl_analysis_tickets[[#This Row],[Resolution SLA Hours]],"Breached","Within SLA")</f>
        <v>Within SLA</v>
      </c>
      <c r="N2595" t="str">
        <f>IF(tbl_analysis_tickets[[#This Row],[first_response_minutes]]&gt;tbl_analysis_tickets[[#This Row],[First Response SLA Minutes]],"Breached","Within SLA")</f>
        <v>Within SLA</v>
      </c>
      <c r="O2595" t="str" cm="1">
        <f t="array" ref="O2595">_xlfn.IFS(
tbl_analysis_tickets[[#This Row],[agent_experience_years]]&lt;=2,"Junior",
tbl_analysis_tickets[[#This Row],[agent_experience_years]]&lt;=5,"Mid-Level",
tbl_analysis_tickets[[#This Row],[agent_experience_years]]&lt;=8,"Senior",
tbl_analysis_tickets[[#This Row],[agent_experience_years]]&gt;8,"Expert"
)</f>
        <v>Expert</v>
      </c>
      <c r="P2595" cm="1">
        <f t="array" ref="P2595">_xlfn.SWITCH(tbl_analysis_tickets[[#This Row],[customer_satisfaction]],
"Low",1,
"Medium",2,
"High",3
)</f>
        <v>2</v>
      </c>
      <c r="Q2595">
        <f>IF(tbl_analysis_tickets[[#This Row],[reopened]]="Yes",1,0)</f>
        <v>1</v>
      </c>
      <c r="R2595" t="str" cm="1">
        <f t="array" ref="R2595">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2595" t="str" cm="1">
        <f t="array" ref="S259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595" t="str">
        <f>TEXT(tbl_analysis_tickets[[#This Row],[created_date]],"mmm-yyyy")</f>
        <v>Dec-2024</v>
      </c>
      <c r="U2595" t="str">
        <f>TEXT(tbl_analysis_tickets[[#This Row],[created_date]],"dddd")</f>
        <v>Saturday</v>
      </c>
      <c r="V2595" cm="1">
        <f t="array" ref="V2595">_xlfn.SWITCH(tbl_analysis_tickets[[#This Row],[priority]],
"Urgent",1,
"High",2,
"Medium",3,
"Low",4
)</f>
        <v>2</v>
      </c>
    </row>
    <row r="2596" spans="1:22" x14ac:dyDescent="0.25">
      <c r="A2596">
        <v>2595</v>
      </c>
      <c r="B2596" s="1">
        <v>45401</v>
      </c>
      <c r="C2596" t="s">
        <v>21</v>
      </c>
      <c r="D2596" t="s">
        <v>15</v>
      </c>
      <c r="E2596">
        <v>155</v>
      </c>
      <c r="F2596">
        <v>72</v>
      </c>
      <c r="G2596">
        <v>1.8</v>
      </c>
      <c r="H2596" t="s">
        <v>18</v>
      </c>
      <c r="I2596" t="s">
        <v>19</v>
      </c>
      <c r="J2596" t="s">
        <v>11</v>
      </c>
      <c r="K2596">
        <f>_xlfn.XLOOKUP(tbl_analysis_tickets[[#This Row],[priority]],tbl_sla[priority],tbl_sla[Resolution SLA Hours])</f>
        <v>48</v>
      </c>
      <c r="L2596">
        <f>_xlfn.XLOOKUP(tbl_analysis_tickets[[#This Row],[priority]],tbl_sla[priority],tbl_sla[First Response SLA Minutes])</f>
        <v>120</v>
      </c>
      <c r="M2596" t="str">
        <f>IF(tbl_analysis_tickets[[#This Row],[resolution_time_hours]]&gt;tbl_analysis_tickets[[#This Row],[Resolution SLA Hours]],"Breached","Within SLA")</f>
        <v>Breached</v>
      </c>
      <c r="N2596" t="str">
        <f>IF(tbl_analysis_tickets[[#This Row],[first_response_minutes]]&gt;tbl_analysis_tickets[[#This Row],[First Response SLA Minutes]],"Breached","Within SLA")</f>
        <v>Breached</v>
      </c>
      <c r="O2596" t="str" cm="1">
        <f t="array" ref="O2596">_xlfn.IFS(
tbl_analysis_tickets[[#This Row],[agent_experience_years]]&lt;=2,"Junior",
tbl_analysis_tickets[[#This Row],[agent_experience_years]]&lt;=5,"Mid-Level",
tbl_analysis_tickets[[#This Row],[agent_experience_years]]&lt;=8,"Senior",
tbl_analysis_tickets[[#This Row],[agent_experience_years]]&gt;8,"Expert"
)</f>
        <v>Junior</v>
      </c>
      <c r="P2596" cm="1">
        <f t="array" ref="P2596">_xlfn.SWITCH(tbl_analysis_tickets[[#This Row],[customer_satisfaction]],
"Low",1,
"Medium",2,
"High",3
)</f>
        <v>1</v>
      </c>
      <c r="Q2596">
        <f>IF(tbl_analysis_tickets[[#This Row],[reopened]]="Yes",1,0)</f>
        <v>0</v>
      </c>
      <c r="R2596" t="str" cm="1">
        <f t="array" ref="R2596">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596" t="str" cm="1">
        <f t="array" ref="S259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596" t="str">
        <f>TEXT(tbl_analysis_tickets[[#This Row],[created_date]],"mmm-yyyy")</f>
        <v>Apr-2024</v>
      </c>
      <c r="U2596" t="str">
        <f>TEXT(tbl_analysis_tickets[[#This Row],[created_date]],"dddd")</f>
        <v>Friday</v>
      </c>
      <c r="V2596" cm="1">
        <f t="array" ref="V2596">_xlfn.SWITCH(tbl_analysis_tickets[[#This Row],[priority]],
"Urgent",1,
"High",2,
"Medium",3,
"Low",4
)</f>
        <v>3</v>
      </c>
    </row>
    <row r="2597" spans="1:22" x14ac:dyDescent="0.25">
      <c r="A2597">
        <v>2596</v>
      </c>
      <c r="B2597" s="1">
        <v>45599</v>
      </c>
      <c r="C2597" t="s">
        <v>14</v>
      </c>
      <c r="D2597" t="s">
        <v>15</v>
      </c>
      <c r="E2597">
        <v>45</v>
      </c>
      <c r="F2597">
        <v>45</v>
      </c>
      <c r="G2597">
        <v>7.6</v>
      </c>
      <c r="H2597" t="s">
        <v>18</v>
      </c>
      <c r="I2597" t="s">
        <v>19</v>
      </c>
      <c r="J2597" t="s">
        <v>15</v>
      </c>
      <c r="K2597">
        <f>_xlfn.XLOOKUP(tbl_analysis_tickets[[#This Row],[priority]],tbl_sla[priority],tbl_sla[Resolution SLA Hours])</f>
        <v>48</v>
      </c>
      <c r="L2597">
        <f>_xlfn.XLOOKUP(tbl_analysis_tickets[[#This Row],[priority]],tbl_sla[priority],tbl_sla[First Response SLA Minutes])</f>
        <v>120</v>
      </c>
      <c r="M2597" t="str">
        <f>IF(tbl_analysis_tickets[[#This Row],[resolution_time_hours]]&gt;tbl_analysis_tickets[[#This Row],[Resolution SLA Hours]],"Breached","Within SLA")</f>
        <v>Within SLA</v>
      </c>
      <c r="N2597" t="str">
        <f>IF(tbl_analysis_tickets[[#This Row],[first_response_minutes]]&gt;tbl_analysis_tickets[[#This Row],[First Response SLA Minutes]],"Breached","Within SLA")</f>
        <v>Within SLA</v>
      </c>
      <c r="O2597" t="str" cm="1">
        <f t="array" ref="O2597">_xlfn.IFS(
tbl_analysis_tickets[[#This Row],[agent_experience_years]]&lt;=2,"Junior",
tbl_analysis_tickets[[#This Row],[agent_experience_years]]&lt;=5,"Mid-Level",
tbl_analysis_tickets[[#This Row],[agent_experience_years]]&lt;=8,"Senior",
tbl_analysis_tickets[[#This Row],[agent_experience_years]]&gt;8,"Expert"
)</f>
        <v>Senior</v>
      </c>
      <c r="P2597" cm="1">
        <f t="array" ref="P2597">_xlfn.SWITCH(tbl_analysis_tickets[[#This Row],[customer_satisfaction]],
"Low",1,
"Medium",2,
"High",3
)</f>
        <v>2</v>
      </c>
      <c r="Q2597">
        <f>IF(tbl_analysis_tickets[[#This Row],[reopened]]="Yes",1,0)</f>
        <v>0</v>
      </c>
      <c r="R2597" t="str" cm="1">
        <f t="array" ref="R2597">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597" t="str" cm="1">
        <f t="array" ref="S259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597" t="str">
        <f>TEXT(tbl_analysis_tickets[[#This Row],[created_date]],"mmm-yyyy")</f>
        <v>Nov-2024</v>
      </c>
      <c r="U2597" t="str">
        <f>TEXT(tbl_analysis_tickets[[#This Row],[created_date]],"dddd")</f>
        <v>Sunday</v>
      </c>
      <c r="V2597" cm="1">
        <f t="array" ref="V2597">_xlfn.SWITCH(tbl_analysis_tickets[[#This Row],[priority]],
"Urgent",1,
"High",2,
"Medium",3,
"Low",4
)</f>
        <v>3</v>
      </c>
    </row>
    <row r="2598" spans="1:22" x14ac:dyDescent="0.25">
      <c r="A2598">
        <v>2597</v>
      </c>
      <c r="B2598" s="1">
        <v>45304</v>
      </c>
      <c r="C2598" t="s">
        <v>10</v>
      </c>
      <c r="D2598" t="s">
        <v>15</v>
      </c>
      <c r="E2598">
        <v>9</v>
      </c>
      <c r="F2598">
        <v>13</v>
      </c>
      <c r="G2598">
        <v>3</v>
      </c>
      <c r="H2598" t="s">
        <v>12</v>
      </c>
      <c r="I2598" t="s">
        <v>19</v>
      </c>
      <c r="J2598" t="s">
        <v>15</v>
      </c>
      <c r="K2598">
        <f>_xlfn.XLOOKUP(tbl_analysis_tickets[[#This Row],[priority]],tbl_sla[priority],tbl_sla[Resolution SLA Hours])</f>
        <v>48</v>
      </c>
      <c r="L2598">
        <f>_xlfn.XLOOKUP(tbl_analysis_tickets[[#This Row],[priority]],tbl_sla[priority],tbl_sla[First Response SLA Minutes])</f>
        <v>120</v>
      </c>
      <c r="M2598" t="str">
        <f>IF(tbl_analysis_tickets[[#This Row],[resolution_time_hours]]&gt;tbl_analysis_tickets[[#This Row],[Resolution SLA Hours]],"Breached","Within SLA")</f>
        <v>Within SLA</v>
      </c>
      <c r="N2598" t="str">
        <f>IF(tbl_analysis_tickets[[#This Row],[first_response_minutes]]&gt;tbl_analysis_tickets[[#This Row],[First Response SLA Minutes]],"Breached","Within SLA")</f>
        <v>Within SLA</v>
      </c>
      <c r="O2598" t="str" cm="1">
        <f t="array" ref="O2598">_xlfn.IFS(
tbl_analysis_tickets[[#This Row],[agent_experience_years]]&lt;=2,"Junior",
tbl_analysis_tickets[[#This Row],[agent_experience_years]]&lt;=5,"Mid-Level",
tbl_analysis_tickets[[#This Row],[agent_experience_years]]&lt;=8,"Senior",
tbl_analysis_tickets[[#This Row],[agent_experience_years]]&gt;8,"Expert"
)</f>
        <v>Mid-Level</v>
      </c>
      <c r="P2598" cm="1">
        <f t="array" ref="P2598">_xlfn.SWITCH(tbl_analysis_tickets[[#This Row],[customer_satisfaction]],
"Low",1,
"Medium",2,
"High",3
)</f>
        <v>2</v>
      </c>
      <c r="Q2598">
        <f>IF(tbl_analysis_tickets[[#This Row],[reopened]]="Yes",1,0)</f>
        <v>1</v>
      </c>
      <c r="R2598" t="str" cm="1">
        <f t="array" ref="R2598">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2598" t="str" cm="1">
        <f t="array" ref="S259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598" t="str">
        <f>TEXT(tbl_analysis_tickets[[#This Row],[created_date]],"mmm-yyyy")</f>
        <v>Jan-2024</v>
      </c>
      <c r="U2598" t="str">
        <f>TEXT(tbl_analysis_tickets[[#This Row],[created_date]],"dddd")</f>
        <v>Saturday</v>
      </c>
      <c r="V2598" cm="1">
        <f t="array" ref="V2598">_xlfn.SWITCH(tbl_analysis_tickets[[#This Row],[priority]],
"Urgent",1,
"High",2,
"Medium",3,
"Low",4
)</f>
        <v>3</v>
      </c>
    </row>
    <row r="2599" spans="1:22" x14ac:dyDescent="0.25">
      <c r="A2599">
        <v>2598</v>
      </c>
      <c r="B2599" s="1">
        <v>45652</v>
      </c>
      <c r="C2599" t="s">
        <v>10</v>
      </c>
      <c r="D2599" t="s">
        <v>20</v>
      </c>
      <c r="E2599">
        <v>161</v>
      </c>
      <c r="F2599">
        <v>26</v>
      </c>
      <c r="G2599">
        <v>1.2</v>
      </c>
      <c r="H2599" t="s">
        <v>18</v>
      </c>
      <c r="I2599" t="s">
        <v>13</v>
      </c>
      <c r="J2599" t="s">
        <v>11</v>
      </c>
      <c r="K2599">
        <f>_xlfn.XLOOKUP(tbl_analysis_tickets[[#This Row],[priority]],tbl_sla[priority],tbl_sla[Resolution SLA Hours])</f>
        <v>24</v>
      </c>
      <c r="L2599">
        <f>_xlfn.XLOOKUP(tbl_analysis_tickets[[#This Row],[priority]],tbl_sla[priority],tbl_sla[First Response SLA Minutes])</f>
        <v>60</v>
      </c>
      <c r="M2599" t="str">
        <f>IF(tbl_analysis_tickets[[#This Row],[resolution_time_hours]]&gt;tbl_analysis_tickets[[#This Row],[Resolution SLA Hours]],"Breached","Within SLA")</f>
        <v>Breached</v>
      </c>
      <c r="N2599" t="str">
        <f>IF(tbl_analysis_tickets[[#This Row],[first_response_minutes]]&gt;tbl_analysis_tickets[[#This Row],[First Response SLA Minutes]],"Breached","Within SLA")</f>
        <v>Breached</v>
      </c>
      <c r="O2599" t="str" cm="1">
        <f t="array" ref="O2599">_xlfn.IFS(
tbl_analysis_tickets[[#This Row],[agent_experience_years]]&lt;=2,"Junior",
tbl_analysis_tickets[[#This Row],[agent_experience_years]]&lt;=5,"Mid-Level",
tbl_analysis_tickets[[#This Row],[agent_experience_years]]&lt;=8,"Senior",
tbl_analysis_tickets[[#This Row],[agent_experience_years]]&gt;8,"Expert"
)</f>
        <v>Junior</v>
      </c>
      <c r="P2599" cm="1">
        <f t="array" ref="P2599">_xlfn.SWITCH(tbl_analysis_tickets[[#This Row],[customer_satisfaction]],
"Low",1,
"Medium",2,
"High",3
)</f>
        <v>1</v>
      </c>
      <c r="Q2599">
        <f>IF(tbl_analysis_tickets[[#This Row],[reopened]]="Yes",1,0)</f>
        <v>0</v>
      </c>
      <c r="R2599" t="str" cm="1">
        <f t="array" ref="R2599">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599" t="str" cm="1">
        <f t="array" ref="S259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599" t="str">
        <f>TEXT(tbl_analysis_tickets[[#This Row],[created_date]],"mmm-yyyy")</f>
        <v>Dec-2024</v>
      </c>
      <c r="U2599" t="str">
        <f>TEXT(tbl_analysis_tickets[[#This Row],[created_date]],"dddd")</f>
        <v>Thursday</v>
      </c>
      <c r="V2599" cm="1">
        <f t="array" ref="V2599">_xlfn.SWITCH(tbl_analysis_tickets[[#This Row],[priority]],
"Urgent",1,
"High",2,
"Medium",3,
"Low",4
)</f>
        <v>2</v>
      </c>
    </row>
    <row r="2600" spans="1:22" x14ac:dyDescent="0.25">
      <c r="A2600">
        <v>2599</v>
      </c>
      <c r="B2600" s="1">
        <v>45373</v>
      </c>
      <c r="C2600" t="s">
        <v>22</v>
      </c>
      <c r="D2600" t="s">
        <v>17</v>
      </c>
      <c r="E2600">
        <v>130</v>
      </c>
      <c r="F2600">
        <v>70</v>
      </c>
      <c r="G2600">
        <v>1</v>
      </c>
      <c r="H2600" t="s">
        <v>18</v>
      </c>
      <c r="I2600" t="s">
        <v>13</v>
      </c>
      <c r="J2600" t="s">
        <v>11</v>
      </c>
      <c r="K2600">
        <f>_xlfn.XLOOKUP(tbl_analysis_tickets[[#This Row],[priority]],tbl_sla[priority],tbl_sla[Resolution SLA Hours])</f>
        <v>8</v>
      </c>
      <c r="L2600">
        <f>_xlfn.XLOOKUP(tbl_analysis_tickets[[#This Row],[priority]],tbl_sla[priority],tbl_sla[First Response SLA Minutes])</f>
        <v>30</v>
      </c>
      <c r="M2600" t="str">
        <f>IF(tbl_analysis_tickets[[#This Row],[resolution_time_hours]]&gt;tbl_analysis_tickets[[#This Row],[Resolution SLA Hours]],"Breached","Within SLA")</f>
        <v>Breached</v>
      </c>
      <c r="N2600" t="str">
        <f>IF(tbl_analysis_tickets[[#This Row],[first_response_minutes]]&gt;tbl_analysis_tickets[[#This Row],[First Response SLA Minutes]],"Breached","Within SLA")</f>
        <v>Breached</v>
      </c>
      <c r="O2600" t="str" cm="1">
        <f t="array" ref="O2600">_xlfn.IFS(
tbl_analysis_tickets[[#This Row],[agent_experience_years]]&lt;=2,"Junior",
tbl_analysis_tickets[[#This Row],[agent_experience_years]]&lt;=5,"Mid-Level",
tbl_analysis_tickets[[#This Row],[agent_experience_years]]&lt;=8,"Senior",
tbl_analysis_tickets[[#This Row],[agent_experience_years]]&gt;8,"Expert"
)</f>
        <v>Junior</v>
      </c>
      <c r="P2600" cm="1">
        <f t="array" ref="P2600">_xlfn.SWITCH(tbl_analysis_tickets[[#This Row],[customer_satisfaction]],
"Low",1,
"Medium",2,
"High",3
)</f>
        <v>1</v>
      </c>
      <c r="Q2600">
        <f>IF(tbl_analysis_tickets[[#This Row],[reopened]]="Yes",1,0)</f>
        <v>0</v>
      </c>
      <c r="R2600" t="str" cm="1">
        <f t="array" ref="R2600">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600" t="str" cm="1">
        <f t="array" ref="S260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600" t="str">
        <f>TEXT(tbl_analysis_tickets[[#This Row],[created_date]],"mmm-yyyy")</f>
        <v>Mar-2024</v>
      </c>
      <c r="U2600" t="str">
        <f>TEXT(tbl_analysis_tickets[[#This Row],[created_date]],"dddd")</f>
        <v>Friday</v>
      </c>
      <c r="V2600" cm="1">
        <f t="array" ref="V2600">_xlfn.SWITCH(tbl_analysis_tickets[[#This Row],[priority]],
"Urgent",1,
"High",2,
"Medium",3,
"Low",4
)</f>
        <v>1</v>
      </c>
    </row>
    <row r="2601" spans="1:22" x14ac:dyDescent="0.25">
      <c r="A2601">
        <v>2600</v>
      </c>
      <c r="B2601" s="1">
        <v>45325</v>
      </c>
      <c r="C2601" t="s">
        <v>21</v>
      </c>
      <c r="D2601" t="s">
        <v>15</v>
      </c>
      <c r="E2601">
        <v>123</v>
      </c>
      <c r="F2601">
        <v>55</v>
      </c>
      <c r="G2601">
        <v>1.5</v>
      </c>
      <c r="H2601" t="s">
        <v>18</v>
      </c>
      <c r="I2601" t="s">
        <v>19</v>
      </c>
      <c r="J2601" t="s">
        <v>11</v>
      </c>
      <c r="K2601">
        <f>_xlfn.XLOOKUP(tbl_analysis_tickets[[#This Row],[priority]],tbl_sla[priority],tbl_sla[Resolution SLA Hours])</f>
        <v>48</v>
      </c>
      <c r="L2601">
        <f>_xlfn.XLOOKUP(tbl_analysis_tickets[[#This Row],[priority]],tbl_sla[priority],tbl_sla[First Response SLA Minutes])</f>
        <v>120</v>
      </c>
      <c r="M2601" t="str">
        <f>IF(tbl_analysis_tickets[[#This Row],[resolution_time_hours]]&gt;tbl_analysis_tickets[[#This Row],[Resolution SLA Hours]],"Breached","Within SLA")</f>
        <v>Breached</v>
      </c>
      <c r="N2601" t="str">
        <f>IF(tbl_analysis_tickets[[#This Row],[first_response_minutes]]&gt;tbl_analysis_tickets[[#This Row],[First Response SLA Minutes]],"Breached","Within SLA")</f>
        <v>Breached</v>
      </c>
      <c r="O2601" t="str" cm="1">
        <f t="array" ref="O2601">_xlfn.IFS(
tbl_analysis_tickets[[#This Row],[agent_experience_years]]&lt;=2,"Junior",
tbl_analysis_tickets[[#This Row],[agent_experience_years]]&lt;=5,"Mid-Level",
tbl_analysis_tickets[[#This Row],[agent_experience_years]]&lt;=8,"Senior",
tbl_analysis_tickets[[#This Row],[agent_experience_years]]&gt;8,"Expert"
)</f>
        <v>Junior</v>
      </c>
      <c r="P2601" cm="1">
        <f t="array" ref="P2601">_xlfn.SWITCH(tbl_analysis_tickets[[#This Row],[customer_satisfaction]],
"Low",1,
"Medium",2,
"High",3
)</f>
        <v>1</v>
      </c>
      <c r="Q2601">
        <f>IF(tbl_analysis_tickets[[#This Row],[reopened]]="Yes",1,0)</f>
        <v>0</v>
      </c>
      <c r="R2601" t="str" cm="1">
        <f t="array" ref="R2601">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601" t="str" cm="1">
        <f t="array" ref="S260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601" t="str">
        <f>TEXT(tbl_analysis_tickets[[#This Row],[created_date]],"mmm-yyyy")</f>
        <v>Feb-2024</v>
      </c>
      <c r="U2601" t="str">
        <f>TEXT(tbl_analysis_tickets[[#This Row],[created_date]],"dddd")</f>
        <v>Saturday</v>
      </c>
      <c r="V2601" cm="1">
        <f t="array" ref="V2601">_xlfn.SWITCH(tbl_analysis_tickets[[#This Row],[priority]],
"Urgent",1,
"High",2,
"Medium",3,
"Low",4
)</f>
        <v>3</v>
      </c>
    </row>
    <row r="2602" spans="1:22" x14ac:dyDescent="0.25">
      <c r="A2602">
        <v>2601</v>
      </c>
      <c r="B2602" s="1">
        <v>45334</v>
      </c>
      <c r="C2602" t="s">
        <v>21</v>
      </c>
      <c r="D2602" t="s">
        <v>11</v>
      </c>
      <c r="E2602">
        <v>224</v>
      </c>
      <c r="F2602">
        <v>56</v>
      </c>
      <c r="G2602">
        <v>5.0999999999999996</v>
      </c>
      <c r="H2602" t="s">
        <v>18</v>
      </c>
      <c r="I2602" t="s">
        <v>19</v>
      </c>
      <c r="J2602" t="s">
        <v>15</v>
      </c>
      <c r="K2602">
        <f>_xlfn.XLOOKUP(tbl_analysis_tickets[[#This Row],[priority]],tbl_sla[priority],tbl_sla[Resolution SLA Hours])</f>
        <v>72</v>
      </c>
      <c r="L2602">
        <f>_xlfn.XLOOKUP(tbl_analysis_tickets[[#This Row],[priority]],tbl_sla[priority],tbl_sla[First Response SLA Minutes])</f>
        <v>240</v>
      </c>
      <c r="M2602" t="str">
        <f>IF(tbl_analysis_tickets[[#This Row],[resolution_time_hours]]&gt;tbl_analysis_tickets[[#This Row],[Resolution SLA Hours]],"Breached","Within SLA")</f>
        <v>Within SLA</v>
      </c>
      <c r="N2602" t="str">
        <f>IF(tbl_analysis_tickets[[#This Row],[first_response_minutes]]&gt;tbl_analysis_tickets[[#This Row],[First Response SLA Minutes]],"Breached","Within SLA")</f>
        <v>Within SLA</v>
      </c>
      <c r="O2602" t="str" cm="1">
        <f t="array" ref="O2602">_xlfn.IFS(
tbl_analysis_tickets[[#This Row],[agent_experience_years]]&lt;=2,"Junior",
tbl_analysis_tickets[[#This Row],[agent_experience_years]]&lt;=5,"Mid-Level",
tbl_analysis_tickets[[#This Row],[agent_experience_years]]&lt;=8,"Senior",
tbl_analysis_tickets[[#This Row],[agent_experience_years]]&gt;8,"Expert"
)</f>
        <v>Senior</v>
      </c>
      <c r="P2602" cm="1">
        <f t="array" ref="P2602">_xlfn.SWITCH(tbl_analysis_tickets[[#This Row],[customer_satisfaction]],
"Low",1,
"Medium",2,
"High",3
)</f>
        <v>2</v>
      </c>
      <c r="Q2602">
        <f>IF(tbl_analysis_tickets[[#This Row],[reopened]]="Yes",1,0)</f>
        <v>0</v>
      </c>
      <c r="R2602" t="str" cm="1">
        <f t="array" ref="R2602">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602" t="str" cm="1">
        <f t="array" ref="S260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602" t="str">
        <f>TEXT(tbl_analysis_tickets[[#This Row],[created_date]],"mmm-yyyy")</f>
        <v>Feb-2024</v>
      </c>
      <c r="U2602" t="str">
        <f>TEXT(tbl_analysis_tickets[[#This Row],[created_date]],"dddd")</f>
        <v>Monday</v>
      </c>
      <c r="V2602" cm="1">
        <f t="array" ref="V2602">_xlfn.SWITCH(tbl_analysis_tickets[[#This Row],[priority]],
"Urgent",1,
"High",2,
"Medium",3,
"Low",4
)</f>
        <v>4</v>
      </c>
    </row>
    <row r="2603" spans="1:22" x14ac:dyDescent="0.25">
      <c r="A2603">
        <v>2602</v>
      </c>
      <c r="B2603" s="1">
        <v>45340</v>
      </c>
      <c r="C2603" t="s">
        <v>22</v>
      </c>
      <c r="D2603" t="s">
        <v>20</v>
      </c>
      <c r="E2603">
        <v>5</v>
      </c>
      <c r="F2603">
        <v>35</v>
      </c>
      <c r="G2603">
        <v>5.2</v>
      </c>
      <c r="H2603" t="s">
        <v>12</v>
      </c>
      <c r="I2603" t="s">
        <v>16</v>
      </c>
      <c r="J2603" t="s">
        <v>15</v>
      </c>
      <c r="K2603">
        <f>_xlfn.XLOOKUP(tbl_analysis_tickets[[#This Row],[priority]],tbl_sla[priority],tbl_sla[Resolution SLA Hours])</f>
        <v>24</v>
      </c>
      <c r="L2603">
        <f>_xlfn.XLOOKUP(tbl_analysis_tickets[[#This Row],[priority]],tbl_sla[priority],tbl_sla[First Response SLA Minutes])</f>
        <v>60</v>
      </c>
      <c r="M2603" t="str">
        <f>IF(tbl_analysis_tickets[[#This Row],[resolution_time_hours]]&gt;tbl_analysis_tickets[[#This Row],[Resolution SLA Hours]],"Breached","Within SLA")</f>
        <v>Breached</v>
      </c>
      <c r="N2603" t="str">
        <f>IF(tbl_analysis_tickets[[#This Row],[first_response_minutes]]&gt;tbl_analysis_tickets[[#This Row],[First Response SLA Minutes]],"Breached","Within SLA")</f>
        <v>Within SLA</v>
      </c>
      <c r="O2603" t="str" cm="1">
        <f t="array" ref="O2603">_xlfn.IFS(
tbl_analysis_tickets[[#This Row],[agent_experience_years]]&lt;=2,"Junior",
tbl_analysis_tickets[[#This Row],[agent_experience_years]]&lt;=5,"Mid-Level",
tbl_analysis_tickets[[#This Row],[agent_experience_years]]&lt;=8,"Senior",
tbl_analysis_tickets[[#This Row],[agent_experience_years]]&gt;8,"Expert"
)</f>
        <v>Senior</v>
      </c>
      <c r="P2603" cm="1">
        <f t="array" ref="P2603">_xlfn.SWITCH(tbl_analysis_tickets[[#This Row],[customer_satisfaction]],
"Low",1,
"Medium",2,
"High",3
)</f>
        <v>2</v>
      </c>
      <c r="Q2603">
        <f>IF(tbl_analysis_tickets[[#This Row],[reopened]]="Yes",1,0)</f>
        <v>1</v>
      </c>
      <c r="R2603" t="str" cm="1">
        <f t="array" ref="R2603">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2603" t="str" cm="1">
        <f t="array" ref="S260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603" t="str">
        <f>TEXT(tbl_analysis_tickets[[#This Row],[created_date]],"mmm-yyyy")</f>
        <v>Feb-2024</v>
      </c>
      <c r="U2603" t="str">
        <f>TEXT(tbl_analysis_tickets[[#This Row],[created_date]],"dddd")</f>
        <v>Sunday</v>
      </c>
      <c r="V2603" cm="1">
        <f t="array" ref="V2603">_xlfn.SWITCH(tbl_analysis_tickets[[#This Row],[priority]],
"Urgent",1,
"High",2,
"Medium",3,
"Low",4
)</f>
        <v>2</v>
      </c>
    </row>
    <row r="2604" spans="1:22" x14ac:dyDescent="0.25">
      <c r="A2604">
        <v>2603</v>
      </c>
      <c r="B2604" s="1">
        <v>45651</v>
      </c>
      <c r="C2604" t="s">
        <v>22</v>
      </c>
      <c r="D2604" t="s">
        <v>11</v>
      </c>
      <c r="E2604">
        <v>79</v>
      </c>
      <c r="F2604">
        <v>30</v>
      </c>
      <c r="G2604">
        <v>4.2</v>
      </c>
      <c r="H2604" t="s">
        <v>12</v>
      </c>
      <c r="I2604" t="s">
        <v>13</v>
      </c>
      <c r="J2604" t="s">
        <v>11</v>
      </c>
      <c r="K2604">
        <f>_xlfn.XLOOKUP(tbl_analysis_tickets[[#This Row],[priority]],tbl_sla[priority],tbl_sla[Resolution SLA Hours])</f>
        <v>72</v>
      </c>
      <c r="L2604">
        <f>_xlfn.XLOOKUP(tbl_analysis_tickets[[#This Row],[priority]],tbl_sla[priority],tbl_sla[First Response SLA Minutes])</f>
        <v>240</v>
      </c>
      <c r="M2604" t="str">
        <f>IF(tbl_analysis_tickets[[#This Row],[resolution_time_hours]]&gt;tbl_analysis_tickets[[#This Row],[Resolution SLA Hours]],"Breached","Within SLA")</f>
        <v>Within SLA</v>
      </c>
      <c r="N2604" t="str">
        <f>IF(tbl_analysis_tickets[[#This Row],[first_response_minutes]]&gt;tbl_analysis_tickets[[#This Row],[First Response SLA Minutes]],"Breached","Within SLA")</f>
        <v>Within SLA</v>
      </c>
      <c r="O2604" t="str" cm="1">
        <f t="array" ref="O2604">_xlfn.IFS(
tbl_analysis_tickets[[#This Row],[agent_experience_years]]&lt;=2,"Junior",
tbl_analysis_tickets[[#This Row],[agent_experience_years]]&lt;=5,"Mid-Level",
tbl_analysis_tickets[[#This Row],[agent_experience_years]]&lt;=8,"Senior",
tbl_analysis_tickets[[#This Row],[agent_experience_years]]&gt;8,"Expert"
)</f>
        <v>Mid-Level</v>
      </c>
      <c r="P2604" cm="1">
        <f t="array" ref="P2604">_xlfn.SWITCH(tbl_analysis_tickets[[#This Row],[customer_satisfaction]],
"Low",1,
"Medium",2,
"High",3
)</f>
        <v>1</v>
      </c>
      <c r="Q2604">
        <f>IF(tbl_analysis_tickets[[#This Row],[reopened]]="Yes",1,0)</f>
        <v>1</v>
      </c>
      <c r="R2604" t="str" cm="1">
        <f t="array" ref="R2604">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604" t="str" cm="1">
        <f t="array" ref="S260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604" t="str">
        <f>TEXT(tbl_analysis_tickets[[#This Row],[created_date]],"mmm-yyyy")</f>
        <v>Dec-2024</v>
      </c>
      <c r="U2604" t="str">
        <f>TEXT(tbl_analysis_tickets[[#This Row],[created_date]],"dddd")</f>
        <v>Wednesday</v>
      </c>
      <c r="V2604" cm="1">
        <f t="array" ref="V2604">_xlfn.SWITCH(tbl_analysis_tickets[[#This Row],[priority]],
"Urgent",1,
"High",2,
"Medium",3,
"Low",4
)</f>
        <v>4</v>
      </c>
    </row>
    <row r="2605" spans="1:22" x14ac:dyDescent="0.25">
      <c r="A2605">
        <v>2604</v>
      </c>
      <c r="B2605" s="1">
        <v>45545</v>
      </c>
      <c r="C2605" t="s">
        <v>14</v>
      </c>
      <c r="D2605" t="s">
        <v>17</v>
      </c>
      <c r="E2605">
        <v>220</v>
      </c>
      <c r="F2605">
        <v>8</v>
      </c>
      <c r="G2605">
        <v>2.7</v>
      </c>
      <c r="H2605" t="s">
        <v>18</v>
      </c>
      <c r="I2605" t="s">
        <v>19</v>
      </c>
      <c r="J2605" t="s">
        <v>11</v>
      </c>
      <c r="K2605">
        <f>_xlfn.XLOOKUP(tbl_analysis_tickets[[#This Row],[priority]],tbl_sla[priority],tbl_sla[Resolution SLA Hours])</f>
        <v>8</v>
      </c>
      <c r="L2605">
        <f>_xlfn.XLOOKUP(tbl_analysis_tickets[[#This Row],[priority]],tbl_sla[priority],tbl_sla[First Response SLA Minutes])</f>
        <v>30</v>
      </c>
      <c r="M2605" t="str">
        <f>IF(tbl_analysis_tickets[[#This Row],[resolution_time_hours]]&gt;tbl_analysis_tickets[[#This Row],[Resolution SLA Hours]],"Breached","Within SLA")</f>
        <v>Within SLA</v>
      </c>
      <c r="N2605" t="str">
        <f>IF(tbl_analysis_tickets[[#This Row],[first_response_minutes]]&gt;tbl_analysis_tickets[[#This Row],[First Response SLA Minutes]],"Breached","Within SLA")</f>
        <v>Breached</v>
      </c>
      <c r="O2605" t="str" cm="1">
        <f t="array" ref="O2605">_xlfn.IFS(
tbl_analysis_tickets[[#This Row],[agent_experience_years]]&lt;=2,"Junior",
tbl_analysis_tickets[[#This Row],[agent_experience_years]]&lt;=5,"Mid-Level",
tbl_analysis_tickets[[#This Row],[agent_experience_years]]&lt;=8,"Senior",
tbl_analysis_tickets[[#This Row],[agent_experience_years]]&gt;8,"Expert"
)</f>
        <v>Mid-Level</v>
      </c>
      <c r="P2605" cm="1">
        <f t="array" ref="P2605">_xlfn.SWITCH(tbl_analysis_tickets[[#This Row],[customer_satisfaction]],
"Low",1,
"Medium",2,
"High",3
)</f>
        <v>1</v>
      </c>
      <c r="Q2605">
        <f>IF(tbl_analysis_tickets[[#This Row],[reopened]]="Yes",1,0)</f>
        <v>0</v>
      </c>
      <c r="R2605" t="str" cm="1">
        <f t="array" ref="R2605">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605" t="str" cm="1">
        <f t="array" ref="S260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2605" t="str">
        <f>TEXT(tbl_analysis_tickets[[#This Row],[created_date]],"mmm-yyyy")</f>
        <v>Sep-2024</v>
      </c>
      <c r="U2605" t="str">
        <f>TEXT(tbl_analysis_tickets[[#This Row],[created_date]],"dddd")</f>
        <v>Tuesday</v>
      </c>
      <c r="V2605" cm="1">
        <f t="array" ref="V2605">_xlfn.SWITCH(tbl_analysis_tickets[[#This Row],[priority]],
"Urgent",1,
"High",2,
"Medium",3,
"Low",4
)</f>
        <v>1</v>
      </c>
    </row>
    <row r="2606" spans="1:22" x14ac:dyDescent="0.25">
      <c r="A2606">
        <v>2605</v>
      </c>
      <c r="B2606" s="1">
        <v>45577</v>
      </c>
      <c r="C2606" t="s">
        <v>21</v>
      </c>
      <c r="D2606" t="s">
        <v>17</v>
      </c>
      <c r="E2606">
        <v>92</v>
      </c>
      <c r="F2606">
        <v>29</v>
      </c>
      <c r="G2606">
        <v>3</v>
      </c>
      <c r="H2606" t="s">
        <v>18</v>
      </c>
      <c r="I2606" t="s">
        <v>16</v>
      </c>
      <c r="J2606" t="s">
        <v>11</v>
      </c>
      <c r="K2606">
        <f>_xlfn.XLOOKUP(tbl_analysis_tickets[[#This Row],[priority]],tbl_sla[priority],tbl_sla[Resolution SLA Hours])</f>
        <v>8</v>
      </c>
      <c r="L2606">
        <f>_xlfn.XLOOKUP(tbl_analysis_tickets[[#This Row],[priority]],tbl_sla[priority],tbl_sla[First Response SLA Minutes])</f>
        <v>30</v>
      </c>
      <c r="M2606" t="str">
        <f>IF(tbl_analysis_tickets[[#This Row],[resolution_time_hours]]&gt;tbl_analysis_tickets[[#This Row],[Resolution SLA Hours]],"Breached","Within SLA")</f>
        <v>Breached</v>
      </c>
      <c r="N2606" t="str">
        <f>IF(tbl_analysis_tickets[[#This Row],[first_response_minutes]]&gt;tbl_analysis_tickets[[#This Row],[First Response SLA Minutes]],"Breached","Within SLA")</f>
        <v>Breached</v>
      </c>
      <c r="O2606" t="str" cm="1">
        <f t="array" ref="O2606">_xlfn.IFS(
tbl_analysis_tickets[[#This Row],[agent_experience_years]]&lt;=2,"Junior",
tbl_analysis_tickets[[#This Row],[agent_experience_years]]&lt;=5,"Mid-Level",
tbl_analysis_tickets[[#This Row],[agent_experience_years]]&lt;=8,"Senior",
tbl_analysis_tickets[[#This Row],[agent_experience_years]]&gt;8,"Expert"
)</f>
        <v>Mid-Level</v>
      </c>
      <c r="P2606" cm="1">
        <f t="array" ref="P2606">_xlfn.SWITCH(tbl_analysis_tickets[[#This Row],[customer_satisfaction]],
"Low",1,
"Medium",2,
"High",3
)</f>
        <v>1</v>
      </c>
      <c r="Q2606">
        <f>IF(tbl_analysis_tickets[[#This Row],[reopened]]="Yes",1,0)</f>
        <v>0</v>
      </c>
      <c r="R2606" t="str" cm="1">
        <f t="array" ref="R2606">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606" t="str" cm="1">
        <f t="array" ref="S260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606" t="str">
        <f>TEXT(tbl_analysis_tickets[[#This Row],[created_date]],"mmm-yyyy")</f>
        <v>Oct-2024</v>
      </c>
      <c r="U2606" t="str">
        <f>TEXT(tbl_analysis_tickets[[#This Row],[created_date]],"dddd")</f>
        <v>Saturday</v>
      </c>
      <c r="V2606" cm="1">
        <f t="array" ref="V2606">_xlfn.SWITCH(tbl_analysis_tickets[[#This Row],[priority]],
"Urgent",1,
"High",2,
"Medium",3,
"Low",4
)</f>
        <v>1</v>
      </c>
    </row>
    <row r="2607" spans="1:22" x14ac:dyDescent="0.25">
      <c r="A2607">
        <v>2606</v>
      </c>
      <c r="B2607" s="1">
        <v>45311</v>
      </c>
      <c r="C2607" t="s">
        <v>21</v>
      </c>
      <c r="D2607" t="s">
        <v>15</v>
      </c>
      <c r="E2607">
        <v>153</v>
      </c>
      <c r="F2607">
        <v>37</v>
      </c>
      <c r="G2607">
        <v>6.6</v>
      </c>
      <c r="H2607" t="s">
        <v>18</v>
      </c>
      <c r="I2607" t="s">
        <v>13</v>
      </c>
      <c r="J2607" t="s">
        <v>15</v>
      </c>
      <c r="K2607">
        <f>_xlfn.XLOOKUP(tbl_analysis_tickets[[#This Row],[priority]],tbl_sla[priority],tbl_sla[Resolution SLA Hours])</f>
        <v>48</v>
      </c>
      <c r="L2607">
        <f>_xlfn.XLOOKUP(tbl_analysis_tickets[[#This Row],[priority]],tbl_sla[priority],tbl_sla[First Response SLA Minutes])</f>
        <v>120</v>
      </c>
      <c r="M2607" t="str">
        <f>IF(tbl_analysis_tickets[[#This Row],[resolution_time_hours]]&gt;tbl_analysis_tickets[[#This Row],[Resolution SLA Hours]],"Breached","Within SLA")</f>
        <v>Within SLA</v>
      </c>
      <c r="N2607" t="str">
        <f>IF(tbl_analysis_tickets[[#This Row],[first_response_minutes]]&gt;tbl_analysis_tickets[[#This Row],[First Response SLA Minutes]],"Breached","Within SLA")</f>
        <v>Breached</v>
      </c>
      <c r="O2607" t="str" cm="1">
        <f t="array" ref="O2607">_xlfn.IFS(
tbl_analysis_tickets[[#This Row],[agent_experience_years]]&lt;=2,"Junior",
tbl_analysis_tickets[[#This Row],[agent_experience_years]]&lt;=5,"Mid-Level",
tbl_analysis_tickets[[#This Row],[agent_experience_years]]&lt;=8,"Senior",
tbl_analysis_tickets[[#This Row],[agent_experience_years]]&gt;8,"Expert"
)</f>
        <v>Senior</v>
      </c>
      <c r="P2607" cm="1">
        <f t="array" ref="P2607">_xlfn.SWITCH(tbl_analysis_tickets[[#This Row],[customer_satisfaction]],
"Low",1,
"Medium",2,
"High",3
)</f>
        <v>2</v>
      </c>
      <c r="Q2607">
        <f>IF(tbl_analysis_tickets[[#This Row],[reopened]]="Yes",1,0)</f>
        <v>0</v>
      </c>
      <c r="R2607" t="str" cm="1">
        <f t="array" ref="R2607">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607" t="str" cm="1">
        <f t="array" ref="S260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607" t="str">
        <f>TEXT(tbl_analysis_tickets[[#This Row],[created_date]],"mmm-yyyy")</f>
        <v>Jan-2024</v>
      </c>
      <c r="U2607" t="str">
        <f>TEXT(tbl_analysis_tickets[[#This Row],[created_date]],"dddd")</f>
        <v>Saturday</v>
      </c>
      <c r="V2607" cm="1">
        <f t="array" ref="V2607">_xlfn.SWITCH(tbl_analysis_tickets[[#This Row],[priority]],
"Urgent",1,
"High",2,
"Medium",3,
"Low",4
)</f>
        <v>3</v>
      </c>
    </row>
    <row r="2608" spans="1:22" x14ac:dyDescent="0.25">
      <c r="A2608">
        <v>2607</v>
      </c>
      <c r="B2608" s="1">
        <v>45405</v>
      </c>
      <c r="C2608" t="s">
        <v>10</v>
      </c>
      <c r="D2608" t="s">
        <v>17</v>
      </c>
      <c r="E2608">
        <v>58</v>
      </c>
      <c r="F2608">
        <v>71</v>
      </c>
      <c r="G2608">
        <v>0.9</v>
      </c>
      <c r="H2608" t="s">
        <v>18</v>
      </c>
      <c r="I2608" t="s">
        <v>16</v>
      </c>
      <c r="J2608" t="s">
        <v>11</v>
      </c>
      <c r="K2608">
        <f>_xlfn.XLOOKUP(tbl_analysis_tickets[[#This Row],[priority]],tbl_sla[priority],tbl_sla[Resolution SLA Hours])</f>
        <v>8</v>
      </c>
      <c r="L2608">
        <f>_xlfn.XLOOKUP(tbl_analysis_tickets[[#This Row],[priority]],tbl_sla[priority],tbl_sla[First Response SLA Minutes])</f>
        <v>30</v>
      </c>
      <c r="M2608" t="str">
        <f>IF(tbl_analysis_tickets[[#This Row],[resolution_time_hours]]&gt;tbl_analysis_tickets[[#This Row],[Resolution SLA Hours]],"Breached","Within SLA")</f>
        <v>Breached</v>
      </c>
      <c r="N2608" t="str">
        <f>IF(tbl_analysis_tickets[[#This Row],[first_response_minutes]]&gt;tbl_analysis_tickets[[#This Row],[First Response SLA Minutes]],"Breached","Within SLA")</f>
        <v>Breached</v>
      </c>
      <c r="O2608" t="str" cm="1">
        <f t="array" ref="O2608">_xlfn.IFS(
tbl_analysis_tickets[[#This Row],[agent_experience_years]]&lt;=2,"Junior",
tbl_analysis_tickets[[#This Row],[agent_experience_years]]&lt;=5,"Mid-Level",
tbl_analysis_tickets[[#This Row],[agent_experience_years]]&lt;=8,"Senior",
tbl_analysis_tickets[[#This Row],[agent_experience_years]]&gt;8,"Expert"
)</f>
        <v>Junior</v>
      </c>
      <c r="P2608" cm="1">
        <f t="array" ref="P2608">_xlfn.SWITCH(tbl_analysis_tickets[[#This Row],[customer_satisfaction]],
"Low",1,
"Medium",2,
"High",3
)</f>
        <v>1</v>
      </c>
      <c r="Q2608">
        <f>IF(tbl_analysis_tickets[[#This Row],[reopened]]="Yes",1,0)</f>
        <v>0</v>
      </c>
      <c r="R2608" t="str" cm="1">
        <f t="array" ref="R2608">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608" t="str" cm="1">
        <f t="array" ref="S260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608" t="str">
        <f>TEXT(tbl_analysis_tickets[[#This Row],[created_date]],"mmm-yyyy")</f>
        <v>Apr-2024</v>
      </c>
      <c r="U2608" t="str">
        <f>TEXT(tbl_analysis_tickets[[#This Row],[created_date]],"dddd")</f>
        <v>Tuesday</v>
      </c>
      <c r="V2608" cm="1">
        <f t="array" ref="V2608">_xlfn.SWITCH(tbl_analysis_tickets[[#This Row],[priority]],
"Urgent",1,
"High",2,
"Medium",3,
"Low",4
)</f>
        <v>1</v>
      </c>
    </row>
    <row r="2609" spans="1:22" x14ac:dyDescent="0.25">
      <c r="A2609">
        <v>2608</v>
      </c>
      <c r="B2609" s="1">
        <v>45433</v>
      </c>
      <c r="C2609" t="s">
        <v>23</v>
      </c>
      <c r="D2609" t="s">
        <v>15</v>
      </c>
      <c r="E2609">
        <v>154</v>
      </c>
      <c r="F2609">
        <v>23</v>
      </c>
      <c r="G2609">
        <v>7.9</v>
      </c>
      <c r="H2609" t="s">
        <v>12</v>
      </c>
      <c r="I2609" t="s">
        <v>13</v>
      </c>
      <c r="J2609" t="s">
        <v>11</v>
      </c>
      <c r="K2609">
        <f>_xlfn.XLOOKUP(tbl_analysis_tickets[[#This Row],[priority]],tbl_sla[priority],tbl_sla[Resolution SLA Hours])</f>
        <v>48</v>
      </c>
      <c r="L2609">
        <f>_xlfn.XLOOKUP(tbl_analysis_tickets[[#This Row],[priority]],tbl_sla[priority],tbl_sla[First Response SLA Minutes])</f>
        <v>120</v>
      </c>
      <c r="M2609" t="str">
        <f>IF(tbl_analysis_tickets[[#This Row],[resolution_time_hours]]&gt;tbl_analysis_tickets[[#This Row],[Resolution SLA Hours]],"Breached","Within SLA")</f>
        <v>Within SLA</v>
      </c>
      <c r="N2609" t="str">
        <f>IF(tbl_analysis_tickets[[#This Row],[first_response_minutes]]&gt;tbl_analysis_tickets[[#This Row],[First Response SLA Minutes]],"Breached","Within SLA")</f>
        <v>Breached</v>
      </c>
      <c r="O2609" t="str" cm="1">
        <f t="array" ref="O2609">_xlfn.IFS(
tbl_analysis_tickets[[#This Row],[agent_experience_years]]&lt;=2,"Junior",
tbl_analysis_tickets[[#This Row],[agent_experience_years]]&lt;=5,"Mid-Level",
tbl_analysis_tickets[[#This Row],[agent_experience_years]]&lt;=8,"Senior",
tbl_analysis_tickets[[#This Row],[agent_experience_years]]&gt;8,"Expert"
)</f>
        <v>Senior</v>
      </c>
      <c r="P2609" cm="1">
        <f t="array" ref="P2609">_xlfn.SWITCH(tbl_analysis_tickets[[#This Row],[customer_satisfaction]],
"Low",1,
"Medium",2,
"High",3
)</f>
        <v>1</v>
      </c>
      <c r="Q2609">
        <f>IF(tbl_analysis_tickets[[#This Row],[reopened]]="Yes",1,0)</f>
        <v>1</v>
      </c>
      <c r="R2609" t="str" cm="1">
        <f t="array" ref="R2609">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609" t="str" cm="1">
        <f t="array" ref="S260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609" t="str">
        <f>TEXT(tbl_analysis_tickets[[#This Row],[created_date]],"mmm-yyyy")</f>
        <v>May-2024</v>
      </c>
      <c r="U2609" t="str">
        <f>TEXT(tbl_analysis_tickets[[#This Row],[created_date]],"dddd")</f>
        <v>Tuesday</v>
      </c>
      <c r="V2609" cm="1">
        <f t="array" ref="V2609">_xlfn.SWITCH(tbl_analysis_tickets[[#This Row],[priority]],
"Urgent",1,
"High",2,
"Medium",3,
"Low",4
)</f>
        <v>3</v>
      </c>
    </row>
    <row r="2610" spans="1:22" x14ac:dyDescent="0.25">
      <c r="A2610">
        <v>2609</v>
      </c>
      <c r="B2610" s="1">
        <v>45402</v>
      </c>
      <c r="C2610" t="s">
        <v>23</v>
      </c>
      <c r="D2610" t="s">
        <v>17</v>
      </c>
      <c r="E2610">
        <v>15</v>
      </c>
      <c r="F2610">
        <v>63</v>
      </c>
      <c r="G2610">
        <v>8.1</v>
      </c>
      <c r="H2610" t="s">
        <v>12</v>
      </c>
      <c r="I2610" t="s">
        <v>13</v>
      </c>
      <c r="J2610" t="s">
        <v>15</v>
      </c>
      <c r="K2610">
        <f>_xlfn.XLOOKUP(tbl_analysis_tickets[[#This Row],[priority]],tbl_sla[priority],tbl_sla[Resolution SLA Hours])</f>
        <v>8</v>
      </c>
      <c r="L2610">
        <f>_xlfn.XLOOKUP(tbl_analysis_tickets[[#This Row],[priority]],tbl_sla[priority],tbl_sla[First Response SLA Minutes])</f>
        <v>30</v>
      </c>
      <c r="M2610" t="str">
        <f>IF(tbl_analysis_tickets[[#This Row],[resolution_time_hours]]&gt;tbl_analysis_tickets[[#This Row],[Resolution SLA Hours]],"Breached","Within SLA")</f>
        <v>Breached</v>
      </c>
      <c r="N2610" t="str">
        <f>IF(tbl_analysis_tickets[[#This Row],[first_response_minutes]]&gt;tbl_analysis_tickets[[#This Row],[First Response SLA Minutes]],"Breached","Within SLA")</f>
        <v>Within SLA</v>
      </c>
      <c r="O2610" t="str" cm="1">
        <f t="array" ref="O2610">_xlfn.IFS(
tbl_analysis_tickets[[#This Row],[agent_experience_years]]&lt;=2,"Junior",
tbl_analysis_tickets[[#This Row],[agent_experience_years]]&lt;=5,"Mid-Level",
tbl_analysis_tickets[[#This Row],[agent_experience_years]]&lt;=8,"Senior",
tbl_analysis_tickets[[#This Row],[agent_experience_years]]&gt;8,"Expert"
)</f>
        <v>Expert</v>
      </c>
      <c r="P2610" cm="1">
        <f t="array" ref="P2610">_xlfn.SWITCH(tbl_analysis_tickets[[#This Row],[customer_satisfaction]],
"Low",1,
"Medium",2,
"High",3
)</f>
        <v>2</v>
      </c>
      <c r="Q2610">
        <f>IF(tbl_analysis_tickets[[#This Row],[reopened]]="Yes",1,0)</f>
        <v>1</v>
      </c>
      <c r="R2610" t="str" cm="1">
        <f t="array" ref="R2610">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2610" t="str" cm="1">
        <f t="array" ref="S261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610" t="str">
        <f>TEXT(tbl_analysis_tickets[[#This Row],[created_date]],"mmm-yyyy")</f>
        <v>Apr-2024</v>
      </c>
      <c r="U2610" t="str">
        <f>TEXT(tbl_analysis_tickets[[#This Row],[created_date]],"dddd")</f>
        <v>Saturday</v>
      </c>
      <c r="V2610" cm="1">
        <f t="array" ref="V2610">_xlfn.SWITCH(tbl_analysis_tickets[[#This Row],[priority]],
"Urgent",1,
"High",2,
"Medium",3,
"Low",4
)</f>
        <v>1</v>
      </c>
    </row>
    <row r="2611" spans="1:22" x14ac:dyDescent="0.25">
      <c r="A2611">
        <v>2610</v>
      </c>
      <c r="B2611" s="1">
        <v>45296</v>
      </c>
      <c r="C2611" t="s">
        <v>22</v>
      </c>
      <c r="D2611" t="s">
        <v>11</v>
      </c>
      <c r="E2611">
        <v>203</v>
      </c>
      <c r="F2611">
        <v>53</v>
      </c>
      <c r="G2611">
        <v>8.3000000000000007</v>
      </c>
      <c r="H2611" t="s">
        <v>12</v>
      </c>
      <c r="I2611" t="s">
        <v>16</v>
      </c>
      <c r="J2611" t="s">
        <v>11</v>
      </c>
      <c r="K2611">
        <f>_xlfn.XLOOKUP(tbl_analysis_tickets[[#This Row],[priority]],tbl_sla[priority],tbl_sla[Resolution SLA Hours])</f>
        <v>72</v>
      </c>
      <c r="L2611">
        <f>_xlfn.XLOOKUP(tbl_analysis_tickets[[#This Row],[priority]],tbl_sla[priority],tbl_sla[First Response SLA Minutes])</f>
        <v>240</v>
      </c>
      <c r="M2611" t="str">
        <f>IF(tbl_analysis_tickets[[#This Row],[resolution_time_hours]]&gt;tbl_analysis_tickets[[#This Row],[Resolution SLA Hours]],"Breached","Within SLA")</f>
        <v>Within SLA</v>
      </c>
      <c r="N2611" t="str">
        <f>IF(tbl_analysis_tickets[[#This Row],[first_response_minutes]]&gt;tbl_analysis_tickets[[#This Row],[First Response SLA Minutes]],"Breached","Within SLA")</f>
        <v>Within SLA</v>
      </c>
      <c r="O2611" t="str" cm="1">
        <f t="array" ref="O2611">_xlfn.IFS(
tbl_analysis_tickets[[#This Row],[agent_experience_years]]&lt;=2,"Junior",
tbl_analysis_tickets[[#This Row],[agent_experience_years]]&lt;=5,"Mid-Level",
tbl_analysis_tickets[[#This Row],[agent_experience_years]]&lt;=8,"Senior",
tbl_analysis_tickets[[#This Row],[agent_experience_years]]&gt;8,"Expert"
)</f>
        <v>Expert</v>
      </c>
      <c r="P2611" cm="1">
        <f t="array" ref="P2611">_xlfn.SWITCH(tbl_analysis_tickets[[#This Row],[customer_satisfaction]],
"Low",1,
"Medium",2,
"High",3
)</f>
        <v>1</v>
      </c>
      <c r="Q2611">
        <f>IF(tbl_analysis_tickets[[#This Row],[reopened]]="Yes",1,0)</f>
        <v>1</v>
      </c>
      <c r="R2611" t="str" cm="1">
        <f t="array" ref="R2611">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611" t="str" cm="1">
        <f t="array" ref="S261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611" t="str">
        <f>TEXT(tbl_analysis_tickets[[#This Row],[created_date]],"mmm-yyyy")</f>
        <v>Jan-2024</v>
      </c>
      <c r="U2611" t="str">
        <f>TEXT(tbl_analysis_tickets[[#This Row],[created_date]],"dddd")</f>
        <v>Friday</v>
      </c>
      <c r="V2611" cm="1">
        <f t="array" ref="V2611">_xlfn.SWITCH(tbl_analysis_tickets[[#This Row],[priority]],
"Urgent",1,
"High",2,
"Medium",3,
"Low",4
)</f>
        <v>4</v>
      </c>
    </row>
    <row r="2612" spans="1:22" x14ac:dyDescent="0.25">
      <c r="A2612">
        <v>2611</v>
      </c>
      <c r="B2612" s="1">
        <v>45478</v>
      </c>
      <c r="C2612" t="s">
        <v>14</v>
      </c>
      <c r="D2612" t="s">
        <v>17</v>
      </c>
      <c r="E2612">
        <v>157</v>
      </c>
      <c r="F2612">
        <v>12</v>
      </c>
      <c r="G2612">
        <v>4.2</v>
      </c>
      <c r="H2612" t="s">
        <v>18</v>
      </c>
      <c r="I2612" t="s">
        <v>16</v>
      </c>
      <c r="J2612" t="s">
        <v>11</v>
      </c>
      <c r="K2612">
        <f>_xlfn.XLOOKUP(tbl_analysis_tickets[[#This Row],[priority]],tbl_sla[priority],tbl_sla[Resolution SLA Hours])</f>
        <v>8</v>
      </c>
      <c r="L2612">
        <f>_xlfn.XLOOKUP(tbl_analysis_tickets[[#This Row],[priority]],tbl_sla[priority],tbl_sla[First Response SLA Minutes])</f>
        <v>30</v>
      </c>
      <c r="M2612" t="str">
        <f>IF(tbl_analysis_tickets[[#This Row],[resolution_time_hours]]&gt;tbl_analysis_tickets[[#This Row],[Resolution SLA Hours]],"Breached","Within SLA")</f>
        <v>Breached</v>
      </c>
      <c r="N2612" t="str">
        <f>IF(tbl_analysis_tickets[[#This Row],[first_response_minutes]]&gt;tbl_analysis_tickets[[#This Row],[First Response SLA Minutes]],"Breached","Within SLA")</f>
        <v>Breached</v>
      </c>
      <c r="O2612" t="str" cm="1">
        <f t="array" ref="O2612">_xlfn.IFS(
tbl_analysis_tickets[[#This Row],[agent_experience_years]]&lt;=2,"Junior",
tbl_analysis_tickets[[#This Row],[agent_experience_years]]&lt;=5,"Mid-Level",
tbl_analysis_tickets[[#This Row],[agent_experience_years]]&lt;=8,"Senior",
tbl_analysis_tickets[[#This Row],[agent_experience_years]]&gt;8,"Expert"
)</f>
        <v>Mid-Level</v>
      </c>
      <c r="P2612" cm="1">
        <f t="array" ref="P2612">_xlfn.SWITCH(tbl_analysis_tickets[[#This Row],[customer_satisfaction]],
"Low",1,
"Medium",2,
"High",3
)</f>
        <v>1</v>
      </c>
      <c r="Q2612">
        <f>IF(tbl_analysis_tickets[[#This Row],[reopened]]="Yes",1,0)</f>
        <v>0</v>
      </c>
      <c r="R2612" t="str" cm="1">
        <f t="array" ref="R2612">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612" t="str" cm="1">
        <f t="array" ref="S261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612" t="str">
        <f>TEXT(tbl_analysis_tickets[[#This Row],[created_date]],"mmm-yyyy")</f>
        <v>Jul-2024</v>
      </c>
      <c r="U2612" t="str">
        <f>TEXT(tbl_analysis_tickets[[#This Row],[created_date]],"dddd")</f>
        <v>Friday</v>
      </c>
      <c r="V2612" cm="1">
        <f t="array" ref="V2612">_xlfn.SWITCH(tbl_analysis_tickets[[#This Row],[priority]],
"Urgent",1,
"High",2,
"Medium",3,
"Low",4
)</f>
        <v>1</v>
      </c>
    </row>
    <row r="2613" spans="1:22" x14ac:dyDescent="0.25">
      <c r="A2613">
        <v>2612</v>
      </c>
      <c r="B2613" s="1">
        <v>45365</v>
      </c>
      <c r="C2613" t="s">
        <v>22</v>
      </c>
      <c r="D2613" t="s">
        <v>20</v>
      </c>
      <c r="E2613">
        <v>42</v>
      </c>
      <c r="F2613">
        <v>64</v>
      </c>
      <c r="G2613">
        <v>9.5</v>
      </c>
      <c r="H2613" t="s">
        <v>18</v>
      </c>
      <c r="I2613" t="s">
        <v>16</v>
      </c>
      <c r="J2613" t="s">
        <v>11</v>
      </c>
      <c r="K2613">
        <f>_xlfn.XLOOKUP(tbl_analysis_tickets[[#This Row],[priority]],tbl_sla[priority],tbl_sla[Resolution SLA Hours])</f>
        <v>24</v>
      </c>
      <c r="L2613">
        <f>_xlfn.XLOOKUP(tbl_analysis_tickets[[#This Row],[priority]],tbl_sla[priority],tbl_sla[First Response SLA Minutes])</f>
        <v>60</v>
      </c>
      <c r="M2613" t="str">
        <f>IF(tbl_analysis_tickets[[#This Row],[resolution_time_hours]]&gt;tbl_analysis_tickets[[#This Row],[Resolution SLA Hours]],"Breached","Within SLA")</f>
        <v>Breached</v>
      </c>
      <c r="N2613" t="str">
        <f>IF(tbl_analysis_tickets[[#This Row],[first_response_minutes]]&gt;tbl_analysis_tickets[[#This Row],[First Response SLA Minutes]],"Breached","Within SLA")</f>
        <v>Within SLA</v>
      </c>
      <c r="O2613" t="str" cm="1">
        <f t="array" ref="O2613">_xlfn.IFS(
tbl_analysis_tickets[[#This Row],[agent_experience_years]]&lt;=2,"Junior",
tbl_analysis_tickets[[#This Row],[agent_experience_years]]&lt;=5,"Mid-Level",
tbl_analysis_tickets[[#This Row],[agent_experience_years]]&lt;=8,"Senior",
tbl_analysis_tickets[[#This Row],[agent_experience_years]]&gt;8,"Expert"
)</f>
        <v>Expert</v>
      </c>
      <c r="P2613" cm="1">
        <f t="array" ref="P2613">_xlfn.SWITCH(tbl_analysis_tickets[[#This Row],[customer_satisfaction]],
"Low",1,
"Medium",2,
"High",3
)</f>
        <v>1</v>
      </c>
      <c r="Q2613">
        <f>IF(tbl_analysis_tickets[[#This Row],[reopened]]="Yes",1,0)</f>
        <v>0</v>
      </c>
      <c r="R2613" t="str" cm="1">
        <f t="array" ref="R2613">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613" t="str" cm="1">
        <f t="array" ref="S261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613" t="str">
        <f>TEXT(tbl_analysis_tickets[[#This Row],[created_date]],"mmm-yyyy")</f>
        <v>Mar-2024</v>
      </c>
      <c r="U2613" t="str">
        <f>TEXT(tbl_analysis_tickets[[#This Row],[created_date]],"dddd")</f>
        <v>Thursday</v>
      </c>
      <c r="V2613" cm="1">
        <f t="array" ref="V2613">_xlfn.SWITCH(tbl_analysis_tickets[[#This Row],[priority]],
"Urgent",1,
"High",2,
"Medium",3,
"Low",4
)</f>
        <v>2</v>
      </c>
    </row>
    <row r="2614" spans="1:22" x14ac:dyDescent="0.25">
      <c r="A2614">
        <v>2613</v>
      </c>
      <c r="B2614" s="1">
        <v>45644</v>
      </c>
      <c r="C2614" t="s">
        <v>21</v>
      </c>
      <c r="D2614" t="s">
        <v>20</v>
      </c>
      <c r="E2614">
        <v>89</v>
      </c>
      <c r="F2614">
        <v>57</v>
      </c>
      <c r="G2614">
        <v>9.3000000000000007</v>
      </c>
      <c r="H2614" t="s">
        <v>12</v>
      </c>
      <c r="I2614" t="s">
        <v>19</v>
      </c>
      <c r="J2614" t="s">
        <v>11</v>
      </c>
      <c r="K2614">
        <f>_xlfn.XLOOKUP(tbl_analysis_tickets[[#This Row],[priority]],tbl_sla[priority],tbl_sla[Resolution SLA Hours])</f>
        <v>24</v>
      </c>
      <c r="L2614">
        <f>_xlfn.XLOOKUP(tbl_analysis_tickets[[#This Row],[priority]],tbl_sla[priority],tbl_sla[First Response SLA Minutes])</f>
        <v>60</v>
      </c>
      <c r="M2614" t="str">
        <f>IF(tbl_analysis_tickets[[#This Row],[resolution_time_hours]]&gt;tbl_analysis_tickets[[#This Row],[Resolution SLA Hours]],"Breached","Within SLA")</f>
        <v>Breached</v>
      </c>
      <c r="N2614" t="str">
        <f>IF(tbl_analysis_tickets[[#This Row],[first_response_minutes]]&gt;tbl_analysis_tickets[[#This Row],[First Response SLA Minutes]],"Breached","Within SLA")</f>
        <v>Breached</v>
      </c>
      <c r="O2614" t="str" cm="1">
        <f t="array" ref="O2614">_xlfn.IFS(
tbl_analysis_tickets[[#This Row],[agent_experience_years]]&lt;=2,"Junior",
tbl_analysis_tickets[[#This Row],[agent_experience_years]]&lt;=5,"Mid-Level",
tbl_analysis_tickets[[#This Row],[agent_experience_years]]&lt;=8,"Senior",
tbl_analysis_tickets[[#This Row],[agent_experience_years]]&gt;8,"Expert"
)</f>
        <v>Expert</v>
      </c>
      <c r="P2614" cm="1">
        <f t="array" ref="P2614">_xlfn.SWITCH(tbl_analysis_tickets[[#This Row],[customer_satisfaction]],
"Low",1,
"Medium",2,
"High",3
)</f>
        <v>1</v>
      </c>
      <c r="Q2614">
        <f>IF(tbl_analysis_tickets[[#This Row],[reopened]]="Yes",1,0)</f>
        <v>1</v>
      </c>
      <c r="R2614" t="str" cm="1">
        <f t="array" ref="R2614">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614" t="str" cm="1">
        <f t="array" ref="S261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614" t="str">
        <f>TEXT(tbl_analysis_tickets[[#This Row],[created_date]],"mmm-yyyy")</f>
        <v>Dec-2024</v>
      </c>
      <c r="U2614" t="str">
        <f>TEXT(tbl_analysis_tickets[[#This Row],[created_date]],"dddd")</f>
        <v>Wednesday</v>
      </c>
      <c r="V2614" cm="1">
        <f t="array" ref="V2614">_xlfn.SWITCH(tbl_analysis_tickets[[#This Row],[priority]],
"Urgent",1,
"High",2,
"Medium",3,
"Low",4
)</f>
        <v>2</v>
      </c>
    </row>
    <row r="2615" spans="1:22" x14ac:dyDescent="0.25">
      <c r="A2615">
        <v>2614</v>
      </c>
      <c r="B2615" s="1">
        <v>45332</v>
      </c>
      <c r="C2615" t="s">
        <v>22</v>
      </c>
      <c r="D2615" t="s">
        <v>17</v>
      </c>
      <c r="E2615">
        <v>205</v>
      </c>
      <c r="F2615">
        <v>67</v>
      </c>
      <c r="G2615">
        <v>8.6</v>
      </c>
      <c r="H2615" t="s">
        <v>18</v>
      </c>
      <c r="I2615" t="s">
        <v>13</v>
      </c>
      <c r="J2615" t="s">
        <v>11</v>
      </c>
      <c r="K2615">
        <f>_xlfn.XLOOKUP(tbl_analysis_tickets[[#This Row],[priority]],tbl_sla[priority],tbl_sla[Resolution SLA Hours])</f>
        <v>8</v>
      </c>
      <c r="L2615">
        <f>_xlfn.XLOOKUP(tbl_analysis_tickets[[#This Row],[priority]],tbl_sla[priority],tbl_sla[First Response SLA Minutes])</f>
        <v>30</v>
      </c>
      <c r="M2615" t="str">
        <f>IF(tbl_analysis_tickets[[#This Row],[resolution_time_hours]]&gt;tbl_analysis_tickets[[#This Row],[Resolution SLA Hours]],"Breached","Within SLA")</f>
        <v>Breached</v>
      </c>
      <c r="N2615" t="str">
        <f>IF(tbl_analysis_tickets[[#This Row],[first_response_minutes]]&gt;tbl_analysis_tickets[[#This Row],[First Response SLA Minutes]],"Breached","Within SLA")</f>
        <v>Breached</v>
      </c>
      <c r="O2615" t="str" cm="1">
        <f t="array" ref="O2615">_xlfn.IFS(
tbl_analysis_tickets[[#This Row],[agent_experience_years]]&lt;=2,"Junior",
tbl_analysis_tickets[[#This Row],[agent_experience_years]]&lt;=5,"Mid-Level",
tbl_analysis_tickets[[#This Row],[agent_experience_years]]&lt;=8,"Senior",
tbl_analysis_tickets[[#This Row],[agent_experience_years]]&gt;8,"Expert"
)</f>
        <v>Expert</v>
      </c>
      <c r="P2615" cm="1">
        <f t="array" ref="P2615">_xlfn.SWITCH(tbl_analysis_tickets[[#This Row],[customer_satisfaction]],
"Low",1,
"Medium",2,
"High",3
)</f>
        <v>1</v>
      </c>
      <c r="Q2615">
        <f>IF(tbl_analysis_tickets[[#This Row],[reopened]]="Yes",1,0)</f>
        <v>0</v>
      </c>
      <c r="R2615" t="str" cm="1">
        <f t="array" ref="R2615">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615" t="str" cm="1">
        <f t="array" ref="S261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615" t="str">
        <f>TEXT(tbl_analysis_tickets[[#This Row],[created_date]],"mmm-yyyy")</f>
        <v>Feb-2024</v>
      </c>
      <c r="U2615" t="str">
        <f>TEXT(tbl_analysis_tickets[[#This Row],[created_date]],"dddd")</f>
        <v>Saturday</v>
      </c>
      <c r="V2615" cm="1">
        <f t="array" ref="V2615">_xlfn.SWITCH(tbl_analysis_tickets[[#This Row],[priority]],
"Urgent",1,
"High",2,
"Medium",3,
"Low",4
)</f>
        <v>1</v>
      </c>
    </row>
    <row r="2616" spans="1:22" x14ac:dyDescent="0.25">
      <c r="A2616">
        <v>2615</v>
      </c>
      <c r="B2616" s="1">
        <v>45529</v>
      </c>
      <c r="C2616" t="s">
        <v>10</v>
      </c>
      <c r="D2616" t="s">
        <v>15</v>
      </c>
      <c r="E2616">
        <v>97</v>
      </c>
      <c r="F2616">
        <v>26</v>
      </c>
      <c r="G2616">
        <v>2.6</v>
      </c>
      <c r="H2616" t="s">
        <v>12</v>
      </c>
      <c r="I2616" t="s">
        <v>13</v>
      </c>
      <c r="J2616" t="s">
        <v>11</v>
      </c>
      <c r="K2616">
        <f>_xlfn.XLOOKUP(tbl_analysis_tickets[[#This Row],[priority]],tbl_sla[priority],tbl_sla[Resolution SLA Hours])</f>
        <v>48</v>
      </c>
      <c r="L2616">
        <f>_xlfn.XLOOKUP(tbl_analysis_tickets[[#This Row],[priority]],tbl_sla[priority],tbl_sla[First Response SLA Minutes])</f>
        <v>120</v>
      </c>
      <c r="M2616" t="str">
        <f>IF(tbl_analysis_tickets[[#This Row],[resolution_time_hours]]&gt;tbl_analysis_tickets[[#This Row],[Resolution SLA Hours]],"Breached","Within SLA")</f>
        <v>Within SLA</v>
      </c>
      <c r="N2616" t="str">
        <f>IF(tbl_analysis_tickets[[#This Row],[first_response_minutes]]&gt;tbl_analysis_tickets[[#This Row],[First Response SLA Minutes]],"Breached","Within SLA")</f>
        <v>Within SLA</v>
      </c>
      <c r="O2616" t="str" cm="1">
        <f t="array" ref="O2616">_xlfn.IFS(
tbl_analysis_tickets[[#This Row],[agent_experience_years]]&lt;=2,"Junior",
tbl_analysis_tickets[[#This Row],[agent_experience_years]]&lt;=5,"Mid-Level",
tbl_analysis_tickets[[#This Row],[agent_experience_years]]&lt;=8,"Senior",
tbl_analysis_tickets[[#This Row],[agent_experience_years]]&gt;8,"Expert"
)</f>
        <v>Mid-Level</v>
      </c>
      <c r="P2616" cm="1">
        <f t="array" ref="P2616">_xlfn.SWITCH(tbl_analysis_tickets[[#This Row],[customer_satisfaction]],
"Low",1,
"Medium",2,
"High",3
)</f>
        <v>1</v>
      </c>
      <c r="Q2616">
        <f>IF(tbl_analysis_tickets[[#This Row],[reopened]]="Yes",1,0)</f>
        <v>1</v>
      </c>
      <c r="R2616" t="str" cm="1">
        <f t="array" ref="R2616">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616" t="str" cm="1">
        <f t="array" ref="S261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616" t="str">
        <f>TEXT(tbl_analysis_tickets[[#This Row],[created_date]],"mmm-yyyy")</f>
        <v>Aug-2024</v>
      </c>
      <c r="U2616" t="str">
        <f>TEXT(tbl_analysis_tickets[[#This Row],[created_date]],"dddd")</f>
        <v>Sunday</v>
      </c>
      <c r="V2616" cm="1">
        <f t="array" ref="V2616">_xlfn.SWITCH(tbl_analysis_tickets[[#This Row],[priority]],
"Urgent",1,
"High",2,
"Medium",3,
"Low",4
)</f>
        <v>3</v>
      </c>
    </row>
    <row r="2617" spans="1:22" x14ac:dyDescent="0.25">
      <c r="A2617">
        <v>2616</v>
      </c>
      <c r="B2617" s="1">
        <v>45432</v>
      </c>
      <c r="C2617" t="s">
        <v>10</v>
      </c>
      <c r="D2617" t="s">
        <v>17</v>
      </c>
      <c r="E2617">
        <v>185</v>
      </c>
      <c r="F2617">
        <v>55</v>
      </c>
      <c r="G2617">
        <v>5.5</v>
      </c>
      <c r="H2617" t="s">
        <v>18</v>
      </c>
      <c r="I2617" t="s">
        <v>19</v>
      </c>
      <c r="J2617" t="s">
        <v>11</v>
      </c>
      <c r="K2617">
        <f>_xlfn.XLOOKUP(tbl_analysis_tickets[[#This Row],[priority]],tbl_sla[priority],tbl_sla[Resolution SLA Hours])</f>
        <v>8</v>
      </c>
      <c r="L2617">
        <f>_xlfn.XLOOKUP(tbl_analysis_tickets[[#This Row],[priority]],tbl_sla[priority],tbl_sla[First Response SLA Minutes])</f>
        <v>30</v>
      </c>
      <c r="M2617" t="str">
        <f>IF(tbl_analysis_tickets[[#This Row],[resolution_time_hours]]&gt;tbl_analysis_tickets[[#This Row],[Resolution SLA Hours]],"Breached","Within SLA")</f>
        <v>Breached</v>
      </c>
      <c r="N2617" t="str">
        <f>IF(tbl_analysis_tickets[[#This Row],[first_response_minutes]]&gt;tbl_analysis_tickets[[#This Row],[First Response SLA Minutes]],"Breached","Within SLA")</f>
        <v>Breached</v>
      </c>
      <c r="O2617" t="str" cm="1">
        <f t="array" ref="O2617">_xlfn.IFS(
tbl_analysis_tickets[[#This Row],[agent_experience_years]]&lt;=2,"Junior",
tbl_analysis_tickets[[#This Row],[agent_experience_years]]&lt;=5,"Mid-Level",
tbl_analysis_tickets[[#This Row],[agent_experience_years]]&lt;=8,"Senior",
tbl_analysis_tickets[[#This Row],[agent_experience_years]]&gt;8,"Expert"
)</f>
        <v>Senior</v>
      </c>
      <c r="P2617" cm="1">
        <f t="array" ref="P2617">_xlfn.SWITCH(tbl_analysis_tickets[[#This Row],[customer_satisfaction]],
"Low",1,
"Medium",2,
"High",3
)</f>
        <v>1</v>
      </c>
      <c r="Q2617">
        <f>IF(tbl_analysis_tickets[[#This Row],[reopened]]="Yes",1,0)</f>
        <v>0</v>
      </c>
      <c r="R2617" t="str" cm="1">
        <f t="array" ref="R2617">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617" t="str" cm="1">
        <f t="array" ref="S261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617" t="str">
        <f>TEXT(tbl_analysis_tickets[[#This Row],[created_date]],"mmm-yyyy")</f>
        <v>May-2024</v>
      </c>
      <c r="U2617" t="str">
        <f>TEXT(tbl_analysis_tickets[[#This Row],[created_date]],"dddd")</f>
        <v>Monday</v>
      </c>
      <c r="V2617" cm="1">
        <f t="array" ref="V2617">_xlfn.SWITCH(tbl_analysis_tickets[[#This Row],[priority]],
"Urgent",1,
"High",2,
"Medium",3,
"Low",4
)</f>
        <v>1</v>
      </c>
    </row>
    <row r="2618" spans="1:22" x14ac:dyDescent="0.25">
      <c r="A2618">
        <v>2617</v>
      </c>
      <c r="B2618" s="1">
        <v>45444</v>
      </c>
      <c r="C2618" t="s">
        <v>23</v>
      </c>
      <c r="D2618" t="s">
        <v>20</v>
      </c>
      <c r="E2618">
        <v>87</v>
      </c>
      <c r="F2618">
        <v>50</v>
      </c>
      <c r="G2618">
        <v>2.5</v>
      </c>
      <c r="H2618" t="s">
        <v>12</v>
      </c>
      <c r="I2618" t="s">
        <v>19</v>
      </c>
      <c r="J2618" t="s">
        <v>11</v>
      </c>
      <c r="K2618">
        <f>_xlfn.XLOOKUP(tbl_analysis_tickets[[#This Row],[priority]],tbl_sla[priority],tbl_sla[Resolution SLA Hours])</f>
        <v>24</v>
      </c>
      <c r="L2618">
        <f>_xlfn.XLOOKUP(tbl_analysis_tickets[[#This Row],[priority]],tbl_sla[priority],tbl_sla[First Response SLA Minutes])</f>
        <v>60</v>
      </c>
      <c r="M2618" t="str">
        <f>IF(tbl_analysis_tickets[[#This Row],[resolution_time_hours]]&gt;tbl_analysis_tickets[[#This Row],[Resolution SLA Hours]],"Breached","Within SLA")</f>
        <v>Breached</v>
      </c>
      <c r="N2618" t="str">
        <f>IF(tbl_analysis_tickets[[#This Row],[first_response_minutes]]&gt;tbl_analysis_tickets[[#This Row],[First Response SLA Minutes]],"Breached","Within SLA")</f>
        <v>Breached</v>
      </c>
      <c r="O2618" t="str" cm="1">
        <f t="array" ref="O2618">_xlfn.IFS(
tbl_analysis_tickets[[#This Row],[agent_experience_years]]&lt;=2,"Junior",
tbl_analysis_tickets[[#This Row],[agent_experience_years]]&lt;=5,"Mid-Level",
tbl_analysis_tickets[[#This Row],[agent_experience_years]]&lt;=8,"Senior",
tbl_analysis_tickets[[#This Row],[agent_experience_years]]&gt;8,"Expert"
)</f>
        <v>Mid-Level</v>
      </c>
      <c r="P2618" cm="1">
        <f t="array" ref="P2618">_xlfn.SWITCH(tbl_analysis_tickets[[#This Row],[customer_satisfaction]],
"Low",1,
"Medium",2,
"High",3
)</f>
        <v>1</v>
      </c>
      <c r="Q2618">
        <f>IF(tbl_analysis_tickets[[#This Row],[reopened]]="Yes",1,0)</f>
        <v>1</v>
      </c>
      <c r="R2618" t="str" cm="1">
        <f t="array" ref="R2618">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618" t="str" cm="1">
        <f t="array" ref="S261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618" t="str">
        <f>TEXT(tbl_analysis_tickets[[#This Row],[created_date]],"mmm-yyyy")</f>
        <v>Jun-2024</v>
      </c>
      <c r="U2618" t="str">
        <f>TEXT(tbl_analysis_tickets[[#This Row],[created_date]],"dddd")</f>
        <v>Saturday</v>
      </c>
      <c r="V2618" cm="1">
        <f t="array" ref="V2618">_xlfn.SWITCH(tbl_analysis_tickets[[#This Row],[priority]],
"Urgent",1,
"High",2,
"Medium",3,
"Low",4
)</f>
        <v>2</v>
      </c>
    </row>
    <row r="2619" spans="1:22" x14ac:dyDescent="0.25">
      <c r="A2619">
        <v>2618</v>
      </c>
      <c r="B2619" s="1">
        <v>45483</v>
      </c>
      <c r="C2619" t="s">
        <v>14</v>
      </c>
      <c r="D2619" t="s">
        <v>20</v>
      </c>
      <c r="E2619">
        <v>22</v>
      </c>
      <c r="F2619">
        <v>15</v>
      </c>
      <c r="G2619">
        <v>7.4</v>
      </c>
      <c r="H2619" t="s">
        <v>18</v>
      </c>
      <c r="I2619" t="s">
        <v>19</v>
      </c>
      <c r="J2619" t="s">
        <v>15</v>
      </c>
      <c r="K2619">
        <f>_xlfn.XLOOKUP(tbl_analysis_tickets[[#This Row],[priority]],tbl_sla[priority],tbl_sla[Resolution SLA Hours])</f>
        <v>24</v>
      </c>
      <c r="L2619">
        <f>_xlfn.XLOOKUP(tbl_analysis_tickets[[#This Row],[priority]],tbl_sla[priority],tbl_sla[First Response SLA Minutes])</f>
        <v>60</v>
      </c>
      <c r="M2619" t="str">
        <f>IF(tbl_analysis_tickets[[#This Row],[resolution_time_hours]]&gt;tbl_analysis_tickets[[#This Row],[Resolution SLA Hours]],"Breached","Within SLA")</f>
        <v>Within SLA</v>
      </c>
      <c r="N2619" t="str">
        <f>IF(tbl_analysis_tickets[[#This Row],[first_response_minutes]]&gt;tbl_analysis_tickets[[#This Row],[First Response SLA Minutes]],"Breached","Within SLA")</f>
        <v>Within SLA</v>
      </c>
      <c r="O2619" t="str" cm="1">
        <f t="array" ref="O2619">_xlfn.IFS(
tbl_analysis_tickets[[#This Row],[agent_experience_years]]&lt;=2,"Junior",
tbl_analysis_tickets[[#This Row],[agent_experience_years]]&lt;=5,"Mid-Level",
tbl_analysis_tickets[[#This Row],[agent_experience_years]]&lt;=8,"Senior",
tbl_analysis_tickets[[#This Row],[agent_experience_years]]&gt;8,"Expert"
)</f>
        <v>Senior</v>
      </c>
      <c r="P2619" cm="1">
        <f t="array" ref="P2619">_xlfn.SWITCH(tbl_analysis_tickets[[#This Row],[customer_satisfaction]],
"Low",1,
"Medium",2,
"High",3
)</f>
        <v>2</v>
      </c>
      <c r="Q2619">
        <f>IF(tbl_analysis_tickets[[#This Row],[reopened]]="Yes",1,0)</f>
        <v>0</v>
      </c>
      <c r="R2619" t="str" cm="1">
        <f t="array" ref="R2619">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2619" t="str" cm="1">
        <f t="array" ref="S261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619" t="str">
        <f>TEXT(tbl_analysis_tickets[[#This Row],[created_date]],"mmm-yyyy")</f>
        <v>Jul-2024</v>
      </c>
      <c r="U2619" t="str">
        <f>TEXT(tbl_analysis_tickets[[#This Row],[created_date]],"dddd")</f>
        <v>Wednesday</v>
      </c>
      <c r="V2619" cm="1">
        <f t="array" ref="V2619">_xlfn.SWITCH(tbl_analysis_tickets[[#This Row],[priority]],
"Urgent",1,
"High",2,
"Medium",3,
"Low",4
)</f>
        <v>2</v>
      </c>
    </row>
    <row r="2620" spans="1:22" x14ac:dyDescent="0.25">
      <c r="A2620">
        <v>2619</v>
      </c>
      <c r="B2620" s="1">
        <v>45341</v>
      </c>
      <c r="C2620" t="s">
        <v>23</v>
      </c>
      <c r="D2620" t="s">
        <v>20</v>
      </c>
      <c r="E2620">
        <v>224</v>
      </c>
      <c r="F2620">
        <v>63</v>
      </c>
      <c r="G2620">
        <v>1.9</v>
      </c>
      <c r="H2620" t="s">
        <v>12</v>
      </c>
      <c r="I2620" t="s">
        <v>16</v>
      </c>
      <c r="J2620" t="s">
        <v>11</v>
      </c>
      <c r="K2620">
        <f>_xlfn.XLOOKUP(tbl_analysis_tickets[[#This Row],[priority]],tbl_sla[priority],tbl_sla[Resolution SLA Hours])</f>
        <v>24</v>
      </c>
      <c r="L2620">
        <f>_xlfn.XLOOKUP(tbl_analysis_tickets[[#This Row],[priority]],tbl_sla[priority],tbl_sla[First Response SLA Minutes])</f>
        <v>60</v>
      </c>
      <c r="M2620" t="str">
        <f>IF(tbl_analysis_tickets[[#This Row],[resolution_time_hours]]&gt;tbl_analysis_tickets[[#This Row],[Resolution SLA Hours]],"Breached","Within SLA")</f>
        <v>Breached</v>
      </c>
      <c r="N2620" t="str">
        <f>IF(tbl_analysis_tickets[[#This Row],[first_response_minutes]]&gt;tbl_analysis_tickets[[#This Row],[First Response SLA Minutes]],"Breached","Within SLA")</f>
        <v>Breached</v>
      </c>
      <c r="O2620" t="str" cm="1">
        <f t="array" ref="O2620">_xlfn.IFS(
tbl_analysis_tickets[[#This Row],[agent_experience_years]]&lt;=2,"Junior",
tbl_analysis_tickets[[#This Row],[agent_experience_years]]&lt;=5,"Mid-Level",
tbl_analysis_tickets[[#This Row],[agent_experience_years]]&lt;=8,"Senior",
tbl_analysis_tickets[[#This Row],[agent_experience_years]]&gt;8,"Expert"
)</f>
        <v>Junior</v>
      </c>
      <c r="P2620" cm="1">
        <f t="array" ref="P2620">_xlfn.SWITCH(tbl_analysis_tickets[[#This Row],[customer_satisfaction]],
"Low",1,
"Medium",2,
"High",3
)</f>
        <v>1</v>
      </c>
      <c r="Q2620">
        <f>IF(tbl_analysis_tickets[[#This Row],[reopened]]="Yes",1,0)</f>
        <v>1</v>
      </c>
      <c r="R2620" t="str" cm="1">
        <f t="array" ref="R2620">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620" t="str" cm="1">
        <f t="array" ref="S262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620" t="str">
        <f>TEXT(tbl_analysis_tickets[[#This Row],[created_date]],"mmm-yyyy")</f>
        <v>Feb-2024</v>
      </c>
      <c r="U2620" t="str">
        <f>TEXT(tbl_analysis_tickets[[#This Row],[created_date]],"dddd")</f>
        <v>Monday</v>
      </c>
      <c r="V2620" cm="1">
        <f t="array" ref="V2620">_xlfn.SWITCH(tbl_analysis_tickets[[#This Row],[priority]],
"Urgent",1,
"High",2,
"Medium",3,
"Low",4
)</f>
        <v>2</v>
      </c>
    </row>
    <row r="2621" spans="1:22" x14ac:dyDescent="0.25">
      <c r="A2621">
        <v>2620</v>
      </c>
      <c r="B2621" s="1">
        <v>45652</v>
      </c>
      <c r="C2621" t="s">
        <v>21</v>
      </c>
      <c r="D2621" t="s">
        <v>11</v>
      </c>
      <c r="E2621">
        <v>108</v>
      </c>
      <c r="F2621">
        <v>27</v>
      </c>
      <c r="G2621">
        <v>4</v>
      </c>
      <c r="H2621" t="s">
        <v>12</v>
      </c>
      <c r="I2621" t="s">
        <v>19</v>
      </c>
      <c r="J2621" t="s">
        <v>11</v>
      </c>
      <c r="K2621">
        <f>_xlfn.XLOOKUP(tbl_analysis_tickets[[#This Row],[priority]],tbl_sla[priority],tbl_sla[Resolution SLA Hours])</f>
        <v>72</v>
      </c>
      <c r="L2621">
        <f>_xlfn.XLOOKUP(tbl_analysis_tickets[[#This Row],[priority]],tbl_sla[priority],tbl_sla[First Response SLA Minutes])</f>
        <v>240</v>
      </c>
      <c r="M2621" t="str">
        <f>IF(tbl_analysis_tickets[[#This Row],[resolution_time_hours]]&gt;tbl_analysis_tickets[[#This Row],[Resolution SLA Hours]],"Breached","Within SLA")</f>
        <v>Within SLA</v>
      </c>
      <c r="N2621" t="str">
        <f>IF(tbl_analysis_tickets[[#This Row],[first_response_minutes]]&gt;tbl_analysis_tickets[[#This Row],[First Response SLA Minutes]],"Breached","Within SLA")</f>
        <v>Within SLA</v>
      </c>
      <c r="O2621" t="str" cm="1">
        <f t="array" ref="O2621">_xlfn.IFS(
tbl_analysis_tickets[[#This Row],[agent_experience_years]]&lt;=2,"Junior",
tbl_analysis_tickets[[#This Row],[agent_experience_years]]&lt;=5,"Mid-Level",
tbl_analysis_tickets[[#This Row],[agent_experience_years]]&lt;=8,"Senior",
tbl_analysis_tickets[[#This Row],[agent_experience_years]]&gt;8,"Expert"
)</f>
        <v>Mid-Level</v>
      </c>
      <c r="P2621" cm="1">
        <f t="array" ref="P2621">_xlfn.SWITCH(tbl_analysis_tickets[[#This Row],[customer_satisfaction]],
"Low",1,
"Medium",2,
"High",3
)</f>
        <v>1</v>
      </c>
      <c r="Q2621">
        <f>IF(tbl_analysis_tickets[[#This Row],[reopened]]="Yes",1,0)</f>
        <v>1</v>
      </c>
      <c r="R2621" t="str" cm="1">
        <f t="array" ref="R2621">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621" t="str" cm="1">
        <f t="array" ref="S262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621" t="str">
        <f>TEXT(tbl_analysis_tickets[[#This Row],[created_date]],"mmm-yyyy")</f>
        <v>Dec-2024</v>
      </c>
      <c r="U2621" t="str">
        <f>TEXT(tbl_analysis_tickets[[#This Row],[created_date]],"dddd")</f>
        <v>Thursday</v>
      </c>
      <c r="V2621" cm="1">
        <f t="array" ref="V2621">_xlfn.SWITCH(tbl_analysis_tickets[[#This Row],[priority]],
"Urgent",1,
"High",2,
"Medium",3,
"Low",4
)</f>
        <v>4</v>
      </c>
    </row>
    <row r="2622" spans="1:22" x14ac:dyDescent="0.25">
      <c r="A2622">
        <v>2621</v>
      </c>
      <c r="B2622" s="1">
        <v>45612</v>
      </c>
      <c r="C2622" t="s">
        <v>14</v>
      </c>
      <c r="D2622" t="s">
        <v>17</v>
      </c>
      <c r="E2622">
        <v>51</v>
      </c>
      <c r="F2622">
        <v>25</v>
      </c>
      <c r="G2622">
        <v>3.7</v>
      </c>
      <c r="H2622" t="s">
        <v>12</v>
      </c>
      <c r="I2622" t="s">
        <v>19</v>
      </c>
      <c r="J2622" t="s">
        <v>11</v>
      </c>
      <c r="K2622">
        <f>_xlfn.XLOOKUP(tbl_analysis_tickets[[#This Row],[priority]],tbl_sla[priority],tbl_sla[Resolution SLA Hours])</f>
        <v>8</v>
      </c>
      <c r="L2622">
        <f>_xlfn.XLOOKUP(tbl_analysis_tickets[[#This Row],[priority]],tbl_sla[priority],tbl_sla[First Response SLA Minutes])</f>
        <v>30</v>
      </c>
      <c r="M2622" t="str">
        <f>IF(tbl_analysis_tickets[[#This Row],[resolution_time_hours]]&gt;tbl_analysis_tickets[[#This Row],[Resolution SLA Hours]],"Breached","Within SLA")</f>
        <v>Breached</v>
      </c>
      <c r="N2622" t="str">
        <f>IF(tbl_analysis_tickets[[#This Row],[first_response_minutes]]&gt;tbl_analysis_tickets[[#This Row],[First Response SLA Minutes]],"Breached","Within SLA")</f>
        <v>Breached</v>
      </c>
      <c r="O2622" t="str" cm="1">
        <f t="array" ref="O2622">_xlfn.IFS(
tbl_analysis_tickets[[#This Row],[agent_experience_years]]&lt;=2,"Junior",
tbl_analysis_tickets[[#This Row],[agent_experience_years]]&lt;=5,"Mid-Level",
tbl_analysis_tickets[[#This Row],[agent_experience_years]]&lt;=8,"Senior",
tbl_analysis_tickets[[#This Row],[agent_experience_years]]&gt;8,"Expert"
)</f>
        <v>Mid-Level</v>
      </c>
      <c r="P2622" cm="1">
        <f t="array" ref="P2622">_xlfn.SWITCH(tbl_analysis_tickets[[#This Row],[customer_satisfaction]],
"Low",1,
"Medium",2,
"High",3
)</f>
        <v>1</v>
      </c>
      <c r="Q2622">
        <f>IF(tbl_analysis_tickets[[#This Row],[reopened]]="Yes",1,0)</f>
        <v>1</v>
      </c>
      <c r="R2622" t="str" cm="1">
        <f t="array" ref="R2622">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622" t="str" cm="1">
        <f t="array" ref="S262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622" t="str">
        <f>TEXT(tbl_analysis_tickets[[#This Row],[created_date]],"mmm-yyyy")</f>
        <v>Nov-2024</v>
      </c>
      <c r="U2622" t="str">
        <f>TEXT(tbl_analysis_tickets[[#This Row],[created_date]],"dddd")</f>
        <v>Saturday</v>
      </c>
      <c r="V2622" cm="1">
        <f t="array" ref="V2622">_xlfn.SWITCH(tbl_analysis_tickets[[#This Row],[priority]],
"Urgent",1,
"High",2,
"Medium",3,
"Low",4
)</f>
        <v>1</v>
      </c>
    </row>
    <row r="2623" spans="1:22" x14ac:dyDescent="0.25">
      <c r="A2623">
        <v>2622</v>
      </c>
      <c r="B2623" s="1">
        <v>45346</v>
      </c>
      <c r="C2623" t="s">
        <v>22</v>
      </c>
      <c r="D2623" t="s">
        <v>11</v>
      </c>
      <c r="E2623">
        <v>171</v>
      </c>
      <c r="F2623">
        <v>15</v>
      </c>
      <c r="G2623">
        <v>1.7</v>
      </c>
      <c r="H2623" t="s">
        <v>18</v>
      </c>
      <c r="I2623" t="s">
        <v>13</v>
      </c>
      <c r="J2623" t="s">
        <v>11</v>
      </c>
      <c r="K2623">
        <f>_xlfn.XLOOKUP(tbl_analysis_tickets[[#This Row],[priority]],tbl_sla[priority],tbl_sla[Resolution SLA Hours])</f>
        <v>72</v>
      </c>
      <c r="L2623">
        <f>_xlfn.XLOOKUP(tbl_analysis_tickets[[#This Row],[priority]],tbl_sla[priority],tbl_sla[First Response SLA Minutes])</f>
        <v>240</v>
      </c>
      <c r="M2623" t="str">
        <f>IF(tbl_analysis_tickets[[#This Row],[resolution_time_hours]]&gt;tbl_analysis_tickets[[#This Row],[Resolution SLA Hours]],"Breached","Within SLA")</f>
        <v>Within SLA</v>
      </c>
      <c r="N2623" t="str">
        <f>IF(tbl_analysis_tickets[[#This Row],[first_response_minutes]]&gt;tbl_analysis_tickets[[#This Row],[First Response SLA Minutes]],"Breached","Within SLA")</f>
        <v>Within SLA</v>
      </c>
      <c r="O2623" t="str" cm="1">
        <f t="array" ref="O2623">_xlfn.IFS(
tbl_analysis_tickets[[#This Row],[agent_experience_years]]&lt;=2,"Junior",
tbl_analysis_tickets[[#This Row],[agent_experience_years]]&lt;=5,"Mid-Level",
tbl_analysis_tickets[[#This Row],[agent_experience_years]]&lt;=8,"Senior",
tbl_analysis_tickets[[#This Row],[agent_experience_years]]&gt;8,"Expert"
)</f>
        <v>Junior</v>
      </c>
      <c r="P2623" cm="1">
        <f t="array" ref="P2623">_xlfn.SWITCH(tbl_analysis_tickets[[#This Row],[customer_satisfaction]],
"Low",1,
"Medium",2,
"High",3
)</f>
        <v>1</v>
      </c>
      <c r="Q2623">
        <f>IF(tbl_analysis_tickets[[#This Row],[reopened]]="Yes",1,0)</f>
        <v>0</v>
      </c>
      <c r="R2623" t="str" cm="1">
        <f t="array" ref="R2623">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623" t="str" cm="1">
        <f t="array" ref="S262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623" t="str">
        <f>TEXT(tbl_analysis_tickets[[#This Row],[created_date]],"mmm-yyyy")</f>
        <v>Feb-2024</v>
      </c>
      <c r="U2623" t="str">
        <f>TEXT(tbl_analysis_tickets[[#This Row],[created_date]],"dddd")</f>
        <v>Saturday</v>
      </c>
      <c r="V2623" cm="1">
        <f t="array" ref="V2623">_xlfn.SWITCH(tbl_analysis_tickets[[#This Row],[priority]],
"Urgent",1,
"High",2,
"Medium",3,
"Low",4
)</f>
        <v>4</v>
      </c>
    </row>
    <row r="2624" spans="1:22" x14ac:dyDescent="0.25">
      <c r="A2624">
        <v>2623</v>
      </c>
      <c r="B2624" s="1">
        <v>45644</v>
      </c>
      <c r="C2624" t="s">
        <v>14</v>
      </c>
      <c r="D2624" t="s">
        <v>20</v>
      </c>
      <c r="E2624">
        <v>46</v>
      </c>
      <c r="F2624">
        <v>25</v>
      </c>
      <c r="G2624">
        <v>8.8000000000000007</v>
      </c>
      <c r="H2624" t="s">
        <v>12</v>
      </c>
      <c r="I2624" t="s">
        <v>16</v>
      </c>
      <c r="J2624" t="s">
        <v>11</v>
      </c>
      <c r="K2624">
        <f>_xlfn.XLOOKUP(tbl_analysis_tickets[[#This Row],[priority]],tbl_sla[priority],tbl_sla[Resolution SLA Hours])</f>
        <v>24</v>
      </c>
      <c r="L2624">
        <f>_xlfn.XLOOKUP(tbl_analysis_tickets[[#This Row],[priority]],tbl_sla[priority],tbl_sla[First Response SLA Minutes])</f>
        <v>60</v>
      </c>
      <c r="M2624" t="str">
        <f>IF(tbl_analysis_tickets[[#This Row],[resolution_time_hours]]&gt;tbl_analysis_tickets[[#This Row],[Resolution SLA Hours]],"Breached","Within SLA")</f>
        <v>Breached</v>
      </c>
      <c r="N2624" t="str">
        <f>IF(tbl_analysis_tickets[[#This Row],[first_response_minutes]]&gt;tbl_analysis_tickets[[#This Row],[First Response SLA Minutes]],"Breached","Within SLA")</f>
        <v>Within SLA</v>
      </c>
      <c r="O2624" t="str" cm="1">
        <f t="array" ref="O2624">_xlfn.IFS(
tbl_analysis_tickets[[#This Row],[agent_experience_years]]&lt;=2,"Junior",
tbl_analysis_tickets[[#This Row],[agent_experience_years]]&lt;=5,"Mid-Level",
tbl_analysis_tickets[[#This Row],[agent_experience_years]]&lt;=8,"Senior",
tbl_analysis_tickets[[#This Row],[agent_experience_years]]&gt;8,"Expert"
)</f>
        <v>Expert</v>
      </c>
      <c r="P2624" cm="1">
        <f t="array" ref="P2624">_xlfn.SWITCH(tbl_analysis_tickets[[#This Row],[customer_satisfaction]],
"Low",1,
"Medium",2,
"High",3
)</f>
        <v>1</v>
      </c>
      <c r="Q2624">
        <f>IF(tbl_analysis_tickets[[#This Row],[reopened]]="Yes",1,0)</f>
        <v>1</v>
      </c>
      <c r="R2624" t="str" cm="1">
        <f t="array" ref="R2624">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624" t="str" cm="1">
        <f t="array" ref="S262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624" t="str">
        <f>TEXT(tbl_analysis_tickets[[#This Row],[created_date]],"mmm-yyyy")</f>
        <v>Dec-2024</v>
      </c>
      <c r="U2624" t="str">
        <f>TEXT(tbl_analysis_tickets[[#This Row],[created_date]],"dddd")</f>
        <v>Wednesday</v>
      </c>
      <c r="V2624" cm="1">
        <f t="array" ref="V2624">_xlfn.SWITCH(tbl_analysis_tickets[[#This Row],[priority]],
"Urgent",1,
"High",2,
"Medium",3,
"Low",4
)</f>
        <v>2</v>
      </c>
    </row>
    <row r="2625" spans="1:22" x14ac:dyDescent="0.25">
      <c r="A2625">
        <v>2624</v>
      </c>
      <c r="B2625" s="1">
        <v>45642</v>
      </c>
      <c r="C2625" t="s">
        <v>23</v>
      </c>
      <c r="D2625" t="s">
        <v>11</v>
      </c>
      <c r="E2625">
        <v>52</v>
      </c>
      <c r="F2625">
        <v>27</v>
      </c>
      <c r="G2625">
        <v>4.0999999999999996</v>
      </c>
      <c r="H2625" t="s">
        <v>12</v>
      </c>
      <c r="I2625" t="s">
        <v>19</v>
      </c>
      <c r="J2625" t="s">
        <v>11</v>
      </c>
      <c r="K2625">
        <f>_xlfn.XLOOKUP(tbl_analysis_tickets[[#This Row],[priority]],tbl_sla[priority],tbl_sla[Resolution SLA Hours])</f>
        <v>72</v>
      </c>
      <c r="L2625">
        <f>_xlfn.XLOOKUP(tbl_analysis_tickets[[#This Row],[priority]],tbl_sla[priority],tbl_sla[First Response SLA Minutes])</f>
        <v>240</v>
      </c>
      <c r="M2625" t="str">
        <f>IF(tbl_analysis_tickets[[#This Row],[resolution_time_hours]]&gt;tbl_analysis_tickets[[#This Row],[Resolution SLA Hours]],"Breached","Within SLA")</f>
        <v>Within SLA</v>
      </c>
      <c r="N2625" t="str">
        <f>IF(tbl_analysis_tickets[[#This Row],[first_response_minutes]]&gt;tbl_analysis_tickets[[#This Row],[First Response SLA Minutes]],"Breached","Within SLA")</f>
        <v>Within SLA</v>
      </c>
      <c r="O2625" t="str" cm="1">
        <f t="array" ref="O2625">_xlfn.IFS(
tbl_analysis_tickets[[#This Row],[agent_experience_years]]&lt;=2,"Junior",
tbl_analysis_tickets[[#This Row],[agent_experience_years]]&lt;=5,"Mid-Level",
tbl_analysis_tickets[[#This Row],[agent_experience_years]]&lt;=8,"Senior",
tbl_analysis_tickets[[#This Row],[agent_experience_years]]&gt;8,"Expert"
)</f>
        <v>Mid-Level</v>
      </c>
      <c r="P2625" cm="1">
        <f t="array" ref="P2625">_xlfn.SWITCH(tbl_analysis_tickets[[#This Row],[customer_satisfaction]],
"Low",1,
"Medium",2,
"High",3
)</f>
        <v>1</v>
      </c>
      <c r="Q2625">
        <f>IF(tbl_analysis_tickets[[#This Row],[reopened]]="Yes",1,0)</f>
        <v>1</v>
      </c>
      <c r="R2625" t="str" cm="1">
        <f t="array" ref="R2625">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625" t="str" cm="1">
        <f t="array" ref="S262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625" t="str">
        <f>TEXT(tbl_analysis_tickets[[#This Row],[created_date]],"mmm-yyyy")</f>
        <v>Dec-2024</v>
      </c>
      <c r="U2625" t="str">
        <f>TEXT(tbl_analysis_tickets[[#This Row],[created_date]],"dddd")</f>
        <v>Monday</v>
      </c>
      <c r="V2625" cm="1">
        <f t="array" ref="V2625">_xlfn.SWITCH(tbl_analysis_tickets[[#This Row],[priority]],
"Urgent",1,
"High",2,
"Medium",3,
"Low",4
)</f>
        <v>4</v>
      </c>
    </row>
    <row r="2626" spans="1:22" x14ac:dyDescent="0.25">
      <c r="A2626">
        <v>2625</v>
      </c>
      <c r="B2626" s="1">
        <v>45558</v>
      </c>
      <c r="C2626" t="s">
        <v>23</v>
      </c>
      <c r="D2626" t="s">
        <v>11</v>
      </c>
      <c r="E2626">
        <v>227</v>
      </c>
      <c r="F2626">
        <v>55</v>
      </c>
      <c r="G2626">
        <v>2.7</v>
      </c>
      <c r="H2626" t="s">
        <v>12</v>
      </c>
      <c r="I2626" t="s">
        <v>16</v>
      </c>
      <c r="J2626" t="s">
        <v>11</v>
      </c>
      <c r="K2626">
        <f>_xlfn.XLOOKUP(tbl_analysis_tickets[[#This Row],[priority]],tbl_sla[priority],tbl_sla[Resolution SLA Hours])</f>
        <v>72</v>
      </c>
      <c r="L2626">
        <f>_xlfn.XLOOKUP(tbl_analysis_tickets[[#This Row],[priority]],tbl_sla[priority],tbl_sla[First Response SLA Minutes])</f>
        <v>240</v>
      </c>
      <c r="M2626" t="str">
        <f>IF(tbl_analysis_tickets[[#This Row],[resolution_time_hours]]&gt;tbl_analysis_tickets[[#This Row],[Resolution SLA Hours]],"Breached","Within SLA")</f>
        <v>Within SLA</v>
      </c>
      <c r="N2626" t="str">
        <f>IF(tbl_analysis_tickets[[#This Row],[first_response_minutes]]&gt;tbl_analysis_tickets[[#This Row],[First Response SLA Minutes]],"Breached","Within SLA")</f>
        <v>Within SLA</v>
      </c>
      <c r="O2626" t="str" cm="1">
        <f t="array" ref="O2626">_xlfn.IFS(
tbl_analysis_tickets[[#This Row],[agent_experience_years]]&lt;=2,"Junior",
tbl_analysis_tickets[[#This Row],[agent_experience_years]]&lt;=5,"Mid-Level",
tbl_analysis_tickets[[#This Row],[agent_experience_years]]&lt;=8,"Senior",
tbl_analysis_tickets[[#This Row],[agent_experience_years]]&gt;8,"Expert"
)</f>
        <v>Mid-Level</v>
      </c>
      <c r="P2626" cm="1">
        <f t="array" ref="P2626">_xlfn.SWITCH(tbl_analysis_tickets[[#This Row],[customer_satisfaction]],
"Low",1,
"Medium",2,
"High",3
)</f>
        <v>1</v>
      </c>
      <c r="Q2626">
        <f>IF(tbl_analysis_tickets[[#This Row],[reopened]]="Yes",1,0)</f>
        <v>1</v>
      </c>
      <c r="R2626" t="str" cm="1">
        <f t="array" ref="R2626">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626" t="str" cm="1">
        <f t="array" ref="S262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626" t="str">
        <f>TEXT(tbl_analysis_tickets[[#This Row],[created_date]],"mmm-yyyy")</f>
        <v>Sep-2024</v>
      </c>
      <c r="U2626" t="str">
        <f>TEXT(tbl_analysis_tickets[[#This Row],[created_date]],"dddd")</f>
        <v>Monday</v>
      </c>
      <c r="V2626" cm="1">
        <f t="array" ref="V2626">_xlfn.SWITCH(tbl_analysis_tickets[[#This Row],[priority]],
"Urgent",1,
"High",2,
"Medium",3,
"Low",4
)</f>
        <v>4</v>
      </c>
    </row>
    <row r="2627" spans="1:22" x14ac:dyDescent="0.25">
      <c r="A2627">
        <v>2626</v>
      </c>
      <c r="B2627" s="1">
        <v>45637</v>
      </c>
      <c r="C2627" t="s">
        <v>23</v>
      </c>
      <c r="D2627" t="s">
        <v>17</v>
      </c>
      <c r="E2627">
        <v>73</v>
      </c>
      <c r="F2627">
        <v>40</v>
      </c>
      <c r="G2627">
        <v>4.0999999999999996</v>
      </c>
      <c r="H2627" t="s">
        <v>18</v>
      </c>
      <c r="I2627" t="s">
        <v>16</v>
      </c>
      <c r="J2627" t="s">
        <v>11</v>
      </c>
      <c r="K2627">
        <f>_xlfn.XLOOKUP(tbl_analysis_tickets[[#This Row],[priority]],tbl_sla[priority],tbl_sla[Resolution SLA Hours])</f>
        <v>8</v>
      </c>
      <c r="L2627">
        <f>_xlfn.XLOOKUP(tbl_analysis_tickets[[#This Row],[priority]],tbl_sla[priority],tbl_sla[First Response SLA Minutes])</f>
        <v>30</v>
      </c>
      <c r="M2627" t="str">
        <f>IF(tbl_analysis_tickets[[#This Row],[resolution_time_hours]]&gt;tbl_analysis_tickets[[#This Row],[Resolution SLA Hours]],"Breached","Within SLA")</f>
        <v>Breached</v>
      </c>
      <c r="N2627" t="str">
        <f>IF(tbl_analysis_tickets[[#This Row],[first_response_minutes]]&gt;tbl_analysis_tickets[[#This Row],[First Response SLA Minutes]],"Breached","Within SLA")</f>
        <v>Breached</v>
      </c>
      <c r="O2627" t="str" cm="1">
        <f t="array" ref="O2627">_xlfn.IFS(
tbl_analysis_tickets[[#This Row],[agent_experience_years]]&lt;=2,"Junior",
tbl_analysis_tickets[[#This Row],[agent_experience_years]]&lt;=5,"Mid-Level",
tbl_analysis_tickets[[#This Row],[agent_experience_years]]&lt;=8,"Senior",
tbl_analysis_tickets[[#This Row],[agent_experience_years]]&gt;8,"Expert"
)</f>
        <v>Mid-Level</v>
      </c>
      <c r="P2627" cm="1">
        <f t="array" ref="P2627">_xlfn.SWITCH(tbl_analysis_tickets[[#This Row],[customer_satisfaction]],
"Low",1,
"Medium",2,
"High",3
)</f>
        <v>1</v>
      </c>
      <c r="Q2627">
        <f>IF(tbl_analysis_tickets[[#This Row],[reopened]]="Yes",1,0)</f>
        <v>0</v>
      </c>
      <c r="R2627" t="str" cm="1">
        <f t="array" ref="R2627">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627" t="str" cm="1">
        <f t="array" ref="S262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627" t="str">
        <f>TEXT(tbl_analysis_tickets[[#This Row],[created_date]],"mmm-yyyy")</f>
        <v>Dec-2024</v>
      </c>
      <c r="U2627" t="str">
        <f>TEXT(tbl_analysis_tickets[[#This Row],[created_date]],"dddd")</f>
        <v>Wednesday</v>
      </c>
      <c r="V2627" cm="1">
        <f t="array" ref="V2627">_xlfn.SWITCH(tbl_analysis_tickets[[#This Row],[priority]],
"Urgent",1,
"High",2,
"Medium",3,
"Low",4
)</f>
        <v>1</v>
      </c>
    </row>
    <row r="2628" spans="1:22" x14ac:dyDescent="0.25">
      <c r="A2628">
        <v>2627</v>
      </c>
      <c r="B2628" s="1">
        <v>45592</v>
      </c>
      <c r="C2628" t="s">
        <v>21</v>
      </c>
      <c r="D2628" t="s">
        <v>11</v>
      </c>
      <c r="E2628">
        <v>15</v>
      </c>
      <c r="F2628">
        <v>44</v>
      </c>
      <c r="G2628">
        <v>3</v>
      </c>
      <c r="H2628" t="s">
        <v>12</v>
      </c>
      <c r="I2628" t="s">
        <v>16</v>
      </c>
      <c r="J2628" t="s">
        <v>15</v>
      </c>
      <c r="K2628">
        <f>_xlfn.XLOOKUP(tbl_analysis_tickets[[#This Row],[priority]],tbl_sla[priority],tbl_sla[Resolution SLA Hours])</f>
        <v>72</v>
      </c>
      <c r="L2628">
        <f>_xlfn.XLOOKUP(tbl_analysis_tickets[[#This Row],[priority]],tbl_sla[priority],tbl_sla[First Response SLA Minutes])</f>
        <v>240</v>
      </c>
      <c r="M2628" t="str">
        <f>IF(tbl_analysis_tickets[[#This Row],[resolution_time_hours]]&gt;tbl_analysis_tickets[[#This Row],[Resolution SLA Hours]],"Breached","Within SLA")</f>
        <v>Within SLA</v>
      </c>
      <c r="N2628" t="str">
        <f>IF(tbl_analysis_tickets[[#This Row],[first_response_minutes]]&gt;tbl_analysis_tickets[[#This Row],[First Response SLA Minutes]],"Breached","Within SLA")</f>
        <v>Within SLA</v>
      </c>
      <c r="O2628" t="str" cm="1">
        <f t="array" ref="O2628">_xlfn.IFS(
tbl_analysis_tickets[[#This Row],[agent_experience_years]]&lt;=2,"Junior",
tbl_analysis_tickets[[#This Row],[agent_experience_years]]&lt;=5,"Mid-Level",
tbl_analysis_tickets[[#This Row],[agent_experience_years]]&lt;=8,"Senior",
tbl_analysis_tickets[[#This Row],[agent_experience_years]]&gt;8,"Expert"
)</f>
        <v>Mid-Level</v>
      </c>
      <c r="P2628" cm="1">
        <f t="array" ref="P2628">_xlfn.SWITCH(tbl_analysis_tickets[[#This Row],[customer_satisfaction]],
"Low",1,
"Medium",2,
"High",3
)</f>
        <v>2</v>
      </c>
      <c r="Q2628">
        <f>IF(tbl_analysis_tickets[[#This Row],[reopened]]="Yes",1,0)</f>
        <v>1</v>
      </c>
      <c r="R2628" t="str" cm="1">
        <f t="array" ref="R2628">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2628" t="str" cm="1">
        <f t="array" ref="S262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628" t="str">
        <f>TEXT(tbl_analysis_tickets[[#This Row],[created_date]],"mmm-yyyy")</f>
        <v>Oct-2024</v>
      </c>
      <c r="U2628" t="str">
        <f>TEXT(tbl_analysis_tickets[[#This Row],[created_date]],"dddd")</f>
        <v>Sunday</v>
      </c>
      <c r="V2628" cm="1">
        <f t="array" ref="V2628">_xlfn.SWITCH(tbl_analysis_tickets[[#This Row],[priority]],
"Urgent",1,
"High",2,
"Medium",3,
"Low",4
)</f>
        <v>4</v>
      </c>
    </row>
    <row r="2629" spans="1:22" x14ac:dyDescent="0.25">
      <c r="A2629">
        <v>2628</v>
      </c>
      <c r="B2629" s="1">
        <v>45528</v>
      </c>
      <c r="C2629" t="s">
        <v>21</v>
      </c>
      <c r="D2629" t="s">
        <v>17</v>
      </c>
      <c r="E2629">
        <v>175</v>
      </c>
      <c r="F2629">
        <v>12</v>
      </c>
      <c r="G2629">
        <v>9.9</v>
      </c>
      <c r="H2629" t="s">
        <v>12</v>
      </c>
      <c r="I2629" t="s">
        <v>16</v>
      </c>
      <c r="J2629" t="s">
        <v>11</v>
      </c>
      <c r="K2629">
        <f>_xlfn.XLOOKUP(tbl_analysis_tickets[[#This Row],[priority]],tbl_sla[priority],tbl_sla[Resolution SLA Hours])</f>
        <v>8</v>
      </c>
      <c r="L2629">
        <f>_xlfn.XLOOKUP(tbl_analysis_tickets[[#This Row],[priority]],tbl_sla[priority],tbl_sla[First Response SLA Minutes])</f>
        <v>30</v>
      </c>
      <c r="M2629" t="str">
        <f>IF(tbl_analysis_tickets[[#This Row],[resolution_time_hours]]&gt;tbl_analysis_tickets[[#This Row],[Resolution SLA Hours]],"Breached","Within SLA")</f>
        <v>Breached</v>
      </c>
      <c r="N2629" t="str">
        <f>IF(tbl_analysis_tickets[[#This Row],[first_response_minutes]]&gt;tbl_analysis_tickets[[#This Row],[First Response SLA Minutes]],"Breached","Within SLA")</f>
        <v>Breached</v>
      </c>
      <c r="O2629" t="str" cm="1">
        <f t="array" ref="O2629">_xlfn.IFS(
tbl_analysis_tickets[[#This Row],[agent_experience_years]]&lt;=2,"Junior",
tbl_analysis_tickets[[#This Row],[agent_experience_years]]&lt;=5,"Mid-Level",
tbl_analysis_tickets[[#This Row],[agent_experience_years]]&lt;=8,"Senior",
tbl_analysis_tickets[[#This Row],[agent_experience_years]]&gt;8,"Expert"
)</f>
        <v>Expert</v>
      </c>
      <c r="P2629" cm="1">
        <f t="array" ref="P2629">_xlfn.SWITCH(tbl_analysis_tickets[[#This Row],[customer_satisfaction]],
"Low",1,
"Medium",2,
"High",3
)</f>
        <v>1</v>
      </c>
      <c r="Q2629">
        <f>IF(tbl_analysis_tickets[[#This Row],[reopened]]="Yes",1,0)</f>
        <v>1</v>
      </c>
      <c r="R2629" t="str" cm="1">
        <f t="array" ref="R2629">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629" t="str" cm="1">
        <f t="array" ref="S262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629" t="str">
        <f>TEXT(tbl_analysis_tickets[[#This Row],[created_date]],"mmm-yyyy")</f>
        <v>Aug-2024</v>
      </c>
      <c r="U2629" t="str">
        <f>TEXT(tbl_analysis_tickets[[#This Row],[created_date]],"dddd")</f>
        <v>Saturday</v>
      </c>
      <c r="V2629" cm="1">
        <f t="array" ref="V2629">_xlfn.SWITCH(tbl_analysis_tickets[[#This Row],[priority]],
"Urgent",1,
"High",2,
"Medium",3,
"Low",4
)</f>
        <v>1</v>
      </c>
    </row>
    <row r="2630" spans="1:22" x14ac:dyDescent="0.25">
      <c r="A2630">
        <v>2629</v>
      </c>
      <c r="B2630" s="1">
        <v>45655</v>
      </c>
      <c r="C2630" t="s">
        <v>10</v>
      </c>
      <c r="D2630" t="s">
        <v>15</v>
      </c>
      <c r="E2630">
        <v>80</v>
      </c>
      <c r="F2630">
        <v>68</v>
      </c>
      <c r="G2630">
        <v>4.4000000000000004</v>
      </c>
      <c r="H2630" t="s">
        <v>12</v>
      </c>
      <c r="I2630" t="s">
        <v>16</v>
      </c>
      <c r="J2630" t="s">
        <v>11</v>
      </c>
      <c r="K2630">
        <f>_xlfn.XLOOKUP(tbl_analysis_tickets[[#This Row],[priority]],tbl_sla[priority],tbl_sla[Resolution SLA Hours])</f>
        <v>48</v>
      </c>
      <c r="L2630">
        <f>_xlfn.XLOOKUP(tbl_analysis_tickets[[#This Row],[priority]],tbl_sla[priority],tbl_sla[First Response SLA Minutes])</f>
        <v>120</v>
      </c>
      <c r="M2630" t="str">
        <f>IF(tbl_analysis_tickets[[#This Row],[resolution_time_hours]]&gt;tbl_analysis_tickets[[#This Row],[Resolution SLA Hours]],"Breached","Within SLA")</f>
        <v>Breached</v>
      </c>
      <c r="N2630" t="str">
        <f>IF(tbl_analysis_tickets[[#This Row],[first_response_minutes]]&gt;tbl_analysis_tickets[[#This Row],[First Response SLA Minutes]],"Breached","Within SLA")</f>
        <v>Within SLA</v>
      </c>
      <c r="O2630" t="str" cm="1">
        <f t="array" ref="O2630">_xlfn.IFS(
tbl_analysis_tickets[[#This Row],[agent_experience_years]]&lt;=2,"Junior",
tbl_analysis_tickets[[#This Row],[agent_experience_years]]&lt;=5,"Mid-Level",
tbl_analysis_tickets[[#This Row],[agent_experience_years]]&lt;=8,"Senior",
tbl_analysis_tickets[[#This Row],[agent_experience_years]]&gt;8,"Expert"
)</f>
        <v>Mid-Level</v>
      </c>
      <c r="P2630" cm="1">
        <f t="array" ref="P2630">_xlfn.SWITCH(tbl_analysis_tickets[[#This Row],[customer_satisfaction]],
"Low",1,
"Medium",2,
"High",3
)</f>
        <v>1</v>
      </c>
      <c r="Q2630">
        <f>IF(tbl_analysis_tickets[[#This Row],[reopened]]="Yes",1,0)</f>
        <v>1</v>
      </c>
      <c r="R2630" t="str" cm="1">
        <f t="array" ref="R2630">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630" t="str" cm="1">
        <f t="array" ref="S263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630" t="str">
        <f>TEXT(tbl_analysis_tickets[[#This Row],[created_date]],"mmm-yyyy")</f>
        <v>Dec-2024</v>
      </c>
      <c r="U2630" t="str">
        <f>TEXT(tbl_analysis_tickets[[#This Row],[created_date]],"dddd")</f>
        <v>Sunday</v>
      </c>
      <c r="V2630" cm="1">
        <f t="array" ref="V2630">_xlfn.SWITCH(tbl_analysis_tickets[[#This Row],[priority]],
"Urgent",1,
"High",2,
"Medium",3,
"Low",4
)</f>
        <v>3</v>
      </c>
    </row>
    <row r="2631" spans="1:22" x14ac:dyDescent="0.25">
      <c r="A2631">
        <v>2630</v>
      </c>
      <c r="B2631" s="1">
        <v>45560</v>
      </c>
      <c r="C2631" t="s">
        <v>21</v>
      </c>
      <c r="D2631" t="s">
        <v>11</v>
      </c>
      <c r="E2631">
        <v>54</v>
      </c>
      <c r="F2631">
        <v>47</v>
      </c>
      <c r="G2631">
        <v>2.1</v>
      </c>
      <c r="H2631" t="s">
        <v>12</v>
      </c>
      <c r="I2631" t="s">
        <v>19</v>
      </c>
      <c r="J2631" t="s">
        <v>11</v>
      </c>
      <c r="K2631">
        <f>_xlfn.XLOOKUP(tbl_analysis_tickets[[#This Row],[priority]],tbl_sla[priority],tbl_sla[Resolution SLA Hours])</f>
        <v>72</v>
      </c>
      <c r="L2631">
        <f>_xlfn.XLOOKUP(tbl_analysis_tickets[[#This Row],[priority]],tbl_sla[priority],tbl_sla[First Response SLA Minutes])</f>
        <v>240</v>
      </c>
      <c r="M2631" t="str">
        <f>IF(tbl_analysis_tickets[[#This Row],[resolution_time_hours]]&gt;tbl_analysis_tickets[[#This Row],[Resolution SLA Hours]],"Breached","Within SLA")</f>
        <v>Within SLA</v>
      </c>
      <c r="N2631" t="str">
        <f>IF(tbl_analysis_tickets[[#This Row],[first_response_minutes]]&gt;tbl_analysis_tickets[[#This Row],[First Response SLA Minutes]],"Breached","Within SLA")</f>
        <v>Within SLA</v>
      </c>
      <c r="O2631" t="str" cm="1">
        <f t="array" ref="O2631">_xlfn.IFS(
tbl_analysis_tickets[[#This Row],[agent_experience_years]]&lt;=2,"Junior",
tbl_analysis_tickets[[#This Row],[agent_experience_years]]&lt;=5,"Mid-Level",
tbl_analysis_tickets[[#This Row],[agent_experience_years]]&lt;=8,"Senior",
tbl_analysis_tickets[[#This Row],[agent_experience_years]]&gt;8,"Expert"
)</f>
        <v>Mid-Level</v>
      </c>
      <c r="P2631" cm="1">
        <f t="array" ref="P2631">_xlfn.SWITCH(tbl_analysis_tickets[[#This Row],[customer_satisfaction]],
"Low",1,
"Medium",2,
"High",3
)</f>
        <v>1</v>
      </c>
      <c r="Q2631">
        <f>IF(tbl_analysis_tickets[[#This Row],[reopened]]="Yes",1,0)</f>
        <v>1</v>
      </c>
      <c r="R2631" t="str" cm="1">
        <f t="array" ref="R2631">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631" t="str" cm="1">
        <f t="array" ref="S263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631" t="str">
        <f>TEXT(tbl_analysis_tickets[[#This Row],[created_date]],"mmm-yyyy")</f>
        <v>Sep-2024</v>
      </c>
      <c r="U2631" t="str">
        <f>TEXT(tbl_analysis_tickets[[#This Row],[created_date]],"dddd")</f>
        <v>Wednesday</v>
      </c>
      <c r="V2631" cm="1">
        <f t="array" ref="V2631">_xlfn.SWITCH(tbl_analysis_tickets[[#This Row],[priority]],
"Urgent",1,
"High",2,
"Medium",3,
"Low",4
)</f>
        <v>4</v>
      </c>
    </row>
    <row r="2632" spans="1:22" x14ac:dyDescent="0.25">
      <c r="A2632">
        <v>2631</v>
      </c>
      <c r="B2632" s="1">
        <v>45327</v>
      </c>
      <c r="C2632" t="s">
        <v>14</v>
      </c>
      <c r="D2632" t="s">
        <v>11</v>
      </c>
      <c r="E2632">
        <v>205</v>
      </c>
      <c r="F2632">
        <v>25</v>
      </c>
      <c r="G2632">
        <v>9.9</v>
      </c>
      <c r="H2632" t="s">
        <v>12</v>
      </c>
      <c r="I2632" t="s">
        <v>13</v>
      </c>
      <c r="J2632" t="s">
        <v>11</v>
      </c>
      <c r="K2632">
        <f>_xlfn.XLOOKUP(tbl_analysis_tickets[[#This Row],[priority]],tbl_sla[priority],tbl_sla[Resolution SLA Hours])</f>
        <v>72</v>
      </c>
      <c r="L2632">
        <f>_xlfn.XLOOKUP(tbl_analysis_tickets[[#This Row],[priority]],tbl_sla[priority],tbl_sla[First Response SLA Minutes])</f>
        <v>240</v>
      </c>
      <c r="M2632" t="str">
        <f>IF(tbl_analysis_tickets[[#This Row],[resolution_time_hours]]&gt;tbl_analysis_tickets[[#This Row],[Resolution SLA Hours]],"Breached","Within SLA")</f>
        <v>Within SLA</v>
      </c>
      <c r="N2632" t="str">
        <f>IF(tbl_analysis_tickets[[#This Row],[first_response_minutes]]&gt;tbl_analysis_tickets[[#This Row],[First Response SLA Minutes]],"Breached","Within SLA")</f>
        <v>Within SLA</v>
      </c>
      <c r="O2632" t="str" cm="1">
        <f t="array" ref="O2632">_xlfn.IFS(
tbl_analysis_tickets[[#This Row],[agent_experience_years]]&lt;=2,"Junior",
tbl_analysis_tickets[[#This Row],[agent_experience_years]]&lt;=5,"Mid-Level",
tbl_analysis_tickets[[#This Row],[agent_experience_years]]&lt;=8,"Senior",
tbl_analysis_tickets[[#This Row],[agent_experience_years]]&gt;8,"Expert"
)</f>
        <v>Expert</v>
      </c>
      <c r="P2632" cm="1">
        <f t="array" ref="P2632">_xlfn.SWITCH(tbl_analysis_tickets[[#This Row],[customer_satisfaction]],
"Low",1,
"Medium",2,
"High",3
)</f>
        <v>1</v>
      </c>
      <c r="Q2632">
        <f>IF(tbl_analysis_tickets[[#This Row],[reopened]]="Yes",1,0)</f>
        <v>1</v>
      </c>
      <c r="R2632" t="str" cm="1">
        <f t="array" ref="R2632">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632" t="str" cm="1">
        <f t="array" ref="S263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632" t="str">
        <f>TEXT(tbl_analysis_tickets[[#This Row],[created_date]],"mmm-yyyy")</f>
        <v>Feb-2024</v>
      </c>
      <c r="U2632" t="str">
        <f>TEXT(tbl_analysis_tickets[[#This Row],[created_date]],"dddd")</f>
        <v>Monday</v>
      </c>
      <c r="V2632" cm="1">
        <f t="array" ref="V2632">_xlfn.SWITCH(tbl_analysis_tickets[[#This Row],[priority]],
"Urgent",1,
"High",2,
"Medium",3,
"Low",4
)</f>
        <v>4</v>
      </c>
    </row>
    <row r="2633" spans="1:22" x14ac:dyDescent="0.25">
      <c r="A2633">
        <v>2632</v>
      </c>
      <c r="B2633" s="1">
        <v>45405</v>
      </c>
      <c r="C2633" t="s">
        <v>22</v>
      </c>
      <c r="D2633" t="s">
        <v>11</v>
      </c>
      <c r="E2633">
        <v>117</v>
      </c>
      <c r="F2633">
        <v>34</v>
      </c>
      <c r="G2633">
        <v>4.9000000000000004</v>
      </c>
      <c r="H2633" t="s">
        <v>12</v>
      </c>
      <c r="I2633" t="s">
        <v>19</v>
      </c>
      <c r="J2633" t="s">
        <v>11</v>
      </c>
      <c r="K2633">
        <f>_xlfn.XLOOKUP(tbl_analysis_tickets[[#This Row],[priority]],tbl_sla[priority],tbl_sla[Resolution SLA Hours])</f>
        <v>72</v>
      </c>
      <c r="L2633">
        <f>_xlfn.XLOOKUP(tbl_analysis_tickets[[#This Row],[priority]],tbl_sla[priority],tbl_sla[First Response SLA Minutes])</f>
        <v>240</v>
      </c>
      <c r="M2633" t="str">
        <f>IF(tbl_analysis_tickets[[#This Row],[resolution_time_hours]]&gt;tbl_analysis_tickets[[#This Row],[Resolution SLA Hours]],"Breached","Within SLA")</f>
        <v>Within SLA</v>
      </c>
      <c r="N2633" t="str">
        <f>IF(tbl_analysis_tickets[[#This Row],[first_response_minutes]]&gt;tbl_analysis_tickets[[#This Row],[First Response SLA Minutes]],"Breached","Within SLA")</f>
        <v>Within SLA</v>
      </c>
      <c r="O2633" t="str" cm="1">
        <f t="array" ref="O2633">_xlfn.IFS(
tbl_analysis_tickets[[#This Row],[agent_experience_years]]&lt;=2,"Junior",
tbl_analysis_tickets[[#This Row],[agent_experience_years]]&lt;=5,"Mid-Level",
tbl_analysis_tickets[[#This Row],[agent_experience_years]]&lt;=8,"Senior",
tbl_analysis_tickets[[#This Row],[agent_experience_years]]&gt;8,"Expert"
)</f>
        <v>Mid-Level</v>
      </c>
      <c r="P2633" cm="1">
        <f t="array" ref="P2633">_xlfn.SWITCH(tbl_analysis_tickets[[#This Row],[customer_satisfaction]],
"Low",1,
"Medium",2,
"High",3
)</f>
        <v>1</v>
      </c>
      <c r="Q2633">
        <f>IF(tbl_analysis_tickets[[#This Row],[reopened]]="Yes",1,0)</f>
        <v>1</v>
      </c>
      <c r="R2633" t="str" cm="1">
        <f t="array" ref="R2633">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633" t="str" cm="1">
        <f t="array" ref="S263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633" t="str">
        <f>TEXT(tbl_analysis_tickets[[#This Row],[created_date]],"mmm-yyyy")</f>
        <v>Apr-2024</v>
      </c>
      <c r="U2633" t="str">
        <f>TEXT(tbl_analysis_tickets[[#This Row],[created_date]],"dddd")</f>
        <v>Tuesday</v>
      </c>
      <c r="V2633" cm="1">
        <f t="array" ref="V2633">_xlfn.SWITCH(tbl_analysis_tickets[[#This Row],[priority]],
"Urgent",1,
"High",2,
"Medium",3,
"Low",4
)</f>
        <v>4</v>
      </c>
    </row>
    <row r="2634" spans="1:22" x14ac:dyDescent="0.25">
      <c r="A2634">
        <v>2633</v>
      </c>
      <c r="B2634" s="1">
        <v>45417</v>
      </c>
      <c r="C2634" t="s">
        <v>10</v>
      </c>
      <c r="D2634" t="s">
        <v>20</v>
      </c>
      <c r="E2634">
        <v>29</v>
      </c>
      <c r="F2634">
        <v>50</v>
      </c>
      <c r="G2634">
        <v>3.4</v>
      </c>
      <c r="H2634" t="s">
        <v>12</v>
      </c>
      <c r="I2634" t="s">
        <v>13</v>
      </c>
      <c r="J2634" t="s">
        <v>11</v>
      </c>
      <c r="K2634">
        <f>_xlfn.XLOOKUP(tbl_analysis_tickets[[#This Row],[priority]],tbl_sla[priority],tbl_sla[Resolution SLA Hours])</f>
        <v>24</v>
      </c>
      <c r="L2634">
        <f>_xlfn.XLOOKUP(tbl_analysis_tickets[[#This Row],[priority]],tbl_sla[priority],tbl_sla[First Response SLA Minutes])</f>
        <v>60</v>
      </c>
      <c r="M2634" t="str">
        <f>IF(tbl_analysis_tickets[[#This Row],[resolution_time_hours]]&gt;tbl_analysis_tickets[[#This Row],[Resolution SLA Hours]],"Breached","Within SLA")</f>
        <v>Breached</v>
      </c>
      <c r="N2634" t="str">
        <f>IF(tbl_analysis_tickets[[#This Row],[first_response_minutes]]&gt;tbl_analysis_tickets[[#This Row],[First Response SLA Minutes]],"Breached","Within SLA")</f>
        <v>Within SLA</v>
      </c>
      <c r="O2634" t="str" cm="1">
        <f t="array" ref="O2634">_xlfn.IFS(
tbl_analysis_tickets[[#This Row],[agent_experience_years]]&lt;=2,"Junior",
tbl_analysis_tickets[[#This Row],[agent_experience_years]]&lt;=5,"Mid-Level",
tbl_analysis_tickets[[#This Row],[agent_experience_years]]&lt;=8,"Senior",
tbl_analysis_tickets[[#This Row],[agent_experience_years]]&gt;8,"Expert"
)</f>
        <v>Mid-Level</v>
      </c>
      <c r="P2634" cm="1">
        <f t="array" ref="P2634">_xlfn.SWITCH(tbl_analysis_tickets[[#This Row],[customer_satisfaction]],
"Low",1,
"Medium",2,
"High",3
)</f>
        <v>1</v>
      </c>
      <c r="Q2634">
        <f>IF(tbl_analysis_tickets[[#This Row],[reopened]]="Yes",1,0)</f>
        <v>1</v>
      </c>
      <c r="R2634" t="str" cm="1">
        <f t="array" ref="R2634">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2634" t="str" cm="1">
        <f t="array" ref="S263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634" t="str">
        <f>TEXT(tbl_analysis_tickets[[#This Row],[created_date]],"mmm-yyyy")</f>
        <v>May-2024</v>
      </c>
      <c r="U2634" t="str">
        <f>TEXT(tbl_analysis_tickets[[#This Row],[created_date]],"dddd")</f>
        <v>Sunday</v>
      </c>
      <c r="V2634" cm="1">
        <f t="array" ref="V2634">_xlfn.SWITCH(tbl_analysis_tickets[[#This Row],[priority]],
"Urgent",1,
"High",2,
"Medium",3,
"Low",4
)</f>
        <v>2</v>
      </c>
    </row>
    <row r="2635" spans="1:22" x14ac:dyDescent="0.25">
      <c r="A2635">
        <v>2634</v>
      </c>
      <c r="B2635" s="1">
        <v>45605</v>
      </c>
      <c r="C2635" t="s">
        <v>23</v>
      </c>
      <c r="D2635" t="s">
        <v>15</v>
      </c>
      <c r="E2635">
        <v>108</v>
      </c>
      <c r="F2635">
        <v>35</v>
      </c>
      <c r="G2635">
        <v>4.0999999999999996</v>
      </c>
      <c r="H2635" t="s">
        <v>18</v>
      </c>
      <c r="I2635" t="s">
        <v>16</v>
      </c>
      <c r="J2635" t="s">
        <v>11</v>
      </c>
      <c r="K2635">
        <f>_xlfn.XLOOKUP(tbl_analysis_tickets[[#This Row],[priority]],tbl_sla[priority],tbl_sla[Resolution SLA Hours])</f>
        <v>48</v>
      </c>
      <c r="L2635">
        <f>_xlfn.XLOOKUP(tbl_analysis_tickets[[#This Row],[priority]],tbl_sla[priority],tbl_sla[First Response SLA Minutes])</f>
        <v>120</v>
      </c>
      <c r="M2635" t="str">
        <f>IF(tbl_analysis_tickets[[#This Row],[resolution_time_hours]]&gt;tbl_analysis_tickets[[#This Row],[Resolution SLA Hours]],"Breached","Within SLA")</f>
        <v>Within SLA</v>
      </c>
      <c r="N2635" t="str">
        <f>IF(tbl_analysis_tickets[[#This Row],[first_response_minutes]]&gt;tbl_analysis_tickets[[#This Row],[First Response SLA Minutes]],"Breached","Within SLA")</f>
        <v>Within SLA</v>
      </c>
      <c r="O2635" t="str" cm="1">
        <f t="array" ref="O2635">_xlfn.IFS(
tbl_analysis_tickets[[#This Row],[agent_experience_years]]&lt;=2,"Junior",
tbl_analysis_tickets[[#This Row],[agent_experience_years]]&lt;=5,"Mid-Level",
tbl_analysis_tickets[[#This Row],[agent_experience_years]]&lt;=8,"Senior",
tbl_analysis_tickets[[#This Row],[agent_experience_years]]&gt;8,"Expert"
)</f>
        <v>Mid-Level</v>
      </c>
      <c r="P2635" cm="1">
        <f t="array" ref="P2635">_xlfn.SWITCH(tbl_analysis_tickets[[#This Row],[customer_satisfaction]],
"Low",1,
"Medium",2,
"High",3
)</f>
        <v>1</v>
      </c>
      <c r="Q2635">
        <f>IF(tbl_analysis_tickets[[#This Row],[reopened]]="Yes",1,0)</f>
        <v>0</v>
      </c>
      <c r="R2635" t="str" cm="1">
        <f t="array" ref="R2635">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635" t="str" cm="1">
        <f t="array" ref="S263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635" t="str">
        <f>TEXT(tbl_analysis_tickets[[#This Row],[created_date]],"mmm-yyyy")</f>
        <v>Nov-2024</v>
      </c>
      <c r="U2635" t="str">
        <f>TEXT(tbl_analysis_tickets[[#This Row],[created_date]],"dddd")</f>
        <v>Saturday</v>
      </c>
      <c r="V2635" cm="1">
        <f t="array" ref="V2635">_xlfn.SWITCH(tbl_analysis_tickets[[#This Row],[priority]],
"Urgent",1,
"High",2,
"Medium",3,
"Low",4
)</f>
        <v>3</v>
      </c>
    </row>
    <row r="2636" spans="1:22" x14ac:dyDescent="0.25">
      <c r="A2636">
        <v>2635</v>
      </c>
      <c r="B2636" s="1">
        <v>45407</v>
      </c>
      <c r="C2636" t="s">
        <v>23</v>
      </c>
      <c r="D2636" t="s">
        <v>11</v>
      </c>
      <c r="E2636">
        <v>65</v>
      </c>
      <c r="F2636">
        <v>44</v>
      </c>
      <c r="G2636">
        <v>4.2</v>
      </c>
      <c r="H2636" t="s">
        <v>18</v>
      </c>
      <c r="I2636" t="s">
        <v>19</v>
      </c>
      <c r="J2636" t="s">
        <v>11</v>
      </c>
      <c r="K2636">
        <f>_xlfn.XLOOKUP(tbl_analysis_tickets[[#This Row],[priority]],tbl_sla[priority],tbl_sla[Resolution SLA Hours])</f>
        <v>72</v>
      </c>
      <c r="L2636">
        <f>_xlfn.XLOOKUP(tbl_analysis_tickets[[#This Row],[priority]],tbl_sla[priority],tbl_sla[First Response SLA Minutes])</f>
        <v>240</v>
      </c>
      <c r="M2636" t="str">
        <f>IF(tbl_analysis_tickets[[#This Row],[resolution_time_hours]]&gt;tbl_analysis_tickets[[#This Row],[Resolution SLA Hours]],"Breached","Within SLA")</f>
        <v>Within SLA</v>
      </c>
      <c r="N2636" t="str">
        <f>IF(tbl_analysis_tickets[[#This Row],[first_response_minutes]]&gt;tbl_analysis_tickets[[#This Row],[First Response SLA Minutes]],"Breached","Within SLA")</f>
        <v>Within SLA</v>
      </c>
      <c r="O2636" t="str" cm="1">
        <f t="array" ref="O2636">_xlfn.IFS(
tbl_analysis_tickets[[#This Row],[agent_experience_years]]&lt;=2,"Junior",
tbl_analysis_tickets[[#This Row],[agent_experience_years]]&lt;=5,"Mid-Level",
tbl_analysis_tickets[[#This Row],[agent_experience_years]]&lt;=8,"Senior",
tbl_analysis_tickets[[#This Row],[agent_experience_years]]&gt;8,"Expert"
)</f>
        <v>Mid-Level</v>
      </c>
      <c r="P2636" cm="1">
        <f t="array" ref="P2636">_xlfn.SWITCH(tbl_analysis_tickets[[#This Row],[customer_satisfaction]],
"Low",1,
"Medium",2,
"High",3
)</f>
        <v>1</v>
      </c>
      <c r="Q2636">
        <f>IF(tbl_analysis_tickets[[#This Row],[reopened]]="Yes",1,0)</f>
        <v>0</v>
      </c>
      <c r="R2636" t="str" cm="1">
        <f t="array" ref="R2636">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636" t="str" cm="1">
        <f t="array" ref="S263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636" t="str">
        <f>TEXT(tbl_analysis_tickets[[#This Row],[created_date]],"mmm-yyyy")</f>
        <v>Apr-2024</v>
      </c>
      <c r="U2636" t="str">
        <f>TEXT(tbl_analysis_tickets[[#This Row],[created_date]],"dddd")</f>
        <v>Thursday</v>
      </c>
      <c r="V2636" cm="1">
        <f t="array" ref="V2636">_xlfn.SWITCH(tbl_analysis_tickets[[#This Row],[priority]],
"Urgent",1,
"High",2,
"Medium",3,
"Low",4
)</f>
        <v>4</v>
      </c>
    </row>
    <row r="2637" spans="1:22" x14ac:dyDescent="0.25">
      <c r="A2637">
        <v>2636</v>
      </c>
      <c r="B2637" s="1">
        <v>45339</v>
      </c>
      <c r="C2637" t="s">
        <v>21</v>
      </c>
      <c r="D2637" t="s">
        <v>11</v>
      </c>
      <c r="E2637">
        <v>201</v>
      </c>
      <c r="F2637">
        <v>12</v>
      </c>
      <c r="G2637">
        <v>5.6</v>
      </c>
      <c r="H2637" t="s">
        <v>12</v>
      </c>
      <c r="I2637" t="s">
        <v>16</v>
      </c>
      <c r="J2637" t="s">
        <v>11</v>
      </c>
      <c r="K2637">
        <f>_xlfn.XLOOKUP(tbl_analysis_tickets[[#This Row],[priority]],tbl_sla[priority],tbl_sla[Resolution SLA Hours])</f>
        <v>72</v>
      </c>
      <c r="L2637">
        <f>_xlfn.XLOOKUP(tbl_analysis_tickets[[#This Row],[priority]],tbl_sla[priority],tbl_sla[First Response SLA Minutes])</f>
        <v>240</v>
      </c>
      <c r="M2637" t="str">
        <f>IF(tbl_analysis_tickets[[#This Row],[resolution_time_hours]]&gt;tbl_analysis_tickets[[#This Row],[Resolution SLA Hours]],"Breached","Within SLA")</f>
        <v>Within SLA</v>
      </c>
      <c r="N2637" t="str">
        <f>IF(tbl_analysis_tickets[[#This Row],[first_response_minutes]]&gt;tbl_analysis_tickets[[#This Row],[First Response SLA Minutes]],"Breached","Within SLA")</f>
        <v>Within SLA</v>
      </c>
      <c r="O2637" t="str" cm="1">
        <f t="array" ref="O2637">_xlfn.IFS(
tbl_analysis_tickets[[#This Row],[agent_experience_years]]&lt;=2,"Junior",
tbl_analysis_tickets[[#This Row],[agent_experience_years]]&lt;=5,"Mid-Level",
tbl_analysis_tickets[[#This Row],[agent_experience_years]]&lt;=8,"Senior",
tbl_analysis_tickets[[#This Row],[agent_experience_years]]&gt;8,"Expert"
)</f>
        <v>Senior</v>
      </c>
      <c r="P2637" cm="1">
        <f t="array" ref="P2637">_xlfn.SWITCH(tbl_analysis_tickets[[#This Row],[customer_satisfaction]],
"Low",1,
"Medium",2,
"High",3
)</f>
        <v>1</v>
      </c>
      <c r="Q2637">
        <f>IF(tbl_analysis_tickets[[#This Row],[reopened]]="Yes",1,0)</f>
        <v>1</v>
      </c>
      <c r="R2637" t="str" cm="1">
        <f t="array" ref="R2637">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637" t="str" cm="1">
        <f t="array" ref="S263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637" t="str">
        <f>TEXT(tbl_analysis_tickets[[#This Row],[created_date]],"mmm-yyyy")</f>
        <v>Feb-2024</v>
      </c>
      <c r="U2637" t="str">
        <f>TEXT(tbl_analysis_tickets[[#This Row],[created_date]],"dddd")</f>
        <v>Saturday</v>
      </c>
      <c r="V2637" cm="1">
        <f t="array" ref="V2637">_xlfn.SWITCH(tbl_analysis_tickets[[#This Row],[priority]],
"Urgent",1,
"High",2,
"Medium",3,
"Low",4
)</f>
        <v>4</v>
      </c>
    </row>
    <row r="2638" spans="1:22" x14ac:dyDescent="0.25">
      <c r="A2638">
        <v>2637</v>
      </c>
      <c r="B2638" s="1">
        <v>45609</v>
      </c>
      <c r="C2638" t="s">
        <v>23</v>
      </c>
      <c r="D2638" t="s">
        <v>15</v>
      </c>
      <c r="E2638">
        <v>110</v>
      </c>
      <c r="F2638">
        <v>11</v>
      </c>
      <c r="G2638">
        <v>7.3</v>
      </c>
      <c r="H2638" t="s">
        <v>12</v>
      </c>
      <c r="I2638" t="s">
        <v>16</v>
      </c>
      <c r="J2638" t="s">
        <v>11</v>
      </c>
      <c r="K2638">
        <f>_xlfn.XLOOKUP(tbl_analysis_tickets[[#This Row],[priority]],tbl_sla[priority],tbl_sla[Resolution SLA Hours])</f>
        <v>48</v>
      </c>
      <c r="L2638">
        <f>_xlfn.XLOOKUP(tbl_analysis_tickets[[#This Row],[priority]],tbl_sla[priority],tbl_sla[First Response SLA Minutes])</f>
        <v>120</v>
      </c>
      <c r="M2638" t="str">
        <f>IF(tbl_analysis_tickets[[#This Row],[resolution_time_hours]]&gt;tbl_analysis_tickets[[#This Row],[Resolution SLA Hours]],"Breached","Within SLA")</f>
        <v>Within SLA</v>
      </c>
      <c r="N2638" t="str">
        <f>IF(tbl_analysis_tickets[[#This Row],[first_response_minutes]]&gt;tbl_analysis_tickets[[#This Row],[First Response SLA Minutes]],"Breached","Within SLA")</f>
        <v>Within SLA</v>
      </c>
      <c r="O2638" t="str" cm="1">
        <f t="array" ref="O2638">_xlfn.IFS(
tbl_analysis_tickets[[#This Row],[agent_experience_years]]&lt;=2,"Junior",
tbl_analysis_tickets[[#This Row],[agent_experience_years]]&lt;=5,"Mid-Level",
tbl_analysis_tickets[[#This Row],[agent_experience_years]]&lt;=8,"Senior",
tbl_analysis_tickets[[#This Row],[agent_experience_years]]&gt;8,"Expert"
)</f>
        <v>Senior</v>
      </c>
      <c r="P2638" cm="1">
        <f t="array" ref="P2638">_xlfn.SWITCH(tbl_analysis_tickets[[#This Row],[customer_satisfaction]],
"Low",1,
"Medium",2,
"High",3
)</f>
        <v>1</v>
      </c>
      <c r="Q2638">
        <f>IF(tbl_analysis_tickets[[#This Row],[reopened]]="Yes",1,0)</f>
        <v>1</v>
      </c>
      <c r="R2638" t="str" cm="1">
        <f t="array" ref="R2638">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638" t="str" cm="1">
        <f t="array" ref="S263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638" t="str">
        <f>TEXT(tbl_analysis_tickets[[#This Row],[created_date]],"mmm-yyyy")</f>
        <v>Nov-2024</v>
      </c>
      <c r="U2638" t="str">
        <f>TEXT(tbl_analysis_tickets[[#This Row],[created_date]],"dddd")</f>
        <v>Wednesday</v>
      </c>
      <c r="V2638" cm="1">
        <f t="array" ref="V2638">_xlfn.SWITCH(tbl_analysis_tickets[[#This Row],[priority]],
"Urgent",1,
"High",2,
"Medium",3,
"Low",4
)</f>
        <v>3</v>
      </c>
    </row>
    <row r="2639" spans="1:22" x14ac:dyDescent="0.25">
      <c r="A2639">
        <v>2638</v>
      </c>
      <c r="B2639" s="1">
        <v>45503</v>
      </c>
      <c r="C2639" t="s">
        <v>21</v>
      </c>
      <c r="D2639" t="s">
        <v>17</v>
      </c>
      <c r="E2639">
        <v>75</v>
      </c>
      <c r="F2639">
        <v>67</v>
      </c>
      <c r="G2639">
        <v>8.4</v>
      </c>
      <c r="H2639" t="s">
        <v>18</v>
      </c>
      <c r="I2639" t="s">
        <v>13</v>
      </c>
      <c r="J2639" t="s">
        <v>11</v>
      </c>
      <c r="K2639">
        <f>_xlfn.XLOOKUP(tbl_analysis_tickets[[#This Row],[priority]],tbl_sla[priority],tbl_sla[Resolution SLA Hours])</f>
        <v>8</v>
      </c>
      <c r="L2639">
        <f>_xlfn.XLOOKUP(tbl_analysis_tickets[[#This Row],[priority]],tbl_sla[priority],tbl_sla[First Response SLA Minutes])</f>
        <v>30</v>
      </c>
      <c r="M2639" t="str">
        <f>IF(tbl_analysis_tickets[[#This Row],[resolution_time_hours]]&gt;tbl_analysis_tickets[[#This Row],[Resolution SLA Hours]],"Breached","Within SLA")</f>
        <v>Breached</v>
      </c>
      <c r="N2639" t="str">
        <f>IF(tbl_analysis_tickets[[#This Row],[first_response_minutes]]&gt;tbl_analysis_tickets[[#This Row],[First Response SLA Minutes]],"Breached","Within SLA")</f>
        <v>Breached</v>
      </c>
      <c r="O2639" t="str" cm="1">
        <f t="array" ref="O2639">_xlfn.IFS(
tbl_analysis_tickets[[#This Row],[agent_experience_years]]&lt;=2,"Junior",
tbl_analysis_tickets[[#This Row],[agent_experience_years]]&lt;=5,"Mid-Level",
tbl_analysis_tickets[[#This Row],[agent_experience_years]]&lt;=8,"Senior",
tbl_analysis_tickets[[#This Row],[agent_experience_years]]&gt;8,"Expert"
)</f>
        <v>Expert</v>
      </c>
      <c r="P2639" cm="1">
        <f t="array" ref="P2639">_xlfn.SWITCH(tbl_analysis_tickets[[#This Row],[customer_satisfaction]],
"Low",1,
"Medium",2,
"High",3
)</f>
        <v>1</v>
      </c>
      <c r="Q2639">
        <f>IF(tbl_analysis_tickets[[#This Row],[reopened]]="Yes",1,0)</f>
        <v>0</v>
      </c>
      <c r="R2639" t="str" cm="1">
        <f t="array" ref="R2639">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639" t="str" cm="1">
        <f t="array" ref="S263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639" t="str">
        <f>TEXT(tbl_analysis_tickets[[#This Row],[created_date]],"mmm-yyyy")</f>
        <v>Jul-2024</v>
      </c>
      <c r="U2639" t="str">
        <f>TEXT(tbl_analysis_tickets[[#This Row],[created_date]],"dddd")</f>
        <v>Tuesday</v>
      </c>
      <c r="V2639" cm="1">
        <f t="array" ref="V2639">_xlfn.SWITCH(tbl_analysis_tickets[[#This Row],[priority]],
"Urgent",1,
"High",2,
"Medium",3,
"Low",4
)</f>
        <v>1</v>
      </c>
    </row>
    <row r="2640" spans="1:22" x14ac:dyDescent="0.25">
      <c r="A2640">
        <v>2639</v>
      </c>
      <c r="B2640" s="1">
        <v>45488</v>
      </c>
      <c r="C2640" t="s">
        <v>21</v>
      </c>
      <c r="D2640" t="s">
        <v>11</v>
      </c>
      <c r="E2640">
        <v>13</v>
      </c>
      <c r="F2640">
        <v>3</v>
      </c>
      <c r="G2640">
        <v>9.3000000000000007</v>
      </c>
      <c r="H2640" t="s">
        <v>12</v>
      </c>
      <c r="I2640" t="s">
        <v>16</v>
      </c>
      <c r="J2640" t="s">
        <v>20</v>
      </c>
      <c r="K2640">
        <f>_xlfn.XLOOKUP(tbl_analysis_tickets[[#This Row],[priority]],tbl_sla[priority],tbl_sla[Resolution SLA Hours])</f>
        <v>72</v>
      </c>
      <c r="L2640">
        <f>_xlfn.XLOOKUP(tbl_analysis_tickets[[#This Row],[priority]],tbl_sla[priority],tbl_sla[First Response SLA Minutes])</f>
        <v>240</v>
      </c>
      <c r="M2640" t="str">
        <f>IF(tbl_analysis_tickets[[#This Row],[resolution_time_hours]]&gt;tbl_analysis_tickets[[#This Row],[Resolution SLA Hours]],"Breached","Within SLA")</f>
        <v>Within SLA</v>
      </c>
      <c r="N2640" t="str">
        <f>IF(tbl_analysis_tickets[[#This Row],[first_response_minutes]]&gt;tbl_analysis_tickets[[#This Row],[First Response SLA Minutes]],"Breached","Within SLA")</f>
        <v>Within SLA</v>
      </c>
      <c r="O2640" t="str" cm="1">
        <f t="array" ref="O2640">_xlfn.IFS(
tbl_analysis_tickets[[#This Row],[agent_experience_years]]&lt;=2,"Junior",
tbl_analysis_tickets[[#This Row],[agent_experience_years]]&lt;=5,"Mid-Level",
tbl_analysis_tickets[[#This Row],[agent_experience_years]]&lt;=8,"Senior",
tbl_analysis_tickets[[#This Row],[agent_experience_years]]&gt;8,"Expert"
)</f>
        <v>Expert</v>
      </c>
      <c r="P2640" cm="1">
        <f t="array" ref="P2640">_xlfn.SWITCH(tbl_analysis_tickets[[#This Row],[customer_satisfaction]],
"Low",1,
"Medium",2,
"High",3
)</f>
        <v>3</v>
      </c>
      <c r="Q2640">
        <f>IF(tbl_analysis_tickets[[#This Row],[reopened]]="Yes",1,0)</f>
        <v>1</v>
      </c>
      <c r="R2640" t="str" cm="1">
        <f t="array" ref="R2640">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2640" t="str" cm="1">
        <f t="array" ref="S264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2640" t="str">
        <f>TEXT(tbl_analysis_tickets[[#This Row],[created_date]],"mmm-yyyy")</f>
        <v>Jul-2024</v>
      </c>
      <c r="U2640" t="str">
        <f>TEXT(tbl_analysis_tickets[[#This Row],[created_date]],"dddd")</f>
        <v>Monday</v>
      </c>
      <c r="V2640" cm="1">
        <f t="array" ref="V2640">_xlfn.SWITCH(tbl_analysis_tickets[[#This Row],[priority]],
"Urgent",1,
"High",2,
"Medium",3,
"Low",4
)</f>
        <v>4</v>
      </c>
    </row>
    <row r="2641" spans="1:22" x14ac:dyDescent="0.25">
      <c r="A2641">
        <v>2640</v>
      </c>
      <c r="B2641" s="1">
        <v>45431</v>
      </c>
      <c r="C2641" t="s">
        <v>14</v>
      </c>
      <c r="D2641" t="s">
        <v>17</v>
      </c>
      <c r="E2641">
        <v>56</v>
      </c>
      <c r="F2641">
        <v>19</v>
      </c>
      <c r="G2641">
        <v>1.9</v>
      </c>
      <c r="H2641" t="s">
        <v>12</v>
      </c>
      <c r="I2641" t="s">
        <v>16</v>
      </c>
      <c r="J2641" t="s">
        <v>11</v>
      </c>
      <c r="K2641">
        <f>_xlfn.XLOOKUP(tbl_analysis_tickets[[#This Row],[priority]],tbl_sla[priority],tbl_sla[Resolution SLA Hours])</f>
        <v>8</v>
      </c>
      <c r="L2641">
        <f>_xlfn.XLOOKUP(tbl_analysis_tickets[[#This Row],[priority]],tbl_sla[priority],tbl_sla[First Response SLA Minutes])</f>
        <v>30</v>
      </c>
      <c r="M2641" t="str">
        <f>IF(tbl_analysis_tickets[[#This Row],[resolution_time_hours]]&gt;tbl_analysis_tickets[[#This Row],[Resolution SLA Hours]],"Breached","Within SLA")</f>
        <v>Breached</v>
      </c>
      <c r="N2641" t="str">
        <f>IF(tbl_analysis_tickets[[#This Row],[first_response_minutes]]&gt;tbl_analysis_tickets[[#This Row],[First Response SLA Minutes]],"Breached","Within SLA")</f>
        <v>Breached</v>
      </c>
      <c r="O2641" t="str" cm="1">
        <f t="array" ref="O2641">_xlfn.IFS(
tbl_analysis_tickets[[#This Row],[agent_experience_years]]&lt;=2,"Junior",
tbl_analysis_tickets[[#This Row],[agent_experience_years]]&lt;=5,"Mid-Level",
tbl_analysis_tickets[[#This Row],[agent_experience_years]]&lt;=8,"Senior",
tbl_analysis_tickets[[#This Row],[agent_experience_years]]&gt;8,"Expert"
)</f>
        <v>Junior</v>
      </c>
      <c r="P2641" cm="1">
        <f t="array" ref="P2641">_xlfn.SWITCH(tbl_analysis_tickets[[#This Row],[customer_satisfaction]],
"Low",1,
"Medium",2,
"High",3
)</f>
        <v>1</v>
      </c>
      <c r="Q2641">
        <f>IF(tbl_analysis_tickets[[#This Row],[reopened]]="Yes",1,0)</f>
        <v>1</v>
      </c>
      <c r="R2641" t="str" cm="1">
        <f t="array" ref="R2641">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641" t="str" cm="1">
        <f t="array" ref="S264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641" t="str">
        <f>TEXT(tbl_analysis_tickets[[#This Row],[created_date]],"mmm-yyyy")</f>
        <v>May-2024</v>
      </c>
      <c r="U2641" t="str">
        <f>TEXT(tbl_analysis_tickets[[#This Row],[created_date]],"dddd")</f>
        <v>Sunday</v>
      </c>
      <c r="V2641" cm="1">
        <f t="array" ref="V2641">_xlfn.SWITCH(tbl_analysis_tickets[[#This Row],[priority]],
"Urgent",1,
"High",2,
"Medium",3,
"Low",4
)</f>
        <v>1</v>
      </c>
    </row>
    <row r="2642" spans="1:22" x14ac:dyDescent="0.25">
      <c r="A2642">
        <v>2641</v>
      </c>
      <c r="B2642" s="1">
        <v>45552</v>
      </c>
      <c r="C2642" t="s">
        <v>14</v>
      </c>
      <c r="D2642" t="s">
        <v>20</v>
      </c>
      <c r="E2642">
        <v>66</v>
      </c>
      <c r="F2642">
        <v>50</v>
      </c>
      <c r="G2642">
        <v>1.4</v>
      </c>
      <c r="H2642" t="s">
        <v>12</v>
      </c>
      <c r="I2642" t="s">
        <v>19</v>
      </c>
      <c r="J2642" t="s">
        <v>11</v>
      </c>
      <c r="K2642">
        <f>_xlfn.XLOOKUP(tbl_analysis_tickets[[#This Row],[priority]],tbl_sla[priority],tbl_sla[Resolution SLA Hours])</f>
        <v>24</v>
      </c>
      <c r="L2642">
        <f>_xlfn.XLOOKUP(tbl_analysis_tickets[[#This Row],[priority]],tbl_sla[priority],tbl_sla[First Response SLA Minutes])</f>
        <v>60</v>
      </c>
      <c r="M2642" t="str">
        <f>IF(tbl_analysis_tickets[[#This Row],[resolution_time_hours]]&gt;tbl_analysis_tickets[[#This Row],[Resolution SLA Hours]],"Breached","Within SLA")</f>
        <v>Breached</v>
      </c>
      <c r="N2642" t="str">
        <f>IF(tbl_analysis_tickets[[#This Row],[first_response_minutes]]&gt;tbl_analysis_tickets[[#This Row],[First Response SLA Minutes]],"Breached","Within SLA")</f>
        <v>Breached</v>
      </c>
      <c r="O2642" t="str" cm="1">
        <f t="array" ref="O2642">_xlfn.IFS(
tbl_analysis_tickets[[#This Row],[agent_experience_years]]&lt;=2,"Junior",
tbl_analysis_tickets[[#This Row],[agent_experience_years]]&lt;=5,"Mid-Level",
tbl_analysis_tickets[[#This Row],[agent_experience_years]]&lt;=8,"Senior",
tbl_analysis_tickets[[#This Row],[agent_experience_years]]&gt;8,"Expert"
)</f>
        <v>Junior</v>
      </c>
      <c r="P2642" cm="1">
        <f t="array" ref="P2642">_xlfn.SWITCH(tbl_analysis_tickets[[#This Row],[customer_satisfaction]],
"Low",1,
"Medium",2,
"High",3
)</f>
        <v>1</v>
      </c>
      <c r="Q2642">
        <f>IF(tbl_analysis_tickets[[#This Row],[reopened]]="Yes",1,0)</f>
        <v>1</v>
      </c>
      <c r="R2642" t="str" cm="1">
        <f t="array" ref="R2642">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642" t="str" cm="1">
        <f t="array" ref="S264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642" t="str">
        <f>TEXT(tbl_analysis_tickets[[#This Row],[created_date]],"mmm-yyyy")</f>
        <v>Sep-2024</v>
      </c>
      <c r="U2642" t="str">
        <f>TEXT(tbl_analysis_tickets[[#This Row],[created_date]],"dddd")</f>
        <v>Tuesday</v>
      </c>
      <c r="V2642" cm="1">
        <f t="array" ref="V2642">_xlfn.SWITCH(tbl_analysis_tickets[[#This Row],[priority]],
"Urgent",1,
"High",2,
"Medium",3,
"Low",4
)</f>
        <v>2</v>
      </c>
    </row>
    <row r="2643" spans="1:22" x14ac:dyDescent="0.25">
      <c r="A2643">
        <v>2642</v>
      </c>
      <c r="B2643" s="1">
        <v>45307</v>
      </c>
      <c r="C2643" t="s">
        <v>23</v>
      </c>
      <c r="D2643" t="s">
        <v>17</v>
      </c>
      <c r="E2643">
        <v>156</v>
      </c>
      <c r="F2643">
        <v>48</v>
      </c>
      <c r="G2643">
        <v>7.1</v>
      </c>
      <c r="H2643" t="s">
        <v>12</v>
      </c>
      <c r="I2643" t="s">
        <v>13</v>
      </c>
      <c r="J2643" t="s">
        <v>11</v>
      </c>
      <c r="K2643">
        <f>_xlfn.XLOOKUP(tbl_analysis_tickets[[#This Row],[priority]],tbl_sla[priority],tbl_sla[Resolution SLA Hours])</f>
        <v>8</v>
      </c>
      <c r="L2643">
        <f>_xlfn.XLOOKUP(tbl_analysis_tickets[[#This Row],[priority]],tbl_sla[priority],tbl_sla[First Response SLA Minutes])</f>
        <v>30</v>
      </c>
      <c r="M2643" t="str">
        <f>IF(tbl_analysis_tickets[[#This Row],[resolution_time_hours]]&gt;tbl_analysis_tickets[[#This Row],[Resolution SLA Hours]],"Breached","Within SLA")</f>
        <v>Breached</v>
      </c>
      <c r="N2643" t="str">
        <f>IF(tbl_analysis_tickets[[#This Row],[first_response_minutes]]&gt;tbl_analysis_tickets[[#This Row],[First Response SLA Minutes]],"Breached","Within SLA")</f>
        <v>Breached</v>
      </c>
      <c r="O2643" t="str" cm="1">
        <f t="array" ref="O2643">_xlfn.IFS(
tbl_analysis_tickets[[#This Row],[agent_experience_years]]&lt;=2,"Junior",
tbl_analysis_tickets[[#This Row],[agent_experience_years]]&lt;=5,"Mid-Level",
tbl_analysis_tickets[[#This Row],[agent_experience_years]]&lt;=8,"Senior",
tbl_analysis_tickets[[#This Row],[agent_experience_years]]&gt;8,"Expert"
)</f>
        <v>Senior</v>
      </c>
      <c r="P2643" cm="1">
        <f t="array" ref="P2643">_xlfn.SWITCH(tbl_analysis_tickets[[#This Row],[customer_satisfaction]],
"Low",1,
"Medium",2,
"High",3
)</f>
        <v>1</v>
      </c>
      <c r="Q2643">
        <f>IF(tbl_analysis_tickets[[#This Row],[reopened]]="Yes",1,0)</f>
        <v>1</v>
      </c>
      <c r="R2643" t="str" cm="1">
        <f t="array" ref="R2643">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643" t="str" cm="1">
        <f t="array" ref="S264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643" t="str">
        <f>TEXT(tbl_analysis_tickets[[#This Row],[created_date]],"mmm-yyyy")</f>
        <v>Jan-2024</v>
      </c>
      <c r="U2643" t="str">
        <f>TEXT(tbl_analysis_tickets[[#This Row],[created_date]],"dddd")</f>
        <v>Tuesday</v>
      </c>
      <c r="V2643" cm="1">
        <f t="array" ref="V2643">_xlfn.SWITCH(tbl_analysis_tickets[[#This Row],[priority]],
"Urgent",1,
"High",2,
"Medium",3,
"Low",4
)</f>
        <v>1</v>
      </c>
    </row>
    <row r="2644" spans="1:22" x14ac:dyDescent="0.25">
      <c r="A2644">
        <v>2643</v>
      </c>
      <c r="B2644" s="1">
        <v>45341</v>
      </c>
      <c r="C2644" t="s">
        <v>23</v>
      </c>
      <c r="D2644" t="s">
        <v>20</v>
      </c>
      <c r="E2644">
        <v>56</v>
      </c>
      <c r="F2644">
        <v>2</v>
      </c>
      <c r="G2644">
        <v>9.1999999999999993</v>
      </c>
      <c r="H2644" t="s">
        <v>12</v>
      </c>
      <c r="I2644" t="s">
        <v>13</v>
      </c>
      <c r="J2644" t="s">
        <v>15</v>
      </c>
      <c r="K2644">
        <f>_xlfn.XLOOKUP(tbl_analysis_tickets[[#This Row],[priority]],tbl_sla[priority],tbl_sla[Resolution SLA Hours])</f>
        <v>24</v>
      </c>
      <c r="L2644">
        <f>_xlfn.XLOOKUP(tbl_analysis_tickets[[#This Row],[priority]],tbl_sla[priority],tbl_sla[First Response SLA Minutes])</f>
        <v>60</v>
      </c>
      <c r="M2644" t="str">
        <f>IF(tbl_analysis_tickets[[#This Row],[resolution_time_hours]]&gt;tbl_analysis_tickets[[#This Row],[Resolution SLA Hours]],"Breached","Within SLA")</f>
        <v>Within SLA</v>
      </c>
      <c r="N2644" t="str">
        <f>IF(tbl_analysis_tickets[[#This Row],[first_response_minutes]]&gt;tbl_analysis_tickets[[#This Row],[First Response SLA Minutes]],"Breached","Within SLA")</f>
        <v>Within SLA</v>
      </c>
      <c r="O2644" t="str" cm="1">
        <f t="array" ref="O2644">_xlfn.IFS(
tbl_analysis_tickets[[#This Row],[agent_experience_years]]&lt;=2,"Junior",
tbl_analysis_tickets[[#This Row],[agent_experience_years]]&lt;=5,"Mid-Level",
tbl_analysis_tickets[[#This Row],[agent_experience_years]]&lt;=8,"Senior",
tbl_analysis_tickets[[#This Row],[agent_experience_years]]&gt;8,"Expert"
)</f>
        <v>Expert</v>
      </c>
      <c r="P2644" cm="1">
        <f t="array" ref="P2644">_xlfn.SWITCH(tbl_analysis_tickets[[#This Row],[customer_satisfaction]],
"Low",1,
"Medium",2,
"High",3
)</f>
        <v>2</v>
      </c>
      <c r="Q2644">
        <f>IF(tbl_analysis_tickets[[#This Row],[reopened]]="Yes",1,0)</f>
        <v>1</v>
      </c>
      <c r="R2644" t="str" cm="1">
        <f t="array" ref="R2644">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644" t="str" cm="1">
        <f t="array" ref="S264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2644" t="str">
        <f>TEXT(tbl_analysis_tickets[[#This Row],[created_date]],"mmm-yyyy")</f>
        <v>Feb-2024</v>
      </c>
      <c r="U2644" t="str">
        <f>TEXT(tbl_analysis_tickets[[#This Row],[created_date]],"dddd")</f>
        <v>Monday</v>
      </c>
      <c r="V2644" cm="1">
        <f t="array" ref="V2644">_xlfn.SWITCH(tbl_analysis_tickets[[#This Row],[priority]],
"Urgent",1,
"High",2,
"Medium",3,
"Low",4
)</f>
        <v>2</v>
      </c>
    </row>
    <row r="2645" spans="1:22" x14ac:dyDescent="0.25">
      <c r="A2645">
        <v>2644</v>
      </c>
      <c r="B2645" s="1">
        <v>45342</v>
      </c>
      <c r="C2645" t="s">
        <v>22</v>
      </c>
      <c r="D2645" t="s">
        <v>20</v>
      </c>
      <c r="E2645">
        <v>205</v>
      </c>
      <c r="F2645">
        <v>11</v>
      </c>
      <c r="G2645">
        <v>3.3</v>
      </c>
      <c r="H2645" t="s">
        <v>18</v>
      </c>
      <c r="I2645" t="s">
        <v>16</v>
      </c>
      <c r="J2645" t="s">
        <v>11</v>
      </c>
      <c r="K2645">
        <f>_xlfn.XLOOKUP(tbl_analysis_tickets[[#This Row],[priority]],tbl_sla[priority],tbl_sla[Resolution SLA Hours])</f>
        <v>24</v>
      </c>
      <c r="L2645">
        <f>_xlfn.XLOOKUP(tbl_analysis_tickets[[#This Row],[priority]],tbl_sla[priority],tbl_sla[First Response SLA Minutes])</f>
        <v>60</v>
      </c>
      <c r="M2645" t="str">
        <f>IF(tbl_analysis_tickets[[#This Row],[resolution_time_hours]]&gt;tbl_analysis_tickets[[#This Row],[Resolution SLA Hours]],"Breached","Within SLA")</f>
        <v>Within SLA</v>
      </c>
      <c r="N2645" t="str">
        <f>IF(tbl_analysis_tickets[[#This Row],[first_response_minutes]]&gt;tbl_analysis_tickets[[#This Row],[First Response SLA Minutes]],"Breached","Within SLA")</f>
        <v>Breached</v>
      </c>
      <c r="O2645" t="str" cm="1">
        <f t="array" ref="O2645">_xlfn.IFS(
tbl_analysis_tickets[[#This Row],[agent_experience_years]]&lt;=2,"Junior",
tbl_analysis_tickets[[#This Row],[agent_experience_years]]&lt;=5,"Mid-Level",
tbl_analysis_tickets[[#This Row],[agent_experience_years]]&lt;=8,"Senior",
tbl_analysis_tickets[[#This Row],[agent_experience_years]]&gt;8,"Expert"
)</f>
        <v>Mid-Level</v>
      </c>
      <c r="P2645" cm="1">
        <f t="array" ref="P2645">_xlfn.SWITCH(tbl_analysis_tickets[[#This Row],[customer_satisfaction]],
"Low",1,
"Medium",2,
"High",3
)</f>
        <v>1</v>
      </c>
      <c r="Q2645">
        <f>IF(tbl_analysis_tickets[[#This Row],[reopened]]="Yes",1,0)</f>
        <v>0</v>
      </c>
      <c r="R2645" t="str" cm="1">
        <f t="array" ref="R2645">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645" t="str" cm="1">
        <f t="array" ref="S264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645" t="str">
        <f>TEXT(tbl_analysis_tickets[[#This Row],[created_date]],"mmm-yyyy")</f>
        <v>Feb-2024</v>
      </c>
      <c r="U2645" t="str">
        <f>TEXT(tbl_analysis_tickets[[#This Row],[created_date]],"dddd")</f>
        <v>Tuesday</v>
      </c>
      <c r="V2645" cm="1">
        <f t="array" ref="V2645">_xlfn.SWITCH(tbl_analysis_tickets[[#This Row],[priority]],
"Urgent",1,
"High",2,
"Medium",3,
"Low",4
)</f>
        <v>2</v>
      </c>
    </row>
    <row r="2646" spans="1:22" x14ac:dyDescent="0.25">
      <c r="A2646">
        <v>2645</v>
      </c>
      <c r="B2646" s="1">
        <v>45551</v>
      </c>
      <c r="C2646" t="s">
        <v>14</v>
      </c>
      <c r="D2646" t="s">
        <v>15</v>
      </c>
      <c r="E2646">
        <v>86</v>
      </c>
      <c r="F2646">
        <v>37</v>
      </c>
      <c r="G2646">
        <v>9.8000000000000007</v>
      </c>
      <c r="H2646" t="s">
        <v>12</v>
      </c>
      <c r="I2646" t="s">
        <v>13</v>
      </c>
      <c r="J2646" t="s">
        <v>11</v>
      </c>
      <c r="K2646">
        <f>_xlfn.XLOOKUP(tbl_analysis_tickets[[#This Row],[priority]],tbl_sla[priority],tbl_sla[Resolution SLA Hours])</f>
        <v>48</v>
      </c>
      <c r="L2646">
        <f>_xlfn.XLOOKUP(tbl_analysis_tickets[[#This Row],[priority]],tbl_sla[priority],tbl_sla[First Response SLA Minutes])</f>
        <v>120</v>
      </c>
      <c r="M2646" t="str">
        <f>IF(tbl_analysis_tickets[[#This Row],[resolution_time_hours]]&gt;tbl_analysis_tickets[[#This Row],[Resolution SLA Hours]],"Breached","Within SLA")</f>
        <v>Within SLA</v>
      </c>
      <c r="N2646" t="str">
        <f>IF(tbl_analysis_tickets[[#This Row],[first_response_minutes]]&gt;tbl_analysis_tickets[[#This Row],[First Response SLA Minutes]],"Breached","Within SLA")</f>
        <v>Within SLA</v>
      </c>
      <c r="O2646" t="str" cm="1">
        <f t="array" ref="O2646">_xlfn.IFS(
tbl_analysis_tickets[[#This Row],[agent_experience_years]]&lt;=2,"Junior",
tbl_analysis_tickets[[#This Row],[agent_experience_years]]&lt;=5,"Mid-Level",
tbl_analysis_tickets[[#This Row],[agent_experience_years]]&lt;=8,"Senior",
tbl_analysis_tickets[[#This Row],[agent_experience_years]]&gt;8,"Expert"
)</f>
        <v>Expert</v>
      </c>
      <c r="P2646" cm="1">
        <f t="array" ref="P2646">_xlfn.SWITCH(tbl_analysis_tickets[[#This Row],[customer_satisfaction]],
"Low",1,
"Medium",2,
"High",3
)</f>
        <v>1</v>
      </c>
      <c r="Q2646">
        <f>IF(tbl_analysis_tickets[[#This Row],[reopened]]="Yes",1,0)</f>
        <v>1</v>
      </c>
      <c r="R2646" t="str" cm="1">
        <f t="array" ref="R2646">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646" t="str" cm="1">
        <f t="array" ref="S264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646" t="str">
        <f>TEXT(tbl_analysis_tickets[[#This Row],[created_date]],"mmm-yyyy")</f>
        <v>Sep-2024</v>
      </c>
      <c r="U2646" t="str">
        <f>TEXT(tbl_analysis_tickets[[#This Row],[created_date]],"dddd")</f>
        <v>Monday</v>
      </c>
      <c r="V2646" cm="1">
        <f t="array" ref="V2646">_xlfn.SWITCH(tbl_analysis_tickets[[#This Row],[priority]],
"Urgent",1,
"High",2,
"Medium",3,
"Low",4
)</f>
        <v>3</v>
      </c>
    </row>
    <row r="2647" spans="1:22" x14ac:dyDescent="0.25">
      <c r="A2647">
        <v>2646</v>
      </c>
      <c r="B2647" s="1">
        <v>45556</v>
      </c>
      <c r="C2647" t="s">
        <v>10</v>
      </c>
      <c r="D2647" t="s">
        <v>17</v>
      </c>
      <c r="E2647">
        <v>121</v>
      </c>
      <c r="F2647">
        <v>30</v>
      </c>
      <c r="G2647">
        <v>7.5</v>
      </c>
      <c r="H2647" t="s">
        <v>18</v>
      </c>
      <c r="I2647" t="s">
        <v>16</v>
      </c>
      <c r="J2647" t="s">
        <v>11</v>
      </c>
      <c r="K2647">
        <f>_xlfn.XLOOKUP(tbl_analysis_tickets[[#This Row],[priority]],tbl_sla[priority],tbl_sla[Resolution SLA Hours])</f>
        <v>8</v>
      </c>
      <c r="L2647">
        <f>_xlfn.XLOOKUP(tbl_analysis_tickets[[#This Row],[priority]],tbl_sla[priority],tbl_sla[First Response SLA Minutes])</f>
        <v>30</v>
      </c>
      <c r="M2647" t="str">
        <f>IF(tbl_analysis_tickets[[#This Row],[resolution_time_hours]]&gt;tbl_analysis_tickets[[#This Row],[Resolution SLA Hours]],"Breached","Within SLA")</f>
        <v>Breached</v>
      </c>
      <c r="N2647" t="str">
        <f>IF(tbl_analysis_tickets[[#This Row],[first_response_minutes]]&gt;tbl_analysis_tickets[[#This Row],[First Response SLA Minutes]],"Breached","Within SLA")</f>
        <v>Breached</v>
      </c>
      <c r="O2647" t="str" cm="1">
        <f t="array" ref="O2647">_xlfn.IFS(
tbl_analysis_tickets[[#This Row],[agent_experience_years]]&lt;=2,"Junior",
tbl_analysis_tickets[[#This Row],[agent_experience_years]]&lt;=5,"Mid-Level",
tbl_analysis_tickets[[#This Row],[agent_experience_years]]&lt;=8,"Senior",
tbl_analysis_tickets[[#This Row],[agent_experience_years]]&gt;8,"Expert"
)</f>
        <v>Senior</v>
      </c>
      <c r="P2647" cm="1">
        <f t="array" ref="P2647">_xlfn.SWITCH(tbl_analysis_tickets[[#This Row],[customer_satisfaction]],
"Low",1,
"Medium",2,
"High",3
)</f>
        <v>1</v>
      </c>
      <c r="Q2647">
        <f>IF(tbl_analysis_tickets[[#This Row],[reopened]]="Yes",1,0)</f>
        <v>0</v>
      </c>
      <c r="R2647" t="str" cm="1">
        <f t="array" ref="R2647">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647" t="str" cm="1">
        <f t="array" ref="S264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647" t="str">
        <f>TEXT(tbl_analysis_tickets[[#This Row],[created_date]],"mmm-yyyy")</f>
        <v>Sep-2024</v>
      </c>
      <c r="U2647" t="str">
        <f>TEXT(tbl_analysis_tickets[[#This Row],[created_date]],"dddd")</f>
        <v>Saturday</v>
      </c>
      <c r="V2647" cm="1">
        <f t="array" ref="V2647">_xlfn.SWITCH(tbl_analysis_tickets[[#This Row],[priority]],
"Urgent",1,
"High",2,
"Medium",3,
"Low",4
)</f>
        <v>1</v>
      </c>
    </row>
    <row r="2648" spans="1:22" x14ac:dyDescent="0.25">
      <c r="A2648">
        <v>2647</v>
      </c>
      <c r="B2648" s="1">
        <v>45301</v>
      </c>
      <c r="C2648" t="s">
        <v>21</v>
      </c>
      <c r="D2648" t="s">
        <v>20</v>
      </c>
      <c r="E2648">
        <v>48</v>
      </c>
      <c r="F2648">
        <v>55</v>
      </c>
      <c r="G2648">
        <v>9.3000000000000007</v>
      </c>
      <c r="H2648" t="s">
        <v>18</v>
      </c>
      <c r="I2648" t="s">
        <v>13</v>
      </c>
      <c r="J2648" t="s">
        <v>11</v>
      </c>
      <c r="K2648">
        <f>_xlfn.XLOOKUP(tbl_analysis_tickets[[#This Row],[priority]],tbl_sla[priority],tbl_sla[Resolution SLA Hours])</f>
        <v>24</v>
      </c>
      <c r="L2648">
        <f>_xlfn.XLOOKUP(tbl_analysis_tickets[[#This Row],[priority]],tbl_sla[priority],tbl_sla[First Response SLA Minutes])</f>
        <v>60</v>
      </c>
      <c r="M2648" t="str">
        <f>IF(tbl_analysis_tickets[[#This Row],[resolution_time_hours]]&gt;tbl_analysis_tickets[[#This Row],[Resolution SLA Hours]],"Breached","Within SLA")</f>
        <v>Breached</v>
      </c>
      <c r="N2648" t="str">
        <f>IF(tbl_analysis_tickets[[#This Row],[first_response_minutes]]&gt;tbl_analysis_tickets[[#This Row],[First Response SLA Minutes]],"Breached","Within SLA")</f>
        <v>Within SLA</v>
      </c>
      <c r="O2648" t="str" cm="1">
        <f t="array" ref="O2648">_xlfn.IFS(
tbl_analysis_tickets[[#This Row],[agent_experience_years]]&lt;=2,"Junior",
tbl_analysis_tickets[[#This Row],[agent_experience_years]]&lt;=5,"Mid-Level",
tbl_analysis_tickets[[#This Row],[agent_experience_years]]&lt;=8,"Senior",
tbl_analysis_tickets[[#This Row],[agent_experience_years]]&gt;8,"Expert"
)</f>
        <v>Expert</v>
      </c>
      <c r="P2648" cm="1">
        <f t="array" ref="P2648">_xlfn.SWITCH(tbl_analysis_tickets[[#This Row],[customer_satisfaction]],
"Low",1,
"Medium",2,
"High",3
)</f>
        <v>1</v>
      </c>
      <c r="Q2648">
        <f>IF(tbl_analysis_tickets[[#This Row],[reopened]]="Yes",1,0)</f>
        <v>0</v>
      </c>
      <c r="R2648" t="str" cm="1">
        <f t="array" ref="R2648">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648" t="str" cm="1">
        <f t="array" ref="S264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648" t="str">
        <f>TEXT(tbl_analysis_tickets[[#This Row],[created_date]],"mmm-yyyy")</f>
        <v>Jan-2024</v>
      </c>
      <c r="U2648" t="str">
        <f>TEXT(tbl_analysis_tickets[[#This Row],[created_date]],"dddd")</f>
        <v>Wednesday</v>
      </c>
      <c r="V2648" cm="1">
        <f t="array" ref="V2648">_xlfn.SWITCH(tbl_analysis_tickets[[#This Row],[priority]],
"Urgent",1,
"High",2,
"Medium",3,
"Low",4
)</f>
        <v>2</v>
      </c>
    </row>
    <row r="2649" spans="1:22" x14ac:dyDescent="0.25">
      <c r="A2649">
        <v>2648</v>
      </c>
      <c r="B2649" s="1">
        <v>45417</v>
      </c>
      <c r="C2649" t="s">
        <v>22</v>
      </c>
      <c r="D2649" t="s">
        <v>11</v>
      </c>
      <c r="E2649">
        <v>158</v>
      </c>
      <c r="F2649">
        <v>8</v>
      </c>
      <c r="G2649">
        <v>6.8</v>
      </c>
      <c r="H2649" t="s">
        <v>18</v>
      </c>
      <c r="I2649" t="s">
        <v>13</v>
      </c>
      <c r="J2649" t="s">
        <v>15</v>
      </c>
      <c r="K2649">
        <f>_xlfn.XLOOKUP(tbl_analysis_tickets[[#This Row],[priority]],tbl_sla[priority],tbl_sla[Resolution SLA Hours])</f>
        <v>72</v>
      </c>
      <c r="L2649">
        <f>_xlfn.XLOOKUP(tbl_analysis_tickets[[#This Row],[priority]],tbl_sla[priority],tbl_sla[First Response SLA Minutes])</f>
        <v>240</v>
      </c>
      <c r="M2649" t="str">
        <f>IF(tbl_analysis_tickets[[#This Row],[resolution_time_hours]]&gt;tbl_analysis_tickets[[#This Row],[Resolution SLA Hours]],"Breached","Within SLA")</f>
        <v>Within SLA</v>
      </c>
      <c r="N2649" t="str">
        <f>IF(tbl_analysis_tickets[[#This Row],[first_response_minutes]]&gt;tbl_analysis_tickets[[#This Row],[First Response SLA Minutes]],"Breached","Within SLA")</f>
        <v>Within SLA</v>
      </c>
      <c r="O2649" t="str" cm="1">
        <f t="array" ref="O2649">_xlfn.IFS(
tbl_analysis_tickets[[#This Row],[agent_experience_years]]&lt;=2,"Junior",
tbl_analysis_tickets[[#This Row],[agent_experience_years]]&lt;=5,"Mid-Level",
tbl_analysis_tickets[[#This Row],[agent_experience_years]]&lt;=8,"Senior",
tbl_analysis_tickets[[#This Row],[agent_experience_years]]&gt;8,"Expert"
)</f>
        <v>Senior</v>
      </c>
      <c r="P2649" cm="1">
        <f t="array" ref="P2649">_xlfn.SWITCH(tbl_analysis_tickets[[#This Row],[customer_satisfaction]],
"Low",1,
"Medium",2,
"High",3
)</f>
        <v>2</v>
      </c>
      <c r="Q2649">
        <f>IF(tbl_analysis_tickets[[#This Row],[reopened]]="Yes",1,0)</f>
        <v>0</v>
      </c>
      <c r="R2649" t="str" cm="1">
        <f t="array" ref="R2649">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649" t="str" cm="1">
        <f t="array" ref="S264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2649" t="str">
        <f>TEXT(tbl_analysis_tickets[[#This Row],[created_date]],"mmm-yyyy")</f>
        <v>May-2024</v>
      </c>
      <c r="U2649" t="str">
        <f>TEXT(tbl_analysis_tickets[[#This Row],[created_date]],"dddd")</f>
        <v>Sunday</v>
      </c>
      <c r="V2649" cm="1">
        <f t="array" ref="V2649">_xlfn.SWITCH(tbl_analysis_tickets[[#This Row],[priority]],
"Urgent",1,
"High",2,
"Medium",3,
"Low",4
)</f>
        <v>4</v>
      </c>
    </row>
    <row r="2650" spans="1:22" x14ac:dyDescent="0.25">
      <c r="A2650">
        <v>2649</v>
      </c>
      <c r="B2650" s="1">
        <v>45531</v>
      </c>
      <c r="C2650" t="s">
        <v>14</v>
      </c>
      <c r="D2650" t="s">
        <v>15</v>
      </c>
      <c r="E2650">
        <v>152</v>
      </c>
      <c r="F2650">
        <v>51</v>
      </c>
      <c r="G2650">
        <v>1.5</v>
      </c>
      <c r="H2650" t="s">
        <v>18</v>
      </c>
      <c r="I2650" t="s">
        <v>16</v>
      </c>
      <c r="J2650" t="s">
        <v>11</v>
      </c>
      <c r="K2650">
        <f>_xlfn.XLOOKUP(tbl_analysis_tickets[[#This Row],[priority]],tbl_sla[priority],tbl_sla[Resolution SLA Hours])</f>
        <v>48</v>
      </c>
      <c r="L2650">
        <f>_xlfn.XLOOKUP(tbl_analysis_tickets[[#This Row],[priority]],tbl_sla[priority],tbl_sla[First Response SLA Minutes])</f>
        <v>120</v>
      </c>
      <c r="M2650" t="str">
        <f>IF(tbl_analysis_tickets[[#This Row],[resolution_time_hours]]&gt;tbl_analysis_tickets[[#This Row],[Resolution SLA Hours]],"Breached","Within SLA")</f>
        <v>Breached</v>
      </c>
      <c r="N2650" t="str">
        <f>IF(tbl_analysis_tickets[[#This Row],[first_response_minutes]]&gt;tbl_analysis_tickets[[#This Row],[First Response SLA Minutes]],"Breached","Within SLA")</f>
        <v>Breached</v>
      </c>
      <c r="O2650" t="str" cm="1">
        <f t="array" ref="O2650">_xlfn.IFS(
tbl_analysis_tickets[[#This Row],[agent_experience_years]]&lt;=2,"Junior",
tbl_analysis_tickets[[#This Row],[agent_experience_years]]&lt;=5,"Mid-Level",
tbl_analysis_tickets[[#This Row],[agent_experience_years]]&lt;=8,"Senior",
tbl_analysis_tickets[[#This Row],[agent_experience_years]]&gt;8,"Expert"
)</f>
        <v>Junior</v>
      </c>
      <c r="P2650" cm="1">
        <f t="array" ref="P2650">_xlfn.SWITCH(tbl_analysis_tickets[[#This Row],[customer_satisfaction]],
"Low",1,
"Medium",2,
"High",3
)</f>
        <v>1</v>
      </c>
      <c r="Q2650">
        <f>IF(tbl_analysis_tickets[[#This Row],[reopened]]="Yes",1,0)</f>
        <v>0</v>
      </c>
      <c r="R2650" t="str" cm="1">
        <f t="array" ref="R2650">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650" t="str" cm="1">
        <f t="array" ref="S265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650" t="str">
        <f>TEXT(tbl_analysis_tickets[[#This Row],[created_date]],"mmm-yyyy")</f>
        <v>Aug-2024</v>
      </c>
      <c r="U2650" t="str">
        <f>TEXT(tbl_analysis_tickets[[#This Row],[created_date]],"dddd")</f>
        <v>Tuesday</v>
      </c>
      <c r="V2650" cm="1">
        <f t="array" ref="V2650">_xlfn.SWITCH(tbl_analysis_tickets[[#This Row],[priority]],
"Urgent",1,
"High",2,
"Medium",3,
"Low",4
)</f>
        <v>3</v>
      </c>
    </row>
    <row r="2651" spans="1:22" x14ac:dyDescent="0.25">
      <c r="A2651">
        <v>2650</v>
      </c>
      <c r="B2651" s="1">
        <v>45621</v>
      </c>
      <c r="C2651" t="s">
        <v>10</v>
      </c>
      <c r="D2651" t="s">
        <v>20</v>
      </c>
      <c r="E2651">
        <v>93</v>
      </c>
      <c r="F2651">
        <v>51</v>
      </c>
      <c r="G2651">
        <v>8.9</v>
      </c>
      <c r="H2651" t="s">
        <v>18</v>
      </c>
      <c r="I2651" t="s">
        <v>13</v>
      </c>
      <c r="J2651" t="s">
        <v>11</v>
      </c>
      <c r="K2651">
        <f>_xlfn.XLOOKUP(tbl_analysis_tickets[[#This Row],[priority]],tbl_sla[priority],tbl_sla[Resolution SLA Hours])</f>
        <v>24</v>
      </c>
      <c r="L2651">
        <f>_xlfn.XLOOKUP(tbl_analysis_tickets[[#This Row],[priority]],tbl_sla[priority],tbl_sla[First Response SLA Minutes])</f>
        <v>60</v>
      </c>
      <c r="M2651" t="str">
        <f>IF(tbl_analysis_tickets[[#This Row],[resolution_time_hours]]&gt;tbl_analysis_tickets[[#This Row],[Resolution SLA Hours]],"Breached","Within SLA")</f>
        <v>Breached</v>
      </c>
      <c r="N2651" t="str">
        <f>IF(tbl_analysis_tickets[[#This Row],[first_response_minutes]]&gt;tbl_analysis_tickets[[#This Row],[First Response SLA Minutes]],"Breached","Within SLA")</f>
        <v>Breached</v>
      </c>
      <c r="O2651" t="str" cm="1">
        <f t="array" ref="O2651">_xlfn.IFS(
tbl_analysis_tickets[[#This Row],[agent_experience_years]]&lt;=2,"Junior",
tbl_analysis_tickets[[#This Row],[agent_experience_years]]&lt;=5,"Mid-Level",
tbl_analysis_tickets[[#This Row],[agent_experience_years]]&lt;=8,"Senior",
tbl_analysis_tickets[[#This Row],[agent_experience_years]]&gt;8,"Expert"
)</f>
        <v>Expert</v>
      </c>
      <c r="P2651" cm="1">
        <f t="array" ref="P2651">_xlfn.SWITCH(tbl_analysis_tickets[[#This Row],[customer_satisfaction]],
"Low",1,
"Medium",2,
"High",3
)</f>
        <v>1</v>
      </c>
      <c r="Q2651">
        <f>IF(tbl_analysis_tickets[[#This Row],[reopened]]="Yes",1,0)</f>
        <v>0</v>
      </c>
      <c r="R2651" t="str" cm="1">
        <f t="array" ref="R2651">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651" t="str" cm="1">
        <f t="array" ref="S265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651" t="str">
        <f>TEXT(tbl_analysis_tickets[[#This Row],[created_date]],"mmm-yyyy")</f>
        <v>Nov-2024</v>
      </c>
      <c r="U2651" t="str">
        <f>TEXT(tbl_analysis_tickets[[#This Row],[created_date]],"dddd")</f>
        <v>Monday</v>
      </c>
      <c r="V2651" cm="1">
        <f t="array" ref="V2651">_xlfn.SWITCH(tbl_analysis_tickets[[#This Row],[priority]],
"Urgent",1,
"High",2,
"Medium",3,
"Low",4
)</f>
        <v>2</v>
      </c>
    </row>
    <row r="2652" spans="1:22" x14ac:dyDescent="0.25">
      <c r="A2652">
        <v>2651</v>
      </c>
      <c r="B2652" s="1">
        <v>45568</v>
      </c>
      <c r="C2652" t="s">
        <v>14</v>
      </c>
      <c r="D2652" t="s">
        <v>15</v>
      </c>
      <c r="E2652">
        <v>137</v>
      </c>
      <c r="F2652">
        <v>30</v>
      </c>
      <c r="G2652">
        <v>2</v>
      </c>
      <c r="H2652" t="s">
        <v>18</v>
      </c>
      <c r="I2652" t="s">
        <v>13</v>
      </c>
      <c r="J2652" t="s">
        <v>11</v>
      </c>
      <c r="K2652">
        <f>_xlfn.XLOOKUP(tbl_analysis_tickets[[#This Row],[priority]],tbl_sla[priority],tbl_sla[Resolution SLA Hours])</f>
        <v>48</v>
      </c>
      <c r="L2652">
        <f>_xlfn.XLOOKUP(tbl_analysis_tickets[[#This Row],[priority]],tbl_sla[priority],tbl_sla[First Response SLA Minutes])</f>
        <v>120</v>
      </c>
      <c r="M2652" t="str">
        <f>IF(tbl_analysis_tickets[[#This Row],[resolution_time_hours]]&gt;tbl_analysis_tickets[[#This Row],[Resolution SLA Hours]],"Breached","Within SLA")</f>
        <v>Within SLA</v>
      </c>
      <c r="N2652" t="str">
        <f>IF(tbl_analysis_tickets[[#This Row],[first_response_minutes]]&gt;tbl_analysis_tickets[[#This Row],[First Response SLA Minutes]],"Breached","Within SLA")</f>
        <v>Breached</v>
      </c>
      <c r="O2652" t="str" cm="1">
        <f t="array" ref="O2652">_xlfn.IFS(
tbl_analysis_tickets[[#This Row],[agent_experience_years]]&lt;=2,"Junior",
tbl_analysis_tickets[[#This Row],[agent_experience_years]]&lt;=5,"Mid-Level",
tbl_analysis_tickets[[#This Row],[agent_experience_years]]&lt;=8,"Senior",
tbl_analysis_tickets[[#This Row],[agent_experience_years]]&gt;8,"Expert"
)</f>
        <v>Junior</v>
      </c>
      <c r="P2652" cm="1">
        <f t="array" ref="P2652">_xlfn.SWITCH(tbl_analysis_tickets[[#This Row],[customer_satisfaction]],
"Low",1,
"Medium",2,
"High",3
)</f>
        <v>1</v>
      </c>
      <c r="Q2652">
        <f>IF(tbl_analysis_tickets[[#This Row],[reopened]]="Yes",1,0)</f>
        <v>0</v>
      </c>
      <c r="R2652" t="str" cm="1">
        <f t="array" ref="R2652">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652" t="str" cm="1">
        <f t="array" ref="S265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652" t="str">
        <f>TEXT(tbl_analysis_tickets[[#This Row],[created_date]],"mmm-yyyy")</f>
        <v>Oct-2024</v>
      </c>
      <c r="U2652" t="str">
        <f>TEXT(tbl_analysis_tickets[[#This Row],[created_date]],"dddd")</f>
        <v>Thursday</v>
      </c>
      <c r="V2652" cm="1">
        <f t="array" ref="V2652">_xlfn.SWITCH(tbl_analysis_tickets[[#This Row],[priority]],
"Urgent",1,
"High",2,
"Medium",3,
"Low",4
)</f>
        <v>3</v>
      </c>
    </row>
    <row r="2653" spans="1:22" x14ac:dyDescent="0.25">
      <c r="A2653">
        <v>2652</v>
      </c>
      <c r="B2653" s="1">
        <v>45446</v>
      </c>
      <c r="C2653" t="s">
        <v>22</v>
      </c>
      <c r="D2653" t="s">
        <v>15</v>
      </c>
      <c r="E2653">
        <v>69</v>
      </c>
      <c r="F2653">
        <v>10</v>
      </c>
      <c r="G2653">
        <v>9.1999999999999993</v>
      </c>
      <c r="H2653" t="s">
        <v>12</v>
      </c>
      <c r="I2653" t="s">
        <v>16</v>
      </c>
      <c r="J2653" t="s">
        <v>11</v>
      </c>
      <c r="K2653">
        <f>_xlfn.XLOOKUP(tbl_analysis_tickets[[#This Row],[priority]],tbl_sla[priority],tbl_sla[Resolution SLA Hours])</f>
        <v>48</v>
      </c>
      <c r="L2653">
        <f>_xlfn.XLOOKUP(tbl_analysis_tickets[[#This Row],[priority]],tbl_sla[priority],tbl_sla[First Response SLA Minutes])</f>
        <v>120</v>
      </c>
      <c r="M2653" t="str">
        <f>IF(tbl_analysis_tickets[[#This Row],[resolution_time_hours]]&gt;tbl_analysis_tickets[[#This Row],[Resolution SLA Hours]],"Breached","Within SLA")</f>
        <v>Within SLA</v>
      </c>
      <c r="N2653" t="str">
        <f>IF(tbl_analysis_tickets[[#This Row],[first_response_minutes]]&gt;tbl_analysis_tickets[[#This Row],[First Response SLA Minutes]],"Breached","Within SLA")</f>
        <v>Within SLA</v>
      </c>
      <c r="O2653" t="str" cm="1">
        <f t="array" ref="O2653">_xlfn.IFS(
tbl_analysis_tickets[[#This Row],[agent_experience_years]]&lt;=2,"Junior",
tbl_analysis_tickets[[#This Row],[agent_experience_years]]&lt;=5,"Mid-Level",
tbl_analysis_tickets[[#This Row],[agent_experience_years]]&lt;=8,"Senior",
tbl_analysis_tickets[[#This Row],[agent_experience_years]]&gt;8,"Expert"
)</f>
        <v>Expert</v>
      </c>
      <c r="P2653" cm="1">
        <f t="array" ref="P2653">_xlfn.SWITCH(tbl_analysis_tickets[[#This Row],[customer_satisfaction]],
"Low",1,
"Medium",2,
"High",3
)</f>
        <v>1</v>
      </c>
      <c r="Q2653">
        <f>IF(tbl_analysis_tickets[[#This Row],[reopened]]="Yes",1,0)</f>
        <v>1</v>
      </c>
      <c r="R2653" t="str" cm="1">
        <f t="array" ref="R2653">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653" t="str" cm="1">
        <f t="array" ref="S265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653" t="str">
        <f>TEXT(tbl_analysis_tickets[[#This Row],[created_date]],"mmm-yyyy")</f>
        <v>Jun-2024</v>
      </c>
      <c r="U2653" t="str">
        <f>TEXT(tbl_analysis_tickets[[#This Row],[created_date]],"dddd")</f>
        <v>Monday</v>
      </c>
      <c r="V2653" cm="1">
        <f t="array" ref="V2653">_xlfn.SWITCH(tbl_analysis_tickets[[#This Row],[priority]],
"Urgent",1,
"High",2,
"Medium",3,
"Low",4
)</f>
        <v>3</v>
      </c>
    </row>
    <row r="2654" spans="1:22" x14ac:dyDescent="0.25">
      <c r="A2654">
        <v>2653</v>
      </c>
      <c r="B2654" s="1">
        <v>45589</v>
      </c>
      <c r="C2654" t="s">
        <v>21</v>
      </c>
      <c r="D2654" t="s">
        <v>20</v>
      </c>
      <c r="E2654">
        <v>7</v>
      </c>
      <c r="F2654">
        <v>49</v>
      </c>
      <c r="G2654">
        <v>1.6</v>
      </c>
      <c r="H2654" t="s">
        <v>18</v>
      </c>
      <c r="I2654" t="s">
        <v>19</v>
      </c>
      <c r="J2654" t="s">
        <v>15</v>
      </c>
      <c r="K2654">
        <f>_xlfn.XLOOKUP(tbl_analysis_tickets[[#This Row],[priority]],tbl_sla[priority],tbl_sla[Resolution SLA Hours])</f>
        <v>24</v>
      </c>
      <c r="L2654">
        <f>_xlfn.XLOOKUP(tbl_analysis_tickets[[#This Row],[priority]],tbl_sla[priority],tbl_sla[First Response SLA Minutes])</f>
        <v>60</v>
      </c>
      <c r="M2654" t="str">
        <f>IF(tbl_analysis_tickets[[#This Row],[resolution_time_hours]]&gt;tbl_analysis_tickets[[#This Row],[Resolution SLA Hours]],"Breached","Within SLA")</f>
        <v>Breached</v>
      </c>
      <c r="N2654" t="str">
        <f>IF(tbl_analysis_tickets[[#This Row],[first_response_minutes]]&gt;tbl_analysis_tickets[[#This Row],[First Response SLA Minutes]],"Breached","Within SLA")</f>
        <v>Within SLA</v>
      </c>
      <c r="O2654" t="str" cm="1">
        <f t="array" ref="O2654">_xlfn.IFS(
tbl_analysis_tickets[[#This Row],[agent_experience_years]]&lt;=2,"Junior",
tbl_analysis_tickets[[#This Row],[agent_experience_years]]&lt;=5,"Mid-Level",
tbl_analysis_tickets[[#This Row],[agent_experience_years]]&lt;=8,"Senior",
tbl_analysis_tickets[[#This Row],[agent_experience_years]]&gt;8,"Expert"
)</f>
        <v>Junior</v>
      </c>
      <c r="P2654" cm="1">
        <f t="array" ref="P2654">_xlfn.SWITCH(tbl_analysis_tickets[[#This Row],[customer_satisfaction]],
"Low",1,
"Medium",2,
"High",3
)</f>
        <v>2</v>
      </c>
      <c r="Q2654">
        <f>IF(tbl_analysis_tickets[[#This Row],[reopened]]="Yes",1,0)</f>
        <v>0</v>
      </c>
      <c r="R2654" t="str" cm="1">
        <f t="array" ref="R2654">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2654" t="str" cm="1">
        <f t="array" ref="S265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654" t="str">
        <f>TEXT(tbl_analysis_tickets[[#This Row],[created_date]],"mmm-yyyy")</f>
        <v>Oct-2024</v>
      </c>
      <c r="U2654" t="str">
        <f>TEXT(tbl_analysis_tickets[[#This Row],[created_date]],"dddd")</f>
        <v>Thursday</v>
      </c>
      <c r="V2654" cm="1">
        <f t="array" ref="V2654">_xlfn.SWITCH(tbl_analysis_tickets[[#This Row],[priority]],
"Urgent",1,
"High",2,
"Medium",3,
"Low",4
)</f>
        <v>2</v>
      </c>
    </row>
    <row r="2655" spans="1:22" x14ac:dyDescent="0.25">
      <c r="A2655">
        <v>2654</v>
      </c>
      <c r="B2655" s="1">
        <v>45416</v>
      </c>
      <c r="C2655" t="s">
        <v>14</v>
      </c>
      <c r="D2655" t="s">
        <v>11</v>
      </c>
      <c r="E2655">
        <v>129</v>
      </c>
      <c r="F2655">
        <v>45</v>
      </c>
      <c r="G2655">
        <v>7.1</v>
      </c>
      <c r="H2655" t="s">
        <v>18</v>
      </c>
      <c r="I2655" t="s">
        <v>19</v>
      </c>
      <c r="J2655" t="s">
        <v>15</v>
      </c>
      <c r="K2655">
        <f>_xlfn.XLOOKUP(tbl_analysis_tickets[[#This Row],[priority]],tbl_sla[priority],tbl_sla[Resolution SLA Hours])</f>
        <v>72</v>
      </c>
      <c r="L2655">
        <f>_xlfn.XLOOKUP(tbl_analysis_tickets[[#This Row],[priority]],tbl_sla[priority],tbl_sla[First Response SLA Minutes])</f>
        <v>240</v>
      </c>
      <c r="M2655" t="str">
        <f>IF(tbl_analysis_tickets[[#This Row],[resolution_time_hours]]&gt;tbl_analysis_tickets[[#This Row],[Resolution SLA Hours]],"Breached","Within SLA")</f>
        <v>Within SLA</v>
      </c>
      <c r="N2655" t="str">
        <f>IF(tbl_analysis_tickets[[#This Row],[first_response_minutes]]&gt;tbl_analysis_tickets[[#This Row],[First Response SLA Minutes]],"Breached","Within SLA")</f>
        <v>Within SLA</v>
      </c>
      <c r="O2655" t="str" cm="1">
        <f t="array" ref="O2655">_xlfn.IFS(
tbl_analysis_tickets[[#This Row],[agent_experience_years]]&lt;=2,"Junior",
tbl_analysis_tickets[[#This Row],[agent_experience_years]]&lt;=5,"Mid-Level",
tbl_analysis_tickets[[#This Row],[agent_experience_years]]&lt;=8,"Senior",
tbl_analysis_tickets[[#This Row],[agent_experience_years]]&gt;8,"Expert"
)</f>
        <v>Senior</v>
      </c>
      <c r="P2655" cm="1">
        <f t="array" ref="P2655">_xlfn.SWITCH(tbl_analysis_tickets[[#This Row],[customer_satisfaction]],
"Low",1,
"Medium",2,
"High",3
)</f>
        <v>2</v>
      </c>
      <c r="Q2655">
        <f>IF(tbl_analysis_tickets[[#This Row],[reopened]]="Yes",1,0)</f>
        <v>0</v>
      </c>
      <c r="R2655" t="str" cm="1">
        <f t="array" ref="R2655">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655" t="str" cm="1">
        <f t="array" ref="S265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655" t="str">
        <f>TEXT(tbl_analysis_tickets[[#This Row],[created_date]],"mmm-yyyy")</f>
        <v>May-2024</v>
      </c>
      <c r="U2655" t="str">
        <f>TEXT(tbl_analysis_tickets[[#This Row],[created_date]],"dddd")</f>
        <v>Saturday</v>
      </c>
      <c r="V2655" cm="1">
        <f t="array" ref="V2655">_xlfn.SWITCH(tbl_analysis_tickets[[#This Row],[priority]],
"Urgent",1,
"High",2,
"Medium",3,
"Low",4
)</f>
        <v>4</v>
      </c>
    </row>
    <row r="2656" spans="1:22" x14ac:dyDescent="0.25">
      <c r="A2656">
        <v>2655</v>
      </c>
      <c r="B2656" s="1">
        <v>45613</v>
      </c>
      <c r="C2656" t="s">
        <v>10</v>
      </c>
      <c r="D2656" t="s">
        <v>11</v>
      </c>
      <c r="E2656">
        <v>41</v>
      </c>
      <c r="F2656">
        <v>9</v>
      </c>
      <c r="G2656">
        <v>3.2</v>
      </c>
      <c r="H2656" t="s">
        <v>12</v>
      </c>
      <c r="I2656" t="s">
        <v>13</v>
      </c>
      <c r="J2656" t="s">
        <v>11</v>
      </c>
      <c r="K2656">
        <f>_xlfn.XLOOKUP(tbl_analysis_tickets[[#This Row],[priority]],tbl_sla[priority],tbl_sla[Resolution SLA Hours])</f>
        <v>72</v>
      </c>
      <c r="L2656">
        <f>_xlfn.XLOOKUP(tbl_analysis_tickets[[#This Row],[priority]],tbl_sla[priority],tbl_sla[First Response SLA Minutes])</f>
        <v>240</v>
      </c>
      <c r="M2656" t="str">
        <f>IF(tbl_analysis_tickets[[#This Row],[resolution_time_hours]]&gt;tbl_analysis_tickets[[#This Row],[Resolution SLA Hours]],"Breached","Within SLA")</f>
        <v>Within SLA</v>
      </c>
      <c r="N2656" t="str">
        <f>IF(tbl_analysis_tickets[[#This Row],[first_response_minutes]]&gt;tbl_analysis_tickets[[#This Row],[First Response SLA Minutes]],"Breached","Within SLA")</f>
        <v>Within SLA</v>
      </c>
      <c r="O2656" t="str" cm="1">
        <f t="array" ref="O2656">_xlfn.IFS(
tbl_analysis_tickets[[#This Row],[agent_experience_years]]&lt;=2,"Junior",
tbl_analysis_tickets[[#This Row],[agent_experience_years]]&lt;=5,"Mid-Level",
tbl_analysis_tickets[[#This Row],[agent_experience_years]]&lt;=8,"Senior",
tbl_analysis_tickets[[#This Row],[agent_experience_years]]&gt;8,"Expert"
)</f>
        <v>Mid-Level</v>
      </c>
      <c r="P2656" cm="1">
        <f t="array" ref="P2656">_xlfn.SWITCH(tbl_analysis_tickets[[#This Row],[customer_satisfaction]],
"Low",1,
"Medium",2,
"High",3
)</f>
        <v>1</v>
      </c>
      <c r="Q2656">
        <f>IF(tbl_analysis_tickets[[#This Row],[reopened]]="Yes",1,0)</f>
        <v>1</v>
      </c>
      <c r="R2656" t="str" cm="1">
        <f t="array" ref="R2656">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656" t="str" cm="1">
        <f t="array" ref="S265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656" t="str">
        <f>TEXT(tbl_analysis_tickets[[#This Row],[created_date]],"mmm-yyyy")</f>
        <v>Nov-2024</v>
      </c>
      <c r="U2656" t="str">
        <f>TEXT(tbl_analysis_tickets[[#This Row],[created_date]],"dddd")</f>
        <v>Sunday</v>
      </c>
      <c r="V2656" cm="1">
        <f t="array" ref="V2656">_xlfn.SWITCH(tbl_analysis_tickets[[#This Row],[priority]],
"Urgent",1,
"High",2,
"Medium",3,
"Low",4
)</f>
        <v>4</v>
      </c>
    </row>
    <row r="2657" spans="1:22" x14ac:dyDescent="0.25">
      <c r="A2657">
        <v>2656</v>
      </c>
      <c r="B2657" s="1">
        <v>45399</v>
      </c>
      <c r="C2657" t="s">
        <v>14</v>
      </c>
      <c r="D2657" t="s">
        <v>11</v>
      </c>
      <c r="E2657">
        <v>152</v>
      </c>
      <c r="F2657">
        <v>14</v>
      </c>
      <c r="G2657">
        <v>4.5</v>
      </c>
      <c r="H2657" t="s">
        <v>12</v>
      </c>
      <c r="I2657" t="s">
        <v>16</v>
      </c>
      <c r="J2657" t="s">
        <v>11</v>
      </c>
      <c r="K2657">
        <f>_xlfn.XLOOKUP(tbl_analysis_tickets[[#This Row],[priority]],tbl_sla[priority],tbl_sla[Resolution SLA Hours])</f>
        <v>72</v>
      </c>
      <c r="L2657">
        <f>_xlfn.XLOOKUP(tbl_analysis_tickets[[#This Row],[priority]],tbl_sla[priority],tbl_sla[First Response SLA Minutes])</f>
        <v>240</v>
      </c>
      <c r="M2657" t="str">
        <f>IF(tbl_analysis_tickets[[#This Row],[resolution_time_hours]]&gt;tbl_analysis_tickets[[#This Row],[Resolution SLA Hours]],"Breached","Within SLA")</f>
        <v>Within SLA</v>
      </c>
      <c r="N2657" t="str">
        <f>IF(tbl_analysis_tickets[[#This Row],[first_response_minutes]]&gt;tbl_analysis_tickets[[#This Row],[First Response SLA Minutes]],"Breached","Within SLA")</f>
        <v>Within SLA</v>
      </c>
      <c r="O2657" t="str" cm="1">
        <f t="array" ref="O2657">_xlfn.IFS(
tbl_analysis_tickets[[#This Row],[agent_experience_years]]&lt;=2,"Junior",
tbl_analysis_tickets[[#This Row],[agent_experience_years]]&lt;=5,"Mid-Level",
tbl_analysis_tickets[[#This Row],[agent_experience_years]]&lt;=8,"Senior",
tbl_analysis_tickets[[#This Row],[agent_experience_years]]&gt;8,"Expert"
)</f>
        <v>Mid-Level</v>
      </c>
      <c r="P2657" cm="1">
        <f t="array" ref="P2657">_xlfn.SWITCH(tbl_analysis_tickets[[#This Row],[customer_satisfaction]],
"Low",1,
"Medium",2,
"High",3
)</f>
        <v>1</v>
      </c>
      <c r="Q2657">
        <f>IF(tbl_analysis_tickets[[#This Row],[reopened]]="Yes",1,0)</f>
        <v>1</v>
      </c>
      <c r="R2657" t="str" cm="1">
        <f t="array" ref="R2657">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657" t="str" cm="1">
        <f t="array" ref="S265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657" t="str">
        <f>TEXT(tbl_analysis_tickets[[#This Row],[created_date]],"mmm-yyyy")</f>
        <v>Apr-2024</v>
      </c>
      <c r="U2657" t="str">
        <f>TEXT(tbl_analysis_tickets[[#This Row],[created_date]],"dddd")</f>
        <v>Wednesday</v>
      </c>
      <c r="V2657" cm="1">
        <f t="array" ref="V2657">_xlfn.SWITCH(tbl_analysis_tickets[[#This Row],[priority]],
"Urgent",1,
"High",2,
"Medium",3,
"Low",4
)</f>
        <v>4</v>
      </c>
    </row>
    <row r="2658" spans="1:22" x14ac:dyDescent="0.25">
      <c r="A2658">
        <v>2657</v>
      </c>
      <c r="B2658" s="1">
        <v>45322</v>
      </c>
      <c r="C2658" t="s">
        <v>23</v>
      </c>
      <c r="D2658" t="s">
        <v>15</v>
      </c>
      <c r="E2658">
        <v>208</v>
      </c>
      <c r="F2658">
        <v>57</v>
      </c>
      <c r="G2658">
        <v>9.6</v>
      </c>
      <c r="H2658" t="s">
        <v>12</v>
      </c>
      <c r="I2658" t="s">
        <v>16</v>
      </c>
      <c r="J2658" t="s">
        <v>11</v>
      </c>
      <c r="K2658">
        <f>_xlfn.XLOOKUP(tbl_analysis_tickets[[#This Row],[priority]],tbl_sla[priority],tbl_sla[Resolution SLA Hours])</f>
        <v>48</v>
      </c>
      <c r="L2658">
        <f>_xlfn.XLOOKUP(tbl_analysis_tickets[[#This Row],[priority]],tbl_sla[priority],tbl_sla[First Response SLA Minutes])</f>
        <v>120</v>
      </c>
      <c r="M2658" t="str">
        <f>IF(tbl_analysis_tickets[[#This Row],[resolution_time_hours]]&gt;tbl_analysis_tickets[[#This Row],[Resolution SLA Hours]],"Breached","Within SLA")</f>
        <v>Breached</v>
      </c>
      <c r="N2658" t="str">
        <f>IF(tbl_analysis_tickets[[#This Row],[first_response_minutes]]&gt;tbl_analysis_tickets[[#This Row],[First Response SLA Minutes]],"Breached","Within SLA")</f>
        <v>Breached</v>
      </c>
      <c r="O2658" t="str" cm="1">
        <f t="array" ref="O2658">_xlfn.IFS(
tbl_analysis_tickets[[#This Row],[agent_experience_years]]&lt;=2,"Junior",
tbl_analysis_tickets[[#This Row],[agent_experience_years]]&lt;=5,"Mid-Level",
tbl_analysis_tickets[[#This Row],[agent_experience_years]]&lt;=8,"Senior",
tbl_analysis_tickets[[#This Row],[agent_experience_years]]&gt;8,"Expert"
)</f>
        <v>Expert</v>
      </c>
      <c r="P2658" cm="1">
        <f t="array" ref="P2658">_xlfn.SWITCH(tbl_analysis_tickets[[#This Row],[customer_satisfaction]],
"Low",1,
"Medium",2,
"High",3
)</f>
        <v>1</v>
      </c>
      <c r="Q2658">
        <f>IF(tbl_analysis_tickets[[#This Row],[reopened]]="Yes",1,0)</f>
        <v>1</v>
      </c>
      <c r="R2658" t="str" cm="1">
        <f t="array" ref="R2658">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658" t="str" cm="1">
        <f t="array" ref="S265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658" t="str">
        <f>TEXT(tbl_analysis_tickets[[#This Row],[created_date]],"mmm-yyyy")</f>
        <v>Jan-2024</v>
      </c>
      <c r="U2658" t="str">
        <f>TEXT(tbl_analysis_tickets[[#This Row],[created_date]],"dddd")</f>
        <v>Wednesday</v>
      </c>
      <c r="V2658" cm="1">
        <f t="array" ref="V2658">_xlfn.SWITCH(tbl_analysis_tickets[[#This Row],[priority]],
"Urgent",1,
"High",2,
"Medium",3,
"Low",4
)</f>
        <v>3</v>
      </c>
    </row>
    <row r="2659" spans="1:22" x14ac:dyDescent="0.25">
      <c r="A2659">
        <v>2658</v>
      </c>
      <c r="B2659" s="1">
        <v>45348</v>
      </c>
      <c r="C2659" t="s">
        <v>23</v>
      </c>
      <c r="D2659" t="s">
        <v>15</v>
      </c>
      <c r="E2659">
        <v>54</v>
      </c>
      <c r="F2659">
        <v>55</v>
      </c>
      <c r="G2659">
        <v>3.2</v>
      </c>
      <c r="H2659" t="s">
        <v>12</v>
      </c>
      <c r="I2659" t="s">
        <v>16</v>
      </c>
      <c r="J2659" t="s">
        <v>11</v>
      </c>
      <c r="K2659">
        <f>_xlfn.XLOOKUP(tbl_analysis_tickets[[#This Row],[priority]],tbl_sla[priority],tbl_sla[Resolution SLA Hours])</f>
        <v>48</v>
      </c>
      <c r="L2659">
        <f>_xlfn.XLOOKUP(tbl_analysis_tickets[[#This Row],[priority]],tbl_sla[priority],tbl_sla[First Response SLA Minutes])</f>
        <v>120</v>
      </c>
      <c r="M2659" t="str">
        <f>IF(tbl_analysis_tickets[[#This Row],[resolution_time_hours]]&gt;tbl_analysis_tickets[[#This Row],[Resolution SLA Hours]],"Breached","Within SLA")</f>
        <v>Breached</v>
      </c>
      <c r="N2659" t="str">
        <f>IF(tbl_analysis_tickets[[#This Row],[first_response_minutes]]&gt;tbl_analysis_tickets[[#This Row],[First Response SLA Minutes]],"Breached","Within SLA")</f>
        <v>Within SLA</v>
      </c>
      <c r="O2659" t="str" cm="1">
        <f t="array" ref="O2659">_xlfn.IFS(
tbl_analysis_tickets[[#This Row],[agent_experience_years]]&lt;=2,"Junior",
tbl_analysis_tickets[[#This Row],[agent_experience_years]]&lt;=5,"Mid-Level",
tbl_analysis_tickets[[#This Row],[agent_experience_years]]&lt;=8,"Senior",
tbl_analysis_tickets[[#This Row],[agent_experience_years]]&gt;8,"Expert"
)</f>
        <v>Mid-Level</v>
      </c>
      <c r="P2659" cm="1">
        <f t="array" ref="P2659">_xlfn.SWITCH(tbl_analysis_tickets[[#This Row],[customer_satisfaction]],
"Low",1,
"Medium",2,
"High",3
)</f>
        <v>1</v>
      </c>
      <c r="Q2659">
        <f>IF(tbl_analysis_tickets[[#This Row],[reopened]]="Yes",1,0)</f>
        <v>1</v>
      </c>
      <c r="R2659" t="str" cm="1">
        <f t="array" ref="R2659">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659" t="str" cm="1">
        <f t="array" ref="S265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659" t="str">
        <f>TEXT(tbl_analysis_tickets[[#This Row],[created_date]],"mmm-yyyy")</f>
        <v>Feb-2024</v>
      </c>
      <c r="U2659" t="str">
        <f>TEXT(tbl_analysis_tickets[[#This Row],[created_date]],"dddd")</f>
        <v>Monday</v>
      </c>
      <c r="V2659" cm="1">
        <f t="array" ref="V2659">_xlfn.SWITCH(tbl_analysis_tickets[[#This Row],[priority]],
"Urgent",1,
"High",2,
"Medium",3,
"Low",4
)</f>
        <v>3</v>
      </c>
    </row>
    <row r="2660" spans="1:22" x14ac:dyDescent="0.25">
      <c r="A2660">
        <v>2659</v>
      </c>
      <c r="B2660" s="1">
        <v>45411</v>
      </c>
      <c r="C2660" t="s">
        <v>21</v>
      </c>
      <c r="D2660" t="s">
        <v>15</v>
      </c>
      <c r="E2660">
        <v>59</v>
      </c>
      <c r="F2660">
        <v>58</v>
      </c>
      <c r="G2660">
        <v>4.3</v>
      </c>
      <c r="H2660" t="s">
        <v>18</v>
      </c>
      <c r="I2660" t="s">
        <v>16</v>
      </c>
      <c r="J2660" t="s">
        <v>11</v>
      </c>
      <c r="K2660">
        <f>_xlfn.XLOOKUP(tbl_analysis_tickets[[#This Row],[priority]],tbl_sla[priority],tbl_sla[Resolution SLA Hours])</f>
        <v>48</v>
      </c>
      <c r="L2660">
        <f>_xlfn.XLOOKUP(tbl_analysis_tickets[[#This Row],[priority]],tbl_sla[priority],tbl_sla[First Response SLA Minutes])</f>
        <v>120</v>
      </c>
      <c r="M2660" t="str">
        <f>IF(tbl_analysis_tickets[[#This Row],[resolution_time_hours]]&gt;tbl_analysis_tickets[[#This Row],[Resolution SLA Hours]],"Breached","Within SLA")</f>
        <v>Breached</v>
      </c>
      <c r="N2660" t="str">
        <f>IF(tbl_analysis_tickets[[#This Row],[first_response_minutes]]&gt;tbl_analysis_tickets[[#This Row],[First Response SLA Minutes]],"Breached","Within SLA")</f>
        <v>Within SLA</v>
      </c>
      <c r="O2660" t="str" cm="1">
        <f t="array" ref="O2660">_xlfn.IFS(
tbl_analysis_tickets[[#This Row],[agent_experience_years]]&lt;=2,"Junior",
tbl_analysis_tickets[[#This Row],[agent_experience_years]]&lt;=5,"Mid-Level",
tbl_analysis_tickets[[#This Row],[agent_experience_years]]&lt;=8,"Senior",
tbl_analysis_tickets[[#This Row],[agent_experience_years]]&gt;8,"Expert"
)</f>
        <v>Mid-Level</v>
      </c>
      <c r="P2660" cm="1">
        <f t="array" ref="P2660">_xlfn.SWITCH(tbl_analysis_tickets[[#This Row],[customer_satisfaction]],
"Low",1,
"Medium",2,
"High",3
)</f>
        <v>1</v>
      </c>
      <c r="Q2660">
        <f>IF(tbl_analysis_tickets[[#This Row],[reopened]]="Yes",1,0)</f>
        <v>0</v>
      </c>
      <c r="R2660" t="str" cm="1">
        <f t="array" ref="R2660">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660" t="str" cm="1">
        <f t="array" ref="S266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660" t="str">
        <f>TEXT(tbl_analysis_tickets[[#This Row],[created_date]],"mmm-yyyy")</f>
        <v>Apr-2024</v>
      </c>
      <c r="U2660" t="str">
        <f>TEXT(tbl_analysis_tickets[[#This Row],[created_date]],"dddd")</f>
        <v>Monday</v>
      </c>
      <c r="V2660" cm="1">
        <f t="array" ref="V2660">_xlfn.SWITCH(tbl_analysis_tickets[[#This Row],[priority]],
"Urgent",1,
"High",2,
"Medium",3,
"Low",4
)</f>
        <v>3</v>
      </c>
    </row>
    <row r="2661" spans="1:22" x14ac:dyDescent="0.25">
      <c r="A2661">
        <v>2660</v>
      </c>
      <c r="B2661" s="1">
        <v>45363</v>
      </c>
      <c r="C2661" t="s">
        <v>22</v>
      </c>
      <c r="D2661" t="s">
        <v>11</v>
      </c>
      <c r="E2661">
        <v>240</v>
      </c>
      <c r="F2661">
        <v>71</v>
      </c>
      <c r="G2661">
        <v>10</v>
      </c>
      <c r="H2661" t="s">
        <v>12</v>
      </c>
      <c r="I2661" t="s">
        <v>16</v>
      </c>
      <c r="J2661" t="s">
        <v>11</v>
      </c>
      <c r="K2661">
        <f>_xlfn.XLOOKUP(tbl_analysis_tickets[[#This Row],[priority]],tbl_sla[priority],tbl_sla[Resolution SLA Hours])</f>
        <v>72</v>
      </c>
      <c r="L2661">
        <f>_xlfn.XLOOKUP(tbl_analysis_tickets[[#This Row],[priority]],tbl_sla[priority],tbl_sla[First Response SLA Minutes])</f>
        <v>240</v>
      </c>
      <c r="M2661" t="str">
        <f>IF(tbl_analysis_tickets[[#This Row],[resolution_time_hours]]&gt;tbl_analysis_tickets[[#This Row],[Resolution SLA Hours]],"Breached","Within SLA")</f>
        <v>Within SLA</v>
      </c>
      <c r="N2661" t="str">
        <f>IF(tbl_analysis_tickets[[#This Row],[first_response_minutes]]&gt;tbl_analysis_tickets[[#This Row],[First Response SLA Minutes]],"Breached","Within SLA")</f>
        <v>Within SLA</v>
      </c>
      <c r="O2661" t="str" cm="1">
        <f t="array" ref="O2661">_xlfn.IFS(
tbl_analysis_tickets[[#This Row],[agent_experience_years]]&lt;=2,"Junior",
tbl_analysis_tickets[[#This Row],[agent_experience_years]]&lt;=5,"Mid-Level",
tbl_analysis_tickets[[#This Row],[agent_experience_years]]&lt;=8,"Senior",
tbl_analysis_tickets[[#This Row],[agent_experience_years]]&gt;8,"Expert"
)</f>
        <v>Expert</v>
      </c>
      <c r="P2661" cm="1">
        <f t="array" ref="P2661">_xlfn.SWITCH(tbl_analysis_tickets[[#This Row],[customer_satisfaction]],
"Low",1,
"Medium",2,
"High",3
)</f>
        <v>1</v>
      </c>
      <c r="Q2661">
        <f>IF(tbl_analysis_tickets[[#This Row],[reopened]]="Yes",1,0)</f>
        <v>1</v>
      </c>
      <c r="R2661" t="str" cm="1">
        <f t="array" ref="R2661">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661" t="str" cm="1">
        <f t="array" ref="S266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661" t="str">
        <f>TEXT(tbl_analysis_tickets[[#This Row],[created_date]],"mmm-yyyy")</f>
        <v>Mar-2024</v>
      </c>
      <c r="U2661" t="str">
        <f>TEXT(tbl_analysis_tickets[[#This Row],[created_date]],"dddd")</f>
        <v>Tuesday</v>
      </c>
      <c r="V2661" cm="1">
        <f t="array" ref="V2661">_xlfn.SWITCH(tbl_analysis_tickets[[#This Row],[priority]],
"Urgent",1,
"High",2,
"Medium",3,
"Low",4
)</f>
        <v>4</v>
      </c>
    </row>
    <row r="2662" spans="1:22" x14ac:dyDescent="0.25">
      <c r="A2662">
        <v>2661</v>
      </c>
      <c r="B2662" s="1">
        <v>45572</v>
      </c>
      <c r="C2662" t="s">
        <v>10</v>
      </c>
      <c r="D2662" t="s">
        <v>15</v>
      </c>
      <c r="E2662">
        <v>84</v>
      </c>
      <c r="F2662">
        <v>49</v>
      </c>
      <c r="G2662">
        <v>7.4</v>
      </c>
      <c r="H2662" t="s">
        <v>18</v>
      </c>
      <c r="I2662" t="s">
        <v>19</v>
      </c>
      <c r="J2662" t="s">
        <v>15</v>
      </c>
      <c r="K2662">
        <f>_xlfn.XLOOKUP(tbl_analysis_tickets[[#This Row],[priority]],tbl_sla[priority],tbl_sla[Resolution SLA Hours])</f>
        <v>48</v>
      </c>
      <c r="L2662">
        <f>_xlfn.XLOOKUP(tbl_analysis_tickets[[#This Row],[priority]],tbl_sla[priority],tbl_sla[First Response SLA Minutes])</f>
        <v>120</v>
      </c>
      <c r="M2662" t="str">
        <f>IF(tbl_analysis_tickets[[#This Row],[resolution_time_hours]]&gt;tbl_analysis_tickets[[#This Row],[Resolution SLA Hours]],"Breached","Within SLA")</f>
        <v>Breached</v>
      </c>
      <c r="N2662" t="str">
        <f>IF(tbl_analysis_tickets[[#This Row],[first_response_minutes]]&gt;tbl_analysis_tickets[[#This Row],[First Response SLA Minutes]],"Breached","Within SLA")</f>
        <v>Within SLA</v>
      </c>
      <c r="O2662" t="str" cm="1">
        <f t="array" ref="O2662">_xlfn.IFS(
tbl_analysis_tickets[[#This Row],[agent_experience_years]]&lt;=2,"Junior",
tbl_analysis_tickets[[#This Row],[agent_experience_years]]&lt;=5,"Mid-Level",
tbl_analysis_tickets[[#This Row],[agent_experience_years]]&lt;=8,"Senior",
tbl_analysis_tickets[[#This Row],[agent_experience_years]]&gt;8,"Expert"
)</f>
        <v>Senior</v>
      </c>
      <c r="P2662" cm="1">
        <f t="array" ref="P2662">_xlfn.SWITCH(tbl_analysis_tickets[[#This Row],[customer_satisfaction]],
"Low",1,
"Medium",2,
"High",3
)</f>
        <v>2</v>
      </c>
      <c r="Q2662">
        <f>IF(tbl_analysis_tickets[[#This Row],[reopened]]="Yes",1,0)</f>
        <v>0</v>
      </c>
      <c r="R2662" t="str" cm="1">
        <f t="array" ref="R2662">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662" t="str" cm="1">
        <f t="array" ref="S266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662" t="str">
        <f>TEXT(tbl_analysis_tickets[[#This Row],[created_date]],"mmm-yyyy")</f>
        <v>Oct-2024</v>
      </c>
      <c r="U2662" t="str">
        <f>TEXT(tbl_analysis_tickets[[#This Row],[created_date]],"dddd")</f>
        <v>Monday</v>
      </c>
      <c r="V2662" cm="1">
        <f t="array" ref="V2662">_xlfn.SWITCH(tbl_analysis_tickets[[#This Row],[priority]],
"Urgent",1,
"High",2,
"Medium",3,
"Low",4
)</f>
        <v>3</v>
      </c>
    </row>
    <row r="2663" spans="1:22" x14ac:dyDescent="0.25">
      <c r="A2663">
        <v>2662</v>
      </c>
      <c r="B2663" s="1">
        <v>45305</v>
      </c>
      <c r="C2663" t="s">
        <v>10</v>
      </c>
      <c r="D2663" t="s">
        <v>17</v>
      </c>
      <c r="E2663">
        <v>225</v>
      </c>
      <c r="F2663">
        <v>15</v>
      </c>
      <c r="G2663">
        <v>8.6</v>
      </c>
      <c r="H2663" t="s">
        <v>12</v>
      </c>
      <c r="I2663" t="s">
        <v>16</v>
      </c>
      <c r="J2663" t="s">
        <v>11</v>
      </c>
      <c r="K2663">
        <f>_xlfn.XLOOKUP(tbl_analysis_tickets[[#This Row],[priority]],tbl_sla[priority],tbl_sla[Resolution SLA Hours])</f>
        <v>8</v>
      </c>
      <c r="L2663">
        <f>_xlfn.XLOOKUP(tbl_analysis_tickets[[#This Row],[priority]],tbl_sla[priority],tbl_sla[First Response SLA Minutes])</f>
        <v>30</v>
      </c>
      <c r="M2663" t="str">
        <f>IF(tbl_analysis_tickets[[#This Row],[resolution_time_hours]]&gt;tbl_analysis_tickets[[#This Row],[Resolution SLA Hours]],"Breached","Within SLA")</f>
        <v>Breached</v>
      </c>
      <c r="N2663" t="str">
        <f>IF(tbl_analysis_tickets[[#This Row],[first_response_minutes]]&gt;tbl_analysis_tickets[[#This Row],[First Response SLA Minutes]],"Breached","Within SLA")</f>
        <v>Breached</v>
      </c>
      <c r="O2663" t="str" cm="1">
        <f t="array" ref="O2663">_xlfn.IFS(
tbl_analysis_tickets[[#This Row],[agent_experience_years]]&lt;=2,"Junior",
tbl_analysis_tickets[[#This Row],[agent_experience_years]]&lt;=5,"Mid-Level",
tbl_analysis_tickets[[#This Row],[agent_experience_years]]&lt;=8,"Senior",
tbl_analysis_tickets[[#This Row],[agent_experience_years]]&gt;8,"Expert"
)</f>
        <v>Expert</v>
      </c>
      <c r="P2663" cm="1">
        <f t="array" ref="P2663">_xlfn.SWITCH(tbl_analysis_tickets[[#This Row],[customer_satisfaction]],
"Low",1,
"Medium",2,
"High",3
)</f>
        <v>1</v>
      </c>
      <c r="Q2663">
        <f>IF(tbl_analysis_tickets[[#This Row],[reopened]]="Yes",1,0)</f>
        <v>1</v>
      </c>
      <c r="R2663" t="str" cm="1">
        <f t="array" ref="R2663">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663" t="str" cm="1">
        <f t="array" ref="S266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663" t="str">
        <f>TEXT(tbl_analysis_tickets[[#This Row],[created_date]],"mmm-yyyy")</f>
        <v>Jan-2024</v>
      </c>
      <c r="U2663" t="str">
        <f>TEXT(tbl_analysis_tickets[[#This Row],[created_date]],"dddd")</f>
        <v>Sunday</v>
      </c>
      <c r="V2663" cm="1">
        <f t="array" ref="V2663">_xlfn.SWITCH(tbl_analysis_tickets[[#This Row],[priority]],
"Urgent",1,
"High",2,
"Medium",3,
"Low",4
)</f>
        <v>1</v>
      </c>
    </row>
    <row r="2664" spans="1:22" x14ac:dyDescent="0.25">
      <c r="A2664">
        <v>2663</v>
      </c>
      <c r="B2664" s="1">
        <v>45454</v>
      </c>
      <c r="C2664" t="s">
        <v>14</v>
      </c>
      <c r="D2664" t="s">
        <v>11</v>
      </c>
      <c r="E2664">
        <v>137</v>
      </c>
      <c r="F2664">
        <v>6</v>
      </c>
      <c r="G2664">
        <v>9.6999999999999993</v>
      </c>
      <c r="H2664" t="s">
        <v>18</v>
      </c>
      <c r="I2664" t="s">
        <v>13</v>
      </c>
      <c r="J2664" t="s">
        <v>20</v>
      </c>
      <c r="K2664">
        <f>_xlfn.XLOOKUP(tbl_analysis_tickets[[#This Row],[priority]],tbl_sla[priority],tbl_sla[Resolution SLA Hours])</f>
        <v>72</v>
      </c>
      <c r="L2664">
        <f>_xlfn.XLOOKUP(tbl_analysis_tickets[[#This Row],[priority]],tbl_sla[priority],tbl_sla[First Response SLA Minutes])</f>
        <v>240</v>
      </c>
      <c r="M2664" t="str">
        <f>IF(tbl_analysis_tickets[[#This Row],[resolution_time_hours]]&gt;tbl_analysis_tickets[[#This Row],[Resolution SLA Hours]],"Breached","Within SLA")</f>
        <v>Within SLA</v>
      </c>
      <c r="N2664" t="str">
        <f>IF(tbl_analysis_tickets[[#This Row],[first_response_minutes]]&gt;tbl_analysis_tickets[[#This Row],[First Response SLA Minutes]],"Breached","Within SLA")</f>
        <v>Within SLA</v>
      </c>
      <c r="O2664" t="str" cm="1">
        <f t="array" ref="O2664">_xlfn.IFS(
tbl_analysis_tickets[[#This Row],[agent_experience_years]]&lt;=2,"Junior",
tbl_analysis_tickets[[#This Row],[agent_experience_years]]&lt;=5,"Mid-Level",
tbl_analysis_tickets[[#This Row],[agent_experience_years]]&lt;=8,"Senior",
tbl_analysis_tickets[[#This Row],[agent_experience_years]]&gt;8,"Expert"
)</f>
        <v>Expert</v>
      </c>
      <c r="P2664" cm="1">
        <f t="array" ref="P2664">_xlfn.SWITCH(tbl_analysis_tickets[[#This Row],[customer_satisfaction]],
"Low",1,
"Medium",2,
"High",3
)</f>
        <v>3</v>
      </c>
      <c r="Q2664">
        <f>IF(tbl_analysis_tickets[[#This Row],[reopened]]="Yes",1,0)</f>
        <v>0</v>
      </c>
      <c r="R2664" t="str" cm="1">
        <f t="array" ref="R2664">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664" t="str" cm="1">
        <f t="array" ref="S266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2664" t="str">
        <f>TEXT(tbl_analysis_tickets[[#This Row],[created_date]],"mmm-yyyy")</f>
        <v>Jun-2024</v>
      </c>
      <c r="U2664" t="str">
        <f>TEXT(tbl_analysis_tickets[[#This Row],[created_date]],"dddd")</f>
        <v>Tuesday</v>
      </c>
      <c r="V2664" cm="1">
        <f t="array" ref="V2664">_xlfn.SWITCH(tbl_analysis_tickets[[#This Row],[priority]],
"Urgent",1,
"High",2,
"Medium",3,
"Low",4
)</f>
        <v>4</v>
      </c>
    </row>
    <row r="2665" spans="1:22" x14ac:dyDescent="0.25">
      <c r="A2665">
        <v>2664</v>
      </c>
      <c r="B2665" s="1">
        <v>45438</v>
      </c>
      <c r="C2665" t="s">
        <v>21</v>
      </c>
      <c r="D2665" t="s">
        <v>20</v>
      </c>
      <c r="E2665">
        <v>168</v>
      </c>
      <c r="F2665">
        <v>18</v>
      </c>
      <c r="G2665">
        <v>9.8000000000000007</v>
      </c>
      <c r="H2665" t="s">
        <v>12</v>
      </c>
      <c r="I2665" t="s">
        <v>13</v>
      </c>
      <c r="J2665" t="s">
        <v>11</v>
      </c>
      <c r="K2665">
        <f>_xlfn.XLOOKUP(tbl_analysis_tickets[[#This Row],[priority]],tbl_sla[priority],tbl_sla[Resolution SLA Hours])</f>
        <v>24</v>
      </c>
      <c r="L2665">
        <f>_xlfn.XLOOKUP(tbl_analysis_tickets[[#This Row],[priority]],tbl_sla[priority],tbl_sla[First Response SLA Minutes])</f>
        <v>60</v>
      </c>
      <c r="M2665" t="str">
        <f>IF(tbl_analysis_tickets[[#This Row],[resolution_time_hours]]&gt;tbl_analysis_tickets[[#This Row],[Resolution SLA Hours]],"Breached","Within SLA")</f>
        <v>Within SLA</v>
      </c>
      <c r="N2665" t="str">
        <f>IF(tbl_analysis_tickets[[#This Row],[first_response_minutes]]&gt;tbl_analysis_tickets[[#This Row],[First Response SLA Minutes]],"Breached","Within SLA")</f>
        <v>Breached</v>
      </c>
      <c r="O2665" t="str" cm="1">
        <f t="array" ref="O2665">_xlfn.IFS(
tbl_analysis_tickets[[#This Row],[agent_experience_years]]&lt;=2,"Junior",
tbl_analysis_tickets[[#This Row],[agent_experience_years]]&lt;=5,"Mid-Level",
tbl_analysis_tickets[[#This Row],[agent_experience_years]]&lt;=8,"Senior",
tbl_analysis_tickets[[#This Row],[agent_experience_years]]&gt;8,"Expert"
)</f>
        <v>Expert</v>
      </c>
      <c r="P2665" cm="1">
        <f t="array" ref="P2665">_xlfn.SWITCH(tbl_analysis_tickets[[#This Row],[customer_satisfaction]],
"Low",1,
"Medium",2,
"High",3
)</f>
        <v>1</v>
      </c>
      <c r="Q2665">
        <f>IF(tbl_analysis_tickets[[#This Row],[reopened]]="Yes",1,0)</f>
        <v>1</v>
      </c>
      <c r="R2665" t="str" cm="1">
        <f t="array" ref="R2665">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665" t="str" cm="1">
        <f t="array" ref="S266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665" t="str">
        <f>TEXT(tbl_analysis_tickets[[#This Row],[created_date]],"mmm-yyyy")</f>
        <v>May-2024</v>
      </c>
      <c r="U2665" t="str">
        <f>TEXT(tbl_analysis_tickets[[#This Row],[created_date]],"dddd")</f>
        <v>Sunday</v>
      </c>
      <c r="V2665" cm="1">
        <f t="array" ref="V2665">_xlfn.SWITCH(tbl_analysis_tickets[[#This Row],[priority]],
"Urgent",1,
"High",2,
"Medium",3,
"Low",4
)</f>
        <v>2</v>
      </c>
    </row>
    <row r="2666" spans="1:22" x14ac:dyDescent="0.25">
      <c r="A2666">
        <v>2665</v>
      </c>
      <c r="B2666" s="1">
        <v>45450</v>
      </c>
      <c r="C2666" t="s">
        <v>21</v>
      </c>
      <c r="D2666" t="s">
        <v>20</v>
      </c>
      <c r="E2666">
        <v>161</v>
      </c>
      <c r="F2666">
        <v>30</v>
      </c>
      <c r="G2666">
        <v>1.6</v>
      </c>
      <c r="H2666" t="s">
        <v>12</v>
      </c>
      <c r="I2666" t="s">
        <v>13</v>
      </c>
      <c r="J2666" t="s">
        <v>11</v>
      </c>
      <c r="K2666">
        <f>_xlfn.XLOOKUP(tbl_analysis_tickets[[#This Row],[priority]],tbl_sla[priority],tbl_sla[Resolution SLA Hours])</f>
        <v>24</v>
      </c>
      <c r="L2666">
        <f>_xlfn.XLOOKUP(tbl_analysis_tickets[[#This Row],[priority]],tbl_sla[priority],tbl_sla[First Response SLA Minutes])</f>
        <v>60</v>
      </c>
      <c r="M2666" t="str">
        <f>IF(tbl_analysis_tickets[[#This Row],[resolution_time_hours]]&gt;tbl_analysis_tickets[[#This Row],[Resolution SLA Hours]],"Breached","Within SLA")</f>
        <v>Breached</v>
      </c>
      <c r="N2666" t="str">
        <f>IF(tbl_analysis_tickets[[#This Row],[first_response_minutes]]&gt;tbl_analysis_tickets[[#This Row],[First Response SLA Minutes]],"Breached","Within SLA")</f>
        <v>Breached</v>
      </c>
      <c r="O2666" t="str" cm="1">
        <f t="array" ref="O2666">_xlfn.IFS(
tbl_analysis_tickets[[#This Row],[agent_experience_years]]&lt;=2,"Junior",
tbl_analysis_tickets[[#This Row],[agent_experience_years]]&lt;=5,"Mid-Level",
tbl_analysis_tickets[[#This Row],[agent_experience_years]]&lt;=8,"Senior",
tbl_analysis_tickets[[#This Row],[agent_experience_years]]&gt;8,"Expert"
)</f>
        <v>Junior</v>
      </c>
      <c r="P2666" cm="1">
        <f t="array" ref="P2666">_xlfn.SWITCH(tbl_analysis_tickets[[#This Row],[customer_satisfaction]],
"Low",1,
"Medium",2,
"High",3
)</f>
        <v>1</v>
      </c>
      <c r="Q2666">
        <f>IF(tbl_analysis_tickets[[#This Row],[reopened]]="Yes",1,0)</f>
        <v>1</v>
      </c>
      <c r="R2666" t="str" cm="1">
        <f t="array" ref="R2666">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666" t="str" cm="1">
        <f t="array" ref="S266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666" t="str">
        <f>TEXT(tbl_analysis_tickets[[#This Row],[created_date]],"mmm-yyyy")</f>
        <v>Jun-2024</v>
      </c>
      <c r="U2666" t="str">
        <f>TEXT(tbl_analysis_tickets[[#This Row],[created_date]],"dddd")</f>
        <v>Friday</v>
      </c>
      <c r="V2666" cm="1">
        <f t="array" ref="V2666">_xlfn.SWITCH(tbl_analysis_tickets[[#This Row],[priority]],
"Urgent",1,
"High",2,
"Medium",3,
"Low",4
)</f>
        <v>2</v>
      </c>
    </row>
    <row r="2667" spans="1:22" x14ac:dyDescent="0.25">
      <c r="A2667">
        <v>2666</v>
      </c>
      <c r="B2667" s="1">
        <v>45399</v>
      </c>
      <c r="C2667" t="s">
        <v>21</v>
      </c>
      <c r="D2667" t="s">
        <v>15</v>
      </c>
      <c r="E2667">
        <v>150</v>
      </c>
      <c r="F2667">
        <v>63</v>
      </c>
      <c r="G2667">
        <v>1.3</v>
      </c>
      <c r="H2667" t="s">
        <v>12</v>
      </c>
      <c r="I2667" t="s">
        <v>19</v>
      </c>
      <c r="J2667" t="s">
        <v>11</v>
      </c>
      <c r="K2667">
        <f>_xlfn.XLOOKUP(tbl_analysis_tickets[[#This Row],[priority]],tbl_sla[priority],tbl_sla[Resolution SLA Hours])</f>
        <v>48</v>
      </c>
      <c r="L2667">
        <f>_xlfn.XLOOKUP(tbl_analysis_tickets[[#This Row],[priority]],tbl_sla[priority],tbl_sla[First Response SLA Minutes])</f>
        <v>120</v>
      </c>
      <c r="M2667" t="str">
        <f>IF(tbl_analysis_tickets[[#This Row],[resolution_time_hours]]&gt;tbl_analysis_tickets[[#This Row],[Resolution SLA Hours]],"Breached","Within SLA")</f>
        <v>Breached</v>
      </c>
      <c r="N2667" t="str">
        <f>IF(tbl_analysis_tickets[[#This Row],[first_response_minutes]]&gt;tbl_analysis_tickets[[#This Row],[First Response SLA Minutes]],"Breached","Within SLA")</f>
        <v>Breached</v>
      </c>
      <c r="O2667" t="str" cm="1">
        <f t="array" ref="O2667">_xlfn.IFS(
tbl_analysis_tickets[[#This Row],[agent_experience_years]]&lt;=2,"Junior",
tbl_analysis_tickets[[#This Row],[agent_experience_years]]&lt;=5,"Mid-Level",
tbl_analysis_tickets[[#This Row],[agent_experience_years]]&lt;=8,"Senior",
tbl_analysis_tickets[[#This Row],[agent_experience_years]]&gt;8,"Expert"
)</f>
        <v>Junior</v>
      </c>
      <c r="P2667" cm="1">
        <f t="array" ref="P2667">_xlfn.SWITCH(tbl_analysis_tickets[[#This Row],[customer_satisfaction]],
"Low",1,
"Medium",2,
"High",3
)</f>
        <v>1</v>
      </c>
      <c r="Q2667">
        <f>IF(tbl_analysis_tickets[[#This Row],[reopened]]="Yes",1,0)</f>
        <v>1</v>
      </c>
      <c r="R2667" t="str" cm="1">
        <f t="array" ref="R2667">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667" t="str" cm="1">
        <f t="array" ref="S266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667" t="str">
        <f>TEXT(tbl_analysis_tickets[[#This Row],[created_date]],"mmm-yyyy")</f>
        <v>Apr-2024</v>
      </c>
      <c r="U2667" t="str">
        <f>TEXT(tbl_analysis_tickets[[#This Row],[created_date]],"dddd")</f>
        <v>Wednesday</v>
      </c>
      <c r="V2667" cm="1">
        <f t="array" ref="V2667">_xlfn.SWITCH(tbl_analysis_tickets[[#This Row],[priority]],
"Urgent",1,
"High",2,
"Medium",3,
"Low",4
)</f>
        <v>3</v>
      </c>
    </row>
    <row r="2668" spans="1:22" x14ac:dyDescent="0.25">
      <c r="A2668">
        <v>2667</v>
      </c>
      <c r="B2668" s="1">
        <v>45486</v>
      </c>
      <c r="C2668" t="s">
        <v>23</v>
      </c>
      <c r="D2668" t="s">
        <v>15</v>
      </c>
      <c r="E2668">
        <v>209</v>
      </c>
      <c r="F2668">
        <v>8</v>
      </c>
      <c r="G2668">
        <v>2.2000000000000002</v>
      </c>
      <c r="H2668" t="s">
        <v>12</v>
      </c>
      <c r="I2668" t="s">
        <v>16</v>
      </c>
      <c r="J2668" t="s">
        <v>11</v>
      </c>
      <c r="K2668">
        <f>_xlfn.XLOOKUP(tbl_analysis_tickets[[#This Row],[priority]],tbl_sla[priority],tbl_sla[Resolution SLA Hours])</f>
        <v>48</v>
      </c>
      <c r="L2668">
        <f>_xlfn.XLOOKUP(tbl_analysis_tickets[[#This Row],[priority]],tbl_sla[priority],tbl_sla[First Response SLA Minutes])</f>
        <v>120</v>
      </c>
      <c r="M2668" t="str">
        <f>IF(tbl_analysis_tickets[[#This Row],[resolution_time_hours]]&gt;tbl_analysis_tickets[[#This Row],[Resolution SLA Hours]],"Breached","Within SLA")</f>
        <v>Within SLA</v>
      </c>
      <c r="N2668" t="str">
        <f>IF(tbl_analysis_tickets[[#This Row],[first_response_minutes]]&gt;tbl_analysis_tickets[[#This Row],[First Response SLA Minutes]],"Breached","Within SLA")</f>
        <v>Breached</v>
      </c>
      <c r="O2668" t="str" cm="1">
        <f t="array" ref="O2668">_xlfn.IFS(
tbl_analysis_tickets[[#This Row],[agent_experience_years]]&lt;=2,"Junior",
tbl_analysis_tickets[[#This Row],[agent_experience_years]]&lt;=5,"Mid-Level",
tbl_analysis_tickets[[#This Row],[agent_experience_years]]&lt;=8,"Senior",
tbl_analysis_tickets[[#This Row],[agent_experience_years]]&gt;8,"Expert"
)</f>
        <v>Mid-Level</v>
      </c>
      <c r="P2668" cm="1">
        <f t="array" ref="P2668">_xlfn.SWITCH(tbl_analysis_tickets[[#This Row],[customer_satisfaction]],
"Low",1,
"Medium",2,
"High",3
)</f>
        <v>1</v>
      </c>
      <c r="Q2668">
        <f>IF(tbl_analysis_tickets[[#This Row],[reopened]]="Yes",1,0)</f>
        <v>1</v>
      </c>
      <c r="R2668" t="str" cm="1">
        <f t="array" ref="R2668">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668" t="str" cm="1">
        <f t="array" ref="S266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2668" t="str">
        <f>TEXT(tbl_analysis_tickets[[#This Row],[created_date]],"mmm-yyyy")</f>
        <v>Jul-2024</v>
      </c>
      <c r="U2668" t="str">
        <f>TEXT(tbl_analysis_tickets[[#This Row],[created_date]],"dddd")</f>
        <v>Saturday</v>
      </c>
      <c r="V2668" cm="1">
        <f t="array" ref="V2668">_xlfn.SWITCH(tbl_analysis_tickets[[#This Row],[priority]],
"Urgent",1,
"High",2,
"Medium",3,
"Low",4
)</f>
        <v>3</v>
      </c>
    </row>
    <row r="2669" spans="1:22" x14ac:dyDescent="0.25">
      <c r="A2669">
        <v>2668</v>
      </c>
      <c r="B2669" s="1">
        <v>45505</v>
      </c>
      <c r="C2669" t="s">
        <v>10</v>
      </c>
      <c r="D2669" t="s">
        <v>11</v>
      </c>
      <c r="E2669">
        <v>122</v>
      </c>
      <c r="F2669">
        <v>1</v>
      </c>
      <c r="G2669">
        <v>9.1999999999999993</v>
      </c>
      <c r="H2669" t="s">
        <v>12</v>
      </c>
      <c r="I2669" t="s">
        <v>16</v>
      </c>
      <c r="J2669" t="s">
        <v>15</v>
      </c>
      <c r="K2669">
        <f>_xlfn.XLOOKUP(tbl_analysis_tickets[[#This Row],[priority]],tbl_sla[priority],tbl_sla[Resolution SLA Hours])</f>
        <v>72</v>
      </c>
      <c r="L2669">
        <f>_xlfn.XLOOKUP(tbl_analysis_tickets[[#This Row],[priority]],tbl_sla[priority],tbl_sla[First Response SLA Minutes])</f>
        <v>240</v>
      </c>
      <c r="M2669" t="str">
        <f>IF(tbl_analysis_tickets[[#This Row],[resolution_time_hours]]&gt;tbl_analysis_tickets[[#This Row],[Resolution SLA Hours]],"Breached","Within SLA")</f>
        <v>Within SLA</v>
      </c>
      <c r="N2669" t="str">
        <f>IF(tbl_analysis_tickets[[#This Row],[first_response_minutes]]&gt;tbl_analysis_tickets[[#This Row],[First Response SLA Minutes]],"Breached","Within SLA")</f>
        <v>Within SLA</v>
      </c>
      <c r="O2669" t="str" cm="1">
        <f t="array" ref="O2669">_xlfn.IFS(
tbl_analysis_tickets[[#This Row],[agent_experience_years]]&lt;=2,"Junior",
tbl_analysis_tickets[[#This Row],[agent_experience_years]]&lt;=5,"Mid-Level",
tbl_analysis_tickets[[#This Row],[agent_experience_years]]&lt;=8,"Senior",
tbl_analysis_tickets[[#This Row],[agent_experience_years]]&gt;8,"Expert"
)</f>
        <v>Expert</v>
      </c>
      <c r="P2669" cm="1">
        <f t="array" ref="P2669">_xlfn.SWITCH(tbl_analysis_tickets[[#This Row],[customer_satisfaction]],
"Low",1,
"Medium",2,
"High",3
)</f>
        <v>2</v>
      </c>
      <c r="Q2669">
        <f>IF(tbl_analysis_tickets[[#This Row],[reopened]]="Yes",1,0)</f>
        <v>1</v>
      </c>
      <c r="R2669" t="str" cm="1">
        <f t="array" ref="R2669">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669" t="str" cm="1">
        <f t="array" ref="S266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2669" t="str">
        <f>TEXT(tbl_analysis_tickets[[#This Row],[created_date]],"mmm-yyyy")</f>
        <v>Aug-2024</v>
      </c>
      <c r="U2669" t="str">
        <f>TEXT(tbl_analysis_tickets[[#This Row],[created_date]],"dddd")</f>
        <v>Thursday</v>
      </c>
      <c r="V2669" cm="1">
        <f t="array" ref="V2669">_xlfn.SWITCH(tbl_analysis_tickets[[#This Row],[priority]],
"Urgent",1,
"High",2,
"Medium",3,
"Low",4
)</f>
        <v>4</v>
      </c>
    </row>
    <row r="2670" spans="1:22" x14ac:dyDescent="0.25">
      <c r="A2670">
        <v>2669</v>
      </c>
      <c r="B2670" s="1">
        <v>45638</v>
      </c>
      <c r="C2670" t="s">
        <v>22</v>
      </c>
      <c r="D2670" t="s">
        <v>11</v>
      </c>
      <c r="E2670">
        <v>10</v>
      </c>
      <c r="F2670">
        <v>19</v>
      </c>
      <c r="G2670">
        <v>4.7</v>
      </c>
      <c r="H2670" t="s">
        <v>12</v>
      </c>
      <c r="I2670" t="s">
        <v>13</v>
      </c>
      <c r="J2670" t="s">
        <v>15</v>
      </c>
      <c r="K2670">
        <f>_xlfn.XLOOKUP(tbl_analysis_tickets[[#This Row],[priority]],tbl_sla[priority],tbl_sla[Resolution SLA Hours])</f>
        <v>72</v>
      </c>
      <c r="L2670">
        <f>_xlfn.XLOOKUP(tbl_analysis_tickets[[#This Row],[priority]],tbl_sla[priority],tbl_sla[First Response SLA Minutes])</f>
        <v>240</v>
      </c>
      <c r="M2670" t="str">
        <f>IF(tbl_analysis_tickets[[#This Row],[resolution_time_hours]]&gt;tbl_analysis_tickets[[#This Row],[Resolution SLA Hours]],"Breached","Within SLA")</f>
        <v>Within SLA</v>
      </c>
      <c r="N2670" t="str">
        <f>IF(tbl_analysis_tickets[[#This Row],[first_response_minutes]]&gt;tbl_analysis_tickets[[#This Row],[First Response SLA Minutes]],"Breached","Within SLA")</f>
        <v>Within SLA</v>
      </c>
      <c r="O2670" t="str" cm="1">
        <f t="array" ref="O2670">_xlfn.IFS(
tbl_analysis_tickets[[#This Row],[agent_experience_years]]&lt;=2,"Junior",
tbl_analysis_tickets[[#This Row],[agent_experience_years]]&lt;=5,"Mid-Level",
tbl_analysis_tickets[[#This Row],[agent_experience_years]]&lt;=8,"Senior",
tbl_analysis_tickets[[#This Row],[agent_experience_years]]&gt;8,"Expert"
)</f>
        <v>Mid-Level</v>
      </c>
      <c r="P2670" cm="1">
        <f t="array" ref="P2670">_xlfn.SWITCH(tbl_analysis_tickets[[#This Row],[customer_satisfaction]],
"Low",1,
"Medium",2,
"High",3
)</f>
        <v>2</v>
      </c>
      <c r="Q2670">
        <f>IF(tbl_analysis_tickets[[#This Row],[reopened]]="Yes",1,0)</f>
        <v>1</v>
      </c>
      <c r="R2670" t="str" cm="1">
        <f t="array" ref="R2670">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2670" t="str" cm="1">
        <f t="array" ref="S267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670" t="str">
        <f>TEXT(tbl_analysis_tickets[[#This Row],[created_date]],"mmm-yyyy")</f>
        <v>Dec-2024</v>
      </c>
      <c r="U2670" t="str">
        <f>TEXT(tbl_analysis_tickets[[#This Row],[created_date]],"dddd")</f>
        <v>Thursday</v>
      </c>
      <c r="V2670" cm="1">
        <f t="array" ref="V2670">_xlfn.SWITCH(tbl_analysis_tickets[[#This Row],[priority]],
"Urgent",1,
"High",2,
"Medium",3,
"Low",4
)</f>
        <v>4</v>
      </c>
    </row>
    <row r="2671" spans="1:22" x14ac:dyDescent="0.25">
      <c r="A2671">
        <v>2670</v>
      </c>
      <c r="B2671" s="1">
        <v>45607</v>
      </c>
      <c r="C2671" t="s">
        <v>14</v>
      </c>
      <c r="D2671" t="s">
        <v>17</v>
      </c>
      <c r="E2671">
        <v>18</v>
      </c>
      <c r="F2671">
        <v>66</v>
      </c>
      <c r="G2671">
        <v>4.5999999999999996</v>
      </c>
      <c r="H2671" t="s">
        <v>18</v>
      </c>
      <c r="I2671" t="s">
        <v>13</v>
      </c>
      <c r="J2671" t="s">
        <v>15</v>
      </c>
      <c r="K2671">
        <f>_xlfn.XLOOKUP(tbl_analysis_tickets[[#This Row],[priority]],tbl_sla[priority],tbl_sla[Resolution SLA Hours])</f>
        <v>8</v>
      </c>
      <c r="L2671">
        <f>_xlfn.XLOOKUP(tbl_analysis_tickets[[#This Row],[priority]],tbl_sla[priority],tbl_sla[First Response SLA Minutes])</f>
        <v>30</v>
      </c>
      <c r="M2671" t="str">
        <f>IF(tbl_analysis_tickets[[#This Row],[resolution_time_hours]]&gt;tbl_analysis_tickets[[#This Row],[Resolution SLA Hours]],"Breached","Within SLA")</f>
        <v>Breached</v>
      </c>
      <c r="N2671" t="str">
        <f>IF(tbl_analysis_tickets[[#This Row],[first_response_minutes]]&gt;tbl_analysis_tickets[[#This Row],[First Response SLA Minutes]],"Breached","Within SLA")</f>
        <v>Within SLA</v>
      </c>
      <c r="O2671" t="str" cm="1">
        <f t="array" ref="O2671">_xlfn.IFS(
tbl_analysis_tickets[[#This Row],[agent_experience_years]]&lt;=2,"Junior",
tbl_analysis_tickets[[#This Row],[agent_experience_years]]&lt;=5,"Mid-Level",
tbl_analysis_tickets[[#This Row],[agent_experience_years]]&lt;=8,"Senior",
tbl_analysis_tickets[[#This Row],[agent_experience_years]]&gt;8,"Expert"
)</f>
        <v>Mid-Level</v>
      </c>
      <c r="P2671" cm="1">
        <f t="array" ref="P2671">_xlfn.SWITCH(tbl_analysis_tickets[[#This Row],[customer_satisfaction]],
"Low",1,
"Medium",2,
"High",3
)</f>
        <v>2</v>
      </c>
      <c r="Q2671">
        <f>IF(tbl_analysis_tickets[[#This Row],[reopened]]="Yes",1,0)</f>
        <v>0</v>
      </c>
      <c r="R2671" t="str" cm="1">
        <f t="array" ref="R2671">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2671" t="str" cm="1">
        <f t="array" ref="S267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671" t="str">
        <f>TEXT(tbl_analysis_tickets[[#This Row],[created_date]],"mmm-yyyy")</f>
        <v>Nov-2024</v>
      </c>
      <c r="U2671" t="str">
        <f>TEXT(tbl_analysis_tickets[[#This Row],[created_date]],"dddd")</f>
        <v>Monday</v>
      </c>
      <c r="V2671" cm="1">
        <f t="array" ref="V2671">_xlfn.SWITCH(tbl_analysis_tickets[[#This Row],[priority]],
"Urgent",1,
"High",2,
"Medium",3,
"Low",4
)</f>
        <v>1</v>
      </c>
    </row>
    <row r="2672" spans="1:22" x14ac:dyDescent="0.25">
      <c r="A2672">
        <v>2671</v>
      </c>
      <c r="B2672" s="1">
        <v>45639</v>
      </c>
      <c r="C2672" t="s">
        <v>22</v>
      </c>
      <c r="D2672" t="s">
        <v>15</v>
      </c>
      <c r="E2672">
        <v>134</v>
      </c>
      <c r="F2672">
        <v>21</v>
      </c>
      <c r="G2672">
        <v>3.2</v>
      </c>
      <c r="H2672" t="s">
        <v>12</v>
      </c>
      <c r="I2672" t="s">
        <v>13</v>
      </c>
      <c r="J2672" t="s">
        <v>11</v>
      </c>
      <c r="K2672">
        <f>_xlfn.XLOOKUP(tbl_analysis_tickets[[#This Row],[priority]],tbl_sla[priority],tbl_sla[Resolution SLA Hours])</f>
        <v>48</v>
      </c>
      <c r="L2672">
        <f>_xlfn.XLOOKUP(tbl_analysis_tickets[[#This Row],[priority]],tbl_sla[priority],tbl_sla[First Response SLA Minutes])</f>
        <v>120</v>
      </c>
      <c r="M2672" t="str">
        <f>IF(tbl_analysis_tickets[[#This Row],[resolution_time_hours]]&gt;tbl_analysis_tickets[[#This Row],[Resolution SLA Hours]],"Breached","Within SLA")</f>
        <v>Within SLA</v>
      </c>
      <c r="N2672" t="str">
        <f>IF(tbl_analysis_tickets[[#This Row],[first_response_minutes]]&gt;tbl_analysis_tickets[[#This Row],[First Response SLA Minutes]],"Breached","Within SLA")</f>
        <v>Breached</v>
      </c>
      <c r="O2672" t="str" cm="1">
        <f t="array" ref="O2672">_xlfn.IFS(
tbl_analysis_tickets[[#This Row],[agent_experience_years]]&lt;=2,"Junior",
tbl_analysis_tickets[[#This Row],[agent_experience_years]]&lt;=5,"Mid-Level",
tbl_analysis_tickets[[#This Row],[agent_experience_years]]&lt;=8,"Senior",
tbl_analysis_tickets[[#This Row],[agent_experience_years]]&gt;8,"Expert"
)</f>
        <v>Mid-Level</v>
      </c>
      <c r="P2672" cm="1">
        <f t="array" ref="P2672">_xlfn.SWITCH(tbl_analysis_tickets[[#This Row],[customer_satisfaction]],
"Low",1,
"Medium",2,
"High",3
)</f>
        <v>1</v>
      </c>
      <c r="Q2672">
        <f>IF(tbl_analysis_tickets[[#This Row],[reopened]]="Yes",1,0)</f>
        <v>1</v>
      </c>
      <c r="R2672" t="str" cm="1">
        <f t="array" ref="R2672">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672" t="str" cm="1">
        <f t="array" ref="S267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672" t="str">
        <f>TEXT(tbl_analysis_tickets[[#This Row],[created_date]],"mmm-yyyy")</f>
        <v>Dec-2024</v>
      </c>
      <c r="U2672" t="str">
        <f>TEXT(tbl_analysis_tickets[[#This Row],[created_date]],"dddd")</f>
        <v>Friday</v>
      </c>
      <c r="V2672" cm="1">
        <f t="array" ref="V2672">_xlfn.SWITCH(tbl_analysis_tickets[[#This Row],[priority]],
"Urgent",1,
"High",2,
"Medium",3,
"Low",4
)</f>
        <v>3</v>
      </c>
    </row>
    <row r="2673" spans="1:22" x14ac:dyDescent="0.25">
      <c r="A2673">
        <v>2672</v>
      </c>
      <c r="B2673" s="1">
        <v>45400</v>
      </c>
      <c r="C2673" t="s">
        <v>22</v>
      </c>
      <c r="D2673" t="s">
        <v>11</v>
      </c>
      <c r="E2673">
        <v>160</v>
      </c>
      <c r="F2673">
        <v>37</v>
      </c>
      <c r="G2673">
        <v>3.3</v>
      </c>
      <c r="H2673" t="s">
        <v>12</v>
      </c>
      <c r="I2673" t="s">
        <v>13</v>
      </c>
      <c r="J2673" t="s">
        <v>11</v>
      </c>
      <c r="K2673">
        <f>_xlfn.XLOOKUP(tbl_analysis_tickets[[#This Row],[priority]],tbl_sla[priority],tbl_sla[Resolution SLA Hours])</f>
        <v>72</v>
      </c>
      <c r="L2673">
        <f>_xlfn.XLOOKUP(tbl_analysis_tickets[[#This Row],[priority]],tbl_sla[priority],tbl_sla[First Response SLA Minutes])</f>
        <v>240</v>
      </c>
      <c r="M2673" t="str">
        <f>IF(tbl_analysis_tickets[[#This Row],[resolution_time_hours]]&gt;tbl_analysis_tickets[[#This Row],[Resolution SLA Hours]],"Breached","Within SLA")</f>
        <v>Within SLA</v>
      </c>
      <c r="N2673" t="str">
        <f>IF(tbl_analysis_tickets[[#This Row],[first_response_minutes]]&gt;tbl_analysis_tickets[[#This Row],[First Response SLA Minutes]],"Breached","Within SLA")</f>
        <v>Within SLA</v>
      </c>
      <c r="O2673" t="str" cm="1">
        <f t="array" ref="O2673">_xlfn.IFS(
tbl_analysis_tickets[[#This Row],[agent_experience_years]]&lt;=2,"Junior",
tbl_analysis_tickets[[#This Row],[agent_experience_years]]&lt;=5,"Mid-Level",
tbl_analysis_tickets[[#This Row],[agent_experience_years]]&lt;=8,"Senior",
tbl_analysis_tickets[[#This Row],[agent_experience_years]]&gt;8,"Expert"
)</f>
        <v>Mid-Level</v>
      </c>
      <c r="P2673" cm="1">
        <f t="array" ref="P2673">_xlfn.SWITCH(tbl_analysis_tickets[[#This Row],[customer_satisfaction]],
"Low",1,
"Medium",2,
"High",3
)</f>
        <v>1</v>
      </c>
      <c r="Q2673">
        <f>IF(tbl_analysis_tickets[[#This Row],[reopened]]="Yes",1,0)</f>
        <v>1</v>
      </c>
      <c r="R2673" t="str" cm="1">
        <f t="array" ref="R2673">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673" t="str" cm="1">
        <f t="array" ref="S267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673" t="str">
        <f>TEXT(tbl_analysis_tickets[[#This Row],[created_date]],"mmm-yyyy")</f>
        <v>Apr-2024</v>
      </c>
      <c r="U2673" t="str">
        <f>TEXT(tbl_analysis_tickets[[#This Row],[created_date]],"dddd")</f>
        <v>Thursday</v>
      </c>
      <c r="V2673" cm="1">
        <f t="array" ref="V2673">_xlfn.SWITCH(tbl_analysis_tickets[[#This Row],[priority]],
"Urgent",1,
"High",2,
"Medium",3,
"Low",4
)</f>
        <v>4</v>
      </c>
    </row>
    <row r="2674" spans="1:22" x14ac:dyDescent="0.25">
      <c r="A2674">
        <v>2673</v>
      </c>
      <c r="B2674" s="1">
        <v>45465</v>
      </c>
      <c r="C2674" t="s">
        <v>14</v>
      </c>
      <c r="D2674" t="s">
        <v>11</v>
      </c>
      <c r="E2674">
        <v>133</v>
      </c>
      <c r="F2674">
        <v>9</v>
      </c>
      <c r="G2674">
        <v>10</v>
      </c>
      <c r="H2674" t="s">
        <v>12</v>
      </c>
      <c r="I2674" t="s">
        <v>19</v>
      </c>
      <c r="J2674" t="s">
        <v>11</v>
      </c>
      <c r="K2674">
        <f>_xlfn.XLOOKUP(tbl_analysis_tickets[[#This Row],[priority]],tbl_sla[priority],tbl_sla[Resolution SLA Hours])</f>
        <v>72</v>
      </c>
      <c r="L2674">
        <f>_xlfn.XLOOKUP(tbl_analysis_tickets[[#This Row],[priority]],tbl_sla[priority],tbl_sla[First Response SLA Minutes])</f>
        <v>240</v>
      </c>
      <c r="M2674" t="str">
        <f>IF(tbl_analysis_tickets[[#This Row],[resolution_time_hours]]&gt;tbl_analysis_tickets[[#This Row],[Resolution SLA Hours]],"Breached","Within SLA")</f>
        <v>Within SLA</v>
      </c>
      <c r="N2674" t="str">
        <f>IF(tbl_analysis_tickets[[#This Row],[first_response_minutes]]&gt;tbl_analysis_tickets[[#This Row],[First Response SLA Minutes]],"Breached","Within SLA")</f>
        <v>Within SLA</v>
      </c>
      <c r="O2674" t="str" cm="1">
        <f t="array" ref="O2674">_xlfn.IFS(
tbl_analysis_tickets[[#This Row],[agent_experience_years]]&lt;=2,"Junior",
tbl_analysis_tickets[[#This Row],[agent_experience_years]]&lt;=5,"Mid-Level",
tbl_analysis_tickets[[#This Row],[agent_experience_years]]&lt;=8,"Senior",
tbl_analysis_tickets[[#This Row],[agent_experience_years]]&gt;8,"Expert"
)</f>
        <v>Expert</v>
      </c>
      <c r="P2674" cm="1">
        <f t="array" ref="P2674">_xlfn.SWITCH(tbl_analysis_tickets[[#This Row],[customer_satisfaction]],
"Low",1,
"Medium",2,
"High",3
)</f>
        <v>1</v>
      </c>
      <c r="Q2674">
        <f>IF(tbl_analysis_tickets[[#This Row],[reopened]]="Yes",1,0)</f>
        <v>1</v>
      </c>
      <c r="R2674" t="str" cm="1">
        <f t="array" ref="R2674">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674" t="str" cm="1">
        <f t="array" ref="S267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674" t="str">
        <f>TEXT(tbl_analysis_tickets[[#This Row],[created_date]],"mmm-yyyy")</f>
        <v>Jun-2024</v>
      </c>
      <c r="U2674" t="str">
        <f>TEXT(tbl_analysis_tickets[[#This Row],[created_date]],"dddd")</f>
        <v>Saturday</v>
      </c>
      <c r="V2674" cm="1">
        <f t="array" ref="V2674">_xlfn.SWITCH(tbl_analysis_tickets[[#This Row],[priority]],
"Urgent",1,
"High",2,
"Medium",3,
"Low",4
)</f>
        <v>4</v>
      </c>
    </row>
    <row r="2675" spans="1:22" x14ac:dyDescent="0.25">
      <c r="A2675">
        <v>2674</v>
      </c>
      <c r="B2675" s="1">
        <v>45470</v>
      </c>
      <c r="C2675" t="s">
        <v>23</v>
      </c>
      <c r="D2675" t="s">
        <v>20</v>
      </c>
      <c r="E2675">
        <v>51</v>
      </c>
      <c r="F2675">
        <v>43</v>
      </c>
      <c r="G2675">
        <v>6.4</v>
      </c>
      <c r="H2675" t="s">
        <v>12</v>
      </c>
      <c r="I2675" t="s">
        <v>16</v>
      </c>
      <c r="J2675" t="s">
        <v>11</v>
      </c>
      <c r="K2675">
        <f>_xlfn.XLOOKUP(tbl_analysis_tickets[[#This Row],[priority]],tbl_sla[priority],tbl_sla[Resolution SLA Hours])</f>
        <v>24</v>
      </c>
      <c r="L2675">
        <f>_xlfn.XLOOKUP(tbl_analysis_tickets[[#This Row],[priority]],tbl_sla[priority],tbl_sla[First Response SLA Minutes])</f>
        <v>60</v>
      </c>
      <c r="M2675" t="str">
        <f>IF(tbl_analysis_tickets[[#This Row],[resolution_time_hours]]&gt;tbl_analysis_tickets[[#This Row],[Resolution SLA Hours]],"Breached","Within SLA")</f>
        <v>Breached</v>
      </c>
      <c r="N2675" t="str">
        <f>IF(tbl_analysis_tickets[[#This Row],[first_response_minutes]]&gt;tbl_analysis_tickets[[#This Row],[First Response SLA Minutes]],"Breached","Within SLA")</f>
        <v>Within SLA</v>
      </c>
      <c r="O2675" t="str" cm="1">
        <f t="array" ref="O2675">_xlfn.IFS(
tbl_analysis_tickets[[#This Row],[agent_experience_years]]&lt;=2,"Junior",
tbl_analysis_tickets[[#This Row],[agent_experience_years]]&lt;=5,"Mid-Level",
tbl_analysis_tickets[[#This Row],[agent_experience_years]]&lt;=8,"Senior",
tbl_analysis_tickets[[#This Row],[agent_experience_years]]&gt;8,"Expert"
)</f>
        <v>Senior</v>
      </c>
      <c r="P2675" cm="1">
        <f t="array" ref="P2675">_xlfn.SWITCH(tbl_analysis_tickets[[#This Row],[customer_satisfaction]],
"Low",1,
"Medium",2,
"High",3
)</f>
        <v>1</v>
      </c>
      <c r="Q2675">
        <f>IF(tbl_analysis_tickets[[#This Row],[reopened]]="Yes",1,0)</f>
        <v>1</v>
      </c>
      <c r="R2675" t="str" cm="1">
        <f t="array" ref="R2675">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675" t="str" cm="1">
        <f t="array" ref="S267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675" t="str">
        <f>TEXT(tbl_analysis_tickets[[#This Row],[created_date]],"mmm-yyyy")</f>
        <v>Jun-2024</v>
      </c>
      <c r="U2675" t="str">
        <f>TEXT(tbl_analysis_tickets[[#This Row],[created_date]],"dddd")</f>
        <v>Thursday</v>
      </c>
      <c r="V2675" cm="1">
        <f t="array" ref="V2675">_xlfn.SWITCH(tbl_analysis_tickets[[#This Row],[priority]],
"Urgent",1,
"High",2,
"Medium",3,
"Low",4
)</f>
        <v>2</v>
      </c>
    </row>
    <row r="2676" spans="1:22" x14ac:dyDescent="0.25">
      <c r="A2676">
        <v>2675</v>
      </c>
      <c r="B2676" s="1">
        <v>45610</v>
      </c>
      <c r="C2676" t="s">
        <v>10</v>
      </c>
      <c r="D2676" t="s">
        <v>15</v>
      </c>
      <c r="E2676">
        <v>127</v>
      </c>
      <c r="F2676">
        <v>38</v>
      </c>
      <c r="G2676">
        <v>1.2</v>
      </c>
      <c r="H2676" t="s">
        <v>18</v>
      </c>
      <c r="I2676" t="s">
        <v>13</v>
      </c>
      <c r="J2676" t="s">
        <v>11</v>
      </c>
      <c r="K2676">
        <f>_xlfn.XLOOKUP(tbl_analysis_tickets[[#This Row],[priority]],tbl_sla[priority],tbl_sla[Resolution SLA Hours])</f>
        <v>48</v>
      </c>
      <c r="L2676">
        <f>_xlfn.XLOOKUP(tbl_analysis_tickets[[#This Row],[priority]],tbl_sla[priority],tbl_sla[First Response SLA Minutes])</f>
        <v>120</v>
      </c>
      <c r="M2676" t="str">
        <f>IF(tbl_analysis_tickets[[#This Row],[resolution_time_hours]]&gt;tbl_analysis_tickets[[#This Row],[Resolution SLA Hours]],"Breached","Within SLA")</f>
        <v>Within SLA</v>
      </c>
      <c r="N2676" t="str">
        <f>IF(tbl_analysis_tickets[[#This Row],[first_response_minutes]]&gt;tbl_analysis_tickets[[#This Row],[First Response SLA Minutes]],"Breached","Within SLA")</f>
        <v>Breached</v>
      </c>
      <c r="O2676" t="str" cm="1">
        <f t="array" ref="O2676">_xlfn.IFS(
tbl_analysis_tickets[[#This Row],[agent_experience_years]]&lt;=2,"Junior",
tbl_analysis_tickets[[#This Row],[agent_experience_years]]&lt;=5,"Mid-Level",
tbl_analysis_tickets[[#This Row],[agent_experience_years]]&lt;=8,"Senior",
tbl_analysis_tickets[[#This Row],[agent_experience_years]]&gt;8,"Expert"
)</f>
        <v>Junior</v>
      </c>
      <c r="P2676" cm="1">
        <f t="array" ref="P2676">_xlfn.SWITCH(tbl_analysis_tickets[[#This Row],[customer_satisfaction]],
"Low",1,
"Medium",2,
"High",3
)</f>
        <v>1</v>
      </c>
      <c r="Q2676">
        <f>IF(tbl_analysis_tickets[[#This Row],[reopened]]="Yes",1,0)</f>
        <v>0</v>
      </c>
      <c r="R2676" t="str" cm="1">
        <f t="array" ref="R2676">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676" t="str" cm="1">
        <f t="array" ref="S267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676" t="str">
        <f>TEXT(tbl_analysis_tickets[[#This Row],[created_date]],"mmm-yyyy")</f>
        <v>Nov-2024</v>
      </c>
      <c r="U2676" t="str">
        <f>TEXT(tbl_analysis_tickets[[#This Row],[created_date]],"dddd")</f>
        <v>Thursday</v>
      </c>
      <c r="V2676" cm="1">
        <f t="array" ref="V2676">_xlfn.SWITCH(tbl_analysis_tickets[[#This Row],[priority]],
"Urgent",1,
"High",2,
"Medium",3,
"Low",4
)</f>
        <v>3</v>
      </c>
    </row>
    <row r="2677" spans="1:22" x14ac:dyDescent="0.25">
      <c r="A2677">
        <v>2676</v>
      </c>
      <c r="B2677" s="1">
        <v>45517</v>
      </c>
      <c r="C2677" t="s">
        <v>21</v>
      </c>
      <c r="D2677" t="s">
        <v>17</v>
      </c>
      <c r="E2677">
        <v>98</v>
      </c>
      <c r="F2677">
        <v>12</v>
      </c>
      <c r="G2677">
        <v>4.5</v>
      </c>
      <c r="H2677" t="s">
        <v>18</v>
      </c>
      <c r="I2677" t="s">
        <v>16</v>
      </c>
      <c r="J2677" t="s">
        <v>11</v>
      </c>
      <c r="K2677">
        <f>_xlfn.XLOOKUP(tbl_analysis_tickets[[#This Row],[priority]],tbl_sla[priority],tbl_sla[Resolution SLA Hours])</f>
        <v>8</v>
      </c>
      <c r="L2677">
        <f>_xlfn.XLOOKUP(tbl_analysis_tickets[[#This Row],[priority]],tbl_sla[priority],tbl_sla[First Response SLA Minutes])</f>
        <v>30</v>
      </c>
      <c r="M2677" t="str">
        <f>IF(tbl_analysis_tickets[[#This Row],[resolution_time_hours]]&gt;tbl_analysis_tickets[[#This Row],[Resolution SLA Hours]],"Breached","Within SLA")</f>
        <v>Breached</v>
      </c>
      <c r="N2677" t="str">
        <f>IF(tbl_analysis_tickets[[#This Row],[first_response_minutes]]&gt;tbl_analysis_tickets[[#This Row],[First Response SLA Minutes]],"Breached","Within SLA")</f>
        <v>Breached</v>
      </c>
      <c r="O2677" t="str" cm="1">
        <f t="array" ref="O2677">_xlfn.IFS(
tbl_analysis_tickets[[#This Row],[agent_experience_years]]&lt;=2,"Junior",
tbl_analysis_tickets[[#This Row],[agent_experience_years]]&lt;=5,"Mid-Level",
tbl_analysis_tickets[[#This Row],[agent_experience_years]]&lt;=8,"Senior",
tbl_analysis_tickets[[#This Row],[agent_experience_years]]&gt;8,"Expert"
)</f>
        <v>Mid-Level</v>
      </c>
      <c r="P2677" cm="1">
        <f t="array" ref="P2677">_xlfn.SWITCH(tbl_analysis_tickets[[#This Row],[customer_satisfaction]],
"Low",1,
"Medium",2,
"High",3
)</f>
        <v>1</v>
      </c>
      <c r="Q2677">
        <f>IF(tbl_analysis_tickets[[#This Row],[reopened]]="Yes",1,0)</f>
        <v>0</v>
      </c>
      <c r="R2677" t="str" cm="1">
        <f t="array" ref="R2677">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677" t="str" cm="1">
        <f t="array" ref="S267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677" t="str">
        <f>TEXT(tbl_analysis_tickets[[#This Row],[created_date]],"mmm-yyyy")</f>
        <v>Aug-2024</v>
      </c>
      <c r="U2677" t="str">
        <f>TEXT(tbl_analysis_tickets[[#This Row],[created_date]],"dddd")</f>
        <v>Tuesday</v>
      </c>
      <c r="V2677" cm="1">
        <f t="array" ref="V2677">_xlfn.SWITCH(tbl_analysis_tickets[[#This Row],[priority]],
"Urgent",1,
"High",2,
"Medium",3,
"Low",4
)</f>
        <v>1</v>
      </c>
    </row>
    <row r="2678" spans="1:22" x14ac:dyDescent="0.25">
      <c r="A2678">
        <v>2677</v>
      </c>
      <c r="B2678" s="1">
        <v>45628</v>
      </c>
      <c r="C2678" t="s">
        <v>22</v>
      </c>
      <c r="D2678" t="s">
        <v>11</v>
      </c>
      <c r="E2678">
        <v>82</v>
      </c>
      <c r="F2678">
        <v>39</v>
      </c>
      <c r="G2678">
        <v>7.7</v>
      </c>
      <c r="H2678" t="s">
        <v>18</v>
      </c>
      <c r="I2678" t="s">
        <v>13</v>
      </c>
      <c r="J2678" t="s">
        <v>15</v>
      </c>
      <c r="K2678">
        <f>_xlfn.XLOOKUP(tbl_analysis_tickets[[#This Row],[priority]],tbl_sla[priority],tbl_sla[Resolution SLA Hours])</f>
        <v>72</v>
      </c>
      <c r="L2678">
        <f>_xlfn.XLOOKUP(tbl_analysis_tickets[[#This Row],[priority]],tbl_sla[priority],tbl_sla[First Response SLA Minutes])</f>
        <v>240</v>
      </c>
      <c r="M2678" t="str">
        <f>IF(tbl_analysis_tickets[[#This Row],[resolution_time_hours]]&gt;tbl_analysis_tickets[[#This Row],[Resolution SLA Hours]],"Breached","Within SLA")</f>
        <v>Within SLA</v>
      </c>
      <c r="N2678" t="str">
        <f>IF(tbl_analysis_tickets[[#This Row],[first_response_minutes]]&gt;tbl_analysis_tickets[[#This Row],[First Response SLA Minutes]],"Breached","Within SLA")</f>
        <v>Within SLA</v>
      </c>
      <c r="O2678" t="str" cm="1">
        <f t="array" ref="O2678">_xlfn.IFS(
tbl_analysis_tickets[[#This Row],[agent_experience_years]]&lt;=2,"Junior",
tbl_analysis_tickets[[#This Row],[agent_experience_years]]&lt;=5,"Mid-Level",
tbl_analysis_tickets[[#This Row],[agent_experience_years]]&lt;=8,"Senior",
tbl_analysis_tickets[[#This Row],[agent_experience_years]]&gt;8,"Expert"
)</f>
        <v>Senior</v>
      </c>
      <c r="P2678" cm="1">
        <f t="array" ref="P2678">_xlfn.SWITCH(tbl_analysis_tickets[[#This Row],[customer_satisfaction]],
"Low",1,
"Medium",2,
"High",3
)</f>
        <v>2</v>
      </c>
      <c r="Q2678">
        <f>IF(tbl_analysis_tickets[[#This Row],[reopened]]="Yes",1,0)</f>
        <v>0</v>
      </c>
      <c r="R2678" t="str" cm="1">
        <f t="array" ref="R2678">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678" t="str" cm="1">
        <f t="array" ref="S267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678" t="str">
        <f>TEXT(tbl_analysis_tickets[[#This Row],[created_date]],"mmm-yyyy")</f>
        <v>Dec-2024</v>
      </c>
      <c r="U2678" t="str">
        <f>TEXT(tbl_analysis_tickets[[#This Row],[created_date]],"dddd")</f>
        <v>Monday</v>
      </c>
      <c r="V2678" cm="1">
        <f t="array" ref="V2678">_xlfn.SWITCH(tbl_analysis_tickets[[#This Row],[priority]],
"Urgent",1,
"High",2,
"Medium",3,
"Low",4
)</f>
        <v>4</v>
      </c>
    </row>
    <row r="2679" spans="1:22" x14ac:dyDescent="0.25">
      <c r="A2679">
        <v>2678</v>
      </c>
      <c r="B2679" s="1">
        <v>45306</v>
      </c>
      <c r="C2679" t="s">
        <v>23</v>
      </c>
      <c r="D2679" t="s">
        <v>17</v>
      </c>
      <c r="E2679">
        <v>72</v>
      </c>
      <c r="F2679">
        <v>6</v>
      </c>
      <c r="G2679">
        <v>8.6</v>
      </c>
      <c r="H2679" t="s">
        <v>18</v>
      </c>
      <c r="I2679" t="s">
        <v>19</v>
      </c>
      <c r="J2679" t="s">
        <v>15</v>
      </c>
      <c r="K2679">
        <f>_xlfn.XLOOKUP(tbl_analysis_tickets[[#This Row],[priority]],tbl_sla[priority],tbl_sla[Resolution SLA Hours])</f>
        <v>8</v>
      </c>
      <c r="L2679">
        <f>_xlfn.XLOOKUP(tbl_analysis_tickets[[#This Row],[priority]],tbl_sla[priority],tbl_sla[First Response SLA Minutes])</f>
        <v>30</v>
      </c>
      <c r="M2679" t="str">
        <f>IF(tbl_analysis_tickets[[#This Row],[resolution_time_hours]]&gt;tbl_analysis_tickets[[#This Row],[Resolution SLA Hours]],"Breached","Within SLA")</f>
        <v>Within SLA</v>
      </c>
      <c r="N2679" t="str">
        <f>IF(tbl_analysis_tickets[[#This Row],[first_response_minutes]]&gt;tbl_analysis_tickets[[#This Row],[First Response SLA Minutes]],"Breached","Within SLA")</f>
        <v>Breached</v>
      </c>
      <c r="O2679" t="str" cm="1">
        <f t="array" ref="O2679">_xlfn.IFS(
tbl_analysis_tickets[[#This Row],[agent_experience_years]]&lt;=2,"Junior",
tbl_analysis_tickets[[#This Row],[agent_experience_years]]&lt;=5,"Mid-Level",
tbl_analysis_tickets[[#This Row],[agent_experience_years]]&lt;=8,"Senior",
tbl_analysis_tickets[[#This Row],[agent_experience_years]]&gt;8,"Expert"
)</f>
        <v>Expert</v>
      </c>
      <c r="P2679" cm="1">
        <f t="array" ref="P2679">_xlfn.SWITCH(tbl_analysis_tickets[[#This Row],[customer_satisfaction]],
"Low",1,
"Medium",2,
"High",3
)</f>
        <v>2</v>
      </c>
      <c r="Q2679">
        <f>IF(tbl_analysis_tickets[[#This Row],[reopened]]="Yes",1,0)</f>
        <v>0</v>
      </c>
      <c r="R2679" t="str" cm="1">
        <f t="array" ref="R2679">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679" t="str" cm="1">
        <f t="array" ref="S267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2679" t="str">
        <f>TEXT(tbl_analysis_tickets[[#This Row],[created_date]],"mmm-yyyy")</f>
        <v>Jan-2024</v>
      </c>
      <c r="U2679" t="str">
        <f>TEXT(tbl_analysis_tickets[[#This Row],[created_date]],"dddd")</f>
        <v>Monday</v>
      </c>
      <c r="V2679" cm="1">
        <f t="array" ref="V2679">_xlfn.SWITCH(tbl_analysis_tickets[[#This Row],[priority]],
"Urgent",1,
"High",2,
"Medium",3,
"Low",4
)</f>
        <v>1</v>
      </c>
    </row>
    <row r="2680" spans="1:22" x14ac:dyDescent="0.25">
      <c r="A2680">
        <v>2679</v>
      </c>
      <c r="B2680" s="1">
        <v>45482</v>
      </c>
      <c r="C2680" t="s">
        <v>10</v>
      </c>
      <c r="D2680" t="s">
        <v>17</v>
      </c>
      <c r="E2680">
        <v>186</v>
      </c>
      <c r="F2680">
        <v>3</v>
      </c>
      <c r="G2680">
        <v>1.2</v>
      </c>
      <c r="H2680" t="s">
        <v>18</v>
      </c>
      <c r="I2680" t="s">
        <v>13</v>
      </c>
      <c r="J2680" t="s">
        <v>15</v>
      </c>
      <c r="K2680">
        <f>_xlfn.XLOOKUP(tbl_analysis_tickets[[#This Row],[priority]],tbl_sla[priority],tbl_sla[Resolution SLA Hours])</f>
        <v>8</v>
      </c>
      <c r="L2680">
        <f>_xlfn.XLOOKUP(tbl_analysis_tickets[[#This Row],[priority]],tbl_sla[priority],tbl_sla[First Response SLA Minutes])</f>
        <v>30</v>
      </c>
      <c r="M2680" t="str">
        <f>IF(tbl_analysis_tickets[[#This Row],[resolution_time_hours]]&gt;tbl_analysis_tickets[[#This Row],[Resolution SLA Hours]],"Breached","Within SLA")</f>
        <v>Within SLA</v>
      </c>
      <c r="N2680" t="str">
        <f>IF(tbl_analysis_tickets[[#This Row],[first_response_minutes]]&gt;tbl_analysis_tickets[[#This Row],[First Response SLA Minutes]],"Breached","Within SLA")</f>
        <v>Breached</v>
      </c>
      <c r="O2680" t="str" cm="1">
        <f t="array" ref="O2680">_xlfn.IFS(
tbl_analysis_tickets[[#This Row],[agent_experience_years]]&lt;=2,"Junior",
tbl_analysis_tickets[[#This Row],[agent_experience_years]]&lt;=5,"Mid-Level",
tbl_analysis_tickets[[#This Row],[agent_experience_years]]&lt;=8,"Senior",
tbl_analysis_tickets[[#This Row],[agent_experience_years]]&gt;8,"Expert"
)</f>
        <v>Junior</v>
      </c>
      <c r="P2680" cm="1">
        <f t="array" ref="P2680">_xlfn.SWITCH(tbl_analysis_tickets[[#This Row],[customer_satisfaction]],
"Low",1,
"Medium",2,
"High",3
)</f>
        <v>2</v>
      </c>
      <c r="Q2680">
        <f>IF(tbl_analysis_tickets[[#This Row],[reopened]]="Yes",1,0)</f>
        <v>0</v>
      </c>
      <c r="R2680" t="str" cm="1">
        <f t="array" ref="R2680">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680" t="str" cm="1">
        <f t="array" ref="S268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2680" t="str">
        <f>TEXT(tbl_analysis_tickets[[#This Row],[created_date]],"mmm-yyyy")</f>
        <v>Jul-2024</v>
      </c>
      <c r="U2680" t="str">
        <f>TEXT(tbl_analysis_tickets[[#This Row],[created_date]],"dddd")</f>
        <v>Tuesday</v>
      </c>
      <c r="V2680" cm="1">
        <f t="array" ref="V2680">_xlfn.SWITCH(tbl_analysis_tickets[[#This Row],[priority]],
"Urgent",1,
"High",2,
"Medium",3,
"Low",4
)</f>
        <v>1</v>
      </c>
    </row>
    <row r="2681" spans="1:22" x14ac:dyDescent="0.25">
      <c r="A2681">
        <v>2680</v>
      </c>
      <c r="B2681" s="1">
        <v>45343</v>
      </c>
      <c r="C2681" t="s">
        <v>22</v>
      </c>
      <c r="D2681" t="s">
        <v>15</v>
      </c>
      <c r="E2681">
        <v>90</v>
      </c>
      <c r="F2681">
        <v>63</v>
      </c>
      <c r="G2681">
        <v>1.7</v>
      </c>
      <c r="H2681" t="s">
        <v>12</v>
      </c>
      <c r="I2681" t="s">
        <v>16</v>
      </c>
      <c r="J2681" t="s">
        <v>11</v>
      </c>
      <c r="K2681">
        <f>_xlfn.XLOOKUP(tbl_analysis_tickets[[#This Row],[priority]],tbl_sla[priority],tbl_sla[Resolution SLA Hours])</f>
        <v>48</v>
      </c>
      <c r="L2681">
        <f>_xlfn.XLOOKUP(tbl_analysis_tickets[[#This Row],[priority]],tbl_sla[priority],tbl_sla[First Response SLA Minutes])</f>
        <v>120</v>
      </c>
      <c r="M2681" t="str">
        <f>IF(tbl_analysis_tickets[[#This Row],[resolution_time_hours]]&gt;tbl_analysis_tickets[[#This Row],[Resolution SLA Hours]],"Breached","Within SLA")</f>
        <v>Breached</v>
      </c>
      <c r="N2681" t="str">
        <f>IF(tbl_analysis_tickets[[#This Row],[first_response_minutes]]&gt;tbl_analysis_tickets[[#This Row],[First Response SLA Minutes]],"Breached","Within SLA")</f>
        <v>Within SLA</v>
      </c>
      <c r="O2681" t="str" cm="1">
        <f t="array" ref="O2681">_xlfn.IFS(
tbl_analysis_tickets[[#This Row],[agent_experience_years]]&lt;=2,"Junior",
tbl_analysis_tickets[[#This Row],[agent_experience_years]]&lt;=5,"Mid-Level",
tbl_analysis_tickets[[#This Row],[agent_experience_years]]&lt;=8,"Senior",
tbl_analysis_tickets[[#This Row],[agent_experience_years]]&gt;8,"Expert"
)</f>
        <v>Junior</v>
      </c>
      <c r="P2681" cm="1">
        <f t="array" ref="P2681">_xlfn.SWITCH(tbl_analysis_tickets[[#This Row],[customer_satisfaction]],
"Low",1,
"Medium",2,
"High",3
)</f>
        <v>1</v>
      </c>
      <c r="Q2681">
        <f>IF(tbl_analysis_tickets[[#This Row],[reopened]]="Yes",1,0)</f>
        <v>1</v>
      </c>
      <c r="R2681" t="str" cm="1">
        <f t="array" ref="R2681">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681" t="str" cm="1">
        <f t="array" ref="S268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681" t="str">
        <f>TEXT(tbl_analysis_tickets[[#This Row],[created_date]],"mmm-yyyy")</f>
        <v>Feb-2024</v>
      </c>
      <c r="U2681" t="str">
        <f>TEXT(tbl_analysis_tickets[[#This Row],[created_date]],"dddd")</f>
        <v>Wednesday</v>
      </c>
      <c r="V2681" cm="1">
        <f t="array" ref="V2681">_xlfn.SWITCH(tbl_analysis_tickets[[#This Row],[priority]],
"Urgent",1,
"High",2,
"Medium",3,
"Low",4
)</f>
        <v>3</v>
      </c>
    </row>
    <row r="2682" spans="1:22" x14ac:dyDescent="0.25">
      <c r="A2682">
        <v>2681</v>
      </c>
      <c r="B2682" s="1">
        <v>45601</v>
      </c>
      <c r="C2682" t="s">
        <v>10</v>
      </c>
      <c r="D2682" t="s">
        <v>15</v>
      </c>
      <c r="E2682">
        <v>27</v>
      </c>
      <c r="F2682">
        <v>24</v>
      </c>
      <c r="G2682">
        <v>8</v>
      </c>
      <c r="H2682" t="s">
        <v>12</v>
      </c>
      <c r="I2682" t="s">
        <v>13</v>
      </c>
      <c r="J2682" t="s">
        <v>15</v>
      </c>
      <c r="K2682">
        <f>_xlfn.XLOOKUP(tbl_analysis_tickets[[#This Row],[priority]],tbl_sla[priority],tbl_sla[Resolution SLA Hours])</f>
        <v>48</v>
      </c>
      <c r="L2682">
        <f>_xlfn.XLOOKUP(tbl_analysis_tickets[[#This Row],[priority]],tbl_sla[priority],tbl_sla[First Response SLA Minutes])</f>
        <v>120</v>
      </c>
      <c r="M2682" t="str">
        <f>IF(tbl_analysis_tickets[[#This Row],[resolution_time_hours]]&gt;tbl_analysis_tickets[[#This Row],[Resolution SLA Hours]],"Breached","Within SLA")</f>
        <v>Within SLA</v>
      </c>
      <c r="N2682" t="str">
        <f>IF(tbl_analysis_tickets[[#This Row],[first_response_minutes]]&gt;tbl_analysis_tickets[[#This Row],[First Response SLA Minutes]],"Breached","Within SLA")</f>
        <v>Within SLA</v>
      </c>
      <c r="O2682" t="str" cm="1">
        <f t="array" ref="O2682">_xlfn.IFS(
tbl_analysis_tickets[[#This Row],[agent_experience_years]]&lt;=2,"Junior",
tbl_analysis_tickets[[#This Row],[agent_experience_years]]&lt;=5,"Mid-Level",
tbl_analysis_tickets[[#This Row],[agent_experience_years]]&lt;=8,"Senior",
tbl_analysis_tickets[[#This Row],[agent_experience_years]]&gt;8,"Expert"
)</f>
        <v>Senior</v>
      </c>
      <c r="P2682" cm="1">
        <f t="array" ref="P2682">_xlfn.SWITCH(tbl_analysis_tickets[[#This Row],[customer_satisfaction]],
"Low",1,
"Medium",2,
"High",3
)</f>
        <v>2</v>
      </c>
      <c r="Q2682">
        <f>IF(tbl_analysis_tickets[[#This Row],[reopened]]="Yes",1,0)</f>
        <v>1</v>
      </c>
      <c r="R2682" t="str" cm="1">
        <f t="array" ref="R2682">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2682" t="str" cm="1">
        <f t="array" ref="S268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682" t="str">
        <f>TEXT(tbl_analysis_tickets[[#This Row],[created_date]],"mmm-yyyy")</f>
        <v>Nov-2024</v>
      </c>
      <c r="U2682" t="str">
        <f>TEXT(tbl_analysis_tickets[[#This Row],[created_date]],"dddd")</f>
        <v>Tuesday</v>
      </c>
      <c r="V2682" cm="1">
        <f t="array" ref="V2682">_xlfn.SWITCH(tbl_analysis_tickets[[#This Row],[priority]],
"Urgent",1,
"High",2,
"Medium",3,
"Low",4
)</f>
        <v>3</v>
      </c>
    </row>
    <row r="2683" spans="1:22" x14ac:dyDescent="0.25">
      <c r="A2683">
        <v>2682</v>
      </c>
      <c r="B2683" s="1">
        <v>45353</v>
      </c>
      <c r="C2683" t="s">
        <v>14</v>
      </c>
      <c r="D2683" t="s">
        <v>20</v>
      </c>
      <c r="E2683">
        <v>10</v>
      </c>
      <c r="F2683">
        <v>20</v>
      </c>
      <c r="G2683">
        <v>1.3</v>
      </c>
      <c r="H2683" t="s">
        <v>12</v>
      </c>
      <c r="I2683" t="s">
        <v>13</v>
      </c>
      <c r="J2683" t="s">
        <v>11</v>
      </c>
      <c r="K2683">
        <f>_xlfn.XLOOKUP(tbl_analysis_tickets[[#This Row],[priority]],tbl_sla[priority],tbl_sla[Resolution SLA Hours])</f>
        <v>24</v>
      </c>
      <c r="L2683">
        <f>_xlfn.XLOOKUP(tbl_analysis_tickets[[#This Row],[priority]],tbl_sla[priority],tbl_sla[First Response SLA Minutes])</f>
        <v>60</v>
      </c>
      <c r="M2683" t="str">
        <f>IF(tbl_analysis_tickets[[#This Row],[resolution_time_hours]]&gt;tbl_analysis_tickets[[#This Row],[Resolution SLA Hours]],"Breached","Within SLA")</f>
        <v>Within SLA</v>
      </c>
      <c r="N2683" t="str">
        <f>IF(tbl_analysis_tickets[[#This Row],[first_response_minutes]]&gt;tbl_analysis_tickets[[#This Row],[First Response SLA Minutes]],"Breached","Within SLA")</f>
        <v>Within SLA</v>
      </c>
      <c r="O2683" t="str" cm="1">
        <f t="array" ref="O2683">_xlfn.IFS(
tbl_analysis_tickets[[#This Row],[agent_experience_years]]&lt;=2,"Junior",
tbl_analysis_tickets[[#This Row],[agent_experience_years]]&lt;=5,"Mid-Level",
tbl_analysis_tickets[[#This Row],[agent_experience_years]]&lt;=8,"Senior",
tbl_analysis_tickets[[#This Row],[agent_experience_years]]&gt;8,"Expert"
)</f>
        <v>Junior</v>
      </c>
      <c r="P2683" cm="1">
        <f t="array" ref="P2683">_xlfn.SWITCH(tbl_analysis_tickets[[#This Row],[customer_satisfaction]],
"Low",1,
"Medium",2,
"High",3
)</f>
        <v>1</v>
      </c>
      <c r="Q2683">
        <f>IF(tbl_analysis_tickets[[#This Row],[reopened]]="Yes",1,0)</f>
        <v>1</v>
      </c>
      <c r="R2683" t="str" cm="1">
        <f t="array" ref="R2683">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2683" t="str" cm="1">
        <f t="array" ref="S268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683" t="str">
        <f>TEXT(tbl_analysis_tickets[[#This Row],[created_date]],"mmm-yyyy")</f>
        <v>Mar-2024</v>
      </c>
      <c r="U2683" t="str">
        <f>TEXT(tbl_analysis_tickets[[#This Row],[created_date]],"dddd")</f>
        <v>Saturday</v>
      </c>
      <c r="V2683" cm="1">
        <f t="array" ref="V2683">_xlfn.SWITCH(tbl_analysis_tickets[[#This Row],[priority]],
"Urgent",1,
"High",2,
"Medium",3,
"Low",4
)</f>
        <v>2</v>
      </c>
    </row>
    <row r="2684" spans="1:22" x14ac:dyDescent="0.25">
      <c r="A2684">
        <v>2683</v>
      </c>
      <c r="B2684" s="1">
        <v>45427</v>
      </c>
      <c r="C2684" t="s">
        <v>23</v>
      </c>
      <c r="D2684" t="s">
        <v>11</v>
      </c>
      <c r="E2684">
        <v>113</v>
      </c>
      <c r="F2684">
        <v>60</v>
      </c>
      <c r="G2684">
        <v>1.4</v>
      </c>
      <c r="H2684" t="s">
        <v>18</v>
      </c>
      <c r="I2684" t="s">
        <v>19</v>
      </c>
      <c r="J2684" t="s">
        <v>11</v>
      </c>
      <c r="K2684">
        <f>_xlfn.XLOOKUP(tbl_analysis_tickets[[#This Row],[priority]],tbl_sla[priority],tbl_sla[Resolution SLA Hours])</f>
        <v>72</v>
      </c>
      <c r="L2684">
        <f>_xlfn.XLOOKUP(tbl_analysis_tickets[[#This Row],[priority]],tbl_sla[priority],tbl_sla[First Response SLA Minutes])</f>
        <v>240</v>
      </c>
      <c r="M2684" t="str">
        <f>IF(tbl_analysis_tickets[[#This Row],[resolution_time_hours]]&gt;tbl_analysis_tickets[[#This Row],[Resolution SLA Hours]],"Breached","Within SLA")</f>
        <v>Within SLA</v>
      </c>
      <c r="N2684" t="str">
        <f>IF(tbl_analysis_tickets[[#This Row],[first_response_minutes]]&gt;tbl_analysis_tickets[[#This Row],[First Response SLA Minutes]],"Breached","Within SLA")</f>
        <v>Within SLA</v>
      </c>
      <c r="O2684" t="str" cm="1">
        <f t="array" ref="O2684">_xlfn.IFS(
tbl_analysis_tickets[[#This Row],[agent_experience_years]]&lt;=2,"Junior",
tbl_analysis_tickets[[#This Row],[agent_experience_years]]&lt;=5,"Mid-Level",
tbl_analysis_tickets[[#This Row],[agent_experience_years]]&lt;=8,"Senior",
tbl_analysis_tickets[[#This Row],[agent_experience_years]]&gt;8,"Expert"
)</f>
        <v>Junior</v>
      </c>
      <c r="P2684" cm="1">
        <f t="array" ref="P2684">_xlfn.SWITCH(tbl_analysis_tickets[[#This Row],[customer_satisfaction]],
"Low",1,
"Medium",2,
"High",3
)</f>
        <v>1</v>
      </c>
      <c r="Q2684">
        <f>IF(tbl_analysis_tickets[[#This Row],[reopened]]="Yes",1,0)</f>
        <v>0</v>
      </c>
      <c r="R2684" t="str" cm="1">
        <f t="array" ref="R2684">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684" t="str" cm="1">
        <f t="array" ref="S268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684" t="str">
        <f>TEXT(tbl_analysis_tickets[[#This Row],[created_date]],"mmm-yyyy")</f>
        <v>May-2024</v>
      </c>
      <c r="U2684" t="str">
        <f>TEXT(tbl_analysis_tickets[[#This Row],[created_date]],"dddd")</f>
        <v>Wednesday</v>
      </c>
      <c r="V2684" cm="1">
        <f t="array" ref="V2684">_xlfn.SWITCH(tbl_analysis_tickets[[#This Row],[priority]],
"Urgent",1,
"High",2,
"Medium",3,
"Low",4
)</f>
        <v>4</v>
      </c>
    </row>
    <row r="2685" spans="1:22" x14ac:dyDescent="0.25">
      <c r="A2685">
        <v>2684</v>
      </c>
      <c r="B2685" s="1">
        <v>45551</v>
      </c>
      <c r="C2685" t="s">
        <v>14</v>
      </c>
      <c r="D2685" t="s">
        <v>20</v>
      </c>
      <c r="E2685">
        <v>95</v>
      </c>
      <c r="F2685">
        <v>43</v>
      </c>
      <c r="G2685">
        <v>2.9</v>
      </c>
      <c r="H2685" t="s">
        <v>12</v>
      </c>
      <c r="I2685" t="s">
        <v>16</v>
      </c>
      <c r="J2685" t="s">
        <v>11</v>
      </c>
      <c r="K2685">
        <f>_xlfn.XLOOKUP(tbl_analysis_tickets[[#This Row],[priority]],tbl_sla[priority],tbl_sla[Resolution SLA Hours])</f>
        <v>24</v>
      </c>
      <c r="L2685">
        <f>_xlfn.XLOOKUP(tbl_analysis_tickets[[#This Row],[priority]],tbl_sla[priority],tbl_sla[First Response SLA Minutes])</f>
        <v>60</v>
      </c>
      <c r="M2685" t="str">
        <f>IF(tbl_analysis_tickets[[#This Row],[resolution_time_hours]]&gt;tbl_analysis_tickets[[#This Row],[Resolution SLA Hours]],"Breached","Within SLA")</f>
        <v>Breached</v>
      </c>
      <c r="N2685" t="str">
        <f>IF(tbl_analysis_tickets[[#This Row],[first_response_minutes]]&gt;tbl_analysis_tickets[[#This Row],[First Response SLA Minutes]],"Breached","Within SLA")</f>
        <v>Breached</v>
      </c>
      <c r="O2685" t="str" cm="1">
        <f t="array" ref="O2685">_xlfn.IFS(
tbl_analysis_tickets[[#This Row],[agent_experience_years]]&lt;=2,"Junior",
tbl_analysis_tickets[[#This Row],[agent_experience_years]]&lt;=5,"Mid-Level",
tbl_analysis_tickets[[#This Row],[agent_experience_years]]&lt;=8,"Senior",
tbl_analysis_tickets[[#This Row],[agent_experience_years]]&gt;8,"Expert"
)</f>
        <v>Mid-Level</v>
      </c>
      <c r="P2685" cm="1">
        <f t="array" ref="P2685">_xlfn.SWITCH(tbl_analysis_tickets[[#This Row],[customer_satisfaction]],
"Low",1,
"Medium",2,
"High",3
)</f>
        <v>1</v>
      </c>
      <c r="Q2685">
        <f>IF(tbl_analysis_tickets[[#This Row],[reopened]]="Yes",1,0)</f>
        <v>1</v>
      </c>
      <c r="R2685" t="str" cm="1">
        <f t="array" ref="R2685">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685" t="str" cm="1">
        <f t="array" ref="S268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685" t="str">
        <f>TEXT(tbl_analysis_tickets[[#This Row],[created_date]],"mmm-yyyy")</f>
        <v>Sep-2024</v>
      </c>
      <c r="U2685" t="str">
        <f>TEXT(tbl_analysis_tickets[[#This Row],[created_date]],"dddd")</f>
        <v>Monday</v>
      </c>
      <c r="V2685" cm="1">
        <f t="array" ref="V2685">_xlfn.SWITCH(tbl_analysis_tickets[[#This Row],[priority]],
"Urgent",1,
"High",2,
"Medium",3,
"Low",4
)</f>
        <v>2</v>
      </c>
    </row>
    <row r="2686" spans="1:22" x14ac:dyDescent="0.25">
      <c r="A2686">
        <v>2685</v>
      </c>
      <c r="B2686" s="1">
        <v>45450</v>
      </c>
      <c r="C2686" t="s">
        <v>23</v>
      </c>
      <c r="D2686" t="s">
        <v>20</v>
      </c>
      <c r="E2686">
        <v>63</v>
      </c>
      <c r="F2686">
        <v>25</v>
      </c>
      <c r="G2686">
        <v>6.8</v>
      </c>
      <c r="H2686" t="s">
        <v>12</v>
      </c>
      <c r="I2686" t="s">
        <v>13</v>
      </c>
      <c r="J2686" t="s">
        <v>11</v>
      </c>
      <c r="K2686">
        <f>_xlfn.XLOOKUP(tbl_analysis_tickets[[#This Row],[priority]],tbl_sla[priority],tbl_sla[Resolution SLA Hours])</f>
        <v>24</v>
      </c>
      <c r="L2686">
        <f>_xlfn.XLOOKUP(tbl_analysis_tickets[[#This Row],[priority]],tbl_sla[priority],tbl_sla[First Response SLA Minutes])</f>
        <v>60</v>
      </c>
      <c r="M2686" t="str">
        <f>IF(tbl_analysis_tickets[[#This Row],[resolution_time_hours]]&gt;tbl_analysis_tickets[[#This Row],[Resolution SLA Hours]],"Breached","Within SLA")</f>
        <v>Breached</v>
      </c>
      <c r="N2686" t="str">
        <f>IF(tbl_analysis_tickets[[#This Row],[first_response_minutes]]&gt;tbl_analysis_tickets[[#This Row],[First Response SLA Minutes]],"Breached","Within SLA")</f>
        <v>Breached</v>
      </c>
      <c r="O2686" t="str" cm="1">
        <f t="array" ref="O2686">_xlfn.IFS(
tbl_analysis_tickets[[#This Row],[agent_experience_years]]&lt;=2,"Junior",
tbl_analysis_tickets[[#This Row],[agent_experience_years]]&lt;=5,"Mid-Level",
tbl_analysis_tickets[[#This Row],[agent_experience_years]]&lt;=8,"Senior",
tbl_analysis_tickets[[#This Row],[agent_experience_years]]&gt;8,"Expert"
)</f>
        <v>Senior</v>
      </c>
      <c r="P2686" cm="1">
        <f t="array" ref="P2686">_xlfn.SWITCH(tbl_analysis_tickets[[#This Row],[customer_satisfaction]],
"Low",1,
"Medium",2,
"High",3
)</f>
        <v>1</v>
      </c>
      <c r="Q2686">
        <f>IF(tbl_analysis_tickets[[#This Row],[reopened]]="Yes",1,0)</f>
        <v>1</v>
      </c>
      <c r="R2686" t="str" cm="1">
        <f t="array" ref="R2686">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686" t="str" cm="1">
        <f t="array" ref="S268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686" t="str">
        <f>TEXT(tbl_analysis_tickets[[#This Row],[created_date]],"mmm-yyyy")</f>
        <v>Jun-2024</v>
      </c>
      <c r="U2686" t="str">
        <f>TEXT(tbl_analysis_tickets[[#This Row],[created_date]],"dddd")</f>
        <v>Friday</v>
      </c>
      <c r="V2686" cm="1">
        <f t="array" ref="V2686">_xlfn.SWITCH(tbl_analysis_tickets[[#This Row],[priority]],
"Urgent",1,
"High",2,
"Medium",3,
"Low",4
)</f>
        <v>2</v>
      </c>
    </row>
    <row r="2687" spans="1:22" x14ac:dyDescent="0.25">
      <c r="A2687">
        <v>2686</v>
      </c>
      <c r="B2687" s="1">
        <v>45486</v>
      </c>
      <c r="C2687" t="s">
        <v>10</v>
      </c>
      <c r="D2687" t="s">
        <v>17</v>
      </c>
      <c r="E2687">
        <v>54</v>
      </c>
      <c r="F2687">
        <v>49</v>
      </c>
      <c r="G2687">
        <v>5</v>
      </c>
      <c r="H2687" t="s">
        <v>18</v>
      </c>
      <c r="I2687" t="s">
        <v>13</v>
      </c>
      <c r="J2687" t="s">
        <v>11</v>
      </c>
      <c r="K2687">
        <f>_xlfn.XLOOKUP(tbl_analysis_tickets[[#This Row],[priority]],tbl_sla[priority],tbl_sla[Resolution SLA Hours])</f>
        <v>8</v>
      </c>
      <c r="L2687">
        <f>_xlfn.XLOOKUP(tbl_analysis_tickets[[#This Row],[priority]],tbl_sla[priority],tbl_sla[First Response SLA Minutes])</f>
        <v>30</v>
      </c>
      <c r="M2687" t="str">
        <f>IF(tbl_analysis_tickets[[#This Row],[resolution_time_hours]]&gt;tbl_analysis_tickets[[#This Row],[Resolution SLA Hours]],"Breached","Within SLA")</f>
        <v>Breached</v>
      </c>
      <c r="N2687" t="str">
        <f>IF(tbl_analysis_tickets[[#This Row],[first_response_minutes]]&gt;tbl_analysis_tickets[[#This Row],[First Response SLA Minutes]],"Breached","Within SLA")</f>
        <v>Breached</v>
      </c>
      <c r="O2687" t="str" cm="1">
        <f t="array" ref="O2687">_xlfn.IFS(
tbl_analysis_tickets[[#This Row],[agent_experience_years]]&lt;=2,"Junior",
tbl_analysis_tickets[[#This Row],[agent_experience_years]]&lt;=5,"Mid-Level",
tbl_analysis_tickets[[#This Row],[agent_experience_years]]&lt;=8,"Senior",
tbl_analysis_tickets[[#This Row],[agent_experience_years]]&gt;8,"Expert"
)</f>
        <v>Mid-Level</v>
      </c>
      <c r="P2687" cm="1">
        <f t="array" ref="P2687">_xlfn.SWITCH(tbl_analysis_tickets[[#This Row],[customer_satisfaction]],
"Low",1,
"Medium",2,
"High",3
)</f>
        <v>1</v>
      </c>
      <c r="Q2687">
        <f>IF(tbl_analysis_tickets[[#This Row],[reopened]]="Yes",1,0)</f>
        <v>0</v>
      </c>
      <c r="R2687" t="str" cm="1">
        <f t="array" ref="R2687">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687" t="str" cm="1">
        <f t="array" ref="S268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687" t="str">
        <f>TEXT(tbl_analysis_tickets[[#This Row],[created_date]],"mmm-yyyy")</f>
        <v>Jul-2024</v>
      </c>
      <c r="U2687" t="str">
        <f>TEXT(tbl_analysis_tickets[[#This Row],[created_date]],"dddd")</f>
        <v>Saturday</v>
      </c>
      <c r="V2687" cm="1">
        <f t="array" ref="V2687">_xlfn.SWITCH(tbl_analysis_tickets[[#This Row],[priority]],
"Urgent",1,
"High",2,
"Medium",3,
"Low",4
)</f>
        <v>1</v>
      </c>
    </row>
    <row r="2688" spans="1:22" x14ac:dyDescent="0.25">
      <c r="A2688">
        <v>2687</v>
      </c>
      <c r="B2688" s="1">
        <v>45634</v>
      </c>
      <c r="C2688" t="s">
        <v>22</v>
      </c>
      <c r="D2688" t="s">
        <v>15</v>
      </c>
      <c r="E2688">
        <v>25</v>
      </c>
      <c r="F2688">
        <v>29</v>
      </c>
      <c r="G2688">
        <v>7.3</v>
      </c>
      <c r="H2688" t="s">
        <v>18</v>
      </c>
      <c r="I2688" t="s">
        <v>19</v>
      </c>
      <c r="J2688" t="s">
        <v>20</v>
      </c>
      <c r="K2688">
        <f>_xlfn.XLOOKUP(tbl_analysis_tickets[[#This Row],[priority]],tbl_sla[priority],tbl_sla[Resolution SLA Hours])</f>
        <v>48</v>
      </c>
      <c r="L2688">
        <f>_xlfn.XLOOKUP(tbl_analysis_tickets[[#This Row],[priority]],tbl_sla[priority],tbl_sla[First Response SLA Minutes])</f>
        <v>120</v>
      </c>
      <c r="M2688" t="str">
        <f>IF(tbl_analysis_tickets[[#This Row],[resolution_time_hours]]&gt;tbl_analysis_tickets[[#This Row],[Resolution SLA Hours]],"Breached","Within SLA")</f>
        <v>Within SLA</v>
      </c>
      <c r="N2688" t="str">
        <f>IF(tbl_analysis_tickets[[#This Row],[first_response_minutes]]&gt;tbl_analysis_tickets[[#This Row],[First Response SLA Minutes]],"Breached","Within SLA")</f>
        <v>Within SLA</v>
      </c>
      <c r="O2688" t="str" cm="1">
        <f t="array" ref="O2688">_xlfn.IFS(
tbl_analysis_tickets[[#This Row],[agent_experience_years]]&lt;=2,"Junior",
tbl_analysis_tickets[[#This Row],[agent_experience_years]]&lt;=5,"Mid-Level",
tbl_analysis_tickets[[#This Row],[agent_experience_years]]&lt;=8,"Senior",
tbl_analysis_tickets[[#This Row],[agent_experience_years]]&gt;8,"Expert"
)</f>
        <v>Senior</v>
      </c>
      <c r="P2688" cm="1">
        <f t="array" ref="P2688">_xlfn.SWITCH(tbl_analysis_tickets[[#This Row],[customer_satisfaction]],
"Low",1,
"Medium",2,
"High",3
)</f>
        <v>3</v>
      </c>
      <c r="Q2688">
        <f>IF(tbl_analysis_tickets[[#This Row],[reopened]]="Yes",1,0)</f>
        <v>0</v>
      </c>
      <c r="R2688" t="str" cm="1">
        <f t="array" ref="R2688">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2688" t="str" cm="1">
        <f t="array" ref="S268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688" t="str">
        <f>TEXT(tbl_analysis_tickets[[#This Row],[created_date]],"mmm-yyyy")</f>
        <v>Dec-2024</v>
      </c>
      <c r="U2688" t="str">
        <f>TEXT(tbl_analysis_tickets[[#This Row],[created_date]],"dddd")</f>
        <v>Sunday</v>
      </c>
      <c r="V2688" cm="1">
        <f t="array" ref="V2688">_xlfn.SWITCH(tbl_analysis_tickets[[#This Row],[priority]],
"Urgent",1,
"High",2,
"Medium",3,
"Low",4
)</f>
        <v>3</v>
      </c>
    </row>
    <row r="2689" spans="1:22" x14ac:dyDescent="0.25">
      <c r="A2689">
        <v>2688</v>
      </c>
      <c r="B2689" s="1">
        <v>45370</v>
      </c>
      <c r="C2689" t="s">
        <v>14</v>
      </c>
      <c r="D2689" t="s">
        <v>17</v>
      </c>
      <c r="E2689">
        <v>19</v>
      </c>
      <c r="F2689">
        <v>31</v>
      </c>
      <c r="G2689">
        <v>3.8</v>
      </c>
      <c r="H2689" t="s">
        <v>18</v>
      </c>
      <c r="I2689" t="s">
        <v>13</v>
      </c>
      <c r="J2689" t="s">
        <v>15</v>
      </c>
      <c r="K2689">
        <f>_xlfn.XLOOKUP(tbl_analysis_tickets[[#This Row],[priority]],tbl_sla[priority],tbl_sla[Resolution SLA Hours])</f>
        <v>8</v>
      </c>
      <c r="L2689">
        <f>_xlfn.XLOOKUP(tbl_analysis_tickets[[#This Row],[priority]],tbl_sla[priority],tbl_sla[First Response SLA Minutes])</f>
        <v>30</v>
      </c>
      <c r="M2689" t="str">
        <f>IF(tbl_analysis_tickets[[#This Row],[resolution_time_hours]]&gt;tbl_analysis_tickets[[#This Row],[Resolution SLA Hours]],"Breached","Within SLA")</f>
        <v>Breached</v>
      </c>
      <c r="N2689" t="str">
        <f>IF(tbl_analysis_tickets[[#This Row],[first_response_minutes]]&gt;tbl_analysis_tickets[[#This Row],[First Response SLA Minutes]],"Breached","Within SLA")</f>
        <v>Within SLA</v>
      </c>
      <c r="O2689" t="str" cm="1">
        <f t="array" ref="O2689">_xlfn.IFS(
tbl_analysis_tickets[[#This Row],[agent_experience_years]]&lt;=2,"Junior",
tbl_analysis_tickets[[#This Row],[agent_experience_years]]&lt;=5,"Mid-Level",
tbl_analysis_tickets[[#This Row],[agent_experience_years]]&lt;=8,"Senior",
tbl_analysis_tickets[[#This Row],[agent_experience_years]]&gt;8,"Expert"
)</f>
        <v>Mid-Level</v>
      </c>
      <c r="P2689" cm="1">
        <f t="array" ref="P2689">_xlfn.SWITCH(tbl_analysis_tickets[[#This Row],[customer_satisfaction]],
"Low",1,
"Medium",2,
"High",3
)</f>
        <v>2</v>
      </c>
      <c r="Q2689">
        <f>IF(tbl_analysis_tickets[[#This Row],[reopened]]="Yes",1,0)</f>
        <v>0</v>
      </c>
      <c r="R2689" t="str" cm="1">
        <f t="array" ref="R2689">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2689" t="str" cm="1">
        <f t="array" ref="S268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689" t="str">
        <f>TEXT(tbl_analysis_tickets[[#This Row],[created_date]],"mmm-yyyy")</f>
        <v>Mar-2024</v>
      </c>
      <c r="U2689" t="str">
        <f>TEXT(tbl_analysis_tickets[[#This Row],[created_date]],"dddd")</f>
        <v>Tuesday</v>
      </c>
      <c r="V2689" cm="1">
        <f t="array" ref="V2689">_xlfn.SWITCH(tbl_analysis_tickets[[#This Row],[priority]],
"Urgent",1,
"High",2,
"Medium",3,
"Low",4
)</f>
        <v>1</v>
      </c>
    </row>
    <row r="2690" spans="1:22" x14ac:dyDescent="0.25">
      <c r="A2690">
        <v>2689</v>
      </c>
      <c r="B2690" s="1">
        <v>45607</v>
      </c>
      <c r="C2690" t="s">
        <v>10</v>
      </c>
      <c r="D2690" t="s">
        <v>20</v>
      </c>
      <c r="E2690">
        <v>131</v>
      </c>
      <c r="F2690">
        <v>48</v>
      </c>
      <c r="G2690">
        <v>1.6</v>
      </c>
      <c r="H2690" t="s">
        <v>18</v>
      </c>
      <c r="I2690" t="s">
        <v>19</v>
      </c>
      <c r="J2690" t="s">
        <v>11</v>
      </c>
      <c r="K2690">
        <f>_xlfn.XLOOKUP(tbl_analysis_tickets[[#This Row],[priority]],tbl_sla[priority],tbl_sla[Resolution SLA Hours])</f>
        <v>24</v>
      </c>
      <c r="L2690">
        <f>_xlfn.XLOOKUP(tbl_analysis_tickets[[#This Row],[priority]],tbl_sla[priority],tbl_sla[First Response SLA Minutes])</f>
        <v>60</v>
      </c>
      <c r="M2690" t="str">
        <f>IF(tbl_analysis_tickets[[#This Row],[resolution_time_hours]]&gt;tbl_analysis_tickets[[#This Row],[Resolution SLA Hours]],"Breached","Within SLA")</f>
        <v>Breached</v>
      </c>
      <c r="N2690" t="str">
        <f>IF(tbl_analysis_tickets[[#This Row],[first_response_minutes]]&gt;tbl_analysis_tickets[[#This Row],[First Response SLA Minutes]],"Breached","Within SLA")</f>
        <v>Breached</v>
      </c>
      <c r="O2690" t="str" cm="1">
        <f t="array" ref="O2690">_xlfn.IFS(
tbl_analysis_tickets[[#This Row],[agent_experience_years]]&lt;=2,"Junior",
tbl_analysis_tickets[[#This Row],[agent_experience_years]]&lt;=5,"Mid-Level",
tbl_analysis_tickets[[#This Row],[agent_experience_years]]&lt;=8,"Senior",
tbl_analysis_tickets[[#This Row],[agent_experience_years]]&gt;8,"Expert"
)</f>
        <v>Junior</v>
      </c>
      <c r="P2690" cm="1">
        <f t="array" ref="P2690">_xlfn.SWITCH(tbl_analysis_tickets[[#This Row],[customer_satisfaction]],
"Low",1,
"Medium",2,
"High",3
)</f>
        <v>1</v>
      </c>
      <c r="Q2690">
        <f>IF(tbl_analysis_tickets[[#This Row],[reopened]]="Yes",1,0)</f>
        <v>0</v>
      </c>
      <c r="R2690" t="str" cm="1">
        <f t="array" ref="R2690">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690" t="str" cm="1">
        <f t="array" ref="S269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690" t="str">
        <f>TEXT(tbl_analysis_tickets[[#This Row],[created_date]],"mmm-yyyy")</f>
        <v>Nov-2024</v>
      </c>
      <c r="U2690" t="str">
        <f>TEXT(tbl_analysis_tickets[[#This Row],[created_date]],"dddd")</f>
        <v>Monday</v>
      </c>
      <c r="V2690" cm="1">
        <f t="array" ref="V2690">_xlfn.SWITCH(tbl_analysis_tickets[[#This Row],[priority]],
"Urgent",1,
"High",2,
"Medium",3,
"Low",4
)</f>
        <v>2</v>
      </c>
    </row>
    <row r="2691" spans="1:22" x14ac:dyDescent="0.25">
      <c r="A2691">
        <v>2690</v>
      </c>
      <c r="B2691" s="1">
        <v>45644</v>
      </c>
      <c r="C2691" t="s">
        <v>23</v>
      </c>
      <c r="D2691" t="s">
        <v>20</v>
      </c>
      <c r="E2691">
        <v>51</v>
      </c>
      <c r="F2691">
        <v>49</v>
      </c>
      <c r="G2691">
        <v>2.2999999999999998</v>
      </c>
      <c r="H2691" t="s">
        <v>12</v>
      </c>
      <c r="I2691" t="s">
        <v>16</v>
      </c>
      <c r="J2691" t="s">
        <v>11</v>
      </c>
      <c r="K2691">
        <f>_xlfn.XLOOKUP(tbl_analysis_tickets[[#This Row],[priority]],tbl_sla[priority],tbl_sla[Resolution SLA Hours])</f>
        <v>24</v>
      </c>
      <c r="L2691">
        <f>_xlfn.XLOOKUP(tbl_analysis_tickets[[#This Row],[priority]],tbl_sla[priority],tbl_sla[First Response SLA Minutes])</f>
        <v>60</v>
      </c>
      <c r="M2691" t="str">
        <f>IF(tbl_analysis_tickets[[#This Row],[resolution_time_hours]]&gt;tbl_analysis_tickets[[#This Row],[Resolution SLA Hours]],"Breached","Within SLA")</f>
        <v>Breached</v>
      </c>
      <c r="N2691" t="str">
        <f>IF(tbl_analysis_tickets[[#This Row],[first_response_minutes]]&gt;tbl_analysis_tickets[[#This Row],[First Response SLA Minutes]],"Breached","Within SLA")</f>
        <v>Within SLA</v>
      </c>
      <c r="O2691" t="str" cm="1">
        <f t="array" ref="O2691">_xlfn.IFS(
tbl_analysis_tickets[[#This Row],[agent_experience_years]]&lt;=2,"Junior",
tbl_analysis_tickets[[#This Row],[agent_experience_years]]&lt;=5,"Mid-Level",
tbl_analysis_tickets[[#This Row],[agent_experience_years]]&lt;=8,"Senior",
tbl_analysis_tickets[[#This Row],[agent_experience_years]]&gt;8,"Expert"
)</f>
        <v>Mid-Level</v>
      </c>
      <c r="P2691" cm="1">
        <f t="array" ref="P2691">_xlfn.SWITCH(tbl_analysis_tickets[[#This Row],[customer_satisfaction]],
"Low",1,
"Medium",2,
"High",3
)</f>
        <v>1</v>
      </c>
      <c r="Q2691">
        <f>IF(tbl_analysis_tickets[[#This Row],[reopened]]="Yes",1,0)</f>
        <v>1</v>
      </c>
      <c r="R2691" t="str" cm="1">
        <f t="array" ref="R2691">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691" t="str" cm="1">
        <f t="array" ref="S269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691" t="str">
        <f>TEXT(tbl_analysis_tickets[[#This Row],[created_date]],"mmm-yyyy")</f>
        <v>Dec-2024</v>
      </c>
      <c r="U2691" t="str">
        <f>TEXT(tbl_analysis_tickets[[#This Row],[created_date]],"dddd")</f>
        <v>Wednesday</v>
      </c>
      <c r="V2691" cm="1">
        <f t="array" ref="V2691">_xlfn.SWITCH(tbl_analysis_tickets[[#This Row],[priority]],
"Urgent",1,
"High",2,
"Medium",3,
"Low",4
)</f>
        <v>2</v>
      </c>
    </row>
    <row r="2692" spans="1:22" x14ac:dyDescent="0.25">
      <c r="A2692">
        <v>2691</v>
      </c>
      <c r="B2692" s="1">
        <v>45373</v>
      </c>
      <c r="C2692" t="s">
        <v>14</v>
      </c>
      <c r="D2692" t="s">
        <v>11</v>
      </c>
      <c r="E2692">
        <v>8</v>
      </c>
      <c r="F2692">
        <v>60</v>
      </c>
      <c r="G2692">
        <v>6.7</v>
      </c>
      <c r="H2692" t="s">
        <v>18</v>
      </c>
      <c r="I2692" t="s">
        <v>13</v>
      </c>
      <c r="J2692" t="s">
        <v>20</v>
      </c>
      <c r="K2692">
        <f>_xlfn.XLOOKUP(tbl_analysis_tickets[[#This Row],[priority]],tbl_sla[priority],tbl_sla[Resolution SLA Hours])</f>
        <v>72</v>
      </c>
      <c r="L2692">
        <f>_xlfn.XLOOKUP(tbl_analysis_tickets[[#This Row],[priority]],tbl_sla[priority],tbl_sla[First Response SLA Minutes])</f>
        <v>240</v>
      </c>
      <c r="M2692" t="str">
        <f>IF(tbl_analysis_tickets[[#This Row],[resolution_time_hours]]&gt;tbl_analysis_tickets[[#This Row],[Resolution SLA Hours]],"Breached","Within SLA")</f>
        <v>Within SLA</v>
      </c>
      <c r="N2692" t="str">
        <f>IF(tbl_analysis_tickets[[#This Row],[first_response_minutes]]&gt;tbl_analysis_tickets[[#This Row],[First Response SLA Minutes]],"Breached","Within SLA")</f>
        <v>Within SLA</v>
      </c>
      <c r="O2692" t="str" cm="1">
        <f t="array" ref="O2692">_xlfn.IFS(
tbl_analysis_tickets[[#This Row],[agent_experience_years]]&lt;=2,"Junior",
tbl_analysis_tickets[[#This Row],[agent_experience_years]]&lt;=5,"Mid-Level",
tbl_analysis_tickets[[#This Row],[agent_experience_years]]&lt;=8,"Senior",
tbl_analysis_tickets[[#This Row],[agent_experience_years]]&gt;8,"Expert"
)</f>
        <v>Senior</v>
      </c>
      <c r="P2692" cm="1">
        <f t="array" ref="P2692">_xlfn.SWITCH(tbl_analysis_tickets[[#This Row],[customer_satisfaction]],
"Low",1,
"Medium",2,
"High",3
)</f>
        <v>3</v>
      </c>
      <c r="Q2692">
        <f>IF(tbl_analysis_tickets[[#This Row],[reopened]]="Yes",1,0)</f>
        <v>0</v>
      </c>
      <c r="R2692" t="str" cm="1">
        <f t="array" ref="R2692">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2692" t="str" cm="1">
        <f t="array" ref="S269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692" t="str">
        <f>TEXT(tbl_analysis_tickets[[#This Row],[created_date]],"mmm-yyyy")</f>
        <v>Mar-2024</v>
      </c>
      <c r="U2692" t="str">
        <f>TEXT(tbl_analysis_tickets[[#This Row],[created_date]],"dddd")</f>
        <v>Friday</v>
      </c>
      <c r="V2692" cm="1">
        <f t="array" ref="V2692">_xlfn.SWITCH(tbl_analysis_tickets[[#This Row],[priority]],
"Urgent",1,
"High",2,
"Medium",3,
"Low",4
)</f>
        <v>4</v>
      </c>
    </row>
    <row r="2693" spans="1:22" x14ac:dyDescent="0.25">
      <c r="A2693">
        <v>2692</v>
      </c>
      <c r="B2693" s="1">
        <v>45358</v>
      </c>
      <c r="C2693" t="s">
        <v>23</v>
      </c>
      <c r="D2693" t="s">
        <v>20</v>
      </c>
      <c r="E2693">
        <v>141</v>
      </c>
      <c r="F2693">
        <v>65</v>
      </c>
      <c r="G2693">
        <v>6</v>
      </c>
      <c r="H2693" t="s">
        <v>18</v>
      </c>
      <c r="I2693" t="s">
        <v>19</v>
      </c>
      <c r="J2693" t="s">
        <v>11</v>
      </c>
      <c r="K2693">
        <f>_xlfn.XLOOKUP(tbl_analysis_tickets[[#This Row],[priority]],tbl_sla[priority],tbl_sla[Resolution SLA Hours])</f>
        <v>24</v>
      </c>
      <c r="L2693">
        <f>_xlfn.XLOOKUP(tbl_analysis_tickets[[#This Row],[priority]],tbl_sla[priority],tbl_sla[First Response SLA Minutes])</f>
        <v>60</v>
      </c>
      <c r="M2693" t="str">
        <f>IF(tbl_analysis_tickets[[#This Row],[resolution_time_hours]]&gt;tbl_analysis_tickets[[#This Row],[Resolution SLA Hours]],"Breached","Within SLA")</f>
        <v>Breached</v>
      </c>
      <c r="N2693" t="str">
        <f>IF(tbl_analysis_tickets[[#This Row],[first_response_minutes]]&gt;tbl_analysis_tickets[[#This Row],[First Response SLA Minutes]],"Breached","Within SLA")</f>
        <v>Breached</v>
      </c>
      <c r="O2693" t="str" cm="1">
        <f t="array" ref="O2693">_xlfn.IFS(
tbl_analysis_tickets[[#This Row],[agent_experience_years]]&lt;=2,"Junior",
tbl_analysis_tickets[[#This Row],[agent_experience_years]]&lt;=5,"Mid-Level",
tbl_analysis_tickets[[#This Row],[agent_experience_years]]&lt;=8,"Senior",
tbl_analysis_tickets[[#This Row],[agent_experience_years]]&gt;8,"Expert"
)</f>
        <v>Senior</v>
      </c>
      <c r="P2693" cm="1">
        <f t="array" ref="P2693">_xlfn.SWITCH(tbl_analysis_tickets[[#This Row],[customer_satisfaction]],
"Low",1,
"Medium",2,
"High",3
)</f>
        <v>1</v>
      </c>
      <c r="Q2693">
        <f>IF(tbl_analysis_tickets[[#This Row],[reopened]]="Yes",1,0)</f>
        <v>0</v>
      </c>
      <c r="R2693" t="str" cm="1">
        <f t="array" ref="R2693">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693" t="str" cm="1">
        <f t="array" ref="S269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693" t="str">
        <f>TEXT(tbl_analysis_tickets[[#This Row],[created_date]],"mmm-yyyy")</f>
        <v>Mar-2024</v>
      </c>
      <c r="U2693" t="str">
        <f>TEXT(tbl_analysis_tickets[[#This Row],[created_date]],"dddd")</f>
        <v>Thursday</v>
      </c>
      <c r="V2693" cm="1">
        <f t="array" ref="V2693">_xlfn.SWITCH(tbl_analysis_tickets[[#This Row],[priority]],
"Urgent",1,
"High",2,
"Medium",3,
"Low",4
)</f>
        <v>2</v>
      </c>
    </row>
    <row r="2694" spans="1:22" x14ac:dyDescent="0.25">
      <c r="A2694">
        <v>2693</v>
      </c>
      <c r="B2694" s="1">
        <v>45414</v>
      </c>
      <c r="C2694" t="s">
        <v>23</v>
      </c>
      <c r="D2694" t="s">
        <v>17</v>
      </c>
      <c r="E2694">
        <v>48</v>
      </c>
      <c r="F2694">
        <v>1</v>
      </c>
      <c r="G2694">
        <v>1.9</v>
      </c>
      <c r="H2694" t="s">
        <v>18</v>
      </c>
      <c r="I2694" t="s">
        <v>19</v>
      </c>
      <c r="J2694" t="s">
        <v>15</v>
      </c>
      <c r="K2694">
        <f>_xlfn.XLOOKUP(tbl_analysis_tickets[[#This Row],[priority]],tbl_sla[priority],tbl_sla[Resolution SLA Hours])</f>
        <v>8</v>
      </c>
      <c r="L2694">
        <f>_xlfn.XLOOKUP(tbl_analysis_tickets[[#This Row],[priority]],tbl_sla[priority],tbl_sla[First Response SLA Minutes])</f>
        <v>30</v>
      </c>
      <c r="M2694" t="str">
        <f>IF(tbl_analysis_tickets[[#This Row],[resolution_time_hours]]&gt;tbl_analysis_tickets[[#This Row],[Resolution SLA Hours]],"Breached","Within SLA")</f>
        <v>Within SLA</v>
      </c>
      <c r="N2694" t="str">
        <f>IF(tbl_analysis_tickets[[#This Row],[first_response_minutes]]&gt;tbl_analysis_tickets[[#This Row],[First Response SLA Minutes]],"Breached","Within SLA")</f>
        <v>Breached</v>
      </c>
      <c r="O2694" t="str" cm="1">
        <f t="array" ref="O2694">_xlfn.IFS(
tbl_analysis_tickets[[#This Row],[agent_experience_years]]&lt;=2,"Junior",
tbl_analysis_tickets[[#This Row],[agent_experience_years]]&lt;=5,"Mid-Level",
tbl_analysis_tickets[[#This Row],[agent_experience_years]]&lt;=8,"Senior",
tbl_analysis_tickets[[#This Row],[agent_experience_years]]&gt;8,"Expert"
)</f>
        <v>Junior</v>
      </c>
      <c r="P2694" cm="1">
        <f t="array" ref="P2694">_xlfn.SWITCH(tbl_analysis_tickets[[#This Row],[customer_satisfaction]],
"Low",1,
"Medium",2,
"High",3
)</f>
        <v>2</v>
      </c>
      <c r="Q2694">
        <f>IF(tbl_analysis_tickets[[#This Row],[reopened]]="Yes",1,0)</f>
        <v>0</v>
      </c>
      <c r="R2694" t="str" cm="1">
        <f t="array" ref="R2694">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694" t="str" cm="1">
        <f t="array" ref="S269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2694" t="str">
        <f>TEXT(tbl_analysis_tickets[[#This Row],[created_date]],"mmm-yyyy")</f>
        <v>May-2024</v>
      </c>
      <c r="U2694" t="str">
        <f>TEXT(tbl_analysis_tickets[[#This Row],[created_date]],"dddd")</f>
        <v>Thursday</v>
      </c>
      <c r="V2694" cm="1">
        <f t="array" ref="V2694">_xlfn.SWITCH(tbl_analysis_tickets[[#This Row],[priority]],
"Urgent",1,
"High",2,
"Medium",3,
"Low",4
)</f>
        <v>1</v>
      </c>
    </row>
    <row r="2695" spans="1:22" x14ac:dyDescent="0.25">
      <c r="A2695">
        <v>2694</v>
      </c>
      <c r="B2695" s="1">
        <v>45425</v>
      </c>
      <c r="C2695" t="s">
        <v>14</v>
      </c>
      <c r="D2695" t="s">
        <v>11</v>
      </c>
      <c r="E2695">
        <v>196</v>
      </c>
      <c r="F2695">
        <v>31</v>
      </c>
      <c r="G2695">
        <v>9.5</v>
      </c>
      <c r="H2695" t="s">
        <v>18</v>
      </c>
      <c r="I2695" t="s">
        <v>19</v>
      </c>
      <c r="J2695" t="s">
        <v>15</v>
      </c>
      <c r="K2695">
        <f>_xlfn.XLOOKUP(tbl_analysis_tickets[[#This Row],[priority]],tbl_sla[priority],tbl_sla[Resolution SLA Hours])</f>
        <v>72</v>
      </c>
      <c r="L2695">
        <f>_xlfn.XLOOKUP(tbl_analysis_tickets[[#This Row],[priority]],tbl_sla[priority],tbl_sla[First Response SLA Minutes])</f>
        <v>240</v>
      </c>
      <c r="M2695" t="str">
        <f>IF(tbl_analysis_tickets[[#This Row],[resolution_time_hours]]&gt;tbl_analysis_tickets[[#This Row],[Resolution SLA Hours]],"Breached","Within SLA")</f>
        <v>Within SLA</v>
      </c>
      <c r="N2695" t="str">
        <f>IF(tbl_analysis_tickets[[#This Row],[first_response_minutes]]&gt;tbl_analysis_tickets[[#This Row],[First Response SLA Minutes]],"Breached","Within SLA")</f>
        <v>Within SLA</v>
      </c>
      <c r="O2695" t="str" cm="1">
        <f t="array" ref="O2695">_xlfn.IFS(
tbl_analysis_tickets[[#This Row],[agent_experience_years]]&lt;=2,"Junior",
tbl_analysis_tickets[[#This Row],[agent_experience_years]]&lt;=5,"Mid-Level",
tbl_analysis_tickets[[#This Row],[agent_experience_years]]&lt;=8,"Senior",
tbl_analysis_tickets[[#This Row],[agent_experience_years]]&gt;8,"Expert"
)</f>
        <v>Expert</v>
      </c>
      <c r="P2695" cm="1">
        <f t="array" ref="P2695">_xlfn.SWITCH(tbl_analysis_tickets[[#This Row],[customer_satisfaction]],
"Low",1,
"Medium",2,
"High",3
)</f>
        <v>2</v>
      </c>
      <c r="Q2695">
        <f>IF(tbl_analysis_tickets[[#This Row],[reopened]]="Yes",1,0)</f>
        <v>0</v>
      </c>
      <c r="R2695" t="str" cm="1">
        <f t="array" ref="R2695">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695" t="str" cm="1">
        <f t="array" ref="S269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695" t="str">
        <f>TEXT(tbl_analysis_tickets[[#This Row],[created_date]],"mmm-yyyy")</f>
        <v>May-2024</v>
      </c>
      <c r="U2695" t="str">
        <f>TEXT(tbl_analysis_tickets[[#This Row],[created_date]],"dddd")</f>
        <v>Monday</v>
      </c>
      <c r="V2695" cm="1">
        <f t="array" ref="V2695">_xlfn.SWITCH(tbl_analysis_tickets[[#This Row],[priority]],
"Urgent",1,
"High",2,
"Medium",3,
"Low",4
)</f>
        <v>4</v>
      </c>
    </row>
    <row r="2696" spans="1:22" x14ac:dyDescent="0.25">
      <c r="A2696">
        <v>2695</v>
      </c>
      <c r="B2696" s="1">
        <v>45651</v>
      </c>
      <c r="C2696" t="s">
        <v>22</v>
      </c>
      <c r="D2696" t="s">
        <v>11</v>
      </c>
      <c r="E2696">
        <v>148</v>
      </c>
      <c r="F2696">
        <v>17</v>
      </c>
      <c r="G2696">
        <v>9.8000000000000007</v>
      </c>
      <c r="H2696" t="s">
        <v>12</v>
      </c>
      <c r="I2696" t="s">
        <v>16</v>
      </c>
      <c r="J2696" t="s">
        <v>11</v>
      </c>
      <c r="K2696">
        <f>_xlfn.XLOOKUP(tbl_analysis_tickets[[#This Row],[priority]],tbl_sla[priority],tbl_sla[Resolution SLA Hours])</f>
        <v>72</v>
      </c>
      <c r="L2696">
        <f>_xlfn.XLOOKUP(tbl_analysis_tickets[[#This Row],[priority]],tbl_sla[priority],tbl_sla[First Response SLA Minutes])</f>
        <v>240</v>
      </c>
      <c r="M2696" t="str">
        <f>IF(tbl_analysis_tickets[[#This Row],[resolution_time_hours]]&gt;tbl_analysis_tickets[[#This Row],[Resolution SLA Hours]],"Breached","Within SLA")</f>
        <v>Within SLA</v>
      </c>
      <c r="N2696" t="str">
        <f>IF(tbl_analysis_tickets[[#This Row],[first_response_minutes]]&gt;tbl_analysis_tickets[[#This Row],[First Response SLA Minutes]],"Breached","Within SLA")</f>
        <v>Within SLA</v>
      </c>
      <c r="O2696" t="str" cm="1">
        <f t="array" ref="O2696">_xlfn.IFS(
tbl_analysis_tickets[[#This Row],[agent_experience_years]]&lt;=2,"Junior",
tbl_analysis_tickets[[#This Row],[agent_experience_years]]&lt;=5,"Mid-Level",
tbl_analysis_tickets[[#This Row],[agent_experience_years]]&lt;=8,"Senior",
tbl_analysis_tickets[[#This Row],[agent_experience_years]]&gt;8,"Expert"
)</f>
        <v>Expert</v>
      </c>
      <c r="P2696" cm="1">
        <f t="array" ref="P2696">_xlfn.SWITCH(tbl_analysis_tickets[[#This Row],[customer_satisfaction]],
"Low",1,
"Medium",2,
"High",3
)</f>
        <v>1</v>
      </c>
      <c r="Q2696">
        <f>IF(tbl_analysis_tickets[[#This Row],[reopened]]="Yes",1,0)</f>
        <v>1</v>
      </c>
      <c r="R2696" t="str" cm="1">
        <f t="array" ref="R2696">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696" t="str" cm="1">
        <f t="array" ref="S269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696" t="str">
        <f>TEXT(tbl_analysis_tickets[[#This Row],[created_date]],"mmm-yyyy")</f>
        <v>Dec-2024</v>
      </c>
      <c r="U2696" t="str">
        <f>TEXT(tbl_analysis_tickets[[#This Row],[created_date]],"dddd")</f>
        <v>Wednesday</v>
      </c>
      <c r="V2696" cm="1">
        <f t="array" ref="V2696">_xlfn.SWITCH(tbl_analysis_tickets[[#This Row],[priority]],
"Urgent",1,
"High",2,
"Medium",3,
"Low",4
)</f>
        <v>4</v>
      </c>
    </row>
    <row r="2697" spans="1:22" x14ac:dyDescent="0.25">
      <c r="A2697">
        <v>2696</v>
      </c>
      <c r="B2697" s="1">
        <v>45452</v>
      </c>
      <c r="C2697" t="s">
        <v>10</v>
      </c>
      <c r="D2697" t="s">
        <v>15</v>
      </c>
      <c r="E2697">
        <v>66</v>
      </c>
      <c r="F2697">
        <v>48</v>
      </c>
      <c r="G2697">
        <v>6.5</v>
      </c>
      <c r="H2697" t="s">
        <v>12</v>
      </c>
      <c r="I2697" t="s">
        <v>19</v>
      </c>
      <c r="J2697" t="s">
        <v>11</v>
      </c>
      <c r="K2697">
        <f>_xlfn.XLOOKUP(tbl_analysis_tickets[[#This Row],[priority]],tbl_sla[priority],tbl_sla[Resolution SLA Hours])</f>
        <v>48</v>
      </c>
      <c r="L2697">
        <f>_xlfn.XLOOKUP(tbl_analysis_tickets[[#This Row],[priority]],tbl_sla[priority],tbl_sla[First Response SLA Minutes])</f>
        <v>120</v>
      </c>
      <c r="M2697" t="str">
        <f>IF(tbl_analysis_tickets[[#This Row],[resolution_time_hours]]&gt;tbl_analysis_tickets[[#This Row],[Resolution SLA Hours]],"Breached","Within SLA")</f>
        <v>Within SLA</v>
      </c>
      <c r="N2697" t="str">
        <f>IF(tbl_analysis_tickets[[#This Row],[first_response_minutes]]&gt;tbl_analysis_tickets[[#This Row],[First Response SLA Minutes]],"Breached","Within SLA")</f>
        <v>Within SLA</v>
      </c>
      <c r="O2697" t="str" cm="1">
        <f t="array" ref="O2697">_xlfn.IFS(
tbl_analysis_tickets[[#This Row],[agent_experience_years]]&lt;=2,"Junior",
tbl_analysis_tickets[[#This Row],[agent_experience_years]]&lt;=5,"Mid-Level",
tbl_analysis_tickets[[#This Row],[agent_experience_years]]&lt;=8,"Senior",
tbl_analysis_tickets[[#This Row],[agent_experience_years]]&gt;8,"Expert"
)</f>
        <v>Senior</v>
      </c>
      <c r="P2697" cm="1">
        <f t="array" ref="P2697">_xlfn.SWITCH(tbl_analysis_tickets[[#This Row],[customer_satisfaction]],
"Low",1,
"Medium",2,
"High",3
)</f>
        <v>1</v>
      </c>
      <c r="Q2697">
        <f>IF(tbl_analysis_tickets[[#This Row],[reopened]]="Yes",1,0)</f>
        <v>1</v>
      </c>
      <c r="R2697" t="str" cm="1">
        <f t="array" ref="R2697">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697" t="str" cm="1">
        <f t="array" ref="S269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697" t="str">
        <f>TEXT(tbl_analysis_tickets[[#This Row],[created_date]],"mmm-yyyy")</f>
        <v>Jun-2024</v>
      </c>
      <c r="U2697" t="str">
        <f>TEXT(tbl_analysis_tickets[[#This Row],[created_date]],"dddd")</f>
        <v>Sunday</v>
      </c>
      <c r="V2697" cm="1">
        <f t="array" ref="V2697">_xlfn.SWITCH(tbl_analysis_tickets[[#This Row],[priority]],
"Urgent",1,
"High",2,
"Medium",3,
"Low",4
)</f>
        <v>3</v>
      </c>
    </row>
    <row r="2698" spans="1:22" x14ac:dyDescent="0.25">
      <c r="A2698">
        <v>2697</v>
      </c>
      <c r="B2698" s="1">
        <v>45434</v>
      </c>
      <c r="C2698" t="s">
        <v>10</v>
      </c>
      <c r="D2698" t="s">
        <v>20</v>
      </c>
      <c r="E2698">
        <v>8</v>
      </c>
      <c r="F2698">
        <v>51</v>
      </c>
      <c r="G2698">
        <v>5.8</v>
      </c>
      <c r="H2698" t="s">
        <v>12</v>
      </c>
      <c r="I2698" t="s">
        <v>16</v>
      </c>
      <c r="J2698" t="s">
        <v>15</v>
      </c>
      <c r="K2698">
        <f>_xlfn.XLOOKUP(tbl_analysis_tickets[[#This Row],[priority]],tbl_sla[priority],tbl_sla[Resolution SLA Hours])</f>
        <v>24</v>
      </c>
      <c r="L2698">
        <f>_xlfn.XLOOKUP(tbl_analysis_tickets[[#This Row],[priority]],tbl_sla[priority],tbl_sla[First Response SLA Minutes])</f>
        <v>60</v>
      </c>
      <c r="M2698" t="str">
        <f>IF(tbl_analysis_tickets[[#This Row],[resolution_time_hours]]&gt;tbl_analysis_tickets[[#This Row],[Resolution SLA Hours]],"Breached","Within SLA")</f>
        <v>Breached</v>
      </c>
      <c r="N2698" t="str">
        <f>IF(tbl_analysis_tickets[[#This Row],[first_response_minutes]]&gt;tbl_analysis_tickets[[#This Row],[First Response SLA Minutes]],"Breached","Within SLA")</f>
        <v>Within SLA</v>
      </c>
      <c r="O2698" t="str" cm="1">
        <f t="array" ref="O2698">_xlfn.IFS(
tbl_analysis_tickets[[#This Row],[agent_experience_years]]&lt;=2,"Junior",
tbl_analysis_tickets[[#This Row],[agent_experience_years]]&lt;=5,"Mid-Level",
tbl_analysis_tickets[[#This Row],[agent_experience_years]]&lt;=8,"Senior",
tbl_analysis_tickets[[#This Row],[agent_experience_years]]&gt;8,"Expert"
)</f>
        <v>Senior</v>
      </c>
      <c r="P2698" cm="1">
        <f t="array" ref="P2698">_xlfn.SWITCH(tbl_analysis_tickets[[#This Row],[customer_satisfaction]],
"Low",1,
"Medium",2,
"High",3
)</f>
        <v>2</v>
      </c>
      <c r="Q2698">
        <f>IF(tbl_analysis_tickets[[#This Row],[reopened]]="Yes",1,0)</f>
        <v>1</v>
      </c>
      <c r="R2698" t="str" cm="1">
        <f t="array" ref="R2698">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2698" t="str" cm="1">
        <f t="array" ref="S269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698" t="str">
        <f>TEXT(tbl_analysis_tickets[[#This Row],[created_date]],"mmm-yyyy")</f>
        <v>May-2024</v>
      </c>
      <c r="U2698" t="str">
        <f>TEXT(tbl_analysis_tickets[[#This Row],[created_date]],"dddd")</f>
        <v>Wednesday</v>
      </c>
      <c r="V2698" cm="1">
        <f t="array" ref="V2698">_xlfn.SWITCH(tbl_analysis_tickets[[#This Row],[priority]],
"Urgent",1,
"High",2,
"Medium",3,
"Low",4
)</f>
        <v>2</v>
      </c>
    </row>
    <row r="2699" spans="1:22" x14ac:dyDescent="0.25">
      <c r="A2699">
        <v>2698</v>
      </c>
      <c r="B2699" s="1">
        <v>45596</v>
      </c>
      <c r="C2699" t="s">
        <v>14</v>
      </c>
      <c r="D2699" t="s">
        <v>20</v>
      </c>
      <c r="E2699">
        <v>159</v>
      </c>
      <c r="F2699">
        <v>21</v>
      </c>
      <c r="G2699">
        <v>0.5</v>
      </c>
      <c r="H2699" t="s">
        <v>12</v>
      </c>
      <c r="I2699" t="s">
        <v>16</v>
      </c>
      <c r="J2699" t="s">
        <v>11</v>
      </c>
      <c r="K2699">
        <f>_xlfn.XLOOKUP(tbl_analysis_tickets[[#This Row],[priority]],tbl_sla[priority],tbl_sla[Resolution SLA Hours])</f>
        <v>24</v>
      </c>
      <c r="L2699">
        <f>_xlfn.XLOOKUP(tbl_analysis_tickets[[#This Row],[priority]],tbl_sla[priority],tbl_sla[First Response SLA Minutes])</f>
        <v>60</v>
      </c>
      <c r="M2699" t="str">
        <f>IF(tbl_analysis_tickets[[#This Row],[resolution_time_hours]]&gt;tbl_analysis_tickets[[#This Row],[Resolution SLA Hours]],"Breached","Within SLA")</f>
        <v>Within SLA</v>
      </c>
      <c r="N2699" t="str">
        <f>IF(tbl_analysis_tickets[[#This Row],[first_response_minutes]]&gt;tbl_analysis_tickets[[#This Row],[First Response SLA Minutes]],"Breached","Within SLA")</f>
        <v>Breached</v>
      </c>
      <c r="O2699" t="str" cm="1">
        <f t="array" ref="O2699">_xlfn.IFS(
tbl_analysis_tickets[[#This Row],[agent_experience_years]]&lt;=2,"Junior",
tbl_analysis_tickets[[#This Row],[agent_experience_years]]&lt;=5,"Mid-Level",
tbl_analysis_tickets[[#This Row],[agent_experience_years]]&lt;=8,"Senior",
tbl_analysis_tickets[[#This Row],[agent_experience_years]]&gt;8,"Expert"
)</f>
        <v>Junior</v>
      </c>
      <c r="P2699" cm="1">
        <f t="array" ref="P2699">_xlfn.SWITCH(tbl_analysis_tickets[[#This Row],[customer_satisfaction]],
"Low",1,
"Medium",2,
"High",3
)</f>
        <v>1</v>
      </c>
      <c r="Q2699">
        <f>IF(tbl_analysis_tickets[[#This Row],[reopened]]="Yes",1,0)</f>
        <v>1</v>
      </c>
      <c r="R2699" t="str" cm="1">
        <f t="array" ref="R2699">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699" t="str" cm="1">
        <f t="array" ref="S269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699" t="str">
        <f>TEXT(tbl_analysis_tickets[[#This Row],[created_date]],"mmm-yyyy")</f>
        <v>Oct-2024</v>
      </c>
      <c r="U2699" t="str">
        <f>TEXT(tbl_analysis_tickets[[#This Row],[created_date]],"dddd")</f>
        <v>Thursday</v>
      </c>
      <c r="V2699" cm="1">
        <f t="array" ref="V2699">_xlfn.SWITCH(tbl_analysis_tickets[[#This Row],[priority]],
"Urgent",1,
"High",2,
"Medium",3,
"Low",4
)</f>
        <v>2</v>
      </c>
    </row>
    <row r="2700" spans="1:22" x14ac:dyDescent="0.25">
      <c r="A2700">
        <v>2699</v>
      </c>
      <c r="B2700" s="1">
        <v>45427</v>
      </c>
      <c r="C2700" t="s">
        <v>14</v>
      </c>
      <c r="D2700" t="s">
        <v>15</v>
      </c>
      <c r="E2700">
        <v>40</v>
      </c>
      <c r="F2700">
        <v>14</v>
      </c>
      <c r="G2700">
        <v>1.6</v>
      </c>
      <c r="H2700" t="s">
        <v>12</v>
      </c>
      <c r="I2700" t="s">
        <v>13</v>
      </c>
      <c r="J2700" t="s">
        <v>11</v>
      </c>
      <c r="K2700">
        <f>_xlfn.XLOOKUP(tbl_analysis_tickets[[#This Row],[priority]],tbl_sla[priority],tbl_sla[Resolution SLA Hours])</f>
        <v>48</v>
      </c>
      <c r="L2700">
        <f>_xlfn.XLOOKUP(tbl_analysis_tickets[[#This Row],[priority]],tbl_sla[priority],tbl_sla[First Response SLA Minutes])</f>
        <v>120</v>
      </c>
      <c r="M2700" t="str">
        <f>IF(tbl_analysis_tickets[[#This Row],[resolution_time_hours]]&gt;tbl_analysis_tickets[[#This Row],[Resolution SLA Hours]],"Breached","Within SLA")</f>
        <v>Within SLA</v>
      </c>
      <c r="N2700" t="str">
        <f>IF(tbl_analysis_tickets[[#This Row],[first_response_minutes]]&gt;tbl_analysis_tickets[[#This Row],[First Response SLA Minutes]],"Breached","Within SLA")</f>
        <v>Within SLA</v>
      </c>
      <c r="O2700" t="str" cm="1">
        <f t="array" ref="O2700">_xlfn.IFS(
tbl_analysis_tickets[[#This Row],[agent_experience_years]]&lt;=2,"Junior",
tbl_analysis_tickets[[#This Row],[agent_experience_years]]&lt;=5,"Mid-Level",
tbl_analysis_tickets[[#This Row],[agent_experience_years]]&lt;=8,"Senior",
tbl_analysis_tickets[[#This Row],[agent_experience_years]]&gt;8,"Expert"
)</f>
        <v>Junior</v>
      </c>
      <c r="P2700" cm="1">
        <f t="array" ref="P2700">_xlfn.SWITCH(tbl_analysis_tickets[[#This Row],[customer_satisfaction]],
"Low",1,
"Medium",2,
"High",3
)</f>
        <v>1</v>
      </c>
      <c r="Q2700">
        <f>IF(tbl_analysis_tickets[[#This Row],[reopened]]="Yes",1,0)</f>
        <v>1</v>
      </c>
      <c r="R2700" t="str" cm="1">
        <f t="array" ref="R2700">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700" t="str" cm="1">
        <f t="array" ref="S270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700" t="str">
        <f>TEXT(tbl_analysis_tickets[[#This Row],[created_date]],"mmm-yyyy")</f>
        <v>May-2024</v>
      </c>
      <c r="U2700" t="str">
        <f>TEXT(tbl_analysis_tickets[[#This Row],[created_date]],"dddd")</f>
        <v>Wednesday</v>
      </c>
      <c r="V2700" cm="1">
        <f t="array" ref="V2700">_xlfn.SWITCH(tbl_analysis_tickets[[#This Row],[priority]],
"Urgent",1,
"High",2,
"Medium",3,
"Low",4
)</f>
        <v>3</v>
      </c>
    </row>
    <row r="2701" spans="1:22" x14ac:dyDescent="0.25">
      <c r="A2701">
        <v>2700</v>
      </c>
      <c r="B2701" s="1">
        <v>45606</v>
      </c>
      <c r="C2701" t="s">
        <v>23</v>
      </c>
      <c r="D2701" t="s">
        <v>11</v>
      </c>
      <c r="E2701">
        <v>157</v>
      </c>
      <c r="F2701">
        <v>59</v>
      </c>
      <c r="G2701">
        <v>3.1</v>
      </c>
      <c r="H2701" t="s">
        <v>18</v>
      </c>
      <c r="I2701" t="s">
        <v>19</v>
      </c>
      <c r="J2701" t="s">
        <v>11</v>
      </c>
      <c r="K2701">
        <f>_xlfn.XLOOKUP(tbl_analysis_tickets[[#This Row],[priority]],tbl_sla[priority],tbl_sla[Resolution SLA Hours])</f>
        <v>72</v>
      </c>
      <c r="L2701">
        <f>_xlfn.XLOOKUP(tbl_analysis_tickets[[#This Row],[priority]],tbl_sla[priority],tbl_sla[First Response SLA Minutes])</f>
        <v>240</v>
      </c>
      <c r="M2701" t="str">
        <f>IF(tbl_analysis_tickets[[#This Row],[resolution_time_hours]]&gt;tbl_analysis_tickets[[#This Row],[Resolution SLA Hours]],"Breached","Within SLA")</f>
        <v>Within SLA</v>
      </c>
      <c r="N2701" t="str">
        <f>IF(tbl_analysis_tickets[[#This Row],[first_response_minutes]]&gt;tbl_analysis_tickets[[#This Row],[First Response SLA Minutes]],"Breached","Within SLA")</f>
        <v>Within SLA</v>
      </c>
      <c r="O2701" t="str" cm="1">
        <f t="array" ref="O2701">_xlfn.IFS(
tbl_analysis_tickets[[#This Row],[agent_experience_years]]&lt;=2,"Junior",
tbl_analysis_tickets[[#This Row],[agent_experience_years]]&lt;=5,"Mid-Level",
tbl_analysis_tickets[[#This Row],[agent_experience_years]]&lt;=8,"Senior",
tbl_analysis_tickets[[#This Row],[agent_experience_years]]&gt;8,"Expert"
)</f>
        <v>Mid-Level</v>
      </c>
      <c r="P2701" cm="1">
        <f t="array" ref="P2701">_xlfn.SWITCH(tbl_analysis_tickets[[#This Row],[customer_satisfaction]],
"Low",1,
"Medium",2,
"High",3
)</f>
        <v>1</v>
      </c>
      <c r="Q2701">
        <f>IF(tbl_analysis_tickets[[#This Row],[reopened]]="Yes",1,0)</f>
        <v>0</v>
      </c>
      <c r="R2701" t="str" cm="1">
        <f t="array" ref="R2701">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701" t="str" cm="1">
        <f t="array" ref="S270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701" t="str">
        <f>TEXT(tbl_analysis_tickets[[#This Row],[created_date]],"mmm-yyyy")</f>
        <v>Nov-2024</v>
      </c>
      <c r="U2701" t="str">
        <f>TEXT(tbl_analysis_tickets[[#This Row],[created_date]],"dddd")</f>
        <v>Sunday</v>
      </c>
      <c r="V2701" cm="1">
        <f t="array" ref="V2701">_xlfn.SWITCH(tbl_analysis_tickets[[#This Row],[priority]],
"Urgent",1,
"High",2,
"Medium",3,
"Low",4
)</f>
        <v>4</v>
      </c>
    </row>
    <row r="2702" spans="1:22" x14ac:dyDescent="0.25">
      <c r="A2702">
        <v>2701</v>
      </c>
      <c r="B2702" s="1">
        <v>45522</v>
      </c>
      <c r="C2702" t="s">
        <v>23</v>
      </c>
      <c r="D2702" t="s">
        <v>15</v>
      </c>
      <c r="E2702">
        <v>72</v>
      </c>
      <c r="F2702">
        <v>9</v>
      </c>
      <c r="G2702">
        <v>4.4000000000000004</v>
      </c>
      <c r="H2702" t="s">
        <v>12</v>
      </c>
      <c r="I2702" t="s">
        <v>13</v>
      </c>
      <c r="J2702" t="s">
        <v>11</v>
      </c>
      <c r="K2702">
        <f>_xlfn.XLOOKUP(tbl_analysis_tickets[[#This Row],[priority]],tbl_sla[priority],tbl_sla[Resolution SLA Hours])</f>
        <v>48</v>
      </c>
      <c r="L2702">
        <f>_xlfn.XLOOKUP(tbl_analysis_tickets[[#This Row],[priority]],tbl_sla[priority],tbl_sla[First Response SLA Minutes])</f>
        <v>120</v>
      </c>
      <c r="M2702" t="str">
        <f>IF(tbl_analysis_tickets[[#This Row],[resolution_time_hours]]&gt;tbl_analysis_tickets[[#This Row],[Resolution SLA Hours]],"Breached","Within SLA")</f>
        <v>Within SLA</v>
      </c>
      <c r="N2702" t="str">
        <f>IF(tbl_analysis_tickets[[#This Row],[first_response_minutes]]&gt;tbl_analysis_tickets[[#This Row],[First Response SLA Minutes]],"Breached","Within SLA")</f>
        <v>Within SLA</v>
      </c>
      <c r="O2702" t="str" cm="1">
        <f t="array" ref="O2702">_xlfn.IFS(
tbl_analysis_tickets[[#This Row],[agent_experience_years]]&lt;=2,"Junior",
tbl_analysis_tickets[[#This Row],[agent_experience_years]]&lt;=5,"Mid-Level",
tbl_analysis_tickets[[#This Row],[agent_experience_years]]&lt;=8,"Senior",
tbl_analysis_tickets[[#This Row],[agent_experience_years]]&gt;8,"Expert"
)</f>
        <v>Mid-Level</v>
      </c>
      <c r="P2702" cm="1">
        <f t="array" ref="P2702">_xlfn.SWITCH(tbl_analysis_tickets[[#This Row],[customer_satisfaction]],
"Low",1,
"Medium",2,
"High",3
)</f>
        <v>1</v>
      </c>
      <c r="Q2702">
        <f>IF(tbl_analysis_tickets[[#This Row],[reopened]]="Yes",1,0)</f>
        <v>1</v>
      </c>
      <c r="R2702" t="str" cm="1">
        <f t="array" ref="R2702">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702" t="str" cm="1">
        <f t="array" ref="S270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702" t="str">
        <f>TEXT(tbl_analysis_tickets[[#This Row],[created_date]],"mmm-yyyy")</f>
        <v>Aug-2024</v>
      </c>
      <c r="U2702" t="str">
        <f>TEXT(tbl_analysis_tickets[[#This Row],[created_date]],"dddd")</f>
        <v>Sunday</v>
      </c>
      <c r="V2702" cm="1">
        <f t="array" ref="V2702">_xlfn.SWITCH(tbl_analysis_tickets[[#This Row],[priority]],
"Urgent",1,
"High",2,
"Medium",3,
"Low",4
)</f>
        <v>3</v>
      </c>
    </row>
    <row r="2703" spans="1:22" x14ac:dyDescent="0.25">
      <c r="A2703">
        <v>2702</v>
      </c>
      <c r="B2703" s="1">
        <v>45544</v>
      </c>
      <c r="C2703" t="s">
        <v>23</v>
      </c>
      <c r="D2703" t="s">
        <v>11</v>
      </c>
      <c r="E2703">
        <v>14</v>
      </c>
      <c r="F2703">
        <v>22</v>
      </c>
      <c r="G2703">
        <v>5.6</v>
      </c>
      <c r="H2703" t="s">
        <v>18</v>
      </c>
      <c r="I2703" t="s">
        <v>16</v>
      </c>
      <c r="J2703" t="s">
        <v>20</v>
      </c>
      <c r="K2703">
        <f>_xlfn.XLOOKUP(tbl_analysis_tickets[[#This Row],[priority]],tbl_sla[priority],tbl_sla[Resolution SLA Hours])</f>
        <v>72</v>
      </c>
      <c r="L2703">
        <f>_xlfn.XLOOKUP(tbl_analysis_tickets[[#This Row],[priority]],tbl_sla[priority],tbl_sla[First Response SLA Minutes])</f>
        <v>240</v>
      </c>
      <c r="M2703" t="str">
        <f>IF(tbl_analysis_tickets[[#This Row],[resolution_time_hours]]&gt;tbl_analysis_tickets[[#This Row],[Resolution SLA Hours]],"Breached","Within SLA")</f>
        <v>Within SLA</v>
      </c>
      <c r="N2703" t="str">
        <f>IF(tbl_analysis_tickets[[#This Row],[first_response_minutes]]&gt;tbl_analysis_tickets[[#This Row],[First Response SLA Minutes]],"Breached","Within SLA")</f>
        <v>Within SLA</v>
      </c>
      <c r="O2703" t="str" cm="1">
        <f t="array" ref="O2703">_xlfn.IFS(
tbl_analysis_tickets[[#This Row],[agent_experience_years]]&lt;=2,"Junior",
tbl_analysis_tickets[[#This Row],[agent_experience_years]]&lt;=5,"Mid-Level",
tbl_analysis_tickets[[#This Row],[agent_experience_years]]&lt;=8,"Senior",
tbl_analysis_tickets[[#This Row],[agent_experience_years]]&gt;8,"Expert"
)</f>
        <v>Senior</v>
      </c>
      <c r="P2703" cm="1">
        <f t="array" ref="P2703">_xlfn.SWITCH(tbl_analysis_tickets[[#This Row],[customer_satisfaction]],
"Low",1,
"Medium",2,
"High",3
)</f>
        <v>3</v>
      </c>
      <c r="Q2703">
        <f>IF(tbl_analysis_tickets[[#This Row],[reopened]]="Yes",1,0)</f>
        <v>0</v>
      </c>
      <c r="R2703" t="str" cm="1">
        <f t="array" ref="R2703">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2703" t="str" cm="1">
        <f t="array" ref="S270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703" t="str">
        <f>TEXT(tbl_analysis_tickets[[#This Row],[created_date]],"mmm-yyyy")</f>
        <v>Sep-2024</v>
      </c>
      <c r="U2703" t="str">
        <f>TEXT(tbl_analysis_tickets[[#This Row],[created_date]],"dddd")</f>
        <v>Monday</v>
      </c>
      <c r="V2703" cm="1">
        <f t="array" ref="V2703">_xlfn.SWITCH(tbl_analysis_tickets[[#This Row],[priority]],
"Urgent",1,
"High",2,
"Medium",3,
"Low",4
)</f>
        <v>4</v>
      </c>
    </row>
    <row r="2704" spans="1:22" x14ac:dyDescent="0.25">
      <c r="A2704">
        <v>2703</v>
      </c>
      <c r="B2704" s="1">
        <v>45621</v>
      </c>
      <c r="C2704" t="s">
        <v>14</v>
      </c>
      <c r="D2704" t="s">
        <v>11</v>
      </c>
      <c r="E2704">
        <v>35</v>
      </c>
      <c r="F2704">
        <v>70</v>
      </c>
      <c r="G2704">
        <v>0.5</v>
      </c>
      <c r="H2704" t="s">
        <v>18</v>
      </c>
      <c r="I2704" t="s">
        <v>19</v>
      </c>
      <c r="J2704" t="s">
        <v>11</v>
      </c>
      <c r="K2704">
        <f>_xlfn.XLOOKUP(tbl_analysis_tickets[[#This Row],[priority]],tbl_sla[priority],tbl_sla[Resolution SLA Hours])</f>
        <v>72</v>
      </c>
      <c r="L2704">
        <f>_xlfn.XLOOKUP(tbl_analysis_tickets[[#This Row],[priority]],tbl_sla[priority],tbl_sla[First Response SLA Minutes])</f>
        <v>240</v>
      </c>
      <c r="M2704" t="str">
        <f>IF(tbl_analysis_tickets[[#This Row],[resolution_time_hours]]&gt;tbl_analysis_tickets[[#This Row],[Resolution SLA Hours]],"Breached","Within SLA")</f>
        <v>Within SLA</v>
      </c>
      <c r="N2704" t="str">
        <f>IF(tbl_analysis_tickets[[#This Row],[first_response_minutes]]&gt;tbl_analysis_tickets[[#This Row],[First Response SLA Minutes]],"Breached","Within SLA")</f>
        <v>Within SLA</v>
      </c>
      <c r="O2704" t="str" cm="1">
        <f t="array" ref="O2704">_xlfn.IFS(
tbl_analysis_tickets[[#This Row],[agent_experience_years]]&lt;=2,"Junior",
tbl_analysis_tickets[[#This Row],[agent_experience_years]]&lt;=5,"Mid-Level",
tbl_analysis_tickets[[#This Row],[agent_experience_years]]&lt;=8,"Senior",
tbl_analysis_tickets[[#This Row],[agent_experience_years]]&gt;8,"Expert"
)</f>
        <v>Junior</v>
      </c>
      <c r="P2704" cm="1">
        <f t="array" ref="P2704">_xlfn.SWITCH(tbl_analysis_tickets[[#This Row],[customer_satisfaction]],
"Low",1,
"Medium",2,
"High",3
)</f>
        <v>1</v>
      </c>
      <c r="Q2704">
        <f>IF(tbl_analysis_tickets[[#This Row],[reopened]]="Yes",1,0)</f>
        <v>0</v>
      </c>
      <c r="R2704" t="str" cm="1">
        <f t="array" ref="R2704">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704" t="str" cm="1">
        <f t="array" ref="S270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704" t="str">
        <f>TEXT(tbl_analysis_tickets[[#This Row],[created_date]],"mmm-yyyy")</f>
        <v>Nov-2024</v>
      </c>
      <c r="U2704" t="str">
        <f>TEXT(tbl_analysis_tickets[[#This Row],[created_date]],"dddd")</f>
        <v>Monday</v>
      </c>
      <c r="V2704" cm="1">
        <f t="array" ref="V2704">_xlfn.SWITCH(tbl_analysis_tickets[[#This Row],[priority]],
"Urgent",1,
"High",2,
"Medium",3,
"Low",4
)</f>
        <v>4</v>
      </c>
    </row>
    <row r="2705" spans="1:22" x14ac:dyDescent="0.25">
      <c r="A2705">
        <v>2704</v>
      </c>
      <c r="B2705" s="1">
        <v>45331</v>
      </c>
      <c r="C2705" t="s">
        <v>10</v>
      </c>
      <c r="D2705" t="s">
        <v>17</v>
      </c>
      <c r="E2705">
        <v>102</v>
      </c>
      <c r="F2705">
        <v>42</v>
      </c>
      <c r="G2705">
        <v>4.0999999999999996</v>
      </c>
      <c r="H2705" t="s">
        <v>12</v>
      </c>
      <c r="I2705" t="s">
        <v>13</v>
      </c>
      <c r="J2705" t="s">
        <v>11</v>
      </c>
      <c r="K2705">
        <f>_xlfn.XLOOKUP(tbl_analysis_tickets[[#This Row],[priority]],tbl_sla[priority],tbl_sla[Resolution SLA Hours])</f>
        <v>8</v>
      </c>
      <c r="L2705">
        <f>_xlfn.XLOOKUP(tbl_analysis_tickets[[#This Row],[priority]],tbl_sla[priority],tbl_sla[First Response SLA Minutes])</f>
        <v>30</v>
      </c>
      <c r="M2705" t="str">
        <f>IF(tbl_analysis_tickets[[#This Row],[resolution_time_hours]]&gt;tbl_analysis_tickets[[#This Row],[Resolution SLA Hours]],"Breached","Within SLA")</f>
        <v>Breached</v>
      </c>
      <c r="N2705" t="str">
        <f>IF(tbl_analysis_tickets[[#This Row],[first_response_minutes]]&gt;tbl_analysis_tickets[[#This Row],[First Response SLA Minutes]],"Breached","Within SLA")</f>
        <v>Breached</v>
      </c>
      <c r="O2705" t="str" cm="1">
        <f t="array" ref="O2705">_xlfn.IFS(
tbl_analysis_tickets[[#This Row],[agent_experience_years]]&lt;=2,"Junior",
tbl_analysis_tickets[[#This Row],[agent_experience_years]]&lt;=5,"Mid-Level",
tbl_analysis_tickets[[#This Row],[agent_experience_years]]&lt;=8,"Senior",
tbl_analysis_tickets[[#This Row],[agent_experience_years]]&gt;8,"Expert"
)</f>
        <v>Mid-Level</v>
      </c>
      <c r="P2705" cm="1">
        <f t="array" ref="P2705">_xlfn.SWITCH(tbl_analysis_tickets[[#This Row],[customer_satisfaction]],
"Low",1,
"Medium",2,
"High",3
)</f>
        <v>1</v>
      </c>
      <c r="Q2705">
        <f>IF(tbl_analysis_tickets[[#This Row],[reopened]]="Yes",1,0)</f>
        <v>1</v>
      </c>
      <c r="R2705" t="str" cm="1">
        <f t="array" ref="R2705">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705" t="str" cm="1">
        <f t="array" ref="S270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705" t="str">
        <f>TEXT(tbl_analysis_tickets[[#This Row],[created_date]],"mmm-yyyy")</f>
        <v>Feb-2024</v>
      </c>
      <c r="U2705" t="str">
        <f>TEXT(tbl_analysis_tickets[[#This Row],[created_date]],"dddd")</f>
        <v>Friday</v>
      </c>
      <c r="V2705" cm="1">
        <f t="array" ref="V2705">_xlfn.SWITCH(tbl_analysis_tickets[[#This Row],[priority]],
"Urgent",1,
"High",2,
"Medium",3,
"Low",4
)</f>
        <v>1</v>
      </c>
    </row>
    <row r="2706" spans="1:22" x14ac:dyDescent="0.25">
      <c r="A2706">
        <v>2705</v>
      </c>
      <c r="B2706" s="1">
        <v>45417</v>
      </c>
      <c r="C2706" t="s">
        <v>21</v>
      </c>
      <c r="D2706" t="s">
        <v>15</v>
      </c>
      <c r="E2706">
        <v>63</v>
      </c>
      <c r="F2706">
        <v>51</v>
      </c>
      <c r="G2706">
        <v>1.9</v>
      </c>
      <c r="H2706" t="s">
        <v>18</v>
      </c>
      <c r="I2706" t="s">
        <v>13</v>
      </c>
      <c r="J2706" t="s">
        <v>11</v>
      </c>
      <c r="K2706">
        <f>_xlfn.XLOOKUP(tbl_analysis_tickets[[#This Row],[priority]],tbl_sla[priority],tbl_sla[Resolution SLA Hours])</f>
        <v>48</v>
      </c>
      <c r="L2706">
        <f>_xlfn.XLOOKUP(tbl_analysis_tickets[[#This Row],[priority]],tbl_sla[priority],tbl_sla[First Response SLA Minutes])</f>
        <v>120</v>
      </c>
      <c r="M2706" t="str">
        <f>IF(tbl_analysis_tickets[[#This Row],[resolution_time_hours]]&gt;tbl_analysis_tickets[[#This Row],[Resolution SLA Hours]],"Breached","Within SLA")</f>
        <v>Breached</v>
      </c>
      <c r="N2706" t="str">
        <f>IF(tbl_analysis_tickets[[#This Row],[first_response_minutes]]&gt;tbl_analysis_tickets[[#This Row],[First Response SLA Minutes]],"Breached","Within SLA")</f>
        <v>Within SLA</v>
      </c>
      <c r="O2706" t="str" cm="1">
        <f t="array" ref="O2706">_xlfn.IFS(
tbl_analysis_tickets[[#This Row],[agent_experience_years]]&lt;=2,"Junior",
tbl_analysis_tickets[[#This Row],[agent_experience_years]]&lt;=5,"Mid-Level",
tbl_analysis_tickets[[#This Row],[agent_experience_years]]&lt;=8,"Senior",
tbl_analysis_tickets[[#This Row],[agent_experience_years]]&gt;8,"Expert"
)</f>
        <v>Junior</v>
      </c>
      <c r="P2706" cm="1">
        <f t="array" ref="P2706">_xlfn.SWITCH(tbl_analysis_tickets[[#This Row],[customer_satisfaction]],
"Low",1,
"Medium",2,
"High",3
)</f>
        <v>1</v>
      </c>
      <c r="Q2706">
        <f>IF(tbl_analysis_tickets[[#This Row],[reopened]]="Yes",1,0)</f>
        <v>0</v>
      </c>
      <c r="R2706" t="str" cm="1">
        <f t="array" ref="R2706">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706" t="str" cm="1">
        <f t="array" ref="S270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706" t="str">
        <f>TEXT(tbl_analysis_tickets[[#This Row],[created_date]],"mmm-yyyy")</f>
        <v>May-2024</v>
      </c>
      <c r="U2706" t="str">
        <f>TEXT(tbl_analysis_tickets[[#This Row],[created_date]],"dddd")</f>
        <v>Sunday</v>
      </c>
      <c r="V2706" cm="1">
        <f t="array" ref="V2706">_xlfn.SWITCH(tbl_analysis_tickets[[#This Row],[priority]],
"Urgent",1,
"High",2,
"Medium",3,
"Low",4
)</f>
        <v>3</v>
      </c>
    </row>
    <row r="2707" spans="1:22" x14ac:dyDescent="0.25">
      <c r="A2707">
        <v>2706</v>
      </c>
      <c r="B2707" s="1">
        <v>45580</v>
      </c>
      <c r="C2707" t="s">
        <v>23</v>
      </c>
      <c r="D2707" t="s">
        <v>11</v>
      </c>
      <c r="E2707">
        <v>178</v>
      </c>
      <c r="F2707">
        <v>65</v>
      </c>
      <c r="G2707">
        <v>7.7</v>
      </c>
      <c r="H2707" t="s">
        <v>18</v>
      </c>
      <c r="I2707" t="s">
        <v>13</v>
      </c>
      <c r="J2707" t="s">
        <v>15</v>
      </c>
      <c r="K2707">
        <f>_xlfn.XLOOKUP(tbl_analysis_tickets[[#This Row],[priority]],tbl_sla[priority],tbl_sla[Resolution SLA Hours])</f>
        <v>72</v>
      </c>
      <c r="L2707">
        <f>_xlfn.XLOOKUP(tbl_analysis_tickets[[#This Row],[priority]],tbl_sla[priority],tbl_sla[First Response SLA Minutes])</f>
        <v>240</v>
      </c>
      <c r="M2707" t="str">
        <f>IF(tbl_analysis_tickets[[#This Row],[resolution_time_hours]]&gt;tbl_analysis_tickets[[#This Row],[Resolution SLA Hours]],"Breached","Within SLA")</f>
        <v>Within SLA</v>
      </c>
      <c r="N2707" t="str">
        <f>IF(tbl_analysis_tickets[[#This Row],[first_response_minutes]]&gt;tbl_analysis_tickets[[#This Row],[First Response SLA Minutes]],"Breached","Within SLA")</f>
        <v>Within SLA</v>
      </c>
      <c r="O2707" t="str" cm="1">
        <f t="array" ref="O2707">_xlfn.IFS(
tbl_analysis_tickets[[#This Row],[agent_experience_years]]&lt;=2,"Junior",
tbl_analysis_tickets[[#This Row],[agent_experience_years]]&lt;=5,"Mid-Level",
tbl_analysis_tickets[[#This Row],[agent_experience_years]]&lt;=8,"Senior",
tbl_analysis_tickets[[#This Row],[agent_experience_years]]&gt;8,"Expert"
)</f>
        <v>Senior</v>
      </c>
      <c r="P2707" cm="1">
        <f t="array" ref="P2707">_xlfn.SWITCH(tbl_analysis_tickets[[#This Row],[customer_satisfaction]],
"Low",1,
"Medium",2,
"High",3
)</f>
        <v>2</v>
      </c>
      <c r="Q2707">
        <f>IF(tbl_analysis_tickets[[#This Row],[reopened]]="Yes",1,0)</f>
        <v>0</v>
      </c>
      <c r="R2707" t="str" cm="1">
        <f t="array" ref="R2707">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707" t="str" cm="1">
        <f t="array" ref="S270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707" t="str">
        <f>TEXT(tbl_analysis_tickets[[#This Row],[created_date]],"mmm-yyyy")</f>
        <v>Oct-2024</v>
      </c>
      <c r="U2707" t="str">
        <f>TEXT(tbl_analysis_tickets[[#This Row],[created_date]],"dddd")</f>
        <v>Tuesday</v>
      </c>
      <c r="V2707" cm="1">
        <f t="array" ref="V2707">_xlfn.SWITCH(tbl_analysis_tickets[[#This Row],[priority]],
"Urgent",1,
"High",2,
"Medium",3,
"Low",4
)</f>
        <v>4</v>
      </c>
    </row>
    <row r="2708" spans="1:22" x14ac:dyDescent="0.25">
      <c r="A2708">
        <v>2707</v>
      </c>
      <c r="B2708" s="1">
        <v>45561</v>
      </c>
      <c r="C2708" t="s">
        <v>22</v>
      </c>
      <c r="D2708" t="s">
        <v>11</v>
      </c>
      <c r="E2708">
        <v>73</v>
      </c>
      <c r="F2708">
        <v>35</v>
      </c>
      <c r="G2708">
        <v>8.3000000000000007</v>
      </c>
      <c r="H2708" t="s">
        <v>12</v>
      </c>
      <c r="I2708" t="s">
        <v>16</v>
      </c>
      <c r="J2708" t="s">
        <v>11</v>
      </c>
      <c r="K2708">
        <f>_xlfn.XLOOKUP(tbl_analysis_tickets[[#This Row],[priority]],tbl_sla[priority],tbl_sla[Resolution SLA Hours])</f>
        <v>72</v>
      </c>
      <c r="L2708">
        <f>_xlfn.XLOOKUP(tbl_analysis_tickets[[#This Row],[priority]],tbl_sla[priority],tbl_sla[First Response SLA Minutes])</f>
        <v>240</v>
      </c>
      <c r="M2708" t="str">
        <f>IF(tbl_analysis_tickets[[#This Row],[resolution_time_hours]]&gt;tbl_analysis_tickets[[#This Row],[Resolution SLA Hours]],"Breached","Within SLA")</f>
        <v>Within SLA</v>
      </c>
      <c r="N2708" t="str">
        <f>IF(tbl_analysis_tickets[[#This Row],[first_response_minutes]]&gt;tbl_analysis_tickets[[#This Row],[First Response SLA Minutes]],"Breached","Within SLA")</f>
        <v>Within SLA</v>
      </c>
      <c r="O2708" t="str" cm="1">
        <f t="array" ref="O2708">_xlfn.IFS(
tbl_analysis_tickets[[#This Row],[agent_experience_years]]&lt;=2,"Junior",
tbl_analysis_tickets[[#This Row],[agent_experience_years]]&lt;=5,"Mid-Level",
tbl_analysis_tickets[[#This Row],[agent_experience_years]]&lt;=8,"Senior",
tbl_analysis_tickets[[#This Row],[agent_experience_years]]&gt;8,"Expert"
)</f>
        <v>Expert</v>
      </c>
      <c r="P2708" cm="1">
        <f t="array" ref="P2708">_xlfn.SWITCH(tbl_analysis_tickets[[#This Row],[customer_satisfaction]],
"Low",1,
"Medium",2,
"High",3
)</f>
        <v>1</v>
      </c>
      <c r="Q2708">
        <f>IF(tbl_analysis_tickets[[#This Row],[reopened]]="Yes",1,0)</f>
        <v>1</v>
      </c>
      <c r="R2708" t="str" cm="1">
        <f t="array" ref="R2708">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708" t="str" cm="1">
        <f t="array" ref="S270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708" t="str">
        <f>TEXT(tbl_analysis_tickets[[#This Row],[created_date]],"mmm-yyyy")</f>
        <v>Sep-2024</v>
      </c>
      <c r="U2708" t="str">
        <f>TEXT(tbl_analysis_tickets[[#This Row],[created_date]],"dddd")</f>
        <v>Thursday</v>
      </c>
      <c r="V2708" cm="1">
        <f t="array" ref="V2708">_xlfn.SWITCH(tbl_analysis_tickets[[#This Row],[priority]],
"Urgent",1,
"High",2,
"Medium",3,
"Low",4
)</f>
        <v>4</v>
      </c>
    </row>
    <row r="2709" spans="1:22" x14ac:dyDescent="0.25">
      <c r="A2709">
        <v>2708</v>
      </c>
      <c r="B2709" s="1">
        <v>45460</v>
      </c>
      <c r="C2709" t="s">
        <v>14</v>
      </c>
      <c r="D2709" t="s">
        <v>17</v>
      </c>
      <c r="E2709">
        <v>160</v>
      </c>
      <c r="F2709">
        <v>32</v>
      </c>
      <c r="G2709">
        <v>5.2</v>
      </c>
      <c r="H2709" t="s">
        <v>18</v>
      </c>
      <c r="I2709" t="s">
        <v>19</v>
      </c>
      <c r="J2709" t="s">
        <v>11</v>
      </c>
      <c r="K2709">
        <f>_xlfn.XLOOKUP(tbl_analysis_tickets[[#This Row],[priority]],tbl_sla[priority],tbl_sla[Resolution SLA Hours])</f>
        <v>8</v>
      </c>
      <c r="L2709">
        <f>_xlfn.XLOOKUP(tbl_analysis_tickets[[#This Row],[priority]],tbl_sla[priority],tbl_sla[First Response SLA Minutes])</f>
        <v>30</v>
      </c>
      <c r="M2709" t="str">
        <f>IF(tbl_analysis_tickets[[#This Row],[resolution_time_hours]]&gt;tbl_analysis_tickets[[#This Row],[Resolution SLA Hours]],"Breached","Within SLA")</f>
        <v>Breached</v>
      </c>
      <c r="N2709" t="str">
        <f>IF(tbl_analysis_tickets[[#This Row],[first_response_minutes]]&gt;tbl_analysis_tickets[[#This Row],[First Response SLA Minutes]],"Breached","Within SLA")</f>
        <v>Breached</v>
      </c>
      <c r="O2709" t="str" cm="1">
        <f t="array" ref="O2709">_xlfn.IFS(
tbl_analysis_tickets[[#This Row],[agent_experience_years]]&lt;=2,"Junior",
tbl_analysis_tickets[[#This Row],[agent_experience_years]]&lt;=5,"Mid-Level",
tbl_analysis_tickets[[#This Row],[agent_experience_years]]&lt;=8,"Senior",
tbl_analysis_tickets[[#This Row],[agent_experience_years]]&gt;8,"Expert"
)</f>
        <v>Senior</v>
      </c>
      <c r="P2709" cm="1">
        <f t="array" ref="P2709">_xlfn.SWITCH(tbl_analysis_tickets[[#This Row],[customer_satisfaction]],
"Low",1,
"Medium",2,
"High",3
)</f>
        <v>1</v>
      </c>
      <c r="Q2709">
        <f>IF(tbl_analysis_tickets[[#This Row],[reopened]]="Yes",1,0)</f>
        <v>0</v>
      </c>
      <c r="R2709" t="str" cm="1">
        <f t="array" ref="R2709">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709" t="str" cm="1">
        <f t="array" ref="S270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709" t="str">
        <f>TEXT(tbl_analysis_tickets[[#This Row],[created_date]],"mmm-yyyy")</f>
        <v>Jun-2024</v>
      </c>
      <c r="U2709" t="str">
        <f>TEXT(tbl_analysis_tickets[[#This Row],[created_date]],"dddd")</f>
        <v>Monday</v>
      </c>
      <c r="V2709" cm="1">
        <f t="array" ref="V2709">_xlfn.SWITCH(tbl_analysis_tickets[[#This Row],[priority]],
"Urgent",1,
"High",2,
"Medium",3,
"Low",4
)</f>
        <v>1</v>
      </c>
    </row>
    <row r="2710" spans="1:22" x14ac:dyDescent="0.25">
      <c r="A2710">
        <v>2709</v>
      </c>
      <c r="B2710" s="1">
        <v>45463</v>
      </c>
      <c r="C2710" t="s">
        <v>10</v>
      </c>
      <c r="D2710" t="s">
        <v>11</v>
      </c>
      <c r="E2710">
        <v>92</v>
      </c>
      <c r="F2710">
        <v>29</v>
      </c>
      <c r="G2710">
        <v>0.8</v>
      </c>
      <c r="H2710" t="s">
        <v>18</v>
      </c>
      <c r="I2710" t="s">
        <v>13</v>
      </c>
      <c r="J2710" t="s">
        <v>11</v>
      </c>
      <c r="K2710">
        <f>_xlfn.XLOOKUP(tbl_analysis_tickets[[#This Row],[priority]],tbl_sla[priority],tbl_sla[Resolution SLA Hours])</f>
        <v>72</v>
      </c>
      <c r="L2710">
        <f>_xlfn.XLOOKUP(tbl_analysis_tickets[[#This Row],[priority]],tbl_sla[priority],tbl_sla[First Response SLA Minutes])</f>
        <v>240</v>
      </c>
      <c r="M2710" t="str">
        <f>IF(tbl_analysis_tickets[[#This Row],[resolution_time_hours]]&gt;tbl_analysis_tickets[[#This Row],[Resolution SLA Hours]],"Breached","Within SLA")</f>
        <v>Within SLA</v>
      </c>
      <c r="N2710" t="str">
        <f>IF(tbl_analysis_tickets[[#This Row],[first_response_minutes]]&gt;tbl_analysis_tickets[[#This Row],[First Response SLA Minutes]],"Breached","Within SLA")</f>
        <v>Within SLA</v>
      </c>
      <c r="O2710" t="str" cm="1">
        <f t="array" ref="O2710">_xlfn.IFS(
tbl_analysis_tickets[[#This Row],[agent_experience_years]]&lt;=2,"Junior",
tbl_analysis_tickets[[#This Row],[agent_experience_years]]&lt;=5,"Mid-Level",
tbl_analysis_tickets[[#This Row],[agent_experience_years]]&lt;=8,"Senior",
tbl_analysis_tickets[[#This Row],[agent_experience_years]]&gt;8,"Expert"
)</f>
        <v>Junior</v>
      </c>
      <c r="P2710" cm="1">
        <f t="array" ref="P2710">_xlfn.SWITCH(tbl_analysis_tickets[[#This Row],[customer_satisfaction]],
"Low",1,
"Medium",2,
"High",3
)</f>
        <v>1</v>
      </c>
      <c r="Q2710">
        <f>IF(tbl_analysis_tickets[[#This Row],[reopened]]="Yes",1,0)</f>
        <v>0</v>
      </c>
      <c r="R2710" t="str" cm="1">
        <f t="array" ref="R2710">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710" t="str" cm="1">
        <f t="array" ref="S271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710" t="str">
        <f>TEXT(tbl_analysis_tickets[[#This Row],[created_date]],"mmm-yyyy")</f>
        <v>Jun-2024</v>
      </c>
      <c r="U2710" t="str">
        <f>TEXT(tbl_analysis_tickets[[#This Row],[created_date]],"dddd")</f>
        <v>Thursday</v>
      </c>
      <c r="V2710" cm="1">
        <f t="array" ref="V2710">_xlfn.SWITCH(tbl_analysis_tickets[[#This Row],[priority]],
"Urgent",1,
"High",2,
"Medium",3,
"Low",4
)</f>
        <v>4</v>
      </c>
    </row>
    <row r="2711" spans="1:22" x14ac:dyDescent="0.25">
      <c r="A2711">
        <v>2710</v>
      </c>
      <c r="B2711" s="1">
        <v>45419</v>
      </c>
      <c r="C2711" t="s">
        <v>14</v>
      </c>
      <c r="D2711" t="s">
        <v>15</v>
      </c>
      <c r="E2711">
        <v>157</v>
      </c>
      <c r="F2711">
        <v>44</v>
      </c>
      <c r="G2711">
        <v>2</v>
      </c>
      <c r="H2711" t="s">
        <v>12</v>
      </c>
      <c r="I2711" t="s">
        <v>13</v>
      </c>
      <c r="J2711" t="s">
        <v>11</v>
      </c>
      <c r="K2711">
        <f>_xlfn.XLOOKUP(tbl_analysis_tickets[[#This Row],[priority]],tbl_sla[priority],tbl_sla[Resolution SLA Hours])</f>
        <v>48</v>
      </c>
      <c r="L2711">
        <f>_xlfn.XLOOKUP(tbl_analysis_tickets[[#This Row],[priority]],tbl_sla[priority],tbl_sla[First Response SLA Minutes])</f>
        <v>120</v>
      </c>
      <c r="M2711" t="str">
        <f>IF(tbl_analysis_tickets[[#This Row],[resolution_time_hours]]&gt;tbl_analysis_tickets[[#This Row],[Resolution SLA Hours]],"Breached","Within SLA")</f>
        <v>Within SLA</v>
      </c>
      <c r="N2711" t="str">
        <f>IF(tbl_analysis_tickets[[#This Row],[first_response_minutes]]&gt;tbl_analysis_tickets[[#This Row],[First Response SLA Minutes]],"Breached","Within SLA")</f>
        <v>Breached</v>
      </c>
      <c r="O2711" t="str" cm="1">
        <f t="array" ref="O2711">_xlfn.IFS(
tbl_analysis_tickets[[#This Row],[agent_experience_years]]&lt;=2,"Junior",
tbl_analysis_tickets[[#This Row],[agent_experience_years]]&lt;=5,"Mid-Level",
tbl_analysis_tickets[[#This Row],[agent_experience_years]]&lt;=8,"Senior",
tbl_analysis_tickets[[#This Row],[agent_experience_years]]&gt;8,"Expert"
)</f>
        <v>Junior</v>
      </c>
      <c r="P2711" cm="1">
        <f t="array" ref="P2711">_xlfn.SWITCH(tbl_analysis_tickets[[#This Row],[customer_satisfaction]],
"Low",1,
"Medium",2,
"High",3
)</f>
        <v>1</v>
      </c>
      <c r="Q2711">
        <f>IF(tbl_analysis_tickets[[#This Row],[reopened]]="Yes",1,0)</f>
        <v>1</v>
      </c>
      <c r="R2711" t="str" cm="1">
        <f t="array" ref="R2711">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711" t="str" cm="1">
        <f t="array" ref="S271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711" t="str">
        <f>TEXT(tbl_analysis_tickets[[#This Row],[created_date]],"mmm-yyyy")</f>
        <v>May-2024</v>
      </c>
      <c r="U2711" t="str">
        <f>TEXT(tbl_analysis_tickets[[#This Row],[created_date]],"dddd")</f>
        <v>Tuesday</v>
      </c>
      <c r="V2711" cm="1">
        <f t="array" ref="V2711">_xlfn.SWITCH(tbl_analysis_tickets[[#This Row],[priority]],
"Urgent",1,
"High",2,
"Medium",3,
"Low",4
)</f>
        <v>3</v>
      </c>
    </row>
    <row r="2712" spans="1:22" x14ac:dyDescent="0.25">
      <c r="A2712">
        <v>2711</v>
      </c>
      <c r="B2712" s="1">
        <v>45407</v>
      </c>
      <c r="C2712" t="s">
        <v>10</v>
      </c>
      <c r="D2712" t="s">
        <v>11</v>
      </c>
      <c r="E2712">
        <v>231</v>
      </c>
      <c r="F2712">
        <v>8</v>
      </c>
      <c r="G2712">
        <v>3.3</v>
      </c>
      <c r="H2712" t="s">
        <v>18</v>
      </c>
      <c r="I2712" t="s">
        <v>13</v>
      </c>
      <c r="J2712" t="s">
        <v>11</v>
      </c>
      <c r="K2712">
        <f>_xlfn.XLOOKUP(tbl_analysis_tickets[[#This Row],[priority]],tbl_sla[priority],tbl_sla[Resolution SLA Hours])</f>
        <v>72</v>
      </c>
      <c r="L2712">
        <f>_xlfn.XLOOKUP(tbl_analysis_tickets[[#This Row],[priority]],tbl_sla[priority],tbl_sla[First Response SLA Minutes])</f>
        <v>240</v>
      </c>
      <c r="M2712" t="str">
        <f>IF(tbl_analysis_tickets[[#This Row],[resolution_time_hours]]&gt;tbl_analysis_tickets[[#This Row],[Resolution SLA Hours]],"Breached","Within SLA")</f>
        <v>Within SLA</v>
      </c>
      <c r="N2712" t="str">
        <f>IF(tbl_analysis_tickets[[#This Row],[first_response_minutes]]&gt;tbl_analysis_tickets[[#This Row],[First Response SLA Minutes]],"Breached","Within SLA")</f>
        <v>Within SLA</v>
      </c>
      <c r="O2712" t="str" cm="1">
        <f t="array" ref="O2712">_xlfn.IFS(
tbl_analysis_tickets[[#This Row],[agent_experience_years]]&lt;=2,"Junior",
tbl_analysis_tickets[[#This Row],[agent_experience_years]]&lt;=5,"Mid-Level",
tbl_analysis_tickets[[#This Row],[agent_experience_years]]&lt;=8,"Senior",
tbl_analysis_tickets[[#This Row],[agent_experience_years]]&gt;8,"Expert"
)</f>
        <v>Mid-Level</v>
      </c>
      <c r="P2712" cm="1">
        <f t="array" ref="P2712">_xlfn.SWITCH(tbl_analysis_tickets[[#This Row],[customer_satisfaction]],
"Low",1,
"Medium",2,
"High",3
)</f>
        <v>1</v>
      </c>
      <c r="Q2712">
        <f>IF(tbl_analysis_tickets[[#This Row],[reopened]]="Yes",1,0)</f>
        <v>0</v>
      </c>
      <c r="R2712" t="str" cm="1">
        <f t="array" ref="R2712">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712" t="str" cm="1">
        <f t="array" ref="S271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2712" t="str">
        <f>TEXT(tbl_analysis_tickets[[#This Row],[created_date]],"mmm-yyyy")</f>
        <v>Apr-2024</v>
      </c>
      <c r="U2712" t="str">
        <f>TEXT(tbl_analysis_tickets[[#This Row],[created_date]],"dddd")</f>
        <v>Thursday</v>
      </c>
      <c r="V2712" cm="1">
        <f t="array" ref="V2712">_xlfn.SWITCH(tbl_analysis_tickets[[#This Row],[priority]],
"Urgent",1,
"High",2,
"Medium",3,
"Low",4
)</f>
        <v>4</v>
      </c>
    </row>
    <row r="2713" spans="1:22" x14ac:dyDescent="0.25">
      <c r="A2713">
        <v>2712</v>
      </c>
      <c r="B2713" s="1">
        <v>45475</v>
      </c>
      <c r="C2713" t="s">
        <v>14</v>
      </c>
      <c r="D2713" t="s">
        <v>17</v>
      </c>
      <c r="E2713">
        <v>51</v>
      </c>
      <c r="F2713">
        <v>49</v>
      </c>
      <c r="G2713">
        <v>5.0999999999999996</v>
      </c>
      <c r="H2713" t="s">
        <v>12</v>
      </c>
      <c r="I2713" t="s">
        <v>19</v>
      </c>
      <c r="J2713" t="s">
        <v>11</v>
      </c>
      <c r="K2713">
        <f>_xlfn.XLOOKUP(tbl_analysis_tickets[[#This Row],[priority]],tbl_sla[priority],tbl_sla[Resolution SLA Hours])</f>
        <v>8</v>
      </c>
      <c r="L2713">
        <f>_xlfn.XLOOKUP(tbl_analysis_tickets[[#This Row],[priority]],tbl_sla[priority],tbl_sla[First Response SLA Minutes])</f>
        <v>30</v>
      </c>
      <c r="M2713" t="str">
        <f>IF(tbl_analysis_tickets[[#This Row],[resolution_time_hours]]&gt;tbl_analysis_tickets[[#This Row],[Resolution SLA Hours]],"Breached","Within SLA")</f>
        <v>Breached</v>
      </c>
      <c r="N2713" t="str">
        <f>IF(tbl_analysis_tickets[[#This Row],[first_response_minutes]]&gt;tbl_analysis_tickets[[#This Row],[First Response SLA Minutes]],"Breached","Within SLA")</f>
        <v>Breached</v>
      </c>
      <c r="O2713" t="str" cm="1">
        <f t="array" ref="O2713">_xlfn.IFS(
tbl_analysis_tickets[[#This Row],[agent_experience_years]]&lt;=2,"Junior",
tbl_analysis_tickets[[#This Row],[agent_experience_years]]&lt;=5,"Mid-Level",
tbl_analysis_tickets[[#This Row],[agent_experience_years]]&lt;=8,"Senior",
tbl_analysis_tickets[[#This Row],[agent_experience_years]]&gt;8,"Expert"
)</f>
        <v>Senior</v>
      </c>
      <c r="P2713" cm="1">
        <f t="array" ref="P2713">_xlfn.SWITCH(tbl_analysis_tickets[[#This Row],[customer_satisfaction]],
"Low",1,
"Medium",2,
"High",3
)</f>
        <v>1</v>
      </c>
      <c r="Q2713">
        <f>IF(tbl_analysis_tickets[[#This Row],[reopened]]="Yes",1,0)</f>
        <v>1</v>
      </c>
      <c r="R2713" t="str" cm="1">
        <f t="array" ref="R2713">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713" t="str" cm="1">
        <f t="array" ref="S271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713" t="str">
        <f>TEXT(tbl_analysis_tickets[[#This Row],[created_date]],"mmm-yyyy")</f>
        <v>Jul-2024</v>
      </c>
      <c r="U2713" t="str">
        <f>TEXT(tbl_analysis_tickets[[#This Row],[created_date]],"dddd")</f>
        <v>Tuesday</v>
      </c>
      <c r="V2713" cm="1">
        <f t="array" ref="V2713">_xlfn.SWITCH(tbl_analysis_tickets[[#This Row],[priority]],
"Urgent",1,
"High",2,
"Medium",3,
"Low",4
)</f>
        <v>1</v>
      </c>
    </row>
    <row r="2714" spans="1:22" x14ac:dyDescent="0.25">
      <c r="A2714">
        <v>2713</v>
      </c>
      <c r="B2714" s="1">
        <v>45465</v>
      </c>
      <c r="C2714" t="s">
        <v>21</v>
      </c>
      <c r="D2714" t="s">
        <v>20</v>
      </c>
      <c r="E2714">
        <v>133</v>
      </c>
      <c r="F2714">
        <v>42</v>
      </c>
      <c r="G2714">
        <v>6.7</v>
      </c>
      <c r="H2714" t="s">
        <v>18</v>
      </c>
      <c r="I2714" t="s">
        <v>19</v>
      </c>
      <c r="J2714" t="s">
        <v>11</v>
      </c>
      <c r="K2714">
        <f>_xlfn.XLOOKUP(tbl_analysis_tickets[[#This Row],[priority]],tbl_sla[priority],tbl_sla[Resolution SLA Hours])</f>
        <v>24</v>
      </c>
      <c r="L2714">
        <f>_xlfn.XLOOKUP(tbl_analysis_tickets[[#This Row],[priority]],tbl_sla[priority],tbl_sla[First Response SLA Minutes])</f>
        <v>60</v>
      </c>
      <c r="M2714" t="str">
        <f>IF(tbl_analysis_tickets[[#This Row],[resolution_time_hours]]&gt;tbl_analysis_tickets[[#This Row],[Resolution SLA Hours]],"Breached","Within SLA")</f>
        <v>Breached</v>
      </c>
      <c r="N2714" t="str">
        <f>IF(tbl_analysis_tickets[[#This Row],[first_response_minutes]]&gt;tbl_analysis_tickets[[#This Row],[First Response SLA Minutes]],"Breached","Within SLA")</f>
        <v>Breached</v>
      </c>
      <c r="O2714" t="str" cm="1">
        <f t="array" ref="O2714">_xlfn.IFS(
tbl_analysis_tickets[[#This Row],[agent_experience_years]]&lt;=2,"Junior",
tbl_analysis_tickets[[#This Row],[agent_experience_years]]&lt;=5,"Mid-Level",
tbl_analysis_tickets[[#This Row],[agent_experience_years]]&lt;=8,"Senior",
tbl_analysis_tickets[[#This Row],[agent_experience_years]]&gt;8,"Expert"
)</f>
        <v>Senior</v>
      </c>
      <c r="P2714" cm="1">
        <f t="array" ref="P2714">_xlfn.SWITCH(tbl_analysis_tickets[[#This Row],[customer_satisfaction]],
"Low",1,
"Medium",2,
"High",3
)</f>
        <v>1</v>
      </c>
      <c r="Q2714">
        <f>IF(tbl_analysis_tickets[[#This Row],[reopened]]="Yes",1,0)</f>
        <v>0</v>
      </c>
      <c r="R2714" t="str" cm="1">
        <f t="array" ref="R2714">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714" t="str" cm="1">
        <f t="array" ref="S271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714" t="str">
        <f>TEXT(tbl_analysis_tickets[[#This Row],[created_date]],"mmm-yyyy")</f>
        <v>Jun-2024</v>
      </c>
      <c r="U2714" t="str">
        <f>TEXT(tbl_analysis_tickets[[#This Row],[created_date]],"dddd")</f>
        <v>Saturday</v>
      </c>
      <c r="V2714" cm="1">
        <f t="array" ref="V2714">_xlfn.SWITCH(tbl_analysis_tickets[[#This Row],[priority]],
"Urgent",1,
"High",2,
"Medium",3,
"Low",4
)</f>
        <v>2</v>
      </c>
    </row>
    <row r="2715" spans="1:22" x14ac:dyDescent="0.25">
      <c r="A2715">
        <v>2714</v>
      </c>
      <c r="B2715" s="1">
        <v>45541</v>
      </c>
      <c r="C2715" t="s">
        <v>21</v>
      </c>
      <c r="D2715" t="s">
        <v>17</v>
      </c>
      <c r="E2715">
        <v>205</v>
      </c>
      <c r="F2715">
        <v>45</v>
      </c>
      <c r="G2715">
        <v>3.6</v>
      </c>
      <c r="H2715" t="s">
        <v>18</v>
      </c>
      <c r="I2715" t="s">
        <v>19</v>
      </c>
      <c r="J2715" t="s">
        <v>11</v>
      </c>
      <c r="K2715">
        <f>_xlfn.XLOOKUP(tbl_analysis_tickets[[#This Row],[priority]],tbl_sla[priority],tbl_sla[Resolution SLA Hours])</f>
        <v>8</v>
      </c>
      <c r="L2715">
        <f>_xlfn.XLOOKUP(tbl_analysis_tickets[[#This Row],[priority]],tbl_sla[priority],tbl_sla[First Response SLA Minutes])</f>
        <v>30</v>
      </c>
      <c r="M2715" t="str">
        <f>IF(tbl_analysis_tickets[[#This Row],[resolution_time_hours]]&gt;tbl_analysis_tickets[[#This Row],[Resolution SLA Hours]],"Breached","Within SLA")</f>
        <v>Breached</v>
      </c>
      <c r="N2715" t="str">
        <f>IF(tbl_analysis_tickets[[#This Row],[first_response_minutes]]&gt;tbl_analysis_tickets[[#This Row],[First Response SLA Minutes]],"Breached","Within SLA")</f>
        <v>Breached</v>
      </c>
      <c r="O2715" t="str" cm="1">
        <f t="array" ref="O2715">_xlfn.IFS(
tbl_analysis_tickets[[#This Row],[agent_experience_years]]&lt;=2,"Junior",
tbl_analysis_tickets[[#This Row],[agent_experience_years]]&lt;=5,"Mid-Level",
tbl_analysis_tickets[[#This Row],[agent_experience_years]]&lt;=8,"Senior",
tbl_analysis_tickets[[#This Row],[agent_experience_years]]&gt;8,"Expert"
)</f>
        <v>Mid-Level</v>
      </c>
      <c r="P2715" cm="1">
        <f t="array" ref="P2715">_xlfn.SWITCH(tbl_analysis_tickets[[#This Row],[customer_satisfaction]],
"Low",1,
"Medium",2,
"High",3
)</f>
        <v>1</v>
      </c>
      <c r="Q2715">
        <f>IF(tbl_analysis_tickets[[#This Row],[reopened]]="Yes",1,0)</f>
        <v>0</v>
      </c>
      <c r="R2715" t="str" cm="1">
        <f t="array" ref="R2715">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715" t="str" cm="1">
        <f t="array" ref="S271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715" t="str">
        <f>TEXT(tbl_analysis_tickets[[#This Row],[created_date]],"mmm-yyyy")</f>
        <v>Sep-2024</v>
      </c>
      <c r="U2715" t="str">
        <f>TEXT(tbl_analysis_tickets[[#This Row],[created_date]],"dddd")</f>
        <v>Friday</v>
      </c>
      <c r="V2715" cm="1">
        <f t="array" ref="V2715">_xlfn.SWITCH(tbl_analysis_tickets[[#This Row],[priority]],
"Urgent",1,
"High",2,
"Medium",3,
"Low",4
)</f>
        <v>1</v>
      </c>
    </row>
    <row r="2716" spans="1:22" x14ac:dyDescent="0.25">
      <c r="A2716">
        <v>2715</v>
      </c>
      <c r="B2716" s="1">
        <v>45530</v>
      </c>
      <c r="C2716" t="s">
        <v>14</v>
      </c>
      <c r="D2716" t="s">
        <v>20</v>
      </c>
      <c r="E2716">
        <v>10</v>
      </c>
      <c r="F2716">
        <v>14</v>
      </c>
      <c r="G2716">
        <v>4.4000000000000004</v>
      </c>
      <c r="H2716" t="s">
        <v>12</v>
      </c>
      <c r="I2716" t="s">
        <v>13</v>
      </c>
      <c r="J2716" t="s">
        <v>11</v>
      </c>
      <c r="K2716">
        <f>_xlfn.XLOOKUP(tbl_analysis_tickets[[#This Row],[priority]],tbl_sla[priority],tbl_sla[Resolution SLA Hours])</f>
        <v>24</v>
      </c>
      <c r="L2716">
        <f>_xlfn.XLOOKUP(tbl_analysis_tickets[[#This Row],[priority]],tbl_sla[priority],tbl_sla[First Response SLA Minutes])</f>
        <v>60</v>
      </c>
      <c r="M2716" t="str">
        <f>IF(tbl_analysis_tickets[[#This Row],[resolution_time_hours]]&gt;tbl_analysis_tickets[[#This Row],[Resolution SLA Hours]],"Breached","Within SLA")</f>
        <v>Within SLA</v>
      </c>
      <c r="N2716" t="str">
        <f>IF(tbl_analysis_tickets[[#This Row],[first_response_minutes]]&gt;tbl_analysis_tickets[[#This Row],[First Response SLA Minutes]],"Breached","Within SLA")</f>
        <v>Within SLA</v>
      </c>
      <c r="O2716" t="str" cm="1">
        <f t="array" ref="O2716">_xlfn.IFS(
tbl_analysis_tickets[[#This Row],[agent_experience_years]]&lt;=2,"Junior",
tbl_analysis_tickets[[#This Row],[agent_experience_years]]&lt;=5,"Mid-Level",
tbl_analysis_tickets[[#This Row],[agent_experience_years]]&lt;=8,"Senior",
tbl_analysis_tickets[[#This Row],[agent_experience_years]]&gt;8,"Expert"
)</f>
        <v>Mid-Level</v>
      </c>
      <c r="P2716" cm="1">
        <f t="array" ref="P2716">_xlfn.SWITCH(tbl_analysis_tickets[[#This Row],[customer_satisfaction]],
"Low",1,
"Medium",2,
"High",3
)</f>
        <v>1</v>
      </c>
      <c r="Q2716">
        <f>IF(tbl_analysis_tickets[[#This Row],[reopened]]="Yes",1,0)</f>
        <v>1</v>
      </c>
      <c r="R2716" t="str" cm="1">
        <f t="array" ref="R2716">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2716" t="str" cm="1">
        <f t="array" ref="S271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716" t="str">
        <f>TEXT(tbl_analysis_tickets[[#This Row],[created_date]],"mmm-yyyy")</f>
        <v>Aug-2024</v>
      </c>
      <c r="U2716" t="str">
        <f>TEXT(tbl_analysis_tickets[[#This Row],[created_date]],"dddd")</f>
        <v>Monday</v>
      </c>
      <c r="V2716" cm="1">
        <f t="array" ref="V2716">_xlfn.SWITCH(tbl_analysis_tickets[[#This Row],[priority]],
"Urgent",1,
"High",2,
"Medium",3,
"Low",4
)</f>
        <v>2</v>
      </c>
    </row>
    <row r="2717" spans="1:22" x14ac:dyDescent="0.25">
      <c r="A2717">
        <v>2716</v>
      </c>
      <c r="B2717" s="1">
        <v>45608</v>
      </c>
      <c r="C2717" t="s">
        <v>14</v>
      </c>
      <c r="D2717" t="s">
        <v>15</v>
      </c>
      <c r="E2717">
        <v>97</v>
      </c>
      <c r="F2717">
        <v>71</v>
      </c>
      <c r="G2717">
        <v>6.1</v>
      </c>
      <c r="H2717" t="s">
        <v>18</v>
      </c>
      <c r="I2717" t="s">
        <v>13</v>
      </c>
      <c r="J2717" t="s">
        <v>15</v>
      </c>
      <c r="K2717">
        <f>_xlfn.XLOOKUP(tbl_analysis_tickets[[#This Row],[priority]],tbl_sla[priority],tbl_sla[Resolution SLA Hours])</f>
        <v>48</v>
      </c>
      <c r="L2717">
        <f>_xlfn.XLOOKUP(tbl_analysis_tickets[[#This Row],[priority]],tbl_sla[priority],tbl_sla[First Response SLA Minutes])</f>
        <v>120</v>
      </c>
      <c r="M2717" t="str">
        <f>IF(tbl_analysis_tickets[[#This Row],[resolution_time_hours]]&gt;tbl_analysis_tickets[[#This Row],[Resolution SLA Hours]],"Breached","Within SLA")</f>
        <v>Breached</v>
      </c>
      <c r="N2717" t="str">
        <f>IF(tbl_analysis_tickets[[#This Row],[first_response_minutes]]&gt;tbl_analysis_tickets[[#This Row],[First Response SLA Minutes]],"Breached","Within SLA")</f>
        <v>Within SLA</v>
      </c>
      <c r="O2717" t="str" cm="1">
        <f t="array" ref="O2717">_xlfn.IFS(
tbl_analysis_tickets[[#This Row],[agent_experience_years]]&lt;=2,"Junior",
tbl_analysis_tickets[[#This Row],[agent_experience_years]]&lt;=5,"Mid-Level",
tbl_analysis_tickets[[#This Row],[agent_experience_years]]&lt;=8,"Senior",
tbl_analysis_tickets[[#This Row],[agent_experience_years]]&gt;8,"Expert"
)</f>
        <v>Senior</v>
      </c>
      <c r="P2717" cm="1">
        <f t="array" ref="P2717">_xlfn.SWITCH(tbl_analysis_tickets[[#This Row],[customer_satisfaction]],
"Low",1,
"Medium",2,
"High",3
)</f>
        <v>2</v>
      </c>
      <c r="Q2717">
        <f>IF(tbl_analysis_tickets[[#This Row],[reopened]]="Yes",1,0)</f>
        <v>0</v>
      </c>
      <c r="R2717" t="str" cm="1">
        <f t="array" ref="R2717">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717" t="str" cm="1">
        <f t="array" ref="S271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717" t="str">
        <f>TEXT(tbl_analysis_tickets[[#This Row],[created_date]],"mmm-yyyy")</f>
        <v>Nov-2024</v>
      </c>
      <c r="U2717" t="str">
        <f>TEXT(tbl_analysis_tickets[[#This Row],[created_date]],"dddd")</f>
        <v>Tuesday</v>
      </c>
      <c r="V2717" cm="1">
        <f t="array" ref="V2717">_xlfn.SWITCH(tbl_analysis_tickets[[#This Row],[priority]],
"Urgent",1,
"High",2,
"Medium",3,
"Low",4
)</f>
        <v>3</v>
      </c>
    </row>
    <row r="2718" spans="1:22" x14ac:dyDescent="0.25">
      <c r="A2718">
        <v>2717</v>
      </c>
      <c r="B2718" s="1">
        <v>45640</v>
      </c>
      <c r="C2718" t="s">
        <v>21</v>
      </c>
      <c r="D2718" t="s">
        <v>20</v>
      </c>
      <c r="E2718">
        <v>218</v>
      </c>
      <c r="F2718">
        <v>27</v>
      </c>
      <c r="G2718">
        <v>1.1000000000000001</v>
      </c>
      <c r="H2718" t="s">
        <v>18</v>
      </c>
      <c r="I2718" t="s">
        <v>13</v>
      </c>
      <c r="J2718" t="s">
        <v>11</v>
      </c>
      <c r="K2718">
        <f>_xlfn.XLOOKUP(tbl_analysis_tickets[[#This Row],[priority]],tbl_sla[priority],tbl_sla[Resolution SLA Hours])</f>
        <v>24</v>
      </c>
      <c r="L2718">
        <f>_xlfn.XLOOKUP(tbl_analysis_tickets[[#This Row],[priority]],tbl_sla[priority],tbl_sla[First Response SLA Minutes])</f>
        <v>60</v>
      </c>
      <c r="M2718" t="str">
        <f>IF(tbl_analysis_tickets[[#This Row],[resolution_time_hours]]&gt;tbl_analysis_tickets[[#This Row],[Resolution SLA Hours]],"Breached","Within SLA")</f>
        <v>Breached</v>
      </c>
      <c r="N2718" t="str">
        <f>IF(tbl_analysis_tickets[[#This Row],[first_response_minutes]]&gt;tbl_analysis_tickets[[#This Row],[First Response SLA Minutes]],"Breached","Within SLA")</f>
        <v>Breached</v>
      </c>
      <c r="O2718" t="str" cm="1">
        <f t="array" ref="O2718">_xlfn.IFS(
tbl_analysis_tickets[[#This Row],[agent_experience_years]]&lt;=2,"Junior",
tbl_analysis_tickets[[#This Row],[agent_experience_years]]&lt;=5,"Mid-Level",
tbl_analysis_tickets[[#This Row],[agent_experience_years]]&lt;=8,"Senior",
tbl_analysis_tickets[[#This Row],[agent_experience_years]]&gt;8,"Expert"
)</f>
        <v>Junior</v>
      </c>
      <c r="P2718" cm="1">
        <f t="array" ref="P2718">_xlfn.SWITCH(tbl_analysis_tickets[[#This Row],[customer_satisfaction]],
"Low",1,
"Medium",2,
"High",3
)</f>
        <v>1</v>
      </c>
      <c r="Q2718">
        <f>IF(tbl_analysis_tickets[[#This Row],[reopened]]="Yes",1,0)</f>
        <v>0</v>
      </c>
      <c r="R2718" t="str" cm="1">
        <f t="array" ref="R2718">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718" t="str" cm="1">
        <f t="array" ref="S271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718" t="str">
        <f>TEXT(tbl_analysis_tickets[[#This Row],[created_date]],"mmm-yyyy")</f>
        <v>Dec-2024</v>
      </c>
      <c r="U2718" t="str">
        <f>TEXT(tbl_analysis_tickets[[#This Row],[created_date]],"dddd")</f>
        <v>Saturday</v>
      </c>
      <c r="V2718" cm="1">
        <f t="array" ref="V2718">_xlfn.SWITCH(tbl_analysis_tickets[[#This Row],[priority]],
"Urgent",1,
"High",2,
"Medium",3,
"Low",4
)</f>
        <v>2</v>
      </c>
    </row>
    <row r="2719" spans="1:22" x14ac:dyDescent="0.25">
      <c r="A2719">
        <v>2718</v>
      </c>
      <c r="B2719" s="1">
        <v>45522</v>
      </c>
      <c r="C2719" t="s">
        <v>14</v>
      </c>
      <c r="D2719" t="s">
        <v>11</v>
      </c>
      <c r="E2719">
        <v>198</v>
      </c>
      <c r="F2719">
        <v>19</v>
      </c>
      <c r="G2719">
        <v>9.6999999999999993</v>
      </c>
      <c r="H2719" t="s">
        <v>18</v>
      </c>
      <c r="I2719" t="s">
        <v>19</v>
      </c>
      <c r="J2719" t="s">
        <v>15</v>
      </c>
      <c r="K2719">
        <f>_xlfn.XLOOKUP(tbl_analysis_tickets[[#This Row],[priority]],tbl_sla[priority],tbl_sla[Resolution SLA Hours])</f>
        <v>72</v>
      </c>
      <c r="L2719">
        <f>_xlfn.XLOOKUP(tbl_analysis_tickets[[#This Row],[priority]],tbl_sla[priority],tbl_sla[First Response SLA Minutes])</f>
        <v>240</v>
      </c>
      <c r="M2719" t="str">
        <f>IF(tbl_analysis_tickets[[#This Row],[resolution_time_hours]]&gt;tbl_analysis_tickets[[#This Row],[Resolution SLA Hours]],"Breached","Within SLA")</f>
        <v>Within SLA</v>
      </c>
      <c r="N2719" t="str">
        <f>IF(tbl_analysis_tickets[[#This Row],[first_response_minutes]]&gt;tbl_analysis_tickets[[#This Row],[First Response SLA Minutes]],"Breached","Within SLA")</f>
        <v>Within SLA</v>
      </c>
      <c r="O2719" t="str" cm="1">
        <f t="array" ref="O2719">_xlfn.IFS(
tbl_analysis_tickets[[#This Row],[agent_experience_years]]&lt;=2,"Junior",
tbl_analysis_tickets[[#This Row],[agent_experience_years]]&lt;=5,"Mid-Level",
tbl_analysis_tickets[[#This Row],[agent_experience_years]]&lt;=8,"Senior",
tbl_analysis_tickets[[#This Row],[agent_experience_years]]&gt;8,"Expert"
)</f>
        <v>Expert</v>
      </c>
      <c r="P2719" cm="1">
        <f t="array" ref="P2719">_xlfn.SWITCH(tbl_analysis_tickets[[#This Row],[customer_satisfaction]],
"Low",1,
"Medium",2,
"High",3
)</f>
        <v>2</v>
      </c>
      <c r="Q2719">
        <f>IF(tbl_analysis_tickets[[#This Row],[reopened]]="Yes",1,0)</f>
        <v>0</v>
      </c>
      <c r="R2719" t="str" cm="1">
        <f t="array" ref="R2719">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719" t="str" cm="1">
        <f t="array" ref="S271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719" t="str">
        <f>TEXT(tbl_analysis_tickets[[#This Row],[created_date]],"mmm-yyyy")</f>
        <v>Aug-2024</v>
      </c>
      <c r="U2719" t="str">
        <f>TEXT(tbl_analysis_tickets[[#This Row],[created_date]],"dddd")</f>
        <v>Sunday</v>
      </c>
      <c r="V2719" cm="1">
        <f t="array" ref="V2719">_xlfn.SWITCH(tbl_analysis_tickets[[#This Row],[priority]],
"Urgent",1,
"High",2,
"Medium",3,
"Low",4
)</f>
        <v>4</v>
      </c>
    </row>
    <row r="2720" spans="1:22" x14ac:dyDescent="0.25">
      <c r="A2720">
        <v>2719</v>
      </c>
      <c r="B2720" s="1">
        <v>45435</v>
      </c>
      <c r="C2720" t="s">
        <v>14</v>
      </c>
      <c r="D2720" t="s">
        <v>15</v>
      </c>
      <c r="E2720">
        <v>230</v>
      </c>
      <c r="F2720">
        <v>72</v>
      </c>
      <c r="G2720">
        <v>8.6999999999999993</v>
      </c>
      <c r="H2720" t="s">
        <v>18</v>
      </c>
      <c r="I2720" t="s">
        <v>13</v>
      </c>
      <c r="J2720" t="s">
        <v>15</v>
      </c>
      <c r="K2720">
        <f>_xlfn.XLOOKUP(tbl_analysis_tickets[[#This Row],[priority]],tbl_sla[priority],tbl_sla[Resolution SLA Hours])</f>
        <v>48</v>
      </c>
      <c r="L2720">
        <f>_xlfn.XLOOKUP(tbl_analysis_tickets[[#This Row],[priority]],tbl_sla[priority],tbl_sla[First Response SLA Minutes])</f>
        <v>120</v>
      </c>
      <c r="M2720" t="str">
        <f>IF(tbl_analysis_tickets[[#This Row],[resolution_time_hours]]&gt;tbl_analysis_tickets[[#This Row],[Resolution SLA Hours]],"Breached","Within SLA")</f>
        <v>Breached</v>
      </c>
      <c r="N2720" t="str">
        <f>IF(tbl_analysis_tickets[[#This Row],[first_response_minutes]]&gt;tbl_analysis_tickets[[#This Row],[First Response SLA Minutes]],"Breached","Within SLA")</f>
        <v>Breached</v>
      </c>
      <c r="O2720" t="str" cm="1">
        <f t="array" ref="O2720">_xlfn.IFS(
tbl_analysis_tickets[[#This Row],[agent_experience_years]]&lt;=2,"Junior",
tbl_analysis_tickets[[#This Row],[agent_experience_years]]&lt;=5,"Mid-Level",
tbl_analysis_tickets[[#This Row],[agent_experience_years]]&lt;=8,"Senior",
tbl_analysis_tickets[[#This Row],[agent_experience_years]]&gt;8,"Expert"
)</f>
        <v>Expert</v>
      </c>
      <c r="P2720" cm="1">
        <f t="array" ref="P2720">_xlfn.SWITCH(tbl_analysis_tickets[[#This Row],[customer_satisfaction]],
"Low",1,
"Medium",2,
"High",3
)</f>
        <v>2</v>
      </c>
      <c r="Q2720">
        <f>IF(tbl_analysis_tickets[[#This Row],[reopened]]="Yes",1,0)</f>
        <v>0</v>
      </c>
      <c r="R2720" t="str" cm="1">
        <f t="array" ref="R2720">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720" t="str" cm="1">
        <f t="array" ref="S272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720" t="str">
        <f>TEXT(tbl_analysis_tickets[[#This Row],[created_date]],"mmm-yyyy")</f>
        <v>May-2024</v>
      </c>
      <c r="U2720" t="str">
        <f>TEXT(tbl_analysis_tickets[[#This Row],[created_date]],"dddd")</f>
        <v>Thursday</v>
      </c>
      <c r="V2720" cm="1">
        <f t="array" ref="V2720">_xlfn.SWITCH(tbl_analysis_tickets[[#This Row],[priority]],
"Urgent",1,
"High",2,
"Medium",3,
"Low",4
)</f>
        <v>3</v>
      </c>
    </row>
    <row r="2721" spans="1:22" x14ac:dyDescent="0.25">
      <c r="A2721">
        <v>2720</v>
      </c>
      <c r="B2721" s="1">
        <v>45606</v>
      </c>
      <c r="C2721" t="s">
        <v>23</v>
      </c>
      <c r="D2721" t="s">
        <v>15</v>
      </c>
      <c r="E2721">
        <v>206</v>
      </c>
      <c r="F2721">
        <v>40</v>
      </c>
      <c r="G2721">
        <v>9</v>
      </c>
      <c r="H2721" t="s">
        <v>18</v>
      </c>
      <c r="I2721" t="s">
        <v>19</v>
      </c>
      <c r="J2721" t="s">
        <v>15</v>
      </c>
      <c r="K2721">
        <f>_xlfn.XLOOKUP(tbl_analysis_tickets[[#This Row],[priority]],tbl_sla[priority],tbl_sla[Resolution SLA Hours])</f>
        <v>48</v>
      </c>
      <c r="L2721">
        <f>_xlfn.XLOOKUP(tbl_analysis_tickets[[#This Row],[priority]],tbl_sla[priority],tbl_sla[First Response SLA Minutes])</f>
        <v>120</v>
      </c>
      <c r="M2721" t="str">
        <f>IF(tbl_analysis_tickets[[#This Row],[resolution_time_hours]]&gt;tbl_analysis_tickets[[#This Row],[Resolution SLA Hours]],"Breached","Within SLA")</f>
        <v>Within SLA</v>
      </c>
      <c r="N2721" t="str">
        <f>IF(tbl_analysis_tickets[[#This Row],[first_response_minutes]]&gt;tbl_analysis_tickets[[#This Row],[First Response SLA Minutes]],"Breached","Within SLA")</f>
        <v>Breached</v>
      </c>
      <c r="O2721" t="str" cm="1">
        <f t="array" ref="O2721">_xlfn.IFS(
tbl_analysis_tickets[[#This Row],[agent_experience_years]]&lt;=2,"Junior",
tbl_analysis_tickets[[#This Row],[agent_experience_years]]&lt;=5,"Mid-Level",
tbl_analysis_tickets[[#This Row],[agent_experience_years]]&lt;=8,"Senior",
tbl_analysis_tickets[[#This Row],[agent_experience_years]]&gt;8,"Expert"
)</f>
        <v>Expert</v>
      </c>
      <c r="P2721" cm="1">
        <f t="array" ref="P2721">_xlfn.SWITCH(tbl_analysis_tickets[[#This Row],[customer_satisfaction]],
"Low",1,
"Medium",2,
"High",3
)</f>
        <v>2</v>
      </c>
      <c r="Q2721">
        <f>IF(tbl_analysis_tickets[[#This Row],[reopened]]="Yes",1,0)</f>
        <v>0</v>
      </c>
      <c r="R2721" t="str" cm="1">
        <f t="array" ref="R2721">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721" t="str" cm="1">
        <f t="array" ref="S272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721" t="str">
        <f>TEXT(tbl_analysis_tickets[[#This Row],[created_date]],"mmm-yyyy")</f>
        <v>Nov-2024</v>
      </c>
      <c r="U2721" t="str">
        <f>TEXT(tbl_analysis_tickets[[#This Row],[created_date]],"dddd")</f>
        <v>Sunday</v>
      </c>
      <c r="V2721" cm="1">
        <f t="array" ref="V2721">_xlfn.SWITCH(tbl_analysis_tickets[[#This Row],[priority]],
"Urgent",1,
"High",2,
"Medium",3,
"Low",4
)</f>
        <v>3</v>
      </c>
    </row>
    <row r="2722" spans="1:22" x14ac:dyDescent="0.25">
      <c r="A2722">
        <v>2721</v>
      </c>
      <c r="B2722" s="1">
        <v>45394</v>
      </c>
      <c r="C2722" t="s">
        <v>23</v>
      </c>
      <c r="D2722" t="s">
        <v>17</v>
      </c>
      <c r="E2722">
        <v>72</v>
      </c>
      <c r="F2722">
        <v>31</v>
      </c>
      <c r="G2722">
        <v>9.1</v>
      </c>
      <c r="H2722" t="s">
        <v>12</v>
      </c>
      <c r="I2722" t="s">
        <v>19</v>
      </c>
      <c r="J2722" t="s">
        <v>11</v>
      </c>
      <c r="K2722">
        <f>_xlfn.XLOOKUP(tbl_analysis_tickets[[#This Row],[priority]],tbl_sla[priority],tbl_sla[Resolution SLA Hours])</f>
        <v>8</v>
      </c>
      <c r="L2722">
        <f>_xlfn.XLOOKUP(tbl_analysis_tickets[[#This Row],[priority]],tbl_sla[priority],tbl_sla[First Response SLA Minutes])</f>
        <v>30</v>
      </c>
      <c r="M2722" t="str">
        <f>IF(tbl_analysis_tickets[[#This Row],[resolution_time_hours]]&gt;tbl_analysis_tickets[[#This Row],[Resolution SLA Hours]],"Breached","Within SLA")</f>
        <v>Breached</v>
      </c>
      <c r="N2722" t="str">
        <f>IF(tbl_analysis_tickets[[#This Row],[first_response_minutes]]&gt;tbl_analysis_tickets[[#This Row],[First Response SLA Minutes]],"Breached","Within SLA")</f>
        <v>Breached</v>
      </c>
      <c r="O2722" t="str" cm="1">
        <f t="array" ref="O2722">_xlfn.IFS(
tbl_analysis_tickets[[#This Row],[agent_experience_years]]&lt;=2,"Junior",
tbl_analysis_tickets[[#This Row],[agent_experience_years]]&lt;=5,"Mid-Level",
tbl_analysis_tickets[[#This Row],[agent_experience_years]]&lt;=8,"Senior",
tbl_analysis_tickets[[#This Row],[agent_experience_years]]&gt;8,"Expert"
)</f>
        <v>Expert</v>
      </c>
      <c r="P2722" cm="1">
        <f t="array" ref="P2722">_xlfn.SWITCH(tbl_analysis_tickets[[#This Row],[customer_satisfaction]],
"Low",1,
"Medium",2,
"High",3
)</f>
        <v>1</v>
      </c>
      <c r="Q2722">
        <f>IF(tbl_analysis_tickets[[#This Row],[reopened]]="Yes",1,0)</f>
        <v>1</v>
      </c>
      <c r="R2722" t="str" cm="1">
        <f t="array" ref="R2722">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722" t="str" cm="1">
        <f t="array" ref="S272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722" t="str">
        <f>TEXT(tbl_analysis_tickets[[#This Row],[created_date]],"mmm-yyyy")</f>
        <v>Apr-2024</v>
      </c>
      <c r="U2722" t="str">
        <f>TEXT(tbl_analysis_tickets[[#This Row],[created_date]],"dddd")</f>
        <v>Friday</v>
      </c>
      <c r="V2722" cm="1">
        <f t="array" ref="V2722">_xlfn.SWITCH(tbl_analysis_tickets[[#This Row],[priority]],
"Urgent",1,
"High",2,
"Medium",3,
"Low",4
)</f>
        <v>1</v>
      </c>
    </row>
    <row r="2723" spans="1:22" x14ac:dyDescent="0.25">
      <c r="A2723">
        <v>2722</v>
      </c>
      <c r="B2723" s="1">
        <v>45621</v>
      </c>
      <c r="C2723" t="s">
        <v>23</v>
      </c>
      <c r="D2723" t="s">
        <v>17</v>
      </c>
      <c r="E2723">
        <v>203</v>
      </c>
      <c r="F2723">
        <v>33</v>
      </c>
      <c r="G2723">
        <v>0.8</v>
      </c>
      <c r="H2723" t="s">
        <v>18</v>
      </c>
      <c r="I2723" t="s">
        <v>13</v>
      </c>
      <c r="J2723" t="s">
        <v>11</v>
      </c>
      <c r="K2723">
        <f>_xlfn.XLOOKUP(tbl_analysis_tickets[[#This Row],[priority]],tbl_sla[priority],tbl_sla[Resolution SLA Hours])</f>
        <v>8</v>
      </c>
      <c r="L2723">
        <f>_xlfn.XLOOKUP(tbl_analysis_tickets[[#This Row],[priority]],tbl_sla[priority],tbl_sla[First Response SLA Minutes])</f>
        <v>30</v>
      </c>
      <c r="M2723" t="str">
        <f>IF(tbl_analysis_tickets[[#This Row],[resolution_time_hours]]&gt;tbl_analysis_tickets[[#This Row],[Resolution SLA Hours]],"Breached","Within SLA")</f>
        <v>Breached</v>
      </c>
      <c r="N2723" t="str">
        <f>IF(tbl_analysis_tickets[[#This Row],[first_response_minutes]]&gt;tbl_analysis_tickets[[#This Row],[First Response SLA Minutes]],"Breached","Within SLA")</f>
        <v>Breached</v>
      </c>
      <c r="O2723" t="str" cm="1">
        <f t="array" ref="O2723">_xlfn.IFS(
tbl_analysis_tickets[[#This Row],[agent_experience_years]]&lt;=2,"Junior",
tbl_analysis_tickets[[#This Row],[agent_experience_years]]&lt;=5,"Mid-Level",
tbl_analysis_tickets[[#This Row],[agent_experience_years]]&lt;=8,"Senior",
tbl_analysis_tickets[[#This Row],[agent_experience_years]]&gt;8,"Expert"
)</f>
        <v>Junior</v>
      </c>
      <c r="P2723" cm="1">
        <f t="array" ref="P2723">_xlfn.SWITCH(tbl_analysis_tickets[[#This Row],[customer_satisfaction]],
"Low",1,
"Medium",2,
"High",3
)</f>
        <v>1</v>
      </c>
      <c r="Q2723">
        <f>IF(tbl_analysis_tickets[[#This Row],[reopened]]="Yes",1,0)</f>
        <v>0</v>
      </c>
      <c r="R2723" t="str" cm="1">
        <f t="array" ref="R2723">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723" t="str" cm="1">
        <f t="array" ref="S272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723" t="str">
        <f>TEXT(tbl_analysis_tickets[[#This Row],[created_date]],"mmm-yyyy")</f>
        <v>Nov-2024</v>
      </c>
      <c r="U2723" t="str">
        <f>TEXT(tbl_analysis_tickets[[#This Row],[created_date]],"dddd")</f>
        <v>Monday</v>
      </c>
      <c r="V2723" cm="1">
        <f t="array" ref="V2723">_xlfn.SWITCH(tbl_analysis_tickets[[#This Row],[priority]],
"Urgent",1,
"High",2,
"Medium",3,
"Low",4
)</f>
        <v>1</v>
      </c>
    </row>
    <row r="2724" spans="1:22" x14ac:dyDescent="0.25">
      <c r="A2724">
        <v>2723</v>
      </c>
      <c r="B2724" s="1">
        <v>45396</v>
      </c>
      <c r="C2724" t="s">
        <v>22</v>
      </c>
      <c r="D2724" t="s">
        <v>20</v>
      </c>
      <c r="E2724">
        <v>221</v>
      </c>
      <c r="F2724">
        <v>47</v>
      </c>
      <c r="G2724">
        <v>8.8000000000000007</v>
      </c>
      <c r="H2724" t="s">
        <v>12</v>
      </c>
      <c r="I2724" t="s">
        <v>19</v>
      </c>
      <c r="J2724" t="s">
        <v>11</v>
      </c>
      <c r="K2724">
        <f>_xlfn.XLOOKUP(tbl_analysis_tickets[[#This Row],[priority]],tbl_sla[priority],tbl_sla[Resolution SLA Hours])</f>
        <v>24</v>
      </c>
      <c r="L2724">
        <f>_xlfn.XLOOKUP(tbl_analysis_tickets[[#This Row],[priority]],tbl_sla[priority],tbl_sla[First Response SLA Minutes])</f>
        <v>60</v>
      </c>
      <c r="M2724" t="str">
        <f>IF(tbl_analysis_tickets[[#This Row],[resolution_time_hours]]&gt;tbl_analysis_tickets[[#This Row],[Resolution SLA Hours]],"Breached","Within SLA")</f>
        <v>Breached</v>
      </c>
      <c r="N2724" t="str">
        <f>IF(tbl_analysis_tickets[[#This Row],[first_response_minutes]]&gt;tbl_analysis_tickets[[#This Row],[First Response SLA Minutes]],"Breached","Within SLA")</f>
        <v>Breached</v>
      </c>
      <c r="O2724" t="str" cm="1">
        <f t="array" ref="O2724">_xlfn.IFS(
tbl_analysis_tickets[[#This Row],[agent_experience_years]]&lt;=2,"Junior",
tbl_analysis_tickets[[#This Row],[agent_experience_years]]&lt;=5,"Mid-Level",
tbl_analysis_tickets[[#This Row],[agent_experience_years]]&lt;=8,"Senior",
tbl_analysis_tickets[[#This Row],[agent_experience_years]]&gt;8,"Expert"
)</f>
        <v>Expert</v>
      </c>
      <c r="P2724" cm="1">
        <f t="array" ref="P2724">_xlfn.SWITCH(tbl_analysis_tickets[[#This Row],[customer_satisfaction]],
"Low",1,
"Medium",2,
"High",3
)</f>
        <v>1</v>
      </c>
      <c r="Q2724">
        <f>IF(tbl_analysis_tickets[[#This Row],[reopened]]="Yes",1,0)</f>
        <v>1</v>
      </c>
      <c r="R2724" t="str" cm="1">
        <f t="array" ref="R2724">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724" t="str" cm="1">
        <f t="array" ref="S272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724" t="str">
        <f>TEXT(tbl_analysis_tickets[[#This Row],[created_date]],"mmm-yyyy")</f>
        <v>Apr-2024</v>
      </c>
      <c r="U2724" t="str">
        <f>TEXT(tbl_analysis_tickets[[#This Row],[created_date]],"dddd")</f>
        <v>Sunday</v>
      </c>
      <c r="V2724" cm="1">
        <f t="array" ref="V2724">_xlfn.SWITCH(tbl_analysis_tickets[[#This Row],[priority]],
"Urgent",1,
"High",2,
"Medium",3,
"Low",4
)</f>
        <v>2</v>
      </c>
    </row>
    <row r="2725" spans="1:22" x14ac:dyDescent="0.25">
      <c r="A2725">
        <v>2724</v>
      </c>
      <c r="B2725" s="1">
        <v>45643</v>
      </c>
      <c r="C2725" t="s">
        <v>21</v>
      </c>
      <c r="D2725" t="s">
        <v>11</v>
      </c>
      <c r="E2725">
        <v>192</v>
      </c>
      <c r="F2725">
        <v>4</v>
      </c>
      <c r="G2725">
        <v>9.8000000000000007</v>
      </c>
      <c r="H2725" t="s">
        <v>12</v>
      </c>
      <c r="I2725" t="s">
        <v>19</v>
      </c>
      <c r="J2725" t="s">
        <v>15</v>
      </c>
      <c r="K2725">
        <f>_xlfn.XLOOKUP(tbl_analysis_tickets[[#This Row],[priority]],tbl_sla[priority],tbl_sla[Resolution SLA Hours])</f>
        <v>72</v>
      </c>
      <c r="L2725">
        <f>_xlfn.XLOOKUP(tbl_analysis_tickets[[#This Row],[priority]],tbl_sla[priority],tbl_sla[First Response SLA Minutes])</f>
        <v>240</v>
      </c>
      <c r="M2725" t="str">
        <f>IF(tbl_analysis_tickets[[#This Row],[resolution_time_hours]]&gt;tbl_analysis_tickets[[#This Row],[Resolution SLA Hours]],"Breached","Within SLA")</f>
        <v>Within SLA</v>
      </c>
      <c r="N2725" t="str">
        <f>IF(tbl_analysis_tickets[[#This Row],[first_response_minutes]]&gt;tbl_analysis_tickets[[#This Row],[First Response SLA Minutes]],"Breached","Within SLA")</f>
        <v>Within SLA</v>
      </c>
      <c r="O2725" t="str" cm="1">
        <f t="array" ref="O2725">_xlfn.IFS(
tbl_analysis_tickets[[#This Row],[agent_experience_years]]&lt;=2,"Junior",
tbl_analysis_tickets[[#This Row],[agent_experience_years]]&lt;=5,"Mid-Level",
tbl_analysis_tickets[[#This Row],[agent_experience_years]]&lt;=8,"Senior",
tbl_analysis_tickets[[#This Row],[agent_experience_years]]&gt;8,"Expert"
)</f>
        <v>Expert</v>
      </c>
      <c r="P2725" cm="1">
        <f t="array" ref="P2725">_xlfn.SWITCH(tbl_analysis_tickets[[#This Row],[customer_satisfaction]],
"Low",1,
"Medium",2,
"High",3
)</f>
        <v>2</v>
      </c>
      <c r="Q2725">
        <f>IF(tbl_analysis_tickets[[#This Row],[reopened]]="Yes",1,0)</f>
        <v>1</v>
      </c>
      <c r="R2725" t="str" cm="1">
        <f t="array" ref="R2725">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725" t="str" cm="1">
        <f t="array" ref="S272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2725" t="str">
        <f>TEXT(tbl_analysis_tickets[[#This Row],[created_date]],"mmm-yyyy")</f>
        <v>Dec-2024</v>
      </c>
      <c r="U2725" t="str">
        <f>TEXT(tbl_analysis_tickets[[#This Row],[created_date]],"dddd")</f>
        <v>Tuesday</v>
      </c>
      <c r="V2725" cm="1">
        <f t="array" ref="V2725">_xlfn.SWITCH(tbl_analysis_tickets[[#This Row],[priority]],
"Urgent",1,
"High",2,
"Medium",3,
"Low",4
)</f>
        <v>4</v>
      </c>
    </row>
    <row r="2726" spans="1:22" x14ac:dyDescent="0.25">
      <c r="A2726">
        <v>2725</v>
      </c>
      <c r="B2726" s="1">
        <v>45494</v>
      </c>
      <c r="C2726" t="s">
        <v>23</v>
      </c>
      <c r="D2726" t="s">
        <v>15</v>
      </c>
      <c r="E2726">
        <v>166</v>
      </c>
      <c r="F2726">
        <v>45</v>
      </c>
      <c r="G2726">
        <v>7.5</v>
      </c>
      <c r="H2726" t="s">
        <v>18</v>
      </c>
      <c r="I2726" t="s">
        <v>13</v>
      </c>
      <c r="J2726" t="s">
        <v>15</v>
      </c>
      <c r="K2726">
        <f>_xlfn.XLOOKUP(tbl_analysis_tickets[[#This Row],[priority]],tbl_sla[priority],tbl_sla[Resolution SLA Hours])</f>
        <v>48</v>
      </c>
      <c r="L2726">
        <f>_xlfn.XLOOKUP(tbl_analysis_tickets[[#This Row],[priority]],tbl_sla[priority],tbl_sla[First Response SLA Minutes])</f>
        <v>120</v>
      </c>
      <c r="M2726" t="str">
        <f>IF(tbl_analysis_tickets[[#This Row],[resolution_time_hours]]&gt;tbl_analysis_tickets[[#This Row],[Resolution SLA Hours]],"Breached","Within SLA")</f>
        <v>Within SLA</v>
      </c>
      <c r="N2726" t="str">
        <f>IF(tbl_analysis_tickets[[#This Row],[first_response_minutes]]&gt;tbl_analysis_tickets[[#This Row],[First Response SLA Minutes]],"Breached","Within SLA")</f>
        <v>Breached</v>
      </c>
      <c r="O2726" t="str" cm="1">
        <f t="array" ref="O2726">_xlfn.IFS(
tbl_analysis_tickets[[#This Row],[agent_experience_years]]&lt;=2,"Junior",
tbl_analysis_tickets[[#This Row],[agent_experience_years]]&lt;=5,"Mid-Level",
tbl_analysis_tickets[[#This Row],[agent_experience_years]]&lt;=8,"Senior",
tbl_analysis_tickets[[#This Row],[agent_experience_years]]&gt;8,"Expert"
)</f>
        <v>Senior</v>
      </c>
      <c r="P2726" cm="1">
        <f t="array" ref="P2726">_xlfn.SWITCH(tbl_analysis_tickets[[#This Row],[customer_satisfaction]],
"Low",1,
"Medium",2,
"High",3
)</f>
        <v>2</v>
      </c>
      <c r="Q2726">
        <f>IF(tbl_analysis_tickets[[#This Row],[reopened]]="Yes",1,0)</f>
        <v>0</v>
      </c>
      <c r="R2726" t="str" cm="1">
        <f t="array" ref="R2726">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726" t="str" cm="1">
        <f t="array" ref="S272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726" t="str">
        <f>TEXT(tbl_analysis_tickets[[#This Row],[created_date]],"mmm-yyyy")</f>
        <v>Jul-2024</v>
      </c>
      <c r="U2726" t="str">
        <f>TEXT(tbl_analysis_tickets[[#This Row],[created_date]],"dddd")</f>
        <v>Sunday</v>
      </c>
      <c r="V2726" cm="1">
        <f t="array" ref="V2726">_xlfn.SWITCH(tbl_analysis_tickets[[#This Row],[priority]],
"Urgent",1,
"High",2,
"Medium",3,
"Low",4
)</f>
        <v>3</v>
      </c>
    </row>
    <row r="2727" spans="1:22" x14ac:dyDescent="0.25">
      <c r="A2727">
        <v>2726</v>
      </c>
      <c r="B2727" s="1">
        <v>45621</v>
      </c>
      <c r="C2727" t="s">
        <v>23</v>
      </c>
      <c r="D2727" t="s">
        <v>20</v>
      </c>
      <c r="E2727">
        <v>38</v>
      </c>
      <c r="F2727">
        <v>6</v>
      </c>
      <c r="G2727">
        <v>8.1</v>
      </c>
      <c r="H2727" t="s">
        <v>12</v>
      </c>
      <c r="I2727" t="s">
        <v>19</v>
      </c>
      <c r="J2727" t="s">
        <v>15</v>
      </c>
      <c r="K2727">
        <f>_xlfn.XLOOKUP(tbl_analysis_tickets[[#This Row],[priority]],tbl_sla[priority],tbl_sla[Resolution SLA Hours])</f>
        <v>24</v>
      </c>
      <c r="L2727">
        <f>_xlfn.XLOOKUP(tbl_analysis_tickets[[#This Row],[priority]],tbl_sla[priority],tbl_sla[First Response SLA Minutes])</f>
        <v>60</v>
      </c>
      <c r="M2727" t="str">
        <f>IF(tbl_analysis_tickets[[#This Row],[resolution_time_hours]]&gt;tbl_analysis_tickets[[#This Row],[Resolution SLA Hours]],"Breached","Within SLA")</f>
        <v>Within SLA</v>
      </c>
      <c r="N2727" t="str">
        <f>IF(tbl_analysis_tickets[[#This Row],[first_response_minutes]]&gt;tbl_analysis_tickets[[#This Row],[First Response SLA Minutes]],"Breached","Within SLA")</f>
        <v>Within SLA</v>
      </c>
      <c r="O2727" t="str" cm="1">
        <f t="array" ref="O2727">_xlfn.IFS(
tbl_analysis_tickets[[#This Row],[agent_experience_years]]&lt;=2,"Junior",
tbl_analysis_tickets[[#This Row],[agent_experience_years]]&lt;=5,"Mid-Level",
tbl_analysis_tickets[[#This Row],[agent_experience_years]]&lt;=8,"Senior",
tbl_analysis_tickets[[#This Row],[agent_experience_years]]&gt;8,"Expert"
)</f>
        <v>Expert</v>
      </c>
      <c r="P2727" cm="1">
        <f t="array" ref="P2727">_xlfn.SWITCH(tbl_analysis_tickets[[#This Row],[customer_satisfaction]],
"Low",1,
"Medium",2,
"High",3
)</f>
        <v>2</v>
      </c>
      <c r="Q2727">
        <f>IF(tbl_analysis_tickets[[#This Row],[reopened]]="Yes",1,0)</f>
        <v>1</v>
      </c>
      <c r="R2727" t="str" cm="1">
        <f t="array" ref="R2727">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727" t="str" cm="1">
        <f t="array" ref="S272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2727" t="str">
        <f>TEXT(tbl_analysis_tickets[[#This Row],[created_date]],"mmm-yyyy")</f>
        <v>Nov-2024</v>
      </c>
      <c r="U2727" t="str">
        <f>TEXT(tbl_analysis_tickets[[#This Row],[created_date]],"dddd")</f>
        <v>Monday</v>
      </c>
      <c r="V2727" cm="1">
        <f t="array" ref="V2727">_xlfn.SWITCH(tbl_analysis_tickets[[#This Row],[priority]],
"Urgent",1,
"High",2,
"Medium",3,
"Low",4
)</f>
        <v>2</v>
      </c>
    </row>
    <row r="2728" spans="1:22" x14ac:dyDescent="0.25">
      <c r="A2728">
        <v>2727</v>
      </c>
      <c r="B2728" s="1">
        <v>45339</v>
      </c>
      <c r="C2728" t="s">
        <v>10</v>
      </c>
      <c r="D2728" t="s">
        <v>11</v>
      </c>
      <c r="E2728">
        <v>92</v>
      </c>
      <c r="F2728">
        <v>51</v>
      </c>
      <c r="G2728">
        <v>9.4</v>
      </c>
      <c r="H2728" t="s">
        <v>18</v>
      </c>
      <c r="I2728" t="s">
        <v>16</v>
      </c>
      <c r="J2728" t="s">
        <v>15</v>
      </c>
      <c r="K2728">
        <f>_xlfn.XLOOKUP(tbl_analysis_tickets[[#This Row],[priority]],tbl_sla[priority],tbl_sla[Resolution SLA Hours])</f>
        <v>72</v>
      </c>
      <c r="L2728">
        <f>_xlfn.XLOOKUP(tbl_analysis_tickets[[#This Row],[priority]],tbl_sla[priority],tbl_sla[First Response SLA Minutes])</f>
        <v>240</v>
      </c>
      <c r="M2728" t="str">
        <f>IF(tbl_analysis_tickets[[#This Row],[resolution_time_hours]]&gt;tbl_analysis_tickets[[#This Row],[Resolution SLA Hours]],"Breached","Within SLA")</f>
        <v>Within SLA</v>
      </c>
      <c r="N2728" t="str">
        <f>IF(tbl_analysis_tickets[[#This Row],[first_response_minutes]]&gt;tbl_analysis_tickets[[#This Row],[First Response SLA Minutes]],"Breached","Within SLA")</f>
        <v>Within SLA</v>
      </c>
      <c r="O2728" t="str" cm="1">
        <f t="array" ref="O2728">_xlfn.IFS(
tbl_analysis_tickets[[#This Row],[agent_experience_years]]&lt;=2,"Junior",
tbl_analysis_tickets[[#This Row],[agent_experience_years]]&lt;=5,"Mid-Level",
tbl_analysis_tickets[[#This Row],[agent_experience_years]]&lt;=8,"Senior",
tbl_analysis_tickets[[#This Row],[agent_experience_years]]&gt;8,"Expert"
)</f>
        <v>Expert</v>
      </c>
      <c r="P2728" cm="1">
        <f t="array" ref="P2728">_xlfn.SWITCH(tbl_analysis_tickets[[#This Row],[customer_satisfaction]],
"Low",1,
"Medium",2,
"High",3
)</f>
        <v>2</v>
      </c>
      <c r="Q2728">
        <f>IF(tbl_analysis_tickets[[#This Row],[reopened]]="Yes",1,0)</f>
        <v>0</v>
      </c>
      <c r="R2728" t="str" cm="1">
        <f t="array" ref="R2728">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728" t="str" cm="1">
        <f t="array" ref="S272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728" t="str">
        <f>TEXT(tbl_analysis_tickets[[#This Row],[created_date]],"mmm-yyyy")</f>
        <v>Feb-2024</v>
      </c>
      <c r="U2728" t="str">
        <f>TEXT(tbl_analysis_tickets[[#This Row],[created_date]],"dddd")</f>
        <v>Saturday</v>
      </c>
      <c r="V2728" cm="1">
        <f t="array" ref="V2728">_xlfn.SWITCH(tbl_analysis_tickets[[#This Row],[priority]],
"Urgent",1,
"High",2,
"Medium",3,
"Low",4
)</f>
        <v>4</v>
      </c>
    </row>
    <row r="2729" spans="1:22" x14ac:dyDescent="0.25">
      <c r="A2729">
        <v>2728</v>
      </c>
      <c r="B2729" s="1">
        <v>45328</v>
      </c>
      <c r="C2729" t="s">
        <v>21</v>
      </c>
      <c r="D2729" t="s">
        <v>15</v>
      </c>
      <c r="E2729">
        <v>9</v>
      </c>
      <c r="F2729">
        <v>4</v>
      </c>
      <c r="G2729">
        <v>6.7</v>
      </c>
      <c r="H2729" t="s">
        <v>12</v>
      </c>
      <c r="I2729" t="s">
        <v>19</v>
      </c>
      <c r="J2729" t="s">
        <v>20</v>
      </c>
      <c r="K2729">
        <f>_xlfn.XLOOKUP(tbl_analysis_tickets[[#This Row],[priority]],tbl_sla[priority],tbl_sla[Resolution SLA Hours])</f>
        <v>48</v>
      </c>
      <c r="L2729">
        <f>_xlfn.XLOOKUP(tbl_analysis_tickets[[#This Row],[priority]],tbl_sla[priority],tbl_sla[First Response SLA Minutes])</f>
        <v>120</v>
      </c>
      <c r="M2729" t="str">
        <f>IF(tbl_analysis_tickets[[#This Row],[resolution_time_hours]]&gt;tbl_analysis_tickets[[#This Row],[Resolution SLA Hours]],"Breached","Within SLA")</f>
        <v>Within SLA</v>
      </c>
      <c r="N2729" t="str">
        <f>IF(tbl_analysis_tickets[[#This Row],[first_response_minutes]]&gt;tbl_analysis_tickets[[#This Row],[First Response SLA Minutes]],"Breached","Within SLA")</f>
        <v>Within SLA</v>
      </c>
      <c r="O2729" t="str" cm="1">
        <f t="array" ref="O2729">_xlfn.IFS(
tbl_analysis_tickets[[#This Row],[agent_experience_years]]&lt;=2,"Junior",
tbl_analysis_tickets[[#This Row],[agent_experience_years]]&lt;=5,"Mid-Level",
tbl_analysis_tickets[[#This Row],[agent_experience_years]]&lt;=8,"Senior",
tbl_analysis_tickets[[#This Row],[agent_experience_years]]&gt;8,"Expert"
)</f>
        <v>Senior</v>
      </c>
      <c r="P2729" cm="1">
        <f t="array" ref="P2729">_xlfn.SWITCH(tbl_analysis_tickets[[#This Row],[customer_satisfaction]],
"Low",1,
"Medium",2,
"High",3
)</f>
        <v>3</v>
      </c>
      <c r="Q2729">
        <f>IF(tbl_analysis_tickets[[#This Row],[reopened]]="Yes",1,0)</f>
        <v>1</v>
      </c>
      <c r="R2729" t="str" cm="1">
        <f t="array" ref="R2729">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2729" t="str" cm="1">
        <f t="array" ref="S272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2729" t="str">
        <f>TEXT(tbl_analysis_tickets[[#This Row],[created_date]],"mmm-yyyy")</f>
        <v>Feb-2024</v>
      </c>
      <c r="U2729" t="str">
        <f>TEXT(tbl_analysis_tickets[[#This Row],[created_date]],"dddd")</f>
        <v>Tuesday</v>
      </c>
      <c r="V2729" cm="1">
        <f t="array" ref="V2729">_xlfn.SWITCH(tbl_analysis_tickets[[#This Row],[priority]],
"Urgent",1,
"High",2,
"Medium",3,
"Low",4
)</f>
        <v>3</v>
      </c>
    </row>
    <row r="2730" spans="1:22" x14ac:dyDescent="0.25">
      <c r="A2730">
        <v>2729</v>
      </c>
      <c r="B2730" s="1">
        <v>45411</v>
      </c>
      <c r="C2730" t="s">
        <v>22</v>
      </c>
      <c r="D2730" t="s">
        <v>15</v>
      </c>
      <c r="E2730">
        <v>219</v>
      </c>
      <c r="F2730">
        <v>2</v>
      </c>
      <c r="G2730">
        <v>6.6</v>
      </c>
      <c r="H2730" t="s">
        <v>18</v>
      </c>
      <c r="I2730" t="s">
        <v>13</v>
      </c>
      <c r="J2730" t="s">
        <v>20</v>
      </c>
      <c r="K2730">
        <f>_xlfn.XLOOKUP(tbl_analysis_tickets[[#This Row],[priority]],tbl_sla[priority],tbl_sla[Resolution SLA Hours])</f>
        <v>48</v>
      </c>
      <c r="L2730">
        <f>_xlfn.XLOOKUP(tbl_analysis_tickets[[#This Row],[priority]],tbl_sla[priority],tbl_sla[First Response SLA Minutes])</f>
        <v>120</v>
      </c>
      <c r="M2730" t="str">
        <f>IF(tbl_analysis_tickets[[#This Row],[resolution_time_hours]]&gt;tbl_analysis_tickets[[#This Row],[Resolution SLA Hours]],"Breached","Within SLA")</f>
        <v>Within SLA</v>
      </c>
      <c r="N2730" t="str">
        <f>IF(tbl_analysis_tickets[[#This Row],[first_response_minutes]]&gt;tbl_analysis_tickets[[#This Row],[First Response SLA Minutes]],"Breached","Within SLA")</f>
        <v>Breached</v>
      </c>
      <c r="O2730" t="str" cm="1">
        <f t="array" ref="O2730">_xlfn.IFS(
tbl_analysis_tickets[[#This Row],[agent_experience_years]]&lt;=2,"Junior",
tbl_analysis_tickets[[#This Row],[agent_experience_years]]&lt;=5,"Mid-Level",
tbl_analysis_tickets[[#This Row],[agent_experience_years]]&lt;=8,"Senior",
tbl_analysis_tickets[[#This Row],[agent_experience_years]]&gt;8,"Expert"
)</f>
        <v>Senior</v>
      </c>
      <c r="P2730" cm="1">
        <f t="array" ref="P2730">_xlfn.SWITCH(tbl_analysis_tickets[[#This Row],[customer_satisfaction]],
"Low",1,
"Medium",2,
"High",3
)</f>
        <v>3</v>
      </c>
      <c r="Q2730">
        <f>IF(tbl_analysis_tickets[[#This Row],[reopened]]="Yes",1,0)</f>
        <v>0</v>
      </c>
      <c r="R2730" t="str" cm="1">
        <f t="array" ref="R2730">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730" t="str" cm="1">
        <f t="array" ref="S273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2730" t="str">
        <f>TEXT(tbl_analysis_tickets[[#This Row],[created_date]],"mmm-yyyy")</f>
        <v>Apr-2024</v>
      </c>
      <c r="U2730" t="str">
        <f>TEXT(tbl_analysis_tickets[[#This Row],[created_date]],"dddd")</f>
        <v>Monday</v>
      </c>
      <c r="V2730" cm="1">
        <f t="array" ref="V2730">_xlfn.SWITCH(tbl_analysis_tickets[[#This Row],[priority]],
"Urgent",1,
"High",2,
"Medium",3,
"Low",4
)</f>
        <v>3</v>
      </c>
    </row>
    <row r="2731" spans="1:22" x14ac:dyDescent="0.25">
      <c r="A2731">
        <v>2730</v>
      </c>
      <c r="B2731" s="1">
        <v>45516</v>
      </c>
      <c r="C2731" t="s">
        <v>23</v>
      </c>
      <c r="D2731" t="s">
        <v>11</v>
      </c>
      <c r="E2731">
        <v>50</v>
      </c>
      <c r="F2731">
        <v>50</v>
      </c>
      <c r="G2731">
        <v>5</v>
      </c>
      <c r="H2731" t="s">
        <v>18</v>
      </c>
      <c r="I2731" t="s">
        <v>16</v>
      </c>
      <c r="J2731" t="s">
        <v>15</v>
      </c>
      <c r="K2731">
        <f>_xlfn.XLOOKUP(tbl_analysis_tickets[[#This Row],[priority]],tbl_sla[priority],tbl_sla[Resolution SLA Hours])</f>
        <v>72</v>
      </c>
      <c r="L2731">
        <f>_xlfn.XLOOKUP(tbl_analysis_tickets[[#This Row],[priority]],tbl_sla[priority],tbl_sla[First Response SLA Minutes])</f>
        <v>240</v>
      </c>
      <c r="M2731" t="str">
        <f>IF(tbl_analysis_tickets[[#This Row],[resolution_time_hours]]&gt;tbl_analysis_tickets[[#This Row],[Resolution SLA Hours]],"Breached","Within SLA")</f>
        <v>Within SLA</v>
      </c>
      <c r="N2731" t="str">
        <f>IF(tbl_analysis_tickets[[#This Row],[first_response_minutes]]&gt;tbl_analysis_tickets[[#This Row],[First Response SLA Minutes]],"Breached","Within SLA")</f>
        <v>Within SLA</v>
      </c>
      <c r="O2731" t="str" cm="1">
        <f t="array" ref="O2731">_xlfn.IFS(
tbl_analysis_tickets[[#This Row],[agent_experience_years]]&lt;=2,"Junior",
tbl_analysis_tickets[[#This Row],[agent_experience_years]]&lt;=5,"Mid-Level",
tbl_analysis_tickets[[#This Row],[agent_experience_years]]&lt;=8,"Senior",
tbl_analysis_tickets[[#This Row],[agent_experience_years]]&gt;8,"Expert"
)</f>
        <v>Mid-Level</v>
      </c>
      <c r="P2731" cm="1">
        <f t="array" ref="P2731">_xlfn.SWITCH(tbl_analysis_tickets[[#This Row],[customer_satisfaction]],
"Low",1,
"Medium",2,
"High",3
)</f>
        <v>2</v>
      </c>
      <c r="Q2731">
        <f>IF(tbl_analysis_tickets[[#This Row],[reopened]]="Yes",1,0)</f>
        <v>0</v>
      </c>
      <c r="R2731" t="str" cm="1">
        <f t="array" ref="R2731">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731" t="str" cm="1">
        <f t="array" ref="S273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731" t="str">
        <f>TEXT(tbl_analysis_tickets[[#This Row],[created_date]],"mmm-yyyy")</f>
        <v>Aug-2024</v>
      </c>
      <c r="U2731" t="str">
        <f>TEXT(tbl_analysis_tickets[[#This Row],[created_date]],"dddd")</f>
        <v>Monday</v>
      </c>
      <c r="V2731" cm="1">
        <f t="array" ref="V2731">_xlfn.SWITCH(tbl_analysis_tickets[[#This Row],[priority]],
"Urgent",1,
"High",2,
"Medium",3,
"Low",4
)</f>
        <v>4</v>
      </c>
    </row>
    <row r="2732" spans="1:22" x14ac:dyDescent="0.25">
      <c r="A2732">
        <v>2731</v>
      </c>
      <c r="B2732" s="1">
        <v>45386</v>
      </c>
      <c r="C2732" t="s">
        <v>23</v>
      </c>
      <c r="D2732" t="s">
        <v>17</v>
      </c>
      <c r="E2732">
        <v>10</v>
      </c>
      <c r="F2732">
        <v>34</v>
      </c>
      <c r="G2732">
        <v>6.4</v>
      </c>
      <c r="H2732" t="s">
        <v>12</v>
      </c>
      <c r="I2732" t="s">
        <v>19</v>
      </c>
      <c r="J2732" t="s">
        <v>15</v>
      </c>
      <c r="K2732">
        <f>_xlfn.XLOOKUP(tbl_analysis_tickets[[#This Row],[priority]],tbl_sla[priority],tbl_sla[Resolution SLA Hours])</f>
        <v>8</v>
      </c>
      <c r="L2732">
        <f>_xlfn.XLOOKUP(tbl_analysis_tickets[[#This Row],[priority]],tbl_sla[priority],tbl_sla[First Response SLA Minutes])</f>
        <v>30</v>
      </c>
      <c r="M2732" t="str">
        <f>IF(tbl_analysis_tickets[[#This Row],[resolution_time_hours]]&gt;tbl_analysis_tickets[[#This Row],[Resolution SLA Hours]],"Breached","Within SLA")</f>
        <v>Breached</v>
      </c>
      <c r="N2732" t="str">
        <f>IF(tbl_analysis_tickets[[#This Row],[first_response_minutes]]&gt;tbl_analysis_tickets[[#This Row],[First Response SLA Minutes]],"Breached","Within SLA")</f>
        <v>Within SLA</v>
      </c>
      <c r="O2732" t="str" cm="1">
        <f t="array" ref="O2732">_xlfn.IFS(
tbl_analysis_tickets[[#This Row],[agent_experience_years]]&lt;=2,"Junior",
tbl_analysis_tickets[[#This Row],[agent_experience_years]]&lt;=5,"Mid-Level",
tbl_analysis_tickets[[#This Row],[agent_experience_years]]&lt;=8,"Senior",
tbl_analysis_tickets[[#This Row],[agent_experience_years]]&gt;8,"Expert"
)</f>
        <v>Senior</v>
      </c>
      <c r="P2732" cm="1">
        <f t="array" ref="P2732">_xlfn.SWITCH(tbl_analysis_tickets[[#This Row],[customer_satisfaction]],
"Low",1,
"Medium",2,
"High",3
)</f>
        <v>2</v>
      </c>
      <c r="Q2732">
        <f>IF(tbl_analysis_tickets[[#This Row],[reopened]]="Yes",1,0)</f>
        <v>1</v>
      </c>
      <c r="R2732" t="str" cm="1">
        <f t="array" ref="R2732">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2732" t="str" cm="1">
        <f t="array" ref="S273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732" t="str">
        <f>TEXT(tbl_analysis_tickets[[#This Row],[created_date]],"mmm-yyyy")</f>
        <v>Apr-2024</v>
      </c>
      <c r="U2732" t="str">
        <f>TEXT(tbl_analysis_tickets[[#This Row],[created_date]],"dddd")</f>
        <v>Thursday</v>
      </c>
      <c r="V2732" cm="1">
        <f t="array" ref="V2732">_xlfn.SWITCH(tbl_analysis_tickets[[#This Row],[priority]],
"Urgent",1,
"High",2,
"Medium",3,
"Low",4
)</f>
        <v>1</v>
      </c>
    </row>
    <row r="2733" spans="1:22" x14ac:dyDescent="0.25">
      <c r="A2733">
        <v>2732</v>
      </c>
      <c r="B2733" s="1">
        <v>45459</v>
      </c>
      <c r="C2733" t="s">
        <v>23</v>
      </c>
      <c r="D2733" t="s">
        <v>20</v>
      </c>
      <c r="E2733">
        <v>221</v>
      </c>
      <c r="F2733">
        <v>10</v>
      </c>
      <c r="G2733">
        <v>5.8</v>
      </c>
      <c r="H2733" t="s">
        <v>18</v>
      </c>
      <c r="I2733" t="s">
        <v>19</v>
      </c>
      <c r="J2733" t="s">
        <v>11</v>
      </c>
      <c r="K2733">
        <f>_xlfn.XLOOKUP(tbl_analysis_tickets[[#This Row],[priority]],tbl_sla[priority],tbl_sla[Resolution SLA Hours])</f>
        <v>24</v>
      </c>
      <c r="L2733">
        <f>_xlfn.XLOOKUP(tbl_analysis_tickets[[#This Row],[priority]],tbl_sla[priority],tbl_sla[First Response SLA Minutes])</f>
        <v>60</v>
      </c>
      <c r="M2733" t="str">
        <f>IF(tbl_analysis_tickets[[#This Row],[resolution_time_hours]]&gt;tbl_analysis_tickets[[#This Row],[Resolution SLA Hours]],"Breached","Within SLA")</f>
        <v>Within SLA</v>
      </c>
      <c r="N2733" t="str">
        <f>IF(tbl_analysis_tickets[[#This Row],[first_response_minutes]]&gt;tbl_analysis_tickets[[#This Row],[First Response SLA Minutes]],"Breached","Within SLA")</f>
        <v>Breached</v>
      </c>
      <c r="O2733" t="str" cm="1">
        <f t="array" ref="O2733">_xlfn.IFS(
tbl_analysis_tickets[[#This Row],[agent_experience_years]]&lt;=2,"Junior",
tbl_analysis_tickets[[#This Row],[agent_experience_years]]&lt;=5,"Mid-Level",
tbl_analysis_tickets[[#This Row],[agent_experience_years]]&lt;=8,"Senior",
tbl_analysis_tickets[[#This Row],[agent_experience_years]]&gt;8,"Expert"
)</f>
        <v>Senior</v>
      </c>
      <c r="P2733" cm="1">
        <f t="array" ref="P2733">_xlfn.SWITCH(tbl_analysis_tickets[[#This Row],[customer_satisfaction]],
"Low",1,
"Medium",2,
"High",3
)</f>
        <v>1</v>
      </c>
      <c r="Q2733">
        <f>IF(tbl_analysis_tickets[[#This Row],[reopened]]="Yes",1,0)</f>
        <v>0</v>
      </c>
      <c r="R2733" t="str" cm="1">
        <f t="array" ref="R2733">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733" t="str" cm="1">
        <f t="array" ref="S273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733" t="str">
        <f>TEXT(tbl_analysis_tickets[[#This Row],[created_date]],"mmm-yyyy")</f>
        <v>Jun-2024</v>
      </c>
      <c r="U2733" t="str">
        <f>TEXT(tbl_analysis_tickets[[#This Row],[created_date]],"dddd")</f>
        <v>Sunday</v>
      </c>
      <c r="V2733" cm="1">
        <f t="array" ref="V2733">_xlfn.SWITCH(tbl_analysis_tickets[[#This Row],[priority]],
"Urgent",1,
"High",2,
"Medium",3,
"Low",4
)</f>
        <v>2</v>
      </c>
    </row>
    <row r="2734" spans="1:22" x14ac:dyDescent="0.25">
      <c r="A2734">
        <v>2733</v>
      </c>
      <c r="B2734" s="1">
        <v>45311</v>
      </c>
      <c r="C2734" t="s">
        <v>10</v>
      </c>
      <c r="D2734" t="s">
        <v>11</v>
      </c>
      <c r="E2734">
        <v>124</v>
      </c>
      <c r="F2734">
        <v>57</v>
      </c>
      <c r="G2734">
        <v>4.9000000000000004</v>
      </c>
      <c r="H2734" t="s">
        <v>12</v>
      </c>
      <c r="I2734" t="s">
        <v>13</v>
      </c>
      <c r="J2734" t="s">
        <v>11</v>
      </c>
      <c r="K2734">
        <f>_xlfn.XLOOKUP(tbl_analysis_tickets[[#This Row],[priority]],tbl_sla[priority],tbl_sla[Resolution SLA Hours])</f>
        <v>72</v>
      </c>
      <c r="L2734">
        <f>_xlfn.XLOOKUP(tbl_analysis_tickets[[#This Row],[priority]],tbl_sla[priority],tbl_sla[First Response SLA Minutes])</f>
        <v>240</v>
      </c>
      <c r="M2734" t="str">
        <f>IF(tbl_analysis_tickets[[#This Row],[resolution_time_hours]]&gt;tbl_analysis_tickets[[#This Row],[Resolution SLA Hours]],"Breached","Within SLA")</f>
        <v>Within SLA</v>
      </c>
      <c r="N2734" t="str">
        <f>IF(tbl_analysis_tickets[[#This Row],[first_response_minutes]]&gt;tbl_analysis_tickets[[#This Row],[First Response SLA Minutes]],"Breached","Within SLA")</f>
        <v>Within SLA</v>
      </c>
      <c r="O2734" t="str" cm="1">
        <f t="array" ref="O2734">_xlfn.IFS(
tbl_analysis_tickets[[#This Row],[agent_experience_years]]&lt;=2,"Junior",
tbl_analysis_tickets[[#This Row],[agent_experience_years]]&lt;=5,"Mid-Level",
tbl_analysis_tickets[[#This Row],[agent_experience_years]]&lt;=8,"Senior",
tbl_analysis_tickets[[#This Row],[agent_experience_years]]&gt;8,"Expert"
)</f>
        <v>Mid-Level</v>
      </c>
      <c r="P2734" cm="1">
        <f t="array" ref="P2734">_xlfn.SWITCH(tbl_analysis_tickets[[#This Row],[customer_satisfaction]],
"Low",1,
"Medium",2,
"High",3
)</f>
        <v>1</v>
      </c>
      <c r="Q2734">
        <f>IF(tbl_analysis_tickets[[#This Row],[reopened]]="Yes",1,0)</f>
        <v>1</v>
      </c>
      <c r="R2734" t="str" cm="1">
        <f t="array" ref="R2734">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734" t="str" cm="1">
        <f t="array" ref="S273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734" t="str">
        <f>TEXT(tbl_analysis_tickets[[#This Row],[created_date]],"mmm-yyyy")</f>
        <v>Jan-2024</v>
      </c>
      <c r="U2734" t="str">
        <f>TEXT(tbl_analysis_tickets[[#This Row],[created_date]],"dddd")</f>
        <v>Saturday</v>
      </c>
      <c r="V2734" cm="1">
        <f t="array" ref="V2734">_xlfn.SWITCH(tbl_analysis_tickets[[#This Row],[priority]],
"Urgent",1,
"High",2,
"Medium",3,
"Low",4
)</f>
        <v>4</v>
      </c>
    </row>
    <row r="2735" spans="1:22" x14ac:dyDescent="0.25">
      <c r="A2735">
        <v>2734</v>
      </c>
      <c r="B2735" s="1">
        <v>45590</v>
      </c>
      <c r="C2735" t="s">
        <v>22</v>
      </c>
      <c r="D2735" t="s">
        <v>20</v>
      </c>
      <c r="E2735">
        <v>104</v>
      </c>
      <c r="F2735">
        <v>72</v>
      </c>
      <c r="G2735">
        <v>8.9</v>
      </c>
      <c r="H2735" t="s">
        <v>18</v>
      </c>
      <c r="I2735" t="s">
        <v>16</v>
      </c>
      <c r="J2735" t="s">
        <v>11</v>
      </c>
      <c r="K2735">
        <f>_xlfn.XLOOKUP(tbl_analysis_tickets[[#This Row],[priority]],tbl_sla[priority],tbl_sla[Resolution SLA Hours])</f>
        <v>24</v>
      </c>
      <c r="L2735">
        <f>_xlfn.XLOOKUP(tbl_analysis_tickets[[#This Row],[priority]],tbl_sla[priority],tbl_sla[First Response SLA Minutes])</f>
        <v>60</v>
      </c>
      <c r="M2735" t="str">
        <f>IF(tbl_analysis_tickets[[#This Row],[resolution_time_hours]]&gt;tbl_analysis_tickets[[#This Row],[Resolution SLA Hours]],"Breached","Within SLA")</f>
        <v>Breached</v>
      </c>
      <c r="N2735" t="str">
        <f>IF(tbl_analysis_tickets[[#This Row],[first_response_minutes]]&gt;tbl_analysis_tickets[[#This Row],[First Response SLA Minutes]],"Breached","Within SLA")</f>
        <v>Breached</v>
      </c>
      <c r="O2735" t="str" cm="1">
        <f t="array" ref="O2735">_xlfn.IFS(
tbl_analysis_tickets[[#This Row],[agent_experience_years]]&lt;=2,"Junior",
tbl_analysis_tickets[[#This Row],[agent_experience_years]]&lt;=5,"Mid-Level",
tbl_analysis_tickets[[#This Row],[agent_experience_years]]&lt;=8,"Senior",
tbl_analysis_tickets[[#This Row],[agent_experience_years]]&gt;8,"Expert"
)</f>
        <v>Expert</v>
      </c>
      <c r="P2735" cm="1">
        <f t="array" ref="P2735">_xlfn.SWITCH(tbl_analysis_tickets[[#This Row],[customer_satisfaction]],
"Low",1,
"Medium",2,
"High",3
)</f>
        <v>1</v>
      </c>
      <c r="Q2735">
        <f>IF(tbl_analysis_tickets[[#This Row],[reopened]]="Yes",1,0)</f>
        <v>0</v>
      </c>
      <c r="R2735" t="str" cm="1">
        <f t="array" ref="R2735">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735" t="str" cm="1">
        <f t="array" ref="S273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735" t="str">
        <f>TEXT(tbl_analysis_tickets[[#This Row],[created_date]],"mmm-yyyy")</f>
        <v>Oct-2024</v>
      </c>
      <c r="U2735" t="str">
        <f>TEXT(tbl_analysis_tickets[[#This Row],[created_date]],"dddd")</f>
        <v>Friday</v>
      </c>
      <c r="V2735" cm="1">
        <f t="array" ref="V2735">_xlfn.SWITCH(tbl_analysis_tickets[[#This Row],[priority]],
"Urgent",1,
"High",2,
"Medium",3,
"Low",4
)</f>
        <v>2</v>
      </c>
    </row>
    <row r="2736" spans="1:22" x14ac:dyDescent="0.25">
      <c r="A2736">
        <v>2735</v>
      </c>
      <c r="B2736" s="1">
        <v>45397</v>
      </c>
      <c r="C2736" t="s">
        <v>23</v>
      </c>
      <c r="D2736" t="s">
        <v>11</v>
      </c>
      <c r="E2736">
        <v>40</v>
      </c>
      <c r="F2736">
        <v>57</v>
      </c>
      <c r="G2736">
        <v>0.7</v>
      </c>
      <c r="H2736" t="s">
        <v>18</v>
      </c>
      <c r="I2736" t="s">
        <v>19</v>
      </c>
      <c r="J2736" t="s">
        <v>11</v>
      </c>
      <c r="K2736">
        <f>_xlfn.XLOOKUP(tbl_analysis_tickets[[#This Row],[priority]],tbl_sla[priority],tbl_sla[Resolution SLA Hours])</f>
        <v>72</v>
      </c>
      <c r="L2736">
        <f>_xlfn.XLOOKUP(tbl_analysis_tickets[[#This Row],[priority]],tbl_sla[priority],tbl_sla[First Response SLA Minutes])</f>
        <v>240</v>
      </c>
      <c r="M2736" t="str">
        <f>IF(tbl_analysis_tickets[[#This Row],[resolution_time_hours]]&gt;tbl_analysis_tickets[[#This Row],[Resolution SLA Hours]],"Breached","Within SLA")</f>
        <v>Within SLA</v>
      </c>
      <c r="N2736" t="str">
        <f>IF(tbl_analysis_tickets[[#This Row],[first_response_minutes]]&gt;tbl_analysis_tickets[[#This Row],[First Response SLA Minutes]],"Breached","Within SLA")</f>
        <v>Within SLA</v>
      </c>
      <c r="O2736" t="str" cm="1">
        <f t="array" ref="O2736">_xlfn.IFS(
tbl_analysis_tickets[[#This Row],[agent_experience_years]]&lt;=2,"Junior",
tbl_analysis_tickets[[#This Row],[agent_experience_years]]&lt;=5,"Mid-Level",
tbl_analysis_tickets[[#This Row],[agent_experience_years]]&lt;=8,"Senior",
tbl_analysis_tickets[[#This Row],[agent_experience_years]]&gt;8,"Expert"
)</f>
        <v>Junior</v>
      </c>
      <c r="P2736" cm="1">
        <f t="array" ref="P2736">_xlfn.SWITCH(tbl_analysis_tickets[[#This Row],[customer_satisfaction]],
"Low",1,
"Medium",2,
"High",3
)</f>
        <v>1</v>
      </c>
      <c r="Q2736">
        <f>IF(tbl_analysis_tickets[[#This Row],[reopened]]="Yes",1,0)</f>
        <v>0</v>
      </c>
      <c r="R2736" t="str" cm="1">
        <f t="array" ref="R2736">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736" t="str" cm="1">
        <f t="array" ref="S273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736" t="str">
        <f>TEXT(tbl_analysis_tickets[[#This Row],[created_date]],"mmm-yyyy")</f>
        <v>Apr-2024</v>
      </c>
      <c r="U2736" t="str">
        <f>TEXT(tbl_analysis_tickets[[#This Row],[created_date]],"dddd")</f>
        <v>Monday</v>
      </c>
      <c r="V2736" cm="1">
        <f t="array" ref="V2736">_xlfn.SWITCH(tbl_analysis_tickets[[#This Row],[priority]],
"Urgent",1,
"High",2,
"Medium",3,
"Low",4
)</f>
        <v>4</v>
      </c>
    </row>
    <row r="2737" spans="1:22" x14ac:dyDescent="0.25">
      <c r="A2737">
        <v>2736</v>
      </c>
      <c r="B2737" s="1">
        <v>45409</v>
      </c>
      <c r="C2737" t="s">
        <v>14</v>
      </c>
      <c r="D2737" t="s">
        <v>17</v>
      </c>
      <c r="E2737">
        <v>121</v>
      </c>
      <c r="F2737">
        <v>12</v>
      </c>
      <c r="G2737">
        <v>1.8</v>
      </c>
      <c r="H2737" t="s">
        <v>12</v>
      </c>
      <c r="I2737" t="s">
        <v>13</v>
      </c>
      <c r="J2737" t="s">
        <v>11</v>
      </c>
      <c r="K2737">
        <f>_xlfn.XLOOKUP(tbl_analysis_tickets[[#This Row],[priority]],tbl_sla[priority],tbl_sla[Resolution SLA Hours])</f>
        <v>8</v>
      </c>
      <c r="L2737">
        <f>_xlfn.XLOOKUP(tbl_analysis_tickets[[#This Row],[priority]],tbl_sla[priority],tbl_sla[First Response SLA Minutes])</f>
        <v>30</v>
      </c>
      <c r="M2737" t="str">
        <f>IF(tbl_analysis_tickets[[#This Row],[resolution_time_hours]]&gt;tbl_analysis_tickets[[#This Row],[Resolution SLA Hours]],"Breached","Within SLA")</f>
        <v>Breached</v>
      </c>
      <c r="N2737" t="str">
        <f>IF(tbl_analysis_tickets[[#This Row],[first_response_minutes]]&gt;tbl_analysis_tickets[[#This Row],[First Response SLA Minutes]],"Breached","Within SLA")</f>
        <v>Breached</v>
      </c>
      <c r="O2737" t="str" cm="1">
        <f t="array" ref="O2737">_xlfn.IFS(
tbl_analysis_tickets[[#This Row],[agent_experience_years]]&lt;=2,"Junior",
tbl_analysis_tickets[[#This Row],[agent_experience_years]]&lt;=5,"Mid-Level",
tbl_analysis_tickets[[#This Row],[agent_experience_years]]&lt;=8,"Senior",
tbl_analysis_tickets[[#This Row],[agent_experience_years]]&gt;8,"Expert"
)</f>
        <v>Junior</v>
      </c>
      <c r="P2737" cm="1">
        <f t="array" ref="P2737">_xlfn.SWITCH(tbl_analysis_tickets[[#This Row],[customer_satisfaction]],
"Low",1,
"Medium",2,
"High",3
)</f>
        <v>1</v>
      </c>
      <c r="Q2737">
        <f>IF(tbl_analysis_tickets[[#This Row],[reopened]]="Yes",1,0)</f>
        <v>1</v>
      </c>
      <c r="R2737" t="str" cm="1">
        <f t="array" ref="R2737">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737" t="str" cm="1">
        <f t="array" ref="S273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737" t="str">
        <f>TEXT(tbl_analysis_tickets[[#This Row],[created_date]],"mmm-yyyy")</f>
        <v>Apr-2024</v>
      </c>
      <c r="U2737" t="str">
        <f>TEXT(tbl_analysis_tickets[[#This Row],[created_date]],"dddd")</f>
        <v>Saturday</v>
      </c>
      <c r="V2737" cm="1">
        <f t="array" ref="V2737">_xlfn.SWITCH(tbl_analysis_tickets[[#This Row],[priority]],
"Urgent",1,
"High",2,
"Medium",3,
"Low",4
)</f>
        <v>1</v>
      </c>
    </row>
    <row r="2738" spans="1:22" x14ac:dyDescent="0.25">
      <c r="A2738">
        <v>2737</v>
      </c>
      <c r="B2738" s="1">
        <v>45361</v>
      </c>
      <c r="C2738" t="s">
        <v>14</v>
      </c>
      <c r="D2738" t="s">
        <v>15</v>
      </c>
      <c r="E2738">
        <v>28</v>
      </c>
      <c r="F2738">
        <v>63</v>
      </c>
      <c r="G2738">
        <v>9.6</v>
      </c>
      <c r="H2738" t="s">
        <v>18</v>
      </c>
      <c r="I2738" t="s">
        <v>16</v>
      </c>
      <c r="J2738" t="s">
        <v>20</v>
      </c>
      <c r="K2738">
        <f>_xlfn.XLOOKUP(tbl_analysis_tickets[[#This Row],[priority]],tbl_sla[priority],tbl_sla[Resolution SLA Hours])</f>
        <v>48</v>
      </c>
      <c r="L2738">
        <f>_xlfn.XLOOKUP(tbl_analysis_tickets[[#This Row],[priority]],tbl_sla[priority],tbl_sla[First Response SLA Minutes])</f>
        <v>120</v>
      </c>
      <c r="M2738" t="str">
        <f>IF(tbl_analysis_tickets[[#This Row],[resolution_time_hours]]&gt;tbl_analysis_tickets[[#This Row],[Resolution SLA Hours]],"Breached","Within SLA")</f>
        <v>Breached</v>
      </c>
      <c r="N2738" t="str">
        <f>IF(tbl_analysis_tickets[[#This Row],[first_response_minutes]]&gt;tbl_analysis_tickets[[#This Row],[First Response SLA Minutes]],"Breached","Within SLA")</f>
        <v>Within SLA</v>
      </c>
      <c r="O2738" t="str" cm="1">
        <f t="array" ref="O2738">_xlfn.IFS(
tbl_analysis_tickets[[#This Row],[agent_experience_years]]&lt;=2,"Junior",
tbl_analysis_tickets[[#This Row],[agent_experience_years]]&lt;=5,"Mid-Level",
tbl_analysis_tickets[[#This Row],[agent_experience_years]]&lt;=8,"Senior",
tbl_analysis_tickets[[#This Row],[agent_experience_years]]&gt;8,"Expert"
)</f>
        <v>Expert</v>
      </c>
      <c r="P2738" cm="1">
        <f t="array" ref="P2738">_xlfn.SWITCH(tbl_analysis_tickets[[#This Row],[customer_satisfaction]],
"Low",1,
"Medium",2,
"High",3
)</f>
        <v>3</v>
      </c>
      <c r="Q2738">
        <f>IF(tbl_analysis_tickets[[#This Row],[reopened]]="Yes",1,0)</f>
        <v>0</v>
      </c>
      <c r="R2738" t="str" cm="1">
        <f t="array" ref="R2738">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2738" t="str" cm="1">
        <f t="array" ref="S273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738" t="str">
        <f>TEXT(tbl_analysis_tickets[[#This Row],[created_date]],"mmm-yyyy")</f>
        <v>Mar-2024</v>
      </c>
      <c r="U2738" t="str">
        <f>TEXT(tbl_analysis_tickets[[#This Row],[created_date]],"dddd")</f>
        <v>Sunday</v>
      </c>
      <c r="V2738" cm="1">
        <f t="array" ref="V2738">_xlfn.SWITCH(tbl_analysis_tickets[[#This Row],[priority]],
"Urgent",1,
"High",2,
"Medium",3,
"Low",4
)</f>
        <v>3</v>
      </c>
    </row>
    <row r="2739" spans="1:22" x14ac:dyDescent="0.25">
      <c r="A2739">
        <v>2738</v>
      </c>
      <c r="B2739" s="1">
        <v>45584</v>
      </c>
      <c r="C2739" t="s">
        <v>21</v>
      </c>
      <c r="D2739" t="s">
        <v>17</v>
      </c>
      <c r="E2739">
        <v>36</v>
      </c>
      <c r="F2739">
        <v>57</v>
      </c>
      <c r="G2739">
        <v>4.3</v>
      </c>
      <c r="H2739" t="s">
        <v>18</v>
      </c>
      <c r="I2739" t="s">
        <v>13</v>
      </c>
      <c r="J2739" t="s">
        <v>11</v>
      </c>
      <c r="K2739">
        <f>_xlfn.XLOOKUP(tbl_analysis_tickets[[#This Row],[priority]],tbl_sla[priority],tbl_sla[Resolution SLA Hours])</f>
        <v>8</v>
      </c>
      <c r="L2739">
        <f>_xlfn.XLOOKUP(tbl_analysis_tickets[[#This Row],[priority]],tbl_sla[priority],tbl_sla[First Response SLA Minutes])</f>
        <v>30</v>
      </c>
      <c r="M2739" t="str">
        <f>IF(tbl_analysis_tickets[[#This Row],[resolution_time_hours]]&gt;tbl_analysis_tickets[[#This Row],[Resolution SLA Hours]],"Breached","Within SLA")</f>
        <v>Breached</v>
      </c>
      <c r="N2739" t="str">
        <f>IF(tbl_analysis_tickets[[#This Row],[first_response_minutes]]&gt;tbl_analysis_tickets[[#This Row],[First Response SLA Minutes]],"Breached","Within SLA")</f>
        <v>Breached</v>
      </c>
      <c r="O2739" t="str" cm="1">
        <f t="array" ref="O2739">_xlfn.IFS(
tbl_analysis_tickets[[#This Row],[agent_experience_years]]&lt;=2,"Junior",
tbl_analysis_tickets[[#This Row],[agent_experience_years]]&lt;=5,"Mid-Level",
tbl_analysis_tickets[[#This Row],[agent_experience_years]]&lt;=8,"Senior",
tbl_analysis_tickets[[#This Row],[agent_experience_years]]&gt;8,"Expert"
)</f>
        <v>Mid-Level</v>
      </c>
      <c r="P2739" cm="1">
        <f t="array" ref="P2739">_xlfn.SWITCH(tbl_analysis_tickets[[#This Row],[customer_satisfaction]],
"Low",1,
"Medium",2,
"High",3
)</f>
        <v>1</v>
      </c>
      <c r="Q2739">
        <f>IF(tbl_analysis_tickets[[#This Row],[reopened]]="Yes",1,0)</f>
        <v>0</v>
      </c>
      <c r="R2739" t="str" cm="1">
        <f t="array" ref="R2739">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739" t="str" cm="1">
        <f t="array" ref="S273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739" t="str">
        <f>TEXT(tbl_analysis_tickets[[#This Row],[created_date]],"mmm-yyyy")</f>
        <v>Oct-2024</v>
      </c>
      <c r="U2739" t="str">
        <f>TEXT(tbl_analysis_tickets[[#This Row],[created_date]],"dddd")</f>
        <v>Saturday</v>
      </c>
      <c r="V2739" cm="1">
        <f t="array" ref="V2739">_xlfn.SWITCH(tbl_analysis_tickets[[#This Row],[priority]],
"Urgent",1,
"High",2,
"Medium",3,
"Low",4
)</f>
        <v>1</v>
      </c>
    </row>
    <row r="2740" spans="1:22" x14ac:dyDescent="0.25">
      <c r="A2740">
        <v>2739</v>
      </c>
      <c r="B2740" s="1">
        <v>45298</v>
      </c>
      <c r="C2740" t="s">
        <v>23</v>
      </c>
      <c r="D2740" t="s">
        <v>11</v>
      </c>
      <c r="E2740">
        <v>218</v>
      </c>
      <c r="F2740">
        <v>11</v>
      </c>
      <c r="G2740">
        <v>6.3</v>
      </c>
      <c r="H2740" t="s">
        <v>18</v>
      </c>
      <c r="I2740" t="s">
        <v>16</v>
      </c>
      <c r="J2740" t="s">
        <v>15</v>
      </c>
      <c r="K2740">
        <f>_xlfn.XLOOKUP(tbl_analysis_tickets[[#This Row],[priority]],tbl_sla[priority],tbl_sla[Resolution SLA Hours])</f>
        <v>72</v>
      </c>
      <c r="L2740">
        <f>_xlfn.XLOOKUP(tbl_analysis_tickets[[#This Row],[priority]],tbl_sla[priority],tbl_sla[First Response SLA Minutes])</f>
        <v>240</v>
      </c>
      <c r="M2740" t="str">
        <f>IF(tbl_analysis_tickets[[#This Row],[resolution_time_hours]]&gt;tbl_analysis_tickets[[#This Row],[Resolution SLA Hours]],"Breached","Within SLA")</f>
        <v>Within SLA</v>
      </c>
      <c r="N2740" t="str">
        <f>IF(tbl_analysis_tickets[[#This Row],[first_response_minutes]]&gt;tbl_analysis_tickets[[#This Row],[First Response SLA Minutes]],"Breached","Within SLA")</f>
        <v>Within SLA</v>
      </c>
      <c r="O2740" t="str" cm="1">
        <f t="array" ref="O2740">_xlfn.IFS(
tbl_analysis_tickets[[#This Row],[agent_experience_years]]&lt;=2,"Junior",
tbl_analysis_tickets[[#This Row],[agent_experience_years]]&lt;=5,"Mid-Level",
tbl_analysis_tickets[[#This Row],[agent_experience_years]]&lt;=8,"Senior",
tbl_analysis_tickets[[#This Row],[agent_experience_years]]&gt;8,"Expert"
)</f>
        <v>Senior</v>
      </c>
      <c r="P2740" cm="1">
        <f t="array" ref="P2740">_xlfn.SWITCH(tbl_analysis_tickets[[#This Row],[customer_satisfaction]],
"Low",1,
"Medium",2,
"High",3
)</f>
        <v>2</v>
      </c>
      <c r="Q2740">
        <f>IF(tbl_analysis_tickets[[#This Row],[reopened]]="Yes",1,0)</f>
        <v>0</v>
      </c>
      <c r="R2740" t="str" cm="1">
        <f t="array" ref="R2740">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740" t="str" cm="1">
        <f t="array" ref="S274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740" t="str">
        <f>TEXT(tbl_analysis_tickets[[#This Row],[created_date]],"mmm-yyyy")</f>
        <v>Jan-2024</v>
      </c>
      <c r="U2740" t="str">
        <f>TEXT(tbl_analysis_tickets[[#This Row],[created_date]],"dddd")</f>
        <v>Sunday</v>
      </c>
      <c r="V2740" cm="1">
        <f t="array" ref="V2740">_xlfn.SWITCH(tbl_analysis_tickets[[#This Row],[priority]],
"Urgent",1,
"High",2,
"Medium",3,
"Low",4
)</f>
        <v>4</v>
      </c>
    </row>
    <row r="2741" spans="1:22" x14ac:dyDescent="0.25">
      <c r="A2741">
        <v>2740</v>
      </c>
      <c r="B2741" s="1">
        <v>45505</v>
      </c>
      <c r="C2741" t="s">
        <v>22</v>
      </c>
      <c r="D2741" t="s">
        <v>20</v>
      </c>
      <c r="E2741">
        <v>178</v>
      </c>
      <c r="F2741">
        <v>57</v>
      </c>
      <c r="G2741">
        <v>2.8</v>
      </c>
      <c r="H2741" t="s">
        <v>12</v>
      </c>
      <c r="I2741" t="s">
        <v>19</v>
      </c>
      <c r="J2741" t="s">
        <v>11</v>
      </c>
      <c r="K2741">
        <f>_xlfn.XLOOKUP(tbl_analysis_tickets[[#This Row],[priority]],tbl_sla[priority],tbl_sla[Resolution SLA Hours])</f>
        <v>24</v>
      </c>
      <c r="L2741">
        <f>_xlfn.XLOOKUP(tbl_analysis_tickets[[#This Row],[priority]],tbl_sla[priority],tbl_sla[First Response SLA Minutes])</f>
        <v>60</v>
      </c>
      <c r="M2741" t="str">
        <f>IF(tbl_analysis_tickets[[#This Row],[resolution_time_hours]]&gt;tbl_analysis_tickets[[#This Row],[Resolution SLA Hours]],"Breached","Within SLA")</f>
        <v>Breached</v>
      </c>
      <c r="N2741" t="str">
        <f>IF(tbl_analysis_tickets[[#This Row],[first_response_minutes]]&gt;tbl_analysis_tickets[[#This Row],[First Response SLA Minutes]],"Breached","Within SLA")</f>
        <v>Breached</v>
      </c>
      <c r="O2741" t="str" cm="1">
        <f t="array" ref="O2741">_xlfn.IFS(
tbl_analysis_tickets[[#This Row],[agent_experience_years]]&lt;=2,"Junior",
tbl_analysis_tickets[[#This Row],[agent_experience_years]]&lt;=5,"Mid-Level",
tbl_analysis_tickets[[#This Row],[agent_experience_years]]&lt;=8,"Senior",
tbl_analysis_tickets[[#This Row],[agent_experience_years]]&gt;8,"Expert"
)</f>
        <v>Mid-Level</v>
      </c>
      <c r="P2741" cm="1">
        <f t="array" ref="P2741">_xlfn.SWITCH(tbl_analysis_tickets[[#This Row],[customer_satisfaction]],
"Low",1,
"Medium",2,
"High",3
)</f>
        <v>1</v>
      </c>
      <c r="Q2741">
        <f>IF(tbl_analysis_tickets[[#This Row],[reopened]]="Yes",1,0)</f>
        <v>1</v>
      </c>
      <c r="R2741" t="str" cm="1">
        <f t="array" ref="R2741">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741" t="str" cm="1">
        <f t="array" ref="S274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741" t="str">
        <f>TEXT(tbl_analysis_tickets[[#This Row],[created_date]],"mmm-yyyy")</f>
        <v>Aug-2024</v>
      </c>
      <c r="U2741" t="str">
        <f>TEXT(tbl_analysis_tickets[[#This Row],[created_date]],"dddd")</f>
        <v>Thursday</v>
      </c>
      <c r="V2741" cm="1">
        <f t="array" ref="V2741">_xlfn.SWITCH(tbl_analysis_tickets[[#This Row],[priority]],
"Urgent",1,
"High",2,
"Medium",3,
"Low",4
)</f>
        <v>2</v>
      </c>
    </row>
    <row r="2742" spans="1:22" x14ac:dyDescent="0.25">
      <c r="A2742">
        <v>2741</v>
      </c>
      <c r="B2742" s="1">
        <v>45538</v>
      </c>
      <c r="C2742" t="s">
        <v>22</v>
      </c>
      <c r="D2742" t="s">
        <v>11</v>
      </c>
      <c r="E2742">
        <v>54</v>
      </c>
      <c r="F2742">
        <v>71</v>
      </c>
      <c r="G2742">
        <v>2.7</v>
      </c>
      <c r="H2742" t="s">
        <v>12</v>
      </c>
      <c r="I2742" t="s">
        <v>13</v>
      </c>
      <c r="J2742" t="s">
        <v>11</v>
      </c>
      <c r="K2742">
        <f>_xlfn.XLOOKUP(tbl_analysis_tickets[[#This Row],[priority]],tbl_sla[priority],tbl_sla[Resolution SLA Hours])</f>
        <v>72</v>
      </c>
      <c r="L2742">
        <f>_xlfn.XLOOKUP(tbl_analysis_tickets[[#This Row],[priority]],tbl_sla[priority],tbl_sla[First Response SLA Minutes])</f>
        <v>240</v>
      </c>
      <c r="M2742" t="str">
        <f>IF(tbl_analysis_tickets[[#This Row],[resolution_time_hours]]&gt;tbl_analysis_tickets[[#This Row],[Resolution SLA Hours]],"Breached","Within SLA")</f>
        <v>Within SLA</v>
      </c>
      <c r="N2742" t="str">
        <f>IF(tbl_analysis_tickets[[#This Row],[first_response_minutes]]&gt;tbl_analysis_tickets[[#This Row],[First Response SLA Minutes]],"Breached","Within SLA")</f>
        <v>Within SLA</v>
      </c>
      <c r="O2742" t="str" cm="1">
        <f t="array" ref="O2742">_xlfn.IFS(
tbl_analysis_tickets[[#This Row],[agent_experience_years]]&lt;=2,"Junior",
tbl_analysis_tickets[[#This Row],[agent_experience_years]]&lt;=5,"Mid-Level",
tbl_analysis_tickets[[#This Row],[agent_experience_years]]&lt;=8,"Senior",
tbl_analysis_tickets[[#This Row],[agent_experience_years]]&gt;8,"Expert"
)</f>
        <v>Mid-Level</v>
      </c>
      <c r="P2742" cm="1">
        <f t="array" ref="P2742">_xlfn.SWITCH(tbl_analysis_tickets[[#This Row],[customer_satisfaction]],
"Low",1,
"Medium",2,
"High",3
)</f>
        <v>1</v>
      </c>
      <c r="Q2742">
        <f>IF(tbl_analysis_tickets[[#This Row],[reopened]]="Yes",1,0)</f>
        <v>1</v>
      </c>
      <c r="R2742" t="str" cm="1">
        <f t="array" ref="R2742">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742" t="str" cm="1">
        <f t="array" ref="S274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742" t="str">
        <f>TEXT(tbl_analysis_tickets[[#This Row],[created_date]],"mmm-yyyy")</f>
        <v>Sep-2024</v>
      </c>
      <c r="U2742" t="str">
        <f>TEXT(tbl_analysis_tickets[[#This Row],[created_date]],"dddd")</f>
        <v>Tuesday</v>
      </c>
      <c r="V2742" cm="1">
        <f t="array" ref="V2742">_xlfn.SWITCH(tbl_analysis_tickets[[#This Row],[priority]],
"Urgent",1,
"High",2,
"Medium",3,
"Low",4
)</f>
        <v>4</v>
      </c>
    </row>
    <row r="2743" spans="1:22" x14ac:dyDescent="0.25">
      <c r="A2743">
        <v>2742</v>
      </c>
      <c r="B2743" s="1">
        <v>45524</v>
      </c>
      <c r="C2743" t="s">
        <v>21</v>
      </c>
      <c r="D2743" t="s">
        <v>11</v>
      </c>
      <c r="E2743">
        <v>11</v>
      </c>
      <c r="F2743">
        <v>39</v>
      </c>
      <c r="G2743">
        <v>8</v>
      </c>
      <c r="H2743" t="s">
        <v>18</v>
      </c>
      <c r="I2743" t="s">
        <v>19</v>
      </c>
      <c r="J2743" t="s">
        <v>20</v>
      </c>
      <c r="K2743">
        <f>_xlfn.XLOOKUP(tbl_analysis_tickets[[#This Row],[priority]],tbl_sla[priority],tbl_sla[Resolution SLA Hours])</f>
        <v>72</v>
      </c>
      <c r="L2743">
        <f>_xlfn.XLOOKUP(tbl_analysis_tickets[[#This Row],[priority]],tbl_sla[priority],tbl_sla[First Response SLA Minutes])</f>
        <v>240</v>
      </c>
      <c r="M2743" t="str">
        <f>IF(tbl_analysis_tickets[[#This Row],[resolution_time_hours]]&gt;tbl_analysis_tickets[[#This Row],[Resolution SLA Hours]],"Breached","Within SLA")</f>
        <v>Within SLA</v>
      </c>
      <c r="N2743" t="str">
        <f>IF(tbl_analysis_tickets[[#This Row],[first_response_minutes]]&gt;tbl_analysis_tickets[[#This Row],[First Response SLA Minutes]],"Breached","Within SLA")</f>
        <v>Within SLA</v>
      </c>
      <c r="O2743" t="str" cm="1">
        <f t="array" ref="O2743">_xlfn.IFS(
tbl_analysis_tickets[[#This Row],[agent_experience_years]]&lt;=2,"Junior",
tbl_analysis_tickets[[#This Row],[agent_experience_years]]&lt;=5,"Mid-Level",
tbl_analysis_tickets[[#This Row],[agent_experience_years]]&lt;=8,"Senior",
tbl_analysis_tickets[[#This Row],[agent_experience_years]]&gt;8,"Expert"
)</f>
        <v>Senior</v>
      </c>
      <c r="P2743" cm="1">
        <f t="array" ref="P2743">_xlfn.SWITCH(tbl_analysis_tickets[[#This Row],[customer_satisfaction]],
"Low",1,
"Medium",2,
"High",3
)</f>
        <v>3</v>
      </c>
      <c r="Q2743">
        <f>IF(tbl_analysis_tickets[[#This Row],[reopened]]="Yes",1,0)</f>
        <v>0</v>
      </c>
      <c r="R2743" t="str" cm="1">
        <f t="array" ref="R2743">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2743" t="str" cm="1">
        <f t="array" ref="S274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743" t="str">
        <f>TEXT(tbl_analysis_tickets[[#This Row],[created_date]],"mmm-yyyy")</f>
        <v>Aug-2024</v>
      </c>
      <c r="U2743" t="str">
        <f>TEXT(tbl_analysis_tickets[[#This Row],[created_date]],"dddd")</f>
        <v>Tuesday</v>
      </c>
      <c r="V2743" cm="1">
        <f t="array" ref="V2743">_xlfn.SWITCH(tbl_analysis_tickets[[#This Row],[priority]],
"Urgent",1,
"High",2,
"Medium",3,
"Low",4
)</f>
        <v>4</v>
      </c>
    </row>
    <row r="2744" spans="1:22" x14ac:dyDescent="0.25">
      <c r="A2744">
        <v>2743</v>
      </c>
      <c r="B2744" s="1">
        <v>45434</v>
      </c>
      <c r="C2744" t="s">
        <v>23</v>
      </c>
      <c r="D2744" t="s">
        <v>15</v>
      </c>
      <c r="E2744">
        <v>179</v>
      </c>
      <c r="F2744">
        <v>57</v>
      </c>
      <c r="G2744">
        <v>9.4</v>
      </c>
      <c r="H2744" t="s">
        <v>12</v>
      </c>
      <c r="I2744" t="s">
        <v>16</v>
      </c>
      <c r="J2744" t="s">
        <v>11</v>
      </c>
      <c r="K2744">
        <f>_xlfn.XLOOKUP(tbl_analysis_tickets[[#This Row],[priority]],tbl_sla[priority],tbl_sla[Resolution SLA Hours])</f>
        <v>48</v>
      </c>
      <c r="L2744">
        <f>_xlfn.XLOOKUP(tbl_analysis_tickets[[#This Row],[priority]],tbl_sla[priority],tbl_sla[First Response SLA Minutes])</f>
        <v>120</v>
      </c>
      <c r="M2744" t="str">
        <f>IF(tbl_analysis_tickets[[#This Row],[resolution_time_hours]]&gt;tbl_analysis_tickets[[#This Row],[Resolution SLA Hours]],"Breached","Within SLA")</f>
        <v>Breached</v>
      </c>
      <c r="N2744" t="str">
        <f>IF(tbl_analysis_tickets[[#This Row],[first_response_minutes]]&gt;tbl_analysis_tickets[[#This Row],[First Response SLA Minutes]],"Breached","Within SLA")</f>
        <v>Breached</v>
      </c>
      <c r="O2744" t="str" cm="1">
        <f t="array" ref="O2744">_xlfn.IFS(
tbl_analysis_tickets[[#This Row],[agent_experience_years]]&lt;=2,"Junior",
tbl_analysis_tickets[[#This Row],[agent_experience_years]]&lt;=5,"Mid-Level",
tbl_analysis_tickets[[#This Row],[agent_experience_years]]&lt;=8,"Senior",
tbl_analysis_tickets[[#This Row],[agent_experience_years]]&gt;8,"Expert"
)</f>
        <v>Expert</v>
      </c>
      <c r="P2744" cm="1">
        <f t="array" ref="P2744">_xlfn.SWITCH(tbl_analysis_tickets[[#This Row],[customer_satisfaction]],
"Low",1,
"Medium",2,
"High",3
)</f>
        <v>1</v>
      </c>
      <c r="Q2744">
        <f>IF(tbl_analysis_tickets[[#This Row],[reopened]]="Yes",1,0)</f>
        <v>1</v>
      </c>
      <c r="R2744" t="str" cm="1">
        <f t="array" ref="R2744">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744" t="str" cm="1">
        <f t="array" ref="S274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744" t="str">
        <f>TEXT(tbl_analysis_tickets[[#This Row],[created_date]],"mmm-yyyy")</f>
        <v>May-2024</v>
      </c>
      <c r="U2744" t="str">
        <f>TEXT(tbl_analysis_tickets[[#This Row],[created_date]],"dddd")</f>
        <v>Wednesday</v>
      </c>
      <c r="V2744" cm="1">
        <f t="array" ref="V2744">_xlfn.SWITCH(tbl_analysis_tickets[[#This Row],[priority]],
"Urgent",1,
"High",2,
"Medium",3,
"Low",4
)</f>
        <v>3</v>
      </c>
    </row>
    <row r="2745" spans="1:22" x14ac:dyDescent="0.25">
      <c r="A2745">
        <v>2744</v>
      </c>
      <c r="B2745" s="1">
        <v>45297</v>
      </c>
      <c r="C2745" t="s">
        <v>21</v>
      </c>
      <c r="D2745" t="s">
        <v>11</v>
      </c>
      <c r="E2745">
        <v>23</v>
      </c>
      <c r="F2745">
        <v>36</v>
      </c>
      <c r="G2745">
        <v>1.7</v>
      </c>
      <c r="H2745" t="s">
        <v>12</v>
      </c>
      <c r="I2745" t="s">
        <v>16</v>
      </c>
      <c r="J2745" t="s">
        <v>15</v>
      </c>
      <c r="K2745">
        <f>_xlfn.XLOOKUP(tbl_analysis_tickets[[#This Row],[priority]],tbl_sla[priority],tbl_sla[Resolution SLA Hours])</f>
        <v>72</v>
      </c>
      <c r="L2745">
        <f>_xlfn.XLOOKUP(tbl_analysis_tickets[[#This Row],[priority]],tbl_sla[priority],tbl_sla[First Response SLA Minutes])</f>
        <v>240</v>
      </c>
      <c r="M2745" t="str">
        <f>IF(tbl_analysis_tickets[[#This Row],[resolution_time_hours]]&gt;tbl_analysis_tickets[[#This Row],[Resolution SLA Hours]],"Breached","Within SLA")</f>
        <v>Within SLA</v>
      </c>
      <c r="N2745" t="str">
        <f>IF(tbl_analysis_tickets[[#This Row],[first_response_minutes]]&gt;tbl_analysis_tickets[[#This Row],[First Response SLA Minutes]],"Breached","Within SLA")</f>
        <v>Within SLA</v>
      </c>
      <c r="O2745" t="str" cm="1">
        <f t="array" ref="O2745">_xlfn.IFS(
tbl_analysis_tickets[[#This Row],[agent_experience_years]]&lt;=2,"Junior",
tbl_analysis_tickets[[#This Row],[agent_experience_years]]&lt;=5,"Mid-Level",
tbl_analysis_tickets[[#This Row],[agent_experience_years]]&lt;=8,"Senior",
tbl_analysis_tickets[[#This Row],[agent_experience_years]]&gt;8,"Expert"
)</f>
        <v>Junior</v>
      </c>
      <c r="P2745" cm="1">
        <f t="array" ref="P2745">_xlfn.SWITCH(tbl_analysis_tickets[[#This Row],[customer_satisfaction]],
"Low",1,
"Medium",2,
"High",3
)</f>
        <v>2</v>
      </c>
      <c r="Q2745">
        <f>IF(tbl_analysis_tickets[[#This Row],[reopened]]="Yes",1,0)</f>
        <v>1</v>
      </c>
      <c r="R2745" t="str" cm="1">
        <f t="array" ref="R2745">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2745" t="str" cm="1">
        <f t="array" ref="S274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745" t="str">
        <f>TEXT(tbl_analysis_tickets[[#This Row],[created_date]],"mmm-yyyy")</f>
        <v>Jan-2024</v>
      </c>
      <c r="U2745" t="str">
        <f>TEXT(tbl_analysis_tickets[[#This Row],[created_date]],"dddd")</f>
        <v>Saturday</v>
      </c>
      <c r="V2745" cm="1">
        <f t="array" ref="V2745">_xlfn.SWITCH(tbl_analysis_tickets[[#This Row],[priority]],
"Urgent",1,
"High",2,
"Medium",3,
"Low",4
)</f>
        <v>4</v>
      </c>
    </row>
    <row r="2746" spans="1:22" x14ac:dyDescent="0.25">
      <c r="A2746">
        <v>2745</v>
      </c>
      <c r="B2746" s="1">
        <v>45650</v>
      </c>
      <c r="C2746" t="s">
        <v>21</v>
      </c>
      <c r="D2746" t="s">
        <v>17</v>
      </c>
      <c r="E2746">
        <v>212</v>
      </c>
      <c r="F2746">
        <v>4</v>
      </c>
      <c r="G2746">
        <v>2.7</v>
      </c>
      <c r="H2746" t="s">
        <v>12</v>
      </c>
      <c r="I2746" t="s">
        <v>19</v>
      </c>
      <c r="J2746" t="s">
        <v>11</v>
      </c>
      <c r="K2746">
        <f>_xlfn.XLOOKUP(tbl_analysis_tickets[[#This Row],[priority]],tbl_sla[priority],tbl_sla[Resolution SLA Hours])</f>
        <v>8</v>
      </c>
      <c r="L2746">
        <f>_xlfn.XLOOKUP(tbl_analysis_tickets[[#This Row],[priority]],tbl_sla[priority],tbl_sla[First Response SLA Minutes])</f>
        <v>30</v>
      </c>
      <c r="M2746" t="str">
        <f>IF(tbl_analysis_tickets[[#This Row],[resolution_time_hours]]&gt;tbl_analysis_tickets[[#This Row],[Resolution SLA Hours]],"Breached","Within SLA")</f>
        <v>Within SLA</v>
      </c>
      <c r="N2746" t="str">
        <f>IF(tbl_analysis_tickets[[#This Row],[first_response_minutes]]&gt;tbl_analysis_tickets[[#This Row],[First Response SLA Minutes]],"Breached","Within SLA")</f>
        <v>Breached</v>
      </c>
      <c r="O2746" t="str" cm="1">
        <f t="array" ref="O2746">_xlfn.IFS(
tbl_analysis_tickets[[#This Row],[agent_experience_years]]&lt;=2,"Junior",
tbl_analysis_tickets[[#This Row],[agent_experience_years]]&lt;=5,"Mid-Level",
tbl_analysis_tickets[[#This Row],[agent_experience_years]]&lt;=8,"Senior",
tbl_analysis_tickets[[#This Row],[agent_experience_years]]&gt;8,"Expert"
)</f>
        <v>Mid-Level</v>
      </c>
      <c r="P2746" cm="1">
        <f t="array" ref="P2746">_xlfn.SWITCH(tbl_analysis_tickets[[#This Row],[customer_satisfaction]],
"Low",1,
"Medium",2,
"High",3
)</f>
        <v>1</v>
      </c>
      <c r="Q2746">
        <f>IF(tbl_analysis_tickets[[#This Row],[reopened]]="Yes",1,0)</f>
        <v>1</v>
      </c>
      <c r="R2746" t="str" cm="1">
        <f t="array" ref="R2746">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746" t="str" cm="1">
        <f t="array" ref="S274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2746" t="str">
        <f>TEXT(tbl_analysis_tickets[[#This Row],[created_date]],"mmm-yyyy")</f>
        <v>Dec-2024</v>
      </c>
      <c r="U2746" t="str">
        <f>TEXT(tbl_analysis_tickets[[#This Row],[created_date]],"dddd")</f>
        <v>Tuesday</v>
      </c>
      <c r="V2746" cm="1">
        <f t="array" ref="V2746">_xlfn.SWITCH(tbl_analysis_tickets[[#This Row],[priority]],
"Urgent",1,
"High",2,
"Medium",3,
"Low",4
)</f>
        <v>1</v>
      </c>
    </row>
    <row r="2747" spans="1:22" x14ac:dyDescent="0.25">
      <c r="A2747">
        <v>2746</v>
      </c>
      <c r="B2747" s="1">
        <v>45420</v>
      </c>
      <c r="C2747" t="s">
        <v>22</v>
      </c>
      <c r="D2747" t="s">
        <v>11</v>
      </c>
      <c r="E2747">
        <v>110</v>
      </c>
      <c r="F2747">
        <v>12</v>
      </c>
      <c r="G2747">
        <v>5.0999999999999996</v>
      </c>
      <c r="H2747" t="s">
        <v>18</v>
      </c>
      <c r="I2747" t="s">
        <v>13</v>
      </c>
      <c r="J2747" t="s">
        <v>15</v>
      </c>
      <c r="K2747">
        <f>_xlfn.XLOOKUP(tbl_analysis_tickets[[#This Row],[priority]],tbl_sla[priority],tbl_sla[Resolution SLA Hours])</f>
        <v>72</v>
      </c>
      <c r="L2747">
        <f>_xlfn.XLOOKUP(tbl_analysis_tickets[[#This Row],[priority]],tbl_sla[priority],tbl_sla[First Response SLA Minutes])</f>
        <v>240</v>
      </c>
      <c r="M2747" t="str">
        <f>IF(tbl_analysis_tickets[[#This Row],[resolution_time_hours]]&gt;tbl_analysis_tickets[[#This Row],[Resolution SLA Hours]],"Breached","Within SLA")</f>
        <v>Within SLA</v>
      </c>
      <c r="N2747" t="str">
        <f>IF(tbl_analysis_tickets[[#This Row],[first_response_minutes]]&gt;tbl_analysis_tickets[[#This Row],[First Response SLA Minutes]],"Breached","Within SLA")</f>
        <v>Within SLA</v>
      </c>
      <c r="O2747" t="str" cm="1">
        <f t="array" ref="O2747">_xlfn.IFS(
tbl_analysis_tickets[[#This Row],[agent_experience_years]]&lt;=2,"Junior",
tbl_analysis_tickets[[#This Row],[agent_experience_years]]&lt;=5,"Mid-Level",
tbl_analysis_tickets[[#This Row],[agent_experience_years]]&lt;=8,"Senior",
tbl_analysis_tickets[[#This Row],[agent_experience_years]]&gt;8,"Expert"
)</f>
        <v>Senior</v>
      </c>
      <c r="P2747" cm="1">
        <f t="array" ref="P2747">_xlfn.SWITCH(tbl_analysis_tickets[[#This Row],[customer_satisfaction]],
"Low",1,
"Medium",2,
"High",3
)</f>
        <v>2</v>
      </c>
      <c r="Q2747">
        <f>IF(tbl_analysis_tickets[[#This Row],[reopened]]="Yes",1,0)</f>
        <v>0</v>
      </c>
      <c r="R2747" t="str" cm="1">
        <f t="array" ref="R2747">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747" t="str" cm="1">
        <f t="array" ref="S274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747" t="str">
        <f>TEXT(tbl_analysis_tickets[[#This Row],[created_date]],"mmm-yyyy")</f>
        <v>May-2024</v>
      </c>
      <c r="U2747" t="str">
        <f>TEXT(tbl_analysis_tickets[[#This Row],[created_date]],"dddd")</f>
        <v>Wednesday</v>
      </c>
      <c r="V2747" cm="1">
        <f t="array" ref="V2747">_xlfn.SWITCH(tbl_analysis_tickets[[#This Row],[priority]],
"Urgent",1,
"High",2,
"Medium",3,
"Low",4
)</f>
        <v>4</v>
      </c>
    </row>
    <row r="2748" spans="1:22" x14ac:dyDescent="0.25">
      <c r="A2748">
        <v>2747</v>
      </c>
      <c r="B2748" s="1">
        <v>45626</v>
      </c>
      <c r="C2748" t="s">
        <v>21</v>
      </c>
      <c r="D2748" t="s">
        <v>11</v>
      </c>
      <c r="E2748">
        <v>183</v>
      </c>
      <c r="F2748">
        <v>48</v>
      </c>
      <c r="G2748">
        <v>7.2</v>
      </c>
      <c r="H2748" t="s">
        <v>18</v>
      </c>
      <c r="I2748" t="s">
        <v>19</v>
      </c>
      <c r="J2748" t="s">
        <v>15</v>
      </c>
      <c r="K2748">
        <f>_xlfn.XLOOKUP(tbl_analysis_tickets[[#This Row],[priority]],tbl_sla[priority],tbl_sla[Resolution SLA Hours])</f>
        <v>72</v>
      </c>
      <c r="L2748">
        <f>_xlfn.XLOOKUP(tbl_analysis_tickets[[#This Row],[priority]],tbl_sla[priority],tbl_sla[First Response SLA Minutes])</f>
        <v>240</v>
      </c>
      <c r="M2748" t="str">
        <f>IF(tbl_analysis_tickets[[#This Row],[resolution_time_hours]]&gt;tbl_analysis_tickets[[#This Row],[Resolution SLA Hours]],"Breached","Within SLA")</f>
        <v>Within SLA</v>
      </c>
      <c r="N2748" t="str">
        <f>IF(tbl_analysis_tickets[[#This Row],[first_response_minutes]]&gt;tbl_analysis_tickets[[#This Row],[First Response SLA Minutes]],"Breached","Within SLA")</f>
        <v>Within SLA</v>
      </c>
      <c r="O2748" t="str" cm="1">
        <f t="array" ref="O2748">_xlfn.IFS(
tbl_analysis_tickets[[#This Row],[agent_experience_years]]&lt;=2,"Junior",
tbl_analysis_tickets[[#This Row],[agent_experience_years]]&lt;=5,"Mid-Level",
tbl_analysis_tickets[[#This Row],[agent_experience_years]]&lt;=8,"Senior",
tbl_analysis_tickets[[#This Row],[agent_experience_years]]&gt;8,"Expert"
)</f>
        <v>Senior</v>
      </c>
      <c r="P2748" cm="1">
        <f t="array" ref="P2748">_xlfn.SWITCH(tbl_analysis_tickets[[#This Row],[customer_satisfaction]],
"Low",1,
"Medium",2,
"High",3
)</f>
        <v>2</v>
      </c>
      <c r="Q2748">
        <f>IF(tbl_analysis_tickets[[#This Row],[reopened]]="Yes",1,0)</f>
        <v>0</v>
      </c>
      <c r="R2748" t="str" cm="1">
        <f t="array" ref="R2748">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748" t="str" cm="1">
        <f t="array" ref="S274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748" t="str">
        <f>TEXT(tbl_analysis_tickets[[#This Row],[created_date]],"mmm-yyyy")</f>
        <v>Nov-2024</v>
      </c>
      <c r="U2748" t="str">
        <f>TEXT(tbl_analysis_tickets[[#This Row],[created_date]],"dddd")</f>
        <v>Saturday</v>
      </c>
      <c r="V2748" cm="1">
        <f t="array" ref="V2748">_xlfn.SWITCH(tbl_analysis_tickets[[#This Row],[priority]],
"Urgent",1,
"High",2,
"Medium",3,
"Low",4
)</f>
        <v>4</v>
      </c>
    </row>
    <row r="2749" spans="1:22" x14ac:dyDescent="0.25">
      <c r="A2749">
        <v>2748</v>
      </c>
      <c r="B2749" s="1">
        <v>45367</v>
      </c>
      <c r="C2749" t="s">
        <v>21</v>
      </c>
      <c r="D2749" t="s">
        <v>15</v>
      </c>
      <c r="E2749">
        <v>44</v>
      </c>
      <c r="F2749">
        <v>56</v>
      </c>
      <c r="G2749">
        <v>0.8</v>
      </c>
      <c r="H2749" t="s">
        <v>12</v>
      </c>
      <c r="I2749" t="s">
        <v>16</v>
      </c>
      <c r="J2749" t="s">
        <v>11</v>
      </c>
      <c r="K2749">
        <f>_xlfn.XLOOKUP(tbl_analysis_tickets[[#This Row],[priority]],tbl_sla[priority],tbl_sla[Resolution SLA Hours])</f>
        <v>48</v>
      </c>
      <c r="L2749">
        <f>_xlfn.XLOOKUP(tbl_analysis_tickets[[#This Row],[priority]],tbl_sla[priority],tbl_sla[First Response SLA Minutes])</f>
        <v>120</v>
      </c>
      <c r="M2749" t="str">
        <f>IF(tbl_analysis_tickets[[#This Row],[resolution_time_hours]]&gt;tbl_analysis_tickets[[#This Row],[Resolution SLA Hours]],"Breached","Within SLA")</f>
        <v>Breached</v>
      </c>
      <c r="N2749" t="str">
        <f>IF(tbl_analysis_tickets[[#This Row],[first_response_minutes]]&gt;tbl_analysis_tickets[[#This Row],[First Response SLA Minutes]],"Breached","Within SLA")</f>
        <v>Within SLA</v>
      </c>
      <c r="O2749" t="str" cm="1">
        <f t="array" ref="O2749">_xlfn.IFS(
tbl_analysis_tickets[[#This Row],[agent_experience_years]]&lt;=2,"Junior",
tbl_analysis_tickets[[#This Row],[agent_experience_years]]&lt;=5,"Mid-Level",
tbl_analysis_tickets[[#This Row],[agent_experience_years]]&lt;=8,"Senior",
tbl_analysis_tickets[[#This Row],[agent_experience_years]]&gt;8,"Expert"
)</f>
        <v>Junior</v>
      </c>
      <c r="P2749" cm="1">
        <f t="array" ref="P2749">_xlfn.SWITCH(tbl_analysis_tickets[[#This Row],[customer_satisfaction]],
"Low",1,
"Medium",2,
"High",3
)</f>
        <v>1</v>
      </c>
      <c r="Q2749">
        <f>IF(tbl_analysis_tickets[[#This Row],[reopened]]="Yes",1,0)</f>
        <v>1</v>
      </c>
      <c r="R2749" t="str" cm="1">
        <f t="array" ref="R2749">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749" t="str" cm="1">
        <f t="array" ref="S274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749" t="str">
        <f>TEXT(tbl_analysis_tickets[[#This Row],[created_date]],"mmm-yyyy")</f>
        <v>Mar-2024</v>
      </c>
      <c r="U2749" t="str">
        <f>TEXT(tbl_analysis_tickets[[#This Row],[created_date]],"dddd")</f>
        <v>Saturday</v>
      </c>
      <c r="V2749" cm="1">
        <f t="array" ref="V2749">_xlfn.SWITCH(tbl_analysis_tickets[[#This Row],[priority]],
"Urgent",1,
"High",2,
"Medium",3,
"Low",4
)</f>
        <v>3</v>
      </c>
    </row>
    <row r="2750" spans="1:22" x14ac:dyDescent="0.25">
      <c r="A2750">
        <v>2749</v>
      </c>
      <c r="B2750" s="1">
        <v>45584</v>
      </c>
      <c r="C2750" t="s">
        <v>21</v>
      </c>
      <c r="D2750" t="s">
        <v>15</v>
      </c>
      <c r="E2750">
        <v>110</v>
      </c>
      <c r="F2750">
        <v>4</v>
      </c>
      <c r="G2750">
        <v>6.4</v>
      </c>
      <c r="H2750" t="s">
        <v>18</v>
      </c>
      <c r="I2750" t="s">
        <v>16</v>
      </c>
      <c r="J2750" t="s">
        <v>20</v>
      </c>
      <c r="K2750">
        <f>_xlfn.XLOOKUP(tbl_analysis_tickets[[#This Row],[priority]],tbl_sla[priority],tbl_sla[Resolution SLA Hours])</f>
        <v>48</v>
      </c>
      <c r="L2750">
        <f>_xlfn.XLOOKUP(tbl_analysis_tickets[[#This Row],[priority]],tbl_sla[priority],tbl_sla[First Response SLA Minutes])</f>
        <v>120</v>
      </c>
      <c r="M2750" t="str">
        <f>IF(tbl_analysis_tickets[[#This Row],[resolution_time_hours]]&gt;tbl_analysis_tickets[[#This Row],[Resolution SLA Hours]],"Breached","Within SLA")</f>
        <v>Within SLA</v>
      </c>
      <c r="N2750" t="str">
        <f>IF(tbl_analysis_tickets[[#This Row],[first_response_minutes]]&gt;tbl_analysis_tickets[[#This Row],[First Response SLA Minutes]],"Breached","Within SLA")</f>
        <v>Within SLA</v>
      </c>
      <c r="O2750" t="str" cm="1">
        <f t="array" ref="O2750">_xlfn.IFS(
tbl_analysis_tickets[[#This Row],[agent_experience_years]]&lt;=2,"Junior",
tbl_analysis_tickets[[#This Row],[agent_experience_years]]&lt;=5,"Mid-Level",
tbl_analysis_tickets[[#This Row],[agent_experience_years]]&lt;=8,"Senior",
tbl_analysis_tickets[[#This Row],[agent_experience_years]]&gt;8,"Expert"
)</f>
        <v>Senior</v>
      </c>
      <c r="P2750" cm="1">
        <f t="array" ref="P2750">_xlfn.SWITCH(tbl_analysis_tickets[[#This Row],[customer_satisfaction]],
"Low",1,
"Medium",2,
"High",3
)</f>
        <v>3</v>
      </c>
      <c r="Q2750">
        <f>IF(tbl_analysis_tickets[[#This Row],[reopened]]="Yes",1,0)</f>
        <v>0</v>
      </c>
      <c r="R2750" t="str" cm="1">
        <f t="array" ref="R2750">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750" t="str" cm="1">
        <f t="array" ref="S275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2750" t="str">
        <f>TEXT(tbl_analysis_tickets[[#This Row],[created_date]],"mmm-yyyy")</f>
        <v>Oct-2024</v>
      </c>
      <c r="U2750" t="str">
        <f>TEXT(tbl_analysis_tickets[[#This Row],[created_date]],"dddd")</f>
        <v>Saturday</v>
      </c>
      <c r="V2750" cm="1">
        <f t="array" ref="V2750">_xlfn.SWITCH(tbl_analysis_tickets[[#This Row],[priority]],
"Urgent",1,
"High",2,
"Medium",3,
"Low",4
)</f>
        <v>3</v>
      </c>
    </row>
    <row r="2751" spans="1:22" x14ac:dyDescent="0.25">
      <c r="A2751">
        <v>2750</v>
      </c>
      <c r="B2751" s="1">
        <v>45505</v>
      </c>
      <c r="C2751" t="s">
        <v>22</v>
      </c>
      <c r="D2751" t="s">
        <v>11</v>
      </c>
      <c r="E2751">
        <v>164</v>
      </c>
      <c r="F2751">
        <v>11</v>
      </c>
      <c r="G2751">
        <v>1.5</v>
      </c>
      <c r="H2751" t="s">
        <v>12</v>
      </c>
      <c r="I2751" t="s">
        <v>19</v>
      </c>
      <c r="J2751" t="s">
        <v>11</v>
      </c>
      <c r="K2751">
        <f>_xlfn.XLOOKUP(tbl_analysis_tickets[[#This Row],[priority]],tbl_sla[priority],tbl_sla[Resolution SLA Hours])</f>
        <v>72</v>
      </c>
      <c r="L2751">
        <f>_xlfn.XLOOKUP(tbl_analysis_tickets[[#This Row],[priority]],tbl_sla[priority],tbl_sla[First Response SLA Minutes])</f>
        <v>240</v>
      </c>
      <c r="M2751" t="str">
        <f>IF(tbl_analysis_tickets[[#This Row],[resolution_time_hours]]&gt;tbl_analysis_tickets[[#This Row],[Resolution SLA Hours]],"Breached","Within SLA")</f>
        <v>Within SLA</v>
      </c>
      <c r="N2751" t="str">
        <f>IF(tbl_analysis_tickets[[#This Row],[first_response_minutes]]&gt;tbl_analysis_tickets[[#This Row],[First Response SLA Minutes]],"Breached","Within SLA")</f>
        <v>Within SLA</v>
      </c>
      <c r="O2751" t="str" cm="1">
        <f t="array" ref="O2751">_xlfn.IFS(
tbl_analysis_tickets[[#This Row],[agent_experience_years]]&lt;=2,"Junior",
tbl_analysis_tickets[[#This Row],[agent_experience_years]]&lt;=5,"Mid-Level",
tbl_analysis_tickets[[#This Row],[agent_experience_years]]&lt;=8,"Senior",
tbl_analysis_tickets[[#This Row],[agent_experience_years]]&gt;8,"Expert"
)</f>
        <v>Junior</v>
      </c>
      <c r="P2751" cm="1">
        <f t="array" ref="P2751">_xlfn.SWITCH(tbl_analysis_tickets[[#This Row],[customer_satisfaction]],
"Low",1,
"Medium",2,
"High",3
)</f>
        <v>1</v>
      </c>
      <c r="Q2751">
        <f>IF(tbl_analysis_tickets[[#This Row],[reopened]]="Yes",1,0)</f>
        <v>1</v>
      </c>
      <c r="R2751" t="str" cm="1">
        <f t="array" ref="R2751">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751" t="str" cm="1">
        <f t="array" ref="S275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751" t="str">
        <f>TEXT(tbl_analysis_tickets[[#This Row],[created_date]],"mmm-yyyy")</f>
        <v>Aug-2024</v>
      </c>
      <c r="U2751" t="str">
        <f>TEXT(tbl_analysis_tickets[[#This Row],[created_date]],"dddd")</f>
        <v>Thursday</v>
      </c>
      <c r="V2751" cm="1">
        <f t="array" ref="V2751">_xlfn.SWITCH(tbl_analysis_tickets[[#This Row],[priority]],
"Urgent",1,
"High",2,
"Medium",3,
"Low",4
)</f>
        <v>4</v>
      </c>
    </row>
    <row r="2752" spans="1:22" x14ac:dyDescent="0.25">
      <c r="A2752">
        <v>2751</v>
      </c>
      <c r="B2752" s="1">
        <v>45323</v>
      </c>
      <c r="C2752" t="s">
        <v>23</v>
      </c>
      <c r="D2752" t="s">
        <v>17</v>
      </c>
      <c r="E2752">
        <v>198</v>
      </c>
      <c r="F2752">
        <v>71</v>
      </c>
      <c r="G2752">
        <v>4.4000000000000004</v>
      </c>
      <c r="H2752" t="s">
        <v>18</v>
      </c>
      <c r="I2752" t="s">
        <v>16</v>
      </c>
      <c r="J2752" t="s">
        <v>11</v>
      </c>
      <c r="K2752">
        <f>_xlfn.XLOOKUP(tbl_analysis_tickets[[#This Row],[priority]],tbl_sla[priority],tbl_sla[Resolution SLA Hours])</f>
        <v>8</v>
      </c>
      <c r="L2752">
        <f>_xlfn.XLOOKUP(tbl_analysis_tickets[[#This Row],[priority]],tbl_sla[priority],tbl_sla[First Response SLA Minutes])</f>
        <v>30</v>
      </c>
      <c r="M2752" t="str">
        <f>IF(tbl_analysis_tickets[[#This Row],[resolution_time_hours]]&gt;tbl_analysis_tickets[[#This Row],[Resolution SLA Hours]],"Breached","Within SLA")</f>
        <v>Breached</v>
      </c>
      <c r="N2752" t="str">
        <f>IF(tbl_analysis_tickets[[#This Row],[first_response_minutes]]&gt;tbl_analysis_tickets[[#This Row],[First Response SLA Minutes]],"Breached","Within SLA")</f>
        <v>Breached</v>
      </c>
      <c r="O2752" t="str" cm="1">
        <f t="array" ref="O2752">_xlfn.IFS(
tbl_analysis_tickets[[#This Row],[agent_experience_years]]&lt;=2,"Junior",
tbl_analysis_tickets[[#This Row],[agent_experience_years]]&lt;=5,"Mid-Level",
tbl_analysis_tickets[[#This Row],[agent_experience_years]]&lt;=8,"Senior",
tbl_analysis_tickets[[#This Row],[agent_experience_years]]&gt;8,"Expert"
)</f>
        <v>Mid-Level</v>
      </c>
      <c r="P2752" cm="1">
        <f t="array" ref="P2752">_xlfn.SWITCH(tbl_analysis_tickets[[#This Row],[customer_satisfaction]],
"Low",1,
"Medium",2,
"High",3
)</f>
        <v>1</v>
      </c>
      <c r="Q2752">
        <f>IF(tbl_analysis_tickets[[#This Row],[reopened]]="Yes",1,0)</f>
        <v>0</v>
      </c>
      <c r="R2752" t="str" cm="1">
        <f t="array" ref="R2752">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752" t="str" cm="1">
        <f t="array" ref="S275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752" t="str">
        <f>TEXT(tbl_analysis_tickets[[#This Row],[created_date]],"mmm-yyyy")</f>
        <v>Feb-2024</v>
      </c>
      <c r="U2752" t="str">
        <f>TEXT(tbl_analysis_tickets[[#This Row],[created_date]],"dddd")</f>
        <v>Thursday</v>
      </c>
      <c r="V2752" cm="1">
        <f t="array" ref="V2752">_xlfn.SWITCH(tbl_analysis_tickets[[#This Row],[priority]],
"Urgent",1,
"High",2,
"Medium",3,
"Low",4
)</f>
        <v>1</v>
      </c>
    </row>
    <row r="2753" spans="1:22" x14ac:dyDescent="0.25">
      <c r="A2753">
        <v>2752</v>
      </c>
      <c r="B2753" s="1">
        <v>45511</v>
      </c>
      <c r="C2753" t="s">
        <v>23</v>
      </c>
      <c r="D2753" t="s">
        <v>17</v>
      </c>
      <c r="E2753">
        <v>213</v>
      </c>
      <c r="F2753">
        <v>67</v>
      </c>
      <c r="G2753">
        <v>4.8</v>
      </c>
      <c r="H2753" t="s">
        <v>12</v>
      </c>
      <c r="I2753" t="s">
        <v>16</v>
      </c>
      <c r="J2753" t="s">
        <v>11</v>
      </c>
      <c r="K2753">
        <f>_xlfn.XLOOKUP(tbl_analysis_tickets[[#This Row],[priority]],tbl_sla[priority],tbl_sla[Resolution SLA Hours])</f>
        <v>8</v>
      </c>
      <c r="L2753">
        <f>_xlfn.XLOOKUP(tbl_analysis_tickets[[#This Row],[priority]],tbl_sla[priority],tbl_sla[First Response SLA Minutes])</f>
        <v>30</v>
      </c>
      <c r="M2753" t="str">
        <f>IF(tbl_analysis_tickets[[#This Row],[resolution_time_hours]]&gt;tbl_analysis_tickets[[#This Row],[Resolution SLA Hours]],"Breached","Within SLA")</f>
        <v>Breached</v>
      </c>
      <c r="N2753" t="str">
        <f>IF(tbl_analysis_tickets[[#This Row],[first_response_minutes]]&gt;tbl_analysis_tickets[[#This Row],[First Response SLA Minutes]],"Breached","Within SLA")</f>
        <v>Breached</v>
      </c>
      <c r="O2753" t="str" cm="1">
        <f t="array" ref="O2753">_xlfn.IFS(
tbl_analysis_tickets[[#This Row],[agent_experience_years]]&lt;=2,"Junior",
tbl_analysis_tickets[[#This Row],[agent_experience_years]]&lt;=5,"Mid-Level",
tbl_analysis_tickets[[#This Row],[agent_experience_years]]&lt;=8,"Senior",
tbl_analysis_tickets[[#This Row],[agent_experience_years]]&gt;8,"Expert"
)</f>
        <v>Mid-Level</v>
      </c>
      <c r="P2753" cm="1">
        <f t="array" ref="P2753">_xlfn.SWITCH(tbl_analysis_tickets[[#This Row],[customer_satisfaction]],
"Low",1,
"Medium",2,
"High",3
)</f>
        <v>1</v>
      </c>
      <c r="Q2753">
        <f>IF(tbl_analysis_tickets[[#This Row],[reopened]]="Yes",1,0)</f>
        <v>1</v>
      </c>
      <c r="R2753" t="str" cm="1">
        <f t="array" ref="R2753">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753" t="str" cm="1">
        <f t="array" ref="S275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753" t="str">
        <f>TEXT(tbl_analysis_tickets[[#This Row],[created_date]],"mmm-yyyy")</f>
        <v>Aug-2024</v>
      </c>
      <c r="U2753" t="str">
        <f>TEXT(tbl_analysis_tickets[[#This Row],[created_date]],"dddd")</f>
        <v>Wednesday</v>
      </c>
      <c r="V2753" cm="1">
        <f t="array" ref="V2753">_xlfn.SWITCH(tbl_analysis_tickets[[#This Row],[priority]],
"Urgent",1,
"High",2,
"Medium",3,
"Low",4
)</f>
        <v>1</v>
      </c>
    </row>
    <row r="2754" spans="1:22" x14ac:dyDescent="0.25">
      <c r="A2754">
        <v>2753</v>
      </c>
      <c r="B2754" s="1">
        <v>45611</v>
      </c>
      <c r="C2754" t="s">
        <v>14</v>
      </c>
      <c r="D2754" t="s">
        <v>20</v>
      </c>
      <c r="E2754">
        <v>161</v>
      </c>
      <c r="F2754">
        <v>52</v>
      </c>
      <c r="G2754">
        <v>7.4</v>
      </c>
      <c r="H2754" t="s">
        <v>12</v>
      </c>
      <c r="I2754" t="s">
        <v>16</v>
      </c>
      <c r="J2754" t="s">
        <v>11</v>
      </c>
      <c r="K2754">
        <f>_xlfn.XLOOKUP(tbl_analysis_tickets[[#This Row],[priority]],tbl_sla[priority],tbl_sla[Resolution SLA Hours])</f>
        <v>24</v>
      </c>
      <c r="L2754">
        <f>_xlfn.XLOOKUP(tbl_analysis_tickets[[#This Row],[priority]],tbl_sla[priority],tbl_sla[First Response SLA Minutes])</f>
        <v>60</v>
      </c>
      <c r="M2754" t="str">
        <f>IF(tbl_analysis_tickets[[#This Row],[resolution_time_hours]]&gt;tbl_analysis_tickets[[#This Row],[Resolution SLA Hours]],"Breached","Within SLA")</f>
        <v>Breached</v>
      </c>
      <c r="N2754" t="str">
        <f>IF(tbl_analysis_tickets[[#This Row],[first_response_minutes]]&gt;tbl_analysis_tickets[[#This Row],[First Response SLA Minutes]],"Breached","Within SLA")</f>
        <v>Breached</v>
      </c>
      <c r="O2754" t="str" cm="1">
        <f t="array" ref="O2754">_xlfn.IFS(
tbl_analysis_tickets[[#This Row],[agent_experience_years]]&lt;=2,"Junior",
tbl_analysis_tickets[[#This Row],[agent_experience_years]]&lt;=5,"Mid-Level",
tbl_analysis_tickets[[#This Row],[agent_experience_years]]&lt;=8,"Senior",
tbl_analysis_tickets[[#This Row],[agent_experience_years]]&gt;8,"Expert"
)</f>
        <v>Senior</v>
      </c>
      <c r="P2754" cm="1">
        <f t="array" ref="P2754">_xlfn.SWITCH(tbl_analysis_tickets[[#This Row],[customer_satisfaction]],
"Low",1,
"Medium",2,
"High",3
)</f>
        <v>1</v>
      </c>
      <c r="Q2754">
        <f>IF(tbl_analysis_tickets[[#This Row],[reopened]]="Yes",1,0)</f>
        <v>1</v>
      </c>
      <c r="R2754" t="str" cm="1">
        <f t="array" ref="R2754">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754" t="str" cm="1">
        <f t="array" ref="S275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754" t="str">
        <f>TEXT(tbl_analysis_tickets[[#This Row],[created_date]],"mmm-yyyy")</f>
        <v>Nov-2024</v>
      </c>
      <c r="U2754" t="str">
        <f>TEXT(tbl_analysis_tickets[[#This Row],[created_date]],"dddd")</f>
        <v>Friday</v>
      </c>
      <c r="V2754" cm="1">
        <f t="array" ref="V2754">_xlfn.SWITCH(tbl_analysis_tickets[[#This Row],[priority]],
"Urgent",1,
"High",2,
"Medium",3,
"Low",4
)</f>
        <v>2</v>
      </c>
    </row>
    <row r="2755" spans="1:22" x14ac:dyDescent="0.25">
      <c r="A2755">
        <v>2754</v>
      </c>
      <c r="B2755" s="1">
        <v>45540</v>
      </c>
      <c r="C2755" t="s">
        <v>23</v>
      </c>
      <c r="D2755" t="s">
        <v>11</v>
      </c>
      <c r="E2755">
        <v>153</v>
      </c>
      <c r="F2755">
        <v>10</v>
      </c>
      <c r="G2755">
        <v>3.2</v>
      </c>
      <c r="H2755" t="s">
        <v>12</v>
      </c>
      <c r="I2755" t="s">
        <v>19</v>
      </c>
      <c r="J2755" t="s">
        <v>11</v>
      </c>
      <c r="K2755">
        <f>_xlfn.XLOOKUP(tbl_analysis_tickets[[#This Row],[priority]],tbl_sla[priority],tbl_sla[Resolution SLA Hours])</f>
        <v>72</v>
      </c>
      <c r="L2755">
        <f>_xlfn.XLOOKUP(tbl_analysis_tickets[[#This Row],[priority]],tbl_sla[priority],tbl_sla[First Response SLA Minutes])</f>
        <v>240</v>
      </c>
      <c r="M2755" t="str">
        <f>IF(tbl_analysis_tickets[[#This Row],[resolution_time_hours]]&gt;tbl_analysis_tickets[[#This Row],[Resolution SLA Hours]],"Breached","Within SLA")</f>
        <v>Within SLA</v>
      </c>
      <c r="N2755" t="str">
        <f>IF(tbl_analysis_tickets[[#This Row],[first_response_minutes]]&gt;tbl_analysis_tickets[[#This Row],[First Response SLA Minutes]],"Breached","Within SLA")</f>
        <v>Within SLA</v>
      </c>
      <c r="O2755" t="str" cm="1">
        <f t="array" ref="O2755">_xlfn.IFS(
tbl_analysis_tickets[[#This Row],[agent_experience_years]]&lt;=2,"Junior",
tbl_analysis_tickets[[#This Row],[agent_experience_years]]&lt;=5,"Mid-Level",
tbl_analysis_tickets[[#This Row],[agent_experience_years]]&lt;=8,"Senior",
tbl_analysis_tickets[[#This Row],[agent_experience_years]]&gt;8,"Expert"
)</f>
        <v>Mid-Level</v>
      </c>
      <c r="P2755" cm="1">
        <f t="array" ref="P2755">_xlfn.SWITCH(tbl_analysis_tickets[[#This Row],[customer_satisfaction]],
"Low",1,
"Medium",2,
"High",3
)</f>
        <v>1</v>
      </c>
      <c r="Q2755">
        <f>IF(tbl_analysis_tickets[[#This Row],[reopened]]="Yes",1,0)</f>
        <v>1</v>
      </c>
      <c r="R2755" t="str" cm="1">
        <f t="array" ref="R2755">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755" t="str" cm="1">
        <f t="array" ref="S275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755" t="str">
        <f>TEXT(tbl_analysis_tickets[[#This Row],[created_date]],"mmm-yyyy")</f>
        <v>Sep-2024</v>
      </c>
      <c r="U2755" t="str">
        <f>TEXT(tbl_analysis_tickets[[#This Row],[created_date]],"dddd")</f>
        <v>Thursday</v>
      </c>
      <c r="V2755" cm="1">
        <f t="array" ref="V2755">_xlfn.SWITCH(tbl_analysis_tickets[[#This Row],[priority]],
"Urgent",1,
"High",2,
"Medium",3,
"Low",4
)</f>
        <v>4</v>
      </c>
    </row>
    <row r="2756" spans="1:22" x14ac:dyDescent="0.25">
      <c r="A2756">
        <v>2755</v>
      </c>
      <c r="B2756" s="1">
        <v>45512</v>
      </c>
      <c r="C2756" t="s">
        <v>10</v>
      </c>
      <c r="D2756" t="s">
        <v>20</v>
      </c>
      <c r="E2756">
        <v>129</v>
      </c>
      <c r="F2756">
        <v>13</v>
      </c>
      <c r="G2756">
        <v>2.8</v>
      </c>
      <c r="H2756" t="s">
        <v>12</v>
      </c>
      <c r="I2756" t="s">
        <v>16</v>
      </c>
      <c r="J2756" t="s">
        <v>11</v>
      </c>
      <c r="K2756">
        <f>_xlfn.XLOOKUP(tbl_analysis_tickets[[#This Row],[priority]],tbl_sla[priority],tbl_sla[Resolution SLA Hours])</f>
        <v>24</v>
      </c>
      <c r="L2756">
        <f>_xlfn.XLOOKUP(tbl_analysis_tickets[[#This Row],[priority]],tbl_sla[priority],tbl_sla[First Response SLA Minutes])</f>
        <v>60</v>
      </c>
      <c r="M2756" t="str">
        <f>IF(tbl_analysis_tickets[[#This Row],[resolution_time_hours]]&gt;tbl_analysis_tickets[[#This Row],[Resolution SLA Hours]],"Breached","Within SLA")</f>
        <v>Within SLA</v>
      </c>
      <c r="N2756" t="str">
        <f>IF(tbl_analysis_tickets[[#This Row],[first_response_minutes]]&gt;tbl_analysis_tickets[[#This Row],[First Response SLA Minutes]],"Breached","Within SLA")</f>
        <v>Breached</v>
      </c>
      <c r="O2756" t="str" cm="1">
        <f t="array" ref="O2756">_xlfn.IFS(
tbl_analysis_tickets[[#This Row],[agent_experience_years]]&lt;=2,"Junior",
tbl_analysis_tickets[[#This Row],[agent_experience_years]]&lt;=5,"Mid-Level",
tbl_analysis_tickets[[#This Row],[agent_experience_years]]&lt;=8,"Senior",
tbl_analysis_tickets[[#This Row],[agent_experience_years]]&gt;8,"Expert"
)</f>
        <v>Mid-Level</v>
      </c>
      <c r="P2756" cm="1">
        <f t="array" ref="P2756">_xlfn.SWITCH(tbl_analysis_tickets[[#This Row],[customer_satisfaction]],
"Low",1,
"Medium",2,
"High",3
)</f>
        <v>1</v>
      </c>
      <c r="Q2756">
        <f>IF(tbl_analysis_tickets[[#This Row],[reopened]]="Yes",1,0)</f>
        <v>1</v>
      </c>
      <c r="R2756" t="str" cm="1">
        <f t="array" ref="R2756">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756" t="str" cm="1">
        <f t="array" ref="S275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756" t="str">
        <f>TEXT(tbl_analysis_tickets[[#This Row],[created_date]],"mmm-yyyy")</f>
        <v>Aug-2024</v>
      </c>
      <c r="U2756" t="str">
        <f>TEXT(tbl_analysis_tickets[[#This Row],[created_date]],"dddd")</f>
        <v>Thursday</v>
      </c>
      <c r="V2756" cm="1">
        <f t="array" ref="V2756">_xlfn.SWITCH(tbl_analysis_tickets[[#This Row],[priority]],
"Urgent",1,
"High",2,
"Medium",3,
"Low",4
)</f>
        <v>2</v>
      </c>
    </row>
    <row r="2757" spans="1:22" x14ac:dyDescent="0.25">
      <c r="A2757">
        <v>2756</v>
      </c>
      <c r="B2757" s="1">
        <v>45514</v>
      </c>
      <c r="C2757" t="s">
        <v>22</v>
      </c>
      <c r="D2757" t="s">
        <v>11</v>
      </c>
      <c r="E2757">
        <v>46</v>
      </c>
      <c r="F2757">
        <v>37</v>
      </c>
      <c r="G2757">
        <v>4.0999999999999996</v>
      </c>
      <c r="H2757" t="s">
        <v>12</v>
      </c>
      <c r="I2757" t="s">
        <v>16</v>
      </c>
      <c r="J2757" t="s">
        <v>11</v>
      </c>
      <c r="K2757">
        <f>_xlfn.XLOOKUP(tbl_analysis_tickets[[#This Row],[priority]],tbl_sla[priority],tbl_sla[Resolution SLA Hours])</f>
        <v>72</v>
      </c>
      <c r="L2757">
        <f>_xlfn.XLOOKUP(tbl_analysis_tickets[[#This Row],[priority]],tbl_sla[priority],tbl_sla[First Response SLA Minutes])</f>
        <v>240</v>
      </c>
      <c r="M2757" t="str">
        <f>IF(tbl_analysis_tickets[[#This Row],[resolution_time_hours]]&gt;tbl_analysis_tickets[[#This Row],[Resolution SLA Hours]],"Breached","Within SLA")</f>
        <v>Within SLA</v>
      </c>
      <c r="N2757" t="str">
        <f>IF(tbl_analysis_tickets[[#This Row],[first_response_minutes]]&gt;tbl_analysis_tickets[[#This Row],[First Response SLA Minutes]],"Breached","Within SLA")</f>
        <v>Within SLA</v>
      </c>
      <c r="O2757" t="str" cm="1">
        <f t="array" ref="O2757">_xlfn.IFS(
tbl_analysis_tickets[[#This Row],[agent_experience_years]]&lt;=2,"Junior",
tbl_analysis_tickets[[#This Row],[agent_experience_years]]&lt;=5,"Mid-Level",
tbl_analysis_tickets[[#This Row],[agent_experience_years]]&lt;=8,"Senior",
tbl_analysis_tickets[[#This Row],[agent_experience_years]]&gt;8,"Expert"
)</f>
        <v>Mid-Level</v>
      </c>
      <c r="P2757" cm="1">
        <f t="array" ref="P2757">_xlfn.SWITCH(tbl_analysis_tickets[[#This Row],[customer_satisfaction]],
"Low",1,
"Medium",2,
"High",3
)</f>
        <v>1</v>
      </c>
      <c r="Q2757">
        <f>IF(tbl_analysis_tickets[[#This Row],[reopened]]="Yes",1,0)</f>
        <v>1</v>
      </c>
      <c r="R2757" t="str" cm="1">
        <f t="array" ref="R2757">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757" t="str" cm="1">
        <f t="array" ref="S275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757" t="str">
        <f>TEXT(tbl_analysis_tickets[[#This Row],[created_date]],"mmm-yyyy")</f>
        <v>Aug-2024</v>
      </c>
      <c r="U2757" t="str">
        <f>TEXT(tbl_analysis_tickets[[#This Row],[created_date]],"dddd")</f>
        <v>Saturday</v>
      </c>
      <c r="V2757" cm="1">
        <f t="array" ref="V2757">_xlfn.SWITCH(tbl_analysis_tickets[[#This Row],[priority]],
"Urgent",1,
"High",2,
"Medium",3,
"Low",4
)</f>
        <v>4</v>
      </c>
    </row>
    <row r="2758" spans="1:22" x14ac:dyDescent="0.25">
      <c r="A2758">
        <v>2757</v>
      </c>
      <c r="B2758" s="1">
        <v>45342</v>
      </c>
      <c r="C2758" t="s">
        <v>14</v>
      </c>
      <c r="D2758" t="s">
        <v>15</v>
      </c>
      <c r="E2758">
        <v>18</v>
      </c>
      <c r="F2758">
        <v>14</v>
      </c>
      <c r="G2758">
        <v>6.3</v>
      </c>
      <c r="H2758" t="s">
        <v>12</v>
      </c>
      <c r="I2758" t="s">
        <v>16</v>
      </c>
      <c r="J2758" t="s">
        <v>15</v>
      </c>
      <c r="K2758">
        <f>_xlfn.XLOOKUP(tbl_analysis_tickets[[#This Row],[priority]],tbl_sla[priority],tbl_sla[Resolution SLA Hours])</f>
        <v>48</v>
      </c>
      <c r="L2758">
        <f>_xlfn.XLOOKUP(tbl_analysis_tickets[[#This Row],[priority]],tbl_sla[priority],tbl_sla[First Response SLA Minutes])</f>
        <v>120</v>
      </c>
      <c r="M2758" t="str">
        <f>IF(tbl_analysis_tickets[[#This Row],[resolution_time_hours]]&gt;tbl_analysis_tickets[[#This Row],[Resolution SLA Hours]],"Breached","Within SLA")</f>
        <v>Within SLA</v>
      </c>
      <c r="N2758" t="str">
        <f>IF(tbl_analysis_tickets[[#This Row],[first_response_minutes]]&gt;tbl_analysis_tickets[[#This Row],[First Response SLA Minutes]],"Breached","Within SLA")</f>
        <v>Within SLA</v>
      </c>
      <c r="O2758" t="str" cm="1">
        <f t="array" ref="O2758">_xlfn.IFS(
tbl_analysis_tickets[[#This Row],[agent_experience_years]]&lt;=2,"Junior",
tbl_analysis_tickets[[#This Row],[agent_experience_years]]&lt;=5,"Mid-Level",
tbl_analysis_tickets[[#This Row],[agent_experience_years]]&lt;=8,"Senior",
tbl_analysis_tickets[[#This Row],[agent_experience_years]]&gt;8,"Expert"
)</f>
        <v>Senior</v>
      </c>
      <c r="P2758" cm="1">
        <f t="array" ref="P2758">_xlfn.SWITCH(tbl_analysis_tickets[[#This Row],[customer_satisfaction]],
"Low",1,
"Medium",2,
"High",3
)</f>
        <v>2</v>
      </c>
      <c r="Q2758">
        <f>IF(tbl_analysis_tickets[[#This Row],[reopened]]="Yes",1,0)</f>
        <v>1</v>
      </c>
      <c r="R2758" t="str" cm="1">
        <f t="array" ref="R2758">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2758" t="str" cm="1">
        <f t="array" ref="S275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758" t="str">
        <f>TEXT(tbl_analysis_tickets[[#This Row],[created_date]],"mmm-yyyy")</f>
        <v>Feb-2024</v>
      </c>
      <c r="U2758" t="str">
        <f>TEXT(tbl_analysis_tickets[[#This Row],[created_date]],"dddd")</f>
        <v>Tuesday</v>
      </c>
      <c r="V2758" cm="1">
        <f t="array" ref="V2758">_xlfn.SWITCH(tbl_analysis_tickets[[#This Row],[priority]],
"Urgent",1,
"High",2,
"Medium",3,
"Low",4
)</f>
        <v>3</v>
      </c>
    </row>
    <row r="2759" spans="1:22" x14ac:dyDescent="0.25">
      <c r="A2759">
        <v>2758</v>
      </c>
      <c r="B2759" s="1">
        <v>45573</v>
      </c>
      <c r="C2759" t="s">
        <v>22</v>
      </c>
      <c r="D2759" t="s">
        <v>20</v>
      </c>
      <c r="E2759">
        <v>213</v>
      </c>
      <c r="F2759">
        <v>43</v>
      </c>
      <c r="G2759">
        <v>1.8</v>
      </c>
      <c r="H2759" t="s">
        <v>12</v>
      </c>
      <c r="I2759" t="s">
        <v>19</v>
      </c>
      <c r="J2759" t="s">
        <v>11</v>
      </c>
      <c r="K2759">
        <f>_xlfn.XLOOKUP(tbl_analysis_tickets[[#This Row],[priority]],tbl_sla[priority],tbl_sla[Resolution SLA Hours])</f>
        <v>24</v>
      </c>
      <c r="L2759">
        <f>_xlfn.XLOOKUP(tbl_analysis_tickets[[#This Row],[priority]],tbl_sla[priority],tbl_sla[First Response SLA Minutes])</f>
        <v>60</v>
      </c>
      <c r="M2759" t="str">
        <f>IF(tbl_analysis_tickets[[#This Row],[resolution_time_hours]]&gt;tbl_analysis_tickets[[#This Row],[Resolution SLA Hours]],"Breached","Within SLA")</f>
        <v>Breached</v>
      </c>
      <c r="N2759" t="str">
        <f>IF(tbl_analysis_tickets[[#This Row],[first_response_minutes]]&gt;tbl_analysis_tickets[[#This Row],[First Response SLA Minutes]],"Breached","Within SLA")</f>
        <v>Breached</v>
      </c>
      <c r="O2759" t="str" cm="1">
        <f t="array" ref="O2759">_xlfn.IFS(
tbl_analysis_tickets[[#This Row],[agent_experience_years]]&lt;=2,"Junior",
tbl_analysis_tickets[[#This Row],[agent_experience_years]]&lt;=5,"Mid-Level",
tbl_analysis_tickets[[#This Row],[agent_experience_years]]&lt;=8,"Senior",
tbl_analysis_tickets[[#This Row],[agent_experience_years]]&gt;8,"Expert"
)</f>
        <v>Junior</v>
      </c>
      <c r="P2759" cm="1">
        <f t="array" ref="P2759">_xlfn.SWITCH(tbl_analysis_tickets[[#This Row],[customer_satisfaction]],
"Low",1,
"Medium",2,
"High",3
)</f>
        <v>1</v>
      </c>
      <c r="Q2759">
        <f>IF(tbl_analysis_tickets[[#This Row],[reopened]]="Yes",1,0)</f>
        <v>1</v>
      </c>
      <c r="R2759" t="str" cm="1">
        <f t="array" ref="R2759">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759" t="str" cm="1">
        <f t="array" ref="S275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759" t="str">
        <f>TEXT(tbl_analysis_tickets[[#This Row],[created_date]],"mmm-yyyy")</f>
        <v>Oct-2024</v>
      </c>
      <c r="U2759" t="str">
        <f>TEXT(tbl_analysis_tickets[[#This Row],[created_date]],"dddd")</f>
        <v>Tuesday</v>
      </c>
      <c r="V2759" cm="1">
        <f t="array" ref="V2759">_xlfn.SWITCH(tbl_analysis_tickets[[#This Row],[priority]],
"Urgent",1,
"High",2,
"Medium",3,
"Low",4
)</f>
        <v>2</v>
      </c>
    </row>
    <row r="2760" spans="1:22" x14ac:dyDescent="0.25">
      <c r="A2760">
        <v>2759</v>
      </c>
      <c r="B2760" s="1">
        <v>45656</v>
      </c>
      <c r="C2760" t="s">
        <v>21</v>
      </c>
      <c r="D2760" t="s">
        <v>17</v>
      </c>
      <c r="E2760">
        <v>132</v>
      </c>
      <c r="F2760">
        <v>5</v>
      </c>
      <c r="G2760">
        <v>9.5</v>
      </c>
      <c r="H2760" t="s">
        <v>18</v>
      </c>
      <c r="I2760" t="s">
        <v>19</v>
      </c>
      <c r="J2760" t="s">
        <v>15</v>
      </c>
      <c r="K2760">
        <f>_xlfn.XLOOKUP(tbl_analysis_tickets[[#This Row],[priority]],tbl_sla[priority],tbl_sla[Resolution SLA Hours])</f>
        <v>8</v>
      </c>
      <c r="L2760">
        <f>_xlfn.XLOOKUP(tbl_analysis_tickets[[#This Row],[priority]],tbl_sla[priority],tbl_sla[First Response SLA Minutes])</f>
        <v>30</v>
      </c>
      <c r="M2760" t="str">
        <f>IF(tbl_analysis_tickets[[#This Row],[resolution_time_hours]]&gt;tbl_analysis_tickets[[#This Row],[Resolution SLA Hours]],"Breached","Within SLA")</f>
        <v>Within SLA</v>
      </c>
      <c r="N2760" t="str">
        <f>IF(tbl_analysis_tickets[[#This Row],[first_response_minutes]]&gt;tbl_analysis_tickets[[#This Row],[First Response SLA Minutes]],"Breached","Within SLA")</f>
        <v>Breached</v>
      </c>
      <c r="O2760" t="str" cm="1">
        <f t="array" ref="O2760">_xlfn.IFS(
tbl_analysis_tickets[[#This Row],[agent_experience_years]]&lt;=2,"Junior",
tbl_analysis_tickets[[#This Row],[agent_experience_years]]&lt;=5,"Mid-Level",
tbl_analysis_tickets[[#This Row],[agent_experience_years]]&lt;=8,"Senior",
tbl_analysis_tickets[[#This Row],[agent_experience_years]]&gt;8,"Expert"
)</f>
        <v>Expert</v>
      </c>
      <c r="P2760" cm="1">
        <f t="array" ref="P2760">_xlfn.SWITCH(tbl_analysis_tickets[[#This Row],[customer_satisfaction]],
"Low",1,
"Medium",2,
"High",3
)</f>
        <v>2</v>
      </c>
      <c r="Q2760">
        <f>IF(tbl_analysis_tickets[[#This Row],[reopened]]="Yes",1,0)</f>
        <v>0</v>
      </c>
      <c r="R2760" t="str" cm="1">
        <f t="array" ref="R2760">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760" t="str" cm="1">
        <f t="array" ref="S276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Same Day</v>
      </c>
      <c r="T2760" t="str">
        <f>TEXT(tbl_analysis_tickets[[#This Row],[created_date]],"mmm-yyyy")</f>
        <v>Dec-2024</v>
      </c>
      <c r="U2760" t="str">
        <f>TEXT(tbl_analysis_tickets[[#This Row],[created_date]],"dddd")</f>
        <v>Monday</v>
      </c>
      <c r="V2760" cm="1">
        <f t="array" ref="V2760">_xlfn.SWITCH(tbl_analysis_tickets[[#This Row],[priority]],
"Urgent",1,
"High",2,
"Medium",3,
"Low",4
)</f>
        <v>1</v>
      </c>
    </row>
    <row r="2761" spans="1:22" x14ac:dyDescent="0.25">
      <c r="A2761">
        <v>2760</v>
      </c>
      <c r="B2761" s="1">
        <v>45411</v>
      </c>
      <c r="C2761" t="s">
        <v>14</v>
      </c>
      <c r="D2761" t="s">
        <v>15</v>
      </c>
      <c r="E2761">
        <v>42</v>
      </c>
      <c r="F2761">
        <v>22</v>
      </c>
      <c r="G2761">
        <v>6</v>
      </c>
      <c r="H2761" t="s">
        <v>12</v>
      </c>
      <c r="I2761" t="s">
        <v>19</v>
      </c>
      <c r="J2761" t="s">
        <v>11</v>
      </c>
      <c r="K2761">
        <f>_xlfn.XLOOKUP(tbl_analysis_tickets[[#This Row],[priority]],tbl_sla[priority],tbl_sla[Resolution SLA Hours])</f>
        <v>48</v>
      </c>
      <c r="L2761">
        <f>_xlfn.XLOOKUP(tbl_analysis_tickets[[#This Row],[priority]],tbl_sla[priority],tbl_sla[First Response SLA Minutes])</f>
        <v>120</v>
      </c>
      <c r="M2761" t="str">
        <f>IF(tbl_analysis_tickets[[#This Row],[resolution_time_hours]]&gt;tbl_analysis_tickets[[#This Row],[Resolution SLA Hours]],"Breached","Within SLA")</f>
        <v>Within SLA</v>
      </c>
      <c r="N2761" t="str">
        <f>IF(tbl_analysis_tickets[[#This Row],[first_response_minutes]]&gt;tbl_analysis_tickets[[#This Row],[First Response SLA Minutes]],"Breached","Within SLA")</f>
        <v>Within SLA</v>
      </c>
      <c r="O2761" t="str" cm="1">
        <f t="array" ref="O2761">_xlfn.IFS(
tbl_analysis_tickets[[#This Row],[agent_experience_years]]&lt;=2,"Junior",
tbl_analysis_tickets[[#This Row],[agent_experience_years]]&lt;=5,"Mid-Level",
tbl_analysis_tickets[[#This Row],[agent_experience_years]]&lt;=8,"Senior",
tbl_analysis_tickets[[#This Row],[agent_experience_years]]&gt;8,"Expert"
)</f>
        <v>Senior</v>
      </c>
      <c r="P2761" cm="1">
        <f t="array" ref="P2761">_xlfn.SWITCH(tbl_analysis_tickets[[#This Row],[customer_satisfaction]],
"Low",1,
"Medium",2,
"High",3
)</f>
        <v>1</v>
      </c>
      <c r="Q2761">
        <f>IF(tbl_analysis_tickets[[#This Row],[reopened]]="Yes",1,0)</f>
        <v>1</v>
      </c>
      <c r="R2761" t="str" cm="1">
        <f t="array" ref="R2761">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761" t="str" cm="1">
        <f t="array" ref="S276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761" t="str">
        <f>TEXT(tbl_analysis_tickets[[#This Row],[created_date]],"mmm-yyyy")</f>
        <v>Apr-2024</v>
      </c>
      <c r="U2761" t="str">
        <f>TEXT(tbl_analysis_tickets[[#This Row],[created_date]],"dddd")</f>
        <v>Monday</v>
      </c>
      <c r="V2761" cm="1">
        <f t="array" ref="V2761">_xlfn.SWITCH(tbl_analysis_tickets[[#This Row],[priority]],
"Urgent",1,
"High",2,
"Medium",3,
"Low",4
)</f>
        <v>3</v>
      </c>
    </row>
    <row r="2762" spans="1:22" x14ac:dyDescent="0.25">
      <c r="A2762">
        <v>2761</v>
      </c>
      <c r="B2762" s="1">
        <v>45412</v>
      </c>
      <c r="C2762" t="s">
        <v>23</v>
      </c>
      <c r="D2762" t="s">
        <v>11</v>
      </c>
      <c r="E2762">
        <v>10</v>
      </c>
      <c r="F2762">
        <v>48</v>
      </c>
      <c r="G2762">
        <v>4.9000000000000004</v>
      </c>
      <c r="H2762" t="s">
        <v>18</v>
      </c>
      <c r="I2762" t="s">
        <v>13</v>
      </c>
      <c r="J2762" t="s">
        <v>15</v>
      </c>
      <c r="K2762">
        <f>_xlfn.XLOOKUP(tbl_analysis_tickets[[#This Row],[priority]],tbl_sla[priority],tbl_sla[Resolution SLA Hours])</f>
        <v>72</v>
      </c>
      <c r="L2762">
        <f>_xlfn.XLOOKUP(tbl_analysis_tickets[[#This Row],[priority]],tbl_sla[priority],tbl_sla[First Response SLA Minutes])</f>
        <v>240</v>
      </c>
      <c r="M2762" t="str">
        <f>IF(tbl_analysis_tickets[[#This Row],[resolution_time_hours]]&gt;tbl_analysis_tickets[[#This Row],[Resolution SLA Hours]],"Breached","Within SLA")</f>
        <v>Within SLA</v>
      </c>
      <c r="N2762" t="str">
        <f>IF(tbl_analysis_tickets[[#This Row],[first_response_minutes]]&gt;tbl_analysis_tickets[[#This Row],[First Response SLA Minutes]],"Breached","Within SLA")</f>
        <v>Within SLA</v>
      </c>
      <c r="O2762" t="str" cm="1">
        <f t="array" ref="O2762">_xlfn.IFS(
tbl_analysis_tickets[[#This Row],[agent_experience_years]]&lt;=2,"Junior",
tbl_analysis_tickets[[#This Row],[agent_experience_years]]&lt;=5,"Mid-Level",
tbl_analysis_tickets[[#This Row],[agent_experience_years]]&lt;=8,"Senior",
tbl_analysis_tickets[[#This Row],[agent_experience_years]]&gt;8,"Expert"
)</f>
        <v>Mid-Level</v>
      </c>
      <c r="P2762" cm="1">
        <f t="array" ref="P2762">_xlfn.SWITCH(tbl_analysis_tickets[[#This Row],[customer_satisfaction]],
"Low",1,
"Medium",2,
"High",3
)</f>
        <v>2</v>
      </c>
      <c r="Q2762">
        <f>IF(tbl_analysis_tickets[[#This Row],[reopened]]="Yes",1,0)</f>
        <v>0</v>
      </c>
      <c r="R2762" t="str" cm="1">
        <f t="array" ref="R2762">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2762" t="str" cm="1">
        <f t="array" ref="S276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762" t="str">
        <f>TEXT(tbl_analysis_tickets[[#This Row],[created_date]],"mmm-yyyy")</f>
        <v>Apr-2024</v>
      </c>
      <c r="U2762" t="str">
        <f>TEXT(tbl_analysis_tickets[[#This Row],[created_date]],"dddd")</f>
        <v>Tuesday</v>
      </c>
      <c r="V2762" cm="1">
        <f t="array" ref="V2762">_xlfn.SWITCH(tbl_analysis_tickets[[#This Row],[priority]],
"Urgent",1,
"High",2,
"Medium",3,
"Low",4
)</f>
        <v>4</v>
      </c>
    </row>
    <row r="2763" spans="1:22" x14ac:dyDescent="0.25">
      <c r="A2763">
        <v>2762</v>
      </c>
      <c r="B2763" s="1">
        <v>45570</v>
      </c>
      <c r="C2763" t="s">
        <v>22</v>
      </c>
      <c r="D2763" t="s">
        <v>15</v>
      </c>
      <c r="E2763">
        <v>90</v>
      </c>
      <c r="F2763">
        <v>47</v>
      </c>
      <c r="G2763">
        <v>8.1</v>
      </c>
      <c r="H2763" t="s">
        <v>12</v>
      </c>
      <c r="I2763" t="s">
        <v>13</v>
      </c>
      <c r="J2763" t="s">
        <v>11</v>
      </c>
      <c r="K2763">
        <f>_xlfn.XLOOKUP(tbl_analysis_tickets[[#This Row],[priority]],tbl_sla[priority],tbl_sla[Resolution SLA Hours])</f>
        <v>48</v>
      </c>
      <c r="L2763">
        <f>_xlfn.XLOOKUP(tbl_analysis_tickets[[#This Row],[priority]],tbl_sla[priority],tbl_sla[First Response SLA Minutes])</f>
        <v>120</v>
      </c>
      <c r="M2763" t="str">
        <f>IF(tbl_analysis_tickets[[#This Row],[resolution_time_hours]]&gt;tbl_analysis_tickets[[#This Row],[Resolution SLA Hours]],"Breached","Within SLA")</f>
        <v>Within SLA</v>
      </c>
      <c r="N2763" t="str">
        <f>IF(tbl_analysis_tickets[[#This Row],[first_response_minutes]]&gt;tbl_analysis_tickets[[#This Row],[First Response SLA Minutes]],"Breached","Within SLA")</f>
        <v>Within SLA</v>
      </c>
      <c r="O2763" t="str" cm="1">
        <f t="array" ref="O2763">_xlfn.IFS(
tbl_analysis_tickets[[#This Row],[agent_experience_years]]&lt;=2,"Junior",
tbl_analysis_tickets[[#This Row],[agent_experience_years]]&lt;=5,"Mid-Level",
tbl_analysis_tickets[[#This Row],[agent_experience_years]]&lt;=8,"Senior",
tbl_analysis_tickets[[#This Row],[agent_experience_years]]&gt;8,"Expert"
)</f>
        <v>Expert</v>
      </c>
      <c r="P2763" cm="1">
        <f t="array" ref="P2763">_xlfn.SWITCH(tbl_analysis_tickets[[#This Row],[customer_satisfaction]],
"Low",1,
"Medium",2,
"High",3
)</f>
        <v>1</v>
      </c>
      <c r="Q2763">
        <f>IF(tbl_analysis_tickets[[#This Row],[reopened]]="Yes",1,0)</f>
        <v>1</v>
      </c>
      <c r="R2763" t="str" cm="1">
        <f t="array" ref="R2763">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763" t="str" cm="1">
        <f t="array" ref="S276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763" t="str">
        <f>TEXT(tbl_analysis_tickets[[#This Row],[created_date]],"mmm-yyyy")</f>
        <v>Oct-2024</v>
      </c>
      <c r="U2763" t="str">
        <f>TEXT(tbl_analysis_tickets[[#This Row],[created_date]],"dddd")</f>
        <v>Saturday</v>
      </c>
      <c r="V2763" cm="1">
        <f t="array" ref="V2763">_xlfn.SWITCH(tbl_analysis_tickets[[#This Row],[priority]],
"Urgent",1,
"High",2,
"Medium",3,
"Low",4
)</f>
        <v>3</v>
      </c>
    </row>
    <row r="2764" spans="1:22" x14ac:dyDescent="0.25">
      <c r="A2764">
        <v>2763</v>
      </c>
      <c r="B2764" s="1">
        <v>45446</v>
      </c>
      <c r="C2764" t="s">
        <v>14</v>
      </c>
      <c r="D2764" t="s">
        <v>20</v>
      </c>
      <c r="E2764">
        <v>220</v>
      </c>
      <c r="F2764">
        <v>66</v>
      </c>
      <c r="G2764">
        <v>6.4</v>
      </c>
      <c r="H2764" t="s">
        <v>18</v>
      </c>
      <c r="I2764" t="s">
        <v>19</v>
      </c>
      <c r="J2764" t="s">
        <v>11</v>
      </c>
      <c r="K2764">
        <f>_xlfn.XLOOKUP(tbl_analysis_tickets[[#This Row],[priority]],tbl_sla[priority],tbl_sla[Resolution SLA Hours])</f>
        <v>24</v>
      </c>
      <c r="L2764">
        <f>_xlfn.XLOOKUP(tbl_analysis_tickets[[#This Row],[priority]],tbl_sla[priority],tbl_sla[First Response SLA Minutes])</f>
        <v>60</v>
      </c>
      <c r="M2764" t="str">
        <f>IF(tbl_analysis_tickets[[#This Row],[resolution_time_hours]]&gt;tbl_analysis_tickets[[#This Row],[Resolution SLA Hours]],"Breached","Within SLA")</f>
        <v>Breached</v>
      </c>
      <c r="N2764" t="str">
        <f>IF(tbl_analysis_tickets[[#This Row],[first_response_minutes]]&gt;tbl_analysis_tickets[[#This Row],[First Response SLA Minutes]],"Breached","Within SLA")</f>
        <v>Breached</v>
      </c>
      <c r="O2764" t="str" cm="1">
        <f t="array" ref="O2764">_xlfn.IFS(
tbl_analysis_tickets[[#This Row],[agent_experience_years]]&lt;=2,"Junior",
tbl_analysis_tickets[[#This Row],[agent_experience_years]]&lt;=5,"Mid-Level",
tbl_analysis_tickets[[#This Row],[agent_experience_years]]&lt;=8,"Senior",
tbl_analysis_tickets[[#This Row],[agent_experience_years]]&gt;8,"Expert"
)</f>
        <v>Senior</v>
      </c>
      <c r="P2764" cm="1">
        <f t="array" ref="P2764">_xlfn.SWITCH(tbl_analysis_tickets[[#This Row],[customer_satisfaction]],
"Low",1,
"Medium",2,
"High",3
)</f>
        <v>1</v>
      </c>
      <c r="Q2764">
        <f>IF(tbl_analysis_tickets[[#This Row],[reopened]]="Yes",1,0)</f>
        <v>0</v>
      </c>
      <c r="R2764" t="str" cm="1">
        <f t="array" ref="R2764">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764" t="str" cm="1">
        <f t="array" ref="S276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764" t="str">
        <f>TEXT(tbl_analysis_tickets[[#This Row],[created_date]],"mmm-yyyy")</f>
        <v>Jun-2024</v>
      </c>
      <c r="U2764" t="str">
        <f>TEXT(tbl_analysis_tickets[[#This Row],[created_date]],"dddd")</f>
        <v>Monday</v>
      </c>
      <c r="V2764" cm="1">
        <f t="array" ref="V2764">_xlfn.SWITCH(tbl_analysis_tickets[[#This Row],[priority]],
"Urgent",1,
"High",2,
"Medium",3,
"Low",4
)</f>
        <v>2</v>
      </c>
    </row>
    <row r="2765" spans="1:22" x14ac:dyDescent="0.25">
      <c r="A2765">
        <v>2764</v>
      </c>
      <c r="B2765" s="1">
        <v>45569</v>
      </c>
      <c r="C2765" t="s">
        <v>21</v>
      </c>
      <c r="D2765" t="s">
        <v>15</v>
      </c>
      <c r="E2765">
        <v>153</v>
      </c>
      <c r="F2765">
        <v>61</v>
      </c>
      <c r="G2765">
        <v>3.6</v>
      </c>
      <c r="H2765" t="s">
        <v>12</v>
      </c>
      <c r="I2765" t="s">
        <v>16</v>
      </c>
      <c r="J2765" t="s">
        <v>11</v>
      </c>
      <c r="K2765">
        <f>_xlfn.XLOOKUP(tbl_analysis_tickets[[#This Row],[priority]],tbl_sla[priority],tbl_sla[Resolution SLA Hours])</f>
        <v>48</v>
      </c>
      <c r="L2765">
        <f>_xlfn.XLOOKUP(tbl_analysis_tickets[[#This Row],[priority]],tbl_sla[priority],tbl_sla[First Response SLA Minutes])</f>
        <v>120</v>
      </c>
      <c r="M2765" t="str">
        <f>IF(tbl_analysis_tickets[[#This Row],[resolution_time_hours]]&gt;tbl_analysis_tickets[[#This Row],[Resolution SLA Hours]],"Breached","Within SLA")</f>
        <v>Breached</v>
      </c>
      <c r="N2765" t="str">
        <f>IF(tbl_analysis_tickets[[#This Row],[first_response_minutes]]&gt;tbl_analysis_tickets[[#This Row],[First Response SLA Minutes]],"Breached","Within SLA")</f>
        <v>Breached</v>
      </c>
      <c r="O2765" t="str" cm="1">
        <f t="array" ref="O2765">_xlfn.IFS(
tbl_analysis_tickets[[#This Row],[agent_experience_years]]&lt;=2,"Junior",
tbl_analysis_tickets[[#This Row],[agent_experience_years]]&lt;=5,"Mid-Level",
tbl_analysis_tickets[[#This Row],[agent_experience_years]]&lt;=8,"Senior",
tbl_analysis_tickets[[#This Row],[agent_experience_years]]&gt;8,"Expert"
)</f>
        <v>Mid-Level</v>
      </c>
      <c r="P2765" cm="1">
        <f t="array" ref="P2765">_xlfn.SWITCH(tbl_analysis_tickets[[#This Row],[customer_satisfaction]],
"Low",1,
"Medium",2,
"High",3
)</f>
        <v>1</v>
      </c>
      <c r="Q2765">
        <f>IF(tbl_analysis_tickets[[#This Row],[reopened]]="Yes",1,0)</f>
        <v>1</v>
      </c>
      <c r="R2765" t="str" cm="1">
        <f t="array" ref="R2765">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765" t="str" cm="1">
        <f t="array" ref="S276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765" t="str">
        <f>TEXT(tbl_analysis_tickets[[#This Row],[created_date]],"mmm-yyyy")</f>
        <v>Oct-2024</v>
      </c>
      <c r="U2765" t="str">
        <f>TEXT(tbl_analysis_tickets[[#This Row],[created_date]],"dddd")</f>
        <v>Friday</v>
      </c>
      <c r="V2765" cm="1">
        <f t="array" ref="V2765">_xlfn.SWITCH(tbl_analysis_tickets[[#This Row],[priority]],
"Urgent",1,
"High",2,
"Medium",3,
"Low",4
)</f>
        <v>3</v>
      </c>
    </row>
    <row r="2766" spans="1:22" x14ac:dyDescent="0.25">
      <c r="A2766">
        <v>2765</v>
      </c>
      <c r="B2766" s="1">
        <v>45480</v>
      </c>
      <c r="C2766" t="s">
        <v>10</v>
      </c>
      <c r="D2766" t="s">
        <v>20</v>
      </c>
      <c r="E2766">
        <v>151</v>
      </c>
      <c r="F2766">
        <v>11</v>
      </c>
      <c r="G2766">
        <v>1.7</v>
      </c>
      <c r="H2766" t="s">
        <v>18</v>
      </c>
      <c r="I2766" t="s">
        <v>13</v>
      </c>
      <c r="J2766" t="s">
        <v>11</v>
      </c>
      <c r="K2766">
        <f>_xlfn.XLOOKUP(tbl_analysis_tickets[[#This Row],[priority]],tbl_sla[priority],tbl_sla[Resolution SLA Hours])</f>
        <v>24</v>
      </c>
      <c r="L2766">
        <f>_xlfn.XLOOKUP(tbl_analysis_tickets[[#This Row],[priority]],tbl_sla[priority],tbl_sla[First Response SLA Minutes])</f>
        <v>60</v>
      </c>
      <c r="M2766" t="str">
        <f>IF(tbl_analysis_tickets[[#This Row],[resolution_time_hours]]&gt;tbl_analysis_tickets[[#This Row],[Resolution SLA Hours]],"Breached","Within SLA")</f>
        <v>Within SLA</v>
      </c>
      <c r="N2766" t="str">
        <f>IF(tbl_analysis_tickets[[#This Row],[first_response_minutes]]&gt;tbl_analysis_tickets[[#This Row],[First Response SLA Minutes]],"Breached","Within SLA")</f>
        <v>Breached</v>
      </c>
      <c r="O2766" t="str" cm="1">
        <f t="array" ref="O2766">_xlfn.IFS(
tbl_analysis_tickets[[#This Row],[agent_experience_years]]&lt;=2,"Junior",
tbl_analysis_tickets[[#This Row],[agent_experience_years]]&lt;=5,"Mid-Level",
tbl_analysis_tickets[[#This Row],[agent_experience_years]]&lt;=8,"Senior",
tbl_analysis_tickets[[#This Row],[agent_experience_years]]&gt;8,"Expert"
)</f>
        <v>Junior</v>
      </c>
      <c r="P2766" cm="1">
        <f t="array" ref="P2766">_xlfn.SWITCH(tbl_analysis_tickets[[#This Row],[customer_satisfaction]],
"Low",1,
"Medium",2,
"High",3
)</f>
        <v>1</v>
      </c>
      <c r="Q2766">
        <f>IF(tbl_analysis_tickets[[#This Row],[reopened]]="Yes",1,0)</f>
        <v>0</v>
      </c>
      <c r="R2766" t="str" cm="1">
        <f t="array" ref="R2766">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766" t="str" cm="1">
        <f t="array" ref="S276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766" t="str">
        <f>TEXT(tbl_analysis_tickets[[#This Row],[created_date]],"mmm-yyyy")</f>
        <v>Jul-2024</v>
      </c>
      <c r="U2766" t="str">
        <f>TEXT(tbl_analysis_tickets[[#This Row],[created_date]],"dddd")</f>
        <v>Sunday</v>
      </c>
      <c r="V2766" cm="1">
        <f t="array" ref="V2766">_xlfn.SWITCH(tbl_analysis_tickets[[#This Row],[priority]],
"Urgent",1,
"High",2,
"Medium",3,
"Low",4
)</f>
        <v>2</v>
      </c>
    </row>
    <row r="2767" spans="1:22" x14ac:dyDescent="0.25">
      <c r="A2767">
        <v>2766</v>
      </c>
      <c r="B2767" s="1">
        <v>45368</v>
      </c>
      <c r="C2767" t="s">
        <v>22</v>
      </c>
      <c r="D2767" t="s">
        <v>17</v>
      </c>
      <c r="E2767">
        <v>240</v>
      </c>
      <c r="F2767">
        <v>18</v>
      </c>
      <c r="G2767">
        <v>3.7</v>
      </c>
      <c r="H2767" t="s">
        <v>18</v>
      </c>
      <c r="I2767" t="s">
        <v>13</v>
      </c>
      <c r="J2767" t="s">
        <v>11</v>
      </c>
      <c r="K2767">
        <f>_xlfn.XLOOKUP(tbl_analysis_tickets[[#This Row],[priority]],tbl_sla[priority],tbl_sla[Resolution SLA Hours])</f>
        <v>8</v>
      </c>
      <c r="L2767">
        <f>_xlfn.XLOOKUP(tbl_analysis_tickets[[#This Row],[priority]],tbl_sla[priority],tbl_sla[First Response SLA Minutes])</f>
        <v>30</v>
      </c>
      <c r="M2767" t="str">
        <f>IF(tbl_analysis_tickets[[#This Row],[resolution_time_hours]]&gt;tbl_analysis_tickets[[#This Row],[Resolution SLA Hours]],"Breached","Within SLA")</f>
        <v>Breached</v>
      </c>
      <c r="N2767" t="str">
        <f>IF(tbl_analysis_tickets[[#This Row],[first_response_minutes]]&gt;tbl_analysis_tickets[[#This Row],[First Response SLA Minutes]],"Breached","Within SLA")</f>
        <v>Breached</v>
      </c>
      <c r="O2767" t="str" cm="1">
        <f t="array" ref="O2767">_xlfn.IFS(
tbl_analysis_tickets[[#This Row],[agent_experience_years]]&lt;=2,"Junior",
tbl_analysis_tickets[[#This Row],[agent_experience_years]]&lt;=5,"Mid-Level",
tbl_analysis_tickets[[#This Row],[agent_experience_years]]&lt;=8,"Senior",
tbl_analysis_tickets[[#This Row],[agent_experience_years]]&gt;8,"Expert"
)</f>
        <v>Mid-Level</v>
      </c>
      <c r="P2767" cm="1">
        <f t="array" ref="P2767">_xlfn.SWITCH(tbl_analysis_tickets[[#This Row],[customer_satisfaction]],
"Low",1,
"Medium",2,
"High",3
)</f>
        <v>1</v>
      </c>
      <c r="Q2767">
        <f>IF(tbl_analysis_tickets[[#This Row],[reopened]]="Yes",1,0)</f>
        <v>0</v>
      </c>
      <c r="R2767" t="str" cm="1">
        <f t="array" ref="R2767">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767" t="str" cm="1">
        <f t="array" ref="S276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767" t="str">
        <f>TEXT(tbl_analysis_tickets[[#This Row],[created_date]],"mmm-yyyy")</f>
        <v>Mar-2024</v>
      </c>
      <c r="U2767" t="str">
        <f>TEXT(tbl_analysis_tickets[[#This Row],[created_date]],"dddd")</f>
        <v>Sunday</v>
      </c>
      <c r="V2767" cm="1">
        <f t="array" ref="V2767">_xlfn.SWITCH(tbl_analysis_tickets[[#This Row],[priority]],
"Urgent",1,
"High",2,
"Medium",3,
"Low",4
)</f>
        <v>1</v>
      </c>
    </row>
    <row r="2768" spans="1:22" x14ac:dyDescent="0.25">
      <c r="A2768">
        <v>2767</v>
      </c>
      <c r="B2768" s="1">
        <v>45463</v>
      </c>
      <c r="C2768" t="s">
        <v>10</v>
      </c>
      <c r="D2768" t="s">
        <v>17</v>
      </c>
      <c r="E2768">
        <v>144</v>
      </c>
      <c r="F2768">
        <v>55</v>
      </c>
      <c r="G2768">
        <v>4.2</v>
      </c>
      <c r="H2768" t="s">
        <v>12</v>
      </c>
      <c r="I2768" t="s">
        <v>19</v>
      </c>
      <c r="J2768" t="s">
        <v>11</v>
      </c>
      <c r="K2768">
        <f>_xlfn.XLOOKUP(tbl_analysis_tickets[[#This Row],[priority]],tbl_sla[priority],tbl_sla[Resolution SLA Hours])</f>
        <v>8</v>
      </c>
      <c r="L2768">
        <f>_xlfn.XLOOKUP(tbl_analysis_tickets[[#This Row],[priority]],tbl_sla[priority],tbl_sla[First Response SLA Minutes])</f>
        <v>30</v>
      </c>
      <c r="M2768" t="str">
        <f>IF(tbl_analysis_tickets[[#This Row],[resolution_time_hours]]&gt;tbl_analysis_tickets[[#This Row],[Resolution SLA Hours]],"Breached","Within SLA")</f>
        <v>Breached</v>
      </c>
      <c r="N2768" t="str">
        <f>IF(tbl_analysis_tickets[[#This Row],[first_response_minutes]]&gt;tbl_analysis_tickets[[#This Row],[First Response SLA Minutes]],"Breached","Within SLA")</f>
        <v>Breached</v>
      </c>
      <c r="O2768" t="str" cm="1">
        <f t="array" ref="O2768">_xlfn.IFS(
tbl_analysis_tickets[[#This Row],[agent_experience_years]]&lt;=2,"Junior",
tbl_analysis_tickets[[#This Row],[agent_experience_years]]&lt;=5,"Mid-Level",
tbl_analysis_tickets[[#This Row],[agent_experience_years]]&lt;=8,"Senior",
tbl_analysis_tickets[[#This Row],[agent_experience_years]]&gt;8,"Expert"
)</f>
        <v>Mid-Level</v>
      </c>
      <c r="P2768" cm="1">
        <f t="array" ref="P2768">_xlfn.SWITCH(tbl_analysis_tickets[[#This Row],[customer_satisfaction]],
"Low",1,
"Medium",2,
"High",3
)</f>
        <v>1</v>
      </c>
      <c r="Q2768">
        <f>IF(tbl_analysis_tickets[[#This Row],[reopened]]="Yes",1,0)</f>
        <v>1</v>
      </c>
      <c r="R2768" t="str" cm="1">
        <f t="array" ref="R2768">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768" t="str" cm="1">
        <f t="array" ref="S276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768" t="str">
        <f>TEXT(tbl_analysis_tickets[[#This Row],[created_date]],"mmm-yyyy")</f>
        <v>Jun-2024</v>
      </c>
      <c r="U2768" t="str">
        <f>TEXT(tbl_analysis_tickets[[#This Row],[created_date]],"dddd")</f>
        <v>Thursday</v>
      </c>
      <c r="V2768" cm="1">
        <f t="array" ref="V2768">_xlfn.SWITCH(tbl_analysis_tickets[[#This Row],[priority]],
"Urgent",1,
"High",2,
"Medium",3,
"Low",4
)</f>
        <v>1</v>
      </c>
    </row>
    <row r="2769" spans="1:22" x14ac:dyDescent="0.25">
      <c r="A2769">
        <v>2768</v>
      </c>
      <c r="B2769" s="1">
        <v>45472</v>
      </c>
      <c r="C2769" t="s">
        <v>10</v>
      </c>
      <c r="D2769" t="s">
        <v>11</v>
      </c>
      <c r="E2769">
        <v>110</v>
      </c>
      <c r="F2769">
        <v>20</v>
      </c>
      <c r="G2769">
        <v>3.1</v>
      </c>
      <c r="H2769" t="s">
        <v>12</v>
      </c>
      <c r="I2769" t="s">
        <v>19</v>
      </c>
      <c r="J2769" t="s">
        <v>11</v>
      </c>
      <c r="K2769">
        <f>_xlfn.XLOOKUP(tbl_analysis_tickets[[#This Row],[priority]],tbl_sla[priority],tbl_sla[Resolution SLA Hours])</f>
        <v>72</v>
      </c>
      <c r="L2769">
        <f>_xlfn.XLOOKUP(tbl_analysis_tickets[[#This Row],[priority]],tbl_sla[priority],tbl_sla[First Response SLA Minutes])</f>
        <v>240</v>
      </c>
      <c r="M2769" t="str">
        <f>IF(tbl_analysis_tickets[[#This Row],[resolution_time_hours]]&gt;tbl_analysis_tickets[[#This Row],[Resolution SLA Hours]],"Breached","Within SLA")</f>
        <v>Within SLA</v>
      </c>
      <c r="N2769" t="str">
        <f>IF(tbl_analysis_tickets[[#This Row],[first_response_minutes]]&gt;tbl_analysis_tickets[[#This Row],[First Response SLA Minutes]],"Breached","Within SLA")</f>
        <v>Within SLA</v>
      </c>
      <c r="O2769" t="str" cm="1">
        <f t="array" ref="O2769">_xlfn.IFS(
tbl_analysis_tickets[[#This Row],[agent_experience_years]]&lt;=2,"Junior",
tbl_analysis_tickets[[#This Row],[agent_experience_years]]&lt;=5,"Mid-Level",
tbl_analysis_tickets[[#This Row],[agent_experience_years]]&lt;=8,"Senior",
tbl_analysis_tickets[[#This Row],[agent_experience_years]]&gt;8,"Expert"
)</f>
        <v>Mid-Level</v>
      </c>
      <c r="P2769" cm="1">
        <f t="array" ref="P2769">_xlfn.SWITCH(tbl_analysis_tickets[[#This Row],[customer_satisfaction]],
"Low",1,
"Medium",2,
"High",3
)</f>
        <v>1</v>
      </c>
      <c r="Q2769">
        <f>IF(tbl_analysis_tickets[[#This Row],[reopened]]="Yes",1,0)</f>
        <v>1</v>
      </c>
      <c r="R2769" t="str" cm="1">
        <f t="array" ref="R2769">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769" t="str" cm="1">
        <f t="array" ref="S276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769" t="str">
        <f>TEXT(tbl_analysis_tickets[[#This Row],[created_date]],"mmm-yyyy")</f>
        <v>Jun-2024</v>
      </c>
      <c r="U2769" t="str">
        <f>TEXT(tbl_analysis_tickets[[#This Row],[created_date]],"dddd")</f>
        <v>Saturday</v>
      </c>
      <c r="V2769" cm="1">
        <f t="array" ref="V2769">_xlfn.SWITCH(tbl_analysis_tickets[[#This Row],[priority]],
"Urgent",1,
"High",2,
"Medium",3,
"Low",4
)</f>
        <v>4</v>
      </c>
    </row>
    <row r="2770" spans="1:22" x14ac:dyDescent="0.25">
      <c r="A2770">
        <v>2769</v>
      </c>
      <c r="B2770" s="1">
        <v>45379</v>
      </c>
      <c r="C2770" t="s">
        <v>21</v>
      </c>
      <c r="D2770" t="s">
        <v>11</v>
      </c>
      <c r="E2770">
        <v>47</v>
      </c>
      <c r="F2770">
        <v>61</v>
      </c>
      <c r="G2770">
        <v>8.8000000000000007</v>
      </c>
      <c r="H2770" t="s">
        <v>18</v>
      </c>
      <c r="I2770" t="s">
        <v>13</v>
      </c>
      <c r="J2770" t="s">
        <v>15</v>
      </c>
      <c r="K2770">
        <f>_xlfn.XLOOKUP(tbl_analysis_tickets[[#This Row],[priority]],tbl_sla[priority],tbl_sla[Resolution SLA Hours])</f>
        <v>72</v>
      </c>
      <c r="L2770">
        <f>_xlfn.XLOOKUP(tbl_analysis_tickets[[#This Row],[priority]],tbl_sla[priority],tbl_sla[First Response SLA Minutes])</f>
        <v>240</v>
      </c>
      <c r="M2770" t="str">
        <f>IF(tbl_analysis_tickets[[#This Row],[resolution_time_hours]]&gt;tbl_analysis_tickets[[#This Row],[Resolution SLA Hours]],"Breached","Within SLA")</f>
        <v>Within SLA</v>
      </c>
      <c r="N2770" t="str">
        <f>IF(tbl_analysis_tickets[[#This Row],[first_response_minutes]]&gt;tbl_analysis_tickets[[#This Row],[First Response SLA Minutes]],"Breached","Within SLA")</f>
        <v>Within SLA</v>
      </c>
      <c r="O2770" t="str" cm="1">
        <f t="array" ref="O2770">_xlfn.IFS(
tbl_analysis_tickets[[#This Row],[agent_experience_years]]&lt;=2,"Junior",
tbl_analysis_tickets[[#This Row],[agent_experience_years]]&lt;=5,"Mid-Level",
tbl_analysis_tickets[[#This Row],[agent_experience_years]]&lt;=8,"Senior",
tbl_analysis_tickets[[#This Row],[agent_experience_years]]&gt;8,"Expert"
)</f>
        <v>Expert</v>
      </c>
      <c r="P2770" cm="1">
        <f t="array" ref="P2770">_xlfn.SWITCH(tbl_analysis_tickets[[#This Row],[customer_satisfaction]],
"Low",1,
"Medium",2,
"High",3
)</f>
        <v>2</v>
      </c>
      <c r="Q2770">
        <f>IF(tbl_analysis_tickets[[#This Row],[reopened]]="Yes",1,0)</f>
        <v>0</v>
      </c>
      <c r="R2770" t="str" cm="1">
        <f t="array" ref="R2770">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770" t="str" cm="1">
        <f t="array" ref="S277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770" t="str">
        <f>TEXT(tbl_analysis_tickets[[#This Row],[created_date]],"mmm-yyyy")</f>
        <v>Mar-2024</v>
      </c>
      <c r="U2770" t="str">
        <f>TEXT(tbl_analysis_tickets[[#This Row],[created_date]],"dddd")</f>
        <v>Thursday</v>
      </c>
      <c r="V2770" cm="1">
        <f t="array" ref="V2770">_xlfn.SWITCH(tbl_analysis_tickets[[#This Row],[priority]],
"Urgent",1,
"High",2,
"Medium",3,
"Low",4
)</f>
        <v>4</v>
      </c>
    </row>
    <row r="2771" spans="1:22" x14ac:dyDescent="0.25">
      <c r="A2771">
        <v>2770</v>
      </c>
      <c r="B2771" s="1">
        <v>45416</v>
      </c>
      <c r="C2771" t="s">
        <v>14</v>
      </c>
      <c r="D2771" t="s">
        <v>17</v>
      </c>
      <c r="E2771">
        <v>46</v>
      </c>
      <c r="F2771">
        <v>37</v>
      </c>
      <c r="G2771">
        <v>6.6</v>
      </c>
      <c r="H2771" t="s">
        <v>12</v>
      </c>
      <c r="I2771" t="s">
        <v>13</v>
      </c>
      <c r="J2771" t="s">
        <v>11</v>
      </c>
      <c r="K2771">
        <f>_xlfn.XLOOKUP(tbl_analysis_tickets[[#This Row],[priority]],tbl_sla[priority],tbl_sla[Resolution SLA Hours])</f>
        <v>8</v>
      </c>
      <c r="L2771">
        <f>_xlfn.XLOOKUP(tbl_analysis_tickets[[#This Row],[priority]],tbl_sla[priority],tbl_sla[First Response SLA Minutes])</f>
        <v>30</v>
      </c>
      <c r="M2771" t="str">
        <f>IF(tbl_analysis_tickets[[#This Row],[resolution_time_hours]]&gt;tbl_analysis_tickets[[#This Row],[Resolution SLA Hours]],"Breached","Within SLA")</f>
        <v>Breached</v>
      </c>
      <c r="N2771" t="str">
        <f>IF(tbl_analysis_tickets[[#This Row],[first_response_minutes]]&gt;tbl_analysis_tickets[[#This Row],[First Response SLA Minutes]],"Breached","Within SLA")</f>
        <v>Breached</v>
      </c>
      <c r="O2771" t="str" cm="1">
        <f t="array" ref="O2771">_xlfn.IFS(
tbl_analysis_tickets[[#This Row],[agent_experience_years]]&lt;=2,"Junior",
tbl_analysis_tickets[[#This Row],[agent_experience_years]]&lt;=5,"Mid-Level",
tbl_analysis_tickets[[#This Row],[agent_experience_years]]&lt;=8,"Senior",
tbl_analysis_tickets[[#This Row],[agent_experience_years]]&gt;8,"Expert"
)</f>
        <v>Senior</v>
      </c>
      <c r="P2771" cm="1">
        <f t="array" ref="P2771">_xlfn.SWITCH(tbl_analysis_tickets[[#This Row],[customer_satisfaction]],
"Low",1,
"Medium",2,
"High",3
)</f>
        <v>1</v>
      </c>
      <c r="Q2771">
        <f>IF(tbl_analysis_tickets[[#This Row],[reopened]]="Yes",1,0)</f>
        <v>1</v>
      </c>
      <c r="R2771" t="str" cm="1">
        <f t="array" ref="R2771">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771" t="str" cm="1">
        <f t="array" ref="S277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771" t="str">
        <f>TEXT(tbl_analysis_tickets[[#This Row],[created_date]],"mmm-yyyy")</f>
        <v>May-2024</v>
      </c>
      <c r="U2771" t="str">
        <f>TEXT(tbl_analysis_tickets[[#This Row],[created_date]],"dddd")</f>
        <v>Saturday</v>
      </c>
      <c r="V2771" cm="1">
        <f t="array" ref="V2771">_xlfn.SWITCH(tbl_analysis_tickets[[#This Row],[priority]],
"Urgent",1,
"High",2,
"Medium",3,
"Low",4
)</f>
        <v>1</v>
      </c>
    </row>
    <row r="2772" spans="1:22" x14ac:dyDescent="0.25">
      <c r="A2772">
        <v>2771</v>
      </c>
      <c r="B2772" s="1">
        <v>45575</v>
      </c>
      <c r="C2772" t="s">
        <v>21</v>
      </c>
      <c r="D2772" t="s">
        <v>15</v>
      </c>
      <c r="E2772">
        <v>182</v>
      </c>
      <c r="F2772">
        <v>10</v>
      </c>
      <c r="G2772">
        <v>8.6</v>
      </c>
      <c r="H2772" t="s">
        <v>12</v>
      </c>
      <c r="I2772" t="s">
        <v>16</v>
      </c>
      <c r="J2772" t="s">
        <v>11</v>
      </c>
      <c r="K2772">
        <f>_xlfn.XLOOKUP(tbl_analysis_tickets[[#This Row],[priority]],tbl_sla[priority],tbl_sla[Resolution SLA Hours])</f>
        <v>48</v>
      </c>
      <c r="L2772">
        <f>_xlfn.XLOOKUP(tbl_analysis_tickets[[#This Row],[priority]],tbl_sla[priority],tbl_sla[First Response SLA Minutes])</f>
        <v>120</v>
      </c>
      <c r="M2772" t="str">
        <f>IF(tbl_analysis_tickets[[#This Row],[resolution_time_hours]]&gt;tbl_analysis_tickets[[#This Row],[Resolution SLA Hours]],"Breached","Within SLA")</f>
        <v>Within SLA</v>
      </c>
      <c r="N2772" t="str">
        <f>IF(tbl_analysis_tickets[[#This Row],[first_response_minutes]]&gt;tbl_analysis_tickets[[#This Row],[First Response SLA Minutes]],"Breached","Within SLA")</f>
        <v>Breached</v>
      </c>
      <c r="O2772" t="str" cm="1">
        <f t="array" ref="O2772">_xlfn.IFS(
tbl_analysis_tickets[[#This Row],[agent_experience_years]]&lt;=2,"Junior",
tbl_analysis_tickets[[#This Row],[agent_experience_years]]&lt;=5,"Mid-Level",
tbl_analysis_tickets[[#This Row],[agent_experience_years]]&lt;=8,"Senior",
tbl_analysis_tickets[[#This Row],[agent_experience_years]]&gt;8,"Expert"
)</f>
        <v>Expert</v>
      </c>
      <c r="P2772" cm="1">
        <f t="array" ref="P2772">_xlfn.SWITCH(tbl_analysis_tickets[[#This Row],[customer_satisfaction]],
"Low",1,
"Medium",2,
"High",3
)</f>
        <v>1</v>
      </c>
      <c r="Q2772">
        <f>IF(tbl_analysis_tickets[[#This Row],[reopened]]="Yes",1,0)</f>
        <v>1</v>
      </c>
      <c r="R2772" t="str" cm="1">
        <f t="array" ref="R2772">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772" t="str" cm="1">
        <f t="array" ref="S277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772" t="str">
        <f>TEXT(tbl_analysis_tickets[[#This Row],[created_date]],"mmm-yyyy")</f>
        <v>Oct-2024</v>
      </c>
      <c r="U2772" t="str">
        <f>TEXT(tbl_analysis_tickets[[#This Row],[created_date]],"dddd")</f>
        <v>Thursday</v>
      </c>
      <c r="V2772" cm="1">
        <f t="array" ref="V2772">_xlfn.SWITCH(tbl_analysis_tickets[[#This Row],[priority]],
"Urgent",1,
"High",2,
"Medium",3,
"Low",4
)</f>
        <v>3</v>
      </c>
    </row>
    <row r="2773" spans="1:22" x14ac:dyDescent="0.25">
      <c r="A2773">
        <v>2772</v>
      </c>
      <c r="B2773" s="1">
        <v>45303</v>
      </c>
      <c r="C2773" t="s">
        <v>23</v>
      </c>
      <c r="D2773" t="s">
        <v>15</v>
      </c>
      <c r="E2773">
        <v>195</v>
      </c>
      <c r="F2773">
        <v>39</v>
      </c>
      <c r="G2773">
        <v>9.1999999999999993</v>
      </c>
      <c r="H2773" t="s">
        <v>12</v>
      </c>
      <c r="I2773" t="s">
        <v>19</v>
      </c>
      <c r="J2773" t="s">
        <v>11</v>
      </c>
      <c r="K2773">
        <f>_xlfn.XLOOKUP(tbl_analysis_tickets[[#This Row],[priority]],tbl_sla[priority],tbl_sla[Resolution SLA Hours])</f>
        <v>48</v>
      </c>
      <c r="L2773">
        <f>_xlfn.XLOOKUP(tbl_analysis_tickets[[#This Row],[priority]],tbl_sla[priority],tbl_sla[First Response SLA Minutes])</f>
        <v>120</v>
      </c>
      <c r="M2773" t="str">
        <f>IF(tbl_analysis_tickets[[#This Row],[resolution_time_hours]]&gt;tbl_analysis_tickets[[#This Row],[Resolution SLA Hours]],"Breached","Within SLA")</f>
        <v>Within SLA</v>
      </c>
      <c r="N2773" t="str">
        <f>IF(tbl_analysis_tickets[[#This Row],[first_response_minutes]]&gt;tbl_analysis_tickets[[#This Row],[First Response SLA Minutes]],"Breached","Within SLA")</f>
        <v>Breached</v>
      </c>
      <c r="O2773" t="str" cm="1">
        <f t="array" ref="O2773">_xlfn.IFS(
tbl_analysis_tickets[[#This Row],[agent_experience_years]]&lt;=2,"Junior",
tbl_analysis_tickets[[#This Row],[agent_experience_years]]&lt;=5,"Mid-Level",
tbl_analysis_tickets[[#This Row],[agent_experience_years]]&lt;=8,"Senior",
tbl_analysis_tickets[[#This Row],[agent_experience_years]]&gt;8,"Expert"
)</f>
        <v>Expert</v>
      </c>
      <c r="P2773" cm="1">
        <f t="array" ref="P2773">_xlfn.SWITCH(tbl_analysis_tickets[[#This Row],[customer_satisfaction]],
"Low",1,
"Medium",2,
"High",3
)</f>
        <v>1</v>
      </c>
      <c r="Q2773">
        <f>IF(tbl_analysis_tickets[[#This Row],[reopened]]="Yes",1,0)</f>
        <v>1</v>
      </c>
      <c r="R2773" t="str" cm="1">
        <f t="array" ref="R2773">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773" t="str" cm="1">
        <f t="array" ref="S277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773" t="str">
        <f>TEXT(tbl_analysis_tickets[[#This Row],[created_date]],"mmm-yyyy")</f>
        <v>Jan-2024</v>
      </c>
      <c r="U2773" t="str">
        <f>TEXT(tbl_analysis_tickets[[#This Row],[created_date]],"dddd")</f>
        <v>Friday</v>
      </c>
      <c r="V2773" cm="1">
        <f t="array" ref="V2773">_xlfn.SWITCH(tbl_analysis_tickets[[#This Row],[priority]],
"Urgent",1,
"High",2,
"Medium",3,
"Low",4
)</f>
        <v>3</v>
      </c>
    </row>
    <row r="2774" spans="1:22" x14ac:dyDescent="0.25">
      <c r="A2774">
        <v>2773</v>
      </c>
      <c r="B2774" s="1">
        <v>45538</v>
      </c>
      <c r="C2774" t="s">
        <v>22</v>
      </c>
      <c r="D2774" t="s">
        <v>20</v>
      </c>
      <c r="E2774">
        <v>18</v>
      </c>
      <c r="F2774">
        <v>38</v>
      </c>
      <c r="G2774">
        <v>3.7</v>
      </c>
      <c r="H2774" t="s">
        <v>18</v>
      </c>
      <c r="I2774" t="s">
        <v>19</v>
      </c>
      <c r="J2774" t="s">
        <v>15</v>
      </c>
      <c r="K2774">
        <f>_xlfn.XLOOKUP(tbl_analysis_tickets[[#This Row],[priority]],tbl_sla[priority],tbl_sla[Resolution SLA Hours])</f>
        <v>24</v>
      </c>
      <c r="L2774">
        <f>_xlfn.XLOOKUP(tbl_analysis_tickets[[#This Row],[priority]],tbl_sla[priority],tbl_sla[First Response SLA Minutes])</f>
        <v>60</v>
      </c>
      <c r="M2774" t="str">
        <f>IF(tbl_analysis_tickets[[#This Row],[resolution_time_hours]]&gt;tbl_analysis_tickets[[#This Row],[Resolution SLA Hours]],"Breached","Within SLA")</f>
        <v>Breached</v>
      </c>
      <c r="N2774" t="str">
        <f>IF(tbl_analysis_tickets[[#This Row],[first_response_minutes]]&gt;tbl_analysis_tickets[[#This Row],[First Response SLA Minutes]],"Breached","Within SLA")</f>
        <v>Within SLA</v>
      </c>
      <c r="O2774" t="str" cm="1">
        <f t="array" ref="O2774">_xlfn.IFS(
tbl_analysis_tickets[[#This Row],[agent_experience_years]]&lt;=2,"Junior",
tbl_analysis_tickets[[#This Row],[agent_experience_years]]&lt;=5,"Mid-Level",
tbl_analysis_tickets[[#This Row],[agent_experience_years]]&lt;=8,"Senior",
tbl_analysis_tickets[[#This Row],[agent_experience_years]]&gt;8,"Expert"
)</f>
        <v>Mid-Level</v>
      </c>
      <c r="P2774" cm="1">
        <f t="array" ref="P2774">_xlfn.SWITCH(tbl_analysis_tickets[[#This Row],[customer_satisfaction]],
"Low",1,
"Medium",2,
"High",3
)</f>
        <v>2</v>
      </c>
      <c r="Q2774">
        <f>IF(tbl_analysis_tickets[[#This Row],[reopened]]="Yes",1,0)</f>
        <v>0</v>
      </c>
      <c r="R2774" t="str" cm="1">
        <f t="array" ref="R2774">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2774" t="str" cm="1">
        <f t="array" ref="S277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774" t="str">
        <f>TEXT(tbl_analysis_tickets[[#This Row],[created_date]],"mmm-yyyy")</f>
        <v>Sep-2024</v>
      </c>
      <c r="U2774" t="str">
        <f>TEXT(tbl_analysis_tickets[[#This Row],[created_date]],"dddd")</f>
        <v>Tuesday</v>
      </c>
      <c r="V2774" cm="1">
        <f t="array" ref="V2774">_xlfn.SWITCH(tbl_analysis_tickets[[#This Row],[priority]],
"Urgent",1,
"High",2,
"Medium",3,
"Low",4
)</f>
        <v>2</v>
      </c>
    </row>
    <row r="2775" spans="1:22" x14ac:dyDescent="0.25">
      <c r="A2775">
        <v>2774</v>
      </c>
      <c r="B2775" s="1">
        <v>45369</v>
      </c>
      <c r="C2775" t="s">
        <v>14</v>
      </c>
      <c r="D2775" t="s">
        <v>11</v>
      </c>
      <c r="E2775">
        <v>137</v>
      </c>
      <c r="F2775">
        <v>11</v>
      </c>
      <c r="G2775">
        <v>7.2</v>
      </c>
      <c r="H2775" t="s">
        <v>18</v>
      </c>
      <c r="I2775" t="s">
        <v>16</v>
      </c>
      <c r="J2775" t="s">
        <v>15</v>
      </c>
      <c r="K2775">
        <f>_xlfn.XLOOKUP(tbl_analysis_tickets[[#This Row],[priority]],tbl_sla[priority],tbl_sla[Resolution SLA Hours])</f>
        <v>72</v>
      </c>
      <c r="L2775">
        <f>_xlfn.XLOOKUP(tbl_analysis_tickets[[#This Row],[priority]],tbl_sla[priority],tbl_sla[First Response SLA Minutes])</f>
        <v>240</v>
      </c>
      <c r="M2775" t="str">
        <f>IF(tbl_analysis_tickets[[#This Row],[resolution_time_hours]]&gt;tbl_analysis_tickets[[#This Row],[Resolution SLA Hours]],"Breached","Within SLA")</f>
        <v>Within SLA</v>
      </c>
      <c r="N2775" t="str">
        <f>IF(tbl_analysis_tickets[[#This Row],[first_response_minutes]]&gt;tbl_analysis_tickets[[#This Row],[First Response SLA Minutes]],"Breached","Within SLA")</f>
        <v>Within SLA</v>
      </c>
      <c r="O2775" t="str" cm="1">
        <f t="array" ref="O2775">_xlfn.IFS(
tbl_analysis_tickets[[#This Row],[agent_experience_years]]&lt;=2,"Junior",
tbl_analysis_tickets[[#This Row],[agent_experience_years]]&lt;=5,"Mid-Level",
tbl_analysis_tickets[[#This Row],[agent_experience_years]]&lt;=8,"Senior",
tbl_analysis_tickets[[#This Row],[agent_experience_years]]&gt;8,"Expert"
)</f>
        <v>Senior</v>
      </c>
      <c r="P2775" cm="1">
        <f t="array" ref="P2775">_xlfn.SWITCH(tbl_analysis_tickets[[#This Row],[customer_satisfaction]],
"Low",1,
"Medium",2,
"High",3
)</f>
        <v>2</v>
      </c>
      <c r="Q2775">
        <f>IF(tbl_analysis_tickets[[#This Row],[reopened]]="Yes",1,0)</f>
        <v>0</v>
      </c>
      <c r="R2775" t="str" cm="1">
        <f t="array" ref="R2775">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775" t="str" cm="1">
        <f t="array" ref="S277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775" t="str">
        <f>TEXT(tbl_analysis_tickets[[#This Row],[created_date]],"mmm-yyyy")</f>
        <v>Mar-2024</v>
      </c>
      <c r="U2775" t="str">
        <f>TEXT(tbl_analysis_tickets[[#This Row],[created_date]],"dddd")</f>
        <v>Monday</v>
      </c>
      <c r="V2775" cm="1">
        <f t="array" ref="V2775">_xlfn.SWITCH(tbl_analysis_tickets[[#This Row],[priority]],
"Urgent",1,
"High",2,
"Medium",3,
"Low",4
)</f>
        <v>4</v>
      </c>
    </row>
    <row r="2776" spans="1:22" x14ac:dyDescent="0.25">
      <c r="A2776">
        <v>2775</v>
      </c>
      <c r="B2776" s="1">
        <v>45341</v>
      </c>
      <c r="C2776" t="s">
        <v>14</v>
      </c>
      <c r="D2776" t="s">
        <v>17</v>
      </c>
      <c r="E2776">
        <v>233</v>
      </c>
      <c r="F2776">
        <v>58</v>
      </c>
      <c r="G2776">
        <v>9.5</v>
      </c>
      <c r="H2776" t="s">
        <v>12</v>
      </c>
      <c r="I2776" t="s">
        <v>16</v>
      </c>
      <c r="J2776" t="s">
        <v>11</v>
      </c>
      <c r="K2776">
        <f>_xlfn.XLOOKUP(tbl_analysis_tickets[[#This Row],[priority]],tbl_sla[priority],tbl_sla[Resolution SLA Hours])</f>
        <v>8</v>
      </c>
      <c r="L2776">
        <f>_xlfn.XLOOKUP(tbl_analysis_tickets[[#This Row],[priority]],tbl_sla[priority],tbl_sla[First Response SLA Minutes])</f>
        <v>30</v>
      </c>
      <c r="M2776" t="str">
        <f>IF(tbl_analysis_tickets[[#This Row],[resolution_time_hours]]&gt;tbl_analysis_tickets[[#This Row],[Resolution SLA Hours]],"Breached","Within SLA")</f>
        <v>Breached</v>
      </c>
      <c r="N2776" t="str">
        <f>IF(tbl_analysis_tickets[[#This Row],[first_response_minutes]]&gt;tbl_analysis_tickets[[#This Row],[First Response SLA Minutes]],"Breached","Within SLA")</f>
        <v>Breached</v>
      </c>
      <c r="O2776" t="str" cm="1">
        <f t="array" ref="O2776">_xlfn.IFS(
tbl_analysis_tickets[[#This Row],[agent_experience_years]]&lt;=2,"Junior",
tbl_analysis_tickets[[#This Row],[agent_experience_years]]&lt;=5,"Mid-Level",
tbl_analysis_tickets[[#This Row],[agent_experience_years]]&lt;=8,"Senior",
tbl_analysis_tickets[[#This Row],[agent_experience_years]]&gt;8,"Expert"
)</f>
        <v>Expert</v>
      </c>
      <c r="P2776" cm="1">
        <f t="array" ref="P2776">_xlfn.SWITCH(tbl_analysis_tickets[[#This Row],[customer_satisfaction]],
"Low",1,
"Medium",2,
"High",3
)</f>
        <v>1</v>
      </c>
      <c r="Q2776">
        <f>IF(tbl_analysis_tickets[[#This Row],[reopened]]="Yes",1,0)</f>
        <v>1</v>
      </c>
      <c r="R2776" t="str" cm="1">
        <f t="array" ref="R2776">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776" t="str" cm="1">
        <f t="array" ref="S277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776" t="str">
        <f>TEXT(tbl_analysis_tickets[[#This Row],[created_date]],"mmm-yyyy")</f>
        <v>Feb-2024</v>
      </c>
      <c r="U2776" t="str">
        <f>TEXT(tbl_analysis_tickets[[#This Row],[created_date]],"dddd")</f>
        <v>Monday</v>
      </c>
      <c r="V2776" cm="1">
        <f t="array" ref="V2776">_xlfn.SWITCH(tbl_analysis_tickets[[#This Row],[priority]],
"Urgent",1,
"High",2,
"Medium",3,
"Low",4
)</f>
        <v>1</v>
      </c>
    </row>
    <row r="2777" spans="1:22" x14ac:dyDescent="0.25">
      <c r="A2777">
        <v>2776</v>
      </c>
      <c r="B2777" s="1">
        <v>45588</v>
      </c>
      <c r="C2777" t="s">
        <v>14</v>
      </c>
      <c r="D2777" t="s">
        <v>11</v>
      </c>
      <c r="E2777">
        <v>75</v>
      </c>
      <c r="F2777">
        <v>51</v>
      </c>
      <c r="G2777">
        <v>1.1000000000000001</v>
      </c>
      <c r="H2777" t="s">
        <v>18</v>
      </c>
      <c r="I2777" t="s">
        <v>13</v>
      </c>
      <c r="J2777" t="s">
        <v>11</v>
      </c>
      <c r="K2777">
        <f>_xlfn.XLOOKUP(tbl_analysis_tickets[[#This Row],[priority]],tbl_sla[priority],tbl_sla[Resolution SLA Hours])</f>
        <v>72</v>
      </c>
      <c r="L2777">
        <f>_xlfn.XLOOKUP(tbl_analysis_tickets[[#This Row],[priority]],tbl_sla[priority],tbl_sla[First Response SLA Minutes])</f>
        <v>240</v>
      </c>
      <c r="M2777" t="str">
        <f>IF(tbl_analysis_tickets[[#This Row],[resolution_time_hours]]&gt;tbl_analysis_tickets[[#This Row],[Resolution SLA Hours]],"Breached","Within SLA")</f>
        <v>Within SLA</v>
      </c>
      <c r="N2777" t="str">
        <f>IF(tbl_analysis_tickets[[#This Row],[first_response_minutes]]&gt;tbl_analysis_tickets[[#This Row],[First Response SLA Minutes]],"Breached","Within SLA")</f>
        <v>Within SLA</v>
      </c>
      <c r="O2777" t="str" cm="1">
        <f t="array" ref="O2777">_xlfn.IFS(
tbl_analysis_tickets[[#This Row],[agent_experience_years]]&lt;=2,"Junior",
tbl_analysis_tickets[[#This Row],[agent_experience_years]]&lt;=5,"Mid-Level",
tbl_analysis_tickets[[#This Row],[agent_experience_years]]&lt;=8,"Senior",
tbl_analysis_tickets[[#This Row],[agent_experience_years]]&gt;8,"Expert"
)</f>
        <v>Junior</v>
      </c>
      <c r="P2777" cm="1">
        <f t="array" ref="P2777">_xlfn.SWITCH(tbl_analysis_tickets[[#This Row],[customer_satisfaction]],
"Low",1,
"Medium",2,
"High",3
)</f>
        <v>1</v>
      </c>
      <c r="Q2777">
        <f>IF(tbl_analysis_tickets[[#This Row],[reopened]]="Yes",1,0)</f>
        <v>0</v>
      </c>
      <c r="R2777" t="str" cm="1">
        <f t="array" ref="R2777">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777" t="str" cm="1">
        <f t="array" ref="S277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777" t="str">
        <f>TEXT(tbl_analysis_tickets[[#This Row],[created_date]],"mmm-yyyy")</f>
        <v>Oct-2024</v>
      </c>
      <c r="U2777" t="str">
        <f>TEXT(tbl_analysis_tickets[[#This Row],[created_date]],"dddd")</f>
        <v>Wednesday</v>
      </c>
      <c r="V2777" cm="1">
        <f t="array" ref="V2777">_xlfn.SWITCH(tbl_analysis_tickets[[#This Row],[priority]],
"Urgent",1,
"High",2,
"Medium",3,
"Low",4
)</f>
        <v>4</v>
      </c>
    </row>
    <row r="2778" spans="1:22" x14ac:dyDescent="0.25">
      <c r="A2778">
        <v>2777</v>
      </c>
      <c r="B2778" s="1">
        <v>45500</v>
      </c>
      <c r="C2778" t="s">
        <v>14</v>
      </c>
      <c r="D2778" t="s">
        <v>20</v>
      </c>
      <c r="E2778">
        <v>189</v>
      </c>
      <c r="F2778">
        <v>35</v>
      </c>
      <c r="G2778">
        <v>7.7</v>
      </c>
      <c r="H2778" t="s">
        <v>12</v>
      </c>
      <c r="I2778" t="s">
        <v>13</v>
      </c>
      <c r="J2778" t="s">
        <v>11</v>
      </c>
      <c r="K2778">
        <f>_xlfn.XLOOKUP(tbl_analysis_tickets[[#This Row],[priority]],tbl_sla[priority],tbl_sla[Resolution SLA Hours])</f>
        <v>24</v>
      </c>
      <c r="L2778">
        <f>_xlfn.XLOOKUP(tbl_analysis_tickets[[#This Row],[priority]],tbl_sla[priority],tbl_sla[First Response SLA Minutes])</f>
        <v>60</v>
      </c>
      <c r="M2778" t="str">
        <f>IF(tbl_analysis_tickets[[#This Row],[resolution_time_hours]]&gt;tbl_analysis_tickets[[#This Row],[Resolution SLA Hours]],"Breached","Within SLA")</f>
        <v>Breached</v>
      </c>
      <c r="N2778" t="str">
        <f>IF(tbl_analysis_tickets[[#This Row],[first_response_minutes]]&gt;tbl_analysis_tickets[[#This Row],[First Response SLA Minutes]],"Breached","Within SLA")</f>
        <v>Breached</v>
      </c>
      <c r="O2778" t="str" cm="1">
        <f t="array" ref="O2778">_xlfn.IFS(
tbl_analysis_tickets[[#This Row],[agent_experience_years]]&lt;=2,"Junior",
tbl_analysis_tickets[[#This Row],[agent_experience_years]]&lt;=5,"Mid-Level",
tbl_analysis_tickets[[#This Row],[agent_experience_years]]&lt;=8,"Senior",
tbl_analysis_tickets[[#This Row],[agent_experience_years]]&gt;8,"Expert"
)</f>
        <v>Senior</v>
      </c>
      <c r="P2778" cm="1">
        <f t="array" ref="P2778">_xlfn.SWITCH(tbl_analysis_tickets[[#This Row],[customer_satisfaction]],
"Low",1,
"Medium",2,
"High",3
)</f>
        <v>1</v>
      </c>
      <c r="Q2778">
        <f>IF(tbl_analysis_tickets[[#This Row],[reopened]]="Yes",1,0)</f>
        <v>1</v>
      </c>
      <c r="R2778" t="str" cm="1">
        <f t="array" ref="R2778">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778" t="str" cm="1">
        <f t="array" ref="S277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778" t="str">
        <f>TEXT(tbl_analysis_tickets[[#This Row],[created_date]],"mmm-yyyy")</f>
        <v>Jul-2024</v>
      </c>
      <c r="U2778" t="str">
        <f>TEXT(tbl_analysis_tickets[[#This Row],[created_date]],"dddd")</f>
        <v>Saturday</v>
      </c>
      <c r="V2778" cm="1">
        <f t="array" ref="V2778">_xlfn.SWITCH(tbl_analysis_tickets[[#This Row],[priority]],
"Urgent",1,
"High",2,
"Medium",3,
"Low",4
)</f>
        <v>2</v>
      </c>
    </row>
    <row r="2779" spans="1:22" x14ac:dyDescent="0.25">
      <c r="A2779">
        <v>2778</v>
      </c>
      <c r="B2779" s="1">
        <v>45371</v>
      </c>
      <c r="C2779" t="s">
        <v>21</v>
      </c>
      <c r="D2779" t="s">
        <v>15</v>
      </c>
      <c r="E2779">
        <v>195</v>
      </c>
      <c r="F2779">
        <v>29</v>
      </c>
      <c r="G2779">
        <v>4.2</v>
      </c>
      <c r="H2779" t="s">
        <v>12</v>
      </c>
      <c r="I2779" t="s">
        <v>19</v>
      </c>
      <c r="J2779" t="s">
        <v>11</v>
      </c>
      <c r="K2779">
        <f>_xlfn.XLOOKUP(tbl_analysis_tickets[[#This Row],[priority]],tbl_sla[priority],tbl_sla[Resolution SLA Hours])</f>
        <v>48</v>
      </c>
      <c r="L2779">
        <f>_xlfn.XLOOKUP(tbl_analysis_tickets[[#This Row],[priority]],tbl_sla[priority],tbl_sla[First Response SLA Minutes])</f>
        <v>120</v>
      </c>
      <c r="M2779" t="str">
        <f>IF(tbl_analysis_tickets[[#This Row],[resolution_time_hours]]&gt;tbl_analysis_tickets[[#This Row],[Resolution SLA Hours]],"Breached","Within SLA")</f>
        <v>Within SLA</v>
      </c>
      <c r="N2779" t="str">
        <f>IF(tbl_analysis_tickets[[#This Row],[first_response_minutes]]&gt;tbl_analysis_tickets[[#This Row],[First Response SLA Minutes]],"Breached","Within SLA")</f>
        <v>Breached</v>
      </c>
      <c r="O2779" t="str" cm="1">
        <f t="array" ref="O2779">_xlfn.IFS(
tbl_analysis_tickets[[#This Row],[agent_experience_years]]&lt;=2,"Junior",
tbl_analysis_tickets[[#This Row],[agent_experience_years]]&lt;=5,"Mid-Level",
tbl_analysis_tickets[[#This Row],[agent_experience_years]]&lt;=8,"Senior",
tbl_analysis_tickets[[#This Row],[agent_experience_years]]&gt;8,"Expert"
)</f>
        <v>Mid-Level</v>
      </c>
      <c r="P2779" cm="1">
        <f t="array" ref="P2779">_xlfn.SWITCH(tbl_analysis_tickets[[#This Row],[customer_satisfaction]],
"Low",1,
"Medium",2,
"High",3
)</f>
        <v>1</v>
      </c>
      <c r="Q2779">
        <f>IF(tbl_analysis_tickets[[#This Row],[reopened]]="Yes",1,0)</f>
        <v>1</v>
      </c>
      <c r="R2779" t="str" cm="1">
        <f t="array" ref="R2779">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779" t="str" cm="1">
        <f t="array" ref="S277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779" t="str">
        <f>TEXT(tbl_analysis_tickets[[#This Row],[created_date]],"mmm-yyyy")</f>
        <v>Mar-2024</v>
      </c>
      <c r="U2779" t="str">
        <f>TEXT(tbl_analysis_tickets[[#This Row],[created_date]],"dddd")</f>
        <v>Wednesday</v>
      </c>
      <c r="V2779" cm="1">
        <f t="array" ref="V2779">_xlfn.SWITCH(tbl_analysis_tickets[[#This Row],[priority]],
"Urgent",1,
"High",2,
"Medium",3,
"Low",4
)</f>
        <v>3</v>
      </c>
    </row>
    <row r="2780" spans="1:22" x14ac:dyDescent="0.25">
      <c r="A2780">
        <v>2779</v>
      </c>
      <c r="B2780" s="1">
        <v>45391</v>
      </c>
      <c r="C2780" t="s">
        <v>23</v>
      </c>
      <c r="D2780" t="s">
        <v>17</v>
      </c>
      <c r="E2780">
        <v>227</v>
      </c>
      <c r="F2780">
        <v>49</v>
      </c>
      <c r="G2780">
        <v>8.8000000000000007</v>
      </c>
      <c r="H2780" t="s">
        <v>18</v>
      </c>
      <c r="I2780" t="s">
        <v>13</v>
      </c>
      <c r="J2780" t="s">
        <v>11</v>
      </c>
      <c r="K2780">
        <f>_xlfn.XLOOKUP(tbl_analysis_tickets[[#This Row],[priority]],tbl_sla[priority],tbl_sla[Resolution SLA Hours])</f>
        <v>8</v>
      </c>
      <c r="L2780">
        <f>_xlfn.XLOOKUP(tbl_analysis_tickets[[#This Row],[priority]],tbl_sla[priority],tbl_sla[First Response SLA Minutes])</f>
        <v>30</v>
      </c>
      <c r="M2780" t="str">
        <f>IF(tbl_analysis_tickets[[#This Row],[resolution_time_hours]]&gt;tbl_analysis_tickets[[#This Row],[Resolution SLA Hours]],"Breached","Within SLA")</f>
        <v>Breached</v>
      </c>
      <c r="N2780" t="str">
        <f>IF(tbl_analysis_tickets[[#This Row],[first_response_minutes]]&gt;tbl_analysis_tickets[[#This Row],[First Response SLA Minutes]],"Breached","Within SLA")</f>
        <v>Breached</v>
      </c>
      <c r="O2780" t="str" cm="1">
        <f t="array" ref="O2780">_xlfn.IFS(
tbl_analysis_tickets[[#This Row],[agent_experience_years]]&lt;=2,"Junior",
tbl_analysis_tickets[[#This Row],[agent_experience_years]]&lt;=5,"Mid-Level",
tbl_analysis_tickets[[#This Row],[agent_experience_years]]&lt;=8,"Senior",
tbl_analysis_tickets[[#This Row],[agent_experience_years]]&gt;8,"Expert"
)</f>
        <v>Expert</v>
      </c>
      <c r="P2780" cm="1">
        <f t="array" ref="P2780">_xlfn.SWITCH(tbl_analysis_tickets[[#This Row],[customer_satisfaction]],
"Low",1,
"Medium",2,
"High",3
)</f>
        <v>1</v>
      </c>
      <c r="Q2780">
        <f>IF(tbl_analysis_tickets[[#This Row],[reopened]]="Yes",1,0)</f>
        <v>0</v>
      </c>
      <c r="R2780" t="str" cm="1">
        <f t="array" ref="R2780">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780" t="str" cm="1">
        <f t="array" ref="S278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780" t="str">
        <f>TEXT(tbl_analysis_tickets[[#This Row],[created_date]],"mmm-yyyy")</f>
        <v>Apr-2024</v>
      </c>
      <c r="U2780" t="str">
        <f>TEXT(tbl_analysis_tickets[[#This Row],[created_date]],"dddd")</f>
        <v>Tuesday</v>
      </c>
      <c r="V2780" cm="1">
        <f t="array" ref="V2780">_xlfn.SWITCH(tbl_analysis_tickets[[#This Row],[priority]],
"Urgent",1,
"High",2,
"Medium",3,
"Low",4
)</f>
        <v>1</v>
      </c>
    </row>
    <row r="2781" spans="1:22" x14ac:dyDescent="0.25">
      <c r="A2781">
        <v>2780</v>
      </c>
      <c r="B2781" s="1">
        <v>45469</v>
      </c>
      <c r="C2781" t="s">
        <v>10</v>
      </c>
      <c r="D2781" t="s">
        <v>20</v>
      </c>
      <c r="E2781">
        <v>105</v>
      </c>
      <c r="F2781">
        <v>42</v>
      </c>
      <c r="G2781">
        <v>6.6</v>
      </c>
      <c r="H2781" t="s">
        <v>18</v>
      </c>
      <c r="I2781" t="s">
        <v>19</v>
      </c>
      <c r="J2781" t="s">
        <v>11</v>
      </c>
      <c r="K2781">
        <f>_xlfn.XLOOKUP(tbl_analysis_tickets[[#This Row],[priority]],tbl_sla[priority],tbl_sla[Resolution SLA Hours])</f>
        <v>24</v>
      </c>
      <c r="L2781">
        <f>_xlfn.XLOOKUP(tbl_analysis_tickets[[#This Row],[priority]],tbl_sla[priority],tbl_sla[First Response SLA Minutes])</f>
        <v>60</v>
      </c>
      <c r="M2781" t="str">
        <f>IF(tbl_analysis_tickets[[#This Row],[resolution_time_hours]]&gt;tbl_analysis_tickets[[#This Row],[Resolution SLA Hours]],"Breached","Within SLA")</f>
        <v>Breached</v>
      </c>
      <c r="N2781" t="str">
        <f>IF(tbl_analysis_tickets[[#This Row],[first_response_minutes]]&gt;tbl_analysis_tickets[[#This Row],[First Response SLA Minutes]],"Breached","Within SLA")</f>
        <v>Breached</v>
      </c>
      <c r="O2781" t="str" cm="1">
        <f t="array" ref="O2781">_xlfn.IFS(
tbl_analysis_tickets[[#This Row],[agent_experience_years]]&lt;=2,"Junior",
tbl_analysis_tickets[[#This Row],[agent_experience_years]]&lt;=5,"Mid-Level",
tbl_analysis_tickets[[#This Row],[agent_experience_years]]&lt;=8,"Senior",
tbl_analysis_tickets[[#This Row],[agent_experience_years]]&gt;8,"Expert"
)</f>
        <v>Senior</v>
      </c>
      <c r="P2781" cm="1">
        <f t="array" ref="P2781">_xlfn.SWITCH(tbl_analysis_tickets[[#This Row],[customer_satisfaction]],
"Low",1,
"Medium",2,
"High",3
)</f>
        <v>1</v>
      </c>
      <c r="Q2781">
        <f>IF(tbl_analysis_tickets[[#This Row],[reopened]]="Yes",1,0)</f>
        <v>0</v>
      </c>
      <c r="R2781" t="str" cm="1">
        <f t="array" ref="R2781">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781" t="str" cm="1">
        <f t="array" ref="S278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781" t="str">
        <f>TEXT(tbl_analysis_tickets[[#This Row],[created_date]],"mmm-yyyy")</f>
        <v>Jun-2024</v>
      </c>
      <c r="U2781" t="str">
        <f>TEXT(tbl_analysis_tickets[[#This Row],[created_date]],"dddd")</f>
        <v>Wednesday</v>
      </c>
      <c r="V2781" cm="1">
        <f t="array" ref="V2781">_xlfn.SWITCH(tbl_analysis_tickets[[#This Row],[priority]],
"Urgent",1,
"High",2,
"Medium",3,
"Low",4
)</f>
        <v>2</v>
      </c>
    </row>
    <row r="2782" spans="1:22" x14ac:dyDescent="0.25">
      <c r="A2782">
        <v>2781</v>
      </c>
      <c r="B2782" s="1">
        <v>45602</v>
      </c>
      <c r="C2782" t="s">
        <v>22</v>
      </c>
      <c r="D2782" t="s">
        <v>11</v>
      </c>
      <c r="E2782">
        <v>191</v>
      </c>
      <c r="F2782">
        <v>31</v>
      </c>
      <c r="G2782">
        <v>2.5</v>
      </c>
      <c r="H2782" t="s">
        <v>18</v>
      </c>
      <c r="I2782" t="s">
        <v>13</v>
      </c>
      <c r="J2782" t="s">
        <v>11</v>
      </c>
      <c r="K2782">
        <f>_xlfn.XLOOKUP(tbl_analysis_tickets[[#This Row],[priority]],tbl_sla[priority],tbl_sla[Resolution SLA Hours])</f>
        <v>72</v>
      </c>
      <c r="L2782">
        <f>_xlfn.XLOOKUP(tbl_analysis_tickets[[#This Row],[priority]],tbl_sla[priority],tbl_sla[First Response SLA Minutes])</f>
        <v>240</v>
      </c>
      <c r="M2782" t="str">
        <f>IF(tbl_analysis_tickets[[#This Row],[resolution_time_hours]]&gt;tbl_analysis_tickets[[#This Row],[Resolution SLA Hours]],"Breached","Within SLA")</f>
        <v>Within SLA</v>
      </c>
      <c r="N2782" t="str">
        <f>IF(tbl_analysis_tickets[[#This Row],[first_response_minutes]]&gt;tbl_analysis_tickets[[#This Row],[First Response SLA Minutes]],"Breached","Within SLA")</f>
        <v>Within SLA</v>
      </c>
      <c r="O2782" t="str" cm="1">
        <f t="array" ref="O2782">_xlfn.IFS(
tbl_analysis_tickets[[#This Row],[agent_experience_years]]&lt;=2,"Junior",
tbl_analysis_tickets[[#This Row],[agent_experience_years]]&lt;=5,"Mid-Level",
tbl_analysis_tickets[[#This Row],[agent_experience_years]]&lt;=8,"Senior",
tbl_analysis_tickets[[#This Row],[agent_experience_years]]&gt;8,"Expert"
)</f>
        <v>Mid-Level</v>
      </c>
      <c r="P2782" cm="1">
        <f t="array" ref="P2782">_xlfn.SWITCH(tbl_analysis_tickets[[#This Row],[customer_satisfaction]],
"Low",1,
"Medium",2,
"High",3
)</f>
        <v>1</v>
      </c>
      <c r="Q2782">
        <f>IF(tbl_analysis_tickets[[#This Row],[reopened]]="Yes",1,0)</f>
        <v>0</v>
      </c>
      <c r="R2782" t="str" cm="1">
        <f t="array" ref="R2782">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782" t="str" cm="1">
        <f t="array" ref="S278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782" t="str">
        <f>TEXT(tbl_analysis_tickets[[#This Row],[created_date]],"mmm-yyyy")</f>
        <v>Nov-2024</v>
      </c>
      <c r="U2782" t="str">
        <f>TEXT(tbl_analysis_tickets[[#This Row],[created_date]],"dddd")</f>
        <v>Wednesday</v>
      </c>
      <c r="V2782" cm="1">
        <f t="array" ref="V2782">_xlfn.SWITCH(tbl_analysis_tickets[[#This Row],[priority]],
"Urgent",1,
"High",2,
"Medium",3,
"Low",4
)</f>
        <v>4</v>
      </c>
    </row>
    <row r="2783" spans="1:22" x14ac:dyDescent="0.25">
      <c r="A2783">
        <v>2782</v>
      </c>
      <c r="B2783" s="1">
        <v>45356</v>
      </c>
      <c r="C2783" t="s">
        <v>14</v>
      </c>
      <c r="D2783" t="s">
        <v>17</v>
      </c>
      <c r="E2783">
        <v>110</v>
      </c>
      <c r="F2783">
        <v>51</v>
      </c>
      <c r="G2783">
        <v>3.5</v>
      </c>
      <c r="H2783" t="s">
        <v>18</v>
      </c>
      <c r="I2783" t="s">
        <v>13</v>
      </c>
      <c r="J2783" t="s">
        <v>11</v>
      </c>
      <c r="K2783">
        <f>_xlfn.XLOOKUP(tbl_analysis_tickets[[#This Row],[priority]],tbl_sla[priority],tbl_sla[Resolution SLA Hours])</f>
        <v>8</v>
      </c>
      <c r="L2783">
        <f>_xlfn.XLOOKUP(tbl_analysis_tickets[[#This Row],[priority]],tbl_sla[priority],tbl_sla[First Response SLA Minutes])</f>
        <v>30</v>
      </c>
      <c r="M2783" t="str">
        <f>IF(tbl_analysis_tickets[[#This Row],[resolution_time_hours]]&gt;tbl_analysis_tickets[[#This Row],[Resolution SLA Hours]],"Breached","Within SLA")</f>
        <v>Breached</v>
      </c>
      <c r="N2783" t="str">
        <f>IF(tbl_analysis_tickets[[#This Row],[first_response_minutes]]&gt;tbl_analysis_tickets[[#This Row],[First Response SLA Minutes]],"Breached","Within SLA")</f>
        <v>Breached</v>
      </c>
      <c r="O2783" t="str" cm="1">
        <f t="array" ref="O2783">_xlfn.IFS(
tbl_analysis_tickets[[#This Row],[agent_experience_years]]&lt;=2,"Junior",
tbl_analysis_tickets[[#This Row],[agent_experience_years]]&lt;=5,"Mid-Level",
tbl_analysis_tickets[[#This Row],[agent_experience_years]]&lt;=8,"Senior",
tbl_analysis_tickets[[#This Row],[agent_experience_years]]&gt;8,"Expert"
)</f>
        <v>Mid-Level</v>
      </c>
      <c r="P2783" cm="1">
        <f t="array" ref="P2783">_xlfn.SWITCH(tbl_analysis_tickets[[#This Row],[customer_satisfaction]],
"Low",1,
"Medium",2,
"High",3
)</f>
        <v>1</v>
      </c>
      <c r="Q2783">
        <f>IF(tbl_analysis_tickets[[#This Row],[reopened]]="Yes",1,0)</f>
        <v>0</v>
      </c>
      <c r="R2783" t="str" cm="1">
        <f t="array" ref="R2783">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783" t="str" cm="1">
        <f t="array" ref="S278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783" t="str">
        <f>TEXT(tbl_analysis_tickets[[#This Row],[created_date]],"mmm-yyyy")</f>
        <v>Mar-2024</v>
      </c>
      <c r="U2783" t="str">
        <f>TEXT(tbl_analysis_tickets[[#This Row],[created_date]],"dddd")</f>
        <v>Tuesday</v>
      </c>
      <c r="V2783" cm="1">
        <f t="array" ref="V2783">_xlfn.SWITCH(tbl_analysis_tickets[[#This Row],[priority]],
"Urgent",1,
"High",2,
"Medium",3,
"Low",4
)</f>
        <v>1</v>
      </c>
    </row>
    <row r="2784" spans="1:22" x14ac:dyDescent="0.25">
      <c r="A2784">
        <v>2783</v>
      </c>
      <c r="B2784" s="1">
        <v>45392</v>
      </c>
      <c r="C2784" t="s">
        <v>14</v>
      </c>
      <c r="D2784" t="s">
        <v>11</v>
      </c>
      <c r="E2784">
        <v>85</v>
      </c>
      <c r="F2784">
        <v>65</v>
      </c>
      <c r="G2784">
        <v>8.8000000000000007</v>
      </c>
      <c r="H2784" t="s">
        <v>18</v>
      </c>
      <c r="I2784" t="s">
        <v>19</v>
      </c>
      <c r="J2784" t="s">
        <v>15</v>
      </c>
      <c r="K2784">
        <f>_xlfn.XLOOKUP(tbl_analysis_tickets[[#This Row],[priority]],tbl_sla[priority],tbl_sla[Resolution SLA Hours])</f>
        <v>72</v>
      </c>
      <c r="L2784">
        <f>_xlfn.XLOOKUP(tbl_analysis_tickets[[#This Row],[priority]],tbl_sla[priority],tbl_sla[First Response SLA Minutes])</f>
        <v>240</v>
      </c>
      <c r="M2784" t="str">
        <f>IF(tbl_analysis_tickets[[#This Row],[resolution_time_hours]]&gt;tbl_analysis_tickets[[#This Row],[Resolution SLA Hours]],"Breached","Within SLA")</f>
        <v>Within SLA</v>
      </c>
      <c r="N2784" t="str">
        <f>IF(tbl_analysis_tickets[[#This Row],[first_response_minutes]]&gt;tbl_analysis_tickets[[#This Row],[First Response SLA Minutes]],"Breached","Within SLA")</f>
        <v>Within SLA</v>
      </c>
      <c r="O2784" t="str" cm="1">
        <f t="array" ref="O2784">_xlfn.IFS(
tbl_analysis_tickets[[#This Row],[agent_experience_years]]&lt;=2,"Junior",
tbl_analysis_tickets[[#This Row],[agent_experience_years]]&lt;=5,"Mid-Level",
tbl_analysis_tickets[[#This Row],[agent_experience_years]]&lt;=8,"Senior",
tbl_analysis_tickets[[#This Row],[agent_experience_years]]&gt;8,"Expert"
)</f>
        <v>Expert</v>
      </c>
      <c r="P2784" cm="1">
        <f t="array" ref="P2784">_xlfn.SWITCH(tbl_analysis_tickets[[#This Row],[customer_satisfaction]],
"Low",1,
"Medium",2,
"High",3
)</f>
        <v>2</v>
      </c>
      <c r="Q2784">
        <f>IF(tbl_analysis_tickets[[#This Row],[reopened]]="Yes",1,0)</f>
        <v>0</v>
      </c>
      <c r="R2784" t="str" cm="1">
        <f t="array" ref="R2784">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784" t="str" cm="1">
        <f t="array" ref="S278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784" t="str">
        <f>TEXT(tbl_analysis_tickets[[#This Row],[created_date]],"mmm-yyyy")</f>
        <v>Apr-2024</v>
      </c>
      <c r="U2784" t="str">
        <f>TEXT(tbl_analysis_tickets[[#This Row],[created_date]],"dddd")</f>
        <v>Wednesday</v>
      </c>
      <c r="V2784" cm="1">
        <f t="array" ref="V2784">_xlfn.SWITCH(tbl_analysis_tickets[[#This Row],[priority]],
"Urgent",1,
"High",2,
"Medium",3,
"Low",4
)</f>
        <v>4</v>
      </c>
    </row>
    <row r="2785" spans="1:22" x14ac:dyDescent="0.25">
      <c r="A2785">
        <v>2784</v>
      </c>
      <c r="B2785" s="1">
        <v>45444</v>
      </c>
      <c r="C2785" t="s">
        <v>22</v>
      </c>
      <c r="D2785" t="s">
        <v>11</v>
      </c>
      <c r="E2785">
        <v>180</v>
      </c>
      <c r="F2785">
        <v>22</v>
      </c>
      <c r="G2785">
        <v>1.3</v>
      </c>
      <c r="H2785" t="s">
        <v>18</v>
      </c>
      <c r="I2785" t="s">
        <v>19</v>
      </c>
      <c r="J2785" t="s">
        <v>11</v>
      </c>
      <c r="K2785">
        <f>_xlfn.XLOOKUP(tbl_analysis_tickets[[#This Row],[priority]],tbl_sla[priority],tbl_sla[Resolution SLA Hours])</f>
        <v>72</v>
      </c>
      <c r="L2785">
        <f>_xlfn.XLOOKUP(tbl_analysis_tickets[[#This Row],[priority]],tbl_sla[priority],tbl_sla[First Response SLA Minutes])</f>
        <v>240</v>
      </c>
      <c r="M2785" t="str">
        <f>IF(tbl_analysis_tickets[[#This Row],[resolution_time_hours]]&gt;tbl_analysis_tickets[[#This Row],[Resolution SLA Hours]],"Breached","Within SLA")</f>
        <v>Within SLA</v>
      </c>
      <c r="N2785" t="str">
        <f>IF(tbl_analysis_tickets[[#This Row],[first_response_minutes]]&gt;tbl_analysis_tickets[[#This Row],[First Response SLA Minutes]],"Breached","Within SLA")</f>
        <v>Within SLA</v>
      </c>
      <c r="O2785" t="str" cm="1">
        <f t="array" ref="O2785">_xlfn.IFS(
tbl_analysis_tickets[[#This Row],[agent_experience_years]]&lt;=2,"Junior",
tbl_analysis_tickets[[#This Row],[agent_experience_years]]&lt;=5,"Mid-Level",
tbl_analysis_tickets[[#This Row],[agent_experience_years]]&lt;=8,"Senior",
tbl_analysis_tickets[[#This Row],[agent_experience_years]]&gt;8,"Expert"
)</f>
        <v>Junior</v>
      </c>
      <c r="P2785" cm="1">
        <f t="array" ref="P2785">_xlfn.SWITCH(tbl_analysis_tickets[[#This Row],[customer_satisfaction]],
"Low",1,
"Medium",2,
"High",3
)</f>
        <v>1</v>
      </c>
      <c r="Q2785">
        <f>IF(tbl_analysis_tickets[[#This Row],[reopened]]="Yes",1,0)</f>
        <v>0</v>
      </c>
      <c r="R2785" t="str" cm="1">
        <f t="array" ref="R2785">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785" t="str" cm="1">
        <f t="array" ref="S278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785" t="str">
        <f>TEXT(tbl_analysis_tickets[[#This Row],[created_date]],"mmm-yyyy")</f>
        <v>Jun-2024</v>
      </c>
      <c r="U2785" t="str">
        <f>TEXT(tbl_analysis_tickets[[#This Row],[created_date]],"dddd")</f>
        <v>Saturday</v>
      </c>
      <c r="V2785" cm="1">
        <f t="array" ref="V2785">_xlfn.SWITCH(tbl_analysis_tickets[[#This Row],[priority]],
"Urgent",1,
"High",2,
"Medium",3,
"Low",4
)</f>
        <v>4</v>
      </c>
    </row>
    <row r="2786" spans="1:22" x14ac:dyDescent="0.25">
      <c r="A2786">
        <v>2785</v>
      </c>
      <c r="B2786" s="1">
        <v>45301</v>
      </c>
      <c r="C2786" t="s">
        <v>22</v>
      </c>
      <c r="D2786" t="s">
        <v>11</v>
      </c>
      <c r="E2786">
        <v>141</v>
      </c>
      <c r="F2786">
        <v>41</v>
      </c>
      <c r="G2786">
        <v>6.1</v>
      </c>
      <c r="H2786" t="s">
        <v>12</v>
      </c>
      <c r="I2786" t="s">
        <v>19</v>
      </c>
      <c r="J2786" t="s">
        <v>11</v>
      </c>
      <c r="K2786">
        <f>_xlfn.XLOOKUP(tbl_analysis_tickets[[#This Row],[priority]],tbl_sla[priority],tbl_sla[Resolution SLA Hours])</f>
        <v>72</v>
      </c>
      <c r="L2786">
        <f>_xlfn.XLOOKUP(tbl_analysis_tickets[[#This Row],[priority]],tbl_sla[priority],tbl_sla[First Response SLA Minutes])</f>
        <v>240</v>
      </c>
      <c r="M2786" t="str">
        <f>IF(tbl_analysis_tickets[[#This Row],[resolution_time_hours]]&gt;tbl_analysis_tickets[[#This Row],[Resolution SLA Hours]],"Breached","Within SLA")</f>
        <v>Within SLA</v>
      </c>
      <c r="N2786" t="str">
        <f>IF(tbl_analysis_tickets[[#This Row],[first_response_minutes]]&gt;tbl_analysis_tickets[[#This Row],[First Response SLA Minutes]],"Breached","Within SLA")</f>
        <v>Within SLA</v>
      </c>
      <c r="O2786" t="str" cm="1">
        <f t="array" ref="O2786">_xlfn.IFS(
tbl_analysis_tickets[[#This Row],[agent_experience_years]]&lt;=2,"Junior",
tbl_analysis_tickets[[#This Row],[agent_experience_years]]&lt;=5,"Mid-Level",
tbl_analysis_tickets[[#This Row],[agent_experience_years]]&lt;=8,"Senior",
tbl_analysis_tickets[[#This Row],[agent_experience_years]]&gt;8,"Expert"
)</f>
        <v>Senior</v>
      </c>
      <c r="P2786" cm="1">
        <f t="array" ref="P2786">_xlfn.SWITCH(tbl_analysis_tickets[[#This Row],[customer_satisfaction]],
"Low",1,
"Medium",2,
"High",3
)</f>
        <v>1</v>
      </c>
      <c r="Q2786">
        <f>IF(tbl_analysis_tickets[[#This Row],[reopened]]="Yes",1,0)</f>
        <v>1</v>
      </c>
      <c r="R2786" t="str" cm="1">
        <f t="array" ref="R2786">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786" t="str" cm="1">
        <f t="array" ref="S278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786" t="str">
        <f>TEXT(tbl_analysis_tickets[[#This Row],[created_date]],"mmm-yyyy")</f>
        <v>Jan-2024</v>
      </c>
      <c r="U2786" t="str">
        <f>TEXT(tbl_analysis_tickets[[#This Row],[created_date]],"dddd")</f>
        <v>Wednesday</v>
      </c>
      <c r="V2786" cm="1">
        <f t="array" ref="V2786">_xlfn.SWITCH(tbl_analysis_tickets[[#This Row],[priority]],
"Urgent",1,
"High",2,
"Medium",3,
"Low",4
)</f>
        <v>4</v>
      </c>
    </row>
    <row r="2787" spans="1:22" x14ac:dyDescent="0.25">
      <c r="A2787">
        <v>2786</v>
      </c>
      <c r="B2787" s="1">
        <v>45641</v>
      </c>
      <c r="C2787" t="s">
        <v>14</v>
      </c>
      <c r="D2787" t="s">
        <v>17</v>
      </c>
      <c r="E2787">
        <v>110</v>
      </c>
      <c r="F2787">
        <v>29</v>
      </c>
      <c r="G2787">
        <v>2.4</v>
      </c>
      <c r="H2787" t="s">
        <v>18</v>
      </c>
      <c r="I2787" t="s">
        <v>16</v>
      </c>
      <c r="J2787" t="s">
        <v>11</v>
      </c>
      <c r="K2787">
        <f>_xlfn.XLOOKUP(tbl_analysis_tickets[[#This Row],[priority]],tbl_sla[priority],tbl_sla[Resolution SLA Hours])</f>
        <v>8</v>
      </c>
      <c r="L2787">
        <f>_xlfn.XLOOKUP(tbl_analysis_tickets[[#This Row],[priority]],tbl_sla[priority],tbl_sla[First Response SLA Minutes])</f>
        <v>30</v>
      </c>
      <c r="M2787" t="str">
        <f>IF(tbl_analysis_tickets[[#This Row],[resolution_time_hours]]&gt;tbl_analysis_tickets[[#This Row],[Resolution SLA Hours]],"Breached","Within SLA")</f>
        <v>Breached</v>
      </c>
      <c r="N2787" t="str">
        <f>IF(tbl_analysis_tickets[[#This Row],[first_response_minutes]]&gt;tbl_analysis_tickets[[#This Row],[First Response SLA Minutes]],"Breached","Within SLA")</f>
        <v>Breached</v>
      </c>
      <c r="O2787" t="str" cm="1">
        <f t="array" ref="O2787">_xlfn.IFS(
tbl_analysis_tickets[[#This Row],[agent_experience_years]]&lt;=2,"Junior",
tbl_analysis_tickets[[#This Row],[agent_experience_years]]&lt;=5,"Mid-Level",
tbl_analysis_tickets[[#This Row],[agent_experience_years]]&lt;=8,"Senior",
tbl_analysis_tickets[[#This Row],[agent_experience_years]]&gt;8,"Expert"
)</f>
        <v>Mid-Level</v>
      </c>
      <c r="P2787" cm="1">
        <f t="array" ref="P2787">_xlfn.SWITCH(tbl_analysis_tickets[[#This Row],[customer_satisfaction]],
"Low",1,
"Medium",2,
"High",3
)</f>
        <v>1</v>
      </c>
      <c r="Q2787">
        <f>IF(tbl_analysis_tickets[[#This Row],[reopened]]="Yes",1,0)</f>
        <v>0</v>
      </c>
      <c r="R2787" t="str" cm="1">
        <f t="array" ref="R2787">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787" t="str" cm="1">
        <f t="array" ref="S278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787" t="str">
        <f>TEXT(tbl_analysis_tickets[[#This Row],[created_date]],"mmm-yyyy")</f>
        <v>Dec-2024</v>
      </c>
      <c r="U2787" t="str">
        <f>TEXT(tbl_analysis_tickets[[#This Row],[created_date]],"dddd")</f>
        <v>Sunday</v>
      </c>
      <c r="V2787" cm="1">
        <f t="array" ref="V2787">_xlfn.SWITCH(tbl_analysis_tickets[[#This Row],[priority]],
"Urgent",1,
"High",2,
"Medium",3,
"Low",4
)</f>
        <v>1</v>
      </c>
    </row>
    <row r="2788" spans="1:22" x14ac:dyDescent="0.25">
      <c r="A2788">
        <v>2787</v>
      </c>
      <c r="B2788" s="1">
        <v>45437</v>
      </c>
      <c r="C2788" t="s">
        <v>23</v>
      </c>
      <c r="D2788" t="s">
        <v>15</v>
      </c>
      <c r="E2788">
        <v>44</v>
      </c>
      <c r="F2788">
        <v>41</v>
      </c>
      <c r="G2788">
        <v>2.4</v>
      </c>
      <c r="H2788" t="s">
        <v>18</v>
      </c>
      <c r="I2788" t="s">
        <v>13</v>
      </c>
      <c r="J2788" t="s">
        <v>11</v>
      </c>
      <c r="K2788">
        <f>_xlfn.XLOOKUP(tbl_analysis_tickets[[#This Row],[priority]],tbl_sla[priority],tbl_sla[Resolution SLA Hours])</f>
        <v>48</v>
      </c>
      <c r="L2788">
        <f>_xlfn.XLOOKUP(tbl_analysis_tickets[[#This Row],[priority]],tbl_sla[priority],tbl_sla[First Response SLA Minutes])</f>
        <v>120</v>
      </c>
      <c r="M2788" t="str">
        <f>IF(tbl_analysis_tickets[[#This Row],[resolution_time_hours]]&gt;tbl_analysis_tickets[[#This Row],[Resolution SLA Hours]],"Breached","Within SLA")</f>
        <v>Within SLA</v>
      </c>
      <c r="N2788" t="str">
        <f>IF(tbl_analysis_tickets[[#This Row],[first_response_minutes]]&gt;tbl_analysis_tickets[[#This Row],[First Response SLA Minutes]],"Breached","Within SLA")</f>
        <v>Within SLA</v>
      </c>
      <c r="O2788" t="str" cm="1">
        <f t="array" ref="O2788">_xlfn.IFS(
tbl_analysis_tickets[[#This Row],[agent_experience_years]]&lt;=2,"Junior",
tbl_analysis_tickets[[#This Row],[agent_experience_years]]&lt;=5,"Mid-Level",
tbl_analysis_tickets[[#This Row],[agent_experience_years]]&lt;=8,"Senior",
tbl_analysis_tickets[[#This Row],[agent_experience_years]]&gt;8,"Expert"
)</f>
        <v>Mid-Level</v>
      </c>
      <c r="P2788" cm="1">
        <f t="array" ref="P2788">_xlfn.SWITCH(tbl_analysis_tickets[[#This Row],[customer_satisfaction]],
"Low",1,
"Medium",2,
"High",3
)</f>
        <v>1</v>
      </c>
      <c r="Q2788">
        <f>IF(tbl_analysis_tickets[[#This Row],[reopened]]="Yes",1,0)</f>
        <v>0</v>
      </c>
      <c r="R2788" t="str" cm="1">
        <f t="array" ref="R2788">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788" t="str" cm="1">
        <f t="array" ref="S278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788" t="str">
        <f>TEXT(tbl_analysis_tickets[[#This Row],[created_date]],"mmm-yyyy")</f>
        <v>May-2024</v>
      </c>
      <c r="U2788" t="str">
        <f>TEXT(tbl_analysis_tickets[[#This Row],[created_date]],"dddd")</f>
        <v>Saturday</v>
      </c>
      <c r="V2788" cm="1">
        <f t="array" ref="V2788">_xlfn.SWITCH(tbl_analysis_tickets[[#This Row],[priority]],
"Urgent",1,
"High",2,
"Medium",3,
"Low",4
)</f>
        <v>3</v>
      </c>
    </row>
    <row r="2789" spans="1:22" x14ac:dyDescent="0.25">
      <c r="A2789">
        <v>2788</v>
      </c>
      <c r="B2789" s="1">
        <v>45641</v>
      </c>
      <c r="C2789" t="s">
        <v>22</v>
      </c>
      <c r="D2789" t="s">
        <v>15</v>
      </c>
      <c r="E2789">
        <v>177</v>
      </c>
      <c r="F2789">
        <v>70</v>
      </c>
      <c r="G2789">
        <v>8.1</v>
      </c>
      <c r="H2789" t="s">
        <v>18</v>
      </c>
      <c r="I2789" t="s">
        <v>19</v>
      </c>
      <c r="J2789" t="s">
        <v>15</v>
      </c>
      <c r="K2789">
        <f>_xlfn.XLOOKUP(tbl_analysis_tickets[[#This Row],[priority]],tbl_sla[priority],tbl_sla[Resolution SLA Hours])</f>
        <v>48</v>
      </c>
      <c r="L2789">
        <f>_xlfn.XLOOKUP(tbl_analysis_tickets[[#This Row],[priority]],tbl_sla[priority],tbl_sla[First Response SLA Minutes])</f>
        <v>120</v>
      </c>
      <c r="M2789" t="str">
        <f>IF(tbl_analysis_tickets[[#This Row],[resolution_time_hours]]&gt;tbl_analysis_tickets[[#This Row],[Resolution SLA Hours]],"Breached","Within SLA")</f>
        <v>Breached</v>
      </c>
      <c r="N2789" t="str">
        <f>IF(tbl_analysis_tickets[[#This Row],[first_response_minutes]]&gt;tbl_analysis_tickets[[#This Row],[First Response SLA Minutes]],"Breached","Within SLA")</f>
        <v>Breached</v>
      </c>
      <c r="O2789" t="str" cm="1">
        <f t="array" ref="O2789">_xlfn.IFS(
tbl_analysis_tickets[[#This Row],[agent_experience_years]]&lt;=2,"Junior",
tbl_analysis_tickets[[#This Row],[agent_experience_years]]&lt;=5,"Mid-Level",
tbl_analysis_tickets[[#This Row],[agent_experience_years]]&lt;=8,"Senior",
tbl_analysis_tickets[[#This Row],[agent_experience_years]]&gt;8,"Expert"
)</f>
        <v>Expert</v>
      </c>
      <c r="P2789" cm="1">
        <f t="array" ref="P2789">_xlfn.SWITCH(tbl_analysis_tickets[[#This Row],[customer_satisfaction]],
"Low",1,
"Medium",2,
"High",3
)</f>
        <v>2</v>
      </c>
      <c r="Q2789">
        <f>IF(tbl_analysis_tickets[[#This Row],[reopened]]="Yes",1,0)</f>
        <v>0</v>
      </c>
      <c r="R2789" t="str" cm="1">
        <f t="array" ref="R2789">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789" t="str" cm="1">
        <f t="array" ref="S278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789" t="str">
        <f>TEXT(tbl_analysis_tickets[[#This Row],[created_date]],"mmm-yyyy")</f>
        <v>Dec-2024</v>
      </c>
      <c r="U2789" t="str">
        <f>TEXT(tbl_analysis_tickets[[#This Row],[created_date]],"dddd")</f>
        <v>Sunday</v>
      </c>
      <c r="V2789" cm="1">
        <f t="array" ref="V2789">_xlfn.SWITCH(tbl_analysis_tickets[[#This Row],[priority]],
"Urgent",1,
"High",2,
"Medium",3,
"Low",4
)</f>
        <v>3</v>
      </c>
    </row>
    <row r="2790" spans="1:22" x14ac:dyDescent="0.25">
      <c r="A2790">
        <v>2789</v>
      </c>
      <c r="B2790" s="1">
        <v>45647</v>
      </c>
      <c r="C2790" t="s">
        <v>22</v>
      </c>
      <c r="D2790" t="s">
        <v>17</v>
      </c>
      <c r="E2790">
        <v>54</v>
      </c>
      <c r="F2790">
        <v>9</v>
      </c>
      <c r="G2790">
        <v>6.6</v>
      </c>
      <c r="H2790" t="s">
        <v>12</v>
      </c>
      <c r="I2790" t="s">
        <v>13</v>
      </c>
      <c r="J2790" t="s">
        <v>11</v>
      </c>
      <c r="K2790">
        <f>_xlfn.XLOOKUP(tbl_analysis_tickets[[#This Row],[priority]],tbl_sla[priority],tbl_sla[Resolution SLA Hours])</f>
        <v>8</v>
      </c>
      <c r="L2790">
        <f>_xlfn.XLOOKUP(tbl_analysis_tickets[[#This Row],[priority]],tbl_sla[priority],tbl_sla[First Response SLA Minutes])</f>
        <v>30</v>
      </c>
      <c r="M2790" t="str">
        <f>IF(tbl_analysis_tickets[[#This Row],[resolution_time_hours]]&gt;tbl_analysis_tickets[[#This Row],[Resolution SLA Hours]],"Breached","Within SLA")</f>
        <v>Breached</v>
      </c>
      <c r="N2790" t="str">
        <f>IF(tbl_analysis_tickets[[#This Row],[first_response_minutes]]&gt;tbl_analysis_tickets[[#This Row],[First Response SLA Minutes]],"Breached","Within SLA")</f>
        <v>Breached</v>
      </c>
      <c r="O2790" t="str" cm="1">
        <f t="array" ref="O2790">_xlfn.IFS(
tbl_analysis_tickets[[#This Row],[agent_experience_years]]&lt;=2,"Junior",
tbl_analysis_tickets[[#This Row],[agent_experience_years]]&lt;=5,"Mid-Level",
tbl_analysis_tickets[[#This Row],[agent_experience_years]]&lt;=8,"Senior",
tbl_analysis_tickets[[#This Row],[agent_experience_years]]&gt;8,"Expert"
)</f>
        <v>Senior</v>
      </c>
      <c r="P2790" cm="1">
        <f t="array" ref="P2790">_xlfn.SWITCH(tbl_analysis_tickets[[#This Row],[customer_satisfaction]],
"Low",1,
"Medium",2,
"High",3
)</f>
        <v>1</v>
      </c>
      <c r="Q2790">
        <f>IF(tbl_analysis_tickets[[#This Row],[reopened]]="Yes",1,0)</f>
        <v>1</v>
      </c>
      <c r="R2790" t="str" cm="1">
        <f t="array" ref="R2790">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790" t="str" cm="1">
        <f t="array" ref="S279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790" t="str">
        <f>TEXT(tbl_analysis_tickets[[#This Row],[created_date]],"mmm-yyyy")</f>
        <v>Dec-2024</v>
      </c>
      <c r="U2790" t="str">
        <f>TEXT(tbl_analysis_tickets[[#This Row],[created_date]],"dddd")</f>
        <v>Saturday</v>
      </c>
      <c r="V2790" cm="1">
        <f t="array" ref="V2790">_xlfn.SWITCH(tbl_analysis_tickets[[#This Row],[priority]],
"Urgent",1,
"High",2,
"Medium",3,
"Low",4
)</f>
        <v>1</v>
      </c>
    </row>
    <row r="2791" spans="1:22" x14ac:dyDescent="0.25">
      <c r="A2791">
        <v>2790</v>
      </c>
      <c r="B2791" s="1">
        <v>45409</v>
      </c>
      <c r="C2791" t="s">
        <v>10</v>
      </c>
      <c r="D2791" t="s">
        <v>17</v>
      </c>
      <c r="E2791">
        <v>182</v>
      </c>
      <c r="F2791">
        <v>50</v>
      </c>
      <c r="G2791">
        <v>4.7</v>
      </c>
      <c r="H2791" t="s">
        <v>18</v>
      </c>
      <c r="I2791" t="s">
        <v>19</v>
      </c>
      <c r="J2791" t="s">
        <v>11</v>
      </c>
      <c r="K2791">
        <f>_xlfn.XLOOKUP(tbl_analysis_tickets[[#This Row],[priority]],tbl_sla[priority],tbl_sla[Resolution SLA Hours])</f>
        <v>8</v>
      </c>
      <c r="L2791">
        <f>_xlfn.XLOOKUP(tbl_analysis_tickets[[#This Row],[priority]],tbl_sla[priority],tbl_sla[First Response SLA Minutes])</f>
        <v>30</v>
      </c>
      <c r="M2791" t="str">
        <f>IF(tbl_analysis_tickets[[#This Row],[resolution_time_hours]]&gt;tbl_analysis_tickets[[#This Row],[Resolution SLA Hours]],"Breached","Within SLA")</f>
        <v>Breached</v>
      </c>
      <c r="N2791" t="str">
        <f>IF(tbl_analysis_tickets[[#This Row],[first_response_minutes]]&gt;tbl_analysis_tickets[[#This Row],[First Response SLA Minutes]],"Breached","Within SLA")</f>
        <v>Breached</v>
      </c>
      <c r="O2791" t="str" cm="1">
        <f t="array" ref="O2791">_xlfn.IFS(
tbl_analysis_tickets[[#This Row],[agent_experience_years]]&lt;=2,"Junior",
tbl_analysis_tickets[[#This Row],[agent_experience_years]]&lt;=5,"Mid-Level",
tbl_analysis_tickets[[#This Row],[agent_experience_years]]&lt;=8,"Senior",
tbl_analysis_tickets[[#This Row],[agent_experience_years]]&gt;8,"Expert"
)</f>
        <v>Mid-Level</v>
      </c>
      <c r="P2791" cm="1">
        <f t="array" ref="P2791">_xlfn.SWITCH(tbl_analysis_tickets[[#This Row],[customer_satisfaction]],
"Low",1,
"Medium",2,
"High",3
)</f>
        <v>1</v>
      </c>
      <c r="Q2791">
        <f>IF(tbl_analysis_tickets[[#This Row],[reopened]]="Yes",1,0)</f>
        <v>0</v>
      </c>
      <c r="R2791" t="str" cm="1">
        <f t="array" ref="R2791">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791" t="str" cm="1">
        <f t="array" ref="S279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791" t="str">
        <f>TEXT(tbl_analysis_tickets[[#This Row],[created_date]],"mmm-yyyy")</f>
        <v>Apr-2024</v>
      </c>
      <c r="U2791" t="str">
        <f>TEXT(tbl_analysis_tickets[[#This Row],[created_date]],"dddd")</f>
        <v>Saturday</v>
      </c>
      <c r="V2791" cm="1">
        <f t="array" ref="V2791">_xlfn.SWITCH(tbl_analysis_tickets[[#This Row],[priority]],
"Urgent",1,
"High",2,
"Medium",3,
"Low",4
)</f>
        <v>1</v>
      </c>
    </row>
    <row r="2792" spans="1:22" x14ac:dyDescent="0.25">
      <c r="A2792">
        <v>2791</v>
      </c>
      <c r="B2792" s="1">
        <v>45345</v>
      </c>
      <c r="C2792" t="s">
        <v>10</v>
      </c>
      <c r="D2792" t="s">
        <v>17</v>
      </c>
      <c r="E2792">
        <v>198</v>
      </c>
      <c r="F2792">
        <v>61</v>
      </c>
      <c r="G2792">
        <v>6</v>
      </c>
      <c r="H2792" t="s">
        <v>12</v>
      </c>
      <c r="I2792" t="s">
        <v>19</v>
      </c>
      <c r="J2792" t="s">
        <v>11</v>
      </c>
      <c r="K2792">
        <f>_xlfn.XLOOKUP(tbl_analysis_tickets[[#This Row],[priority]],tbl_sla[priority],tbl_sla[Resolution SLA Hours])</f>
        <v>8</v>
      </c>
      <c r="L2792">
        <f>_xlfn.XLOOKUP(tbl_analysis_tickets[[#This Row],[priority]],tbl_sla[priority],tbl_sla[First Response SLA Minutes])</f>
        <v>30</v>
      </c>
      <c r="M2792" t="str">
        <f>IF(tbl_analysis_tickets[[#This Row],[resolution_time_hours]]&gt;tbl_analysis_tickets[[#This Row],[Resolution SLA Hours]],"Breached","Within SLA")</f>
        <v>Breached</v>
      </c>
      <c r="N2792" t="str">
        <f>IF(tbl_analysis_tickets[[#This Row],[first_response_minutes]]&gt;tbl_analysis_tickets[[#This Row],[First Response SLA Minutes]],"Breached","Within SLA")</f>
        <v>Breached</v>
      </c>
      <c r="O2792" t="str" cm="1">
        <f t="array" ref="O2792">_xlfn.IFS(
tbl_analysis_tickets[[#This Row],[agent_experience_years]]&lt;=2,"Junior",
tbl_analysis_tickets[[#This Row],[agent_experience_years]]&lt;=5,"Mid-Level",
tbl_analysis_tickets[[#This Row],[agent_experience_years]]&lt;=8,"Senior",
tbl_analysis_tickets[[#This Row],[agent_experience_years]]&gt;8,"Expert"
)</f>
        <v>Senior</v>
      </c>
      <c r="P2792" cm="1">
        <f t="array" ref="P2792">_xlfn.SWITCH(tbl_analysis_tickets[[#This Row],[customer_satisfaction]],
"Low",1,
"Medium",2,
"High",3
)</f>
        <v>1</v>
      </c>
      <c r="Q2792">
        <f>IF(tbl_analysis_tickets[[#This Row],[reopened]]="Yes",1,0)</f>
        <v>1</v>
      </c>
      <c r="R2792" t="str" cm="1">
        <f t="array" ref="R2792">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792" t="str" cm="1">
        <f t="array" ref="S2792">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792" t="str">
        <f>TEXT(tbl_analysis_tickets[[#This Row],[created_date]],"mmm-yyyy")</f>
        <v>Feb-2024</v>
      </c>
      <c r="U2792" t="str">
        <f>TEXT(tbl_analysis_tickets[[#This Row],[created_date]],"dddd")</f>
        <v>Friday</v>
      </c>
      <c r="V2792" cm="1">
        <f t="array" ref="V2792">_xlfn.SWITCH(tbl_analysis_tickets[[#This Row],[priority]],
"Urgent",1,
"High",2,
"Medium",3,
"Low",4
)</f>
        <v>1</v>
      </c>
    </row>
    <row r="2793" spans="1:22" x14ac:dyDescent="0.25">
      <c r="A2793">
        <v>2792</v>
      </c>
      <c r="B2793" s="1">
        <v>45653</v>
      </c>
      <c r="C2793" t="s">
        <v>21</v>
      </c>
      <c r="D2793" t="s">
        <v>17</v>
      </c>
      <c r="E2793">
        <v>187</v>
      </c>
      <c r="F2793">
        <v>19</v>
      </c>
      <c r="G2793">
        <v>7.2</v>
      </c>
      <c r="H2793" t="s">
        <v>18</v>
      </c>
      <c r="I2793" t="s">
        <v>13</v>
      </c>
      <c r="J2793" t="s">
        <v>11</v>
      </c>
      <c r="K2793">
        <f>_xlfn.XLOOKUP(tbl_analysis_tickets[[#This Row],[priority]],tbl_sla[priority],tbl_sla[Resolution SLA Hours])</f>
        <v>8</v>
      </c>
      <c r="L2793">
        <f>_xlfn.XLOOKUP(tbl_analysis_tickets[[#This Row],[priority]],tbl_sla[priority],tbl_sla[First Response SLA Minutes])</f>
        <v>30</v>
      </c>
      <c r="M2793" t="str">
        <f>IF(tbl_analysis_tickets[[#This Row],[resolution_time_hours]]&gt;tbl_analysis_tickets[[#This Row],[Resolution SLA Hours]],"Breached","Within SLA")</f>
        <v>Breached</v>
      </c>
      <c r="N2793" t="str">
        <f>IF(tbl_analysis_tickets[[#This Row],[first_response_minutes]]&gt;tbl_analysis_tickets[[#This Row],[First Response SLA Minutes]],"Breached","Within SLA")</f>
        <v>Breached</v>
      </c>
      <c r="O2793" t="str" cm="1">
        <f t="array" ref="O2793">_xlfn.IFS(
tbl_analysis_tickets[[#This Row],[agent_experience_years]]&lt;=2,"Junior",
tbl_analysis_tickets[[#This Row],[agent_experience_years]]&lt;=5,"Mid-Level",
tbl_analysis_tickets[[#This Row],[agent_experience_years]]&lt;=8,"Senior",
tbl_analysis_tickets[[#This Row],[agent_experience_years]]&gt;8,"Expert"
)</f>
        <v>Senior</v>
      </c>
      <c r="P2793" cm="1">
        <f t="array" ref="P2793">_xlfn.SWITCH(tbl_analysis_tickets[[#This Row],[customer_satisfaction]],
"Low",1,
"Medium",2,
"High",3
)</f>
        <v>1</v>
      </c>
      <c r="Q2793">
        <f>IF(tbl_analysis_tickets[[#This Row],[reopened]]="Yes",1,0)</f>
        <v>0</v>
      </c>
      <c r="R2793" t="str" cm="1">
        <f t="array" ref="R2793">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793" t="str" cm="1">
        <f t="array" ref="S2793">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793" t="str">
        <f>TEXT(tbl_analysis_tickets[[#This Row],[created_date]],"mmm-yyyy")</f>
        <v>Dec-2024</v>
      </c>
      <c r="U2793" t="str">
        <f>TEXT(tbl_analysis_tickets[[#This Row],[created_date]],"dddd")</f>
        <v>Friday</v>
      </c>
      <c r="V2793" cm="1">
        <f t="array" ref="V2793">_xlfn.SWITCH(tbl_analysis_tickets[[#This Row],[priority]],
"Urgent",1,
"High",2,
"Medium",3,
"Low",4
)</f>
        <v>1</v>
      </c>
    </row>
    <row r="2794" spans="1:22" x14ac:dyDescent="0.25">
      <c r="A2794">
        <v>2793</v>
      </c>
      <c r="B2794" s="1">
        <v>45613</v>
      </c>
      <c r="C2794" t="s">
        <v>22</v>
      </c>
      <c r="D2794" t="s">
        <v>15</v>
      </c>
      <c r="E2794">
        <v>62</v>
      </c>
      <c r="F2794">
        <v>12</v>
      </c>
      <c r="G2794">
        <v>7.6</v>
      </c>
      <c r="H2794" t="s">
        <v>18</v>
      </c>
      <c r="I2794" t="s">
        <v>16</v>
      </c>
      <c r="J2794" t="s">
        <v>15</v>
      </c>
      <c r="K2794">
        <f>_xlfn.XLOOKUP(tbl_analysis_tickets[[#This Row],[priority]],tbl_sla[priority],tbl_sla[Resolution SLA Hours])</f>
        <v>48</v>
      </c>
      <c r="L2794">
        <f>_xlfn.XLOOKUP(tbl_analysis_tickets[[#This Row],[priority]],tbl_sla[priority],tbl_sla[First Response SLA Minutes])</f>
        <v>120</v>
      </c>
      <c r="M2794" t="str">
        <f>IF(tbl_analysis_tickets[[#This Row],[resolution_time_hours]]&gt;tbl_analysis_tickets[[#This Row],[Resolution SLA Hours]],"Breached","Within SLA")</f>
        <v>Within SLA</v>
      </c>
      <c r="N2794" t="str">
        <f>IF(tbl_analysis_tickets[[#This Row],[first_response_minutes]]&gt;tbl_analysis_tickets[[#This Row],[First Response SLA Minutes]],"Breached","Within SLA")</f>
        <v>Within SLA</v>
      </c>
      <c r="O2794" t="str" cm="1">
        <f t="array" ref="O2794">_xlfn.IFS(
tbl_analysis_tickets[[#This Row],[agent_experience_years]]&lt;=2,"Junior",
tbl_analysis_tickets[[#This Row],[agent_experience_years]]&lt;=5,"Mid-Level",
tbl_analysis_tickets[[#This Row],[agent_experience_years]]&lt;=8,"Senior",
tbl_analysis_tickets[[#This Row],[agent_experience_years]]&gt;8,"Expert"
)</f>
        <v>Senior</v>
      </c>
      <c r="P2794" cm="1">
        <f t="array" ref="P2794">_xlfn.SWITCH(tbl_analysis_tickets[[#This Row],[customer_satisfaction]],
"Low",1,
"Medium",2,
"High",3
)</f>
        <v>2</v>
      </c>
      <c r="Q2794">
        <f>IF(tbl_analysis_tickets[[#This Row],[reopened]]="Yes",1,0)</f>
        <v>0</v>
      </c>
      <c r="R2794" t="str" cm="1">
        <f t="array" ref="R2794">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794" t="str" cm="1">
        <f t="array" ref="S2794">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794" t="str">
        <f>TEXT(tbl_analysis_tickets[[#This Row],[created_date]],"mmm-yyyy")</f>
        <v>Nov-2024</v>
      </c>
      <c r="U2794" t="str">
        <f>TEXT(tbl_analysis_tickets[[#This Row],[created_date]],"dddd")</f>
        <v>Sunday</v>
      </c>
      <c r="V2794" cm="1">
        <f t="array" ref="V2794">_xlfn.SWITCH(tbl_analysis_tickets[[#This Row],[priority]],
"Urgent",1,
"High",2,
"Medium",3,
"Low",4
)</f>
        <v>3</v>
      </c>
    </row>
    <row r="2795" spans="1:22" x14ac:dyDescent="0.25">
      <c r="A2795">
        <v>2794</v>
      </c>
      <c r="B2795" s="1">
        <v>45640</v>
      </c>
      <c r="C2795" t="s">
        <v>21</v>
      </c>
      <c r="D2795" t="s">
        <v>17</v>
      </c>
      <c r="E2795">
        <v>210</v>
      </c>
      <c r="F2795">
        <v>31</v>
      </c>
      <c r="G2795">
        <v>8.6</v>
      </c>
      <c r="H2795" t="s">
        <v>18</v>
      </c>
      <c r="I2795" t="s">
        <v>19</v>
      </c>
      <c r="J2795" t="s">
        <v>11</v>
      </c>
      <c r="K2795">
        <f>_xlfn.XLOOKUP(tbl_analysis_tickets[[#This Row],[priority]],tbl_sla[priority],tbl_sla[Resolution SLA Hours])</f>
        <v>8</v>
      </c>
      <c r="L2795">
        <f>_xlfn.XLOOKUP(tbl_analysis_tickets[[#This Row],[priority]],tbl_sla[priority],tbl_sla[First Response SLA Minutes])</f>
        <v>30</v>
      </c>
      <c r="M2795" t="str">
        <f>IF(tbl_analysis_tickets[[#This Row],[resolution_time_hours]]&gt;tbl_analysis_tickets[[#This Row],[Resolution SLA Hours]],"Breached","Within SLA")</f>
        <v>Breached</v>
      </c>
      <c r="N2795" t="str">
        <f>IF(tbl_analysis_tickets[[#This Row],[first_response_minutes]]&gt;tbl_analysis_tickets[[#This Row],[First Response SLA Minutes]],"Breached","Within SLA")</f>
        <v>Breached</v>
      </c>
      <c r="O2795" t="str" cm="1">
        <f t="array" ref="O2795">_xlfn.IFS(
tbl_analysis_tickets[[#This Row],[agent_experience_years]]&lt;=2,"Junior",
tbl_analysis_tickets[[#This Row],[agent_experience_years]]&lt;=5,"Mid-Level",
tbl_analysis_tickets[[#This Row],[agent_experience_years]]&lt;=8,"Senior",
tbl_analysis_tickets[[#This Row],[agent_experience_years]]&gt;8,"Expert"
)</f>
        <v>Expert</v>
      </c>
      <c r="P2795" cm="1">
        <f t="array" ref="P2795">_xlfn.SWITCH(tbl_analysis_tickets[[#This Row],[customer_satisfaction]],
"Low",1,
"Medium",2,
"High",3
)</f>
        <v>1</v>
      </c>
      <c r="Q2795">
        <f>IF(tbl_analysis_tickets[[#This Row],[reopened]]="Yes",1,0)</f>
        <v>0</v>
      </c>
      <c r="R2795" t="str" cm="1">
        <f t="array" ref="R2795">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795" t="str" cm="1">
        <f t="array" ref="S2795">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795" t="str">
        <f>TEXT(tbl_analysis_tickets[[#This Row],[created_date]],"mmm-yyyy")</f>
        <v>Dec-2024</v>
      </c>
      <c r="U2795" t="str">
        <f>TEXT(tbl_analysis_tickets[[#This Row],[created_date]],"dddd")</f>
        <v>Saturday</v>
      </c>
      <c r="V2795" cm="1">
        <f t="array" ref="V2795">_xlfn.SWITCH(tbl_analysis_tickets[[#This Row],[priority]],
"Urgent",1,
"High",2,
"Medium",3,
"Low",4
)</f>
        <v>1</v>
      </c>
    </row>
    <row r="2796" spans="1:22" x14ac:dyDescent="0.25">
      <c r="A2796">
        <v>2795</v>
      </c>
      <c r="B2796" s="1">
        <v>45353</v>
      </c>
      <c r="C2796" t="s">
        <v>21</v>
      </c>
      <c r="D2796" t="s">
        <v>15</v>
      </c>
      <c r="E2796">
        <v>130</v>
      </c>
      <c r="F2796">
        <v>60</v>
      </c>
      <c r="G2796">
        <v>1.6</v>
      </c>
      <c r="H2796" t="s">
        <v>12</v>
      </c>
      <c r="I2796" t="s">
        <v>16</v>
      </c>
      <c r="J2796" t="s">
        <v>11</v>
      </c>
      <c r="K2796">
        <f>_xlfn.XLOOKUP(tbl_analysis_tickets[[#This Row],[priority]],tbl_sla[priority],tbl_sla[Resolution SLA Hours])</f>
        <v>48</v>
      </c>
      <c r="L2796">
        <f>_xlfn.XLOOKUP(tbl_analysis_tickets[[#This Row],[priority]],tbl_sla[priority],tbl_sla[First Response SLA Minutes])</f>
        <v>120</v>
      </c>
      <c r="M2796" t="str">
        <f>IF(tbl_analysis_tickets[[#This Row],[resolution_time_hours]]&gt;tbl_analysis_tickets[[#This Row],[Resolution SLA Hours]],"Breached","Within SLA")</f>
        <v>Breached</v>
      </c>
      <c r="N2796" t="str">
        <f>IF(tbl_analysis_tickets[[#This Row],[first_response_minutes]]&gt;tbl_analysis_tickets[[#This Row],[First Response SLA Minutes]],"Breached","Within SLA")</f>
        <v>Breached</v>
      </c>
      <c r="O2796" t="str" cm="1">
        <f t="array" ref="O2796">_xlfn.IFS(
tbl_analysis_tickets[[#This Row],[agent_experience_years]]&lt;=2,"Junior",
tbl_analysis_tickets[[#This Row],[agent_experience_years]]&lt;=5,"Mid-Level",
tbl_analysis_tickets[[#This Row],[agent_experience_years]]&lt;=8,"Senior",
tbl_analysis_tickets[[#This Row],[agent_experience_years]]&gt;8,"Expert"
)</f>
        <v>Junior</v>
      </c>
      <c r="P2796" cm="1">
        <f t="array" ref="P2796">_xlfn.SWITCH(tbl_analysis_tickets[[#This Row],[customer_satisfaction]],
"Low",1,
"Medium",2,
"High",3
)</f>
        <v>1</v>
      </c>
      <c r="Q2796">
        <f>IF(tbl_analysis_tickets[[#This Row],[reopened]]="Yes",1,0)</f>
        <v>1</v>
      </c>
      <c r="R2796" t="str" cm="1">
        <f t="array" ref="R2796">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796" t="str" cm="1">
        <f t="array" ref="S2796">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3 Days</v>
      </c>
      <c r="T2796" t="str">
        <f>TEXT(tbl_analysis_tickets[[#This Row],[created_date]],"mmm-yyyy")</f>
        <v>Mar-2024</v>
      </c>
      <c r="U2796" t="str">
        <f>TEXT(tbl_analysis_tickets[[#This Row],[created_date]],"dddd")</f>
        <v>Saturday</v>
      </c>
      <c r="V2796" cm="1">
        <f t="array" ref="V2796">_xlfn.SWITCH(tbl_analysis_tickets[[#This Row],[priority]],
"Urgent",1,
"High",2,
"Medium",3,
"Low",4
)</f>
        <v>3</v>
      </c>
    </row>
    <row r="2797" spans="1:22" x14ac:dyDescent="0.25">
      <c r="A2797">
        <v>2796</v>
      </c>
      <c r="B2797" s="1">
        <v>45554</v>
      </c>
      <c r="C2797" t="s">
        <v>22</v>
      </c>
      <c r="D2797" t="s">
        <v>15</v>
      </c>
      <c r="E2797">
        <v>200</v>
      </c>
      <c r="F2797">
        <v>17</v>
      </c>
      <c r="G2797">
        <v>7.4</v>
      </c>
      <c r="H2797" t="s">
        <v>18</v>
      </c>
      <c r="I2797" t="s">
        <v>13</v>
      </c>
      <c r="J2797" t="s">
        <v>15</v>
      </c>
      <c r="K2797">
        <f>_xlfn.XLOOKUP(tbl_analysis_tickets[[#This Row],[priority]],tbl_sla[priority],tbl_sla[Resolution SLA Hours])</f>
        <v>48</v>
      </c>
      <c r="L2797">
        <f>_xlfn.XLOOKUP(tbl_analysis_tickets[[#This Row],[priority]],tbl_sla[priority],tbl_sla[First Response SLA Minutes])</f>
        <v>120</v>
      </c>
      <c r="M2797" t="str">
        <f>IF(tbl_analysis_tickets[[#This Row],[resolution_time_hours]]&gt;tbl_analysis_tickets[[#This Row],[Resolution SLA Hours]],"Breached","Within SLA")</f>
        <v>Within SLA</v>
      </c>
      <c r="N2797" t="str">
        <f>IF(tbl_analysis_tickets[[#This Row],[first_response_minutes]]&gt;tbl_analysis_tickets[[#This Row],[First Response SLA Minutes]],"Breached","Within SLA")</f>
        <v>Breached</v>
      </c>
      <c r="O2797" t="str" cm="1">
        <f t="array" ref="O2797">_xlfn.IFS(
tbl_analysis_tickets[[#This Row],[agent_experience_years]]&lt;=2,"Junior",
tbl_analysis_tickets[[#This Row],[agent_experience_years]]&lt;=5,"Mid-Level",
tbl_analysis_tickets[[#This Row],[agent_experience_years]]&lt;=8,"Senior",
tbl_analysis_tickets[[#This Row],[agent_experience_years]]&gt;8,"Expert"
)</f>
        <v>Senior</v>
      </c>
      <c r="P2797" cm="1">
        <f t="array" ref="P2797">_xlfn.SWITCH(tbl_analysis_tickets[[#This Row],[customer_satisfaction]],
"Low",1,
"Medium",2,
"High",3
)</f>
        <v>2</v>
      </c>
      <c r="Q2797">
        <f>IF(tbl_analysis_tickets[[#This Row],[reopened]]="Yes",1,0)</f>
        <v>0</v>
      </c>
      <c r="R2797" t="str" cm="1">
        <f t="array" ref="R2797">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797" t="str" cm="1">
        <f t="array" ref="S2797">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797" t="str">
        <f>TEXT(tbl_analysis_tickets[[#This Row],[created_date]],"mmm-yyyy")</f>
        <v>Sep-2024</v>
      </c>
      <c r="U2797" t="str">
        <f>TEXT(tbl_analysis_tickets[[#This Row],[created_date]],"dddd")</f>
        <v>Thursday</v>
      </c>
      <c r="V2797" cm="1">
        <f t="array" ref="V2797">_xlfn.SWITCH(tbl_analysis_tickets[[#This Row],[priority]],
"Urgent",1,
"High",2,
"Medium",3,
"Low",4
)</f>
        <v>3</v>
      </c>
    </row>
    <row r="2798" spans="1:22" x14ac:dyDescent="0.25">
      <c r="A2798">
        <v>2797</v>
      </c>
      <c r="B2798" s="1">
        <v>45542</v>
      </c>
      <c r="C2798" t="s">
        <v>23</v>
      </c>
      <c r="D2798" t="s">
        <v>11</v>
      </c>
      <c r="E2798">
        <v>213</v>
      </c>
      <c r="F2798">
        <v>16</v>
      </c>
      <c r="G2798">
        <v>8.3000000000000007</v>
      </c>
      <c r="H2798" t="s">
        <v>18</v>
      </c>
      <c r="I2798" t="s">
        <v>19</v>
      </c>
      <c r="J2798" t="s">
        <v>15</v>
      </c>
      <c r="K2798">
        <f>_xlfn.XLOOKUP(tbl_analysis_tickets[[#This Row],[priority]],tbl_sla[priority],tbl_sla[Resolution SLA Hours])</f>
        <v>72</v>
      </c>
      <c r="L2798">
        <f>_xlfn.XLOOKUP(tbl_analysis_tickets[[#This Row],[priority]],tbl_sla[priority],tbl_sla[First Response SLA Minutes])</f>
        <v>240</v>
      </c>
      <c r="M2798" t="str">
        <f>IF(tbl_analysis_tickets[[#This Row],[resolution_time_hours]]&gt;tbl_analysis_tickets[[#This Row],[Resolution SLA Hours]],"Breached","Within SLA")</f>
        <v>Within SLA</v>
      </c>
      <c r="N2798" t="str">
        <f>IF(tbl_analysis_tickets[[#This Row],[first_response_minutes]]&gt;tbl_analysis_tickets[[#This Row],[First Response SLA Minutes]],"Breached","Within SLA")</f>
        <v>Within SLA</v>
      </c>
      <c r="O2798" t="str" cm="1">
        <f t="array" ref="O2798">_xlfn.IFS(
tbl_analysis_tickets[[#This Row],[agent_experience_years]]&lt;=2,"Junior",
tbl_analysis_tickets[[#This Row],[agent_experience_years]]&lt;=5,"Mid-Level",
tbl_analysis_tickets[[#This Row],[agent_experience_years]]&lt;=8,"Senior",
tbl_analysis_tickets[[#This Row],[agent_experience_years]]&gt;8,"Expert"
)</f>
        <v>Expert</v>
      </c>
      <c r="P2798" cm="1">
        <f t="array" ref="P2798">_xlfn.SWITCH(tbl_analysis_tickets[[#This Row],[customer_satisfaction]],
"Low",1,
"Medium",2,
"High",3
)</f>
        <v>2</v>
      </c>
      <c r="Q2798">
        <f>IF(tbl_analysis_tickets[[#This Row],[reopened]]="Yes",1,0)</f>
        <v>0</v>
      </c>
      <c r="R2798" t="str" cm="1">
        <f t="array" ref="R2798">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798" t="str" cm="1">
        <f t="array" ref="S2798">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798" t="str">
        <f>TEXT(tbl_analysis_tickets[[#This Row],[created_date]],"mmm-yyyy")</f>
        <v>Sep-2024</v>
      </c>
      <c r="U2798" t="str">
        <f>TEXT(tbl_analysis_tickets[[#This Row],[created_date]],"dddd")</f>
        <v>Saturday</v>
      </c>
      <c r="V2798" cm="1">
        <f t="array" ref="V2798">_xlfn.SWITCH(tbl_analysis_tickets[[#This Row],[priority]],
"Urgent",1,
"High",2,
"Medium",3,
"Low",4
)</f>
        <v>4</v>
      </c>
    </row>
    <row r="2799" spans="1:22" x14ac:dyDescent="0.25">
      <c r="A2799">
        <v>2798</v>
      </c>
      <c r="B2799" s="1">
        <v>45645</v>
      </c>
      <c r="C2799" t="s">
        <v>21</v>
      </c>
      <c r="D2799" t="s">
        <v>20</v>
      </c>
      <c r="E2799">
        <v>15</v>
      </c>
      <c r="F2799">
        <v>31</v>
      </c>
      <c r="G2799">
        <v>3.4</v>
      </c>
      <c r="H2799" t="s">
        <v>18</v>
      </c>
      <c r="I2799" t="s">
        <v>16</v>
      </c>
      <c r="J2799" t="s">
        <v>15</v>
      </c>
      <c r="K2799">
        <f>_xlfn.XLOOKUP(tbl_analysis_tickets[[#This Row],[priority]],tbl_sla[priority],tbl_sla[Resolution SLA Hours])</f>
        <v>24</v>
      </c>
      <c r="L2799">
        <f>_xlfn.XLOOKUP(tbl_analysis_tickets[[#This Row],[priority]],tbl_sla[priority],tbl_sla[First Response SLA Minutes])</f>
        <v>60</v>
      </c>
      <c r="M2799" t="str">
        <f>IF(tbl_analysis_tickets[[#This Row],[resolution_time_hours]]&gt;tbl_analysis_tickets[[#This Row],[Resolution SLA Hours]],"Breached","Within SLA")</f>
        <v>Breached</v>
      </c>
      <c r="N2799" t="str">
        <f>IF(tbl_analysis_tickets[[#This Row],[first_response_minutes]]&gt;tbl_analysis_tickets[[#This Row],[First Response SLA Minutes]],"Breached","Within SLA")</f>
        <v>Within SLA</v>
      </c>
      <c r="O2799" t="str" cm="1">
        <f t="array" ref="O2799">_xlfn.IFS(
tbl_analysis_tickets[[#This Row],[agent_experience_years]]&lt;=2,"Junior",
tbl_analysis_tickets[[#This Row],[agent_experience_years]]&lt;=5,"Mid-Level",
tbl_analysis_tickets[[#This Row],[agent_experience_years]]&lt;=8,"Senior",
tbl_analysis_tickets[[#This Row],[agent_experience_years]]&gt;8,"Expert"
)</f>
        <v>Mid-Level</v>
      </c>
      <c r="P2799" cm="1">
        <f t="array" ref="P2799">_xlfn.SWITCH(tbl_analysis_tickets[[#This Row],[customer_satisfaction]],
"Low",1,
"Medium",2,
"High",3
)</f>
        <v>2</v>
      </c>
      <c r="Q2799">
        <f>IF(tbl_analysis_tickets[[#This Row],[reopened]]="Yes",1,0)</f>
        <v>0</v>
      </c>
      <c r="R2799" t="str" cm="1">
        <f t="array" ref="R2799">_xlfn.IFS(
tbl_analysis_tickets[[#This Row],[first_response_minutes]]&lt;=30,"Very Fast",
tbl_analysis_tickets[[#This Row],[first_response_minutes]]&lt;=120,"Acceptable",
tbl_analysis_tickets[[#This Row],[first_response_minutes]]&lt;=240,"Slow",
tbl_analysis_tickets[[#This Row],[first_response_minutes]]&gt;240,"Very Slow"
)</f>
        <v>Very Fast</v>
      </c>
      <c r="S2799" t="str" cm="1">
        <f t="array" ref="S2799">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2 Days</v>
      </c>
      <c r="T2799" t="str">
        <f>TEXT(tbl_analysis_tickets[[#This Row],[created_date]],"mmm-yyyy")</f>
        <v>Dec-2024</v>
      </c>
      <c r="U2799" t="str">
        <f>TEXT(tbl_analysis_tickets[[#This Row],[created_date]],"dddd")</f>
        <v>Thursday</v>
      </c>
      <c r="V2799" cm="1">
        <f t="array" ref="V2799">_xlfn.SWITCH(tbl_analysis_tickets[[#This Row],[priority]],
"Urgent",1,
"High",2,
"Medium",3,
"Low",4
)</f>
        <v>2</v>
      </c>
    </row>
    <row r="2800" spans="1:22" x14ac:dyDescent="0.25">
      <c r="A2800">
        <v>2799</v>
      </c>
      <c r="B2800" s="1">
        <v>45326</v>
      </c>
      <c r="C2800" t="s">
        <v>23</v>
      </c>
      <c r="D2800" t="s">
        <v>17</v>
      </c>
      <c r="E2800">
        <v>178</v>
      </c>
      <c r="F2800">
        <v>9</v>
      </c>
      <c r="G2800">
        <v>9.1999999999999993</v>
      </c>
      <c r="H2800" t="s">
        <v>12</v>
      </c>
      <c r="I2800" t="s">
        <v>16</v>
      </c>
      <c r="J2800" t="s">
        <v>11</v>
      </c>
      <c r="K2800">
        <f>_xlfn.XLOOKUP(tbl_analysis_tickets[[#This Row],[priority]],tbl_sla[priority],tbl_sla[Resolution SLA Hours])</f>
        <v>8</v>
      </c>
      <c r="L2800">
        <f>_xlfn.XLOOKUP(tbl_analysis_tickets[[#This Row],[priority]],tbl_sla[priority],tbl_sla[First Response SLA Minutes])</f>
        <v>30</v>
      </c>
      <c r="M2800" t="str">
        <f>IF(tbl_analysis_tickets[[#This Row],[resolution_time_hours]]&gt;tbl_analysis_tickets[[#This Row],[Resolution SLA Hours]],"Breached","Within SLA")</f>
        <v>Breached</v>
      </c>
      <c r="N2800" t="str">
        <f>IF(tbl_analysis_tickets[[#This Row],[first_response_minutes]]&gt;tbl_analysis_tickets[[#This Row],[First Response SLA Minutes]],"Breached","Within SLA")</f>
        <v>Breached</v>
      </c>
      <c r="O2800" t="str" cm="1">
        <f t="array" ref="O2800">_xlfn.IFS(
tbl_analysis_tickets[[#This Row],[agent_experience_years]]&lt;=2,"Junior",
tbl_analysis_tickets[[#This Row],[agent_experience_years]]&lt;=5,"Mid-Level",
tbl_analysis_tickets[[#This Row],[agent_experience_years]]&lt;=8,"Senior",
tbl_analysis_tickets[[#This Row],[agent_experience_years]]&gt;8,"Expert"
)</f>
        <v>Expert</v>
      </c>
      <c r="P2800" cm="1">
        <f t="array" ref="P2800">_xlfn.SWITCH(tbl_analysis_tickets[[#This Row],[customer_satisfaction]],
"Low",1,
"Medium",2,
"High",3
)</f>
        <v>1</v>
      </c>
      <c r="Q2800">
        <f>IF(tbl_analysis_tickets[[#This Row],[reopened]]="Yes",1,0)</f>
        <v>1</v>
      </c>
      <c r="R2800" t="str" cm="1">
        <f t="array" ref="R2800">_xlfn.IFS(
tbl_analysis_tickets[[#This Row],[first_response_minutes]]&lt;=30,"Very Fast",
tbl_analysis_tickets[[#This Row],[first_response_minutes]]&lt;=120,"Acceptable",
tbl_analysis_tickets[[#This Row],[first_response_minutes]]&lt;=240,"Slow",
tbl_analysis_tickets[[#This Row],[first_response_minutes]]&gt;240,"Very Slow"
)</f>
        <v>Slow</v>
      </c>
      <c r="S2800" t="str" cm="1">
        <f t="array" ref="S2800">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800" t="str">
        <f>TEXT(tbl_analysis_tickets[[#This Row],[created_date]],"mmm-yyyy")</f>
        <v>Feb-2024</v>
      </c>
      <c r="U2800" t="str">
        <f>TEXT(tbl_analysis_tickets[[#This Row],[created_date]],"dddd")</f>
        <v>Sunday</v>
      </c>
      <c r="V2800" cm="1">
        <f t="array" ref="V2800">_xlfn.SWITCH(tbl_analysis_tickets[[#This Row],[priority]],
"Urgent",1,
"High",2,
"Medium",3,
"Low",4
)</f>
        <v>1</v>
      </c>
    </row>
    <row r="2801" spans="1:22" x14ac:dyDescent="0.25">
      <c r="A2801">
        <v>2800</v>
      </c>
      <c r="B2801" s="1">
        <v>45319</v>
      </c>
      <c r="C2801" t="s">
        <v>10</v>
      </c>
      <c r="D2801" t="s">
        <v>17</v>
      </c>
      <c r="E2801">
        <v>68</v>
      </c>
      <c r="F2801">
        <v>20</v>
      </c>
      <c r="G2801">
        <v>2.7</v>
      </c>
      <c r="H2801" t="s">
        <v>12</v>
      </c>
      <c r="I2801" t="s">
        <v>19</v>
      </c>
      <c r="J2801" t="s">
        <v>11</v>
      </c>
      <c r="K2801">
        <f>_xlfn.XLOOKUP(tbl_analysis_tickets[[#This Row],[priority]],tbl_sla[priority],tbl_sla[Resolution SLA Hours])</f>
        <v>8</v>
      </c>
      <c r="L2801">
        <f>_xlfn.XLOOKUP(tbl_analysis_tickets[[#This Row],[priority]],tbl_sla[priority],tbl_sla[First Response SLA Minutes])</f>
        <v>30</v>
      </c>
      <c r="M2801" t="str">
        <f>IF(tbl_analysis_tickets[[#This Row],[resolution_time_hours]]&gt;tbl_analysis_tickets[[#This Row],[Resolution SLA Hours]],"Breached","Within SLA")</f>
        <v>Breached</v>
      </c>
      <c r="N2801" t="str">
        <f>IF(tbl_analysis_tickets[[#This Row],[first_response_minutes]]&gt;tbl_analysis_tickets[[#This Row],[First Response SLA Minutes]],"Breached","Within SLA")</f>
        <v>Breached</v>
      </c>
      <c r="O2801" t="str" cm="1">
        <f t="array" ref="O2801">_xlfn.IFS(
tbl_analysis_tickets[[#This Row],[agent_experience_years]]&lt;=2,"Junior",
tbl_analysis_tickets[[#This Row],[agent_experience_years]]&lt;=5,"Mid-Level",
tbl_analysis_tickets[[#This Row],[agent_experience_years]]&lt;=8,"Senior",
tbl_analysis_tickets[[#This Row],[agent_experience_years]]&gt;8,"Expert"
)</f>
        <v>Mid-Level</v>
      </c>
      <c r="P2801" cm="1">
        <f t="array" ref="P2801">_xlfn.SWITCH(tbl_analysis_tickets[[#This Row],[customer_satisfaction]],
"Low",1,
"Medium",2,
"High",3
)</f>
        <v>1</v>
      </c>
      <c r="Q2801">
        <f>IF(tbl_analysis_tickets[[#This Row],[reopened]]="Yes",1,0)</f>
        <v>1</v>
      </c>
      <c r="R2801" t="str" cm="1">
        <f t="array" ref="R2801">_xlfn.IFS(
tbl_analysis_tickets[[#This Row],[first_response_minutes]]&lt;=30,"Very Fast",
tbl_analysis_tickets[[#This Row],[first_response_minutes]]&lt;=120,"Acceptable",
tbl_analysis_tickets[[#This Row],[first_response_minutes]]&lt;=240,"Slow",
tbl_analysis_tickets[[#This Row],[first_response_minutes]]&gt;240,"Very Slow"
)</f>
        <v>Acceptable</v>
      </c>
      <c r="S2801" t="str" cm="1">
        <f t="array" ref="S2801">_xlfn.IFS(
tbl_analysis_tickets[[#This Row],[resolution_time_hours]]&lt;=8,"Same Day",
tbl_analysis_tickets[[#This Row],[resolution_time_hours]]&lt;=24,"1 Day",
tbl_analysis_tickets[[#This Row],[resolution_time_hours]]&lt;=48,"2 Days",
tbl_analysis_tickets[[#This Row],[resolution_time_hours]]&lt;=72,"3 Days",
tbl_analysis_tickets[[#This Row],[resolution_time_hours]]&gt;72,"More than 3 Days"
)</f>
        <v>1 Day</v>
      </c>
      <c r="T2801" t="str">
        <f>TEXT(tbl_analysis_tickets[[#This Row],[created_date]],"mmm-yyyy")</f>
        <v>Jan-2024</v>
      </c>
      <c r="U2801" t="str">
        <f>TEXT(tbl_analysis_tickets[[#This Row],[created_date]],"dddd")</f>
        <v>Sunday</v>
      </c>
      <c r="V2801" cm="1">
        <f t="array" ref="V2801">_xlfn.SWITCH(tbl_analysis_tickets[[#This Row],[priority]],
"Urgent",1,
"High",2,
"Medium",3,
"Low",4
)</f>
        <v>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D84CBA-C7F8-4CA7-AABC-07D252A0AC0A}">
  <dimension ref="A1:E80"/>
  <sheetViews>
    <sheetView topLeftCell="A37" zoomScale="93" workbookViewId="0">
      <selection activeCell="B44" sqref="B44"/>
    </sheetView>
  </sheetViews>
  <sheetFormatPr defaultRowHeight="15" x14ac:dyDescent="0.25"/>
  <cols>
    <col min="1" max="1" width="17.28515625" bestFit="1" customWidth="1"/>
    <col min="2" max="2" width="16.85546875" bestFit="1" customWidth="1"/>
    <col min="3" max="3" width="7.7109375" bestFit="1" customWidth="1"/>
    <col min="4" max="4" width="8.28515625" bestFit="1" customWidth="1"/>
    <col min="5" max="5" width="11.28515625" bestFit="1" customWidth="1"/>
    <col min="6" max="6" width="27.7109375" bestFit="1" customWidth="1"/>
    <col min="7" max="7" width="17.7109375" bestFit="1" customWidth="1"/>
    <col min="8" max="8" width="27.7109375" bestFit="1" customWidth="1"/>
    <col min="9" max="9" width="11.28515625" bestFit="1" customWidth="1"/>
  </cols>
  <sheetData>
    <row r="1" spans="1:4" x14ac:dyDescent="0.25">
      <c r="A1" s="6" t="s">
        <v>41</v>
      </c>
      <c r="B1" t="s">
        <v>64</v>
      </c>
      <c r="C1" s="6" t="s">
        <v>53</v>
      </c>
      <c r="D1" t="s">
        <v>54</v>
      </c>
    </row>
    <row r="2" spans="1:4" x14ac:dyDescent="0.25">
      <c r="A2" s="7" t="s">
        <v>56</v>
      </c>
      <c r="B2" s="8">
        <v>0.40832123850991775</v>
      </c>
      <c r="C2" s="7" t="s">
        <v>56</v>
      </c>
      <c r="D2" s="8">
        <v>0.46867314339222516</v>
      </c>
    </row>
    <row r="3" spans="1:4" x14ac:dyDescent="0.25">
      <c r="A3" s="7" t="s">
        <v>57</v>
      </c>
      <c r="B3" s="8">
        <v>0.59167876149008225</v>
      </c>
      <c r="C3" s="7" t="s">
        <v>57</v>
      </c>
      <c r="D3" s="8">
        <v>0.53132685660777479</v>
      </c>
    </row>
    <row r="4" spans="1:4" x14ac:dyDescent="0.25">
      <c r="A4" s="7" t="s">
        <v>52</v>
      </c>
      <c r="B4" s="8">
        <v>1</v>
      </c>
      <c r="C4" s="7" t="s">
        <v>52</v>
      </c>
      <c r="D4" s="8">
        <v>1</v>
      </c>
    </row>
    <row r="6" spans="1:4" x14ac:dyDescent="0.25">
      <c r="A6" s="6" t="s">
        <v>42</v>
      </c>
      <c r="B6" t="s">
        <v>64</v>
      </c>
    </row>
    <row r="7" spans="1:4" x14ac:dyDescent="0.25">
      <c r="A7" s="7" t="s">
        <v>56</v>
      </c>
      <c r="B7" s="8">
        <v>0.47266569908079342</v>
      </c>
    </row>
    <row r="8" spans="1:4" x14ac:dyDescent="0.25">
      <c r="A8" s="7" t="s">
        <v>57</v>
      </c>
      <c r="B8" s="8">
        <v>0.52733430091920663</v>
      </c>
    </row>
    <row r="9" spans="1:4" x14ac:dyDescent="0.25">
      <c r="A9" s="7" t="s">
        <v>52</v>
      </c>
      <c r="B9" s="8">
        <v>1</v>
      </c>
    </row>
    <row r="11" spans="1:4" x14ac:dyDescent="0.25">
      <c r="A11" s="6" t="s">
        <v>64</v>
      </c>
      <c r="B11" s="6" t="s">
        <v>41</v>
      </c>
    </row>
    <row r="12" spans="1:4" x14ac:dyDescent="0.25">
      <c r="A12" s="6" t="s">
        <v>58</v>
      </c>
      <c r="B12" t="s">
        <v>56</v>
      </c>
      <c r="C12" t="s">
        <v>57</v>
      </c>
      <c r="D12" t="s">
        <v>52</v>
      </c>
    </row>
    <row r="13" spans="1:4" s="9" customFormat="1" x14ac:dyDescent="0.25">
      <c r="A13" s="7" t="s">
        <v>11</v>
      </c>
      <c r="B13" s="8">
        <v>0</v>
      </c>
      <c r="C13" s="8">
        <v>1</v>
      </c>
      <c r="D13" s="8">
        <v>1</v>
      </c>
    </row>
    <row r="14" spans="1:4" x14ac:dyDescent="0.25">
      <c r="A14" s="11" t="s">
        <v>15</v>
      </c>
      <c r="B14" s="12">
        <v>0.33333333333333331</v>
      </c>
      <c r="C14" s="12">
        <v>0.66666666666666663</v>
      </c>
      <c r="D14" s="12">
        <v>1</v>
      </c>
    </row>
    <row r="15" spans="1:4" x14ac:dyDescent="0.25">
      <c r="A15" s="7" t="s">
        <v>17</v>
      </c>
      <c r="B15" s="8">
        <v>0.88434414668547245</v>
      </c>
      <c r="C15" s="8">
        <v>0.1156558533145275</v>
      </c>
      <c r="D15" s="8">
        <v>1</v>
      </c>
    </row>
    <row r="16" spans="1:4" x14ac:dyDescent="0.25">
      <c r="A16" s="7" t="s">
        <v>52</v>
      </c>
      <c r="B16" s="8">
        <v>0.40832123850991775</v>
      </c>
      <c r="C16" s="8">
        <v>0.59167876149008225</v>
      </c>
      <c r="D16" s="8">
        <v>1</v>
      </c>
    </row>
    <row r="20" spans="1:4" x14ac:dyDescent="0.25">
      <c r="A20" s="6" t="s">
        <v>64</v>
      </c>
      <c r="B20" s="6" t="s">
        <v>42</v>
      </c>
    </row>
    <row r="21" spans="1:4" x14ac:dyDescent="0.25">
      <c r="A21" s="6" t="s">
        <v>58</v>
      </c>
      <c r="B21" t="s">
        <v>56</v>
      </c>
      <c r="C21" t="s">
        <v>57</v>
      </c>
      <c r="D21" t="s">
        <v>52</v>
      </c>
    </row>
    <row r="22" spans="1:4" x14ac:dyDescent="0.25">
      <c r="A22" s="7" t="s">
        <v>11</v>
      </c>
      <c r="B22" s="8">
        <v>0</v>
      </c>
      <c r="C22" s="8">
        <v>1</v>
      </c>
      <c r="D22" s="8">
        <v>1</v>
      </c>
    </row>
    <row r="23" spans="1:4" x14ac:dyDescent="0.25">
      <c r="A23" s="7" t="s">
        <v>15</v>
      </c>
      <c r="B23" s="8">
        <v>0.50998463901689706</v>
      </c>
      <c r="C23" s="8">
        <v>0.49001536098310294</v>
      </c>
      <c r="D23" s="8">
        <v>1</v>
      </c>
    </row>
    <row r="24" spans="1:4" x14ac:dyDescent="0.25">
      <c r="A24" s="11" t="s">
        <v>17</v>
      </c>
      <c r="B24" s="12">
        <v>0.90973201692524686</v>
      </c>
      <c r="C24" s="12">
        <v>9.0267983074753172E-2</v>
      </c>
      <c r="D24" s="12">
        <v>1</v>
      </c>
    </row>
    <row r="25" spans="1:4" x14ac:dyDescent="0.25">
      <c r="A25" s="7" t="s">
        <v>52</v>
      </c>
      <c r="B25" s="8">
        <v>0.47266569908079342</v>
      </c>
      <c r="C25" s="8">
        <v>0.52733430091920663</v>
      </c>
      <c r="D25" s="8">
        <v>1</v>
      </c>
    </row>
    <row r="28" spans="1:4" x14ac:dyDescent="0.25">
      <c r="A28" s="6" t="s">
        <v>60</v>
      </c>
      <c r="B28" t="s">
        <v>59</v>
      </c>
    </row>
    <row r="29" spans="1:4" x14ac:dyDescent="0.25">
      <c r="A29" s="7" t="s">
        <v>14</v>
      </c>
      <c r="B29" s="10">
        <v>38.082191780821915</v>
      </c>
    </row>
    <row r="30" spans="1:4" x14ac:dyDescent="0.25">
      <c r="A30" s="7" t="s">
        <v>21</v>
      </c>
      <c r="B30" s="10">
        <v>37.62086513994911</v>
      </c>
    </row>
    <row r="31" spans="1:4" x14ac:dyDescent="0.25">
      <c r="A31" s="7" t="s">
        <v>22</v>
      </c>
      <c r="B31" s="10">
        <v>36.972839506172839</v>
      </c>
    </row>
    <row r="32" spans="1:4" x14ac:dyDescent="0.25">
      <c r="A32" s="7" t="s">
        <v>10</v>
      </c>
      <c r="B32" s="10">
        <v>36.213917525773198</v>
      </c>
    </row>
    <row r="33" spans="1:5" x14ac:dyDescent="0.25">
      <c r="A33" s="7" t="s">
        <v>23</v>
      </c>
      <c r="B33" s="10">
        <v>35.232505643340858</v>
      </c>
    </row>
    <row r="34" spans="1:5" x14ac:dyDescent="0.25">
      <c r="A34" s="7" t="s">
        <v>61</v>
      </c>
      <c r="B34" s="10">
        <v>36.815674891146593</v>
      </c>
    </row>
    <row r="37" spans="1:5" x14ac:dyDescent="0.25">
      <c r="A37" s="6" t="s">
        <v>63</v>
      </c>
      <c r="B37" t="s">
        <v>62</v>
      </c>
    </row>
    <row r="38" spans="1:5" x14ac:dyDescent="0.25">
      <c r="A38" s="7" t="s">
        <v>19</v>
      </c>
      <c r="B38" s="10">
        <v>124.2</v>
      </c>
    </row>
    <row r="39" spans="1:5" x14ac:dyDescent="0.25">
      <c r="A39" s="7" t="s">
        <v>16</v>
      </c>
      <c r="B39" s="10">
        <v>123.95211267605634</v>
      </c>
    </row>
    <row r="40" spans="1:5" x14ac:dyDescent="0.25">
      <c r="A40" s="7" t="s">
        <v>13</v>
      </c>
      <c r="B40" s="10">
        <v>123.14623338257016</v>
      </c>
    </row>
    <row r="41" spans="1:5" x14ac:dyDescent="0.25">
      <c r="A41" s="7" t="s">
        <v>61</v>
      </c>
      <c r="B41" s="10">
        <v>123.76971456216739</v>
      </c>
    </row>
    <row r="44" spans="1:5" x14ac:dyDescent="0.25">
      <c r="A44" s="6" t="s">
        <v>64</v>
      </c>
      <c r="B44" s="6" t="s">
        <v>55</v>
      </c>
    </row>
    <row r="45" spans="1:5" x14ac:dyDescent="0.25">
      <c r="A45" s="6" t="s">
        <v>51</v>
      </c>
      <c r="B45" t="s">
        <v>20</v>
      </c>
      <c r="C45" t="s">
        <v>11</v>
      </c>
      <c r="D45" t="s">
        <v>15</v>
      </c>
      <c r="E45" t="s">
        <v>52</v>
      </c>
    </row>
    <row r="46" spans="1:5" x14ac:dyDescent="0.25">
      <c r="A46" s="7" t="s">
        <v>18</v>
      </c>
      <c r="B46" s="8">
        <v>7.8640776699029122E-2</v>
      </c>
      <c r="C46" s="8">
        <v>0.5427184466019418</v>
      </c>
      <c r="D46" s="8">
        <v>0.37864077669902912</v>
      </c>
      <c r="E46" s="8">
        <v>1</v>
      </c>
    </row>
    <row r="47" spans="1:5" x14ac:dyDescent="0.25">
      <c r="A47" s="7" t="s">
        <v>12</v>
      </c>
      <c r="B47" s="8">
        <v>5.7859209257473485E-3</v>
      </c>
      <c r="C47" s="8">
        <v>0.86017357762777247</v>
      </c>
      <c r="D47" s="8">
        <v>0.13404050144648022</v>
      </c>
      <c r="E47" s="8">
        <v>1</v>
      </c>
    </row>
    <row r="48" spans="1:5" x14ac:dyDescent="0.25">
      <c r="A48" s="7" t="s">
        <v>52</v>
      </c>
      <c r="B48" s="8">
        <v>4.2089985486211901E-2</v>
      </c>
      <c r="C48" s="8">
        <v>0.70198355104015486</v>
      </c>
      <c r="D48" s="8">
        <v>0.25592646347363329</v>
      </c>
      <c r="E48" s="8">
        <v>1</v>
      </c>
    </row>
    <row r="51" spans="1:2" x14ac:dyDescent="0.25">
      <c r="A51" s="6" t="s">
        <v>51</v>
      </c>
      <c r="B51" t="s">
        <v>64</v>
      </c>
    </row>
    <row r="52" spans="1:2" x14ac:dyDescent="0.25">
      <c r="A52" s="7" t="s">
        <v>71</v>
      </c>
      <c r="B52">
        <v>173</v>
      </c>
    </row>
    <row r="53" spans="1:2" x14ac:dyDescent="0.25">
      <c r="A53" s="7" t="s">
        <v>72</v>
      </c>
      <c r="B53">
        <v>183</v>
      </c>
    </row>
    <row r="54" spans="1:2" x14ac:dyDescent="0.25">
      <c r="A54" s="7" t="s">
        <v>73</v>
      </c>
      <c r="B54">
        <v>165</v>
      </c>
    </row>
    <row r="55" spans="1:2" x14ac:dyDescent="0.25">
      <c r="A55" s="7" t="s">
        <v>74</v>
      </c>
      <c r="B55">
        <v>170</v>
      </c>
    </row>
    <row r="56" spans="1:2" x14ac:dyDescent="0.25">
      <c r="A56" s="7" t="s">
        <v>75</v>
      </c>
      <c r="B56">
        <v>176</v>
      </c>
    </row>
    <row r="57" spans="1:2" x14ac:dyDescent="0.25">
      <c r="A57" s="7" t="s">
        <v>76</v>
      </c>
      <c r="B57">
        <v>170</v>
      </c>
    </row>
    <row r="58" spans="1:2" x14ac:dyDescent="0.25">
      <c r="A58" s="7" t="s">
        <v>77</v>
      </c>
      <c r="B58">
        <v>176</v>
      </c>
    </row>
    <row r="59" spans="1:2" x14ac:dyDescent="0.25">
      <c r="A59" s="7" t="s">
        <v>78</v>
      </c>
      <c r="B59">
        <v>190</v>
      </c>
    </row>
    <row r="60" spans="1:2" x14ac:dyDescent="0.25">
      <c r="A60" s="7" t="s">
        <v>79</v>
      </c>
      <c r="B60">
        <v>176</v>
      </c>
    </row>
    <row r="61" spans="1:2" x14ac:dyDescent="0.25">
      <c r="A61" s="7" t="s">
        <v>80</v>
      </c>
      <c r="B61">
        <v>149</v>
      </c>
    </row>
    <row r="62" spans="1:2" x14ac:dyDescent="0.25">
      <c r="A62" s="7" t="s">
        <v>81</v>
      </c>
      <c r="B62">
        <v>170</v>
      </c>
    </row>
    <row r="63" spans="1:2" x14ac:dyDescent="0.25">
      <c r="A63" s="7" t="s">
        <v>82</v>
      </c>
      <c r="B63">
        <v>169</v>
      </c>
    </row>
    <row r="64" spans="1:2" x14ac:dyDescent="0.25">
      <c r="A64" s="7" t="s">
        <v>52</v>
      </c>
      <c r="B64">
        <v>2067</v>
      </c>
    </row>
    <row r="66" spans="1:3" x14ac:dyDescent="0.25">
      <c r="A66" s="6" t="s">
        <v>51</v>
      </c>
      <c r="B66" t="s">
        <v>59</v>
      </c>
      <c r="C66" t="s">
        <v>69</v>
      </c>
    </row>
    <row r="67" spans="1:3" x14ac:dyDescent="0.25">
      <c r="A67" s="7" t="s">
        <v>65</v>
      </c>
      <c r="B67">
        <v>36.534704370179952</v>
      </c>
      <c r="C67">
        <v>1.5835475578406171</v>
      </c>
    </row>
    <row r="68" spans="1:3" x14ac:dyDescent="0.25">
      <c r="A68" s="7" t="s">
        <v>66</v>
      </c>
      <c r="B68">
        <v>36.149855907780982</v>
      </c>
      <c r="C68">
        <v>1.138328530259366</v>
      </c>
    </row>
    <row r="69" spans="1:3" x14ac:dyDescent="0.25">
      <c r="A69" s="7" t="s">
        <v>67</v>
      </c>
      <c r="B69">
        <v>36.998552821997109</v>
      </c>
      <c r="C69">
        <v>1.1678726483357453</v>
      </c>
    </row>
    <row r="70" spans="1:3" x14ac:dyDescent="0.25">
      <c r="A70" s="7" t="s">
        <v>68</v>
      </c>
      <c r="B70">
        <v>37.15</v>
      </c>
      <c r="C70">
        <v>1.4875</v>
      </c>
    </row>
    <row r="71" spans="1:3" x14ac:dyDescent="0.25">
      <c r="A71" s="7" t="s">
        <v>52</v>
      </c>
      <c r="B71">
        <v>36.815674891146593</v>
      </c>
      <c r="C71">
        <v>1.3401064344460571</v>
      </c>
    </row>
    <row r="74" spans="1:3" x14ac:dyDescent="0.25">
      <c r="A74" s="6" t="s">
        <v>70</v>
      </c>
      <c r="B74" t="s">
        <v>69</v>
      </c>
    </row>
    <row r="75" spans="1:3" x14ac:dyDescent="0.25">
      <c r="A75" s="7" t="s">
        <v>14</v>
      </c>
      <c r="B75">
        <v>1.3721461187214612</v>
      </c>
    </row>
    <row r="76" spans="1:3" x14ac:dyDescent="0.25">
      <c r="A76" s="7" t="s">
        <v>10</v>
      </c>
      <c r="B76">
        <v>1.3427835051546391</v>
      </c>
    </row>
    <row r="77" spans="1:3" x14ac:dyDescent="0.25">
      <c r="A77" s="7" t="s">
        <v>21</v>
      </c>
      <c r="B77">
        <v>1.3409669211195929</v>
      </c>
    </row>
    <row r="78" spans="1:3" x14ac:dyDescent="0.25">
      <c r="A78" s="7" t="s">
        <v>23</v>
      </c>
      <c r="B78">
        <v>1.3363431151241536</v>
      </c>
    </row>
    <row r="79" spans="1:3" x14ac:dyDescent="0.25">
      <c r="A79" s="7" t="s">
        <v>22</v>
      </c>
      <c r="B79">
        <v>1.3061728395061729</v>
      </c>
    </row>
    <row r="80" spans="1:3" x14ac:dyDescent="0.25">
      <c r="A80" s="7" t="s">
        <v>52</v>
      </c>
      <c r="B80">
        <v>1.3401064344460571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FAC64F-C20C-4A31-9E9D-310B6F211C2E}">
  <dimension ref="A1:S50"/>
  <sheetViews>
    <sheetView showGridLines="0" tabSelected="1" topLeftCell="B1" zoomScale="33" zoomScaleNormal="39" zoomScaleSheetLayoutView="143" workbookViewId="0">
      <selection activeCell="K1" sqref="K1:S2"/>
    </sheetView>
  </sheetViews>
  <sheetFormatPr defaultRowHeight="15" x14ac:dyDescent="0.25"/>
  <cols>
    <col min="8" max="8" width="9.140625" customWidth="1"/>
    <col min="10" max="10" width="0.140625" customWidth="1"/>
    <col min="11" max="11" width="32.42578125" customWidth="1"/>
    <col min="12" max="12" width="45.7109375" customWidth="1"/>
    <col min="13" max="13" width="30.28515625" customWidth="1"/>
    <col min="14" max="14" width="117.140625" customWidth="1"/>
    <col min="15" max="15" width="27" customWidth="1"/>
    <col min="16" max="16" width="26" customWidth="1"/>
    <col min="18" max="18" width="33" customWidth="1"/>
    <col min="19" max="19" width="9.140625" hidden="1" customWidth="1"/>
  </cols>
  <sheetData>
    <row r="1" spans="1:19" ht="34.5" customHeight="1" x14ac:dyDescent="0.25">
      <c r="K1" s="23" t="s">
        <v>83</v>
      </c>
      <c r="L1" s="23"/>
      <c r="M1" s="23"/>
      <c r="N1" s="23"/>
      <c r="O1" s="23"/>
      <c r="P1" s="23"/>
      <c r="Q1" s="23"/>
      <c r="R1" s="23"/>
      <c r="S1" s="23"/>
    </row>
    <row r="2" spans="1:19" ht="9.75" customHeight="1" x14ac:dyDescent="0.25">
      <c r="K2" s="23"/>
      <c r="L2" s="23"/>
      <c r="M2" s="23"/>
      <c r="N2" s="23"/>
      <c r="O2" s="23"/>
      <c r="P2" s="23"/>
      <c r="Q2" s="23"/>
      <c r="R2" s="23"/>
      <c r="S2" s="23"/>
    </row>
    <row r="3" spans="1:19" ht="12" customHeight="1" x14ac:dyDescent="0.25"/>
    <row r="4" spans="1:19" ht="36" customHeight="1" x14ac:dyDescent="0.4">
      <c r="K4" s="18" t="s">
        <v>85</v>
      </c>
      <c r="L4" s="18"/>
      <c r="M4" s="18" t="s">
        <v>84</v>
      </c>
      <c r="N4" s="18"/>
      <c r="O4" s="18" t="s">
        <v>89</v>
      </c>
      <c r="P4" s="18"/>
      <c r="Q4" s="22" t="s">
        <v>86</v>
      </c>
      <c r="R4" s="22"/>
    </row>
    <row r="5" spans="1:19" ht="37.5" customHeight="1" x14ac:dyDescent="0.4">
      <c r="K5" s="19">
        <v>2800</v>
      </c>
      <c r="L5" s="19"/>
      <c r="M5" s="20">
        <f>COUNTIF(tbl_analysis_tickets[Resolution SLA Status],"Breached")/COUNTA(tbl_analysis_tickets[ticket_id])</f>
        <v>0.47285714285714286</v>
      </c>
      <c r="N5" s="20"/>
      <c r="O5" s="21">
        <f>COUNTIF(tbl_analysis_tickets[First Response SLA Status],"Breached")/COUNTA(tbl_analysis_tickets[ticket_id])</f>
        <v>0.54714285714285715</v>
      </c>
      <c r="P5" s="21"/>
      <c r="Q5" s="21">
        <f>COUNTIF(tbl_analysis_tickets[reopened],"Yes")/COUNTA(tbl_analysis_tickets[ticket_id])</f>
        <v>0.49535714285714288</v>
      </c>
      <c r="R5" s="21"/>
    </row>
    <row r="6" spans="1:19" x14ac:dyDescent="0.25">
      <c r="A6" s="13"/>
      <c r="B6" s="13"/>
      <c r="C6" s="14"/>
      <c r="D6" s="14"/>
      <c r="E6" s="13"/>
      <c r="F6" s="13"/>
    </row>
    <row r="7" spans="1:19" x14ac:dyDescent="0.25">
      <c r="C7" s="8"/>
      <c r="D7" s="8"/>
      <c r="E7" s="17"/>
      <c r="F7" s="17"/>
    </row>
    <row r="37" spans="11:18" x14ac:dyDescent="0.25">
      <c r="K37" s="3"/>
      <c r="L37" s="3"/>
      <c r="M37" s="3"/>
    </row>
    <row r="38" spans="11:18" x14ac:dyDescent="0.25">
      <c r="K38" s="2"/>
      <c r="L38" s="2"/>
      <c r="M38" s="2"/>
    </row>
    <row r="39" spans="11:18" x14ac:dyDescent="0.25">
      <c r="K39" s="2"/>
      <c r="L39" s="2"/>
      <c r="M39" s="2"/>
    </row>
    <row r="40" spans="11:18" x14ac:dyDescent="0.25">
      <c r="K40" s="2"/>
      <c r="L40" s="2"/>
      <c r="M40" s="2"/>
    </row>
    <row r="42" spans="11:18" x14ac:dyDescent="0.25">
      <c r="L42" s="3" t="s">
        <v>87</v>
      </c>
      <c r="M42" s="5" t="s">
        <v>90</v>
      </c>
      <c r="N42" s="3" t="s">
        <v>88</v>
      </c>
      <c r="P42" s="17"/>
      <c r="Q42" s="17"/>
    </row>
    <row r="43" spans="11:18" ht="15" customHeight="1" x14ac:dyDescent="0.25">
      <c r="L43" s="15" t="s">
        <v>91</v>
      </c>
      <c r="M43" s="15" t="s">
        <v>92</v>
      </c>
      <c r="N43" s="15" t="s">
        <v>93</v>
      </c>
      <c r="O43" s="16" t="s">
        <v>144</v>
      </c>
      <c r="P43" s="16"/>
      <c r="Q43" s="16"/>
      <c r="R43" s="16"/>
    </row>
    <row r="44" spans="11:18" ht="30" x14ac:dyDescent="0.25">
      <c r="L44" s="15" t="s">
        <v>94</v>
      </c>
      <c r="M44" s="15" t="s">
        <v>95</v>
      </c>
      <c r="N44" s="15" t="s">
        <v>96</v>
      </c>
      <c r="O44" s="16"/>
      <c r="P44" s="16"/>
      <c r="Q44" s="16"/>
      <c r="R44" s="16"/>
    </row>
    <row r="45" spans="11:18" x14ac:dyDescent="0.25">
      <c r="L45" s="15" t="s">
        <v>97</v>
      </c>
      <c r="M45" s="15" t="s">
        <v>98</v>
      </c>
      <c r="N45" s="15" t="s">
        <v>99</v>
      </c>
      <c r="O45" s="16"/>
      <c r="P45" s="16"/>
      <c r="Q45" s="16"/>
      <c r="R45" s="16"/>
    </row>
    <row r="46" spans="11:18" ht="30" x14ac:dyDescent="0.25">
      <c r="L46" s="15" t="s">
        <v>100</v>
      </c>
      <c r="M46" s="15" t="s">
        <v>101</v>
      </c>
      <c r="N46" s="15" t="s">
        <v>102</v>
      </c>
      <c r="O46" s="16"/>
      <c r="P46" s="16"/>
      <c r="Q46" s="16"/>
      <c r="R46" s="16"/>
    </row>
    <row r="47" spans="11:18" ht="30" x14ac:dyDescent="0.25">
      <c r="L47" s="15" t="s">
        <v>103</v>
      </c>
      <c r="M47" s="15" t="s">
        <v>104</v>
      </c>
      <c r="N47" s="15" t="s">
        <v>105</v>
      </c>
      <c r="O47" s="16"/>
      <c r="P47" s="16"/>
      <c r="Q47" s="16"/>
      <c r="R47" s="16"/>
    </row>
    <row r="48" spans="11:18" ht="45" x14ac:dyDescent="0.25">
      <c r="L48" s="15" t="s">
        <v>106</v>
      </c>
      <c r="M48" s="15" t="s">
        <v>107</v>
      </c>
      <c r="N48" s="15" t="s">
        <v>108</v>
      </c>
      <c r="O48" s="16"/>
      <c r="P48" s="16"/>
      <c r="Q48" s="16"/>
      <c r="R48" s="16"/>
    </row>
    <row r="49" spans="12:14" ht="30" x14ac:dyDescent="0.25">
      <c r="L49" s="15" t="s">
        <v>109</v>
      </c>
      <c r="M49" s="15" t="s">
        <v>110</v>
      </c>
      <c r="N49" s="15" t="s">
        <v>111</v>
      </c>
    </row>
    <row r="50" spans="12:14" ht="45" x14ac:dyDescent="0.25">
      <c r="L50" s="15" t="s">
        <v>112</v>
      </c>
      <c r="M50" s="15" t="s">
        <v>113</v>
      </c>
      <c r="N50" s="15" t="s">
        <v>114</v>
      </c>
    </row>
  </sheetData>
  <mergeCells count="12">
    <mergeCell ref="K1:S2"/>
    <mergeCell ref="E7:F7"/>
    <mergeCell ref="K4:L4"/>
    <mergeCell ref="O43:R48"/>
    <mergeCell ref="P42:Q42"/>
    <mergeCell ref="M4:N4"/>
    <mergeCell ref="O4:P4"/>
    <mergeCell ref="K5:L5"/>
    <mergeCell ref="M5:N5"/>
    <mergeCell ref="O5:P5"/>
    <mergeCell ref="Q4:R4"/>
    <mergeCell ref="Q5:R5"/>
  </mergeCells>
  <pageMargins left="0.7" right="0.7" top="0.75" bottom="0.75" header="0.3" footer="0.3"/>
  <pageSetup paperSize="9" scale="26" orientation="portrait" r:id="rId1"/>
  <drawing r:id="rId2"/>
  <tableParts count="1">
    <tablePart r:id="rId3"/>
  </tableParts>
  <extLst>
    <ext xmlns:x14="http://schemas.microsoft.com/office/spreadsheetml/2009/9/main" uri="{A8765BA9-456A-4dab-B4F3-ACF838C121DE}">
      <x14:slicerList>
        <x14:slicer r:id="rId4"/>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810A3-6998-478A-A14E-DADB5898DD1B}">
  <dimension ref="A1:D18"/>
  <sheetViews>
    <sheetView topLeftCell="B1" zoomScale="77" workbookViewId="0">
      <selection activeCell="C1" sqref="A1:XFD1"/>
    </sheetView>
  </sheetViews>
  <sheetFormatPr defaultRowHeight="15" x14ac:dyDescent="0.25"/>
  <cols>
    <col min="1" max="1" width="57" bestFit="1" customWidth="1"/>
    <col min="2" max="2" width="104.28515625" bestFit="1" customWidth="1"/>
    <col min="3" max="3" width="96.28515625" bestFit="1" customWidth="1"/>
    <col min="4" max="4" width="8.140625" bestFit="1" customWidth="1"/>
  </cols>
  <sheetData>
    <row r="1" spans="1:4" x14ac:dyDescent="0.25">
      <c r="A1" s="16" t="s">
        <v>143</v>
      </c>
      <c r="B1" s="17"/>
      <c r="D1" t="s">
        <v>58</v>
      </c>
    </row>
    <row r="2" spans="1:4" x14ac:dyDescent="0.25">
      <c r="A2" s="17"/>
      <c r="B2" s="17"/>
      <c r="D2" t="s">
        <v>20</v>
      </c>
    </row>
    <row r="3" spans="1:4" x14ac:dyDescent="0.25">
      <c r="A3" s="17"/>
      <c r="B3" s="17"/>
      <c r="D3" t="s">
        <v>20</v>
      </c>
    </row>
    <row r="4" spans="1:4" x14ac:dyDescent="0.25">
      <c r="A4" s="17"/>
      <c r="B4" s="17"/>
      <c r="D4" t="s">
        <v>20</v>
      </c>
    </row>
    <row r="5" spans="1:4" x14ac:dyDescent="0.25">
      <c r="A5" s="17"/>
      <c r="B5" s="17"/>
      <c r="D5" t="s">
        <v>20</v>
      </c>
    </row>
    <row r="6" spans="1:4" x14ac:dyDescent="0.25">
      <c r="A6" s="17"/>
      <c r="B6" s="17"/>
      <c r="D6" t="s">
        <v>20</v>
      </c>
    </row>
    <row r="7" spans="1:4" x14ac:dyDescent="0.25">
      <c r="A7" s="17"/>
      <c r="B7" s="17"/>
      <c r="D7" t="s">
        <v>15</v>
      </c>
    </row>
    <row r="8" spans="1:4" x14ac:dyDescent="0.25">
      <c r="D8" t="s">
        <v>15</v>
      </c>
    </row>
    <row r="9" spans="1:4" x14ac:dyDescent="0.25">
      <c r="A9" s="17" t="s">
        <v>142</v>
      </c>
      <c r="B9" s="17"/>
      <c r="C9" s="17"/>
      <c r="D9" t="s">
        <v>15</v>
      </c>
    </row>
    <row r="10" spans="1:4" x14ac:dyDescent="0.25">
      <c r="A10" t="s">
        <v>115</v>
      </c>
      <c r="B10" t="s">
        <v>116</v>
      </c>
      <c r="C10" t="s">
        <v>117</v>
      </c>
    </row>
    <row r="11" spans="1:4" x14ac:dyDescent="0.25">
      <c r="A11" t="s">
        <v>118</v>
      </c>
      <c r="B11" t="s">
        <v>119</v>
      </c>
      <c r="C11" t="s">
        <v>120</v>
      </c>
    </row>
    <row r="12" spans="1:4" x14ac:dyDescent="0.25">
      <c r="A12" t="s">
        <v>121</v>
      </c>
      <c r="B12" t="s">
        <v>122</v>
      </c>
      <c r="C12" t="s">
        <v>123</v>
      </c>
    </row>
    <row r="13" spans="1:4" x14ac:dyDescent="0.25">
      <c r="A13" t="s">
        <v>124</v>
      </c>
      <c r="B13" t="s">
        <v>125</v>
      </c>
      <c r="C13" t="s">
        <v>126</v>
      </c>
    </row>
    <row r="14" spans="1:4" x14ac:dyDescent="0.25">
      <c r="A14" t="s">
        <v>127</v>
      </c>
      <c r="B14" t="s">
        <v>128</v>
      </c>
      <c r="C14" t="s">
        <v>129</v>
      </c>
    </row>
    <row r="15" spans="1:4" x14ac:dyDescent="0.25">
      <c r="A15" t="s">
        <v>130</v>
      </c>
      <c r="B15" t="s">
        <v>131</v>
      </c>
      <c r="C15" t="s">
        <v>132</v>
      </c>
    </row>
    <row r="16" spans="1:4" x14ac:dyDescent="0.25">
      <c r="A16" t="s">
        <v>133</v>
      </c>
      <c r="B16" t="s">
        <v>134</v>
      </c>
      <c r="C16" t="s">
        <v>135</v>
      </c>
    </row>
    <row r="17" spans="1:3" x14ac:dyDescent="0.25">
      <c r="A17" t="s">
        <v>136</v>
      </c>
      <c r="B17" t="s">
        <v>137</v>
      </c>
      <c r="C17" t="s">
        <v>138</v>
      </c>
    </row>
    <row r="18" spans="1:3" x14ac:dyDescent="0.25">
      <c r="A18" t="s">
        <v>139</v>
      </c>
      <c r="B18" t="s">
        <v>140</v>
      </c>
      <c r="C18" t="s">
        <v>141</v>
      </c>
    </row>
  </sheetData>
  <mergeCells count="2">
    <mergeCell ref="A1:B7"/>
    <mergeCell ref="A9:C9"/>
  </mergeCell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E453084D1406741856F7CDF9110FD1E" ma:contentTypeVersion="4" ma:contentTypeDescription="Create a new document." ma:contentTypeScope="" ma:versionID="e68e39cb72360ef4db2097eb2d6a894f">
  <xsd:schema xmlns:xsd="http://www.w3.org/2001/XMLSchema" xmlns:xs="http://www.w3.org/2001/XMLSchema" xmlns:p="http://schemas.microsoft.com/office/2006/metadata/properties" xmlns:ns3="e6b3199f-b8d3-434a-857d-c7697354613d" targetNamespace="http://schemas.microsoft.com/office/2006/metadata/properties" ma:root="true" ma:fieldsID="909ceb2cbc26358029a5ddaf5b4ef6aa" ns3:_="">
    <xsd:import namespace="e6b3199f-b8d3-434a-857d-c7697354613d"/>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6b3199f-b8d3-434a-857d-c7697354613d"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EC0F8AAE-EF67-460F-BA3C-0C94B7539D9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6b3199f-b8d3-434a-857d-c7697354613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965FBE4-43F4-46FC-915D-C1015040B1A8}">
  <ds:schemaRefs>
    <ds:schemaRef ds:uri="http://schemas.microsoft.com/sharepoint/v3/contenttype/forms"/>
  </ds:schemaRefs>
</ds:datastoreItem>
</file>

<file path=customXml/itemProps3.xml><?xml version="1.0" encoding="utf-8"?>
<ds:datastoreItem xmlns:ds="http://schemas.openxmlformats.org/officeDocument/2006/customXml" ds:itemID="{729FAA2F-228C-4571-B2D4-2349B6DEF2C3}">
  <ds:schemaRefs>
    <ds:schemaRef ds:uri="http://schemas.microsoft.com/office/2006/metadata/properties"/>
    <ds:schemaRef ds:uri="http://www.w3.org/XML/1998/namespace"/>
    <ds:schemaRef ds:uri="http://schemas.openxmlformats.org/package/2006/metadata/core-properties"/>
    <ds:schemaRef ds:uri="http://purl.org/dc/elements/1.1/"/>
    <ds:schemaRef ds:uri="http://schemas.microsoft.com/office/2006/documentManagement/types"/>
    <ds:schemaRef ds:uri="http://purl.org/dc/terms/"/>
    <ds:schemaRef ds:uri="http://purl.org/dc/dcmitype/"/>
    <ds:schemaRef ds:uri="http://schemas.microsoft.com/office/infopath/2007/PartnerControls"/>
    <ds:schemaRef ds:uri="e6b3199f-b8d3-434a-857d-c7697354613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Raw_Data</vt:lpstr>
      <vt:lpstr>Data_validation</vt:lpstr>
      <vt:lpstr>SLA_Rules</vt:lpstr>
      <vt:lpstr>Analysis_Data</vt:lpstr>
      <vt:lpstr>Pivot_Analysis</vt:lpstr>
      <vt:lpstr>Dashboard</vt:lpstr>
      <vt:lpstr>Recommendation Sheets</vt:lpstr>
      <vt:lpstr>Dashboard!Print_Area</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S0487090</dc:creator>
  <cp:lastModifiedBy>S0487090</cp:lastModifiedBy>
  <dcterms:created xsi:type="dcterms:W3CDTF">2026-05-18T14:09:23Z</dcterms:created>
  <dcterms:modified xsi:type="dcterms:W3CDTF">2026-05-18T17:10:02Z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0x0101002E453084D1406741856F7CDF9110FD1E</vt:lpwstr>
  </property>
</Properties>
</file>